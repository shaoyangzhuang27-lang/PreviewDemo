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63C13FB1-BF9C-4641-8978-16922C75577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opy_loot" sheetId="1" r:id="rId1"/>
    <sheet name="Sheet1" sheetId="3" r:id="rId2"/>
    <sheet name="Sheet2" sheetId="4" r:id="rId3"/>
    <sheet name="Sheet3" sheetId="5" r:id="rId4"/>
  </sheets>
  <definedNames>
    <definedName name="_xlnm._FilterDatabase" localSheetId="1" hidden="1">Sheet1!$A$23:$CA$1803</definedName>
    <definedName name="_xlnm._FilterDatabase" localSheetId="2" hidden="1">Sheet2!$A$3:$AU$1783</definedName>
  </definedNames>
  <calcPr calcId="191029"/>
</workbook>
</file>

<file path=xl/calcChain.xml><?xml version="1.0" encoding="utf-8"?>
<calcChain xmlns="http://schemas.openxmlformats.org/spreadsheetml/2006/main">
  <c r="N3" i="3" l="1"/>
  <c r="O3" i="3" s="1"/>
  <c r="BE23" i="1" l="1"/>
  <c r="BC23" i="1" s="1"/>
  <c r="AZ23" i="1"/>
  <c r="BA23" i="1" s="1"/>
  <c r="AE23" i="1"/>
  <c r="BE22" i="1"/>
  <c r="BC22" i="1" s="1"/>
  <c r="AZ22" i="1"/>
  <c r="BA22" i="1" s="1"/>
  <c r="AE22" i="1"/>
  <c r="AF22" i="1" l="1"/>
  <c r="AH22" i="1" s="1"/>
  <c r="AI22" i="1" s="1"/>
  <c r="BD22" i="1"/>
  <c r="AJ22" i="1" s="1"/>
  <c r="AK22" i="1" s="1"/>
  <c r="BD23" i="1"/>
  <c r="AJ23" i="1" s="1"/>
  <c r="AK23" i="1" s="1"/>
  <c r="AF23" i="1"/>
  <c r="AH23" i="1" s="1"/>
  <c r="AI23" i="1" s="1"/>
  <c r="BF23" i="1"/>
  <c r="BF22" i="1"/>
  <c r="AL22" i="1"/>
  <c r="AM22" i="1" s="1"/>
  <c r="AL23" i="1"/>
  <c r="AM23" i="1" s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AD22" i="1" l="1"/>
  <c r="AG22" i="1" s="1"/>
  <c r="AD23" i="1"/>
  <c r="AG23" i="1" s="1"/>
  <c r="D1783" i="1" l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5" i="1"/>
  <c r="C5" i="1"/>
  <c r="B5" i="1"/>
  <c r="D4" i="1"/>
  <c r="C4" i="1"/>
  <c r="B4" i="1"/>
  <c r="H512" i="5" l="1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G196" i="5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H195" i="5"/>
  <c r="R3" i="3"/>
  <c r="S3" i="3" s="1"/>
  <c r="BE983" i="1"/>
  <c r="BD983" i="1" s="1"/>
  <c r="AJ983" i="1" s="1"/>
  <c r="AK983" i="1" s="1"/>
  <c r="BB983" i="1"/>
  <c r="AE983" i="1"/>
  <c r="BE982" i="1"/>
  <c r="BF982" i="1" s="1"/>
  <c r="BB982" i="1"/>
  <c r="AE982" i="1"/>
  <c r="BE981" i="1"/>
  <c r="AL981" i="1" s="1"/>
  <c r="AM981" i="1" s="1"/>
  <c r="BB981" i="1"/>
  <c r="AE981" i="1"/>
  <c r="BE980" i="1"/>
  <c r="AL980" i="1" s="1"/>
  <c r="AM980" i="1" s="1"/>
  <c r="BB980" i="1"/>
  <c r="AE980" i="1"/>
  <c r="BE979" i="1"/>
  <c r="BB979" i="1"/>
  <c r="AE979" i="1"/>
  <c r="BE978" i="1"/>
  <c r="BB978" i="1"/>
  <c r="AE978" i="1"/>
  <c r="BE977" i="1"/>
  <c r="BB977" i="1"/>
  <c r="AE977" i="1"/>
  <c r="BE976" i="1"/>
  <c r="BB976" i="1"/>
  <c r="AE976" i="1"/>
  <c r="BE975" i="1"/>
  <c r="BB975" i="1"/>
  <c r="AE975" i="1"/>
  <c r="BE974" i="1"/>
  <c r="BB974" i="1"/>
  <c r="AE974" i="1"/>
  <c r="BG973" i="1"/>
  <c r="BE973" i="1"/>
  <c r="BF973" i="1" s="1"/>
  <c r="BB973" i="1"/>
  <c r="AF973" i="1"/>
  <c r="AH973" i="1" s="1"/>
  <c r="AI973" i="1" s="1"/>
  <c r="AE973" i="1"/>
  <c r="BE972" i="1"/>
  <c r="BF972" i="1" s="1"/>
  <c r="BB972" i="1"/>
  <c r="AE972" i="1"/>
  <c r="BE971" i="1"/>
  <c r="BB971" i="1"/>
  <c r="AE971" i="1"/>
  <c r="BE970" i="1"/>
  <c r="BD970" i="1" s="1"/>
  <c r="AJ970" i="1" s="1"/>
  <c r="AK970" i="1" s="1"/>
  <c r="BB970" i="1"/>
  <c r="AE970" i="1"/>
  <c r="BE969" i="1"/>
  <c r="BD969" i="1" s="1"/>
  <c r="AJ969" i="1" s="1"/>
  <c r="AK969" i="1" s="1"/>
  <c r="BB969" i="1"/>
  <c r="AE969" i="1"/>
  <c r="BE968" i="1"/>
  <c r="BB968" i="1"/>
  <c r="AE968" i="1"/>
  <c r="BE967" i="1"/>
  <c r="BB967" i="1"/>
  <c r="AE967" i="1"/>
  <c r="BE966" i="1"/>
  <c r="BB966" i="1"/>
  <c r="AE966" i="1"/>
  <c r="BE965" i="1"/>
  <c r="BB965" i="1"/>
  <c r="AE965" i="1"/>
  <c r="BE964" i="1"/>
  <c r="BB964" i="1"/>
  <c r="AE964" i="1"/>
  <c r="BE963" i="1"/>
  <c r="BB963" i="1"/>
  <c r="AE963" i="1"/>
  <c r="BE962" i="1"/>
  <c r="BB962" i="1"/>
  <c r="AE962" i="1"/>
  <c r="BE961" i="1"/>
  <c r="BD961" i="1" s="1"/>
  <c r="AJ961" i="1" s="1"/>
  <c r="AK961" i="1" s="1"/>
  <c r="BB961" i="1"/>
  <c r="AE961" i="1"/>
  <c r="BE960" i="1"/>
  <c r="BB960" i="1"/>
  <c r="AE960" i="1"/>
  <c r="BE959" i="1"/>
  <c r="AF959" i="1" s="1"/>
  <c r="BB959" i="1"/>
  <c r="AE959" i="1"/>
  <c r="BE958" i="1"/>
  <c r="AL958" i="1" s="1"/>
  <c r="AM958" i="1" s="1"/>
  <c r="BB958" i="1"/>
  <c r="AE958" i="1"/>
  <c r="BE957" i="1"/>
  <c r="AF957" i="1" s="1"/>
  <c r="AH957" i="1" s="1"/>
  <c r="AI957" i="1" s="1"/>
  <c r="BB957" i="1"/>
  <c r="AE957" i="1"/>
  <c r="BE956" i="1"/>
  <c r="BB956" i="1"/>
  <c r="AE956" i="1"/>
  <c r="BE955" i="1"/>
  <c r="BB955" i="1"/>
  <c r="AE955" i="1"/>
  <c r="BE954" i="1"/>
  <c r="BD954" i="1" s="1"/>
  <c r="AJ954" i="1" s="1"/>
  <c r="AK954" i="1" s="1"/>
  <c r="BB954" i="1"/>
  <c r="AE954" i="1"/>
  <c r="BE953" i="1"/>
  <c r="BB953" i="1"/>
  <c r="AE953" i="1"/>
  <c r="BE952" i="1"/>
  <c r="BB952" i="1"/>
  <c r="AE952" i="1"/>
  <c r="BE951" i="1"/>
  <c r="AL951" i="1" s="1"/>
  <c r="AM951" i="1" s="1"/>
  <c r="BB951" i="1"/>
  <c r="AE951" i="1"/>
  <c r="BE950" i="1"/>
  <c r="BB950" i="1"/>
  <c r="AE950" i="1"/>
  <c r="BE949" i="1"/>
  <c r="BF949" i="1" s="1"/>
  <c r="BB949" i="1"/>
  <c r="AE949" i="1"/>
  <c r="BE948" i="1"/>
  <c r="BB948" i="1"/>
  <c r="AE948" i="1"/>
  <c r="BE947" i="1"/>
  <c r="BB947" i="1"/>
  <c r="AE947" i="1"/>
  <c r="BE946" i="1"/>
  <c r="BB946" i="1"/>
  <c r="AE946" i="1"/>
  <c r="BE945" i="1"/>
  <c r="BD945" i="1" s="1"/>
  <c r="AJ945" i="1" s="1"/>
  <c r="AK945" i="1" s="1"/>
  <c r="BB945" i="1"/>
  <c r="AE945" i="1"/>
  <c r="BE944" i="1"/>
  <c r="BB944" i="1"/>
  <c r="AE944" i="1"/>
  <c r="BE943" i="1"/>
  <c r="BB943" i="1"/>
  <c r="AE943" i="1"/>
  <c r="BE942" i="1"/>
  <c r="BB942" i="1"/>
  <c r="AE942" i="1"/>
  <c r="BE941" i="1"/>
  <c r="BD941" i="1" s="1"/>
  <c r="AJ941" i="1" s="1"/>
  <c r="AK941" i="1" s="1"/>
  <c r="BB941" i="1"/>
  <c r="AE941" i="1"/>
  <c r="BE940" i="1"/>
  <c r="BB940" i="1"/>
  <c r="AE940" i="1"/>
  <c r="BE939" i="1"/>
  <c r="BB939" i="1"/>
  <c r="AE939" i="1"/>
  <c r="BE938" i="1"/>
  <c r="BB938" i="1"/>
  <c r="AE938" i="1"/>
  <c r="BE937" i="1"/>
  <c r="AF937" i="1" s="1"/>
  <c r="BB937" i="1"/>
  <c r="AE937" i="1"/>
  <c r="BE936" i="1"/>
  <c r="BD936" i="1" s="1"/>
  <c r="AJ936" i="1" s="1"/>
  <c r="AK936" i="1" s="1"/>
  <c r="BB936" i="1"/>
  <c r="AE936" i="1"/>
  <c r="BE935" i="1"/>
  <c r="AF935" i="1" s="1"/>
  <c r="AH935" i="1" s="1"/>
  <c r="AI935" i="1" s="1"/>
  <c r="BB935" i="1"/>
  <c r="AE935" i="1"/>
  <c r="BE934" i="1"/>
  <c r="BB934" i="1"/>
  <c r="AE934" i="1"/>
  <c r="BE933" i="1"/>
  <c r="BB933" i="1"/>
  <c r="AE933" i="1"/>
  <c r="BE932" i="1"/>
  <c r="BB932" i="1"/>
  <c r="AE932" i="1"/>
  <c r="BE931" i="1"/>
  <c r="AL931" i="1" s="1"/>
  <c r="AM931" i="1" s="1"/>
  <c r="BB931" i="1"/>
  <c r="AE931" i="1"/>
  <c r="BE930" i="1"/>
  <c r="AF930" i="1" s="1"/>
  <c r="AH930" i="1" s="1"/>
  <c r="AI930" i="1" s="1"/>
  <c r="BB930" i="1"/>
  <c r="AE930" i="1"/>
  <c r="BE929" i="1"/>
  <c r="BB929" i="1"/>
  <c r="AE929" i="1"/>
  <c r="BE928" i="1"/>
  <c r="BD928" i="1" s="1"/>
  <c r="AJ928" i="1" s="1"/>
  <c r="AK928" i="1" s="1"/>
  <c r="BB928" i="1"/>
  <c r="AE928" i="1"/>
  <c r="BE927" i="1"/>
  <c r="AF927" i="1" s="1"/>
  <c r="AH927" i="1" s="1"/>
  <c r="AI927" i="1" s="1"/>
  <c r="BB927" i="1"/>
  <c r="AE927" i="1"/>
  <c r="BE926" i="1"/>
  <c r="BD926" i="1" s="1"/>
  <c r="AJ926" i="1" s="1"/>
  <c r="AK926" i="1" s="1"/>
  <c r="BB926" i="1"/>
  <c r="AE926" i="1"/>
  <c r="BE925" i="1"/>
  <c r="BB925" i="1"/>
  <c r="AE925" i="1"/>
  <c r="BE924" i="1"/>
  <c r="BB924" i="1"/>
  <c r="AE924" i="1"/>
  <c r="BE923" i="1"/>
  <c r="AF923" i="1" s="1"/>
  <c r="AH923" i="1" s="1"/>
  <c r="AI923" i="1" s="1"/>
  <c r="BB923" i="1"/>
  <c r="AE923" i="1"/>
  <c r="BE922" i="1"/>
  <c r="BB922" i="1"/>
  <c r="AE922" i="1"/>
  <c r="BE921" i="1"/>
  <c r="BB921" i="1"/>
  <c r="AE921" i="1"/>
  <c r="BE920" i="1"/>
  <c r="BB920" i="1"/>
  <c r="AE920" i="1"/>
  <c r="BE919" i="1"/>
  <c r="AF919" i="1" s="1"/>
  <c r="AH919" i="1" s="1"/>
  <c r="AI919" i="1" s="1"/>
  <c r="BB919" i="1"/>
  <c r="AE919" i="1"/>
  <c r="BE918" i="1"/>
  <c r="BB918" i="1"/>
  <c r="AE918" i="1"/>
  <c r="BE917" i="1"/>
  <c r="BB917" i="1"/>
  <c r="AE917" i="1"/>
  <c r="BE916" i="1"/>
  <c r="BB916" i="1"/>
  <c r="AE916" i="1"/>
  <c r="BE915" i="1"/>
  <c r="AL915" i="1" s="1"/>
  <c r="AM915" i="1" s="1"/>
  <c r="BB915" i="1"/>
  <c r="AE915" i="1"/>
  <c r="BE914" i="1"/>
  <c r="BB914" i="1"/>
  <c r="AE914" i="1"/>
  <c r="BE913" i="1"/>
  <c r="BB913" i="1"/>
  <c r="AE913" i="1"/>
  <c r="BE912" i="1"/>
  <c r="BF912" i="1" s="1"/>
  <c r="BB912" i="1"/>
  <c r="AE912" i="1"/>
  <c r="BE911" i="1"/>
  <c r="AL911" i="1" s="1"/>
  <c r="AM911" i="1" s="1"/>
  <c r="BB911" i="1"/>
  <c r="AE911" i="1"/>
  <c r="BE910" i="1"/>
  <c r="AF910" i="1" s="1"/>
  <c r="AH910" i="1" s="1"/>
  <c r="AI910" i="1" s="1"/>
  <c r="BB910" i="1"/>
  <c r="AE910" i="1"/>
  <c r="BE909" i="1"/>
  <c r="BD909" i="1" s="1"/>
  <c r="AJ909" i="1" s="1"/>
  <c r="AK909" i="1" s="1"/>
  <c r="BB909" i="1"/>
  <c r="AE909" i="1"/>
  <c r="BE908" i="1"/>
  <c r="BD908" i="1" s="1"/>
  <c r="AJ908" i="1" s="1"/>
  <c r="AK908" i="1" s="1"/>
  <c r="BB908" i="1"/>
  <c r="AE908" i="1"/>
  <c r="BE907" i="1"/>
  <c r="BB907" i="1"/>
  <c r="AE907" i="1"/>
  <c r="BE906" i="1"/>
  <c r="BF906" i="1" s="1"/>
  <c r="BB906" i="1"/>
  <c r="AE906" i="1"/>
  <c r="BE905" i="1"/>
  <c r="BB905" i="1"/>
  <c r="AE905" i="1"/>
  <c r="BE904" i="1"/>
  <c r="BB904" i="1"/>
  <c r="AE904" i="1"/>
  <c r="BE903" i="1"/>
  <c r="AF903" i="1" s="1"/>
  <c r="AH903" i="1" s="1"/>
  <c r="AI903" i="1" s="1"/>
  <c r="BB903" i="1"/>
  <c r="AE903" i="1"/>
  <c r="BE902" i="1"/>
  <c r="BD902" i="1" s="1"/>
  <c r="AJ902" i="1" s="1"/>
  <c r="AK902" i="1" s="1"/>
  <c r="BB902" i="1"/>
  <c r="AE902" i="1"/>
  <c r="BE901" i="1"/>
  <c r="BB901" i="1"/>
  <c r="AE901" i="1"/>
  <c r="BE900" i="1"/>
  <c r="BD900" i="1" s="1"/>
  <c r="AJ900" i="1" s="1"/>
  <c r="AK900" i="1" s="1"/>
  <c r="BB900" i="1"/>
  <c r="AE900" i="1"/>
  <c r="BE899" i="1"/>
  <c r="AL899" i="1" s="1"/>
  <c r="AM899" i="1" s="1"/>
  <c r="BB899" i="1"/>
  <c r="AE899" i="1"/>
  <c r="BE898" i="1"/>
  <c r="BB898" i="1"/>
  <c r="AE898" i="1"/>
  <c r="BE897" i="1"/>
  <c r="BD897" i="1" s="1"/>
  <c r="AJ897" i="1" s="1"/>
  <c r="AK897" i="1" s="1"/>
  <c r="BB897" i="1"/>
  <c r="AE897" i="1"/>
  <c r="BE896" i="1"/>
  <c r="BB896" i="1"/>
  <c r="AE896" i="1"/>
  <c r="BE895" i="1"/>
  <c r="BB895" i="1"/>
  <c r="AE895" i="1"/>
  <c r="BE894" i="1"/>
  <c r="BF894" i="1" s="1"/>
  <c r="BB894" i="1"/>
  <c r="AE894" i="1"/>
  <c r="BE893" i="1"/>
  <c r="BB893" i="1"/>
  <c r="AE893" i="1"/>
  <c r="BE892" i="1"/>
  <c r="AL892" i="1" s="1"/>
  <c r="AM892" i="1" s="1"/>
  <c r="BB892" i="1"/>
  <c r="AE892" i="1"/>
  <c r="BE891" i="1"/>
  <c r="AF891" i="1" s="1"/>
  <c r="BB891" i="1"/>
  <c r="AE891" i="1"/>
  <c r="BE890" i="1"/>
  <c r="BF890" i="1" s="1"/>
  <c r="BB890" i="1"/>
  <c r="AE890" i="1"/>
  <c r="BE889" i="1"/>
  <c r="BB889" i="1"/>
  <c r="AE889" i="1"/>
  <c r="BE888" i="1"/>
  <c r="AL888" i="1" s="1"/>
  <c r="AM888" i="1" s="1"/>
  <c r="BB888" i="1"/>
  <c r="AE888" i="1"/>
  <c r="BE887" i="1"/>
  <c r="BB887" i="1"/>
  <c r="AE887" i="1"/>
  <c r="BE886" i="1"/>
  <c r="BB886" i="1"/>
  <c r="AE886" i="1"/>
  <c r="BE885" i="1"/>
  <c r="BB885" i="1"/>
  <c r="AE885" i="1"/>
  <c r="BE884" i="1"/>
  <c r="AF884" i="1" s="1"/>
  <c r="BB884" i="1"/>
  <c r="AE884" i="1"/>
  <c r="BE883" i="1"/>
  <c r="BB883" i="1"/>
  <c r="AE883" i="1"/>
  <c r="BE882" i="1"/>
  <c r="BF882" i="1" s="1"/>
  <c r="BB882" i="1"/>
  <c r="AE882" i="1"/>
  <c r="BE881" i="1"/>
  <c r="BB881" i="1"/>
  <c r="AE881" i="1"/>
  <c r="BE880" i="1"/>
  <c r="BD880" i="1" s="1"/>
  <c r="AJ880" i="1" s="1"/>
  <c r="AK880" i="1" s="1"/>
  <c r="BB880" i="1"/>
  <c r="AE880" i="1"/>
  <c r="BE879" i="1"/>
  <c r="BF879" i="1" s="1"/>
  <c r="BB879" i="1"/>
  <c r="AE879" i="1"/>
  <c r="BE878" i="1"/>
  <c r="BD878" i="1" s="1"/>
  <c r="AJ878" i="1" s="1"/>
  <c r="AK878" i="1" s="1"/>
  <c r="BB878" i="1"/>
  <c r="AE878" i="1"/>
  <c r="BE877" i="1"/>
  <c r="BD877" i="1" s="1"/>
  <c r="AJ877" i="1" s="1"/>
  <c r="AK877" i="1" s="1"/>
  <c r="BB877" i="1"/>
  <c r="AE877" i="1"/>
  <c r="BE876" i="1"/>
  <c r="BB876" i="1"/>
  <c r="AE876" i="1"/>
  <c r="BE875" i="1"/>
  <c r="BD875" i="1" s="1"/>
  <c r="AJ875" i="1" s="1"/>
  <c r="AK875" i="1" s="1"/>
  <c r="BB875" i="1"/>
  <c r="AE875" i="1"/>
  <c r="BE874" i="1"/>
  <c r="BB874" i="1"/>
  <c r="AE874" i="1"/>
  <c r="BE873" i="1"/>
  <c r="AL873" i="1" s="1"/>
  <c r="AM873" i="1" s="1"/>
  <c r="BB873" i="1"/>
  <c r="AE873" i="1"/>
  <c r="BE872" i="1"/>
  <c r="BB872" i="1"/>
  <c r="AE872" i="1"/>
  <c r="BE871" i="1"/>
  <c r="BD871" i="1" s="1"/>
  <c r="AJ871" i="1" s="1"/>
  <c r="AK871" i="1" s="1"/>
  <c r="BB871" i="1"/>
  <c r="AE871" i="1"/>
  <c r="BE870" i="1"/>
  <c r="AL870" i="1" s="1"/>
  <c r="AM870" i="1" s="1"/>
  <c r="BB870" i="1"/>
  <c r="AE870" i="1"/>
  <c r="BE869" i="1"/>
  <c r="BF869" i="1" s="1"/>
  <c r="BB869" i="1"/>
  <c r="AE869" i="1"/>
  <c r="BE868" i="1"/>
  <c r="AL868" i="1" s="1"/>
  <c r="AM868" i="1" s="1"/>
  <c r="BB868" i="1"/>
  <c r="AE868" i="1"/>
  <c r="BE867" i="1"/>
  <c r="BB867" i="1"/>
  <c r="AE867" i="1"/>
  <c r="BE866" i="1"/>
  <c r="BF866" i="1" s="1"/>
  <c r="BB866" i="1"/>
  <c r="AE866" i="1"/>
  <c r="BE865" i="1"/>
  <c r="BB865" i="1"/>
  <c r="AE865" i="1"/>
  <c r="BE864" i="1"/>
  <c r="AL864" i="1" s="1"/>
  <c r="AM864" i="1" s="1"/>
  <c r="BB864" i="1"/>
  <c r="AE864" i="1"/>
  <c r="BE863" i="1"/>
  <c r="BB863" i="1"/>
  <c r="AE863" i="1"/>
  <c r="BE862" i="1"/>
  <c r="BD862" i="1" s="1"/>
  <c r="AJ862" i="1" s="1"/>
  <c r="AK862" i="1" s="1"/>
  <c r="BB862" i="1"/>
  <c r="AE862" i="1"/>
  <c r="BE861" i="1"/>
  <c r="BD861" i="1" s="1"/>
  <c r="AJ861" i="1" s="1"/>
  <c r="AK861" i="1" s="1"/>
  <c r="BB861" i="1"/>
  <c r="AE861" i="1"/>
  <c r="BE860" i="1"/>
  <c r="AL860" i="1" s="1"/>
  <c r="AM860" i="1" s="1"/>
  <c r="BB860" i="1"/>
  <c r="AE860" i="1"/>
  <c r="BE859" i="1"/>
  <c r="BB859" i="1"/>
  <c r="AE859" i="1"/>
  <c r="BE858" i="1"/>
  <c r="BD858" i="1" s="1"/>
  <c r="AJ858" i="1" s="1"/>
  <c r="AK858" i="1" s="1"/>
  <c r="BB858" i="1"/>
  <c r="AE858" i="1"/>
  <c r="BE857" i="1"/>
  <c r="BB857" i="1"/>
  <c r="AE857" i="1"/>
  <c r="BE856" i="1"/>
  <c r="BB856" i="1"/>
  <c r="AE856" i="1"/>
  <c r="BE855" i="1"/>
  <c r="BB855" i="1"/>
  <c r="AE855" i="1"/>
  <c r="BE854" i="1"/>
  <c r="BB854" i="1"/>
  <c r="AE854" i="1"/>
  <c r="BE853" i="1"/>
  <c r="BB853" i="1"/>
  <c r="AE853" i="1"/>
  <c r="BE852" i="1"/>
  <c r="BB852" i="1"/>
  <c r="AE852" i="1"/>
  <c r="BE851" i="1"/>
  <c r="BB851" i="1"/>
  <c r="AE851" i="1"/>
  <c r="BE850" i="1"/>
  <c r="AL850" i="1" s="1"/>
  <c r="AM850" i="1" s="1"/>
  <c r="BB850" i="1"/>
  <c r="AE850" i="1"/>
  <c r="BE849" i="1"/>
  <c r="BB849" i="1"/>
  <c r="AE849" i="1"/>
  <c r="BE848" i="1"/>
  <c r="BB848" i="1"/>
  <c r="AE848" i="1"/>
  <c r="BE847" i="1"/>
  <c r="BD847" i="1" s="1"/>
  <c r="AJ847" i="1" s="1"/>
  <c r="AK847" i="1" s="1"/>
  <c r="BB847" i="1"/>
  <c r="AE847" i="1"/>
  <c r="BE846" i="1"/>
  <c r="BB846" i="1"/>
  <c r="AE846" i="1"/>
  <c r="BE845" i="1"/>
  <c r="AF845" i="1" s="1"/>
  <c r="AH845" i="1" s="1"/>
  <c r="AI845" i="1" s="1"/>
  <c r="BB845" i="1"/>
  <c r="AE845" i="1"/>
  <c r="BE844" i="1"/>
  <c r="BB844" i="1"/>
  <c r="AE844" i="1"/>
  <c r="BE843" i="1"/>
  <c r="AF843" i="1" s="1"/>
  <c r="AH843" i="1" s="1"/>
  <c r="AI843" i="1" s="1"/>
  <c r="BB843" i="1"/>
  <c r="AE843" i="1"/>
  <c r="BE842" i="1"/>
  <c r="AL842" i="1" s="1"/>
  <c r="AM842" i="1" s="1"/>
  <c r="BB842" i="1"/>
  <c r="AE842" i="1"/>
  <c r="BE841" i="1"/>
  <c r="BF841" i="1" s="1"/>
  <c r="BB841" i="1"/>
  <c r="AE841" i="1"/>
  <c r="BE840" i="1"/>
  <c r="BB840" i="1"/>
  <c r="AE840" i="1"/>
  <c r="BE839" i="1"/>
  <c r="AF839" i="1" s="1"/>
  <c r="AH839" i="1" s="1"/>
  <c r="AI839" i="1" s="1"/>
  <c r="BB839" i="1"/>
  <c r="AE839" i="1"/>
  <c r="BE838" i="1"/>
  <c r="AL838" i="1" s="1"/>
  <c r="AM838" i="1" s="1"/>
  <c r="BB838" i="1"/>
  <c r="AE838" i="1"/>
  <c r="BE837" i="1"/>
  <c r="AF837" i="1" s="1"/>
  <c r="AH837" i="1" s="1"/>
  <c r="AI837" i="1" s="1"/>
  <c r="BB837" i="1"/>
  <c r="AE837" i="1"/>
  <c r="BE836" i="1"/>
  <c r="BB836" i="1"/>
  <c r="AE836" i="1"/>
  <c r="BE835" i="1"/>
  <c r="BB835" i="1"/>
  <c r="AE835" i="1"/>
  <c r="BE834" i="1"/>
  <c r="BB834" i="1"/>
  <c r="AE834" i="1"/>
  <c r="BE833" i="1"/>
  <c r="AF833" i="1" s="1"/>
  <c r="AH833" i="1" s="1"/>
  <c r="AI833" i="1" s="1"/>
  <c r="BB833" i="1"/>
  <c r="AE833" i="1"/>
  <c r="BE832" i="1"/>
  <c r="AF832" i="1" s="1"/>
  <c r="AH832" i="1" s="1"/>
  <c r="AI832" i="1" s="1"/>
  <c r="BB832" i="1"/>
  <c r="AE832" i="1"/>
  <c r="BE831" i="1"/>
  <c r="BB831" i="1"/>
  <c r="AE831" i="1"/>
  <c r="BE830" i="1"/>
  <c r="BB830" i="1"/>
  <c r="AE830" i="1"/>
  <c r="BE829" i="1"/>
  <c r="BB829" i="1"/>
  <c r="AE829" i="1"/>
  <c r="BE828" i="1"/>
  <c r="AF828" i="1" s="1"/>
  <c r="AH828" i="1" s="1"/>
  <c r="AI828" i="1" s="1"/>
  <c r="BB828" i="1"/>
  <c r="AE828" i="1"/>
  <c r="BE827" i="1"/>
  <c r="BB827" i="1"/>
  <c r="AE827" i="1"/>
  <c r="BE826" i="1"/>
  <c r="AF826" i="1" s="1"/>
  <c r="AH826" i="1" s="1"/>
  <c r="AI826" i="1" s="1"/>
  <c r="BB826" i="1"/>
  <c r="AE826" i="1"/>
  <c r="BE825" i="1"/>
  <c r="AF825" i="1" s="1"/>
  <c r="AH825" i="1" s="1"/>
  <c r="AI825" i="1" s="1"/>
  <c r="BB825" i="1"/>
  <c r="AE825" i="1"/>
  <c r="BE824" i="1"/>
  <c r="BB824" i="1"/>
  <c r="AE824" i="1"/>
  <c r="BE823" i="1"/>
  <c r="BB823" i="1"/>
  <c r="AE823" i="1"/>
  <c r="BE822" i="1"/>
  <c r="BB822" i="1"/>
  <c r="AE822" i="1"/>
  <c r="BE821" i="1"/>
  <c r="AL821" i="1" s="1"/>
  <c r="AM821" i="1" s="1"/>
  <c r="BB821" i="1"/>
  <c r="AE821" i="1"/>
  <c r="BE820" i="1"/>
  <c r="BB820" i="1"/>
  <c r="AE820" i="1"/>
  <c r="BE819" i="1"/>
  <c r="BD819" i="1" s="1"/>
  <c r="AJ819" i="1" s="1"/>
  <c r="AK819" i="1" s="1"/>
  <c r="BB819" i="1"/>
  <c r="AE819" i="1"/>
  <c r="BE818" i="1"/>
  <c r="BD818" i="1" s="1"/>
  <c r="AJ818" i="1" s="1"/>
  <c r="AK818" i="1" s="1"/>
  <c r="BB818" i="1"/>
  <c r="AE818" i="1"/>
  <c r="BE817" i="1"/>
  <c r="BB817" i="1"/>
  <c r="AE817" i="1"/>
  <c r="BE816" i="1"/>
  <c r="BB816" i="1"/>
  <c r="AE816" i="1"/>
  <c r="BE815" i="1"/>
  <c r="AF815" i="1" s="1"/>
  <c r="AH815" i="1" s="1"/>
  <c r="AI815" i="1" s="1"/>
  <c r="BB815" i="1"/>
  <c r="AE815" i="1"/>
  <c r="BE814" i="1"/>
  <c r="AL814" i="1" s="1"/>
  <c r="AM814" i="1" s="1"/>
  <c r="BB814" i="1"/>
  <c r="AE814" i="1"/>
  <c r="BE813" i="1"/>
  <c r="AL813" i="1" s="1"/>
  <c r="AM813" i="1" s="1"/>
  <c r="BB813" i="1"/>
  <c r="AE813" i="1"/>
  <c r="BE812" i="1"/>
  <c r="BD812" i="1" s="1"/>
  <c r="AJ812" i="1" s="1"/>
  <c r="AK812" i="1" s="1"/>
  <c r="BB812" i="1"/>
  <c r="AE812" i="1"/>
  <c r="BE811" i="1"/>
  <c r="BF811" i="1" s="1"/>
  <c r="BB811" i="1"/>
  <c r="AE811" i="1"/>
  <c r="BE810" i="1"/>
  <c r="BB810" i="1"/>
  <c r="AE810" i="1"/>
  <c r="BE809" i="1"/>
  <c r="BB809" i="1"/>
  <c r="AE809" i="1"/>
  <c r="BE808" i="1"/>
  <c r="BB808" i="1"/>
  <c r="AE808" i="1"/>
  <c r="BE807" i="1"/>
  <c r="BB807" i="1"/>
  <c r="AE807" i="1"/>
  <c r="BE806" i="1"/>
  <c r="AL806" i="1" s="1"/>
  <c r="AM806" i="1" s="1"/>
  <c r="BB806" i="1"/>
  <c r="AE806" i="1"/>
  <c r="BE805" i="1"/>
  <c r="AF805" i="1" s="1"/>
  <c r="BB805" i="1"/>
  <c r="AE805" i="1"/>
  <c r="BE804" i="1"/>
  <c r="BD804" i="1" s="1"/>
  <c r="AJ804" i="1" s="1"/>
  <c r="AK804" i="1" s="1"/>
  <c r="BB804" i="1"/>
  <c r="AE804" i="1"/>
  <c r="BE803" i="1"/>
  <c r="BB803" i="1"/>
  <c r="AE803" i="1"/>
  <c r="BE802" i="1"/>
  <c r="AL802" i="1" s="1"/>
  <c r="AM802" i="1" s="1"/>
  <c r="BB802" i="1"/>
  <c r="AE802" i="1"/>
  <c r="BE801" i="1"/>
  <c r="AL801" i="1" s="1"/>
  <c r="AM801" i="1" s="1"/>
  <c r="BB801" i="1"/>
  <c r="AE801" i="1"/>
  <c r="BE800" i="1"/>
  <c r="BB800" i="1"/>
  <c r="AE800" i="1"/>
  <c r="BE799" i="1"/>
  <c r="BB799" i="1"/>
  <c r="AE799" i="1"/>
  <c r="BE798" i="1"/>
  <c r="AF798" i="1" s="1"/>
  <c r="AH798" i="1" s="1"/>
  <c r="AI798" i="1" s="1"/>
  <c r="BB798" i="1"/>
  <c r="AE798" i="1"/>
  <c r="BE797" i="1"/>
  <c r="AL797" i="1" s="1"/>
  <c r="AM797" i="1" s="1"/>
  <c r="BB797" i="1"/>
  <c r="AE797" i="1"/>
  <c r="BE796" i="1"/>
  <c r="BD796" i="1" s="1"/>
  <c r="AJ796" i="1" s="1"/>
  <c r="AK796" i="1" s="1"/>
  <c r="BB796" i="1"/>
  <c r="AE796" i="1"/>
  <c r="BE795" i="1"/>
  <c r="BB795" i="1"/>
  <c r="AE795" i="1"/>
  <c r="BE794" i="1"/>
  <c r="BB794" i="1"/>
  <c r="AE794" i="1"/>
  <c r="BE793" i="1"/>
  <c r="BB793" i="1"/>
  <c r="AE793" i="1"/>
  <c r="BE792" i="1"/>
  <c r="BD792" i="1" s="1"/>
  <c r="AJ792" i="1" s="1"/>
  <c r="AK792" i="1" s="1"/>
  <c r="BB792" i="1"/>
  <c r="AE792" i="1"/>
  <c r="BE791" i="1"/>
  <c r="BF791" i="1" s="1"/>
  <c r="BB791" i="1"/>
  <c r="AE791" i="1"/>
  <c r="BE790" i="1"/>
  <c r="BB790" i="1"/>
  <c r="AE790" i="1"/>
  <c r="BE789" i="1"/>
  <c r="BB789" i="1"/>
  <c r="AE789" i="1"/>
  <c r="BE788" i="1"/>
  <c r="BD788" i="1" s="1"/>
  <c r="AJ788" i="1" s="1"/>
  <c r="AK788" i="1" s="1"/>
  <c r="BB788" i="1"/>
  <c r="AE788" i="1"/>
  <c r="BE787" i="1"/>
  <c r="BB787" i="1"/>
  <c r="AE787" i="1"/>
  <c r="BE786" i="1"/>
  <c r="BB786" i="1"/>
  <c r="AE786" i="1"/>
  <c r="BE785" i="1"/>
  <c r="BB785" i="1"/>
  <c r="AE785" i="1"/>
  <c r="BE784" i="1"/>
  <c r="BF784" i="1" s="1"/>
  <c r="BB784" i="1"/>
  <c r="AE784" i="1"/>
  <c r="BE783" i="1"/>
  <c r="BD783" i="1" s="1"/>
  <c r="AJ783" i="1" s="1"/>
  <c r="AK783" i="1" s="1"/>
  <c r="BB783" i="1"/>
  <c r="AE783" i="1"/>
  <c r="BE782" i="1"/>
  <c r="BD782" i="1" s="1"/>
  <c r="AJ782" i="1" s="1"/>
  <c r="AK782" i="1" s="1"/>
  <c r="BB782" i="1"/>
  <c r="AE782" i="1"/>
  <c r="BE781" i="1"/>
  <c r="BD781" i="1" s="1"/>
  <c r="AJ781" i="1" s="1"/>
  <c r="AK781" i="1" s="1"/>
  <c r="BB781" i="1"/>
  <c r="AE781" i="1"/>
  <c r="BE780" i="1"/>
  <c r="BF780" i="1" s="1"/>
  <c r="BB780" i="1"/>
  <c r="AE780" i="1"/>
  <c r="BE779" i="1"/>
  <c r="BD779" i="1" s="1"/>
  <c r="AJ779" i="1" s="1"/>
  <c r="AK779" i="1" s="1"/>
  <c r="BB779" i="1"/>
  <c r="AE779" i="1"/>
  <c r="BE778" i="1"/>
  <c r="BB778" i="1"/>
  <c r="AE778" i="1"/>
  <c r="BE777" i="1"/>
  <c r="BB777" i="1"/>
  <c r="AE777" i="1"/>
  <c r="BE776" i="1"/>
  <c r="BF776" i="1" s="1"/>
  <c r="BB776" i="1"/>
  <c r="AE776" i="1"/>
  <c r="BE775" i="1"/>
  <c r="BB775" i="1"/>
  <c r="AE775" i="1"/>
  <c r="BE774" i="1"/>
  <c r="BB774" i="1"/>
  <c r="AE774" i="1"/>
  <c r="BE773" i="1"/>
  <c r="BB773" i="1"/>
  <c r="AE773" i="1"/>
  <c r="BE772" i="1"/>
  <c r="BB772" i="1"/>
  <c r="AE772" i="1"/>
  <c r="BE771" i="1"/>
  <c r="BD771" i="1" s="1"/>
  <c r="AJ771" i="1" s="1"/>
  <c r="AK771" i="1" s="1"/>
  <c r="BB771" i="1"/>
  <c r="AE771" i="1"/>
  <c r="BE770" i="1"/>
  <c r="BB770" i="1"/>
  <c r="AE770" i="1"/>
  <c r="BE769" i="1"/>
  <c r="BF769" i="1" s="1"/>
  <c r="BB769" i="1"/>
  <c r="AE769" i="1"/>
  <c r="BE768" i="1"/>
  <c r="BB768" i="1"/>
  <c r="AE768" i="1"/>
  <c r="BE767" i="1"/>
  <c r="BD767" i="1" s="1"/>
  <c r="AJ767" i="1" s="1"/>
  <c r="AK767" i="1" s="1"/>
  <c r="BB767" i="1"/>
  <c r="AE767" i="1"/>
  <c r="BE766" i="1"/>
  <c r="BD766" i="1" s="1"/>
  <c r="AJ766" i="1" s="1"/>
  <c r="AK766" i="1" s="1"/>
  <c r="BB766" i="1"/>
  <c r="AE766" i="1"/>
  <c r="BE765" i="1"/>
  <c r="BD765" i="1" s="1"/>
  <c r="AJ765" i="1" s="1"/>
  <c r="AK765" i="1" s="1"/>
  <c r="BB765" i="1"/>
  <c r="AE765" i="1"/>
  <c r="BE764" i="1"/>
  <c r="BB764" i="1"/>
  <c r="AE764" i="1"/>
  <c r="BE763" i="1"/>
  <c r="BD763" i="1" s="1"/>
  <c r="AJ763" i="1" s="1"/>
  <c r="AK763" i="1" s="1"/>
  <c r="BB763" i="1"/>
  <c r="AE763" i="1"/>
  <c r="BE762" i="1"/>
  <c r="BD762" i="1" s="1"/>
  <c r="AJ762" i="1" s="1"/>
  <c r="AK762" i="1" s="1"/>
  <c r="BB762" i="1"/>
  <c r="AE762" i="1"/>
  <c r="BE761" i="1"/>
  <c r="BB761" i="1"/>
  <c r="AE761" i="1"/>
  <c r="BE760" i="1"/>
  <c r="BB760" i="1"/>
  <c r="AE760" i="1"/>
  <c r="BE759" i="1"/>
  <c r="BD759" i="1" s="1"/>
  <c r="AJ759" i="1" s="1"/>
  <c r="AK759" i="1" s="1"/>
  <c r="BB759" i="1"/>
  <c r="AE759" i="1"/>
  <c r="BE758" i="1"/>
  <c r="BD758" i="1" s="1"/>
  <c r="AJ758" i="1" s="1"/>
  <c r="AK758" i="1" s="1"/>
  <c r="BB758" i="1"/>
  <c r="AE758" i="1"/>
  <c r="BE757" i="1"/>
  <c r="BB757" i="1"/>
  <c r="AE757" i="1"/>
  <c r="BE756" i="1"/>
  <c r="BB756" i="1"/>
  <c r="AE756" i="1"/>
  <c r="BE755" i="1"/>
  <c r="BB755" i="1"/>
  <c r="AE755" i="1"/>
  <c r="BE754" i="1"/>
  <c r="BB754" i="1"/>
  <c r="AE754" i="1"/>
  <c r="BE753" i="1"/>
  <c r="BB753" i="1"/>
  <c r="AE753" i="1"/>
  <c r="BE752" i="1"/>
  <c r="BB752" i="1"/>
  <c r="AE752" i="1"/>
  <c r="BE751" i="1"/>
  <c r="BD751" i="1" s="1"/>
  <c r="AJ751" i="1" s="1"/>
  <c r="AK751" i="1" s="1"/>
  <c r="BB751" i="1"/>
  <c r="AE751" i="1"/>
  <c r="BE750" i="1"/>
  <c r="BF750" i="1" s="1"/>
  <c r="BB750" i="1"/>
  <c r="AE750" i="1"/>
  <c r="BE749" i="1"/>
  <c r="BB749" i="1"/>
  <c r="AE749" i="1"/>
  <c r="BE748" i="1"/>
  <c r="BB748" i="1"/>
  <c r="AE748" i="1"/>
  <c r="BE747" i="1"/>
  <c r="BD747" i="1" s="1"/>
  <c r="AJ747" i="1" s="1"/>
  <c r="AK747" i="1" s="1"/>
  <c r="BB747" i="1"/>
  <c r="AE747" i="1"/>
  <c r="BE746" i="1"/>
  <c r="BD746" i="1" s="1"/>
  <c r="AJ746" i="1" s="1"/>
  <c r="AK746" i="1" s="1"/>
  <c r="BB746" i="1"/>
  <c r="AE746" i="1"/>
  <c r="BE745" i="1"/>
  <c r="BD745" i="1" s="1"/>
  <c r="AJ745" i="1" s="1"/>
  <c r="AK745" i="1" s="1"/>
  <c r="BB745" i="1"/>
  <c r="AE745" i="1"/>
  <c r="BE744" i="1"/>
  <c r="BB744" i="1"/>
  <c r="AE744" i="1"/>
  <c r="BE743" i="1"/>
  <c r="BD743" i="1" s="1"/>
  <c r="AJ743" i="1" s="1"/>
  <c r="AK743" i="1" s="1"/>
  <c r="BB743" i="1"/>
  <c r="AE743" i="1"/>
  <c r="BE742" i="1"/>
  <c r="BD742" i="1" s="1"/>
  <c r="AJ742" i="1" s="1"/>
  <c r="AK742" i="1" s="1"/>
  <c r="BB742" i="1"/>
  <c r="AE742" i="1"/>
  <c r="BE741" i="1"/>
  <c r="BD741" i="1" s="1"/>
  <c r="AJ741" i="1" s="1"/>
  <c r="AK741" i="1" s="1"/>
  <c r="BB741" i="1"/>
  <c r="AE741" i="1"/>
  <c r="BE740" i="1"/>
  <c r="BB740" i="1"/>
  <c r="AE740" i="1"/>
  <c r="BE739" i="1"/>
  <c r="BB739" i="1"/>
  <c r="AE739" i="1"/>
  <c r="BE738" i="1"/>
  <c r="BD738" i="1" s="1"/>
  <c r="AJ738" i="1" s="1"/>
  <c r="AK738" i="1" s="1"/>
  <c r="BB738" i="1"/>
  <c r="AE738" i="1"/>
  <c r="BE737" i="1"/>
  <c r="BD737" i="1" s="1"/>
  <c r="AJ737" i="1" s="1"/>
  <c r="AK737" i="1" s="1"/>
  <c r="BB737" i="1"/>
  <c r="AE737" i="1"/>
  <c r="BE736" i="1"/>
  <c r="AF736" i="1" s="1"/>
  <c r="BB736" i="1"/>
  <c r="AE736" i="1"/>
  <c r="BE735" i="1"/>
  <c r="BF735" i="1" s="1"/>
  <c r="BB735" i="1"/>
  <c r="AE735" i="1"/>
  <c r="BE734" i="1"/>
  <c r="BB734" i="1"/>
  <c r="AE734" i="1"/>
  <c r="BE733" i="1"/>
  <c r="AL733" i="1" s="1"/>
  <c r="AM733" i="1" s="1"/>
  <c r="BB733" i="1"/>
  <c r="AE733" i="1"/>
  <c r="BE732" i="1"/>
  <c r="AF732" i="1" s="1"/>
  <c r="AH732" i="1" s="1"/>
  <c r="AI732" i="1" s="1"/>
  <c r="BB732" i="1"/>
  <c r="AE732" i="1"/>
  <c r="BE731" i="1"/>
  <c r="BB731" i="1"/>
  <c r="AE731" i="1"/>
  <c r="BE730" i="1"/>
  <c r="AL730" i="1" s="1"/>
  <c r="AM730" i="1" s="1"/>
  <c r="BB730" i="1"/>
  <c r="AE730" i="1"/>
  <c r="BE729" i="1"/>
  <c r="BD729" i="1" s="1"/>
  <c r="AJ729" i="1" s="1"/>
  <c r="AK729" i="1" s="1"/>
  <c r="BB729" i="1"/>
  <c r="AE729" i="1"/>
  <c r="BE728" i="1"/>
  <c r="AF728" i="1" s="1"/>
  <c r="AH728" i="1" s="1"/>
  <c r="AI728" i="1" s="1"/>
  <c r="BB728" i="1"/>
  <c r="AE728" i="1"/>
  <c r="BE727" i="1"/>
  <c r="BB727" i="1"/>
  <c r="AE727" i="1"/>
  <c r="BE726" i="1"/>
  <c r="AL726" i="1" s="1"/>
  <c r="AM726" i="1" s="1"/>
  <c r="BB726" i="1"/>
  <c r="AE726" i="1"/>
  <c r="BE725" i="1"/>
  <c r="BD725" i="1" s="1"/>
  <c r="AJ725" i="1" s="1"/>
  <c r="AK725" i="1" s="1"/>
  <c r="BB725" i="1"/>
  <c r="AE725" i="1"/>
  <c r="BE724" i="1"/>
  <c r="BB724" i="1"/>
  <c r="AE724" i="1"/>
  <c r="BE723" i="1"/>
  <c r="BB723" i="1"/>
  <c r="AE723" i="1"/>
  <c r="BE722" i="1"/>
  <c r="BD722" i="1" s="1"/>
  <c r="AJ722" i="1" s="1"/>
  <c r="AK722" i="1" s="1"/>
  <c r="BB722" i="1"/>
  <c r="AE722" i="1"/>
  <c r="BE721" i="1"/>
  <c r="BB721" i="1"/>
  <c r="AE721" i="1"/>
  <c r="BE720" i="1"/>
  <c r="BB720" i="1"/>
  <c r="AE720" i="1"/>
  <c r="BE719" i="1"/>
  <c r="AL719" i="1" s="1"/>
  <c r="AM719" i="1" s="1"/>
  <c r="BB719" i="1"/>
  <c r="AE719" i="1"/>
  <c r="BE718" i="1"/>
  <c r="BB718" i="1"/>
  <c r="AE718" i="1"/>
  <c r="BE717" i="1"/>
  <c r="BB717" i="1"/>
  <c r="AE717" i="1"/>
  <c r="BE716" i="1"/>
  <c r="BB716" i="1"/>
  <c r="AE716" i="1"/>
  <c r="BE715" i="1"/>
  <c r="BF715" i="1" s="1"/>
  <c r="BB715" i="1"/>
  <c r="AE715" i="1"/>
  <c r="BE714" i="1"/>
  <c r="BD714" i="1" s="1"/>
  <c r="AJ714" i="1" s="1"/>
  <c r="AK714" i="1" s="1"/>
  <c r="BB714" i="1"/>
  <c r="AE714" i="1"/>
  <c r="BE713" i="1"/>
  <c r="AF713" i="1" s="1"/>
  <c r="AH713" i="1" s="1"/>
  <c r="AI713" i="1" s="1"/>
  <c r="BB713" i="1"/>
  <c r="AE713" i="1"/>
  <c r="BE712" i="1"/>
  <c r="BD712" i="1" s="1"/>
  <c r="AJ712" i="1" s="1"/>
  <c r="AK712" i="1" s="1"/>
  <c r="BB712" i="1"/>
  <c r="AE712" i="1"/>
  <c r="BE711" i="1"/>
  <c r="BF711" i="1" s="1"/>
  <c r="BB711" i="1"/>
  <c r="AE711" i="1"/>
  <c r="BE710" i="1"/>
  <c r="AF710" i="1" s="1"/>
  <c r="AH710" i="1" s="1"/>
  <c r="AI710" i="1" s="1"/>
  <c r="BB710" i="1"/>
  <c r="AE710" i="1"/>
  <c r="BE709" i="1"/>
  <c r="AF709" i="1" s="1"/>
  <c r="AH709" i="1" s="1"/>
  <c r="AI709" i="1" s="1"/>
  <c r="BB709" i="1"/>
  <c r="AE709" i="1"/>
  <c r="BE708" i="1"/>
  <c r="BB708" i="1"/>
  <c r="AE708" i="1"/>
  <c r="BE707" i="1"/>
  <c r="AL707" i="1" s="1"/>
  <c r="AM707" i="1" s="1"/>
  <c r="BB707" i="1"/>
  <c r="AE707" i="1"/>
  <c r="BE706" i="1"/>
  <c r="AF706" i="1" s="1"/>
  <c r="AH706" i="1" s="1"/>
  <c r="AI706" i="1" s="1"/>
  <c r="BB706" i="1"/>
  <c r="AE706" i="1"/>
  <c r="BE705" i="1"/>
  <c r="AL705" i="1" s="1"/>
  <c r="AM705" i="1" s="1"/>
  <c r="BB705" i="1"/>
  <c r="AE705" i="1"/>
  <c r="BE704" i="1"/>
  <c r="BB704" i="1"/>
  <c r="AE704" i="1"/>
  <c r="BE703" i="1"/>
  <c r="AF703" i="1" s="1"/>
  <c r="AH703" i="1" s="1"/>
  <c r="AI703" i="1" s="1"/>
  <c r="BB703" i="1"/>
  <c r="AE703" i="1"/>
  <c r="BE702" i="1"/>
  <c r="BF702" i="1" s="1"/>
  <c r="BB702" i="1"/>
  <c r="AE702" i="1"/>
  <c r="BE701" i="1"/>
  <c r="BB701" i="1"/>
  <c r="AE701" i="1"/>
  <c r="BE700" i="1"/>
  <c r="BB700" i="1"/>
  <c r="AE700" i="1"/>
  <c r="BE699" i="1"/>
  <c r="BF699" i="1" s="1"/>
  <c r="BB699" i="1"/>
  <c r="AE699" i="1"/>
  <c r="BE698" i="1"/>
  <c r="BB698" i="1"/>
  <c r="AE698" i="1"/>
  <c r="BE697" i="1"/>
  <c r="AF697" i="1" s="1"/>
  <c r="AH697" i="1" s="1"/>
  <c r="AI697" i="1" s="1"/>
  <c r="BB697" i="1"/>
  <c r="AE697" i="1"/>
  <c r="BE696" i="1"/>
  <c r="AL696" i="1" s="1"/>
  <c r="AM696" i="1" s="1"/>
  <c r="BB696" i="1"/>
  <c r="AE696" i="1"/>
  <c r="BE695" i="1"/>
  <c r="BD695" i="1" s="1"/>
  <c r="AJ695" i="1" s="1"/>
  <c r="AK695" i="1" s="1"/>
  <c r="BB695" i="1"/>
  <c r="AE695" i="1"/>
  <c r="BE694" i="1"/>
  <c r="BB694" i="1"/>
  <c r="AE694" i="1"/>
  <c r="BE693" i="1"/>
  <c r="BB693" i="1"/>
  <c r="AE693" i="1"/>
  <c r="BE692" i="1"/>
  <c r="BB692" i="1"/>
  <c r="AE692" i="1"/>
  <c r="BE691" i="1"/>
  <c r="BB691" i="1"/>
  <c r="AE691" i="1"/>
  <c r="BE690" i="1"/>
  <c r="BB690" i="1"/>
  <c r="AE690" i="1"/>
  <c r="BE689" i="1"/>
  <c r="AF689" i="1" s="1"/>
  <c r="AH689" i="1" s="1"/>
  <c r="AI689" i="1" s="1"/>
  <c r="BB689" i="1"/>
  <c r="AE689" i="1"/>
  <c r="BE688" i="1"/>
  <c r="BB688" i="1"/>
  <c r="AE688" i="1"/>
  <c r="BE687" i="1"/>
  <c r="BB687" i="1"/>
  <c r="AE687" i="1"/>
  <c r="BE686" i="1"/>
  <c r="AL686" i="1" s="1"/>
  <c r="AM686" i="1" s="1"/>
  <c r="BB686" i="1"/>
  <c r="AE686" i="1"/>
  <c r="BE685" i="1"/>
  <c r="AF685" i="1" s="1"/>
  <c r="AH685" i="1" s="1"/>
  <c r="AI685" i="1" s="1"/>
  <c r="BB685" i="1"/>
  <c r="AE685" i="1"/>
  <c r="BE684" i="1"/>
  <c r="BB684" i="1"/>
  <c r="AE684" i="1"/>
  <c r="BE683" i="1"/>
  <c r="AF683" i="1" s="1"/>
  <c r="BB683" i="1"/>
  <c r="AE683" i="1"/>
  <c r="BE682" i="1"/>
  <c r="BB682" i="1"/>
  <c r="AE682" i="1"/>
  <c r="BE681" i="1"/>
  <c r="BD681" i="1" s="1"/>
  <c r="AJ681" i="1" s="1"/>
  <c r="AK681" i="1" s="1"/>
  <c r="BB681" i="1"/>
  <c r="AE681" i="1"/>
  <c r="BE680" i="1"/>
  <c r="BB680" i="1"/>
  <c r="AE680" i="1"/>
  <c r="BE679" i="1"/>
  <c r="BB679" i="1"/>
  <c r="AE679" i="1"/>
  <c r="BE678" i="1"/>
  <c r="AF678" i="1" s="1"/>
  <c r="BB678" i="1"/>
  <c r="AE678" i="1"/>
  <c r="BE677" i="1"/>
  <c r="BF677" i="1" s="1"/>
  <c r="BB677" i="1"/>
  <c r="AE677" i="1"/>
  <c r="BE676" i="1"/>
  <c r="BD676" i="1" s="1"/>
  <c r="AJ676" i="1" s="1"/>
  <c r="AK676" i="1" s="1"/>
  <c r="BB676" i="1"/>
  <c r="AE676" i="1"/>
  <c r="BE675" i="1"/>
  <c r="AF675" i="1" s="1"/>
  <c r="AH675" i="1" s="1"/>
  <c r="AI675" i="1" s="1"/>
  <c r="BB675" i="1"/>
  <c r="AE675" i="1"/>
  <c r="BE674" i="1"/>
  <c r="AL674" i="1" s="1"/>
  <c r="AM674" i="1" s="1"/>
  <c r="BB674" i="1"/>
  <c r="AE674" i="1"/>
  <c r="BE673" i="1"/>
  <c r="BD673" i="1" s="1"/>
  <c r="AJ673" i="1" s="1"/>
  <c r="AK673" i="1" s="1"/>
  <c r="BB673" i="1"/>
  <c r="AE673" i="1"/>
  <c r="BF672" i="1"/>
  <c r="BE672" i="1"/>
  <c r="AF672" i="1" s="1"/>
  <c r="AH672" i="1" s="1"/>
  <c r="AI672" i="1" s="1"/>
  <c r="BB672" i="1"/>
  <c r="AE672" i="1"/>
  <c r="BE671" i="1"/>
  <c r="BB671" i="1"/>
  <c r="AE671" i="1"/>
  <c r="BE670" i="1"/>
  <c r="BB670" i="1"/>
  <c r="AE670" i="1"/>
  <c r="BE669" i="1"/>
  <c r="BB669" i="1"/>
  <c r="AE669" i="1"/>
  <c r="BE668" i="1"/>
  <c r="BB668" i="1"/>
  <c r="AE668" i="1"/>
  <c r="BE667" i="1"/>
  <c r="BB667" i="1"/>
  <c r="AE667" i="1"/>
  <c r="BF666" i="1"/>
  <c r="BE666" i="1"/>
  <c r="AF666" i="1" s="1"/>
  <c r="BB666" i="1"/>
  <c r="AE666" i="1"/>
  <c r="BF665" i="1"/>
  <c r="BE665" i="1"/>
  <c r="BD665" i="1" s="1"/>
  <c r="AJ665" i="1" s="1"/>
  <c r="AK665" i="1" s="1"/>
  <c r="BB665" i="1"/>
  <c r="AE665" i="1"/>
  <c r="BE664" i="1"/>
  <c r="BD664" i="1" s="1"/>
  <c r="AJ664" i="1" s="1"/>
  <c r="AK664" i="1" s="1"/>
  <c r="BB664" i="1"/>
  <c r="AE664" i="1"/>
  <c r="BE663" i="1"/>
  <c r="AF663" i="1" s="1"/>
  <c r="AH663" i="1" s="1"/>
  <c r="AI663" i="1" s="1"/>
  <c r="BB663" i="1"/>
  <c r="AE663" i="1"/>
  <c r="BE662" i="1"/>
  <c r="BB662" i="1"/>
  <c r="AE662" i="1"/>
  <c r="BE661" i="1"/>
  <c r="BD661" i="1" s="1"/>
  <c r="AJ661" i="1" s="1"/>
  <c r="AK661" i="1" s="1"/>
  <c r="BB661" i="1"/>
  <c r="AE661" i="1"/>
  <c r="BE660" i="1"/>
  <c r="BB660" i="1"/>
  <c r="AE660" i="1"/>
  <c r="BE659" i="1"/>
  <c r="BB659" i="1"/>
  <c r="AE659" i="1"/>
  <c r="BE658" i="1"/>
  <c r="BB658" i="1"/>
  <c r="AE658" i="1"/>
  <c r="BE657" i="1"/>
  <c r="BB657" i="1"/>
  <c r="AE657" i="1"/>
  <c r="BE656" i="1"/>
  <c r="AL656" i="1" s="1"/>
  <c r="AM656" i="1" s="1"/>
  <c r="BB656" i="1"/>
  <c r="AE656" i="1"/>
  <c r="BE655" i="1"/>
  <c r="AL655" i="1" s="1"/>
  <c r="AM655" i="1" s="1"/>
  <c r="BB655" i="1"/>
  <c r="AE655" i="1"/>
  <c r="BE654" i="1"/>
  <c r="BF654" i="1" s="1"/>
  <c r="BB654" i="1"/>
  <c r="AE654" i="1"/>
  <c r="BE653" i="1"/>
  <c r="BF653" i="1" s="1"/>
  <c r="BB653" i="1"/>
  <c r="AE653" i="1"/>
  <c r="BE652" i="1"/>
  <c r="BB652" i="1"/>
  <c r="AE652" i="1"/>
  <c r="BE651" i="1"/>
  <c r="BF651" i="1" s="1"/>
  <c r="BB651" i="1"/>
  <c r="AE651" i="1"/>
  <c r="BE650" i="1"/>
  <c r="AF650" i="1" s="1"/>
  <c r="BB650" i="1"/>
  <c r="AE650" i="1"/>
  <c r="BE649" i="1"/>
  <c r="BB649" i="1"/>
  <c r="AE649" i="1"/>
  <c r="BE648" i="1"/>
  <c r="BB648" i="1"/>
  <c r="AE648" i="1"/>
  <c r="BE647" i="1"/>
  <c r="AF647" i="1" s="1"/>
  <c r="AH647" i="1" s="1"/>
  <c r="AI647" i="1" s="1"/>
  <c r="BB647" i="1"/>
  <c r="AE647" i="1"/>
  <c r="BE646" i="1"/>
  <c r="BD646" i="1" s="1"/>
  <c r="AJ646" i="1" s="1"/>
  <c r="AK646" i="1" s="1"/>
  <c r="BB646" i="1"/>
  <c r="AE646" i="1"/>
  <c r="BE645" i="1"/>
  <c r="BF645" i="1" s="1"/>
  <c r="BB645" i="1"/>
  <c r="AE645" i="1"/>
  <c r="BE644" i="1"/>
  <c r="AL644" i="1" s="1"/>
  <c r="AM644" i="1" s="1"/>
  <c r="BB644" i="1"/>
  <c r="AE644" i="1"/>
  <c r="BE643" i="1"/>
  <c r="AF643" i="1" s="1"/>
  <c r="AH643" i="1" s="1"/>
  <c r="AI643" i="1" s="1"/>
  <c r="BB643" i="1"/>
  <c r="AE643" i="1"/>
  <c r="BE642" i="1"/>
  <c r="BB642" i="1"/>
  <c r="AE642" i="1"/>
  <c r="BE641" i="1"/>
  <c r="BB641" i="1"/>
  <c r="AE641" i="1"/>
  <c r="BE640" i="1"/>
  <c r="BB640" i="1"/>
  <c r="AE640" i="1"/>
  <c r="BE639" i="1"/>
  <c r="AF639" i="1" s="1"/>
  <c r="AH639" i="1" s="1"/>
  <c r="AI639" i="1" s="1"/>
  <c r="BB639" i="1"/>
  <c r="AE639" i="1"/>
  <c r="BE638" i="1"/>
  <c r="BD638" i="1" s="1"/>
  <c r="AJ638" i="1" s="1"/>
  <c r="AK638" i="1" s="1"/>
  <c r="BB638" i="1"/>
  <c r="AE638" i="1"/>
  <c r="BE637" i="1"/>
  <c r="BF637" i="1" s="1"/>
  <c r="BB637" i="1"/>
  <c r="AE637" i="1"/>
  <c r="BE636" i="1"/>
  <c r="AL636" i="1" s="1"/>
  <c r="AM636" i="1" s="1"/>
  <c r="BB636" i="1"/>
  <c r="AE636" i="1"/>
  <c r="BE635" i="1"/>
  <c r="BB635" i="1"/>
  <c r="AE635" i="1"/>
  <c r="BE634" i="1"/>
  <c r="BD634" i="1" s="1"/>
  <c r="AJ634" i="1" s="1"/>
  <c r="AK634" i="1" s="1"/>
  <c r="BB634" i="1"/>
  <c r="AE634" i="1"/>
  <c r="BE633" i="1"/>
  <c r="BB633" i="1"/>
  <c r="AE633" i="1"/>
  <c r="BE632" i="1"/>
  <c r="AL632" i="1" s="1"/>
  <c r="AM632" i="1" s="1"/>
  <c r="BB632" i="1"/>
  <c r="AE632" i="1"/>
  <c r="BE631" i="1"/>
  <c r="AF631" i="1" s="1"/>
  <c r="AH631" i="1" s="1"/>
  <c r="AI631" i="1" s="1"/>
  <c r="BB631" i="1"/>
  <c r="AE631" i="1"/>
  <c r="BE630" i="1"/>
  <c r="BB630" i="1"/>
  <c r="AE630" i="1"/>
  <c r="BE629" i="1"/>
  <c r="BB629" i="1"/>
  <c r="AE629" i="1"/>
  <c r="BE628" i="1"/>
  <c r="BB628" i="1"/>
  <c r="AE628" i="1"/>
  <c r="BE627" i="1"/>
  <c r="AF627" i="1" s="1"/>
  <c r="AH627" i="1" s="1"/>
  <c r="AI627" i="1" s="1"/>
  <c r="BB627" i="1"/>
  <c r="AE627" i="1"/>
  <c r="BE626" i="1"/>
  <c r="BD626" i="1" s="1"/>
  <c r="AJ626" i="1" s="1"/>
  <c r="AK626" i="1" s="1"/>
  <c r="BB626" i="1"/>
  <c r="AE626" i="1"/>
  <c r="BE625" i="1"/>
  <c r="BF625" i="1" s="1"/>
  <c r="BB625" i="1"/>
  <c r="AE625" i="1"/>
  <c r="BE624" i="1"/>
  <c r="AL624" i="1" s="1"/>
  <c r="AM624" i="1" s="1"/>
  <c r="BB624" i="1"/>
  <c r="AE624" i="1"/>
  <c r="BE623" i="1"/>
  <c r="AF623" i="1" s="1"/>
  <c r="AH623" i="1" s="1"/>
  <c r="AI623" i="1" s="1"/>
  <c r="BB623" i="1"/>
  <c r="AE623" i="1"/>
  <c r="BE622" i="1"/>
  <c r="BB622" i="1"/>
  <c r="AE622" i="1"/>
  <c r="BE621" i="1"/>
  <c r="BF621" i="1" s="1"/>
  <c r="BB621" i="1"/>
  <c r="AE621" i="1"/>
  <c r="BE620" i="1"/>
  <c r="AL620" i="1" s="1"/>
  <c r="AM620" i="1" s="1"/>
  <c r="BB620" i="1"/>
  <c r="AE620" i="1"/>
  <c r="BE619" i="1"/>
  <c r="AF619" i="1" s="1"/>
  <c r="AH619" i="1" s="1"/>
  <c r="AI619" i="1" s="1"/>
  <c r="BB619" i="1"/>
  <c r="AE619" i="1"/>
  <c r="BE618" i="1"/>
  <c r="BB618" i="1"/>
  <c r="AE618" i="1"/>
  <c r="BE617" i="1"/>
  <c r="BF617" i="1" s="1"/>
  <c r="BB617" i="1"/>
  <c r="AE617" i="1"/>
  <c r="BE616" i="1"/>
  <c r="AL616" i="1" s="1"/>
  <c r="AM616" i="1" s="1"/>
  <c r="BB616" i="1"/>
  <c r="AE616" i="1"/>
  <c r="BE615" i="1"/>
  <c r="AF615" i="1" s="1"/>
  <c r="AH615" i="1" s="1"/>
  <c r="AI615" i="1" s="1"/>
  <c r="BB615" i="1"/>
  <c r="AE615" i="1"/>
  <c r="BE614" i="1"/>
  <c r="BD614" i="1" s="1"/>
  <c r="AJ614" i="1" s="1"/>
  <c r="AK614" i="1" s="1"/>
  <c r="BB614" i="1"/>
  <c r="AE614" i="1"/>
  <c r="BE613" i="1"/>
  <c r="BF613" i="1" s="1"/>
  <c r="BB613" i="1"/>
  <c r="AE613" i="1"/>
  <c r="BE612" i="1"/>
  <c r="BD612" i="1" s="1"/>
  <c r="AJ612" i="1" s="1"/>
  <c r="AK612" i="1" s="1"/>
  <c r="BB612" i="1"/>
  <c r="AE612" i="1"/>
  <c r="BE611" i="1"/>
  <c r="AL611" i="1" s="1"/>
  <c r="AM611" i="1" s="1"/>
  <c r="BB611" i="1"/>
  <c r="AE611" i="1"/>
  <c r="BE610" i="1"/>
  <c r="AL610" i="1" s="1"/>
  <c r="AM610" i="1" s="1"/>
  <c r="BB610" i="1"/>
  <c r="AE610" i="1"/>
  <c r="BE609" i="1"/>
  <c r="BF609" i="1" s="1"/>
  <c r="BB609" i="1"/>
  <c r="AE609" i="1"/>
  <c r="BE608" i="1"/>
  <c r="BD608" i="1" s="1"/>
  <c r="AJ608" i="1" s="1"/>
  <c r="AK608" i="1" s="1"/>
  <c r="BB608" i="1"/>
  <c r="AE608" i="1"/>
  <c r="BE607" i="1"/>
  <c r="BB607" i="1"/>
  <c r="AE607" i="1"/>
  <c r="BE606" i="1"/>
  <c r="BB606" i="1"/>
  <c r="AE606" i="1"/>
  <c r="BE605" i="1"/>
  <c r="BB605" i="1"/>
  <c r="AE605" i="1"/>
  <c r="BE604" i="1"/>
  <c r="BD604" i="1" s="1"/>
  <c r="AJ604" i="1" s="1"/>
  <c r="AK604" i="1" s="1"/>
  <c r="BB604" i="1"/>
  <c r="AE604" i="1"/>
  <c r="BE603" i="1"/>
  <c r="AL603" i="1" s="1"/>
  <c r="AM603" i="1" s="1"/>
  <c r="BB603" i="1"/>
  <c r="AE603" i="1"/>
  <c r="BE602" i="1"/>
  <c r="AL602" i="1" s="1"/>
  <c r="AM602" i="1" s="1"/>
  <c r="BB602" i="1"/>
  <c r="AE602" i="1"/>
  <c r="BE601" i="1"/>
  <c r="BB601" i="1"/>
  <c r="AE601" i="1"/>
  <c r="BE600" i="1"/>
  <c r="BD600" i="1" s="1"/>
  <c r="AJ600" i="1" s="1"/>
  <c r="AK600" i="1" s="1"/>
  <c r="BB600" i="1"/>
  <c r="AE600" i="1"/>
  <c r="BE599" i="1"/>
  <c r="AL599" i="1" s="1"/>
  <c r="AM599" i="1" s="1"/>
  <c r="BB599" i="1"/>
  <c r="AE599" i="1"/>
  <c r="BE598" i="1"/>
  <c r="AL598" i="1" s="1"/>
  <c r="AM598" i="1" s="1"/>
  <c r="BB598" i="1"/>
  <c r="AE598" i="1"/>
  <c r="BE597" i="1"/>
  <c r="BB597" i="1"/>
  <c r="AE597" i="1"/>
  <c r="BE596" i="1"/>
  <c r="BD596" i="1" s="1"/>
  <c r="AJ596" i="1" s="1"/>
  <c r="AK596" i="1" s="1"/>
  <c r="BB596" i="1"/>
  <c r="AE596" i="1"/>
  <c r="BE595" i="1"/>
  <c r="BB595" i="1"/>
  <c r="AE595" i="1"/>
  <c r="BE594" i="1"/>
  <c r="BB594" i="1"/>
  <c r="AE594" i="1"/>
  <c r="BE593" i="1"/>
  <c r="AF593" i="1" s="1"/>
  <c r="AH593" i="1" s="1"/>
  <c r="AI593" i="1" s="1"/>
  <c r="BB593" i="1"/>
  <c r="AE593" i="1"/>
  <c r="BE592" i="1"/>
  <c r="BB592" i="1"/>
  <c r="AE592" i="1"/>
  <c r="BE591" i="1"/>
  <c r="AF591" i="1" s="1"/>
  <c r="AH591" i="1" s="1"/>
  <c r="AI591" i="1" s="1"/>
  <c r="BB591" i="1"/>
  <c r="AE591" i="1"/>
  <c r="BE590" i="1"/>
  <c r="BB590" i="1"/>
  <c r="AE590" i="1"/>
  <c r="BE589" i="1"/>
  <c r="AF589" i="1" s="1"/>
  <c r="AH589" i="1" s="1"/>
  <c r="AI589" i="1" s="1"/>
  <c r="BB589" i="1"/>
  <c r="AE589" i="1"/>
  <c r="BE588" i="1"/>
  <c r="BD588" i="1" s="1"/>
  <c r="AJ588" i="1" s="1"/>
  <c r="AK588" i="1" s="1"/>
  <c r="BB588" i="1"/>
  <c r="AE588" i="1"/>
  <c r="BE587" i="1"/>
  <c r="BB587" i="1"/>
  <c r="AE587" i="1"/>
  <c r="BE586" i="1"/>
  <c r="AL586" i="1" s="1"/>
  <c r="AM586" i="1" s="1"/>
  <c r="BB586" i="1"/>
  <c r="AE586" i="1"/>
  <c r="BE585" i="1"/>
  <c r="BB585" i="1"/>
  <c r="AE585" i="1"/>
  <c r="BE584" i="1"/>
  <c r="BD584" i="1" s="1"/>
  <c r="AJ584" i="1" s="1"/>
  <c r="AK584" i="1" s="1"/>
  <c r="BB584" i="1"/>
  <c r="AE584" i="1"/>
  <c r="BE583" i="1"/>
  <c r="BB583" i="1"/>
  <c r="AE583" i="1"/>
  <c r="BE582" i="1"/>
  <c r="BB582" i="1"/>
  <c r="AE582" i="1"/>
  <c r="BE581" i="1"/>
  <c r="BB581" i="1"/>
  <c r="AE581" i="1"/>
  <c r="BE580" i="1"/>
  <c r="BD580" i="1" s="1"/>
  <c r="AJ580" i="1" s="1"/>
  <c r="AK580" i="1" s="1"/>
  <c r="BB580" i="1"/>
  <c r="AE580" i="1"/>
  <c r="BE579" i="1"/>
  <c r="BF579" i="1" s="1"/>
  <c r="BB579" i="1"/>
  <c r="AE579" i="1"/>
  <c r="BE578" i="1"/>
  <c r="BD578" i="1" s="1"/>
  <c r="AJ578" i="1" s="1"/>
  <c r="AK578" i="1" s="1"/>
  <c r="BB578" i="1"/>
  <c r="AE578" i="1"/>
  <c r="BE577" i="1"/>
  <c r="BF577" i="1" s="1"/>
  <c r="BB577" i="1"/>
  <c r="AE577" i="1"/>
  <c r="BE576" i="1"/>
  <c r="BB576" i="1"/>
  <c r="AE576" i="1"/>
  <c r="BE575" i="1"/>
  <c r="BB575" i="1"/>
  <c r="AE575" i="1"/>
  <c r="BE574" i="1"/>
  <c r="BD574" i="1" s="1"/>
  <c r="AJ574" i="1" s="1"/>
  <c r="AK574" i="1" s="1"/>
  <c r="BB574" i="1"/>
  <c r="AE574" i="1"/>
  <c r="BE573" i="1"/>
  <c r="BF573" i="1" s="1"/>
  <c r="BB573" i="1"/>
  <c r="AE573" i="1"/>
  <c r="BE572" i="1"/>
  <c r="BB572" i="1"/>
  <c r="AE572" i="1"/>
  <c r="BE571" i="1"/>
  <c r="BF571" i="1" s="1"/>
  <c r="BB571" i="1"/>
  <c r="AE571" i="1"/>
  <c r="BE570" i="1"/>
  <c r="BD570" i="1" s="1"/>
  <c r="AJ570" i="1" s="1"/>
  <c r="AK570" i="1" s="1"/>
  <c r="BB570" i="1"/>
  <c r="AE570" i="1"/>
  <c r="BE569" i="1"/>
  <c r="BF569" i="1" s="1"/>
  <c r="BB569" i="1"/>
  <c r="AE569" i="1"/>
  <c r="BE568" i="1"/>
  <c r="BB568" i="1"/>
  <c r="AE568" i="1"/>
  <c r="BE567" i="1"/>
  <c r="BB567" i="1"/>
  <c r="AE567" i="1"/>
  <c r="BE566" i="1"/>
  <c r="AF566" i="1" s="1"/>
  <c r="BB566" i="1"/>
  <c r="AE566" i="1"/>
  <c r="BE565" i="1"/>
  <c r="BB565" i="1"/>
  <c r="AE565" i="1"/>
  <c r="BE564" i="1"/>
  <c r="BB564" i="1"/>
  <c r="AE564" i="1"/>
  <c r="BE563" i="1"/>
  <c r="BB563" i="1"/>
  <c r="AE563" i="1"/>
  <c r="BE562" i="1"/>
  <c r="BB562" i="1"/>
  <c r="AE562" i="1"/>
  <c r="BE561" i="1"/>
  <c r="BD561" i="1" s="1"/>
  <c r="AJ561" i="1" s="1"/>
  <c r="AK561" i="1" s="1"/>
  <c r="BB561" i="1"/>
  <c r="AE561" i="1"/>
  <c r="BE560" i="1"/>
  <c r="BF560" i="1" s="1"/>
  <c r="BB560" i="1"/>
  <c r="AE560" i="1"/>
  <c r="BE559" i="1"/>
  <c r="BD559" i="1" s="1"/>
  <c r="AJ559" i="1" s="1"/>
  <c r="AK559" i="1" s="1"/>
  <c r="BB559" i="1"/>
  <c r="AE559" i="1"/>
  <c r="BE558" i="1"/>
  <c r="BD558" i="1" s="1"/>
  <c r="AJ558" i="1" s="1"/>
  <c r="AK558" i="1" s="1"/>
  <c r="BB558" i="1"/>
  <c r="AE558" i="1"/>
  <c r="BE557" i="1"/>
  <c r="BD557" i="1" s="1"/>
  <c r="AJ557" i="1" s="1"/>
  <c r="AK557" i="1" s="1"/>
  <c r="BB557" i="1"/>
  <c r="AE557" i="1"/>
  <c r="BE556" i="1"/>
  <c r="BD556" i="1" s="1"/>
  <c r="AJ556" i="1" s="1"/>
  <c r="AK556" i="1" s="1"/>
  <c r="BB556" i="1"/>
  <c r="AE556" i="1"/>
  <c r="BE555" i="1"/>
  <c r="AL555" i="1" s="1"/>
  <c r="AM555" i="1" s="1"/>
  <c r="BB555" i="1"/>
  <c r="AE555" i="1"/>
  <c r="BE554" i="1"/>
  <c r="BF554" i="1" s="1"/>
  <c r="BB554" i="1"/>
  <c r="AE554" i="1"/>
  <c r="BE553" i="1"/>
  <c r="BD553" i="1" s="1"/>
  <c r="AJ553" i="1" s="1"/>
  <c r="AK553" i="1" s="1"/>
  <c r="BB553" i="1"/>
  <c r="AE553" i="1"/>
  <c r="BE552" i="1"/>
  <c r="BD552" i="1" s="1"/>
  <c r="AJ552" i="1" s="1"/>
  <c r="AK552" i="1" s="1"/>
  <c r="BB552" i="1"/>
  <c r="AE552" i="1"/>
  <c r="BE551" i="1"/>
  <c r="BD551" i="1" s="1"/>
  <c r="AJ551" i="1" s="1"/>
  <c r="AK551" i="1" s="1"/>
  <c r="BB551" i="1"/>
  <c r="AE551" i="1"/>
  <c r="BE550" i="1"/>
  <c r="BD550" i="1" s="1"/>
  <c r="AJ550" i="1" s="1"/>
  <c r="AK550" i="1" s="1"/>
  <c r="BB550" i="1"/>
  <c r="AE550" i="1"/>
  <c r="BE549" i="1"/>
  <c r="BF549" i="1" s="1"/>
  <c r="BB549" i="1"/>
  <c r="AE549" i="1"/>
  <c r="BE548" i="1"/>
  <c r="BF548" i="1" s="1"/>
  <c r="BB548" i="1"/>
  <c r="AE548" i="1"/>
  <c r="BE547" i="1"/>
  <c r="BF547" i="1" s="1"/>
  <c r="BB547" i="1"/>
  <c r="AE547" i="1"/>
  <c r="BE546" i="1"/>
  <c r="BF546" i="1" s="1"/>
  <c r="BB546" i="1"/>
  <c r="AE546" i="1"/>
  <c r="BE545" i="1"/>
  <c r="BD545" i="1" s="1"/>
  <c r="AJ545" i="1" s="1"/>
  <c r="AK545" i="1" s="1"/>
  <c r="BB545" i="1"/>
  <c r="AE545" i="1"/>
  <c r="BE544" i="1"/>
  <c r="BD544" i="1" s="1"/>
  <c r="AJ544" i="1" s="1"/>
  <c r="AK544" i="1" s="1"/>
  <c r="BB544" i="1"/>
  <c r="AE544" i="1"/>
  <c r="BE543" i="1"/>
  <c r="BF543" i="1" s="1"/>
  <c r="BB543" i="1"/>
  <c r="AE543" i="1"/>
  <c r="BE542" i="1"/>
  <c r="BD542" i="1" s="1"/>
  <c r="AJ542" i="1" s="1"/>
  <c r="AK542" i="1" s="1"/>
  <c r="BB542" i="1"/>
  <c r="AE542" i="1"/>
  <c r="BE541" i="1"/>
  <c r="BB541" i="1"/>
  <c r="AE541" i="1"/>
  <c r="BE540" i="1"/>
  <c r="BD540" i="1" s="1"/>
  <c r="AJ540" i="1" s="1"/>
  <c r="AK540" i="1" s="1"/>
  <c r="BB540" i="1"/>
  <c r="AE540" i="1"/>
  <c r="BE539" i="1"/>
  <c r="BD539" i="1" s="1"/>
  <c r="AJ539" i="1" s="1"/>
  <c r="AK539" i="1" s="1"/>
  <c r="BB539" i="1"/>
  <c r="AE539" i="1"/>
  <c r="BE538" i="1"/>
  <c r="BD538" i="1" s="1"/>
  <c r="AJ538" i="1" s="1"/>
  <c r="AK538" i="1" s="1"/>
  <c r="BB538" i="1"/>
  <c r="AE538" i="1"/>
  <c r="BE537" i="1"/>
  <c r="BD537" i="1" s="1"/>
  <c r="AJ537" i="1" s="1"/>
  <c r="AK537" i="1" s="1"/>
  <c r="BB537" i="1"/>
  <c r="AE537" i="1"/>
  <c r="BE536" i="1"/>
  <c r="BF536" i="1" s="1"/>
  <c r="BB536" i="1"/>
  <c r="AE536" i="1"/>
  <c r="BE535" i="1"/>
  <c r="BB535" i="1"/>
  <c r="AE535" i="1"/>
  <c r="BE534" i="1"/>
  <c r="BB534" i="1"/>
  <c r="AE534" i="1"/>
  <c r="BE533" i="1"/>
  <c r="BF533" i="1" s="1"/>
  <c r="BB533" i="1"/>
  <c r="AE533" i="1"/>
  <c r="BE532" i="1"/>
  <c r="BF532" i="1" s="1"/>
  <c r="BB532" i="1"/>
  <c r="AE532" i="1"/>
  <c r="BE531" i="1"/>
  <c r="BF531" i="1" s="1"/>
  <c r="BB531" i="1"/>
  <c r="AE531" i="1"/>
  <c r="BE530" i="1"/>
  <c r="BF530" i="1" s="1"/>
  <c r="BB530" i="1"/>
  <c r="AE530" i="1"/>
  <c r="BE529" i="1"/>
  <c r="BD529" i="1" s="1"/>
  <c r="AJ529" i="1" s="1"/>
  <c r="AK529" i="1" s="1"/>
  <c r="BB529" i="1"/>
  <c r="AE529" i="1"/>
  <c r="BE528" i="1"/>
  <c r="BD528" i="1" s="1"/>
  <c r="AJ528" i="1" s="1"/>
  <c r="AK528" i="1" s="1"/>
  <c r="BB528" i="1"/>
  <c r="AE528" i="1"/>
  <c r="BE527" i="1"/>
  <c r="BF527" i="1" s="1"/>
  <c r="BB527" i="1"/>
  <c r="AE527" i="1"/>
  <c r="BE526" i="1"/>
  <c r="BD526" i="1" s="1"/>
  <c r="AJ526" i="1" s="1"/>
  <c r="AK526" i="1" s="1"/>
  <c r="BB526" i="1"/>
  <c r="AE526" i="1"/>
  <c r="BE525" i="1"/>
  <c r="BD525" i="1" s="1"/>
  <c r="AJ525" i="1" s="1"/>
  <c r="AK525" i="1" s="1"/>
  <c r="BB525" i="1"/>
  <c r="AE525" i="1"/>
  <c r="BE524" i="1"/>
  <c r="BD524" i="1" s="1"/>
  <c r="AJ524" i="1" s="1"/>
  <c r="AK524" i="1" s="1"/>
  <c r="BB524" i="1"/>
  <c r="AE524" i="1"/>
  <c r="BE523" i="1"/>
  <c r="BD523" i="1" s="1"/>
  <c r="AJ523" i="1" s="1"/>
  <c r="AK523" i="1" s="1"/>
  <c r="BB523" i="1"/>
  <c r="AE523" i="1"/>
  <c r="BE522" i="1"/>
  <c r="BD522" i="1" s="1"/>
  <c r="AJ522" i="1" s="1"/>
  <c r="AK522" i="1" s="1"/>
  <c r="BB522" i="1"/>
  <c r="AE522" i="1"/>
  <c r="BE521" i="1"/>
  <c r="BF521" i="1" s="1"/>
  <c r="BB521" i="1"/>
  <c r="AE521" i="1"/>
  <c r="BE520" i="1"/>
  <c r="AF520" i="1" s="1"/>
  <c r="BB520" i="1"/>
  <c r="AE520" i="1"/>
  <c r="BE519" i="1"/>
  <c r="BD519" i="1" s="1"/>
  <c r="AJ519" i="1" s="1"/>
  <c r="AK519" i="1" s="1"/>
  <c r="BB519" i="1"/>
  <c r="AE519" i="1"/>
  <c r="BE518" i="1"/>
  <c r="AF518" i="1" s="1"/>
  <c r="AH518" i="1" s="1"/>
  <c r="AI518" i="1" s="1"/>
  <c r="BB518" i="1"/>
  <c r="AE518" i="1"/>
  <c r="BE517" i="1"/>
  <c r="BB517" i="1"/>
  <c r="AE517" i="1"/>
  <c r="BE516" i="1"/>
  <c r="BB516" i="1"/>
  <c r="AE516" i="1"/>
  <c r="BE515" i="1"/>
  <c r="BB515" i="1"/>
  <c r="AE515" i="1"/>
  <c r="BE514" i="1"/>
  <c r="BB514" i="1"/>
  <c r="AE514" i="1"/>
  <c r="BE513" i="1"/>
  <c r="BD513" i="1" s="1"/>
  <c r="AJ513" i="1" s="1"/>
  <c r="AK513" i="1" s="1"/>
  <c r="BB513" i="1"/>
  <c r="AE513" i="1"/>
  <c r="BE512" i="1"/>
  <c r="AL512" i="1" s="1"/>
  <c r="AM512" i="1" s="1"/>
  <c r="BB512" i="1"/>
  <c r="AE512" i="1"/>
  <c r="BE511" i="1"/>
  <c r="BD511" i="1" s="1"/>
  <c r="AJ511" i="1" s="1"/>
  <c r="AK511" i="1" s="1"/>
  <c r="BB511" i="1"/>
  <c r="AE511" i="1"/>
  <c r="BE510" i="1"/>
  <c r="BD510" i="1" s="1"/>
  <c r="AJ510" i="1" s="1"/>
  <c r="AK510" i="1" s="1"/>
  <c r="BB510" i="1"/>
  <c r="AE510" i="1"/>
  <c r="BE509" i="1"/>
  <c r="AF509" i="1" s="1"/>
  <c r="AH509" i="1" s="1"/>
  <c r="AI509" i="1" s="1"/>
  <c r="BB509" i="1"/>
  <c r="AE509" i="1"/>
  <c r="BE508" i="1"/>
  <c r="AF508" i="1" s="1"/>
  <c r="AH508" i="1" s="1"/>
  <c r="AI508" i="1" s="1"/>
  <c r="BB508" i="1"/>
  <c r="AE508" i="1"/>
  <c r="BE507" i="1"/>
  <c r="BB507" i="1"/>
  <c r="AE507" i="1"/>
  <c r="BE506" i="1"/>
  <c r="BD506" i="1" s="1"/>
  <c r="AJ506" i="1" s="1"/>
  <c r="AK506" i="1" s="1"/>
  <c r="BB506" i="1"/>
  <c r="AE506" i="1"/>
  <c r="BE505" i="1"/>
  <c r="AF505" i="1" s="1"/>
  <c r="AH505" i="1" s="1"/>
  <c r="AI505" i="1" s="1"/>
  <c r="BB505" i="1"/>
  <c r="AE505" i="1"/>
  <c r="BE504" i="1"/>
  <c r="AF504" i="1" s="1"/>
  <c r="AH504" i="1" s="1"/>
  <c r="AI504" i="1" s="1"/>
  <c r="BB504" i="1"/>
  <c r="AE504" i="1"/>
  <c r="BE503" i="1"/>
  <c r="AF503" i="1" s="1"/>
  <c r="BB503" i="1"/>
  <c r="AE503" i="1"/>
  <c r="BE502" i="1"/>
  <c r="AL502" i="1" s="1"/>
  <c r="AM502" i="1" s="1"/>
  <c r="BB502" i="1"/>
  <c r="AE502" i="1"/>
  <c r="BE501" i="1"/>
  <c r="BF501" i="1" s="1"/>
  <c r="BB501" i="1"/>
  <c r="AE501" i="1"/>
  <c r="BE500" i="1"/>
  <c r="BB500" i="1"/>
  <c r="AE500" i="1"/>
  <c r="BE499" i="1"/>
  <c r="AF499" i="1" s="1"/>
  <c r="AH499" i="1" s="1"/>
  <c r="AI499" i="1" s="1"/>
  <c r="BB499" i="1"/>
  <c r="AE499" i="1"/>
  <c r="BE498" i="1"/>
  <c r="BD498" i="1" s="1"/>
  <c r="AJ498" i="1" s="1"/>
  <c r="AK498" i="1" s="1"/>
  <c r="BB498" i="1"/>
  <c r="AE498" i="1"/>
  <c r="BE497" i="1"/>
  <c r="AL497" i="1" s="1"/>
  <c r="AM497" i="1" s="1"/>
  <c r="BB497" i="1"/>
  <c r="AE497" i="1"/>
  <c r="BE496" i="1"/>
  <c r="AL496" i="1" s="1"/>
  <c r="AM496" i="1" s="1"/>
  <c r="BB496" i="1"/>
  <c r="AE496" i="1"/>
  <c r="BE495" i="1"/>
  <c r="BB495" i="1"/>
  <c r="AE495" i="1"/>
  <c r="BE494" i="1"/>
  <c r="BB494" i="1"/>
  <c r="AE494" i="1"/>
  <c r="BE493" i="1"/>
  <c r="BB493" i="1"/>
  <c r="AE493" i="1"/>
  <c r="BE492" i="1"/>
  <c r="BB492" i="1"/>
  <c r="AE492" i="1"/>
  <c r="BE491" i="1"/>
  <c r="BB491" i="1"/>
  <c r="AE491" i="1"/>
  <c r="BE490" i="1"/>
  <c r="BB490" i="1"/>
  <c r="AE490" i="1"/>
  <c r="BE489" i="1"/>
  <c r="BB489" i="1"/>
  <c r="AE489" i="1"/>
  <c r="BE488" i="1"/>
  <c r="AL488" i="1" s="1"/>
  <c r="AM488" i="1" s="1"/>
  <c r="BB488" i="1"/>
  <c r="AE488" i="1"/>
  <c r="BE487" i="1"/>
  <c r="BD487" i="1" s="1"/>
  <c r="AJ487" i="1" s="1"/>
  <c r="AK487" i="1" s="1"/>
  <c r="BB487" i="1"/>
  <c r="AE487" i="1"/>
  <c r="BE486" i="1"/>
  <c r="BD486" i="1" s="1"/>
  <c r="AJ486" i="1" s="1"/>
  <c r="AK486" i="1" s="1"/>
  <c r="BB486" i="1"/>
  <c r="AE486" i="1"/>
  <c r="BE485" i="1"/>
  <c r="BD485" i="1" s="1"/>
  <c r="AJ485" i="1" s="1"/>
  <c r="AK485" i="1" s="1"/>
  <c r="BB485" i="1"/>
  <c r="AE485" i="1"/>
  <c r="BE484" i="1"/>
  <c r="BF484" i="1" s="1"/>
  <c r="BB484" i="1"/>
  <c r="AE484" i="1"/>
  <c r="BE483" i="1"/>
  <c r="BB483" i="1"/>
  <c r="AE483" i="1"/>
  <c r="BE482" i="1"/>
  <c r="BB482" i="1"/>
  <c r="AE482" i="1"/>
  <c r="BE481" i="1"/>
  <c r="BD481" i="1" s="1"/>
  <c r="AJ481" i="1" s="1"/>
  <c r="AK481" i="1" s="1"/>
  <c r="BB481" i="1"/>
  <c r="AE481" i="1"/>
  <c r="BE480" i="1"/>
  <c r="BB480" i="1"/>
  <c r="AE480" i="1"/>
  <c r="BE479" i="1"/>
  <c r="BB479" i="1"/>
  <c r="AE479" i="1"/>
  <c r="BE478" i="1"/>
  <c r="BF478" i="1" s="1"/>
  <c r="BB478" i="1"/>
  <c r="AE478" i="1"/>
  <c r="BE477" i="1"/>
  <c r="BB477" i="1"/>
  <c r="AE477" i="1"/>
  <c r="BE476" i="1"/>
  <c r="AL476" i="1" s="1"/>
  <c r="AM476" i="1" s="1"/>
  <c r="BB476" i="1"/>
  <c r="AE476" i="1"/>
  <c r="BE475" i="1"/>
  <c r="AF475" i="1" s="1"/>
  <c r="AH475" i="1" s="1"/>
  <c r="AI475" i="1" s="1"/>
  <c r="BB475" i="1"/>
  <c r="AE475" i="1"/>
  <c r="BE474" i="1"/>
  <c r="BF474" i="1" s="1"/>
  <c r="BB474" i="1"/>
  <c r="AE474" i="1"/>
  <c r="BE473" i="1"/>
  <c r="BF473" i="1" s="1"/>
  <c r="BB473" i="1"/>
  <c r="AE473" i="1"/>
  <c r="BE472" i="1"/>
  <c r="AF472" i="1" s="1"/>
  <c r="AH472" i="1" s="1"/>
  <c r="AI472" i="1" s="1"/>
  <c r="BB472" i="1"/>
  <c r="AE472" i="1"/>
  <c r="BE471" i="1"/>
  <c r="BB471" i="1"/>
  <c r="AE471" i="1"/>
  <c r="BE470" i="1"/>
  <c r="BB470" i="1"/>
  <c r="AE470" i="1"/>
  <c r="BE469" i="1"/>
  <c r="BD469" i="1" s="1"/>
  <c r="AJ469" i="1" s="1"/>
  <c r="AK469" i="1" s="1"/>
  <c r="BB469" i="1"/>
  <c r="AE469" i="1"/>
  <c r="BE468" i="1"/>
  <c r="AF468" i="1" s="1"/>
  <c r="AH468" i="1" s="1"/>
  <c r="AI468" i="1" s="1"/>
  <c r="BB468" i="1"/>
  <c r="AE468" i="1"/>
  <c r="BE467" i="1"/>
  <c r="BD467" i="1" s="1"/>
  <c r="AJ467" i="1" s="1"/>
  <c r="AK467" i="1" s="1"/>
  <c r="BB467" i="1"/>
  <c r="AE467" i="1"/>
  <c r="BE466" i="1"/>
  <c r="BB466" i="1"/>
  <c r="AE466" i="1"/>
  <c r="BE465" i="1"/>
  <c r="BD465" i="1" s="1"/>
  <c r="AJ465" i="1" s="1"/>
  <c r="AK465" i="1" s="1"/>
  <c r="BB465" i="1"/>
  <c r="AE465" i="1"/>
  <c r="BE464" i="1"/>
  <c r="BB464" i="1"/>
  <c r="AE464" i="1"/>
  <c r="BE463" i="1"/>
  <c r="BD463" i="1" s="1"/>
  <c r="AJ463" i="1" s="1"/>
  <c r="AK463" i="1" s="1"/>
  <c r="BB463" i="1"/>
  <c r="AE463" i="1"/>
  <c r="BE462" i="1"/>
  <c r="BB462" i="1"/>
  <c r="AE462" i="1"/>
  <c r="BE461" i="1"/>
  <c r="AL461" i="1" s="1"/>
  <c r="AM461" i="1" s="1"/>
  <c r="BB461" i="1"/>
  <c r="AE461" i="1"/>
  <c r="BE460" i="1"/>
  <c r="BB460" i="1"/>
  <c r="AE460" i="1"/>
  <c r="BE459" i="1"/>
  <c r="BD459" i="1" s="1"/>
  <c r="AJ459" i="1" s="1"/>
  <c r="AK459" i="1" s="1"/>
  <c r="BB459" i="1"/>
  <c r="AE459" i="1"/>
  <c r="BE458" i="1"/>
  <c r="BB458" i="1"/>
  <c r="AE458" i="1"/>
  <c r="BE457" i="1"/>
  <c r="BF457" i="1" s="1"/>
  <c r="BB457" i="1"/>
  <c r="AE457" i="1"/>
  <c r="BE456" i="1"/>
  <c r="BF456" i="1" s="1"/>
  <c r="BB456" i="1"/>
  <c r="AE456" i="1"/>
  <c r="BE455" i="1"/>
  <c r="BD455" i="1" s="1"/>
  <c r="AJ455" i="1" s="1"/>
  <c r="AK455" i="1" s="1"/>
  <c r="BB455" i="1"/>
  <c r="AE455" i="1"/>
  <c r="BE454" i="1"/>
  <c r="BB454" i="1"/>
  <c r="AE454" i="1"/>
  <c r="BE453" i="1"/>
  <c r="BB453" i="1"/>
  <c r="AE453" i="1"/>
  <c r="BE452" i="1"/>
  <c r="BB452" i="1"/>
  <c r="AE452" i="1"/>
  <c r="BE451" i="1"/>
  <c r="BD451" i="1" s="1"/>
  <c r="AJ451" i="1" s="1"/>
  <c r="AK451" i="1" s="1"/>
  <c r="BB451" i="1"/>
  <c r="AE451" i="1"/>
  <c r="BE450" i="1"/>
  <c r="BF450" i="1" s="1"/>
  <c r="BB450" i="1"/>
  <c r="AE450" i="1"/>
  <c r="BE449" i="1"/>
  <c r="BF449" i="1" s="1"/>
  <c r="BB449" i="1"/>
  <c r="AE449" i="1"/>
  <c r="BE448" i="1"/>
  <c r="AF448" i="1" s="1"/>
  <c r="AH448" i="1" s="1"/>
  <c r="AI448" i="1" s="1"/>
  <c r="BB448" i="1"/>
  <c r="AE448" i="1"/>
  <c r="BE447" i="1"/>
  <c r="BD447" i="1" s="1"/>
  <c r="AJ447" i="1" s="1"/>
  <c r="AK447" i="1" s="1"/>
  <c r="BB447" i="1"/>
  <c r="AE447" i="1"/>
  <c r="BE446" i="1"/>
  <c r="BF446" i="1" s="1"/>
  <c r="BB446" i="1"/>
  <c r="AE446" i="1"/>
  <c r="BE445" i="1"/>
  <c r="BD445" i="1" s="1"/>
  <c r="AJ445" i="1" s="1"/>
  <c r="AK445" i="1" s="1"/>
  <c r="BB445" i="1"/>
  <c r="AE445" i="1"/>
  <c r="BE444" i="1"/>
  <c r="BB444" i="1"/>
  <c r="AE444" i="1"/>
  <c r="BE443" i="1"/>
  <c r="BD443" i="1" s="1"/>
  <c r="AJ443" i="1" s="1"/>
  <c r="AK443" i="1" s="1"/>
  <c r="BB443" i="1"/>
  <c r="AE443" i="1"/>
  <c r="BE442" i="1"/>
  <c r="BF442" i="1" s="1"/>
  <c r="BB442" i="1"/>
  <c r="AE442" i="1"/>
  <c r="BE441" i="1"/>
  <c r="BD441" i="1" s="1"/>
  <c r="AJ441" i="1" s="1"/>
  <c r="AK441" i="1" s="1"/>
  <c r="BB441" i="1"/>
  <c r="AE441" i="1"/>
  <c r="BE440" i="1"/>
  <c r="BB440" i="1"/>
  <c r="AE440" i="1"/>
  <c r="BE439" i="1"/>
  <c r="BB439" i="1"/>
  <c r="AE439" i="1"/>
  <c r="BE438" i="1"/>
  <c r="BB438" i="1"/>
  <c r="AE438" i="1"/>
  <c r="BE437" i="1"/>
  <c r="BD437" i="1" s="1"/>
  <c r="AJ437" i="1" s="1"/>
  <c r="AK437" i="1" s="1"/>
  <c r="BB437" i="1"/>
  <c r="AE437" i="1"/>
  <c r="BE436" i="1"/>
  <c r="BF436" i="1" s="1"/>
  <c r="BB436" i="1"/>
  <c r="AE436" i="1"/>
  <c r="BE435" i="1"/>
  <c r="BD435" i="1" s="1"/>
  <c r="AJ435" i="1" s="1"/>
  <c r="AK435" i="1" s="1"/>
  <c r="BB435" i="1"/>
  <c r="AE435" i="1"/>
  <c r="BE434" i="1"/>
  <c r="BF434" i="1" s="1"/>
  <c r="BB434" i="1"/>
  <c r="AE434" i="1"/>
  <c r="BE433" i="1"/>
  <c r="BD433" i="1" s="1"/>
  <c r="AJ433" i="1" s="1"/>
  <c r="AK433" i="1" s="1"/>
  <c r="BB433" i="1"/>
  <c r="AE433" i="1"/>
  <c r="BE432" i="1"/>
  <c r="BB432" i="1"/>
  <c r="AE432" i="1"/>
  <c r="BE431" i="1"/>
  <c r="BB431" i="1"/>
  <c r="AE431" i="1"/>
  <c r="BE430" i="1"/>
  <c r="BF430" i="1" s="1"/>
  <c r="BB430" i="1"/>
  <c r="AE430" i="1"/>
  <c r="BE429" i="1"/>
  <c r="BB429" i="1"/>
  <c r="AE429" i="1"/>
  <c r="BE428" i="1"/>
  <c r="BF428" i="1" s="1"/>
  <c r="BB428" i="1"/>
  <c r="AE428" i="1"/>
  <c r="BE427" i="1"/>
  <c r="AL427" i="1" s="1"/>
  <c r="AM427" i="1" s="1"/>
  <c r="BB427" i="1"/>
  <c r="AE427" i="1"/>
  <c r="BE426" i="1"/>
  <c r="BF426" i="1" s="1"/>
  <c r="BB426" i="1"/>
  <c r="AE426" i="1"/>
  <c r="BE425" i="1"/>
  <c r="BD425" i="1" s="1"/>
  <c r="AJ425" i="1" s="1"/>
  <c r="AK425" i="1" s="1"/>
  <c r="BB425" i="1"/>
  <c r="AE425" i="1"/>
  <c r="BE424" i="1"/>
  <c r="BF424" i="1" s="1"/>
  <c r="BB424" i="1"/>
  <c r="AE424" i="1"/>
  <c r="BE423" i="1"/>
  <c r="BB423" i="1"/>
  <c r="AE423" i="1"/>
  <c r="BE422" i="1"/>
  <c r="AL422" i="1" s="1"/>
  <c r="AM422" i="1" s="1"/>
  <c r="BB422" i="1"/>
  <c r="AE422" i="1"/>
  <c r="BE421" i="1"/>
  <c r="AF421" i="1" s="1"/>
  <c r="AH421" i="1" s="1"/>
  <c r="AI421" i="1" s="1"/>
  <c r="BB421" i="1"/>
  <c r="AE421" i="1"/>
  <c r="AD421" i="1" s="1"/>
  <c r="AG421" i="1" s="1"/>
  <c r="BE420" i="1"/>
  <c r="BD420" i="1" s="1"/>
  <c r="AJ420" i="1" s="1"/>
  <c r="AK420" i="1" s="1"/>
  <c r="BB420" i="1"/>
  <c r="AE420" i="1"/>
  <c r="BE419" i="1"/>
  <c r="AL419" i="1" s="1"/>
  <c r="AM419" i="1" s="1"/>
  <c r="BB419" i="1"/>
  <c r="AE419" i="1"/>
  <c r="BE418" i="1"/>
  <c r="AL418" i="1" s="1"/>
  <c r="AM418" i="1" s="1"/>
  <c r="BB418" i="1"/>
  <c r="AE418" i="1"/>
  <c r="BE417" i="1"/>
  <c r="AF417" i="1" s="1"/>
  <c r="AH417" i="1" s="1"/>
  <c r="AI417" i="1" s="1"/>
  <c r="BB417" i="1"/>
  <c r="AE417" i="1"/>
  <c r="BE416" i="1"/>
  <c r="BD416" i="1" s="1"/>
  <c r="AJ416" i="1" s="1"/>
  <c r="AK416" i="1" s="1"/>
  <c r="BB416" i="1"/>
  <c r="AE416" i="1"/>
  <c r="BE415" i="1"/>
  <c r="BD415" i="1" s="1"/>
  <c r="AJ415" i="1" s="1"/>
  <c r="AK415" i="1" s="1"/>
  <c r="BB415" i="1"/>
  <c r="AE415" i="1"/>
  <c r="BE414" i="1"/>
  <c r="BF414" i="1" s="1"/>
  <c r="BB414" i="1"/>
  <c r="AE414" i="1"/>
  <c r="BE413" i="1"/>
  <c r="AL413" i="1" s="1"/>
  <c r="AM413" i="1" s="1"/>
  <c r="BB413" i="1"/>
  <c r="AE413" i="1"/>
  <c r="BE412" i="1"/>
  <c r="BF412" i="1" s="1"/>
  <c r="BB412" i="1"/>
  <c r="AE412" i="1"/>
  <c r="BE411" i="1"/>
  <c r="BD411" i="1" s="1"/>
  <c r="AJ411" i="1" s="1"/>
  <c r="AK411" i="1" s="1"/>
  <c r="BB411" i="1"/>
  <c r="AE411" i="1"/>
  <c r="BE410" i="1"/>
  <c r="BF410" i="1" s="1"/>
  <c r="BB410" i="1"/>
  <c r="AE410" i="1"/>
  <c r="BE409" i="1"/>
  <c r="AL409" i="1" s="1"/>
  <c r="AM409" i="1" s="1"/>
  <c r="BB409" i="1"/>
  <c r="AE409" i="1"/>
  <c r="BE408" i="1"/>
  <c r="BF408" i="1" s="1"/>
  <c r="BB408" i="1"/>
  <c r="AE408" i="1"/>
  <c r="BE407" i="1"/>
  <c r="AL407" i="1" s="1"/>
  <c r="AM407" i="1" s="1"/>
  <c r="BB407" i="1"/>
  <c r="AE407" i="1"/>
  <c r="BE406" i="1"/>
  <c r="BF406" i="1" s="1"/>
  <c r="BB406" i="1"/>
  <c r="AE406" i="1"/>
  <c r="BE405" i="1"/>
  <c r="BD405" i="1" s="1"/>
  <c r="AJ405" i="1" s="1"/>
  <c r="AK405" i="1" s="1"/>
  <c r="BB405" i="1"/>
  <c r="AE405" i="1"/>
  <c r="BE404" i="1"/>
  <c r="BD404" i="1" s="1"/>
  <c r="AJ404" i="1" s="1"/>
  <c r="AK404" i="1" s="1"/>
  <c r="BB404" i="1"/>
  <c r="AE404" i="1"/>
  <c r="BE403" i="1"/>
  <c r="AL403" i="1" s="1"/>
  <c r="AM403" i="1" s="1"/>
  <c r="BB403" i="1"/>
  <c r="AE403" i="1"/>
  <c r="BE402" i="1"/>
  <c r="BF402" i="1" s="1"/>
  <c r="BB402" i="1"/>
  <c r="AE402" i="1"/>
  <c r="BE401" i="1"/>
  <c r="BD401" i="1" s="1"/>
  <c r="AJ401" i="1" s="1"/>
  <c r="AK401" i="1" s="1"/>
  <c r="BB401" i="1"/>
  <c r="AE401" i="1"/>
  <c r="BE400" i="1"/>
  <c r="AL400" i="1" s="1"/>
  <c r="AM400" i="1" s="1"/>
  <c r="BB400" i="1"/>
  <c r="AE400" i="1"/>
  <c r="BE399" i="1"/>
  <c r="AL399" i="1" s="1"/>
  <c r="AM399" i="1" s="1"/>
  <c r="BB399" i="1"/>
  <c r="AE399" i="1"/>
  <c r="BE398" i="1"/>
  <c r="BB398" i="1"/>
  <c r="AE398" i="1"/>
  <c r="BE397" i="1"/>
  <c r="BD397" i="1" s="1"/>
  <c r="AJ397" i="1" s="1"/>
  <c r="AK397" i="1" s="1"/>
  <c r="BB397" i="1"/>
  <c r="AE397" i="1"/>
  <c r="BE396" i="1"/>
  <c r="BB396" i="1"/>
  <c r="AE396" i="1"/>
  <c r="BE395" i="1"/>
  <c r="AL395" i="1" s="1"/>
  <c r="AM395" i="1" s="1"/>
  <c r="BB395" i="1"/>
  <c r="AE395" i="1"/>
  <c r="BE394" i="1"/>
  <c r="BF394" i="1" s="1"/>
  <c r="BB394" i="1"/>
  <c r="AE394" i="1"/>
  <c r="BE393" i="1"/>
  <c r="BD393" i="1" s="1"/>
  <c r="AJ393" i="1" s="1"/>
  <c r="AK393" i="1" s="1"/>
  <c r="BB393" i="1"/>
  <c r="AE393" i="1"/>
  <c r="BE392" i="1"/>
  <c r="AL392" i="1" s="1"/>
  <c r="AM392" i="1" s="1"/>
  <c r="BB392" i="1"/>
  <c r="AE392" i="1"/>
  <c r="BE391" i="1"/>
  <c r="AL391" i="1" s="1"/>
  <c r="AM391" i="1" s="1"/>
  <c r="BB391" i="1"/>
  <c r="AE391" i="1"/>
  <c r="BE390" i="1"/>
  <c r="BF390" i="1" s="1"/>
  <c r="BB390" i="1"/>
  <c r="AE390" i="1"/>
  <c r="BE389" i="1"/>
  <c r="BD389" i="1" s="1"/>
  <c r="AJ389" i="1" s="1"/>
  <c r="AK389" i="1" s="1"/>
  <c r="BB389" i="1"/>
  <c r="AE389" i="1"/>
  <c r="BE388" i="1"/>
  <c r="AF388" i="1" s="1"/>
  <c r="AH388" i="1" s="1"/>
  <c r="AI388" i="1" s="1"/>
  <c r="BB388" i="1"/>
  <c r="AE388" i="1"/>
  <c r="BE387" i="1"/>
  <c r="AL387" i="1" s="1"/>
  <c r="AM387" i="1" s="1"/>
  <c r="BB387" i="1"/>
  <c r="AE387" i="1"/>
  <c r="BE386" i="1"/>
  <c r="BF386" i="1" s="1"/>
  <c r="BB386" i="1"/>
  <c r="AE386" i="1"/>
  <c r="BE385" i="1"/>
  <c r="BD385" i="1" s="1"/>
  <c r="AJ385" i="1" s="1"/>
  <c r="AK385" i="1" s="1"/>
  <c r="BB385" i="1"/>
  <c r="AE385" i="1"/>
  <c r="BE384" i="1"/>
  <c r="BB384" i="1"/>
  <c r="AE384" i="1"/>
  <c r="BE383" i="1"/>
  <c r="AL383" i="1" s="1"/>
  <c r="AM383" i="1" s="1"/>
  <c r="BB383" i="1"/>
  <c r="AE383" i="1"/>
  <c r="BE382" i="1"/>
  <c r="BB382" i="1"/>
  <c r="AE382" i="1"/>
  <c r="BE381" i="1"/>
  <c r="BB381" i="1"/>
  <c r="AE381" i="1"/>
  <c r="BE380" i="1"/>
  <c r="AL380" i="1" s="1"/>
  <c r="AM380" i="1" s="1"/>
  <c r="BB380" i="1"/>
  <c r="AE380" i="1"/>
  <c r="BE379" i="1"/>
  <c r="BD379" i="1" s="1"/>
  <c r="AJ379" i="1" s="1"/>
  <c r="AK379" i="1" s="1"/>
  <c r="BB379" i="1"/>
  <c r="AE379" i="1"/>
  <c r="BE378" i="1"/>
  <c r="BF378" i="1" s="1"/>
  <c r="BB378" i="1"/>
  <c r="AE378" i="1"/>
  <c r="BE377" i="1"/>
  <c r="AL377" i="1" s="1"/>
  <c r="AM377" i="1" s="1"/>
  <c r="BB377" i="1"/>
  <c r="AE377" i="1"/>
  <c r="BE376" i="1"/>
  <c r="BD376" i="1" s="1"/>
  <c r="AJ376" i="1" s="1"/>
  <c r="AK376" i="1" s="1"/>
  <c r="BB376" i="1"/>
  <c r="AE376" i="1"/>
  <c r="BE375" i="1"/>
  <c r="BB375" i="1"/>
  <c r="AE375" i="1"/>
  <c r="BE374" i="1"/>
  <c r="BB374" i="1"/>
  <c r="AE374" i="1"/>
  <c r="BE373" i="1"/>
  <c r="AL373" i="1" s="1"/>
  <c r="AM373" i="1" s="1"/>
  <c r="BB373" i="1"/>
  <c r="AE373" i="1"/>
  <c r="BE372" i="1"/>
  <c r="AL372" i="1" s="1"/>
  <c r="AM372" i="1" s="1"/>
  <c r="BB372" i="1"/>
  <c r="AE372" i="1"/>
  <c r="BE371" i="1"/>
  <c r="BD371" i="1" s="1"/>
  <c r="AJ371" i="1" s="1"/>
  <c r="AK371" i="1" s="1"/>
  <c r="BB371" i="1"/>
  <c r="AE371" i="1"/>
  <c r="BE370" i="1"/>
  <c r="BD370" i="1" s="1"/>
  <c r="AJ370" i="1" s="1"/>
  <c r="AK370" i="1" s="1"/>
  <c r="BB370" i="1"/>
  <c r="AE370" i="1"/>
  <c r="BE369" i="1"/>
  <c r="AL369" i="1" s="1"/>
  <c r="AM369" i="1" s="1"/>
  <c r="BB369" i="1"/>
  <c r="AE369" i="1"/>
  <c r="BE368" i="1"/>
  <c r="BD368" i="1" s="1"/>
  <c r="AJ368" i="1" s="1"/>
  <c r="AK368" i="1" s="1"/>
  <c r="BB368" i="1"/>
  <c r="AE368" i="1"/>
  <c r="BE367" i="1"/>
  <c r="BB367" i="1"/>
  <c r="AE367" i="1"/>
  <c r="BE366" i="1"/>
  <c r="AL366" i="1" s="1"/>
  <c r="AM366" i="1" s="1"/>
  <c r="BB366" i="1"/>
  <c r="AE366" i="1"/>
  <c r="BE365" i="1"/>
  <c r="BD365" i="1" s="1"/>
  <c r="AJ365" i="1" s="1"/>
  <c r="AK365" i="1" s="1"/>
  <c r="BB365" i="1"/>
  <c r="AE365" i="1"/>
  <c r="BE364" i="1"/>
  <c r="AF364" i="1" s="1"/>
  <c r="AH364" i="1" s="1"/>
  <c r="AI364" i="1" s="1"/>
  <c r="BB364" i="1"/>
  <c r="AE364" i="1"/>
  <c r="BE363" i="1"/>
  <c r="BD363" i="1" s="1"/>
  <c r="AJ363" i="1" s="1"/>
  <c r="AK363" i="1" s="1"/>
  <c r="BB363" i="1"/>
  <c r="AE363" i="1"/>
  <c r="BE362" i="1"/>
  <c r="BB362" i="1"/>
  <c r="AE362" i="1"/>
  <c r="BE361" i="1"/>
  <c r="AL361" i="1" s="1"/>
  <c r="AM361" i="1" s="1"/>
  <c r="BB361" i="1"/>
  <c r="AE361" i="1"/>
  <c r="BE360" i="1"/>
  <c r="BD360" i="1" s="1"/>
  <c r="AJ360" i="1" s="1"/>
  <c r="AK360" i="1" s="1"/>
  <c r="BB360" i="1"/>
  <c r="AE360" i="1"/>
  <c r="BE359" i="1"/>
  <c r="BF359" i="1" s="1"/>
  <c r="BB359" i="1"/>
  <c r="AE359" i="1"/>
  <c r="BE358" i="1"/>
  <c r="AL358" i="1" s="1"/>
  <c r="AM358" i="1" s="1"/>
  <c r="BB358" i="1"/>
  <c r="AE358" i="1"/>
  <c r="BE357" i="1"/>
  <c r="AF357" i="1" s="1"/>
  <c r="AH357" i="1" s="1"/>
  <c r="AI357" i="1" s="1"/>
  <c r="BB357" i="1"/>
  <c r="AE357" i="1"/>
  <c r="BE356" i="1"/>
  <c r="BF356" i="1" s="1"/>
  <c r="BB356" i="1"/>
  <c r="AE356" i="1"/>
  <c r="BE355" i="1"/>
  <c r="BD355" i="1" s="1"/>
  <c r="AJ355" i="1" s="1"/>
  <c r="AK355" i="1" s="1"/>
  <c r="BB355" i="1"/>
  <c r="AE355" i="1"/>
  <c r="BE354" i="1"/>
  <c r="BD354" i="1" s="1"/>
  <c r="AJ354" i="1" s="1"/>
  <c r="AK354" i="1" s="1"/>
  <c r="BB354" i="1"/>
  <c r="AE354" i="1"/>
  <c r="BE353" i="1"/>
  <c r="BB353" i="1"/>
  <c r="AE353" i="1"/>
  <c r="BE352" i="1"/>
  <c r="AL352" i="1" s="1"/>
  <c r="AM352" i="1" s="1"/>
  <c r="BB352" i="1"/>
  <c r="AE352" i="1"/>
  <c r="BE351" i="1"/>
  <c r="BB351" i="1"/>
  <c r="AE351" i="1"/>
  <c r="BE350" i="1"/>
  <c r="BF350" i="1" s="1"/>
  <c r="BB350" i="1"/>
  <c r="AE350" i="1"/>
  <c r="BE349" i="1"/>
  <c r="BF349" i="1" s="1"/>
  <c r="BB349" i="1"/>
  <c r="AE349" i="1"/>
  <c r="BE348" i="1"/>
  <c r="BF348" i="1" s="1"/>
  <c r="BB348" i="1"/>
  <c r="AE348" i="1"/>
  <c r="BE347" i="1"/>
  <c r="BD347" i="1" s="1"/>
  <c r="AJ347" i="1" s="1"/>
  <c r="AK347" i="1" s="1"/>
  <c r="BB347" i="1"/>
  <c r="AE347" i="1"/>
  <c r="BE346" i="1"/>
  <c r="AF346" i="1" s="1"/>
  <c r="AH346" i="1" s="1"/>
  <c r="AI346" i="1" s="1"/>
  <c r="BB346" i="1"/>
  <c r="AE346" i="1"/>
  <c r="BE345" i="1"/>
  <c r="AL345" i="1" s="1"/>
  <c r="AM345" i="1" s="1"/>
  <c r="BB345" i="1"/>
  <c r="AE345" i="1"/>
  <c r="BE344" i="1"/>
  <c r="BF344" i="1" s="1"/>
  <c r="BB344" i="1"/>
  <c r="AE344" i="1"/>
  <c r="BE343" i="1"/>
  <c r="AL343" i="1" s="1"/>
  <c r="AM343" i="1" s="1"/>
  <c r="BB343" i="1"/>
  <c r="AE343" i="1"/>
  <c r="BE342" i="1"/>
  <c r="BF342" i="1" s="1"/>
  <c r="BB342" i="1"/>
  <c r="AE342" i="1"/>
  <c r="BE341" i="1"/>
  <c r="BF341" i="1" s="1"/>
  <c r="BB341" i="1"/>
  <c r="AE341" i="1"/>
  <c r="BE340" i="1"/>
  <c r="BB340" i="1"/>
  <c r="AE340" i="1"/>
  <c r="BE339" i="1"/>
  <c r="BD339" i="1" s="1"/>
  <c r="AJ339" i="1" s="1"/>
  <c r="AK339" i="1" s="1"/>
  <c r="BB339" i="1"/>
  <c r="AE339" i="1"/>
  <c r="BE338" i="1"/>
  <c r="AF338" i="1" s="1"/>
  <c r="AH338" i="1" s="1"/>
  <c r="AI338" i="1" s="1"/>
  <c r="BB338" i="1"/>
  <c r="AE338" i="1"/>
  <c r="BE337" i="1"/>
  <c r="AL337" i="1" s="1"/>
  <c r="AM337" i="1" s="1"/>
  <c r="BB337" i="1"/>
  <c r="AE337" i="1"/>
  <c r="BE336" i="1"/>
  <c r="AF336" i="1" s="1"/>
  <c r="BB336" i="1"/>
  <c r="AE336" i="1"/>
  <c r="BE335" i="1"/>
  <c r="AL335" i="1" s="1"/>
  <c r="AM335" i="1" s="1"/>
  <c r="BB335" i="1"/>
  <c r="AE335" i="1"/>
  <c r="BE334" i="1"/>
  <c r="BB334" i="1"/>
  <c r="AE334" i="1"/>
  <c r="BE333" i="1"/>
  <c r="BB333" i="1"/>
  <c r="AE333" i="1"/>
  <c r="BE332" i="1"/>
  <c r="BB332" i="1"/>
  <c r="AE332" i="1"/>
  <c r="BE331" i="1"/>
  <c r="BD331" i="1" s="1"/>
  <c r="AJ331" i="1" s="1"/>
  <c r="AK331" i="1" s="1"/>
  <c r="BB331" i="1"/>
  <c r="AE331" i="1"/>
  <c r="BE330" i="1"/>
  <c r="AF330" i="1" s="1"/>
  <c r="AH330" i="1" s="1"/>
  <c r="AI330" i="1" s="1"/>
  <c r="BB330" i="1"/>
  <c r="AE330" i="1"/>
  <c r="BE329" i="1"/>
  <c r="AL329" i="1" s="1"/>
  <c r="AM329" i="1" s="1"/>
  <c r="BB329" i="1"/>
  <c r="AE329" i="1"/>
  <c r="BE328" i="1"/>
  <c r="AF328" i="1" s="1"/>
  <c r="BB328" i="1"/>
  <c r="AE328" i="1"/>
  <c r="BE327" i="1"/>
  <c r="AL327" i="1" s="1"/>
  <c r="AM327" i="1" s="1"/>
  <c r="BB327" i="1"/>
  <c r="AE327" i="1"/>
  <c r="BE326" i="1"/>
  <c r="BB326" i="1"/>
  <c r="AE326" i="1"/>
  <c r="BE325" i="1"/>
  <c r="BF325" i="1" s="1"/>
  <c r="BB325" i="1"/>
  <c r="AE325" i="1"/>
  <c r="BE324" i="1"/>
  <c r="BB324" i="1"/>
  <c r="AE324" i="1"/>
  <c r="BE323" i="1"/>
  <c r="BD323" i="1" s="1"/>
  <c r="AJ323" i="1" s="1"/>
  <c r="AK323" i="1" s="1"/>
  <c r="BB323" i="1"/>
  <c r="AE323" i="1"/>
  <c r="BE322" i="1"/>
  <c r="BB322" i="1"/>
  <c r="AE322" i="1"/>
  <c r="BE321" i="1"/>
  <c r="BB321" i="1"/>
  <c r="AE321" i="1"/>
  <c r="BE320" i="1"/>
  <c r="AF320" i="1" s="1"/>
  <c r="BB320" i="1"/>
  <c r="AE320" i="1"/>
  <c r="BE319" i="1"/>
  <c r="AF319" i="1" s="1"/>
  <c r="AH319" i="1" s="1"/>
  <c r="AI319" i="1" s="1"/>
  <c r="BB319" i="1"/>
  <c r="AE319" i="1"/>
  <c r="BE318" i="1"/>
  <c r="AL318" i="1" s="1"/>
  <c r="AM318" i="1" s="1"/>
  <c r="BB318" i="1"/>
  <c r="AE318" i="1"/>
  <c r="BE317" i="1"/>
  <c r="BB317" i="1"/>
  <c r="AE317" i="1"/>
  <c r="BE316" i="1"/>
  <c r="BB316" i="1"/>
  <c r="AE316" i="1"/>
  <c r="BE315" i="1"/>
  <c r="BD315" i="1" s="1"/>
  <c r="AJ315" i="1" s="1"/>
  <c r="AK315" i="1" s="1"/>
  <c r="BB315" i="1"/>
  <c r="AE315" i="1"/>
  <c r="BE314" i="1"/>
  <c r="AF314" i="1" s="1"/>
  <c r="AH314" i="1" s="1"/>
  <c r="AI314" i="1" s="1"/>
  <c r="BB314" i="1"/>
  <c r="AE314" i="1"/>
  <c r="BE313" i="1"/>
  <c r="AL313" i="1" s="1"/>
  <c r="AM313" i="1" s="1"/>
  <c r="BB313" i="1"/>
  <c r="AE313" i="1"/>
  <c r="BE312" i="1"/>
  <c r="BF312" i="1" s="1"/>
  <c r="BB312" i="1"/>
  <c r="AE312" i="1"/>
  <c r="BE311" i="1"/>
  <c r="AF311" i="1" s="1"/>
  <c r="AH311" i="1" s="1"/>
  <c r="AI311" i="1" s="1"/>
  <c r="BB311" i="1"/>
  <c r="AE311" i="1"/>
  <c r="BE310" i="1"/>
  <c r="AL310" i="1" s="1"/>
  <c r="AM310" i="1" s="1"/>
  <c r="BB310" i="1"/>
  <c r="AE310" i="1"/>
  <c r="BE309" i="1"/>
  <c r="BF309" i="1" s="1"/>
  <c r="BB309" i="1"/>
  <c r="AE309" i="1"/>
  <c r="BE308" i="1"/>
  <c r="BB308" i="1"/>
  <c r="AE308" i="1"/>
  <c r="BE307" i="1"/>
  <c r="BD307" i="1" s="1"/>
  <c r="AJ307" i="1" s="1"/>
  <c r="AK307" i="1" s="1"/>
  <c r="BB307" i="1"/>
  <c r="AE307" i="1"/>
  <c r="BE306" i="1"/>
  <c r="AF306" i="1" s="1"/>
  <c r="AH306" i="1" s="1"/>
  <c r="AI306" i="1" s="1"/>
  <c r="BB306" i="1"/>
  <c r="AE306" i="1"/>
  <c r="BE305" i="1"/>
  <c r="BB305" i="1"/>
  <c r="AE305" i="1"/>
  <c r="BE304" i="1"/>
  <c r="AF304" i="1" s="1"/>
  <c r="BB304" i="1"/>
  <c r="AE304" i="1"/>
  <c r="BE303" i="1"/>
  <c r="BB303" i="1"/>
  <c r="AZ303" i="1"/>
  <c r="BA303" i="1" s="1"/>
  <c r="AE303" i="1"/>
  <c r="BE302" i="1"/>
  <c r="BD302" i="1" s="1"/>
  <c r="AJ302" i="1" s="1"/>
  <c r="AK302" i="1" s="1"/>
  <c r="BB302" i="1"/>
  <c r="AZ302" i="1"/>
  <c r="BA302" i="1" s="1"/>
  <c r="AE302" i="1"/>
  <c r="BE301" i="1"/>
  <c r="AF301" i="1" s="1"/>
  <c r="AH301" i="1" s="1"/>
  <c r="AI301" i="1" s="1"/>
  <c r="BB301" i="1"/>
  <c r="AZ301" i="1"/>
  <c r="BA301" i="1" s="1"/>
  <c r="AE301" i="1"/>
  <c r="BE300" i="1"/>
  <c r="AF300" i="1" s="1"/>
  <c r="AH300" i="1" s="1"/>
  <c r="AI300" i="1" s="1"/>
  <c r="BB300" i="1"/>
  <c r="AZ300" i="1"/>
  <c r="BA300" i="1" s="1"/>
  <c r="AE300" i="1"/>
  <c r="BE299" i="1"/>
  <c r="BD299" i="1" s="1"/>
  <c r="AJ299" i="1" s="1"/>
  <c r="AK299" i="1" s="1"/>
  <c r="BB299" i="1"/>
  <c r="AZ299" i="1"/>
  <c r="BA299" i="1" s="1"/>
  <c r="AE299" i="1"/>
  <c r="BE298" i="1"/>
  <c r="AL298" i="1" s="1"/>
  <c r="AM298" i="1" s="1"/>
  <c r="BB298" i="1"/>
  <c r="AZ298" i="1"/>
  <c r="BA298" i="1" s="1"/>
  <c r="AE298" i="1"/>
  <c r="BE297" i="1"/>
  <c r="BF297" i="1" s="1"/>
  <c r="BB297" i="1"/>
  <c r="AZ297" i="1"/>
  <c r="BA297" i="1" s="1"/>
  <c r="AE297" i="1"/>
  <c r="BE296" i="1"/>
  <c r="AF296" i="1" s="1"/>
  <c r="BB296" i="1"/>
  <c r="AZ296" i="1"/>
  <c r="BA296" i="1" s="1"/>
  <c r="AE296" i="1"/>
  <c r="BE295" i="1"/>
  <c r="BB295" i="1"/>
  <c r="AZ295" i="1"/>
  <c r="BA295" i="1" s="1"/>
  <c r="AE295" i="1"/>
  <c r="BE294" i="1"/>
  <c r="BD294" i="1" s="1"/>
  <c r="AJ294" i="1" s="1"/>
  <c r="AK294" i="1" s="1"/>
  <c r="BB294" i="1"/>
  <c r="AZ294" i="1"/>
  <c r="BA294" i="1" s="1"/>
  <c r="AE294" i="1"/>
  <c r="BE293" i="1"/>
  <c r="BD293" i="1" s="1"/>
  <c r="AJ293" i="1" s="1"/>
  <c r="AK293" i="1" s="1"/>
  <c r="BB293" i="1"/>
  <c r="AZ293" i="1"/>
  <c r="BA293" i="1" s="1"/>
  <c r="AE293" i="1"/>
  <c r="BE292" i="1"/>
  <c r="BD292" i="1" s="1"/>
  <c r="AJ292" i="1" s="1"/>
  <c r="AK292" i="1" s="1"/>
  <c r="BB292" i="1"/>
  <c r="AZ292" i="1"/>
  <c r="BA292" i="1" s="1"/>
  <c r="AE292" i="1"/>
  <c r="BE291" i="1"/>
  <c r="BD291" i="1" s="1"/>
  <c r="AJ291" i="1" s="1"/>
  <c r="AK291" i="1" s="1"/>
  <c r="BB291" i="1"/>
  <c r="AZ291" i="1"/>
  <c r="BA291" i="1" s="1"/>
  <c r="AE291" i="1"/>
  <c r="BE290" i="1"/>
  <c r="BB290" i="1"/>
  <c r="AZ290" i="1"/>
  <c r="BA290" i="1" s="1"/>
  <c r="AE290" i="1"/>
  <c r="BE289" i="1"/>
  <c r="BD289" i="1" s="1"/>
  <c r="AJ289" i="1" s="1"/>
  <c r="AK289" i="1" s="1"/>
  <c r="BB289" i="1"/>
  <c r="AZ289" i="1"/>
  <c r="BA289" i="1" s="1"/>
  <c r="AE289" i="1"/>
  <c r="BE288" i="1"/>
  <c r="AF288" i="1" s="1"/>
  <c r="AH288" i="1" s="1"/>
  <c r="AI288" i="1" s="1"/>
  <c r="BB288" i="1"/>
  <c r="AZ288" i="1"/>
  <c r="BA288" i="1" s="1"/>
  <c r="AE288" i="1"/>
  <c r="BE287" i="1"/>
  <c r="AL287" i="1" s="1"/>
  <c r="AM287" i="1" s="1"/>
  <c r="BB287" i="1"/>
  <c r="AZ287" i="1"/>
  <c r="BA287" i="1" s="1"/>
  <c r="AE287" i="1"/>
  <c r="BE286" i="1"/>
  <c r="BD286" i="1" s="1"/>
  <c r="AJ286" i="1" s="1"/>
  <c r="AK286" i="1" s="1"/>
  <c r="BB286" i="1"/>
  <c r="AZ286" i="1"/>
  <c r="BA286" i="1" s="1"/>
  <c r="AE286" i="1"/>
  <c r="BE285" i="1"/>
  <c r="BD285" i="1" s="1"/>
  <c r="AJ285" i="1" s="1"/>
  <c r="AK285" i="1" s="1"/>
  <c r="BB285" i="1"/>
  <c r="AZ285" i="1"/>
  <c r="BA285" i="1" s="1"/>
  <c r="AE285" i="1"/>
  <c r="BE284" i="1"/>
  <c r="BD284" i="1" s="1"/>
  <c r="AJ284" i="1" s="1"/>
  <c r="AK284" i="1" s="1"/>
  <c r="BB284" i="1"/>
  <c r="AZ284" i="1"/>
  <c r="BA284" i="1" s="1"/>
  <c r="AE284" i="1"/>
  <c r="BE283" i="1"/>
  <c r="BB283" i="1"/>
  <c r="AZ283" i="1"/>
  <c r="BA283" i="1" s="1"/>
  <c r="AE283" i="1"/>
  <c r="BE282" i="1"/>
  <c r="BF282" i="1" s="1"/>
  <c r="BB282" i="1"/>
  <c r="AZ282" i="1"/>
  <c r="BA282" i="1" s="1"/>
  <c r="AE282" i="1"/>
  <c r="BE281" i="1"/>
  <c r="BD281" i="1" s="1"/>
  <c r="AJ281" i="1" s="1"/>
  <c r="AK281" i="1" s="1"/>
  <c r="BB281" i="1"/>
  <c r="AZ281" i="1"/>
  <c r="BA281" i="1" s="1"/>
  <c r="AE281" i="1"/>
  <c r="BE280" i="1"/>
  <c r="AF280" i="1" s="1"/>
  <c r="BB280" i="1"/>
  <c r="AZ280" i="1"/>
  <c r="BA280" i="1" s="1"/>
  <c r="AE280" i="1"/>
  <c r="BE279" i="1"/>
  <c r="BB279" i="1"/>
  <c r="AZ279" i="1"/>
  <c r="BA279" i="1" s="1"/>
  <c r="AE279" i="1"/>
  <c r="BE278" i="1"/>
  <c r="BB278" i="1"/>
  <c r="AZ278" i="1"/>
  <c r="BA278" i="1" s="1"/>
  <c r="AE278" i="1"/>
  <c r="BE277" i="1"/>
  <c r="AF277" i="1" s="1"/>
  <c r="AH277" i="1" s="1"/>
  <c r="AI277" i="1" s="1"/>
  <c r="BB277" i="1"/>
  <c r="AZ277" i="1"/>
  <c r="BA277" i="1" s="1"/>
  <c r="AE277" i="1"/>
  <c r="BE276" i="1"/>
  <c r="BF276" i="1" s="1"/>
  <c r="BB276" i="1"/>
  <c r="AZ276" i="1"/>
  <c r="BA276" i="1" s="1"/>
  <c r="AE276" i="1"/>
  <c r="BE275" i="1"/>
  <c r="AF275" i="1" s="1"/>
  <c r="BB275" i="1"/>
  <c r="AZ275" i="1"/>
  <c r="BA275" i="1" s="1"/>
  <c r="AE275" i="1"/>
  <c r="BE274" i="1"/>
  <c r="BF274" i="1" s="1"/>
  <c r="BB274" i="1"/>
  <c r="AZ274" i="1"/>
  <c r="BA274" i="1" s="1"/>
  <c r="AE274" i="1"/>
  <c r="BE273" i="1"/>
  <c r="BD273" i="1" s="1"/>
  <c r="AJ273" i="1" s="1"/>
  <c r="AK273" i="1" s="1"/>
  <c r="BB273" i="1"/>
  <c r="AZ273" i="1"/>
  <c r="BA273" i="1" s="1"/>
  <c r="AE273" i="1"/>
  <c r="BE272" i="1"/>
  <c r="AF272" i="1" s="1"/>
  <c r="AH272" i="1" s="1"/>
  <c r="AI272" i="1" s="1"/>
  <c r="BB272" i="1"/>
  <c r="AZ272" i="1"/>
  <c r="BA272" i="1" s="1"/>
  <c r="AE272" i="1"/>
  <c r="BE271" i="1"/>
  <c r="AF271" i="1" s="1"/>
  <c r="AH271" i="1" s="1"/>
  <c r="AI271" i="1" s="1"/>
  <c r="BB271" i="1"/>
  <c r="AZ271" i="1"/>
  <c r="BA271" i="1" s="1"/>
  <c r="AE271" i="1"/>
  <c r="BE270" i="1"/>
  <c r="BB270" i="1"/>
  <c r="AZ270" i="1"/>
  <c r="BA270" i="1" s="1"/>
  <c r="AE270" i="1"/>
  <c r="BE269" i="1"/>
  <c r="BB269" i="1"/>
  <c r="AZ269" i="1"/>
  <c r="BA269" i="1" s="1"/>
  <c r="AE269" i="1"/>
  <c r="BE268" i="1"/>
  <c r="BB268" i="1"/>
  <c r="AZ268" i="1"/>
  <c r="BA268" i="1" s="1"/>
  <c r="AE268" i="1"/>
  <c r="BE267" i="1"/>
  <c r="AF267" i="1" s="1"/>
  <c r="BB267" i="1"/>
  <c r="AZ267" i="1"/>
  <c r="BA267" i="1" s="1"/>
  <c r="AE267" i="1"/>
  <c r="BE266" i="1"/>
  <c r="BF266" i="1" s="1"/>
  <c r="BB266" i="1"/>
  <c r="AZ266" i="1"/>
  <c r="BA266" i="1" s="1"/>
  <c r="AE266" i="1"/>
  <c r="BE265" i="1"/>
  <c r="BD265" i="1" s="1"/>
  <c r="AJ265" i="1" s="1"/>
  <c r="AK265" i="1" s="1"/>
  <c r="BB265" i="1"/>
  <c r="AZ265" i="1"/>
  <c r="BA265" i="1" s="1"/>
  <c r="AE265" i="1"/>
  <c r="BE264" i="1"/>
  <c r="BB264" i="1"/>
  <c r="AZ264" i="1"/>
  <c r="BA264" i="1" s="1"/>
  <c r="AE264" i="1"/>
  <c r="BE263" i="1"/>
  <c r="AF263" i="1" s="1"/>
  <c r="AH263" i="1" s="1"/>
  <c r="AI263" i="1" s="1"/>
  <c r="BB263" i="1"/>
  <c r="AZ263" i="1"/>
  <c r="BA263" i="1" s="1"/>
  <c r="AE263" i="1"/>
  <c r="BE262" i="1"/>
  <c r="BB262" i="1"/>
  <c r="AZ262" i="1"/>
  <c r="BA262" i="1" s="1"/>
  <c r="AE262" i="1"/>
  <c r="BE261" i="1"/>
  <c r="BD261" i="1" s="1"/>
  <c r="AJ261" i="1" s="1"/>
  <c r="AK261" i="1" s="1"/>
  <c r="BB261" i="1"/>
  <c r="AZ261" i="1"/>
  <c r="BA261" i="1" s="1"/>
  <c r="AE261" i="1"/>
  <c r="BE260" i="1"/>
  <c r="BB260" i="1"/>
  <c r="AZ260" i="1"/>
  <c r="BA260" i="1" s="1"/>
  <c r="AE260" i="1"/>
  <c r="BE259" i="1"/>
  <c r="AF259" i="1" s="1"/>
  <c r="BB259" i="1"/>
  <c r="AZ259" i="1"/>
  <c r="BA259" i="1" s="1"/>
  <c r="AE259" i="1"/>
  <c r="BE258" i="1"/>
  <c r="BF258" i="1" s="1"/>
  <c r="BB258" i="1"/>
  <c r="AZ258" i="1"/>
  <c r="BA258" i="1" s="1"/>
  <c r="AE258" i="1"/>
  <c r="BE257" i="1"/>
  <c r="AL257" i="1" s="1"/>
  <c r="AM257" i="1" s="1"/>
  <c r="BB257" i="1"/>
  <c r="AZ257" i="1"/>
  <c r="BA257" i="1" s="1"/>
  <c r="AE257" i="1"/>
  <c r="BE256" i="1"/>
  <c r="AF256" i="1" s="1"/>
  <c r="AH256" i="1" s="1"/>
  <c r="AI256" i="1" s="1"/>
  <c r="BB256" i="1"/>
  <c r="AZ256" i="1"/>
  <c r="BA256" i="1" s="1"/>
  <c r="AE256" i="1"/>
  <c r="BE255" i="1"/>
  <c r="BB255" i="1"/>
  <c r="AZ255" i="1"/>
  <c r="BA255" i="1" s="1"/>
  <c r="AE255" i="1"/>
  <c r="BE254" i="1"/>
  <c r="BB254" i="1"/>
  <c r="AZ254" i="1"/>
  <c r="BA254" i="1" s="1"/>
  <c r="AE254" i="1"/>
  <c r="BE253" i="1"/>
  <c r="AF253" i="1" s="1"/>
  <c r="BB253" i="1"/>
  <c r="AZ253" i="1"/>
  <c r="BA253" i="1" s="1"/>
  <c r="AE253" i="1"/>
  <c r="BE252" i="1"/>
  <c r="BD252" i="1" s="1"/>
  <c r="AJ252" i="1" s="1"/>
  <c r="AK252" i="1" s="1"/>
  <c r="BB252" i="1"/>
  <c r="AZ252" i="1"/>
  <c r="BA252" i="1" s="1"/>
  <c r="AE252" i="1"/>
  <c r="BE251" i="1"/>
  <c r="AF251" i="1" s="1"/>
  <c r="BB251" i="1"/>
  <c r="AZ251" i="1"/>
  <c r="BA251" i="1" s="1"/>
  <c r="AE251" i="1"/>
  <c r="BE250" i="1"/>
  <c r="BF250" i="1" s="1"/>
  <c r="BB250" i="1"/>
  <c r="AZ250" i="1"/>
  <c r="BA250" i="1" s="1"/>
  <c r="AE250" i="1"/>
  <c r="BE249" i="1"/>
  <c r="AF249" i="1" s="1"/>
  <c r="AH249" i="1" s="1"/>
  <c r="AI249" i="1" s="1"/>
  <c r="BB249" i="1"/>
  <c r="AZ249" i="1"/>
  <c r="BA249" i="1" s="1"/>
  <c r="AE249" i="1"/>
  <c r="BE248" i="1"/>
  <c r="AF248" i="1" s="1"/>
  <c r="AH248" i="1" s="1"/>
  <c r="AI248" i="1" s="1"/>
  <c r="BB248" i="1"/>
  <c r="AZ248" i="1"/>
  <c r="BA248" i="1" s="1"/>
  <c r="AE248" i="1"/>
  <c r="BE247" i="1"/>
  <c r="AF247" i="1" s="1"/>
  <c r="AH247" i="1" s="1"/>
  <c r="AI247" i="1" s="1"/>
  <c r="BB247" i="1"/>
  <c r="AZ247" i="1"/>
  <c r="BA247" i="1" s="1"/>
  <c r="AE247" i="1"/>
  <c r="BE246" i="1"/>
  <c r="AF246" i="1" s="1"/>
  <c r="BB246" i="1"/>
  <c r="AZ246" i="1"/>
  <c r="BA246" i="1" s="1"/>
  <c r="AE246" i="1"/>
  <c r="BE245" i="1"/>
  <c r="BD245" i="1" s="1"/>
  <c r="AJ245" i="1" s="1"/>
  <c r="AK245" i="1" s="1"/>
  <c r="BB245" i="1"/>
  <c r="AZ245" i="1"/>
  <c r="BA245" i="1" s="1"/>
  <c r="AE245" i="1"/>
  <c r="BE244" i="1"/>
  <c r="BB244" i="1"/>
  <c r="AZ244" i="1"/>
  <c r="BA244" i="1" s="1"/>
  <c r="AE244" i="1"/>
  <c r="BE243" i="1"/>
  <c r="AF243" i="1" s="1"/>
  <c r="BB243" i="1"/>
  <c r="AZ243" i="1"/>
  <c r="BA243" i="1" s="1"/>
  <c r="AE243" i="1"/>
  <c r="BE242" i="1"/>
  <c r="BF242" i="1" s="1"/>
  <c r="BB242" i="1"/>
  <c r="AZ242" i="1"/>
  <c r="BA242" i="1" s="1"/>
  <c r="AE242" i="1"/>
  <c r="BE241" i="1"/>
  <c r="BD241" i="1" s="1"/>
  <c r="AJ241" i="1" s="1"/>
  <c r="AK241" i="1" s="1"/>
  <c r="BB241" i="1"/>
  <c r="AZ241" i="1"/>
  <c r="BA241" i="1" s="1"/>
  <c r="AE241" i="1"/>
  <c r="BE240" i="1"/>
  <c r="AF240" i="1" s="1"/>
  <c r="AH240" i="1" s="1"/>
  <c r="AI240" i="1" s="1"/>
  <c r="BB240" i="1"/>
  <c r="AZ240" i="1"/>
  <c r="BA240" i="1" s="1"/>
  <c r="AE240" i="1"/>
  <c r="BE239" i="1"/>
  <c r="BB239" i="1"/>
  <c r="AZ239" i="1"/>
  <c r="BA239" i="1" s="1"/>
  <c r="AE239" i="1"/>
  <c r="BE238" i="1"/>
  <c r="BB238" i="1"/>
  <c r="AZ238" i="1"/>
  <c r="BA238" i="1" s="1"/>
  <c r="AE238" i="1"/>
  <c r="BE237" i="1"/>
  <c r="AF237" i="1" s="1"/>
  <c r="BB237" i="1"/>
  <c r="AZ237" i="1"/>
  <c r="BA237" i="1" s="1"/>
  <c r="AE237" i="1"/>
  <c r="BE236" i="1"/>
  <c r="BF236" i="1" s="1"/>
  <c r="BB236" i="1"/>
  <c r="AZ236" i="1"/>
  <c r="BA236" i="1" s="1"/>
  <c r="AE236" i="1"/>
  <c r="BE235" i="1"/>
  <c r="AF235" i="1" s="1"/>
  <c r="BB235" i="1"/>
  <c r="AZ235" i="1"/>
  <c r="BA235" i="1" s="1"/>
  <c r="AE235" i="1"/>
  <c r="BE234" i="1"/>
  <c r="BF234" i="1" s="1"/>
  <c r="BB234" i="1"/>
  <c r="AZ234" i="1"/>
  <c r="BA234" i="1" s="1"/>
  <c r="AE234" i="1"/>
  <c r="BE233" i="1"/>
  <c r="AF233" i="1" s="1"/>
  <c r="AH233" i="1" s="1"/>
  <c r="AI233" i="1" s="1"/>
  <c r="BB233" i="1"/>
  <c r="AZ233" i="1"/>
  <c r="BA233" i="1" s="1"/>
  <c r="AE233" i="1"/>
  <c r="BE232" i="1"/>
  <c r="BB232" i="1"/>
  <c r="AZ232" i="1"/>
  <c r="BA232" i="1" s="1"/>
  <c r="AE232" i="1"/>
  <c r="BE231" i="1"/>
  <c r="AF231" i="1" s="1"/>
  <c r="AH231" i="1" s="1"/>
  <c r="AI231" i="1" s="1"/>
  <c r="BB231" i="1"/>
  <c r="AZ231" i="1"/>
  <c r="BA231" i="1" s="1"/>
  <c r="AE231" i="1"/>
  <c r="BE230" i="1"/>
  <c r="AF230" i="1" s="1"/>
  <c r="BB230" i="1"/>
  <c r="AZ230" i="1"/>
  <c r="BA230" i="1" s="1"/>
  <c r="AE230" i="1"/>
  <c r="BE229" i="1"/>
  <c r="BB229" i="1"/>
  <c r="AZ229" i="1"/>
  <c r="BA229" i="1" s="1"/>
  <c r="AE229" i="1"/>
  <c r="BE228" i="1"/>
  <c r="BB228" i="1"/>
  <c r="AZ228" i="1"/>
  <c r="BA228" i="1" s="1"/>
  <c r="AE228" i="1"/>
  <c r="BE227" i="1"/>
  <c r="AF227" i="1" s="1"/>
  <c r="BB227" i="1"/>
  <c r="AZ227" i="1"/>
  <c r="BA227" i="1" s="1"/>
  <c r="AE227" i="1"/>
  <c r="BE226" i="1"/>
  <c r="BF226" i="1" s="1"/>
  <c r="BB226" i="1"/>
  <c r="AZ226" i="1"/>
  <c r="BA226" i="1" s="1"/>
  <c r="AE226" i="1"/>
  <c r="BE225" i="1"/>
  <c r="BD225" i="1" s="1"/>
  <c r="AJ225" i="1" s="1"/>
  <c r="AK225" i="1" s="1"/>
  <c r="BB225" i="1"/>
  <c r="AZ225" i="1"/>
  <c r="BA225" i="1" s="1"/>
  <c r="AE225" i="1"/>
  <c r="BE224" i="1"/>
  <c r="BB224" i="1"/>
  <c r="AZ224" i="1"/>
  <c r="BA224" i="1" s="1"/>
  <c r="AE224" i="1"/>
  <c r="BE223" i="1"/>
  <c r="BB223" i="1"/>
  <c r="AZ223" i="1"/>
  <c r="BA223" i="1" s="1"/>
  <c r="AE223" i="1"/>
  <c r="BE222" i="1"/>
  <c r="AL222" i="1" s="1"/>
  <c r="AM222" i="1" s="1"/>
  <c r="BB222" i="1"/>
  <c r="AZ222" i="1"/>
  <c r="BA222" i="1" s="1"/>
  <c r="AE222" i="1"/>
  <c r="BE221" i="1"/>
  <c r="BB221" i="1"/>
  <c r="AZ221" i="1"/>
  <c r="BA221" i="1" s="1"/>
  <c r="AE221" i="1"/>
  <c r="BE220" i="1"/>
  <c r="BB220" i="1"/>
  <c r="AZ220" i="1"/>
  <c r="BA220" i="1" s="1"/>
  <c r="AE220" i="1"/>
  <c r="BE219" i="1"/>
  <c r="AF219" i="1" s="1"/>
  <c r="BB219" i="1"/>
  <c r="AZ219" i="1"/>
  <c r="BA219" i="1" s="1"/>
  <c r="AE219" i="1"/>
  <c r="BE218" i="1"/>
  <c r="BF218" i="1" s="1"/>
  <c r="BB218" i="1"/>
  <c r="AZ218" i="1"/>
  <c r="BA218" i="1" s="1"/>
  <c r="AE218" i="1"/>
  <c r="BE217" i="1"/>
  <c r="BB217" i="1"/>
  <c r="AZ217" i="1"/>
  <c r="BA217" i="1" s="1"/>
  <c r="AE217" i="1"/>
  <c r="BE216" i="1"/>
  <c r="BB216" i="1"/>
  <c r="AZ216" i="1"/>
  <c r="BA216" i="1" s="1"/>
  <c r="AE216" i="1"/>
  <c r="BE215" i="1"/>
  <c r="AF215" i="1" s="1"/>
  <c r="AH215" i="1" s="1"/>
  <c r="AI215" i="1" s="1"/>
  <c r="BB215" i="1"/>
  <c r="AZ215" i="1"/>
  <c r="BA215" i="1" s="1"/>
  <c r="AE215" i="1"/>
  <c r="BE214" i="1"/>
  <c r="AF214" i="1" s="1"/>
  <c r="BB214" i="1"/>
  <c r="AZ214" i="1"/>
  <c r="BA214" i="1" s="1"/>
  <c r="AE214" i="1"/>
  <c r="BE213" i="1"/>
  <c r="BF213" i="1" s="1"/>
  <c r="BB213" i="1"/>
  <c r="AZ213" i="1"/>
  <c r="BA213" i="1" s="1"/>
  <c r="AE213" i="1"/>
  <c r="BE212" i="1"/>
  <c r="AL212" i="1" s="1"/>
  <c r="AM212" i="1" s="1"/>
  <c r="BB212" i="1"/>
  <c r="AZ212" i="1"/>
  <c r="BA212" i="1" s="1"/>
  <c r="AE212" i="1"/>
  <c r="BE211" i="1"/>
  <c r="AF211" i="1" s="1"/>
  <c r="BB211" i="1"/>
  <c r="AZ211" i="1"/>
  <c r="BA211" i="1" s="1"/>
  <c r="AE211" i="1"/>
  <c r="BE210" i="1"/>
  <c r="BF210" i="1" s="1"/>
  <c r="BB210" i="1"/>
  <c r="AZ210" i="1"/>
  <c r="BA210" i="1" s="1"/>
  <c r="AE210" i="1"/>
  <c r="BE209" i="1"/>
  <c r="BF209" i="1" s="1"/>
  <c r="BB209" i="1"/>
  <c r="AZ209" i="1"/>
  <c r="BA209" i="1" s="1"/>
  <c r="AE209" i="1"/>
  <c r="BE208" i="1"/>
  <c r="AF208" i="1" s="1"/>
  <c r="AH208" i="1" s="1"/>
  <c r="AI208" i="1" s="1"/>
  <c r="BB208" i="1"/>
  <c r="AZ208" i="1"/>
  <c r="BA208" i="1" s="1"/>
  <c r="AE208" i="1"/>
  <c r="BE207" i="1"/>
  <c r="BB207" i="1"/>
  <c r="AZ207" i="1"/>
  <c r="BA207" i="1" s="1"/>
  <c r="AE207" i="1"/>
  <c r="BE206" i="1"/>
  <c r="AF206" i="1" s="1"/>
  <c r="AH206" i="1" s="1"/>
  <c r="AI206" i="1" s="1"/>
  <c r="BB206" i="1"/>
  <c r="AZ206" i="1"/>
  <c r="BA206" i="1" s="1"/>
  <c r="AE206" i="1"/>
  <c r="BE205" i="1"/>
  <c r="AL205" i="1" s="1"/>
  <c r="AM205" i="1" s="1"/>
  <c r="BB205" i="1"/>
  <c r="AZ205" i="1"/>
  <c r="BA205" i="1" s="1"/>
  <c r="AE205" i="1"/>
  <c r="BE204" i="1"/>
  <c r="BB204" i="1"/>
  <c r="AZ204" i="1"/>
  <c r="BA204" i="1" s="1"/>
  <c r="AE204" i="1"/>
  <c r="BE203" i="1"/>
  <c r="BB203" i="1"/>
  <c r="AZ203" i="1"/>
  <c r="BA203" i="1" s="1"/>
  <c r="AE203" i="1"/>
  <c r="BE202" i="1"/>
  <c r="BF202" i="1" s="1"/>
  <c r="BB202" i="1"/>
  <c r="AZ202" i="1"/>
  <c r="BA202" i="1" s="1"/>
  <c r="AE202" i="1"/>
  <c r="BE201" i="1"/>
  <c r="AL201" i="1" s="1"/>
  <c r="AM201" i="1" s="1"/>
  <c r="BB201" i="1"/>
  <c r="AZ201" i="1"/>
  <c r="BA201" i="1" s="1"/>
  <c r="AE201" i="1"/>
  <c r="BE200" i="1"/>
  <c r="BB200" i="1"/>
  <c r="AZ200" i="1"/>
  <c r="BA200" i="1" s="1"/>
  <c r="AE200" i="1"/>
  <c r="BE199" i="1"/>
  <c r="BB199" i="1"/>
  <c r="AZ199" i="1"/>
  <c r="BA199" i="1" s="1"/>
  <c r="AE199" i="1"/>
  <c r="BE198" i="1"/>
  <c r="AF198" i="1" s="1"/>
  <c r="BB198" i="1"/>
  <c r="AZ198" i="1"/>
  <c r="BA198" i="1" s="1"/>
  <c r="AE198" i="1"/>
  <c r="BE197" i="1"/>
  <c r="BD197" i="1" s="1"/>
  <c r="AJ197" i="1" s="1"/>
  <c r="AK197" i="1" s="1"/>
  <c r="BB197" i="1"/>
  <c r="AZ197" i="1"/>
  <c r="BA197" i="1" s="1"/>
  <c r="AE197" i="1"/>
  <c r="BE196" i="1"/>
  <c r="AF196" i="1" s="1"/>
  <c r="AH196" i="1" s="1"/>
  <c r="AI196" i="1" s="1"/>
  <c r="BB196" i="1"/>
  <c r="AZ196" i="1"/>
  <c r="BA196" i="1" s="1"/>
  <c r="AE196" i="1"/>
  <c r="BE195" i="1"/>
  <c r="BB195" i="1"/>
  <c r="AZ195" i="1"/>
  <c r="BA195" i="1" s="1"/>
  <c r="AE195" i="1"/>
  <c r="BE194" i="1"/>
  <c r="BF194" i="1" s="1"/>
  <c r="BB194" i="1"/>
  <c r="AZ194" i="1"/>
  <c r="BA194" i="1" s="1"/>
  <c r="AE194" i="1"/>
  <c r="BE193" i="1"/>
  <c r="AF193" i="1" s="1"/>
  <c r="AZ193" i="1"/>
  <c r="BA193" i="1" s="1"/>
  <c r="AE193" i="1"/>
  <c r="BE192" i="1"/>
  <c r="BF192" i="1" s="1"/>
  <c r="AZ192" i="1"/>
  <c r="BA192" i="1" s="1"/>
  <c r="AE192" i="1"/>
  <c r="BE191" i="1"/>
  <c r="AZ191" i="1"/>
  <c r="BA191" i="1" s="1"/>
  <c r="AE191" i="1"/>
  <c r="BE190" i="1"/>
  <c r="BF190" i="1" s="1"/>
  <c r="AZ190" i="1"/>
  <c r="BA190" i="1" s="1"/>
  <c r="AE190" i="1"/>
  <c r="BE189" i="1"/>
  <c r="BF189" i="1" s="1"/>
  <c r="AZ189" i="1"/>
  <c r="BA189" i="1" s="1"/>
  <c r="AE189" i="1"/>
  <c r="BE188" i="1"/>
  <c r="BD188" i="1" s="1"/>
  <c r="AJ188" i="1" s="1"/>
  <c r="AK188" i="1" s="1"/>
  <c r="AZ188" i="1"/>
  <c r="BA188" i="1" s="1"/>
  <c r="AE188" i="1"/>
  <c r="BE187" i="1"/>
  <c r="BC187" i="1" s="1"/>
  <c r="AZ187" i="1"/>
  <c r="BA187" i="1" s="1"/>
  <c r="AE187" i="1"/>
  <c r="BE186" i="1"/>
  <c r="BF186" i="1" s="1"/>
  <c r="AZ186" i="1"/>
  <c r="BA186" i="1" s="1"/>
  <c r="AE186" i="1"/>
  <c r="BE185" i="1"/>
  <c r="AF185" i="1" s="1"/>
  <c r="AH185" i="1" s="1"/>
  <c r="AI185" i="1" s="1"/>
  <c r="AZ185" i="1"/>
  <c r="BA185" i="1" s="1"/>
  <c r="AE185" i="1"/>
  <c r="BE184" i="1"/>
  <c r="BF184" i="1" s="1"/>
  <c r="AZ184" i="1"/>
  <c r="BA184" i="1" s="1"/>
  <c r="AE184" i="1"/>
  <c r="BE183" i="1"/>
  <c r="AZ183" i="1"/>
  <c r="BA183" i="1" s="1"/>
  <c r="AE183" i="1"/>
  <c r="BE182" i="1"/>
  <c r="BC182" i="1" s="1"/>
  <c r="AZ182" i="1"/>
  <c r="BA182" i="1" s="1"/>
  <c r="AE182" i="1"/>
  <c r="BE181" i="1"/>
  <c r="BF181" i="1" s="1"/>
  <c r="AZ181" i="1"/>
  <c r="BA181" i="1" s="1"/>
  <c r="AE181" i="1"/>
  <c r="BE180" i="1"/>
  <c r="BD180" i="1" s="1"/>
  <c r="AJ180" i="1" s="1"/>
  <c r="AK180" i="1" s="1"/>
  <c r="AZ180" i="1"/>
  <c r="BA180" i="1" s="1"/>
  <c r="AE180" i="1"/>
  <c r="BE179" i="1"/>
  <c r="AZ179" i="1"/>
  <c r="BA179" i="1" s="1"/>
  <c r="AE179" i="1"/>
  <c r="BE178" i="1"/>
  <c r="BF178" i="1" s="1"/>
  <c r="AZ178" i="1"/>
  <c r="BA178" i="1" s="1"/>
  <c r="AE178" i="1"/>
  <c r="BE177" i="1"/>
  <c r="AF177" i="1" s="1"/>
  <c r="AH177" i="1" s="1"/>
  <c r="AI177" i="1" s="1"/>
  <c r="AZ177" i="1"/>
  <c r="BA177" i="1" s="1"/>
  <c r="AE177" i="1"/>
  <c r="BE176" i="1"/>
  <c r="AZ176" i="1"/>
  <c r="BA176" i="1" s="1"/>
  <c r="AE176" i="1"/>
  <c r="BE175" i="1"/>
  <c r="AZ175" i="1"/>
  <c r="BA175" i="1" s="1"/>
  <c r="AE175" i="1"/>
  <c r="BE174" i="1"/>
  <c r="BD174" i="1" s="1"/>
  <c r="AJ174" i="1" s="1"/>
  <c r="AK174" i="1" s="1"/>
  <c r="AZ174" i="1"/>
  <c r="BA174" i="1" s="1"/>
  <c r="AE174" i="1"/>
  <c r="BE173" i="1"/>
  <c r="BC173" i="1" s="1"/>
  <c r="AZ173" i="1"/>
  <c r="BA173" i="1" s="1"/>
  <c r="AE173" i="1"/>
  <c r="BE172" i="1"/>
  <c r="BC172" i="1" s="1"/>
  <c r="AZ172" i="1"/>
  <c r="BA172" i="1" s="1"/>
  <c r="AE172" i="1"/>
  <c r="BE171" i="1"/>
  <c r="BC171" i="1" s="1"/>
  <c r="AZ171" i="1"/>
  <c r="BA171" i="1" s="1"/>
  <c r="AE171" i="1"/>
  <c r="BE170" i="1"/>
  <c r="AL170" i="1" s="1"/>
  <c r="AM170" i="1" s="1"/>
  <c r="AZ170" i="1"/>
  <c r="BA170" i="1" s="1"/>
  <c r="AE170" i="1"/>
  <c r="BE169" i="1"/>
  <c r="AF169" i="1" s="1"/>
  <c r="AZ169" i="1"/>
  <c r="BA169" i="1" s="1"/>
  <c r="AE169" i="1"/>
  <c r="BE168" i="1"/>
  <c r="AZ168" i="1"/>
  <c r="BA168" i="1" s="1"/>
  <c r="AE168" i="1"/>
  <c r="BE167" i="1"/>
  <c r="AZ167" i="1"/>
  <c r="BA167" i="1" s="1"/>
  <c r="AE167" i="1"/>
  <c r="BE166" i="1"/>
  <c r="BF166" i="1" s="1"/>
  <c r="AZ166" i="1"/>
  <c r="BA166" i="1" s="1"/>
  <c r="AE166" i="1"/>
  <c r="BE165" i="1"/>
  <c r="BC165" i="1" s="1"/>
  <c r="AZ165" i="1"/>
  <c r="BA165" i="1" s="1"/>
  <c r="AE165" i="1"/>
  <c r="BE164" i="1"/>
  <c r="BC164" i="1" s="1"/>
  <c r="AZ164" i="1"/>
  <c r="BA164" i="1" s="1"/>
  <c r="AE164" i="1"/>
  <c r="BE163" i="1"/>
  <c r="BC163" i="1" s="1"/>
  <c r="AZ163" i="1"/>
  <c r="BA163" i="1" s="1"/>
  <c r="AE163" i="1"/>
  <c r="BE162" i="1"/>
  <c r="BF162" i="1" s="1"/>
  <c r="AZ162" i="1"/>
  <c r="BA162" i="1" s="1"/>
  <c r="AE162" i="1"/>
  <c r="BE161" i="1"/>
  <c r="AF161" i="1" s="1"/>
  <c r="AH161" i="1" s="1"/>
  <c r="AI161" i="1" s="1"/>
  <c r="AZ161" i="1"/>
  <c r="BA161" i="1" s="1"/>
  <c r="AE161" i="1"/>
  <c r="BE160" i="1"/>
  <c r="AZ160" i="1"/>
  <c r="BA160" i="1" s="1"/>
  <c r="AE160" i="1"/>
  <c r="BE159" i="1"/>
  <c r="AZ159" i="1"/>
  <c r="BA159" i="1" s="1"/>
  <c r="AE159" i="1"/>
  <c r="BE158" i="1"/>
  <c r="BC158" i="1" s="1"/>
  <c r="AZ158" i="1"/>
  <c r="BA158" i="1" s="1"/>
  <c r="AE158" i="1"/>
  <c r="BE157" i="1"/>
  <c r="AZ157" i="1"/>
  <c r="BA157" i="1" s="1"/>
  <c r="AE157" i="1"/>
  <c r="BE156" i="1"/>
  <c r="BC156" i="1" s="1"/>
  <c r="AZ156" i="1"/>
  <c r="BA156" i="1" s="1"/>
  <c r="AE156" i="1"/>
  <c r="BE155" i="1"/>
  <c r="BD155" i="1" s="1"/>
  <c r="AJ155" i="1" s="1"/>
  <c r="AK155" i="1" s="1"/>
  <c r="AZ155" i="1"/>
  <c r="BA155" i="1" s="1"/>
  <c r="AE155" i="1"/>
  <c r="BE154" i="1"/>
  <c r="BD154" i="1" s="1"/>
  <c r="AJ154" i="1" s="1"/>
  <c r="AK154" i="1" s="1"/>
  <c r="AZ154" i="1"/>
  <c r="BA154" i="1" s="1"/>
  <c r="AE154" i="1"/>
  <c r="BE153" i="1"/>
  <c r="BC153" i="1" s="1"/>
  <c r="AZ153" i="1"/>
  <c r="BA153" i="1" s="1"/>
  <c r="AE153" i="1"/>
  <c r="BE152" i="1"/>
  <c r="BF152" i="1" s="1"/>
  <c r="AZ152" i="1"/>
  <c r="BA152" i="1" s="1"/>
  <c r="AE152" i="1"/>
  <c r="BE151" i="1"/>
  <c r="AZ151" i="1"/>
  <c r="BA151" i="1" s="1"/>
  <c r="AE151" i="1"/>
  <c r="BE150" i="1"/>
  <c r="BF150" i="1" s="1"/>
  <c r="AZ150" i="1"/>
  <c r="BA150" i="1" s="1"/>
  <c r="AE150" i="1"/>
  <c r="BE149" i="1"/>
  <c r="BF149" i="1" s="1"/>
  <c r="AZ149" i="1"/>
  <c r="BA149" i="1" s="1"/>
  <c r="AE149" i="1"/>
  <c r="BE148" i="1"/>
  <c r="AZ148" i="1"/>
  <c r="BA148" i="1" s="1"/>
  <c r="AE148" i="1"/>
  <c r="BE147" i="1"/>
  <c r="AZ147" i="1"/>
  <c r="BA147" i="1" s="1"/>
  <c r="AE147" i="1"/>
  <c r="BE146" i="1"/>
  <c r="BD146" i="1" s="1"/>
  <c r="AJ146" i="1" s="1"/>
  <c r="AK146" i="1" s="1"/>
  <c r="AZ146" i="1"/>
  <c r="BA146" i="1" s="1"/>
  <c r="AE146" i="1"/>
  <c r="BE145" i="1"/>
  <c r="BC145" i="1" s="1"/>
  <c r="AZ145" i="1"/>
  <c r="BA145" i="1" s="1"/>
  <c r="AE145" i="1"/>
  <c r="BE144" i="1"/>
  <c r="BC144" i="1" s="1"/>
  <c r="AZ144" i="1"/>
  <c r="BA144" i="1" s="1"/>
  <c r="AE144" i="1"/>
  <c r="BE143" i="1"/>
  <c r="BF143" i="1" s="1"/>
  <c r="AZ143" i="1"/>
  <c r="BA143" i="1" s="1"/>
  <c r="AE143" i="1"/>
  <c r="BE142" i="1"/>
  <c r="BC142" i="1" s="1"/>
  <c r="AZ142" i="1"/>
  <c r="BA142" i="1" s="1"/>
  <c r="AE142" i="1"/>
  <c r="BE141" i="1"/>
  <c r="BF141" i="1" s="1"/>
  <c r="AZ141" i="1"/>
  <c r="BA141" i="1" s="1"/>
  <c r="AE141" i="1"/>
  <c r="BE140" i="1"/>
  <c r="BC140" i="1" s="1"/>
  <c r="AZ140" i="1"/>
  <c r="BA140" i="1" s="1"/>
  <c r="AE140" i="1"/>
  <c r="BE139" i="1"/>
  <c r="BD139" i="1" s="1"/>
  <c r="AJ139" i="1" s="1"/>
  <c r="AK139" i="1" s="1"/>
  <c r="AZ139" i="1"/>
  <c r="BA139" i="1" s="1"/>
  <c r="AE139" i="1"/>
  <c r="BE138" i="1"/>
  <c r="BD138" i="1" s="1"/>
  <c r="AJ138" i="1" s="1"/>
  <c r="AK138" i="1" s="1"/>
  <c r="AZ138" i="1"/>
  <c r="BA138" i="1" s="1"/>
  <c r="AE138" i="1"/>
  <c r="BE137" i="1"/>
  <c r="BC137" i="1" s="1"/>
  <c r="AZ137" i="1"/>
  <c r="BA137" i="1" s="1"/>
  <c r="AE137" i="1"/>
  <c r="BE136" i="1"/>
  <c r="AZ136" i="1"/>
  <c r="BA136" i="1" s="1"/>
  <c r="AE136" i="1"/>
  <c r="BE135" i="1"/>
  <c r="AL135" i="1" s="1"/>
  <c r="AM135" i="1" s="1"/>
  <c r="AZ135" i="1"/>
  <c r="BA135" i="1" s="1"/>
  <c r="AE135" i="1"/>
  <c r="BE134" i="1"/>
  <c r="AZ134" i="1"/>
  <c r="BA134" i="1" s="1"/>
  <c r="AE134" i="1"/>
  <c r="BE133" i="1"/>
  <c r="BD133" i="1" s="1"/>
  <c r="AJ133" i="1" s="1"/>
  <c r="AK133" i="1" s="1"/>
  <c r="AZ133" i="1"/>
  <c r="BA133" i="1" s="1"/>
  <c r="AE133" i="1"/>
  <c r="BE132" i="1"/>
  <c r="BC132" i="1" s="1"/>
  <c r="AZ132" i="1"/>
  <c r="BA132" i="1" s="1"/>
  <c r="AE132" i="1"/>
  <c r="BE131" i="1"/>
  <c r="BD131" i="1" s="1"/>
  <c r="AJ131" i="1" s="1"/>
  <c r="AK131" i="1" s="1"/>
  <c r="AZ131" i="1"/>
  <c r="BA131" i="1" s="1"/>
  <c r="AE131" i="1"/>
  <c r="BE130" i="1"/>
  <c r="BD130" i="1" s="1"/>
  <c r="AJ130" i="1" s="1"/>
  <c r="AK130" i="1" s="1"/>
  <c r="AZ130" i="1"/>
  <c r="BA130" i="1" s="1"/>
  <c r="AE130" i="1"/>
  <c r="BE129" i="1"/>
  <c r="BD129" i="1" s="1"/>
  <c r="AJ129" i="1" s="1"/>
  <c r="AK129" i="1" s="1"/>
  <c r="AZ129" i="1"/>
  <c r="BA129" i="1" s="1"/>
  <c r="AE129" i="1"/>
  <c r="BE128" i="1"/>
  <c r="AL128" i="1" s="1"/>
  <c r="AM128" i="1" s="1"/>
  <c r="AZ128" i="1"/>
  <c r="BA128" i="1" s="1"/>
  <c r="AE128" i="1"/>
  <c r="BE127" i="1"/>
  <c r="BF127" i="1" s="1"/>
  <c r="AZ127" i="1"/>
  <c r="BA127" i="1" s="1"/>
  <c r="AE127" i="1"/>
  <c r="BE126" i="1"/>
  <c r="BC126" i="1" s="1"/>
  <c r="AZ126" i="1"/>
  <c r="BA126" i="1" s="1"/>
  <c r="AE126" i="1"/>
  <c r="BE125" i="1"/>
  <c r="BC125" i="1" s="1"/>
  <c r="AZ125" i="1"/>
  <c r="BA125" i="1" s="1"/>
  <c r="AE125" i="1"/>
  <c r="BE124" i="1"/>
  <c r="BC124" i="1" s="1"/>
  <c r="AZ124" i="1"/>
  <c r="BA124" i="1" s="1"/>
  <c r="AE124" i="1"/>
  <c r="BE123" i="1"/>
  <c r="BF123" i="1" s="1"/>
  <c r="AZ123" i="1"/>
  <c r="BA123" i="1" s="1"/>
  <c r="AE123" i="1"/>
  <c r="BE122" i="1"/>
  <c r="BC122" i="1" s="1"/>
  <c r="AZ122" i="1"/>
  <c r="BA122" i="1" s="1"/>
  <c r="AE122" i="1"/>
  <c r="BE121" i="1"/>
  <c r="AL121" i="1" s="1"/>
  <c r="AM121" i="1" s="1"/>
  <c r="AZ121" i="1"/>
  <c r="BA121" i="1" s="1"/>
  <c r="AE121" i="1"/>
  <c r="BE120" i="1"/>
  <c r="BC120" i="1" s="1"/>
  <c r="AZ120" i="1"/>
  <c r="BA120" i="1" s="1"/>
  <c r="AE120" i="1"/>
  <c r="BE119" i="1"/>
  <c r="BF119" i="1" s="1"/>
  <c r="AZ119" i="1"/>
  <c r="BA119" i="1" s="1"/>
  <c r="AE119" i="1"/>
  <c r="BE118" i="1"/>
  <c r="AF118" i="1" s="1"/>
  <c r="AH118" i="1" s="1"/>
  <c r="AI118" i="1" s="1"/>
  <c r="AZ118" i="1"/>
  <c r="BA118" i="1" s="1"/>
  <c r="AE118" i="1"/>
  <c r="BE117" i="1"/>
  <c r="AZ117" i="1"/>
  <c r="BA117" i="1" s="1"/>
  <c r="AE117" i="1"/>
  <c r="BE116" i="1"/>
  <c r="BD116" i="1" s="1"/>
  <c r="AJ116" i="1" s="1"/>
  <c r="AK116" i="1" s="1"/>
  <c r="AZ116" i="1"/>
  <c r="BA116" i="1" s="1"/>
  <c r="AE116" i="1"/>
  <c r="BE115" i="1"/>
  <c r="AF115" i="1" s="1"/>
  <c r="AZ115" i="1"/>
  <c r="BA115" i="1" s="1"/>
  <c r="AE115" i="1"/>
  <c r="BE114" i="1"/>
  <c r="BC114" i="1" s="1"/>
  <c r="AZ114" i="1"/>
  <c r="BA114" i="1" s="1"/>
  <c r="AE114" i="1"/>
  <c r="BE113" i="1"/>
  <c r="AL113" i="1" s="1"/>
  <c r="AM113" i="1" s="1"/>
  <c r="AZ113" i="1"/>
  <c r="BA113" i="1" s="1"/>
  <c r="AE113" i="1"/>
  <c r="BE112" i="1"/>
  <c r="BC112" i="1" s="1"/>
  <c r="AZ112" i="1"/>
  <c r="BA112" i="1" s="1"/>
  <c r="AE112" i="1"/>
  <c r="BE111" i="1"/>
  <c r="BF111" i="1" s="1"/>
  <c r="AZ111" i="1"/>
  <c r="BA111" i="1" s="1"/>
  <c r="AE111" i="1"/>
  <c r="BE110" i="1"/>
  <c r="AF110" i="1" s="1"/>
  <c r="AH110" i="1" s="1"/>
  <c r="AI110" i="1" s="1"/>
  <c r="AZ110" i="1"/>
  <c r="BA110" i="1" s="1"/>
  <c r="AE110" i="1"/>
  <c r="BE109" i="1"/>
  <c r="AZ109" i="1"/>
  <c r="BA109" i="1" s="1"/>
  <c r="AE109" i="1"/>
  <c r="BE108" i="1"/>
  <c r="BC108" i="1" s="1"/>
  <c r="AZ108" i="1"/>
  <c r="BA108" i="1" s="1"/>
  <c r="AE108" i="1"/>
  <c r="BE107" i="1"/>
  <c r="AF107" i="1" s="1"/>
  <c r="AH107" i="1" s="1"/>
  <c r="AI107" i="1" s="1"/>
  <c r="AZ107" i="1"/>
  <c r="BA107" i="1" s="1"/>
  <c r="AE107" i="1"/>
  <c r="BE106" i="1"/>
  <c r="BC106" i="1" s="1"/>
  <c r="AZ106" i="1"/>
  <c r="BA106" i="1" s="1"/>
  <c r="AE106" i="1"/>
  <c r="BE105" i="1"/>
  <c r="AL105" i="1" s="1"/>
  <c r="AM105" i="1" s="1"/>
  <c r="AZ105" i="1"/>
  <c r="BA105" i="1" s="1"/>
  <c r="AE105" i="1"/>
  <c r="BE104" i="1"/>
  <c r="BC104" i="1" s="1"/>
  <c r="AZ104" i="1"/>
  <c r="BA104" i="1" s="1"/>
  <c r="AE104" i="1"/>
  <c r="BE103" i="1"/>
  <c r="BF103" i="1" s="1"/>
  <c r="AZ103" i="1"/>
  <c r="BA103" i="1" s="1"/>
  <c r="AE103" i="1"/>
  <c r="BE102" i="1"/>
  <c r="AF102" i="1" s="1"/>
  <c r="AH102" i="1" s="1"/>
  <c r="AI102" i="1" s="1"/>
  <c r="AZ102" i="1"/>
  <c r="BA102" i="1" s="1"/>
  <c r="AE102" i="1"/>
  <c r="BE101" i="1"/>
  <c r="AZ101" i="1"/>
  <c r="BA101" i="1" s="1"/>
  <c r="AE101" i="1"/>
  <c r="BE100" i="1"/>
  <c r="BC100" i="1" s="1"/>
  <c r="AZ100" i="1"/>
  <c r="BA100" i="1" s="1"/>
  <c r="AE100" i="1"/>
  <c r="BE99" i="1"/>
  <c r="AF99" i="1" s="1"/>
  <c r="AZ99" i="1"/>
  <c r="BA99" i="1" s="1"/>
  <c r="AE99" i="1"/>
  <c r="BE98" i="1"/>
  <c r="BC98" i="1" s="1"/>
  <c r="AZ98" i="1"/>
  <c r="BA98" i="1" s="1"/>
  <c r="AE98" i="1"/>
  <c r="BE97" i="1"/>
  <c r="AL97" i="1" s="1"/>
  <c r="AM97" i="1" s="1"/>
  <c r="AZ97" i="1"/>
  <c r="BA97" i="1" s="1"/>
  <c r="AE97" i="1"/>
  <c r="BE96" i="1"/>
  <c r="BC96" i="1" s="1"/>
  <c r="AZ96" i="1"/>
  <c r="BA96" i="1" s="1"/>
  <c r="AE96" i="1"/>
  <c r="BE95" i="1"/>
  <c r="AL95" i="1" s="1"/>
  <c r="AM95" i="1" s="1"/>
  <c r="AZ95" i="1"/>
  <c r="BA95" i="1" s="1"/>
  <c r="AE95" i="1"/>
  <c r="BE94" i="1"/>
  <c r="BF94" i="1" s="1"/>
  <c r="AZ94" i="1"/>
  <c r="BA94" i="1" s="1"/>
  <c r="AE94" i="1"/>
  <c r="BE93" i="1"/>
  <c r="AZ93" i="1"/>
  <c r="BA93" i="1" s="1"/>
  <c r="AE93" i="1"/>
  <c r="BE92" i="1"/>
  <c r="BC92" i="1" s="1"/>
  <c r="AZ92" i="1"/>
  <c r="BA92" i="1" s="1"/>
  <c r="AE92" i="1"/>
  <c r="BE91" i="1"/>
  <c r="AF91" i="1" s="1"/>
  <c r="AZ91" i="1"/>
  <c r="BA91" i="1" s="1"/>
  <c r="AE91" i="1"/>
  <c r="BE90" i="1"/>
  <c r="AZ90" i="1"/>
  <c r="BA90" i="1" s="1"/>
  <c r="AE90" i="1"/>
  <c r="BE89" i="1"/>
  <c r="AL89" i="1" s="1"/>
  <c r="AM89" i="1" s="1"/>
  <c r="AZ89" i="1"/>
  <c r="BA89" i="1" s="1"/>
  <c r="AE89" i="1"/>
  <c r="BE88" i="1"/>
  <c r="BC88" i="1" s="1"/>
  <c r="AZ88" i="1"/>
  <c r="BA88" i="1" s="1"/>
  <c r="AE88" i="1"/>
  <c r="BE87" i="1"/>
  <c r="AZ87" i="1"/>
  <c r="BA87" i="1" s="1"/>
  <c r="AE87" i="1"/>
  <c r="BE86" i="1"/>
  <c r="AF86" i="1" s="1"/>
  <c r="AH86" i="1" s="1"/>
  <c r="AI86" i="1" s="1"/>
  <c r="AZ86" i="1"/>
  <c r="BA86" i="1" s="1"/>
  <c r="AE86" i="1"/>
  <c r="BE85" i="1"/>
  <c r="AZ85" i="1"/>
  <c r="BA85" i="1" s="1"/>
  <c r="AE85" i="1"/>
  <c r="BE84" i="1"/>
  <c r="BF84" i="1" s="1"/>
  <c r="AZ84" i="1"/>
  <c r="BA84" i="1" s="1"/>
  <c r="AE84" i="1"/>
  <c r="BE83" i="1"/>
  <c r="AF83" i="1" s="1"/>
  <c r="AZ83" i="1"/>
  <c r="BA83" i="1" s="1"/>
  <c r="AE83" i="1"/>
  <c r="BE82" i="1"/>
  <c r="AZ82" i="1"/>
  <c r="BA82" i="1" s="1"/>
  <c r="AE82" i="1"/>
  <c r="BE81" i="1"/>
  <c r="AL81" i="1" s="1"/>
  <c r="AM81" i="1" s="1"/>
  <c r="AZ81" i="1"/>
  <c r="BA81" i="1" s="1"/>
  <c r="AE81" i="1"/>
  <c r="BE80" i="1"/>
  <c r="AZ80" i="1"/>
  <c r="BA80" i="1" s="1"/>
  <c r="AE80" i="1"/>
  <c r="BE79" i="1"/>
  <c r="BF79" i="1" s="1"/>
  <c r="AZ79" i="1"/>
  <c r="BA79" i="1" s="1"/>
  <c r="AE79" i="1"/>
  <c r="BE78" i="1"/>
  <c r="AF78" i="1" s="1"/>
  <c r="AH78" i="1" s="1"/>
  <c r="AI78" i="1" s="1"/>
  <c r="AZ78" i="1"/>
  <c r="BA78" i="1" s="1"/>
  <c r="AE78" i="1"/>
  <c r="BE77" i="1"/>
  <c r="AZ77" i="1"/>
  <c r="BA77" i="1" s="1"/>
  <c r="AE77" i="1"/>
  <c r="BE76" i="1"/>
  <c r="BF76" i="1" s="1"/>
  <c r="AZ76" i="1"/>
  <c r="BA76" i="1" s="1"/>
  <c r="AE76" i="1"/>
  <c r="BE75" i="1"/>
  <c r="AF75" i="1" s="1"/>
  <c r="AH75" i="1" s="1"/>
  <c r="AI75" i="1" s="1"/>
  <c r="AZ75" i="1"/>
  <c r="BA75" i="1" s="1"/>
  <c r="AE75" i="1"/>
  <c r="BE74" i="1"/>
  <c r="BC74" i="1" s="1"/>
  <c r="AZ74" i="1"/>
  <c r="BA74" i="1" s="1"/>
  <c r="AE74" i="1"/>
  <c r="BE73" i="1"/>
  <c r="AL73" i="1" s="1"/>
  <c r="AM73" i="1" s="1"/>
  <c r="AZ73" i="1"/>
  <c r="BA73" i="1" s="1"/>
  <c r="AE73" i="1"/>
  <c r="BE72" i="1"/>
  <c r="BC72" i="1" s="1"/>
  <c r="AZ72" i="1"/>
  <c r="BA72" i="1" s="1"/>
  <c r="AE72" i="1"/>
  <c r="BE71" i="1"/>
  <c r="BF71" i="1" s="1"/>
  <c r="AZ71" i="1"/>
  <c r="BA71" i="1" s="1"/>
  <c r="AE71" i="1"/>
  <c r="BE70" i="1"/>
  <c r="AF70" i="1" s="1"/>
  <c r="AH70" i="1" s="1"/>
  <c r="AI70" i="1" s="1"/>
  <c r="AZ70" i="1"/>
  <c r="BA70" i="1" s="1"/>
  <c r="AE70" i="1"/>
  <c r="BE69" i="1"/>
  <c r="AZ69" i="1"/>
  <c r="BA69" i="1" s="1"/>
  <c r="AE69" i="1"/>
  <c r="BE68" i="1"/>
  <c r="BC68" i="1" s="1"/>
  <c r="AZ68" i="1"/>
  <c r="BA68" i="1" s="1"/>
  <c r="AE68" i="1"/>
  <c r="BE67" i="1"/>
  <c r="AF67" i="1" s="1"/>
  <c r="AH67" i="1" s="1"/>
  <c r="AI67" i="1" s="1"/>
  <c r="AZ67" i="1"/>
  <c r="BA67" i="1" s="1"/>
  <c r="AE67" i="1"/>
  <c r="BE66" i="1"/>
  <c r="BC66" i="1" s="1"/>
  <c r="AZ66" i="1"/>
  <c r="BA66" i="1" s="1"/>
  <c r="AE66" i="1"/>
  <c r="BE65" i="1"/>
  <c r="AL65" i="1" s="1"/>
  <c r="AM65" i="1" s="1"/>
  <c r="AZ65" i="1"/>
  <c r="BA65" i="1" s="1"/>
  <c r="AE65" i="1"/>
  <c r="BE64" i="1"/>
  <c r="BC64" i="1" s="1"/>
  <c r="AZ64" i="1"/>
  <c r="BA64" i="1" s="1"/>
  <c r="AE64" i="1"/>
  <c r="BE63" i="1"/>
  <c r="BF63" i="1" s="1"/>
  <c r="AZ63" i="1"/>
  <c r="BA63" i="1" s="1"/>
  <c r="AE63" i="1"/>
  <c r="BE62" i="1"/>
  <c r="AF62" i="1" s="1"/>
  <c r="AH62" i="1" s="1"/>
  <c r="AI62" i="1" s="1"/>
  <c r="AZ62" i="1"/>
  <c r="BA62" i="1" s="1"/>
  <c r="AE62" i="1"/>
  <c r="BE61" i="1"/>
  <c r="AL61" i="1" s="1"/>
  <c r="AM61" i="1" s="1"/>
  <c r="AZ61" i="1"/>
  <c r="BA61" i="1" s="1"/>
  <c r="AE61" i="1"/>
  <c r="BE60" i="1"/>
  <c r="AF60" i="1" s="1"/>
  <c r="AH60" i="1" s="1"/>
  <c r="AI60" i="1" s="1"/>
  <c r="AZ60" i="1"/>
  <c r="BA60" i="1" s="1"/>
  <c r="AE60" i="1"/>
  <c r="BE59" i="1"/>
  <c r="BC59" i="1" s="1"/>
  <c r="AZ59" i="1"/>
  <c r="BA59" i="1" s="1"/>
  <c r="AE59" i="1"/>
  <c r="BE58" i="1"/>
  <c r="BC58" i="1" s="1"/>
  <c r="AZ58" i="1"/>
  <c r="BA58" i="1" s="1"/>
  <c r="AE58" i="1"/>
  <c r="BE57" i="1"/>
  <c r="AL57" i="1" s="1"/>
  <c r="AM57" i="1" s="1"/>
  <c r="AZ57" i="1"/>
  <c r="BA57" i="1" s="1"/>
  <c r="AE57" i="1"/>
  <c r="BE56" i="1"/>
  <c r="BC56" i="1" s="1"/>
  <c r="AZ56" i="1"/>
  <c r="BA56" i="1" s="1"/>
  <c r="AE56" i="1"/>
  <c r="BE55" i="1"/>
  <c r="BF55" i="1" s="1"/>
  <c r="AZ55" i="1"/>
  <c r="BA55" i="1" s="1"/>
  <c r="AE55" i="1"/>
  <c r="BE54" i="1"/>
  <c r="AF54" i="1" s="1"/>
  <c r="AH54" i="1" s="1"/>
  <c r="AI54" i="1" s="1"/>
  <c r="AZ54" i="1"/>
  <c r="BA54" i="1" s="1"/>
  <c r="AE54" i="1"/>
  <c r="BE53" i="1"/>
  <c r="AL53" i="1" s="1"/>
  <c r="AM53" i="1" s="1"/>
  <c r="AZ53" i="1"/>
  <c r="BA53" i="1" s="1"/>
  <c r="AE53" i="1"/>
  <c r="BE52" i="1"/>
  <c r="BF52" i="1" s="1"/>
  <c r="AZ52" i="1"/>
  <c r="BA52" i="1" s="1"/>
  <c r="AE52" i="1"/>
  <c r="BE51" i="1"/>
  <c r="BC51" i="1" s="1"/>
  <c r="AZ51" i="1"/>
  <c r="BA51" i="1" s="1"/>
  <c r="AE51" i="1"/>
  <c r="BE50" i="1"/>
  <c r="BC50" i="1" s="1"/>
  <c r="AZ50" i="1"/>
  <c r="BA50" i="1" s="1"/>
  <c r="AE50" i="1"/>
  <c r="BE49" i="1"/>
  <c r="AL49" i="1" s="1"/>
  <c r="AM49" i="1" s="1"/>
  <c r="AZ49" i="1"/>
  <c r="BA49" i="1" s="1"/>
  <c r="AE49" i="1"/>
  <c r="BE48" i="1"/>
  <c r="BC48" i="1" s="1"/>
  <c r="AZ48" i="1"/>
  <c r="BA48" i="1" s="1"/>
  <c r="AE48" i="1"/>
  <c r="BE47" i="1"/>
  <c r="BF47" i="1" s="1"/>
  <c r="AZ47" i="1"/>
  <c r="BA47" i="1" s="1"/>
  <c r="AE47" i="1"/>
  <c r="BE46" i="1"/>
  <c r="AF46" i="1" s="1"/>
  <c r="AH46" i="1" s="1"/>
  <c r="AI46" i="1" s="1"/>
  <c r="AZ46" i="1"/>
  <c r="BA46" i="1" s="1"/>
  <c r="AE46" i="1"/>
  <c r="BE45" i="1"/>
  <c r="AL45" i="1" s="1"/>
  <c r="AM45" i="1" s="1"/>
  <c r="AZ45" i="1"/>
  <c r="BA45" i="1" s="1"/>
  <c r="AE45" i="1"/>
  <c r="BE44" i="1"/>
  <c r="BF44" i="1" s="1"/>
  <c r="AZ44" i="1"/>
  <c r="BA44" i="1" s="1"/>
  <c r="AE44" i="1"/>
  <c r="BE43" i="1"/>
  <c r="BC43" i="1" s="1"/>
  <c r="AZ43" i="1"/>
  <c r="BA43" i="1" s="1"/>
  <c r="AE43" i="1"/>
  <c r="BE42" i="1"/>
  <c r="BF42" i="1" s="1"/>
  <c r="AZ42" i="1"/>
  <c r="BA42" i="1" s="1"/>
  <c r="AE42" i="1"/>
  <c r="BE41" i="1"/>
  <c r="AL41" i="1" s="1"/>
  <c r="AM41" i="1" s="1"/>
  <c r="AZ41" i="1"/>
  <c r="BA41" i="1" s="1"/>
  <c r="AE41" i="1"/>
  <c r="BE40" i="1"/>
  <c r="AZ40" i="1"/>
  <c r="BA40" i="1" s="1"/>
  <c r="AE40" i="1"/>
  <c r="BE39" i="1"/>
  <c r="AZ39" i="1"/>
  <c r="BA39" i="1" s="1"/>
  <c r="AE39" i="1"/>
  <c r="BE38" i="1"/>
  <c r="AZ38" i="1"/>
  <c r="BA38" i="1" s="1"/>
  <c r="AE38" i="1"/>
  <c r="BE37" i="1"/>
  <c r="BF37" i="1" s="1"/>
  <c r="AZ37" i="1"/>
  <c r="BA37" i="1" s="1"/>
  <c r="AE37" i="1"/>
  <c r="BE36" i="1"/>
  <c r="BC36" i="1" s="1"/>
  <c r="AZ36" i="1"/>
  <c r="BA36" i="1" s="1"/>
  <c r="AE36" i="1"/>
  <c r="BE35" i="1"/>
  <c r="AL35" i="1" s="1"/>
  <c r="AM35" i="1" s="1"/>
  <c r="AZ35" i="1"/>
  <c r="BA35" i="1" s="1"/>
  <c r="AE35" i="1"/>
  <c r="BE34" i="1"/>
  <c r="BC34" i="1" s="1"/>
  <c r="AZ34" i="1"/>
  <c r="BA34" i="1" s="1"/>
  <c r="AE34" i="1"/>
  <c r="BE33" i="1"/>
  <c r="BF33" i="1" s="1"/>
  <c r="AZ33" i="1"/>
  <c r="BA33" i="1" s="1"/>
  <c r="AE33" i="1"/>
  <c r="BE32" i="1"/>
  <c r="AZ32" i="1"/>
  <c r="BA32" i="1" s="1"/>
  <c r="AE32" i="1"/>
  <c r="BE31" i="1"/>
  <c r="BC31" i="1" s="1"/>
  <c r="AZ31" i="1"/>
  <c r="BA31" i="1" s="1"/>
  <c r="AE31" i="1"/>
  <c r="BE30" i="1"/>
  <c r="BF30" i="1" s="1"/>
  <c r="AZ30" i="1"/>
  <c r="BA30" i="1" s="1"/>
  <c r="AE30" i="1"/>
  <c r="BE29" i="1"/>
  <c r="BD29" i="1" s="1"/>
  <c r="AJ29" i="1" s="1"/>
  <c r="AK29" i="1" s="1"/>
  <c r="AZ29" i="1"/>
  <c r="BA29" i="1" s="1"/>
  <c r="AE29" i="1"/>
  <c r="BE28" i="1"/>
  <c r="BC28" i="1" s="1"/>
  <c r="AZ28" i="1"/>
  <c r="BA28" i="1" s="1"/>
  <c r="AE28" i="1"/>
  <c r="BE27" i="1"/>
  <c r="BF27" i="1" s="1"/>
  <c r="AZ27" i="1"/>
  <c r="BA27" i="1" s="1"/>
  <c r="AE27" i="1"/>
  <c r="BE26" i="1"/>
  <c r="BC26" i="1" s="1"/>
  <c r="AZ26" i="1"/>
  <c r="BA26" i="1" s="1"/>
  <c r="AE26" i="1"/>
  <c r="BE25" i="1"/>
  <c r="BC25" i="1" s="1"/>
  <c r="AZ25" i="1"/>
  <c r="BA25" i="1" s="1"/>
  <c r="AE25" i="1"/>
  <c r="BE24" i="1"/>
  <c r="BF24" i="1" s="1"/>
  <c r="AZ24" i="1"/>
  <c r="BA24" i="1" s="1"/>
  <c r="AE24" i="1"/>
  <c r="BE21" i="1"/>
  <c r="AL21" i="1" s="1"/>
  <c r="AM21" i="1" s="1"/>
  <c r="AZ21" i="1"/>
  <c r="BA21" i="1" s="1"/>
  <c r="AE21" i="1"/>
  <c r="BE20" i="1"/>
  <c r="AZ20" i="1"/>
  <c r="BA20" i="1" s="1"/>
  <c r="AE20" i="1"/>
  <c r="BE19" i="1"/>
  <c r="BD19" i="1" s="1"/>
  <c r="AJ19" i="1" s="1"/>
  <c r="AK19" i="1" s="1"/>
  <c r="AZ19" i="1"/>
  <c r="BA19" i="1" s="1"/>
  <c r="AE19" i="1"/>
  <c r="BE18" i="1"/>
  <c r="BC18" i="1" s="1"/>
  <c r="AZ18" i="1"/>
  <c r="BA18" i="1" s="1"/>
  <c r="AE18" i="1"/>
  <c r="BE17" i="1"/>
  <c r="BF17" i="1" s="1"/>
  <c r="AZ17" i="1"/>
  <c r="BA17" i="1" s="1"/>
  <c r="AE17" i="1"/>
  <c r="BE16" i="1"/>
  <c r="BC16" i="1" s="1"/>
  <c r="AZ16" i="1"/>
  <c r="BA16" i="1" s="1"/>
  <c r="AE16" i="1"/>
  <c r="BE15" i="1"/>
  <c r="AL15" i="1" s="1"/>
  <c r="AM15" i="1" s="1"/>
  <c r="AZ15" i="1"/>
  <c r="BA15" i="1" s="1"/>
  <c r="AE15" i="1"/>
  <c r="BE14" i="1"/>
  <c r="BD14" i="1" s="1"/>
  <c r="AJ14" i="1" s="1"/>
  <c r="AK14" i="1" s="1"/>
  <c r="AZ14" i="1"/>
  <c r="BA14" i="1" s="1"/>
  <c r="AE14" i="1"/>
  <c r="BE13" i="1"/>
  <c r="BC13" i="1" s="1"/>
  <c r="AZ13" i="1"/>
  <c r="BA13" i="1" s="1"/>
  <c r="AE13" i="1"/>
  <c r="BE12" i="1"/>
  <c r="BD12" i="1" s="1"/>
  <c r="AJ12" i="1" s="1"/>
  <c r="AK12" i="1" s="1"/>
  <c r="AZ12" i="1"/>
  <c r="BA12" i="1" s="1"/>
  <c r="AE12" i="1"/>
  <c r="BE11" i="1"/>
  <c r="BF11" i="1" s="1"/>
  <c r="AZ11" i="1"/>
  <c r="BA11" i="1" s="1"/>
  <c r="AE11" i="1"/>
  <c r="BE10" i="1"/>
  <c r="BD10" i="1" s="1"/>
  <c r="AJ10" i="1" s="1"/>
  <c r="AK10" i="1" s="1"/>
  <c r="AZ10" i="1"/>
  <c r="BA10" i="1" s="1"/>
  <c r="AE10" i="1"/>
  <c r="BE9" i="1"/>
  <c r="AF9" i="1" s="1"/>
  <c r="AZ9" i="1"/>
  <c r="BA9" i="1" s="1"/>
  <c r="AE9" i="1"/>
  <c r="BE8" i="1"/>
  <c r="BF8" i="1" s="1"/>
  <c r="AZ8" i="1"/>
  <c r="BA8" i="1" s="1"/>
  <c r="AE8" i="1"/>
  <c r="BE7" i="1"/>
  <c r="AZ7" i="1"/>
  <c r="BA7" i="1" s="1"/>
  <c r="AE7" i="1"/>
  <c r="BE6" i="1"/>
  <c r="AF6" i="1" s="1"/>
  <c r="AH6" i="1" s="1"/>
  <c r="AI6" i="1" s="1"/>
  <c r="AZ6" i="1"/>
  <c r="BA6" i="1" s="1"/>
  <c r="AE6" i="1"/>
  <c r="BE5" i="1"/>
  <c r="BD5" i="1" s="1"/>
  <c r="AJ5" i="1" s="1"/>
  <c r="AK5" i="1" s="1"/>
  <c r="AZ5" i="1"/>
  <c r="BA5" i="1" s="1"/>
  <c r="AF5" i="1"/>
  <c r="AH5" i="1" s="1"/>
  <c r="AI5" i="1" s="1"/>
  <c r="AE5" i="1"/>
  <c r="BE4" i="1"/>
  <c r="BD4" i="1" s="1"/>
  <c r="AJ4" i="1" s="1"/>
  <c r="AK4" i="1" s="1"/>
  <c r="BC4" i="1"/>
  <c r="AZ4" i="1"/>
  <c r="BA4" i="1" s="1"/>
  <c r="AE4" i="1"/>
  <c r="AL236" i="1" l="1"/>
  <c r="AM236" i="1" s="1"/>
  <c r="AL289" i="1"/>
  <c r="AM289" i="1" s="1"/>
  <c r="BC190" i="1"/>
  <c r="AF236" i="1"/>
  <c r="AH236" i="1" s="1"/>
  <c r="AI236" i="1" s="1"/>
  <c r="BD236" i="1"/>
  <c r="AJ236" i="1" s="1"/>
  <c r="AK236" i="1" s="1"/>
  <c r="AL98" i="1"/>
  <c r="AM98" i="1" s="1"/>
  <c r="AF123" i="1"/>
  <c r="AH123" i="1" s="1"/>
  <c r="AI123" i="1" s="1"/>
  <c r="AL124" i="1"/>
  <c r="AM124" i="1" s="1"/>
  <c r="AF372" i="1"/>
  <c r="AH372" i="1" s="1"/>
  <c r="AI372" i="1" s="1"/>
  <c r="AD663" i="1"/>
  <c r="AG663" i="1" s="1"/>
  <c r="AF664" i="1"/>
  <c r="AH664" i="1" s="1"/>
  <c r="AI664" i="1" s="1"/>
  <c r="AF665" i="1"/>
  <c r="AH665" i="1" s="1"/>
  <c r="AI665" i="1" s="1"/>
  <c r="AL672" i="1"/>
  <c r="AM672" i="1" s="1"/>
  <c r="BF732" i="1"/>
  <c r="BF733" i="1"/>
  <c r="BF762" i="1"/>
  <c r="BC380" i="1"/>
  <c r="BD421" i="1"/>
  <c r="AJ421" i="1" s="1"/>
  <c r="AK421" i="1" s="1"/>
  <c r="BD422" i="1"/>
  <c r="AJ422" i="1" s="1"/>
  <c r="AK422" i="1" s="1"/>
  <c r="BC426" i="1"/>
  <c r="AF634" i="1"/>
  <c r="AH634" i="1" s="1"/>
  <c r="AI634" i="1" s="1"/>
  <c r="AL74" i="1"/>
  <c r="AM74" i="1" s="1"/>
  <c r="AF79" i="1"/>
  <c r="AH79" i="1" s="1"/>
  <c r="AI79" i="1" s="1"/>
  <c r="BD171" i="1"/>
  <c r="AJ171" i="1" s="1"/>
  <c r="AK171" i="1" s="1"/>
  <c r="BF892" i="1"/>
  <c r="AF252" i="1"/>
  <c r="AH252" i="1" s="1"/>
  <c r="AI252" i="1" s="1"/>
  <c r="BC573" i="1"/>
  <c r="BC577" i="1"/>
  <c r="BC589" i="1"/>
  <c r="AL875" i="1"/>
  <c r="AM875" i="1" s="1"/>
  <c r="AF894" i="1"/>
  <c r="AH894" i="1" s="1"/>
  <c r="AI894" i="1" s="1"/>
  <c r="AL261" i="1"/>
  <c r="AM261" i="1" s="1"/>
  <c r="BD358" i="1"/>
  <c r="AJ358" i="1" s="1"/>
  <c r="AK358" i="1" s="1"/>
  <c r="AL522" i="1"/>
  <c r="AM522" i="1" s="1"/>
  <c r="AL523" i="1"/>
  <c r="AM523" i="1" s="1"/>
  <c r="BF655" i="1"/>
  <c r="AF676" i="1"/>
  <c r="AH676" i="1" s="1"/>
  <c r="AI676" i="1" s="1"/>
  <c r="BF676" i="1"/>
  <c r="BC735" i="1"/>
  <c r="BF821" i="1"/>
  <c r="BC5" i="1"/>
  <c r="AF35" i="1"/>
  <c r="BF124" i="1"/>
  <c r="BF125" i="1"/>
  <c r="AL190" i="1"/>
  <c r="AM190" i="1" s="1"/>
  <c r="AL276" i="1"/>
  <c r="AM276" i="1" s="1"/>
  <c r="BC315" i="1"/>
  <c r="BC331" i="1"/>
  <c r="AD336" i="1"/>
  <c r="AG336" i="1" s="1"/>
  <c r="AD346" i="1"/>
  <c r="AG346" i="1" s="1"/>
  <c r="BD356" i="1"/>
  <c r="AJ356" i="1" s="1"/>
  <c r="AK356" i="1" s="1"/>
  <c r="BC488" i="1"/>
  <c r="AF496" i="1"/>
  <c r="AH496" i="1" s="1"/>
  <c r="AI496" i="1" s="1"/>
  <c r="AF498" i="1"/>
  <c r="AH498" i="1" s="1"/>
  <c r="AI498" i="1" s="1"/>
  <c r="AL499" i="1"/>
  <c r="AM499" i="1" s="1"/>
  <c r="AL676" i="1"/>
  <c r="AM676" i="1" s="1"/>
  <c r="AL683" i="1"/>
  <c r="AM683" i="1" s="1"/>
  <c r="AD903" i="1"/>
  <c r="AG903" i="1" s="1"/>
  <c r="BC236" i="1"/>
  <c r="BC269" i="1"/>
  <c r="BC273" i="1"/>
  <c r="BC310" i="1"/>
  <c r="BC626" i="1"/>
  <c r="BC676" i="1"/>
  <c r="BC678" i="1"/>
  <c r="BC768" i="1"/>
  <c r="BD769" i="1"/>
  <c r="AJ769" i="1" s="1"/>
  <c r="AK769" i="1" s="1"/>
  <c r="BF864" i="1"/>
  <c r="BF631" i="1"/>
  <c r="BF706" i="1"/>
  <c r="BF741" i="1"/>
  <c r="BF742" i="1"/>
  <c r="AL903" i="1"/>
  <c r="AM903" i="1" s="1"/>
  <c r="AF71" i="1"/>
  <c r="AH71" i="1" s="1"/>
  <c r="AI71" i="1" s="1"/>
  <c r="AL138" i="1"/>
  <c r="AM138" i="1" s="1"/>
  <c r="BC260" i="1"/>
  <c r="BD276" i="1"/>
  <c r="AJ276" i="1" s="1"/>
  <c r="AK276" i="1" s="1"/>
  <c r="BC309" i="1"/>
  <c r="BC349" i="1"/>
  <c r="AD357" i="1"/>
  <c r="AG357" i="1" s="1"/>
  <c r="BC360" i="1"/>
  <c r="BD366" i="1"/>
  <c r="AJ366" i="1" s="1"/>
  <c r="AK366" i="1" s="1"/>
  <c r="BD372" i="1"/>
  <c r="AJ372" i="1" s="1"/>
  <c r="AK372" i="1" s="1"/>
  <c r="BD373" i="1"/>
  <c r="AJ373" i="1" s="1"/>
  <c r="AK373" i="1" s="1"/>
  <c r="AF390" i="1"/>
  <c r="BD392" i="1"/>
  <c r="AJ392" i="1" s="1"/>
  <c r="AK392" i="1" s="1"/>
  <c r="BC404" i="1"/>
  <c r="BD503" i="1"/>
  <c r="AJ503" i="1" s="1"/>
  <c r="AK503" i="1" s="1"/>
  <c r="BC511" i="1"/>
  <c r="BD521" i="1"/>
  <c r="AJ521" i="1" s="1"/>
  <c r="AK521" i="1" s="1"/>
  <c r="BC522" i="1"/>
  <c r="AF548" i="1"/>
  <c r="AD548" i="1" s="1"/>
  <c r="AG548" i="1" s="1"/>
  <c r="AF549" i="1"/>
  <c r="AH549" i="1" s="1"/>
  <c r="AI549" i="1" s="1"/>
  <c r="AF550" i="1"/>
  <c r="AH550" i="1" s="1"/>
  <c r="AI550" i="1" s="1"/>
  <c r="BC579" i="1"/>
  <c r="BC584" i="1"/>
  <c r="AD631" i="1"/>
  <c r="AG631" i="1" s="1"/>
  <c r="BC663" i="1"/>
  <c r="AL706" i="1"/>
  <c r="AM706" i="1" s="1"/>
  <c r="AD832" i="1"/>
  <c r="AG832" i="1" s="1"/>
  <c r="BF845" i="1"/>
  <c r="BC848" i="1"/>
  <c r="AF882" i="1"/>
  <c r="AH882" i="1" s="1"/>
  <c r="AI882" i="1" s="1"/>
  <c r="BD70" i="1"/>
  <c r="AJ70" i="1" s="1"/>
  <c r="AK70" i="1" s="1"/>
  <c r="BD164" i="1"/>
  <c r="AJ164" i="1" s="1"/>
  <c r="AK164" i="1" s="1"/>
  <c r="BC358" i="1"/>
  <c r="BD417" i="1"/>
  <c r="AJ417" i="1" s="1"/>
  <c r="AK417" i="1" s="1"/>
  <c r="BD418" i="1"/>
  <c r="AJ418" i="1" s="1"/>
  <c r="AK418" i="1" s="1"/>
  <c r="BC424" i="1"/>
  <c r="BC456" i="1"/>
  <c r="BC538" i="1"/>
  <c r="BD547" i="1"/>
  <c r="AJ547" i="1" s="1"/>
  <c r="AK547" i="1" s="1"/>
  <c r="BC599" i="1"/>
  <c r="BC619" i="1"/>
  <c r="BC828" i="1"/>
  <c r="BD903" i="1"/>
  <c r="AJ903" i="1" s="1"/>
  <c r="AK903" i="1" s="1"/>
  <c r="BC931" i="1"/>
  <c r="BF945" i="1"/>
  <c r="AF969" i="1"/>
  <c r="AH969" i="1" s="1"/>
  <c r="AI969" i="1" s="1"/>
  <c r="AF970" i="1"/>
  <c r="AH970" i="1" s="1"/>
  <c r="AI970" i="1" s="1"/>
  <c r="AF560" i="1"/>
  <c r="AF603" i="1"/>
  <c r="AH603" i="1" s="1"/>
  <c r="AI603" i="1" s="1"/>
  <c r="AL614" i="1"/>
  <c r="AM614" i="1" s="1"/>
  <c r="BC631" i="1"/>
  <c r="AL634" i="1"/>
  <c r="AM634" i="1" s="1"/>
  <c r="BC644" i="1"/>
  <c r="BC656" i="1"/>
  <c r="AF702" i="1"/>
  <c r="AH702" i="1" s="1"/>
  <c r="AI702" i="1" s="1"/>
  <c r="AL713" i="1"/>
  <c r="AM713" i="1" s="1"/>
  <c r="BC792" i="1"/>
  <c r="AF796" i="1"/>
  <c r="AH796" i="1" s="1"/>
  <c r="AI796" i="1" s="1"/>
  <c r="AF806" i="1"/>
  <c r="AH806" i="1" s="1"/>
  <c r="AI806" i="1" s="1"/>
  <c r="AF819" i="1"/>
  <c r="AH819" i="1" s="1"/>
  <c r="AI819" i="1" s="1"/>
  <c r="BC821" i="1"/>
  <c r="BC822" i="1"/>
  <c r="BC845" i="1"/>
  <c r="BC983" i="1"/>
  <c r="BC73" i="1"/>
  <c r="BC97" i="1"/>
  <c r="BD104" i="1"/>
  <c r="AJ104" i="1" s="1"/>
  <c r="AK104" i="1" s="1"/>
  <c r="AF158" i="1"/>
  <c r="AH158" i="1" s="1"/>
  <c r="AI158" i="1" s="1"/>
  <c r="BC225" i="1"/>
  <c r="BD247" i="1"/>
  <c r="AJ247" i="1" s="1"/>
  <c r="AK247" i="1" s="1"/>
  <c r="BF252" i="1"/>
  <c r="AF297" i="1"/>
  <c r="AH297" i="1" s="1"/>
  <c r="AI297" i="1" s="1"/>
  <c r="BD301" i="1"/>
  <c r="AJ301" i="1" s="1"/>
  <c r="AK301" i="1" s="1"/>
  <c r="BD309" i="1"/>
  <c r="AJ309" i="1" s="1"/>
  <c r="AK309" i="1" s="1"/>
  <c r="BD341" i="1"/>
  <c r="AJ341" i="1" s="1"/>
  <c r="AK341" i="1" s="1"/>
  <c r="BD348" i="1"/>
  <c r="AJ348" i="1" s="1"/>
  <c r="AK348" i="1" s="1"/>
  <c r="BC357" i="1"/>
  <c r="AD372" i="1"/>
  <c r="AG372" i="1" s="1"/>
  <c r="BC377" i="1"/>
  <c r="BD378" i="1"/>
  <c r="AJ378" i="1" s="1"/>
  <c r="AK378" i="1" s="1"/>
  <c r="BD380" i="1"/>
  <c r="AJ380" i="1" s="1"/>
  <c r="AK380" i="1" s="1"/>
  <c r="BD408" i="1"/>
  <c r="AJ408" i="1" s="1"/>
  <c r="AK408" i="1" s="1"/>
  <c r="AF412" i="1"/>
  <c r="AH412" i="1" s="1"/>
  <c r="AI412" i="1" s="1"/>
  <c r="BD461" i="1"/>
  <c r="AJ461" i="1" s="1"/>
  <c r="AK461" i="1" s="1"/>
  <c r="BC496" i="1"/>
  <c r="BC498" i="1"/>
  <c r="BC499" i="1"/>
  <c r="BC524" i="1"/>
  <c r="BC551" i="1"/>
  <c r="BC582" i="1"/>
  <c r="BC598" i="1"/>
  <c r="BC602" i="1"/>
  <c r="BD644" i="1"/>
  <c r="AJ644" i="1" s="1"/>
  <c r="AK644" i="1" s="1"/>
  <c r="BC675" i="1"/>
  <c r="BC713" i="1"/>
  <c r="BC805" i="1"/>
  <c r="BC806" i="1"/>
  <c r="BC819" i="1"/>
  <c r="AF972" i="1"/>
  <c r="AD972" i="1" s="1"/>
  <c r="AG972" i="1" s="1"/>
  <c r="BD972" i="1"/>
  <c r="AJ972" i="1" s="1"/>
  <c r="AK972" i="1" s="1"/>
  <c r="BC973" i="1"/>
  <c r="BC978" i="1"/>
  <c r="AF25" i="1"/>
  <c r="AD25" i="1" s="1"/>
  <c r="AG25" i="1" s="1"/>
  <c r="AF68" i="1"/>
  <c r="AH68" i="1" s="1"/>
  <c r="AI68" i="1" s="1"/>
  <c r="AF225" i="1"/>
  <c r="AH225" i="1" s="1"/>
  <c r="AI225" i="1" s="1"/>
  <c r="AF344" i="1"/>
  <c r="AD344" i="1" s="1"/>
  <c r="AG344" i="1" s="1"/>
  <c r="AL394" i="1"/>
  <c r="AM394" i="1" s="1"/>
  <c r="AL513" i="1"/>
  <c r="AM513" i="1" s="1"/>
  <c r="AF537" i="1"/>
  <c r="AH537" i="1" s="1"/>
  <c r="AI537" i="1" s="1"/>
  <c r="BC54" i="1"/>
  <c r="AL55" i="1"/>
  <c r="AM55" i="1" s="1"/>
  <c r="AF140" i="1"/>
  <c r="AH140" i="1" s="1"/>
  <c r="AI140" i="1" s="1"/>
  <c r="AL158" i="1"/>
  <c r="AM158" i="1" s="1"/>
  <c r="BD54" i="1"/>
  <c r="AJ54" i="1" s="1"/>
  <c r="AK54" i="1" s="1"/>
  <c r="BF108" i="1"/>
  <c r="AL177" i="1"/>
  <c r="AM177" i="1" s="1"/>
  <c r="AL178" i="1"/>
  <c r="AM178" i="1" s="1"/>
  <c r="BC194" i="1"/>
  <c r="AL225" i="1"/>
  <c r="AM225" i="1" s="1"/>
  <c r="BC252" i="1"/>
  <c r="BC276" i="1"/>
  <c r="BC297" i="1"/>
  <c r="AL309" i="1"/>
  <c r="AM309" i="1" s="1"/>
  <c r="AD314" i="1"/>
  <c r="AG314" i="1" s="1"/>
  <c r="BD337" i="1"/>
  <c r="AJ337" i="1" s="1"/>
  <c r="AK337" i="1" s="1"/>
  <c r="BD338" i="1"/>
  <c r="AJ338" i="1" s="1"/>
  <c r="AK338" i="1" s="1"/>
  <c r="BC343" i="1"/>
  <c r="BC344" i="1"/>
  <c r="BC375" i="1"/>
  <c r="AF380" i="1"/>
  <c r="AH380" i="1" s="1"/>
  <c r="AI380" i="1" s="1"/>
  <c r="BF380" i="1"/>
  <c r="BC384" i="1"/>
  <c r="BC392" i="1"/>
  <c r="BC393" i="1"/>
  <c r="AF408" i="1"/>
  <c r="AH408" i="1" s="1"/>
  <c r="AI408" i="1" s="1"/>
  <c r="BD412" i="1"/>
  <c r="AJ412" i="1" s="1"/>
  <c r="AK412" i="1" s="1"/>
  <c r="BD413" i="1"/>
  <c r="AJ413" i="1" s="1"/>
  <c r="AK413" i="1" s="1"/>
  <c r="BC449" i="1"/>
  <c r="BC485" i="1"/>
  <c r="AF488" i="1"/>
  <c r="AH488" i="1" s="1"/>
  <c r="AI488" i="1" s="1"/>
  <c r="AL511" i="1"/>
  <c r="AM511" i="1" s="1"/>
  <c r="BD531" i="1"/>
  <c r="AJ531" i="1" s="1"/>
  <c r="AK531" i="1" s="1"/>
  <c r="BD536" i="1"/>
  <c r="AJ536" i="1" s="1"/>
  <c r="AK536" i="1" s="1"/>
  <c r="BC553" i="1"/>
  <c r="BC578" i="1"/>
  <c r="BF603" i="1"/>
  <c r="BC607" i="1"/>
  <c r="BD611" i="1"/>
  <c r="AJ611" i="1" s="1"/>
  <c r="AK611" i="1" s="1"/>
  <c r="AF620" i="1"/>
  <c r="AH620" i="1" s="1"/>
  <c r="AI620" i="1" s="1"/>
  <c r="AF621" i="1"/>
  <c r="AH621" i="1" s="1"/>
  <c r="AI621" i="1" s="1"/>
  <c r="AF626" i="1"/>
  <c r="AH626" i="1" s="1"/>
  <c r="AI626" i="1" s="1"/>
  <c r="BC627" i="1"/>
  <c r="AL631" i="1"/>
  <c r="AM631" i="1" s="1"/>
  <c r="AF644" i="1"/>
  <c r="AH644" i="1" s="1"/>
  <c r="AI644" i="1" s="1"/>
  <c r="BF644" i="1"/>
  <c r="BC651" i="1"/>
  <c r="AL661" i="1"/>
  <c r="AM661" i="1" s="1"/>
  <c r="BD663" i="1"/>
  <c r="AJ663" i="1" s="1"/>
  <c r="AK663" i="1" s="1"/>
  <c r="BC664" i="1"/>
  <c r="BC671" i="1"/>
  <c r="BF696" i="1"/>
  <c r="BF713" i="1"/>
  <c r="BC732" i="1"/>
  <c r="AF792" i="1"/>
  <c r="AH792" i="1" s="1"/>
  <c r="AI792" i="1" s="1"/>
  <c r="BC847" i="1"/>
  <c r="AL879" i="1"/>
  <c r="AM879" i="1" s="1"/>
  <c r="AL880" i="1"/>
  <c r="AM880" i="1" s="1"/>
  <c r="AL882" i="1"/>
  <c r="AM882" i="1" s="1"/>
  <c r="BF923" i="1"/>
  <c r="BC926" i="1"/>
  <c r="AL972" i="1"/>
  <c r="AM972" i="1" s="1"/>
  <c r="BD44" i="1"/>
  <c r="AJ44" i="1" s="1"/>
  <c r="AK44" i="1" s="1"/>
  <c r="AF98" i="1"/>
  <c r="AH98" i="1" s="1"/>
  <c r="AI98" i="1" s="1"/>
  <c r="BD98" i="1"/>
  <c r="AJ98" i="1" s="1"/>
  <c r="AK98" i="1" s="1"/>
  <c r="BC99" i="1"/>
  <c r="BF174" i="1"/>
  <c r="AL174" i="1"/>
  <c r="AM174" i="1" s="1"/>
  <c r="AF199" i="1"/>
  <c r="AH199" i="1" s="1"/>
  <c r="AI199" i="1" s="1"/>
  <c r="BD199" i="1"/>
  <c r="AJ199" i="1" s="1"/>
  <c r="AK199" i="1" s="1"/>
  <c r="BF217" i="1"/>
  <c r="AL217" i="1"/>
  <c r="AM217" i="1" s="1"/>
  <c r="AF221" i="1"/>
  <c r="AD221" i="1" s="1"/>
  <c r="AG221" i="1" s="1"/>
  <c r="BD221" i="1"/>
  <c r="AJ221" i="1" s="1"/>
  <c r="AK221" i="1" s="1"/>
  <c r="AL221" i="1"/>
  <c r="AM221" i="1" s="1"/>
  <c r="BC245" i="1"/>
  <c r="AL305" i="1"/>
  <c r="AM305" i="1" s="1"/>
  <c r="BD305" i="1"/>
  <c r="AJ305" i="1" s="1"/>
  <c r="AK305" i="1" s="1"/>
  <c r="BF316" i="1"/>
  <c r="AL316" i="1"/>
  <c r="AM316" i="1" s="1"/>
  <c r="AF316" i="1"/>
  <c r="AD316" i="1" s="1"/>
  <c r="AG316" i="1" s="1"/>
  <c r="BF453" i="1"/>
  <c r="AL453" i="1"/>
  <c r="AM453" i="1" s="1"/>
  <c r="BF489" i="1"/>
  <c r="BD489" i="1"/>
  <c r="AJ489" i="1" s="1"/>
  <c r="AK489" i="1" s="1"/>
  <c r="AF489" i="1"/>
  <c r="AH489" i="1" s="1"/>
  <c r="AI489" i="1" s="1"/>
  <c r="BD541" i="1"/>
  <c r="AJ541" i="1" s="1"/>
  <c r="AK541" i="1" s="1"/>
  <c r="AL541" i="1"/>
  <c r="AM541" i="1" s="1"/>
  <c r="BC9" i="1"/>
  <c r="BC179" i="1"/>
  <c r="BD179" i="1"/>
  <c r="AJ179" i="1" s="1"/>
  <c r="AK179" i="1" s="1"/>
  <c r="BD278" i="1"/>
  <c r="AJ278" i="1" s="1"/>
  <c r="AK278" i="1" s="1"/>
  <c r="AL278" i="1"/>
  <c r="AM278" i="1" s="1"/>
  <c r="BD308" i="1"/>
  <c r="AJ308" i="1" s="1"/>
  <c r="AK308" i="1" s="1"/>
  <c r="AL308" i="1"/>
  <c r="AM308" i="1" s="1"/>
  <c r="BF308" i="1"/>
  <c r="AF308" i="1"/>
  <c r="AD308" i="1" s="1"/>
  <c r="AG308" i="1" s="1"/>
  <c r="BF440" i="1"/>
  <c r="AF440" i="1"/>
  <c r="AH440" i="1" s="1"/>
  <c r="AI440" i="1" s="1"/>
  <c r="BD24" i="1"/>
  <c r="AJ24" i="1" s="1"/>
  <c r="AK24" i="1" s="1"/>
  <c r="BF36" i="1"/>
  <c r="AF47" i="1"/>
  <c r="AH47" i="1" s="1"/>
  <c r="AI47" i="1" s="1"/>
  <c r="BD50" i="1"/>
  <c r="AJ50" i="1" s="1"/>
  <c r="AK50" i="1" s="1"/>
  <c r="AF65" i="1"/>
  <c r="AD65" i="1" s="1"/>
  <c r="AG65" i="1" s="1"/>
  <c r="BC67" i="1"/>
  <c r="BC71" i="1"/>
  <c r="AF108" i="1"/>
  <c r="AH108" i="1" s="1"/>
  <c r="AI108" i="1" s="1"/>
  <c r="BD112" i="1"/>
  <c r="AJ112" i="1" s="1"/>
  <c r="AK112" i="1" s="1"/>
  <c r="AD123" i="1"/>
  <c r="AG123" i="1" s="1"/>
  <c r="BD123" i="1"/>
  <c r="AJ123" i="1" s="1"/>
  <c r="AK123" i="1" s="1"/>
  <c r="AL127" i="1"/>
  <c r="AM127" i="1" s="1"/>
  <c r="AF129" i="1"/>
  <c r="AH129" i="1" s="1"/>
  <c r="AI129" i="1" s="1"/>
  <c r="AL130" i="1"/>
  <c r="AM130" i="1" s="1"/>
  <c r="BC138" i="1"/>
  <c r="BD182" i="1"/>
  <c r="AJ182" i="1" s="1"/>
  <c r="AK182" i="1" s="1"/>
  <c r="AF190" i="1"/>
  <c r="AH190" i="1" s="1"/>
  <c r="AI190" i="1" s="1"/>
  <c r="BD190" i="1"/>
  <c r="AJ190" i="1" s="1"/>
  <c r="AK190" i="1" s="1"/>
  <c r="AF232" i="1"/>
  <c r="AH232" i="1" s="1"/>
  <c r="AI232" i="1" s="1"/>
  <c r="BD232" i="1"/>
  <c r="AJ232" i="1" s="1"/>
  <c r="AK232" i="1" s="1"/>
  <c r="BD340" i="1"/>
  <c r="AJ340" i="1" s="1"/>
  <c r="AK340" i="1" s="1"/>
  <c r="AL340" i="1"/>
  <c r="AM340" i="1" s="1"/>
  <c r="BD439" i="1"/>
  <c r="AJ439" i="1" s="1"/>
  <c r="AK439" i="1" s="1"/>
  <c r="AL439" i="1"/>
  <c r="AM439" i="1" s="1"/>
  <c r="BF14" i="1"/>
  <c r="BC44" i="1"/>
  <c r="BC46" i="1"/>
  <c r="BD62" i="1"/>
  <c r="AJ62" i="1" s="1"/>
  <c r="AK62" i="1" s="1"/>
  <c r="BD64" i="1"/>
  <c r="AJ64" i="1" s="1"/>
  <c r="AK64" i="1" s="1"/>
  <c r="AF100" i="1"/>
  <c r="AH100" i="1" s="1"/>
  <c r="AI100" i="1" s="1"/>
  <c r="BC107" i="1"/>
  <c r="BD124" i="1"/>
  <c r="AJ124" i="1" s="1"/>
  <c r="AK124" i="1" s="1"/>
  <c r="BC128" i="1"/>
  <c r="BF158" i="1"/>
  <c r="BD158" i="1"/>
  <c r="AJ158" i="1" s="1"/>
  <c r="AK158" i="1" s="1"/>
  <c r="AL161" i="1"/>
  <c r="AM161" i="1" s="1"/>
  <c r="AL162" i="1"/>
  <c r="AM162" i="1" s="1"/>
  <c r="BC218" i="1"/>
  <c r="BC220" i="1"/>
  <c r="BC221" i="1"/>
  <c r="AF264" i="1"/>
  <c r="AH264" i="1" s="1"/>
  <c r="AI264" i="1" s="1"/>
  <c r="BD264" i="1"/>
  <c r="AJ264" i="1" s="1"/>
  <c r="AK264" i="1" s="1"/>
  <c r="BF317" i="1"/>
  <c r="AL317" i="1"/>
  <c r="AM317" i="1" s="1"/>
  <c r="BF438" i="1"/>
  <c r="AF438" i="1"/>
  <c r="AH438" i="1" s="1"/>
  <c r="AI438" i="1" s="1"/>
  <c r="BF458" i="1"/>
  <c r="AF458" i="1"/>
  <c r="AH458" i="1" s="1"/>
  <c r="AI458" i="1" s="1"/>
  <c r="AF507" i="1"/>
  <c r="AD507" i="1" s="1"/>
  <c r="AG507" i="1" s="1"/>
  <c r="BD507" i="1"/>
  <c r="AJ507" i="1" s="1"/>
  <c r="AK507" i="1" s="1"/>
  <c r="AF557" i="1"/>
  <c r="AH557" i="1" s="1"/>
  <c r="AI557" i="1" s="1"/>
  <c r="BF557" i="1"/>
  <c r="AF561" i="1"/>
  <c r="AH561" i="1" s="1"/>
  <c r="AI561" i="1" s="1"/>
  <c r="BF561" i="1"/>
  <c r="BF591" i="1"/>
  <c r="AF811" i="1"/>
  <c r="AH811" i="1" s="1"/>
  <c r="AI811" i="1" s="1"/>
  <c r="BC896" i="1"/>
  <c r="BC947" i="1"/>
  <c r="AL265" i="1"/>
  <c r="AM265" i="1" s="1"/>
  <c r="AL341" i="1"/>
  <c r="AM341" i="1" s="1"/>
  <c r="AF369" i="1"/>
  <c r="AH369" i="1" s="1"/>
  <c r="AI369" i="1" s="1"/>
  <c r="BF372" i="1"/>
  <c r="AL408" i="1"/>
  <c r="AM408" i="1" s="1"/>
  <c r="AL412" i="1"/>
  <c r="AM412" i="1" s="1"/>
  <c r="AF485" i="1"/>
  <c r="AH485" i="1" s="1"/>
  <c r="AI485" i="1" s="1"/>
  <c r="AF531" i="1"/>
  <c r="AH531" i="1" s="1"/>
  <c r="AI531" i="1" s="1"/>
  <c r="AL557" i="1"/>
  <c r="AM557" i="1" s="1"/>
  <c r="BC559" i="1"/>
  <c r="AL561" i="1"/>
  <c r="AM561" i="1" s="1"/>
  <c r="BC567" i="1"/>
  <c r="AF571" i="1"/>
  <c r="AH571" i="1" s="1"/>
  <c r="AI571" i="1" s="1"/>
  <c r="AD591" i="1"/>
  <c r="AG591" i="1" s="1"/>
  <c r="BC593" i="1"/>
  <c r="BC613" i="1"/>
  <c r="BC614" i="1"/>
  <c r="BF638" i="1"/>
  <c r="BC648" i="1"/>
  <c r="BF650" i="1"/>
  <c r="BD656" i="1"/>
  <c r="AJ656" i="1" s="1"/>
  <c r="AK656" i="1" s="1"/>
  <c r="AL681" i="1"/>
  <c r="AM681" i="1" s="1"/>
  <c r="BC705" i="1"/>
  <c r="BF792" i="1"/>
  <c r="BC802" i="1"/>
  <c r="BF805" i="1"/>
  <c r="BD806" i="1"/>
  <c r="AJ806" i="1" s="1"/>
  <c r="AK806" i="1" s="1"/>
  <c r="BC813" i="1"/>
  <c r="BC825" i="1"/>
  <c r="AD828" i="1"/>
  <c r="AG828" i="1" s="1"/>
  <c r="BD832" i="1"/>
  <c r="AJ832" i="1" s="1"/>
  <c r="AK832" i="1" s="1"/>
  <c r="BC879" i="1"/>
  <c r="BC880" i="1"/>
  <c r="BD894" i="1"/>
  <c r="AJ894" i="1" s="1"/>
  <c r="AK894" i="1" s="1"/>
  <c r="AL902" i="1"/>
  <c r="AM902" i="1" s="1"/>
  <c r="BC906" i="1"/>
  <c r="AF912" i="1"/>
  <c r="AH912" i="1" s="1"/>
  <c r="AI912" i="1" s="1"/>
  <c r="BC923" i="1"/>
  <c r="BF926" i="1"/>
  <c r="BC945" i="1"/>
  <c r="BC207" i="1"/>
  <c r="BC210" i="1"/>
  <c r="BC213" i="1"/>
  <c r="BC246" i="1"/>
  <c r="BC247" i="1"/>
  <c r="BC253" i="1"/>
  <c r="BC281" i="1"/>
  <c r="BC282" i="1"/>
  <c r="BC325" i="1"/>
  <c r="BC339" i="1"/>
  <c r="BC341" i="1"/>
  <c r="AL348" i="1"/>
  <c r="AM348" i="1" s="1"/>
  <c r="BC351" i="1"/>
  <c r="BC354" i="1"/>
  <c r="BC368" i="1"/>
  <c r="BC372" i="1"/>
  <c r="AF394" i="1"/>
  <c r="BC408" i="1"/>
  <c r="BC412" i="1"/>
  <c r="BC413" i="1"/>
  <c r="AD417" i="1"/>
  <c r="AG417" i="1" s="1"/>
  <c r="AL435" i="1"/>
  <c r="AM435" i="1" s="1"/>
  <c r="AF436" i="1"/>
  <c r="AH436" i="1" s="1"/>
  <c r="AI436" i="1" s="1"/>
  <c r="BC437" i="1"/>
  <c r="BC438" i="1"/>
  <c r="BC453" i="1"/>
  <c r="BC457" i="1"/>
  <c r="BC506" i="1"/>
  <c r="AF513" i="1"/>
  <c r="AH513" i="1" s="1"/>
  <c r="AI513" i="1" s="1"/>
  <c r="BF513" i="1"/>
  <c r="BF523" i="1"/>
  <c r="BC531" i="1"/>
  <c r="AF532" i="1"/>
  <c r="AF533" i="1"/>
  <c r="AH533" i="1" s="1"/>
  <c r="AI533" i="1" s="1"/>
  <c r="AL553" i="1"/>
  <c r="AM553" i="1" s="1"/>
  <c r="BC554" i="1"/>
  <c r="BC557" i="1"/>
  <c r="BC566" i="1"/>
  <c r="BC570" i="1"/>
  <c r="BC571" i="1"/>
  <c r="AF579" i="1"/>
  <c r="AH579" i="1" s="1"/>
  <c r="AI579" i="1" s="1"/>
  <c r="BC580" i="1"/>
  <c r="BC591" i="1"/>
  <c r="BC611" i="1"/>
  <c r="BC612" i="1"/>
  <c r="AL637" i="1"/>
  <c r="AM637" i="1" s="1"/>
  <c r="AF638" i="1"/>
  <c r="AH638" i="1" s="1"/>
  <c r="AI638" i="1" s="1"/>
  <c r="BC659" i="1"/>
  <c r="AL675" i="1"/>
  <c r="AM675" i="1" s="1"/>
  <c r="BC681" i="1"/>
  <c r="AD703" i="1"/>
  <c r="AG703" i="1" s="1"/>
  <c r="BC725" i="1"/>
  <c r="AL729" i="1"/>
  <c r="AM729" i="1" s="1"/>
  <c r="BC730" i="1"/>
  <c r="BC778" i="1"/>
  <c r="AL792" i="1"/>
  <c r="AM792" i="1" s="1"/>
  <c r="BC801" i="1"/>
  <c r="AL805" i="1"/>
  <c r="AM805" i="1" s="1"/>
  <c r="BD811" i="1"/>
  <c r="AJ811" i="1" s="1"/>
  <c r="AK811" i="1" s="1"/>
  <c r="BC829" i="1"/>
  <c r="BC877" i="1"/>
  <c r="AD894" i="1"/>
  <c r="AG894" i="1" s="1"/>
  <c r="BC910" i="1"/>
  <c r="BC911" i="1"/>
  <c r="BC957" i="1"/>
  <c r="BC972" i="1"/>
  <c r="BC20" i="1"/>
  <c r="BF20" i="1"/>
  <c r="BC42" i="1"/>
  <c r="AL42" i="1"/>
  <c r="AM42" i="1" s="1"/>
  <c r="BF87" i="1"/>
  <c r="AF87" i="1"/>
  <c r="AH87" i="1" s="1"/>
  <c r="AI87" i="1" s="1"/>
  <c r="BF88" i="1"/>
  <c r="BC136" i="1"/>
  <c r="BF136" i="1"/>
  <c r="AF136" i="1"/>
  <c r="AH136" i="1" s="1"/>
  <c r="AI136" i="1" s="1"/>
  <c r="BC157" i="1"/>
  <c r="AL157" i="1"/>
  <c r="AM157" i="1" s="1"/>
  <c r="AF200" i="1"/>
  <c r="AH200" i="1" s="1"/>
  <c r="AI200" i="1" s="1"/>
  <c r="BD200" i="1"/>
  <c r="AJ200" i="1" s="1"/>
  <c r="AK200" i="1" s="1"/>
  <c r="BD228" i="1"/>
  <c r="AJ228" i="1" s="1"/>
  <c r="AK228" i="1" s="1"/>
  <c r="AL228" i="1"/>
  <c r="AM228" i="1" s="1"/>
  <c r="AF238" i="1"/>
  <c r="AD238" i="1" s="1"/>
  <c r="AG238" i="1" s="1"/>
  <c r="BF238" i="1"/>
  <c r="AL238" i="1"/>
  <c r="AM238" i="1" s="1"/>
  <c r="AF239" i="1"/>
  <c r="AH239" i="1" s="1"/>
  <c r="AI239" i="1" s="1"/>
  <c r="BD239" i="1"/>
  <c r="AJ239" i="1" s="1"/>
  <c r="AK239" i="1" s="1"/>
  <c r="AL321" i="1"/>
  <c r="AM321" i="1" s="1"/>
  <c r="BD321" i="1"/>
  <c r="AJ321" i="1" s="1"/>
  <c r="AK321" i="1" s="1"/>
  <c r="BF398" i="1"/>
  <c r="AL398" i="1"/>
  <c r="AM398" i="1" s="1"/>
  <c r="AF398" i="1"/>
  <c r="AH398" i="1" s="1"/>
  <c r="AI398" i="1" s="1"/>
  <c r="AF432" i="1"/>
  <c r="AH432" i="1" s="1"/>
  <c r="AI432" i="1" s="1"/>
  <c r="BF432" i="1"/>
  <c r="BD520" i="1"/>
  <c r="AJ520" i="1" s="1"/>
  <c r="AK520" i="1" s="1"/>
  <c r="BF520" i="1"/>
  <c r="AL520" i="1"/>
  <c r="AM520" i="1" s="1"/>
  <c r="BF564" i="1"/>
  <c r="AF564" i="1"/>
  <c r="AD564" i="1" s="1"/>
  <c r="AG564" i="1" s="1"/>
  <c r="AF635" i="1"/>
  <c r="AH635" i="1" s="1"/>
  <c r="AI635" i="1" s="1"/>
  <c r="BD635" i="1"/>
  <c r="AJ635" i="1" s="1"/>
  <c r="AK635" i="1" s="1"/>
  <c r="BC39" i="1"/>
  <c r="AF39" i="1"/>
  <c r="AH39" i="1" s="1"/>
  <c r="AI39" i="1" s="1"/>
  <c r="AL492" i="1"/>
  <c r="AM492" i="1" s="1"/>
  <c r="BD492" i="1"/>
  <c r="AJ492" i="1" s="1"/>
  <c r="AK492" i="1" s="1"/>
  <c r="AF492" i="1"/>
  <c r="AH492" i="1" s="1"/>
  <c r="AI492" i="1" s="1"/>
  <c r="AL500" i="1"/>
  <c r="AM500" i="1" s="1"/>
  <c r="BD500" i="1"/>
  <c r="AJ500" i="1" s="1"/>
  <c r="AK500" i="1" s="1"/>
  <c r="BF500" i="1"/>
  <c r="AF500" i="1"/>
  <c r="AH500" i="1" s="1"/>
  <c r="AI500" i="1" s="1"/>
  <c r="BF515" i="1"/>
  <c r="BD515" i="1"/>
  <c r="AJ515" i="1" s="1"/>
  <c r="AK515" i="1" s="1"/>
  <c r="AF515" i="1"/>
  <c r="AH515" i="1" s="1"/>
  <c r="AI515" i="1" s="1"/>
  <c r="BD622" i="1"/>
  <c r="AJ622" i="1" s="1"/>
  <c r="AK622" i="1" s="1"/>
  <c r="BF622" i="1"/>
  <c r="AF622" i="1"/>
  <c r="AH622" i="1" s="1"/>
  <c r="AI622" i="1" s="1"/>
  <c r="BF669" i="1"/>
  <c r="AL669" i="1"/>
  <c r="AM669" i="1" s="1"/>
  <c r="BD669" i="1"/>
  <c r="AJ669" i="1" s="1"/>
  <c r="AK669" i="1" s="1"/>
  <c r="AF669" i="1"/>
  <c r="AH669" i="1" s="1"/>
  <c r="AI669" i="1" s="1"/>
  <c r="BC921" i="1"/>
  <c r="AF921" i="1"/>
  <c r="AD921" i="1" s="1"/>
  <c r="AG921" i="1" s="1"/>
  <c r="AF953" i="1"/>
  <c r="AH953" i="1" s="1"/>
  <c r="AI953" i="1" s="1"/>
  <c r="BF953" i="1"/>
  <c r="AL31" i="1"/>
  <c r="AM31" i="1" s="1"/>
  <c r="BC82" i="1"/>
  <c r="AL82" i="1"/>
  <c r="AM82" i="1" s="1"/>
  <c r="BF95" i="1"/>
  <c r="BC95" i="1"/>
  <c r="BC148" i="1"/>
  <c r="AL148" i="1"/>
  <c r="AM148" i="1" s="1"/>
  <c r="BF148" i="1"/>
  <c r="BD262" i="1"/>
  <c r="AJ262" i="1" s="1"/>
  <c r="AK262" i="1" s="1"/>
  <c r="BF262" i="1"/>
  <c r="AL262" i="1"/>
  <c r="AM262" i="1" s="1"/>
  <c r="AF290" i="1"/>
  <c r="AH290" i="1" s="1"/>
  <c r="AI290" i="1" s="1"/>
  <c r="AL290" i="1"/>
  <c r="AM290" i="1" s="1"/>
  <c r="BF333" i="1"/>
  <c r="AL333" i="1"/>
  <c r="AM333" i="1" s="1"/>
  <c r="BD431" i="1"/>
  <c r="AJ431" i="1" s="1"/>
  <c r="AK431" i="1" s="1"/>
  <c r="AL431" i="1"/>
  <c r="AM431" i="1" s="1"/>
  <c r="AF444" i="1"/>
  <c r="AH444" i="1" s="1"/>
  <c r="AI444" i="1" s="1"/>
  <c r="BF444" i="1"/>
  <c r="BD518" i="1"/>
  <c r="AJ518" i="1" s="1"/>
  <c r="AK518" i="1" s="1"/>
  <c r="BF518" i="1"/>
  <c r="AL518" i="1"/>
  <c r="AM518" i="1" s="1"/>
  <c r="BD535" i="1"/>
  <c r="AJ535" i="1" s="1"/>
  <c r="AK535" i="1" s="1"/>
  <c r="AL535" i="1"/>
  <c r="AM535" i="1" s="1"/>
  <c r="BF535" i="1"/>
  <c r="BF563" i="1"/>
  <c r="BD563" i="1"/>
  <c r="AJ563" i="1" s="1"/>
  <c r="AK563" i="1" s="1"/>
  <c r="AF563" i="1"/>
  <c r="AH563" i="1" s="1"/>
  <c r="AI563" i="1" s="1"/>
  <c r="BD618" i="1"/>
  <c r="AJ618" i="1" s="1"/>
  <c r="AK618" i="1" s="1"/>
  <c r="AF618" i="1"/>
  <c r="AH618" i="1" s="1"/>
  <c r="AI618" i="1" s="1"/>
  <c r="AF667" i="1"/>
  <c r="AH667" i="1" s="1"/>
  <c r="AI667" i="1" s="1"/>
  <c r="AL667" i="1"/>
  <c r="AM667" i="1" s="1"/>
  <c r="BD684" i="1"/>
  <c r="AJ684" i="1" s="1"/>
  <c r="AK684" i="1" s="1"/>
  <c r="AF684" i="1"/>
  <c r="AH684" i="1" s="1"/>
  <c r="AI684" i="1" s="1"/>
  <c r="BF684" i="1"/>
  <c r="BF803" i="1"/>
  <c r="BD803" i="1"/>
  <c r="AJ803" i="1" s="1"/>
  <c r="AK803" i="1" s="1"/>
  <c r="AL803" i="1"/>
  <c r="AM803" i="1" s="1"/>
  <c r="AF803" i="1"/>
  <c r="AH803" i="1" s="1"/>
  <c r="AI803" i="1" s="1"/>
  <c r="BD6" i="1"/>
  <c r="AJ6" i="1" s="1"/>
  <c r="AK6" i="1" s="1"/>
  <c r="BC6" i="1"/>
  <c r="BD38" i="1"/>
  <c r="AJ38" i="1" s="1"/>
  <c r="AK38" i="1" s="1"/>
  <c r="AF38" i="1"/>
  <c r="AH38" i="1" s="1"/>
  <c r="AI38" i="1" s="1"/>
  <c r="BD60" i="1"/>
  <c r="AJ60" i="1" s="1"/>
  <c r="AK60" i="1" s="1"/>
  <c r="BF60" i="1"/>
  <c r="BC80" i="1"/>
  <c r="BF80" i="1"/>
  <c r="AF94" i="1"/>
  <c r="AH94" i="1" s="1"/>
  <c r="AI94" i="1" s="1"/>
  <c r="BD94" i="1"/>
  <c r="AJ94" i="1" s="1"/>
  <c r="AK94" i="1" s="1"/>
  <c r="BC94" i="1"/>
  <c r="BF170" i="1"/>
  <c r="BD170" i="1"/>
  <c r="AJ170" i="1" s="1"/>
  <c r="AK170" i="1" s="1"/>
  <c r="BD257" i="1"/>
  <c r="AJ257" i="1" s="1"/>
  <c r="AK257" i="1" s="1"/>
  <c r="BF257" i="1"/>
  <c r="BD270" i="1"/>
  <c r="AJ270" i="1" s="1"/>
  <c r="AK270" i="1" s="1"/>
  <c r="AL270" i="1"/>
  <c r="AM270" i="1" s="1"/>
  <c r="BF288" i="1"/>
  <c r="AL288" i="1"/>
  <c r="AM288" i="1" s="1"/>
  <c r="AF322" i="1"/>
  <c r="AH322" i="1" s="1"/>
  <c r="AI322" i="1" s="1"/>
  <c r="BD322" i="1"/>
  <c r="AJ322" i="1" s="1"/>
  <c r="AK322" i="1" s="1"/>
  <c r="BD429" i="1"/>
  <c r="AJ429" i="1" s="1"/>
  <c r="AK429" i="1" s="1"/>
  <c r="AL429" i="1"/>
  <c r="AM429" i="1" s="1"/>
  <c r="BD7" i="1"/>
  <c r="AJ7" i="1" s="1"/>
  <c r="AK7" i="1" s="1"/>
  <c r="BC7" i="1"/>
  <c r="AL36" i="1"/>
  <c r="AM36" i="1" s="1"/>
  <c r="BD39" i="1"/>
  <c r="AJ39" i="1" s="1"/>
  <c r="AK39" i="1" s="1"/>
  <c r="BC40" i="1"/>
  <c r="AL40" i="1"/>
  <c r="AM40" i="1" s="1"/>
  <c r="BC60" i="1"/>
  <c r="BC90" i="1"/>
  <c r="AL90" i="1"/>
  <c r="AM90" i="1" s="1"/>
  <c r="AF95" i="1"/>
  <c r="BF134" i="1"/>
  <c r="AL134" i="1"/>
  <c r="AM134" i="1" s="1"/>
  <c r="BD147" i="1"/>
  <c r="AJ147" i="1" s="1"/>
  <c r="AK147" i="1" s="1"/>
  <c r="AF147" i="1"/>
  <c r="AH147" i="1" s="1"/>
  <c r="AI147" i="1" s="1"/>
  <c r="AL214" i="1"/>
  <c r="AM214" i="1" s="1"/>
  <c r="AF279" i="1"/>
  <c r="AH279" i="1" s="1"/>
  <c r="AI279" i="1" s="1"/>
  <c r="BD279" i="1"/>
  <c r="AJ279" i="1" s="1"/>
  <c r="AK279" i="1" s="1"/>
  <c r="AF283" i="1"/>
  <c r="AH283" i="1" s="1"/>
  <c r="AI283" i="1" s="1"/>
  <c r="BF283" i="1"/>
  <c r="AL283" i="1"/>
  <c r="AM283" i="1" s="1"/>
  <c r="BF324" i="1"/>
  <c r="BD324" i="1"/>
  <c r="AJ324" i="1" s="1"/>
  <c r="AK324" i="1" s="1"/>
  <c r="AL324" i="1"/>
  <c r="AM324" i="1" s="1"/>
  <c r="BF332" i="1"/>
  <c r="AL332" i="1"/>
  <c r="AM332" i="1" s="1"/>
  <c r="AF332" i="1"/>
  <c r="AH332" i="1" s="1"/>
  <c r="AI332" i="1" s="1"/>
  <c r="BD353" i="1"/>
  <c r="AJ353" i="1" s="1"/>
  <c r="AK353" i="1" s="1"/>
  <c r="AF353" i="1"/>
  <c r="AH353" i="1" s="1"/>
  <c r="AI353" i="1" s="1"/>
  <c r="AL396" i="1"/>
  <c r="AM396" i="1" s="1"/>
  <c r="BD396" i="1"/>
  <c r="AJ396" i="1" s="1"/>
  <c r="AK396" i="1" s="1"/>
  <c r="AF396" i="1"/>
  <c r="AH396" i="1" s="1"/>
  <c r="AI396" i="1" s="1"/>
  <c r="BF493" i="1"/>
  <c r="AL493" i="1"/>
  <c r="AM493" i="1" s="1"/>
  <c r="BF534" i="1"/>
  <c r="BD534" i="1"/>
  <c r="AJ534" i="1" s="1"/>
  <c r="AK534" i="1" s="1"/>
  <c r="AF534" i="1"/>
  <c r="AH534" i="1" s="1"/>
  <c r="AI534" i="1" s="1"/>
  <c r="BC569" i="1"/>
  <c r="BF575" i="1"/>
  <c r="AF575" i="1"/>
  <c r="AH575" i="1" s="1"/>
  <c r="AI575" i="1" s="1"/>
  <c r="AL628" i="1"/>
  <c r="AM628" i="1" s="1"/>
  <c r="AF628" i="1"/>
  <c r="AH628" i="1" s="1"/>
  <c r="AI628" i="1" s="1"/>
  <c r="AL640" i="1"/>
  <c r="AM640" i="1" s="1"/>
  <c r="BD640" i="1"/>
  <c r="AJ640" i="1" s="1"/>
  <c r="AK640" i="1" s="1"/>
  <c r="AF640" i="1"/>
  <c r="AH640" i="1" s="1"/>
  <c r="AI640" i="1" s="1"/>
  <c r="BC374" i="1"/>
  <c r="AD589" i="1"/>
  <c r="AG589" i="1" s="1"/>
  <c r="AL660" i="1"/>
  <c r="AM660" i="1" s="1"/>
  <c r="AF660" i="1"/>
  <c r="AH660" i="1" s="1"/>
  <c r="AI660" i="1" s="1"/>
  <c r="BF660" i="1"/>
  <c r="AL786" i="1"/>
  <c r="AM786" i="1" s="1"/>
  <c r="BD786" i="1"/>
  <c r="AJ786" i="1" s="1"/>
  <c r="AK786" i="1" s="1"/>
  <c r="BF920" i="1"/>
  <c r="AF920" i="1"/>
  <c r="AH920" i="1" s="1"/>
  <c r="AI920" i="1" s="1"/>
  <c r="AL44" i="1"/>
  <c r="AM44" i="1" s="1"/>
  <c r="AL50" i="1"/>
  <c r="AM50" i="1" s="1"/>
  <c r="AF171" i="1"/>
  <c r="AL206" i="1"/>
  <c r="AM206" i="1" s="1"/>
  <c r="BC239" i="1"/>
  <c r="AF273" i="1"/>
  <c r="AH273" i="1" s="1"/>
  <c r="AI273" i="1" s="1"/>
  <c r="AD277" i="1"/>
  <c r="AG277" i="1" s="1"/>
  <c r="BF277" i="1"/>
  <c r="BC279" i="1"/>
  <c r="AF281" i="1"/>
  <c r="AH281" i="1" s="1"/>
  <c r="AI281" i="1" s="1"/>
  <c r="BF281" i="1"/>
  <c r="AL291" i="1"/>
  <c r="AM291" i="1" s="1"/>
  <c r="BF291" i="1"/>
  <c r="AL297" i="1"/>
  <c r="AM297" i="1" s="1"/>
  <c r="BC322" i="1"/>
  <c r="AF323" i="1"/>
  <c r="AH323" i="1" s="1"/>
  <c r="AI323" i="1" s="1"/>
  <c r="BF323" i="1"/>
  <c r="BF328" i="1"/>
  <c r="BC365" i="1"/>
  <c r="AF373" i="1"/>
  <c r="AH373" i="1" s="1"/>
  <c r="AI373" i="1" s="1"/>
  <c r="BC382" i="1"/>
  <c r="AL421" i="1"/>
  <c r="AM421" i="1" s="1"/>
  <c r="BC429" i="1"/>
  <c r="AL485" i="1"/>
  <c r="AM485" i="1" s="1"/>
  <c r="AL489" i="1"/>
  <c r="AM489" i="1" s="1"/>
  <c r="BC500" i="1"/>
  <c r="AL507" i="1"/>
  <c r="AM507" i="1" s="1"/>
  <c r="BC518" i="1"/>
  <c r="BF519" i="1"/>
  <c r="BC520" i="1"/>
  <c r="AF528" i="1"/>
  <c r="BF528" i="1"/>
  <c r="BF539" i="1"/>
  <c r="AF545" i="1"/>
  <c r="AH545" i="1" s="1"/>
  <c r="AI545" i="1" s="1"/>
  <c r="BF545" i="1"/>
  <c r="BC563" i="1"/>
  <c r="BF599" i="1"/>
  <c r="AF659" i="1"/>
  <c r="AL659" i="1"/>
  <c r="AM659" i="1" s="1"/>
  <c r="AL671" i="1"/>
  <c r="AM671" i="1" s="1"/>
  <c r="BF671" i="1"/>
  <c r="BF691" i="1"/>
  <c r="AF691" i="1"/>
  <c r="AH691" i="1" s="1"/>
  <c r="AI691" i="1" s="1"/>
  <c r="AL718" i="1"/>
  <c r="AM718" i="1" s="1"/>
  <c r="BF718" i="1"/>
  <c r="AF793" i="1"/>
  <c r="AH793" i="1" s="1"/>
  <c r="AI793" i="1" s="1"/>
  <c r="AL793" i="1"/>
  <c r="AM793" i="1" s="1"/>
  <c r="BF793" i="1"/>
  <c r="BF799" i="1"/>
  <c r="AL799" i="1"/>
  <c r="AM799" i="1" s="1"/>
  <c r="AF799" i="1"/>
  <c r="AH799" i="1" s="1"/>
  <c r="AI799" i="1" s="1"/>
  <c r="AL829" i="1"/>
  <c r="AM829" i="1" s="1"/>
  <c r="BF829" i="1"/>
  <c r="BF854" i="1"/>
  <c r="AL854" i="1"/>
  <c r="AM854" i="1" s="1"/>
  <c r="AF854" i="1"/>
  <c r="AH854" i="1" s="1"/>
  <c r="AI854" i="1" s="1"/>
  <c r="BD884" i="1"/>
  <c r="AJ884" i="1" s="1"/>
  <c r="AK884" i="1" s="1"/>
  <c r="BF884" i="1"/>
  <c r="AL884" i="1"/>
  <c r="AM884" i="1" s="1"/>
  <c r="AL919" i="1"/>
  <c r="AM919" i="1" s="1"/>
  <c r="BD919" i="1"/>
  <c r="AJ919" i="1" s="1"/>
  <c r="AK919" i="1" s="1"/>
  <c r="AL925" i="1"/>
  <c r="AM925" i="1" s="1"/>
  <c r="AF925" i="1"/>
  <c r="AH925" i="1" s="1"/>
  <c r="AI925" i="1" s="1"/>
  <c r="AF934" i="1"/>
  <c r="AH934" i="1" s="1"/>
  <c r="AI934" i="1" s="1"/>
  <c r="AL934" i="1"/>
  <c r="AM934" i="1" s="1"/>
  <c r="BF934" i="1"/>
  <c r="AL955" i="1"/>
  <c r="AM955" i="1" s="1"/>
  <c r="AF955" i="1"/>
  <c r="AH955" i="1" s="1"/>
  <c r="AI955" i="1" s="1"/>
  <c r="BD978" i="1"/>
  <c r="AJ978" i="1" s="1"/>
  <c r="AK978" i="1" s="1"/>
  <c r="BF978" i="1"/>
  <c r="BF54" i="1"/>
  <c r="BF68" i="1"/>
  <c r="AD70" i="1"/>
  <c r="AG70" i="1" s="1"/>
  <c r="AD71" i="1"/>
  <c r="AG71" i="1" s="1"/>
  <c r="AD79" i="1"/>
  <c r="AG79" i="1" s="1"/>
  <c r="BF100" i="1"/>
  <c r="AD115" i="1"/>
  <c r="AG115" i="1" s="1"/>
  <c r="AF142" i="1"/>
  <c r="AH142" i="1" s="1"/>
  <c r="AI142" i="1" s="1"/>
  <c r="BF142" i="1"/>
  <c r="AL145" i="1"/>
  <c r="AM145" i="1" s="1"/>
  <c r="AL149" i="1"/>
  <c r="AM149" i="1" s="1"/>
  <c r="AL154" i="1"/>
  <c r="AM154" i="1" s="1"/>
  <c r="AF155" i="1"/>
  <c r="AH155" i="1" s="1"/>
  <c r="AI155" i="1" s="1"/>
  <c r="AL165" i="1"/>
  <c r="AM165" i="1" s="1"/>
  <c r="AL166" i="1"/>
  <c r="AM166" i="1" s="1"/>
  <c r="BC174" i="1"/>
  <c r="AL182" i="1"/>
  <c r="AM182" i="1" s="1"/>
  <c r="AL188" i="1"/>
  <c r="AM188" i="1" s="1"/>
  <c r="BC204" i="1"/>
  <c r="BC205" i="1"/>
  <c r="BC214" i="1"/>
  <c r="BF225" i="1"/>
  <c r="BC228" i="1"/>
  <c r="AL230" i="1"/>
  <c r="AM230" i="1" s="1"/>
  <c r="BF230" i="1"/>
  <c r="BC238" i="1"/>
  <c r="AL246" i="1"/>
  <c r="AM246" i="1" s="1"/>
  <c r="AF276" i="1"/>
  <c r="AH276" i="1" s="1"/>
  <c r="AI276" i="1" s="1"/>
  <c r="AL286" i="1"/>
  <c r="AM286" i="1" s="1"/>
  <c r="BC289" i="1"/>
  <c r="AL299" i="1"/>
  <c r="AM299" i="1" s="1"/>
  <c r="BF299" i="1"/>
  <c r="BC300" i="1"/>
  <c r="AD306" i="1"/>
  <c r="AG306" i="1" s="1"/>
  <c r="BC313" i="1"/>
  <c r="AL328" i="1"/>
  <c r="AM328" i="1" s="1"/>
  <c r="BC332" i="1"/>
  <c r="BC338" i="1"/>
  <c r="AF339" i="1"/>
  <c r="AH339" i="1" s="1"/>
  <c r="AI339" i="1" s="1"/>
  <c r="AF340" i="1"/>
  <c r="AD340" i="1" s="1"/>
  <c r="AG340" i="1" s="1"/>
  <c r="BF340" i="1"/>
  <c r="BC342" i="1"/>
  <c r="BC345" i="1"/>
  <c r="BC353" i="1"/>
  <c r="BF357" i="1"/>
  <c r="AL359" i="1"/>
  <c r="AM359" i="1" s="1"/>
  <c r="AF361" i="1"/>
  <c r="AH361" i="1" s="1"/>
  <c r="AI361" i="1" s="1"/>
  <c r="BC366" i="1"/>
  <c r="AF374" i="1"/>
  <c r="AH374" i="1" s="1"/>
  <c r="AI374" i="1" s="1"/>
  <c r="BC381" i="1"/>
  <c r="BF392" i="1"/>
  <c r="BC398" i="1"/>
  <c r="BC432" i="1"/>
  <c r="AL443" i="1"/>
  <c r="AM443" i="1" s="1"/>
  <c r="AL449" i="1"/>
  <c r="AM449" i="1" s="1"/>
  <c r="AF456" i="1"/>
  <c r="AH456" i="1" s="1"/>
  <c r="AI456" i="1" s="1"/>
  <c r="BC467" i="1"/>
  <c r="BC471" i="1"/>
  <c r="BC486" i="1"/>
  <c r="BC493" i="1"/>
  <c r="BF496" i="1"/>
  <c r="AL501" i="1"/>
  <c r="AM501" i="1" s="1"/>
  <c r="AL503" i="1"/>
  <c r="AM503" i="1" s="1"/>
  <c r="AF510" i="1"/>
  <c r="AH510" i="1" s="1"/>
  <c r="AI510" i="1" s="1"/>
  <c r="BF510" i="1"/>
  <c r="AL519" i="1"/>
  <c r="AM519" i="1" s="1"/>
  <c r="AF521" i="1"/>
  <c r="AH521" i="1" s="1"/>
  <c r="AI521" i="1" s="1"/>
  <c r="BF522" i="1"/>
  <c r="AL528" i="1"/>
  <c r="AM528" i="1" s="1"/>
  <c r="AL531" i="1"/>
  <c r="AM531" i="1" s="1"/>
  <c r="BC535" i="1"/>
  <c r="AF536" i="1"/>
  <c r="AL539" i="1"/>
  <c r="AM539" i="1" s="1"/>
  <c r="AF541" i="1"/>
  <c r="AH541" i="1" s="1"/>
  <c r="AI541" i="1" s="1"/>
  <c r="BF541" i="1"/>
  <c r="AL545" i="1"/>
  <c r="AM545" i="1" s="1"/>
  <c r="AF547" i="1"/>
  <c r="AH547" i="1" s="1"/>
  <c r="AI547" i="1" s="1"/>
  <c r="AF552" i="1"/>
  <c r="AF553" i="1"/>
  <c r="AH553" i="1" s="1"/>
  <c r="AI553" i="1" s="1"/>
  <c r="BF553" i="1"/>
  <c r="BC574" i="1"/>
  <c r="BC575" i="1"/>
  <c r="BC590" i="1"/>
  <c r="AF599" i="1"/>
  <c r="AH599" i="1" s="1"/>
  <c r="AI599" i="1" s="1"/>
  <c r="BC601" i="1"/>
  <c r="BF611" i="1"/>
  <c r="BF614" i="1"/>
  <c r="BC618" i="1"/>
  <c r="BC628" i="1"/>
  <c r="AL648" i="1"/>
  <c r="AM648" i="1" s="1"/>
  <c r="AF648" i="1"/>
  <c r="AH648" i="1" s="1"/>
  <c r="AI648" i="1" s="1"/>
  <c r="AF655" i="1"/>
  <c r="AH655" i="1" s="1"/>
  <c r="AI655" i="1" s="1"/>
  <c r="BD655" i="1"/>
  <c r="AJ655" i="1" s="1"/>
  <c r="AK655" i="1" s="1"/>
  <c r="BC684" i="1"/>
  <c r="AL717" i="1"/>
  <c r="AM717" i="1" s="1"/>
  <c r="BF717" i="1"/>
  <c r="AF872" i="1"/>
  <c r="AH872" i="1" s="1"/>
  <c r="AI872" i="1" s="1"/>
  <c r="AL872" i="1"/>
  <c r="AM872" i="1" s="1"/>
  <c r="BF872" i="1"/>
  <c r="BD887" i="1"/>
  <c r="AJ887" i="1" s="1"/>
  <c r="AK887" i="1" s="1"/>
  <c r="AL887" i="1"/>
  <c r="AM887" i="1" s="1"/>
  <c r="BF887" i="1"/>
  <c r="AF887" i="1"/>
  <c r="AD887" i="1" s="1"/>
  <c r="AG887" i="1" s="1"/>
  <c r="BC789" i="1"/>
  <c r="BC840" i="1"/>
  <c r="BC851" i="1"/>
  <c r="AD973" i="1"/>
  <c r="AG973" i="1" s="1"/>
  <c r="BD973" i="1"/>
  <c r="AJ973" i="1" s="1"/>
  <c r="AK973" i="1" s="1"/>
  <c r="BC655" i="1"/>
  <c r="AD685" i="1"/>
  <c r="AG685" i="1" s="1"/>
  <c r="BC698" i="1"/>
  <c r="BF705" i="1"/>
  <c r="AF715" i="1"/>
  <c r="BC721" i="1"/>
  <c r="AL725" i="1"/>
  <c r="AM725" i="1" s="1"/>
  <c r="BF738" i="1"/>
  <c r="BF745" i="1"/>
  <c r="BF765" i="1"/>
  <c r="AF791" i="1"/>
  <c r="AD791" i="1" s="1"/>
  <c r="AG791" i="1" s="1"/>
  <c r="BC803" i="1"/>
  <c r="AL811" i="1"/>
  <c r="AM811" i="1" s="1"/>
  <c r="AF814" i="1"/>
  <c r="AH814" i="1" s="1"/>
  <c r="AI814" i="1" s="1"/>
  <c r="BF814" i="1"/>
  <c r="AL832" i="1"/>
  <c r="AM832" i="1" s="1"/>
  <c r="BF832" i="1"/>
  <c r="BF840" i="1"/>
  <c r="AF847" i="1"/>
  <c r="AL851" i="1"/>
  <c r="AM851" i="1" s="1"/>
  <c r="BF868" i="1"/>
  <c r="BF873" i="1"/>
  <c r="BC884" i="1"/>
  <c r="AF890" i="1"/>
  <c r="AL894" i="1"/>
  <c r="AM894" i="1" s="1"/>
  <c r="BC919" i="1"/>
  <c r="BF931" i="1"/>
  <c r="AF936" i="1"/>
  <c r="AH936" i="1" s="1"/>
  <c r="AI936" i="1" s="1"/>
  <c r="BF941" i="1"/>
  <c r="BC634" i="1"/>
  <c r="BC635" i="1"/>
  <c r="BC636" i="1"/>
  <c r="BC637" i="1"/>
  <c r="BC640" i="1"/>
  <c r="AF656" i="1"/>
  <c r="AH656" i="1" s="1"/>
  <c r="AI656" i="1" s="1"/>
  <c r="BF661" i="1"/>
  <c r="BC667" i="1"/>
  <c r="BC669" i="1"/>
  <c r="AF681" i="1"/>
  <c r="AH681" i="1" s="1"/>
  <c r="AI681" i="1" s="1"/>
  <c r="BF681" i="1"/>
  <c r="BF683" i="1"/>
  <c r="AL715" i="1"/>
  <c r="AM715" i="1" s="1"/>
  <c r="BC717" i="1"/>
  <c r="BF721" i="1"/>
  <c r="BC726" i="1"/>
  <c r="BC731" i="1"/>
  <c r="AL737" i="1"/>
  <c r="AM737" i="1" s="1"/>
  <c r="BC787" i="1"/>
  <c r="AL791" i="1"/>
  <c r="AM791" i="1" s="1"/>
  <c r="BC797" i="1"/>
  <c r="BF798" i="1"/>
  <c r="BC799" i="1"/>
  <c r="AD803" i="1"/>
  <c r="AG803" i="1" s="1"/>
  <c r="BF806" i="1"/>
  <c r="BC811" i="1"/>
  <c r="AF812" i="1"/>
  <c r="AH812" i="1" s="1"/>
  <c r="AI812" i="1" s="1"/>
  <c r="BF812" i="1"/>
  <c r="AL828" i="1"/>
  <c r="AM828" i="1" s="1"/>
  <c r="BF828" i="1"/>
  <c r="BC832" i="1"/>
  <c r="BC846" i="1"/>
  <c r="AF871" i="1"/>
  <c r="BF871" i="1"/>
  <c r="AF873" i="1"/>
  <c r="AH873" i="1" s="1"/>
  <c r="AI873" i="1" s="1"/>
  <c r="AF875" i="1"/>
  <c r="AH875" i="1" s="1"/>
  <c r="AI875" i="1" s="1"/>
  <c r="AF877" i="1"/>
  <c r="AH877" i="1" s="1"/>
  <c r="AI877" i="1" s="1"/>
  <c r="AF879" i="1"/>
  <c r="AD879" i="1" s="1"/>
  <c r="AG879" i="1" s="1"/>
  <c r="BF880" i="1"/>
  <c r="BC887" i="1"/>
  <c r="AL890" i="1"/>
  <c r="AM890" i="1" s="1"/>
  <c r="BC894" i="1"/>
  <c r="BF903" i="1"/>
  <c r="AL906" i="1"/>
  <c r="AM906" i="1" s="1"/>
  <c r="AF915" i="1"/>
  <c r="AH915" i="1" s="1"/>
  <c r="AI915" i="1" s="1"/>
  <c r="AL930" i="1"/>
  <c r="AM930" i="1" s="1"/>
  <c r="AF931" i="1"/>
  <c r="AH931" i="1" s="1"/>
  <c r="AI931" i="1" s="1"/>
  <c r="BC950" i="1"/>
  <c r="BC953" i="1"/>
  <c r="BF957" i="1"/>
  <c r="AL973" i="1"/>
  <c r="AM973" i="1" s="1"/>
  <c r="BC974" i="1"/>
  <c r="AL983" i="1"/>
  <c r="AM983" i="1" s="1"/>
  <c r="BC8" i="1"/>
  <c r="AF13" i="1"/>
  <c r="AH13" i="1" s="1"/>
  <c r="AI13" i="1" s="1"/>
  <c r="AL16" i="1"/>
  <c r="AM16" i="1" s="1"/>
  <c r="AL25" i="1"/>
  <c r="AM25" i="1" s="1"/>
  <c r="AL29" i="1"/>
  <c r="AM29" i="1" s="1"/>
  <c r="BF56" i="1"/>
  <c r="BF72" i="1"/>
  <c r="BF78" i="1"/>
  <c r="AL79" i="1"/>
  <c r="AM79" i="1" s="1"/>
  <c r="BF82" i="1"/>
  <c r="BF86" i="1"/>
  <c r="AL87" i="1"/>
  <c r="AM87" i="1" s="1"/>
  <c r="AF92" i="1"/>
  <c r="AH92" i="1" s="1"/>
  <c r="AI92" i="1" s="1"/>
  <c r="BF92" i="1"/>
  <c r="BC102" i="1"/>
  <c r="AF103" i="1"/>
  <c r="AH103" i="1" s="1"/>
  <c r="AI103" i="1" s="1"/>
  <c r="BC110" i="1"/>
  <c r="AF111" i="1"/>
  <c r="AH111" i="1" s="1"/>
  <c r="AI111" i="1" s="1"/>
  <c r="BF116" i="1"/>
  <c r="AF119" i="1"/>
  <c r="AH119" i="1" s="1"/>
  <c r="AI119" i="1" s="1"/>
  <c r="BF126" i="1"/>
  <c r="AF132" i="1"/>
  <c r="AH132" i="1" s="1"/>
  <c r="AI132" i="1" s="1"/>
  <c r="BF133" i="1"/>
  <c r="BF135" i="1"/>
  <c r="AF149" i="1"/>
  <c r="AH149" i="1" s="1"/>
  <c r="AI149" i="1" s="1"/>
  <c r="BC149" i="1"/>
  <c r="AF150" i="1"/>
  <c r="AH150" i="1" s="1"/>
  <c r="AI150" i="1" s="1"/>
  <c r="AL155" i="1"/>
  <c r="AM155" i="1" s="1"/>
  <c r="AF156" i="1"/>
  <c r="AH156" i="1" s="1"/>
  <c r="AI156" i="1" s="1"/>
  <c r="AF163" i="1"/>
  <c r="AL169" i="1"/>
  <c r="AM169" i="1" s="1"/>
  <c r="AL173" i="1"/>
  <c r="AM173" i="1" s="1"/>
  <c r="AF179" i="1"/>
  <c r="AD179" i="1" s="1"/>
  <c r="AG179" i="1" s="1"/>
  <c r="BF182" i="1"/>
  <c r="AL185" i="1"/>
  <c r="AM185" i="1" s="1"/>
  <c r="AL186" i="1"/>
  <c r="AM186" i="1" s="1"/>
  <c r="AF201" i="1"/>
  <c r="AH201" i="1" s="1"/>
  <c r="AI201" i="1" s="1"/>
  <c r="BF204" i="1"/>
  <c r="AF204" i="1"/>
  <c r="AH204" i="1" s="1"/>
  <c r="AI204" i="1" s="1"/>
  <c r="BF206" i="1"/>
  <c r="BD233" i="1"/>
  <c r="AJ233" i="1" s="1"/>
  <c r="AK233" i="1" s="1"/>
  <c r="AL233" i="1"/>
  <c r="AM233" i="1" s="1"/>
  <c r="BD254" i="1"/>
  <c r="AJ254" i="1" s="1"/>
  <c r="AK254" i="1" s="1"/>
  <c r="AF254" i="1"/>
  <c r="AH254" i="1" s="1"/>
  <c r="AI254" i="1" s="1"/>
  <c r="BF18" i="1"/>
  <c r="AF27" i="1"/>
  <c r="AH27" i="1" s="1"/>
  <c r="AI27" i="1" s="1"/>
  <c r="AL34" i="1"/>
  <c r="AM34" i="1" s="1"/>
  <c r="BF34" i="1"/>
  <c r="BC35" i="1"/>
  <c r="AF36" i="1"/>
  <c r="AH36" i="1" s="1"/>
  <c r="AI36" i="1" s="1"/>
  <c r="AF4" i="1"/>
  <c r="AH4" i="1" s="1"/>
  <c r="AI4" i="1" s="1"/>
  <c r="AD5" i="1"/>
  <c r="AG5" i="1" s="1"/>
  <c r="AL5" i="1"/>
  <c r="AM5" i="1" s="1"/>
  <c r="BD8" i="1"/>
  <c r="AJ8" i="1" s="1"/>
  <c r="AK8" i="1" s="1"/>
  <c r="AF11" i="1"/>
  <c r="AD11" i="1" s="1"/>
  <c r="AG11" i="1" s="1"/>
  <c r="BC15" i="1"/>
  <c r="BC27" i="1"/>
  <c r="BD35" i="1"/>
  <c r="AJ35" i="1" s="1"/>
  <c r="AK35" i="1" s="1"/>
  <c r="BD36" i="1"/>
  <c r="AJ36" i="1" s="1"/>
  <c r="AK36" i="1" s="1"/>
  <c r="AL39" i="1"/>
  <c r="AM39" i="1" s="1"/>
  <c r="BD40" i="1"/>
  <c r="AJ40" i="1" s="1"/>
  <c r="AK40" i="1" s="1"/>
  <c r="BD46" i="1"/>
  <c r="AJ46" i="1" s="1"/>
  <c r="AK46" i="1" s="1"/>
  <c r="AL60" i="1"/>
  <c r="AM60" i="1" s="1"/>
  <c r="BF70" i="1"/>
  <c r="AL71" i="1"/>
  <c r="AM71" i="1" s="1"/>
  <c r="BC78" i="1"/>
  <c r="AF82" i="1"/>
  <c r="AH82" i="1" s="1"/>
  <c r="AI82" i="1" s="1"/>
  <c r="BC86" i="1"/>
  <c r="AF90" i="1"/>
  <c r="AH90" i="1" s="1"/>
  <c r="AI90" i="1" s="1"/>
  <c r="BD90" i="1"/>
  <c r="AJ90" i="1" s="1"/>
  <c r="AK90" i="1" s="1"/>
  <c r="BC91" i="1"/>
  <c r="BF96" i="1"/>
  <c r="BD102" i="1"/>
  <c r="AJ102" i="1" s="1"/>
  <c r="AK102" i="1" s="1"/>
  <c r="BF104" i="1"/>
  <c r="BD110" i="1"/>
  <c r="AJ110" i="1" s="1"/>
  <c r="AK110" i="1" s="1"/>
  <c r="BF112" i="1"/>
  <c r="AF116" i="1"/>
  <c r="AH116" i="1" s="1"/>
  <c r="AI116" i="1" s="1"/>
  <c r="BC116" i="1"/>
  <c r="AF121" i="1"/>
  <c r="AD121" i="1" s="1"/>
  <c r="AG121" i="1" s="1"/>
  <c r="AL126" i="1"/>
  <c r="AM126" i="1" s="1"/>
  <c r="AD129" i="1"/>
  <c r="AG129" i="1" s="1"/>
  <c r="AF133" i="1"/>
  <c r="AD133" i="1" s="1"/>
  <c r="AG133" i="1" s="1"/>
  <c r="BC133" i="1"/>
  <c r="BC134" i="1"/>
  <c r="AF135" i="1"/>
  <c r="AH135" i="1" s="1"/>
  <c r="AI135" i="1" s="1"/>
  <c r="AD140" i="1"/>
  <c r="AG140" i="1" s="1"/>
  <c r="BF140" i="1"/>
  <c r="BC143" i="1"/>
  <c r="BD149" i="1"/>
  <c r="AJ149" i="1" s="1"/>
  <c r="AK149" i="1" s="1"/>
  <c r="BC152" i="1"/>
  <c r="AF157" i="1"/>
  <c r="AD157" i="1" s="1"/>
  <c r="AG157" i="1" s="1"/>
  <c r="BF157" i="1"/>
  <c r="BD162" i="1"/>
  <c r="AJ162" i="1" s="1"/>
  <c r="AK162" i="1" s="1"/>
  <c r="AF164" i="1"/>
  <c r="BF165" i="1"/>
  <c r="BC166" i="1"/>
  <c r="BD172" i="1"/>
  <c r="AJ172" i="1" s="1"/>
  <c r="AK172" i="1" s="1"/>
  <c r="BD178" i="1"/>
  <c r="AJ178" i="1" s="1"/>
  <c r="AK178" i="1" s="1"/>
  <c r="AF180" i="1"/>
  <c r="AH180" i="1" s="1"/>
  <c r="AI180" i="1" s="1"/>
  <c r="AF181" i="1"/>
  <c r="AH181" i="1" s="1"/>
  <c r="AI181" i="1" s="1"/>
  <c r="AF182" i="1"/>
  <c r="AH182" i="1" s="1"/>
  <c r="AI182" i="1" s="1"/>
  <c r="AL193" i="1"/>
  <c r="AM193" i="1" s="1"/>
  <c r="BC196" i="1"/>
  <c r="AL204" i="1"/>
  <c r="AM204" i="1" s="1"/>
  <c r="BF205" i="1"/>
  <c r="AF207" i="1"/>
  <c r="AH207" i="1" s="1"/>
  <c r="AI207" i="1" s="1"/>
  <c r="BD207" i="1"/>
  <c r="AJ207" i="1" s="1"/>
  <c r="AK207" i="1" s="1"/>
  <c r="BC209" i="1"/>
  <c r="AF213" i="1"/>
  <c r="AD213" i="1" s="1"/>
  <c r="AG213" i="1" s="1"/>
  <c r="BD213" i="1"/>
  <c r="AJ213" i="1" s="1"/>
  <c r="AK213" i="1" s="1"/>
  <c r="AL213" i="1"/>
  <c r="AM213" i="1" s="1"/>
  <c r="BD215" i="1"/>
  <c r="AJ215" i="1" s="1"/>
  <c r="AK215" i="1" s="1"/>
  <c r="AL220" i="1"/>
  <c r="AM220" i="1" s="1"/>
  <c r="BF220" i="1"/>
  <c r="AF220" i="1"/>
  <c r="AH220" i="1" s="1"/>
  <c r="AI220" i="1" s="1"/>
  <c r="AF224" i="1"/>
  <c r="AH224" i="1" s="1"/>
  <c r="AI224" i="1" s="1"/>
  <c r="BD224" i="1"/>
  <c r="AJ224" i="1" s="1"/>
  <c r="AK224" i="1" s="1"/>
  <c r="BF228" i="1"/>
  <c r="BC242" i="1"/>
  <c r="BC244" i="1"/>
  <c r="AL245" i="1"/>
  <c r="AM245" i="1" s="1"/>
  <c r="AD249" i="1"/>
  <c r="AG249" i="1" s="1"/>
  <c r="BC249" i="1"/>
  <c r="AL254" i="1"/>
  <c r="AM254" i="1" s="1"/>
  <c r="BF254" i="1"/>
  <c r="AL260" i="1"/>
  <c r="AM260" i="1" s="1"/>
  <c r="BF260" i="1"/>
  <c r="AF260" i="1"/>
  <c r="AH260" i="1" s="1"/>
  <c r="AI260" i="1" s="1"/>
  <c r="BC21" i="1"/>
  <c r="AD27" i="1"/>
  <c r="AG27" i="1" s="1"/>
  <c r="BD27" i="1"/>
  <c r="AJ27" i="1" s="1"/>
  <c r="AK27" i="1" s="1"/>
  <c r="BD34" i="1"/>
  <c r="AJ34" i="1" s="1"/>
  <c r="AK34" i="1" s="1"/>
  <c r="BD48" i="1"/>
  <c r="AJ48" i="1" s="1"/>
  <c r="AK48" i="1" s="1"/>
  <c r="AF52" i="1"/>
  <c r="AH52" i="1" s="1"/>
  <c r="AI52" i="1" s="1"/>
  <c r="BD56" i="1"/>
  <c r="AJ56" i="1" s="1"/>
  <c r="AK56" i="1" s="1"/>
  <c r="BC62" i="1"/>
  <c r="AF63" i="1"/>
  <c r="AH63" i="1" s="1"/>
  <c r="AI63" i="1" s="1"/>
  <c r="BC70" i="1"/>
  <c r="AF74" i="1"/>
  <c r="AH74" i="1" s="1"/>
  <c r="AI74" i="1" s="1"/>
  <c r="BD74" i="1"/>
  <c r="AJ74" i="1" s="1"/>
  <c r="AK74" i="1" s="1"/>
  <c r="BD78" i="1"/>
  <c r="AJ78" i="1" s="1"/>
  <c r="AK78" i="1" s="1"/>
  <c r="BC79" i="1"/>
  <c r="BC81" i="1"/>
  <c r="BD82" i="1"/>
  <c r="AJ82" i="1" s="1"/>
  <c r="AK82" i="1" s="1"/>
  <c r="BD86" i="1"/>
  <c r="AJ86" i="1" s="1"/>
  <c r="AK86" i="1" s="1"/>
  <c r="BC87" i="1"/>
  <c r="BC89" i="1"/>
  <c r="BC103" i="1"/>
  <c r="BC111" i="1"/>
  <c r="BC115" i="1"/>
  <c r="AL116" i="1"/>
  <c r="AM116" i="1" s="1"/>
  <c r="BD120" i="1"/>
  <c r="AJ120" i="1" s="1"/>
  <c r="AK120" i="1" s="1"/>
  <c r="BC130" i="1"/>
  <c r="BD132" i="1"/>
  <c r="AJ132" i="1" s="1"/>
  <c r="AK132" i="1" s="1"/>
  <c r="AL133" i="1"/>
  <c r="AM133" i="1" s="1"/>
  <c r="AF134" i="1"/>
  <c r="AH134" i="1" s="1"/>
  <c r="AI134" i="1" s="1"/>
  <c r="BD134" i="1"/>
  <c r="AJ134" i="1" s="1"/>
  <c r="AK134" i="1" s="1"/>
  <c r="BD156" i="1"/>
  <c r="AJ156" i="1" s="1"/>
  <c r="AK156" i="1" s="1"/>
  <c r="AD158" i="1"/>
  <c r="AG158" i="1" s="1"/>
  <c r="BD163" i="1"/>
  <c r="AJ163" i="1" s="1"/>
  <c r="AK163" i="1" s="1"/>
  <c r="BD166" i="1"/>
  <c r="AJ166" i="1" s="1"/>
  <c r="AK166" i="1" s="1"/>
  <c r="BD196" i="1"/>
  <c r="AJ196" i="1" s="1"/>
  <c r="AK196" i="1" s="1"/>
  <c r="BF196" i="1"/>
  <c r="BF244" i="1"/>
  <c r="AF244" i="1"/>
  <c r="AH244" i="1" s="1"/>
  <c r="AI244" i="1" s="1"/>
  <c r="AF245" i="1"/>
  <c r="BF245" i="1"/>
  <c r="BD249" i="1"/>
  <c r="AJ249" i="1" s="1"/>
  <c r="AK249" i="1" s="1"/>
  <c r="BF249" i="1"/>
  <c r="AF255" i="1"/>
  <c r="AH255" i="1" s="1"/>
  <c r="AI255" i="1" s="1"/>
  <c r="BD255" i="1"/>
  <c r="AJ255" i="1" s="1"/>
  <c r="AK255" i="1" s="1"/>
  <c r="AL18" i="1"/>
  <c r="AM18" i="1" s="1"/>
  <c r="AD132" i="1"/>
  <c r="AG132" i="1" s="1"/>
  <c r="AF172" i="1"/>
  <c r="AD172" i="1" s="1"/>
  <c r="AG172" i="1" s="1"/>
  <c r="BF173" i="1"/>
  <c r="AL209" i="1"/>
  <c r="AM209" i="1" s="1"/>
  <c r="AF228" i="1"/>
  <c r="AH228" i="1" s="1"/>
  <c r="AI228" i="1" s="1"/>
  <c r="BC233" i="1"/>
  <c r="BF237" i="1"/>
  <c r="AL241" i="1"/>
  <c r="AM241" i="1" s="1"/>
  <c r="AL249" i="1"/>
  <c r="AM249" i="1" s="1"/>
  <c r="AD252" i="1"/>
  <c r="AG252" i="1" s="1"/>
  <c r="AF261" i="1"/>
  <c r="AD261" i="1" s="1"/>
  <c r="AG261" i="1" s="1"/>
  <c r="BC261" i="1"/>
  <c r="BF268" i="1"/>
  <c r="AF268" i="1"/>
  <c r="AH268" i="1" s="1"/>
  <c r="AI268" i="1" s="1"/>
  <c r="AF269" i="1"/>
  <c r="BD269" i="1"/>
  <c r="AJ269" i="1" s="1"/>
  <c r="AK269" i="1" s="1"/>
  <c r="AL269" i="1"/>
  <c r="AM269" i="1" s="1"/>
  <c r="BF269" i="1"/>
  <c r="BF286" i="1"/>
  <c r="BF290" i="1"/>
  <c r="BF298" i="1"/>
  <c r="AL302" i="1"/>
  <c r="AM302" i="1" s="1"/>
  <c r="BF304" i="1"/>
  <c r="AL374" i="1"/>
  <c r="AM374" i="1" s="1"/>
  <c r="AF376" i="1"/>
  <c r="AH376" i="1" s="1"/>
  <c r="AI376" i="1" s="1"/>
  <c r="BF376" i="1"/>
  <c r="AF381" i="1"/>
  <c r="AH381" i="1" s="1"/>
  <c r="AI381" i="1" s="1"/>
  <c r="AF384" i="1"/>
  <c r="AH384" i="1" s="1"/>
  <c r="AI384" i="1" s="1"/>
  <c r="AL433" i="1"/>
  <c r="AM433" i="1" s="1"/>
  <c r="AL441" i="1"/>
  <c r="AM441" i="1" s="1"/>
  <c r="AL445" i="1"/>
  <c r="AM445" i="1" s="1"/>
  <c r="BF448" i="1"/>
  <c r="BC452" i="1"/>
  <c r="AL465" i="1"/>
  <c r="AM465" i="1" s="1"/>
  <c r="AL481" i="1"/>
  <c r="AM481" i="1" s="1"/>
  <c r="BF499" i="1"/>
  <c r="BF511" i="1"/>
  <c r="AF525" i="1"/>
  <c r="AH525" i="1" s="1"/>
  <c r="AI525" i="1" s="1"/>
  <c r="BF525" i="1"/>
  <c r="AF529" i="1"/>
  <c r="AH529" i="1" s="1"/>
  <c r="AI529" i="1" s="1"/>
  <c r="BF529" i="1"/>
  <c r="AL537" i="1"/>
  <c r="AM537" i="1" s="1"/>
  <c r="BF537" i="1"/>
  <c r="AF540" i="1"/>
  <c r="BF540" i="1"/>
  <c r="BF542" i="1"/>
  <c r="AL550" i="1"/>
  <c r="AM550" i="1" s="1"/>
  <c r="BF550" i="1"/>
  <c r="AL552" i="1"/>
  <c r="AM552" i="1" s="1"/>
  <c r="BF552" i="1"/>
  <c r="AF556" i="1"/>
  <c r="BF556" i="1"/>
  <c r="BF558" i="1"/>
  <c r="BC198" i="1"/>
  <c r="BC201" i="1"/>
  <c r="BC206" i="1"/>
  <c r="BC215" i="1"/>
  <c r="AD236" i="1"/>
  <c r="AG236" i="1" s="1"/>
  <c r="BC237" i="1"/>
  <c r="AL252" i="1"/>
  <c r="AM252" i="1" s="1"/>
  <c r="BC255" i="1"/>
  <c r="BC266" i="1"/>
  <c r="BD272" i="1"/>
  <c r="AJ272" i="1" s="1"/>
  <c r="AK272" i="1" s="1"/>
  <c r="AL273" i="1"/>
  <c r="AM273" i="1" s="1"/>
  <c r="AD276" i="1"/>
  <c r="AG276" i="1" s="1"/>
  <c r="BC277" i="1"/>
  <c r="AF278" i="1"/>
  <c r="AL281" i="1"/>
  <c r="AM281" i="1" s="1"/>
  <c r="AF286" i="1"/>
  <c r="AF289" i="1"/>
  <c r="AH289" i="1" s="1"/>
  <c r="AI289" i="1" s="1"/>
  <c r="BF289" i="1"/>
  <c r="BC291" i="1"/>
  <c r="AL294" i="1"/>
  <c r="AM294" i="1" s="1"/>
  <c r="BD297" i="1"/>
  <c r="AJ297" i="1" s="1"/>
  <c r="AK297" i="1" s="1"/>
  <c r="BC299" i="1"/>
  <c r="BD300" i="1"/>
  <c r="AJ300" i="1" s="1"/>
  <c r="AK300" i="1" s="1"/>
  <c r="AL304" i="1"/>
  <c r="AM304" i="1" s="1"/>
  <c r="BC308" i="1"/>
  <c r="BC316" i="1"/>
  <c r="BC317" i="1"/>
  <c r="BF320" i="1"/>
  <c r="BC323" i="1"/>
  <c r="AF324" i="1"/>
  <c r="AH324" i="1" s="1"/>
  <c r="AI324" i="1" s="1"/>
  <c r="BC330" i="1"/>
  <c r="AF331" i="1"/>
  <c r="AH331" i="1" s="1"/>
  <c r="AI331" i="1" s="1"/>
  <c r="BF331" i="1"/>
  <c r="BD332" i="1"/>
  <c r="AJ332" i="1" s="1"/>
  <c r="AK332" i="1" s="1"/>
  <c r="BC333" i="1"/>
  <c r="BF336" i="1"/>
  <c r="BC340" i="1"/>
  <c r="BD344" i="1"/>
  <c r="AJ344" i="1" s="1"/>
  <c r="AK344" i="1" s="1"/>
  <c r="BF347" i="1"/>
  <c r="BF354" i="1"/>
  <c r="BD357" i="1"/>
  <c r="AJ357" i="1" s="1"/>
  <c r="AK357" i="1" s="1"/>
  <c r="BF366" i="1"/>
  <c r="BF373" i="1"/>
  <c r="AF382" i="1"/>
  <c r="AH382" i="1" s="1"/>
  <c r="AI382" i="1" s="1"/>
  <c r="AL386" i="1"/>
  <c r="AM386" i="1" s="1"/>
  <c r="BC390" i="1"/>
  <c r="BC394" i="1"/>
  <c r="BF396" i="1"/>
  <c r="AL402" i="1"/>
  <c r="AM402" i="1" s="1"/>
  <c r="AF404" i="1"/>
  <c r="AH404" i="1" s="1"/>
  <c r="AI404" i="1" s="1"/>
  <c r="AL410" i="1"/>
  <c r="AM410" i="1" s="1"/>
  <c r="AL417" i="1"/>
  <c r="AM417" i="1" s="1"/>
  <c r="AF426" i="1"/>
  <c r="AH426" i="1" s="1"/>
  <c r="AI426" i="1" s="1"/>
  <c r="BC442" i="1"/>
  <c r="AF446" i="1"/>
  <c r="AH446" i="1" s="1"/>
  <c r="AI446" i="1" s="1"/>
  <c r="AL447" i="1"/>
  <c r="AM447" i="1" s="1"/>
  <c r="BD449" i="1"/>
  <c r="AJ449" i="1" s="1"/>
  <c r="AK449" i="1" s="1"/>
  <c r="BC464" i="1"/>
  <c r="AD472" i="1"/>
  <c r="AG472" i="1" s="1"/>
  <c r="AL473" i="1"/>
  <c r="AM473" i="1" s="1"/>
  <c r="BF485" i="1"/>
  <c r="BF486" i="1"/>
  <c r="BC491" i="1"/>
  <c r="BC497" i="1"/>
  <c r="AL498" i="1"/>
  <c r="AM498" i="1" s="1"/>
  <c r="BF498" i="1"/>
  <c r="BC501" i="1"/>
  <c r="BF503" i="1"/>
  <c r="BF506" i="1"/>
  <c r="BF507" i="1"/>
  <c r="AF511" i="1"/>
  <c r="AH511" i="1" s="1"/>
  <c r="AI511" i="1" s="1"/>
  <c r="BF512" i="1"/>
  <c r="AL515" i="1"/>
  <c r="AM515" i="1" s="1"/>
  <c r="BC519" i="1"/>
  <c r="AL521" i="1"/>
  <c r="AM521" i="1" s="1"/>
  <c r="AF524" i="1"/>
  <c r="AH524" i="1" s="1"/>
  <c r="AI524" i="1" s="1"/>
  <c r="BF524" i="1"/>
  <c r="AL525" i="1"/>
  <c r="AM525" i="1" s="1"/>
  <c r="BF526" i="1"/>
  <c r="AL529" i="1"/>
  <c r="AM529" i="1" s="1"/>
  <c r="AL534" i="1"/>
  <c r="AM534" i="1" s="1"/>
  <c r="AL536" i="1"/>
  <c r="AM536" i="1" s="1"/>
  <c r="BC537" i="1"/>
  <c r="BF538" i="1"/>
  <c r="AL540" i="1"/>
  <c r="AM540" i="1" s="1"/>
  <c r="BC541" i="1"/>
  <c r="AL542" i="1"/>
  <c r="AM542" i="1" s="1"/>
  <c r="AF544" i="1"/>
  <c r="AD544" i="1" s="1"/>
  <c r="AG544" i="1" s="1"/>
  <c r="BF544" i="1"/>
  <c r="AL547" i="1"/>
  <c r="AM547" i="1" s="1"/>
  <c r="BC550" i="1"/>
  <c r="BF551" i="1"/>
  <c r="BC552" i="1"/>
  <c r="BD554" i="1"/>
  <c r="AJ554" i="1" s="1"/>
  <c r="AK554" i="1" s="1"/>
  <c r="AL554" i="1"/>
  <c r="AM554" i="1" s="1"/>
  <c r="AL556" i="1"/>
  <c r="AM556" i="1" s="1"/>
  <c r="AD557" i="1"/>
  <c r="AG557" i="1" s="1"/>
  <c r="AL558" i="1"/>
  <c r="AM558" i="1" s="1"/>
  <c r="BD562" i="1"/>
  <c r="AJ562" i="1" s="1"/>
  <c r="AK562" i="1" s="1"/>
  <c r="AF562" i="1"/>
  <c r="AH562" i="1" s="1"/>
  <c r="AI562" i="1" s="1"/>
  <c r="BC254" i="1"/>
  <c r="BC258" i="1"/>
  <c r="BC268" i="1"/>
  <c r="BC278" i="1"/>
  <c r="BC284" i="1"/>
  <c r="BC285" i="1"/>
  <c r="BC286" i="1"/>
  <c r="BC290" i="1"/>
  <c r="BC298" i="1"/>
  <c r="AF302" i="1"/>
  <c r="AH302" i="1" s="1"/>
  <c r="AI302" i="1" s="1"/>
  <c r="BC302" i="1"/>
  <c r="AL320" i="1"/>
  <c r="AM320" i="1" s="1"/>
  <c r="BC324" i="1"/>
  <c r="AL325" i="1"/>
  <c r="AM325" i="1" s="1"/>
  <c r="AD328" i="1"/>
  <c r="AG328" i="1" s="1"/>
  <c r="BD329" i="1"/>
  <c r="AJ329" i="1" s="1"/>
  <c r="AK329" i="1" s="1"/>
  <c r="BD330" i="1"/>
  <c r="AJ330" i="1" s="1"/>
  <c r="AK330" i="1" s="1"/>
  <c r="AL336" i="1"/>
  <c r="AM336" i="1" s="1"/>
  <c r="AF343" i="1"/>
  <c r="AH343" i="1" s="1"/>
  <c r="AI343" i="1" s="1"/>
  <c r="BC348" i="1"/>
  <c r="AL349" i="1"/>
  <c r="AM349" i="1" s="1"/>
  <c r="AL353" i="1"/>
  <c r="AM353" i="1" s="1"/>
  <c r="AL354" i="1"/>
  <c r="AM354" i="1" s="1"/>
  <c r="AF366" i="1"/>
  <c r="AH366" i="1" s="1"/>
  <c r="AI366" i="1" s="1"/>
  <c r="BC373" i="1"/>
  <c r="BC376" i="1"/>
  <c r="BC396" i="1"/>
  <c r="BC405" i="1"/>
  <c r="BD409" i="1"/>
  <c r="AJ409" i="1" s="1"/>
  <c r="AK409" i="1" s="1"/>
  <c r="AF424" i="1"/>
  <c r="AH424" i="1" s="1"/>
  <c r="AI424" i="1" s="1"/>
  <c r="BC425" i="1"/>
  <c r="AF428" i="1"/>
  <c r="AH428" i="1" s="1"/>
  <c r="AI428" i="1" s="1"/>
  <c r="BC433" i="1"/>
  <c r="BC441" i="1"/>
  <c r="BC445" i="1"/>
  <c r="BC446" i="1"/>
  <c r="BC448" i="1"/>
  <c r="AL455" i="1"/>
  <c r="AM455" i="1" s="1"/>
  <c r="BC460" i="1"/>
  <c r="BC463" i="1"/>
  <c r="BC468" i="1"/>
  <c r="BC475" i="1"/>
  <c r="BC479" i="1"/>
  <c r="AD489" i="1"/>
  <c r="AG489" i="1" s="1"/>
  <c r="BC489" i="1"/>
  <c r="BC492" i="1"/>
  <c r="AF493" i="1"/>
  <c r="AH493" i="1" s="1"/>
  <c r="AI493" i="1" s="1"/>
  <c r="BD493" i="1"/>
  <c r="AJ493" i="1" s="1"/>
  <c r="AK493" i="1" s="1"/>
  <c r="AD499" i="1"/>
  <c r="AG499" i="1" s="1"/>
  <c r="BD499" i="1"/>
  <c r="AJ499" i="1" s="1"/>
  <c r="AK499" i="1" s="1"/>
  <c r="BC503" i="1"/>
  <c r="AL506" i="1"/>
  <c r="AM506" i="1" s="1"/>
  <c r="BC507" i="1"/>
  <c r="AD509" i="1"/>
  <c r="AG509" i="1" s="1"/>
  <c r="AD510" i="1"/>
  <c r="AG510" i="1" s="1"/>
  <c r="AF512" i="1"/>
  <c r="AH512" i="1" s="1"/>
  <c r="AI512" i="1" s="1"/>
  <c r="AD513" i="1"/>
  <c r="AG513" i="1" s="1"/>
  <c r="BC515" i="1"/>
  <c r="BC521" i="1"/>
  <c r="AL524" i="1"/>
  <c r="AM524" i="1" s="1"/>
  <c r="BC525" i="1"/>
  <c r="AL526" i="1"/>
  <c r="AM526" i="1" s="1"/>
  <c r="BC534" i="1"/>
  <c r="BC536" i="1"/>
  <c r="AD537" i="1"/>
  <c r="AG537" i="1" s="1"/>
  <c r="AL538" i="1"/>
  <c r="AM538" i="1" s="1"/>
  <c r="BC540" i="1"/>
  <c r="AL544" i="1"/>
  <c r="AM544" i="1" s="1"/>
  <c r="AD545" i="1"/>
  <c r="AG545" i="1" s="1"/>
  <c r="BC547" i="1"/>
  <c r="AD549" i="1"/>
  <c r="AG549" i="1" s="1"/>
  <c r="AD550" i="1"/>
  <c r="AG550" i="1" s="1"/>
  <c r="AL551" i="1"/>
  <c r="AM551" i="1" s="1"/>
  <c r="BD555" i="1"/>
  <c r="AJ555" i="1" s="1"/>
  <c r="AK555" i="1" s="1"/>
  <c r="BF555" i="1"/>
  <c r="AF595" i="1"/>
  <c r="AH595" i="1" s="1"/>
  <c r="AI595" i="1" s="1"/>
  <c r="BC595" i="1"/>
  <c r="BF595" i="1"/>
  <c r="BD630" i="1"/>
  <c r="AJ630" i="1" s="1"/>
  <c r="AK630" i="1" s="1"/>
  <c r="AF630" i="1"/>
  <c r="AH630" i="1" s="1"/>
  <c r="AI630" i="1" s="1"/>
  <c r="AL630" i="1"/>
  <c r="AM630" i="1" s="1"/>
  <c r="BF630" i="1"/>
  <c r="BD749" i="1"/>
  <c r="AJ749" i="1" s="1"/>
  <c r="AK749" i="1" s="1"/>
  <c r="BF749" i="1"/>
  <c r="BD824" i="1"/>
  <c r="AJ824" i="1" s="1"/>
  <c r="AK824" i="1" s="1"/>
  <c r="BF824" i="1"/>
  <c r="AF844" i="1"/>
  <c r="BD844" i="1"/>
  <c r="AJ844" i="1" s="1"/>
  <c r="AK844" i="1" s="1"/>
  <c r="BC844" i="1"/>
  <c r="BF844" i="1"/>
  <c r="BD874" i="1"/>
  <c r="AJ874" i="1" s="1"/>
  <c r="AK874" i="1" s="1"/>
  <c r="AF874" i="1"/>
  <c r="AH874" i="1" s="1"/>
  <c r="AI874" i="1" s="1"/>
  <c r="AL885" i="1"/>
  <c r="AM885" i="1" s="1"/>
  <c r="BD885" i="1"/>
  <c r="AJ885" i="1" s="1"/>
  <c r="AK885" i="1" s="1"/>
  <c r="BF885" i="1"/>
  <c r="BC586" i="1"/>
  <c r="BC603" i="1"/>
  <c r="AF616" i="1"/>
  <c r="AH616" i="1" s="1"/>
  <c r="AI616" i="1" s="1"/>
  <c r="AF617" i="1"/>
  <c r="AH617" i="1" s="1"/>
  <c r="AI617" i="1" s="1"/>
  <c r="AF624" i="1"/>
  <c r="AH624" i="1" s="1"/>
  <c r="AI624" i="1" s="1"/>
  <c r="AF625" i="1"/>
  <c r="AH625" i="1" s="1"/>
  <c r="AI625" i="1" s="1"/>
  <c r="AF632" i="1"/>
  <c r="AH632" i="1" s="1"/>
  <c r="AI632" i="1" s="1"/>
  <c r="AD643" i="1"/>
  <c r="AG643" i="1" s="1"/>
  <c r="AL643" i="1"/>
  <c r="AM643" i="1" s="1"/>
  <c r="BF643" i="1"/>
  <c r="AL645" i="1"/>
  <c r="AM645" i="1" s="1"/>
  <c r="BF647" i="1"/>
  <c r="BC661" i="1"/>
  <c r="BF667" i="1"/>
  <c r="BF674" i="1"/>
  <c r="BF675" i="1"/>
  <c r="BC683" i="1"/>
  <c r="BC686" i="1"/>
  <c r="AD689" i="1"/>
  <c r="AG689" i="1" s="1"/>
  <c r="BC703" i="1"/>
  <c r="BD706" i="1"/>
  <c r="AJ706" i="1" s="1"/>
  <c r="AK706" i="1" s="1"/>
  <c r="AF707" i="1"/>
  <c r="AH707" i="1" s="1"/>
  <c r="AI707" i="1" s="1"/>
  <c r="AL709" i="1"/>
  <c r="AM709" i="1" s="1"/>
  <c r="BF709" i="1"/>
  <c r="BD713" i="1"/>
  <c r="AJ713" i="1" s="1"/>
  <c r="AK713" i="1" s="1"/>
  <c r="AF714" i="1"/>
  <c r="AH714" i="1" s="1"/>
  <c r="AI714" i="1" s="1"/>
  <c r="BD715" i="1"/>
  <c r="AJ715" i="1" s="1"/>
  <c r="AK715" i="1" s="1"/>
  <c r="BF722" i="1"/>
  <c r="BC737" i="1"/>
  <c r="AL833" i="1"/>
  <c r="AM833" i="1" s="1"/>
  <c r="BD833" i="1"/>
  <c r="AJ833" i="1" s="1"/>
  <c r="AK833" i="1" s="1"/>
  <c r="BF833" i="1"/>
  <c r="BC556" i="1"/>
  <c r="AF559" i="1"/>
  <c r="AH559" i="1" s="1"/>
  <c r="AI559" i="1" s="1"/>
  <c r="BC562" i="1"/>
  <c r="AL563" i="1"/>
  <c r="AM563" i="1" s="1"/>
  <c r="AF569" i="1"/>
  <c r="AH569" i="1" s="1"/>
  <c r="AI569" i="1" s="1"/>
  <c r="AF573" i="1"/>
  <c r="AH573" i="1" s="1"/>
  <c r="AI573" i="1" s="1"/>
  <c r="AF577" i="1"/>
  <c r="AH577" i="1" s="1"/>
  <c r="AI577" i="1" s="1"/>
  <c r="BC588" i="1"/>
  <c r="BC597" i="1"/>
  <c r="BD603" i="1"/>
  <c r="AJ603" i="1" s="1"/>
  <c r="AK603" i="1" s="1"/>
  <c r="BC604" i="1"/>
  <c r="BC615" i="1"/>
  <c r="BF618" i="1"/>
  <c r="BC622" i="1"/>
  <c r="BC623" i="1"/>
  <c r="BF626" i="1"/>
  <c r="AD628" i="1"/>
  <c r="AG628" i="1" s="1"/>
  <c r="BF628" i="1"/>
  <c r="BF634" i="1"/>
  <c r="AL635" i="1"/>
  <c r="AM635" i="1" s="1"/>
  <c r="BF635" i="1"/>
  <c r="BC638" i="1"/>
  <c r="BF640" i="1"/>
  <c r="BC643" i="1"/>
  <c r="AL647" i="1"/>
  <c r="AM647" i="1" s="1"/>
  <c r="AL651" i="1"/>
  <c r="AM651" i="1" s="1"/>
  <c r="AF653" i="1"/>
  <c r="AH653" i="1" s="1"/>
  <c r="AI653" i="1" s="1"/>
  <c r="BF656" i="1"/>
  <c r="BD660" i="1"/>
  <c r="AJ660" i="1" s="1"/>
  <c r="AK660" i="1" s="1"/>
  <c r="AF661" i="1"/>
  <c r="AH661" i="1" s="1"/>
  <c r="AI661" i="1" s="1"/>
  <c r="AL663" i="1"/>
  <c r="AM663" i="1" s="1"/>
  <c r="BF663" i="1"/>
  <c r="BC665" i="1"/>
  <c r="BD672" i="1"/>
  <c r="AJ672" i="1" s="1"/>
  <c r="AK672" i="1" s="1"/>
  <c r="AF673" i="1"/>
  <c r="AH673" i="1" s="1"/>
  <c r="AI673" i="1" s="1"/>
  <c r="AF674" i="1"/>
  <c r="AD676" i="1"/>
  <c r="AG676" i="1" s="1"/>
  <c r="BD683" i="1"/>
  <c r="AJ683" i="1" s="1"/>
  <c r="AK683" i="1" s="1"/>
  <c r="BC685" i="1"/>
  <c r="BC689" i="1"/>
  <c r="BC691" i="1"/>
  <c r="AL695" i="1"/>
  <c r="AM695" i="1" s="1"/>
  <c r="BC696" i="1"/>
  <c r="AF699" i="1"/>
  <c r="AH699" i="1" s="1"/>
  <c r="AI699" i="1" s="1"/>
  <c r="BC702" i="1"/>
  <c r="BC708" i="1"/>
  <c r="BC709" i="1"/>
  <c r="BC712" i="1"/>
  <c r="BC718" i="1"/>
  <c r="BC729" i="1"/>
  <c r="BC739" i="1"/>
  <c r="BC743" i="1"/>
  <c r="AL837" i="1"/>
  <c r="AM837" i="1" s="1"/>
  <c r="BD837" i="1"/>
  <c r="AJ837" i="1" s="1"/>
  <c r="AK837" i="1" s="1"/>
  <c r="BF837" i="1"/>
  <c r="BF838" i="1"/>
  <c r="BD838" i="1"/>
  <c r="AJ838" i="1" s="1"/>
  <c r="AK838" i="1" s="1"/>
  <c r="AF838" i="1"/>
  <c r="AH838" i="1" s="1"/>
  <c r="AI838" i="1" s="1"/>
  <c r="AL844" i="1"/>
  <c r="AM844" i="1" s="1"/>
  <c r="AL849" i="1"/>
  <c r="AM849" i="1" s="1"/>
  <c r="BD849" i="1"/>
  <c r="AJ849" i="1" s="1"/>
  <c r="AK849" i="1" s="1"/>
  <c r="AF849" i="1"/>
  <c r="AH849" i="1" s="1"/>
  <c r="AI849" i="1" s="1"/>
  <c r="BC849" i="1"/>
  <c r="BF849" i="1"/>
  <c r="BD853" i="1"/>
  <c r="AJ853" i="1" s="1"/>
  <c r="AK853" i="1" s="1"/>
  <c r="BC853" i="1"/>
  <c r="AF885" i="1"/>
  <c r="AH885" i="1" s="1"/>
  <c r="AI885" i="1" s="1"/>
  <c r="BC630" i="1"/>
  <c r="BD643" i="1"/>
  <c r="AJ643" i="1" s="1"/>
  <c r="AK643" i="1" s="1"/>
  <c r="BD645" i="1"/>
  <c r="AJ645" i="1" s="1"/>
  <c r="AK645" i="1" s="1"/>
  <c r="BC653" i="1"/>
  <c r="BC658" i="1"/>
  <c r="AD665" i="1"/>
  <c r="AG665" i="1" s="1"/>
  <c r="BD667" i="1"/>
  <c r="AJ667" i="1" s="1"/>
  <c r="AK667" i="1" s="1"/>
  <c r="BC673" i="1"/>
  <c r="BC674" i="1"/>
  <c r="BD675" i="1"/>
  <c r="AJ675" i="1" s="1"/>
  <c r="AK675" i="1" s="1"/>
  <c r="BC688" i="1"/>
  <c r="BD698" i="1"/>
  <c r="AJ698" i="1" s="1"/>
  <c r="AK698" i="1" s="1"/>
  <c r="BC707" i="1"/>
  <c r="BD709" i="1"/>
  <c r="AJ709" i="1" s="1"/>
  <c r="AK709" i="1" s="1"/>
  <c r="BC719" i="1"/>
  <c r="BC723" i="1"/>
  <c r="AF733" i="1"/>
  <c r="AH733" i="1" s="1"/>
  <c r="AI733" i="1" s="1"/>
  <c r="BD733" i="1"/>
  <c r="AJ733" i="1" s="1"/>
  <c r="AK733" i="1" s="1"/>
  <c r="BD816" i="1"/>
  <c r="AJ816" i="1" s="1"/>
  <c r="AK816" i="1" s="1"/>
  <c r="AF816" i="1"/>
  <c r="AH816" i="1" s="1"/>
  <c r="AI816" i="1" s="1"/>
  <c r="BF816" i="1"/>
  <c r="AL830" i="1"/>
  <c r="AM830" i="1" s="1"/>
  <c r="AF830" i="1"/>
  <c r="AH830" i="1" s="1"/>
  <c r="AI830" i="1" s="1"/>
  <c r="BC734" i="1"/>
  <c r="BC764" i="1"/>
  <c r="BC785" i="1"/>
  <c r="BC793" i="1"/>
  <c r="BC796" i="1"/>
  <c r="BD799" i="1"/>
  <c r="AJ799" i="1" s="1"/>
  <c r="AK799" i="1" s="1"/>
  <c r="BD802" i="1"/>
  <c r="AJ802" i="1" s="1"/>
  <c r="AK802" i="1" s="1"/>
  <c r="BD805" i="1"/>
  <c r="AJ805" i="1" s="1"/>
  <c r="AK805" i="1" s="1"/>
  <c r="BC810" i="1"/>
  <c r="AL812" i="1"/>
  <c r="AM812" i="1" s="1"/>
  <c r="BC826" i="1"/>
  <c r="BD828" i="1"/>
  <c r="AJ828" i="1" s="1"/>
  <c r="AK828" i="1" s="1"/>
  <c r="AF829" i="1"/>
  <c r="AH829" i="1" s="1"/>
  <c r="AI829" i="1" s="1"/>
  <c r="BD829" i="1"/>
  <c r="AJ829" i="1" s="1"/>
  <c r="AK829" i="1" s="1"/>
  <c r="BC836" i="1"/>
  <c r="BC852" i="1"/>
  <c r="AF862" i="1"/>
  <c r="AD862" i="1" s="1"/>
  <c r="AG862" i="1" s="1"/>
  <c r="BC864" i="1"/>
  <c r="BC865" i="1"/>
  <c r="BD866" i="1"/>
  <c r="AJ866" i="1" s="1"/>
  <c r="AK866" i="1" s="1"/>
  <c r="AL871" i="1"/>
  <c r="AM871" i="1" s="1"/>
  <c r="BC872" i="1"/>
  <c r="BD873" i="1"/>
  <c r="AJ873" i="1" s="1"/>
  <c r="AK873" i="1" s="1"/>
  <c r="AD877" i="1"/>
  <c r="AG877" i="1" s="1"/>
  <c r="BC882" i="1"/>
  <c r="AF899" i="1"/>
  <c r="AH899" i="1" s="1"/>
  <c r="AI899" i="1" s="1"/>
  <c r="BF900" i="1"/>
  <c r="BF902" i="1"/>
  <c r="AF911" i="1"/>
  <c r="AH911" i="1" s="1"/>
  <c r="AI911" i="1" s="1"/>
  <c r="BD911" i="1"/>
  <c r="AJ911" i="1" s="1"/>
  <c r="AK911" i="1" s="1"/>
  <c r="BC912" i="1"/>
  <c r="BD915" i="1"/>
  <c r="AJ915" i="1" s="1"/>
  <c r="AK915" i="1" s="1"/>
  <c r="BD920" i="1"/>
  <c r="AJ920" i="1" s="1"/>
  <c r="AK920" i="1" s="1"/>
  <c r="BC925" i="1"/>
  <c r="BF930" i="1"/>
  <c r="BD931" i="1"/>
  <c r="AJ931" i="1" s="1"/>
  <c r="AK931" i="1" s="1"/>
  <c r="BC934" i="1"/>
  <c r="BC937" i="1"/>
  <c r="BC941" i="1"/>
  <c r="BC943" i="1"/>
  <c r="AF951" i="1"/>
  <c r="AH951" i="1" s="1"/>
  <c r="AI951" i="1" s="1"/>
  <c r="BD953" i="1"/>
  <c r="AJ953" i="1" s="1"/>
  <c r="AK953" i="1" s="1"/>
  <c r="BC958" i="1"/>
  <c r="AF980" i="1"/>
  <c r="AH980" i="1" s="1"/>
  <c r="AI980" i="1" s="1"/>
  <c r="BC780" i="1"/>
  <c r="BC788" i="1"/>
  <c r="BD791" i="1"/>
  <c r="AJ791" i="1" s="1"/>
  <c r="AK791" i="1" s="1"/>
  <c r="BD793" i="1"/>
  <c r="AJ793" i="1" s="1"/>
  <c r="AK793" i="1" s="1"/>
  <c r="BC812" i="1"/>
  <c r="BD814" i="1"/>
  <c r="AJ814" i="1" s="1"/>
  <c r="AK814" i="1" s="1"/>
  <c r="BC831" i="1"/>
  <c r="BC833" i="1"/>
  <c r="BC835" i="1"/>
  <c r="BC837" i="1"/>
  <c r="BC838" i="1"/>
  <c r="BC839" i="1"/>
  <c r="BC841" i="1"/>
  <c r="BC843" i="1"/>
  <c r="BD854" i="1"/>
  <c r="AJ854" i="1" s="1"/>
  <c r="AK854" i="1" s="1"/>
  <c r="BC862" i="1"/>
  <c r="BD872" i="1"/>
  <c r="AJ872" i="1" s="1"/>
  <c r="AK872" i="1" s="1"/>
  <c r="BC874" i="1"/>
  <c r="BD882" i="1"/>
  <c r="AJ882" i="1" s="1"/>
  <c r="AK882" i="1" s="1"/>
  <c r="BC885" i="1"/>
  <c r="BD890" i="1"/>
  <c r="AJ890" i="1" s="1"/>
  <c r="AK890" i="1" s="1"/>
  <c r="AF897" i="1"/>
  <c r="AH897" i="1" s="1"/>
  <c r="AI897" i="1" s="1"/>
  <c r="BC902" i="1"/>
  <c r="AF906" i="1"/>
  <c r="AH906" i="1" s="1"/>
  <c r="AI906" i="1" s="1"/>
  <c r="BD906" i="1"/>
  <c r="AJ906" i="1" s="1"/>
  <c r="AK906" i="1" s="1"/>
  <c r="AD910" i="1"/>
  <c r="AG910" i="1" s="1"/>
  <c r="BD910" i="1"/>
  <c r="AJ910" i="1" s="1"/>
  <c r="AK910" i="1" s="1"/>
  <c r="BD912" i="1"/>
  <c r="AJ912" i="1" s="1"/>
  <c r="AK912" i="1" s="1"/>
  <c r="BC918" i="1"/>
  <c r="BD934" i="1"/>
  <c r="AJ934" i="1" s="1"/>
  <c r="AK934" i="1" s="1"/>
  <c r="BC942" i="1"/>
  <c r="BC951" i="1"/>
  <c r="BC955" i="1"/>
  <c r="BC963" i="1"/>
  <c r="BC808" i="1"/>
  <c r="BC816" i="1"/>
  <c r="BC830" i="1"/>
  <c r="BC842" i="1"/>
  <c r="BC857" i="1"/>
  <c r="BC897" i="1"/>
  <c r="AF902" i="1"/>
  <c r="AH902" i="1" s="1"/>
  <c r="AI902" i="1" s="1"/>
  <c r="BC917" i="1"/>
  <c r="BC927" i="1"/>
  <c r="BD930" i="1"/>
  <c r="AJ930" i="1" s="1"/>
  <c r="AK930" i="1" s="1"/>
  <c r="BD949" i="1"/>
  <c r="AJ949" i="1" s="1"/>
  <c r="AK949" i="1" s="1"/>
  <c r="AH9" i="1"/>
  <c r="AI9" i="1" s="1"/>
  <c r="AD9" i="1"/>
  <c r="AG9" i="1" s="1"/>
  <c r="AF28" i="1"/>
  <c r="AH28" i="1" s="1"/>
  <c r="AI28" i="1" s="1"/>
  <c r="AL28" i="1"/>
  <c r="AM28" i="1" s="1"/>
  <c r="AF49" i="1"/>
  <c r="BF12" i="1"/>
  <c r="BF28" i="1"/>
  <c r="AL33" i="1"/>
  <c r="AM33" i="1" s="1"/>
  <c r="AD35" i="1"/>
  <c r="AG35" i="1" s="1"/>
  <c r="BF38" i="1"/>
  <c r="BF4" i="1"/>
  <c r="BF5" i="1"/>
  <c r="BF6" i="1"/>
  <c r="BF7" i="1"/>
  <c r="BC11" i="1"/>
  <c r="AF12" i="1"/>
  <c r="AH12" i="1" s="1"/>
  <c r="AI12" i="1" s="1"/>
  <c r="AL12" i="1"/>
  <c r="AM12" i="1" s="1"/>
  <c r="BC12" i="1"/>
  <c r="AL17" i="1"/>
  <c r="AM17" i="1" s="1"/>
  <c r="AF18" i="1"/>
  <c r="AH18" i="1" s="1"/>
  <c r="AI18" i="1" s="1"/>
  <c r="BD18" i="1"/>
  <c r="AJ18" i="1" s="1"/>
  <c r="AK18" i="1" s="1"/>
  <c r="BD20" i="1"/>
  <c r="AJ20" i="1" s="1"/>
  <c r="AK20" i="1" s="1"/>
  <c r="AL30" i="1"/>
  <c r="AM30" i="1" s="1"/>
  <c r="BC30" i="1"/>
  <c r="AH35" i="1"/>
  <c r="AI35" i="1" s="1"/>
  <c r="AL38" i="1"/>
  <c r="AM38" i="1" s="1"/>
  <c r="BC38" i="1"/>
  <c r="BF39" i="1"/>
  <c r="BF40" i="1"/>
  <c r="BC41" i="1"/>
  <c r="AF42" i="1"/>
  <c r="AH42" i="1" s="1"/>
  <c r="AI42" i="1" s="1"/>
  <c r="BD42" i="1"/>
  <c r="AJ42" i="1" s="1"/>
  <c r="AK42" i="1" s="1"/>
  <c r="AF44" i="1"/>
  <c r="AH44" i="1" s="1"/>
  <c r="AI44" i="1" s="1"/>
  <c r="AD46" i="1"/>
  <c r="AG46" i="1" s="1"/>
  <c r="BF46" i="1"/>
  <c r="BF48" i="1"/>
  <c r="AF50" i="1"/>
  <c r="AH50" i="1" s="1"/>
  <c r="AI50" i="1" s="1"/>
  <c r="BF50" i="1"/>
  <c r="AL52" i="1"/>
  <c r="AM52" i="1" s="1"/>
  <c r="BC52" i="1"/>
  <c r="AF55" i="1"/>
  <c r="AF58" i="1"/>
  <c r="AH58" i="1" s="1"/>
  <c r="AI58" i="1" s="1"/>
  <c r="AD60" i="1"/>
  <c r="AG60" i="1" s="1"/>
  <c r="BF62" i="1"/>
  <c r="BF64" i="1"/>
  <c r="BC65" i="1"/>
  <c r="AD67" i="1"/>
  <c r="AG67" i="1" s="1"/>
  <c r="BD68" i="1"/>
  <c r="AJ68" i="1" s="1"/>
  <c r="AK68" i="1" s="1"/>
  <c r="BD72" i="1"/>
  <c r="AJ72" i="1" s="1"/>
  <c r="AK72" i="1" s="1"/>
  <c r="AF73" i="1"/>
  <c r="AD73" i="1" s="1"/>
  <c r="AG73" i="1" s="1"/>
  <c r="BF74" i="1"/>
  <c r="BC75" i="1"/>
  <c r="AL76" i="1"/>
  <c r="AM76" i="1" s="1"/>
  <c r="BC76" i="1"/>
  <c r="BD80" i="1"/>
  <c r="AJ80" i="1" s="1"/>
  <c r="AK80" i="1" s="1"/>
  <c r="AF81" i="1"/>
  <c r="AH81" i="1" s="1"/>
  <c r="AI81" i="1" s="1"/>
  <c r="BC83" i="1"/>
  <c r="AL84" i="1"/>
  <c r="AM84" i="1" s="1"/>
  <c r="BC84" i="1"/>
  <c r="BD88" i="1"/>
  <c r="AJ88" i="1" s="1"/>
  <c r="AK88" i="1" s="1"/>
  <c r="AF89" i="1"/>
  <c r="AH89" i="1" s="1"/>
  <c r="AI89" i="1" s="1"/>
  <c r="BF90" i="1"/>
  <c r="AD91" i="1"/>
  <c r="AG91" i="1" s="1"/>
  <c r="BD92" i="1"/>
  <c r="AJ92" i="1" s="1"/>
  <c r="AK92" i="1" s="1"/>
  <c r="BD96" i="1"/>
  <c r="AJ96" i="1" s="1"/>
  <c r="AK96" i="1" s="1"/>
  <c r="AF97" i="1"/>
  <c r="AD97" i="1" s="1"/>
  <c r="AG97" i="1" s="1"/>
  <c r="AD98" i="1"/>
  <c r="AG98" i="1" s="1"/>
  <c r="BF98" i="1"/>
  <c r="AD99" i="1"/>
  <c r="AG99" i="1" s="1"/>
  <c r="BD100" i="1"/>
  <c r="AJ100" i="1" s="1"/>
  <c r="AK100" i="1" s="1"/>
  <c r="BF102" i="1"/>
  <c r="AL103" i="1"/>
  <c r="AM103" i="1" s="1"/>
  <c r="AF106" i="1"/>
  <c r="AH106" i="1" s="1"/>
  <c r="AI106" i="1" s="1"/>
  <c r="AD107" i="1"/>
  <c r="AG107" i="1" s="1"/>
  <c r="BD108" i="1"/>
  <c r="AJ108" i="1" s="1"/>
  <c r="AK108" i="1" s="1"/>
  <c r="BF110" i="1"/>
  <c r="AL111" i="1"/>
  <c r="AM111" i="1" s="1"/>
  <c r="AF114" i="1"/>
  <c r="AH114" i="1" s="1"/>
  <c r="AI114" i="1" s="1"/>
  <c r="BC118" i="1"/>
  <c r="BF120" i="1"/>
  <c r="BC121" i="1"/>
  <c r="AL125" i="1"/>
  <c r="AM125" i="1" s="1"/>
  <c r="BD125" i="1"/>
  <c r="AJ125" i="1" s="1"/>
  <c r="AK125" i="1" s="1"/>
  <c r="AF126" i="1"/>
  <c r="AH126" i="1" s="1"/>
  <c r="AI126" i="1" s="1"/>
  <c r="BD126" i="1"/>
  <c r="AJ126" i="1" s="1"/>
  <c r="AK126" i="1" s="1"/>
  <c r="AF127" i="1"/>
  <c r="AH127" i="1" s="1"/>
  <c r="AI127" i="1" s="1"/>
  <c r="BC127" i="1"/>
  <c r="AL132" i="1"/>
  <c r="AM132" i="1" s="1"/>
  <c r="BF132" i="1"/>
  <c r="BD135" i="1"/>
  <c r="AJ135" i="1" s="1"/>
  <c r="AK135" i="1" s="1"/>
  <c r="BD140" i="1"/>
  <c r="AJ140" i="1" s="1"/>
  <c r="AK140" i="1" s="1"/>
  <c r="AF141" i="1"/>
  <c r="AD141" i="1" s="1"/>
  <c r="AG141" i="1" s="1"/>
  <c r="BC141" i="1"/>
  <c r="AD142" i="1"/>
  <c r="AG142" i="1" s="1"/>
  <c r="AL142" i="1"/>
  <c r="AM142" i="1" s="1"/>
  <c r="BD142" i="1"/>
  <c r="AJ142" i="1" s="1"/>
  <c r="AK142" i="1" s="1"/>
  <c r="AF143" i="1"/>
  <c r="AH143" i="1" s="1"/>
  <c r="AI143" i="1" s="1"/>
  <c r="BD148" i="1"/>
  <c r="AJ148" i="1" s="1"/>
  <c r="AK148" i="1" s="1"/>
  <c r="BC150" i="1"/>
  <c r="AL156" i="1"/>
  <c r="AM156" i="1" s="1"/>
  <c r="BF156" i="1"/>
  <c r="BD157" i="1"/>
  <c r="AJ157" i="1" s="1"/>
  <c r="AK157" i="1" s="1"/>
  <c r="BC161" i="1"/>
  <c r="AL164" i="1"/>
  <c r="AM164" i="1" s="1"/>
  <c r="BF164" i="1"/>
  <c r="BD165" i="1"/>
  <c r="AJ165" i="1" s="1"/>
  <c r="AK165" i="1" s="1"/>
  <c r="AF166" i="1"/>
  <c r="AH166" i="1" s="1"/>
  <c r="AI166" i="1" s="1"/>
  <c r="BC169" i="1"/>
  <c r="AL172" i="1"/>
  <c r="AM172" i="1" s="1"/>
  <c r="BF172" i="1"/>
  <c r="BD173" i="1"/>
  <c r="AJ173" i="1" s="1"/>
  <c r="AK173" i="1" s="1"/>
  <c r="AF174" i="1"/>
  <c r="AH174" i="1" s="1"/>
  <c r="AI174" i="1" s="1"/>
  <c r="BC177" i="1"/>
  <c r="AL180" i="1"/>
  <c r="AM180" i="1" s="1"/>
  <c r="BC181" i="1"/>
  <c r="BD186" i="1"/>
  <c r="AJ186" i="1" s="1"/>
  <c r="AK186" i="1" s="1"/>
  <c r="AF188" i="1"/>
  <c r="AD188" i="1" s="1"/>
  <c r="AG188" i="1" s="1"/>
  <c r="BF188" i="1"/>
  <c r="BC189" i="1"/>
  <c r="AD190" i="1"/>
  <c r="AG190" i="1" s="1"/>
  <c r="AL196" i="1"/>
  <c r="AM196" i="1" s="1"/>
  <c r="AL197" i="1"/>
  <c r="AM197" i="1" s="1"/>
  <c r="BC197" i="1"/>
  <c r="AL198" i="1"/>
  <c r="AM198" i="1" s="1"/>
  <c r="BF198" i="1"/>
  <c r="BD204" i="1"/>
  <c r="AJ204" i="1" s="1"/>
  <c r="AK204" i="1" s="1"/>
  <c r="BF212" i="1"/>
  <c r="BD217" i="1"/>
  <c r="AJ217" i="1" s="1"/>
  <c r="AK217" i="1" s="1"/>
  <c r="AF217" i="1"/>
  <c r="AH217" i="1" s="1"/>
  <c r="AI217" i="1" s="1"/>
  <c r="BC229" i="1"/>
  <c r="AD6" i="1"/>
  <c r="AG6" i="1" s="1"/>
  <c r="BD16" i="1"/>
  <c r="AJ16" i="1" s="1"/>
  <c r="AK16" i="1" s="1"/>
  <c r="AF17" i="1"/>
  <c r="AL26" i="1"/>
  <c r="AM26" i="1" s="1"/>
  <c r="BD26" i="1"/>
  <c r="AJ26" i="1" s="1"/>
  <c r="AK26" i="1" s="1"/>
  <c r="BD28" i="1"/>
  <c r="AJ28" i="1" s="1"/>
  <c r="AK28" i="1" s="1"/>
  <c r="AF30" i="1"/>
  <c r="AH30" i="1" s="1"/>
  <c r="AI30" i="1" s="1"/>
  <c r="BD30" i="1"/>
  <c r="AJ30" i="1" s="1"/>
  <c r="AK30" i="1" s="1"/>
  <c r="AD38" i="1"/>
  <c r="AG38" i="1" s="1"/>
  <c r="BD41" i="1"/>
  <c r="AJ41" i="1" s="1"/>
  <c r="AK41" i="1" s="1"/>
  <c r="BC49" i="1"/>
  <c r="AD52" i="1"/>
  <c r="AG52" i="1" s="1"/>
  <c r="BD52" i="1"/>
  <c r="AJ52" i="1" s="1"/>
  <c r="AK52" i="1" s="1"/>
  <c r="BC57" i="1"/>
  <c r="AL58" i="1"/>
  <c r="AM58" i="1" s="1"/>
  <c r="BD58" i="1"/>
  <c r="AJ58" i="1" s="1"/>
  <c r="AK58" i="1" s="1"/>
  <c r="BC63" i="1"/>
  <c r="AL66" i="1"/>
  <c r="AM66" i="1" s="1"/>
  <c r="BD66" i="1"/>
  <c r="AJ66" i="1" s="1"/>
  <c r="AK66" i="1" s="1"/>
  <c r="AD68" i="1"/>
  <c r="AG68" i="1" s="1"/>
  <c r="AD75" i="1"/>
  <c r="AG75" i="1" s="1"/>
  <c r="BD76" i="1"/>
  <c r="AJ76" i="1" s="1"/>
  <c r="AK76" i="1" s="1"/>
  <c r="AD83" i="1"/>
  <c r="AG83" i="1" s="1"/>
  <c r="BD84" i="1"/>
  <c r="AJ84" i="1" s="1"/>
  <c r="AK84" i="1" s="1"/>
  <c r="BC105" i="1"/>
  <c r="AL106" i="1"/>
  <c r="AM106" i="1" s="1"/>
  <c r="BD106" i="1"/>
  <c r="AJ106" i="1" s="1"/>
  <c r="AK106" i="1" s="1"/>
  <c r="AD108" i="1"/>
  <c r="AG108" i="1" s="1"/>
  <c r="BC113" i="1"/>
  <c r="AL114" i="1"/>
  <c r="AM114" i="1" s="1"/>
  <c r="BD114" i="1"/>
  <c r="AJ114" i="1" s="1"/>
  <c r="AK114" i="1" s="1"/>
  <c r="AD118" i="1"/>
  <c r="AG118" i="1" s="1"/>
  <c r="BD118" i="1"/>
  <c r="AJ118" i="1" s="1"/>
  <c r="AK118" i="1" s="1"/>
  <c r="BC119" i="1"/>
  <c r="AL122" i="1"/>
  <c r="AM122" i="1" s="1"/>
  <c r="BD122" i="1"/>
  <c r="AJ122" i="1" s="1"/>
  <c r="AK122" i="1" s="1"/>
  <c r="BD127" i="1"/>
  <c r="AJ127" i="1" s="1"/>
  <c r="AK127" i="1" s="1"/>
  <c r="AL141" i="1"/>
  <c r="AM141" i="1" s="1"/>
  <c r="BD141" i="1"/>
  <c r="AJ141" i="1" s="1"/>
  <c r="AK141" i="1" s="1"/>
  <c r="AL150" i="1"/>
  <c r="AM150" i="1" s="1"/>
  <c r="BD150" i="1"/>
  <c r="AJ150" i="1" s="1"/>
  <c r="AK150" i="1" s="1"/>
  <c r="AL181" i="1"/>
  <c r="AM181" i="1" s="1"/>
  <c r="BD181" i="1"/>
  <c r="AJ181" i="1" s="1"/>
  <c r="AK181" i="1" s="1"/>
  <c r="BC185" i="1"/>
  <c r="BD187" i="1"/>
  <c r="AJ187" i="1" s="1"/>
  <c r="AK187" i="1" s="1"/>
  <c r="AL189" i="1"/>
  <c r="AM189" i="1" s="1"/>
  <c r="BD189" i="1"/>
  <c r="AJ189" i="1" s="1"/>
  <c r="AK189" i="1" s="1"/>
  <c r="BC193" i="1"/>
  <c r="AD196" i="1"/>
  <c r="AG196" i="1" s="1"/>
  <c r="AF205" i="1"/>
  <c r="AH205" i="1" s="1"/>
  <c r="AI205" i="1" s="1"/>
  <c r="BD205" i="1"/>
  <c r="AJ205" i="1" s="1"/>
  <c r="AK205" i="1" s="1"/>
  <c r="BD208" i="1"/>
  <c r="AJ208" i="1" s="1"/>
  <c r="AK208" i="1" s="1"/>
  <c r="BD209" i="1"/>
  <c r="AJ209" i="1" s="1"/>
  <c r="AK209" i="1" s="1"/>
  <c r="AF209" i="1"/>
  <c r="AH209" i="1" s="1"/>
  <c r="AI209" i="1" s="1"/>
  <c r="AF212" i="1"/>
  <c r="AH212" i="1" s="1"/>
  <c r="AI212" i="1" s="1"/>
  <c r="BC212" i="1"/>
  <c r="AF222" i="1"/>
  <c r="AD222" i="1" s="1"/>
  <c r="AG222" i="1" s="1"/>
  <c r="BF222" i="1"/>
  <c r="AF223" i="1"/>
  <c r="AH223" i="1" s="1"/>
  <c r="AI223" i="1" s="1"/>
  <c r="BD223" i="1"/>
  <c r="AJ223" i="1" s="1"/>
  <c r="AK223" i="1" s="1"/>
  <c r="AF229" i="1"/>
  <c r="AH229" i="1" s="1"/>
  <c r="AI229" i="1" s="1"/>
  <c r="BF229" i="1"/>
  <c r="BD229" i="1"/>
  <c r="AJ229" i="1" s="1"/>
  <c r="AK229" i="1" s="1"/>
  <c r="AL229" i="1"/>
  <c r="AM229" i="1" s="1"/>
  <c r="AF33" i="1"/>
  <c r="AH33" i="1" s="1"/>
  <c r="AI33" i="1" s="1"/>
  <c r="AF41" i="1"/>
  <c r="AD41" i="1" s="1"/>
  <c r="AG41" i="1" s="1"/>
  <c r="AF197" i="1"/>
  <c r="BF197" i="1"/>
  <c r="BD212" i="1"/>
  <c r="AJ212" i="1" s="1"/>
  <c r="AK212" i="1" s="1"/>
  <c r="AF216" i="1"/>
  <c r="AH216" i="1" s="1"/>
  <c r="AI216" i="1" s="1"/>
  <c r="BD216" i="1"/>
  <c r="AJ216" i="1" s="1"/>
  <c r="AK216" i="1" s="1"/>
  <c r="AF7" i="1"/>
  <c r="AH7" i="1" s="1"/>
  <c r="AI7" i="1" s="1"/>
  <c r="AL7" i="1"/>
  <c r="AM7" i="1" s="1"/>
  <c r="BF16" i="1"/>
  <c r="AF20" i="1"/>
  <c r="AH20" i="1" s="1"/>
  <c r="AI20" i="1" s="1"/>
  <c r="AL20" i="1"/>
  <c r="AM20" i="1" s="1"/>
  <c r="BF26" i="1"/>
  <c r="AL47" i="1"/>
  <c r="AM47" i="1" s="1"/>
  <c r="AF57" i="1"/>
  <c r="AD57" i="1" s="1"/>
  <c r="AG57" i="1" s="1"/>
  <c r="BF58" i="1"/>
  <c r="AL63" i="1"/>
  <c r="AM63" i="1" s="1"/>
  <c r="AF66" i="1"/>
  <c r="AH66" i="1" s="1"/>
  <c r="AI66" i="1" s="1"/>
  <c r="BF66" i="1"/>
  <c r="AL68" i="1"/>
  <c r="AM68" i="1" s="1"/>
  <c r="AF76" i="1"/>
  <c r="AH76" i="1" s="1"/>
  <c r="AI76" i="1" s="1"/>
  <c r="AF84" i="1"/>
  <c r="AH84" i="1" s="1"/>
  <c r="AI84" i="1" s="1"/>
  <c r="AL92" i="1"/>
  <c r="AM92" i="1" s="1"/>
  <c r="AL100" i="1"/>
  <c r="AM100" i="1" s="1"/>
  <c r="AF105" i="1"/>
  <c r="AH105" i="1" s="1"/>
  <c r="AI105" i="1" s="1"/>
  <c r="BF106" i="1"/>
  <c r="AL108" i="1"/>
  <c r="AM108" i="1" s="1"/>
  <c r="AF113" i="1"/>
  <c r="AH113" i="1" s="1"/>
  <c r="AI113" i="1" s="1"/>
  <c r="BF114" i="1"/>
  <c r="BF118" i="1"/>
  <c r="AL119" i="1"/>
  <c r="AM119" i="1" s="1"/>
  <c r="AF122" i="1"/>
  <c r="AH122" i="1" s="1"/>
  <c r="AI122" i="1" s="1"/>
  <c r="BF122" i="1"/>
  <c r="AF125" i="1"/>
  <c r="AD125" i="1" s="1"/>
  <c r="AG125" i="1" s="1"/>
  <c r="AF148" i="1"/>
  <c r="AH148" i="1" s="1"/>
  <c r="AI148" i="1" s="1"/>
  <c r="AD155" i="1"/>
  <c r="AG155" i="1" s="1"/>
  <c r="AF165" i="1"/>
  <c r="AH165" i="1" s="1"/>
  <c r="AI165" i="1" s="1"/>
  <c r="AF173" i="1"/>
  <c r="AH173" i="1" s="1"/>
  <c r="AI173" i="1" s="1"/>
  <c r="BF180" i="1"/>
  <c r="BF185" i="1"/>
  <c r="AF187" i="1"/>
  <c r="AH187" i="1" s="1"/>
  <c r="AI187" i="1" s="1"/>
  <c r="AF189" i="1"/>
  <c r="AH189" i="1" s="1"/>
  <c r="AI189" i="1" s="1"/>
  <c r="BF193" i="1"/>
  <c r="BD201" i="1"/>
  <c r="AJ201" i="1" s="1"/>
  <c r="AK201" i="1" s="1"/>
  <c r="BF201" i="1"/>
  <c r="BC199" i="1"/>
  <c r="BC202" i="1"/>
  <c r="BF214" i="1"/>
  <c r="BC217" i="1"/>
  <c r="BD220" i="1"/>
  <c r="AJ220" i="1" s="1"/>
  <c r="AK220" i="1" s="1"/>
  <c r="BF221" i="1"/>
  <c r="BC223" i="1"/>
  <c r="BC230" i="1"/>
  <c r="BD231" i="1"/>
  <c r="AJ231" i="1" s="1"/>
  <c r="AK231" i="1" s="1"/>
  <c r="AD233" i="1"/>
  <c r="AG233" i="1" s="1"/>
  <c r="BF233" i="1"/>
  <c r="BC234" i="1"/>
  <c r="BD237" i="1"/>
  <c r="AJ237" i="1" s="1"/>
  <c r="AK237" i="1" s="1"/>
  <c r="AF241" i="1"/>
  <c r="AH241" i="1" s="1"/>
  <c r="AI241" i="1" s="1"/>
  <c r="AL244" i="1"/>
  <c r="AM244" i="1" s="1"/>
  <c r="BF246" i="1"/>
  <c r="BD248" i="1"/>
  <c r="AJ248" i="1" s="1"/>
  <c r="AK248" i="1" s="1"/>
  <c r="AL253" i="1"/>
  <c r="AM253" i="1" s="1"/>
  <c r="AF257" i="1"/>
  <c r="AH257" i="1" s="1"/>
  <c r="AI257" i="1" s="1"/>
  <c r="BC257" i="1"/>
  <c r="BD260" i="1"/>
  <c r="AJ260" i="1" s="1"/>
  <c r="AK260" i="1" s="1"/>
  <c r="BF261" i="1"/>
  <c r="BC262" i="1"/>
  <c r="BD263" i="1"/>
  <c r="AJ263" i="1" s="1"/>
  <c r="AK263" i="1" s="1"/>
  <c r="AL268" i="1"/>
  <c r="AM268" i="1" s="1"/>
  <c r="AF270" i="1"/>
  <c r="BC271" i="1"/>
  <c r="BF273" i="1"/>
  <c r="BC274" i="1"/>
  <c r="BD277" i="1"/>
  <c r="AJ277" i="1" s="1"/>
  <c r="AK277" i="1" s="1"/>
  <c r="BF278" i="1"/>
  <c r="AD281" i="1"/>
  <c r="AG281" i="1" s="1"/>
  <c r="AF282" i="1"/>
  <c r="BD290" i="1"/>
  <c r="AJ290" i="1" s="1"/>
  <c r="AK290" i="1" s="1"/>
  <c r="AF293" i="1"/>
  <c r="AH293" i="1" s="1"/>
  <c r="AI293" i="1" s="1"/>
  <c r="BD298" i="1"/>
  <c r="AJ298" i="1" s="1"/>
  <c r="AK298" i="1" s="1"/>
  <c r="AD302" i="1"/>
  <c r="AG302" i="1" s="1"/>
  <c r="BF302" i="1"/>
  <c r="BC303" i="1"/>
  <c r="BD304" i="1"/>
  <c r="AJ304" i="1" s="1"/>
  <c r="AK304" i="1" s="1"/>
  <c r="BC305" i="1"/>
  <c r="BD306" i="1"/>
  <c r="AJ306" i="1" s="1"/>
  <c r="AK306" i="1" s="1"/>
  <c r="AF312" i="1"/>
  <c r="AD312" i="1" s="1"/>
  <c r="AG312" i="1" s="1"/>
  <c r="BC312" i="1"/>
  <c r="BD313" i="1"/>
  <c r="AJ313" i="1" s="1"/>
  <c r="AK313" i="1" s="1"/>
  <c r="BC314" i="1"/>
  <c r="AF315" i="1"/>
  <c r="AH315" i="1" s="1"/>
  <c r="AI315" i="1" s="1"/>
  <c r="BF315" i="1"/>
  <c r="BD317" i="1"/>
  <c r="AJ317" i="1" s="1"/>
  <c r="AK317" i="1" s="1"/>
  <c r="BC318" i="1"/>
  <c r="BD320" i="1"/>
  <c r="AJ320" i="1" s="1"/>
  <c r="AK320" i="1" s="1"/>
  <c r="AD322" i="1"/>
  <c r="AG322" i="1" s="1"/>
  <c r="AD323" i="1"/>
  <c r="AG323" i="1" s="1"/>
  <c r="BC326" i="1"/>
  <c r="BC327" i="1"/>
  <c r="BD328" i="1"/>
  <c r="AJ328" i="1" s="1"/>
  <c r="AK328" i="1" s="1"/>
  <c r="BC335" i="1"/>
  <c r="BD336" i="1"/>
  <c r="AJ336" i="1" s="1"/>
  <c r="AK336" i="1" s="1"/>
  <c r="BF339" i="1"/>
  <c r="AL344" i="1"/>
  <c r="AM344" i="1" s="1"/>
  <c r="BD345" i="1"/>
  <c r="AJ345" i="1" s="1"/>
  <c r="AK345" i="1" s="1"/>
  <c r="BD346" i="1"/>
  <c r="AJ346" i="1" s="1"/>
  <c r="AK346" i="1" s="1"/>
  <c r="BC347" i="1"/>
  <c r="AF348" i="1"/>
  <c r="BC350" i="1"/>
  <c r="BD352" i="1"/>
  <c r="AJ352" i="1" s="1"/>
  <c r="AK352" i="1" s="1"/>
  <c r="AL356" i="1"/>
  <c r="AM356" i="1" s="1"/>
  <c r="AF356" i="1"/>
  <c r="AH356" i="1" s="1"/>
  <c r="AI356" i="1" s="1"/>
  <c r="BF358" i="1"/>
  <c r="AF358" i="1"/>
  <c r="AH358" i="1" s="1"/>
  <c r="AI358" i="1" s="1"/>
  <c r="BD374" i="1"/>
  <c r="AJ374" i="1" s="1"/>
  <c r="AK374" i="1" s="1"/>
  <c r="BF374" i="1"/>
  <c r="BC379" i="1"/>
  <c r="AL388" i="1"/>
  <c r="AM388" i="1" s="1"/>
  <c r="BC388" i="1"/>
  <c r="BF388" i="1"/>
  <c r="BD388" i="1"/>
  <c r="AJ388" i="1" s="1"/>
  <c r="AK388" i="1" s="1"/>
  <c r="BC222" i="1"/>
  <c r="AD225" i="1"/>
  <c r="AG225" i="1" s="1"/>
  <c r="BC226" i="1"/>
  <c r="BD240" i="1"/>
  <c r="AJ240" i="1" s="1"/>
  <c r="AK240" i="1" s="1"/>
  <c r="BC241" i="1"/>
  <c r="BD244" i="1"/>
  <c r="AJ244" i="1" s="1"/>
  <c r="AK244" i="1" s="1"/>
  <c r="BC250" i="1"/>
  <c r="BD253" i="1"/>
  <c r="AJ253" i="1" s="1"/>
  <c r="AK253" i="1" s="1"/>
  <c r="BD256" i="1"/>
  <c r="AJ256" i="1" s="1"/>
  <c r="AK256" i="1" s="1"/>
  <c r="AF265" i="1"/>
  <c r="AH265" i="1" s="1"/>
  <c r="AI265" i="1" s="1"/>
  <c r="BC265" i="1"/>
  <c r="BD268" i="1"/>
  <c r="AJ268" i="1" s="1"/>
  <c r="AK268" i="1" s="1"/>
  <c r="BC270" i="1"/>
  <c r="BD271" i="1"/>
  <c r="AJ271" i="1" s="1"/>
  <c r="AK271" i="1" s="1"/>
  <c r="AD273" i="1"/>
  <c r="AG273" i="1" s="1"/>
  <c r="BD282" i="1"/>
  <c r="AJ282" i="1" s="1"/>
  <c r="AK282" i="1" s="1"/>
  <c r="AF285" i="1"/>
  <c r="AH285" i="1" s="1"/>
  <c r="AI285" i="1" s="1"/>
  <c r="BC287" i="1"/>
  <c r="AF294" i="1"/>
  <c r="AH294" i="1" s="1"/>
  <c r="AI294" i="1" s="1"/>
  <c r="BC294" i="1"/>
  <c r="AD301" i="1"/>
  <c r="AG301" i="1" s="1"/>
  <c r="BC307" i="1"/>
  <c r="BD312" i="1"/>
  <c r="AJ312" i="1" s="1"/>
  <c r="AK312" i="1" s="1"/>
  <c r="BD314" i="1"/>
  <c r="AJ314" i="1" s="1"/>
  <c r="AK314" i="1" s="1"/>
  <c r="BD316" i="1"/>
  <c r="AJ316" i="1" s="1"/>
  <c r="AK316" i="1" s="1"/>
  <c r="BD325" i="1"/>
  <c r="AJ325" i="1" s="1"/>
  <c r="AK325" i="1" s="1"/>
  <c r="BD333" i="1"/>
  <c r="AJ333" i="1" s="1"/>
  <c r="AK333" i="1" s="1"/>
  <c r="BD349" i="1"/>
  <c r="AJ349" i="1" s="1"/>
  <c r="AK349" i="1" s="1"/>
  <c r="BF355" i="1"/>
  <c r="AF355" i="1"/>
  <c r="BC359" i="1"/>
  <c r="BF362" i="1"/>
  <c r="AL362" i="1"/>
  <c r="AM362" i="1" s="1"/>
  <c r="BC364" i="1"/>
  <c r="BF370" i="1"/>
  <c r="AL370" i="1"/>
  <c r="AM370" i="1" s="1"/>
  <c r="AL364" i="1"/>
  <c r="AM364" i="1" s="1"/>
  <c r="BD364" i="1"/>
  <c r="AJ364" i="1" s="1"/>
  <c r="AK364" i="1" s="1"/>
  <c r="BF382" i="1"/>
  <c r="BD382" i="1"/>
  <c r="AJ382" i="1" s="1"/>
  <c r="AK382" i="1" s="1"/>
  <c r="AD231" i="1"/>
  <c r="AG231" i="1" s="1"/>
  <c r="BC231" i="1"/>
  <c r="AL237" i="1"/>
  <c r="AM237" i="1" s="1"/>
  <c r="BF241" i="1"/>
  <c r="BF253" i="1"/>
  <c r="AF262" i="1"/>
  <c r="AH262" i="1" s="1"/>
  <c r="AI262" i="1" s="1"/>
  <c r="AD263" i="1"/>
  <c r="AG263" i="1" s="1"/>
  <c r="BC263" i="1"/>
  <c r="BF265" i="1"/>
  <c r="BF270" i="1"/>
  <c r="AL277" i="1"/>
  <c r="AM277" i="1" s="1"/>
  <c r="AL282" i="1"/>
  <c r="AM282" i="1" s="1"/>
  <c r="BF287" i="1"/>
  <c r="BF294" i="1"/>
  <c r="AF298" i="1"/>
  <c r="AH298" i="1" s="1"/>
  <c r="AI298" i="1" s="1"/>
  <c r="BC301" i="1"/>
  <c r="BC304" i="1"/>
  <c r="BC306" i="1"/>
  <c r="AF307" i="1"/>
  <c r="AH307" i="1" s="1"/>
  <c r="AI307" i="1" s="1"/>
  <c r="BF307" i="1"/>
  <c r="AL312" i="1"/>
  <c r="AM312" i="1" s="1"/>
  <c r="BC320" i="1"/>
  <c r="BC321" i="1"/>
  <c r="AF327" i="1"/>
  <c r="AH327" i="1" s="1"/>
  <c r="AI327" i="1" s="1"/>
  <c r="BC328" i="1"/>
  <c r="BC329" i="1"/>
  <c r="AF335" i="1"/>
  <c r="AH335" i="1" s="1"/>
  <c r="AI335" i="1" s="1"/>
  <c r="BC336" i="1"/>
  <c r="BC337" i="1"/>
  <c r="AH340" i="1"/>
  <c r="AI340" i="1" s="1"/>
  <c r="BC346" i="1"/>
  <c r="AF347" i="1"/>
  <c r="AH347" i="1" s="1"/>
  <c r="AI347" i="1" s="1"/>
  <c r="AF351" i="1"/>
  <c r="AH351" i="1" s="1"/>
  <c r="AI351" i="1" s="1"/>
  <c r="BC352" i="1"/>
  <c r="AF362" i="1"/>
  <c r="AH362" i="1" s="1"/>
  <c r="AI362" i="1" s="1"/>
  <c r="BF364" i="1"/>
  <c r="AL365" i="1"/>
  <c r="AM365" i="1" s="1"/>
  <c r="BF365" i="1"/>
  <c r="AF365" i="1"/>
  <c r="AH365" i="1" s="1"/>
  <c r="AI365" i="1" s="1"/>
  <c r="AL381" i="1"/>
  <c r="AM381" i="1" s="1"/>
  <c r="BD381" i="1"/>
  <c r="AJ381" i="1" s="1"/>
  <c r="AK381" i="1" s="1"/>
  <c r="BF381" i="1"/>
  <c r="AL382" i="1"/>
  <c r="AM382" i="1" s="1"/>
  <c r="AL384" i="1"/>
  <c r="AM384" i="1" s="1"/>
  <c r="BF384" i="1"/>
  <c r="BD384" i="1"/>
  <c r="AJ384" i="1" s="1"/>
  <c r="AK384" i="1" s="1"/>
  <c r="BC355" i="1"/>
  <c r="BC356" i="1"/>
  <c r="BC361" i="1"/>
  <c r="BC367" i="1"/>
  <c r="BC369" i="1"/>
  <c r="AL376" i="1"/>
  <c r="AM376" i="1" s="1"/>
  <c r="BC385" i="1"/>
  <c r="AF386" i="1"/>
  <c r="AH386" i="1" s="1"/>
  <c r="AI386" i="1" s="1"/>
  <c r="AD388" i="1"/>
  <c r="AG388" i="1" s="1"/>
  <c r="AL390" i="1"/>
  <c r="AM390" i="1" s="1"/>
  <c r="AF392" i="1"/>
  <c r="AH392" i="1" s="1"/>
  <c r="AI392" i="1" s="1"/>
  <c r="BD400" i="1"/>
  <c r="AJ400" i="1" s="1"/>
  <c r="AK400" i="1" s="1"/>
  <c r="BC401" i="1"/>
  <c r="AF402" i="1"/>
  <c r="BF404" i="1"/>
  <c r="BC406" i="1"/>
  <c r="BC409" i="1"/>
  <c r="AF410" i="1"/>
  <c r="AH410" i="1" s="1"/>
  <c r="AI410" i="1" s="1"/>
  <c r="AL425" i="1"/>
  <c r="AM425" i="1" s="1"/>
  <c r="BC430" i="1"/>
  <c r="AF434" i="1"/>
  <c r="AH434" i="1" s="1"/>
  <c r="AI434" i="1" s="1"/>
  <c r="BF461" i="1"/>
  <c r="BC461" i="1"/>
  <c r="AF465" i="1"/>
  <c r="AH465" i="1" s="1"/>
  <c r="AI465" i="1" s="1"/>
  <c r="BC465" i="1"/>
  <c r="BF465" i="1"/>
  <c r="AF471" i="1"/>
  <c r="AD471" i="1" s="1"/>
  <c r="AG471" i="1" s="1"/>
  <c r="BD471" i="1"/>
  <c r="AJ471" i="1" s="1"/>
  <c r="AK471" i="1" s="1"/>
  <c r="BC477" i="1"/>
  <c r="BC481" i="1"/>
  <c r="AF481" i="1"/>
  <c r="BF481" i="1"/>
  <c r="AF491" i="1"/>
  <c r="AH491" i="1" s="1"/>
  <c r="AI491" i="1" s="1"/>
  <c r="BD491" i="1"/>
  <c r="AJ491" i="1" s="1"/>
  <c r="AK491" i="1" s="1"/>
  <c r="BC495" i="1"/>
  <c r="BF497" i="1"/>
  <c r="BD497" i="1"/>
  <c r="AJ497" i="1" s="1"/>
  <c r="AK497" i="1" s="1"/>
  <c r="AF497" i="1"/>
  <c r="AD497" i="1" s="1"/>
  <c r="AG497" i="1" s="1"/>
  <c r="AL508" i="1"/>
  <c r="AM508" i="1" s="1"/>
  <c r="BF508" i="1"/>
  <c r="BD508" i="1"/>
  <c r="AJ508" i="1" s="1"/>
  <c r="AK508" i="1" s="1"/>
  <c r="BF509" i="1"/>
  <c r="AL509" i="1"/>
  <c r="AM509" i="1" s="1"/>
  <c r="BD509" i="1"/>
  <c r="AJ509" i="1" s="1"/>
  <c r="AK509" i="1" s="1"/>
  <c r="BF423" i="1"/>
  <c r="BD423" i="1"/>
  <c r="AJ423" i="1" s="1"/>
  <c r="AK423" i="1" s="1"/>
  <c r="AF469" i="1"/>
  <c r="AH469" i="1" s="1"/>
  <c r="AI469" i="1" s="1"/>
  <c r="BC469" i="1"/>
  <c r="BF469" i="1"/>
  <c r="AF477" i="1"/>
  <c r="BD477" i="1"/>
  <c r="AJ477" i="1" s="1"/>
  <c r="AK477" i="1" s="1"/>
  <c r="AL480" i="1"/>
  <c r="AM480" i="1" s="1"/>
  <c r="AF480" i="1"/>
  <c r="AH480" i="1" s="1"/>
  <c r="AI480" i="1" s="1"/>
  <c r="AF487" i="1"/>
  <c r="BC487" i="1"/>
  <c r="AF495" i="1"/>
  <c r="AH495" i="1" s="1"/>
  <c r="AI495" i="1" s="1"/>
  <c r="BD495" i="1"/>
  <c r="AJ495" i="1" s="1"/>
  <c r="AK495" i="1" s="1"/>
  <c r="BF516" i="1"/>
  <c r="AL516" i="1"/>
  <c r="AM516" i="1" s="1"/>
  <c r="BD516" i="1"/>
  <c r="AJ516" i="1" s="1"/>
  <c r="AK516" i="1" s="1"/>
  <c r="BF517" i="1"/>
  <c r="AL517" i="1"/>
  <c r="AM517" i="1" s="1"/>
  <c r="BD517" i="1"/>
  <c r="AJ517" i="1" s="1"/>
  <c r="AK517" i="1" s="1"/>
  <c r="BC386" i="1"/>
  <c r="BF400" i="1"/>
  <c r="BC402" i="1"/>
  <c r="AL404" i="1"/>
  <c r="AM404" i="1" s="1"/>
  <c r="AF406" i="1"/>
  <c r="AH406" i="1" s="1"/>
  <c r="AI406" i="1" s="1"/>
  <c r="BC410" i="1"/>
  <c r="AF414" i="1"/>
  <c r="AH414" i="1" s="1"/>
  <c r="AI414" i="1" s="1"/>
  <c r="BD427" i="1"/>
  <c r="AJ427" i="1" s="1"/>
  <c r="AK427" i="1" s="1"/>
  <c r="AF430" i="1"/>
  <c r="AH430" i="1" s="1"/>
  <c r="AI430" i="1" s="1"/>
  <c r="BC434" i="1"/>
  <c r="BC436" i="1"/>
  <c r="AL437" i="1"/>
  <c r="AM437" i="1" s="1"/>
  <c r="AF442" i="1"/>
  <c r="AH442" i="1" s="1"/>
  <c r="AI442" i="1" s="1"/>
  <c r="BC455" i="1"/>
  <c r="BF460" i="1"/>
  <c r="AF460" i="1"/>
  <c r="AH460" i="1" s="1"/>
  <c r="AI460" i="1" s="1"/>
  <c r="BC466" i="1"/>
  <c r="AL469" i="1"/>
  <c r="AM469" i="1" s="1"/>
  <c r="BC473" i="1"/>
  <c r="AF476" i="1"/>
  <c r="AH476" i="1" s="1"/>
  <c r="AI476" i="1" s="1"/>
  <c r="BF477" i="1"/>
  <c r="AF479" i="1"/>
  <c r="BD479" i="1"/>
  <c r="AJ479" i="1" s="1"/>
  <c r="AK479" i="1" s="1"/>
  <c r="BC482" i="1"/>
  <c r="BC483" i="1"/>
  <c r="AL484" i="1"/>
  <c r="AM484" i="1" s="1"/>
  <c r="AF484" i="1"/>
  <c r="AH484" i="1" s="1"/>
  <c r="AI484" i="1" s="1"/>
  <c r="AL491" i="1"/>
  <c r="AM491" i="1" s="1"/>
  <c r="BF495" i="1"/>
  <c r="AL504" i="1"/>
  <c r="AM504" i="1" s="1"/>
  <c r="BF504" i="1"/>
  <c r="BD504" i="1"/>
  <c r="AJ504" i="1" s="1"/>
  <c r="AK504" i="1" s="1"/>
  <c r="BF505" i="1"/>
  <c r="AL505" i="1"/>
  <c r="AM505" i="1" s="1"/>
  <c r="BD505" i="1"/>
  <c r="AJ505" i="1" s="1"/>
  <c r="AK505" i="1" s="1"/>
  <c r="BF514" i="1"/>
  <c r="AL514" i="1"/>
  <c r="AM514" i="1" s="1"/>
  <c r="BD514" i="1"/>
  <c r="AJ514" i="1" s="1"/>
  <c r="AK514" i="1" s="1"/>
  <c r="AF514" i="1"/>
  <c r="AH514" i="1" s="1"/>
  <c r="AI514" i="1" s="1"/>
  <c r="AD518" i="1"/>
  <c r="AG518" i="1" s="1"/>
  <c r="AF400" i="1"/>
  <c r="AH400" i="1" s="1"/>
  <c r="AI400" i="1" s="1"/>
  <c r="BC400" i="1"/>
  <c r="AL406" i="1"/>
  <c r="AM406" i="1" s="1"/>
  <c r="AL414" i="1"/>
  <c r="AM414" i="1" s="1"/>
  <c r="AL415" i="1"/>
  <c r="AM415" i="1" s="1"/>
  <c r="BF419" i="1"/>
  <c r="BD419" i="1"/>
  <c r="AJ419" i="1" s="1"/>
  <c r="AK419" i="1" s="1"/>
  <c r="AL423" i="1"/>
  <c r="AM423" i="1" s="1"/>
  <c r="AF462" i="1"/>
  <c r="AH462" i="1" s="1"/>
  <c r="AI462" i="1" s="1"/>
  <c r="BF462" i="1"/>
  <c r="AF473" i="1"/>
  <c r="AH473" i="1" s="1"/>
  <c r="AI473" i="1" s="1"/>
  <c r="BD473" i="1"/>
  <c r="AJ473" i="1" s="1"/>
  <c r="AK473" i="1" s="1"/>
  <c r="AL477" i="1"/>
  <c r="AM477" i="1" s="1"/>
  <c r="BD482" i="1"/>
  <c r="AJ482" i="1" s="1"/>
  <c r="AK482" i="1" s="1"/>
  <c r="BF482" i="1"/>
  <c r="AF483" i="1"/>
  <c r="BD483" i="1"/>
  <c r="AJ483" i="1" s="1"/>
  <c r="AK483" i="1" s="1"/>
  <c r="AL495" i="1"/>
  <c r="AM495" i="1" s="1"/>
  <c r="AD505" i="1"/>
  <c r="AG505" i="1" s="1"/>
  <c r="AF516" i="1"/>
  <c r="AD516" i="1" s="1"/>
  <c r="AG516" i="1" s="1"/>
  <c r="AF517" i="1"/>
  <c r="AH517" i="1" s="1"/>
  <c r="AI517" i="1" s="1"/>
  <c r="AF527" i="1"/>
  <c r="AH527" i="1" s="1"/>
  <c r="AI527" i="1" s="1"/>
  <c r="BD527" i="1"/>
  <c r="AJ527" i="1" s="1"/>
  <c r="AK527" i="1" s="1"/>
  <c r="AF530" i="1"/>
  <c r="AH530" i="1" s="1"/>
  <c r="AI530" i="1" s="1"/>
  <c r="BD530" i="1"/>
  <c r="AJ530" i="1" s="1"/>
  <c r="AK530" i="1" s="1"/>
  <c r="BD532" i="1"/>
  <c r="AJ532" i="1" s="1"/>
  <c r="AK532" i="1" s="1"/>
  <c r="BD533" i="1"/>
  <c r="AJ533" i="1" s="1"/>
  <c r="AK533" i="1" s="1"/>
  <c r="AF543" i="1"/>
  <c r="AH543" i="1" s="1"/>
  <c r="AI543" i="1" s="1"/>
  <c r="BD543" i="1"/>
  <c r="AJ543" i="1" s="1"/>
  <c r="AK543" i="1" s="1"/>
  <c r="AF546" i="1"/>
  <c r="AH546" i="1" s="1"/>
  <c r="AI546" i="1" s="1"/>
  <c r="BD546" i="1"/>
  <c r="AJ546" i="1" s="1"/>
  <c r="AK546" i="1" s="1"/>
  <c r="BD548" i="1"/>
  <c r="AJ548" i="1" s="1"/>
  <c r="AK548" i="1" s="1"/>
  <c r="BD549" i="1"/>
  <c r="AJ549" i="1" s="1"/>
  <c r="AK549" i="1" s="1"/>
  <c r="BD560" i="1"/>
  <c r="AJ560" i="1" s="1"/>
  <c r="AK560" i="1" s="1"/>
  <c r="BC565" i="1"/>
  <c r="BF629" i="1"/>
  <c r="AF629" i="1"/>
  <c r="AH629" i="1" s="1"/>
  <c r="AI629" i="1" s="1"/>
  <c r="BD642" i="1"/>
  <c r="AJ642" i="1" s="1"/>
  <c r="AK642" i="1" s="1"/>
  <c r="BF642" i="1"/>
  <c r="BF649" i="1"/>
  <c r="BD649" i="1"/>
  <c r="AJ649" i="1" s="1"/>
  <c r="AK649" i="1" s="1"/>
  <c r="AF649" i="1"/>
  <c r="AL649" i="1"/>
  <c r="AM649" i="1" s="1"/>
  <c r="AL670" i="1"/>
  <c r="AM670" i="1" s="1"/>
  <c r="AF670" i="1"/>
  <c r="AD670" i="1" s="1"/>
  <c r="AG670" i="1" s="1"/>
  <c r="BF670" i="1"/>
  <c r="BF687" i="1"/>
  <c r="BC687" i="1"/>
  <c r="AF687" i="1"/>
  <c r="AH687" i="1" s="1"/>
  <c r="AI687" i="1" s="1"/>
  <c r="BD724" i="1"/>
  <c r="AJ724" i="1" s="1"/>
  <c r="AK724" i="1" s="1"/>
  <c r="AL724" i="1"/>
  <c r="AM724" i="1" s="1"/>
  <c r="BF724" i="1"/>
  <c r="AL794" i="1"/>
  <c r="AM794" i="1" s="1"/>
  <c r="BD794" i="1"/>
  <c r="AJ794" i="1" s="1"/>
  <c r="AK794" i="1" s="1"/>
  <c r="AF809" i="1"/>
  <c r="AH809" i="1" s="1"/>
  <c r="AI809" i="1" s="1"/>
  <c r="BD809" i="1"/>
  <c r="AJ809" i="1" s="1"/>
  <c r="AK809" i="1" s="1"/>
  <c r="BF809" i="1"/>
  <c r="BC809" i="1"/>
  <c r="AL809" i="1"/>
  <c r="AM809" i="1" s="1"/>
  <c r="BC976" i="1"/>
  <c r="AF976" i="1"/>
  <c r="AH976" i="1" s="1"/>
  <c r="AI976" i="1" s="1"/>
  <c r="BD565" i="1"/>
  <c r="AJ565" i="1" s="1"/>
  <c r="AK565" i="1" s="1"/>
  <c r="AF565" i="1"/>
  <c r="BF633" i="1"/>
  <c r="AL633" i="1"/>
  <c r="AM633" i="1" s="1"/>
  <c r="AF633" i="1"/>
  <c r="AH633" i="1" s="1"/>
  <c r="AI633" i="1" s="1"/>
  <c r="BF641" i="1"/>
  <c r="BD641" i="1"/>
  <c r="AJ641" i="1" s="1"/>
  <c r="AK641" i="1" s="1"/>
  <c r="AF641" i="1"/>
  <c r="AH641" i="1" s="1"/>
  <c r="AI641" i="1" s="1"/>
  <c r="AL652" i="1"/>
  <c r="AM652" i="1" s="1"/>
  <c r="BD652" i="1"/>
  <c r="AJ652" i="1" s="1"/>
  <c r="AK652" i="1" s="1"/>
  <c r="BF652" i="1"/>
  <c r="AL682" i="1"/>
  <c r="AM682" i="1" s="1"/>
  <c r="AF682" i="1"/>
  <c r="AD682" i="1" s="1"/>
  <c r="AG682" i="1" s="1"/>
  <c r="BF682" i="1"/>
  <c r="AL690" i="1"/>
  <c r="AM690" i="1" s="1"/>
  <c r="AF690" i="1"/>
  <c r="AH690" i="1" s="1"/>
  <c r="AI690" i="1" s="1"/>
  <c r="BD692" i="1"/>
  <c r="AJ692" i="1" s="1"/>
  <c r="AK692" i="1" s="1"/>
  <c r="AF692" i="1"/>
  <c r="AH692" i="1" s="1"/>
  <c r="AI692" i="1" s="1"/>
  <c r="AF693" i="1"/>
  <c r="BD693" i="1"/>
  <c r="AJ693" i="1" s="1"/>
  <c r="AK693" i="1" s="1"/>
  <c r="BF693" i="1"/>
  <c r="AL693" i="1"/>
  <c r="AM693" i="1" s="1"/>
  <c r="BF753" i="1"/>
  <c r="BD753" i="1"/>
  <c r="AJ753" i="1" s="1"/>
  <c r="AK753" i="1" s="1"/>
  <c r="BD757" i="1"/>
  <c r="AJ757" i="1" s="1"/>
  <c r="AK757" i="1" s="1"/>
  <c r="BF757" i="1"/>
  <c r="BD820" i="1"/>
  <c r="AJ820" i="1" s="1"/>
  <c r="AK820" i="1" s="1"/>
  <c r="BF820" i="1"/>
  <c r="AF820" i="1"/>
  <c r="AH820" i="1" s="1"/>
  <c r="AI820" i="1" s="1"/>
  <c r="AL820" i="1"/>
  <c r="AM820" i="1" s="1"/>
  <c r="BF834" i="1"/>
  <c r="BD834" i="1"/>
  <c r="AJ834" i="1" s="1"/>
  <c r="AK834" i="1" s="1"/>
  <c r="AL834" i="1"/>
  <c r="AM834" i="1" s="1"/>
  <c r="AF834" i="1"/>
  <c r="AH879" i="1"/>
  <c r="AI879" i="1" s="1"/>
  <c r="AL881" i="1"/>
  <c r="AM881" i="1" s="1"/>
  <c r="BD881" i="1"/>
  <c r="AJ881" i="1" s="1"/>
  <c r="AK881" i="1" s="1"/>
  <c r="BF881" i="1"/>
  <c r="AF881" i="1"/>
  <c r="AH881" i="1" s="1"/>
  <c r="AI881" i="1" s="1"/>
  <c r="AD899" i="1"/>
  <c r="AG899" i="1" s="1"/>
  <c r="BD904" i="1"/>
  <c r="AJ904" i="1" s="1"/>
  <c r="AK904" i="1" s="1"/>
  <c r="BF904" i="1"/>
  <c r="BC414" i="1"/>
  <c r="BC428" i="1"/>
  <c r="BD453" i="1"/>
  <c r="AJ453" i="1" s="1"/>
  <c r="AK453" i="1" s="1"/>
  <c r="AL457" i="1"/>
  <c r="AM457" i="1" s="1"/>
  <c r="BD457" i="1"/>
  <c r="AJ457" i="1" s="1"/>
  <c r="AK457" i="1" s="1"/>
  <c r="BD475" i="1"/>
  <c r="AJ475" i="1" s="1"/>
  <c r="AK475" i="1" s="1"/>
  <c r="BD488" i="1"/>
  <c r="AJ488" i="1" s="1"/>
  <c r="AK488" i="1" s="1"/>
  <c r="AD491" i="1"/>
  <c r="AG491" i="1" s="1"/>
  <c r="BD496" i="1"/>
  <c r="AJ496" i="1" s="1"/>
  <c r="AK496" i="1" s="1"/>
  <c r="AF501" i="1"/>
  <c r="AH501" i="1" s="1"/>
  <c r="AI501" i="1" s="1"/>
  <c r="BD501" i="1"/>
  <c r="AJ501" i="1" s="1"/>
  <c r="AK501" i="1" s="1"/>
  <c r="AD503" i="1"/>
  <c r="AG503" i="1" s="1"/>
  <c r="AL510" i="1"/>
  <c r="AM510" i="1" s="1"/>
  <c r="BC512" i="1"/>
  <c r="BC513" i="1"/>
  <c r="AF519" i="1"/>
  <c r="AH519" i="1" s="1"/>
  <c r="AI519" i="1" s="1"/>
  <c r="AF522" i="1"/>
  <c r="AH522" i="1" s="1"/>
  <c r="AI522" i="1" s="1"/>
  <c r="BC523" i="1"/>
  <c r="BC526" i="1"/>
  <c r="AL527" i="1"/>
  <c r="AM527" i="1" s="1"/>
  <c r="BC528" i="1"/>
  <c r="BC529" i="1"/>
  <c r="AL530" i="1"/>
  <c r="AM530" i="1" s="1"/>
  <c r="AL532" i="1"/>
  <c r="AM532" i="1" s="1"/>
  <c r="AL533" i="1"/>
  <c r="AM533" i="1" s="1"/>
  <c r="AF535" i="1"/>
  <c r="AH535" i="1" s="1"/>
  <c r="AI535" i="1" s="1"/>
  <c r="AF538" i="1"/>
  <c r="AH538" i="1" s="1"/>
  <c r="AI538" i="1" s="1"/>
  <c r="BC539" i="1"/>
  <c r="BC542" i="1"/>
  <c r="AL543" i="1"/>
  <c r="AM543" i="1" s="1"/>
  <c r="BC544" i="1"/>
  <c r="BC545" i="1"/>
  <c r="AL546" i="1"/>
  <c r="AM546" i="1" s="1"/>
  <c r="AL548" i="1"/>
  <c r="AM548" i="1" s="1"/>
  <c r="AL549" i="1"/>
  <c r="AM549" i="1" s="1"/>
  <c r="AF551" i="1"/>
  <c r="AH551" i="1" s="1"/>
  <c r="AI551" i="1" s="1"/>
  <c r="AF554" i="1"/>
  <c r="AH554" i="1" s="1"/>
  <c r="AI554" i="1" s="1"/>
  <c r="BC555" i="1"/>
  <c r="BC558" i="1"/>
  <c r="AL560" i="1"/>
  <c r="AM560" i="1" s="1"/>
  <c r="BF565" i="1"/>
  <c r="AD566" i="1"/>
  <c r="AG566" i="1" s="1"/>
  <c r="BF567" i="1"/>
  <c r="AF567" i="1"/>
  <c r="AH567" i="1" s="1"/>
  <c r="AI567" i="1" s="1"/>
  <c r="AL607" i="1"/>
  <c r="AM607" i="1" s="1"/>
  <c r="BF607" i="1"/>
  <c r="BD607" i="1"/>
  <c r="AJ607" i="1" s="1"/>
  <c r="AK607" i="1" s="1"/>
  <c r="AF607" i="1"/>
  <c r="AH607" i="1" s="1"/>
  <c r="AI607" i="1" s="1"/>
  <c r="AL668" i="1"/>
  <c r="AM668" i="1" s="1"/>
  <c r="BF668" i="1"/>
  <c r="BD668" i="1"/>
  <c r="AJ668" i="1" s="1"/>
  <c r="AK668" i="1" s="1"/>
  <c r="AF668" i="1"/>
  <c r="AH668" i="1" s="1"/>
  <c r="AI668" i="1" s="1"/>
  <c r="BD700" i="1"/>
  <c r="AJ700" i="1" s="1"/>
  <c r="AK700" i="1" s="1"/>
  <c r="AF700" i="1"/>
  <c r="AF701" i="1"/>
  <c r="BF701" i="1"/>
  <c r="AL701" i="1"/>
  <c r="AM701" i="1" s="1"/>
  <c r="BD701" i="1"/>
  <c r="AJ701" i="1" s="1"/>
  <c r="AK701" i="1" s="1"/>
  <c r="AF724" i="1"/>
  <c r="AH724" i="1" s="1"/>
  <c r="AI724" i="1" s="1"/>
  <c r="AL734" i="1"/>
  <c r="AM734" i="1" s="1"/>
  <c r="BF734" i="1"/>
  <c r="BF807" i="1"/>
  <c r="AL807" i="1"/>
  <c r="AM807" i="1" s="1"/>
  <c r="BD807" i="1"/>
  <c r="AJ807" i="1" s="1"/>
  <c r="AK807" i="1" s="1"/>
  <c r="AF807" i="1"/>
  <c r="AH807" i="1" s="1"/>
  <c r="AI807" i="1" s="1"/>
  <c r="BD855" i="1"/>
  <c r="AJ855" i="1" s="1"/>
  <c r="AK855" i="1" s="1"/>
  <c r="AF855" i="1"/>
  <c r="AH855" i="1" s="1"/>
  <c r="AI855" i="1" s="1"/>
  <c r="AL855" i="1"/>
  <c r="AM855" i="1" s="1"/>
  <c r="BC440" i="1"/>
  <c r="BC444" i="1"/>
  <c r="BC458" i="1"/>
  <c r="AD475" i="1"/>
  <c r="AG475" i="1" s="1"/>
  <c r="BC476" i="1"/>
  <c r="BC480" i="1"/>
  <c r="BC484" i="1"/>
  <c r="BC504" i="1"/>
  <c r="BC505" i="1"/>
  <c r="BC508" i="1"/>
  <c r="BC509" i="1"/>
  <c r="BC510" i="1"/>
  <c r="BD512" i="1"/>
  <c r="AJ512" i="1" s="1"/>
  <c r="AK512" i="1" s="1"/>
  <c r="BC514" i="1"/>
  <c r="BC516" i="1"/>
  <c r="BC517" i="1"/>
  <c r="AF523" i="1"/>
  <c r="AF526" i="1"/>
  <c r="BC527" i="1"/>
  <c r="BC530" i="1"/>
  <c r="BC532" i="1"/>
  <c r="BC533" i="1"/>
  <c r="AF539" i="1"/>
  <c r="AF542" i="1"/>
  <c r="BC543" i="1"/>
  <c r="BC546" i="1"/>
  <c r="BC548" i="1"/>
  <c r="BC549" i="1"/>
  <c r="AF555" i="1"/>
  <c r="AF558" i="1"/>
  <c r="BF559" i="1"/>
  <c r="AL559" i="1"/>
  <c r="AM559" i="1" s="1"/>
  <c r="AD561" i="1"/>
  <c r="AG561" i="1" s="1"/>
  <c r="BF562" i="1"/>
  <c r="AL562" i="1"/>
  <c r="AM562" i="1" s="1"/>
  <c r="BC564" i="1"/>
  <c r="AL582" i="1"/>
  <c r="AM582" i="1" s="1"/>
  <c r="AF609" i="1"/>
  <c r="AL641" i="1"/>
  <c r="AM641" i="1" s="1"/>
  <c r="AF652" i="1"/>
  <c r="AH652" i="1" s="1"/>
  <c r="AI652" i="1" s="1"/>
  <c r="AD653" i="1"/>
  <c r="AG653" i="1" s="1"/>
  <c r="BF657" i="1"/>
  <c r="BD657" i="1"/>
  <c r="AJ657" i="1" s="1"/>
  <c r="AK657" i="1" s="1"/>
  <c r="AF657" i="1"/>
  <c r="AH657" i="1" s="1"/>
  <c r="AI657" i="1" s="1"/>
  <c r="AL657" i="1"/>
  <c r="AM657" i="1" s="1"/>
  <c r="AF679" i="1"/>
  <c r="BD679" i="1"/>
  <c r="AJ679" i="1" s="1"/>
  <c r="AK679" i="1" s="1"/>
  <c r="BF679" i="1"/>
  <c r="AL679" i="1"/>
  <c r="AM679" i="1" s="1"/>
  <c r="BF680" i="1"/>
  <c r="BD680" i="1"/>
  <c r="AJ680" i="1" s="1"/>
  <c r="AK680" i="1" s="1"/>
  <c r="AF680" i="1"/>
  <c r="AH680" i="1" s="1"/>
  <c r="AI680" i="1" s="1"/>
  <c r="AL680" i="1"/>
  <c r="AM680" i="1" s="1"/>
  <c r="BD688" i="1"/>
  <c r="AJ688" i="1" s="1"/>
  <c r="AK688" i="1" s="1"/>
  <c r="BF688" i="1"/>
  <c r="AF688" i="1"/>
  <c r="AH688" i="1" s="1"/>
  <c r="AI688" i="1" s="1"/>
  <c r="BD710" i="1"/>
  <c r="AJ710" i="1" s="1"/>
  <c r="AK710" i="1" s="1"/>
  <c r="BF710" i="1"/>
  <c r="AL710" i="1"/>
  <c r="AM710" i="1" s="1"/>
  <c r="BF795" i="1"/>
  <c r="BD795" i="1"/>
  <c r="AJ795" i="1" s="1"/>
  <c r="AK795" i="1" s="1"/>
  <c r="AF795" i="1"/>
  <c r="AH795" i="1" s="1"/>
  <c r="AI795" i="1" s="1"/>
  <c r="AL795" i="1"/>
  <c r="AM795" i="1" s="1"/>
  <c r="BC560" i="1"/>
  <c r="BC561" i="1"/>
  <c r="BC581" i="1"/>
  <c r="BC583" i="1"/>
  <c r="BC585" i="1"/>
  <c r="BC587" i="1"/>
  <c r="BC594" i="1"/>
  <c r="AD599" i="1"/>
  <c r="AG599" i="1" s="1"/>
  <c r="AD603" i="1"/>
  <c r="AG603" i="1" s="1"/>
  <c r="BC608" i="1"/>
  <c r="BC609" i="1"/>
  <c r="BC616" i="1"/>
  <c r="BC617" i="1"/>
  <c r="BC620" i="1"/>
  <c r="BC621" i="1"/>
  <c r="BC624" i="1"/>
  <c r="BC625" i="1"/>
  <c r="AD629" i="1"/>
  <c r="AG629" i="1" s="1"/>
  <c r="BC632" i="1"/>
  <c r="AD634" i="1"/>
  <c r="AG634" i="1" s="1"/>
  <c r="AF637" i="1"/>
  <c r="AH637" i="1" s="1"/>
  <c r="AI637" i="1" s="1"/>
  <c r="BD637" i="1"/>
  <c r="AJ637" i="1" s="1"/>
  <c r="AK637" i="1" s="1"/>
  <c r="BC646" i="1"/>
  <c r="BD648" i="1"/>
  <c r="AJ648" i="1" s="1"/>
  <c r="AK648" i="1" s="1"/>
  <c r="BD651" i="1"/>
  <c r="AJ651" i="1" s="1"/>
  <c r="AK651" i="1" s="1"/>
  <c r="BD653" i="1"/>
  <c r="AJ653" i="1" s="1"/>
  <c r="AK653" i="1" s="1"/>
  <c r="AD656" i="1"/>
  <c r="AG656" i="1" s="1"/>
  <c r="BD659" i="1"/>
  <c r="AJ659" i="1" s="1"/>
  <c r="AK659" i="1" s="1"/>
  <c r="AF677" i="1"/>
  <c r="BD677" i="1"/>
  <c r="AJ677" i="1" s="1"/>
  <c r="AK677" i="1" s="1"/>
  <c r="AF686" i="1"/>
  <c r="AH686" i="1" s="1"/>
  <c r="AI686" i="1" s="1"/>
  <c r="BC694" i="1"/>
  <c r="AD697" i="1"/>
  <c r="AG697" i="1" s="1"/>
  <c r="AL702" i="1"/>
  <c r="AM702" i="1" s="1"/>
  <c r="BD702" i="1"/>
  <c r="AJ702" i="1" s="1"/>
  <c r="AK702" i="1" s="1"/>
  <c r="BC704" i="1"/>
  <c r="BF707" i="1"/>
  <c r="BD707" i="1"/>
  <c r="AJ707" i="1" s="1"/>
  <c r="AK707" i="1" s="1"/>
  <c r="BC714" i="1"/>
  <c r="BD718" i="1"/>
  <c r="AJ718" i="1" s="1"/>
  <c r="AK718" i="1" s="1"/>
  <c r="AF718" i="1"/>
  <c r="AH718" i="1" s="1"/>
  <c r="AI718" i="1" s="1"/>
  <c r="AF721" i="1"/>
  <c r="AH721" i="1" s="1"/>
  <c r="AI721" i="1" s="1"/>
  <c r="BD721" i="1"/>
  <c r="AJ721" i="1" s="1"/>
  <c r="AK721" i="1" s="1"/>
  <c r="AL721" i="1"/>
  <c r="AM721" i="1" s="1"/>
  <c r="AL722" i="1"/>
  <c r="AM722" i="1" s="1"/>
  <c r="AF722" i="1"/>
  <c r="AH722" i="1" s="1"/>
  <c r="AI722" i="1" s="1"/>
  <c r="AF725" i="1"/>
  <c r="AH725" i="1" s="1"/>
  <c r="AI725" i="1" s="1"/>
  <c r="BF725" i="1"/>
  <c r="AD733" i="1"/>
  <c r="AG733" i="1" s="1"/>
  <c r="BC733" i="1"/>
  <c r="BC738" i="1"/>
  <c r="BD750" i="1"/>
  <c r="AJ750" i="1" s="1"/>
  <c r="AK750" i="1" s="1"/>
  <c r="BC751" i="1"/>
  <c r="BC763" i="1"/>
  <c r="AF787" i="1"/>
  <c r="BC790" i="1"/>
  <c r="BC815" i="1"/>
  <c r="BC817" i="1"/>
  <c r="AL825" i="1"/>
  <c r="AM825" i="1" s="1"/>
  <c r="BF825" i="1"/>
  <c r="BD825" i="1"/>
  <c r="AJ825" i="1" s="1"/>
  <c r="AK825" i="1" s="1"/>
  <c r="BF826" i="1"/>
  <c r="BD826" i="1"/>
  <c r="AJ826" i="1" s="1"/>
  <c r="AK826" i="1" s="1"/>
  <c r="AL826" i="1"/>
  <c r="AM826" i="1" s="1"/>
  <c r="AF848" i="1"/>
  <c r="AH848" i="1" s="1"/>
  <c r="AI848" i="1" s="1"/>
  <c r="BF848" i="1"/>
  <c r="BD848" i="1"/>
  <c r="AJ848" i="1" s="1"/>
  <c r="AK848" i="1" s="1"/>
  <c r="AL848" i="1"/>
  <c r="AM848" i="1" s="1"/>
  <c r="BC850" i="1"/>
  <c r="BC641" i="1"/>
  <c r="BC649" i="1"/>
  <c r="BC652" i="1"/>
  <c r="BC657" i="1"/>
  <c r="AL664" i="1"/>
  <c r="AM664" i="1" s="1"/>
  <c r="BF664" i="1"/>
  <c r="BC668" i="1"/>
  <c r="BF673" i="1"/>
  <c r="AL673" i="1"/>
  <c r="AM673" i="1" s="1"/>
  <c r="BC679" i="1"/>
  <c r="BC680" i="1"/>
  <c r="AL694" i="1"/>
  <c r="AM694" i="1" s="1"/>
  <c r="BD694" i="1"/>
  <c r="AJ694" i="1" s="1"/>
  <c r="AK694" i="1" s="1"/>
  <c r="BF695" i="1"/>
  <c r="AF695" i="1"/>
  <c r="AH695" i="1" s="1"/>
  <c r="AI695" i="1" s="1"/>
  <c r="BD704" i="1"/>
  <c r="AJ704" i="1" s="1"/>
  <c r="AK704" i="1" s="1"/>
  <c r="AF704" i="1"/>
  <c r="AH704" i="1" s="1"/>
  <c r="AI704" i="1" s="1"/>
  <c r="BD708" i="1"/>
  <c r="AJ708" i="1" s="1"/>
  <c r="AK708" i="1" s="1"/>
  <c r="BF708" i="1"/>
  <c r="AL708" i="1"/>
  <c r="AM708" i="1" s="1"/>
  <c r="BD716" i="1"/>
  <c r="AJ716" i="1" s="1"/>
  <c r="AK716" i="1" s="1"/>
  <c r="AL716" i="1"/>
  <c r="AM716" i="1" s="1"/>
  <c r="BD761" i="1"/>
  <c r="AJ761" i="1" s="1"/>
  <c r="AK761" i="1" s="1"/>
  <c r="BF761" i="1"/>
  <c r="AF785" i="1"/>
  <c r="AH785" i="1" s="1"/>
  <c r="AI785" i="1" s="1"/>
  <c r="BD785" i="1"/>
  <c r="AJ785" i="1" s="1"/>
  <c r="AK785" i="1" s="1"/>
  <c r="BF785" i="1"/>
  <c r="BF787" i="1"/>
  <c r="BD787" i="1"/>
  <c r="AJ787" i="1" s="1"/>
  <c r="AK787" i="1" s="1"/>
  <c r="AF789" i="1"/>
  <c r="AH789" i="1" s="1"/>
  <c r="AI789" i="1" s="1"/>
  <c r="BF789" i="1"/>
  <c r="BD789" i="1"/>
  <c r="AJ789" i="1" s="1"/>
  <c r="AK789" i="1" s="1"/>
  <c r="AL790" i="1"/>
  <c r="AM790" i="1" s="1"/>
  <c r="BF790" i="1"/>
  <c r="BD790" i="1"/>
  <c r="AJ790" i="1" s="1"/>
  <c r="AK790" i="1" s="1"/>
  <c r="AF790" i="1"/>
  <c r="AH790" i="1" s="1"/>
  <c r="AI790" i="1" s="1"/>
  <c r="BF815" i="1"/>
  <c r="BD815" i="1"/>
  <c r="AJ815" i="1" s="1"/>
  <c r="AK815" i="1" s="1"/>
  <c r="AL815" i="1"/>
  <c r="AM815" i="1" s="1"/>
  <c r="AF817" i="1"/>
  <c r="AH817" i="1" s="1"/>
  <c r="AI817" i="1" s="1"/>
  <c r="BD817" i="1"/>
  <c r="AJ817" i="1" s="1"/>
  <c r="AK817" i="1" s="1"/>
  <c r="BF817" i="1"/>
  <c r="AL817" i="1"/>
  <c r="AM817" i="1" s="1"/>
  <c r="AD839" i="1"/>
  <c r="AG839" i="1" s="1"/>
  <c r="BF850" i="1"/>
  <c r="AF850" i="1"/>
  <c r="BD850" i="1"/>
  <c r="AJ850" i="1" s="1"/>
  <c r="AK850" i="1" s="1"/>
  <c r="BF876" i="1"/>
  <c r="BC876" i="1"/>
  <c r="AF876" i="1"/>
  <c r="BD876" i="1"/>
  <c r="AJ876" i="1" s="1"/>
  <c r="AK876" i="1" s="1"/>
  <c r="AL876" i="1"/>
  <c r="AM876" i="1" s="1"/>
  <c r="BF932" i="1"/>
  <c r="BD932" i="1"/>
  <c r="AJ932" i="1" s="1"/>
  <c r="AK932" i="1" s="1"/>
  <c r="AL932" i="1"/>
  <c r="AM932" i="1" s="1"/>
  <c r="AF932" i="1"/>
  <c r="AD571" i="1"/>
  <c r="AG571" i="1" s="1"/>
  <c r="AD575" i="1"/>
  <c r="AG575" i="1" s="1"/>
  <c r="AD579" i="1"/>
  <c r="AG579" i="1" s="1"/>
  <c r="AL594" i="1"/>
  <c r="AM594" i="1" s="1"/>
  <c r="BC605" i="1"/>
  <c r="BC606" i="1"/>
  <c r="AF611" i="1"/>
  <c r="AH611" i="1" s="1"/>
  <c r="AI611" i="1" s="1"/>
  <c r="AF613" i="1"/>
  <c r="AH613" i="1" s="1"/>
  <c r="AI613" i="1" s="1"/>
  <c r="AF614" i="1"/>
  <c r="AH614" i="1" s="1"/>
  <c r="AI614" i="1" s="1"/>
  <c r="AD615" i="1"/>
  <c r="AG615" i="1" s="1"/>
  <c r="AD618" i="1"/>
  <c r="AG618" i="1" s="1"/>
  <c r="AL618" i="1"/>
  <c r="AM618" i="1" s="1"/>
  <c r="AD619" i="1"/>
  <c r="AG619" i="1" s="1"/>
  <c r="AD620" i="1"/>
  <c r="AG620" i="1" s="1"/>
  <c r="AD622" i="1"/>
  <c r="AG622" i="1" s="1"/>
  <c r="AL622" i="1"/>
  <c r="AM622" i="1" s="1"/>
  <c r="AD623" i="1"/>
  <c r="AG623" i="1" s="1"/>
  <c r="AD625" i="1"/>
  <c r="AG625" i="1" s="1"/>
  <c r="AD626" i="1"/>
  <c r="AG626" i="1" s="1"/>
  <c r="AL626" i="1"/>
  <c r="AM626" i="1" s="1"/>
  <c r="AD627" i="1"/>
  <c r="AG627" i="1" s="1"/>
  <c r="BF627" i="1"/>
  <c r="BC629" i="1"/>
  <c r="BF632" i="1"/>
  <c r="BC633" i="1"/>
  <c r="AL638" i="1"/>
  <c r="AM638" i="1" s="1"/>
  <c r="AF645" i="1"/>
  <c r="AH645" i="1" s="1"/>
  <c r="AI645" i="1" s="1"/>
  <c r="BC645" i="1"/>
  <c r="AF646" i="1"/>
  <c r="AH646" i="1" s="1"/>
  <c r="AI646" i="1" s="1"/>
  <c r="AD647" i="1"/>
  <c r="AG647" i="1" s="1"/>
  <c r="BF648" i="1"/>
  <c r="AL653" i="1"/>
  <c r="AM653" i="1" s="1"/>
  <c r="BF659" i="1"/>
  <c r="BC660" i="1"/>
  <c r="AL665" i="1"/>
  <c r="AM665" i="1" s="1"/>
  <c r="AF671" i="1"/>
  <c r="BD671" i="1"/>
  <c r="AJ671" i="1" s="1"/>
  <c r="AK671" i="1" s="1"/>
  <c r="AL677" i="1"/>
  <c r="AM677" i="1" s="1"/>
  <c r="AL678" i="1"/>
  <c r="AM678" i="1" s="1"/>
  <c r="BF678" i="1"/>
  <c r="BC690" i="1"/>
  <c r="BC692" i="1"/>
  <c r="AF694" i="1"/>
  <c r="AH694" i="1" s="1"/>
  <c r="AI694" i="1" s="1"/>
  <c r="BF694" i="1"/>
  <c r="BD696" i="1"/>
  <c r="AJ696" i="1" s="1"/>
  <c r="AK696" i="1" s="1"/>
  <c r="AF696" i="1"/>
  <c r="AH696" i="1" s="1"/>
  <c r="AI696" i="1" s="1"/>
  <c r="AL698" i="1"/>
  <c r="AM698" i="1" s="1"/>
  <c r="BF698" i="1"/>
  <c r="AF698" i="1"/>
  <c r="AH698" i="1" s="1"/>
  <c r="AI698" i="1" s="1"/>
  <c r="BC700" i="1"/>
  <c r="BF703" i="1"/>
  <c r="AL703" i="1"/>
  <c r="AM703" i="1" s="1"/>
  <c r="AF705" i="1"/>
  <c r="AH705" i="1" s="1"/>
  <c r="AI705" i="1" s="1"/>
  <c r="BD705" i="1"/>
  <c r="AJ705" i="1" s="1"/>
  <c r="AK705" i="1" s="1"/>
  <c r="AF708" i="1"/>
  <c r="AH708" i="1" s="1"/>
  <c r="AI708" i="1" s="1"/>
  <c r="AD710" i="1"/>
  <c r="AG710" i="1" s="1"/>
  <c r="BC710" i="1"/>
  <c r="AL714" i="1"/>
  <c r="AM714" i="1" s="1"/>
  <c r="BF714" i="1"/>
  <c r="AF717" i="1"/>
  <c r="BD717" i="1"/>
  <c r="AJ717" i="1" s="1"/>
  <c r="AK717" i="1" s="1"/>
  <c r="BF719" i="1"/>
  <c r="BD719" i="1"/>
  <c r="AJ719" i="1" s="1"/>
  <c r="AK719" i="1" s="1"/>
  <c r="AF719" i="1"/>
  <c r="AH719" i="1" s="1"/>
  <c r="AI719" i="1" s="1"/>
  <c r="BC727" i="1"/>
  <c r="AF729" i="1"/>
  <c r="AH729" i="1" s="1"/>
  <c r="AI729" i="1" s="1"/>
  <c r="BF729" i="1"/>
  <c r="AL738" i="1"/>
  <c r="AM738" i="1" s="1"/>
  <c r="AF738" i="1"/>
  <c r="AH738" i="1" s="1"/>
  <c r="AI738" i="1" s="1"/>
  <c r="BD770" i="1"/>
  <c r="AJ770" i="1" s="1"/>
  <c r="AK770" i="1" s="1"/>
  <c r="BF770" i="1"/>
  <c r="AL785" i="1"/>
  <c r="AM785" i="1" s="1"/>
  <c r="AL787" i="1"/>
  <c r="AM787" i="1" s="1"/>
  <c r="AL789" i="1"/>
  <c r="AM789" i="1" s="1"/>
  <c r="BC795" i="1"/>
  <c r="AF797" i="1"/>
  <c r="BF797" i="1"/>
  <c r="BD797" i="1"/>
  <c r="AJ797" i="1" s="1"/>
  <c r="AK797" i="1" s="1"/>
  <c r="AF801" i="1"/>
  <c r="AH801" i="1" s="1"/>
  <c r="AI801" i="1" s="1"/>
  <c r="BF801" i="1"/>
  <c r="BD801" i="1"/>
  <c r="AJ801" i="1" s="1"/>
  <c r="AK801" i="1" s="1"/>
  <c r="BC807" i="1"/>
  <c r="AL810" i="1"/>
  <c r="AM810" i="1" s="1"/>
  <c r="BF810" i="1"/>
  <c r="AF810" i="1"/>
  <c r="AH810" i="1" s="1"/>
  <c r="AI810" i="1" s="1"/>
  <c r="BD810" i="1"/>
  <c r="AJ810" i="1" s="1"/>
  <c r="AK810" i="1" s="1"/>
  <c r="AD812" i="1"/>
  <c r="AG812" i="1" s="1"/>
  <c r="AF813" i="1"/>
  <c r="AD813" i="1" s="1"/>
  <c r="AG813" i="1" s="1"/>
  <c r="BF813" i="1"/>
  <c r="BD813" i="1"/>
  <c r="AJ813" i="1" s="1"/>
  <c r="AK813" i="1" s="1"/>
  <c r="AD819" i="1"/>
  <c r="AG819" i="1" s="1"/>
  <c r="BF822" i="1"/>
  <c r="AF822" i="1"/>
  <c r="AH822" i="1" s="1"/>
  <c r="AI822" i="1" s="1"/>
  <c r="AL822" i="1"/>
  <c r="AM822" i="1" s="1"/>
  <c r="BD822" i="1"/>
  <c r="AJ822" i="1" s="1"/>
  <c r="AK822" i="1" s="1"/>
  <c r="BC834" i="1"/>
  <c r="AF836" i="1"/>
  <c r="AH836" i="1" s="1"/>
  <c r="AI836" i="1" s="1"/>
  <c r="BD836" i="1"/>
  <c r="AJ836" i="1" s="1"/>
  <c r="AK836" i="1" s="1"/>
  <c r="AL836" i="1"/>
  <c r="AM836" i="1" s="1"/>
  <c r="BF836" i="1"/>
  <c r="BF842" i="1"/>
  <c r="AF842" i="1"/>
  <c r="AH842" i="1" s="1"/>
  <c r="AI842" i="1" s="1"/>
  <c r="BD842" i="1"/>
  <c r="AJ842" i="1" s="1"/>
  <c r="AK842" i="1" s="1"/>
  <c r="BC855" i="1"/>
  <c r="AH921" i="1"/>
  <c r="AI921" i="1" s="1"/>
  <c r="BC779" i="1"/>
  <c r="AL818" i="1"/>
  <c r="AM818" i="1" s="1"/>
  <c r="BF818" i="1"/>
  <c r="AF818" i="1"/>
  <c r="AH818" i="1" s="1"/>
  <c r="AI818" i="1" s="1"/>
  <c r="AL841" i="1"/>
  <c r="AM841" i="1" s="1"/>
  <c r="BD841" i="1"/>
  <c r="AJ841" i="1" s="1"/>
  <c r="AK841" i="1" s="1"/>
  <c r="AF841" i="1"/>
  <c r="AH841" i="1" s="1"/>
  <c r="AI841" i="1" s="1"/>
  <c r="BF846" i="1"/>
  <c r="BD846" i="1"/>
  <c r="AJ846" i="1" s="1"/>
  <c r="AK846" i="1" s="1"/>
  <c r="AL846" i="1"/>
  <c r="AM846" i="1" s="1"/>
  <c r="BD851" i="1"/>
  <c r="AJ851" i="1" s="1"/>
  <c r="AK851" i="1" s="1"/>
  <c r="AF851" i="1"/>
  <c r="AD851" i="1" s="1"/>
  <c r="AG851" i="1" s="1"/>
  <c r="BF858" i="1"/>
  <c r="AF858" i="1"/>
  <c r="AH858" i="1" s="1"/>
  <c r="AI858" i="1" s="1"/>
  <c r="AL858" i="1"/>
  <c r="AM858" i="1" s="1"/>
  <c r="BC859" i="1"/>
  <c r="BC867" i="1"/>
  <c r="AL869" i="1"/>
  <c r="AM869" i="1" s="1"/>
  <c r="BD869" i="1"/>
  <c r="AJ869" i="1" s="1"/>
  <c r="AK869" i="1" s="1"/>
  <c r="AF869" i="1"/>
  <c r="AH869" i="1" s="1"/>
  <c r="AI869" i="1" s="1"/>
  <c r="BD883" i="1"/>
  <c r="AJ883" i="1" s="1"/>
  <c r="AK883" i="1" s="1"/>
  <c r="AL883" i="1"/>
  <c r="AM883" i="1" s="1"/>
  <c r="BF883" i="1"/>
  <c r="AF883" i="1"/>
  <c r="AH883" i="1" s="1"/>
  <c r="AI883" i="1" s="1"/>
  <c r="AL889" i="1"/>
  <c r="AM889" i="1" s="1"/>
  <c r="BD889" i="1"/>
  <c r="AJ889" i="1" s="1"/>
  <c r="AK889" i="1" s="1"/>
  <c r="AF889" i="1"/>
  <c r="AH889" i="1" s="1"/>
  <c r="AI889" i="1" s="1"/>
  <c r="BF889" i="1"/>
  <c r="AH891" i="1"/>
  <c r="AI891" i="1" s="1"/>
  <c r="AD891" i="1"/>
  <c r="AG891" i="1" s="1"/>
  <c r="AL893" i="1"/>
  <c r="AM893" i="1" s="1"/>
  <c r="BF893" i="1"/>
  <c r="AF893" i="1"/>
  <c r="AH893" i="1" s="1"/>
  <c r="AI893" i="1" s="1"/>
  <c r="BD893" i="1"/>
  <c r="AJ893" i="1" s="1"/>
  <c r="AK893" i="1" s="1"/>
  <c r="BC893" i="1"/>
  <c r="BC898" i="1"/>
  <c r="AF914" i="1"/>
  <c r="BD914" i="1"/>
  <c r="AJ914" i="1" s="1"/>
  <c r="AK914" i="1" s="1"/>
  <c r="BF916" i="1"/>
  <c r="BD916" i="1"/>
  <c r="AJ916" i="1" s="1"/>
  <c r="AK916" i="1" s="1"/>
  <c r="AF916" i="1"/>
  <c r="AH916" i="1" s="1"/>
  <c r="AI916" i="1" s="1"/>
  <c r="BF922" i="1"/>
  <c r="BD922" i="1"/>
  <c r="AJ922" i="1" s="1"/>
  <c r="AK922" i="1" s="1"/>
  <c r="BF968" i="1"/>
  <c r="AF968" i="1"/>
  <c r="AH968" i="1" s="1"/>
  <c r="AI968" i="1" s="1"/>
  <c r="BD968" i="1"/>
  <c r="AJ968" i="1" s="1"/>
  <c r="AK968" i="1" s="1"/>
  <c r="AL968" i="1"/>
  <c r="AM968" i="1" s="1"/>
  <c r="AF852" i="1"/>
  <c r="BD852" i="1"/>
  <c r="AJ852" i="1" s="1"/>
  <c r="AK852" i="1" s="1"/>
  <c r="AL852" i="1"/>
  <c r="AM852" i="1" s="1"/>
  <c r="BD859" i="1"/>
  <c r="AJ859" i="1" s="1"/>
  <c r="AK859" i="1" s="1"/>
  <c r="BF859" i="1"/>
  <c r="AL859" i="1"/>
  <c r="AM859" i="1" s="1"/>
  <c r="BF878" i="1"/>
  <c r="AL878" i="1"/>
  <c r="AM878" i="1" s="1"/>
  <c r="BD888" i="1"/>
  <c r="AJ888" i="1" s="1"/>
  <c r="AK888" i="1" s="1"/>
  <c r="BF888" i="1"/>
  <c r="AF888" i="1"/>
  <c r="AH888" i="1" s="1"/>
  <c r="AI888" i="1" s="1"/>
  <c r="BC888" i="1"/>
  <c r="BD898" i="1"/>
  <c r="AJ898" i="1" s="1"/>
  <c r="AK898" i="1" s="1"/>
  <c r="AF898" i="1"/>
  <c r="AH898" i="1" s="1"/>
  <c r="AI898" i="1" s="1"/>
  <c r="BF898" i="1"/>
  <c r="AL898" i="1"/>
  <c r="AM898" i="1" s="1"/>
  <c r="BD907" i="1"/>
  <c r="AJ907" i="1" s="1"/>
  <c r="AK907" i="1" s="1"/>
  <c r="BF907" i="1"/>
  <c r="AL907" i="1"/>
  <c r="AM907" i="1" s="1"/>
  <c r="AF907" i="1"/>
  <c r="BC913" i="1"/>
  <c r="AF913" i="1"/>
  <c r="AH913" i="1" s="1"/>
  <c r="AI913" i="1" s="1"/>
  <c r="AL962" i="1"/>
  <c r="AM962" i="1" s="1"/>
  <c r="BD962" i="1"/>
  <c r="AJ962" i="1" s="1"/>
  <c r="AK962" i="1" s="1"/>
  <c r="AF962" i="1"/>
  <c r="AH962" i="1" s="1"/>
  <c r="AI962" i="1" s="1"/>
  <c r="BC670" i="1"/>
  <c r="BC672" i="1"/>
  <c r="AD675" i="1"/>
  <c r="AG675" i="1" s="1"/>
  <c r="BC677" i="1"/>
  <c r="BC682" i="1"/>
  <c r="AD683" i="1"/>
  <c r="AG683" i="1" s="1"/>
  <c r="BC695" i="1"/>
  <c r="BC706" i="1"/>
  <c r="BC711" i="1"/>
  <c r="AD713" i="1"/>
  <c r="AG713" i="1" s="1"/>
  <c r="BC715" i="1"/>
  <c r="BC722" i="1"/>
  <c r="BC724" i="1"/>
  <c r="BC740" i="1"/>
  <c r="BC744" i="1"/>
  <c r="BC756" i="1"/>
  <c r="BC767" i="1"/>
  <c r="BC771" i="1"/>
  <c r="BC776" i="1"/>
  <c r="BC782" i="1"/>
  <c r="BC786" i="1"/>
  <c r="BC791" i="1"/>
  <c r="BC804" i="1"/>
  <c r="AD805" i="1"/>
  <c r="AG805" i="1" s="1"/>
  <c r="BC814" i="1"/>
  <c r="AL816" i="1"/>
  <c r="AM816" i="1" s="1"/>
  <c r="BC818" i="1"/>
  <c r="BF819" i="1"/>
  <c r="AL819" i="1"/>
  <c r="AM819" i="1" s="1"/>
  <c r="AF821" i="1"/>
  <c r="BD821" i="1"/>
  <c r="AJ821" i="1" s="1"/>
  <c r="AK821" i="1" s="1"/>
  <c r="BC824" i="1"/>
  <c r="BF830" i="1"/>
  <c r="BD830" i="1"/>
  <c r="AJ830" i="1" s="1"/>
  <c r="AK830" i="1" s="1"/>
  <c r="AF840" i="1"/>
  <c r="AH840" i="1" s="1"/>
  <c r="AI840" i="1" s="1"/>
  <c r="BD840" i="1"/>
  <c r="AJ840" i="1" s="1"/>
  <c r="AK840" i="1" s="1"/>
  <c r="AL840" i="1"/>
  <c r="AM840" i="1" s="1"/>
  <c r="AL845" i="1"/>
  <c r="AM845" i="1" s="1"/>
  <c r="BD845" i="1"/>
  <c r="AJ845" i="1" s="1"/>
  <c r="AK845" i="1" s="1"/>
  <c r="AF846" i="1"/>
  <c r="BF852" i="1"/>
  <c r="AL853" i="1"/>
  <c r="AM853" i="1" s="1"/>
  <c r="BF853" i="1"/>
  <c r="AF853" i="1"/>
  <c r="AH853" i="1" s="1"/>
  <c r="AI853" i="1" s="1"/>
  <c r="BC854" i="1"/>
  <c r="AL857" i="1"/>
  <c r="AM857" i="1" s="1"/>
  <c r="BD857" i="1"/>
  <c r="AJ857" i="1" s="1"/>
  <c r="AK857" i="1" s="1"/>
  <c r="BF857" i="1"/>
  <c r="AF857" i="1"/>
  <c r="AH857" i="1" s="1"/>
  <c r="AI857" i="1" s="1"/>
  <c r="AF859" i="1"/>
  <c r="AF860" i="1"/>
  <c r="AH860" i="1" s="1"/>
  <c r="AI860" i="1" s="1"/>
  <c r="BD860" i="1"/>
  <c r="AJ860" i="1" s="1"/>
  <c r="AK860" i="1" s="1"/>
  <c r="AL861" i="1"/>
  <c r="AM861" i="1" s="1"/>
  <c r="BF861" i="1"/>
  <c r="AF861" i="1"/>
  <c r="AH861" i="1" s="1"/>
  <c r="AI861" i="1" s="1"/>
  <c r="AL865" i="1"/>
  <c r="AM865" i="1" s="1"/>
  <c r="BD865" i="1"/>
  <c r="AJ865" i="1" s="1"/>
  <c r="AK865" i="1" s="1"/>
  <c r="AF865" i="1"/>
  <c r="AH865" i="1" s="1"/>
  <c r="AI865" i="1" s="1"/>
  <c r="BF865" i="1"/>
  <c r="AF868" i="1"/>
  <c r="BD868" i="1"/>
  <c r="AJ868" i="1" s="1"/>
  <c r="AK868" i="1" s="1"/>
  <c r="AF878" i="1"/>
  <c r="AD878" i="1" s="1"/>
  <c r="AG878" i="1" s="1"/>
  <c r="BC881" i="1"/>
  <c r="AD884" i="1"/>
  <c r="AG884" i="1" s="1"/>
  <c r="AH884" i="1"/>
  <c r="AI884" i="1" s="1"/>
  <c r="BF886" i="1"/>
  <c r="BD886" i="1"/>
  <c r="AJ886" i="1" s="1"/>
  <c r="AK886" i="1" s="1"/>
  <c r="AL886" i="1"/>
  <c r="AM886" i="1" s="1"/>
  <c r="AF886" i="1"/>
  <c r="AH886" i="1" s="1"/>
  <c r="AI886" i="1" s="1"/>
  <c r="AD889" i="1"/>
  <c r="AG889" i="1" s="1"/>
  <c r="BD891" i="1"/>
  <c r="AJ891" i="1" s="1"/>
  <c r="AK891" i="1" s="1"/>
  <c r="BF891" i="1"/>
  <c r="AL891" i="1"/>
  <c r="AM891" i="1" s="1"/>
  <c r="BC820" i="1"/>
  <c r="BC823" i="1"/>
  <c r="AD825" i="1"/>
  <c r="AG825" i="1" s="1"/>
  <c r="BC868" i="1"/>
  <c r="BF874" i="1"/>
  <c r="AL874" i="1"/>
  <c r="AM874" i="1" s="1"/>
  <c r="AF880" i="1"/>
  <c r="AF918" i="1"/>
  <c r="AH918" i="1" s="1"/>
  <c r="AI918" i="1" s="1"/>
  <c r="BD918" i="1"/>
  <c r="AJ918" i="1" s="1"/>
  <c r="AK918" i="1" s="1"/>
  <c r="BC924" i="1"/>
  <c r="BF965" i="1"/>
  <c r="AF965" i="1"/>
  <c r="AH965" i="1" s="1"/>
  <c r="AI965" i="1" s="1"/>
  <c r="BC965" i="1"/>
  <c r="BD965" i="1"/>
  <c r="AJ965" i="1" s="1"/>
  <c r="AK965" i="1" s="1"/>
  <c r="AL965" i="1"/>
  <c r="AM965" i="1" s="1"/>
  <c r="BC861" i="1"/>
  <c r="BF862" i="1"/>
  <c r="AL862" i="1"/>
  <c r="AM862" i="1" s="1"/>
  <c r="AF864" i="1"/>
  <c r="BD864" i="1"/>
  <c r="AJ864" i="1" s="1"/>
  <c r="AK864" i="1" s="1"/>
  <c r="AL877" i="1"/>
  <c r="AM877" i="1" s="1"/>
  <c r="BF877" i="1"/>
  <c r="BC886" i="1"/>
  <c r="BC889" i="1"/>
  <c r="BD895" i="1"/>
  <c r="AJ895" i="1" s="1"/>
  <c r="AK895" i="1" s="1"/>
  <c r="AL895" i="1"/>
  <c r="AM895" i="1" s="1"/>
  <c r="BD899" i="1"/>
  <c r="AJ899" i="1" s="1"/>
  <c r="AK899" i="1" s="1"/>
  <c r="BF899" i="1"/>
  <c r="BC914" i="1"/>
  <c r="BC916" i="1"/>
  <c r="BF924" i="1"/>
  <c r="AL924" i="1"/>
  <c r="AM924" i="1" s="1"/>
  <c r="BD924" i="1"/>
  <c r="AJ924" i="1" s="1"/>
  <c r="AK924" i="1" s="1"/>
  <c r="AF924" i="1"/>
  <c r="BC869" i="1"/>
  <c r="BC871" i="1"/>
  <c r="AD873" i="1"/>
  <c r="AG873" i="1" s="1"/>
  <c r="BC873" i="1"/>
  <c r="BC878" i="1"/>
  <c r="BC883" i="1"/>
  <c r="BC890" i="1"/>
  <c r="BC891" i="1"/>
  <c r="AF892" i="1"/>
  <c r="AH892" i="1" s="1"/>
  <c r="AI892" i="1" s="1"/>
  <c r="BD892" i="1"/>
  <c r="AJ892" i="1" s="1"/>
  <c r="AK892" i="1" s="1"/>
  <c r="BC895" i="1"/>
  <c r="BC904" i="1"/>
  <c r="BC915" i="1"/>
  <c r="BC920" i="1"/>
  <c r="BC929" i="1"/>
  <c r="AF929" i="1"/>
  <c r="AH929" i="1" s="1"/>
  <c r="AI929" i="1" s="1"/>
  <c r="BC930" i="1"/>
  <c r="AD935" i="1"/>
  <c r="AG935" i="1" s="1"/>
  <c r="BC935" i="1"/>
  <c r="BC946" i="1"/>
  <c r="BC949" i="1"/>
  <c r="BF970" i="1"/>
  <c r="AL970" i="1"/>
  <c r="AM970" i="1" s="1"/>
  <c r="BD974" i="1"/>
  <c r="AJ974" i="1" s="1"/>
  <c r="AK974" i="1" s="1"/>
  <c r="AL927" i="1"/>
  <c r="AM927" i="1" s="1"/>
  <c r="BD927" i="1"/>
  <c r="AJ927" i="1" s="1"/>
  <c r="AK927" i="1" s="1"/>
  <c r="BF928" i="1"/>
  <c r="AF928" i="1"/>
  <c r="AH928" i="1" s="1"/>
  <c r="AI928" i="1" s="1"/>
  <c r="AL935" i="1"/>
  <c r="AM935" i="1" s="1"/>
  <c r="BD935" i="1"/>
  <c r="AJ935" i="1" s="1"/>
  <c r="AK935" i="1" s="1"/>
  <c r="BC971" i="1"/>
  <c r="BD971" i="1"/>
  <c r="AJ971" i="1" s="1"/>
  <c r="AK971" i="1" s="1"/>
  <c r="AD890" i="1"/>
  <c r="AG890" i="1" s="1"/>
  <c r="BC901" i="1"/>
  <c r="BC907" i="1"/>
  <c r="BC909" i="1"/>
  <c r="AD920" i="1"/>
  <c r="AG920" i="1" s="1"/>
  <c r="AL923" i="1"/>
  <c r="AM923" i="1" s="1"/>
  <c r="BD923" i="1"/>
  <c r="AJ923" i="1" s="1"/>
  <c r="AK923" i="1" s="1"/>
  <c r="BF927" i="1"/>
  <c r="AL928" i="1"/>
  <c r="AM928" i="1" s="1"/>
  <c r="BF935" i="1"/>
  <c r="BC938" i="1"/>
  <c r="AL947" i="1"/>
  <c r="AM947" i="1" s="1"/>
  <c r="AF947" i="1"/>
  <c r="AH947" i="1" s="1"/>
  <c r="AI947" i="1" s="1"/>
  <c r="BF959" i="1"/>
  <c r="AL959" i="1"/>
  <c r="AM959" i="1" s="1"/>
  <c r="AF961" i="1"/>
  <c r="AH961" i="1" s="1"/>
  <c r="AI961" i="1" s="1"/>
  <c r="BF961" i="1"/>
  <c r="BC961" i="1"/>
  <c r="BF963" i="1"/>
  <c r="AF963" i="1"/>
  <c r="AL963" i="1"/>
  <c r="AM963" i="1" s="1"/>
  <c r="AL969" i="1"/>
  <c r="AM969" i="1" s="1"/>
  <c r="BF969" i="1"/>
  <c r="AF971" i="1"/>
  <c r="AD971" i="1" s="1"/>
  <c r="AG971" i="1" s="1"/>
  <c r="BC977" i="1"/>
  <c r="BF977" i="1"/>
  <c r="AL977" i="1"/>
  <c r="AM977" i="1" s="1"/>
  <c r="BC959" i="1"/>
  <c r="BC967" i="1"/>
  <c r="BC968" i="1"/>
  <c r="BC970" i="1"/>
  <c r="BC981" i="1"/>
  <c r="BF983" i="1"/>
  <c r="BC899" i="1"/>
  <c r="BC903" i="1"/>
  <c r="AD912" i="1"/>
  <c r="AG912" i="1" s="1"/>
  <c r="AD927" i="1"/>
  <c r="AG927" i="1" s="1"/>
  <c r="BC928" i="1"/>
  <c r="AD931" i="1"/>
  <c r="AG931" i="1" s="1"/>
  <c r="AD936" i="1"/>
  <c r="AG936" i="1" s="1"/>
  <c r="AD957" i="1"/>
  <c r="AG957" i="1" s="1"/>
  <c r="BD957" i="1"/>
  <c r="AJ957" i="1" s="1"/>
  <c r="AK957" i="1" s="1"/>
  <c r="AF958" i="1"/>
  <c r="AH958" i="1" s="1"/>
  <c r="AI958" i="1" s="1"/>
  <c r="BD958" i="1"/>
  <c r="AJ958" i="1" s="1"/>
  <c r="AK958" i="1" s="1"/>
  <c r="BC962" i="1"/>
  <c r="BC969" i="1"/>
  <c r="BC979" i="1"/>
  <c r="AF983" i="1"/>
  <c r="AH983" i="1" s="1"/>
  <c r="AI983" i="1" s="1"/>
  <c r="BD77" i="1"/>
  <c r="AJ77" i="1" s="1"/>
  <c r="AK77" i="1" s="1"/>
  <c r="BC77" i="1"/>
  <c r="AF77" i="1"/>
  <c r="AL77" i="1"/>
  <c r="AM77" i="1" s="1"/>
  <c r="BF77" i="1"/>
  <c r="AD237" i="1"/>
  <c r="AG237" i="1" s="1"/>
  <c r="AH237" i="1"/>
  <c r="AI237" i="1" s="1"/>
  <c r="AH238" i="1"/>
  <c r="AI238" i="1" s="1"/>
  <c r="BD11" i="1"/>
  <c r="AJ11" i="1" s="1"/>
  <c r="AK11" i="1" s="1"/>
  <c r="BD13" i="1"/>
  <c r="AJ13" i="1" s="1"/>
  <c r="AK13" i="1" s="1"/>
  <c r="BF13" i="1"/>
  <c r="AF19" i="1"/>
  <c r="BF19" i="1"/>
  <c r="AF24" i="1"/>
  <c r="AH24" i="1" s="1"/>
  <c r="AI24" i="1" s="1"/>
  <c r="AL24" i="1"/>
  <c r="AM24" i="1" s="1"/>
  <c r="BC24" i="1"/>
  <c r="AF43" i="1"/>
  <c r="AL43" i="1"/>
  <c r="AM43" i="1" s="1"/>
  <c r="BF43" i="1"/>
  <c r="BD43" i="1"/>
  <c r="AJ43" i="1" s="1"/>
  <c r="AK43" i="1" s="1"/>
  <c r="AD54" i="1"/>
  <c r="AG54" i="1" s="1"/>
  <c r="AF59" i="1"/>
  <c r="AL59" i="1"/>
  <c r="AM59" i="1" s="1"/>
  <c r="BF59" i="1"/>
  <c r="BD59" i="1"/>
  <c r="AJ59" i="1" s="1"/>
  <c r="AK59" i="1" s="1"/>
  <c r="AH65" i="1"/>
  <c r="AI65" i="1" s="1"/>
  <c r="AD78" i="1"/>
  <c r="AG78" i="1" s="1"/>
  <c r="AH83" i="1"/>
  <c r="AI83" i="1" s="1"/>
  <c r="BD101" i="1"/>
  <c r="AJ101" i="1" s="1"/>
  <c r="AK101" i="1" s="1"/>
  <c r="BC101" i="1"/>
  <c r="AF101" i="1"/>
  <c r="AL101" i="1"/>
  <c r="AM101" i="1" s="1"/>
  <c r="BF101" i="1"/>
  <c r="AH198" i="1"/>
  <c r="AI198" i="1" s="1"/>
  <c r="AD198" i="1"/>
  <c r="AG198" i="1" s="1"/>
  <c r="BC10" i="1"/>
  <c r="AF10" i="1"/>
  <c r="AH10" i="1" s="1"/>
  <c r="AI10" i="1" s="1"/>
  <c r="BC29" i="1"/>
  <c r="AD102" i="1"/>
  <c r="AG102" i="1" s="1"/>
  <c r="BF9" i="1"/>
  <c r="BD9" i="1"/>
  <c r="AJ9" i="1" s="1"/>
  <c r="AK9" i="1" s="1"/>
  <c r="BF15" i="1"/>
  <c r="BD15" i="1"/>
  <c r="AJ15" i="1" s="1"/>
  <c r="AK15" i="1" s="1"/>
  <c r="BD45" i="1"/>
  <c r="AJ45" i="1" s="1"/>
  <c r="AK45" i="1" s="1"/>
  <c r="BC45" i="1"/>
  <c r="AF45" i="1"/>
  <c r="BF45" i="1"/>
  <c r="BD61" i="1"/>
  <c r="AJ61" i="1" s="1"/>
  <c r="AK61" i="1" s="1"/>
  <c r="BC61" i="1"/>
  <c r="AF61" i="1"/>
  <c r="BF61" i="1"/>
  <c r="BD85" i="1"/>
  <c r="AJ85" i="1" s="1"/>
  <c r="AK85" i="1" s="1"/>
  <c r="BC85" i="1"/>
  <c r="AF85" i="1"/>
  <c r="AL85" i="1"/>
  <c r="AM85" i="1" s="1"/>
  <c r="BF85" i="1"/>
  <c r="AH169" i="1"/>
  <c r="AI169" i="1" s="1"/>
  <c r="AD169" i="1"/>
  <c r="AG169" i="1" s="1"/>
  <c r="AH179" i="1"/>
  <c r="AI179" i="1" s="1"/>
  <c r="BF10" i="1"/>
  <c r="AF15" i="1"/>
  <c r="BC17" i="1"/>
  <c r="BD21" i="1"/>
  <c r="AJ21" i="1" s="1"/>
  <c r="AK21" i="1" s="1"/>
  <c r="BF21" i="1"/>
  <c r="AF29" i="1"/>
  <c r="BF29" i="1"/>
  <c r="AH57" i="1"/>
  <c r="AI57" i="1" s="1"/>
  <c r="AD86" i="1"/>
  <c r="AG86" i="1" s="1"/>
  <c r="AD89" i="1"/>
  <c r="AG89" i="1" s="1"/>
  <c r="AH91" i="1"/>
  <c r="AI91" i="1" s="1"/>
  <c r="BD109" i="1"/>
  <c r="AJ109" i="1" s="1"/>
  <c r="AK109" i="1" s="1"/>
  <c r="BC109" i="1"/>
  <c r="AF109" i="1"/>
  <c r="AL109" i="1"/>
  <c r="AM109" i="1" s="1"/>
  <c r="BF109" i="1"/>
  <c r="AF37" i="1"/>
  <c r="AL37" i="1"/>
  <c r="AM37" i="1" s="1"/>
  <c r="BD37" i="1"/>
  <c r="AJ37" i="1" s="1"/>
  <c r="AK37" i="1" s="1"/>
  <c r="AL4" i="1"/>
  <c r="AM4" i="1" s="1"/>
  <c r="AL6" i="1"/>
  <c r="AM6" i="1" s="1"/>
  <c r="AF8" i="1"/>
  <c r="AH8" i="1" s="1"/>
  <c r="AI8" i="1" s="1"/>
  <c r="AL8" i="1"/>
  <c r="AM8" i="1" s="1"/>
  <c r="AL10" i="1"/>
  <c r="AM10" i="1" s="1"/>
  <c r="AL11" i="1"/>
  <c r="AM11" i="1" s="1"/>
  <c r="AL13" i="1"/>
  <c r="AM13" i="1" s="1"/>
  <c r="BD17" i="1"/>
  <c r="AJ17" i="1" s="1"/>
  <c r="AK17" i="1" s="1"/>
  <c r="AL19" i="1"/>
  <c r="AM19" i="1" s="1"/>
  <c r="AF21" i="1"/>
  <c r="AL27" i="1"/>
  <c r="AM27" i="1" s="1"/>
  <c r="AF51" i="1"/>
  <c r="AL51" i="1"/>
  <c r="AM51" i="1" s="1"/>
  <c r="BF51" i="1"/>
  <c r="BD51" i="1"/>
  <c r="AJ51" i="1" s="1"/>
  <c r="AK51" i="1" s="1"/>
  <c r="AD62" i="1"/>
  <c r="AG62" i="1" s="1"/>
  <c r="BD69" i="1"/>
  <c r="AJ69" i="1" s="1"/>
  <c r="AK69" i="1" s="1"/>
  <c r="BC69" i="1"/>
  <c r="AF69" i="1"/>
  <c r="AL69" i="1"/>
  <c r="AM69" i="1" s="1"/>
  <c r="BF69" i="1"/>
  <c r="AD110" i="1"/>
  <c r="AG110" i="1" s="1"/>
  <c r="AH115" i="1"/>
  <c r="AI115" i="1" s="1"/>
  <c r="BF168" i="1"/>
  <c r="BD168" i="1"/>
  <c r="AJ168" i="1" s="1"/>
  <c r="AK168" i="1" s="1"/>
  <c r="BC168" i="1"/>
  <c r="AF168" i="1"/>
  <c r="AH168" i="1" s="1"/>
  <c r="AI168" i="1" s="1"/>
  <c r="AL168" i="1"/>
  <c r="AM168" i="1" s="1"/>
  <c r="AF32" i="1"/>
  <c r="AH32" i="1" s="1"/>
  <c r="AI32" i="1" s="1"/>
  <c r="AL32" i="1"/>
  <c r="AM32" i="1" s="1"/>
  <c r="BF32" i="1"/>
  <c r="BC32" i="1"/>
  <c r="AL9" i="1"/>
  <c r="AM9" i="1" s="1"/>
  <c r="AF14" i="1"/>
  <c r="AH14" i="1" s="1"/>
  <c r="AI14" i="1" s="1"/>
  <c r="AL14" i="1"/>
  <c r="AM14" i="1" s="1"/>
  <c r="BC14" i="1"/>
  <c r="BF25" i="1"/>
  <c r="BD25" i="1"/>
  <c r="AJ25" i="1" s="1"/>
  <c r="AK25" i="1" s="1"/>
  <c r="BD31" i="1"/>
  <c r="AJ31" i="1" s="1"/>
  <c r="AK31" i="1" s="1"/>
  <c r="AF31" i="1"/>
  <c r="AH31" i="1" s="1"/>
  <c r="AI31" i="1" s="1"/>
  <c r="BF31" i="1"/>
  <c r="AD47" i="1"/>
  <c r="AG47" i="1" s="1"/>
  <c r="AH73" i="1"/>
  <c r="AI73" i="1" s="1"/>
  <c r="BD93" i="1"/>
  <c r="AJ93" i="1" s="1"/>
  <c r="AK93" i="1" s="1"/>
  <c r="BC93" i="1"/>
  <c r="AF93" i="1"/>
  <c r="AL93" i="1"/>
  <c r="AM93" i="1" s="1"/>
  <c r="BF93" i="1"/>
  <c r="AF183" i="1"/>
  <c r="AH183" i="1" s="1"/>
  <c r="AI183" i="1" s="1"/>
  <c r="AL183" i="1"/>
  <c r="AM183" i="1" s="1"/>
  <c r="BF183" i="1"/>
  <c r="BD183" i="1"/>
  <c r="AJ183" i="1" s="1"/>
  <c r="AK183" i="1" s="1"/>
  <c r="BC183" i="1"/>
  <c r="BC19" i="1"/>
  <c r="BD32" i="1"/>
  <c r="AJ32" i="1" s="1"/>
  <c r="AK32" i="1" s="1"/>
  <c r="AD36" i="1"/>
  <c r="AG36" i="1" s="1"/>
  <c r="BC37" i="1"/>
  <c r="BD53" i="1"/>
  <c r="AJ53" i="1" s="1"/>
  <c r="AK53" i="1" s="1"/>
  <c r="BC53" i="1"/>
  <c r="AF53" i="1"/>
  <c r="BF53" i="1"/>
  <c r="AH99" i="1"/>
  <c r="AI99" i="1" s="1"/>
  <c r="BD117" i="1"/>
  <c r="AJ117" i="1" s="1"/>
  <c r="AK117" i="1" s="1"/>
  <c r="BC117" i="1"/>
  <c r="AF117" i="1"/>
  <c r="AL117" i="1"/>
  <c r="AM117" i="1" s="1"/>
  <c r="BF117" i="1"/>
  <c r="AL151" i="1"/>
  <c r="AM151" i="1" s="1"/>
  <c r="BD151" i="1"/>
  <c r="AJ151" i="1" s="1"/>
  <c r="AK151" i="1" s="1"/>
  <c r="BC151" i="1"/>
  <c r="BF151" i="1"/>
  <c r="AF151" i="1"/>
  <c r="AH151" i="1" s="1"/>
  <c r="AI151" i="1" s="1"/>
  <c r="AH163" i="1"/>
  <c r="AI163" i="1" s="1"/>
  <c r="AD163" i="1"/>
  <c r="AG163" i="1" s="1"/>
  <c r="AH193" i="1"/>
  <c r="AI193" i="1" s="1"/>
  <c r="AD193" i="1"/>
  <c r="AG193" i="1" s="1"/>
  <c r="BD67" i="1"/>
  <c r="AJ67" i="1" s="1"/>
  <c r="AK67" i="1" s="1"/>
  <c r="BD75" i="1"/>
  <c r="AJ75" i="1" s="1"/>
  <c r="AK75" i="1" s="1"/>
  <c r="BD83" i="1"/>
  <c r="AJ83" i="1" s="1"/>
  <c r="AK83" i="1" s="1"/>
  <c r="BD91" i="1"/>
  <c r="AJ91" i="1" s="1"/>
  <c r="AK91" i="1" s="1"/>
  <c r="BD99" i="1"/>
  <c r="AJ99" i="1" s="1"/>
  <c r="AK99" i="1" s="1"/>
  <c r="BD107" i="1"/>
  <c r="AJ107" i="1" s="1"/>
  <c r="AK107" i="1" s="1"/>
  <c r="BD115" i="1"/>
  <c r="AJ115" i="1" s="1"/>
  <c r="AK115" i="1" s="1"/>
  <c r="AL129" i="1"/>
  <c r="AM129" i="1" s="1"/>
  <c r="AL137" i="1"/>
  <c r="AM137" i="1" s="1"/>
  <c r="AF145" i="1"/>
  <c r="AH145" i="1" s="1"/>
  <c r="AI145" i="1" s="1"/>
  <c r="BF145" i="1"/>
  <c r="BD145" i="1"/>
  <c r="AJ145" i="1" s="1"/>
  <c r="AK145" i="1" s="1"/>
  <c r="AL146" i="1"/>
  <c r="AM146" i="1" s="1"/>
  <c r="AF167" i="1"/>
  <c r="AH167" i="1" s="1"/>
  <c r="AI167" i="1" s="1"/>
  <c r="AL167" i="1"/>
  <c r="AM167" i="1" s="1"/>
  <c r="BF167" i="1"/>
  <c r="BD167" i="1"/>
  <c r="AJ167" i="1" s="1"/>
  <c r="AK167" i="1" s="1"/>
  <c r="BC167" i="1"/>
  <c r="AD211" i="1"/>
  <c r="AG211" i="1" s="1"/>
  <c r="AH211" i="1"/>
  <c r="AI211" i="1" s="1"/>
  <c r="AD267" i="1"/>
  <c r="AG267" i="1" s="1"/>
  <c r="AH267" i="1"/>
  <c r="AI267" i="1" s="1"/>
  <c r="AF153" i="1"/>
  <c r="BF153" i="1"/>
  <c r="BD153" i="1"/>
  <c r="AJ153" i="1" s="1"/>
  <c r="AK153" i="1" s="1"/>
  <c r="AF203" i="1"/>
  <c r="BF203" i="1"/>
  <c r="AL203" i="1"/>
  <c r="AM203" i="1" s="1"/>
  <c r="BD203" i="1"/>
  <c r="AJ203" i="1" s="1"/>
  <c r="AK203" i="1" s="1"/>
  <c r="BC203" i="1"/>
  <c r="AD205" i="1"/>
  <c r="AG205" i="1" s="1"/>
  <c r="AD215" i="1"/>
  <c r="AG215" i="1" s="1"/>
  <c r="AD235" i="1"/>
  <c r="AG235" i="1" s="1"/>
  <c r="AH235" i="1"/>
  <c r="AI235" i="1" s="1"/>
  <c r="AH261" i="1"/>
  <c r="AI261" i="1" s="1"/>
  <c r="AL48" i="1"/>
  <c r="AM48" i="1" s="1"/>
  <c r="BD49" i="1"/>
  <c r="AJ49" i="1" s="1"/>
  <c r="AK49" i="1" s="1"/>
  <c r="AL56" i="1"/>
  <c r="AM56" i="1" s="1"/>
  <c r="BD57" i="1"/>
  <c r="AJ57" i="1" s="1"/>
  <c r="AK57" i="1" s="1"/>
  <c r="AL64" i="1"/>
  <c r="AM64" i="1" s="1"/>
  <c r="BD65" i="1"/>
  <c r="AJ65" i="1" s="1"/>
  <c r="AK65" i="1" s="1"/>
  <c r="BF67" i="1"/>
  <c r="AL72" i="1"/>
  <c r="AM72" i="1" s="1"/>
  <c r="BD73" i="1"/>
  <c r="AJ73" i="1" s="1"/>
  <c r="AK73" i="1" s="1"/>
  <c r="BF75" i="1"/>
  <c r="AL80" i="1"/>
  <c r="AM80" i="1" s="1"/>
  <c r="BD81" i="1"/>
  <c r="AJ81" i="1" s="1"/>
  <c r="AK81" i="1" s="1"/>
  <c r="BF83" i="1"/>
  <c r="AL88" i="1"/>
  <c r="AM88" i="1" s="1"/>
  <c r="BD89" i="1"/>
  <c r="AJ89" i="1" s="1"/>
  <c r="AK89" i="1" s="1"/>
  <c r="BF91" i="1"/>
  <c r="AL96" i="1"/>
  <c r="AM96" i="1" s="1"/>
  <c r="BD97" i="1"/>
  <c r="AJ97" i="1" s="1"/>
  <c r="AK97" i="1" s="1"/>
  <c r="BF99" i="1"/>
  <c r="AL104" i="1"/>
  <c r="AM104" i="1" s="1"/>
  <c r="BD105" i="1"/>
  <c r="AJ105" i="1" s="1"/>
  <c r="AK105" i="1" s="1"/>
  <c r="BF107" i="1"/>
  <c r="AL112" i="1"/>
  <c r="AM112" i="1" s="1"/>
  <c r="BD113" i="1"/>
  <c r="AJ113" i="1" s="1"/>
  <c r="AK113" i="1" s="1"/>
  <c r="BF115" i="1"/>
  <c r="AL120" i="1"/>
  <c r="AM120" i="1" s="1"/>
  <c r="BD121" i="1"/>
  <c r="AJ121" i="1" s="1"/>
  <c r="AK121" i="1" s="1"/>
  <c r="AL123" i="1"/>
  <c r="AM123" i="1" s="1"/>
  <c r="AF128" i="1"/>
  <c r="AH128" i="1" s="1"/>
  <c r="AI128" i="1" s="1"/>
  <c r="AF131" i="1"/>
  <c r="AH131" i="1" s="1"/>
  <c r="AI131" i="1" s="1"/>
  <c r="AH133" i="1"/>
  <c r="AI133" i="1" s="1"/>
  <c r="AF139" i="1"/>
  <c r="AH139" i="1" s="1"/>
  <c r="AI139" i="1" s="1"/>
  <c r="AH141" i="1"/>
  <c r="AI141" i="1" s="1"/>
  <c r="BC147" i="1"/>
  <c r="BF147" i="1"/>
  <c r="AL159" i="1"/>
  <c r="AM159" i="1" s="1"/>
  <c r="BF159" i="1"/>
  <c r="BD159" i="1"/>
  <c r="AJ159" i="1" s="1"/>
  <c r="AK159" i="1" s="1"/>
  <c r="BC159" i="1"/>
  <c r="AD239" i="1"/>
  <c r="AG239" i="1" s="1"/>
  <c r="AD240" i="1"/>
  <c r="AG240" i="1" s="1"/>
  <c r="AD245" i="1"/>
  <c r="AG245" i="1" s="1"/>
  <c r="AH245" i="1"/>
  <c r="AI245" i="1" s="1"/>
  <c r="AH246" i="1"/>
  <c r="AI246" i="1" s="1"/>
  <c r="AD246" i="1"/>
  <c r="AG246" i="1" s="1"/>
  <c r="AD256" i="1"/>
  <c r="AG256" i="1" s="1"/>
  <c r="BC55" i="1"/>
  <c r="AL67" i="1"/>
  <c r="AM67" i="1" s="1"/>
  <c r="AL75" i="1"/>
  <c r="AM75" i="1" s="1"/>
  <c r="AL83" i="1"/>
  <c r="AM83" i="1" s="1"/>
  <c r="AL91" i="1"/>
  <c r="AM91" i="1" s="1"/>
  <c r="AL99" i="1"/>
  <c r="AM99" i="1" s="1"/>
  <c r="AL107" i="1"/>
  <c r="AM107" i="1" s="1"/>
  <c r="AL115" i="1"/>
  <c r="AM115" i="1" s="1"/>
  <c r="BC131" i="1"/>
  <c r="BF131" i="1"/>
  <c r="BC139" i="1"/>
  <c r="BF139" i="1"/>
  <c r="BD144" i="1"/>
  <c r="AJ144" i="1" s="1"/>
  <c r="AK144" i="1" s="1"/>
  <c r="AF144" i="1"/>
  <c r="AH144" i="1" s="1"/>
  <c r="AI144" i="1" s="1"/>
  <c r="AL144" i="1"/>
  <c r="AM144" i="1" s="1"/>
  <c r="BC155" i="1"/>
  <c r="BF155" i="1"/>
  <c r="BF160" i="1"/>
  <c r="BD160" i="1"/>
  <c r="AJ160" i="1" s="1"/>
  <c r="AK160" i="1" s="1"/>
  <c r="BC160" i="1"/>
  <c r="AF160" i="1"/>
  <c r="AH160" i="1" s="1"/>
  <c r="AI160" i="1" s="1"/>
  <c r="AL160" i="1"/>
  <c r="AM160" i="1" s="1"/>
  <c r="AH171" i="1"/>
  <c r="AI171" i="1" s="1"/>
  <c r="AD171" i="1"/>
  <c r="AG171" i="1" s="1"/>
  <c r="BF176" i="1"/>
  <c r="BD176" i="1"/>
  <c r="AJ176" i="1" s="1"/>
  <c r="AK176" i="1" s="1"/>
  <c r="BC176" i="1"/>
  <c r="AF176" i="1"/>
  <c r="AH176" i="1" s="1"/>
  <c r="AI176" i="1" s="1"/>
  <c r="AL176" i="1"/>
  <c r="AM176" i="1" s="1"/>
  <c r="AF191" i="1"/>
  <c r="AH191" i="1" s="1"/>
  <c r="AI191" i="1" s="1"/>
  <c r="AL191" i="1"/>
  <c r="AM191" i="1" s="1"/>
  <c r="BF191" i="1"/>
  <c r="BD191" i="1"/>
  <c r="AJ191" i="1" s="1"/>
  <c r="AK191" i="1" s="1"/>
  <c r="BC191" i="1"/>
  <c r="AD219" i="1"/>
  <c r="AG219" i="1" s="1"/>
  <c r="AH219" i="1"/>
  <c r="AI219" i="1" s="1"/>
  <c r="AD259" i="1"/>
  <c r="AG259" i="1" s="1"/>
  <c r="AH259" i="1"/>
  <c r="AI259" i="1" s="1"/>
  <c r="AD296" i="1"/>
  <c r="AG296" i="1" s="1"/>
  <c r="AH296" i="1"/>
  <c r="AI296" i="1" s="1"/>
  <c r="BC33" i="1"/>
  <c r="BC47" i="1"/>
  <c r="AF16" i="1"/>
  <c r="AH16" i="1" s="1"/>
  <c r="AI16" i="1" s="1"/>
  <c r="AF26" i="1"/>
  <c r="AH26" i="1" s="1"/>
  <c r="AI26" i="1" s="1"/>
  <c r="BD33" i="1"/>
  <c r="AJ33" i="1" s="1"/>
  <c r="AK33" i="1" s="1"/>
  <c r="AF34" i="1"/>
  <c r="BF35" i="1"/>
  <c r="AF40" i="1"/>
  <c r="BF41" i="1"/>
  <c r="AL46" i="1"/>
  <c r="AM46" i="1" s="1"/>
  <c r="BD47" i="1"/>
  <c r="AJ47" i="1" s="1"/>
  <c r="AK47" i="1" s="1"/>
  <c r="AF48" i="1"/>
  <c r="AH48" i="1" s="1"/>
  <c r="AI48" i="1" s="1"/>
  <c r="BF49" i="1"/>
  <c r="AL54" i="1"/>
  <c r="AM54" i="1" s="1"/>
  <c r="BD55" i="1"/>
  <c r="AJ55" i="1" s="1"/>
  <c r="AK55" i="1" s="1"/>
  <c r="AF56" i="1"/>
  <c r="AH56" i="1" s="1"/>
  <c r="AI56" i="1" s="1"/>
  <c r="BF57" i="1"/>
  <c r="AL62" i="1"/>
  <c r="AM62" i="1" s="1"/>
  <c r="BD63" i="1"/>
  <c r="AJ63" i="1" s="1"/>
  <c r="AK63" i="1" s="1"/>
  <c r="AF64" i="1"/>
  <c r="AH64" i="1" s="1"/>
  <c r="AI64" i="1" s="1"/>
  <c r="BF65" i="1"/>
  <c r="AL70" i="1"/>
  <c r="AM70" i="1" s="1"/>
  <c r="BD71" i="1"/>
  <c r="AJ71" i="1" s="1"/>
  <c r="AK71" i="1" s="1"/>
  <c r="AF72" i="1"/>
  <c r="AH72" i="1" s="1"/>
  <c r="AI72" i="1" s="1"/>
  <c r="BF73" i="1"/>
  <c r="AL78" i="1"/>
  <c r="AM78" i="1" s="1"/>
  <c r="BD79" i="1"/>
  <c r="AJ79" i="1" s="1"/>
  <c r="AK79" i="1" s="1"/>
  <c r="AF80" i="1"/>
  <c r="AH80" i="1" s="1"/>
  <c r="AI80" i="1" s="1"/>
  <c r="BF81" i="1"/>
  <c r="AL86" i="1"/>
  <c r="AM86" i="1" s="1"/>
  <c r="BD87" i="1"/>
  <c r="AJ87" i="1" s="1"/>
  <c r="AK87" i="1" s="1"/>
  <c r="AF88" i="1"/>
  <c r="AH88" i="1" s="1"/>
  <c r="AI88" i="1" s="1"/>
  <c r="BF89" i="1"/>
  <c r="AL94" i="1"/>
  <c r="AM94" i="1" s="1"/>
  <c r="BD95" i="1"/>
  <c r="AJ95" i="1" s="1"/>
  <c r="AK95" i="1" s="1"/>
  <c r="AF96" i="1"/>
  <c r="AH96" i="1" s="1"/>
  <c r="AI96" i="1" s="1"/>
  <c r="BF97" i="1"/>
  <c r="AL102" i="1"/>
  <c r="AM102" i="1" s="1"/>
  <c r="BD103" i="1"/>
  <c r="AJ103" i="1" s="1"/>
  <c r="AK103" i="1" s="1"/>
  <c r="AF104" i="1"/>
  <c r="AH104" i="1" s="1"/>
  <c r="AI104" i="1" s="1"/>
  <c r="BF105" i="1"/>
  <c r="AL110" i="1"/>
  <c r="AM110" i="1" s="1"/>
  <c r="BD111" i="1"/>
  <c r="AJ111" i="1" s="1"/>
  <c r="AK111" i="1" s="1"/>
  <c r="AF112" i="1"/>
  <c r="AH112" i="1" s="1"/>
  <c r="AI112" i="1" s="1"/>
  <c r="BF113" i="1"/>
  <c r="AL118" i="1"/>
  <c r="AM118" i="1" s="1"/>
  <c r="BD119" i="1"/>
  <c r="AJ119" i="1" s="1"/>
  <c r="AK119" i="1" s="1"/>
  <c r="AF120" i="1"/>
  <c r="AH120" i="1" s="1"/>
  <c r="AI120" i="1" s="1"/>
  <c r="BF121" i="1"/>
  <c r="BD128" i="1"/>
  <c r="AJ128" i="1" s="1"/>
  <c r="AK128" i="1" s="1"/>
  <c r="BC129" i="1"/>
  <c r="AD136" i="1"/>
  <c r="AG136" i="1" s="1"/>
  <c r="BF144" i="1"/>
  <c r="BD152" i="1"/>
  <c r="AJ152" i="1" s="1"/>
  <c r="AK152" i="1" s="1"/>
  <c r="AF152" i="1"/>
  <c r="AH152" i="1" s="1"/>
  <c r="AI152" i="1" s="1"/>
  <c r="AL152" i="1"/>
  <c r="AM152" i="1" s="1"/>
  <c r="AL153" i="1"/>
  <c r="AM153" i="1" s="1"/>
  <c r="AD161" i="1"/>
  <c r="AG161" i="1" s="1"/>
  <c r="AF175" i="1"/>
  <c r="AH175" i="1" s="1"/>
  <c r="AI175" i="1" s="1"/>
  <c r="AL175" i="1"/>
  <c r="AM175" i="1" s="1"/>
  <c r="BF175" i="1"/>
  <c r="BD175" i="1"/>
  <c r="AJ175" i="1" s="1"/>
  <c r="AK175" i="1" s="1"/>
  <c r="BC175" i="1"/>
  <c r="AD177" i="1"/>
  <c r="AG177" i="1" s="1"/>
  <c r="AD206" i="1"/>
  <c r="AG206" i="1" s="1"/>
  <c r="AD223" i="1"/>
  <c r="AG223" i="1" s="1"/>
  <c r="AD224" i="1"/>
  <c r="AG224" i="1" s="1"/>
  <c r="AD229" i="1"/>
  <c r="AG229" i="1" s="1"/>
  <c r="AH230" i="1"/>
  <c r="AI230" i="1" s="1"/>
  <c r="AD230" i="1"/>
  <c r="AG230" i="1" s="1"/>
  <c r="AD243" i="1"/>
  <c r="AG243" i="1" s="1"/>
  <c r="AH243" i="1"/>
  <c r="AI243" i="1" s="1"/>
  <c r="AD253" i="1"/>
  <c r="AG253" i="1" s="1"/>
  <c r="AH253" i="1"/>
  <c r="AI253" i="1" s="1"/>
  <c r="AD271" i="1"/>
  <c r="AG271" i="1" s="1"/>
  <c r="AD272" i="1"/>
  <c r="AG272" i="1" s="1"/>
  <c r="AD280" i="1"/>
  <c r="AG280" i="1" s="1"/>
  <c r="AH280" i="1"/>
  <c r="AI280" i="1" s="1"/>
  <c r="BF130" i="1"/>
  <c r="AF130" i="1"/>
  <c r="AF137" i="1"/>
  <c r="AH137" i="1" s="1"/>
  <c r="AI137" i="1" s="1"/>
  <c r="BD137" i="1"/>
  <c r="AJ137" i="1" s="1"/>
  <c r="AK137" i="1" s="1"/>
  <c r="BF138" i="1"/>
  <c r="AF138" i="1"/>
  <c r="BF146" i="1"/>
  <c r="BC146" i="1"/>
  <c r="AF146" i="1"/>
  <c r="AD185" i="1"/>
  <c r="AG185" i="1" s="1"/>
  <c r="AD247" i="1"/>
  <c r="AG247" i="1" s="1"/>
  <c r="AD248" i="1"/>
  <c r="AG248" i="1" s="1"/>
  <c r="AD275" i="1"/>
  <c r="AG275" i="1" s="1"/>
  <c r="AH275" i="1"/>
  <c r="AI275" i="1" s="1"/>
  <c r="BC123" i="1"/>
  <c r="AF124" i="1"/>
  <c r="AH124" i="1" s="1"/>
  <c r="AI124" i="1" s="1"/>
  <c r="BF128" i="1"/>
  <c r="BF129" i="1"/>
  <c r="AL131" i="1"/>
  <c r="AM131" i="1" s="1"/>
  <c r="BC135" i="1"/>
  <c r="BD136" i="1"/>
  <c r="AJ136" i="1" s="1"/>
  <c r="AK136" i="1" s="1"/>
  <c r="AL136" i="1"/>
  <c r="AM136" i="1" s="1"/>
  <c r="BF137" i="1"/>
  <c r="AL139" i="1"/>
  <c r="AM139" i="1" s="1"/>
  <c r="AL140" i="1"/>
  <c r="AM140" i="1" s="1"/>
  <c r="AL143" i="1"/>
  <c r="AM143" i="1" s="1"/>
  <c r="BD143" i="1"/>
  <c r="AJ143" i="1" s="1"/>
  <c r="AK143" i="1" s="1"/>
  <c r="AL147" i="1"/>
  <c r="AM147" i="1" s="1"/>
  <c r="BF154" i="1"/>
  <c r="BC154" i="1"/>
  <c r="AF154" i="1"/>
  <c r="AH154" i="1" s="1"/>
  <c r="AI154" i="1" s="1"/>
  <c r="AD156" i="1"/>
  <c r="AG156" i="1" s="1"/>
  <c r="AF159" i="1"/>
  <c r="AH159" i="1" s="1"/>
  <c r="AI159" i="1" s="1"/>
  <c r="AD164" i="1"/>
  <c r="AG164" i="1" s="1"/>
  <c r="AH164" i="1"/>
  <c r="AI164" i="1" s="1"/>
  <c r="AF195" i="1"/>
  <c r="BF195" i="1"/>
  <c r="AL195" i="1"/>
  <c r="AM195" i="1" s="1"/>
  <c r="BD195" i="1"/>
  <c r="AJ195" i="1" s="1"/>
  <c r="AK195" i="1" s="1"/>
  <c r="BC195" i="1"/>
  <c r="AD197" i="1"/>
  <c r="AG197" i="1" s="1"/>
  <c r="AH197" i="1"/>
  <c r="AI197" i="1" s="1"/>
  <c r="AD208" i="1"/>
  <c r="AG208" i="1" s="1"/>
  <c r="AH214" i="1"/>
  <c r="AI214" i="1" s="1"/>
  <c r="AD214" i="1"/>
  <c r="AG214" i="1" s="1"/>
  <c r="AD227" i="1"/>
  <c r="AG227" i="1" s="1"/>
  <c r="AH227" i="1"/>
  <c r="AI227" i="1" s="1"/>
  <c r="AD251" i="1"/>
  <c r="AG251" i="1" s="1"/>
  <c r="AH251" i="1"/>
  <c r="AI251" i="1" s="1"/>
  <c r="AD269" i="1"/>
  <c r="AG269" i="1" s="1"/>
  <c r="AH269" i="1"/>
  <c r="AI269" i="1" s="1"/>
  <c r="BD161" i="1"/>
  <c r="AJ161" i="1" s="1"/>
  <c r="AK161" i="1" s="1"/>
  <c r="AF162" i="1"/>
  <c r="BF163" i="1"/>
  <c r="BD169" i="1"/>
  <c r="AJ169" i="1" s="1"/>
  <c r="AK169" i="1" s="1"/>
  <c r="AF170" i="1"/>
  <c r="BF171" i="1"/>
  <c r="BD177" i="1"/>
  <c r="AJ177" i="1" s="1"/>
  <c r="AK177" i="1" s="1"/>
  <c r="AF178" i="1"/>
  <c r="BF179" i="1"/>
  <c r="BC180" i="1"/>
  <c r="AL184" i="1"/>
  <c r="AM184" i="1" s="1"/>
  <c r="BD185" i="1"/>
  <c r="AJ185" i="1" s="1"/>
  <c r="AK185" i="1" s="1"/>
  <c r="AF186" i="1"/>
  <c r="BF187" i="1"/>
  <c r="BC188" i="1"/>
  <c r="AL192" i="1"/>
  <c r="AM192" i="1" s="1"/>
  <c r="BD193" i="1"/>
  <c r="AJ193" i="1" s="1"/>
  <c r="AK193" i="1" s="1"/>
  <c r="AL199" i="1"/>
  <c r="AM199" i="1" s="1"/>
  <c r="BF199" i="1"/>
  <c r="AL207" i="1"/>
  <c r="AM207" i="1" s="1"/>
  <c r="BF207" i="1"/>
  <c r="AL215" i="1"/>
  <c r="AM215" i="1" s="1"/>
  <c r="BF215" i="1"/>
  <c r="AL223" i="1"/>
  <c r="AM223" i="1" s="1"/>
  <c r="BF223" i="1"/>
  <c r="AL231" i="1"/>
  <c r="AM231" i="1" s="1"/>
  <c r="BF231" i="1"/>
  <c r="AL239" i="1"/>
  <c r="AM239" i="1" s="1"/>
  <c r="BF239" i="1"/>
  <c r="AL247" i="1"/>
  <c r="AM247" i="1" s="1"/>
  <c r="BF247" i="1"/>
  <c r="AL255" i="1"/>
  <c r="AM255" i="1" s="1"/>
  <c r="BF255" i="1"/>
  <c r="AL263" i="1"/>
  <c r="AM263" i="1" s="1"/>
  <c r="BF263" i="1"/>
  <c r="AL271" i="1"/>
  <c r="AM271" i="1" s="1"/>
  <c r="BF271" i="1"/>
  <c r="AL279" i="1"/>
  <c r="AM279" i="1" s="1"/>
  <c r="BF279" i="1"/>
  <c r="BC283" i="1"/>
  <c r="AF284" i="1"/>
  <c r="AH284" i="1" s="1"/>
  <c r="AI284" i="1" s="1"/>
  <c r="BF285" i="1"/>
  <c r="AL285" i="1"/>
  <c r="AM285" i="1" s="1"/>
  <c r="BF318" i="1"/>
  <c r="BD318" i="1"/>
  <c r="AJ318" i="1" s="1"/>
  <c r="AK318" i="1" s="1"/>
  <c r="AF318" i="1"/>
  <c r="BF334" i="1"/>
  <c r="BD334" i="1"/>
  <c r="AJ334" i="1" s="1"/>
  <c r="AK334" i="1" s="1"/>
  <c r="AF334" i="1"/>
  <c r="AL334" i="1"/>
  <c r="AM334" i="1" s="1"/>
  <c r="AL163" i="1"/>
  <c r="AM163" i="1" s="1"/>
  <c r="AL171" i="1"/>
  <c r="AM171" i="1" s="1"/>
  <c r="AL179" i="1"/>
  <c r="AM179" i="1" s="1"/>
  <c r="AL187" i="1"/>
  <c r="AM187" i="1" s="1"/>
  <c r="AF194" i="1"/>
  <c r="BD198" i="1"/>
  <c r="AJ198" i="1" s="1"/>
  <c r="AK198" i="1" s="1"/>
  <c r="AF202" i="1"/>
  <c r="BD206" i="1"/>
  <c r="AJ206" i="1" s="1"/>
  <c r="AK206" i="1" s="1"/>
  <c r="AF210" i="1"/>
  <c r="BC211" i="1"/>
  <c r="BD214" i="1"/>
  <c r="AJ214" i="1" s="1"/>
  <c r="AK214" i="1" s="1"/>
  <c r="AF218" i="1"/>
  <c r="BC219" i="1"/>
  <c r="BD222" i="1"/>
  <c r="AJ222" i="1" s="1"/>
  <c r="AK222" i="1" s="1"/>
  <c r="AF226" i="1"/>
  <c r="BC227" i="1"/>
  <c r="BD230" i="1"/>
  <c r="AJ230" i="1" s="1"/>
  <c r="AK230" i="1" s="1"/>
  <c r="AF234" i="1"/>
  <c r="BC235" i="1"/>
  <c r="BD238" i="1"/>
  <c r="AJ238" i="1" s="1"/>
  <c r="AK238" i="1" s="1"/>
  <c r="AF242" i="1"/>
  <c r="BC243" i="1"/>
  <c r="BD246" i="1"/>
  <c r="AJ246" i="1" s="1"/>
  <c r="AK246" i="1" s="1"/>
  <c r="AF250" i="1"/>
  <c r="BC251" i="1"/>
  <c r="AF258" i="1"/>
  <c r="BC259" i="1"/>
  <c r="AF266" i="1"/>
  <c r="BC267" i="1"/>
  <c r="AF274" i="1"/>
  <c r="BC275" i="1"/>
  <c r="BC280" i="1"/>
  <c r="BD283" i="1"/>
  <c r="AJ283" i="1" s="1"/>
  <c r="AK283" i="1" s="1"/>
  <c r="BF284" i="1"/>
  <c r="AL284" i="1"/>
  <c r="AM284" i="1" s="1"/>
  <c r="AD288" i="1"/>
  <c r="AG288" i="1" s="1"/>
  <c r="AD297" i="1"/>
  <c r="AG297" i="1" s="1"/>
  <c r="AD300" i="1"/>
  <c r="AG300" i="1" s="1"/>
  <c r="AD304" i="1"/>
  <c r="AG304" i="1" s="1"/>
  <c r="AH304" i="1"/>
  <c r="AI304" i="1" s="1"/>
  <c r="BF326" i="1"/>
  <c r="BD326" i="1"/>
  <c r="AJ326" i="1" s="1"/>
  <c r="AK326" i="1" s="1"/>
  <c r="AF326" i="1"/>
  <c r="AL326" i="1"/>
  <c r="AM326" i="1" s="1"/>
  <c r="AD338" i="1"/>
  <c r="AG338" i="1" s="1"/>
  <c r="BF161" i="1"/>
  <c r="BC162" i="1"/>
  <c r="BF169" i="1"/>
  <c r="BC170" i="1"/>
  <c r="BF177" i="1"/>
  <c r="BC178" i="1"/>
  <c r="AF184" i="1"/>
  <c r="AH184" i="1" s="1"/>
  <c r="AI184" i="1" s="1"/>
  <c r="BC186" i="1"/>
  <c r="AF192" i="1"/>
  <c r="AH192" i="1" s="1"/>
  <c r="AI192" i="1" s="1"/>
  <c r="BC200" i="1"/>
  <c r="BC208" i="1"/>
  <c r="BD211" i="1"/>
  <c r="AJ211" i="1" s="1"/>
  <c r="AK211" i="1" s="1"/>
  <c r="BC216" i="1"/>
  <c r="BD219" i="1"/>
  <c r="AJ219" i="1" s="1"/>
  <c r="AK219" i="1" s="1"/>
  <c r="BC224" i="1"/>
  <c r="BD227" i="1"/>
  <c r="AJ227" i="1" s="1"/>
  <c r="AK227" i="1" s="1"/>
  <c r="BC232" i="1"/>
  <c r="BD235" i="1"/>
  <c r="AJ235" i="1" s="1"/>
  <c r="AK235" i="1" s="1"/>
  <c r="BC240" i="1"/>
  <c r="BD243" i="1"/>
  <c r="AJ243" i="1" s="1"/>
  <c r="AK243" i="1" s="1"/>
  <c r="BC248" i="1"/>
  <c r="BD251" i="1"/>
  <c r="AJ251" i="1" s="1"/>
  <c r="AK251" i="1" s="1"/>
  <c r="BC256" i="1"/>
  <c r="BD259" i="1"/>
  <c r="AJ259" i="1" s="1"/>
  <c r="AK259" i="1" s="1"/>
  <c r="BC264" i="1"/>
  <c r="BD267" i="1"/>
  <c r="AJ267" i="1" s="1"/>
  <c r="AK267" i="1" s="1"/>
  <c r="BC272" i="1"/>
  <c r="BD275" i="1"/>
  <c r="AJ275" i="1" s="1"/>
  <c r="AK275" i="1" s="1"/>
  <c r="BD280" i="1"/>
  <c r="AJ280" i="1" s="1"/>
  <c r="AK280" i="1" s="1"/>
  <c r="BD288" i="1"/>
  <c r="AJ288" i="1" s="1"/>
  <c r="AK288" i="1" s="1"/>
  <c r="BC288" i="1"/>
  <c r="AD311" i="1"/>
  <c r="AG311" i="1" s="1"/>
  <c r="AD330" i="1"/>
  <c r="AG330" i="1" s="1"/>
  <c r="AD335" i="1"/>
  <c r="AG335" i="1" s="1"/>
  <c r="BC293" i="1"/>
  <c r="BF293" i="1"/>
  <c r="AL293" i="1"/>
  <c r="AM293" i="1" s="1"/>
  <c r="AD319" i="1"/>
  <c r="AG319" i="1" s="1"/>
  <c r="AD320" i="1"/>
  <c r="AG320" i="1" s="1"/>
  <c r="AH320" i="1"/>
  <c r="AI320" i="1" s="1"/>
  <c r="BC184" i="1"/>
  <c r="BC192" i="1"/>
  <c r="AL211" i="1"/>
  <c r="AM211" i="1" s="1"/>
  <c r="BF211" i="1"/>
  <c r="AL219" i="1"/>
  <c r="AM219" i="1" s="1"/>
  <c r="BF219" i="1"/>
  <c r="AL227" i="1"/>
  <c r="AM227" i="1" s="1"/>
  <c r="BF227" i="1"/>
  <c r="AL235" i="1"/>
  <c r="AM235" i="1" s="1"/>
  <c r="BF235" i="1"/>
  <c r="AL243" i="1"/>
  <c r="AM243" i="1" s="1"/>
  <c r="BF243" i="1"/>
  <c r="AL251" i="1"/>
  <c r="AM251" i="1" s="1"/>
  <c r="BF251" i="1"/>
  <c r="AL259" i="1"/>
  <c r="AM259" i="1" s="1"/>
  <c r="BF259" i="1"/>
  <c r="AL267" i="1"/>
  <c r="AM267" i="1" s="1"/>
  <c r="BF267" i="1"/>
  <c r="AL275" i="1"/>
  <c r="AM275" i="1" s="1"/>
  <c r="BF275" i="1"/>
  <c r="BF280" i="1"/>
  <c r="BD184" i="1"/>
  <c r="AJ184" i="1" s="1"/>
  <c r="AK184" i="1" s="1"/>
  <c r="BD192" i="1"/>
  <c r="AJ192" i="1" s="1"/>
  <c r="AK192" i="1" s="1"/>
  <c r="BD194" i="1"/>
  <c r="AJ194" i="1" s="1"/>
  <c r="AK194" i="1" s="1"/>
  <c r="AL200" i="1"/>
  <c r="AM200" i="1" s="1"/>
  <c r="BF200" i="1"/>
  <c r="BD202" i="1"/>
  <c r="AJ202" i="1" s="1"/>
  <c r="AK202" i="1" s="1"/>
  <c r="AL208" i="1"/>
  <c r="AM208" i="1" s="1"/>
  <c r="BF208" i="1"/>
  <c r="BD210" i="1"/>
  <c r="AJ210" i="1" s="1"/>
  <c r="AK210" i="1" s="1"/>
  <c r="AL216" i="1"/>
  <c r="AM216" i="1" s="1"/>
  <c r="BF216" i="1"/>
  <c r="BD218" i="1"/>
  <c r="AJ218" i="1" s="1"/>
  <c r="AK218" i="1" s="1"/>
  <c r="AL224" i="1"/>
  <c r="AM224" i="1" s="1"/>
  <c r="BF224" i="1"/>
  <c r="BD226" i="1"/>
  <c r="AJ226" i="1" s="1"/>
  <c r="AK226" i="1" s="1"/>
  <c r="AL232" i="1"/>
  <c r="AM232" i="1" s="1"/>
  <c r="BF232" i="1"/>
  <c r="BD234" i="1"/>
  <c r="AJ234" i="1" s="1"/>
  <c r="AK234" i="1" s="1"/>
  <c r="AL240" i="1"/>
  <c r="AM240" i="1" s="1"/>
  <c r="BF240" i="1"/>
  <c r="BD242" i="1"/>
  <c r="AJ242" i="1" s="1"/>
  <c r="AK242" i="1" s="1"/>
  <c r="AL248" i="1"/>
  <c r="AM248" i="1" s="1"/>
  <c r="BF248" i="1"/>
  <c r="BD250" i="1"/>
  <c r="AJ250" i="1" s="1"/>
  <c r="AK250" i="1" s="1"/>
  <c r="AL256" i="1"/>
  <c r="AM256" i="1" s="1"/>
  <c r="BF256" i="1"/>
  <c r="BD258" i="1"/>
  <c r="AJ258" i="1" s="1"/>
  <c r="AK258" i="1" s="1"/>
  <c r="AL264" i="1"/>
  <c r="AM264" i="1" s="1"/>
  <c r="BF264" i="1"/>
  <c r="BD266" i="1"/>
  <c r="AJ266" i="1" s="1"/>
  <c r="AK266" i="1" s="1"/>
  <c r="AL272" i="1"/>
  <c r="AM272" i="1" s="1"/>
  <c r="BF272" i="1"/>
  <c r="BD274" i="1"/>
  <c r="AJ274" i="1" s="1"/>
  <c r="AK274" i="1" s="1"/>
  <c r="AL280" i="1"/>
  <c r="AM280" i="1" s="1"/>
  <c r="AF287" i="1"/>
  <c r="BD287" i="1"/>
  <c r="AJ287" i="1" s="1"/>
  <c r="AK287" i="1" s="1"/>
  <c r="BC292" i="1"/>
  <c r="AD294" i="1"/>
  <c r="AG294" i="1" s="1"/>
  <c r="BC295" i="1"/>
  <c r="AF303" i="1"/>
  <c r="BF303" i="1"/>
  <c r="AL303" i="1"/>
  <c r="AM303" i="1" s="1"/>
  <c r="BD303" i="1"/>
  <c r="AJ303" i="1" s="1"/>
  <c r="AK303" i="1" s="1"/>
  <c r="BC311" i="1"/>
  <c r="AF295" i="1"/>
  <c r="BF295" i="1"/>
  <c r="AL295" i="1"/>
  <c r="AM295" i="1" s="1"/>
  <c r="BD295" i="1"/>
  <c r="AJ295" i="1" s="1"/>
  <c r="AK295" i="1" s="1"/>
  <c r="BF296" i="1"/>
  <c r="AL296" i="1"/>
  <c r="AM296" i="1" s="1"/>
  <c r="BD296" i="1"/>
  <c r="AJ296" i="1" s="1"/>
  <c r="AK296" i="1" s="1"/>
  <c r="BC296" i="1"/>
  <c r="AL311" i="1"/>
  <c r="AM311" i="1" s="1"/>
  <c r="BF311" i="1"/>
  <c r="BD311" i="1"/>
  <c r="AJ311" i="1" s="1"/>
  <c r="AK311" i="1" s="1"/>
  <c r="BC319" i="1"/>
  <c r="AL194" i="1"/>
  <c r="AM194" i="1" s="1"/>
  <c r="AL202" i="1"/>
  <c r="AM202" i="1" s="1"/>
  <c r="AL210" i="1"/>
  <c r="AM210" i="1" s="1"/>
  <c r="AL218" i="1"/>
  <c r="AM218" i="1" s="1"/>
  <c r="AL226" i="1"/>
  <c r="AM226" i="1" s="1"/>
  <c r="AL234" i="1"/>
  <c r="AM234" i="1" s="1"/>
  <c r="AL242" i="1"/>
  <c r="AM242" i="1" s="1"/>
  <c r="AL250" i="1"/>
  <c r="AM250" i="1" s="1"/>
  <c r="AL258" i="1"/>
  <c r="AM258" i="1" s="1"/>
  <c r="AL266" i="1"/>
  <c r="AM266" i="1" s="1"/>
  <c r="AL274" i="1"/>
  <c r="AM274" i="1" s="1"/>
  <c r="AF292" i="1"/>
  <c r="AH292" i="1" s="1"/>
  <c r="AI292" i="1" s="1"/>
  <c r="BF292" i="1"/>
  <c r="AL292" i="1"/>
  <c r="AM292" i="1" s="1"/>
  <c r="BF310" i="1"/>
  <c r="BD310" i="1"/>
  <c r="AJ310" i="1" s="1"/>
  <c r="AK310" i="1" s="1"/>
  <c r="AF310" i="1"/>
  <c r="AL319" i="1"/>
  <c r="AM319" i="1" s="1"/>
  <c r="BF319" i="1"/>
  <c r="BD319" i="1"/>
  <c r="AJ319" i="1" s="1"/>
  <c r="AK319" i="1" s="1"/>
  <c r="BC334" i="1"/>
  <c r="AF291" i="1"/>
  <c r="AF299" i="1"/>
  <c r="AL301" i="1"/>
  <c r="AM301" i="1" s="1"/>
  <c r="BF301" i="1"/>
  <c r="BF305" i="1"/>
  <c r="AL307" i="1"/>
  <c r="AM307" i="1" s="1"/>
  <c r="AF309" i="1"/>
  <c r="BF313" i="1"/>
  <c r="AL315" i="1"/>
  <c r="AM315" i="1" s="1"/>
  <c r="AF317" i="1"/>
  <c r="BF321" i="1"/>
  <c r="AL323" i="1"/>
  <c r="AM323" i="1" s="1"/>
  <c r="AF325" i="1"/>
  <c r="BD327" i="1"/>
  <c r="AJ327" i="1" s="1"/>
  <c r="AK327" i="1" s="1"/>
  <c r="BF329" i="1"/>
  <c r="AL331" i="1"/>
  <c r="AM331" i="1" s="1"/>
  <c r="AF333" i="1"/>
  <c r="BD335" i="1"/>
  <c r="AJ335" i="1" s="1"/>
  <c r="AK335" i="1" s="1"/>
  <c r="BF337" i="1"/>
  <c r="AL339" i="1"/>
  <c r="AM339" i="1" s="1"/>
  <c r="AF341" i="1"/>
  <c r="BD343" i="1"/>
  <c r="AJ343" i="1" s="1"/>
  <c r="AK343" i="1" s="1"/>
  <c r="BF345" i="1"/>
  <c r="AL347" i="1"/>
  <c r="AM347" i="1" s="1"/>
  <c r="AF349" i="1"/>
  <c r="BD351" i="1"/>
  <c r="AJ351" i="1" s="1"/>
  <c r="AK351" i="1" s="1"/>
  <c r="AF352" i="1"/>
  <c r="AL355" i="1"/>
  <c r="AM355" i="1" s="1"/>
  <c r="BF361" i="1"/>
  <c r="BD361" i="1"/>
  <c r="AJ361" i="1" s="1"/>
  <c r="AK361" i="1" s="1"/>
  <c r="AF368" i="1"/>
  <c r="BF368" i="1"/>
  <c r="BC370" i="1"/>
  <c r="AF378" i="1"/>
  <c r="AL385" i="1"/>
  <c r="AM385" i="1" s="1"/>
  <c r="BF385" i="1"/>
  <c r="AF385" i="1"/>
  <c r="AH385" i="1" s="1"/>
  <c r="AI385" i="1" s="1"/>
  <c r="BC397" i="1"/>
  <c r="AL401" i="1"/>
  <c r="AM401" i="1" s="1"/>
  <c r="BF401" i="1"/>
  <c r="AF401" i="1"/>
  <c r="AH401" i="1" s="1"/>
  <c r="AI401" i="1" s="1"/>
  <c r="AL405" i="1"/>
  <c r="AM405" i="1" s="1"/>
  <c r="BF405" i="1"/>
  <c r="AF405" i="1"/>
  <c r="AH405" i="1" s="1"/>
  <c r="AI405" i="1" s="1"/>
  <c r="BD407" i="1"/>
  <c r="AJ407" i="1" s="1"/>
  <c r="AK407" i="1" s="1"/>
  <c r="BC407" i="1"/>
  <c r="AF407" i="1"/>
  <c r="BF407" i="1"/>
  <c r="AL342" i="1"/>
  <c r="AM342" i="1" s="1"/>
  <c r="AL350" i="1"/>
  <c r="AM350" i="1" s="1"/>
  <c r="AL363" i="1"/>
  <c r="AM363" i="1" s="1"/>
  <c r="BF363" i="1"/>
  <c r="BD367" i="1"/>
  <c r="AJ367" i="1" s="1"/>
  <c r="AK367" i="1" s="1"/>
  <c r="AF367" i="1"/>
  <c r="AH367" i="1" s="1"/>
  <c r="AI367" i="1" s="1"/>
  <c r="BD387" i="1"/>
  <c r="AJ387" i="1" s="1"/>
  <c r="AK387" i="1" s="1"/>
  <c r="BC387" i="1"/>
  <c r="AF387" i="1"/>
  <c r="BF387" i="1"/>
  <c r="AH390" i="1"/>
  <c r="AI390" i="1" s="1"/>
  <c r="AD390" i="1"/>
  <c r="AG390" i="1" s="1"/>
  <c r="BD403" i="1"/>
  <c r="AJ403" i="1" s="1"/>
  <c r="AK403" i="1" s="1"/>
  <c r="BC403" i="1"/>
  <c r="AF403" i="1"/>
  <c r="BF403" i="1"/>
  <c r="BF327" i="1"/>
  <c r="BF335" i="1"/>
  <c r="BF343" i="1"/>
  <c r="BF351" i="1"/>
  <c r="AF363" i="1"/>
  <c r="AH363" i="1" s="1"/>
  <c r="AI363" i="1" s="1"/>
  <c r="BF367" i="1"/>
  <c r="AL375" i="1"/>
  <c r="AM375" i="1" s="1"/>
  <c r="BF377" i="1"/>
  <c r="BD377" i="1"/>
  <c r="AJ377" i="1" s="1"/>
  <c r="AK377" i="1" s="1"/>
  <c r="AL397" i="1"/>
  <c r="AM397" i="1" s="1"/>
  <c r="BF397" i="1"/>
  <c r="AF397" i="1"/>
  <c r="AH397" i="1" s="1"/>
  <c r="AI397" i="1" s="1"/>
  <c r="AL300" i="1"/>
  <c r="AM300" i="1" s="1"/>
  <c r="BF300" i="1"/>
  <c r="BF306" i="1"/>
  <c r="BF314" i="1"/>
  <c r="BF322" i="1"/>
  <c r="AH328" i="1"/>
  <c r="AI328" i="1" s="1"/>
  <c r="BF330" i="1"/>
  <c r="AH336" i="1"/>
  <c r="AI336" i="1" s="1"/>
  <c r="BF338" i="1"/>
  <c r="AF342" i="1"/>
  <c r="AH344" i="1"/>
  <c r="AI344" i="1" s="1"/>
  <c r="BF346" i="1"/>
  <c r="AF350" i="1"/>
  <c r="BF352" i="1"/>
  <c r="AF354" i="1"/>
  <c r="AF360" i="1"/>
  <c r="BF360" i="1"/>
  <c r="BC362" i="1"/>
  <c r="AF370" i="1"/>
  <c r="AD376" i="1"/>
  <c r="AG376" i="1" s="1"/>
  <c r="AF377" i="1"/>
  <c r="AL379" i="1"/>
  <c r="AM379" i="1" s="1"/>
  <c r="BF379" i="1"/>
  <c r="BD383" i="1"/>
  <c r="AJ383" i="1" s="1"/>
  <c r="AK383" i="1" s="1"/>
  <c r="BC383" i="1"/>
  <c r="AF383" i="1"/>
  <c r="AH383" i="1" s="1"/>
  <c r="AI383" i="1" s="1"/>
  <c r="BF383" i="1"/>
  <c r="BD399" i="1"/>
  <c r="AJ399" i="1" s="1"/>
  <c r="AK399" i="1" s="1"/>
  <c r="BC399" i="1"/>
  <c r="AF399" i="1"/>
  <c r="AH399" i="1" s="1"/>
  <c r="AI399" i="1" s="1"/>
  <c r="BF399" i="1"/>
  <c r="AH402" i="1"/>
  <c r="AI402" i="1" s="1"/>
  <c r="AD402" i="1"/>
  <c r="AG402" i="1" s="1"/>
  <c r="AF305" i="1"/>
  <c r="AF313" i="1"/>
  <c r="AF321" i="1"/>
  <c r="AF329" i="1"/>
  <c r="AF337" i="1"/>
  <c r="AF345" i="1"/>
  <c r="AL351" i="1"/>
  <c r="AM351" i="1" s="1"/>
  <c r="BF353" i="1"/>
  <c r="BD359" i="1"/>
  <c r="AJ359" i="1" s="1"/>
  <c r="AK359" i="1" s="1"/>
  <c r="AF359" i="1"/>
  <c r="BD362" i="1"/>
  <c r="AJ362" i="1" s="1"/>
  <c r="AK362" i="1" s="1"/>
  <c r="AL368" i="1"/>
  <c r="AM368" i="1" s="1"/>
  <c r="BC371" i="1"/>
  <c r="AL378" i="1"/>
  <c r="AM378" i="1" s="1"/>
  <c r="AF379" i="1"/>
  <c r="AH379" i="1" s="1"/>
  <c r="AI379" i="1" s="1"/>
  <c r="BC389" i="1"/>
  <c r="AL393" i="1"/>
  <c r="AM393" i="1" s="1"/>
  <c r="BF393" i="1"/>
  <c r="AF393" i="1"/>
  <c r="AH393" i="1" s="1"/>
  <c r="AI393" i="1" s="1"/>
  <c r="AL306" i="1"/>
  <c r="AM306" i="1" s="1"/>
  <c r="AL314" i="1"/>
  <c r="AM314" i="1" s="1"/>
  <c r="AL322" i="1"/>
  <c r="AM322" i="1" s="1"/>
  <c r="AL330" i="1"/>
  <c r="AM330" i="1" s="1"/>
  <c r="AL338" i="1"/>
  <c r="AM338" i="1" s="1"/>
  <c r="BD342" i="1"/>
  <c r="AJ342" i="1" s="1"/>
  <c r="AK342" i="1" s="1"/>
  <c r="AL346" i="1"/>
  <c r="AM346" i="1" s="1"/>
  <c r="BD350" i="1"/>
  <c r="AJ350" i="1" s="1"/>
  <c r="AK350" i="1" s="1"/>
  <c r="AD364" i="1"/>
  <c r="AG364" i="1" s="1"/>
  <c r="AL367" i="1"/>
  <c r="AM367" i="1" s="1"/>
  <c r="BF369" i="1"/>
  <c r="BD369" i="1"/>
  <c r="AJ369" i="1" s="1"/>
  <c r="AK369" i="1" s="1"/>
  <c r="BC378" i="1"/>
  <c r="BD395" i="1"/>
  <c r="AJ395" i="1" s="1"/>
  <c r="AK395" i="1" s="1"/>
  <c r="BC395" i="1"/>
  <c r="AF395" i="1"/>
  <c r="BF395" i="1"/>
  <c r="AL371" i="1"/>
  <c r="AM371" i="1" s="1"/>
  <c r="BF371" i="1"/>
  <c r="BD375" i="1"/>
  <c r="AJ375" i="1" s="1"/>
  <c r="AK375" i="1" s="1"/>
  <c r="AF375" i="1"/>
  <c r="AH375" i="1" s="1"/>
  <c r="AI375" i="1" s="1"/>
  <c r="AL389" i="1"/>
  <c r="AM389" i="1" s="1"/>
  <c r="BF389" i="1"/>
  <c r="AF389" i="1"/>
  <c r="AH389" i="1" s="1"/>
  <c r="AI389" i="1" s="1"/>
  <c r="AL360" i="1"/>
  <c r="AM360" i="1" s="1"/>
  <c r="AD361" i="1"/>
  <c r="AG361" i="1" s="1"/>
  <c r="BC363" i="1"/>
  <c r="AF371" i="1"/>
  <c r="AH371" i="1" s="1"/>
  <c r="AI371" i="1" s="1"/>
  <c r="BF375" i="1"/>
  <c r="BD391" i="1"/>
  <c r="AJ391" i="1" s="1"/>
  <c r="AK391" i="1" s="1"/>
  <c r="BC391" i="1"/>
  <c r="AF391" i="1"/>
  <c r="BF391" i="1"/>
  <c r="AH394" i="1"/>
  <c r="AI394" i="1" s="1"/>
  <c r="AD394" i="1"/>
  <c r="AG394" i="1" s="1"/>
  <c r="AF409" i="1"/>
  <c r="AH409" i="1" s="1"/>
  <c r="AI409" i="1" s="1"/>
  <c r="AD410" i="1"/>
  <c r="AG410" i="1" s="1"/>
  <c r="BF411" i="1"/>
  <c r="AF413" i="1"/>
  <c r="AH413" i="1" s="1"/>
  <c r="AI413" i="1" s="1"/>
  <c r="BF415" i="1"/>
  <c r="BF416" i="1"/>
  <c r="BF420" i="1"/>
  <c r="AF427" i="1"/>
  <c r="AH427" i="1" s="1"/>
  <c r="AI427" i="1" s="1"/>
  <c r="BF427" i="1"/>
  <c r="AF431" i="1"/>
  <c r="AH431" i="1" s="1"/>
  <c r="AI431" i="1" s="1"/>
  <c r="BF431" i="1"/>
  <c r="AF435" i="1"/>
  <c r="AH435" i="1" s="1"/>
  <c r="AI435" i="1" s="1"/>
  <c r="BF435" i="1"/>
  <c r="AF439" i="1"/>
  <c r="AH439" i="1" s="1"/>
  <c r="AI439" i="1" s="1"/>
  <c r="BF439" i="1"/>
  <c r="AF443" i="1"/>
  <c r="AH443" i="1" s="1"/>
  <c r="AI443" i="1" s="1"/>
  <c r="BF443" i="1"/>
  <c r="AF451" i="1"/>
  <c r="BF451" i="1"/>
  <c r="BC459" i="1"/>
  <c r="BD466" i="1"/>
  <c r="AJ466" i="1" s="1"/>
  <c r="AK466" i="1" s="1"/>
  <c r="AF466" i="1"/>
  <c r="AH466" i="1" s="1"/>
  <c r="AI466" i="1" s="1"/>
  <c r="AL466" i="1"/>
  <c r="AM466" i="1" s="1"/>
  <c r="BF417" i="1"/>
  <c r="BF418" i="1"/>
  <c r="BF421" i="1"/>
  <c r="BF422" i="1"/>
  <c r="BD426" i="1"/>
  <c r="AJ426" i="1" s="1"/>
  <c r="AK426" i="1" s="1"/>
  <c r="AL426" i="1"/>
  <c r="AM426" i="1" s="1"/>
  <c r="BD430" i="1"/>
  <c r="AJ430" i="1" s="1"/>
  <c r="AK430" i="1" s="1"/>
  <c r="AL430" i="1"/>
  <c r="AM430" i="1" s="1"/>
  <c r="BD434" i="1"/>
  <c r="AJ434" i="1" s="1"/>
  <c r="AK434" i="1" s="1"/>
  <c r="AL434" i="1"/>
  <c r="AM434" i="1" s="1"/>
  <c r="BD438" i="1"/>
  <c r="AJ438" i="1" s="1"/>
  <c r="AK438" i="1" s="1"/>
  <c r="AL438" i="1"/>
  <c r="AM438" i="1" s="1"/>
  <c r="BD442" i="1"/>
  <c r="AJ442" i="1" s="1"/>
  <c r="AK442" i="1" s="1"/>
  <c r="AL442" i="1"/>
  <c r="AM442" i="1" s="1"/>
  <c r="BD446" i="1"/>
  <c r="AJ446" i="1" s="1"/>
  <c r="AK446" i="1" s="1"/>
  <c r="AL446" i="1"/>
  <c r="AM446" i="1" s="1"/>
  <c r="BC450" i="1"/>
  <c r="AF455" i="1"/>
  <c r="BF455" i="1"/>
  <c r="AF463" i="1"/>
  <c r="AL463" i="1"/>
  <c r="AM463" i="1" s="1"/>
  <c r="BF463" i="1"/>
  <c r="BF466" i="1"/>
  <c r="AL411" i="1"/>
  <c r="AM411" i="1" s="1"/>
  <c r="AD448" i="1"/>
  <c r="AG448" i="1" s="1"/>
  <c r="AL448" i="1"/>
  <c r="AM448" i="1" s="1"/>
  <c r="BD448" i="1"/>
  <c r="AJ448" i="1" s="1"/>
  <c r="AK448" i="1" s="1"/>
  <c r="BD450" i="1"/>
  <c r="AJ450" i="1" s="1"/>
  <c r="AK450" i="1" s="1"/>
  <c r="AL450" i="1"/>
  <c r="AM450" i="1" s="1"/>
  <c r="BC454" i="1"/>
  <c r="AF459" i="1"/>
  <c r="BF459" i="1"/>
  <c r="AL464" i="1"/>
  <c r="AM464" i="1" s="1"/>
  <c r="BF464" i="1"/>
  <c r="BD464" i="1"/>
  <c r="AJ464" i="1" s="1"/>
  <c r="AK464" i="1" s="1"/>
  <c r="BC470" i="1"/>
  <c r="AL416" i="1"/>
  <c r="AM416" i="1" s="1"/>
  <c r="AL420" i="1"/>
  <c r="AM420" i="1" s="1"/>
  <c r="AL452" i="1"/>
  <c r="AM452" i="1" s="1"/>
  <c r="BD452" i="1"/>
  <c r="AJ452" i="1" s="1"/>
  <c r="AK452" i="1" s="1"/>
  <c r="BD454" i="1"/>
  <c r="AJ454" i="1" s="1"/>
  <c r="AK454" i="1" s="1"/>
  <c r="AL454" i="1"/>
  <c r="AM454" i="1" s="1"/>
  <c r="BD470" i="1"/>
  <c r="AJ470" i="1" s="1"/>
  <c r="AK470" i="1" s="1"/>
  <c r="AF470" i="1"/>
  <c r="AH470" i="1" s="1"/>
  <c r="AI470" i="1" s="1"/>
  <c r="AL470" i="1"/>
  <c r="AM470" i="1" s="1"/>
  <c r="AL357" i="1"/>
  <c r="AM357" i="1" s="1"/>
  <c r="BD386" i="1"/>
  <c r="AJ386" i="1" s="1"/>
  <c r="AK386" i="1" s="1"/>
  <c r="BD390" i="1"/>
  <c r="AJ390" i="1" s="1"/>
  <c r="AK390" i="1" s="1"/>
  <c r="BD394" i="1"/>
  <c r="AJ394" i="1" s="1"/>
  <c r="AK394" i="1" s="1"/>
  <c r="BD398" i="1"/>
  <c r="AJ398" i="1" s="1"/>
  <c r="AK398" i="1" s="1"/>
  <c r="BD402" i="1"/>
  <c r="AJ402" i="1" s="1"/>
  <c r="AK402" i="1" s="1"/>
  <c r="BD406" i="1"/>
  <c r="AJ406" i="1" s="1"/>
  <c r="AK406" i="1" s="1"/>
  <c r="BF409" i="1"/>
  <c r="BD410" i="1"/>
  <c r="AJ410" i="1" s="1"/>
  <c r="AK410" i="1" s="1"/>
  <c r="AF411" i="1"/>
  <c r="BF413" i="1"/>
  <c r="BD414" i="1"/>
  <c r="AJ414" i="1" s="1"/>
  <c r="AK414" i="1" s="1"/>
  <c r="AF415" i="1"/>
  <c r="BF425" i="1"/>
  <c r="AF425" i="1"/>
  <c r="AH425" i="1" s="1"/>
  <c r="AI425" i="1" s="1"/>
  <c r="BF429" i="1"/>
  <c r="AF429" i="1"/>
  <c r="AH429" i="1" s="1"/>
  <c r="AI429" i="1" s="1"/>
  <c r="BF433" i="1"/>
  <c r="AF433" i="1"/>
  <c r="AH433" i="1" s="1"/>
  <c r="AI433" i="1" s="1"/>
  <c r="BF437" i="1"/>
  <c r="AF437" i="1"/>
  <c r="AH437" i="1" s="1"/>
  <c r="AI437" i="1" s="1"/>
  <c r="AD440" i="1"/>
  <c r="AG440" i="1" s="1"/>
  <c r="BF441" i="1"/>
  <c r="AF441" i="1"/>
  <c r="AH441" i="1" s="1"/>
  <c r="AI441" i="1" s="1"/>
  <c r="AD444" i="1"/>
  <c r="AG444" i="1" s="1"/>
  <c r="BF445" i="1"/>
  <c r="AF445" i="1"/>
  <c r="AH445" i="1" s="1"/>
  <c r="AI445" i="1" s="1"/>
  <c r="AF450" i="1"/>
  <c r="AH450" i="1" s="1"/>
  <c r="AI450" i="1" s="1"/>
  <c r="AL451" i="1"/>
  <c r="AM451" i="1" s="1"/>
  <c r="AF452" i="1"/>
  <c r="AH452" i="1" s="1"/>
  <c r="AI452" i="1" s="1"/>
  <c r="BF452" i="1"/>
  <c r="BF454" i="1"/>
  <c r="AD456" i="1"/>
  <c r="AG456" i="1" s="1"/>
  <c r="AL456" i="1"/>
  <c r="AM456" i="1" s="1"/>
  <c r="BD456" i="1"/>
  <c r="AJ456" i="1" s="1"/>
  <c r="AK456" i="1" s="1"/>
  <c r="BD458" i="1"/>
  <c r="AJ458" i="1" s="1"/>
  <c r="AK458" i="1" s="1"/>
  <c r="AL458" i="1"/>
  <c r="AM458" i="1" s="1"/>
  <c r="BC462" i="1"/>
  <c r="AF464" i="1"/>
  <c r="AH464" i="1" s="1"/>
  <c r="AI464" i="1" s="1"/>
  <c r="AF467" i="1"/>
  <c r="AL467" i="1"/>
  <c r="AM467" i="1" s="1"/>
  <c r="BF467" i="1"/>
  <c r="BF470" i="1"/>
  <c r="BC472" i="1"/>
  <c r="BC478" i="1"/>
  <c r="BC411" i="1"/>
  <c r="BC415" i="1"/>
  <c r="AL424" i="1"/>
  <c r="AM424" i="1" s="1"/>
  <c r="BD424" i="1"/>
  <c r="AJ424" i="1" s="1"/>
  <c r="AK424" i="1" s="1"/>
  <c r="AL428" i="1"/>
  <c r="AM428" i="1" s="1"/>
  <c r="BD428" i="1"/>
  <c r="AJ428" i="1" s="1"/>
  <c r="AK428" i="1" s="1"/>
  <c r="AL432" i="1"/>
  <c r="AM432" i="1" s="1"/>
  <c r="BD432" i="1"/>
  <c r="AJ432" i="1" s="1"/>
  <c r="AK432" i="1" s="1"/>
  <c r="AL436" i="1"/>
  <c r="AM436" i="1" s="1"/>
  <c r="BD436" i="1"/>
  <c r="AJ436" i="1" s="1"/>
  <c r="AK436" i="1" s="1"/>
  <c r="AL440" i="1"/>
  <c r="AM440" i="1" s="1"/>
  <c r="BD440" i="1"/>
  <c r="AJ440" i="1" s="1"/>
  <c r="AK440" i="1" s="1"/>
  <c r="AL444" i="1"/>
  <c r="AM444" i="1" s="1"/>
  <c r="BD444" i="1"/>
  <c r="AJ444" i="1" s="1"/>
  <c r="AK444" i="1" s="1"/>
  <c r="BC447" i="1"/>
  <c r="AF454" i="1"/>
  <c r="AH454" i="1" s="1"/>
  <c r="AI454" i="1" s="1"/>
  <c r="AD458" i="1"/>
  <c r="AG458" i="1" s="1"/>
  <c r="AL460" i="1"/>
  <c r="AM460" i="1" s="1"/>
  <c r="BD460" i="1"/>
  <c r="AJ460" i="1" s="1"/>
  <c r="AK460" i="1" s="1"/>
  <c r="BD462" i="1"/>
  <c r="AJ462" i="1" s="1"/>
  <c r="AK462" i="1" s="1"/>
  <c r="AL462" i="1"/>
  <c r="AM462" i="1" s="1"/>
  <c r="AL468" i="1"/>
  <c r="AM468" i="1" s="1"/>
  <c r="BF468" i="1"/>
  <c r="BD468" i="1"/>
  <c r="AJ468" i="1" s="1"/>
  <c r="AK468" i="1" s="1"/>
  <c r="AL472" i="1"/>
  <c r="AM472" i="1" s="1"/>
  <c r="BF472" i="1"/>
  <c r="BD472" i="1"/>
  <c r="AJ472" i="1" s="1"/>
  <c r="AK472" i="1" s="1"/>
  <c r="BD478" i="1"/>
  <c r="AJ478" i="1" s="1"/>
  <c r="AK478" i="1" s="1"/>
  <c r="AF478" i="1"/>
  <c r="AH478" i="1" s="1"/>
  <c r="AI478" i="1" s="1"/>
  <c r="AL478" i="1"/>
  <c r="AM478" i="1" s="1"/>
  <c r="BD490" i="1"/>
  <c r="AJ490" i="1" s="1"/>
  <c r="AK490" i="1" s="1"/>
  <c r="BC490" i="1"/>
  <c r="AF490" i="1"/>
  <c r="AH490" i="1" s="1"/>
  <c r="AI490" i="1" s="1"/>
  <c r="AL490" i="1"/>
  <c r="AM490" i="1" s="1"/>
  <c r="BF490" i="1"/>
  <c r="AF416" i="1"/>
  <c r="AH416" i="1" s="1"/>
  <c r="AI416" i="1" s="1"/>
  <c r="BC416" i="1"/>
  <c r="BC417" i="1"/>
  <c r="AF418" i="1"/>
  <c r="AH418" i="1" s="1"/>
  <c r="AI418" i="1" s="1"/>
  <c r="BC418" i="1"/>
  <c r="AF419" i="1"/>
  <c r="AH419" i="1" s="1"/>
  <c r="AI419" i="1" s="1"/>
  <c r="BC419" i="1"/>
  <c r="AF420" i="1"/>
  <c r="AH420" i="1" s="1"/>
  <c r="AI420" i="1" s="1"/>
  <c r="BC420" i="1"/>
  <c r="BC421" i="1"/>
  <c r="AF422" i="1"/>
  <c r="AH422" i="1" s="1"/>
  <c r="AI422" i="1" s="1"/>
  <c r="BC422" i="1"/>
  <c r="AF423" i="1"/>
  <c r="BC423" i="1"/>
  <c r="BC427" i="1"/>
  <c r="BC431" i="1"/>
  <c r="BC435" i="1"/>
  <c r="BC439" i="1"/>
  <c r="BC443" i="1"/>
  <c r="BC451" i="1"/>
  <c r="AL459" i="1"/>
  <c r="AM459" i="1" s="1"/>
  <c r="AD462" i="1"/>
  <c r="AG462" i="1" s="1"/>
  <c r="AD468" i="1"/>
  <c r="AG468" i="1" s="1"/>
  <c r="BC474" i="1"/>
  <c r="AF447" i="1"/>
  <c r="BF447" i="1"/>
  <c r="BD474" i="1"/>
  <c r="AJ474" i="1" s="1"/>
  <c r="AK474" i="1" s="1"/>
  <c r="AF474" i="1"/>
  <c r="AH474" i="1" s="1"/>
  <c r="AI474" i="1" s="1"/>
  <c r="AL474" i="1"/>
  <c r="AM474" i="1" s="1"/>
  <c r="BD494" i="1"/>
  <c r="AJ494" i="1" s="1"/>
  <c r="AK494" i="1" s="1"/>
  <c r="BC494" i="1"/>
  <c r="AF494" i="1"/>
  <c r="AH494" i="1" s="1"/>
  <c r="AI494" i="1" s="1"/>
  <c r="AL494" i="1"/>
  <c r="AM494" i="1" s="1"/>
  <c r="BF494" i="1"/>
  <c r="AD500" i="1"/>
  <c r="AG500" i="1" s="1"/>
  <c r="AH503" i="1"/>
  <c r="AI503" i="1" s="1"/>
  <c r="AD504" i="1"/>
  <c r="AG504" i="1" s="1"/>
  <c r="AD508" i="1"/>
  <c r="AG508" i="1" s="1"/>
  <c r="AD520" i="1"/>
  <c r="AG520" i="1" s="1"/>
  <c r="AH520" i="1"/>
  <c r="AI520" i="1" s="1"/>
  <c r="AD536" i="1"/>
  <c r="AG536" i="1" s="1"/>
  <c r="AH536" i="1"/>
  <c r="AI536" i="1" s="1"/>
  <c r="AD552" i="1"/>
  <c r="AG552" i="1" s="1"/>
  <c r="AH552" i="1"/>
  <c r="AI552" i="1" s="1"/>
  <c r="AF449" i="1"/>
  <c r="AH449" i="1" s="1"/>
  <c r="AI449" i="1" s="1"/>
  <c r="AF453" i="1"/>
  <c r="AH453" i="1" s="1"/>
  <c r="AI453" i="1" s="1"/>
  <c r="AF457" i="1"/>
  <c r="AF461" i="1"/>
  <c r="BF471" i="1"/>
  <c r="BF475" i="1"/>
  <c r="BD476" i="1"/>
  <c r="AJ476" i="1" s="1"/>
  <c r="AK476" i="1" s="1"/>
  <c r="BF479" i="1"/>
  <c r="BD480" i="1"/>
  <c r="AJ480" i="1" s="1"/>
  <c r="AK480" i="1" s="1"/>
  <c r="AL482" i="1"/>
  <c r="AM482" i="1" s="1"/>
  <c r="BF483" i="1"/>
  <c r="BD484" i="1"/>
  <c r="AJ484" i="1" s="1"/>
  <c r="AK484" i="1" s="1"/>
  <c r="AL486" i="1"/>
  <c r="AM486" i="1" s="1"/>
  <c r="BF487" i="1"/>
  <c r="BF488" i="1"/>
  <c r="BF491" i="1"/>
  <c r="BF492" i="1"/>
  <c r="BF568" i="1"/>
  <c r="AF568" i="1"/>
  <c r="AH568" i="1" s="1"/>
  <c r="AI568" i="1" s="1"/>
  <c r="BD568" i="1"/>
  <c r="AJ568" i="1" s="1"/>
  <c r="AK568" i="1" s="1"/>
  <c r="BC568" i="1"/>
  <c r="AL568" i="1"/>
  <c r="AM568" i="1" s="1"/>
  <c r="BF572" i="1"/>
  <c r="AF572" i="1"/>
  <c r="AH572" i="1" s="1"/>
  <c r="AI572" i="1" s="1"/>
  <c r="BD572" i="1"/>
  <c r="AJ572" i="1" s="1"/>
  <c r="AK572" i="1" s="1"/>
  <c r="BC572" i="1"/>
  <c r="AL572" i="1"/>
  <c r="AM572" i="1" s="1"/>
  <c r="BF576" i="1"/>
  <c r="AF576" i="1"/>
  <c r="AH576" i="1" s="1"/>
  <c r="AI576" i="1" s="1"/>
  <c r="BD576" i="1"/>
  <c r="AJ576" i="1" s="1"/>
  <c r="AK576" i="1" s="1"/>
  <c r="BC576" i="1"/>
  <c r="AL576" i="1"/>
  <c r="AM576" i="1" s="1"/>
  <c r="BC502" i="1"/>
  <c r="AD524" i="1"/>
  <c r="AG524" i="1" s="1"/>
  <c r="AD540" i="1"/>
  <c r="AG540" i="1" s="1"/>
  <c r="AH540" i="1"/>
  <c r="AI540" i="1" s="1"/>
  <c r="AD556" i="1"/>
  <c r="AG556" i="1" s="1"/>
  <c r="AH556" i="1"/>
  <c r="AI556" i="1" s="1"/>
  <c r="AL592" i="1"/>
  <c r="AM592" i="1" s="1"/>
  <c r="BF592" i="1"/>
  <c r="BC592" i="1"/>
  <c r="AF592" i="1"/>
  <c r="AH592" i="1" s="1"/>
  <c r="AI592" i="1" s="1"/>
  <c r="BD592" i="1"/>
  <c r="AJ592" i="1" s="1"/>
  <c r="AK592" i="1" s="1"/>
  <c r="BF605" i="1"/>
  <c r="BD605" i="1"/>
  <c r="AJ605" i="1" s="1"/>
  <c r="AK605" i="1" s="1"/>
  <c r="AL605" i="1"/>
  <c r="AM605" i="1" s="1"/>
  <c r="AF605" i="1"/>
  <c r="AL471" i="1"/>
  <c r="AM471" i="1" s="1"/>
  <c r="AL475" i="1"/>
  <c r="AM475" i="1" s="1"/>
  <c r="BF476" i="1"/>
  <c r="AL479" i="1"/>
  <c r="AM479" i="1" s="1"/>
  <c r="BF480" i="1"/>
  <c r="AF482" i="1"/>
  <c r="AH482" i="1" s="1"/>
  <c r="AI482" i="1" s="1"/>
  <c r="AL483" i="1"/>
  <c r="AM483" i="1" s="1"/>
  <c r="AF486" i="1"/>
  <c r="AH486" i="1" s="1"/>
  <c r="AI486" i="1" s="1"/>
  <c r="AL487" i="1"/>
  <c r="AM487" i="1" s="1"/>
  <c r="BD502" i="1"/>
  <c r="AJ502" i="1" s="1"/>
  <c r="AK502" i="1" s="1"/>
  <c r="AF502" i="1"/>
  <c r="AD498" i="1"/>
  <c r="AG498" i="1" s="1"/>
  <c r="BF502" i="1"/>
  <c r="AD528" i="1"/>
  <c r="AG528" i="1" s="1"/>
  <c r="AH528" i="1"/>
  <c r="AI528" i="1" s="1"/>
  <c r="AD560" i="1"/>
  <c r="AG560" i="1" s="1"/>
  <c r="AH560" i="1"/>
  <c r="AI560" i="1" s="1"/>
  <c r="AH565" i="1"/>
  <c r="AI565" i="1" s="1"/>
  <c r="AD565" i="1"/>
  <c r="AG565" i="1" s="1"/>
  <c r="AD488" i="1"/>
  <c r="AG488" i="1" s="1"/>
  <c r="AD492" i="1"/>
  <c r="AG492" i="1" s="1"/>
  <c r="AD496" i="1"/>
  <c r="AG496" i="1" s="1"/>
  <c r="AH516" i="1"/>
  <c r="AI516" i="1" s="1"/>
  <c r="AD532" i="1"/>
  <c r="AG532" i="1" s="1"/>
  <c r="AH532" i="1"/>
  <c r="AI532" i="1" s="1"/>
  <c r="AH548" i="1"/>
  <c r="AI548" i="1" s="1"/>
  <c r="BD564" i="1"/>
  <c r="AJ564" i="1" s="1"/>
  <c r="AK564" i="1" s="1"/>
  <c r="AH566" i="1"/>
  <c r="AI566" i="1" s="1"/>
  <c r="BD566" i="1"/>
  <c r="AJ566" i="1" s="1"/>
  <c r="AK566" i="1" s="1"/>
  <c r="AL567" i="1"/>
  <c r="AM567" i="1" s="1"/>
  <c r="BD567" i="1"/>
  <c r="AJ567" i="1" s="1"/>
  <c r="AK567" i="1" s="1"/>
  <c r="AL571" i="1"/>
  <c r="AM571" i="1" s="1"/>
  <c r="BD571" i="1"/>
  <c r="AJ571" i="1" s="1"/>
  <c r="AK571" i="1" s="1"/>
  <c r="AL575" i="1"/>
  <c r="AM575" i="1" s="1"/>
  <c r="BD575" i="1"/>
  <c r="AJ575" i="1" s="1"/>
  <c r="AK575" i="1" s="1"/>
  <c r="AL579" i="1"/>
  <c r="AM579" i="1" s="1"/>
  <c r="BD579" i="1"/>
  <c r="AJ579" i="1" s="1"/>
  <c r="AK579" i="1" s="1"/>
  <c r="BF589" i="1"/>
  <c r="BD589" i="1"/>
  <c r="AJ589" i="1" s="1"/>
  <c r="AK589" i="1" s="1"/>
  <c r="AL589" i="1"/>
  <c r="AM589" i="1" s="1"/>
  <c r="AL596" i="1"/>
  <c r="AM596" i="1" s="1"/>
  <c r="BF596" i="1"/>
  <c r="BC596" i="1"/>
  <c r="AF596" i="1"/>
  <c r="AH596" i="1" s="1"/>
  <c r="AI596" i="1" s="1"/>
  <c r="AH609" i="1"/>
  <c r="AI609" i="1" s="1"/>
  <c r="AD609" i="1"/>
  <c r="AG609" i="1" s="1"/>
  <c r="BF581" i="1"/>
  <c r="BD581" i="1"/>
  <c r="AJ581" i="1" s="1"/>
  <c r="AK581" i="1" s="1"/>
  <c r="AL581" i="1"/>
  <c r="AM581" i="1" s="1"/>
  <c r="AF583" i="1"/>
  <c r="AH583" i="1" s="1"/>
  <c r="AI583" i="1" s="1"/>
  <c r="AL583" i="1"/>
  <c r="AM583" i="1" s="1"/>
  <c r="BD583" i="1"/>
  <c r="AJ583" i="1" s="1"/>
  <c r="AK583" i="1" s="1"/>
  <c r="BF585" i="1"/>
  <c r="BD585" i="1"/>
  <c r="AJ585" i="1" s="1"/>
  <c r="AK585" i="1" s="1"/>
  <c r="AL585" i="1"/>
  <c r="AM585" i="1" s="1"/>
  <c r="AF587" i="1"/>
  <c r="AH587" i="1" s="1"/>
  <c r="AI587" i="1" s="1"/>
  <c r="AL587" i="1"/>
  <c r="AM587" i="1" s="1"/>
  <c r="BD587" i="1"/>
  <c r="AJ587" i="1" s="1"/>
  <c r="AK587" i="1" s="1"/>
  <c r="BF593" i="1"/>
  <c r="BD593" i="1"/>
  <c r="AJ593" i="1" s="1"/>
  <c r="AK593" i="1" s="1"/>
  <c r="AL593" i="1"/>
  <c r="AM593" i="1" s="1"/>
  <c r="BD606" i="1"/>
  <c r="AJ606" i="1" s="1"/>
  <c r="AK606" i="1" s="1"/>
  <c r="AF606" i="1"/>
  <c r="BF606" i="1"/>
  <c r="AL612" i="1"/>
  <c r="AM612" i="1" s="1"/>
  <c r="BF612" i="1"/>
  <c r="AF612" i="1"/>
  <c r="AH612" i="1" s="1"/>
  <c r="AI612" i="1" s="1"/>
  <c r="AD650" i="1"/>
  <c r="AG650" i="1" s="1"/>
  <c r="AH650" i="1"/>
  <c r="AI650" i="1" s="1"/>
  <c r="AL662" i="1"/>
  <c r="AM662" i="1" s="1"/>
  <c r="BD662" i="1"/>
  <c r="AJ662" i="1" s="1"/>
  <c r="AK662" i="1" s="1"/>
  <c r="AF662" i="1"/>
  <c r="BF662" i="1"/>
  <c r="AH679" i="1"/>
  <c r="AI679" i="1" s="1"/>
  <c r="AD679" i="1"/>
  <c r="AG679" i="1" s="1"/>
  <c r="BF566" i="1"/>
  <c r="AF581" i="1"/>
  <c r="AH581" i="1" s="1"/>
  <c r="AI581" i="1" s="1"/>
  <c r="BF583" i="1"/>
  <c r="AF585" i="1"/>
  <c r="AH585" i="1" s="1"/>
  <c r="AI585" i="1" s="1"/>
  <c r="BF587" i="1"/>
  <c r="BD590" i="1"/>
  <c r="AJ590" i="1" s="1"/>
  <c r="AK590" i="1" s="1"/>
  <c r="AF590" i="1"/>
  <c r="AH590" i="1" s="1"/>
  <c r="AI590" i="1" s="1"/>
  <c r="BF590" i="1"/>
  <c r="AD593" i="1"/>
  <c r="AG593" i="1" s="1"/>
  <c r="BF597" i="1"/>
  <c r="BD597" i="1"/>
  <c r="AJ597" i="1" s="1"/>
  <c r="AK597" i="1" s="1"/>
  <c r="AL597" i="1"/>
  <c r="AM597" i="1" s="1"/>
  <c r="AL600" i="1"/>
  <c r="AM600" i="1" s="1"/>
  <c r="BF600" i="1"/>
  <c r="BC600" i="1"/>
  <c r="AF600" i="1"/>
  <c r="AH600" i="1" s="1"/>
  <c r="AI600" i="1" s="1"/>
  <c r="AF506" i="1"/>
  <c r="AF570" i="1"/>
  <c r="AH570" i="1" s="1"/>
  <c r="AI570" i="1" s="1"/>
  <c r="BF570" i="1"/>
  <c r="AF574" i="1"/>
  <c r="AH574" i="1" s="1"/>
  <c r="AI574" i="1" s="1"/>
  <c r="BF574" i="1"/>
  <c r="AF578" i="1"/>
  <c r="AH578" i="1" s="1"/>
  <c r="AI578" i="1" s="1"/>
  <c r="BF578" i="1"/>
  <c r="BD594" i="1"/>
  <c r="AJ594" i="1" s="1"/>
  <c r="AK594" i="1" s="1"/>
  <c r="AF594" i="1"/>
  <c r="BF594" i="1"/>
  <c r="AL564" i="1"/>
  <c r="AM564" i="1" s="1"/>
  <c r="AL565" i="1"/>
  <c r="AM565" i="1" s="1"/>
  <c r="AL566" i="1"/>
  <c r="AM566" i="1" s="1"/>
  <c r="BD569" i="1"/>
  <c r="AJ569" i="1" s="1"/>
  <c r="AK569" i="1" s="1"/>
  <c r="AL569" i="1"/>
  <c r="AM569" i="1" s="1"/>
  <c r="BD573" i="1"/>
  <c r="AJ573" i="1" s="1"/>
  <c r="AK573" i="1" s="1"/>
  <c r="AL573" i="1"/>
  <c r="AM573" i="1" s="1"/>
  <c r="BD577" i="1"/>
  <c r="AJ577" i="1" s="1"/>
  <c r="AK577" i="1" s="1"/>
  <c r="AL577" i="1"/>
  <c r="AM577" i="1" s="1"/>
  <c r="AF597" i="1"/>
  <c r="AH597" i="1" s="1"/>
  <c r="AI597" i="1" s="1"/>
  <c r="BD598" i="1"/>
  <c r="AJ598" i="1" s="1"/>
  <c r="AK598" i="1" s="1"/>
  <c r="AF598" i="1"/>
  <c r="AH598" i="1" s="1"/>
  <c r="AI598" i="1" s="1"/>
  <c r="BF598" i="1"/>
  <c r="BF601" i="1"/>
  <c r="BD601" i="1"/>
  <c r="AJ601" i="1" s="1"/>
  <c r="AK601" i="1" s="1"/>
  <c r="AL601" i="1"/>
  <c r="AM601" i="1" s="1"/>
  <c r="BD582" i="1"/>
  <c r="AJ582" i="1" s="1"/>
  <c r="AK582" i="1" s="1"/>
  <c r="AF582" i="1"/>
  <c r="AH582" i="1" s="1"/>
  <c r="AI582" i="1" s="1"/>
  <c r="BF582" i="1"/>
  <c r="BD586" i="1"/>
  <c r="AJ586" i="1" s="1"/>
  <c r="AK586" i="1" s="1"/>
  <c r="AF586" i="1"/>
  <c r="AH586" i="1" s="1"/>
  <c r="AI586" i="1" s="1"/>
  <c r="BF586" i="1"/>
  <c r="AL604" i="1"/>
  <c r="AM604" i="1" s="1"/>
  <c r="BF604" i="1"/>
  <c r="AF604" i="1"/>
  <c r="AH604" i="1" s="1"/>
  <c r="AI604" i="1" s="1"/>
  <c r="AL606" i="1"/>
  <c r="AM606" i="1" s="1"/>
  <c r="AL608" i="1"/>
  <c r="AM608" i="1" s="1"/>
  <c r="BF608" i="1"/>
  <c r="AF608" i="1"/>
  <c r="AH608" i="1" s="1"/>
  <c r="AI608" i="1" s="1"/>
  <c r="BD610" i="1"/>
  <c r="AJ610" i="1" s="1"/>
  <c r="AK610" i="1" s="1"/>
  <c r="BC610" i="1"/>
  <c r="AF610" i="1"/>
  <c r="BF610" i="1"/>
  <c r="AL570" i="1"/>
  <c r="AM570" i="1" s="1"/>
  <c r="AL574" i="1"/>
  <c r="AM574" i="1" s="1"/>
  <c r="AL578" i="1"/>
  <c r="AM578" i="1" s="1"/>
  <c r="AL580" i="1"/>
  <c r="AM580" i="1" s="1"/>
  <c r="BF580" i="1"/>
  <c r="AF580" i="1"/>
  <c r="AH580" i="1" s="1"/>
  <c r="AI580" i="1" s="1"/>
  <c r="AL584" i="1"/>
  <c r="AM584" i="1" s="1"/>
  <c r="BF584" i="1"/>
  <c r="AF584" i="1"/>
  <c r="AH584" i="1" s="1"/>
  <c r="AI584" i="1" s="1"/>
  <c r="AL588" i="1"/>
  <c r="AM588" i="1" s="1"/>
  <c r="BF588" i="1"/>
  <c r="AF588" i="1"/>
  <c r="AH588" i="1" s="1"/>
  <c r="AI588" i="1" s="1"/>
  <c r="AL590" i="1"/>
  <c r="AM590" i="1" s="1"/>
  <c r="AF601" i="1"/>
  <c r="AH601" i="1" s="1"/>
  <c r="AI601" i="1" s="1"/>
  <c r="BD602" i="1"/>
  <c r="AJ602" i="1" s="1"/>
  <c r="AK602" i="1" s="1"/>
  <c r="AF602" i="1"/>
  <c r="AH602" i="1" s="1"/>
  <c r="AI602" i="1" s="1"/>
  <c r="BF602" i="1"/>
  <c r="BD591" i="1"/>
  <c r="AJ591" i="1" s="1"/>
  <c r="AK591" i="1" s="1"/>
  <c r="BD595" i="1"/>
  <c r="AJ595" i="1" s="1"/>
  <c r="AK595" i="1" s="1"/>
  <c r="BD599" i="1"/>
  <c r="AJ599" i="1" s="1"/>
  <c r="AK599" i="1" s="1"/>
  <c r="AL609" i="1"/>
  <c r="AM609" i="1" s="1"/>
  <c r="AL613" i="1"/>
  <c r="AM613" i="1" s="1"/>
  <c r="AL615" i="1"/>
  <c r="AM615" i="1" s="1"/>
  <c r="AL617" i="1"/>
  <c r="AM617" i="1" s="1"/>
  <c r="AL619" i="1"/>
  <c r="AM619" i="1" s="1"/>
  <c r="AL621" i="1"/>
  <c r="AM621" i="1" s="1"/>
  <c r="AL623" i="1"/>
  <c r="AM623" i="1" s="1"/>
  <c r="AL625" i="1"/>
  <c r="AM625" i="1" s="1"/>
  <c r="AL627" i="1"/>
  <c r="AM627" i="1" s="1"/>
  <c r="AL629" i="1"/>
  <c r="AM629" i="1" s="1"/>
  <c r="AD639" i="1"/>
  <c r="AG639" i="1" s="1"/>
  <c r="BC639" i="1"/>
  <c r="AF642" i="1"/>
  <c r="AL658" i="1"/>
  <c r="AM658" i="1" s="1"/>
  <c r="BD658" i="1"/>
  <c r="AJ658" i="1" s="1"/>
  <c r="AK658" i="1" s="1"/>
  <c r="AD674" i="1"/>
  <c r="AG674" i="1" s="1"/>
  <c r="AH674" i="1"/>
  <c r="AI674" i="1" s="1"/>
  <c r="AF636" i="1"/>
  <c r="AH636" i="1" s="1"/>
  <c r="AI636" i="1" s="1"/>
  <c r="BD636" i="1"/>
  <c r="AJ636" i="1" s="1"/>
  <c r="AK636" i="1" s="1"/>
  <c r="BD639" i="1"/>
  <c r="AJ639" i="1" s="1"/>
  <c r="AK639" i="1" s="1"/>
  <c r="BF646" i="1"/>
  <c r="AD652" i="1"/>
  <c r="AG652" i="1" s="1"/>
  <c r="BC654" i="1"/>
  <c r="BF658" i="1"/>
  <c r="AL654" i="1"/>
  <c r="AM654" i="1" s="1"/>
  <c r="BD654" i="1"/>
  <c r="AJ654" i="1" s="1"/>
  <c r="AK654" i="1" s="1"/>
  <c r="AD666" i="1"/>
  <c r="AG666" i="1" s="1"/>
  <c r="AH666" i="1"/>
  <c r="AI666" i="1" s="1"/>
  <c r="BF636" i="1"/>
  <c r="BF639" i="1"/>
  <c r="AD678" i="1"/>
  <c r="AG678" i="1" s="1"/>
  <c r="AH678" i="1"/>
  <c r="AI678" i="1" s="1"/>
  <c r="AL591" i="1"/>
  <c r="AM591" i="1" s="1"/>
  <c r="AL595" i="1"/>
  <c r="AM595" i="1" s="1"/>
  <c r="BD609" i="1"/>
  <c r="AJ609" i="1" s="1"/>
  <c r="AK609" i="1" s="1"/>
  <c r="BD613" i="1"/>
  <c r="AJ613" i="1" s="1"/>
  <c r="AK613" i="1" s="1"/>
  <c r="BD615" i="1"/>
  <c r="AJ615" i="1" s="1"/>
  <c r="AK615" i="1" s="1"/>
  <c r="BD616" i="1"/>
  <c r="AJ616" i="1" s="1"/>
  <c r="AK616" i="1" s="1"/>
  <c r="BD617" i="1"/>
  <c r="AJ617" i="1" s="1"/>
  <c r="AK617" i="1" s="1"/>
  <c r="BD619" i="1"/>
  <c r="AJ619" i="1" s="1"/>
  <c r="AK619" i="1" s="1"/>
  <c r="BD620" i="1"/>
  <c r="AJ620" i="1" s="1"/>
  <c r="AK620" i="1" s="1"/>
  <c r="BD621" i="1"/>
  <c r="AJ621" i="1" s="1"/>
  <c r="AK621" i="1" s="1"/>
  <c r="BD623" i="1"/>
  <c r="AJ623" i="1" s="1"/>
  <c r="AK623" i="1" s="1"/>
  <c r="BD624" i="1"/>
  <c r="AJ624" i="1" s="1"/>
  <c r="AK624" i="1" s="1"/>
  <c r="BD625" i="1"/>
  <c r="AJ625" i="1" s="1"/>
  <c r="AK625" i="1" s="1"/>
  <c r="BD627" i="1"/>
  <c r="AJ627" i="1" s="1"/>
  <c r="AK627" i="1" s="1"/>
  <c r="BD628" i="1"/>
  <c r="AJ628" i="1" s="1"/>
  <c r="AK628" i="1" s="1"/>
  <c r="BD629" i="1"/>
  <c r="AJ629" i="1" s="1"/>
  <c r="AK629" i="1" s="1"/>
  <c r="BD631" i="1"/>
  <c r="AJ631" i="1" s="1"/>
  <c r="AK631" i="1" s="1"/>
  <c r="BD632" i="1"/>
  <c r="AJ632" i="1" s="1"/>
  <c r="AK632" i="1" s="1"/>
  <c r="BD633" i="1"/>
  <c r="AJ633" i="1" s="1"/>
  <c r="AK633" i="1" s="1"/>
  <c r="AL642" i="1"/>
  <c r="AM642" i="1" s="1"/>
  <c r="BC647" i="1"/>
  <c r="BC650" i="1"/>
  <c r="AF658" i="1"/>
  <c r="AD664" i="1"/>
  <c r="AG664" i="1" s="1"/>
  <c r="AD672" i="1"/>
  <c r="AG672" i="1" s="1"/>
  <c r="AH683" i="1"/>
  <c r="AI683" i="1" s="1"/>
  <c r="AD640" i="1"/>
  <c r="AG640" i="1" s="1"/>
  <c r="BC642" i="1"/>
  <c r="BD647" i="1"/>
  <c r="AJ647" i="1" s="1"/>
  <c r="AK647" i="1" s="1"/>
  <c r="AL650" i="1"/>
  <c r="AM650" i="1" s="1"/>
  <c r="BD650" i="1"/>
  <c r="AJ650" i="1" s="1"/>
  <c r="AK650" i="1" s="1"/>
  <c r="AD660" i="1"/>
  <c r="AG660" i="1" s="1"/>
  <c r="BC666" i="1"/>
  <c r="AH670" i="1"/>
  <c r="AI670" i="1" s="1"/>
  <c r="BF615" i="1"/>
  <c r="BF616" i="1"/>
  <c r="BF619" i="1"/>
  <c r="BF620" i="1"/>
  <c r="BF623" i="1"/>
  <c r="BF624" i="1"/>
  <c r="AL639" i="1"/>
  <c r="AM639" i="1" s="1"/>
  <c r="AL646" i="1"/>
  <c r="AM646" i="1" s="1"/>
  <c r="AF654" i="1"/>
  <c r="BC662" i="1"/>
  <c r="AL666" i="1"/>
  <c r="AM666" i="1" s="1"/>
  <c r="BD666" i="1"/>
  <c r="AJ666" i="1" s="1"/>
  <c r="AK666" i="1" s="1"/>
  <c r="AF651" i="1"/>
  <c r="BD670" i="1"/>
  <c r="AJ670" i="1" s="1"/>
  <c r="AK670" i="1" s="1"/>
  <c r="BD674" i="1"/>
  <c r="AJ674" i="1" s="1"/>
  <c r="AK674" i="1" s="1"/>
  <c r="BD678" i="1"/>
  <c r="AJ678" i="1" s="1"/>
  <c r="AK678" i="1" s="1"/>
  <c r="BD682" i="1"/>
  <c r="AJ682" i="1" s="1"/>
  <c r="AK682" i="1" s="1"/>
  <c r="AD691" i="1"/>
  <c r="AG691" i="1" s="1"/>
  <c r="AD692" i="1"/>
  <c r="AG692" i="1" s="1"/>
  <c r="BC697" i="1"/>
  <c r="AD708" i="1"/>
  <c r="AG708" i="1" s="1"/>
  <c r="BF727" i="1"/>
  <c r="AL727" i="1"/>
  <c r="AM727" i="1" s="1"/>
  <c r="BD727" i="1"/>
  <c r="AJ727" i="1" s="1"/>
  <c r="AK727" i="1" s="1"/>
  <c r="AF727" i="1"/>
  <c r="AH727" i="1" s="1"/>
  <c r="AI727" i="1" s="1"/>
  <c r="AH736" i="1"/>
  <c r="AI736" i="1" s="1"/>
  <c r="AD736" i="1"/>
  <c r="AG736" i="1" s="1"/>
  <c r="AL774" i="1"/>
  <c r="AM774" i="1" s="1"/>
  <c r="AF774" i="1"/>
  <c r="AH774" i="1" s="1"/>
  <c r="AI774" i="1" s="1"/>
  <c r="BF774" i="1"/>
  <c r="BD774" i="1"/>
  <c r="AJ774" i="1" s="1"/>
  <c r="AK774" i="1" s="1"/>
  <c r="AH813" i="1"/>
  <c r="AI813" i="1" s="1"/>
  <c r="AD686" i="1"/>
  <c r="AG686" i="1" s="1"/>
  <c r="AD690" i="1"/>
  <c r="AG690" i="1" s="1"/>
  <c r="BD697" i="1"/>
  <c r="AJ697" i="1" s="1"/>
  <c r="AK697" i="1" s="1"/>
  <c r="AL700" i="1"/>
  <c r="AM700" i="1" s="1"/>
  <c r="BC701" i="1"/>
  <c r="AF711" i="1"/>
  <c r="AL712" i="1"/>
  <c r="AM712" i="1" s="1"/>
  <c r="BF716" i="1"/>
  <c r="BC720" i="1"/>
  <c r="BF739" i="1"/>
  <c r="AF739" i="1"/>
  <c r="AH739" i="1" s="1"/>
  <c r="AI739" i="1" s="1"/>
  <c r="BD739" i="1"/>
  <c r="AJ739" i="1" s="1"/>
  <c r="AK739" i="1" s="1"/>
  <c r="AL739" i="1"/>
  <c r="AM739" i="1" s="1"/>
  <c r="AL699" i="1"/>
  <c r="AM699" i="1" s="1"/>
  <c r="BD720" i="1"/>
  <c r="AJ720" i="1" s="1"/>
  <c r="AK720" i="1" s="1"/>
  <c r="AL720" i="1"/>
  <c r="AM720" i="1" s="1"/>
  <c r="BF720" i="1"/>
  <c r="AF720" i="1"/>
  <c r="BD760" i="1"/>
  <c r="AJ760" i="1" s="1"/>
  <c r="AK760" i="1" s="1"/>
  <c r="AF760" i="1"/>
  <c r="AH760" i="1" s="1"/>
  <c r="AI760" i="1" s="1"/>
  <c r="AL760" i="1"/>
  <c r="AM760" i="1" s="1"/>
  <c r="BF760" i="1"/>
  <c r="BD685" i="1"/>
  <c r="AJ685" i="1" s="1"/>
  <c r="AK685" i="1" s="1"/>
  <c r="BD686" i="1"/>
  <c r="AJ686" i="1" s="1"/>
  <c r="AK686" i="1" s="1"/>
  <c r="BD687" i="1"/>
  <c r="AJ687" i="1" s="1"/>
  <c r="AK687" i="1" s="1"/>
  <c r="BD689" i="1"/>
  <c r="AJ689" i="1" s="1"/>
  <c r="AK689" i="1" s="1"/>
  <c r="BD690" i="1"/>
  <c r="AJ690" i="1" s="1"/>
  <c r="AK690" i="1" s="1"/>
  <c r="BD691" i="1"/>
  <c r="AJ691" i="1" s="1"/>
  <c r="AK691" i="1" s="1"/>
  <c r="BF692" i="1"/>
  <c r="BF697" i="1"/>
  <c r="AL704" i="1"/>
  <c r="AM704" i="1" s="1"/>
  <c r="AD714" i="1"/>
  <c r="AG714" i="1" s="1"/>
  <c r="AF716" i="1"/>
  <c r="BD736" i="1"/>
  <c r="AJ736" i="1" s="1"/>
  <c r="AK736" i="1" s="1"/>
  <c r="BC736" i="1"/>
  <c r="AL736" i="1"/>
  <c r="AM736" i="1" s="1"/>
  <c r="AL754" i="1"/>
  <c r="AM754" i="1" s="1"/>
  <c r="AF754" i="1"/>
  <c r="AH754" i="1" s="1"/>
  <c r="AI754" i="1" s="1"/>
  <c r="BD754" i="1"/>
  <c r="AJ754" i="1" s="1"/>
  <c r="AK754" i="1" s="1"/>
  <c r="BF754" i="1"/>
  <c r="AD699" i="1"/>
  <c r="AG699" i="1" s="1"/>
  <c r="BC699" i="1"/>
  <c r="AD707" i="1"/>
  <c r="AG707" i="1" s="1"/>
  <c r="AD709" i="1"/>
  <c r="AG709" i="1" s="1"/>
  <c r="BF736" i="1"/>
  <c r="BF685" i="1"/>
  <c r="BF686" i="1"/>
  <c r="BF689" i="1"/>
  <c r="BF690" i="1"/>
  <c r="AL697" i="1"/>
  <c r="AM697" i="1" s="1"/>
  <c r="BD699" i="1"/>
  <c r="AJ699" i="1" s="1"/>
  <c r="AK699" i="1" s="1"/>
  <c r="BF700" i="1"/>
  <c r="AL711" i="1"/>
  <c r="AM711" i="1" s="1"/>
  <c r="AF712" i="1"/>
  <c r="BF712" i="1"/>
  <c r="BC728" i="1"/>
  <c r="BD732" i="1"/>
  <c r="AJ732" i="1" s="1"/>
  <c r="AK732" i="1" s="1"/>
  <c r="AL732" i="1"/>
  <c r="AM732" i="1" s="1"/>
  <c r="BD728" i="1"/>
  <c r="AJ728" i="1" s="1"/>
  <c r="AK728" i="1" s="1"/>
  <c r="AL728" i="1"/>
  <c r="AM728" i="1" s="1"/>
  <c r="BF755" i="1"/>
  <c r="AF755" i="1"/>
  <c r="AH755" i="1" s="1"/>
  <c r="AI755" i="1" s="1"/>
  <c r="AL755" i="1"/>
  <c r="AM755" i="1" s="1"/>
  <c r="BD755" i="1"/>
  <c r="AJ755" i="1" s="1"/>
  <c r="AK755" i="1" s="1"/>
  <c r="AL684" i="1"/>
  <c r="AM684" i="1" s="1"/>
  <c r="AL685" i="1"/>
  <c r="AM685" i="1" s="1"/>
  <c r="AL687" i="1"/>
  <c r="AM687" i="1" s="1"/>
  <c r="AL688" i="1"/>
  <c r="AM688" i="1" s="1"/>
  <c r="AL689" i="1"/>
  <c r="AM689" i="1" s="1"/>
  <c r="AL691" i="1"/>
  <c r="AM691" i="1" s="1"/>
  <c r="AL692" i="1"/>
  <c r="AM692" i="1" s="1"/>
  <c r="BC693" i="1"/>
  <c r="BD703" i="1"/>
  <c r="AJ703" i="1" s="1"/>
  <c r="AK703" i="1" s="1"/>
  <c r="BF704" i="1"/>
  <c r="AD706" i="1"/>
  <c r="AG706" i="1" s="1"/>
  <c r="BD711" i="1"/>
  <c r="AJ711" i="1" s="1"/>
  <c r="AK711" i="1" s="1"/>
  <c r="BC716" i="1"/>
  <c r="AD718" i="1"/>
  <c r="AG718" i="1" s="1"/>
  <c r="BF723" i="1"/>
  <c r="AL723" i="1"/>
  <c r="AM723" i="1" s="1"/>
  <c r="BD723" i="1"/>
  <c r="AJ723" i="1" s="1"/>
  <c r="AK723" i="1" s="1"/>
  <c r="AF723" i="1"/>
  <c r="AH723" i="1" s="1"/>
  <c r="AI723" i="1" s="1"/>
  <c r="BF728" i="1"/>
  <c r="BF731" i="1"/>
  <c r="AL731" i="1"/>
  <c r="AM731" i="1" s="1"/>
  <c r="BD731" i="1"/>
  <c r="AJ731" i="1" s="1"/>
  <c r="AK731" i="1" s="1"/>
  <c r="AF731" i="1"/>
  <c r="AH731" i="1" s="1"/>
  <c r="AI731" i="1" s="1"/>
  <c r="AL758" i="1"/>
  <c r="AM758" i="1" s="1"/>
  <c r="AF758" i="1"/>
  <c r="AH758" i="1" s="1"/>
  <c r="AI758" i="1" s="1"/>
  <c r="BF759" i="1"/>
  <c r="AF759" i="1"/>
  <c r="AL759" i="1"/>
  <c r="AM759" i="1" s="1"/>
  <c r="BD764" i="1"/>
  <c r="AJ764" i="1" s="1"/>
  <c r="AK764" i="1" s="1"/>
  <c r="AF764" i="1"/>
  <c r="AH764" i="1" s="1"/>
  <c r="AI764" i="1" s="1"/>
  <c r="AL764" i="1"/>
  <c r="AM764" i="1" s="1"/>
  <c r="BF764" i="1"/>
  <c r="AL778" i="1"/>
  <c r="AM778" i="1" s="1"/>
  <c r="AF778" i="1"/>
  <c r="AH778" i="1" s="1"/>
  <c r="AI778" i="1" s="1"/>
  <c r="BF778" i="1"/>
  <c r="BD778" i="1"/>
  <c r="AJ778" i="1" s="1"/>
  <c r="AK778" i="1" s="1"/>
  <c r="AF735" i="1"/>
  <c r="AH735" i="1" s="1"/>
  <c r="AI735" i="1" s="1"/>
  <c r="BD735" i="1"/>
  <c r="AJ735" i="1" s="1"/>
  <c r="AK735" i="1" s="1"/>
  <c r="BF758" i="1"/>
  <c r="AL762" i="1"/>
  <c r="AM762" i="1" s="1"/>
  <c r="AF762" i="1"/>
  <c r="AH762" i="1" s="1"/>
  <c r="AI762" i="1" s="1"/>
  <c r="BF763" i="1"/>
  <c r="AF763" i="1"/>
  <c r="AH763" i="1" s="1"/>
  <c r="AI763" i="1" s="1"/>
  <c r="AL763" i="1"/>
  <c r="AM763" i="1" s="1"/>
  <c r="BD768" i="1"/>
  <c r="AJ768" i="1" s="1"/>
  <c r="AK768" i="1" s="1"/>
  <c r="AF768" i="1"/>
  <c r="AH768" i="1" s="1"/>
  <c r="AI768" i="1" s="1"/>
  <c r="AL768" i="1"/>
  <c r="AM768" i="1" s="1"/>
  <c r="BF768" i="1"/>
  <c r="BC772" i="1"/>
  <c r="AF773" i="1"/>
  <c r="AH773" i="1" s="1"/>
  <c r="AI773" i="1" s="1"/>
  <c r="BC773" i="1"/>
  <c r="AL773" i="1"/>
  <c r="AM773" i="1" s="1"/>
  <c r="BF773" i="1"/>
  <c r="BD773" i="1"/>
  <c r="AJ773" i="1" s="1"/>
  <c r="AK773" i="1" s="1"/>
  <c r="BD808" i="1"/>
  <c r="AJ808" i="1" s="1"/>
  <c r="AK808" i="1" s="1"/>
  <c r="AL808" i="1"/>
  <c r="AM808" i="1" s="1"/>
  <c r="AF808" i="1"/>
  <c r="BF808" i="1"/>
  <c r="BD740" i="1"/>
  <c r="AJ740" i="1" s="1"/>
  <c r="AK740" i="1" s="1"/>
  <c r="AL740" i="1"/>
  <c r="AM740" i="1" s="1"/>
  <c r="BF740" i="1"/>
  <c r="AF740" i="1"/>
  <c r="AL766" i="1"/>
  <c r="AM766" i="1" s="1"/>
  <c r="AF766" i="1"/>
  <c r="AH766" i="1" s="1"/>
  <c r="AI766" i="1" s="1"/>
  <c r="BF767" i="1"/>
  <c r="AF767" i="1"/>
  <c r="AH767" i="1" s="1"/>
  <c r="AI767" i="1" s="1"/>
  <c r="AL767" i="1"/>
  <c r="AM767" i="1" s="1"/>
  <c r="BD772" i="1"/>
  <c r="AJ772" i="1" s="1"/>
  <c r="AK772" i="1" s="1"/>
  <c r="AF772" i="1"/>
  <c r="AH772" i="1" s="1"/>
  <c r="AI772" i="1" s="1"/>
  <c r="AL772" i="1"/>
  <c r="AM772" i="1" s="1"/>
  <c r="BF772" i="1"/>
  <c r="AF777" i="1"/>
  <c r="AH777" i="1" s="1"/>
  <c r="AI777" i="1" s="1"/>
  <c r="BC777" i="1"/>
  <c r="AL777" i="1"/>
  <c r="AM777" i="1" s="1"/>
  <c r="BF777" i="1"/>
  <c r="BD777" i="1"/>
  <c r="AJ777" i="1" s="1"/>
  <c r="AK777" i="1" s="1"/>
  <c r="AD807" i="1"/>
  <c r="AG807" i="1" s="1"/>
  <c r="AF726" i="1"/>
  <c r="AH726" i="1" s="1"/>
  <c r="AI726" i="1" s="1"/>
  <c r="BD726" i="1"/>
  <c r="AJ726" i="1" s="1"/>
  <c r="AK726" i="1" s="1"/>
  <c r="AF730" i="1"/>
  <c r="AH730" i="1" s="1"/>
  <c r="AI730" i="1" s="1"/>
  <c r="BD730" i="1"/>
  <c r="AJ730" i="1" s="1"/>
  <c r="AK730" i="1" s="1"/>
  <c r="AF734" i="1"/>
  <c r="AH734" i="1" s="1"/>
  <c r="AI734" i="1" s="1"/>
  <c r="BD734" i="1"/>
  <c r="AJ734" i="1" s="1"/>
  <c r="AK734" i="1" s="1"/>
  <c r="BD744" i="1"/>
  <c r="AJ744" i="1" s="1"/>
  <c r="AK744" i="1" s="1"/>
  <c r="AF744" i="1"/>
  <c r="AH744" i="1" s="1"/>
  <c r="AI744" i="1" s="1"/>
  <c r="AL744" i="1"/>
  <c r="AM744" i="1" s="1"/>
  <c r="BF744" i="1"/>
  <c r="BC747" i="1"/>
  <c r="BC748" i="1"/>
  <c r="BF766" i="1"/>
  <c r="AL770" i="1"/>
  <c r="AM770" i="1" s="1"/>
  <c r="AF770" i="1"/>
  <c r="AH770" i="1" s="1"/>
  <c r="AI770" i="1" s="1"/>
  <c r="BF771" i="1"/>
  <c r="AF771" i="1"/>
  <c r="AL771" i="1"/>
  <c r="AM771" i="1" s="1"/>
  <c r="BC783" i="1"/>
  <c r="AL742" i="1"/>
  <c r="AM742" i="1" s="1"/>
  <c r="AF742" i="1"/>
  <c r="AH742" i="1" s="1"/>
  <c r="AI742" i="1" s="1"/>
  <c r="BF743" i="1"/>
  <c r="AF743" i="1"/>
  <c r="AH743" i="1" s="1"/>
  <c r="AI743" i="1" s="1"/>
  <c r="AL743" i="1"/>
  <c r="AM743" i="1" s="1"/>
  <c r="BD748" i="1"/>
  <c r="AJ748" i="1" s="1"/>
  <c r="AK748" i="1" s="1"/>
  <c r="AF748" i="1"/>
  <c r="AH748" i="1" s="1"/>
  <c r="AI748" i="1" s="1"/>
  <c r="AL748" i="1"/>
  <c r="AM748" i="1" s="1"/>
  <c r="BF748" i="1"/>
  <c r="BC752" i="1"/>
  <c r="BC775" i="1"/>
  <c r="BD827" i="1"/>
  <c r="AJ827" i="1" s="1"/>
  <c r="AK827" i="1" s="1"/>
  <c r="AL827" i="1"/>
  <c r="AM827" i="1" s="1"/>
  <c r="BF827" i="1"/>
  <c r="AF827" i="1"/>
  <c r="BF726" i="1"/>
  <c r="BF730" i="1"/>
  <c r="AL746" i="1"/>
  <c r="AM746" i="1" s="1"/>
  <c r="AF746" i="1"/>
  <c r="AH746" i="1" s="1"/>
  <c r="AI746" i="1" s="1"/>
  <c r="BF747" i="1"/>
  <c r="AF747" i="1"/>
  <c r="AL747" i="1"/>
  <c r="AM747" i="1" s="1"/>
  <c r="BD752" i="1"/>
  <c r="AJ752" i="1" s="1"/>
  <c r="AK752" i="1" s="1"/>
  <c r="AF752" i="1"/>
  <c r="AH752" i="1" s="1"/>
  <c r="AI752" i="1" s="1"/>
  <c r="AL752" i="1"/>
  <c r="AM752" i="1" s="1"/>
  <c r="BF752" i="1"/>
  <c r="BC755" i="1"/>
  <c r="AD770" i="1"/>
  <c r="AG770" i="1" s="1"/>
  <c r="BF775" i="1"/>
  <c r="AF775" i="1"/>
  <c r="AH775" i="1" s="1"/>
  <c r="AI775" i="1" s="1"/>
  <c r="AL775" i="1"/>
  <c r="AM775" i="1" s="1"/>
  <c r="BD775" i="1"/>
  <c r="AJ775" i="1" s="1"/>
  <c r="AK775" i="1" s="1"/>
  <c r="BF783" i="1"/>
  <c r="AF783" i="1"/>
  <c r="AL783" i="1"/>
  <c r="AM783" i="1" s="1"/>
  <c r="AD789" i="1"/>
  <c r="AG789" i="1" s="1"/>
  <c r="AD728" i="1"/>
  <c r="AG728" i="1" s="1"/>
  <c r="AD732" i="1"/>
  <c r="AG732" i="1" s="1"/>
  <c r="AL735" i="1"/>
  <c r="AM735" i="1" s="1"/>
  <c r="BF746" i="1"/>
  <c r="AL750" i="1"/>
  <c r="AM750" i="1" s="1"/>
  <c r="AF750" i="1"/>
  <c r="AH750" i="1" s="1"/>
  <c r="AI750" i="1" s="1"/>
  <c r="BF751" i="1"/>
  <c r="AF751" i="1"/>
  <c r="AL751" i="1"/>
  <c r="AM751" i="1" s="1"/>
  <c r="BD756" i="1"/>
  <c r="AJ756" i="1" s="1"/>
  <c r="AK756" i="1" s="1"/>
  <c r="AF756" i="1"/>
  <c r="AH756" i="1" s="1"/>
  <c r="AI756" i="1" s="1"/>
  <c r="AL756" i="1"/>
  <c r="AM756" i="1" s="1"/>
  <c r="BF756" i="1"/>
  <c r="BC759" i="1"/>
  <c r="BC760" i="1"/>
  <c r="BC774" i="1"/>
  <c r="BD800" i="1"/>
  <c r="AJ800" i="1" s="1"/>
  <c r="AK800" i="1" s="1"/>
  <c r="AL800" i="1"/>
  <c r="AM800" i="1" s="1"/>
  <c r="AF800" i="1"/>
  <c r="BD776" i="1"/>
  <c r="AJ776" i="1" s="1"/>
  <c r="AK776" i="1" s="1"/>
  <c r="AF776" i="1"/>
  <c r="AH776" i="1" s="1"/>
  <c r="AI776" i="1" s="1"/>
  <c r="AL776" i="1"/>
  <c r="AM776" i="1" s="1"/>
  <c r="BD780" i="1"/>
  <c r="AJ780" i="1" s="1"/>
  <c r="AK780" i="1" s="1"/>
  <c r="AF780" i="1"/>
  <c r="AH780" i="1" s="1"/>
  <c r="AI780" i="1" s="1"/>
  <c r="AL780" i="1"/>
  <c r="AM780" i="1" s="1"/>
  <c r="AL782" i="1"/>
  <c r="AM782" i="1" s="1"/>
  <c r="AF782" i="1"/>
  <c r="AH782" i="1" s="1"/>
  <c r="AI782" i="1" s="1"/>
  <c r="BF782" i="1"/>
  <c r="AD798" i="1"/>
  <c r="AG798" i="1" s="1"/>
  <c r="BF800" i="1"/>
  <c r="AH834" i="1"/>
  <c r="AI834" i="1" s="1"/>
  <c r="AD834" i="1"/>
  <c r="AG834" i="1" s="1"/>
  <c r="BF779" i="1"/>
  <c r="AF779" i="1"/>
  <c r="AH779" i="1" s="1"/>
  <c r="AI779" i="1" s="1"/>
  <c r="AL779" i="1"/>
  <c r="AM779" i="1" s="1"/>
  <c r="AF781" i="1"/>
  <c r="AH781" i="1" s="1"/>
  <c r="AI781" i="1" s="1"/>
  <c r="BC781" i="1"/>
  <c r="AL781" i="1"/>
  <c r="AM781" i="1" s="1"/>
  <c r="BF781" i="1"/>
  <c r="AH791" i="1"/>
  <c r="AI791" i="1" s="1"/>
  <c r="AF737" i="1"/>
  <c r="AH737" i="1" s="1"/>
  <c r="AI737" i="1" s="1"/>
  <c r="BF737" i="1"/>
  <c r="AF741" i="1"/>
  <c r="AH741" i="1" s="1"/>
  <c r="AI741" i="1" s="1"/>
  <c r="BC741" i="1"/>
  <c r="AL741" i="1"/>
  <c r="AM741" i="1" s="1"/>
  <c r="BC742" i="1"/>
  <c r="AF745" i="1"/>
  <c r="AH745" i="1" s="1"/>
  <c r="AI745" i="1" s="1"/>
  <c r="BC745" i="1"/>
  <c r="AL745" i="1"/>
  <c r="AM745" i="1" s="1"/>
  <c r="BC746" i="1"/>
  <c r="AF749" i="1"/>
  <c r="AH749" i="1" s="1"/>
  <c r="AI749" i="1" s="1"/>
  <c r="BC749" i="1"/>
  <c r="AL749" i="1"/>
  <c r="AM749" i="1" s="1"/>
  <c r="BC750" i="1"/>
  <c r="AF753" i="1"/>
  <c r="AH753" i="1" s="1"/>
  <c r="AI753" i="1" s="1"/>
  <c r="BC753" i="1"/>
  <c r="AL753" i="1"/>
  <c r="AM753" i="1" s="1"/>
  <c r="BC754" i="1"/>
  <c r="AF757" i="1"/>
  <c r="AH757" i="1" s="1"/>
  <c r="AI757" i="1" s="1"/>
  <c r="BC757" i="1"/>
  <c r="AL757" i="1"/>
  <c r="AM757" i="1" s="1"/>
  <c r="BC758" i="1"/>
  <c r="AF761" i="1"/>
  <c r="AH761" i="1" s="1"/>
  <c r="AI761" i="1" s="1"/>
  <c r="BC761" i="1"/>
  <c r="AL761" i="1"/>
  <c r="AM761" i="1" s="1"/>
  <c r="BC762" i="1"/>
  <c r="AF765" i="1"/>
  <c r="AH765" i="1" s="1"/>
  <c r="AI765" i="1" s="1"/>
  <c r="BC765" i="1"/>
  <c r="AL765" i="1"/>
  <c r="AM765" i="1" s="1"/>
  <c r="BC766" i="1"/>
  <c r="AF769" i="1"/>
  <c r="AH769" i="1" s="1"/>
  <c r="AI769" i="1" s="1"/>
  <c r="BC769" i="1"/>
  <c r="AL769" i="1"/>
  <c r="AM769" i="1" s="1"/>
  <c r="BC770" i="1"/>
  <c r="BC784" i="1"/>
  <c r="BD784" i="1"/>
  <c r="AJ784" i="1" s="1"/>
  <c r="AK784" i="1" s="1"/>
  <c r="AF784" i="1"/>
  <c r="AL784" i="1"/>
  <c r="AM784" i="1" s="1"/>
  <c r="AL798" i="1"/>
  <c r="AM798" i="1" s="1"/>
  <c r="BD798" i="1"/>
  <c r="AJ798" i="1" s="1"/>
  <c r="AK798" i="1" s="1"/>
  <c r="AH805" i="1"/>
  <c r="AI805" i="1" s="1"/>
  <c r="AD818" i="1"/>
  <c r="AG818" i="1" s="1"/>
  <c r="BD823" i="1"/>
  <c r="AJ823" i="1" s="1"/>
  <c r="AK823" i="1" s="1"/>
  <c r="AL823" i="1"/>
  <c r="AM823" i="1" s="1"/>
  <c r="BF823" i="1"/>
  <c r="AF823" i="1"/>
  <c r="AH823" i="1" s="1"/>
  <c r="AI823" i="1" s="1"/>
  <c r="AF856" i="1"/>
  <c r="AH856" i="1" s="1"/>
  <c r="AI856" i="1" s="1"/>
  <c r="BD856" i="1"/>
  <c r="AJ856" i="1" s="1"/>
  <c r="AK856" i="1" s="1"/>
  <c r="BF856" i="1"/>
  <c r="BC856" i="1"/>
  <c r="AL856" i="1"/>
  <c r="AM856" i="1" s="1"/>
  <c r="BD863" i="1"/>
  <c r="AJ863" i="1" s="1"/>
  <c r="AK863" i="1" s="1"/>
  <c r="BF863" i="1"/>
  <c r="AF863" i="1"/>
  <c r="BC863" i="1"/>
  <c r="AL863" i="1"/>
  <c r="AM863" i="1" s="1"/>
  <c r="AF786" i="1"/>
  <c r="AH786" i="1" s="1"/>
  <c r="AI786" i="1" s="1"/>
  <c r="BF786" i="1"/>
  <c r="BF788" i="1"/>
  <c r="AL796" i="1"/>
  <c r="AM796" i="1" s="1"/>
  <c r="AD799" i="1"/>
  <c r="AG799" i="1" s="1"/>
  <c r="AF802" i="1"/>
  <c r="AH802" i="1" s="1"/>
  <c r="AI802" i="1" s="1"/>
  <c r="BF802" i="1"/>
  <c r="BF804" i="1"/>
  <c r="AD815" i="1"/>
  <c r="AG815" i="1" s="1"/>
  <c r="AH887" i="1"/>
  <c r="AI887" i="1" s="1"/>
  <c r="AF788" i="1"/>
  <c r="BC794" i="1"/>
  <c r="AD801" i="1"/>
  <c r="AG801" i="1" s="1"/>
  <c r="AF804" i="1"/>
  <c r="AD809" i="1"/>
  <c r="AG809" i="1" s="1"/>
  <c r="AD816" i="1"/>
  <c r="AG816" i="1" s="1"/>
  <c r="AD826" i="1"/>
  <c r="AG826" i="1" s="1"/>
  <c r="BD835" i="1"/>
  <c r="AJ835" i="1" s="1"/>
  <c r="AK835" i="1" s="1"/>
  <c r="AL835" i="1"/>
  <c r="AM835" i="1" s="1"/>
  <c r="BF835" i="1"/>
  <c r="AF835" i="1"/>
  <c r="AD843" i="1"/>
  <c r="AG843" i="1" s="1"/>
  <c r="AH851" i="1"/>
  <c r="AI851" i="1" s="1"/>
  <c r="AH871" i="1"/>
  <c r="AI871" i="1" s="1"/>
  <c r="AD871" i="1"/>
  <c r="AG871" i="1" s="1"/>
  <c r="AD886" i="1"/>
  <c r="AG886" i="1" s="1"/>
  <c r="BC798" i="1"/>
  <c r="AL788" i="1"/>
  <c r="AM788" i="1" s="1"/>
  <c r="AF794" i="1"/>
  <c r="AH794" i="1" s="1"/>
  <c r="AI794" i="1" s="1"/>
  <c r="BF794" i="1"/>
  <c r="BF796" i="1"/>
  <c r="BC800" i="1"/>
  <c r="AL804" i="1"/>
  <c r="AM804" i="1" s="1"/>
  <c r="BC827" i="1"/>
  <c r="AD837" i="1"/>
  <c r="AG837" i="1" s="1"/>
  <c r="AD855" i="1"/>
  <c r="AG855" i="1" s="1"/>
  <c r="AH864" i="1"/>
  <c r="AI864" i="1" s="1"/>
  <c r="AD864" i="1"/>
  <c r="AG864" i="1" s="1"/>
  <c r="AD822" i="1"/>
  <c r="AG822" i="1" s="1"/>
  <c r="AD838" i="1"/>
  <c r="AG838" i="1" s="1"/>
  <c r="BD960" i="1"/>
  <c r="AJ960" i="1" s="1"/>
  <c r="AK960" i="1" s="1"/>
  <c r="BC960" i="1"/>
  <c r="AF960" i="1"/>
  <c r="BF960" i="1"/>
  <c r="AL960" i="1"/>
  <c r="AM960" i="1" s="1"/>
  <c r="AD833" i="1"/>
  <c r="AG833" i="1" s="1"/>
  <c r="BD843" i="1"/>
  <c r="AJ843" i="1" s="1"/>
  <c r="AK843" i="1" s="1"/>
  <c r="AL843" i="1"/>
  <c r="AM843" i="1" s="1"/>
  <c r="BF843" i="1"/>
  <c r="BD831" i="1"/>
  <c r="AJ831" i="1" s="1"/>
  <c r="AK831" i="1" s="1"/>
  <c r="AL831" i="1"/>
  <c r="AM831" i="1" s="1"/>
  <c r="BF831" i="1"/>
  <c r="AF824" i="1"/>
  <c r="AH824" i="1" s="1"/>
  <c r="AI824" i="1" s="1"/>
  <c r="AL824" i="1"/>
  <c r="AM824" i="1" s="1"/>
  <c r="AF831" i="1"/>
  <c r="AH831" i="1" s="1"/>
  <c r="AI831" i="1" s="1"/>
  <c r="BD839" i="1"/>
  <c r="AJ839" i="1" s="1"/>
  <c r="AK839" i="1" s="1"/>
  <c r="AL839" i="1"/>
  <c r="AM839" i="1" s="1"/>
  <c r="BF839" i="1"/>
  <c r="BD867" i="1"/>
  <c r="AJ867" i="1" s="1"/>
  <c r="AK867" i="1" s="1"/>
  <c r="AL867" i="1"/>
  <c r="AM867" i="1" s="1"/>
  <c r="BF867" i="1"/>
  <c r="AF867" i="1"/>
  <c r="BF870" i="1"/>
  <c r="AF870" i="1"/>
  <c r="BD870" i="1"/>
  <c r="AJ870" i="1" s="1"/>
  <c r="AK870" i="1" s="1"/>
  <c r="AH937" i="1"/>
  <c r="AI937" i="1" s="1"/>
  <c r="AD937" i="1"/>
  <c r="AG937" i="1" s="1"/>
  <c r="AL866" i="1"/>
  <c r="AM866" i="1" s="1"/>
  <c r="BD933" i="1"/>
  <c r="AJ933" i="1" s="1"/>
  <c r="AK933" i="1" s="1"/>
  <c r="BF933" i="1"/>
  <c r="AF933" i="1"/>
  <c r="AL933" i="1"/>
  <c r="AM933" i="1" s="1"/>
  <c r="BD940" i="1"/>
  <c r="AJ940" i="1" s="1"/>
  <c r="AK940" i="1" s="1"/>
  <c r="AF940" i="1"/>
  <c r="BF940" i="1"/>
  <c r="BC940" i="1"/>
  <c r="AL940" i="1"/>
  <c r="AM940" i="1" s="1"/>
  <c r="BF847" i="1"/>
  <c r="BF851" i="1"/>
  <c r="BF855" i="1"/>
  <c r="BC858" i="1"/>
  <c r="BF860" i="1"/>
  <c r="BC866" i="1"/>
  <c r="AD857" i="1"/>
  <c r="AG857" i="1" s="1"/>
  <c r="BC870" i="1"/>
  <c r="BC875" i="1"/>
  <c r="AL847" i="1"/>
  <c r="AM847" i="1" s="1"/>
  <c r="AD861" i="1"/>
  <c r="AG861" i="1" s="1"/>
  <c r="AF866" i="1"/>
  <c r="BF875" i="1"/>
  <c r="AD845" i="1"/>
  <c r="AG845" i="1" s="1"/>
  <c r="AD849" i="1"/>
  <c r="AG849" i="1" s="1"/>
  <c r="BC860" i="1"/>
  <c r="AD865" i="1"/>
  <c r="AG865" i="1" s="1"/>
  <c r="AH890" i="1"/>
  <c r="AI890" i="1" s="1"/>
  <c r="AL905" i="1"/>
  <c r="AM905" i="1" s="1"/>
  <c r="BF905" i="1"/>
  <c r="BD905" i="1"/>
  <c r="AJ905" i="1" s="1"/>
  <c r="AK905" i="1" s="1"/>
  <c r="BC905" i="1"/>
  <c r="AF905" i="1"/>
  <c r="AF896" i="1"/>
  <c r="AL896" i="1"/>
  <c r="AM896" i="1" s="1"/>
  <c r="BF896" i="1"/>
  <c r="BD896" i="1"/>
  <c r="AJ896" i="1" s="1"/>
  <c r="AK896" i="1" s="1"/>
  <c r="AL901" i="1"/>
  <c r="AM901" i="1" s="1"/>
  <c r="BF901" i="1"/>
  <c r="AF901" i="1"/>
  <c r="AH901" i="1" s="1"/>
  <c r="AI901" i="1" s="1"/>
  <c r="BD901" i="1"/>
  <c r="AJ901" i="1" s="1"/>
  <c r="AK901" i="1" s="1"/>
  <c r="BC933" i="1"/>
  <c r="BC908" i="1"/>
  <c r="AD911" i="1"/>
  <c r="AG911" i="1" s="1"/>
  <c r="BD913" i="1"/>
  <c r="AJ913" i="1" s="1"/>
  <c r="AK913" i="1" s="1"/>
  <c r="AL913" i="1"/>
  <c r="AM913" i="1" s="1"/>
  <c r="BF913" i="1"/>
  <c r="AD925" i="1"/>
  <c r="AG925" i="1" s="1"/>
  <c r="AL938" i="1"/>
  <c r="AM938" i="1" s="1"/>
  <c r="BF938" i="1"/>
  <c r="BD938" i="1"/>
  <c r="AJ938" i="1" s="1"/>
  <c r="AK938" i="1" s="1"/>
  <c r="AF938" i="1"/>
  <c r="BD944" i="1"/>
  <c r="AJ944" i="1" s="1"/>
  <c r="AK944" i="1" s="1"/>
  <c r="AF944" i="1"/>
  <c r="BF944" i="1"/>
  <c r="BC944" i="1"/>
  <c r="AL944" i="1"/>
  <c r="AM944" i="1" s="1"/>
  <c r="BD948" i="1"/>
  <c r="AJ948" i="1" s="1"/>
  <c r="AK948" i="1" s="1"/>
  <c r="AF948" i="1"/>
  <c r="BF948" i="1"/>
  <c r="BC948" i="1"/>
  <c r="AL948" i="1"/>
  <c r="AM948" i="1" s="1"/>
  <c r="BD952" i="1"/>
  <c r="AJ952" i="1" s="1"/>
  <c r="AK952" i="1" s="1"/>
  <c r="AF952" i="1"/>
  <c r="AH952" i="1" s="1"/>
  <c r="AI952" i="1" s="1"/>
  <c r="AL952" i="1"/>
  <c r="AM952" i="1" s="1"/>
  <c r="BF952" i="1"/>
  <c r="BC952" i="1"/>
  <c r="AF908" i="1"/>
  <c r="AL908" i="1"/>
  <c r="AM908" i="1" s="1"/>
  <c r="BF937" i="1"/>
  <c r="BD937" i="1"/>
  <c r="AJ937" i="1" s="1"/>
  <c r="AK937" i="1" s="1"/>
  <c r="AL937" i="1"/>
  <c r="AM937" i="1" s="1"/>
  <c r="BF943" i="1"/>
  <c r="BD943" i="1"/>
  <c r="AJ943" i="1" s="1"/>
  <c r="AK943" i="1" s="1"/>
  <c r="AL943" i="1"/>
  <c r="AM943" i="1" s="1"/>
  <c r="AF943" i="1"/>
  <c r="AH963" i="1"/>
  <c r="AI963" i="1" s="1"/>
  <c r="AD963" i="1"/>
  <c r="AG963" i="1" s="1"/>
  <c r="BD879" i="1"/>
  <c r="AJ879" i="1" s="1"/>
  <c r="AK879" i="1" s="1"/>
  <c r="AF895" i="1"/>
  <c r="BF895" i="1"/>
  <c r="BF908" i="1"/>
  <c r="AD915" i="1"/>
  <c r="AG915" i="1" s="1"/>
  <c r="BD917" i="1"/>
  <c r="AJ917" i="1" s="1"/>
  <c r="AK917" i="1" s="1"/>
  <c r="AL917" i="1"/>
  <c r="AM917" i="1" s="1"/>
  <c r="BF917" i="1"/>
  <c r="BD929" i="1"/>
  <c r="AJ929" i="1" s="1"/>
  <c r="AK929" i="1" s="1"/>
  <c r="AL929" i="1"/>
  <c r="AM929" i="1" s="1"/>
  <c r="AL950" i="1"/>
  <c r="AM950" i="1" s="1"/>
  <c r="BF950" i="1"/>
  <c r="BD950" i="1"/>
  <c r="AJ950" i="1" s="1"/>
  <c r="AK950" i="1" s="1"/>
  <c r="AF950" i="1"/>
  <c r="AH950" i="1" s="1"/>
  <c r="AI950" i="1" s="1"/>
  <c r="AD897" i="1"/>
  <c r="AG897" i="1" s="1"/>
  <c r="AL897" i="1"/>
  <c r="AM897" i="1" s="1"/>
  <c r="BF897" i="1"/>
  <c r="AF904" i="1"/>
  <c r="AL904" i="1"/>
  <c r="AM904" i="1" s="1"/>
  <c r="BF929" i="1"/>
  <c r="BF939" i="1"/>
  <c r="BD939" i="1"/>
  <c r="AJ939" i="1" s="1"/>
  <c r="AK939" i="1" s="1"/>
  <c r="AL939" i="1"/>
  <c r="AM939" i="1" s="1"/>
  <c r="AF939" i="1"/>
  <c r="AL946" i="1"/>
  <c r="AM946" i="1" s="1"/>
  <c r="BF946" i="1"/>
  <c r="BD946" i="1"/>
  <c r="AJ946" i="1" s="1"/>
  <c r="AK946" i="1" s="1"/>
  <c r="AF946" i="1"/>
  <c r="AH946" i="1" s="1"/>
  <c r="AI946" i="1" s="1"/>
  <c r="AL909" i="1"/>
  <c r="AM909" i="1" s="1"/>
  <c r="BF909" i="1"/>
  <c r="BD921" i="1"/>
  <c r="AJ921" i="1" s="1"/>
  <c r="AK921" i="1" s="1"/>
  <c r="AL921" i="1"/>
  <c r="AM921" i="1" s="1"/>
  <c r="BC892" i="1"/>
  <c r="BC900" i="1"/>
  <c r="AF900" i="1"/>
  <c r="AL900" i="1"/>
  <c r="AM900" i="1" s="1"/>
  <c r="AF909" i="1"/>
  <c r="AF917" i="1"/>
  <c r="AH917" i="1" s="1"/>
  <c r="AI917" i="1" s="1"/>
  <c r="AD919" i="1"/>
  <c r="AG919" i="1" s="1"/>
  <c r="BF921" i="1"/>
  <c r="AF922" i="1"/>
  <c r="BC922" i="1"/>
  <c r="AL922" i="1"/>
  <c r="AM922" i="1" s="1"/>
  <c r="BD925" i="1"/>
  <c r="AJ925" i="1" s="1"/>
  <c r="AK925" i="1" s="1"/>
  <c r="BF925" i="1"/>
  <c r="AF926" i="1"/>
  <c r="AH926" i="1" s="1"/>
  <c r="AI926" i="1" s="1"/>
  <c r="AL926" i="1"/>
  <c r="AM926" i="1" s="1"/>
  <c r="AL942" i="1"/>
  <c r="AM942" i="1" s="1"/>
  <c r="BF942" i="1"/>
  <c r="BD942" i="1"/>
  <c r="AJ942" i="1" s="1"/>
  <c r="AK942" i="1" s="1"/>
  <c r="AF942" i="1"/>
  <c r="AH942" i="1" s="1"/>
  <c r="AI942" i="1" s="1"/>
  <c r="AD928" i="1"/>
  <c r="AG928" i="1" s="1"/>
  <c r="AD930" i="1"/>
  <c r="AG930" i="1" s="1"/>
  <c r="BF910" i="1"/>
  <c r="BF911" i="1"/>
  <c r="BF914" i="1"/>
  <c r="BF915" i="1"/>
  <c r="BF918" i="1"/>
  <c r="BF919" i="1"/>
  <c r="AD923" i="1"/>
  <c r="AG923" i="1" s="1"/>
  <c r="BC932" i="1"/>
  <c r="BC936" i="1"/>
  <c r="AD955" i="1"/>
  <c r="AG955" i="1" s="1"/>
  <c r="AL910" i="1"/>
  <c r="AM910" i="1" s="1"/>
  <c r="AL912" i="1"/>
  <c r="AM912" i="1" s="1"/>
  <c r="AL914" i="1"/>
  <c r="AM914" i="1" s="1"/>
  <c r="AL916" i="1"/>
  <c r="AM916" i="1" s="1"/>
  <c r="AL918" i="1"/>
  <c r="AM918" i="1" s="1"/>
  <c r="AL920" i="1"/>
  <c r="AM920" i="1" s="1"/>
  <c r="AL936" i="1"/>
  <c r="AM936" i="1" s="1"/>
  <c r="BF936" i="1"/>
  <c r="BC939" i="1"/>
  <c r="BD956" i="1"/>
  <c r="AJ956" i="1" s="1"/>
  <c r="AK956" i="1" s="1"/>
  <c r="AF956" i="1"/>
  <c r="AL956" i="1"/>
  <c r="AM956" i="1" s="1"/>
  <c r="BF956" i="1"/>
  <c r="BC956" i="1"/>
  <c r="BD964" i="1"/>
  <c r="AJ964" i="1" s="1"/>
  <c r="AK964" i="1" s="1"/>
  <c r="BC964" i="1"/>
  <c r="AF964" i="1"/>
  <c r="BF964" i="1"/>
  <c r="AL966" i="1"/>
  <c r="AM966" i="1" s="1"/>
  <c r="BF966" i="1"/>
  <c r="BD966" i="1"/>
  <c r="AJ966" i="1" s="1"/>
  <c r="AK966" i="1" s="1"/>
  <c r="AF966" i="1"/>
  <c r="AL975" i="1"/>
  <c r="AM975" i="1" s="1"/>
  <c r="BF975" i="1"/>
  <c r="BD975" i="1"/>
  <c r="AJ975" i="1" s="1"/>
  <c r="AK975" i="1" s="1"/>
  <c r="AF975" i="1"/>
  <c r="AH975" i="1" s="1"/>
  <c r="AI975" i="1" s="1"/>
  <c r="BC954" i="1"/>
  <c r="AL954" i="1"/>
  <c r="AM954" i="1" s="1"/>
  <c r="BF954" i="1"/>
  <c r="AF941" i="1"/>
  <c r="AH941" i="1" s="1"/>
  <c r="AI941" i="1" s="1"/>
  <c r="AL941" i="1"/>
  <c r="AM941" i="1" s="1"/>
  <c r="AF945" i="1"/>
  <c r="AH945" i="1" s="1"/>
  <c r="AI945" i="1" s="1"/>
  <c r="AL945" i="1"/>
  <c r="AM945" i="1" s="1"/>
  <c r="AF949" i="1"/>
  <c r="AH949" i="1" s="1"/>
  <c r="AI949" i="1" s="1"/>
  <c r="AL949" i="1"/>
  <c r="AM949" i="1" s="1"/>
  <c r="AF954" i="1"/>
  <c r="AH954" i="1" s="1"/>
  <c r="AI954" i="1" s="1"/>
  <c r="AD961" i="1"/>
  <c r="AG961" i="1" s="1"/>
  <c r="AL967" i="1"/>
  <c r="AM967" i="1" s="1"/>
  <c r="BF967" i="1"/>
  <c r="BD967" i="1"/>
  <c r="AJ967" i="1" s="1"/>
  <c r="AK967" i="1" s="1"/>
  <c r="AF967" i="1"/>
  <c r="AH967" i="1" s="1"/>
  <c r="AI967" i="1" s="1"/>
  <c r="BF951" i="1"/>
  <c r="BD951" i="1"/>
  <c r="AJ951" i="1" s="1"/>
  <c r="AK951" i="1" s="1"/>
  <c r="AD953" i="1"/>
  <c r="AG953" i="1" s="1"/>
  <c r="AL964" i="1"/>
  <c r="AM964" i="1" s="1"/>
  <c r="AL979" i="1"/>
  <c r="AM979" i="1" s="1"/>
  <c r="BF979" i="1"/>
  <c r="BD979" i="1"/>
  <c r="AJ979" i="1" s="1"/>
  <c r="AK979" i="1" s="1"/>
  <c r="AF979" i="1"/>
  <c r="AH979" i="1" s="1"/>
  <c r="AI979" i="1" s="1"/>
  <c r="BF947" i="1"/>
  <c r="BD947" i="1"/>
  <c r="AJ947" i="1" s="1"/>
  <c r="AK947" i="1" s="1"/>
  <c r="BF955" i="1"/>
  <c r="BD955" i="1"/>
  <c r="AJ955" i="1" s="1"/>
  <c r="AK955" i="1" s="1"/>
  <c r="AH959" i="1"/>
  <c r="AI959" i="1" s="1"/>
  <c r="AD959" i="1"/>
  <c r="AG959" i="1" s="1"/>
  <c r="BC966" i="1"/>
  <c r="BC975" i="1"/>
  <c r="AF982" i="1"/>
  <c r="AH982" i="1" s="1"/>
  <c r="AI982" i="1" s="1"/>
  <c r="AL982" i="1"/>
  <c r="AM982" i="1" s="1"/>
  <c r="BF971" i="1"/>
  <c r="AL976" i="1"/>
  <c r="AM976" i="1" s="1"/>
  <c r="BD981" i="1"/>
  <c r="AJ981" i="1" s="1"/>
  <c r="AK981" i="1" s="1"/>
  <c r="AF981" i="1"/>
  <c r="AL953" i="1"/>
  <c r="AM953" i="1" s="1"/>
  <c r="AL957" i="1"/>
  <c r="AM957" i="1" s="1"/>
  <c r="BF958" i="1"/>
  <c r="BD959" i="1"/>
  <c r="AJ959" i="1" s="1"/>
  <c r="AK959" i="1" s="1"/>
  <c r="AL961" i="1"/>
  <c r="AM961" i="1" s="1"/>
  <c r="BF962" i="1"/>
  <c r="BD963" i="1"/>
  <c r="AJ963" i="1" s="1"/>
  <c r="AK963" i="1" s="1"/>
  <c r="AL971" i="1"/>
  <c r="AM971" i="1" s="1"/>
  <c r="AF974" i="1"/>
  <c r="AH974" i="1" s="1"/>
  <c r="AI974" i="1" s="1"/>
  <c r="AL974" i="1"/>
  <c r="AM974" i="1" s="1"/>
  <c r="AF978" i="1"/>
  <c r="AH978" i="1" s="1"/>
  <c r="AI978" i="1" s="1"/>
  <c r="AL978" i="1"/>
  <c r="AM978" i="1" s="1"/>
  <c r="BF981" i="1"/>
  <c r="BF974" i="1"/>
  <c r="BD977" i="1"/>
  <c r="AJ977" i="1" s="1"/>
  <c r="AK977" i="1" s="1"/>
  <c r="AF977" i="1"/>
  <c r="BC980" i="1"/>
  <c r="BF980" i="1"/>
  <c r="BD980" i="1"/>
  <c r="AJ980" i="1" s="1"/>
  <c r="AK980" i="1" s="1"/>
  <c r="BC982" i="1"/>
  <c r="BF976" i="1"/>
  <c r="BD976" i="1"/>
  <c r="AJ976" i="1" s="1"/>
  <c r="AK976" i="1" s="1"/>
  <c r="BD982" i="1"/>
  <c r="AJ982" i="1" s="1"/>
  <c r="AK982" i="1" s="1"/>
  <c r="AD398" i="1" l="1"/>
  <c r="AG398" i="1" s="1"/>
  <c r="AD180" i="1"/>
  <c r="AG180" i="1" s="1"/>
  <c r="AH222" i="1"/>
  <c r="AI222" i="1" s="1"/>
  <c r="AD105" i="1"/>
  <c r="AG105" i="1" s="1"/>
  <c r="AD33" i="1"/>
  <c r="AG33" i="1" s="1"/>
  <c r="AD290" i="1"/>
  <c r="AG290" i="1" s="1"/>
  <c r="AD339" i="1"/>
  <c r="AG339" i="1" s="1"/>
  <c r="AH25" i="1"/>
  <c r="AI25" i="1" s="1"/>
  <c r="AD970" i="1"/>
  <c r="AG970" i="1" s="1"/>
  <c r="AD875" i="1"/>
  <c r="AG875" i="1" s="1"/>
  <c r="AD806" i="1"/>
  <c r="AG806" i="1" s="1"/>
  <c r="AD724" i="1"/>
  <c r="AG724" i="1" s="1"/>
  <c r="AD648" i="1"/>
  <c r="AG648" i="1" s="1"/>
  <c r="AD414" i="1"/>
  <c r="AG414" i="1" s="1"/>
  <c r="AD438" i="1"/>
  <c r="AG438" i="1" s="1"/>
  <c r="AD408" i="1"/>
  <c r="AG408" i="1" s="1"/>
  <c r="AD111" i="1"/>
  <c r="AG111" i="1" s="1"/>
  <c r="AH972" i="1"/>
  <c r="AI972" i="1" s="1"/>
  <c r="AD232" i="1"/>
  <c r="AG232" i="1" s="1"/>
  <c r="AH878" i="1"/>
  <c r="AI878" i="1" s="1"/>
  <c r="AD702" i="1"/>
  <c r="AG702" i="1" s="1"/>
  <c r="AD694" i="1"/>
  <c r="AG694" i="1" s="1"/>
  <c r="AD18" i="1"/>
  <c r="AG18" i="1" s="1"/>
  <c r="AD553" i="1"/>
  <c r="AG553" i="1" s="1"/>
  <c r="AD569" i="1"/>
  <c r="AG569" i="1" s="1"/>
  <c r="AD103" i="1"/>
  <c r="AG103" i="1" s="1"/>
  <c r="AH125" i="1"/>
  <c r="AI125" i="1" s="1"/>
  <c r="AD624" i="1"/>
  <c r="AG624" i="1" s="1"/>
  <c r="AD562" i="1"/>
  <c r="AG562" i="1" s="1"/>
  <c r="AD366" i="1"/>
  <c r="AG366" i="1" s="1"/>
  <c r="AD254" i="1"/>
  <c r="AG254" i="1" s="1"/>
  <c r="AD148" i="1"/>
  <c r="AG148" i="1" s="1"/>
  <c r="AD630" i="1"/>
  <c r="AG630" i="1" s="1"/>
  <c r="AD42" i="1"/>
  <c r="AG42" i="1" s="1"/>
  <c r="AD58" i="1"/>
  <c r="AG58" i="1" s="1"/>
  <c r="AD796" i="1"/>
  <c r="AG796" i="1" s="1"/>
  <c r="AD613" i="1"/>
  <c r="AG613" i="1" s="1"/>
  <c r="AD362" i="1"/>
  <c r="AG362" i="1" s="1"/>
  <c r="AD284" i="1"/>
  <c r="AG284" i="1" s="1"/>
  <c r="AD200" i="1"/>
  <c r="AG200" i="1" s="1"/>
  <c r="AD199" i="1"/>
  <c r="AG199" i="1" s="1"/>
  <c r="AH221" i="1"/>
  <c r="AI221" i="1" s="1"/>
  <c r="AD934" i="1"/>
  <c r="AG934" i="1" s="1"/>
  <c r="AD965" i="1"/>
  <c r="AG965" i="1" s="1"/>
  <c r="AD621" i="1"/>
  <c r="AG621" i="1" s="1"/>
  <c r="AD644" i="1"/>
  <c r="AG644" i="1" s="1"/>
  <c r="AH316" i="1"/>
  <c r="AI316" i="1" s="1"/>
  <c r="AH544" i="1"/>
  <c r="AI544" i="1" s="1"/>
  <c r="AH507" i="1"/>
  <c r="AI507" i="1" s="1"/>
  <c r="AD460" i="1"/>
  <c r="AG460" i="1" s="1"/>
  <c r="AD436" i="1"/>
  <c r="AG436" i="1" s="1"/>
  <c r="AD893" i="1"/>
  <c r="AG893" i="1" s="1"/>
  <c r="AD829" i="1"/>
  <c r="AG829" i="1" s="1"/>
  <c r="AH862" i="1"/>
  <c r="AI862" i="1" s="1"/>
  <c r="AD882" i="1"/>
  <c r="AG882" i="1" s="1"/>
  <c r="AD790" i="1"/>
  <c r="AG790" i="1" s="1"/>
  <c r="AD842" i="1"/>
  <c r="AG842" i="1" s="1"/>
  <c r="AD774" i="1"/>
  <c r="AG774" i="1" s="1"/>
  <c r="AH564" i="1"/>
  <c r="AI564" i="1" s="1"/>
  <c r="AD369" i="1"/>
  <c r="AG369" i="1" s="1"/>
  <c r="AD386" i="1"/>
  <c r="AG386" i="1" s="1"/>
  <c r="AH213" i="1"/>
  <c r="AI213" i="1" s="1"/>
  <c r="AD135" i="1"/>
  <c r="AG135" i="1" s="1"/>
  <c r="AH172" i="1"/>
  <c r="AI172" i="1" s="1"/>
  <c r="AD63" i="1"/>
  <c r="AG63" i="1" s="1"/>
  <c r="AD906" i="1"/>
  <c r="AG906" i="1" s="1"/>
  <c r="AD951" i="1"/>
  <c r="AG951" i="1" s="1"/>
  <c r="AD673" i="1"/>
  <c r="AG673" i="1" s="1"/>
  <c r="AD380" i="1"/>
  <c r="AG380" i="1" s="1"/>
  <c r="AD268" i="1"/>
  <c r="AG268" i="1" s="1"/>
  <c r="AD260" i="1"/>
  <c r="AG260" i="1" s="1"/>
  <c r="AD100" i="1"/>
  <c r="AG100" i="1" s="1"/>
  <c r="AD667" i="1"/>
  <c r="AG667" i="1" s="1"/>
  <c r="AD119" i="1"/>
  <c r="AG119" i="1" s="1"/>
  <c r="AD87" i="1"/>
  <c r="AG87" i="1" s="1"/>
  <c r="AD635" i="1"/>
  <c r="AG635" i="1" s="1"/>
  <c r="AD669" i="1"/>
  <c r="AG669" i="1" s="1"/>
  <c r="AD638" i="1"/>
  <c r="AG638" i="1" s="1"/>
  <c r="AH188" i="1"/>
  <c r="AI188" i="1" s="1"/>
  <c r="AD143" i="1"/>
  <c r="AG143" i="1" s="1"/>
  <c r="AD279" i="1"/>
  <c r="AG279" i="1" s="1"/>
  <c r="AD113" i="1"/>
  <c r="AG113" i="1" s="1"/>
  <c r="AH41" i="1"/>
  <c r="AI41" i="1" s="1"/>
  <c r="AD969" i="1"/>
  <c r="AG969" i="1" s="1"/>
  <c r="AD913" i="1"/>
  <c r="AG913" i="1" s="1"/>
  <c r="AD684" i="1"/>
  <c r="AG684" i="1" s="1"/>
  <c r="AD373" i="1"/>
  <c r="AG373" i="1" s="1"/>
  <c r="AD485" i="1"/>
  <c r="AG485" i="1" s="1"/>
  <c r="AD374" i="1"/>
  <c r="AG374" i="1" s="1"/>
  <c r="AH308" i="1"/>
  <c r="AI308" i="1" s="1"/>
  <c r="AD182" i="1"/>
  <c r="AG182" i="1" s="1"/>
  <c r="AD754" i="1"/>
  <c r="AG754" i="1" s="1"/>
  <c r="AD722" i="1"/>
  <c r="AG722" i="1" s="1"/>
  <c r="AD795" i="1"/>
  <c r="AG795" i="1" s="1"/>
  <c r="AD353" i="1"/>
  <c r="AG353" i="1" s="1"/>
  <c r="AD167" i="1"/>
  <c r="AG167" i="1" s="1"/>
  <c r="AD90" i="1"/>
  <c r="AG90" i="1" s="1"/>
  <c r="AD792" i="1"/>
  <c r="AG792" i="1" s="1"/>
  <c r="AD853" i="1"/>
  <c r="AG853" i="1" s="1"/>
  <c r="AD704" i="1"/>
  <c r="AG704" i="1" s="1"/>
  <c r="AH682" i="1"/>
  <c r="AI682" i="1" s="1"/>
  <c r="AD604" i="1"/>
  <c r="AG604" i="1" s="1"/>
  <c r="AD406" i="1"/>
  <c r="AG406" i="1" s="1"/>
  <c r="AD327" i="1"/>
  <c r="AG327" i="1" s="1"/>
  <c r="AD176" i="1"/>
  <c r="AG176" i="1" s="1"/>
  <c r="AD216" i="1"/>
  <c r="AG216" i="1" s="1"/>
  <c r="AH11" i="1"/>
  <c r="AI11" i="1" s="1"/>
  <c r="AD577" i="1"/>
  <c r="AG577" i="1" s="1"/>
  <c r="AD512" i="1"/>
  <c r="AG512" i="1" s="1"/>
  <c r="AD384" i="1"/>
  <c r="AG384" i="1" s="1"/>
  <c r="AD324" i="1"/>
  <c r="AG324" i="1" s="1"/>
  <c r="AD529" i="1"/>
  <c r="AG529" i="1" s="1"/>
  <c r="AD872" i="1"/>
  <c r="AG872" i="1" s="1"/>
  <c r="AH971" i="1"/>
  <c r="AI971" i="1" s="1"/>
  <c r="AD883" i="1"/>
  <c r="AG883" i="1" s="1"/>
  <c r="AD696" i="1"/>
  <c r="AG696" i="1" s="1"/>
  <c r="AD595" i="1"/>
  <c r="AG595" i="1" s="1"/>
  <c r="AD617" i="1"/>
  <c r="AG617" i="1" s="1"/>
  <c r="AD465" i="1"/>
  <c r="AG465" i="1" s="1"/>
  <c r="AD404" i="1"/>
  <c r="AG404" i="1" s="1"/>
  <c r="AD220" i="1"/>
  <c r="AG220" i="1" s="1"/>
  <c r="AD28" i="1"/>
  <c r="AG28" i="1" s="1"/>
  <c r="AD74" i="1"/>
  <c r="AG74" i="1" s="1"/>
  <c r="AD785" i="1"/>
  <c r="AG785" i="1" s="1"/>
  <c r="AD466" i="1"/>
  <c r="AG466" i="1" s="1"/>
  <c r="AD81" i="1"/>
  <c r="AG81" i="1" s="1"/>
  <c r="AD885" i="1"/>
  <c r="AG885" i="1" s="1"/>
  <c r="AD428" i="1"/>
  <c r="AG428" i="1" s="1"/>
  <c r="AD241" i="1"/>
  <c r="AG241" i="1" s="1"/>
  <c r="AD412" i="1"/>
  <c r="AG412" i="1" s="1"/>
  <c r="AD680" i="1"/>
  <c r="AG680" i="1" s="1"/>
  <c r="AD244" i="1"/>
  <c r="AG244" i="1" s="1"/>
  <c r="AD209" i="1"/>
  <c r="AG209" i="1" s="1"/>
  <c r="AD174" i="1"/>
  <c r="AG174" i="1" s="1"/>
  <c r="AD149" i="1"/>
  <c r="AG149" i="1" s="1"/>
  <c r="AD92" i="1"/>
  <c r="AG92" i="1" s="1"/>
  <c r="AD533" i="1"/>
  <c r="AG533" i="1" s="1"/>
  <c r="AD531" i="1"/>
  <c r="AG531" i="1" s="1"/>
  <c r="AD264" i="1"/>
  <c r="AG264" i="1" s="1"/>
  <c r="AD962" i="1"/>
  <c r="AG962" i="1" s="1"/>
  <c r="AD869" i="1"/>
  <c r="AG869" i="1" s="1"/>
  <c r="AD424" i="1"/>
  <c r="AG424" i="1" s="1"/>
  <c r="AD356" i="1"/>
  <c r="AG356" i="1" s="1"/>
  <c r="AD382" i="1"/>
  <c r="AG382" i="1" s="1"/>
  <c r="AD343" i="1"/>
  <c r="AG343" i="1" s="1"/>
  <c r="AD201" i="1"/>
  <c r="AG201" i="1" s="1"/>
  <c r="AD126" i="1"/>
  <c r="AG126" i="1" s="1"/>
  <c r="AD396" i="1"/>
  <c r="AG396" i="1" s="1"/>
  <c r="AD811" i="1"/>
  <c r="AG811" i="1" s="1"/>
  <c r="AD469" i="1"/>
  <c r="AG469" i="1" s="1"/>
  <c r="AD331" i="1"/>
  <c r="AG331" i="1" s="1"/>
  <c r="AD116" i="1"/>
  <c r="AG116" i="1" s="1"/>
  <c r="AD681" i="1"/>
  <c r="AG681" i="1" s="1"/>
  <c r="AD515" i="1"/>
  <c r="AG515" i="1" s="1"/>
  <c r="AH659" i="1"/>
  <c r="AI659" i="1" s="1"/>
  <c r="AD659" i="1"/>
  <c r="AG659" i="1" s="1"/>
  <c r="AH95" i="1"/>
  <c r="AI95" i="1" s="1"/>
  <c r="AD95" i="1"/>
  <c r="AG95" i="1" s="1"/>
  <c r="AD954" i="1"/>
  <c r="AG954" i="1" s="1"/>
  <c r="AD952" i="1"/>
  <c r="AG952" i="1" s="1"/>
  <c r="AD731" i="1"/>
  <c r="AG731" i="1" s="1"/>
  <c r="AD568" i="1"/>
  <c r="AG568" i="1" s="1"/>
  <c r="AH497" i="1"/>
  <c r="AI497" i="1" s="1"/>
  <c r="AH471" i="1"/>
  <c r="AI471" i="1" s="1"/>
  <c r="AH312" i="1"/>
  <c r="AI312" i="1" s="1"/>
  <c r="AD183" i="1"/>
  <c r="AG183" i="1" s="1"/>
  <c r="AD168" i="1"/>
  <c r="AG168" i="1" s="1"/>
  <c r="AH97" i="1"/>
  <c r="AI97" i="1" s="1"/>
  <c r="AD688" i="1"/>
  <c r="AG688" i="1" s="1"/>
  <c r="AD573" i="1"/>
  <c r="AG573" i="1" s="1"/>
  <c r="AD480" i="1"/>
  <c r="AG480" i="1" s="1"/>
  <c r="AD166" i="1"/>
  <c r="AG166" i="1" s="1"/>
  <c r="AD44" i="1"/>
  <c r="AG44" i="1" s="1"/>
  <c r="AD4" i="1"/>
  <c r="AG4" i="1" s="1"/>
  <c r="AD814" i="1"/>
  <c r="AG814" i="1" s="1"/>
  <c r="AD207" i="1"/>
  <c r="AG207" i="1" s="1"/>
  <c r="AH715" i="1"/>
  <c r="AI715" i="1" s="1"/>
  <c r="AD715" i="1"/>
  <c r="AG715" i="1" s="1"/>
  <c r="AD563" i="1"/>
  <c r="AG563" i="1" s="1"/>
  <c r="AD773" i="1"/>
  <c r="AG773" i="1" s="1"/>
  <c r="AD567" i="1"/>
  <c r="AG567" i="1" s="1"/>
  <c r="AD293" i="1"/>
  <c r="AG293" i="1" s="1"/>
  <c r="AH121" i="1"/>
  <c r="AI121" i="1" s="1"/>
  <c r="AD976" i="1"/>
  <c r="AG976" i="1" s="1"/>
  <c r="AD888" i="1"/>
  <c r="AG888" i="1" s="1"/>
  <c r="AD632" i="1"/>
  <c r="AG632" i="1" s="1"/>
  <c r="AD641" i="1"/>
  <c r="AG641" i="1" s="1"/>
  <c r="AD493" i="1"/>
  <c r="AG493" i="1" s="1"/>
  <c r="AD559" i="1"/>
  <c r="AG559" i="1" s="1"/>
  <c r="AD332" i="1"/>
  <c r="AG332" i="1" s="1"/>
  <c r="AD283" i="1"/>
  <c r="AG283" i="1" s="1"/>
  <c r="AD150" i="1"/>
  <c r="AG150" i="1" s="1"/>
  <c r="AD39" i="1"/>
  <c r="AG39" i="1" s="1"/>
  <c r="AD94" i="1"/>
  <c r="AG94" i="1" s="1"/>
  <c r="AD541" i="1"/>
  <c r="AG541" i="1" s="1"/>
  <c r="AD521" i="1"/>
  <c r="AG521" i="1" s="1"/>
  <c r="AD854" i="1"/>
  <c r="AG854" i="1" s="1"/>
  <c r="AD898" i="1"/>
  <c r="AG898" i="1" s="1"/>
  <c r="AD739" i="1"/>
  <c r="AG739" i="1" s="1"/>
  <c r="AD646" i="1"/>
  <c r="AG646" i="1" s="1"/>
  <c r="AD917" i="1"/>
  <c r="AG917" i="1" s="1"/>
  <c r="AD856" i="1"/>
  <c r="AG856" i="1" s="1"/>
  <c r="AD766" i="1"/>
  <c r="AG766" i="1" s="1"/>
  <c r="AD929" i="1"/>
  <c r="AG929" i="1" s="1"/>
  <c r="AD881" i="1"/>
  <c r="AG881" i="1" s="1"/>
  <c r="AD858" i="1"/>
  <c r="AG858" i="1" s="1"/>
  <c r="AD616" i="1"/>
  <c r="AG616" i="1" s="1"/>
  <c r="AD687" i="1"/>
  <c r="AG687" i="1" s="1"/>
  <c r="AD381" i="1"/>
  <c r="AG381" i="1" s="1"/>
  <c r="AD432" i="1"/>
  <c r="AG432" i="1" s="1"/>
  <c r="AH157" i="1"/>
  <c r="AI157" i="1" s="1"/>
  <c r="AD147" i="1"/>
  <c r="AG147" i="1" s="1"/>
  <c r="AD114" i="1"/>
  <c r="AG114" i="1" s="1"/>
  <c r="AD50" i="1"/>
  <c r="AG50" i="1" s="1"/>
  <c r="AD204" i="1"/>
  <c r="AG204" i="1" s="1"/>
  <c r="AD82" i="1"/>
  <c r="AG82" i="1" s="1"/>
  <c r="AD874" i="1"/>
  <c r="AG874" i="1" s="1"/>
  <c r="AD655" i="1"/>
  <c r="AG655" i="1" s="1"/>
  <c r="AH847" i="1"/>
  <c r="AI847" i="1" s="1"/>
  <c r="AD847" i="1"/>
  <c r="AG847" i="1" s="1"/>
  <c r="AD793" i="1"/>
  <c r="AG793" i="1" s="1"/>
  <c r="AD547" i="1"/>
  <c r="AG547" i="1" s="1"/>
  <c r="AD534" i="1"/>
  <c r="AG534" i="1" s="1"/>
  <c r="AD661" i="1"/>
  <c r="AG661" i="1" s="1"/>
  <c r="AD286" i="1"/>
  <c r="AG286" i="1" s="1"/>
  <c r="AH286" i="1"/>
  <c r="AI286" i="1" s="1"/>
  <c r="AD764" i="1"/>
  <c r="AG764" i="1" s="1"/>
  <c r="AD612" i="1"/>
  <c r="AG612" i="1" s="1"/>
  <c r="AD581" i="1"/>
  <c r="AG581" i="1" s="1"/>
  <c r="AD470" i="1"/>
  <c r="AG470" i="1" s="1"/>
  <c r="AD24" i="1"/>
  <c r="AG24" i="1" s="1"/>
  <c r="AD968" i="1"/>
  <c r="AG968" i="1" s="1"/>
  <c r="AD983" i="1"/>
  <c r="AG983" i="1" s="1"/>
  <c r="AD841" i="1"/>
  <c r="AG841" i="1" s="1"/>
  <c r="AD725" i="1"/>
  <c r="AG725" i="1" s="1"/>
  <c r="AD430" i="1"/>
  <c r="AG430" i="1" s="1"/>
  <c r="AD257" i="1"/>
  <c r="AG257" i="1" s="1"/>
  <c r="AD127" i="1"/>
  <c r="AG127" i="1" s="1"/>
  <c r="AD106" i="1"/>
  <c r="AG106" i="1" s="1"/>
  <c r="AD830" i="1"/>
  <c r="AG830" i="1" s="1"/>
  <c r="AD902" i="1"/>
  <c r="AG902" i="1" s="1"/>
  <c r="AD255" i="1"/>
  <c r="AG255" i="1" s="1"/>
  <c r="AD446" i="1"/>
  <c r="AG446" i="1" s="1"/>
  <c r="AD426" i="1"/>
  <c r="AG426" i="1" s="1"/>
  <c r="AD134" i="1"/>
  <c r="AG134" i="1" s="1"/>
  <c r="AD525" i="1"/>
  <c r="AG525" i="1" s="1"/>
  <c r="AD181" i="1"/>
  <c r="AG181" i="1" s="1"/>
  <c r="AD742" i="1"/>
  <c r="AG742" i="1" s="1"/>
  <c r="AD572" i="1"/>
  <c r="AG572" i="1" s="1"/>
  <c r="AD413" i="1"/>
  <c r="AG413" i="1" s="1"/>
  <c r="AD633" i="1"/>
  <c r="AG633" i="1" s="1"/>
  <c r="AD543" i="1"/>
  <c r="AG543" i="1" s="1"/>
  <c r="AD434" i="1"/>
  <c r="AG434" i="1" s="1"/>
  <c r="AD980" i="1"/>
  <c r="AG980" i="1" s="1"/>
  <c r="AH844" i="1"/>
  <c r="AI844" i="1" s="1"/>
  <c r="AD844" i="1"/>
  <c r="AG844" i="1" s="1"/>
  <c r="AD278" i="1"/>
  <c r="AG278" i="1" s="1"/>
  <c r="AH278" i="1"/>
  <c r="AI278" i="1" s="1"/>
  <c r="AD782" i="1"/>
  <c r="AG782" i="1" s="1"/>
  <c r="AD979" i="1"/>
  <c r="AG979" i="1" s="1"/>
  <c r="AD794" i="1"/>
  <c r="AG794" i="1" s="1"/>
  <c r="AD735" i="1"/>
  <c r="AG735" i="1" s="1"/>
  <c r="AD916" i="1"/>
  <c r="AG916" i="1" s="1"/>
  <c r="AD820" i="1"/>
  <c r="AG820" i="1" s="1"/>
  <c r="AD495" i="1"/>
  <c r="AG495" i="1" s="1"/>
  <c r="AD530" i="1"/>
  <c r="AG530" i="1" s="1"/>
  <c r="AD392" i="1"/>
  <c r="AG392" i="1" s="1"/>
  <c r="AD315" i="1"/>
  <c r="AG315" i="1" s="1"/>
  <c r="AD217" i="1"/>
  <c r="AG217" i="1" s="1"/>
  <c r="AD511" i="1"/>
  <c r="AG511" i="1" s="1"/>
  <c r="AD289" i="1"/>
  <c r="AG289" i="1" s="1"/>
  <c r="AD228" i="1"/>
  <c r="AG228" i="1" s="1"/>
  <c r="AD13" i="1"/>
  <c r="AG13" i="1" s="1"/>
  <c r="AD942" i="1"/>
  <c r="AG942" i="1" s="1"/>
  <c r="AD949" i="1"/>
  <c r="AG949" i="1" s="1"/>
  <c r="AD749" i="1"/>
  <c r="AG749" i="1" s="1"/>
  <c r="AD777" i="1"/>
  <c r="AG777" i="1" s="1"/>
  <c r="AD588" i="1"/>
  <c r="AG588" i="1" s="1"/>
  <c r="AD584" i="1"/>
  <c r="AG584" i="1" s="1"/>
  <c r="AD580" i="1"/>
  <c r="AG580" i="1" s="1"/>
  <c r="AD947" i="1"/>
  <c r="AG947" i="1" s="1"/>
  <c r="AH846" i="1"/>
  <c r="AI846" i="1" s="1"/>
  <c r="AD846" i="1"/>
  <c r="AG846" i="1" s="1"/>
  <c r="AD918" i="1"/>
  <c r="AG918" i="1" s="1"/>
  <c r="AD787" i="1"/>
  <c r="AG787" i="1" s="1"/>
  <c r="AH787" i="1"/>
  <c r="AI787" i="1" s="1"/>
  <c r="AD677" i="1"/>
  <c r="AG677" i="1" s="1"/>
  <c r="AH677" i="1"/>
  <c r="AI677" i="1" s="1"/>
  <c r="AD817" i="1"/>
  <c r="AG817" i="1" s="1"/>
  <c r="AD539" i="1"/>
  <c r="AG539" i="1" s="1"/>
  <c r="AH539" i="1"/>
  <c r="AI539" i="1" s="1"/>
  <c r="AH700" i="1"/>
  <c r="AI700" i="1" s="1"/>
  <c r="AD700" i="1"/>
  <c r="AG700" i="1" s="1"/>
  <c r="AD848" i="1"/>
  <c r="AG848" i="1" s="1"/>
  <c r="AH649" i="1"/>
  <c r="AI649" i="1" s="1"/>
  <c r="AD649" i="1"/>
  <c r="AG649" i="1" s="1"/>
  <c r="AD554" i="1"/>
  <c r="AG554" i="1" s="1"/>
  <c r="AD527" i="1"/>
  <c r="AG527" i="1" s="1"/>
  <c r="AD473" i="1"/>
  <c r="AG473" i="1" s="1"/>
  <c r="AD355" i="1"/>
  <c r="AG355" i="1" s="1"/>
  <c r="AH355" i="1"/>
  <c r="AI355" i="1" s="1"/>
  <c r="AD348" i="1"/>
  <c r="AG348" i="1" s="1"/>
  <c r="AH348" i="1"/>
  <c r="AI348" i="1" s="1"/>
  <c r="AD270" i="1"/>
  <c r="AG270" i="1" s="1"/>
  <c r="AH270" i="1"/>
  <c r="AI270" i="1" s="1"/>
  <c r="AD20" i="1"/>
  <c r="AG20" i="1" s="1"/>
  <c r="AD122" i="1"/>
  <c r="AG122" i="1" s="1"/>
  <c r="AH55" i="1"/>
  <c r="AI55" i="1" s="1"/>
  <c r="AD55" i="1"/>
  <c r="AG55" i="1" s="1"/>
  <c r="AD30" i="1"/>
  <c r="AG30" i="1" s="1"/>
  <c r="AD165" i="1"/>
  <c r="AG165" i="1" s="1"/>
  <c r="AD772" i="1"/>
  <c r="AG772" i="1" s="1"/>
  <c r="AD745" i="1"/>
  <c r="AG745" i="1" s="1"/>
  <c r="AD741" i="1"/>
  <c r="AG741" i="1" s="1"/>
  <c r="AD758" i="1"/>
  <c r="AG758" i="1" s="1"/>
  <c r="AD576" i="1"/>
  <c r="AG576" i="1" s="1"/>
  <c r="AD371" i="1"/>
  <c r="AG371" i="1" s="1"/>
  <c r="AD405" i="1"/>
  <c r="AG405" i="1" s="1"/>
  <c r="AD385" i="1"/>
  <c r="AG385" i="1" s="1"/>
  <c r="AD924" i="1"/>
  <c r="AG924" i="1" s="1"/>
  <c r="AH924" i="1"/>
  <c r="AI924" i="1" s="1"/>
  <c r="AD860" i="1"/>
  <c r="AG860" i="1" s="1"/>
  <c r="AH852" i="1"/>
  <c r="AI852" i="1" s="1"/>
  <c r="AD852" i="1"/>
  <c r="AG852" i="1" s="1"/>
  <c r="AH914" i="1"/>
  <c r="AI914" i="1" s="1"/>
  <c r="AD914" i="1"/>
  <c r="AG914" i="1" s="1"/>
  <c r="AD892" i="1"/>
  <c r="AG892" i="1" s="1"/>
  <c r="AD717" i="1"/>
  <c r="AG717" i="1" s="1"/>
  <c r="AH717" i="1"/>
  <c r="AI717" i="1" s="1"/>
  <c r="AD705" i="1"/>
  <c r="AG705" i="1" s="1"/>
  <c r="AH876" i="1"/>
  <c r="AI876" i="1" s="1"/>
  <c r="AD876" i="1"/>
  <c r="AG876" i="1" s="1"/>
  <c r="AH850" i="1"/>
  <c r="AI850" i="1" s="1"/>
  <c r="AD850" i="1"/>
  <c r="AG850" i="1" s="1"/>
  <c r="AD738" i="1"/>
  <c r="AG738" i="1" s="1"/>
  <c r="AD614" i="1"/>
  <c r="AG614" i="1" s="1"/>
  <c r="AD810" i="1"/>
  <c r="AG810" i="1" s="1"/>
  <c r="AD721" i="1"/>
  <c r="AG721" i="1" s="1"/>
  <c r="AH558" i="1"/>
  <c r="AI558" i="1" s="1"/>
  <c r="AD558" i="1"/>
  <c r="AG558" i="1" s="1"/>
  <c r="AH526" i="1"/>
  <c r="AI526" i="1" s="1"/>
  <c r="AD526" i="1"/>
  <c r="AG526" i="1" s="1"/>
  <c r="AD607" i="1"/>
  <c r="AG607" i="1" s="1"/>
  <c r="AD836" i="1"/>
  <c r="AG836" i="1" s="1"/>
  <c r="AH693" i="1"/>
  <c r="AI693" i="1" s="1"/>
  <c r="AD693" i="1"/>
  <c r="AG693" i="1" s="1"/>
  <c r="AD668" i="1"/>
  <c r="AG668" i="1" s="1"/>
  <c r="AD538" i="1"/>
  <c r="AG538" i="1" s="1"/>
  <c r="AD514" i="1"/>
  <c r="AG514" i="1" s="1"/>
  <c r="AD483" i="1"/>
  <c r="AG483" i="1" s="1"/>
  <c r="AH483" i="1"/>
  <c r="AI483" i="1" s="1"/>
  <c r="AD546" i="1"/>
  <c r="AG546" i="1" s="1"/>
  <c r="AD479" i="1"/>
  <c r="AG479" i="1" s="1"/>
  <c r="AH479" i="1"/>
  <c r="AI479" i="1" s="1"/>
  <c r="AD400" i="1"/>
  <c r="AG400" i="1" s="1"/>
  <c r="AD487" i="1"/>
  <c r="AG487" i="1" s="1"/>
  <c r="AH487" i="1"/>
  <c r="AI487" i="1" s="1"/>
  <c r="AH477" i="1"/>
  <c r="AI477" i="1" s="1"/>
  <c r="AD477" i="1"/>
  <c r="AG477" i="1" s="1"/>
  <c r="AD522" i="1"/>
  <c r="AG522" i="1" s="1"/>
  <c r="AD481" i="1"/>
  <c r="AG481" i="1" s="1"/>
  <c r="AH481" i="1"/>
  <c r="AI481" i="1" s="1"/>
  <c r="AD351" i="1"/>
  <c r="AG351" i="1" s="1"/>
  <c r="AD501" i="1"/>
  <c r="AG501" i="1" s="1"/>
  <c r="AD365" i="1"/>
  <c r="AG365" i="1" s="1"/>
  <c r="AD282" i="1"/>
  <c r="AG282" i="1" s="1"/>
  <c r="AH282" i="1"/>
  <c r="AI282" i="1" s="1"/>
  <c r="AD358" i="1"/>
  <c r="AG358" i="1" s="1"/>
  <c r="AD84" i="1"/>
  <c r="AG84" i="1" s="1"/>
  <c r="AD17" i="1"/>
  <c r="AG17" i="1" s="1"/>
  <c r="AH17" i="1"/>
  <c r="AI17" i="1" s="1"/>
  <c r="AD212" i="1"/>
  <c r="AG212" i="1" s="1"/>
  <c r="AD12" i="1"/>
  <c r="AG12" i="1" s="1"/>
  <c r="AD418" i="1"/>
  <c r="AG418" i="1" s="1"/>
  <c r="AH859" i="1"/>
  <c r="AI859" i="1" s="1"/>
  <c r="AD859" i="1"/>
  <c r="AG859" i="1" s="1"/>
  <c r="AH821" i="1"/>
  <c r="AI821" i="1" s="1"/>
  <c r="AD821" i="1"/>
  <c r="AG821" i="1" s="1"/>
  <c r="AH907" i="1"/>
  <c r="AI907" i="1" s="1"/>
  <c r="AD907" i="1"/>
  <c r="AG907" i="1" s="1"/>
  <c r="AH671" i="1"/>
  <c r="AI671" i="1" s="1"/>
  <c r="AD671" i="1"/>
  <c r="AG671" i="1" s="1"/>
  <c r="AD555" i="1"/>
  <c r="AG555" i="1" s="1"/>
  <c r="AH555" i="1"/>
  <c r="AI555" i="1" s="1"/>
  <c r="AD523" i="1"/>
  <c r="AG523" i="1" s="1"/>
  <c r="AH523" i="1"/>
  <c r="AI523" i="1" s="1"/>
  <c r="AD729" i="1"/>
  <c r="AG729" i="1" s="1"/>
  <c r="AD698" i="1"/>
  <c r="AG698" i="1" s="1"/>
  <c r="AD657" i="1"/>
  <c r="AG657" i="1" s="1"/>
  <c r="AD476" i="1"/>
  <c r="AG476" i="1" s="1"/>
  <c r="AD347" i="1"/>
  <c r="AG347" i="1" s="1"/>
  <c r="AD265" i="1"/>
  <c r="AG265" i="1" s="1"/>
  <c r="AD262" i="1"/>
  <c r="AG262" i="1" s="1"/>
  <c r="AD76" i="1"/>
  <c r="AG76" i="1" s="1"/>
  <c r="AD298" i="1"/>
  <c r="AG298" i="1" s="1"/>
  <c r="AD173" i="1"/>
  <c r="AG173" i="1" s="1"/>
  <c r="AD946" i="1"/>
  <c r="AG946" i="1" s="1"/>
  <c r="AD778" i="1"/>
  <c r="AG778" i="1" s="1"/>
  <c r="AD762" i="1"/>
  <c r="AG762" i="1" s="1"/>
  <c r="AD600" i="1"/>
  <c r="AG600" i="1" s="1"/>
  <c r="AD482" i="1"/>
  <c r="AG482" i="1" s="1"/>
  <c r="AD454" i="1"/>
  <c r="AG454" i="1" s="1"/>
  <c r="AD379" i="1"/>
  <c r="AG379" i="1" s="1"/>
  <c r="AD160" i="1"/>
  <c r="AG160" i="1" s="1"/>
  <c r="AD151" i="1"/>
  <c r="AG151" i="1" s="1"/>
  <c r="AD958" i="1"/>
  <c r="AG958" i="1" s="1"/>
  <c r="AH880" i="1"/>
  <c r="AI880" i="1" s="1"/>
  <c r="AD880" i="1"/>
  <c r="AG880" i="1" s="1"/>
  <c r="AD868" i="1"/>
  <c r="AG868" i="1" s="1"/>
  <c r="AH868" i="1"/>
  <c r="AI868" i="1" s="1"/>
  <c r="AH797" i="1"/>
  <c r="AI797" i="1" s="1"/>
  <c r="AD797" i="1"/>
  <c r="AG797" i="1" s="1"/>
  <c r="AD719" i="1"/>
  <c r="AG719" i="1" s="1"/>
  <c r="AD932" i="1"/>
  <c r="AG932" i="1" s="1"/>
  <c r="AH932" i="1"/>
  <c r="AI932" i="1" s="1"/>
  <c r="AD840" i="1"/>
  <c r="AG840" i="1" s="1"/>
  <c r="AH542" i="1"/>
  <c r="AI542" i="1" s="1"/>
  <c r="AD542" i="1"/>
  <c r="AG542" i="1" s="1"/>
  <c r="AD701" i="1"/>
  <c r="AG701" i="1" s="1"/>
  <c r="AH701" i="1"/>
  <c r="AI701" i="1" s="1"/>
  <c r="AD695" i="1"/>
  <c r="AG695" i="1" s="1"/>
  <c r="AD637" i="1"/>
  <c r="AG637" i="1" s="1"/>
  <c r="AD611" i="1"/>
  <c r="AG611" i="1" s="1"/>
  <c r="AD645" i="1"/>
  <c r="AG645" i="1" s="1"/>
  <c r="AD551" i="1"/>
  <c r="AG551" i="1" s="1"/>
  <c r="AD517" i="1"/>
  <c r="AG517" i="1" s="1"/>
  <c r="AD519" i="1"/>
  <c r="AG519" i="1" s="1"/>
  <c r="AD442" i="1"/>
  <c r="AG442" i="1" s="1"/>
  <c r="AD535" i="1"/>
  <c r="AG535" i="1" s="1"/>
  <c r="AD484" i="1"/>
  <c r="AG484" i="1" s="1"/>
  <c r="AD307" i="1"/>
  <c r="AG307" i="1" s="1"/>
  <c r="AD285" i="1"/>
  <c r="AG285" i="1" s="1"/>
  <c r="AD187" i="1"/>
  <c r="AG187" i="1" s="1"/>
  <c r="AD66" i="1"/>
  <c r="AG66" i="1" s="1"/>
  <c r="AD49" i="1"/>
  <c r="AG49" i="1" s="1"/>
  <c r="AH49" i="1"/>
  <c r="AI49" i="1" s="1"/>
  <c r="AD189" i="1"/>
  <c r="AG189" i="1" s="1"/>
  <c r="AD7" i="1"/>
  <c r="AG7" i="1" s="1"/>
  <c r="AH956" i="1"/>
  <c r="AI956" i="1" s="1"/>
  <c r="AD956" i="1"/>
  <c r="AG956" i="1" s="1"/>
  <c r="AH964" i="1"/>
  <c r="AI964" i="1" s="1"/>
  <c r="AD964" i="1"/>
  <c r="AG964" i="1" s="1"/>
  <c r="AD950" i="1"/>
  <c r="AG950" i="1" s="1"/>
  <c r="AH939" i="1"/>
  <c r="AI939" i="1" s="1"/>
  <c r="AD939" i="1"/>
  <c r="AG939" i="1" s="1"/>
  <c r="AD905" i="1"/>
  <c r="AG905" i="1" s="1"/>
  <c r="AH905" i="1"/>
  <c r="AI905" i="1" s="1"/>
  <c r="AH866" i="1"/>
  <c r="AI866" i="1" s="1"/>
  <c r="AD866" i="1"/>
  <c r="AG866" i="1" s="1"/>
  <c r="AH940" i="1"/>
  <c r="AI940" i="1" s="1"/>
  <c r="AD940" i="1"/>
  <c r="AG940" i="1" s="1"/>
  <c r="AH800" i="1"/>
  <c r="AI800" i="1" s="1"/>
  <c r="AD800" i="1"/>
  <c r="AG800" i="1" s="1"/>
  <c r="AD760" i="1"/>
  <c r="AG760" i="1" s="1"/>
  <c r="AD737" i="1"/>
  <c r="AG737" i="1" s="1"/>
  <c r="AD726" i="1"/>
  <c r="AG726" i="1" s="1"/>
  <c r="AH610" i="1"/>
  <c r="AI610" i="1" s="1"/>
  <c r="AD610" i="1"/>
  <c r="AG610" i="1" s="1"/>
  <c r="AD596" i="1"/>
  <c r="AG596" i="1" s="1"/>
  <c r="AH605" i="1"/>
  <c r="AI605" i="1" s="1"/>
  <c r="AD605" i="1"/>
  <c r="AG605" i="1" s="1"/>
  <c r="AD422" i="1"/>
  <c r="AG422" i="1" s="1"/>
  <c r="AD464" i="1"/>
  <c r="AG464" i="1" s="1"/>
  <c r="AH459" i="1"/>
  <c r="AI459" i="1" s="1"/>
  <c r="AD459" i="1"/>
  <c r="AG459" i="1" s="1"/>
  <c r="AD478" i="1"/>
  <c r="AG478" i="1" s="1"/>
  <c r="AD393" i="1"/>
  <c r="AG393" i="1" s="1"/>
  <c r="AD437" i="1"/>
  <c r="AG437" i="1" s="1"/>
  <c r="AD429" i="1"/>
  <c r="AG429" i="1" s="1"/>
  <c r="AH354" i="1"/>
  <c r="AI354" i="1" s="1"/>
  <c r="AD354" i="1"/>
  <c r="AG354" i="1" s="1"/>
  <c r="AD416" i="1"/>
  <c r="AG416" i="1" s="1"/>
  <c r="AD443" i="1"/>
  <c r="AG443" i="1" s="1"/>
  <c r="AH407" i="1"/>
  <c r="AI407" i="1" s="1"/>
  <c r="AD407" i="1"/>
  <c r="AG407" i="1" s="1"/>
  <c r="AD303" i="1"/>
  <c r="AG303" i="1" s="1"/>
  <c r="AH303" i="1"/>
  <c r="AI303" i="1" s="1"/>
  <c r="AD274" i="1"/>
  <c r="AG274" i="1" s="1"/>
  <c r="AH274" i="1"/>
  <c r="AI274" i="1" s="1"/>
  <c r="AD367" i="1"/>
  <c r="AG367" i="1" s="1"/>
  <c r="AD192" i="1"/>
  <c r="AG192" i="1" s="1"/>
  <c r="AD203" i="1"/>
  <c r="AG203" i="1" s="1"/>
  <c r="AH203" i="1"/>
  <c r="AI203" i="1" s="1"/>
  <c r="AD112" i="1"/>
  <c r="AG112" i="1" s="1"/>
  <c r="AD14" i="1"/>
  <c r="AG14" i="1" s="1"/>
  <c r="AD104" i="1"/>
  <c r="AG104" i="1" s="1"/>
  <c r="AD80" i="1"/>
  <c r="AG80" i="1" s="1"/>
  <c r="AD757" i="1"/>
  <c r="AG757" i="1" s="1"/>
  <c r="AH594" i="1"/>
  <c r="AI594" i="1" s="1"/>
  <c r="AD594" i="1"/>
  <c r="AG594" i="1" s="1"/>
  <c r="AH506" i="1"/>
  <c r="AI506" i="1" s="1"/>
  <c r="AD506" i="1"/>
  <c r="AG506" i="1" s="1"/>
  <c r="AD590" i="1"/>
  <c r="AG590" i="1" s="1"/>
  <c r="AH461" i="1"/>
  <c r="AI461" i="1" s="1"/>
  <c r="AD461" i="1"/>
  <c r="AG461" i="1" s="1"/>
  <c r="AD608" i="1"/>
  <c r="AG608" i="1" s="1"/>
  <c r="AD490" i="1"/>
  <c r="AG490" i="1" s="1"/>
  <c r="AD486" i="1"/>
  <c r="AG486" i="1" s="1"/>
  <c r="AD433" i="1"/>
  <c r="AG433" i="1" s="1"/>
  <c r="AD439" i="1"/>
  <c r="AG439" i="1" s="1"/>
  <c r="AH368" i="1"/>
  <c r="AI368" i="1" s="1"/>
  <c r="AD368" i="1"/>
  <c r="AG368" i="1" s="1"/>
  <c r="AH309" i="1"/>
  <c r="AI309" i="1" s="1"/>
  <c r="AD309" i="1"/>
  <c r="AG309" i="1" s="1"/>
  <c r="AD242" i="1"/>
  <c r="AG242" i="1" s="1"/>
  <c r="AH242" i="1"/>
  <c r="AI242" i="1" s="1"/>
  <c r="AD194" i="1"/>
  <c r="AG194" i="1" s="1"/>
  <c r="AH194" i="1"/>
  <c r="AI194" i="1" s="1"/>
  <c r="AD191" i="1"/>
  <c r="AG191" i="1" s="1"/>
  <c r="AH29" i="1"/>
  <c r="AI29" i="1" s="1"/>
  <c r="AD29" i="1"/>
  <c r="AG29" i="1" s="1"/>
  <c r="AH77" i="1"/>
  <c r="AI77" i="1" s="1"/>
  <c r="AD77" i="1"/>
  <c r="AG77" i="1" s="1"/>
  <c r="AH863" i="1"/>
  <c r="AI863" i="1" s="1"/>
  <c r="AD863" i="1"/>
  <c r="AG863" i="1" s="1"/>
  <c r="AD974" i="1"/>
  <c r="AG974" i="1" s="1"/>
  <c r="AD941" i="1"/>
  <c r="AG941" i="1" s="1"/>
  <c r="AH944" i="1"/>
  <c r="AI944" i="1" s="1"/>
  <c r="AD944" i="1"/>
  <c r="AG944" i="1" s="1"/>
  <c r="AD870" i="1"/>
  <c r="AG870" i="1" s="1"/>
  <c r="AH870" i="1"/>
  <c r="AI870" i="1" s="1"/>
  <c r="AH960" i="1"/>
  <c r="AI960" i="1" s="1"/>
  <c r="AD960" i="1"/>
  <c r="AG960" i="1" s="1"/>
  <c r="AH835" i="1"/>
  <c r="AI835" i="1" s="1"/>
  <c r="AD835" i="1"/>
  <c r="AG835" i="1" s="1"/>
  <c r="AH804" i="1"/>
  <c r="AI804" i="1" s="1"/>
  <c r="AD804" i="1"/>
  <c r="AG804" i="1" s="1"/>
  <c r="AD768" i="1"/>
  <c r="AG768" i="1" s="1"/>
  <c r="AD771" i="1"/>
  <c r="AG771" i="1" s="1"/>
  <c r="AH771" i="1"/>
  <c r="AI771" i="1" s="1"/>
  <c r="AH740" i="1"/>
  <c r="AI740" i="1" s="1"/>
  <c r="AD740" i="1"/>
  <c r="AG740" i="1" s="1"/>
  <c r="AH808" i="1"/>
  <c r="AI808" i="1" s="1"/>
  <c r="AD808" i="1"/>
  <c r="AG808" i="1" s="1"/>
  <c r="AD752" i="1"/>
  <c r="AG752" i="1" s="1"/>
  <c r="AH712" i="1"/>
  <c r="AI712" i="1" s="1"/>
  <c r="AD712" i="1"/>
  <c r="AG712" i="1" s="1"/>
  <c r="AD753" i="1"/>
  <c r="AG753" i="1" s="1"/>
  <c r="AD734" i="1"/>
  <c r="AG734" i="1" s="1"/>
  <c r="AH642" i="1"/>
  <c r="AI642" i="1" s="1"/>
  <c r="AD642" i="1"/>
  <c r="AG642" i="1" s="1"/>
  <c r="AD601" i="1"/>
  <c r="AG601" i="1" s="1"/>
  <c r="AD592" i="1"/>
  <c r="AG592" i="1" s="1"/>
  <c r="AD578" i="1"/>
  <c r="AG578" i="1" s="1"/>
  <c r="AD457" i="1"/>
  <c r="AG457" i="1" s="1"/>
  <c r="AH457" i="1"/>
  <c r="AI457" i="1" s="1"/>
  <c r="AD467" i="1"/>
  <c r="AG467" i="1" s="1"/>
  <c r="AH467" i="1"/>
  <c r="AI467" i="1" s="1"/>
  <c r="AH411" i="1"/>
  <c r="AI411" i="1" s="1"/>
  <c r="AD411" i="1"/>
  <c r="AG411" i="1" s="1"/>
  <c r="AD409" i="1"/>
  <c r="AG409" i="1" s="1"/>
  <c r="AD397" i="1"/>
  <c r="AG397" i="1" s="1"/>
  <c r="AH345" i="1"/>
  <c r="AI345" i="1" s="1"/>
  <c r="AD345" i="1"/>
  <c r="AG345" i="1" s="1"/>
  <c r="AH377" i="1"/>
  <c r="AI377" i="1" s="1"/>
  <c r="AD377" i="1"/>
  <c r="AG377" i="1" s="1"/>
  <c r="AH350" i="1"/>
  <c r="AI350" i="1" s="1"/>
  <c r="AD350" i="1"/>
  <c r="AG350" i="1" s="1"/>
  <c r="AD401" i="1"/>
  <c r="AG401" i="1" s="1"/>
  <c r="AD435" i="1"/>
  <c r="AG435" i="1" s="1"/>
  <c r="AD363" i="1"/>
  <c r="AG363" i="1" s="1"/>
  <c r="AD389" i="1"/>
  <c r="AG389" i="1" s="1"/>
  <c r="AD295" i="1"/>
  <c r="AG295" i="1" s="1"/>
  <c r="AH295" i="1"/>
  <c r="AI295" i="1" s="1"/>
  <c r="AD266" i="1"/>
  <c r="AG266" i="1" s="1"/>
  <c r="AH266" i="1"/>
  <c r="AI266" i="1" s="1"/>
  <c r="AD218" i="1"/>
  <c r="AG218" i="1" s="1"/>
  <c r="AH218" i="1"/>
  <c r="AI218" i="1" s="1"/>
  <c r="AH334" i="1"/>
  <c r="AI334" i="1" s="1"/>
  <c r="AD334" i="1"/>
  <c r="AG334" i="1" s="1"/>
  <c r="AH162" i="1"/>
  <c r="AI162" i="1" s="1"/>
  <c r="AD162" i="1"/>
  <c r="AG162" i="1" s="1"/>
  <c r="AH138" i="1"/>
  <c r="AI138" i="1" s="1"/>
  <c r="AD138" i="1"/>
  <c r="AG138" i="1" s="1"/>
  <c r="AD184" i="1"/>
  <c r="AG184" i="1" s="1"/>
  <c r="AD124" i="1"/>
  <c r="AG124" i="1" s="1"/>
  <c r="AD37" i="1"/>
  <c r="AG37" i="1" s="1"/>
  <c r="AH37" i="1"/>
  <c r="AI37" i="1" s="1"/>
  <c r="AH61" i="1"/>
  <c r="AI61" i="1" s="1"/>
  <c r="AD61" i="1"/>
  <c r="AG61" i="1" s="1"/>
  <c r="AD56" i="1"/>
  <c r="AG56" i="1" s="1"/>
  <c r="AH101" i="1"/>
  <c r="AI101" i="1" s="1"/>
  <c r="AD101" i="1"/>
  <c r="AG101" i="1" s="1"/>
  <c r="AD19" i="1"/>
  <c r="AG19" i="1" s="1"/>
  <c r="AH19" i="1"/>
  <c r="AI19" i="1" s="1"/>
  <c r="AH981" i="1"/>
  <c r="AI981" i="1" s="1"/>
  <c r="AD981" i="1"/>
  <c r="AG981" i="1" s="1"/>
  <c r="AD945" i="1"/>
  <c r="AG945" i="1" s="1"/>
  <c r="AD909" i="1"/>
  <c r="AG909" i="1" s="1"/>
  <c r="AH909" i="1"/>
  <c r="AI909" i="1" s="1"/>
  <c r="AH943" i="1"/>
  <c r="AI943" i="1" s="1"/>
  <c r="AD943" i="1"/>
  <c r="AG943" i="1" s="1"/>
  <c r="AH933" i="1"/>
  <c r="AI933" i="1" s="1"/>
  <c r="AD933" i="1"/>
  <c r="AG933" i="1" s="1"/>
  <c r="AD750" i="1"/>
  <c r="AG750" i="1" s="1"/>
  <c r="AD767" i="1"/>
  <c r="AG767" i="1" s="1"/>
  <c r="AD748" i="1"/>
  <c r="AG748" i="1" s="1"/>
  <c r="AH720" i="1"/>
  <c r="AI720" i="1" s="1"/>
  <c r="AD720" i="1"/>
  <c r="AG720" i="1" s="1"/>
  <c r="AH651" i="1"/>
  <c r="AI651" i="1" s="1"/>
  <c r="AD651" i="1"/>
  <c r="AG651" i="1" s="1"/>
  <c r="AD585" i="1"/>
  <c r="AG585" i="1" s="1"/>
  <c r="AD574" i="1"/>
  <c r="AG574" i="1" s="1"/>
  <c r="AD447" i="1"/>
  <c r="AG447" i="1" s="1"/>
  <c r="AH447" i="1"/>
  <c r="AI447" i="1" s="1"/>
  <c r="AD337" i="1"/>
  <c r="AG337" i="1" s="1"/>
  <c r="AH337" i="1"/>
  <c r="AI337" i="1" s="1"/>
  <c r="AD425" i="1"/>
  <c r="AG425" i="1" s="1"/>
  <c r="AH387" i="1"/>
  <c r="AI387" i="1" s="1"/>
  <c r="AD387" i="1"/>
  <c r="AG387" i="1" s="1"/>
  <c r="AD341" i="1"/>
  <c r="AG341" i="1" s="1"/>
  <c r="AH341" i="1"/>
  <c r="AI341" i="1" s="1"/>
  <c r="AH325" i="1"/>
  <c r="AI325" i="1" s="1"/>
  <c r="AD325" i="1"/>
  <c r="AG325" i="1" s="1"/>
  <c r="AD292" i="1"/>
  <c r="AG292" i="1" s="1"/>
  <c r="AH326" i="1"/>
  <c r="AI326" i="1" s="1"/>
  <c r="AD326" i="1"/>
  <c r="AG326" i="1" s="1"/>
  <c r="AH40" i="1"/>
  <c r="AI40" i="1" s="1"/>
  <c r="AD40" i="1"/>
  <c r="AG40" i="1" s="1"/>
  <c r="AH153" i="1"/>
  <c r="AI153" i="1" s="1"/>
  <c r="AD153" i="1"/>
  <c r="AG153" i="1" s="1"/>
  <c r="AD175" i="1"/>
  <c r="AG175" i="1" s="1"/>
  <c r="AD96" i="1"/>
  <c r="AG96" i="1" s="1"/>
  <c r="AD72" i="1"/>
  <c r="AG72" i="1" s="1"/>
  <c r="AD51" i="1"/>
  <c r="AG51" i="1" s="1"/>
  <c r="AH51" i="1"/>
  <c r="AI51" i="1" s="1"/>
  <c r="AD154" i="1"/>
  <c r="AG154" i="1" s="1"/>
  <c r="AD43" i="1"/>
  <c r="AG43" i="1" s="1"/>
  <c r="AH43" i="1"/>
  <c r="AI43" i="1" s="1"/>
  <c r="AD137" i="1"/>
  <c r="AG137" i="1" s="1"/>
  <c r="AH977" i="1"/>
  <c r="AI977" i="1" s="1"/>
  <c r="AD977" i="1"/>
  <c r="AG977" i="1" s="1"/>
  <c r="AD975" i="1"/>
  <c r="AG975" i="1" s="1"/>
  <c r="AD966" i="1"/>
  <c r="AG966" i="1" s="1"/>
  <c r="AH966" i="1"/>
  <c r="AI966" i="1" s="1"/>
  <c r="AD982" i="1"/>
  <c r="AG982" i="1" s="1"/>
  <c r="AD978" i="1"/>
  <c r="AG978" i="1" s="1"/>
  <c r="AD967" i="1"/>
  <c r="AG967" i="1" s="1"/>
  <c r="AD908" i="1"/>
  <c r="AG908" i="1" s="1"/>
  <c r="AH908" i="1"/>
  <c r="AI908" i="1" s="1"/>
  <c r="AH938" i="1"/>
  <c r="AI938" i="1" s="1"/>
  <c r="AD938" i="1"/>
  <c r="AG938" i="1" s="1"/>
  <c r="AH867" i="1"/>
  <c r="AI867" i="1" s="1"/>
  <c r="AD867" i="1"/>
  <c r="AG867" i="1" s="1"/>
  <c r="AH784" i="1"/>
  <c r="AI784" i="1" s="1"/>
  <c r="AD784" i="1"/>
  <c r="AG784" i="1" s="1"/>
  <c r="AH827" i="1"/>
  <c r="AI827" i="1" s="1"/>
  <c r="AD827" i="1"/>
  <c r="AG827" i="1" s="1"/>
  <c r="AD763" i="1"/>
  <c r="AG763" i="1" s="1"/>
  <c r="AD755" i="1"/>
  <c r="AG755" i="1" s="1"/>
  <c r="AD746" i="1"/>
  <c r="AG746" i="1" s="1"/>
  <c r="AH716" i="1"/>
  <c r="AI716" i="1" s="1"/>
  <c r="AD716" i="1"/>
  <c r="AG716" i="1" s="1"/>
  <c r="AD658" i="1"/>
  <c r="AG658" i="1" s="1"/>
  <c r="AH658" i="1"/>
  <c r="AI658" i="1" s="1"/>
  <c r="AD723" i="1"/>
  <c r="AG723" i="1" s="1"/>
  <c r="AD598" i="1"/>
  <c r="AG598" i="1" s="1"/>
  <c r="AD602" i="1"/>
  <c r="AG602" i="1" s="1"/>
  <c r="AD570" i="1"/>
  <c r="AG570" i="1" s="1"/>
  <c r="AD582" i="1"/>
  <c r="AG582" i="1" s="1"/>
  <c r="AD494" i="1"/>
  <c r="AG494" i="1" s="1"/>
  <c r="AD474" i="1"/>
  <c r="AG474" i="1" s="1"/>
  <c r="AD329" i="1"/>
  <c r="AG329" i="1" s="1"/>
  <c r="AH329" i="1"/>
  <c r="AI329" i="1" s="1"/>
  <c r="AH370" i="1"/>
  <c r="AI370" i="1" s="1"/>
  <c r="AD370" i="1"/>
  <c r="AG370" i="1" s="1"/>
  <c r="AH310" i="1"/>
  <c r="AI310" i="1" s="1"/>
  <c r="AD310" i="1"/>
  <c r="AG310" i="1" s="1"/>
  <c r="AD258" i="1"/>
  <c r="AG258" i="1" s="1"/>
  <c r="AH258" i="1"/>
  <c r="AI258" i="1" s="1"/>
  <c r="AD234" i="1"/>
  <c r="AG234" i="1" s="1"/>
  <c r="AH234" i="1"/>
  <c r="AI234" i="1" s="1"/>
  <c r="AH178" i="1"/>
  <c r="AI178" i="1" s="1"/>
  <c r="AD178" i="1"/>
  <c r="AG178" i="1" s="1"/>
  <c r="AD152" i="1"/>
  <c r="AG152" i="1" s="1"/>
  <c r="AD128" i="1"/>
  <c r="AG128" i="1" s="1"/>
  <c r="AD64" i="1"/>
  <c r="AG64" i="1" s="1"/>
  <c r="AD139" i="1"/>
  <c r="AG139" i="1" s="1"/>
  <c r="AH69" i="1"/>
  <c r="AI69" i="1" s="1"/>
  <c r="AD69" i="1"/>
  <c r="AG69" i="1" s="1"/>
  <c r="AD88" i="1"/>
  <c r="AG88" i="1" s="1"/>
  <c r="AD31" i="1"/>
  <c r="AG31" i="1" s="1"/>
  <c r="AD900" i="1"/>
  <c r="AG900" i="1" s="1"/>
  <c r="AH900" i="1"/>
  <c r="AI900" i="1" s="1"/>
  <c r="AH948" i="1"/>
  <c r="AI948" i="1" s="1"/>
  <c r="AD948" i="1"/>
  <c r="AG948" i="1" s="1"/>
  <c r="AD824" i="1"/>
  <c r="AG824" i="1" s="1"/>
  <c r="AD802" i="1"/>
  <c r="AG802" i="1" s="1"/>
  <c r="AD781" i="1"/>
  <c r="AG781" i="1" s="1"/>
  <c r="AD744" i="1"/>
  <c r="AG744" i="1" s="1"/>
  <c r="AH747" i="1"/>
  <c r="AI747" i="1" s="1"/>
  <c r="AD747" i="1"/>
  <c r="AG747" i="1" s="1"/>
  <c r="AD779" i="1"/>
  <c r="AG779" i="1" s="1"/>
  <c r="AD761" i="1"/>
  <c r="AG761" i="1" s="1"/>
  <c r="AH759" i="1"/>
  <c r="AI759" i="1" s="1"/>
  <c r="AD759" i="1"/>
  <c r="AG759" i="1" s="1"/>
  <c r="AD780" i="1"/>
  <c r="AG780" i="1" s="1"/>
  <c r="AD743" i="1"/>
  <c r="AG743" i="1" s="1"/>
  <c r="AD636" i="1"/>
  <c r="AG636" i="1" s="1"/>
  <c r="AD662" i="1"/>
  <c r="AG662" i="1" s="1"/>
  <c r="AH662" i="1"/>
  <c r="AI662" i="1" s="1"/>
  <c r="AD586" i="1"/>
  <c r="AG586" i="1" s="1"/>
  <c r="AH502" i="1"/>
  <c r="AI502" i="1" s="1"/>
  <c r="AD502" i="1"/>
  <c r="AG502" i="1" s="1"/>
  <c r="AD452" i="1"/>
  <c r="AG452" i="1" s="1"/>
  <c r="AD463" i="1"/>
  <c r="AG463" i="1" s="1"/>
  <c r="AH463" i="1"/>
  <c r="AI463" i="1" s="1"/>
  <c r="AH395" i="1"/>
  <c r="AI395" i="1" s="1"/>
  <c r="AD395" i="1"/>
  <c r="AG395" i="1" s="1"/>
  <c r="AD453" i="1"/>
  <c r="AG453" i="1" s="1"/>
  <c r="AD321" i="1"/>
  <c r="AG321" i="1" s="1"/>
  <c r="AH321" i="1"/>
  <c r="AI321" i="1" s="1"/>
  <c r="AH342" i="1"/>
  <c r="AI342" i="1" s="1"/>
  <c r="AD342" i="1"/>
  <c r="AG342" i="1" s="1"/>
  <c r="AH403" i="1"/>
  <c r="AI403" i="1" s="1"/>
  <c r="AD403" i="1"/>
  <c r="AG403" i="1" s="1"/>
  <c r="AD431" i="1"/>
  <c r="AG431" i="1" s="1"/>
  <c r="AD352" i="1"/>
  <c r="AG352" i="1" s="1"/>
  <c r="AH352" i="1"/>
  <c r="AI352" i="1" s="1"/>
  <c r="AH287" i="1"/>
  <c r="AI287" i="1" s="1"/>
  <c r="AD287" i="1"/>
  <c r="AG287" i="1" s="1"/>
  <c r="AD210" i="1"/>
  <c r="AG210" i="1" s="1"/>
  <c r="AH210" i="1"/>
  <c r="AI210" i="1" s="1"/>
  <c r="AH318" i="1"/>
  <c r="AI318" i="1" s="1"/>
  <c r="AD318" i="1"/>
  <c r="AG318" i="1" s="1"/>
  <c r="AD195" i="1"/>
  <c r="AG195" i="1" s="1"/>
  <c r="AH195" i="1"/>
  <c r="AI195" i="1" s="1"/>
  <c r="AH34" i="1"/>
  <c r="AI34" i="1" s="1"/>
  <c r="AD34" i="1"/>
  <c r="AG34" i="1" s="1"/>
  <c r="AD144" i="1"/>
  <c r="AG144" i="1" s="1"/>
  <c r="AH117" i="1"/>
  <c r="AI117" i="1" s="1"/>
  <c r="AD117" i="1"/>
  <c r="AG117" i="1" s="1"/>
  <c r="AD48" i="1"/>
  <c r="AG48" i="1" s="1"/>
  <c r="AH21" i="1"/>
  <c r="AI21" i="1" s="1"/>
  <c r="AD21" i="1"/>
  <c r="AG21" i="1" s="1"/>
  <c r="AH15" i="1"/>
  <c r="AI15" i="1" s="1"/>
  <c r="AD15" i="1"/>
  <c r="AG15" i="1" s="1"/>
  <c r="AD145" i="1"/>
  <c r="AG145" i="1" s="1"/>
  <c r="AD32" i="1"/>
  <c r="AG32" i="1" s="1"/>
  <c r="AD16" i="1"/>
  <c r="AG16" i="1" s="1"/>
  <c r="AD831" i="1"/>
  <c r="AG831" i="1" s="1"/>
  <c r="AH788" i="1"/>
  <c r="AI788" i="1" s="1"/>
  <c r="AD788" i="1"/>
  <c r="AG788" i="1" s="1"/>
  <c r="AD786" i="1"/>
  <c r="AG786" i="1" s="1"/>
  <c r="AD776" i="1"/>
  <c r="AG776" i="1" s="1"/>
  <c r="AD783" i="1"/>
  <c r="AG783" i="1" s="1"/>
  <c r="AH783" i="1"/>
  <c r="AI783" i="1" s="1"/>
  <c r="AD769" i="1"/>
  <c r="AG769" i="1" s="1"/>
  <c r="AD730" i="1"/>
  <c r="AG730" i="1" s="1"/>
  <c r="AH606" i="1"/>
  <c r="AI606" i="1" s="1"/>
  <c r="AD606" i="1"/>
  <c r="AG606" i="1" s="1"/>
  <c r="AD450" i="1"/>
  <c r="AG450" i="1" s="1"/>
  <c r="AH391" i="1"/>
  <c r="AI391" i="1" s="1"/>
  <c r="AD391" i="1"/>
  <c r="AG391" i="1" s="1"/>
  <c r="AD427" i="1"/>
  <c r="AG427" i="1" s="1"/>
  <c r="AD445" i="1"/>
  <c r="AG445" i="1" s="1"/>
  <c r="AH359" i="1"/>
  <c r="AI359" i="1" s="1"/>
  <c r="AD359" i="1"/>
  <c r="AG359" i="1" s="1"/>
  <c r="AD313" i="1"/>
  <c r="AG313" i="1" s="1"/>
  <c r="AH313" i="1"/>
  <c r="AI313" i="1" s="1"/>
  <c r="AD419" i="1"/>
  <c r="AG419" i="1" s="1"/>
  <c r="AD378" i="1"/>
  <c r="AG378" i="1" s="1"/>
  <c r="AH378" i="1"/>
  <c r="AI378" i="1" s="1"/>
  <c r="AH317" i="1"/>
  <c r="AI317" i="1" s="1"/>
  <c r="AD317" i="1"/>
  <c r="AG317" i="1" s="1"/>
  <c r="AH299" i="1"/>
  <c r="AI299" i="1" s="1"/>
  <c r="AD299" i="1"/>
  <c r="AG299" i="1" s="1"/>
  <c r="AD399" i="1"/>
  <c r="AG399" i="1" s="1"/>
  <c r="AD250" i="1"/>
  <c r="AG250" i="1" s="1"/>
  <c r="AH250" i="1"/>
  <c r="AI250" i="1" s="1"/>
  <c r="AD383" i="1"/>
  <c r="AG383" i="1" s="1"/>
  <c r="AD159" i="1"/>
  <c r="AG159" i="1" s="1"/>
  <c r="AH130" i="1"/>
  <c r="AI130" i="1" s="1"/>
  <c r="AD130" i="1"/>
  <c r="AG130" i="1" s="1"/>
  <c r="AH53" i="1"/>
  <c r="AI53" i="1" s="1"/>
  <c r="AD53" i="1"/>
  <c r="AG53" i="1" s="1"/>
  <c r="AH93" i="1"/>
  <c r="AI93" i="1" s="1"/>
  <c r="AD93" i="1"/>
  <c r="AG93" i="1" s="1"/>
  <c r="AH109" i="1"/>
  <c r="AI109" i="1" s="1"/>
  <c r="AD109" i="1"/>
  <c r="AG109" i="1" s="1"/>
  <c r="AH85" i="1"/>
  <c r="AI85" i="1" s="1"/>
  <c r="AD85" i="1"/>
  <c r="AG85" i="1" s="1"/>
  <c r="AH45" i="1"/>
  <c r="AI45" i="1" s="1"/>
  <c r="AD45" i="1"/>
  <c r="AG45" i="1" s="1"/>
  <c r="AD59" i="1"/>
  <c r="AG59" i="1" s="1"/>
  <c r="AH59" i="1"/>
  <c r="AI59" i="1" s="1"/>
  <c r="AD120" i="1"/>
  <c r="AG120" i="1" s="1"/>
  <c r="AD10" i="1"/>
  <c r="AG10" i="1" s="1"/>
  <c r="AD904" i="1"/>
  <c r="AG904" i="1" s="1"/>
  <c r="AH904" i="1"/>
  <c r="AI904" i="1" s="1"/>
  <c r="AD922" i="1"/>
  <c r="AG922" i="1" s="1"/>
  <c r="AH922" i="1"/>
  <c r="AI922" i="1" s="1"/>
  <c r="AH895" i="1"/>
  <c r="AI895" i="1" s="1"/>
  <c r="AD895" i="1"/>
  <c r="AG895" i="1" s="1"/>
  <c r="AD926" i="1"/>
  <c r="AG926" i="1" s="1"/>
  <c r="AH896" i="1"/>
  <c r="AI896" i="1" s="1"/>
  <c r="AD896" i="1"/>
  <c r="AG896" i="1" s="1"/>
  <c r="AD901" i="1"/>
  <c r="AG901" i="1" s="1"/>
  <c r="AD823" i="1"/>
  <c r="AG823" i="1" s="1"/>
  <c r="AH751" i="1"/>
  <c r="AI751" i="1" s="1"/>
  <c r="AD751" i="1"/>
  <c r="AG751" i="1" s="1"/>
  <c r="AD765" i="1"/>
  <c r="AG765" i="1" s="1"/>
  <c r="AD756" i="1"/>
  <c r="AG756" i="1" s="1"/>
  <c r="AD775" i="1"/>
  <c r="AG775" i="1" s="1"/>
  <c r="AD727" i="1"/>
  <c r="AG727" i="1" s="1"/>
  <c r="AD711" i="1"/>
  <c r="AG711" i="1" s="1"/>
  <c r="AH711" i="1"/>
  <c r="AI711" i="1" s="1"/>
  <c r="AD654" i="1"/>
  <c r="AG654" i="1" s="1"/>
  <c r="AH654" i="1"/>
  <c r="AI654" i="1" s="1"/>
  <c r="AD597" i="1"/>
  <c r="AG597" i="1" s="1"/>
  <c r="AD587" i="1"/>
  <c r="AG587" i="1" s="1"/>
  <c r="AD583" i="1"/>
  <c r="AG583" i="1" s="1"/>
  <c r="AD423" i="1"/>
  <c r="AG423" i="1" s="1"/>
  <c r="AH423" i="1"/>
  <c r="AI423" i="1" s="1"/>
  <c r="AH415" i="1"/>
  <c r="AI415" i="1" s="1"/>
  <c r="AD415" i="1"/>
  <c r="AG415" i="1" s="1"/>
  <c r="AD455" i="1"/>
  <c r="AG455" i="1" s="1"/>
  <c r="AH455" i="1"/>
  <c r="AI455" i="1" s="1"/>
  <c r="AD451" i="1"/>
  <c r="AG451" i="1" s="1"/>
  <c r="AH451" i="1"/>
  <c r="AI451" i="1" s="1"/>
  <c r="AD420" i="1"/>
  <c r="AG420" i="1" s="1"/>
  <c r="AD441" i="1"/>
  <c r="AG441" i="1" s="1"/>
  <c r="AD305" i="1"/>
  <c r="AG305" i="1" s="1"/>
  <c r="AH305" i="1"/>
  <c r="AI305" i="1" s="1"/>
  <c r="AH360" i="1"/>
  <c r="AI360" i="1" s="1"/>
  <c r="AD360" i="1"/>
  <c r="AG360" i="1" s="1"/>
  <c r="AD449" i="1"/>
  <c r="AG449" i="1" s="1"/>
  <c r="AD349" i="1"/>
  <c r="AG349" i="1" s="1"/>
  <c r="AH349" i="1"/>
  <c r="AI349" i="1" s="1"/>
  <c r="AH333" i="1"/>
  <c r="AI333" i="1" s="1"/>
  <c r="AD333" i="1"/>
  <c r="AG333" i="1" s="1"/>
  <c r="AH291" i="1"/>
  <c r="AI291" i="1" s="1"/>
  <c r="AD291" i="1"/>
  <c r="AG291" i="1" s="1"/>
  <c r="AD226" i="1"/>
  <c r="AG226" i="1" s="1"/>
  <c r="AH226" i="1"/>
  <c r="AI226" i="1" s="1"/>
  <c r="AD202" i="1"/>
  <c r="AG202" i="1" s="1"/>
  <c r="AH202" i="1"/>
  <c r="AI202" i="1" s="1"/>
  <c r="AD375" i="1"/>
  <c r="AG375" i="1" s="1"/>
  <c r="AD186" i="1"/>
  <c r="AG186" i="1" s="1"/>
  <c r="AH186" i="1"/>
  <c r="AI186" i="1" s="1"/>
  <c r="AH170" i="1"/>
  <c r="AI170" i="1" s="1"/>
  <c r="AD170" i="1"/>
  <c r="AG170" i="1" s="1"/>
  <c r="AH146" i="1"/>
  <c r="AI146" i="1" s="1"/>
  <c r="AD146" i="1"/>
  <c r="AG146" i="1" s="1"/>
  <c r="AD131" i="1"/>
  <c r="AG131" i="1" s="1"/>
  <c r="AD8" i="1"/>
  <c r="AG8" i="1" s="1"/>
  <c r="AD26" i="1"/>
  <c r="AG26" i="1" s="1"/>
</calcChain>
</file>

<file path=xl/sharedStrings.xml><?xml version="1.0" encoding="utf-8"?>
<sst xmlns="http://schemas.openxmlformats.org/spreadsheetml/2006/main" count="28713" uniqueCount="2887">
  <si>
    <t>id</t>
  </si>
  <si>
    <t>exp</t>
  </si>
  <si>
    <t>money</t>
  </si>
  <si>
    <t>upgrade_point</t>
  </si>
  <si>
    <t>rand_loot_type</t>
  </si>
  <si>
    <t>rand_loot_param1</t>
  </si>
  <si>
    <t>rand_loot_param2</t>
  </si>
  <si>
    <t>rand_loot_param3</t>
  </si>
  <si>
    <t>rand_loot_num</t>
  </si>
  <si>
    <t>rand_loot_rate</t>
  </si>
  <si>
    <t>pass_award_type</t>
  </si>
  <si>
    <t>pass_award_param1</t>
  </si>
  <si>
    <t>pass_award_param2</t>
  </si>
  <si>
    <t>pass_award_param3</t>
  </si>
  <si>
    <t>pass_award_num</t>
  </si>
  <si>
    <t>pass_reputation</t>
  </si>
  <si>
    <t>idle_money</t>
  </si>
  <si>
    <t>idle_exp</t>
  </si>
  <si>
    <t>idle_upgrade_point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</si>
  <si>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</si>
  <si>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</si>
  <si>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</si>
  <si>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list&lt;float32&gt;</t>
  </si>
  <si>
    <t>float32</t>
  </si>
  <si>
    <t>ID</t>
  </si>
  <si>
    <t>掉落经验</t>
  </si>
  <si>
    <t>掉落金币</t>
  </si>
  <si>
    <t>掉落升级点</t>
  </si>
  <si>
    <t>随机掉落类型</t>
  </si>
  <si>
    <t>随机掉落参数1</t>
  </si>
  <si>
    <t>随机掉落参数2</t>
  </si>
  <si>
    <t>随机掉落参数3</t>
  </si>
  <si>
    <t>随机掉落数量</t>
  </si>
  <si>
    <t>随机掉落几率</t>
  </si>
  <si>
    <t>通关奖励类型</t>
  </si>
  <si>
    <t>通关奖励参数1</t>
  </si>
  <si>
    <t>通关奖励参数2</t>
  </si>
  <si>
    <t>通关奖励参数3</t>
  </si>
  <si>
    <t>通关奖励数量</t>
  </si>
  <si>
    <t>通关奖励声望</t>
  </si>
  <si>
    <t>挂机金币</t>
  </si>
  <si>
    <t>挂机经验</t>
  </si>
  <si>
    <t>挂机升级点</t>
  </si>
  <si>
    <t>等级</t>
  </si>
  <si>
    <t>主要升级所需经验</t>
  </si>
  <si>
    <t>随从升级所需经验</t>
  </si>
  <si>
    <t>大关</t>
  </si>
  <si>
    <t>小关</t>
  </si>
  <si>
    <t>几拨怪</t>
  </si>
  <si>
    <t>每拨几只怪</t>
  </si>
  <si>
    <t>主角等级</t>
  </si>
  <si>
    <t>升级时间</t>
  </si>
  <si>
    <r>
      <rPr>
        <sz val="11"/>
        <color theme="1"/>
        <rFont val="宋体"/>
        <family val="3"/>
        <charset val="134"/>
        <scheme val="minor"/>
      </rPr>
      <t>每5</t>
    </r>
    <r>
      <rPr>
        <sz val="11"/>
        <color theme="1"/>
        <rFont val="宋体"/>
        <family val="3"/>
        <charset val="134"/>
        <scheme val="minor"/>
      </rPr>
      <t>S获取经验</t>
    </r>
  </si>
  <si>
    <t>每拨怪经验</t>
  </si>
  <si>
    <t>每只怪经验</t>
  </si>
  <si>
    <t>每5S获取金币</t>
  </si>
  <si>
    <t>每只怪金币</t>
  </si>
  <si>
    <t>每5S获取升级点</t>
  </si>
  <si>
    <t>每只怪升级点</t>
  </si>
  <si>
    <t>金币</t>
  </si>
  <si>
    <t>经验</t>
  </si>
  <si>
    <t>升级点</t>
  </si>
  <si>
    <t>所需经验</t>
  </si>
  <si>
    <t>挂机时间</t>
  </si>
  <si>
    <t>挂机时长</t>
  </si>
  <si>
    <t>每5S获得金币</t>
  </si>
  <si>
    <t>每5S升级点</t>
  </si>
  <si>
    <t>8小时升级点</t>
  </si>
  <si>
    <t>掉落类型</t>
  </si>
  <si>
    <t>无</t>
  </si>
  <si>
    <t>param1</t>
  </si>
  <si>
    <t>param2</t>
  </si>
  <si>
    <t>param3</t>
  </si>
  <si>
    <t>碎片类型</t>
  </si>
  <si>
    <t>随机</t>
  </si>
  <si>
    <t>阵营</t>
  </si>
  <si>
    <t>阵营类型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</si>
  <si>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~5</t>
    </r>
  </si>
  <si>
    <t>刷新时间/秒</t>
  </si>
  <si>
    <t>职业</t>
  </si>
  <si>
    <t>职业类型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</si>
  <si>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~6</t>
    </r>
  </si>
  <si>
    <t>钻石</t>
  </si>
  <si>
    <t>英雄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</si>
  <si>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</si>
  <si>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品阶</t>
  </si>
  <si>
    <t>碎片</t>
  </si>
  <si>
    <t>参数</t>
  </si>
  <si>
    <t>星级</t>
  </si>
  <si>
    <t>装备</t>
  </si>
  <si>
    <t>技能</t>
  </si>
  <si>
    <t>魔法尘</t>
  </si>
  <si>
    <t>职业徽章</t>
  </si>
  <si>
    <t>阵营精华</t>
  </si>
  <si>
    <t>升阶材料</t>
  </si>
  <si>
    <t>普通卷轴</t>
  </si>
  <si>
    <t>高级卷轴</t>
  </si>
  <si>
    <t>酒馆刷新</t>
  </si>
  <si>
    <t>酒馆高级刷新</t>
  </si>
  <si>
    <t>type</t>
  </si>
  <si>
    <t>num</t>
  </si>
  <si>
    <t>rate</t>
  </si>
  <si>
    <t>param4</t>
  </si>
  <si>
    <t>param5</t>
  </si>
  <si>
    <t>param6</t>
  </si>
  <si>
    <t>c</t>
  </si>
  <si>
    <t>商店装备参考数值</t>
  </si>
  <si>
    <t>白1</t>
  </si>
  <si>
    <t>白2</t>
  </si>
  <si>
    <t>绿1</t>
  </si>
  <si>
    <t>绿2</t>
  </si>
  <si>
    <t>蓝1</t>
  </si>
  <si>
    <t>蓝2</t>
  </si>
  <si>
    <t>蓝3</t>
  </si>
  <si>
    <t>紫1</t>
  </si>
  <si>
    <t>紫2</t>
  </si>
  <si>
    <t>紫3</t>
  </si>
  <si>
    <t>1,1,1,1,1,1,1,1,1</t>
    <phoneticPr fontId="11" type="noConversion"/>
  </si>
  <si>
    <t>0,0,0,0,0,0,0,1,0</t>
    <phoneticPr fontId="11" type="noConversion"/>
  </si>
  <si>
    <t>0,0,0,0,0,0,0,0,0</t>
    <phoneticPr fontId="11" type="noConversion"/>
  </si>
  <si>
    <t>0,0,0,0,0,0,0,1,0,0</t>
    <phoneticPr fontId="11" type="noConversion"/>
  </si>
  <si>
    <t>0,0,0,0</t>
    <phoneticPr fontId="11" type="noConversion"/>
  </si>
  <si>
    <t>2,1,3,4</t>
    <phoneticPr fontId="11" type="noConversion"/>
  </si>
  <si>
    <t>2,1,3,12</t>
    <phoneticPr fontId="11" type="noConversion"/>
  </si>
  <si>
    <t>2,1,3,7</t>
    <phoneticPr fontId="11" type="noConversion"/>
  </si>
  <si>
    <t>0,0,0,1</t>
    <phoneticPr fontId="11" type="noConversion"/>
  </si>
  <si>
    <t>2,1,3,23</t>
    <phoneticPr fontId="11" type="noConversion"/>
  </si>
  <si>
    <t>0,0,0,2</t>
    <phoneticPr fontId="11" type="noConversion"/>
  </si>
  <si>
    <t>0,0,0,4</t>
    <phoneticPr fontId="11" type="noConversion"/>
  </si>
  <si>
    <t>0,0,0,5</t>
    <phoneticPr fontId="11" type="noConversion"/>
  </si>
  <si>
    <t>2,1,3,9</t>
    <phoneticPr fontId="11" type="noConversion"/>
  </si>
  <si>
    <t>2,1,3,6</t>
    <phoneticPr fontId="11" type="noConversion"/>
  </si>
  <si>
    <t>0,0,0</t>
    <phoneticPr fontId="11" type="noConversion"/>
  </si>
  <si>
    <t>0,0,0,8</t>
    <phoneticPr fontId="11" type="noConversion"/>
  </si>
  <si>
    <t>0,0,0,7</t>
    <phoneticPr fontId="11" type="noConversion"/>
  </si>
  <si>
    <t>2,1,3,5</t>
    <phoneticPr fontId="11" type="noConversion"/>
  </si>
  <si>
    <t>0,0,0,3</t>
    <phoneticPr fontId="11" type="noConversion"/>
  </si>
  <si>
    <t>0,0,0,6</t>
    <phoneticPr fontId="11" type="noConversion"/>
  </si>
  <si>
    <t>2,0,0</t>
    <phoneticPr fontId="11" type="noConversion"/>
  </si>
  <si>
    <t>4,0,0</t>
    <phoneticPr fontId="11" type="noConversion"/>
  </si>
  <si>
    <t>1,1,1</t>
    <phoneticPr fontId="11" type="noConversion"/>
  </si>
  <si>
    <t>0,0</t>
    <phoneticPr fontId="11" type="noConversion"/>
  </si>
  <si>
    <t>1,1</t>
    <phoneticPr fontId="11" type="noConversion"/>
  </si>
  <si>
    <t>12,23</t>
    <phoneticPr fontId="11" type="noConversion"/>
  </si>
  <si>
    <t>1,0,0</t>
    <phoneticPr fontId="11" type="noConversion"/>
  </si>
  <si>
    <t>1,1,1,1</t>
    <phoneticPr fontId="11" type="noConversion"/>
  </si>
  <si>
    <t>1,1,1,1,1,1,1,1</t>
    <phoneticPr fontId="11" type="noConversion"/>
  </si>
  <si>
    <t>0,0,0,0,0,0,0,0</t>
    <phoneticPr fontId="11" type="noConversion"/>
  </si>
  <si>
    <t>0.5</t>
    <phoneticPr fontId="11" type="noConversion"/>
  </si>
  <si>
    <t>0.5,0.01</t>
    <phoneticPr fontId="11" type="noConversion"/>
  </si>
  <si>
    <t>7,12,23</t>
    <phoneticPr fontId="11" type="noConversion"/>
  </si>
  <si>
    <t>0.64,0.5,0.01</t>
    <phoneticPr fontId="11" type="noConversion"/>
  </si>
  <si>
    <t>0.64,0.8,0.01</t>
    <phoneticPr fontId="11" type="noConversion"/>
  </si>
  <si>
    <t>3,0,0</t>
    <phoneticPr fontId="11" type="noConversion"/>
  </si>
  <si>
    <t>7,12,7,23</t>
    <phoneticPr fontId="11" type="noConversion"/>
  </si>
  <si>
    <t>5,0,1,0</t>
    <phoneticPr fontId="11" type="noConversion"/>
  </si>
  <si>
    <t>0.48,0.8,0.64,0.01</t>
    <phoneticPr fontId="11" type="noConversion"/>
  </si>
  <si>
    <t>6,0,2,0</t>
    <phoneticPr fontId="11" type="noConversion"/>
  </si>
  <si>
    <t>7,0,3,0</t>
    <phoneticPr fontId="11" type="noConversion"/>
  </si>
  <si>
    <t>8,0,4,0</t>
    <phoneticPr fontId="11" type="noConversion"/>
  </si>
  <si>
    <t>1,0,1,0</t>
    <phoneticPr fontId="11" type="noConversion"/>
  </si>
  <si>
    <t>2,0,1,0</t>
    <phoneticPr fontId="11" type="noConversion"/>
  </si>
  <si>
    <t>2,1,3,4</t>
  </si>
  <si>
    <t>0,0,0,0</t>
  </si>
  <si>
    <t>0,0,0,1</t>
  </si>
  <si>
    <t>2,1,3,7</t>
  </si>
  <si>
    <t>2,1,3,12</t>
  </si>
  <si>
    <t>0,0,0,3</t>
  </si>
  <si>
    <t>2,1,3,23</t>
  </si>
  <si>
    <t>0,0,0,4</t>
  </si>
  <si>
    <t>0,0,0,5</t>
  </si>
  <si>
    <t>0,0,0,6</t>
  </si>
  <si>
    <t>0,0,0,7</t>
  </si>
  <si>
    <t>0,0,0,8</t>
  </si>
  <si>
    <t>2,1,3,9</t>
  </si>
  <si>
    <t>2,1,3,6</t>
  </si>
  <si>
    <t>2,1,3,14</t>
    <phoneticPr fontId="11" type="noConversion"/>
  </si>
  <si>
    <t>2,1,3,21</t>
  </si>
  <si>
    <t>2,1,3,21</t>
    <phoneticPr fontId="11" type="noConversion"/>
  </si>
  <si>
    <t>2,1,3,15</t>
  </si>
  <si>
    <t>2,1,3,15</t>
    <phoneticPr fontId="11" type="noConversion"/>
  </si>
  <si>
    <t>2,1,3,30</t>
    <phoneticPr fontId="11" type="noConversion"/>
  </si>
  <si>
    <t>2,1,3,30</t>
  </si>
  <si>
    <t>0,0,0,3032400</t>
    <phoneticPr fontId="11" type="noConversion"/>
  </si>
  <si>
    <t>0,0,0,3041301</t>
    <phoneticPr fontId="11" type="noConversion"/>
  </si>
  <si>
    <t>2,1,3,5,7</t>
    <phoneticPr fontId="11" type="noConversion"/>
  </si>
  <si>
    <t>0,0,0,3031202,1</t>
    <phoneticPr fontId="11" type="noConversion"/>
  </si>
  <si>
    <t>0,0,0,1,0</t>
    <phoneticPr fontId="11" type="noConversion"/>
  </si>
  <si>
    <t>0,0,0,0,0</t>
    <phoneticPr fontId="11" type="noConversion"/>
  </si>
  <si>
    <t>120,800,500,1</t>
    <phoneticPr fontId="11" type="noConversion"/>
  </si>
  <si>
    <t>120,800,500,10</t>
    <phoneticPr fontId="11" type="noConversion"/>
  </si>
  <si>
    <t>120,800,500,1,1</t>
    <phoneticPr fontId="11" type="noConversion"/>
  </si>
  <si>
    <t>240,800,500,1</t>
    <phoneticPr fontId="11" type="noConversion"/>
  </si>
  <si>
    <t>240,1200,600,1</t>
    <phoneticPr fontId="11" type="noConversion"/>
  </si>
  <si>
    <t>120,800,500,1</t>
  </si>
  <si>
    <t>120,800,500,10</t>
  </si>
  <si>
    <t>120,800,500,1,1</t>
  </si>
  <si>
    <t>240,800,500,1</t>
  </si>
  <si>
    <t>240,1200,600,1</t>
  </si>
  <si>
    <t>600,1200,600,10</t>
  </si>
  <si>
    <t>600,1200,600,10</t>
    <phoneticPr fontId="11" type="noConversion"/>
  </si>
  <si>
    <t>600,1800,900,1</t>
  </si>
  <si>
    <t>600,1800,900,1</t>
    <phoneticPr fontId="11" type="noConversion"/>
  </si>
  <si>
    <t>600,1800,900,10</t>
  </si>
  <si>
    <t>600,1800,900,10</t>
    <phoneticPr fontId="11" type="noConversion"/>
  </si>
  <si>
    <t>600,1800,900,3</t>
  </si>
  <si>
    <t>600,1800,900,3</t>
    <phoneticPr fontId="11" type="noConversion"/>
  </si>
  <si>
    <t>800,1800,900,10</t>
  </si>
  <si>
    <t>800,1800,900,10</t>
    <phoneticPr fontId="11" type="noConversion"/>
  </si>
  <si>
    <t>800,2400,1200,2</t>
  </si>
  <si>
    <t>800,2400,1200,2</t>
    <phoneticPr fontId="11" type="noConversion"/>
  </si>
  <si>
    <t>800,2400,1200,1</t>
  </si>
  <si>
    <t>800,2400,1200,1</t>
    <phoneticPr fontId="11" type="noConversion"/>
  </si>
  <si>
    <t>800,2400,1200,10</t>
  </si>
  <si>
    <t>800,2400,1200,10</t>
    <phoneticPr fontId="11" type="noConversion"/>
  </si>
  <si>
    <t>1000,2400,1200,1</t>
  </si>
  <si>
    <t>1000,2400,1200,1</t>
    <phoneticPr fontId="11" type="noConversion"/>
  </si>
  <si>
    <t>1000,2400,1200,10</t>
  </si>
  <si>
    <t>1000,2400,1200,10</t>
    <phoneticPr fontId="11" type="noConversion"/>
  </si>
  <si>
    <t>1000,3000,1500,1</t>
  </si>
  <si>
    <t>1000,3000,1500,1</t>
    <phoneticPr fontId="11" type="noConversion"/>
  </si>
  <si>
    <t>1000,3000,1500,10</t>
  </si>
  <si>
    <t>1000,3000,1500,10</t>
    <phoneticPr fontId="11" type="noConversion"/>
  </si>
  <si>
    <t>1200,3000,1500,1</t>
  </si>
  <si>
    <t>1200,3000,1500,1</t>
    <phoneticPr fontId="11" type="noConversion"/>
  </si>
  <si>
    <t>1200,3600,1800,10</t>
  </si>
  <si>
    <t>1200,3600,1800,10</t>
    <phoneticPr fontId="11" type="noConversion"/>
  </si>
  <si>
    <t>1200,3600,1800,1</t>
  </si>
  <si>
    <t>1200,3600,1800,1</t>
    <phoneticPr fontId="11" type="noConversion"/>
  </si>
  <si>
    <t>1400,3600,1800,1</t>
  </si>
  <si>
    <t>1400,3600,1800,1</t>
    <phoneticPr fontId="11" type="noConversion"/>
  </si>
  <si>
    <t>1400,4200,2100,1</t>
  </si>
  <si>
    <t>1400,4200,2100,1</t>
    <phoneticPr fontId="11" type="noConversion"/>
  </si>
  <si>
    <t>1400,4200,2100,10</t>
  </si>
  <si>
    <t>1400,4200,2100,10</t>
    <phoneticPr fontId="11" type="noConversion"/>
  </si>
  <si>
    <t>1600,4200,2100,10</t>
  </si>
  <si>
    <t>1600,4200,2100,10</t>
    <phoneticPr fontId="11" type="noConversion"/>
  </si>
  <si>
    <t>1600,4800,2400,1</t>
  </si>
  <si>
    <t>1600,4800,2400,1</t>
    <phoneticPr fontId="11" type="noConversion"/>
  </si>
  <si>
    <t>1600,4800,2400,10</t>
  </si>
  <si>
    <t>1600,4800,2400,10</t>
    <phoneticPr fontId="11" type="noConversion"/>
  </si>
  <si>
    <t>1800,4800,2400,10</t>
  </si>
  <si>
    <t>1800,4800,2400,10</t>
    <phoneticPr fontId="11" type="noConversion"/>
  </si>
  <si>
    <t>1800,5400,2700,1</t>
  </si>
  <si>
    <t>1800,5400,2700,1</t>
    <phoneticPr fontId="11" type="noConversion"/>
  </si>
  <si>
    <t>1800,5400,2700,10</t>
  </si>
  <si>
    <t>1800,5400,2700,10</t>
    <phoneticPr fontId="11" type="noConversion"/>
  </si>
  <si>
    <t>2000,5400,2700,10</t>
  </si>
  <si>
    <t>2000,5400,2700,10</t>
    <phoneticPr fontId="11" type="noConversion"/>
  </si>
  <si>
    <t>2000,5400,2700,1</t>
  </si>
  <si>
    <t>2000,5400,2700,1</t>
    <phoneticPr fontId="11" type="noConversion"/>
  </si>
  <si>
    <t>2000,6000,3000,10</t>
  </si>
  <si>
    <t>2000,6000,3000,10</t>
    <phoneticPr fontId="11" type="noConversion"/>
  </si>
  <si>
    <t>2000,6000,3000,1</t>
  </si>
  <si>
    <t>2000,6000,3000,1</t>
    <phoneticPr fontId="11" type="noConversion"/>
  </si>
  <si>
    <t>2100,6000,3000,10</t>
  </si>
  <si>
    <t>2100,6000,3000,10</t>
    <phoneticPr fontId="11" type="noConversion"/>
  </si>
  <si>
    <t>2100,6000,3000,1</t>
  </si>
  <si>
    <t>2100,6000,3000,1</t>
    <phoneticPr fontId="11" type="noConversion"/>
  </si>
  <si>
    <t>2100,6300,3150,10</t>
  </si>
  <si>
    <t>2100,6300,3150,10</t>
    <phoneticPr fontId="11" type="noConversion"/>
  </si>
  <si>
    <t>2100,6300,3150,1</t>
  </si>
  <si>
    <t>2100,6300,3150,1</t>
    <phoneticPr fontId="11" type="noConversion"/>
  </si>
  <si>
    <t>2200,6300,3150,10</t>
  </si>
  <si>
    <t>2200,6300,3150,10</t>
    <phoneticPr fontId="11" type="noConversion"/>
  </si>
  <si>
    <t>2200,6300,3150,1</t>
  </si>
  <si>
    <t>2200,6300,3150,1</t>
    <phoneticPr fontId="11" type="noConversion"/>
  </si>
  <si>
    <t>2200,6600,3300,10</t>
  </si>
  <si>
    <t>2200,6600,3300,10</t>
    <phoneticPr fontId="11" type="noConversion"/>
  </si>
  <si>
    <t>2200,6600,3300,1</t>
  </si>
  <si>
    <t>2200,6600,3300,1</t>
    <phoneticPr fontId="11" type="noConversion"/>
  </si>
  <si>
    <t>2300,6600,3300,1</t>
  </si>
  <si>
    <t>2300,6600,3300,1</t>
    <phoneticPr fontId="11" type="noConversion"/>
  </si>
  <si>
    <t>2300,6600,3300,10</t>
  </si>
  <si>
    <t>2300,6600,3300,10</t>
    <phoneticPr fontId="11" type="noConversion"/>
  </si>
  <si>
    <t>2300,6900,3450,10</t>
  </si>
  <si>
    <t>2300,6900,3450,10</t>
    <phoneticPr fontId="11" type="noConversion"/>
  </si>
  <si>
    <t>2300,6900,3450,1</t>
  </si>
  <si>
    <t>2300,6900,3450,1</t>
    <phoneticPr fontId="11" type="noConversion"/>
  </si>
  <si>
    <t>2400,6900,3450,1</t>
  </si>
  <si>
    <t>2400,6900,3450,1</t>
    <phoneticPr fontId="11" type="noConversion"/>
  </si>
  <si>
    <t>2400,6900,3450,10</t>
  </si>
  <si>
    <t>2400,6900,3450,10</t>
    <phoneticPr fontId="11" type="noConversion"/>
  </si>
  <si>
    <t>2400,7200,3600,1</t>
  </si>
  <si>
    <t>2400,7200,3600,1</t>
    <phoneticPr fontId="11" type="noConversion"/>
  </si>
  <si>
    <t>2400,7200,3600,10</t>
  </si>
  <si>
    <t>2400,7200,3600,10</t>
    <phoneticPr fontId="11" type="noConversion"/>
  </si>
  <si>
    <t>2500,7200,3600,1</t>
  </si>
  <si>
    <t>2500,7200,3600,1</t>
    <phoneticPr fontId="11" type="noConversion"/>
  </si>
  <si>
    <t>2500,7200,3600,10</t>
  </si>
  <si>
    <t>2500,7200,3600,10</t>
    <phoneticPr fontId="11" type="noConversion"/>
  </si>
  <si>
    <t>2500,7500,3750,1</t>
  </si>
  <si>
    <t>2500,7500,3750,1</t>
    <phoneticPr fontId="11" type="noConversion"/>
  </si>
  <si>
    <t>2500,7500,3750,10</t>
  </si>
  <si>
    <t>2500,7500,3750,10</t>
    <phoneticPr fontId="11" type="noConversion"/>
  </si>
  <si>
    <t>2600,7500,3750,10</t>
  </si>
  <si>
    <t>2600,7500,3750,10</t>
    <phoneticPr fontId="11" type="noConversion"/>
  </si>
  <si>
    <t>2600,7800,3900,1</t>
  </si>
  <si>
    <t>2600,7800,3900,1</t>
    <phoneticPr fontId="11" type="noConversion"/>
  </si>
  <si>
    <t>2600,7800,3900,10</t>
  </si>
  <si>
    <t>2600,7800,3900,10</t>
    <phoneticPr fontId="11" type="noConversion"/>
  </si>
  <si>
    <t>2700,7800,3900,10</t>
  </si>
  <si>
    <t>2700,7800,3900,10</t>
    <phoneticPr fontId="11" type="noConversion"/>
  </si>
  <si>
    <t>2700,7800,3900,1</t>
  </si>
  <si>
    <t>2700,7800,3900,1</t>
    <phoneticPr fontId="11" type="noConversion"/>
  </si>
  <si>
    <t>2700,8100,4050,10</t>
  </si>
  <si>
    <t>2700,8100,4050,10</t>
    <phoneticPr fontId="11" type="noConversion"/>
  </si>
  <si>
    <t>2700,8100,4050,1</t>
  </si>
  <si>
    <t>2700,8100,4050,1</t>
    <phoneticPr fontId="11" type="noConversion"/>
  </si>
  <si>
    <t>2800,8100,4050,10</t>
  </si>
  <si>
    <t>2800,8100,4050,10</t>
    <phoneticPr fontId="11" type="noConversion"/>
  </si>
  <si>
    <t>2800,8100,4050,1</t>
  </si>
  <si>
    <t>2800,8100,4050,1</t>
    <phoneticPr fontId="11" type="noConversion"/>
  </si>
  <si>
    <t>2800,8400,4200,10</t>
  </si>
  <si>
    <t>2800,8400,4200,10</t>
    <phoneticPr fontId="11" type="noConversion"/>
  </si>
  <si>
    <t>2800,8400,4200,1</t>
  </si>
  <si>
    <t>2800,8400,4200,1</t>
    <phoneticPr fontId="11" type="noConversion"/>
  </si>
  <si>
    <t>2900,8400,4200,10</t>
  </si>
  <si>
    <t>2900,8400,4200,10</t>
    <phoneticPr fontId="11" type="noConversion"/>
  </si>
  <si>
    <t>2900,8400,4200,1</t>
  </si>
  <si>
    <t>2900,8400,4200,1</t>
    <phoneticPr fontId="11" type="noConversion"/>
  </si>
  <si>
    <t>2900,8700,4350,10</t>
  </si>
  <si>
    <t>2900,8700,4350,10</t>
    <phoneticPr fontId="11" type="noConversion"/>
  </si>
  <si>
    <t>2900,8700,4350,1</t>
  </si>
  <si>
    <t>2900,8700,4350,1</t>
    <phoneticPr fontId="11" type="noConversion"/>
  </si>
  <si>
    <t>3000,8700,4350,1</t>
  </si>
  <si>
    <t>3000,8700,4350,1</t>
    <phoneticPr fontId="11" type="noConversion"/>
  </si>
  <si>
    <t>3000,8700,4350,10</t>
  </si>
  <si>
    <t>3000,8700,4350,10</t>
    <phoneticPr fontId="11" type="noConversion"/>
  </si>
  <si>
    <t>3000,9000,4500,10</t>
  </si>
  <si>
    <t>3000,9000,4500,10</t>
    <phoneticPr fontId="11" type="noConversion"/>
  </si>
  <si>
    <t>3000,9000,4500,1</t>
  </si>
  <si>
    <t>3000,9000,4500,1</t>
    <phoneticPr fontId="11" type="noConversion"/>
  </si>
  <si>
    <t>3100,9000,4500,1</t>
  </si>
  <si>
    <t>3100,9000,4500,1</t>
    <phoneticPr fontId="11" type="noConversion"/>
  </si>
  <si>
    <t>3100,9000,4500,10</t>
  </si>
  <si>
    <t>3100,9000,4500,10</t>
    <phoneticPr fontId="11" type="noConversion"/>
  </si>
  <si>
    <t>3100,9300,4650,1</t>
  </si>
  <si>
    <t>3100,9300,4650,1</t>
    <phoneticPr fontId="11" type="noConversion"/>
  </si>
  <si>
    <t>3100,9300,4650,10</t>
  </si>
  <si>
    <t>3100,9300,4650,10</t>
    <phoneticPr fontId="11" type="noConversion"/>
  </si>
  <si>
    <t>3200,9300,4650,1</t>
  </si>
  <si>
    <t>3200,9300,4650,1</t>
    <phoneticPr fontId="11" type="noConversion"/>
  </si>
  <si>
    <t>3200,9300,4650,10</t>
  </si>
  <si>
    <t>3200,9300,4650,10</t>
    <phoneticPr fontId="11" type="noConversion"/>
  </si>
  <si>
    <t>3200,9600,4800,1</t>
  </si>
  <si>
    <t>3200,9600,4800,1</t>
    <phoneticPr fontId="11" type="noConversion"/>
  </si>
  <si>
    <t>3200,9600,4800,10</t>
  </si>
  <si>
    <t>3200,9600,4800,10</t>
    <phoneticPr fontId="11" type="noConversion"/>
  </si>
  <si>
    <t>3300,9600,4800,10</t>
  </si>
  <si>
    <t>3300,9600,4800,10</t>
    <phoneticPr fontId="11" type="noConversion"/>
  </si>
  <si>
    <t>3300,9900,4950,1</t>
  </si>
  <si>
    <t>3300,9900,4950,1</t>
    <phoneticPr fontId="11" type="noConversion"/>
  </si>
  <si>
    <t>3300,9900,4950,10</t>
  </si>
  <si>
    <t>3300,9900,4950,10</t>
    <phoneticPr fontId="11" type="noConversion"/>
  </si>
  <si>
    <t>3400,9900,4950,10</t>
  </si>
  <si>
    <t>3400,9900,4950,10</t>
    <phoneticPr fontId="11" type="noConversion"/>
  </si>
  <si>
    <t>3400,9900,4950,1</t>
  </si>
  <si>
    <t>3400,9900,4950,1</t>
    <phoneticPr fontId="11" type="noConversion"/>
  </si>
  <si>
    <t>3400,10200,5100,10</t>
  </si>
  <si>
    <t>3400,10200,5100,10</t>
    <phoneticPr fontId="11" type="noConversion"/>
  </si>
  <si>
    <t>3400,10200,5100,1</t>
  </si>
  <si>
    <t>3400,10200,5100,1</t>
    <phoneticPr fontId="11" type="noConversion"/>
  </si>
  <si>
    <t>3500,10200,5100,10</t>
  </si>
  <si>
    <t>3500,10200,5100,10</t>
    <phoneticPr fontId="11" type="noConversion"/>
  </si>
  <si>
    <t>3500,10200,5100,1</t>
  </si>
  <si>
    <t>3500,10200,5100,1</t>
    <phoneticPr fontId="11" type="noConversion"/>
  </si>
  <si>
    <t>3500,10500,5250,10</t>
  </si>
  <si>
    <t>3500,10500,5250,10</t>
    <phoneticPr fontId="11" type="noConversion"/>
  </si>
  <si>
    <t>3500,10500,5250,1</t>
  </si>
  <si>
    <t>3500,10500,5250,1</t>
    <phoneticPr fontId="11" type="noConversion"/>
  </si>
  <si>
    <t>3600,10500,5250,10</t>
  </si>
  <si>
    <t>3600,10500,5250,10</t>
    <phoneticPr fontId="11" type="noConversion"/>
  </si>
  <si>
    <t>3600,10500,5250,1</t>
  </si>
  <si>
    <t>3600,10500,5250,1</t>
    <phoneticPr fontId="11" type="noConversion"/>
  </si>
  <si>
    <t>3600,10800,5400,10</t>
  </si>
  <si>
    <t>3600,10800,5400,10</t>
    <phoneticPr fontId="11" type="noConversion"/>
  </si>
  <si>
    <t>3600,10800,5400,1</t>
  </si>
  <si>
    <t>3600,10800,5400,1</t>
    <phoneticPr fontId="11" type="noConversion"/>
  </si>
  <si>
    <t>3700,10800,5400,1</t>
  </si>
  <si>
    <t>3700,10800,5400,1</t>
    <phoneticPr fontId="11" type="noConversion"/>
  </si>
  <si>
    <t>3700,10800,5400,10</t>
  </si>
  <si>
    <t>3700,10800,5400,10</t>
    <phoneticPr fontId="11" type="noConversion"/>
  </si>
  <si>
    <t>3700,11100,5550,10</t>
  </si>
  <si>
    <t>3700,11100,5550,10</t>
    <phoneticPr fontId="11" type="noConversion"/>
  </si>
  <si>
    <t>3700,11100,5550,1</t>
  </si>
  <si>
    <t>3700,11100,5550,1</t>
    <phoneticPr fontId="11" type="noConversion"/>
  </si>
  <si>
    <t>3800,11100,5550,1</t>
  </si>
  <si>
    <t>3800,11100,5550,1</t>
    <phoneticPr fontId="11" type="noConversion"/>
  </si>
  <si>
    <t>3800,11100,5550,10</t>
  </si>
  <si>
    <t>3800,11100,5550,10</t>
    <phoneticPr fontId="11" type="noConversion"/>
  </si>
  <si>
    <t>3800,11400,5700,1</t>
  </si>
  <si>
    <t>3800,11400,5700,1</t>
    <phoneticPr fontId="11" type="noConversion"/>
  </si>
  <si>
    <t>3800,11400,5700,10</t>
  </si>
  <si>
    <t>3800,11400,5700,10</t>
    <phoneticPr fontId="11" type="noConversion"/>
  </si>
  <si>
    <t>3900,11400,5700,1</t>
  </si>
  <si>
    <t>3900,11400,5700,1</t>
    <phoneticPr fontId="11" type="noConversion"/>
  </si>
  <si>
    <t>3900,11400,5700,10</t>
  </si>
  <si>
    <t>3900,11400,5700,10</t>
    <phoneticPr fontId="11" type="noConversion"/>
  </si>
  <si>
    <t>3900,11700,5850,1</t>
  </si>
  <si>
    <t>3900,11700,5850,1</t>
    <phoneticPr fontId="11" type="noConversion"/>
  </si>
  <si>
    <t>3900,11700,5850,10</t>
  </si>
  <si>
    <t>3900,11700,5850,10</t>
    <phoneticPr fontId="11" type="noConversion"/>
  </si>
  <si>
    <t>4000,11700,5850,10</t>
  </si>
  <si>
    <t>4000,11700,5850,10</t>
    <phoneticPr fontId="11" type="noConversion"/>
  </si>
  <si>
    <t>4000,12000,6000,1</t>
  </si>
  <si>
    <t>4000,12000,6000,1</t>
    <phoneticPr fontId="11" type="noConversion"/>
  </si>
  <si>
    <t>4000,12000,6000,10</t>
  </si>
  <si>
    <t>4000,12000,6000,10</t>
    <phoneticPr fontId="11" type="noConversion"/>
  </si>
  <si>
    <t>4100,12000,6000,10</t>
  </si>
  <si>
    <t>4100,12000,6000,10</t>
    <phoneticPr fontId="11" type="noConversion"/>
  </si>
  <si>
    <t>4100,12000,6000,1</t>
  </si>
  <si>
    <t>4100,12000,6000,1</t>
    <phoneticPr fontId="11" type="noConversion"/>
  </si>
  <si>
    <t>4100,12300,6150,10</t>
  </si>
  <si>
    <t>4100,12300,6150,10</t>
    <phoneticPr fontId="11" type="noConversion"/>
  </si>
  <si>
    <t>4100,12300,6150,1</t>
  </si>
  <si>
    <t>4100,12300,6150,1</t>
    <phoneticPr fontId="11" type="noConversion"/>
  </si>
  <si>
    <t>4200,12300,6150,10</t>
  </si>
  <si>
    <t>4200,12300,6150,10</t>
    <phoneticPr fontId="11" type="noConversion"/>
  </si>
  <si>
    <t>4200,12300,6150,1</t>
  </si>
  <si>
    <t>4200,12300,6150,1</t>
    <phoneticPr fontId="11" type="noConversion"/>
  </si>
  <si>
    <t>4200,12600,6300,10</t>
  </si>
  <si>
    <t>4200,12600,6300,10</t>
    <phoneticPr fontId="11" type="noConversion"/>
  </si>
  <si>
    <t>4200,12600,6300,1</t>
  </si>
  <si>
    <t>4200,12600,6300,1</t>
    <phoneticPr fontId="11" type="noConversion"/>
  </si>
  <si>
    <t>4300,12600,6300,10</t>
  </si>
  <si>
    <t>4300,12600,6300,10</t>
    <phoneticPr fontId="11" type="noConversion"/>
  </si>
  <si>
    <t>4300,12600,6300,1</t>
  </si>
  <si>
    <t>4300,12600,6300,1</t>
    <phoneticPr fontId="11" type="noConversion"/>
  </si>
  <si>
    <t>4300,12900,6450,10</t>
  </si>
  <si>
    <t>4300,12900,6450,10</t>
    <phoneticPr fontId="11" type="noConversion"/>
  </si>
  <si>
    <t>4300,12900,6450,1</t>
  </si>
  <si>
    <t>4300,12900,6450,1</t>
    <phoneticPr fontId="11" type="noConversion"/>
  </si>
  <si>
    <t>4400,12900,6450,1</t>
  </si>
  <si>
    <t>4400,12900,6450,1</t>
    <phoneticPr fontId="11" type="noConversion"/>
  </si>
  <si>
    <t>4400,12900,6450,10</t>
  </si>
  <si>
    <t>4400,12900,6450,10</t>
    <phoneticPr fontId="11" type="noConversion"/>
  </si>
  <si>
    <t>4400,13200,6600,10</t>
  </si>
  <si>
    <t>4400,13200,6600,10</t>
    <phoneticPr fontId="11" type="noConversion"/>
  </si>
  <si>
    <t>4400,13200,6600,1</t>
  </si>
  <si>
    <t>4400,13200,6600,1</t>
    <phoneticPr fontId="11" type="noConversion"/>
  </si>
  <si>
    <t>4500,13200,6600,1</t>
  </si>
  <si>
    <t>4500,13200,6600,1</t>
    <phoneticPr fontId="11" type="noConversion"/>
  </si>
  <si>
    <t>4500,13200,6600,10</t>
  </si>
  <si>
    <t>4500,13200,6600,10</t>
    <phoneticPr fontId="11" type="noConversion"/>
  </si>
  <si>
    <t>4500,13500,6750,1</t>
  </si>
  <si>
    <t>4500,13500,6750,1</t>
    <phoneticPr fontId="11" type="noConversion"/>
  </si>
  <si>
    <t>4500,13500,6750,10</t>
  </si>
  <si>
    <t>4500,13500,6750,10</t>
    <phoneticPr fontId="11" type="noConversion"/>
  </si>
  <si>
    <t>4600,13500,6750,1</t>
  </si>
  <si>
    <t>4600,13500,6750,1</t>
    <phoneticPr fontId="11" type="noConversion"/>
  </si>
  <si>
    <t>4600,13500,6750,10</t>
  </si>
  <si>
    <t>4600,13500,6750,10</t>
    <phoneticPr fontId="11" type="noConversion"/>
  </si>
  <si>
    <t>4600,13800,6900,1</t>
  </si>
  <si>
    <t>4600,13800,6900,1</t>
    <phoneticPr fontId="11" type="noConversion"/>
  </si>
  <si>
    <t>4600,13800,6900,10</t>
  </si>
  <si>
    <t>4600,13800,6900,10</t>
    <phoneticPr fontId="11" type="noConversion"/>
  </si>
  <si>
    <t>4700,13800,6900,10</t>
  </si>
  <si>
    <t>4700,13800,6900,10</t>
    <phoneticPr fontId="11" type="noConversion"/>
  </si>
  <si>
    <t>4700,14100,7050,1</t>
  </si>
  <si>
    <t>4700,14100,7050,1</t>
    <phoneticPr fontId="11" type="noConversion"/>
  </si>
  <si>
    <t>4700,14100,7050,10</t>
  </si>
  <si>
    <t>4700,14100,7050,10</t>
    <phoneticPr fontId="11" type="noConversion"/>
  </si>
  <si>
    <t>4800,14100,7050,10</t>
  </si>
  <si>
    <t>4800,14100,7050,10</t>
    <phoneticPr fontId="11" type="noConversion"/>
  </si>
  <si>
    <t>4800,14400,7200,1</t>
  </si>
  <si>
    <t>4800,14400,7200,1</t>
    <phoneticPr fontId="11" type="noConversion"/>
  </si>
  <si>
    <t>4800,14400,7200,10</t>
  </si>
  <si>
    <t>4800,14400,7200,10</t>
    <phoneticPr fontId="11" type="noConversion"/>
  </si>
  <si>
    <t>4900,14400,7200,1</t>
  </si>
  <si>
    <t>4900,14400,7200,1</t>
    <phoneticPr fontId="11" type="noConversion"/>
  </si>
  <si>
    <t>4900,14400,7200,10</t>
  </si>
  <si>
    <t>4900,14400,7200,10</t>
    <phoneticPr fontId="11" type="noConversion"/>
  </si>
  <si>
    <t>4900,14700,7350,1</t>
  </si>
  <si>
    <t>4900,14700,7350,1</t>
    <phoneticPr fontId="11" type="noConversion"/>
  </si>
  <si>
    <t>4900,14700,7350,10</t>
  </si>
  <si>
    <t>4900,14700,7350,10</t>
    <phoneticPr fontId="11" type="noConversion"/>
  </si>
  <si>
    <t>5000,14700,7350,10</t>
  </si>
  <si>
    <t>5000,14700,7350,10</t>
    <phoneticPr fontId="11" type="noConversion"/>
  </si>
  <si>
    <t>5000,15000,7500,1</t>
  </si>
  <si>
    <t>5000,15000,7500,1</t>
    <phoneticPr fontId="11" type="noConversion"/>
  </si>
  <si>
    <t>5000,15000,7500,10</t>
  </si>
  <si>
    <t>5000,15000,7500,10</t>
    <phoneticPr fontId="11" type="noConversion"/>
  </si>
  <si>
    <t>5100,15000,7500,1</t>
  </si>
  <si>
    <t>5100,15000,7500,1</t>
    <phoneticPr fontId="11" type="noConversion"/>
  </si>
  <si>
    <t>5100,15000,7500,10</t>
  </si>
  <si>
    <t>5100,15000,7500,10</t>
    <phoneticPr fontId="11" type="noConversion"/>
  </si>
  <si>
    <t>5100,15300,7650,1</t>
  </si>
  <si>
    <t>5100,15300,7650,1</t>
    <phoneticPr fontId="11" type="noConversion"/>
  </si>
  <si>
    <t>5100,15300,7650,10</t>
  </si>
  <si>
    <t>5100,15300,7650,10</t>
    <phoneticPr fontId="11" type="noConversion"/>
  </si>
  <si>
    <t>5200,15300,7650,10</t>
  </si>
  <si>
    <t>5200,15300,7650,10</t>
    <phoneticPr fontId="11" type="noConversion"/>
  </si>
  <si>
    <t>5200,15600,7800,1</t>
  </si>
  <si>
    <t>5200,15600,7800,1</t>
    <phoneticPr fontId="11" type="noConversion"/>
  </si>
  <si>
    <t>5200,15600,7800,10</t>
  </si>
  <si>
    <t>5200,15600,7800,10</t>
    <phoneticPr fontId="11" type="noConversion"/>
  </si>
  <si>
    <t>5300,15600,7800,1</t>
  </si>
  <si>
    <t>5300,15600,7800,1</t>
    <phoneticPr fontId="11" type="noConversion"/>
  </si>
  <si>
    <t>5300,15600,7800,10</t>
  </si>
  <si>
    <t>5300,15600,7800,10</t>
    <phoneticPr fontId="11" type="noConversion"/>
  </si>
  <si>
    <t>5300,15900,7950,1</t>
  </si>
  <si>
    <t>5300,15900,7950,1</t>
    <phoneticPr fontId="11" type="noConversion"/>
  </si>
  <si>
    <t>5300,15900,7950,10</t>
  </si>
  <si>
    <t>5300,15900,7950,10</t>
    <phoneticPr fontId="11" type="noConversion"/>
  </si>
  <si>
    <t>5400,15900,7950,10</t>
  </si>
  <si>
    <t>5400,15900,7950,10</t>
    <phoneticPr fontId="11" type="noConversion"/>
  </si>
  <si>
    <t>5400,16200,8100,1</t>
  </si>
  <si>
    <t>5400,16200,8100,1</t>
    <phoneticPr fontId="11" type="noConversion"/>
  </si>
  <si>
    <t>5400,16200,8100,10</t>
  </si>
  <si>
    <t>5400,16200,8100,10</t>
    <phoneticPr fontId="11" type="noConversion"/>
  </si>
  <si>
    <t>5500,16200,8100,1</t>
  </si>
  <si>
    <t>5500,16200,8100,1</t>
    <phoneticPr fontId="11" type="noConversion"/>
  </si>
  <si>
    <t>5500,16200,8100,10</t>
  </si>
  <si>
    <t>5500,16200,8100,10</t>
    <phoneticPr fontId="11" type="noConversion"/>
  </si>
  <si>
    <t>5500,16500,8250,1</t>
  </si>
  <si>
    <t>5500,16500,8250,1</t>
    <phoneticPr fontId="11" type="noConversion"/>
  </si>
  <si>
    <t>5500,16500,8250,10</t>
  </si>
  <si>
    <t>5500,16500,8250,10</t>
    <phoneticPr fontId="11" type="noConversion"/>
  </si>
  <si>
    <t>5600,16500,8250,10</t>
  </si>
  <si>
    <t>5600,16500,8250,10</t>
    <phoneticPr fontId="11" type="noConversion"/>
  </si>
  <si>
    <t>5600,16800,8400,1</t>
  </si>
  <si>
    <t>5600,16800,8400,1</t>
    <phoneticPr fontId="11" type="noConversion"/>
  </si>
  <si>
    <t>5600,16800,8400,10</t>
  </si>
  <si>
    <t>5600,16800,8400,10</t>
    <phoneticPr fontId="11" type="noConversion"/>
  </si>
  <si>
    <t>5700,16800,8400,1</t>
  </si>
  <si>
    <t>5700,16800,8400,1</t>
    <phoneticPr fontId="11" type="noConversion"/>
  </si>
  <si>
    <t>5700,16800,8400,10</t>
  </si>
  <si>
    <t>5700,16800,8400,10</t>
    <phoneticPr fontId="11" type="noConversion"/>
  </si>
  <si>
    <t>5700,17100,8550,1</t>
  </si>
  <si>
    <t>5700,17100,8550,1</t>
    <phoneticPr fontId="11" type="noConversion"/>
  </si>
  <si>
    <t>5700,17100,8550,10</t>
  </si>
  <si>
    <t>5700,17100,8550,10</t>
    <phoneticPr fontId="11" type="noConversion"/>
  </si>
  <si>
    <t>5800,17100,8550,10</t>
  </si>
  <si>
    <t>5800,17100,8550,10</t>
    <phoneticPr fontId="11" type="noConversion"/>
  </si>
  <si>
    <t>5800,17400,8700,1</t>
  </si>
  <si>
    <t>5800,17400,8700,1</t>
    <phoneticPr fontId="11" type="noConversion"/>
  </si>
  <si>
    <t>5800,17400,8700,10</t>
  </si>
  <si>
    <t>5800,17400,8700,10</t>
    <phoneticPr fontId="11" type="noConversion"/>
  </si>
  <si>
    <t>5900,17400,8700,1</t>
  </si>
  <si>
    <t>5900,17400,8700,1</t>
    <phoneticPr fontId="11" type="noConversion"/>
  </si>
  <si>
    <t>5900,17400,8700,10</t>
  </si>
  <si>
    <t>5900,17400,8700,10</t>
    <phoneticPr fontId="11" type="noConversion"/>
  </si>
  <si>
    <t>5900,17700,8850,1</t>
  </si>
  <si>
    <t>5900,17700,8850,1</t>
    <phoneticPr fontId="11" type="noConversion"/>
  </si>
  <si>
    <t>5900,17700,8850,10</t>
  </si>
  <si>
    <t>5900,17700,8850,10</t>
    <phoneticPr fontId="11" type="noConversion"/>
  </si>
  <si>
    <t>6000,17700,8850,10</t>
  </si>
  <si>
    <t>6000,17700,8850,10</t>
    <phoneticPr fontId="11" type="noConversion"/>
  </si>
  <si>
    <t>6000,18000,9000,1</t>
  </si>
  <si>
    <t>6000,18000,9000,1</t>
    <phoneticPr fontId="11" type="noConversion"/>
  </si>
  <si>
    <t>6000,18000,9000,10</t>
  </si>
  <si>
    <t>6000,18000,9000,10</t>
    <phoneticPr fontId="11" type="noConversion"/>
  </si>
  <si>
    <t>6100,18000,9000,1</t>
  </si>
  <si>
    <t>6100,18000,9000,1</t>
    <phoneticPr fontId="11" type="noConversion"/>
  </si>
  <si>
    <t>6100,18000,9000,10</t>
  </si>
  <si>
    <t>6100,18000,9000,10</t>
    <phoneticPr fontId="11" type="noConversion"/>
  </si>
  <si>
    <t>6100,18300,9150,1</t>
  </si>
  <si>
    <t>6100,18300,9150,1</t>
    <phoneticPr fontId="11" type="noConversion"/>
  </si>
  <si>
    <t>6100,18300,9150,10</t>
  </si>
  <si>
    <t>6100,18300,9150,10</t>
    <phoneticPr fontId="11" type="noConversion"/>
  </si>
  <si>
    <t>6200,18300,9150,10</t>
  </si>
  <si>
    <t>6200,18300,9150,10</t>
    <phoneticPr fontId="11" type="noConversion"/>
  </si>
  <si>
    <t>6200,18600,9300,1</t>
  </si>
  <si>
    <t>6200,18600,9300,1</t>
    <phoneticPr fontId="11" type="noConversion"/>
  </si>
  <si>
    <t>6200,18600,9300,10</t>
  </si>
  <si>
    <t>6200,18600,9300,10</t>
    <phoneticPr fontId="11" type="noConversion"/>
  </si>
  <si>
    <t>6300,18600,9300,1</t>
  </si>
  <si>
    <t>6300,18600,9300,1</t>
    <phoneticPr fontId="11" type="noConversion"/>
  </si>
  <si>
    <t>6300,18600,9300,10</t>
  </si>
  <si>
    <t>6300,18600,9300,10</t>
    <phoneticPr fontId="11" type="noConversion"/>
  </si>
  <si>
    <t>6300,18900,9450,1</t>
  </si>
  <si>
    <t>6300,18900,9450,1</t>
    <phoneticPr fontId="11" type="noConversion"/>
  </si>
  <si>
    <t>6300,18900,9450,10</t>
  </si>
  <si>
    <t>6300,18900,9450,10</t>
    <phoneticPr fontId="11" type="noConversion"/>
  </si>
  <si>
    <t>6400,18900,9450,10</t>
  </si>
  <si>
    <t>6400,18900,9450,10</t>
    <phoneticPr fontId="11" type="noConversion"/>
  </si>
  <si>
    <t>6400,19200,9600,1</t>
  </si>
  <si>
    <t>6400,19200,9600,1</t>
    <phoneticPr fontId="11" type="noConversion"/>
  </si>
  <si>
    <t>6400,19200,9600,10</t>
  </si>
  <si>
    <t>6400,19200,9600,10</t>
    <phoneticPr fontId="11" type="noConversion"/>
  </si>
  <si>
    <t>6500,19200,9600,1</t>
  </si>
  <si>
    <t>6500,19200,9600,1</t>
    <phoneticPr fontId="11" type="noConversion"/>
  </si>
  <si>
    <t>6500,19200,9600,10</t>
  </si>
  <si>
    <t>6500,19200,9600,10</t>
    <phoneticPr fontId="11" type="noConversion"/>
  </si>
  <si>
    <t>6500,19500,9750,1</t>
  </si>
  <si>
    <t>6500,19500,9750,1</t>
    <phoneticPr fontId="11" type="noConversion"/>
  </si>
  <si>
    <t>6500,19500,9750,10</t>
  </si>
  <si>
    <t>6500,19500,9750,10</t>
    <phoneticPr fontId="11" type="noConversion"/>
  </si>
  <si>
    <t>6600,19500,9750,10</t>
  </si>
  <si>
    <t>6600,19500,9750,10</t>
    <phoneticPr fontId="11" type="noConversion"/>
  </si>
  <si>
    <t>6600,19800,9900,1</t>
  </si>
  <si>
    <t>6600,19800,9900,1</t>
    <phoneticPr fontId="11" type="noConversion"/>
  </si>
  <si>
    <t>6600,19800,9900,10</t>
  </si>
  <si>
    <t>6600,19800,9900,10</t>
    <phoneticPr fontId="11" type="noConversion"/>
  </si>
  <si>
    <t>6680,19800,9900,1</t>
  </si>
  <si>
    <t>6680,19800,9900,1</t>
    <phoneticPr fontId="11" type="noConversion"/>
  </si>
  <si>
    <t>6680,19800,9900,10</t>
  </si>
  <si>
    <t>6680,19800,9900,10</t>
    <phoneticPr fontId="11" type="noConversion"/>
  </si>
  <si>
    <t>6680,20040,10020,1</t>
  </si>
  <si>
    <t>6680,20040,10020,1</t>
    <phoneticPr fontId="11" type="noConversion"/>
  </si>
  <si>
    <t>6680,20040,10020,10</t>
  </si>
  <si>
    <t>6680,20040,10020,10</t>
    <phoneticPr fontId="11" type="noConversion"/>
  </si>
  <si>
    <t>6760,20040,10020,10</t>
  </si>
  <si>
    <t>6760,20040,10020,10</t>
    <phoneticPr fontId="11" type="noConversion"/>
  </si>
  <si>
    <t>6760,20280,10140,1</t>
  </si>
  <si>
    <t>6760,20280,10140,1</t>
    <phoneticPr fontId="11" type="noConversion"/>
  </si>
  <si>
    <t>6760,20280,10140,10</t>
  </si>
  <si>
    <t>6760,20280,10140,10</t>
    <phoneticPr fontId="11" type="noConversion"/>
  </si>
  <si>
    <t>6840,20280,10140,1</t>
  </si>
  <si>
    <t>6840,20280,10140,1</t>
    <phoneticPr fontId="11" type="noConversion"/>
  </si>
  <si>
    <t>6840,20280,10140,10</t>
  </si>
  <si>
    <t>6840,20280,10140,10</t>
    <phoneticPr fontId="11" type="noConversion"/>
  </si>
  <si>
    <t>6840,20520,10260,1</t>
  </si>
  <si>
    <t>6840,20520,10260,1</t>
    <phoneticPr fontId="11" type="noConversion"/>
  </si>
  <si>
    <t>6840,20520,10260,10</t>
  </si>
  <si>
    <t>6840,20520,10260,10</t>
    <phoneticPr fontId="11" type="noConversion"/>
  </si>
  <si>
    <t>6920,20520,10260,10</t>
  </si>
  <si>
    <t>6920,20520,10260,10</t>
    <phoneticPr fontId="11" type="noConversion"/>
  </si>
  <si>
    <t>6920,20760,10380,1</t>
  </si>
  <si>
    <t>6920,20760,10380,1</t>
    <phoneticPr fontId="11" type="noConversion"/>
  </si>
  <si>
    <t>6920,20760,10380,10</t>
  </si>
  <si>
    <t>6920,20760,10380,10</t>
    <phoneticPr fontId="11" type="noConversion"/>
  </si>
  <si>
    <t>7000,20760,10380,1</t>
  </si>
  <si>
    <t>7000,20760,10380,1</t>
    <phoneticPr fontId="11" type="noConversion"/>
  </si>
  <si>
    <t>7000,20760,10380,10</t>
  </si>
  <si>
    <t>7000,20760,10380,10</t>
    <phoneticPr fontId="11" type="noConversion"/>
  </si>
  <si>
    <t>7000,21000,10500,1</t>
  </si>
  <si>
    <t>7000,21000,10500,1</t>
    <phoneticPr fontId="11" type="noConversion"/>
  </si>
  <si>
    <t>7000,21000,10500,10</t>
  </si>
  <si>
    <t>7000,21000,10500,10</t>
    <phoneticPr fontId="11" type="noConversion"/>
  </si>
  <si>
    <t>7080,21000,10500,10</t>
  </si>
  <si>
    <t>7080,21000,10500,10</t>
    <phoneticPr fontId="11" type="noConversion"/>
  </si>
  <si>
    <t>7080,21240,10620,1</t>
  </si>
  <si>
    <t>7080,21240,10620,1</t>
    <phoneticPr fontId="11" type="noConversion"/>
  </si>
  <si>
    <t>7080,21240,10620,10</t>
  </si>
  <si>
    <t>7080,21240,10620,10</t>
    <phoneticPr fontId="11" type="noConversion"/>
  </si>
  <si>
    <t>7160,21240,10620,1</t>
  </si>
  <si>
    <t>7160,21240,10620,1</t>
    <phoneticPr fontId="11" type="noConversion"/>
  </si>
  <si>
    <t>7160,21240,10620,10</t>
  </si>
  <si>
    <t>7160,21240,10620,10</t>
    <phoneticPr fontId="11" type="noConversion"/>
  </si>
  <si>
    <t>7160,21480,10740,1</t>
  </si>
  <si>
    <t>7160,21480,10740,1</t>
    <phoneticPr fontId="11" type="noConversion"/>
  </si>
  <si>
    <t>7160,21480,10740,10</t>
  </si>
  <si>
    <t>7160,21480,10740,10</t>
    <phoneticPr fontId="11" type="noConversion"/>
  </si>
  <si>
    <t>7240,21480,10740,10</t>
  </si>
  <si>
    <t>7240,21480,10740,10</t>
    <phoneticPr fontId="11" type="noConversion"/>
  </si>
  <si>
    <t>7240,21720,10860,1</t>
  </si>
  <si>
    <t>7240,21720,10860,1</t>
    <phoneticPr fontId="11" type="noConversion"/>
  </si>
  <si>
    <t>7240,21720,10860,10</t>
  </si>
  <si>
    <t>7240,21720,10860,10</t>
    <phoneticPr fontId="11" type="noConversion"/>
  </si>
  <si>
    <t>7320,21720,10860,1</t>
  </si>
  <si>
    <t>7320,21720,10860,1</t>
    <phoneticPr fontId="11" type="noConversion"/>
  </si>
  <si>
    <t>7320,21720,10860,10</t>
  </si>
  <si>
    <t>7320,21720,10860,10</t>
    <phoneticPr fontId="11" type="noConversion"/>
  </si>
  <si>
    <t>7320,21960,10980,1</t>
  </si>
  <si>
    <t>7320,21960,10980,1</t>
    <phoneticPr fontId="11" type="noConversion"/>
  </si>
  <si>
    <t>7320,21960,10980,10</t>
  </si>
  <si>
    <t>7320,21960,10980,10</t>
    <phoneticPr fontId="11" type="noConversion"/>
  </si>
  <si>
    <t>7400,21960,10980,10</t>
  </si>
  <si>
    <t>7400,21960,10980,10</t>
    <phoneticPr fontId="11" type="noConversion"/>
  </si>
  <si>
    <t>7400,22200,11100,1</t>
  </si>
  <si>
    <t>7400,22200,11100,1</t>
    <phoneticPr fontId="11" type="noConversion"/>
  </si>
  <si>
    <t>7400,22200,11100,10</t>
  </si>
  <si>
    <t>7400,22200,11100,10</t>
    <phoneticPr fontId="11" type="noConversion"/>
  </si>
  <si>
    <t>7480,22200,11100,1</t>
  </si>
  <si>
    <t>7480,22200,11100,1</t>
    <phoneticPr fontId="11" type="noConversion"/>
  </si>
  <si>
    <t>7480,22200,11100,10</t>
  </si>
  <si>
    <t>7480,22200,11100,10</t>
    <phoneticPr fontId="11" type="noConversion"/>
  </si>
  <si>
    <t>7480,22440,11220,1</t>
  </si>
  <si>
    <t>7480,22440,11220,1</t>
    <phoneticPr fontId="11" type="noConversion"/>
  </si>
  <si>
    <t>7480,22440,11220,10</t>
  </si>
  <si>
    <t>7480,22440,11220,10</t>
    <phoneticPr fontId="11" type="noConversion"/>
  </si>
  <si>
    <t>7560,22440,11220,10</t>
  </si>
  <si>
    <t>7560,22440,11220,10</t>
    <phoneticPr fontId="11" type="noConversion"/>
  </si>
  <si>
    <t>7560,22680,11340,1</t>
  </si>
  <si>
    <t>7560,22680,11340,1</t>
    <phoneticPr fontId="11" type="noConversion"/>
  </si>
  <si>
    <t>7560,22680,11340,10</t>
  </si>
  <si>
    <t>7560,22680,11340,10</t>
    <phoneticPr fontId="11" type="noConversion"/>
  </si>
  <si>
    <t>7640,22680,11340,1</t>
  </si>
  <si>
    <t>7640,22680,11340,1</t>
    <phoneticPr fontId="11" type="noConversion"/>
  </si>
  <si>
    <t>7640,22680,11340,10</t>
  </si>
  <si>
    <t>7640,22680,11340,10</t>
    <phoneticPr fontId="11" type="noConversion"/>
  </si>
  <si>
    <t>7640,22920,11460,1</t>
  </si>
  <si>
    <t>7640,22920,11460,1</t>
    <phoneticPr fontId="11" type="noConversion"/>
  </si>
  <si>
    <t>7640,22920,11460,10</t>
  </si>
  <si>
    <t>7640,22920,11460,10</t>
    <phoneticPr fontId="11" type="noConversion"/>
  </si>
  <si>
    <t>7720,22920,11460,10</t>
  </si>
  <si>
    <t>7720,22920,11460,10</t>
    <phoneticPr fontId="11" type="noConversion"/>
  </si>
  <si>
    <t>7720,23160,11580,1</t>
  </si>
  <si>
    <t>7720,23160,11580,1</t>
    <phoneticPr fontId="11" type="noConversion"/>
  </si>
  <si>
    <t>7720,23160,11580,10</t>
  </si>
  <si>
    <t>7720,23160,11580,10</t>
    <phoneticPr fontId="11" type="noConversion"/>
  </si>
  <si>
    <t>7800,23160,11580,1</t>
  </si>
  <si>
    <t>7800,23160,11580,1</t>
    <phoneticPr fontId="11" type="noConversion"/>
  </si>
  <si>
    <t>7800,23160,11580,10</t>
  </si>
  <si>
    <t>7800,23160,11580,10</t>
    <phoneticPr fontId="11" type="noConversion"/>
  </si>
  <si>
    <t>7800,23400,11700,1</t>
  </si>
  <si>
    <t>7800,23400,11700,1</t>
    <phoneticPr fontId="11" type="noConversion"/>
  </si>
  <si>
    <t>7800,23400,11700,10</t>
  </si>
  <si>
    <t>7800,23400,11700,10</t>
    <phoneticPr fontId="11" type="noConversion"/>
  </si>
  <si>
    <t>7880,23400,11700,10</t>
  </si>
  <si>
    <t>7880,23400,11700,10</t>
    <phoneticPr fontId="11" type="noConversion"/>
  </si>
  <si>
    <t>7880,23640,11820,1</t>
  </si>
  <si>
    <t>7880,23640,11820,1</t>
    <phoneticPr fontId="11" type="noConversion"/>
  </si>
  <si>
    <t>7880,23640,11820,10</t>
  </si>
  <si>
    <t>7880,23640,11820,10</t>
    <phoneticPr fontId="11" type="noConversion"/>
  </si>
  <si>
    <t>7960,23640,11820,1</t>
  </si>
  <si>
    <t>7960,23640,11820,1</t>
    <phoneticPr fontId="11" type="noConversion"/>
  </si>
  <si>
    <t>7960,23640,11820,10</t>
  </si>
  <si>
    <t>7960,23640,11820,10</t>
    <phoneticPr fontId="11" type="noConversion"/>
  </si>
  <si>
    <t>7960,23880,11940,1</t>
  </si>
  <si>
    <t>7960,23880,11940,1</t>
    <phoneticPr fontId="11" type="noConversion"/>
  </si>
  <si>
    <t>7960,23880,11940,10</t>
  </si>
  <si>
    <t>7960,23880,11940,10</t>
    <phoneticPr fontId="11" type="noConversion"/>
  </si>
  <si>
    <t>8040,23880,11940,10</t>
  </si>
  <si>
    <t>8040,23880,11940,10</t>
    <phoneticPr fontId="11" type="noConversion"/>
  </si>
  <si>
    <t>8040,24120,12060,1</t>
  </si>
  <si>
    <t>8040,24120,12060,1</t>
    <phoneticPr fontId="11" type="noConversion"/>
  </si>
  <si>
    <t>8040,24120,12060,10</t>
  </si>
  <si>
    <t>8040,24120,12060,10</t>
    <phoneticPr fontId="11" type="noConversion"/>
  </si>
  <si>
    <t>8120,24120,12060,1</t>
  </si>
  <si>
    <t>8120,24120,12060,1</t>
    <phoneticPr fontId="11" type="noConversion"/>
  </si>
  <si>
    <t>8120,24120,12060,10</t>
  </si>
  <si>
    <t>8120,24120,12060,10</t>
    <phoneticPr fontId="11" type="noConversion"/>
  </si>
  <si>
    <t>8120,24360,12180,1</t>
  </si>
  <si>
    <t>8120,24360,12180,1</t>
    <phoneticPr fontId="11" type="noConversion"/>
  </si>
  <si>
    <t>8120,24360,12180,10</t>
  </si>
  <si>
    <t>8120,24360,12180,10</t>
    <phoneticPr fontId="11" type="noConversion"/>
  </si>
  <si>
    <t>8200,24360,12180,10</t>
  </si>
  <si>
    <t>8200,24360,12180,10</t>
    <phoneticPr fontId="11" type="noConversion"/>
  </si>
  <si>
    <t>8200,24600,12300,1</t>
  </si>
  <si>
    <t>8200,24600,12300,1</t>
    <phoneticPr fontId="11" type="noConversion"/>
  </si>
  <si>
    <t>8200,24600,12300,10</t>
  </si>
  <si>
    <t>8200,24600,12300,10</t>
    <phoneticPr fontId="11" type="noConversion"/>
  </si>
  <si>
    <t>8280,24600,12300,1</t>
  </si>
  <si>
    <t>8280,24600,12300,1</t>
    <phoneticPr fontId="11" type="noConversion"/>
  </si>
  <si>
    <t>8280,24600,12300,10</t>
  </si>
  <si>
    <t>8280,24600,12300,10</t>
    <phoneticPr fontId="11" type="noConversion"/>
  </si>
  <si>
    <t>8280,24840,12420,1</t>
  </si>
  <si>
    <t>8280,24840,12420,1</t>
    <phoneticPr fontId="11" type="noConversion"/>
  </si>
  <si>
    <t>8280,24840,12420,10</t>
  </si>
  <si>
    <t>8280,24840,12420,10</t>
    <phoneticPr fontId="11" type="noConversion"/>
  </si>
  <si>
    <t>8360,24840,12420,10</t>
  </si>
  <si>
    <t>8360,24840,12420,10</t>
    <phoneticPr fontId="11" type="noConversion"/>
  </si>
  <si>
    <t>8360,25080,12540,1</t>
  </si>
  <si>
    <t>8360,25080,12540,1</t>
    <phoneticPr fontId="11" type="noConversion"/>
  </si>
  <si>
    <t>8360,25080,12540,10</t>
  </si>
  <si>
    <t>8360,25080,12540,10</t>
    <phoneticPr fontId="11" type="noConversion"/>
  </si>
  <si>
    <t>8440,25080,12540,1</t>
  </si>
  <si>
    <t>8440,25080,12540,1</t>
    <phoneticPr fontId="11" type="noConversion"/>
  </si>
  <si>
    <t>8440,25080,12540,10</t>
  </si>
  <si>
    <t>8440,25080,12540,10</t>
    <phoneticPr fontId="11" type="noConversion"/>
  </si>
  <si>
    <t>8440,25320,12660,1</t>
  </si>
  <si>
    <t>8440,25320,12660,1</t>
    <phoneticPr fontId="11" type="noConversion"/>
  </si>
  <si>
    <t>8440,25320,12660,10</t>
  </si>
  <si>
    <t>8440,25320,12660,10</t>
    <phoneticPr fontId="11" type="noConversion"/>
  </si>
  <si>
    <t>8520,25320,12660,10</t>
  </si>
  <si>
    <t>8520,25320,12660,10</t>
    <phoneticPr fontId="11" type="noConversion"/>
  </si>
  <si>
    <t>8520,25560,12780,1</t>
  </si>
  <si>
    <t>8520,25560,12780,1</t>
    <phoneticPr fontId="11" type="noConversion"/>
  </si>
  <si>
    <t>8520,25560,12780,10</t>
  </si>
  <si>
    <t>8520,25560,12780,10</t>
    <phoneticPr fontId="11" type="noConversion"/>
  </si>
  <si>
    <t>8600,25560,12780,1</t>
  </si>
  <si>
    <t>8600,25560,12780,1</t>
    <phoneticPr fontId="11" type="noConversion"/>
  </si>
  <si>
    <t>8600,25560,12780,10</t>
  </si>
  <si>
    <t>8600,25560,12780,10</t>
    <phoneticPr fontId="11" type="noConversion"/>
  </si>
  <si>
    <t>8600,25800,12900,1</t>
  </si>
  <si>
    <t>8600,25800,12900,1</t>
    <phoneticPr fontId="11" type="noConversion"/>
  </si>
  <si>
    <t>8600,25800,12900,10</t>
  </si>
  <si>
    <t>8600,25800,12900,10</t>
    <phoneticPr fontId="11" type="noConversion"/>
  </si>
  <si>
    <t>8680,25800,12900,10</t>
  </si>
  <si>
    <t>8680,25800,12900,10</t>
    <phoneticPr fontId="11" type="noConversion"/>
  </si>
  <si>
    <t>8680,26040,13020,1</t>
  </si>
  <si>
    <t>8680,26040,13020,1</t>
    <phoneticPr fontId="11" type="noConversion"/>
  </si>
  <si>
    <t>8680,26040,13020,10</t>
  </si>
  <si>
    <t>8680,26040,13020,10</t>
    <phoneticPr fontId="11" type="noConversion"/>
  </si>
  <si>
    <t>8760,26040,13020,1</t>
  </si>
  <si>
    <t>8760,26040,13020,1</t>
    <phoneticPr fontId="11" type="noConversion"/>
  </si>
  <si>
    <t>8760,26040,13020,10</t>
  </si>
  <si>
    <t>8760,26040,13020,10</t>
    <phoneticPr fontId="11" type="noConversion"/>
  </si>
  <si>
    <t>8760,26280,13140,1</t>
  </si>
  <si>
    <t>8760,26280,13140,1</t>
    <phoneticPr fontId="11" type="noConversion"/>
  </si>
  <si>
    <t>8760,26280,13140,10</t>
  </si>
  <si>
    <t>8760,26280,13140,10</t>
    <phoneticPr fontId="11" type="noConversion"/>
  </si>
  <si>
    <t>8840,26280,13140,10</t>
  </si>
  <si>
    <t>8840,26280,13140,10</t>
    <phoneticPr fontId="11" type="noConversion"/>
  </si>
  <si>
    <t>8840,26520,13260,1</t>
  </si>
  <si>
    <t>8840,26520,13260,1</t>
    <phoneticPr fontId="11" type="noConversion"/>
  </si>
  <si>
    <t>8840,26520,13260,10</t>
  </si>
  <si>
    <t>8840,26520,13260,10</t>
    <phoneticPr fontId="11" type="noConversion"/>
  </si>
  <si>
    <t>8920,26520,13260,1</t>
  </si>
  <si>
    <t>8920,26520,13260,1</t>
    <phoneticPr fontId="11" type="noConversion"/>
  </si>
  <si>
    <t>8920,26520,13260,10</t>
  </si>
  <si>
    <t>8920,26520,13260,10</t>
    <phoneticPr fontId="11" type="noConversion"/>
  </si>
  <si>
    <t>8920,26760,13380,1</t>
  </si>
  <si>
    <t>8920,26760,13380,1</t>
    <phoneticPr fontId="11" type="noConversion"/>
  </si>
  <si>
    <t>8920,26760,13380,10</t>
  </si>
  <si>
    <t>8920,26760,13380,10</t>
    <phoneticPr fontId="11" type="noConversion"/>
  </si>
  <si>
    <t>9000,26760,13380,10</t>
  </si>
  <si>
    <t>9000,26760,13380,10</t>
    <phoneticPr fontId="11" type="noConversion"/>
  </si>
  <si>
    <t>9000,27000,13500,1</t>
  </si>
  <si>
    <t>9000,27000,13500,1</t>
    <phoneticPr fontId="11" type="noConversion"/>
  </si>
  <si>
    <t>9000,27000,13500,10</t>
  </si>
  <si>
    <t>9000,27000,13500,10</t>
    <phoneticPr fontId="11" type="noConversion"/>
  </si>
  <si>
    <t>9080,27000,13500,1</t>
  </si>
  <si>
    <t>9080,27000,13500,1</t>
    <phoneticPr fontId="11" type="noConversion"/>
  </si>
  <si>
    <t>9080,27000,13500,10</t>
  </si>
  <si>
    <t>9080,27000,13500,10</t>
    <phoneticPr fontId="11" type="noConversion"/>
  </si>
  <si>
    <t>9080,27240,13620,1</t>
  </si>
  <si>
    <t>9080,27240,13620,1</t>
    <phoneticPr fontId="11" type="noConversion"/>
  </si>
  <si>
    <t>9080,27240,13620,10</t>
  </si>
  <si>
    <t>9080,27240,13620,10</t>
    <phoneticPr fontId="11" type="noConversion"/>
  </si>
  <si>
    <t>9160,27240,13620,10</t>
  </si>
  <si>
    <t>9160,27240,13620,10</t>
    <phoneticPr fontId="11" type="noConversion"/>
  </si>
  <si>
    <t>9160,27480,13740,1</t>
  </si>
  <si>
    <t>9160,27480,13740,1</t>
    <phoneticPr fontId="11" type="noConversion"/>
  </si>
  <si>
    <t>9160,27480,13740,10</t>
  </si>
  <si>
    <t>9160,27480,13740,10</t>
    <phoneticPr fontId="11" type="noConversion"/>
  </si>
  <si>
    <t>9240,27480,13740,1</t>
  </si>
  <si>
    <t>9240,27480,13740,1</t>
    <phoneticPr fontId="11" type="noConversion"/>
  </si>
  <si>
    <t>9240,27480,13740,10</t>
  </si>
  <si>
    <t>9240,27480,13740,10</t>
    <phoneticPr fontId="11" type="noConversion"/>
  </si>
  <si>
    <t>9240,27720,13860,1</t>
  </si>
  <si>
    <t>9240,27720,13860,1</t>
    <phoneticPr fontId="11" type="noConversion"/>
  </si>
  <si>
    <t>9240,27720,13860,10</t>
  </si>
  <si>
    <t>9240,27720,13860,10</t>
    <phoneticPr fontId="11" type="noConversion"/>
  </si>
  <si>
    <t>9320,27720,13860,10</t>
  </si>
  <si>
    <t>9320,27720,13860,10</t>
    <phoneticPr fontId="11" type="noConversion"/>
  </si>
  <si>
    <t>9320,27960,13980,1</t>
  </si>
  <si>
    <t>9320,27960,13980,1</t>
    <phoneticPr fontId="11" type="noConversion"/>
  </si>
  <si>
    <t>9320,27960,13980,10</t>
  </si>
  <si>
    <t>9320,27960,13980,10</t>
    <phoneticPr fontId="11" type="noConversion"/>
  </si>
  <si>
    <t>9400,27960,13980,1</t>
  </si>
  <si>
    <t>9400,27960,13980,1</t>
    <phoneticPr fontId="11" type="noConversion"/>
  </si>
  <si>
    <t>9400,27960,13980,10</t>
  </si>
  <si>
    <t>9400,27960,13980,10</t>
    <phoneticPr fontId="11" type="noConversion"/>
  </si>
  <si>
    <t>9400,28200,14100,1</t>
  </si>
  <si>
    <t>9400,28200,14100,1</t>
    <phoneticPr fontId="11" type="noConversion"/>
  </si>
  <si>
    <t>9400,28200,14100,10</t>
  </si>
  <si>
    <t>9400,28200,14100,10</t>
    <phoneticPr fontId="11" type="noConversion"/>
  </si>
  <si>
    <t>9480,28200,14100,10</t>
  </si>
  <si>
    <t>9480,28200,14100,10</t>
    <phoneticPr fontId="11" type="noConversion"/>
  </si>
  <si>
    <t>9480,28440,14220,1</t>
  </si>
  <si>
    <t>9480,28440,14220,1</t>
    <phoneticPr fontId="11" type="noConversion"/>
  </si>
  <si>
    <t>9480,28440,14220,10</t>
  </si>
  <si>
    <t>9480,28440,14220,10</t>
    <phoneticPr fontId="11" type="noConversion"/>
  </si>
  <si>
    <t>9560,28440,14220,1</t>
  </si>
  <si>
    <t>9560,28440,14220,1</t>
    <phoneticPr fontId="11" type="noConversion"/>
  </si>
  <si>
    <t>9560,28440,14220,10</t>
  </si>
  <si>
    <t>9560,28440,14220,10</t>
    <phoneticPr fontId="11" type="noConversion"/>
  </si>
  <si>
    <t>9560,28680,14340,1</t>
  </si>
  <si>
    <t>9560,28680,14340,1</t>
    <phoneticPr fontId="11" type="noConversion"/>
  </si>
  <si>
    <t>9560,28680,14340,10</t>
  </si>
  <si>
    <t>9560,28680,14340,10</t>
    <phoneticPr fontId="11" type="noConversion"/>
  </si>
  <si>
    <t>9640,28680,14340,10</t>
  </si>
  <si>
    <t>9640,28680,14340,10</t>
    <phoneticPr fontId="11" type="noConversion"/>
  </si>
  <si>
    <t>9640,28920,14460,1</t>
  </si>
  <si>
    <t>9640,28920,14460,1</t>
    <phoneticPr fontId="11" type="noConversion"/>
  </si>
  <si>
    <t>9640,28920,14460,10</t>
  </si>
  <si>
    <t>9640,28920,14460,10</t>
    <phoneticPr fontId="11" type="noConversion"/>
  </si>
  <si>
    <t>9720,28920,14460,1</t>
  </si>
  <si>
    <t>9720,28920,14460,1</t>
    <phoneticPr fontId="11" type="noConversion"/>
  </si>
  <si>
    <t>9720,28920,14460,10</t>
  </si>
  <si>
    <t>9720,28920,14460,10</t>
    <phoneticPr fontId="11" type="noConversion"/>
  </si>
  <si>
    <t>9720,29160,14580,1</t>
  </si>
  <si>
    <t>9720,29160,14580,1</t>
    <phoneticPr fontId="11" type="noConversion"/>
  </si>
  <si>
    <t>9720,29160,14580,10</t>
  </si>
  <si>
    <t>9720,29160,14580,10</t>
    <phoneticPr fontId="11" type="noConversion"/>
  </si>
  <si>
    <t>9800,29160,14580,10</t>
  </si>
  <si>
    <t>9800,29160,14580,10</t>
    <phoneticPr fontId="11" type="noConversion"/>
  </si>
  <si>
    <t>9800,29400,14700,1</t>
  </si>
  <si>
    <t>9800,29400,14700,1</t>
    <phoneticPr fontId="11" type="noConversion"/>
  </si>
  <si>
    <t>9800,29400,14700,10</t>
  </si>
  <si>
    <t>9800,29400,14700,10</t>
    <phoneticPr fontId="11" type="noConversion"/>
  </si>
  <si>
    <t>9880,29400,14700,1</t>
  </si>
  <si>
    <t>9880,29400,14700,1</t>
    <phoneticPr fontId="11" type="noConversion"/>
  </si>
  <si>
    <t>9880,29400,14700,10</t>
  </si>
  <si>
    <t>9880,29400,14700,10</t>
    <phoneticPr fontId="11" type="noConversion"/>
  </si>
  <si>
    <t>9880,29640,14820,1</t>
  </si>
  <si>
    <t>9880,29640,14820,1</t>
    <phoneticPr fontId="11" type="noConversion"/>
  </si>
  <si>
    <t>9880,29640,14820,10</t>
  </si>
  <si>
    <t>9880,29640,14820,10</t>
    <phoneticPr fontId="11" type="noConversion"/>
  </si>
  <si>
    <t>9960,29640,14820,10</t>
  </si>
  <si>
    <t>9960,29640,14820,10</t>
    <phoneticPr fontId="11" type="noConversion"/>
  </si>
  <si>
    <t>9960,29880,14940,1</t>
  </si>
  <si>
    <t>9960,29880,14940,1</t>
    <phoneticPr fontId="11" type="noConversion"/>
  </si>
  <si>
    <t>9960,29880,14940,10</t>
  </si>
  <si>
    <t>9960,29880,14940,10</t>
    <phoneticPr fontId="11" type="noConversion"/>
  </si>
  <si>
    <t>10040,29880,14940,1</t>
  </si>
  <si>
    <t>10040,29880,14940,1</t>
    <phoneticPr fontId="11" type="noConversion"/>
  </si>
  <si>
    <t>10040,29880,14940,10</t>
  </si>
  <si>
    <t>10040,29880,14940,10</t>
    <phoneticPr fontId="11" type="noConversion"/>
  </si>
  <si>
    <t>10040,30120,15060,1</t>
  </si>
  <si>
    <t>10040,30120,15060,1</t>
    <phoneticPr fontId="11" type="noConversion"/>
  </si>
  <si>
    <t>10040,30120,15060,10</t>
  </si>
  <si>
    <t>10040,30120,15060,10</t>
    <phoneticPr fontId="11" type="noConversion"/>
  </si>
  <si>
    <t>10120,30120,15060,10</t>
  </si>
  <si>
    <t>10120,30120,15060,10</t>
    <phoneticPr fontId="11" type="noConversion"/>
  </si>
  <si>
    <t>10120,30360,15180,1</t>
  </si>
  <si>
    <t>10120,30360,15180,1</t>
    <phoneticPr fontId="11" type="noConversion"/>
  </si>
  <si>
    <t>10120,30360,15180,10</t>
  </si>
  <si>
    <t>10120,30360,15180,10</t>
    <phoneticPr fontId="11" type="noConversion"/>
  </si>
  <si>
    <t>10200,30360,15180,1</t>
  </si>
  <si>
    <t>10200,30360,15180,1</t>
    <phoneticPr fontId="11" type="noConversion"/>
  </si>
  <si>
    <t>10200,30360,15180,10</t>
  </si>
  <si>
    <t>10200,30360,15180,10</t>
    <phoneticPr fontId="11" type="noConversion"/>
  </si>
  <si>
    <t>10200,30600,15300,1</t>
  </si>
  <si>
    <t>10200,30600,15300,1</t>
    <phoneticPr fontId="11" type="noConversion"/>
  </si>
  <si>
    <t>10200,30600,15300,10</t>
  </si>
  <si>
    <t>10200,30600,15300,10</t>
    <phoneticPr fontId="11" type="noConversion"/>
  </si>
  <si>
    <t>10280,30600,15300,10</t>
  </si>
  <si>
    <t>10280,30600,15300,10</t>
    <phoneticPr fontId="11" type="noConversion"/>
  </si>
  <si>
    <t>10280,30840,15420,1</t>
  </si>
  <si>
    <t>10280,30840,15420,1</t>
    <phoneticPr fontId="11" type="noConversion"/>
  </si>
  <si>
    <t>10280,30840,15420,10</t>
  </si>
  <si>
    <t>10280,30840,15420,10</t>
    <phoneticPr fontId="11" type="noConversion"/>
  </si>
  <si>
    <t>10360,30840,15420,1</t>
  </si>
  <si>
    <t>10360,30840,15420,1</t>
    <phoneticPr fontId="11" type="noConversion"/>
  </si>
  <si>
    <t>10360,30840,15420,10</t>
  </si>
  <si>
    <t>10360,30840,15420,10</t>
    <phoneticPr fontId="11" type="noConversion"/>
  </si>
  <si>
    <t>10360,31080,15540,1</t>
  </si>
  <si>
    <t>10360,31080,15540,1</t>
    <phoneticPr fontId="11" type="noConversion"/>
  </si>
  <si>
    <t>10360,31080,15540,10</t>
  </si>
  <si>
    <t>10360,31080,15540,10</t>
    <phoneticPr fontId="11" type="noConversion"/>
  </si>
  <si>
    <t>10440,31080,15540,10</t>
  </si>
  <si>
    <t>10440,31080,15540,10</t>
    <phoneticPr fontId="11" type="noConversion"/>
  </si>
  <si>
    <t>10440,31320,15660,1</t>
  </si>
  <si>
    <t>10440,31320,15660,1</t>
    <phoneticPr fontId="11" type="noConversion"/>
  </si>
  <si>
    <t>10440,31320,15660,10</t>
  </si>
  <si>
    <t>10440,31320,15660,10</t>
    <phoneticPr fontId="11" type="noConversion"/>
  </si>
  <si>
    <t>10520,31320,15660,1</t>
  </si>
  <si>
    <t>10520,31320,15660,1</t>
    <phoneticPr fontId="11" type="noConversion"/>
  </si>
  <si>
    <t>10520,31320,15660,10</t>
  </si>
  <si>
    <t>10520,31320,15660,10</t>
    <phoneticPr fontId="11" type="noConversion"/>
  </si>
  <si>
    <t>10520,31560,15780,1</t>
  </si>
  <si>
    <t>10520,31560,15780,1</t>
    <phoneticPr fontId="11" type="noConversion"/>
  </si>
  <si>
    <t>10520,31560,15780,10</t>
  </si>
  <si>
    <t>10520,31560,15780,10</t>
    <phoneticPr fontId="11" type="noConversion"/>
  </si>
  <si>
    <t>10600,31560,15780,10</t>
  </si>
  <si>
    <t>10600,31560,15780,10</t>
    <phoneticPr fontId="11" type="noConversion"/>
  </si>
  <si>
    <t>10600,31800,15900,1</t>
  </si>
  <si>
    <t>10600,31800,15900,1</t>
    <phoneticPr fontId="11" type="noConversion"/>
  </si>
  <si>
    <t>10600,31800,15900,10</t>
  </si>
  <si>
    <t>10600,31800,15900,10</t>
    <phoneticPr fontId="11" type="noConversion"/>
  </si>
  <si>
    <t>10680,31800,15900,1</t>
  </si>
  <si>
    <t>10680,31800,15900,1</t>
    <phoneticPr fontId="11" type="noConversion"/>
  </si>
  <si>
    <t>10680,31800,15900,10</t>
  </si>
  <si>
    <t>10680,31800,15900,10</t>
    <phoneticPr fontId="11" type="noConversion"/>
  </si>
  <si>
    <t>10680,32040,16020,1</t>
  </si>
  <si>
    <t>10680,32040,16020,1</t>
    <phoneticPr fontId="11" type="noConversion"/>
  </si>
  <si>
    <t>10680,32040,16020,10</t>
  </si>
  <si>
    <t>10680,32040,16020,10</t>
    <phoneticPr fontId="11" type="noConversion"/>
  </si>
  <si>
    <t>10760,32040,16020,10</t>
  </si>
  <si>
    <t>10760,32040,16020,10</t>
    <phoneticPr fontId="11" type="noConversion"/>
  </si>
  <si>
    <t>10760,32280,16140,1</t>
  </si>
  <si>
    <t>10760,32280,16140,1</t>
    <phoneticPr fontId="11" type="noConversion"/>
  </si>
  <si>
    <t>10760,32280,16140,10</t>
  </si>
  <si>
    <t>10760,32280,16140,10</t>
    <phoneticPr fontId="11" type="noConversion"/>
  </si>
  <si>
    <t>10840,32280,16140,1</t>
  </si>
  <si>
    <t>10840,32280,16140,1</t>
    <phoneticPr fontId="11" type="noConversion"/>
  </si>
  <si>
    <t>10840,32280,16140,10</t>
  </si>
  <si>
    <t>10840,32280,16140,10</t>
    <phoneticPr fontId="11" type="noConversion"/>
  </si>
  <si>
    <t>10840,32520,16260,1</t>
  </si>
  <si>
    <t>10840,32520,16260,1</t>
    <phoneticPr fontId="11" type="noConversion"/>
  </si>
  <si>
    <t>10840,32520,16260,10</t>
  </si>
  <si>
    <t>10840,32520,16260,10</t>
    <phoneticPr fontId="11" type="noConversion"/>
  </si>
  <si>
    <t>10920,32520,16260,10</t>
  </si>
  <si>
    <t>10920,32520,16260,10</t>
    <phoneticPr fontId="11" type="noConversion"/>
  </si>
  <si>
    <t>10920,32760,16380,1</t>
  </si>
  <si>
    <t>10920,32760,16380,1</t>
    <phoneticPr fontId="11" type="noConversion"/>
  </si>
  <si>
    <t>10920,32760,16380,10</t>
  </si>
  <si>
    <t>10920,32760,16380,10</t>
    <phoneticPr fontId="11" type="noConversion"/>
  </si>
  <si>
    <t>11000,32760,16380,1</t>
  </si>
  <si>
    <t>11000,32760,16380,1</t>
    <phoneticPr fontId="11" type="noConversion"/>
  </si>
  <si>
    <t>11000,32760,16380,10</t>
  </si>
  <si>
    <t>11000,32760,16380,10</t>
    <phoneticPr fontId="11" type="noConversion"/>
  </si>
  <si>
    <t>11000,33000,16500,1</t>
  </si>
  <si>
    <t>11000,33000,16500,1</t>
    <phoneticPr fontId="11" type="noConversion"/>
  </si>
  <si>
    <t>11000,33000,16500,10</t>
  </si>
  <si>
    <t>11000,33000,16500,10</t>
    <phoneticPr fontId="11" type="noConversion"/>
  </si>
  <si>
    <t>11080,33000,16500,10</t>
  </si>
  <si>
    <t>11080,33000,16500,10</t>
    <phoneticPr fontId="11" type="noConversion"/>
  </si>
  <si>
    <t>11080,33240,16620,1</t>
  </si>
  <si>
    <t>11080,33240,16620,1</t>
    <phoneticPr fontId="11" type="noConversion"/>
  </si>
  <si>
    <t>11080,33240,16620,10</t>
  </si>
  <si>
    <t>11080,33240,16620,10</t>
    <phoneticPr fontId="11" type="noConversion"/>
  </si>
  <si>
    <t>11160,33240,16620,1</t>
  </si>
  <si>
    <t>11160,33240,16620,1</t>
    <phoneticPr fontId="11" type="noConversion"/>
  </si>
  <si>
    <t>11160,33240,16620,10</t>
  </si>
  <si>
    <t>11160,33240,16620,10</t>
    <phoneticPr fontId="11" type="noConversion"/>
  </si>
  <si>
    <t>11160,33480,16740,1</t>
  </si>
  <si>
    <t>11160,33480,16740,1</t>
    <phoneticPr fontId="11" type="noConversion"/>
  </si>
  <si>
    <t>11160,33480,16740,10</t>
  </si>
  <si>
    <t>11160,33480,16740,10</t>
    <phoneticPr fontId="11" type="noConversion"/>
  </si>
  <si>
    <t>11240,33480,16740,10</t>
  </si>
  <si>
    <t>11240,33480,16740,10</t>
    <phoneticPr fontId="11" type="noConversion"/>
  </si>
  <si>
    <t>11240,33720,16860,1</t>
  </si>
  <si>
    <t>11240,33720,16860,1</t>
    <phoneticPr fontId="11" type="noConversion"/>
  </si>
  <si>
    <t>11240,33720,16860,10</t>
  </si>
  <si>
    <t>11240,33720,16860,10</t>
    <phoneticPr fontId="11" type="noConversion"/>
  </si>
  <si>
    <t>11320,33720,16860,1</t>
  </si>
  <si>
    <t>11320,33720,16860,1</t>
    <phoneticPr fontId="11" type="noConversion"/>
  </si>
  <si>
    <t>11320,33720,16860,10</t>
  </si>
  <si>
    <t>11320,33720,16860,10</t>
    <phoneticPr fontId="11" type="noConversion"/>
  </si>
  <si>
    <t>11320,33960,16980,1</t>
  </si>
  <si>
    <t>11320,33960,16980,1</t>
    <phoneticPr fontId="11" type="noConversion"/>
  </si>
  <si>
    <t>11320,33960,16980,10</t>
  </si>
  <si>
    <t>11320,33960,16980,10</t>
    <phoneticPr fontId="11" type="noConversion"/>
  </si>
  <si>
    <t>11400,33960,16980,10</t>
  </si>
  <si>
    <t>11400,33960,16980,10</t>
    <phoneticPr fontId="11" type="noConversion"/>
  </si>
  <si>
    <t>11400,34200,17100,1</t>
  </si>
  <si>
    <t>11400,34200,17100,1</t>
    <phoneticPr fontId="11" type="noConversion"/>
  </si>
  <si>
    <t>11400,34200,17100,10</t>
  </si>
  <si>
    <t>11400,34200,17100,10</t>
    <phoneticPr fontId="11" type="noConversion"/>
  </si>
  <si>
    <t>11480,34200,17100,1</t>
  </si>
  <si>
    <t>11480,34200,17100,1</t>
    <phoneticPr fontId="11" type="noConversion"/>
  </si>
  <si>
    <t>11480,34200,17100,10</t>
  </si>
  <si>
    <t>11480,34200,17100,10</t>
    <phoneticPr fontId="11" type="noConversion"/>
  </si>
  <si>
    <t>11480,34440,17220,1</t>
  </si>
  <si>
    <t>11480,34440,17220,1</t>
    <phoneticPr fontId="11" type="noConversion"/>
  </si>
  <si>
    <t>11480,34440,17220,10</t>
  </si>
  <si>
    <t>11480,34440,17220,10</t>
    <phoneticPr fontId="11" type="noConversion"/>
  </si>
  <si>
    <t>11560,34440,17220,10</t>
  </si>
  <si>
    <t>11560,34440,17220,10</t>
    <phoneticPr fontId="11" type="noConversion"/>
  </si>
  <si>
    <t>11560,34680,17340,1</t>
  </si>
  <si>
    <t>11560,34680,17340,1</t>
    <phoneticPr fontId="11" type="noConversion"/>
  </si>
  <si>
    <t>11560,34680,17340,10</t>
  </si>
  <si>
    <t>11560,34680,17340,10</t>
    <phoneticPr fontId="11" type="noConversion"/>
  </si>
  <si>
    <t>11640,34680,17340,1</t>
  </si>
  <si>
    <t>11640,34680,17340,1</t>
    <phoneticPr fontId="11" type="noConversion"/>
  </si>
  <si>
    <t>11640,34680,17340,10</t>
  </si>
  <si>
    <t>11640,34680,17340,10</t>
    <phoneticPr fontId="11" type="noConversion"/>
  </si>
  <si>
    <t>11640,34920,17460,1</t>
  </si>
  <si>
    <t>11640,34920,17460,1</t>
    <phoneticPr fontId="11" type="noConversion"/>
  </si>
  <si>
    <t>11640,34920,17460,10</t>
  </si>
  <si>
    <t>11640,34920,17460,10</t>
    <phoneticPr fontId="11" type="noConversion"/>
  </si>
  <si>
    <t>11720,34920,17460,10</t>
  </si>
  <si>
    <t>11720,34920,17460,10</t>
    <phoneticPr fontId="11" type="noConversion"/>
  </si>
  <si>
    <t>11720,35160,17580,1</t>
  </si>
  <si>
    <t>11720,35160,17580,1</t>
    <phoneticPr fontId="11" type="noConversion"/>
  </si>
  <si>
    <t>11720,35160,17580,10</t>
  </si>
  <si>
    <t>11720,35160,17580,10</t>
    <phoneticPr fontId="11" type="noConversion"/>
  </si>
  <si>
    <t>11800,35160,17580,1</t>
  </si>
  <si>
    <t>11800,35160,17580,1</t>
    <phoneticPr fontId="11" type="noConversion"/>
  </si>
  <si>
    <t>11800,35160,17580,10</t>
  </si>
  <si>
    <t>11800,35160,17580,10</t>
    <phoneticPr fontId="11" type="noConversion"/>
  </si>
  <si>
    <t>11800,35400,17700,1</t>
  </si>
  <si>
    <t>11800,35400,17700,1</t>
    <phoneticPr fontId="11" type="noConversion"/>
  </si>
  <si>
    <t>11800,35400,17700,10</t>
  </si>
  <si>
    <t>11800,35400,17700,10</t>
    <phoneticPr fontId="11" type="noConversion"/>
  </si>
  <si>
    <t>11880,35400,17700,10</t>
  </si>
  <si>
    <t>11880,35400,17700,10</t>
    <phoneticPr fontId="11" type="noConversion"/>
  </si>
  <si>
    <t>11880,35640,17820,1</t>
  </si>
  <si>
    <t>11880,35640,17820,1</t>
    <phoneticPr fontId="11" type="noConversion"/>
  </si>
  <si>
    <t>11880,35640,17820,10</t>
  </si>
  <si>
    <t>11880,35640,17820,10</t>
    <phoneticPr fontId="11" type="noConversion"/>
  </si>
  <si>
    <t>11960,35640,17820,1</t>
  </si>
  <si>
    <t>11960,35640,17820,1</t>
    <phoneticPr fontId="11" type="noConversion"/>
  </si>
  <si>
    <t>11960,35640,17820,10</t>
  </si>
  <si>
    <t>11960,35640,17820,10</t>
    <phoneticPr fontId="11" type="noConversion"/>
  </si>
  <si>
    <t>11960,35880,17940,1</t>
  </si>
  <si>
    <t>11960,35880,17940,1</t>
    <phoneticPr fontId="11" type="noConversion"/>
  </si>
  <si>
    <t>11960,35880,17940,10</t>
  </si>
  <si>
    <t>11960,35880,17940,10</t>
    <phoneticPr fontId="11" type="noConversion"/>
  </si>
  <si>
    <t>12040,35880,17940,10</t>
  </si>
  <si>
    <t>12040,35880,17940,10</t>
    <phoneticPr fontId="11" type="noConversion"/>
  </si>
  <si>
    <t>12040,36120,18060,1</t>
  </si>
  <si>
    <t>12040,36120,18060,1</t>
    <phoneticPr fontId="11" type="noConversion"/>
  </si>
  <si>
    <t>12040,36120,18060,10</t>
  </si>
  <si>
    <t>12040,36120,18060,10</t>
    <phoneticPr fontId="11" type="noConversion"/>
  </si>
  <si>
    <t>12120,36120,18060,1</t>
  </si>
  <si>
    <t>12120,36120,18060,1</t>
    <phoneticPr fontId="11" type="noConversion"/>
  </si>
  <si>
    <t>12120,36120,18060,10</t>
  </si>
  <si>
    <t>12120,36120,18060,10</t>
    <phoneticPr fontId="11" type="noConversion"/>
  </si>
  <si>
    <t>12120,36360,18180,1</t>
  </si>
  <si>
    <t>12120,36360,18180,1</t>
    <phoneticPr fontId="11" type="noConversion"/>
  </si>
  <si>
    <t>12120,36360,18180,10</t>
  </si>
  <si>
    <t>12120,36360,18180,10</t>
    <phoneticPr fontId="11" type="noConversion"/>
  </si>
  <si>
    <t>12200,36360,18180,10</t>
  </si>
  <si>
    <t>12200,36360,18180,10</t>
    <phoneticPr fontId="11" type="noConversion"/>
  </si>
  <si>
    <t>12200,36600,18300,1</t>
  </si>
  <si>
    <t>12200,36600,18300,1</t>
    <phoneticPr fontId="11" type="noConversion"/>
  </si>
  <si>
    <t>12200,36600,18300,10</t>
  </si>
  <si>
    <t>12200,36600,18300,10</t>
    <phoneticPr fontId="11" type="noConversion"/>
  </si>
  <si>
    <t>12280,36600,18300,1</t>
  </si>
  <si>
    <t>12280,36600,18300,1</t>
    <phoneticPr fontId="11" type="noConversion"/>
  </si>
  <si>
    <t>12280,36600,18300,10</t>
  </si>
  <si>
    <t>12280,36600,18300,10</t>
    <phoneticPr fontId="11" type="noConversion"/>
  </si>
  <si>
    <t>12280,36840,18420,1</t>
  </si>
  <si>
    <t>12280,36840,18420,1</t>
    <phoneticPr fontId="11" type="noConversion"/>
  </si>
  <si>
    <t>12280,36840,18420,10</t>
  </si>
  <si>
    <t>12280,36840,18420,10</t>
    <phoneticPr fontId="11" type="noConversion"/>
  </si>
  <si>
    <t>12360,36840,18420,10</t>
  </si>
  <si>
    <t>12360,36840,18420,10</t>
    <phoneticPr fontId="11" type="noConversion"/>
  </si>
  <si>
    <t>12360,37080,18540,1</t>
  </si>
  <si>
    <t>12360,37080,18540,1</t>
    <phoneticPr fontId="11" type="noConversion"/>
  </si>
  <si>
    <t>12360,37080,18540,10</t>
  </si>
  <si>
    <t>12360,37080,18540,10</t>
    <phoneticPr fontId="11" type="noConversion"/>
  </si>
  <si>
    <t>12440,37080,18540,1</t>
  </si>
  <si>
    <t>12440,37080,18540,1</t>
    <phoneticPr fontId="11" type="noConversion"/>
  </si>
  <si>
    <t>12440,37080,18540,10</t>
  </si>
  <si>
    <t>12440,37080,18540,10</t>
    <phoneticPr fontId="11" type="noConversion"/>
  </si>
  <si>
    <t>12440,37320,18660,1</t>
  </si>
  <si>
    <t>12440,37320,18660,1</t>
    <phoneticPr fontId="11" type="noConversion"/>
  </si>
  <si>
    <t>12440,37320,18660,10</t>
  </si>
  <si>
    <t>12440,37320,18660,10</t>
    <phoneticPr fontId="11" type="noConversion"/>
  </si>
  <si>
    <t>12520,37320,18660,10</t>
  </si>
  <si>
    <t>12520,37320,18660,10</t>
    <phoneticPr fontId="11" type="noConversion"/>
  </si>
  <si>
    <t>12520,37560,18780,1</t>
  </si>
  <si>
    <t>12520,37560,18780,1</t>
    <phoneticPr fontId="11" type="noConversion"/>
  </si>
  <si>
    <t>12520,37560,18780,10</t>
  </si>
  <si>
    <t>12520,37560,18780,10</t>
    <phoneticPr fontId="11" type="noConversion"/>
  </si>
  <si>
    <t>12600,37560,18780,1</t>
  </si>
  <si>
    <t>12600,37560,18780,1</t>
    <phoneticPr fontId="11" type="noConversion"/>
  </si>
  <si>
    <t>12600,37560,18780,10</t>
  </si>
  <si>
    <t>12600,37560,18780,10</t>
    <phoneticPr fontId="11" type="noConversion"/>
  </si>
  <si>
    <t>12600,37800,18900,1</t>
  </si>
  <si>
    <t>12600,37800,18900,1</t>
    <phoneticPr fontId="11" type="noConversion"/>
  </si>
  <si>
    <t>12600,37800,18900,10</t>
  </si>
  <si>
    <t>12600,37800,18900,10</t>
    <phoneticPr fontId="11" type="noConversion"/>
  </si>
  <si>
    <t>12680,37800,18900,10</t>
  </si>
  <si>
    <t>12680,37800,18900,10</t>
    <phoneticPr fontId="11" type="noConversion"/>
  </si>
  <si>
    <t>12680,38040,19020,1</t>
  </si>
  <si>
    <t>12680,38040,19020,1</t>
    <phoneticPr fontId="11" type="noConversion"/>
  </si>
  <si>
    <t>12680,38040,19020,10</t>
  </si>
  <si>
    <t>12680,38040,19020,10</t>
    <phoneticPr fontId="11" type="noConversion"/>
  </si>
  <si>
    <t>12760,38040,19020,1</t>
  </si>
  <si>
    <t>12760,38040,19020,1</t>
    <phoneticPr fontId="11" type="noConversion"/>
  </si>
  <si>
    <t>12760,38040,19020,10</t>
  </si>
  <si>
    <t>12760,38040,19020,10</t>
    <phoneticPr fontId="11" type="noConversion"/>
  </si>
  <si>
    <t>12760,38280,19140,1</t>
  </si>
  <si>
    <t>12760,38280,19140,1</t>
    <phoneticPr fontId="11" type="noConversion"/>
  </si>
  <si>
    <t>12760,38280,19140,10</t>
  </si>
  <si>
    <t>12760,38280,19140,10</t>
    <phoneticPr fontId="11" type="noConversion"/>
  </si>
  <si>
    <t>12840,38280,19140,10</t>
  </si>
  <si>
    <t>12840,38280,19140,10</t>
    <phoneticPr fontId="11" type="noConversion"/>
  </si>
  <si>
    <t>12840,38520,19260,1</t>
  </si>
  <si>
    <t>12840,38520,19260,1</t>
    <phoneticPr fontId="11" type="noConversion"/>
  </si>
  <si>
    <t>12840,38520,19260,10</t>
  </si>
  <si>
    <t>12840,38520,19260,10</t>
    <phoneticPr fontId="11" type="noConversion"/>
  </si>
  <si>
    <t>12920,38520,19260,1</t>
  </si>
  <si>
    <t>12920,38520,19260,1</t>
    <phoneticPr fontId="11" type="noConversion"/>
  </si>
  <si>
    <t>12920,38520,19260,10</t>
  </si>
  <si>
    <t>12920,38520,19260,10</t>
    <phoneticPr fontId="11" type="noConversion"/>
  </si>
  <si>
    <t>12920,38760,19380,1</t>
  </si>
  <si>
    <t>12920,38760,19380,1</t>
    <phoneticPr fontId="11" type="noConversion"/>
  </si>
  <si>
    <t>12920,38760,19380,10</t>
  </si>
  <si>
    <t>12920,38760,19380,10</t>
    <phoneticPr fontId="11" type="noConversion"/>
  </si>
  <si>
    <t>13000,38760,19380,10</t>
  </si>
  <si>
    <t>13000,38760,19380,10</t>
    <phoneticPr fontId="11" type="noConversion"/>
  </si>
  <si>
    <t>13000,39000,19500,1</t>
  </si>
  <si>
    <t>13000,39000,19500,1</t>
    <phoneticPr fontId="11" type="noConversion"/>
  </si>
  <si>
    <t>13000,39000,19500,10</t>
  </si>
  <si>
    <t>13000,39000,19500,10</t>
    <phoneticPr fontId="11" type="noConversion"/>
  </si>
  <si>
    <t>13080,39000,19500,1</t>
  </si>
  <si>
    <t>13080,39000,19500,1</t>
    <phoneticPr fontId="11" type="noConversion"/>
  </si>
  <si>
    <t>13080,39000,19500,10</t>
  </si>
  <si>
    <t>13080,39000,19500,10</t>
    <phoneticPr fontId="11" type="noConversion"/>
  </si>
  <si>
    <t>13080,39240,19620,1</t>
  </si>
  <si>
    <t>13080,39240,19620,1</t>
    <phoneticPr fontId="11" type="noConversion"/>
  </si>
  <si>
    <t>13080,39240,19620,10</t>
  </si>
  <si>
    <t>13080,39240,19620,10</t>
    <phoneticPr fontId="11" type="noConversion"/>
  </si>
  <si>
    <t>13160,39240,19620,10</t>
  </si>
  <si>
    <t>13160,39240,19620,10</t>
    <phoneticPr fontId="11" type="noConversion"/>
  </si>
  <si>
    <t>13160,39480,19740,1</t>
  </si>
  <si>
    <t>13160,39480,19740,1</t>
    <phoneticPr fontId="11" type="noConversion"/>
  </si>
  <si>
    <t>13160,39480,19740,10</t>
  </si>
  <si>
    <t>13160,39480,19740,10</t>
    <phoneticPr fontId="11" type="noConversion"/>
  </si>
  <si>
    <t>13240,39480,19740,1</t>
  </si>
  <si>
    <t>13240,39480,19740,1</t>
    <phoneticPr fontId="11" type="noConversion"/>
  </si>
  <si>
    <t>13240,39480,19740,10</t>
  </si>
  <si>
    <t>13240,39480,19740,10</t>
    <phoneticPr fontId="11" type="noConversion"/>
  </si>
  <si>
    <t>13240,39720,19860,1</t>
  </si>
  <si>
    <t>13240,39720,19860,1</t>
    <phoneticPr fontId="11" type="noConversion"/>
  </si>
  <si>
    <t>13240,39720,19860,10</t>
  </si>
  <si>
    <t>13240,39720,19860,10</t>
    <phoneticPr fontId="11" type="noConversion"/>
  </si>
  <si>
    <t>13320,39720,19860,10</t>
  </si>
  <si>
    <t>13320,39720,19860,10</t>
    <phoneticPr fontId="11" type="noConversion"/>
  </si>
  <si>
    <t>13320,39960,19980,1</t>
  </si>
  <si>
    <t>13320,39960,19980,1</t>
    <phoneticPr fontId="11" type="noConversion"/>
  </si>
  <si>
    <t>13320,39960,19980,10</t>
  </si>
  <si>
    <t>13320,39960,19980,10</t>
    <phoneticPr fontId="11" type="noConversion"/>
  </si>
  <si>
    <t>13400,39960,19980,1</t>
  </si>
  <si>
    <t>13400,39960,19980,1</t>
    <phoneticPr fontId="11" type="noConversion"/>
  </si>
  <si>
    <t>13400,39960,19980,10</t>
  </si>
  <si>
    <t>13400,39960,19980,10</t>
    <phoneticPr fontId="11" type="noConversion"/>
  </si>
  <si>
    <t>13400,40200,20100,1</t>
  </si>
  <si>
    <t>13400,40200,20100,1</t>
    <phoneticPr fontId="11" type="noConversion"/>
  </si>
  <si>
    <t>13400,40200,20100,10</t>
  </si>
  <si>
    <t>13400,40200,20100,10</t>
    <phoneticPr fontId="11" type="noConversion"/>
  </si>
  <si>
    <t>13480,40200,20100,10</t>
  </si>
  <si>
    <t>13480,40200,20100,10</t>
    <phoneticPr fontId="11" type="noConversion"/>
  </si>
  <si>
    <t>13480,40440,20220,1</t>
  </si>
  <si>
    <t>13480,40440,20220,1</t>
    <phoneticPr fontId="11" type="noConversion"/>
  </si>
  <si>
    <t>13480,40440,20220,10</t>
  </si>
  <si>
    <t>13480,40440,20220,10</t>
    <phoneticPr fontId="11" type="noConversion"/>
  </si>
  <si>
    <t>13560,40440,20220,1</t>
  </si>
  <si>
    <t>13560,40440,20220,1</t>
    <phoneticPr fontId="11" type="noConversion"/>
  </si>
  <si>
    <t>13560,40440,20220,10</t>
  </si>
  <si>
    <t>13560,40440,20220,10</t>
    <phoneticPr fontId="11" type="noConversion"/>
  </si>
  <si>
    <t>13560,40680,20340,1</t>
  </si>
  <si>
    <t>13560,40680,20340,1</t>
    <phoneticPr fontId="11" type="noConversion"/>
  </si>
  <si>
    <t>13560,40680,20340,10</t>
  </si>
  <si>
    <t>13560,40680,20340,10</t>
    <phoneticPr fontId="11" type="noConversion"/>
  </si>
  <si>
    <t>13640,40680,20340,10</t>
  </si>
  <si>
    <t>13640,40680,20340,10</t>
    <phoneticPr fontId="11" type="noConversion"/>
  </si>
  <si>
    <t>13640,40920,20460,1</t>
  </si>
  <si>
    <t>13640,40920,20460,1</t>
    <phoneticPr fontId="11" type="noConversion"/>
  </si>
  <si>
    <t>13640,40920,20460,10</t>
  </si>
  <si>
    <t>13640,40920,20460,10</t>
    <phoneticPr fontId="11" type="noConversion"/>
  </si>
  <si>
    <t>13720,40920,20460,1</t>
  </si>
  <si>
    <t>13720,40920,20460,1</t>
    <phoneticPr fontId="11" type="noConversion"/>
  </si>
  <si>
    <t>13720,40920,20460,10</t>
  </si>
  <si>
    <t>13720,40920,20460,10</t>
    <phoneticPr fontId="11" type="noConversion"/>
  </si>
  <si>
    <t>13720,41160,20580,1</t>
  </si>
  <si>
    <t>13720,41160,20580,1</t>
    <phoneticPr fontId="11" type="noConversion"/>
  </si>
  <si>
    <t>13720,41160,20580,10</t>
  </si>
  <si>
    <t>13720,41160,20580,10</t>
    <phoneticPr fontId="11" type="noConversion"/>
  </si>
  <si>
    <t>13800,41160,20580,10</t>
  </si>
  <si>
    <t>13800,41160,20580,10</t>
    <phoneticPr fontId="11" type="noConversion"/>
  </si>
  <si>
    <t>13800,41400,20700,1</t>
  </si>
  <si>
    <t>13800,41400,20700,1</t>
    <phoneticPr fontId="11" type="noConversion"/>
  </si>
  <si>
    <t>13800,41400,20700,10</t>
  </si>
  <si>
    <t>13800,41400,20700,10</t>
    <phoneticPr fontId="11" type="noConversion"/>
  </si>
  <si>
    <t>13880,41400,20700,1</t>
  </si>
  <si>
    <t>13880,41400,20700,1</t>
    <phoneticPr fontId="11" type="noConversion"/>
  </si>
  <si>
    <t>13880,41400,20700,10</t>
  </si>
  <si>
    <t>13880,41400,20700,10</t>
    <phoneticPr fontId="11" type="noConversion"/>
  </si>
  <si>
    <t>13880,41640,20820,1</t>
  </si>
  <si>
    <t>13880,41640,20820,1</t>
    <phoneticPr fontId="11" type="noConversion"/>
  </si>
  <si>
    <t>13880,41640,20820,10</t>
  </si>
  <si>
    <t>13880,41640,20820,10</t>
    <phoneticPr fontId="11" type="noConversion"/>
  </si>
  <si>
    <t>13960,41640,20820,10</t>
  </si>
  <si>
    <t>13960,41640,20820,10</t>
    <phoneticPr fontId="11" type="noConversion"/>
  </si>
  <si>
    <t>13960,41880,20940,1</t>
  </si>
  <si>
    <t>13960,41880,20940,1</t>
    <phoneticPr fontId="11" type="noConversion"/>
  </si>
  <si>
    <t>13960,41880,20940,10</t>
  </si>
  <si>
    <t>13960,41880,20940,10</t>
    <phoneticPr fontId="11" type="noConversion"/>
  </si>
  <si>
    <t>14040,41880,20940,1</t>
  </si>
  <si>
    <t>14040,41880,20940,1</t>
    <phoneticPr fontId="11" type="noConversion"/>
  </si>
  <si>
    <t>14040,41880,20940,10</t>
  </si>
  <si>
    <t>14040,41880,20940,10</t>
    <phoneticPr fontId="11" type="noConversion"/>
  </si>
  <si>
    <t>14040,42120,21060,1</t>
  </si>
  <si>
    <t>14040,42120,21060,1</t>
    <phoneticPr fontId="11" type="noConversion"/>
  </si>
  <si>
    <t>14040,42120,21060,10</t>
  </si>
  <si>
    <t>14040,42120,21060,10</t>
    <phoneticPr fontId="11" type="noConversion"/>
  </si>
  <si>
    <t>14120,42120,21060,10</t>
  </si>
  <si>
    <t>14120,42120,21060,10</t>
    <phoneticPr fontId="11" type="noConversion"/>
  </si>
  <si>
    <t>14120,42360,21180,1</t>
  </si>
  <si>
    <t>14120,42360,21180,1</t>
    <phoneticPr fontId="11" type="noConversion"/>
  </si>
  <si>
    <t>14120,42360,21180,10</t>
  </si>
  <si>
    <t>14120,42360,21180,10</t>
    <phoneticPr fontId="11" type="noConversion"/>
  </si>
  <si>
    <t>14200,42360,21180,1</t>
  </si>
  <si>
    <t>14200,42360,21180,1</t>
    <phoneticPr fontId="11" type="noConversion"/>
  </si>
  <si>
    <t>14200,42360,21180,10</t>
  </si>
  <si>
    <t>14200,42360,21180,10</t>
    <phoneticPr fontId="11" type="noConversion"/>
  </si>
  <si>
    <t>14200,42600,21300,1</t>
  </si>
  <si>
    <t>14200,42600,21300,1</t>
    <phoneticPr fontId="11" type="noConversion"/>
  </si>
  <si>
    <t>14200,42600,21300,10</t>
  </si>
  <si>
    <t>14200,42600,21300,10</t>
    <phoneticPr fontId="11" type="noConversion"/>
  </si>
  <si>
    <t>14280,42600,21300,10</t>
  </si>
  <si>
    <t>14280,42600,21300,10</t>
    <phoneticPr fontId="11" type="noConversion"/>
  </si>
  <si>
    <t>14280,42840,21420,1</t>
  </si>
  <si>
    <t>14280,42840,21420,1</t>
    <phoneticPr fontId="11" type="noConversion"/>
  </si>
  <si>
    <t>14280,42840,21420,10</t>
  </si>
  <si>
    <t>14280,42840,21420,10</t>
    <phoneticPr fontId="11" type="noConversion"/>
  </si>
  <si>
    <t>14360,42840,21420,1</t>
  </si>
  <si>
    <t>14360,42840,21420,1</t>
    <phoneticPr fontId="11" type="noConversion"/>
  </si>
  <si>
    <t>14360,42840,21420,10</t>
  </si>
  <si>
    <t>14360,42840,21420,10</t>
    <phoneticPr fontId="11" type="noConversion"/>
  </si>
  <si>
    <t>14360,43080,21540,1</t>
  </si>
  <si>
    <t>14360,43080,21540,1</t>
    <phoneticPr fontId="11" type="noConversion"/>
  </si>
  <si>
    <t>14360,43080,21540,10</t>
  </si>
  <si>
    <t>14360,43080,21540,10</t>
    <phoneticPr fontId="11" type="noConversion"/>
  </si>
  <si>
    <t>14440,43080,21540,10</t>
  </si>
  <si>
    <t>14440,43080,21540,10</t>
    <phoneticPr fontId="11" type="noConversion"/>
  </si>
  <si>
    <t>14440,43320,21660,1</t>
  </si>
  <si>
    <t>14440,43320,21660,1</t>
    <phoneticPr fontId="11" type="noConversion"/>
  </si>
  <si>
    <t>14440,43320,21660,10</t>
  </si>
  <si>
    <t>14440,43320,21660,10</t>
    <phoneticPr fontId="11" type="noConversion"/>
  </si>
  <si>
    <t>14520,43320,21660,1</t>
  </si>
  <si>
    <t>14520,43320,21660,1</t>
    <phoneticPr fontId="11" type="noConversion"/>
  </si>
  <si>
    <t>14520,43320,21660,10</t>
  </si>
  <si>
    <t>14520,43320,21660,10</t>
    <phoneticPr fontId="11" type="noConversion"/>
  </si>
  <si>
    <t>14520,43560,21780,1</t>
  </si>
  <si>
    <t>14520,43560,21780,1</t>
    <phoneticPr fontId="11" type="noConversion"/>
  </si>
  <si>
    <t>14520,43560,21780,10</t>
  </si>
  <si>
    <t>14520,43560,21780,10</t>
    <phoneticPr fontId="11" type="noConversion"/>
  </si>
  <si>
    <t>14600,43560,21780,10</t>
  </si>
  <si>
    <t>14600,43560,21780,10</t>
    <phoneticPr fontId="11" type="noConversion"/>
  </si>
  <si>
    <t>14600,43800,21900,1</t>
  </si>
  <si>
    <t>14600,43800,21900,1</t>
    <phoneticPr fontId="11" type="noConversion"/>
  </si>
  <si>
    <t>14600,43800,21900,10</t>
  </si>
  <si>
    <t>14600,43800,21900,10</t>
    <phoneticPr fontId="11" type="noConversion"/>
  </si>
  <si>
    <t>14660,43800,21900,1</t>
  </si>
  <si>
    <t>14660,43800,21900,1</t>
    <phoneticPr fontId="11" type="noConversion"/>
  </si>
  <si>
    <t>14660,43800,21900,10</t>
  </si>
  <si>
    <t>14660,43800,21900,10</t>
    <phoneticPr fontId="11" type="noConversion"/>
  </si>
  <si>
    <t>14660,43980,21990,1</t>
  </si>
  <si>
    <t>14660,43980,21990,1</t>
    <phoneticPr fontId="11" type="noConversion"/>
  </si>
  <si>
    <t>14660,43980,21990,10</t>
  </si>
  <si>
    <t>14660,43980,21990,10</t>
    <phoneticPr fontId="11" type="noConversion"/>
  </si>
  <si>
    <t>14720,43980,21990,10</t>
  </si>
  <si>
    <t>14720,43980,21990,10</t>
    <phoneticPr fontId="11" type="noConversion"/>
  </si>
  <si>
    <t>14720,44160,22080,1</t>
  </si>
  <si>
    <t>14720,44160,22080,1</t>
    <phoneticPr fontId="11" type="noConversion"/>
  </si>
  <si>
    <t>14720,44160,22080,10</t>
  </si>
  <si>
    <t>14720,44160,22080,10</t>
    <phoneticPr fontId="11" type="noConversion"/>
  </si>
  <si>
    <t>14780,44160,22080,1</t>
  </si>
  <si>
    <t>14780,44160,22080,1</t>
    <phoneticPr fontId="11" type="noConversion"/>
  </si>
  <si>
    <t>14780,44160,22080,10</t>
  </si>
  <si>
    <t>14780,44160,22080,10</t>
    <phoneticPr fontId="11" type="noConversion"/>
  </si>
  <si>
    <t>14780,44340,22170,1</t>
  </si>
  <si>
    <t>14780,44340,22170,1</t>
    <phoneticPr fontId="11" type="noConversion"/>
  </si>
  <si>
    <t>14780,44340,22170,10</t>
  </si>
  <si>
    <t>14780,44340,22170,10</t>
    <phoneticPr fontId="11" type="noConversion"/>
  </si>
  <si>
    <t>14840,44340,22170,10</t>
  </si>
  <si>
    <t>14840,44340,22170,10</t>
    <phoneticPr fontId="11" type="noConversion"/>
  </si>
  <si>
    <t>14840,44520,22260,1</t>
  </si>
  <si>
    <t>14840,44520,22260,1</t>
    <phoneticPr fontId="11" type="noConversion"/>
  </si>
  <si>
    <t>14840,44520,22260,10</t>
  </si>
  <si>
    <t>14840,44520,22260,10</t>
    <phoneticPr fontId="11" type="noConversion"/>
  </si>
  <si>
    <t>14900,44520,22260,1</t>
  </si>
  <si>
    <t>14900,44520,22260,1</t>
    <phoneticPr fontId="11" type="noConversion"/>
  </si>
  <si>
    <t>14900,44520,22260,10</t>
  </si>
  <si>
    <t>14900,44520,22260,10</t>
    <phoneticPr fontId="11" type="noConversion"/>
  </si>
  <si>
    <t>14900,44700,22350,1</t>
  </si>
  <si>
    <t>14900,44700,22350,1</t>
    <phoneticPr fontId="11" type="noConversion"/>
  </si>
  <si>
    <t>14900,44700,22350,10</t>
  </si>
  <si>
    <t>14900,44700,22350,10</t>
    <phoneticPr fontId="11" type="noConversion"/>
  </si>
  <si>
    <t>14960,44700,22350,10</t>
  </si>
  <si>
    <t>14960,44700,22350,10</t>
    <phoneticPr fontId="11" type="noConversion"/>
  </si>
  <si>
    <t>14960,44880,22440,1</t>
  </si>
  <si>
    <t>14960,44880,22440,1</t>
    <phoneticPr fontId="11" type="noConversion"/>
  </si>
  <si>
    <t>14960,44880,22440,10</t>
  </si>
  <si>
    <t>14960,44880,22440,10</t>
    <phoneticPr fontId="11" type="noConversion"/>
  </si>
  <si>
    <t>15020,44880,22440,1</t>
  </si>
  <si>
    <t>15020,44880,22440,1</t>
    <phoneticPr fontId="11" type="noConversion"/>
  </si>
  <si>
    <t>15020,44880,22440,10</t>
  </si>
  <si>
    <t>15020,44880,22440,10</t>
    <phoneticPr fontId="11" type="noConversion"/>
  </si>
  <si>
    <t>15020,45060,22530,1</t>
  </si>
  <si>
    <t>15020,45060,22530,1</t>
    <phoneticPr fontId="11" type="noConversion"/>
  </si>
  <si>
    <t>15020,45060,22530,10</t>
  </si>
  <si>
    <t>15020,45060,22530,10</t>
    <phoneticPr fontId="11" type="noConversion"/>
  </si>
  <si>
    <t>15080,45060,22530,10</t>
  </si>
  <si>
    <t>15080,45060,22530,10</t>
    <phoneticPr fontId="11" type="noConversion"/>
  </si>
  <si>
    <t>15080,45240,22620,1</t>
  </si>
  <si>
    <t>15080,45240,22620,1</t>
    <phoneticPr fontId="11" type="noConversion"/>
  </si>
  <si>
    <t>15080,45240,22620,10</t>
  </si>
  <si>
    <t>15080,45240,22620,10</t>
    <phoneticPr fontId="11" type="noConversion"/>
  </si>
  <si>
    <t>15140,45240,22620,1</t>
  </si>
  <si>
    <t>15140,45240,22620,1</t>
    <phoneticPr fontId="11" type="noConversion"/>
  </si>
  <si>
    <t>15140,45240,22620,10</t>
  </si>
  <si>
    <t>15140,45240,22620,10</t>
    <phoneticPr fontId="11" type="noConversion"/>
  </si>
  <si>
    <t>15140,45420,22710,1</t>
  </si>
  <si>
    <t>15140,45420,22710,1</t>
    <phoneticPr fontId="11" type="noConversion"/>
  </si>
  <si>
    <t>15140,45420,22710,10</t>
  </si>
  <si>
    <t>15140,45420,22710,10</t>
    <phoneticPr fontId="11" type="noConversion"/>
  </si>
  <si>
    <t>15200,45420,22710,10</t>
  </si>
  <si>
    <t>15200,45420,22710,10</t>
    <phoneticPr fontId="11" type="noConversion"/>
  </si>
  <si>
    <t>15200,45600,22800,1</t>
  </si>
  <si>
    <t>15200,45600,22800,1</t>
    <phoneticPr fontId="11" type="noConversion"/>
  </si>
  <si>
    <t>15200,45600,22800,10</t>
  </si>
  <si>
    <t>15200,45600,22800,10</t>
    <phoneticPr fontId="11" type="noConversion"/>
  </si>
  <si>
    <t>15260,45600,22800,1</t>
  </si>
  <si>
    <t>15260,45600,22800,1</t>
    <phoneticPr fontId="11" type="noConversion"/>
  </si>
  <si>
    <t>15260,45600,22800,10</t>
  </si>
  <si>
    <t>15260,45600,22800,10</t>
    <phoneticPr fontId="11" type="noConversion"/>
  </si>
  <si>
    <t>15260,45780,22890,1</t>
  </si>
  <si>
    <t>15260,45780,22890,1</t>
    <phoneticPr fontId="11" type="noConversion"/>
  </si>
  <si>
    <t>15260,45780,22890,10</t>
  </si>
  <si>
    <t>15260,45780,22890,10</t>
    <phoneticPr fontId="11" type="noConversion"/>
  </si>
  <si>
    <t>15320,45780,22890,10</t>
  </si>
  <si>
    <t>15320,45780,22890,10</t>
    <phoneticPr fontId="11" type="noConversion"/>
  </si>
  <si>
    <t>15320,45960,22980,1</t>
  </si>
  <si>
    <t>15320,45960,22980,1</t>
    <phoneticPr fontId="11" type="noConversion"/>
  </si>
  <si>
    <t>15320,45960,22980,10</t>
  </si>
  <si>
    <t>15320,45960,22980,10</t>
    <phoneticPr fontId="11" type="noConversion"/>
  </si>
  <si>
    <t>15380,45960,22980,1</t>
  </si>
  <si>
    <t>15380,45960,22980,1</t>
    <phoneticPr fontId="11" type="noConversion"/>
  </si>
  <si>
    <t>15380,45960,22980,10</t>
  </si>
  <si>
    <t>15380,45960,22980,10</t>
    <phoneticPr fontId="11" type="noConversion"/>
  </si>
  <si>
    <t>15380,46140,23070,1</t>
  </si>
  <si>
    <t>15380,46140,23070,1</t>
    <phoneticPr fontId="11" type="noConversion"/>
  </si>
  <si>
    <t>15380,46140,23070,10</t>
  </si>
  <si>
    <t>15380,46140,23070,10</t>
    <phoneticPr fontId="11" type="noConversion"/>
  </si>
  <si>
    <t>15440,46140,23070,10</t>
  </si>
  <si>
    <t>15440,46140,23070,10</t>
    <phoneticPr fontId="11" type="noConversion"/>
  </si>
  <si>
    <t>15440,46320,23160,1</t>
  </si>
  <si>
    <t>15440,46320,23160,1</t>
    <phoneticPr fontId="11" type="noConversion"/>
  </si>
  <si>
    <t>15440,46320,23160,10</t>
  </si>
  <si>
    <t>15440,46320,23160,10</t>
    <phoneticPr fontId="11" type="noConversion"/>
  </si>
  <si>
    <t>15500,46320,23160,1</t>
  </si>
  <si>
    <t>15500,46320,23160,1</t>
    <phoneticPr fontId="11" type="noConversion"/>
  </si>
  <si>
    <t>15500,46320,23160,10</t>
  </si>
  <si>
    <t>15500,46320,23160,10</t>
    <phoneticPr fontId="11" type="noConversion"/>
  </si>
  <si>
    <t>15500,46500,23250,1</t>
  </si>
  <si>
    <t>15500,46500,23250,1</t>
    <phoneticPr fontId="11" type="noConversion"/>
  </si>
  <si>
    <t>15500,46500,23250,10</t>
  </si>
  <si>
    <t>15500,46500,23250,10</t>
    <phoneticPr fontId="11" type="noConversion"/>
  </si>
  <si>
    <t>15560,46500,23250,10</t>
  </si>
  <si>
    <t>15560,46500,23250,10</t>
    <phoneticPr fontId="11" type="noConversion"/>
  </si>
  <si>
    <t>15560,46680,23340,1</t>
  </si>
  <si>
    <t>15560,46680,23340,1</t>
    <phoneticPr fontId="11" type="noConversion"/>
  </si>
  <si>
    <t>15560,46680,23340,10</t>
  </si>
  <si>
    <t>15560,46680,23340,10</t>
    <phoneticPr fontId="11" type="noConversion"/>
  </si>
  <si>
    <t>15620,46680,23340,1</t>
  </si>
  <si>
    <t>15620,46680,23340,1</t>
    <phoneticPr fontId="11" type="noConversion"/>
  </si>
  <si>
    <t>15620,46680,23340,10</t>
  </si>
  <si>
    <t>15620,46680,23340,10</t>
    <phoneticPr fontId="11" type="noConversion"/>
  </si>
  <si>
    <t>15620,46860,23430,1</t>
  </si>
  <si>
    <t>15620,46860,23430,1</t>
    <phoneticPr fontId="11" type="noConversion"/>
  </si>
  <si>
    <t>15620,46860,23430,10</t>
  </si>
  <si>
    <t>15620,46860,23430,10</t>
    <phoneticPr fontId="11" type="noConversion"/>
  </si>
  <si>
    <t>15680,46860,23430,10</t>
  </si>
  <si>
    <t>15680,46860,23430,10</t>
    <phoneticPr fontId="11" type="noConversion"/>
  </si>
  <si>
    <t>15680,47040,23520,1</t>
  </si>
  <si>
    <t>15680,47040,23520,1</t>
    <phoneticPr fontId="11" type="noConversion"/>
  </si>
  <si>
    <t>15680,47040,23520,10</t>
  </si>
  <si>
    <t>15680,47040,23520,10</t>
    <phoneticPr fontId="11" type="noConversion"/>
  </si>
  <si>
    <t>15740,47040,23520,1</t>
  </si>
  <si>
    <t>15740,47040,23520,1</t>
    <phoneticPr fontId="11" type="noConversion"/>
  </si>
  <si>
    <t>15740,47040,23520,10</t>
  </si>
  <si>
    <t>15740,47040,23520,10</t>
    <phoneticPr fontId="11" type="noConversion"/>
  </si>
  <si>
    <t>15740,47220,23610,1</t>
  </si>
  <si>
    <t>15740,47220,23610,1</t>
    <phoneticPr fontId="11" type="noConversion"/>
  </si>
  <si>
    <t>15740,47220,23610,10</t>
  </si>
  <si>
    <t>15740,47220,23610,10</t>
    <phoneticPr fontId="11" type="noConversion"/>
  </si>
  <si>
    <t>15800,47220,23610,10</t>
  </si>
  <si>
    <t>15800,47220,23610,10</t>
    <phoneticPr fontId="11" type="noConversion"/>
  </si>
  <si>
    <t>15800,47400,23700,1</t>
  </si>
  <si>
    <t>15800,47400,23700,1</t>
    <phoneticPr fontId="11" type="noConversion"/>
  </si>
  <si>
    <t>15800,47400,23700,10</t>
  </si>
  <si>
    <t>15800,47400,23700,10</t>
    <phoneticPr fontId="11" type="noConversion"/>
  </si>
  <si>
    <t>15860,47400,23700,1</t>
  </si>
  <si>
    <t>15860,47400,23700,1</t>
    <phoneticPr fontId="11" type="noConversion"/>
  </si>
  <si>
    <t>15860,47400,23700,10</t>
  </si>
  <si>
    <t>15860,47400,23700,10</t>
    <phoneticPr fontId="11" type="noConversion"/>
  </si>
  <si>
    <t>15860,47580,23790,1</t>
  </si>
  <si>
    <t>15860,47580,23790,1</t>
    <phoneticPr fontId="11" type="noConversion"/>
  </si>
  <si>
    <t>15860,47580,23790,10</t>
  </si>
  <si>
    <t>15860,47580,23790,10</t>
    <phoneticPr fontId="11" type="noConversion"/>
  </si>
  <si>
    <t>15920,47580,23790,10</t>
  </si>
  <si>
    <t>15920,47580,23790,10</t>
    <phoneticPr fontId="11" type="noConversion"/>
  </si>
  <si>
    <t>15920,47760,23880,1</t>
  </si>
  <si>
    <t>15920,47760,23880,1</t>
    <phoneticPr fontId="11" type="noConversion"/>
  </si>
  <si>
    <t>15920,47760,23880,10</t>
  </si>
  <si>
    <t>15920,47760,23880,10</t>
    <phoneticPr fontId="11" type="noConversion"/>
  </si>
  <si>
    <t>15980,47760,23880,1</t>
  </si>
  <si>
    <t>15980,47760,23880,1</t>
    <phoneticPr fontId="11" type="noConversion"/>
  </si>
  <si>
    <t>15980,47760,23880,10</t>
  </si>
  <si>
    <t>15980,47760,23880,10</t>
    <phoneticPr fontId="11" type="noConversion"/>
  </si>
  <si>
    <t>15980,47940,23970,1</t>
  </si>
  <si>
    <t>15980,47940,23970,1</t>
    <phoneticPr fontId="11" type="noConversion"/>
  </si>
  <si>
    <t>15980,47940,23970,10</t>
  </si>
  <si>
    <t>15980,47940,23970,10</t>
    <phoneticPr fontId="11" type="noConversion"/>
  </si>
  <si>
    <t>16040,47940,23970,10</t>
  </si>
  <si>
    <t>16040,47940,23970,10</t>
    <phoneticPr fontId="11" type="noConversion"/>
  </si>
  <si>
    <t>16040,48120,24060,1</t>
  </si>
  <si>
    <t>16040,48120,24060,1</t>
    <phoneticPr fontId="11" type="noConversion"/>
  </si>
  <si>
    <t>16040,48120,24060,10</t>
  </si>
  <si>
    <t>16040,48120,24060,10</t>
    <phoneticPr fontId="11" type="noConversion"/>
  </si>
  <si>
    <t>16100,48120,24060,1</t>
  </si>
  <si>
    <t>16100,48120,24060,1</t>
    <phoneticPr fontId="11" type="noConversion"/>
  </si>
  <si>
    <t>16100,48120,24060,10</t>
  </si>
  <si>
    <t>16100,48120,24060,10</t>
    <phoneticPr fontId="11" type="noConversion"/>
  </si>
  <si>
    <t>16100,48300,24150,1</t>
  </si>
  <si>
    <t>16100,48300,24150,1</t>
    <phoneticPr fontId="11" type="noConversion"/>
  </si>
  <si>
    <t>16100,48300,24150,10</t>
  </si>
  <si>
    <t>16100,48300,24150,10</t>
    <phoneticPr fontId="11" type="noConversion"/>
  </si>
  <si>
    <t>16160,48300,24150,10</t>
  </si>
  <si>
    <t>16160,48300,24150,10</t>
    <phoneticPr fontId="11" type="noConversion"/>
  </si>
  <si>
    <t>16160,48480,24240,1</t>
  </si>
  <si>
    <t>16160,48480,24240,1</t>
    <phoneticPr fontId="11" type="noConversion"/>
  </si>
  <si>
    <t>16160,48480,24240,10</t>
  </si>
  <si>
    <t>16160,48480,24240,10</t>
    <phoneticPr fontId="11" type="noConversion"/>
  </si>
  <si>
    <t>16220,48480,24240,1</t>
  </si>
  <si>
    <t>16220,48480,24240,1</t>
    <phoneticPr fontId="11" type="noConversion"/>
  </si>
  <si>
    <t>16220,48480,24240,10</t>
  </si>
  <si>
    <t>16220,48480,24240,10</t>
    <phoneticPr fontId="11" type="noConversion"/>
  </si>
  <si>
    <t>16220,48660,24330,1</t>
  </si>
  <si>
    <t>16220,48660,24330,1</t>
    <phoneticPr fontId="11" type="noConversion"/>
  </si>
  <si>
    <t>16220,48660,24330,10</t>
  </si>
  <si>
    <t>16220,48660,24330,10</t>
    <phoneticPr fontId="11" type="noConversion"/>
  </si>
  <si>
    <t>16280,48660,24330,10</t>
  </si>
  <si>
    <t>16280,48660,24330,10</t>
    <phoneticPr fontId="11" type="noConversion"/>
  </si>
  <si>
    <t>16280,48840,24420,1</t>
  </si>
  <si>
    <t>16280,48840,24420,1</t>
    <phoneticPr fontId="11" type="noConversion"/>
  </si>
  <si>
    <t>16280,48840,24420,10</t>
  </si>
  <si>
    <t>16280,48840,24420,10</t>
    <phoneticPr fontId="11" type="noConversion"/>
  </si>
  <si>
    <t>16340,48840,24420,1</t>
  </si>
  <si>
    <t>16340,48840,24420,1</t>
    <phoneticPr fontId="11" type="noConversion"/>
  </si>
  <si>
    <t>16340,48840,24420,10</t>
  </si>
  <si>
    <t>16340,48840,24420,10</t>
    <phoneticPr fontId="11" type="noConversion"/>
  </si>
  <si>
    <t>16340,49020,24510,1</t>
  </si>
  <si>
    <t>16340,49020,24510,1</t>
    <phoneticPr fontId="11" type="noConversion"/>
  </si>
  <si>
    <t>16340,49020,24510,10</t>
  </si>
  <si>
    <t>16340,49020,24510,10</t>
    <phoneticPr fontId="11" type="noConversion"/>
  </si>
  <si>
    <t>16400,49020,24510,10</t>
  </si>
  <si>
    <t>16400,49020,24510,10</t>
    <phoneticPr fontId="11" type="noConversion"/>
  </si>
  <si>
    <t>16400,49200,24600,1</t>
  </si>
  <si>
    <t>16400,49200,24600,1</t>
    <phoneticPr fontId="11" type="noConversion"/>
  </si>
  <si>
    <t>16400,49200,24600,10</t>
  </si>
  <si>
    <t>16400,49200,24600,10</t>
    <phoneticPr fontId="11" type="noConversion"/>
  </si>
  <si>
    <t>16460,49200,24600,1</t>
  </si>
  <si>
    <t>16460,49200,24600,1</t>
    <phoneticPr fontId="11" type="noConversion"/>
  </si>
  <si>
    <t>16460,49200,24600,10</t>
  </si>
  <si>
    <t>16460,49200,24600,10</t>
    <phoneticPr fontId="11" type="noConversion"/>
  </si>
  <si>
    <t>16460,49380,24690,1</t>
  </si>
  <si>
    <t>16460,49380,24690,1</t>
    <phoneticPr fontId="11" type="noConversion"/>
  </si>
  <si>
    <t>16460,49380,24690,10</t>
  </si>
  <si>
    <t>16460,49380,24690,10</t>
    <phoneticPr fontId="11" type="noConversion"/>
  </si>
  <si>
    <t>16520,49380,24690,10</t>
  </si>
  <si>
    <t>16520,49380,24690,10</t>
    <phoneticPr fontId="11" type="noConversion"/>
  </si>
  <si>
    <t>16520,49560,24780,1</t>
  </si>
  <si>
    <t>16520,49560,24780,1</t>
    <phoneticPr fontId="11" type="noConversion"/>
  </si>
  <si>
    <t>16520,49560,24780,10</t>
  </si>
  <si>
    <t>16520,49560,24780,10</t>
    <phoneticPr fontId="11" type="noConversion"/>
  </si>
  <si>
    <t>16580,49560,24780,1</t>
  </si>
  <si>
    <t>16580,49560,24780,1</t>
    <phoneticPr fontId="11" type="noConversion"/>
  </si>
  <si>
    <t>16580,49560,24780,10</t>
  </si>
  <si>
    <t>16580,49560,24780,10</t>
    <phoneticPr fontId="11" type="noConversion"/>
  </si>
  <si>
    <t>16580,49740,24870,1</t>
  </si>
  <si>
    <t>16580,49740,24870,1</t>
    <phoneticPr fontId="11" type="noConversion"/>
  </si>
  <si>
    <t>16580,49740,24870,10</t>
  </si>
  <si>
    <t>16580,49740,24870,10</t>
    <phoneticPr fontId="11" type="noConversion"/>
  </si>
  <si>
    <t>16640,49740,24870,10</t>
  </si>
  <si>
    <t>16640,49740,24870,10</t>
    <phoneticPr fontId="11" type="noConversion"/>
  </si>
  <si>
    <t>16640,49920,24960,1</t>
  </si>
  <si>
    <t>16640,49920,24960,1</t>
    <phoneticPr fontId="11" type="noConversion"/>
  </si>
  <si>
    <t>16640,49920,24960,10</t>
  </si>
  <si>
    <t>16640,49920,24960,10</t>
    <phoneticPr fontId="11" type="noConversion"/>
  </si>
  <si>
    <t>16700,49920,24960,1</t>
  </si>
  <si>
    <t>16700,49920,24960,1</t>
    <phoneticPr fontId="11" type="noConversion"/>
  </si>
  <si>
    <t>16700,49920,24960,10</t>
  </si>
  <si>
    <t>16700,49920,24960,10</t>
    <phoneticPr fontId="11" type="noConversion"/>
  </si>
  <si>
    <t>16700,50100,25050,1</t>
  </si>
  <si>
    <t>16700,50100,25050,1</t>
    <phoneticPr fontId="11" type="noConversion"/>
  </si>
  <si>
    <t>16700,50100,25050,10</t>
  </si>
  <si>
    <t>16700,50100,25050,10</t>
    <phoneticPr fontId="11" type="noConversion"/>
  </si>
  <si>
    <t>16760,50100,25050,10</t>
  </si>
  <si>
    <t>16760,50100,25050,10</t>
    <phoneticPr fontId="11" type="noConversion"/>
  </si>
  <si>
    <t>16760,50280,25140,1</t>
  </si>
  <si>
    <t>16760,50280,25140,1</t>
    <phoneticPr fontId="11" type="noConversion"/>
  </si>
  <si>
    <t>16760,50280,25140,10</t>
  </si>
  <si>
    <t>16760,50280,25140,10</t>
    <phoneticPr fontId="11" type="noConversion"/>
  </si>
  <si>
    <t>16820,50280,25140,1</t>
  </si>
  <si>
    <t>16820,50280,25140,1</t>
    <phoneticPr fontId="11" type="noConversion"/>
  </si>
  <si>
    <t>16820,50280,25140,10</t>
  </si>
  <si>
    <t>16820,50280,25140,10</t>
    <phoneticPr fontId="11" type="noConversion"/>
  </si>
  <si>
    <t>16820,50460,25230,1</t>
  </si>
  <si>
    <t>16820,50460,25230,1</t>
    <phoneticPr fontId="11" type="noConversion"/>
  </si>
  <si>
    <t>16820,50460,25230,10</t>
  </si>
  <si>
    <t>16820,50460,25230,10</t>
    <phoneticPr fontId="11" type="noConversion"/>
  </si>
  <si>
    <t>16880,50460,25230,10</t>
  </si>
  <si>
    <t>16880,50460,25230,10</t>
    <phoneticPr fontId="11" type="noConversion"/>
  </si>
  <si>
    <t>16880,50640,25320,1</t>
  </si>
  <si>
    <t>16880,50640,25320,1</t>
    <phoneticPr fontId="11" type="noConversion"/>
  </si>
  <si>
    <t>16880,50640,25320,10</t>
  </si>
  <si>
    <t>16880,50640,25320,10</t>
    <phoneticPr fontId="11" type="noConversion"/>
  </si>
  <si>
    <t>16940,50640,25320,1</t>
  </si>
  <si>
    <t>16940,50640,25320,1</t>
    <phoneticPr fontId="11" type="noConversion"/>
  </si>
  <si>
    <t>16940,50640,25320,10</t>
  </si>
  <si>
    <t>16940,50640,25320,10</t>
    <phoneticPr fontId="11" type="noConversion"/>
  </si>
  <si>
    <t>16940,50820,25410,1</t>
  </si>
  <si>
    <t>16940,50820,25410,1</t>
    <phoneticPr fontId="11" type="noConversion"/>
  </si>
  <si>
    <t>16940,50820,25410,10</t>
  </si>
  <si>
    <t>16940,50820,25410,10</t>
    <phoneticPr fontId="11" type="noConversion"/>
  </si>
  <si>
    <t>17000,50820,25410,10</t>
  </si>
  <si>
    <t>17000,50820,25410,10</t>
    <phoneticPr fontId="11" type="noConversion"/>
  </si>
  <si>
    <t>17000,51000,25500,1</t>
  </si>
  <si>
    <t>17000,51000,25500,1</t>
    <phoneticPr fontId="11" type="noConversion"/>
  </si>
  <si>
    <t>17000,51000,25500,10</t>
  </si>
  <si>
    <t>17000,51000,25500,10</t>
    <phoneticPr fontId="11" type="noConversion"/>
  </si>
  <si>
    <t>17060,51000,25500,1</t>
  </si>
  <si>
    <t>17060,51000,25500,1</t>
    <phoneticPr fontId="11" type="noConversion"/>
  </si>
  <si>
    <t>17060,51000,25500,10</t>
  </si>
  <si>
    <t>17060,51000,25500,10</t>
    <phoneticPr fontId="11" type="noConversion"/>
  </si>
  <si>
    <t>17060,51180,25590,1</t>
  </si>
  <si>
    <t>17060,51180,25590,1</t>
    <phoneticPr fontId="11" type="noConversion"/>
  </si>
  <si>
    <t>17060,51180,25590,10</t>
  </si>
  <si>
    <t>17060,51180,25590,10</t>
    <phoneticPr fontId="11" type="noConversion"/>
  </si>
  <si>
    <t>17120,51180,25590,10</t>
  </si>
  <si>
    <t>17120,51180,25590,10</t>
    <phoneticPr fontId="11" type="noConversion"/>
  </si>
  <si>
    <t>17120,51360,25680,1</t>
  </si>
  <si>
    <t>17120,51360,25680,1</t>
    <phoneticPr fontId="11" type="noConversion"/>
  </si>
  <si>
    <t>17120,51360,25680,10</t>
  </si>
  <si>
    <t>17120,51360,25680,10</t>
    <phoneticPr fontId="11" type="noConversion"/>
  </si>
  <si>
    <t>17180,51360,25680,1</t>
  </si>
  <si>
    <t>17180,51360,25680,1</t>
    <phoneticPr fontId="11" type="noConversion"/>
  </si>
  <si>
    <t>17180,51360,25680,10</t>
  </si>
  <si>
    <t>17180,51360,25680,10</t>
    <phoneticPr fontId="11" type="noConversion"/>
  </si>
  <si>
    <t>17180,51540,25770,1</t>
  </si>
  <si>
    <t>17180,51540,25770,1</t>
    <phoneticPr fontId="11" type="noConversion"/>
  </si>
  <si>
    <t>17180,51540,25770,10</t>
  </si>
  <si>
    <t>17180,51540,25770,10</t>
    <phoneticPr fontId="11" type="noConversion"/>
  </si>
  <si>
    <t>17240,51540,25770,10</t>
  </si>
  <si>
    <t>17240,51540,25770,10</t>
    <phoneticPr fontId="11" type="noConversion"/>
  </si>
  <si>
    <t>17240,51720,25860,1</t>
  </si>
  <si>
    <t>17240,51720,25860,1</t>
    <phoneticPr fontId="11" type="noConversion"/>
  </si>
  <si>
    <t>17240,51720,25860,10</t>
  </si>
  <si>
    <t>17240,51720,25860,10</t>
    <phoneticPr fontId="11" type="noConversion"/>
  </si>
  <si>
    <t>17300,51720,25860,1</t>
  </si>
  <si>
    <t>17300,51720,25860,1</t>
    <phoneticPr fontId="11" type="noConversion"/>
  </si>
  <si>
    <t>17300,51720,25860,10</t>
  </si>
  <si>
    <t>17300,51720,25860,10</t>
    <phoneticPr fontId="11" type="noConversion"/>
  </si>
  <si>
    <t>17300,51900,25950,1</t>
  </si>
  <si>
    <t>17300,51900,25950,1</t>
    <phoneticPr fontId="11" type="noConversion"/>
  </si>
  <si>
    <t>17300,51900,25950,10</t>
  </si>
  <si>
    <t>17300,51900,25950,10</t>
    <phoneticPr fontId="11" type="noConversion"/>
  </si>
  <si>
    <t>17360,51900,25950,10</t>
  </si>
  <si>
    <t>17360,51900,25950,10</t>
    <phoneticPr fontId="11" type="noConversion"/>
  </si>
  <si>
    <t>17360,52080,26040,1</t>
  </si>
  <si>
    <t>17360,52080,26040,1</t>
    <phoneticPr fontId="11" type="noConversion"/>
  </si>
  <si>
    <t>17360,52080,26040,10</t>
  </si>
  <si>
    <t>17360,52080,26040,10</t>
    <phoneticPr fontId="11" type="noConversion"/>
  </si>
  <si>
    <t>17420,52080,26040,1</t>
  </si>
  <si>
    <t>17420,52080,26040,1</t>
    <phoneticPr fontId="11" type="noConversion"/>
  </si>
  <si>
    <t>17420,52080,26040,10</t>
  </si>
  <si>
    <t>17420,52080,26040,10</t>
    <phoneticPr fontId="11" type="noConversion"/>
  </si>
  <si>
    <t>17420,52260,26130,1</t>
  </si>
  <si>
    <t>17420,52260,26130,1</t>
    <phoneticPr fontId="11" type="noConversion"/>
  </si>
  <si>
    <t>17420,52260,26130,10</t>
  </si>
  <si>
    <t>17420,52260,26130,10</t>
    <phoneticPr fontId="11" type="noConversion"/>
  </si>
  <si>
    <t>17480,52260,26130,10</t>
  </si>
  <si>
    <t>17480,52260,26130,10</t>
    <phoneticPr fontId="11" type="noConversion"/>
  </si>
  <si>
    <t>17480,52440,26220,1</t>
  </si>
  <si>
    <t>17480,52440,26220,1</t>
    <phoneticPr fontId="11" type="noConversion"/>
  </si>
  <si>
    <t>17480,52440,26220,10</t>
  </si>
  <si>
    <t>17480,52440,26220,10</t>
    <phoneticPr fontId="11" type="noConversion"/>
  </si>
  <si>
    <t>17540,52440,26220,1</t>
  </si>
  <si>
    <t>17540,52440,26220,1</t>
    <phoneticPr fontId="11" type="noConversion"/>
  </si>
  <si>
    <t>17540,52440,26220,10</t>
  </si>
  <si>
    <t>17540,52440,26220,10</t>
    <phoneticPr fontId="11" type="noConversion"/>
  </si>
  <si>
    <t>17540,52620,26310,1</t>
  </si>
  <si>
    <t>17540,52620,26310,1</t>
    <phoneticPr fontId="11" type="noConversion"/>
  </si>
  <si>
    <t>17540,52620,26310,10</t>
  </si>
  <si>
    <t>17540,52620,26310,10</t>
    <phoneticPr fontId="11" type="noConversion"/>
  </si>
  <si>
    <t>17600,52620,26310,10</t>
  </si>
  <si>
    <t>17600,52620,26310,10</t>
    <phoneticPr fontId="11" type="noConversion"/>
  </si>
  <si>
    <t>17600,52800,26400,1</t>
  </si>
  <si>
    <t>17600,52800,26400,1</t>
    <phoneticPr fontId="11" type="noConversion"/>
  </si>
  <si>
    <t>17600,52800,26400,10</t>
  </si>
  <si>
    <t>17600,52800,26400,10</t>
    <phoneticPr fontId="11" type="noConversion"/>
  </si>
  <si>
    <t>17660,52800,26400,1</t>
  </si>
  <si>
    <t>17660,52800,26400,1</t>
    <phoneticPr fontId="11" type="noConversion"/>
  </si>
  <si>
    <t>17660,52800,26400,10</t>
  </si>
  <si>
    <t>17660,52800,26400,10</t>
    <phoneticPr fontId="11" type="noConversion"/>
  </si>
  <si>
    <t>17660,52980,26490,1</t>
  </si>
  <si>
    <t>17660,52980,26490,1</t>
    <phoneticPr fontId="11" type="noConversion"/>
  </si>
  <si>
    <t>17660,52980,26490,10</t>
  </si>
  <si>
    <t>17660,52980,26490,10</t>
    <phoneticPr fontId="11" type="noConversion"/>
  </si>
  <si>
    <t>17720,52980,26490,10</t>
  </si>
  <si>
    <t>17720,52980,26490,10</t>
    <phoneticPr fontId="11" type="noConversion"/>
  </si>
  <si>
    <t>17720,53160,26580,1</t>
  </si>
  <si>
    <t>17720,53160,26580,1</t>
    <phoneticPr fontId="11" type="noConversion"/>
  </si>
  <si>
    <t>17720,53160,26580,10</t>
  </si>
  <si>
    <t>17720,53160,26580,10</t>
    <phoneticPr fontId="11" type="noConversion"/>
  </si>
  <si>
    <t>17780,53160,26580,1</t>
  </si>
  <si>
    <t>17780,53160,26580,1</t>
    <phoneticPr fontId="11" type="noConversion"/>
  </si>
  <si>
    <t>17780,53160,26580,10</t>
  </si>
  <si>
    <t>17780,53160,26580,10</t>
    <phoneticPr fontId="11" type="noConversion"/>
  </si>
  <si>
    <t>17780,53340,26670,1</t>
  </si>
  <si>
    <t>17780,53340,26670,1</t>
    <phoneticPr fontId="11" type="noConversion"/>
  </si>
  <si>
    <t>17780,53340,26670,10</t>
  </si>
  <si>
    <t>17780,53340,26670,10</t>
    <phoneticPr fontId="11" type="noConversion"/>
  </si>
  <si>
    <t>17840,53340,26670,10</t>
  </si>
  <si>
    <t>17840,53340,26670,10</t>
    <phoneticPr fontId="11" type="noConversion"/>
  </si>
  <si>
    <t>17840,53520,26760,1</t>
  </si>
  <si>
    <t>17840,53520,26760,1</t>
    <phoneticPr fontId="11" type="noConversion"/>
  </si>
  <si>
    <t>17840,53520,26760,10</t>
  </si>
  <si>
    <t>17840,53520,26760,10</t>
    <phoneticPr fontId="11" type="noConversion"/>
  </si>
  <si>
    <t>17900,53520,26760,1</t>
  </si>
  <si>
    <t>17900,53520,26760,1</t>
    <phoneticPr fontId="11" type="noConversion"/>
  </si>
  <si>
    <t>17900,53520,26760,10</t>
  </si>
  <si>
    <t>17900,53520,26760,10</t>
    <phoneticPr fontId="11" type="noConversion"/>
  </si>
  <si>
    <t>17900,53700,26850,1</t>
  </si>
  <si>
    <t>17900,53700,26850,1</t>
    <phoneticPr fontId="11" type="noConversion"/>
  </si>
  <si>
    <t>17900,53700,26850,10</t>
  </si>
  <si>
    <t>17900,53700,26850,10</t>
    <phoneticPr fontId="11" type="noConversion"/>
  </si>
  <si>
    <t>17960,53700,26850,10</t>
  </si>
  <si>
    <t>17960,53700,26850,10</t>
    <phoneticPr fontId="11" type="noConversion"/>
  </si>
  <si>
    <t>17960,53880,26940,1</t>
  </si>
  <si>
    <t>17960,53880,26940,1</t>
    <phoneticPr fontId="11" type="noConversion"/>
  </si>
  <si>
    <t>17960,53880,26940,10</t>
  </si>
  <si>
    <t>17960,53880,26940,10</t>
    <phoneticPr fontId="11" type="noConversion"/>
  </si>
  <si>
    <t>18020,53880,26940,1</t>
  </si>
  <si>
    <t>18020,53880,26940,1</t>
    <phoneticPr fontId="11" type="noConversion"/>
  </si>
  <si>
    <t>18020,53880,26940,10</t>
  </si>
  <si>
    <t>18020,53880,26940,10</t>
    <phoneticPr fontId="11" type="noConversion"/>
  </si>
  <si>
    <t>18020,54060,27030,1</t>
  </si>
  <si>
    <t>18020,54060,27030,1</t>
    <phoneticPr fontId="11" type="noConversion"/>
  </si>
  <si>
    <t>18020,54060,27030,10</t>
  </si>
  <si>
    <t>18020,54060,27030,10</t>
    <phoneticPr fontId="11" type="noConversion"/>
  </si>
  <si>
    <t>18080,54060,27030,10</t>
  </si>
  <si>
    <t>18080,54060,27030,10</t>
    <phoneticPr fontId="11" type="noConversion"/>
  </si>
  <si>
    <t>18080,54240,27120,1</t>
  </si>
  <si>
    <t>18080,54240,27120,1</t>
    <phoneticPr fontId="11" type="noConversion"/>
  </si>
  <si>
    <t>18080,54240,27120,10</t>
  </si>
  <si>
    <t>18080,54240,27120,10</t>
    <phoneticPr fontId="11" type="noConversion"/>
  </si>
  <si>
    <t>18140,54240,27120,1</t>
  </si>
  <si>
    <t>18140,54240,27120,1</t>
    <phoneticPr fontId="11" type="noConversion"/>
  </si>
  <si>
    <t>18140,54240,27120,10</t>
  </si>
  <si>
    <t>18140,54240,27120,10</t>
    <phoneticPr fontId="11" type="noConversion"/>
  </si>
  <si>
    <t>18140,54420,27210,1</t>
  </si>
  <si>
    <t>18140,54420,27210,1</t>
    <phoneticPr fontId="11" type="noConversion"/>
  </si>
  <si>
    <t>18140,54420,27210,10</t>
  </si>
  <si>
    <t>18140,54420,27210,10</t>
    <phoneticPr fontId="11" type="noConversion"/>
  </si>
  <si>
    <t>18200,54420,27210,10</t>
  </si>
  <si>
    <t>18200,54420,27210,10</t>
    <phoneticPr fontId="11" type="noConversion"/>
  </si>
  <si>
    <t>18200,54600,27300,1</t>
  </si>
  <si>
    <t>18200,54600,27300,1</t>
    <phoneticPr fontId="11" type="noConversion"/>
  </si>
  <si>
    <t>18200,54600,27300,10</t>
  </si>
  <si>
    <t>18200,54600,27300,10</t>
    <phoneticPr fontId="11" type="noConversion"/>
  </si>
  <si>
    <t>18260,54600,27300,1</t>
  </si>
  <si>
    <t>18260,54600,27300,1</t>
    <phoneticPr fontId="11" type="noConversion"/>
  </si>
  <si>
    <t>18260,54600,27300,10</t>
  </si>
  <si>
    <t>18260,54600,27300,10</t>
    <phoneticPr fontId="11" type="noConversion"/>
  </si>
  <si>
    <t>18260,54780,27390,1</t>
  </si>
  <si>
    <t>18260,54780,27390,1</t>
    <phoneticPr fontId="11" type="noConversion"/>
  </si>
  <si>
    <t>18260,54780,27390,10</t>
  </si>
  <si>
    <t>18260,54780,27390,10</t>
    <phoneticPr fontId="11" type="noConversion"/>
  </si>
  <si>
    <t>18320,54780,27390,10</t>
  </si>
  <si>
    <t>18320,54780,27390,10</t>
    <phoneticPr fontId="11" type="noConversion"/>
  </si>
  <si>
    <t>18320,54960,27480,1</t>
  </si>
  <si>
    <t>18320,54960,27480,1</t>
    <phoneticPr fontId="11" type="noConversion"/>
  </si>
  <si>
    <t>18320,54960,27480,10</t>
  </si>
  <si>
    <t>18320,54960,27480,10</t>
    <phoneticPr fontId="11" type="noConversion"/>
  </si>
  <si>
    <t>18380,54960,27480,1</t>
  </si>
  <si>
    <t>18380,54960,27480,1</t>
    <phoneticPr fontId="11" type="noConversion"/>
  </si>
  <si>
    <t>18380,54960,27480,10</t>
  </si>
  <si>
    <t>18380,54960,27480,10</t>
    <phoneticPr fontId="11" type="noConversion"/>
  </si>
  <si>
    <t>18380,55140,27570,1</t>
  </si>
  <si>
    <t>18380,55140,27570,1</t>
    <phoneticPr fontId="11" type="noConversion"/>
  </si>
  <si>
    <t>18380,55140,27570,10</t>
  </si>
  <si>
    <t>18380,55140,27570,10</t>
    <phoneticPr fontId="11" type="noConversion"/>
  </si>
  <si>
    <t>18440,55140,27570,10</t>
  </si>
  <si>
    <t>18440,55140,27570,10</t>
    <phoneticPr fontId="11" type="noConversion"/>
  </si>
  <si>
    <t>18440,55320,27660,1</t>
  </si>
  <si>
    <t>18440,55320,27660,1</t>
    <phoneticPr fontId="11" type="noConversion"/>
  </si>
  <si>
    <t>18440,55320,27660,10</t>
  </si>
  <si>
    <t>18440,55320,27660,10</t>
    <phoneticPr fontId="11" type="noConversion"/>
  </si>
  <si>
    <t>18500,55320,27660,1</t>
  </si>
  <si>
    <t>18500,55320,27660,1</t>
    <phoneticPr fontId="11" type="noConversion"/>
  </si>
  <si>
    <t>18500,55320,27660,10</t>
  </si>
  <si>
    <t>18500,55320,27660,10</t>
    <phoneticPr fontId="11" type="noConversion"/>
  </si>
  <si>
    <t>18500,55500,27750,1</t>
  </si>
  <si>
    <t>18500,55500,27750,1</t>
    <phoneticPr fontId="11" type="noConversion"/>
  </si>
  <si>
    <t>18500,55500,27750,10</t>
  </si>
  <si>
    <t>18500,55500,27750,10</t>
    <phoneticPr fontId="11" type="noConversion"/>
  </si>
  <si>
    <t>18560,55500,27750,10</t>
  </si>
  <si>
    <t>18560,55500,27750,10</t>
    <phoneticPr fontId="11" type="noConversion"/>
  </si>
  <si>
    <t>18560,55680,27840,1</t>
  </si>
  <si>
    <t>18560,55680,27840,1</t>
    <phoneticPr fontId="11" type="noConversion"/>
  </si>
  <si>
    <t>18560,55680,27840,10</t>
  </si>
  <si>
    <t>18560,55680,27840,10</t>
    <phoneticPr fontId="11" type="noConversion"/>
  </si>
  <si>
    <t>18620,55680,27840,1</t>
  </si>
  <si>
    <t>18620,55680,27840,1</t>
    <phoneticPr fontId="11" type="noConversion"/>
  </si>
  <si>
    <t>18620,55680,27840,10</t>
  </si>
  <si>
    <t>18620,55680,27840,10</t>
    <phoneticPr fontId="11" type="noConversion"/>
  </si>
  <si>
    <t>18620,55860,27930,1</t>
  </si>
  <si>
    <t>18620,55860,27930,1</t>
    <phoneticPr fontId="11" type="noConversion"/>
  </si>
  <si>
    <t>18620,55860,27930,10</t>
  </si>
  <si>
    <t>18620,55860,27930,10</t>
    <phoneticPr fontId="11" type="noConversion"/>
  </si>
  <si>
    <t>18680,55860,27930,10</t>
  </si>
  <si>
    <t>18680,55860,27930,10</t>
    <phoneticPr fontId="11" type="noConversion"/>
  </si>
  <si>
    <t>18680,56040,28020,1</t>
  </si>
  <si>
    <t>18680,56040,28020,1</t>
    <phoneticPr fontId="11" type="noConversion"/>
  </si>
  <si>
    <t>18680,56040,28020,10</t>
  </si>
  <si>
    <t>18680,56040,28020,10</t>
    <phoneticPr fontId="11" type="noConversion"/>
  </si>
  <si>
    <t>18740,56040,28020,1</t>
  </si>
  <si>
    <t>18740,56040,28020,1</t>
    <phoneticPr fontId="11" type="noConversion"/>
  </si>
  <si>
    <t>18740,56040,28020,10</t>
  </si>
  <si>
    <t>18740,56040,28020,10</t>
    <phoneticPr fontId="11" type="noConversion"/>
  </si>
  <si>
    <t>18740,56220,28110,1</t>
  </si>
  <si>
    <t>18740,56220,28110,1</t>
    <phoneticPr fontId="11" type="noConversion"/>
  </si>
  <si>
    <t>18740,56220,28110,10</t>
  </si>
  <si>
    <t>18740,56220,28110,10</t>
    <phoneticPr fontId="11" type="noConversion"/>
  </si>
  <si>
    <t>18800,56220,28110,10</t>
  </si>
  <si>
    <t>18800,56220,28110,10</t>
    <phoneticPr fontId="11" type="noConversion"/>
  </si>
  <si>
    <t>18800,56400,28200,1</t>
  </si>
  <si>
    <t>18800,56400,28200,1</t>
    <phoneticPr fontId="11" type="noConversion"/>
  </si>
  <si>
    <t>18800,56400,28200,10</t>
  </si>
  <si>
    <t>18800,56400,28200,10</t>
    <phoneticPr fontId="11" type="noConversion"/>
  </si>
  <si>
    <t>18860,56400,28200,1</t>
  </si>
  <si>
    <t>18860,56400,28200,1</t>
    <phoneticPr fontId="11" type="noConversion"/>
  </si>
  <si>
    <t>18860,56400,28200,10</t>
  </si>
  <si>
    <t>18860,56400,28200,10</t>
    <phoneticPr fontId="11" type="noConversion"/>
  </si>
  <si>
    <t>18860,56580,28290,1</t>
  </si>
  <si>
    <t>18860,56580,28290,1</t>
    <phoneticPr fontId="11" type="noConversion"/>
  </si>
  <si>
    <t>18860,56580,28290,10</t>
  </si>
  <si>
    <t>18860,56580,28290,10</t>
    <phoneticPr fontId="11" type="noConversion"/>
  </si>
  <si>
    <t>18920,56580,28290,10</t>
  </si>
  <si>
    <t>18920,56580,28290,10</t>
    <phoneticPr fontId="11" type="noConversion"/>
  </si>
  <si>
    <t>18920,56760,28380,1</t>
  </si>
  <si>
    <t>18920,56760,28380,1</t>
    <phoneticPr fontId="11" type="noConversion"/>
  </si>
  <si>
    <t>18920,56760,28380,10</t>
  </si>
  <si>
    <t>18920,56760,28380,10</t>
    <phoneticPr fontId="11" type="noConversion"/>
  </si>
  <si>
    <t>18980,56760,28380,1</t>
  </si>
  <si>
    <t>18980,56760,28380,1</t>
    <phoneticPr fontId="11" type="noConversion"/>
  </si>
  <si>
    <t>18980,56760,28380,10</t>
  </si>
  <si>
    <t>18980,56760,28380,10</t>
    <phoneticPr fontId="11" type="noConversion"/>
  </si>
  <si>
    <t>18980,56940,28470,1</t>
  </si>
  <si>
    <t>18980,56940,28470,1</t>
    <phoneticPr fontId="11" type="noConversion"/>
  </si>
  <si>
    <t>18980,56940,28470,10</t>
  </si>
  <si>
    <t>18980,56940,28470,10</t>
    <phoneticPr fontId="11" type="noConversion"/>
  </si>
  <si>
    <t>19040,56940,28470,10</t>
  </si>
  <si>
    <t>19040,56940,28470,10</t>
    <phoneticPr fontId="11" type="noConversion"/>
  </si>
  <si>
    <t>19040,57120,28560,1</t>
  </si>
  <si>
    <t>19040,57120,28560,1</t>
    <phoneticPr fontId="11" type="noConversion"/>
  </si>
  <si>
    <t>19040,57120,28560,10</t>
  </si>
  <si>
    <t>19040,57120,28560,10</t>
    <phoneticPr fontId="11" type="noConversion"/>
  </si>
  <si>
    <t>19100,57120,28560,1</t>
  </si>
  <si>
    <t>19100,57120,28560,1</t>
    <phoneticPr fontId="11" type="noConversion"/>
  </si>
  <si>
    <t>19100,57120,28560,10</t>
  </si>
  <si>
    <t>19100,57120,28560,10</t>
    <phoneticPr fontId="11" type="noConversion"/>
  </si>
  <si>
    <t>19100,57300,28650,1</t>
  </si>
  <si>
    <t>19100,57300,28650,1</t>
    <phoneticPr fontId="11" type="noConversion"/>
  </si>
  <si>
    <t>19100,57300,28650,10</t>
  </si>
  <si>
    <t>19100,57300,28650,10</t>
    <phoneticPr fontId="11" type="noConversion"/>
  </si>
  <si>
    <t>19160,57300,28650,10</t>
  </si>
  <si>
    <t>19160,57300,28650,10</t>
    <phoneticPr fontId="11" type="noConversion"/>
  </si>
  <si>
    <t>19160,57480,28740,1</t>
  </si>
  <si>
    <t>19160,57480,28740,1</t>
    <phoneticPr fontId="11" type="noConversion"/>
  </si>
  <si>
    <t>19160,57480,28740,10</t>
  </si>
  <si>
    <t>19160,57480,28740,10</t>
    <phoneticPr fontId="11" type="noConversion"/>
  </si>
  <si>
    <t>19220,57480,28740,1</t>
  </si>
  <si>
    <t>19220,57480,28740,1</t>
    <phoneticPr fontId="11" type="noConversion"/>
  </si>
  <si>
    <t>19220,57480,28740,10</t>
  </si>
  <si>
    <t>19220,57480,28740,10</t>
    <phoneticPr fontId="11" type="noConversion"/>
  </si>
  <si>
    <t>19220,57660,28830,1</t>
  </si>
  <si>
    <t>19220,57660,28830,1</t>
    <phoneticPr fontId="11" type="noConversion"/>
  </si>
  <si>
    <t>19220,57660,28830,10</t>
  </si>
  <si>
    <t>19220,57660,28830,10</t>
    <phoneticPr fontId="11" type="noConversion"/>
  </si>
  <si>
    <t>19280,57660,28830,10</t>
  </si>
  <si>
    <t>19280,57660,28830,10</t>
    <phoneticPr fontId="11" type="noConversion"/>
  </si>
  <si>
    <t>19280,57840,28920,1</t>
  </si>
  <si>
    <t>19280,57840,28920,1</t>
    <phoneticPr fontId="11" type="noConversion"/>
  </si>
  <si>
    <t>19280,57840,28920,10</t>
  </si>
  <si>
    <t>19280,57840,28920,10</t>
    <phoneticPr fontId="11" type="noConversion"/>
  </si>
  <si>
    <t>19340,57840,28920,1</t>
  </si>
  <si>
    <t>19340,57840,28920,1</t>
    <phoneticPr fontId="11" type="noConversion"/>
  </si>
  <si>
    <t>19340,57840,28920,10</t>
  </si>
  <si>
    <t>19340,57840,28920,10</t>
    <phoneticPr fontId="11" type="noConversion"/>
  </si>
  <si>
    <t>19340,58020,29010,1</t>
  </si>
  <si>
    <t>19340,58020,29010,1</t>
    <phoneticPr fontId="11" type="noConversion"/>
  </si>
  <si>
    <t>19340,58020,29010,10</t>
  </si>
  <si>
    <t>19340,58020,29010,10</t>
    <phoneticPr fontId="11" type="noConversion"/>
  </si>
  <si>
    <t>19400,58020,29010,10</t>
  </si>
  <si>
    <t>19400,58020,29010,10</t>
    <phoneticPr fontId="11" type="noConversion"/>
  </si>
  <si>
    <t>19400,58200,29100,1</t>
  </si>
  <si>
    <t>19400,58200,29100,1</t>
    <phoneticPr fontId="11" type="noConversion"/>
  </si>
  <si>
    <t>19400,58200,29100,10</t>
  </si>
  <si>
    <t>19400,58200,29100,10</t>
    <phoneticPr fontId="11" type="noConversion"/>
  </si>
  <si>
    <t>19460,58200,29100,1</t>
  </si>
  <si>
    <t>19460,58200,29100,1</t>
    <phoneticPr fontId="11" type="noConversion"/>
  </si>
  <si>
    <t>19460,58200,29100,10</t>
  </si>
  <si>
    <t>19460,58200,29100,10</t>
    <phoneticPr fontId="11" type="noConversion"/>
  </si>
  <si>
    <t>19460,58380,29190,1</t>
  </si>
  <si>
    <t>19460,58380,29190,1</t>
    <phoneticPr fontId="11" type="noConversion"/>
  </si>
  <si>
    <t>19460,58380,29190,10</t>
  </si>
  <si>
    <t>19460,58380,29190,10</t>
    <phoneticPr fontId="11" type="noConversion"/>
  </si>
  <si>
    <t>19520,58380,29190,10</t>
  </si>
  <si>
    <t>19520,58380,29190,10</t>
    <phoneticPr fontId="11" type="noConversion"/>
  </si>
  <si>
    <t>19520,58560,29280,1</t>
  </si>
  <si>
    <t>19520,58560,29280,1</t>
    <phoneticPr fontId="11" type="noConversion"/>
  </si>
  <si>
    <t>19520,58560,29280,10</t>
  </si>
  <si>
    <t>19520,58560,29280,10</t>
    <phoneticPr fontId="11" type="noConversion"/>
  </si>
  <si>
    <t>19580,58560,29280,1</t>
  </si>
  <si>
    <t>19580,58560,29280,1</t>
    <phoneticPr fontId="11" type="noConversion"/>
  </si>
  <si>
    <t>19580,58560,29280,10</t>
  </si>
  <si>
    <t>19580,58560,29280,10</t>
    <phoneticPr fontId="11" type="noConversion"/>
  </si>
  <si>
    <t>19580,58740,29370,1</t>
  </si>
  <si>
    <t>19580,58740,29370,1</t>
    <phoneticPr fontId="11" type="noConversion"/>
  </si>
  <si>
    <t>19580,58740,29370,10</t>
  </si>
  <si>
    <t>19580,58740,29370,10</t>
    <phoneticPr fontId="11" type="noConversion"/>
  </si>
  <si>
    <t>19640,58740,29370,10</t>
  </si>
  <si>
    <t>19640,58740,29370,10</t>
    <phoneticPr fontId="11" type="noConversion"/>
  </si>
  <si>
    <t>19640,58920,29460,1</t>
  </si>
  <si>
    <t>19640,58920,29460,1</t>
    <phoneticPr fontId="11" type="noConversion"/>
  </si>
  <si>
    <t>19640,58920,29460,10</t>
  </si>
  <si>
    <t>19640,58920,29460,10</t>
    <phoneticPr fontId="11" type="noConversion"/>
  </si>
  <si>
    <t>19700,58920,29460,1</t>
  </si>
  <si>
    <t>19700,58920,29460,1</t>
    <phoneticPr fontId="11" type="noConversion"/>
  </si>
  <si>
    <t>19700,58920,29460,10</t>
  </si>
  <si>
    <t>19700,58920,29460,10</t>
    <phoneticPr fontId="11" type="noConversion"/>
  </si>
  <si>
    <t>19700,59100,29550,1</t>
  </si>
  <si>
    <t>19700,59100,29550,1</t>
    <phoneticPr fontId="11" type="noConversion"/>
  </si>
  <si>
    <t>19700,59100,29550,10</t>
  </si>
  <si>
    <t>19700,59100,29550,10</t>
    <phoneticPr fontId="11" type="noConversion"/>
  </si>
  <si>
    <t>19760,59100,29550,10</t>
  </si>
  <si>
    <t>19760,59100,29550,10</t>
    <phoneticPr fontId="11" type="noConversion"/>
  </si>
  <si>
    <t>19760,59280,29640,1</t>
  </si>
  <si>
    <t>19760,59280,29640,1</t>
    <phoneticPr fontId="11" type="noConversion"/>
  </si>
  <si>
    <t>19760,59280,29640,10</t>
  </si>
  <si>
    <t>19760,59280,29640,10</t>
    <phoneticPr fontId="11" type="noConversion"/>
  </si>
  <si>
    <t>19820,59280,29640,1</t>
  </si>
  <si>
    <t>19820,59280,29640,1</t>
    <phoneticPr fontId="11" type="noConversion"/>
  </si>
  <si>
    <t>19820,59280,29640,10</t>
  </si>
  <si>
    <t>19820,59280,29640,10</t>
    <phoneticPr fontId="11" type="noConversion"/>
  </si>
  <si>
    <t>19820,59460,29730,1</t>
  </si>
  <si>
    <t>19820,59460,29730,1</t>
    <phoneticPr fontId="11" type="noConversion"/>
  </si>
  <si>
    <t>19820,59460,29730,10</t>
  </si>
  <si>
    <t>19820,59460,29730,10</t>
    <phoneticPr fontId="11" type="noConversion"/>
  </si>
  <si>
    <t>19880,59460,29730,10</t>
  </si>
  <si>
    <t>19880,59460,29730,10</t>
    <phoneticPr fontId="11" type="noConversion"/>
  </si>
  <si>
    <t>19880,59640,29820,1</t>
  </si>
  <si>
    <t>19880,59640,29820,1</t>
    <phoneticPr fontId="11" type="noConversion"/>
  </si>
  <si>
    <t>19880,59640,29820,10</t>
  </si>
  <si>
    <t>19880,59640,29820,10</t>
    <phoneticPr fontId="11" type="noConversion"/>
  </si>
  <si>
    <t>19940,59640,29820,1</t>
  </si>
  <si>
    <t>19940,59640,29820,1</t>
    <phoneticPr fontId="11" type="noConversion"/>
  </si>
  <si>
    <t>19940,59640,29820,10</t>
  </si>
  <si>
    <t>19940,59640,29820,10</t>
    <phoneticPr fontId="11" type="noConversion"/>
  </si>
  <si>
    <t>19940,59820,29910,1</t>
  </si>
  <si>
    <t>19940,59820,29910,1</t>
    <phoneticPr fontId="11" type="noConversion"/>
  </si>
  <si>
    <t>19940,59820,29910,10</t>
  </si>
  <si>
    <t>19940,59820,29910,10</t>
    <phoneticPr fontId="11" type="noConversion"/>
  </si>
  <si>
    <t>20000,59820,29910,10</t>
  </si>
  <si>
    <t>20000,59820,29910,10</t>
    <phoneticPr fontId="11" type="noConversion"/>
  </si>
  <si>
    <t>20000,60000,30000,1</t>
  </si>
  <si>
    <t>20000,60000,30000,1</t>
    <phoneticPr fontId="11" type="noConversion"/>
  </si>
  <si>
    <t>20000,60000,30000,10</t>
  </si>
  <si>
    <t>20000,60000,30000,10</t>
    <phoneticPr fontId="11" type="noConversion"/>
  </si>
  <si>
    <t>20060,60000,30000,1</t>
  </si>
  <si>
    <t>20060,60000,30000,1</t>
    <phoneticPr fontId="11" type="noConversion"/>
  </si>
  <si>
    <t>20060,60000,30000,10</t>
  </si>
  <si>
    <t>20060,60000,30000,10</t>
    <phoneticPr fontId="11" type="noConversion"/>
  </si>
  <si>
    <t>20060,60180,30090,1</t>
  </si>
  <si>
    <t>20060,60180,30090,1</t>
    <phoneticPr fontId="11" type="noConversion"/>
  </si>
  <si>
    <t>20060,60180,30090,10</t>
  </si>
  <si>
    <t>20060,60180,30090,10</t>
    <phoneticPr fontId="11" type="noConversion"/>
  </si>
  <si>
    <t>20120,60180,30090,10</t>
  </si>
  <si>
    <t>20120,60180,30090,10</t>
    <phoneticPr fontId="11" type="noConversion"/>
  </si>
  <si>
    <t>20120,60360,30180,1</t>
  </si>
  <si>
    <t>20120,60360,30180,1</t>
    <phoneticPr fontId="11" type="noConversion"/>
  </si>
  <si>
    <t>20120,60360,30180,10</t>
  </si>
  <si>
    <t>20120,60360,30180,10</t>
    <phoneticPr fontId="11" type="noConversion"/>
  </si>
  <si>
    <t>20180,60360,30180,1</t>
  </si>
  <si>
    <t>20180,60360,30180,1</t>
    <phoneticPr fontId="11" type="noConversion"/>
  </si>
  <si>
    <t>20180,60360,30180,10</t>
  </si>
  <si>
    <t>20180,60360,30180,10</t>
    <phoneticPr fontId="11" type="noConversion"/>
  </si>
  <si>
    <t>20180,60540,30270,1</t>
  </si>
  <si>
    <t>20180,60540,30270,1</t>
    <phoneticPr fontId="11" type="noConversion"/>
  </si>
  <si>
    <t>20180,60540,30270,10</t>
  </si>
  <si>
    <t>20180,60540,30270,10</t>
    <phoneticPr fontId="11" type="noConversion"/>
  </si>
  <si>
    <t>20240,60540,30270,10</t>
  </si>
  <si>
    <t>20240,60540,30270,10</t>
    <phoneticPr fontId="11" type="noConversion"/>
  </si>
  <si>
    <t>20240,60720,30360,1</t>
  </si>
  <si>
    <t>20240,60720,30360,1</t>
    <phoneticPr fontId="11" type="noConversion"/>
  </si>
  <si>
    <t>20240,60720,30360,10</t>
  </si>
  <si>
    <t>20240,60720,30360,10</t>
    <phoneticPr fontId="11" type="noConversion"/>
  </si>
  <si>
    <t>20300,60720,30360,1</t>
  </si>
  <si>
    <t>20300,60720,30360,1</t>
    <phoneticPr fontId="11" type="noConversion"/>
  </si>
  <si>
    <t>20300,60720,30360,10</t>
  </si>
  <si>
    <t>20300,60720,30360,10</t>
    <phoneticPr fontId="11" type="noConversion"/>
  </si>
  <si>
    <t>20300,60900,30450,1</t>
  </si>
  <si>
    <t>20300,60900,30450,1</t>
    <phoneticPr fontId="11" type="noConversion"/>
  </si>
  <si>
    <t>20300,60900,30450,10</t>
  </si>
  <si>
    <t>20300,60900,30450,10</t>
    <phoneticPr fontId="11" type="noConversion"/>
  </si>
  <si>
    <t>20360,60900,30450,10</t>
  </si>
  <si>
    <t>20360,60900,30450,10</t>
    <phoneticPr fontId="11" type="noConversion"/>
  </si>
  <si>
    <t>20360,61080,30540,1</t>
  </si>
  <si>
    <t>20360,61080,30540,1</t>
    <phoneticPr fontId="11" type="noConversion"/>
  </si>
  <si>
    <t>20360,61080,30540,10</t>
  </si>
  <si>
    <t>20360,61080,30540,10</t>
    <phoneticPr fontId="11" type="noConversion"/>
  </si>
  <si>
    <t>20420,61080,30540,1</t>
  </si>
  <si>
    <t>20420,61080,30540,1</t>
    <phoneticPr fontId="11" type="noConversion"/>
  </si>
  <si>
    <t>20420,61080,30540,10</t>
  </si>
  <si>
    <t>20420,61080,30540,10</t>
    <phoneticPr fontId="11" type="noConversion"/>
  </si>
  <si>
    <t>20420,61260,30630,1</t>
  </si>
  <si>
    <t>20420,61260,30630,1</t>
    <phoneticPr fontId="11" type="noConversion"/>
  </si>
  <si>
    <t>20420,61260,30630,10</t>
  </si>
  <si>
    <t>20420,61260,30630,10</t>
    <phoneticPr fontId="11" type="noConversion"/>
  </si>
  <si>
    <t>20480,61260,30630,10</t>
  </si>
  <si>
    <t>20480,61260,30630,10</t>
    <phoneticPr fontId="11" type="noConversion"/>
  </si>
  <si>
    <t>20480,61440,30720,1</t>
  </si>
  <si>
    <t>20480,61440,30720,1</t>
    <phoneticPr fontId="11" type="noConversion"/>
  </si>
  <si>
    <t>20480,61440,30720,10</t>
  </si>
  <si>
    <t>20480,61440,30720,10</t>
    <phoneticPr fontId="11" type="noConversion"/>
  </si>
  <si>
    <t>20540,61440,30720,1</t>
  </si>
  <si>
    <t>20540,61440,30720,1</t>
    <phoneticPr fontId="11" type="noConversion"/>
  </si>
  <si>
    <t>20540,61440,30720,10</t>
  </si>
  <si>
    <t>20540,61440,30720,10</t>
    <phoneticPr fontId="11" type="noConversion"/>
  </si>
  <si>
    <t>20540,61620,30810,1</t>
  </si>
  <si>
    <t>20540,61620,30810,1</t>
    <phoneticPr fontId="11" type="noConversion"/>
  </si>
  <si>
    <t>20540,61620,30810,10</t>
  </si>
  <si>
    <t>20540,61620,30810,10</t>
    <phoneticPr fontId="11" type="noConversion"/>
  </si>
  <si>
    <t>20600,61620,30810,10</t>
  </si>
  <si>
    <t>20600,61620,30810,10</t>
    <phoneticPr fontId="11" type="noConversion"/>
  </si>
  <si>
    <t>20600,61800,30900,1</t>
  </si>
  <si>
    <t>20600,61800,30900,1</t>
    <phoneticPr fontId="11" type="noConversion"/>
  </si>
  <si>
    <t>20600,61800,30900,10</t>
  </si>
  <si>
    <t>20600,61800,30900,10</t>
    <phoneticPr fontId="11" type="noConversion"/>
  </si>
  <si>
    <t>20640,61800,30900,1</t>
  </si>
  <si>
    <t>20640,61800,30900,1</t>
    <phoneticPr fontId="11" type="noConversion"/>
  </si>
  <si>
    <t>20640,61800,30900,10</t>
  </si>
  <si>
    <t>20640,61800,30900,10</t>
    <phoneticPr fontId="11" type="noConversion"/>
  </si>
  <si>
    <t>20640,61920,30960,1</t>
  </si>
  <si>
    <t>20640,61920,30960,1</t>
    <phoneticPr fontId="11" type="noConversion"/>
  </si>
  <si>
    <t>20640,61920,30960,10</t>
  </si>
  <si>
    <t>20640,61920,30960,10</t>
    <phoneticPr fontId="11" type="noConversion"/>
  </si>
  <si>
    <t>20680,61920,30960,10</t>
  </si>
  <si>
    <t>20680,61920,30960,10</t>
    <phoneticPr fontId="11" type="noConversion"/>
  </si>
  <si>
    <t>20680,62040,31020,1</t>
  </si>
  <si>
    <t>20680,62040,31020,1</t>
    <phoneticPr fontId="11" type="noConversion"/>
  </si>
  <si>
    <t>20680,62040,31020,10</t>
  </si>
  <si>
    <t>20680,62040,31020,10</t>
    <phoneticPr fontId="11" type="noConversion"/>
  </si>
  <si>
    <t>20720,62040,31020,1</t>
  </si>
  <si>
    <t>20720,62040,31020,1</t>
    <phoneticPr fontId="11" type="noConversion"/>
  </si>
  <si>
    <t>20720,62040,31020,10</t>
  </si>
  <si>
    <t>20720,62040,31020,10</t>
    <phoneticPr fontId="11" type="noConversion"/>
  </si>
  <si>
    <t>20720,62160,31080,1</t>
  </si>
  <si>
    <t>20720,62160,31080,1</t>
    <phoneticPr fontId="11" type="noConversion"/>
  </si>
  <si>
    <t>20720,62160,31080,10</t>
  </si>
  <si>
    <t>20720,62160,31080,10</t>
    <phoneticPr fontId="11" type="noConversion"/>
  </si>
  <si>
    <t>20760,62160,31080,10</t>
  </si>
  <si>
    <t>20760,62160,31080,10</t>
    <phoneticPr fontId="11" type="noConversion"/>
  </si>
  <si>
    <t>20760,62280,31140,1</t>
  </si>
  <si>
    <t>20760,62280,31140,1</t>
    <phoneticPr fontId="11" type="noConversion"/>
  </si>
  <si>
    <t>20760,62280,31140,10</t>
  </si>
  <si>
    <t>20760,62280,31140,10</t>
    <phoneticPr fontId="11" type="noConversion"/>
  </si>
  <si>
    <t>20800,62280,31140,1</t>
  </si>
  <si>
    <t>20800,62280,31140,1</t>
    <phoneticPr fontId="11" type="noConversion"/>
  </si>
  <si>
    <t>20800,62280,31140,10</t>
  </si>
  <si>
    <t>20800,62280,31140,10</t>
    <phoneticPr fontId="11" type="noConversion"/>
  </si>
  <si>
    <t>20800,62400,31200,1</t>
  </si>
  <si>
    <t>20800,62400,31200,1</t>
    <phoneticPr fontId="11" type="noConversion"/>
  </si>
  <si>
    <t>20800,62400,31200,10</t>
  </si>
  <si>
    <t>20800,62400,31200,10</t>
    <phoneticPr fontId="11" type="noConversion"/>
  </si>
  <si>
    <t>20840,62400,31200,10</t>
  </si>
  <si>
    <t>20840,62400,31200,10</t>
    <phoneticPr fontId="11" type="noConversion"/>
  </si>
  <si>
    <t>20840,62520,31260,1</t>
  </si>
  <si>
    <t>20840,62520,31260,1</t>
    <phoneticPr fontId="11" type="noConversion"/>
  </si>
  <si>
    <t>20840,62520,31260,10</t>
  </si>
  <si>
    <t>20840,62520,31260,10</t>
    <phoneticPr fontId="11" type="noConversion"/>
  </si>
  <si>
    <t>20880,62520,31260,1</t>
  </si>
  <si>
    <t>20880,62520,31260,1</t>
    <phoneticPr fontId="11" type="noConversion"/>
  </si>
  <si>
    <t>20880,62520,31260,10</t>
  </si>
  <si>
    <t>20880,62520,31260,10</t>
    <phoneticPr fontId="11" type="noConversion"/>
  </si>
  <si>
    <t>20880,62640,31320,1</t>
  </si>
  <si>
    <t>20880,62640,31320,1</t>
    <phoneticPr fontId="11" type="noConversion"/>
  </si>
  <si>
    <t>20880,62640,31320,10</t>
  </si>
  <si>
    <t>20880,62640,31320,10</t>
    <phoneticPr fontId="11" type="noConversion"/>
  </si>
  <si>
    <t>20920,62640,31320,10</t>
  </si>
  <si>
    <t>20920,62640,31320,10</t>
    <phoneticPr fontId="11" type="noConversion"/>
  </si>
  <si>
    <t>20920,62760,31380,1</t>
  </si>
  <si>
    <t>20920,62760,31380,1</t>
    <phoneticPr fontId="11" type="noConversion"/>
  </si>
  <si>
    <t>20920,62760,31380,10</t>
  </si>
  <si>
    <t>20920,62760,31380,10</t>
    <phoneticPr fontId="11" type="noConversion"/>
  </si>
  <si>
    <t>20960,62760,31380,1</t>
  </si>
  <si>
    <t>20960,62760,31380,1</t>
    <phoneticPr fontId="11" type="noConversion"/>
  </si>
  <si>
    <t>20960,62760,31380,10</t>
  </si>
  <si>
    <t>20960,62760,31380,10</t>
    <phoneticPr fontId="11" type="noConversion"/>
  </si>
  <si>
    <t>20960,62880,31440,1</t>
  </si>
  <si>
    <t>20960,62880,31440,1</t>
    <phoneticPr fontId="11" type="noConversion"/>
  </si>
  <si>
    <t>20960,62880,31440,10</t>
  </si>
  <si>
    <t>20960,62880,31440,10</t>
    <phoneticPr fontId="11" type="noConversion"/>
  </si>
  <si>
    <t>21000,62880,31440,10</t>
  </si>
  <si>
    <t>21000,62880,31440,10</t>
    <phoneticPr fontId="11" type="noConversion"/>
  </si>
  <si>
    <t>21000,63000,31500,1</t>
  </si>
  <si>
    <t>21000,63000,31500,1</t>
    <phoneticPr fontId="11" type="noConversion"/>
  </si>
  <si>
    <t>21000,63000,31500,10</t>
  </si>
  <si>
    <t>21000,63000,31500,10</t>
    <phoneticPr fontId="11" type="noConversion"/>
  </si>
  <si>
    <t>21040,63000,31500,1</t>
  </si>
  <si>
    <t>21040,63000,31500,1</t>
    <phoneticPr fontId="11" type="noConversion"/>
  </si>
  <si>
    <t>21040,63000,31500,10</t>
  </si>
  <si>
    <t>21040,63000,31500,10</t>
    <phoneticPr fontId="11" type="noConversion"/>
  </si>
  <si>
    <t>21040,63120,31560,1</t>
  </si>
  <si>
    <t>21040,63120,31560,1</t>
    <phoneticPr fontId="11" type="noConversion"/>
  </si>
  <si>
    <t>21040,63120,31560,10</t>
  </si>
  <si>
    <t>21040,63120,31560,10</t>
    <phoneticPr fontId="11" type="noConversion"/>
  </si>
  <si>
    <t>21080,63120,31560,10</t>
  </si>
  <si>
    <t>21080,63120,31560,10</t>
    <phoneticPr fontId="11" type="noConversion"/>
  </si>
  <si>
    <t>21080,63240,31620,1</t>
  </si>
  <si>
    <t>21080,63240,31620,1</t>
    <phoneticPr fontId="11" type="noConversion"/>
  </si>
  <si>
    <t>21080,63240,31620,10</t>
  </si>
  <si>
    <t>21080,63240,31620,10</t>
    <phoneticPr fontId="11" type="noConversion"/>
  </si>
  <si>
    <t>21120,63240,31620,1</t>
  </si>
  <si>
    <t>21120,63240,31620,1</t>
    <phoneticPr fontId="11" type="noConversion"/>
  </si>
  <si>
    <t>21120,63240,31620,10</t>
  </si>
  <si>
    <t>21120,63240,31620,10</t>
    <phoneticPr fontId="11" type="noConversion"/>
  </si>
  <si>
    <t>21120,63360,31680,1</t>
  </si>
  <si>
    <t>21120,63360,31680,1</t>
    <phoneticPr fontId="11" type="noConversion"/>
  </si>
  <si>
    <t>21120,63360,31680,10</t>
  </si>
  <si>
    <t>21120,63360,31680,10</t>
    <phoneticPr fontId="11" type="noConversion"/>
  </si>
  <si>
    <t>21160,63360,31680,10</t>
  </si>
  <si>
    <t>21160,63360,31680,10</t>
    <phoneticPr fontId="11" type="noConversion"/>
  </si>
  <si>
    <t>21160,63480,31740,1</t>
  </si>
  <si>
    <t>21160,63480,31740,1</t>
    <phoneticPr fontId="11" type="noConversion"/>
  </si>
  <si>
    <t>21160,63480,31740,10</t>
  </si>
  <si>
    <t>21160,63480,31740,10</t>
    <phoneticPr fontId="11" type="noConversion"/>
  </si>
  <si>
    <t>21200,63480,31740,1</t>
  </si>
  <si>
    <t>21200,63480,31740,1</t>
    <phoneticPr fontId="11" type="noConversion"/>
  </si>
  <si>
    <t>21200,63480,31740,10</t>
  </si>
  <si>
    <t>21200,63480,31740,10</t>
    <phoneticPr fontId="11" type="noConversion"/>
  </si>
  <si>
    <t>21200,63600,31800,1</t>
  </si>
  <si>
    <t>21200,63600,31800,1</t>
    <phoneticPr fontId="11" type="noConversion"/>
  </si>
  <si>
    <t>21200,63600,31800,10</t>
  </si>
  <si>
    <t>21200,63600,31800,10</t>
    <phoneticPr fontId="11" type="noConversion"/>
  </si>
  <si>
    <t>21240,63600,31800,10</t>
  </si>
  <si>
    <t>21240,63600,31800,10</t>
    <phoneticPr fontId="11" type="noConversion"/>
  </si>
  <si>
    <t>21240,63720,31860,1</t>
  </si>
  <si>
    <t>21240,63720,31860,1</t>
    <phoneticPr fontId="11" type="noConversion"/>
  </si>
  <si>
    <t>21240,63720,31860,10</t>
  </si>
  <si>
    <t>21240,63720,31860,10</t>
    <phoneticPr fontId="11" type="noConversion"/>
  </si>
  <si>
    <t>21280,63720,31860,1</t>
  </si>
  <si>
    <t>21280,63720,31860,1</t>
    <phoneticPr fontId="11" type="noConversion"/>
  </si>
  <si>
    <t>21280,63720,31860,10</t>
  </si>
  <si>
    <t>21280,63720,31860,10</t>
    <phoneticPr fontId="11" type="noConversion"/>
  </si>
  <si>
    <t>21280,63840,31920,1</t>
  </si>
  <si>
    <t>21280,63840,31920,1</t>
    <phoneticPr fontId="11" type="noConversion"/>
  </si>
  <si>
    <t>21280,63840,31920,10</t>
  </si>
  <si>
    <t>21280,63840,31920,10</t>
    <phoneticPr fontId="11" type="noConversion"/>
  </si>
  <si>
    <t>21320,63840,31920,10</t>
  </si>
  <si>
    <t>21320,63840,31920,10</t>
    <phoneticPr fontId="11" type="noConversion"/>
  </si>
  <si>
    <t>21320,63960,31980,1</t>
  </si>
  <si>
    <t>21320,63960,31980,1</t>
    <phoneticPr fontId="11" type="noConversion"/>
  </si>
  <si>
    <t>21320,63960,31980,10</t>
  </si>
  <si>
    <t>21320,63960,31980,10</t>
    <phoneticPr fontId="11" type="noConversion"/>
  </si>
  <si>
    <t>21360,63960,31980,1</t>
  </si>
  <si>
    <t>21360,63960,31980,1</t>
    <phoneticPr fontId="11" type="noConversion"/>
  </si>
  <si>
    <t>21360,63960,31980,10</t>
  </si>
  <si>
    <t>21360,63960,31980,10</t>
    <phoneticPr fontId="11" type="noConversion"/>
  </si>
  <si>
    <t>21360,64080,32040,1</t>
  </si>
  <si>
    <t>21360,64080,32040,1</t>
    <phoneticPr fontId="11" type="noConversion"/>
  </si>
  <si>
    <t>21360,64080,32040,10</t>
  </si>
  <si>
    <t>21360,64080,32040,10</t>
    <phoneticPr fontId="11" type="noConversion"/>
  </si>
  <si>
    <t>21400,64080,32040,10</t>
  </si>
  <si>
    <t>21400,64080,32040,10</t>
    <phoneticPr fontId="11" type="noConversion"/>
  </si>
  <si>
    <t>21400,64200,32100,1</t>
  </si>
  <si>
    <t>21400,64200,32100,1</t>
    <phoneticPr fontId="11" type="noConversion"/>
  </si>
  <si>
    <t>21400,64200,32100,10</t>
  </si>
  <si>
    <t>21400,64200,32100,10</t>
    <phoneticPr fontId="11" type="noConversion"/>
  </si>
  <si>
    <t>21440,64200,32100,1</t>
  </si>
  <si>
    <t>21440,64200,32100,1</t>
    <phoneticPr fontId="11" type="noConversion"/>
  </si>
  <si>
    <t>21440,64200,32100,10</t>
  </si>
  <si>
    <t>21440,64200,32100,10</t>
    <phoneticPr fontId="11" type="noConversion"/>
  </si>
  <si>
    <t>21440,64320,32160,1</t>
  </si>
  <si>
    <t>21440,64320,32160,1</t>
    <phoneticPr fontId="11" type="noConversion"/>
  </si>
  <si>
    <t>21440,64320,32160,10</t>
  </si>
  <si>
    <t>21440,64320,32160,10</t>
    <phoneticPr fontId="11" type="noConversion"/>
  </si>
  <si>
    <t>21480,64320,32160,10</t>
  </si>
  <si>
    <t>21480,64320,32160,10</t>
    <phoneticPr fontId="11" type="noConversion"/>
  </si>
  <si>
    <t>21480,64440,32220,1</t>
  </si>
  <si>
    <t>21480,64440,32220,1</t>
    <phoneticPr fontId="11" type="noConversion"/>
  </si>
  <si>
    <t>21480,64440,32220,10</t>
  </si>
  <si>
    <t>21480,64440,32220,10</t>
    <phoneticPr fontId="11" type="noConversion"/>
  </si>
  <si>
    <t>21520,64440,32220,1</t>
  </si>
  <si>
    <t>21520,64440,32220,1</t>
    <phoneticPr fontId="11" type="noConversion"/>
  </si>
  <si>
    <t>21520,64440,32220,10</t>
  </si>
  <si>
    <t>21520,64440,32220,10</t>
    <phoneticPr fontId="11" type="noConversion"/>
  </si>
  <si>
    <t>21520,64560,32280,1</t>
  </si>
  <si>
    <t>21520,64560,32280,1</t>
    <phoneticPr fontId="11" type="noConversion"/>
  </si>
  <si>
    <t>21520,64560,32280,10</t>
  </si>
  <si>
    <t>21520,64560,32280,10</t>
    <phoneticPr fontId="11" type="noConversion"/>
  </si>
  <si>
    <t>21560,64560,32280,10</t>
  </si>
  <si>
    <t>21560,64560,32280,10</t>
    <phoneticPr fontId="11" type="noConversion"/>
  </si>
  <si>
    <t>21560,64680,32340,1</t>
  </si>
  <si>
    <t>21560,64680,32340,1</t>
    <phoneticPr fontId="11" type="noConversion"/>
  </si>
  <si>
    <t>21560,64680,32340,10</t>
  </si>
  <si>
    <t>21560,64680,32340,10</t>
    <phoneticPr fontId="11" type="noConversion"/>
  </si>
  <si>
    <t>21600,64680,32340,1</t>
  </si>
  <si>
    <t>21600,64680,32340,1</t>
    <phoneticPr fontId="11" type="noConversion"/>
  </si>
  <si>
    <t>21600,64680,32340,10</t>
  </si>
  <si>
    <t>21600,64680,32340,10</t>
    <phoneticPr fontId="11" type="noConversion"/>
  </si>
  <si>
    <t>21600,64800,32400,1</t>
  </si>
  <si>
    <t>21600,64800,32400,1</t>
    <phoneticPr fontId="11" type="noConversion"/>
  </si>
  <si>
    <t>21600,64800,32400,10</t>
  </si>
  <si>
    <t>21600,64800,32400,10</t>
    <phoneticPr fontId="11" type="noConversion"/>
  </si>
  <si>
    <t>21640,64800,32400,10</t>
  </si>
  <si>
    <t>21640,64800,32400,10</t>
    <phoneticPr fontId="11" type="noConversion"/>
  </si>
  <si>
    <t>21640,64920,32460,1</t>
  </si>
  <si>
    <t>21640,64920,32460,1</t>
    <phoneticPr fontId="11" type="noConversion"/>
  </si>
  <si>
    <t>21640,64920,32460,10</t>
  </si>
  <si>
    <t>21640,64920,32460,10</t>
    <phoneticPr fontId="11" type="noConversion"/>
  </si>
  <si>
    <t>21680,64920,32460,1</t>
  </si>
  <si>
    <t>21680,64920,32460,1</t>
    <phoneticPr fontId="11" type="noConversion"/>
  </si>
  <si>
    <t>21680,64920,32460,10</t>
  </si>
  <si>
    <t>21680,64920,32460,10</t>
    <phoneticPr fontId="11" type="noConversion"/>
  </si>
  <si>
    <t>21680,65040,32520,1</t>
  </si>
  <si>
    <t>21680,65040,32520,1</t>
    <phoneticPr fontId="11" type="noConversion"/>
  </si>
  <si>
    <t>21680,65040,32520,10</t>
  </si>
  <si>
    <t>21680,65040,32520,10</t>
    <phoneticPr fontId="11" type="noConversion"/>
  </si>
  <si>
    <t>21720,65040,32520,10</t>
  </si>
  <si>
    <t>21720,65040,32520,10</t>
    <phoneticPr fontId="11" type="noConversion"/>
  </si>
  <si>
    <t>21720,65160,32580,1</t>
  </si>
  <si>
    <t>21720,65160,32580,1</t>
    <phoneticPr fontId="11" type="noConversion"/>
  </si>
  <si>
    <t>21720,65160,32580,10</t>
  </si>
  <si>
    <t>21720,65160,32580,10</t>
    <phoneticPr fontId="11" type="noConversion"/>
  </si>
  <si>
    <t>21760,65160,32580,1</t>
  </si>
  <si>
    <t>21760,65160,32580,1</t>
    <phoneticPr fontId="11" type="noConversion"/>
  </si>
  <si>
    <t>21760,65160,32580,10</t>
  </si>
  <si>
    <t>21760,65160,32580,10</t>
    <phoneticPr fontId="11" type="noConversion"/>
  </si>
  <si>
    <t>21760,65280,32640,1</t>
  </si>
  <si>
    <t>21760,65280,32640,1</t>
    <phoneticPr fontId="11" type="noConversion"/>
  </si>
  <si>
    <t>21760,65280,32640,10</t>
  </si>
  <si>
    <t>21760,65280,32640,10</t>
    <phoneticPr fontId="11" type="noConversion"/>
  </si>
  <si>
    <t>21800,65280,32640,10</t>
  </si>
  <si>
    <t>21800,65280,32640,10</t>
    <phoneticPr fontId="11" type="noConversion"/>
  </si>
  <si>
    <t>21800,65400,32700,1</t>
  </si>
  <si>
    <t>21800,65400,32700,1</t>
    <phoneticPr fontId="11" type="noConversion"/>
  </si>
  <si>
    <t>21800,65400,32700,10</t>
  </si>
  <si>
    <t>21800,65400,32700,10</t>
    <phoneticPr fontId="11" type="noConversion"/>
  </si>
  <si>
    <t>21840,65400,32700,1</t>
  </si>
  <si>
    <t>21840,65400,32700,1</t>
    <phoneticPr fontId="11" type="noConversion"/>
  </si>
  <si>
    <t>21840,65400,32700,10</t>
  </si>
  <si>
    <t>21840,65400,32700,10</t>
    <phoneticPr fontId="11" type="noConversion"/>
  </si>
  <si>
    <t>21840,65520,32760,1</t>
  </si>
  <si>
    <t>21840,65520,32760,1</t>
    <phoneticPr fontId="11" type="noConversion"/>
  </si>
  <si>
    <t>21840,65520,32760,10</t>
  </si>
  <si>
    <t>21840,65520,32760,10</t>
    <phoneticPr fontId="11" type="noConversion"/>
  </si>
  <si>
    <t>21880,65520,32760,10</t>
  </si>
  <si>
    <t>21880,65520,32760,10</t>
    <phoneticPr fontId="11" type="noConversion"/>
  </si>
  <si>
    <t>21880,65640,32820,1</t>
  </si>
  <si>
    <t>21880,65640,32820,1</t>
    <phoneticPr fontId="11" type="noConversion"/>
  </si>
  <si>
    <t>21880,65640,32820,10</t>
  </si>
  <si>
    <t>21880,65640,32820,10</t>
    <phoneticPr fontId="11" type="noConversion"/>
  </si>
  <si>
    <t>21920,65640,32820,1</t>
  </si>
  <si>
    <t>21920,65640,32820,1</t>
    <phoneticPr fontId="11" type="noConversion"/>
  </si>
  <si>
    <t>21920,65640,32820,10</t>
  </si>
  <si>
    <t>21920,65640,32820,10</t>
    <phoneticPr fontId="11" type="noConversion"/>
  </si>
  <si>
    <t>21920,65760,32880,1</t>
  </si>
  <si>
    <t>21920,65760,32880,1</t>
    <phoneticPr fontId="11" type="noConversion"/>
  </si>
  <si>
    <t>21920,65760,32880,10</t>
  </si>
  <si>
    <t>21920,65760,32880,10</t>
    <phoneticPr fontId="11" type="noConversion"/>
  </si>
  <si>
    <t>21960,65760,32880,10</t>
  </si>
  <si>
    <t>21960,65760,32880,10</t>
    <phoneticPr fontId="11" type="noConversion"/>
  </si>
  <si>
    <t>21960,65880,32940,1</t>
  </si>
  <si>
    <t>21960,65880,32940,1</t>
    <phoneticPr fontId="11" type="noConversion"/>
  </si>
  <si>
    <t>21960,65880,32940,10</t>
  </si>
  <si>
    <t>21960,65880,32940,10</t>
    <phoneticPr fontId="11" type="noConversion"/>
  </si>
  <si>
    <t>22000,65880,32940,1</t>
  </si>
  <si>
    <t>22000,65880,32940,1</t>
    <phoneticPr fontId="11" type="noConversion"/>
  </si>
  <si>
    <t>22000,65880,32940,10</t>
  </si>
  <si>
    <t>22000,65880,32940,10</t>
    <phoneticPr fontId="11" type="noConversion"/>
  </si>
  <si>
    <t>22000,66000,33000,1</t>
  </si>
  <si>
    <t>22000,66000,33000,1</t>
    <phoneticPr fontId="11" type="noConversion"/>
  </si>
  <si>
    <t>22000,66000,33000,10</t>
  </si>
  <si>
    <t>22000,66000,33000,10</t>
    <phoneticPr fontId="11" type="noConversion"/>
  </si>
  <si>
    <t>22040,66000,33000,10</t>
  </si>
  <si>
    <t>22040,66000,33000,10</t>
    <phoneticPr fontId="11" type="noConversion"/>
  </si>
  <si>
    <t>22040,66120,33060,1</t>
  </si>
  <si>
    <t>22040,66120,33060,1</t>
    <phoneticPr fontId="11" type="noConversion"/>
  </si>
  <si>
    <t>22040,66120,33060,10</t>
  </si>
  <si>
    <t>22040,66120,33060,10</t>
    <phoneticPr fontId="11" type="noConversion"/>
  </si>
  <si>
    <t>22080,66120,33060,1</t>
  </si>
  <si>
    <t>22080,66120,33060,1</t>
    <phoneticPr fontId="11" type="noConversion"/>
  </si>
  <si>
    <t>22080,66120,33060,10</t>
  </si>
  <si>
    <t>22080,66120,33060,10</t>
    <phoneticPr fontId="11" type="noConversion"/>
  </si>
  <si>
    <t>22080,66240,33120,1</t>
  </si>
  <si>
    <t>22080,66240,33120,1</t>
    <phoneticPr fontId="11" type="noConversion"/>
  </si>
  <si>
    <t>22080,66240,33120,10</t>
  </si>
  <si>
    <t>22080,66240,33120,10</t>
    <phoneticPr fontId="11" type="noConversion"/>
  </si>
  <si>
    <t>22120,66240,33120,10</t>
  </si>
  <si>
    <t>22120,66240,33120,10</t>
    <phoneticPr fontId="11" type="noConversion"/>
  </si>
  <si>
    <t>22120,66360,33180,1</t>
  </si>
  <si>
    <t>22120,66360,33180,1</t>
    <phoneticPr fontId="11" type="noConversion"/>
  </si>
  <si>
    <t>22120,66360,33180,10</t>
  </si>
  <si>
    <t>22120,66360,33180,10</t>
    <phoneticPr fontId="11" type="noConversion"/>
  </si>
  <si>
    <t>22160,66360,33180,1</t>
  </si>
  <si>
    <t>22160,66360,33180,1</t>
    <phoneticPr fontId="11" type="noConversion"/>
  </si>
  <si>
    <t>22160,66360,33180,10</t>
  </si>
  <si>
    <t>22160,66360,33180,10</t>
    <phoneticPr fontId="11" type="noConversion"/>
  </si>
  <si>
    <t>22160,66480,33240,1</t>
  </si>
  <si>
    <t>22160,66480,33240,1</t>
    <phoneticPr fontId="11" type="noConversion"/>
  </si>
  <si>
    <t>22160,66480,33240,10</t>
  </si>
  <si>
    <t>22160,66480,33240,10</t>
    <phoneticPr fontId="11" type="noConversion"/>
  </si>
  <si>
    <t>22200,66480,33240,10</t>
  </si>
  <si>
    <t>22200,66480,33240,10</t>
    <phoneticPr fontId="11" type="noConversion"/>
  </si>
  <si>
    <t>22200,66600,33300,1</t>
  </si>
  <si>
    <t>22200,66600,33300,1</t>
    <phoneticPr fontId="11" type="noConversion"/>
  </si>
  <si>
    <t>22200,66600,33300,10</t>
  </si>
  <si>
    <t>22200,66600,33300,10</t>
    <phoneticPr fontId="11" type="noConversion"/>
  </si>
  <si>
    <t>22240,66600,33300,1</t>
  </si>
  <si>
    <t>22240,66600,33300,1</t>
    <phoneticPr fontId="11" type="noConversion"/>
  </si>
  <si>
    <t>22240,66600,33300,10</t>
  </si>
  <si>
    <t>22240,66600,33300,10</t>
    <phoneticPr fontId="11" type="noConversion"/>
  </si>
  <si>
    <t>22240,66720,33360,1</t>
  </si>
  <si>
    <t>22240,66720,33360,1</t>
    <phoneticPr fontId="11" type="noConversion"/>
  </si>
  <si>
    <t>22240,66720,33360,10</t>
  </si>
  <si>
    <t>22240,66720,33360,10</t>
    <phoneticPr fontId="11" type="noConversion"/>
  </si>
  <si>
    <t>22280,66720,33360,10</t>
  </si>
  <si>
    <t>22280,66720,33360,10</t>
    <phoneticPr fontId="11" type="noConversion"/>
  </si>
  <si>
    <t>22280,66840,33420,1</t>
  </si>
  <si>
    <t>22280,66840,33420,1</t>
    <phoneticPr fontId="11" type="noConversion"/>
  </si>
  <si>
    <t>22280,66840,33420,10</t>
  </si>
  <si>
    <t>22280,66840,33420,10</t>
    <phoneticPr fontId="11" type="noConversion"/>
  </si>
  <si>
    <t>22320,66840,33420,1</t>
  </si>
  <si>
    <t>22320,66840,33420,1</t>
    <phoneticPr fontId="11" type="noConversion"/>
  </si>
  <si>
    <t>22320,66840,33420,10</t>
  </si>
  <si>
    <t>22320,66840,33420,10</t>
    <phoneticPr fontId="11" type="noConversion"/>
  </si>
  <si>
    <t>22320,66960,33480,1</t>
  </si>
  <si>
    <t>22320,66960,33480,1</t>
    <phoneticPr fontId="11" type="noConversion"/>
  </si>
  <si>
    <t>22320,66960,33480,10</t>
  </si>
  <si>
    <t>22320,66960,33480,10</t>
    <phoneticPr fontId="11" type="noConversion"/>
  </si>
  <si>
    <t>22360,66960,33480,10</t>
  </si>
  <si>
    <t>22360,66960,33480,10</t>
    <phoneticPr fontId="11" type="noConversion"/>
  </si>
  <si>
    <t>22360,67080,33540,1</t>
  </si>
  <si>
    <t>22360,67080,33540,1</t>
    <phoneticPr fontId="11" type="noConversion"/>
  </si>
  <si>
    <t>22360,67080,33540,10</t>
  </si>
  <si>
    <t>22360,67080,33540,10</t>
    <phoneticPr fontId="11" type="noConversion"/>
  </si>
  <si>
    <t>22400,67080,33540,1</t>
  </si>
  <si>
    <t>22400,67080,33540,1</t>
    <phoneticPr fontId="11" type="noConversion"/>
  </si>
  <si>
    <t>22400,67080,33540,10</t>
  </si>
  <si>
    <t>22400,67080,33540,10</t>
    <phoneticPr fontId="11" type="noConversion"/>
  </si>
  <si>
    <t>22400,67200,33600,1</t>
  </si>
  <si>
    <t>22400,67200,33600,1</t>
    <phoneticPr fontId="11" type="noConversion"/>
  </si>
  <si>
    <t>22400,67200,33600,10</t>
  </si>
  <si>
    <t>22400,67200,33600,10</t>
    <phoneticPr fontId="11" type="noConversion"/>
  </si>
  <si>
    <t>22440,67200,33600,10</t>
  </si>
  <si>
    <t>22440,67200,33600,10</t>
    <phoneticPr fontId="11" type="noConversion"/>
  </si>
  <si>
    <t>22440,67320,33660,1</t>
  </si>
  <si>
    <t>22440,67320,33660,1</t>
    <phoneticPr fontId="11" type="noConversion"/>
  </si>
  <si>
    <t>22440,67320,33660,10</t>
  </si>
  <si>
    <t>22440,67320,33660,10</t>
    <phoneticPr fontId="11" type="noConversion"/>
  </si>
  <si>
    <t>22480,67320,33660,1</t>
  </si>
  <si>
    <t>22480,67320,33660,1</t>
    <phoneticPr fontId="11" type="noConversion"/>
  </si>
  <si>
    <t>22480,67320,33660,10</t>
  </si>
  <si>
    <t>22480,67320,33660,10</t>
    <phoneticPr fontId="11" type="noConversion"/>
  </si>
  <si>
    <t>22480,67440,33720,1</t>
  </si>
  <si>
    <t>22480,67440,33720,1</t>
    <phoneticPr fontId="11" type="noConversion"/>
  </si>
  <si>
    <t>22480,67440,33720,10</t>
  </si>
  <si>
    <t>22480,67440,33720,10</t>
    <phoneticPr fontId="11" type="noConversion"/>
  </si>
  <si>
    <t>22520,67440,33720,10</t>
  </si>
  <si>
    <t>22520,67440,33720,10</t>
    <phoneticPr fontId="11" type="noConversion"/>
  </si>
  <si>
    <t>22520,67560,33780,1</t>
  </si>
  <si>
    <t>22520,67560,33780,1</t>
    <phoneticPr fontId="11" type="noConversion"/>
  </si>
  <si>
    <t>22520,67560,33780,10</t>
  </si>
  <si>
    <t>22520,67560,33780,10</t>
    <phoneticPr fontId="11" type="noConversion"/>
  </si>
  <si>
    <t>22560,67560,33780,1</t>
  </si>
  <si>
    <t>22560,67560,33780,1</t>
    <phoneticPr fontId="11" type="noConversion"/>
  </si>
  <si>
    <t>22560,67560,33780,10</t>
  </si>
  <si>
    <t>22560,67560,33780,10</t>
    <phoneticPr fontId="11" type="noConversion"/>
  </si>
  <si>
    <t>22560,67680,33840,1</t>
  </si>
  <si>
    <t>22560,67680,33840,1</t>
    <phoneticPr fontId="11" type="noConversion"/>
  </si>
  <si>
    <t>22560,67680,33840,10</t>
  </si>
  <si>
    <t>22560,67680,33840,10</t>
    <phoneticPr fontId="11" type="noConversion"/>
  </si>
  <si>
    <t>22600,67680,33840,10</t>
  </si>
  <si>
    <t>22600,67680,33840,10</t>
    <phoneticPr fontId="11" type="noConversion"/>
  </si>
  <si>
    <t>22600,67800,33900,1</t>
  </si>
  <si>
    <t>22600,67800,33900,1</t>
    <phoneticPr fontId="11" type="noConversion"/>
  </si>
  <si>
    <t>22600,67800,33900,10</t>
  </si>
  <si>
    <t>22600,67800,33900,10</t>
    <phoneticPr fontId="11" type="noConversion"/>
  </si>
  <si>
    <t>22640,67800,33900,1</t>
  </si>
  <si>
    <t>22640,67800,33900,1</t>
    <phoneticPr fontId="11" type="noConversion"/>
  </si>
  <si>
    <t>22640,67800,33900,10</t>
  </si>
  <si>
    <t>22640,67800,33900,10</t>
    <phoneticPr fontId="11" type="noConversion"/>
  </si>
  <si>
    <t>22640,67920,33960,1</t>
  </si>
  <si>
    <t>22640,67920,33960,1</t>
    <phoneticPr fontId="11" type="noConversion"/>
  </si>
  <si>
    <t>22640,67920,33960,10</t>
  </si>
  <si>
    <t>22640,67920,33960,10</t>
    <phoneticPr fontId="11" type="noConversion"/>
  </si>
  <si>
    <t>22680,67920,33960,10</t>
  </si>
  <si>
    <t>22680,67920,33960,10</t>
    <phoneticPr fontId="11" type="noConversion"/>
  </si>
  <si>
    <t>22680,68040,34020,1</t>
  </si>
  <si>
    <t>22680,68040,34020,1</t>
    <phoneticPr fontId="11" type="noConversion"/>
  </si>
  <si>
    <t>22680,68040,34020,10</t>
  </si>
  <si>
    <t>22680,68040,34020,10</t>
    <phoneticPr fontId="11" type="noConversion"/>
  </si>
  <si>
    <t>22720,68040,34020,1</t>
  </si>
  <si>
    <t>22720,68040,34020,1</t>
    <phoneticPr fontId="11" type="noConversion"/>
  </si>
  <si>
    <t>22720,68040,34020,10</t>
  </si>
  <si>
    <t>22720,68040,34020,10</t>
    <phoneticPr fontId="11" type="noConversion"/>
  </si>
  <si>
    <t>22720,68160,34080,1</t>
  </si>
  <si>
    <t>22720,68160,34080,1</t>
    <phoneticPr fontId="11" type="noConversion"/>
  </si>
  <si>
    <t>22720,68160,34080,10</t>
  </si>
  <si>
    <t>22720,68160,34080,10</t>
    <phoneticPr fontId="11" type="noConversion"/>
  </si>
  <si>
    <t>22760,68160,34080,10</t>
  </si>
  <si>
    <t>22760,68160,34080,10</t>
    <phoneticPr fontId="11" type="noConversion"/>
  </si>
  <si>
    <t>22760,68280,34140,1</t>
  </si>
  <si>
    <t>22760,68280,34140,1</t>
    <phoneticPr fontId="11" type="noConversion"/>
  </si>
  <si>
    <t>22760,68280,34140,10</t>
  </si>
  <si>
    <t>22760,68280,34140,10</t>
    <phoneticPr fontId="11" type="noConversion"/>
  </si>
  <si>
    <t>22800,68280,34140,1</t>
  </si>
  <si>
    <t>22800,68280,34140,1</t>
    <phoneticPr fontId="11" type="noConversion"/>
  </si>
  <si>
    <t>22800,68280,34140,10</t>
  </si>
  <si>
    <t>22800,68280,34140,10</t>
    <phoneticPr fontId="11" type="noConversion"/>
  </si>
  <si>
    <t>22800,68400,34200,1</t>
  </si>
  <si>
    <t>22800,68400,34200,1</t>
    <phoneticPr fontId="11" type="noConversion"/>
  </si>
  <si>
    <t>22800,68400,34200,10</t>
  </si>
  <si>
    <t>22800,68400,34200,10</t>
    <phoneticPr fontId="11" type="noConversion"/>
  </si>
  <si>
    <t>22840,68400,34200,10</t>
  </si>
  <si>
    <t>22840,68400,34200,10</t>
    <phoneticPr fontId="11" type="noConversion"/>
  </si>
  <si>
    <t>22840,68520,34260,1</t>
  </si>
  <si>
    <t>22840,68520,34260,1</t>
    <phoneticPr fontId="11" type="noConversion"/>
  </si>
  <si>
    <t>22840,68520,34260,10</t>
  </si>
  <si>
    <t>22840,68520,34260,10</t>
    <phoneticPr fontId="11" type="noConversion"/>
  </si>
  <si>
    <t>22880,68520,34260,1</t>
  </si>
  <si>
    <t>22880,68520,34260,1</t>
    <phoneticPr fontId="11" type="noConversion"/>
  </si>
  <si>
    <t>22880,68520,34260,10</t>
  </si>
  <si>
    <t>22880,68520,34260,10</t>
    <phoneticPr fontId="11" type="noConversion"/>
  </si>
  <si>
    <t>22880,68640,34320,1</t>
  </si>
  <si>
    <t>22880,68640,34320,1</t>
    <phoneticPr fontId="11" type="noConversion"/>
  </si>
  <si>
    <t>22880,68640,34320,10</t>
  </si>
  <si>
    <t>22880,68640,34320,10</t>
    <phoneticPr fontId="11" type="noConversion"/>
  </si>
  <si>
    <t>22920,68640,34320,10</t>
  </si>
  <si>
    <t>22920,68640,34320,10</t>
    <phoneticPr fontId="11" type="noConversion"/>
  </si>
  <si>
    <t>22920,68760,34380,1</t>
  </si>
  <si>
    <t>22920,68760,34380,1</t>
    <phoneticPr fontId="11" type="noConversion"/>
  </si>
  <si>
    <t>22920,68760,34380,10</t>
  </si>
  <si>
    <t>22920,68760,34380,10</t>
    <phoneticPr fontId="11" type="noConversion"/>
  </si>
  <si>
    <t>22960,68760,34380,1</t>
  </si>
  <si>
    <t>22960,68760,34380,1</t>
    <phoneticPr fontId="11" type="noConversion"/>
  </si>
  <si>
    <t>22960,68760,34380,10</t>
  </si>
  <si>
    <t>22960,68760,34380,10</t>
    <phoneticPr fontId="11" type="noConversion"/>
  </si>
  <si>
    <t>22960,68880,34440,1</t>
  </si>
  <si>
    <t>22960,68880,34440,1</t>
    <phoneticPr fontId="11" type="noConversion"/>
  </si>
  <si>
    <t>22960,68880,34440,10</t>
  </si>
  <si>
    <t>22960,68880,34440,10</t>
    <phoneticPr fontId="11" type="noConversion"/>
  </si>
  <si>
    <t>23000,68880,34440,10</t>
  </si>
  <si>
    <t>23000,68880,34440,10</t>
    <phoneticPr fontId="11" type="noConversion"/>
  </si>
  <si>
    <t>23000,69000,34500,1</t>
  </si>
  <si>
    <t>23000,69000,34500,1</t>
    <phoneticPr fontId="11" type="noConversion"/>
  </si>
  <si>
    <t>23000,69000,34500,10</t>
  </si>
  <si>
    <t>23000,69000,34500,10</t>
    <phoneticPr fontId="11" type="noConversion"/>
  </si>
  <si>
    <t>23040,69000,34500,1</t>
  </si>
  <si>
    <t>23040,69000,34500,1</t>
    <phoneticPr fontId="11" type="noConversion"/>
  </si>
  <si>
    <t>23040,69000,34500,10</t>
  </si>
  <si>
    <t>23040,69000,34500,10</t>
    <phoneticPr fontId="11" type="noConversion"/>
  </si>
  <si>
    <t>23040,69120,34560,1</t>
  </si>
  <si>
    <t>23040,69120,34560,1</t>
    <phoneticPr fontId="11" type="noConversion"/>
  </si>
  <si>
    <t>23040,69120,34560,10</t>
  </si>
  <si>
    <t>23040,69120,34560,10</t>
    <phoneticPr fontId="11" type="noConversion"/>
  </si>
  <si>
    <t>23080,69120,34560,10</t>
  </si>
  <si>
    <t>23080,69120,34560,10</t>
    <phoneticPr fontId="11" type="noConversion"/>
  </si>
  <si>
    <t>23080,69240,34620,1</t>
  </si>
  <si>
    <t>23080,69240,34620,1</t>
    <phoneticPr fontId="11" type="noConversion"/>
  </si>
  <si>
    <t>23080,69240,34620,10</t>
  </si>
  <si>
    <t>23080,69240,34620,10</t>
    <phoneticPr fontId="11" type="noConversion"/>
  </si>
  <si>
    <t>23120,69240,34620,1</t>
  </si>
  <si>
    <t>23120,69240,34620,1</t>
    <phoneticPr fontId="11" type="noConversion"/>
  </si>
  <si>
    <t>23120,69240,34620,10</t>
  </si>
  <si>
    <t>23120,69240,34620,10</t>
    <phoneticPr fontId="11" type="noConversion"/>
  </si>
  <si>
    <t>23120,69360,34680,1</t>
  </si>
  <si>
    <t>23120,69360,34680,1</t>
    <phoneticPr fontId="11" type="noConversion"/>
  </si>
  <si>
    <t>23120,69360,34680,10</t>
  </si>
  <si>
    <t>23120,69360,34680,10</t>
    <phoneticPr fontId="11" type="noConversion"/>
  </si>
  <si>
    <t>23160,69360,34680,10</t>
  </si>
  <si>
    <t>23160,69360,34680,10</t>
    <phoneticPr fontId="11" type="noConversion"/>
  </si>
  <si>
    <t>23160,69480,34740,1</t>
  </si>
  <si>
    <t>23160,69480,34740,1</t>
    <phoneticPr fontId="11" type="noConversion"/>
  </si>
  <si>
    <t>23160,69480,34740,10</t>
  </si>
  <si>
    <t>23160,69480,34740,10</t>
    <phoneticPr fontId="11" type="noConversion"/>
  </si>
  <si>
    <t>23200,69480,34740,1</t>
  </si>
  <si>
    <t>23200,69480,34740,1</t>
    <phoneticPr fontId="11" type="noConversion"/>
  </si>
  <si>
    <t>23200,69480,34740,10</t>
  </si>
  <si>
    <t>23200,69480,34740,10</t>
    <phoneticPr fontId="11" type="noConversion"/>
  </si>
  <si>
    <t>23200,69600,34800,1</t>
  </si>
  <si>
    <t>23200,69600,34800,1</t>
    <phoneticPr fontId="11" type="noConversion"/>
  </si>
  <si>
    <t>23200,69600,34800,10</t>
  </si>
  <si>
    <t>23200,69600,34800,10</t>
    <phoneticPr fontId="11" type="noConversion"/>
  </si>
  <si>
    <t>23240,69600,34800,10</t>
  </si>
  <si>
    <t>23240,69600,34800,10</t>
    <phoneticPr fontId="11" type="noConversion"/>
  </si>
  <si>
    <t>23240,69720,34860,1</t>
  </si>
  <si>
    <t>23240,69720,34860,1</t>
    <phoneticPr fontId="11" type="noConversion"/>
  </si>
  <si>
    <t>23240,69720,34860,10</t>
  </si>
  <si>
    <t>23240,69720,34860,10</t>
    <phoneticPr fontId="11" type="noConversion"/>
  </si>
  <si>
    <t>23280,69720,34860,1</t>
  </si>
  <si>
    <t>23280,69720,34860,1</t>
    <phoneticPr fontId="11" type="noConversion"/>
  </si>
  <si>
    <t>23280,69720,34860,10</t>
  </si>
  <si>
    <t>23280,69720,34860,10</t>
    <phoneticPr fontId="11" type="noConversion"/>
  </si>
  <si>
    <t>23280,69840,34920,1</t>
  </si>
  <si>
    <t>23280,69840,34920,1</t>
    <phoneticPr fontId="11" type="noConversion"/>
  </si>
  <si>
    <t>23280,69840,34920,10</t>
  </si>
  <si>
    <t>23280,69840,34920,10</t>
    <phoneticPr fontId="11" type="noConversion"/>
  </si>
  <si>
    <t>23320,69840,34920,10</t>
  </si>
  <si>
    <t>23320,69840,34920,10</t>
    <phoneticPr fontId="11" type="noConversion"/>
  </si>
  <si>
    <t>23320,69960,34980,1</t>
  </si>
  <si>
    <t>23320,69960,34980,1</t>
    <phoneticPr fontId="11" type="noConversion"/>
  </si>
  <si>
    <t>23320,69960,34980,10</t>
  </si>
  <si>
    <t>23320,69960,34980,10</t>
    <phoneticPr fontId="11" type="noConversion"/>
  </si>
  <si>
    <t>23360,69960,34980,1</t>
  </si>
  <si>
    <t>23360,69960,34980,1</t>
    <phoneticPr fontId="11" type="noConversion"/>
  </si>
  <si>
    <t>23360,69960,34980,10</t>
  </si>
  <si>
    <t>23360,69960,34980,10</t>
    <phoneticPr fontId="11" type="noConversion"/>
  </si>
  <si>
    <t>23360,70080,35040,1</t>
  </si>
  <si>
    <t>23360,70080,35040,1</t>
    <phoneticPr fontId="11" type="noConversion"/>
  </si>
  <si>
    <t>23360,70080,35040,10</t>
  </si>
  <si>
    <t>23360,70080,35040,10</t>
    <phoneticPr fontId="11" type="noConversion"/>
  </si>
  <si>
    <t>23400,70080,35040,10</t>
  </si>
  <si>
    <t>23400,70080,35040,10</t>
    <phoneticPr fontId="11" type="noConversion"/>
  </si>
  <si>
    <t>23400,70200,35100,1</t>
  </si>
  <si>
    <t>23400,70200,35100,1</t>
    <phoneticPr fontId="11" type="noConversion"/>
  </si>
  <si>
    <t>23400,70200,35100,10</t>
  </si>
  <si>
    <t>23400,70200,35100,10</t>
    <phoneticPr fontId="11" type="noConversion"/>
  </si>
  <si>
    <t>23440,70200,35100,1</t>
  </si>
  <si>
    <t>23440,70200,35100,1</t>
    <phoneticPr fontId="11" type="noConversion"/>
  </si>
  <si>
    <t>23440,70200,35100,10</t>
  </si>
  <si>
    <t>23440,70200,35100,10</t>
    <phoneticPr fontId="11" type="noConversion"/>
  </si>
  <si>
    <t>23440,70320,35160,1</t>
  </si>
  <si>
    <t>23440,70320,35160,1</t>
    <phoneticPr fontId="11" type="noConversion"/>
  </si>
  <si>
    <t>23440,70320,35160,10</t>
  </si>
  <si>
    <t>23440,70320,35160,10</t>
    <phoneticPr fontId="11" type="noConversion"/>
  </si>
  <si>
    <t>23480,70320,35160,10</t>
  </si>
  <si>
    <t>23480,70320,35160,10</t>
    <phoneticPr fontId="11" type="noConversion"/>
  </si>
  <si>
    <t>23480,70440,35220,1</t>
  </si>
  <si>
    <t>23480,70440,35220,1</t>
    <phoneticPr fontId="11" type="noConversion"/>
  </si>
  <si>
    <t>23480,70440,35220,10</t>
  </si>
  <si>
    <t>23480,70440,35220,10</t>
    <phoneticPr fontId="11" type="noConversion"/>
  </si>
  <si>
    <t>23520,70440,35220,1</t>
  </si>
  <si>
    <t>23520,70440,35220,1</t>
    <phoneticPr fontId="11" type="noConversion"/>
  </si>
  <si>
    <t>23520,70440,35220,10</t>
  </si>
  <si>
    <t>23520,70440,35220,10</t>
    <phoneticPr fontId="11" type="noConversion"/>
  </si>
  <si>
    <t>23520,70560,35280,1</t>
  </si>
  <si>
    <t>23520,70560,35280,1</t>
    <phoneticPr fontId="11" type="noConversion"/>
  </si>
  <si>
    <t>23520,70560,35280,10</t>
  </si>
  <si>
    <t>23520,70560,35280,10</t>
    <phoneticPr fontId="11" type="noConversion"/>
  </si>
  <si>
    <t>23560,70560,35280,10</t>
  </si>
  <si>
    <t>23560,70560,35280,10</t>
    <phoneticPr fontId="11" type="noConversion"/>
  </si>
  <si>
    <t>23560,70680,35340,1</t>
  </si>
  <si>
    <t>23560,70680,35340,1</t>
    <phoneticPr fontId="11" type="noConversion"/>
  </si>
  <si>
    <t>23560,70680,35340,10</t>
  </si>
  <si>
    <t>23560,70680,35340,10</t>
    <phoneticPr fontId="11" type="noConversion"/>
  </si>
  <si>
    <t>23600,70680,35340,1</t>
  </si>
  <si>
    <t>23600,70680,35340,1</t>
    <phoneticPr fontId="11" type="noConversion"/>
  </si>
  <si>
    <t>23600,70680,35340,10</t>
  </si>
  <si>
    <t>23600,70680,35340,10</t>
    <phoneticPr fontId="11" type="noConversion"/>
  </si>
  <si>
    <t>23600,70800,35400,1</t>
  </si>
  <si>
    <t>23600,70800,35400,1</t>
    <phoneticPr fontId="11" type="noConversion"/>
  </si>
  <si>
    <t>23600,70800,35400,10</t>
  </si>
  <si>
    <t>23600,70800,35400,10</t>
    <phoneticPr fontId="11" type="noConversion"/>
  </si>
  <si>
    <t>23640,70800,35400,10</t>
  </si>
  <si>
    <t>23640,70800,35400,10</t>
    <phoneticPr fontId="11" type="noConversion"/>
  </si>
  <si>
    <t>23640,70920,35460,1</t>
  </si>
  <si>
    <t>23640,70920,35460,1</t>
    <phoneticPr fontId="11" type="noConversion"/>
  </si>
  <si>
    <t>23640,70920,35460,10</t>
  </si>
  <si>
    <t>23640,70920,35460,10</t>
    <phoneticPr fontId="11" type="noConversion"/>
  </si>
  <si>
    <t>23680,70920,35460,1</t>
  </si>
  <si>
    <t>23680,70920,35460,1</t>
    <phoneticPr fontId="11" type="noConversion"/>
  </si>
  <si>
    <t>23680,70920,35460,10</t>
  </si>
  <si>
    <t>23680,70920,35460,10</t>
    <phoneticPr fontId="11" type="noConversion"/>
  </si>
  <si>
    <t>23680,71040,35520,1</t>
  </si>
  <si>
    <t>23680,71040,35520,1</t>
    <phoneticPr fontId="11" type="noConversion"/>
  </si>
  <si>
    <t>23680,71040,35520,10</t>
  </si>
  <si>
    <t>23680,71040,35520,10</t>
    <phoneticPr fontId="11" type="noConversion"/>
  </si>
  <si>
    <t>23720,71040,35520,10</t>
  </si>
  <si>
    <t>23720,71040,35520,10</t>
    <phoneticPr fontId="11" type="noConversion"/>
  </si>
  <si>
    <t>23720,71160,35580,1</t>
  </si>
  <si>
    <t>23720,71160,35580,1</t>
    <phoneticPr fontId="11" type="noConversion"/>
  </si>
  <si>
    <t>23720,71160,35580,10</t>
  </si>
  <si>
    <t>23720,71160,35580,10</t>
    <phoneticPr fontId="11" type="noConversion"/>
  </si>
  <si>
    <t>23760,71160,35580,1</t>
  </si>
  <si>
    <t>23760,71160,35580,1</t>
    <phoneticPr fontId="11" type="noConversion"/>
  </si>
  <si>
    <t>23760,71160,35580,10</t>
  </si>
  <si>
    <t>23760,71160,35580,10</t>
    <phoneticPr fontId="11" type="noConversion"/>
  </si>
  <si>
    <t>23760,71280,35640,1</t>
  </si>
  <si>
    <t>23760,71280,35640,1</t>
    <phoneticPr fontId="11" type="noConversion"/>
  </si>
  <si>
    <t>23760,71280,35640,10</t>
  </si>
  <si>
    <t>23760,71280,35640,10</t>
    <phoneticPr fontId="11" type="noConversion"/>
  </si>
  <si>
    <t>23800,71280,35640,10</t>
  </si>
  <si>
    <t>23800,71280,35640,10</t>
    <phoneticPr fontId="11" type="noConversion"/>
  </si>
  <si>
    <t>23800,71400,35700,1</t>
  </si>
  <si>
    <t>23800,71400,35700,1</t>
    <phoneticPr fontId="11" type="noConversion"/>
  </si>
  <si>
    <t>23800,71400,35700,10</t>
  </si>
  <si>
    <t>23800,71400,35700,10</t>
    <phoneticPr fontId="11" type="noConversion"/>
  </si>
  <si>
    <t>23840,71400,35700,1</t>
  </si>
  <si>
    <t>23840,71400,35700,1</t>
    <phoneticPr fontId="11" type="noConversion"/>
  </si>
  <si>
    <t>23840,71400,35700,10</t>
  </si>
  <si>
    <t>23840,71400,35700,10</t>
    <phoneticPr fontId="11" type="noConversion"/>
  </si>
  <si>
    <t>23840,71520,35760,1</t>
  </si>
  <si>
    <t>23840,71520,35760,1</t>
    <phoneticPr fontId="11" type="noConversion"/>
  </si>
  <si>
    <t>23840,71520,35760,10</t>
  </si>
  <si>
    <t>23840,71520,35760,10</t>
    <phoneticPr fontId="11" type="noConversion"/>
  </si>
  <si>
    <t>23880,71520,35760,10</t>
  </si>
  <si>
    <t>23880,71520,35760,10</t>
    <phoneticPr fontId="11" type="noConversion"/>
  </si>
  <si>
    <t>23880,71640,35820,1</t>
  </si>
  <si>
    <t>23880,71640,35820,1</t>
    <phoneticPr fontId="11" type="noConversion"/>
  </si>
  <si>
    <t>23880,71640,35820,10</t>
  </si>
  <si>
    <t>23880,71640,35820,10</t>
    <phoneticPr fontId="11" type="noConversion"/>
  </si>
  <si>
    <t>23920,71640,35820,1</t>
  </si>
  <si>
    <t>23920,71640,35820,1</t>
    <phoneticPr fontId="11" type="noConversion"/>
  </si>
  <si>
    <t>23920,71640,35820,10</t>
  </si>
  <si>
    <t>23920,71640,35820,10</t>
    <phoneticPr fontId="11" type="noConversion"/>
  </si>
  <si>
    <t>23920,71760,35880,1</t>
  </si>
  <si>
    <t>23920,71760,35880,1</t>
    <phoneticPr fontId="11" type="noConversion"/>
  </si>
  <si>
    <t>23920,71760,35880,10</t>
  </si>
  <si>
    <t>23920,71760,35880,10</t>
    <phoneticPr fontId="11" type="noConversion"/>
  </si>
  <si>
    <t>23960,71760,35880,10</t>
  </si>
  <si>
    <t>23960,71760,35880,10</t>
    <phoneticPr fontId="11" type="noConversion"/>
  </si>
  <si>
    <t>23960,71880,35940,1</t>
  </si>
  <si>
    <t>23960,71880,35940,1</t>
    <phoneticPr fontId="11" type="noConversion"/>
  </si>
  <si>
    <t>23960,71880,35940,10</t>
  </si>
  <si>
    <t>23960,71880,35940,10</t>
    <phoneticPr fontId="11" type="noConversion"/>
  </si>
  <si>
    <t>24000,71880,35940,1</t>
  </si>
  <si>
    <t>24000,71880,35940,1</t>
    <phoneticPr fontId="11" type="noConversion"/>
  </si>
  <si>
    <t>24000,71880,35940,10</t>
  </si>
  <si>
    <t>24000,71880,35940,10</t>
    <phoneticPr fontId="11" type="noConversion"/>
  </si>
  <si>
    <t>24000,72000,36000,1</t>
  </si>
  <si>
    <t>24000,72000,36000,1</t>
    <phoneticPr fontId="11" type="noConversion"/>
  </si>
  <si>
    <t>24000,72000,36000,10</t>
  </si>
  <si>
    <t>24000,72000,36000,10</t>
    <phoneticPr fontId="11" type="noConversion"/>
  </si>
  <si>
    <t>24040,72000,36000,10</t>
  </si>
  <si>
    <t>24040,72000,36000,10</t>
    <phoneticPr fontId="11" type="noConversion"/>
  </si>
  <si>
    <t>24040,72120,36060,1</t>
  </si>
  <si>
    <t>24040,72120,36060,1</t>
    <phoneticPr fontId="11" type="noConversion"/>
  </si>
  <si>
    <t>24040,72120,36060,10</t>
  </si>
  <si>
    <t>24040,72120,36060,10</t>
    <phoneticPr fontId="11" type="noConversion"/>
  </si>
  <si>
    <t>24080,72120,36060,1</t>
  </si>
  <si>
    <t>24080,72120,36060,1</t>
    <phoneticPr fontId="11" type="noConversion"/>
  </si>
  <si>
    <t>24080,72120,36060,10</t>
  </si>
  <si>
    <t>24080,72120,36060,10</t>
    <phoneticPr fontId="11" type="noConversion"/>
  </si>
  <si>
    <t>24080,72240,36120,1</t>
  </si>
  <si>
    <t>24080,72240,36120,1</t>
    <phoneticPr fontId="11" type="noConversion"/>
  </si>
  <si>
    <t>24080,72240,36120,10</t>
  </si>
  <si>
    <t>24080,72240,36120,10</t>
    <phoneticPr fontId="11" type="noConversion"/>
  </si>
  <si>
    <t>24120,72240,36120,10</t>
  </si>
  <si>
    <t>24120,72240,36120,10</t>
    <phoneticPr fontId="11" type="noConversion"/>
  </si>
  <si>
    <t>24120,72360,36180,1</t>
  </si>
  <si>
    <t>24120,72360,36180,1</t>
    <phoneticPr fontId="11" type="noConversion"/>
  </si>
  <si>
    <t>24120,72360,36180,10</t>
  </si>
  <si>
    <t>24120,72360,36180,10</t>
    <phoneticPr fontId="11" type="noConversion"/>
  </si>
  <si>
    <t>24160,72360,36180,1</t>
  </si>
  <si>
    <t>24160,72360,36180,1</t>
    <phoneticPr fontId="11" type="noConversion"/>
  </si>
  <si>
    <t>24160,72360,36180,10</t>
  </si>
  <si>
    <t>24160,72360,36180,10</t>
    <phoneticPr fontId="11" type="noConversion"/>
  </si>
  <si>
    <t>24160,72480,36240,1</t>
  </si>
  <si>
    <t>24160,72480,36240,1</t>
    <phoneticPr fontId="11" type="noConversion"/>
  </si>
  <si>
    <t>24160,72480,36240,10</t>
  </si>
  <si>
    <t>24160,72480,36240,10</t>
    <phoneticPr fontId="11" type="noConversion"/>
  </si>
  <si>
    <t>24200,72480,36240,10</t>
  </si>
  <si>
    <t>24200,72480,36240,10</t>
    <phoneticPr fontId="11" type="noConversion"/>
  </si>
  <si>
    <t>24200,72600,36300,1</t>
  </si>
  <si>
    <t>24200,72600,36300,1</t>
    <phoneticPr fontId="11" type="noConversion"/>
  </si>
  <si>
    <t>24200,72600,36300,10</t>
  </si>
  <si>
    <t>24200,72600,36300,10</t>
    <phoneticPr fontId="11" type="noConversion"/>
  </si>
  <si>
    <t>24240,72600,36300,1</t>
  </si>
  <si>
    <t>24240,72600,36300,1</t>
    <phoneticPr fontId="11" type="noConversion"/>
  </si>
  <si>
    <t>24240,72600,36300,10</t>
  </si>
  <si>
    <t>24240,72600,36300,10</t>
    <phoneticPr fontId="11" type="noConversion"/>
  </si>
  <si>
    <t>24240,72720,36360,1</t>
  </si>
  <si>
    <t>24240,72720,36360,1</t>
    <phoneticPr fontId="11" type="noConversion"/>
  </si>
  <si>
    <t>24240,72720,36360,10</t>
  </si>
  <si>
    <t>24240,72720,36360,10</t>
    <phoneticPr fontId="11" type="noConversion"/>
  </si>
  <si>
    <t>24280,72720,36360,10</t>
  </si>
  <si>
    <t>24280,72720,36360,10</t>
    <phoneticPr fontId="11" type="noConversion"/>
  </si>
  <si>
    <t>24280,72840,36420,1</t>
  </si>
  <si>
    <t>24280,72840,36420,1</t>
    <phoneticPr fontId="11" type="noConversion"/>
  </si>
  <si>
    <t>24280,72840,36420,10</t>
  </si>
  <si>
    <t>24280,72840,36420,10</t>
    <phoneticPr fontId="11" type="noConversion"/>
  </si>
  <si>
    <t>24320,72840,36420,1</t>
  </si>
  <si>
    <t>24320,72840,36420,1</t>
    <phoneticPr fontId="11" type="noConversion"/>
  </si>
  <si>
    <t>24320,72840,36420,10</t>
  </si>
  <si>
    <t>24320,72840,36420,10</t>
    <phoneticPr fontId="11" type="noConversion"/>
  </si>
  <si>
    <t>24320,72960,36480,1</t>
  </si>
  <si>
    <t>24320,72960,36480,1</t>
    <phoneticPr fontId="11" type="noConversion"/>
  </si>
  <si>
    <t>24320,72960,36480,10</t>
  </si>
  <si>
    <t>24320,72960,36480,10</t>
    <phoneticPr fontId="11" type="noConversion"/>
  </si>
  <si>
    <t>24360,72960,36480,10</t>
  </si>
  <si>
    <t>24360,72960,36480,10</t>
    <phoneticPr fontId="11" type="noConversion"/>
  </si>
  <si>
    <t>24360,73080,36540,1</t>
  </si>
  <si>
    <t>24360,73080,36540,1</t>
    <phoneticPr fontId="11" type="noConversion"/>
  </si>
  <si>
    <t>24360,73080,36540,10</t>
  </si>
  <si>
    <t>24360,73080,36540,10</t>
    <phoneticPr fontId="11" type="noConversion"/>
  </si>
  <si>
    <t>24400,73080,36540,1</t>
  </si>
  <si>
    <t>24400,73080,36540,1</t>
    <phoneticPr fontId="11" type="noConversion"/>
  </si>
  <si>
    <t>24400,73080,36540,10</t>
  </si>
  <si>
    <t>24400,73080,36540,10</t>
    <phoneticPr fontId="11" type="noConversion"/>
  </si>
  <si>
    <t>24400,73200,36600,1</t>
  </si>
  <si>
    <t>24400,73200,36600,1</t>
    <phoneticPr fontId="11" type="noConversion"/>
  </si>
  <si>
    <t>24400,73200,36600,10</t>
  </si>
  <si>
    <t>24400,73200,36600,10</t>
    <phoneticPr fontId="11" type="noConversion"/>
  </si>
  <si>
    <t>24440,73200,36600,10</t>
  </si>
  <si>
    <t>24440,73200,36600,10</t>
    <phoneticPr fontId="11" type="noConversion"/>
  </si>
  <si>
    <t>24440,73320,36660,1</t>
  </si>
  <si>
    <t>24440,73320,36660,1</t>
    <phoneticPr fontId="11" type="noConversion"/>
  </si>
  <si>
    <t>24440,73320,36660,10</t>
  </si>
  <si>
    <t>24440,73320,36660,10</t>
    <phoneticPr fontId="11" type="noConversion"/>
  </si>
  <si>
    <t>24480,73320,36660,1</t>
  </si>
  <si>
    <t>24480,73320,36660,1</t>
    <phoneticPr fontId="11" type="noConversion"/>
  </si>
  <si>
    <t>24480,73320,36660,10</t>
  </si>
  <si>
    <t>24480,73320,36660,10</t>
    <phoneticPr fontId="11" type="noConversion"/>
  </si>
  <si>
    <t>24480,73440,36720,1</t>
  </si>
  <si>
    <t>24480,73440,36720,1</t>
    <phoneticPr fontId="11" type="noConversion"/>
  </si>
  <si>
    <t>24480,73440,36720,10</t>
  </si>
  <si>
    <t>24480,73440,36720,10</t>
    <phoneticPr fontId="11" type="noConversion"/>
  </si>
  <si>
    <t>24520,73440,36720,10</t>
  </si>
  <si>
    <t>24520,73440,36720,10</t>
    <phoneticPr fontId="11" type="noConversion"/>
  </si>
  <si>
    <t>24520,73560,36780,1</t>
  </si>
  <si>
    <t>24520,73560,36780,1</t>
    <phoneticPr fontId="11" type="noConversion"/>
  </si>
  <si>
    <t>24520,73560,36780,10</t>
  </si>
  <si>
    <t>24520,73560,36780,10</t>
    <phoneticPr fontId="11" type="noConversion"/>
  </si>
  <si>
    <t>24560,73560,36780,1</t>
  </si>
  <si>
    <t>24560,73560,36780,1</t>
    <phoneticPr fontId="11" type="noConversion"/>
  </si>
  <si>
    <t>24560,73560,36780,10</t>
  </si>
  <si>
    <t>24560,73560,36780,10</t>
    <phoneticPr fontId="11" type="noConversion"/>
  </si>
  <si>
    <t>24560,73680,36840,1</t>
  </si>
  <si>
    <t>24560,73680,36840,1</t>
    <phoneticPr fontId="11" type="noConversion"/>
  </si>
  <si>
    <t>24560,73680,36840,10</t>
  </si>
  <si>
    <t>24560,73680,36840,10</t>
    <phoneticPr fontId="11" type="noConversion"/>
  </si>
  <si>
    <t>24600,73680,36840,10</t>
  </si>
  <si>
    <t>24600,73680,36840,10</t>
    <phoneticPr fontId="11" type="noConversion"/>
  </si>
  <si>
    <t>24600,73800,36900,1</t>
  </si>
  <si>
    <t>24600,73800,36900,1</t>
    <phoneticPr fontId="11" type="noConversion"/>
  </si>
  <si>
    <t>24600,73800,36900,10</t>
  </si>
  <si>
    <t>24600,73800,36900,10</t>
    <phoneticPr fontId="11" type="noConversion"/>
  </si>
  <si>
    <t>2,1,3,35</t>
    <phoneticPr fontId="11" type="noConversion"/>
  </si>
  <si>
    <t>1,1,1,1,1,1,1,1,1,5</t>
    <phoneticPr fontId="11" type="noConversion"/>
  </si>
  <si>
    <t>1,1,1,1,1,1,1,1,1,5,5,5</t>
    <phoneticPr fontId="11" type="noConversion"/>
  </si>
  <si>
    <t>0.32,1.2,1,0.48,0.01,0.01,0.005,0.2,0.64</t>
    <phoneticPr fontId="11" type="noConversion"/>
  </si>
  <si>
    <t>7,12,9,7,23,15,16</t>
    <phoneticPr fontId="11" type="noConversion"/>
  </si>
  <si>
    <t>9,0,0,1,0,0,0</t>
    <phoneticPr fontId="11" type="noConversion"/>
  </si>
  <si>
    <t>0,0,0,0,0,0,0</t>
    <phoneticPr fontId="11" type="noConversion"/>
  </si>
  <si>
    <t>1,1,1,1,1,1,1</t>
    <phoneticPr fontId="11" type="noConversion"/>
  </si>
  <si>
    <t>0.48,0.8,0.5,0.64,0.01,0.01,0.005</t>
    <phoneticPr fontId="11" type="noConversion"/>
  </si>
  <si>
    <t>10,0,0,2,0,0,0</t>
    <phoneticPr fontId="11" type="noConversion"/>
  </si>
  <si>
    <t>11,0,0,3,0,0,0</t>
    <phoneticPr fontId="11" type="noConversion"/>
  </si>
  <si>
    <t>12,0,0,4,0,0,0</t>
    <phoneticPr fontId="11" type="noConversion"/>
  </si>
  <si>
    <t>7,12,9,7,23,15,16,6</t>
    <phoneticPr fontId="11" type="noConversion"/>
  </si>
  <si>
    <t>0,0,0,0,0,0,0,1</t>
    <phoneticPr fontId="11" type="noConversion"/>
  </si>
  <si>
    <t>2,0,0,1,0,0,0,0</t>
    <phoneticPr fontId="11" type="noConversion"/>
  </si>
  <si>
    <t>1,0,0,1,0,0,0,4</t>
    <phoneticPr fontId="11" type="noConversion"/>
  </si>
  <si>
    <t>0.48,0.8,0.5,0.64,0.01,0.01,0.005,0.2</t>
    <phoneticPr fontId="11" type="noConversion"/>
  </si>
  <si>
    <t>13,0,0,5,0,0,0</t>
    <phoneticPr fontId="11" type="noConversion"/>
  </si>
  <si>
    <t>0.48,1,1,0.56,0.01,0.01,0.005</t>
    <phoneticPr fontId="11" type="noConversion"/>
  </si>
  <si>
    <t>14,0,0,6,0,0,0</t>
    <phoneticPr fontId="11" type="noConversion"/>
  </si>
  <si>
    <t>15,0,0,7,0,0,0</t>
    <phoneticPr fontId="11" type="noConversion"/>
  </si>
  <si>
    <t>16,0,0,8,0,0,0</t>
    <phoneticPr fontId="11" type="noConversion"/>
  </si>
  <si>
    <t>2,0,0,2,0,0,0,4</t>
    <phoneticPr fontId="11" type="noConversion"/>
  </si>
  <si>
    <t>0.4,1,1,0.56,0.01,0.01,0.005,0.2</t>
    <phoneticPr fontId="11" type="noConversion"/>
  </si>
  <si>
    <t>0.4,1,1,0.56,0.01,0.01,0.005</t>
    <phoneticPr fontId="11" type="noConversion"/>
  </si>
  <si>
    <t>7,12,9,7,23,15,16,7</t>
    <phoneticPr fontId="11" type="noConversion"/>
  </si>
  <si>
    <t>17,0,0,9,0,0,0,1</t>
    <phoneticPr fontId="11" type="noConversion"/>
  </si>
  <si>
    <t>0.32,1.2,1,0.48,0.01,0.01,0.005,0.64</t>
    <phoneticPr fontId="11" type="noConversion"/>
  </si>
  <si>
    <t>18,0,0,10,0,0,0,2</t>
    <phoneticPr fontId="11" type="noConversion"/>
  </si>
  <si>
    <t>19,0,0,11,0,0,0,3</t>
    <phoneticPr fontId="11" type="noConversion"/>
  </si>
  <si>
    <t>20,0,0,12,0,0,0,4</t>
    <phoneticPr fontId="11" type="noConversion"/>
  </si>
  <si>
    <t>7,12,9,7,23,15,16,6,7</t>
    <phoneticPr fontId="11" type="noConversion"/>
  </si>
  <si>
    <t>3,0,0,2,0,0,0,0,1</t>
    <phoneticPr fontId="11" type="noConversion"/>
  </si>
  <si>
    <t>1,0,0,1,0,0,0,4,1</t>
    <phoneticPr fontId="11" type="noConversion"/>
  </si>
  <si>
    <t>7,12,9,7,23,15,16,6,7,36</t>
    <phoneticPr fontId="11" type="noConversion"/>
  </si>
  <si>
    <t>3,0,0,2,0,0,0,0,1,0</t>
    <phoneticPr fontId="11" type="noConversion"/>
  </si>
  <si>
    <t>1,0,0,1,0,0,0,4,1,0</t>
    <phoneticPr fontId="11" type="noConversion"/>
  </si>
  <si>
    <t>0.32,1.2,1,0.48,0.01,0.01,0.005,0.2,0.64,1.6</t>
    <phoneticPr fontId="11" type="noConversion"/>
  </si>
  <si>
    <t>7,12,9,7,23,15,16,7,36</t>
    <phoneticPr fontId="11" type="noConversion"/>
  </si>
  <si>
    <t>21,0,0,13,0,0,0,5,0</t>
    <phoneticPr fontId="11" type="noConversion"/>
  </si>
  <si>
    <t>1,1,1,1,1,1,1,1,5</t>
    <phoneticPr fontId="11" type="noConversion"/>
  </si>
  <si>
    <t>0.24,1.4,1.5,0.4,0.02,0.01,0.005,0.56,1.6</t>
    <phoneticPr fontId="11" type="noConversion"/>
  </si>
  <si>
    <t>22,0,0,14,0,0,0,6,0</t>
    <phoneticPr fontId="11" type="noConversion"/>
  </si>
  <si>
    <t>23,0,0,15,0,0,0,7,0</t>
    <phoneticPr fontId="11" type="noConversion"/>
  </si>
  <si>
    <t>24,0,0,16,0,0,0,8,0</t>
    <phoneticPr fontId="11" type="noConversion"/>
  </si>
  <si>
    <t>2,0,0,2,0,0,0,4,2,0</t>
    <phoneticPr fontId="11" type="noConversion"/>
  </si>
  <si>
    <t>0.24,1.4,1.5,0.4,0.02,0.01,0.005,0.2,0.56,1.6</t>
    <phoneticPr fontId="11" type="noConversion"/>
  </si>
  <si>
    <t>0,0,0,0,0,0,0,2,0,0</t>
    <phoneticPr fontId="11" type="noConversion"/>
  </si>
  <si>
    <t>3,0,0,2,0,0,0,1,1,0</t>
    <phoneticPr fontId="11" type="noConversion"/>
  </si>
  <si>
    <t>2,0,0,2,0,0,0,5,2,0</t>
    <phoneticPr fontId="11" type="noConversion"/>
  </si>
  <si>
    <t>0.16,1.6,2,0.4,0.02,0.01,0.005,0.56,1.8</t>
    <phoneticPr fontId="11" type="noConversion"/>
  </si>
  <si>
    <t>3,0,0,2,0,0,0,2,1,0</t>
    <phoneticPr fontId="11" type="noConversion"/>
  </si>
  <si>
    <t>3,0,0,2,0,0,0,5,2,0</t>
    <phoneticPr fontId="11" type="noConversion"/>
  </si>
  <si>
    <t>3,0,0,2,0,0,0,3,1,0</t>
    <phoneticPr fontId="11" type="noConversion"/>
  </si>
  <si>
    <t>3,0,0,2,0,0,0,4,1,0</t>
    <phoneticPr fontId="11" type="noConversion"/>
  </si>
  <si>
    <t>3,0,0,2,0,0,0,5,1,0</t>
    <phoneticPr fontId="11" type="noConversion"/>
  </si>
  <si>
    <t>3,0,0,0,0,0,0,0,0</t>
    <phoneticPr fontId="11" type="noConversion"/>
  </si>
  <si>
    <t>25,0,0,17,0,0,0,9,0</t>
    <phoneticPr fontId="11" type="noConversion"/>
  </si>
  <si>
    <t>0.08,1.8,2.5,0.32,0.02,0.01,0.005,0.48,1.8</t>
    <phoneticPr fontId="11" type="noConversion"/>
  </si>
  <si>
    <t>26,0,0,18,0,0,0,10,0</t>
    <phoneticPr fontId="11" type="noConversion"/>
  </si>
  <si>
    <t>27,0,0,19,0,0,0,11,0</t>
    <phoneticPr fontId="11" type="noConversion"/>
  </si>
  <si>
    <t>28,0,0,20,0,0,0,12,0</t>
    <phoneticPr fontId="11" type="noConversion"/>
  </si>
  <si>
    <t>3,0,0,3,0,0,0,2,2,0</t>
    <phoneticPr fontId="11" type="noConversion"/>
  </si>
  <si>
    <t>3,0,0,1,0,0,0,5,1,0</t>
    <phoneticPr fontId="11" type="noConversion"/>
  </si>
  <si>
    <t>4,0,0,3,0,0,0,3,2,0</t>
    <phoneticPr fontId="11" type="noConversion"/>
  </si>
  <si>
    <t>1,0,0,1,0,0,0,5,1,0</t>
    <phoneticPr fontId="11" type="noConversion"/>
  </si>
  <si>
    <t>0.08,1.8,2.5,0.32,0.02,0.01,0.005,0.48,2</t>
    <phoneticPr fontId="11" type="noConversion"/>
  </si>
  <si>
    <t>4,0,0,3,0,0,0,4,2,0</t>
    <phoneticPr fontId="11" type="noConversion"/>
  </si>
  <si>
    <t>4,0,0,3,0,0,0,5,2,0</t>
    <phoneticPr fontId="11" type="noConversion"/>
  </si>
  <si>
    <t>4,0,0,3,0,0,0,1,2,0</t>
    <phoneticPr fontId="11" type="noConversion"/>
  </si>
  <si>
    <t>25,0,0,21,0,0,0,13,0</t>
    <phoneticPr fontId="11" type="noConversion"/>
  </si>
  <si>
    <t>0.08,2,3,0.24,0.02,0.01,0.005,0.4,2</t>
    <phoneticPr fontId="11" type="noConversion"/>
  </si>
  <si>
    <t>26,0,0,22,0,0,0,14,0</t>
    <phoneticPr fontId="11" type="noConversion"/>
  </si>
  <si>
    <t>27,0,0,23,0,0,0,15,0</t>
    <phoneticPr fontId="11" type="noConversion"/>
  </si>
  <si>
    <t>28,0,0,24,0,0,0,16,0</t>
    <phoneticPr fontId="11" type="noConversion"/>
  </si>
  <si>
    <t>4,0,0,3,0,0,0,2,2,0</t>
    <phoneticPr fontId="11" type="noConversion"/>
  </si>
  <si>
    <t>1,0,0,2,0,0,0,5,2,0</t>
    <phoneticPr fontId="11" type="noConversion"/>
  </si>
  <si>
    <t>25,0,0,25,0,0,0,13,0</t>
    <phoneticPr fontId="11" type="noConversion"/>
  </si>
  <si>
    <t>26,0,0,26,0,0,0,14,0</t>
    <phoneticPr fontId="11" type="noConversion"/>
  </si>
  <si>
    <t>27,0,0,27,0,0,0,15,0</t>
    <phoneticPr fontId="11" type="noConversion"/>
  </si>
  <si>
    <t>28,0,0,28,0,0,0,16,0</t>
    <phoneticPr fontId="11" type="noConversion"/>
  </si>
  <si>
    <t>2,0,0,3,0,0,0,5,2,0</t>
    <phoneticPr fontId="11" type="noConversion"/>
  </si>
  <si>
    <t>7,12,9,7,23,15,16,7,30,31,36</t>
    <phoneticPr fontId="11" type="noConversion"/>
  </si>
  <si>
    <t>25,0,0,25,0,0,0,13,0,0,0</t>
    <phoneticPr fontId="11" type="noConversion"/>
  </si>
  <si>
    <t>0,0,0,0,0,0,0,0,0,0,0</t>
    <phoneticPr fontId="11" type="noConversion"/>
  </si>
  <si>
    <t>1,1,1,1,1,1,1,1,5,5,5</t>
    <phoneticPr fontId="11" type="noConversion"/>
  </si>
  <si>
    <t>0.08,2,3,0.24,0.02,0.01,0.005,0.4,2.4,2.4,2.6</t>
    <phoneticPr fontId="11" type="noConversion"/>
  </si>
  <si>
    <t>26,0,0,26,0,0,0,14,0,0,0</t>
    <phoneticPr fontId="11" type="noConversion"/>
  </si>
  <si>
    <t>27,0,0,27,0,0,0,15,0,0,0</t>
    <phoneticPr fontId="11" type="noConversion"/>
  </si>
  <si>
    <t>28,0,0,28,0,0,0,16,0,0,0</t>
    <phoneticPr fontId="11" type="noConversion"/>
  </si>
  <si>
    <t>7,12,9,7,23,15,16,6,7,30,31,36</t>
    <phoneticPr fontId="11" type="noConversion"/>
  </si>
  <si>
    <t>0,0,0,0,0,0,0,2,0,0,0,0</t>
    <phoneticPr fontId="11" type="noConversion"/>
  </si>
  <si>
    <t>4,0,0,3,0,0,0,2,2,0,0,0</t>
    <phoneticPr fontId="11" type="noConversion"/>
  </si>
  <si>
    <t>2,0,0,3,0,0,0,5,2,0,0,0</t>
    <phoneticPr fontId="11" type="noConversion"/>
  </si>
  <si>
    <t>29,0,0,25,0,0,0,13,0,0,0</t>
    <phoneticPr fontId="11" type="noConversion"/>
  </si>
  <si>
    <t>0.08,2,3.5,0.24,0.03,0.01,0.005,0.4,2.4,2.4,2.6</t>
    <phoneticPr fontId="11" type="noConversion"/>
  </si>
  <si>
    <t>30,0,0,26,0,0,0,14,0,0,0</t>
    <phoneticPr fontId="11" type="noConversion"/>
  </si>
  <si>
    <t>31,0,0,27,0,0,0,15,0,0,0</t>
    <phoneticPr fontId="11" type="noConversion"/>
  </si>
  <si>
    <t>32,0,0,28,0,0,0,16,0,0,0</t>
    <phoneticPr fontId="11" type="noConversion"/>
  </si>
  <si>
    <t>4,0,0,3,0,0,0,3,2,0,0,0</t>
    <phoneticPr fontId="11" type="noConversion"/>
  </si>
  <si>
    <t>4,0,0,3,0,0,0,4,2,0,0,0</t>
    <phoneticPr fontId="11" type="noConversion"/>
  </si>
  <si>
    <t>4,0,0,3,0,0,0,5,2,0,0,0</t>
    <phoneticPr fontId="11" type="noConversion"/>
  </si>
  <si>
    <t>4,0,0,3,0,0,0,1,2,0,0,0</t>
    <phoneticPr fontId="11" type="noConversion"/>
  </si>
  <si>
    <t>33,0,0,29,0,0,0,13,0,0,0</t>
    <phoneticPr fontId="11" type="noConversion"/>
  </si>
  <si>
    <t>0.08,2,3.5,0.16,0.03,0.01,0.005,0.4,2.4,2.4,2.6</t>
    <phoneticPr fontId="11" type="noConversion"/>
  </si>
  <si>
    <t>34,0,0,30,0,0,0,13,0,0,0</t>
    <phoneticPr fontId="11" type="noConversion"/>
  </si>
  <si>
    <t>35,0,0,31,0,0,0,15,0,0,0</t>
    <phoneticPr fontId="11" type="noConversion"/>
  </si>
  <si>
    <t>36,0,0,32,0,0,0,16,0,0,0</t>
    <phoneticPr fontId="11" type="noConversion"/>
  </si>
  <si>
    <t>4,0,0,4,0,0,0,2,2,0,0,0</t>
    <phoneticPr fontId="11" type="noConversion"/>
  </si>
  <si>
    <t>3,0,0,1,0,0,0,5,2,0,0,0</t>
    <phoneticPr fontId="11" type="noConversion"/>
  </si>
  <si>
    <t>34,0,0,30,0,0,0,14,0,0,0</t>
    <phoneticPr fontId="11" type="noConversion"/>
  </si>
  <si>
    <t>4,0,0,4,0,0,0,3,2,0,0,0</t>
    <phoneticPr fontId="11" type="noConversion"/>
  </si>
  <si>
    <t>4,0,0,4,0,0,0,4,2,0,0,0</t>
    <phoneticPr fontId="11" type="noConversion"/>
  </si>
  <si>
    <t>0.08,2,4,0.16,0.03,0.01,0.005,0.4,2.4,2.4,2.6</t>
    <phoneticPr fontId="11" type="noConversion"/>
  </si>
  <si>
    <t>4,0,0,4,0,0,0,5,2,0,0,0</t>
    <phoneticPr fontId="11" type="noConversion"/>
  </si>
  <si>
    <t>0.08,2,4,0.16,0.03,0.01,0.005,0.4,2.4,2.4,2.3</t>
    <phoneticPr fontId="11" type="noConversion"/>
  </si>
  <si>
    <t>4,0,0,4,0,0,0,1,2,0,0,0</t>
    <phoneticPr fontId="11" type="noConversion"/>
  </si>
  <si>
    <t>37,0,0,29,0,0,0,13,0,0,0</t>
    <phoneticPr fontId="11" type="noConversion"/>
  </si>
  <si>
    <t>38,0,0,30,0,0,0,14,0,0,0</t>
    <phoneticPr fontId="11" type="noConversion"/>
  </si>
  <si>
    <t>39,0,0,31,0,0,0,15,0,0,0</t>
    <phoneticPr fontId="11" type="noConversion"/>
  </si>
  <si>
    <t>40,0,0,32,0,0,0,16,0,0,0</t>
    <phoneticPr fontId="11" type="noConversion"/>
  </si>
  <si>
    <t>4,0,0,1,0,0,0,5,2,0,0,0</t>
    <phoneticPr fontId="11" type="noConversion"/>
  </si>
  <si>
    <t>41,0,0,33,0,0,0,17,0,0,0</t>
    <phoneticPr fontId="11" type="noConversion"/>
  </si>
  <si>
    <t>0.08,2,4.5,0.16,0.05,0.01,0.005,0.32,2.4,2.4,2.3</t>
    <phoneticPr fontId="11" type="noConversion"/>
  </si>
  <si>
    <t>42,0,0,34,0,0,0,18,0,0,0</t>
    <phoneticPr fontId="11" type="noConversion"/>
  </si>
  <si>
    <t>43,0,0,35,0,0,0,19,0,0,0</t>
    <phoneticPr fontId="11" type="noConversion"/>
  </si>
  <si>
    <t>44,0,0,36,0,0,0,20,0,0,0</t>
    <phoneticPr fontId="11" type="noConversion"/>
  </si>
  <si>
    <t>4,0,0,4,0,0,0,1,3,0,0,0</t>
    <phoneticPr fontId="11" type="noConversion"/>
  </si>
  <si>
    <t>4,0,0,2,0,0,0,5,1,0,0,0</t>
    <phoneticPr fontId="11" type="noConversion"/>
  </si>
  <si>
    <t>4,0,0,4,0,0,0,2,3,0,0,0</t>
    <phoneticPr fontId="11" type="noConversion"/>
  </si>
  <si>
    <t>4,0,0,4,0,0,0,3,3,0,0,0</t>
    <phoneticPr fontId="11" type="noConversion"/>
  </si>
  <si>
    <t>4,0,0,4,0,0,0,4,3,0,0,0</t>
    <phoneticPr fontId="11" type="noConversion"/>
  </si>
  <si>
    <t>0.05,2,4.5,0.16,0.05,0.01,0.005,0.32,2.4,2.4,2.3</t>
    <phoneticPr fontId="11" type="noConversion"/>
  </si>
  <si>
    <t>5,0,0,4,0,0,0,5,3,0,0,0</t>
    <phoneticPr fontId="11" type="noConversion"/>
  </si>
  <si>
    <t>1,0,0,2,0,0,0,5,1,0,0,0</t>
    <phoneticPr fontId="11" type="noConversion"/>
  </si>
  <si>
    <t>5,0,0,4,0,0,0,1,3,0,0,0</t>
    <phoneticPr fontId="11" type="noConversion"/>
  </si>
  <si>
    <t>5,0,0,4,0,0,0,2,3,0,0,0</t>
    <phoneticPr fontId="11" type="noConversion"/>
  </si>
  <si>
    <t>5,0,0,4,0,0,0,3,3,0,0,0</t>
    <phoneticPr fontId="11" type="noConversion"/>
  </si>
  <si>
    <t>5,0,0,4,0,0,0,4,3,0,0,0</t>
    <phoneticPr fontId="11" type="noConversion"/>
  </si>
  <si>
    <t>45,0,0,33,0,0,0,17,0,0,0</t>
    <phoneticPr fontId="11" type="noConversion"/>
  </si>
  <si>
    <t>46,0,0,34,0,0,0,18,0,0,0</t>
    <phoneticPr fontId="11" type="noConversion"/>
  </si>
  <si>
    <t>47,0,0,35,0,0,0,19,0,0,0</t>
    <phoneticPr fontId="11" type="noConversion"/>
  </si>
  <si>
    <t>48,0,0,36,0,0,0,20,0,0,0</t>
    <phoneticPr fontId="11" type="noConversion"/>
  </si>
  <si>
    <t>0.05,2,4.5,0.16,0.05,0.02,0.01,0.32,2.4,2.4,2.3</t>
    <phoneticPr fontId="11" type="noConversion"/>
  </si>
  <si>
    <t>0.05,2,4.5,0.16,0.05,0.02,0.01,0.32,2.4,2.4,2.2</t>
    <phoneticPr fontId="11" type="noConversion"/>
  </si>
  <si>
    <t>0.05,2,4.5,0.16,0.05,0.02,0.01,0.32,2.4,2.4,2.1</t>
    <phoneticPr fontId="11" type="noConversion"/>
  </si>
  <si>
    <t>0.05,2,4.5,0.16,0.05,0.02,0.01,0.32,2.4,2.4,2</t>
    <phoneticPr fontId="11" type="noConversion"/>
  </si>
  <si>
    <t>0.05,2,4.5,0.16,0.05,0.02,0.01,0.32,2.4,2.4,1.9</t>
    <phoneticPr fontId="11" type="noConversion"/>
  </si>
  <si>
    <t>0.05,2,4.5,0.16,0.05,0.02,0.01,0.32,2.4,2.4,1.8</t>
    <phoneticPr fontId="11" type="noConversion"/>
  </si>
  <si>
    <t>0.05,2,4.5,0.16,0.05,0.02,0.01,0.32,2.4,2.4,1.7</t>
    <phoneticPr fontId="11" type="noConversion"/>
  </si>
  <si>
    <t>0.05,2,4.5,0.16,0.05,0.02,0.01,0.32,2.4,2.4,1.6</t>
    <phoneticPr fontId="11" type="noConversion"/>
  </si>
  <si>
    <t>0.05,2,4.5,0.16,0.05,0.02,0.01,0.32,2.4,2.4,1.5</t>
    <phoneticPr fontId="11" type="noConversion"/>
  </si>
  <si>
    <t>0.24,1.4,1.5,0.4,0.02,0.01,0.005,0.05,0.56,1.6</t>
    <phoneticPr fontId="11" type="noConversion"/>
  </si>
  <si>
    <t>0.16,1.6,2,0.4,0.02,0.01,0.005,0.05,0.56,1.8</t>
    <phoneticPr fontId="11" type="noConversion"/>
  </si>
  <si>
    <t>0.08,1.8,2.5,0.32,0.02,0.01,0.005,0.05,0.48,1.8</t>
    <phoneticPr fontId="11" type="noConversion"/>
  </si>
  <si>
    <t>0.08,1.8,2.5,0.32,0.02,0.01,0.005,0.05,0.48,2</t>
    <phoneticPr fontId="11" type="noConversion"/>
  </si>
  <si>
    <t>0.08,2,3,0.24,0.02,0.01,0.005,0.05,0.4,2</t>
    <phoneticPr fontId="11" type="noConversion"/>
  </si>
  <si>
    <t>0.08,2,3,0.24,0.02,0.01,0.005,0.05,0.4,2.4,2.4,2.6</t>
    <phoneticPr fontId="11" type="noConversion"/>
  </si>
  <si>
    <t>0.08,2,3.5,0.24,0.03,0.01,0.005,0.05,0.4,2.4,2.4,2.6</t>
    <phoneticPr fontId="11" type="noConversion"/>
  </si>
  <si>
    <t>0.08,2,3.5,0.16,0.03,0.01,0.005,0.05,0.4,2.4,2.4,2.6</t>
    <phoneticPr fontId="11" type="noConversion"/>
  </si>
  <si>
    <t>0.08,2,4,0.16,0.03,0.01,0.005,0.05,0.4,2.4,2.4,2.3</t>
    <phoneticPr fontId="11" type="noConversion"/>
  </si>
  <si>
    <t>0.08,2,4.5,0.16,0.05,0.01,0.005,0.05,0.32,2.4,2.4,2.3</t>
    <phoneticPr fontId="11" type="noConversion"/>
  </si>
  <si>
    <t>0.05,2,4.5,0.16,0.05,0.01,0.005,0.05,0.32,2.4,2.4,2.3</t>
    <phoneticPr fontId="11" type="noConversion"/>
  </si>
  <si>
    <t>0.05,2,4.5,0.16,0.05,0.02,0.01,0.05,0.32,2.4,2.4,2.3</t>
    <phoneticPr fontId="11" type="noConversion"/>
  </si>
  <si>
    <t>0.05,2,4.5,0.16,0.05,0.02,0.01,0.05,0.32,2.4,2.4,2.2</t>
    <phoneticPr fontId="11" type="noConversion"/>
  </si>
  <si>
    <t>0.05,2,4.5,0.16,0.05,0.02,0.01,0.05,0.32,2.4,2.4,2.1</t>
    <phoneticPr fontId="11" type="noConversion"/>
  </si>
  <si>
    <t>0.05,2,4.5,0.16,0.05,0.02,0.01,0.05,0.32,2.4,2.4,2</t>
    <phoneticPr fontId="11" type="noConversion"/>
  </si>
  <si>
    <t>0.05,2,4.5,0.16,0.05,0.02,0.01,0.05,0.32,2.4,2.4,1.9</t>
    <phoneticPr fontId="11" type="noConversion"/>
  </si>
  <si>
    <t>0.05,2,4.5,0.16,0.05,0.02,0.01,0.05,0.32,2.4,2.4,1.8</t>
    <phoneticPr fontId="11" type="noConversion"/>
  </si>
  <si>
    <t>0.05,2,4.5,0.16,0.05,0.02,0.01,0.05,0.32,2.4,2.4,1.7</t>
    <phoneticPr fontId="11" type="noConversion"/>
  </si>
  <si>
    <t>0.05,2,4.5,0.16,0.05,0.02,0.01,0.05,0.32,2.4,2.4,1.6</t>
    <phoneticPr fontId="11" type="noConversion"/>
  </si>
  <si>
    <t>0.05,2,4.5,0.16,0.05,0.02,0.01,0.05,0.32,2.4,2.4,1.5</t>
    <phoneticPr fontId="11" type="noConversion"/>
  </si>
  <si>
    <t>0.16,1.6,2,0.4,0.02,0.01,0.005,0.01,0.56,1.8</t>
    <phoneticPr fontId="11" type="noConversion"/>
  </si>
  <si>
    <t>0.08,1.8,2.5,0.32,0.02,0.01,0.005,0.01,0.48,2</t>
    <phoneticPr fontId="11" type="noConversion"/>
  </si>
  <si>
    <t>0.08,2,3,0.24,0.02,0.01,0.005,0.01,0.4,2</t>
    <phoneticPr fontId="11" type="noConversion"/>
  </si>
  <si>
    <t>0.08,2,3.5,0.24,0.03,0.01,0.005,0.01,0.4,2.4,2.4,2.6</t>
    <phoneticPr fontId="11" type="noConversion"/>
  </si>
  <si>
    <t>0.08,2,3.5,0.16,0.03,0.01,0.005,0.01,0.4,2.4,2.4,2.6</t>
    <phoneticPr fontId="11" type="noConversion"/>
  </si>
  <si>
    <t>0.08,2,4,0.16,0.03,0.01,0.005,0.01,0.4,2.4,2.4,2.6</t>
    <phoneticPr fontId="11" type="noConversion"/>
  </si>
  <si>
    <t>0.08,2,4,0.16,0.03,0.01,0.005,0.01,0.4,2.4,2.4,2.3</t>
    <phoneticPr fontId="11" type="noConversion"/>
  </si>
  <si>
    <t>0.08,2,4.5,0.16,0.05,0.01,0.005,0.01,0.32,2.4,2.4,2.3</t>
    <phoneticPr fontId="11" type="noConversion"/>
  </si>
  <si>
    <t>0.05,2,4.5,0.16,0.05,0.01,0.005,0.01,0.32,2.4,2.4,2.3</t>
    <phoneticPr fontId="11" type="noConversion"/>
  </si>
  <si>
    <t>0.05,2,4.5,0.16,0.05,0.02,0.01,0.01,0.32,2.4,2.4,2.3</t>
    <phoneticPr fontId="11" type="noConversion"/>
  </si>
  <si>
    <t>0.05,2,4.5,0.16,0.05,0.02,0.01,0.01,0.32,2.4,2.4,2.2</t>
    <phoneticPr fontId="11" type="noConversion"/>
  </si>
  <si>
    <t>0.05,2,4.5,0.16,0.05,0.02,0.01,0.01,0.32,2.4,2.4,2.1</t>
    <phoneticPr fontId="11" type="noConversion"/>
  </si>
  <si>
    <t>0.05,2,4.5,0.16,0.05,0.02,0.01,0.01,0.32,2.4,2.4,2</t>
    <phoneticPr fontId="11" type="noConversion"/>
  </si>
  <si>
    <t>0.05,2,4.5,0.16,0.05,0.02,0.01,0.01,0.32,2.4,2.4,1.9</t>
    <phoneticPr fontId="11" type="noConversion"/>
  </si>
  <si>
    <t>0.05,2,4.5,0.16,0.05,0.02,0.01,0.01,0.32,2.4,2.4,1.8</t>
    <phoneticPr fontId="11" type="noConversion"/>
  </si>
  <si>
    <t>0.05,2,4.5,0.16,0.05,0.02,0.01,0.01,0.32,2.4,2.4,1.7</t>
    <phoneticPr fontId="11" type="noConversion"/>
  </si>
  <si>
    <t>0.05,2,4.5,0.16,0.05,0.02,0.01,0.01,0.32,2.4,2.4,1.6</t>
    <phoneticPr fontId="11" type="noConversion"/>
  </si>
  <si>
    <t>0.05,2,4.5,0.16,0.05,0.02,0.01,0.01,0.32,2.4,2.4,1.5</t>
    <phoneticPr fontId="11" type="noConversion"/>
  </si>
  <si>
    <t>2,1,3</t>
    <phoneticPr fontId="11" type="noConversion"/>
  </si>
  <si>
    <t>10,10,10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</si>
</sst>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sz val="11"/>
      <color indexed="60"/>
      <name val="等线"/>
      <family val="3"/>
      <charset val="134"/>
    </font>
    <font>
      <sz val="11"/>
      <color indexed="16"/>
      <name val="等线"/>
      <family val="3"/>
      <charset val="134"/>
    </font>
    <font>
      <sz val="11"/>
      <color indexed="17"/>
      <name val="等线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theme="5" tint="0.799798577837458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theme="9" tint="0.3997924741355632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7924741355632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7924741355632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7" tint="0.39979247413556324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8" tint="0.399792474135563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79247413556324"/>
      </bottom>
      <diagonal/>
    </border>
  </borders>
  <cellStyleXfs count="35">
    <xf numFmtId="0" fontId="0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5" fillId="7" borderId="3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4" fillId="7" borderId="4" applyNumberForma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9" fillId="30" borderId="0" applyNumberFormat="0" applyBorder="0" applyAlignment="0" applyProtection="0">
      <alignment vertical="center"/>
    </xf>
    <xf numFmtId="0" fontId="10" fillId="31" borderId="1" applyNumberFormat="0" applyAlignment="0" applyProtection="0">
      <alignment vertical="center"/>
    </xf>
    <xf numFmtId="0" fontId="2" fillId="3" borderId="3" applyNumberFormat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" fillId="27" borderId="2" applyNumberFormat="0" applyFont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176" fontId="0" fillId="0" borderId="0" xfId="0" applyNumberFormat="1">
      <alignment vertical="center"/>
    </xf>
    <xf numFmtId="0" fontId="12" fillId="0" borderId="0" xfId="0" applyNumberFormat="1" applyFont="1" applyFill="1" applyBorder="1" applyAlignment="1" applyProtection="1">
      <alignment horizontal="left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23" borderId="0" xfId="0" applyNumberFormat="1" applyFont="1" applyFill="1" applyBorder="1" applyAlignment="1" applyProtection="1">
      <alignment horizontal="left"/>
    </xf>
    <xf numFmtId="0" fontId="15" fillId="30" borderId="0" xfId="0" applyNumberFormat="1" applyFont="1" applyFill="1" applyBorder="1" applyAlignment="1" applyProtection="1">
      <alignment horizontal="left"/>
    </xf>
    <xf numFmtId="0" fontId="16" fillId="15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Alignment="1"/>
    <xf numFmtId="49" fontId="1" fillId="0" borderId="0" xfId="0" applyNumberFormat="1" applyFont="1">
      <alignment vertical="center"/>
    </xf>
    <xf numFmtId="49" fontId="1" fillId="0" borderId="0" xfId="0" applyNumberFormat="1" applyFont="1" applyAlignment="1"/>
    <xf numFmtId="0" fontId="0" fillId="0" borderId="0" xfId="0" applyNumberFormat="1" applyFont="1">
      <alignment vertical="center"/>
    </xf>
    <xf numFmtId="0" fontId="17" fillId="23" borderId="0" xfId="0" applyNumberFormat="1" applyFont="1" applyFill="1" applyBorder="1" applyAlignment="1" applyProtection="1">
      <alignment horizontal="left"/>
    </xf>
    <xf numFmtId="0" fontId="18" fillId="30" borderId="0" xfId="0" applyNumberFormat="1" applyFont="1" applyFill="1" applyBorder="1" applyAlignment="1" applyProtection="1">
      <alignment horizontal="left"/>
    </xf>
    <xf numFmtId="0" fontId="19" fillId="15" borderId="0" xfId="0" applyNumberFormat="1" applyFont="1" applyFill="1" applyBorder="1" applyAlignment="1" applyProtection="1">
      <alignment horizontal="left"/>
    </xf>
    <xf numFmtId="0" fontId="1" fillId="0" borderId="0" xfId="0" applyFont="1" applyAlignment="1"/>
    <xf numFmtId="0" fontId="20" fillId="15" borderId="0" xfId="0" applyNumberFormat="1" applyFont="1" applyFill="1" applyBorder="1" applyAlignment="1" applyProtection="1">
      <alignment horizontal="left"/>
    </xf>
    <xf numFmtId="0" fontId="21" fillId="23" borderId="0" xfId="0" applyNumberFormat="1" applyFont="1" applyFill="1" applyBorder="1" applyAlignment="1" applyProtection="1">
      <alignment horizontal="left"/>
    </xf>
    <xf numFmtId="0" fontId="22" fillId="30" borderId="0" xfId="0" applyNumberFormat="1" applyFont="1" applyFill="1" applyBorder="1" applyAlignment="1" applyProtection="1">
      <alignment horizontal="left"/>
    </xf>
  </cellXfs>
  <cellStyles count="35">
    <cellStyle name="20% - 着色 1 2" xfId="7" xr:uid="{00000000-0005-0000-0000-000000000000}"/>
    <cellStyle name="20% - 着色 2 2" xfId="9" xr:uid="{00000000-0005-0000-0000-000001000000}"/>
    <cellStyle name="20% - 着色 3 2" xfId="14" xr:uid="{00000000-0005-0000-0000-000002000000}"/>
    <cellStyle name="20% - 着色 4 2" xfId="15" xr:uid="{00000000-0005-0000-0000-000003000000}"/>
    <cellStyle name="20% - 着色 5 2" xfId="17" xr:uid="{00000000-0005-0000-0000-000004000000}"/>
    <cellStyle name="20% - 着色 6 2" xfId="2" xr:uid="{00000000-0005-0000-0000-000005000000}"/>
    <cellStyle name="40% - 着色 1 2" xfId="18" xr:uid="{00000000-0005-0000-0000-000006000000}"/>
    <cellStyle name="40% - 着色 2 2" xfId="6" xr:uid="{00000000-0005-0000-0000-000007000000}"/>
    <cellStyle name="40% - 着色 3 2" xfId="5" xr:uid="{00000000-0005-0000-0000-000008000000}"/>
    <cellStyle name="40% - 着色 4 2" xfId="3" xr:uid="{00000000-0005-0000-0000-000009000000}"/>
    <cellStyle name="40% - 着色 5 2" xfId="8" xr:uid="{00000000-0005-0000-0000-00000A000000}"/>
    <cellStyle name="40% - 着色 6 2" xfId="19" xr:uid="{00000000-0005-0000-0000-00000B000000}"/>
    <cellStyle name="60% - 着色 1 2" xfId="20" xr:uid="{00000000-0005-0000-0000-00000C000000}"/>
    <cellStyle name="60% - 着色 2 2" xfId="21" xr:uid="{00000000-0005-0000-0000-00000D000000}"/>
    <cellStyle name="60% - 着色 3 2" xfId="22" xr:uid="{00000000-0005-0000-0000-00000E000000}"/>
    <cellStyle name="60% - 着色 4 2" xfId="23" xr:uid="{00000000-0005-0000-0000-00000F000000}"/>
    <cellStyle name="60% - 着色 5 2" xfId="24" xr:uid="{00000000-0005-0000-0000-000010000000}"/>
    <cellStyle name="60% - 着色 6 2" xfId="11" xr:uid="{00000000-0005-0000-0000-000011000000}"/>
    <cellStyle name="标题 3 2" xfId="25" xr:uid="{00000000-0005-0000-0000-000012000000}"/>
    <cellStyle name="差 2" xfId="26" xr:uid="{00000000-0005-0000-0000-000013000000}"/>
    <cellStyle name="常规" xfId="0" builtinId="0"/>
    <cellStyle name="常规 2" xfId="27" xr:uid="{00000000-0005-0000-0000-000015000000}"/>
    <cellStyle name="好 2" xfId="28" xr:uid="{00000000-0005-0000-0000-000016000000}"/>
    <cellStyle name="计算 2" xfId="4" xr:uid="{00000000-0005-0000-0000-000017000000}"/>
    <cellStyle name="检查单元格 2" xfId="29" xr:uid="{00000000-0005-0000-0000-000018000000}"/>
    <cellStyle name="适中 2" xfId="13" xr:uid="{00000000-0005-0000-0000-000019000000}"/>
    <cellStyle name="输出 2" xfId="10" xr:uid="{00000000-0005-0000-0000-00001A000000}"/>
    <cellStyle name="输入 2" xfId="30" xr:uid="{00000000-0005-0000-0000-00001B000000}"/>
    <cellStyle name="着色 1 2" xfId="16" xr:uid="{00000000-0005-0000-0000-00001C000000}"/>
    <cellStyle name="着色 2 2" xfId="1" xr:uid="{00000000-0005-0000-0000-00001D000000}"/>
    <cellStyle name="着色 3 2" xfId="31" xr:uid="{00000000-0005-0000-0000-00001E000000}"/>
    <cellStyle name="着色 4 2" xfId="32" xr:uid="{00000000-0005-0000-0000-00001F000000}"/>
    <cellStyle name="着色 5 2" xfId="12" xr:uid="{00000000-0005-0000-0000-000020000000}"/>
    <cellStyle name="着色 6 2" xfId="33" xr:uid="{00000000-0005-0000-0000-000021000000}"/>
    <cellStyle name="注释 2" xfId="34" xr:uid="{00000000-0005-0000-0000-00002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1783"/>
  <sheetViews>
    <sheetView tabSelected="1" workbookViewId="0">
      <pane xSplit="1" ySplit="3" topLeftCell="F1753" activePane="bottomRight" state="frozenSplit"/>
      <selection pane="topRight"/>
      <selection pane="bottomLeft"/>
      <selection pane="bottomRight" activeCell="K1782" sqref="K1782"/>
    </sheetView>
  </sheetViews>
  <sheetFormatPr defaultColWidth="9" defaultRowHeight="13.5" x14ac:dyDescent="0.15"/>
  <cols>
    <col min="1" max="1" width="7.5" customWidth="1"/>
    <col min="2" max="2" width="12.75" customWidth="1"/>
    <col min="3" max="3" width="11.625" customWidth="1"/>
    <col min="4" max="4" width="15" customWidth="1"/>
    <col min="5" max="8" width="18.375" customWidth="1"/>
    <col min="9" max="9" width="19.625" customWidth="1"/>
    <col min="10" max="10" width="34.5" style="4" customWidth="1"/>
    <col min="11" max="11" width="17.25" customWidth="1"/>
    <col min="12" max="12" width="18" customWidth="1"/>
    <col min="13" max="16" width="19.375" customWidth="1"/>
    <col min="17" max="19" width="19.375" style="5" customWidth="1"/>
    <col min="21" max="21" width="6.5" hidden="1" customWidth="1"/>
    <col min="22" max="22" width="16.125" hidden="1" customWidth="1"/>
    <col min="23" max="23" width="17.25" hidden="1" customWidth="1"/>
    <col min="24" max="27" width="0" hidden="1" customWidth="1"/>
    <col min="28" max="28" width="11" hidden="1" customWidth="1"/>
    <col min="29" max="29" width="0" hidden="1" customWidth="1"/>
    <col min="30" max="30" width="10.5" hidden="1" customWidth="1"/>
    <col min="31" max="31" width="0" hidden="1" customWidth="1"/>
    <col min="32" max="32" width="13.125" hidden="1" customWidth="1"/>
    <col min="33" max="33" width="0" hidden="1" customWidth="1"/>
    <col min="34" max="35" width="11" hidden="1" customWidth="1"/>
    <col min="36" max="36" width="13.125" hidden="1" customWidth="1"/>
    <col min="37" max="37" width="11" hidden="1" customWidth="1"/>
    <col min="38" max="38" width="15.25" hidden="1" customWidth="1"/>
    <col min="39" max="50" width="0" hidden="1" customWidth="1"/>
    <col min="51" max="53" width="9" hidden="1" customWidth="1"/>
    <col min="54" max="58" width="0" hidden="1" customWidth="1"/>
  </cols>
  <sheetData>
    <row r="1" spans="1:58" x14ac:dyDescent="0.15">
      <c r="A1" s="3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6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3" t="s">
        <v>16</v>
      </c>
      <c r="R1" s="23" t="s">
        <v>17</v>
      </c>
      <c r="S1" s="23" t="s">
        <v>18</v>
      </c>
      <c r="T1" s="3"/>
      <c r="X1" s="3"/>
    </row>
    <row r="2" spans="1:58" x14ac:dyDescent="0.15">
      <c r="A2" s="3" t="s">
        <v>19</v>
      </c>
      <c r="B2" s="3" t="s">
        <v>19</v>
      </c>
      <c r="C2" s="3" t="s">
        <v>19</v>
      </c>
      <c r="D2" s="1" t="s">
        <v>20</v>
      </c>
      <c r="E2" s="1" t="s">
        <v>21</v>
      </c>
      <c r="F2" s="1" t="s">
        <v>21</v>
      </c>
      <c r="G2" s="1" t="s">
        <v>21</v>
      </c>
      <c r="H2" s="1" t="s">
        <v>21</v>
      </c>
      <c r="I2" s="1" t="s">
        <v>21</v>
      </c>
      <c r="J2" s="16" t="s">
        <v>22</v>
      </c>
      <c r="K2" s="1" t="s">
        <v>21</v>
      </c>
      <c r="L2" s="1" t="s">
        <v>21</v>
      </c>
      <c r="M2" s="1" t="s">
        <v>21</v>
      </c>
      <c r="N2" s="1" t="s">
        <v>21</v>
      </c>
      <c r="O2" s="1" t="s">
        <v>21</v>
      </c>
      <c r="P2" s="1" t="s">
        <v>19</v>
      </c>
      <c r="Q2" s="23" t="s">
        <v>23</v>
      </c>
      <c r="R2" s="23" t="s">
        <v>23</v>
      </c>
      <c r="S2" s="23" t="s">
        <v>23</v>
      </c>
      <c r="T2" s="8"/>
      <c r="X2" s="8"/>
      <c r="AH2" s="2"/>
    </row>
    <row r="3" spans="1:58" x14ac:dyDescent="0.15">
      <c r="A3" s="3" t="s">
        <v>24</v>
      </c>
      <c r="B3" s="3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6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23" t="s">
        <v>40</v>
      </c>
      <c r="R3" s="23" t="s">
        <v>41</v>
      </c>
      <c r="S3" s="23" t="s">
        <v>42</v>
      </c>
      <c r="T3" s="3"/>
      <c r="U3" s="1" t="s">
        <v>43</v>
      </c>
      <c r="V3" s="1" t="s">
        <v>44</v>
      </c>
      <c r="W3" s="2" t="s">
        <v>45</v>
      </c>
      <c r="X3" s="3"/>
      <c r="Y3" s="2" t="s">
        <v>46</v>
      </c>
      <c r="Z3" s="2" t="s">
        <v>47</v>
      </c>
      <c r="AA3" s="2" t="s">
        <v>48</v>
      </c>
      <c r="AB3" s="2" t="s">
        <v>49</v>
      </c>
      <c r="AC3" s="2" t="s">
        <v>50</v>
      </c>
      <c r="AD3" s="2" t="s">
        <v>51</v>
      </c>
      <c r="AF3" s="2" t="s">
        <v>52</v>
      </c>
      <c r="AH3" s="2" t="s">
        <v>53</v>
      </c>
      <c r="AI3" s="2" t="s">
        <v>54</v>
      </c>
      <c r="AJ3" s="2" t="s">
        <v>55</v>
      </c>
      <c r="AK3" s="2" t="s">
        <v>56</v>
      </c>
      <c r="AL3" s="2" t="s">
        <v>57</v>
      </c>
      <c r="AM3" s="2" t="s">
        <v>58</v>
      </c>
      <c r="AP3" s="2" t="s">
        <v>59</v>
      </c>
      <c r="AQ3" s="2" t="s">
        <v>60</v>
      </c>
      <c r="AR3" s="2" t="s">
        <v>61</v>
      </c>
      <c r="AY3" s="2" t="s">
        <v>50</v>
      </c>
      <c r="AZ3" s="2" t="s">
        <v>62</v>
      </c>
      <c r="BA3" s="2" t="s">
        <v>63</v>
      </c>
      <c r="BB3" s="2" t="s">
        <v>43</v>
      </c>
      <c r="BC3" s="2" t="s">
        <v>64</v>
      </c>
      <c r="BD3" s="2" t="s">
        <v>65</v>
      </c>
      <c r="BE3" s="2" t="s">
        <v>66</v>
      </c>
      <c r="BF3" s="2" t="s">
        <v>67</v>
      </c>
    </row>
    <row r="4" spans="1:58" ht="14.25" x14ac:dyDescent="0.2">
      <c r="A4" s="10">
        <v>101</v>
      </c>
      <c r="B4" s="13">
        <f>FLOOR(R4/5,1)</f>
        <v>0</v>
      </c>
      <c r="C4" s="15">
        <f>FLOOR(Q4/5,1)</f>
        <v>0</v>
      </c>
      <c r="D4" s="14">
        <f>FLOOR(S4/5,1)</f>
        <v>0</v>
      </c>
      <c r="E4" s="1">
        <v>12</v>
      </c>
      <c r="F4" s="1">
        <v>0</v>
      </c>
      <c r="G4" s="1">
        <v>0</v>
      </c>
      <c r="H4" s="1">
        <v>0</v>
      </c>
      <c r="I4" s="1">
        <v>1</v>
      </c>
      <c r="J4" s="16" t="s">
        <v>148</v>
      </c>
      <c r="K4" s="2" t="s">
        <v>135</v>
      </c>
      <c r="L4" t="s">
        <v>183</v>
      </c>
      <c r="M4" t="s">
        <v>125</v>
      </c>
      <c r="N4" t="s">
        <v>121</v>
      </c>
      <c r="O4" s="4" t="s">
        <v>194</v>
      </c>
      <c r="P4">
        <v>0</v>
      </c>
      <c r="Q4" s="24">
        <v>1</v>
      </c>
      <c r="R4" s="25">
        <v>0.4</v>
      </c>
      <c r="S4" s="26">
        <v>0.7</v>
      </c>
      <c r="T4" s="3"/>
      <c r="U4" s="3">
        <v>1</v>
      </c>
      <c r="V4" s="1">
        <v>100</v>
      </c>
      <c r="W4">
        <v>50</v>
      </c>
      <c r="X4" s="3"/>
      <c r="Y4">
        <v>1</v>
      </c>
      <c r="Z4">
        <v>1</v>
      </c>
      <c r="AA4" s="3">
        <v>0</v>
      </c>
      <c r="AB4" s="3">
        <v>5</v>
      </c>
      <c r="AC4" s="3">
        <v>1</v>
      </c>
      <c r="AD4" s="9">
        <f t="shared" ref="AD4:AD68" si="0">INT(AE4/AF4)/60*5</f>
        <v>5.5</v>
      </c>
      <c r="AE4">
        <f t="shared" ref="AE4:AE67" si="1">INDEX(V:V,MATCH(AC4,U:U,0))</f>
        <v>100</v>
      </c>
      <c r="AF4" s="2">
        <f>BE4</f>
        <v>1.5</v>
      </c>
      <c r="AG4" t="str">
        <f>IF(AD4&lt;60,CONCATENATE(INT(AD4),"分钟"),CONCATENATE(INT(AD4/60),"小时"))</f>
        <v>5分钟</v>
      </c>
      <c r="AH4">
        <f>ROUNDUP(AF4*3,0)</f>
        <v>5</v>
      </c>
      <c r="AI4">
        <f>ROUNDUP(AH4/AB4,0)</f>
        <v>1</v>
      </c>
      <c r="AJ4">
        <f t="shared" ref="AJ4:AJ67" si="2">BD4</f>
        <v>10.8</v>
      </c>
      <c r="AK4">
        <f>ROUNDUP(AJ4*3/AB4,0)</f>
        <v>7</v>
      </c>
      <c r="AL4">
        <f t="shared" ref="AL4:AL67" si="3">BE4</f>
        <v>1.5</v>
      </c>
      <c r="AM4" s="2">
        <f>ROUNDUP(AL4*3/AB4,0)</f>
        <v>1</v>
      </c>
      <c r="AP4">
        <v>20</v>
      </c>
      <c r="AQ4">
        <v>5</v>
      </c>
      <c r="AR4">
        <v>2</v>
      </c>
      <c r="AT4">
        <v>0</v>
      </c>
      <c r="AU4">
        <v>0</v>
      </c>
      <c r="AV4">
        <v>0</v>
      </c>
      <c r="AX4">
        <v>1</v>
      </c>
      <c r="AY4">
        <v>1</v>
      </c>
      <c r="AZ4" s="3">
        <f t="shared" ref="AZ4:AZ67" si="4">INDEX($V:$V,MATCH(AY4,$U:$U,0))</f>
        <v>100</v>
      </c>
      <c r="BA4" t="e">
        <f>AZ4/(#REF!*60/5)</f>
        <v>#REF!</v>
      </c>
      <c r="BB4">
        <v>1</v>
      </c>
      <c r="BC4">
        <f t="shared" ref="BC4:BC67" si="5">INDEX($W:$W,MATCH(BB4,$U:$U,0))/(BE4*60*60/5)</f>
        <v>4.6296296296296294E-2</v>
      </c>
      <c r="BD4" s="2">
        <f>ROUNDUP(BE4*1.5,1)+8.5</f>
        <v>10.8</v>
      </c>
      <c r="BE4">
        <f>FLOOR(ROUNDUP(AX4/5,0)*0.25+1.25,0.1)</f>
        <v>1.5</v>
      </c>
      <c r="BF4">
        <f>BE4*8*60*60/5</f>
        <v>8640</v>
      </c>
    </row>
    <row r="5" spans="1:58" ht="14.25" x14ac:dyDescent="0.2">
      <c r="A5" s="10">
        <v>102</v>
      </c>
      <c r="B5" s="13">
        <f t="shared" ref="B5" si="6">FLOOR(R5/5,1)</f>
        <v>0</v>
      </c>
      <c r="C5" s="15">
        <f t="shared" ref="C5" si="7">FLOOR(Q5/5,1)</f>
        <v>0</v>
      </c>
      <c r="D5" s="14">
        <f t="shared" ref="D5" si="8">FLOOR(S5/5,1)</f>
        <v>0</v>
      </c>
      <c r="E5" s="1">
        <v>12</v>
      </c>
      <c r="F5" s="1">
        <v>0</v>
      </c>
      <c r="G5" s="1">
        <v>0</v>
      </c>
      <c r="H5" s="1">
        <v>0</v>
      </c>
      <c r="I5" s="1">
        <v>1</v>
      </c>
      <c r="J5" s="16" t="s">
        <v>148</v>
      </c>
      <c r="K5" t="s">
        <v>122</v>
      </c>
      <c r="L5" t="s">
        <v>121</v>
      </c>
      <c r="M5" t="s">
        <v>121</v>
      </c>
      <c r="N5" t="s">
        <v>121</v>
      </c>
      <c r="O5" s="4" t="s">
        <v>195</v>
      </c>
      <c r="P5">
        <v>0</v>
      </c>
      <c r="Q5" s="24">
        <v>1</v>
      </c>
      <c r="R5" s="25">
        <v>0.4</v>
      </c>
      <c r="S5" s="26">
        <v>0.7</v>
      </c>
      <c r="T5" s="3"/>
      <c r="U5" s="3">
        <v>2</v>
      </c>
      <c r="V5" s="1">
        <v>120</v>
      </c>
      <c r="W5" s="1">
        <v>56</v>
      </c>
      <c r="X5" s="3"/>
      <c r="Y5">
        <v>1</v>
      </c>
      <c r="Z5">
        <v>2</v>
      </c>
      <c r="AA5" s="3">
        <v>0</v>
      </c>
      <c r="AB5" s="3">
        <v>5</v>
      </c>
      <c r="AC5" s="3">
        <v>2</v>
      </c>
      <c r="AD5" s="9">
        <f t="shared" si="0"/>
        <v>6.6666666666666661</v>
      </c>
      <c r="AE5">
        <f t="shared" si="1"/>
        <v>120</v>
      </c>
      <c r="AF5" s="2">
        <f t="shared" ref="AF5:AF68" si="9">BE5</f>
        <v>1.5</v>
      </c>
      <c r="AG5" t="str">
        <f t="shared" ref="AG5:AG68" si="10">IF(AD5&lt;60,CONCATENATE(INT(AD5),"分钟"),CONCATENATE(INT(AD5/60),"小时"))</f>
        <v>6分钟</v>
      </c>
      <c r="AH5">
        <f t="shared" ref="AH5:AH68" si="11">ROUNDUP(AF5*3,0)</f>
        <v>5</v>
      </c>
      <c r="AI5">
        <f t="shared" ref="AI5:AI68" si="12">ROUNDUP(AH5/AB5,0)</f>
        <v>1</v>
      </c>
      <c r="AJ5">
        <f t="shared" si="2"/>
        <v>10.8</v>
      </c>
      <c r="AK5">
        <f t="shared" ref="AK5:AK68" si="13">ROUNDUP(AJ5*3/AB5,0)</f>
        <v>7</v>
      </c>
      <c r="AL5">
        <f t="shared" si="3"/>
        <v>1.5</v>
      </c>
      <c r="AM5" s="2">
        <f t="shared" ref="AM5:AM68" si="14">ROUNDUP(AL5*3/AB5,0)</f>
        <v>1</v>
      </c>
      <c r="AP5">
        <v>20</v>
      </c>
      <c r="AQ5">
        <v>5</v>
      </c>
      <c r="AR5">
        <v>2</v>
      </c>
      <c r="AX5">
        <v>2</v>
      </c>
      <c r="AY5">
        <v>2</v>
      </c>
      <c r="AZ5" s="3">
        <f t="shared" si="4"/>
        <v>120</v>
      </c>
      <c r="BA5" t="e">
        <f>AZ5/(#REF!*60/5)</f>
        <v>#REF!</v>
      </c>
      <c r="BB5">
        <v>1</v>
      </c>
      <c r="BC5">
        <f t="shared" si="5"/>
        <v>4.6296296296296294E-2</v>
      </c>
      <c r="BD5" s="2">
        <f t="shared" ref="BD5:BD68" si="15">ROUNDUP(BE5*1.5,1)+8.5</f>
        <v>10.8</v>
      </c>
      <c r="BE5">
        <f t="shared" ref="BE5:BE68" si="16">FLOOR(ROUNDUP(AX5/5,0)*0.25+1.25,0.1)</f>
        <v>1.5</v>
      </c>
      <c r="BF5">
        <f t="shared" ref="BF5:BF68" si="17">BE5*8*60*60/5</f>
        <v>8640</v>
      </c>
    </row>
    <row r="6" spans="1:58" ht="14.25" x14ac:dyDescent="0.2">
      <c r="A6" s="10">
        <v>103</v>
      </c>
      <c r="B6" s="13">
        <v>2</v>
      </c>
      <c r="C6" s="15">
        <v>2</v>
      </c>
      <c r="D6" s="14">
        <v>2</v>
      </c>
      <c r="E6" s="1">
        <v>12</v>
      </c>
      <c r="F6" s="1">
        <v>0</v>
      </c>
      <c r="G6" s="1">
        <v>0</v>
      </c>
      <c r="H6" s="1">
        <v>0</v>
      </c>
      <c r="I6" s="1">
        <v>1</v>
      </c>
      <c r="J6" s="16" t="s">
        <v>148</v>
      </c>
      <c r="K6" t="s">
        <v>185</v>
      </c>
      <c r="L6" t="s">
        <v>186</v>
      </c>
      <c r="M6" s="2" t="s">
        <v>187</v>
      </c>
      <c r="N6" t="s">
        <v>188</v>
      </c>
      <c r="O6" s="4" t="s">
        <v>196</v>
      </c>
      <c r="P6">
        <v>0</v>
      </c>
      <c r="Q6" s="24">
        <v>1</v>
      </c>
      <c r="R6" s="25">
        <v>0.4</v>
      </c>
      <c r="S6" s="26">
        <v>0.7</v>
      </c>
      <c r="T6" s="3"/>
      <c r="U6" s="3">
        <v>3</v>
      </c>
      <c r="V6" s="1">
        <v>154</v>
      </c>
      <c r="W6" s="1">
        <v>65</v>
      </c>
      <c r="X6" s="3"/>
      <c r="Y6">
        <v>1</v>
      </c>
      <c r="Z6">
        <v>3</v>
      </c>
      <c r="AA6" s="3">
        <v>0</v>
      </c>
      <c r="AB6" s="3">
        <v>5</v>
      </c>
      <c r="AC6" s="3">
        <v>3</v>
      </c>
      <c r="AD6" s="9">
        <f t="shared" si="0"/>
        <v>8.5</v>
      </c>
      <c r="AE6">
        <f t="shared" si="1"/>
        <v>154</v>
      </c>
      <c r="AF6" s="2">
        <f t="shared" si="9"/>
        <v>1.5</v>
      </c>
      <c r="AG6" t="str">
        <f t="shared" si="10"/>
        <v>8分钟</v>
      </c>
      <c r="AH6">
        <f t="shared" si="11"/>
        <v>5</v>
      </c>
      <c r="AI6">
        <f t="shared" si="12"/>
        <v>1</v>
      </c>
      <c r="AJ6">
        <f t="shared" si="2"/>
        <v>10.8</v>
      </c>
      <c r="AK6">
        <f t="shared" si="13"/>
        <v>7</v>
      </c>
      <c r="AL6">
        <f t="shared" si="3"/>
        <v>1.5</v>
      </c>
      <c r="AM6" s="2">
        <f t="shared" si="14"/>
        <v>1</v>
      </c>
      <c r="AP6">
        <v>20</v>
      </c>
      <c r="AQ6">
        <v>5</v>
      </c>
      <c r="AR6">
        <v>2</v>
      </c>
      <c r="AX6">
        <v>3</v>
      </c>
      <c r="AY6">
        <v>3</v>
      </c>
      <c r="AZ6" s="3">
        <f t="shared" si="4"/>
        <v>154</v>
      </c>
      <c r="BA6" t="e">
        <f>AZ6/(#REF!*60/5)</f>
        <v>#REF!</v>
      </c>
      <c r="BB6">
        <v>2</v>
      </c>
      <c r="BC6">
        <f t="shared" si="5"/>
        <v>5.185185185185185E-2</v>
      </c>
      <c r="BD6" s="2">
        <f t="shared" si="15"/>
        <v>10.8</v>
      </c>
      <c r="BE6">
        <f t="shared" si="16"/>
        <v>1.5</v>
      </c>
      <c r="BF6">
        <f t="shared" si="17"/>
        <v>8640</v>
      </c>
    </row>
    <row r="7" spans="1:58" ht="14.25" x14ac:dyDescent="0.2">
      <c r="A7" s="10">
        <v>104</v>
      </c>
      <c r="B7" s="13">
        <v>2</v>
      </c>
      <c r="C7" s="15">
        <v>2</v>
      </c>
      <c r="D7" s="14">
        <v>2</v>
      </c>
      <c r="E7" s="1">
        <v>12</v>
      </c>
      <c r="F7" s="1">
        <v>0</v>
      </c>
      <c r="G7" s="1">
        <v>0</v>
      </c>
      <c r="H7" s="1">
        <v>0</v>
      </c>
      <c r="I7" s="1">
        <v>1</v>
      </c>
      <c r="J7" s="16" t="s">
        <v>148</v>
      </c>
      <c r="K7" t="s">
        <v>122</v>
      </c>
      <c r="L7" t="s">
        <v>121</v>
      </c>
      <c r="M7" t="s">
        <v>121</v>
      </c>
      <c r="N7" t="s">
        <v>121</v>
      </c>
      <c r="O7" s="4" t="s">
        <v>195</v>
      </c>
      <c r="P7">
        <v>0</v>
      </c>
      <c r="Q7" s="24">
        <v>1</v>
      </c>
      <c r="R7" s="25">
        <v>0.4</v>
      </c>
      <c r="S7" s="26">
        <v>0.7</v>
      </c>
      <c r="T7" s="3"/>
      <c r="U7" s="3">
        <v>4</v>
      </c>
      <c r="V7" s="1">
        <v>206</v>
      </c>
      <c r="W7" s="1">
        <v>78</v>
      </c>
      <c r="X7" s="3"/>
      <c r="Y7">
        <v>1</v>
      </c>
      <c r="Z7">
        <v>4</v>
      </c>
      <c r="AA7" s="3">
        <v>1</v>
      </c>
      <c r="AB7" s="3">
        <v>5</v>
      </c>
      <c r="AC7" s="3">
        <v>4</v>
      </c>
      <c r="AD7" s="9">
        <f t="shared" si="0"/>
        <v>11.416666666666666</v>
      </c>
      <c r="AE7">
        <f t="shared" si="1"/>
        <v>206</v>
      </c>
      <c r="AF7" s="2">
        <f t="shared" si="9"/>
        <v>1.5</v>
      </c>
      <c r="AG7" t="str">
        <f t="shared" si="10"/>
        <v>11分钟</v>
      </c>
      <c r="AH7">
        <f t="shared" si="11"/>
        <v>5</v>
      </c>
      <c r="AI7">
        <f t="shared" si="12"/>
        <v>1</v>
      </c>
      <c r="AJ7">
        <f t="shared" si="2"/>
        <v>10.8</v>
      </c>
      <c r="AK7">
        <f t="shared" si="13"/>
        <v>7</v>
      </c>
      <c r="AL7">
        <f t="shared" si="3"/>
        <v>1.5</v>
      </c>
      <c r="AM7" s="2">
        <f t="shared" si="14"/>
        <v>1</v>
      </c>
      <c r="AP7">
        <v>20</v>
      </c>
      <c r="AQ7">
        <v>5</v>
      </c>
      <c r="AR7">
        <v>2</v>
      </c>
      <c r="AX7">
        <v>4</v>
      </c>
      <c r="AY7">
        <v>4</v>
      </c>
      <c r="AZ7" s="3">
        <f t="shared" si="4"/>
        <v>206</v>
      </c>
      <c r="BA7" t="e">
        <f>AZ7/(#REF!*60/5)</f>
        <v>#REF!</v>
      </c>
      <c r="BB7">
        <v>3</v>
      </c>
      <c r="BC7">
        <f t="shared" si="5"/>
        <v>6.0185185185185182E-2</v>
      </c>
      <c r="BD7" s="2">
        <f t="shared" si="15"/>
        <v>10.8</v>
      </c>
      <c r="BE7">
        <f t="shared" si="16"/>
        <v>1.5</v>
      </c>
      <c r="BF7">
        <f t="shared" si="17"/>
        <v>8640</v>
      </c>
    </row>
    <row r="8" spans="1:58" ht="14.25" x14ac:dyDescent="0.2">
      <c r="A8" s="10">
        <v>105</v>
      </c>
      <c r="B8" s="13">
        <v>2</v>
      </c>
      <c r="C8" s="15">
        <v>2</v>
      </c>
      <c r="D8" s="14">
        <v>2</v>
      </c>
      <c r="E8" s="1">
        <v>12</v>
      </c>
      <c r="F8" s="1">
        <v>0</v>
      </c>
      <c r="G8" s="1">
        <v>0</v>
      </c>
      <c r="H8" s="1">
        <v>0</v>
      </c>
      <c r="I8" s="1">
        <v>1</v>
      </c>
      <c r="J8" s="18" t="s">
        <v>148</v>
      </c>
      <c r="K8" s="5" t="s">
        <v>124</v>
      </c>
      <c r="L8" t="s">
        <v>127</v>
      </c>
      <c r="M8" t="s">
        <v>121</v>
      </c>
      <c r="N8" t="s">
        <v>121</v>
      </c>
      <c r="O8" s="4" t="s">
        <v>197</v>
      </c>
      <c r="P8">
        <v>0</v>
      </c>
      <c r="Q8" s="24">
        <v>1.5</v>
      </c>
      <c r="R8" s="25">
        <v>0.8</v>
      </c>
      <c r="S8" s="26">
        <v>1.3</v>
      </c>
      <c r="T8" s="3"/>
      <c r="U8" s="3">
        <v>5</v>
      </c>
      <c r="V8" s="1">
        <v>280</v>
      </c>
      <c r="W8" s="1">
        <v>95</v>
      </c>
      <c r="X8" s="3"/>
      <c r="Y8">
        <v>1</v>
      </c>
      <c r="Z8">
        <v>5</v>
      </c>
      <c r="AA8" s="3">
        <v>2</v>
      </c>
      <c r="AB8" s="3">
        <v>5</v>
      </c>
      <c r="AC8" s="3">
        <v>5</v>
      </c>
      <c r="AD8" s="9">
        <f t="shared" si="0"/>
        <v>15.5</v>
      </c>
      <c r="AE8">
        <f t="shared" si="1"/>
        <v>280</v>
      </c>
      <c r="AF8" s="2">
        <f t="shared" si="9"/>
        <v>1.5</v>
      </c>
      <c r="AG8" t="str">
        <f t="shared" si="10"/>
        <v>15分钟</v>
      </c>
      <c r="AH8">
        <f t="shared" si="11"/>
        <v>5</v>
      </c>
      <c r="AI8">
        <f t="shared" si="12"/>
        <v>1</v>
      </c>
      <c r="AJ8">
        <f t="shared" si="2"/>
        <v>10.8</v>
      </c>
      <c r="AK8">
        <f t="shared" si="13"/>
        <v>7</v>
      </c>
      <c r="AL8">
        <f t="shared" si="3"/>
        <v>1.5</v>
      </c>
      <c r="AM8" s="2">
        <f t="shared" si="14"/>
        <v>1</v>
      </c>
      <c r="AP8">
        <v>20</v>
      </c>
      <c r="AQ8">
        <v>5</v>
      </c>
      <c r="AR8">
        <v>2</v>
      </c>
      <c r="AT8">
        <v>10</v>
      </c>
      <c r="AU8">
        <v>5</v>
      </c>
      <c r="AV8">
        <v>2</v>
      </c>
      <c r="AX8">
        <v>5</v>
      </c>
      <c r="AY8">
        <v>5</v>
      </c>
      <c r="AZ8" s="3">
        <f t="shared" si="4"/>
        <v>280</v>
      </c>
      <c r="BA8" t="e">
        <f>AZ8/(#REF!*60/5)</f>
        <v>#REF!</v>
      </c>
      <c r="BB8">
        <v>4</v>
      </c>
      <c r="BC8">
        <f t="shared" si="5"/>
        <v>7.2222222222222215E-2</v>
      </c>
      <c r="BD8" s="2">
        <f t="shared" si="15"/>
        <v>10.8</v>
      </c>
      <c r="BE8">
        <f t="shared" si="16"/>
        <v>1.5</v>
      </c>
      <c r="BF8">
        <f t="shared" si="17"/>
        <v>8640</v>
      </c>
    </row>
    <row r="9" spans="1:58" ht="14.25" x14ac:dyDescent="0.2">
      <c r="A9" s="10">
        <v>106</v>
      </c>
      <c r="B9" s="13">
        <v>2</v>
      </c>
      <c r="C9" s="15">
        <v>2</v>
      </c>
      <c r="D9" s="14">
        <v>2</v>
      </c>
      <c r="E9" s="1" t="s">
        <v>143</v>
      </c>
      <c r="F9" s="1" t="s">
        <v>141</v>
      </c>
      <c r="G9" s="1" t="s">
        <v>141</v>
      </c>
      <c r="H9" s="1" t="s">
        <v>141</v>
      </c>
      <c r="I9" s="1" t="s">
        <v>142</v>
      </c>
      <c r="J9" s="16" t="s">
        <v>149</v>
      </c>
      <c r="K9" t="s">
        <v>135</v>
      </c>
      <c r="L9" t="s">
        <v>184</v>
      </c>
      <c r="M9" t="s">
        <v>125</v>
      </c>
      <c r="N9" s="2" t="s">
        <v>121</v>
      </c>
      <c r="O9" s="4" t="s">
        <v>198</v>
      </c>
      <c r="P9">
        <v>0</v>
      </c>
      <c r="Q9" s="24">
        <v>1.5</v>
      </c>
      <c r="R9" s="25">
        <v>0.8</v>
      </c>
      <c r="S9" s="26">
        <v>1.3</v>
      </c>
      <c r="T9" s="3"/>
      <c r="U9" s="3">
        <v>6</v>
      </c>
      <c r="V9" s="1">
        <v>380</v>
      </c>
      <c r="W9" s="1">
        <v>116</v>
      </c>
      <c r="X9" s="3"/>
      <c r="Y9">
        <v>1</v>
      </c>
      <c r="Z9">
        <v>6</v>
      </c>
      <c r="AA9" s="3">
        <v>2</v>
      </c>
      <c r="AB9" s="3">
        <v>5</v>
      </c>
      <c r="AC9" s="3">
        <v>6</v>
      </c>
      <c r="AD9" s="9">
        <f t="shared" si="0"/>
        <v>18.583333333333336</v>
      </c>
      <c r="AE9">
        <f t="shared" si="1"/>
        <v>380</v>
      </c>
      <c r="AF9" s="2">
        <f t="shared" si="9"/>
        <v>1.7000000000000002</v>
      </c>
      <c r="AG9" t="str">
        <f t="shared" si="10"/>
        <v>18分钟</v>
      </c>
      <c r="AH9">
        <f t="shared" si="11"/>
        <v>6</v>
      </c>
      <c r="AI9">
        <f t="shared" si="12"/>
        <v>2</v>
      </c>
      <c r="AJ9">
        <f t="shared" si="2"/>
        <v>11.1</v>
      </c>
      <c r="AK9">
        <f t="shared" si="13"/>
        <v>7</v>
      </c>
      <c r="AL9">
        <f t="shared" si="3"/>
        <v>1.7000000000000002</v>
      </c>
      <c r="AM9" s="2">
        <f t="shared" si="14"/>
        <v>2</v>
      </c>
      <c r="AP9">
        <v>20.5</v>
      </c>
      <c r="AQ9">
        <v>6</v>
      </c>
      <c r="AR9">
        <v>2.5</v>
      </c>
      <c r="AT9">
        <v>10</v>
      </c>
      <c r="AU9">
        <v>6</v>
      </c>
      <c r="AV9">
        <v>2</v>
      </c>
      <c r="AX9">
        <v>6</v>
      </c>
      <c r="AY9">
        <v>6</v>
      </c>
      <c r="AZ9" s="3">
        <f t="shared" si="4"/>
        <v>380</v>
      </c>
      <c r="BA9" t="e">
        <f>AZ9/(#REF!*60/5)</f>
        <v>#REF!</v>
      </c>
      <c r="BB9">
        <v>5</v>
      </c>
      <c r="BC9">
        <f t="shared" si="5"/>
        <v>7.7614379084967308E-2</v>
      </c>
      <c r="BD9" s="2">
        <f t="shared" si="15"/>
        <v>11.1</v>
      </c>
      <c r="BE9">
        <f t="shared" si="16"/>
        <v>1.7000000000000002</v>
      </c>
      <c r="BF9">
        <f t="shared" si="17"/>
        <v>9792.0000000000018</v>
      </c>
    </row>
    <row r="10" spans="1:58" ht="14.25" x14ac:dyDescent="0.2">
      <c r="A10" s="10">
        <v>107</v>
      </c>
      <c r="B10" s="13">
        <v>2</v>
      </c>
      <c r="C10" s="15">
        <v>2</v>
      </c>
      <c r="D10" s="14">
        <v>2</v>
      </c>
      <c r="E10" s="1" t="s">
        <v>143</v>
      </c>
      <c r="F10" s="1" t="s">
        <v>141</v>
      </c>
      <c r="G10" s="1" t="s">
        <v>141</v>
      </c>
      <c r="H10" s="1" t="s">
        <v>141</v>
      </c>
      <c r="I10" s="1" t="s">
        <v>142</v>
      </c>
      <c r="J10" s="16" t="s">
        <v>149</v>
      </c>
      <c r="K10" t="s">
        <v>124</v>
      </c>
      <c r="L10" t="s">
        <v>136</v>
      </c>
      <c r="M10" t="s">
        <v>121</v>
      </c>
      <c r="N10" t="s">
        <v>121</v>
      </c>
      <c r="O10" s="4" t="s">
        <v>198</v>
      </c>
      <c r="P10">
        <v>0</v>
      </c>
      <c r="Q10" s="24">
        <v>1.5</v>
      </c>
      <c r="R10" s="25">
        <v>0.8</v>
      </c>
      <c r="S10" s="26">
        <v>1.3</v>
      </c>
      <c r="T10" s="3"/>
      <c r="U10" s="3">
        <v>7</v>
      </c>
      <c r="V10" s="1">
        <v>510</v>
      </c>
      <c r="W10" s="1">
        <v>141</v>
      </c>
      <c r="X10" s="3"/>
      <c r="Y10">
        <v>1</v>
      </c>
      <c r="Z10">
        <v>7</v>
      </c>
      <c r="AA10" s="3">
        <v>2</v>
      </c>
      <c r="AB10" s="3">
        <v>5</v>
      </c>
      <c r="AC10" s="3">
        <v>7</v>
      </c>
      <c r="AD10" s="9">
        <f t="shared" si="0"/>
        <v>25</v>
      </c>
      <c r="AE10">
        <f t="shared" si="1"/>
        <v>510</v>
      </c>
      <c r="AF10" s="2">
        <f t="shared" si="9"/>
        <v>1.7000000000000002</v>
      </c>
      <c r="AG10" t="str">
        <f t="shared" si="10"/>
        <v>25分钟</v>
      </c>
      <c r="AH10">
        <f t="shared" si="11"/>
        <v>6</v>
      </c>
      <c r="AI10">
        <f t="shared" si="12"/>
        <v>2</v>
      </c>
      <c r="AJ10">
        <f t="shared" si="2"/>
        <v>11.1</v>
      </c>
      <c r="AK10">
        <f t="shared" si="13"/>
        <v>7</v>
      </c>
      <c r="AL10">
        <f t="shared" si="3"/>
        <v>1.7000000000000002</v>
      </c>
      <c r="AM10" s="2">
        <f t="shared" si="14"/>
        <v>2</v>
      </c>
      <c r="AP10">
        <v>20.5</v>
      </c>
      <c r="AQ10">
        <v>6</v>
      </c>
      <c r="AR10">
        <v>2.5</v>
      </c>
      <c r="AT10">
        <v>10</v>
      </c>
      <c r="AU10">
        <v>6</v>
      </c>
      <c r="AV10">
        <v>2</v>
      </c>
      <c r="AX10">
        <v>7</v>
      </c>
      <c r="AY10">
        <v>7</v>
      </c>
      <c r="AZ10" s="3">
        <f t="shared" si="4"/>
        <v>510</v>
      </c>
      <c r="BA10" t="e">
        <f>AZ10/(#REF!*60/5)</f>
        <v>#REF!</v>
      </c>
      <c r="BB10">
        <v>6</v>
      </c>
      <c r="BC10">
        <f t="shared" si="5"/>
        <v>9.4771241830065342E-2</v>
      </c>
      <c r="BD10" s="2">
        <f t="shared" si="15"/>
        <v>11.1</v>
      </c>
      <c r="BE10">
        <f t="shared" si="16"/>
        <v>1.7000000000000002</v>
      </c>
      <c r="BF10">
        <f t="shared" si="17"/>
        <v>9792.0000000000018</v>
      </c>
    </row>
    <row r="11" spans="1:58" ht="14.25" x14ac:dyDescent="0.2">
      <c r="A11" s="10">
        <v>108</v>
      </c>
      <c r="B11" s="13">
        <v>2</v>
      </c>
      <c r="C11" s="15">
        <v>2</v>
      </c>
      <c r="D11" s="14">
        <v>2</v>
      </c>
      <c r="E11" s="1" t="s">
        <v>143</v>
      </c>
      <c r="F11" s="1" t="s">
        <v>141</v>
      </c>
      <c r="G11" s="1" t="s">
        <v>141</v>
      </c>
      <c r="H11" s="1" t="s">
        <v>141</v>
      </c>
      <c r="I11" s="1" t="s">
        <v>142</v>
      </c>
      <c r="J11" s="16" t="s">
        <v>149</v>
      </c>
      <c r="K11" t="s">
        <v>176</v>
      </c>
      <c r="L11" t="s">
        <v>121</v>
      </c>
      <c r="M11" t="s">
        <v>121</v>
      </c>
      <c r="N11" t="s">
        <v>121</v>
      </c>
      <c r="O11" s="4" t="s">
        <v>198</v>
      </c>
      <c r="P11">
        <v>0</v>
      </c>
      <c r="Q11" s="24">
        <v>1.5</v>
      </c>
      <c r="R11" s="25">
        <v>0.8</v>
      </c>
      <c r="S11" s="26">
        <v>1.3</v>
      </c>
      <c r="T11" s="3"/>
      <c r="U11" s="3">
        <v>8</v>
      </c>
      <c r="V11" s="1">
        <v>674</v>
      </c>
      <c r="W11" s="1">
        <v>170</v>
      </c>
      <c r="X11" s="3"/>
      <c r="Y11">
        <v>1</v>
      </c>
      <c r="Z11">
        <v>8</v>
      </c>
      <c r="AA11" s="3">
        <v>2</v>
      </c>
      <c r="AB11" s="3">
        <v>5</v>
      </c>
      <c r="AC11" s="3">
        <v>8</v>
      </c>
      <c r="AD11" s="9">
        <f t="shared" si="0"/>
        <v>33</v>
      </c>
      <c r="AE11">
        <f t="shared" si="1"/>
        <v>674</v>
      </c>
      <c r="AF11" s="2">
        <f t="shared" si="9"/>
        <v>1.7000000000000002</v>
      </c>
      <c r="AG11" t="str">
        <f t="shared" si="10"/>
        <v>33分钟</v>
      </c>
      <c r="AH11">
        <f t="shared" si="11"/>
        <v>6</v>
      </c>
      <c r="AI11">
        <f t="shared" si="12"/>
        <v>2</v>
      </c>
      <c r="AJ11">
        <f t="shared" si="2"/>
        <v>11.1</v>
      </c>
      <c r="AK11">
        <f t="shared" si="13"/>
        <v>7</v>
      </c>
      <c r="AL11">
        <f t="shared" si="3"/>
        <v>1.7000000000000002</v>
      </c>
      <c r="AM11" s="2">
        <f t="shared" si="14"/>
        <v>2</v>
      </c>
      <c r="AP11">
        <v>20.5</v>
      </c>
      <c r="AQ11">
        <v>6</v>
      </c>
      <c r="AR11">
        <v>2.5</v>
      </c>
      <c r="AT11">
        <v>10</v>
      </c>
      <c r="AU11">
        <v>6</v>
      </c>
      <c r="AV11">
        <v>2</v>
      </c>
      <c r="AX11">
        <v>8</v>
      </c>
      <c r="AY11">
        <v>8</v>
      </c>
      <c r="AZ11" s="3">
        <f t="shared" si="4"/>
        <v>674</v>
      </c>
      <c r="BA11" t="e">
        <f>AZ11/(#REF!*60/5)</f>
        <v>#REF!</v>
      </c>
      <c r="BB11">
        <v>7</v>
      </c>
      <c r="BC11">
        <f t="shared" si="5"/>
        <v>0.11519607843137253</v>
      </c>
      <c r="BD11" s="2">
        <f t="shared" si="15"/>
        <v>11.1</v>
      </c>
      <c r="BE11">
        <f t="shared" si="16"/>
        <v>1.7000000000000002</v>
      </c>
      <c r="BF11">
        <f t="shared" si="17"/>
        <v>9792.0000000000018</v>
      </c>
    </row>
    <row r="12" spans="1:58" ht="14.25" x14ac:dyDescent="0.2">
      <c r="A12" s="10">
        <v>201</v>
      </c>
      <c r="B12" s="13">
        <v>2</v>
      </c>
      <c r="C12" s="15">
        <v>2</v>
      </c>
      <c r="D12" s="14">
        <v>2</v>
      </c>
      <c r="E12" s="1" t="s">
        <v>143</v>
      </c>
      <c r="F12" s="1" t="s">
        <v>141</v>
      </c>
      <c r="G12" s="1" t="s">
        <v>141</v>
      </c>
      <c r="H12" s="1" t="s">
        <v>141</v>
      </c>
      <c r="I12" s="1" t="s">
        <v>142</v>
      </c>
      <c r="J12" s="16" t="s">
        <v>149</v>
      </c>
      <c r="K12" t="s">
        <v>123</v>
      </c>
      <c r="L12" t="s">
        <v>121</v>
      </c>
      <c r="M12" t="s">
        <v>121</v>
      </c>
      <c r="N12" t="s">
        <v>121</v>
      </c>
      <c r="O12" s="4" t="s">
        <v>199</v>
      </c>
      <c r="P12">
        <v>0</v>
      </c>
      <c r="Q12" s="24">
        <v>2</v>
      </c>
      <c r="R12" s="25">
        <v>1.3</v>
      </c>
      <c r="S12" s="26">
        <v>2</v>
      </c>
      <c r="T12" s="3"/>
      <c r="U12" s="3">
        <v>11</v>
      </c>
      <c r="V12" s="1">
        <v>1410</v>
      </c>
      <c r="W12" s="1">
        <v>441</v>
      </c>
      <c r="X12" s="3"/>
      <c r="Y12">
        <v>2</v>
      </c>
      <c r="Z12">
        <v>1</v>
      </c>
      <c r="AA12" s="3">
        <v>4</v>
      </c>
      <c r="AB12" s="3">
        <v>5</v>
      </c>
      <c r="AC12" s="3">
        <v>11</v>
      </c>
      <c r="AD12" s="9">
        <f t="shared" si="0"/>
        <v>58.75</v>
      </c>
      <c r="AE12">
        <f t="shared" si="1"/>
        <v>1410</v>
      </c>
      <c r="AF12" s="2">
        <f t="shared" si="9"/>
        <v>2</v>
      </c>
      <c r="AG12" t="str">
        <f t="shared" si="10"/>
        <v>58分钟</v>
      </c>
      <c r="AH12">
        <f t="shared" si="11"/>
        <v>6</v>
      </c>
      <c r="AI12">
        <f t="shared" si="12"/>
        <v>2</v>
      </c>
      <c r="AJ12">
        <f t="shared" si="2"/>
        <v>11.5</v>
      </c>
      <c r="AK12">
        <f t="shared" si="13"/>
        <v>7</v>
      </c>
      <c r="AL12">
        <f t="shared" si="3"/>
        <v>2</v>
      </c>
      <c r="AM12" s="2">
        <f t="shared" si="14"/>
        <v>2</v>
      </c>
      <c r="AP12">
        <v>21</v>
      </c>
      <c r="AQ12">
        <v>7</v>
      </c>
      <c r="AR12">
        <v>3</v>
      </c>
      <c r="AT12">
        <v>10.5</v>
      </c>
      <c r="AU12">
        <v>7</v>
      </c>
      <c r="AV12">
        <v>3</v>
      </c>
      <c r="AX12">
        <v>11</v>
      </c>
      <c r="AY12">
        <v>11</v>
      </c>
      <c r="AZ12" s="3">
        <f t="shared" si="4"/>
        <v>1410</v>
      </c>
      <c r="BA12" t="e">
        <f>AZ12/(#REF!*60/5)/60</f>
        <v>#REF!</v>
      </c>
      <c r="BB12">
        <v>10</v>
      </c>
      <c r="BC12" t="e">
        <f t="shared" si="5"/>
        <v>#N/A</v>
      </c>
      <c r="BD12" s="2">
        <f t="shared" si="15"/>
        <v>11.5</v>
      </c>
      <c r="BE12">
        <f t="shared" si="16"/>
        <v>2</v>
      </c>
      <c r="BF12">
        <f t="shared" si="17"/>
        <v>11520</v>
      </c>
    </row>
    <row r="13" spans="1:58" ht="14.25" x14ac:dyDescent="0.2">
      <c r="A13" s="10">
        <v>202</v>
      </c>
      <c r="B13" s="13">
        <v>2</v>
      </c>
      <c r="C13" s="15">
        <v>2</v>
      </c>
      <c r="D13" s="14">
        <v>2</v>
      </c>
      <c r="E13" s="1" t="s">
        <v>143</v>
      </c>
      <c r="F13" s="1" t="s">
        <v>141</v>
      </c>
      <c r="G13" s="1" t="s">
        <v>141</v>
      </c>
      <c r="H13" s="1" t="s">
        <v>141</v>
      </c>
      <c r="I13" s="1" t="s">
        <v>142</v>
      </c>
      <c r="J13" s="16" t="s">
        <v>149</v>
      </c>
      <c r="K13" t="s">
        <v>123</v>
      </c>
      <c r="L13" t="s">
        <v>121</v>
      </c>
      <c r="M13" t="s">
        <v>121</v>
      </c>
      <c r="N13" t="s">
        <v>121</v>
      </c>
      <c r="O13" s="4" t="s">
        <v>199</v>
      </c>
      <c r="P13">
        <v>0</v>
      </c>
      <c r="Q13" s="24">
        <v>2</v>
      </c>
      <c r="R13" s="25">
        <v>1.3</v>
      </c>
      <c r="S13" s="26">
        <v>2</v>
      </c>
      <c r="T13" s="3"/>
      <c r="U13" s="3">
        <v>12</v>
      </c>
      <c r="V13" s="1">
        <v>1750</v>
      </c>
      <c r="W13" s="1">
        <v>486</v>
      </c>
      <c r="X13" s="3"/>
      <c r="Y13">
        <v>2</v>
      </c>
      <c r="Z13">
        <v>2</v>
      </c>
      <c r="AA13" s="3">
        <v>4</v>
      </c>
      <c r="AB13" s="3">
        <v>5</v>
      </c>
      <c r="AC13" s="3">
        <v>11</v>
      </c>
      <c r="AD13" s="9">
        <f t="shared" si="0"/>
        <v>58.75</v>
      </c>
      <c r="AE13">
        <f t="shared" si="1"/>
        <v>1410</v>
      </c>
      <c r="AF13" s="2">
        <f t="shared" si="9"/>
        <v>2</v>
      </c>
      <c r="AG13" t="str">
        <f t="shared" si="10"/>
        <v>58分钟</v>
      </c>
      <c r="AH13">
        <f t="shared" si="11"/>
        <v>6</v>
      </c>
      <c r="AI13">
        <f t="shared" si="12"/>
        <v>2</v>
      </c>
      <c r="AJ13">
        <f t="shared" si="2"/>
        <v>11.5</v>
      </c>
      <c r="AK13">
        <f t="shared" si="13"/>
        <v>7</v>
      </c>
      <c r="AL13">
        <f t="shared" si="3"/>
        <v>2</v>
      </c>
      <c r="AM13" s="2">
        <f t="shared" si="14"/>
        <v>2</v>
      </c>
      <c r="AP13">
        <v>21</v>
      </c>
      <c r="AQ13">
        <v>7</v>
      </c>
      <c r="AR13">
        <v>3</v>
      </c>
      <c r="AX13">
        <v>12</v>
      </c>
      <c r="AY13">
        <v>12</v>
      </c>
      <c r="AZ13" s="3">
        <f t="shared" si="4"/>
        <v>1750</v>
      </c>
      <c r="BA13" t="e">
        <f>AZ13/(#REF!*60/5)/60</f>
        <v>#REF!</v>
      </c>
      <c r="BB13">
        <v>10</v>
      </c>
      <c r="BC13" t="e">
        <f t="shared" si="5"/>
        <v>#N/A</v>
      </c>
      <c r="BD13" s="2">
        <f t="shared" si="15"/>
        <v>11.5</v>
      </c>
      <c r="BE13">
        <f t="shared" si="16"/>
        <v>2</v>
      </c>
      <c r="BF13">
        <f t="shared" si="17"/>
        <v>11520</v>
      </c>
    </row>
    <row r="14" spans="1:58" ht="14.25" x14ac:dyDescent="0.2">
      <c r="A14" s="10">
        <v>203</v>
      </c>
      <c r="B14" s="13">
        <v>2</v>
      </c>
      <c r="C14" s="15">
        <v>2</v>
      </c>
      <c r="D14" s="14">
        <v>2</v>
      </c>
      <c r="E14" s="1" t="s">
        <v>143</v>
      </c>
      <c r="F14" s="1" t="s">
        <v>141</v>
      </c>
      <c r="G14" s="1" t="s">
        <v>141</v>
      </c>
      <c r="H14" s="1" t="s">
        <v>141</v>
      </c>
      <c r="I14" s="1" t="s">
        <v>142</v>
      </c>
      <c r="J14" s="16" t="s">
        <v>149</v>
      </c>
      <c r="K14" t="s">
        <v>124</v>
      </c>
      <c r="L14" t="s">
        <v>128</v>
      </c>
      <c r="M14" t="s">
        <v>121</v>
      </c>
      <c r="N14" t="s">
        <v>121</v>
      </c>
      <c r="O14" s="4" t="s">
        <v>201</v>
      </c>
      <c r="P14">
        <v>0</v>
      </c>
      <c r="Q14" s="24">
        <v>2</v>
      </c>
      <c r="R14" s="25">
        <v>1.3</v>
      </c>
      <c r="S14" s="26">
        <v>2</v>
      </c>
      <c r="T14" s="3"/>
      <c r="U14" s="3">
        <v>13</v>
      </c>
      <c r="V14" s="1">
        <v>2144</v>
      </c>
      <c r="W14" s="1">
        <v>535</v>
      </c>
      <c r="X14" s="3"/>
      <c r="Y14">
        <v>2</v>
      </c>
      <c r="Z14">
        <v>3</v>
      </c>
      <c r="AA14" s="3">
        <v>4</v>
      </c>
      <c r="AB14" s="3">
        <v>5</v>
      </c>
      <c r="AC14" s="3">
        <v>11</v>
      </c>
      <c r="AD14" s="9">
        <f t="shared" si="0"/>
        <v>58.75</v>
      </c>
      <c r="AE14">
        <f t="shared" si="1"/>
        <v>1410</v>
      </c>
      <c r="AF14" s="2">
        <f t="shared" si="9"/>
        <v>2</v>
      </c>
      <c r="AG14" t="str">
        <f t="shared" si="10"/>
        <v>58分钟</v>
      </c>
      <c r="AH14">
        <f t="shared" si="11"/>
        <v>6</v>
      </c>
      <c r="AI14">
        <f t="shared" si="12"/>
        <v>2</v>
      </c>
      <c r="AJ14">
        <f t="shared" si="2"/>
        <v>11.5</v>
      </c>
      <c r="AK14">
        <f t="shared" si="13"/>
        <v>7</v>
      </c>
      <c r="AL14">
        <f t="shared" si="3"/>
        <v>2</v>
      </c>
      <c r="AM14" s="2">
        <f t="shared" si="14"/>
        <v>2</v>
      </c>
      <c r="AP14">
        <v>21</v>
      </c>
      <c r="AQ14">
        <v>7</v>
      </c>
      <c r="AR14">
        <v>3</v>
      </c>
      <c r="AX14">
        <v>13</v>
      </c>
      <c r="AY14">
        <v>13</v>
      </c>
      <c r="AZ14" s="3">
        <f t="shared" si="4"/>
        <v>2144</v>
      </c>
      <c r="BA14" t="e">
        <f>AZ14/(#REF!*60/5)/60</f>
        <v>#REF!</v>
      </c>
      <c r="BB14">
        <v>10</v>
      </c>
      <c r="BC14" t="e">
        <f t="shared" si="5"/>
        <v>#N/A</v>
      </c>
      <c r="BD14" s="2">
        <f t="shared" si="15"/>
        <v>11.5</v>
      </c>
      <c r="BE14">
        <f t="shared" si="16"/>
        <v>2</v>
      </c>
      <c r="BF14">
        <f t="shared" si="17"/>
        <v>11520</v>
      </c>
    </row>
    <row r="15" spans="1:58" ht="14.25" x14ac:dyDescent="0.2">
      <c r="A15" s="10">
        <v>204</v>
      </c>
      <c r="B15" s="13">
        <v>2</v>
      </c>
      <c r="C15" s="15">
        <v>2</v>
      </c>
      <c r="D15" s="14">
        <v>2</v>
      </c>
      <c r="E15" s="1" t="s">
        <v>143</v>
      </c>
      <c r="F15" s="1" t="s">
        <v>141</v>
      </c>
      <c r="G15" s="1" t="s">
        <v>141</v>
      </c>
      <c r="H15" s="1" t="s">
        <v>141</v>
      </c>
      <c r="I15" s="1" t="s">
        <v>142</v>
      </c>
      <c r="J15" s="16" t="s">
        <v>149</v>
      </c>
      <c r="K15" t="s">
        <v>123</v>
      </c>
      <c r="L15" t="s">
        <v>121</v>
      </c>
      <c r="M15" t="s">
        <v>121</v>
      </c>
      <c r="N15" t="s">
        <v>121</v>
      </c>
      <c r="O15" s="4" t="s">
        <v>203</v>
      </c>
      <c r="P15">
        <v>0</v>
      </c>
      <c r="Q15" s="24">
        <v>2</v>
      </c>
      <c r="R15" s="25">
        <v>1.3</v>
      </c>
      <c r="S15" s="26">
        <v>2</v>
      </c>
      <c r="T15" s="3"/>
      <c r="U15" s="3">
        <v>14</v>
      </c>
      <c r="V15" s="1">
        <v>2596</v>
      </c>
      <c r="W15" s="1">
        <v>588</v>
      </c>
      <c r="X15" s="3"/>
      <c r="Y15">
        <v>2</v>
      </c>
      <c r="Z15">
        <v>4</v>
      </c>
      <c r="AA15" s="3">
        <v>4</v>
      </c>
      <c r="AB15" s="3">
        <v>5</v>
      </c>
      <c r="AC15" s="3">
        <v>11</v>
      </c>
      <c r="AD15" s="9">
        <f t="shared" si="0"/>
        <v>58.75</v>
      </c>
      <c r="AE15">
        <f t="shared" si="1"/>
        <v>1410</v>
      </c>
      <c r="AF15" s="2">
        <f t="shared" si="9"/>
        <v>2</v>
      </c>
      <c r="AG15" t="str">
        <f t="shared" si="10"/>
        <v>58分钟</v>
      </c>
      <c r="AH15">
        <f t="shared" si="11"/>
        <v>6</v>
      </c>
      <c r="AI15">
        <f t="shared" si="12"/>
        <v>2</v>
      </c>
      <c r="AJ15">
        <f t="shared" si="2"/>
        <v>11.5</v>
      </c>
      <c r="AK15">
        <f t="shared" si="13"/>
        <v>7</v>
      </c>
      <c r="AL15">
        <f t="shared" si="3"/>
        <v>2</v>
      </c>
      <c r="AM15" s="2">
        <f t="shared" si="14"/>
        <v>2</v>
      </c>
      <c r="AP15">
        <v>21</v>
      </c>
      <c r="AQ15">
        <v>7</v>
      </c>
      <c r="AR15">
        <v>3</v>
      </c>
      <c r="AX15">
        <v>14</v>
      </c>
      <c r="AY15">
        <v>14</v>
      </c>
      <c r="AZ15" s="3">
        <f t="shared" si="4"/>
        <v>2596</v>
      </c>
      <c r="BA15" t="e">
        <f>AZ15/(#REF!*60/5)/60</f>
        <v>#REF!</v>
      </c>
      <c r="BB15">
        <v>10</v>
      </c>
      <c r="BC15" t="e">
        <f t="shared" si="5"/>
        <v>#N/A</v>
      </c>
      <c r="BD15" s="2">
        <f t="shared" si="15"/>
        <v>11.5</v>
      </c>
      <c r="BE15">
        <f t="shared" si="16"/>
        <v>2</v>
      </c>
      <c r="BF15">
        <f t="shared" si="17"/>
        <v>11520</v>
      </c>
    </row>
    <row r="16" spans="1:58" ht="14.25" x14ac:dyDescent="0.2">
      <c r="A16" s="10">
        <v>205</v>
      </c>
      <c r="B16" s="13">
        <v>2</v>
      </c>
      <c r="C16" s="15">
        <v>2</v>
      </c>
      <c r="D16" s="14">
        <v>2</v>
      </c>
      <c r="E16" s="1" t="s">
        <v>143</v>
      </c>
      <c r="F16" s="1" t="s">
        <v>141</v>
      </c>
      <c r="G16" s="1" t="s">
        <v>141</v>
      </c>
      <c r="H16" s="1" t="s">
        <v>141</v>
      </c>
      <c r="I16" s="1" t="s">
        <v>142</v>
      </c>
      <c r="J16" s="16" t="s">
        <v>149</v>
      </c>
      <c r="K16" t="s">
        <v>124</v>
      </c>
      <c r="L16" t="s">
        <v>125</v>
      </c>
      <c r="M16" t="s">
        <v>121</v>
      </c>
      <c r="N16" t="s">
        <v>121</v>
      </c>
      <c r="O16" s="4" t="s">
        <v>205</v>
      </c>
      <c r="P16">
        <v>0</v>
      </c>
      <c r="Q16" s="24">
        <v>2.5</v>
      </c>
      <c r="R16" s="25">
        <v>1.7</v>
      </c>
      <c r="S16" s="26">
        <v>2.7</v>
      </c>
      <c r="T16" s="3"/>
      <c r="U16" s="3">
        <v>15</v>
      </c>
      <c r="V16" s="1">
        <v>3110</v>
      </c>
      <c r="W16" s="1">
        <v>645</v>
      </c>
      <c r="X16" s="3"/>
      <c r="Y16">
        <v>2</v>
      </c>
      <c r="Z16">
        <v>5</v>
      </c>
      <c r="AA16" s="3">
        <v>5</v>
      </c>
      <c r="AB16" s="3">
        <v>5</v>
      </c>
      <c r="AC16" s="3">
        <v>11</v>
      </c>
      <c r="AD16" s="9">
        <f t="shared" si="0"/>
        <v>58.75</v>
      </c>
      <c r="AE16">
        <f t="shared" si="1"/>
        <v>1410</v>
      </c>
      <c r="AF16" s="2">
        <f t="shared" si="9"/>
        <v>2</v>
      </c>
      <c r="AG16" t="str">
        <f t="shared" si="10"/>
        <v>58分钟</v>
      </c>
      <c r="AH16">
        <f t="shared" si="11"/>
        <v>6</v>
      </c>
      <c r="AI16">
        <f t="shared" si="12"/>
        <v>2</v>
      </c>
      <c r="AJ16">
        <f t="shared" si="2"/>
        <v>11.5</v>
      </c>
      <c r="AK16">
        <f t="shared" si="13"/>
        <v>7</v>
      </c>
      <c r="AL16">
        <f t="shared" si="3"/>
        <v>2</v>
      </c>
      <c r="AM16" s="2">
        <f t="shared" si="14"/>
        <v>2</v>
      </c>
      <c r="AP16">
        <v>21</v>
      </c>
      <c r="AQ16">
        <v>7</v>
      </c>
      <c r="AR16">
        <v>3</v>
      </c>
      <c r="AX16">
        <v>15</v>
      </c>
      <c r="AY16">
        <v>15</v>
      </c>
      <c r="AZ16" s="3">
        <f t="shared" si="4"/>
        <v>3110</v>
      </c>
      <c r="BA16" t="e">
        <f>AZ16/(#REF!*60/5)/60</f>
        <v>#REF!</v>
      </c>
      <c r="BB16">
        <v>10</v>
      </c>
      <c r="BC16" t="e">
        <f t="shared" si="5"/>
        <v>#N/A</v>
      </c>
      <c r="BD16" s="2">
        <f t="shared" si="15"/>
        <v>11.5</v>
      </c>
      <c r="BE16">
        <f t="shared" si="16"/>
        <v>2</v>
      </c>
      <c r="BF16">
        <f t="shared" si="17"/>
        <v>11520</v>
      </c>
    </row>
    <row r="17" spans="1:58" ht="14.25" x14ac:dyDescent="0.2">
      <c r="A17" s="10">
        <v>206</v>
      </c>
      <c r="B17" s="13">
        <v>2</v>
      </c>
      <c r="C17" s="15">
        <v>2</v>
      </c>
      <c r="D17" s="14">
        <v>2</v>
      </c>
      <c r="E17" s="1" t="s">
        <v>150</v>
      </c>
      <c r="F17" s="1" t="s">
        <v>144</v>
      </c>
      <c r="G17" s="1" t="s">
        <v>132</v>
      </c>
      <c r="H17" s="1" t="s">
        <v>132</v>
      </c>
      <c r="I17" s="1" t="s">
        <v>140</v>
      </c>
      <c r="J17" s="16" t="s">
        <v>151</v>
      </c>
      <c r="K17" t="s">
        <v>123</v>
      </c>
      <c r="L17" t="s">
        <v>121</v>
      </c>
      <c r="M17" t="s">
        <v>121</v>
      </c>
      <c r="N17" t="s">
        <v>121</v>
      </c>
      <c r="O17" s="4" t="s">
        <v>207</v>
      </c>
      <c r="P17">
        <v>0</v>
      </c>
      <c r="Q17" s="24">
        <v>2.5</v>
      </c>
      <c r="R17" s="25">
        <v>1.7</v>
      </c>
      <c r="S17" s="26">
        <v>2.7</v>
      </c>
      <c r="T17" s="3"/>
      <c r="U17" s="3">
        <v>16</v>
      </c>
      <c r="V17" s="1">
        <v>3690</v>
      </c>
      <c r="W17" s="1">
        <v>706</v>
      </c>
      <c r="X17" s="3"/>
      <c r="Y17">
        <v>2</v>
      </c>
      <c r="Z17">
        <v>6</v>
      </c>
      <c r="AA17" s="3">
        <v>4</v>
      </c>
      <c r="AB17" s="3">
        <v>5</v>
      </c>
      <c r="AC17" s="3">
        <v>12</v>
      </c>
      <c r="AD17" s="9">
        <f t="shared" si="0"/>
        <v>66.25</v>
      </c>
      <c r="AE17">
        <f t="shared" si="1"/>
        <v>1750</v>
      </c>
      <c r="AF17" s="2">
        <f t="shared" si="9"/>
        <v>2.2000000000000002</v>
      </c>
      <c r="AG17" t="str">
        <f t="shared" si="10"/>
        <v>1小时</v>
      </c>
      <c r="AH17">
        <f t="shared" si="11"/>
        <v>7</v>
      </c>
      <c r="AI17">
        <f t="shared" si="12"/>
        <v>2</v>
      </c>
      <c r="AJ17">
        <f t="shared" si="2"/>
        <v>11.8</v>
      </c>
      <c r="AK17">
        <f t="shared" si="13"/>
        <v>8</v>
      </c>
      <c r="AL17">
        <f t="shared" si="3"/>
        <v>2.2000000000000002</v>
      </c>
      <c r="AM17" s="2">
        <f t="shared" si="14"/>
        <v>2</v>
      </c>
      <c r="AP17">
        <v>21</v>
      </c>
      <c r="AQ17">
        <v>8</v>
      </c>
      <c r="AR17">
        <v>4</v>
      </c>
      <c r="AT17">
        <v>10.5</v>
      </c>
      <c r="AU17">
        <v>8</v>
      </c>
      <c r="AV17">
        <v>4</v>
      </c>
      <c r="AX17">
        <v>16</v>
      </c>
      <c r="AY17">
        <v>16</v>
      </c>
      <c r="AZ17" s="3">
        <f t="shared" si="4"/>
        <v>3690</v>
      </c>
      <c r="BA17" t="e">
        <f>AZ17/(#REF!*60/5)/60</f>
        <v>#REF!</v>
      </c>
      <c r="BB17">
        <v>10</v>
      </c>
      <c r="BC17" t="e">
        <f t="shared" si="5"/>
        <v>#N/A</v>
      </c>
      <c r="BD17" s="2">
        <f t="shared" si="15"/>
        <v>11.8</v>
      </c>
      <c r="BE17">
        <f t="shared" si="16"/>
        <v>2.2000000000000002</v>
      </c>
      <c r="BF17">
        <f t="shared" si="17"/>
        <v>12672</v>
      </c>
    </row>
    <row r="18" spans="1:58" ht="14.25" x14ac:dyDescent="0.2">
      <c r="A18" s="10">
        <v>207</v>
      </c>
      <c r="B18" s="13">
        <v>2</v>
      </c>
      <c r="C18" s="15">
        <v>2</v>
      </c>
      <c r="D18" s="14">
        <v>2</v>
      </c>
      <c r="E18" s="1" t="s">
        <v>150</v>
      </c>
      <c r="F18" s="1" t="s">
        <v>138</v>
      </c>
      <c r="G18" s="1" t="s">
        <v>132</v>
      </c>
      <c r="H18" s="1" t="s">
        <v>132</v>
      </c>
      <c r="I18" s="1" t="s">
        <v>140</v>
      </c>
      <c r="J18" s="16" t="s">
        <v>151</v>
      </c>
      <c r="K18" t="s">
        <v>123</v>
      </c>
      <c r="L18" t="s">
        <v>121</v>
      </c>
      <c r="M18" t="s">
        <v>121</v>
      </c>
      <c r="N18" t="s">
        <v>121</v>
      </c>
      <c r="O18" s="4" t="s">
        <v>207</v>
      </c>
      <c r="P18">
        <v>0</v>
      </c>
      <c r="Q18" s="24">
        <v>2.5</v>
      </c>
      <c r="R18" s="25">
        <v>1.7</v>
      </c>
      <c r="S18" s="26">
        <v>2.7</v>
      </c>
      <c r="T18" s="3"/>
      <c r="U18" s="3">
        <v>17</v>
      </c>
      <c r="V18" s="1">
        <v>4340</v>
      </c>
      <c r="W18" s="1">
        <v>771</v>
      </c>
      <c r="X18" s="3"/>
      <c r="Y18">
        <v>2</v>
      </c>
      <c r="Z18">
        <v>7</v>
      </c>
      <c r="AA18" s="3">
        <v>4</v>
      </c>
      <c r="AB18" s="3">
        <v>5</v>
      </c>
      <c r="AC18" s="3">
        <v>12</v>
      </c>
      <c r="AD18" s="9">
        <f t="shared" si="0"/>
        <v>66.25</v>
      </c>
      <c r="AE18">
        <f t="shared" si="1"/>
        <v>1750</v>
      </c>
      <c r="AF18" s="2">
        <f t="shared" si="9"/>
        <v>2.2000000000000002</v>
      </c>
      <c r="AG18" t="str">
        <f t="shared" si="10"/>
        <v>1小时</v>
      </c>
      <c r="AH18">
        <f t="shared" si="11"/>
        <v>7</v>
      </c>
      <c r="AI18">
        <f t="shared" si="12"/>
        <v>2</v>
      </c>
      <c r="AJ18">
        <f t="shared" si="2"/>
        <v>11.8</v>
      </c>
      <c r="AK18">
        <f t="shared" si="13"/>
        <v>8</v>
      </c>
      <c r="AL18">
        <f t="shared" si="3"/>
        <v>2.2000000000000002</v>
      </c>
      <c r="AM18" s="2">
        <f t="shared" si="14"/>
        <v>2</v>
      </c>
      <c r="AP18">
        <v>21</v>
      </c>
      <c r="AQ18">
        <v>8</v>
      </c>
      <c r="AR18">
        <v>4</v>
      </c>
      <c r="AX18">
        <v>17</v>
      </c>
      <c r="AY18">
        <v>17</v>
      </c>
      <c r="AZ18" s="3">
        <f t="shared" si="4"/>
        <v>4340</v>
      </c>
      <c r="BA18" t="e">
        <f>AZ18/(#REF!*60/5)/60</f>
        <v>#REF!</v>
      </c>
      <c r="BB18">
        <v>10</v>
      </c>
      <c r="BC18" t="e">
        <f t="shared" si="5"/>
        <v>#N/A</v>
      </c>
      <c r="BD18" s="2">
        <f t="shared" si="15"/>
        <v>11.8</v>
      </c>
      <c r="BE18">
        <f t="shared" si="16"/>
        <v>2.2000000000000002</v>
      </c>
      <c r="BF18">
        <f t="shared" si="17"/>
        <v>12672</v>
      </c>
    </row>
    <row r="19" spans="1:58" ht="14.25" x14ac:dyDescent="0.2">
      <c r="A19" s="10">
        <v>208</v>
      </c>
      <c r="B19" s="13">
        <v>2</v>
      </c>
      <c r="C19" s="15">
        <v>2</v>
      </c>
      <c r="D19" s="14">
        <v>2</v>
      </c>
      <c r="E19" s="1" t="s">
        <v>150</v>
      </c>
      <c r="F19" s="1" t="s">
        <v>153</v>
      </c>
      <c r="G19" s="1" t="s">
        <v>132</v>
      </c>
      <c r="H19" s="1" t="s">
        <v>132</v>
      </c>
      <c r="I19" s="1" t="s">
        <v>140</v>
      </c>
      <c r="J19" s="16" t="s">
        <v>151</v>
      </c>
      <c r="K19" t="s">
        <v>126</v>
      </c>
      <c r="L19" t="s">
        <v>121</v>
      </c>
      <c r="M19" t="s">
        <v>121</v>
      </c>
      <c r="N19" t="s">
        <v>121</v>
      </c>
      <c r="O19" s="4" t="s">
        <v>209</v>
      </c>
      <c r="P19">
        <v>0</v>
      </c>
      <c r="Q19" s="24">
        <v>2.5</v>
      </c>
      <c r="R19" s="25">
        <v>1.7</v>
      </c>
      <c r="S19" s="26">
        <v>2.7</v>
      </c>
      <c r="T19" s="3"/>
      <c r="U19" s="3">
        <v>18</v>
      </c>
      <c r="V19" s="1">
        <v>5064</v>
      </c>
      <c r="W19" s="1">
        <v>840</v>
      </c>
      <c r="X19" s="3"/>
      <c r="Y19">
        <v>2</v>
      </c>
      <c r="Z19">
        <v>8</v>
      </c>
      <c r="AA19" s="3">
        <v>4</v>
      </c>
      <c r="AB19" s="3">
        <v>5</v>
      </c>
      <c r="AC19" s="3">
        <v>12</v>
      </c>
      <c r="AD19" s="9">
        <f t="shared" si="0"/>
        <v>66.25</v>
      </c>
      <c r="AE19">
        <f t="shared" si="1"/>
        <v>1750</v>
      </c>
      <c r="AF19" s="2">
        <f t="shared" si="9"/>
        <v>2.2000000000000002</v>
      </c>
      <c r="AG19" t="str">
        <f t="shared" si="10"/>
        <v>1小时</v>
      </c>
      <c r="AH19">
        <f t="shared" si="11"/>
        <v>7</v>
      </c>
      <c r="AI19">
        <f t="shared" si="12"/>
        <v>2</v>
      </c>
      <c r="AJ19">
        <f t="shared" si="2"/>
        <v>11.8</v>
      </c>
      <c r="AK19">
        <f t="shared" si="13"/>
        <v>8</v>
      </c>
      <c r="AL19">
        <f t="shared" si="3"/>
        <v>2.2000000000000002</v>
      </c>
      <c r="AM19" s="2">
        <f t="shared" si="14"/>
        <v>2</v>
      </c>
      <c r="AP19">
        <v>21</v>
      </c>
      <c r="AQ19">
        <v>8</v>
      </c>
      <c r="AR19">
        <v>4</v>
      </c>
      <c r="AX19">
        <v>18</v>
      </c>
      <c r="AY19">
        <v>18</v>
      </c>
      <c r="AZ19" s="3">
        <f t="shared" si="4"/>
        <v>5064</v>
      </c>
      <c r="BA19" t="e">
        <f>AZ19/(#REF!*60/5)/60</f>
        <v>#REF!</v>
      </c>
      <c r="BB19">
        <v>10</v>
      </c>
      <c r="BC19" t="e">
        <f t="shared" si="5"/>
        <v>#N/A</v>
      </c>
      <c r="BD19" s="2">
        <f t="shared" si="15"/>
        <v>11.8</v>
      </c>
      <c r="BE19">
        <f t="shared" si="16"/>
        <v>2.2000000000000002</v>
      </c>
      <c r="BF19">
        <f t="shared" si="17"/>
        <v>12672</v>
      </c>
    </row>
    <row r="20" spans="1:58" ht="14.25" x14ac:dyDescent="0.2">
      <c r="A20" s="10">
        <v>209</v>
      </c>
      <c r="B20" s="13">
        <v>2</v>
      </c>
      <c r="C20" s="15">
        <v>2</v>
      </c>
      <c r="D20" s="14">
        <v>2</v>
      </c>
      <c r="E20" s="1" t="s">
        <v>150</v>
      </c>
      <c r="F20" s="1" t="s">
        <v>139</v>
      </c>
      <c r="G20" s="1" t="s">
        <v>132</v>
      </c>
      <c r="H20" s="1" t="s">
        <v>132</v>
      </c>
      <c r="I20" s="1" t="s">
        <v>140</v>
      </c>
      <c r="J20" s="16" t="s">
        <v>151</v>
      </c>
      <c r="K20" t="s">
        <v>124</v>
      </c>
      <c r="L20" t="s">
        <v>127</v>
      </c>
      <c r="M20" t="s">
        <v>121</v>
      </c>
      <c r="N20" t="s">
        <v>121</v>
      </c>
      <c r="O20" s="4" t="s">
        <v>211</v>
      </c>
      <c r="P20">
        <v>0</v>
      </c>
      <c r="Q20" s="24">
        <v>3</v>
      </c>
      <c r="R20" s="25">
        <v>2.1</v>
      </c>
      <c r="S20" s="26">
        <v>3.3</v>
      </c>
      <c r="T20" s="3"/>
      <c r="U20" s="3">
        <v>19</v>
      </c>
      <c r="V20" s="1">
        <v>5866</v>
      </c>
      <c r="W20" s="1">
        <v>913</v>
      </c>
      <c r="X20" s="3"/>
      <c r="Y20">
        <v>2</v>
      </c>
      <c r="Z20">
        <v>9</v>
      </c>
      <c r="AA20" s="3">
        <v>4</v>
      </c>
      <c r="AB20" s="3">
        <v>5</v>
      </c>
      <c r="AC20" s="3">
        <v>12</v>
      </c>
      <c r="AD20" s="9">
        <f t="shared" si="0"/>
        <v>66.25</v>
      </c>
      <c r="AE20">
        <f t="shared" si="1"/>
        <v>1750</v>
      </c>
      <c r="AF20" s="2">
        <f t="shared" si="9"/>
        <v>2.2000000000000002</v>
      </c>
      <c r="AG20" t="str">
        <f t="shared" si="10"/>
        <v>1小时</v>
      </c>
      <c r="AH20">
        <f t="shared" si="11"/>
        <v>7</v>
      </c>
      <c r="AI20">
        <f t="shared" si="12"/>
        <v>2</v>
      </c>
      <c r="AJ20">
        <f t="shared" si="2"/>
        <v>11.8</v>
      </c>
      <c r="AK20">
        <f t="shared" si="13"/>
        <v>8</v>
      </c>
      <c r="AL20">
        <f t="shared" si="3"/>
        <v>2.2000000000000002</v>
      </c>
      <c r="AM20" s="2">
        <f t="shared" si="14"/>
        <v>2</v>
      </c>
      <c r="AP20">
        <v>21</v>
      </c>
      <c r="AQ20">
        <v>8</v>
      </c>
      <c r="AR20">
        <v>4</v>
      </c>
      <c r="AX20">
        <v>19</v>
      </c>
      <c r="AY20">
        <v>19</v>
      </c>
      <c r="AZ20" s="3">
        <f t="shared" si="4"/>
        <v>5866</v>
      </c>
      <c r="BA20" t="e">
        <f>AZ20/(#REF!*60/5)/60</f>
        <v>#REF!</v>
      </c>
      <c r="BB20">
        <v>10</v>
      </c>
      <c r="BC20" t="e">
        <f t="shared" si="5"/>
        <v>#N/A</v>
      </c>
      <c r="BD20" s="2">
        <f t="shared" si="15"/>
        <v>11.8</v>
      </c>
      <c r="BE20">
        <f t="shared" si="16"/>
        <v>2.2000000000000002</v>
      </c>
      <c r="BF20">
        <f t="shared" si="17"/>
        <v>12672</v>
      </c>
    </row>
    <row r="21" spans="1:58" ht="14.25" x14ac:dyDescent="0.2">
      <c r="A21" s="10">
        <v>210</v>
      </c>
      <c r="B21" s="13">
        <v>2</v>
      </c>
      <c r="C21" s="15">
        <v>2</v>
      </c>
      <c r="D21" s="14">
        <v>2</v>
      </c>
      <c r="E21" s="1" t="s">
        <v>150</v>
      </c>
      <c r="F21" s="1" t="s">
        <v>132</v>
      </c>
      <c r="G21" s="1" t="s">
        <v>144</v>
      </c>
      <c r="H21" s="1" t="s">
        <v>144</v>
      </c>
      <c r="I21" s="1" t="s">
        <v>140</v>
      </c>
      <c r="J21" s="16" t="s">
        <v>151</v>
      </c>
      <c r="K21" t="s">
        <v>123</v>
      </c>
      <c r="L21" t="s">
        <v>121</v>
      </c>
      <c r="M21" t="s">
        <v>121</v>
      </c>
      <c r="N21" t="s">
        <v>121</v>
      </c>
      <c r="O21" s="17" t="s">
        <v>213</v>
      </c>
      <c r="P21">
        <v>0</v>
      </c>
      <c r="Q21" s="24">
        <v>3</v>
      </c>
      <c r="R21" s="25">
        <v>2.1</v>
      </c>
      <c r="S21" s="26">
        <v>3.3</v>
      </c>
      <c r="T21" s="3"/>
      <c r="U21" s="3">
        <v>20</v>
      </c>
      <c r="V21" s="1">
        <v>6750</v>
      </c>
      <c r="W21" s="1">
        <v>1320</v>
      </c>
      <c r="X21" s="3"/>
      <c r="Y21">
        <v>2</v>
      </c>
      <c r="Z21">
        <v>10</v>
      </c>
      <c r="AA21" s="3">
        <v>5</v>
      </c>
      <c r="AB21" s="3">
        <v>5</v>
      </c>
      <c r="AC21" s="3">
        <v>12</v>
      </c>
      <c r="AD21" s="9">
        <f t="shared" si="0"/>
        <v>66.25</v>
      </c>
      <c r="AE21">
        <f t="shared" si="1"/>
        <v>1750</v>
      </c>
      <c r="AF21" s="2">
        <f t="shared" si="9"/>
        <v>2.2000000000000002</v>
      </c>
      <c r="AG21" t="str">
        <f t="shared" si="10"/>
        <v>1小时</v>
      </c>
      <c r="AH21">
        <f t="shared" si="11"/>
        <v>7</v>
      </c>
      <c r="AI21">
        <f t="shared" si="12"/>
        <v>2</v>
      </c>
      <c r="AJ21">
        <f t="shared" si="2"/>
        <v>11.8</v>
      </c>
      <c r="AK21">
        <f t="shared" si="13"/>
        <v>8</v>
      </c>
      <c r="AL21">
        <f t="shared" si="3"/>
        <v>2.2000000000000002</v>
      </c>
      <c r="AM21" s="2">
        <f t="shared" si="14"/>
        <v>2</v>
      </c>
      <c r="AP21">
        <v>21</v>
      </c>
      <c r="AQ21">
        <v>8</v>
      </c>
      <c r="AR21">
        <v>4</v>
      </c>
      <c r="AX21">
        <v>20</v>
      </c>
      <c r="AY21">
        <v>20</v>
      </c>
      <c r="AZ21" s="3">
        <f t="shared" si="4"/>
        <v>6750</v>
      </c>
      <c r="BA21" t="e">
        <f>AZ21/(#REF!*60/5)/60</f>
        <v>#REF!</v>
      </c>
      <c r="BB21">
        <v>10</v>
      </c>
      <c r="BC21" t="e">
        <f t="shared" si="5"/>
        <v>#N/A</v>
      </c>
      <c r="BD21" s="2">
        <f t="shared" si="15"/>
        <v>11.8</v>
      </c>
      <c r="BE21">
        <f t="shared" si="16"/>
        <v>2.2000000000000002</v>
      </c>
      <c r="BF21">
        <f t="shared" si="17"/>
        <v>12672</v>
      </c>
    </row>
    <row r="22" spans="1:58" ht="14.25" x14ac:dyDescent="0.2">
      <c r="A22" s="10">
        <v>211</v>
      </c>
      <c r="B22" s="13">
        <v>2</v>
      </c>
      <c r="C22" s="15">
        <v>2</v>
      </c>
      <c r="D22" s="14">
        <v>2</v>
      </c>
      <c r="E22" s="1" t="s">
        <v>150</v>
      </c>
      <c r="F22" s="1" t="s">
        <v>132</v>
      </c>
      <c r="G22" s="1" t="s">
        <v>144</v>
      </c>
      <c r="H22" s="1" t="s">
        <v>144</v>
      </c>
      <c r="I22" s="1" t="s">
        <v>140</v>
      </c>
      <c r="J22" s="16" t="s">
        <v>151</v>
      </c>
      <c r="K22" t="s">
        <v>124</v>
      </c>
      <c r="L22" t="s">
        <v>136</v>
      </c>
      <c r="M22" t="s">
        <v>121</v>
      </c>
      <c r="N22" t="s">
        <v>121</v>
      </c>
      <c r="O22" s="17" t="s">
        <v>211</v>
      </c>
      <c r="P22">
        <v>0</v>
      </c>
      <c r="Q22" s="24">
        <v>3</v>
      </c>
      <c r="R22" s="25">
        <v>2.1</v>
      </c>
      <c r="S22" s="26">
        <v>3.3</v>
      </c>
      <c r="T22" s="3"/>
      <c r="U22" s="3">
        <v>19</v>
      </c>
      <c r="V22" s="1">
        <v>5866</v>
      </c>
      <c r="W22" s="1">
        <v>913</v>
      </c>
      <c r="X22" s="3"/>
      <c r="Y22">
        <v>2</v>
      </c>
      <c r="Z22">
        <v>9</v>
      </c>
      <c r="AA22" s="3">
        <v>4</v>
      </c>
      <c r="AB22" s="3">
        <v>5</v>
      </c>
      <c r="AC22" s="3">
        <v>12</v>
      </c>
      <c r="AD22" s="9">
        <f t="shared" ref="AD22:AD23" si="18">INT(AE22/AF22)/60*5</f>
        <v>66.25</v>
      </c>
      <c r="AE22">
        <f t="shared" si="1"/>
        <v>1750</v>
      </c>
      <c r="AF22" s="2">
        <f t="shared" ref="AF22:AF23" si="19">BE22</f>
        <v>2.2000000000000002</v>
      </c>
      <c r="AG22" t="str">
        <f t="shared" ref="AG22:AG23" si="20">IF(AD22&lt;60,CONCATENATE(INT(AD22),"分钟"),CONCATENATE(INT(AD22/60),"小时"))</f>
        <v>1小时</v>
      </c>
      <c r="AH22">
        <f t="shared" ref="AH22:AH23" si="21">ROUNDUP(AF22*3,0)</f>
        <v>7</v>
      </c>
      <c r="AI22">
        <f t="shared" ref="AI22:AI23" si="22">ROUNDUP(AH22/AB22,0)</f>
        <v>2</v>
      </c>
      <c r="AJ22">
        <f t="shared" ref="AJ22:AJ23" si="23">BD22</f>
        <v>11.8</v>
      </c>
      <c r="AK22">
        <f t="shared" ref="AK22:AK23" si="24">ROUNDUP(AJ22*3/AB22,0)</f>
        <v>8</v>
      </c>
      <c r="AL22">
        <f t="shared" ref="AL22:AL23" si="25">BE22</f>
        <v>2.2000000000000002</v>
      </c>
      <c r="AM22" s="2">
        <f t="shared" ref="AM22:AM23" si="26">ROUNDUP(AL22*3/AB22,0)</f>
        <v>2</v>
      </c>
      <c r="AP22">
        <v>21</v>
      </c>
      <c r="AQ22">
        <v>8</v>
      </c>
      <c r="AR22">
        <v>4</v>
      </c>
      <c r="AX22">
        <v>19</v>
      </c>
      <c r="AY22">
        <v>19</v>
      </c>
      <c r="AZ22" s="3">
        <f t="shared" si="4"/>
        <v>5866</v>
      </c>
      <c r="BA22" t="e">
        <f>AZ22/(#REF!*60/5)/60</f>
        <v>#REF!</v>
      </c>
      <c r="BB22">
        <v>10</v>
      </c>
      <c r="BC22" t="e">
        <f t="shared" si="5"/>
        <v>#N/A</v>
      </c>
      <c r="BD22" s="2">
        <f t="shared" ref="BD22:BD23" si="27">ROUNDUP(BE22*1.5,1)+8.5</f>
        <v>11.8</v>
      </c>
      <c r="BE22">
        <f t="shared" ref="BE22:BE23" si="28">FLOOR(ROUNDUP(AX22/5,0)*0.25+1.25,0.1)</f>
        <v>2.2000000000000002</v>
      </c>
      <c r="BF22">
        <f t="shared" ref="BF22:BF23" si="29">BE22*8*60*60/5</f>
        <v>12672</v>
      </c>
    </row>
    <row r="23" spans="1:58" ht="14.25" x14ac:dyDescent="0.2">
      <c r="A23" s="10">
        <v>212</v>
      </c>
      <c r="B23" s="13">
        <v>2</v>
      </c>
      <c r="C23" s="15">
        <v>2</v>
      </c>
      <c r="D23" s="14">
        <v>2</v>
      </c>
      <c r="E23" s="1" t="s">
        <v>150</v>
      </c>
      <c r="F23" s="1" t="s">
        <v>132</v>
      </c>
      <c r="G23" s="1" t="s">
        <v>144</v>
      </c>
      <c r="H23" s="1" t="s">
        <v>144</v>
      </c>
      <c r="I23" s="1" t="s">
        <v>140</v>
      </c>
      <c r="J23" s="16" t="s">
        <v>151</v>
      </c>
      <c r="K23" t="s">
        <v>126</v>
      </c>
      <c r="L23" t="s">
        <v>121</v>
      </c>
      <c r="M23" t="s">
        <v>121</v>
      </c>
      <c r="N23" t="s">
        <v>121</v>
      </c>
      <c r="O23" s="17" t="s">
        <v>211</v>
      </c>
      <c r="P23">
        <v>0</v>
      </c>
      <c r="Q23" s="24">
        <v>3</v>
      </c>
      <c r="R23" s="25">
        <v>2.1</v>
      </c>
      <c r="S23" s="26">
        <v>3.3</v>
      </c>
      <c r="T23" s="3"/>
      <c r="U23" s="3">
        <v>20</v>
      </c>
      <c r="V23" s="1">
        <v>6750</v>
      </c>
      <c r="W23" s="1">
        <v>1320</v>
      </c>
      <c r="X23" s="3"/>
      <c r="Y23">
        <v>2</v>
      </c>
      <c r="Z23">
        <v>10</v>
      </c>
      <c r="AA23" s="3">
        <v>5</v>
      </c>
      <c r="AB23" s="3">
        <v>5</v>
      </c>
      <c r="AC23" s="3">
        <v>12</v>
      </c>
      <c r="AD23" s="9">
        <f t="shared" si="18"/>
        <v>66.25</v>
      </c>
      <c r="AE23">
        <f t="shared" si="1"/>
        <v>1750</v>
      </c>
      <c r="AF23" s="2">
        <f t="shared" si="19"/>
        <v>2.2000000000000002</v>
      </c>
      <c r="AG23" t="str">
        <f t="shared" si="20"/>
        <v>1小时</v>
      </c>
      <c r="AH23">
        <f t="shared" si="21"/>
        <v>7</v>
      </c>
      <c r="AI23">
        <f t="shared" si="22"/>
        <v>2</v>
      </c>
      <c r="AJ23">
        <f t="shared" si="23"/>
        <v>11.8</v>
      </c>
      <c r="AK23">
        <f t="shared" si="24"/>
        <v>8</v>
      </c>
      <c r="AL23">
        <f t="shared" si="25"/>
        <v>2.2000000000000002</v>
      </c>
      <c r="AM23" s="2">
        <f t="shared" si="26"/>
        <v>2</v>
      </c>
      <c r="AP23">
        <v>21</v>
      </c>
      <c r="AQ23">
        <v>8</v>
      </c>
      <c r="AR23">
        <v>4</v>
      </c>
      <c r="AX23">
        <v>20</v>
      </c>
      <c r="AY23">
        <v>20</v>
      </c>
      <c r="AZ23" s="3">
        <f t="shared" si="4"/>
        <v>6750</v>
      </c>
      <c r="BA23" t="e">
        <f>AZ23/(#REF!*60/5)/60</f>
        <v>#REF!</v>
      </c>
      <c r="BB23">
        <v>10</v>
      </c>
      <c r="BC23" t="e">
        <f t="shared" si="5"/>
        <v>#N/A</v>
      </c>
      <c r="BD23" s="2">
        <f t="shared" si="27"/>
        <v>11.8</v>
      </c>
      <c r="BE23">
        <f t="shared" si="28"/>
        <v>2.2000000000000002</v>
      </c>
      <c r="BF23">
        <f t="shared" si="29"/>
        <v>12672</v>
      </c>
    </row>
    <row r="24" spans="1:58" ht="14.25" x14ac:dyDescent="0.2">
      <c r="A24" s="10">
        <v>301</v>
      </c>
      <c r="B24" s="13">
        <v>2</v>
      </c>
      <c r="C24" s="15">
        <v>2</v>
      </c>
      <c r="D24" s="14">
        <v>2</v>
      </c>
      <c r="E24" s="1" t="s">
        <v>150</v>
      </c>
      <c r="F24" s="1" t="s">
        <v>144</v>
      </c>
      <c r="G24" s="1" t="s">
        <v>132</v>
      </c>
      <c r="H24" s="1" t="s">
        <v>132</v>
      </c>
      <c r="I24" s="1" t="s">
        <v>140</v>
      </c>
      <c r="J24" s="16" t="s">
        <v>152</v>
      </c>
      <c r="K24" t="s">
        <v>165</v>
      </c>
      <c r="L24" t="s">
        <v>169</v>
      </c>
      <c r="M24" t="s">
        <v>163</v>
      </c>
      <c r="N24" t="s">
        <v>163</v>
      </c>
      <c r="O24" s="4" t="s">
        <v>215</v>
      </c>
      <c r="P24">
        <v>0</v>
      </c>
      <c r="Q24" s="24">
        <v>3.5</v>
      </c>
      <c r="R24" s="25">
        <v>2.5</v>
      </c>
      <c r="S24" s="26">
        <v>4</v>
      </c>
      <c r="T24" s="3"/>
      <c r="U24" s="3">
        <v>21</v>
      </c>
      <c r="V24" s="1">
        <v>7720</v>
      </c>
      <c r="W24" s="1">
        <v>1401</v>
      </c>
      <c r="X24" s="3"/>
      <c r="Y24">
        <v>3</v>
      </c>
      <c r="Z24">
        <v>1</v>
      </c>
      <c r="AA24" s="3">
        <v>5</v>
      </c>
      <c r="AB24" s="3">
        <v>5</v>
      </c>
      <c r="AC24" s="3">
        <v>13</v>
      </c>
      <c r="AD24" s="9">
        <f t="shared" si="0"/>
        <v>71.416666666666671</v>
      </c>
      <c r="AE24">
        <f t="shared" si="1"/>
        <v>2144</v>
      </c>
      <c r="AF24" s="2">
        <f t="shared" si="9"/>
        <v>2.5</v>
      </c>
      <c r="AG24" t="str">
        <f t="shared" si="10"/>
        <v>1小时</v>
      </c>
      <c r="AH24">
        <f t="shared" si="11"/>
        <v>8</v>
      </c>
      <c r="AI24">
        <f t="shared" si="12"/>
        <v>2</v>
      </c>
      <c r="AJ24">
        <f t="shared" si="2"/>
        <v>12.3</v>
      </c>
      <c r="AK24">
        <f t="shared" si="13"/>
        <v>8</v>
      </c>
      <c r="AL24">
        <f t="shared" si="3"/>
        <v>2.5</v>
      </c>
      <c r="AM24" s="2">
        <f t="shared" si="14"/>
        <v>2</v>
      </c>
      <c r="AP24">
        <v>22</v>
      </c>
      <c r="AQ24">
        <v>9</v>
      </c>
      <c r="AR24">
        <v>6</v>
      </c>
      <c r="AT24">
        <v>11</v>
      </c>
      <c r="AU24">
        <v>9</v>
      </c>
      <c r="AV24">
        <v>6</v>
      </c>
      <c r="AX24">
        <v>21</v>
      </c>
      <c r="AY24">
        <v>21</v>
      </c>
      <c r="AZ24" s="3">
        <f t="shared" si="4"/>
        <v>7720</v>
      </c>
      <c r="BA24" t="e">
        <f>AZ24/(#REF!*60/5)/60</f>
        <v>#REF!</v>
      </c>
      <c r="BB24">
        <v>20</v>
      </c>
      <c r="BC24">
        <f t="shared" si="5"/>
        <v>0.73333333333333328</v>
      </c>
      <c r="BD24" s="2">
        <f t="shared" si="15"/>
        <v>12.3</v>
      </c>
      <c r="BE24">
        <f t="shared" si="16"/>
        <v>2.5</v>
      </c>
      <c r="BF24">
        <f t="shared" si="17"/>
        <v>14400</v>
      </c>
    </row>
    <row r="25" spans="1:58" ht="14.25" x14ac:dyDescent="0.2">
      <c r="A25" s="10">
        <v>302</v>
      </c>
      <c r="B25" s="13">
        <v>2</v>
      </c>
      <c r="C25" s="15">
        <v>2</v>
      </c>
      <c r="D25" s="14">
        <v>2</v>
      </c>
      <c r="E25" s="1" t="s">
        <v>150</v>
      </c>
      <c r="F25" s="1" t="s">
        <v>138</v>
      </c>
      <c r="G25" s="1" t="s">
        <v>132</v>
      </c>
      <c r="H25" s="1" t="s">
        <v>132</v>
      </c>
      <c r="I25" s="1" t="s">
        <v>140</v>
      </c>
      <c r="J25" s="16" t="s">
        <v>152</v>
      </c>
      <c r="K25" t="s">
        <v>166</v>
      </c>
      <c r="L25" t="s">
        <v>163</v>
      </c>
      <c r="M25" t="s">
        <v>163</v>
      </c>
      <c r="N25" t="s">
        <v>163</v>
      </c>
      <c r="O25" s="4" t="s">
        <v>217</v>
      </c>
      <c r="P25">
        <v>0</v>
      </c>
      <c r="Q25" s="24">
        <v>3.5</v>
      </c>
      <c r="R25" s="25">
        <v>2.5</v>
      </c>
      <c r="S25" s="26">
        <v>4</v>
      </c>
      <c r="T25" s="3"/>
      <c r="U25" s="3">
        <v>22</v>
      </c>
      <c r="V25" s="1">
        <v>8780</v>
      </c>
      <c r="W25" s="1">
        <v>1486</v>
      </c>
      <c r="X25" s="3"/>
      <c r="Y25">
        <v>3</v>
      </c>
      <c r="Z25">
        <v>2</v>
      </c>
      <c r="AA25" s="3">
        <v>5</v>
      </c>
      <c r="AB25" s="3">
        <v>5</v>
      </c>
      <c r="AC25" s="3">
        <v>13</v>
      </c>
      <c r="AD25" s="9">
        <f t="shared" si="0"/>
        <v>71.416666666666671</v>
      </c>
      <c r="AE25">
        <f t="shared" si="1"/>
        <v>2144</v>
      </c>
      <c r="AF25" s="2">
        <f t="shared" si="9"/>
        <v>2.5</v>
      </c>
      <c r="AG25" t="str">
        <f t="shared" si="10"/>
        <v>1小时</v>
      </c>
      <c r="AH25">
        <f t="shared" si="11"/>
        <v>8</v>
      </c>
      <c r="AI25">
        <f t="shared" si="12"/>
        <v>2</v>
      </c>
      <c r="AJ25">
        <f t="shared" si="2"/>
        <v>12.3</v>
      </c>
      <c r="AK25">
        <f t="shared" si="13"/>
        <v>8</v>
      </c>
      <c r="AL25">
        <f t="shared" si="3"/>
        <v>2.5</v>
      </c>
      <c r="AM25" s="2">
        <f t="shared" si="14"/>
        <v>2</v>
      </c>
      <c r="AP25">
        <v>22</v>
      </c>
      <c r="AQ25">
        <v>9</v>
      </c>
      <c r="AR25">
        <v>6</v>
      </c>
      <c r="AX25">
        <v>22</v>
      </c>
      <c r="AY25">
        <v>22</v>
      </c>
      <c r="AZ25" s="3">
        <f t="shared" si="4"/>
        <v>8780</v>
      </c>
      <c r="BA25" t="e">
        <f>AZ25/(#REF!*60/5)/60</f>
        <v>#REF!</v>
      </c>
      <c r="BB25">
        <v>20</v>
      </c>
      <c r="BC25">
        <f t="shared" si="5"/>
        <v>0.73333333333333328</v>
      </c>
      <c r="BD25" s="2">
        <f t="shared" si="15"/>
        <v>12.3</v>
      </c>
      <c r="BE25">
        <f t="shared" si="16"/>
        <v>2.5</v>
      </c>
      <c r="BF25">
        <f t="shared" si="17"/>
        <v>14400</v>
      </c>
    </row>
    <row r="26" spans="1:58" ht="14.25" x14ac:dyDescent="0.2">
      <c r="A26" s="10">
        <v>303</v>
      </c>
      <c r="B26" s="13">
        <v>2</v>
      </c>
      <c r="C26" s="15">
        <v>2</v>
      </c>
      <c r="D26" s="14">
        <v>2</v>
      </c>
      <c r="E26" s="1" t="s">
        <v>150</v>
      </c>
      <c r="F26" s="1" t="s">
        <v>153</v>
      </c>
      <c r="G26" s="1" t="s">
        <v>132</v>
      </c>
      <c r="H26" s="1" t="s">
        <v>132</v>
      </c>
      <c r="I26" s="1" t="s">
        <v>140</v>
      </c>
      <c r="J26" s="16" t="s">
        <v>152</v>
      </c>
      <c r="K26" t="s">
        <v>165</v>
      </c>
      <c r="L26" t="s">
        <v>170</v>
      </c>
      <c r="M26" t="s">
        <v>163</v>
      </c>
      <c r="N26" t="s">
        <v>163</v>
      </c>
      <c r="O26" s="4" t="s">
        <v>219</v>
      </c>
      <c r="P26">
        <v>0</v>
      </c>
      <c r="Q26" s="24">
        <v>3.5</v>
      </c>
      <c r="R26" s="25">
        <v>2.5</v>
      </c>
      <c r="S26" s="26">
        <v>4</v>
      </c>
      <c r="T26" s="3"/>
      <c r="U26" s="3">
        <v>23</v>
      </c>
      <c r="V26" s="1">
        <v>9934</v>
      </c>
      <c r="W26" s="1">
        <v>1575</v>
      </c>
      <c r="X26" s="3"/>
      <c r="Y26">
        <v>3</v>
      </c>
      <c r="Z26">
        <v>3</v>
      </c>
      <c r="AA26" s="3">
        <v>5</v>
      </c>
      <c r="AB26" s="3">
        <v>5</v>
      </c>
      <c r="AC26" s="3">
        <v>13</v>
      </c>
      <c r="AD26" s="9">
        <f t="shared" si="0"/>
        <v>71.416666666666671</v>
      </c>
      <c r="AE26">
        <f t="shared" si="1"/>
        <v>2144</v>
      </c>
      <c r="AF26" s="2">
        <f t="shared" si="9"/>
        <v>2.5</v>
      </c>
      <c r="AG26" t="str">
        <f t="shared" si="10"/>
        <v>1小时</v>
      </c>
      <c r="AH26">
        <f t="shared" si="11"/>
        <v>8</v>
      </c>
      <c r="AI26">
        <f t="shared" si="12"/>
        <v>2</v>
      </c>
      <c r="AJ26">
        <f t="shared" si="2"/>
        <v>12.3</v>
      </c>
      <c r="AK26">
        <f t="shared" si="13"/>
        <v>8</v>
      </c>
      <c r="AL26">
        <f t="shared" si="3"/>
        <v>2.5</v>
      </c>
      <c r="AM26" s="2">
        <f t="shared" si="14"/>
        <v>2</v>
      </c>
      <c r="AP26">
        <v>22</v>
      </c>
      <c r="AQ26">
        <v>9</v>
      </c>
      <c r="AR26">
        <v>6</v>
      </c>
      <c r="AX26">
        <v>23</v>
      </c>
      <c r="AY26">
        <v>23</v>
      </c>
      <c r="AZ26" s="3">
        <f t="shared" si="4"/>
        <v>9934</v>
      </c>
      <c r="BA26" t="e">
        <f>AZ26/(#REF!*60/5)/60</f>
        <v>#REF!</v>
      </c>
      <c r="BB26">
        <v>20</v>
      </c>
      <c r="BC26">
        <f t="shared" si="5"/>
        <v>0.73333333333333328</v>
      </c>
      <c r="BD26" s="2">
        <f t="shared" si="15"/>
        <v>12.3</v>
      </c>
      <c r="BE26">
        <f t="shared" si="16"/>
        <v>2.5</v>
      </c>
      <c r="BF26">
        <f t="shared" si="17"/>
        <v>14400</v>
      </c>
    </row>
    <row r="27" spans="1:58" ht="14.25" x14ac:dyDescent="0.2">
      <c r="A27" s="10">
        <v>304</v>
      </c>
      <c r="B27" s="13">
        <v>2</v>
      </c>
      <c r="C27" s="15">
        <v>2</v>
      </c>
      <c r="D27" s="14">
        <v>2</v>
      </c>
      <c r="E27" s="1" t="s">
        <v>150</v>
      </c>
      <c r="F27" s="1" t="s">
        <v>139</v>
      </c>
      <c r="G27" s="1" t="s">
        <v>132</v>
      </c>
      <c r="H27" s="1" t="s">
        <v>132</v>
      </c>
      <c r="I27" s="1" t="s">
        <v>140</v>
      </c>
      <c r="J27" s="16" t="s">
        <v>152</v>
      </c>
      <c r="K27" t="s">
        <v>166</v>
      </c>
      <c r="L27" t="s">
        <v>163</v>
      </c>
      <c r="M27" t="s">
        <v>163</v>
      </c>
      <c r="N27" t="s">
        <v>163</v>
      </c>
      <c r="O27" s="4" t="s">
        <v>221</v>
      </c>
      <c r="P27">
        <v>0</v>
      </c>
      <c r="Q27" s="24">
        <v>3.5</v>
      </c>
      <c r="R27" s="25">
        <v>2.5</v>
      </c>
      <c r="S27" s="26">
        <v>4</v>
      </c>
      <c r="T27" s="3"/>
      <c r="U27" s="3">
        <v>24</v>
      </c>
      <c r="V27" s="1">
        <v>11186</v>
      </c>
      <c r="W27" s="1">
        <v>1668</v>
      </c>
      <c r="X27" s="3"/>
      <c r="Y27">
        <v>3</v>
      </c>
      <c r="Z27">
        <v>4</v>
      </c>
      <c r="AA27" s="3">
        <v>5</v>
      </c>
      <c r="AB27" s="3">
        <v>5</v>
      </c>
      <c r="AC27" s="3">
        <v>13</v>
      </c>
      <c r="AD27" s="9">
        <f t="shared" si="0"/>
        <v>71.416666666666671</v>
      </c>
      <c r="AE27">
        <f t="shared" si="1"/>
        <v>2144</v>
      </c>
      <c r="AF27" s="2">
        <f t="shared" si="9"/>
        <v>2.5</v>
      </c>
      <c r="AG27" t="str">
        <f t="shared" si="10"/>
        <v>1小时</v>
      </c>
      <c r="AH27">
        <f t="shared" si="11"/>
        <v>8</v>
      </c>
      <c r="AI27">
        <f t="shared" si="12"/>
        <v>2</v>
      </c>
      <c r="AJ27">
        <f t="shared" si="2"/>
        <v>12.3</v>
      </c>
      <c r="AK27">
        <f t="shared" si="13"/>
        <v>8</v>
      </c>
      <c r="AL27">
        <f t="shared" si="3"/>
        <v>2.5</v>
      </c>
      <c r="AM27" s="2">
        <f t="shared" si="14"/>
        <v>2</v>
      </c>
      <c r="AP27">
        <v>22</v>
      </c>
      <c r="AQ27">
        <v>9</v>
      </c>
      <c r="AR27">
        <v>6</v>
      </c>
      <c r="AX27">
        <v>24</v>
      </c>
      <c r="AY27">
        <v>24</v>
      </c>
      <c r="AZ27" s="3">
        <f t="shared" si="4"/>
        <v>11186</v>
      </c>
      <c r="BA27" t="e">
        <f>AZ27/(#REF!*60/5)/60</f>
        <v>#REF!</v>
      </c>
      <c r="BB27">
        <v>20</v>
      </c>
      <c r="BC27">
        <f t="shared" si="5"/>
        <v>0.73333333333333328</v>
      </c>
      <c r="BD27" s="2">
        <f t="shared" si="15"/>
        <v>12.3</v>
      </c>
      <c r="BE27">
        <f t="shared" si="16"/>
        <v>2.5</v>
      </c>
      <c r="BF27">
        <f t="shared" si="17"/>
        <v>14400</v>
      </c>
    </row>
    <row r="28" spans="1:58" ht="14.25" x14ac:dyDescent="0.2">
      <c r="A28" s="10">
        <v>305</v>
      </c>
      <c r="B28" s="13">
        <v>2</v>
      </c>
      <c r="C28" s="15">
        <v>2</v>
      </c>
      <c r="D28" s="14">
        <v>2</v>
      </c>
      <c r="E28" s="1" t="s">
        <v>150</v>
      </c>
      <c r="F28" s="1" t="s">
        <v>132</v>
      </c>
      <c r="G28" s="1" t="s">
        <v>144</v>
      </c>
      <c r="H28" s="1" t="s">
        <v>144</v>
      </c>
      <c r="I28" s="1" t="s">
        <v>140</v>
      </c>
      <c r="J28" s="16" t="s">
        <v>152</v>
      </c>
      <c r="K28" t="s">
        <v>165</v>
      </c>
      <c r="L28" t="s">
        <v>171</v>
      </c>
      <c r="M28" t="s">
        <v>163</v>
      </c>
      <c r="N28" t="s">
        <v>163</v>
      </c>
      <c r="O28" s="4" t="s">
        <v>219</v>
      </c>
      <c r="P28">
        <v>0</v>
      </c>
      <c r="Q28" s="24">
        <v>3.5</v>
      </c>
      <c r="R28" s="25">
        <v>2.5</v>
      </c>
      <c r="S28" s="26">
        <v>4</v>
      </c>
      <c r="T28" s="3"/>
      <c r="U28" s="3">
        <v>25</v>
      </c>
      <c r="V28" s="1">
        <v>12540</v>
      </c>
      <c r="W28" s="1">
        <v>1765</v>
      </c>
      <c r="X28" s="3"/>
      <c r="Y28">
        <v>3</v>
      </c>
      <c r="Z28">
        <v>5</v>
      </c>
      <c r="AA28" s="3">
        <v>8</v>
      </c>
      <c r="AB28" s="3">
        <v>5</v>
      </c>
      <c r="AC28" s="3">
        <v>13</v>
      </c>
      <c r="AD28" s="9">
        <f t="shared" si="0"/>
        <v>71.416666666666671</v>
      </c>
      <c r="AE28">
        <f t="shared" si="1"/>
        <v>2144</v>
      </c>
      <c r="AF28" s="2">
        <f t="shared" si="9"/>
        <v>2.5</v>
      </c>
      <c r="AG28" t="str">
        <f t="shared" si="10"/>
        <v>1小时</v>
      </c>
      <c r="AH28">
        <f t="shared" si="11"/>
        <v>8</v>
      </c>
      <c r="AI28">
        <f t="shared" si="12"/>
        <v>2</v>
      </c>
      <c r="AJ28">
        <f t="shared" si="2"/>
        <v>12.3</v>
      </c>
      <c r="AK28">
        <f t="shared" si="13"/>
        <v>8</v>
      </c>
      <c r="AL28">
        <f t="shared" si="3"/>
        <v>2.5</v>
      </c>
      <c r="AM28" s="2">
        <f t="shared" si="14"/>
        <v>2</v>
      </c>
      <c r="AP28">
        <v>22</v>
      </c>
      <c r="AQ28">
        <v>9</v>
      </c>
      <c r="AR28">
        <v>6</v>
      </c>
      <c r="AX28">
        <v>25</v>
      </c>
      <c r="AY28">
        <v>25</v>
      </c>
      <c r="AZ28" s="3">
        <f t="shared" si="4"/>
        <v>12540</v>
      </c>
      <c r="BA28" t="e">
        <f>AZ28/(#REF!*60/5)/60</f>
        <v>#REF!</v>
      </c>
      <c r="BB28">
        <v>20</v>
      </c>
      <c r="BC28">
        <f t="shared" si="5"/>
        <v>0.73333333333333328</v>
      </c>
      <c r="BD28" s="2">
        <f t="shared" si="15"/>
        <v>12.3</v>
      </c>
      <c r="BE28">
        <f t="shared" si="16"/>
        <v>2.5</v>
      </c>
      <c r="BF28">
        <f t="shared" si="17"/>
        <v>14400</v>
      </c>
    </row>
    <row r="29" spans="1:58" ht="14.25" x14ac:dyDescent="0.2">
      <c r="A29" s="10">
        <v>306</v>
      </c>
      <c r="B29" s="13">
        <v>2</v>
      </c>
      <c r="C29" s="15">
        <v>2</v>
      </c>
      <c r="D29" s="14">
        <v>2</v>
      </c>
      <c r="E29" s="1" t="s">
        <v>154</v>
      </c>
      <c r="F29" s="1" t="s">
        <v>155</v>
      </c>
      <c r="G29" s="1" t="s">
        <v>121</v>
      </c>
      <c r="H29" s="1" t="s">
        <v>121</v>
      </c>
      <c r="I29" s="1" t="s">
        <v>145</v>
      </c>
      <c r="J29" s="16" t="s">
        <v>156</v>
      </c>
      <c r="K29" t="s">
        <v>165</v>
      </c>
      <c r="L29" t="s">
        <v>172</v>
      </c>
      <c r="M29" t="s">
        <v>163</v>
      </c>
      <c r="N29" t="s">
        <v>163</v>
      </c>
      <c r="O29" s="4" t="s">
        <v>223</v>
      </c>
      <c r="P29">
        <v>0</v>
      </c>
      <c r="Q29" s="24">
        <v>4</v>
      </c>
      <c r="R29" s="25">
        <v>2.9</v>
      </c>
      <c r="S29" s="26">
        <v>4.7</v>
      </c>
      <c r="U29" s="3">
        <v>26</v>
      </c>
      <c r="V29" s="1">
        <v>14000</v>
      </c>
      <c r="W29" s="1">
        <v>1866</v>
      </c>
      <c r="Y29">
        <v>3</v>
      </c>
      <c r="Z29">
        <v>6</v>
      </c>
      <c r="AA29" s="3">
        <v>5</v>
      </c>
      <c r="AB29" s="3">
        <v>5</v>
      </c>
      <c r="AC29" s="3">
        <v>14</v>
      </c>
      <c r="AD29" s="9">
        <f t="shared" si="0"/>
        <v>80.083333333333329</v>
      </c>
      <c r="AE29">
        <f t="shared" si="1"/>
        <v>2596</v>
      </c>
      <c r="AF29" s="2">
        <f t="shared" si="9"/>
        <v>2.7</v>
      </c>
      <c r="AG29" t="str">
        <f t="shared" si="10"/>
        <v>1小时</v>
      </c>
      <c r="AH29">
        <f t="shared" si="11"/>
        <v>9</v>
      </c>
      <c r="AI29">
        <f t="shared" si="12"/>
        <v>2</v>
      </c>
      <c r="AJ29">
        <f t="shared" si="2"/>
        <v>12.6</v>
      </c>
      <c r="AK29">
        <f t="shared" si="13"/>
        <v>8</v>
      </c>
      <c r="AL29">
        <f t="shared" si="3"/>
        <v>2.7</v>
      </c>
      <c r="AM29" s="2">
        <f t="shared" si="14"/>
        <v>2</v>
      </c>
      <c r="AP29">
        <v>22</v>
      </c>
      <c r="AQ29">
        <v>10</v>
      </c>
      <c r="AR29">
        <v>8</v>
      </c>
      <c r="AT29">
        <v>11</v>
      </c>
      <c r="AU29">
        <v>10</v>
      </c>
      <c r="AV29">
        <v>8</v>
      </c>
      <c r="AX29">
        <v>26</v>
      </c>
      <c r="AY29">
        <v>26</v>
      </c>
      <c r="AZ29" s="3">
        <f t="shared" si="4"/>
        <v>14000</v>
      </c>
      <c r="BA29" t="e">
        <f>AZ29/(#REF!*60/5)/60</f>
        <v>#REF!</v>
      </c>
      <c r="BB29">
        <v>20</v>
      </c>
      <c r="BC29">
        <f t="shared" si="5"/>
        <v>0.67901234567901236</v>
      </c>
      <c r="BD29" s="2">
        <f t="shared" si="15"/>
        <v>12.6</v>
      </c>
      <c r="BE29">
        <f t="shared" si="16"/>
        <v>2.7</v>
      </c>
      <c r="BF29">
        <f t="shared" si="17"/>
        <v>15552</v>
      </c>
    </row>
    <row r="30" spans="1:58" ht="14.25" x14ac:dyDescent="0.2">
      <c r="A30" s="10">
        <v>307</v>
      </c>
      <c r="B30" s="13">
        <v>2</v>
      </c>
      <c r="C30" s="15">
        <v>2</v>
      </c>
      <c r="D30" s="14">
        <v>2</v>
      </c>
      <c r="E30" s="1" t="s">
        <v>154</v>
      </c>
      <c r="F30" s="1" t="s">
        <v>157</v>
      </c>
      <c r="G30" s="1" t="s">
        <v>121</v>
      </c>
      <c r="H30" s="1" t="s">
        <v>121</v>
      </c>
      <c r="I30" s="1" t="s">
        <v>145</v>
      </c>
      <c r="J30" s="16" t="s">
        <v>156</v>
      </c>
      <c r="K30" t="s">
        <v>165</v>
      </c>
      <c r="L30" t="s">
        <v>173</v>
      </c>
      <c r="M30" t="s">
        <v>163</v>
      </c>
      <c r="N30" t="s">
        <v>163</v>
      </c>
      <c r="O30" s="4" t="s">
        <v>223</v>
      </c>
      <c r="P30">
        <v>0</v>
      </c>
      <c r="Q30" s="24">
        <v>4</v>
      </c>
      <c r="R30" s="25">
        <v>2.9</v>
      </c>
      <c r="S30" s="26">
        <v>4.7</v>
      </c>
      <c r="U30" s="3">
        <v>27</v>
      </c>
      <c r="V30" s="1">
        <v>15570</v>
      </c>
      <c r="W30" s="1">
        <v>1971</v>
      </c>
      <c r="Y30">
        <v>3</v>
      </c>
      <c r="Z30">
        <v>7</v>
      </c>
      <c r="AA30" s="3">
        <v>5</v>
      </c>
      <c r="AB30" s="3">
        <v>5</v>
      </c>
      <c r="AC30" s="3">
        <v>14</v>
      </c>
      <c r="AD30" s="9">
        <f t="shared" si="0"/>
        <v>80.083333333333329</v>
      </c>
      <c r="AE30">
        <f t="shared" si="1"/>
        <v>2596</v>
      </c>
      <c r="AF30" s="2">
        <f t="shared" si="9"/>
        <v>2.7</v>
      </c>
      <c r="AG30" t="str">
        <f t="shared" si="10"/>
        <v>1小时</v>
      </c>
      <c r="AH30">
        <f t="shared" si="11"/>
        <v>9</v>
      </c>
      <c r="AI30">
        <f t="shared" si="12"/>
        <v>2</v>
      </c>
      <c r="AJ30">
        <f t="shared" si="2"/>
        <v>12.6</v>
      </c>
      <c r="AK30">
        <f t="shared" si="13"/>
        <v>8</v>
      </c>
      <c r="AL30">
        <f t="shared" si="3"/>
        <v>2.7</v>
      </c>
      <c r="AM30" s="2">
        <f t="shared" si="14"/>
        <v>2</v>
      </c>
      <c r="AP30">
        <v>22</v>
      </c>
      <c r="AQ30">
        <v>10</v>
      </c>
      <c r="AR30">
        <v>8</v>
      </c>
      <c r="AX30">
        <v>27</v>
      </c>
      <c r="AY30">
        <v>27</v>
      </c>
      <c r="AZ30" s="3">
        <f t="shared" si="4"/>
        <v>15570</v>
      </c>
      <c r="BA30" t="e">
        <f>AZ30/(#REF!*60/5)/60</f>
        <v>#REF!</v>
      </c>
      <c r="BB30">
        <v>20</v>
      </c>
      <c r="BC30">
        <f t="shared" si="5"/>
        <v>0.67901234567901236</v>
      </c>
      <c r="BD30" s="2">
        <f t="shared" si="15"/>
        <v>12.6</v>
      </c>
      <c r="BE30">
        <f t="shared" si="16"/>
        <v>2.7</v>
      </c>
      <c r="BF30">
        <f t="shared" si="17"/>
        <v>15552</v>
      </c>
    </row>
    <row r="31" spans="1:58" ht="14.25" x14ac:dyDescent="0.2">
      <c r="A31" s="10">
        <v>308</v>
      </c>
      <c r="B31" s="13">
        <v>2</v>
      </c>
      <c r="C31" s="15">
        <v>2</v>
      </c>
      <c r="D31" s="14">
        <v>2</v>
      </c>
      <c r="E31" s="1" t="s">
        <v>154</v>
      </c>
      <c r="F31" s="1" t="s">
        <v>158</v>
      </c>
      <c r="G31" s="1" t="s">
        <v>121</v>
      </c>
      <c r="H31" s="1" t="s">
        <v>121</v>
      </c>
      <c r="I31" s="1" t="s">
        <v>145</v>
      </c>
      <c r="J31" s="16" t="s">
        <v>156</v>
      </c>
      <c r="K31" t="s">
        <v>174</v>
      </c>
      <c r="L31" t="s">
        <v>163</v>
      </c>
      <c r="M31" t="s">
        <v>163</v>
      </c>
      <c r="N31" t="s">
        <v>163</v>
      </c>
      <c r="O31" s="4" t="s">
        <v>225</v>
      </c>
      <c r="P31">
        <v>0</v>
      </c>
      <c r="Q31" s="24">
        <v>4</v>
      </c>
      <c r="R31" s="25">
        <v>2.9</v>
      </c>
      <c r="S31" s="26">
        <v>4.7</v>
      </c>
      <c r="U31" s="3">
        <v>28</v>
      </c>
      <c r="V31" s="1">
        <v>17254</v>
      </c>
      <c r="W31" s="1">
        <v>2080</v>
      </c>
      <c r="Y31">
        <v>3</v>
      </c>
      <c r="Z31">
        <v>8</v>
      </c>
      <c r="AA31" s="3">
        <v>5</v>
      </c>
      <c r="AB31" s="3">
        <v>5</v>
      </c>
      <c r="AC31" s="3">
        <v>14</v>
      </c>
      <c r="AD31" s="9">
        <f t="shared" si="0"/>
        <v>80.083333333333329</v>
      </c>
      <c r="AE31">
        <f t="shared" si="1"/>
        <v>2596</v>
      </c>
      <c r="AF31" s="2">
        <f t="shared" si="9"/>
        <v>2.7</v>
      </c>
      <c r="AG31" t="str">
        <f t="shared" si="10"/>
        <v>1小时</v>
      </c>
      <c r="AH31">
        <f t="shared" si="11"/>
        <v>9</v>
      </c>
      <c r="AI31">
        <f t="shared" si="12"/>
        <v>2</v>
      </c>
      <c r="AJ31">
        <f t="shared" si="2"/>
        <v>12.6</v>
      </c>
      <c r="AK31">
        <f t="shared" si="13"/>
        <v>8</v>
      </c>
      <c r="AL31">
        <f t="shared" si="3"/>
        <v>2.7</v>
      </c>
      <c r="AM31" s="2">
        <f t="shared" si="14"/>
        <v>2</v>
      </c>
      <c r="AP31">
        <v>22</v>
      </c>
      <c r="AQ31">
        <v>10</v>
      </c>
      <c r="AR31">
        <v>8</v>
      </c>
      <c r="AX31">
        <v>28</v>
      </c>
      <c r="AY31">
        <v>28</v>
      </c>
      <c r="AZ31" s="3">
        <f t="shared" si="4"/>
        <v>17254</v>
      </c>
      <c r="BA31" t="e">
        <f>AZ31/(#REF!*60/5)/60</f>
        <v>#REF!</v>
      </c>
      <c r="BB31">
        <v>20</v>
      </c>
      <c r="BC31">
        <f t="shared" si="5"/>
        <v>0.67901234567901236</v>
      </c>
      <c r="BD31" s="2">
        <f t="shared" si="15"/>
        <v>12.6</v>
      </c>
      <c r="BE31">
        <f t="shared" si="16"/>
        <v>2.7</v>
      </c>
      <c r="BF31">
        <f t="shared" si="17"/>
        <v>15552</v>
      </c>
    </row>
    <row r="32" spans="1:58" ht="14.25" x14ac:dyDescent="0.2">
      <c r="A32" s="10">
        <v>309</v>
      </c>
      <c r="B32" s="13">
        <v>2</v>
      </c>
      <c r="C32" s="15">
        <v>2</v>
      </c>
      <c r="D32" s="14">
        <v>2</v>
      </c>
      <c r="E32" s="1" t="s">
        <v>154</v>
      </c>
      <c r="F32" s="1" t="s">
        <v>159</v>
      </c>
      <c r="G32" s="1" t="s">
        <v>121</v>
      </c>
      <c r="H32" s="1" t="s">
        <v>121</v>
      </c>
      <c r="I32" s="1" t="s">
        <v>145</v>
      </c>
      <c r="J32" s="16" t="s">
        <v>156</v>
      </c>
      <c r="K32" t="s">
        <v>166</v>
      </c>
      <c r="L32" t="s">
        <v>163</v>
      </c>
      <c r="M32" t="s">
        <v>163</v>
      </c>
      <c r="N32" t="s">
        <v>163</v>
      </c>
      <c r="O32" s="4" t="s">
        <v>225</v>
      </c>
      <c r="P32">
        <v>0</v>
      </c>
      <c r="Q32" s="24">
        <v>4</v>
      </c>
      <c r="R32" s="25">
        <v>2.9</v>
      </c>
      <c r="S32" s="26">
        <v>4.7</v>
      </c>
      <c r="U32" s="3">
        <v>29</v>
      </c>
      <c r="V32" s="1">
        <v>19056</v>
      </c>
      <c r="W32" s="1">
        <v>2193</v>
      </c>
      <c r="Y32">
        <v>3</v>
      </c>
      <c r="Z32">
        <v>9</v>
      </c>
      <c r="AA32" s="3">
        <v>5</v>
      </c>
      <c r="AB32" s="3">
        <v>5</v>
      </c>
      <c r="AC32" s="3">
        <v>14</v>
      </c>
      <c r="AD32" s="9">
        <f t="shared" si="0"/>
        <v>80.083333333333329</v>
      </c>
      <c r="AE32">
        <f t="shared" si="1"/>
        <v>2596</v>
      </c>
      <c r="AF32" s="2">
        <f t="shared" si="9"/>
        <v>2.7</v>
      </c>
      <c r="AG32" t="str">
        <f t="shared" si="10"/>
        <v>1小时</v>
      </c>
      <c r="AH32">
        <f t="shared" si="11"/>
        <v>9</v>
      </c>
      <c r="AI32">
        <f t="shared" si="12"/>
        <v>2</v>
      </c>
      <c r="AJ32">
        <f t="shared" si="2"/>
        <v>12.6</v>
      </c>
      <c r="AK32">
        <f t="shared" si="13"/>
        <v>8</v>
      </c>
      <c r="AL32">
        <f t="shared" si="3"/>
        <v>2.7</v>
      </c>
      <c r="AM32" s="2">
        <f t="shared" si="14"/>
        <v>2</v>
      </c>
      <c r="AP32">
        <v>22</v>
      </c>
      <c r="AQ32">
        <v>10</v>
      </c>
      <c r="AR32">
        <v>8</v>
      </c>
      <c r="AX32">
        <v>29</v>
      </c>
      <c r="AY32">
        <v>29</v>
      </c>
      <c r="AZ32" s="3">
        <f t="shared" si="4"/>
        <v>19056</v>
      </c>
      <c r="BA32" t="e">
        <f>AZ32/(#REF!*60/5)/60</f>
        <v>#REF!</v>
      </c>
      <c r="BB32">
        <v>20</v>
      </c>
      <c r="BC32">
        <f t="shared" si="5"/>
        <v>0.67901234567901236</v>
      </c>
      <c r="BD32" s="2">
        <f t="shared" si="15"/>
        <v>12.6</v>
      </c>
      <c r="BE32">
        <f t="shared" si="16"/>
        <v>2.7</v>
      </c>
      <c r="BF32">
        <f t="shared" si="17"/>
        <v>15552</v>
      </c>
    </row>
    <row r="33" spans="1:58" ht="14.25" x14ac:dyDescent="0.2">
      <c r="A33" s="10">
        <v>310</v>
      </c>
      <c r="B33" s="13">
        <v>2</v>
      </c>
      <c r="C33" s="15">
        <v>2</v>
      </c>
      <c r="D33" s="14">
        <v>2</v>
      </c>
      <c r="E33" s="1" t="s">
        <v>154</v>
      </c>
      <c r="F33" s="1" t="s">
        <v>121</v>
      </c>
      <c r="G33" s="1" t="s">
        <v>160</v>
      </c>
      <c r="H33" s="1" t="s">
        <v>161</v>
      </c>
      <c r="I33" s="1" t="s">
        <v>145</v>
      </c>
      <c r="J33" s="16" t="s">
        <v>156</v>
      </c>
      <c r="K33" t="s">
        <v>168</v>
      </c>
      <c r="L33" t="s">
        <v>163</v>
      </c>
      <c r="M33" t="s">
        <v>163</v>
      </c>
      <c r="N33" t="s">
        <v>163</v>
      </c>
      <c r="O33" s="4" t="s">
        <v>227</v>
      </c>
      <c r="P33">
        <v>0</v>
      </c>
      <c r="Q33" s="24">
        <v>4</v>
      </c>
      <c r="R33" s="25">
        <v>2.9</v>
      </c>
      <c r="S33" s="26">
        <v>4.7</v>
      </c>
      <c r="U33" s="3">
        <v>30</v>
      </c>
      <c r="V33" s="1">
        <v>20980</v>
      </c>
      <c r="W33" s="1">
        <v>3370</v>
      </c>
      <c r="Y33">
        <v>3</v>
      </c>
      <c r="Z33">
        <v>10</v>
      </c>
      <c r="AA33" s="3">
        <v>8</v>
      </c>
      <c r="AB33" s="3">
        <v>5</v>
      </c>
      <c r="AC33" s="3">
        <v>14</v>
      </c>
      <c r="AD33" s="9">
        <f t="shared" si="0"/>
        <v>80.083333333333329</v>
      </c>
      <c r="AE33">
        <f t="shared" si="1"/>
        <v>2596</v>
      </c>
      <c r="AF33" s="2">
        <f t="shared" si="9"/>
        <v>2.7</v>
      </c>
      <c r="AG33" t="str">
        <f t="shared" si="10"/>
        <v>1小时</v>
      </c>
      <c r="AH33">
        <f t="shared" si="11"/>
        <v>9</v>
      </c>
      <c r="AI33">
        <f t="shared" si="12"/>
        <v>2</v>
      </c>
      <c r="AJ33">
        <f t="shared" si="2"/>
        <v>12.6</v>
      </c>
      <c r="AK33">
        <f t="shared" si="13"/>
        <v>8</v>
      </c>
      <c r="AL33">
        <f t="shared" si="3"/>
        <v>2.7</v>
      </c>
      <c r="AM33" s="2">
        <f t="shared" si="14"/>
        <v>2</v>
      </c>
      <c r="AP33">
        <v>22</v>
      </c>
      <c r="AQ33">
        <v>10</v>
      </c>
      <c r="AR33">
        <v>8</v>
      </c>
      <c r="AX33">
        <v>30</v>
      </c>
      <c r="AY33">
        <v>30</v>
      </c>
      <c r="AZ33" s="3">
        <f t="shared" si="4"/>
        <v>20980</v>
      </c>
      <c r="BA33" t="e">
        <f>AZ33/(#REF!*60/5)/60</f>
        <v>#REF!</v>
      </c>
      <c r="BB33">
        <v>20</v>
      </c>
      <c r="BC33">
        <f t="shared" si="5"/>
        <v>0.67901234567901236</v>
      </c>
      <c r="BD33" s="2">
        <f t="shared" si="15"/>
        <v>12.6</v>
      </c>
      <c r="BE33">
        <f t="shared" si="16"/>
        <v>2.7</v>
      </c>
      <c r="BF33">
        <f t="shared" si="17"/>
        <v>15552</v>
      </c>
    </row>
    <row r="34" spans="1:58" ht="14.25" x14ac:dyDescent="0.2">
      <c r="A34" s="10">
        <v>311</v>
      </c>
      <c r="B34" s="13">
        <v>2</v>
      </c>
      <c r="C34" s="15">
        <v>2</v>
      </c>
      <c r="D34" s="14">
        <v>2</v>
      </c>
      <c r="E34" s="1" t="s">
        <v>154</v>
      </c>
      <c r="F34" s="1" t="s">
        <v>155</v>
      </c>
      <c r="G34" s="1" t="s">
        <v>121</v>
      </c>
      <c r="H34" s="1" t="s">
        <v>121</v>
      </c>
      <c r="I34" s="1" t="s">
        <v>145</v>
      </c>
      <c r="J34" s="16" t="s">
        <v>156</v>
      </c>
      <c r="K34" t="s">
        <v>165</v>
      </c>
      <c r="L34" t="s">
        <v>170</v>
      </c>
      <c r="M34" t="s">
        <v>163</v>
      </c>
      <c r="N34" t="s">
        <v>163</v>
      </c>
      <c r="O34" s="4" t="s">
        <v>229</v>
      </c>
      <c r="P34">
        <v>0</v>
      </c>
      <c r="Q34" s="24">
        <v>4.5</v>
      </c>
      <c r="R34" s="25">
        <v>3.3</v>
      </c>
      <c r="S34" s="26">
        <v>5.3</v>
      </c>
      <c r="U34" s="3">
        <v>31</v>
      </c>
      <c r="V34" s="1">
        <v>23030</v>
      </c>
      <c r="W34" s="1">
        <v>3491</v>
      </c>
      <c r="Y34">
        <v>3</v>
      </c>
      <c r="Z34">
        <v>11</v>
      </c>
      <c r="AA34" s="3">
        <v>5</v>
      </c>
      <c r="AB34" s="3">
        <v>5</v>
      </c>
      <c r="AC34" s="3">
        <v>15</v>
      </c>
      <c r="AD34" s="9">
        <f t="shared" si="0"/>
        <v>86.333333333333329</v>
      </c>
      <c r="AE34">
        <f t="shared" si="1"/>
        <v>3110</v>
      </c>
      <c r="AF34" s="2">
        <f t="shared" si="9"/>
        <v>3</v>
      </c>
      <c r="AG34" t="str">
        <f t="shared" si="10"/>
        <v>1小时</v>
      </c>
      <c r="AH34">
        <f t="shared" si="11"/>
        <v>9</v>
      </c>
      <c r="AI34">
        <f t="shared" si="12"/>
        <v>2</v>
      </c>
      <c r="AJ34">
        <f t="shared" si="2"/>
        <v>13</v>
      </c>
      <c r="AK34">
        <f t="shared" si="13"/>
        <v>8</v>
      </c>
      <c r="AL34">
        <f t="shared" si="3"/>
        <v>3</v>
      </c>
      <c r="AM34" s="2">
        <f t="shared" si="14"/>
        <v>2</v>
      </c>
      <c r="AP34">
        <v>23</v>
      </c>
      <c r="AQ34">
        <v>11</v>
      </c>
      <c r="AR34">
        <v>10</v>
      </c>
      <c r="AT34">
        <v>11.5</v>
      </c>
      <c r="AU34">
        <v>11</v>
      </c>
      <c r="AV34">
        <v>10</v>
      </c>
      <c r="AX34">
        <v>31</v>
      </c>
      <c r="AY34">
        <v>31</v>
      </c>
      <c r="AZ34" s="3">
        <f t="shared" si="4"/>
        <v>23030</v>
      </c>
      <c r="BA34" t="e">
        <f>AZ34/(#REF!*60/5)/60</f>
        <v>#REF!</v>
      </c>
      <c r="BB34">
        <v>20</v>
      </c>
      <c r="BC34">
        <f t="shared" si="5"/>
        <v>0.61111111111111116</v>
      </c>
      <c r="BD34" s="2">
        <f t="shared" si="15"/>
        <v>13</v>
      </c>
      <c r="BE34">
        <f t="shared" si="16"/>
        <v>3</v>
      </c>
      <c r="BF34">
        <f t="shared" si="17"/>
        <v>17280</v>
      </c>
    </row>
    <row r="35" spans="1:58" ht="14.25" x14ac:dyDescent="0.2">
      <c r="A35" s="10">
        <v>312</v>
      </c>
      <c r="B35" s="13">
        <v>2</v>
      </c>
      <c r="C35" s="15">
        <v>2</v>
      </c>
      <c r="D35" s="14">
        <v>2</v>
      </c>
      <c r="E35" s="1" t="s">
        <v>154</v>
      </c>
      <c r="F35" s="1" t="s">
        <v>157</v>
      </c>
      <c r="G35" s="1" t="s">
        <v>121</v>
      </c>
      <c r="H35" s="1" t="s">
        <v>121</v>
      </c>
      <c r="I35" s="1" t="s">
        <v>145</v>
      </c>
      <c r="J35" s="16" t="s">
        <v>156</v>
      </c>
      <c r="K35" t="s">
        <v>165</v>
      </c>
      <c r="L35" t="s">
        <v>171</v>
      </c>
      <c r="M35" t="s">
        <v>163</v>
      </c>
      <c r="N35" t="s">
        <v>163</v>
      </c>
      <c r="O35" s="4" t="s">
        <v>229</v>
      </c>
      <c r="P35">
        <v>0</v>
      </c>
      <c r="Q35" s="24">
        <v>4.5</v>
      </c>
      <c r="R35" s="25">
        <v>3.3</v>
      </c>
      <c r="S35" s="26">
        <v>5.3</v>
      </c>
      <c r="U35" s="3">
        <v>32</v>
      </c>
      <c r="V35" s="1">
        <v>25210</v>
      </c>
      <c r="W35" s="1">
        <v>3616</v>
      </c>
      <c r="Y35">
        <v>3</v>
      </c>
      <c r="Z35">
        <v>12</v>
      </c>
      <c r="AA35" s="3">
        <v>5</v>
      </c>
      <c r="AB35" s="3">
        <v>5</v>
      </c>
      <c r="AC35" s="3">
        <v>19</v>
      </c>
      <c r="AD35" s="9">
        <f t="shared" si="0"/>
        <v>162.91666666666669</v>
      </c>
      <c r="AE35">
        <f t="shared" si="1"/>
        <v>5866</v>
      </c>
      <c r="AF35" s="2">
        <f t="shared" si="9"/>
        <v>3</v>
      </c>
      <c r="AG35" t="str">
        <f t="shared" si="10"/>
        <v>2小时</v>
      </c>
      <c r="AH35">
        <f t="shared" si="11"/>
        <v>9</v>
      </c>
      <c r="AI35">
        <f t="shared" si="12"/>
        <v>2</v>
      </c>
      <c r="AJ35">
        <f t="shared" si="2"/>
        <v>13</v>
      </c>
      <c r="AK35">
        <f t="shared" si="13"/>
        <v>8</v>
      </c>
      <c r="AL35">
        <f t="shared" si="3"/>
        <v>3</v>
      </c>
      <c r="AM35" s="2">
        <f t="shared" si="14"/>
        <v>2</v>
      </c>
      <c r="AP35">
        <v>23</v>
      </c>
      <c r="AQ35">
        <v>11</v>
      </c>
      <c r="AR35">
        <v>10</v>
      </c>
      <c r="AX35">
        <v>32</v>
      </c>
      <c r="AY35">
        <v>32</v>
      </c>
      <c r="AZ35" s="3">
        <f t="shared" si="4"/>
        <v>25210</v>
      </c>
      <c r="BA35" t="e">
        <f>AZ35/(#REF!*60/5)/60</f>
        <v>#REF!</v>
      </c>
      <c r="BB35">
        <v>20</v>
      </c>
      <c r="BC35">
        <f t="shared" si="5"/>
        <v>0.61111111111111116</v>
      </c>
      <c r="BD35" s="2">
        <f t="shared" si="15"/>
        <v>13</v>
      </c>
      <c r="BE35">
        <f t="shared" si="16"/>
        <v>3</v>
      </c>
      <c r="BF35">
        <f t="shared" si="17"/>
        <v>17280</v>
      </c>
    </row>
    <row r="36" spans="1:58" ht="14.25" x14ac:dyDescent="0.2">
      <c r="A36" s="10">
        <v>313</v>
      </c>
      <c r="B36" s="13">
        <v>2</v>
      </c>
      <c r="C36" s="15">
        <v>2</v>
      </c>
      <c r="D36" s="14">
        <v>2</v>
      </c>
      <c r="E36" s="1" t="s">
        <v>154</v>
      </c>
      <c r="F36" s="1" t="s">
        <v>158</v>
      </c>
      <c r="G36" s="1" t="s">
        <v>121</v>
      </c>
      <c r="H36" s="1" t="s">
        <v>121</v>
      </c>
      <c r="I36" s="1" t="s">
        <v>145</v>
      </c>
      <c r="J36" s="16" t="s">
        <v>156</v>
      </c>
      <c r="K36" t="s">
        <v>165</v>
      </c>
      <c r="L36" t="s">
        <v>172</v>
      </c>
      <c r="M36" t="s">
        <v>163</v>
      </c>
      <c r="N36" t="s">
        <v>163</v>
      </c>
      <c r="O36" s="4" t="s">
        <v>231</v>
      </c>
      <c r="P36">
        <v>0</v>
      </c>
      <c r="Q36" s="24">
        <v>4.5</v>
      </c>
      <c r="R36" s="25">
        <v>3.3</v>
      </c>
      <c r="S36" s="26">
        <v>5.3</v>
      </c>
      <c r="U36" s="3">
        <v>33</v>
      </c>
      <c r="V36" s="1">
        <v>27524</v>
      </c>
      <c r="W36" s="1">
        <v>3745</v>
      </c>
      <c r="Y36">
        <v>3</v>
      </c>
      <c r="Z36">
        <v>13</v>
      </c>
      <c r="AA36" s="3">
        <v>5</v>
      </c>
      <c r="AB36" s="3">
        <v>5</v>
      </c>
      <c r="AC36" s="3">
        <v>20</v>
      </c>
      <c r="AD36" s="9">
        <f t="shared" si="0"/>
        <v>187.5</v>
      </c>
      <c r="AE36">
        <f t="shared" si="1"/>
        <v>6750</v>
      </c>
      <c r="AF36" s="2">
        <f t="shared" si="9"/>
        <v>3</v>
      </c>
      <c r="AG36" t="str">
        <f t="shared" si="10"/>
        <v>3小时</v>
      </c>
      <c r="AH36">
        <f t="shared" si="11"/>
        <v>9</v>
      </c>
      <c r="AI36">
        <f t="shared" si="12"/>
        <v>2</v>
      </c>
      <c r="AJ36">
        <f t="shared" si="2"/>
        <v>13</v>
      </c>
      <c r="AK36">
        <f t="shared" si="13"/>
        <v>8</v>
      </c>
      <c r="AL36">
        <f t="shared" si="3"/>
        <v>3</v>
      </c>
      <c r="AM36" s="2">
        <f t="shared" si="14"/>
        <v>2</v>
      </c>
      <c r="AP36">
        <v>23</v>
      </c>
      <c r="AQ36">
        <v>11</v>
      </c>
      <c r="AR36">
        <v>10</v>
      </c>
      <c r="AX36">
        <v>33</v>
      </c>
      <c r="AY36">
        <v>33</v>
      </c>
      <c r="AZ36" s="3">
        <f t="shared" si="4"/>
        <v>27524</v>
      </c>
      <c r="BA36" t="e">
        <f>AZ36/(#REF!*60/5)/60</f>
        <v>#REF!</v>
      </c>
      <c r="BB36">
        <v>20</v>
      </c>
      <c r="BC36">
        <f t="shared" si="5"/>
        <v>0.61111111111111116</v>
      </c>
      <c r="BD36" s="2">
        <f t="shared" si="15"/>
        <v>13</v>
      </c>
      <c r="BE36">
        <f t="shared" si="16"/>
        <v>3</v>
      </c>
      <c r="BF36">
        <f t="shared" si="17"/>
        <v>17280</v>
      </c>
    </row>
    <row r="37" spans="1:58" ht="14.25" x14ac:dyDescent="0.2">
      <c r="A37" s="10">
        <v>314</v>
      </c>
      <c r="B37" s="13">
        <v>2</v>
      </c>
      <c r="C37" s="15">
        <v>2</v>
      </c>
      <c r="D37" s="14">
        <v>2</v>
      </c>
      <c r="E37" s="1" t="s">
        <v>154</v>
      </c>
      <c r="F37" s="1" t="s">
        <v>159</v>
      </c>
      <c r="G37" s="1" t="s">
        <v>121</v>
      </c>
      <c r="H37" s="1" t="s">
        <v>121</v>
      </c>
      <c r="I37" s="1" t="s">
        <v>145</v>
      </c>
      <c r="J37" s="16" t="s">
        <v>156</v>
      </c>
      <c r="K37" t="s">
        <v>165</v>
      </c>
      <c r="L37" t="s">
        <v>173</v>
      </c>
      <c r="M37" t="s">
        <v>163</v>
      </c>
      <c r="N37" t="s">
        <v>163</v>
      </c>
      <c r="O37" s="4" t="s">
        <v>231</v>
      </c>
      <c r="P37">
        <v>0</v>
      </c>
      <c r="Q37" s="24">
        <v>4.5</v>
      </c>
      <c r="R37" s="25">
        <v>3.3</v>
      </c>
      <c r="S37" s="26">
        <v>5.3</v>
      </c>
      <c r="U37" s="3">
        <v>34</v>
      </c>
      <c r="V37" s="1">
        <v>29976</v>
      </c>
      <c r="W37" s="1">
        <v>3878</v>
      </c>
      <c r="Y37">
        <v>3</v>
      </c>
      <c r="Z37">
        <v>14</v>
      </c>
      <c r="AA37" s="3">
        <v>5</v>
      </c>
      <c r="AB37" s="3">
        <v>5</v>
      </c>
      <c r="AC37" s="3">
        <v>20</v>
      </c>
      <c r="AD37" s="9">
        <f t="shared" si="0"/>
        <v>187.5</v>
      </c>
      <c r="AE37">
        <f t="shared" si="1"/>
        <v>6750</v>
      </c>
      <c r="AF37" s="2">
        <f t="shared" si="9"/>
        <v>3</v>
      </c>
      <c r="AG37" t="str">
        <f t="shared" si="10"/>
        <v>3小时</v>
      </c>
      <c r="AH37">
        <f t="shared" si="11"/>
        <v>9</v>
      </c>
      <c r="AI37">
        <f t="shared" si="12"/>
        <v>2</v>
      </c>
      <c r="AJ37">
        <f t="shared" si="2"/>
        <v>13</v>
      </c>
      <c r="AK37">
        <f t="shared" si="13"/>
        <v>8</v>
      </c>
      <c r="AL37">
        <f t="shared" si="3"/>
        <v>3</v>
      </c>
      <c r="AM37" s="2">
        <f t="shared" si="14"/>
        <v>2</v>
      </c>
      <c r="AP37">
        <v>23</v>
      </c>
      <c r="AQ37">
        <v>11</v>
      </c>
      <c r="AR37">
        <v>10</v>
      </c>
      <c r="AX37">
        <v>34</v>
      </c>
      <c r="AY37">
        <v>34</v>
      </c>
      <c r="AZ37" s="3">
        <f t="shared" si="4"/>
        <v>29976</v>
      </c>
      <c r="BA37" t="e">
        <f>AZ37/(#REF!*60/5)/60</f>
        <v>#REF!</v>
      </c>
      <c r="BB37">
        <v>20</v>
      </c>
      <c r="BC37">
        <f t="shared" si="5"/>
        <v>0.61111111111111116</v>
      </c>
      <c r="BD37" s="2">
        <f t="shared" si="15"/>
        <v>13</v>
      </c>
      <c r="BE37">
        <f t="shared" si="16"/>
        <v>3</v>
      </c>
      <c r="BF37">
        <f t="shared" si="17"/>
        <v>17280</v>
      </c>
    </row>
    <row r="38" spans="1:58" ht="14.25" x14ac:dyDescent="0.2">
      <c r="A38" s="10">
        <v>315</v>
      </c>
      <c r="B38" s="13">
        <v>2</v>
      </c>
      <c r="C38" s="15">
        <v>2</v>
      </c>
      <c r="D38" s="14">
        <v>2</v>
      </c>
      <c r="E38" s="1" t="s">
        <v>154</v>
      </c>
      <c r="F38" s="1" t="s">
        <v>121</v>
      </c>
      <c r="G38" s="1" t="s">
        <v>160</v>
      </c>
      <c r="H38" s="1" t="s">
        <v>161</v>
      </c>
      <c r="I38" s="1" t="s">
        <v>145</v>
      </c>
      <c r="J38" s="16" t="s">
        <v>156</v>
      </c>
      <c r="K38" t="s">
        <v>175</v>
      </c>
      <c r="L38" t="s">
        <v>164</v>
      </c>
      <c r="M38" t="s">
        <v>163</v>
      </c>
      <c r="N38" t="s">
        <v>167</v>
      </c>
      <c r="O38" s="4" t="s">
        <v>233</v>
      </c>
      <c r="P38">
        <v>0</v>
      </c>
      <c r="Q38" s="24">
        <v>4.5</v>
      </c>
      <c r="R38" s="25">
        <v>3.3</v>
      </c>
      <c r="S38" s="26">
        <v>5.3</v>
      </c>
      <c r="U38" s="3">
        <v>35</v>
      </c>
      <c r="V38" s="1">
        <v>32570</v>
      </c>
      <c r="W38" s="1">
        <v>4015</v>
      </c>
      <c r="Y38">
        <v>3</v>
      </c>
      <c r="Z38">
        <v>15</v>
      </c>
      <c r="AA38" s="3">
        <v>8</v>
      </c>
      <c r="AB38" s="3">
        <v>5</v>
      </c>
      <c r="AC38" s="3">
        <v>20</v>
      </c>
      <c r="AD38" s="9">
        <f t="shared" si="0"/>
        <v>187.5</v>
      </c>
      <c r="AE38">
        <f t="shared" si="1"/>
        <v>6750</v>
      </c>
      <c r="AF38" s="2">
        <f t="shared" si="9"/>
        <v>3</v>
      </c>
      <c r="AG38" t="str">
        <f t="shared" si="10"/>
        <v>3小时</v>
      </c>
      <c r="AH38">
        <f t="shared" si="11"/>
        <v>9</v>
      </c>
      <c r="AI38">
        <f t="shared" si="12"/>
        <v>2</v>
      </c>
      <c r="AJ38">
        <f t="shared" si="2"/>
        <v>13</v>
      </c>
      <c r="AK38">
        <f t="shared" si="13"/>
        <v>8</v>
      </c>
      <c r="AL38">
        <f t="shared" si="3"/>
        <v>3</v>
      </c>
      <c r="AM38" s="2">
        <f t="shared" si="14"/>
        <v>2</v>
      </c>
      <c r="AP38">
        <v>23</v>
      </c>
      <c r="AQ38">
        <v>11</v>
      </c>
      <c r="AR38">
        <v>10</v>
      </c>
      <c r="AX38">
        <v>35</v>
      </c>
      <c r="AY38">
        <v>35</v>
      </c>
      <c r="AZ38" s="3">
        <f t="shared" si="4"/>
        <v>32570</v>
      </c>
      <c r="BA38" t="e">
        <f>AZ38/(#REF!*60/5)/60</f>
        <v>#REF!</v>
      </c>
      <c r="BB38">
        <v>20</v>
      </c>
      <c r="BC38">
        <f t="shared" si="5"/>
        <v>0.61111111111111116</v>
      </c>
      <c r="BD38" s="2">
        <f t="shared" si="15"/>
        <v>13</v>
      </c>
      <c r="BE38">
        <f t="shared" si="16"/>
        <v>3</v>
      </c>
      <c r="BF38">
        <f t="shared" si="17"/>
        <v>17280</v>
      </c>
    </row>
    <row r="39" spans="1:58" ht="14.25" x14ac:dyDescent="0.2">
      <c r="A39" s="10">
        <v>401</v>
      </c>
      <c r="B39" s="13">
        <v>2</v>
      </c>
      <c r="C39" s="15">
        <v>2</v>
      </c>
      <c r="D39" s="14">
        <v>2</v>
      </c>
      <c r="E39" s="1" t="s">
        <v>154</v>
      </c>
      <c r="F39" s="1" t="s">
        <v>155</v>
      </c>
      <c r="G39" s="1" t="s">
        <v>121</v>
      </c>
      <c r="H39" s="1" t="s">
        <v>121</v>
      </c>
      <c r="I39" s="1" t="s">
        <v>145</v>
      </c>
      <c r="J39" s="16" t="s">
        <v>156</v>
      </c>
      <c r="K39" t="s">
        <v>174</v>
      </c>
      <c r="L39" t="s">
        <v>163</v>
      </c>
      <c r="M39" t="s">
        <v>163</v>
      </c>
      <c r="N39" t="s">
        <v>163</v>
      </c>
      <c r="O39" s="4" t="s">
        <v>235</v>
      </c>
      <c r="P39">
        <v>0</v>
      </c>
      <c r="Q39" s="24">
        <v>5</v>
      </c>
      <c r="R39" s="25">
        <v>4.0999999999999996</v>
      </c>
      <c r="S39" s="26">
        <v>6</v>
      </c>
      <c r="U39" s="3">
        <v>36</v>
      </c>
      <c r="V39" s="1">
        <v>35310</v>
      </c>
      <c r="W39" s="1">
        <v>4156</v>
      </c>
      <c r="Y39">
        <v>4</v>
      </c>
      <c r="Z39">
        <v>1</v>
      </c>
      <c r="AA39" s="3">
        <v>6</v>
      </c>
      <c r="AB39" s="3">
        <v>5</v>
      </c>
      <c r="AC39" s="3">
        <v>21</v>
      </c>
      <c r="AD39" s="9">
        <f t="shared" si="0"/>
        <v>201</v>
      </c>
      <c r="AE39">
        <f t="shared" si="1"/>
        <v>7720</v>
      </c>
      <c r="AF39" s="2">
        <f t="shared" si="9"/>
        <v>3.2</v>
      </c>
      <c r="AG39" t="str">
        <f t="shared" si="10"/>
        <v>3小时</v>
      </c>
      <c r="AH39">
        <f t="shared" si="11"/>
        <v>10</v>
      </c>
      <c r="AI39">
        <f t="shared" si="12"/>
        <v>2</v>
      </c>
      <c r="AJ39">
        <f t="shared" si="2"/>
        <v>13.3</v>
      </c>
      <c r="AK39">
        <f t="shared" si="13"/>
        <v>8</v>
      </c>
      <c r="AL39">
        <f t="shared" si="3"/>
        <v>3.2</v>
      </c>
      <c r="AM39" s="2">
        <f t="shared" si="14"/>
        <v>2</v>
      </c>
      <c r="AP39">
        <v>23</v>
      </c>
      <c r="AQ39">
        <v>12</v>
      </c>
      <c r="AR39">
        <v>12</v>
      </c>
      <c r="AT39">
        <v>11.5</v>
      </c>
      <c r="AU39">
        <v>12</v>
      </c>
      <c r="AV39">
        <v>12</v>
      </c>
      <c r="AX39">
        <v>36</v>
      </c>
      <c r="AY39">
        <v>36</v>
      </c>
      <c r="AZ39" s="3">
        <f t="shared" si="4"/>
        <v>35310</v>
      </c>
      <c r="BA39" t="e">
        <f>AZ39/(#REF!*60/5)/60</f>
        <v>#REF!</v>
      </c>
      <c r="BB39">
        <v>30</v>
      </c>
      <c r="BC39">
        <f t="shared" si="5"/>
        <v>1.4626736111111112</v>
      </c>
      <c r="BD39" s="2">
        <f t="shared" si="15"/>
        <v>13.3</v>
      </c>
      <c r="BE39">
        <f t="shared" si="16"/>
        <v>3.2</v>
      </c>
      <c r="BF39">
        <f t="shared" si="17"/>
        <v>18432</v>
      </c>
    </row>
    <row r="40" spans="1:58" ht="14.25" x14ac:dyDescent="0.2">
      <c r="A40" s="10">
        <v>402</v>
      </c>
      <c r="B40" s="13">
        <v>2</v>
      </c>
      <c r="C40" s="15">
        <v>2</v>
      </c>
      <c r="D40" s="14">
        <v>2</v>
      </c>
      <c r="E40" s="1" t="s">
        <v>154</v>
      </c>
      <c r="F40" s="1" t="s">
        <v>157</v>
      </c>
      <c r="G40" s="1" t="s">
        <v>121</v>
      </c>
      <c r="H40" s="1" t="s">
        <v>121</v>
      </c>
      <c r="I40" s="1" t="s">
        <v>145</v>
      </c>
      <c r="J40" s="16" t="s">
        <v>156</v>
      </c>
      <c r="K40" t="s">
        <v>166</v>
      </c>
      <c r="L40" t="s">
        <v>163</v>
      </c>
      <c r="M40" t="s">
        <v>163</v>
      </c>
      <c r="N40" t="s">
        <v>163</v>
      </c>
      <c r="O40" s="4" t="s">
        <v>235</v>
      </c>
      <c r="P40">
        <v>0</v>
      </c>
      <c r="Q40" s="24">
        <v>5</v>
      </c>
      <c r="R40" s="25">
        <v>4.0999999999999996</v>
      </c>
      <c r="S40" s="26">
        <v>6</v>
      </c>
      <c r="U40" s="3">
        <v>37</v>
      </c>
      <c r="V40" s="1">
        <v>38200</v>
      </c>
      <c r="W40" s="1">
        <v>4301</v>
      </c>
      <c r="Y40">
        <v>4</v>
      </c>
      <c r="Z40">
        <v>2</v>
      </c>
      <c r="AA40" s="3">
        <v>6</v>
      </c>
      <c r="AB40" s="3">
        <v>6</v>
      </c>
      <c r="AC40" s="3">
        <v>21</v>
      </c>
      <c r="AD40" s="9">
        <f t="shared" si="0"/>
        <v>201</v>
      </c>
      <c r="AE40">
        <f t="shared" si="1"/>
        <v>7720</v>
      </c>
      <c r="AF40" s="2">
        <f t="shared" si="9"/>
        <v>3.2</v>
      </c>
      <c r="AG40" t="str">
        <f t="shared" si="10"/>
        <v>3小时</v>
      </c>
      <c r="AH40">
        <f t="shared" si="11"/>
        <v>10</v>
      </c>
      <c r="AI40">
        <f t="shared" si="12"/>
        <v>2</v>
      </c>
      <c r="AJ40">
        <f t="shared" si="2"/>
        <v>13.3</v>
      </c>
      <c r="AK40">
        <f t="shared" si="13"/>
        <v>7</v>
      </c>
      <c r="AL40">
        <f t="shared" si="3"/>
        <v>3.2</v>
      </c>
      <c r="AM40" s="2">
        <f t="shared" si="14"/>
        <v>2</v>
      </c>
      <c r="AP40">
        <v>23</v>
      </c>
      <c r="AQ40">
        <v>12</v>
      </c>
      <c r="AR40">
        <v>12</v>
      </c>
      <c r="AX40">
        <v>37</v>
      </c>
      <c r="AY40">
        <v>37</v>
      </c>
      <c r="AZ40" s="3">
        <f t="shared" si="4"/>
        <v>38200</v>
      </c>
      <c r="BA40" t="e">
        <f>AZ40/(#REF!*60/5)/60</f>
        <v>#REF!</v>
      </c>
      <c r="BB40">
        <v>30</v>
      </c>
      <c r="BC40">
        <f t="shared" si="5"/>
        <v>1.4626736111111112</v>
      </c>
      <c r="BD40" s="2">
        <f t="shared" si="15"/>
        <v>13.3</v>
      </c>
      <c r="BE40">
        <f t="shared" si="16"/>
        <v>3.2</v>
      </c>
      <c r="BF40">
        <f t="shared" si="17"/>
        <v>18432</v>
      </c>
    </row>
    <row r="41" spans="1:58" ht="14.25" x14ac:dyDescent="0.2">
      <c r="A41" s="10">
        <v>403</v>
      </c>
      <c r="B41" s="13">
        <v>2</v>
      </c>
      <c r="C41" s="15">
        <v>2</v>
      </c>
      <c r="D41" s="14">
        <v>2</v>
      </c>
      <c r="E41" s="1" t="s">
        <v>154</v>
      </c>
      <c r="F41" s="1" t="s">
        <v>158</v>
      </c>
      <c r="G41" s="1" t="s">
        <v>121</v>
      </c>
      <c r="H41" s="1" t="s">
        <v>121</v>
      </c>
      <c r="I41" s="1" t="s">
        <v>145</v>
      </c>
      <c r="J41" s="16" t="s">
        <v>156</v>
      </c>
      <c r="K41" t="s">
        <v>168</v>
      </c>
      <c r="L41" t="s">
        <v>163</v>
      </c>
      <c r="M41" t="s">
        <v>163</v>
      </c>
      <c r="N41" t="s">
        <v>163</v>
      </c>
      <c r="O41" s="4" t="s">
        <v>237</v>
      </c>
      <c r="P41">
        <v>0</v>
      </c>
      <c r="Q41" s="24">
        <v>5</v>
      </c>
      <c r="R41" s="25">
        <v>4.0999999999999996</v>
      </c>
      <c r="S41" s="26">
        <v>6</v>
      </c>
      <c r="U41" s="3">
        <v>38</v>
      </c>
      <c r="V41" s="1">
        <v>41244</v>
      </c>
      <c r="W41" s="1">
        <v>4450</v>
      </c>
      <c r="Y41">
        <v>4</v>
      </c>
      <c r="Z41">
        <v>3</v>
      </c>
      <c r="AA41" s="3">
        <v>6</v>
      </c>
      <c r="AB41" s="3">
        <v>6</v>
      </c>
      <c r="AC41" s="3">
        <v>21</v>
      </c>
      <c r="AD41" s="9">
        <f t="shared" si="0"/>
        <v>201</v>
      </c>
      <c r="AE41">
        <f t="shared" si="1"/>
        <v>7720</v>
      </c>
      <c r="AF41" s="2">
        <f t="shared" si="9"/>
        <v>3.2</v>
      </c>
      <c r="AG41" t="str">
        <f t="shared" si="10"/>
        <v>3小时</v>
      </c>
      <c r="AH41">
        <f t="shared" si="11"/>
        <v>10</v>
      </c>
      <c r="AI41">
        <f t="shared" si="12"/>
        <v>2</v>
      </c>
      <c r="AJ41">
        <f t="shared" si="2"/>
        <v>13.3</v>
      </c>
      <c r="AK41">
        <f t="shared" si="13"/>
        <v>7</v>
      </c>
      <c r="AL41">
        <f t="shared" si="3"/>
        <v>3.2</v>
      </c>
      <c r="AM41" s="2">
        <f t="shared" si="14"/>
        <v>2</v>
      </c>
      <c r="AP41">
        <v>23</v>
      </c>
      <c r="AQ41">
        <v>12</v>
      </c>
      <c r="AR41">
        <v>12</v>
      </c>
      <c r="AX41">
        <v>38</v>
      </c>
      <c r="AY41">
        <v>38</v>
      </c>
      <c r="AZ41" s="3">
        <f t="shared" si="4"/>
        <v>41244</v>
      </c>
      <c r="BA41" t="e">
        <f>AZ41/(#REF!*60/5)/60</f>
        <v>#REF!</v>
      </c>
      <c r="BB41">
        <v>30</v>
      </c>
      <c r="BC41">
        <f t="shared" si="5"/>
        <v>1.4626736111111112</v>
      </c>
      <c r="BD41" s="2">
        <f t="shared" si="15"/>
        <v>13.3</v>
      </c>
      <c r="BE41">
        <f t="shared" si="16"/>
        <v>3.2</v>
      </c>
      <c r="BF41">
        <f t="shared" si="17"/>
        <v>18432</v>
      </c>
    </row>
    <row r="42" spans="1:58" ht="14.25" x14ac:dyDescent="0.2">
      <c r="A42" s="10">
        <v>404</v>
      </c>
      <c r="B42" s="13">
        <v>2</v>
      </c>
      <c r="C42" s="15">
        <v>2</v>
      </c>
      <c r="D42" s="14">
        <v>2</v>
      </c>
      <c r="E42" s="1" t="s">
        <v>154</v>
      </c>
      <c r="F42" s="1" t="s">
        <v>159</v>
      </c>
      <c r="G42" s="1" t="s">
        <v>121</v>
      </c>
      <c r="H42" s="1" t="s">
        <v>121</v>
      </c>
      <c r="I42" s="1" t="s">
        <v>145</v>
      </c>
      <c r="J42" s="16" t="s">
        <v>156</v>
      </c>
      <c r="K42" t="s">
        <v>162</v>
      </c>
      <c r="L42" t="s">
        <v>163</v>
      </c>
      <c r="M42" t="s">
        <v>163</v>
      </c>
      <c r="N42" t="s">
        <v>163</v>
      </c>
      <c r="O42" s="4" t="s">
        <v>239</v>
      </c>
      <c r="P42">
        <v>0</v>
      </c>
      <c r="Q42" s="24">
        <v>5</v>
      </c>
      <c r="R42" s="25">
        <v>4.0999999999999996</v>
      </c>
      <c r="S42" s="26">
        <v>6</v>
      </c>
      <c r="U42" s="3">
        <v>39</v>
      </c>
      <c r="V42" s="1">
        <v>44446</v>
      </c>
      <c r="W42" s="1">
        <v>4603</v>
      </c>
      <c r="Y42">
        <v>4</v>
      </c>
      <c r="Z42">
        <v>4</v>
      </c>
      <c r="AA42" s="3">
        <v>6</v>
      </c>
      <c r="AB42" s="3">
        <v>6</v>
      </c>
      <c r="AC42" s="3">
        <v>22</v>
      </c>
      <c r="AD42" s="9">
        <f t="shared" si="0"/>
        <v>228.58333333333334</v>
      </c>
      <c r="AE42">
        <f t="shared" si="1"/>
        <v>8780</v>
      </c>
      <c r="AF42" s="2">
        <f t="shared" si="9"/>
        <v>3.2</v>
      </c>
      <c r="AG42" t="str">
        <f t="shared" si="10"/>
        <v>3小时</v>
      </c>
      <c r="AH42">
        <f t="shared" si="11"/>
        <v>10</v>
      </c>
      <c r="AI42">
        <f t="shared" si="12"/>
        <v>2</v>
      </c>
      <c r="AJ42">
        <f t="shared" si="2"/>
        <v>13.3</v>
      </c>
      <c r="AK42">
        <f t="shared" si="13"/>
        <v>7</v>
      </c>
      <c r="AL42">
        <f t="shared" si="3"/>
        <v>3.2</v>
      </c>
      <c r="AM42" s="2">
        <f t="shared" si="14"/>
        <v>2</v>
      </c>
      <c r="AP42">
        <v>23</v>
      </c>
      <c r="AQ42">
        <v>12</v>
      </c>
      <c r="AR42">
        <v>12</v>
      </c>
      <c r="AX42">
        <v>39</v>
      </c>
      <c r="AY42">
        <v>39</v>
      </c>
      <c r="AZ42" s="3">
        <f t="shared" si="4"/>
        <v>44446</v>
      </c>
      <c r="BA42" t="e">
        <f>AZ42/(#REF!*60/5)/60</f>
        <v>#REF!</v>
      </c>
      <c r="BB42">
        <v>30</v>
      </c>
      <c r="BC42">
        <f t="shared" si="5"/>
        <v>1.4626736111111112</v>
      </c>
      <c r="BD42" s="2">
        <f t="shared" si="15"/>
        <v>13.3</v>
      </c>
      <c r="BE42">
        <f t="shared" si="16"/>
        <v>3.2</v>
      </c>
      <c r="BF42">
        <f t="shared" si="17"/>
        <v>18432</v>
      </c>
    </row>
    <row r="43" spans="1:58" ht="14.25" x14ac:dyDescent="0.2">
      <c r="A43" s="10">
        <v>405</v>
      </c>
      <c r="B43" s="13">
        <v>2</v>
      </c>
      <c r="C43" s="15">
        <v>2</v>
      </c>
      <c r="D43" s="14">
        <v>2</v>
      </c>
      <c r="E43" s="1" t="s">
        <v>154</v>
      </c>
      <c r="F43" s="1" t="s">
        <v>121</v>
      </c>
      <c r="G43" s="1" t="s">
        <v>160</v>
      </c>
      <c r="H43" s="1" t="s">
        <v>161</v>
      </c>
      <c r="I43" s="1" t="s">
        <v>145</v>
      </c>
      <c r="J43" s="16" t="s">
        <v>156</v>
      </c>
      <c r="K43" t="s">
        <v>177</v>
      </c>
      <c r="L43" t="s">
        <v>163</v>
      </c>
      <c r="M43" t="s">
        <v>163</v>
      </c>
      <c r="N43" t="s">
        <v>163</v>
      </c>
      <c r="O43" s="4" t="s">
        <v>237</v>
      </c>
      <c r="P43">
        <v>0</v>
      </c>
      <c r="Q43" s="24">
        <v>5</v>
      </c>
      <c r="R43" s="25">
        <v>4.0999999999999996</v>
      </c>
      <c r="S43" s="26">
        <v>6</v>
      </c>
      <c r="U43" s="3">
        <v>40</v>
      </c>
      <c r="V43" s="1">
        <v>47810</v>
      </c>
      <c r="W43" s="1">
        <v>6910</v>
      </c>
      <c r="Y43">
        <v>4</v>
      </c>
      <c r="Z43">
        <v>5</v>
      </c>
      <c r="AA43" s="3">
        <v>10</v>
      </c>
      <c r="AB43" s="3">
        <v>6</v>
      </c>
      <c r="AC43" s="3">
        <v>22</v>
      </c>
      <c r="AD43" s="9">
        <f t="shared" si="0"/>
        <v>228.58333333333334</v>
      </c>
      <c r="AE43">
        <f t="shared" si="1"/>
        <v>8780</v>
      </c>
      <c r="AF43" s="2">
        <f t="shared" si="9"/>
        <v>3.2</v>
      </c>
      <c r="AG43" t="str">
        <f t="shared" si="10"/>
        <v>3小时</v>
      </c>
      <c r="AH43">
        <f t="shared" si="11"/>
        <v>10</v>
      </c>
      <c r="AI43">
        <f t="shared" si="12"/>
        <v>2</v>
      </c>
      <c r="AJ43">
        <f t="shared" si="2"/>
        <v>13.3</v>
      </c>
      <c r="AK43">
        <f t="shared" si="13"/>
        <v>7</v>
      </c>
      <c r="AL43">
        <f t="shared" si="3"/>
        <v>3.2</v>
      </c>
      <c r="AM43" s="2">
        <f t="shared" si="14"/>
        <v>2</v>
      </c>
      <c r="AP43">
        <v>23</v>
      </c>
      <c r="AQ43">
        <v>12</v>
      </c>
      <c r="AR43">
        <v>12</v>
      </c>
      <c r="AX43">
        <v>40</v>
      </c>
      <c r="AY43">
        <v>40</v>
      </c>
      <c r="AZ43" s="3">
        <f t="shared" si="4"/>
        <v>47810</v>
      </c>
      <c r="BA43" t="e">
        <f>AZ43/(#REF!*60/5)/60</f>
        <v>#REF!</v>
      </c>
      <c r="BB43">
        <v>30</v>
      </c>
      <c r="BC43">
        <f t="shared" si="5"/>
        <v>1.4626736111111112</v>
      </c>
      <c r="BD43" s="2">
        <f t="shared" si="15"/>
        <v>13.3</v>
      </c>
      <c r="BE43">
        <f t="shared" si="16"/>
        <v>3.2</v>
      </c>
      <c r="BF43">
        <f t="shared" si="17"/>
        <v>18432</v>
      </c>
    </row>
    <row r="44" spans="1:58" ht="14.25" x14ac:dyDescent="0.2">
      <c r="A44" s="10">
        <v>406</v>
      </c>
      <c r="B44" s="13">
        <v>2</v>
      </c>
      <c r="C44" s="15">
        <v>2</v>
      </c>
      <c r="D44" s="14">
        <v>2</v>
      </c>
      <c r="E44" s="1" t="s">
        <v>2699</v>
      </c>
      <c r="F44" s="1" t="s">
        <v>2700</v>
      </c>
      <c r="G44" s="1" t="s">
        <v>2701</v>
      </c>
      <c r="H44" s="1" t="s">
        <v>2701</v>
      </c>
      <c r="I44" s="1" t="s">
        <v>2702</v>
      </c>
      <c r="J44" s="16" t="s">
        <v>2703</v>
      </c>
      <c r="K44" t="s">
        <v>174</v>
      </c>
      <c r="L44" t="s">
        <v>163</v>
      </c>
      <c r="M44" t="s">
        <v>163</v>
      </c>
      <c r="N44" t="s">
        <v>163</v>
      </c>
      <c r="O44" s="4" t="s">
        <v>241</v>
      </c>
      <c r="P44">
        <v>0</v>
      </c>
      <c r="Q44" s="24">
        <v>5.5</v>
      </c>
      <c r="R44" s="25">
        <v>4.5999999999999996</v>
      </c>
      <c r="S44" s="26">
        <v>6.7</v>
      </c>
      <c r="U44" s="3">
        <v>41</v>
      </c>
      <c r="V44" s="1">
        <v>51340</v>
      </c>
      <c r="W44" s="1">
        <v>7071</v>
      </c>
      <c r="Y44">
        <v>4</v>
      </c>
      <c r="Z44">
        <v>6</v>
      </c>
      <c r="AA44" s="3">
        <v>6</v>
      </c>
      <c r="AB44" s="3">
        <v>6</v>
      </c>
      <c r="AC44" s="3">
        <v>22</v>
      </c>
      <c r="AD44" s="9">
        <f t="shared" si="0"/>
        <v>209</v>
      </c>
      <c r="AE44">
        <f t="shared" si="1"/>
        <v>8780</v>
      </c>
      <c r="AF44" s="2">
        <f t="shared" si="9"/>
        <v>3.5</v>
      </c>
      <c r="AG44" t="str">
        <f t="shared" si="10"/>
        <v>3小时</v>
      </c>
      <c r="AH44">
        <f t="shared" si="11"/>
        <v>11</v>
      </c>
      <c r="AI44">
        <f t="shared" si="12"/>
        <v>2</v>
      </c>
      <c r="AJ44">
        <f t="shared" si="2"/>
        <v>13.8</v>
      </c>
      <c r="AK44">
        <f t="shared" si="13"/>
        <v>7</v>
      </c>
      <c r="AL44">
        <f t="shared" si="3"/>
        <v>3.5</v>
      </c>
      <c r="AM44" s="2">
        <f t="shared" si="14"/>
        <v>2</v>
      </c>
      <c r="AP44">
        <v>24</v>
      </c>
      <c r="AQ44">
        <v>14</v>
      </c>
      <c r="AR44">
        <v>14</v>
      </c>
      <c r="AX44">
        <v>41</v>
      </c>
      <c r="AY44">
        <v>41</v>
      </c>
      <c r="AZ44" s="3">
        <f t="shared" si="4"/>
        <v>51340</v>
      </c>
      <c r="BA44" t="e">
        <f>AZ44/(#REF!*60/5)/60</f>
        <v>#REF!</v>
      </c>
      <c r="BB44">
        <v>30</v>
      </c>
      <c r="BC44">
        <f t="shared" si="5"/>
        <v>1.3373015873015872</v>
      </c>
      <c r="BD44" s="2">
        <f t="shared" si="15"/>
        <v>13.8</v>
      </c>
      <c r="BE44">
        <f t="shared" si="16"/>
        <v>3.5</v>
      </c>
      <c r="BF44">
        <f t="shared" si="17"/>
        <v>20160</v>
      </c>
    </row>
    <row r="45" spans="1:58" ht="14.25" x14ac:dyDescent="0.2">
      <c r="A45" s="10">
        <v>407</v>
      </c>
      <c r="B45" s="13">
        <v>2</v>
      </c>
      <c r="C45" s="15">
        <v>2</v>
      </c>
      <c r="D45" s="14">
        <v>2</v>
      </c>
      <c r="E45" s="1" t="s">
        <v>2699</v>
      </c>
      <c r="F45" s="1" t="s">
        <v>2704</v>
      </c>
      <c r="G45" s="1" t="s">
        <v>2701</v>
      </c>
      <c r="H45" s="1" t="s">
        <v>2701</v>
      </c>
      <c r="I45" s="1" t="s">
        <v>2702</v>
      </c>
      <c r="J45" s="16" t="s">
        <v>2703</v>
      </c>
      <c r="K45" t="s">
        <v>166</v>
      </c>
      <c r="L45" t="s">
        <v>163</v>
      </c>
      <c r="M45" t="s">
        <v>163</v>
      </c>
      <c r="N45" t="s">
        <v>163</v>
      </c>
      <c r="O45" s="4" t="s">
        <v>241</v>
      </c>
      <c r="P45">
        <v>0</v>
      </c>
      <c r="Q45" s="24">
        <v>5.5</v>
      </c>
      <c r="R45" s="25">
        <v>4.5999999999999996</v>
      </c>
      <c r="S45" s="26">
        <v>6.7</v>
      </c>
      <c r="U45" s="3">
        <v>42</v>
      </c>
      <c r="V45" s="1">
        <v>55040</v>
      </c>
      <c r="W45" s="1">
        <v>7236</v>
      </c>
      <c r="Y45">
        <v>4</v>
      </c>
      <c r="Z45">
        <v>7</v>
      </c>
      <c r="AA45" s="3">
        <v>6</v>
      </c>
      <c r="AB45" s="3">
        <v>6</v>
      </c>
      <c r="AC45" s="3">
        <v>23</v>
      </c>
      <c r="AD45" s="9">
        <f t="shared" si="0"/>
        <v>236.5</v>
      </c>
      <c r="AE45">
        <f t="shared" si="1"/>
        <v>9934</v>
      </c>
      <c r="AF45" s="2">
        <f t="shared" si="9"/>
        <v>3.5</v>
      </c>
      <c r="AG45" t="str">
        <f t="shared" si="10"/>
        <v>3小时</v>
      </c>
      <c r="AH45">
        <f t="shared" si="11"/>
        <v>11</v>
      </c>
      <c r="AI45">
        <f t="shared" si="12"/>
        <v>2</v>
      </c>
      <c r="AJ45">
        <f t="shared" si="2"/>
        <v>13.8</v>
      </c>
      <c r="AK45">
        <f t="shared" si="13"/>
        <v>7</v>
      </c>
      <c r="AL45">
        <f t="shared" si="3"/>
        <v>3.5</v>
      </c>
      <c r="AM45" s="2">
        <f t="shared" si="14"/>
        <v>2</v>
      </c>
      <c r="AP45">
        <v>24</v>
      </c>
      <c r="AQ45">
        <v>14</v>
      </c>
      <c r="AR45">
        <v>14</v>
      </c>
      <c r="AX45">
        <v>42</v>
      </c>
      <c r="AY45">
        <v>42</v>
      </c>
      <c r="AZ45" s="3">
        <f t="shared" si="4"/>
        <v>55040</v>
      </c>
      <c r="BA45" t="e">
        <f>AZ45/(#REF!*60/5)/60</f>
        <v>#REF!</v>
      </c>
      <c r="BB45">
        <v>30</v>
      </c>
      <c r="BC45">
        <f t="shared" si="5"/>
        <v>1.3373015873015872</v>
      </c>
      <c r="BD45" s="2">
        <f t="shared" si="15"/>
        <v>13.8</v>
      </c>
      <c r="BE45">
        <f t="shared" si="16"/>
        <v>3.5</v>
      </c>
      <c r="BF45">
        <f t="shared" si="17"/>
        <v>20160</v>
      </c>
    </row>
    <row r="46" spans="1:58" ht="14.25" x14ac:dyDescent="0.2">
      <c r="A46" s="10">
        <v>408</v>
      </c>
      <c r="B46" s="13">
        <v>2</v>
      </c>
      <c r="C46" s="15">
        <v>2</v>
      </c>
      <c r="D46" s="14">
        <v>2</v>
      </c>
      <c r="E46" s="1" t="s">
        <v>2699</v>
      </c>
      <c r="F46" s="1" t="s">
        <v>2705</v>
      </c>
      <c r="G46" s="1" t="s">
        <v>2701</v>
      </c>
      <c r="H46" s="1" t="s">
        <v>2701</v>
      </c>
      <c r="I46" s="1" t="s">
        <v>2702</v>
      </c>
      <c r="J46" s="16" t="s">
        <v>2703</v>
      </c>
      <c r="K46" t="s">
        <v>168</v>
      </c>
      <c r="L46" t="s">
        <v>163</v>
      </c>
      <c r="M46" t="s">
        <v>163</v>
      </c>
      <c r="N46" t="s">
        <v>163</v>
      </c>
      <c r="O46" s="4" t="s">
        <v>243</v>
      </c>
      <c r="P46">
        <v>0</v>
      </c>
      <c r="Q46" s="24">
        <v>5.5</v>
      </c>
      <c r="R46" s="25">
        <v>4.5999999999999996</v>
      </c>
      <c r="S46" s="26">
        <v>6.7</v>
      </c>
      <c r="U46" s="3">
        <v>43</v>
      </c>
      <c r="V46" s="1">
        <v>58914</v>
      </c>
      <c r="W46" s="1">
        <v>7405</v>
      </c>
      <c r="Y46">
        <v>4</v>
      </c>
      <c r="Z46">
        <v>8</v>
      </c>
      <c r="AA46" s="3">
        <v>6</v>
      </c>
      <c r="AB46" s="3">
        <v>6</v>
      </c>
      <c r="AC46" s="3">
        <v>23</v>
      </c>
      <c r="AD46" s="9">
        <f t="shared" si="0"/>
        <v>236.5</v>
      </c>
      <c r="AE46">
        <f t="shared" si="1"/>
        <v>9934</v>
      </c>
      <c r="AF46" s="2">
        <f t="shared" si="9"/>
        <v>3.5</v>
      </c>
      <c r="AG46" t="str">
        <f t="shared" si="10"/>
        <v>3小时</v>
      </c>
      <c r="AH46">
        <f t="shared" si="11"/>
        <v>11</v>
      </c>
      <c r="AI46">
        <f t="shared" si="12"/>
        <v>2</v>
      </c>
      <c r="AJ46">
        <f t="shared" si="2"/>
        <v>13.8</v>
      </c>
      <c r="AK46">
        <f t="shared" si="13"/>
        <v>7</v>
      </c>
      <c r="AL46">
        <f t="shared" si="3"/>
        <v>3.5</v>
      </c>
      <c r="AM46" s="2">
        <f t="shared" si="14"/>
        <v>2</v>
      </c>
      <c r="AP46">
        <v>24</v>
      </c>
      <c r="AQ46">
        <v>14</v>
      </c>
      <c r="AR46">
        <v>14</v>
      </c>
      <c r="AX46">
        <v>43</v>
      </c>
      <c r="AY46">
        <v>43</v>
      </c>
      <c r="AZ46" s="3">
        <f t="shared" si="4"/>
        <v>58914</v>
      </c>
      <c r="BA46" t="e">
        <f>AZ46/(#REF!*60/5)/60</f>
        <v>#REF!</v>
      </c>
      <c r="BB46">
        <v>30</v>
      </c>
      <c r="BC46">
        <f t="shared" si="5"/>
        <v>1.3373015873015872</v>
      </c>
      <c r="BD46" s="2">
        <f t="shared" si="15"/>
        <v>13.8</v>
      </c>
      <c r="BE46">
        <f t="shared" si="16"/>
        <v>3.5</v>
      </c>
      <c r="BF46">
        <f t="shared" si="17"/>
        <v>20160</v>
      </c>
    </row>
    <row r="47" spans="1:58" ht="14.25" x14ac:dyDescent="0.2">
      <c r="A47" s="10">
        <v>409</v>
      </c>
      <c r="B47" s="13">
        <v>2</v>
      </c>
      <c r="C47" s="15">
        <v>2</v>
      </c>
      <c r="D47" s="14">
        <v>2</v>
      </c>
      <c r="E47" s="1" t="s">
        <v>2699</v>
      </c>
      <c r="F47" s="1" t="s">
        <v>2706</v>
      </c>
      <c r="G47" s="1" t="s">
        <v>2701</v>
      </c>
      <c r="H47" s="1" t="s">
        <v>2701</v>
      </c>
      <c r="I47" s="1" t="s">
        <v>2702</v>
      </c>
      <c r="J47" s="16" t="s">
        <v>2703</v>
      </c>
      <c r="K47" t="s">
        <v>175</v>
      </c>
      <c r="L47" t="s">
        <v>164</v>
      </c>
      <c r="M47" t="s">
        <v>163</v>
      </c>
      <c r="N47" t="s">
        <v>167</v>
      </c>
      <c r="O47" s="4" t="s">
        <v>245</v>
      </c>
      <c r="P47">
        <v>0</v>
      </c>
      <c r="Q47" s="24">
        <v>5.5</v>
      </c>
      <c r="R47" s="25">
        <v>4.5999999999999996</v>
      </c>
      <c r="S47" s="26">
        <v>6.7</v>
      </c>
      <c r="U47" s="3">
        <v>44</v>
      </c>
      <c r="V47" s="1">
        <v>62966</v>
      </c>
      <c r="W47" s="1">
        <v>7578</v>
      </c>
      <c r="Y47">
        <v>4</v>
      </c>
      <c r="Z47">
        <v>9</v>
      </c>
      <c r="AA47" s="3">
        <v>6</v>
      </c>
      <c r="AB47" s="3">
        <v>6</v>
      </c>
      <c r="AC47" s="3">
        <v>23</v>
      </c>
      <c r="AD47" s="9">
        <f t="shared" si="0"/>
        <v>236.5</v>
      </c>
      <c r="AE47">
        <f t="shared" si="1"/>
        <v>9934</v>
      </c>
      <c r="AF47" s="2">
        <f t="shared" si="9"/>
        <v>3.5</v>
      </c>
      <c r="AG47" t="str">
        <f t="shared" si="10"/>
        <v>3小时</v>
      </c>
      <c r="AH47">
        <f t="shared" si="11"/>
        <v>11</v>
      </c>
      <c r="AI47">
        <f t="shared" si="12"/>
        <v>2</v>
      </c>
      <c r="AJ47">
        <f t="shared" si="2"/>
        <v>13.8</v>
      </c>
      <c r="AK47">
        <f t="shared" si="13"/>
        <v>7</v>
      </c>
      <c r="AL47">
        <f t="shared" si="3"/>
        <v>3.5</v>
      </c>
      <c r="AM47" s="2">
        <f t="shared" si="14"/>
        <v>2</v>
      </c>
      <c r="AP47">
        <v>24</v>
      </c>
      <c r="AQ47">
        <v>14</v>
      </c>
      <c r="AR47">
        <v>14</v>
      </c>
      <c r="AX47">
        <v>44</v>
      </c>
      <c r="AY47">
        <v>44</v>
      </c>
      <c r="AZ47" s="3">
        <f t="shared" si="4"/>
        <v>62966</v>
      </c>
      <c r="BA47" t="e">
        <f>AZ47/(#REF!*60/5)/60</f>
        <v>#REF!</v>
      </c>
      <c r="BB47">
        <v>30</v>
      </c>
      <c r="BC47">
        <f t="shared" si="5"/>
        <v>1.3373015873015872</v>
      </c>
      <c r="BD47" s="2">
        <f t="shared" si="15"/>
        <v>13.8</v>
      </c>
      <c r="BE47">
        <f t="shared" si="16"/>
        <v>3.5</v>
      </c>
      <c r="BF47">
        <f t="shared" si="17"/>
        <v>20160</v>
      </c>
    </row>
    <row r="48" spans="1:58" ht="14.25" x14ac:dyDescent="0.2">
      <c r="A48" s="10">
        <v>410</v>
      </c>
      <c r="B48" s="13">
        <v>2</v>
      </c>
      <c r="C48" s="15">
        <v>2</v>
      </c>
      <c r="D48" s="14">
        <v>2</v>
      </c>
      <c r="E48" s="1" t="s">
        <v>2707</v>
      </c>
      <c r="F48" s="1" t="s">
        <v>2708</v>
      </c>
      <c r="G48" s="1" t="s">
        <v>2709</v>
      </c>
      <c r="H48" s="1" t="s">
        <v>2710</v>
      </c>
      <c r="I48" s="1" t="s">
        <v>146</v>
      </c>
      <c r="J48" s="16" t="s">
        <v>2711</v>
      </c>
      <c r="K48" t="s">
        <v>179</v>
      </c>
      <c r="L48" t="s">
        <v>163</v>
      </c>
      <c r="M48" t="s">
        <v>163</v>
      </c>
      <c r="N48" t="s">
        <v>163</v>
      </c>
      <c r="O48" s="4" t="s">
        <v>243</v>
      </c>
      <c r="P48">
        <v>0</v>
      </c>
      <c r="Q48" s="24">
        <v>5.5</v>
      </c>
      <c r="R48" s="25">
        <v>4.5999999999999996</v>
      </c>
      <c r="S48" s="26">
        <v>6.7</v>
      </c>
      <c r="U48" s="3">
        <v>45</v>
      </c>
      <c r="V48" s="1">
        <v>67200</v>
      </c>
      <c r="W48" s="1">
        <v>7755</v>
      </c>
      <c r="Y48">
        <v>4</v>
      </c>
      <c r="Z48">
        <v>10</v>
      </c>
      <c r="AA48" s="3">
        <v>10</v>
      </c>
      <c r="AB48" s="3">
        <v>6</v>
      </c>
      <c r="AC48" s="3">
        <v>24</v>
      </c>
      <c r="AD48" s="9">
        <f t="shared" si="0"/>
        <v>266.33333333333331</v>
      </c>
      <c r="AE48">
        <f t="shared" si="1"/>
        <v>11186</v>
      </c>
      <c r="AF48" s="2">
        <f t="shared" si="9"/>
        <v>3.5</v>
      </c>
      <c r="AG48" t="str">
        <f t="shared" si="10"/>
        <v>4小时</v>
      </c>
      <c r="AH48">
        <f t="shared" si="11"/>
        <v>11</v>
      </c>
      <c r="AI48">
        <f t="shared" si="12"/>
        <v>2</v>
      </c>
      <c r="AJ48">
        <f t="shared" si="2"/>
        <v>13.8</v>
      </c>
      <c r="AK48">
        <f t="shared" si="13"/>
        <v>7</v>
      </c>
      <c r="AL48">
        <f t="shared" si="3"/>
        <v>3.5</v>
      </c>
      <c r="AM48" s="2">
        <f t="shared" si="14"/>
        <v>2</v>
      </c>
      <c r="AP48">
        <v>24</v>
      </c>
      <c r="AQ48">
        <v>14</v>
      </c>
      <c r="AR48">
        <v>14</v>
      </c>
      <c r="AX48">
        <v>45</v>
      </c>
      <c r="AY48">
        <v>45</v>
      </c>
      <c r="AZ48" s="3">
        <f t="shared" si="4"/>
        <v>67200</v>
      </c>
      <c r="BA48" t="e">
        <f>AZ48/(#REF!*60/5)/60</f>
        <v>#REF!</v>
      </c>
      <c r="BB48">
        <v>30</v>
      </c>
      <c r="BC48">
        <f t="shared" si="5"/>
        <v>1.3373015873015872</v>
      </c>
      <c r="BD48" s="2">
        <f t="shared" si="15"/>
        <v>13.8</v>
      </c>
      <c r="BE48">
        <f t="shared" si="16"/>
        <v>3.5</v>
      </c>
      <c r="BF48">
        <f t="shared" si="17"/>
        <v>20160</v>
      </c>
    </row>
    <row r="49" spans="1:58" ht="14.25" x14ac:dyDescent="0.2">
      <c r="A49" s="10">
        <v>411</v>
      </c>
      <c r="B49" s="13">
        <v>2</v>
      </c>
      <c r="C49" s="15">
        <v>2</v>
      </c>
      <c r="D49" s="14">
        <v>2</v>
      </c>
      <c r="E49" s="1" t="s">
        <v>2699</v>
      </c>
      <c r="F49" s="1" t="s">
        <v>2700</v>
      </c>
      <c r="G49" s="1" t="s">
        <v>2701</v>
      </c>
      <c r="H49" s="1" t="s">
        <v>2701</v>
      </c>
      <c r="I49" s="1" t="s">
        <v>2702</v>
      </c>
      <c r="J49" s="16" t="s">
        <v>2703</v>
      </c>
      <c r="K49" t="s">
        <v>162</v>
      </c>
      <c r="L49" t="s">
        <v>163</v>
      </c>
      <c r="M49" t="s">
        <v>163</v>
      </c>
      <c r="N49" t="s">
        <v>163</v>
      </c>
      <c r="O49" s="4" t="s">
        <v>247</v>
      </c>
      <c r="P49">
        <v>0</v>
      </c>
      <c r="Q49" s="24">
        <v>6</v>
      </c>
      <c r="R49" s="25">
        <v>5</v>
      </c>
      <c r="S49" s="26">
        <v>7.3</v>
      </c>
      <c r="U49" s="3">
        <v>46</v>
      </c>
      <c r="V49" s="1">
        <v>71620</v>
      </c>
      <c r="W49" s="1">
        <v>7936</v>
      </c>
      <c r="Y49">
        <v>4</v>
      </c>
      <c r="Z49">
        <v>11</v>
      </c>
      <c r="AA49" s="3">
        <v>6</v>
      </c>
      <c r="AB49" s="3">
        <v>6</v>
      </c>
      <c r="AC49" s="3">
        <v>24</v>
      </c>
      <c r="AD49" s="9">
        <f t="shared" si="0"/>
        <v>251.91666666666666</v>
      </c>
      <c r="AE49">
        <f t="shared" si="1"/>
        <v>11186</v>
      </c>
      <c r="AF49" s="2">
        <f t="shared" si="9"/>
        <v>3.7</v>
      </c>
      <c r="AG49" t="str">
        <f t="shared" si="10"/>
        <v>4小时</v>
      </c>
      <c r="AH49">
        <f t="shared" si="11"/>
        <v>12</v>
      </c>
      <c r="AI49">
        <f t="shared" si="12"/>
        <v>2</v>
      </c>
      <c r="AJ49">
        <f t="shared" si="2"/>
        <v>14.1</v>
      </c>
      <c r="AK49">
        <f t="shared" si="13"/>
        <v>8</v>
      </c>
      <c r="AL49">
        <f t="shared" si="3"/>
        <v>3.7</v>
      </c>
      <c r="AM49" s="2">
        <f t="shared" si="14"/>
        <v>2</v>
      </c>
      <c r="AP49">
        <v>24</v>
      </c>
      <c r="AQ49">
        <v>16</v>
      </c>
      <c r="AR49">
        <v>16</v>
      </c>
      <c r="AX49">
        <v>46</v>
      </c>
      <c r="AY49">
        <v>46</v>
      </c>
      <c r="AZ49" s="3">
        <f t="shared" si="4"/>
        <v>71620</v>
      </c>
      <c r="BA49" t="e">
        <f>AZ49/(#REF!*60/5)/60</f>
        <v>#REF!</v>
      </c>
      <c r="BB49">
        <v>30</v>
      </c>
      <c r="BC49">
        <f t="shared" si="5"/>
        <v>1.265015015015015</v>
      </c>
      <c r="BD49" s="2">
        <f t="shared" si="15"/>
        <v>14.1</v>
      </c>
      <c r="BE49">
        <f t="shared" si="16"/>
        <v>3.7</v>
      </c>
      <c r="BF49">
        <f t="shared" si="17"/>
        <v>21312</v>
      </c>
    </row>
    <row r="50" spans="1:58" ht="14.25" x14ac:dyDescent="0.2">
      <c r="A50" s="10">
        <v>412</v>
      </c>
      <c r="B50" s="13">
        <v>2</v>
      </c>
      <c r="C50" s="15">
        <v>2</v>
      </c>
      <c r="D50" s="14">
        <v>2</v>
      </c>
      <c r="E50" s="1" t="s">
        <v>2699</v>
      </c>
      <c r="F50" s="1" t="s">
        <v>2704</v>
      </c>
      <c r="G50" s="1" t="s">
        <v>2701</v>
      </c>
      <c r="H50" s="1" t="s">
        <v>2701</v>
      </c>
      <c r="I50" s="1" t="s">
        <v>2702</v>
      </c>
      <c r="J50" s="16" t="s">
        <v>2703</v>
      </c>
      <c r="K50" t="s">
        <v>177</v>
      </c>
      <c r="L50" t="s">
        <v>163</v>
      </c>
      <c r="M50" t="s">
        <v>163</v>
      </c>
      <c r="N50" t="s">
        <v>163</v>
      </c>
      <c r="O50" s="4" t="s">
        <v>249</v>
      </c>
      <c r="P50">
        <v>0</v>
      </c>
      <c r="Q50" s="24">
        <v>6</v>
      </c>
      <c r="R50" s="25">
        <v>5</v>
      </c>
      <c r="S50" s="26">
        <v>7.3</v>
      </c>
      <c r="U50" s="3">
        <v>47</v>
      </c>
      <c r="V50" s="1">
        <v>76230</v>
      </c>
      <c r="W50" s="1">
        <v>8121</v>
      </c>
      <c r="Y50">
        <v>4</v>
      </c>
      <c r="Z50">
        <v>12</v>
      </c>
      <c r="AA50" s="3">
        <v>6</v>
      </c>
      <c r="AB50" s="3">
        <v>6</v>
      </c>
      <c r="AC50" s="3">
        <v>24</v>
      </c>
      <c r="AD50" s="9">
        <f t="shared" si="0"/>
        <v>251.91666666666666</v>
      </c>
      <c r="AE50">
        <f t="shared" si="1"/>
        <v>11186</v>
      </c>
      <c r="AF50" s="2">
        <f t="shared" si="9"/>
        <v>3.7</v>
      </c>
      <c r="AG50" t="str">
        <f t="shared" si="10"/>
        <v>4小时</v>
      </c>
      <c r="AH50">
        <f t="shared" si="11"/>
        <v>12</v>
      </c>
      <c r="AI50">
        <f t="shared" si="12"/>
        <v>2</v>
      </c>
      <c r="AJ50">
        <f t="shared" si="2"/>
        <v>14.1</v>
      </c>
      <c r="AK50">
        <f t="shared" si="13"/>
        <v>8</v>
      </c>
      <c r="AL50">
        <f t="shared" si="3"/>
        <v>3.7</v>
      </c>
      <c r="AM50" s="2">
        <f t="shared" si="14"/>
        <v>2</v>
      </c>
      <c r="AP50">
        <v>24</v>
      </c>
      <c r="AQ50">
        <v>16</v>
      </c>
      <c r="AR50">
        <v>16</v>
      </c>
      <c r="AX50">
        <v>47</v>
      </c>
      <c r="AY50">
        <v>47</v>
      </c>
      <c r="AZ50" s="3">
        <f t="shared" si="4"/>
        <v>76230</v>
      </c>
      <c r="BA50" t="e">
        <f>AZ50/(#REF!*60/5)/60</f>
        <v>#REF!</v>
      </c>
      <c r="BB50">
        <v>30</v>
      </c>
      <c r="BC50">
        <f t="shared" si="5"/>
        <v>1.265015015015015</v>
      </c>
      <c r="BD50" s="2">
        <f t="shared" si="15"/>
        <v>14.1</v>
      </c>
      <c r="BE50">
        <f t="shared" si="16"/>
        <v>3.7</v>
      </c>
      <c r="BF50">
        <f t="shared" si="17"/>
        <v>21312</v>
      </c>
    </row>
    <row r="51" spans="1:58" ht="14.25" x14ac:dyDescent="0.2">
      <c r="A51" s="10">
        <v>413</v>
      </c>
      <c r="B51" s="13">
        <v>2</v>
      </c>
      <c r="C51" s="15">
        <v>2</v>
      </c>
      <c r="D51" s="14">
        <v>2</v>
      </c>
      <c r="E51" s="1" t="s">
        <v>2699</v>
      </c>
      <c r="F51" s="1" t="s">
        <v>2705</v>
      </c>
      <c r="G51" s="1" t="s">
        <v>2701</v>
      </c>
      <c r="H51" s="1" t="s">
        <v>2701</v>
      </c>
      <c r="I51" s="1" t="s">
        <v>2702</v>
      </c>
      <c r="J51" s="16" t="s">
        <v>2703</v>
      </c>
      <c r="K51" t="s">
        <v>174</v>
      </c>
      <c r="L51" t="s">
        <v>163</v>
      </c>
      <c r="M51" t="s">
        <v>163</v>
      </c>
      <c r="N51" t="s">
        <v>163</v>
      </c>
      <c r="O51" s="4" t="s">
        <v>251</v>
      </c>
      <c r="P51">
        <v>0</v>
      </c>
      <c r="Q51" s="24">
        <v>6</v>
      </c>
      <c r="R51" s="25">
        <v>5</v>
      </c>
      <c r="S51" s="26">
        <v>7.3</v>
      </c>
      <c r="U51" s="3">
        <v>48</v>
      </c>
      <c r="V51" s="1">
        <v>81034</v>
      </c>
      <c r="W51" s="1">
        <v>8310</v>
      </c>
      <c r="Y51">
        <v>4</v>
      </c>
      <c r="Z51">
        <v>13</v>
      </c>
      <c r="AA51" s="3">
        <v>6</v>
      </c>
      <c r="AB51" s="3">
        <v>6</v>
      </c>
      <c r="AC51" s="3">
        <v>25</v>
      </c>
      <c r="AD51" s="9">
        <f t="shared" si="0"/>
        <v>282.41666666666669</v>
      </c>
      <c r="AE51">
        <f t="shared" si="1"/>
        <v>12540</v>
      </c>
      <c r="AF51" s="2">
        <f t="shared" si="9"/>
        <v>3.7</v>
      </c>
      <c r="AG51" t="str">
        <f t="shared" si="10"/>
        <v>4小时</v>
      </c>
      <c r="AH51">
        <f t="shared" si="11"/>
        <v>12</v>
      </c>
      <c r="AI51">
        <f t="shared" si="12"/>
        <v>2</v>
      </c>
      <c r="AJ51">
        <f t="shared" si="2"/>
        <v>14.1</v>
      </c>
      <c r="AK51">
        <f t="shared" si="13"/>
        <v>8</v>
      </c>
      <c r="AL51">
        <f t="shared" si="3"/>
        <v>3.7</v>
      </c>
      <c r="AM51" s="2">
        <f t="shared" si="14"/>
        <v>2</v>
      </c>
      <c r="AP51">
        <v>24</v>
      </c>
      <c r="AQ51">
        <v>16</v>
      </c>
      <c r="AR51">
        <v>16</v>
      </c>
      <c r="AX51">
        <v>48</v>
      </c>
      <c r="AY51">
        <v>48</v>
      </c>
      <c r="AZ51" s="3">
        <f t="shared" si="4"/>
        <v>81034</v>
      </c>
      <c r="BA51" t="e">
        <f>AZ51/(#REF!*60/5)/60</f>
        <v>#REF!</v>
      </c>
      <c r="BB51">
        <v>30</v>
      </c>
      <c r="BC51">
        <f t="shared" si="5"/>
        <v>1.265015015015015</v>
      </c>
      <c r="BD51" s="2">
        <f t="shared" si="15"/>
        <v>14.1</v>
      </c>
      <c r="BE51">
        <f t="shared" si="16"/>
        <v>3.7</v>
      </c>
      <c r="BF51">
        <f t="shared" si="17"/>
        <v>21312</v>
      </c>
    </row>
    <row r="52" spans="1:58" ht="14.25" x14ac:dyDescent="0.2">
      <c r="A52" s="10">
        <v>414</v>
      </c>
      <c r="B52" s="13">
        <v>2</v>
      </c>
      <c r="C52" s="15">
        <v>2</v>
      </c>
      <c r="D52" s="14">
        <v>2</v>
      </c>
      <c r="E52" s="1" t="s">
        <v>2699</v>
      </c>
      <c r="F52" s="1" t="s">
        <v>2706</v>
      </c>
      <c r="G52" s="1" t="s">
        <v>2701</v>
      </c>
      <c r="H52" s="1" t="s">
        <v>2701</v>
      </c>
      <c r="I52" s="1" t="s">
        <v>2702</v>
      </c>
      <c r="J52" s="16" t="s">
        <v>2703</v>
      </c>
      <c r="K52" t="s">
        <v>166</v>
      </c>
      <c r="L52" t="s">
        <v>163</v>
      </c>
      <c r="M52" t="s">
        <v>163</v>
      </c>
      <c r="N52" t="s">
        <v>163</v>
      </c>
      <c r="O52" s="4" t="s">
        <v>251</v>
      </c>
      <c r="P52">
        <v>0</v>
      </c>
      <c r="Q52" s="24">
        <v>6</v>
      </c>
      <c r="R52" s="25">
        <v>5</v>
      </c>
      <c r="S52" s="26">
        <v>7.3</v>
      </c>
      <c r="U52" s="3">
        <v>49</v>
      </c>
      <c r="V52" s="1">
        <v>86036</v>
      </c>
      <c r="W52" s="1">
        <v>8503</v>
      </c>
      <c r="Y52">
        <v>4</v>
      </c>
      <c r="Z52">
        <v>14</v>
      </c>
      <c r="AA52" s="3">
        <v>6</v>
      </c>
      <c r="AB52" s="3">
        <v>6</v>
      </c>
      <c r="AC52" s="3">
        <v>25</v>
      </c>
      <c r="AD52" s="9">
        <f t="shared" si="0"/>
        <v>282.41666666666669</v>
      </c>
      <c r="AE52">
        <f t="shared" si="1"/>
        <v>12540</v>
      </c>
      <c r="AF52" s="2">
        <f t="shared" si="9"/>
        <v>3.7</v>
      </c>
      <c r="AG52" t="str">
        <f t="shared" si="10"/>
        <v>4小时</v>
      </c>
      <c r="AH52">
        <f t="shared" si="11"/>
        <v>12</v>
      </c>
      <c r="AI52">
        <f t="shared" si="12"/>
        <v>2</v>
      </c>
      <c r="AJ52">
        <f t="shared" si="2"/>
        <v>14.1</v>
      </c>
      <c r="AK52">
        <f t="shared" si="13"/>
        <v>8</v>
      </c>
      <c r="AL52">
        <f t="shared" si="3"/>
        <v>3.7</v>
      </c>
      <c r="AM52" s="2">
        <f t="shared" si="14"/>
        <v>2</v>
      </c>
      <c r="AP52">
        <v>24</v>
      </c>
      <c r="AQ52">
        <v>16</v>
      </c>
      <c r="AR52">
        <v>16</v>
      </c>
      <c r="AX52">
        <v>49</v>
      </c>
      <c r="AY52">
        <v>49</v>
      </c>
      <c r="AZ52" s="3">
        <f t="shared" si="4"/>
        <v>86036</v>
      </c>
      <c r="BA52" t="e">
        <f>AZ52/(#REF!*60/5)/60</f>
        <v>#REF!</v>
      </c>
      <c r="BB52">
        <v>30</v>
      </c>
      <c r="BC52">
        <f t="shared" si="5"/>
        <v>1.265015015015015</v>
      </c>
      <c r="BD52" s="2">
        <f t="shared" si="15"/>
        <v>14.1</v>
      </c>
      <c r="BE52">
        <f t="shared" si="16"/>
        <v>3.7</v>
      </c>
      <c r="BF52">
        <f t="shared" si="17"/>
        <v>21312</v>
      </c>
    </row>
    <row r="53" spans="1:58" ht="14.25" x14ac:dyDescent="0.2">
      <c r="A53" s="10">
        <v>415</v>
      </c>
      <c r="B53" s="13">
        <v>2</v>
      </c>
      <c r="C53" s="15">
        <v>2</v>
      </c>
      <c r="D53" s="14">
        <v>2</v>
      </c>
      <c r="E53" s="1" t="s">
        <v>2707</v>
      </c>
      <c r="F53" s="1" t="s">
        <v>2708</v>
      </c>
      <c r="G53" s="1" t="s">
        <v>2709</v>
      </c>
      <c r="H53" s="1" t="s">
        <v>2710</v>
      </c>
      <c r="I53" s="1" t="s">
        <v>146</v>
      </c>
      <c r="J53" s="16" t="s">
        <v>2711</v>
      </c>
      <c r="K53" t="s">
        <v>168</v>
      </c>
      <c r="L53" t="s">
        <v>163</v>
      </c>
      <c r="M53" t="s">
        <v>163</v>
      </c>
      <c r="N53" t="s">
        <v>163</v>
      </c>
      <c r="O53" s="4" t="s">
        <v>253</v>
      </c>
      <c r="P53">
        <v>0</v>
      </c>
      <c r="Q53" s="24">
        <v>6</v>
      </c>
      <c r="R53" s="25">
        <v>5</v>
      </c>
      <c r="S53" s="26">
        <v>7.3</v>
      </c>
      <c r="U53" s="3">
        <v>50</v>
      </c>
      <c r="V53" s="1">
        <v>91240</v>
      </c>
      <c r="W53" s="1">
        <v>11430</v>
      </c>
      <c r="Y53">
        <v>4</v>
      </c>
      <c r="Z53">
        <v>15</v>
      </c>
      <c r="AA53" s="3">
        <v>10</v>
      </c>
      <c r="AB53" s="3">
        <v>6</v>
      </c>
      <c r="AC53" s="3">
        <v>25</v>
      </c>
      <c r="AD53" s="9">
        <f t="shared" si="0"/>
        <v>282.41666666666669</v>
      </c>
      <c r="AE53">
        <f t="shared" si="1"/>
        <v>12540</v>
      </c>
      <c r="AF53" s="2">
        <f t="shared" si="9"/>
        <v>3.7</v>
      </c>
      <c r="AG53" t="str">
        <f t="shared" si="10"/>
        <v>4小时</v>
      </c>
      <c r="AH53">
        <f t="shared" si="11"/>
        <v>12</v>
      </c>
      <c r="AI53">
        <f t="shared" si="12"/>
        <v>2</v>
      </c>
      <c r="AJ53">
        <f t="shared" si="2"/>
        <v>14.1</v>
      </c>
      <c r="AK53">
        <f t="shared" si="13"/>
        <v>8</v>
      </c>
      <c r="AL53">
        <f t="shared" si="3"/>
        <v>3.7</v>
      </c>
      <c r="AM53" s="2">
        <f t="shared" si="14"/>
        <v>2</v>
      </c>
      <c r="AP53">
        <v>24</v>
      </c>
      <c r="AQ53">
        <v>16</v>
      </c>
      <c r="AR53">
        <v>16</v>
      </c>
      <c r="AX53">
        <v>50</v>
      </c>
      <c r="AY53">
        <v>50</v>
      </c>
      <c r="AZ53" s="3">
        <f t="shared" si="4"/>
        <v>91240</v>
      </c>
      <c r="BA53" t="e">
        <f>AZ53/(#REF!*60/5)/60</f>
        <v>#REF!</v>
      </c>
      <c r="BB53">
        <v>30</v>
      </c>
      <c r="BC53">
        <f t="shared" si="5"/>
        <v>1.265015015015015</v>
      </c>
      <c r="BD53" s="2">
        <f t="shared" si="15"/>
        <v>14.1</v>
      </c>
      <c r="BE53">
        <f t="shared" si="16"/>
        <v>3.7</v>
      </c>
      <c r="BF53">
        <f t="shared" si="17"/>
        <v>21312</v>
      </c>
    </row>
    <row r="54" spans="1:58" ht="14.25" x14ac:dyDescent="0.2">
      <c r="A54" s="10">
        <v>416</v>
      </c>
      <c r="B54" s="13">
        <v>2</v>
      </c>
      <c r="C54" s="15">
        <v>2</v>
      </c>
      <c r="D54" s="14">
        <v>2</v>
      </c>
      <c r="E54" s="1" t="s">
        <v>2699</v>
      </c>
      <c r="F54" s="1" t="s">
        <v>2712</v>
      </c>
      <c r="G54" s="1" t="s">
        <v>2701</v>
      </c>
      <c r="H54" s="1" t="s">
        <v>2701</v>
      </c>
      <c r="I54" s="1" t="s">
        <v>2702</v>
      </c>
      <c r="J54" s="16" t="s">
        <v>2713</v>
      </c>
      <c r="K54" t="s">
        <v>175</v>
      </c>
      <c r="L54" t="s">
        <v>164</v>
      </c>
      <c r="M54" t="s">
        <v>163</v>
      </c>
      <c r="N54" t="s">
        <v>167</v>
      </c>
      <c r="O54" s="4" t="s">
        <v>255</v>
      </c>
      <c r="P54">
        <v>0</v>
      </c>
      <c r="Q54" s="24">
        <v>6.5</v>
      </c>
      <c r="R54" s="25">
        <v>5.5</v>
      </c>
      <c r="S54" s="26">
        <v>8</v>
      </c>
      <c r="U54" s="3">
        <v>51</v>
      </c>
      <c r="V54" s="1">
        <v>96650</v>
      </c>
      <c r="W54" s="1">
        <v>11631</v>
      </c>
      <c r="Y54">
        <v>5</v>
      </c>
      <c r="Z54">
        <v>1</v>
      </c>
      <c r="AA54" s="3">
        <v>8</v>
      </c>
      <c r="AB54" s="3">
        <v>6</v>
      </c>
      <c r="AC54" s="3">
        <v>26</v>
      </c>
      <c r="AD54" s="9">
        <f t="shared" si="0"/>
        <v>291.66666666666669</v>
      </c>
      <c r="AE54">
        <f t="shared" si="1"/>
        <v>14000</v>
      </c>
      <c r="AF54" s="2">
        <f t="shared" si="9"/>
        <v>4</v>
      </c>
      <c r="AG54" t="str">
        <f t="shared" si="10"/>
        <v>4小时</v>
      </c>
      <c r="AH54">
        <f t="shared" si="11"/>
        <v>12</v>
      </c>
      <c r="AI54">
        <f t="shared" si="12"/>
        <v>2</v>
      </c>
      <c r="AJ54">
        <f t="shared" si="2"/>
        <v>14.5</v>
      </c>
      <c r="AK54">
        <f t="shared" si="13"/>
        <v>8</v>
      </c>
      <c r="AL54">
        <f t="shared" si="3"/>
        <v>4</v>
      </c>
      <c r="AM54" s="2">
        <f t="shared" si="14"/>
        <v>2</v>
      </c>
      <c r="AP54">
        <v>25</v>
      </c>
      <c r="AQ54">
        <v>20</v>
      </c>
      <c r="AR54">
        <v>18</v>
      </c>
      <c r="AX54">
        <v>51</v>
      </c>
      <c r="AY54">
        <v>51</v>
      </c>
      <c r="AZ54" s="3">
        <f t="shared" si="4"/>
        <v>96650</v>
      </c>
      <c r="BA54" t="e">
        <f>AZ54/(#REF!*60/5)/60</f>
        <v>#REF!</v>
      </c>
      <c r="BB54">
        <v>40</v>
      </c>
      <c r="BC54">
        <f t="shared" si="5"/>
        <v>2.3993055555555554</v>
      </c>
      <c r="BD54" s="2">
        <f t="shared" si="15"/>
        <v>14.5</v>
      </c>
      <c r="BE54">
        <f t="shared" si="16"/>
        <v>4</v>
      </c>
      <c r="BF54">
        <f t="shared" si="17"/>
        <v>23040</v>
      </c>
    </row>
    <row r="55" spans="1:58" ht="14.25" x14ac:dyDescent="0.2">
      <c r="A55" s="10">
        <v>417</v>
      </c>
      <c r="B55" s="13">
        <v>2</v>
      </c>
      <c r="C55" s="15">
        <v>2</v>
      </c>
      <c r="D55" s="14">
        <v>2</v>
      </c>
      <c r="E55" s="1" t="s">
        <v>2699</v>
      </c>
      <c r="F55" s="1" t="s">
        <v>2714</v>
      </c>
      <c r="G55" s="1" t="s">
        <v>2701</v>
      </c>
      <c r="H55" s="1" t="s">
        <v>2701</v>
      </c>
      <c r="I55" s="1" t="s">
        <v>2702</v>
      </c>
      <c r="J55" s="16" t="s">
        <v>2713</v>
      </c>
      <c r="K55" t="s">
        <v>179</v>
      </c>
      <c r="L55" t="s">
        <v>163</v>
      </c>
      <c r="M55" t="s">
        <v>163</v>
      </c>
      <c r="N55" t="s">
        <v>163</v>
      </c>
      <c r="O55" s="4" t="s">
        <v>257</v>
      </c>
      <c r="P55">
        <v>0</v>
      </c>
      <c r="Q55" s="24">
        <v>6.5</v>
      </c>
      <c r="R55" s="25">
        <v>5.5</v>
      </c>
      <c r="S55" s="26">
        <v>8</v>
      </c>
      <c r="U55" s="3">
        <v>52</v>
      </c>
      <c r="V55" s="1">
        <v>102270</v>
      </c>
      <c r="W55" s="1">
        <v>11836</v>
      </c>
      <c r="Y55">
        <v>5</v>
      </c>
      <c r="Z55">
        <v>2</v>
      </c>
      <c r="AA55" s="3">
        <v>8</v>
      </c>
      <c r="AB55" s="3">
        <v>6</v>
      </c>
      <c r="AC55" s="3">
        <v>26</v>
      </c>
      <c r="AD55" s="9">
        <f t="shared" si="0"/>
        <v>291.66666666666669</v>
      </c>
      <c r="AE55">
        <f t="shared" si="1"/>
        <v>14000</v>
      </c>
      <c r="AF55" s="2">
        <f t="shared" si="9"/>
        <v>4</v>
      </c>
      <c r="AG55" t="str">
        <f t="shared" si="10"/>
        <v>4小时</v>
      </c>
      <c r="AH55">
        <f t="shared" si="11"/>
        <v>12</v>
      </c>
      <c r="AI55">
        <f t="shared" si="12"/>
        <v>2</v>
      </c>
      <c r="AJ55">
        <f t="shared" si="2"/>
        <v>14.5</v>
      </c>
      <c r="AK55">
        <f t="shared" si="13"/>
        <v>8</v>
      </c>
      <c r="AL55">
        <f t="shared" si="3"/>
        <v>4</v>
      </c>
      <c r="AM55" s="2">
        <f t="shared" si="14"/>
        <v>2</v>
      </c>
      <c r="AP55">
        <v>25</v>
      </c>
      <c r="AQ55">
        <v>20</v>
      </c>
      <c r="AR55">
        <v>18</v>
      </c>
      <c r="AX55">
        <v>52</v>
      </c>
      <c r="AY55">
        <v>52</v>
      </c>
      <c r="AZ55" s="3">
        <f t="shared" si="4"/>
        <v>102270</v>
      </c>
      <c r="BA55" t="e">
        <f>AZ55/(#REF!*60/5)/60</f>
        <v>#REF!</v>
      </c>
      <c r="BB55">
        <v>40</v>
      </c>
      <c r="BC55">
        <f t="shared" si="5"/>
        <v>2.3993055555555554</v>
      </c>
      <c r="BD55" s="2">
        <f t="shared" si="15"/>
        <v>14.5</v>
      </c>
      <c r="BE55">
        <f t="shared" si="16"/>
        <v>4</v>
      </c>
      <c r="BF55">
        <f t="shared" si="17"/>
        <v>23040</v>
      </c>
    </row>
    <row r="56" spans="1:58" ht="14.25" x14ac:dyDescent="0.2">
      <c r="A56" s="10">
        <v>418</v>
      </c>
      <c r="B56" s="13">
        <v>2</v>
      </c>
      <c r="C56" s="15">
        <v>2</v>
      </c>
      <c r="D56" s="14">
        <v>2</v>
      </c>
      <c r="E56" s="1" t="s">
        <v>2699</v>
      </c>
      <c r="F56" s="1" t="s">
        <v>2715</v>
      </c>
      <c r="G56" s="1" t="s">
        <v>2701</v>
      </c>
      <c r="H56" s="1" t="s">
        <v>2701</v>
      </c>
      <c r="I56" s="1" t="s">
        <v>2702</v>
      </c>
      <c r="J56" s="16" t="s">
        <v>2713</v>
      </c>
      <c r="K56" t="s">
        <v>162</v>
      </c>
      <c r="L56" t="s">
        <v>163</v>
      </c>
      <c r="M56" t="s">
        <v>163</v>
      </c>
      <c r="N56" t="s">
        <v>163</v>
      </c>
      <c r="O56" s="4" t="s">
        <v>259</v>
      </c>
      <c r="P56">
        <v>0</v>
      </c>
      <c r="Q56" s="24">
        <v>6.5</v>
      </c>
      <c r="R56" s="25">
        <v>5.5</v>
      </c>
      <c r="S56" s="26">
        <v>8</v>
      </c>
      <c r="U56" s="3">
        <v>53</v>
      </c>
      <c r="V56" s="1">
        <v>108104</v>
      </c>
      <c r="W56" s="1">
        <v>12045</v>
      </c>
      <c r="Y56">
        <v>5</v>
      </c>
      <c r="Z56">
        <v>3</v>
      </c>
      <c r="AA56" s="3">
        <v>8</v>
      </c>
      <c r="AB56" s="3">
        <v>6</v>
      </c>
      <c r="AC56" s="3">
        <v>26</v>
      </c>
      <c r="AD56" s="9">
        <f t="shared" si="0"/>
        <v>291.66666666666669</v>
      </c>
      <c r="AE56">
        <f t="shared" si="1"/>
        <v>14000</v>
      </c>
      <c r="AF56" s="2">
        <f t="shared" si="9"/>
        <v>4</v>
      </c>
      <c r="AG56" t="str">
        <f t="shared" si="10"/>
        <v>4小时</v>
      </c>
      <c r="AH56">
        <f t="shared" si="11"/>
        <v>12</v>
      </c>
      <c r="AI56">
        <f t="shared" si="12"/>
        <v>2</v>
      </c>
      <c r="AJ56">
        <f t="shared" si="2"/>
        <v>14.5</v>
      </c>
      <c r="AK56">
        <f t="shared" si="13"/>
        <v>8</v>
      </c>
      <c r="AL56">
        <f t="shared" si="3"/>
        <v>4</v>
      </c>
      <c r="AM56" s="2">
        <f t="shared" si="14"/>
        <v>2</v>
      </c>
      <c r="AP56">
        <v>25</v>
      </c>
      <c r="AQ56">
        <v>20</v>
      </c>
      <c r="AR56">
        <v>18</v>
      </c>
      <c r="AX56">
        <v>53</v>
      </c>
      <c r="AY56">
        <v>53</v>
      </c>
      <c r="AZ56" s="3">
        <f t="shared" si="4"/>
        <v>108104</v>
      </c>
      <c r="BA56" t="e">
        <f>AZ56/(#REF!*60/5)/60</f>
        <v>#REF!</v>
      </c>
      <c r="BB56">
        <v>40</v>
      </c>
      <c r="BC56">
        <f t="shared" si="5"/>
        <v>2.3993055555555554</v>
      </c>
      <c r="BD56" s="2">
        <f t="shared" si="15"/>
        <v>14.5</v>
      </c>
      <c r="BE56">
        <f t="shared" si="16"/>
        <v>4</v>
      </c>
      <c r="BF56">
        <f t="shared" si="17"/>
        <v>23040</v>
      </c>
    </row>
    <row r="57" spans="1:58" ht="14.25" x14ac:dyDescent="0.2">
      <c r="A57" s="10">
        <v>419</v>
      </c>
      <c r="B57" s="13">
        <v>2</v>
      </c>
      <c r="C57" s="15">
        <v>2</v>
      </c>
      <c r="D57" s="14">
        <v>2</v>
      </c>
      <c r="E57" s="1" t="s">
        <v>2699</v>
      </c>
      <c r="F57" s="1" t="s">
        <v>2716</v>
      </c>
      <c r="G57" s="1" t="s">
        <v>2701</v>
      </c>
      <c r="H57" s="1" t="s">
        <v>2701</v>
      </c>
      <c r="I57" s="1" t="s">
        <v>2702</v>
      </c>
      <c r="J57" s="16" t="s">
        <v>2713</v>
      </c>
      <c r="K57" t="s">
        <v>177</v>
      </c>
      <c r="L57" t="s">
        <v>163</v>
      </c>
      <c r="M57" t="s">
        <v>163</v>
      </c>
      <c r="N57" t="s">
        <v>163</v>
      </c>
      <c r="O57" s="4" t="s">
        <v>261</v>
      </c>
      <c r="P57">
        <v>0</v>
      </c>
      <c r="Q57" s="24">
        <v>6.5</v>
      </c>
      <c r="R57" s="25">
        <v>5.5</v>
      </c>
      <c r="S57" s="26">
        <v>8</v>
      </c>
      <c r="U57" s="3">
        <v>54</v>
      </c>
      <c r="V57" s="1">
        <v>114156</v>
      </c>
      <c r="W57" s="1">
        <v>12258</v>
      </c>
      <c r="Y57">
        <v>5</v>
      </c>
      <c r="Z57">
        <v>4</v>
      </c>
      <c r="AA57" s="3">
        <v>8</v>
      </c>
      <c r="AB57" s="3">
        <v>6</v>
      </c>
      <c r="AC57" s="3">
        <v>27</v>
      </c>
      <c r="AD57" s="9">
        <f t="shared" si="0"/>
        <v>324.33333333333331</v>
      </c>
      <c r="AE57">
        <f t="shared" si="1"/>
        <v>15570</v>
      </c>
      <c r="AF57" s="2">
        <f t="shared" si="9"/>
        <v>4</v>
      </c>
      <c r="AG57" t="str">
        <f t="shared" si="10"/>
        <v>5小时</v>
      </c>
      <c r="AH57">
        <f t="shared" si="11"/>
        <v>12</v>
      </c>
      <c r="AI57">
        <f t="shared" si="12"/>
        <v>2</v>
      </c>
      <c r="AJ57">
        <f t="shared" si="2"/>
        <v>14.5</v>
      </c>
      <c r="AK57">
        <f t="shared" si="13"/>
        <v>8</v>
      </c>
      <c r="AL57">
        <f t="shared" si="3"/>
        <v>4</v>
      </c>
      <c r="AM57" s="2">
        <f t="shared" si="14"/>
        <v>2</v>
      </c>
      <c r="AP57">
        <v>25</v>
      </c>
      <c r="AQ57">
        <v>20</v>
      </c>
      <c r="AR57">
        <v>18</v>
      </c>
      <c r="AX57">
        <v>54</v>
      </c>
      <c r="AY57">
        <v>54</v>
      </c>
      <c r="AZ57" s="3">
        <f t="shared" si="4"/>
        <v>114156</v>
      </c>
      <c r="BA57" t="e">
        <f>AZ57/(#REF!*60/5)/60</f>
        <v>#REF!</v>
      </c>
      <c r="BB57">
        <v>40</v>
      </c>
      <c r="BC57">
        <f t="shared" si="5"/>
        <v>2.3993055555555554</v>
      </c>
      <c r="BD57" s="2">
        <f t="shared" si="15"/>
        <v>14.5</v>
      </c>
      <c r="BE57">
        <f t="shared" si="16"/>
        <v>4</v>
      </c>
      <c r="BF57">
        <f t="shared" si="17"/>
        <v>23040</v>
      </c>
    </row>
    <row r="58" spans="1:58" ht="14.25" x14ac:dyDescent="0.2">
      <c r="A58" s="10">
        <v>420</v>
      </c>
      <c r="B58" s="13">
        <v>2</v>
      </c>
      <c r="C58" s="15">
        <v>2</v>
      </c>
      <c r="D58" s="14">
        <v>2</v>
      </c>
      <c r="E58" s="1" t="s">
        <v>2707</v>
      </c>
      <c r="F58" s="1" t="s">
        <v>2708</v>
      </c>
      <c r="G58" s="1" t="s">
        <v>2709</v>
      </c>
      <c r="H58" s="1" t="s">
        <v>2717</v>
      </c>
      <c r="I58" s="1" t="s">
        <v>146</v>
      </c>
      <c r="J58" s="16" t="s">
        <v>2718</v>
      </c>
      <c r="K58" t="s">
        <v>174</v>
      </c>
      <c r="L58" t="s">
        <v>163</v>
      </c>
      <c r="M58" t="s">
        <v>163</v>
      </c>
      <c r="N58" t="s">
        <v>163</v>
      </c>
      <c r="O58" s="4" t="s">
        <v>259</v>
      </c>
      <c r="P58">
        <v>0</v>
      </c>
      <c r="Q58" s="24">
        <v>6.5</v>
      </c>
      <c r="R58" s="25">
        <v>5.5</v>
      </c>
      <c r="S58" s="26">
        <v>8</v>
      </c>
      <c r="U58" s="3">
        <v>55</v>
      </c>
      <c r="V58" s="1">
        <v>120430</v>
      </c>
      <c r="W58" s="1">
        <v>12475</v>
      </c>
      <c r="Y58">
        <v>5</v>
      </c>
      <c r="Z58">
        <v>5</v>
      </c>
      <c r="AA58" s="3">
        <v>10</v>
      </c>
      <c r="AB58" s="3">
        <v>6</v>
      </c>
      <c r="AC58" s="3">
        <v>27</v>
      </c>
      <c r="AD58" s="9">
        <f t="shared" si="0"/>
        <v>324.33333333333331</v>
      </c>
      <c r="AE58">
        <f t="shared" si="1"/>
        <v>15570</v>
      </c>
      <c r="AF58" s="2">
        <f t="shared" si="9"/>
        <v>4</v>
      </c>
      <c r="AG58" t="str">
        <f t="shared" si="10"/>
        <v>5小时</v>
      </c>
      <c r="AH58">
        <f t="shared" si="11"/>
        <v>12</v>
      </c>
      <c r="AI58">
        <f t="shared" si="12"/>
        <v>2</v>
      </c>
      <c r="AJ58">
        <f t="shared" si="2"/>
        <v>14.5</v>
      </c>
      <c r="AK58">
        <f t="shared" si="13"/>
        <v>8</v>
      </c>
      <c r="AL58">
        <f t="shared" si="3"/>
        <v>4</v>
      </c>
      <c r="AM58" s="2">
        <f t="shared" si="14"/>
        <v>2</v>
      </c>
      <c r="AP58">
        <v>25</v>
      </c>
      <c r="AQ58">
        <v>20</v>
      </c>
      <c r="AR58">
        <v>18</v>
      </c>
      <c r="AX58">
        <v>55</v>
      </c>
      <c r="AY58">
        <v>55</v>
      </c>
      <c r="AZ58" s="3">
        <f t="shared" si="4"/>
        <v>120430</v>
      </c>
      <c r="BA58" t="e">
        <f>AZ58/(#REF!*60/5)/60</f>
        <v>#REF!</v>
      </c>
      <c r="BB58">
        <v>40</v>
      </c>
      <c r="BC58">
        <f t="shared" si="5"/>
        <v>2.3993055555555554</v>
      </c>
      <c r="BD58" s="2">
        <f t="shared" si="15"/>
        <v>14.5</v>
      </c>
      <c r="BE58">
        <f t="shared" si="16"/>
        <v>4</v>
      </c>
      <c r="BF58">
        <f t="shared" si="17"/>
        <v>23040</v>
      </c>
    </row>
    <row r="59" spans="1:58" ht="14.25" x14ac:dyDescent="0.2">
      <c r="A59" s="10">
        <v>501</v>
      </c>
      <c r="B59" s="13">
        <v>3</v>
      </c>
      <c r="C59" s="15">
        <v>3</v>
      </c>
      <c r="D59" s="14">
        <v>3</v>
      </c>
      <c r="E59" s="1" t="s">
        <v>2699</v>
      </c>
      <c r="F59" s="1" t="s">
        <v>2712</v>
      </c>
      <c r="G59" s="1" t="s">
        <v>2701</v>
      </c>
      <c r="H59" s="1" t="s">
        <v>2701</v>
      </c>
      <c r="I59" s="1" t="s">
        <v>2702</v>
      </c>
      <c r="J59" s="16" t="s">
        <v>2719</v>
      </c>
      <c r="K59" t="s">
        <v>166</v>
      </c>
      <c r="L59" t="s">
        <v>163</v>
      </c>
      <c r="M59" t="s">
        <v>163</v>
      </c>
      <c r="N59" t="s">
        <v>163</v>
      </c>
      <c r="O59" s="4" t="s">
        <v>263</v>
      </c>
      <c r="P59">
        <v>0</v>
      </c>
      <c r="Q59" s="24">
        <v>7</v>
      </c>
      <c r="R59" s="25">
        <v>6</v>
      </c>
      <c r="S59" s="26">
        <v>8.6999999999999993</v>
      </c>
      <c r="U59" s="3">
        <v>56</v>
      </c>
      <c r="V59" s="1">
        <v>126930</v>
      </c>
      <c r="W59" s="1">
        <v>12696</v>
      </c>
      <c r="Y59">
        <v>5</v>
      </c>
      <c r="Z59">
        <v>6</v>
      </c>
      <c r="AA59" s="3">
        <v>8</v>
      </c>
      <c r="AB59" s="3">
        <v>6</v>
      </c>
      <c r="AC59" s="3">
        <v>27</v>
      </c>
      <c r="AD59" s="9">
        <f t="shared" si="0"/>
        <v>308.91666666666663</v>
      </c>
      <c r="AE59">
        <f t="shared" si="1"/>
        <v>15570</v>
      </c>
      <c r="AF59" s="2">
        <f t="shared" si="9"/>
        <v>4.2</v>
      </c>
      <c r="AG59" t="str">
        <f t="shared" si="10"/>
        <v>5小时</v>
      </c>
      <c r="AH59">
        <f t="shared" si="11"/>
        <v>13</v>
      </c>
      <c r="AI59">
        <f t="shared" si="12"/>
        <v>3</v>
      </c>
      <c r="AJ59">
        <f t="shared" si="2"/>
        <v>14.8</v>
      </c>
      <c r="AK59">
        <f t="shared" si="13"/>
        <v>8</v>
      </c>
      <c r="AL59">
        <f t="shared" si="3"/>
        <v>4.2</v>
      </c>
      <c r="AM59" s="2">
        <f t="shared" si="14"/>
        <v>3</v>
      </c>
      <c r="AP59">
        <v>25</v>
      </c>
      <c r="AQ59">
        <v>23</v>
      </c>
      <c r="AR59">
        <v>20</v>
      </c>
      <c r="AX59">
        <v>56</v>
      </c>
      <c r="AY59">
        <v>56</v>
      </c>
      <c r="AZ59" s="3">
        <f t="shared" si="4"/>
        <v>126930</v>
      </c>
      <c r="BA59" t="e">
        <f>AZ59/(#REF!*60/5)/60</f>
        <v>#REF!</v>
      </c>
      <c r="BB59">
        <v>40</v>
      </c>
      <c r="BC59">
        <f t="shared" si="5"/>
        <v>2.2850529100529102</v>
      </c>
      <c r="BD59" s="2">
        <f t="shared" si="15"/>
        <v>14.8</v>
      </c>
      <c r="BE59">
        <f t="shared" si="16"/>
        <v>4.2</v>
      </c>
      <c r="BF59">
        <f t="shared" si="17"/>
        <v>24192</v>
      </c>
    </row>
    <row r="60" spans="1:58" ht="14.25" x14ac:dyDescent="0.2">
      <c r="A60" s="10">
        <v>502</v>
      </c>
      <c r="B60" s="13">
        <v>3</v>
      </c>
      <c r="C60" s="15">
        <v>3</v>
      </c>
      <c r="D60" s="14">
        <v>3</v>
      </c>
      <c r="E60" s="1" t="s">
        <v>2699</v>
      </c>
      <c r="F60" s="1" t="s">
        <v>2714</v>
      </c>
      <c r="G60" s="1" t="s">
        <v>2701</v>
      </c>
      <c r="H60" s="1" t="s">
        <v>2701</v>
      </c>
      <c r="I60" s="1" t="s">
        <v>2702</v>
      </c>
      <c r="J60" s="16" t="s">
        <v>2719</v>
      </c>
      <c r="K60" t="s">
        <v>168</v>
      </c>
      <c r="L60" t="s">
        <v>163</v>
      </c>
      <c r="M60" t="s">
        <v>163</v>
      </c>
      <c r="N60" t="s">
        <v>163</v>
      </c>
      <c r="O60" s="4" t="s">
        <v>265</v>
      </c>
      <c r="P60">
        <v>0</v>
      </c>
      <c r="Q60" s="24">
        <v>7</v>
      </c>
      <c r="R60" s="25">
        <v>6</v>
      </c>
      <c r="S60" s="26">
        <v>8.6999999999999993</v>
      </c>
      <c r="U60" s="3">
        <v>57</v>
      </c>
      <c r="V60" s="1">
        <v>133660</v>
      </c>
      <c r="W60" s="1">
        <v>12921</v>
      </c>
      <c r="Y60">
        <v>5</v>
      </c>
      <c r="Z60">
        <v>7</v>
      </c>
      <c r="AA60" s="3">
        <v>8</v>
      </c>
      <c r="AB60" s="3">
        <v>6</v>
      </c>
      <c r="AC60" s="3">
        <v>28</v>
      </c>
      <c r="AD60" s="9">
        <f t="shared" si="0"/>
        <v>342.33333333333337</v>
      </c>
      <c r="AE60">
        <f t="shared" si="1"/>
        <v>17254</v>
      </c>
      <c r="AF60" s="2">
        <f t="shared" si="9"/>
        <v>4.2</v>
      </c>
      <c r="AG60" t="str">
        <f t="shared" si="10"/>
        <v>5小时</v>
      </c>
      <c r="AH60">
        <f t="shared" si="11"/>
        <v>13</v>
      </c>
      <c r="AI60">
        <f t="shared" si="12"/>
        <v>3</v>
      </c>
      <c r="AJ60">
        <f t="shared" si="2"/>
        <v>14.8</v>
      </c>
      <c r="AK60">
        <f t="shared" si="13"/>
        <v>8</v>
      </c>
      <c r="AL60">
        <f t="shared" si="3"/>
        <v>4.2</v>
      </c>
      <c r="AM60" s="2">
        <f t="shared" si="14"/>
        <v>3</v>
      </c>
      <c r="AP60">
        <v>25</v>
      </c>
      <c r="AQ60">
        <v>23</v>
      </c>
      <c r="AR60">
        <v>20</v>
      </c>
      <c r="AX60">
        <v>57</v>
      </c>
      <c r="AY60">
        <v>57</v>
      </c>
      <c r="AZ60" s="3">
        <f t="shared" si="4"/>
        <v>133660</v>
      </c>
      <c r="BA60" t="e">
        <f>AZ60/(#REF!*60/5)/60</f>
        <v>#REF!</v>
      </c>
      <c r="BB60">
        <v>40</v>
      </c>
      <c r="BC60">
        <f t="shared" si="5"/>
        <v>2.2850529100529102</v>
      </c>
      <c r="BD60" s="2">
        <f t="shared" si="15"/>
        <v>14.8</v>
      </c>
      <c r="BE60">
        <f t="shared" si="16"/>
        <v>4.2</v>
      </c>
      <c r="BF60">
        <f t="shared" si="17"/>
        <v>24192</v>
      </c>
    </row>
    <row r="61" spans="1:58" ht="14.25" x14ac:dyDescent="0.2">
      <c r="A61" s="10">
        <v>503</v>
      </c>
      <c r="B61" s="13">
        <v>3</v>
      </c>
      <c r="C61" s="15">
        <v>3</v>
      </c>
      <c r="D61" s="14">
        <v>3</v>
      </c>
      <c r="E61" s="1" t="s">
        <v>2699</v>
      </c>
      <c r="F61" s="1" t="s">
        <v>2715</v>
      </c>
      <c r="G61" s="1" t="s">
        <v>2701</v>
      </c>
      <c r="H61" s="1" t="s">
        <v>2701</v>
      </c>
      <c r="I61" s="1" t="s">
        <v>2702</v>
      </c>
      <c r="J61" s="16" t="s">
        <v>2719</v>
      </c>
      <c r="K61" t="s">
        <v>175</v>
      </c>
      <c r="L61" t="s">
        <v>164</v>
      </c>
      <c r="M61" t="s">
        <v>163</v>
      </c>
      <c r="N61" t="s">
        <v>167</v>
      </c>
      <c r="O61" s="4" t="s">
        <v>267</v>
      </c>
      <c r="P61">
        <v>0</v>
      </c>
      <c r="Q61" s="24">
        <v>7</v>
      </c>
      <c r="R61" s="25">
        <v>6</v>
      </c>
      <c r="S61" s="26">
        <v>8.6999999999999993</v>
      </c>
      <c r="U61" s="3">
        <v>58</v>
      </c>
      <c r="V61" s="1">
        <v>140624</v>
      </c>
      <c r="W61" s="1">
        <v>13150</v>
      </c>
      <c r="Y61">
        <v>5</v>
      </c>
      <c r="Z61">
        <v>8</v>
      </c>
      <c r="AA61" s="3">
        <v>8</v>
      </c>
      <c r="AB61" s="3">
        <v>6</v>
      </c>
      <c r="AC61" s="3">
        <v>28</v>
      </c>
      <c r="AD61" s="9">
        <f t="shared" si="0"/>
        <v>342.33333333333337</v>
      </c>
      <c r="AE61">
        <f t="shared" si="1"/>
        <v>17254</v>
      </c>
      <c r="AF61" s="2">
        <f t="shared" si="9"/>
        <v>4.2</v>
      </c>
      <c r="AG61" t="str">
        <f t="shared" si="10"/>
        <v>5小时</v>
      </c>
      <c r="AH61">
        <f t="shared" si="11"/>
        <v>13</v>
      </c>
      <c r="AI61">
        <f t="shared" si="12"/>
        <v>3</v>
      </c>
      <c r="AJ61">
        <f t="shared" si="2"/>
        <v>14.8</v>
      </c>
      <c r="AK61">
        <f t="shared" si="13"/>
        <v>8</v>
      </c>
      <c r="AL61">
        <f t="shared" si="3"/>
        <v>4.2</v>
      </c>
      <c r="AM61" s="2">
        <f t="shared" si="14"/>
        <v>3</v>
      </c>
      <c r="AP61">
        <v>25</v>
      </c>
      <c r="AQ61">
        <v>23</v>
      </c>
      <c r="AR61">
        <v>20</v>
      </c>
      <c r="AX61">
        <v>58</v>
      </c>
      <c r="AY61">
        <v>58</v>
      </c>
      <c r="AZ61" s="3">
        <f t="shared" si="4"/>
        <v>140624</v>
      </c>
      <c r="BA61" t="e">
        <f>AZ61/(#REF!*60/5)/60</f>
        <v>#REF!</v>
      </c>
      <c r="BB61">
        <v>40</v>
      </c>
      <c r="BC61">
        <f t="shared" si="5"/>
        <v>2.2850529100529102</v>
      </c>
      <c r="BD61" s="2">
        <f t="shared" si="15"/>
        <v>14.8</v>
      </c>
      <c r="BE61">
        <f t="shared" si="16"/>
        <v>4.2</v>
      </c>
      <c r="BF61">
        <f t="shared" si="17"/>
        <v>24192</v>
      </c>
    </row>
    <row r="62" spans="1:58" ht="14.25" x14ac:dyDescent="0.2">
      <c r="A62" s="10">
        <v>504</v>
      </c>
      <c r="B62" s="13">
        <v>3</v>
      </c>
      <c r="C62" s="15">
        <v>3</v>
      </c>
      <c r="D62" s="14">
        <v>3</v>
      </c>
      <c r="E62" s="1" t="s">
        <v>2699</v>
      </c>
      <c r="F62" s="1" t="s">
        <v>2716</v>
      </c>
      <c r="G62" s="1" t="s">
        <v>2701</v>
      </c>
      <c r="H62" s="1" t="s">
        <v>2701</v>
      </c>
      <c r="I62" s="1" t="s">
        <v>2702</v>
      </c>
      <c r="J62" s="16" t="s">
        <v>2719</v>
      </c>
      <c r="K62" t="s">
        <v>179</v>
      </c>
      <c r="L62" t="s">
        <v>163</v>
      </c>
      <c r="M62" t="s">
        <v>163</v>
      </c>
      <c r="N62" t="s">
        <v>163</v>
      </c>
      <c r="O62" s="4" t="s">
        <v>269</v>
      </c>
      <c r="P62">
        <v>0</v>
      </c>
      <c r="Q62" s="24">
        <v>7</v>
      </c>
      <c r="R62" s="25">
        <v>6</v>
      </c>
      <c r="S62" s="26">
        <v>8.6999999999999993</v>
      </c>
      <c r="U62" s="3">
        <v>59</v>
      </c>
      <c r="V62" s="1">
        <v>147826</v>
      </c>
      <c r="W62" s="1">
        <v>13383</v>
      </c>
      <c r="Y62">
        <v>5</v>
      </c>
      <c r="Z62">
        <v>9</v>
      </c>
      <c r="AA62" s="3">
        <v>8</v>
      </c>
      <c r="AB62" s="3">
        <v>6</v>
      </c>
      <c r="AC62" s="3">
        <v>28</v>
      </c>
      <c r="AD62" s="9">
        <f t="shared" si="0"/>
        <v>342.33333333333337</v>
      </c>
      <c r="AE62">
        <f t="shared" si="1"/>
        <v>17254</v>
      </c>
      <c r="AF62" s="2">
        <f t="shared" si="9"/>
        <v>4.2</v>
      </c>
      <c r="AG62" t="str">
        <f t="shared" si="10"/>
        <v>5小时</v>
      </c>
      <c r="AH62">
        <f t="shared" si="11"/>
        <v>13</v>
      </c>
      <c r="AI62">
        <f t="shared" si="12"/>
        <v>3</v>
      </c>
      <c r="AJ62">
        <f t="shared" si="2"/>
        <v>14.8</v>
      </c>
      <c r="AK62">
        <f t="shared" si="13"/>
        <v>8</v>
      </c>
      <c r="AL62">
        <f t="shared" si="3"/>
        <v>4.2</v>
      </c>
      <c r="AM62" s="2">
        <f t="shared" si="14"/>
        <v>3</v>
      </c>
      <c r="AP62">
        <v>25</v>
      </c>
      <c r="AQ62">
        <v>23</v>
      </c>
      <c r="AR62">
        <v>20</v>
      </c>
      <c r="AX62">
        <v>59</v>
      </c>
      <c r="AY62">
        <v>59</v>
      </c>
      <c r="AZ62" s="3">
        <f t="shared" si="4"/>
        <v>147826</v>
      </c>
      <c r="BA62" t="e">
        <f>AZ62/(#REF!*60/5)/60</f>
        <v>#REF!</v>
      </c>
      <c r="BB62">
        <v>40</v>
      </c>
      <c r="BC62">
        <f t="shared" si="5"/>
        <v>2.2850529100529102</v>
      </c>
      <c r="BD62" s="2">
        <f t="shared" si="15"/>
        <v>14.8</v>
      </c>
      <c r="BE62">
        <f t="shared" si="16"/>
        <v>4.2</v>
      </c>
      <c r="BF62">
        <f t="shared" si="17"/>
        <v>24192</v>
      </c>
    </row>
    <row r="63" spans="1:58" ht="14.25" x14ac:dyDescent="0.2">
      <c r="A63" s="10">
        <v>505</v>
      </c>
      <c r="B63" s="13">
        <v>3</v>
      </c>
      <c r="C63" s="15">
        <v>3</v>
      </c>
      <c r="D63" s="14">
        <v>3</v>
      </c>
      <c r="E63" s="1" t="s">
        <v>2707</v>
      </c>
      <c r="F63" s="1" t="s">
        <v>2708</v>
      </c>
      <c r="G63" s="1" t="s">
        <v>2709</v>
      </c>
      <c r="H63" s="1" t="s">
        <v>2717</v>
      </c>
      <c r="I63" s="1" t="s">
        <v>146</v>
      </c>
      <c r="J63" s="16" t="s">
        <v>2718</v>
      </c>
      <c r="K63" t="s">
        <v>162</v>
      </c>
      <c r="L63" t="s">
        <v>163</v>
      </c>
      <c r="M63" t="s">
        <v>163</v>
      </c>
      <c r="N63" t="s">
        <v>163</v>
      </c>
      <c r="O63" s="4" t="s">
        <v>267</v>
      </c>
      <c r="P63">
        <v>0</v>
      </c>
      <c r="Q63" s="24">
        <v>7</v>
      </c>
      <c r="R63" s="25">
        <v>6</v>
      </c>
      <c r="S63" s="26">
        <v>8.6999999999999993</v>
      </c>
      <c r="U63" s="3">
        <v>60</v>
      </c>
      <c r="V63" s="1">
        <v>155270</v>
      </c>
      <c r="W63" s="1">
        <v>16940</v>
      </c>
      <c r="Y63">
        <v>5</v>
      </c>
      <c r="Z63">
        <v>10</v>
      </c>
      <c r="AA63" s="3">
        <v>10</v>
      </c>
      <c r="AB63" s="3">
        <v>6</v>
      </c>
      <c r="AC63" s="3">
        <v>29</v>
      </c>
      <c r="AD63" s="9">
        <f t="shared" si="0"/>
        <v>378.08333333333331</v>
      </c>
      <c r="AE63">
        <f t="shared" si="1"/>
        <v>19056</v>
      </c>
      <c r="AF63" s="2">
        <f t="shared" si="9"/>
        <v>4.2</v>
      </c>
      <c r="AG63" t="str">
        <f t="shared" si="10"/>
        <v>6小时</v>
      </c>
      <c r="AH63">
        <f t="shared" si="11"/>
        <v>13</v>
      </c>
      <c r="AI63">
        <f t="shared" si="12"/>
        <v>3</v>
      </c>
      <c r="AJ63">
        <f t="shared" si="2"/>
        <v>14.8</v>
      </c>
      <c r="AK63">
        <f t="shared" si="13"/>
        <v>8</v>
      </c>
      <c r="AL63">
        <f t="shared" si="3"/>
        <v>4.2</v>
      </c>
      <c r="AM63" s="2">
        <f t="shared" si="14"/>
        <v>3</v>
      </c>
      <c r="AP63">
        <v>25</v>
      </c>
      <c r="AQ63">
        <v>23</v>
      </c>
      <c r="AR63">
        <v>20</v>
      </c>
      <c r="AX63">
        <v>60</v>
      </c>
      <c r="AY63">
        <v>60</v>
      </c>
      <c r="AZ63" s="3">
        <f t="shared" si="4"/>
        <v>155270</v>
      </c>
      <c r="BA63" t="e">
        <f>AZ63/(#REF!*60/5)/60</f>
        <v>#REF!</v>
      </c>
      <c r="BB63">
        <v>40</v>
      </c>
      <c r="BC63">
        <f t="shared" si="5"/>
        <v>2.2850529100529102</v>
      </c>
      <c r="BD63" s="2">
        <f t="shared" si="15"/>
        <v>14.8</v>
      </c>
      <c r="BE63">
        <f t="shared" si="16"/>
        <v>4.2</v>
      </c>
      <c r="BF63">
        <f t="shared" si="17"/>
        <v>24192</v>
      </c>
    </row>
    <row r="64" spans="1:58" ht="14.25" x14ac:dyDescent="0.2">
      <c r="A64" s="10">
        <v>506</v>
      </c>
      <c r="B64" s="13">
        <v>3</v>
      </c>
      <c r="C64" s="15">
        <v>3</v>
      </c>
      <c r="D64" s="14">
        <v>3</v>
      </c>
      <c r="E64" s="1" t="s">
        <v>2699</v>
      </c>
      <c r="F64" s="1" t="s">
        <v>2712</v>
      </c>
      <c r="G64" s="1" t="s">
        <v>2701</v>
      </c>
      <c r="H64" s="1" t="s">
        <v>2701</v>
      </c>
      <c r="I64" s="1" t="s">
        <v>2702</v>
      </c>
      <c r="J64" s="16" t="s">
        <v>2719</v>
      </c>
      <c r="K64" t="s">
        <v>177</v>
      </c>
      <c r="L64" t="s">
        <v>163</v>
      </c>
      <c r="M64" t="s">
        <v>163</v>
      </c>
      <c r="N64" t="s">
        <v>163</v>
      </c>
      <c r="O64" s="4" t="s">
        <v>271</v>
      </c>
      <c r="P64">
        <v>0</v>
      </c>
      <c r="Q64" s="24">
        <v>7.5</v>
      </c>
      <c r="R64" s="25">
        <v>6.4</v>
      </c>
      <c r="S64" s="26">
        <v>9.3000000000000007</v>
      </c>
      <c r="U64" s="3">
        <v>61</v>
      </c>
      <c r="V64" s="1">
        <v>162960</v>
      </c>
      <c r="W64" s="1">
        <v>17181</v>
      </c>
      <c r="Y64">
        <v>5</v>
      </c>
      <c r="Z64">
        <v>11</v>
      </c>
      <c r="AA64" s="3">
        <v>8</v>
      </c>
      <c r="AB64" s="3">
        <v>6</v>
      </c>
      <c r="AC64" s="3">
        <v>29</v>
      </c>
      <c r="AD64" s="9">
        <f t="shared" si="0"/>
        <v>352.83333333333331</v>
      </c>
      <c r="AE64">
        <f t="shared" si="1"/>
        <v>19056</v>
      </c>
      <c r="AF64" s="2">
        <f t="shared" si="9"/>
        <v>4.5</v>
      </c>
      <c r="AG64" t="str">
        <f t="shared" si="10"/>
        <v>5小时</v>
      </c>
      <c r="AH64">
        <f t="shared" si="11"/>
        <v>14</v>
      </c>
      <c r="AI64">
        <f t="shared" si="12"/>
        <v>3</v>
      </c>
      <c r="AJ64">
        <f t="shared" si="2"/>
        <v>15.3</v>
      </c>
      <c r="AK64">
        <f t="shared" si="13"/>
        <v>8</v>
      </c>
      <c r="AL64">
        <f t="shared" si="3"/>
        <v>4.5</v>
      </c>
      <c r="AM64" s="2">
        <f t="shared" si="14"/>
        <v>3</v>
      </c>
      <c r="AP64">
        <v>26</v>
      </c>
      <c r="AQ64">
        <v>26</v>
      </c>
      <c r="AR64">
        <v>22</v>
      </c>
      <c r="AX64">
        <v>61</v>
      </c>
      <c r="AY64">
        <v>61</v>
      </c>
      <c r="AZ64" s="3">
        <f t="shared" si="4"/>
        <v>162960</v>
      </c>
      <c r="BA64" t="e">
        <f>AZ64/(#REF!*60/5)/60</f>
        <v>#REF!</v>
      </c>
      <c r="BB64">
        <v>40</v>
      </c>
      <c r="BC64">
        <f t="shared" si="5"/>
        <v>2.132716049382716</v>
      </c>
      <c r="BD64" s="2">
        <f t="shared" si="15"/>
        <v>15.3</v>
      </c>
      <c r="BE64">
        <f t="shared" si="16"/>
        <v>4.5</v>
      </c>
      <c r="BF64">
        <f t="shared" si="17"/>
        <v>25920</v>
      </c>
    </row>
    <row r="65" spans="1:58" ht="14.25" x14ac:dyDescent="0.2">
      <c r="A65" s="10">
        <v>507</v>
      </c>
      <c r="B65" s="13">
        <v>3</v>
      </c>
      <c r="C65" s="15">
        <v>3</v>
      </c>
      <c r="D65" s="14">
        <v>3</v>
      </c>
      <c r="E65" s="1" t="s">
        <v>2699</v>
      </c>
      <c r="F65" s="1" t="s">
        <v>2714</v>
      </c>
      <c r="G65" s="1" t="s">
        <v>2701</v>
      </c>
      <c r="H65" s="1" t="s">
        <v>2701</v>
      </c>
      <c r="I65" s="1" t="s">
        <v>2702</v>
      </c>
      <c r="J65" s="16" t="s">
        <v>2719</v>
      </c>
      <c r="K65" t="s">
        <v>174</v>
      </c>
      <c r="L65" t="s">
        <v>163</v>
      </c>
      <c r="M65" t="s">
        <v>163</v>
      </c>
      <c r="N65" t="s">
        <v>163</v>
      </c>
      <c r="O65" s="4" t="s">
        <v>273</v>
      </c>
      <c r="P65">
        <v>0</v>
      </c>
      <c r="Q65" s="24">
        <v>7.5</v>
      </c>
      <c r="R65" s="25">
        <v>6.4</v>
      </c>
      <c r="S65" s="26">
        <v>9.3000000000000007</v>
      </c>
      <c r="U65" s="3">
        <v>62</v>
      </c>
      <c r="V65" s="1">
        <v>170900</v>
      </c>
      <c r="W65" s="1">
        <v>17426</v>
      </c>
      <c r="Y65">
        <v>5</v>
      </c>
      <c r="Z65">
        <v>12</v>
      </c>
      <c r="AA65" s="3">
        <v>8</v>
      </c>
      <c r="AB65" s="3">
        <v>6</v>
      </c>
      <c r="AC65" s="3">
        <v>29</v>
      </c>
      <c r="AD65" s="9">
        <f t="shared" si="0"/>
        <v>352.83333333333331</v>
      </c>
      <c r="AE65">
        <f t="shared" si="1"/>
        <v>19056</v>
      </c>
      <c r="AF65" s="2">
        <f t="shared" si="9"/>
        <v>4.5</v>
      </c>
      <c r="AG65" t="str">
        <f t="shared" si="10"/>
        <v>5小时</v>
      </c>
      <c r="AH65">
        <f t="shared" si="11"/>
        <v>14</v>
      </c>
      <c r="AI65">
        <f t="shared" si="12"/>
        <v>3</v>
      </c>
      <c r="AJ65">
        <f t="shared" si="2"/>
        <v>15.3</v>
      </c>
      <c r="AK65">
        <f t="shared" si="13"/>
        <v>8</v>
      </c>
      <c r="AL65">
        <f t="shared" si="3"/>
        <v>4.5</v>
      </c>
      <c r="AM65" s="2">
        <f t="shared" si="14"/>
        <v>3</v>
      </c>
      <c r="AP65">
        <v>26</v>
      </c>
      <c r="AQ65">
        <v>26</v>
      </c>
      <c r="AR65">
        <v>22</v>
      </c>
      <c r="AX65">
        <v>62</v>
      </c>
      <c r="AY65">
        <v>62</v>
      </c>
      <c r="AZ65" s="3">
        <f t="shared" si="4"/>
        <v>170900</v>
      </c>
      <c r="BA65" t="e">
        <f>AZ65/(#REF!*60/5)/60</f>
        <v>#REF!</v>
      </c>
      <c r="BB65">
        <v>40</v>
      </c>
      <c r="BC65">
        <f t="shared" si="5"/>
        <v>2.132716049382716</v>
      </c>
      <c r="BD65" s="2">
        <f t="shared" si="15"/>
        <v>15.3</v>
      </c>
      <c r="BE65">
        <f t="shared" si="16"/>
        <v>4.5</v>
      </c>
      <c r="BF65">
        <f t="shared" si="17"/>
        <v>25920</v>
      </c>
    </row>
    <row r="66" spans="1:58" ht="14.25" x14ac:dyDescent="0.2">
      <c r="A66" s="10">
        <v>508</v>
      </c>
      <c r="B66" s="13">
        <v>3</v>
      </c>
      <c r="C66" s="15">
        <v>3</v>
      </c>
      <c r="D66" s="14">
        <v>3</v>
      </c>
      <c r="E66" s="1" t="s">
        <v>2699</v>
      </c>
      <c r="F66" s="1" t="s">
        <v>2715</v>
      </c>
      <c r="G66" s="1" t="s">
        <v>2701</v>
      </c>
      <c r="H66" s="1" t="s">
        <v>2701</v>
      </c>
      <c r="I66" s="1" t="s">
        <v>2702</v>
      </c>
      <c r="J66" s="16" t="s">
        <v>2719</v>
      </c>
      <c r="K66" t="s">
        <v>166</v>
      </c>
      <c r="L66" t="s">
        <v>163</v>
      </c>
      <c r="M66" t="s">
        <v>163</v>
      </c>
      <c r="N66" t="s">
        <v>163</v>
      </c>
      <c r="O66" s="4" t="s">
        <v>275</v>
      </c>
      <c r="P66">
        <v>0</v>
      </c>
      <c r="Q66" s="24">
        <v>7.5</v>
      </c>
      <c r="R66" s="25">
        <v>6.4</v>
      </c>
      <c r="S66" s="26">
        <v>9.3000000000000007</v>
      </c>
      <c r="U66" s="3">
        <v>63</v>
      </c>
      <c r="V66" s="1">
        <v>179094</v>
      </c>
      <c r="W66" s="1">
        <v>17675</v>
      </c>
      <c r="Y66">
        <v>5</v>
      </c>
      <c r="Z66">
        <v>13</v>
      </c>
      <c r="AA66" s="3">
        <v>8</v>
      </c>
      <c r="AB66" s="3">
        <v>6</v>
      </c>
      <c r="AC66" s="3">
        <v>30</v>
      </c>
      <c r="AD66" s="9">
        <f t="shared" si="0"/>
        <v>388.5</v>
      </c>
      <c r="AE66">
        <f t="shared" si="1"/>
        <v>20980</v>
      </c>
      <c r="AF66" s="2">
        <f t="shared" si="9"/>
        <v>4.5</v>
      </c>
      <c r="AG66" t="str">
        <f t="shared" si="10"/>
        <v>6小时</v>
      </c>
      <c r="AH66">
        <f t="shared" si="11"/>
        <v>14</v>
      </c>
      <c r="AI66">
        <f t="shared" si="12"/>
        <v>3</v>
      </c>
      <c r="AJ66">
        <f t="shared" si="2"/>
        <v>15.3</v>
      </c>
      <c r="AK66">
        <f t="shared" si="13"/>
        <v>8</v>
      </c>
      <c r="AL66">
        <f t="shared" si="3"/>
        <v>4.5</v>
      </c>
      <c r="AM66" s="2">
        <f t="shared" si="14"/>
        <v>3</v>
      </c>
      <c r="AP66">
        <v>26</v>
      </c>
      <c r="AQ66">
        <v>26</v>
      </c>
      <c r="AR66">
        <v>22</v>
      </c>
      <c r="AX66">
        <v>63</v>
      </c>
      <c r="AY66">
        <v>63</v>
      </c>
      <c r="AZ66" s="3">
        <f t="shared" si="4"/>
        <v>179094</v>
      </c>
      <c r="BA66" t="e">
        <f>AZ66/(#REF!*60/5)/60</f>
        <v>#REF!</v>
      </c>
      <c r="BB66">
        <v>40</v>
      </c>
      <c r="BC66">
        <f t="shared" si="5"/>
        <v>2.132716049382716</v>
      </c>
      <c r="BD66" s="2">
        <f t="shared" si="15"/>
        <v>15.3</v>
      </c>
      <c r="BE66">
        <f t="shared" si="16"/>
        <v>4.5</v>
      </c>
      <c r="BF66">
        <f t="shared" si="17"/>
        <v>25920</v>
      </c>
    </row>
    <row r="67" spans="1:58" ht="14.25" x14ac:dyDescent="0.2">
      <c r="A67" s="11">
        <v>509</v>
      </c>
      <c r="B67" s="13">
        <v>3</v>
      </c>
      <c r="C67" s="15">
        <v>3</v>
      </c>
      <c r="D67" s="14">
        <v>3</v>
      </c>
      <c r="E67" s="1" t="s">
        <v>2699</v>
      </c>
      <c r="F67" s="1" t="s">
        <v>2716</v>
      </c>
      <c r="G67" s="1" t="s">
        <v>2701</v>
      </c>
      <c r="H67" s="1" t="s">
        <v>2701</v>
      </c>
      <c r="I67" s="1" t="s">
        <v>2702</v>
      </c>
      <c r="J67" s="16" t="s">
        <v>2719</v>
      </c>
      <c r="K67" t="s">
        <v>168</v>
      </c>
      <c r="L67" t="s">
        <v>163</v>
      </c>
      <c r="M67" t="s">
        <v>163</v>
      </c>
      <c r="N67" t="s">
        <v>163</v>
      </c>
      <c r="O67" s="4" t="s">
        <v>277</v>
      </c>
      <c r="P67">
        <v>0</v>
      </c>
      <c r="Q67" s="24">
        <v>7.5</v>
      </c>
      <c r="R67" s="25">
        <v>6.4</v>
      </c>
      <c r="S67" s="26">
        <v>9.3000000000000007</v>
      </c>
      <c r="U67" s="3">
        <v>64</v>
      </c>
      <c r="V67" s="1">
        <v>187546</v>
      </c>
      <c r="W67" s="1">
        <v>17928</v>
      </c>
      <c r="Y67">
        <v>5</v>
      </c>
      <c r="Z67">
        <v>14</v>
      </c>
      <c r="AA67" s="3">
        <v>8</v>
      </c>
      <c r="AB67" s="3">
        <v>6</v>
      </c>
      <c r="AC67" s="3">
        <v>30</v>
      </c>
      <c r="AD67" s="9">
        <f t="shared" si="0"/>
        <v>388.5</v>
      </c>
      <c r="AE67">
        <f t="shared" si="1"/>
        <v>20980</v>
      </c>
      <c r="AF67" s="2">
        <f t="shared" si="9"/>
        <v>4.5</v>
      </c>
      <c r="AG67" t="str">
        <f t="shared" si="10"/>
        <v>6小时</v>
      </c>
      <c r="AH67">
        <f t="shared" si="11"/>
        <v>14</v>
      </c>
      <c r="AI67">
        <f t="shared" si="12"/>
        <v>3</v>
      </c>
      <c r="AJ67">
        <f t="shared" si="2"/>
        <v>15.3</v>
      </c>
      <c r="AK67">
        <f t="shared" si="13"/>
        <v>8</v>
      </c>
      <c r="AL67">
        <f t="shared" si="3"/>
        <v>4.5</v>
      </c>
      <c r="AM67" s="2">
        <f t="shared" si="14"/>
        <v>3</v>
      </c>
      <c r="AP67">
        <v>26</v>
      </c>
      <c r="AQ67">
        <v>26</v>
      </c>
      <c r="AR67">
        <v>22</v>
      </c>
      <c r="AX67">
        <v>64</v>
      </c>
      <c r="AY67">
        <v>64</v>
      </c>
      <c r="AZ67" s="3">
        <f t="shared" si="4"/>
        <v>187546</v>
      </c>
      <c r="BA67" t="e">
        <f>AZ67/(#REF!*60/5)/60</f>
        <v>#REF!</v>
      </c>
      <c r="BB67">
        <v>40</v>
      </c>
      <c r="BC67">
        <f t="shared" si="5"/>
        <v>2.132716049382716</v>
      </c>
      <c r="BD67" s="2">
        <f t="shared" si="15"/>
        <v>15.3</v>
      </c>
      <c r="BE67">
        <f t="shared" si="16"/>
        <v>4.5</v>
      </c>
      <c r="BF67">
        <f t="shared" si="17"/>
        <v>25920</v>
      </c>
    </row>
    <row r="68" spans="1:58" ht="14.25" x14ac:dyDescent="0.2">
      <c r="A68" s="11">
        <v>510</v>
      </c>
      <c r="B68" s="13">
        <v>3</v>
      </c>
      <c r="C68" s="15">
        <v>3</v>
      </c>
      <c r="D68" s="14">
        <v>3</v>
      </c>
      <c r="E68" s="1" t="s">
        <v>2707</v>
      </c>
      <c r="F68" s="1" t="s">
        <v>2708</v>
      </c>
      <c r="G68" s="1" t="s">
        <v>2709</v>
      </c>
      <c r="H68" s="1" t="s">
        <v>2717</v>
      </c>
      <c r="I68" s="1" t="s">
        <v>146</v>
      </c>
      <c r="J68" s="16" t="s">
        <v>2718</v>
      </c>
      <c r="K68" t="s">
        <v>175</v>
      </c>
      <c r="L68" t="s">
        <v>164</v>
      </c>
      <c r="M68" t="s">
        <v>163</v>
      </c>
      <c r="N68" t="s">
        <v>167</v>
      </c>
      <c r="O68" s="4" t="s">
        <v>275</v>
      </c>
      <c r="P68">
        <v>0</v>
      </c>
      <c r="Q68" s="24">
        <v>7.5</v>
      </c>
      <c r="R68" s="25">
        <v>6.4</v>
      </c>
      <c r="S68" s="26">
        <v>9.3000000000000007</v>
      </c>
      <c r="U68" s="3">
        <v>65</v>
      </c>
      <c r="V68" s="1">
        <v>196260</v>
      </c>
      <c r="W68" s="1">
        <v>18185</v>
      </c>
      <c r="Y68">
        <v>5</v>
      </c>
      <c r="Z68">
        <v>15</v>
      </c>
      <c r="AA68" s="3">
        <v>10</v>
      </c>
      <c r="AB68" s="3">
        <v>6</v>
      </c>
      <c r="AC68" s="3">
        <v>30</v>
      </c>
      <c r="AD68" s="9">
        <f t="shared" si="0"/>
        <v>388.5</v>
      </c>
      <c r="AE68">
        <f t="shared" ref="AE68:AE131" si="30">INDEX(V:V,MATCH(AC68,U:U,0))</f>
        <v>20980</v>
      </c>
      <c r="AF68" s="2">
        <f t="shared" si="9"/>
        <v>4.5</v>
      </c>
      <c r="AG68" t="str">
        <f t="shared" si="10"/>
        <v>6小时</v>
      </c>
      <c r="AH68">
        <f t="shared" si="11"/>
        <v>14</v>
      </c>
      <c r="AI68">
        <f t="shared" si="12"/>
        <v>3</v>
      </c>
      <c r="AJ68">
        <f t="shared" ref="AJ68:AJ131" si="31">BD68</f>
        <v>15.3</v>
      </c>
      <c r="AK68">
        <f t="shared" si="13"/>
        <v>8</v>
      </c>
      <c r="AL68">
        <f t="shared" ref="AL68:AL131" si="32">BE68</f>
        <v>4.5</v>
      </c>
      <c r="AM68" s="2">
        <f t="shared" si="14"/>
        <v>3</v>
      </c>
      <c r="AP68">
        <v>26</v>
      </c>
      <c r="AQ68">
        <v>26</v>
      </c>
      <c r="AR68">
        <v>22</v>
      </c>
      <c r="AX68">
        <v>65</v>
      </c>
      <c r="AY68">
        <v>65</v>
      </c>
      <c r="AZ68" s="3">
        <f t="shared" ref="AZ68:AZ131" si="33">INDEX($V:$V,MATCH(AY68,$U:$U,0))</f>
        <v>196260</v>
      </c>
      <c r="BA68" t="e">
        <f>AZ68/(#REF!*60/5)/60</f>
        <v>#REF!</v>
      </c>
      <c r="BB68">
        <v>40</v>
      </c>
      <c r="BC68">
        <f t="shared" ref="BC68:BC131" si="34">INDEX($W:$W,MATCH(BB68,$U:$U,0))/(BE68*60*60/5)</f>
        <v>2.132716049382716</v>
      </c>
      <c r="BD68" s="2">
        <f t="shared" si="15"/>
        <v>15.3</v>
      </c>
      <c r="BE68">
        <f t="shared" si="16"/>
        <v>4.5</v>
      </c>
      <c r="BF68">
        <f t="shared" si="17"/>
        <v>25920</v>
      </c>
    </row>
    <row r="69" spans="1:58" ht="14.25" x14ac:dyDescent="0.2">
      <c r="A69" s="11">
        <v>511</v>
      </c>
      <c r="B69" s="13">
        <v>3</v>
      </c>
      <c r="C69" s="15">
        <v>3</v>
      </c>
      <c r="D69" s="14">
        <v>3</v>
      </c>
      <c r="E69" s="1" t="s">
        <v>2699</v>
      </c>
      <c r="F69" s="1" t="s">
        <v>2712</v>
      </c>
      <c r="G69" s="1" t="s">
        <v>2701</v>
      </c>
      <c r="H69" s="1" t="s">
        <v>2701</v>
      </c>
      <c r="I69" s="1" t="s">
        <v>2702</v>
      </c>
      <c r="J69" s="16" t="s">
        <v>2719</v>
      </c>
      <c r="K69" t="s">
        <v>179</v>
      </c>
      <c r="L69" t="s">
        <v>163</v>
      </c>
      <c r="M69" t="s">
        <v>163</v>
      </c>
      <c r="N69" t="s">
        <v>163</v>
      </c>
      <c r="O69" s="4" t="s">
        <v>279</v>
      </c>
      <c r="P69">
        <v>0</v>
      </c>
      <c r="Q69" s="24">
        <v>8</v>
      </c>
      <c r="R69" s="25">
        <v>6.9</v>
      </c>
      <c r="S69" s="26">
        <v>10</v>
      </c>
      <c r="U69" s="3">
        <v>66</v>
      </c>
      <c r="V69" s="1">
        <v>205240</v>
      </c>
      <c r="W69" s="1">
        <v>18446</v>
      </c>
      <c r="Y69">
        <v>5</v>
      </c>
      <c r="Z69">
        <v>16</v>
      </c>
      <c r="AA69" s="3">
        <v>8</v>
      </c>
      <c r="AB69" s="3">
        <v>6</v>
      </c>
      <c r="AC69" s="3">
        <v>31</v>
      </c>
      <c r="AD69" s="9">
        <f t="shared" ref="AD69:AD132" si="35">INT(AE69/AF69)/60*5</f>
        <v>408.33333333333337</v>
      </c>
      <c r="AE69">
        <f t="shared" si="30"/>
        <v>23030</v>
      </c>
      <c r="AF69" s="2">
        <f t="shared" ref="AF69:AF132" si="36">BE69</f>
        <v>4.7</v>
      </c>
      <c r="AG69" t="str">
        <f t="shared" ref="AG69:AG132" si="37">IF(AD69&lt;60,CONCATENATE(INT(AD69),"分钟"),CONCATENATE(INT(AD69/60),"小时"))</f>
        <v>6小时</v>
      </c>
      <c r="AH69">
        <f t="shared" ref="AH69:AH132" si="38">ROUNDUP(AF69*3,0)</f>
        <v>15</v>
      </c>
      <c r="AI69">
        <f t="shared" ref="AI69:AI132" si="39">ROUNDUP(AH69/AB69,0)</f>
        <v>3</v>
      </c>
      <c r="AJ69">
        <f t="shared" si="31"/>
        <v>15.6</v>
      </c>
      <c r="AK69">
        <f t="shared" ref="AK69:AK132" si="40">ROUNDUP(AJ69*3/AB69,0)</f>
        <v>8</v>
      </c>
      <c r="AL69">
        <f t="shared" si="32"/>
        <v>4.7</v>
      </c>
      <c r="AM69" s="2">
        <f t="shared" ref="AM69:AM132" si="41">ROUNDUP(AL69*3/AB69,0)</f>
        <v>3</v>
      </c>
      <c r="AP69">
        <v>26</v>
      </c>
      <c r="AQ69">
        <v>29</v>
      </c>
      <c r="AR69">
        <v>24</v>
      </c>
      <c r="AX69">
        <v>66</v>
      </c>
      <c r="AY69">
        <v>66</v>
      </c>
      <c r="AZ69" s="3">
        <f t="shared" si="33"/>
        <v>205240</v>
      </c>
      <c r="BA69" t="e">
        <f>AZ69/(#REF!*60/5)/60</f>
        <v>#REF!</v>
      </c>
      <c r="BB69">
        <v>40</v>
      </c>
      <c r="BC69">
        <f t="shared" si="34"/>
        <v>2.0419621749408985</v>
      </c>
      <c r="BD69" s="2">
        <f t="shared" ref="BD69:BD132" si="42">ROUNDUP(BE69*1.5,1)+8.5</f>
        <v>15.6</v>
      </c>
      <c r="BE69">
        <f t="shared" ref="BE69:BE132" si="43">FLOOR(ROUNDUP(AX69/5,0)*0.25+1.25,0.1)</f>
        <v>4.7</v>
      </c>
      <c r="BF69">
        <f t="shared" ref="BF69:BF132" si="44">BE69*8*60*60/5</f>
        <v>27072</v>
      </c>
    </row>
    <row r="70" spans="1:58" ht="14.25" x14ac:dyDescent="0.2">
      <c r="A70" s="11">
        <v>512</v>
      </c>
      <c r="B70" s="13">
        <v>3</v>
      </c>
      <c r="C70" s="15">
        <v>3</v>
      </c>
      <c r="D70" s="14">
        <v>3</v>
      </c>
      <c r="E70" s="1" t="s">
        <v>2699</v>
      </c>
      <c r="F70" s="1" t="s">
        <v>2714</v>
      </c>
      <c r="G70" s="1" t="s">
        <v>2701</v>
      </c>
      <c r="H70" s="1" t="s">
        <v>2701</v>
      </c>
      <c r="I70" s="1" t="s">
        <v>2702</v>
      </c>
      <c r="J70" s="16" t="s">
        <v>2719</v>
      </c>
      <c r="K70" t="s">
        <v>162</v>
      </c>
      <c r="L70" t="s">
        <v>163</v>
      </c>
      <c r="M70" t="s">
        <v>163</v>
      </c>
      <c r="N70" t="s">
        <v>163</v>
      </c>
      <c r="O70" s="4" t="s">
        <v>281</v>
      </c>
      <c r="P70">
        <v>0</v>
      </c>
      <c r="Q70" s="24">
        <v>8</v>
      </c>
      <c r="R70" s="25">
        <v>6.9</v>
      </c>
      <c r="S70" s="26">
        <v>10</v>
      </c>
      <c r="U70" s="3">
        <v>67</v>
      </c>
      <c r="V70" s="1">
        <v>214490</v>
      </c>
      <c r="W70" s="1">
        <v>18711</v>
      </c>
      <c r="Y70">
        <v>5</v>
      </c>
      <c r="Z70">
        <v>17</v>
      </c>
      <c r="AA70" s="3">
        <v>8</v>
      </c>
      <c r="AB70" s="3">
        <v>6</v>
      </c>
      <c r="AC70" s="3">
        <v>31</v>
      </c>
      <c r="AD70" s="9">
        <f t="shared" si="35"/>
        <v>408.33333333333337</v>
      </c>
      <c r="AE70">
        <f t="shared" si="30"/>
        <v>23030</v>
      </c>
      <c r="AF70" s="2">
        <f t="shared" si="36"/>
        <v>4.7</v>
      </c>
      <c r="AG70" t="str">
        <f t="shared" si="37"/>
        <v>6小时</v>
      </c>
      <c r="AH70">
        <f t="shared" si="38"/>
        <v>15</v>
      </c>
      <c r="AI70">
        <f t="shared" si="39"/>
        <v>3</v>
      </c>
      <c r="AJ70">
        <f t="shared" si="31"/>
        <v>15.6</v>
      </c>
      <c r="AK70">
        <f t="shared" si="40"/>
        <v>8</v>
      </c>
      <c r="AL70">
        <f t="shared" si="32"/>
        <v>4.7</v>
      </c>
      <c r="AM70" s="2">
        <f t="shared" si="41"/>
        <v>3</v>
      </c>
      <c r="AP70">
        <v>26</v>
      </c>
      <c r="AQ70">
        <v>29</v>
      </c>
      <c r="AR70">
        <v>24</v>
      </c>
      <c r="AX70">
        <v>67</v>
      </c>
      <c r="AY70">
        <v>67</v>
      </c>
      <c r="AZ70" s="3">
        <f t="shared" si="33"/>
        <v>214490</v>
      </c>
      <c r="BA70" t="e">
        <f>AZ70/(#REF!*60/5)/60</f>
        <v>#REF!</v>
      </c>
      <c r="BB70">
        <v>40</v>
      </c>
      <c r="BC70">
        <f t="shared" si="34"/>
        <v>2.0419621749408985</v>
      </c>
      <c r="BD70" s="2">
        <f t="shared" si="42"/>
        <v>15.6</v>
      </c>
      <c r="BE70">
        <f t="shared" si="43"/>
        <v>4.7</v>
      </c>
      <c r="BF70">
        <f t="shared" si="44"/>
        <v>27072</v>
      </c>
    </row>
    <row r="71" spans="1:58" ht="14.25" x14ac:dyDescent="0.2">
      <c r="A71" s="11">
        <v>513</v>
      </c>
      <c r="B71" s="13">
        <v>3</v>
      </c>
      <c r="C71" s="15">
        <v>3</v>
      </c>
      <c r="D71" s="14">
        <v>3</v>
      </c>
      <c r="E71" s="1" t="s">
        <v>2699</v>
      </c>
      <c r="F71" s="1" t="s">
        <v>2715</v>
      </c>
      <c r="G71" s="1" t="s">
        <v>2701</v>
      </c>
      <c r="H71" s="1" t="s">
        <v>2701</v>
      </c>
      <c r="I71" s="1" t="s">
        <v>2702</v>
      </c>
      <c r="J71" s="16" t="s">
        <v>2719</v>
      </c>
      <c r="K71" t="s">
        <v>177</v>
      </c>
      <c r="L71" t="s">
        <v>163</v>
      </c>
      <c r="M71" t="s">
        <v>163</v>
      </c>
      <c r="N71" t="s">
        <v>163</v>
      </c>
      <c r="O71" s="4" t="s">
        <v>283</v>
      </c>
      <c r="P71">
        <v>0</v>
      </c>
      <c r="Q71" s="24">
        <v>8</v>
      </c>
      <c r="R71" s="25">
        <v>6.9</v>
      </c>
      <c r="S71" s="26">
        <v>10</v>
      </c>
      <c r="U71" s="3">
        <v>68</v>
      </c>
      <c r="V71" s="1">
        <v>224014</v>
      </c>
      <c r="W71" s="1">
        <v>18980</v>
      </c>
      <c r="Y71">
        <v>5</v>
      </c>
      <c r="Z71">
        <v>18</v>
      </c>
      <c r="AA71" s="3">
        <v>8</v>
      </c>
      <c r="AB71" s="3">
        <v>6</v>
      </c>
      <c r="AC71" s="3">
        <v>31</v>
      </c>
      <c r="AD71" s="9">
        <f t="shared" si="35"/>
        <v>408.33333333333337</v>
      </c>
      <c r="AE71">
        <f t="shared" si="30"/>
        <v>23030</v>
      </c>
      <c r="AF71" s="2">
        <f t="shared" si="36"/>
        <v>4.7</v>
      </c>
      <c r="AG71" t="str">
        <f t="shared" si="37"/>
        <v>6小时</v>
      </c>
      <c r="AH71">
        <f t="shared" si="38"/>
        <v>15</v>
      </c>
      <c r="AI71">
        <f t="shared" si="39"/>
        <v>3</v>
      </c>
      <c r="AJ71">
        <f t="shared" si="31"/>
        <v>15.6</v>
      </c>
      <c r="AK71">
        <f t="shared" si="40"/>
        <v>8</v>
      </c>
      <c r="AL71">
        <f t="shared" si="32"/>
        <v>4.7</v>
      </c>
      <c r="AM71" s="2">
        <f t="shared" si="41"/>
        <v>3</v>
      </c>
      <c r="AP71">
        <v>26</v>
      </c>
      <c r="AQ71">
        <v>29</v>
      </c>
      <c r="AR71">
        <v>24</v>
      </c>
      <c r="AX71">
        <v>68</v>
      </c>
      <c r="AY71">
        <v>68</v>
      </c>
      <c r="AZ71" s="3">
        <f t="shared" si="33"/>
        <v>224014</v>
      </c>
      <c r="BA71" t="e">
        <f>AZ71/(#REF!*60/5)/60</f>
        <v>#REF!</v>
      </c>
      <c r="BB71">
        <v>40</v>
      </c>
      <c r="BC71">
        <f t="shared" si="34"/>
        <v>2.0419621749408985</v>
      </c>
      <c r="BD71" s="2">
        <f t="shared" si="42"/>
        <v>15.6</v>
      </c>
      <c r="BE71">
        <f t="shared" si="43"/>
        <v>4.7</v>
      </c>
      <c r="BF71">
        <f t="shared" si="44"/>
        <v>27072</v>
      </c>
    </row>
    <row r="72" spans="1:58" ht="14.25" x14ac:dyDescent="0.2">
      <c r="A72" s="11">
        <v>514</v>
      </c>
      <c r="B72" s="13">
        <v>3</v>
      </c>
      <c r="C72" s="15">
        <v>3</v>
      </c>
      <c r="D72" s="14">
        <v>3</v>
      </c>
      <c r="E72" s="1" t="s">
        <v>2699</v>
      </c>
      <c r="F72" s="1" t="s">
        <v>2716</v>
      </c>
      <c r="G72" s="1" t="s">
        <v>2701</v>
      </c>
      <c r="H72" s="1" t="s">
        <v>2701</v>
      </c>
      <c r="I72" s="1" t="s">
        <v>2702</v>
      </c>
      <c r="J72" s="16" t="s">
        <v>2719</v>
      </c>
      <c r="K72" t="s">
        <v>174</v>
      </c>
      <c r="L72" t="s">
        <v>163</v>
      </c>
      <c r="M72" t="s">
        <v>163</v>
      </c>
      <c r="N72" t="s">
        <v>163</v>
      </c>
      <c r="O72" s="4" t="s">
        <v>285</v>
      </c>
      <c r="P72">
        <v>0</v>
      </c>
      <c r="Q72" s="24">
        <v>8</v>
      </c>
      <c r="R72" s="25">
        <v>6.9</v>
      </c>
      <c r="S72" s="26">
        <v>10</v>
      </c>
      <c r="U72" s="3">
        <v>69</v>
      </c>
      <c r="V72" s="1">
        <v>233816</v>
      </c>
      <c r="W72" s="1">
        <v>19253</v>
      </c>
      <c r="Y72">
        <v>5</v>
      </c>
      <c r="Z72">
        <v>19</v>
      </c>
      <c r="AA72" s="3">
        <v>8</v>
      </c>
      <c r="AB72" s="3">
        <v>6</v>
      </c>
      <c r="AC72" s="3">
        <v>31</v>
      </c>
      <c r="AD72" s="9">
        <f t="shared" si="35"/>
        <v>408.33333333333337</v>
      </c>
      <c r="AE72">
        <f t="shared" si="30"/>
        <v>23030</v>
      </c>
      <c r="AF72" s="2">
        <f t="shared" si="36"/>
        <v>4.7</v>
      </c>
      <c r="AG72" t="str">
        <f t="shared" si="37"/>
        <v>6小时</v>
      </c>
      <c r="AH72">
        <f t="shared" si="38"/>
        <v>15</v>
      </c>
      <c r="AI72">
        <f t="shared" si="39"/>
        <v>3</v>
      </c>
      <c r="AJ72">
        <f t="shared" si="31"/>
        <v>15.6</v>
      </c>
      <c r="AK72">
        <f t="shared" si="40"/>
        <v>8</v>
      </c>
      <c r="AL72">
        <f t="shared" si="32"/>
        <v>4.7</v>
      </c>
      <c r="AM72" s="2">
        <f t="shared" si="41"/>
        <v>3</v>
      </c>
      <c r="AP72">
        <v>26</v>
      </c>
      <c r="AQ72">
        <v>29</v>
      </c>
      <c r="AR72">
        <v>24</v>
      </c>
      <c r="AX72">
        <v>69</v>
      </c>
      <c r="AY72">
        <v>69</v>
      </c>
      <c r="AZ72" s="3">
        <f t="shared" si="33"/>
        <v>233816</v>
      </c>
      <c r="BA72" t="e">
        <f>AZ72/(#REF!*60/5)/60</f>
        <v>#REF!</v>
      </c>
      <c r="BB72">
        <v>40</v>
      </c>
      <c r="BC72">
        <f t="shared" si="34"/>
        <v>2.0419621749408985</v>
      </c>
      <c r="BD72" s="2">
        <f t="shared" si="42"/>
        <v>15.6</v>
      </c>
      <c r="BE72">
        <f t="shared" si="43"/>
        <v>4.7</v>
      </c>
      <c r="BF72">
        <f t="shared" si="44"/>
        <v>27072</v>
      </c>
    </row>
    <row r="73" spans="1:58" ht="14.25" x14ac:dyDescent="0.2">
      <c r="A73" s="11">
        <v>515</v>
      </c>
      <c r="B73" s="13">
        <v>3</v>
      </c>
      <c r="C73" s="15">
        <v>3</v>
      </c>
      <c r="D73" s="14">
        <v>3</v>
      </c>
      <c r="E73" s="1" t="s">
        <v>2707</v>
      </c>
      <c r="F73" s="1" t="s">
        <v>2708</v>
      </c>
      <c r="G73" s="1" t="s">
        <v>2709</v>
      </c>
      <c r="H73" s="1" t="s">
        <v>2717</v>
      </c>
      <c r="I73" s="1" t="s">
        <v>146</v>
      </c>
      <c r="J73" s="16" t="s">
        <v>2718</v>
      </c>
      <c r="K73" t="s">
        <v>166</v>
      </c>
      <c r="L73" t="s">
        <v>163</v>
      </c>
      <c r="M73" t="s">
        <v>163</v>
      </c>
      <c r="N73" t="s">
        <v>163</v>
      </c>
      <c r="O73" s="4" t="s">
        <v>285</v>
      </c>
      <c r="P73">
        <v>0</v>
      </c>
      <c r="Q73" s="24">
        <v>8</v>
      </c>
      <c r="R73" s="25">
        <v>6.9</v>
      </c>
      <c r="S73" s="26">
        <v>10</v>
      </c>
      <c r="U73" s="3">
        <v>70</v>
      </c>
      <c r="V73" s="1">
        <v>243900</v>
      </c>
      <c r="W73" s="1">
        <v>22530</v>
      </c>
      <c r="Y73">
        <v>5</v>
      </c>
      <c r="Z73">
        <v>20</v>
      </c>
      <c r="AA73" s="3">
        <v>10</v>
      </c>
      <c r="AB73" s="3">
        <v>6</v>
      </c>
      <c r="AC73" s="3">
        <v>32</v>
      </c>
      <c r="AD73" s="9">
        <f t="shared" si="35"/>
        <v>446.91666666666669</v>
      </c>
      <c r="AE73">
        <f t="shared" si="30"/>
        <v>25210</v>
      </c>
      <c r="AF73" s="2">
        <f t="shared" si="36"/>
        <v>4.7</v>
      </c>
      <c r="AG73" t="str">
        <f t="shared" si="37"/>
        <v>7小时</v>
      </c>
      <c r="AH73">
        <f t="shared" si="38"/>
        <v>15</v>
      </c>
      <c r="AI73">
        <f t="shared" si="39"/>
        <v>3</v>
      </c>
      <c r="AJ73">
        <f t="shared" si="31"/>
        <v>15.6</v>
      </c>
      <c r="AK73">
        <f t="shared" si="40"/>
        <v>8</v>
      </c>
      <c r="AL73">
        <f t="shared" si="32"/>
        <v>4.7</v>
      </c>
      <c r="AM73" s="2">
        <f t="shared" si="41"/>
        <v>3</v>
      </c>
      <c r="AP73">
        <v>26</v>
      </c>
      <c r="AQ73">
        <v>29</v>
      </c>
      <c r="AR73">
        <v>24</v>
      </c>
      <c r="AX73">
        <v>70</v>
      </c>
      <c r="AY73">
        <v>70</v>
      </c>
      <c r="AZ73" s="3">
        <f t="shared" si="33"/>
        <v>243900</v>
      </c>
      <c r="BA73" t="e">
        <f>AZ73/(#REF!*60/5)/60</f>
        <v>#REF!</v>
      </c>
      <c r="BB73">
        <v>40</v>
      </c>
      <c r="BC73">
        <f t="shared" si="34"/>
        <v>2.0419621749408985</v>
      </c>
      <c r="BD73" s="2">
        <f t="shared" si="42"/>
        <v>15.6</v>
      </c>
      <c r="BE73">
        <f t="shared" si="43"/>
        <v>4.7</v>
      </c>
      <c r="BF73">
        <f t="shared" si="44"/>
        <v>27072</v>
      </c>
    </row>
    <row r="74" spans="1:58" ht="14.25" x14ac:dyDescent="0.2">
      <c r="A74" s="11">
        <v>516</v>
      </c>
      <c r="B74" s="13">
        <v>3</v>
      </c>
      <c r="C74" s="15">
        <v>3</v>
      </c>
      <c r="D74" s="14">
        <v>3</v>
      </c>
      <c r="E74" s="1" t="s">
        <v>2720</v>
      </c>
      <c r="F74" s="1" t="s">
        <v>2721</v>
      </c>
      <c r="G74" s="1" t="s">
        <v>147</v>
      </c>
      <c r="H74" s="1" t="s">
        <v>147</v>
      </c>
      <c r="I74" s="1" t="s">
        <v>146</v>
      </c>
      <c r="J74" s="16" t="s">
        <v>2722</v>
      </c>
      <c r="K74" t="s">
        <v>168</v>
      </c>
      <c r="L74" t="s">
        <v>163</v>
      </c>
      <c r="M74" t="s">
        <v>163</v>
      </c>
      <c r="N74" t="s">
        <v>163</v>
      </c>
      <c r="O74" s="4" t="s">
        <v>287</v>
      </c>
      <c r="P74">
        <v>0</v>
      </c>
      <c r="Q74" s="24">
        <v>8.5</v>
      </c>
      <c r="R74" s="25">
        <v>7.3</v>
      </c>
      <c r="S74" s="26">
        <v>10.7</v>
      </c>
      <c r="U74" s="3">
        <v>71</v>
      </c>
      <c r="V74" s="1">
        <v>254270</v>
      </c>
      <c r="W74" s="1">
        <v>22811</v>
      </c>
      <c r="Y74">
        <v>6</v>
      </c>
      <c r="Z74">
        <v>1</v>
      </c>
      <c r="AA74" s="3">
        <v>10</v>
      </c>
      <c r="AB74" s="3">
        <v>6</v>
      </c>
      <c r="AC74">
        <v>58</v>
      </c>
      <c r="AD74" s="9">
        <f t="shared" si="35"/>
        <v>2343.666666666667</v>
      </c>
      <c r="AE74">
        <f t="shared" si="30"/>
        <v>140624</v>
      </c>
      <c r="AF74" s="2">
        <f t="shared" si="36"/>
        <v>5</v>
      </c>
      <c r="AG74" t="str">
        <f t="shared" si="37"/>
        <v>39小时</v>
      </c>
      <c r="AH74">
        <f t="shared" si="38"/>
        <v>15</v>
      </c>
      <c r="AI74">
        <f t="shared" si="39"/>
        <v>3</v>
      </c>
      <c r="AJ74">
        <f t="shared" si="31"/>
        <v>16</v>
      </c>
      <c r="AK74">
        <f t="shared" si="40"/>
        <v>8</v>
      </c>
      <c r="AL74">
        <f t="shared" si="32"/>
        <v>5</v>
      </c>
      <c r="AM74" s="2">
        <f t="shared" si="41"/>
        <v>3</v>
      </c>
      <c r="AP74">
        <v>35</v>
      </c>
      <c r="AQ74">
        <v>32</v>
      </c>
      <c r="AR74">
        <v>34</v>
      </c>
      <c r="AX74">
        <v>71</v>
      </c>
      <c r="AY74">
        <v>71</v>
      </c>
      <c r="AZ74" s="3">
        <f t="shared" si="33"/>
        <v>254270</v>
      </c>
      <c r="BA74" t="e">
        <f>AZ74/(#REF!*60/5)/60</f>
        <v>#REF!</v>
      </c>
      <c r="BB74">
        <v>50</v>
      </c>
      <c r="BC74">
        <f t="shared" si="34"/>
        <v>3.1749999999999998</v>
      </c>
      <c r="BD74" s="2">
        <f t="shared" si="42"/>
        <v>16</v>
      </c>
      <c r="BE74">
        <f t="shared" si="43"/>
        <v>5</v>
      </c>
      <c r="BF74">
        <f t="shared" si="44"/>
        <v>28800</v>
      </c>
    </row>
    <row r="75" spans="1:58" ht="14.25" x14ac:dyDescent="0.2">
      <c r="A75" s="11">
        <v>517</v>
      </c>
      <c r="B75" s="13">
        <v>3</v>
      </c>
      <c r="C75" s="15">
        <v>3</v>
      </c>
      <c r="D75" s="14">
        <v>3</v>
      </c>
      <c r="E75" s="1" t="s">
        <v>2720</v>
      </c>
      <c r="F75" s="1" t="s">
        <v>2723</v>
      </c>
      <c r="G75" s="1" t="s">
        <v>147</v>
      </c>
      <c r="H75" s="1" t="s">
        <v>147</v>
      </c>
      <c r="I75" s="1" t="s">
        <v>146</v>
      </c>
      <c r="J75" s="16" t="s">
        <v>2722</v>
      </c>
      <c r="K75" t="s">
        <v>175</v>
      </c>
      <c r="L75" t="s">
        <v>164</v>
      </c>
      <c r="M75" t="s">
        <v>163</v>
      </c>
      <c r="N75" t="s">
        <v>167</v>
      </c>
      <c r="O75" s="4" t="s">
        <v>289</v>
      </c>
      <c r="P75">
        <v>0</v>
      </c>
      <c r="Q75" s="24">
        <v>8.5</v>
      </c>
      <c r="R75" s="25">
        <v>7.3</v>
      </c>
      <c r="S75" s="26">
        <v>10.7</v>
      </c>
      <c r="U75" s="3">
        <v>72</v>
      </c>
      <c r="V75" s="1">
        <v>264930</v>
      </c>
      <c r="W75" s="1">
        <v>23096</v>
      </c>
      <c r="Y75">
        <v>6</v>
      </c>
      <c r="Z75">
        <v>2</v>
      </c>
      <c r="AA75" s="3">
        <v>10</v>
      </c>
      <c r="AB75" s="3">
        <v>6</v>
      </c>
      <c r="AC75">
        <v>58</v>
      </c>
      <c r="AD75" s="9">
        <f t="shared" si="35"/>
        <v>2343.666666666667</v>
      </c>
      <c r="AE75">
        <f t="shared" si="30"/>
        <v>140624</v>
      </c>
      <c r="AF75" s="2">
        <f t="shared" si="36"/>
        <v>5</v>
      </c>
      <c r="AG75" t="str">
        <f t="shared" si="37"/>
        <v>39小时</v>
      </c>
      <c r="AH75">
        <f t="shared" si="38"/>
        <v>15</v>
      </c>
      <c r="AI75">
        <f t="shared" si="39"/>
        <v>3</v>
      </c>
      <c r="AJ75">
        <f t="shared" si="31"/>
        <v>16</v>
      </c>
      <c r="AK75">
        <f t="shared" si="40"/>
        <v>8</v>
      </c>
      <c r="AL75">
        <f t="shared" si="32"/>
        <v>5</v>
      </c>
      <c r="AM75" s="2">
        <f t="shared" si="41"/>
        <v>3</v>
      </c>
      <c r="AP75">
        <v>35</v>
      </c>
      <c r="AQ75">
        <v>32</v>
      </c>
      <c r="AR75">
        <v>34</v>
      </c>
      <c r="AX75">
        <v>72</v>
      </c>
      <c r="AY75">
        <v>72</v>
      </c>
      <c r="AZ75" s="3">
        <f t="shared" si="33"/>
        <v>264930</v>
      </c>
      <c r="BA75" t="e">
        <f>AZ75/(#REF!*60/5)/60</f>
        <v>#REF!</v>
      </c>
      <c r="BB75">
        <v>50</v>
      </c>
      <c r="BC75">
        <f t="shared" si="34"/>
        <v>3.1749999999999998</v>
      </c>
      <c r="BD75" s="2">
        <f t="shared" si="42"/>
        <v>16</v>
      </c>
      <c r="BE75">
        <f t="shared" si="43"/>
        <v>5</v>
      </c>
      <c r="BF75">
        <f t="shared" si="44"/>
        <v>28800</v>
      </c>
    </row>
    <row r="76" spans="1:58" ht="14.25" x14ac:dyDescent="0.2">
      <c r="A76" s="11">
        <v>518</v>
      </c>
      <c r="B76" s="13">
        <v>3</v>
      </c>
      <c r="C76" s="15">
        <v>3</v>
      </c>
      <c r="D76" s="14">
        <v>3</v>
      </c>
      <c r="E76" s="1" t="s">
        <v>2720</v>
      </c>
      <c r="F76" s="1" t="s">
        <v>2724</v>
      </c>
      <c r="G76" s="1" t="s">
        <v>147</v>
      </c>
      <c r="H76" s="1" t="s">
        <v>147</v>
      </c>
      <c r="I76" s="1" t="s">
        <v>146</v>
      </c>
      <c r="J76" s="16" t="s">
        <v>2722</v>
      </c>
      <c r="K76" t="s">
        <v>179</v>
      </c>
      <c r="L76" t="s">
        <v>163</v>
      </c>
      <c r="M76" t="s">
        <v>163</v>
      </c>
      <c r="N76" t="s">
        <v>163</v>
      </c>
      <c r="O76" s="4" t="s">
        <v>291</v>
      </c>
      <c r="P76">
        <v>0</v>
      </c>
      <c r="Q76" s="24">
        <v>8.5</v>
      </c>
      <c r="R76" s="25">
        <v>7.3</v>
      </c>
      <c r="S76" s="26">
        <v>10.7</v>
      </c>
      <c r="U76" s="3">
        <v>73</v>
      </c>
      <c r="V76" s="1">
        <v>275884</v>
      </c>
      <c r="W76" s="1">
        <v>23385</v>
      </c>
      <c r="Y76">
        <v>6</v>
      </c>
      <c r="Z76">
        <v>3</v>
      </c>
      <c r="AA76" s="3">
        <v>10</v>
      </c>
      <c r="AB76" s="3">
        <v>6</v>
      </c>
      <c r="AC76">
        <v>60</v>
      </c>
      <c r="AD76" s="9">
        <f t="shared" si="35"/>
        <v>2587.8333333333335</v>
      </c>
      <c r="AE76">
        <f t="shared" si="30"/>
        <v>155270</v>
      </c>
      <c r="AF76" s="2">
        <f t="shared" si="36"/>
        <v>5</v>
      </c>
      <c r="AG76" t="str">
        <f t="shared" si="37"/>
        <v>43小时</v>
      </c>
      <c r="AH76">
        <f t="shared" si="38"/>
        <v>15</v>
      </c>
      <c r="AI76">
        <f t="shared" si="39"/>
        <v>3</v>
      </c>
      <c r="AJ76">
        <f t="shared" si="31"/>
        <v>16</v>
      </c>
      <c r="AK76">
        <f t="shared" si="40"/>
        <v>8</v>
      </c>
      <c r="AL76">
        <f t="shared" si="32"/>
        <v>5</v>
      </c>
      <c r="AM76" s="2">
        <f t="shared" si="41"/>
        <v>3</v>
      </c>
      <c r="AP76">
        <v>35</v>
      </c>
      <c r="AQ76">
        <v>32</v>
      </c>
      <c r="AR76">
        <v>34</v>
      </c>
      <c r="AX76">
        <v>73</v>
      </c>
      <c r="AY76">
        <v>73</v>
      </c>
      <c r="AZ76" s="3">
        <f t="shared" si="33"/>
        <v>275884</v>
      </c>
      <c r="BA76" t="e">
        <f>AZ76/(#REF!*60/5)/60</f>
        <v>#REF!</v>
      </c>
      <c r="BB76">
        <v>50</v>
      </c>
      <c r="BC76">
        <f t="shared" si="34"/>
        <v>3.1749999999999998</v>
      </c>
      <c r="BD76" s="2">
        <f t="shared" si="42"/>
        <v>16</v>
      </c>
      <c r="BE76">
        <f t="shared" si="43"/>
        <v>5</v>
      </c>
      <c r="BF76">
        <f t="shared" si="44"/>
        <v>28800</v>
      </c>
    </row>
    <row r="77" spans="1:58" ht="14.25" x14ac:dyDescent="0.2">
      <c r="A77" s="11">
        <v>519</v>
      </c>
      <c r="B77" s="13">
        <v>3</v>
      </c>
      <c r="C77" s="15">
        <v>3</v>
      </c>
      <c r="D77" s="14">
        <v>3</v>
      </c>
      <c r="E77" s="1" t="s">
        <v>2720</v>
      </c>
      <c r="F77" s="1" t="s">
        <v>2725</v>
      </c>
      <c r="G77" s="1" t="s">
        <v>147</v>
      </c>
      <c r="H77" s="1" t="s">
        <v>147</v>
      </c>
      <c r="I77" s="1" t="s">
        <v>146</v>
      </c>
      <c r="J77" s="16" t="s">
        <v>2722</v>
      </c>
      <c r="K77" t="s">
        <v>162</v>
      </c>
      <c r="L77" t="s">
        <v>163</v>
      </c>
      <c r="M77" t="s">
        <v>163</v>
      </c>
      <c r="N77" t="s">
        <v>163</v>
      </c>
      <c r="O77" s="4" t="s">
        <v>293</v>
      </c>
      <c r="P77">
        <v>0</v>
      </c>
      <c r="Q77" s="24">
        <v>8.5</v>
      </c>
      <c r="R77" s="25">
        <v>7.3</v>
      </c>
      <c r="S77" s="26">
        <v>10.7</v>
      </c>
      <c r="U77" s="3">
        <v>74</v>
      </c>
      <c r="V77" s="1">
        <v>287136</v>
      </c>
      <c r="W77" s="1">
        <v>23678</v>
      </c>
      <c r="Y77">
        <v>6</v>
      </c>
      <c r="Z77">
        <v>4</v>
      </c>
      <c r="AA77" s="3">
        <v>10</v>
      </c>
      <c r="AB77" s="3">
        <v>6</v>
      </c>
      <c r="AC77">
        <v>60</v>
      </c>
      <c r="AD77" s="9">
        <f t="shared" si="35"/>
        <v>2587.8333333333335</v>
      </c>
      <c r="AE77">
        <f t="shared" si="30"/>
        <v>155270</v>
      </c>
      <c r="AF77" s="2">
        <f t="shared" si="36"/>
        <v>5</v>
      </c>
      <c r="AG77" t="str">
        <f t="shared" si="37"/>
        <v>43小时</v>
      </c>
      <c r="AH77">
        <f t="shared" si="38"/>
        <v>15</v>
      </c>
      <c r="AI77">
        <f t="shared" si="39"/>
        <v>3</v>
      </c>
      <c r="AJ77">
        <f t="shared" si="31"/>
        <v>16</v>
      </c>
      <c r="AK77">
        <f t="shared" si="40"/>
        <v>8</v>
      </c>
      <c r="AL77">
        <f t="shared" si="32"/>
        <v>5</v>
      </c>
      <c r="AM77" s="2">
        <f t="shared" si="41"/>
        <v>3</v>
      </c>
      <c r="AP77">
        <v>35</v>
      </c>
      <c r="AQ77">
        <v>32</v>
      </c>
      <c r="AR77">
        <v>34</v>
      </c>
      <c r="AX77">
        <v>74</v>
      </c>
      <c r="AY77">
        <v>74</v>
      </c>
      <c r="AZ77" s="3">
        <f t="shared" si="33"/>
        <v>287136</v>
      </c>
      <c r="BA77" t="e">
        <f>AZ77/(#REF!*60/5)/60</f>
        <v>#REF!</v>
      </c>
      <c r="BB77">
        <v>50</v>
      </c>
      <c r="BC77">
        <f t="shared" si="34"/>
        <v>3.1749999999999998</v>
      </c>
      <c r="BD77" s="2">
        <f t="shared" si="42"/>
        <v>16</v>
      </c>
      <c r="BE77">
        <f t="shared" si="43"/>
        <v>5</v>
      </c>
      <c r="BF77">
        <f t="shared" si="44"/>
        <v>28800</v>
      </c>
    </row>
    <row r="78" spans="1:58" ht="14.25" x14ac:dyDescent="0.2">
      <c r="A78" s="11">
        <v>520</v>
      </c>
      <c r="B78" s="13">
        <v>3</v>
      </c>
      <c r="C78" s="15">
        <v>3</v>
      </c>
      <c r="D78" s="14">
        <v>3</v>
      </c>
      <c r="E78" s="1" t="s">
        <v>2726</v>
      </c>
      <c r="F78" s="1" t="s">
        <v>118</v>
      </c>
      <c r="G78" s="1" t="s">
        <v>2727</v>
      </c>
      <c r="H78" s="1" t="s">
        <v>2728</v>
      </c>
      <c r="I78" s="1" t="s">
        <v>117</v>
      </c>
      <c r="J78" s="16" t="s">
        <v>2698</v>
      </c>
      <c r="K78" t="s">
        <v>177</v>
      </c>
      <c r="L78" t="s">
        <v>163</v>
      </c>
      <c r="M78" t="s">
        <v>163</v>
      </c>
      <c r="N78" t="s">
        <v>163</v>
      </c>
      <c r="O78" s="4" t="s">
        <v>291</v>
      </c>
      <c r="P78">
        <v>0</v>
      </c>
      <c r="Q78" s="24">
        <v>8.5</v>
      </c>
      <c r="R78" s="25">
        <v>7.3</v>
      </c>
      <c r="S78" s="26">
        <v>10.7</v>
      </c>
      <c r="U78" s="3">
        <v>75</v>
      </c>
      <c r="V78" s="1">
        <v>298690</v>
      </c>
      <c r="W78" s="1">
        <v>23975</v>
      </c>
      <c r="Y78">
        <v>6</v>
      </c>
      <c r="Z78">
        <v>5</v>
      </c>
      <c r="AA78" s="3">
        <v>15</v>
      </c>
      <c r="AB78" s="3">
        <v>6</v>
      </c>
      <c r="AC78">
        <v>60</v>
      </c>
      <c r="AD78" s="9">
        <f t="shared" si="35"/>
        <v>2587.8333333333335</v>
      </c>
      <c r="AE78">
        <f t="shared" si="30"/>
        <v>155270</v>
      </c>
      <c r="AF78" s="2">
        <f t="shared" si="36"/>
        <v>5</v>
      </c>
      <c r="AG78" t="str">
        <f t="shared" si="37"/>
        <v>43小时</v>
      </c>
      <c r="AH78">
        <f t="shared" si="38"/>
        <v>15</v>
      </c>
      <c r="AI78">
        <f t="shared" si="39"/>
        <v>3</v>
      </c>
      <c r="AJ78">
        <f t="shared" si="31"/>
        <v>16</v>
      </c>
      <c r="AK78">
        <f t="shared" si="40"/>
        <v>8</v>
      </c>
      <c r="AL78">
        <f t="shared" si="32"/>
        <v>5</v>
      </c>
      <c r="AM78" s="2">
        <f t="shared" si="41"/>
        <v>3</v>
      </c>
      <c r="AP78">
        <v>35</v>
      </c>
      <c r="AQ78">
        <v>32</v>
      </c>
      <c r="AR78">
        <v>34</v>
      </c>
      <c r="AX78">
        <v>75</v>
      </c>
      <c r="AY78">
        <v>75</v>
      </c>
      <c r="AZ78" s="3">
        <f t="shared" si="33"/>
        <v>298690</v>
      </c>
      <c r="BA78" t="e">
        <f>AZ78/(#REF!*60/5)/60</f>
        <v>#REF!</v>
      </c>
      <c r="BB78">
        <v>50</v>
      </c>
      <c r="BC78">
        <f t="shared" si="34"/>
        <v>3.1749999999999998</v>
      </c>
      <c r="BD78" s="2">
        <f t="shared" si="42"/>
        <v>16</v>
      </c>
      <c r="BE78">
        <f t="shared" si="43"/>
        <v>5</v>
      </c>
      <c r="BF78">
        <f t="shared" si="44"/>
        <v>28800</v>
      </c>
    </row>
    <row r="79" spans="1:58" ht="14.25" x14ac:dyDescent="0.2">
      <c r="A79" s="11">
        <v>521</v>
      </c>
      <c r="B79" s="13">
        <v>3</v>
      </c>
      <c r="C79" s="15">
        <v>3</v>
      </c>
      <c r="D79" s="14">
        <v>3</v>
      </c>
      <c r="E79" s="1" t="s">
        <v>2720</v>
      </c>
      <c r="F79" s="1" t="s">
        <v>2721</v>
      </c>
      <c r="G79" s="1" t="s">
        <v>147</v>
      </c>
      <c r="H79" s="1" t="s">
        <v>147</v>
      </c>
      <c r="I79" s="1" t="s">
        <v>146</v>
      </c>
      <c r="J79" s="16" t="s">
        <v>2722</v>
      </c>
      <c r="K79" t="s">
        <v>174</v>
      </c>
      <c r="L79" t="s">
        <v>163</v>
      </c>
      <c r="M79" t="s">
        <v>163</v>
      </c>
      <c r="N79" t="s">
        <v>163</v>
      </c>
      <c r="O79" s="4" t="s">
        <v>295</v>
      </c>
      <c r="P79">
        <v>0</v>
      </c>
      <c r="Q79" s="24">
        <v>9</v>
      </c>
      <c r="R79" s="25">
        <v>7.8</v>
      </c>
      <c r="S79" s="26">
        <v>11.3</v>
      </c>
      <c r="U79" s="3">
        <v>76</v>
      </c>
      <c r="V79" s="1">
        <v>310550</v>
      </c>
      <c r="W79" s="1">
        <v>24276</v>
      </c>
      <c r="Y79">
        <v>6</v>
      </c>
      <c r="Z79">
        <v>6</v>
      </c>
      <c r="AA79" s="3">
        <v>10</v>
      </c>
      <c r="AB79" s="3">
        <v>6</v>
      </c>
      <c r="AC79">
        <v>62</v>
      </c>
      <c r="AD79" s="9">
        <f t="shared" si="35"/>
        <v>2738.75</v>
      </c>
      <c r="AE79">
        <f t="shared" si="30"/>
        <v>170900</v>
      </c>
      <c r="AF79" s="2">
        <f t="shared" si="36"/>
        <v>5.2</v>
      </c>
      <c r="AG79" t="str">
        <f t="shared" si="37"/>
        <v>45小时</v>
      </c>
      <c r="AH79">
        <f t="shared" si="38"/>
        <v>16</v>
      </c>
      <c r="AI79">
        <f t="shared" si="39"/>
        <v>3</v>
      </c>
      <c r="AJ79">
        <f t="shared" si="31"/>
        <v>16.3</v>
      </c>
      <c r="AK79">
        <f t="shared" si="40"/>
        <v>9</v>
      </c>
      <c r="AL79">
        <f t="shared" si="32"/>
        <v>5.2</v>
      </c>
      <c r="AM79" s="2">
        <f t="shared" si="41"/>
        <v>3</v>
      </c>
      <c r="AP79">
        <v>35</v>
      </c>
      <c r="AQ79">
        <v>35</v>
      </c>
      <c r="AR79">
        <v>36</v>
      </c>
      <c r="AX79">
        <v>76</v>
      </c>
      <c r="AY79">
        <v>76</v>
      </c>
      <c r="AZ79" s="3">
        <f t="shared" si="33"/>
        <v>310550</v>
      </c>
      <c r="BA79" t="e">
        <f>AZ79/(#REF!*60/5)/60</f>
        <v>#REF!</v>
      </c>
      <c r="BB79">
        <v>50</v>
      </c>
      <c r="BC79">
        <f t="shared" si="34"/>
        <v>3.0528846153846154</v>
      </c>
      <c r="BD79" s="2">
        <f t="shared" si="42"/>
        <v>16.3</v>
      </c>
      <c r="BE79">
        <f t="shared" si="43"/>
        <v>5.2</v>
      </c>
      <c r="BF79">
        <f t="shared" si="44"/>
        <v>29952</v>
      </c>
    </row>
    <row r="80" spans="1:58" ht="14.25" x14ac:dyDescent="0.2">
      <c r="A80" s="11">
        <v>522</v>
      </c>
      <c r="B80" s="13">
        <v>3</v>
      </c>
      <c r="C80" s="15">
        <v>3</v>
      </c>
      <c r="D80" s="14">
        <v>3</v>
      </c>
      <c r="E80" s="1" t="s">
        <v>2720</v>
      </c>
      <c r="F80" s="1" t="s">
        <v>2723</v>
      </c>
      <c r="G80" s="1" t="s">
        <v>147</v>
      </c>
      <c r="H80" s="1" t="s">
        <v>147</v>
      </c>
      <c r="I80" s="1" t="s">
        <v>146</v>
      </c>
      <c r="J80" s="16" t="s">
        <v>2722</v>
      </c>
      <c r="K80" t="s">
        <v>166</v>
      </c>
      <c r="L80" t="s">
        <v>163</v>
      </c>
      <c r="M80" t="s">
        <v>163</v>
      </c>
      <c r="N80" t="s">
        <v>163</v>
      </c>
      <c r="O80" s="4" t="s">
        <v>295</v>
      </c>
      <c r="P80">
        <v>0</v>
      </c>
      <c r="Q80" s="24">
        <v>9</v>
      </c>
      <c r="R80" s="25">
        <v>7.8</v>
      </c>
      <c r="S80" s="26">
        <v>11.3</v>
      </c>
      <c r="U80" s="3">
        <v>77</v>
      </c>
      <c r="V80" s="1">
        <v>322720</v>
      </c>
      <c r="W80" s="1">
        <v>24581</v>
      </c>
      <c r="Y80">
        <v>6</v>
      </c>
      <c r="Z80">
        <v>7</v>
      </c>
      <c r="AA80" s="3">
        <v>10</v>
      </c>
      <c r="AB80" s="3">
        <v>6</v>
      </c>
      <c r="AC80">
        <v>62</v>
      </c>
      <c r="AD80" s="9">
        <f t="shared" si="35"/>
        <v>2738.75</v>
      </c>
      <c r="AE80">
        <f t="shared" si="30"/>
        <v>170900</v>
      </c>
      <c r="AF80" s="2">
        <f t="shared" si="36"/>
        <v>5.2</v>
      </c>
      <c r="AG80" t="str">
        <f t="shared" si="37"/>
        <v>45小时</v>
      </c>
      <c r="AH80">
        <f t="shared" si="38"/>
        <v>16</v>
      </c>
      <c r="AI80">
        <f t="shared" si="39"/>
        <v>3</v>
      </c>
      <c r="AJ80">
        <f t="shared" si="31"/>
        <v>16.3</v>
      </c>
      <c r="AK80">
        <f t="shared" si="40"/>
        <v>9</v>
      </c>
      <c r="AL80">
        <f t="shared" si="32"/>
        <v>5.2</v>
      </c>
      <c r="AM80" s="2">
        <f t="shared" si="41"/>
        <v>3</v>
      </c>
      <c r="AP80">
        <v>35</v>
      </c>
      <c r="AQ80">
        <v>35</v>
      </c>
      <c r="AR80">
        <v>36</v>
      </c>
      <c r="AX80">
        <v>77</v>
      </c>
      <c r="AY80">
        <v>77</v>
      </c>
      <c r="AZ80" s="3">
        <f t="shared" si="33"/>
        <v>322720</v>
      </c>
      <c r="BA80" t="e">
        <f>AZ80/(#REF!*60/5)/60</f>
        <v>#REF!</v>
      </c>
      <c r="BB80">
        <v>50</v>
      </c>
      <c r="BC80">
        <f t="shared" si="34"/>
        <v>3.0528846153846154</v>
      </c>
      <c r="BD80" s="2">
        <f t="shared" si="42"/>
        <v>16.3</v>
      </c>
      <c r="BE80">
        <f t="shared" si="43"/>
        <v>5.2</v>
      </c>
      <c r="BF80">
        <f t="shared" si="44"/>
        <v>29952</v>
      </c>
    </row>
    <row r="81" spans="1:58" ht="14.25" x14ac:dyDescent="0.2">
      <c r="A81" s="11">
        <v>523</v>
      </c>
      <c r="B81" s="13">
        <v>3</v>
      </c>
      <c r="C81" s="15">
        <v>3</v>
      </c>
      <c r="D81" s="14">
        <v>3</v>
      </c>
      <c r="E81" s="1" t="s">
        <v>2720</v>
      </c>
      <c r="F81" s="1" t="s">
        <v>2724</v>
      </c>
      <c r="G81" s="1" t="s">
        <v>147</v>
      </c>
      <c r="H81" s="1" t="s">
        <v>147</v>
      </c>
      <c r="I81" s="1" t="s">
        <v>146</v>
      </c>
      <c r="J81" s="16" t="s">
        <v>2722</v>
      </c>
      <c r="K81" t="s">
        <v>168</v>
      </c>
      <c r="L81" t="s">
        <v>163</v>
      </c>
      <c r="M81" t="s">
        <v>163</v>
      </c>
      <c r="N81" t="s">
        <v>163</v>
      </c>
      <c r="O81" s="4" t="s">
        <v>297</v>
      </c>
      <c r="P81">
        <v>0</v>
      </c>
      <c r="Q81" s="24">
        <v>9</v>
      </c>
      <c r="R81" s="25">
        <v>7.8</v>
      </c>
      <c r="S81" s="26">
        <v>11.3</v>
      </c>
      <c r="U81" s="3">
        <v>78</v>
      </c>
      <c r="V81" s="1">
        <v>335204</v>
      </c>
      <c r="W81" s="1">
        <v>24890</v>
      </c>
      <c r="Y81">
        <v>6</v>
      </c>
      <c r="Z81">
        <v>8</v>
      </c>
      <c r="AA81" s="3">
        <v>10</v>
      </c>
      <c r="AB81" s="3">
        <v>6</v>
      </c>
      <c r="AC81">
        <v>62</v>
      </c>
      <c r="AD81" s="9">
        <f t="shared" si="35"/>
        <v>2738.75</v>
      </c>
      <c r="AE81">
        <f t="shared" si="30"/>
        <v>170900</v>
      </c>
      <c r="AF81" s="2">
        <f t="shared" si="36"/>
        <v>5.2</v>
      </c>
      <c r="AG81" t="str">
        <f t="shared" si="37"/>
        <v>45小时</v>
      </c>
      <c r="AH81">
        <f t="shared" si="38"/>
        <v>16</v>
      </c>
      <c r="AI81">
        <f t="shared" si="39"/>
        <v>3</v>
      </c>
      <c r="AJ81">
        <f t="shared" si="31"/>
        <v>16.3</v>
      </c>
      <c r="AK81">
        <f t="shared" si="40"/>
        <v>9</v>
      </c>
      <c r="AL81">
        <f t="shared" si="32"/>
        <v>5.2</v>
      </c>
      <c r="AM81" s="2">
        <f t="shared" si="41"/>
        <v>3</v>
      </c>
      <c r="AP81">
        <v>35</v>
      </c>
      <c r="AQ81">
        <v>35</v>
      </c>
      <c r="AR81">
        <v>36</v>
      </c>
      <c r="AX81">
        <v>78</v>
      </c>
      <c r="AY81">
        <v>78</v>
      </c>
      <c r="AZ81" s="3">
        <f t="shared" si="33"/>
        <v>335204</v>
      </c>
      <c r="BA81" t="e">
        <f>AZ81/(#REF!*60/5)/60</f>
        <v>#REF!</v>
      </c>
      <c r="BB81">
        <v>50</v>
      </c>
      <c r="BC81">
        <f t="shared" si="34"/>
        <v>3.0528846153846154</v>
      </c>
      <c r="BD81" s="2">
        <f t="shared" si="42"/>
        <v>16.3</v>
      </c>
      <c r="BE81">
        <f t="shared" si="43"/>
        <v>5.2</v>
      </c>
      <c r="BF81">
        <f t="shared" si="44"/>
        <v>29952</v>
      </c>
    </row>
    <row r="82" spans="1:58" ht="14.25" x14ac:dyDescent="0.2">
      <c r="A82" s="11">
        <v>524</v>
      </c>
      <c r="B82" s="13">
        <v>3</v>
      </c>
      <c r="C82" s="15">
        <v>3</v>
      </c>
      <c r="D82" s="14">
        <v>3</v>
      </c>
      <c r="E82" s="1" t="s">
        <v>2720</v>
      </c>
      <c r="F82" s="1" t="s">
        <v>2725</v>
      </c>
      <c r="G82" s="1" t="s">
        <v>147</v>
      </c>
      <c r="H82" s="1" t="s">
        <v>147</v>
      </c>
      <c r="I82" s="1" t="s">
        <v>146</v>
      </c>
      <c r="J82" s="16" t="s">
        <v>2722</v>
      </c>
      <c r="K82" t="s">
        <v>175</v>
      </c>
      <c r="L82" t="s">
        <v>164</v>
      </c>
      <c r="M82" t="s">
        <v>163</v>
      </c>
      <c r="N82" t="s">
        <v>167</v>
      </c>
      <c r="O82" s="4" t="s">
        <v>299</v>
      </c>
      <c r="P82">
        <v>0</v>
      </c>
      <c r="Q82" s="24">
        <v>9</v>
      </c>
      <c r="R82" s="25">
        <v>7.8</v>
      </c>
      <c r="S82" s="26">
        <v>11.3</v>
      </c>
      <c r="U82" s="3">
        <v>79</v>
      </c>
      <c r="V82" s="1">
        <v>348006</v>
      </c>
      <c r="W82" s="1">
        <v>25203</v>
      </c>
      <c r="Y82">
        <v>6</v>
      </c>
      <c r="Z82">
        <v>9</v>
      </c>
      <c r="AA82" s="3">
        <v>10</v>
      </c>
      <c r="AB82" s="3">
        <v>6</v>
      </c>
      <c r="AC82">
        <v>64</v>
      </c>
      <c r="AD82" s="9">
        <f t="shared" si="35"/>
        <v>3005.5</v>
      </c>
      <c r="AE82">
        <f t="shared" si="30"/>
        <v>187546</v>
      </c>
      <c r="AF82" s="2">
        <f t="shared" si="36"/>
        <v>5.2</v>
      </c>
      <c r="AG82" t="str">
        <f t="shared" si="37"/>
        <v>50小时</v>
      </c>
      <c r="AH82">
        <f t="shared" si="38"/>
        <v>16</v>
      </c>
      <c r="AI82">
        <f t="shared" si="39"/>
        <v>3</v>
      </c>
      <c r="AJ82">
        <f t="shared" si="31"/>
        <v>16.3</v>
      </c>
      <c r="AK82">
        <f t="shared" si="40"/>
        <v>9</v>
      </c>
      <c r="AL82">
        <f t="shared" si="32"/>
        <v>5.2</v>
      </c>
      <c r="AM82" s="2">
        <f t="shared" si="41"/>
        <v>3</v>
      </c>
      <c r="AP82">
        <v>35</v>
      </c>
      <c r="AQ82">
        <v>35</v>
      </c>
      <c r="AR82">
        <v>36</v>
      </c>
      <c r="AX82">
        <v>79</v>
      </c>
      <c r="AY82">
        <v>79</v>
      </c>
      <c r="AZ82" s="3">
        <f t="shared" si="33"/>
        <v>348006</v>
      </c>
      <c r="BA82" t="e">
        <f>AZ82/(#REF!*60/5)/60</f>
        <v>#REF!</v>
      </c>
      <c r="BB82">
        <v>50</v>
      </c>
      <c r="BC82">
        <f t="shared" si="34"/>
        <v>3.0528846153846154</v>
      </c>
      <c r="BD82" s="2">
        <f t="shared" si="42"/>
        <v>16.3</v>
      </c>
      <c r="BE82">
        <f t="shared" si="43"/>
        <v>5.2</v>
      </c>
      <c r="BF82">
        <f t="shared" si="44"/>
        <v>29952</v>
      </c>
    </row>
    <row r="83" spans="1:58" ht="14.25" x14ac:dyDescent="0.2">
      <c r="A83" s="11">
        <v>525</v>
      </c>
      <c r="B83" s="13">
        <v>3</v>
      </c>
      <c r="C83" s="15">
        <v>3</v>
      </c>
      <c r="D83" s="14">
        <v>3</v>
      </c>
      <c r="E83" s="1" t="s">
        <v>2726</v>
      </c>
      <c r="F83" s="1" t="s">
        <v>118</v>
      </c>
      <c r="G83" s="1" t="s">
        <v>2727</v>
      </c>
      <c r="H83" s="1" t="s">
        <v>2728</v>
      </c>
      <c r="I83" s="1" t="s">
        <v>117</v>
      </c>
      <c r="J83" s="16" t="s">
        <v>2698</v>
      </c>
      <c r="K83" s="5" t="s">
        <v>2695</v>
      </c>
      <c r="L83" t="s">
        <v>121</v>
      </c>
      <c r="M83" t="s">
        <v>121</v>
      </c>
      <c r="N83" t="s">
        <v>121</v>
      </c>
      <c r="O83" s="17" t="s">
        <v>300</v>
      </c>
      <c r="P83">
        <v>0</v>
      </c>
      <c r="Q83" s="24">
        <v>9</v>
      </c>
      <c r="R83" s="25">
        <v>7.8</v>
      </c>
      <c r="S83" s="26">
        <v>11.3</v>
      </c>
      <c r="U83" s="3">
        <v>80</v>
      </c>
      <c r="V83" s="1">
        <v>361130</v>
      </c>
      <c r="W83" s="1">
        <v>34995</v>
      </c>
      <c r="Y83">
        <v>6</v>
      </c>
      <c r="Z83">
        <v>10</v>
      </c>
      <c r="AA83" s="3">
        <v>15</v>
      </c>
      <c r="AB83" s="3">
        <v>6</v>
      </c>
      <c r="AC83">
        <v>64</v>
      </c>
      <c r="AD83" s="9">
        <f t="shared" si="35"/>
        <v>3005.5</v>
      </c>
      <c r="AE83">
        <f t="shared" si="30"/>
        <v>187546</v>
      </c>
      <c r="AF83" s="2">
        <f t="shared" si="36"/>
        <v>5.2</v>
      </c>
      <c r="AG83" t="str">
        <f t="shared" si="37"/>
        <v>50小时</v>
      </c>
      <c r="AH83">
        <f t="shared" si="38"/>
        <v>16</v>
      </c>
      <c r="AI83">
        <f t="shared" si="39"/>
        <v>3</v>
      </c>
      <c r="AJ83">
        <f t="shared" si="31"/>
        <v>16.3</v>
      </c>
      <c r="AK83">
        <f t="shared" si="40"/>
        <v>9</v>
      </c>
      <c r="AL83">
        <f t="shared" si="32"/>
        <v>5.2</v>
      </c>
      <c r="AM83" s="2">
        <f t="shared" si="41"/>
        <v>3</v>
      </c>
      <c r="AP83">
        <v>35</v>
      </c>
      <c r="AQ83">
        <v>35</v>
      </c>
      <c r="AR83">
        <v>36</v>
      </c>
      <c r="AX83">
        <v>80</v>
      </c>
      <c r="AY83">
        <v>80</v>
      </c>
      <c r="AZ83" s="3">
        <f t="shared" si="33"/>
        <v>361130</v>
      </c>
      <c r="BA83" t="e">
        <f>AZ83/(#REF!*60/5)/60</f>
        <v>#REF!</v>
      </c>
      <c r="BB83">
        <v>50</v>
      </c>
      <c r="BC83">
        <f t="shared" si="34"/>
        <v>3.0528846153846154</v>
      </c>
      <c r="BD83" s="2">
        <f t="shared" si="42"/>
        <v>16.3</v>
      </c>
      <c r="BE83">
        <f t="shared" si="43"/>
        <v>5.2</v>
      </c>
      <c r="BF83">
        <f t="shared" si="44"/>
        <v>29952</v>
      </c>
    </row>
    <row r="84" spans="1:58" ht="14.25" x14ac:dyDescent="0.2">
      <c r="A84" s="11">
        <v>601</v>
      </c>
      <c r="B84" s="13">
        <v>3</v>
      </c>
      <c r="C84" s="15">
        <v>3</v>
      </c>
      <c r="D84" s="14">
        <v>3</v>
      </c>
      <c r="E84" s="1" t="s">
        <v>2720</v>
      </c>
      <c r="F84" s="1" t="s">
        <v>2721</v>
      </c>
      <c r="G84" s="1" t="s">
        <v>147</v>
      </c>
      <c r="H84" s="1" t="s">
        <v>147</v>
      </c>
      <c r="I84" s="1" t="s">
        <v>146</v>
      </c>
      <c r="J84" s="16" t="s">
        <v>2722</v>
      </c>
      <c r="K84" t="s">
        <v>162</v>
      </c>
      <c r="L84" t="s">
        <v>163</v>
      </c>
      <c r="M84" t="s">
        <v>163</v>
      </c>
      <c r="N84" t="s">
        <v>163</v>
      </c>
      <c r="O84" s="4" t="s">
        <v>301</v>
      </c>
      <c r="P84">
        <v>0</v>
      </c>
      <c r="Q84" s="24">
        <v>9.5</v>
      </c>
      <c r="R84" s="25">
        <v>8.3000000000000007</v>
      </c>
      <c r="S84" s="26">
        <v>12</v>
      </c>
      <c r="U84" s="3">
        <v>81</v>
      </c>
      <c r="V84" s="1">
        <v>374580</v>
      </c>
      <c r="W84" s="1">
        <v>35316</v>
      </c>
      <c r="Y84">
        <v>6</v>
      </c>
      <c r="Z84">
        <v>11</v>
      </c>
      <c r="AA84" s="3">
        <v>10</v>
      </c>
      <c r="AB84" s="3">
        <v>6</v>
      </c>
      <c r="AC84">
        <v>64</v>
      </c>
      <c r="AD84" s="9">
        <f t="shared" si="35"/>
        <v>2841.5833333333335</v>
      </c>
      <c r="AE84">
        <f t="shared" si="30"/>
        <v>187546</v>
      </c>
      <c r="AF84" s="2">
        <f t="shared" si="36"/>
        <v>5.5</v>
      </c>
      <c r="AG84" t="str">
        <f t="shared" si="37"/>
        <v>47小时</v>
      </c>
      <c r="AH84">
        <f t="shared" si="38"/>
        <v>17</v>
      </c>
      <c r="AI84">
        <f t="shared" si="39"/>
        <v>3</v>
      </c>
      <c r="AJ84">
        <f t="shared" si="31"/>
        <v>16.799999999999997</v>
      </c>
      <c r="AK84">
        <f t="shared" si="40"/>
        <v>9</v>
      </c>
      <c r="AL84">
        <f t="shared" si="32"/>
        <v>5.5</v>
      </c>
      <c r="AM84" s="2">
        <f t="shared" si="41"/>
        <v>3</v>
      </c>
      <c r="AP84">
        <v>36</v>
      </c>
      <c r="AQ84">
        <v>38</v>
      </c>
      <c r="AR84">
        <v>39</v>
      </c>
      <c r="AX84">
        <v>81</v>
      </c>
      <c r="AY84">
        <v>81</v>
      </c>
      <c r="AZ84" s="3">
        <f t="shared" si="33"/>
        <v>374580</v>
      </c>
      <c r="BA84" t="e">
        <f>AZ84/(#REF!*60/5)/60</f>
        <v>#REF!</v>
      </c>
      <c r="BB84">
        <v>50</v>
      </c>
      <c r="BC84">
        <f t="shared" si="34"/>
        <v>2.8863636363636362</v>
      </c>
      <c r="BD84" s="2">
        <f t="shared" si="42"/>
        <v>16.799999999999997</v>
      </c>
      <c r="BE84">
        <f t="shared" si="43"/>
        <v>5.5</v>
      </c>
      <c r="BF84">
        <f t="shared" si="44"/>
        <v>31680</v>
      </c>
    </row>
    <row r="85" spans="1:58" ht="14.25" x14ac:dyDescent="0.2">
      <c r="A85" s="11">
        <v>602</v>
      </c>
      <c r="B85" s="13">
        <v>3</v>
      </c>
      <c r="C85" s="15">
        <v>3</v>
      </c>
      <c r="D85" s="14">
        <v>3</v>
      </c>
      <c r="E85" s="1" t="s">
        <v>2720</v>
      </c>
      <c r="F85" s="1" t="s">
        <v>2723</v>
      </c>
      <c r="G85" s="1" t="s">
        <v>147</v>
      </c>
      <c r="H85" s="1" t="s">
        <v>147</v>
      </c>
      <c r="I85" s="1" t="s">
        <v>146</v>
      </c>
      <c r="J85" s="16" t="s">
        <v>2722</v>
      </c>
      <c r="K85" t="s">
        <v>177</v>
      </c>
      <c r="L85" t="s">
        <v>163</v>
      </c>
      <c r="M85" t="s">
        <v>163</v>
      </c>
      <c r="N85" t="s">
        <v>163</v>
      </c>
      <c r="O85" s="4" t="s">
        <v>303</v>
      </c>
      <c r="P85">
        <v>0</v>
      </c>
      <c r="Q85" s="24">
        <v>9.5</v>
      </c>
      <c r="R85" s="25">
        <v>8.3000000000000007</v>
      </c>
      <c r="S85" s="26">
        <v>12</v>
      </c>
      <c r="U85" s="3">
        <v>82</v>
      </c>
      <c r="V85" s="1">
        <v>388360</v>
      </c>
      <c r="W85" s="1">
        <v>35641</v>
      </c>
      <c r="Y85">
        <v>6</v>
      </c>
      <c r="Z85">
        <v>12</v>
      </c>
      <c r="AA85" s="3">
        <v>10</v>
      </c>
      <c r="AB85" s="3">
        <v>6</v>
      </c>
      <c r="AC85">
        <v>66</v>
      </c>
      <c r="AD85" s="9">
        <f t="shared" si="35"/>
        <v>3109.6666666666665</v>
      </c>
      <c r="AE85">
        <f t="shared" si="30"/>
        <v>205240</v>
      </c>
      <c r="AF85" s="2">
        <f t="shared" si="36"/>
        <v>5.5</v>
      </c>
      <c r="AG85" t="str">
        <f t="shared" si="37"/>
        <v>51小时</v>
      </c>
      <c r="AH85">
        <f t="shared" si="38"/>
        <v>17</v>
      </c>
      <c r="AI85">
        <f t="shared" si="39"/>
        <v>3</v>
      </c>
      <c r="AJ85">
        <f t="shared" si="31"/>
        <v>16.799999999999997</v>
      </c>
      <c r="AK85">
        <f t="shared" si="40"/>
        <v>9</v>
      </c>
      <c r="AL85">
        <f t="shared" si="32"/>
        <v>5.5</v>
      </c>
      <c r="AM85" s="2">
        <f t="shared" si="41"/>
        <v>3</v>
      </c>
      <c r="AP85">
        <v>36</v>
      </c>
      <c r="AQ85">
        <v>38</v>
      </c>
      <c r="AR85">
        <v>39</v>
      </c>
      <c r="AX85">
        <v>82</v>
      </c>
      <c r="AY85">
        <v>82</v>
      </c>
      <c r="AZ85" s="3">
        <f t="shared" si="33"/>
        <v>388360</v>
      </c>
      <c r="BA85" t="e">
        <f>AZ85/(#REF!*60/5)/60</f>
        <v>#REF!</v>
      </c>
      <c r="BB85">
        <v>50</v>
      </c>
      <c r="BC85">
        <f t="shared" si="34"/>
        <v>2.8863636363636362</v>
      </c>
      <c r="BD85" s="2">
        <f t="shared" si="42"/>
        <v>16.799999999999997</v>
      </c>
      <c r="BE85">
        <f t="shared" si="43"/>
        <v>5.5</v>
      </c>
      <c r="BF85">
        <f t="shared" si="44"/>
        <v>31680</v>
      </c>
    </row>
    <row r="86" spans="1:58" ht="14.25" x14ac:dyDescent="0.2">
      <c r="A86" s="11">
        <v>603</v>
      </c>
      <c r="B86" s="13">
        <v>3</v>
      </c>
      <c r="C86" s="15">
        <v>3</v>
      </c>
      <c r="D86" s="14">
        <v>3</v>
      </c>
      <c r="E86" s="1" t="s">
        <v>2720</v>
      </c>
      <c r="F86" s="1" t="s">
        <v>2724</v>
      </c>
      <c r="G86" s="1" t="s">
        <v>147</v>
      </c>
      <c r="H86" s="1" t="s">
        <v>147</v>
      </c>
      <c r="I86" s="1" t="s">
        <v>146</v>
      </c>
      <c r="J86" s="16" t="s">
        <v>2722</v>
      </c>
      <c r="K86" t="s">
        <v>174</v>
      </c>
      <c r="L86" t="s">
        <v>163</v>
      </c>
      <c r="M86" t="s">
        <v>163</v>
      </c>
      <c r="N86" t="s">
        <v>163</v>
      </c>
      <c r="O86" s="4" t="s">
        <v>305</v>
      </c>
      <c r="P86">
        <v>0</v>
      </c>
      <c r="Q86" s="24">
        <v>9.5</v>
      </c>
      <c r="R86" s="25">
        <v>8.3000000000000007</v>
      </c>
      <c r="S86" s="26">
        <v>12</v>
      </c>
      <c r="U86" s="3">
        <v>83</v>
      </c>
      <c r="V86" s="1">
        <v>402474</v>
      </c>
      <c r="W86" s="1">
        <v>35970</v>
      </c>
      <c r="Y86">
        <v>6</v>
      </c>
      <c r="Z86">
        <v>13</v>
      </c>
      <c r="AA86" s="3">
        <v>10</v>
      </c>
      <c r="AB86" s="3">
        <v>6</v>
      </c>
      <c r="AC86">
        <v>66</v>
      </c>
      <c r="AD86" s="9">
        <f t="shared" si="35"/>
        <v>3109.6666666666665</v>
      </c>
      <c r="AE86">
        <f t="shared" si="30"/>
        <v>205240</v>
      </c>
      <c r="AF86" s="2">
        <f t="shared" si="36"/>
        <v>5.5</v>
      </c>
      <c r="AG86" t="str">
        <f t="shared" si="37"/>
        <v>51小时</v>
      </c>
      <c r="AH86">
        <f t="shared" si="38"/>
        <v>17</v>
      </c>
      <c r="AI86">
        <f t="shared" si="39"/>
        <v>3</v>
      </c>
      <c r="AJ86">
        <f t="shared" si="31"/>
        <v>16.799999999999997</v>
      </c>
      <c r="AK86">
        <f t="shared" si="40"/>
        <v>9</v>
      </c>
      <c r="AL86">
        <f t="shared" si="32"/>
        <v>5.5</v>
      </c>
      <c r="AM86" s="2">
        <f t="shared" si="41"/>
        <v>3</v>
      </c>
      <c r="AP86">
        <v>36</v>
      </c>
      <c r="AQ86">
        <v>38</v>
      </c>
      <c r="AR86">
        <v>39</v>
      </c>
      <c r="AX86">
        <v>83</v>
      </c>
      <c r="AY86">
        <v>83</v>
      </c>
      <c r="AZ86" s="3">
        <f t="shared" si="33"/>
        <v>402474</v>
      </c>
      <c r="BA86" t="e">
        <f>AZ86/(#REF!*60/5)/60</f>
        <v>#REF!</v>
      </c>
      <c r="BB86">
        <v>50</v>
      </c>
      <c r="BC86">
        <f t="shared" si="34"/>
        <v>2.8863636363636362</v>
      </c>
      <c r="BD86" s="2">
        <f t="shared" si="42"/>
        <v>16.799999999999997</v>
      </c>
      <c r="BE86">
        <f t="shared" si="43"/>
        <v>5.5</v>
      </c>
      <c r="BF86">
        <f t="shared" si="44"/>
        <v>31680</v>
      </c>
    </row>
    <row r="87" spans="1:58" ht="14.25" x14ac:dyDescent="0.2">
      <c r="A87" s="11">
        <v>604</v>
      </c>
      <c r="B87" s="13">
        <v>3</v>
      </c>
      <c r="C87" s="15">
        <v>3</v>
      </c>
      <c r="D87" s="14">
        <v>3</v>
      </c>
      <c r="E87" s="1" t="s">
        <v>2720</v>
      </c>
      <c r="F87" s="1" t="s">
        <v>2725</v>
      </c>
      <c r="G87" s="1" t="s">
        <v>147</v>
      </c>
      <c r="H87" s="1" t="s">
        <v>147</v>
      </c>
      <c r="I87" s="1" t="s">
        <v>146</v>
      </c>
      <c r="J87" s="16" t="s">
        <v>2722</v>
      </c>
      <c r="K87" t="s">
        <v>166</v>
      </c>
      <c r="L87" t="s">
        <v>163</v>
      </c>
      <c r="M87" t="s">
        <v>163</v>
      </c>
      <c r="N87" t="s">
        <v>163</v>
      </c>
      <c r="O87" s="4" t="s">
        <v>305</v>
      </c>
      <c r="P87">
        <v>0</v>
      </c>
      <c r="Q87" s="24">
        <v>9.5</v>
      </c>
      <c r="R87" s="25">
        <v>8.3000000000000007</v>
      </c>
      <c r="S87" s="26">
        <v>12</v>
      </c>
      <c r="U87" s="3">
        <v>84</v>
      </c>
      <c r="V87" s="1">
        <v>416926</v>
      </c>
      <c r="W87" s="1">
        <v>36303</v>
      </c>
      <c r="Y87">
        <v>6</v>
      </c>
      <c r="Z87">
        <v>14</v>
      </c>
      <c r="AA87" s="3">
        <v>10</v>
      </c>
      <c r="AB87" s="3">
        <v>6</v>
      </c>
      <c r="AC87">
        <v>66</v>
      </c>
      <c r="AD87" s="9">
        <f t="shared" si="35"/>
        <v>3109.6666666666665</v>
      </c>
      <c r="AE87">
        <f t="shared" si="30"/>
        <v>205240</v>
      </c>
      <c r="AF87" s="2">
        <f t="shared" si="36"/>
        <v>5.5</v>
      </c>
      <c r="AG87" t="str">
        <f t="shared" si="37"/>
        <v>51小时</v>
      </c>
      <c r="AH87">
        <f t="shared" si="38"/>
        <v>17</v>
      </c>
      <c r="AI87">
        <f t="shared" si="39"/>
        <v>3</v>
      </c>
      <c r="AJ87">
        <f t="shared" si="31"/>
        <v>16.799999999999997</v>
      </c>
      <c r="AK87">
        <f t="shared" si="40"/>
        <v>9</v>
      </c>
      <c r="AL87">
        <f t="shared" si="32"/>
        <v>5.5</v>
      </c>
      <c r="AM87" s="2">
        <f t="shared" si="41"/>
        <v>3</v>
      </c>
      <c r="AP87">
        <v>36</v>
      </c>
      <c r="AQ87">
        <v>38</v>
      </c>
      <c r="AR87">
        <v>39</v>
      </c>
      <c r="AX87">
        <v>84</v>
      </c>
      <c r="AY87">
        <v>84</v>
      </c>
      <c r="AZ87" s="3">
        <f t="shared" si="33"/>
        <v>416926</v>
      </c>
      <c r="BA87" t="e">
        <f>AZ87/(#REF!*60/5)/60</f>
        <v>#REF!</v>
      </c>
      <c r="BB87">
        <v>50</v>
      </c>
      <c r="BC87">
        <f t="shared" si="34"/>
        <v>2.8863636363636362</v>
      </c>
      <c r="BD87" s="2">
        <f t="shared" si="42"/>
        <v>16.799999999999997</v>
      </c>
      <c r="BE87">
        <f t="shared" si="43"/>
        <v>5.5</v>
      </c>
      <c r="BF87">
        <f t="shared" si="44"/>
        <v>31680</v>
      </c>
    </row>
    <row r="88" spans="1:58" ht="14.25" x14ac:dyDescent="0.2">
      <c r="A88" s="11">
        <v>605</v>
      </c>
      <c r="B88" s="13">
        <v>3</v>
      </c>
      <c r="C88" s="15">
        <v>3</v>
      </c>
      <c r="D88" s="14">
        <v>3</v>
      </c>
      <c r="E88" s="1" t="s">
        <v>2726</v>
      </c>
      <c r="F88" s="1" t="s">
        <v>118</v>
      </c>
      <c r="G88" s="1" t="s">
        <v>2727</v>
      </c>
      <c r="H88" s="1" t="s">
        <v>2728</v>
      </c>
      <c r="I88" s="1" t="s">
        <v>117</v>
      </c>
      <c r="J88" s="16" t="s">
        <v>2698</v>
      </c>
      <c r="K88" t="s">
        <v>168</v>
      </c>
      <c r="L88" t="s">
        <v>163</v>
      </c>
      <c r="M88" t="s">
        <v>163</v>
      </c>
      <c r="N88" t="s">
        <v>163</v>
      </c>
      <c r="O88" s="4" t="s">
        <v>307</v>
      </c>
      <c r="P88">
        <v>0</v>
      </c>
      <c r="Q88" s="24">
        <v>9.5</v>
      </c>
      <c r="R88" s="25">
        <v>8.3000000000000007</v>
      </c>
      <c r="S88" s="26">
        <v>12</v>
      </c>
      <c r="U88" s="3">
        <v>85</v>
      </c>
      <c r="V88" s="1">
        <v>431720</v>
      </c>
      <c r="W88" s="1">
        <v>36640</v>
      </c>
      <c r="Y88">
        <v>6</v>
      </c>
      <c r="Z88">
        <v>15</v>
      </c>
      <c r="AA88" s="3">
        <v>15</v>
      </c>
      <c r="AB88" s="3">
        <v>6</v>
      </c>
      <c r="AC88">
        <v>68</v>
      </c>
      <c r="AD88" s="9">
        <f t="shared" si="35"/>
        <v>3394.0833333333335</v>
      </c>
      <c r="AE88">
        <f t="shared" si="30"/>
        <v>224014</v>
      </c>
      <c r="AF88" s="2">
        <f t="shared" si="36"/>
        <v>5.5</v>
      </c>
      <c r="AG88" t="str">
        <f t="shared" si="37"/>
        <v>56小时</v>
      </c>
      <c r="AH88">
        <f t="shared" si="38"/>
        <v>17</v>
      </c>
      <c r="AI88">
        <f t="shared" si="39"/>
        <v>3</v>
      </c>
      <c r="AJ88">
        <f t="shared" si="31"/>
        <v>16.799999999999997</v>
      </c>
      <c r="AK88">
        <f t="shared" si="40"/>
        <v>9</v>
      </c>
      <c r="AL88">
        <f t="shared" si="32"/>
        <v>5.5</v>
      </c>
      <c r="AM88" s="2">
        <f t="shared" si="41"/>
        <v>3</v>
      </c>
      <c r="AP88">
        <v>36</v>
      </c>
      <c r="AQ88">
        <v>38</v>
      </c>
      <c r="AR88">
        <v>39</v>
      </c>
      <c r="AX88">
        <v>85</v>
      </c>
      <c r="AY88">
        <v>85</v>
      </c>
      <c r="AZ88" s="3">
        <f t="shared" si="33"/>
        <v>431720</v>
      </c>
      <c r="BA88" t="e">
        <f>AZ88/(#REF!*60/5)/60</f>
        <v>#REF!</v>
      </c>
      <c r="BB88">
        <v>50</v>
      </c>
      <c r="BC88">
        <f t="shared" si="34"/>
        <v>2.8863636363636362</v>
      </c>
      <c r="BD88" s="2">
        <f t="shared" si="42"/>
        <v>16.799999999999997</v>
      </c>
      <c r="BE88">
        <f t="shared" si="43"/>
        <v>5.5</v>
      </c>
      <c r="BF88">
        <f t="shared" si="44"/>
        <v>31680</v>
      </c>
    </row>
    <row r="89" spans="1:58" ht="14.25" x14ac:dyDescent="0.2">
      <c r="A89" s="11">
        <v>606</v>
      </c>
      <c r="B89" s="13">
        <v>3</v>
      </c>
      <c r="C89" s="15">
        <v>3</v>
      </c>
      <c r="D89" s="14">
        <v>3</v>
      </c>
      <c r="E89" s="1" t="s">
        <v>2720</v>
      </c>
      <c r="F89" s="1" t="s">
        <v>2721</v>
      </c>
      <c r="G89" s="1" t="s">
        <v>147</v>
      </c>
      <c r="H89" s="1" t="s">
        <v>147</v>
      </c>
      <c r="I89" s="1" t="s">
        <v>146</v>
      </c>
      <c r="J89" s="16" t="s">
        <v>2722</v>
      </c>
      <c r="K89" t="s">
        <v>175</v>
      </c>
      <c r="L89" t="s">
        <v>164</v>
      </c>
      <c r="M89" t="s">
        <v>163</v>
      </c>
      <c r="N89" t="s">
        <v>167</v>
      </c>
      <c r="O89" s="4" t="s">
        <v>309</v>
      </c>
      <c r="P89">
        <v>0</v>
      </c>
      <c r="Q89" s="24">
        <v>10</v>
      </c>
      <c r="R89" s="25">
        <v>8.6999999999999993</v>
      </c>
      <c r="S89" s="26">
        <v>12.7</v>
      </c>
      <c r="U89" s="3">
        <v>86</v>
      </c>
      <c r="V89" s="1">
        <v>446860</v>
      </c>
      <c r="W89" s="1">
        <v>36981</v>
      </c>
      <c r="Y89">
        <v>6</v>
      </c>
      <c r="Z89">
        <v>16</v>
      </c>
      <c r="AA89" s="3">
        <v>10</v>
      </c>
      <c r="AB89" s="3">
        <v>6</v>
      </c>
      <c r="AC89">
        <v>68</v>
      </c>
      <c r="AD89" s="9">
        <f t="shared" si="35"/>
        <v>3275</v>
      </c>
      <c r="AE89">
        <f t="shared" si="30"/>
        <v>224014</v>
      </c>
      <c r="AF89" s="2">
        <f t="shared" si="36"/>
        <v>5.7</v>
      </c>
      <c r="AG89" t="str">
        <f t="shared" si="37"/>
        <v>54小时</v>
      </c>
      <c r="AH89">
        <f t="shared" si="38"/>
        <v>18</v>
      </c>
      <c r="AI89">
        <f t="shared" si="39"/>
        <v>3</v>
      </c>
      <c r="AJ89">
        <f t="shared" si="31"/>
        <v>17.100000000000001</v>
      </c>
      <c r="AK89">
        <f t="shared" si="40"/>
        <v>9</v>
      </c>
      <c r="AL89">
        <f t="shared" si="32"/>
        <v>5.7</v>
      </c>
      <c r="AM89" s="2">
        <f t="shared" si="41"/>
        <v>3</v>
      </c>
      <c r="AP89">
        <v>36</v>
      </c>
      <c r="AQ89">
        <v>41</v>
      </c>
      <c r="AR89">
        <v>42</v>
      </c>
      <c r="AX89">
        <v>86</v>
      </c>
      <c r="AY89">
        <v>86</v>
      </c>
      <c r="AZ89" s="3">
        <f t="shared" si="33"/>
        <v>446860</v>
      </c>
      <c r="BA89" t="e">
        <f>AZ89/(#REF!*60/5)/60</f>
        <v>#REF!</v>
      </c>
      <c r="BB89">
        <v>50</v>
      </c>
      <c r="BC89">
        <f t="shared" si="34"/>
        <v>2.7850877192982457</v>
      </c>
      <c r="BD89" s="2">
        <f t="shared" si="42"/>
        <v>17.100000000000001</v>
      </c>
      <c r="BE89">
        <f t="shared" si="43"/>
        <v>5.7</v>
      </c>
      <c r="BF89">
        <f t="shared" si="44"/>
        <v>32832</v>
      </c>
    </row>
    <row r="90" spans="1:58" ht="14.25" x14ac:dyDescent="0.2">
      <c r="A90" s="11">
        <v>607</v>
      </c>
      <c r="B90" s="13">
        <v>3</v>
      </c>
      <c r="C90" s="15">
        <v>3</v>
      </c>
      <c r="D90" s="14">
        <v>3</v>
      </c>
      <c r="E90" s="1" t="s">
        <v>2720</v>
      </c>
      <c r="F90" s="1" t="s">
        <v>2723</v>
      </c>
      <c r="G90" s="1" t="s">
        <v>147</v>
      </c>
      <c r="H90" s="1" t="s">
        <v>147</v>
      </c>
      <c r="I90" s="1" t="s">
        <v>146</v>
      </c>
      <c r="J90" s="16" t="s">
        <v>2722</v>
      </c>
      <c r="K90" t="s">
        <v>179</v>
      </c>
      <c r="L90" t="s">
        <v>163</v>
      </c>
      <c r="M90" t="s">
        <v>163</v>
      </c>
      <c r="N90" t="s">
        <v>163</v>
      </c>
      <c r="O90" s="4" t="s">
        <v>311</v>
      </c>
      <c r="P90">
        <v>0</v>
      </c>
      <c r="Q90" s="24">
        <v>10</v>
      </c>
      <c r="R90" s="25">
        <v>8.6999999999999993</v>
      </c>
      <c r="S90" s="26">
        <v>12.7</v>
      </c>
      <c r="U90" s="3">
        <v>87</v>
      </c>
      <c r="V90" s="1">
        <v>462350</v>
      </c>
      <c r="W90" s="1">
        <v>37326</v>
      </c>
      <c r="Y90">
        <v>6</v>
      </c>
      <c r="Z90">
        <v>17</v>
      </c>
      <c r="AA90" s="3">
        <v>10</v>
      </c>
      <c r="AB90" s="3">
        <v>6</v>
      </c>
      <c r="AC90">
        <v>68</v>
      </c>
      <c r="AD90" s="9">
        <f t="shared" si="35"/>
        <v>3275</v>
      </c>
      <c r="AE90">
        <f t="shared" si="30"/>
        <v>224014</v>
      </c>
      <c r="AF90" s="2">
        <f t="shared" si="36"/>
        <v>5.7</v>
      </c>
      <c r="AG90" t="str">
        <f t="shared" si="37"/>
        <v>54小时</v>
      </c>
      <c r="AH90">
        <f t="shared" si="38"/>
        <v>18</v>
      </c>
      <c r="AI90">
        <f t="shared" si="39"/>
        <v>3</v>
      </c>
      <c r="AJ90">
        <f t="shared" si="31"/>
        <v>17.100000000000001</v>
      </c>
      <c r="AK90">
        <f t="shared" si="40"/>
        <v>9</v>
      </c>
      <c r="AL90">
        <f t="shared" si="32"/>
        <v>5.7</v>
      </c>
      <c r="AM90" s="2">
        <f t="shared" si="41"/>
        <v>3</v>
      </c>
      <c r="AP90">
        <v>36</v>
      </c>
      <c r="AQ90">
        <v>41</v>
      </c>
      <c r="AR90">
        <v>42</v>
      </c>
      <c r="AX90">
        <v>87</v>
      </c>
      <c r="AY90">
        <v>87</v>
      </c>
      <c r="AZ90" s="3">
        <f t="shared" si="33"/>
        <v>462350</v>
      </c>
      <c r="BA90" t="e">
        <f>AZ90/(#REF!*60/5)/60</f>
        <v>#REF!</v>
      </c>
      <c r="BB90">
        <v>50</v>
      </c>
      <c r="BC90">
        <f t="shared" si="34"/>
        <v>2.7850877192982457</v>
      </c>
      <c r="BD90" s="2">
        <f t="shared" si="42"/>
        <v>17.100000000000001</v>
      </c>
      <c r="BE90">
        <f t="shared" si="43"/>
        <v>5.7</v>
      </c>
      <c r="BF90">
        <f t="shared" si="44"/>
        <v>32832</v>
      </c>
    </row>
    <row r="91" spans="1:58" ht="14.25" x14ac:dyDescent="0.2">
      <c r="A91" s="11">
        <v>608</v>
      </c>
      <c r="B91" s="13">
        <v>3</v>
      </c>
      <c r="C91" s="15">
        <v>3</v>
      </c>
      <c r="D91" s="14">
        <v>3</v>
      </c>
      <c r="E91" s="1" t="s">
        <v>2720</v>
      </c>
      <c r="F91" s="1" t="s">
        <v>2724</v>
      </c>
      <c r="G91" s="1" t="s">
        <v>147</v>
      </c>
      <c r="H91" s="1" t="s">
        <v>147</v>
      </c>
      <c r="I91" s="1" t="s">
        <v>146</v>
      </c>
      <c r="J91" s="16" t="s">
        <v>2722</v>
      </c>
      <c r="K91" t="s">
        <v>162</v>
      </c>
      <c r="L91" t="s">
        <v>163</v>
      </c>
      <c r="M91" t="s">
        <v>163</v>
      </c>
      <c r="N91" t="s">
        <v>163</v>
      </c>
      <c r="O91" s="4" t="s">
        <v>313</v>
      </c>
      <c r="P91">
        <v>0</v>
      </c>
      <c r="Q91" s="24">
        <v>10</v>
      </c>
      <c r="R91" s="25">
        <v>8.6999999999999993</v>
      </c>
      <c r="S91" s="26">
        <v>12.7</v>
      </c>
      <c r="U91" s="3">
        <v>88</v>
      </c>
      <c r="V91" s="1">
        <v>478194</v>
      </c>
      <c r="W91" s="1">
        <v>37675</v>
      </c>
      <c r="Y91">
        <v>6</v>
      </c>
      <c r="Z91">
        <v>18</v>
      </c>
      <c r="AA91" s="3">
        <v>10</v>
      </c>
      <c r="AB91" s="3">
        <v>6</v>
      </c>
      <c r="AC91">
        <v>70</v>
      </c>
      <c r="AD91" s="9">
        <f t="shared" si="35"/>
        <v>3565.75</v>
      </c>
      <c r="AE91">
        <f t="shared" si="30"/>
        <v>243900</v>
      </c>
      <c r="AF91" s="2">
        <f t="shared" si="36"/>
        <v>5.7</v>
      </c>
      <c r="AG91" t="str">
        <f t="shared" si="37"/>
        <v>59小时</v>
      </c>
      <c r="AH91">
        <f t="shared" si="38"/>
        <v>18</v>
      </c>
      <c r="AI91">
        <f t="shared" si="39"/>
        <v>3</v>
      </c>
      <c r="AJ91">
        <f t="shared" si="31"/>
        <v>17.100000000000001</v>
      </c>
      <c r="AK91">
        <f t="shared" si="40"/>
        <v>9</v>
      </c>
      <c r="AL91">
        <f t="shared" si="32"/>
        <v>5.7</v>
      </c>
      <c r="AM91" s="2">
        <f t="shared" si="41"/>
        <v>3</v>
      </c>
      <c r="AP91">
        <v>36</v>
      </c>
      <c r="AQ91">
        <v>41</v>
      </c>
      <c r="AR91">
        <v>42</v>
      </c>
      <c r="AX91">
        <v>88</v>
      </c>
      <c r="AY91">
        <v>88</v>
      </c>
      <c r="AZ91" s="3">
        <f t="shared" si="33"/>
        <v>478194</v>
      </c>
      <c r="BA91" t="e">
        <f>AZ91/(#REF!*60/5)/60</f>
        <v>#REF!</v>
      </c>
      <c r="BB91">
        <v>50</v>
      </c>
      <c r="BC91">
        <f t="shared" si="34"/>
        <v>2.7850877192982457</v>
      </c>
      <c r="BD91" s="2">
        <f t="shared" si="42"/>
        <v>17.100000000000001</v>
      </c>
      <c r="BE91">
        <f t="shared" si="43"/>
        <v>5.7</v>
      </c>
      <c r="BF91">
        <f t="shared" si="44"/>
        <v>32832</v>
      </c>
    </row>
    <row r="92" spans="1:58" ht="14.25" x14ac:dyDescent="0.2">
      <c r="A92" s="11">
        <v>609</v>
      </c>
      <c r="B92" s="13">
        <v>3</v>
      </c>
      <c r="C92" s="15">
        <v>3</v>
      </c>
      <c r="D92" s="14">
        <v>3</v>
      </c>
      <c r="E92" s="1" t="s">
        <v>2720</v>
      </c>
      <c r="F92" s="1" t="s">
        <v>2725</v>
      </c>
      <c r="G92" s="1" t="s">
        <v>147</v>
      </c>
      <c r="H92" s="1" t="s">
        <v>147</v>
      </c>
      <c r="I92" s="1" t="s">
        <v>146</v>
      </c>
      <c r="J92" s="16" t="s">
        <v>2722</v>
      </c>
      <c r="K92" t="s">
        <v>177</v>
      </c>
      <c r="L92" t="s">
        <v>163</v>
      </c>
      <c r="M92" t="s">
        <v>163</v>
      </c>
      <c r="N92" t="s">
        <v>163</v>
      </c>
      <c r="O92" s="4" t="s">
        <v>315</v>
      </c>
      <c r="P92">
        <v>0</v>
      </c>
      <c r="Q92" s="24">
        <v>10</v>
      </c>
      <c r="R92" s="25">
        <v>8.6999999999999993</v>
      </c>
      <c r="S92" s="26">
        <v>12.7</v>
      </c>
      <c r="U92" s="3">
        <v>89</v>
      </c>
      <c r="V92" s="1">
        <v>494396</v>
      </c>
      <c r="W92" s="1">
        <v>38028</v>
      </c>
      <c r="Y92">
        <v>6</v>
      </c>
      <c r="Z92">
        <v>19</v>
      </c>
      <c r="AA92" s="3">
        <v>10</v>
      </c>
      <c r="AB92" s="3">
        <v>6</v>
      </c>
      <c r="AC92">
        <v>70</v>
      </c>
      <c r="AD92" s="9">
        <f t="shared" si="35"/>
        <v>3565.75</v>
      </c>
      <c r="AE92">
        <f t="shared" si="30"/>
        <v>243900</v>
      </c>
      <c r="AF92" s="2">
        <f t="shared" si="36"/>
        <v>5.7</v>
      </c>
      <c r="AG92" t="str">
        <f t="shared" si="37"/>
        <v>59小时</v>
      </c>
      <c r="AH92">
        <f t="shared" si="38"/>
        <v>18</v>
      </c>
      <c r="AI92">
        <f t="shared" si="39"/>
        <v>3</v>
      </c>
      <c r="AJ92">
        <f t="shared" si="31"/>
        <v>17.100000000000001</v>
      </c>
      <c r="AK92">
        <f t="shared" si="40"/>
        <v>9</v>
      </c>
      <c r="AL92">
        <f t="shared" si="32"/>
        <v>5.7</v>
      </c>
      <c r="AM92" s="2">
        <f t="shared" si="41"/>
        <v>3</v>
      </c>
      <c r="AP92">
        <v>36</v>
      </c>
      <c r="AQ92">
        <v>41</v>
      </c>
      <c r="AR92">
        <v>42</v>
      </c>
      <c r="AX92">
        <v>89</v>
      </c>
      <c r="AY92">
        <v>89</v>
      </c>
      <c r="AZ92" s="3">
        <f t="shared" si="33"/>
        <v>494396</v>
      </c>
      <c r="BA92" t="e">
        <f>AZ92/(#REF!*60/5)/60</f>
        <v>#REF!</v>
      </c>
      <c r="BB92">
        <v>50</v>
      </c>
      <c r="BC92">
        <f t="shared" si="34"/>
        <v>2.7850877192982457</v>
      </c>
      <c r="BD92" s="2">
        <f t="shared" si="42"/>
        <v>17.100000000000001</v>
      </c>
      <c r="BE92">
        <f t="shared" si="43"/>
        <v>5.7</v>
      </c>
      <c r="BF92">
        <f t="shared" si="44"/>
        <v>32832</v>
      </c>
    </row>
    <row r="93" spans="1:58" ht="14.25" x14ac:dyDescent="0.2">
      <c r="A93" s="11">
        <v>610</v>
      </c>
      <c r="B93" s="13">
        <v>3</v>
      </c>
      <c r="C93" s="15">
        <v>3</v>
      </c>
      <c r="D93" s="14">
        <v>3</v>
      </c>
      <c r="E93" s="1" t="s">
        <v>2729</v>
      </c>
      <c r="F93" s="1" t="s">
        <v>120</v>
      </c>
      <c r="G93" s="1" t="s">
        <v>2730</v>
      </c>
      <c r="H93" s="1" t="s">
        <v>2731</v>
      </c>
      <c r="I93" s="1" t="s">
        <v>2696</v>
      </c>
      <c r="J93" s="16" t="s">
        <v>2732</v>
      </c>
      <c r="K93" t="s">
        <v>174</v>
      </c>
      <c r="L93" t="s">
        <v>163</v>
      </c>
      <c r="M93" t="s">
        <v>163</v>
      </c>
      <c r="N93" t="s">
        <v>163</v>
      </c>
      <c r="O93" s="4" t="s">
        <v>313</v>
      </c>
      <c r="P93">
        <v>0</v>
      </c>
      <c r="Q93" s="24">
        <v>10</v>
      </c>
      <c r="R93" s="25">
        <v>8.6999999999999993</v>
      </c>
      <c r="S93" s="26">
        <v>12.7</v>
      </c>
      <c r="U93" s="3">
        <v>90</v>
      </c>
      <c r="V93" s="1">
        <v>510960</v>
      </c>
      <c r="W93" s="1">
        <v>43610</v>
      </c>
      <c r="Y93">
        <v>6</v>
      </c>
      <c r="Z93">
        <v>20</v>
      </c>
      <c r="AA93" s="3">
        <v>15</v>
      </c>
      <c r="AB93" s="3">
        <v>6</v>
      </c>
      <c r="AC93">
        <v>70</v>
      </c>
      <c r="AD93" s="9">
        <f t="shared" si="35"/>
        <v>3565.75</v>
      </c>
      <c r="AE93">
        <f t="shared" si="30"/>
        <v>243900</v>
      </c>
      <c r="AF93" s="2">
        <f t="shared" si="36"/>
        <v>5.7</v>
      </c>
      <c r="AG93" t="str">
        <f t="shared" si="37"/>
        <v>59小时</v>
      </c>
      <c r="AH93">
        <f t="shared" si="38"/>
        <v>18</v>
      </c>
      <c r="AI93">
        <f t="shared" si="39"/>
        <v>3</v>
      </c>
      <c r="AJ93">
        <f t="shared" si="31"/>
        <v>17.100000000000001</v>
      </c>
      <c r="AK93">
        <f t="shared" si="40"/>
        <v>9</v>
      </c>
      <c r="AL93">
        <f t="shared" si="32"/>
        <v>5.7</v>
      </c>
      <c r="AM93" s="2">
        <f t="shared" si="41"/>
        <v>3</v>
      </c>
      <c r="AP93">
        <v>36</v>
      </c>
      <c r="AQ93">
        <v>41</v>
      </c>
      <c r="AR93">
        <v>42</v>
      </c>
      <c r="AX93">
        <v>90</v>
      </c>
      <c r="AY93">
        <v>90</v>
      </c>
      <c r="AZ93" s="3">
        <f t="shared" si="33"/>
        <v>510960</v>
      </c>
      <c r="BA93" t="e">
        <f>AZ93/(#REF!*60/5)/60</f>
        <v>#REF!</v>
      </c>
      <c r="BB93">
        <v>50</v>
      </c>
      <c r="BC93">
        <f t="shared" si="34"/>
        <v>2.7850877192982457</v>
      </c>
      <c r="BD93" s="2">
        <f t="shared" si="42"/>
        <v>17.100000000000001</v>
      </c>
      <c r="BE93">
        <f t="shared" si="43"/>
        <v>5.7</v>
      </c>
      <c r="BF93">
        <f t="shared" si="44"/>
        <v>32832</v>
      </c>
    </row>
    <row r="94" spans="1:58" ht="14.25" x14ac:dyDescent="0.2">
      <c r="A94" s="11">
        <v>611</v>
      </c>
      <c r="B94" s="13">
        <v>3</v>
      </c>
      <c r="C94" s="15">
        <v>3</v>
      </c>
      <c r="D94" s="14">
        <v>3</v>
      </c>
      <c r="E94" s="1" t="s">
        <v>2733</v>
      </c>
      <c r="F94" s="1" t="s">
        <v>2734</v>
      </c>
      <c r="G94" s="1" t="s">
        <v>119</v>
      </c>
      <c r="H94" s="1" t="s">
        <v>119</v>
      </c>
      <c r="I94" s="1" t="s">
        <v>2735</v>
      </c>
      <c r="J94" s="16" t="s">
        <v>2736</v>
      </c>
      <c r="K94" t="s">
        <v>166</v>
      </c>
      <c r="L94" t="s">
        <v>163</v>
      </c>
      <c r="M94" t="s">
        <v>163</v>
      </c>
      <c r="N94" t="s">
        <v>163</v>
      </c>
      <c r="O94" s="4" t="s">
        <v>317</v>
      </c>
      <c r="P94">
        <v>0</v>
      </c>
      <c r="Q94" s="24">
        <v>10.5</v>
      </c>
      <c r="R94" s="25">
        <v>9.1999999999999993</v>
      </c>
      <c r="S94" s="26">
        <v>13.3</v>
      </c>
      <c r="U94" s="3">
        <v>91</v>
      </c>
      <c r="V94" s="1">
        <v>527890</v>
      </c>
      <c r="W94" s="1">
        <v>43971</v>
      </c>
      <c r="Y94">
        <v>7</v>
      </c>
      <c r="Z94">
        <v>1</v>
      </c>
      <c r="AA94" s="3">
        <v>20</v>
      </c>
      <c r="AB94" s="3">
        <v>6</v>
      </c>
      <c r="AC94">
        <v>72</v>
      </c>
      <c r="AD94" s="9">
        <f t="shared" si="35"/>
        <v>3679.583333333333</v>
      </c>
      <c r="AE94">
        <f t="shared" si="30"/>
        <v>264930</v>
      </c>
      <c r="AF94" s="2">
        <f t="shared" si="36"/>
        <v>6</v>
      </c>
      <c r="AG94" t="str">
        <f t="shared" si="37"/>
        <v>61小时</v>
      </c>
      <c r="AH94">
        <f t="shared" si="38"/>
        <v>18</v>
      </c>
      <c r="AI94">
        <f t="shared" si="39"/>
        <v>3</v>
      </c>
      <c r="AJ94">
        <f t="shared" si="31"/>
        <v>17.5</v>
      </c>
      <c r="AK94">
        <f t="shared" si="40"/>
        <v>9</v>
      </c>
      <c r="AL94">
        <f t="shared" si="32"/>
        <v>6</v>
      </c>
      <c r="AM94" s="2">
        <f t="shared" si="41"/>
        <v>3</v>
      </c>
      <c r="AP94">
        <v>38</v>
      </c>
      <c r="AQ94">
        <v>43</v>
      </c>
      <c r="AR94">
        <v>44</v>
      </c>
      <c r="AX94">
        <v>91</v>
      </c>
      <c r="AY94">
        <v>91</v>
      </c>
      <c r="AZ94" s="3">
        <f t="shared" si="33"/>
        <v>527890</v>
      </c>
      <c r="BA94" t="e">
        <f>AZ94/(#REF!*60/5)/60</f>
        <v>#REF!</v>
      </c>
      <c r="BB94">
        <v>60</v>
      </c>
      <c r="BC94">
        <f t="shared" si="34"/>
        <v>3.9212962962962963</v>
      </c>
      <c r="BD94" s="2">
        <f t="shared" si="42"/>
        <v>17.5</v>
      </c>
      <c r="BE94">
        <f t="shared" si="43"/>
        <v>6</v>
      </c>
      <c r="BF94">
        <f t="shared" si="44"/>
        <v>34560</v>
      </c>
    </row>
    <row r="95" spans="1:58" ht="14.25" x14ac:dyDescent="0.2">
      <c r="A95" s="11">
        <v>612</v>
      </c>
      <c r="B95" s="13">
        <v>3</v>
      </c>
      <c r="C95" s="15">
        <v>3</v>
      </c>
      <c r="D95" s="14">
        <v>3</v>
      </c>
      <c r="E95" s="1" t="s">
        <v>2733</v>
      </c>
      <c r="F95" s="1" t="s">
        <v>2737</v>
      </c>
      <c r="G95" s="1" t="s">
        <v>119</v>
      </c>
      <c r="H95" s="1" t="s">
        <v>119</v>
      </c>
      <c r="I95" s="1" t="s">
        <v>2735</v>
      </c>
      <c r="J95" s="16" t="s">
        <v>2736</v>
      </c>
      <c r="K95" t="s">
        <v>168</v>
      </c>
      <c r="L95" t="s">
        <v>163</v>
      </c>
      <c r="M95" t="s">
        <v>163</v>
      </c>
      <c r="N95" t="s">
        <v>163</v>
      </c>
      <c r="O95" s="4" t="s">
        <v>319</v>
      </c>
      <c r="P95">
        <v>0</v>
      </c>
      <c r="Q95" s="24">
        <v>10.5</v>
      </c>
      <c r="R95" s="25">
        <v>9.1999999999999993</v>
      </c>
      <c r="S95" s="26">
        <v>13.3</v>
      </c>
      <c r="U95" s="3">
        <v>92</v>
      </c>
      <c r="V95" s="1">
        <v>545190</v>
      </c>
      <c r="W95" s="1">
        <v>44336</v>
      </c>
      <c r="Y95">
        <v>7</v>
      </c>
      <c r="Z95">
        <v>2</v>
      </c>
      <c r="AA95" s="3">
        <v>20</v>
      </c>
      <c r="AB95" s="3">
        <v>6</v>
      </c>
      <c r="AC95">
        <v>72</v>
      </c>
      <c r="AD95" s="9">
        <f t="shared" si="35"/>
        <v>3679.583333333333</v>
      </c>
      <c r="AE95">
        <f t="shared" si="30"/>
        <v>264930</v>
      </c>
      <c r="AF95" s="2">
        <f t="shared" si="36"/>
        <v>6</v>
      </c>
      <c r="AG95" t="str">
        <f t="shared" si="37"/>
        <v>61小时</v>
      </c>
      <c r="AH95">
        <f t="shared" si="38"/>
        <v>18</v>
      </c>
      <c r="AI95">
        <f t="shared" si="39"/>
        <v>3</v>
      </c>
      <c r="AJ95">
        <f t="shared" si="31"/>
        <v>17.5</v>
      </c>
      <c r="AK95">
        <f t="shared" si="40"/>
        <v>9</v>
      </c>
      <c r="AL95">
        <f t="shared" si="32"/>
        <v>6</v>
      </c>
      <c r="AM95" s="2">
        <f t="shared" si="41"/>
        <v>3</v>
      </c>
      <c r="AP95">
        <v>38</v>
      </c>
      <c r="AQ95">
        <v>43</v>
      </c>
      <c r="AR95">
        <v>44</v>
      </c>
      <c r="AX95">
        <v>92</v>
      </c>
      <c r="AY95">
        <v>92</v>
      </c>
      <c r="AZ95" s="3">
        <f t="shared" si="33"/>
        <v>545190</v>
      </c>
      <c r="BA95" t="e">
        <f>AZ95/(#REF!*60/5)/60</f>
        <v>#REF!</v>
      </c>
      <c r="BB95">
        <v>60</v>
      </c>
      <c r="BC95">
        <f t="shared" si="34"/>
        <v>3.9212962962962963</v>
      </c>
      <c r="BD95" s="2">
        <f t="shared" si="42"/>
        <v>17.5</v>
      </c>
      <c r="BE95">
        <f t="shared" si="43"/>
        <v>6</v>
      </c>
      <c r="BF95">
        <f t="shared" si="44"/>
        <v>34560</v>
      </c>
    </row>
    <row r="96" spans="1:58" ht="14.25" x14ac:dyDescent="0.2">
      <c r="A96" s="11">
        <v>613</v>
      </c>
      <c r="B96" s="13">
        <v>3</v>
      </c>
      <c r="C96" s="15">
        <v>3</v>
      </c>
      <c r="D96" s="14">
        <v>3</v>
      </c>
      <c r="E96" s="1" t="s">
        <v>2733</v>
      </c>
      <c r="F96" s="1" t="s">
        <v>2738</v>
      </c>
      <c r="G96" s="1" t="s">
        <v>119</v>
      </c>
      <c r="H96" s="1" t="s">
        <v>119</v>
      </c>
      <c r="I96" s="1" t="s">
        <v>2735</v>
      </c>
      <c r="J96" s="16" t="s">
        <v>2736</v>
      </c>
      <c r="K96" t="s">
        <v>175</v>
      </c>
      <c r="L96" t="s">
        <v>164</v>
      </c>
      <c r="M96" t="s">
        <v>163</v>
      </c>
      <c r="N96" t="s">
        <v>167</v>
      </c>
      <c r="O96" s="4" t="s">
        <v>321</v>
      </c>
      <c r="P96">
        <v>0</v>
      </c>
      <c r="Q96" s="24">
        <v>10.5</v>
      </c>
      <c r="R96" s="25">
        <v>9.1999999999999993</v>
      </c>
      <c r="S96" s="26">
        <v>13.3</v>
      </c>
      <c r="U96" s="3">
        <v>93</v>
      </c>
      <c r="V96" s="1">
        <v>562864</v>
      </c>
      <c r="W96" s="1">
        <v>44705</v>
      </c>
      <c r="Y96">
        <v>7</v>
      </c>
      <c r="Z96">
        <v>3</v>
      </c>
      <c r="AA96" s="3">
        <v>20</v>
      </c>
      <c r="AB96" s="3">
        <v>6</v>
      </c>
      <c r="AC96">
        <v>72</v>
      </c>
      <c r="AD96" s="9">
        <f t="shared" si="35"/>
        <v>3679.583333333333</v>
      </c>
      <c r="AE96">
        <f t="shared" si="30"/>
        <v>264930</v>
      </c>
      <c r="AF96" s="2">
        <f t="shared" si="36"/>
        <v>6</v>
      </c>
      <c r="AG96" t="str">
        <f t="shared" si="37"/>
        <v>61小时</v>
      </c>
      <c r="AH96">
        <f t="shared" si="38"/>
        <v>18</v>
      </c>
      <c r="AI96">
        <f t="shared" si="39"/>
        <v>3</v>
      </c>
      <c r="AJ96">
        <f t="shared" si="31"/>
        <v>17.5</v>
      </c>
      <c r="AK96">
        <f t="shared" si="40"/>
        <v>9</v>
      </c>
      <c r="AL96">
        <f t="shared" si="32"/>
        <v>6</v>
      </c>
      <c r="AM96" s="2">
        <f t="shared" si="41"/>
        <v>3</v>
      </c>
      <c r="AP96">
        <v>38</v>
      </c>
      <c r="AQ96">
        <v>43</v>
      </c>
      <c r="AR96">
        <v>44</v>
      </c>
      <c r="AX96">
        <v>93</v>
      </c>
      <c r="AY96">
        <v>93</v>
      </c>
      <c r="AZ96" s="3">
        <f t="shared" si="33"/>
        <v>562864</v>
      </c>
      <c r="BA96" t="e">
        <f>AZ96/(#REF!*60/5)/60</f>
        <v>#REF!</v>
      </c>
      <c r="BB96">
        <v>60</v>
      </c>
      <c r="BC96">
        <f t="shared" si="34"/>
        <v>3.9212962962962963</v>
      </c>
      <c r="BD96" s="2">
        <f t="shared" si="42"/>
        <v>17.5</v>
      </c>
      <c r="BE96">
        <f t="shared" si="43"/>
        <v>6</v>
      </c>
      <c r="BF96">
        <f t="shared" si="44"/>
        <v>34560</v>
      </c>
    </row>
    <row r="97" spans="1:58" ht="14.25" x14ac:dyDescent="0.2">
      <c r="A97" s="11">
        <v>614</v>
      </c>
      <c r="B97" s="13">
        <v>3</v>
      </c>
      <c r="C97" s="15">
        <v>3</v>
      </c>
      <c r="D97" s="14">
        <v>3</v>
      </c>
      <c r="E97" s="1" t="s">
        <v>2733</v>
      </c>
      <c r="F97" s="1" t="s">
        <v>2739</v>
      </c>
      <c r="G97" s="1" t="s">
        <v>119</v>
      </c>
      <c r="H97" s="1" t="s">
        <v>119</v>
      </c>
      <c r="I97" s="1" t="s">
        <v>2735</v>
      </c>
      <c r="J97" s="16" t="s">
        <v>2736</v>
      </c>
      <c r="K97" t="s">
        <v>179</v>
      </c>
      <c r="L97" t="s">
        <v>163</v>
      </c>
      <c r="M97" t="s">
        <v>163</v>
      </c>
      <c r="N97" t="s">
        <v>163</v>
      </c>
      <c r="O97" s="4" t="s">
        <v>323</v>
      </c>
      <c r="P97">
        <v>0</v>
      </c>
      <c r="Q97" s="24">
        <v>10.5</v>
      </c>
      <c r="R97" s="25">
        <v>9.1999999999999993</v>
      </c>
      <c r="S97" s="26">
        <v>13.3</v>
      </c>
      <c r="U97" s="3">
        <v>94</v>
      </c>
      <c r="V97" s="1">
        <v>580916</v>
      </c>
      <c r="W97" s="1">
        <v>45078</v>
      </c>
      <c r="Y97">
        <v>7</v>
      </c>
      <c r="Z97">
        <v>4</v>
      </c>
      <c r="AA97" s="3">
        <v>20</v>
      </c>
      <c r="AB97" s="3">
        <v>6</v>
      </c>
      <c r="AC97">
        <v>75</v>
      </c>
      <c r="AD97" s="9">
        <f t="shared" si="35"/>
        <v>4148.4166666666661</v>
      </c>
      <c r="AE97">
        <f t="shared" si="30"/>
        <v>298690</v>
      </c>
      <c r="AF97" s="2">
        <f t="shared" si="36"/>
        <v>6</v>
      </c>
      <c r="AG97" t="str">
        <f t="shared" si="37"/>
        <v>69小时</v>
      </c>
      <c r="AH97">
        <f t="shared" si="38"/>
        <v>18</v>
      </c>
      <c r="AI97">
        <f t="shared" si="39"/>
        <v>3</v>
      </c>
      <c r="AJ97">
        <f t="shared" si="31"/>
        <v>17.5</v>
      </c>
      <c r="AK97">
        <f t="shared" si="40"/>
        <v>9</v>
      </c>
      <c r="AL97">
        <f t="shared" si="32"/>
        <v>6</v>
      </c>
      <c r="AM97" s="2">
        <f t="shared" si="41"/>
        <v>3</v>
      </c>
      <c r="AP97">
        <v>38</v>
      </c>
      <c r="AQ97">
        <v>43</v>
      </c>
      <c r="AR97">
        <v>44</v>
      </c>
      <c r="AX97">
        <v>94</v>
      </c>
      <c r="AY97">
        <v>94</v>
      </c>
      <c r="AZ97" s="3">
        <f t="shared" si="33"/>
        <v>580916</v>
      </c>
      <c r="BA97" t="e">
        <f>AZ97/(#REF!*60/5)/60</f>
        <v>#REF!</v>
      </c>
      <c r="BB97">
        <v>60</v>
      </c>
      <c r="BC97">
        <f t="shared" si="34"/>
        <v>3.9212962962962963</v>
      </c>
      <c r="BD97" s="2">
        <f t="shared" si="42"/>
        <v>17.5</v>
      </c>
      <c r="BE97">
        <f t="shared" si="43"/>
        <v>6</v>
      </c>
      <c r="BF97">
        <f t="shared" si="44"/>
        <v>34560</v>
      </c>
    </row>
    <row r="98" spans="1:58" ht="14.25" x14ac:dyDescent="0.2">
      <c r="A98" s="11">
        <v>615</v>
      </c>
      <c r="B98" s="13">
        <v>3</v>
      </c>
      <c r="C98" s="15">
        <v>3</v>
      </c>
      <c r="D98" s="14">
        <v>3</v>
      </c>
      <c r="E98" s="1" t="s">
        <v>2729</v>
      </c>
      <c r="F98" s="1" t="s">
        <v>120</v>
      </c>
      <c r="G98" s="1" t="s">
        <v>2730</v>
      </c>
      <c r="H98" s="1" t="s">
        <v>2740</v>
      </c>
      <c r="I98" s="1" t="s">
        <v>2696</v>
      </c>
      <c r="J98" s="16" t="s">
        <v>2741</v>
      </c>
      <c r="K98" t="s">
        <v>162</v>
      </c>
      <c r="L98" t="s">
        <v>163</v>
      </c>
      <c r="M98" t="s">
        <v>163</v>
      </c>
      <c r="N98" t="s">
        <v>163</v>
      </c>
      <c r="O98" s="4" t="s">
        <v>321</v>
      </c>
      <c r="P98">
        <v>0</v>
      </c>
      <c r="Q98" s="24">
        <v>10.5</v>
      </c>
      <c r="R98" s="25">
        <v>9.1999999999999993</v>
      </c>
      <c r="S98" s="26">
        <v>13.3</v>
      </c>
      <c r="U98" s="3">
        <v>95</v>
      </c>
      <c r="V98" s="1">
        <v>599350</v>
      </c>
      <c r="W98" s="1">
        <v>46705</v>
      </c>
      <c r="Y98">
        <v>7</v>
      </c>
      <c r="Z98">
        <v>5</v>
      </c>
      <c r="AA98" s="3">
        <v>25</v>
      </c>
      <c r="AB98" s="3">
        <v>6</v>
      </c>
      <c r="AC98">
        <v>75</v>
      </c>
      <c r="AD98" s="9">
        <f t="shared" si="35"/>
        <v>4148.4166666666661</v>
      </c>
      <c r="AE98">
        <f t="shared" si="30"/>
        <v>298690</v>
      </c>
      <c r="AF98" s="2">
        <f t="shared" si="36"/>
        <v>6</v>
      </c>
      <c r="AG98" t="str">
        <f t="shared" si="37"/>
        <v>69小时</v>
      </c>
      <c r="AH98">
        <f t="shared" si="38"/>
        <v>18</v>
      </c>
      <c r="AI98">
        <f t="shared" si="39"/>
        <v>3</v>
      </c>
      <c r="AJ98">
        <f t="shared" si="31"/>
        <v>17.5</v>
      </c>
      <c r="AK98">
        <f t="shared" si="40"/>
        <v>9</v>
      </c>
      <c r="AL98">
        <f t="shared" si="32"/>
        <v>6</v>
      </c>
      <c r="AM98" s="2">
        <f t="shared" si="41"/>
        <v>3</v>
      </c>
      <c r="AP98">
        <v>38</v>
      </c>
      <c r="AQ98">
        <v>43</v>
      </c>
      <c r="AR98">
        <v>44</v>
      </c>
      <c r="AX98">
        <v>95</v>
      </c>
      <c r="AY98">
        <v>95</v>
      </c>
      <c r="AZ98" s="3">
        <f t="shared" si="33"/>
        <v>599350</v>
      </c>
      <c r="BA98" t="e">
        <f>AZ98/(#REF!*60/5)/60</f>
        <v>#REF!</v>
      </c>
      <c r="BB98">
        <v>60</v>
      </c>
      <c r="BC98">
        <f t="shared" si="34"/>
        <v>3.9212962962962963</v>
      </c>
      <c r="BD98" s="2">
        <f t="shared" si="42"/>
        <v>17.5</v>
      </c>
      <c r="BE98">
        <f t="shared" si="43"/>
        <v>6</v>
      </c>
      <c r="BF98">
        <f t="shared" si="44"/>
        <v>34560</v>
      </c>
    </row>
    <row r="99" spans="1:58" ht="14.25" x14ac:dyDescent="0.2">
      <c r="A99" s="11">
        <v>616</v>
      </c>
      <c r="B99" s="13">
        <v>3</v>
      </c>
      <c r="C99" s="15">
        <v>3</v>
      </c>
      <c r="D99" s="14">
        <v>3</v>
      </c>
      <c r="E99" s="1" t="s">
        <v>2733</v>
      </c>
      <c r="F99" s="1" t="s">
        <v>2734</v>
      </c>
      <c r="G99" s="1" t="s">
        <v>119</v>
      </c>
      <c r="H99" s="1" t="s">
        <v>119</v>
      </c>
      <c r="I99" s="1" t="s">
        <v>2735</v>
      </c>
      <c r="J99" s="16" t="s">
        <v>2736</v>
      </c>
      <c r="K99" t="s">
        <v>177</v>
      </c>
      <c r="L99" t="s">
        <v>163</v>
      </c>
      <c r="M99" t="s">
        <v>163</v>
      </c>
      <c r="N99" t="s">
        <v>163</v>
      </c>
      <c r="O99" s="4" t="s">
        <v>325</v>
      </c>
      <c r="P99">
        <v>0</v>
      </c>
      <c r="Q99" s="24">
        <v>11</v>
      </c>
      <c r="R99" s="25">
        <v>9.6</v>
      </c>
      <c r="S99" s="26">
        <v>14</v>
      </c>
      <c r="U99" s="3">
        <v>96</v>
      </c>
      <c r="V99" s="1">
        <v>618170</v>
      </c>
      <c r="W99" s="1">
        <v>47086</v>
      </c>
      <c r="Y99">
        <v>7</v>
      </c>
      <c r="Z99">
        <v>6</v>
      </c>
      <c r="AA99" s="3">
        <v>20</v>
      </c>
      <c r="AB99" s="3">
        <v>6</v>
      </c>
      <c r="AC99">
        <v>75</v>
      </c>
      <c r="AD99" s="9">
        <f t="shared" si="35"/>
        <v>4014.583333333333</v>
      </c>
      <c r="AE99">
        <f t="shared" si="30"/>
        <v>298690</v>
      </c>
      <c r="AF99" s="2">
        <f t="shared" si="36"/>
        <v>6.2</v>
      </c>
      <c r="AG99" t="str">
        <f t="shared" si="37"/>
        <v>66小时</v>
      </c>
      <c r="AH99">
        <f t="shared" si="38"/>
        <v>19</v>
      </c>
      <c r="AI99">
        <f t="shared" si="39"/>
        <v>4</v>
      </c>
      <c r="AJ99">
        <f t="shared" si="31"/>
        <v>17.8</v>
      </c>
      <c r="AK99">
        <f t="shared" si="40"/>
        <v>9</v>
      </c>
      <c r="AL99">
        <f t="shared" si="32"/>
        <v>6.2</v>
      </c>
      <c r="AM99" s="2">
        <f t="shared" si="41"/>
        <v>4</v>
      </c>
      <c r="AP99">
        <v>38</v>
      </c>
      <c r="AQ99">
        <v>45</v>
      </c>
      <c r="AR99">
        <v>47</v>
      </c>
      <c r="AX99">
        <v>96</v>
      </c>
      <c r="AY99">
        <v>96</v>
      </c>
      <c r="AZ99" s="3">
        <f t="shared" si="33"/>
        <v>618170</v>
      </c>
      <c r="BA99" t="e">
        <f>AZ99/(#REF!*60/5)/60</f>
        <v>#REF!</v>
      </c>
      <c r="BB99">
        <v>60</v>
      </c>
      <c r="BC99">
        <f t="shared" si="34"/>
        <v>3.7948028673835124</v>
      </c>
      <c r="BD99" s="2">
        <f t="shared" si="42"/>
        <v>17.8</v>
      </c>
      <c r="BE99">
        <f t="shared" si="43"/>
        <v>6.2</v>
      </c>
      <c r="BF99">
        <f t="shared" si="44"/>
        <v>35712</v>
      </c>
    </row>
    <row r="100" spans="1:58" ht="14.25" x14ac:dyDescent="0.2">
      <c r="A100" s="11">
        <v>617</v>
      </c>
      <c r="B100" s="13">
        <v>3</v>
      </c>
      <c r="C100" s="15">
        <v>3</v>
      </c>
      <c r="D100" s="14">
        <v>3</v>
      </c>
      <c r="E100" s="1" t="s">
        <v>2733</v>
      </c>
      <c r="F100" s="1" t="s">
        <v>2737</v>
      </c>
      <c r="G100" s="1" t="s">
        <v>119</v>
      </c>
      <c r="H100" s="1" t="s">
        <v>119</v>
      </c>
      <c r="I100" s="1" t="s">
        <v>2735</v>
      </c>
      <c r="J100" s="16" t="s">
        <v>2736</v>
      </c>
      <c r="K100" t="s">
        <v>174</v>
      </c>
      <c r="L100" t="s">
        <v>163</v>
      </c>
      <c r="M100" t="s">
        <v>163</v>
      </c>
      <c r="N100" t="s">
        <v>163</v>
      </c>
      <c r="O100" s="4" t="s">
        <v>327</v>
      </c>
      <c r="P100">
        <v>0</v>
      </c>
      <c r="Q100" s="24">
        <v>11</v>
      </c>
      <c r="R100" s="25">
        <v>9.6</v>
      </c>
      <c r="S100" s="26">
        <v>14</v>
      </c>
      <c r="U100" s="3">
        <v>97</v>
      </c>
      <c r="V100" s="1">
        <v>637380</v>
      </c>
      <c r="W100" s="1">
        <v>47471</v>
      </c>
      <c r="Y100">
        <v>7</v>
      </c>
      <c r="Z100">
        <v>7</v>
      </c>
      <c r="AA100" s="3">
        <v>20</v>
      </c>
      <c r="AB100" s="3">
        <v>6</v>
      </c>
      <c r="AC100">
        <v>78</v>
      </c>
      <c r="AD100" s="9">
        <f t="shared" si="35"/>
        <v>4505.416666666667</v>
      </c>
      <c r="AE100">
        <f t="shared" si="30"/>
        <v>335204</v>
      </c>
      <c r="AF100" s="2">
        <f t="shared" si="36"/>
        <v>6.2</v>
      </c>
      <c r="AG100" t="str">
        <f t="shared" si="37"/>
        <v>75小时</v>
      </c>
      <c r="AH100">
        <f t="shared" si="38"/>
        <v>19</v>
      </c>
      <c r="AI100">
        <f t="shared" si="39"/>
        <v>4</v>
      </c>
      <c r="AJ100">
        <f t="shared" si="31"/>
        <v>17.8</v>
      </c>
      <c r="AK100">
        <f t="shared" si="40"/>
        <v>9</v>
      </c>
      <c r="AL100">
        <f t="shared" si="32"/>
        <v>6.2</v>
      </c>
      <c r="AM100" s="2">
        <f t="shared" si="41"/>
        <v>4</v>
      </c>
      <c r="AP100">
        <v>38</v>
      </c>
      <c r="AQ100">
        <v>45</v>
      </c>
      <c r="AR100">
        <v>47</v>
      </c>
      <c r="AX100">
        <v>97</v>
      </c>
      <c r="AY100">
        <v>97</v>
      </c>
      <c r="AZ100" s="3">
        <f t="shared" si="33"/>
        <v>637380</v>
      </c>
      <c r="BA100" t="e">
        <f>AZ100/(#REF!*60/5)/60</f>
        <v>#REF!</v>
      </c>
      <c r="BB100">
        <v>60</v>
      </c>
      <c r="BC100">
        <f t="shared" si="34"/>
        <v>3.7948028673835124</v>
      </c>
      <c r="BD100" s="2">
        <f t="shared" si="42"/>
        <v>17.8</v>
      </c>
      <c r="BE100">
        <f t="shared" si="43"/>
        <v>6.2</v>
      </c>
      <c r="BF100">
        <f t="shared" si="44"/>
        <v>35712</v>
      </c>
    </row>
    <row r="101" spans="1:58" ht="14.25" x14ac:dyDescent="0.2">
      <c r="A101" s="11">
        <v>618</v>
      </c>
      <c r="B101" s="13">
        <v>3</v>
      </c>
      <c r="C101" s="15">
        <v>3</v>
      </c>
      <c r="D101" s="14">
        <v>3</v>
      </c>
      <c r="E101" s="1" t="s">
        <v>2733</v>
      </c>
      <c r="F101" s="1" t="s">
        <v>2738</v>
      </c>
      <c r="G101" s="1" t="s">
        <v>119</v>
      </c>
      <c r="H101" s="1" t="s">
        <v>119</v>
      </c>
      <c r="I101" s="1" t="s">
        <v>2735</v>
      </c>
      <c r="J101" s="16" t="s">
        <v>2736</v>
      </c>
      <c r="K101" t="s">
        <v>166</v>
      </c>
      <c r="L101" t="s">
        <v>163</v>
      </c>
      <c r="M101" t="s">
        <v>163</v>
      </c>
      <c r="N101" t="s">
        <v>163</v>
      </c>
      <c r="O101" s="4" t="s">
        <v>329</v>
      </c>
      <c r="P101">
        <v>0</v>
      </c>
      <c r="Q101" s="24">
        <v>11</v>
      </c>
      <c r="R101" s="25">
        <v>9.6</v>
      </c>
      <c r="S101" s="26">
        <v>14</v>
      </c>
      <c r="U101" s="3">
        <v>98</v>
      </c>
      <c r="V101" s="1">
        <v>656984</v>
      </c>
      <c r="W101" s="1">
        <v>47860</v>
      </c>
      <c r="Y101">
        <v>7</v>
      </c>
      <c r="Z101">
        <v>8</v>
      </c>
      <c r="AA101" s="3">
        <v>20</v>
      </c>
      <c r="AB101" s="3">
        <v>6</v>
      </c>
      <c r="AC101">
        <v>78</v>
      </c>
      <c r="AD101" s="9">
        <f t="shared" si="35"/>
        <v>4505.416666666667</v>
      </c>
      <c r="AE101">
        <f t="shared" si="30"/>
        <v>335204</v>
      </c>
      <c r="AF101" s="2">
        <f t="shared" si="36"/>
        <v>6.2</v>
      </c>
      <c r="AG101" t="str">
        <f t="shared" si="37"/>
        <v>75小时</v>
      </c>
      <c r="AH101">
        <f t="shared" si="38"/>
        <v>19</v>
      </c>
      <c r="AI101">
        <f t="shared" si="39"/>
        <v>4</v>
      </c>
      <c r="AJ101">
        <f t="shared" si="31"/>
        <v>17.8</v>
      </c>
      <c r="AK101">
        <f t="shared" si="40"/>
        <v>9</v>
      </c>
      <c r="AL101">
        <f t="shared" si="32"/>
        <v>6.2</v>
      </c>
      <c r="AM101" s="2">
        <f t="shared" si="41"/>
        <v>4</v>
      </c>
      <c r="AP101">
        <v>38</v>
      </c>
      <c r="AQ101">
        <v>45</v>
      </c>
      <c r="AR101">
        <v>47</v>
      </c>
      <c r="AX101">
        <v>98</v>
      </c>
      <c r="AY101">
        <v>98</v>
      </c>
      <c r="AZ101" s="3">
        <f t="shared" si="33"/>
        <v>656984</v>
      </c>
      <c r="BA101" t="e">
        <f>AZ101/(#REF!*60/5)/60</f>
        <v>#REF!</v>
      </c>
      <c r="BB101">
        <v>60</v>
      </c>
      <c r="BC101">
        <f t="shared" si="34"/>
        <v>3.7948028673835124</v>
      </c>
      <c r="BD101" s="2">
        <f t="shared" si="42"/>
        <v>17.8</v>
      </c>
      <c r="BE101">
        <f t="shared" si="43"/>
        <v>6.2</v>
      </c>
      <c r="BF101">
        <f t="shared" si="44"/>
        <v>35712</v>
      </c>
    </row>
    <row r="102" spans="1:58" ht="14.25" x14ac:dyDescent="0.2">
      <c r="A102" s="11">
        <v>619</v>
      </c>
      <c r="B102" s="13">
        <v>3</v>
      </c>
      <c r="C102" s="15">
        <v>3</v>
      </c>
      <c r="D102" s="14">
        <v>3</v>
      </c>
      <c r="E102" s="1" t="s">
        <v>2733</v>
      </c>
      <c r="F102" s="1" t="s">
        <v>2739</v>
      </c>
      <c r="G102" s="1" t="s">
        <v>119</v>
      </c>
      <c r="H102" s="1" t="s">
        <v>119</v>
      </c>
      <c r="I102" s="1" t="s">
        <v>2735</v>
      </c>
      <c r="J102" s="16" t="s">
        <v>2736</v>
      </c>
      <c r="K102" t="s">
        <v>168</v>
      </c>
      <c r="L102" t="s">
        <v>163</v>
      </c>
      <c r="M102" t="s">
        <v>163</v>
      </c>
      <c r="N102" t="s">
        <v>163</v>
      </c>
      <c r="O102" s="4" t="s">
        <v>331</v>
      </c>
      <c r="P102">
        <v>0</v>
      </c>
      <c r="Q102" s="24">
        <v>11</v>
      </c>
      <c r="R102" s="25">
        <v>9.6</v>
      </c>
      <c r="S102" s="26">
        <v>14</v>
      </c>
      <c r="U102" s="3">
        <v>99</v>
      </c>
      <c r="V102" s="1">
        <v>676986</v>
      </c>
      <c r="W102" s="1">
        <v>48253</v>
      </c>
      <c r="Y102">
        <v>7</v>
      </c>
      <c r="Z102">
        <v>9</v>
      </c>
      <c r="AA102" s="3">
        <v>20</v>
      </c>
      <c r="AB102" s="3">
        <v>6</v>
      </c>
      <c r="AC102">
        <v>78</v>
      </c>
      <c r="AD102" s="9">
        <f t="shared" si="35"/>
        <v>4505.416666666667</v>
      </c>
      <c r="AE102">
        <f t="shared" si="30"/>
        <v>335204</v>
      </c>
      <c r="AF102" s="2">
        <f t="shared" si="36"/>
        <v>6.2</v>
      </c>
      <c r="AG102" t="str">
        <f t="shared" si="37"/>
        <v>75小时</v>
      </c>
      <c r="AH102">
        <f t="shared" si="38"/>
        <v>19</v>
      </c>
      <c r="AI102">
        <f t="shared" si="39"/>
        <v>4</v>
      </c>
      <c r="AJ102">
        <f t="shared" si="31"/>
        <v>17.8</v>
      </c>
      <c r="AK102">
        <f t="shared" si="40"/>
        <v>9</v>
      </c>
      <c r="AL102">
        <f t="shared" si="32"/>
        <v>6.2</v>
      </c>
      <c r="AM102" s="2">
        <f t="shared" si="41"/>
        <v>4</v>
      </c>
      <c r="AP102">
        <v>38</v>
      </c>
      <c r="AQ102">
        <v>45</v>
      </c>
      <c r="AR102">
        <v>47</v>
      </c>
      <c r="AX102">
        <v>99</v>
      </c>
      <c r="AY102">
        <v>99</v>
      </c>
      <c r="AZ102" s="3">
        <f t="shared" si="33"/>
        <v>676986</v>
      </c>
      <c r="BA102" t="e">
        <f>AZ102/(#REF!*60/5)/60</f>
        <v>#REF!</v>
      </c>
      <c r="BB102">
        <v>60</v>
      </c>
      <c r="BC102">
        <f t="shared" si="34"/>
        <v>3.7948028673835124</v>
      </c>
      <c r="BD102" s="2">
        <f t="shared" si="42"/>
        <v>17.8</v>
      </c>
      <c r="BE102">
        <f t="shared" si="43"/>
        <v>6.2</v>
      </c>
      <c r="BF102">
        <f t="shared" si="44"/>
        <v>35712</v>
      </c>
    </row>
    <row r="103" spans="1:58" ht="14.25" x14ac:dyDescent="0.2">
      <c r="A103" s="11">
        <v>620</v>
      </c>
      <c r="B103" s="13">
        <v>3</v>
      </c>
      <c r="C103" s="15">
        <v>3</v>
      </c>
      <c r="D103" s="14">
        <v>3</v>
      </c>
      <c r="E103" s="1" t="s">
        <v>2729</v>
      </c>
      <c r="F103" s="1" t="s">
        <v>120</v>
      </c>
      <c r="G103" s="1" t="s">
        <v>2730</v>
      </c>
      <c r="H103" s="1" t="s">
        <v>2740</v>
      </c>
      <c r="I103" s="1" t="s">
        <v>2696</v>
      </c>
      <c r="J103" s="16" t="s">
        <v>2741</v>
      </c>
      <c r="K103" t="s">
        <v>175</v>
      </c>
      <c r="L103" t="s">
        <v>164</v>
      </c>
      <c r="M103" t="s">
        <v>163</v>
      </c>
      <c r="N103" t="s">
        <v>167</v>
      </c>
      <c r="O103" s="4" t="s">
        <v>329</v>
      </c>
      <c r="P103">
        <v>0</v>
      </c>
      <c r="Q103" s="24">
        <v>11</v>
      </c>
      <c r="R103" s="25">
        <v>9.6</v>
      </c>
      <c r="S103" s="26">
        <v>14</v>
      </c>
      <c r="U103" s="3">
        <v>100</v>
      </c>
      <c r="V103" s="1">
        <v>697390</v>
      </c>
      <c r="W103" s="1">
        <v>61645</v>
      </c>
      <c r="Y103">
        <v>7</v>
      </c>
      <c r="Z103">
        <v>10</v>
      </c>
      <c r="AA103" s="3">
        <v>25</v>
      </c>
      <c r="AB103" s="3">
        <v>6</v>
      </c>
      <c r="AC103">
        <v>80</v>
      </c>
      <c r="AD103" s="9">
        <f t="shared" si="35"/>
        <v>4853.833333333333</v>
      </c>
      <c r="AE103">
        <f t="shared" si="30"/>
        <v>361130</v>
      </c>
      <c r="AF103" s="2">
        <f t="shared" si="36"/>
        <v>6.2</v>
      </c>
      <c r="AG103" t="str">
        <f t="shared" si="37"/>
        <v>80小时</v>
      </c>
      <c r="AH103">
        <f t="shared" si="38"/>
        <v>19</v>
      </c>
      <c r="AI103">
        <f t="shared" si="39"/>
        <v>4</v>
      </c>
      <c r="AJ103">
        <f t="shared" si="31"/>
        <v>17.8</v>
      </c>
      <c r="AK103">
        <f t="shared" si="40"/>
        <v>9</v>
      </c>
      <c r="AL103">
        <f t="shared" si="32"/>
        <v>6.2</v>
      </c>
      <c r="AM103" s="2">
        <f t="shared" si="41"/>
        <v>4</v>
      </c>
      <c r="AP103">
        <v>38</v>
      </c>
      <c r="AQ103">
        <v>45</v>
      </c>
      <c r="AR103">
        <v>47</v>
      </c>
      <c r="AX103">
        <v>100</v>
      </c>
      <c r="AY103">
        <v>100</v>
      </c>
      <c r="AZ103" s="3">
        <f t="shared" si="33"/>
        <v>697390</v>
      </c>
      <c r="BA103" t="e">
        <f>AZ103/(#REF!*60/5)/60</f>
        <v>#REF!</v>
      </c>
      <c r="BB103">
        <v>60</v>
      </c>
      <c r="BC103">
        <f t="shared" si="34"/>
        <v>3.7948028673835124</v>
      </c>
      <c r="BD103" s="2">
        <f t="shared" si="42"/>
        <v>17.8</v>
      </c>
      <c r="BE103">
        <f t="shared" si="43"/>
        <v>6.2</v>
      </c>
      <c r="BF103">
        <f t="shared" si="44"/>
        <v>35712</v>
      </c>
    </row>
    <row r="104" spans="1:58" ht="14.25" x14ac:dyDescent="0.2">
      <c r="A104" s="11">
        <v>621</v>
      </c>
      <c r="B104" s="13">
        <v>3</v>
      </c>
      <c r="C104" s="15">
        <v>3</v>
      </c>
      <c r="D104" s="14">
        <v>3</v>
      </c>
      <c r="E104" s="1" t="s">
        <v>2733</v>
      </c>
      <c r="F104" s="1" t="s">
        <v>2734</v>
      </c>
      <c r="G104" s="1" t="s">
        <v>119</v>
      </c>
      <c r="H104" s="1" t="s">
        <v>119</v>
      </c>
      <c r="I104" s="1" t="s">
        <v>2735</v>
      </c>
      <c r="J104" s="16" t="s">
        <v>2736</v>
      </c>
      <c r="K104" t="s">
        <v>179</v>
      </c>
      <c r="L104" t="s">
        <v>163</v>
      </c>
      <c r="M104" t="s">
        <v>163</v>
      </c>
      <c r="N104" t="s">
        <v>163</v>
      </c>
      <c r="O104" s="4" t="s">
        <v>333</v>
      </c>
      <c r="P104">
        <v>0</v>
      </c>
      <c r="Q104" s="24">
        <v>11.5</v>
      </c>
      <c r="R104" s="25">
        <v>10.1</v>
      </c>
      <c r="S104" s="26">
        <v>14.7</v>
      </c>
      <c r="U104" s="3">
        <v>101</v>
      </c>
      <c r="V104" s="1">
        <v>718200</v>
      </c>
      <c r="W104" s="1">
        <v>62046</v>
      </c>
      <c r="Y104">
        <v>7</v>
      </c>
      <c r="Z104">
        <v>11</v>
      </c>
      <c r="AA104" s="3">
        <v>20</v>
      </c>
      <c r="AB104" s="3">
        <v>6</v>
      </c>
      <c r="AC104">
        <v>80</v>
      </c>
      <c r="AD104" s="9">
        <f t="shared" si="35"/>
        <v>4629.8333333333339</v>
      </c>
      <c r="AE104">
        <f t="shared" si="30"/>
        <v>361130</v>
      </c>
      <c r="AF104" s="2">
        <f t="shared" si="36"/>
        <v>6.5</v>
      </c>
      <c r="AG104" t="str">
        <f t="shared" si="37"/>
        <v>77小时</v>
      </c>
      <c r="AH104">
        <f t="shared" si="38"/>
        <v>20</v>
      </c>
      <c r="AI104">
        <f t="shared" si="39"/>
        <v>4</v>
      </c>
      <c r="AJ104">
        <f t="shared" si="31"/>
        <v>18.299999999999997</v>
      </c>
      <c r="AK104">
        <f t="shared" si="40"/>
        <v>10</v>
      </c>
      <c r="AL104">
        <f t="shared" si="32"/>
        <v>6.5</v>
      </c>
      <c r="AM104" s="2">
        <f t="shared" si="41"/>
        <v>4</v>
      </c>
      <c r="AP104">
        <v>39</v>
      </c>
      <c r="AQ104">
        <v>47</v>
      </c>
      <c r="AR104">
        <v>49</v>
      </c>
      <c r="AX104">
        <v>101</v>
      </c>
      <c r="AY104">
        <v>101</v>
      </c>
      <c r="AZ104" s="3">
        <f t="shared" si="33"/>
        <v>718200</v>
      </c>
      <c r="BA104" t="e">
        <f>AZ104/(#REF!*60/5)/60</f>
        <v>#REF!</v>
      </c>
      <c r="BB104">
        <v>60</v>
      </c>
      <c r="BC104">
        <f t="shared" si="34"/>
        <v>3.6196581196581197</v>
      </c>
      <c r="BD104" s="2">
        <f t="shared" si="42"/>
        <v>18.299999999999997</v>
      </c>
      <c r="BE104">
        <f t="shared" si="43"/>
        <v>6.5</v>
      </c>
      <c r="BF104">
        <f t="shared" si="44"/>
        <v>37440</v>
      </c>
    </row>
    <row r="105" spans="1:58" ht="14.25" x14ac:dyDescent="0.2">
      <c r="A105" s="11">
        <v>622</v>
      </c>
      <c r="B105" s="13">
        <v>3</v>
      </c>
      <c r="C105" s="15">
        <v>3</v>
      </c>
      <c r="D105" s="14">
        <v>3</v>
      </c>
      <c r="E105" s="1" t="s">
        <v>2733</v>
      </c>
      <c r="F105" s="1" t="s">
        <v>2737</v>
      </c>
      <c r="G105" s="1" t="s">
        <v>119</v>
      </c>
      <c r="H105" s="1" t="s">
        <v>119</v>
      </c>
      <c r="I105" s="1" t="s">
        <v>2735</v>
      </c>
      <c r="J105" s="16" t="s">
        <v>2736</v>
      </c>
      <c r="K105" t="s">
        <v>162</v>
      </c>
      <c r="L105" t="s">
        <v>163</v>
      </c>
      <c r="M105" t="s">
        <v>163</v>
      </c>
      <c r="N105" t="s">
        <v>163</v>
      </c>
      <c r="O105" s="4" t="s">
        <v>335</v>
      </c>
      <c r="P105">
        <v>0</v>
      </c>
      <c r="Q105" s="24">
        <v>11.5</v>
      </c>
      <c r="R105" s="25">
        <v>10.1</v>
      </c>
      <c r="S105" s="26">
        <v>14.7</v>
      </c>
      <c r="U105" s="3">
        <v>102</v>
      </c>
      <c r="V105" s="1">
        <v>739420</v>
      </c>
      <c r="W105" s="1">
        <v>62451</v>
      </c>
      <c r="Y105">
        <v>7</v>
      </c>
      <c r="Z105">
        <v>12</v>
      </c>
      <c r="AA105" s="3">
        <v>20</v>
      </c>
      <c r="AB105" s="3">
        <v>6</v>
      </c>
      <c r="AC105">
        <v>80</v>
      </c>
      <c r="AD105" s="9">
        <f t="shared" si="35"/>
        <v>4629.8333333333339</v>
      </c>
      <c r="AE105">
        <f t="shared" si="30"/>
        <v>361130</v>
      </c>
      <c r="AF105" s="2">
        <f t="shared" si="36"/>
        <v>6.5</v>
      </c>
      <c r="AG105" t="str">
        <f t="shared" si="37"/>
        <v>77小时</v>
      </c>
      <c r="AH105">
        <f t="shared" si="38"/>
        <v>20</v>
      </c>
      <c r="AI105">
        <f t="shared" si="39"/>
        <v>4</v>
      </c>
      <c r="AJ105">
        <f t="shared" si="31"/>
        <v>18.299999999999997</v>
      </c>
      <c r="AK105">
        <f t="shared" si="40"/>
        <v>10</v>
      </c>
      <c r="AL105">
        <f t="shared" si="32"/>
        <v>6.5</v>
      </c>
      <c r="AM105" s="2">
        <f t="shared" si="41"/>
        <v>4</v>
      </c>
      <c r="AP105">
        <v>39</v>
      </c>
      <c r="AQ105">
        <v>47</v>
      </c>
      <c r="AR105">
        <v>49</v>
      </c>
      <c r="AX105">
        <v>102</v>
      </c>
      <c r="AY105">
        <v>102</v>
      </c>
      <c r="AZ105" s="3">
        <f t="shared" si="33"/>
        <v>739420</v>
      </c>
      <c r="BA105" t="e">
        <f>AZ105/(#REF!*60/5)/60</f>
        <v>#REF!</v>
      </c>
      <c r="BB105">
        <v>60</v>
      </c>
      <c r="BC105">
        <f t="shared" si="34"/>
        <v>3.6196581196581197</v>
      </c>
      <c r="BD105" s="2">
        <f t="shared" si="42"/>
        <v>18.299999999999997</v>
      </c>
      <c r="BE105">
        <f t="shared" si="43"/>
        <v>6.5</v>
      </c>
      <c r="BF105">
        <f t="shared" si="44"/>
        <v>37440</v>
      </c>
    </row>
    <row r="106" spans="1:58" ht="14.25" x14ac:dyDescent="0.2">
      <c r="A106" s="11">
        <v>623</v>
      </c>
      <c r="B106" s="13">
        <v>3</v>
      </c>
      <c r="C106" s="15">
        <v>3</v>
      </c>
      <c r="D106" s="14">
        <v>3</v>
      </c>
      <c r="E106" s="1" t="s">
        <v>2733</v>
      </c>
      <c r="F106" s="1" t="s">
        <v>2738</v>
      </c>
      <c r="G106" s="1" t="s">
        <v>119</v>
      </c>
      <c r="H106" s="1" t="s">
        <v>119</v>
      </c>
      <c r="I106" s="1" t="s">
        <v>2735</v>
      </c>
      <c r="J106" s="16" t="s">
        <v>2736</v>
      </c>
      <c r="K106" t="s">
        <v>177</v>
      </c>
      <c r="L106" t="s">
        <v>163</v>
      </c>
      <c r="M106" t="s">
        <v>163</v>
      </c>
      <c r="N106" t="s">
        <v>163</v>
      </c>
      <c r="O106" s="4" t="s">
        <v>337</v>
      </c>
      <c r="P106">
        <v>0</v>
      </c>
      <c r="Q106" s="24">
        <v>11.5</v>
      </c>
      <c r="R106" s="25">
        <v>10.1</v>
      </c>
      <c r="S106" s="26">
        <v>14.7</v>
      </c>
      <c r="U106" s="3">
        <v>103</v>
      </c>
      <c r="V106" s="1">
        <v>761054</v>
      </c>
      <c r="W106" s="1">
        <v>62860</v>
      </c>
      <c r="Y106">
        <v>7</v>
      </c>
      <c r="Z106">
        <v>13</v>
      </c>
      <c r="AA106" s="3">
        <v>20</v>
      </c>
      <c r="AB106" s="3">
        <v>6</v>
      </c>
      <c r="AC106">
        <v>82</v>
      </c>
      <c r="AD106" s="9">
        <f t="shared" si="35"/>
        <v>4978.9166666666661</v>
      </c>
      <c r="AE106">
        <f t="shared" si="30"/>
        <v>388360</v>
      </c>
      <c r="AF106" s="2">
        <f t="shared" si="36"/>
        <v>6.5</v>
      </c>
      <c r="AG106" t="str">
        <f t="shared" si="37"/>
        <v>82小时</v>
      </c>
      <c r="AH106">
        <f t="shared" si="38"/>
        <v>20</v>
      </c>
      <c r="AI106">
        <f t="shared" si="39"/>
        <v>4</v>
      </c>
      <c r="AJ106">
        <f t="shared" si="31"/>
        <v>18.299999999999997</v>
      </c>
      <c r="AK106">
        <f t="shared" si="40"/>
        <v>10</v>
      </c>
      <c r="AL106">
        <f t="shared" si="32"/>
        <v>6.5</v>
      </c>
      <c r="AM106" s="2">
        <f t="shared" si="41"/>
        <v>4</v>
      </c>
      <c r="AP106">
        <v>39</v>
      </c>
      <c r="AQ106">
        <v>47</v>
      </c>
      <c r="AR106">
        <v>49</v>
      </c>
      <c r="AX106">
        <v>103</v>
      </c>
      <c r="AY106">
        <v>103</v>
      </c>
      <c r="AZ106" s="3">
        <f t="shared" si="33"/>
        <v>761054</v>
      </c>
      <c r="BA106" t="e">
        <f>AZ106/(#REF!*60/5)/60</f>
        <v>#REF!</v>
      </c>
      <c r="BB106">
        <v>60</v>
      </c>
      <c r="BC106">
        <f t="shared" si="34"/>
        <v>3.6196581196581197</v>
      </c>
      <c r="BD106" s="2">
        <f t="shared" si="42"/>
        <v>18.299999999999997</v>
      </c>
      <c r="BE106">
        <f t="shared" si="43"/>
        <v>6.5</v>
      </c>
      <c r="BF106">
        <f t="shared" si="44"/>
        <v>37440</v>
      </c>
    </row>
    <row r="107" spans="1:58" ht="14.25" x14ac:dyDescent="0.2">
      <c r="A107" s="11">
        <v>624</v>
      </c>
      <c r="B107" s="13">
        <v>3</v>
      </c>
      <c r="C107" s="15">
        <v>3</v>
      </c>
      <c r="D107" s="14">
        <v>3</v>
      </c>
      <c r="E107" s="1" t="s">
        <v>2733</v>
      </c>
      <c r="F107" s="1" t="s">
        <v>2739</v>
      </c>
      <c r="G107" s="1" t="s">
        <v>119</v>
      </c>
      <c r="H107" s="1" t="s">
        <v>119</v>
      </c>
      <c r="I107" s="1" t="s">
        <v>2735</v>
      </c>
      <c r="J107" s="16" t="s">
        <v>2736</v>
      </c>
      <c r="K107" t="s">
        <v>174</v>
      </c>
      <c r="L107" t="s">
        <v>163</v>
      </c>
      <c r="M107" t="s">
        <v>163</v>
      </c>
      <c r="N107" t="s">
        <v>163</v>
      </c>
      <c r="O107" s="4" t="s">
        <v>339</v>
      </c>
      <c r="P107">
        <v>0</v>
      </c>
      <c r="Q107" s="24">
        <v>11.5</v>
      </c>
      <c r="R107" s="25">
        <v>10.1</v>
      </c>
      <c r="S107" s="26">
        <v>14.7</v>
      </c>
      <c r="U107" s="3">
        <v>104</v>
      </c>
      <c r="V107" s="1">
        <v>783106</v>
      </c>
      <c r="W107" s="1">
        <v>63273</v>
      </c>
      <c r="Y107">
        <v>7</v>
      </c>
      <c r="Z107">
        <v>14</v>
      </c>
      <c r="AA107" s="3">
        <v>20</v>
      </c>
      <c r="AB107" s="3">
        <v>6</v>
      </c>
      <c r="AC107">
        <v>82</v>
      </c>
      <c r="AD107" s="9">
        <f t="shared" si="35"/>
        <v>4978.9166666666661</v>
      </c>
      <c r="AE107">
        <f t="shared" si="30"/>
        <v>388360</v>
      </c>
      <c r="AF107" s="2">
        <f t="shared" si="36"/>
        <v>6.5</v>
      </c>
      <c r="AG107" t="str">
        <f t="shared" si="37"/>
        <v>82小时</v>
      </c>
      <c r="AH107">
        <f t="shared" si="38"/>
        <v>20</v>
      </c>
      <c r="AI107">
        <f t="shared" si="39"/>
        <v>4</v>
      </c>
      <c r="AJ107">
        <f t="shared" si="31"/>
        <v>18.299999999999997</v>
      </c>
      <c r="AK107">
        <f t="shared" si="40"/>
        <v>10</v>
      </c>
      <c r="AL107">
        <f t="shared" si="32"/>
        <v>6.5</v>
      </c>
      <c r="AM107" s="2">
        <f t="shared" si="41"/>
        <v>4</v>
      </c>
      <c r="AP107">
        <v>39</v>
      </c>
      <c r="AQ107">
        <v>47</v>
      </c>
      <c r="AR107">
        <v>49</v>
      </c>
      <c r="AX107">
        <v>104</v>
      </c>
      <c r="AY107">
        <v>104</v>
      </c>
      <c r="AZ107" s="3">
        <f t="shared" si="33"/>
        <v>783106</v>
      </c>
      <c r="BA107" t="e">
        <f>AZ107/(#REF!*60/5)/60</f>
        <v>#REF!</v>
      </c>
      <c r="BB107">
        <v>60</v>
      </c>
      <c r="BC107">
        <f t="shared" si="34"/>
        <v>3.6196581196581197</v>
      </c>
      <c r="BD107" s="2">
        <f t="shared" si="42"/>
        <v>18.299999999999997</v>
      </c>
      <c r="BE107">
        <f t="shared" si="43"/>
        <v>6.5</v>
      </c>
      <c r="BF107">
        <f t="shared" si="44"/>
        <v>37440</v>
      </c>
    </row>
    <row r="108" spans="1:58" ht="14.25" x14ac:dyDescent="0.2">
      <c r="A108" s="11">
        <v>625</v>
      </c>
      <c r="B108" s="13">
        <v>3</v>
      </c>
      <c r="C108" s="15">
        <v>3</v>
      </c>
      <c r="D108" s="14">
        <v>3</v>
      </c>
      <c r="E108" s="1" t="s">
        <v>2729</v>
      </c>
      <c r="F108" s="1" t="s">
        <v>120</v>
      </c>
      <c r="G108" s="1" t="s">
        <v>2730</v>
      </c>
      <c r="H108" s="1" t="s">
        <v>2740</v>
      </c>
      <c r="I108" s="1" t="s">
        <v>2696</v>
      </c>
      <c r="J108" s="16" t="s">
        <v>2741</v>
      </c>
      <c r="K108" t="s">
        <v>166</v>
      </c>
      <c r="L108" t="s">
        <v>163</v>
      </c>
      <c r="M108" t="s">
        <v>163</v>
      </c>
      <c r="N108" t="s">
        <v>163</v>
      </c>
      <c r="O108" s="4" t="s">
        <v>339</v>
      </c>
      <c r="P108">
        <v>0</v>
      </c>
      <c r="Q108" s="24">
        <v>11.5</v>
      </c>
      <c r="R108" s="25">
        <v>10.1</v>
      </c>
      <c r="S108" s="26">
        <v>14.7</v>
      </c>
      <c r="U108" s="3">
        <v>105</v>
      </c>
      <c r="V108" s="1">
        <v>805580</v>
      </c>
      <c r="W108" s="1">
        <v>65505</v>
      </c>
      <c r="Y108">
        <v>7</v>
      </c>
      <c r="Z108">
        <v>15</v>
      </c>
      <c r="AA108" s="3">
        <v>25</v>
      </c>
      <c r="AB108" s="3">
        <v>6</v>
      </c>
      <c r="AC108">
        <v>82</v>
      </c>
      <c r="AD108" s="9">
        <f t="shared" si="35"/>
        <v>4978.9166666666661</v>
      </c>
      <c r="AE108">
        <f t="shared" si="30"/>
        <v>388360</v>
      </c>
      <c r="AF108" s="2">
        <f t="shared" si="36"/>
        <v>6.5</v>
      </c>
      <c r="AG108" t="str">
        <f t="shared" si="37"/>
        <v>82小时</v>
      </c>
      <c r="AH108">
        <f t="shared" si="38"/>
        <v>20</v>
      </c>
      <c r="AI108">
        <f t="shared" si="39"/>
        <v>4</v>
      </c>
      <c r="AJ108">
        <f t="shared" si="31"/>
        <v>18.299999999999997</v>
      </c>
      <c r="AK108">
        <f t="shared" si="40"/>
        <v>10</v>
      </c>
      <c r="AL108">
        <f t="shared" si="32"/>
        <v>6.5</v>
      </c>
      <c r="AM108" s="2">
        <f t="shared" si="41"/>
        <v>4</v>
      </c>
      <c r="AP108">
        <v>39</v>
      </c>
      <c r="AQ108">
        <v>47</v>
      </c>
      <c r="AR108">
        <v>49</v>
      </c>
      <c r="AX108">
        <v>105</v>
      </c>
      <c r="AY108">
        <v>105</v>
      </c>
      <c r="AZ108" s="3">
        <f t="shared" si="33"/>
        <v>805580</v>
      </c>
      <c r="BA108" t="e">
        <f>AZ108/(#REF!*60/5)/60</f>
        <v>#REF!</v>
      </c>
      <c r="BB108">
        <v>60</v>
      </c>
      <c r="BC108">
        <f t="shared" si="34"/>
        <v>3.6196581196581197</v>
      </c>
      <c r="BD108" s="2">
        <f t="shared" si="42"/>
        <v>18.299999999999997</v>
      </c>
      <c r="BE108">
        <f t="shared" si="43"/>
        <v>6.5</v>
      </c>
      <c r="BF108">
        <f t="shared" si="44"/>
        <v>37440</v>
      </c>
    </row>
    <row r="109" spans="1:58" ht="14.25" x14ac:dyDescent="0.2">
      <c r="A109" s="11">
        <v>626</v>
      </c>
      <c r="B109" s="13">
        <v>3</v>
      </c>
      <c r="C109" s="15">
        <v>3</v>
      </c>
      <c r="D109" s="14">
        <v>3</v>
      </c>
      <c r="E109" s="1" t="s">
        <v>2733</v>
      </c>
      <c r="F109" s="1" t="s">
        <v>2734</v>
      </c>
      <c r="G109" s="1" t="s">
        <v>119</v>
      </c>
      <c r="H109" s="1" t="s">
        <v>119</v>
      </c>
      <c r="I109" s="1" t="s">
        <v>2735</v>
      </c>
      <c r="J109" s="16" t="s">
        <v>2736</v>
      </c>
      <c r="K109" t="s">
        <v>168</v>
      </c>
      <c r="L109" t="s">
        <v>163</v>
      </c>
      <c r="M109" t="s">
        <v>163</v>
      </c>
      <c r="N109" t="s">
        <v>163</v>
      </c>
      <c r="O109" s="4" t="s">
        <v>341</v>
      </c>
      <c r="P109">
        <v>0</v>
      </c>
      <c r="Q109" s="24">
        <v>12</v>
      </c>
      <c r="R109" s="25">
        <v>10.5</v>
      </c>
      <c r="S109" s="26">
        <v>15.3</v>
      </c>
      <c r="U109" s="3">
        <v>106</v>
      </c>
      <c r="V109" s="1">
        <v>828480</v>
      </c>
      <c r="W109" s="1">
        <v>65926</v>
      </c>
      <c r="Y109">
        <v>7</v>
      </c>
      <c r="Z109">
        <v>16</v>
      </c>
      <c r="AA109" s="3">
        <v>20</v>
      </c>
      <c r="AB109" s="3">
        <v>6</v>
      </c>
      <c r="AC109">
        <v>85</v>
      </c>
      <c r="AD109" s="9">
        <f t="shared" si="35"/>
        <v>5369.5833333333339</v>
      </c>
      <c r="AE109">
        <f t="shared" si="30"/>
        <v>431720</v>
      </c>
      <c r="AF109" s="2">
        <f t="shared" si="36"/>
        <v>6.7</v>
      </c>
      <c r="AG109" t="str">
        <f t="shared" si="37"/>
        <v>89小时</v>
      </c>
      <c r="AH109">
        <f t="shared" si="38"/>
        <v>21</v>
      </c>
      <c r="AI109">
        <f t="shared" si="39"/>
        <v>4</v>
      </c>
      <c r="AJ109">
        <f t="shared" si="31"/>
        <v>18.600000000000001</v>
      </c>
      <c r="AK109">
        <f t="shared" si="40"/>
        <v>10</v>
      </c>
      <c r="AL109">
        <f t="shared" si="32"/>
        <v>6.7</v>
      </c>
      <c r="AM109" s="2">
        <f t="shared" si="41"/>
        <v>4</v>
      </c>
      <c r="AP109">
        <v>39</v>
      </c>
      <c r="AQ109">
        <v>49</v>
      </c>
      <c r="AR109">
        <v>52</v>
      </c>
      <c r="AX109">
        <v>106</v>
      </c>
      <c r="AY109">
        <v>106</v>
      </c>
      <c r="AZ109" s="3">
        <f t="shared" si="33"/>
        <v>828480</v>
      </c>
      <c r="BA109" t="e">
        <f>AZ109/(#REF!*60/5)/60</f>
        <v>#REF!</v>
      </c>
      <c r="BB109">
        <v>60</v>
      </c>
      <c r="BC109">
        <f t="shared" si="34"/>
        <v>3.5116086235489221</v>
      </c>
      <c r="BD109" s="2">
        <f t="shared" si="42"/>
        <v>18.600000000000001</v>
      </c>
      <c r="BE109">
        <f t="shared" si="43"/>
        <v>6.7</v>
      </c>
      <c r="BF109">
        <f t="shared" si="44"/>
        <v>38592</v>
      </c>
    </row>
    <row r="110" spans="1:58" ht="14.25" x14ac:dyDescent="0.2">
      <c r="A110" s="11">
        <v>627</v>
      </c>
      <c r="B110" s="13">
        <v>3</v>
      </c>
      <c r="C110" s="15">
        <v>3</v>
      </c>
      <c r="D110" s="14">
        <v>3</v>
      </c>
      <c r="E110" s="1" t="s">
        <v>2733</v>
      </c>
      <c r="F110" s="1" t="s">
        <v>2737</v>
      </c>
      <c r="G110" s="1" t="s">
        <v>119</v>
      </c>
      <c r="H110" s="1" t="s">
        <v>119</v>
      </c>
      <c r="I110" s="1" t="s">
        <v>2735</v>
      </c>
      <c r="J110" s="16" t="s">
        <v>2736</v>
      </c>
      <c r="K110" t="s">
        <v>175</v>
      </c>
      <c r="L110" t="s">
        <v>164</v>
      </c>
      <c r="M110" t="s">
        <v>163</v>
      </c>
      <c r="N110" t="s">
        <v>167</v>
      </c>
      <c r="O110" s="4" t="s">
        <v>343</v>
      </c>
      <c r="P110">
        <v>0</v>
      </c>
      <c r="Q110" s="24">
        <v>12</v>
      </c>
      <c r="R110" s="25">
        <v>10.5</v>
      </c>
      <c r="S110" s="26">
        <v>15.3</v>
      </c>
      <c r="U110" s="3">
        <v>107</v>
      </c>
      <c r="V110" s="1">
        <v>851810</v>
      </c>
      <c r="W110" s="1">
        <v>66351</v>
      </c>
      <c r="Y110">
        <v>7</v>
      </c>
      <c r="Z110">
        <v>17</v>
      </c>
      <c r="AA110" s="3">
        <v>20</v>
      </c>
      <c r="AB110" s="3">
        <v>6</v>
      </c>
      <c r="AC110">
        <v>85</v>
      </c>
      <c r="AD110" s="9">
        <f t="shared" si="35"/>
        <v>5369.5833333333339</v>
      </c>
      <c r="AE110">
        <f t="shared" si="30"/>
        <v>431720</v>
      </c>
      <c r="AF110" s="2">
        <f t="shared" si="36"/>
        <v>6.7</v>
      </c>
      <c r="AG110" t="str">
        <f t="shared" si="37"/>
        <v>89小时</v>
      </c>
      <c r="AH110">
        <f t="shared" si="38"/>
        <v>21</v>
      </c>
      <c r="AI110">
        <f t="shared" si="39"/>
        <v>4</v>
      </c>
      <c r="AJ110">
        <f t="shared" si="31"/>
        <v>18.600000000000001</v>
      </c>
      <c r="AK110">
        <f t="shared" si="40"/>
        <v>10</v>
      </c>
      <c r="AL110">
        <f t="shared" si="32"/>
        <v>6.7</v>
      </c>
      <c r="AM110" s="2">
        <f t="shared" si="41"/>
        <v>4</v>
      </c>
      <c r="AP110">
        <v>39</v>
      </c>
      <c r="AQ110">
        <v>49</v>
      </c>
      <c r="AR110">
        <v>52</v>
      </c>
      <c r="AX110">
        <v>107</v>
      </c>
      <c r="AY110">
        <v>107</v>
      </c>
      <c r="AZ110" s="3">
        <f t="shared" si="33"/>
        <v>851810</v>
      </c>
      <c r="BA110" t="e">
        <f>AZ110/(#REF!*60/5)/60</f>
        <v>#REF!</v>
      </c>
      <c r="BB110">
        <v>60</v>
      </c>
      <c r="BC110">
        <f t="shared" si="34"/>
        <v>3.5116086235489221</v>
      </c>
      <c r="BD110" s="2">
        <f t="shared" si="42"/>
        <v>18.600000000000001</v>
      </c>
      <c r="BE110">
        <f t="shared" si="43"/>
        <v>6.7</v>
      </c>
      <c r="BF110">
        <f t="shared" si="44"/>
        <v>38592</v>
      </c>
    </row>
    <row r="111" spans="1:58" ht="14.25" x14ac:dyDescent="0.2">
      <c r="A111" s="11">
        <v>628</v>
      </c>
      <c r="B111" s="13">
        <v>3</v>
      </c>
      <c r="C111" s="15">
        <v>3</v>
      </c>
      <c r="D111" s="14">
        <v>3</v>
      </c>
      <c r="E111" s="1" t="s">
        <v>2733</v>
      </c>
      <c r="F111" s="1" t="s">
        <v>2738</v>
      </c>
      <c r="G111" s="1" t="s">
        <v>119</v>
      </c>
      <c r="H111" s="1" t="s">
        <v>119</v>
      </c>
      <c r="I111" s="1" t="s">
        <v>2735</v>
      </c>
      <c r="J111" s="16" t="s">
        <v>2736</v>
      </c>
      <c r="K111" t="s">
        <v>179</v>
      </c>
      <c r="L111" t="s">
        <v>163</v>
      </c>
      <c r="M111" t="s">
        <v>163</v>
      </c>
      <c r="N111" t="s">
        <v>163</v>
      </c>
      <c r="O111" s="4" t="s">
        <v>345</v>
      </c>
      <c r="P111">
        <v>0</v>
      </c>
      <c r="Q111" s="24">
        <v>12</v>
      </c>
      <c r="R111" s="25">
        <v>10.5</v>
      </c>
      <c r="S111" s="26">
        <v>15.3</v>
      </c>
      <c r="U111" s="3">
        <v>108</v>
      </c>
      <c r="V111" s="1">
        <v>875574</v>
      </c>
      <c r="W111" s="1">
        <v>66780</v>
      </c>
      <c r="Y111">
        <v>7</v>
      </c>
      <c r="Z111">
        <v>18</v>
      </c>
      <c r="AA111" s="3">
        <v>20</v>
      </c>
      <c r="AB111" s="3">
        <v>6</v>
      </c>
      <c r="AC111">
        <v>85</v>
      </c>
      <c r="AD111" s="9">
        <f t="shared" si="35"/>
        <v>5369.5833333333339</v>
      </c>
      <c r="AE111">
        <f t="shared" si="30"/>
        <v>431720</v>
      </c>
      <c r="AF111" s="2">
        <f t="shared" si="36"/>
        <v>6.7</v>
      </c>
      <c r="AG111" t="str">
        <f t="shared" si="37"/>
        <v>89小时</v>
      </c>
      <c r="AH111">
        <f t="shared" si="38"/>
        <v>21</v>
      </c>
      <c r="AI111">
        <f t="shared" si="39"/>
        <v>4</v>
      </c>
      <c r="AJ111">
        <f t="shared" si="31"/>
        <v>18.600000000000001</v>
      </c>
      <c r="AK111">
        <f t="shared" si="40"/>
        <v>10</v>
      </c>
      <c r="AL111">
        <f t="shared" si="32"/>
        <v>6.7</v>
      </c>
      <c r="AM111" s="2">
        <f t="shared" si="41"/>
        <v>4</v>
      </c>
      <c r="AP111">
        <v>39</v>
      </c>
      <c r="AQ111">
        <v>49</v>
      </c>
      <c r="AR111">
        <v>52</v>
      </c>
      <c r="AX111">
        <v>108</v>
      </c>
      <c r="AY111">
        <v>108</v>
      </c>
      <c r="AZ111" s="3">
        <f t="shared" si="33"/>
        <v>875574</v>
      </c>
      <c r="BA111" t="e">
        <f>AZ111/(#REF!*60/5)/60</f>
        <v>#REF!</v>
      </c>
      <c r="BB111">
        <v>60</v>
      </c>
      <c r="BC111">
        <f t="shared" si="34"/>
        <v>3.5116086235489221</v>
      </c>
      <c r="BD111" s="2">
        <f t="shared" si="42"/>
        <v>18.600000000000001</v>
      </c>
      <c r="BE111">
        <f t="shared" si="43"/>
        <v>6.7</v>
      </c>
      <c r="BF111">
        <f t="shared" si="44"/>
        <v>38592</v>
      </c>
    </row>
    <row r="112" spans="1:58" ht="14.25" x14ac:dyDescent="0.2">
      <c r="A112" s="11">
        <v>629</v>
      </c>
      <c r="B112" s="13">
        <v>3</v>
      </c>
      <c r="C112" s="15">
        <v>3</v>
      </c>
      <c r="D112" s="14">
        <v>3</v>
      </c>
      <c r="E112" s="1" t="s">
        <v>2733</v>
      </c>
      <c r="F112" s="1" t="s">
        <v>2739</v>
      </c>
      <c r="G112" s="1" t="s">
        <v>119</v>
      </c>
      <c r="H112" s="1" t="s">
        <v>119</v>
      </c>
      <c r="I112" s="1" t="s">
        <v>2735</v>
      </c>
      <c r="J112" s="16" t="s">
        <v>2736</v>
      </c>
      <c r="K112" t="s">
        <v>162</v>
      </c>
      <c r="L112" t="s">
        <v>163</v>
      </c>
      <c r="M112" t="s">
        <v>163</v>
      </c>
      <c r="N112" t="s">
        <v>163</v>
      </c>
      <c r="O112" s="4" t="s">
        <v>347</v>
      </c>
      <c r="P112">
        <v>0</v>
      </c>
      <c r="Q112" s="24">
        <v>12</v>
      </c>
      <c r="R112" s="25">
        <v>10.5</v>
      </c>
      <c r="S112" s="26">
        <v>15.3</v>
      </c>
      <c r="U112" s="3">
        <v>109</v>
      </c>
      <c r="V112" s="1">
        <v>899776</v>
      </c>
      <c r="W112" s="1">
        <v>67213</v>
      </c>
      <c r="Y112">
        <v>7</v>
      </c>
      <c r="Z112">
        <v>19</v>
      </c>
      <c r="AA112" s="3">
        <v>20</v>
      </c>
      <c r="AB112" s="3">
        <v>6</v>
      </c>
      <c r="AC112">
        <v>88</v>
      </c>
      <c r="AD112" s="9">
        <f t="shared" si="35"/>
        <v>5947.6666666666661</v>
      </c>
      <c r="AE112">
        <f t="shared" si="30"/>
        <v>478194</v>
      </c>
      <c r="AF112" s="2">
        <f t="shared" si="36"/>
        <v>6.7</v>
      </c>
      <c r="AG112" t="str">
        <f t="shared" si="37"/>
        <v>99小时</v>
      </c>
      <c r="AH112">
        <f t="shared" si="38"/>
        <v>21</v>
      </c>
      <c r="AI112">
        <f t="shared" si="39"/>
        <v>4</v>
      </c>
      <c r="AJ112">
        <f t="shared" si="31"/>
        <v>18.600000000000001</v>
      </c>
      <c r="AK112">
        <f t="shared" si="40"/>
        <v>10</v>
      </c>
      <c r="AL112">
        <f t="shared" si="32"/>
        <v>6.7</v>
      </c>
      <c r="AM112" s="2">
        <f t="shared" si="41"/>
        <v>4</v>
      </c>
      <c r="AP112">
        <v>39</v>
      </c>
      <c r="AQ112">
        <v>49</v>
      </c>
      <c r="AR112">
        <v>52</v>
      </c>
      <c r="AX112">
        <v>109</v>
      </c>
      <c r="AY112">
        <v>109</v>
      </c>
      <c r="AZ112" s="3">
        <f t="shared" si="33"/>
        <v>899776</v>
      </c>
      <c r="BA112" t="e">
        <f>AZ112/(#REF!*60/5)/60</f>
        <v>#REF!</v>
      </c>
      <c r="BB112">
        <v>60</v>
      </c>
      <c r="BC112">
        <f t="shared" si="34"/>
        <v>3.5116086235489221</v>
      </c>
      <c r="BD112" s="2">
        <f t="shared" si="42"/>
        <v>18.600000000000001</v>
      </c>
      <c r="BE112">
        <f t="shared" si="43"/>
        <v>6.7</v>
      </c>
      <c r="BF112">
        <f t="shared" si="44"/>
        <v>38592</v>
      </c>
    </row>
    <row r="113" spans="1:58" ht="14.25" x14ac:dyDescent="0.2">
      <c r="A113" s="11">
        <v>630</v>
      </c>
      <c r="B113" s="13">
        <v>3</v>
      </c>
      <c r="C113" s="15">
        <v>3</v>
      </c>
      <c r="D113" s="14">
        <v>3</v>
      </c>
      <c r="E113" s="1" t="s">
        <v>2729</v>
      </c>
      <c r="F113" s="1" t="s">
        <v>2742</v>
      </c>
      <c r="G113" s="1" t="s">
        <v>2743</v>
      </c>
      <c r="H113" s="1" t="s">
        <v>2744</v>
      </c>
      <c r="I113" s="1" t="s">
        <v>2696</v>
      </c>
      <c r="J113" s="16" t="s">
        <v>2847</v>
      </c>
      <c r="K113" t="s">
        <v>177</v>
      </c>
      <c r="L113" t="s">
        <v>163</v>
      </c>
      <c r="M113" t="s">
        <v>163</v>
      </c>
      <c r="N113" t="s">
        <v>163</v>
      </c>
      <c r="O113" s="4" t="s">
        <v>345</v>
      </c>
      <c r="P113">
        <v>0</v>
      </c>
      <c r="Q113" s="24">
        <v>12</v>
      </c>
      <c r="R113" s="25">
        <v>10.5</v>
      </c>
      <c r="S113" s="26">
        <v>15.3</v>
      </c>
      <c r="U113" s="3">
        <v>110</v>
      </c>
      <c r="V113" s="1">
        <v>924420</v>
      </c>
      <c r="W113" s="1">
        <v>75930</v>
      </c>
      <c r="Y113">
        <v>7</v>
      </c>
      <c r="Z113">
        <v>20</v>
      </c>
      <c r="AA113" s="3">
        <v>25</v>
      </c>
      <c r="AB113" s="3">
        <v>6</v>
      </c>
      <c r="AC113">
        <v>88</v>
      </c>
      <c r="AD113" s="9">
        <f t="shared" si="35"/>
        <v>5947.6666666666661</v>
      </c>
      <c r="AE113">
        <f t="shared" si="30"/>
        <v>478194</v>
      </c>
      <c r="AF113" s="2">
        <f t="shared" si="36"/>
        <v>6.7</v>
      </c>
      <c r="AG113" t="str">
        <f t="shared" si="37"/>
        <v>99小时</v>
      </c>
      <c r="AH113">
        <f t="shared" si="38"/>
        <v>21</v>
      </c>
      <c r="AI113">
        <f t="shared" si="39"/>
        <v>4</v>
      </c>
      <c r="AJ113">
        <f t="shared" si="31"/>
        <v>18.600000000000001</v>
      </c>
      <c r="AK113">
        <f t="shared" si="40"/>
        <v>10</v>
      </c>
      <c r="AL113">
        <f t="shared" si="32"/>
        <v>6.7</v>
      </c>
      <c r="AM113" s="2">
        <f t="shared" si="41"/>
        <v>4</v>
      </c>
      <c r="AP113">
        <v>39</v>
      </c>
      <c r="AQ113">
        <v>49</v>
      </c>
      <c r="AR113">
        <v>52</v>
      </c>
      <c r="AX113">
        <v>110</v>
      </c>
      <c r="AY113">
        <v>110</v>
      </c>
      <c r="AZ113" s="3">
        <f t="shared" si="33"/>
        <v>924420</v>
      </c>
      <c r="BA113" t="e">
        <f>AZ113/(#REF!*60/5)/60</f>
        <v>#REF!</v>
      </c>
      <c r="BB113">
        <v>60</v>
      </c>
      <c r="BC113">
        <f t="shared" si="34"/>
        <v>3.5116086235489221</v>
      </c>
      <c r="BD113" s="2">
        <f t="shared" si="42"/>
        <v>18.600000000000001</v>
      </c>
      <c r="BE113">
        <f t="shared" si="43"/>
        <v>6.7</v>
      </c>
      <c r="BF113">
        <f t="shared" si="44"/>
        <v>38592</v>
      </c>
    </row>
    <row r="114" spans="1:58" ht="14.25" x14ac:dyDescent="0.2">
      <c r="A114" s="11">
        <v>701</v>
      </c>
      <c r="B114" s="13">
        <v>3</v>
      </c>
      <c r="C114" s="15">
        <v>3</v>
      </c>
      <c r="D114" s="14">
        <v>3</v>
      </c>
      <c r="E114" s="1" t="s">
        <v>2733</v>
      </c>
      <c r="F114" s="1" t="s">
        <v>2734</v>
      </c>
      <c r="G114" s="1" t="s">
        <v>119</v>
      </c>
      <c r="H114" s="1" t="s">
        <v>119</v>
      </c>
      <c r="I114" s="1" t="s">
        <v>2735</v>
      </c>
      <c r="J114" s="16" t="s">
        <v>2745</v>
      </c>
      <c r="K114" t="s">
        <v>174</v>
      </c>
      <c r="L114" t="s">
        <v>163</v>
      </c>
      <c r="M114" t="s">
        <v>163</v>
      </c>
      <c r="N114" t="s">
        <v>163</v>
      </c>
      <c r="O114" s="4" t="s">
        <v>349</v>
      </c>
      <c r="P114">
        <v>0</v>
      </c>
      <c r="Q114" s="24">
        <v>12.5</v>
      </c>
      <c r="R114" s="25">
        <v>11</v>
      </c>
      <c r="S114" s="26">
        <v>16</v>
      </c>
      <c r="U114" s="3">
        <v>111</v>
      </c>
      <c r="V114" s="1">
        <v>949510</v>
      </c>
      <c r="W114" s="1">
        <v>76371</v>
      </c>
      <c r="Y114">
        <v>8</v>
      </c>
      <c r="Z114">
        <v>1</v>
      </c>
      <c r="AA114" s="3">
        <v>20</v>
      </c>
      <c r="AB114" s="3">
        <v>6</v>
      </c>
      <c r="AC114">
        <v>88</v>
      </c>
      <c r="AD114" s="9">
        <f t="shared" si="35"/>
        <v>5692.75</v>
      </c>
      <c r="AE114">
        <f t="shared" si="30"/>
        <v>478194</v>
      </c>
      <c r="AF114" s="2">
        <f t="shared" si="36"/>
        <v>7</v>
      </c>
      <c r="AG114" t="str">
        <f t="shared" si="37"/>
        <v>94小时</v>
      </c>
      <c r="AH114">
        <f t="shared" si="38"/>
        <v>21</v>
      </c>
      <c r="AI114">
        <f t="shared" si="39"/>
        <v>4</v>
      </c>
      <c r="AJ114">
        <f t="shared" si="31"/>
        <v>19</v>
      </c>
      <c r="AK114">
        <f t="shared" si="40"/>
        <v>10</v>
      </c>
      <c r="AL114">
        <f t="shared" si="32"/>
        <v>7</v>
      </c>
      <c r="AM114" s="2">
        <f t="shared" si="41"/>
        <v>4</v>
      </c>
      <c r="AX114">
        <v>111</v>
      </c>
      <c r="AY114">
        <v>111</v>
      </c>
      <c r="AZ114" s="3">
        <f t="shared" si="33"/>
        <v>949510</v>
      </c>
      <c r="BA114" t="e">
        <f>AZ114/(#REF!*60/5)/60</f>
        <v>#REF!</v>
      </c>
      <c r="BB114">
        <v>70</v>
      </c>
      <c r="BC114">
        <f t="shared" si="34"/>
        <v>4.4702380952380949</v>
      </c>
      <c r="BD114" s="2">
        <f t="shared" si="42"/>
        <v>19</v>
      </c>
      <c r="BE114">
        <f t="shared" si="43"/>
        <v>7</v>
      </c>
      <c r="BF114">
        <f t="shared" si="44"/>
        <v>40320</v>
      </c>
    </row>
    <row r="115" spans="1:58" ht="14.25" x14ac:dyDescent="0.2">
      <c r="A115" s="11">
        <v>702</v>
      </c>
      <c r="B115" s="13">
        <v>3</v>
      </c>
      <c r="C115" s="15">
        <v>3</v>
      </c>
      <c r="D115" s="14">
        <v>3</v>
      </c>
      <c r="E115" s="1" t="s">
        <v>2733</v>
      </c>
      <c r="F115" s="1" t="s">
        <v>2737</v>
      </c>
      <c r="G115" s="1" t="s">
        <v>119</v>
      </c>
      <c r="H115" s="1" t="s">
        <v>119</v>
      </c>
      <c r="I115" s="1" t="s">
        <v>2735</v>
      </c>
      <c r="J115" s="16" t="s">
        <v>2745</v>
      </c>
      <c r="K115" t="s">
        <v>166</v>
      </c>
      <c r="L115" t="s">
        <v>163</v>
      </c>
      <c r="M115" t="s">
        <v>163</v>
      </c>
      <c r="N115" t="s">
        <v>163</v>
      </c>
      <c r="O115" s="4" t="s">
        <v>349</v>
      </c>
      <c r="P115">
        <v>0</v>
      </c>
      <c r="Q115" s="24">
        <v>12.5</v>
      </c>
      <c r="R115" s="25">
        <v>11</v>
      </c>
      <c r="S115" s="26">
        <v>16</v>
      </c>
      <c r="U115" s="3">
        <v>112</v>
      </c>
      <c r="V115" s="1">
        <v>975050</v>
      </c>
      <c r="W115" s="1">
        <v>76816</v>
      </c>
      <c r="Y115">
        <v>8</v>
      </c>
      <c r="Z115">
        <v>2</v>
      </c>
      <c r="AA115" s="3">
        <v>20</v>
      </c>
      <c r="AB115" s="3">
        <v>6</v>
      </c>
      <c r="AC115">
        <v>90</v>
      </c>
      <c r="AD115" s="9">
        <f t="shared" si="35"/>
        <v>6082.833333333333</v>
      </c>
      <c r="AE115">
        <f t="shared" si="30"/>
        <v>510960</v>
      </c>
      <c r="AF115" s="2">
        <f t="shared" si="36"/>
        <v>7</v>
      </c>
      <c r="AG115" t="str">
        <f t="shared" si="37"/>
        <v>101小时</v>
      </c>
      <c r="AH115">
        <f t="shared" si="38"/>
        <v>21</v>
      </c>
      <c r="AI115">
        <f t="shared" si="39"/>
        <v>4</v>
      </c>
      <c r="AJ115">
        <f t="shared" si="31"/>
        <v>19</v>
      </c>
      <c r="AK115">
        <f t="shared" si="40"/>
        <v>10</v>
      </c>
      <c r="AL115">
        <f t="shared" si="32"/>
        <v>7</v>
      </c>
      <c r="AM115" s="2">
        <f t="shared" si="41"/>
        <v>4</v>
      </c>
      <c r="AX115">
        <v>112</v>
      </c>
      <c r="AY115">
        <v>112</v>
      </c>
      <c r="AZ115" s="3">
        <f t="shared" si="33"/>
        <v>975050</v>
      </c>
      <c r="BA115" t="e">
        <f>AZ115/(#REF!*60/5)/60</f>
        <v>#REF!</v>
      </c>
      <c r="BB115">
        <v>70</v>
      </c>
      <c r="BC115">
        <f t="shared" si="34"/>
        <v>4.4702380952380949</v>
      </c>
      <c r="BD115" s="2">
        <f t="shared" si="42"/>
        <v>19</v>
      </c>
      <c r="BE115">
        <f t="shared" si="43"/>
        <v>7</v>
      </c>
      <c r="BF115">
        <f t="shared" si="44"/>
        <v>40320</v>
      </c>
    </row>
    <row r="116" spans="1:58" ht="14.25" x14ac:dyDescent="0.2">
      <c r="A116" s="11">
        <v>703</v>
      </c>
      <c r="B116" s="13">
        <v>3</v>
      </c>
      <c r="C116" s="15">
        <v>3</v>
      </c>
      <c r="D116" s="14">
        <v>3</v>
      </c>
      <c r="E116" s="1" t="s">
        <v>2733</v>
      </c>
      <c r="F116" s="1" t="s">
        <v>2738</v>
      </c>
      <c r="G116" s="1" t="s">
        <v>119</v>
      </c>
      <c r="H116" s="1" t="s">
        <v>119</v>
      </c>
      <c r="I116" s="1" t="s">
        <v>2735</v>
      </c>
      <c r="J116" s="16" t="s">
        <v>2745</v>
      </c>
      <c r="K116" t="s">
        <v>168</v>
      </c>
      <c r="L116" t="s">
        <v>163</v>
      </c>
      <c r="M116" t="s">
        <v>163</v>
      </c>
      <c r="N116" t="s">
        <v>163</v>
      </c>
      <c r="O116" s="4" t="s">
        <v>351</v>
      </c>
      <c r="P116">
        <v>0</v>
      </c>
      <c r="Q116" s="24">
        <v>12.5</v>
      </c>
      <c r="R116" s="25">
        <v>11</v>
      </c>
      <c r="S116" s="26">
        <v>16</v>
      </c>
      <c r="U116" s="3">
        <v>113</v>
      </c>
      <c r="V116" s="1">
        <v>1001044</v>
      </c>
      <c r="W116" s="1">
        <v>77265</v>
      </c>
      <c r="Y116">
        <v>8</v>
      </c>
      <c r="Z116">
        <v>3</v>
      </c>
      <c r="AA116" s="3">
        <v>20</v>
      </c>
      <c r="AB116" s="3">
        <v>6</v>
      </c>
      <c r="AC116">
        <v>90</v>
      </c>
      <c r="AD116" s="9">
        <f t="shared" si="35"/>
        <v>6082.833333333333</v>
      </c>
      <c r="AE116">
        <f t="shared" si="30"/>
        <v>510960</v>
      </c>
      <c r="AF116" s="2">
        <f t="shared" si="36"/>
        <v>7</v>
      </c>
      <c r="AG116" t="str">
        <f t="shared" si="37"/>
        <v>101小时</v>
      </c>
      <c r="AH116">
        <f t="shared" si="38"/>
        <v>21</v>
      </c>
      <c r="AI116">
        <f t="shared" si="39"/>
        <v>4</v>
      </c>
      <c r="AJ116">
        <f t="shared" si="31"/>
        <v>19</v>
      </c>
      <c r="AK116">
        <f t="shared" si="40"/>
        <v>10</v>
      </c>
      <c r="AL116">
        <f t="shared" si="32"/>
        <v>7</v>
      </c>
      <c r="AM116" s="2">
        <f t="shared" si="41"/>
        <v>4</v>
      </c>
      <c r="AX116">
        <v>113</v>
      </c>
      <c r="AY116">
        <v>113</v>
      </c>
      <c r="AZ116" s="3">
        <f t="shared" si="33"/>
        <v>1001044</v>
      </c>
      <c r="BA116" t="e">
        <f>AZ116/(#REF!*60/5)/60</f>
        <v>#REF!</v>
      </c>
      <c r="BB116">
        <v>70</v>
      </c>
      <c r="BC116">
        <f t="shared" si="34"/>
        <v>4.4702380952380949</v>
      </c>
      <c r="BD116" s="2">
        <f t="shared" si="42"/>
        <v>19</v>
      </c>
      <c r="BE116">
        <f t="shared" si="43"/>
        <v>7</v>
      </c>
      <c r="BF116">
        <f t="shared" si="44"/>
        <v>40320</v>
      </c>
    </row>
    <row r="117" spans="1:58" ht="14.25" x14ac:dyDescent="0.2">
      <c r="A117" s="11">
        <v>704</v>
      </c>
      <c r="B117" s="13">
        <v>3</v>
      </c>
      <c r="C117" s="15">
        <v>3</v>
      </c>
      <c r="D117" s="14">
        <v>3</v>
      </c>
      <c r="E117" s="1" t="s">
        <v>2733</v>
      </c>
      <c r="F117" s="1" t="s">
        <v>2739</v>
      </c>
      <c r="G117" s="1" t="s">
        <v>119</v>
      </c>
      <c r="H117" s="1" t="s">
        <v>119</v>
      </c>
      <c r="I117" s="1" t="s">
        <v>2735</v>
      </c>
      <c r="J117" s="16" t="s">
        <v>2745</v>
      </c>
      <c r="K117" t="s">
        <v>175</v>
      </c>
      <c r="L117" t="s">
        <v>164</v>
      </c>
      <c r="M117" t="s">
        <v>163</v>
      </c>
      <c r="N117" t="s">
        <v>167</v>
      </c>
      <c r="O117" s="4" t="s">
        <v>353</v>
      </c>
      <c r="P117">
        <v>0</v>
      </c>
      <c r="Q117" s="24">
        <v>12.5</v>
      </c>
      <c r="R117" s="25">
        <v>11</v>
      </c>
      <c r="S117" s="26">
        <v>16</v>
      </c>
      <c r="U117" s="3">
        <v>114</v>
      </c>
      <c r="V117" s="1">
        <v>1027496</v>
      </c>
      <c r="W117" s="1">
        <v>77718</v>
      </c>
      <c r="Y117">
        <v>8</v>
      </c>
      <c r="Z117">
        <v>4</v>
      </c>
      <c r="AA117" s="3">
        <v>20</v>
      </c>
      <c r="AB117" s="3">
        <v>6</v>
      </c>
      <c r="AC117">
        <v>90</v>
      </c>
      <c r="AD117" s="9">
        <f t="shared" si="35"/>
        <v>6082.833333333333</v>
      </c>
      <c r="AE117">
        <f t="shared" si="30"/>
        <v>510960</v>
      </c>
      <c r="AF117" s="2">
        <f t="shared" si="36"/>
        <v>7</v>
      </c>
      <c r="AG117" t="str">
        <f t="shared" si="37"/>
        <v>101小时</v>
      </c>
      <c r="AH117">
        <f t="shared" si="38"/>
        <v>21</v>
      </c>
      <c r="AI117">
        <f t="shared" si="39"/>
        <v>4</v>
      </c>
      <c r="AJ117">
        <f t="shared" si="31"/>
        <v>19</v>
      </c>
      <c r="AK117">
        <f t="shared" si="40"/>
        <v>10</v>
      </c>
      <c r="AL117">
        <f t="shared" si="32"/>
        <v>7</v>
      </c>
      <c r="AM117" s="2">
        <f t="shared" si="41"/>
        <v>4</v>
      </c>
      <c r="AX117">
        <v>114</v>
      </c>
      <c r="AY117">
        <v>114</v>
      </c>
      <c r="AZ117" s="3">
        <f t="shared" si="33"/>
        <v>1027496</v>
      </c>
      <c r="BA117" t="e">
        <f>AZ117/(#REF!*60/5)/60</f>
        <v>#REF!</v>
      </c>
      <c r="BB117">
        <v>70</v>
      </c>
      <c r="BC117">
        <f t="shared" si="34"/>
        <v>4.4702380952380949</v>
      </c>
      <c r="BD117" s="2">
        <f t="shared" si="42"/>
        <v>19</v>
      </c>
      <c r="BE117">
        <f t="shared" si="43"/>
        <v>7</v>
      </c>
      <c r="BF117">
        <f t="shared" si="44"/>
        <v>40320</v>
      </c>
    </row>
    <row r="118" spans="1:58" ht="14.25" x14ac:dyDescent="0.2">
      <c r="A118" s="11">
        <v>705</v>
      </c>
      <c r="B118" s="13">
        <v>3</v>
      </c>
      <c r="C118" s="15">
        <v>3</v>
      </c>
      <c r="D118" s="14">
        <v>3</v>
      </c>
      <c r="E118" s="1" t="s">
        <v>2729</v>
      </c>
      <c r="F118" s="1" t="s">
        <v>2742</v>
      </c>
      <c r="G118" s="1" t="s">
        <v>2746</v>
      </c>
      <c r="H118" s="1" t="s">
        <v>2747</v>
      </c>
      <c r="I118" s="1" t="s">
        <v>2696</v>
      </c>
      <c r="J118" s="16" t="s">
        <v>2848</v>
      </c>
      <c r="K118" t="s">
        <v>179</v>
      </c>
      <c r="L118" t="s">
        <v>163</v>
      </c>
      <c r="M118" t="s">
        <v>163</v>
      </c>
      <c r="N118" t="s">
        <v>163</v>
      </c>
      <c r="O118" s="4" t="s">
        <v>351</v>
      </c>
      <c r="P118">
        <v>0</v>
      </c>
      <c r="Q118" s="24">
        <v>12.5</v>
      </c>
      <c r="R118" s="25">
        <v>11</v>
      </c>
      <c r="S118" s="26">
        <v>16</v>
      </c>
      <c r="U118" s="3">
        <v>115</v>
      </c>
      <c r="V118" s="1">
        <v>1054410</v>
      </c>
      <c r="W118" s="1">
        <v>80335</v>
      </c>
      <c r="Y118">
        <v>8</v>
      </c>
      <c r="Z118">
        <v>5</v>
      </c>
      <c r="AA118" s="3">
        <v>25</v>
      </c>
      <c r="AB118" s="3">
        <v>6</v>
      </c>
      <c r="AC118">
        <v>92</v>
      </c>
      <c r="AD118" s="9">
        <f t="shared" si="35"/>
        <v>6490.333333333333</v>
      </c>
      <c r="AE118">
        <f t="shared" si="30"/>
        <v>545190</v>
      </c>
      <c r="AF118" s="2">
        <f t="shared" si="36"/>
        <v>7</v>
      </c>
      <c r="AG118" t="str">
        <f t="shared" si="37"/>
        <v>108小时</v>
      </c>
      <c r="AH118">
        <f t="shared" si="38"/>
        <v>21</v>
      </c>
      <c r="AI118">
        <f t="shared" si="39"/>
        <v>4</v>
      </c>
      <c r="AJ118">
        <f t="shared" si="31"/>
        <v>19</v>
      </c>
      <c r="AK118">
        <f t="shared" si="40"/>
        <v>10</v>
      </c>
      <c r="AL118">
        <f t="shared" si="32"/>
        <v>7</v>
      </c>
      <c r="AM118" s="2">
        <f t="shared" si="41"/>
        <v>4</v>
      </c>
      <c r="AX118">
        <v>115</v>
      </c>
      <c r="AY118">
        <v>115</v>
      </c>
      <c r="AZ118" s="3">
        <f t="shared" si="33"/>
        <v>1054410</v>
      </c>
      <c r="BA118" t="e">
        <f>AZ118/(#REF!*60/5)/60</f>
        <v>#REF!</v>
      </c>
      <c r="BB118">
        <v>70</v>
      </c>
      <c r="BC118">
        <f t="shared" si="34"/>
        <v>4.4702380952380949</v>
      </c>
      <c r="BD118" s="2">
        <f t="shared" si="42"/>
        <v>19</v>
      </c>
      <c r="BE118">
        <f t="shared" si="43"/>
        <v>7</v>
      </c>
      <c r="BF118">
        <f t="shared" si="44"/>
        <v>40320</v>
      </c>
    </row>
    <row r="119" spans="1:58" ht="14.25" x14ac:dyDescent="0.2">
      <c r="A119" s="11">
        <v>706</v>
      </c>
      <c r="B119" s="13">
        <v>3</v>
      </c>
      <c r="C119" s="15">
        <v>3</v>
      </c>
      <c r="D119" s="14">
        <v>3</v>
      </c>
      <c r="E119" s="1" t="s">
        <v>2733</v>
      </c>
      <c r="F119" s="1" t="s">
        <v>2734</v>
      </c>
      <c r="G119" s="1" t="s">
        <v>119</v>
      </c>
      <c r="H119" s="1" t="s">
        <v>119</v>
      </c>
      <c r="I119" s="1" t="s">
        <v>2735</v>
      </c>
      <c r="J119" s="16" t="s">
        <v>2745</v>
      </c>
      <c r="K119" t="s">
        <v>162</v>
      </c>
      <c r="L119" t="s">
        <v>163</v>
      </c>
      <c r="M119" t="s">
        <v>163</v>
      </c>
      <c r="N119" t="s">
        <v>163</v>
      </c>
      <c r="O119" s="4" t="s">
        <v>355</v>
      </c>
      <c r="P119">
        <v>0</v>
      </c>
      <c r="Q119" s="24">
        <v>13</v>
      </c>
      <c r="R119" s="25">
        <v>11.5</v>
      </c>
      <c r="S119" s="26">
        <v>16.7</v>
      </c>
      <c r="U119" s="3">
        <v>116</v>
      </c>
      <c r="V119" s="1">
        <v>1081790</v>
      </c>
      <c r="W119" s="1">
        <v>80796</v>
      </c>
      <c r="Y119">
        <v>8</v>
      </c>
      <c r="Z119">
        <v>6</v>
      </c>
      <c r="AA119" s="3">
        <v>20</v>
      </c>
      <c r="AB119" s="3">
        <v>6</v>
      </c>
      <c r="AC119">
        <v>92</v>
      </c>
      <c r="AD119" s="9">
        <f t="shared" si="35"/>
        <v>6310</v>
      </c>
      <c r="AE119">
        <f t="shared" si="30"/>
        <v>545190</v>
      </c>
      <c r="AF119" s="2">
        <f t="shared" si="36"/>
        <v>7.2</v>
      </c>
      <c r="AG119" t="str">
        <f t="shared" si="37"/>
        <v>105小时</v>
      </c>
      <c r="AH119">
        <f t="shared" si="38"/>
        <v>22</v>
      </c>
      <c r="AI119">
        <f t="shared" si="39"/>
        <v>4</v>
      </c>
      <c r="AJ119">
        <f t="shared" si="31"/>
        <v>19.3</v>
      </c>
      <c r="AK119">
        <f t="shared" si="40"/>
        <v>10</v>
      </c>
      <c r="AL119">
        <f t="shared" si="32"/>
        <v>7.2</v>
      </c>
      <c r="AM119" s="2">
        <f t="shared" si="41"/>
        <v>4</v>
      </c>
      <c r="AX119">
        <v>116</v>
      </c>
      <c r="AY119">
        <v>116</v>
      </c>
      <c r="AZ119" s="3">
        <f t="shared" si="33"/>
        <v>1081790</v>
      </c>
      <c r="BA119" t="e">
        <f>AZ119/(#REF!*60/5)/60</f>
        <v>#REF!</v>
      </c>
      <c r="BB119">
        <v>70</v>
      </c>
      <c r="BC119">
        <f t="shared" si="34"/>
        <v>4.3460648148148149</v>
      </c>
      <c r="BD119" s="2">
        <f t="shared" si="42"/>
        <v>19.3</v>
      </c>
      <c r="BE119">
        <f t="shared" si="43"/>
        <v>7.2</v>
      </c>
      <c r="BF119">
        <f t="shared" si="44"/>
        <v>41472</v>
      </c>
    </row>
    <row r="120" spans="1:58" ht="14.25" x14ac:dyDescent="0.2">
      <c r="A120" s="11">
        <v>707</v>
      </c>
      <c r="B120" s="13">
        <v>3</v>
      </c>
      <c r="C120" s="15">
        <v>3</v>
      </c>
      <c r="D120" s="14">
        <v>3</v>
      </c>
      <c r="E120" s="1" t="s">
        <v>2733</v>
      </c>
      <c r="F120" s="1" t="s">
        <v>2737</v>
      </c>
      <c r="G120" s="1" t="s">
        <v>119</v>
      </c>
      <c r="H120" s="1" t="s">
        <v>119</v>
      </c>
      <c r="I120" s="1" t="s">
        <v>2735</v>
      </c>
      <c r="J120" s="16" t="s">
        <v>2745</v>
      </c>
      <c r="K120" t="s">
        <v>177</v>
      </c>
      <c r="L120" t="s">
        <v>163</v>
      </c>
      <c r="M120" t="s">
        <v>163</v>
      </c>
      <c r="N120" t="s">
        <v>163</v>
      </c>
      <c r="O120" s="4" t="s">
        <v>357</v>
      </c>
      <c r="P120">
        <v>0</v>
      </c>
      <c r="Q120" s="24">
        <v>13</v>
      </c>
      <c r="R120" s="25">
        <v>11.5</v>
      </c>
      <c r="S120" s="26">
        <v>16.7</v>
      </c>
      <c r="U120" s="3">
        <v>117</v>
      </c>
      <c r="V120" s="1">
        <v>1109640</v>
      </c>
      <c r="W120" s="1">
        <v>81261</v>
      </c>
      <c r="Y120">
        <v>8</v>
      </c>
      <c r="Z120">
        <v>7</v>
      </c>
      <c r="AA120" s="3">
        <v>20</v>
      </c>
      <c r="AB120" s="3">
        <v>6</v>
      </c>
      <c r="AC120">
        <v>92</v>
      </c>
      <c r="AD120" s="9">
        <f t="shared" si="35"/>
        <v>6310</v>
      </c>
      <c r="AE120">
        <f t="shared" si="30"/>
        <v>545190</v>
      </c>
      <c r="AF120" s="2">
        <f t="shared" si="36"/>
        <v>7.2</v>
      </c>
      <c r="AG120" t="str">
        <f t="shared" si="37"/>
        <v>105小时</v>
      </c>
      <c r="AH120">
        <f t="shared" si="38"/>
        <v>22</v>
      </c>
      <c r="AI120">
        <f t="shared" si="39"/>
        <v>4</v>
      </c>
      <c r="AJ120">
        <f t="shared" si="31"/>
        <v>19.3</v>
      </c>
      <c r="AK120">
        <f t="shared" si="40"/>
        <v>10</v>
      </c>
      <c r="AL120">
        <f t="shared" si="32"/>
        <v>7.2</v>
      </c>
      <c r="AM120" s="2">
        <f t="shared" si="41"/>
        <v>4</v>
      </c>
      <c r="AX120">
        <v>117</v>
      </c>
      <c r="AY120">
        <v>117</v>
      </c>
      <c r="AZ120" s="3">
        <f t="shared" si="33"/>
        <v>1109640</v>
      </c>
      <c r="BA120" t="e">
        <f>AZ120/(#REF!*60/5)/60</f>
        <v>#REF!</v>
      </c>
      <c r="BB120">
        <v>70</v>
      </c>
      <c r="BC120">
        <f t="shared" si="34"/>
        <v>4.3460648148148149</v>
      </c>
      <c r="BD120" s="2">
        <f t="shared" si="42"/>
        <v>19.3</v>
      </c>
      <c r="BE120">
        <f t="shared" si="43"/>
        <v>7.2</v>
      </c>
      <c r="BF120">
        <f t="shared" si="44"/>
        <v>41472</v>
      </c>
    </row>
    <row r="121" spans="1:58" ht="14.25" x14ac:dyDescent="0.2">
      <c r="A121" s="11">
        <v>708</v>
      </c>
      <c r="B121" s="13">
        <v>3</v>
      </c>
      <c r="C121" s="15">
        <v>3</v>
      </c>
      <c r="D121" s="14">
        <v>3</v>
      </c>
      <c r="E121" s="1" t="s">
        <v>2733</v>
      </c>
      <c r="F121" s="1" t="s">
        <v>2738</v>
      </c>
      <c r="G121" s="1" t="s">
        <v>119</v>
      </c>
      <c r="H121" s="1" t="s">
        <v>119</v>
      </c>
      <c r="I121" s="1" t="s">
        <v>2735</v>
      </c>
      <c r="J121" s="16" t="s">
        <v>2745</v>
      </c>
      <c r="K121" t="s">
        <v>174</v>
      </c>
      <c r="L121" t="s">
        <v>163</v>
      </c>
      <c r="M121" t="s">
        <v>163</v>
      </c>
      <c r="N121" t="s">
        <v>163</v>
      </c>
      <c r="O121" s="4" t="s">
        <v>359</v>
      </c>
      <c r="P121">
        <v>0</v>
      </c>
      <c r="Q121" s="24">
        <v>13</v>
      </c>
      <c r="R121" s="25">
        <v>11.5</v>
      </c>
      <c r="S121" s="26">
        <v>16.7</v>
      </c>
      <c r="U121" s="3">
        <v>118</v>
      </c>
      <c r="V121" s="1">
        <v>1137964</v>
      </c>
      <c r="W121" s="1">
        <v>81730</v>
      </c>
      <c r="Y121">
        <v>8</v>
      </c>
      <c r="Z121">
        <v>8</v>
      </c>
      <c r="AA121" s="3">
        <v>20</v>
      </c>
      <c r="AB121" s="3">
        <v>6</v>
      </c>
      <c r="AC121">
        <v>95</v>
      </c>
      <c r="AD121" s="9">
        <f t="shared" si="35"/>
        <v>6936.916666666667</v>
      </c>
      <c r="AE121">
        <f t="shared" si="30"/>
        <v>599350</v>
      </c>
      <c r="AF121" s="2">
        <f t="shared" si="36"/>
        <v>7.2</v>
      </c>
      <c r="AG121" t="str">
        <f t="shared" si="37"/>
        <v>115小时</v>
      </c>
      <c r="AH121">
        <f t="shared" si="38"/>
        <v>22</v>
      </c>
      <c r="AI121">
        <f t="shared" si="39"/>
        <v>4</v>
      </c>
      <c r="AJ121">
        <f t="shared" si="31"/>
        <v>19.3</v>
      </c>
      <c r="AK121">
        <f t="shared" si="40"/>
        <v>10</v>
      </c>
      <c r="AL121">
        <f t="shared" si="32"/>
        <v>7.2</v>
      </c>
      <c r="AM121" s="2">
        <f t="shared" si="41"/>
        <v>4</v>
      </c>
      <c r="AX121">
        <v>118</v>
      </c>
      <c r="AY121">
        <v>118</v>
      </c>
      <c r="AZ121" s="3">
        <f t="shared" si="33"/>
        <v>1137964</v>
      </c>
      <c r="BA121" t="e">
        <f>AZ121/(#REF!*60/5)/60</f>
        <v>#REF!</v>
      </c>
      <c r="BB121">
        <v>70</v>
      </c>
      <c r="BC121">
        <f t="shared" si="34"/>
        <v>4.3460648148148149</v>
      </c>
      <c r="BD121" s="2">
        <f t="shared" si="42"/>
        <v>19.3</v>
      </c>
      <c r="BE121">
        <f t="shared" si="43"/>
        <v>7.2</v>
      </c>
      <c r="BF121">
        <f t="shared" si="44"/>
        <v>41472</v>
      </c>
    </row>
    <row r="122" spans="1:58" ht="14.25" x14ac:dyDescent="0.2">
      <c r="A122" s="11">
        <v>709</v>
      </c>
      <c r="B122" s="13">
        <v>3</v>
      </c>
      <c r="C122" s="15">
        <v>3</v>
      </c>
      <c r="D122" s="14">
        <v>3</v>
      </c>
      <c r="E122" s="1" t="s">
        <v>2733</v>
      </c>
      <c r="F122" s="1" t="s">
        <v>2739</v>
      </c>
      <c r="G122" s="1" t="s">
        <v>119</v>
      </c>
      <c r="H122" s="1" t="s">
        <v>119</v>
      </c>
      <c r="I122" s="1" t="s">
        <v>2735</v>
      </c>
      <c r="J122" s="16" t="s">
        <v>2745</v>
      </c>
      <c r="K122" t="s">
        <v>166</v>
      </c>
      <c r="L122" t="s">
        <v>163</v>
      </c>
      <c r="M122" t="s">
        <v>163</v>
      </c>
      <c r="N122" t="s">
        <v>163</v>
      </c>
      <c r="O122" s="4" t="s">
        <v>359</v>
      </c>
      <c r="P122">
        <v>0</v>
      </c>
      <c r="Q122" s="24">
        <v>13</v>
      </c>
      <c r="R122" s="25">
        <v>11.5</v>
      </c>
      <c r="S122" s="26">
        <v>16.7</v>
      </c>
      <c r="U122" s="3">
        <v>119</v>
      </c>
      <c r="V122" s="1">
        <v>1166766</v>
      </c>
      <c r="W122" s="1">
        <v>82203</v>
      </c>
      <c r="Y122">
        <v>8</v>
      </c>
      <c r="Z122">
        <v>9</v>
      </c>
      <c r="AA122" s="3">
        <v>20</v>
      </c>
      <c r="AB122" s="3">
        <v>6</v>
      </c>
      <c r="AC122">
        <v>95</v>
      </c>
      <c r="AD122" s="9">
        <f t="shared" si="35"/>
        <v>6936.916666666667</v>
      </c>
      <c r="AE122">
        <f t="shared" si="30"/>
        <v>599350</v>
      </c>
      <c r="AF122" s="2">
        <f t="shared" si="36"/>
        <v>7.2</v>
      </c>
      <c r="AG122" t="str">
        <f t="shared" si="37"/>
        <v>115小时</v>
      </c>
      <c r="AH122">
        <f t="shared" si="38"/>
        <v>22</v>
      </c>
      <c r="AI122">
        <f t="shared" si="39"/>
        <v>4</v>
      </c>
      <c r="AJ122">
        <f t="shared" si="31"/>
        <v>19.3</v>
      </c>
      <c r="AK122">
        <f t="shared" si="40"/>
        <v>10</v>
      </c>
      <c r="AL122">
        <f t="shared" si="32"/>
        <v>7.2</v>
      </c>
      <c r="AM122" s="2">
        <f t="shared" si="41"/>
        <v>4</v>
      </c>
      <c r="AX122">
        <v>119</v>
      </c>
      <c r="AY122">
        <v>119</v>
      </c>
      <c r="AZ122" s="3">
        <f t="shared" si="33"/>
        <v>1166766</v>
      </c>
      <c r="BA122" t="e">
        <f>AZ122/(#REF!*60/5)/60</f>
        <v>#REF!</v>
      </c>
      <c r="BB122">
        <v>70</v>
      </c>
      <c r="BC122">
        <f t="shared" si="34"/>
        <v>4.3460648148148149</v>
      </c>
      <c r="BD122" s="2">
        <f t="shared" si="42"/>
        <v>19.3</v>
      </c>
      <c r="BE122">
        <f t="shared" si="43"/>
        <v>7.2</v>
      </c>
      <c r="BF122">
        <f t="shared" si="44"/>
        <v>41472</v>
      </c>
    </row>
    <row r="123" spans="1:58" ht="14.25" x14ac:dyDescent="0.2">
      <c r="A123" s="11">
        <v>710</v>
      </c>
      <c r="B123" s="13">
        <v>3</v>
      </c>
      <c r="C123" s="15">
        <v>3</v>
      </c>
      <c r="D123" s="14">
        <v>3</v>
      </c>
      <c r="E123" s="1" t="s">
        <v>2729</v>
      </c>
      <c r="F123" s="1" t="s">
        <v>2742</v>
      </c>
      <c r="G123" s="1" t="s">
        <v>2748</v>
      </c>
      <c r="H123" s="1" t="s">
        <v>2747</v>
      </c>
      <c r="I123" s="1" t="s">
        <v>2696</v>
      </c>
      <c r="J123" s="16" t="s">
        <v>2848</v>
      </c>
      <c r="K123" t="s">
        <v>168</v>
      </c>
      <c r="L123" t="s">
        <v>163</v>
      </c>
      <c r="M123" t="s">
        <v>163</v>
      </c>
      <c r="N123" t="s">
        <v>163</v>
      </c>
      <c r="O123" s="4" t="s">
        <v>361</v>
      </c>
      <c r="P123">
        <v>0</v>
      </c>
      <c r="Q123" s="24">
        <v>13</v>
      </c>
      <c r="R123" s="25">
        <v>11.5</v>
      </c>
      <c r="S123" s="26">
        <v>16.7</v>
      </c>
      <c r="U123" s="3">
        <v>120</v>
      </c>
      <c r="V123" s="1">
        <v>1196050</v>
      </c>
      <c r="W123" s="1">
        <v>102617</v>
      </c>
      <c r="Y123">
        <v>8</v>
      </c>
      <c r="Z123">
        <v>10</v>
      </c>
      <c r="AA123" s="3">
        <v>25</v>
      </c>
      <c r="AB123" s="3">
        <v>6</v>
      </c>
      <c r="AC123">
        <v>95</v>
      </c>
      <c r="AD123" s="9">
        <f t="shared" si="35"/>
        <v>6936.916666666667</v>
      </c>
      <c r="AE123">
        <f t="shared" si="30"/>
        <v>599350</v>
      </c>
      <c r="AF123" s="2">
        <f t="shared" si="36"/>
        <v>7.2</v>
      </c>
      <c r="AG123" t="str">
        <f t="shared" si="37"/>
        <v>115小时</v>
      </c>
      <c r="AH123">
        <f t="shared" si="38"/>
        <v>22</v>
      </c>
      <c r="AI123">
        <f t="shared" si="39"/>
        <v>4</v>
      </c>
      <c r="AJ123">
        <f t="shared" si="31"/>
        <v>19.3</v>
      </c>
      <c r="AK123">
        <f t="shared" si="40"/>
        <v>10</v>
      </c>
      <c r="AL123">
        <f t="shared" si="32"/>
        <v>7.2</v>
      </c>
      <c r="AM123" s="2">
        <f t="shared" si="41"/>
        <v>4</v>
      </c>
      <c r="AX123">
        <v>120</v>
      </c>
      <c r="AY123">
        <v>120</v>
      </c>
      <c r="AZ123" s="3">
        <f t="shared" si="33"/>
        <v>1196050</v>
      </c>
      <c r="BA123" t="e">
        <f>AZ123/(#REF!*60/5)/60</f>
        <v>#REF!</v>
      </c>
      <c r="BB123">
        <v>70</v>
      </c>
      <c r="BC123">
        <f t="shared" si="34"/>
        <v>4.3460648148148149</v>
      </c>
      <c r="BD123" s="2">
        <f t="shared" si="42"/>
        <v>19.3</v>
      </c>
      <c r="BE123">
        <f t="shared" si="43"/>
        <v>7.2</v>
      </c>
      <c r="BF123">
        <f t="shared" si="44"/>
        <v>41472</v>
      </c>
    </row>
    <row r="124" spans="1:58" ht="14.25" x14ac:dyDescent="0.2">
      <c r="A124" s="11">
        <v>711</v>
      </c>
      <c r="B124" s="13">
        <v>3</v>
      </c>
      <c r="C124" s="15">
        <v>3</v>
      </c>
      <c r="D124" s="14">
        <v>3</v>
      </c>
      <c r="E124" s="1" t="s">
        <v>2733</v>
      </c>
      <c r="F124" s="1" t="s">
        <v>2734</v>
      </c>
      <c r="G124" s="1" t="s">
        <v>119</v>
      </c>
      <c r="H124" s="1" t="s">
        <v>119</v>
      </c>
      <c r="I124" s="1" t="s">
        <v>2735</v>
      </c>
      <c r="J124" s="16" t="s">
        <v>2745</v>
      </c>
      <c r="K124" t="s">
        <v>175</v>
      </c>
      <c r="L124" t="s">
        <v>164</v>
      </c>
      <c r="M124" t="s">
        <v>163</v>
      </c>
      <c r="N124" t="s">
        <v>167</v>
      </c>
      <c r="O124" s="4" t="s">
        <v>363</v>
      </c>
      <c r="P124">
        <v>0</v>
      </c>
      <c r="Q124" s="24">
        <v>13.5</v>
      </c>
      <c r="R124" s="25">
        <v>11.9</v>
      </c>
      <c r="S124" s="26">
        <v>17.3</v>
      </c>
      <c r="U124" s="3">
        <v>121</v>
      </c>
      <c r="V124" s="1">
        <v>1225820</v>
      </c>
      <c r="W124" s="1">
        <v>103098</v>
      </c>
      <c r="Y124">
        <v>8</v>
      </c>
      <c r="Z124">
        <v>11</v>
      </c>
      <c r="AA124" s="3">
        <v>20</v>
      </c>
      <c r="AB124" s="3">
        <v>6</v>
      </c>
      <c r="AC124">
        <v>98</v>
      </c>
      <c r="AD124" s="9">
        <f t="shared" si="35"/>
        <v>7299.75</v>
      </c>
      <c r="AE124">
        <f t="shared" si="30"/>
        <v>656984</v>
      </c>
      <c r="AF124" s="2">
        <f t="shared" si="36"/>
        <v>7.5</v>
      </c>
      <c r="AG124" t="str">
        <f t="shared" si="37"/>
        <v>121小时</v>
      </c>
      <c r="AH124">
        <f t="shared" si="38"/>
        <v>23</v>
      </c>
      <c r="AI124">
        <f t="shared" si="39"/>
        <v>4</v>
      </c>
      <c r="AJ124">
        <f t="shared" si="31"/>
        <v>19.799999999999997</v>
      </c>
      <c r="AK124">
        <f t="shared" si="40"/>
        <v>10</v>
      </c>
      <c r="AL124">
        <f t="shared" si="32"/>
        <v>7.5</v>
      </c>
      <c r="AM124" s="2">
        <f t="shared" si="41"/>
        <v>4</v>
      </c>
      <c r="AX124">
        <v>121</v>
      </c>
      <c r="AY124">
        <v>121</v>
      </c>
      <c r="AZ124" s="3">
        <f t="shared" si="33"/>
        <v>1225820</v>
      </c>
      <c r="BA124" t="e">
        <f>AZ124/(#REF!*60/5)/60</f>
        <v>#REF!</v>
      </c>
      <c r="BB124">
        <v>70</v>
      </c>
      <c r="BC124">
        <f t="shared" si="34"/>
        <v>4.1722222222222225</v>
      </c>
      <c r="BD124" s="2">
        <f t="shared" si="42"/>
        <v>19.799999999999997</v>
      </c>
      <c r="BE124">
        <f t="shared" si="43"/>
        <v>7.5</v>
      </c>
      <c r="BF124">
        <f t="shared" si="44"/>
        <v>43200</v>
      </c>
    </row>
    <row r="125" spans="1:58" ht="14.25" x14ac:dyDescent="0.2">
      <c r="A125" s="11">
        <v>712</v>
      </c>
      <c r="B125" s="13">
        <v>3</v>
      </c>
      <c r="C125" s="15">
        <v>3</v>
      </c>
      <c r="D125" s="14">
        <v>3</v>
      </c>
      <c r="E125" s="1" t="s">
        <v>2733</v>
      </c>
      <c r="F125" s="1" t="s">
        <v>2737</v>
      </c>
      <c r="G125" s="1" t="s">
        <v>119</v>
      </c>
      <c r="H125" s="1" t="s">
        <v>119</v>
      </c>
      <c r="I125" s="1" t="s">
        <v>2735</v>
      </c>
      <c r="J125" s="16" t="s">
        <v>2745</v>
      </c>
      <c r="K125" t="s">
        <v>179</v>
      </c>
      <c r="L125" t="s">
        <v>163</v>
      </c>
      <c r="M125" t="s">
        <v>163</v>
      </c>
      <c r="N125" t="s">
        <v>163</v>
      </c>
      <c r="O125" s="4" t="s">
        <v>365</v>
      </c>
      <c r="P125">
        <v>0</v>
      </c>
      <c r="Q125" s="24">
        <v>13.5</v>
      </c>
      <c r="R125" s="25">
        <v>11.9</v>
      </c>
      <c r="S125" s="26">
        <v>17.3</v>
      </c>
      <c r="U125" s="3">
        <v>122</v>
      </c>
      <c r="V125" s="1">
        <v>1256080</v>
      </c>
      <c r="W125" s="1">
        <v>103583</v>
      </c>
      <c r="Y125">
        <v>8</v>
      </c>
      <c r="Z125">
        <v>12</v>
      </c>
      <c r="AA125" s="3">
        <v>20</v>
      </c>
      <c r="AB125" s="3">
        <v>6</v>
      </c>
      <c r="AC125">
        <v>98</v>
      </c>
      <c r="AD125" s="9">
        <f t="shared" si="35"/>
        <v>7299.75</v>
      </c>
      <c r="AE125">
        <f t="shared" si="30"/>
        <v>656984</v>
      </c>
      <c r="AF125" s="2">
        <f t="shared" si="36"/>
        <v>7.5</v>
      </c>
      <c r="AG125" t="str">
        <f t="shared" si="37"/>
        <v>121小时</v>
      </c>
      <c r="AH125">
        <f t="shared" si="38"/>
        <v>23</v>
      </c>
      <c r="AI125">
        <f t="shared" si="39"/>
        <v>4</v>
      </c>
      <c r="AJ125">
        <f t="shared" si="31"/>
        <v>19.799999999999997</v>
      </c>
      <c r="AK125">
        <f t="shared" si="40"/>
        <v>10</v>
      </c>
      <c r="AL125">
        <f t="shared" si="32"/>
        <v>7.5</v>
      </c>
      <c r="AM125" s="2">
        <f t="shared" si="41"/>
        <v>4</v>
      </c>
      <c r="AX125">
        <v>122</v>
      </c>
      <c r="AY125">
        <v>122</v>
      </c>
      <c r="AZ125" s="3">
        <f t="shared" si="33"/>
        <v>1256080</v>
      </c>
      <c r="BA125" t="e">
        <f>AZ125/(#REF!*60/5)/60</f>
        <v>#REF!</v>
      </c>
      <c r="BB125">
        <v>70</v>
      </c>
      <c r="BC125">
        <f t="shared" si="34"/>
        <v>4.1722222222222225</v>
      </c>
      <c r="BD125" s="2">
        <f t="shared" si="42"/>
        <v>19.799999999999997</v>
      </c>
      <c r="BE125">
        <f t="shared" si="43"/>
        <v>7.5</v>
      </c>
      <c r="BF125">
        <f t="shared" si="44"/>
        <v>43200</v>
      </c>
    </row>
    <row r="126" spans="1:58" ht="14.25" x14ac:dyDescent="0.2">
      <c r="A126" s="11">
        <v>713</v>
      </c>
      <c r="B126" s="13">
        <v>3</v>
      </c>
      <c r="C126" s="15">
        <v>3</v>
      </c>
      <c r="D126" s="14">
        <v>3</v>
      </c>
      <c r="E126" s="1" t="s">
        <v>2733</v>
      </c>
      <c r="F126" s="1" t="s">
        <v>2738</v>
      </c>
      <c r="G126" s="1" t="s">
        <v>119</v>
      </c>
      <c r="H126" s="1" t="s">
        <v>119</v>
      </c>
      <c r="I126" s="1" t="s">
        <v>2735</v>
      </c>
      <c r="J126" s="16" t="s">
        <v>2745</v>
      </c>
      <c r="K126" t="s">
        <v>162</v>
      </c>
      <c r="L126" t="s">
        <v>163</v>
      </c>
      <c r="M126" t="s">
        <v>163</v>
      </c>
      <c r="N126" t="s">
        <v>163</v>
      </c>
      <c r="O126" s="4" t="s">
        <v>367</v>
      </c>
      <c r="P126">
        <v>0</v>
      </c>
      <c r="Q126" s="24">
        <v>13.5</v>
      </c>
      <c r="R126" s="25">
        <v>11.9</v>
      </c>
      <c r="S126" s="26">
        <v>17.3</v>
      </c>
      <c r="U126" s="3">
        <v>123</v>
      </c>
      <c r="V126" s="1">
        <v>1286834</v>
      </c>
      <c r="W126" s="1">
        <v>104072</v>
      </c>
      <c r="Y126">
        <v>8</v>
      </c>
      <c r="Z126">
        <v>13</v>
      </c>
      <c r="AA126" s="3">
        <v>20</v>
      </c>
      <c r="AB126" s="3">
        <v>6</v>
      </c>
      <c r="AC126">
        <v>98</v>
      </c>
      <c r="AD126" s="9">
        <f t="shared" si="35"/>
        <v>7299.75</v>
      </c>
      <c r="AE126">
        <f t="shared" si="30"/>
        <v>656984</v>
      </c>
      <c r="AF126" s="2">
        <f t="shared" si="36"/>
        <v>7.5</v>
      </c>
      <c r="AG126" t="str">
        <f t="shared" si="37"/>
        <v>121小时</v>
      </c>
      <c r="AH126">
        <f t="shared" si="38"/>
        <v>23</v>
      </c>
      <c r="AI126">
        <f t="shared" si="39"/>
        <v>4</v>
      </c>
      <c r="AJ126">
        <f t="shared" si="31"/>
        <v>19.799999999999997</v>
      </c>
      <c r="AK126">
        <f t="shared" si="40"/>
        <v>10</v>
      </c>
      <c r="AL126">
        <f t="shared" si="32"/>
        <v>7.5</v>
      </c>
      <c r="AM126" s="2">
        <f t="shared" si="41"/>
        <v>4</v>
      </c>
      <c r="AX126">
        <v>123</v>
      </c>
      <c r="AY126">
        <v>123</v>
      </c>
      <c r="AZ126" s="3">
        <f t="shared" si="33"/>
        <v>1286834</v>
      </c>
      <c r="BA126" t="e">
        <f>AZ126/(#REF!*60/5)/60</f>
        <v>#REF!</v>
      </c>
      <c r="BB126">
        <v>70</v>
      </c>
      <c r="BC126">
        <f t="shared" si="34"/>
        <v>4.1722222222222225</v>
      </c>
      <c r="BD126" s="2">
        <f t="shared" si="42"/>
        <v>19.799999999999997</v>
      </c>
      <c r="BE126">
        <f t="shared" si="43"/>
        <v>7.5</v>
      </c>
      <c r="BF126">
        <f t="shared" si="44"/>
        <v>43200</v>
      </c>
    </row>
    <row r="127" spans="1:58" ht="14.25" x14ac:dyDescent="0.2">
      <c r="A127" s="11">
        <v>714</v>
      </c>
      <c r="B127" s="13">
        <v>3</v>
      </c>
      <c r="C127" s="15">
        <v>3</v>
      </c>
      <c r="D127" s="14">
        <v>3</v>
      </c>
      <c r="E127" s="1" t="s">
        <v>2733</v>
      </c>
      <c r="F127" s="1" t="s">
        <v>2739</v>
      </c>
      <c r="G127" s="1" t="s">
        <v>119</v>
      </c>
      <c r="H127" s="1" t="s">
        <v>119</v>
      </c>
      <c r="I127" s="1" t="s">
        <v>2735</v>
      </c>
      <c r="J127" s="16" t="s">
        <v>2745</v>
      </c>
      <c r="K127" t="s">
        <v>177</v>
      </c>
      <c r="L127" t="s">
        <v>163</v>
      </c>
      <c r="M127" t="s">
        <v>163</v>
      </c>
      <c r="N127" t="s">
        <v>163</v>
      </c>
      <c r="O127" s="4" t="s">
        <v>369</v>
      </c>
      <c r="P127">
        <v>0</v>
      </c>
      <c r="Q127" s="24">
        <v>13.5</v>
      </c>
      <c r="R127" s="25">
        <v>11.9</v>
      </c>
      <c r="S127" s="26">
        <v>17.3</v>
      </c>
      <c r="U127" s="3">
        <v>124</v>
      </c>
      <c r="V127" s="1">
        <v>1318086</v>
      </c>
      <c r="W127" s="1">
        <v>104565</v>
      </c>
      <c r="Y127">
        <v>8</v>
      </c>
      <c r="Z127">
        <v>14</v>
      </c>
      <c r="AA127" s="3">
        <v>20</v>
      </c>
      <c r="AB127" s="3">
        <v>6</v>
      </c>
      <c r="AC127">
        <v>100</v>
      </c>
      <c r="AD127" s="9">
        <f t="shared" si="35"/>
        <v>7748.75</v>
      </c>
      <c r="AE127">
        <f t="shared" si="30"/>
        <v>697390</v>
      </c>
      <c r="AF127" s="2">
        <f t="shared" si="36"/>
        <v>7.5</v>
      </c>
      <c r="AG127" t="str">
        <f t="shared" si="37"/>
        <v>129小时</v>
      </c>
      <c r="AH127">
        <f t="shared" si="38"/>
        <v>23</v>
      </c>
      <c r="AI127">
        <f t="shared" si="39"/>
        <v>4</v>
      </c>
      <c r="AJ127">
        <f t="shared" si="31"/>
        <v>19.799999999999997</v>
      </c>
      <c r="AK127">
        <f t="shared" si="40"/>
        <v>10</v>
      </c>
      <c r="AL127">
        <f t="shared" si="32"/>
        <v>7.5</v>
      </c>
      <c r="AM127" s="2">
        <f t="shared" si="41"/>
        <v>4</v>
      </c>
      <c r="AX127">
        <v>124</v>
      </c>
      <c r="AY127">
        <v>124</v>
      </c>
      <c r="AZ127" s="3">
        <f t="shared" si="33"/>
        <v>1318086</v>
      </c>
      <c r="BA127" t="e">
        <f>AZ127/(#REF!*60/5)/60</f>
        <v>#REF!</v>
      </c>
      <c r="BB127">
        <v>70</v>
      </c>
      <c r="BC127">
        <f t="shared" si="34"/>
        <v>4.1722222222222225</v>
      </c>
      <c r="BD127" s="2">
        <f t="shared" si="42"/>
        <v>19.799999999999997</v>
      </c>
      <c r="BE127">
        <f t="shared" si="43"/>
        <v>7.5</v>
      </c>
      <c r="BF127">
        <f t="shared" si="44"/>
        <v>43200</v>
      </c>
    </row>
    <row r="128" spans="1:58" ht="14.25" x14ac:dyDescent="0.2">
      <c r="A128" s="11">
        <v>715</v>
      </c>
      <c r="B128" s="13">
        <v>3</v>
      </c>
      <c r="C128" s="15">
        <v>3</v>
      </c>
      <c r="D128" s="14">
        <v>3</v>
      </c>
      <c r="E128" s="1" t="s">
        <v>2729</v>
      </c>
      <c r="F128" s="1" t="s">
        <v>2742</v>
      </c>
      <c r="G128" s="1" t="s">
        <v>2749</v>
      </c>
      <c r="H128" s="1" t="s">
        <v>2747</v>
      </c>
      <c r="I128" s="1" t="s">
        <v>2696</v>
      </c>
      <c r="J128" s="16" t="s">
        <v>2867</v>
      </c>
      <c r="K128" t="s">
        <v>174</v>
      </c>
      <c r="L128" t="s">
        <v>163</v>
      </c>
      <c r="M128" t="s">
        <v>163</v>
      </c>
      <c r="N128" t="s">
        <v>163</v>
      </c>
      <c r="O128" s="4" t="s">
        <v>367</v>
      </c>
      <c r="P128">
        <v>0</v>
      </c>
      <c r="Q128" s="24">
        <v>13.5</v>
      </c>
      <c r="R128" s="25">
        <v>11.9</v>
      </c>
      <c r="S128" s="26">
        <v>17.3</v>
      </c>
      <c r="U128" s="3">
        <v>125</v>
      </c>
      <c r="V128" s="1">
        <v>1349840</v>
      </c>
      <c r="W128" s="1">
        <v>108020</v>
      </c>
      <c r="Y128">
        <v>8</v>
      </c>
      <c r="Z128">
        <v>15</v>
      </c>
      <c r="AA128" s="3">
        <v>25</v>
      </c>
      <c r="AB128" s="3">
        <v>6</v>
      </c>
      <c r="AC128">
        <v>100</v>
      </c>
      <c r="AD128" s="9">
        <f t="shared" si="35"/>
        <v>7748.75</v>
      </c>
      <c r="AE128">
        <f t="shared" si="30"/>
        <v>697390</v>
      </c>
      <c r="AF128" s="2">
        <f t="shared" si="36"/>
        <v>7.5</v>
      </c>
      <c r="AG128" t="str">
        <f t="shared" si="37"/>
        <v>129小时</v>
      </c>
      <c r="AH128">
        <f t="shared" si="38"/>
        <v>23</v>
      </c>
      <c r="AI128">
        <f t="shared" si="39"/>
        <v>4</v>
      </c>
      <c r="AJ128">
        <f t="shared" si="31"/>
        <v>19.799999999999997</v>
      </c>
      <c r="AK128">
        <f t="shared" si="40"/>
        <v>10</v>
      </c>
      <c r="AL128">
        <f t="shared" si="32"/>
        <v>7.5</v>
      </c>
      <c r="AM128" s="2">
        <f t="shared" si="41"/>
        <v>4</v>
      </c>
      <c r="AX128">
        <v>125</v>
      </c>
      <c r="AY128">
        <v>125</v>
      </c>
      <c r="AZ128" s="3">
        <f t="shared" si="33"/>
        <v>1349840</v>
      </c>
      <c r="BA128" t="e">
        <f>AZ128/(#REF!*60/5)/60</f>
        <v>#REF!</v>
      </c>
      <c r="BB128">
        <v>70</v>
      </c>
      <c r="BC128">
        <f t="shared" si="34"/>
        <v>4.1722222222222225</v>
      </c>
      <c r="BD128" s="2">
        <f t="shared" si="42"/>
        <v>19.799999999999997</v>
      </c>
      <c r="BE128">
        <f t="shared" si="43"/>
        <v>7.5</v>
      </c>
      <c r="BF128">
        <f t="shared" si="44"/>
        <v>43200</v>
      </c>
    </row>
    <row r="129" spans="1:58" ht="14.25" x14ac:dyDescent="0.2">
      <c r="A129" s="11">
        <v>716</v>
      </c>
      <c r="B129" s="13">
        <v>3</v>
      </c>
      <c r="C129" s="15">
        <v>3</v>
      </c>
      <c r="D129" s="14">
        <v>3</v>
      </c>
      <c r="E129" s="1" t="s">
        <v>2733</v>
      </c>
      <c r="F129" s="1" t="s">
        <v>2734</v>
      </c>
      <c r="G129" s="1" t="s">
        <v>119</v>
      </c>
      <c r="H129" s="1" t="s">
        <v>119</v>
      </c>
      <c r="I129" s="1" t="s">
        <v>2735</v>
      </c>
      <c r="J129" s="16" t="s">
        <v>2745</v>
      </c>
      <c r="K129" t="s">
        <v>166</v>
      </c>
      <c r="L129" t="s">
        <v>163</v>
      </c>
      <c r="M129" t="s">
        <v>163</v>
      </c>
      <c r="N129" t="s">
        <v>163</v>
      </c>
      <c r="O129" s="4" t="s">
        <v>371</v>
      </c>
      <c r="P129">
        <v>0</v>
      </c>
      <c r="Q129" s="24">
        <v>14</v>
      </c>
      <c r="R129" s="25">
        <v>12.4</v>
      </c>
      <c r="S129" s="26">
        <v>18</v>
      </c>
      <c r="U129" s="3">
        <v>126</v>
      </c>
      <c r="V129" s="1">
        <v>1382100</v>
      </c>
      <c r="W129" s="1">
        <v>108521</v>
      </c>
      <c r="Y129">
        <v>8</v>
      </c>
      <c r="Z129">
        <v>16</v>
      </c>
      <c r="AA129" s="3">
        <v>20</v>
      </c>
      <c r="AB129" s="3">
        <v>6</v>
      </c>
      <c r="AC129">
        <v>100</v>
      </c>
      <c r="AD129" s="9">
        <f t="shared" si="35"/>
        <v>7547.5</v>
      </c>
      <c r="AE129">
        <f t="shared" si="30"/>
        <v>697390</v>
      </c>
      <c r="AF129" s="2">
        <f t="shared" si="36"/>
        <v>7.7</v>
      </c>
      <c r="AG129" t="str">
        <f t="shared" si="37"/>
        <v>125小时</v>
      </c>
      <c r="AH129">
        <f t="shared" si="38"/>
        <v>24</v>
      </c>
      <c r="AI129">
        <f t="shared" si="39"/>
        <v>4</v>
      </c>
      <c r="AJ129">
        <f t="shared" si="31"/>
        <v>20.100000000000001</v>
      </c>
      <c r="AK129">
        <f t="shared" si="40"/>
        <v>11</v>
      </c>
      <c r="AL129">
        <f t="shared" si="32"/>
        <v>7.7</v>
      </c>
      <c r="AM129" s="2">
        <f t="shared" si="41"/>
        <v>4</v>
      </c>
      <c r="AX129">
        <v>126</v>
      </c>
      <c r="AY129">
        <v>126</v>
      </c>
      <c r="AZ129" s="3">
        <f t="shared" si="33"/>
        <v>1382100</v>
      </c>
      <c r="BA129" t="e">
        <f>AZ129/(#REF!*60/5)/60</f>
        <v>#REF!</v>
      </c>
      <c r="BB129">
        <v>70</v>
      </c>
      <c r="BC129">
        <f t="shared" si="34"/>
        <v>4.0638528138528143</v>
      </c>
      <c r="BD129" s="2">
        <f t="shared" si="42"/>
        <v>20.100000000000001</v>
      </c>
      <c r="BE129">
        <f t="shared" si="43"/>
        <v>7.7</v>
      </c>
      <c r="BF129">
        <f t="shared" si="44"/>
        <v>44352</v>
      </c>
    </row>
    <row r="130" spans="1:58" ht="14.25" x14ac:dyDescent="0.2">
      <c r="A130" s="11">
        <v>717</v>
      </c>
      <c r="B130" s="13">
        <v>3</v>
      </c>
      <c r="C130" s="15">
        <v>3</v>
      </c>
      <c r="D130" s="14">
        <v>3</v>
      </c>
      <c r="E130" s="1" t="s">
        <v>2733</v>
      </c>
      <c r="F130" s="1" t="s">
        <v>2737</v>
      </c>
      <c r="G130" s="1" t="s">
        <v>119</v>
      </c>
      <c r="H130" s="1" t="s">
        <v>119</v>
      </c>
      <c r="I130" s="1" t="s">
        <v>2735</v>
      </c>
      <c r="J130" s="16" t="s">
        <v>2745</v>
      </c>
      <c r="K130" t="s">
        <v>168</v>
      </c>
      <c r="L130" t="s">
        <v>163</v>
      </c>
      <c r="M130" t="s">
        <v>163</v>
      </c>
      <c r="N130" t="s">
        <v>163</v>
      </c>
      <c r="O130" s="4" t="s">
        <v>373</v>
      </c>
      <c r="P130">
        <v>0</v>
      </c>
      <c r="Q130" s="24">
        <v>14</v>
      </c>
      <c r="R130" s="25">
        <v>12.4</v>
      </c>
      <c r="S130" s="26">
        <v>18</v>
      </c>
      <c r="U130" s="3">
        <v>127</v>
      </c>
      <c r="V130" s="1">
        <v>1414870</v>
      </c>
      <c r="W130" s="1">
        <v>109026</v>
      </c>
      <c r="Y130">
        <v>8</v>
      </c>
      <c r="Z130">
        <v>17</v>
      </c>
      <c r="AA130" s="3">
        <v>20</v>
      </c>
      <c r="AB130" s="3">
        <v>6</v>
      </c>
      <c r="AC130">
        <v>102</v>
      </c>
      <c r="AD130" s="9">
        <f t="shared" si="35"/>
        <v>8002.3333333333339</v>
      </c>
      <c r="AE130">
        <f t="shared" si="30"/>
        <v>739420</v>
      </c>
      <c r="AF130" s="2">
        <f t="shared" si="36"/>
        <v>7.7</v>
      </c>
      <c r="AG130" t="str">
        <f t="shared" si="37"/>
        <v>133小时</v>
      </c>
      <c r="AH130">
        <f t="shared" si="38"/>
        <v>24</v>
      </c>
      <c r="AI130">
        <f t="shared" si="39"/>
        <v>4</v>
      </c>
      <c r="AJ130">
        <f t="shared" si="31"/>
        <v>20.100000000000001</v>
      </c>
      <c r="AK130">
        <f t="shared" si="40"/>
        <v>11</v>
      </c>
      <c r="AL130">
        <f t="shared" si="32"/>
        <v>7.7</v>
      </c>
      <c r="AM130" s="2">
        <f t="shared" si="41"/>
        <v>4</v>
      </c>
      <c r="AX130">
        <v>127</v>
      </c>
      <c r="AY130">
        <v>127</v>
      </c>
      <c r="AZ130" s="3">
        <f t="shared" si="33"/>
        <v>1414870</v>
      </c>
      <c r="BA130" t="e">
        <f>AZ130/(#REF!*60/5)/60</f>
        <v>#REF!</v>
      </c>
      <c r="BB130">
        <v>70</v>
      </c>
      <c r="BC130">
        <f t="shared" si="34"/>
        <v>4.0638528138528143</v>
      </c>
      <c r="BD130" s="2">
        <f t="shared" si="42"/>
        <v>20.100000000000001</v>
      </c>
      <c r="BE130">
        <f t="shared" si="43"/>
        <v>7.7</v>
      </c>
      <c r="BF130">
        <f t="shared" si="44"/>
        <v>44352</v>
      </c>
    </row>
    <row r="131" spans="1:58" ht="14.25" x14ac:dyDescent="0.2">
      <c r="A131" s="11">
        <v>718</v>
      </c>
      <c r="B131" s="13">
        <v>3</v>
      </c>
      <c r="C131" s="15">
        <v>3</v>
      </c>
      <c r="D131" s="14">
        <v>3</v>
      </c>
      <c r="E131" s="1" t="s">
        <v>2733</v>
      </c>
      <c r="F131" s="1" t="s">
        <v>2738</v>
      </c>
      <c r="G131" s="1" t="s">
        <v>119</v>
      </c>
      <c r="H131" s="1" t="s">
        <v>119</v>
      </c>
      <c r="I131" s="1" t="s">
        <v>2735</v>
      </c>
      <c r="J131" s="16" t="s">
        <v>2745</v>
      </c>
      <c r="K131" t="s">
        <v>175</v>
      </c>
      <c r="L131" t="s">
        <v>164</v>
      </c>
      <c r="M131" t="s">
        <v>163</v>
      </c>
      <c r="N131" t="s">
        <v>167</v>
      </c>
      <c r="O131" s="4" t="s">
        <v>375</v>
      </c>
      <c r="P131">
        <v>0</v>
      </c>
      <c r="Q131" s="24">
        <v>14</v>
      </c>
      <c r="R131" s="25">
        <v>12.4</v>
      </c>
      <c r="S131" s="26">
        <v>18</v>
      </c>
      <c r="U131" s="3">
        <v>128</v>
      </c>
      <c r="V131" s="1">
        <v>1448154</v>
      </c>
      <c r="W131" s="1">
        <v>109535</v>
      </c>
      <c r="Y131">
        <v>8</v>
      </c>
      <c r="Z131">
        <v>18</v>
      </c>
      <c r="AA131" s="3">
        <v>20</v>
      </c>
      <c r="AB131" s="3">
        <v>6</v>
      </c>
      <c r="AC131">
        <v>102</v>
      </c>
      <c r="AD131" s="9">
        <f t="shared" si="35"/>
        <v>8002.3333333333339</v>
      </c>
      <c r="AE131">
        <f t="shared" si="30"/>
        <v>739420</v>
      </c>
      <c r="AF131" s="2">
        <f t="shared" si="36"/>
        <v>7.7</v>
      </c>
      <c r="AG131" t="str">
        <f t="shared" si="37"/>
        <v>133小时</v>
      </c>
      <c r="AH131">
        <f t="shared" si="38"/>
        <v>24</v>
      </c>
      <c r="AI131">
        <f t="shared" si="39"/>
        <v>4</v>
      </c>
      <c r="AJ131">
        <f t="shared" si="31"/>
        <v>20.100000000000001</v>
      </c>
      <c r="AK131">
        <f t="shared" si="40"/>
        <v>11</v>
      </c>
      <c r="AL131">
        <f t="shared" si="32"/>
        <v>7.7</v>
      </c>
      <c r="AM131" s="2">
        <f t="shared" si="41"/>
        <v>4</v>
      </c>
      <c r="AX131">
        <v>128</v>
      </c>
      <c r="AY131">
        <v>128</v>
      </c>
      <c r="AZ131" s="3">
        <f t="shared" si="33"/>
        <v>1448154</v>
      </c>
      <c r="BA131" t="e">
        <f>AZ131/(#REF!*60/5)/60</f>
        <v>#REF!</v>
      </c>
      <c r="BB131">
        <v>70</v>
      </c>
      <c r="BC131">
        <f t="shared" si="34"/>
        <v>4.0638528138528143</v>
      </c>
      <c r="BD131" s="2">
        <f t="shared" si="42"/>
        <v>20.100000000000001</v>
      </c>
      <c r="BE131">
        <f t="shared" si="43"/>
        <v>7.7</v>
      </c>
      <c r="BF131">
        <f t="shared" si="44"/>
        <v>44352</v>
      </c>
    </row>
    <row r="132" spans="1:58" ht="14.25" x14ac:dyDescent="0.2">
      <c r="A132" s="11">
        <v>719</v>
      </c>
      <c r="B132" s="13">
        <v>3</v>
      </c>
      <c r="C132" s="15">
        <v>3</v>
      </c>
      <c r="D132" s="14">
        <v>3</v>
      </c>
      <c r="E132" s="1" t="s">
        <v>2733</v>
      </c>
      <c r="F132" s="1" t="s">
        <v>2739</v>
      </c>
      <c r="G132" s="1" t="s">
        <v>119</v>
      </c>
      <c r="H132" s="1" t="s">
        <v>119</v>
      </c>
      <c r="I132" s="1" t="s">
        <v>2735</v>
      </c>
      <c r="J132" s="16" t="s">
        <v>2745</v>
      </c>
      <c r="K132" t="s">
        <v>179</v>
      </c>
      <c r="L132" t="s">
        <v>163</v>
      </c>
      <c r="M132" t="s">
        <v>163</v>
      </c>
      <c r="N132" t="s">
        <v>163</v>
      </c>
      <c r="O132" s="4" t="s">
        <v>377</v>
      </c>
      <c r="P132">
        <v>0</v>
      </c>
      <c r="Q132" s="24">
        <v>14</v>
      </c>
      <c r="R132" s="25">
        <v>12.4</v>
      </c>
      <c r="S132" s="26">
        <v>18</v>
      </c>
      <c r="U132" s="3">
        <v>129</v>
      </c>
      <c r="V132" s="1">
        <v>1481956</v>
      </c>
      <c r="W132" s="1">
        <v>110048</v>
      </c>
      <c r="Y132">
        <v>8</v>
      </c>
      <c r="Z132">
        <v>19</v>
      </c>
      <c r="AA132" s="3">
        <v>20</v>
      </c>
      <c r="AB132" s="3">
        <v>6</v>
      </c>
      <c r="AC132">
        <v>102</v>
      </c>
      <c r="AD132" s="9">
        <f t="shared" si="35"/>
        <v>8002.3333333333339</v>
      </c>
      <c r="AE132">
        <f t="shared" ref="AE132:AE195" si="45">INDEX(V:V,MATCH(AC132,U:U,0))</f>
        <v>739420</v>
      </c>
      <c r="AF132" s="2">
        <f t="shared" si="36"/>
        <v>7.7</v>
      </c>
      <c r="AG132" t="str">
        <f t="shared" si="37"/>
        <v>133小时</v>
      </c>
      <c r="AH132">
        <f t="shared" si="38"/>
        <v>24</v>
      </c>
      <c r="AI132">
        <f t="shared" si="39"/>
        <v>4</v>
      </c>
      <c r="AJ132">
        <f t="shared" ref="AJ132:AJ195" si="46">BD132</f>
        <v>20.100000000000001</v>
      </c>
      <c r="AK132">
        <f t="shared" si="40"/>
        <v>11</v>
      </c>
      <c r="AL132">
        <f t="shared" ref="AL132:AL195" si="47">BE132</f>
        <v>7.7</v>
      </c>
      <c r="AM132" s="2">
        <f t="shared" si="41"/>
        <v>4</v>
      </c>
      <c r="AX132">
        <v>129</v>
      </c>
      <c r="AY132">
        <v>129</v>
      </c>
      <c r="AZ132" s="3">
        <f t="shared" ref="AZ132:AZ195" si="48">INDEX($V:$V,MATCH(AY132,$U:$U,0))</f>
        <v>1481956</v>
      </c>
      <c r="BA132" t="e">
        <f>AZ132/(#REF!*60/5)/60</f>
        <v>#REF!</v>
      </c>
      <c r="BB132">
        <v>70</v>
      </c>
      <c r="BC132">
        <f t="shared" ref="BC132:BC195" si="49">INDEX($W:$W,MATCH(BB132,$U:$U,0))/(BE132*60*60/5)</f>
        <v>4.0638528138528143</v>
      </c>
      <c r="BD132" s="2">
        <f t="shared" si="42"/>
        <v>20.100000000000001</v>
      </c>
      <c r="BE132">
        <f t="shared" si="43"/>
        <v>7.7</v>
      </c>
      <c r="BF132">
        <f t="shared" si="44"/>
        <v>44352</v>
      </c>
    </row>
    <row r="133" spans="1:58" ht="14.25" x14ac:dyDescent="0.2">
      <c r="A133" s="11">
        <v>720</v>
      </c>
      <c r="B133" s="13">
        <v>3</v>
      </c>
      <c r="C133" s="15">
        <v>3</v>
      </c>
      <c r="D133" s="14">
        <v>3</v>
      </c>
      <c r="E133" s="1" t="s">
        <v>2729</v>
      </c>
      <c r="F133" s="1" t="s">
        <v>2742</v>
      </c>
      <c r="G133" s="1" t="s">
        <v>2750</v>
      </c>
      <c r="H133" s="1" t="s">
        <v>2747</v>
      </c>
      <c r="I133" s="1" t="s">
        <v>2696</v>
      </c>
      <c r="J133" s="16" t="s">
        <v>2867</v>
      </c>
      <c r="K133" t="s">
        <v>162</v>
      </c>
      <c r="L133" t="s">
        <v>163</v>
      </c>
      <c r="M133" t="s">
        <v>163</v>
      </c>
      <c r="N133" t="s">
        <v>163</v>
      </c>
      <c r="O133" s="4" t="s">
        <v>375</v>
      </c>
      <c r="P133">
        <v>0</v>
      </c>
      <c r="Q133" s="24">
        <v>14</v>
      </c>
      <c r="R133" s="25">
        <v>12.4</v>
      </c>
      <c r="S133" s="26">
        <v>18</v>
      </c>
      <c r="U133" s="3">
        <v>130</v>
      </c>
      <c r="V133" s="1">
        <v>1516280</v>
      </c>
      <c r="W133" s="1">
        <v>122850</v>
      </c>
      <c r="Y133">
        <v>8</v>
      </c>
      <c r="Z133">
        <v>20</v>
      </c>
      <c r="AA133" s="3">
        <v>25</v>
      </c>
      <c r="AB133" s="3">
        <v>6</v>
      </c>
      <c r="AC133">
        <v>105</v>
      </c>
      <c r="AD133" s="9">
        <f t="shared" ref="AD133:AD193" si="50">INT(AE133/AF133)/60*5</f>
        <v>8718.3333333333339</v>
      </c>
      <c r="AE133">
        <f t="shared" si="45"/>
        <v>805580</v>
      </c>
      <c r="AF133" s="2">
        <f t="shared" ref="AF133:AF196" si="51">BE133</f>
        <v>7.7</v>
      </c>
      <c r="AG133" t="str">
        <f t="shared" ref="AG133:AG196" si="52">IF(AD133&lt;60,CONCATENATE(INT(AD133),"分钟"),CONCATENATE(INT(AD133/60),"小时"))</f>
        <v>145小时</v>
      </c>
      <c r="AH133">
        <f t="shared" ref="AH133:AH196" si="53">ROUNDUP(AF133*3,0)</f>
        <v>24</v>
      </c>
      <c r="AI133">
        <f t="shared" ref="AI133:AI196" si="54">ROUNDUP(AH133/AB133,0)</f>
        <v>4</v>
      </c>
      <c r="AJ133">
        <f t="shared" si="46"/>
        <v>20.100000000000001</v>
      </c>
      <c r="AK133">
        <f t="shared" ref="AK133:AK196" si="55">ROUNDUP(AJ133*3/AB133,0)</f>
        <v>11</v>
      </c>
      <c r="AL133">
        <f t="shared" si="47"/>
        <v>7.7</v>
      </c>
      <c r="AM133" s="2">
        <f t="shared" ref="AM133:AM196" si="56">ROUNDUP(AL133*3/AB133,0)</f>
        <v>4</v>
      </c>
      <c r="AX133">
        <v>130</v>
      </c>
      <c r="AY133">
        <v>130</v>
      </c>
      <c r="AZ133" s="3">
        <f t="shared" si="48"/>
        <v>1516280</v>
      </c>
      <c r="BA133" t="e">
        <f>AZ133/(#REF!*60/5)/60</f>
        <v>#REF!</v>
      </c>
      <c r="BB133">
        <v>70</v>
      </c>
      <c r="BC133">
        <f t="shared" si="49"/>
        <v>4.0638528138528143</v>
      </c>
      <c r="BD133" s="2">
        <f t="shared" ref="BD133:BD196" si="57">ROUNDUP(BE133*1.5,1)+8.5</f>
        <v>20.100000000000001</v>
      </c>
      <c r="BE133">
        <f t="shared" ref="BE133:BE196" si="58">FLOOR(ROUNDUP(AX133/5,0)*0.25+1.25,0.1)</f>
        <v>7.7</v>
      </c>
      <c r="BF133">
        <f t="shared" ref="BF133:BF196" si="59">BE133*8*60*60/5</f>
        <v>44352</v>
      </c>
    </row>
    <row r="134" spans="1:58" ht="14.25" x14ac:dyDescent="0.2">
      <c r="A134" s="11">
        <v>721</v>
      </c>
      <c r="B134" s="13">
        <v>3</v>
      </c>
      <c r="C134" s="15">
        <v>3</v>
      </c>
      <c r="D134" s="14">
        <v>3</v>
      </c>
      <c r="E134" s="1" t="s">
        <v>2733</v>
      </c>
      <c r="F134" s="1" t="s">
        <v>2734</v>
      </c>
      <c r="G134" s="1" t="s">
        <v>119</v>
      </c>
      <c r="H134" s="1" t="s">
        <v>119</v>
      </c>
      <c r="I134" s="1" t="s">
        <v>2735</v>
      </c>
      <c r="J134" s="16" t="s">
        <v>2745</v>
      </c>
      <c r="K134" t="s">
        <v>177</v>
      </c>
      <c r="L134" t="s">
        <v>163</v>
      </c>
      <c r="M134" t="s">
        <v>163</v>
      </c>
      <c r="N134" t="s">
        <v>163</v>
      </c>
      <c r="O134" s="4" t="s">
        <v>379</v>
      </c>
      <c r="P134">
        <v>0</v>
      </c>
      <c r="Q134" s="24">
        <v>14.5</v>
      </c>
      <c r="R134" s="25">
        <v>12.8</v>
      </c>
      <c r="S134" s="26">
        <v>18.7</v>
      </c>
      <c r="U134" s="3">
        <v>131</v>
      </c>
      <c r="V134" s="1">
        <v>1551130</v>
      </c>
      <c r="W134" s="1">
        <v>123371</v>
      </c>
      <c r="Y134">
        <v>8</v>
      </c>
      <c r="Z134">
        <v>21</v>
      </c>
      <c r="AA134" s="3">
        <v>20</v>
      </c>
      <c r="AB134" s="3">
        <v>6</v>
      </c>
      <c r="AC134">
        <v>105</v>
      </c>
      <c r="AD134" s="9">
        <f t="shared" si="50"/>
        <v>8391.4166666666661</v>
      </c>
      <c r="AE134">
        <f t="shared" si="45"/>
        <v>805580</v>
      </c>
      <c r="AF134" s="2">
        <f t="shared" si="51"/>
        <v>8</v>
      </c>
      <c r="AG134" t="str">
        <f t="shared" si="52"/>
        <v>139小时</v>
      </c>
      <c r="AH134">
        <f t="shared" si="53"/>
        <v>24</v>
      </c>
      <c r="AI134">
        <f t="shared" si="54"/>
        <v>4</v>
      </c>
      <c r="AJ134">
        <f t="shared" si="46"/>
        <v>20.5</v>
      </c>
      <c r="AK134">
        <f t="shared" si="55"/>
        <v>11</v>
      </c>
      <c r="AL134">
        <f t="shared" si="47"/>
        <v>8</v>
      </c>
      <c r="AM134" s="2">
        <f t="shared" si="56"/>
        <v>4</v>
      </c>
      <c r="AX134">
        <v>131</v>
      </c>
      <c r="AY134">
        <v>131</v>
      </c>
      <c r="AZ134" s="3">
        <f t="shared" si="48"/>
        <v>1551130</v>
      </c>
      <c r="BA134" t="e">
        <f>AZ134/(#REF!*60/5)/60</f>
        <v>#REF!</v>
      </c>
      <c r="BB134">
        <v>70</v>
      </c>
      <c r="BC134">
        <f t="shared" si="49"/>
        <v>3.9114583333333335</v>
      </c>
      <c r="BD134" s="2">
        <f t="shared" si="57"/>
        <v>20.5</v>
      </c>
      <c r="BE134">
        <f t="shared" si="58"/>
        <v>8</v>
      </c>
      <c r="BF134">
        <f t="shared" si="59"/>
        <v>46080</v>
      </c>
    </row>
    <row r="135" spans="1:58" ht="14.25" x14ac:dyDescent="0.2">
      <c r="A135" s="11">
        <v>722</v>
      </c>
      <c r="B135" s="13">
        <v>3</v>
      </c>
      <c r="C135" s="15">
        <v>3</v>
      </c>
      <c r="D135" s="14">
        <v>3</v>
      </c>
      <c r="E135" s="1" t="s">
        <v>2733</v>
      </c>
      <c r="F135" s="1" t="s">
        <v>2737</v>
      </c>
      <c r="G135" s="1" t="s">
        <v>2751</v>
      </c>
      <c r="H135" s="1" t="s">
        <v>2751</v>
      </c>
      <c r="I135" s="1" t="s">
        <v>2735</v>
      </c>
      <c r="J135" s="16" t="s">
        <v>2745</v>
      </c>
      <c r="K135" t="s">
        <v>174</v>
      </c>
      <c r="L135" t="s">
        <v>163</v>
      </c>
      <c r="M135" t="s">
        <v>163</v>
      </c>
      <c r="N135" t="s">
        <v>163</v>
      </c>
      <c r="O135" s="4" t="s">
        <v>381</v>
      </c>
      <c r="P135">
        <v>0</v>
      </c>
      <c r="Q135" s="24">
        <v>14.5</v>
      </c>
      <c r="R135" s="25">
        <v>12.8</v>
      </c>
      <c r="S135" s="26">
        <v>18.7</v>
      </c>
      <c r="U135" s="3">
        <v>132</v>
      </c>
      <c r="V135" s="1">
        <v>1586510</v>
      </c>
      <c r="W135" s="1">
        <v>123896</v>
      </c>
      <c r="Y135">
        <v>8</v>
      </c>
      <c r="Z135">
        <v>22</v>
      </c>
      <c r="AA135" s="3">
        <v>20</v>
      </c>
      <c r="AB135" s="3">
        <v>6</v>
      </c>
      <c r="AC135">
        <v>105</v>
      </c>
      <c r="AD135" s="9">
        <f t="shared" si="50"/>
        <v>8391.4166666666661</v>
      </c>
      <c r="AE135">
        <f t="shared" si="45"/>
        <v>805580</v>
      </c>
      <c r="AF135" s="2">
        <f t="shared" si="51"/>
        <v>8</v>
      </c>
      <c r="AG135" t="str">
        <f t="shared" si="52"/>
        <v>139小时</v>
      </c>
      <c r="AH135">
        <f t="shared" si="53"/>
        <v>24</v>
      </c>
      <c r="AI135">
        <f t="shared" si="54"/>
        <v>4</v>
      </c>
      <c r="AJ135">
        <f t="shared" si="46"/>
        <v>20.5</v>
      </c>
      <c r="AK135">
        <f t="shared" si="55"/>
        <v>11</v>
      </c>
      <c r="AL135">
        <f t="shared" si="47"/>
        <v>8</v>
      </c>
      <c r="AM135" s="2">
        <f t="shared" si="56"/>
        <v>4</v>
      </c>
      <c r="AX135">
        <v>132</v>
      </c>
      <c r="AY135">
        <v>132</v>
      </c>
      <c r="AZ135" s="3">
        <f t="shared" si="48"/>
        <v>1586510</v>
      </c>
      <c r="BA135" t="e">
        <f>AZ135/(#REF!*60/5)/60</f>
        <v>#REF!</v>
      </c>
      <c r="BB135">
        <v>70</v>
      </c>
      <c r="BC135">
        <f t="shared" si="49"/>
        <v>3.9114583333333335</v>
      </c>
      <c r="BD135" s="2">
        <f t="shared" si="57"/>
        <v>20.5</v>
      </c>
      <c r="BE135">
        <f t="shared" si="58"/>
        <v>8</v>
      </c>
      <c r="BF135">
        <f t="shared" si="59"/>
        <v>46080</v>
      </c>
    </row>
    <row r="136" spans="1:58" ht="14.25" x14ac:dyDescent="0.2">
      <c r="A136" s="11">
        <v>723</v>
      </c>
      <c r="B136" s="13">
        <v>3</v>
      </c>
      <c r="C136" s="15">
        <v>3</v>
      </c>
      <c r="D136" s="14">
        <v>3</v>
      </c>
      <c r="E136" s="1" t="s">
        <v>2733</v>
      </c>
      <c r="F136" s="1" t="s">
        <v>2738</v>
      </c>
      <c r="G136" s="1" t="s">
        <v>119</v>
      </c>
      <c r="H136" s="1" t="s">
        <v>119</v>
      </c>
      <c r="I136" s="1" t="s">
        <v>2735</v>
      </c>
      <c r="J136" s="16" t="s">
        <v>2745</v>
      </c>
      <c r="K136" t="s">
        <v>166</v>
      </c>
      <c r="L136" t="s">
        <v>163</v>
      </c>
      <c r="M136" t="s">
        <v>163</v>
      </c>
      <c r="N136" t="s">
        <v>163</v>
      </c>
      <c r="O136" s="4" t="s">
        <v>383</v>
      </c>
      <c r="P136">
        <v>0</v>
      </c>
      <c r="Q136" s="24">
        <v>14.5</v>
      </c>
      <c r="R136" s="25">
        <v>12.8</v>
      </c>
      <c r="S136" s="26">
        <v>18.7</v>
      </c>
      <c r="U136" s="3">
        <v>133</v>
      </c>
      <c r="V136" s="1">
        <v>1622424</v>
      </c>
      <c r="W136" s="1">
        <v>124425</v>
      </c>
      <c r="Y136">
        <v>8</v>
      </c>
      <c r="Z136">
        <v>23</v>
      </c>
      <c r="AA136" s="3">
        <v>20</v>
      </c>
      <c r="AB136" s="3">
        <v>6</v>
      </c>
      <c r="AC136">
        <v>108</v>
      </c>
      <c r="AD136" s="9">
        <f t="shared" si="50"/>
        <v>9120.5</v>
      </c>
      <c r="AE136">
        <f t="shared" si="45"/>
        <v>875574</v>
      </c>
      <c r="AF136" s="2">
        <f t="shared" si="51"/>
        <v>8</v>
      </c>
      <c r="AG136" t="str">
        <f t="shared" si="52"/>
        <v>152小时</v>
      </c>
      <c r="AH136">
        <f t="shared" si="53"/>
        <v>24</v>
      </c>
      <c r="AI136">
        <f t="shared" si="54"/>
        <v>4</v>
      </c>
      <c r="AJ136">
        <f t="shared" si="46"/>
        <v>20.5</v>
      </c>
      <c r="AK136">
        <f t="shared" si="55"/>
        <v>11</v>
      </c>
      <c r="AL136">
        <f t="shared" si="47"/>
        <v>8</v>
      </c>
      <c r="AM136" s="2">
        <f t="shared" si="56"/>
        <v>4</v>
      </c>
      <c r="AX136">
        <v>133</v>
      </c>
      <c r="AY136">
        <v>133</v>
      </c>
      <c r="AZ136" s="3">
        <f t="shared" si="48"/>
        <v>1622424</v>
      </c>
      <c r="BA136" t="e">
        <f>AZ136/(#REF!*60/5)/60</f>
        <v>#REF!</v>
      </c>
      <c r="BB136">
        <v>70</v>
      </c>
      <c r="BC136">
        <f t="shared" si="49"/>
        <v>3.9114583333333335</v>
      </c>
      <c r="BD136" s="2">
        <f t="shared" si="57"/>
        <v>20.5</v>
      </c>
      <c r="BE136">
        <f t="shared" si="58"/>
        <v>8</v>
      </c>
      <c r="BF136">
        <f t="shared" si="59"/>
        <v>46080</v>
      </c>
    </row>
    <row r="137" spans="1:58" ht="14.25" x14ac:dyDescent="0.2">
      <c r="A137" s="11">
        <v>724</v>
      </c>
      <c r="B137" s="13">
        <v>3</v>
      </c>
      <c r="C137" s="15">
        <v>3</v>
      </c>
      <c r="D137" s="14">
        <v>3</v>
      </c>
      <c r="E137" s="1" t="s">
        <v>2733</v>
      </c>
      <c r="F137" s="1" t="s">
        <v>2739</v>
      </c>
      <c r="G137" s="1" t="s">
        <v>119</v>
      </c>
      <c r="H137" s="1" t="s">
        <v>119</v>
      </c>
      <c r="I137" s="1" t="s">
        <v>2735</v>
      </c>
      <c r="J137" s="16" t="s">
        <v>2745</v>
      </c>
      <c r="K137" t="s">
        <v>168</v>
      </c>
      <c r="L137" t="s">
        <v>163</v>
      </c>
      <c r="M137" t="s">
        <v>163</v>
      </c>
      <c r="N137" t="s">
        <v>163</v>
      </c>
      <c r="O137" s="4" t="s">
        <v>385</v>
      </c>
      <c r="P137">
        <v>0</v>
      </c>
      <c r="Q137" s="24">
        <v>14.5</v>
      </c>
      <c r="R137" s="25">
        <v>12.8</v>
      </c>
      <c r="S137" s="26">
        <v>18.7</v>
      </c>
      <c r="U137" s="3">
        <v>134</v>
      </c>
      <c r="V137" s="1">
        <v>1658876</v>
      </c>
      <c r="W137" s="1">
        <v>124958</v>
      </c>
      <c r="Y137">
        <v>8</v>
      </c>
      <c r="Z137">
        <v>24</v>
      </c>
      <c r="AA137" s="3">
        <v>20</v>
      </c>
      <c r="AB137" s="3">
        <v>6</v>
      </c>
      <c r="AC137">
        <v>108</v>
      </c>
      <c r="AD137" s="9">
        <f t="shared" si="50"/>
        <v>9120.5</v>
      </c>
      <c r="AE137">
        <f t="shared" si="45"/>
        <v>875574</v>
      </c>
      <c r="AF137" s="2">
        <f t="shared" si="51"/>
        <v>8</v>
      </c>
      <c r="AG137" t="str">
        <f t="shared" si="52"/>
        <v>152小时</v>
      </c>
      <c r="AH137">
        <f t="shared" si="53"/>
        <v>24</v>
      </c>
      <c r="AI137">
        <f t="shared" si="54"/>
        <v>4</v>
      </c>
      <c r="AJ137">
        <f t="shared" si="46"/>
        <v>20.5</v>
      </c>
      <c r="AK137">
        <f t="shared" si="55"/>
        <v>11</v>
      </c>
      <c r="AL137">
        <f t="shared" si="47"/>
        <v>8</v>
      </c>
      <c r="AM137" s="2">
        <f t="shared" si="56"/>
        <v>4</v>
      </c>
      <c r="AX137">
        <v>134</v>
      </c>
      <c r="AY137">
        <v>134</v>
      </c>
      <c r="AZ137" s="3">
        <f t="shared" si="48"/>
        <v>1658876</v>
      </c>
      <c r="BA137" t="e">
        <f>AZ137/(#REF!*60/5)/60</f>
        <v>#REF!</v>
      </c>
      <c r="BB137">
        <v>70</v>
      </c>
      <c r="BC137">
        <f t="shared" si="49"/>
        <v>3.9114583333333335</v>
      </c>
      <c r="BD137" s="2">
        <f t="shared" si="57"/>
        <v>20.5</v>
      </c>
      <c r="BE137">
        <f t="shared" si="58"/>
        <v>8</v>
      </c>
      <c r="BF137">
        <f t="shared" si="59"/>
        <v>46080</v>
      </c>
    </row>
    <row r="138" spans="1:58" ht="14.25" x14ac:dyDescent="0.2">
      <c r="A138" s="11">
        <v>725</v>
      </c>
      <c r="B138" s="13">
        <v>3</v>
      </c>
      <c r="C138" s="15">
        <v>3</v>
      </c>
      <c r="D138" s="14">
        <v>3</v>
      </c>
      <c r="E138" s="1" t="s">
        <v>2729</v>
      </c>
      <c r="F138" s="1" t="s">
        <v>2742</v>
      </c>
      <c r="G138" s="1" t="s">
        <v>2743</v>
      </c>
      <c r="H138" s="1" t="s">
        <v>2747</v>
      </c>
      <c r="I138" s="1" t="s">
        <v>2696</v>
      </c>
      <c r="J138" s="16" t="s">
        <v>2848</v>
      </c>
      <c r="K138" t="s">
        <v>175</v>
      </c>
      <c r="L138" t="s">
        <v>164</v>
      </c>
      <c r="M138" t="s">
        <v>163</v>
      </c>
      <c r="N138" t="s">
        <v>167</v>
      </c>
      <c r="O138" s="4" t="s">
        <v>383</v>
      </c>
      <c r="P138">
        <v>0</v>
      </c>
      <c r="Q138" s="24">
        <v>14.5</v>
      </c>
      <c r="R138" s="25">
        <v>12.8</v>
      </c>
      <c r="S138" s="26">
        <v>18.7</v>
      </c>
      <c r="U138" s="3">
        <v>135</v>
      </c>
      <c r="V138" s="1">
        <v>1695870</v>
      </c>
      <c r="W138" s="1">
        <v>132355</v>
      </c>
      <c r="Y138">
        <v>8</v>
      </c>
      <c r="Z138">
        <v>25</v>
      </c>
      <c r="AA138" s="3">
        <v>25</v>
      </c>
      <c r="AB138" s="3">
        <v>6</v>
      </c>
      <c r="AC138">
        <v>108</v>
      </c>
      <c r="AD138" s="9">
        <f t="shared" si="50"/>
        <v>9120.5</v>
      </c>
      <c r="AE138">
        <f t="shared" si="45"/>
        <v>875574</v>
      </c>
      <c r="AF138" s="2">
        <f t="shared" si="51"/>
        <v>8</v>
      </c>
      <c r="AG138" t="str">
        <f t="shared" si="52"/>
        <v>152小时</v>
      </c>
      <c r="AH138">
        <f t="shared" si="53"/>
        <v>24</v>
      </c>
      <c r="AI138">
        <f t="shared" si="54"/>
        <v>4</v>
      </c>
      <c r="AJ138">
        <f t="shared" si="46"/>
        <v>20.5</v>
      </c>
      <c r="AK138">
        <f t="shared" si="55"/>
        <v>11</v>
      </c>
      <c r="AL138">
        <f t="shared" si="47"/>
        <v>8</v>
      </c>
      <c r="AM138" s="2">
        <f t="shared" si="56"/>
        <v>4</v>
      </c>
      <c r="AX138">
        <v>135</v>
      </c>
      <c r="AY138">
        <v>135</v>
      </c>
      <c r="AZ138" s="3">
        <f t="shared" si="48"/>
        <v>1695870</v>
      </c>
      <c r="BA138" t="e">
        <f>AZ138/(#REF!*60/5)/60</f>
        <v>#REF!</v>
      </c>
      <c r="BB138">
        <v>70</v>
      </c>
      <c r="BC138">
        <f t="shared" si="49"/>
        <v>3.9114583333333335</v>
      </c>
      <c r="BD138" s="2">
        <f t="shared" si="57"/>
        <v>20.5</v>
      </c>
      <c r="BE138">
        <f t="shared" si="58"/>
        <v>8</v>
      </c>
      <c r="BF138">
        <f t="shared" si="59"/>
        <v>46080</v>
      </c>
    </row>
    <row r="139" spans="1:58" ht="14.25" x14ac:dyDescent="0.2">
      <c r="A139" s="11">
        <v>726</v>
      </c>
      <c r="B139" s="13">
        <v>3</v>
      </c>
      <c r="C139" s="15">
        <v>3</v>
      </c>
      <c r="D139" s="14">
        <v>3</v>
      </c>
      <c r="E139" s="1" t="s">
        <v>2733</v>
      </c>
      <c r="F139" s="1" t="s">
        <v>2752</v>
      </c>
      <c r="G139" s="1" t="s">
        <v>119</v>
      </c>
      <c r="H139" s="1" t="s">
        <v>119</v>
      </c>
      <c r="I139" s="1" t="s">
        <v>2735</v>
      </c>
      <c r="J139" s="16" t="s">
        <v>2753</v>
      </c>
      <c r="K139" t="s">
        <v>179</v>
      </c>
      <c r="L139" t="s">
        <v>163</v>
      </c>
      <c r="M139" t="s">
        <v>163</v>
      </c>
      <c r="N139" t="s">
        <v>163</v>
      </c>
      <c r="O139" s="4" t="s">
        <v>387</v>
      </c>
      <c r="P139">
        <v>0</v>
      </c>
      <c r="Q139" s="24">
        <v>15</v>
      </c>
      <c r="R139" s="25">
        <v>13.3</v>
      </c>
      <c r="S139" s="26">
        <v>19.3</v>
      </c>
      <c r="U139" s="3">
        <v>136</v>
      </c>
      <c r="V139" s="1">
        <v>1733410</v>
      </c>
      <c r="W139" s="1">
        <v>132896</v>
      </c>
      <c r="Y139">
        <v>9</v>
      </c>
      <c r="Z139">
        <v>1</v>
      </c>
      <c r="AA139" s="3">
        <v>20</v>
      </c>
      <c r="AB139" s="3">
        <v>6</v>
      </c>
      <c r="AC139">
        <v>110</v>
      </c>
      <c r="AD139" s="9">
        <f t="shared" si="50"/>
        <v>9394.5</v>
      </c>
      <c r="AE139">
        <f t="shared" si="45"/>
        <v>924420</v>
      </c>
      <c r="AF139" s="2">
        <f t="shared" si="51"/>
        <v>8.2000000000000011</v>
      </c>
      <c r="AG139" t="str">
        <f t="shared" si="52"/>
        <v>156小时</v>
      </c>
      <c r="AH139">
        <f t="shared" si="53"/>
        <v>25</v>
      </c>
      <c r="AI139">
        <f t="shared" si="54"/>
        <v>5</v>
      </c>
      <c r="AJ139">
        <f t="shared" si="46"/>
        <v>20.8</v>
      </c>
      <c r="AK139">
        <f t="shared" si="55"/>
        <v>11</v>
      </c>
      <c r="AL139">
        <f t="shared" si="47"/>
        <v>8.2000000000000011</v>
      </c>
      <c r="AM139" s="2">
        <f t="shared" si="56"/>
        <v>5</v>
      </c>
      <c r="AX139">
        <v>136</v>
      </c>
      <c r="AY139">
        <v>136</v>
      </c>
      <c r="AZ139" s="3">
        <f t="shared" si="48"/>
        <v>1733410</v>
      </c>
      <c r="BA139" t="e">
        <f>AZ139/(#REF!*60/5)/60</f>
        <v>#REF!</v>
      </c>
      <c r="BB139">
        <v>80</v>
      </c>
      <c r="BC139">
        <f t="shared" si="49"/>
        <v>5.9273373983739832</v>
      </c>
      <c r="BD139" s="2">
        <f t="shared" si="57"/>
        <v>20.8</v>
      </c>
      <c r="BE139">
        <f t="shared" si="58"/>
        <v>8.2000000000000011</v>
      </c>
      <c r="BF139">
        <f t="shared" si="59"/>
        <v>47232.000000000007</v>
      </c>
    </row>
    <row r="140" spans="1:58" ht="14.25" x14ac:dyDescent="0.2">
      <c r="A140" s="11">
        <v>727</v>
      </c>
      <c r="B140" s="13">
        <v>3</v>
      </c>
      <c r="C140" s="15">
        <v>3</v>
      </c>
      <c r="D140" s="14">
        <v>3</v>
      </c>
      <c r="E140" s="1" t="s">
        <v>2733</v>
      </c>
      <c r="F140" s="1" t="s">
        <v>2754</v>
      </c>
      <c r="G140" s="1" t="s">
        <v>119</v>
      </c>
      <c r="H140" s="1" t="s">
        <v>119</v>
      </c>
      <c r="I140" s="1" t="s">
        <v>2735</v>
      </c>
      <c r="J140" s="16" t="s">
        <v>2753</v>
      </c>
      <c r="K140" t="s">
        <v>162</v>
      </c>
      <c r="L140" t="s">
        <v>163</v>
      </c>
      <c r="M140" t="s">
        <v>163</v>
      </c>
      <c r="N140" t="s">
        <v>163</v>
      </c>
      <c r="O140" s="4" t="s">
        <v>389</v>
      </c>
      <c r="P140">
        <v>0</v>
      </c>
      <c r="Q140" s="24">
        <v>15</v>
      </c>
      <c r="R140" s="25">
        <v>13.3</v>
      </c>
      <c r="S140" s="26">
        <v>19.3</v>
      </c>
      <c r="U140" s="3">
        <v>137</v>
      </c>
      <c r="V140" s="1">
        <v>1771500</v>
      </c>
      <c r="W140" s="1">
        <v>133441</v>
      </c>
      <c r="Y140">
        <v>9</v>
      </c>
      <c r="Z140">
        <v>2</v>
      </c>
      <c r="AA140" s="3">
        <v>20</v>
      </c>
      <c r="AB140" s="3">
        <v>6</v>
      </c>
      <c r="AC140">
        <v>110</v>
      </c>
      <c r="AD140" s="9">
        <f t="shared" si="50"/>
        <v>9394.5</v>
      </c>
      <c r="AE140">
        <f t="shared" si="45"/>
        <v>924420</v>
      </c>
      <c r="AF140" s="2">
        <f t="shared" si="51"/>
        <v>8.2000000000000011</v>
      </c>
      <c r="AG140" t="str">
        <f t="shared" si="52"/>
        <v>156小时</v>
      </c>
      <c r="AH140">
        <f t="shared" si="53"/>
        <v>25</v>
      </c>
      <c r="AI140">
        <f t="shared" si="54"/>
        <v>5</v>
      </c>
      <c r="AJ140">
        <f t="shared" si="46"/>
        <v>20.8</v>
      </c>
      <c r="AK140">
        <f t="shared" si="55"/>
        <v>11</v>
      </c>
      <c r="AL140">
        <f t="shared" si="47"/>
        <v>8.2000000000000011</v>
      </c>
      <c r="AM140" s="2">
        <f t="shared" si="56"/>
        <v>5</v>
      </c>
      <c r="AX140">
        <v>137</v>
      </c>
      <c r="AY140">
        <v>137</v>
      </c>
      <c r="AZ140" s="3">
        <f t="shared" si="48"/>
        <v>1771500</v>
      </c>
      <c r="BA140" t="e">
        <f>AZ140/(#REF!*60/5)/60</f>
        <v>#REF!</v>
      </c>
      <c r="BB140">
        <v>80</v>
      </c>
      <c r="BC140">
        <f t="shared" si="49"/>
        <v>5.9273373983739832</v>
      </c>
      <c r="BD140" s="2">
        <f t="shared" si="57"/>
        <v>20.8</v>
      </c>
      <c r="BE140">
        <f t="shared" si="58"/>
        <v>8.2000000000000011</v>
      </c>
      <c r="BF140">
        <f t="shared" si="59"/>
        <v>47232.000000000007</v>
      </c>
    </row>
    <row r="141" spans="1:58" ht="14.25" x14ac:dyDescent="0.2">
      <c r="A141" s="11">
        <v>728</v>
      </c>
      <c r="B141" s="13">
        <v>3</v>
      </c>
      <c r="C141" s="15">
        <v>3</v>
      </c>
      <c r="D141" s="14">
        <v>3</v>
      </c>
      <c r="E141" s="1" t="s">
        <v>2733</v>
      </c>
      <c r="F141" s="1" t="s">
        <v>2755</v>
      </c>
      <c r="G141" s="1" t="s">
        <v>119</v>
      </c>
      <c r="H141" s="1" t="s">
        <v>119</v>
      </c>
      <c r="I141" s="1" t="s">
        <v>2735</v>
      </c>
      <c r="J141" s="16" t="s">
        <v>2753</v>
      </c>
      <c r="K141" t="s">
        <v>177</v>
      </c>
      <c r="L141" t="s">
        <v>163</v>
      </c>
      <c r="M141" t="s">
        <v>163</v>
      </c>
      <c r="N141" t="s">
        <v>163</v>
      </c>
      <c r="O141" s="4" t="s">
        <v>391</v>
      </c>
      <c r="P141">
        <v>0</v>
      </c>
      <c r="Q141" s="24">
        <v>15</v>
      </c>
      <c r="R141" s="25">
        <v>13.3</v>
      </c>
      <c r="S141" s="26">
        <v>19.3</v>
      </c>
      <c r="U141" s="3">
        <v>138</v>
      </c>
      <c r="V141" s="1">
        <v>1810144</v>
      </c>
      <c r="W141" s="1">
        <v>133990</v>
      </c>
      <c r="Y141">
        <v>9</v>
      </c>
      <c r="Z141">
        <v>3</v>
      </c>
      <c r="AA141" s="3">
        <v>20</v>
      </c>
      <c r="AB141" s="3">
        <v>6</v>
      </c>
      <c r="AC141">
        <v>110</v>
      </c>
      <c r="AD141" s="9">
        <f t="shared" si="50"/>
        <v>9394.5</v>
      </c>
      <c r="AE141">
        <f t="shared" si="45"/>
        <v>924420</v>
      </c>
      <c r="AF141" s="2">
        <f t="shared" si="51"/>
        <v>8.2000000000000011</v>
      </c>
      <c r="AG141" t="str">
        <f t="shared" si="52"/>
        <v>156小时</v>
      </c>
      <c r="AH141">
        <f t="shared" si="53"/>
        <v>25</v>
      </c>
      <c r="AI141">
        <f t="shared" si="54"/>
        <v>5</v>
      </c>
      <c r="AJ141">
        <f t="shared" si="46"/>
        <v>20.8</v>
      </c>
      <c r="AK141">
        <f t="shared" si="55"/>
        <v>11</v>
      </c>
      <c r="AL141">
        <f t="shared" si="47"/>
        <v>8.2000000000000011</v>
      </c>
      <c r="AM141" s="2">
        <f t="shared" si="56"/>
        <v>5</v>
      </c>
      <c r="AX141">
        <v>138</v>
      </c>
      <c r="AY141">
        <v>138</v>
      </c>
      <c r="AZ141" s="3">
        <f t="shared" si="48"/>
        <v>1810144</v>
      </c>
      <c r="BA141" t="e">
        <f>AZ141/(#REF!*60/5)/60</f>
        <v>#REF!</v>
      </c>
      <c r="BB141">
        <v>80</v>
      </c>
      <c r="BC141">
        <f t="shared" si="49"/>
        <v>5.9273373983739832</v>
      </c>
      <c r="BD141" s="2">
        <f t="shared" si="57"/>
        <v>20.8</v>
      </c>
      <c r="BE141">
        <f t="shared" si="58"/>
        <v>8.2000000000000011</v>
      </c>
      <c r="BF141">
        <f t="shared" si="59"/>
        <v>47232.000000000007</v>
      </c>
    </row>
    <row r="142" spans="1:58" ht="14.25" x14ac:dyDescent="0.2">
      <c r="A142" s="11">
        <v>729</v>
      </c>
      <c r="B142" s="13">
        <v>3</v>
      </c>
      <c r="C142" s="15">
        <v>3</v>
      </c>
      <c r="D142" s="14">
        <v>3</v>
      </c>
      <c r="E142" s="1" t="s">
        <v>2733</v>
      </c>
      <c r="F142" s="1" t="s">
        <v>2756</v>
      </c>
      <c r="G142" s="1" t="s">
        <v>119</v>
      </c>
      <c r="H142" s="1" t="s">
        <v>119</v>
      </c>
      <c r="I142" s="1" t="s">
        <v>2735</v>
      </c>
      <c r="J142" s="16" t="s">
        <v>2753</v>
      </c>
      <c r="K142" t="s">
        <v>174</v>
      </c>
      <c r="L142" t="s">
        <v>163</v>
      </c>
      <c r="M142" t="s">
        <v>163</v>
      </c>
      <c r="N142" t="s">
        <v>163</v>
      </c>
      <c r="O142" s="4" t="s">
        <v>393</v>
      </c>
      <c r="P142">
        <v>0</v>
      </c>
      <c r="Q142" s="24">
        <v>15</v>
      </c>
      <c r="R142" s="25">
        <v>13.3</v>
      </c>
      <c r="S142" s="26">
        <v>19.3</v>
      </c>
      <c r="U142" s="3">
        <v>139</v>
      </c>
      <c r="V142" s="1">
        <v>1849346</v>
      </c>
      <c r="W142" s="1">
        <v>134543</v>
      </c>
      <c r="Y142">
        <v>9</v>
      </c>
      <c r="Z142">
        <v>4</v>
      </c>
      <c r="AA142" s="3">
        <v>20</v>
      </c>
      <c r="AB142" s="3">
        <v>6</v>
      </c>
      <c r="AC142">
        <v>112</v>
      </c>
      <c r="AD142" s="9">
        <f t="shared" si="50"/>
        <v>9909</v>
      </c>
      <c r="AE142">
        <f t="shared" si="45"/>
        <v>975050</v>
      </c>
      <c r="AF142" s="2">
        <f t="shared" si="51"/>
        <v>8.2000000000000011</v>
      </c>
      <c r="AG142" t="str">
        <f t="shared" si="52"/>
        <v>165小时</v>
      </c>
      <c r="AH142">
        <f t="shared" si="53"/>
        <v>25</v>
      </c>
      <c r="AI142">
        <f t="shared" si="54"/>
        <v>5</v>
      </c>
      <c r="AJ142">
        <f t="shared" si="46"/>
        <v>20.8</v>
      </c>
      <c r="AK142">
        <f t="shared" si="55"/>
        <v>11</v>
      </c>
      <c r="AL142">
        <f t="shared" si="47"/>
        <v>8.2000000000000011</v>
      </c>
      <c r="AM142" s="2">
        <f t="shared" si="56"/>
        <v>5</v>
      </c>
      <c r="AX142">
        <v>139</v>
      </c>
      <c r="AY142">
        <v>139</v>
      </c>
      <c r="AZ142" s="3">
        <f t="shared" si="48"/>
        <v>1849346</v>
      </c>
      <c r="BA142" t="e">
        <f>AZ142/(#REF!*60/5)/60</f>
        <v>#REF!</v>
      </c>
      <c r="BB142">
        <v>80</v>
      </c>
      <c r="BC142">
        <f t="shared" si="49"/>
        <v>5.9273373983739832</v>
      </c>
      <c r="BD142" s="2">
        <f t="shared" si="57"/>
        <v>20.8</v>
      </c>
      <c r="BE142">
        <f t="shared" si="58"/>
        <v>8.2000000000000011</v>
      </c>
      <c r="BF142">
        <f t="shared" si="59"/>
        <v>47232.000000000007</v>
      </c>
    </row>
    <row r="143" spans="1:58" ht="14.25" x14ac:dyDescent="0.2">
      <c r="A143" s="11">
        <v>730</v>
      </c>
      <c r="B143" s="13">
        <v>3</v>
      </c>
      <c r="C143" s="15">
        <v>3</v>
      </c>
      <c r="D143" s="14">
        <v>3</v>
      </c>
      <c r="E143" s="1" t="s">
        <v>2729</v>
      </c>
      <c r="F143" s="1" t="s">
        <v>2742</v>
      </c>
      <c r="G143" s="1" t="s">
        <v>2757</v>
      </c>
      <c r="H143" s="1" t="s">
        <v>2758</v>
      </c>
      <c r="I143" s="1" t="s">
        <v>2696</v>
      </c>
      <c r="J143" s="16" t="s">
        <v>2849</v>
      </c>
      <c r="K143" t="s">
        <v>166</v>
      </c>
      <c r="L143" t="s">
        <v>163</v>
      </c>
      <c r="M143" t="s">
        <v>163</v>
      </c>
      <c r="N143" t="s">
        <v>163</v>
      </c>
      <c r="O143" s="4" t="s">
        <v>393</v>
      </c>
      <c r="P143">
        <v>0</v>
      </c>
      <c r="Q143" s="24">
        <v>15</v>
      </c>
      <c r="R143" s="25">
        <v>13.3</v>
      </c>
      <c r="S143" s="26">
        <v>19.3</v>
      </c>
      <c r="U143" s="3">
        <v>140</v>
      </c>
      <c r="V143" s="1">
        <v>1889110</v>
      </c>
      <c r="W143" s="1">
        <v>165060</v>
      </c>
      <c r="Y143">
        <v>9</v>
      </c>
      <c r="Z143">
        <v>5</v>
      </c>
      <c r="AA143" s="3">
        <v>25</v>
      </c>
      <c r="AB143" s="3">
        <v>6</v>
      </c>
      <c r="AC143">
        <v>112</v>
      </c>
      <c r="AD143" s="9">
        <f t="shared" si="50"/>
        <v>9909</v>
      </c>
      <c r="AE143">
        <f t="shared" si="45"/>
        <v>975050</v>
      </c>
      <c r="AF143" s="2">
        <f t="shared" si="51"/>
        <v>8.2000000000000011</v>
      </c>
      <c r="AG143" t="str">
        <f t="shared" si="52"/>
        <v>165小时</v>
      </c>
      <c r="AH143">
        <f t="shared" si="53"/>
        <v>25</v>
      </c>
      <c r="AI143">
        <f t="shared" si="54"/>
        <v>5</v>
      </c>
      <c r="AJ143">
        <f t="shared" si="46"/>
        <v>20.8</v>
      </c>
      <c r="AK143">
        <f t="shared" si="55"/>
        <v>11</v>
      </c>
      <c r="AL143">
        <f t="shared" si="47"/>
        <v>8.2000000000000011</v>
      </c>
      <c r="AM143" s="2">
        <f t="shared" si="56"/>
        <v>5</v>
      </c>
      <c r="AX143">
        <v>140</v>
      </c>
      <c r="AY143">
        <v>140</v>
      </c>
      <c r="AZ143" s="3">
        <f t="shared" si="48"/>
        <v>1889110</v>
      </c>
      <c r="BA143" t="e">
        <f>AZ143/(#REF!*60/5)/60</f>
        <v>#REF!</v>
      </c>
      <c r="BB143">
        <v>80</v>
      </c>
      <c r="BC143">
        <f t="shared" si="49"/>
        <v>5.9273373983739832</v>
      </c>
      <c r="BD143" s="2">
        <f t="shared" si="57"/>
        <v>20.8</v>
      </c>
      <c r="BE143">
        <f t="shared" si="58"/>
        <v>8.2000000000000011</v>
      </c>
      <c r="BF143">
        <f t="shared" si="59"/>
        <v>47232.000000000007</v>
      </c>
    </row>
    <row r="144" spans="1:58" ht="14.25" x14ac:dyDescent="0.2">
      <c r="A144" s="11">
        <v>731</v>
      </c>
      <c r="B144" s="13">
        <v>3</v>
      </c>
      <c r="C144" s="15">
        <v>3</v>
      </c>
      <c r="D144" s="14">
        <v>3</v>
      </c>
      <c r="E144" s="1" t="s">
        <v>2733</v>
      </c>
      <c r="F144" s="1" t="s">
        <v>2752</v>
      </c>
      <c r="G144" s="1" t="s">
        <v>119</v>
      </c>
      <c r="H144" s="1" t="s">
        <v>119</v>
      </c>
      <c r="I144" s="1" t="s">
        <v>2735</v>
      </c>
      <c r="J144" s="16" t="s">
        <v>2753</v>
      </c>
      <c r="K144" t="s">
        <v>168</v>
      </c>
      <c r="L144" t="s">
        <v>163</v>
      </c>
      <c r="M144" t="s">
        <v>163</v>
      </c>
      <c r="N144" t="s">
        <v>163</v>
      </c>
      <c r="O144" s="4" t="s">
        <v>395</v>
      </c>
      <c r="P144">
        <v>0</v>
      </c>
      <c r="Q144" s="24">
        <v>15.5</v>
      </c>
      <c r="R144" s="25">
        <v>13.8</v>
      </c>
      <c r="S144" s="26">
        <v>20</v>
      </c>
      <c r="U144" s="3">
        <v>141</v>
      </c>
      <c r="V144" s="1">
        <v>1929440</v>
      </c>
      <c r="W144" s="1">
        <v>165621</v>
      </c>
      <c r="Y144">
        <v>9</v>
      </c>
      <c r="Z144">
        <v>6</v>
      </c>
      <c r="AA144" s="3">
        <v>20</v>
      </c>
      <c r="AB144" s="3">
        <v>6</v>
      </c>
      <c r="AC144">
        <v>112</v>
      </c>
      <c r="AD144" s="9">
        <f t="shared" si="50"/>
        <v>9559.25</v>
      </c>
      <c r="AE144">
        <f t="shared" si="45"/>
        <v>975050</v>
      </c>
      <c r="AF144" s="2">
        <f t="shared" si="51"/>
        <v>8.5</v>
      </c>
      <c r="AG144" t="str">
        <f t="shared" si="52"/>
        <v>159小时</v>
      </c>
      <c r="AH144">
        <f t="shared" si="53"/>
        <v>26</v>
      </c>
      <c r="AI144">
        <f t="shared" si="54"/>
        <v>5</v>
      </c>
      <c r="AJ144">
        <f t="shared" si="46"/>
        <v>21.299999999999997</v>
      </c>
      <c r="AK144">
        <f t="shared" si="55"/>
        <v>11</v>
      </c>
      <c r="AL144">
        <f t="shared" si="47"/>
        <v>8.5</v>
      </c>
      <c r="AM144" s="2">
        <f t="shared" si="56"/>
        <v>5</v>
      </c>
      <c r="AX144">
        <v>141</v>
      </c>
      <c r="AY144">
        <v>141</v>
      </c>
      <c r="AZ144" s="3">
        <f t="shared" si="48"/>
        <v>1929440</v>
      </c>
      <c r="BA144" t="e">
        <f>AZ144/(#REF!*60/5)/60</f>
        <v>#REF!</v>
      </c>
      <c r="BB144">
        <v>80</v>
      </c>
      <c r="BC144">
        <f t="shared" si="49"/>
        <v>5.7181372549019605</v>
      </c>
      <c r="BD144" s="2">
        <f t="shared" si="57"/>
        <v>21.299999999999997</v>
      </c>
      <c r="BE144">
        <f t="shared" si="58"/>
        <v>8.5</v>
      </c>
      <c r="BF144">
        <f t="shared" si="59"/>
        <v>48960</v>
      </c>
    </row>
    <row r="145" spans="1:58" ht="14.25" x14ac:dyDescent="0.2">
      <c r="A145" s="11">
        <v>732</v>
      </c>
      <c r="B145" s="13">
        <v>3</v>
      </c>
      <c r="C145" s="15">
        <v>3</v>
      </c>
      <c r="D145" s="14">
        <v>3</v>
      </c>
      <c r="E145" s="1" t="s">
        <v>2733</v>
      </c>
      <c r="F145" s="1" t="s">
        <v>2754</v>
      </c>
      <c r="G145" s="1" t="s">
        <v>119</v>
      </c>
      <c r="H145" s="1" t="s">
        <v>119</v>
      </c>
      <c r="I145" s="1" t="s">
        <v>2735</v>
      </c>
      <c r="J145" s="16" t="s">
        <v>2753</v>
      </c>
      <c r="K145" t="s">
        <v>175</v>
      </c>
      <c r="L145" t="s">
        <v>164</v>
      </c>
      <c r="M145" t="s">
        <v>163</v>
      </c>
      <c r="N145" t="s">
        <v>167</v>
      </c>
      <c r="O145" s="4" t="s">
        <v>397</v>
      </c>
      <c r="P145">
        <v>0</v>
      </c>
      <c r="Q145" s="24">
        <v>15.5</v>
      </c>
      <c r="R145" s="25">
        <v>13.8</v>
      </c>
      <c r="S145" s="26">
        <v>20</v>
      </c>
      <c r="U145" s="3">
        <v>142</v>
      </c>
      <c r="V145" s="1">
        <v>1970340</v>
      </c>
      <c r="W145" s="1">
        <v>166186</v>
      </c>
      <c r="Y145">
        <v>9</v>
      </c>
      <c r="Z145">
        <v>7</v>
      </c>
      <c r="AA145" s="3">
        <v>20</v>
      </c>
      <c r="AB145" s="3">
        <v>6</v>
      </c>
      <c r="AC145">
        <v>115</v>
      </c>
      <c r="AD145" s="9">
        <f t="shared" si="50"/>
        <v>10337.333333333334</v>
      </c>
      <c r="AE145">
        <f t="shared" si="45"/>
        <v>1054410</v>
      </c>
      <c r="AF145" s="2">
        <f t="shared" si="51"/>
        <v>8.5</v>
      </c>
      <c r="AG145" t="str">
        <f t="shared" si="52"/>
        <v>172小时</v>
      </c>
      <c r="AH145">
        <f t="shared" si="53"/>
        <v>26</v>
      </c>
      <c r="AI145">
        <f t="shared" si="54"/>
        <v>5</v>
      </c>
      <c r="AJ145">
        <f t="shared" si="46"/>
        <v>21.299999999999997</v>
      </c>
      <c r="AK145">
        <f t="shared" si="55"/>
        <v>11</v>
      </c>
      <c r="AL145">
        <f t="shared" si="47"/>
        <v>8.5</v>
      </c>
      <c r="AM145" s="2">
        <f t="shared" si="56"/>
        <v>5</v>
      </c>
      <c r="AX145">
        <v>142</v>
      </c>
      <c r="AY145">
        <v>142</v>
      </c>
      <c r="AZ145" s="3">
        <f t="shared" si="48"/>
        <v>1970340</v>
      </c>
      <c r="BA145" t="e">
        <f>AZ145/(#REF!*60/5)/60</f>
        <v>#REF!</v>
      </c>
      <c r="BB145">
        <v>80</v>
      </c>
      <c r="BC145">
        <f t="shared" si="49"/>
        <v>5.7181372549019605</v>
      </c>
      <c r="BD145" s="2">
        <f t="shared" si="57"/>
        <v>21.299999999999997</v>
      </c>
      <c r="BE145">
        <f t="shared" si="58"/>
        <v>8.5</v>
      </c>
      <c r="BF145">
        <f t="shared" si="59"/>
        <v>48960</v>
      </c>
    </row>
    <row r="146" spans="1:58" ht="14.25" x14ac:dyDescent="0.2">
      <c r="A146" s="11">
        <v>733</v>
      </c>
      <c r="B146" s="13">
        <v>3</v>
      </c>
      <c r="C146" s="15">
        <v>3</v>
      </c>
      <c r="D146" s="14">
        <v>3</v>
      </c>
      <c r="E146" s="1" t="s">
        <v>2733</v>
      </c>
      <c r="F146" s="1" t="s">
        <v>2755</v>
      </c>
      <c r="G146" s="1" t="s">
        <v>119</v>
      </c>
      <c r="H146" s="1" t="s">
        <v>119</v>
      </c>
      <c r="I146" s="1" t="s">
        <v>2735</v>
      </c>
      <c r="J146" s="16" t="s">
        <v>2753</v>
      </c>
      <c r="K146" t="s">
        <v>179</v>
      </c>
      <c r="L146" t="s">
        <v>163</v>
      </c>
      <c r="M146" t="s">
        <v>163</v>
      </c>
      <c r="N146" t="s">
        <v>163</v>
      </c>
      <c r="O146" s="4" t="s">
        <v>399</v>
      </c>
      <c r="P146">
        <v>0</v>
      </c>
      <c r="Q146" s="24">
        <v>15.5</v>
      </c>
      <c r="R146" s="25">
        <v>13.8</v>
      </c>
      <c r="S146" s="26">
        <v>20</v>
      </c>
      <c r="U146" s="3">
        <v>143</v>
      </c>
      <c r="V146" s="1">
        <v>2011814</v>
      </c>
      <c r="W146" s="1">
        <v>166755</v>
      </c>
      <c r="Y146">
        <v>9</v>
      </c>
      <c r="Z146">
        <v>8</v>
      </c>
      <c r="AA146" s="3">
        <v>20</v>
      </c>
      <c r="AB146" s="3">
        <v>6</v>
      </c>
      <c r="AC146">
        <v>115</v>
      </c>
      <c r="AD146" s="9">
        <f t="shared" si="50"/>
        <v>10337.333333333334</v>
      </c>
      <c r="AE146">
        <f t="shared" si="45"/>
        <v>1054410</v>
      </c>
      <c r="AF146" s="2">
        <f t="shared" si="51"/>
        <v>8.5</v>
      </c>
      <c r="AG146" t="str">
        <f t="shared" si="52"/>
        <v>172小时</v>
      </c>
      <c r="AH146">
        <f t="shared" si="53"/>
        <v>26</v>
      </c>
      <c r="AI146">
        <f t="shared" si="54"/>
        <v>5</v>
      </c>
      <c r="AJ146">
        <f t="shared" si="46"/>
        <v>21.299999999999997</v>
      </c>
      <c r="AK146">
        <f t="shared" si="55"/>
        <v>11</v>
      </c>
      <c r="AL146">
        <f t="shared" si="47"/>
        <v>8.5</v>
      </c>
      <c r="AM146" s="2">
        <f t="shared" si="56"/>
        <v>5</v>
      </c>
      <c r="AX146">
        <v>143</v>
      </c>
      <c r="AY146">
        <v>143</v>
      </c>
      <c r="AZ146" s="3">
        <f t="shared" si="48"/>
        <v>2011814</v>
      </c>
      <c r="BA146" t="e">
        <f>AZ146/(#REF!*60/5)/60</f>
        <v>#REF!</v>
      </c>
      <c r="BB146">
        <v>80</v>
      </c>
      <c r="BC146">
        <f t="shared" si="49"/>
        <v>5.7181372549019605</v>
      </c>
      <c r="BD146" s="2">
        <f t="shared" si="57"/>
        <v>21.299999999999997</v>
      </c>
      <c r="BE146">
        <f t="shared" si="58"/>
        <v>8.5</v>
      </c>
      <c r="BF146">
        <f t="shared" si="59"/>
        <v>48960</v>
      </c>
    </row>
    <row r="147" spans="1:58" ht="14.25" x14ac:dyDescent="0.2">
      <c r="A147" s="11">
        <v>734</v>
      </c>
      <c r="B147" s="13">
        <v>3</v>
      </c>
      <c r="C147" s="15">
        <v>3</v>
      </c>
      <c r="D147" s="14">
        <v>3</v>
      </c>
      <c r="E147" s="1" t="s">
        <v>2733</v>
      </c>
      <c r="F147" s="1" t="s">
        <v>2756</v>
      </c>
      <c r="G147" s="1" t="s">
        <v>119</v>
      </c>
      <c r="H147" s="1" t="s">
        <v>119</v>
      </c>
      <c r="I147" s="1" t="s">
        <v>2735</v>
      </c>
      <c r="J147" s="16" t="s">
        <v>2753</v>
      </c>
      <c r="K147" t="s">
        <v>162</v>
      </c>
      <c r="L147" t="s">
        <v>163</v>
      </c>
      <c r="M147" t="s">
        <v>163</v>
      </c>
      <c r="N147" t="s">
        <v>163</v>
      </c>
      <c r="O147" s="4" t="s">
        <v>401</v>
      </c>
      <c r="P147">
        <v>0</v>
      </c>
      <c r="Q147" s="24">
        <v>15.5</v>
      </c>
      <c r="R147" s="25">
        <v>13.8</v>
      </c>
      <c r="S147" s="26">
        <v>20</v>
      </c>
      <c r="U147" s="3">
        <v>144</v>
      </c>
      <c r="V147" s="1">
        <v>2053866</v>
      </c>
      <c r="W147" s="1">
        <v>167328</v>
      </c>
      <c r="Y147">
        <v>9</v>
      </c>
      <c r="Z147">
        <v>9</v>
      </c>
      <c r="AA147" s="3">
        <v>20</v>
      </c>
      <c r="AB147" s="3">
        <v>6</v>
      </c>
      <c r="AC147">
        <v>115</v>
      </c>
      <c r="AD147" s="9">
        <f t="shared" si="50"/>
        <v>10337.333333333334</v>
      </c>
      <c r="AE147">
        <f t="shared" si="45"/>
        <v>1054410</v>
      </c>
      <c r="AF147" s="2">
        <f t="shared" si="51"/>
        <v>8.5</v>
      </c>
      <c r="AG147" t="str">
        <f t="shared" si="52"/>
        <v>172小时</v>
      </c>
      <c r="AH147">
        <f t="shared" si="53"/>
        <v>26</v>
      </c>
      <c r="AI147">
        <f t="shared" si="54"/>
        <v>5</v>
      </c>
      <c r="AJ147">
        <f t="shared" si="46"/>
        <v>21.299999999999997</v>
      </c>
      <c r="AK147">
        <f t="shared" si="55"/>
        <v>11</v>
      </c>
      <c r="AL147">
        <f t="shared" si="47"/>
        <v>8.5</v>
      </c>
      <c r="AM147" s="2">
        <f t="shared" si="56"/>
        <v>5</v>
      </c>
      <c r="AX147">
        <v>144</v>
      </c>
      <c r="AY147">
        <v>144</v>
      </c>
      <c r="AZ147" s="3">
        <f t="shared" si="48"/>
        <v>2053866</v>
      </c>
      <c r="BA147" t="e">
        <f>AZ147/(#REF!*60/5)/60</f>
        <v>#REF!</v>
      </c>
      <c r="BB147">
        <v>80</v>
      </c>
      <c r="BC147">
        <f t="shared" si="49"/>
        <v>5.7181372549019605</v>
      </c>
      <c r="BD147" s="2">
        <f t="shared" si="57"/>
        <v>21.299999999999997</v>
      </c>
      <c r="BE147">
        <f t="shared" si="58"/>
        <v>8.5</v>
      </c>
      <c r="BF147">
        <f t="shared" si="59"/>
        <v>48960</v>
      </c>
    </row>
    <row r="148" spans="1:58" ht="14.25" x14ac:dyDescent="0.2">
      <c r="A148" s="11">
        <v>735</v>
      </c>
      <c r="B148" s="13">
        <v>3</v>
      </c>
      <c r="C148" s="15">
        <v>3</v>
      </c>
      <c r="D148" s="14">
        <v>3</v>
      </c>
      <c r="E148" s="1" t="s">
        <v>2729</v>
      </c>
      <c r="F148" s="1" t="s">
        <v>2742</v>
      </c>
      <c r="G148" s="1" t="s">
        <v>2759</v>
      </c>
      <c r="H148" s="1" t="s">
        <v>2760</v>
      </c>
      <c r="I148" s="1" t="s">
        <v>2696</v>
      </c>
      <c r="J148" s="16" t="s">
        <v>2849</v>
      </c>
      <c r="K148" t="s">
        <v>177</v>
      </c>
      <c r="L148" t="s">
        <v>163</v>
      </c>
      <c r="M148" t="s">
        <v>163</v>
      </c>
      <c r="N148" t="s">
        <v>163</v>
      </c>
      <c r="O148" s="4" t="s">
        <v>399</v>
      </c>
      <c r="P148">
        <v>0</v>
      </c>
      <c r="Q148" s="24">
        <v>15.5</v>
      </c>
      <c r="R148" s="25">
        <v>13.8</v>
      </c>
      <c r="S148" s="26">
        <v>20</v>
      </c>
      <c r="U148" s="3">
        <v>145</v>
      </c>
      <c r="V148" s="1">
        <v>2096500</v>
      </c>
      <c r="W148" s="1">
        <v>176905</v>
      </c>
      <c r="Y148">
        <v>9</v>
      </c>
      <c r="Z148">
        <v>10</v>
      </c>
      <c r="AA148" s="3">
        <v>25</v>
      </c>
      <c r="AB148" s="3">
        <v>6</v>
      </c>
      <c r="AC148">
        <v>118</v>
      </c>
      <c r="AD148" s="9">
        <f t="shared" si="50"/>
        <v>11156.5</v>
      </c>
      <c r="AE148">
        <f t="shared" si="45"/>
        <v>1137964</v>
      </c>
      <c r="AF148" s="2">
        <f t="shared" si="51"/>
        <v>8.5</v>
      </c>
      <c r="AG148" t="str">
        <f t="shared" si="52"/>
        <v>185小时</v>
      </c>
      <c r="AH148">
        <f t="shared" si="53"/>
        <v>26</v>
      </c>
      <c r="AI148">
        <f t="shared" si="54"/>
        <v>5</v>
      </c>
      <c r="AJ148">
        <f t="shared" si="46"/>
        <v>21.299999999999997</v>
      </c>
      <c r="AK148">
        <f t="shared" si="55"/>
        <v>11</v>
      </c>
      <c r="AL148">
        <f t="shared" si="47"/>
        <v>8.5</v>
      </c>
      <c r="AM148" s="2">
        <f t="shared" si="56"/>
        <v>5</v>
      </c>
      <c r="AX148">
        <v>145</v>
      </c>
      <c r="AY148">
        <v>145</v>
      </c>
      <c r="AZ148" s="3">
        <f t="shared" si="48"/>
        <v>2096500</v>
      </c>
      <c r="BA148" t="e">
        <f>AZ148/(#REF!*60/5)/60</f>
        <v>#REF!</v>
      </c>
      <c r="BB148">
        <v>80</v>
      </c>
      <c r="BC148">
        <f t="shared" si="49"/>
        <v>5.7181372549019605</v>
      </c>
      <c r="BD148" s="2">
        <f t="shared" si="57"/>
        <v>21.299999999999997</v>
      </c>
      <c r="BE148">
        <f t="shared" si="58"/>
        <v>8.5</v>
      </c>
      <c r="BF148">
        <f t="shared" si="59"/>
        <v>48960</v>
      </c>
    </row>
    <row r="149" spans="1:58" ht="14.25" x14ac:dyDescent="0.2">
      <c r="A149" s="11">
        <v>801</v>
      </c>
      <c r="B149" s="13">
        <v>3</v>
      </c>
      <c r="C149" s="15">
        <v>3</v>
      </c>
      <c r="D149" s="14">
        <v>3</v>
      </c>
      <c r="E149" s="1" t="s">
        <v>2733</v>
      </c>
      <c r="F149" s="1" t="s">
        <v>2752</v>
      </c>
      <c r="G149" s="1" t="s">
        <v>119</v>
      </c>
      <c r="H149" s="1" t="s">
        <v>119</v>
      </c>
      <c r="I149" s="1" t="s">
        <v>2735</v>
      </c>
      <c r="J149" s="18" t="s">
        <v>2761</v>
      </c>
      <c r="K149" t="s">
        <v>174</v>
      </c>
      <c r="L149" t="s">
        <v>163</v>
      </c>
      <c r="M149" t="s">
        <v>163</v>
      </c>
      <c r="N149" t="s">
        <v>163</v>
      </c>
      <c r="O149" s="4" t="s">
        <v>403</v>
      </c>
      <c r="P149">
        <v>0</v>
      </c>
      <c r="Q149" s="24">
        <v>15.8</v>
      </c>
      <c r="R149" s="25">
        <v>14.2</v>
      </c>
      <c r="S149" s="26">
        <v>20.3</v>
      </c>
      <c r="U149" s="3">
        <v>146</v>
      </c>
      <c r="V149" s="1">
        <v>2139720</v>
      </c>
      <c r="W149" s="1">
        <v>177486</v>
      </c>
      <c r="Y149">
        <v>9</v>
      </c>
      <c r="Z149">
        <v>11</v>
      </c>
      <c r="AA149" s="3">
        <v>20</v>
      </c>
      <c r="AB149" s="3">
        <v>6</v>
      </c>
      <c r="AC149">
        <v>118</v>
      </c>
      <c r="AD149" s="9">
        <f t="shared" si="50"/>
        <v>10900</v>
      </c>
      <c r="AE149">
        <f t="shared" si="45"/>
        <v>1137964</v>
      </c>
      <c r="AF149" s="2">
        <f t="shared" si="51"/>
        <v>8.7000000000000011</v>
      </c>
      <c r="AG149" t="str">
        <f t="shared" si="52"/>
        <v>181小时</v>
      </c>
      <c r="AH149">
        <f t="shared" si="53"/>
        <v>27</v>
      </c>
      <c r="AI149">
        <f t="shared" si="54"/>
        <v>5</v>
      </c>
      <c r="AJ149">
        <f t="shared" si="46"/>
        <v>21.6</v>
      </c>
      <c r="AK149">
        <f t="shared" si="55"/>
        <v>11</v>
      </c>
      <c r="AL149">
        <f t="shared" si="47"/>
        <v>8.7000000000000011</v>
      </c>
      <c r="AM149" s="2">
        <f t="shared" si="56"/>
        <v>5</v>
      </c>
      <c r="AX149">
        <v>146</v>
      </c>
      <c r="AY149">
        <v>146</v>
      </c>
      <c r="AZ149" s="3">
        <f t="shared" si="48"/>
        <v>2139720</v>
      </c>
      <c r="BA149" t="e">
        <f>AZ149/(#REF!*60/5)/60</f>
        <v>#REF!</v>
      </c>
      <c r="BB149">
        <v>80</v>
      </c>
      <c r="BC149">
        <f t="shared" si="49"/>
        <v>5.5866858237547881</v>
      </c>
      <c r="BD149" s="2">
        <f t="shared" si="57"/>
        <v>21.6</v>
      </c>
      <c r="BE149">
        <f t="shared" si="58"/>
        <v>8.7000000000000011</v>
      </c>
      <c r="BF149">
        <f t="shared" si="59"/>
        <v>50112.000000000015</v>
      </c>
    </row>
    <row r="150" spans="1:58" ht="14.25" x14ac:dyDescent="0.2">
      <c r="A150" s="11">
        <v>802</v>
      </c>
      <c r="B150" s="13">
        <v>3</v>
      </c>
      <c r="C150" s="15">
        <v>3</v>
      </c>
      <c r="D150" s="14">
        <v>3</v>
      </c>
      <c r="E150" s="1" t="s">
        <v>2733</v>
      </c>
      <c r="F150" s="1" t="s">
        <v>2754</v>
      </c>
      <c r="G150" s="1" t="s">
        <v>119</v>
      </c>
      <c r="H150" s="1" t="s">
        <v>119</v>
      </c>
      <c r="I150" s="1" t="s">
        <v>2735</v>
      </c>
      <c r="J150" s="16" t="s">
        <v>2761</v>
      </c>
      <c r="K150" t="s">
        <v>166</v>
      </c>
      <c r="L150" t="s">
        <v>163</v>
      </c>
      <c r="M150" t="s">
        <v>163</v>
      </c>
      <c r="N150" t="s">
        <v>163</v>
      </c>
      <c r="O150" s="4" t="s">
        <v>403</v>
      </c>
      <c r="P150">
        <v>0</v>
      </c>
      <c r="Q150" s="24">
        <v>15.8</v>
      </c>
      <c r="R150" s="25">
        <v>14.2</v>
      </c>
      <c r="S150" s="26">
        <v>20.3</v>
      </c>
      <c r="U150" s="3">
        <v>147</v>
      </c>
      <c r="V150" s="1">
        <v>2183530</v>
      </c>
      <c r="W150" s="1">
        <v>178071</v>
      </c>
      <c r="Y150">
        <v>9</v>
      </c>
      <c r="Z150">
        <v>12</v>
      </c>
      <c r="AA150" s="3">
        <v>20</v>
      </c>
      <c r="AB150" s="3">
        <v>6</v>
      </c>
      <c r="AC150">
        <v>118</v>
      </c>
      <c r="AD150" s="9">
        <f t="shared" si="50"/>
        <v>10900</v>
      </c>
      <c r="AE150">
        <f t="shared" si="45"/>
        <v>1137964</v>
      </c>
      <c r="AF150" s="2">
        <f t="shared" si="51"/>
        <v>8.7000000000000011</v>
      </c>
      <c r="AG150" t="str">
        <f t="shared" si="52"/>
        <v>181小时</v>
      </c>
      <c r="AH150">
        <f t="shared" si="53"/>
        <v>27</v>
      </c>
      <c r="AI150">
        <f t="shared" si="54"/>
        <v>5</v>
      </c>
      <c r="AJ150">
        <f t="shared" si="46"/>
        <v>21.6</v>
      </c>
      <c r="AK150">
        <f t="shared" si="55"/>
        <v>11</v>
      </c>
      <c r="AL150">
        <f t="shared" si="47"/>
        <v>8.7000000000000011</v>
      </c>
      <c r="AM150" s="2">
        <f t="shared" si="56"/>
        <v>5</v>
      </c>
      <c r="AX150">
        <v>147</v>
      </c>
      <c r="AY150">
        <v>147</v>
      </c>
      <c r="AZ150" s="3">
        <f t="shared" si="48"/>
        <v>2183530</v>
      </c>
      <c r="BA150" t="e">
        <f>AZ150/(#REF!*60/5)/60</f>
        <v>#REF!</v>
      </c>
      <c r="BB150">
        <v>80</v>
      </c>
      <c r="BC150">
        <f t="shared" si="49"/>
        <v>5.5866858237547881</v>
      </c>
      <c r="BD150" s="2">
        <f t="shared" si="57"/>
        <v>21.6</v>
      </c>
      <c r="BE150">
        <f t="shared" si="58"/>
        <v>8.7000000000000011</v>
      </c>
      <c r="BF150">
        <f t="shared" si="59"/>
        <v>50112.000000000015</v>
      </c>
    </row>
    <row r="151" spans="1:58" ht="14.25" x14ac:dyDescent="0.2">
      <c r="A151" s="11">
        <v>803</v>
      </c>
      <c r="B151" s="13">
        <v>3</v>
      </c>
      <c r="C151" s="15">
        <v>3</v>
      </c>
      <c r="D151" s="14">
        <v>3</v>
      </c>
      <c r="E151" s="1" t="s">
        <v>2733</v>
      </c>
      <c r="F151" s="1" t="s">
        <v>2755</v>
      </c>
      <c r="G151" s="1" t="s">
        <v>119</v>
      </c>
      <c r="H151" s="1" t="s">
        <v>119</v>
      </c>
      <c r="I151" s="1" t="s">
        <v>2735</v>
      </c>
      <c r="J151" s="16" t="s">
        <v>2761</v>
      </c>
      <c r="K151" t="s">
        <v>168</v>
      </c>
      <c r="L151" t="s">
        <v>163</v>
      </c>
      <c r="M151" t="s">
        <v>163</v>
      </c>
      <c r="N151" t="s">
        <v>163</v>
      </c>
      <c r="O151" s="4" t="s">
        <v>405</v>
      </c>
      <c r="P151">
        <v>0</v>
      </c>
      <c r="Q151" s="24">
        <v>15.8</v>
      </c>
      <c r="R151" s="25">
        <v>14.2</v>
      </c>
      <c r="S151" s="26">
        <v>20.3</v>
      </c>
      <c r="U151" s="3">
        <v>148</v>
      </c>
      <c r="V151" s="1">
        <v>2227934</v>
      </c>
      <c r="W151" s="1">
        <v>178660</v>
      </c>
      <c r="Y151">
        <v>9</v>
      </c>
      <c r="Z151">
        <v>13</v>
      </c>
      <c r="AA151" s="3">
        <v>20</v>
      </c>
      <c r="AB151" s="3">
        <v>6</v>
      </c>
      <c r="AC151">
        <v>120</v>
      </c>
      <c r="AD151" s="9">
        <f t="shared" si="50"/>
        <v>11456.416666666666</v>
      </c>
      <c r="AE151">
        <f t="shared" si="45"/>
        <v>1196050</v>
      </c>
      <c r="AF151" s="2">
        <f t="shared" si="51"/>
        <v>8.7000000000000011</v>
      </c>
      <c r="AG151" t="str">
        <f t="shared" si="52"/>
        <v>190小时</v>
      </c>
      <c r="AH151">
        <f t="shared" si="53"/>
        <v>27</v>
      </c>
      <c r="AI151">
        <f t="shared" si="54"/>
        <v>5</v>
      </c>
      <c r="AJ151">
        <f t="shared" si="46"/>
        <v>21.6</v>
      </c>
      <c r="AK151">
        <f t="shared" si="55"/>
        <v>11</v>
      </c>
      <c r="AL151">
        <f t="shared" si="47"/>
        <v>8.7000000000000011</v>
      </c>
      <c r="AM151" s="2">
        <f t="shared" si="56"/>
        <v>5</v>
      </c>
      <c r="AX151">
        <v>148</v>
      </c>
      <c r="AY151">
        <v>148</v>
      </c>
      <c r="AZ151" s="3">
        <f t="shared" si="48"/>
        <v>2227934</v>
      </c>
      <c r="BA151" t="e">
        <f>AZ151/(#REF!*60/5)/60</f>
        <v>#REF!</v>
      </c>
      <c r="BB151">
        <v>80</v>
      </c>
      <c r="BC151">
        <f t="shared" si="49"/>
        <v>5.5866858237547881</v>
      </c>
      <c r="BD151" s="2">
        <f t="shared" si="57"/>
        <v>21.6</v>
      </c>
      <c r="BE151">
        <f t="shared" si="58"/>
        <v>8.7000000000000011</v>
      </c>
      <c r="BF151">
        <f t="shared" si="59"/>
        <v>50112.000000000015</v>
      </c>
    </row>
    <row r="152" spans="1:58" ht="14.25" x14ac:dyDescent="0.2">
      <c r="A152" s="11">
        <v>804</v>
      </c>
      <c r="B152" s="13">
        <v>3</v>
      </c>
      <c r="C152" s="15">
        <v>3</v>
      </c>
      <c r="D152" s="14">
        <v>3</v>
      </c>
      <c r="E152" s="1" t="s">
        <v>2733</v>
      </c>
      <c r="F152" s="1" t="s">
        <v>2756</v>
      </c>
      <c r="G152" s="1" t="s">
        <v>119</v>
      </c>
      <c r="H152" s="1" t="s">
        <v>119</v>
      </c>
      <c r="I152" s="1" t="s">
        <v>2735</v>
      </c>
      <c r="J152" s="16" t="s">
        <v>2761</v>
      </c>
      <c r="K152" t="s">
        <v>175</v>
      </c>
      <c r="L152" t="s">
        <v>164</v>
      </c>
      <c r="M152" t="s">
        <v>163</v>
      </c>
      <c r="N152" t="s">
        <v>167</v>
      </c>
      <c r="O152" s="4" t="s">
        <v>407</v>
      </c>
      <c r="P152">
        <v>0</v>
      </c>
      <c r="Q152" s="24">
        <v>15.8</v>
      </c>
      <c r="R152" s="25">
        <v>14.2</v>
      </c>
      <c r="S152" s="26">
        <v>20.3</v>
      </c>
      <c r="U152" s="3">
        <v>149</v>
      </c>
      <c r="V152" s="1">
        <v>2272936</v>
      </c>
      <c r="W152" s="1">
        <v>179253</v>
      </c>
      <c r="Y152">
        <v>9</v>
      </c>
      <c r="Z152">
        <v>14</v>
      </c>
      <c r="AA152" s="3">
        <v>20</v>
      </c>
      <c r="AB152" s="3">
        <v>6</v>
      </c>
      <c r="AC152">
        <v>120</v>
      </c>
      <c r="AD152" s="9">
        <f t="shared" si="50"/>
        <v>11456.416666666666</v>
      </c>
      <c r="AE152">
        <f t="shared" si="45"/>
        <v>1196050</v>
      </c>
      <c r="AF152" s="2">
        <f t="shared" si="51"/>
        <v>8.7000000000000011</v>
      </c>
      <c r="AG152" t="str">
        <f t="shared" si="52"/>
        <v>190小时</v>
      </c>
      <c r="AH152">
        <f t="shared" si="53"/>
        <v>27</v>
      </c>
      <c r="AI152">
        <f t="shared" si="54"/>
        <v>5</v>
      </c>
      <c r="AJ152">
        <f t="shared" si="46"/>
        <v>21.6</v>
      </c>
      <c r="AK152">
        <f t="shared" si="55"/>
        <v>11</v>
      </c>
      <c r="AL152">
        <f t="shared" si="47"/>
        <v>8.7000000000000011</v>
      </c>
      <c r="AM152" s="2">
        <f t="shared" si="56"/>
        <v>5</v>
      </c>
      <c r="AX152">
        <v>149</v>
      </c>
      <c r="AY152">
        <v>149</v>
      </c>
      <c r="AZ152" s="3">
        <f t="shared" si="48"/>
        <v>2272936</v>
      </c>
      <c r="BA152" t="e">
        <f>AZ152/(#REF!*60/5)/60</f>
        <v>#REF!</v>
      </c>
      <c r="BB152">
        <v>80</v>
      </c>
      <c r="BC152">
        <f t="shared" si="49"/>
        <v>5.5866858237547881</v>
      </c>
      <c r="BD152" s="2">
        <f t="shared" si="57"/>
        <v>21.6</v>
      </c>
      <c r="BE152">
        <f t="shared" si="58"/>
        <v>8.7000000000000011</v>
      </c>
      <c r="BF152">
        <f t="shared" si="59"/>
        <v>50112.000000000015</v>
      </c>
    </row>
    <row r="153" spans="1:58" ht="14.25" x14ac:dyDescent="0.2">
      <c r="A153" s="11">
        <v>805</v>
      </c>
      <c r="B153" s="13">
        <v>3</v>
      </c>
      <c r="C153" s="15">
        <v>3</v>
      </c>
      <c r="D153" s="14">
        <v>3</v>
      </c>
      <c r="E153" s="1" t="s">
        <v>2729</v>
      </c>
      <c r="F153" s="1" t="s">
        <v>2742</v>
      </c>
      <c r="G153" s="1" t="s">
        <v>2762</v>
      </c>
      <c r="H153" s="1" t="s">
        <v>2760</v>
      </c>
      <c r="I153" s="1" t="s">
        <v>2696</v>
      </c>
      <c r="J153" s="16" t="s">
        <v>2868</v>
      </c>
      <c r="K153" t="s">
        <v>179</v>
      </c>
      <c r="L153" t="s">
        <v>163</v>
      </c>
      <c r="M153" t="s">
        <v>163</v>
      </c>
      <c r="N153" t="s">
        <v>163</v>
      </c>
      <c r="O153" s="4" t="s">
        <v>405</v>
      </c>
      <c r="P153">
        <v>0</v>
      </c>
      <c r="Q153" s="24">
        <v>15.8</v>
      </c>
      <c r="R153" s="25">
        <v>14.2</v>
      </c>
      <c r="S153" s="26">
        <v>20.3</v>
      </c>
      <c r="U153" s="3">
        <v>150</v>
      </c>
      <c r="V153" s="1">
        <v>2318540</v>
      </c>
      <c r="W153" s="1">
        <v>198450</v>
      </c>
      <c r="Y153">
        <v>9</v>
      </c>
      <c r="Z153">
        <v>15</v>
      </c>
      <c r="AA153" s="3">
        <v>25</v>
      </c>
      <c r="AB153" s="3">
        <v>6</v>
      </c>
      <c r="AC153">
        <v>120</v>
      </c>
      <c r="AD153" s="9">
        <f t="shared" si="50"/>
        <v>11456.416666666666</v>
      </c>
      <c r="AE153">
        <f t="shared" si="45"/>
        <v>1196050</v>
      </c>
      <c r="AF153" s="2">
        <f t="shared" si="51"/>
        <v>8.7000000000000011</v>
      </c>
      <c r="AG153" t="str">
        <f t="shared" si="52"/>
        <v>190小时</v>
      </c>
      <c r="AH153">
        <f t="shared" si="53"/>
        <v>27</v>
      </c>
      <c r="AI153">
        <f t="shared" si="54"/>
        <v>5</v>
      </c>
      <c r="AJ153">
        <f t="shared" si="46"/>
        <v>21.6</v>
      </c>
      <c r="AK153">
        <f t="shared" si="55"/>
        <v>11</v>
      </c>
      <c r="AL153">
        <f t="shared" si="47"/>
        <v>8.7000000000000011</v>
      </c>
      <c r="AM153" s="2">
        <f t="shared" si="56"/>
        <v>5</v>
      </c>
      <c r="AX153">
        <v>150</v>
      </c>
      <c r="AY153">
        <v>150</v>
      </c>
      <c r="AZ153" s="3">
        <f t="shared" si="48"/>
        <v>2318540</v>
      </c>
      <c r="BA153" t="e">
        <f>AZ153/(#REF!*60/5)/60</f>
        <v>#REF!</v>
      </c>
      <c r="BB153">
        <v>80</v>
      </c>
      <c r="BC153">
        <f t="shared" si="49"/>
        <v>5.5866858237547881</v>
      </c>
      <c r="BD153" s="2">
        <f t="shared" si="57"/>
        <v>21.6</v>
      </c>
      <c r="BE153">
        <f t="shared" si="58"/>
        <v>8.7000000000000011</v>
      </c>
      <c r="BF153">
        <f t="shared" si="59"/>
        <v>50112.000000000015</v>
      </c>
    </row>
    <row r="154" spans="1:58" ht="14.25" x14ac:dyDescent="0.2">
      <c r="A154" s="11">
        <v>806</v>
      </c>
      <c r="B154" s="13">
        <v>3</v>
      </c>
      <c r="C154" s="15">
        <v>3</v>
      </c>
      <c r="D154" s="14">
        <v>3</v>
      </c>
      <c r="E154" s="1" t="s">
        <v>2733</v>
      </c>
      <c r="F154" s="1" t="s">
        <v>2752</v>
      </c>
      <c r="G154" s="1" t="s">
        <v>119</v>
      </c>
      <c r="H154" s="1" t="s">
        <v>119</v>
      </c>
      <c r="I154" s="1" t="s">
        <v>2735</v>
      </c>
      <c r="J154" s="16" t="s">
        <v>2761</v>
      </c>
      <c r="K154" t="s">
        <v>162</v>
      </c>
      <c r="L154" t="s">
        <v>163</v>
      </c>
      <c r="M154" t="s">
        <v>163</v>
      </c>
      <c r="N154" t="s">
        <v>163</v>
      </c>
      <c r="O154" s="4" t="s">
        <v>409</v>
      </c>
      <c r="P154">
        <v>0</v>
      </c>
      <c r="Q154" s="24">
        <v>16.2</v>
      </c>
      <c r="R154" s="25">
        <v>14.7</v>
      </c>
      <c r="S154" s="26">
        <v>20.7</v>
      </c>
      <c r="U154" s="3">
        <v>151</v>
      </c>
      <c r="V154" s="1">
        <v>2364750</v>
      </c>
      <c r="W154" s="1">
        <v>199051</v>
      </c>
      <c r="Y154">
        <v>9</v>
      </c>
      <c r="Z154">
        <v>16</v>
      </c>
      <c r="AA154" s="3">
        <v>20</v>
      </c>
      <c r="AB154" s="3">
        <v>6</v>
      </c>
      <c r="AC154">
        <v>122</v>
      </c>
      <c r="AD154" s="9">
        <f t="shared" si="50"/>
        <v>11630.333333333332</v>
      </c>
      <c r="AE154">
        <f t="shared" si="45"/>
        <v>1256080</v>
      </c>
      <c r="AF154" s="2">
        <f t="shared" si="51"/>
        <v>9</v>
      </c>
      <c r="AG154" t="str">
        <f t="shared" si="52"/>
        <v>193小时</v>
      </c>
      <c r="AH154">
        <f t="shared" si="53"/>
        <v>27</v>
      </c>
      <c r="AI154">
        <f t="shared" si="54"/>
        <v>5</v>
      </c>
      <c r="AJ154">
        <f t="shared" si="46"/>
        <v>22</v>
      </c>
      <c r="AK154">
        <f t="shared" si="55"/>
        <v>11</v>
      </c>
      <c r="AL154">
        <f t="shared" si="47"/>
        <v>9</v>
      </c>
      <c r="AM154" s="2">
        <f t="shared" si="56"/>
        <v>5</v>
      </c>
      <c r="AX154">
        <v>151</v>
      </c>
      <c r="AY154">
        <v>151</v>
      </c>
      <c r="AZ154" s="3">
        <f t="shared" si="48"/>
        <v>2364750</v>
      </c>
      <c r="BA154" t="e">
        <f>AZ154/(#REF!*60/5)/60</f>
        <v>#REF!</v>
      </c>
      <c r="BB154">
        <v>80</v>
      </c>
      <c r="BC154">
        <f t="shared" si="49"/>
        <v>5.4004629629629628</v>
      </c>
      <c r="BD154" s="2">
        <f t="shared" si="57"/>
        <v>22</v>
      </c>
      <c r="BE154">
        <f t="shared" si="58"/>
        <v>9</v>
      </c>
      <c r="BF154">
        <f t="shared" si="59"/>
        <v>51840</v>
      </c>
    </row>
    <row r="155" spans="1:58" ht="14.25" x14ac:dyDescent="0.2">
      <c r="A155" s="11">
        <v>807</v>
      </c>
      <c r="B155" s="13">
        <v>3</v>
      </c>
      <c r="C155" s="15">
        <v>3</v>
      </c>
      <c r="D155" s="14">
        <v>3</v>
      </c>
      <c r="E155" s="1" t="s">
        <v>2733</v>
      </c>
      <c r="F155" s="1" t="s">
        <v>2754</v>
      </c>
      <c r="G155" s="1" t="s">
        <v>119</v>
      </c>
      <c r="H155" s="1" t="s">
        <v>119</v>
      </c>
      <c r="I155" s="1" t="s">
        <v>2735</v>
      </c>
      <c r="J155" s="16" t="s">
        <v>2761</v>
      </c>
      <c r="K155" t="s">
        <v>177</v>
      </c>
      <c r="L155" t="s">
        <v>163</v>
      </c>
      <c r="M155" t="s">
        <v>163</v>
      </c>
      <c r="N155" t="s">
        <v>163</v>
      </c>
      <c r="O155" s="4" t="s">
        <v>411</v>
      </c>
      <c r="P155">
        <v>0</v>
      </c>
      <c r="Q155" s="24">
        <v>16.2</v>
      </c>
      <c r="R155" s="25">
        <v>14.7</v>
      </c>
      <c r="S155" s="26">
        <v>20.7</v>
      </c>
      <c r="U155" s="3">
        <v>152</v>
      </c>
      <c r="V155" s="1">
        <v>2411570</v>
      </c>
      <c r="W155" s="1">
        <v>199656</v>
      </c>
      <c r="Y155">
        <v>9</v>
      </c>
      <c r="Z155">
        <v>17</v>
      </c>
      <c r="AA155" s="3">
        <v>20</v>
      </c>
      <c r="AB155" s="3">
        <v>6</v>
      </c>
      <c r="AC155">
        <v>122</v>
      </c>
      <c r="AD155" s="9">
        <f t="shared" si="50"/>
        <v>11630.333333333332</v>
      </c>
      <c r="AE155">
        <f t="shared" si="45"/>
        <v>1256080</v>
      </c>
      <c r="AF155" s="2">
        <f t="shared" si="51"/>
        <v>9</v>
      </c>
      <c r="AG155" t="str">
        <f t="shared" si="52"/>
        <v>193小时</v>
      </c>
      <c r="AH155">
        <f t="shared" si="53"/>
        <v>27</v>
      </c>
      <c r="AI155">
        <f t="shared" si="54"/>
        <v>5</v>
      </c>
      <c r="AJ155">
        <f t="shared" si="46"/>
        <v>22</v>
      </c>
      <c r="AK155">
        <f t="shared" si="55"/>
        <v>11</v>
      </c>
      <c r="AL155">
        <f t="shared" si="47"/>
        <v>9</v>
      </c>
      <c r="AM155" s="2">
        <f t="shared" si="56"/>
        <v>5</v>
      </c>
      <c r="AX155">
        <v>152</v>
      </c>
      <c r="AY155">
        <v>152</v>
      </c>
      <c r="AZ155" s="3">
        <f t="shared" si="48"/>
        <v>2411570</v>
      </c>
      <c r="BA155" t="e">
        <f>AZ155/(#REF!*60/5)/60</f>
        <v>#REF!</v>
      </c>
      <c r="BB155">
        <v>80</v>
      </c>
      <c r="BC155">
        <f t="shared" si="49"/>
        <v>5.4004629629629628</v>
      </c>
      <c r="BD155" s="2">
        <f t="shared" si="57"/>
        <v>22</v>
      </c>
      <c r="BE155">
        <f t="shared" si="58"/>
        <v>9</v>
      </c>
      <c r="BF155">
        <f t="shared" si="59"/>
        <v>51840</v>
      </c>
    </row>
    <row r="156" spans="1:58" ht="14.25" x14ac:dyDescent="0.2">
      <c r="A156" s="11">
        <v>808</v>
      </c>
      <c r="B156" s="13">
        <v>3</v>
      </c>
      <c r="C156" s="15">
        <v>3</v>
      </c>
      <c r="D156" s="14">
        <f t="shared" ref="D156:D207" si="60">FLOOR(S154/5,1)</f>
        <v>4</v>
      </c>
      <c r="E156" s="1" t="s">
        <v>2733</v>
      </c>
      <c r="F156" s="1" t="s">
        <v>2755</v>
      </c>
      <c r="G156" s="1" t="s">
        <v>119</v>
      </c>
      <c r="H156" s="1" t="s">
        <v>119</v>
      </c>
      <c r="I156" s="1" t="s">
        <v>2735</v>
      </c>
      <c r="J156" s="16" t="s">
        <v>2761</v>
      </c>
      <c r="K156" t="s">
        <v>174</v>
      </c>
      <c r="L156" t="s">
        <v>163</v>
      </c>
      <c r="M156" t="s">
        <v>163</v>
      </c>
      <c r="N156" t="s">
        <v>163</v>
      </c>
      <c r="O156" s="4" t="s">
        <v>413</v>
      </c>
      <c r="P156">
        <v>0</v>
      </c>
      <c r="Q156" s="24">
        <v>16.2</v>
      </c>
      <c r="R156" s="25">
        <v>14.7</v>
      </c>
      <c r="S156" s="26">
        <v>20.7</v>
      </c>
      <c r="U156" s="3">
        <v>153</v>
      </c>
      <c r="V156" s="1">
        <v>2459004</v>
      </c>
      <c r="W156" s="1">
        <v>200265</v>
      </c>
      <c r="Y156">
        <v>9</v>
      </c>
      <c r="Z156">
        <v>18</v>
      </c>
      <c r="AA156" s="3">
        <v>20</v>
      </c>
      <c r="AB156" s="3">
        <v>6</v>
      </c>
      <c r="AC156">
        <v>122</v>
      </c>
      <c r="AD156" s="9">
        <f t="shared" si="50"/>
        <v>11630.333333333332</v>
      </c>
      <c r="AE156">
        <f t="shared" si="45"/>
        <v>1256080</v>
      </c>
      <c r="AF156" s="2">
        <f t="shared" si="51"/>
        <v>9</v>
      </c>
      <c r="AG156" t="str">
        <f t="shared" si="52"/>
        <v>193小时</v>
      </c>
      <c r="AH156">
        <f t="shared" si="53"/>
        <v>27</v>
      </c>
      <c r="AI156">
        <f t="shared" si="54"/>
        <v>5</v>
      </c>
      <c r="AJ156">
        <f t="shared" si="46"/>
        <v>22</v>
      </c>
      <c r="AK156">
        <f t="shared" si="55"/>
        <v>11</v>
      </c>
      <c r="AL156">
        <f t="shared" si="47"/>
        <v>9</v>
      </c>
      <c r="AM156" s="2">
        <f t="shared" si="56"/>
        <v>5</v>
      </c>
      <c r="AX156">
        <v>153</v>
      </c>
      <c r="AY156">
        <v>153</v>
      </c>
      <c r="AZ156" s="3">
        <f t="shared" si="48"/>
        <v>2459004</v>
      </c>
      <c r="BA156" t="e">
        <f>AZ156/(#REF!*60/5)/60</f>
        <v>#REF!</v>
      </c>
      <c r="BB156">
        <v>80</v>
      </c>
      <c r="BC156">
        <f t="shared" si="49"/>
        <v>5.4004629629629628</v>
      </c>
      <c r="BD156" s="2">
        <f t="shared" si="57"/>
        <v>22</v>
      </c>
      <c r="BE156">
        <f t="shared" si="58"/>
        <v>9</v>
      </c>
      <c r="BF156">
        <f t="shared" si="59"/>
        <v>51840</v>
      </c>
    </row>
    <row r="157" spans="1:58" ht="14.25" x14ac:dyDescent="0.2">
      <c r="A157" s="11">
        <v>809</v>
      </c>
      <c r="B157" s="13">
        <v>3</v>
      </c>
      <c r="C157" s="15">
        <v>3</v>
      </c>
      <c r="D157" s="14">
        <f t="shared" si="60"/>
        <v>4</v>
      </c>
      <c r="E157" s="1" t="s">
        <v>2733</v>
      </c>
      <c r="F157" s="1" t="s">
        <v>2756</v>
      </c>
      <c r="G157" s="1" t="s">
        <v>119</v>
      </c>
      <c r="H157" s="1" t="s">
        <v>119</v>
      </c>
      <c r="I157" s="1" t="s">
        <v>2735</v>
      </c>
      <c r="J157" s="16" t="s">
        <v>2761</v>
      </c>
      <c r="K157" t="s">
        <v>166</v>
      </c>
      <c r="L157" t="s">
        <v>163</v>
      </c>
      <c r="M157" t="s">
        <v>163</v>
      </c>
      <c r="N157" t="s">
        <v>163</v>
      </c>
      <c r="O157" s="4" t="s">
        <v>413</v>
      </c>
      <c r="P157">
        <v>0</v>
      </c>
      <c r="Q157" s="24">
        <v>16.2</v>
      </c>
      <c r="R157" s="25">
        <v>14.7</v>
      </c>
      <c r="S157" s="26">
        <v>20.7</v>
      </c>
      <c r="U157" s="3">
        <v>154</v>
      </c>
      <c r="V157" s="1">
        <v>2507056</v>
      </c>
      <c r="W157" s="1">
        <v>200878</v>
      </c>
      <c r="Y157">
        <v>9</v>
      </c>
      <c r="Z157">
        <v>19</v>
      </c>
      <c r="AA157" s="3">
        <v>20</v>
      </c>
      <c r="AB157" s="3">
        <v>6</v>
      </c>
      <c r="AC157">
        <v>125</v>
      </c>
      <c r="AD157" s="9">
        <f t="shared" si="50"/>
        <v>12498.5</v>
      </c>
      <c r="AE157">
        <f t="shared" si="45"/>
        <v>1349840</v>
      </c>
      <c r="AF157" s="2">
        <f t="shared" si="51"/>
        <v>9</v>
      </c>
      <c r="AG157" t="str">
        <f t="shared" si="52"/>
        <v>208小时</v>
      </c>
      <c r="AH157">
        <f t="shared" si="53"/>
        <v>27</v>
      </c>
      <c r="AI157">
        <f t="shared" si="54"/>
        <v>5</v>
      </c>
      <c r="AJ157">
        <f t="shared" si="46"/>
        <v>22</v>
      </c>
      <c r="AK157">
        <f t="shared" si="55"/>
        <v>11</v>
      </c>
      <c r="AL157">
        <f t="shared" si="47"/>
        <v>9</v>
      </c>
      <c r="AM157" s="2">
        <f t="shared" si="56"/>
        <v>5</v>
      </c>
      <c r="AX157">
        <v>154</v>
      </c>
      <c r="AY157">
        <v>154</v>
      </c>
      <c r="AZ157" s="3">
        <f t="shared" si="48"/>
        <v>2507056</v>
      </c>
      <c r="BA157" t="e">
        <f>AZ157/(#REF!*60/5)/60</f>
        <v>#REF!</v>
      </c>
      <c r="BB157">
        <v>80</v>
      </c>
      <c r="BC157">
        <f t="shared" si="49"/>
        <v>5.4004629629629628</v>
      </c>
      <c r="BD157" s="2">
        <f t="shared" si="57"/>
        <v>22</v>
      </c>
      <c r="BE157">
        <f t="shared" si="58"/>
        <v>9</v>
      </c>
      <c r="BF157">
        <f t="shared" si="59"/>
        <v>51840</v>
      </c>
    </row>
    <row r="158" spans="1:58" ht="14.25" x14ac:dyDescent="0.2">
      <c r="A158" s="11">
        <v>810</v>
      </c>
      <c r="B158" s="13">
        <v>3</v>
      </c>
      <c r="C158" s="15">
        <v>3</v>
      </c>
      <c r="D158" s="14">
        <f t="shared" si="60"/>
        <v>4</v>
      </c>
      <c r="E158" s="1" t="s">
        <v>2729</v>
      </c>
      <c r="F158" s="1" t="s">
        <v>2742</v>
      </c>
      <c r="G158" s="1" t="s">
        <v>2763</v>
      </c>
      <c r="H158" s="1" t="s">
        <v>2760</v>
      </c>
      <c r="I158" s="1" t="s">
        <v>2696</v>
      </c>
      <c r="J158" s="16" t="s">
        <v>2868</v>
      </c>
      <c r="K158" t="s">
        <v>168</v>
      </c>
      <c r="L158" t="s">
        <v>163</v>
      </c>
      <c r="M158" t="s">
        <v>163</v>
      </c>
      <c r="N158" t="s">
        <v>163</v>
      </c>
      <c r="O158" s="4" t="s">
        <v>415</v>
      </c>
      <c r="P158">
        <v>0</v>
      </c>
      <c r="Q158" s="24">
        <v>16.2</v>
      </c>
      <c r="R158" s="25">
        <v>14.7</v>
      </c>
      <c r="S158" s="26">
        <v>20.7</v>
      </c>
      <c r="U158" s="3">
        <v>155</v>
      </c>
      <c r="V158" s="1">
        <v>2555730</v>
      </c>
      <c r="W158" s="1">
        <v>201495</v>
      </c>
      <c r="Y158">
        <v>9</v>
      </c>
      <c r="Z158">
        <v>20</v>
      </c>
      <c r="AA158" s="3">
        <v>25</v>
      </c>
      <c r="AB158" s="3">
        <v>6</v>
      </c>
      <c r="AC158">
        <v>125</v>
      </c>
      <c r="AD158" s="9">
        <f t="shared" si="50"/>
        <v>12498.5</v>
      </c>
      <c r="AE158">
        <f t="shared" si="45"/>
        <v>1349840</v>
      </c>
      <c r="AF158" s="2">
        <f t="shared" si="51"/>
        <v>9</v>
      </c>
      <c r="AG158" t="str">
        <f t="shared" si="52"/>
        <v>208小时</v>
      </c>
      <c r="AH158">
        <f t="shared" si="53"/>
        <v>27</v>
      </c>
      <c r="AI158">
        <f t="shared" si="54"/>
        <v>5</v>
      </c>
      <c r="AJ158">
        <f t="shared" si="46"/>
        <v>22</v>
      </c>
      <c r="AK158">
        <f t="shared" si="55"/>
        <v>11</v>
      </c>
      <c r="AL158">
        <f t="shared" si="47"/>
        <v>9</v>
      </c>
      <c r="AM158" s="2">
        <f t="shared" si="56"/>
        <v>5</v>
      </c>
      <c r="AX158">
        <v>155</v>
      </c>
      <c r="AY158">
        <v>155</v>
      </c>
      <c r="AZ158" s="3">
        <f t="shared" si="48"/>
        <v>2555730</v>
      </c>
      <c r="BA158" t="e">
        <f>AZ158/(#REF!*60/5)/60</f>
        <v>#REF!</v>
      </c>
      <c r="BB158">
        <v>80</v>
      </c>
      <c r="BC158">
        <f t="shared" si="49"/>
        <v>5.4004629629629628</v>
      </c>
      <c r="BD158" s="2">
        <f t="shared" si="57"/>
        <v>22</v>
      </c>
      <c r="BE158">
        <f t="shared" si="58"/>
        <v>9</v>
      </c>
      <c r="BF158">
        <f t="shared" si="59"/>
        <v>51840</v>
      </c>
    </row>
    <row r="159" spans="1:58" ht="14.25" x14ac:dyDescent="0.2">
      <c r="A159" s="11">
        <v>811</v>
      </c>
      <c r="B159" s="13">
        <v>3</v>
      </c>
      <c r="C159" s="15">
        <v>3</v>
      </c>
      <c r="D159" s="14">
        <f t="shared" si="60"/>
        <v>4</v>
      </c>
      <c r="E159" s="1" t="s">
        <v>2733</v>
      </c>
      <c r="F159" s="1" t="s">
        <v>2752</v>
      </c>
      <c r="G159" s="1" t="s">
        <v>119</v>
      </c>
      <c r="H159" s="1" t="s">
        <v>119</v>
      </c>
      <c r="I159" s="1" t="s">
        <v>2735</v>
      </c>
      <c r="J159" s="16" t="s">
        <v>2761</v>
      </c>
      <c r="K159" t="s">
        <v>175</v>
      </c>
      <c r="L159" t="s">
        <v>164</v>
      </c>
      <c r="M159" t="s">
        <v>163</v>
      </c>
      <c r="N159" t="s">
        <v>167</v>
      </c>
      <c r="O159" s="4" t="s">
        <v>417</v>
      </c>
      <c r="P159">
        <v>0</v>
      </c>
      <c r="Q159" s="24">
        <v>16.5</v>
      </c>
      <c r="R159" s="25">
        <v>15.1</v>
      </c>
      <c r="S159" s="26">
        <v>21</v>
      </c>
      <c r="U159" s="3">
        <v>156</v>
      </c>
      <c r="V159" s="1">
        <v>2605030</v>
      </c>
      <c r="W159" s="1">
        <v>212356</v>
      </c>
      <c r="Y159">
        <v>9</v>
      </c>
      <c r="Z159">
        <v>21</v>
      </c>
      <c r="AA159" s="3">
        <v>20</v>
      </c>
      <c r="AB159" s="3">
        <v>6</v>
      </c>
      <c r="AC159">
        <v>125</v>
      </c>
      <c r="AD159" s="9">
        <f t="shared" si="50"/>
        <v>12226.75</v>
      </c>
      <c r="AE159">
        <f t="shared" si="45"/>
        <v>1349840</v>
      </c>
      <c r="AF159" s="2">
        <f t="shared" si="51"/>
        <v>9.2000000000000011</v>
      </c>
      <c r="AG159" t="str">
        <f t="shared" si="52"/>
        <v>203小时</v>
      </c>
      <c r="AH159">
        <f t="shared" si="53"/>
        <v>28</v>
      </c>
      <c r="AI159">
        <f t="shared" si="54"/>
        <v>5</v>
      </c>
      <c r="AJ159">
        <f t="shared" si="46"/>
        <v>22.3</v>
      </c>
      <c r="AK159">
        <f t="shared" si="55"/>
        <v>12</v>
      </c>
      <c r="AL159">
        <f t="shared" si="47"/>
        <v>9.2000000000000011</v>
      </c>
      <c r="AM159" s="2">
        <f t="shared" si="56"/>
        <v>5</v>
      </c>
      <c r="AX159">
        <v>156</v>
      </c>
      <c r="AY159">
        <v>156</v>
      </c>
      <c r="AZ159" s="3">
        <f t="shared" si="48"/>
        <v>2605030</v>
      </c>
      <c r="BA159" t="e">
        <f>AZ159/(#REF!*60/5)/60</f>
        <v>#REF!</v>
      </c>
      <c r="BB159">
        <v>80</v>
      </c>
      <c r="BC159">
        <f t="shared" si="49"/>
        <v>5.2830615942028967</v>
      </c>
      <c r="BD159" s="2">
        <f t="shared" si="57"/>
        <v>22.3</v>
      </c>
      <c r="BE159">
        <f t="shared" si="58"/>
        <v>9.2000000000000011</v>
      </c>
      <c r="BF159">
        <f t="shared" si="59"/>
        <v>52992.000000000015</v>
      </c>
    </row>
    <row r="160" spans="1:58" ht="14.25" x14ac:dyDescent="0.2">
      <c r="A160" s="11">
        <v>812</v>
      </c>
      <c r="B160" s="13">
        <v>3</v>
      </c>
      <c r="C160" s="15">
        <v>3</v>
      </c>
      <c r="D160" s="14">
        <f t="shared" si="60"/>
        <v>4</v>
      </c>
      <c r="E160" s="1" t="s">
        <v>2733</v>
      </c>
      <c r="F160" s="1" t="s">
        <v>2754</v>
      </c>
      <c r="G160" s="1" t="s">
        <v>119</v>
      </c>
      <c r="H160" s="1" t="s">
        <v>119</v>
      </c>
      <c r="I160" s="1" t="s">
        <v>2735</v>
      </c>
      <c r="J160" s="16" t="s">
        <v>2761</v>
      </c>
      <c r="K160" t="s">
        <v>179</v>
      </c>
      <c r="L160" t="s">
        <v>163</v>
      </c>
      <c r="M160" t="s">
        <v>163</v>
      </c>
      <c r="N160" t="s">
        <v>163</v>
      </c>
      <c r="O160" s="4" t="s">
        <v>419</v>
      </c>
      <c r="P160">
        <v>0</v>
      </c>
      <c r="Q160" s="24">
        <v>16.5</v>
      </c>
      <c r="R160" s="25">
        <v>15.1</v>
      </c>
      <c r="S160" s="26">
        <v>21</v>
      </c>
      <c r="U160" s="3">
        <v>157</v>
      </c>
      <c r="V160" s="1">
        <v>2654960</v>
      </c>
      <c r="W160" s="1">
        <v>212981</v>
      </c>
      <c r="Y160">
        <v>9</v>
      </c>
      <c r="Z160">
        <v>22</v>
      </c>
      <c r="AA160" s="3">
        <v>20</v>
      </c>
      <c r="AB160" s="3">
        <v>6</v>
      </c>
      <c r="AC160">
        <v>128</v>
      </c>
      <c r="AD160" s="9">
        <f t="shared" si="50"/>
        <v>13117.333333333334</v>
      </c>
      <c r="AE160">
        <f t="shared" si="45"/>
        <v>1448154</v>
      </c>
      <c r="AF160" s="2">
        <f t="shared" si="51"/>
        <v>9.2000000000000011</v>
      </c>
      <c r="AG160" t="str">
        <f t="shared" si="52"/>
        <v>218小时</v>
      </c>
      <c r="AH160">
        <f t="shared" si="53"/>
        <v>28</v>
      </c>
      <c r="AI160">
        <f t="shared" si="54"/>
        <v>5</v>
      </c>
      <c r="AJ160">
        <f t="shared" si="46"/>
        <v>22.3</v>
      </c>
      <c r="AK160">
        <f t="shared" si="55"/>
        <v>12</v>
      </c>
      <c r="AL160">
        <f t="shared" si="47"/>
        <v>9.2000000000000011</v>
      </c>
      <c r="AM160" s="2">
        <f t="shared" si="56"/>
        <v>5</v>
      </c>
      <c r="AX160">
        <v>157</v>
      </c>
      <c r="AY160">
        <v>157</v>
      </c>
      <c r="AZ160" s="3">
        <f t="shared" si="48"/>
        <v>2654960</v>
      </c>
      <c r="BA160" t="e">
        <f>AZ160/(#REF!*60/5)/60</f>
        <v>#REF!</v>
      </c>
      <c r="BB160">
        <v>80</v>
      </c>
      <c r="BC160">
        <f t="shared" si="49"/>
        <v>5.2830615942028967</v>
      </c>
      <c r="BD160" s="2">
        <f t="shared" si="57"/>
        <v>22.3</v>
      </c>
      <c r="BE160">
        <f t="shared" si="58"/>
        <v>9.2000000000000011</v>
      </c>
      <c r="BF160">
        <f t="shared" si="59"/>
        <v>52992.000000000015</v>
      </c>
    </row>
    <row r="161" spans="1:58" ht="14.25" x14ac:dyDescent="0.2">
      <c r="A161" s="11">
        <v>813</v>
      </c>
      <c r="B161" s="13">
        <v>3</v>
      </c>
      <c r="C161" s="15">
        <v>3</v>
      </c>
      <c r="D161" s="14">
        <f t="shared" si="60"/>
        <v>4</v>
      </c>
      <c r="E161" s="1" t="s">
        <v>2733</v>
      </c>
      <c r="F161" s="1" t="s">
        <v>2755</v>
      </c>
      <c r="G161" s="1" t="s">
        <v>119</v>
      </c>
      <c r="H161" s="1" t="s">
        <v>119</v>
      </c>
      <c r="I161" s="1" t="s">
        <v>2735</v>
      </c>
      <c r="J161" s="16" t="s">
        <v>2761</v>
      </c>
      <c r="K161" t="s">
        <v>162</v>
      </c>
      <c r="L161" t="s">
        <v>163</v>
      </c>
      <c r="M161" t="s">
        <v>163</v>
      </c>
      <c r="N161" t="s">
        <v>163</v>
      </c>
      <c r="O161" s="4" t="s">
        <v>421</v>
      </c>
      <c r="P161">
        <v>0</v>
      </c>
      <c r="Q161" s="24">
        <v>16.5</v>
      </c>
      <c r="R161" s="25">
        <v>15.1</v>
      </c>
      <c r="S161" s="26">
        <v>21</v>
      </c>
      <c r="U161" s="3">
        <v>158</v>
      </c>
      <c r="V161" s="1">
        <v>2705524</v>
      </c>
      <c r="W161" s="1">
        <v>213610</v>
      </c>
      <c r="Y161">
        <v>9</v>
      </c>
      <c r="Z161">
        <v>23</v>
      </c>
      <c r="AA161" s="3">
        <v>20</v>
      </c>
      <c r="AB161" s="3">
        <v>6</v>
      </c>
      <c r="AC161">
        <v>128</v>
      </c>
      <c r="AD161" s="9">
        <f t="shared" si="50"/>
        <v>13117.333333333334</v>
      </c>
      <c r="AE161">
        <f t="shared" si="45"/>
        <v>1448154</v>
      </c>
      <c r="AF161" s="2">
        <f t="shared" si="51"/>
        <v>9.2000000000000011</v>
      </c>
      <c r="AG161" t="str">
        <f t="shared" si="52"/>
        <v>218小时</v>
      </c>
      <c r="AH161">
        <f t="shared" si="53"/>
        <v>28</v>
      </c>
      <c r="AI161">
        <f t="shared" si="54"/>
        <v>5</v>
      </c>
      <c r="AJ161">
        <f t="shared" si="46"/>
        <v>22.3</v>
      </c>
      <c r="AK161">
        <f t="shared" si="55"/>
        <v>12</v>
      </c>
      <c r="AL161">
        <f t="shared" si="47"/>
        <v>9.2000000000000011</v>
      </c>
      <c r="AM161" s="2">
        <f t="shared" si="56"/>
        <v>5</v>
      </c>
      <c r="AX161">
        <v>158</v>
      </c>
      <c r="AY161">
        <v>158</v>
      </c>
      <c r="AZ161" s="3">
        <f t="shared" si="48"/>
        <v>2705524</v>
      </c>
      <c r="BA161" t="e">
        <f>AZ161/(#REF!*60/5)/60</f>
        <v>#REF!</v>
      </c>
      <c r="BB161">
        <v>80</v>
      </c>
      <c r="BC161">
        <f t="shared" si="49"/>
        <v>5.2830615942028967</v>
      </c>
      <c r="BD161" s="2">
        <f t="shared" si="57"/>
        <v>22.3</v>
      </c>
      <c r="BE161">
        <f t="shared" si="58"/>
        <v>9.2000000000000011</v>
      </c>
      <c r="BF161">
        <f t="shared" si="59"/>
        <v>52992.000000000015</v>
      </c>
    </row>
    <row r="162" spans="1:58" ht="14.25" x14ac:dyDescent="0.2">
      <c r="A162" s="11">
        <v>814</v>
      </c>
      <c r="B162" s="13">
        <v>3</v>
      </c>
      <c r="C162" s="15">
        <v>3</v>
      </c>
      <c r="D162" s="14">
        <f t="shared" si="60"/>
        <v>4</v>
      </c>
      <c r="E162" s="1" t="s">
        <v>2733</v>
      </c>
      <c r="F162" s="1" t="s">
        <v>2756</v>
      </c>
      <c r="G162" s="1" t="s">
        <v>119</v>
      </c>
      <c r="H162" s="1" t="s">
        <v>119</v>
      </c>
      <c r="I162" s="1" t="s">
        <v>2735</v>
      </c>
      <c r="J162" s="16" t="s">
        <v>2761</v>
      </c>
      <c r="K162" t="s">
        <v>177</v>
      </c>
      <c r="L162" t="s">
        <v>163</v>
      </c>
      <c r="M162" t="s">
        <v>163</v>
      </c>
      <c r="N162" t="s">
        <v>163</v>
      </c>
      <c r="O162" s="4" t="s">
        <v>423</v>
      </c>
      <c r="P162">
        <v>0</v>
      </c>
      <c r="Q162" s="24">
        <v>16.5</v>
      </c>
      <c r="R162" s="25">
        <v>15.1</v>
      </c>
      <c r="S162" s="26">
        <v>21</v>
      </c>
      <c r="U162" s="3">
        <v>159</v>
      </c>
      <c r="V162" s="1">
        <v>2756726</v>
      </c>
      <c r="W162" s="1">
        <v>214243</v>
      </c>
      <c r="Y162">
        <v>9</v>
      </c>
      <c r="Z162">
        <v>24</v>
      </c>
      <c r="AA162" s="3">
        <v>20</v>
      </c>
      <c r="AB162" s="3">
        <v>6</v>
      </c>
      <c r="AC162">
        <v>128</v>
      </c>
      <c r="AD162" s="9">
        <f t="shared" si="50"/>
        <v>13117.333333333334</v>
      </c>
      <c r="AE162">
        <f t="shared" si="45"/>
        <v>1448154</v>
      </c>
      <c r="AF162" s="2">
        <f t="shared" si="51"/>
        <v>9.2000000000000011</v>
      </c>
      <c r="AG162" t="str">
        <f t="shared" si="52"/>
        <v>218小时</v>
      </c>
      <c r="AH162">
        <f t="shared" si="53"/>
        <v>28</v>
      </c>
      <c r="AI162">
        <f t="shared" si="54"/>
        <v>5</v>
      </c>
      <c r="AJ162">
        <f t="shared" si="46"/>
        <v>22.3</v>
      </c>
      <c r="AK162">
        <f t="shared" si="55"/>
        <v>12</v>
      </c>
      <c r="AL162">
        <f t="shared" si="47"/>
        <v>9.2000000000000011</v>
      </c>
      <c r="AM162" s="2">
        <f t="shared" si="56"/>
        <v>5</v>
      </c>
      <c r="AX162">
        <v>159</v>
      </c>
      <c r="AY162">
        <v>159</v>
      </c>
      <c r="AZ162" s="3">
        <f t="shared" si="48"/>
        <v>2756726</v>
      </c>
      <c r="BA162" t="e">
        <f>AZ162/(#REF!*60/5)/60</f>
        <v>#REF!</v>
      </c>
      <c r="BB162">
        <v>80</v>
      </c>
      <c r="BC162">
        <f t="shared" si="49"/>
        <v>5.2830615942028967</v>
      </c>
      <c r="BD162" s="2">
        <f t="shared" si="57"/>
        <v>22.3</v>
      </c>
      <c r="BE162">
        <f t="shared" si="58"/>
        <v>9.2000000000000011</v>
      </c>
      <c r="BF162">
        <f t="shared" si="59"/>
        <v>52992.000000000015</v>
      </c>
    </row>
    <row r="163" spans="1:58" ht="14.25" x14ac:dyDescent="0.2">
      <c r="A163" s="11">
        <v>815</v>
      </c>
      <c r="B163" s="13">
        <v>3</v>
      </c>
      <c r="C163" s="15">
        <v>3</v>
      </c>
      <c r="D163" s="14">
        <f t="shared" si="60"/>
        <v>4</v>
      </c>
      <c r="E163" s="1" t="s">
        <v>2729</v>
      </c>
      <c r="F163" s="1" t="s">
        <v>2742</v>
      </c>
      <c r="G163" s="1" t="s">
        <v>2764</v>
      </c>
      <c r="H163" s="1" t="s">
        <v>2760</v>
      </c>
      <c r="I163" s="1" t="s">
        <v>2696</v>
      </c>
      <c r="J163" s="16" t="s">
        <v>2850</v>
      </c>
      <c r="K163" t="s">
        <v>174</v>
      </c>
      <c r="L163" t="s">
        <v>163</v>
      </c>
      <c r="M163" t="s">
        <v>163</v>
      </c>
      <c r="N163" t="s">
        <v>163</v>
      </c>
      <c r="O163" s="4" t="s">
        <v>421</v>
      </c>
      <c r="P163">
        <v>0</v>
      </c>
      <c r="Q163" s="24">
        <v>16.5</v>
      </c>
      <c r="R163" s="25">
        <v>15.1</v>
      </c>
      <c r="S163" s="26">
        <v>21</v>
      </c>
      <c r="U163" s="3">
        <v>160</v>
      </c>
      <c r="V163" s="1">
        <v>2808570</v>
      </c>
      <c r="W163" s="1">
        <v>259120</v>
      </c>
      <c r="Y163">
        <v>9</v>
      </c>
      <c r="Z163">
        <v>25</v>
      </c>
      <c r="AA163" s="3">
        <v>25</v>
      </c>
      <c r="AB163" s="3">
        <v>6</v>
      </c>
      <c r="AC163">
        <v>130</v>
      </c>
      <c r="AD163" s="9">
        <f t="shared" si="50"/>
        <v>13734.416666666666</v>
      </c>
      <c r="AE163">
        <f t="shared" si="45"/>
        <v>1516280</v>
      </c>
      <c r="AF163" s="2">
        <f t="shared" si="51"/>
        <v>9.2000000000000011</v>
      </c>
      <c r="AG163" t="str">
        <f t="shared" si="52"/>
        <v>228小时</v>
      </c>
      <c r="AH163">
        <f t="shared" si="53"/>
        <v>28</v>
      </c>
      <c r="AI163">
        <f t="shared" si="54"/>
        <v>5</v>
      </c>
      <c r="AJ163">
        <f t="shared" si="46"/>
        <v>22.3</v>
      </c>
      <c r="AK163">
        <f t="shared" si="55"/>
        <v>12</v>
      </c>
      <c r="AL163">
        <f t="shared" si="47"/>
        <v>9.2000000000000011</v>
      </c>
      <c r="AM163" s="2">
        <f t="shared" si="56"/>
        <v>5</v>
      </c>
      <c r="AX163">
        <v>160</v>
      </c>
      <c r="AY163">
        <v>160</v>
      </c>
      <c r="AZ163" s="3">
        <f t="shared" si="48"/>
        <v>2808570</v>
      </c>
      <c r="BA163" t="e">
        <f>AZ163/(#REF!*60/5)/60</f>
        <v>#REF!</v>
      </c>
      <c r="BB163">
        <v>80</v>
      </c>
      <c r="BC163">
        <f t="shared" si="49"/>
        <v>5.2830615942028967</v>
      </c>
      <c r="BD163" s="2">
        <f t="shared" si="57"/>
        <v>22.3</v>
      </c>
      <c r="BE163">
        <f t="shared" si="58"/>
        <v>9.2000000000000011</v>
      </c>
      <c r="BF163">
        <f t="shared" si="59"/>
        <v>52992.000000000015</v>
      </c>
    </row>
    <row r="164" spans="1:58" ht="14.25" x14ac:dyDescent="0.2">
      <c r="A164" s="11">
        <v>816</v>
      </c>
      <c r="B164" s="13">
        <v>3</v>
      </c>
      <c r="C164" s="15">
        <v>3</v>
      </c>
      <c r="D164" s="14">
        <f t="shared" si="60"/>
        <v>4</v>
      </c>
      <c r="E164" s="1" t="s">
        <v>2733</v>
      </c>
      <c r="F164" s="1" t="s">
        <v>2765</v>
      </c>
      <c r="G164" s="1" t="s">
        <v>119</v>
      </c>
      <c r="H164" s="1" t="s">
        <v>119</v>
      </c>
      <c r="I164" s="1" t="s">
        <v>2735</v>
      </c>
      <c r="J164" s="16" t="s">
        <v>2766</v>
      </c>
      <c r="K164" t="s">
        <v>166</v>
      </c>
      <c r="L164" t="s">
        <v>163</v>
      </c>
      <c r="M164" t="s">
        <v>163</v>
      </c>
      <c r="N164" t="s">
        <v>163</v>
      </c>
      <c r="O164" s="4" t="s">
        <v>425</v>
      </c>
      <c r="P164">
        <v>0</v>
      </c>
      <c r="Q164" s="24">
        <v>16.8</v>
      </c>
      <c r="R164" s="25">
        <v>15.6</v>
      </c>
      <c r="S164" s="26">
        <v>21.3</v>
      </c>
      <c r="U164" s="3">
        <v>161</v>
      </c>
      <c r="V164" s="1">
        <v>2861060</v>
      </c>
      <c r="W164" s="1">
        <v>259761</v>
      </c>
      <c r="Y164">
        <v>10</v>
      </c>
      <c r="Z164">
        <v>1</v>
      </c>
      <c r="AA164" s="3">
        <v>20</v>
      </c>
      <c r="AB164" s="3">
        <v>6</v>
      </c>
      <c r="AC164">
        <v>130</v>
      </c>
      <c r="AD164" s="9">
        <f t="shared" si="50"/>
        <v>13300.666666666666</v>
      </c>
      <c r="AE164">
        <f t="shared" si="45"/>
        <v>1516280</v>
      </c>
      <c r="AF164" s="2">
        <f t="shared" si="51"/>
        <v>9.5</v>
      </c>
      <c r="AG164" t="str">
        <f t="shared" si="52"/>
        <v>221小时</v>
      </c>
      <c r="AH164">
        <f t="shared" si="53"/>
        <v>29</v>
      </c>
      <c r="AI164">
        <f t="shared" si="54"/>
        <v>5</v>
      </c>
      <c r="AJ164">
        <f t="shared" si="46"/>
        <v>22.799999999999997</v>
      </c>
      <c r="AK164">
        <f t="shared" si="55"/>
        <v>12</v>
      </c>
      <c r="AL164">
        <f t="shared" si="47"/>
        <v>9.5</v>
      </c>
      <c r="AM164" s="2">
        <f t="shared" si="56"/>
        <v>5</v>
      </c>
      <c r="AX164">
        <v>161</v>
      </c>
      <c r="AY164">
        <v>161</v>
      </c>
      <c r="AZ164" s="3">
        <f t="shared" si="48"/>
        <v>2861060</v>
      </c>
      <c r="BA164" t="e">
        <f>AZ164/(#REF!*60/5)/60</f>
        <v>#REF!</v>
      </c>
      <c r="BB164">
        <v>90</v>
      </c>
      <c r="BC164">
        <f t="shared" si="49"/>
        <v>6.3757309941520468</v>
      </c>
      <c r="BD164" s="2">
        <f t="shared" si="57"/>
        <v>22.799999999999997</v>
      </c>
      <c r="BE164">
        <f t="shared" si="58"/>
        <v>9.5</v>
      </c>
      <c r="BF164">
        <f t="shared" si="59"/>
        <v>54720</v>
      </c>
    </row>
    <row r="165" spans="1:58" ht="14.25" x14ac:dyDescent="0.2">
      <c r="A165" s="11">
        <v>817</v>
      </c>
      <c r="B165" s="13">
        <v>3</v>
      </c>
      <c r="C165" s="15">
        <v>3</v>
      </c>
      <c r="D165" s="14">
        <f t="shared" si="60"/>
        <v>4</v>
      </c>
      <c r="E165" s="1" t="s">
        <v>2733</v>
      </c>
      <c r="F165" s="1" t="s">
        <v>2767</v>
      </c>
      <c r="G165" s="1" t="s">
        <v>119</v>
      </c>
      <c r="H165" s="1" t="s">
        <v>119</v>
      </c>
      <c r="I165" s="1" t="s">
        <v>2735</v>
      </c>
      <c r="J165" s="16" t="s">
        <v>2766</v>
      </c>
      <c r="K165" t="s">
        <v>168</v>
      </c>
      <c r="L165" t="s">
        <v>163</v>
      </c>
      <c r="M165" t="s">
        <v>163</v>
      </c>
      <c r="N165" t="s">
        <v>163</v>
      </c>
      <c r="O165" s="4" t="s">
        <v>427</v>
      </c>
      <c r="P165">
        <v>0</v>
      </c>
      <c r="Q165" s="24">
        <v>16.8</v>
      </c>
      <c r="R165" s="25">
        <v>15.6</v>
      </c>
      <c r="S165" s="26">
        <v>21.3</v>
      </c>
      <c r="U165" s="3">
        <v>162</v>
      </c>
      <c r="V165" s="1">
        <v>2914200</v>
      </c>
      <c r="W165" s="1">
        <v>260406</v>
      </c>
      <c r="Y165">
        <v>10</v>
      </c>
      <c r="Z165">
        <v>2</v>
      </c>
      <c r="AA165" s="3">
        <v>20</v>
      </c>
      <c r="AB165" s="3">
        <v>6</v>
      </c>
      <c r="AC165">
        <v>130</v>
      </c>
      <c r="AD165" s="9">
        <f t="shared" si="50"/>
        <v>13300.666666666666</v>
      </c>
      <c r="AE165">
        <f t="shared" si="45"/>
        <v>1516280</v>
      </c>
      <c r="AF165" s="2">
        <f t="shared" si="51"/>
        <v>9.5</v>
      </c>
      <c r="AG165" t="str">
        <f t="shared" si="52"/>
        <v>221小时</v>
      </c>
      <c r="AH165">
        <f t="shared" si="53"/>
        <v>29</v>
      </c>
      <c r="AI165">
        <f t="shared" si="54"/>
        <v>5</v>
      </c>
      <c r="AJ165">
        <f t="shared" si="46"/>
        <v>22.799999999999997</v>
      </c>
      <c r="AK165">
        <f t="shared" si="55"/>
        <v>12</v>
      </c>
      <c r="AL165">
        <f t="shared" si="47"/>
        <v>9.5</v>
      </c>
      <c r="AM165" s="2">
        <f t="shared" si="56"/>
        <v>5</v>
      </c>
      <c r="AX165">
        <v>162</v>
      </c>
      <c r="AY165">
        <v>162</v>
      </c>
      <c r="AZ165" s="3">
        <f t="shared" si="48"/>
        <v>2914200</v>
      </c>
      <c r="BA165" t="e">
        <f>AZ165/(#REF!*60/5)/60</f>
        <v>#REF!</v>
      </c>
      <c r="BB165">
        <v>90</v>
      </c>
      <c r="BC165">
        <f t="shared" si="49"/>
        <v>6.3757309941520468</v>
      </c>
      <c r="BD165" s="2">
        <f t="shared" si="57"/>
        <v>22.799999999999997</v>
      </c>
      <c r="BE165">
        <f t="shared" si="58"/>
        <v>9.5</v>
      </c>
      <c r="BF165">
        <f t="shared" si="59"/>
        <v>54720</v>
      </c>
    </row>
    <row r="166" spans="1:58" ht="14.25" x14ac:dyDescent="0.2">
      <c r="A166" s="11">
        <v>818</v>
      </c>
      <c r="B166" s="13">
        <v>3</v>
      </c>
      <c r="C166" s="15">
        <v>3</v>
      </c>
      <c r="D166" s="14">
        <f t="shared" si="60"/>
        <v>4</v>
      </c>
      <c r="E166" s="1" t="s">
        <v>2733</v>
      </c>
      <c r="F166" s="1" t="s">
        <v>2768</v>
      </c>
      <c r="G166" s="1" t="s">
        <v>119</v>
      </c>
      <c r="H166" s="1" t="s">
        <v>119</v>
      </c>
      <c r="I166" s="1" t="s">
        <v>2735</v>
      </c>
      <c r="J166" s="16" t="s">
        <v>2766</v>
      </c>
      <c r="K166" t="s">
        <v>175</v>
      </c>
      <c r="L166" t="s">
        <v>164</v>
      </c>
      <c r="M166" t="s">
        <v>163</v>
      </c>
      <c r="N166" t="s">
        <v>167</v>
      </c>
      <c r="O166" s="4" t="s">
        <v>429</v>
      </c>
      <c r="P166">
        <v>0</v>
      </c>
      <c r="Q166" s="24">
        <v>16.8</v>
      </c>
      <c r="R166" s="25">
        <v>15.6</v>
      </c>
      <c r="S166" s="26">
        <v>21.3</v>
      </c>
      <c r="U166" s="3">
        <v>163</v>
      </c>
      <c r="V166" s="1">
        <v>2967994</v>
      </c>
      <c r="W166" s="1">
        <v>261055</v>
      </c>
      <c r="Y166">
        <v>10</v>
      </c>
      <c r="Z166">
        <v>3</v>
      </c>
      <c r="AA166" s="3">
        <v>20</v>
      </c>
      <c r="AB166" s="3">
        <v>6</v>
      </c>
      <c r="AC166">
        <v>132</v>
      </c>
      <c r="AD166" s="9">
        <f t="shared" si="50"/>
        <v>13916.75</v>
      </c>
      <c r="AE166">
        <f t="shared" si="45"/>
        <v>1586510</v>
      </c>
      <c r="AF166" s="2">
        <f t="shared" si="51"/>
        <v>9.5</v>
      </c>
      <c r="AG166" t="str">
        <f t="shared" si="52"/>
        <v>231小时</v>
      </c>
      <c r="AH166">
        <f t="shared" si="53"/>
        <v>29</v>
      </c>
      <c r="AI166">
        <f t="shared" si="54"/>
        <v>5</v>
      </c>
      <c r="AJ166">
        <f t="shared" si="46"/>
        <v>22.799999999999997</v>
      </c>
      <c r="AK166">
        <f t="shared" si="55"/>
        <v>12</v>
      </c>
      <c r="AL166">
        <f t="shared" si="47"/>
        <v>9.5</v>
      </c>
      <c r="AM166" s="2">
        <f t="shared" si="56"/>
        <v>5</v>
      </c>
      <c r="AX166">
        <v>163</v>
      </c>
      <c r="AY166">
        <v>163</v>
      </c>
      <c r="AZ166" s="3">
        <f t="shared" si="48"/>
        <v>2967994</v>
      </c>
      <c r="BA166" t="e">
        <f>AZ166/(#REF!*60/5)/60</f>
        <v>#REF!</v>
      </c>
      <c r="BB166">
        <v>90</v>
      </c>
      <c r="BC166">
        <f t="shared" si="49"/>
        <v>6.3757309941520468</v>
      </c>
      <c r="BD166" s="2">
        <f t="shared" si="57"/>
        <v>22.799999999999997</v>
      </c>
      <c r="BE166">
        <f t="shared" si="58"/>
        <v>9.5</v>
      </c>
      <c r="BF166">
        <f t="shared" si="59"/>
        <v>54720</v>
      </c>
    </row>
    <row r="167" spans="1:58" ht="14.25" x14ac:dyDescent="0.2">
      <c r="A167" s="11">
        <v>819</v>
      </c>
      <c r="B167" s="13">
        <v>3</v>
      </c>
      <c r="C167" s="15">
        <v>3</v>
      </c>
      <c r="D167" s="14">
        <f t="shared" si="60"/>
        <v>4</v>
      </c>
      <c r="E167" s="1" t="s">
        <v>2733</v>
      </c>
      <c r="F167" s="1" t="s">
        <v>2769</v>
      </c>
      <c r="G167" s="1" t="s">
        <v>119</v>
      </c>
      <c r="H167" s="1" t="s">
        <v>119</v>
      </c>
      <c r="I167" s="1" t="s">
        <v>2735</v>
      </c>
      <c r="J167" s="16" t="s">
        <v>2766</v>
      </c>
      <c r="K167" t="s">
        <v>179</v>
      </c>
      <c r="L167" t="s">
        <v>163</v>
      </c>
      <c r="M167" t="s">
        <v>163</v>
      </c>
      <c r="N167" t="s">
        <v>163</v>
      </c>
      <c r="O167" s="4" t="s">
        <v>431</v>
      </c>
      <c r="P167">
        <v>0</v>
      </c>
      <c r="Q167" s="24">
        <v>16.8</v>
      </c>
      <c r="R167" s="25">
        <v>15.6</v>
      </c>
      <c r="S167" s="26">
        <v>21.3</v>
      </c>
      <c r="U167" s="3">
        <v>164</v>
      </c>
      <c r="V167" s="1">
        <v>3022446</v>
      </c>
      <c r="W167" s="1">
        <v>261708</v>
      </c>
      <c r="Y167">
        <v>10</v>
      </c>
      <c r="Z167">
        <v>4</v>
      </c>
      <c r="AA167" s="3">
        <v>20</v>
      </c>
      <c r="AB167" s="3">
        <v>6</v>
      </c>
      <c r="AC167">
        <v>132</v>
      </c>
      <c r="AD167" s="9">
        <f t="shared" si="50"/>
        <v>13916.75</v>
      </c>
      <c r="AE167">
        <f t="shared" si="45"/>
        <v>1586510</v>
      </c>
      <c r="AF167" s="2">
        <f t="shared" si="51"/>
        <v>9.5</v>
      </c>
      <c r="AG167" t="str">
        <f t="shared" si="52"/>
        <v>231小时</v>
      </c>
      <c r="AH167">
        <f t="shared" si="53"/>
        <v>29</v>
      </c>
      <c r="AI167">
        <f t="shared" si="54"/>
        <v>5</v>
      </c>
      <c r="AJ167">
        <f t="shared" si="46"/>
        <v>22.799999999999997</v>
      </c>
      <c r="AK167">
        <f t="shared" si="55"/>
        <v>12</v>
      </c>
      <c r="AL167">
        <f t="shared" si="47"/>
        <v>9.5</v>
      </c>
      <c r="AM167" s="2">
        <f t="shared" si="56"/>
        <v>5</v>
      </c>
      <c r="AX167">
        <v>164</v>
      </c>
      <c r="AY167">
        <v>164</v>
      </c>
      <c r="AZ167" s="3">
        <f t="shared" si="48"/>
        <v>3022446</v>
      </c>
      <c r="BA167" t="e">
        <f>AZ167/(#REF!*60/5)/60</f>
        <v>#REF!</v>
      </c>
      <c r="BB167">
        <v>90</v>
      </c>
      <c r="BC167">
        <f t="shared" si="49"/>
        <v>6.3757309941520468</v>
      </c>
      <c r="BD167" s="2">
        <f t="shared" si="57"/>
        <v>22.799999999999997</v>
      </c>
      <c r="BE167">
        <f t="shared" si="58"/>
        <v>9.5</v>
      </c>
      <c r="BF167">
        <f t="shared" si="59"/>
        <v>54720</v>
      </c>
    </row>
    <row r="168" spans="1:58" ht="14.25" x14ac:dyDescent="0.2">
      <c r="A168" s="11">
        <v>820</v>
      </c>
      <c r="B168" s="13">
        <v>3</v>
      </c>
      <c r="C168" s="15">
        <v>3</v>
      </c>
      <c r="D168" s="14">
        <f t="shared" si="60"/>
        <v>4</v>
      </c>
      <c r="E168" s="1" t="s">
        <v>2729</v>
      </c>
      <c r="F168" s="1" t="s">
        <v>2742</v>
      </c>
      <c r="G168" s="1" t="s">
        <v>2770</v>
      </c>
      <c r="H168" s="1" t="s">
        <v>2771</v>
      </c>
      <c r="I168" s="1" t="s">
        <v>2696</v>
      </c>
      <c r="J168" s="16" t="s">
        <v>2851</v>
      </c>
      <c r="K168" t="s">
        <v>162</v>
      </c>
      <c r="L168" t="s">
        <v>163</v>
      </c>
      <c r="M168" t="s">
        <v>163</v>
      </c>
      <c r="N168" t="s">
        <v>163</v>
      </c>
      <c r="O168" s="4" t="s">
        <v>429</v>
      </c>
      <c r="P168">
        <v>0</v>
      </c>
      <c r="Q168" s="24">
        <v>16.8</v>
      </c>
      <c r="R168" s="25">
        <v>15.6</v>
      </c>
      <c r="S168" s="26">
        <v>21.3</v>
      </c>
      <c r="U168" s="3">
        <v>165</v>
      </c>
      <c r="V168" s="1">
        <v>3077560</v>
      </c>
      <c r="W168" s="1">
        <v>288375</v>
      </c>
      <c r="Y168">
        <v>10</v>
      </c>
      <c r="Z168">
        <v>5</v>
      </c>
      <c r="AA168" s="3">
        <v>25</v>
      </c>
      <c r="AB168" s="3">
        <v>6</v>
      </c>
      <c r="AC168">
        <v>132</v>
      </c>
      <c r="AD168" s="9">
        <f t="shared" si="50"/>
        <v>13916.75</v>
      </c>
      <c r="AE168">
        <f t="shared" si="45"/>
        <v>1586510</v>
      </c>
      <c r="AF168" s="2">
        <f t="shared" si="51"/>
        <v>9.5</v>
      </c>
      <c r="AG168" t="str">
        <f t="shared" si="52"/>
        <v>231小时</v>
      </c>
      <c r="AH168">
        <f t="shared" si="53"/>
        <v>29</v>
      </c>
      <c r="AI168">
        <f t="shared" si="54"/>
        <v>5</v>
      </c>
      <c r="AJ168">
        <f t="shared" si="46"/>
        <v>22.799999999999997</v>
      </c>
      <c r="AK168">
        <f t="shared" si="55"/>
        <v>12</v>
      </c>
      <c r="AL168">
        <f t="shared" si="47"/>
        <v>9.5</v>
      </c>
      <c r="AM168" s="2">
        <f t="shared" si="56"/>
        <v>5</v>
      </c>
      <c r="AX168">
        <v>165</v>
      </c>
      <c r="AY168">
        <v>165</v>
      </c>
      <c r="AZ168" s="3">
        <f t="shared" si="48"/>
        <v>3077560</v>
      </c>
      <c r="BA168" t="e">
        <f>AZ168/(#REF!*60/5)/60</f>
        <v>#REF!</v>
      </c>
      <c r="BB168">
        <v>90</v>
      </c>
      <c r="BC168">
        <f t="shared" si="49"/>
        <v>6.3757309941520468</v>
      </c>
      <c r="BD168" s="2">
        <f t="shared" si="57"/>
        <v>22.799999999999997</v>
      </c>
      <c r="BE168">
        <f t="shared" si="58"/>
        <v>9.5</v>
      </c>
      <c r="BF168">
        <f t="shared" si="59"/>
        <v>54720</v>
      </c>
    </row>
    <row r="169" spans="1:58" ht="14.25" x14ac:dyDescent="0.2">
      <c r="A169" s="11">
        <v>821</v>
      </c>
      <c r="B169" s="13">
        <v>3</v>
      </c>
      <c r="C169" s="15">
        <v>3</v>
      </c>
      <c r="D169" s="14">
        <f t="shared" si="60"/>
        <v>4</v>
      </c>
      <c r="E169" s="1" t="s">
        <v>2733</v>
      </c>
      <c r="F169" s="1" t="s">
        <v>2765</v>
      </c>
      <c r="G169" s="1" t="s">
        <v>119</v>
      </c>
      <c r="H169" s="1" t="s">
        <v>119</v>
      </c>
      <c r="I169" s="1" t="s">
        <v>2735</v>
      </c>
      <c r="J169" s="16" t="s">
        <v>2766</v>
      </c>
      <c r="K169" t="s">
        <v>177</v>
      </c>
      <c r="L169" t="s">
        <v>163</v>
      </c>
      <c r="M169" t="s">
        <v>163</v>
      </c>
      <c r="N169" t="s">
        <v>163</v>
      </c>
      <c r="O169" s="4" t="s">
        <v>433</v>
      </c>
      <c r="P169">
        <v>0</v>
      </c>
      <c r="Q169" s="24">
        <v>17.2</v>
      </c>
      <c r="R169" s="25">
        <v>16</v>
      </c>
      <c r="S169" s="26">
        <v>21.7</v>
      </c>
      <c r="U169" s="3">
        <v>166</v>
      </c>
      <c r="V169" s="1">
        <v>3133340</v>
      </c>
      <c r="W169" s="1">
        <v>289036</v>
      </c>
      <c r="Y169">
        <v>10</v>
      </c>
      <c r="Z169">
        <v>6</v>
      </c>
      <c r="AA169" s="3">
        <v>20</v>
      </c>
      <c r="AB169" s="3">
        <v>6</v>
      </c>
      <c r="AC169">
        <v>135</v>
      </c>
      <c r="AD169" s="9">
        <f t="shared" si="50"/>
        <v>14569.25</v>
      </c>
      <c r="AE169">
        <f t="shared" si="45"/>
        <v>1695870</v>
      </c>
      <c r="AF169" s="2">
        <f t="shared" si="51"/>
        <v>9.7000000000000011</v>
      </c>
      <c r="AG169" t="str">
        <f t="shared" si="52"/>
        <v>242小时</v>
      </c>
      <c r="AH169">
        <f t="shared" si="53"/>
        <v>30</v>
      </c>
      <c r="AI169">
        <f t="shared" si="54"/>
        <v>5</v>
      </c>
      <c r="AJ169">
        <f t="shared" si="46"/>
        <v>23.1</v>
      </c>
      <c r="AK169">
        <f t="shared" si="55"/>
        <v>12</v>
      </c>
      <c r="AL169">
        <f t="shared" si="47"/>
        <v>9.7000000000000011</v>
      </c>
      <c r="AM169" s="2">
        <f t="shared" si="56"/>
        <v>5</v>
      </c>
      <c r="AX169">
        <v>166</v>
      </c>
      <c r="AY169">
        <v>166</v>
      </c>
      <c r="AZ169" s="3">
        <f t="shared" si="48"/>
        <v>3133340</v>
      </c>
      <c r="BA169" t="e">
        <f>AZ169/(#REF!*60/5)/60</f>
        <v>#REF!</v>
      </c>
      <c r="BB169">
        <v>90</v>
      </c>
      <c r="BC169">
        <f t="shared" si="49"/>
        <v>6.2442726231386008</v>
      </c>
      <c r="BD169" s="2">
        <f t="shared" si="57"/>
        <v>23.1</v>
      </c>
      <c r="BE169">
        <f t="shared" si="58"/>
        <v>9.7000000000000011</v>
      </c>
      <c r="BF169">
        <f t="shared" si="59"/>
        <v>55872.000000000015</v>
      </c>
    </row>
    <row r="170" spans="1:58" ht="14.25" x14ac:dyDescent="0.2">
      <c r="A170" s="11">
        <v>822</v>
      </c>
      <c r="B170" s="13">
        <v>3</v>
      </c>
      <c r="C170" s="15">
        <v>3</v>
      </c>
      <c r="D170" s="14">
        <f t="shared" si="60"/>
        <v>4</v>
      </c>
      <c r="E170" s="1" t="s">
        <v>2733</v>
      </c>
      <c r="F170" s="1" t="s">
        <v>2767</v>
      </c>
      <c r="G170" s="1" t="s">
        <v>119</v>
      </c>
      <c r="H170" s="1" t="s">
        <v>119</v>
      </c>
      <c r="I170" s="1" t="s">
        <v>2735</v>
      </c>
      <c r="J170" s="16" t="s">
        <v>2766</v>
      </c>
      <c r="K170" t="s">
        <v>174</v>
      </c>
      <c r="L170" t="s">
        <v>163</v>
      </c>
      <c r="M170" t="s">
        <v>163</v>
      </c>
      <c r="N170" t="s">
        <v>163</v>
      </c>
      <c r="O170" s="4" t="s">
        <v>435</v>
      </c>
      <c r="P170">
        <v>0</v>
      </c>
      <c r="Q170" s="24">
        <v>17.2</v>
      </c>
      <c r="R170" s="25">
        <v>16</v>
      </c>
      <c r="S170" s="26">
        <v>21.7</v>
      </c>
      <c r="U170" s="3">
        <v>167</v>
      </c>
      <c r="V170" s="1">
        <v>3189790</v>
      </c>
      <c r="W170" s="1">
        <v>289701</v>
      </c>
      <c r="Y170">
        <v>10</v>
      </c>
      <c r="Z170">
        <v>7</v>
      </c>
      <c r="AA170" s="3">
        <v>20</v>
      </c>
      <c r="AB170" s="3">
        <v>6</v>
      </c>
      <c r="AC170">
        <v>135</v>
      </c>
      <c r="AD170" s="9">
        <f t="shared" si="50"/>
        <v>14569.25</v>
      </c>
      <c r="AE170">
        <f t="shared" si="45"/>
        <v>1695870</v>
      </c>
      <c r="AF170" s="2">
        <f t="shared" si="51"/>
        <v>9.7000000000000011</v>
      </c>
      <c r="AG170" t="str">
        <f t="shared" si="52"/>
        <v>242小时</v>
      </c>
      <c r="AH170">
        <f t="shared" si="53"/>
        <v>30</v>
      </c>
      <c r="AI170">
        <f t="shared" si="54"/>
        <v>5</v>
      </c>
      <c r="AJ170">
        <f t="shared" si="46"/>
        <v>23.1</v>
      </c>
      <c r="AK170">
        <f t="shared" si="55"/>
        <v>12</v>
      </c>
      <c r="AL170">
        <f t="shared" si="47"/>
        <v>9.7000000000000011</v>
      </c>
      <c r="AM170" s="2">
        <f t="shared" si="56"/>
        <v>5</v>
      </c>
      <c r="AX170">
        <v>167</v>
      </c>
      <c r="AY170">
        <v>167</v>
      </c>
      <c r="AZ170" s="3">
        <f t="shared" si="48"/>
        <v>3189790</v>
      </c>
      <c r="BA170" t="e">
        <f>AZ170/(#REF!*60/5)/60</f>
        <v>#REF!</v>
      </c>
      <c r="BB170">
        <v>90</v>
      </c>
      <c r="BC170">
        <f t="shared" si="49"/>
        <v>6.2442726231386008</v>
      </c>
      <c r="BD170" s="2">
        <f t="shared" si="57"/>
        <v>23.1</v>
      </c>
      <c r="BE170">
        <f t="shared" si="58"/>
        <v>9.7000000000000011</v>
      </c>
      <c r="BF170">
        <f t="shared" si="59"/>
        <v>55872.000000000015</v>
      </c>
    </row>
    <row r="171" spans="1:58" ht="14.25" x14ac:dyDescent="0.2">
      <c r="A171" s="11">
        <v>823</v>
      </c>
      <c r="B171" s="13">
        <v>3</v>
      </c>
      <c r="C171" s="15">
        <v>3</v>
      </c>
      <c r="D171" s="14">
        <f t="shared" si="60"/>
        <v>4</v>
      </c>
      <c r="E171" s="1" t="s">
        <v>2733</v>
      </c>
      <c r="F171" s="1" t="s">
        <v>2768</v>
      </c>
      <c r="G171" s="1" t="s">
        <v>119</v>
      </c>
      <c r="H171" s="1" t="s">
        <v>119</v>
      </c>
      <c r="I171" s="1" t="s">
        <v>2735</v>
      </c>
      <c r="J171" s="16" t="s">
        <v>2766</v>
      </c>
      <c r="K171" t="s">
        <v>166</v>
      </c>
      <c r="L171" t="s">
        <v>163</v>
      </c>
      <c r="M171" t="s">
        <v>163</v>
      </c>
      <c r="N171" t="s">
        <v>163</v>
      </c>
      <c r="O171" s="4" t="s">
        <v>437</v>
      </c>
      <c r="P171">
        <v>0</v>
      </c>
      <c r="Q171" s="24">
        <v>17.2</v>
      </c>
      <c r="R171" s="25">
        <v>16</v>
      </c>
      <c r="S171" s="26">
        <v>21.7</v>
      </c>
      <c r="U171" s="3">
        <v>168</v>
      </c>
      <c r="V171" s="1">
        <v>3246914</v>
      </c>
      <c r="W171" s="1">
        <v>290370</v>
      </c>
      <c r="Y171">
        <v>10</v>
      </c>
      <c r="Z171">
        <v>8</v>
      </c>
      <c r="AA171" s="3">
        <v>20</v>
      </c>
      <c r="AB171" s="3">
        <v>6</v>
      </c>
      <c r="AC171">
        <v>135</v>
      </c>
      <c r="AD171" s="9">
        <f t="shared" si="50"/>
        <v>14569.25</v>
      </c>
      <c r="AE171">
        <f t="shared" si="45"/>
        <v>1695870</v>
      </c>
      <c r="AF171" s="2">
        <f t="shared" si="51"/>
        <v>9.7000000000000011</v>
      </c>
      <c r="AG171" t="str">
        <f t="shared" si="52"/>
        <v>242小时</v>
      </c>
      <c r="AH171">
        <f t="shared" si="53"/>
        <v>30</v>
      </c>
      <c r="AI171">
        <f t="shared" si="54"/>
        <v>5</v>
      </c>
      <c r="AJ171">
        <f t="shared" si="46"/>
        <v>23.1</v>
      </c>
      <c r="AK171">
        <f t="shared" si="55"/>
        <v>12</v>
      </c>
      <c r="AL171">
        <f t="shared" si="47"/>
        <v>9.7000000000000011</v>
      </c>
      <c r="AM171" s="2">
        <f t="shared" si="56"/>
        <v>5</v>
      </c>
      <c r="AX171">
        <v>168</v>
      </c>
      <c r="AY171">
        <v>168</v>
      </c>
      <c r="AZ171" s="3">
        <f t="shared" si="48"/>
        <v>3246914</v>
      </c>
      <c r="BA171" t="e">
        <f>AZ171/(#REF!*60/5)/60</f>
        <v>#REF!</v>
      </c>
      <c r="BB171">
        <v>90</v>
      </c>
      <c r="BC171">
        <f t="shared" si="49"/>
        <v>6.2442726231386008</v>
      </c>
      <c r="BD171" s="2">
        <f t="shared" si="57"/>
        <v>23.1</v>
      </c>
      <c r="BE171">
        <f t="shared" si="58"/>
        <v>9.7000000000000011</v>
      </c>
      <c r="BF171">
        <f t="shared" si="59"/>
        <v>55872.000000000015</v>
      </c>
    </row>
    <row r="172" spans="1:58" ht="14.25" x14ac:dyDescent="0.2">
      <c r="A172" s="11">
        <v>824</v>
      </c>
      <c r="B172" s="13">
        <v>3</v>
      </c>
      <c r="C172" s="15">
        <v>3</v>
      </c>
      <c r="D172" s="14">
        <f t="shared" si="60"/>
        <v>4</v>
      </c>
      <c r="E172" s="1" t="s">
        <v>2733</v>
      </c>
      <c r="F172" s="1" t="s">
        <v>2769</v>
      </c>
      <c r="G172" s="1" t="s">
        <v>119</v>
      </c>
      <c r="H172" s="1" t="s">
        <v>119</v>
      </c>
      <c r="I172" s="1" t="s">
        <v>2735</v>
      </c>
      <c r="J172" s="16" t="s">
        <v>2766</v>
      </c>
      <c r="K172" t="s">
        <v>168</v>
      </c>
      <c r="L172" t="s">
        <v>163</v>
      </c>
      <c r="M172" t="s">
        <v>163</v>
      </c>
      <c r="N172" t="s">
        <v>163</v>
      </c>
      <c r="O172" s="4" t="s">
        <v>439</v>
      </c>
      <c r="P172">
        <v>0</v>
      </c>
      <c r="Q172" s="24">
        <v>17.2</v>
      </c>
      <c r="R172" s="25">
        <v>16</v>
      </c>
      <c r="S172" s="26">
        <v>21.7</v>
      </c>
      <c r="U172" s="3">
        <v>169</v>
      </c>
      <c r="V172" s="1">
        <v>3304716</v>
      </c>
      <c r="W172" s="1">
        <v>291043</v>
      </c>
      <c r="Y172">
        <v>10</v>
      </c>
      <c r="Z172">
        <v>9</v>
      </c>
      <c r="AA172" s="3">
        <v>20</v>
      </c>
      <c r="AB172" s="3">
        <v>6</v>
      </c>
      <c r="AC172">
        <v>138</v>
      </c>
      <c r="AD172" s="9">
        <f t="shared" si="50"/>
        <v>15551</v>
      </c>
      <c r="AE172">
        <f t="shared" si="45"/>
        <v>1810144</v>
      </c>
      <c r="AF172" s="2">
        <f t="shared" si="51"/>
        <v>9.7000000000000011</v>
      </c>
      <c r="AG172" t="str">
        <f t="shared" si="52"/>
        <v>259小时</v>
      </c>
      <c r="AH172">
        <f t="shared" si="53"/>
        <v>30</v>
      </c>
      <c r="AI172">
        <f t="shared" si="54"/>
        <v>5</v>
      </c>
      <c r="AJ172">
        <f t="shared" si="46"/>
        <v>23.1</v>
      </c>
      <c r="AK172">
        <f t="shared" si="55"/>
        <v>12</v>
      </c>
      <c r="AL172">
        <f t="shared" si="47"/>
        <v>9.7000000000000011</v>
      </c>
      <c r="AM172" s="2">
        <f t="shared" si="56"/>
        <v>5</v>
      </c>
      <c r="AX172">
        <v>169</v>
      </c>
      <c r="AY172">
        <v>169</v>
      </c>
      <c r="AZ172" s="3">
        <f t="shared" si="48"/>
        <v>3304716</v>
      </c>
      <c r="BA172" t="e">
        <f>AZ172/(#REF!*60/5)/60</f>
        <v>#REF!</v>
      </c>
      <c r="BB172">
        <v>90</v>
      </c>
      <c r="BC172">
        <f t="shared" si="49"/>
        <v>6.2442726231386008</v>
      </c>
      <c r="BD172" s="2">
        <f t="shared" si="57"/>
        <v>23.1</v>
      </c>
      <c r="BE172">
        <f t="shared" si="58"/>
        <v>9.7000000000000011</v>
      </c>
      <c r="BF172">
        <f t="shared" si="59"/>
        <v>55872.000000000015</v>
      </c>
    </row>
    <row r="173" spans="1:58" ht="14.25" x14ac:dyDescent="0.2">
      <c r="A173" s="11">
        <v>825</v>
      </c>
      <c r="B173" s="13">
        <v>3</v>
      </c>
      <c r="C173" s="15">
        <v>3</v>
      </c>
      <c r="D173" s="14">
        <f t="shared" si="60"/>
        <v>4</v>
      </c>
      <c r="E173" s="1" t="s">
        <v>2729</v>
      </c>
      <c r="F173" s="1" t="s">
        <v>2742</v>
      </c>
      <c r="G173" s="1" t="s">
        <v>2759</v>
      </c>
      <c r="H173" s="1" t="s">
        <v>2771</v>
      </c>
      <c r="I173" s="1" t="s">
        <v>2696</v>
      </c>
      <c r="J173" s="16" t="s">
        <v>2851</v>
      </c>
      <c r="K173" t="s">
        <v>175</v>
      </c>
      <c r="L173" t="s">
        <v>164</v>
      </c>
      <c r="M173" t="s">
        <v>163</v>
      </c>
      <c r="N173" t="s">
        <v>167</v>
      </c>
      <c r="O173" s="4" t="s">
        <v>437</v>
      </c>
      <c r="P173">
        <v>0</v>
      </c>
      <c r="Q173" s="24">
        <v>17.2</v>
      </c>
      <c r="R173" s="25">
        <v>16</v>
      </c>
      <c r="S173" s="26">
        <v>21.7</v>
      </c>
      <c r="U173" s="3">
        <v>170</v>
      </c>
      <c r="V173" s="1">
        <v>3363200</v>
      </c>
      <c r="W173" s="1">
        <v>320070</v>
      </c>
      <c r="Y173">
        <v>10</v>
      </c>
      <c r="Z173">
        <v>10</v>
      </c>
      <c r="AA173" s="3">
        <v>25</v>
      </c>
      <c r="AB173" s="3">
        <v>6</v>
      </c>
      <c r="AC173">
        <v>138</v>
      </c>
      <c r="AD173" s="9">
        <f t="shared" si="50"/>
        <v>15551</v>
      </c>
      <c r="AE173">
        <f t="shared" si="45"/>
        <v>1810144</v>
      </c>
      <c r="AF173" s="2">
        <f t="shared" si="51"/>
        <v>9.7000000000000011</v>
      </c>
      <c r="AG173" t="str">
        <f t="shared" si="52"/>
        <v>259小时</v>
      </c>
      <c r="AH173">
        <f t="shared" si="53"/>
        <v>30</v>
      </c>
      <c r="AI173">
        <f t="shared" si="54"/>
        <v>5</v>
      </c>
      <c r="AJ173">
        <f t="shared" si="46"/>
        <v>23.1</v>
      </c>
      <c r="AK173">
        <f t="shared" si="55"/>
        <v>12</v>
      </c>
      <c r="AL173">
        <f t="shared" si="47"/>
        <v>9.7000000000000011</v>
      </c>
      <c r="AM173" s="2">
        <f t="shared" si="56"/>
        <v>5</v>
      </c>
      <c r="AX173">
        <v>170</v>
      </c>
      <c r="AY173">
        <v>170</v>
      </c>
      <c r="AZ173" s="3">
        <f t="shared" si="48"/>
        <v>3363200</v>
      </c>
      <c r="BA173" t="e">
        <f>AZ173/(#REF!*60/5)/60</f>
        <v>#REF!</v>
      </c>
      <c r="BB173">
        <v>90</v>
      </c>
      <c r="BC173">
        <f t="shared" si="49"/>
        <v>6.2442726231386008</v>
      </c>
      <c r="BD173" s="2">
        <f t="shared" si="57"/>
        <v>23.1</v>
      </c>
      <c r="BE173">
        <f t="shared" si="58"/>
        <v>9.7000000000000011</v>
      </c>
      <c r="BF173">
        <f t="shared" si="59"/>
        <v>55872.000000000015</v>
      </c>
    </row>
    <row r="174" spans="1:58" ht="14.25" x14ac:dyDescent="0.2">
      <c r="A174" s="11">
        <v>826</v>
      </c>
      <c r="B174" s="13">
        <v>3</v>
      </c>
      <c r="C174" s="15">
        <v>3</v>
      </c>
      <c r="D174" s="14">
        <f t="shared" si="60"/>
        <v>4</v>
      </c>
      <c r="E174" s="1" t="s">
        <v>2733</v>
      </c>
      <c r="F174" s="1" t="s">
        <v>2765</v>
      </c>
      <c r="G174" s="1" t="s">
        <v>119</v>
      </c>
      <c r="H174" s="1" t="s">
        <v>119</v>
      </c>
      <c r="I174" s="1" t="s">
        <v>2735</v>
      </c>
      <c r="J174" s="16" t="s">
        <v>2766</v>
      </c>
      <c r="K174" t="s">
        <v>179</v>
      </c>
      <c r="L174" t="s">
        <v>163</v>
      </c>
      <c r="M174" t="s">
        <v>163</v>
      </c>
      <c r="N174" t="s">
        <v>163</v>
      </c>
      <c r="O174" s="4" t="s">
        <v>441</v>
      </c>
      <c r="P174">
        <v>0</v>
      </c>
      <c r="Q174" s="24">
        <v>17.5</v>
      </c>
      <c r="R174" s="25">
        <v>16.5</v>
      </c>
      <c r="S174" s="26">
        <v>22</v>
      </c>
      <c r="U174" s="3">
        <v>171</v>
      </c>
      <c r="V174" s="1">
        <v>3422370</v>
      </c>
      <c r="W174" s="1">
        <v>320751</v>
      </c>
      <c r="Y174">
        <v>10</v>
      </c>
      <c r="Z174">
        <v>11</v>
      </c>
      <c r="AA174" s="3">
        <v>20</v>
      </c>
      <c r="AB174" s="3">
        <v>6</v>
      </c>
      <c r="AC174">
        <v>138</v>
      </c>
      <c r="AD174" s="9">
        <f t="shared" si="50"/>
        <v>15084.5</v>
      </c>
      <c r="AE174">
        <f t="shared" si="45"/>
        <v>1810144</v>
      </c>
      <c r="AF174" s="2">
        <f t="shared" si="51"/>
        <v>10</v>
      </c>
      <c r="AG174" t="str">
        <f t="shared" si="52"/>
        <v>251小时</v>
      </c>
      <c r="AH174">
        <f t="shared" si="53"/>
        <v>30</v>
      </c>
      <c r="AI174">
        <f t="shared" si="54"/>
        <v>5</v>
      </c>
      <c r="AJ174">
        <f t="shared" si="46"/>
        <v>23.5</v>
      </c>
      <c r="AK174">
        <f t="shared" si="55"/>
        <v>12</v>
      </c>
      <c r="AL174">
        <f t="shared" si="47"/>
        <v>10</v>
      </c>
      <c r="AM174" s="2">
        <f t="shared" si="56"/>
        <v>5</v>
      </c>
      <c r="AX174">
        <v>171</v>
      </c>
      <c r="AY174">
        <v>171</v>
      </c>
      <c r="AZ174" s="3">
        <f t="shared" si="48"/>
        <v>3422370</v>
      </c>
      <c r="BA174" t="e">
        <f>AZ174/(#REF!*60/5)/60</f>
        <v>#REF!</v>
      </c>
      <c r="BB174">
        <v>90</v>
      </c>
      <c r="BC174">
        <f t="shared" si="49"/>
        <v>6.0569444444444445</v>
      </c>
      <c r="BD174" s="2">
        <f t="shared" si="57"/>
        <v>23.5</v>
      </c>
      <c r="BE174">
        <f t="shared" si="58"/>
        <v>10</v>
      </c>
      <c r="BF174">
        <f t="shared" si="59"/>
        <v>57600</v>
      </c>
    </row>
    <row r="175" spans="1:58" ht="14.25" x14ac:dyDescent="0.2">
      <c r="A175" s="11">
        <v>827</v>
      </c>
      <c r="B175" s="13">
        <v>3</v>
      </c>
      <c r="C175" s="15">
        <v>3</v>
      </c>
      <c r="D175" s="14">
        <f t="shared" si="60"/>
        <v>4</v>
      </c>
      <c r="E175" s="1" t="s">
        <v>2733</v>
      </c>
      <c r="F175" s="1" t="s">
        <v>2767</v>
      </c>
      <c r="G175" s="1" t="s">
        <v>119</v>
      </c>
      <c r="H175" s="1" t="s">
        <v>119</v>
      </c>
      <c r="I175" s="1" t="s">
        <v>2735</v>
      </c>
      <c r="J175" s="16" t="s">
        <v>2766</v>
      </c>
      <c r="K175" t="s">
        <v>162</v>
      </c>
      <c r="L175" t="s">
        <v>163</v>
      </c>
      <c r="M175" t="s">
        <v>163</v>
      </c>
      <c r="N175" t="s">
        <v>163</v>
      </c>
      <c r="O175" s="4" t="s">
        <v>443</v>
      </c>
      <c r="P175">
        <v>0</v>
      </c>
      <c r="Q175" s="24">
        <v>17.5</v>
      </c>
      <c r="R175" s="25">
        <v>16.5</v>
      </c>
      <c r="S175" s="26">
        <v>22</v>
      </c>
      <c r="U175" s="3">
        <v>172</v>
      </c>
      <c r="V175" s="1">
        <v>3482230</v>
      </c>
      <c r="W175" s="1">
        <v>321436</v>
      </c>
      <c r="Y175">
        <v>10</v>
      </c>
      <c r="Z175">
        <v>12</v>
      </c>
      <c r="AA175" s="3">
        <v>20</v>
      </c>
      <c r="AB175" s="3">
        <v>6</v>
      </c>
      <c r="AC175">
        <v>140</v>
      </c>
      <c r="AD175" s="9">
        <f t="shared" si="50"/>
        <v>15742.583333333334</v>
      </c>
      <c r="AE175">
        <f t="shared" si="45"/>
        <v>1889110</v>
      </c>
      <c r="AF175" s="2">
        <f t="shared" si="51"/>
        <v>10</v>
      </c>
      <c r="AG175" t="str">
        <f t="shared" si="52"/>
        <v>262小时</v>
      </c>
      <c r="AH175">
        <f t="shared" si="53"/>
        <v>30</v>
      </c>
      <c r="AI175">
        <f t="shared" si="54"/>
        <v>5</v>
      </c>
      <c r="AJ175">
        <f t="shared" si="46"/>
        <v>23.5</v>
      </c>
      <c r="AK175">
        <f t="shared" si="55"/>
        <v>12</v>
      </c>
      <c r="AL175">
        <f t="shared" si="47"/>
        <v>10</v>
      </c>
      <c r="AM175" s="2">
        <f t="shared" si="56"/>
        <v>5</v>
      </c>
      <c r="AX175">
        <v>172</v>
      </c>
      <c r="AY175">
        <v>172</v>
      </c>
      <c r="AZ175" s="3">
        <f t="shared" si="48"/>
        <v>3482230</v>
      </c>
      <c r="BA175" t="e">
        <f>AZ175/(#REF!*60/5)/60</f>
        <v>#REF!</v>
      </c>
      <c r="BB175">
        <v>90</v>
      </c>
      <c r="BC175">
        <f t="shared" si="49"/>
        <v>6.0569444444444445</v>
      </c>
      <c r="BD175" s="2">
        <f t="shared" si="57"/>
        <v>23.5</v>
      </c>
      <c r="BE175">
        <f t="shared" si="58"/>
        <v>10</v>
      </c>
      <c r="BF175">
        <f t="shared" si="59"/>
        <v>57600</v>
      </c>
    </row>
    <row r="176" spans="1:58" ht="14.25" x14ac:dyDescent="0.2">
      <c r="A176" s="11">
        <v>828</v>
      </c>
      <c r="B176" s="13">
        <v>3</v>
      </c>
      <c r="C176" s="15">
        <v>3</v>
      </c>
      <c r="D176" s="14">
        <f t="shared" si="60"/>
        <v>4</v>
      </c>
      <c r="E176" s="1" t="s">
        <v>2733</v>
      </c>
      <c r="F176" s="1" t="s">
        <v>2768</v>
      </c>
      <c r="G176" s="1" t="s">
        <v>119</v>
      </c>
      <c r="H176" s="1" t="s">
        <v>119</v>
      </c>
      <c r="I176" s="1" t="s">
        <v>2735</v>
      </c>
      <c r="J176" s="16" t="s">
        <v>2766</v>
      </c>
      <c r="K176" t="s">
        <v>177</v>
      </c>
      <c r="L176" t="s">
        <v>163</v>
      </c>
      <c r="M176" t="s">
        <v>163</v>
      </c>
      <c r="N176" t="s">
        <v>163</v>
      </c>
      <c r="O176" s="4" t="s">
        <v>445</v>
      </c>
      <c r="P176">
        <v>0</v>
      </c>
      <c r="Q176" s="24">
        <v>17.5</v>
      </c>
      <c r="R176" s="25">
        <v>16.5</v>
      </c>
      <c r="S176" s="26">
        <v>22</v>
      </c>
      <c r="U176" s="3">
        <v>173</v>
      </c>
      <c r="V176" s="1">
        <v>3542784</v>
      </c>
      <c r="W176" s="1">
        <v>322125</v>
      </c>
      <c r="Y176">
        <v>10</v>
      </c>
      <c r="Z176">
        <v>13</v>
      </c>
      <c r="AA176" s="3">
        <v>20</v>
      </c>
      <c r="AB176" s="3">
        <v>6</v>
      </c>
      <c r="AC176">
        <v>140</v>
      </c>
      <c r="AD176" s="9">
        <f t="shared" si="50"/>
        <v>15742.583333333334</v>
      </c>
      <c r="AE176">
        <f t="shared" si="45"/>
        <v>1889110</v>
      </c>
      <c r="AF176" s="2">
        <f t="shared" si="51"/>
        <v>10</v>
      </c>
      <c r="AG176" t="str">
        <f t="shared" si="52"/>
        <v>262小时</v>
      </c>
      <c r="AH176">
        <f t="shared" si="53"/>
        <v>30</v>
      </c>
      <c r="AI176">
        <f t="shared" si="54"/>
        <v>5</v>
      </c>
      <c r="AJ176">
        <f t="shared" si="46"/>
        <v>23.5</v>
      </c>
      <c r="AK176">
        <f t="shared" si="55"/>
        <v>12</v>
      </c>
      <c r="AL176">
        <f t="shared" si="47"/>
        <v>10</v>
      </c>
      <c r="AM176" s="2">
        <f t="shared" si="56"/>
        <v>5</v>
      </c>
      <c r="AX176">
        <v>173</v>
      </c>
      <c r="AY176">
        <v>173</v>
      </c>
      <c r="AZ176" s="3">
        <f t="shared" si="48"/>
        <v>3542784</v>
      </c>
      <c r="BA176" t="e">
        <f>AZ176/(#REF!*60/5)/60</f>
        <v>#REF!</v>
      </c>
      <c r="BB176">
        <v>90</v>
      </c>
      <c r="BC176">
        <f t="shared" si="49"/>
        <v>6.0569444444444445</v>
      </c>
      <c r="BD176" s="2">
        <f t="shared" si="57"/>
        <v>23.5</v>
      </c>
      <c r="BE176">
        <f t="shared" si="58"/>
        <v>10</v>
      </c>
      <c r="BF176">
        <f t="shared" si="59"/>
        <v>57600</v>
      </c>
    </row>
    <row r="177" spans="1:58" ht="14.25" x14ac:dyDescent="0.2">
      <c r="A177" s="11">
        <v>829</v>
      </c>
      <c r="B177" s="13">
        <v>3</v>
      </c>
      <c r="C177" s="15">
        <v>3</v>
      </c>
      <c r="D177" s="14">
        <f t="shared" si="60"/>
        <v>4</v>
      </c>
      <c r="E177" s="1" t="s">
        <v>2733</v>
      </c>
      <c r="F177" s="1" t="s">
        <v>2769</v>
      </c>
      <c r="G177" s="1" t="s">
        <v>119</v>
      </c>
      <c r="H177" s="1" t="s">
        <v>119</v>
      </c>
      <c r="I177" s="1" t="s">
        <v>2735</v>
      </c>
      <c r="J177" s="16" t="s">
        <v>2766</v>
      </c>
      <c r="K177" t="s">
        <v>174</v>
      </c>
      <c r="L177" t="s">
        <v>163</v>
      </c>
      <c r="M177" t="s">
        <v>163</v>
      </c>
      <c r="N177" t="s">
        <v>163</v>
      </c>
      <c r="O177" s="4" t="s">
        <v>447</v>
      </c>
      <c r="P177">
        <v>0</v>
      </c>
      <c r="Q177" s="24">
        <v>17.5</v>
      </c>
      <c r="R177" s="25">
        <v>16.5</v>
      </c>
      <c r="S177" s="26">
        <v>22</v>
      </c>
      <c r="U177" s="3">
        <v>174</v>
      </c>
      <c r="V177" s="1">
        <v>3604036</v>
      </c>
      <c r="W177" s="1">
        <v>322818</v>
      </c>
      <c r="Y177">
        <v>10</v>
      </c>
      <c r="Z177">
        <v>14</v>
      </c>
      <c r="AA177" s="3">
        <v>20</v>
      </c>
      <c r="AB177" s="3">
        <v>6</v>
      </c>
      <c r="AC177">
        <v>140</v>
      </c>
      <c r="AD177" s="9">
        <f t="shared" si="50"/>
        <v>15742.583333333334</v>
      </c>
      <c r="AE177">
        <f t="shared" si="45"/>
        <v>1889110</v>
      </c>
      <c r="AF177" s="2">
        <f t="shared" si="51"/>
        <v>10</v>
      </c>
      <c r="AG177" t="str">
        <f t="shared" si="52"/>
        <v>262小时</v>
      </c>
      <c r="AH177">
        <f t="shared" si="53"/>
        <v>30</v>
      </c>
      <c r="AI177">
        <f t="shared" si="54"/>
        <v>5</v>
      </c>
      <c r="AJ177">
        <f t="shared" si="46"/>
        <v>23.5</v>
      </c>
      <c r="AK177">
        <f t="shared" si="55"/>
        <v>12</v>
      </c>
      <c r="AL177">
        <f t="shared" si="47"/>
        <v>10</v>
      </c>
      <c r="AM177" s="2">
        <f t="shared" si="56"/>
        <v>5</v>
      </c>
      <c r="AX177">
        <v>174</v>
      </c>
      <c r="AY177">
        <v>174</v>
      </c>
      <c r="AZ177" s="3">
        <f t="shared" si="48"/>
        <v>3604036</v>
      </c>
      <c r="BA177" t="e">
        <f>AZ177/(#REF!*60/5)/60</f>
        <v>#REF!</v>
      </c>
      <c r="BB177">
        <v>90</v>
      </c>
      <c r="BC177">
        <f t="shared" si="49"/>
        <v>6.0569444444444445</v>
      </c>
      <c r="BD177" s="2">
        <f t="shared" si="57"/>
        <v>23.5</v>
      </c>
      <c r="BE177">
        <f t="shared" si="58"/>
        <v>10</v>
      </c>
      <c r="BF177">
        <f t="shared" si="59"/>
        <v>57600</v>
      </c>
    </row>
    <row r="178" spans="1:58" ht="14.25" x14ac:dyDescent="0.2">
      <c r="A178" s="11">
        <v>830</v>
      </c>
      <c r="B178" s="13">
        <v>3</v>
      </c>
      <c r="C178" s="15">
        <v>3</v>
      </c>
      <c r="D178" s="14">
        <f t="shared" si="60"/>
        <v>4</v>
      </c>
      <c r="E178" s="1" t="s">
        <v>2729</v>
      </c>
      <c r="F178" s="1" t="s">
        <v>2742</v>
      </c>
      <c r="G178" s="1" t="s">
        <v>2762</v>
      </c>
      <c r="H178" s="1" t="s">
        <v>2771</v>
      </c>
      <c r="I178" s="1" t="s">
        <v>2696</v>
      </c>
      <c r="J178" s="16" t="s">
        <v>2869</v>
      </c>
      <c r="K178" t="s">
        <v>166</v>
      </c>
      <c r="L178" t="s">
        <v>163</v>
      </c>
      <c r="M178" t="s">
        <v>163</v>
      </c>
      <c r="N178" t="s">
        <v>163</v>
      </c>
      <c r="O178" s="4" t="s">
        <v>447</v>
      </c>
      <c r="P178">
        <v>0</v>
      </c>
      <c r="Q178" s="24">
        <v>17.5</v>
      </c>
      <c r="R178" s="25">
        <v>16.5</v>
      </c>
      <c r="S178" s="26">
        <v>22</v>
      </c>
      <c r="U178" s="3">
        <v>175</v>
      </c>
      <c r="V178" s="1">
        <v>3665990</v>
      </c>
      <c r="W178" s="1">
        <v>352675</v>
      </c>
      <c r="Y178">
        <v>10</v>
      </c>
      <c r="Z178">
        <v>15</v>
      </c>
      <c r="AA178" s="3">
        <v>25</v>
      </c>
      <c r="AB178" s="3">
        <v>6</v>
      </c>
      <c r="AC178">
        <v>142</v>
      </c>
      <c r="AD178" s="9">
        <f t="shared" si="50"/>
        <v>16419.5</v>
      </c>
      <c r="AE178">
        <f t="shared" si="45"/>
        <v>1970340</v>
      </c>
      <c r="AF178" s="2">
        <f t="shared" si="51"/>
        <v>10</v>
      </c>
      <c r="AG178" t="str">
        <f t="shared" si="52"/>
        <v>273小时</v>
      </c>
      <c r="AH178">
        <f t="shared" si="53"/>
        <v>30</v>
      </c>
      <c r="AI178">
        <f t="shared" si="54"/>
        <v>5</v>
      </c>
      <c r="AJ178">
        <f t="shared" si="46"/>
        <v>23.5</v>
      </c>
      <c r="AK178">
        <f t="shared" si="55"/>
        <v>12</v>
      </c>
      <c r="AL178">
        <f t="shared" si="47"/>
        <v>10</v>
      </c>
      <c r="AM178" s="2">
        <f t="shared" si="56"/>
        <v>5</v>
      </c>
      <c r="AX178">
        <v>175</v>
      </c>
      <c r="AY178">
        <v>175</v>
      </c>
      <c r="AZ178" s="3">
        <f t="shared" si="48"/>
        <v>3665990</v>
      </c>
      <c r="BA178" t="e">
        <f>AZ178/(#REF!*60/5)/60</f>
        <v>#REF!</v>
      </c>
      <c r="BB178">
        <v>90</v>
      </c>
      <c r="BC178">
        <f t="shared" si="49"/>
        <v>6.0569444444444445</v>
      </c>
      <c r="BD178" s="2">
        <f t="shared" si="57"/>
        <v>23.5</v>
      </c>
      <c r="BE178">
        <f t="shared" si="58"/>
        <v>10</v>
      </c>
      <c r="BF178">
        <f t="shared" si="59"/>
        <v>57600</v>
      </c>
    </row>
    <row r="179" spans="1:58" ht="14.25" x14ac:dyDescent="0.2">
      <c r="A179" s="11">
        <v>831</v>
      </c>
      <c r="B179" s="13">
        <v>3</v>
      </c>
      <c r="C179" s="15">
        <v>3</v>
      </c>
      <c r="D179" s="14">
        <f t="shared" si="60"/>
        <v>4</v>
      </c>
      <c r="E179" s="1" t="s">
        <v>2733</v>
      </c>
      <c r="F179" s="1" t="s">
        <v>2765</v>
      </c>
      <c r="G179" s="1" t="s">
        <v>119</v>
      </c>
      <c r="H179" s="1" t="s">
        <v>119</v>
      </c>
      <c r="I179" s="1" t="s">
        <v>2735</v>
      </c>
      <c r="J179" s="16" t="s">
        <v>2766</v>
      </c>
      <c r="K179" t="s">
        <v>168</v>
      </c>
      <c r="L179" t="s">
        <v>163</v>
      </c>
      <c r="M179" t="s">
        <v>163</v>
      </c>
      <c r="N179" t="s">
        <v>163</v>
      </c>
      <c r="O179" s="4" t="s">
        <v>449</v>
      </c>
      <c r="P179">
        <v>0</v>
      </c>
      <c r="Q179" s="24">
        <v>17.8</v>
      </c>
      <c r="R179" s="25">
        <v>17</v>
      </c>
      <c r="S179" s="26">
        <v>22.3</v>
      </c>
      <c r="U179" s="3">
        <v>176</v>
      </c>
      <c r="V179" s="1">
        <v>3728650</v>
      </c>
      <c r="W179" s="1">
        <v>353376</v>
      </c>
      <c r="Y179">
        <v>10</v>
      </c>
      <c r="Z179">
        <v>16</v>
      </c>
      <c r="AA179" s="3">
        <v>20</v>
      </c>
      <c r="AB179" s="3">
        <v>6</v>
      </c>
      <c r="AC179">
        <v>142</v>
      </c>
      <c r="AD179" s="9">
        <f t="shared" si="50"/>
        <v>16097.5</v>
      </c>
      <c r="AE179">
        <f t="shared" si="45"/>
        <v>1970340</v>
      </c>
      <c r="AF179" s="2">
        <f t="shared" si="51"/>
        <v>10.200000000000001</v>
      </c>
      <c r="AG179" t="str">
        <f t="shared" si="52"/>
        <v>268小时</v>
      </c>
      <c r="AH179">
        <f t="shared" si="53"/>
        <v>31</v>
      </c>
      <c r="AI179">
        <f t="shared" si="54"/>
        <v>6</v>
      </c>
      <c r="AJ179">
        <f t="shared" si="46"/>
        <v>23.8</v>
      </c>
      <c r="AK179">
        <f t="shared" si="55"/>
        <v>12</v>
      </c>
      <c r="AL179">
        <f t="shared" si="47"/>
        <v>10.200000000000001</v>
      </c>
      <c r="AM179" s="2">
        <f t="shared" si="56"/>
        <v>6</v>
      </c>
      <c r="AX179">
        <v>176</v>
      </c>
      <c r="AY179">
        <v>176</v>
      </c>
      <c r="AZ179" s="3">
        <f t="shared" si="48"/>
        <v>3728650</v>
      </c>
      <c r="BA179" t="e">
        <f>AZ179/(#REF!*60/5)/60</f>
        <v>#REF!</v>
      </c>
      <c r="BB179">
        <v>90</v>
      </c>
      <c r="BC179">
        <f t="shared" si="49"/>
        <v>5.9381808278867085</v>
      </c>
      <c r="BD179" s="2">
        <f t="shared" si="57"/>
        <v>23.8</v>
      </c>
      <c r="BE179">
        <f t="shared" si="58"/>
        <v>10.200000000000001</v>
      </c>
      <c r="BF179">
        <f t="shared" si="59"/>
        <v>58752.000000000015</v>
      </c>
    </row>
    <row r="180" spans="1:58" ht="14.25" x14ac:dyDescent="0.2">
      <c r="A180" s="11">
        <v>832</v>
      </c>
      <c r="B180" s="13">
        <v>3</v>
      </c>
      <c r="C180" s="15">
        <v>3</v>
      </c>
      <c r="D180" s="14">
        <f t="shared" si="60"/>
        <v>4</v>
      </c>
      <c r="E180" s="1" t="s">
        <v>2733</v>
      </c>
      <c r="F180" s="1" t="s">
        <v>2767</v>
      </c>
      <c r="G180" s="1" t="s">
        <v>119</v>
      </c>
      <c r="H180" s="1" t="s">
        <v>119</v>
      </c>
      <c r="I180" s="1" t="s">
        <v>2735</v>
      </c>
      <c r="J180" s="16" t="s">
        <v>2766</v>
      </c>
      <c r="K180" t="s">
        <v>175</v>
      </c>
      <c r="L180" t="s">
        <v>164</v>
      </c>
      <c r="M180" t="s">
        <v>163</v>
      </c>
      <c r="N180" t="s">
        <v>167</v>
      </c>
      <c r="O180" s="4" t="s">
        <v>451</v>
      </c>
      <c r="P180">
        <v>0</v>
      </c>
      <c r="Q180" s="24">
        <v>17.8</v>
      </c>
      <c r="R180" s="25">
        <v>17</v>
      </c>
      <c r="S180" s="26">
        <v>22.3</v>
      </c>
      <c r="U180" s="3">
        <v>177</v>
      </c>
      <c r="V180" s="1">
        <v>3792020</v>
      </c>
      <c r="W180" s="1">
        <v>354081</v>
      </c>
      <c r="Y180">
        <v>10</v>
      </c>
      <c r="Z180">
        <v>17</v>
      </c>
      <c r="AA180" s="3">
        <v>20</v>
      </c>
      <c r="AB180" s="3">
        <v>6</v>
      </c>
      <c r="AC180">
        <v>142</v>
      </c>
      <c r="AD180" s="9">
        <f t="shared" si="50"/>
        <v>16097.5</v>
      </c>
      <c r="AE180">
        <f t="shared" si="45"/>
        <v>1970340</v>
      </c>
      <c r="AF180" s="2">
        <f t="shared" si="51"/>
        <v>10.200000000000001</v>
      </c>
      <c r="AG180" t="str">
        <f t="shared" si="52"/>
        <v>268小时</v>
      </c>
      <c r="AH180">
        <f t="shared" si="53"/>
        <v>31</v>
      </c>
      <c r="AI180">
        <f t="shared" si="54"/>
        <v>6</v>
      </c>
      <c r="AJ180">
        <f t="shared" si="46"/>
        <v>23.8</v>
      </c>
      <c r="AK180">
        <f t="shared" si="55"/>
        <v>12</v>
      </c>
      <c r="AL180">
        <f t="shared" si="47"/>
        <v>10.200000000000001</v>
      </c>
      <c r="AM180" s="2">
        <f t="shared" si="56"/>
        <v>6</v>
      </c>
      <c r="AX180">
        <v>177</v>
      </c>
      <c r="AY180">
        <v>177</v>
      </c>
      <c r="AZ180" s="3">
        <f t="shared" si="48"/>
        <v>3792020</v>
      </c>
      <c r="BA180" t="e">
        <f>AZ180/(#REF!*60/5)/60</f>
        <v>#REF!</v>
      </c>
      <c r="BB180">
        <v>90</v>
      </c>
      <c r="BC180">
        <f t="shared" si="49"/>
        <v>5.9381808278867085</v>
      </c>
      <c r="BD180" s="2">
        <f t="shared" si="57"/>
        <v>23.8</v>
      </c>
      <c r="BE180">
        <f t="shared" si="58"/>
        <v>10.200000000000001</v>
      </c>
      <c r="BF180">
        <f t="shared" si="59"/>
        <v>58752.000000000015</v>
      </c>
    </row>
    <row r="181" spans="1:58" ht="14.25" x14ac:dyDescent="0.2">
      <c r="A181" s="11">
        <v>833</v>
      </c>
      <c r="B181" s="13">
        <v>3</v>
      </c>
      <c r="C181" s="15">
        <v>3</v>
      </c>
      <c r="D181" s="14">
        <f t="shared" si="60"/>
        <v>4</v>
      </c>
      <c r="E181" s="1" t="s">
        <v>2733</v>
      </c>
      <c r="F181" s="1" t="s">
        <v>2768</v>
      </c>
      <c r="G181" s="1" t="s">
        <v>119</v>
      </c>
      <c r="H181" s="1" t="s">
        <v>119</v>
      </c>
      <c r="I181" s="1" t="s">
        <v>2735</v>
      </c>
      <c r="J181" s="16" t="s">
        <v>2766</v>
      </c>
      <c r="K181" t="s">
        <v>179</v>
      </c>
      <c r="L181" t="s">
        <v>163</v>
      </c>
      <c r="M181" t="s">
        <v>163</v>
      </c>
      <c r="N181" t="s">
        <v>163</v>
      </c>
      <c r="O181" s="4" t="s">
        <v>453</v>
      </c>
      <c r="P181">
        <v>0</v>
      </c>
      <c r="Q181" s="24">
        <v>17.8</v>
      </c>
      <c r="R181" s="25">
        <v>17</v>
      </c>
      <c r="S181" s="26">
        <v>22.3</v>
      </c>
      <c r="U181" s="3">
        <v>178</v>
      </c>
      <c r="V181" s="1">
        <v>3856104</v>
      </c>
      <c r="W181" s="1">
        <v>354790</v>
      </c>
      <c r="Y181">
        <v>10</v>
      </c>
      <c r="Z181">
        <v>18</v>
      </c>
      <c r="AA181" s="3">
        <v>20</v>
      </c>
      <c r="AB181" s="3">
        <v>6</v>
      </c>
      <c r="AC181">
        <v>145</v>
      </c>
      <c r="AD181" s="9">
        <f t="shared" si="50"/>
        <v>17128.25</v>
      </c>
      <c r="AE181">
        <f t="shared" si="45"/>
        <v>2096500</v>
      </c>
      <c r="AF181" s="2">
        <f t="shared" si="51"/>
        <v>10.200000000000001</v>
      </c>
      <c r="AG181" t="str">
        <f t="shared" si="52"/>
        <v>285小时</v>
      </c>
      <c r="AH181">
        <f t="shared" si="53"/>
        <v>31</v>
      </c>
      <c r="AI181">
        <f t="shared" si="54"/>
        <v>6</v>
      </c>
      <c r="AJ181">
        <f t="shared" si="46"/>
        <v>23.8</v>
      </c>
      <c r="AK181">
        <f t="shared" si="55"/>
        <v>12</v>
      </c>
      <c r="AL181">
        <f t="shared" si="47"/>
        <v>10.200000000000001</v>
      </c>
      <c r="AM181" s="2">
        <f t="shared" si="56"/>
        <v>6</v>
      </c>
      <c r="AX181">
        <v>178</v>
      </c>
      <c r="AY181">
        <v>178</v>
      </c>
      <c r="AZ181" s="3">
        <f t="shared" si="48"/>
        <v>3856104</v>
      </c>
      <c r="BA181" t="e">
        <f>AZ181/(#REF!*60/5)/60</f>
        <v>#REF!</v>
      </c>
      <c r="BB181">
        <v>90</v>
      </c>
      <c r="BC181">
        <f t="shared" si="49"/>
        <v>5.9381808278867085</v>
      </c>
      <c r="BD181" s="2">
        <f t="shared" si="57"/>
        <v>23.8</v>
      </c>
      <c r="BE181">
        <f t="shared" si="58"/>
        <v>10.200000000000001</v>
      </c>
      <c r="BF181">
        <f t="shared" si="59"/>
        <v>58752.000000000015</v>
      </c>
    </row>
    <row r="182" spans="1:58" ht="14.25" x14ac:dyDescent="0.2">
      <c r="A182" s="11">
        <v>834</v>
      </c>
      <c r="B182" s="13">
        <v>3</v>
      </c>
      <c r="C182" s="15">
        <v>3</v>
      </c>
      <c r="D182" s="14">
        <f t="shared" si="60"/>
        <v>4</v>
      </c>
      <c r="E182" s="1" t="s">
        <v>2733</v>
      </c>
      <c r="F182" s="1" t="s">
        <v>2769</v>
      </c>
      <c r="G182" s="1" t="s">
        <v>119</v>
      </c>
      <c r="H182" s="1" t="s">
        <v>119</v>
      </c>
      <c r="I182" s="1" t="s">
        <v>2735</v>
      </c>
      <c r="J182" s="16" t="s">
        <v>2766</v>
      </c>
      <c r="K182" t="s">
        <v>162</v>
      </c>
      <c r="L182" t="s">
        <v>163</v>
      </c>
      <c r="M182" t="s">
        <v>163</v>
      </c>
      <c r="N182" t="s">
        <v>163</v>
      </c>
      <c r="O182" s="4" t="s">
        <v>455</v>
      </c>
      <c r="P182">
        <v>0</v>
      </c>
      <c r="Q182" s="24">
        <v>17.8</v>
      </c>
      <c r="R182" s="25">
        <v>17</v>
      </c>
      <c r="S182" s="26">
        <v>22.3</v>
      </c>
      <c r="U182" s="3">
        <v>179</v>
      </c>
      <c r="V182" s="1">
        <v>3920906</v>
      </c>
      <c r="W182" s="1">
        <v>355503</v>
      </c>
      <c r="Y182">
        <v>10</v>
      </c>
      <c r="Z182">
        <v>19</v>
      </c>
      <c r="AA182" s="3">
        <v>20</v>
      </c>
      <c r="AB182" s="3">
        <v>6</v>
      </c>
      <c r="AC182">
        <v>145</v>
      </c>
      <c r="AD182" s="9">
        <f t="shared" si="50"/>
        <v>17128.25</v>
      </c>
      <c r="AE182">
        <f t="shared" si="45"/>
        <v>2096500</v>
      </c>
      <c r="AF182" s="2">
        <f t="shared" si="51"/>
        <v>10.200000000000001</v>
      </c>
      <c r="AG182" t="str">
        <f t="shared" si="52"/>
        <v>285小时</v>
      </c>
      <c r="AH182">
        <f t="shared" si="53"/>
        <v>31</v>
      </c>
      <c r="AI182">
        <f t="shared" si="54"/>
        <v>6</v>
      </c>
      <c r="AJ182">
        <f t="shared" si="46"/>
        <v>23.8</v>
      </c>
      <c r="AK182">
        <f t="shared" si="55"/>
        <v>12</v>
      </c>
      <c r="AL182">
        <f t="shared" si="47"/>
        <v>10.200000000000001</v>
      </c>
      <c r="AM182" s="2">
        <f t="shared" si="56"/>
        <v>6</v>
      </c>
      <c r="AX182">
        <v>179</v>
      </c>
      <c r="AY182">
        <v>179</v>
      </c>
      <c r="AZ182" s="3">
        <f t="shared" si="48"/>
        <v>3920906</v>
      </c>
      <c r="BA182" t="e">
        <f>AZ182/(#REF!*60/5)/60</f>
        <v>#REF!</v>
      </c>
      <c r="BB182">
        <v>90</v>
      </c>
      <c r="BC182">
        <f t="shared" si="49"/>
        <v>5.9381808278867085</v>
      </c>
      <c r="BD182" s="2">
        <f t="shared" si="57"/>
        <v>23.8</v>
      </c>
      <c r="BE182">
        <f t="shared" si="58"/>
        <v>10.200000000000001</v>
      </c>
      <c r="BF182">
        <f t="shared" si="59"/>
        <v>58752.000000000015</v>
      </c>
    </row>
    <row r="183" spans="1:58" ht="14.25" x14ac:dyDescent="0.2">
      <c r="A183" s="11">
        <v>835</v>
      </c>
      <c r="B183" s="13">
        <v>3</v>
      </c>
      <c r="C183" s="15">
        <v>3</v>
      </c>
      <c r="D183" s="14">
        <f t="shared" si="60"/>
        <v>4</v>
      </c>
      <c r="E183" s="1" t="s">
        <v>2729</v>
      </c>
      <c r="F183" s="1" t="s">
        <v>2742</v>
      </c>
      <c r="G183" s="1" t="s">
        <v>2763</v>
      </c>
      <c r="H183" s="1" t="s">
        <v>2771</v>
      </c>
      <c r="I183" s="1" t="s">
        <v>2696</v>
      </c>
      <c r="J183" s="16" t="s">
        <v>2869</v>
      </c>
      <c r="K183" t="s">
        <v>177</v>
      </c>
      <c r="L183" t="s">
        <v>163</v>
      </c>
      <c r="M183" t="s">
        <v>163</v>
      </c>
      <c r="N183" t="s">
        <v>163</v>
      </c>
      <c r="O183" s="4" t="s">
        <v>453</v>
      </c>
      <c r="P183">
        <v>0</v>
      </c>
      <c r="Q183" s="24">
        <v>17.8</v>
      </c>
      <c r="R183" s="25">
        <v>17</v>
      </c>
      <c r="S183" s="26">
        <v>22.3</v>
      </c>
      <c r="U183" s="3">
        <v>180</v>
      </c>
      <c r="V183" s="1">
        <v>3986430</v>
      </c>
      <c r="W183" s="1">
        <v>425620</v>
      </c>
      <c r="Y183">
        <v>10</v>
      </c>
      <c r="Z183">
        <v>20</v>
      </c>
      <c r="AA183" s="3">
        <v>25</v>
      </c>
      <c r="AB183" s="3">
        <v>6</v>
      </c>
      <c r="AC183">
        <v>145</v>
      </c>
      <c r="AD183" s="9">
        <f t="shared" si="50"/>
        <v>17128.25</v>
      </c>
      <c r="AE183">
        <f t="shared" si="45"/>
        <v>2096500</v>
      </c>
      <c r="AF183" s="2">
        <f t="shared" si="51"/>
        <v>10.200000000000001</v>
      </c>
      <c r="AG183" t="str">
        <f t="shared" si="52"/>
        <v>285小时</v>
      </c>
      <c r="AH183">
        <f t="shared" si="53"/>
        <v>31</v>
      </c>
      <c r="AI183">
        <f t="shared" si="54"/>
        <v>6</v>
      </c>
      <c r="AJ183">
        <f t="shared" si="46"/>
        <v>23.8</v>
      </c>
      <c r="AK183">
        <f t="shared" si="55"/>
        <v>12</v>
      </c>
      <c r="AL183">
        <f t="shared" si="47"/>
        <v>10.200000000000001</v>
      </c>
      <c r="AM183" s="2">
        <f t="shared" si="56"/>
        <v>6</v>
      </c>
      <c r="AX183">
        <v>180</v>
      </c>
      <c r="AY183">
        <v>180</v>
      </c>
      <c r="AZ183" s="3">
        <f t="shared" si="48"/>
        <v>3986430</v>
      </c>
      <c r="BA183" t="e">
        <f>AZ183/(#REF!*60/5)/60</f>
        <v>#REF!</v>
      </c>
      <c r="BB183">
        <v>90</v>
      </c>
      <c r="BC183">
        <f t="shared" si="49"/>
        <v>5.9381808278867085</v>
      </c>
      <c r="BD183" s="2">
        <f t="shared" si="57"/>
        <v>23.8</v>
      </c>
      <c r="BE183">
        <f t="shared" si="58"/>
        <v>10.200000000000001</v>
      </c>
      <c r="BF183">
        <f t="shared" si="59"/>
        <v>58752.000000000015</v>
      </c>
    </row>
    <row r="184" spans="1:58" ht="14.25" x14ac:dyDescent="0.2">
      <c r="A184" s="11">
        <v>836</v>
      </c>
      <c r="B184" s="13">
        <v>3</v>
      </c>
      <c r="C184" s="15">
        <v>3</v>
      </c>
      <c r="D184" s="14">
        <f t="shared" si="60"/>
        <v>4</v>
      </c>
      <c r="E184" s="1" t="s">
        <v>2733</v>
      </c>
      <c r="F184" s="1" t="s">
        <v>2772</v>
      </c>
      <c r="G184" s="1" t="s">
        <v>119</v>
      </c>
      <c r="H184" s="1" t="s">
        <v>119</v>
      </c>
      <c r="I184" s="1" t="s">
        <v>2735</v>
      </c>
      <c r="J184" s="16" t="s">
        <v>2766</v>
      </c>
      <c r="K184" t="s">
        <v>174</v>
      </c>
      <c r="L184" t="s">
        <v>163</v>
      </c>
      <c r="M184" t="s">
        <v>163</v>
      </c>
      <c r="N184" t="s">
        <v>163</v>
      </c>
      <c r="O184" s="4" t="s">
        <v>457</v>
      </c>
      <c r="P184">
        <v>0</v>
      </c>
      <c r="Q184" s="24">
        <v>18.2</v>
      </c>
      <c r="R184" s="25">
        <v>17.399999999999999</v>
      </c>
      <c r="S184" s="26">
        <v>22.7</v>
      </c>
      <c r="U184" s="3">
        <v>181</v>
      </c>
      <c r="V184" s="1">
        <v>4052680</v>
      </c>
      <c r="W184" s="1">
        <v>426341</v>
      </c>
      <c r="Y184">
        <v>10</v>
      </c>
      <c r="Z184">
        <v>21</v>
      </c>
      <c r="AA184" s="3">
        <v>20</v>
      </c>
      <c r="AB184" s="3">
        <v>6</v>
      </c>
      <c r="AC184">
        <v>148</v>
      </c>
      <c r="AD184" s="9">
        <f t="shared" si="50"/>
        <v>17682</v>
      </c>
      <c r="AE184">
        <f t="shared" si="45"/>
        <v>2227934</v>
      </c>
      <c r="AF184" s="2">
        <f t="shared" si="51"/>
        <v>10.5</v>
      </c>
      <c r="AG184" t="str">
        <f t="shared" si="52"/>
        <v>294小时</v>
      </c>
      <c r="AH184">
        <f t="shared" si="53"/>
        <v>32</v>
      </c>
      <c r="AI184">
        <f t="shared" si="54"/>
        <v>6</v>
      </c>
      <c r="AJ184">
        <f t="shared" si="46"/>
        <v>24.299999999999997</v>
      </c>
      <c r="AK184">
        <f t="shared" si="55"/>
        <v>13</v>
      </c>
      <c r="AL184">
        <f t="shared" si="47"/>
        <v>10.5</v>
      </c>
      <c r="AM184" s="2">
        <f t="shared" si="56"/>
        <v>6</v>
      </c>
      <c r="AX184">
        <v>181</v>
      </c>
      <c r="AY184">
        <v>181</v>
      </c>
      <c r="AZ184" s="3">
        <f t="shared" si="48"/>
        <v>4052680</v>
      </c>
      <c r="BA184" t="e">
        <f>AZ184/(#REF!*60/5)/60</f>
        <v>#REF!</v>
      </c>
      <c r="BB184">
        <v>90</v>
      </c>
      <c r="BC184">
        <f t="shared" si="49"/>
        <v>5.7685185185185182</v>
      </c>
      <c r="BD184" s="2">
        <f t="shared" si="57"/>
        <v>24.299999999999997</v>
      </c>
      <c r="BE184">
        <f t="shared" si="58"/>
        <v>10.5</v>
      </c>
      <c r="BF184">
        <f t="shared" si="59"/>
        <v>60480</v>
      </c>
    </row>
    <row r="185" spans="1:58" ht="14.25" x14ac:dyDescent="0.2">
      <c r="A185" s="11">
        <v>837</v>
      </c>
      <c r="B185" s="13">
        <v>3</v>
      </c>
      <c r="C185" s="15">
        <v>3</v>
      </c>
      <c r="D185" s="14">
        <f t="shared" si="60"/>
        <v>4</v>
      </c>
      <c r="E185" s="1" t="s">
        <v>2733</v>
      </c>
      <c r="F185" s="1" t="s">
        <v>2773</v>
      </c>
      <c r="G185" s="1" t="s">
        <v>119</v>
      </c>
      <c r="H185" s="1" t="s">
        <v>119</v>
      </c>
      <c r="I185" s="1" t="s">
        <v>2735</v>
      </c>
      <c r="J185" s="16" t="s">
        <v>2766</v>
      </c>
      <c r="K185" t="s">
        <v>166</v>
      </c>
      <c r="L185" t="s">
        <v>163</v>
      </c>
      <c r="M185" t="s">
        <v>163</v>
      </c>
      <c r="N185" t="s">
        <v>163</v>
      </c>
      <c r="O185" s="4" t="s">
        <v>457</v>
      </c>
      <c r="P185">
        <v>0</v>
      </c>
      <c r="Q185" s="24">
        <v>18.2</v>
      </c>
      <c r="R185" s="25">
        <v>17.399999999999999</v>
      </c>
      <c r="S185" s="26">
        <v>22.7</v>
      </c>
      <c r="U185" s="3">
        <v>182</v>
      </c>
      <c r="V185" s="1">
        <v>4119660</v>
      </c>
      <c r="W185" s="1">
        <v>427066</v>
      </c>
      <c r="Y185">
        <v>10</v>
      </c>
      <c r="Z185">
        <v>22</v>
      </c>
      <c r="AA185" s="3">
        <v>20</v>
      </c>
      <c r="AB185" s="3">
        <v>6</v>
      </c>
      <c r="AC185">
        <v>148</v>
      </c>
      <c r="AD185" s="9">
        <f t="shared" si="50"/>
        <v>17682</v>
      </c>
      <c r="AE185">
        <f t="shared" si="45"/>
        <v>2227934</v>
      </c>
      <c r="AF185" s="2">
        <f t="shared" si="51"/>
        <v>10.5</v>
      </c>
      <c r="AG185" t="str">
        <f t="shared" si="52"/>
        <v>294小时</v>
      </c>
      <c r="AH185">
        <f t="shared" si="53"/>
        <v>32</v>
      </c>
      <c r="AI185">
        <f t="shared" si="54"/>
        <v>6</v>
      </c>
      <c r="AJ185">
        <f t="shared" si="46"/>
        <v>24.299999999999997</v>
      </c>
      <c r="AK185">
        <f t="shared" si="55"/>
        <v>13</v>
      </c>
      <c r="AL185">
        <f t="shared" si="47"/>
        <v>10.5</v>
      </c>
      <c r="AM185" s="2">
        <f t="shared" si="56"/>
        <v>6</v>
      </c>
      <c r="AX185">
        <v>182</v>
      </c>
      <c r="AY185">
        <v>182</v>
      </c>
      <c r="AZ185" s="3">
        <f t="shared" si="48"/>
        <v>4119660</v>
      </c>
      <c r="BA185" t="e">
        <f>AZ185/(#REF!*60/5)/60</f>
        <v>#REF!</v>
      </c>
      <c r="BB185">
        <v>90</v>
      </c>
      <c r="BC185">
        <f t="shared" si="49"/>
        <v>5.7685185185185182</v>
      </c>
      <c r="BD185" s="2">
        <f t="shared" si="57"/>
        <v>24.299999999999997</v>
      </c>
      <c r="BE185">
        <f t="shared" si="58"/>
        <v>10.5</v>
      </c>
      <c r="BF185">
        <f t="shared" si="59"/>
        <v>60480</v>
      </c>
    </row>
    <row r="186" spans="1:58" ht="14.25" x14ac:dyDescent="0.2">
      <c r="A186" s="11">
        <v>838</v>
      </c>
      <c r="B186" s="13">
        <v>3</v>
      </c>
      <c r="C186" s="15">
        <v>3</v>
      </c>
      <c r="D186" s="14">
        <f t="shared" si="60"/>
        <v>4</v>
      </c>
      <c r="E186" s="1" t="s">
        <v>2733</v>
      </c>
      <c r="F186" s="1" t="s">
        <v>2774</v>
      </c>
      <c r="G186" s="1" t="s">
        <v>119</v>
      </c>
      <c r="H186" s="1" t="s">
        <v>119</v>
      </c>
      <c r="I186" s="1" t="s">
        <v>2735</v>
      </c>
      <c r="J186" s="16" t="s">
        <v>2766</v>
      </c>
      <c r="K186" t="s">
        <v>168</v>
      </c>
      <c r="L186" t="s">
        <v>163</v>
      </c>
      <c r="M186" t="s">
        <v>163</v>
      </c>
      <c r="N186" t="s">
        <v>163</v>
      </c>
      <c r="O186" s="4" t="s">
        <v>459</v>
      </c>
      <c r="P186">
        <v>0</v>
      </c>
      <c r="Q186" s="24">
        <v>18.2</v>
      </c>
      <c r="R186" s="25">
        <v>17.399999999999999</v>
      </c>
      <c r="S186" s="26">
        <v>22.7</v>
      </c>
      <c r="U186" s="3">
        <v>183</v>
      </c>
      <c r="V186" s="1">
        <v>4187374</v>
      </c>
      <c r="W186" s="1">
        <v>427795</v>
      </c>
      <c r="Y186">
        <v>10</v>
      </c>
      <c r="Z186">
        <v>23</v>
      </c>
      <c r="AA186" s="3">
        <v>20</v>
      </c>
      <c r="AB186" s="3">
        <v>6</v>
      </c>
      <c r="AC186">
        <v>148</v>
      </c>
      <c r="AD186" s="9">
        <f t="shared" si="50"/>
        <v>17682</v>
      </c>
      <c r="AE186">
        <f t="shared" si="45"/>
        <v>2227934</v>
      </c>
      <c r="AF186" s="2">
        <f t="shared" si="51"/>
        <v>10.5</v>
      </c>
      <c r="AG186" t="str">
        <f t="shared" si="52"/>
        <v>294小时</v>
      </c>
      <c r="AH186">
        <f t="shared" si="53"/>
        <v>32</v>
      </c>
      <c r="AI186">
        <f t="shared" si="54"/>
        <v>6</v>
      </c>
      <c r="AJ186">
        <f t="shared" si="46"/>
        <v>24.299999999999997</v>
      </c>
      <c r="AK186">
        <f t="shared" si="55"/>
        <v>13</v>
      </c>
      <c r="AL186">
        <f t="shared" si="47"/>
        <v>10.5</v>
      </c>
      <c r="AM186" s="2">
        <f t="shared" si="56"/>
        <v>6</v>
      </c>
      <c r="AX186">
        <v>183</v>
      </c>
      <c r="AY186">
        <v>183</v>
      </c>
      <c r="AZ186" s="3">
        <f t="shared" si="48"/>
        <v>4187374</v>
      </c>
      <c r="BA186" t="e">
        <f>AZ186/(#REF!*60/5)/60</f>
        <v>#REF!</v>
      </c>
      <c r="BB186">
        <v>90</v>
      </c>
      <c r="BC186">
        <f t="shared" si="49"/>
        <v>5.7685185185185182</v>
      </c>
      <c r="BD186" s="2">
        <f t="shared" si="57"/>
        <v>24.299999999999997</v>
      </c>
      <c r="BE186">
        <f t="shared" si="58"/>
        <v>10.5</v>
      </c>
      <c r="BF186">
        <f t="shared" si="59"/>
        <v>60480</v>
      </c>
    </row>
    <row r="187" spans="1:58" ht="14.25" x14ac:dyDescent="0.2">
      <c r="A187" s="11">
        <v>839</v>
      </c>
      <c r="B187" s="13">
        <v>3</v>
      </c>
      <c r="C187" s="15">
        <v>3</v>
      </c>
      <c r="D187" s="14">
        <f t="shared" si="60"/>
        <v>4</v>
      </c>
      <c r="E187" s="1" t="s">
        <v>2733</v>
      </c>
      <c r="F187" s="1" t="s">
        <v>2775</v>
      </c>
      <c r="G187" s="1" t="s">
        <v>119</v>
      </c>
      <c r="H187" s="1" t="s">
        <v>119</v>
      </c>
      <c r="I187" s="1" t="s">
        <v>2735</v>
      </c>
      <c r="J187" s="16" t="s">
        <v>2766</v>
      </c>
      <c r="K187" t="s">
        <v>175</v>
      </c>
      <c r="L187" t="s">
        <v>164</v>
      </c>
      <c r="M187" t="s">
        <v>163</v>
      </c>
      <c r="N187" t="s">
        <v>167</v>
      </c>
      <c r="O187" s="4" t="s">
        <v>461</v>
      </c>
      <c r="P187">
        <v>0</v>
      </c>
      <c r="Q187" s="24">
        <v>18.2</v>
      </c>
      <c r="R187" s="25">
        <v>17.399999999999999</v>
      </c>
      <c r="S187" s="26">
        <v>22.7</v>
      </c>
      <c r="U187" s="3">
        <v>184</v>
      </c>
      <c r="V187" s="1">
        <v>4255826</v>
      </c>
      <c r="W187" s="1">
        <v>428528</v>
      </c>
      <c r="Y187">
        <v>10</v>
      </c>
      <c r="Z187">
        <v>24</v>
      </c>
      <c r="AA187" s="3">
        <v>20</v>
      </c>
      <c r="AB187" s="3">
        <v>6</v>
      </c>
      <c r="AC187">
        <v>150</v>
      </c>
      <c r="AD187" s="9">
        <f t="shared" si="50"/>
        <v>18401.083333333332</v>
      </c>
      <c r="AE187">
        <f t="shared" si="45"/>
        <v>2318540</v>
      </c>
      <c r="AF187" s="2">
        <f t="shared" si="51"/>
        <v>10.5</v>
      </c>
      <c r="AG187" t="str">
        <f t="shared" si="52"/>
        <v>306小时</v>
      </c>
      <c r="AH187">
        <f t="shared" si="53"/>
        <v>32</v>
      </c>
      <c r="AI187">
        <f t="shared" si="54"/>
        <v>6</v>
      </c>
      <c r="AJ187">
        <f t="shared" si="46"/>
        <v>24.299999999999997</v>
      </c>
      <c r="AK187">
        <f t="shared" si="55"/>
        <v>13</v>
      </c>
      <c r="AL187">
        <f t="shared" si="47"/>
        <v>10.5</v>
      </c>
      <c r="AM187" s="2">
        <f t="shared" si="56"/>
        <v>6</v>
      </c>
      <c r="AX187">
        <v>184</v>
      </c>
      <c r="AY187">
        <v>184</v>
      </c>
      <c r="AZ187" s="3">
        <f t="shared" si="48"/>
        <v>4255826</v>
      </c>
      <c r="BA187" t="e">
        <f>AZ187/(#REF!*60/5)/60</f>
        <v>#REF!</v>
      </c>
      <c r="BB187">
        <v>90</v>
      </c>
      <c r="BC187">
        <f t="shared" si="49"/>
        <v>5.7685185185185182</v>
      </c>
      <c r="BD187" s="2">
        <f t="shared" si="57"/>
        <v>24.299999999999997</v>
      </c>
      <c r="BE187">
        <f t="shared" si="58"/>
        <v>10.5</v>
      </c>
      <c r="BF187">
        <f t="shared" si="59"/>
        <v>60480</v>
      </c>
    </row>
    <row r="188" spans="1:58" ht="14.25" x14ac:dyDescent="0.2">
      <c r="A188" s="11">
        <v>840</v>
      </c>
      <c r="B188" s="13">
        <v>3</v>
      </c>
      <c r="C188" s="15">
        <v>3</v>
      </c>
      <c r="D188" s="14">
        <f t="shared" si="60"/>
        <v>4</v>
      </c>
      <c r="E188" s="1" t="s">
        <v>2729</v>
      </c>
      <c r="F188" s="1" t="s">
        <v>2742</v>
      </c>
      <c r="G188" s="1" t="s">
        <v>2764</v>
      </c>
      <c r="H188" s="1" t="s">
        <v>2776</v>
      </c>
      <c r="I188" s="1" t="s">
        <v>2696</v>
      </c>
      <c r="J188" s="16" t="s">
        <v>2851</v>
      </c>
      <c r="K188" t="s">
        <v>179</v>
      </c>
      <c r="L188" t="s">
        <v>163</v>
      </c>
      <c r="M188" t="s">
        <v>163</v>
      </c>
      <c r="N188" t="s">
        <v>163</v>
      </c>
      <c r="O188" s="4" t="s">
        <v>459</v>
      </c>
      <c r="P188">
        <v>0</v>
      </c>
      <c r="Q188" s="24">
        <v>18.2</v>
      </c>
      <c r="R188" s="25">
        <v>17.399999999999999</v>
      </c>
      <c r="S188" s="26">
        <v>22.7</v>
      </c>
      <c r="U188" s="3">
        <v>185</v>
      </c>
      <c r="V188" s="1">
        <v>4325020</v>
      </c>
      <c r="W188" s="1">
        <v>465365</v>
      </c>
      <c r="Y188">
        <v>10</v>
      </c>
      <c r="Z188">
        <v>25</v>
      </c>
      <c r="AA188" s="3">
        <v>25</v>
      </c>
      <c r="AB188" s="3">
        <v>6</v>
      </c>
      <c r="AC188">
        <v>150</v>
      </c>
      <c r="AD188" s="9">
        <f t="shared" si="50"/>
        <v>18401.083333333332</v>
      </c>
      <c r="AE188">
        <f t="shared" si="45"/>
        <v>2318540</v>
      </c>
      <c r="AF188" s="2">
        <f t="shared" si="51"/>
        <v>10.5</v>
      </c>
      <c r="AG188" t="str">
        <f t="shared" si="52"/>
        <v>306小时</v>
      </c>
      <c r="AH188">
        <f t="shared" si="53"/>
        <v>32</v>
      </c>
      <c r="AI188">
        <f t="shared" si="54"/>
        <v>6</v>
      </c>
      <c r="AJ188">
        <f t="shared" si="46"/>
        <v>24.299999999999997</v>
      </c>
      <c r="AK188">
        <f t="shared" si="55"/>
        <v>13</v>
      </c>
      <c r="AL188">
        <f t="shared" si="47"/>
        <v>10.5</v>
      </c>
      <c r="AM188" s="2">
        <f t="shared" si="56"/>
        <v>6</v>
      </c>
      <c r="AX188">
        <v>185</v>
      </c>
      <c r="AY188">
        <v>185</v>
      </c>
      <c r="AZ188" s="3">
        <f t="shared" si="48"/>
        <v>4325020</v>
      </c>
      <c r="BA188" t="e">
        <f>AZ188/(#REF!*60/5)/60</f>
        <v>#REF!</v>
      </c>
      <c r="BB188">
        <v>90</v>
      </c>
      <c r="BC188">
        <f t="shared" si="49"/>
        <v>5.7685185185185182</v>
      </c>
      <c r="BD188" s="2">
        <f t="shared" si="57"/>
        <v>24.299999999999997</v>
      </c>
      <c r="BE188">
        <f t="shared" si="58"/>
        <v>10.5</v>
      </c>
      <c r="BF188">
        <f t="shared" si="59"/>
        <v>60480</v>
      </c>
    </row>
    <row r="189" spans="1:58" ht="14.25" x14ac:dyDescent="0.2">
      <c r="A189" s="11">
        <v>901</v>
      </c>
      <c r="B189" s="13">
        <v>3</v>
      </c>
      <c r="C189" s="15">
        <v>3</v>
      </c>
      <c r="D189" s="14">
        <f t="shared" si="60"/>
        <v>4</v>
      </c>
      <c r="E189" s="1" t="s">
        <v>2777</v>
      </c>
      <c r="F189" s="1" t="s">
        <v>2778</v>
      </c>
      <c r="G189" s="1" t="s">
        <v>2779</v>
      </c>
      <c r="H189" s="1" t="s">
        <v>2779</v>
      </c>
      <c r="I189" s="1" t="s">
        <v>2780</v>
      </c>
      <c r="J189" s="16" t="s">
        <v>2781</v>
      </c>
      <c r="K189" t="s">
        <v>182</v>
      </c>
      <c r="L189" t="s">
        <v>163</v>
      </c>
      <c r="M189" t="s">
        <v>163</v>
      </c>
      <c r="N189" t="s">
        <v>163</v>
      </c>
      <c r="O189" s="4" t="s">
        <v>463</v>
      </c>
      <c r="P189">
        <v>0</v>
      </c>
      <c r="Q189" s="24">
        <v>18.5</v>
      </c>
      <c r="R189" s="25">
        <v>17.899999999999999</v>
      </c>
      <c r="S189" s="26">
        <v>23</v>
      </c>
      <c r="U189" s="3">
        <v>186</v>
      </c>
      <c r="V189" s="1">
        <v>4394960</v>
      </c>
      <c r="W189" s="1">
        <v>466106</v>
      </c>
      <c r="Y189">
        <v>10</v>
      </c>
      <c r="Z189">
        <v>26</v>
      </c>
      <c r="AA189" s="3">
        <v>20</v>
      </c>
      <c r="AB189" s="3">
        <v>6</v>
      </c>
      <c r="AC189">
        <v>150</v>
      </c>
      <c r="AD189" s="9">
        <f t="shared" si="50"/>
        <v>18057.083333333332</v>
      </c>
      <c r="AE189">
        <f t="shared" si="45"/>
        <v>2318540</v>
      </c>
      <c r="AF189" s="2">
        <f t="shared" si="51"/>
        <v>10.700000000000001</v>
      </c>
      <c r="AG189" t="str">
        <f t="shared" si="52"/>
        <v>300小时</v>
      </c>
      <c r="AH189">
        <f t="shared" si="53"/>
        <v>33</v>
      </c>
      <c r="AI189">
        <f t="shared" si="54"/>
        <v>6</v>
      </c>
      <c r="AJ189">
        <f t="shared" si="46"/>
        <v>24.6</v>
      </c>
      <c r="AK189">
        <f t="shared" si="55"/>
        <v>13</v>
      </c>
      <c r="AL189">
        <f t="shared" si="47"/>
        <v>10.700000000000001</v>
      </c>
      <c r="AM189" s="2">
        <f t="shared" si="56"/>
        <v>6</v>
      </c>
      <c r="AX189">
        <v>186</v>
      </c>
      <c r="AY189">
        <v>186</v>
      </c>
      <c r="AZ189" s="3">
        <f t="shared" si="48"/>
        <v>4394960</v>
      </c>
      <c r="BA189" t="e">
        <f>AZ189/(#REF!*60/5)/60</f>
        <v>#REF!</v>
      </c>
      <c r="BB189">
        <v>90</v>
      </c>
      <c r="BC189">
        <f t="shared" si="49"/>
        <v>5.6606957424714421</v>
      </c>
      <c r="BD189" s="2">
        <f t="shared" si="57"/>
        <v>24.6</v>
      </c>
      <c r="BE189">
        <f t="shared" si="58"/>
        <v>10.700000000000001</v>
      </c>
      <c r="BF189">
        <f t="shared" si="59"/>
        <v>61632.000000000015</v>
      </c>
    </row>
    <row r="190" spans="1:58" ht="14.25" x14ac:dyDescent="0.2">
      <c r="A190" s="11">
        <v>902</v>
      </c>
      <c r="B190" s="13">
        <v>3</v>
      </c>
      <c r="C190" s="15">
        <v>3</v>
      </c>
      <c r="D190" s="14">
        <f t="shared" si="60"/>
        <v>4</v>
      </c>
      <c r="E190" s="1" t="s">
        <v>2777</v>
      </c>
      <c r="F190" s="1" t="s">
        <v>2782</v>
      </c>
      <c r="G190" s="1" t="s">
        <v>2779</v>
      </c>
      <c r="H190" s="1" t="s">
        <v>2779</v>
      </c>
      <c r="I190" s="1" t="s">
        <v>2780</v>
      </c>
      <c r="J190" s="16" t="s">
        <v>2781</v>
      </c>
      <c r="K190" t="s">
        <v>162</v>
      </c>
      <c r="L190" t="s">
        <v>163</v>
      </c>
      <c r="M190" t="s">
        <v>163</v>
      </c>
      <c r="N190" t="s">
        <v>163</v>
      </c>
      <c r="O190" s="4" t="s">
        <v>463</v>
      </c>
      <c r="P190">
        <v>0</v>
      </c>
      <c r="Q190" s="24">
        <v>18.5</v>
      </c>
      <c r="R190" s="25">
        <v>17.899999999999999</v>
      </c>
      <c r="S190" s="26">
        <v>23</v>
      </c>
      <c r="U190" s="3">
        <v>187</v>
      </c>
      <c r="V190" s="1">
        <v>4465650</v>
      </c>
      <c r="W190" s="1">
        <v>466851</v>
      </c>
      <c r="Y190">
        <v>10</v>
      </c>
      <c r="Z190">
        <v>27</v>
      </c>
      <c r="AA190" s="3">
        <v>20</v>
      </c>
      <c r="AB190" s="3">
        <v>6</v>
      </c>
      <c r="AC190">
        <v>152</v>
      </c>
      <c r="AD190" s="9">
        <f t="shared" si="50"/>
        <v>18781.666666666668</v>
      </c>
      <c r="AE190">
        <f t="shared" si="45"/>
        <v>2411570</v>
      </c>
      <c r="AF190" s="2">
        <f t="shared" si="51"/>
        <v>10.700000000000001</v>
      </c>
      <c r="AG190" t="str">
        <f t="shared" si="52"/>
        <v>313小时</v>
      </c>
      <c r="AH190">
        <f t="shared" si="53"/>
        <v>33</v>
      </c>
      <c r="AI190">
        <f t="shared" si="54"/>
        <v>6</v>
      </c>
      <c r="AJ190">
        <f t="shared" si="46"/>
        <v>24.6</v>
      </c>
      <c r="AK190">
        <f t="shared" si="55"/>
        <v>13</v>
      </c>
      <c r="AL190">
        <f t="shared" si="47"/>
        <v>10.700000000000001</v>
      </c>
      <c r="AM190" s="2">
        <f t="shared" si="56"/>
        <v>6</v>
      </c>
      <c r="AX190">
        <v>187</v>
      </c>
      <c r="AY190">
        <v>187</v>
      </c>
      <c r="AZ190" s="3">
        <f t="shared" si="48"/>
        <v>4465650</v>
      </c>
      <c r="BA190" t="e">
        <f>AZ190/(#REF!*60/5)/60</f>
        <v>#REF!</v>
      </c>
      <c r="BB190">
        <v>90</v>
      </c>
      <c r="BC190">
        <f t="shared" si="49"/>
        <v>5.6606957424714421</v>
      </c>
      <c r="BD190" s="2">
        <f t="shared" si="57"/>
        <v>24.6</v>
      </c>
      <c r="BE190">
        <f t="shared" si="58"/>
        <v>10.700000000000001</v>
      </c>
      <c r="BF190">
        <f t="shared" si="59"/>
        <v>61632.000000000015</v>
      </c>
    </row>
    <row r="191" spans="1:58" ht="14.25" x14ac:dyDescent="0.2">
      <c r="A191" s="11">
        <v>903</v>
      </c>
      <c r="B191" s="13">
        <v>3</v>
      </c>
      <c r="C191" s="15">
        <v>3</v>
      </c>
      <c r="D191" s="14">
        <f t="shared" si="60"/>
        <v>4</v>
      </c>
      <c r="E191" s="1" t="s">
        <v>2777</v>
      </c>
      <c r="F191" s="1" t="s">
        <v>2783</v>
      </c>
      <c r="G191" s="1" t="s">
        <v>2779</v>
      </c>
      <c r="H191" s="1" t="s">
        <v>2779</v>
      </c>
      <c r="I191" s="1" t="s">
        <v>2780</v>
      </c>
      <c r="J191" s="16" t="s">
        <v>2781</v>
      </c>
      <c r="K191" t="s">
        <v>177</v>
      </c>
      <c r="L191" t="s">
        <v>163</v>
      </c>
      <c r="M191" t="s">
        <v>163</v>
      </c>
      <c r="N191" t="s">
        <v>163</v>
      </c>
      <c r="O191" s="4" t="s">
        <v>465</v>
      </c>
      <c r="P191">
        <v>0</v>
      </c>
      <c r="Q191" s="24">
        <v>18.5</v>
      </c>
      <c r="R191" s="25">
        <v>17.899999999999999</v>
      </c>
      <c r="S191" s="26">
        <v>23</v>
      </c>
      <c r="U191" s="3">
        <v>188</v>
      </c>
      <c r="V191" s="1">
        <v>4537094</v>
      </c>
      <c r="W191" s="1">
        <v>467600</v>
      </c>
      <c r="Y191">
        <v>10</v>
      </c>
      <c r="Z191">
        <v>28</v>
      </c>
      <c r="AA191" s="3">
        <v>20</v>
      </c>
      <c r="AB191" s="3">
        <v>6</v>
      </c>
      <c r="AC191">
        <v>152</v>
      </c>
      <c r="AD191" s="9">
        <f t="shared" si="50"/>
        <v>18781.666666666668</v>
      </c>
      <c r="AE191">
        <f t="shared" si="45"/>
        <v>2411570</v>
      </c>
      <c r="AF191" s="2">
        <f t="shared" si="51"/>
        <v>10.700000000000001</v>
      </c>
      <c r="AG191" t="str">
        <f t="shared" si="52"/>
        <v>313小时</v>
      </c>
      <c r="AH191">
        <f t="shared" si="53"/>
        <v>33</v>
      </c>
      <c r="AI191">
        <f t="shared" si="54"/>
        <v>6</v>
      </c>
      <c r="AJ191">
        <f t="shared" si="46"/>
        <v>24.6</v>
      </c>
      <c r="AK191">
        <f t="shared" si="55"/>
        <v>13</v>
      </c>
      <c r="AL191">
        <f t="shared" si="47"/>
        <v>10.700000000000001</v>
      </c>
      <c r="AM191" s="2">
        <f t="shared" si="56"/>
        <v>6</v>
      </c>
      <c r="AX191">
        <v>188</v>
      </c>
      <c r="AY191">
        <v>188</v>
      </c>
      <c r="AZ191" s="3">
        <f t="shared" si="48"/>
        <v>4537094</v>
      </c>
      <c r="BA191" t="e">
        <f>AZ191/(#REF!*60/5)/60</f>
        <v>#REF!</v>
      </c>
      <c r="BB191">
        <v>90</v>
      </c>
      <c r="BC191">
        <f t="shared" si="49"/>
        <v>5.6606957424714421</v>
      </c>
      <c r="BD191" s="2">
        <f t="shared" si="57"/>
        <v>24.6</v>
      </c>
      <c r="BE191">
        <f t="shared" si="58"/>
        <v>10.700000000000001</v>
      </c>
      <c r="BF191">
        <f t="shared" si="59"/>
        <v>61632.000000000015</v>
      </c>
    </row>
    <row r="192" spans="1:58" ht="14.25" x14ac:dyDescent="0.2">
      <c r="A192" s="11">
        <v>904</v>
      </c>
      <c r="B192" s="13">
        <v>3</v>
      </c>
      <c r="C192" s="15">
        <v>3</v>
      </c>
      <c r="D192" s="14">
        <f t="shared" si="60"/>
        <v>4</v>
      </c>
      <c r="E192" s="1" t="s">
        <v>2777</v>
      </c>
      <c r="F192" s="1" t="s">
        <v>2784</v>
      </c>
      <c r="G192" s="1" t="s">
        <v>2779</v>
      </c>
      <c r="H192" s="1" t="s">
        <v>2779</v>
      </c>
      <c r="I192" s="1" t="s">
        <v>2780</v>
      </c>
      <c r="J192" s="16" t="s">
        <v>2781</v>
      </c>
      <c r="K192" t="s">
        <v>174</v>
      </c>
      <c r="L192" t="s">
        <v>163</v>
      </c>
      <c r="M192" t="s">
        <v>163</v>
      </c>
      <c r="N192" t="s">
        <v>163</v>
      </c>
      <c r="O192" s="4" t="s">
        <v>467</v>
      </c>
      <c r="P192">
        <v>0</v>
      </c>
      <c r="Q192" s="24">
        <v>18.5</v>
      </c>
      <c r="R192" s="25">
        <v>17.899999999999999</v>
      </c>
      <c r="S192" s="26">
        <v>23</v>
      </c>
      <c r="U192" s="3">
        <v>189</v>
      </c>
      <c r="V192" s="1">
        <v>4609296</v>
      </c>
      <c r="W192" s="1">
        <v>468353</v>
      </c>
      <c r="Y192">
        <v>10</v>
      </c>
      <c r="Z192">
        <v>29</v>
      </c>
      <c r="AA192" s="3">
        <v>20</v>
      </c>
      <c r="AB192" s="3">
        <v>6</v>
      </c>
      <c r="AC192">
        <v>152</v>
      </c>
      <c r="AD192" s="9">
        <f t="shared" si="50"/>
        <v>18781.666666666668</v>
      </c>
      <c r="AE192">
        <f t="shared" si="45"/>
        <v>2411570</v>
      </c>
      <c r="AF192" s="2">
        <f t="shared" si="51"/>
        <v>10.700000000000001</v>
      </c>
      <c r="AG192" t="str">
        <f t="shared" si="52"/>
        <v>313小时</v>
      </c>
      <c r="AH192">
        <f t="shared" si="53"/>
        <v>33</v>
      </c>
      <c r="AI192">
        <f t="shared" si="54"/>
        <v>6</v>
      </c>
      <c r="AJ192">
        <f t="shared" si="46"/>
        <v>24.6</v>
      </c>
      <c r="AK192">
        <f t="shared" si="55"/>
        <v>13</v>
      </c>
      <c r="AL192">
        <f t="shared" si="47"/>
        <v>10.700000000000001</v>
      </c>
      <c r="AM192" s="2">
        <f t="shared" si="56"/>
        <v>6</v>
      </c>
      <c r="AX192">
        <v>189</v>
      </c>
      <c r="AY192">
        <v>189</v>
      </c>
      <c r="AZ192" s="3">
        <f t="shared" si="48"/>
        <v>4609296</v>
      </c>
      <c r="BA192" t="e">
        <f>AZ192/(#REF!*60/5)/60</f>
        <v>#REF!</v>
      </c>
      <c r="BB192">
        <v>90</v>
      </c>
      <c r="BC192">
        <f t="shared" si="49"/>
        <v>5.6606957424714421</v>
      </c>
      <c r="BD192" s="2">
        <f t="shared" si="57"/>
        <v>24.6</v>
      </c>
      <c r="BE192">
        <f t="shared" si="58"/>
        <v>10.700000000000001</v>
      </c>
      <c r="BF192">
        <f t="shared" si="59"/>
        <v>61632.000000000015</v>
      </c>
    </row>
    <row r="193" spans="1:58" ht="14.25" x14ac:dyDescent="0.2">
      <c r="A193" s="11">
        <v>905</v>
      </c>
      <c r="B193" s="13">
        <v>3</v>
      </c>
      <c r="C193" s="15">
        <v>3</v>
      </c>
      <c r="D193" s="14">
        <f t="shared" si="60"/>
        <v>4</v>
      </c>
      <c r="E193" s="1" t="s">
        <v>2785</v>
      </c>
      <c r="F193" s="1" t="s">
        <v>2786</v>
      </c>
      <c r="G193" s="1" t="s">
        <v>2787</v>
      </c>
      <c r="H193" s="1" t="s">
        <v>2788</v>
      </c>
      <c r="I193" s="1" t="s">
        <v>2697</v>
      </c>
      <c r="J193" s="16" t="s">
        <v>2852</v>
      </c>
      <c r="K193" t="s">
        <v>166</v>
      </c>
      <c r="L193" t="s">
        <v>163</v>
      </c>
      <c r="M193" t="s">
        <v>163</v>
      </c>
      <c r="N193" t="s">
        <v>163</v>
      </c>
      <c r="O193" s="6" t="s">
        <v>467</v>
      </c>
      <c r="P193">
        <v>0</v>
      </c>
      <c r="Q193" s="24">
        <v>18.5</v>
      </c>
      <c r="R193" s="25">
        <v>17.899999999999999</v>
      </c>
      <c r="S193" s="26">
        <v>23</v>
      </c>
      <c r="U193" s="3">
        <v>190</v>
      </c>
      <c r="V193" s="1">
        <v>4682260</v>
      </c>
      <c r="W193" s="1">
        <v>512010</v>
      </c>
      <c r="Y193">
        <v>10</v>
      </c>
      <c r="Z193">
        <v>30</v>
      </c>
      <c r="AA193" s="3">
        <v>25</v>
      </c>
      <c r="AB193" s="3">
        <v>6</v>
      </c>
      <c r="AC193">
        <v>155</v>
      </c>
      <c r="AD193" s="9">
        <f t="shared" si="50"/>
        <v>19904.416666666664</v>
      </c>
      <c r="AE193">
        <f t="shared" si="45"/>
        <v>2555730</v>
      </c>
      <c r="AF193" s="2">
        <f t="shared" si="51"/>
        <v>10.700000000000001</v>
      </c>
      <c r="AG193" t="str">
        <f t="shared" si="52"/>
        <v>331小时</v>
      </c>
      <c r="AH193">
        <f t="shared" si="53"/>
        <v>33</v>
      </c>
      <c r="AI193">
        <f t="shared" si="54"/>
        <v>6</v>
      </c>
      <c r="AJ193">
        <f t="shared" si="46"/>
        <v>24.6</v>
      </c>
      <c r="AK193">
        <f t="shared" si="55"/>
        <v>13</v>
      </c>
      <c r="AL193">
        <f t="shared" si="47"/>
        <v>10.700000000000001</v>
      </c>
      <c r="AM193" s="2">
        <f t="shared" si="56"/>
        <v>6</v>
      </c>
      <c r="AX193">
        <v>190</v>
      </c>
      <c r="AY193">
        <v>190</v>
      </c>
      <c r="AZ193" s="3">
        <f t="shared" si="48"/>
        <v>4682260</v>
      </c>
      <c r="BA193" t="e">
        <f>AZ193/(#REF!*60/5)/60</f>
        <v>#REF!</v>
      </c>
      <c r="BB193">
        <v>90</v>
      </c>
      <c r="BC193">
        <f t="shared" si="49"/>
        <v>5.6606957424714421</v>
      </c>
      <c r="BD193" s="2">
        <f t="shared" si="57"/>
        <v>24.6</v>
      </c>
      <c r="BE193">
        <f t="shared" si="58"/>
        <v>10.700000000000001</v>
      </c>
      <c r="BF193">
        <f t="shared" si="59"/>
        <v>61632.000000000015</v>
      </c>
    </row>
    <row r="194" spans="1:58" ht="14.25" x14ac:dyDescent="0.2">
      <c r="A194" s="11">
        <v>906</v>
      </c>
      <c r="B194" s="13">
        <v>3</v>
      </c>
      <c r="C194" s="15">
        <v>3</v>
      </c>
      <c r="D194" s="14">
        <f t="shared" si="60"/>
        <v>4</v>
      </c>
      <c r="E194" s="1" t="s">
        <v>2777</v>
      </c>
      <c r="F194" s="1" t="s">
        <v>2789</v>
      </c>
      <c r="G194" s="1" t="s">
        <v>2779</v>
      </c>
      <c r="H194" s="1" t="s">
        <v>2779</v>
      </c>
      <c r="I194" s="1" t="s">
        <v>2780</v>
      </c>
      <c r="J194" s="16" t="s">
        <v>2790</v>
      </c>
      <c r="K194" t="s">
        <v>168</v>
      </c>
      <c r="L194" t="s">
        <v>163</v>
      </c>
      <c r="M194" t="s">
        <v>163</v>
      </c>
      <c r="N194" t="s">
        <v>163</v>
      </c>
      <c r="O194" s="6" t="s">
        <v>469</v>
      </c>
      <c r="P194">
        <v>0</v>
      </c>
      <c r="Q194" s="24">
        <v>18.8</v>
      </c>
      <c r="R194" s="25">
        <v>18.3</v>
      </c>
      <c r="S194" s="26">
        <v>23.3</v>
      </c>
      <c r="U194" s="3">
        <v>191</v>
      </c>
      <c r="V194" s="1">
        <v>4755990</v>
      </c>
      <c r="W194" s="1">
        <v>512771</v>
      </c>
      <c r="Y194">
        <v>1</v>
      </c>
      <c r="Z194">
        <v>1</v>
      </c>
      <c r="AA194" s="3">
        <v>20</v>
      </c>
      <c r="AB194" s="3">
        <v>6</v>
      </c>
      <c r="AC194">
        <v>155</v>
      </c>
      <c r="AD194" s="9">
        <f t="shared" ref="AD194:AD257" si="61">INT(AE194/AF194)/60*5</f>
        <v>19361.583333333332</v>
      </c>
      <c r="AE194">
        <f t="shared" si="45"/>
        <v>2555730</v>
      </c>
      <c r="AF194" s="2">
        <f t="shared" si="51"/>
        <v>11</v>
      </c>
      <c r="AG194" t="str">
        <f t="shared" si="52"/>
        <v>322小时</v>
      </c>
      <c r="AH194">
        <f t="shared" si="53"/>
        <v>33</v>
      </c>
      <c r="AI194">
        <f t="shared" si="54"/>
        <v>6</v>
      </c>
      <c r="AJ194">
        <f t="shared" si="46"/>
        <v>25</v>
      </c>
      <c r="AK194">
        <f t="shared" si="55"/>
        <v>13</v>
      </c>
      <c r="AL194">
        <f t="shared" si="47"/>
        <v>11</v>
      </c>
      <c r="AM194" s="2">
        <f t="shared" si="56"/>
        <v>6</v>
      </c>
      <c r="AX194">
        <v>191</v>
      </c>
      <c r="AY194">
        <v>191</v>
      </c>
      <c r="AZ194" s="3">
        <f t="shared" si="48"/>
        <v>4755990</v>
      </c>
      <c r="BA194" t="e">
        <f>AZ194/(#REF!*60/5)/60</f>
        <v>#REF!</v>
      </c>
      <c r="BB194" s="2">
        <f>100+FLOOR((AX194-190)/30,1)*5</f>
        <v>100</v>
      </c>
      <c r="BC194">
        <f t="shared" si="49"/>
        <v>7.783459595959596</v>
      </c>
      <c r="BD194" s="2">
        <f t="shared" si="57"/>
        <v>25</v>
      </c>
      <c r="BE194">
        <f t="shared" si="58"/>
        <v>11</v>
      </c>
      <c r="BF194">
        <f t="shared" si="59"/>
        <v>63360</v>
      </c>
    </row>
    <row r="195" spans="1:58" ht="14.25" x14ac:dyDescent="0.2">
      <c r="A195" s="11">
        <v>907</v>
      </c>
      <c r="B195" s="13">
        <v>3</v>
      </c>
      <c r="C195" s="15">
        <v>3</v>
      </c>
      <c r="D195" s="14">
        <f t="shared" si="60"/>
        <v>4</v>
      </c>
      <c r="E195" s="1" t="s">
        <v>2777</v>
      </c>
      <c r="F195" s="1" t="s">
        <v>2791</v>
      </c>
      <c r="G195" s="1" t="s">
        <v>2779</v>
      </c>
      <c r="H195" s="1" t="s">
        <v>2779</v>
      </c>
      <c r="I195" s="1" t="s">
        <v>2780</v>
      </c>
      <c r="J195" s="16" t="s">
        <v>2790</v>
      </c>
      <c r="K195" t="s">
        <v>175</v>
      </c>
      <c r="L195" t="s">
        <v>164</v>
      </c>
      <c r="M195" t="s">
        <v>163</v>
      </c>
      <c r="N195" t="s">
        <v>167</v>
      </c>
      <c r="O195" s="6" t="s">
        <v>471</v>
      </c>
      <c r="P195">
        <v>0</v>
      </c>
      <c r="Q195" s="24">
        <v>18.8</v>
      </c>
      <c r="R195" s="25">
        <v>18.3</v>
      </c>
      <c r="S195" s="26">
        <v>23.3</v>
      </c>
      <c r="U195" s="3">
        <v>192</v>
      </c>
      <c r="V195" s="1">
        <v>4830490</v>
      </c>
      <c r="W195" s="1">
        <v>513536</v>
      </c>
      <c r="Y195">
        <v>1</v>
      </c>
      <c r="Z195">
        <v>2</v>
      </c>
      <c r="AA195" s="3">
        <v>20</v>
      </c>
      <c r="AB195" s="3">
        <v>6</v>
      </c>
      <c r="AC195">
        <v>155</v>
      </c>
      <c r="AD195" s="9">
        <f t="shared" si="61"/>
        <v>19361.583333333332</v>
      </c>
      <c r="AE195">
        <f t="shared" si="45"/>
        <v>2555730</v>
      </c>
      <c r="AF195" s="2">
        <f t="shared" si="51"/>
        <v>11</v>
      </c>
      <c r="AG195" t="str">
        <f t="shared" si="52"/>
        <v>322小时</v>
      </c>
      <c r="AH195">
        <f t="shared" si="53"/>
        <v>33</v>
      </c>
      <c r="AI195">
        <f t="shared" si="54"/>
        <v>6</v>
      </c>
      <c r="AJ195">
        <f t="shared" si="46"/>
        <v>25</v>
      </c>
      <c r="AK195">
        <f t="shared" si="55"/>
        <v>13</v>
      </c>
      <c r="AL195">
        <f t="shared" si="47"/>
        <v>11</v>
      </c>
      <c r="AM195" s="2">
        <f t="shared" si="56"/>
        <v>6</v>
      </c>
      <c r="AX195">
        <v>192</v>
      </c>
      <c r="AY195">
        <v>192</v>
      </c>
      <c r="AZ195" s="3">
        <f t="shared" si="48"/>
        <v>4830490</v>
      </c>
      <c r="BA195" t="e">
        <f>AZ195/(#REF!*60/5)/60</f>
        <v>#REF!</v>
      </c>
      <c r="BB195" s="2">
        <f t="shared" ref="BB195:BB258" si="62">100+FLOOR((AX195-190)/30,1)*5</f>
        <v>100</v>
      </c>
      <c r="BC195">
        <f t="shared" si="49"/>
        <v>7.783459595959596</v>
      </c>
      <c r="BD195" s="2">
        <f t="shared" si="57"/>
        <v>25</v>
      </c>
      <c r="BE195">
        <f t="shared" si="58"/>
        <v>11</v>
      </c>
      <c r="BF195">
        <f t="shared" si="59"/>
        <v>63360</v>
      </c>
    </row>
    <row r="196" spans="1:58" ht="14.25" x14ac:dyDescent="0.2">
      <c r="A196" s="11">
        <v>908</v>
      </c>
      <c r="B196" s="13">
        <v>3</v>
      </c>
      <c r="C196" s="15">
        <v>3</v>
      </c>
      <c r="D196" s="14">
        <f t="shared" si="60"/>
        <v>4</v>
      </c>
      <c r="E196" s="1" t="s">
        <v>2777</v>
      </c>
      <c r="F196" s="1" t="s">
        <v>2792</v>
      </c>
      <c r="G196" s="1" t="s">
        <v>2779</v>
      </c>
      <c r="H196" s="1" t="s">
        <v>2779</v>
      </c>
      <c r="I196" s="1" t="s">
        <v>2780</v>
      </c>
      <c r="J196" s="16" t="s">
        <v>2790</v>
      </c>
      <c r="K196" t="s">
        <v>179</v>
      </c>
      <c r="L196" t="s">
        <v>163</v>
      </c>
      <c r="M196" t="s">
        <v>163</v>
      </c>
      <c r="N196" t="s">
        <v>163</v>
      </c>
      <c r="O196" s="6" t="s">
        <v>473</v>
      </c>
      <c r="P196">
        <v>0</v>
      </c>
      <c r="Q196" s="24">
        <v>18.8</v>
      </c>
      <c r="R196" s="25">
        <v>18.3</v>
      </c>
      <c r="S196" s="26">
        <v>23.3</v>
      </c>
      <c r="U196" s="3">
        <v>193</v>
      </c>
      <c r="V196" s="1">
        <v>4905764</v>
      </c>
      <c r="W196" s="1">
        <v>514305</v>
      </c>
      <c r="Y196">
        <v>1</v>
      </c>
      <c r="Z196">
        <v>3</v>
      </c>
      <c r="AA196" s="3">
        <v>20</v>
      </c>
      <c r="AB196" s="3">
        <v>6</v>
      </c>
      <c r="AC196">
        <v>155</v>
      </c>
      <c r="AD196" s="9">
        <f t="shared" si="61"/>
        <v>19361.583333333332</v>
      </c>
      <c r="AE196">
        <f t="shared" ref="AE196:AE259" si="63">INDEX(V:V,MATCH(AC196,U:U,0))</f>
        <v>2555730</v>
      </c>
      <c r="AF196" s="2">
        <f t="shared" si="51"/>
        <v>11</v>
      </c>
      <c r="AG196" t="str">
        <f t="shared" si="52"/>
        <v>322小时</v>
      </c>
      <c r="AH196">
        <f t="shared" si="53"/>
        <v>33</v>
      </c>
      <c r="AI196">
        <f t="shared" si="54"/>
        <v>6</v>
      </c>
      <c r="AJ196">
        <f t="shared" ref="AJ196:AJ259" si="64">BD196</f>
        <v>25</v>
      </c>
      <c r="AK196">
        <f t="shared" si="55"/>
        <v>13</v>
      </c>
      <c r="AL196">
        <f t="shared" ref="AL196:AL259" si="65">BE196</f>
        <v>11</v>
      </c>
      <c r="AM196" s="2">
        <f t="shared" si="56"/>
        <v>6</v>
      </c>
      <c r="AX196">
        <v>193</v>
      </c>
      <c r="AY196">
        <v>193</v>
      </c>
      <c r="AZ196" s="3">
        <f t="shared" ref="AZ196:AZ259" si="66">INDEX($V:$V,MATCH(AY196,$U:$U,0))</f>
        <v>4905764</v>
      </c>
      <c r="BA196" t="e">
        <f>AZ196/(#REF!*60/5)/60</f>
        <v>#REF!</v>
      </c>
      <c r="BB196" s="2">
        <f t="shared" si="62"/>
        <v>100</v>
      </c>
      <c r="BC196">
        <f t="shared" ref="BC196:BC259" si="67">INDEX($W:$W,MATCH(BB196,$U:$U,0))/(BE196*60*60/5)</f>
        <v>7.783459595959596</v>
      </c>
      <c r="BD196" s="2">
        <f t="shared" si="57"/>
        <v>25</v>
      </c>
      <c r="BE196">
        <f t="shared" si="58"/>
        <v>11</v>
      </c>
      <c r="BF196">
        <f t="shared" si="59"/>
        <v>63360</v>
      </c>
    </row>
    <row r="197" spans="1:58" ht="14.25" x14ac:dyDescent="0.2">
      <c r="A197" s="11">
        <v>909</v>
      </c>
      <c r="B197" s="13">
        <v>3</v>
      </c>
      <c r="C197" s="15">
        <v>3</v>
      </c>
      <c r="D197" s="14">
        <f t="shared" si="60"/>
        <v>4</v>
      </c>
      <c r="E197" s="1" t="s">
        <v>2777</v>
      </c>
      <c r="F197" s="1" t="s">
        <v>2793</v>
      </c>
      <c r="G197" s="1" t="s">
        <v>2779</v>
      </c>
      <c r="H197" s="1" t="s">
        <v>2779</v>
      </c>
      <c r="I197" s="1" t="s">
        <v>2780</v>
      </c>
      <c r="J197" s="16" t="s">
        <v>2790</v>
      </c>
      <c r="K197" t="s">
        <v>177</v>
      </c>
      <c r="L197" t="s">
        <v>163</v>
      </c>
      <c r="M197" t="s">
        <v>163</v>
      </c>
      <c r="N197" t="s">
        <v>163</v>
      </c>
      <c r="O197" s="6" t="s">
        <v>473</v>
      </c>
      <c r="P197">
        <v>0</v>
      </c>
      <c r="Q197" s="24">
        <v>18.8</v>
      </c>
      <c r="R197" s="25">
        <v>18.3</v>
      </c>
      <c r="S197" s="26">
        <v>23.3</v>
      </c>
      <c r="U197" s="3">
        <v>194</v>
      </c>
      <c r="V197" s="1">
        <v>4981816</v>
      </c>
      <c r="W197" s="1">
        <v>515078</v>
      </c>
      <c r="Y197">
        <v>1</v>
      </c>
      <c r="Z197">
        <v>4</v>
      </c>
      <c r="AA197" s="3">
        <v>20</v>
      </c>
      <c r="AB197" s="3">
        <v>6</v>
      </c>
      <c r="AC197">
        <v>155</v>
      </c>
      <c r="AD197" s="9">
        <f t="shared" si="61"/>
        <v>19361.583333333332</v>
      </c>
      <c r="AE197">
        <f t="shared" si="63"/>
        <v>2555730</v>
      </c>
      <c r="AF197" s="2">
        <f t="shared" ref="AF197:AF260" si="68">BE197</f>
        <v>11</v>
      </c>
      <c r="AG197" t="str">
        <f t="shared" ref="AG197:AG260" si="69">IF(AD197&lt;60,CONCATENATE(INT(AD197),"分钟"),CONCATENATE(INT(AD197/60),"小时"))</f>
        <v>322小时</v>
      </c>
      <c r="AH197">
        <f t="shared" ref="AH197:AH260" si="70">ROUNDUP(AF197*3,0)</f>
        <v>33</v>
      </c>
      <c r="AI197">
        <f t="shared" ref="AI197:AI260" si="71">ROUNDUP(AH197/AB197,0)</f>
        <v>6</v>
      </c>
      <c r="AJ197">
        <f t="shared" si="64"/>
        <v>25</v>
      </c>
      <c r="AK197">
        <f t="shared" ref="AK197:AK260" si="72">ROUNDUP(AJ197*3/AB197,0)</f>
        <v>13</v>
      </c>
      <c r="AL197">
        <f t="shared" si="65"/>
        <v>11</v>
      </c>
      <c r="AM197" s="2">
        <f t="shared" ref="AM197:AM260" si="73">ROUNDUP(AL197*3/AB197,0)</f>
        <v>6</v>
      </c>
      <c r="AX197">
        <v>194</v>
      </c>
      <c r="AY197">
        <v>194</v>
      </c>
      <c r="AZ197" s="3">
        <f t="shared" si="66"/>
        <v>4981816</v>
      </c>
      <c r="BA197" t="e">
        <f>AZ197/(#REF!*60/5)/60</f>
        <v>#REF!</v>
      </c>
      <c r="BB197" s="2">
        <f t="shared" si="62"/>
        <v>100</v>
      </c>
      <c r="BC197">
        <f t="shared" si="67"/>
        <v>7.783459595959596</v>
      </c>
      <c r="BD197" s="2">
        <f t="shared" ref="BD197:BD260" si="74">ROUNDUP(BE197*1.5,1)+8.5</f>
        <v>25</v>
      </c>
      <c r="BE197">
        <f t="shared" ref="BE197:BE260" si="75">FLOOR(ROUNDUP(AX197/5,0)*0.25+1.25,0.1)</f>
        <v>11</v>
      </c>
      <c r="BF197">
        <f t="shared" ref="BF197:BF260" si="76">BE197*8*60*60/5</f>
        <v>63360</v>
      </c>
    </row>
    <row r="198" spans="1:58" ht="14.25" x14ac:dyDescent="0.2">
      <c r="A198" s="11">
        <v>910</v>
      </c>
      <c r="B198" s="13">
        <v>3</v>
      </c>
      <c r="C198" s="15">
        <v>3</v>
      </c>
      <c r="D198" s="14">
        <f t="shared" si="60"/>
        <v>4</v>
      </c>
      <c r="E198" s="1" t="s">
        <v>2785</v>
      </c>
      <c r="F198" s="1" t="s">
        <v>2786</v>
      </c>
      <c r="G198" s="1" t="s">
        <v>2794</v>
      </c>
      <c r="H198" s="1" t="s">
        <v>2788</v>
      </c>
      <c r="I198" s="1" t="s">
        <v>2697</v>
      </c>
      <c r="J198" s="16" t="s">
        <v>2853</v>
      </c>
      <c r="K198" t="s">
        <v>174</v>
      </c>
      <c r="L198" t="s">
        <v>163</v>
      </c>
      <c r="M198" t="s">
        <v>163</v>
      </c>
      <c r="N198" t="s">
        <v>163</v>
      </c>
      <c r="O198" s="6" t="s">
        <v>475</v>
      </c>
      <c r="P198">
        <v>0</v>
      </c>
      <c r="Q198" s="24">
        <v>18.8</v>
      </c>
      <c r="R198" s="25">
        <v>18.3</v>
      </c>
      <c r="S198" s="26">
        <v>23.3</v>
      </c>
      <c r="U198" s="3">
        <v>195</v>
      </c>
      <c r="V198" s="1">
        <v>5058650</v>
      </c>
      <c r="W198" s="1">
        <v>555855</v>
      </c>
      <c r="Y198">
        <v>1</v>
      </c>
      <c r="Z198">
        <v>5</v>
      </c>
      <c r="AA198" s="3">
        <v>25</v>
      </c>
      <c r="AB198" s="3">
        <v>6</v>
      </c>
      <c r="AC198">
        <v>155</v>
      </c>
      <c r="AD198" s="9">
        <f t="shared" si="61"/>
        <v>19361.583333333332</v>
      </c>
      <c r="AE198">
        <f t="shared" si="63"/>
        <v>2555730</v>
      </c>
      <c r="AF198" s="2">
        <f t="shared" si="68"/>
        <v>11</v>
      </c>
      <c r="AG198" t="str">
        <f t="shared" si="69"/>
        <v>322小时</v>
      </c>
      <c r="AH198">
        <f t="shared" si="70"/>
        <v>33</v>
      </c>
      <c r="AI198">
        <f t="shared" si="71"/>
        <v>6</v>
      </c>
      <c r="AJ198">
        <f t="shared" si="64"/>
        <v>25</v>
      </c>
      <c r="AK198">
        <f t="shared" si="72"/>
        <v>13</v>
      </c>
      <c r="AL198">
        <f t="shared" si="65"/>
        <v>11</v>
      </c>
      <c r="AM198" s="2">
        <f t="shared" si="73"/>
        <v>6</v>
      </c>
      <c r="AX198">
        <v>195</v>
      </c>
      <c r="AY198">
        <v>195</v>
      </c>
      <c r="AZ198" s="3">
        <f t="shared" si="66"/>
        <v>5058650</v>
      </c>
      <c r="BA198" t="e">
        <f>AZ198/(#REF!*60/5)/60</f>
        <v>#REF!</v>
      </c>
      <c r="BB198" s="2">
        <f t="shared" si="62"/>
        <v>100</v>
      </c>
      <c r="BC198">
        <f t="shared" si="67"/>
        <v>7.783459595959596</v>
      </c>
      <c r="BD198" s="2">
        <f t="shared" si="74"/>
        <v>25</v>
      </c>
      <c r="BE198">
        <f t="shared" si="75"/>
        <v>11</v>
      </c>
      <c r="BF198">
        <f t="shared" si="76"/>
        <v>63360</v>
      </c>
    </row>
    <row r="199" spans="1:58" ht="14.25" x14ac:dyDescent="0.2">
      <c r="A199" s="11">
        <v>911</v>
      </c>
      <c r="B199" s="13">
        <v>3</v>
      </c>
      <c r="C199" s="15">
        <v>3</v>
      </c>
      <c r="D199" s="14">
        <f t="shared" si="60"/>
        <v>4</v>
      </c>
      <c r="E199" s="1" t="s">
        <v>2777</v>
      </c>
      <c r="F199" s="1" t="s">
        <v>2789</v>
      </c>
      <c r="G199" s="1" t="s">
        <v>2779</v>
      </c>
      <c r="H199" s="1" t="s">
        <v>2779</v>
      </c>
      <c r="I199" s="1" t="s">
        <v>2780</v>
      </c>
      <c r="J199" s="16" t="s">
        <v>2790</v>
      </c>
      <c r="K199" t="s">
        <v>182</v>
      </c>
      <c r="L199" t="s">
        <v>163</v>
      </c>
      <c r="M199" t="s">
        <v>163</v>
      </c>
      <c r="N199" t="s">
        <v>163</v>
      </c>
      <c r="O199" s="6" t="s">
        <v>477</v>
      </c>
      <c r="P199">
        <v>0</v>
      </c>
      <c r="Q199" s="24">
        <v>19.2</v>
      </c>
      <c r="R199" s="25">
        <v>18.8</v>
      </c>
      <c r="S199" s="26">
        <v>23.7</v>
      </c>
      <c r="U199" s="3">
        <v>196</v>
      </c>
      <c r="V199" s="1">
        <v>5136270</v>
      </c>
      <c r="W199" s="1">
        <v>556636</v>
      </c>
      <c r="Y199">
        <v>1</v>
      </c>
      <c r="Z199">
        <v>6</v>
      </c>
      <c r="AA199" s="3">
        <v>20</v>
      </c>
      <c r="AB199" s="3">
        <v>6</v>
      </c>
      <c r="AC199">
        <v>155</v>
      </c>
      <c r="AD199" s="9">
        <f t="shared" si="61"/>
        <v>19015.833333333332</v>
      </c>
      <c r="AE199">
        <f t="shared" si="63"/>
        <v>2555730</v>
      </c>
      <c r="AF199" s="2">
        <f t="shared" si="68"/>
        <v>11.200000000000001</v>
      </c>
      <c r="AG199" t="str">
        <f t="shared" si="69"/>
        <v>316小时</v>
      </c>
      <c r="AH199">
        <f t="shared" si="70"/>
        <v>34</v>
      </c>
      <c r="AI199">
        <f t="shared" si="71"/>
        <v>6</v>
      </c>
      <c r="AJ199">
        <f t="shared" si="64"/>
        <v>25.3</v>
      </c>
      <c r="AK199">
        <f t="shared" si="72"/>
        <v>13</v>
      </c>
      <c r="AL199">
        <f t="shared" si="65"/>
        <v>11.200000000000001</v>
      </c>
      <c r="AM199" s="2">
        <f t="shared" si="73"/>
        <v>6</v>
      </c>
      <c r="AX199">
        <v>196</v>
      </c>
      <c r="AY199">
        <v>196</v>
      </c>
      <c r="AZ199" s="3">
        <f t="shared" si="66"/>
        <v>5136270</v>
      </c>
      <c r="BA199" t="e">
        <f>AZ199/(#REF!*60/5)/60</f>
        <v>#REF!</v>
      </c>
      <c r="BB199" s="2">
        <f t="shared" si="62"/>
        <v>100</v>
      </c>
      <c r="BC199">
        <f t="shared" si="67"/>
        <v>7.6444692460317443</v>
      </c>
      <c r="BD199" s="2">
        <f t="shared" si="74"/>
        <v>25.3</v>
      </c>
      <c r="BE199">
        <f t="shared" si="75"/>
        <v>11.200000000000001</v>
      </c>
      <c r="BF199">
        <f t="shared" si="76"/>
        <v>64512.000000000015</v>
      </c>
    </row>
    <row r="200" spans="1:58" ht="14.25" x14ac:dyDescent="0.2">
      <c r="A200" s="11">
        <v>912</v>
      </c>
      <c r="B200" s="13">
        <v>3</v>
      </c>
      <c r="C200" s="15">
        <v>3</v>
      </c>
      <c r="D200" s="14">
        <f t="shared" si="60"/>
        <v>4</v>
      </c>
      <c r="E200" s="1" t="s">
        <v>2777</v>
      </c>
      <c r="F200" s="1" t="s">
        <v>2791</v>
      </c>
      <c r="G200" s="1" t="s">
        <v>2779</v>
      </c>
      <c r="H200" s="1" t="s">
        <v>2779</v>
      </c>
      <c r="I200" s="1" t="s">
        <v>2780</v>
      </c>
      <c r="J200" s="16" t="s">
        <v>2790</v>
      </c>
      <c r="K200" t="s">
        <v>162</v>
      </c>
      <c r="L200" t="s">
        <v>163</v>
      </c>
      <c r="M200" t="s">
        <v>163</v>
      </c>
      <c r="N200" t="s">
        <v>163</v>
      </c>
      <c r="O200" s="6" t="s">
        <v>477</v>
      </c>
      <c r="P200">
        <v>0</v>
      </c>
      <c r="Q200" s="24">
        <v>19.2</v>
      </c>
      <c r="R200" s="25">
        <v>18.8</v>
      </c>
      <c r="S200" s="26">
        <v>23.7</v>
      </c>
      <c r="U200" s="3">
        <v>197</v>
      </c>
      <c r="V200" s="1">
        <v>5214680</v>
      </c>
      <c r="W200" s="1">
        <v>557421</v>
      </c>
      <c r="Y200">
        <v>1</v>
      </c>
      <c r="Z200">
        <v>7</v>
      </c>
      <c r="AA200" s="3">
        <v>20</v>
      </c>
      <c r="AB200" s="3">
        <v>6</v>
      </c>
      <c r="AC200">
        <v>155</v>
      </c>
      <c r="AD200" s="9">
        <f t="shared" si="61"/>
        <v>19015.833333333332</v>
      </c>
      <c r="AE200">
        <f t="shared" si="63"/>
        <v>2555730</v>
      </c>
      <c r="AF200" s="2">
        <f t="shared" si="68"/>
        <v>11.200000000000001</v>
      </c>
      <c r="AG200" t="str">
        <f t="shared" si="69"/>
        <v>316小时</v>
      </c>
      <c r="AH200">
        <f t="shared" si="70"/>
        <v>34</v>
      </c>
      <c r="AI200">
        <f t="shared" si="71"/>
        <v>6</v>
      </c>
      <c r="AJ200">
        <f t="shared" si="64"/>
        <v>25.3</v>
      </c>
      <c r="AK200">
        <f t="shared" si="72"/>
        <v>13</v>
      </c>
      <c r="AL200">
        <f t="shared" si="65"/>
        <v>11.200000000000001</v>
      </c>
      <c r="AM200" s="2">
        <f t="shared" si="73"/>
        <v>6</v>
      </c>
      <c r="AX200">
        <v>197</v>
      </c>
      <c r="AY200">
        <v>197</v>
      </c>
      <c r="AZ200" s="3">
        <f t="shared" si="66"/>
        <v>5214680</v>
      </c>
      <c r="BA200" t="e">
        <f>AZ200/(#REF!*60/5)/60</f>
        <v>#REF!</v>
      </c>
      <c r="BB200" s="2">
        <f t="shared" si="62"/>
        <v>100</v>
      </c>
      <c r="BC200">
        <f t="shared" si="67"/>
        <v>7.6444692460317443</v>
      </c>
      <c r="BD200" s="2">
        <f t="shared" si="74"/>
        <v>25.3</v>
      </c>
      <c r="BE200">
        <f t="shared" si="75"/>
        <v>11.200000000000001</v>
      </c>
      <c r="BF200">
        <f t="shared" si="76"/>
        <v>64512.000000000015</v>
      </c>
    </row>
    <row r="201" spans="1:58" ht="14.25" x14ac:dyDescent="0.2">
      <c r="A201" s="11">
        <v>913</v>
      </c>
      <c r="B201" s="13">
        <v>3</v>
      </c>
      <c r="C201" s="15">
        <v>3</v>
      </c>
      <c r="D201" s="14">
        <f t="shared" si="60"/>
        <v>4</v>
      </c>
      <c r="E201" s="1" t="s">
        <v>2777</v>
      </c>
      <c r="F201" s="1" t="s">
        <v>2792</v>
      </c>
      <c r="G201" s="1" t="s">
        <v>2779</v>
      </c>
      <c r="H201" s="1" t="s">
        <v>2779</v>
      </c>
      <c r="I201" s="1" t="s">
        <v>2780</v>
      </c>
      <c r="J201" s="16" t="s">
        <v>2790</v>
      </c>
      <c r="K201" t="s">
        <v>177</v>
      </c>
      <c r="L201" t="s">
        <v>163</v>
      </c>
      <c r="M201" t="s">
        <v>163</v>
      </c>
      <c r="N201" t="s">
        <v>163</v>
      </c>
      <c r="O201" s="6" t="s">
        <v>479</v>
      </c>
      <c r="P201">
        <v>0</v>
      </c>
      <c r="Q201" s="24">
        <v>19.2</v>
      </c>
      <c r="R201" s="25">
        <v>18.8</v>
      </c>
      <c r="S201" s="26">
        <v>23.7</v>
      </c>
      <c r="U201" s="3">
        <v>198</v>
      </c>
      <c r="V201" s="1">
        <v>5293884</v>
      </c>
      <c r="W201" s="1">
        <v>558210</v>
      </c>
      <c r="Y201">
        <v>1</v>
      </c>
      <c r="Z201">
        <v>8</v>
      </c>
      <c r="AA201" s="3">
        <v>20</v>
      </c>
      <c r="AB201" s="3">
        <v>6</v>
      </c>
      <c r="AC201">
        <v>155</v>
      </c>
      <c r="AD201" s="9">
        <f t="shared" si="61"/>
        <v>19015.833333333332</v>
      </c>
      <c r="AE201">
        <f t="shared" si="63"/>
        <v>2555730</v>
      </c>
      <c r="AF201" s="2">
        <f t="shared" si="68"/>
        <v>11.200000000000001</v>
      </c>
      <c r="AG201" t="str">
        <f t="shared" si="69"/>
        <v>316小时</v>
      </c>
      <c r="AH201">
        <f t="shared" si="70"/>
        <v>34</v>
      </c>
      <c r="AI201">
        <f t="shared" si="71"/>
        <v>6</v>
      </c>
      <c r="AJ201">
        <f t="shared" si="64"/>
        <v>25.3</v>
      </c>
      <c r="AK201">
        <f t="shared" si="72"/>
        <v>13</v>
      </c>
      <c r="AL201">
        <f t="shared" si="65"/>
        <v>11.200000000000001</v>
      </c>
      <c r="AM201" s="2">
        <f t="shared" si="73"/>
        <v>6</v>
      </c>
      <c r="AX201">
        <v>198</v>
      </c>
      <c r="AY201">
        <v>198</v>
      </c>
      <c r="AZ201" s="3">
        <f t="shared" si="66"/>
        <v>5293884</v>
      </c>
      <c r="BA201" t="e">
        <f>AZ201/(#REF!*60/5)/60</f>
        <v>#REF!</v>
      </c>
      <c r="BB201" s="2">
        <f t="shared" si="62"/>
        <v>100</v>
      </c>
      <c r="BC201">
        <f t="shared" si="67"/>
        <v>7.6444692460317443</v>
      </c>
      <c r="BD201" s="2">
        <f t="shared" si="74"/>
        <v>25.3</v>
      </c>
      <c r="BE201">
        <f t="shared" si="75"/>
        <v>11.200000000000001</v>
      </c>
      <c r="BF201">
        <f t="shared" si="76"/>
        <v>64512.000000000015</v>
      </c>
    </row>
    <row r="202" spans="1:58" ht="14.25" x14ac:dyDescent="0.2">
      <c r="A202" s="11">
        <v>914</v>
      </c>
      <c r="B202" s="13">
        <v>3</v>
      </c>
      <c r="C202" s="15">
        <v>3</v>
      </c>
      <c r="D202" s="14">
        <f t="shared" si="60"/>
        <v>4</v>
      </c>
      <c r="E202" s="1" t="s">
        <v>2777</v>
      </c>
      <c r="F202" s="1" t="s">
        <v>2793</v>
      </c>
      <c r="G202" s="1" t="s">
        <v>2779</v>
      </c>
      <c r="H202" s="1" t="s">
        <v>2779</v>
      </c>
      <c r="I202" s="1" t="s">
        <v>2780</v>
      </c>
      <c r="J202" s="16" t="s">
        <v>2790</v>
      </c>
      <c r="K202" t="s">
        <v>174</v>
      </c>
      <c r="L202" t="s">
        <v>163</v>
      </c>
      <c r="M202" t="s">
        <v>163</v>
      </c>
      <c r="N202" t="s">
        <v>163</v>
      </c>
      <c r="O202" s="6" t="s">
        <v>481</v>
      </c>
      <c r="P202">
        <v>0</v>
      </c>
      <c r="Q202" s="24">
        <v>19.2</v>
      </c>
      <c r="R202" s="25">
        <v>18.8</v>
      </c>
      <c r="S202" s="26">
        <v>23.7</v>
      </c>
      <c r="U202" s="3">
        <v>199</v>
      </c>
      <c r="V202" s="1">
        <v>5373886</v>
      </c>
      <c r="W202" s="1">
        <v>559003</v>
      </c>
      <c r="Y202">
        <v>1</v>
      </c>
      <c r="Z202">
        <v>9</v>
      </c>
      <c r="AA202" s="3">
        <v>20</v>
      </c>
      <c r="AB202" s="3">
        <v>6</v>
      </c>
      <c r="AC202">
        <v>155</v>
      </c>
      <c r="AD202" s="9">
        <f t="shared" si="61"/>
        <v>19015.833333333332</v>
      </c>
      <c r="AE202">
        <f t="shared" si="63"/>
        <v>2555730</v>
      </c>
      <c r="AF202" s="2">
        <f t="shared" si="68"/>
        <v>11.200000000000001</v>
      </c>
      <c r="AG202" t="str">
        <f t="shared" si="69"/>
        <v>316小时</v>
      </c>
      <c r="AH202">
        <f t="shared" si="70"/>
        <v>34</v>
      </c>
      <c r="AI202">
        <f t="shared" si="71"/>
        <v>6</v>
      </c>
      <c r="AJ202">
        <f t="shared" si="64"/>
        <v>25.3</v>
      </c>
      <c r="AK202">
        <f t="shared" si="72"/>
        <v>13</v>
      </c>
      <c r="AL202">
        <f t="shared" si="65"/>
        <v>11.200000000000001</v>
      </c>
      <c r="AM202" s="2">
        <f t="shared" si="73"/>
        <v>6</v>
      </c>
      <c r="AX202">
        <v>199</v>
      </c>
      <c r="AY202">
        <v>199</v>
      </c>
      <c r="AZ202" s="3">
        <f t="shared" si="66"/>
        <v>5373886</v>
      </c>
      <c r="BA202" t="e">
        <f>AZ202/(#REF!*60/5)/60</f>
        <v>#REF!</v>
      </c>
      <c r="BB202" s="2">
        <f t="shared" si="62"/>
        <v>100</v>
      </c>
      <c r="BC202">
        <f t="shared" si="67"/>
        <v>7.6444692460317443</v>
      </c>
      <c r="BD202" s="2">
        <f t="shared" si="74"/>
        <v>25.3</v>
      </c>
      <c r="BE202">
        <f t="shared" si="75"/>
        <v>11.200000000000001</v>
      </c>
      <c r="BF202">
        <f t="shared" si="76"/>
        <v>64512.000000000015</v>
      </c>
    </row>
    <row r="203" spans="1:58" ht="14.25" x14ac:dyDescent="0.2">
      <c r="A203" s="11">
        <v>915</v>
      </c>
      <c r="B203" s="13">
        <v>3</v>
      </c>
      <c r="C203" s="15">
        <v>3</v>
      </c>
      <c r="D203" s="14">
        <f t="shared" si="60"/>
        <v>4</v>
      </c>
      <c r="E203" s="1" t="s">
        <v>2785</v>
      </c>
      <c r="F203" s="1" t="s">
        <v>2786</v>
      </c>
      <c r="G203" s="1" t="s">
        <v>2795</v>
      </c>
      <c r="H203" s="1" t="s">
        <v>2788</v>
      </c>
      <c r="I203" s="1" t="s">
        <v>2697</v>
      </c>
      <c r="J203" s="16" t="s">
        <v>2870</v>
      </c>
      <c r="K203" t="s">
        <v>166</v>
      </c>
      <c r="L203" t="s">
        <v>163</v>
      </c>
      <c r="M203" t="s">
        <v>163</v>
      </c>
      <c r="N203" t="s">
        <v>163</v>
      </c>
      <c r="O203" s="6" t="s">
        <v>481</v>
      </c>
      <c r="P203">
        <v>0</v>
      </c>
      <c r="Q203" s="24">
        <v>19.2</v>
      </c>
      <c r="R203" s="25">
        <v>18.8</v>
      </c>
      <c r="S203" s="26">
        <v>23.7</v>
      </c>
      <c r="U203" s="3">
        <v>200</v>
      </c>
      <c r="V203" s="1">
        <v>5454690</v>
      </c>
      <c r="W203" s="1">
        <v>661920</v>
      </c>
      <c r="Y203">
        <v>1</v>
      </c>
      <c r="Z203">
        <v>10</v>
      </c>
      <c r="AA203" s="3">
        <v>25</v>
      </c>
      <c r="AB203" s="3">
        <v>6</v>
      </c>
      <c r="AC203">
        <v>155</v>
      </c>
      <c r="AD203" s="9">
        <f t="shared" si="61"/>
        <v>19015.833333333332</v>
      </c>
      <c r="AE203">
        <f t="shared" si="63"/>
        <v>2555730</v>
      </c>
      <c r="AF203" s="2">
        <f t="shared" si="68"/>
        <v>11.200000000000001</v>
      </c>
      <c r="AG203" t="str">
        <f t="shared" si="69"/>
        <v>316小时</v>
      </c>
      <c r="AH203">
        <f t="shared" si="70"/>
        <v>34</v>
      </c>
      <c r="AI203">
        <f t="shared" si="71"/>
        <v>6</v>
      </c>
      <c r="AJ203">
        <f t="shared" si="64"/>
        <v>25.3</v>
      </c>
      <c r="AK203">
        <f t="shared" si="72"/>
        <v>13</v>
      </c>
      <c r="AL203">
        <f t="shared" si="65"/>
        <v>11.200000000000001</v>
      </c>
      <c r="AM203" s="2">
        <f t="shared" si="73"/>
        <v>6</v>
      </c>
      <c r="AX203">
        <v>200</v>
      </c>
      <c r="AY203">
        <v>200</v>
      </c>
      <c r="AZ203" s="3">
        <f t="shared" si="66"/>
        <v>5454690</v>
      </c>
      <c r="BA203" t="e">
        <f>AZ203/(#REF!*60/5)/60</f>
        <v>#REF!</v>
      </c>
      <c r="BB203" s="2">
        <f t="shared" si="62"/>
        <v>100</v>
      </c>
      <c r="BC203">
        <f t="shared" si="67"/>
        <v>7.6444692460317443</v>
      </c>
      <c r="BD203" s="2">
        <f t="shared" si="74"/>
        <v>25.3</v>
      </c>
      <c r="BE203">
        <f t="shared" si="75"/>
        <v>11.200000000000001</v>
      </c>
      <c r="BF203">
        <f t="shared" si="76"/>
        <v>64512.000000000015</v>
      </c>
    </row>
    <row r="204" spans="1:58" ht="14.25" x14ac:dyDescent="0.2">
      <c r="A204" s="11">
        <v>916</v>
      </c>
      <c r="B204" s="13">
        <v>3</v>
      </c>
      <c r="C204" s="15">
        <v>3</v>
      </c>
      <c r="D204" s="14">
        <f t="shared" si="60"/>
        <v>4</v>
      </c>
      <c r="E204" s="1" t="s">
        <v>2777</v>
      </c>
      <c r="F204" s="1" t="s">
        <v>2789</v>
      </c>
      <c r="G204" s="1" t="s">
        <v>2779</v>
      </c>
      <c r="H204" s="1" t="s">
        <v>2779</v>
      </c>
      <c r="I204" s="1" t="s">
        <v>2780</v>
      </c>
      <c r="J204" s="16" t="s">
        <v>2790</v>
      </c>
      <c r="K204" t="s">
        <v>168</v>
      </c>
      <c r="L204" t="s">
        <v>163</v>
      </c>
      <c r="M204" t="s">
        <v>163</v>
      </c>
      <c r="N204" t="s">
        <v>163</v>
      </c>
      <c r="O204" s="6" t="s">
        <v>483</v>
      </c>
      <c r="P204">
        <v>0</v>
      </c>
      <c r="Q204" s="24">
        <v>19.5</v>
      </c>
      <c r="R204" s="25">
        <v>19.3</v>
      </c>
      <c r="S204" s="26">
        <v>24</v>
      </c>
      <c r="U204" s="3">
        <v>201</v>
      </c>
      <c r="V204" s="1">
        <v>5536300</v>
      </c>
      <c r="W204" s="1">
        <v>662721</v>
      </c>
      <c r="Y204">
        <v>2</v>
      </c>
      <c r="Z204">
        <v>1</v>
      </c>
      <c r="AA204" s="3">
        <v>20</v>
      </c>
      <c r="AB204" s="3">
        <v>6</v>
      </c>
      <c r="AC204">
        <v>155</v>
      </c>
      <c r="AD204" s="9">
        <f t="shared" si="61"/>
        <v>18519.75</v>
      </c>
      <c r="AE204">
        <f t="shared" si="63"/>
        <v>2555730</v>
      </c>
      <c r="AF204" s="2">
        <f t="shared" si="68"/>
        <v>11.5</v>
      </c>
      <c r="AG204" t="str">
        <f t="shared" si="69"/>
        <v>308小时</v>
      </c>
      <c r="AH204">
        <f t="shared" si="70"/>
        <v>35</v>
      </c>
      <c r="AI204">
        <f t="shared" si="71"/>
        <v>6</v>
      </c>
      <c r="AJ204">
        <f t="shared" si="64"/>
        <v>25.8</v>
      </c>
      <c r="AK204">
        <f t="shared" si="72"/>
        <v>13</v>
      </c>
      <c r="AL204">
        <f t="shared" si="65"/>
        <v>11.5</v>
      </c>
      <c r="AM204" s="2">
        <f t="shared" si="73"/>
        <v>6</v>
      </c>
      <c r="AX204">
        <v>201</v>
      </c>
      <c r="AY204">
        <v>201</v>
      </c>
      <c r="AZ204" s="3">
        <f t="shared" si="66"/>
        <v>5536300</v>
      </c>
      <c r="BA204" t="e">
        <f>AZ204/(#REF!*60/5)/60</f>
        <v>#REF!</v>
      </c>
      <c r="BB204" s="2">
        <f t="shared" si="62"/>
        <v>100</v>
      </c>
      <c r="BC204">
        <f t="shared" si="67"/>
        <v>7.4450483091787438</v>
      </c>
      <c r="BD204" s="2">
        <f t="shared" si="74"/>
        <v>25.8</v>
      </c>
      <c r="BE204">
        <f t="shared" si="75"/>
        <v>11.5</v>
      </c>
      <c r="BF204">
        <f t="shared" si="76"/>
        <v>66240</v>
      </c>
    </row>
    <row r="205" spans="1:58" ht="14.25" x14ac:dyDescent="0.2">
      <c r="A205" s="11">
        <v>917</v>
      </c>
      <c r="B205" s="13">
        <v>3</v>
      </c>
      <c r="C205" s="15">
        <v>3</v>
      </c>
      <c r="D205" s="14">
        <f t="shared" si="60"/>
        <v>4</v>
      </c>
      <c r="E205" s="1" t="s">
        <v>2777</v>
      </c>
      <c r="F205" s="1" t="s">
        <v>2791</v>
      </c>
      <c r="G205" s="1" t="s">
        <v>2779</v>
      </c>
      <c r="H205" s="1" t="s">
        <v>2779</v>
      </c>
      <c r="I205" s="1" t="s">
        <v>2780</v>
      </c>
      <c r="J205" s="16" t="s">
        <v>2790</v>
      </c>
      <c r="K205" t="s">
        <v>175</v>
      </c>
      <c r="L205" t="s">
        <v>164</v>
      </c>
      <c r="M205" t="s">
        <v>163</v>
      </c>
      <c r="N205" t="s">
        <v>167</v>
      </c>
      <c r="O205" s="6" t="s">
        <v>485</v>
      </c>
      <c r="P205">
        <v>0</v>
      </c>
      <c r="Q205" s="24">
        <v>19.5</v>
      </c>
      <c r="R205" s="25">
        <v>19.3</v>
      </c>
      <c r="S205" s="26">
        <v>24</v>
      </c>
      <c r="U205" s="3">
        <v>202</v>
      </c>
      <c r="V205" s="1">
        <v>5618720</v>
      </c>
      <c r="W205" s="1">
        <v>663526</v>
      </c>
      <c r="Y205">
        <v>2</v>
      </c>
      <c r="Z205">
        <v>2</v>
      </c>
      <c r="AA205" s="3">
        <v>20</v>
      </c>
      <c r="AB205" s="3">
        <v>6</v>
      </c>
      <c r="AC205">
        <v>155</v>
      </c>
      <c r="AD205" s="9">
        <f t="shared" si="61"/>
        <v>18519.75</v>
      </c>
      <c r="AE205">
        <f t="shared" si="63"/>
        <v>2555730</v>
      </c>
      <c r="AF205" s="2">
        <f t="shared" si="68"/>
        <v>11.5</v>
      </c>
      <c r="AG205" t="str">
        <f t="shared" si="69"/>
        <v>308小时</v>
      </c>
      <c r="AH205">
        <f t="shared" si="70"/>
        <v>35</v>
      </c>
      <c r="AI205">
        <f t="shared" si="71"/>
        <v>6</v>
      </c>
      <c r="AJ205">
        <f t="shared" si="64"/>
        <v>25.8</v>
      </c>
      <c r="AK205">
        <f t="shared" si="72"/>
        <v>13</v>
      </c>
      <c r="AL205">
        <f t="shared" si="65"/>
        <v>11.5</v>
      </c>
      <c r="AM205" s="2">
        <f t="shared" si="73"/>
        <v>6</v>
      </c>
      <c r="AX205">
        <v>202</v>
      </c>
      <c r="AY205">
        <v>202</v>
      </c>
      <c r="AZ205" s="3">
        <f t="shared" si="66"/>
        <v>5618720</v>
      </c>
      <c r="BA205" t="e">
        <f>AZ205/(#REF!*60/5)/60</f>
        <v>#REF!</v>
      </c>
      <c r="BB205" s="2">
        <f t="shared" si="62"/>
        <v>100</v>
      </c>
      <c r="BC205">
        <f t="shared" si="67"/>
        <v>7.4450483091787438</v>
      </c>
      <c r="BD205" s="2">
        <f t="shared" si="74"/>
        <v>25.8</v>
      </c>
      <c r="BE205">
        <f t="shared" si="75"/>
        <v>11.5</v>
      </c>
      <c r="BF205">
        <f t="shared" si="76"/>
        <v>66240</v>
      </c>
    </row>
    <row r="206" spans="1:58" ht="14.25" x14ac:dyDescent="0.2">
      <c r="A206" s="11">
        <v>918</v>
      </c>
      <c r="B206" s="13">
        <v>3</v>
      </c>
      <c r="C206" s="15">
        <v>3</v>
      </c>
      <c r="D206" s="14">
        <f t="shared" si="60"/>
        <v>4</v>
      </c>
      <c r="E206" s="1" t="s">
        <v>2777</v>
      </c>
      <c r="F206" s="1" t="s">
        <v>2792</v>
      </c>
      <c r="G206" s="1" t="s">
        <v>2779</v>
      </c>
      <c r="H206" s="1" t="s">
        <v>2779</v>
      </c>
      <c r="I206" s="1" t="s">
        <v>2780</v>
      </c>
      <c r="J206" s="16" t="s">
        <v>2790</v>
      </c>
      <c r="K206" t="s">
        <v>179</v>
      </c>
      <c r="L206" t="s">
        <v>163</v>
      </c>
      <c r="M206" t="s">
        <v>163</v>
      </c>
      <c r="N206" t="s">
        <v>163</v>
      </c>
      <c r="O206" s="6" t="s">
        <v>487</v>
      </c>
      <c r="P206">
        <v>0</v>
      </c>
      <c r="Q206" s="24">
        <v>19.5</v>
      </c>
      <c r="R206" s="25">
        <v>19.3</v>
      </c>
      <c r="S206" s="26">
        <v>24</v>
      </c>
      <c r="U206" s="3">
        <v>203</v>
      </c>
      <c r="V206" s="1">
        <v>5701954</v>
      </c>
      <c r="W206" s="1">
        <v>664335</v>
      </c>
      <c r="Y206">
        <v>2</v>
      </c>
      <c r="Z206">
        <v>3</v>
      </c>
      <c r="AA206" s="3">
        <v>20</v>
      </c>
      <c r="AB206" s="3">
        <v>6</v>
      </c>
      <c r="AC206">
        <v>155</v>
      </c>
      <c r="AD206" s="9">
        <f t="shared" si="61"/>
        <v>18519.75</v>
      </c>
      <c r="AE206">
        <f t="shared" si="63"/>
        <v>2555730</v>
      </c>
      <c r="AF206" s="2">
        <f t="shared" si="68"/>
        <v>11.5</v>
      </c>
      <c r="AG206" t="str">
        <f t="shared" si="69"/>
        <v>308小时</v>
      </c>
      <c r="AH206">
        <f t="shared" si="70"/>
        <v>35</v>
      </c>
      <c r="AI206">
        <f t="shared" si="71"/>
        <v>6</v>
      </c>
      <c r="AJ206">
        <f t="shared" si="64"/>
        <v>25.8</v>
      </c>
      <c r="AK206">
        <f t="shared" si="72"/>
        <v>13</v>
      </c>
      <c r="AL206">
        <f t="shared" si="65"/>
        <v>11.5</v>
      </c>
      <c r="AM206" s="2">
        <f t="shared" si="73"/>
        <v>6</v>
      </c>
      <c r="AX206">
        <v>203</v>
      </c>
      <c r="AY206">
        <v>203</v>
      </c>
      <c r="AZ206" s="3">
        <f t="shared" si="66"/>
        <v>5701954</v>
      </c>
      <c r="BA206" t="e">
        <f>AZ206/(#REF!*60/5)/60</f>
        <v>#REF!</v>
      </c>
      <c r="BB206" s="2">
        <f t="shared" si="62"/>
        <v>100</v>
      </c>
      <c r="BC206">
        <f t="shared" si="67"/>
        <v>7.4450483091787438</v>
      </c>
      <c r="BD206" s="2">
        <f t="shared" si="74"/>
        <v>25.8</v>
      </c>
      <c r="BE206">
        <f t="shared" si="75"/>
        <v>11.5</v>
      </c>
      <c r="BF206">
        <f t="shared" si="76"/>
        <v>66240</v>
      </c>
    </row>
    <row r="207" spans="1:58" ht="14.25" x14ac:dyDescent="0.2">
      <c r="A207" s="11">
        <v>919</v>
      </c>
      <c r="B207" s="13">
        <v>3</v>
      </c>
      <c r="C207" s="15">
        <v>3</v>
      </c>
      <c r="D207" s="14">
        <f t="shared" si="60"/>
        <v>4</v>
      </c>
      <c r="E207" s="1" t="s">
        <v>2777</v>
      </c>
      <c r="F207" s="1" t="s">
        <v>2793</v>
      </c>
      <c r="G207" s="1" t="s">
        <v>2779</v>
      </c>
      <c r="H207" s="1" t="s">
        <v>2779</v>
      </c>
      <c r="I207" s="1" t="s">
        <v>2780</v>
      </c>
      <c r="J207" s="16" t="s">
        <v>2790</v>
      </c>
      <c r="K207" t="s">
        <v>177</v>
      </c>
      <c r="L207" t="s">
        <v>163</v>
      </c>
      <c r="M207" t="s">
        <v>163</v>
      </c>
      <c r="N207" t="s">
        <v>163</v>
      </c>
      <c r="O207" s="6" t="s">
        <v>487</v>
      </c>
      <c r="P207">
        <v>0</v>
      </c>
      <c r="Q207" s="24">
        <v>19.5</v>
      </c>
      <c r="R207" s="25">
        <v>19.3</v>
      </c>
      <c r="S207" s="26">
        <v>24</v>
      </c>
      <c r="U207" s="3">
        <v>204</v>
      </c>
      <c r="V207" s="1">
        <v>5786006</v>
      </c>
      <c r="W207" s="1">
        <v>665148</v>
      </c>
      <c r="Y207">
        <v>2</v>
      </c>
      <c r="Z207">
        <v>4</v>
      </c>
      <c r="AA207" s="3">
        <v>20</v>
      </c>
      <c r="AB207" s="3">
        <v>6</v>
      </c>
      <c r="AC207">
        <v>155</v>
      </c>
      <c r="AD207" s="9">
        <f t="shared" si="61"/>
        <v>18519.75</v>
      </c>
      <c r="AE207">
        <f t="shared" si="63"/>
        <v>2555730</v>
      </c>
      <c r="AF207" s="2">
        <f t="shared" si="68"/>
        <v>11.5</v>
      </c>
      <c r="AG207" t="str">
        <f t="shared" si="69"/>
        <v>308小时</v>
      </c>
      <c r="AH207">
        <f t="shared" si="70"/>
        <v>35</v>
      </c>
      <c r="AI207">
        <f t="shared" si="71"/>
        <v>6</v>
      </c>
      <c r="AJ207">
        <f t="shared" si="64"/>
        <v>25.8</v>
      </c>
      <c r="AK207">
        <f t="shared" si="72"/>
        <v>13</v>
      </c>
      <c r="AL207">
        <f t="shared" si="65"/>
        <v>11.5</v>
      </c>
      <c r="AM207" s="2">
        <f t="shared" si="73"/>
        <v>6</v>
      </c>
      <c r="AX207">
        <v>204</v>
      </c>
      <c r="AY207">
        <v>204</v>
      </c>
      <c r="AZ207" s="3">
        <f t="shared" si="66"/>
        <v>5786006</v>
      </c>
      <c r="BA207" t="e">
        <f>AZ207/(#REF!*60/5)/60</f>
        <v>#REF!</v>
      </c>
      <c r="BB207" s="2">
        <f t="shared" si="62"/>
        <v>100</v>
      </c>
      <c r="BC207">
        <f t="shared" si="67"/>
        <v>7.4450483091787438</v>
      </c>
      <c r="BD207" s="2">
        <f t="shared" si="74"/>
        <v>25.8</v>
      </c>
      <c r="BE207">
        <f t="shared" si="75"/>
        <v>11.5</v>
      </c>
      <c r="BF207">
        <f t="shared" si="76"/>
        <v>66240</v>
      </c>
    </row>
    <row r="208" spans="1:58" ht="14.25" x14ac:dyDescent="0.2">
      <c r="A208" s="11">
        <v>920</v>
      </c>
      <c r="B208" s="13">
        <v>3</v>
      </c>
      <c r="C208" s="15">
        <v>3</v>
      </c>
      <c r="D208" s="14">
        <f t="shared" ref="D208:D271" si="77">FLOOR(S206/5,1)</f>
        <v>4</v>
      </c>
      <c r="E208" s="1" t="s">
        <v>2785</v>
      </c>
      <c r="F208" s="1" t="s">
        <v>2786</v>
      </c>
      <c r="G208" s="1" t="s">
        <v>2796</v>
      </c>
      <c r="H208" s="1" t="s">
        <v>2788</v>
      </c>
      <c r="I208" s="1" t="s">
        <v>2697</v>
      </c>
      <c r="J208" s="16" t="s">
        <v>2870</v>
      </c>
      <c r="K208" t="s">
        <v>174</v>
      </c>
      <c r="L208" t="s">
        <v>163</v>
      </c>
      <c r="M208" t="s">
        <v>163</v>
      </c>
      <c r="N208" t="s">
        <v>163</v>
      </c>
      <c r="O208" s="6" t="s">
        <v>489</v>
      </c>
      <c r="P208">
        <v>0</v>
      </c>
      <c r="Q208" s="24">
        <v>19.5</v>
      </c>
      <c r="R208" s="25">
        <v>19.3</v>
      </c>
      <c r="S208" s="26">
        <v>24</v>
      </c>
      <c r="U208" s="3">
        <v>205</v>
      </c>
      <c r="V208" s="1">
        <v>5870880</v>
      </c>
      <c r="W208" s="1">
        <v>714475</v>
      </c>
      <c r="Y208">
        <v>2</v>
      </c>
      <c r="Z208">
        <v>5</v>
      </c>
      <c r="AA208" s="3">
        <v>25</v>
      </c>
      <c r="AB208" s="3">
        <v>6</v>
      </c>
      <c r="AC208">
        <v>155</v>
      </c>
      <c r="AD208" s="9">
        <f t="shared" si="61"/>
        <v>18519.75</v>
      </c>
      <c r="AE208">
        <f t="shared" si="63"/>
        <v>2555730</v>
      </c>
      <c r="AF208" s="2">
        <f t="shared" si="68"/>
        <v>11.5</v>
      </c>
      <c r="AG208" t="str">
        <f t="shared" si="69"/>
        <v>308小时</v>
      </c>
      <c r="AH208">
        <f t="shared" si="70"/>
        <v>35</v>
      </c>
      <c r="AI208">
        <f t="shared" si="71"/>
        <v>6</v>
      </c>
      <c r="AJ208">
        <f t="shared" si="64"/>
        <v>25.8</v>
      </c>
      <c r="AK208">
        <f t="shared" si="72"/>
        <v>13</v>
      </c>
      <c r="AL208">
        <f t="shared" si="65"/>
        <v>11.5</v>
      </c>
      <c r="AM208" s="2">
        <f t="shared" si="73"/>
        <v>6</v>
      </c>
      <c r="AX208">
        <v>205</v>
      </c>
      <c r="AY208">
        <v>205</v>
      </c>
      <c r="AZ208" s="3">
        <f t="shared" si="66"/>
        <v>5870880</v>
      </c>
      <c r="BA208" t="e">
        <f>AZ208/(#REF!*60/5)/60</f>
        <v>#REF!</v>
      </c>
      <c r="BB208" s="2">
        <f t="shared" si="62"/>
        <v>100</v>
      </c>
      <c r="BC208">
        <f t="shared" si="67"/>
        <v>7.4450483091787438</v>
      </c>
      <c r="BD208" s="2">
        <f t="shared" si="74"/>
        <v>25.8</v>
      </c>
      <c r="BE208">
        <f t="shared" si="75"/>
        <v>11.5</v>
      </c>
      <c r="BF208">
        <f t="shared" si="76"/>
        <v>66240</v>
      </c>
    </row>
    <row r="209" spans="1:58" ht="14.25" x14ac:dyDescent="0.2">
      <c r="A209" s="11">
        <v>921</v>
      </c>
      <c r="B209" s="13">
        <v>3</v>
      </c>
      <c r="C209" s="15">
        <v>3</v>
      </c>
      <c r="D209" s="14">
        <f t="shared" si="77"/>
        <v>4</v>
      </c>
      <c r="E209" s="1" t="s">
        <v>2777</v>
      </c>
      <c r="F209" s="1" t="s">
        <v>2789</v>
      </c>
      <c r="G209" s="1" t="s">
        <v>2779</v>
      </c>
      <c r="H209" s="1" t="s">
        <v>2779</v>
      </c>
      <c r="I209" s="1" t="s">
        <v>2780</v>
      </c>
      <c r="J209" s="16" t="s">
        <v>2790</v>
      </c>
      <c r="K209" t="s">
        <v>182</v>
      </c>
      <c r="L209" t="s">
        <v>163</v>
      </c>
      <c r="M209" t="s">
        <v>163</v>
      </c>
      <c r="N209" t="s">
        <v>163</v>
      </c>
      <c r="O209" s="6" t="s">
        <v>491</v>
      </c>
      <c r="P209">
        <v>0</v>
      </c>
      <c r="Q209" s="24">
        <v>19.8</v>
      </c>
      <c r="R209" s="25">
        <v>19.7</v>
      </c>
      <c r="S209" s="26">
        <v>24.3</v>
      </c>
      <c r="U209" s="3">
        <v>206</v>
      </c>
      <c r="V209" s="1">
        <v>5956580</v>
      </c>
      <c r="W209" s="1">
        <v>715296</v>
      </c>
      <c r="Y209">
        <v>2</v>
      </c>
      <c r="Z209">
        <v>6</v>
      </c>
      <c r="AA209" s="3">
        <v>20</v>
      </c>
      <c r="AB209" s="3">
        <v>6</v>
      </c>
      <c r="AC209">
        <v>155</v>
      </c>
      <c r="AD209" s="9">
        <f t="shared" si="61"/>
        <v>18203.166666666664</v>
      </c>
      <c r="AE209">
        <f t="shared" si="63"/>
        <v>2555730</v>
      </c>
      <c r="AF209" s="2">
        <f t="shared" si="68"/>
        <v>11.700000000000001</v>
      </c>
      <c r="AG209" t="str">
        <f t="shared" si="69"/>
        <v>303小时</v>
      </c>
      <c r="AH209">
        <f t="shared" si="70"/>
        <v>36</v>
      </c>
      <c r="AI209">
        <f t="shared" si="71"/>
        <v>6</v>
      </c>
      <c r="AJ209">
        <f t="shared" si="64"/>
        <v>26.1</v>
      </c>
      <c r="AK209">
        <f t="shared" si="72"/>
        <v>14</v>
      </c>
      <c r="AL209">
        <f t="shared" si="65"/>
        <v>11.700000000000001</v>
      </c>
      <c r="AM209" s="2">
        <f t="shared" si="73"/>
        <v>6</v>
      </c>
      <c r="AX209">
        <v>206</v>
      </c>
      <c r="AY209">
        <v>206</v>
      </c>
      <c r="AZ209" s="3">
        <f t="shared" si="66"/>
        <v>5956580</v>
      </c>
      <c r="BA209" t="e">
        <f>AZ209/(#REF!*60/5)/60</f>
        <v>#REF!</v>
      </c>
      <c r="BB209" s="2">
        <f t="shared" si="62"/>
        <v>100</v>
      </c>
      <c r="BC209">
        <f t="shared" si="67"/>
        <v>7.3177825261158578</v>
      </c>
      <c r="BD209" s="2">
        <f t="shared" si="74"/>
        <v>26.1</v>
      </c>
      <c r="BE209">
        <f t="shared" si="75"/>
        <v>11.700000000000001</v>
      </c>
      <c r="BF209">
        <f t="shared" si="76"/>
        <v>67392.000000000015</v>
      </c>
    </row>
    <row r="210" spans="1:58" ht="14.25" x14ac:dyDescent="0.2">
      <c r="A210" s="11">
        <v>922</v>
      </c>
      <c r="B210" s="13">
        <v>3</v>
      </c>
      <c r="C210" s="15">
        <v>3</v>
      </c>
      <c r="D210" s="14">
        <f t="shared" si="77"/>
        <v>4</v>
      </c>
      <c r="E210" s="1" t="s">
        <v>2777</v>
      </c>
      <c r="F210" s="1" t="s">
        <v>2791</v>
      </c>
      <c r="G210" s="1" t="s">
        <v>2779</v>
      </c>
      <c r="H210" s="1" t="s">
        <v>2779</v>
      </c>
      <c r="I210" s="1" t="s">
        <v>2780</v>
      </c>
      <c r="J210" s="16" t="s">
        <v>2790</v>
      </c>
      <c r="K210" t="s">
        <v>162</v>
      </c>
      <c r="L210" t="s">
        <v>163</v>
      </c>
      <c r="M210" t="s">
        <v>163</v>
      </c>
      <c r="N210" t="s">
        <v>163</v>
      </c>
      <c r="O210" s="6" t="s">
        <v>491</v>
      </c>
      <c r="P210">
        <v>0</v>
      </c>
      <c r="Q210" s="24">
        <v>19.8</v>
      </c>
      <c r="R210" s="25">
        <v>19.7</v>
      </c>
      <c r="S210" s="26">
        <v>24.3</v>
      </c>
      <c r="U210" s="3">
        <v>207</v>
      </c>
      <c r="V210" s="1">
        <v>6043110</v>
      </c>
      <c r="W210" s="1">
        <v>716121</v>
      </c>
      <c r="Y210">
        <v>2</v>
      </c>
      <c r="Z210">
        <v>7</v>
      </c>
      <c r="AA210" s="3">
        <v>20</v>
      </c>
      <c r="AB210" s="3">
        <v>6</v>
      </c>
      <c r="AC210">
        <v>155</v>
      </c>
      <c r="AD210" s="9">
        <f t="shared" si="61"/>
        <v>18203.166666666664</v>
      </c>
      <c r="AE210">
        <f t="shared" si="63"/>
        <v>2555730</v>
      </c>
      <c r="AF210" s="2">
        <f t="shared" si="68"/>
        <v>11.700000000000001</v>
      </c>
      <c r="AG210" t="str">
        <f t="shared" si="69"/>
        <v>303小时</v>
      </c>
      <c r="AH210">
        <f t="shared" si="70"/>
        <v>36</v>
      </c>
      <c r="AI210">
        <f t="shared" si="71"/>
        <v>6</v>
      </c>
      <c r="AJ210">
        <f t="shared" si="64"/>
        <v>26.1</v>
      </c>
      <c r="AK210">
        <f t="shared" si="72"/>
        <v>14</v>
      </c>
      <c r="AL210">
        <f t="shared" si="65"/>
        <v>11.700000000000001</v>
      </c>
      <c r="AM210" s="2">
        <f t="shared" si="73"/>
        <v>6</v>
      </c>
      <c r="AX210">
        <v>207</v>
      </c>
      <c r="AY210">
        <v>207</v>
      </c>
      <c r="AZ210" s="3">
        <f t="shared" si="66"/>
        <v>6043110</v>
      </c>
      <c r="BA210" t="e">
        <f>AZ210/(#REF!*60/5)/60</f>
        <v>#REF!</v>
      </c>
      <c r="BB210" s="2">
        <f t="shared" si="62"/>
        <v>100</v>
      </c>
      <c r="BC210">
        <f t="shared" si="67"/>
        <v>7.3177825261158578</v>
      </c>
      <c r="BD210" s="2">
        <f t="shared" si="74"/>
        <v>26.1</v>
      </c>
      <c r="BE210">
        <f t="shared" si="75"/>
        <v>11.700000000000001</v>
      </c>
      <c r="BF210">
        <f t="shared" si="76"/>
        <v>67392.000000000015</v>
      </c>
    </row>
    <row r="211" spans="1:58" ht="14.25" x14ac:dyDescent="0.2">
      <c r="A211" s="11">
        <v>923</v>
      </c>
      <c r="B211" s="13">
        <v>3</v>
      </c>
      <c r="C211" s="15">
        <v>3</v>
      </c>
      <c r="D211" s="14">
        <f t="shared" si="77"/>
        <v>4</v>
      </c>
      <c r="E211" s="1" t="s">
        <v>2777</v>
      </c>
      <c r="F211" s="1" t="s">
        <v>2792</v>
      </c>
      <c r="G211" s="1" t="s">
        <v>2779</v>
      </c>
      <c r="H211" s="1" t="s">
        <v>2779</v>
      </c>
      <c r="I211" s="1" t="s">
        <v>2780</v>
      </c>
      <c r="J211" s="16" t="s">
        <v>2790</v>
      </c>
      <c r="K211" t="s">
        <v>177</v>
      </c>
      <c r="L211" t="s">
        <v>163</v>
      </c>
      <c r="M211" t="s">
        <v>163</v>
      </c>
      <c r="N211" t="s">
        <v>163</v>
      </c>
      <c r="O211" s="6" t="s">
        <v>493</v>
      </c>
      <c r="P211">
        <v>0</v>
      </c>
      <c r="Q211" s="24">
        <v>19.8</v>
      </c>
      <c r="R211" s="25">
        <v>19.7</v>
      </c>
      <c r="S211" s="26">
        <v>24.3</v>
      </c>
      <c r="U211" s="3">
        <v>208</v>
      </c>
      <c r="V211" s="1">
        <v>6130474</v>
      </c>
      <c r="W211" s="1">
        <v>716950</v>
      </c>
      <c r="Y211">
        <v>2</v>
      </c>
      <c r="Z211">
        <v>8</v>
      </c>
      <c r="AA211" s="3">
        <v>20</v>
      </c>
      <c r="AB211" s="3">
        <v>6</v>
      </c>
      <c r="AC211">
        <v>155</v>
      </c>
      <c r="AD211" s="9">
        <f t="shared" si="61"/>
        <v>18203.166666666664</v>
      </c>
      <c r="AE211">
        <f t="shared" si="63"/>
        <v>2555730</v>
      </c>
      <c r="AF211" s="2">
        <f t="shared" si="68"/>
        <v>11.700000000000001</v>
      </c>
      <c r="AG211" t="str">
        <f t="shared" si="69"/>
        <v>303小时</v>
      </c>
      <c r="AH211">
        <f t="shared" si="70"/>
        <v>36</v>
      </c>
      <c r="AI211">
        <f t="shared" si="71"/>
        <v>6</v>
      </c>
      <c r="AJ211">
        <f t="shared" si="64"/>
        <v>26.1</v>
      </c>
      <c r="AK211">
        <f t="shared" si="72"/>
        <v>14</v>
      </c>
      <c r="AL211">
        <f t="shared" si="65"/>
        <v>11.700000000000001</v>
      </c>
      <c r="AM211" s="2">
        <f t="shared" si="73"/>
        <v>6</v>
      </c>
      <c r="AX211">
        <v>208</v>
      </c>
      <c r="AY211">
        <v>208</v>
      </c>
      <c r="AZ211" s="3">
        <f t="shared" si="66"/>
        <v>6130474</v>
      </c>
      <c r="BA211" t="e">
        <f>AZ211/(#REF!*60/5)/60</f>
        <v>#REF!</v>
      </c>
      <c r="BB211" s="2">
        <f t="shared" si="62"/>
        <v>100</v>
      </c>
      <c r="BC211">
        <f t="shared" si="67"/>
        <v>7.3177825261158578</v>
      </c>
      <c r="BD211" s="2">
        <f t="shared" si="74"/>
        <v>26.1</v>
      </c>
      <c r="BE211">
        <f t="shared" si="75"/>
        <v>11.700000000000001</v>
      </c>
      <c r="BF211">
        <f t="shared" si="76"/>
        <v>67392.000000000015</v>
      </c>
    </row>
    <row r="212" spans="1:58" ht="14.25" x14ac:dyDescent="0.2">
      <c r="A212" s="11">
        <v>924</v>
      </c>
      <c r="B212" s="13">
        <v>3</v>
      </c>
      <c r="C212" s="15">
        <v>3</v>
      </c>
      <c r="D212" s="14">
        <f t="shared" si="77"/>
        <v>4</v>
      </c>
      <c r="E212" s="1" t="s">
        <v>2777</v>
      </c>
      <c r="F212" s="1" t="s">
        <v>2793</v>
      </c>
      <c r="G212" s="1" t="s">
        <v>2779</v>
      </c>
      <c r="H212" s="1" t="s">
        <v>2779</v>
      </c>
      <c r="I212" s="1" t="s">
        <v>2780</v>
      </c>
      <c r="J212" s="16" t="s">
        <v>2790</v>
      </c>
      <c r="K212" t="s">
        <v>174</v>
      </c>
      <c r="L212" t="s">
        <v>163</v>
      </c>
      <c r="M212" t="s">
        <v>163</v>
      </c>
      <c r="N212" t="s">
        <v>163</v>
      </c>
      <c r="O212" s="6" t="s">
        <v>495</v>
      </c>
      <c r="P212">
        <v>0</v>
      </c>
      <c r="Q212" s="24">
        <v>19.8</v>
      </c>
      <c r="R212" s="25">
        <v>19.7</v>
      </c>
      <c r="S212" s="26">
        <v>24.3</v>
      </c>
      <c r="U212" s="3">
        <v>209</v>
      </c>
      <c r="V212" s="1">
        <v>6218676</v>
      </c>
      <c r="W212" s="1">
        <v>717783</v>
      </c>
      <c r="Y212">
        <v>2</v>
      </c>
      <c r="Z212">
        <v>9</v>
      </c>
      <c r="AA212" s="3">
        <v>20</v>
      </c>
      <c r="AB212" s="3">
        <v>6</v>
      </c>
      <c r="AC212">
        <v>155</v>
      </c>
      <c r="AD212" s="9">
        <f t="shared" si="61"/>
        <v>18203.166666666664</v>
      </c>
      <c r="AE212">
        <f t="shared" si="63"/>
        <v>2555730</v>
      </c>
      <c r="AF212" s="2">
        <f t="shared" si="68"/>
        <v>11.700000000000001</v>
      </c>
      <c r="AG212" t="str">
        <f t="shared" si="69"/>
        <v>303小时</v>
      </c>
      <c r="AH212">
        <f t="shared" si="70"/>
        <v>36</v>
      </c>
      <c r="AI212">
        <f t="shared" si="71"/>
        <v>6</v>
      </c>
      <c r="AJ212">
        <f t="shared" si="64"/>
        <v>26.1</v>
      </c>
      <c r="AK212">
        <f t="shared" si="72"/>
        <v>14</v>
      </c>
      <c r="AL212">
        <f t="shared" si="65"/>
        <v>11.700000000000001</v>
      </c>
      <c r="AM212" s="2">
        <f t="shared" si="73"/>
        <v>6</v>
      </c>
      <c r="AX212">
        <v>209</v>
      </c>
      <c r="AY212">
        <v>209</v>
      </c>
      <c r="AZ212" s="3">
        <f t="shared" si="66"/>
        <v>6218676</v>
      </c>
      <c r="BA212" t="e">
        <f>AZ212/(#REF!*60/5)/60</f>
        <v>#REF!</v>
      </c>
      <c r="BB212" s="2">
        <f t="shared" si="62"/>
        <v>100</v>
      </c>
      <c r="BC212">
        <f t="shared" si="67"/>
        <v>7.3177825261158578</v>
      </c>
      <c r="BD212" s="2">
        <f t="shared" si="74"/>
        <v>26.1</v>
      </c>
      <c r="BE212">
        <f t="shared" si="75"/>
        <v>11.700000000000001</v>
      </c>
      <c r="BF212">
        <f t="shared" si="76"/>
        <v>67392.000000000015</v>
      </c>
    </row>
    <row r="213" spans="1:58" ht="14.25" x14ac:dyDescent="0.2">
      <c r="A213" s="11">
        <v>925</v>
      </c>
      <c r="B213" s="13">
        <v>3</v>
      </c>
      <c r="C213" s="15">
        <v>3</v>
      </c>
      <c r="D213" s="14">
        <f t="shared" si="77"/>
        <v>4</v>
      </c>
      <c r="E213" s="1" t="s">
        <v>2785</v>
      </c>
      <c r="F213" s="1" t="s">
        <v>2786</v>
      </c>
      <c r="G213" s="1" t="s">
        <v>2797</v>
      </c>
      <c r="H213" s="1" t="s">
        <v>2788</v>
      </c>
      <c r="I213" s="1" t="s">
        <v>2697</v>
      </c>
      <c r="J213" s="16" t="s">
        <v>2853</v>
      </c>
      <c r="K213" t="s">
        <v>166</v>
      </c>
      <c r="L213" t="s">
        <v>163</v>
      </c>
      <c r="M213" t="s">
        <v>163</v>
      </c>
      <c r="N213" t="s">
        <v>163</v>
      </c>
      <c r="O213" s="6" t="s">
        <v>495</v>
      </c>
      <c r="P213">
        <v>0</v>
      </c>
      <c r="Q213" s="24">
        <v>19.8</v>
      </c>
      <c r="R213" s="25">
        <v>19.7</v>
      </c>
      <c r="S213" s="26">
        <v>24.3</v>
      </c>
      <c r="U213" s="3">
        <v>210</v>
      </c>
      <c r="V213" s="1">
        <v>6307720</v>
      </c>
      <c r="W213" s="1">
        <v>780110</v>
      </c>
      <c r="Y213">
        <v>2</v>
      </c>
      <c r="Z213">
        <v>10</v>
      </c>
      <c r="AA213" s="3">
        <v>25</v>
      </c>
      <c r="AB213" s="3">
        <v>6</v>
      </c>
      <c r="AC213">
        <v>155</v>
      </c>
      <c r="AD213" s="9">
        <f t="shared" si="61"/>
        <v>18203.166666666664</v>
      </c>
      <c r="AE213">
        <f t="shared" si="63"/>
        <v>2555730</v>
      </c>
      <c r="AF213" s="2">
        <f t="shared" si="68"/>
        <v>11.700000000000001</v>
      </c>
      <c r="AG213" t="str">
        <f t="shared" si="69"/>
        <v>303小时</v>
      </c>
      <c r="AH213">
        <f t="shared" si="70"/>
        <v>36</v>
      </c>
      <c r="AI213">
        <f t="shared" si="71"/>
        <v>6</v>
      </c>
      <c r="AJ213">
        <f t="shared" si="64"/>
        <v>26.1</v>
      </c>
      <c r="AK213">
        <f t="shared" si="72"/>
        <v>14</v>
      </c>
      <c r="AL213">
        <f t="shared" si="65"/>
        <v>11.700000000000001</v>
      </c>
      <c r="AM213" s="2">
        <f t="shared" si="73"/>
        <v>6</v>
      </c>
      <c r="AX213">
        <v>210</v>
      </c>
      <c r="AY213">
        <v>210</v>
      </c>
      <c r="AZ213" s="3">
        <f t="shared" si="66"/>
        <v>6307720</v>
      </c>
      <c r="BA213" t="e">
        <f>AZ213/(#REF!*60/5)/60</f>
        <v>#REF!</v>
      </c>
      <c r="BB213" s="2">
        <f t="shared" si="62"/>
        <v>100</v>
      </c>
      <c r="BC213">
        <f t="shared" si="67"/>
        <v>7.3177825261158578</v>
      </c>
      <c r="BD213" s="2">
        <f t="shared" si="74"/>
        <v>26.1</v>
      </c>
      <c r="BE213">
        <f t="shared" si="75"/>
        <v>11.700000000000001</v>
      </c>
      <c r="BF213">
        <f t="shared" si="76"/>
        <v>67392.000000000015</v>
      </c>
    </row>
    <row r="214" spans="1:58" ht="14.25" x14ac:dyDescent="0.2">
      <c r="A214" s="11">
        <v>926</v>
      </c>
      <c r="B214" s="13">
        <v>3</v>
      </c>
      <c r="C214" s="15">
        <v>3</v>
      </c>
      <c r="D214" s="14">
        <f t="shared" si="77"/>
        <v>4</v>
      </c>
      <c r="E214" s="1" t="s">
        <v>2777</v>
      </c>
      <c r="F214" s="1" t="s">
        <v>2798</v>
      </c>
      <c r="G214" s="1" t="s">
        <v>2779</v>
      </c>
      <c r="H214" s="1" t="s">
        <v>2779</v>
      </c>
      <c r="I214" s="1" t="s">
        <v>2780</v>
      </c>
      <c r="J214" s="16" t="s">
        <v>2799</v>
      </c>
      <c r="K214" t="s">
        <v>168</v>
      </c>
      <c r="L214" t="s">
        <v>163</v>
      </c>
      <c r="M214" t="s">
        <v>163</v>
      </c>
      <c r="N214" t="s">
        <v>163</v>
      </c>
      <c r="O214" s="6" t="s">
        <v>497</v>
      </c>
      <c r="P214">
        <v>0</v>
      </c>
      <c r="Q214" s="24">
        <v>20.2</v>
      </c>
      <c r="R214" s="25">
        <v>20.2</v>
      </c>
      <c r="S214" s="26">
        <v>24.7</v>
      </c>
      <c r="U214" s="3">
        <v>211</v>
      </c>
      <c r="V214" s="1">
        <v>6397610</v>
      </c>
      <c r="W214" s="1">
        <v>780951</v>
      </c>
      <c r="Y214">
        <v>3</v>
      </c>
      <c r="Z214">
        <v>1</v>
      </c>
      <c r="AA214" s="3">
        <v>20</v>
      </c>
      <c r="AB214" s="3">
        <v>6</v>
      </c>
      <c r="AC214">
        <v>155</v>
      </c>
      <c r="AD214" s="9">
        <f t="shared" si="61"/>
        <v>17748.083333333336</v>
      </c>
      <c r="AE214">
        <f t="shared" si="63"/>
        <v>2555730</v>
      </c>
      <c r="AF214" s="2">
        <f t="shared" si="68"/>
        <v>12</v>
      </c>
      <c r="AG214" t="str">
        <f t="shared" si="69"/>
        <v>295小时</v>
      </c>
      <c r="AH214">
        <f t="shared" si="70"/>
        <v>36</v>
      </c>
      <c r="AI214">
        <f t="shared" si="71"/>
        <v>6</v>
      </c>
      <c r="AJ214">
        <f t="shared" si="64"/>
        <v>26.5</v>
      </c>
      <c r="AK214">
        <f t="shared" si="72"/>
        <v>14</v>
      </c>
      <c r="AL214">
        <f t="shared" si="65"/>
        <v>12</v>
      </c>
      <c r="AM214" s="2">
        <f t="shared" si="73"/>
        <v>6</v>
      </c>
      <c r="AX214">
        <v>211</v>
      </c>
      <c r="AY214">
        <v>211</v>
      </c>
      <c r="AZ214" s="3">
        <f t="shared" si="66"/>
        <v>6397610</v>
      </c>
      <c r="BA214" t="e">
        <f>AZ214/(#REF!*60/5)/60</f>
        <v>#REF!</v>
      </c>
      <c r="BB214" s="2">
        <f t="shared" si="62"/>
        <v>100</v>
      </c>
      <c r="BC214">
        <f t="shared" si="67"/>
        <v>7.1348379629629628</v>
      </c>
      <c r="BD214" s="2">
        <f t="shared" si="74"/>
        <v>26.5</v>
      </c>
      <c r="BE214">
        <f t="shared" si="75"/>
        <v>12</v>
      </c>
      <c r="BF214">
        <f t="shared" si="76"/>
        <v>69120</v>
      </c>
    </row>
    <row r="215" spans="1:58" ht="14.25" x14ac:dyDescent="0.2">
      <c r="A215" s="11">
        <v>927</v>
      </c>
      <c r="B215" s="13">
        <v>3</v>
      </c>
      <c r="C215" s="15">
        <v>3</v>
      </c>
      <c r="D215" s="14">
        <f t="shared" si="77"/>
        <v>4</v>
      </c>
      <c r="E215" s="1" t="s">
        <v>2777</v>
      </c>
      <c r="F215" s="1" t="s">
        <v>2800</v>
      </c>
      <c r="G215" s="1" t="s">
        <v>2779</v>
      </c>
      <c r="H215" s="1" t="s">
        <v>2779</v>
      </c>
      <c r="I215" s="1" t="s">
        <v>2780</v>
      </c>
      <c r="J215" s="16" t="s">
        <v>2799</v>
      </c>
      <c r="K215" t="s">
        <v>175</v>
      </c>
      <c r="L215" t="s">
        <v>164</v>
      </c>
      <c r="M215" t="s">
        <v>163</v>
      </c>
      <c r="N215" t="s">
        <v>167</v>
      </c>
      <c r="O215" s="6" t="s">
        <v>499</v>
      </c>
      <c r="P215">
        <v>0</v>
      </c>
      <c r="Q215" s="24">
        <v>20.2</v>
      </c>
      <c r="R215" s="25">
        <v>20.2</v>
      </c>
      <c r="S215" s="26">
        <v>24.7</v>
      </c>
      <c r="U215" s="3">
        <v>212</v>
      </c>
      <c r="V215" s="1">
        <v>6488350</v>
      </c>
      <c r="W215" s="1">
        <v>781796</v>
      </c>
      <c r="Y215">
        <v>3</v>
      </c>
      <c r="Z215">
        <v>2</v>
      </c>
      <c r="AA215" s="3">
        <v>20</v>
      </c>
      <c r="AB215" s="3">
        <v>6</v>
      </c>
      <c r="AC215">
        <v>155</v>
      </c>
      <c r="AD215" s="9">
        <f t="shared" si="61"/>
        <v>17748.083333333336</v>
      </c>
      <c r="AE215">
        <f t="shared" si="63"/>
        <v>2555730</v>
      </c>
      <c r="AF215" s="2">
        <f t="shared" si="68"/>
        <v>12</v>
      </c>
      <c r="AG215" t="str">
        <f t="shared" si="69"/>
        <v>295小时</v>
      </c>
      <c r="AH215">
        <f t="shared" si="70"/>
        <v>36</v>
      </c>
      <c r="AI215">
        <f t="shared" si="71"/>
        <v>6</v>
      </c>
      <c r="AJ215">
        <f t="shared" si="64"/>
        <v>26.5</v>
      </c>
      <c r="AK215">
        <f t="shared" si="72"/>
        <v>14</v>
      </c>
      <c r="AL215">
        <f t="shared" si="65"/>
        <v>12</v>
      </c>
      <c r="AM215" s="2">
        <f t="shared" si="73"/>
        <v>6</v>
      </c>
      <c r="AX215">
        <v>212</v>
      </c>
      <c r="AY215">
        <v>212</v>
      </c>
      <c r="AZ215" s="3">
        <f t="shared" si="66"/>
        <v>6488350</v>
      </c>
      <c r="BA215" t="e">
        <f>AZ215/(#REF!*60/5)/60</f>
        <v>#REF!</v>
      </c>
      <c r="BB215" s="2">
        <f t="shared" si="62"/>
        <v>100</v>
      </c>
      <c r="BC215">
        <f t="shared" si="67"/>
        <v>7.1348379629629628</v>
      </c>
      <c r="BD215" s="2">
        <f t="shared" si="74"/>
        <v>26.5</v>
      </c>
      <c r="BE215">
        <f t="shared" si="75"/>
        <v>12</v>
      </c>
      <c r="BF215">
        <f t="shared" si="76"/>
        <v>69120</v>
      </c>
    </row>
    <row r="216" spans="1:58" ht="14.25" x14ac:dyDescent="0.2">
      <c r="A216" s="11">
        <v>928</v>
      </c>
      <c r="B216" s="13">
        <v>3</v>
      </c>
      <c r="C216" s="15">
        <v>3</v>
      </c>
      <c r="D216" s="14">
        <f t="shared" si="77"/>
        <v>4</v>
      </c>
      <c r="E216" s="1" t="s">
        <v>2777</v>
      </c>
      <c r="F216" s="1" t="s">
        <v>2801</v>
      </c>
      <c r="G216" s="1" t="s">
        <v>2779</v>
      </c>
      <c r="H216" s="1" t="s">
        <v>2779</v>
      </c>
      <c r="I216" s="1" t="s">
        <v>2780</v>
      </c>
      <c r="J216" s="16" t="s">
        <v>2799</v>
      </c>
      <c r="K216" t="s">
        <v>179</v>
      </c>
      <c r="L216" t="s">
        <v>163</v>
      </c>
      <c r="M216" t="s">
        <v>163</v>
      </c>
      <c r="N216" t="s">
        <v>163</v>
      </c>
      <c r="O216" s="6" t="s">
        <v>501</v>
      </c>
      <c r="P216">
        <v>0</v>
      </c>
      <c r="Q216" s="24">
        <v>20.2</v>
      </c>
      <c r="R216" s="25">
        <v>20.2</v>
      </c>
      <c r="S216" s="26">
        <v>24.7</v>
      </c>
      <c r="U216" s="3">
        <v>213</v>
      </c>
      <c r="V216" s="1">
        <v>6579944</v>
      </c>
      <c r="W216" s="1">
        <v>782645</v>
      </c>
      <c r="Y216">
        <v>3</v>
      </c>
      <c r="Z216">
        <v>3</v>
      </c>
      <c r="AA216" s="3">
        <v>20</v>
      </c>
      <c r="AB216" s="3">
        <v>6</v>
      </c>
      <c r="AC216">
        <v>155</v>
      </c>
      <c r="AD216" s="9">
        <f t="shared" si="61"/>
        <v>17748.083333333336</v>
      </c>
      <c r="AE216">
        <f t="shared" si="63"/>
        <v>2555730</v>
      </c>
      <c r="AF216" s="2">
        <f t="shared" si="68"/>
        <v>12</v>
      </c>
      <c r="AG216" t="str">
        <f t="shared" si="69"/>
        <v>295小时</v>
      </c>
      <c r="AH216">
        <f t="shared" si="70"/>
        <v>36</v>
      </c>
      <c r="AI216">
        <f t="shared" si="71"/>
        <v>6</v>
      </c>
      <c r="AJ216">
        <f t="shared" si="64"/>
        <v>26.5</v>
      </c>
      <c r="AK216">
        <f t="shared" si="72"/>
        <v>14</v>
      </c>
      <c r="AL216">
        <f t="shared" si="65"/>
        <v>12</v>
      </c>
      <c r="AM216" s="2">
        <f t="shared" si="73"/>
        <v>6</v>
      </c>
      <c r="AX216">
        <v>213</v>
      </c>
      <c r="AY216">
        <v>213</v>
      </c>
      <c r="AZ216" s="3">
        <f t="shared" si="66"/>
        <v>6579944</v>
      </c>
      <c r="BA216" t="e">
        <f>AZ216/(#REF!*60/5)/60</f>
        <v>#REF!</v>
      </c>
      <c r="BB216" s="2">
        <f t="shared" si="62"/>
        <v>100</v>
      </c>
      <c r="BC216">
        <f t="shared" si="67"/>
        <v>7.1348379629629628</v>
      </c>
      <c r="BD216" s="2">
        <f t="shared" si="74"/>
        <v>26.5</v>
      </c>
      <c r="BE216">
        <f t="shared" si="75"/>
        <v>12</v>
      </c>
      <c r="BF216">
        <f t="shared" si="76"/>
        <v>69120</v>
      </c>
    </row>
    <row r="217" spans="1:58" ht="14.25" x14ac:dyDescent="0.2">
      <c r="A217" s="11">
        <v>929</v>
      </c>
      <c r="B217" s="13">
        <v>3</v>
      </c>
      <c r="C217" s="15">
        <v>3</v>
      </c>
      <c r="D217" s="14">
        <f t="shared" si="77"/>
        <v>4</v>
      </c>
      <c r="E217" s="1" t="s">
        <v>2777</v>
      </c>
      <c r="F217" s="1" t="s">
        <v>2802</v>
      </c>
      <c r="G217" s="1" t="s">
        <v>2779</v>
      </c>
      <c r="H217" s="1" t="s">
        <v>2779</v>
      </c>
      <c r="I217" s="1" t="s">
        <v>2780</v>
      </c>
      <c r="J217" s="16" t="s">
        <v>2799</v>
      </c>
      <c r="K217" t="s">
        <v>177</v>
      </c>
      <c r="L217" t="s">
        <v>163</v>
      </c>
      <c r="M217" t="s">
        <v>163</v>
      </c>
      <c r="N217" t="s">
        <v>163</v>
      </c>
      <c r="O217" s="6" t="s">
        <v>501</v>
      </c>
      <c r="P217">
        <v>0</v>
      </c>
      <c r="Q217" s="24">
        <v>20.2</v>
      </c>
      <c r="R217" s="25">
        <v>20.2</v>
      </c>
      <c r="S217" s="26">
        <v>24.7</v>
      </c>
      <c r="U217" s="3">
        <v>214</v>
      </c>
      <c r="V217" s="1">
        <v>6672396</v>
      </c>
      <c r="W217" s="1">
        <v>783498</v>
      </c>
      <c r="Y217">
        <v>3</v>
      </c>
      <c r="Z217">
        <v>4</v>
      </c>
      <c r="AA217" s="3">
        <v>20</v>
      </c>
      <c r="AB217" s="3">
        <v>6</v>
      </c>
      <c r="AC217">
        <v>155</v>
      </c>
      <c r="AD217" s="9">
        <f t="shared" si="61"/>
        <v>17748.083333333336</v>
      </c>
      <c r="AE217">
        <f t="shared" si="63"/>
        <v>2555730</v>
      </c>
      <c r="AF217" s="2">
        <f t="shared" si="68"/>
        <v>12</v>
      </c>
      <c r="AG217" t="str">
        <f t="shared" si="69"/>
        <v>295小时</v>
      </c>
      <c r="AH217">
        <f t="shared" si="70"/>
        <v>36</v>
      </c>
      <c r="AI217">
        <f t="shared" si="71"/>
        <v>6</v>
      </c>
      <c r="AJ217">
        <f t="shared" si="64"/>
        <v>26.5</v>
      </c>
      <c r="AK217">
        <f t="shared" si="72"/>
        <v>14</v>
      </c>
      <c r="AL217">
        <f t="shared" si="65"/>
        <v>12</v>
      </c>
      <c r="AM217" s="2">
        <f t="shared" si="73"/>
        <v>6</v>
      </c>
      <c r="AX217">
        <v>214</v>
      </c>
      <c r="AY217">
        <v>214</v>
      </c>
      <c r="AZ217" s="3">
        <f t="shared" si="66"/>
        <v>6672396</v>
      </c>
      <c r="BA217" t="e">
        <f>AZ217/(#REF!*60/5)/60</f>
        <v>#REF!</v>
      </c>
      <c r="BB217" s="2">
        <f t="shared" si="62"/>
        <v>100</v>
      </c>
      <c r="BC217">
        <f t="shared" si="67"/>
        <v>7.1348379629629628</v>
      </c>
      <c r="BD217" s="2">
        <f t="shared" si="74"/>
        <v>26.5</v>
      </c>
      <c r="BE217">
        <f t="shared" si="75"/>
        <v>12</v>
      </c>
      <c r="BF217">
        <f t="shared" si="76"/>
        <v>69120</v>
      </c>
    </row>
    <row r="218" spans="1:58" ht="14.25" x14ac:dyDescent="0.2">
      <c r="A218" s="11">
        <v>930</v>
      </c>
      <c r="B218" s="13">
        <v>3</v>
      </c>
      <c r="C218" s="15">
        <v>3</v>
      </c>
      <c r="D218" s="14">
        <f t="shared" si="77"/>
        <v>4</v>
      </c>
      <c r="E218" s="1" t="s">
        <v>2785</v>
      </c>
      <c r="F218" s="1" t="s">
        <v>2786</v>
      </c>
      <c r="G218" s="1" t="s">
        <v>2803</v>
      </c>
      <c r="H218" s="1" t="s">
        <v>2804</v>
      </c>
      <c r="I218" s="1" t="s">
        <v>2697</v>
      </c>
      <c r="J218" s="16" t="s">
        <v>2854</v>
      </c>
      <c r="K218" t="s">
        <v>174</v>
      </c>
      <c r="L218" t="s">
        <v>163</v>
      </c>
      <c r="M218" t="s">
        <v>163</v>
      </c>
      <c r="N218" t="s">
        <v>163</v>
      </c>
      <c r="O218" s="6" t="s">
        <v>503</v>
      </c>
      <c r="P218">
        <v>0</v>
      </c>
      <c r="Q218" s="24">
        <v>20.2</v>
      </c>
      <c r="R218" s="25">
        <v>20.2</v>
      </c>
      <c r="S218" s="26">
        <v>24.7</v>
      </c>
      <c r="U218" s="3">
        <v>215</v>
      </c>
      <c r="V218" s="1">
        <v>6765710</v>
      </c>
      <c r="W218" s="1">
        <v>837595</v>
      </c>
      <c r="Y218">
        <v>3</v>
      </c>
      <c r="Z218">
        <v>5</v>
      </c>
      <c r="AA218" s="3">
        <v>25</v>
      </c>
      <c r="AB218" s="3">
        <v>6</v>
      </c>
      <c r="AC218">
        <v>155</v>
      </c>
      <c r="AD218" s="9">
        <f t="shared" si="61"/>
        <v>17748.083333333336</v>
      </c>
      <c r="AE218">
        <f t="shared" si="63"/>
        <v>2555730</v>
      </c>
      <c r="AF218" s="2">
        <f t="shared" si="68"/>
        <v>12</v>
      </c>
      <c r="AG218" t="str">
        <f t="shared" si="69"/>
        <v>295小时</v>
      </c>
      <c r="AH218">
        <f t="shared" si="70"/>
        <v>36</v>
      </c>
      <c r="AI218">
        <f t="shared" si="71"/>
        <v>6</v>
      </c>
      <c r="AJ218">
        <f t="shared" si="64"/>
        <v>26.5</v>
      </c>
      <c r="AK218">
        <f t="shared" si="72"/>
        <v>14</v>
      </c>
      <c r="AL218">
        <f t="shared" si="65"/>
        <v>12</v>
      </c>
      <c r="AM218" s="2">
        <f t="shared" si="73"/>
        <v>6</v>
      </c>
      <c r="AX218">
        <v>215</v>
      </c>
      <c r="AY218">
        <v>215</v>
      </c>
      <c r="AZ218" s="3">
        <f t="shared" si="66"/>
        <v>6765710</v>
      </c>
      <c r="BA218" t="e">
        <f>AZ218/(#REF!*60/5)/60</f>
        <v>#REF!</v>
      </c>
      <c r="BB218" s="2">
        <f t="shared" si="62"/>
        <v>100</v>
      </c>
      <c r="BC218">
        <f t="shared" si="67"/>
        <v>7.1348379629629628</v>
      </c>
      <c r="BD218" s="2">
        <f t="shared" si="74"/>
        <v>26.5</v>
      </c>
      <c r="BE218">
        <f t="shared" si="75"/>
        <v>12</v>
      </c>
      <c r="BF218">
        <f t="shared" si="76"/>
        <v>69120</v>
      </c>
    </row>
    <row r="219" spans="1:58" ht="14.25" x14ac:dyDescent="0.2">
      <c r="A219" s="11">
        <v>931</v>
      </c>
      <c r="B219" s="13">
        <v>3</v>
      </c>
      <c r="C219" s="15">
        <v>3</v>
      </c>
      <c r="D219" s="14">
        <f t="shared" si="77"/>
        <v>4</v>
      </c>
      <c r="E219" s="1" t="s">
        <v>2777</v>
      </c>
      <c r="F219" s="1" t="s">
        <v>2798</v>
      </c>
      <c r="G219" s="1" t="s">
        <v>2779</v>
      </c>
      <c r="H219" s="1" t="s">
        <v>2779</v>
      </c>
      <c r="I219" s="1" t="s">
        <v>2780</v>
      </c>
      <c r="J219" s="16" t="s">
        <v>2799</v>
      </c>
      <c r="K219" t="s">
        <v>182</v>
      </c>
      <c r="L219" t="s">
        <v>163</v>
      </c>
      <c r="M219" t="s">
        <v>163</v>
      </c>
      <c r="N219" t="s">
        <v>163</v>
      </c>
      <c r="O219" s="6" t="s">
        <v>505</v>
      </c>
      <c r="P219">
        <v>0</v>
      </c>
      <c r="Q219" s="24">
        <v>20.5</v>
      </c>
      <c r="R219" s="25">
        <v>20.6</v>
      </c>
      <c r="S219" s="26">
        <v>25</v>
      </c>
      <c r="U219" s="3">
        <v>216</v>
      </c>
      <c r="V219" s="1">
        <v>6859890</v>
      </c>
      <c r="W219" s="1">
        <v>838456</v>
      </c>
      <c r="Y219">
        <v>3</v>
      </c>
      <c r="Z219">
        <v>6</v>
      </c>
      <c r="AA219" s="3">
        <v>20</v>
      </c>
      <c r="AB219" s="3">
        <v>6</v>
      </c>
      <c r="AC219">
        <v>155</v>
      </c>
      <c r="AD219" s="9">
        <f t="shared" si="61"/>
        <v>17457.166666666668</v>
      </c>
      <c r="AE219">
        <f t="shared" si="63"/>
        <v>2555730</v>
      </c>
      <c r="AF219" s="2">
        <f t="shared" si="68"/>
        <v>12.200000000000001</v>
      </c>
      <c r="AG219" t="str">
        <f t="shared" si="69"/>
        <v>290小时</v>
      </c>
      <c r="AH219">
        <f t="shared" si="70"/>
        <v>37</v>
      </c>
      <c r="AI219">
        <f t="shared" si="71"/>
        <v>7</v>
      </c>
      <c r="AJ219">
        <f t="shared" si="64"/>
        <v>26.8</v>
      </c>
      <c r="AK219">
        <f t="shared" si="72"/>
        <v>14</v>
      </c>
      <c r="AL219">
        <f t="shared" si="65"/>
        <v>12.200000000000001</v>
      </c>
      <c r="AM219" s="2">
        <f t="shared" si="73"/>
        <v>7</v>
      </c>
      <c r="AX219">
        <v>216</v>
      </c>
      <c r="AY219">
        <v>216</v>
      </c>
      <c r="AZ219" s="3">
        <f t="shared" si="66"/>
        <v>6859890</v>
      </c>
      <c r="BA219" t="e">
        <f>AZ219/(#REF!*60/5)/60</f>
        <v>#REF!</v>
      </c>
      <c r="BB219" s="2">
        <f t="shared" si="62"/>
        <v>100</v>
      </c>
      <c r="BC219">
        <f t="shared" si="67"/>
        <v>7.0178734061930772</v>
      </c>
      <c r="BD219" s="2">
        <f t="shared" si="74"/>
        <v>26.8</v>
      </c>
      <c r="BE219">
        <f t="shared" si="75"/>
        <v>12.200000000000001</v>
      </c>
      <c r="BF219">
        <f t="shared" si="76"/>
        <v>70272.000000000015</v>
      </c>
    </row>
    <row r="220" spans="1:58" ht="14.25" x14ac:dyDescent="0.2">
      <c r="A220" s="11">
        <v>932</v>
      </c>
      <c r="B220" s="13">
        <v>3</v>
      </c>
      <c r="C220" s="15">
        <v>3</v>
      </c>
      <c r="D220" s="14">
        <f t="shared" si="77"/>
        <v>4</v>
      </c>
      <c r="E220" s="1" t="s">
        <v>2777</v>
      </c>
      <c r="F220" s="1" t="s">
        <v>2805</v>
      </c>
      <c r="G220" s="1" t="s">
        <v>2779</v>
      </c>
      <c r="H220" s="1" t="s">
        <v>2779</v>
      </c>
      <c r="I220" s="1" t="s">
        <v>2780</v>
      </c>
      <c r="J220" s="16" t="s">
        <v>2799</v>
      </c>
      <c r="K220" t="s">
        <v>162</v>
      </c>
      <c r="L220" t="s">
        <v>163</v>
      </c>
      <c r="M220" t="s">
        <v>163</v>
      </c>
      <c r="N220" t="s">
        <v>163</v>
      </c>
      <c r="O220" s="6" t="s">
        <v>505</v>
      </c>
      <c r="P220">
        <v>0</v>
      </c>
      <c r="Q220" s="24">
        <v>20.5</v>
      </c>
      <c r="R220" s="25">
        <v>20.6</v>
      </c>
      <c r="S220" s="26">
        <v>25</v>
      </c>
      <c r="U220" s="3">
        <v>217</v>
      </c>
      <c r="V220" s="1">
        <v>6954940</v>
      </c>
      <c r="W220" s="1">
        <v>839321</v>
      </c>
      <c r="Y220">
        <v>3</v>
      </c>
      <c r="Z220">
        <v>7</v>
      </c>
      <c r="AA220" s="3">
        <v>20</v>
      </c>
      <c r="AB220" s="3">
        <v>6</v>
      </c>
      <c r="AC220">
        <v>155</v>
      </c>
      <c r="AD220" s="9">
        <f t="shared" si="61"/>
        <v>17457.166666666668</v>
      </c>
      <c r="AE220">
        <f t="shared" si="63"/>
        <v>2555730</v>
      </c>
      <c r="AF220" s="2">
        <f t="shared" si="68"/>
        <v>12.200000000000001</v>
      </c>
      <c r="AG220" t="str">
        <f t="shared" si="69"/>
        <v>290小时</v>
      </c>
      <c r="AH220">
        <f t="shared" si="70"/>
        <v>37</v>
      </c>
      <c r="AI220">
        <f t="shared" si="71"/>
        <v>7</v>
      </c>
      <c r="AJ220">
        <f t="shared" si="64"/>
        <v>26.8</v>
      </c>
      <c r="AK220">
        <f t="shared" si="72"/>
        <v>14</v>
      </c>
      <c r="AL220">
        <f t="shared" si="65"/>
        <v>12.200000000000001</v>
      </c>
      <c r="AM220" s="2">
        <f t="shared" si="73"/>
        <v>7</v>
      </c>
      <c r="AX220">
        <v>217</v>
      </c>
      <c r="AY220">
        <v>217</v>
      </c>
      <c r="AZ220" s="3">
        <f t="shared" si="66"/>
        <v>6954940</v>
      </c>
      <c r="BA220" t="e">
        <f>AZ220/(#REF!*60/5)/60</f>
        <v>#REF!</v>
      </c>
      <c r="BB220" s="2">
        <f t="shared" si="62"/>
        <v>100</v>
      </c>
      <c r="BC220">
        <f t="shared" si="67"/>
        <v>7.0178734061930772</v>
      </c>
      <c r="BD220" s="2">
        <f t="shared" si="74"/>
        <v>26.8</v>
      </c>
      <c r="BE220">
        <f t="shared" si="75"/>
        <v>12.200000000000001</v>
      </c>
      <c r="BF220">
        <f t="shared" si="76"/>
        <v>70272.000000000015</v>
      </c>
    </row>
    <row r="221" spans="1:58" ht="14.25" x14ac:dyDescent="0.2">
      <c r="A221" s="11">
        <v>933</v>
      </c>
      <c r="B221" s="13">
        <v>3</v>
      </c>
      <c r="C221" s="15">
        <v>3</v>
      </c>
      <c r="D221" s="14">
        <f t="shared" si="77"/>
        <v>5</v>
      </c>
      <c r="E221" s="1" t="s">
        <v>2777</v>
      </c>
      <c r="F221" s="1" t="s">
        <v>2801</v>
      </c>
      <c r="G221" s="1" t="s">
        <v>2779</v>
      </c>
      <c r="H221" s="1" t="s">
        <v>2779</v>
      </c>
      <c r="I221" s="1" t="s">
        <v>2780</v>
      </c>
      <c r="J221" s="16" t="s">
        <v>2799</v>
      </c>
      <c r="K221" t="s">
        <v>177</v>
      </c>
      <c r="L221" t="s">
        <v>163</v>
      </c>
      <c r="M221" t="s">
        <v>163</v>
      </c>
      <c r="N221" t="s">
        <v>163</v>
      </c>
      <c r="O221" s="6" t="s">
        <v>507</v>
      </c>
      <c r="P221">
        <v>0</v>
      </c>
      <c r="Q221" s="24">
        <v>20.5</v>
      </c>
      <c r="R221" s="25">
        <v>20.6</v>
      </c>
      <c r="S221" s="26">
        <v>25</v>
      </c>
      <c r="U221" s="3">
        <v>218</v>
      </c>
      <c r="V221" s="1">
        <v>7050864</v>
      </c>
      <c r="W221" s="1">
        <v>840190</v>
      </c>
      <c r="Y221">
        <v>3</v>
      </c>
      <c r="Z221">
        <v>8</v>
      </c>
      <c r="AA221" s="3">
        <v>20</v>
      </c>
      <c r="AB221" s="3">
        <v>6</v>
      </c>
      <c r="AC221">
        <v>155</v>
      </c>
      <c r="AD221" s="9">
        <f t="shared" si="61"/>
        <v>17457.166666666668</v>
      </c>
      <c r="AE221">
        <f t="shared" si="63"/>
        <v>2555730</v>
      </c>
      <c r="AF221" s="2">
        <f t="shared" si="68"/>
        <v>12.200000000000001</v>
      </c>
      <c r="AG221" t="str">
        <f t="shared" si="69"/>
        <v>290小时</v>
      </c>
      <c r="AH221">
        <f t="shared" si="70"/>
        <v>37</v>
      </c>
      <c r="AI221">
        <f t="shared" si="71"/>
        <v>7</v>
      </c>
      <c r="AJ221">
        <f t="shared" si="64"/>
        <v>26.8</v>
      </c>
      <c r="AK221">
        <f t="shared" si="72"/>
        <v>14</v>
      </c>
      <c r="AL221">
        <f t="shared" si="65"/>
        <v>12.200000000000001</v>
      </c>
      <c r="AM221" s="2">
        <f t="shared" si="73"/>
        <v>7</v>
      </c>
      <c r="AX221">
        <v>218</v>
      </c>
      <c r="AY221">
        <v>218</v>
      </c>
      <c r="AZ221" s="3">
        <f t="shared" si="66"/>
        <v>7050864</v>
      </c>
      <c r="BA221" t="e">
        <f>AZ221/(#REF!*60/5)/60</f>
        <v>#REF!</v>
      </c>
      <c r="BB221" s="2">
        <f t="shared" si="62"/>
        <v>100</v>
      </c>
      <c r="BC221">
        <f t="shared" si="67"/>
        <v>7.0178734061930772</v>
      </c>
      <c r="BD221" s="2">
        <f t="shared" si="74"/>
        <v>26.8</v>
      </c>
      <c r="BE221">
        <f t="shared" si="75"/>
        <v>12.200000000000001</v>
      </c>
      <c r="BF221">
        <f t="shared" si="76"/>
        <v>70272.000000000015</v>
      </c>
    </row>
    <row r="222" spans="1:58" ht="14.25" x14ac:dyDescent="0.2">
      <c r="A222" s="11">
        <v>934</v>
      </c>
      <c r="B222" s="13">
        <v>3</v>
      </c>
      <c r="C222" s="15">
        <v>3</v>
      </c>
      <c r="D222" s="14">
        <f t="shared" si="77"/>
        <v>5</v>
      </c>
      <c r="E222" s="1" t="s">
        <v>2777</v>
      </c>
      <c r="F222" s="1" t="s">
        <v>2802</v>
      </c>
      <c r="G222" s="1" t="s">
        <v>2779</v>
      </c>
      <c r="H222" s="1" t="s">
        <v>2779</v>
      </c>
      <c r="I222" s="1" t="s">
        <v>2780</v>
      </c>
      <c r="J222" s="16" t="s">
        <v>2799</v>
      </c>
      <c r="K222" t="s">
        <v>174</v>
      </c>
      <c r="L222" t="s">
        <v>163</v>
      </c>
      <c r="M222" t="s">
        <v>163</v>
      </c>
      <c r="N222" t="s">
        <v>163</v>
      </c>
      <c r="O222" s="6" t="s">
        <v>509</v>
      </c>
      <c r="P222">
        <v>0</v>
      </c>
      <c r="Q222" s="24">
        <v>20.5</v>
      </c>
      <c r="R222" s="25">
        <v>20.6</v>
      </c>
      <c r="S222" s="26">
        <v>25</v>
      </c>
      <c r="U222" s="3">
        <v>219</v>
      </c>
      <c r="V222" s="1">
        <v>7147666</v>
      </c>
      <c r="W222" s="1">
        <v>841063</v>
      </c>
      <c r="Y222">
        <v>3</v>
      </c>
      <c r="Z222">
        <v>9</v>
      </c>
      <c r="AA222" s="3">
        <v>20</v>
      </c>
      <c r="AB222" s="3">
        <v>6</v>
      </c>
      <c r="AC222">
        <v>155</v>
      </c>
      <c r="AD222" s="9">
        <f t="shared" si="61"/>
        <v>17457.166666666668</v>
      </c>
      <c r="AE222">
        <f t="shared" si="63"/>
        <v>2555730</v>
      </c>
      <c r="AF222" s="2">
        <f t="shared" si="68"/>
        <v>12.200000000000001</v>
      </c>
      <c r="AG222" t="str">
        <f t="shared" si="69"/>
        <v>290小时</v>
      </c>
      <c r="AH222">
        <f t="shared" si="70"/>
        <v>37</v>
      </c>
      <c r="AI222">
        <f t="shared" si="71"/>
        <v>7</v>
      </c>
      <c r="AJ222">
        <f t="shared" si="64"/>
        <v>26.8</v>
      </c>
      <c r="AK222">
        <f t="shared" si="72"/>
        <v>14</v>
      </c>
      <c r="AL222">
        <f t="shared" si="65"/>
        <v>12.200000000000001</v>
      </c>
      <c r="AM222" s="2">
        <f t="shared" si="73"/>
        <v>7</v>
      </c>
      <c r="AX222">
        <v>219</v>
      </c>
      <c r="AY222">
        <v>219</v>
      </c>
      <c r="AZ222" s="3">
        <f t="shared" si="66"/>
        <v>7147666</v>
      </c>
      <c r="BA222" t="e">
        <f>AZ222/(#REF!*60/5)/60</f>
        <v>#REF!</v>
      </c>
      <c r="BB222" s="2">
        <f t="shared" si="62"/>
        <v>100</v>
      </c>
      <c r="BC222">
        <f t="shared" si="67"/>
        <v>7.0178734061930772</v>
      </c>
      <c r="BD222" s="2">
        <f t="shared" si="74"/>
        <v>26.8</v>
      </c>
      <c r="BE222">
        <f t="shared" si="75"/>
        <v>12.200000000000001</v>
      </c>
      <c r="BF222">
        <f t="shared" si="76"/>
        <v>70272.000000000015</v>
      </c>
    </row>
    <row r="223" spans="1:58" ht="14.25" x14ac:dyDescent="0.2">
      <c r="A223" s="11">
        <v>935</v>
      </c>
      <c r="B223" s="13">
        <v>3</v>
      </c>
      <c r="C223" s="15">
        <v>3</v>
      </c>
      <c r="D223" s="14">
        <f t="shared" si="77"/>
        <v>5</v>
      </c>
      <c r="E223" s="1" t="s">
        <v>2785</v>
      </c>
      <c r="F223" s="1" t="s">
        <v>2786</v>
      </c>
      <c r="G223" s="1" t="s">
        <v>2806</v>
      </c>
      <c r="H223" s="1" t="s">
        <v>2804</v>
      </c>
      <c r="I223" s="1" t="s">
        <v>2697</v>
      </c>
      <c r="J223" s="16" t="s">
        <v>2854</v>
      </c>
      <c r="K223" t="s">
        <v>166</v>
      </c>
      <c r="L223" t="s">
        <v>163</v>
      </c>
      <c r="M223" t="s">
        <v>163</v>
      </c>
      <c r="N223" t="s">
        <v>163</v>
      </c>
      <c r="O223" s="6" t="s">
        <v>509</v>
      </c>
      <c r="P223">
        <v>0</v>
      </c>
      <c r="Q223" s="24">
        <v>20.5</v>
      </c>
      <c r="R223" s="25">
        <v>20.6</v>
      </c>
      <c r="S223" s="26">
        <v>25</v>
      </c>
      <c r="U223" s="3">
        <v>220</v>
      </c>
      <c r="V223" s="1">
        <v>7245350</v>
      </c>
      <c r="W223" s="1">
        <v>985300</v>
      </c>
      <c r="Y223">
        <v>3</v>
      </c>
      <c r="Z223">
        <v>10</v>
      </c>
      <c r="AA223" s="3">
        <v>25</v>
      </c>
      <c r="AB223" s="3">
        <v>6</v>
      </c>
      <c r="AC223">
        <v>155</v>
      </c>
      <c r="AD223" s="9">
        <f t="shared" si="61"/>
        <v>17457.166666666668</v>
      </c>
      <c r="AE223">
        <f t="shared" si="63"/>
        <v>2555730</v>
      </c>
      <c r="AF223" s="2">
        <f t="shared" si="68"/>
        <v>12.200000000000001</v>
      </c>
      <c r="AG223" t="str">
        <f t="shared" si="69"/>
        <v>290小时</v>
      </c>
      <c r="AH223">
        <f t="shared" si="70"/>
        <v>37</v>
      </c>
      <c r="AI223">
        <f t="shared" si="71"/>
        <v>7</v>
      </c>
      <c r="AJ223">
        <f t="shared" si="64"/>
        <v>26.8</v>
      </c>
      <c r="AK223">
        <f t="shared" si="72"/>
        <v>14</v>
      </c>
      <c r="AL223">
        <f t="shared" si="65"/>
        <v>12.200000000000001</v>
      </c>
      <c r="AM223" s="2">
        <f t="shared" si="73"/>
        <v>7</v>
      </c>
      <c r="AX223">
        <v>220</v>
      </c>
      <c r="AY223">
        <v>220</v>
      </c>
      <c r="AZ223" s="3">
        <f t="shared" si="66"/>
        <v>7245350</v>
      </c>
      <c r="BA223" t="e">
        <f>AZ223/(#REF!*60/5)/60</f>
        <v>#REF!</v>
      </c>
      <c r="BB223" s="2">
        <f t="shared" si="62"/>
        <v>105</v>
      </c>
      <c r="BC223">
        <f t="shared" si="67"/>
        <v>7.4573087431693974</v>
      </c>
      <c r="BD223" s="2">
        <f t="shared" si="74"/>
        <v>26.8</v>
      </c>
      <c r="BE223">
        <f t="shared" si="75"/>
        <v>12.200000000000001</v>
      </c>
      <c r="BF223">
        <f t="shared" si="76"/>
        <v>70272.000000000015</v>
      </c>
    </row>
    <row r="224" spans="1:58" ht="14.25" x14ac:dyDescent="0.2">
      <c r="A224" s="11">
        <v>936</v>
      </c>
      <c r="B224" s="13">
        <v>3</v>
      </c>
      <c r="C224" s="15">
        <v>3</v>
      </c>
      <c r="D224" s="14">
        <f t="shared" si="77"/>
        <v>5</v>
      </c>
      <c r="E224" s="1" t="s">
        <v>2777</v>
      </c>
      <c r="F224" s="1" t="s">
        <v>2798</v>
      </c>
      <c r="G224" s="1" t="s">
        <v>2779</v>
      </c>
      <c r="H224" s="1" t="s">
        <v>2779</v>
      </c>
      <c r="I224" s="1" t="s">
        <v>2780</v>
      </c>
      <c r="J224" s="16" t="s">
        <v>2799</v>
      </c>
      <c r="K224" t="s">
        <v>168</v>
      </c>
      <c r="L224" t="s">
        <v>163</v>
      </c>
      <c r="M224" t="s">
        <v>163</v>
      </c>
      <c r="N224" t="s">
        <v>163</v>
      </c>
      <c r="O224" s="6" t="s">
        <v>511</v>
      </c>
      <c r="P224">
        <v>0</v>
      </c>
      <c r="Q224" s="24">
        <v>20.8</v>
      </c>
      <c r="R224" s="25">
        <v>21.1</v>
      </c>
      <c r="S224" s="26">
        <v>25.3</v>
      </c>
      <c r="U224" s="3">
        <v>221</v>
      </c>
      <c r="V224" s="1">
        <v>7343920</v>
      </c>
      <c r="W224" s="1">
        <v>986181</v>
      </c>
      <c r="Y224">
        <v>3</v>
      </c>
      <c r="Z224">
        <v>11</v>
      </c>
      <c r="AA224" s="3">
        <v>20</v>
      </c>
      <c r="AB224" s="3">
        <v>6</v>
      </c>
      <c r="AC224">
        <v>155</v>
      </c>
      <c r="AD224" s="9">
        <f t="shared" si="61"/>
        <v>17038.166666666664</v>
      </c>
      <c r="AE224">
        <f t="shared" si="63"/>
        <v>2555730</v>
      </c>
      <c r="AF224" s="2">
        <f t="shared" si="68"/>
        <v>12.5</v>
      </c>
      <c r="AG224" t="str">
        <f t="shared" si="69"/>
        <v>283小时</v>
      </c>
      <c r="AH224">
        <f t="shared" si="70"/>
        <v>38</v>
      </c>
      <c r="AI224">
        <f t="shared" si="71"/>
        <v>7</v>
      </c>
      <c r="AJ224">
        <f t="shared" si="64"/>
        <v>27.3</v>
      </c>
      <c r="AK224">
        <f t="shared" si="72"/>
        <v>14</v>
      </c>
      <c r="AL224">
        <f t="shared" si="65"/>
        <v>12.5</v>
      </c>
      <c r="AM224" s="2">
        <f t="shared" si="73"/>
        <v>7</v>
      </c>
      <c r="AX224">
        <v>221</v>
      </c>
      <c r="AY224">
        <v>221</v>
      </c>
      <c r="AZ224" s="3">
        <f t="shared" si="66"/>
        <v>7343920</v>
      </c>
      <c r="BA224" t="e">
        <f>AZ224/(#REF!*60/5)/60</f>
        <v>#REF!</v>
      </c>
      <c r="BB224" s="2">
        <f t="shared" si="62"/>
        <v>105</v>
      </c>
      <c r="BC224">
        <f t="shared" si="67"/>
        <v>7.2783333333333333</v>
      </c>
      <c r="BD224" s="2">
        <f t="shared" si="74"/>
        <v>27.3</v>
      </c>
      <c r="BE224">
        <f t="shared" si="75"/>
        <v>12.5</v>
      </c>
      <c r="BF224">
        <f t="shared" si="76"/>
        <v>72000</v>
      </c>
    </row>
    <row r="225" spans="1:58" ht="14.25" x14ac:dyDescent="0.2">
      <c r="A225" s="11">
        <v>937</v>
      </c>
      <c r="B225" s="13">
        <v>3</v>
      </c>
      <c r="C225" s="15">
        <v>3</v>
      </c>
      <c r="D225" s="14">
        <f t="shared" si="77"/>
        <v>5</v>
      </c>
      <c r="E225" s="1" t="s">
        <v>2777</v>
      </c>
      <c r="F225" s="1" t="s">
        <v>2805</v>
      </c>
      <c r="G225" s="1" t="s">
        <v>2779</v>
      </c>
      <c r="H225" s="1" t="s">
        <v>2779</v>
      </c>
      <c r="I225" s="1" t="s">
        <v>2780</v>
      </c>
      <c r="J225" s="16" t="s">
        <v>2799</v>
      </c>
      <c r="K225" t="s">
        <v>175</v>
      </c>
      <c r="L225" t="s">
        <v>164</v>
      </c>
      <c r="M225" t="s">
        <v>163</v>
      </c>
      <c r="N225" t="s">
        <v>167</v>
      </c>
      <c r="O225" s="6" t="s">
        <v>513</v>
      </c>
      <c r="P225">
        <v>0</v>
      </c>
      <c r="Q225" s="24">
        <v>20.8</v>
      </c>
      <c r="R225" s="25">
        <v>21.1</v>
      </c>
      <c r="S225" s="26">
        <v>25.3</v>
      </c>
      <c r="U225" s="3">
        <v>222</v>
      </c>
      <c r="V225" s="1">
        <v>7443380</v>
      </c>
      <c r="W225" s="1">
        <v>987066</v>
      </c>
      <c r="Y225">
        <v>3</v>
      </c>
      <c r="Z225">
        <v>12</v>
      </c>
      <c r="AA225" s="3">
        <v>20</v>
      </c>
      <c r="AB225" s="3">
        <v>6</v>
      </c>
      <c r="AC225">
        <v>155</v>
      </c>
      <c r="AD225" s="9">
        <f t="shared" si="61"/>
        <v>17038.166666666664</v>
      </c>
      <c r="AE225">
        <f t="shared" si="63"/>
        <v>2555730</v>
      </c>
      <c r="AF225" s="2">
        <f t="shared" si="68"/>
        <v>12.5</v>
      </c>
      <c r="AG225" t="str">
        <f t="shared" si="69"/>
        <v>283小时</v>
      </c>
      <c r="AH225">
        <f t="shared" si="70"/>
        <v>38</v>
      </c>
      <c r="AI225">
        <f t="shared" si="71"/>
        <v>7</v>
      </c>
      <c r="AJ225">
        <f t="shared" si="64"/>
        <v>27.3</v>
      </c>
      <c r="AK225">
        <f t="shared" si="72"/>
        <v>14</v>
      </c>
      <c r="AL225">
        <f t="shared" si="65"/>
        <v>12.5</v>
      </c>
      <c r="AM225" s="2">
        <f t="shared" si="73"/>
        <v>7</v>
      </c>
      <c r="AX225">
        <v>222</v>
      </c>
      <c r="AY225">
        <v>222</v>
      </c>
      <c r="AZ225" s="3">
        <f t="shared" si="66"/>
        <v>7443380</v>
      </c>
      <c r="BA225" t="e">
        <f>AZ225/(#REF!*60/5)/60</f>
        <v>#REF!</v>
      </c>
      <c r="BB225" s="2">
        <f t="shared" si="62"/>
        <v>105</v>
      </c>
      <c r="BC225">
        <f t="shared" si="67"/>
        <v>7.2783333333333333</v>
      </c>
      <c r="BD225" s="2">
        <f t="shared" si="74"/>
        <v>27.3</v>
      </c>
      <c r="BE225">
        <f t="shared" si="75"/>
        <v>12.5</v>
      </c>
      <c r="BF225">
        <f t="shared" si="76"/>
        <v>72000</v>
      </c>
    </row>
    <row r="226" spans="1:58" ht="14.25" x14ac:dyDescent="0.2">
      <c r="A226" s="11">
        <v>938</v>
      </c>
      <c r="B226" s="13">
        <v>3</v>
      </c>
      <c r="C226" s="15">
        <v>3</v>
      </c>
      <c r="D226" s="14">
        <f t="shared" si="77"/>
        <v>5</v>
      </c>
      <c r="E226" s="1" t="s">
        <v>2777</v>
      </c>
      <c r="F226" s="1" t="s">
        <v>2801</v>
      </c>
      <c r="G226" s="1" t="s">
        <v>2779</v>
      </c>
      <c r="H226" s="1" t="s">
        <v>2779</v>
      </c>
      <c r="I226" s="1" t="s">
        <v>2780</v>
      </c>
      <c r="J226" s="16" t="s">
        <v>2799</v>
      </c>
      <c r="K226" t="s">
        <v>179</v>
      </c>
      <c r="L226" t="s">
        <v>163</v>
      </c>
      <c r="M226" t="s">
        <v>163</v>
      </c>
      <c r="N226" t="s">
        <v>163</v>
      </c>
      <c r="O226" s="6" t="s">
        <v>515</v>
      </c>
      <c r="P226">
        <v>0</v>
      </c>
      <c r="Q226" s="24">
        <v>20.8</v>
      </c>
      <c r="R226" s="25">
        <v>21.1</v>
      </c>
      <c r="S226" s="26">
        <v>25.3</v>
      </c>
      <c r="U226" s="3">
        <v>223</v>
      </c>
      <c r="V226" s="1">
        <v>7543734</v>
      </c>
      <c r="W226" s="1">
        <v>987955</v>
      </c>
      <c r="Y226">
        <v>3</v>
      </c>
      <c r="Z226">
        <v>13</v>
      </c>
      <c r="AA226" s="3">
        <v>20</v>
      </c>
      <c r="AB226" s="3">
        <v>6</v>
      </c>
      <c r="AC226">
        <v>155</v>
      </c>
      <c r="AD226" s="9">
        <f t="shared" si="61"/>
        <v>17038.166666666664</v>
      </c>
      <c r="AE226">
        <f t="shared" si="63"/>
        <v>2555730</v>
      </c>
      <c r="AF226" s="2">
        <f t="shared" si="68"/>
        <v>12.5</v>
      </c>
      <c r="AG226" t="str">
        <f t="shared" si="69"/>
        <v>283小时</v>
      </c>
      <c r="AH226">
        <f t="shared" si="70"/>
        <v>38</v>
      </c>
      <c r="AI226">
        <f t="shared" si="71"/>
        <v>7</v>
      </c>
      <c r="AJ226">
        <f t="shared" si="64"/>
        <v>27.3</v>
      </c>
      <c r="AK226">
        <f t="shared" si="72"/>
        <v>14</v>
      </c>
      <c r="AL226">
        <f t="shared" si="65"/>
        <v>12.5</v>
      </c>
      <c r="AM226" s="2">
        <f t="shared" si="73"/>
        <v>7</v>
      </c>
      <c r="AX226">
        <v>223</v>
      </c>
      <c r="AY226">
        <v>223</v>
      </c>
      <c r="AZ226" s="3">
        <f t="shared" si="66"/>
        <v>7543734</v>
      </c>
      <c r="BA226" t="e">
        <f>AZ226/(#REF!*60/5)/60</f>
        <v>#REF!</v>
      </c>
      <c r="BB226" s="2">
        <f t="shared" si="62"/>
        <v>105</v>
      </c>
      <c r="BC226">
        <f t="shared" si="67"/>
        <v>7.2783333333333333</v>
      </c>
      <c r="BD226" s="2">
        <f t="shared" si="74"/>
        <v>27.3</v>
      </c>
      <c r="BE226">
        <f t="shared" si="75"/>
        <v>12.5</v>
      </c>
      <c r="BF226">
        <f t="shared" si="76"/>
        <v>72000</v>
      </c>
    </row>
    <row r="227" spans="1:58" ht="14.25" x14ac:dyDescent="0.2">
      <c r="A227" s="11">
        <v>939</v>
      </c>
      <c r="B227" s="13">
        <v>3</v>
      </c>
      <c r="C227" s="15">
        <v>3</v>
      </c>
      <c r="D227" s="14">
        <f t="shared" si="77"/>
        <v>5</v>
      </c>
      <c r="E227" s="1" t="s">
        <v>2777</v>
      </c>
      <c r="F227" s="1" t="s">
        <v>2802</v>
      </c>
      <c r="G227" s="1" t="s">
        <v>2779</v>
      </c>
      <c r="H227" s="1" t="s">
        <v>2779</v>
      </c>
      <c r="I227" s="1" t="s">
        <v>2780</v>
      </c>
      <c r="J227" s="16" t="s">
        <v>2799</v>
      </c>
      <c r="K227" t="s">
        <v>177</v>
      </c>
      <c r="L227" t="s">
        <v>163</v>
      </c>
      <c r="M227" t="s">
        <v>163</v>
      </c>
      <c r="N227" t="s">
        <v>163</v>
      </c>
      <c r="O227" s="6" t="s">
        <v>515</v>
      </c>
      <c r="P227">
        <v>0</v>
      </c>
      <c r="Q227" s="24">
        <v>20.8</v>
      </c>
      <c r="R227" s="25">
        <v>21.1</v>
      </c>
      <c r="S227" s="26">
        <v>25.3</v>
      </c>
      <c r="U227" s="3">
        <v>224</v>
      </c>
      <c r="V227" s="1">
        <v>7644986</v>
      </c>
      <c r="W227" s="1">
        <v>988848</v>
      </c>
      <c r="Y227">
        <v>3</v>
      </c>
      <c r="Z227">
        <v>14</v>
      </c>
      <c r="AA227" s="3">
        <v>20</v>
      </c>
      <c r="AB227" s="3">
        <v>6</v>
      </c>
      <c r="AC227">
        <v>155</v>
      </c>
      <c r="AD227" s="9">
        <f t="shared" si="61"/>
        <v>17038.166666666664</v>
      </c>
      <c r="AE227">
        <f t="shared" si="63"/>
        <v>2555730</v>
      </c>
      <c r="AF227" s="2">
        <f t="shared" si="68"/>
        <v>12.5</v>
      </c>
      <c r="AG227" t="str">
        <f t="shared" si="69"/>
        <v>283小时</v>
      </c>
      <c r="AH227">
        <f t="shared" si="70"/>
        <v>38</v>
      </c>
      <c r="AI227">
        <f t="shared" si="71"/>
        <v>7</v>
      </c>
      <c r="AJ227">
        <f t="shared" si="64"/>
        <v>27.3</v>
      </c>
      <c r="AK227">
        <f t="shared" si="72"/>
        <v>14</v>
      </c>
      <c r="AL227">
        <f t="shared" si="65"/>
        <v>12.5</v>
      </c>
      <c r="AM227" s="2">
        <f t="shared" si="73"/>
        <v>7</v>
      </c>
      <c r="AX227">
        <v>224</v>
      </c>
      <c r="AY227">
        <v>224</v>
      </c>
      <c r="AZ227" s="3">
        <f t="shared" si="66"/>
        <v>7644986</v>
      </c>
      <c r="BA227" t="e">
        <f>AZ227/(#REF!*60/5)/60</f>
        <v>#REF!</v>
      </c>
      <c r="BB227" s="2">
        <f t="shared" si="62"/>
        <v>105</v>
      </c>
      <c r="BC227">
        <f t="shared" si="67"/>
        <v>7.2783333333333333</v>
      </c>
      <c r="BD227" s="2">
        <f t="shared" si="74"/>
        <v>27.3</v>
      </c>
      <c r="BE227">
        <f t="shared" si="75"/>
        <v>12.5</v>
      </c>
      <c r="BF227">
        <f t="shared" si="76"/>
        <v>72000</v>
      </c>
    </row>
    <row r="228" spans="1:58" ht="14.25" x14ac:dyDescent="0.2">
      <c r="A228" s="11">
        <v>940</v>
      </c>
      <c r="B228" s="13">
        <v>3</v>
      </c>
      <c r="C228" s="15">
        <v>3</v>
      </c>
      <c r="D228" s="14">
        <f t="shared" si="77"/>
        <v>5</v>
      </c>
      <c r="E228" s="1" t="s">
        <v>2785</v>
      </c>
      <c r="F228" s="1" t="s">
        <v>2786</v>
      </c>
      <c r="G228" s="1" t="s">
        <v>2807</v>
      </c>
      <c r="H228" s="1" t="s">
        <v>2804</v>
      </c>
      <c r="I228" s="1" t="s">
        <v>2697</v>
      </c>
      <c r="J228" s="16" t="s">
        <v>2871</v>
      </c>
      <c r="K228" t="s">
        <v>174</v>
      </c>
      <c r="L228" t="s">
        <v>163</v>
      </c>
      <c r="M228" t="s">
        <v>163</v>
      </c>
      <c r="N228" t="s">
        <v>163</v>
      </c>
      <c r="O228" s="6" t="s">
        <v>517</v>
      </c>
      <c r="P228">
        <v>0</v>
      </c>
      <c r="Q228" s="24">
        <v>20.8</v>
      </c>
      <c r="R228" s="25">
        <v>21.1</v>
      </c>
      <c r="S228" s="26">
        <v>25.3</v>
      </c>
      <c r="U228" s="3">
        <v>225</v>
      </c>
      <c r="V228" s="1">
        <v>7747140</v>
      </c>
      <c r="W228" s="1">
        <v>1053225</v>
      </c>
      <c r="Y228">
        <v>3</v>
      </c>
      <c r="Z228">
        <v>15</v>
      </c>
      <c r="AA228" s="3">
        <v>25</v>
      </c>
      <c r="AB228" s="3">
        <v>6</v>
      </c>
      <c r="AC228">
        <v>155</v>
      </c>
      <c r="AD228" s="9">
        <f t="shared" si="61"/>
        <v>17038.166666666664</v>
      </c>
      <c r="AE228">
        <f t="shared" si="63"/>
        <v>2555730</v>
      </c>
      <c r="AF228" s="2">
        <f t="shared" si="68"/>
        <v>12.5</v>
      </c>
      <c r="AG228" t="str">
        <f t="shared" si="69"/>
        <v>283小时</v>
      </c>
      <c r="AH228">
        <f t="shared" si="70"/>
        <v>38</v>
      </c>
      <c r="AI228">
        <f t="shared" si="71"/>
        <v>7</v>
      </c>
      <c r="AJ228">
        <f t="shared" si="64"/>
        <v>27.3</v>
      </c>
      <c r="AK228">
        <f t="shared" si="72"/>
        <v>14</v>
      </c>
      <c r="AL228">
        <f t="shared" si="65"/>
        <v>12.5</v>
      </c>
      <c r="AM228" s="2">
        <f t="shared" si="73"/>
        <v>7</v>
      </c>
      <c r="AX228">
        <v>225</v>
      </c>
      <c r="AY228">
        <v>225</v>
      </c>
      <c r="AZ228" s="3">
        <f t="shared" si="66"/>
        <v>7747140</v>
      </c>
      <c r="BA228" t="e">
        <f>AZ228/(#REF!*60/5)/60</f>
        <v>#REF!</v>
      </c>
      <c r="BB228" s="2">
        <f t="shared" si="62"/>
        <v>105</v>
      </c>
      <c r="BC228">
        <f t="shared" si="67"/>
        <v>7.2783333333333333</v>
      </c>
      <c r="BD228" s="2">
        <f t="shared" si="74"/>
        <v>27.3</v>
      </c>
      <c r="BE228">
        <f t="shared" si="75"/>
        <v>12.5</v>
      </c>
      <c r="BF228">
        <f t="shared" si="76"/>
        <v>72000</v>
      </c>
    </row>
    <row r="229" spans="1:58" ht="14.25" x14ac:dyDescent="0.2">
      <c r="A229" s="11">
        <v>941</v>
      </c>
      <c r="B229" s="13">
        <v>3</v>
      </c>
      <c r="C229" s="15">
        <v>3</v>
      </c>
      <c r="D229" s="14">
        <f t="shared" si="77"/>
        <v>5</v>
      </c>
      <c r="E229" s="1" t="s">
        <v>2777</v>
      </c>
      <c r="F229" s="1" t="s">
        <v>2798</v>
      </c>
      <c r="G229" s="1" t="s">
        <v>2779</v>
      </c>
      <c r="H229" s="1" t="s">
        <v>2779</v>
      </c>
      <c r="I229" s="1" t="s">
        <v>2780</v>
      </c>
      <c r="J229" s="16" t="s">
        <v>2808</v>
      </c>
      <c r="K229" t="s">
        <v>182</v>
      </c>
      <c r="L229" t="s">
        <v>163</v>
      </c>
      <c r="M229" t="s">
        <v>163</v>
      </c>
      <c r="N229" t="s">
        <v>163</v>
      </c>
      <c r="O229" s="6" t="s">
        <v>519</v>
      </c>
      <c r="P229">
        <v>0</v>
      </c>
      <c r="Q229" s="24">
        <v>21.2</v>
      </c>
      <c r="R229" s="25">
        <v>21.5</v>
      </c>
      <c r="S229" s="26">
        <v>25.7</v>
      </c>
      <c r="U229" s="3">
        <v>226</v>
      </c>
      <c r="V229" s="1">
        <v>7850200</v>
      </c>
      <c r="W229" s="1">
        <v>1054126</v>
      </c>
      <c r="Y229">
        <v>4</v>
      </c>
      <c r="Z229">
        <v>1</v>
      </c>
      <c r="AA229" s="3">
        <v>20</v>
      </c>
      <c r="AB229" s="3">
        <v>6</v>
      </c>
      <c r="AC229">
        <v>155</v>
      </c>
      <c r="AD229" s="9">
        <f t="shared" si="61"/>
        <v>16769.833333333332</v>
      </c>
      <c r="AE229">
        <f t="shared" si="63"/>
        <v>2555730</v>
      </c>
      <c r="AF229" s="2">
        <f t="shared" si="68"/>
        <v>12.700000000000001</v>
      </c>
      <c r="AG229" t="str">
        <f t="shared" si="69"/>
        <v>279小时</v>
      </c>
      <c r="AH229">
        <f t="shared" si="70"/>
        <v>39</v>
      </c>
      <c r="AI229">
        <f t="shared" si="71"/>
        <v>7</v>
      </c>
      <c r="AJ229">
        <f t="shared" si="64"/>
        <v>27.6</v>
      </c>
      <c r="AK229">
        <f t="shared" si="72"/>
        <v>14</v>
      </c>
      <c r="AL229">
        <f t="shared" si="65"/>
        <v>12.700000000000001</v>
      </c>
      <c r="AM229" s="2">
        <f t="shared" si="73"/>
        <v>7</v>
      </c>
      <c r="AX229">
        <v>226</v>
      </c>
      <c r="AY229">
        <v>226</v>
      </c>
      <c r="AZ229" s="3">
        <f t="shared" si="66"/>
        <v>7850200</v>
      </c>
      <c r="BA229" t="e">
        <f>AZ229/(#REF!*60/5)/60</f>
        <v>#REF!</v>
      </c>
      <c r="BB229" s="2">
        <f t="shared" si="62"/>
        <v>105</v>
      </c>
      <c r="BC229">
        <f t="shared" si="67"/>
        <v>7.1637139107611532</v>
      </c>
      <c r="BD229" s="2">
        <f t="shared" si="74"/>
        <v>27.6</v>
      </c>
      <c r="BE229">
        <f t="shared" si="75"/>
        <v>12.700000000000001</v>
      </c>
      <c r="BF229">
        <f t="shared" si="76"/>
        <v>73152.000000000015</v>
      </c>
    </row>
    <row r="230" spans="1:58" ht="14.25" x14ac:dyDescent="0.2">
      <c r="A230" s="11">
        <v>942</v>
      </c>
      <c r="B230" s="13">
        <v>3</v>
      </c>
      <c r="C230" s="15">
        <v>3</v>
      </c>
      <c r="D230" s="14">
        <f t="shared" si="77"/>
        <v>5</v>
      </c>
      <c r="E230" s="1" t="s">
        <v>2777</v>
      </c>
      <c r="F230" s="1" t="s">
        <v>2805</v>
      </c>
      <c r="G230" s="1" t="s">
        <v>2779</v>
      </c>
      <c r="H230" s="1" t="s">
        <v>2779</v>
      </c>
      <c r="I230" s="1" t="s">
        <v>2780</v>
      </c>
      <c r="J230" s="16" t="s">
        <v>2808</v>
      </c>
      <c r="K230" t="s">
        <v>162</v>
      </c>
      <c r="L230" t="s">
        <v>163</v>
      </c>
      <c r="M230" t="s">
        <v>163</v>
      </c>
      <c r="N230" t="s">
        <v>163</v>
      </c>
      <c r="O230" s="6" t="s">
        <v>519</v>
      </c>
      <c r="P230">
        <v>0</v>
      </c>
      <c r="Q230" s="24">
        <v>21.2</v>
      </c>
      <c r="R230" s="25">
        <v>21.5</v>
      </c>
      <c r="S230" s="26">
        <v>25.7</v>
      </c>
      <c r="U230" s="3">
        <v>227</v>
      </c>
      <c r="V230" s="1">
        <v>7954170</v>
      </c>
      <c r="W230" s="1">
        <v>1055031</v>
      </c>
      <c r="Y230">
        <v>4</v>
      </c>
      <c r="Z230">
        <v>2</v>
      </c>
      <c r="AA230" s="3">
        <v>20</v>
      </c>
      <c r="AB230" s="3">
        <v>6</v>
      </c>
      <c r="AC230">
        <v>155</v>
      </c>
      <c r="AD230" s="9">
        <f t="shared" si="61"/>
        <v>16769.833333333332</v>
      </c>
      <c r="AE230">
        <f t="shared" si="63"/>
        <v>2555730</v>
      </c>
      <c r="AF230" s="2">
        <f t="shared" si="68"/>
        <v>12.700000000000001</v>
      </c>
      <c r="AG230" t="str">
        <f t="shared" si="69"/>
        <v>279小时</v>
      </c>
      <c r="AH230">
        <f t="shared" si="70"/>
        <v>39</v>
      </c>
      <c r="AI230">
        <f t="shared" si="71"/>
        <v>7</v>
      </c>
      <c r="AJ230">
        <f t="shared" si="64"/>
        <v>27.6</v>
      </c>
      <c r="AK230">
        <f t="shared" si="72"/>
        <v>14</v>
      </c>
      <c r="AL230">
        <f t="shared" si="65"/>
        <v>12.700000000000001</v>
      </c>
      <c r="AM230" s="2">
        <f t="shared" si="73"/>
        <v>7</v>
      </c>
      <c r="AX230">
        <v>227</v>
      </c>
      <c r="AY230">
        <v>227</v>
      </c>
      <c r="AZ230" s="3">
        <f t="shared" si="66"/>
        <v>7954170</v>
      </c>
      <c r="BA230" t="e">
        <f>AZ230/(#REF!*60/5)/60</f>
        <v>#REF!</v>
      </c>
      <c r="BB230" s="2">
        <f t="shared" si="62"/>
        <v>105</v>
      </c>
      <c r="BC230">
        <f t="shared" si="67"/>
        <v>7.1637139107611532</v>
      </c>
      <c r="BD230" s="2">
        <f t="shared" si="74"/>
        <v>27.6</v>
      </c>
      <c r="BE230">
        <f t="shared" si="75"/>
        <v>12.700000000000001</v>
      </c>
      <c r="BF230">
        <f t="shared" si="76"/>
        <v>73152.000000000015</v>
      </c>
    </row>
    <row r="231" spans="1:58" ht="14.25" x14ac:dyDescent="0.2">
      <c r="A231" s="11">
        <v>943</v>
      </c>
      <c r="B231" s="13">
        <v>3</v>
      </c>
      <c r="C231" s="15">
        <v>3</v>
      </c>
      <c r="D231" s="14">
        <f t="shared" si="77"/>
        <v>5</v>
      </c>
      <c r="E231" s="1" t="s">
        <v>2777</v>
      </c>
      <c r="F231" s="1" t="s">
        <v>2801</v>
      </c>
      <c r="G231" s="1" t="s">
        <v>2779</v>
      </c>
      <c r="H231" s="1" t="s">
        <v>2779</v>
      </c>
      <c r="I231" s="1" t="s">
        <v>2780</v>
      </c>
      <c r="J231" s="16" t="s">
        <v>2808</v>
      </c>
      <c r="K231" t="s">
        <v>177</v>
      </c>
      <c r="L231" t="s">
        <v>163</v>
      </c>
      <c r="M231" t="s">
        <v>163</v>
      </c>
      <c r="N231" t="s">
        <v>163</v>
      </c>
      <c r="O231" s="6" t="s">
        <v>521</v>
      </c>
      <c r="P231">
        <v>0</v>
      </c>
      <c r="Q231" s="24">
        <v>21.2</v>
      </c>
      <c r="R231" s="25">
        <v>21.5</v>
      </c>
      <c r="S231" s="26">
        <v>25.7</v>
      </c>
      <c r="U231" s="3">
        <v>228</v>
      </c>
      <c r="V231" s="1">
        <v>8059054</v>
      </c>
      <c r="W231" s="1">
        <v>1055940</v>
      </c>
      <c r="Y231">
        <v>4</v>
      </c>
      <c r="Z231">
        <v>3</v>
      </c>
      <c r="AA231" s="3">
        <v>20</v>
      </c>
      <c r="AB231" s="3">
        <v>6</v>
      </c>
      <c r="AC231">
        <v>155</v>
      </c>
      <c r="AD231" s="9">
        <f t="shared" si="61"/>
        <v>16769.833333333332</v>
      </c>
      <c r="AE231">
        <f t="shared" si="63"/>
        <v>2555730</v>
      </c>
      <c r="AF231" s="2">
        <f t="shared" si="68"/>
        <v>12.700000000000001</v>
      </c>
      <c r="AG231" t="str">
        <f t="shared" si="69"/>
        <v>279小时</v>
      </c>
      <c r="AH231">
        <f t="shared" si="70"/>
        <v>39</v>
      </c>
      <c r="AI231">
        <f t="shared" si="71"/>
        <v>7</v>
      </c>
      <c r="AJ231">
        <f t="shared" si="64"/>
        <v>27.6</v>
      </c>
      <c r="AK231">
        <f t="shared" si="72"/>
        <v>14</v>
      </c>
      <c r="AL231">
        <f t="shared" si="65"/>
        <v>12.700000000000001</v>
      </c>
      <c r="AM231" s="2">
        <f t="shared" si="73"/>
        <v>7</v>
      </c>
      <c r="AX231">
        <v>228</v>
      </c>
      <c r="AY231">
        <v>228</v>
      </c>
      <c r="AZ231" s="3">
        <f t="shared" si="66"/>
        <v>8059054</v>
      </c>
      <c r="BA231" t="e">
        <f>AZ231/(#REF!*60/5)/60</f>
        <v>#REF!</v>
      </c>
      <c r="BB231" s="2">
        <f t="shared" si="62"/>
        <v>105</v>
      </c>
      <c r="BC231">
        <f t="shared" si="67"/>
        <v>7.1637139107611532</v>
      </c>
      <c r="BD231" s="2">
        <f t="shared" si="74"/>
        <v>27.6</v>
      </c>
      <c r="BE231">
        <f t="shared" si="75"/>
        <v>12.700000000000001</v>
      </c>
      <c r="BF231">
        <f t="shared" si="76"/>
        <v>73152.000000000015</v>
      </c>
    </row>
    <row r="232" spans="1:58" ht="14.25" x14ac:dyDescent="0.2">
      <c r="A232" s="11">
        <v>944</v>
      </c>
      <c r="B232" s="13">
        <v>3</v>
      </c>
      <c r="C232" s="15">
        <v>3</v>
      </c>
      <c r="D232" s="14">
        <f t="shared" si="77"/>
        <v>5</v>
      </c>
      <c r="E232" s="1" t="s">
        <v>2777</v>
      </c>
      <c r="F232" s="1" t="s">
        <v>2802</v>
      </c>
      <c r="G232" s="1" t="s">
        <v>2779</v>
      </c>
      <c r="H232" s="1" t="s">
        <v>2779</v>
      </c>
      <c r="I232" s="1" t="s">
        <v>2780</v>
      </c>
      <c r="J232" s="16" t="s">
        <v>2808</v>
      </c>
      <c r="K232" t="s">
        <v>174</v>
      </c>
      <c r="L232" t="s">
        <v>163</v>
      </c>
      <c r="M232" t="s">
        <v>163</v>
      </c>
      <c r="N232" t="s">
        <v>163</v>
      </c>
      <c r="O232" s="6" t="s">
        <v>523</v>
      </c>
      <c r="P232">
        <v>0</v>
      </c>
      <c r="Q232" s="24">
        <v>21.2</v>
      </c>
      <c r="R232" s="25">
        <v>21.5</v>
      </c>
      <c r="S232" s="26">
        <v>25.7</v>
      </c>
      <c r="U232" s="3">
        <v>229</v>
      </c>
      <c r="V232" s="1">
        <v>8164856</v>
      </c>
      <c r="W232" s="1">
        <v>1056853</v>
      </c>
      <c r="Y232">
        <v>4</v>
      </c>
      <c r="Z232">
        <v>4</v>
      </c>
      <c r="AA232" s="3">
        <v>20</v>
      </c>
      <c r="AB232" s="3">
        <v>6</v>
      </c>
      <c r="AC232">
        <v>155</v>
      </c>
      <c r="AD232" s="9">
        <f t="shared" si="61"/>
        <v>16769.833333333332</v>
      </c>
      <c r="AE232">
        <f t="shared" si="63"/>
        <v>2555730</v>
      </c>
      <c r="AF232" s="2">
        <f t="shared" si="68"/>
        <v>12.700000000000001</v>
      </c>
      <c r="AG232" t="str">
        <f t="shared" si="69"/>
        <v>279小时</v>
      </c>
      <c r="AH232">
        <f t="shared" si="70"/>
        <v>39</v>
      </c>
      <c r="AI232">
        <f t="shared" si="71"/>
        <v>7</v>
      </c>
      <c r="AJ232">
        <f t="shared" si="64"/>
        <v>27.6</v>
      </c>
      <c r="AK232">
        <f t="shared" si="72"/>
        <v>14</v>
      </c>
      <c r="AL232">
        <f t="shared" si="65"/>
        <v>12.700000000000001</v>
      </c>
      <c r="AM232" s="2">
        <f t="shared" si="73"/>
        <v>7</v>
      </c>
      <c r="AX232">
        <v>229</v>
      </c>
      <c r="AY232">
        <v>229</v>
      </c>
      <c r="AZ232" s="3">
        <f t="shared" si="66"/>
        <v>8164856</v>
      </c>
      <c r="BA232" t="e">
        <f>AZ232/(#REF!*60/5)/60</f>
        <v>#REF!</v>
      </c>
      <c r="BB232" s="2">
        <f t="shared" si="62"/>
        <v>105</v>
      </c>
      <c r="BC232">
        <f t="shared" si="67"/>
        <v>7.1637139107611532</v>
      </c>
      <c r="BD232" s="2">
        <f t="shared" si="74"/>
        <v>27.6</v>
      </c>
      <c r="BE232">
        <f t="shared" si="75"/>
        <v>12.700000000000001</v>
      </c>
      <c r="BF232">
        <f t="shared" si="76"/>
        <v>73152.000000000015</v>
      </c>
    </row>
    <row r="233" spans="1:58" ht="14.25" x14ac:dyDescent="0.2">
      <c r="A233" s="11">
        <v>945</v>
      </c>
      <c r="B233" s="13">
        <v>3</v>
      </c>
      <c r="C233" s="15">
        <v>3</v>
      </c>
      <c r="D233" s="14">
        <f t="shared" si="77"/>
        <v>5</v>
      </c>
      <c r="E233" s="1" t="s">
        <v>2785</v>
      </c>
      <c r="F233" s="1" t="s">
        <v>2786</v>
      </c>
      <c r="G233" s="1" t="s">
        <v>2809</v>
      </c>
      <c r="H233" s="1" t="s">
        <v>2804</v>
      </c>
      <c r="I233" s="1" t="s">
        <v>2697</v>
      </c>
      <c r="J233" s="16" t="s">
        <v>2872</v>
      </c>
      <c r="K233" t="s">
        <v>166</v>
      </c>
      <c r="L233" t="s">
        <v>163</v>
      </c>
      <c r="M233" t="s">
        <v>163</v>
      </c>
      <c r="N233" t="s">
        <v>163</v>
      </c>
      <c r="O233" s="6" t="s">
        <v>523</v>
      </c>
      <c r="P233">
        <v>0</v>
      </c>
      <c r="Q233" s="24">
        <v>21.2</v>
      </c>
      <c r="R233" s="25">
        <v>21.5</v>
      </c>
      <c r="S233" s="26">
        <v>25.7</v>
      </c>
      <c r="U233" s="3">
        <v>230</v>
      </c>
      <c r="V233" s="1">
        <v>8271580</v>
      </c>
      <c r="W233" s="1">
        <v>1142370</v>
      </c>
      <c r="Y233">
        <v>4</v>
      </c>
      <c r="Z233">
        <v>5</v>
      </c>
      <c r="AA233" s="3">
        <v>25</v>
      </c>
      <c r="AB233" s="3">
        <v>6</v>
      </c>
      <c r="AC233">
        <v>155</v>
      </c>
      <c r="AD233" s="9">
        <f t="shared" si="61"/>
        <v>16769.833333333332</v>
      </c>
      <c r="AE233">
        <f t="shared" si="63"/>
        <v>2555730</v>
      </c>
      <c r="AF233" s="2">
        <f t="shared" si="68"/>
        <v>12.700000000000001</v>
      </c>
      <c r="AG233" t="str">
        <f t="shared" si="69"/>
        <v>279小时</v>
      </c>
      <c r="AH233">
        <f t="shared" si="70"/>
        <v>39</v>
      </c>
      <c r="AI233">
        <f t="shared" si="71"/>
        <v>7</v>
      </c>
      <c r="AJ233">
        <f t="shared" si="64"/>
        <v>27.6</v>
      </c>
      <c r="AK233">
        <f t="shared" si="72"/>
        <v>14</v>
      </c>
      <c r="AL233">
        <f t="shared" si="65"/>
        <v>12.700000000000001</v>
      </c>
      <c r="AM233" s="2">
        <f t="shared" si="73"/>
        <v>7</v>
      </c>
      <c r="AX233">
        <v>230</v>
      </c>
      <c r="AY233">
        <v>230</v>
      </c>
      <c r="AZ233" s="3">
        <f t="shared" si="66"/>
        <v>8271580</v>
      </c>
      <c r="BA233" t="e">
        <f>AZ233/(#REF!*60/5)/60</f>
        <v>#REF!</v>
      </c>
      <c r="BB233" s="2">
        <f t="shared" si="62"/>
        <v>105</v>
      </c>
      <c r="BC233">
        <f t="shared" si="67"/>
        <v>7.1637139107611532</v>
      </c>
      <c r="BD233" s="2">
        <f t="shared" si="74"/>
        <v>27.6</v>
      </c>
      <c r="BE233">
        <f t="shared" si="75"/>
        <v>12.700000000000001</v>
      </c>
      <c r="BF233">
        <f t="shared" si="76"/>
        <v>73152.000000000015</v>
      </c>
    </row>
    <row r="234" spans="1:58" ht="14.25" x14ac:dyDescent="0.2">
      <c r="A234" s="11">
        <v>1001</v>
      </c>
      <c r="B234" s="13">
        <v>3</v>
      </c>
      <c r="C234" s="15">
        <v>3</v>
      </c>
      <c r="D234" s="14">
        <f t="shared" si="77"/>
        <v>5</v>
      </c>
      <c r="E234" s="1" t="s">
        <v>2777</v>
      </c>
      <c r="F234" s="1" t="s">
        <v>2798</v>
      </c>
      <c r="G234" s="1" t="s">
        <v>2779</v>
      </c>
      <c r="H234" s="1" t="s">
        <v>2779</v>
      </c>
      <c r="I234" s="1" t="s">
        <v>2780</v>
      </c>
      <c r="J234" s="16" t="s">
        <v>2810</v>
      </c>
      <c r="K234" t="s">
        <v>168</v>
      </c>
      <c r="L234" t="s">
        <v>163</v>
      </c>
      <c r="M234" t="s">
        <v>163</v>
      </c>
      <c r="N234" t="s">
        <v>163</v>
      </c>
      <c r="O234" s="6" t="s">
        <v>525</v>
      </c>
      <c r="P234">
        <v>0</v>
      </c>
      <c r="Q234" s="24">
        <v>21.5</v>
      </c>
      <c r="R234" s="25">
        <v>22</v>
      </c>
      <c r="S234" s="26">
        <v>26</v>
      </c>
      <c r="U234" s="3">
        <v>231</v>
      </c>
      <c r="V234" s="1">
        <v>8379230</v>
      </c>
      <c r="W234" s="1">
        <v>1143291</v>
      </c>
      <c r="Y234">
        <v>4</v>
      </c>
      <c r="Z234">
        <v>6</v>
      </c>
      <c r="AA234" s="3">
        <v>20</v>
      </c>
      <c r="AB234" s="3">
        <v>6</v>
      </c>
      <c r="AC234">
        <v>155</v>
      </c>
      <c r="AD234" s="9">
        <f t="shared" si="61"/>
        <v>16382.833333333332</v>
      </c>
      <c r="AE234">
        <f t="shared" si="63"/>
        <v>2555730</v>
      </c>
      <c r="AF234" s="2">
        <f t="shared" si="68"/>
        <v>13</v>
      </c>
      <c r="AG234" t="str">
        <f t="shared" si="69"/>
        <v>273小时</v>
      </c>
      <c r="AH234">
        <f t="shared" si="70"/>
        <v>39</v>
      </c>
      <c r="AI234">
        <f t="shared" si="71"/>
        <v>7</v>
      </c>
      <c r="AJ234">
        <f t="shared" si="64"/>
        <v>28</v>
      </c>
      <c r="AK234">
        <f t="shared" si="72"/>
        <v>14</v>
      </c>
      <c r="AL234">
        <f t="shared" si="65"/>
        <v>13</v>
      </c>
      <c r="AM234" s="2">
        <f t="shared" si="73"/>
        <v>7</v>
      </c>
      <c r="AX234">
        <v>231</v>
      </c>
      <c r="AY234">
        <v>231</v>
      </c>
      <c r="AZ234" s="3">
        <f t="shared" si="66"/>
        <v>8379230</v>
      </c>
      <c r="BA234" t="e">
        <f>AZ234/(#REF!*60/5)/60</f>
        <v>#REF!</v>
      </c>
      <c r="BB234" s="2">
        <f t="shared" si="62"/>
        <v>105</v>
      </c>
      <c r="BC234">
        <f t="shared" si="67"/>
        <v>6.9983974358974361</v>
      </c>
      <c r="BD234" s="2">
        <f t="shared" si="74"/>
        <v>28</v>
      </c>
      <c r="BE234">
        <f t="shared" si="75"/>
        <v>13</v>
      </c>
      <c r="BF234">
        <f t="shared" si="76"/>
        <v>74880</v>
      </c>
    </row>
    <row r="235" spans="1:58" ht="14.25" x14ac:dyDescent="0.2">
      <c r="A235" s="11">
        <v>1002</v>
      </c>
      <c r="B235" s="13">
        <v>3</v>
      </c>
      <c r="C235" s="15">
        <v>3</v>
      </c>
      <c r="D235" s="14">
        <f t="shared" si="77"/>
        <v>5</v>
      </c>
      <c r="E235" s="1" t="s">
        <v>2777</v>
      </c>
      <c r="F235" s="1" t="s">
        <v>2805</v>
      </c>
      <c r="G235" s="1" t="s">
        <v>2779</v>
      </c>
      <c r="H235" s="1" t="s">
        <v>2779</v>
      </c>
      <c r="I235" s="1" t="s">
        <v>2780</v>
      </c>
      <c r="J235" s="16" t="s">
        <v>2810</v>
      </c>
      <c r="K235" t="s">
        <v>175</v>
      </c>
      <c r="L235" t="s">
        <v>164</v>
      </c>
      <c r="M235" t="s">
        <v>163</v>
      </c>
      <c r="N235" t="s">
        <v>167</v>
      </c>
      <c r="O235" s="6" t="s">
        <v>527</v>
      </c>
      <c r="P235">
        <v>0</v>
      </c>
      <c r="Q235" s="24">
        <v>21.5</v>
      </c>
      <c r="R235" s="25">
        <v>22</v>
      </c>
      <c r="S235" s="26">
        <v>26</v>
      </c>
      <c r="U235" s="3">
        <v>232</v>
      </c>
      <c r="V235" s="1">
        <v>8487810</v>
      </c>
      <c r="W235" s="1">
        <v>1144216</v>
      </c>
      <c r="Y235">
        <v>4</v>
      </c>
      <c r="Z235">
        <v>7</v>
      </c>
      <c r="AA235" s="3">
        <v>20</v>
      </c>
      <c r="AB235" s="3">
        <v>6</v>
      </c>
      <c r="AC235">
        <v>155</v>
      </c>
      <c r="AD235" s="9">
        <f t="shared" si="61"/>
        <v>16382.833333333332</v>
      </c>
      <c r="AE235">
        <f t="shared" si="63"/>
        <v>2555730</v>
      </c>
      <c r="AF235" s="2">
        <f t="shared" si="68"/>
        <v>13</v>
      </c>
      <c r="AG235" t="str">
        <f t="shared" si="69"/>
        <v>273小时</v>
      </c>
      <c r="AH235">
        <f t="shared" si="70"/>
        <v>39</v>
      </c>
      <c r="AI235">
        <f t="shared" si="71"/>
        <v>7</v>
      </c>
      <c r="AJ235">
        <f t="shared" si="64"/>
        <v>28</v>
      </c>
      <c r="AK235">
        <f t="shared" si="72"/>
        <v>14</v>
      </c>
      <c r="AL235">
        <f t="shared" si="65"/>
        <v>13</v>
      </c>
      <c r="AM235" s="2">
        <f t="shared" si="73"/>
        <v>7</v>
      </c>
      <c r="AX235">
        <v>232</v>
      </c>
      <c r="AY235">
        <v>232</v>
      </c>
      <c r="AZ235" s="3">
        <f t="shared" si="66"/>
        <v>8487810</v>
      </c>
      <c r="BA235" t="e">
        <f>AZ235/(#REF!*60/5)/60</f>
        <v>#REF!</v>
      </c>
      <c r="BB235" s="2">
        <f t="shared" si="62"/>
        <v>105</v>
      </c>
      <c r="BC235">
        <f t="shared" si="67"/>
        <v>6.9983974358974361</v>
      </c>
      <c r="BD235" s="2">
        <f t="shared" si="74"/>
        <v>28</v>
      </c>
      <c r="BE235">
        <f t="shared" si="75"/>
        <v>13</v>
      </c>
      <c r="BF235">
        <f t="shared" si="76"/>
        <v>74880</v>
      </c>
    </row>
    <row r="236" spans="1:58" ht="14.25" x14ac:dyDescent="0.2">
      <c r="A236" s="11">
        <v>1003</v>
      </c>
      <c r="B236" s="13">
        <v>3</v>
      </c>
      <c r="C236" s="15">
        <v>3</v>
      </c>
      <c r="D236" s="14">
        <f t="shared" si="77"/>
        <v>5</v>
      </c>
      <c r="E236" s="1" t="s">
        <v>2777</v>
      </c>
      <c r="F236" s="1" t="s">
        <v>2801</v>
      </c>
      <c r="G236" s="1" t="s">
        <v>2779</v>
      </c>
      <c r="H236" s="1" t="s">
        <v>2779</v>
      </c>
      <c r="I236" s="1" t="s">
        <v>2780</v>
      </c>
      <c r="J236" s="16" t="s">
        <v>2810</v>
      </c>
      <c r="K236" t="s">
        <v>179</v>
      </c>
      <c r="L236" t="s">
        <v>163</v>
      </c>
      <c r="M236" t="s">
        <v>163</v>
      </c>
      <c r="N236" t="s">
        <v>163</v>
      </c>
      <c r="O236" s="6" t="s">
        <v>529</v>
      </c>
      <c r="P236">
        <v>0</v>
      </c>
      <c r="Q236" s="24">
        <v>21.5</v>
      </c>
      <c r="R236" s="25">
        <v>22</v>
      </c>
      <c r="S236" s="26">
        <v>26</v>
      </c>
      <c r="U236" s="3">
        <v>233</v>
      </c>
      <c r="V236" s="1">
        <v>8597324</v>
      </c>
      <c r="W236" s="1">
        <v>1145145</v>
      </c>
      <c r="Y236">
        <v>4</v>
      </c>
      <c r="Z236">
        <v>8</v>
      </c>
      <c r="AA236" s="3">
        <v>20</v>
      </c>
      <c r="AB236" s="3">
        <v>6</v>
      </c>
      <c r="AC236">
        <v>155</v>
      </c>
      <c r="AD236" s="9">
        <f t="shared" si="61"/>
        <v>16382.833333333332</v>
      </c>
      <c r="AE236">
        <f t="shared" si="63"/>
        <v>2555730</v>
      </c>
      <c r="AF236" s="2">
        <f t="shared" si="68"/>
        <v>13</v>
      </c>
      <c r="AG236" t="str">
        <f t="shared" si="69"/>
        <v>273小时</v>
      </c>
      <c r="AH236">
        <f t="shared" si="70"/>
        <v>39</v>
      </c>
      <c r="AI236">
        <f t="shared" si="71"/>
        <v>7</v>
      </c>
      <c r="AJ236">
        <f t="shared" si="64"/>
        <v>28</v>
      </c>
      <c r="AK236">
        <f t="shared" si="72"/>
        <v>14</v>
      </c>
      <c r="AL236">
        <f t="shared" si="65"/>
        <v>13</v>
      </c>
      <c r="AM236" s="2">
        <f t="shared" si="73"/>
        <v>7</v>
      </c>
      <c r="AX236">
        <v>233</v>
      </c>
      <c r="AY236">
        <v>233</v>
      </c>
      <c r="AZ236" s="3">
        <f t="shared" si="66"/>
        <v>8597324</v>
      </c>
      <c r="BA236" t="e">
        <f>AZ236/(#REF!*60/5)/60</f>
        <v>#REF!</v>
      </c>
      <c r="BB236" s="2">
        <f t="shared" si="62"/>
        <v>105</v>
      </c>
      <c r="BC236">
        <f t="shared" si="67"/>
        <v>6.9983974358974361</v>
      </c>
      <c r="BD236" s="2">
        <f t="shared" si="74"/>
        <v>28</v>
      </c>
      <c r="BE236">
        <f t="shared" si="75"/>
        <v>13</v>
      </c>
      <c r="BF236">
        <f t="shared" si="76"/>
        <v>74880</v>
      </c>
    </row>
    <row r="237" spans="1:58" ht="14.25" x14ac:dyDescent="0.2">
      <c r="A237" s="11">
        <v>1004</v>
      </c>
      <c r="B237" s="13">
        <v>3</v>
      </c>
      <c r="C237" s="15">
        <v>3</v>
      </c>
      <c r="D237" s="14">
        <f t="shared" si="77"/>
        <v>5</v>
      </c>
      <c r="E237" s="1" t="s">
        <v>2777</v>
      </c>
      <c r="F237" s="1" t="s">
        <v>2802</v>
      </c>
      <c r="G237" s="1" t="s">
        <v>2779</v>
      </c>
      <c r="H237" s="1" t="s">
        <v>2779</v>
      </c>
      <c r="I237" s="1" t="s">
        <v>2780</v>
      </c>
      <c r="J237" s="16" t="s">
        <v>2810</v>
      </c>
      <c r="K237" t="s">
        <v>177</v>
      </c>
      <c r="L237" t="s">
        <v>163</v>
      </c>
      <c r="M237" t="s">
        <v>163</v>
      </c>
      <c r="N237" t="s">
        <v>163</v>
      </c>
      <c r="O237" s="6" t="s">
        <v>529</v>
      </c>
      <c r="P237">
        <v>0</v>
      </c>
      <c r="Q237" s="24">
        <v>21.5</v>
      </c>
      <c r="R237" s="25">
        <v>22</v>
      </c>
      <c r="S237" s="26">
        <v>26</v>
      </c>
      <c r="U237" s="3">
        <v>234</v>
      </c>
      <c r="V237" s="1">
        <v>8707776</v>
      </c>
      <c r="W237" s="1">
        <v>1146078</v>
      </c>
      <c r="Y237">
        <v>4</v>
      </c>
      <c r="Z237">
        <v>9</v>
      </c>
      <c r="AA237" s="3">
        <v>20</v>
      </c>
      <c r="AB237" s="3">
        <v>6</v>
      </c>
      <c r="AC237">
        <v>155</v>
      </c>
      <c r="AD237" s="9">
        <f t="shared" si="61"/>
        <v>16382.833333333332</v>
      </c>
      <c r="AE237">
        <f t="shared" si="63"/>
        <v>2555730</v>
      </c>
      <c r="AF237" s="2">
        <f t="shared" si="68"/>
        <v>13</v>
      </c>
      <c r="AG237" t="str">
        <f t="shared" si="69"/>
        <v>273小时</v>
      </c>
      <c r="AH237">
        <f t="shared" si="70"/>
        <v>39</v>
      </c>
      <c r="AI237">
        <f t="shared" si="71"/>
        <v>7</v>
      </c>
      <c r="AJ237">
        <f t="shared" si="64"/>
        <v>28</v>
      </c>
      <c r="AK237">
        <f t="shared" si="72"/>
        <v>14</v>
      </c>
      <c r="AL237">
        <f t="shared" si="65"/>
        <v>13</v>
      </c>
      <c r="AM237" s="2">
        <f t="shared" si="73"/>
        <v>7</v>
      </c>
      <c r="AX237">
        <v>234</v>
      </c>
      <c r="AY237">
        <v>234</v>
      </c>
      <c r="AZ237" s="3">
        <f t="shared" si="66"/>
        <v>8707776</v>
      </c>
      <c r="BA237" t="e">
        <f>AZ237/(#REF!*60/5)/60</f>
        <v>#REF!</v>
      </c>
      <c r="BB237" s="2">
        <f t="shared" si="62"/>
        <v>105</v>
      </c>
      <c r="BC237">
        <f t="shared" si="67"/>
        <v>6.9983974358974361</v>
      </c>
      <c r="BD237" s="2">
        <f t="shared" si="74"/>
        <v>28</v>
      </c>
      <c r="BE237">
        <f t="shared" si="75"/>
        <v>13</v>
      </c>
      <c r="BF237">
        <f t="shared" si="76"/>
        <v>74880</v>
      </c>
    </row>
    <row r="238" spans="1:58" ht="14.25" x14ac:dyDescent="0.2">
      <c r="A238" s="11">
        <v>1005</v>
      </c>
      <c r="B238" s="13">
        <v>3</v>
      </c>
      <c r="C238" s="15">
        <v>3</v>
      </c>
      <c r="D238" s="14">
        <f t="shared" si="77"/>
        <v>5</v>
      </c>
      <c r="E238" s="1" t="s">
        <v>2785</v>
      </c>
      <c r="F238" s="1" t="s">
        <v>2786</v>
      </c>
      <c r="G238" s="1" t="s">
        <v>2811</v>
      </c>
      <c r="H238" s="1" t="s">
        <v>2804</v>
      </c>
      <c r="I238" s="1" t="s">
        <v>2697</v>
      </c>
      <c r="J238" s="16" t="s">
        <v>2855</v>
      </c>
      <c r="K238" t="s">
        <v>174</v>
      </c>
      <c r="L238" t="s">
        <v>163</v>
      </c>
      <c r="M238" t="s">
        <v>163</v>
      </c>
      <c r="N238" t="s">
        <v>163</v>
      </c>
      <c r="O238" s="6" t="s">
        <v>531</v>
      </c>
      <c r="P238">
        <v>0</v>
      </c>
      <c r="Q238" s="24">
        <v>21.5</v>
      </c>
      <c r="R238" s="25">
        <v>22</v>
      </c>
      <c r="S238" s="26">
        <v>26</v>
      </c>
      <c r="U238" s="3">
        <v>235</v>
      </c>
      <c r="V238" s="1">
        <v>8819170</v>
      </c>
      <c r="W238" s="1">
        <v>1319815</v>
      </c>
      <c r="Y238">
        <v>4</v>
      </c>
      <c r="Z238">
        <v>10</v>
      </c>
      <c r="AA238" s="3">
        <v>25</v>
      </c>
      <c r="AB238" s="3">
        <v>6</v>
      </c>
      <c r="AC238">
        <v>155</v>
      </c>
      <c r="AD238" s="9">
        <f t="shared" si="61"/>
        <v>16382.833333333332</v>
      </c>
      <c r="AE238">
        <f t="shared" si="63"/>
        <v>2555730</v>
      </c>
      <c r="AF238" s="2">
        <f t="shared" si="68"/>
        <v>13</v>
      </c>
      <c r="AG238" t="str">
        <f t="shared" si="69"/>
        <v>273小时</v>
      </c>
      <c r="AH238">
        <f t="shared" si="70"/>
        <v>39</v>
      </c>
      <c r="AI238">
        <f t="shared" si="71"/>
        <v>7</v>
      </c>
      <c r="AJ238">
        <f t="shared" si="64"/>
        <v>28</v>
      </c>
      <c r="AK238">
        <f t="shared" si="72"/>
        <v>14</v>
      </c>
      <c r="AL238">
        <f t="shared" si="65"/>
        <v>13</v>
      </c>
      <c r="AM238" s="2">
        <f t="shared" si="73"/>
        <v>7</v>
      </c>
      <c r="AX238">
        <v>235</v>
      </c>
      <c r="AY238">
        <v>235</v>
      </c>
      <c r="AZ238" s="3">
        <f t="shared" si="66"/>
        <v>8819170</v>
      </c>
      <c r="BA238" t="e">
        <f>AZ238/(#REF!*60/5)/60</f>
        <v>#REF!</v>
      </c>
      <c r="BB238" s="2">
        <f t="shared" si="62"/>
        <v>105</v>
      </c>
      <c r="BC238">
        <f t="shared" si="67"/>
        <v>6.9983974358974361</v>
      </c>
      <c r="BD238" s="2">
        <f t="shared" si="74"/>
        <v>28</v>
      </c>
      <c r="BE238">
        <f t="shared" si="75"/>
        <v>13</v>
      </c>
      <c r="BF238">
        <f t="shared" si="76"/>
        <v>74880</v>
      </c>
    </row>
    <row r="239" spans="1:58" ht="14.25" x14ac:dyDescent="0.2">
      <c r="A239" s="11">
        <v>1006</v>
      </c>
      <c r="B239" s="13">
        <v>3</v>
      </c>
      <c r="C239" s="15">
        <v>3</v>
      </c>
      <c r="D239" s="14">
        <f t="shared" si="77"/>
        <v>5</v>
      </c>
      <c r="E239" s="1" t="s">
        <v>2777</v>
      </c>
      <c r="F239" s="1" t="s">
        <v>2798</v>
      </c>
      <c r="G239" s="1" t="s">
        <v>2779</v>
      </c>
      <c r="H239" s="1" t="s">
        <v>2779</v>
      </c>
      <c r="I239" s="1" t="s">
        <v>2780</v>
      </c>
      <c r="J239" s="16" t="s">
        <v>2810</v>
      </c>
      <c r="K239" t="s">
        <v>182</v>
      </c>
      <c r="L239" t="s">
        <v>163</v>
      </c>
      <c r="M239" t="s">
        <v>163</v>
      </c>
      <c r="N239" t="s">
        <v>163</v>
      </c>
      <c r="O239" s="6" t="s">
        <v>533</v>
      </c>
      <c r="P239">
        <v>0</v>
      </c>
      <c r="Q239" s="24">
        <v>21.8</v>
      </c>
      <c r="R239" s="25">
        <v>22.5</v>
      </c>
      <c r="S239" s="26">
        <v>26.3</v>
      </c>
      <c r="U239" s="3">
        <v>236</v>
      </c>
      <c r="V239" s="1">
        <v>8931510</v>
      </c>
      <c r="W239" s="1">
        <v>1320756</v>
      </c>
      <c r="Y239">
        <v>4</v>
      </c>
      <c r="Z239">
        <v>11</v>
      </c>
      <c r="AA239" s="3">
        <v>20</v>
      </c>
      <c r="AB239" s="3">
        <v>6</v>
      </c>
      <c r="AC239">
        <v>155</v>
      </c>
      <c r="AD239" s="9">
        <f t="shared" si="61"/>
        <v>16134.583333333332</v>
      </c>
      <c r="AE239">
        <f t="shared" si="63"/>
        <v>2555730</v>
      </c>
      <c r="AF239" s="2">
        <f t="shared" si="68"/>
        <v>13.200000000000001</v>
      </c>
      <c r="AG239" t="str">
        <f t="shared" si="69"/>
        <v>268小时</v>
      </c>
      <c r="AH239">
        <f t="shared" si="70"/>
        <v>40</v>
      </c>
      <c r="AI239">
        <f t="shared" si="71"/>
        <v>7</v>
      </c>
      <c r="AJ239">
        <f t="shared" si="64"/>
        <v>28.3</v>
      </c>
      <c r="AK239">
        <f t="shared" si="72"/>
        <v>15</v>
      </c>
      <c r="AL239">
        <f t="shared" si="65"/>
        <v>13.200000000000001</v>
      </c>
      <c r="AM239" s="2">
        <f t="shared" si="73"/>
        <v>7</v>
      </c>
      <c r="AX239">
        <v>236</v>
      </c>
      <c r="AY239">
        <v>236</v>
      </c>
      <c r="AZ239" s="3">
        <f t="shared" si="66"/>
        <v>8931510</v>
      </c>
      <c r="BA239" t="e">
        <f>AZ239/(#REF!*60/5)/60</f>
        <v>#REF!</v>
      </c>
      <c r="BB239" s="2">
        <f t="shared" si="62"/>
        <v>105</v>
      </c>
      <c r="BC239">
        <f t="shared" si="67"/>
        <v>6.8923611111111098</v>
      </c>
      <c r="BD239" s="2">
        <f t="shared" si="74"/>
        <v>28.3</v>
      </c>
      <c r="BE239">
        <f t="shared" si="75"/>
        <v>13.200000000000001</v>
      </c>
      <c r="BF239">
        <f t="shared" si="76"/>
        <v>76032.000000000015</v>
      </c>
    </row>
    <row r="240" spans="1:58" ht="14.25" x14ac:dyDescent="0.2">
      <c r="A240" s="11">
        <v>1007</v>
      </c>
      <c r="B240" s="13">
        <v>3</v>
      </c>
      <c r="C240" s="15">
        <v>3</v>
      </c>
      <c r="D240" s="14">
        <f t="shared" si="77"/>
        <v>5</v>
      </c>
      <c r="E240" s="1" t="s">
        <v>2777</v>
      </c>
      <c r="F240" s="1" t="s">
        <v>2805</v>
      </c>
      <c r="G240" s="1" t="s">
        <v>2779</v>
      </c>
      <c r="H240" s="1" t="s">
        <v>2779</v>
      </c>
      <c r="I240" s="1" t="s">
        <v>2780</v>
      </c>
      <c r="J240" s="16" t="s">
        <v>2810</v>
      </c>
      <c r="K240" t="s">
        <v>162</v>
      </c>
      <c r="L240" t="s">
        <v>163</v>
      </c>
      <c r="M240" t="s">
        <v>163</v>
      </c>
      <c r="N240" t="s">
        <v>163</v>
      </c>
      <c r="O240" s="6" t="s">
        <v>533</v>
      </c>
      <c r="P240">
        <v>0</v>
      </c>
      <c r="Q240" s="24">
        <v>21.8</v>
      </c>
      <c r="R240" s="25">
        <v>22.5</v>
      </c>
      <c r="S240" s="26">
        <v>26.3</v>
      </c>
      <c r="U240" s="3">
        <v>237</v>
      </c>
      <c r="V240" s="1">
        <v>9044800</v>
      </c>
      <c r="W240" s="1">
        <v>1321701</v>
      </c>
      <c r="Y240">
        <v>4</v>
      </c>
      <c r="Z240">
        <v>12</v>
      </c>
      <c r="AA240" s="3">
        <v>20</v>
      </c>
      <c r="AB240" s="3">
        <v>6</v>
      </c>
      <c r="AC240">
        <v>155</v>
      </c>
      <c r="AD240" s="9">
        <f t="shared" si="61"/>
        <v>16134.583333333332</v>
      </c>
      <c r="AE240">
        <f t="shared" si="63"/>
        <v>2555730</v>
      </c>
      <c r="AF240" s="2">
        <f t="shared" si="68"/>
        <v>13.200000000000001</v>
      </c>
      <c r="AG240" t="str">
        <f t="shared" si="69"/>
        <v>268小时</v>
      </c>
      <c r="AH240">
        <f t="shared" si="70"/>
        <v>40</v>
      </c>
      <c r="AI240">
        <f t="shared" si="71"/>
        <v>7</v>
      </c>
      <c r="AJ240">
        <f t="shared" si="64"/>
        <v>28.3</v>
      </c>
      <c r="AK240">
        <f t="shared" si="72"/>
        <v>15</v>
      </c>
      <c r="AL240">
        <f t="shared" si="65"/>
        <v>13.200000000000001</v>
      </c>
      <c r="AM240" s="2">
        <f t="shared" si="73"/>
        <v>7</v>
      </c>
      <c r="AX240">
        <v>237</v>
      </c>
      <c r="AY240">
        <v>237</v>
      </c>
      <c r="AZ240" s="3">
        <f t="shared" si="66"/>
        <v>9044800</v>
      </c>
      <c r="BA240" t="e">
        <f>AZ240/(#REF!*60/5)/60</f>
        <v>#REF!</v>
      </c>
      <c r="BB240" s="2">
        <f t="shared" si="62"/>
        <v>105</v>
      </c>
      <c r="BC240">
        <f t="shared" si="67"/>
        <v>6.8923611111111098</v>
      </c>
      <c r="BD240" s="2">
        <f t="shared" si="74"/>
        <v>28.3</v>
      </c>
      <c r="BE240">
        <f t="shared" si="75"/>
        <v>13.200000000000001</v>
      </c>
      <c r="BF240">
        <f t="shared" si="76"/>
        <v>76032.000000000015</v>
      </c>
    </row>
    <row r="241" spans="1:58" ht="14.25" x14ac:dyDescent="0.2">
      <c r="A241" s="11">
        <v>1008</v>
      </c>
      <c r="B241" s="13">
        <v>3</v>
      </c>
      <c r="C241" s="15">
        <v>3</v>
      </c>
      <c r="D241" s="14">
        <f t="shared" si="77"/>
        <v>5</v>
      </c>
      <c r="E241" s="1" t="s">
        <v>2777</v>
      </c>
      <c r="F241" s="1" t="s">
        <v>2801</v>
      </c>
      <c r="G241" s="1" t="s">
        <v>2779</v>
      </c>
      <c r="H241" s="1" t="s">
        <v>2779</v>
      </c>
      <c r="I241" s="1" t="s">
        <v>2780</v>
      </c>
      <c r="J241" s="16" t="s">
        <v>2810</v>
      </c>
      <c r="K241" t="s">
        <v>177</v>
      </c>
      <c r="L241" t="s">
        <v>163</v>
      </c>
      <c r="M241" t="s">
        <v>163</v>
      </c>
      <c r="N241" t="s">
        <v>163</v>
      </c>
      <c r="O241" s="6" t="s">
        <v>535</v>
      </c>
      <c r="P241">
        <v>0</v>
      </c>
      <c r="Q241" s="24">
        <v>21.8</v>
      </c>
      <c r="R241" s="25">
        <v>22.5</v>
      </c>
      <c r="S241" s="26">
        <v>26.3</v>
      </c>
      <c r="U241" s="3">
        <v>238</v>
      </c>
      <c r="V241" s="1">
        <v>9159044</v>
      </c>
      <c r="W241" s="1">
        <v>1322650</v>
      </c>
      <c r="Y241">
        <v>4</v>
      </c>
      <c r="Z241">
        <v>13</v>
      </c>
      <c r="AA241" s="3">
        <v>20</v>
      </c>
      <c r="AB241" s="3">
        <v>6</v>
      </c>
      <c r="AC241">
        <v>155</v>
      </c>
      <c r="AD241" s="9">
        <f t="shared" si="61"/>
        <v>16134.583333333332</v>
      </c>
      <c r="AE241">
        <f t="shared" si="63"/>
        <v>2555730</v>
      </c>
      <c r="AF241" s="2">
        <f t="shared" si="68"/>
        <v>13.200000000000001</v>
      </c>
      <c r="AG241" t="str">
        <f t="shared" si="69"/>
        <v>268小时</v>
      </c>
      <c r="AH241">
        <f t="shared" si="70"/>
        <v>40</v>
      </c>
      <c r="AI241">
        <f t="shared" si="71"/>
        <v>7</v>
      </c>
      <c r="AJ241">
        <f t="shared" si="64"/>
        <v>28.3</v>
      </c>
      <c r="AK241">
        <f t="shared" si="72"/>
        <v>15</v>
      </c>
      <c r="AL241">
        <f t="shared" si="65"/>
        <v>13.200000000000001</v>
      </c>
      <c r="AM241" s="2">
        <f t="shared" si="73"/>
        <v>7</v>
      </c>
      <c r="AX241">
        <v>238</v>
      </c>
      <c r="AY241">
        <v>238</v>
      </c>
      <c r="AZ241" s="3">
        <f t="shared" si="66"/>
        <v>9159044</v>
      </c>
      <c r="BA241" t="e">
        <f>AZ241/(#REF!*60/5)/60</f>
        <v>#REF!</v>
      </c>
      <c r="BB241" s="2">
        <f t="shared" si="62"/>
        <v>105</v>
      </c>
      <c r="BC241">
        <f t="shared" si="67"/>
        <v>6.8923611111111098</v>
      </c>
      <c r="BD241" s="2">
        <f t="shared" si="74"/>
        <v>28.3</v>
      </c>
      <c r="BE241">
        <f t="shared" si="75"/>
        <v>13.200000000000001</v>
      </c>
      <c r="BF241">
        <f t="shared" si="76"/>
        <v>76032.000000000015</v>
      </c>
    </row>
    <row r="242" spans="1:58" ht="14.25" x14ac:dyDescent="0.2">
      <c r="A242" s="11">
        <v>1009</v>
      </c>
      <c r="B242" s="13">
        <v>3</v>
      </c>
      <c r="C242" s="15">
        <v>3</v>
      </c>
      <c r="D242" s="14">
        <f t="shared" si="77"/>
        <v>5</v>
      </c>
      <c r="E242" s="1" t="s">
        <v>2777</v>
      </c>
      <c r="F242" s="1" t="s">
        <v>2802</v>
      </c>
      <c r="G242" s="1" t="s">
        <v>2779</v>
      </c>
      <c r="H242" s="1" t="s">
        <v>2779</v>
      </c>
      <c r="I242" s="1" t="s">
        <v>2780</v>
      </c>
      <c r="J242" s="16" t="s">
        <v>2810</v>
      </c>
      <c r="K242" t="s">
        <v>174</v>
      </c>
      <c r="L242" t="s">
        <v>163</v>
      </c>
      <c r="M242" t="s">
        <v>163</v>
      </c>
      <c r="N242" t="s">
        <v>163</v>
      </c>
      <c r="O242" s="6" t="s">
        <v>537</v>
      </c>
      <c r="P242">
        <v>0</v>
      </c>
      <c r="Q242" s="24">
        <v>21.8</v>
      </c>
      <c r="R242" s="25">
        <v>22.5</v>
      </c>
      <c r="S242" s="26">
        <v>26.3</v>
      </c>
      <c r="U242" s="3">
        <v>239</v>
      </c>
      <c r="V242" s="1">
        <v>9274246</v>
      </c>
      <c r="W242" s="1">
        <v>1323603</v>
      </c>
      <c r="Y242">
        <v>4</v>
      </c>
      <c r="Z242">
        <v>14</v>
      </c>
      <c r="AA242" s="3">
        <v>20</v>
      </c>
      <c r="AB242" s="3">
        <v>6</v>
      </c>
      <c r="AC242">
        <v>155</v>
      </c>
      <c r="AD242" s="9">
        <f t="shared" si="61"/>
        <v>16134.583333333332</v>
      </c>
      <c r="AE242">
        <f t="shared" si="63"/>
        <v>2555730</v>
      </c>
      <c r="AF242" s="2">
        <f t="shared" si="68"/>
        <v>13.200000000000001</v>
      </c>
      <c r="AG242" t="str">
        <f t="shared" si="69"/>
        <v>268小时</v>
      </c>
      <c r="AH242">
        <f t="shared" si="70"/>
        <v>40</v>
      </c>
      <c r="AI242">
        <f t="shared" si="71"/>
        <v>7</v>
      </c>
      <c r="AJ242">
        <f t="shared" si="64"/>
        <v>28.3</v>
      </c>
      <c r="AK242">
        <f t="shared" si="72"/>
        <v>15</v>
      </c>
      <c r="AL242">
        <f t="shared" si="65"/>
        <v>13.200000000000001</v>
      </c>
      <c r="AM242" s="2">
        <f t="shared" si="73"/>
        <v>7</v>
      </c>
      <c r="AX242">
        <v>239</v>
      </c>
      <c r="AY242">
        <v>239</v>
      </c>
      <c r="AZ242" s="3">
        <f t="shared" si="66"/>
        <v>9274246</v>
      </c>
      <c r="BA242" t="e">
        <f>AZ242/(#REF!*60/5)/60</f>
        <v>#REF!</v>
      </c>
      <c r="BB242" s="2">
        <f t="shared" si="62"/>
        <v>105</v>
      </c>
      <c r="BC242">
        <f t="shared" si="67"/>
        <v>6.8923611111111098</v>
      </c>
      <c r="BD242" s="2">
        <f t="shared" si="74"/>
        <v>28.3</v>
      </c>
      <c r="BE242">
        <f t="shared" si="75"/>
        <v>13.200000000000001</v>
      </c>
      <c r="BF242">
        <f t="shared" si="76"/>
        <v>76032.000000000015</v>
      </c>
    </row>
    <row r="243" spans="1:58" ht="14.25" x14ac:dyDescent="0.2">
      <c r="A243" s="11">
        <v>1010</v>
      </c>
      <c r="B243" s="13">
        <v>3</v>
      </c>
      <c r="C243" s="15">
        <v>3</v>
      </c>
      <c r="D243" s="14">
        <f t="shared" si="77"/>
        <v>5</v>
      </c>
      <c r="E243" s="1" t="s">
        <v>2785</v>
      </c>
      <c r="F243" s="1" t="s">
        <v>2786</v>
      </c>
      <c r="G243" s="1" t="s">
        <v>2803</v>
      </c>
      <c r="H243" s="1" t="s">
        <v>2804</v>
      </c>
      <c r="I243" s="1" t="s">
        <v>2697</v>
      </c>
      <c r="J243" s="16" t="s">
        <v>2855</v>
      </c>
      <c r="K243" t="s">
        <v>166</v>
      </c>
      <c r="L243" t="s">
        <v>163</v>
      </c>
      <c r="M243" t="s">
        <v>163</v>
      </c>
      <c r="N243" t="s">
        <v>163</v>
      </c>
      <c r="O243" s="6" t="s">
        <v>537</v>
      </c>
      <c r="P243">
        <v>0</v>
      </c>
      <c r="Q243" s="24">
        <v>21.8</v>
      </c>
      <c r="R243" s="25">
        <v>22.5</v>
      </c>
      <c r="S243" s="26">
        <v>26.3</v>
      </c>
      <c r="U243" s="3">
        <v>240</v>
      </c>
      <c r="V243" s="1">
        <v>9390410</v>
      </c>
      <c r="W243" s="1">
        <v>1536835</v>
      </c>
      <c r="Y243">
        <v>4</v>
      </c>
      <c r="Z243">
        <v>15</v>
      </c>
      <c r="AA243" s="3">
        <v>25</v>
      </c>
      <c r="AB243" s="3">
        <v>6</v>
      </c>
      <c r="AC243">
        <v>155</v>
      </c>
      <c r="AD243" s="9">
        <f t="shared" si="61"/>
        <v>16134.583333333332</v>
      </c>
      <c r="AE243">
        <f t="shared" si="63"/>
        <v>2555730</v>
      </c>
      <c r="AF243" s="2">
        <f t="shared" si="68"/>
        <v>13.200000000000001</v>
      </c>
      <c r="AG243" t="str">
        <f t="shared" si="69"/>
        <v>268小时</v>
      </c>
      <c r="AH243">
        <f t="shared" si="70"/>
        <v>40</v>
      </c>
      <c r="AI243">
        <f t="shared" si="71"/>
        <v>7</v>
      </c>
      <c r="AJ243">
        <f t="shared" si="64"/>
        <v>28.3</v>
      </c>
      <c r="AK243">
        <f t="shared" si="72"/>
        <v>15</v>
      </c>
      <c r="AL243">
        <f t="shared" si="65"/>
        <v>13.200000000000001</v>
      </c>
      <c r="AM243" s="2">
        <f t="shared" si="73"/>
        <v>7</v>
      </c>
      <c r="AX243">
        <v>240</v>
      </c>
      <c r="AY243">
        <v>240</v>
      </c>
      <c r="AZ243" s="3">
        <f t="shared" si="66"/>
        <v>9390410</v>
      </c>
      <c r="BA243" t="e">
        <f>AZ243/(#REF!*60/5)/60</f>
        <v>#REF!</v>
      </c>
      <c r="BB243" s="2">
        <f t="shared" si="62"/>
        <v>105</v>
      </c>
      <c r="BC243">
        <f t="shared" si="67"/>
        <v>6.8923611111111098</v>
      </c>
      <c r="BD243" s="2">
        <f t="shared" si="74"/>
        <v>28.3</v>
      </c>
      <c r="BE243">
        <f t="shared" si="75"/>
        <v>13.200000000000001</v>
      </c>
      <c r="BF243">
        <f t="shared" si="76"/>
        <v>76032.000000000015</v>
      </c>
    </row>
    <row r="244" spans="1:58" ht="14.25" x14ac:dyDescent="0.2">
      <c r="A244" s="11">
        <v>1011</v>
      </c>
      <c r="B244" s="13">
        <v>3</v>
      </c>
      <c r="C244" s="15">
        <v>3</v>
      </c>
      <c r="D244" s="14">
        <f t="shared" si="77"/>
        <v>5</v>
      </c>
      <c r="E244" s="1" t="s">
        <v>2777</v>
      </c>
      <c r="F244" s="1" t="s">
        <v>2812</v>
      </c>
      <c r="G244" s="1" t="s">
        <v>2779</v>
      </c>
      <c r="H244" s="1" t="s">
        <v>2779</v>
      </c>
      <c r="I244" s="1" t="s">
        <v>2780</v>
      </c>
      <c r="J244" s="16" t="s">
        <v>2810</v>
      </c>
      <c r="K244" t="s">
        <v>168</v>
      </c>
      <c r="L244" t="s">
        <v>163</v>
      </c>
      <c r="M244" t="s">
        <v>163</v>
      </c>
      <c r="N244" t="s">
        <v>163</v>
      </c>
      <c r="O244" s="6" t="s">
        <v>539</v>
      </c>
      <c r="P244">
        <v>0</v>
      </c>
      <c r="Q244" s="24">
        <v>22.2</v>
      </c>
      <c r="R244" s="25">
        <v>22.9</v>
      </c>
      <c r="S244" s="26">
        <v>26.7</v>
      </c>
      <c r="U244" s="3">
        <v>241</v>
      </c>
      <c r="V244" s="1">
        <v>9507540</v>
      </c>
      <c r="W244" s="1">
        <v>1537796</v>
      </c>
      <c r="Y244">
        <v>5</v>
      </c>
      <c r="Z244">
        <v>1</v>
      </c>
      <c r="AA244" s="3">
        <v>20</v>
      </c>
      <c r="AB244" s="3">
        <v>6</v>
      </c>
      <c r="AC244">
        <v>155</v>
      </c>
      <c r="AD244" s="9">
        <f t="shared" si="61"/>
        <v>15776.083333333334</v>
      </c>
      <c r="AE244">
        <f t="shared" si="63"/>
        <v>2555730</v>
      </c>
      <c r="AF244" s="2">
        <f t="shared" si="68"/>
        <v>13.5</v>
      </c>
      <c r="AG244" t="str">
        <f t="shared" si="69"/>
        <v>262小时</v>
      </c>
      <c r="AH244">
        <f t="shared" si="70"/>
        <v>41</v>
      </c>
      <c r="AI244">
        <f t="shared" si="71"/>
        <v>7</v>
      </c>
      <c r="AJ244">
        <f t="shared" si="64"/>
        <v>28.8</v>
      </c>
      <c r="AK244">
        <f t="shared" si="72"/>
        <v>15</v>
      </c>
      <c r="AL244">
        <f t="shared" si="65"/>
        <v>13.5</v>
      </c>
      <c r="AM244" s="2">
        <f t="shared" si="73"/>
        <v>7</v>
      </c>
      <c r="AX244">
        <v>241</v>
      </c>
      <c r="AY244">
        <v>241</v>
      </c>
      <c r="AZ244" s="3">
        <f t="shared" si="66"/>
        <v>9507540</v>
      </c>
      <c r="BA244" t="e">
        <f>AZ244/(#REF!*60/5)/60</f>
        <v>#REF!</v>
      </c>
      <c r="BB244" s="2">
        <f t="shared" si="62"/>
        <v>105</v>
      </c>
      <c r="BC244">
        <f t="shared" si="67"/>
        <v>6.7391975308641978</v>
      </c>
      <c r="BD244" s="2">
        <f t="shared" si="74"/>
        <v>28.8</v>
      </c>
      <c r="BE244">
        <f t="shared" si="75"/>
        <v>13.5</v>
      </c>
      <c r="BF244">
        <f t="shared" si="76"/>
        <v>77760</v>
      </c>
    </row>
    <row r="245" spans="1:58" ht="14.25" x14ac:dyDescent="0.2">
      <c r="A245" s="11">
        <v>1012</v>
      </c>
      <c r="B245" s="13">
        <v>3</v>
      </c>
      <c r="C245" s="15">
        <v>3</v>
      </c>
      <c r="D245" s="14">
        <f t="shared" si="77"/>
        <v>5</v>
      </c>
      <c r="E245" s="1" t="s">
        <v>2777</v>
      </c>
      <c r="F245" s="1" t="s">
        <v>2813</v>
      </c>
      <c r="G245" s="1" t="s">
        <v>2779</v>
      </c>
      <c r="H245" s="1" t="s">
        <v>2779</v>
      </c>
      <c r="I245" s="1" t="s">
        <v>2780</v>
      </c>
      <c r="J245" s="16" t="s">
        <v>2810</v>
      </c>
      <c r="K245" t="s">
        <v>175</v>
      </c>
      <c r="L245" t="s">
        <v>164</v>
      </c>
      <c r="M245" t="s">
        <v>163</v>
      </c>
      <c r="N245" t="s">
        <v>167</v>
      </c>
      <c r="O245" s="6" t="s">
        <v>541</v>
      </c>
      <c r="P245">
        <v>0</v>
      </c>
      <c r="Q245" s="24">
        <v>22.2</v>
      </c>
      <c r="R245" s="25">
        <v>22.9</v>
      </c>
      <c r="S245" s="26">
        <v>26.7</v>
      </c>
      <c r="U245" s="3">
        <v>242</v>
      </c>
      <c r="V245" s="1">
        <v>9625640</v>
      </c>
      <c r="W245" s="1">
        <v>1538761</v>
      </c>
      <c r="Y245">
        <v>5</v>
      </c>
      <c r="Z245">
        <v>2</v>
      </c>
      <c r="AA245" s="3">
        <v>20</v>
      </c>
      <c r="AB245" s="3">
        <v>6</v>
      </c>
      <c r="AC245">
        <v>155</v>
      </c>
      <c r="AD245" s="9">
        <f t="shared" si="61"/>
        <v>15776.083333333334</v>
      </c>
      <c r="AE245">
        <f t="shared" si="63"/>
        <v>2555730</v>
      </c>
      <c r="AF245" s="2">
        <f t="shared" si="68"/>
        <v>13.5</v>
      </c>
      <c r="AG245" t="str">
        <f t="shared" si="69"/>
        <v>262小时</v>
      </c>
      <c r="AH245">
        <f t="shared" si="70"/>
        <v>41</v>
      </c>
      <c r="AI245">
        <f t="shared" si="71"/>
        <v>7</v>
      </c>
      <c r="AJ245">
        <f t="shared" si="64"/>
        <v>28.8</v>
      </c>
      <c r="AK245">
        <f t="shared" si="72"/>
        <v>15</v>
      </c>
      <c r="AL245">
        <f t="shared" si="65"/>
        <v>13.5</v>
      </c>
      <c r="AM245" s="2">
        <f t="shared" si="73"/>
        <v>7</v>
      </c>
      <c r="AX245">
        <v>242</v>
      </c>
      <c r="AY245">
        <v>242</v>
      </c>
      <c r="AZ245" s="3">
        <f t="shared" si="66"/>
        <v>9625640</v>
      </c>
      <c r="BA245" t="e">
        <f>AZ245/(#REF!*60/5)/60</f>
        <v>#REF!</v>
      </c>
      <c r="BB245" s="2">
        <f t="shared" si="62"/>
        <v>105</v>
      </c>
      <c r="BC245">
        <f t="shared" si="67"/>
        <v>6.7391975308641978</v>
      </c>
      <c r="BD245" s="2">
        <f t="shared" si="74"/>
        <v>28.8</v>
      </c>
      <c r="BE245">
        <f t="shared" si="75"/>
        <v>13.5</v>
      </c>
      <c r="BF245">
        <f t="shared" si="76"/>
        <v>77760</v>
      </c>
    </row>
    <row r="246" spans="1:58" ht="14.25" x14ac:dyDescent="0.2">
      <c r="A246" s="11">
        <v>1013</v>
      </c>
      <c r="B246" s="13">
        <v>3</v>
      </c>
      <c r="C246" s="15">
        <v>3</v>
      </c>
      <c r="D246" s="14">
        <f t="shared" si="77"/>
        <v>5</v>
      </c>
      <c r="E246" s="1" t="s">
        <v>2777</v>
      </c>
      <c r="F246" s="1" t="s">
        <v>2814</v>
      </c>
      <c r="G246" s="1" t="s">
        <v>2779</v>
      </c>
      <c r="H246" s="1" t="s">
        <v>2779</v>
      </c>
      <c r="I246" s="1" t="s">
        <v>2780</v>
      </c>
      <c r="J246" s="16" t="s">
        <v>2810</v>
      </c>
      <c r="K246" t="s">
        <v>179</v>
      </c>
      <c r="L246" t="s">
        <v>163</v>
      </c>
      <c r="M246" t="s">
        <v>163</v>
      </c>
      <c r="N246" t="s">
        <v>163</v>
      </c>
      <c r="O246" s="6" t="s">
        <v>543</v>
      </c>
      <c r="P246">
        <v>0</v>
      </c>
      <c r="Q246" s="24">
        <v>22.2</v>
      </c>
      <c r="R246" s="25">
        <v>22.9</v>
      </c>
      <c r="S246" s="26">
        <v>26.7</v>
      </c>
      <c r="U246" s="3">
        <v>243</v>
      </c>
      <c r="V246" s="1">
        <v>9744714</v>
      </c>
      <c r="W246" s="1">
        <v>1539730</v>
      </c>
      <c r="Y246">
        <v>5</v>
      </c>
      <c r="Z246">
        <v>3</v>
      </c>
      <c r="AA246" s="3">
        <v>20</v>
      </c>
      <c r="AB246" s="3">
        <v>6</v>
      </c>
      <c r="AC246">
        <v>155</v>
      </c>
      <c r="AD246" s="9">
        <f t="shared" si="61"/>
        <v>15776.083333333334</v>
      </c>
      <c r="AE246">
        <f t="shared" si="63"/>
        <v>2555730</v>
      </c>
      <c r="AF246" s="2">
        <f t="shared" si="68"/>
        <v>13.5</v>
      </c>
      <c r="AG246" t="str">
        <f t="shared" si="69"/>
        <v>262小时</v>
      </c>
      <c r="AH246">
        <f t="shared" si="70"/>
        <v>41</v>
      </c>
      <c r="AI246">
        <f t="shared" si="71"/>
        <v>7</v>
      </c>
      <c r="AJ246">
        <f t="shared" si="64"/>
        <v>28.8</v>
      </c>
      <c r="AK246">
        <f t="shared" si="72"/>
        <v>15</v>
      </c>
      <c r="AL246">
        <f t="shared" si="65"/>
        <v>13.5</v>
      </c>
      <c r="AM246" s="2">
        <f t="shared" si="73"/>
        <v>7</v>
      </c>
      <c r="AX246">
        <v>243</v>
      </c>
      <c r="AY246">
        <v>243</v>
      </c>
      <c r="AZ246" s="3">
        <f t="shared" si="66"/>
        <v>9744714</v>
      </c>
      <c r="BA246" t="e">
        <f>AZ246/(#REF!*60/5)/60</f>
        <v>#REF!</v>
      </c>
      <c r="BB246" s="2">
        <f t="shared" si="62"/>
        <v>105</v>
      </c>
      <c r="BC246">
        <f t="shared" si="67"/>
        <v>6.7391975308641978</v>
      </c>
      <c r="BD246" s="2">
        <f t="shared" si="74"/>
        <v>28.8</v>
      </c>
      <c r="BE246">
        <f t="shared" si="75"/>
        <v>13.5</v>
      </c>
      <c r="BF246">
        <f t="shared" si="76"/>
        <v>77760</v>
      </c>
    </row>
    <row r="247" spans="1:58" ht="14.25" x14ac:dyDescent="0.2">
      <c r="A247" s="11">
        <v>1014</v>
      </c>
      <c r="B247" s="13">
        <v>3</v>
      </c>
      <c r="C247" s="15">
        <v>3</v>
      </c>
      <c r="D247" s="14">
        <f t="shared" si="77"/>
        <v>5</v>
      </c>
      <c r="E247" s="1" t="s">
        <v>2777</v>
      </c>
      <c r="F247" s="1" t="s">
        <v>2815</v>
      </c>
      <c r="G247" s="1" t="s">
        <v>2779</v>
      </c>
      <c r="H247" s="1" t="s">
        <v>2779</v>
      </c>
      <c r="I247" s="1" t="s">
        <v>2780</v>
      </c>
      <c r="J247" s="16" t="s">
        <v>2810</v>
      </c>
      <c r="K247" t="s">
        <v>177</v>
      </c>
      <c r="L247" t="s">
        <v>163</v>
      </c>
      <c r="M247" t="s">
        <v>163</v>
      </c>
      <c r="N247" t="s">
        <v>163</v>
      </c>
      <c r="O247" s="6" t="s">
        <v>543</v>
      </c>
      <c r="P247">
        <v>0</v>
      </c>
      <c r="Q247" s="24">
        <v>22.2</v>
      </c>
      <c r="R247" s="25">
        <v>22.9</v>
      </c>
      <c r="S247" s="26">
        <v>26.7</v>
      </c>
      <c r="U247" s="3">
        <v>244</v>
      </c>
      <c r="V247" s="1">
        <v>9864766</v>
      </c>
      <c r="W247" s="1">
        <v>1540703</v>
      </c>
      <c r="Y247">
        <v>5</v>
      </c>
      <c r="Z247">
        <v>4</v>
      </c>
      <c r="AA247" s="3">
        <v>20</v>
      </c>
      <c r="AB247" s="3">
        <v>6</v>
      </c>
      <c r="AC247">
        <v>155</v>
      </c>
      <c r="AD247" s="9">
        <f t="shared" si="61"/>
        <v>15776.083333333334</v>
      </c>
      <c r="AE247">
        <f t="shared" si="63"/>
        <v>2555730</v>
      </c>
      <c r="AF247" s="2">
        <f t="shared" si="68"/>
        <v>13.5</v>
      </c>
      <c r="AG247" t="str">
        <f t="shared" si="69"/>
        <v>262小时</v>
      </c>
      <c r="AH247">
        <f t="shared" si="70"/>
        <v>41</v>
      </c>
      <c r="AI247">
        <f t="shared" si="71"/>
        <v>7</v>
      </c>
      <c r="AJ247">
        <f t="shared" si="64"/>
        <v>28.8</v>
      </c>
      <c r="AK247">
        <f t="shared" si="72"/>
        <v>15</v>
      </c>
      <c r="AL247">
        <f t="shared" si="65"/>
        <v>13.5</v>
      </c>
      <c r="AM247" s="2">
        <f t="shared" si="73"/>
        <v>7</v>
      </c>
      <c r="AX247">
        <v>244</v>
      </c>
      <c r="AY247">
        <v>244</v>
      </c>
      <c r="AZ247" s="3">
        <f t="shared" si="66"/>
        <v>9864766</v>
      </c>
      <c r="BA247" t="e">
        <f>AZ247/(#REF!*60/5)/60</f>
        <v>#REF!</v>
      </c>
      <c r="BB247" s="2">
        <f t="shared" si="62"/>
        <v>105</v>
      </c>
      <c r="BC247">
        <f t="shared" si="67"/>
        <v>6.7391975308641978</v>
      </c>
      <c r="BD247" s="2">
        <f t="shared" si="74"/>
        <v>28.8</v>
      </c>
      <c r="BE247">
        <f t="shared" si="75"/>
        <v>13.5</v>
      </c>
      <c r="BF247">
        <f t="shared" si="76"/>
        <v>77760</v>
      </c>
    </row>
    <row r="248" spans="1:58" ht="14.25" x14ac:dyDescent="0.2">
      <c r="A248" s="11">
        <v>1015</v>
      </c>
      <c r="B248" s="13">
        <v>3</v>
      </c>
      <c r="C248" s="15">
        <v>3</v>
      </c>
      <c r="D248" s="14">
        <f t="shared" si="77"/>
        <v>5</v>
      </c>
      <c r="E248" s="1" t="s">
        <v>2785</v>
      </c>
      <c r="F248" s="1" t="s">
        <v>2786</v>
      </c>
      <c r="G248" s="1" t="s">
        <v>2806</v>
      </c>
      <c r="H248" s="1" t="s">
        <v>2804</v>
      </c>
      <c r="I248" s="1" t="s">
        <v>2697</v>
      </c>
      <c r="J248" s="16" t="s">
        <v>2855</v>
      </c>
      <c r="K248" t="s">
        <v>174</v>
      </c>
      <c r="L248" t="s">
        <v>163</v>
      </c>
      <c r="M248" t="s">
        <v>163</v>
      </c>
      <c r="N248" t="s">
        <v>163</v>
      </c>
      <c r="O248" s="6" t="s">
        <v>545</v>
      </c>
      <c r="P248">
        <v>0</v>
      </c>
      <c r="Q248" s="24">
        <v>22.2</v>
      </c>
      <c r="R248" s="25">
        <v>22.9</v>
      </c>
      <c r="S248" s="26">
        <v>26.7</v>
      </c>
      <c r="U248" s="3">
        <v>245</v>
      </c>
      <c r="V248" s="1">
        <v>9985800</v>
      </c>
      <c r="W248" s="1">
        <v>1744805</v>
      </c>
      <c r="Y248">
        <v>5</v>
      </c>
      <c r="Z248">
        <v>5</v>
      </c>
      <c r="AA248" s="3">
        <v>25</v>
      </c>
      <c r="AB248" s="3">
        <v>6</v>
      </c>
      <c r="AC248">
        <v>155</v>
      </c>
      <c r="AD248" s="9">
        <f t="shared" si="61"/>
        <v>15776.083333333334</v>
      </c>
      <c r="AE248">
        <f t="shared" si="63"/>
        <v>2555730</v>
      </c>
      <c r="AF248" s="2">
        <f t="shared" si="68"/>
        <v>13.5</v>
      </c>
      <c r="AG248" t="str">
        <f t="shared" si="69"/>
        <v>262小时</v>
      </c>
      <c r="AH248">
        <f t="shared" si="70"/>
        <v>41</v>
      </c>
      <c r="AI248">
        <f t="shared" si="71"/>
        <v>7</v>
      </c>
      <c r="AJ248">
        <f t="shared" si="64"/>
        <v>28.8</v>
      </c>
      <c r="AK248">
        <f t="shared" si="72"/>
        <v>15</v>
      </c>
      <c r="AL248">
        <f t="shared" si="65"/>
        <v>13.5</v>
      </c>
      <c r="AM248" s="2">
        <f t="shared" si="73"/>
        <v>7</v>
      </c>
      <c r="AX248">
        <v>245</v>
      </c>
      <c r="AY248">
        <v>245</v>
      </c>
      <c r="AZ248" s="3">
        <f t="shared" si="66"/>
        <v>9985800</v>
      </c>
      <c r="BA248" t="e">
        <f>AZ248/(#REF!*60/5)/60</f>
        <v>#REF!</v>
      </c>
      <c r="BB248" s="2">
        <f t="shared" si="62"/>
        <v>105</v>
      </c>
      <c r="BC248">
        <f t="shared" si="67"/>
        <v>6.7391975308641978</v>
      </c>
      <c r="BD248" s="2">
        <f t="shared" si="74"/>
        <v>28.8</v>
      </c>
      <c r="BE248">
        <f t="shared" si="75"/>
        <v>13.5</v>
      </c>
      <c r="BF248">
        <f t="shared" si="76"/>
        <v>77760</v>
      </c>
    </row>
    <row r="249" spans="1:58" ht="14.25" x14ac:dyDescent="0.2">
      <c r="A249" s="11">
        <v>1016</v>
      </c>
      <c r="B249" s="13">
        <v>3</v>
      </c>
      <c r="C249" s="15">
        <v>3</v>
      </c>
      <c r="D249" s="14">
        <f t="shared" si="77"/>
        <v>5</v>
      </c>
      <c r="E249" s="1" t="s">
        <v>2777</v>
      </c>
      <c r="F249" s="1" t="s">
        <v>2812</v>
      </c>
      <c r="G249" s="1" t="s">
        <v>2779</v>
      </c>
      <c r="H249" s="1" t="s">
        <v>2779</v>
      </c>
      <c r="I249" s="1" t="s">
        <v>2780</v>
      </c>
      <c r="J249" s="16" t="s">
        <v>2810</v>
      </c>
      <c r="K249" t="s">
        <v>182</v>
      </c>
      <c r="L249" t="s">
        <v>163</v>
      </c>
      <c r="M249" t="s">
        <v>163</v>
      </c>
      <c r="N249" t="s">
        <v>163</v>
      </c>
      <c r="O249" s="6" t="s">
        <v>547</v>
      </c>
      <c r="P249">
        <v>0</v>
      </c>
      <c r="Q249" s="24">
        <v>22.5</v>
      </c>
      <c r="R249" s="25">
        <v>23.4</v>
      </c>
      <c r="S249" s="26">
        <v>27</v>
      </c>
      <c r="U249" s="3">
        <v>246</v>
      </c>
      <c r="V249" s="1">
        <v>10107820</v>
      </c>
      <c r="W249" s="1">
        <v>1745786</v>
      </c>
      <c r="Y249">
        <v>5</v>
      </c>
      <c r="Z249">
        <v>6</v>
      </c>
      <c r="AA249" s="3">
        <v>20</v>
      </c>
      <c r="AB249" s="3">
        <v>6</v>
      </c>
      <c r="AC249">
        <v>155</v>
      </c>
      <c r="AD249" s="9">
        <f t="shared" si="61"/>
        <v>15545.75</v>
      </c>
      <c r="AE249">
        <f t="shared" si="63"/>
        <v>2555730</v>
      </c>
      <c r="AF249" s="2">
        <f t="shared" si="68"/>
        <v>13.700000000000001</v>
      </c>
      <c r="AG249" t="str">
        <f t="shared" si="69"/>
        <v>259小时</v>
      </c>
      <c r="AH249">
        <f t="shared" si="70"/>
        <v>42</v>
      </c>
      <c r="AI249">
        <f t="shared" si="71"/>
        <v>7</v>
      </c>
      <c r="AJ249">
        <f t="shared" si="64"/>
        <v>29.1</v>
      </c>
      <c r="AK249">
        <f t="shared" si="72"/>
        <v>15</v>
      </c>
      <c r="AL249">
        <f t="shared" si="65"/>
        <v>13.700000000000001</v>
      </c>
      <c r="AM249" s="2">
        <f t="shared" si="73"/>
        <v>7</v>
      </c>
      <c r="AX249">
        <v>246</v>
      </c>
      <c r="AY249">
        <v>246</v>
      </c>
      <c r="AZ249" s="3">
        <f t="shared" si="66"/>
        <v>10107820</v>
      </c>
      <c r="BA249" t="e">
        <f>AZ249/(#REF!*60/5)/60</f>
        <v>#REF!</v>
      </c>
      <c r="BB249" s="2">
        <f t="shared" si="62"/>
        <v>105</v>
      </c>
      <c r="BC249">
        <f t="shared" si="67"/>
        <v>6.6408150851581498</v>
      </c>
      <c r="BD249" s="2">
        <f t="shared" si="74"/>
        <v>29.1</v>
      </c>
      <c r="BE249">
        <f t="shared" si="75"/>
        <v>13.700000000000001</v>
      </c>
      <c r="BF249">
        <f t="shared" si="76"/>
        <v>78912.000000000015</v>
      </c>
    </row>
    <row r="250" spans="1:58" ht="14.25" x14ac:dyDescent="0.2">
      <c r="A250" s="11">
        <v>1017</v>
      </c>
      <c r="B250" s="13">
        <v>3</v>
      </c>
      <c r="C250" s="15">
        <v>3</v>
      </c>
      <c r="D250" s="14">
        <f t="shared" si="77"/>
        <v>5</v>
      </c>
      <c r="E250" s="1" t="s">
        <v>2777</v>
      </c>
      <c r="F250" s="1" t="s">
        <v>2813</v>
      </c>
      <c r="G250" s="1" t="s">
        <v>2779</v>
      </c>
      <c r="H250" s="1" t="s">
        <v>2779</v>
      </c>
      <c r="I250" s="1" t="s">
        <v>2780</v>
      </c>
      <c r="J250" s="16" t="s">
        <v>2810</v>
      </c>
      <c r="K250" t="s">
        <v>162</v>
      </c>
      <c r="L250" t="s">
        <v>163</v>
      </c>
      <c r="M250" t="s">
        <v>163</v>
      </c>
      <c r="N250" t="s">
        <v>163</v>
      </c>
      <c r="O250" s="6" t="s">
        <v>547</v>
      </c>
      <c r="P250">
        <v>0</v>
      </c>
      <c r="Q250" s="24">
        <v>22.5</v>
      </c>
      <c r="R250" s="25">
        <v>23.4</v>
      </c>
      <c r="S250" s="26">
        <v>27</v>
      </c>
      <c r="U250" s="3">
        <v>247</v>
      </c>
      <c r="V250" s="1">
        <v>10230830</v>
      </c>
      <c r="W250" s="1">
        <v>1746771</v>
      </c>
      <c r="Y250">
        <v>5</v>
      </c>
      <c r="Z250">
        <v>7</v>
      </c>
      <c r="AA250" s="3">
        <v>20</v>
      </c>
      <c r="AB250" s="3">
        <v>6</v>
      </c>
      <c r="AC250">
        <v>155</v>
      </c>
      <c r="AD250" s="9">
        <f t="shared" si="61"/>
        <v>15545.75</v>
      </c>
      <c r="AE250">
        <f t="shared" si="63"/>
        <v>2555730</v>
      </c>
      <c r="AF250" s="2">
        <f t="shared" si="68"/>
        <v>13.700000000000001</v>
      </c>
      <c r="AG250" t="str">
        <f t="shared" si="69"/>
        <v>259小时</v>
      </c>
      <c r="AH250">
        <f t="shared" si="70"/>
        <v>42</v>
      </c>
      <c r="AI250">
        <f t="shared" si="71"/>
        <v>7</v>
      </c>
      <c r="AJ250">
        <f t="shared" si="64"/>
        <v>29.1</v>
      </c>
      <c r="AK250">
        <f t="shared" si="72"/>
        <v>15</v>
      </c>
      <c r="AL250">
        <f t="shared" si="65"/>
        <v>13.700000000000001</v>
      </c>
      <c r="AM250" s="2">
        <f t="shared" si="73"/>
        <v>7</v>
      </c>
      <c r="AX250">
        <v>247</v>
      </c>
      <c r="AY250">
        <v>247</v>
      </c>
      <c r="AZ250" s="3">
        <f t="shared" si="66"/>
        <v>10230830</v>
      </c>
      <c r="BA250" t="e">
        <f>AZ250/(#REF!*60/5)/60</f>
        <v>#REF!</v>
      </c>
      <c r="BB250" s="2">
        <f t="shared" si="62"/>
        <v>105</v>
      </c>
      <c r="BC250">
        <f t="shared" si="67"/>
        <v>6.6408150851581498</v>
      </c>
      <c r="BD250" s="2">
        <f t="shared" si="74"/>
        <v>29.1</v>
      </c>
      <c r="BE250">
        <f t="shared" si="75"/>
        <v>13.700000000000001</v>
      </c>
      <c r="BF250">
        <f t="shared" si="76"/>
        <v>78912.000000000015</v>
      </c>
    </row>
    <row r="251" spans="1:58" ht="14.25" x14ac:dyDescent="0.2">
      <c r="A251" s="11">
        <v>1018</v>
      </c>
      <c r="B251" s="13">
        <v>3</v>
      </c>
      <c r="C251" s="15">
        <v>3</v>
      </c>
      <c r="D251" s="14">
        <f t="shared" si="77"/>
        <v>5</v>
      </c>
      <c r="E251" s="1" t="s">
        <v>2777</v>
      </c>
      <c r="F251" s="1" t="s">
        <v>2814</v>
      </c>
      <c r="G251" s="1" t="s">
        <v>2779</v>
      </c>
      <c r="H251" s="1" t="s">
        <v>2779</v>
      </c>
      <c r="I251" s="1" t="s">
        <v>2780</v>
      </c>
      <c r="J251" s="16" t="s">
        <v>2810</v>
      </c>
      <c r="K251" t="s">
        <v>177</v>
      </c>
      <c r="L251" t="s">
        <v>163</v>
      </c>
      <c r="M251" t="s">
        <v>163</v>
      </c>
      <c r="N251" t="s">
        <v>163</v>
      </c>
      <c r="O251" s="6" t="s">
        <v>549</v>
      </c>
      <c r="P251">
        <v>0</v>
      </c>
      <c r="Q251" s="24">
        <v>22.5</v>
      </c>
      <c r="R251" s="25">
        <v>23.4</v>
      </c>
      <c r="S251" s="26">
        <v>27</v>
      </c>
      <c r="U251" s="3">
        <v>248</v>
      </c>
      <c r="V251" s="1">
        <v>10354834</v>
      </c>
      <c r="W251" s="1">
        <v>1747760</v>
      </c>
      <c r="Y251">
        <v>5</v>
      </c>
      <c r="Z251">
        <v>8</v>
      </c>
      <c r="AA251" s="3">
        <v>20</v>
      </c>
      <c r="AB251" s="3">
        <v>6</v>
      </c>
      <c r="AC251">
        <v>155</v>
      </c>
      <c r="AD251" s="9">
        <f t="shared" si="61"/>
        <v>15545.75</v>
      </c>
      <c r="AE251">
        <f t="shared" si="63"/>
        <v>2555730</v>
      </c>
      <c r="AF251" s="2">
        <f t="shared" si="68"/>
        <v>13.700000000000001</v>
      </c>
      <c r="AG251" t="str">
        <f t="shared" si="69"/>
        <v>259小时</v>
      </c>
      <c r="AH251">
        <f t="shared" si="70"/>
        <v>42</v>
      </c>
      <c r="AI251">
        <f t="shared" si="71"/>
        <v>7</v>
      </c>
      <c r="AJ251">
        <f t="shared" si="64"/>
        <v>29.1</v>
      </c>
      <c r="AK251">
        <f t="shared" si="72"/>
        <v>15</v>
      </c>
      <c r="AL251">
        <f t="shared" si="65"/>
        <v>13.700000000000001</v>
      </c>
      <c r="AM251" s="2">
        <f t="shared" si="73"/>
        <v>7</v>
      </c>
      <c r="AX251">
        <v>248</v>
      </c>
      <c r="AY251">
        <v>248</v>
      </c>
      <c r="AZ251" s="3">
        <f t="shared" si="66"/>
        <v>10354834</v>
      </c>
      <c r="BA251" t="e">
        <f>AZ251/(#REF!*60/5)/60</f>
        <v>#REF!</v>
      </c>
      <c r="BB251" s="2">
        <f t="shared" si="62"/>
        <v>105</v>
      </c>
      <c r="BC251">
        <f t="shared" si="67"/>
        <v>6.6408150851581498</v>
      </c>
      <c r="BD251" s="2">
        <f t="shared" si="74"/>
        <v>29.1</v>
      </c>
      <c r="BE251">
        <f t="shared" si="75"/>
        <v>13.700000000000001</v>
      </c>
      <c r="BF251">
        <f t="shared" si="76"/>
        <v>78912.000000000015</v>
      </c>
    </row>
    <row r="252" spans="1:58" ht="14.25" x14ac:dyDescent="0.2">
      <c r="A252" s="11">
        <v>1019</v>
      </c>
      <c r="B252" s="13">
        <v>3</v>
      </c>
      <c r="C252" s="15">
        <v>3</v>
      </c>
      <c r="D252" s="14">
        <f t="shared" si="77"/>
        <v>5</v>
      </c>
      <c r="E252" s="1" t="s">
        <v>2777</v>
      </c>
      <c r="F252" s="1" t="s">
        <v>2815</v>
      </c>
      <c r="G252" s="1" t="s">
        <v>2779</v>
      </c>
      <c r="H252" s="1" t="s">
        <v>2779</v>
      </c>
      <c r="I252" s="1" t="s">
        <v>2780</v>
      </c>
      <c r="J252" s="16" t="s">
        <v>2810</v>
      </c>
      <c r="K252" t="s">
        <v>174</v>
      </c>
      <c r="L252" t="s">
        <v>163</v>
      </c>
      <c r="M252" t="s">
        <v>163</v>
      </c>
      <c r="N252" t="s">
        <v>163</v>
      </c>
      <c r="O252" s="6" t="s">
        <v>551</v>
      </c>
      <c r="P252">
        <v>0</v>
      </c>
      <c r="Q252" s="24">
        <v>22.5</v>
      </c>
      <c r="R252" s="25">
        <v>23.4</v>
      </c>
      <c r="S252" s="26">
        <v>27</v>
      </c>
      <c r="U252" s="3">
        <v>249</v>
      </c>
      <c r="V252" s="1">
        <v>10479836</v>
      </c>
      <c r="W252" s="1">
        <v>1748753</v>
      </c>
      <c r="Y252">
        <v>5</v>
      </c>
      <c r="Z252">
        <v>9</v>
      </c>
      <c r="AA252" s="3">
        <v>20</v>
      </c>
      <c r="AB252" s="3">
        <v>6</v>
      </c>
      <c r="AC252">
        <v>155</v>
      </c>
      <c r="AD252" s="9">
        <f t="shared" si="61"/>
        <v>15545.75</v>
      </c>
      <c r="AE252">
        <f t="shared" si="63"/>
        <v>2555730</v>
      </c>
      <c r="AF252" s="2">
        <f t="shared" si="68"/>
        <v>13.700000000000001</v>
      </c>
      <c r="AG252" t="str">
        <f t="shared" si="69"/>
        <v>259小时</v>
      </c>
      <c r="AH252">
        <f t="shared" si="70"/>
        <v>42</v>
      </c>
      <c r="AI252">
        <f t="shared" si="71"/>
        <v>7</v>
      </c>
      <c r="AJ252">
        <f t="shared" si="64"/>
        <v>29.1</v>
      </c>
      <c r="AK252">
        <f t="shared" si="72"/>
        <v>15</v>
      </c>
      <c r="AL252">
        <f t="shared" si="65"/>
        <v>13.700000000000001</v>
      </c>
      <c r="AM252" s="2">
        <f t="shared" si="73"/>
        <v>7</v>
      </c>
      <c r="AX252">
        <v>249</v>
      </c>
      <c r="AY252">
        <v>249</v>
      </c>
      <c r="AZ252" s="3">
        <f t="shared" si="66"/>
        <v>10479836</v>
      </c>
      <c r="BA252" t="e">
        <f>AZ252/(#REF!*60/5)/60</f>
        <v>#REF!</v>
      </c>
      <c r="BB252" s="2">
        <f t="shared" si="62"/>
        <v>105</v>
      </c>
      <c r="BC252">
        <f t="shared" si="67"/>
        <v>6.6408150851581498</v>
      </c>
      <c r="BD252" s="2">
        <f t="shared" si="74"/>
        <v>29.1</v>
      </c>
      <c r="BE252">
        <f t="shared" si="75"/>
        <v>13.700000000000001</v>
      </c>
      <c r="BF252">
        <f t="shared" si="76"/>
        <v>78912.000000000015</v>
      </c>
    </row>
    <row r="253" spans="1:58" ht="14.25" x14ac:dyDescent="0.2">
      <c r="A253" s="11">
        <v>1020</v>
      </c>
      <c r="B253" s="13">
        <v>3</v>
      </c>
      <c r="C253" s="15">
        <v>3</v>
      </c>
      <c r="D253" s="14">
        <f t="shared" si="77"/>
        <v>5</v>
      </c>
      <c r="E253" s="1" t="s">
        <v>2785</v>
      </c>
      <c r="F253" s="1" t="s">
        <v>2786</v>
      </c>
      <c r="G253" s="1" t="s">
        <v>2807</v>
      </c>
      <c r="H253" s="1" t="s">
        <v>2804</v>
      </c>
      <c r="I253" s="1" t="s">
        <v>2697</v>
      </c>
      <c r="J253" s="16" t="s">
        <v>2873</v>
      </c>
      <c r="K253" t="s">
        <v>166</v>
      </c>
      <c r="L253" t="s">
        <v>163</v>
      </c>
      <c r="M253" t="s">
        <v>163</v>
      </c>
      <c r="N253" t="s">
        <v>163</v>
      </c>
      <c r="O253" s="6" t="s">
        <v>551</v>
      </c>
      <c r="P253">
        <v>0</v>
      </c>
      <c r="Q253" s="24">
        <v>22.5</v>
      </c>
      <c r="R253" s="25">
        <v>23.4</v>
      </c>
      <c r="S253" s="26">
        <v>27</v>
      </c>
      <c r="U253" s="3">
        <v>250</v>
      </c>
      <c r="V253" s="1">
        <v>10605840</v>
      </c>
      <c r="W253" s="1">
        <v>1882350</v>
      </c>
      <c r="Y253">
        <v>5</v>
      </c>
      <c r="Z253">
        <v>10</v>
      </c>
      <c r="AA253" s="3">
        <v>25</v>
      </c>
      <c r="AB253" s="3">
        <v>6</v>
      </c>
      <c r="AC253">
        <v>155</v>
      </c>
      <c r="AD253" s="9">
        <f t="shared" si="61"/>
        <v>15545.75</v>
      </c>
      <c r="AE253">
        <f t="shared" si="63"/>
        <v>2555730</v>
      </c>
      <c r="AF253" s="2">
        <f t="shared" si="68"/>
        <v>13.700000000000001</v>
      </c>
      <c r="AG253" t="str">
        <f t="shared" si="69"/>
        <v>259小时</v>
      </c>
      <c r="AH253">
        <f t="shared" si="70"/>
        <v>42</v>
      </c>
      <c r="AI253">
        <f t="shared" si="71"/>
        <v>7</v>
      </c>
      <c r="AJ253">
        <f t="shared" si="64"/>
        <v>29.1</v>
      </c>
      <c r="AK253">
        <f t="shared" si="72"/>
        <v>15</v>
      </c>
      <c r="AL253">
        <f t="shared" si="65"/>
        <v>13.700000000000001</v>
      </c>
      <c r="AM253" s="2">
        <f t="shared" si="73"/>
        <v>7</v>
      </c>
      <c r="AX253">
        <v>250</v>
      </c>
      <c r="AY253">
        <v>250</v>
      </c>
      <c r="AZ253" s="3">
        <f t="shared" si="66"/>
        <v>10605840</v>
      </c>
      <c r="BA253" t="e">
        <f>AZ253/(#REF!*60/5)/60</f>
        <v>#REF!</v>
      </c>
      <c r="BB253" s="2">
        <f t="shared" si="62"/>
        <v>110</v>
      </c>
      <c r="BC253">
        <f t="shared" si="67"/>
        <v>7.6976885644768842</v>
      </c>
      <c r="BD253" s="2">
        <f t="shared" si="74"/>
        <v>29.1</v>
      </c>
      <c r="BE253">
        <f t="shared" si="75"/>
        <v>13.700000000000001</v>
      </c>
      <c r="BF253">
        <f t="shared" si="76"/>
        <v>78912.000000000015</v>
      </c>
    </row>
    <row r="254" spans="1:58" ht="14.25" x14ac:dyDescent="0.2">
      <c r="A254" s="11">
        <v>1021</v>
      </c>
      <c r="B254" s="13">
        <v>3</v>
      </c>
      <c r="C254" s="15">
        <v>3</v>
      </c>
      <c r="D254" s="14">
        <f t="shared" si="77"/>
        <v>5</v>
      </c>
      <c r="E254" s="1" t="s">
        <v>2777</v>
      </c>
      <c r="F254" s="1" t="s">
        <v>2812</v>
      </c>
      <c r="G254" s="1" t="s">
        <v>2779</v>
      </c>
      <c r="H254" s="1" t="s">
        <v>2779</v>
      </c>
      <c r="I254" s="1" t="s">
        <v>2780</v>
      </c>
      <c r="J254" s="16" t="s">
        <v>2810</v>
      </c>
      <c r="K254" t="s">
        <v>168</v>
      </c>
      <c r="L254" t="s">
        <v>163</v>
      </c>
      <c r="M254" t="s">
        <v>163</v>
      </c>
      <c r="N254" t="s">
        <v>163</v>
      </c>
      <c r="O254" s="6" t="s">
        <v>553</v>
      </c>
      <c r="P254">
        <v>0</v>
      </c>
      <c r="Q254" s="24">
        <v>22.8</v>
      </c>
      <c r="R254" s="25">
        <v>23.8</v>
      </c>
      <c r="S254" s="26">
        <v>27.3</v>
      </c>
      <c r="U254" s="3">
        <v>251</v>
      </c>
      <c r="V254" s="1">
        <v>10732850</v>
      </c>
      <c r="W254" s="1">
        <v>1883351</v>
      </c>
      <c r="Y254">
        <v>5</v>
      </c>
      <c r="Z254">
        <v>11</v>
      </c>
      <c r="AA254" s="3">
        <v>20</v>
      </c>
      <c r="AB254" s="3">
        <v>6</v>
      </c>
      <c r="AC254">
        <v>155</v>
      </c>
      <c r="AD254" s="9">
        <f t="shared" si="61"/>
        <v>15212.666666666666</v>
      </c>
      <c r="AE254">
        <f t="shared" si="63"/>
        <v>2555730</v>
      </c>
      <c r="AF254" s="2">
        <f t="shared" si="68"/>
        <v>14</v>
      </c>
      <c r="AG254" t="str">
        <f t="shared" si="69"/>
        <v>253小时</v>
      </c>
      <c r="AH254">
        <f t="shared" si="70"/>
        <v>42</v>
      </c>
      <c r="AI254">
        <f t="shared" si="71"/>
        <v>7</v>
      </c>
      <c r="AJ254">
        <f t="shared" si="64"/>
        <v>29.5</v>
      </c>
      <c r="AK254">
        <f t="shared" si="72"/>
        <v>15</v>
      </c>
      <c r="AL254">
        <f t="shared" si="65"/>
        <v>14</v>
      </c>
      <c r="AM254" s="2">
        <f t="shared" si="73"/>
        <v>7</v>
      </c>
      <c r="AX254">
        <v>251</v>
      </c>
      <c r="AY254">
        <v>251</v>
      </c>
      <c r="AZ254" s="3">
        <f t="shared" si="66"/>
        <v>10732850</v>
      </c>
      <c r="BA254" t="e">
        <f>AZ254/(#REF!*60/5)/60</f>
        <v>#REF!</v>
      </c>
      <c r="BB254" s="2">
        <f t="shared" si="62"/>
        <v>110</v>
      </c>
      <c r="BC254">
        <f t="shared" si="67"/>
        <v>7.5327380952380949</v>
      </c>
      <c r="BD254" s="2">
        <f t="shared" si="74"/>
        <v>29.5</v>
      </c>
      <c r="BE254">
        <f t="shared" si="75"/>
        <v>14</v>
      </c>
      <c r="BF254">
        <f t="shared" si="76"/>
        <v>80640</v>
      </c>
    </row>
    <row r="255" spans="1:58" ht="14.25" x14ac:dyDescent="0.2">
      <c r="A255" s="11">
        <v>1022</v>
      </c>
      <c r="B255" s="13">
        <v>3</v>
      </c>
      <c r="C255" s="15">
        <v>3</v>
      </c>
      <c r="D255" s="14">
        <f t="shared" si="77"/>
        <v>5</v>
      </c>
      <c r="E255" s="1" t="s">
        <v>2777</v>
      </c>
      <c r="F255" s="1" t="s">
        <v>2813</v>
      </c>
      <c r="G255" s="1" t="s">
        <v>2779</v>
      </c>
      <c r="H255" s="1" t="s">
        <v>2779</v>
      </c>
      <c r="I255" s="1" t="s">
        <v>2780</v>
      </c>
      <c r="J255" s="16" t="s">
        <v>2810</v>
      </c>
      <c r="K255" t="s">
        <v>175</v>
      </c>
      <c r="L255" t="s">
        <v>164</v>
      </c>
      <c r="M255" t="s">
        <v>163</v>
      </c>
      <c r="N255" t="s">
        <v>167</v>
      </c>
      <c r="O255" s="6" t="s">
        <v>555</v>
      </c>
      <c r="P255">
        <v>0</v>
      </c>
      <c r="Q255" s="24">
        <v>22.8</v>
      </c>
      <c r="R255" s="25">
        <v>23.8</v>
      </c>
      <c r="S255" s="26">
        <v>27.3</v>
      </c>
      <c r="U255" s="3">
        <v>252</v>
      </c>
      <c r="V255" s="1">
        <v>10860870</v>
      </c>
      <c r="W255" s="1">
        <v>1884356</v>
      </c>
      <c r="Y255">
        <v>5</v>
      </c>
      <c r="Z255">
        <v>12</v>
      </c>
      <c r="AA255" s="3">
        <v>20</v>
      </c>
      <c r="AB255" s="3">
        <v>6</v>
      </c>
      <c r="AC255">
        <v>155</v>
      </c>
      <c r="AD255" s="9">
        <f t="shared" si="61"/>
        <v>15212.666666666666</v>
      </c>
      <c r="AE255">
        <f t="shared" si="63"/>
        <v>2555730</v>
      </c>
      <c r="AF255" s="2">
        <f t="shared" si="68"/>
        <v>14</v>
      </c>
      <c r="AG255" t="str">
        <f t="shared" si="69"/>
        <v>253小时</v>
      </c>
      <c r="AH255">
        <f t="shared" si="70"/>
        <v>42</v>
      </c>
      <c r="AI255">
        <f t="shared" si="71"/>
        <v>7</v>
      </c>
      <c r="AJ255">
        <f t="shared" si="64"/>
        <v>29.5</v>
      </c>
      <c r="AK255">
        <f t="shared" si="72"/>
        <v>15</v>
      </c>
      <c r="AL255">
        <f t="shared" si="65"/>
        <v>14</v>
      </c>
      <c r="AM255" s="2">
        <f t="shared" si="73"/>
        <v>7</v>
      </c>
      <c r="AX255">
        <v>252</v>
      </c>
      <c r="AY255">
        <v>252</v>
      </c>
      <c r="AZ255" s="3">
        <f t="shared" si="66"/>
        <v>10860870</v>
      </c>
      <c r="BA255" t="e">
        <f>AZ255/(#REF!*60/5)/60</f>
        <v>#REF!</v>
      </c>
      <c r="BB255" s="2">
        <f t="shared" si="62"/>
        <v>110</v>
      </c>
      <c r="BC255">
        <f t="shared" si="67"/>
        <v>7.5327380952380949</v>
      </c>
      <c r="BD255" s="2">
        <f t="shared" si="74"/>
        <v>29.5</v>
      </c>
      <c r="BE255">
        <f t="shared" si="75"/>
        <v>14</v>
      </c>
      <c r="BF255">
        <f t="shared" si="76"/>
        <v>80640</v>
      </c>
    </row>
    <row r="256" spans="1:58" ht="14.25" x14ac:dyDescent="0.2">
      <c r="A256" s="11">
        <v>1023</v>
      </c>
      <c r="B256" s="13">
        <v>3</v>
      </c>
      <c r="C256" s="15">
        <v>3</v>
      </c>
      <c r="D256" s="14">
        <f t="shared" si="77"/>
        <v>5</v>
      </c>
      <c r="E256" s="1" t="s">
        <v>2777</v>
      </c>
      <c r="F256" s="1" t="s">
        <v>2814</v>
      </c>
      <c r="G256" s="1" t="s">
        <v>2779</v>
      </c>
      <c r="H256" s="1" t="s">
        <v>2779</v>
      </c>
      <c r="I256" s="1" t="s">
        <v>2780</v>
      </c>
      <c r="J256" s="16" t="s">
        <v>2810</v>
      </c>
      <c r="K256" t="s">
        <v>179</v>
      </c>
      <c r="L256" t="s">
        <v>163</v>
      </c>
      <c r="M256" t="s">
        <v>163</v>
      </c>
      <c r="N256" t="s">
        <v>163</v>
      </c>
      <c r="O256" s="6" t="s">
        <v>557</v>
      </c>
      <c r="P256">
        <v>0</v>
      </c>
      <c r="Q256" s="24">
        <v>22.8</v>
      </c>
      <c r="R256" s="25">
        <v>23.8</v>
      </c>
      <c r="S256" s="26">
        <v>27.3</v>
      </c>
      <c r="U256" s="3">
        <v>253</v>
      </c>
      <c r="V256" s="1">
        <v>10989904</v>
      </c>
      <c r="W256" s="1">
        <v>1885365</v>
      </c>
      <c r="Y256">
        <v>5</v>
      </c>
      <c r="Z256">
        <v>13</v>
      </c>
      <c r="AA256" s="3">
        <v>20</v>
      </c>
      <c r="AB256" s="3">
        <v>6</v>
      </c>
      <c r="AC256">
        <v>155</v>
      </c>
      <c r="AD256" s="9">
        <f t="shared" si="61"/>
        <v>15212.666666666666</v>
      </c>
      <c r="AE256">
        <f t="shared" si="63"/>
        <v>2555730</v>
      </c>
      <c r="AF256" s="2">
        <f t="shared" si="68"/>
        <v>14</v>
      </c>
      <c r="AG256" t="str">
        <f t="shared" si="69"/>
        <v>253小时</v>
      </c>
      <c r="AH256">
        <f t="shared" si="70"/>
        <v>42</v>
      </c>
      <c r="AI256">
        <f t="shared" si="71"/>
        <v>7</v>
      </c>
      <c r="AJ256">
        <f t="shared" si="64"/>
        <v>29.5</v>
      </c>
      <c r="AK256">
        <f t="shared" si="72"/>
        <v>15</v>
      </c>
      <c r="AL256">
        <f t="shared" si="65"/>
        <v>14</v>
      </c>
      <c r="AM256" s="2">
        <f t="shared" si="73"/>
        <v>7</v>
      </c>
      <c r="AX256">
        <v>253</v>
      </c>
      <c r="AY256">
        <v>253</v>
      </c>
      <c r="AZ256" s="3">
        <f t="shared" si="66"/>
        <v>10989904</v>
      </c>
      <c r="BA256" t="e">
        <f>AZ256/(#REF!*60/5)/60</f>
        <v>#REF!</v>
      </c>
      <c r="BB256" s="2">
        <f t="shared" si="62"/>
        <v>110</v>
      </c>
      <c r="BC256">
        <f t="shared" si="67"/>
        <v>7.5327380952380949</v>
      </c>
      <c r="BD256" s="2">
        <f t="shared" si="74"/>
        <v>29.5</v>
      </c>
      <c r="BE256">
        <f t="shared" si="75"/>
        <v>14</v>
      </c>
      <c r="BF256">
        <f t="shared" si="76"/>
        <v>80640</v>
      </c>
    </row>
    <row r="257" spans="1:58" ht="14.25" x14ac:dyDescent="0.2">
      <c r="A257" s="11">
        <v>1024</v>
      </c>
      <c r="B257" s="13">
        <v>3</v>
      </c>
      <c r="C257" s="15">
        <v>3</v>
      </c>
      <c r="D257" s="14">
        <f t="shared" si="77"/>
        <v>5</v>
      </c>
      <c r="E257" s="1" t="s">
        <v>2777</v>
      </c>
      <c r="F257" s="1" t="s">
        <v>2815</v>
      </c>
      <c r="G257" s="1" t="s">
        <v>2779</v>
      </c>
      <c r="H257" s="1" t="s">
        <v>2779</v>
      </c>
      <c r="I257" s="1" t="s">
        <v>2780</v>
      </c>
      <c r="J257" s="16" t="s">
        <v>2810</v>
      </c>
      <c r="K257" t="s">
        <v>177</v>
      </c>
      <c r="L257" t="s">
        <v>163</v>
      </c>
      <c r="M257" t="s">
        <v>163</v>
      </c>
      <c r="N257" t="s">
        <v>163</v>
      </c>
      <c r="O257" s="6" t="s">
        <v>557</v>
      </c>
      <c r="P257">
        <v>0</v>
      </c>
      <c r="Q257" s="24">
        <v>22.8</v>
      </c>
      <c r="R257" s="25">
        <v>23.8</v>
      </c>
      <c r="S257" s="26">
        <v>27.3</v>
      </c>
      <c r="U257" s="3">
        <v>254</v>
      </c>
      <c r="V257" s="1">
        <v>11119956</v>
      </c>
      <c r="W257" s="1">
        <v>1886378</v>
      </c>
      <c r="Y257">
        <v>5</v>
      </c>
      <c r="Z257">
        <v>14</v>
      </c>
      <c r="AA257" s="3">
        <v>20</v>
      </c>
      <c r="AB257" s="3">
        <v>6</v>
      </c>
      <c r="AC257">
        <v>155</v>
      </c>
      <c r="AD257" s="9">
        <f t="shared" si="61"/>
        <v>15212.666666666666</v>
      </c>
      <c r="AE257">
        <f t="shared" si="63"/>
        <v>2555730</v>
      </c>
      <c r="AF257" s="2">
        <f t="shared" si="68"/>
        <v>14</v>
      </c>
      <c r="AG257" t="str">
        <f t="shared" si="69"/>
        <v>253小时</v>
      </c>
      <c r="AH257">
        <f t="shared" si="70"/>
        <v>42</v>
      </c>
      <c r="AI257">
        <f t="shared" si="71"/>
        <v>7</v>
      </c>
      <c r="AJ257">
        <f t="shared" si="64"/>
        <v>29.5</v>
      </c>
      <c r="AK257">
        <f t="shared" si="72"/>
        <v>15</v>
      </c>
      <c r="AL257">
        <f t="shared" si="65"/>
        <v>14</v>
      </c>
      <c r="AM257" s="2">
        <f t="shared" si="73"/>
        <v>7</v>
      </c>
      <c r="AX257">
        <v>254</v>
      </c>
      <c r="AY257">
        <v>254</v>
      </c>
      <c r="AZ257" s="3">
        <f t="shared" si="66"/>
        <v>11119956</v>
      </c>
      <c r="BA257" t="e">
        <f>AZ257/(#REF!*60/5)/60</f>
        <v>#REF!</v>
      </c>
      <c r="BB257" s="2">
        <f t="shared" si="62"/>
        <v>110</v>
      </c>
      <c r="BC257">
        <f t="shared" si="67"/>
        <v>7.5327380952380949</v>
      </c>
      <c r="BD257" s="2">
        <f t="shared" si="74"/>
        <v>29.5</v>
      </c>
      <c r="BE257">
        <f t="shared" si="75"/>
        <v>14</v>
      </c>
      <c r="BF257">
        <f t="shared" si="76"/>
        <v>80640</v>
      </c>
    </row>
    <row r="258" spans="1:58" ht="14.25" x14ac:dyDescent="0.2">
      <c r="A258" s="11">
        <v>1025</v>
      </c>
      <c r="B258" s="13">
        <v>3</v>
      </c>
      <c r="C258" s="15">
        <v>3</v>
      </c>
      <c r="D258" s="14">
        <f t="shared" si="77"/>
        <v>5</v>
      </c>
      <c r="E258" s="1" t="s">
        <v>2785</v>
      </c>
      <c r="F258" s="1" t="s">
        <v>2786</v>
      </c>
      <c r="G258" s="1" t="s">
        <v>2809</v>
      </c>
      <c r="H258" s="1" t="s">
        <v>2804</v>
      </c>
      <c r="I258" s="1" t="s">
        <v>2697</v>
      </c>
      <c r="J258" s="16" t="s">
        <v>2873</v>
      </c>
      <c r="K258" t="s">
        <v>174</v>
      </c>
      <c r="L258" t="s">
        <v>163</v>
      </c>
      <c r="M258" t="s">
        <v>163</v>
      </c>
      <c r="N258" t="s">
        <v>163</v>
      </c>
      <c r="O258" s="6" t="s">
        <v>559</v>
      </c>
      <c r="P258">
        <v>0</v>
      </c>
      <c r="Q258" s="24">
        <v>22.8</v>
      </c>
      <c r="R258" s="25">
        <v>23.8</v>
      </c>
      <c r="S258" s="26">
        <v>27.3</v>
      </c>
      <c r="U258" s="3">
        <v>255</v>
      </c>
      <c r="V258" s="1">
        <v>11251030</v>
      </c>
      <c r="W258" s="1">
        <v>2107095</v>
      </c>
      <c r="Y258">
        <v>5</v>
      </c>
      <c r="Z258">
        <v>15</v>
      </c>
      <c r="AA258" s="3">
        <v>25</v>
      </c>
      <c r="AB258" s="3">
        <v>6</v>
      </c>
      <c r="AC258">
        <v>155</v>
      </c>
      <c r="AD258" s="9">
        <f t="shared" ref="AD258:AD321" si="78">INT(AE258/AF258)/60*5</f>
        <v>15212.666666666666</v>
      </c>
      <c r="AE258">
        <f t="shared" si="63"/>
        <v>2555730</v>
      </c>
      <c r="AF258" s="2">
        <f t="shared" si="68"/>
        <v>14</v>
      </c>
      <c r="AG258" t="str">
        <f t="shared" si="69"/>
        <v>253小时</v>
      </c>
      <c r="AH258">
        <f t="shared" si="70"/>
        <v>42</v>
      </c>
      <c r="AI258">
        <f t="shared" si="71"/>
        <v>7</v>
      </c>
      <c r="AJ258">
        <f t="shared" si="64"/>
        <v>29.5</v>
      </c>
      <c r="AK258">
        <f t="shared" si="72"/>
        <v>15</v>
      </c>
      <c r="AL258">
        <f t="shared" si="65"/>
        <v>14</v>
      </c>
      <c r="AM258" s="2">
        <f t="shared" si="73"/>
        <v>7</v>
      </c>
      <c r="AX258">
        <v>255</v>
      </c>
      <c r="AY258">
        <v>255</v>
      </c>
      <c r="AZ258" s="3">
        <f t="shared" si="66"/>
        <v>11251030</v>
      </c>
      <c r="BA258" t="e">
        <f>AZ258/(#REF!*60/5)/60</f>
        <v>#REF!</v>
      </c>
      <c r="BB258" s="2">
        <f t="shared" si="62"/>
        <v>110</v>
      </c>
      <c r="BC258">
        <f t="shared" si="67"/>
        <v>7.5327380952380949</v>
      </c>
      <c r="BD258" s="2">
        <f t="shared" si="74"/>
        <v>29.5</v>
      </c>
      <c r="BE258">
        <f t="shared" si="75"/>
        <v>14</v>
      </c>
      <c r="BF258">
        <f t="shared" si="76"/>
        <v>80640</v>
      </c>
    </row>
    <row r="259" spans="1:58" ht="14.25" x14ac:dyDescent="0.2">
      <c r="A259" s="11">
        <v>1026</v>
      </c>
      <c r="B259" s="13">
        <v>3</v>
      </c>
      <c r="C259" s="15">
        <v>3</v>
      </c>
      <c r="D259" s="14">
        <f t="shared" si="77"/>
        <v>5</v>
      </c>
      <c r="E259" s="1" t="s">
        <v>2777</v>
      </c>
      <c r="F259" s="1" t="s">
        <v>2812</v>
      </c>
      <c r="G259" s="1" t="s">
        <v>2779</v>
      </c>
      <c r="H259" s="1" t="s">
        <v>2779</v>
      </c>
      <c r="I259" s="1" t="s">
        <v>2780</v>
      </c>
      <c r="J259" s="16" t="s">
        <v>2810</v>
      </c>
      <c r="K259" t="s">
        <v>182</v>
      </c>
      <c r="L259" t="s">
        <v>163</v>
      </c>
      <c r="M259" t="s">
        <v>163</v>
      </c>
      <c r="N259" t="s">
        <v>163</v>
      </c>
      <c r="O259" s="6" t="s">
        <v>561</v>
      </c>
      <c r="P259">
        <v>0</v>
      </c>
      <c r="Q259" s="24">
        <v>23.2</v>
      </c>
      <c r="R259" s="25">
        <v>24.3</v>
      </c>
      <c r="S259" s="26">
        <v>27.7</v>
      </c>
      <c r="U259" s="3">
        <v>256</v>
      </c>
      <c r="V259" s="1">
        <v>11383130</v>
      </c>
      <c r="W259" s="1">
        <v>2108116</v>
      </c>
      <c r="Y259">
        <v>5</v>
      </c>
      <c r="Z259">
        <v>16</v>
      </c>
      <c r="AA259" s="3">
        <v>20</v>
      </c>
      <c r="AB259" s="3">
        <v>6</v>
      </c>
      <c r="AC259">
        <v>155</v>
      </c>
      <c r="AD259" s="9">
        <f t="shared" si="78"/>
        <v>14998.333333333332</v>
      </c>
      <c r="AE259">
        <f t="shared" si="63"/>
        <v>2555730</v>
      </c>
      <c r="AF259" s="2">
        <f t="shared" si="68"/>
        <v>14.200000000000001</v>
      </c>
      <c r="AG259" t="str">
        <f t="shared" si="69"/>
        <v>249小时</v>
      </c>
      <c r="AH259">
        <f t="shared" si="70"/>
        <v>43</v>
      </c>
      <c r="AI259">
        <f t="shared" si="71"/>
        <v>8</v>
      </c>
      <c r="AJ259">
        <f t="shared" si="64"/>
        <v>29.8</v>
      </c>
      <c r="AK259">
        <f t="shared" si="72"/>
        <v>15</v>
      </c>
      <c r="AL259">
        <f t="shared" si="65"/>
        <v>14.200000000000001</v>
      </c>
      <c r="AM259" s="2">
        <f t="shared" si="73"/>
        <v>8</v>
      </c>
      <c r="AX259">
        <v>256</v>
      </c>
      <c r="AY259">
        <v>256</v>
      </c>
      <c r="AZ259" s="3">
        <f t="shared" si="66"/>
        <v>11383130</v>
      </c>
      <c r="BA259" t="e">
        <f>AZ259/(#REF!*60/5)/60</f>
        <v>#REF!</v>
      </c>
      <c r="BB259" s="2">
        <f t="shared" ref="BB259:BB322" si="79">100+FLOOR((AX259-190)/30,1)*5</f>
        <v>110</v>
      </c>
      <c r="BC259">
        <f t="shared" si="67"/>
        <v>7.4266431924882612</v>
      </c>
      <c r="BD259" s="2">
        <f t="shared" si="74"/>
        <v>29.8</v>
      </c>
      <c r="BE259">
        <f t="shared" si="75"/>
        <v>14.200000000000001</v>
      </c>
      <c r="BF259">
        <f t="shared" si="76"/>
        <v>81792.000000000015</v>
      </c>
    </row>
    <row r="260" spans="1:58" ht="14.25" x14ac:dyDescent="0.2">
      <c r="A260" s="11">
        <v>1027</v>
      </c>
      <c r="B260" s="13">
        <v>3</v>
      </c>
      <c r="C260" s="15">
        <v>3</v>
      </c>
      <c r="D260" s="14">
        <f t="shared" si="77"/>
        <v>5</v>
      </c>
      <c r="E260" s="1" t="s">
        <v>2777</v>
      </c>
      <c r="F260" s="1" t="s">
        <v>2813</v>
      </c>
      <c r="G260" s="1" t="s">
        <v>2779</v>
      </c>
      <c r="H260" s="1" t="s">
        <v>2779</v>
      </c>
      <c r="I260" s="1" t="s">
        <v>2780</v>
      </c>
      <c r="J260" s="16" t="s">
        <v>2810</v>
      </c>
      <c r="K260" t="s">
        <v>162</v>
      </c>
      <c r="L260" t="s">
        <v>163</v>
      </c>
      <c r="M260" t="s">
        <v>163</v>
      </c>
      <c r="N260" t="s">
        <v>163</v>
      </c>
      <c r="O260" s="6" t="s">
        <v>561</v>
      </c>
      <c r="P260">
        <v>0</v>
      </c>
      <c r="Q260" s="24">
        <v>23.2</v>
      </c>
      <c r="R260" s="25">
        <v>24.3</v>
      </c>
      <c r="S260" s="26">
        <v>27.7</v>
      </c>
      <c r="U260" s="3">
        <v>257</v>
      </c>
      <c r="V260" s="1">
        <v>11516260</v>
      </c>
      <c r="W260" s="1">
        <v>2109141</v>
      </c>
      <c r="Y260">
        <v>5</v>
      </c>
      <c r="Z260">
        <v>17</v>
      </c>
      <c r="AA260" s="3">
        <v>20</v>
      </c>
      <c r="AB260" s="3">
        <v>6</v>
      </c>
      <c r="AC260">
        <v>155</v>
      </c>
      <c r="AD260" s="9">
        <f t="shared" si="78"/>
        <v>14998.333333333332</v>
      </c>
      <c r="AE260">
        <f t="shared" ref="AE260:AE323" si="80">INDEX(V:V,MATCH(AC260,U:U,0))</f>
        <v>2555730</v>
      </c>
      <c r="AF260" s="2">
        <f t="shared" si="68"/>
        <v>14.200000000000001</v>
      </c>
      <c r="AG260" t="str">
        <f t="shared" si="69"/>
        <v>249小时</v>
      </c>
      <c r="AH260">
        <f t="shared" si="70"/>
        <v>43</v>
      </c>
      <c r="AI260">
        <f t="shared" si="71"/>
        <v>8</v>
      </c>
      <c r="AJ260">
        <f t="shared" ref="AJ260:AJ323" si="81">BD260</f>
        <v>29.8</v>
      </c>
      <c r="AK260">
        <f t="shared" si="72"/>
        <v>15</v>
      </c>
      <c r="AL260">
        <f t="shared" ref="AL260:AL323" si="82">BE260</f>
        <v>14.200000000000001</v>
      </c>
      <c r="AM260" s="2">
        <f t="shared" si="73"/>
        <v>8</v>
      </c>
      <c r="AX260">
        <v>257</v>
      </c>
      <c r="AY260">
        <v>257</v>
      </c>
      <c r="AZ260" s="3">
        <f t="shared" ref="AZ260:AZ303" si="83">INDEX($V:$V,MATCH(AY260,$U:$U,0))</f>
        <v>11516260</v>
      </c>
      <c r="BA260" t="e">
        <f>AZ260/(#REF!*60/5)/60</f>
        <v>#REF!</v>
      </c>
      <c r="BB260" s="2">
        <f t="shared" si="79"/>
        <v>110</v>
      </c>
      <c r="BC260">
        <f t="shared" ref="BC260:BC323" si="84">INDEX($W:$W,MATCH(BB260,$U:$U,0))/(BE260*60*60/5)</f>
        <v>7.4266431924882612</v>
      </c>
      <c r="BD260" s="2">
        <f t="shared" si="74"/>
        <v>29.8</v>
      </c>
      <c r="BE260">
        <f t="shared" si="75"/>
        <v>14.200000000000001</v>
      </c>
      <c r="BF260">
        <f t="shared" si="76"/>
        <v>81792.000000000015</v>
      </c>
    </row>
    <row r="261" spans="1:58" ht="14.25" x14ac:dyDescent="0.2">
      <c r="A261" s="11">
        <v>1028</v>
      </c>
      <c r="B261" s="13">
        <v>3</v>
      </c>
      <c r="C261" s="15">
        <v>3</v>
      </c>
      <c r="D261" s="14">
        <f t="shared" si="77"/>
        <v>5</v>
      </c>
      <c r="E261" s="1" t="s">
        <v>2777</v>
      </c>
      <c r="F261" s="1" t="s">
        <v>2814</v>
      </c>
      <c r="G261" s="1" t="s">
        <v>2779</v>
      </c>
      <c r="H261" s="1" t="s">
        <v>2779</v>
      </c>
      <c r="I261" s="1" t="s">
        <v>2780</v>
      </c>
      <c r="J261" s="16" t="s">
        <v>2810</v>
      </c>
      <c r="K261" t="s">
        <v>177</v>
      </c>
      <c r="L261" t="s">
        <v>163</v>
      </c>
      <c r="M261" t="s">
        <v>163</v>
      </c>
      <c r="N261" t="s">
        <v>163</v>
      </c>
      <c r="O261" s="6" t="s">
        <v>563</v>
      </c>
      <c r="P261">
        <v>0</v>
      </c>
      <c r="Q261" s="24">
        <v>23.2</v>
      </c>
      <c r="R261" s="25">
        <v>24.3</v>
      </c>
      <c r="S261" s="26">
        <v>27.7</v>
      </c>
      <c r="U261" s="3">
        <v>258</v>
      </c>
      <c r="V261" s="1">
        <v>11650424</v>
      </c>
      <c r="W261" s="1">
        <v>2110170</v>
      </c>
      <c r="Y261">
        <v>5</v>
      </c>
      <c r="Z261">
        <v>18</v>
      </c>
      <c r="AA261" s="3">
        <v>20</v>
      </c>
      <c r="AB261" s="3">
        <v>6</v>
      </c>
      <c r="AC261">
        <v>155</v>
      </c>
      <c r="AD261" s="9">
        <f t="shared" si="78"/>
        <v>14998.333333333332</v>
      </c>
      <c r="AE261">
        <f t="shared" si="80"/>
        <v>2555730</v>
      </c>
      <c r="AF261" s="2">
        <f t="shared" ref="AF261:AF324" si="85">BE261</f>
        <v>14.200000000000001</v>
      </c>
      <c r="AG261" t="str">
        <f t="shared" ref="AG261:AG324" si="86">IF(AD261&lt;60,CONCATENATE(INT(AD261),"分钟"),CONCATENATE(INT(AD261/60),"小时"))</f>
        <v>249小时</v>
      </c>
      <c r="AH261">
        <f t="shared" ref="AH261:AH324" si="87">ROUNDUP(AF261*3,0)</f>
        <v>43</v>
      </c>
      <c r="AI261">
        <f t="shared" ref="AI261:AI324" si="88">ROUNDUP(AH261/AB261,0)</f>
        <v>8</v>
      </c>
      <c r="AJ261">
        <f t="shared" si="81"/>
        <v>29.8</v>
      </c>
      <c r="AK261">
        <f t="shared" ref="AK261:AK324" si="89">ROUNDUP(AJ261*3/AB261,0)</f>
        <v>15</v>
      </c>
      <c r="AL261">
        <f t="shared" si="82"/>
        <v>14.200000000000001</v>
      </c>
      <c r="AM261" s="2">
        <f t="shared" ref="AM261:AM324" si="90">ROUNDUP(AL261*3/AB261,0)</f>
        <v>8</v>
      </c>
      <c r="AX261">
        <v>258</v>
      </c>
      <c r="AY261">
        <v>258</v>
      </c>
      <c r="AZ261" s="3">
        <f t="shared" si="83"/>
        <v>11650424</v>
      </c>
      <c r="BA261" t="e">
        <f>AZ261/(#REF!*60/5)/60</f>
        <v>#REF!</v>
      </c>
      <c r="BB261" s="2">
        <f t="shared" si="79"/>
        <v>110</v>
      </c>
      <c r="BC261">
        <f t="shared" si="84"/>
        <v>7.4266431924882612</v>
      </c>
      <c r="BD261" s="2">
        <f t="shared" ref="BD261:BD324" si="91">ROUNDUP(BE261*1.5,1)+8.5</f>
        <v>29.8</v>
      </c>
      <c r="BE261">
        <f t="shared" ref="BE261:BE324" si="92">FLOOR(ROUNDUP(AX261/5,0)*0.25+1.25,0.1)</f>
        <v>14.200000000000001</v>
      </c>
      <c r="BF261">
        <f t="shared" ref="BF261:BF324" si="93">BE261*8*60*60/5</f>
        <v>81792.000000000015</v>
      </c>
    </row>
    <row r="262" spans="1:58" ht="14.25" x14ac:dyDescent="0.2">
      <c r="A262" s="11">
        <v>1029</v>
      </c>
      <c r="B262" s="13">
        <v>3</v>
      </c>
      <c r="C262" s="15">
        <v>3</v>
      </c>
      <c r="D262" s="14">
        <f t="shared" si="77"/>
        <v>5</v>
      </c>
      <c r="E262" s="1" t="s">
        <v>2777</v>
      </c>
      <c r="F262" s="1" t="s">
        <v>2815</v>
      </c>
      <c r="G262" s="1" t="s">
        <v>2779</v>
      </c>
      <c r="H262" s="1" t="s">
        <v>2779</v>
      </c>
      <c r="I262" s="1" t="s">
        <v>2780</v>
      </c>
      <c r="J262" s="16" t="s">
        <v>2810</v>
      </c>
      <c r="K262" t="s">
        <v>174</v>
      </c>
      <c r="L262" t="s">
        <v>163</v>
      </c>
      <c r="M262" t="s">
        <v>163</v>
      </c>
      <c r="N262" t="s">
        <v>163</v>
      </c>
      <c r="O262" s="6" t="s">
        <v>565</v>
      </c>
      <c r="P262">
        <v>0</v>
      </c>
      <c r="Q262" s="24">
        <v>23.2</v>
      </c>
      <c r="R262" s="25">
        <v>24.3</v>
      </c>
      <c r="S262" s="26">
        <v>27.7</v>
      </c>
      <c r="U262" s="3">
        <v>259</v>
      </c>
      <c r="V262" s="1">
        <v>11785626</v>
      </c>
      <c r="W262" s="1">
        <v>2111203</v>
      </c>
      <c r="Y262">
        <v>5</v>
      </c>
      <c r="Z262">
        <v>19</v>
      </c>
      <c r="AA262" s="3">
        <v>20</v>
      </c>
      <c r="AB262" s="3">
        <v>6</v>
      </c>
      <c r="AC262">
        <v>155</v>
      </c>
      <c r="AD262" s="9">
        <f t="shared" si="78"/>
        <v>14998.333333333332</v>
      </c>
      <c r="AE262">
        <f t="shared" si="80"/>
        <v>2555730</v>
      </c>
      <c r="AF262" s="2">
        <f t="shared" si="85"/>
        <v>14.200000000000001</v>
      </c>
      <c r="AG262" t="str">
        <f t="shared" si="86"/>
        <v>249小时</v>
      </c>
      <c r="AH262">
        <f t="shared" si="87"/>
        <v>43</v>
      </c>
      <c r="AI262">
        <f t="shared" si="88"/>
        <v>8</v>
      </c>
      <c r="AJ262">
        <f t="shared" si="81"/>
        <v>29.8</v>
      </c>
      <c r="AK262">
        <f t="shared" si="89"/>
        <v>15</v>
      </c>
      <c r="AL262">
        <f t="shared" si="82"/>
        <v>14.200000000000001</v>
      </c>
      <c r="AM262" s="2">
        <f t="shared" si="90"/>
        <v>8</v>
      </c>
      <c r="AX262">
        <v>259</v>
      </c>
      <c r="AY262">
        <v>259</v>
      </c>
      <c r="AZ262" s="3">
        <f t="shared" si="83"/>
        <v>11785626</v>
      </c>
      <c r="BA262" t="e">
        <f>AZ262/(#REF!*60/5)/60</f>
        <v>#REF!</v>
      </c>
      <c r="BB262" s="2">
        <f t="shared" si="79"/>
        <v>110</v>
      </c>
      <c r="BC262">
        <f t="shared" si="84"/>
        <v>7.4266431924882612</v>
      </c>
      <c r="BD262" s="2">
        <f t="shared" si="91"/>
        <v>29.8</v>
      </c>
      <c r="BE262">
        <f t="shared" si="92"/>
        <v>14.200000000000001</v>
      </c>
      <c r="BF262">
        <f t="shared" si="93"/>
        <v>81792.000000000015</v>
      </c>
    </row>
    <row r="263" spans="1:58" ht="14.25" x14ac:dyDescent="0.2">
      <c r="A263" s="11">
        <v>1030</v>
      </c>
      <c r="B263" s="13">
        <v>3</v>
      </c>
      <c r="C263" s="15">
        <v>3</v>
      </c>
      <c r="D263" s="14">
        <f t="shared" si="77"/>
        <v>5</v>
      </c>
      <c r="E263" s="1" t="s">
        <v>2785</v>
      </c>
      <c r="F263" s="1" t="s">
        <v>2786</v>
      </c>
      <c r="G263" s="1" t="s">
        <v>2811</v>
      </c>
      <c r="H263" s="1" t="s">
        <v>2804</v>
      </c>
      <c r="I263" s="1" t="s">
        <v>2697</v>
      </c>
      <c r="J263" s="16" t="s">
        <v>2855</v>
      </c>
      <c r="K263" t="s">
        <v>166</v>
      </c>
      <c r="L263" t="s">
        <v>163</v>
      </c>
      <c r="M263" t="s">
        <v>163</v>
      </c>
      <c r="N263" t="s">
        <v>163</v>
      </c>
      <c r="O263" s="6" t="s">
        <v>565</v>
      </c>
      <c r="P263">
        <v>0</v>
      </c>
      <c r="Q263" s="24">
        <v>23.2</v>
      </c>
      <c r="R263" s="25">
        <v>24.3</v>
      </c>
      <c r="S263" s="26">
        <v>27.7</v>
      </c>
      <c r="U263" s="3">
        <v>260</v>
      </c>
      <c r="V263" s="1">
        <v>11921870</v>
      </c>
      <c r="W263" s="1">
        <v>2431290</v>
      </c>
      <c r="Y263">
        <v>5</v>
      </c>
      <c r="Z263">
        <v>20</v>
      </c>
      <c r="AA263" s="3">
        <v>25</v>
      </c>
      <c r="AB263" s="3">
        <v>6</v>
      </c>
      <c r="AC263">
        <v>155</v>
      </c>
      <c r="AD263" s="9">
        <f t="shared" si="78"/>
        <v>14998.333333333332</v>
      </c>
      <c r="AE263">
        <f t="shared" si="80"/>
        <v>2555730</v>
      </c>
      <c r="AF263" s="2">
        <f t="shared" si="85"/>
        <v>14.200000000000001</v>
      </c>
      <c r="AG263" t="str">
        <f t="shared" si="86"/>
        <v>249小时</v>
      </c>
      <c r="AH263">
        <f t="shared" si="87"/>
        <v>43</v>
      </c>
      <c r="AI263">
        <f t="shared" si="88"/>
        <v>8</v>
      </c>
      <c r="AJ263">
        <f t="shared" si="81"/>
        <v>29.8</v>
      </c>
      <c r="AK263">
        <f t="shared" si="89"/>
        <v>15</v>
      </c>
      <c r="AL263">
        <f t="shared" si="82"/>
        <v>14.200000000000001</v>
      </c>
      <c r="AM263" s="2">
        <f t="shared" si="90"/>
        <v>8</v>
      </c>
      <c r="AX263">
        <v>260</v>
      </c>
      <c r="AY263">
        <v>260</v>
      </c>
      <c r="AZ263" s="3">
        <f t="shared" si="83"/>
        <v>11921870</v>
      </c>
      <c r="BA263" t="e">
        <f>AZ263/(#REF!*60/5)/60</f>
        <v>#REF!</v>
      </c>
      <c r="BB263" s="2">
        <f t="shared" si="79"/>
        <v>110</v>
      </c>
      <c r="BC263">
        <f t="shared" si="84"/>
        <v>7.4266431924882612</v>
      </c>
      <c r="BD263" s="2">
        <f t="shared" si="91"/>
        <v>29.8</v>
      </c>
      <c r="BE263">
        <f t="shared" si="92"/>
        <v>14.200000000000001</v>
      </c>
      <c r="BF263">
        <f t="shared" si="93"/>
        <v>81792.000000000015</v>
      </c>
    </row>
    <row r="264" spans="1:58" ht="14.25" x14ac:dyDescent="0.2">
      <c r="A264" s="11">
        <v>1031</v>
      </c>
      <c r="B264" s="13">
        <v>3</v>
      </c>
      <c r="C264" s="15">
        <v>3</v>
      </c>
      <c r="D264" s="14">
        <f t="shared" si="77"/>
        <v>5</v>
      </c>
      <c r="E264" s="1" t="s">
        <v>2777</v>
      </c>
      <c r="F264" s="1" t="s">
        <v>2812</v>
      </c>
      <c r="G264" s="1" t="s">
        <v>2779</v>
      </c>
      <c r="H264" s="1" t="s">
        <v>2779</v>
      </c>
      <c r="I264" s="1" t="s">
        <v>2780</v>
      </c>
      <c r="J264" s="16" t="s">
        <v>2810</v>
      </c>
      <c r="K264" t="s">
        <v>168</v>
      </c>
      <c r="L264" t="s">
        <v>163</v>
      </c>
      <c r="M264" t="s">
        <v>163</v>
      </c>
      <c r="N264" t="s">
        <v>163</v>
      </c>
      <c r="O264" s="6" t="s">
        <v>567</v>
      </c>
      <c r="P264">
        <v>0</v>
      </c>
      <c r="Q264" s="24">
        <v>23.5</v>
      </c>
      <c r="R264" s="25">
        <v>24.8</v>
      </c>
      <c r="S264" s="26">
        <v>28</v>
      </c>
      <c r="U264" s="3">
        <v>261</v>
      </c>
      <c r="V264" s="1">
        <v>12059160</v>
      </c>
      <c r="W264" s="1">
        <v>2432331</v>
      </c>
      <c r="Y264">
        <v>6</v>
      </c>
      <c r="Z264">
        <v>1</v>
      </c>
      <c r="AA264" s="3">
        <v>20</v>
      </c>
      <c r="AB264" s="3">
        <v>6</v>
      </c>
      <c r="AC264">
        <v>155</v>
      </c>
      <c r="AD264" s="9">
        <f t="shared" si="78"/>
        <v>14688.083333333334</v>
      </c>
      <c r="AE264">
        <f t="shared" si="80"/>
        <v>2555730</v>
      </c>
      <c r="AF264" s="2">
        <f t="shared" si="85"/>
        <v>14.5</v>
      </c>
      <c r="AG264" t="str">
        <f t="shared" si="86"/>
        <v>244小时</v>
      </c>
      <c r="AH264">
        <f t="shared" si="87"/>
        <v>44</v>
      </c>
      <c r="AI264">
        <f t="shared" si="88"/>
        <v>8</v>
      </c>
      <c r="AJ264">
        <f t="shared" si="81"/>
        <v>30.3</v>
      </c>
      <c r="AK264">
        <f t="shared" si="89"/>
        <v>16</v>
      </c>
      <c r="AL264">
        <f t="shared" si="82"/>
        <v>14.5</v>
      </c>
      <c r="AM264" s="2">
        <f t="shared" si="90"/>
        <v>8</v>
      </c>
      <c r="AX264">
        <v>261</v>
      </c>
      <c r="AY264">
        <v>261</v>
      </c>
      <c r="AZ264" s="3">
        <f t="shared" si="83"/>
        <v>12059160</v>
      </c>
      <c r="BA264" t="e">
        <f>AZ264/(#REF!*60/5)/60</f>
        <v>#REF!</v>
      </c>
      <c r="BB264" s="2">
        <f t="shared" si="79"/>
        <v>110</v>
      </c>
      <c r="BC264">
        <f t="shared" si="84"/>
        <v>7.2729885057471266</v>
      </c>
      <c r="BD264" s="2">
        <f t="shared" si="91"/>
        <v>30.3</v>
      </c>
      <c r="BE264">
        <f t="shared" si="92"/>
        <v>14.5</v>
      </c>
      <c r="BF264">
        <f t="shared" si="93"/>
        <v>83520</v>
      </c>
    </row>
    <row r="265" spans="1:58" ht="14.25" x14ac:dyDescent="0.2">
      <c r="A265" s="11">
        <v>1032</v>
      </c>
      <c r="B265" s="13">
        <v>3</v>
      </c>
      <c r="C265" s="15">
        <v>3</v>
      </c>
      <c r="D265" s="14">
        <f t="shared" si="77"/>
        <v>5</v>
      </c>
      <c r="E265" s="1" t="s">
        <v>2777</v>
      </c>
      <c r="F265" s="1" t="s">
        <v>2813</v>
      </c>
      <c r="G265" s="1" t="s">
        <v>2779</v>
      </c>
      <c r="H265" s="1" t="s">
        <v>2779</v>
      </c>
      <c r="I265" s="1" t="s">
        <v>2780</v>
      </c>
      <c r="J265" s="16" t="s">
        <v>2810</v>
      </c>
      <c r="K265" t="s">
        <v>175</v>
      </c>
      <c r="L265" t="s">
        <v>164</v>
      </c>
      <c r="M265" t="s">
        <v>163</v>
      </c>
      <c r="N265" t="s">
        <v>167</v>
      </c>
      <c r="O265" s="6" t="s">
        <v>569</v>
      </c>
      <c r="P265">
        <v>0</v>
      </c>
      <c r="Q265" s="24">
        <v>23.5</v>
      </c>
      <c r="R265" s="25">
        <v>24.8</v>
      </c>
      <c r="S265" s="26">
        <v>28</v>
      </c>
      <c r="U265" s="3">
        <v>262</v>
      </c>
      <c r="V265" s="1">
        <v>12197500</v>
      </c>
      <c r="W265" s="1">
        <v>2433376</v>
      </c>
      <c r="Y265">
        <v>6</v>
      </c>
      <c r="Z265">
        <v>2</v>
      </c>
      <c r="AA265" s="3">
        <v>20</v>
      </c>
      <c r="AB265" s="3">
        <v>6</v>
      </c>
      <c r="AC265">
        <v>155</v>
      </c>
      <c r="AD265" s="9">
        <f t="shared" si="78"/>
        <v>14688.083333333334</v>
      </c>
      <c r="AE265">
        <f t="shared" si="80"/>
        <v>2555730</v>
      </c>
      <c r="AF265" s="2">
        <f t="shared" si="85"/>
        <v>14.5</v>
      </c>
      <c r="AG265" t="str">
        <f t="shared" si="86"/>
        <v>244小时</v>
      </c>
      <c r="AH265">
        <f t="shared" si="87"/>
        <v>44</v>
      </c>
      <c r="AI265">
        <f t="shared" si="88"/>
        <v>8</v>
      </c>
      <c r="AJ265">
        <f t="shared" si="81"/>
        <v>30.3</v>
      </c>
      <c r="AK265">
        <f t="shared" si="89"/>
        <v>16</v>
      </c>
      <c r="AL265">
        <f t="shared" si="82"/>
        <v>14.5</v>
      </c>
      <c r="AM265" s="2">
        <f t="shared" si="90"/>
        <v>8</v>
      </c>
      <c r="AX265">
        <v>262</v>
      </c>
      <c r="AY265">
        <v>262</v>
      </c>
      <c r="AZ265" s="3">
        <f t="shared" si="83"/>
        <v>12197500</v>
      </c>
      <c r="BA265" t="e">
        <f>AZ265/(#REF!*60/5)/60</f>
        <v>#REF!</v>
      </c>
      <c r="BB265" s="2">
        <f t="shared" si="79"/>
        <v>110</v>
      </c>
      <c r="BC265">
        <f t="shared" si="84"/>
        <v>7.2729885057471266</v>
      </c>
      <c r="BD265" s="2">
        <f t="shared" si="91"/>
        <v>30.3</v>
      </c>
      <c r="BE265">
        <f t="shared" si="92"/>
        <v>14.5</v>
      </c>
      <c r="BF265">
        <f t="shared" si="93"/>
        <v>83520</v>
      </c>
    </row>
    <row r="266" spans="1:58" ht="14.25" x14ac:dyDescent="0.2">
      <c r="A266" s="11">
        <v>1033</v>
      </c>
      <c r="B266" s="13">
        <v>3</v>
      </c>
      <c r="C266" s="15">
        <v>3</v>
      </c>
      <c r="D266" s="14">
        <f t="shared" si="77"/>
        <v>5</v>
      </c>
      <c r="E266" s="1" t="s">
        <v>2777</v>
      </c>
      <c r="F266" s="1" t="s">
        <v>2814</v>
      </c>
      <c r="G266" s="1" t="s">
        <v>2779</v>
      </c>
      <c r="H266" s="1" t="s">
        <v>2779</v>
      </c>
      <c r="I266" s="1" t="s">
        <v>2780</v>
      </c>
      <c r="J266" s="16" t="s">
        <v>2810</v>
      </c>
      <c r="K266" t="s">
        <v>179</v>
      </c>
      <c r="L266" t="s">
        <v>163</v>
      </c>
      <c r="M266" t="s">
        <v>163</v>
      </c>
      <c r="N266" t="s">
        <v>163</v>
      </c>
      <c r="O266" s="6" t="s">
        <v>571</v>
      </c>
      <c r="P266">
        <v>0</v>
      </c>
      <c r="Q266" s="24">
        <v>23.5</v>
      </c>
      <c r="R266" s="25">
        <v>24.8</v>
      </c>
      <c r="S266" s="26">
        <v>28</v>
      </c>
      <c r="U266" s="3">
        <v>263</v>
      </c>
      <c r="V266" s="1">
        <v>12336894</v>
      </c>
      <c r="W266" s="1">
        <v>2434425</v>
      </c>
      <c r="Y266">
        <v>6</v>
      </c>
      <c r="Z266">
        <v>3</v>
      </c>
      <c r="AA266" s="3">
        <v>20</v>
      </c>
      <c r="AB266" s="3">
        <v>6</v>
      </c>
      <c r="AC266">
        <v>155</v>
      </c>
      <c r="AD266" s="9">
        <f t="shared" si="78"/>
        <v>14688.083333333334</v>
      </c>
      <c r="AE266">
        <f t="shared" si="80"/>
        <v>2555730</v>
      </c>
      <c r="AF266" s="2">
        <f t="shared" si="85"/>
        <v>14.5</v>
      </c>
      <c r="AG266" t="str">
        <f t="shared" si="86"/>
        <v>244小时</v>
      </c>
      <c r="AH266">
        <f t="shared" si="87"/>
        <v>44</v>
      </c>
      <c r="AI266">
        <f t="shared" si="88"/>
        <v>8</v>
      </c>
      <c r="AJ266">
        <f t="shared" si="81"/>
        <v>30.3</v>
      </c>
      <c r="AK266">
        <f t="shared" si="89"/>
        <v>16</v>
      </c>
      <c r="AL266">
        <f t="shared" si="82"/>
        <v>14.5</v>
      </c>
      <c r="AM266" s="2">
        <f t="shared" si="90"/>
        <v>8</v>
      </c>
      <c r="AX266">
        <v>263</v>
      </c>
      <c r="AY266">
        <v>263</v>
      </c>
      <c r="AZ266" s="3">
        <f t="shared" si="83"/>
        <v>12336894</v>
      </c>
      <c r="BA266" t="e">
        <f>AZ266/(#REF!*60/5)/60</f>
        <v>#REF!</v>
      </c>
      <c r="BB266" s="2">
        <f t="shared" si="79"/>
        <v>110</v>
      </c>
      <c r="BC266">
        <f t="shared" si="84"/>
        <v>7.2729885057471266</v>
      </c>
      <c r="BD266" s="2">
        <f t="shared" si="91"/>
        <v>30.3</v>
      </c>
      <c r="BE266">
        <f t="shared" si="92"/>
        <v>14.5</v>
      </c>
      <c r="BF266">
        <f t="shared" si="93"/>
        <v>83520</v>
      </c>
    </row>
    <row r="267" spans="1:58" ht="14.25" x14ac:dyDescent="0.2">
      <c r="A267" s="11">
        <v>1034</v>
      </c>
      <c r="B267" s="13">
        <v>3</v>
      </c>
      <c r="C267" s="15">
        <v>3</v>
      </c>
      <c r="D267" s="14">
        <f t="shared" si="77"/>
        <v>5</v>
      </c>
      <c r="E267" s="1" t="s">
        <v>2777</v>
      </c>
      <c r="F267" s="1" t="s">
        <v>2815</v>
      </c>
      <c r="G267" s="1" t="s">
        <v>2779</v>
      </c>
      <c r="H267" s="1" t="s">
        <v>2779</v>
      </c>
      <c r="I267" s="1" t="s">
        <v>2780</v>
      </c>
      <c r="J267" s="16" t="s">
        <v>2810</v>
      </c>
      <c r="K267" t="s">
        <v>177</v>
      </c>
      <c r="L267" t="s">
        <v>163</v>
      </c>
      <c r="M267" t="s">
        <v>163</v>
      </c>
      <c r="N267" t="s">
        <v>163</v>
      </c>
      <c r="O267" s="6" t="s">
        <v>571</v>
      </c>
      <c r="P267">
        <v>0</v>
      </c>
      <c r="Q267" s="24">
        <v>23.5</v>
      </c>
      <c r="R267" s="25">
        <v>24.8</v>
      </c>
      <c r="S267" s="26">
        <v>28</v>
      </c>
      <c r="U267" s="3">
        <v>264</v>
      </c>
      <c r="V267" s="1">
        <v>12477346</v>
      </c>
      <c r="W267" s="1">
        <v>2435478</v>
      </c>
      <c r="Y267">
        <v>6</v>
      </c>
      <c r="Z267">
        <v>4</v>
      </c>
      <c r="AA267" s="3">
        <v>20</v>
      </c>
      <c r="AB267" s="3">
        <v>6</v>
      </c>
      <c r="AC267">
        <v>155</v>
      </c>
      <c r="AD267" s="9">
        <f t="shared" si="78"/>
        <v>14688.083333333334</v>
      </c>
      <c r="AE267">
        <f t="shared" si="80"/>
        <v>2555730</v>
      </c>
      <c r="AF267" s="2">
        <f t="shared" si="85"/>
        <v>14.5</v>
      </c>
      <c r="AG267" t="str">
        <f t="shared" si="86"/>
        <v>244小时</v>
      </c>
      <c r="AH267">
        <f t="shared" si="87"/>
        <v>44</v>
      </c>
      <c r="AI267">
        <f t="shared" si="88"/>
        <v>8</v>
      </c>
      <c r="AJ267">
        <f t="shared" si="81"/>
        <v>30.3</v>
      </c>
      <c r="AK267">
        <f t="shared" si="89"/>
        <v>16</v>
      </c>
      <c r="AL267">
        <f t="shared" si="82"/>
        <v>14.5</v>
      </c>
      <c r="AM267" s="2">
        <f t="shared" si="90"/>
        <v>8</v>
      </c>
      <c r="AX267">
        <v>264</v>
      </c>
      <c r="AY267">
        <v>264</v>
      </c>
      <c r="AZ267" s="3">
        <f t="shared" si="83"/>
        <v>12477346</v>
      </c>
      <c r="BA267" t="e">
        <f>AZ267/(#REF!*60/5)/60</f>
        <v>#REF!</v>
      </c>
      <c r="BB267" s="2">
        <f t="shared" si="79"/>
        <v>110</v>
      </c>
      <c r="BC267">
        <f t="shared" si="84"/>
        <v>7.2729885057471266</v>
      </c>
      <c r="BD267" s="2">
        <f t="shared" si="91"/>
        <v>30.3</v>
      </c>
      <c r="BE267">
        <f t="shared" si="92"/>
        <v>14.5</v>
      </c>
      <c r="BF267">
        <f t="shared" si="93"/>
        <v>83520</v>
      </c>
    </row>
    <row r="268" spans="1:58" ht="14.25" x14ac:dyDescent="0.2">
      <c r="A268" s="11">
        <v>1035</v>
      </c>
      <c r="B268" s="13">
        <v>3</v>
      </c>
      <c r="C268" s="15">
        <v>3</v>
      </c>
      <c r="D268" s="14">
        <f t="shared" si="77"/>
        <v>5</v>
      </c>
      <c r="E268" s="1" t="s">
        <v>2785</v>
      </c>
      <c r="F268" s="1" t="s">
        <v>2786</v>
      </c>
      <c r="G268" s="1" t="s">
        <v>2803</v>
      </c>
      <c r="H268" s="1" t="s">
        <v>2816</v>
      </c>
      <c r="I268" s="1" t="s">
        <v>2697</v>
      </c>
      <c r="J268" s="16" t="s">
        <v>2855</v>
      </c>
      <c r="K268" t="s">
        <v>174</v>
      </c>
      <c r="L268" t="s">
        <v>163</v>
      </c>
      <c r="M268" t="s">
        <v>163</v>
      </c>
      <c r="N268" t="s">
        <v>163</v>
      </c>
      <c r="O268" s="6" t="s">
        <v>573</v>
      </c>
      <c r="P268">
        <v>0</v>
      </c>
      <c r="Q268" s="24">
        <v>23.5</v>
      </c>
      <c r="R268" s="25">
        <v>24.8</v>
      </c>
      <c r="S268" s="26">
        <v>28</v>
      </c>
      <c r="U268" s="3">
        <v>265</v>
      </c>
      <c r="V268" s="1">
        <v>12618860</v>
      </c>
      <c r="W268" s="1">
        <v>2691685</v>
      </c>
      <c r="Y268">
        <v>6</v>
      </c>
      <c r="Z268">
        <v>5</v>
      </c>
      <c r="AA268" s="3">
        <v>25</v>
      </c>
      <c r="AB268" s="3">
        <v>6</v>
      </c>
      <c r="AC268">
        <v>155</v>
      </c>
      <c r="AD268" s="9">
        <f t="shared" si="78"/>
        <v>14688.083333333334</v>
      </c>
      <c r="AE268">
        <f t="shared" si="80"/>
        <v>2555730</v>
      </c>
      <c r="AF268" s="2">
        <f t="shared" si="85"/>
        <v>14.5</v>
      </c>
      <c r="AG268" t="str">
        <f t="shared" si="86"/>
        <v>244小时</v>
      </c>
      <c r="AH268">
        <f t="shared" si="87"/>
        <v>44</v>
      </c>
      <c r="AI268">
        <f t="shared" si="88"/>
        <v>8</v>
      </c>
      <c r="AJ268">
        <f t="shared" si="81"/>
        <v>30.3</v>
      </c>
      <c r="AK268">
        <f t="shared" si="89"/>
        <v>16</v>
      </c>
      <c r="AL268">
        <f t="shared" si="82"/>
        <v>14.5</v>
      </c>
      <c r="AM268" s="2">
        <f t="shared" si="90"/>
        <v>8</v>
      </c>
      <c r="AX268">
        <v>265</v>
      </c>
      <c r="AY268">
        <v>265</v>
      </c>
      <c r="AZ268" s="3">
        <f t="shared" si="83"/>
        <v>12618860</v>
      </c>
      <c r="BA268" t="e">
        <f>AZ268/(#REF!*60/5)/60</f>
        <v>#REF!</v>
      </c>
      <c r="BB268" s="2">
        <f t="shared" si="79"/>
        <v>110</v>
      </c>
      <c r="BC268">
        <f t="shared" si="84"/>
        <v>7.2729885057471266</v>
      </c>
      <c r="BD268" s="2">
        <f t="shared" si="91"/>
        <v>30.3</v>
      </c>
      <c r="BE268">
        <f t="shared" si="92"/>
        <v>14.5</v>
      </c>
      <c r="BF268">
        <f t="shared" si="93"/>
        <v>83520</v>
      </c>
    </row>
    <row r="269" spans="1:58" ht="14.25" x14ac:dyDescent="0.2">
      <c r="A269" s="11">
        <v>1036</v>
      </c>
      <c r="B269" s="13">
        <v>3</v>
      </c>
      <c r="C269" s="15">
        <v>3</v>
      </c>
      <c r="D269" s="14">
        <f t="shared" si="77"/>
        <v>5</v>
      </c>
      <c r="E269" s="1" t="s">
        <v>2777</v>
      </c>
      <c r="F269" s="1" t="s">
        <v>2812</v>
      </c>
      <c r="G269" s="1" t="s">
        <v>2779</v>
      </c>
      <c r="H269" s="1" t="s">
        <v>2779</v>
      </c>
      <c r="I269" s="1" t="s">
        <v>2780</v>
      </c>
      <c r="J269" s="16" t="s">
        <v>2810</v>
      </c>
      <c r="K269" t="s">
        <v>182</v>
      </c>
      <c r="L269" t="s">
        <v>163</v>
      </c>
      <c r="M269" t="s">
        <v>163</v>
      </c>
      <c r="N269" t="s">
        <v>163</v>
      </c>
      <c r="O269" s="6" t="s">
        <v>575</v>
      </c>
      <c r="P269">
        <v>0</v>
      </c>
      <c r="Q269" s="24">
        <v>23.8</v>
      </c>
      <c r="R269" s="25">
        <v>25.2</v>
      </c>
      <c r="S269" s="26">
        <v>28.3</v>
      </c>
      <c r="U269" s="3">
        <v>266</v>
      </c>
      <c r="V269" s="1">
        <v>12761440</v>
      </c>
      <c r="W269" s="1">
        <v>2692746</v>
      </c>
      <c r="Y269">
        <v>6</v>
      </c>
      <c r="Z269">
        <v>6</v>
      </c>
      <c r="AA269" s="3">
        <v>20</v>
      </c>
      <c r="AB269" s="3">
        <v>6</v>
      </c>
      <c r="AC269">
        <v>155</v>
      </c>
      <c r="AD269" s="9">
        <f t="shared" si="78"/>
        <v>14488.25</v>
      </c>
      <c r="AE269">
        <f t="shared" si="80"/>
        <v>2555730</v>
      </c>
      <c r="AF269" s="2">
        <f t="shared" si="85"/>
        <v>14.700000000000001</v>
      </c>
      <c r="AG269" t="str">
        <f t="shared" si="86"/>
        <v>241小时</v>
      </c>
      <c r="AH269">
        <f t="shared" si="87"/>
        <v>45</v>
      </c>
      <c r="AI269">
        <f t="shared" si="88"/>
        <v>8</v>
      </c>
      <c r="AJ269">
        <f t="shared" si="81"/>
        <v>30.6</v>
      </c>
      <c r="AK269">
        <f t="shared" si="89"/>
        <v>16</v>
      </c>
      <c r="AL269">
        <f t="shared" si="82"/>
        <v>14.700000000000001</v>
      </c>
      <c r="AM269" s="2">
        <f t="shared" si="90"/>
        <v>8</v>
      </c>
      <c r="AX269">
        <v>266</v>
      </c>
      <c r="AY269">
        <v>266</v>
      </c>
      <c r="AZ269" s="3">
        <f t="shared" si="83"/>
        <v>12761440</v>
      </c>
      <c r="BA269" t="e">
        <f>AZ269/(#REF!*60/5)/60</f>
        <v>#REF!</v>
      </c>
      <c r="BB269" s="2">
        <f t="shared" si="79"/>
        <v>110</v>
      </c>
      <c r="BC269">
        <f t="shared" si="84"/>
        <v>7.1740362811791369</v>
      </c>
      <c r="BD269" s="2">
        <f t="shared" si="91"/>
        <v>30.6</v>
      </c>
      <c r="BE269">
        <f t="shared" si="92"/>
        <v>14.700000000000001</v>
      </c>
      <c r="BF269">
        <f t="shared" si="93"/>
        <v>84672.000000000015</v>
      </c>
    </row>
    <row r="270" spans="1:58" ht="14.25" x14ac:dyDescent="0.2">
      <c r="A270" s="11">
        <v>1037</v>
      </c>
      <c r="B270" s="13">
        <v>3</v>
      </c>
      <c r="C270" s="15">
        <v>3</v>
      </c>
      <c r="D270" s="14">
        <f t="shared" si="77"/>
        <v>5</v>
      </c>
      <c r="E270" s="1" t="s">
        <v>2777</v>
      </c>
      <c r="F270" s="1" t="s">
        <v>2813</v>
      </c>
      <c r="G270" s="1" t="s">
        <v>2779</v>
      </c>
      <c r="H270" s="1" t="s">
        <v>2779</v>
      </c>
      <c r="I270" s="1" t="s">
        <v>2780</v>
      </c>
      <c r="J270" s="16" t="s">
        <v>2810</v>
      </c>
      <c r="K270" t="s">
        <v>162</v>
      </c>
      <c r="L270" t="s">
        <v>163</v>
      </c>
      <c r="M270" t="s">
        <v>163</v>
      </c>
      <c r="N270" t="s">
        <v>163</v>
      </c>
      <c r="O270" s="6" t="s">
        <v>575</v>
      </c>
      <c r="P270">
        <v>0</v>
      </c>
      <c r="Q270" s="24">
        <v>23.8</v>
      </c>
      <c r="R270" s="25">
        <v>25.2</v>
      </c>
      <c r="S270" s="26">
        <v>28.3</v>
      </c>
      <c r="U270" s="3">
        <v>267</v>
      </c>
      <c r="V270" s="1">
        <v>12905090</v>
      </c>
      <c r="W270" s="1">
        <v>2693811</v>
      </c>
      <c r="Y270">
        <v>6</v>
      </c>
      <c r="Z270">
        <v>7</v>
      </c>
      <c r="AA270" s="3">
        <v>20</v>
      </c>
      <c r="AB270" s="3">
        <v>6</v>
      </c>
      <c r="AC270">
        <v>155</v>
      </c>
      <c r="AD270" s="9">
        <f t="shared" si="78"/>
        <v>14488.25</v>
      </c>
      <c r="AE270">
        <f t="shared" si="80"/>
        <v>2555730</v>
      </c>
      <c r="AF270" s="2">
        <f t="shared" si="85"/>
        <v>14.700000000000001</v>
      </c>
      <c r="AG270" t="str">
        <f t="shared" si="86"/>
        <v>241小时</v>
      </c>
      <c r="AH270">
        <f t="shared" si="87"/>
        <v>45</v>
      </c>
      <c r="AI270">
        <f t="shared" si="88"/>
        <v>8</v>
      </c>
      <c r="AJ270">
        <f t="shared" si="81"/>
        <v>30.6</v>
      </c>
      <c r="AK270">
        <f t="shared" si="89"/>
        <v>16</v>
      </c>
      <c r="AL270">
        <f t="shared" si="82"/>
        <v>14.700000000000001</v>
      </c>
      <c r="AM270" s="2">
        <f t="shared" si="90"/>
        <v>8</v>
      </c>
      <c r="AX270">
        <v>267</v>
      </c>
      <c r="AY270">
        <v>267</v>
      </c>
      <c r="AZ270" s="3">
        <f t="shared" si="83"/>
        <v>12905090</v>
      </c>
      <c r="BA270" t="e">
        <f>AZ270/(#REF!*60/5)/60</f>
        <v>#REF!</v>
      </c>
      <c r="BB270" s="2">
        <f t="shared" si="79"/>
        <v>110</v>
      </c>
      <c r="BC270">
        <f t="shared" si="84"/>
        <v>7.1740362811791369</v>
      </c>
      <c r="BD270" s="2">
        <f t="shared" si="91"/>
        <v>30.6</v>
      </c>
      <c r="BE270">
        <f t="shared" si="92"/>
        <v>14.700000000000001</v>
      </c>
      <c r="BF270">
        <f t="shared" si="93"/>
        <v>84672.000000000015</v>
      </c>
    </row>
    <row r="271" spans="1:58" ht="14.25" x14ac:dyDescent="0.2">
      <c r="A271" s="11">
        <v>1038</v>
      </c>
      <c r="B271" s="13">
        <v>3</v>
      </c>
      <c r="C271" s="15">
        <v>3</v>
      </c>
      <c r="D271" s="14">
        <f t="shared" si="77"/>
        <v>5</v>
      </c>
      <c r="E271" s="1" t="s">
        <v>2777</v>
      </c>
      <c r="F271" s="1" t="s">
        <v>2814</v>
      </c>
      <c r="G271" s="1" t="s">
        <v>2779</v>
      </c>
      <c r="H271" s="1" t="s">
        <v>2779</v>
      </c>
      <c r="I271" s="1" t="s">
        <v>2780</v>
      </c>
      <c r="J271" s="16" t="s">
        <v>2810</v>
      </c>
      <c r="K271" t="s">
        <v>177</v>
      </c>
      <c r="L271" t="s">
        <v>163</v>
      </c>
      <c r="M271" t="s">
        <v>163</v>
      </c>
      <c r="N271" t="s">
        <v>163</v>
      </c>
      <c r="O271" s="6" t="s">
        <v>577</v>
      </c>
      <c r="P271">
        <v>0</v>
      </c>
      <c r="Q271" s="24">
        <v>23.8</v>
      </c>
      <c r="R271" s="25">
        <v>25.2</v>
      </c>
      <c r="S271" s="26">
        <v>28.3</v>
      </c>
      <c r="U271" s="3">
        <v>268</v>
      </c>
      <c r="V271" s="1">
        <v>13049814</v>
      </c>
      <c r="W271" s="1">
        <v>2694880</v>
      </c>
      <c r="Y271">
        <v>6</v>
      </c>
      <c r="Z271">
        <v>8</v>
      </c>
      <c r="AA271" s="3">
        <v>20</v>
      </c>
      <c r="AB271" s="3">
        <v>6</v>
      </c>
      <c r="AC271">
        <v>155</v>
      </c>
      <c r="AD271" s="9">
        <f t="shared" si="78"/>
        <v>14488.25</v>
      </c>
      <c r="AE271">
        <f t="shared" si="80"/>
        <v>2555730</v>
      </c>
      <c r="AF271" s="2">
        <f t="shared" si="85"/>
        <v>14.700000000000001</v>
      </c>
      <c r="AG271" t="str">
        <f t="shared" si="86"/>
        <v>241小时</v>
      </c>
      <c r="AH271">
        <f t="shared" si="87"/>
        <v>45</v>
      </c>
      <c r="AI271">
        <f t="shared" si="88"/>
        <v>8</v>
      </c>
      <c r="AJ271">
        <f t="shared" si="81"/>
        <v>30.6</v>
      </c>
      <c r="AK271">
        <f t="shared" si="89"/>
        <v>16</v>
      </c>
      <c r="AL271">
        <f t="shared" si="82"/>
        <v>14.700000000000001</v>
      </c>
      <c r="AM271" s="2">
        <f t="shared" si="90"/>
        <v>8</v>
      </c>
      <c r="AX271">
        <v>268</v>
      </c>
      <c r="AY271">
        <v>268</v>
      </c>
      <c r="AZ271" s="3">
        <f t="shared" si="83"/>
        <v>13049814</v>
      </c>
      <c r="BA271" t="e">
        <f>AZ271/(#REF!*60/5)/60</f>
        <v>#REF!</v>
      </c>
      <c r="BB271" s="2">
        <f t="shared" si="79"/>
        <v>110</v>
      </c>
      <c r="BC271">
        <f t="shared" si="84"/>
        <v>7.1740362811791369</v>
      </c>
      <c r="BD271" s="2">
        <f t="shared" si="91"/>
        <v>30.6</v>
      </c>
      <c r="BE271">
        <f t="shared" si="92"/>
        <v>14.700000000000001</v>
      </c>
      <c r="BF271">
        <f t="shared" si="93"/>
        <v>84672.000000000015</v>
      </c>
    </row>
    <row r="272" spans="1:58" ht="14.25" x14ac:dyDescent="0.2">
      <c r="A272" s="11">
        <v>1039</v>
      </c>
      <c r="B272" s="13">
        <v>3</v>
      </c>
      <c r="C272" s="15">
        <v>3</v>
      </c>
      <c r="D272" s="14">
        <f t="shared" ref="D272:D335" si="94">FLOOR(S270/5,1)</f>
        <v>5</v>
      </c>
      <c r="E272" s="1" t="s">
        <v>2777</v>
      </c>
      <c r="F272" s="1" t="s">
        <v>2815</v>
      </c>
      <c r="G272" s="1" t="s">
        <v>2779</v>
      </c>
      <c r="H272" s="1" t="s">
        <v>2779</v>
      </c>
      <c r="I272" s="1" t="s">
        <v>2780</v>
      </c>
      <c r="J272" s="16" t="s">
        <v>2810</v>
      </c>
      <c r="K272" t="s">
        <v>174</v>
      </c>
      <c r="L272" t="s">
        <v>163</v>
      </c>
      <c r="M272" t="s">
        <v>163</v>
      </c>
      <c r="N272" t="s">
        <v>163</v>
      </c>
      <c r="O272" s="6" t="s">
        <v>579</v>
      </c>
      <c r="P272">
        <v>0</v>
      </c>
      <c r="Q272" s="24">
        <v>23.8</v>
      </c>
      <c r="R272" s="25">
        <v>25.2</v>
      </c>
      <c r="S272" s="26">
        <v>28.3</v>
      </c>
      <c r="U272" s="3">
        <v>269</v>
      </c>
      <c r="V272" s="1">
        <v>13195616</v>
      </c>
      <c r="W272" s="1">
        <v>2695953</v>
      </c>
      <c r="Y272">
        <v>6</v>
      </c>
      <c r="Z272">
        <v>9</v>
      </c>
      <c r="AA272" s="3">
        <v>20</v>
      </c>
      <c r="AB272" s="3">
        <v>6</v>
      </c>
      <c r="AC272">
        <v>155</v>
      </c>
      <c r="AD272" s="9">
        <f t="shared" si="78"/>
        <v>14488.25</v>
      </c>
      <c r="AE272">
        <f t="shared" si="80"/>
        <v>2555730</v>
      </c>
      <c r="AF272" s="2">
        <f t="shared" si="85"/>
        <v>14.700000000000001</v>
      </c>
      <c r="AG272" t="str">
        <f t="shared" si="86"/>
        <v>241小时</v>
      </c>
      <c r="AH272">
        <f t="shared" si="87"/>
        <v>45</v>
      </c>
      <c r="AI272">
        <f t="shared" si="88"/>
        <v>8</v>
      </c>
      <c r="AJ272">
        <f t="shared" si="81"/>
        <v>30.6</v>
      </c>
      <c r="AK272">
        <f t="shared" si="89"/>
        <v>16</v>
      </c>
      <c r="AL272">
        <f t="shared" si="82"/>
        <v>14.700000000000001</v>
      </c>
      <c r="AM272" s="2">
        <f t="shared" si="90"/>
        <v>8</v>
      </c>
      <c r="AX272">
        <v>269</v>
      </c>
      <c r="AY272">
        <v>269</v>
      </c>
      <c r="AZ272" s="3">
        <f t="shared" si="83"/>
        <v>13195616</v>
      </c>
      <c r="BA272" t="e">
        <f>AZ272/(#REF!*60/5)/60</f>
        <v>#REF!</v>
      </c>
      <c r="BB272" s="2">
        <f t="shared" si="79"/>
        <v>110</v>
      </c>
      <c r="BC272">
        <f t="shared" si="84"/>
        <v>7.1740362811791369</v>
      </c>
      <c r="BD272" s="2">
        <f t="shared" si="91"/>
        <v>30.6</v>
      </c>
      <c r="BE272">
        <f t="shared" si="92"/>
        <v>14.700000000000001</v>
      </c>
      <c r="BF272">
        <f t="shared" si="93"/>
        <v>84672.000000000015</v>
      </c>
    </row>
    <row r="273" spans="1:58" ht="14.25" x14ac:dyDescent="0.2">
      <c r="A273" s="11">
        <v>1040</v>
      </c>
      <c r="B273" s="13">
        <v>3</v>
      </c>
      <c r="C273" s="15">
        <v>3</v>
      </c>
      <c r="D273" s="14">
        <f t="shared" si="94"/>
        <v>5</v>
      </c>
      <c r="E273" s="1" t="s">
        <v>2785</v>
      </c>
      <c r="F273" s="1" t="s">
        <v>2786</v>
      </c>
      <c r="G273" s="1" t="s">
        <v>2806</v>
      </c>
      <c r="H273" s="1" t="s">
        <v>2816</v>
      </c>
      <c r="I273" s="1" t="s">
        <v>2697</v>
      </c>
      <c r="J273" s="16" t="s">
        <v>2855</v>
      </c>
      <c r="K273" t="s">
        <v>166</v>
      </c>
      <c r="L273" t="s">
        <v>163</v>
      </c>
      <c r="M273" t="s">
        <v>163</v>
      </c>
      <c r="N273" t="s">
        <v>163</v>
      </c>
      <c r="O273" s="6" t="s">
        <v>579</v>
      </c>
      <c r="P273">
        <v>0</v>
      </c>
      <c r="Q273" s="24">
        <v>23.8</v>
      </c>
      <c r="R273" s="25">
        <v>25.2</v>
      </c>
      <c r="S273" s="26">
        <v>28.3</v>
      </c>
      <c r="U273" s="3">
        <v>270</v>
      </c>
      <c r="V273" s="1">
        <v>13342500</v>
      </c>
      <c r="W273" s="1">
        <v>2889530</v>
      </c>
      <c r="Y273">
        <v>6</v>
      </c>
      <c r="Z273">
        <v>10</v>
      </c>
      <c r="AA273" s="3">
        <v>25</v>
      </c>
      <c r="AB273" s="3">
        <v>6</v>
      </c>
      <c r="AC273">
        <v>155</v>
      </c>
      <c r="AD273" s="9">
        <f t="shared" si="78"/>
        <v>14488.25</v>
      </c>
      <c r="AE273">
        <f t="shared" si="80"/>
        <v>2555730</v>
      </c>
      <c r="AF273" s="2">
        <f t="shared" si="85"/>
        <v>14.700000000000001</v>
      </c>
      <c r="AG273" t="str">
        <f t="shared" si="86"/>
        <v>241小时</v>
      </c>
      <c r="AH273">
        <f t="shared" si="87"/>
        <v>45</v>
      </c>
      <c r="AI273">
        <f t="shared" si="88"/>
        <v>8</v>
      </c>
      <c r="AJ273">
        <f t="shared" si="81"/>
        <v>30.6</v>
      </c>
      <c r="AK273">
        <f t="shared" si="89"/>
        <v>16</v>
      </c>
      <c r="AL273">
        <f t="shared" si="82"/>
        <v>14.700000000000001</v>
      </c>
      <c r="AM273" s="2">
        <f t="shared" si="90"/>
        <v>8</v>
      </c>
      <c r="AX273">
        <v>270</v>
      </c>
      <c r="AY273">
        <v>270</v>
      </c>
      <c r="AZ273" s="3">
        <f t="shared" si="83"/>
        <v>13342500</v>
      </c>
      <c r="BA273" t="e">
        <f>AZ273/(#REF!*60/5)/60</f>
        <v>#REF!</v>
      </c>
      <c r="BB273" s="2">
        <f t="shared" si="79"/>
        <v>110</v>
      </c>
      <c r="BC273">
        <f t="shared" si="84"/>
        <v>7.1740362811791369</v>
      </c>
      <c r="BD273" s="2">
        <f t="shared" si="91"/>
        <v>30.6</v>
      </c>
      <c r="BE273">
        <f t="shared" si="92"/>
        <v>14.700000000000001</v>
      </c>
      <c r="BF273">
        <f t="shared" si="93"/>
        <v>84672.000000000015</v>
      </c>
    </row>
    <row r="274" spans="1:58" ht="14.25" x14ac:dyDescent="0.2">
      <c r="A274" s="11">
        <v>1041</v>
      </c>
      <c r="B274" s="13">
        <v>3</v>
      </c>
      <c r="C274" s="15">
        <v>3</v>
      </c>
      <c r="D274" s="14">
        <f t="shared" si="94"/>
        <v>5</v>
      </c>
      <c r="E274" s="1" t="s">
        <v>2777</v>
      </c>
      <c r="F274" s="1" t="s">
        <v>2812</v>
      </c>
      <c r="G274" s="1" t="s">
        <v>2779</v>
      </c>
      <c r="H274" s="1" t="s">
        <v>2779</v>
      </c>
      <c r="I274" s="1" t="s">
        <v>2780</v>
      </c>
      <c r="J274" s="16" t="s">
        <v>2810</v>
      </c>
      <c r="K274" t="s">
        <v>168</v>
      </c>
      <c r="L274" t="s">
        <v>163</v>
      </c>
      <c r="M274" t="s">
        <v>163</v>
      </c>
      <c r="N274" t="s">
        <v>163</v>
      </c>
      <c r="O274" s="6" t="s">
        <v>581</v>
      </c>
      <c r="P274">
        <v>0</v>
      </c>
      <c r="Q274" s="24">
        <v>24.2</v>
      </c>
      <c r="R274" s="25">
        <v>25.7</v>
      </c>
      <c r="S274" s="26">
        <v>28.7</v>
      </c>
      <c r="U274" s="3">
        <v>271</v>
      </c>
      <c r="V274" s="1">
        <v>13490470</v>
      </c>
      <c r="W274" s="1">
        <v>2890611</v>
      </c>
      <c r="Y274">
        <v>6</v>
      </c>
      <c r="Z274">
        <v>11</v>
      </c>
      <c r="AA274" s="3">
        <v>20</v>
      </c>
      <c r="AB274" s="3">
        <v>6</v>
      </c>
      <c r="AC274">
        <v>155</v>
      </c>
      <c r="AD274" s="9">
        <f t="shared" si="78"/>
        <v>14198.5</v>
      </c>
      <c r="AE274">
        <f t="shared" si="80"/>
        <v>2555730</v>
      </c>
      <c r="AF274" s="2">
        <f t="shared" si="85"/>
        <v>15</v>
      </c>
      <c r="AG274" t="str">
        <f t="shared" si="86"/>
        <v>236小时</v>
      </c>
      <c r="AH274">
        <f t="shared" si="87"/>
        <v>45</v>
      </c>
      <c r="AI274">
        <f t="shared" si="88"/>
        <v>8</v>
      </c>
      <c r="AJ274">
        <f t="shared" si="81"/>
        <v>31</v>
      </c>
      <c r="AK274">
        <f t="shared" si="89"/>
        <v>16</v>
      </c>
      <c r="AL274">
        <f t="shared" si="82"/>
        <v>15</v>
      </c>
      <c r="AM274" s="2">
        <f t="shared" si="90"/>
        <v>8</v>
      </c>
      <c r="AX274">
        <v>271</v>
      </c>
      <c r="AY274">
        <v>271</v>
      </c>
      <c r="AZ274" s="3">
        <f t="shared" si="83"/>
        <v>13490470</v>
      </c>
      <c r="BA274" t="e">
        <f>AZ274/(#REF!*60/5)/60</f>
        <v>#REF!</v>
      </c>
      <c r="BB274" s="2">
        <f t="shared" si="79"/>
        <v>110</v>
      </c>
      <c r="BC274">
        <f t="shared" si="84"/>
        <v>7.0305555555555559</v>
      </c>
      <c r="BD274" s="2">
        <f t="shared" si="91"/>
        <v>31</v>
      </c>
      <c r="BE274">
        <f t="shared" si="92"/>
        <v>15</v>
      </c>
      <c r="BF274">
        <f t="shared" si="93"/>
        <v>86400</v>
      </c>
    </row>
    <row r="275" spans="1:58" ht="14.25" x14ac:dyDescent="0.2">
      <c r="A275" s="11">
        <v>1042</v>
      </c>
      <c r="B275" s="13">
        <v>3</v>
      </c>
      <c r="C275" s="15">
        <v>3</v>
      </c>
      <c r="D275" s="14">
        <f t="shared" si="94"/>
        <v>5</v>
      </c>
      <c r="E275" s="1" t="s">
        <v>2777</v>
      </c>
      <c r="F275" s="1" t="s">
        <v>2813</v>
      </c>
      <c r="G275" s="1" t="s">
        <v>2779</v>
      </c>
      <c r="H275" s="1" t="s">
        <v>2779</v>
      </c>
      <c r="I275" s="1" t="s">
        <v>2780</v>
      </c>
      <c r="J275" s="16" t="s">
        <v>2810</v>
      </c>
      <c r="K275" t="s">
        <v>175</v>
      </c>
      <c r="L275" t="s">
        <v>164</v>
      </c>
      <c r="M275" t="s">
        <v>163</v>
      </c>
      <c r="N275" t="s">
        <v>167</v>
      </c>
      <c r="O275" s="6" t="s">
        <v>583</v>
      </c>
      <c r="P275">
        <v>0</v>
      </c>
      <c r="Q275" s="24">
        <v>24.2</v>
      </c>
      <c r="R275" s="25">
        <v>25.7</v>
      </c>
      <c r="S275" s="26">
        <v>28.7</v>
      </c>
      <c r="U275" s="3">
        <v>272</v>
      </c>
      <c r="V275" s="1">
        <v>13639530</v>
      </c>
      <c r="W275" s="1">
        <v>2891696</v>
      </c>
      <c r="Y275">
        <v>6</v>
      </c>
      <c r="Z275">
        <v>12</v>
      </c>
      <c r="AA275" s="3">
        <v>20</v>
      </c>
      <c r="AB275" s="3">
        <v>6</v>
      </c>
      <c r="AC275">
        <v>155</v>
      </c>
      <c r="AD275" s="9">
        <f t="shared" si="78"/>
        <v>14198.5</v>
      </c>
      <c r="AE275">
        <f t="shared" si="80"/>
        <v>2555730</v>
      </c>
      <c r="AF275" s="2">
        <f t="shared" si="85"/>
        <v>15</v>
      </c>
      <c r="AG275" t="str">
        <f t="shared" si="86"/>
        <v>236小时</v>
      </c>
      <c r="AH275">
        <f t="shared" si="87"/>
        <v>45</v>
      </c>
      <c r="AI275">
        <f t="shared" si="88"/>
        <v>8</v>
      </c>
      <c r="AJ275">
        <f t="shared" si="81"/>
        <v>31</v>
      </c>
      <c r="AK275">
        <f t="shared" si="89"/>
        <v>16</v>
      </c>
      <c r="AL275">
        <f t="shared" si="82"/>
        <v>15</v>
      </c>
      <c r="AM275" s="2">
        <f t="shared" si="90"/>
        <v>8</v>
      </c>
      <c r="AX275">
        <v>272</v>
      </c>
      <c r="AY275">
        <v>272</v>
      </c>
      <c r="AZ275" s="3">
        <f t="shared" si="83"/>
        <v>13639530</v>
      </c>
      <c r="BA275" t="e">
        <f>AZ275/(#REF!*60/5)/60</f>
        <v>#REF!</v>
      </c>
      <c r="BB275" s="2">
        <f t="shared" si="79"/>
        <v>110</v>
      </c>
      <c r="BC275">
        <f t="shared" si="84"/>
        <v>7.0305555555555559</v>
      </c>
      <c r="BD275" s="2">
        <f t="shared" si="91"/>
        <v>31</v>
      </c>
      <c r="BE275">
        <f t="shared" si="92"/>
        <v>15</v>
      </c>
      <c r="BF275">
        <f t="shared" si="93"/>
        <v>86400</v>
      </c>
    </row>
    <row r="276" spans="1:58" ht="14.25" x14ac:dyDescent="0.2">
      <c r="A276" s="11">
        <v>1043</v>
      </c>
      <c r="B276" s="13">
        <v>3</v>
      </c>
      <c r="C276" s="15">
        <v>3</v>
      </c>
      <c r="D276" s="14">
        <f t="shared" si="94"/>
        <v>5</v>
      </c>
      <c r="E276" s="1" t="s">
        <v>2777</v>
      </c>
      <c r="F276" s="1" t="s">
        <v>2814</v>
      </c>
      <c r="G276" s="1" t="s">
        <v>2779</v>
      </c>
      <c r="H276" s="1" t="s">
        <v>2779</v>
      </c>
      <c r="I276" s="1" t="s">
        <v>2780</v>
      </c>
      <c r="J276" s="16" t="s">
        <v>2810</v>
      </c>
      <c r="K276" t="s">
        <v>179</v>
      </c>
      <c r="L276" t="s">
        <v>163</v>
      </c>
      <c r="M276" t="s">
        <v>163</v>
      </c>
      <c r="N276" t="s">
        <v>163</v>
      </c>
      <c r="O276" s="6" t="s">
        <v>585</v>
      </c>
      <c r="P276">
        <v>0</v>
      </c>
      <c r="Q276" s="24">
        <v>24.2</v>
      </c>
      <c r="R276" s="25">
        <v>25.7</v>
      </c>
      <c r="S276" s="26">
        <v>28.7</v>
      </c>
      <c r="U276" s="3">
        <v>273</v>
      </c>
      <c r="V276" s="1">
        <v>13789684</v>
      </c>
      <c r="W276" s="1">
        <v>2892785</v>
      </c>
      <c r="Y276">
        <v>6</v>
      </c>
      <c r="Z276">
        <v>13</v>
      </c>
      <c r="AA276" s="3">
        <v>20</v>
      </c>
      <c r="AB276" s="3">
        <v>6</v>
      </c>
      <c r="AC276">
        <v>155</v>
      </c>
      <c r="AD276" s="9">
        <f t="shared" si="78"/>
        <v>14198.5</v>
      </c>
      <c r="AE276">
        <f t="shared" si="80"/>
        <v>2555730</v>
      </c>
      <c r="AF276" s="2">
        <f t="shared" si="85"/>
        <v>15</v>
      </c>
      <c r="AG276" t="str">
        <f t="shared" si="86"/>
        <v>236小时</v>
      </c>
      <c r="AH276">
        <f t="shared" si="87"/>
        <v>45</v>
      </c>
      <c r="AI276">
        <f t="shared" si="88"/>
        <v>8</v>
      </c>
      <c r="AJ276">
        <f t="shared" si="81"/>
        <v>31</v>
      </c>
      <c r="AK276">
        <f t="shared" si="89"/>
        <v>16</v>
      </c>
      <c r="AL276">
        <f t="shared" si="82"/>
        <v>15</v>
      </c>
      <c r="AM276" s="2">
        <f t="shared" si="90"/>
        <v>8</v>
      </c>
      <c r="AX276">
        <v>273</v>
      </c>
      <c r="AY276">
        <v>273</v>
      </c>
      <c r="AZ276" s="3">
        <f t="shared" si="83"/>
        <v>13789684</v>
      </c>
      <c r="BA276" t="e">
        <f>AZ276/(#REF!*60/5)/60</f>
        <v>#REF!</v>
      </c>
      <c r="BB276" s="2">
        <f t="shared" si="79"/>
        <v>110</v>
      </c>
      <c r="BC276">
        <f t="shared" si="84"/>
        <v>7.0305555555555559</v>
      </c>
      <c r="BD276" s="2">
        <f t="shared" si="91"/>
        <v>31</v>
      </c>
      <c r="BE276">
        <f t="shared" si="92"/>
        <v>15</v>
      </c>
      <c r="BF276">
        <f t="shared" si="93"/>
        <v>86400</v>
      </c>
    </row>
    <row r="277" spans="1:58" ht="14.25" x14ac:dyDescent="0.2">
      <c r="A277" s="11">
        <v>1044</v>
      </c>
      <c r="B277" s="13">
        <v>3</v>
      </c>
      <c r="C277" s="15">
        <v>3</v>
      </c>
      <c r="D277" s="14">
        <f t="shared" si="94"/>
        <v>5</v>
      </c>
      <c r="E277" s="1" t="s">
        <v>2777</v>
      </c>
      <c r="F277" s="1" t="s">
        <v>2815</v>
      </c>
      <c r="G277" s="1" t="s">
        <v>2779</v>
      </c>
      <c r="H277" s="1" t="s">
        <v>2779</v>
      </c>
      <c r="I277" s="1" t="s">
        <v>2780</v>
      </c>
      <c r="J277" s="16" t="s">
        <v>2810</v>
      </c>
      <c r="K277" t="s">
        <v>177</v>
      </c>
      <c r="L277" t="s">
        <v>163</v>
      </c>
      <c r="M277" t="s">
        <v>163</v>
      </c>
      <c r="N277" t="s">
        <v>163</v>
      </c>
      <c r="O277" s="6" t="s">
        <v>585</v>
      </c>
      <c r="P277">
        <v>0</v>
      </c>
      <c r="Q277" s="24">
        <v>24.2</v>
      </c>
      <c r="R277" s="25">
        <v>25.7</v>
      </c>
      <c r="S277" s="26">
        <v>28.7</v>
      </c>
      <c r="U277" s="3">
        <v>274</v>
      </c>
      <c r="V277" s="1">
        <v>13940936</v>
      </c>
      <c r="W277" s="1">
        <v>2893878</v>
      </c>
      <c r="Y277">
        <v>6</v>
      </c>
      <c r="Z277">
        <v>14</v>
      </c>
      <c r="AA277" s="3">
        <v>20</v>
      </c>
      <c r="AB277" s="3">
        <v>6</v>
      </c>
      <c r="AC277">
        <v>155</v>
      </c>
      <c r="AD277" s="9">
        <f t="shared" si="78"/>
        <v>14198.5</v>
      </c>
      <c r="AE277">
        <f t="shared" si="80"/>
        <v>2555730</v>
      </c>
      <c r="AF277" s="2">
        <f t="shared" si="85"/>
        <v>15</v>
      </c>
      <c r="AG277" t="str">
        <f t="shared" si="86"/>
        <v>236小时</v>
      </c>
      <c r="AH277">
        <f t="shared" si="87"/>
        <v>45</v>
      </c>
      <c r="AI277">
        <f t="shared" si="88"/>
        <v>8</v>
      </c>
      <c r="AJ277">
        <f t="shared" si="81"/>
        <v>31</v>
      </c>
      <c r="AK277">
        <f t="shared" si="89"/>
        <v>16</v>
      </c>
      <c r="AL277">
        <f t="shared" si="82"/>
        <v>15</v>
      </c>
      <c r="AM277" s="2">
        <f t="shared" si="90"/>
        <v>8</v>
      </c>
      <c r="AX277">
        <v>274</v>
      </c>
      <c r="AY277">
        <v>274</v>
      </c>
      <c r="AZ277" s="3">
        <f t="shared" si="83"/>
        <v>13940936</v>
      </c>
      <c r="BA277" t="e">
        <f>AZ277/(#REF!*60/5)/60</f>
        <v>#REF!</v>
      </c>
      <c r="BB277" s="2">
        <f t="shared" si="79"/>
        <v>110</v>
      </c>
      <c r="BC277">
        <f t="shared" si="84"/>
        <v>7.0305555555555559</v>
      </c>
      <c r="BD277" s="2">
        <f t="shared" si="91"/>
        <v>31</v>
      </c>
      <c r="BE277">
        <f t="shared" si="92"/>
        <v>15</v>
      </c>
      <c r="BF277">
        <f t="shared" si="93"/>
        <v>86400</v>
      </c>
    </row>
    <row r="278" spans="1:58" ht="14.25" x14ac:dyDescent="0.2">
      <c r="A278" s="11">
        <v>1045</v>
      </c>
      <c r="B278" s="13">
        <v>3</v>
      </c>
      <c r="C278" s="15">
        <v>3</v>
      </c>
      <c r="D278" s="14">
        <f t="shared" si="94"/>
        <v>5</v>
      </c>
      <c r="E278" s="1" t="s">
        <v>2785</v>
      </c>
      <c r="F278" s="1" t="s">
        <v>2786</v>
      </c>
      <c r="G278" s="1" t="s">
        <v>2807</v>
      </c>
      <c r="H278" s="1" t="s">
        <v>2816</v>
      </c>
      <c r="I278" s="1" t="s">
        <v>2697</v>
      </c>
      <c r="J278" s="16" t="s">
        <v>2873</v>
      </c>
      <c r="K278" t="s">
        <v>174</v>
      </c>
      <c r="L278" t="s">
        <v>163</v>
      </c>
      <c r="M278" t="s">
        <v>163</v>
      </c>
      <c r="N278" t="s">
        <v>163</v>
      </c>
      <c r="O278" s="6" t="s">
        <v>587</v>
      </c>
      <c r="P278">
        <v>0</v>
      </c>
      <c r="Q278" s="24">
        <v>24.2</v>
      </c>
      <c r="R278" s="25">
        <v>25.7</v>
      </c>
      <c r="S278" s="26">
        <v>28.7</v>
      </c>
      <c r="U278" s="3">
        <v>275</v>
      </c>
      <c r="V278" s="1">
        <v>14093290</v>
      </c>
      <c r="W278" s="1">
        <v>3169375</v>
      </c>
      <c r="Y278">
        <v>6</v>
      </c>
      <c r="Z278">
        <v>15</v>
      </c>
      <c r="AA278" s="3">
        <v>25</v>
      </c>
      <c r="AB278" s="3">
        <v>6</v>
      </c>
      <c r="AC278">
        <v>155</v>
      </c>
      <c r="AD278" s="9">
        <f t="shared" si="78"/>
        <v>14198.5</v>
      </c>
      <c r="AE278">
        <f t="shared" si="80"/>
        <v>2555730</v>
      </c>
      <c r="AF278" s="2">
        <f t="shared" si="85"/>
        <v>15</v>
      </c>
      <c r="AG278" t="str">
        <f t="shared" si="86"/>
        <v>236小时</v>
      </c>
      <c r="AH278">
        <f t="shared" si="87"/>
        <v>45</v>
      </c>
      <c r="AI278">
        <f t="shared" si="88"/>
        <v>8</v>
      </c>
      <c r="AJ278">
        <f t="shared" si="81"/>
        <v>31</v>
      </c>
      <c r="AK278">
        <f t="shared" si="89"/>
        <v>16</v>
      </c>
      <c r="AL278">
        <f t="shared" si="82"/>
        <v>15</v>
      </c>
      <c r="AM278" s="2">
        <f t="shared" si="90"/>
        <v>8</v>
      </c>
      <c r="AX278">
        <v>275</v>
      </c>
      <c r="AY278">
        <v>275</v>
      </c>
      <c r="AZ278" s="3">
        <f t="shared" si="83"/>
        <v>14093290</v>
      </c>
      <c r="BA278" t="e">
        <f>AZ278/(#REF!*60/5)/60</f>
        <v>#REF!</v>
      </c>
      <c r="BB278" s="2">
        <f t="shared" si="79"/>
        <v>110</v>
      </c>
      <c r="BC278">
        <f t="shared" si="84"/>
        <v>7.0305555555555559</v>
      </c>
      <c r="BD278" s="2">
        <f t="shared" si="91"/>
        <v>31</v>
      </c>
      <c r="BE278">
        <f t="shared" si="92"/>
        <v>15</v>
      </c>
      <c r="BF278">
        <f t="shared" si="93"/>
        <v>86400</v>
      </c>
    </row>
    <row r="279" spans="1:58" ht="14.25" x14ac:dyDescent="0.2">
      <c r="A279" s="11">
        <v>1046</v>
      </c>
      <c r="B279" s="13">
        <v>3</v>
      </c>
      <c r="C279" s="15">
        <v>3</v>
      </c>
      <c r="D279" s="14">
        <f t="shared" si="94"/>
        <v>5</v>
      </c>
      <c r="E279" s="1" t="s">
        <v>2777</v>
      </c>
      <c r="F279" s="1" t="s">
        <v>2812</v>
      </c>
      <c r="G279" s="1" t="s">
        <v>2779</v>
      </c>
      <c r="H279" s="1" t="s">
        <v>2779</v>
      </c>
      <c r="I279" s="1" t="s">
        <v>2780</v>
      </c>
      <c r="J279" s="16" t="s">
        <v>2810</v>
      </c>
      <c r="K279" t="s">
        <v>182</v>
      </c>
      <c r="L279" t="s">
        <v>163</v>
      </c>
      <c r="M279" t="s">
        <v>163</v>
      </c>
      <c r="N279" t="s">
        <v>163</v>
      </c>
      <c r="O279" s="6" t="s">
        <v>589</v>
      </c>
      <c r="P279">
        <v>0</v>
      </c>
      <c r="Q279" s="24">
        <v>24.5</v>
      </c>
      <c r="R279" s="25">
        <v>26.1</v>
      </c>
      <c r="S279" s="26">
        <v>29</v>
      </c>
      <c r="U279" s="3">
        <v>276</v>
      </c>
      <c r="V279" s="1">
        <v>14246750</v>
      </c>
      <c r="W279" s="1">
        <v>3170476</v>
      </c>
      <c r="Y279">
        <v>6</v>
      </c>
      <c r="Z279">
        <v>16</v>
      </c>
      <c r="AA279" s="3">
        <v>20</v>
      </c>
      <c r="AB279" s="3">
        <v>6</v>
      </c>
      <c r="AC279">
        <v>155</v>
      </c>
      <c r="AD279" s="9">
        <f t="shared" si="78"/>
        <v>14011.666666666668</v>
      </c>
      <c r="AE279">
        <f t="shared" si="80"/>
        <v>2555730</v>
      </c>
      <c r="AF279" s="2">
        <f t="shared" si="85"/>
        <v>15.200000000000001</v>
      </c>
      <c r="AG279" t="str">
        <f t="shared" si="86"/>
        <v>233小时</v>
      </c>
      <c r="AH279">
        <f t="shared" si="87"/>
        <v>46</v>
      </c>
      <c r="AI279">
        <f t="shared" si="88"/>
        <v>8</v>
      </c>
      <c r="AJ279">
        <f t="shared" si="81"/>
        <v>31.3</v>
      </c>
      <c r="AK279">
        <f t="shared" si="89"/>
        <v>16</v>
      </c>
      <c r="AL279">
        <f t="shared" si="82"/>
        <v>15.200000000000001</v>
      </c>
      <c r="AM279" s="2">
        <f t="shared" si="90"/>
        <v>8</v>
      </c>
      <c r="AX279">
        <v>276</v>
      </c>
      <c r="AY279">
        <v>276</v>
      </c>
      <c r="AZ279" s="3">
        <f t="shared" si="83"/>
        <v>14246750</v>
      </c>
      <c r="BA279" t="e">
        <f>AZ279/(#REF!*60/5)/60</f>
        <v>#REF!</v>
      </c>
      <c r="BB279" s="2">
        <f t="shared" si="79"/>
        <v>110</v>
      </c>
      <c r="BC279">
        <f t="shared" si="84"/>
        <v>6.9380482456140342</v>
      </c>
      <c r="BD279" s="2">
        <f t="shared" si="91"/>
        <v>31.3</v>
      </c>
      <c r="BE279">
        <f t="shared" si="92"/>
        <v>15.200000000000001</v>
      </c>
      <c r="BF279">
        <f t="shared" si="93"/>
        <v>87552.000000000015</v>
      </c>
    </row>
    <row r="280" spans="1:58" ht="14.25" x14ac:dyDescent="0.2">
      <c r="A280" s="11">
        <v>1047</v>
      </c>
      <c r="B280" s="13">
        <v>3</v>
      </c>
      <c r="C280" s="15">
        <v>3</v>
      </c>
      <c r="D280" s="14">
        <f t="shared" si="94"/>
        <v>5</v>
      </c>
      <c r="E280" s="1" t="s">
        <v>2777</v>
      </c>
      <c r="F280" s="1" t="s">
        <v>2813</v>
      </c>
      <c r="G280" s="1" t="s">
        <v>2779</v>
      </c>
      <c r="H280" s="1" t="s">
        <v>2779</v>
      </c>
      <c r="I280" s="1" t="s">
        <v>2780</v>
      </c>
      <c r="J280" s="16" t="s">
        <v>2810</v>
      </c>
      <c r="K280" t="s">
        <v>162</v>
      </c>
      <c r="L280" t="s">
        <v>163</v>
      </c>
      <c r="M280" t="s">
        <v>163</v>
      </c>
      <c r="N280" t="s">
        <v>163</v>
      </c>
      <c r="O280" s="6" t="s">
        <v>589</v>
      </c>
      <c r="P280">
        <v>0</v>
      </c>
      <c r="Q280" s="24">
        <v>24.5</v>
      </c>
      <c r="R280" s="25">
        <v>26.1</v>
      </c>
      <c r="S280" s="26">
        <v>29</v>
      </c>
      <c r="U280" s="3">
        <v>277</v>
      </c>
      <c r="V280" s="1">
        <v>14401320</v>
      </c>
      <c r="W280" s="1">
        <v>3171581</v>
      </c>
      <c r="Y280">
        <v>6</v>
      </c>
      <c r="Z280">
        <v>17</v>
      </c>
      <c r="AA280" s="3">
        <v>20</v>
      </c>
      <c r="AB280" s="3">
        <v>6</v>
      </c>
      <c r="AC280">
        <v>155</v>
      </c>
      <c r="AD280" s="9">
        <f t="shared" si="78"/>
        <v>14011.666666666668</v>
      </c>
      <c r="AE280">
        <f t="shared" si="80"/>
        <v>2555730</v>
      </c>
      <c r="AF280" s="2">
        <f t="shared" si="85"/>
        <v>15.200000000000001</v>
      </c>
      <c r="AG280" t="str">
        <f t="shared" si="86"/>
        <v>233小时</v>
      </c>
      <c r="AH280">
        <f t="shared" si="87"/>
        <v>46</v>
      </c>
      <c r="AI280">
        <f t="shared" si="88"/>
        <v>8</v>
      </c>
      <c r="AJ280">
        <f t="shared" si="81"/>
        <v>31.3</v>
      </c>
      <c r="AK280">
        <f t="shared" si="89"/>
        <v>16</v>
      </c>
      <c r="AL280">
        <f t="shared" si="82"/>
        <v>15.200000000000001</v>
      </c>
      <c r="AM280" s="2">
        <f t="shared" si="90"/>
        <v>8</v>
      </c>
      <c r="AX280">
        <v>277</v>
      </c>
      <c r="AY280">
        <v>277</v>
      </c>
      <c r="AZ280" s="3">
        <f t="shared" si="83"/>
        <v>14401320</v>
      </c>
      <c r="BA280" t="e">
        <f>AZ280/(#REF!*60/5)/60</f>
        <v>#REF!</v>
      </c>
      <c r="BB280" s="2">
        <f t="shared" si="79"/>
        <v>110</v>
      </c>
      <c r="BC280">
        <f t="shared" si="84"/>
        <v>6.9380482456140342</v>
      </c>
      <c r="BD280" s="2">
        <f t="shared" si="91"/>
        <v>31.3</v>
      </c>
      <c r="BE280">
        <f t="shared" si="92"/>
        <v>15.200000000000001</v>
      </c>
      <c r="BF280">
        <f t="shared" si="93"/>
        <v>87552.000000000015</v>
      </c>
    </row>
    <row r="281" spans="1:58" ht="14.25" x14ac:dyDescent="0.2">
      <c r="A281" s="11">
        <v>1048</v>
      </c>
      <c r="B281" s="13">
        <v>3</v>
      </c>
      <c r="C281" s="15">
        <v>3</v>
      </c>
      <c r="D281" s="14">
        <f t="shared" si="94"/>
        <v>5</v>
      </c>
      <c r="E281" s="1" t="s">
        <v>2777</v>
      </c>
      <c r="F281" s="1" t="s">
        <v>2814</v>
      </c>
      <c r="G281" s="1" t="s">
        <v>2779</v>
      </c>
      <c r="H281" s="1" t="s">
        <v>2779</v>
      </c>
      <c r="I281" s="1" t="s">
        <v>2780</v>
      </c>
      <c r="J281" s="16" t="s">
        <v>2810</v>
      </c>
      <c r="K281" t="s">
        <v>177</v>
      </c>
      <c r="L281" t="s">
        <v>163</v>
      </c>
      <c r="M281" t="s">
        <v>163</v>
      </c>
      <c r="N281" t="s">
        <v>163</v>
      </c>
      <c r="O281" s="6" t="s">
        <v>591</v>
      </c>
      <c r="P281">
        <v>0</v>
      </c>
      <c r="Q281" s="24">
        <v>24.5</v>
      </c>
      <c r="R281" s="25">
        <v>26.1</v>
      </c>
      <c r="S281" s="26">
        <v>29</v>
      </c>
      <c r="U281" s="3">
        <v>278</v>
      </c>
      <c r="V281" s="1">
        <v>14557004</v>
      </c>
      <c r="W281" s="1">
        <v>3172690</v>
      </c>
      <c r="Y281">
        <v>6</v>
      </c>
      <c r="Z281">
        <v>18</v>
      </c>
      <c r="AA281" s="3">
        <v>20</v>
      </c>
      <c r="AB281" s="3">
        <v>6</v>
      </c>
      <c r="AC281">
        <v>155</v>
      </c>
      <c r="AD281" s="9">
        <f t="shared" si="78"/>
        <v>14011.666666666668</v>
      </c>
      <c r="AE281">
        <f t="shared" si="80"/>
        <v>2555730</v>
      </c>
      <c r="AF281" s="2">
        <f t="shared" si="85"/>
        <v>15.200000000000001</v>
      </c>
      <c r="AG281" t="str">
        <f t="shared" si="86"/>
        <v>233小时</v>
      </c>
      <c r="AH281">
        <f t="shared" si="87"/>
        <v>46</v>
      </c>
      <c r="AI281">
        <f t="shared" si="88"/>
        <v>8</v>
      </c>
      <c r="AJ281">
        <f t="shared" si="81"/>
        <v>31.3</v>
      </c>
      <c r="AK281">
        <f t="shared" si="89"/>
        <v>16</v>
      </c>
      <c r="AL281">
        <f t="shared" si="82"/>
        <v>15.200000000000001</v>
      </c>
      <c r="AM281" s="2">
        <f t="shared" si="90"/>
        <v>8</v>
      </c>
      <c r="AX281">
        <v>278</v>
      </c>
      <c r="AY281">
        <v>278</v>
      </c>
      <c r="AZ281" s="3">
        <f t="shared" si="83"/>
        <v>14557004</v>
      </c>
      <c r="BA281" t="e">
        <f>AZ281/(#REF!*60/5)/60</f>
        <v>#REF!</v>
      </c>
      <c r="BB281" s="2">
        <f t="shared" si="79"/>
        <v>110</v>
      </c>
      <c r="BC281">
        <f t="shared" si="84"/>
        <v>6.9380482456140342</v>
      </c>
      <c r="BD281" s="2">
        <f t="shared" si="91"/>
        <v>31.3</v>
      </c>
      <c r="BE281">
        <f t="shared" si="92"/>
        <v>15.200000000000001</v>
      </c>
      <c r="BF281">
        <f t="shared" si="93"/>
        <v>87552.000000000015</v>
      </c>
    </row>
    <row r="282" spans="1:58" ht="14.25" x14ac:dyDescent="0.2">
      <c r="A282" s="11">
        <v>1049</v>
      </c>
      <c r="B282" s="13">
        <v>3</v>
      </c>
      <c r="C282" s="15">
        <v>3</v>
      </c>
      <c r="D282" s="14">
        <f t="shared" si="94"/>
        <v>5</v>
      </c>
      <c r="E282" s="1" t="s">
        <v>2777</v>
      </c>
      <c r="F282" s="1" t="s">
        <v>2815</v>
      </c>
      <c r="G282" s="1" t="s">
        <v>2779</v>
      </c>
      <c r="H282" s="1" t="s">
        <v>2779</v>
      </c>
      <c r="I282" s="1" t="s">
        <v>2780</v>
      </c>
      <c r="J282" s="16" t="s">
        <v>2810</v>
      </c>
      <c r="K282" t="s">
        <v>174</v>
      </c>
      <c r="L282" t="s">
        <v>163</v>
      </c>
      <c r="M282" t="s">
        <v>163</v>
      </c>
      <c r="N282" t="s">
        <v>163</v>
      </c>
      <c r="O282" s="6" t="s">
        <v>593</v>
      </c>
      <c r="P282">
        <v>0</v>
      </c>
      <c r="Q282" s="24">
        <v>24.5</v>
      </c>
      <c r="R282" s="25">
        <v>26.1</v>
      </c>
      <c r="S282" s="26">
        <v>29</v>
      </c>
      <c r="U282" s="3">
        <v>279</v>
      </c>
      <c r="V282" s="1">
        <v>14713806</v>
      </c>
      <c r="W282" s="1">
        <v>3173803</v>
      </c>
      <c r="Y282">
        <v>6</v>
      </c>
      <c r="Z282">
        <v>19</v>
      </c>
      <c r="AA282" s="3">
        <v>20</v>
      </c>
      <c r="AB282" s="3">
        <v>6</v>
      </c>
      <c r="AC282">
        <v>155</v>
      </c>
      <c r="AD282" s="9">
        <f t="shared" si="78"/>
        <v>14011.666666666668</v>
      </c>
      <c r="AE282">
        <f t="shared" si="80"/>
        <v>2555730</v>
      </c>
      <c r="AF282" s="2">
        <f t="shared" si="85"/>
        <v>15.200000000000001</v>
      </c>
      <c r="AG282" t="str">
        <f t="shared" si="86"/>
        <v>233小时</v>
      </c>
      <c r="AH282">
        <f t="shared" si="87"/>
        <v>46</v>
      </c>
      <c r="AI282">
        <f t="shared" si="88"/>
        <v>8</v>
      </c>
      <c r="AJ282">
        <f t="shared" si="81"/>
        <v>31.3</v>
      </c>
      <c r="AK282">
        <f t="shared" si="89"/>
        <v>16</v>
      </c>
      <c r="AL282">
        <f t="shared" si="82"/>
        <v>15.200000000000001</v>
      </c>
      <c r="AM282" s="2">
        <f t="shared" si="90"/>
        <v>8</v>
      </c>
      <c r="AX282">
        <v>279</v>
      </c>
      <c r="AY282">
        <v>279</v>
      </c>
      <c r="AZ282" s="3">
        <f t="shared" si="83"/>
        <v>14713806</v>
      </c>
      <c r="BA282" t="e">
        <f>AZ282/(#REF!*60/5)/60</f>
        <v>#REF!</v>
      </c>
      <c r="BB282" s="2">
        <f t="shared" si="79"/>
        <v>110</v>
      </c>
      <c r="BC282">
        <f t="shared" si="84"/>
        <v>6.9380482456140342</v>
      </c>
      <c r="BD282" s="2">
        <f t="shared" si="91"/>
        <v>31.3</v>
      </c>
      <c r="BE282">
        <f t="shared" si="92"/>
        <v>15.200000000000001</v>
      </c>
      <c r="BF282">
        <f t="shared" si="93"/>
        <v>87552.000000000015</v>
      </c>
    </row>
    <row r="283" spans="1:58" ht="14.25" x14ac:dyDescent="0.2">
      <c r="A283" s="11">
        <v>1050</v>
      </c>
      <c r="B283" s="13">
        <v>3</v>
      </c>
      <c r="C283" s="15">
        <v>3</v>
      </c>
      <c r="D283" s="14">
        <f t="shared" si="94"/>
        <v>5</v>
      </c>
      <c r="E283" s="1" t="s">
        <v>2785</v>
      </c>
      <c r="F283" s="1" t="s">
        <v>2786</v>
      </c>
      <c r="G283" s="1" t="s">
        <v>2809</v>
      </c>
      <c r="H283" s="1" t="s">
        <v>2816</v>
      </c>
      <c r="I283" s="1" t="s">
        <v>2697</v>
      </c>
      <c r="J283" s="16" t="s">
        <v>2873</v>
      </c>
      <c r="K283" t="s">
        <v>166</v>
      </c>
      <c r="L283" t="s">
        <v>163</v>
      </c>
      <c r="M283" t="s">
        <v>163</v>
      </c>
      <c r="N283" t="s">
        <v>163</v>
      </c>
      <c r="O283" s="6" t="s">
        <v>593</v>
      </c>
      <c r="P283">
        <v>0</v>
      </c>
      <c r="Q283" s="24">
        <v>24.5</v>
      </c>
      <c r="R283" s="25">
        <v>26.1</v>
      </c>
      <c r="S283" s="26">
        <v>29</v>
      </c>
      <c r="U283" s="3">
        <v>280</v>
      </c>
      <c r="V283" s="1">
        <v>14871730</v>
      </c>
      <c r="W283" s="1">
        <v>3625645</v>
      </c>
      <c r="Y283">
        <v>6</v>
      </c>
      <c r="Z283">
        <v>20</v>
      </c>
      <c r="AA283" s="3">
        <v>25</v>
      </c>
      <c r="AB283" s="3">
        <v>6</v>
      </c>
      <c r="AC283">
        <v>155</v>
      </c>
      <c r="AD283" s="9">
        <f t="shared" si="78"/>
        <v>14011.666666666668</v>
      </c>
      <c r="AE283">
        <f t="shared" si="80"/>
        <v>2555730</v>
      </c>
      <c r="AF283" s="2">
        <f t="shared" si="85"/>
        <v>15.200000000000001</v>
      </c>
      <c r="AG283" t="str">
        <f t="shared" si="86"/>
        <v>233小时</v>
      </c>
      <c r="AH283">
        <f t="shared" si="87"/>
        <v>46</v>
      </c>
      <c r="AI283">
        <f t="shared" si="88"/>
        <v>8</v>
      </c>
      <c r="AJ283">
        <f t="shared" si="81"/>
        <v>31.3</v>
      </c>
      <c r="AK283">
        <f t="shared" si="89"/>
        <v>16</v>
      </c>
      <c r="AL283">
        <f t="shared" si="82"/>
        <v>15.200000000000001</v>
      </c>
      <c r="AM283" s="2">
        <f t="shared" si="90"/>
        <v>8</v>
      </c>
      <c r="AX283">
        <v>280</v>
      </c>
      <c r="AY283">
        <v>280</v>
      </c>
      <c r="AZ283" s="3">
        <f t="shared" si="83"/>
        <v>14871730</v>
      </c>
      <c r="BA283" t="e">
        <f>AZ283/(#REF!*60/5)/60</f>
        <v>#REF!</v>
      </c>
      <c r="BB283" s="2">
        <f t="shared" si="79"/>
        <v>115</v>
      </c>
      <c r="BC283">
        <f t="shared" si="84"/>
        <v>7.3405519005847939</v>
      </c>
      <c r="BD283" s="2">
        <f t="shared" si="91"/>
        <v>31.3</v>
      </c>
      <c r="BE283">
        <f t="shared" si="92"/>
        <v>15.200000000000001</v>
      </c>
      <c r="BF283">
        <f t="shared" si="93"/>
        <v>87552.000000000015</v>
      </c>
    </row>
    <row r="284" spans="1:58" ht="14.25" x14ac:dyDescent="0.2">
      <c r="A284" s="11">
        <v>10101</v>
      </c>
      <c r="B284" s="13">
        <v>3</v>
      </c>
      <c r="C284" s="15">
        <v>3</v>
      </c>
      <c r="D284" s="14">
        <f t="shared" si="94"/>
        <v>5</v>
      </c>
      <c r="E284" s="1" t="s">
        <v>2777</v>
      </c>
      <c r="F284" s="1" t="s">
        <v>2817</v>
      </c>
      <c r="G284" s="1" t="s">
        <v>2779</v>
      </c>
      <c r="H284" s="1" t="s">
        <v>2779</v>
      </c>
      <c r="I284" s="1" t="s">
        <v>2780</v>
      </c>
      <c r="J284" s="16" t="s">
        <v>2818</v>
      </c>
      <c r="K284" t="s">
        <v>168</v>
      </c>
      <c r="L284" t="s">
        <v>163</v>
      </c>
      <c r="M284" t="s">
        <v>163</v>
      </c>
      <c r="N284" t="s">
        <v>163</v>
      </c>
      <c r="O284" s="6" t="s">
        <v>595</v>
      </c>
      <c r="P284">
        <v>0</v>
      </c>
      <c r="Q284" s="24">
        <v>24.8</v>
      </c>
      <c r="R284" s="25">
        <v>29</v>
      </c>
      <c r="S284" s="26">
        <v>29.3</v>
      </c>
      <c r="U284" s="3">
        <v>281</v>
      </c>
      <c r="V284" s="1">
        <v>15030780</v>
      </c>
      <c r="W284" s="1">
        <v>3626766</v>
      </c>
      <c r="Y284">
        <v>7</v>
      </c>
      <c r="Z284">
        <v>1</v>
      </c>
      <c r="AA284" s="3">
        <v>20</v>
      </c>
      <c r="AB284" s="3">
        <v>6</v>
      </c>
      <c r="AC284">
        <v>155</v>
      </c>
      <c r="AD284" s="9">
        <f t="shared" si="78"/>
        <v>13740.416666666668</v>
      </c>
      <c r="AE284">
        <f t="shared" si="80"/>
        <v>2555730</v>
      </c>
      <c r="AF284" s="2">
        <f t="shared" si="85"/>
        <v>15.5</v>
      </c>
      <c r="AG284" t="str">
        <f t="shared" si="86"/>
        <v>229小时</v>
      </c>
      <c r="AH284">
        <f t="shared" si="87"/>
        <v>47</v>
      </c>
      <c r="AI284">
        <f t="shared" si="88"/>
        <v>8</v>
      </c>
      <c r="AJ284">
        <f t="shared" si="81"/>
        <v>31.8</v>
      </c>
      <c r="AK284">
        <f t="shared" si="89"/>
        <v>16</v>
      </c>
      <c r="AL284">
        <f t="shared" si="82"/>
        <v>15.5</v>
      </c>
      <c r="AM284" s="2">
        <f t="shared" si="90"/>
        <v>8</v>
      </c>
      <c r="AX284">
        <v>281</v>
      </c>
      <c r="AY284">
        <v>281</v>
      </c>
      <c r="AZ284" s="3">
        <f t="shared" si="83"/>
        <v>15030780</v>
      </c>
      <c r="BA284" t="e">
        <f>AZ284/(#REF!*60/5)/60</f>
        <v>#REF!</v>
      </c>
      <c r="BB284" s="2">
        <f t="shared" si="79"/>
        <v>115</v>
      </c>
      <c r="BC284">
        <f t="shared" si="84"/>
        <v>7.1984767025089607</v>
      </c>
      <c r="BD284" s="2">
        <f t="shared" si="91"/>
        <v>31.8</v>
      </c>
      <c r="BE284">
        <f t="shared" si="92"/>
        <v>15.5</v>
      </c>
      <c r="BF284">
        <f t="shared" si="93"/>
        <v>89280</v>
      </c>
    </row>
    <row r="285" spans="1:58" ht="14.25" x14ac:dyDescent="0.2">
      <c r="A285" s="11">
        <v>10102</v>
      </c>
      <c r="B285" s="13">
        <v>3</v>
      </c>
      <c r="C285" s="15">
        <v>3</v>
      </c>
      <c r="D285" s="14">
        <f t="shared" si="94"/>
        <v>5</v>
      </c>
      <c r="E285" s="1" t="s">
        <v>2777</v>
      </c>
      <c r="F285" s="1" t="s">
        <v>2819</v>
      </c>
      <c r="G285" s="1" t="s">
        <v>2779</v>
      </c>
      <c r="H285" s="1" t="s">
        <v>2779</v>
      </c>
      <c r="I285" s="1" t="s">
        <v>2780</v>
      </c>
      <c r="J285" s="16" t="s">
        <v>2818</v>
      </c>
      <c r="K285" t="s">
        <v>175</v>
      </c>
      <c r="L285" t="s">
        <v>164</v>
      </c>
      <c r="M285" t="s">
        <v>163</v>
      </c>
      <c r="N285" t="s">
        <v>167</v>
      </c>
      <c r="O285" s="6" t="s">
        <v>597</v>
      </c>
      <c r="P285">
        <v>0</v>
      </c>
      <c r="Q285" s="24">
        <v>24.8</v>
      </c>
      <c r="R285" s="25">
        <v>29</v>
      </c>
      <c r="S285" s="26">
        <v>29.3</v>
      </c>
      <c r="U285" s="3">
        <v>282</v>
      </c>
      <c r="V285" s="1">
        <v>15190960</v>
      </c>
      <c r="W285" s="1">
        <v>3627891</v>
      </c>
      <c r="Y285">
        <v>7</v>
      </c>
      <c r="Z285">
        <v>2</v>
      </c>
      <c r="AA285" s="3">
        <v>20</v>
      </c>
      <c r="AB285" s="3">
        <v>6</v>
      </c>
      <c r="AC285">
        <v>155</v>
      </c>
      <c r="AD285" s="9">
        <f t="shared" si="78"/>
        <v>13740.416666666668</v>
      </c>
      <c r="AE285">
        <f t="shared" si="80"/>
        <v>2555730</v>
      </c>
      <c r="AF285" s="2">
        <f t="shared" si="85"/>
        <v>15.5</v>
      </c>
      <c r="AG285" t="str">
        <f t="shared" si="86"/>
        <v>229小时</v>
      </c>
      <c r="AH285">
        <f t="shared" si="87"/>
        <v>47</v>
      </c>
      <c r="AI285">
        <f t="shared" si="88"/>
        <v>8</v>
      </c>
      <c r="AJ285">
        <f t="shared" si="81"/>
        <v>31.8</v>
      </c>
      <c r="AK285">
        <f t="shared" si="89"/>
        <v>16</v>
      </c>
      <c r="AL285">
        <f t="shared" si="82"/>
        <v>15.5</v>
      </c>
      <c r="AM285" s="2">
        <f t="shared" si="90"/>
        <v>8</v>
      </c>
      <c r="AX285">
        <v>282</v>
      </c>
      <c r="AY285">
        <v>282</v>
      </c>
      <c r="AZ285" s="3">
        <f t="shared" si="83"/>
        <v>15190960</v>
      </c>
      <c r="BA285" t="e">
        <f>AZ285/(#REF!*60/5)/60</f>
        <v>#REF!</v>
      </c>
      <c r="BB285" s="2">
        <f t="shared" si="79"/>
        <v>115</v>
      </c>
      <c r="BC285">
        <f t="shared" si="84"/>
        <v>7.1984767025089607</v>
      </c>
      <c r="BD285" s="2">
        <f t="shared" si="91"/>
        <v>31.8</v>
      </c>
      <c r="BE285">
        <f t="shared" si="92"/>
        <v>15.5</v>
      </c>
      <c r="BF285">
        <f t="shared" si="93"/>
        <v>89280</v>
      </c>
    </row>
    <row r="286" spans="1:58" ht="14.25" x14ac:dyDescent="0.2">
      <c r="A286" s="11">
        <v>10103</v>
      </c>
      <c r="B286" s="13">
        <v>3</v>
      </c>
      <c r="C286" s="15">
        <v>3</v>
      </c>
      <c r="D286" s="14">
        <f t="shared" si="94"/>
        <v>5</v>
      </c>
      <c r="E286" s="1" t="s">
        <v>2777</v>
      </c>
      <c r="F286" s="1" t="s">
        <v>2820</v>
      </c>
      <c r="G286" s="1" t="s">
        <v>2779</v>
      </c>
      <c r="H286" s="1" t="s">
        <v>2779</v>
      </c>
      <c r="I286" s="1" t="s">
        <v>2780</v>
      </c>
      <c r="J286" s="16" t="s">
        <v>2818</v>
      </c>
      <c r="K286" t="s">
        <v>179</v>
      </c>
      <c r="L286" t="s">
        <v>163</v>
      </c>
      <c r="M286" t="s">
        <v>163</v>
      </c>
      <c r="N286" t="s">
        <v>163</v>
      </c>
      <c r="O286" s="6" t="s">
        <v>599</v>
      </c>
      <c r="P286">
        <v>0</v>
      </c>
      <c r="Q286" s="24">
        <v>24.8</v>
      </c>
      <c r="R286" s="25">
        <v>29</v>
      </c>
      <c r="S286" s="26">
        <v>29.3</v>
      </c>
      <c r="U286" s="3">
        <v>283</v>
      </c>
      <c r="V286" s="1">
        <v>15352274</v>
      </c>
      <c r="W286" s="1">
        <v>3629020</v>
      </c>
      <c r="Y286">
        <v>7</v>
      </c>
      <c r="Z286">
        <v>3</v>
      </c>
      <c r="AA286" s="3">
        <v>20</v>
      </c>
      <c r="AB286" s="3">
        <v>6</v>
      </c>
      <c r="AC286">
        <v>155</v>
      </c>
      <c r="AD286" s="9">
        <f t="shared" si="78"/>
        <v>13740.416666666668</v>
      </c>
      <c r="AE286">
        <f t="shared" si="80"/>
        <v>2555730</v>
      </c>
      <c r="AF286" s="2">
        <f t="shared" si="85"/>
        <v>15.5</v>
      </c>
      <c r="AG286" t="str">
        <f t="shared" si="86"/>
        <v>229小时</v>
      </c>
      <c r="AH286">
        <f t="shared" si="87"/>
        <v>47</v>
      </c>
      <c r="AI286">
        <f t="shared" si="88"/>
        <v>8</v>
      </c>
      <c r="AJ286">
        <f t="shared" si="81"/>
        <v>31.8</v>
      </c>
      <c r="AK286">
        <f t="shared" si="89"/>
        <v>16</v>
      </c>
      <c r="AL286">
        <f t="shared" si="82"/>
        <v>15.5</v>
      </c>
      <c r="AM286" s="2">
        <f t="shared" si="90"/>
        <v>8</v>
      </c>
      <c r="AX286">
        <v>283</v>
      </c>
      <c r="AY286">
        <v>283</v>
      </c>
      <c r="AZ286" s="3">
        <f t="shared" si="83"/>
        <v>15352274</v>
      </c>
      <c r="BA286" t="e">
        <f>AZ286/(#REF!*60/5)/60</f>
        <v>#REF!</v>
      </c>
      <c r="BB286" s="2">
        <f t="shared" si="79"/>
        <v>115</v>
      </c>
      <c r="BC286">
        <f t="shared" si="84"/>
        <v>7.1984767025089607</v>
      </c>
      <c r="BD286" s="2">
        <f t="shared" si="91"/>
        <v>31.8</v>
      </c>
      <c r="BE286">
        <f t="shared" si="92"/>
        <v>15.5</v>
      </c>
      <c r="BF286">
        <f t="shared" si="93"/>
        <v>89280</v>
      </c>
    </row>
    <row r="287" spans="1:58" ht="14.25" x14ac:dyDescent="0.2">
      <c r="A287" s="11">
        <v>10104</v>
      </c>
      <c r="B287" s="13">
        <v>3</v>
      </c>
      <c r="C287" s="15">
        <v>3</v>
      </c>
      <c r="D287" s="14">
        <f t="shared" si="94"/>
        <v>5</v>
      </c>
      <c r="E287" s="1" t="s">
        <v>2777</v>
      </c>
      <c r="F287" s="1" t="s">
        <v>2821</v>
      </c>
      <c r="G287" s="1" t="s">
        <v>2779</v>
      </c>
      <c r="H287" s="1" t="s">
        <v>2779</v>
      </c>
      <c r="I287" s="1" t="s">
        <v>2780</v>
      </c>
      <c r="J287" s="16" t="s">
        <v>2818</v>
      </c>
      <c r="K287" t="s">
        <v>177</v>
      </c>
      <c r="L287" t="s">
        <v>163</v>
      </c>
      <c r="M287" t="s">
        <v>163</v>
      </c>
      <c r="N287" t="s">
        <v>163</v>
      </c>
      <c r="O287" s="6" t="s">
        <v>599</v>
      </c>
      <c r="P287">
        <v>0</v>
      </c>
      <c r="Q287" s="24">
        <v>24.8</v>
      </c>
      <c r="R287" s="25">
        <v>29</v>
      </c>
      <c r="S287" s="26">
        <v>29.3</v>
      </c>
      <c r="U287" s="3">
        <v>284</v>
      </c>
      <c r="V287" s="1">
        <v>15514726</v>
      </c>
      <c r="W287" s="1">
        <v>3630153</v>
      </c>
      <c r="Y287">
        <v>7</v>
      </c>
      <c r="Z287">
        <v>4</v>
      </c>
      <c r="AA287" s="3">
        <v>20</v>
      </c>
      <c r="AB287" s="3">
        <v>6</v>
      </c>
      <c r="AC287">
        <v>155</v>
      </c>
      <c r="AD287" s="9">
        <f t="shared" si="78"/>
        <v>13740.416666666668</v>
      </c>
      <c r="AE287">
        <f t="shared" si="80"/>
        <v>2555730</v>
      </c>
      <c r="AF287" s="2">
        <f t="shared" si="85"/>
        <v>15.5</v>
      </c>
      <c r="AG287" t="str">
        <f t="shared" si="86"/>
        <v>229小时</v>
      </c>
      <c r="AH287">
        <f t="shared" si="87"/>
        <v>47</v>
      </c>
      <c r="AI287">
        <f t="shared" si="88"/>
        <v>8</v>
      </c>
      <c r="AJ287">
        <f t="shared" si="81"/>
        <v>31.8</v>
      </c>
      <c r="AK287">
        <f t="shared" si="89"/>
        <v>16</v>
      </c>
      <c r="AL287">
        <f t="shared" si="82"/>
        <v>15.5</v>
      </c>
      <c r="AM287" s="2">
        <f t="shared" si="90"/>
        <v>8</v>
      </c>
      <c r="AX287">
        <v>284</v>
      </c>
      <c r="AY287">
        <v>284</v>
      </c>
      <c r="AZ287" s="3">
        <f t="shared" si="83"/>
        <v>15514726</v>
      </c>
      <c r="BA287" t="e">
        <f>AZ287/(#REF!*60/5)/60</f>
        <v>#REF!</v>
      </c>
      <c r="BB287" s="2">
        <f t="shared" si="79"/>
        <v>115</v>
      </c>
      <c r="BC287">
        <f t="shared" si="84"/>
        <v>7.1984767025089607</v>
      </c>
      <c r="BD287" s="2">
        <f t="shared" si="91"/>
        <v>31.8</v>
      </c>
      <c r="BE287">
        <f t="shared" si="92"/>
        <v>15.5</v>
      </c>
      <c r="BF287">
        <f t="shared" si="93"/>
        <v>89280</v>
      </c>
    </row>
    <row r="288" spans="1:58" ht="14.25" x14ac:dyDescent="0.2">
      <c r="A288" s="11">
        <v>10105</v>
      </c>
      <c r="B288" s="13">
        <v>3</v>
      </c>
      <c r="C288" s="15">
        <v>3</v>
      </c>
      <c r="D288" s="14">
        <f t="shared" si="94"/>
        <v>5</v>
      </c>
      <c r="E288" s="1" t="s">
        <v>2785</v>
      </c>
      <c r="F288" s="1" t="s">
        <v>2786</v>
      </c>
      <c r="G288" s="1" t="s">
        <v>2822</v>
      </c>
      <c r="H288" s="1" t="s">
        <v>2823</v>
      </c>
      <c r="I288" s="1" t="s">
        <v>2697</v>
      </c>
      <c r="J288" s="16" t="s">
        <v>2856</v>
      </c>
      <c r="K288" t="s">
        <v>174</v>
      </c>
      <c r="L288" t="s">
        <v>163</v>
      </c>
      <c r="M288" t="s">
        <v>163</v>
      </c>
      <c r="N288" t="s">
        <v>163</v>
      </c>
      <c r="O288" s="6" t="s">
        <v>601</v>
      </c>
      <c r="P288">
        <v>0</v>
      </c>
      <c r="Q288" s="24">
        <v>24.8</v>
      </c>
      <c r="R288" s="25">
        <v>29</v>
      </c>
      <c r="S288" s="26">
        <v>29.3</v>
      </c>
      <c r="U288" s="3">
        <v>285</v>
      </c>
      <c r="V288" s="1">
        <v>15678320</v>
      </c>
      <c r="W288" s="1">
        <v>3946665</v>
      </c>
      <c r="Y288">
        <v>7</v>
      </c>
      <c r="Z288">
        <v>5</v>
      </c>
      <c r="AA288" s="3">
        <v>25</v>
      </c>
      <c r="AB288" s="3">
        <v>6</v>
      </c>
      <c r="AC288">
        <v>155</v>
      </c>
      <c r="AD288" s="9">
        <f t="shared" si="78"/>
        <v>13740.416666666668</v>
      </c>
      <c r="AE288">
        <f t="shared" si="80"/>
        <v>2555730</v>
      </c>
      <c r="AF288" s="2">
        <f t="shared" si="85"/>
        <v>15.5</v>
      </c>
      <c r="AG288" t="str">
        <f t="shared" si="86"/>
        <v>229小时</v>
      </c>
      <c r="AH288">
        <f t="shared" si="87"/>
        <v>47</v>
      </c>
      <c r="AI288">
        <f t="shared" si="88"/>
        <v>8</v>
      </c>
      <c r="AJ288">
        <f t="shared" si="81"/>
        <v>31.8</v>
      </c>
      <c r="AK288">
        <f t="shared" si="89"/>
        <v>16</v>
      </c>
      <c r="AL288">
        <f t="shared" si="82"/>
        <v>15.5</v>
      </c>
      <c r="AM288" s="2">
        <f t="shared" si="90"/>
        <v>8</v>
      </c>
      <c r="AX288">
        <v>285</v>
      </c>
      <c r="AY288">
        <v>285</v>
      </c>
      <c r="AZ288" s="3">
        <f t="shared" si="83"/>
        <v>15678320</v>
      </c>
      <c r="BA288" t="e">
        <f>AZ288/(#REF!*60/5)/60</f>
        <v>#REF!</v>
      </c>
      <c r="BB288" s="2">
        <f t="shared" si="79"/>
        <v>115</v>
      </c>
      <c r="BC288">
        <f t="shared" si="84"/>
        <v>7.1984767025089607</v>
      </c>
      <c r="BD288" s="2">
        <f t="shared" si="91"/>
        <v>31.8</v>
      </c>
      <c r="BE288">
        <f t="shared" si="92"/>
        <v>15.5</v>
      </c>
      <c r="BF288">
        <f t="shared" si="93"/>
        <v>89280</v>
      </c>
    </row>
    <row r="289" spans="1:58" ht="14.25" x14ac:dyDescent="0.2">
      <c r="A289" s="11">
        <v>10106</v>
      </c>
      <c r="B289" s="13">
        <v>3</v>
      </c>
      <c r="C289" s="15">
        <v>3</v>
      </c>
      <c r="D289" s="14">
        <f t="shared" si="94"/>
        <v>5</v>
      </c>
      <c r="E289" s="1" t="s">
        <v>2777</v>
      </c>
      <c r="F289" s="1" t="s">
        <v>2817</v>
      </c>
      <c r="G289" s="1" t="s">
        <v>2779</v>
      </c>
      <c r="H289" s="1" t="s">
        <v>2779</v>
      </c>
      <c r="I289" s="1" t="s">
        <v>2780</v>
      </c>
      <c r="J289" s="16" t="s">
        <v>2818</v>
      </c>
      <c r="K289" t="s">
        <v>182</v>
      </c>
      <c r="L289" t="s">
        <v>163</v>
      </c>
      <c r="M289" t="s">
        <v>163</v>
      </c>
      <c r="N289" t="s">
        <v>163</v>
      </c>
      <c r="O289" s="6" t="s">
        <v>603</v>
      </c>
      <c r="P289">
        <v>0</v>
      </c>
      <c r="Q289" s="24">
        <v>25.2</v>
      </c>
      <c r="R289" s="25">
        <v>29.5</v>
      </c>
      <c r="S289" s="26">
        <v>29.5</v>
      </c>
      <c r="U289" s="3">
        <v>286</v>
      </c>
      <c r="V289" s="1">
        <v>15843060</v>
      </c>
      <c r="W289" s="1">
        <v>3947806</v>
      </c>
      <c r="Y289">
        <v>7</v>
      </c>
      <c r="Z289">
        <v>6</v>
      </c>
      <c r="AA289" s="3">
        <v>20</v>
      </c>
      <c r="AB289" s="3">
        <v>6</v>
      </c>
      <c r="AC289">
        <v>155</v>
      </c>
      <c r="AD289" s="9">
        <f t="shared" si="78"/>
        <v>13565.416666666668</v>
      </c>
      <c r="AE289">
        <f t="shared" si="80"/>
        <v>2555730</v>
      </c>
      <c r="AF289" s="2">
        <f t="shared" si="85"/>
        <v>15.700000000000001</v>
      </c>
      <c r="AG289" t="str">
        <f t="shared" si="86"/>
        <v>226小时</v>
      </c>
      <c r="AH289">
        <f t="shared" si="87"/>
        <v>48</v>
      </c>
      <c r="AI289">
        <f t="shared" si="88"/>
        <v>8</v>
      </c>
      <c r="AJ289">
        <f t="shared" si="81"/>
        <v>32.1</v>
      </c>
      <c r="AK289">
        <f t="shared" si="89"/>
        <v>17</v>
      </c>
      <c r="AL289">
        <f t="shared" si="82"/>
        <v>15.700000000000001</v>
      </c>
      <c r="AM289" s="2">
        <f t="shared" si="90"/>
        <v>8</v>
      </c>
      <c r="AX289">
        <v>286</v>
      </c>
      <c r="AY289">
        <v>286</v>
      </c>
      <c r="AZ289" s="3">
        <f t="shared" si="83"/>
        <v>15843060</v>
      </c>
      <c r="BA289" t="e">
        <f>AZ289/(#REF!*60/5)/60</f>
        <v>#REF!</v>
      </c>
      <c r="BB289" s="2">
        <f t="shared" si="79"/>
        <v>115</v>
      </c>
      <c r="BC289">
        <f t="shared" si="84"/>
        <v>7.1067763623496099</v>
      </c>
      <c r="BD289" s="2">
        <f t="shared" si="91"/>
        <v>32.1</v>
      </c>
      <c r="BE289">
        <f t="shared" si="92"/>
        <v>15.700000000000001</v>
      </c>
      <c r="BF289">
        <f t="shared" si="93"/>
        <v>90432.000000000015</v>
      </c>
    </row>
    <row r="290" spans="1:58" ht="14.25" x14ac:dyDescent="0.2">
      <c r="A290" s="11">
        <v>10107</v>
      </c>
      <c r="B290" s="13">
        <v>3</v>
      </c>
      <c r="C290" s="15">
        <v>3</v>
      </c>
      <c r="D290" s="14">
        <f t="shared" si="94"/>
        <v>5</v>
      </c>
      <c r="E290" s="1" t="s">
        <v>2777</v>
      </c>
      <c r="F290" s="1" t="s">
        <v>2819</v>
      </c>
      <c r="G290" s="1" t="s">
        <v>2779</v>
      </c>
      <c r="H290" s="1" t="s">
        <v>2779</v>
      </c>
      <c r="I290" s="1" t="s">
        <v>2780</v>
      </c>
      <c r="J290" s="16" t="s">
        <v>2818</v>
      </c>
      <c r="K290" t="s">
        <v>162</v>
      </c>
      <c r="L290" t="s">
        <v>163</v>
      </c>
      <c r="M290" t="s">
        <v>163</v>
      </c>
      <c r="N290" t="s">
        <v>163</v>
      </c>
      <c r="O290" s="6" t="s">
        <v>603</v>
      </c>
      <c r="P290">
        <v>0</v>
      </c>
      <c r="Q290" s="24">
        <v>25.2</v>
      </c>
      <c r="R290" s="25">
        <v>29.5</v>
      </c>
      <c r="S290" s="26">
        <v>29.5</v>
      </c>
      <c r="U290" s="3">
        <v>287</v>
      </c>
      <c r="V290" s="1">
        <v>16008950</v>
      </c>
      <c r="W290" s="1">
        <v>3948951</v>
      </c>
      <c r="Y290">
        <v>7</v>
      </c>
      <c r="Z290">
        <v>7</v>
      </c>
      <c r="AA290" s="3">
        <v>20</v>
      </c>
      <c r="AB290" s="3">
        <v>6</v>
      </c>
      <c r="AC290">
        <v>155</v>
      </c>
      <c r="AD290" s="9">
        <f t="shared" si="78"/>
        <v>13565.416666666668</v>
      </c>
      <c r="AE290">
        <f t="shared" si="80"/>
        <v>2555730</v>
      </c>
      <c r="AF290" s="2">
        <f t="shared" si="85"/>
        <v>15.700000000000001</v>
      </c>
      <c r="AG290" t="str">
        <f t="shared" si="86"/>
        <v>226小时</v>
      </c>
      <c r="AH290">
        <f t="shared" si="87"/>
        <v>48</v>
      </c>
      <c r="AI290">
        <f t="shared" si="88"/>
        <v>8</v>
      </c>
      <c r="AJ290">
        <f t="shared" si="81"/>
        <v>32.1</v>
      </c>
      <c r="AK290">
        <f t="shared" si="89"/>
        <v>17</v>
      </c>
      <c r="AL290">
        <f t="shared" si="82"/>
        <v>15.700000000000001</v>
      </c>
      <c r="AM290" s="2">
        <f t="shared" si="90"/>
        <v>8</v>
      </c>
      <c r="AX290">
        <v>287</v>
      </c>
      <c r="AY290">
        <v>287</v>
      </c>
      <c r="AZ290" s="3">
        <f t="shared" si="83"/>
        <v>16008950</v>
      </c>
      <c r="BA290" t="e">
        <f>AZ290/(#REF!*60/5)/60</f>
        <v>#REF!</v>
      </c>
      <c r="BB290" s="2">
        <f t="shared" si="79"/>
        <v>115</v>
      </c>
      <c r="BC290">
        <f t="shared" si="84"/>
        <v>7.1067763623496099</v>
      </c>
      <c r="BD290" s="2">
        <f t="shared" si="91"/>
        <v>32.1</v>
      </c>
      <c r="BE290">
        <f t="shared" si="92"/>
        <v>15.700000000000001</v>
      </c>
      <c r="BF290">
        <f t="shared" si="93"/>
        <v>90432.000000000015</v>
      </c>
    </row>
    <row r="291" spans="1:58" ht="14.25" x14ac:dyDescent="0.2">
      <c r="A291" s="11">
        <v>10108</v>
      </c>
      <c r="B291" s="13">
        <v>3</v>
      </c>
      <c r="C291" s="15">
        <v>3</v>
      </c>
      <c r="D291" s="14">
        <f t="shared" si="94"/>
        <v>5</v>
      </c>
      <c r="E291" s="1" t="s">
        <v>2777</v>
      </c>
      <c r="F291" s="1" t="s">
        <v>2820</v>
      </c>
      <c r="G291" s="1" t="s">
        <v>2779</v>
      </c>
      <c r="H291" s="1" t="s">
        <v>2779</v>
      </c>
      <c r="I291" s="1" t="s">
        <v>2780</v>
      </c>
      <c r="J291" s="16" t="s">
        <v>2818</v>
      </c>
      <c r="K291" t="s">
        <v>177</v>
      </c>
      <c r="L291" t="s">
        <v>163</v>
      </c>
      <c r="M291" t="s">
        <v>163</v>
      </c>
      <c r="N291" t="s">
        <v>163</v>
      </c>
      <c r="O291" s="6" t="s">
        <v>605</v>
      </c>
      <c r="P291">
        <v>0</v>
      </c>
      <c r="Q291" s="24">
        <v>25.2</v>
      </c>
      <c r="R291" s="25">
        <v>29.5</v>
      </c>
      <c r="S291" s="26">
        <v>29.5</v>
      </c>
      <c r="U291" s="3">
        <v>288</v>
      </c>
      <c r="V291" s="1">
        <v>16175994</v>
      </c>
      <c r="W291" s="1">
        <v>3950100</v>
      </c>
      <c r="Y291">
        <v>7</v>
      </c>
      <c r="Z291">
        <v>8</v>
      </c>
      <c r="AA291" s="3">
        <v>20</v>
      </c>
      <c r="AB291" s="3">
        <v>6</v>
      </c>
      <c r="AC291">
        <v>155</v>
      </c>
      <c r="AD291" s="9">
        <f t="shared" si="78"/>
        <v>13565.416666666668</v>
      </c>
      <c r="AE291">
        <f t="shared" si="80"/>
        <v>2555730</v>
      </c>
      <c r="AF291" s="2">
        <f t="shared" si="85"/>
        <v>15.700000000000001</v>
      </c>
      <c r="AG291" t="str">
        <f t="shared" si="86"/>
        <v>226小时</v>
      </c>
      <c r="AH291">
        <f t="shared" si="87"/>
        <v>48</v>
      </c>
      <c r="AI291">
        <f t="shared" si="88"/>
        <v>8</v>
      </c>
      <c r="AJ291">
        <f t="shared" si="81"/>
        <v>32.1</v>
      </c>
      <c r="AK291">
        <f t="shared" si="89"/>
        <v>17</v>
      </c>
      <c r="AL291">
        <f t="shared" si="82"/>
        <v>15.700000000000001</v>
      </c>
      <c r="AM291" s="2">
        <f t="shared" si="90"/>
        <v>8</v>
      </c>
      <c r="AX291">
        <v>288</v>
      </c>
      <c r="AY291">
        <v>288</v>
      </c>
      <c r="AZ291" s="3">
        <f t="shared" si="83"/>
        <v>16175994</v>
      </c>
      <c r="BA291" t="e">
        <f>AZ291/(#REF!*60/5)/60</f>
        <v>#REF!</v>
      </c>
      <c r="BB291" s="2">
        <f t="shared" si="79"/>
        <v>115</v>
      </c>
      <c r="BC291">
        <f t="shared" si="84"/>
        <v>7.1067763623496099</v>
      </c>
      <c r="BD291" s="2">
        <f t="shared" si="91"/>
        <v>32.1</v>
      </c>
      <c r="BE291">
        <f t="shared" si="92"/>
        <v>15.700000000000001</v>
      </c>
      <c r="BF291">
        <f t="shared" si="93"/>
        <v>90432.000000000015</v>
      </c>
    </row>
    <row r="292" spans="1:58" ht="14.25" x14ac:dyDescent="0.2">
      <c r="A292" s="11">
        <v>10109</v>
      </c>
      <c r="B292" s="13">
        <v>3</v>
      </c>
      <c r="C292" s="15">
        <v>3</v>
      </c>
      <c r="D292" s="14">
        <f t="shared" si="94"/>
        <v>5</v>
      </c>
      <c r="E292" s="1" t="s">
        <v>2777</v>
      </c>
      <c r="F292" s="1" t="s">
        <v>2821</v>
      </c>
      <c r="G292" s="1" t="s">
        <v>2779</v>
      </c>
      <c r="H292" s="1" t="s">
        <v>2779</v>
      </c>
      <c r="I292" s="1" t="s">
        <v>2780</v>
      </c>
      <c r="J292" s="16" t="s">
        <v>2818</v>
      </c>
      <c r="K292" t="s">
        <v>174</v>
      </c>
      <c r="L292" t="s">
        <v>163</v>
      </c>
      <c r="M292" t="s">
        <v>163</v>
      </c>
      <c r="N292" t="s">
        <v>163</v>
      </c>
      <c r="O292" s="6" t="s">
        <v>607</v>
      </c>
      <c r="P292">
        <v>0</v>
      </c>
      <c r="Q292" s="24">
        <v>25.2</v>
      </c>
      <c r="R292" s="25">
        <v>29.5</v>
      </c>
      <c r="S292" s="26">
        <v>29.5</v>
      </c>
      <c r="U292" s="3">
        <v>289</v>
      </c>
      <c r="V292" s="1">
        <v>16344196</v>
      </c>
      <c r="W292" s="1">
        <v>3951253</v>
      </c>
      <c r="Y292">
        <v>7</v>
      </c>
      <c r="Z292">
        <v>9</v>
      </c>
      <c r="AA292" s="3">
        <v>20</v>
      </c>
      <c r="AB292" s="3">
        <v>6</v>
      </c>
      <c r="AC292">
        <v>155</v>
      </c>
      <c r="AD292" s="9">
        <f t="shared" si="78"/>
        <v>13565.416666666668</v>
      </c>
      <c r="AE292">
        <f t="shared" si="80"/>
        <v>2555730</v>
      </c>
      <c r="AF292" s="2">
        <f t="shared" si="85"/>
        <v>15.700000000000001</v>
      </c>
      <c r="AG292" t="str">
        <f t="shared" si="86"/>
        <v>226小时</v>
      </c>
      <c r="AH292">
        <f t="shared" si="87"/>
        <v>48</v>
      </c>
      <c r="AI292">
        <f t="shared" si="88"/>
        <v>8</v>
      </c>
      <c r="AJ292">
        <f t="shared" si="81"/>
        <v>32.1</v>
      </c>
      <c r="AK292">
        <f t="shared" si="89"/>
        <v>17</v>
      </c>
      <c r="AL292">
        <f t="shared" si="82"/>
        <v>15.700000000000001</v>
      </c>
      <c r="AM292" s="2">
        <f t="shared" si="90"/>
        <v>8</v>
      </c>
      <c r="AX292">
        <v>289</v>
      </c>
      <c r="AY292">
        <v>289</v>
      </c>
      <c r="AZ292" s="3">
        <f t="shared" si="83"/>
        <v>16344196</v>
      </c>
      <c r="BA292" t="e">
        <f>AZ292/(#REF!*60/5)/60</f>
        <v>#REF!</v>
      </c>
      <c r="BB292" s="2">
        <f t="shared" si="79"/>
        <v>115</v>
      </c>
      <c r="BC292">
        <f t="shared" si="84"/>
        <v>7.1067763623496099</v>
      </c>
      <c r="BD292" s="2">
        <f t="shared" si="91"/>
        <v>32.1</v>
      </c>
      <c r="BE292">
        <f t="shared" si="92"/>
        <v>15.700000000000001</v>
      </c>
      <c r="BF292">
        <f t="shared" si="93"/>
        <v>90432.000000000015</v>
      </c>
    </row>
    <row r="293" spans="1:58" ht="14.25" x14ac:dyDescent="0.2">
      <c r="A293" s="11">
        <v>10110</v>
      </c>
      <c r="B293" s="13">
        <v>3</v>
      </c>
      <c r="C293" s="15">
        <v>3</v>
      </c>
      <c r="D293" s="14">
        <f t="shared" si="94"/>
        <v>5</v>
      </c>
      <c r="E293" s="1" t="s">
        <v>2785</v>
      </c>
      <c r="F293" s="1" t="s">
        <v>2786</v>
      </c>
      <c r="G293" s="1" t="s">
        <v>2824</v>
      </c>
      <c r="H293" s="1" t="s">
        <v>2823</v>
      </c>
      <c r="I293" s="1" t="s">
        <v>2697</v>
      </c>
      <c r="J293" s="16" t="s">
        <v>2856</v>
      </c>
      <c r="K293" t="s">
        <v>166</v>
      </c>
      <c r="L293" t="s">
        <v>163</v>
      </c>
      <c r="M293" t="s">
        <v>163</v>
      </c>
      <c r="N293" t="s">
        <v>163</v>
      </c>
      <c r="O293" s="6" t="s">
        <v>607</v>
      </c>
      <c r="P293">
        <v>0</v>
      </c>
      <c r="Q293" s="24">
        <v>25.2</v>
      </c>
      <c r="R293" s="25">
        <v>29.5</v>
      </c>
      <c r="S293" s="26">
        <v>29.5</v>
      </c>
      <c r="U293" s="3">
        <v>290</v>
      </c>
      <c r="V293" s="1">
        <v>16513560</v>
      </c>
      <c r="W293" s="1">
        <v>4217910</v>
      </c>
      <c r="Y293">
        <v>7</v>
      </c>
      <c r="Z293">
        <v>10</v>
      </c>
      <c r="AA293" s="3">
        <v>25</v>
      </c>
      <c r="AB293" s="3">
        <v>6</v>
      </c>
      <c r="AC293">
        <v>155</v>
      </c>
      <c r="AD293" s="9">
        <f t="shared" si="78"/>
        <v>13565.416666666668</v>
      </c>
      <c r="AE293">
        <f t="shared" si="80"/>
        <v>2555730</v>
      </c>
      <c r="AF293" s="2">
        <f t="shared" si="85"/>
        <v>15.700000000000001</v>
      </c>
      <c r="AG293" t="str">
        <f t="shared" si="86"/>
        <v>226小时</v>
      </c>
      <c r="AH293">
        <f t="shared" si="87"/>
        <v>48</v>
      </c>
      <c r="AI293">
        <f t="shared" si="88"/>
        <v>8</v>
      </c>
      <c r="AJ293">
        <f t="shared" si="81"/>
        <v>32.1</v>
      </c>
      <c r="AK293">
        <f t="shared" si="89"/>
        <v>17</v>
      </c>
      <c r="AL293">
        <f t="shared" si="82"/>
        <v>15.700000000000001</v>
      </c>
      <c r="AM293" s="2">
        <f t="shared" si="90"/>
        <v>8</v>
      </c>
      <c r="AX293">
        <v>290</v>
      </c>
      <c r="AY293">
        <v>290</v>
      </c>
      <c r="AZ293" s="3">
        <f t="shared" si="83"/>
        <v>16513560</v>
      </c>
      <c r="BA293" t="e">
        <f>AZ293/(#REF!*60/5)/60</f>
        <v>#REF!</v>
      </c>
      <c r="BB293" s="2">
        <f t="shared" si="79"/>
        <v>115</v>
      </c>
      <c r="BC293">
        <f t="shared" si="84"/>
        <v>7.1067763623496099</v>
      </c>
      <c r="BD293" s="2">
        <f t="shared" si="91"/>
        <v>32.1</v>
      </c>
      <c r="BE293">
        <f t="shared" si="92"/>
        <v>15.700000000000001</v>
      </c>
      <c r="BF293">
        <f t="shared" si="93"/>
        <v>90432.000000000015</v>
      </c>
    </row>
    <row r="294" spans="1:58" ht="14.25" x14ac:dyDescent="0.2">
      <c r="A294" s="11">
        <v>10111</v>
      </c>
      <c r="B294" s="13">
        <v>3</v>
      </c>
      <c r="C294" s="15">
        <v>3</v>
      </c>
      <c r="D294" s="14">
        <f t="shared" si="94"/>
        <v>5</v>
      </c>
      <c r="E294" s="1" t="s">
        <v>2777</v>
      </c>
      <c r="F294" s="1" t="s">
        <v>2817</v>
      </c>
      <c r="G294" s="1" t="s">
        <v>2779</v>
      </c>
      <c r="H294" s="1" t="s">
        <v>2779</v>
      </c>
      <c r="I294" s="1" t="s">
        <v>2780</v>
      </c>
      <c r="J294" s="16" t="s">
        <v>2818</v>
      </c>
      <c r="K294" t="s">
        <v>168</v>
      </c>
      <c r="L294" t="s">
        <v>163</v>
      </c>
      <c r="M294" t="s">
        <v>163</v>
      </c>
      <c r="N294" t="s">
        <v>163</v>
      </c>
      <c r="O294" s="6" t="s">
        <v>609</v>
      </c>
      <c r="P294">
        <v>0</v>
      </c>
      <c r="Q294" s="24">
        <v>25.5</v>
      </c>
      <c r="R294" s="25">
        <v>30</v>
      </c>
      <c r="S294" s="26">
        <v>29.8</v>
      </c>
      <c r="U294" s="3">
        <v>291</v>
      </c>
      <c r="V294" s="1">
        <v>16684090</v>
      </c>
      <c r="W294" s="1">
        <v>4219071</v>
      </c>
      <c r="Y294">
        <v>7</v>
      </c>
      <c r="Z294">
        <v>11</v>
      </c>
      <c r="AA294" s="3">
        <v>20</v>
      </c>
      <c r="AB294" s="3">
        <v>6</v>
      </c>
      <c r="AC294">
        <v>155</v>
      </c>
      <c r="AD294" s="9">
        <f t="shared" si="78"/>
        <v>13311.083333333334</v>
      </c>
      <c r="AE294">
        <f t="shared" si="80"/>
        <v>2555730</v>
      </c>
      <c r="AF294" s="2">
        <f t="shared" si="85"/>
        <v>16</v>
      </c>
      <c r="AG294" t="str">
        <f t="shared" si="86"/>
        <v>221小时</v>
      </c>
      <c r="AH294">
        <f t="shared" si="87"/>
        <v>48</v>
      </c>
      <c r="AI294">
        <f t="shared" si="88"/>
        <v>8</v>
      </c>
      <c r="AJ294">
        <f t="shared" si="81"/>
        <v>32.5</v>
      </c>
      <c r="AK294">
        <f t="shared" si="89"/>
        <v>17</v>
      </c>
      <c r="AL294">
        <f t="shared" si="82"/>
        <v>16</v>
      </c>
      <c r="AM294" s="2">
        <f t="shared" si="90"/>
        <v>8</v>
      </c>
      <c r="AX294">
        <v>291</v>
      </c>
      <c r="AY294">
        <v>291</v>
      </c>
      <c r="AZ294" s="3">
        <f t="shared" si="83"/>
        <v>16684090</v>
      </c>
      <c r="BA294" t="e">
        <f>AZ294/(#REF!*60/5)/60</f>
        <v>#REF!</v>
      </c>
      <c r="BB294" s="2">
        <f t="shared" si="79"/>
        <v>115</v>
      </c>
      <c r="BC294">
        <f t="shared" si="84"/>
        <v>6.9735243055555554</v>
      </c>
      <c r="BD294" s="2">
        <f t="shared" si="91"/>
        <v>32.5</v>
      </c>
      <c r="BE294">
        <f t="shared" si="92"/>
        <v>16</v>
      </c>
      <c r="BF294">
        <f t="shared" si="93"/>
        <v>92160</v>
      </c>
    </row>
    <row r="295" spans="1:58" ht="14.25" x14ac:dyDescent="0.2">
      <c r="A295" s="11">
        <v>10112</v>
      </c>
      <c r="B295" s="13">
        <v>3</v>
      </c>
      <c r="C295" s="15">
        <v>3</v>
      </c>
      <c r="D295" s="14">
        <f t="shared" si="94"/>
        <v>5</v>
      </c>
      <c r="E295" s="1" t="s">
        <v>2777</v>
      </c>
      <c r="F295" s="1" t="s">
        <v>2819</v>
      </c>
      <c r="G295" s="1" t="s">
        <v>2779</v>
      </c>
      <c r="H295" s="1" t="s">
        <v>2779</v>
      </c>
      <c r="I295" s="1" t="s">
        <v>2780</v>
      </c>
      <c r="J295" s="16" t="s">
        <v>2818</v>
      </c>
      <c r="K295" t="s">
        <v>175</v>
      </c>
      <c r="L295" t="s">
        <v>164</v>
      </c>
      <c r="M295" t="s">
        <v>163</v>
      </c>
      <c r="N295" t="s">
        <v>167</v>
      </c>
      <c r="O295" s="6" t="s">
        <v>611</v>
      </c>
      <c r="P295">
        <v>0</v>
      </c>
      <c r="Q295" s="24">
        <v>25.5</v>
      </c>
      <c r="R295" s="25">
        <v>30</v>
      </c>
      <c r="S295" s="26">
        <v>29.8</v>
      </c>
      <c r="U295" s="3">
        <v>292</v>
      </c>
      <c r="V295" s="1">
        <v>16855790</v>
      </c>
      <c r="W295" s="1">
        <v>4220236</v>
      </c>
      <c r="Y295">
        <v>7</v>
      </c>
      <c r="Z295">
        <v>12</v>
      </c>
      <c r="AA295" s="3">
        <v>20</v>
      </c>
      <c r="AB295" s="3">
        <v>6</v>
      </c>
      <c r="AC295">
        <v>155</v>
      </c>
      <c r="AD295" s="9">
        <f t="shared" si="78"/>
        <v>13311.083333333334</v>
      </c>
      <c r="AE295">
        <f t="shared" si="80"/>
        <v>2555730</v>
      </c>
      <c r="AF295" s="2">
        <f t="shared" si="85"/>
        <v>16</v>
      </c>
      <c r="AG295" t="str">
        <f t="shared" si="86"/>
        <v>221小时</v>
      </c>
      <c r="AH295">
        <f t="shared" si="87"/>
        <v>48</v>
      </c>
      <c r="AI295">
        <f t="shared" si="88"/>
        <v>8</v>
      </c>
      <c r="AJ295">
        <f t="shared" si="81"/>
        <v>32.5</v>
      </c>
      <c r="AK295">
        <f t="shared" si="89"/>
        <v>17</v>
      </c>
      <c r="AL295">
        <f t="shared" si="82"/>
        <v>16</v>
      </c>
      <c r="AM295" s="2">
        <f t="shared" si="90"/>
        <v>8</v>
      </c>
      <c r="AX295">
        <v>292</v>
      </c>
      <c r="AY295">
        <v>292</v>
      </c>
      <c r="AZ295" s="3">
        <f t="shared" si="83"/>
        <v>16855790</v>
      </c>
      <c r="BA295" t="e">
        <f>AZ295/(#REF!*60/5)/60</f>
        <v>#REF!</v>
      </c>
      <c r="BB295" s="2">
        <f t="shared" si="79"/>
        <v>115</v>
      </c>
      <c r="BC295">
        <f t="shared" si="84"/>
        <v>6.9735243055555554</v>
      </c>
      <c r="BD295" s="2">
        <f t="shared" si="91"/>
        <v>32.5</v>
      </c>
      <c r="BE295">
        <f t="shared" si="92"/>
        <v>16</v>
      </c>
      <c r="BF295">
        <f t="shared" si="93"/>
        <v>92160</v>
      </c>
    </row>
    <row r="296" spans="1:58" ht="14.25" x14ac:dyDescent="0.2">
      <c r="A296" s="11">
        <v>10113</v>
      </c>
      <c r="B296" s="13">
        <v>3</v>
      </c>
      <c r="C296" s="15">
        <v>3</v>
      </c>
      <c r="D296" s="14">
        <f t="shared" si="94"/>
        <v>5</v>
      </c>
      <c r="E296" s="1" t="s">
        <v>2777</v>
      </c>
      <c r="F296" s="1" t="s">
        <v>2820</v>
      </c>
      <c r="G296" s="1" t="s">
        <v>2779</v>
      </c>
      <c r="H296" s="1" t="s">
        <v>2779</v>
      </c>
      <c r="I296" s="1" t="s">
        <v>2780</v>
      </c>
      <c r="J296" s="16" t="s">
        <v>2818</v>
      </c>
      <c r="K296" t="s">
        <v>179</v>
      </c>
      <c r="L296" t="s">
        <v>163</v>
      </c>
      <c r="M296" t="s">
        <v>163</v>
      </c>
      <c r="N296" t="s">
        <v>163</v>
      </c>
      <c r="O296" s="6" t="s">
        <v>613</v>
      </c>
      <c r="P296">
        <v>0</v>
      </c>
      <c r="Q296" s="24">
        <v>25.5</v>
      </c>
      <c r="R296" s="25">
        <v>30</v>
      </c>
      <c r="S296" s="26">
        <v>29.8</v>
      </c>
      <c r="U296" s="3">
        <v>293</v>
      </c>
      <c r="V296" s="1">
        <v>17028664</v>
      </c>
      <c r="W296" s="1">
        <v>4221405</v>
      </c>
      <c r="Y296">
        <v>7</v>
      </c>
      <c r="Z296">
        <v>13</v>
      </c>
      <c r="AA296" s="3">
        <v>20</v>
      </c>
      <c r="AB296" s="3">
        <v>6</v>
      </c>
      <c r="AC296">
        <v>155</v>
      </c>
      <c r="AD296" s="9">
        <f t="shared" si="78"/>
        <v>13311.083333333334</v>
      </c>
      <c r="AE296">
        <f t="shared" si="80"/>
        <v>2555730</v>
      </c>
      <c r="AF296" s="2">
        <f t="shared" si="85"/>
        <v>16</v>
      </c>
      <c r="AG296" t="str">
        <f t="shared" si="86"/>
        <v>221小时</v>
      </c>
      <c r="AH296">
        <f t="shared" si="87"/>
        <v>48</v>
      </c>
      <c r="AI296">
        <f t="shared" si="88"/>
        <v>8</v>
      </c>
      <c r="AJ296">
        <f t="shared" si="81"/>
        <v>32.5</v>
      </c>
      <c r="AK296">
        <f t="shared" si="89"/>
        <v>17</v>
      </c>
      <c r="AL296">
        <f t="shared" si="82"/>
        <v>16</v>
      </c>
      <c r="AM296" s="2">
        <f t="shared" si="90"/>
        <v>8</v>
      </c>
      <c r="AX296">
        <v>293</v>
      </c>
      <c r="AY296">
        <v>293</v>
      </c>
      <c r="AZ296" s="3">
        <f t="shared" si="83"/>
        <v>17028664</v>
      </c>
      <c r="BA296" t="e">
        <f>AZ296/(#REF!*60/5)/60</f>
        <v>#REF!</v>
      </c>
      <c r="BB296" s="2">
        <f t="shared" si="79"/>
        <v>115</v>
      </c>
      <c r="BC296">
        <f t="shared" si="84"/>
        <v>6.9735243055555554</v>
      </c>
      <c r="BD296" s="2">
        <f t="shared" si="91"/>
        <v>32.5</v>
      </c>
      <c r="BE296">
        <f t="shared" si="92"/>
        <v>16</v>
      </c>
      <c r="BF296">
        <f t="shared" si="93"/>
        <v>92160</v>
      </c>
    </row>
    <row r="297" spans="1:58" ht="14.25" x14ac:dyDescent="0.2">
      <c r="A297" s="11">
        <v>10114</v>
      </c>
      <c r="B297" s="13">
        <v>3</v>
      </c>
      <c r="C297" s="15">
        <v>3</v>
      </c>
      <c r="D297" s="14">
        <f t="shared" si="94"/>
        <v>5</v>
      </c>
      <c r="E297" s="1" t="s">
        <v>2777</v>
      </c>
      <c r="F297" s="1" t="s">
        <v>2821</v>
      </c>
      <c r="G297" s="1" t="s">
        <v>2779</v>
      </c>
      <c r="H297" s="1" t="s">
        <v>2779</v>
      </c>
      <c r="I297" s="1" t="s">
        <v>2780</v>
      </c>
      <c r="J297" s="16" t="s">
        <v>2818</v>
      </c>
      <c r="K297" t="s">
        <v>177</v>
      </c>
      <c r="L297" t="s">
        <v>163</v>
      </c>
      <c r="M297" t="s">
        <v>163</v>
      </c>
      <c r="N297" t="s">
        <v>163</v>
      </c>
      <c r="O297" s="6" t="s">
        <v>613</v>
      </c>
      <c r="P297">
        <v>0</v>
      </c>
      <c r="Q297" s="24">
        <v>25.5</v>
      </c>
      <c r="R297" s="25">
        <v>30</v>
      </c>
      <c r="S297" s="26">
        <v>29.8</v>
      </c>
      <c r="U297" s="3">
        <v>294</v>
      </c>
      <c r="V297" s="1">
        <v>17202716</v>
      </c>
      <c r="W297" s="1">
        <v>4222578</v>
      </c>
      <c r="Y297">
        <v>7</v>
      </c>
      <c r="Z297">
        <v>14</v>
      </c>
      <c r="AA297" s="3">
        <v>20</v>
      </c>
      <c r="AB297" s="3">
        <v>6</v>
      </c>
      <c r="AC297">
        <v>155</v>
      </c>
      <c r="AD297" s="9">
        <f t="shared" si="78"/>
        <v>13311.083333333334</v>
      </c>
      <c r="AE297">
        <f t="shared" si="80"/>
        <v>2555730</v>
      </c>
      <c r="AF297" s="2">
        <f t="shared" si="85"/>
        <v>16</v>
      </c>
      <c r="AG297" t="str">
        <f t="shared" si="86"/>
        <v>221小时</v>
      </c>
      <c r="AH297">
        <f t="shared" si="87"/>
        <v>48</v>
      </c>
      <c r="AI297">
        <f t="shared" si="88"/>
        <v>8</v>
      </c>
      <c r="AJ297">
        <f t="shared" si="81"/>
        <v>32.5</v>
      </c>
      <c r="AK297">
        <f t="shared" si="89"/>
        <v>17</v>
      </c>
      <c r="AL297">
        <f t="shared" si="82"/>
        <v>16</v>
      </c>
      <c r="AM297" s="2">
        <f t="shared" si="90"/>
        <v>8</v>
      </c>
      <c r="AX297">
        <v>294</v>
      </c>
      <c r="AY297">
        <v>294</v>
      </c>
      <c r="AZ297" s="3">
        <f t="shared" si="83"/>
        <v>17202716</v>
      </c>
      <c r="BA297" t="e">
        <f>AZ297/(#REF!*60/5)/60</f>
        <v>#REF!</v>
      </c>
      <c r="BB297" s="2">
        <f t="shared" si="79"/>
        <v>115</v>
      </c>
      <c r="BC297">
        <f t="shared" si="84"/>
        <v>6.9735243055555554</v>
      </c>
      <c r="BD297" s="2">
        <f t="shared" si="91"/>
        <v>32.5</v>
      </c>
      <c r="BE297">
        <f t="shared" si="92"/>
        <v>16</v>
      </c>
      <c r="BF297">
        <f t="shared" si="93"/>
        <v>92160</v>
      </c>
    </row>
    <row r="298" spans="1:58" ht="14.25" x14ac:dyDescent="0.2">
      <c r="A298" s="11">
        <v>10115</v>
      </c>
      <c r="B298" s="13">
        <v>3</v>
      </c>
      <c r="C298" s="15">
        <v>3</v>
      </c>
      <c r="D298" s="14">
        <f t="shared" si="94"/>
        <v>5</v>
      </c>
      <c r="E298" s="1" t="s">
        <v>2785</v>
      </c>
      <c r="F298" s="1" t="s">
        <v>2786</v>
      </c>
      <c r="G298" s="1" t="s">
        <v>2825</v>
      </c>
      <c r="H298" s="1" t="s">
        <v>2823</v>
      </c>
      <c r="I298" s="1" t="s">
        <v>2697</v>
      </c>
      <c r="J298" s="16" t="s">
        <v>2856</v>
      </c>
      <c r="K298" t="s">
        <v>174</v>
      </c>
      <c r="L298" t="s">
        <v>163</v>
      </c>
      <c r="M298" t="s">
        <v>163</v>
      </c>
      <c r="N298" t="s">
        <v>163</v>
      </c>
      <c r="O298" s="6" t="s">
        <v>615</v>
      </c>
      <c r="P298">
        <v>0</v>
      </c>
      <c r="Q298" s="24">
        <v>25.5</v>
      </c>
      <c r="R298" s="25">
        <v>30</v>
      </c>
      <c r="S298" s="26">
        <v>29.8</v>
      </c>
      <c r="U298" s="3">
        <v>295</v>
      </c>
      <c r="V298" s="1">
        <v>17377950</v>
      </c>
      <c r="W298" s="1">
        <v>4561255</v>
      </c>
      <c r="Y298">
        <v>7</v>
      </c>
      <c r="Z298">
        <v>15</v>
      </c>
      <c r="AA298" s="3">
        <v>25</v>
      </c>
      <c r="AB298" s="3">
        <v>6</v>
      </c>
      <c r="AC298">
        <v>155</v>
      </c>
      <c r="AD298" s="9">
        <f t="shared" si="78"/>
        <v>13311.083333333334</v>
      </c>
      <c r="AE298">
        <f t="shared" si="80"/>
        <v>2555730</v>
      </c>
      <c r="AF298" s="2">
        <f t="shared" si="85"/>
        <v>16</v>
      </c>
      <c r="AG298" t="str">
        <f t="shared" si="86"/>
        <v>221小时</v>
      </c>
      <c r="AH298">
        <f t="shared" si="87"/>
        <v>48</v>
      </c>
      <c r="AI298">
        <f t="shared" si="88"/>
        <v>8</v>
      </c>
      <c r="AJ298">
        <f t="shared" si="81"/>
        <v>32.5</v>
      </c>
      <c r="AK298">
        <f t="shared" si="89"/>
        <v>17</v>
      </c>
      <c r="AL298">
        <f t="shared" si="82"/>
        <v>16</v>
      </c>
      <c r="AM298" s="2">
        <f t="shared" si="90"/>
        <v>8</v>
      </c>
      <c r="AX298">
        <v>295</v>
      </c>
      <c r="AY298">
        <v>295</v>
      </c>
      <c r="AZ298" s="3">
        <f t="shared" si="83"/>
        <v>17377950</v>
      </c>
      <c r="BA298" t="e">
        <f>AZ298/(#REF!*60/5)/60</f>
        <v>#REF!</v>
      </c>
      <c r="BB298" s="2">
        <f t="shared" si="79"/>
        <v>115</v>
      </c>
      <c r="BC298">
        <f t="shared" si="84"/>
        <v>6.9735243055555554</v>
      </c>
      <c r="BD298" s="2">
        <f t="shared" si="91"/>
        <v>32.5</v>
      </c>
      <c r="BE298">
        <f t="shared" si="92"/>
        <v>16</v>
      </c>
      <c r="BF298">
        <f t="shared" si="93"/>
        <v>92160</v>
      </c>
    </row>
    <row r="299" spans="1:58" ht="14.25" x14ac:dyDescent="0.2">
      <c r="A299" s="11">
        <v>10116</v>
      </c>
      <c r="B299" s="13">
        <v>3</v>
      </c>
      <c r="C299" s="15">
        <v>3</v>
      </c>
      <c r="D299" s="14">
        <f t="shared" si="94"/>
        <v>5</v>
      </c>
      <c r="E299" s="1" t="s">
        <v>2777</v>
      </c>
      <c r="F299" s="1" t="s">
        <v>2817</v>
      </c>
      <c r="G299" s="1" t="s">
        <v>2779</v>
      </c>
      <c r="H299" s="1" t="s">
        <v>2779</v>
      </c>
      <c r="I299" s="1" t="s">
        <v>2780</v>
      </c>
      <c r="J299" s="16" t="s">
        <v>2818</v>
      </c>
      <c r="K299" t="s">
        <v>182</v>
      </c>
      <c r="L299" t="s">
        <v>163</v>
      </c>
      <c r="M299" t="s">
        <v>163</v>
      </c>
      <c r="N299" t="s">
        <v>163</v>
      </c>
      <c r="O299" s="6" t="s">
        <v>617</v>
      </c>
      <c r="P299">
        <v>0</v>
      </c>
      <c r="Q299" s="24">
        <v>25.8</v>
      </c>
      <c r="R299" s="25">
        <v>30.5</v>
      </c>
      <c r="S299" s="26">
        <v>30</v>
      </c>
      <c r="U299" s="3">
        <v>296</v>
      </c>
      <c r="V299" s="1">
        <v>17554370</v>
      </c>
      <c r="W299" s="1">
        <v>4562436</v>
      </c>
      <c r="Y299">
        <v>7</v>
      </c>
      <c r="Z299">
        <v>16</v>
      </c>
      <c r="AA299" s="3">
        <v>20</v>
      </c>
      <c r="AB299" s="3">
        <v>6</v>
      </c>
      <c r="AC299">
        <v>155</v>
      </c>
      <c r="AD299" s="9">
        <f t="shared" si="78"/>
        <v>13146.75</v>
      </c>
      <c r="AE299">
        <f t="shared" si="80"/>
        <v>2555730</v>
      </c>
      <c r="AF299" s="2">
        <f t="shared" si="85"/>
        <v>16.2</v>
      </c>
      <c r="AG299" t="str">
        <f t="shared" si="86"/>
        <v>219小时</v>
      </c>
      <c r="AH299">
        <f t="shared" si="87"/>
        <v>49</v>
      </c>
      <c r="AI299">
        <f t="shared" si="88"/>
        <v>9</v>
      </c>
      <c r="AJ299">
        <f t="shared" si="81"/>
        <v>32.799999999999997</v>
      </c>
      <c r="AK299">
        <f t="shared" si="89"/>
        <v>17</v>
      </c>
      <c r="AL299">
        <f t="shared" si="82"/>
        <v>16.2</v>
      </c>
      <c r="AM299" s="2">
        <f t="shared" si="90"/>
        <v>9</v>
      </c>
      <c r="AX299">
        <v>296</v>
      </c>
      <c r="AY299">
        <v>296</v>
      </c>
      <c r="AZ299" s="3">
        <f t="shared" si="83"/>
        <v>17554370</v>
      </c>
      <c r="BA299" t="e">
        <f>AZ299/(#REF!*60/5)/60</f>
        <v>#REF!</v>
      </c>
      <c r="BB299" s="2">
        <f t="shared" si="79"/>
        <v>115</v>
      </c>
      <c r="BC299">
        <f t="shared" si="84"/>
        <v>6.8874314128943759</v>
      </c>
      <c r="BD299" s="2">
        <f t="shared" si="91"/>
        <v>32.799999999999997</v>
      </c>
      <c r="BE299">
        <f t="shared" si="92"/>
        <v>16.2</v>
      </c>
      <c r="BF299">
        <f t="shared" si="93"/>
        <v>93312</v>
      </c>
    </row>
    <row r="300" spans="1:58" ht="14.25" x14ac:dyDescent="0.2">
      <c r="A300" s="11">
        <v>10117</v>
      </c>
      <c r="B300" s="13">
        <v>3</v>
      </c>
      <c r="C300" s="15">
        <v>3</v>
      </c>
      <c r="D300" s="14">
        <f t="shared" si="94"/>
        <v>5</v>
      </c>
      <c r="E300" s="1" t="s">
        <v>2777</v>
      </c>
      <c r="F300" s="1" t="s">
        <v>2819</v>
      </c>
      <c r="G300" s="1" t="s">
        <v>2779</v>
      </c>
      <c r="H300" s="1" t="s">
        <v>2779</v>
      </c>
      <c r="I300" s="1" t="s">
        <v>2780</v>
      </c>
      <c r="J300" s="16" t="s">
        <v>2818</v>
      </c>
      <c r="K300" t="s">
        <v>162</v>
      </c>
      <c r="L300" t="s">
        <v>163</v>
      </c>
      <c r="M300" t="s">
        <v>163</v>
      </c>
      <c r="N300" t="s">
        <v>163</v>
      </c>
      <c r="O300" s="6" t="s">
        <v>617</v>
      </c>
      <c r="P300">
        <v>0</v>
      </c>
      <c r="Q300" s="24">
        <v>25.8</v>
      </c>
      <c r="R300" s="25">
        <v>30.5</v>
      </c>
      <c r="S300" s="26">
        <v>30</v>
      </c>
      <c r="U300" s="3">
        <v>297</v>
      </c>
      <c r="V300" s="1">
        <v>17731980</v>
      </c>
      <c r="W300" s="1">
        <v>4563621</v>
      </c>
      <c r="Y300">
        <v>7</v>
      </c>
      <c r="Z300">
        <v>17</v>
      </c>
      <c r="AA300" s="3">
        <v>20</v>
      </c>
      <c r="AB300" s="3">
        <v>6</v>
      </c>
      <c r="AC300">
        <v>155</v>
      </c>
      <c r="AD300" s="9">
        <f t="shared" si="78"/>
        <v>13146.75</v>
      </c>
      <c r="AE300">
        <f t="shared" si="80"/>
        <v>2555730</v>
      </c>
      <c r="AF300" s="2">
        <f t="shared" si="85"/>
        <v>16.2</v>
      </c>
      <c r="AG300" t="str">
        <f t="shared" si="86"/>
        <v>219小时</v>
      </c>
      <c r="AH300">
        <f t="shared" si="87"/>
        <v>49</v>
      </c>
      <c r="AI300">
        <f t="shared" si="88"/>
        <v>9</v>
      </c>
      <c r="AJ300">
        <f t="shared" si="81"/>
        <v>32.799999999999997</v>
      </c>
      <c r="AK300">
        <f t="shared" si="89"/>
        <v>17</v>
      </c>
      <c r="AL300">
        <f t="shared" si="82"/>
        <v>16.2</v>
      </c>
      <c r="AM300" s="2">
        <f t="shared" si="90"/>
        <v>9</v>
      </c>
      <c r="AX300">
        <v>297</v>
      </c>
      <c r="AY300">
        <v>297</v>
      </c>
      <c r="AZ300" s="3">
        <f t="shared" si="83"/>
        <v>17731980</v>
      </c>
      <c r="BA300" t="e">
        <f>AZ300/(#REF!*60/5)/60</f>
        <v>#REF!</v>
      </c>
      <c r="BB300" s="2">
        <f t="shared" si="79"/>
        <v>115</v>
      </c>
      <c r="BC300">
        <f t="shared" si="84"/>
        <v>6.8874314128943759</v>
      </c>
      <c r="BD300" s="2">
        <f t="shared" si="91"/>
        <v>32.799999999999997</v>
      </c>
      <c r="BE300">
        <f t="shared" si="92"/>
        <v>16.2</v>
      </c>
      <c r="BF300">
        <f t="shared" si="93"/>
        <v>93312</v>
      </c>
    </row>
    <row r="301" spans="1:58" ht="14.25" x14ac:dyDescent="0.2">
      <c r="A301" s="11">
        <v>10118</v>
      </c>
      <c r="B301" s="13">
        <v>3</v>
      </c>
      <c r="C301" s="15">
        <v>3</v>
      </c>
      <c r="D301" s="14">
        <f t="shared" si="94"/>
        <v>6</v>
      </c>
      <c r="E301" s="1" t="s">
        <v>2777</v>
      </c>
      <c r="F301" s="1" t="s">
        <v>2820</v>
      </c>
      <c r="G301" s="1" t="s">
        <v>2779</v>
      </c>
      <c r="H301" s="1" t="s">
        <v>2779</v>
      </c>
      <c r="I301" s="1" t="s">
        <v>2780</v>
      </c>
      <c r="J301" s="16" t="s">
        <v>2818</v>
      </c>
      <c r="K301" t="s">
        <v>177</v>
      </c>
      <c r="L301" t="s">
        <v>163</v>
      </c>
      <c r="M301" t="s">
        <v>163</v>
      </c>
      <c r="N301" t="s">
        <v>163</v>
      </c>
      <c r="O301" s="6" t="s">
        <v>619</v>
      </c>
      <c r="P301">
        <v>0</v>
      </c>
      <c r="Q301" s="24">
        <v>25.8</v>
      </c>
      <c r="R301" s="25">
        <v>30.5</v>
      </c>
      <c r="S301" s="26">
        <v>30</v>
      </c>
      <c r="U301" s="3">
        <v>298</v>
      </c>
      <c r="V301" s="1">
        <v>17910784</v>
      </c>
      <c r="W301" s="1">
        <v>4564810</v>
      </c>
      <c r="Y301">
        <v>7</v>
      </c>
      <c r="Z301">
        <v>18</v>
      </c>
      <c r="AA301" s="3">
        <v>20</v>
      </c>
      <c r="AB301" s="3">
        <v>6</v>
      </c>
      <c r="AC301">
        <v>155</v>
      </c>
      <c r="AD301" s="9">
        <f t="shared" si="78"/>
        <v>13146.75</v>
      </c>
      <c r="AE301">
        <f t="shared" si="80"/>
        <v>2555730</v>
      </c>
      <c r="AF301" s="2">
        <f t="shared" si="85"/>
        <v>16.2</v>
      </c>
      <c r="AG301" t="str">
        <f t="shared" si="86"/>
        <v>219小时</v>
      </c>
      <c r="AH301">
        <f t="shared" si="87"/>
        <v>49</v>
      </c>
      <c r="AI301">
        <f t="shared" si="88"/>
        <v>9</v>
      </c>
      <c r="AJ301">
        <f t="shared" si="81"/>
        <v>32.799999999999997</v>
      </c>
      <c r="AK301">
        <f t="shared" si="89"/>
        <v>17</v>
      </c>
      <c r="AL301">
        <f t="shared" si="82"/>
        <v>16.2</v>
      </c>
      <c r="AM301" s="2">
        <f t="shared" si="90"/>
        <v>9</v>
      </c>
      <c r="AX301">
        <v>298</v>
      </c>
      <c r="AY301">
        <v>298</v>
      </c>
      <c r="AZ301" s="3">
        <f t="shared" si="83"/>
        <v>17910784</v>
      </c>
      <c r="BA301" t="e">
        <f>AZ301/(#REF!*60/5)/60</f>
        <v>#REF!</v>
      </c>
      <c r="BB301" s="2">
        <f t="shared" si="79"/>
        <v>115</v>
      </c>
      <c r="BC301">
        <f t="shared" si="84"/>
        <v>6.8874314128943759</v>
      </c>
      <c r="BD301" s="2">
        <f t="shared" si="91"/>
        <v>32.799999999999997</v>
      </c>
      <c r="BE301">
        <f t="shared" si="92"/>
        <v>16.2</v>
      </c>
      <c r="BF301">
        <f t="shared" si="93"/>
        <v>93312</v>
      </c>
    </row>
    <row r="302" spans="1:58" ht="14.25" x14ac:dyDescent="0.2">
      <c r="A302" s="11">
        <v>10119</v>
      </c>
      <c r="B302" s="13">
        <v>3</v>
      </c>
      <c r="C302" s="15">
        <v>3</v>
      </c>
      <c r="D302" s="14">
        <f t="shared" si="94"/>
        <v>6</v>
      </c>
      <c r="E302" s="1" t="s">
        <v>2777</v>
      </c>
      <c r="F302" s="1" t="s">
        <v>2821</v>
      </c>
      <c r="G302" s="1" t="s">
        <v>2779</v>
      </c>
      <c r="H302" s="1" t="s">
        <v>2779</v>
      </c>
      <c r="I302" s="1" t="s">
        <v>2780</v>
      </c>
      <c r="J302" s="16" t="s">
        <v>2818</v>
      </c>
      <c r="K302" t="s">
        <v>174</v>
      </c>
      <c r="L302" t="s">
        <v>163</v>
      </c>
      <c r="M302" t="s">
        <v>163</v>
      </c>
      <c r="N302" t="s">
        <v>163</v>
      </c>
      <c r="O302" s="6" t="s">
        <v>621</v>
      </c>
      <c r="P302">
        <v>0</v>
      </c>
      <c r="Q302" s="24">
        <v>25.8</v>
      </c>
      <c r="R302" s="25">
        <v>30.5</v>
      </c>
      <c r="S302" s="26">
        <v>30</v>
      </c>
      <c r="U302" s="3">
        <v>299</v>
      </c>
      <c r="V302" s="1">
        <v>18090786</v>
      </c>
      <c r="W302" s="1">
        <v>4566003</v>
      </c>
      <c r="Y302">
        <v>7</v>
      </c>
      <c r="Z302">
        <v>19</v>
      </c>
      <c r="AA302" s="3">
        <v>20</v>
      </c>
      <c r="AB302" s="3">
        <v>6</v>
      </c>
      <c r="AC302">
        <v>155</v>
      </c>
      <c r="AD302" s="9">
        <f t="shared" si="78"/>
        <v>13146.75</v>
      </c>
      <c r="AE302">
        <f t="shared" si="80"/>
        <v>2555730</v>
      </c>
      <c r="AF302" s="2">
        <f t="shared" si="85"/>
        <v>16.2</v>
      </c>
      <c r="AG302" t="str">
        <f t="shared" si="86"/>
        <v>219小时</v>
      </c>
      <c r="AH302">
        <f t="shared" si="87"/>
        <v>49</v>
      </c>
      <c r="AI302">
        <f t="shared" si="88"/>
        <v>9</v>
      </c>
      <c r="AJ302">
        <f t="shared" si="81"/>
        <v>32.799999999999997</v>
      </c>
      <c r="AK302">
        <f t="shared" si="89"/>
        <v>17</v>
      </c>
      <c r="AL302">
        <f t="shared" si="82"/>
        <v>16.2</v>
      </c>
      <c r="AM302" s="2">
        <f t="shared" si="90"/>
        <v>9</v>
      </c>
      <c r="AX302">
        <v>299</v>
      </c>
      <c r="AY302">
        <v>299</v>
      </c>
      <c r="AZ302" s="3">
        <f t="shared" si="83"/>
        <v>18090786</v>
      </c>
      <c r="BA302" t="e">
        <f>AZ302/(#REF!*60/5)/60</f>
        <v>#REF!</v>
      </c>
      <c r="BB302" s="2">
        <f t="shared" si="79"/>
        <v>115</v>
      </c>
      <c r="BC302">
        <f t="shared" si="84"/>
        <v>6.8874314128943759</v>
      </c>
      <c r="BD302" s="2">
        <f t="shared" si="91"/>
        <v>32.799999999999997</v>
      </c>
      <c r="BE302">
        <f t="shared" si="92"/>
        <v>16.2</v>
      </c>
      <c r="BF302">
        <f t="shared" si="93"/>
        <v>93312</v>
      </c>
    </row>
    <row r="303" spans="1:58" ht="14.25" x14ac:dyDescent="0.2">
      <c r="A303" s="11">
        <v>10120</v>
      </c>
      <c r="B303" s="13">
        <v>3</v>
      </c>
      <c r="C303" s="15">
        <v>3</v>
      </c>
      <c r="D303" s="14">
        <f t="shared" si="94"/>
        <v>6</v>
      </c>
      <c r="E303" s="1" t="s">
        <v>2785</v>
      </c>
      <c r="F303" s="1" t="s">
        <v>2786</v>
      </c>
      <c r="G303" s="1" t="s">
        <v>2826</v>
      </c>
      <c r="H303" s="1" t="s">
        <v>2823</v>
      </c>
      <c r="I303" s="1" t="s">
        <v>2697</v>
      </c>
      <c r="J303" s="16" t="s">
        <v>2874</v>
      </c>
      <c r="K303" t="s">
        <v>166</v>
      </c>
      <c r="L303" t="s">
        <v>163</v>
      </c>
      <c r="M303" t="s">
        <v>163</v>
      </c>
      <c r="N303" t="s">
        <v>163</v>
      </c>
      <c r="O303" s="6" t="s">
        <v>621</v>
      </c>
      <c r="P303">
        <v>0</v>
      </c>
      <c r="Q303" s="24">
        <v>25.8</v>
      </c>
      <c r="R303" s="25">
        <v>30.5</v>
      </c>
      <c r="S303" s="26">
        <v>30</v>
      </c>
      <c r="U303" s="3">
        <v>300</v>
      </c>
      <c r="V303" s="1">
        <v>18271990</v>
      </c>
      <c r="W303" s="1">
        <v>5176900</v>
      </c>
      <c r="Y303">
        <v>7</v>
      </c>
      <c r="Z303">
        <v>20</v>
      </c>
      <c r="AA303" s="3">
        <v>25</v>
      </c>
      <c r="AB303" s="3">
        <v>6</v>
      </c>
      <c r="AC303">
        <v>155</v>
      </c>
      <c r="AD303" s="9">
        <f t="shared" si="78"/>
        <v>13146.75</v>
      </c>
      <c r="AE303">
        <f t="shared" si="80"/>
        <v>2555730</v>
      </c>
      <c r="AF303" s="2">
        <f t="shared" si="85"/>
        <v>16.2</v>
      </c>
      <c r="AG303" t="str">
        <f t="shared" si="86"/>
        <v>219小时</v>
      </c>
      <c r="AH303">
        <f t="shared" si="87"/>
        <v>49</v>
      </c>
      <c r="AI303">
        <f t="shared" si="88"/>
        <v>9</v>
      </c>
      <c r="AJ303">
        <f t="shared" si="81"/>
        <v>32.799999999999997</v>
      </c>
      <c r="AK303">
        <f t="shared" si="89"/>
        <v>17</v>
      </c>
      <c r="AL303">
        <f t="shared" si="82"/>
        <v>16.2</v>
      </c>
      <c r="AM303" s="2">
        <f t="shared" si="90"/>
        <v>9</v>
      </c>
      <c r="AX303">
        <v>300</v>
      </c>
      <c r="AY303">
        <v>300</v>
      </c>
      <c r="AZ303" s="3">
        <f t="shared" si="83"/>
        <v>18271990</v>
      </c>
      <c r="BA303" t="e">
        <f>AZ303/(#REF!*60/5)/60</f>
        <v>#REF!</v>
      </c>
      <c r="BB303" s="2">
        <f t="shared" si="79"/>
        <v>115</v>
      </c>
      <c r="BC303">
        <f t="shared" si="84"/>
        <v>6.8874314128943759</v>
      </c>
      <c r="BD303" s="2">
        <f t="shared" si="91"/>
        <v>32.799999999999997</v>
      </c>
      <c r="BE303">
        <f t="shared" si="92"/>
        <v>16.2</v>
      </c>
      <c r="BF303">
        <f t="shared" si="93"/>
        <v>93312</v>
      </c>
    </row>
    <row r="304" spans="1:58" ht="14.25" x14ac:dyDescent="0.2">
      <c r="A304" s="11">
        <v>10121</v>
      </c>
      <c r="B304" s="13">
        <v>3</v>
      </c>
      <c r="C304" s="15">
        <v>3</v>
      </c>
      <c r="D304" s="14">
        <f t="shared" si="94"/>
        <v>6</v>
      </c>
      <c r="E304" s="1" t="s">
        <v>2777</v>
      </c>
      <c r="F304" s="1" t="s">
        <v>2817</v>
      </c>
      <c r="G304" s="1" t="s">
        <v>2779</v>
      </c>
      <c r="H304" s="1" t="s">
        <v>2779</v>
      </c>
      <c r="I304" s="1" t="s">
        <v>2780</v>
      </c>
      <c r="J304" s="16" t="s">
        <v>2827</v>
      </c>
      <c r="K304" t="s">
        <v>168</v>
      </c>
      <c r="L304" t="s">
        <v>163</v>
      </c>
      <c r="M304" t="s">
        <v>163</v>
      </c>
      <c r="N304" t="s">
        <v>163</v>
      </c>
      <c r="O304" s="6" t="s">
        <v>623</v>
      </c>
      <c r="P304">
        <v>0</v>
      </c>
      <c r="Q304" s="24">
        <v>26.2</v>
      </c>
      <c r="R304" s="25">
        <v>31</v>
      </c>
      <c r="S304" s="26">
        <v>30.3</v>
      </c>
      <c r="Y304">
        <v>8</v>
      </c>
      <c r="Z304">
        <v>1</v>
      </c>
      <c r="AA304" s="3">
        <v>20</v>
      </c>
      <c r="AB304" s="3">
        <v>6</v>
      </c>
      <c r="AC304">
        <v>155</v>
      </c>
      <c r="AD304" s="9">
        <f t="shared" si="78"/>
        <v>12907.666666666666</v>
      </c>
      <c r="AE304">
        <f t="shared" si="80"/>
        <v>2555730</v>
      </c>
      <c r="AF304" s="2">
        <f t="shared" si="85"/>
        <v>16.5</v>
      </c>
      <c r="AG304" t="str">
        <f t="shared" si="86"/>
        <v>215小时</v>
      </c>
      <c r="AH304">
        <f t="shared" si="87"/>
        <v>50</v>
      </c>
      <c r="AI304">
        <f t="shared" si="88"/>
        <v>9</v>
      </c>
      <c r="AJ304">
        <f t="shared" si="81"/>
        <v>33.299999999999997</v>
      </c>
      <c r="AK304">
        <f t="shared" si="89"/>
        <v>17</v>
      </c>
      <c r="AL304">
        <f t="shared" si="82"/>
        <v>16.5</v>
      </c>
      <c r="AM304" s="2">
        <f t="shared" si="90"/>
        <v>9</v>
      </c>
      <c r="AX304">
        <v>301</v>
      </c>
      <c r="AZ304" s="3"/>
      <c r="BB304" s="2">
        <f t="shared" si="79"/>
        <v>115</v>
      </c>
      <c r="BC304">
        <f t="shared" si="84"/>
        <v>6.7622053872053876</v>
      </c>
      <c r="BD304" s="2">
        <f t="shared" si="91"/>
        <v>33.299999999999997</v>
      </c>
      <c r="BE304">
        <f t="shared" si="92"/>
        <v>16.5</v>
      </c>
      <c r="BF304">
        <f t="shared" si="93"/>
        <v>95040</v>
      </c>
    </row>
    <row r="305" spans="1:58" ht="14.25" x14ac:dyDescent="0.2">
      <c r="A305" s="11">
        <v>10122</v>
      </c>
      <c r="B305" s="13">
        <v>3</v>
      </c>
      <c r="C305" s="15">
        <v>3</v>
      </c>
      <c r="D305" s="14">
        <f t="shared" si="94"/>
        <v>6</v>
      </c>
      <c r="E305" s="1" t="s">
        <v>2777</v>
      </c>
      <c r="F305" s="1" t="s">
        <v>2819</v>
      </c>
      <c r="G305" s="1" t="s">
        <v>2779</v>
      </c>
      <c r="H305" s="1" t="s">
        <v>2779</v>
      </c>
      <c r="I305" s="1" t="s">
        <v>2780</v>
      </c>
      <c r="J305" s="16" t="s">
        <v>2827</v>
      </c>
      <c r="K305" t="s">
        <v>175</v>
      </c>
      <c r="L305" t="s">
        <v>164</v>
      </c>
      <c r="M305" t="s">
        <v>163</v>
      </c>
      <c r="N305" t="s">
        <v>167</v>
      </c>
      <c r="O305" s="6" t="s">
        <v>625</v>
      </c>
      <c r="P305">
        <v>0</v>
      </c>
      <c r="Q305" s="24">
        <v>26.2</v>
      </c>
      <c r="R305" s="25">
        <v>31</v>
      </c>
      <c r="S305" s="26">
        <v>30.3</v>
      </c>
      <c r="Y305">
        <v>8</v>
      </c>
      <c r="Z305">
        <v>2</v>
      </c>
      <c r="AA305" s="3">
        <v>20</v>
      </c>
      <c r="AB305" s="3">
        <v>6</v>
      </c>
      <c r="AC305">
        <v>155</v>
      </c>
      <c r="AD305" s="9">
        <f t="shared" si="78"/>
        <v>12907.666666666666</v>
      </c>
      <c r="AE305">
        <f t="shared" si="80"/>
        <v>2555730</v>
      </c>
      <c r="AF305" s="2">
        <f t="shared" si="85"/>
        <v>16.5</v>
      </c>
      <c r="AG305" t="str">
        <f t="shared" si="86"/>
        <v>215小时</v>
      </c>
      <c r="AH305">
        <f t="shared" si="87"/>
        <v>50</v>
      </c>
      <c r="AI305">
        <f t="shared" si="88"/>
        <v>9</v>
      </c>
      <c r="AJ305">
        <f t="shared" si="81"/>
        <v>33.299999999999997</v>
      </c>
      <c r="AK305">
        <f t="shared" si="89"/>
        <v>17</v>
      </c>
      <c r="AL305">
        <f t="shared" si="82"/>
        <v>16.5</v>
      </c>
      <c r="AM305" s="2">
        <f t="shared" si="90"/>
        <v>9</v>
      </c>
      <c r="AX305">
        <v>302</v>
      </c>
      <c r="AZ305" s="3"/>
      <c r="BB305" s="2">
        <f t="shared" si="79"/>
        <v>115</v>
      </c>
      <c r="BC305">
        <f t="shared" si="84"/>
        <v>6.7622053872053876</v>
      </c>
      <c r="BD305" s="2">
        <f t="shared" si="91"/>
        <v>33.299999999999997</v>
      </c>
      <c r="BE305">
        <f t="shared" si="92"/>
        <v>16.5</v>
      </c>
      <c r="BF305">
        <f t="shared" si="93"/>
        <v>95040</v>
      </c>
    </row>
    <row r="306" spans="1:58" ht="14.25" x14ac:dyDescent="0.2">
      <c r="A306" s="11">
        <v>10123</v>
      </c>
      <c r="B306" s="13">
        <v>3</v>
      </c>
      <c r="C306" s="15">
        <v>3</v>
      </c>
      <c r="D306" s="14">
        <f t="shared" si="94"/>
        <v>6</v>
      </c>
      <c r="E306" s="1" t="s">
        <v>2777</v>
      </c>
      <c r="F306" s="1" t="s">
        <v>2820</v>
      </c>
      <c r="G306" s="1" t="s">
        <v>2779</v>
      </c>
      <c r="H306" s="1" t="s">
        <v>2779</v>
      </c>
      <c r="I306" s="1" t="s">
        <v>2780</v>
      </c>
      <c r="J306" s="16" t="s">
        <v>2827</v>
      </c>
      <c r="K306" t="s">
        <v>179</v>
      </c>
      <c r="L306" t="s">
        <v>163</v>
      </c>
      <c r="M306" t="s">
        <v>163</v>
      </c>
      <c r="N306" t="s">
        <v>163</v>
      </c>
      <c r="O306" s="6" t="s">
        <v>627</v>
      </c>
      <c r="P306">
        <v>0</v>
      </c>
      <c r="Q306" s="24">
        <v>26.2</v>
      </c>
      <c r="R306" s="25">
        <v>31</v>
      </c>
      <c r="S306" s="26">
        <v>30.3</v>
      </c>
      <c r="Y306">
        <v>8</v>
      </c>
      <c r="Z306">
        <v>3</v>
      </c>
      <c r="AA306" s="3">
        <v>20</v>
      </c>
      <c r="AB306" s="3">
        <v>6</v>
      </c>
      <c r="AC306">
        <v>155</v>
      </c>
      <c r="AD306" s="9">
        <f t="shared" si="78"/>
        <v>12907.666666666666</v>
      </c>
      <c r="AE306">
        <f t="shared" si="80"/>
        <v>2555730</v>
      </c>
      <c r="AF306" s="2">
        <f t="shared" si="85"/>
        <v>16.5</v>
      </c>
      <c r="AG306" t="str">
        <f t="shared" si="86"/>
        <v>215小时</v>
      </c>
      <c r="AH306">
        <f t="shared" si="87"/>
        <v>50</v>
      </c>
      <c r="AI306">
        <f t="shared" si="88"/>
        <v>9</v>
      </c>
      <c r="AJ306">
        <f t="shared" si="81"/>
        <v>33.299999999999997</v>
      </c>
      <c r="AK306">
        <f t="shared" si="89"/>
        <v>17</v>
      </c>
      <c r="AL306">
        <f t="shared" si="82"/>
        <v>16.5</v>
      </c>
      <c r="AM306" s="2">
        <f t="shared" si="90"/>
        <v>9</v>
      </c>
      <c r="AX306">
        <v>303</v>
      </c>
      <c r="AZ306" s="3"/>
      <c r="BB306" s="2">
        <f t="shared" si="79"/>
        <v>115</v>
      </c>
      <c r="BC306">
        <f t="shared" si="84"/>
        <v>6.7622053872053876</v>
      </c>
      <c r="BD306" s="2">
        <f t="shared" si="91"/>
        <v>33.299999999999997</v>
      </c>
      <c r="BE306">
        <f t="shared" si="92"/>
        <v>16.5</v>
      </c>
      <c r="BF306">
        <f t="shared" si="93"/>
        <v>95040</v>
      </c>
    </row>
    <row r="307" spans="1:58" ht="14.25" x14ac:dyDescent="0.2">
      <c r="A307" s="11">
        <v>10124</v>
      </c>
      <c r="B307" s="13">
        <v>3</v>
      </c>
      <c r="C307" s="15">
        <v>3</v>
      </c>
      <c r="D307" s="14">
        <f t="shared" si="94"/>
        <v>6</v>
      </c>
      <c r="E307" s="1" t="s">
        <v>2777</v>
      </c>
      <c r="F307" s="1" t="s">
        <v>2821</v>
      </c>
      <c r="G307" s="1" t="s">
        <v>2779</v>
      </c>
      <c r="H307" s="1" t="s">
        <v>2779</v>
      </c>
      <c r="I307" s="1" t="s">
        <v>2780</v>
      </c>
      <c r="J307" s="16" t="s">
        <v>2827</v>
      </c>
      <c r="K307" t="s">
        <v>177</v>
      </c>
      <c r="L307" t="s">
        <v>163</v>
      </c>
      <c r="M307" t="s">
        <v>163</v>
      </c>
      <c r="N307" t="s">
        <v>163</v>
      </c>
      <c r="O307" s="6" t="s">
        <v>627</v>
      </c>
      <c r="P307">
        <v>0</v>
      </c>
      <c r="Q307" s="24">
        <v>26.2</v>
      </c>
      <c r="R307" s="25">
        <v>31</v>
      </c>
      <c r="S307" s="26">
        <v>30.3</v>
      </c>
      <c r="Y307">
        <v>8</v>
      </c>
      <c r="Z307">
        <v>4</v>
      </c>
      <c r="AA307" s="3">
        <v>20</v>
      </c>
      <c r="AB307" s="3">
        <v>6</v>
      </c>
      <c r="AC307">
        <v>155</v>
      </c>
      <c r="AD307" s="9">
        <f t="shared" si="78"/>
        <v>12907.666666666666</v>
      </c>
      <c r="AE307">
        <f t="shared" si="80"/>
        <v>2555730</v>
      </c>
      <c r="AF307" s="2">
        <f t="shared" si="85"/>
        <v>16.5</v>
      </c>
      <c r="AG307" t="str">
        <f t="shared" si="86"/>
        <v>215小时</v>
      </c>
      <c r="AH307">
        <f t="shared" si="87"/>
        <v>50</v>
      </c>
      <c r="AI307">
        <f t="shared" si="88"/>
        <v>9</v>
      </c>
      <c r="AJ307">
        <f t="shared" si="81"/>
        <v>33.299999999999997</v>
      </c>
      <c r="AK307">
        <f t="shared" si="89"/>
        <v>17</v>
      </c>
      <c r="AL307">
        <f t="shared" si="82"/>
        <v>16.5</v>
      </c>
      <c r="AM307" s="2">
        <f t="shared" si="90"/>
        <v>9</v>
      </c>
      <c r="AX307">
        <v>304</v>
      </c>
      <c r="AZ307" s="3"/>
      <c r="BB307" s="2">
        <f t="shared" si="79"/>
        <v>115</v>
      </c>
      <c r="BC307">
        <f t="shared" si="84"/>
        <v>6.7622053872053876</v>
      </c>
      <c r="BD307" s="2">
        <f t="shared" si="91"/>
        <v>33.299999999999997</v>
      </c>
      <c r="BE307">
        <f t="shared" si="92"/>
        <v>16.5</v>
      </c>
      <c r="BF307">
        <f t="shared" si="93"/>
        <v>95040</v>
      </c>
    </row>
    <row r="308" spans="1:58" ht="14.25" x14ac:dyDescent="0.2">
      <c r="A308" s="11">
        <v>10125</v>
      </c>
      <c r="B308" s="13">
        <v>3</v>
      </c>
      <c r="C308" s="15">
        <v>3</v>
      </c>
      <c r="D308" s="14">
        <f t="shared" si="94"/>
        <v>6</v>
      </c>
      <c r="E308" s="1" t="s">
        <v>2785</v>
      </c>
      <c r="F308" s="1" t="s">
        <v>2786</v>
      </c>
      <c r="G308" s="1" t="s">
        <v>2828</v>
      </c>
      <c r="H308" s="1" t="s">
        <v>2829</v>
      </c>
      <c r="I308" s="1" t="s">
        <v>2697</v>
      </c>
      <c r="J308" s="16" t="s">
        <v>2875</v>
      </c>
      <c r="K308" t="s">
        <v>174</v>
      </c>
      <c r="L308" t="s">
        <v>163</v>
      </c>
      <c r="M308" t="s">
        <v>163</v>
      </c>
      <c r="N308" t="s">
        <v>163</v>
      </c>
      <c r="O308" s="6" t="s">
        <v>629</v>
      </c>
      <c r="P308">
        <v>0</v>
      </c>
      <c r="Q308" s="24">
        <v>26.2</v>
      </c>
      <c r="R308" s="25">
        <v>31</v>
      </c>
      <c r="S308" s="26">
        <v>30.3</v>
      </c>
      <c r="Y308">
        <v>8</v>
      </c>
      <c r="Z308">
        <v>5</v>
      </c>
      <c r="AA308" s="3">
        <v>25</v>
      </c>
      <c r="AB308" s="3">
        <v>6</v>
      </c>
      <c r="AC308">
        <v>155</v>
      </c>
      <c r="AD308" s="9">
        <f t="shared" si="78"/>
        <v>12907.666666666666</v>
      </c>
      <c r="AE308">
        <f t="shared" si="80"/>
        <v>2555730</v>
      </c>
      <c r="AF308" s="2">
        <f t="shared" si="85"/>
        <v>16.5</v>
      </c>
      <c r="AG308" t="str">
        <f t="shared" si="86"/>
        <v>215小时</v>
      </c>
      <c r="AH308">
        <f t="shared" si="87"/>
        <v>50</v>
      </c>
      <c r="AI308">
        <f t="shared" si="88"/>
        <v>9</v>
      </c>
      <c r="AJ308">
        <f t="shared" si="81"/>
        <v>33.299999999999997</v>
      </c>
      <c r="AK308">
        <f t="shared" si="89"/>
        <v>17</v>
      </c>
      <c r="AL308">
        <f t="shared" si="82"/>
        <v>16.5</v>
      </c>
      <c r="AM308" s="2">
        <f t="shared" si="90"/>
        <v>9</v>
      </c>
      <c r="AX308">
        <v>305</v>
      </c>
      <c r="AZ308" s="3"/>
      <c r="BB308" s="2">
        <f t="shared" si="79"/>
        <v>115</v>
      </c>
      <c r="BC308">
        <f t="shared" si="84"/>
        <v>6.7622053872053876</v>
      </c>
      <c r="BD308" s="2">
        <f t="shared" si="91"/>
        <v>33.299999999999997</v>
      </c>
      <c r="BE308">
        <f t="shared" si="92"/>
        <v>16.5</v>
      </c>
      <c r="BF308">
        <f t="shared" si="93"/>
        <v>95040</v>
      </c>
    </row>
    <row r="309" spans="1:58" ht="14.25" x14ac:dyDescent="0.2">
      <c r="A309" s="11">
        <v>10126</v>
      </c>
      <c r="B309" s="13">
        <v>3</v>
      </c>
      <c r="C309" s="15">
        <v>3</v>
      </c>
      <c r="D309" s="14">
        <f t="shared" si="94"/>
        <v>6</v>
      </c>
      <c r="E309" s="1" t="s">
        <v>2777</v>
      </c>
      <c r="F309" s="1" t="s">
        <v>2817</v>
      </c>
      <c r="G309" s="1" t="s">
        <v>2779</v>
      </c>
      <c r="H309" s="1" t="s">
        <v>2779</v>
      </c>
      <c r="I309" s="1" t="s">
        <v>2780</v>
      </c>
      <c r="J309" s="16" t="s">
        <v>2827</v>
      </c>
      <c r="K309" t="s">
        <v>182</v>
      </c>
      <c r="L309" t="s">
        <v>163</v>
      </c>
      <c r="M309" t="s">
        <v>163</v>
      </c>
      <c r="N309" t="s">
        <v>163</v>
      </c>
      <c r="O309" s="6" t="s">
        <v>631</v>
      </c>
      <c r="P309">
        <v>0</v>
      </c>
      <c r="Q309" s="24">
        <v>26.5</v>
      </c>
      <c r="R309" s="25">
        <v>31.5</v>
      </c>
      <c r="S309" s="26">
        <v>30.5</v>
      </c>
      <c r="Y309">
        <v>8</v>
      </c>
      <c r="Z309">
        <v>6</v>
      </c>
      <c r="AA309" s="3">
        <v>20</v>
      </c>
      <c r="AB309" s="3">
        <v>6</v>
      </c>
      <c r="AC309">
        <v>155</v>
      </c>
      <c r="AD309" s="9">
        <f t="shared" si="78"/>
        <v>12753.083333333334</v>
      </c>
      <c r="AE309">
        <f t="shared" si="80"/>
        <v>2555730</v>
      </c>
      <c r="AF309" s="2">
        <f t="shared" si="85"/>
        <v>16.7</v>
      </c>
      <c r="AG309" t="str">
        <f t="shared" si="86"/>
        <v>212小时</v>
      </c>
      <c r="AH309">
        <f t="shared" si="87"/>
        <v>51</v>
      </c>
      <c r="AI309">
        <f t="shared" si="88"/>
        <v>9</v>
      </c>
      <c r="AJ309">
        <f t="shared" si="81"/>
        <v>33.6</v>
      </c>
      <c r="AK309">
        <f t="shared" si="89"/>
        <v>17</v>
      </c>
      <c r="AL309">
        <f t="shared" si="82"/>
        <v>16.7</v>
      </c>
      <c r="AM309" s="2">
        <f t="shared" si="90"/>
        <v>9</v>
      </c>
      <c r="AX309">
        <v>306</v>
      </c>
      <c r="AZ309" s="3"/>
      <c r="BB309" s="2">
        <f t="shared" si="79"/>
        <v>115</v>
      </c>
      <c r="BC309">
        <f t="shared" si="84"/>
        <v>6.6812208915502325</v>
      </c>
      <c r="BD309" s="2">
        <f t="shared" si="91"/>
        <v>33.6</v>
      </c>
      <c r="BE309">
        <f t="shared" si="92"/>
        <v>16.7</v>
      </c>
      <c r="BF309">
        <f t="shared" si="93"/>
        <v>96192</v>
      </c>
    </row>
    <row r="310" spans="1:58" ht="14.25" x14ac:dyDescent="0.2">
      <c r="A310" s="11">
        <v>10127</v>
      </c>
      <c r="B310" s="13">
        <v>3</v>
      </c>
      <c r="C310" s="15">
        <v>3</v>
      </c>
      <c r="D310" s="14">
        <f t="shared" si="94"/>
        <v>6</v>
      </c>
      <c r="E310" s="1" t="s">
        <v>2777</v>
      </c>
      <c r="F310" s="1" t="s">
        <v>2819</v>
      </c>
      <c r="G310" s="1" t="s">
        <v>2779</v>
      </c>
      <c r="H310" s="1" t="s">
        <v>2779</v>
      </c>
      <c r="I310" s="1" t="s">
        <v>2780</v>
      </c>
      <c r="J310" s="16" t="s">
        <v>2827</v>
      </c>
      <c r="K310" t="s">
        <v>162</v>
      </c>
      <c r="L310" t="s">
        <v>163</v>
      </c>
      <c r="M310" t="s">
        <v>163</v>
      </c>
      <c r="N310" t="s">
        <v>163</v>
      </c>
      <c r="O310" s="6" t="s">
        <v>631</v>
      </c>
      <c r="P310">
        <v>0</v>
      </c>
      <c r="Q310" s="24">
        <v>26.5</v>
      </c>
      <c r="R310" s="25">
        <v>31.5</v>
      </c>
      <c r="S310" s="26">
        <v>30.5</v>
      </c>
      <c r="Y310">
        <v>8</v>
      </c>
      <c r="Z310">
        <v>7</v>
      </c>
      <c r="AA310" s="3">
        <v>20</v>
      </c>
      <c r="AB310" s="3">
        <v>6</v>
      </c>
      <c r="AC310">
        <v>155</v>
      </c>
      <c r="AD310" s="9">
        <f t="shared" si="78"/>
        <v>12753.083333333334</v>
      </c>
      <c r="AE310">
        <f t="shared" si="80"/>
        <v>2555730</v>
      </c>
      <c r="AF310" s="2">
        <f t="shared" si="85"/>
        <v>16.7</v>
      </c>
      <c r="AG310" t="str">
        <f t="shared" si="86"/>
        <v>212小时</v>
      </c>
      <c r="AH310">
        <f t="shared" si="87"/>
        <v>51</v>
      </c>
      <c r="AI310">
        <f t="shared" si="88"/>
        <v>9</v>
      </c>
      <c r="AJ310">
        <f t="shared" si="81"/>
        <v>33.6</v>
      </c>
      <c r="AK310">
        <f t="shared" si="89"/>
        <v>17</v>
      </c>
      <c r="AL310">
        <f t="shared" si="82"/>
        <v>16.7</v>
      </c>
      <c r="AM310" s="2">
        <f t="shared" si="90"/>
        <v>9</v>
      </c>
      <c r="AX310">
        <v>307</v>
      </c>
      <c r="AZ310" s="3"/>
      <c r="BB310" s="2">
        <f t="shared" si="79"/>
        <v>115</v>
      </c>
      <c r="BC310">
        <f t="shared" si="84"/>
        <v>6.6812208915502325</v>
      </c>
      <c r="BD310" s="2">
        <f t="shared" si="91"/>
        <v>33.6</v>
      </c>
      <c r="BE310">
        <f t="shared" si="92"/>
        <v>16.7</v>
      </c>
      <c r="BF310">
        <f t="shared" si="93"/>
        <v>96192</v>
      </c>
    </row>
    <row r="311" spans="1:58" ht="14.25" x14ac:dyDescent="0.2">
      <c r="A311" s="11">
        <v>10128</v>
      </c>
      <c r="B311" s="13">
        <v>3</v>
      </c>
      <c r="C311" s="15">
        <v>3</v>
      </c>
      <c r="D311" s="14">
        <f t="shared" si="94"/>
        <v>6</v>
      </c>
      <c r="E311" s="1" t="s">
        <v>2777</v>
      </c>
      <c r="F311" s="1" t="s">
        <v>2820</v>
      </c>
      <c r="G311" s="1" t="s">
        <v>2779</v>
      </c>
      <c r="H311" s="1" t="s">
        <v>2779</v>
      </c>
      <c r="I311" s="1" t="s">
        <v>2780</v>
      </c>
      <c r="J311" s="16" t="s">
        <v>2827</v>
      </c>
      <c r="K311" t="s">
        <v>177</v>
      </c>
      <c r="L311" t="s">
        <v>163</v>
      </c>
      <c r="M311" t="s">
        <v>163</v>
      </c>
      <c r="N311" t="s">
        <v>163</v>
      </c>
      <c r="O311" s="6" t="s">
        <v>633</v>
      </c>
      <c r="P311">
        <v>0</v>
      </c>
      <c r="Q311" s="24">
        <v>26.5</v>
      </c>
      <c r="R311" s="25">
        <v>31.5</v>
      </c>
      <c r="S311" s="26">
        <v>30.5</v>
      </c>
      <c r="Y311">
        <v>8</v>
      </c>
      <c r="Z311">
        <v>8</v>
      </c>
      <c r="AA311" s="3">
        <v>20</v>
      </c>
      <c r="AB311" s="3">
        <v>6</v>
      </c>
      <c r="AC311">
        <v>155</v>
      </c>
      <c r="AD311" s="9">
        <f t="shared" si="78"/>
        <v>12753.083333333334</v>
      </c>
      <c r="AE311">
        <f t="shared" si="80"/>
        <v>2555730</v>
      </c>
      <c r="AF311" s="2">
        <f t="shared" si="85"/>
        <v>16.7</v>
      </c>
      <c r="AG311" t="str">
        <f t="shared" si="86"/>
        <v>212小时</v>
      </c>
      <c r="AH311">
        <f t="shared" si="87"/>
        <v>51</v>
      </c>
      <c r="AI311">
        <f t="shared" si="88"/>
        <v>9</v>
      </c>
      <c r="AJ311">
        <f t="shared" si="81"/>
        <v>33.6</v>
      </c>
      <c r="AK311">
        <f t="shared" si="89"/>
        <v>17</v>
      </c>
      <c r="AL311">
        <f t="shared" si="82"/>
        <v>16.7</v>
      </c>
      <c r="AM311" s="2">
        <f t="shared" si="90"/>
        <v>9</v>
      </c>
      <c r="AX311">
        <v>308</v>
      </c>
      <c r="AZ311" s="3"/>
      <c r="BB311" s="2">
        <f t="shared" si="79"/>
        <v>115</v>
      </c>
      <c r="BC311">
        <f t="shared" si="84"/>
        <v>6.6812208915502325</v>
      </c>
      <c r="BD311" s="2">
        <f t="shared" si="91"/>
        <v>33.6</v>
      </c>
      <c r="BE311">
        <f t="shared" si="92"/>
        <v>16.7</v>
      </c>
      <c r="BF311">
        <f t="shared" si="93"/>
        <v>96192</v>
      </c>
    </row>
    <row r="312" spans="1:58" ht="14.25" x14ac:dyDescent="0.2">
      <c r="A312" s="11">
        <v>10129</v>
      </c>
      <c r="B312" s="13">
        <v>3</v>
      </c>
      <c r="C312" s="15">
        <v>3</v>
      </c>
      <c r="D312" s="14">
        <f t="shared" si="94"/>
        <v>6</v>
      </c>
      <c r="E312" s="1" t="s">
        <v>2777</v>
      </c>
      <c r="F312" s="1" t="s">
        <v>2821</v>
      </c>
      <c r="G312" s="1" t="s">
        <v>2779</v>
      </c>
      <c r="H312" s="1" t="s">
        <v>2779</v>
      </c>
      <c r="I312" s="1" t="s">
        <v>2780</v>
      </c>
      <c r="J312" s="16" t="s">
        <v>2827</v>
      </c>
      <c r="K312" t="s">
        <v>174</v>
      </c>
      <c r="L312" t="s">
        <v>163</v>
      </c>
      <c r="M312" t="s">
        <v>163</v>
      </c>
      <c r="N312" t="s">
        <v>163</v>
      </c>
      <c r="O312" s="6" t="s">
        <v>635</v>
      </c>
      <c r="P312">
        <v>0</v>
      </c>
      <c r="Q312" s="24">
        <v>26.5</v>
      </c>
      <c r="R312" s="25">
        <v>31.5</v>
      </c>
      <c r="S312" s="26">
        <v>30.5</v>
      </c>
      <c r="Y312">
        <v>8</v>
      </c>
      <c r="Z312">
        <v>9</v>
      </c>
      <c r="AA312" s="3">
        <v>20</v>
      </c>
      <c r="AB312" s="3">
        <v>6</v>
      </c>
      <c r="AC312">
        <v>155</v>
      </c>
      <c r="AD312" s="9">
        <f t="shared" si="78"/>
        <v>12753.083333333334</v>
      </c>
      <c r="AE312">
        <f t="shared" si="80"/>
        <v>2555730</v>
      </c>
      <c r="AF312" s="2">
        <f t="shared" si="85"/>
        <v>16.7</v>
      </c>
      <c r="AG312" t="str">
        <f t="shared" si="86"/>
        <v>212小时</v>
      </c>
      <c r="AH312">
        <f t="shared" si="87"/>
        <v>51</v>
      </c>
      <c r="AI312">
        <f t="shared" si="88"/>
        <v>9</v>
      </c>
      <c r="AJ312">
        <f t="shared" si="81"/>
        <v>33.6</v>
      </c>
      <c r="AK312">
        <f t="shared" si="89"/>
        <v>17</v>
      </c>
      <c r="AL312">
        <f t="shared" si="82"/>
        <v>16.7</v>
      </c>
      <c r="AM312" s="2">
        <f t="shared" si="90"/>
        <v>9</v>
      </c>
      <c r="AX312">
        <v>309</v>
      </c>
      <c r="AZ312" s="3"/>
      <c r="BB312" s="2">
        <f t="shared" si="79"/>
        <v>115</v>
      </c>
      <c r="BC312">
        <f t="shared" si="84"/>
        <v>6.6812208915502325</v>
      </c>
      <c r="BD312" s="2">
        <f t="shared" si="91"/>
        <v>33.6</v>
      </c>
      <c r="BE312">
        <f t="shared" si="92"/>
        <v>16.7</v>
      </c>
      <c r="BF312">
        <f t="shared" si="93"/>
        <v>96192</v>
      </c>
    </row>
    <row r="313" spans="1:58" ht="14.25" x14ac:dyDescent="0.2">
      <c r="A313" s="11">
        <v>10130</v>
      </c>
      <c r="B313" s="13">
        <v>3</v>
      </c>
      <c r="C313" s="15">
        <v>3</v>
      </c>
      <c r="D313" s="14">
        <f t="shared" si="94"/>
        <v>6</v>
      </c>
      <c r="E313" s="1" t="s">
        <v>2785</v>
      </c>
      <c r="F313" s="1" t="s">
        <v>2786</v>
      </c>
      <c r="G313" s="1" t="s">
        <v>2830</v>
      </c>
      <c r="H313" s="1" t="s">
        <v>2829</v>
      </c>
      <c r="I313" s="1" t="s">
        <v>2697</v>
      </c>
      <c r="J313" s="16" t="s">
        <v>2857</v>
      </c>
      <c r="K313" t="s">
        <v>166</v>
      </c>
      <c r="L313" t="s">
        <v>163</v>
      </c>
      <c r="M313" t="s">
        <v>163</v>
      </c>
      <c r="N313" t="s">
        <v>163</v>
      </c>
      <c r="O313" s="6" t="s">
        <v>635</v>
      </c>
      <c r="P313">
        <v>0</v>
      </c>
      <c r="Q313" s="24">
        <v>26.5</v>
      </c>
      <c r="R313" s="25">
        <v>31.5</v>
      </c>
      <c r="S313" s="26">
        <v>30.5</v>
      </c>
      <c r="Y313">
        <v>8</v>
      </c>
      <c r="Z313">
        <v>10</v>
      </c>
      <c r="AA313" s="3">
        <v>25</v>
      </c>
      <c r="AB313" s="3">
        <v>6</v>
      </c>
      <c r="AC313">
        <v>155</v>
      </c>
      <c r="AD313" s="9">
        <f t="shared" si="78"/>
        <v>12753.083333333334</v>
      </c>
      <c r="AE313">
        <f t="shared" si="80"/>
        <v>2555730</v>
      </c>
      <c r="AF313" s="2">
        <f t="shared" si="85"/>
        <v>16.7</v>
      </c>
      <c r="AG313" t="str">
        <f t="shared" si="86"/>
        <v>212小时</v>
      </c>
      <c r="AH313">
        <f t="shared" si="87"/>
        <v>51</v>
      </c>
      <c r="AI313">
        <f t="shared" si="88"/>
        <v>9</v>
      </c>
      <c r="AJ313">
        <f t="shared" si="81"/>
        <v>33.6</v>
      </c>
      <c r="AK313">
        <f t="shared" si="89"/>
        <v>17</v>
      </c>
      <c r="AL313">
        <f t="shared" si="82"/>
        <v>16.7</v>
      </c>
      <c r="AM313" s="2">
        <f t="shared" si="90"/>
        <v>9</v>
      </c>
      <c r="AX313">
        <v>310</v>
      </c>
      <c r="AZ313" s="3"/>
      <c r="BB313" s="2">
        <f t="shared" si="79"/>
        <v>120</v>
      </c>
      <c r="BC313">
        <f t="shared" si="84"/>
        <v>8.5343479707252161</v>
      </c>
      <c r="BD313" s="2">
        <f t="shared" si="91"/>
        <v>33.6</v>
      </c>
      <c r="BE313">
        <f t="shared" si="92"/>
        <v>16.7</v>
      </c>
      <c r="BF313">
        <f t="shared" si="93"/>
        <v>96192</v>
      </c>
    </row>
    <row r="314" spans="1:58" ht="14.25" x14ac:dyDescent="0.2">
      <c r="A314" s="11">
        <v>10131</v>
      </c>
      <c r="B314" s="13">
        <v>3</v>
      </c>
      <c r="C314" s="15">
        <v>3</v>
      </c>
      <c r="D314" s="14">
        <f t="shared" si="94"/>
        <v>6</v>
      </c>
      <c r="E314" s="1" t="s">
        <v>2777</v>
      </c>
      <c r="F314" s="1" t="s">
        <v>2817</v>
      </c>
      <c r="G314" s="1" t="s">
        <v>2779</v>
      </c>
      <c r="H314" s="1" t="s">
        <v>2779</v>
      </c>
      <c r="I314" s="1" t="s">
        <v>2780</v>
      </c>
      <c r="J314" s="16" t="s">
        <v>2827</v>
      </c>
      <c r="K314" t="s">
        <v>168</v>
      </c>
      <c r="L314" t="s">
        <v>163</v>
      </c>
      <c r="M314" t="s">
        <v>163</v>
      </c>
      <c r="N314" t="s">
        <v>163</v>
      </c>
      <c r="O314" s="6" t="s">
        <v>637</v>
      </c>
      <c r="P314">
        <v>0</v>
      </c>
      <c r="Q314" s="24">
        <v>26.8</v>
      </c>
      <c r="R314" s="25">
        <v>32</v>
      </c>
      <c r="S314" s="26">
        <v>30.8</v>
      </c>
      <c r="Y314">
        <v>8</v>
      </c>
      <c r="Z314">
        <v>11</v>
      </c>
      <c r="AA314" s="3">
        <v>20</v>
      </c>
      <c r="AB314" s="3">
        <v>6</v>
      </c>
      <c r="AC314">
        <v>155</v>
      </c>
      <c r="AD314" s="9">
        <f t="shared" si="78"/>
        <v>12528.083333333334</v>
      </c>
      <c r="AE314">
        <f t="shared" si="80"/>
        <v>2555730</v>
      </c>
      <c r="AF314" s="2">
        <f t="shared" si="85"/>
        <v>17</v>
      </c>
      <c r="AG314" t="str">
        <f t="shared" si="86"/>
        <v>208小时</v>
      </c>
      <c r="AH314">
        <f t="shared" si="87"/>
        <v>51</v>
      </c>
      <c r="AI314">
        <f t="shared" si="88"/>
        <v>9</v>
      </c>
      <c r="AJ314">
        <f t="shared" si="81"/>
        <v>34</v>
      </c>
      <c r="AK314">
        <f t="shared" si="89"/>
        <v>17</v>
      </c>
      <c r="AL314">
        <f t="shared" si="82"/>
        <v>17</v>
      </c>
      <c r="AM314" s="2">
        <f t="shared" si="90"/>
        <v>9</v>
      </c>
      <c r="AX314">
        <v>311</v>
      </c>
      <c r="AZ314" s="3"/>
      <c r="BB314" s="2">
        <f t="shared" si="79"/>
        <v>120</v>
      </c>
      <c r="BC314">
        <f t="shared" si="84"/>
        <v>8.3837418300653592</v>
      </c>
      <c r="BD314" s="2">
        <f t="shared" si="91"/>
        <v>34</v>
      </c>
      <c r="BE314">
        <f t="shared" si="92"/>
        <v>17</v>
      </c>
      <c r="BF314">
        <f t="shared" si="93"/>
        <v>97920</v>
      </c>
    </row>
    <row r="315" spans="1:58" ht="14.25" x14ac:dyDescent="0.2">
      <c r="A315" s="11">
        <v>10132</v>
      </c>
      <c r="B315" s="13">
        <v>3</v>
      </c>
      <c r="C315" s="15">
        <v>3</v>
      </c>
      <c r="D315" s="14">
        <f t="shared" si="94"/>
        <v>6</v>
      </c>
      <c r="E315" s="1" t="s">
        <v>2777</v>
      </c>
      <c r="F315" s="1" t="s">
        <v>2819</v>
      </c>
      <c r="G315" s="1" t="s">
        <v>2779</v>
      </c>
      <c r="H315" s="1" t="s">
        <v>2779</v>
      </c>
      <c r="I315" s="1" t="s">
        <v>2780</v>
      </c>
      <c r="J315" s="16" t="s">
        <v>2827</v>
      </c>
      <c r="K315" t="s">
        <v>175</v>
      </c>
      <c r="L315" t="s">
        <v>164</v>
      </c>
      <c r="M315" t="s">
        <v>163</v>
      </c>
      <c r="N315" t="s">
        <v>167</v>
      </c>
      <c r="O315" s="6" t="s">
        <v>639</v>
      </c>
      <c r="P315">
        <v>0</v>
      </c>
      <c r="Q315" s="24">
        <v>26.8</v>
      </c>
      <c r="R315" s="25">
        <v>32</v>
      </c>
      <c r="S315" s="26">
        <v>30.8</v>
      </c>
      <c r="Y315">
        <v>8</v>
      </c>
      <c r="Z315">
        <v>12</v>
      </c>
      <c r="AA315" s="3">
        <v>20</v>
      </c>
      <c r="AB315" s="3">
        <v>6</v>
      </c>
      <c r="AC315">
        <v>155</v>
      </c>
      <c r="AD315" s="9">
        <f t="shared" si="78"/>
        <v>12528.083333333334</v>
      </c>
      <c r="AE315">
        <f t="shared" si="80"/>
        <v>2555730</v>
      </c>
      <c r="AF315" s="2">
        <f t="shared" si="85"/>
        <v>17</v>
      </c>
      <c r="AG315" t="str">
        <f t="shared" si="86"/>
        <v>208小时</v>
      </c>
      <c r="AH315">
        <f t="shared" si="87"/>
        <v>51</v>
      </c>
      <c r="AI315">
        <f t="shared" si="88"/>
        <v>9</v>
      </c>
      <c r="AJ315">
        <f t="shared" si="81"/>
        <v>34</v>
      </c>
      <c r="AK315">
        <f t="shared" si="89"/>
        <v>17</v>
      </c>
      <c r="AL315">
        <f t="shared" si="82"/>
        <v>17</v>
      </c>
      <c r="AM315" s="2">
        <f t="shared" si="90"/>
        <v>9</v>
      </c>
      <c r="AX315">
        <v>312</v>
      </c>
      <c r="AZ315" s="3"/>
      <c r="BB315" s="2">
        <f t="shared" si="79"/>
        <v>120</v>
      </c>
      <c r="BC315">
        <f t="shared" si="84"/>
        <v>8.3837418300653592</v>
      </c>
      <c r="BD315" s="2">
        <f t="shared" si="91"/>
        <v>34</v>
      </c>
      <c r="BE315">
        <f t="shared" si="92"/>
        <v>17</v>
      </c>
      <c r="BF315">
        <f t="shared" si="93"/>
        <v>97920</v>
      </c>
    </row>
    <row r="316" spans="1:58" ht="14.25" x14ac:dyDescent="0.2">
      <c r="A316" s="11">
        <v>10133</v>
      </c>
      <c r="B316" s="13">
        <v>3</v>
      </c>
      <c r="C316" s="15">
        <v>3</v>
      </c>
      <c r="D316" s="14">
        <f t="shared" si="94"/>
        <v>6</v>
      </c>
      <c r="E316" s="1" t="s">
        <v>2777</v>
      </c>
      <c r="F316" s="1" t="s">
        <v>2820</v>
      </c>
      <c r="G316" s="1" t="s">
        <v>2779</v>
      </c>
      <c r="H316" s="1" t="s">
        <v>2779</v>
      </c>
      <c r="I316" s="1" t="s">
        <v>2780</v>
      </c>
      <c r="J316" s="16" t="s">
        <v>2827</v>
      </c>
      <c r="K316" t="s">
        <v>179</v>
      </c>
      <c r="L316" t="s">
        <v>163</v>
      </c>
      <c r="M316" t="s">
        <v>163</v>
      </c>
      <c r="N316" t="s">
        <v>163</v>
      </c>
      <c r="O316" s="6" t="s">
        <v>641</v>
      </c>
      <c r="P316">
        <v>0</v>
      </c>
      <c r="Q316" s="24">
        <v>26.8</v>
      </c>
      <c r="R316" s="25">
        <v>32</v>
      </c>
      <c r="S316" s="26">
        <v>30.8</v>
      </c>
      <c r="Y316">
        <v>8</v>
      </c>
      <c r="Z316">
        <v>13</v>
      </c>
      <c r="AA316" s="3">
        <v>20</v>
      </c>
      <c r="AB316" s="3">
        <v>6</v>
      </c>
      <c r="AC316">
        <v>155</v>
      </c>
      <c r="AD316" s="9">
        <f t="shared" si="78"/>
        <v>12528.083333333334</v>
      </c>
      <c r="AE316">
        <f t="shared" si="80"/>
        <v>2555730</v>
      </c>
      <c r="AF316" s="2">
        <f t="shared" si="85"/>
        <v>17</v>
      </c>
      <c r="AG316" t="str">
        <f t="shared" si="86"/>
        <v>208小时</v>
      </c>
      <c r="AH316">
        <f t="shared" si="87"/>
        <v>51</v>
      </c>
      <c r="AI316">
        <f t="shared" si="88"/>
        <v>9</v>
      </c>
      <c r="AJ316">
        <f t="shared" si="81"/>
        <v>34</v>
      </c>
      <c r="AK316">
        <f t="shared" si="89"/>
        <v>17</v>
      </c>
      <c r="AL316">
        <f t="shared" si="82"/>
        <v>17</v>
      </c>
      <c r="AM316" s="2">
        <f t="shared" si="90"/>
        <v>9</v>
      </c>
      <c r="AX316">
        <v>313</v>
      </c>
      <c r="AZ316" s="3"/>
      <c r="BB316" s="2">
        <f t="shared" si="79"/>
        <v>120</v>
      </c>
      <c r="BC316">
        <f t="shared" si="84"/>
        <v>8.3837418300653592</v>
      </c>
      <c r="BD316" s="2">
        <f t="shared" si="91"/>
        <v>34</v>
      </c>
      <c r="BE316">
        <f t="shared" si="92"/>
        <v>17</v>
      </c>
      <c r="BF316">
        <f t="shared" si="93"/>
        <v>97920</v>
      </c>
    </row>
    <row r="317" spans="1:58" ht="14.25" x14ac:dyDescent="0.2">
      <c r="A317" s="11">
        <v>10134</v>
      </c>
      <c r="B317" s="13">
        <v>3</v>
      </c>
      <c r="C317" s="15">
        <v>3</v>
      </c>
      <c r="D317" s="14">
        <f t="shared" si="94"/>
        <v>6</v>
      </c>
      <c r="E317" s="1" t="s">
        <v>2777</v>
      </c>
      <c r="F317" s="1" t="s">
        <v>2821</v>
      </c>
      <c r="G317" s="1" t="s">
        <v>2779</v>
      </c>
      <c r="H317" s="1" t="s">
        <v>2779</v>
      </c>
      <c r="I317" s="1" t="s">
        <v>2780</v>
      </c>
      <c r="J317" s="16" t="s">
        <v>2827</v>
      </c>
      <c r="K317" t="s">
        <v>177</v>
      </c>
      <c r="L317" t="s">
        <v>163</v>
      </c>
      <c r="M317" t="s">
        <v>163</v>
      </c>
      <c r="N317" t="s">
        <v>163</v>
      </c>
      <c r="O317" s="6" t="s">
        <v>641</v>
      </c>
      <c r="P317">
        <v>0</v>
      </c>
      <c r="Q317" s="24">
        <v>26.8</v>
      </c>
      <c r="R317" s="25">
        <v>32</v>
      </c>
      <c r="S317" s="26">
        <v>30.8</v>
      </c>
      <c r="Y317">
        <v>8</v>
      </c>
      <c r="Z317">
        <v>14</v>
      </c>
      <c r="AA317" s="3">
        <v>20</v>
      </c>
      <c r="AB317" s="3">
        <v>6</v>
      </c>
      <c r="AC317">
        <v>155</v>
      </c>
      <c r="AD317" s="9">
        <f t="shared" si="78"/>
        <v>12528.083333333334</v>
      </c>
      <c r="AE317">
        <f t="shared" si="80"/>
        <v>2555730</v>
      </c>
      <c r="AF317" s="2">
        <f t="shared" si="85"/>
        <v>17</v>
      </c>
      <c r="AG317" t="str">
        <f t="shared" si="86"/>
        <v>208小时</v>
      </c>
      <c r="AH317">
        <f t="shared" si="87"/>
        <v>51</v>
      </c>
      <c r="AI317">
        <f t="shared" si="88"/>
        <v>9</v>
      </c>
      <c r="AJ317">
        <f t="shared" si="81"/>
        <v>34</v>
      </c>
      <c r="AK317">
        <f t="shared" si="89"/>
        <v>17</v>
      </c>
      <c r="AL317">
        <f t="shared" si="82"/>
        <v>17</v>
      </c>
      <c r="AM317" s="2">
        <f t="shared" si="90"/>
        <v>9</v>
      </c>
      <c r="AX317">
        <v>314</v>
      </c>
      <c r="AZ317" s="3"/>
      <c r="BB317" s="2">
        <f t="shared" si="79"/>
        <v>120</v>
      </c>
      <c r="BC317">
        <f t="shared" si="84"/>
        <v>8.3837418300653592</v>
      </c>
      <c r="BD317" s="2">
        <f t="shared" si="91"/>
        <v>34</v>
      </c>
      <c r="BE317">
        <f t="shared" si="92"/>
        <v>17</v>
      </c>
      <c r="BF317">
        <f t="shared" si="93"/>
        <v>97920</v>
      </c>
    </row>
    <row r="318" spans="1:58" ht="14.25" x14ac:dyDescent="0.2">
      <c r="A318" s="11">
        <v>10135</v>
      </c>
      <c r="B318" s="13">
        <v>3</v>
      </c>
      <c r="C318" s="15">
        <v>3</v>
      </c>
      <c r="D318" s="14">
        <f t="shared" si="94"/>
        <v>6</v>
      </c>
      <c r="E318" s="1" t="s">
        <v>2785</v>
      </c>
      <c r="F318" s="1" t="s">
        <v>2786</v>
      </c>
      <c r="G318" s="1" t="s">
        <v>2831</v>
      </c>
      <c r="H318" s="1" t="s">
        <v>2829</v>
      </c>
      <c r="I318" s="1" t="s">
        <v>2697</v>
      </c>
      <c r="J318" s="16" t="s">
        <v>2857</v>
      </c>
      <c r="K318" t="s">
        <v>174</v>
      </c>
      <c r="L318" t="s">
        <v>163</v>
      </c>
      <c r="M318" t="s">
        <v>163</v>
      </c>
      <c r="N318" t="s">
        <v>163</v>
      </c>
      <c r="O318" s="6" t="s">
        <v>643</v>
      </c>
      <c r="P318">
        <v>0</v>
      </c>
      <c r="Q318" s="24">
        <v>26.8</v>
      </c>
      <c r="R318" s="25">
        <v>32</v>
      </c>
      <c r="S318" s="26">
        <v>30.8</v>
      </c>
      <c r="Y318">
        <v>8</v>
      </c>
      <c r="Z318">
        <v>15</v>
      </c>
      <c r="AA318" s="3">
        <v>25</v>
      </c>
      <c r="AB318" s="3">
        <v>6</v>
      </c>
      <c r="AC318">
        <v>155</v>
      </c>
      <c r="AD318" s="9">
        <f t="shared" si="78"/>
        <v>12528.083333333334</v>
      </c>
      <c r="AE318">
        <f t="shared" si="80"/>
        <v>2555730</v>
      </c>
      <c r="AF318" s="2">
        <f t="shared" si="85"/>
        <v>17</v>
      </c>
      <c r="AG318" t="str">
        <f t="shared" si="86"/>
        <v>208小时</v>
      </c>
      <c r="AH318">
        <f t="shared" si="87"/>
        <v>51</v>
      </c>
      <c r="AI318">
        <f t="shared" si="88"/>
        <v>9</v>
      </c>
      <c r="AJ318">
        <f t="shared" si="81"/>
        <v>34</v>
      </c>
      <c r="AK318">
        <f t="shared" si="89"/>
        <v>17</v>
      </c>
      <c r="AL318">
        <f t="shared" si="82"/>
        <v>17</v>
      </c>
      <c r="AM318" s="2">
        <f t="shared" si="90"/>
        <v>9</v>
      </c>
      <c r="AX318">
        <v>315</v>
      </c>
      <c r="AZ318" s="3"/>
      <c r="BB318" s="2">
        <f t="shared" si="79"/>
        <v>120</v>
      </c>
      <c r="BC318">
        <f t="shared" si="84"/>
        <v>8.3837418300653592</v>
      </c>
      <c r="BD318" s="2">
        <f t="shared" si="91"/>
        <v>34</v>
      </c>
      <c r="BE318">
        <f t="shared" si="92"/>
        <v>17</v>
      </c>
      <c r="BF318">
        <f t="shared" si="93"/>
        <v>97920</v>
      </c>
    </row>
    <row r="319" spans="1:58" ht="14.25" x14ac:dyDescent="0.2">
      <c r="A319" s="11">
        <v>10136</v>
      </c>
      <c r="B319" s="13">
        <v>3</v>
      </c>
      <c r="C319" s="15">
        <v>3</v>
      </c>
      <c r="D319" s="14">
        <f t="shared" si="94"/>
        <v>6</v>
      </c>
      <c r="E319" s="1" t="s">
        <v>2777</v>
      </c>
      <c r="F319" s="1" t="s">
        <v>2817</v>
      </c>
      <c r="G319" s="1" t="s">
        <v>2779</v>
      </c>
      <c r="H319" s="1" t="s">
        <v>2779</v>
      </c>
      <c r="I319" s="1" t="s">
        <v>2780</v>
      </c>
      <c r="J319" s="16" t="s">
        <v>2827</v>
      </c>
      <c r="K319" t="s">
        <v>182</v>
      </c>
      <c r="L319" t="s">
        <v>163</v>
      </c>
      <c r="M319" t="s">
        <v>163</v>
      </c>
      <c r="N319" t="s">
        <v>163</v>
      </c>
      <c r="O319" s="6" t="s">
        <v>645</v>
      </c>
      <c r="P319">
        <v>0</v>
      </c>
      <c r="Q319" s="24">
        <v>27.2</v>
      </c>
      <c r="R319" s="25">
        <v>32.5</v>
      </c>
      <c r="S319" s="26">
        <v>31</v>
      </c>
      <c r="Y319">
        <v>8</v>
      </c>
      <c r="Z319">
        <v>16</v>
      </c>
      <c r="AA319" s="3">
        <v>20</v>
      </c>
      <c r="AB319" s="3">
        <v>6</v>
      </c>
      <c r="AC319">
        <v>155</v>
      </c>
      <c r="AD319" s="9">
        <f t="shared" si="78"/>
        <v>12382.333333333334</v>
      </c>
      <c r="AE319">
        <f t="shared" si="80"/>
        <v>2555730</v>
      </c>
      <c r="AF319" s="2">
        <f t="shared" si="85"/>
        <v>17.2</v>
      </c>
      <c r="AG319" t="str">
        <f t="shared" si="86"/>
        <v>206小时</v>
      </c>
      <c r="AH319">
        <f t="shared" si="87"/>
        <v>52</v>
      </c>
      <c r="AI319">
        <f t="shared" si="88"/>
        <v>9</v>
      </c>
      <c r="AJ319">
        <f t="shared" si="81"/>
        <v>34.299999999999997</v>
      </c>
      <c r="AK319">
        <f t="shared" si="89"/>
        <v>18</v>
      </c>
      <c r="AL319">
        <f t="shared" si="82"/>
        <v>17.2</v>
      </c>
      <c r="AM319" s="2">
        <f t="shared" si="90"/>
        <v>9</v>
      </c>
      <c r="AX319">
        <v>316</v>
      </c>
      <c r="AZ319" s="3"/>
      <c r="BB319" s="2">
        <f t="shared" si="79"/>
        <v>120</v>
      </c>
      <c r="BC319">
        <f t="shared" si="84"/>
        <v>8.2862564599483211</v>
      </c>
      <c r="BD319" s="2">
        <f t="shared" si="91"/>
        <v>34.299999999999997</v>
      </c>
      <c r="BE319">
        <f t="shared" si="92"/>
        <v>17.2</v>
      </c>
      <c r="BF319">
        <f t="shared" si="93"/>
        <v>99072</v>
      </c>
    </row>
    <row r="320" spans="1:58" ht="14.25" x14ac:dyDescent="0.2">
      <c r="A320" s="11">
        <v>10137</v>
      </c>
      <c r="B320" s="13">
        <v>3</v>
      </c>
      <c r="C320" s="15">
        <v>3</v>
      </c>
      <c r="D320" s="14">
        <f t="shared" si="94"/>
        <v>6</v>
      </c>
      <c r="E320" s="1" t="s">
        <v>2777</v>
      </c>
      <c r="F320" s="1" t="s">
        <v>2819</v>
      </c>
      <c r="G320" s="1" t="s">
        <v>2779</v>
      </c>
      <c r="H320" s="1" t="s">
        <v>2779</v>
      </c>
      <c r="I320" s="1" t="s">
        <v>2780</v>
      </c>
      <c r="J320" s="16" t="s">
        <v>2827</v>
      </c>
      <c r="K320" t="s">
        <v>162</v>
      </c>
      <c r="L320" t="s">
        <v>163</v>
      </c>
      <c r="M320" t="s">
        <v>163</v>
      </c>
      <c r="N320" t="s">
        <v>163</v>
      </c>
      <c r="O320" s="6" t="s">
        <v>645</v>
      </c>
      <c r="P320">
        <v>0</v>
      </c>
      <c r="Q320" s="24">
        <v>27.2</v>
      </c>
      <c r="R320" s="25">
        <v>32.5</v>
      </c>
      <c r="S320" s="26">
        <v>31</v>
      </c>
      <c r="Y320">
        <v>8</v>
      </c>
      <c r="Z320">
        <v>17</v>
      </c>
      <c r="AA320" s="3">
        <v>20</v>
      </c>
      <c r="AB320" s="3">
        <v>6</v>
      </c>
      <c r="AC320">
        <v>155</v>
      </c>
      <c r="AD320" s="9">
        <f t="shared" si="78"/>
        <v>12382.333333333334</v>
      </c>
      <c r="AE320">
        <f t="shared" si="80"/>
        <v>2555730</v>
      </c>
      <c r="AF320" s="2">
        <f t="shared" si="85"/>
        <v>17.2</v>
      </c>
      <c r="AG320" t="str">
        <f t="shared" si="86"/>
        <v>206小时</v>
      </c>
      <c r="AH320">
        <f t="shared" si="87"/>
        <v>52</v>
      </c>
      <c r="AI320">
        <f t="shared" si="88"/>
        <v>9</v>
      </c>
      <c r="AJ320">
        <f t="shared" si="81"/>
        <v>34.299999999999997</v>
      </c>
      <c r="AK320">
        <f t="shared" si="89"/>
        <v>18</v>
      </c>
      <c r="AL320">
        <f t="shared" si="82"/>
        <v>17.2</v>
      </c>
      <c r="AM320" s="2">
        <f t="shared" si="90"/>
        <v>9</v>
      </c>
      <c r="AX320">
        <v>317</v>
      </c>
      <c r="AZ320" s="3"/>
      <c r="BB320" s="2">
        <f t="shared" si="79"/>
        <v>120</v>
      </c>
      <c r="BC320">
        <f t="shared" si="84"/>
        <v>8.2862564599483211</v>
      </c>
      <c r="BD320" s="2">
        <f t="shared" si="91"/>
        <v>34.299999999999997</v>
      </c>
      <c r="BE320">
        <f t="shared" si="92"/>
        <v>17.2</v>
      </c>
      <c r="BF320">
        <f t="shared" si="93"/>
        <v>99072</v>
      </c>
    </row>
    <row r="321" spans="1:58" ht="14.25" x14ac:dyDescent="0.2">
      <c r="A321" s="11">
        <v>10138</v>
      </c>
      <c r="B321" s="13">
        <v>3</v>
      </c>
      <c r="C321" s="15">
        <v>3</v>
      </c>
      <c r="D321" s="14">
        <f t="shared" si="94"/>
        <v>6</v>
      </c>
      <c r="E321" s="1" t="s">
        <v>2777</v>
      </c>
      <c r="F321" s="1" t="s">
        <v>2820</v>
      </c>
      <c r="G321" s="1" t="s">
        <v>2779</v>
      </c>
      <c r="H321" s="1" t="s">
        <v>2779</v>
      </c>
      <c r="I321" s="1" t="s">
        <v>2780</v>
      </c>
      <c r="J321" s="16" t="s">
        <v>2827</v>
      </c>
      <c r="K321" t="s">
        <v>177</v>
      </c>
      <c r="L321" t="s">
        <v>163</v>
      </c>
      <c r="M321" t="s">
        <v>163</v>
      </c>
      <c r="N321" t="s">
        <v>163</v>
      </c>
      <c r="O321" s="6" t="s">
        <v>647</v>
      </c>
      <c r="P321">
        <v>0</v>
      </c>
      <c r="Q321" s="24">
        <v>27.2</v>
      </c>
      <c r="R321" s="25">
        <v>32.5</v>
      </c>
      <c r="S321" s="26">
        <v>31</v>
      </c>
      <c r="Y321">
        <v>8</v>
      </c>
      <c r="Z321">
        <v>18</v>
      </c>
      <c r="AA321" s="3">
        <v>20</v>
      </c>
      <c r="AB321" s="3">
        <v>6</v>
      </c>
      <c r="AC321">
        <v>155</v>
      </c>
      <c r="AD321" s="9">
        <f t="shared" si="78"/>
        <v>12382.333333333334</v>
      </c>
      <c r="AE321">
        <f t="shared" si="80"/>
        <v>2555730</v>
      </c>
      <c r="AF321" s="2">
        <f t="shared" si="85"/>
        <v>17.2</v>
      </c>
      <c r="AG321" t="str">
        <f t="shared" si="86"/>
        <v>206小时</v>
      </c>
      <c r="AH321">
        <f t="shared" si="87"/>
        <v>52</v>
      </c>
      <c r="AI321">
        <f t="shared" si="88"/>
        <v>9</v>
      </c>
      <c r="AJ321">
        <f t="shared" si="81"/>
        <v>34.299999999999997</v>
      </c>
      <c r="AK321">
        <f t="shared" si="89"/>
        <v>18</v>
      </c>
      <c r="AL321">
        <f t="shared" si="82"/>
        <v>17.2</v>
      </c>
      <c r="AM321" s="2">
        <f t="shared" si="90"/>
        <v>9</v>
      </c>
      <c r="AX321">
        <v>318</v>
      </c>
      <c r="AZ321" s="3"/>
      <c r="BB321" s="2">
        <f t="shared" si="79"/>
        <v>120</v>
      </c>
      <c r="BC321">
        <f t="shared" si="84"/>
        <v>8.2862564599483211</v>
      </c>
      <c r="BD321" s="2">
        <f t="shared" si="91"/>
        <v>34.299999999999997</v>
      </c>
      <c r="BE321">
        <f t="shared" si="92"/>
        <v>17.2</v>
      </c>
      <c r="BF321">
        <f t="shared" si="93"/>
        <v>99072</v>
      </c>
    </row>
    <row r="322" spans="1:58" ht="14.25" x14ac:dyDescent="0.2">
      <c r="A322" s="11">
        <v>10139</v>
      </c>
      <c r="B322" s="13">
        <v>3</v>
      </c>
      <c r="C322" s="15">
        <v>3</v>
      </c>
      <c r="D322" s="14">
        <f t="shared" si="94"/>
        <v>6</v>
      </c>
      <c r="E322" s="1" t="s">
        <v>2777</v>
      </c>
      <c r="F322" s="1" t="s">
        <v>2821</v>
      </c>
      <c r="G322" s="1" t="s">
        <v>2779</v>
      </c>
      <c r="H322" s="1" t="s">
        <v>2779</v>
      </c>
      <c r="I322" s="1" t="s">
        <v>2780</v>
      </c>
      <c r="J322" s="16" t="s">
        <v>2827</v>
      </c>
      <c r="K322" t="s">
        <v>174</v>
      </c>
      <c r="L322" t="s">
        <v>163</v>
      </c>
      <c r="M322" t="s">
        <v>163</v>
      </c>
      <c r="N322" t="s">
        <v>163</v>
      </c>
      <c r="O322" s="6" t="s">
        <v>649</v>
      </c>
      <c r="P322">
        <v>0</v>
      </c>
      <c r="Q322" s="24">
        <v>27.2</v>
      </c>
      <c r="R322" s="25">
        <v>32.5</v>
      </c>
      <c r="S322" s="26">
        <v>31</v>
      </c>
      <c r="Y322">
        <v>8</v>
      </c>
      <c r="Z322">
        <v>19</v>
      </c>
      <c r="AA322" s="3">
        <v>20</v>
      </c>
      <c r="AB322" s="3">
        <v>6</v>
      </c>
      <c r="AC322">
        <v>155</v>
      </c>
      <c r="AD322" s="9">
        <f t="shared" ref="AD322:AD383" si="95">INT(AE322/AF322)/60*5</f>
        <v>12382.333333333334</v>
      </c>
      <c r="AE322">
        <f t="shared" si="80"/>
        <v>2555730</v>
      </c>
      <c r="AF322" s="2">
        <f t="shared" si="85"/>
        <v>17.2</v>
      </c>
      <c r="AG322" t="str">
        <f t="shared" si="86"/>
        <v>206小时</v>
      </c>
      <c r="AH322">
        <f t="shared" si="87"/>
        <v>52</v>
      </c>
      <c r="AI322">
        <f t="shared" si="88"/>
        <v>9</v>
      </c>
      <c r="AJ322">
        <f t="shared" si="81"/>
        <v>34.299999999999997</v>
      </c>
      <c r="AK322">
        <f t="shared" si="89"/>
        <v>18</v>
      </c>
      <c r="AL322">
        <f t="shared" si="82"/>
        <v>17.2</v>
      </c>
      <c r="AM322" s="2">
        <f t="shared" si="90"/>
        <v>9</v>
      </c>
      <c r="AX322">
        <v>319</v>
      </c>
      <c r="AZ322" s="3"/>
      <c r="BB322" s="2">
        <f t="shared" si="79"/>
        <v>120</v>
      </c>
      <c r="BC322">
        <f t="shared" si="84"/>
        <v>8.2862564599483211</v>
      </c>
      <c r="BD322" s="2">
        <f t="shared" si="91"/>
        <v>34.299999999999997</v>
      </c>
      <c r="BE322">
        <f t="shared" si="92"/>
        <v>17.2</v>
      </c>
      <c r="BF322">
        <f t="shared" si="93"/>
        <v>99072</v>
      </c>
    </row>
    <row r="323" spans="1:58" ht="14.25" x14ac:dyDescent="0.2">
      <c r="A323" s="11">
        <v>10140</v>
      </c>
      <c r="B323" s="13">
        <v>3</v>
      </c>
      <c r="C323" s="15">
        <v>3</v>
      </c>
      <c r="D323" s="14">
        <f t="shared" si="94"/>
        <v>6</v>
      </c>
      <c r="E323" s="1" t="s">
        <v>2785</v>
      </c>
      <c r="F323" s="1" t="s">
        <v>2786</v>
      </c>
      <c r="G323" s="1" t="s">
        <v>2832</v>
      </c>
      <c r="H323" s="1" t="s">
        <v>2829</v>
      </c>
      <c r="I323" s="1" t="s">
        <v>2697</v>
      </c>
      <c r="J323" s="16" t="s">
        <v>2857</v>
      </c>
      <c r="K323" t="s">
        <v>166</v>
      </c>
      <c r="L323" t="s">
        <v>163</v>
      </c>
      <c r="M323" t="s">
        <v>163</v>
      </c>
      <c r="N323" t="s">
        <v>163</v>
      </c>
      <c r="O323" s="6" t="s">
        <v>649</v>
      </c>
      <c r="P323">
        <v>0</v>
      </c>
      <c r="Q323" s="24">
        <v>27.2</v>
      </c>
      <c r="R323" s="25">
        <v>32.5</v>
      </c>
      <c r="S323" s="26">
        <v>31</v>
      </c>
      <c r="Y323">
        <v>8</v>
      </c>
      <c r="Z323">
        <v>20</v>
      </c>
      <c r="AA323" s="3">
        <v>25</v>
      </c>
      <c r="AB323" s="3">
        <v>6</v>
      </c>
      <c r="AC323">
        <v>155</v>
      </c>
      <c r="AD323" s="9">
        <f t="shared" si="95"/>
        <v>12382.333333333334</v>
      </c>
      <c r="AE323">
        <f t="shared" si="80"/>
        <v>2555730</v>
      </c>
      <c r="AF323" s="2">
        <f t="shared" si="85"/>
        <v>17.2</v>
      </c>
      <c r="AG323" t="str">
        <f t="shared" si="86"/>
        <v>206小时</v>
      </c>
      <c r="AH323">
        <f t="shared" si="87"/>
        <v>52</v>
      </c>
      <c r="AI323">
        <f t="shared" si="88"/>
        <v>9</v>
      </c>
      <c r="AJ323">
        <f t="shared" si="81"/>
        <v>34.299999999999997</v>
      </c>
      <c r="AK323">
        <f t="shared" si="89"/>
        <v>18</v>
      </c>
      <c r="AL323">
        <f t="shared" si="82"/>
        <v>17.2</v>
      </c>
      <c r="AM323" s="2">
        <f t="shared" si="90"/>
        <v>9</v>
      </c>
      <c r="AX323">
        <v>320</v>
      </c>
      <c r="AZ323" s="3"/>
      <c r="BB323" s="2">
        <f t="shared" ref="BB323:BB386" si="96">100+FLOOR((AX323-190)/30,1)*5</f>
        <v>120</v>
      </c>
      <c r="BC323">
        <f t="shared" si="84"/>
        <v>8.2862564599483211</v>
      </c>
      <c r="BD323" s="2">
        <f t="shared" si="91"/>
        <v>34.299999999999997</v>
      </c>
      <c r="BE323">
        <f t="shared" si="92"/>
        <v>17.2</v>
      </c>
      <c r="BF323">
        <f t="shared" si="93"/>
        <v>99072</v>
      </c>
    </row>
    <row r="324" spans="1:58" ht="14.25" x14ac:dyDescent="0.2">
      <c r="A324" s="11">
        <v>10141</v>
      </c>
      <c r="B324" s="13">
        <v>3</v>
      </c>
      <c r="C324" s="15">
        <v>3</v>
      </c>
      <c r="D324" s="14">
        <f t="shared" si="94"/>
        <v>6</v>
      </c>
      <c r="E324" s="1" t="s">
        <v>2777</v>
      </c>
      <c r="F324" s="1" t="s">
        <v>2817</v>
      </c>
      <c r="G324" s="1" t="s">
        <v>2779</v>
      </c>
      <c r="H324" s="1" t="s">
        <v>2779</v>
      </c>
      <c r="I324" s="1" t="s">
        <v>2780</v>
      </c>
      <c r="J324" s="16" t="s">
        <v>2827</v>
      </c>
      <c r="K324" t="s">
        <v>168</v>
      </c>
      <c r="L324" t="s">
        <v>163</v>
      </c>
      <c r="M324" t="s">
        <v>163</v>
      </c>
      <c r="N324" t="s">
        <v>163</v>
      </c>
      <c r="O324" s="6" t="s">
        <v>651</v>
      </c>
      <c r="P324">
        <v>0</v>
      </c>
      <c r="Q324" s="24">
        <v>27.5</v>
      </c>
      <c r="R324" s="25">
        <v>33</v>
      </c>
      <c r="S324" s="26">
        <v>31.3</v>
      </c>
      <c r="Y324">
        <v>8</v>
      </c>
      <c r="Z324">
        <v>21</v>
      </c>
      <c r="AA324" s="3">
        <v>20</v>
      </c>
      <c r="AB324" s="3">
        <v>6</v>
      </c>
      <c r="AC324">
        <v>155</v>
      </c>
      <c r="AD324" s="9">
        <f t="shared" si="95"/>
        <v>12170.083333333334</v>
      </c>
      <c r="AE324">
        <f t="shared" ref="AE324:AE387" si="97">INDEX(V:V,MATCH(AC324,U:U,0))</f>
        <v>2555730</v>
      </c>
      <c r="AF324" s="2">
        <f t="shared" si="85"/>
        <v>17.5</v>
      </c>
      <c r="AG324" t="str">
        <f t="shared" si="86"/>
        <v>202小时</v>
      </c>
      <c r="AH324">
        <f t="shared" si="87"/>
        <v>53</v>
      </c>
      <c r="AI324">
        <f t="shared" si="88"/>
        <v>9</v>
      </c>
      <c r="AJ324">
        <f t="shared" ref="AJ324:AJ387" si="98">BD324</f>
        <v>34.799999999999997</v>
      </c>
      <c r="AK324">
        <f t="shared" si="89"/>
        <v>18</v>
      </c>
      <c r="AL324">
        <f t="shared" ref="AL324:AL387" si="99">BE324</f>
        <v>17.5</v>
      </c>
      <c r="AM324" s="2">
        <f t="shared" si="90"/>
        <v>9</v>
      </c>
      <c r="AX324">
        <v>321</v>
      </c>
      <c r="AZ324" s="3"/>
      <c r="BB324" s="2">
        <f t="shared" si="96"/>
        <v>120</v>
      </c>
      <c r="BC324">
        <f t="shared" ref="BC324:BC387" si="100">INDEX($W:$W,MATCH(BB324,$U:$U,0))/(BE324*60*60/5)</f>
        <v>8.1442063492063497</v>
      </c>
      <c r="BD324" s="2">
        <f t="shared" si="91"/>
        <v>34.799999999999997</v>
      </c>
      <c r="BE324">
        <f t="shared" si="92"/>
        <v>17.5</v>
      </c>
      <c r="BF324">
        <f t="shared" si="93"/>
        <v>100800</v>
      </c>
    </row>
    <row r="325" spans="1:58" ht="14.25" x14ac:dyDescent="0.2">
      <c r="A325" s="11">
        <v>10142</v>
      </c>
      <c r="B325" s="13">
        <v>3</v>
      </c>
      <c r="C325" s="15">
        <v>3</v>
      </c>
      <c r="D325" s="14">
        <f t="shared" si="94"/>
        <v>6</v>
      </c>
      <c r="E325" s="1" t="s">
        <v>2777</v>
      </c>
      <c r="F325" s="1" t="s">
        <v>2819</v>
      </c>
      <c r="G325" s="1" t="s">
        <v>2779</v>
      </c>
      <c r="H325" s="1" t="s">
        <v>2779</v>
      </c>
      <c r="I325" s="1" t="s">
        <v>2780</v>
      </c>
      <c r="J325" s="16" t="s">
        <v>2827</v>
      </c>
      <c r="K325" t="s">
        <v>175</v>
      </c>
      <c r="L325" t="s">
        <v>164</v>
      </c>
      <c r="M325" t="s">
        <v>163</v>
      </c>
      <c r="N325" t="s">
        <v>167</v>
      </c>
      <c r="O325" s="6" t="s">
        <v>653</v>
      </c>
      <c r="P325">
        <v>0</v>
      </c>
      <c r="Q325" s="24">
        <v>27.5</v>
      </c>
      <c r="R325" s="25">
        <v>33</v>
      </c>
      <c r="S325" s="26">
        <v>31.3</v>
      </c>
      <c r="Y325">
        <v>8</v>
      </c>
      <c r="Z325">
        <v>22</v>
      </c>
      <c r="AA325" s="3">
        <v>20</v>
      </c>
      <c r="AB325" s="3">
        <v>6</v>
      </c>
      <c r="AC325">
        <v>155</v>
      </c>
      <c r="AD325" s="9">
        <f t="shared" si="95"/>
        <v>12170.083333333334</v>
      </c>
      <c r="AE325">
        <f t="shared" si="97"/>
        <v>2555730</v>
      </c>
      <c r="AF325" s="2">
        <f t="shared" ref="AF325:AF388" si="101">BE325</f>
        <v>17.5</v>
      </c>
      <c r="AG325" t="str">
        <f t="shared" ref="AG325:AG383" si="102">IF(AD325&lt;60,CONCATENATE(INT(AD325),"分钟"),CONCATENATE(INT(AD325/60),"小时"))</f>
        <v>202小时</v>
      </c>
      <c r="AH325">
        <f t="shared" ref="AH325:AH383" si="103">ROUNDUP(AF325*3,0)</f>
        <v>53</v>
      </c>
      <c r="AI325">
        <f t="shared" ref="AI325:AI383" si="104">ROUNDUP(AH325/AB325,0)</f>
        <v>9</v>
      </c>
      <c r="AJ325">
        <f t="shared" si="98"/>
        <v>34.799999999999997</v>
      </c>
      <c r="AK325">
        <f t="shared" ref="AK325:AK383" si="105">ROUNDUP(AJ325*3/AB325,0)</f>
        <v>18</v>
      </c>
      <c r="AL325">
        <f t="shared" si="99"/>
        <v>17.5</v>
      </c>
      <c r="AM325" s="2">
        <f t="shared" ref="AM325:AM383" si="106">ROUNDUP(AL325*3/AB325,0)</f>
        <v>9</v>
      </c>
      <c r="AX325">
        <v>322</v>
      </c>
      <c r="AZ325" s="3"/>
      <c r="BB325" s="2">
        <f t="shared" si="96"/>
        <v>120</v>
      </c>
      <c r="BC325">
        <f t="shared" si="100"/>
        <v>8.1442063492063497</v>
      </c>
      <c r="BD325" s="2">
        <f t="shared" ref="BD325:BD388" si="107">ROUNDUP(BE325*1.5,1)+8.5</f>
        <v>34.799999999999997</v>
      </c>
      <c r="BE325">
        <f t="shared" ref="BE325:BE388" si="108">FLOOR(ROUNDUP(AX325/5,0)*0.25+1.25,0.1)</f>
        <v>17.5</v>
      </c>
      <c r="BF325">
        <f t="shared" ref="BF325:BF388" si="109">BE325*8*60*60/5</f>
        <v>100800</v>
      </c>
    </row>
    <row r="326" spans="1:58" ht="14.25" x14ac:dyDescent="0.2">
      <c r="A326" s="11">
        <v>10143</v>
      </c>
      <c r="B326" s="13">
        <v>3</v>
      </c>
      <c r="C326" s="15">
        <v>3</v>
      </c>
      <c r="D326" s="14">
        <f t="shared" si="94"/>
        <v>6</v>
      </c>
      <c r="E326" s="1" t="s">
        <v>2777</v>
      </c>
      <c r="F326" s="1" t="s">
        <v>2820</v>
      </c>
      <c r="G326" s="1" t="s">
        <v>2779</v>
      </c>
      <c r="H326" s="1" t="s">
        <v>2779</v>
      </c>
      <c r="I326" s="1" t="s">
        <v>2780</v>
      </c>
      <c r="J326" s="16" t="s">
        <v>2827</v>
      </c>
      <c r="K326" t="s">
        <v>179</v>
      </c>
      <c r="L326" t="s">
        <v>163</v>
      </c>
      <c r="M326" t="s">
        <v>163</v>
      </c>
      <c r="N326" t="s">
        <v>163</v>
      </c>
      <c r="O326" s="6" t="s">
        <v>655</v>
      </c>
      <c r="P326">
        <v>0</v>
      </c>
      <c r="Q326" s="24">
        <v>27.5</v>
      </c>
      <c r="R326" s="25">
        <v>33</v>
      </c>
      <c r="S326" s="26">
        <v>31.3</v>
      </c>
      <c r="Y326">
        <v>8</v>
      </c>
      <c r="Z326">
        <v>23</v>
      </c>
      <c r="AA326" s="3">
        <v>20</v>
      </c>
      <c r="AB326" s="3">
        <v>6</v>
      </c>
      <c r="AC326">
        <v>155</v>
      </c>
      <c r="AD326" s="9">
        <f t="shared" si="95"/>
        <v>12170.083333333334</v>
      </c>
      <c r="AE326">
        <f t="shared" si="97"/>
        <v>2555730</v>
      </c>
      <c r="AF326" s="2">
        <f t="shared" si="101"/>
        <v>17.5</v>
      </c>
      <c r="AG326" t="str">
        <f t="shared" si="102"/>
        <v>202小时</v>
      </c>
      <c r="AH326">
        <f t="shared" si="103"/>
        <v>53</v>
      </c>
      <c r="AI326">
        <f t="shared" si="104"/>
        <v>9</v>
      </c>
      <c r="AJ326">
        <f t="shared" si="98"/>
        <v>34.799999999999997</v>
      </c>
      <c r="AK326">
        <f t="shared" si="105"/>
        <v>18</v>
      </c>
      <c r="AL326">
        <f t="shared" si="99"/>
        <v>17.5</v>
      </c>
      <c r="AM326" s="2">
        <f t="shared" si="106"/>
        <v>9</v>
      </c>
      <c r="AX326">
        <v>323</v>
      </c>
      <c r="AZ326" s="3"/>
      <c r="BB326" s="2">
        <f t="shared" si="96"/>
        <v>120</v>
      </c>
      <c r="BC326">
        <f t="shared" si="100"/>
        <v>8.1442063492063497</v>
      </c>
      <c r="BD326" s="2">
        <f t="shared" si="107"/>
        <v>34.799999999999997</v>
      </c>
      <c r="BE326">
        <f t="shared" si="108"/>
        <v>17.5</v>
      </c>
      <c r="BF326">
        <f t="shared" si="109"/>
        <v>100800</v>
      </c>
    </row>
    <row r="327" spans="1:58" ht="14.25" x14ac:dyDescent="0.2">
      <c r="A327" s="11">
        <v>10144</v>
      </c>
      <c r="B327" s="13">
        <v>3</v>
      </c>
      <c r="C327" s="15">
        <v>3</v>
      </c>
      <c r="D327" s="14">
        <f t="shared" si="94"/>
        <v>6</v>
      </c>
      <c r="E327" s="1" t="s">
        <v>2777</v>
      </c>
      <c r="F327" s="1" t="s">
        <v>2821</v>
      </c>
      <c r="G327" s="1" t="s">
        <v>2779</v>
      </c>
      <c r="H327" s="1" t="s">
        <v>2779</v>
      </c>
      <c r="I327" s="1" t="s">
        <v>2780</v>
      </c>
      <c r="J327" s="16" t="s">
        <v>2827</v>
      </c>
      <c r="K327" t="s">
        <v>177</v>
      </c>
      <c r="L327" t="s">
        <v>163</v>
      </c>
      <c r="M327" t="s">
        <v>163</v>
      </c>
      <c r="N327" t="s">
        <v>163</v>
      </c>
      <c r="O327" s="6" t="s">
        <v>655</v>
      </c>
      <c r="P327">
        <v>0</v>
      </c>
      <c r="Q327" s="24">
        <v>27.5</v>
      </c>
      <c r="R327" s="25">
        <v>33</v>
      </c>
      <c r="S327" s="26">
        <v>31.3</v>
      </c>
      <c r="Y327">
        <v>8</v>
      </c>
      <c r="Z327">
        <v>24</v>
      </c>
      <c r="AA327" s="3">
        <v>20</v>
      </c>
      <c r="AB327" s="3">
        <v>6</v>
      </c>
      <c r="AC327">
        <v>155</v>
      </c>
      <c r="AD327" s="9">
        <f t="shared" si="95"/>
        <v>12170.083333333334</v>
      </c>
      <c r="AE327">
        <f t="shared" si="97"/>
        <v>2555730</v>
      </c>
      <c r="AF327" s="2">
        <f t="shared" si="101"/>
        <v>17.5</v>
      </c>
      <c r="AG327" t="str">
        <f t="shared" si="102"/>
        <v>202小时</v>
      </c>
      <c r="AH327">
        <f t="shared" si="103"/>
        <v>53</v>
      </c>
      <c r="AI327">
        <f t="shared" si="104"/>
        <v>9</v>
      </c>
      <c r="AJ327">
        <f t="shared" si="98"/>
        <v>34.799999999999997</v>
      </c>
      <c r="AK327">
        <f t="shared" si="105"/>
        <v>18</v>
      </c>
      <c r="AL327">
        <f t="shared" si="99"/>
        <v>17.5</v>
      </c>
      <c r="AM327" s="2">
        <f t="shared" si="106"/>
        <v>9</v>
      </c>
      <c r="AX327">
        <v>324</v>
      </c>
      <c r="AZ327" s="3"/>
      <c r="BB327" s="2">
        <f t="shared" si="96"/>
        <v>120</v>
      </c>
      <c r="BC327">
        <f t="shared" si="100"/>
        <v>8.1442063492063497</v>
      </c>
      <c r="BD327" s="2">
        <f t="shared" si="107"/>
        <v>34.799999999999997</v>
      </c>
      <c r="BE327">
        <f t="shared" si="108"/>
        <v>17.5</v>
      </c>
      <c r="BF327">
        <f t="shared" si="109"/>
        <v>100800</v>
      </c>
    </row>
    <row r="328" spans="1:58" ht="14.25" x14ac:dyDescent="0.2">
      <c r="A328" s="11">
        <v>10145</v>
      </c>
      <c r="B328" s="13">
        <v>3</v>
      </c>
      <c r="C328" s="15">
        <v>3</v>
      </c>
      <c r="D328" s="14">
        <f t="shared" si="94"/>
        <v>6</v>
      </c>
      <c r="E328" s="1" t="s">
        <v>2785</v>
      </c>
      <c r="F328" s="1" t="s">
        <v>2786</v>
      </c>
      <c r="G328" s="1" t="s">
        <v>2833</v>
      </c>
      <c r="H328" s="1" t="s">
        <v>2829</v>
      </c>
      <c r="I328" s="1" t="s">
        <v>2697</v>
      </c>
      <c r="J328" s="16" t="s">
        <v>2875</v>
      </c>
      <c r="K328" t="s">
        <v>174</v>
      </c>
      <c r="L328" t="s">
        <v>163</v>
      </c>
      <c r="M328" t="s">
        <v>163</v>
      </c>
      <c r="N328" t="s">
        <v>163</v>
      </c>
      <c r="O328" s="6" t="s">
        <v>657</v>
      </c>
      <c r="P328">
        <v>0</v>
      </c>
      <c r="Q328" s="24">
        <v>27.5</v>
      </c>
      <c r="R328" s="25">
        <v>33</v>
      </c>
      <c r="S328" s="26">
        <v>31.3</v>
      </c>
      <c r="Y328">
        <v>8</v>
      </c>
      <c r="Z328">
        <v>25</v>
      </c>
      <c r="AA328" s="3">
        <v>25</v>
      </c>
      <c r="AB328" s="3">
        <v>6</v>
      </c>
      <c r="AC328">
        <v>155</v>
      </c>
      <c r="AD328" s="9">
        <f t="shared" si="95"/>
        <v>12170.083333333334</v>
      </c>
      <c r="AE328">
        <f t="shared" si="97"/>
        <v>2555730</v>
      </c>
      <c r="AF328" s="2">
        <f t="shared" si="101"/>
        <v>17.5</v>
      </c>
      <c r="AG328" t="str">
        <f t="shared" si="102"/>
        <v>202小时</v>
      </c>
      <c r="AH328">
        <f t="shared" si="103"/>
        <v>53</v>
      </c>
      <c r="AI328">
        <f t="shared" si="104"/>
        <v>9</v>
      </c>
      <c r="AJ328">
        <f t="shared" si="98"/>
        <v>34.799999999999997</v>
      </c>
      <c r="AK328">
        <f t="shared" si="105"/>
        <v>18</v>
      </c>
      <c r="AL328">
        <f t="shared" si="99"/>
        <v>17.5</v>
      </c>
      <c r="AM328" s="2">
        <f t="shared" si="106"/>
        <v>9</v>
      </c>
      <c r="AX328">
        <v>325</v>
      </c>
      <c r="AZ328" s="3"/>
      <c r="BB328" s="2">
        <f t="shared" si="96"/>
        <v>120</v>
      </c>
      <c r="BC328">
        <f t="shared" si="100"/>
        <v>8.1442063492063497</v>
      </c>
      <c r="BD328" s="2">
        <f t="shared" si="107"/>
        <v>34.799999999999997</v>
      </c>
      <c r="BE328">
        <f t="shared" si="108"/>
        <v>17.5</v>
      </c>
      <c r="BF328">
        <f t="shared" si="109"/>
        <v>100800</v>
      </c>
    </row>
    <row r="329" spans="1:58" ht="14.25" x14ac:dyDescent="0.2">
      <c r="A329" s="11">
        <v>10146</v>
      </c>
      <c r="B329" s="13">
        <v>3</v>
      </c>
      <c r="C329" s="15">
        <v>3</v>
      </c>
      <c r="D329" s="14">
        <f t="shared" si="94"/>
        <v>6</v>
      </c>
      <c r="E329" s="1" t="s">
        <v>2777</v>
      </c>
      <c r="F329" s="1" t="s">
        <v>2834</v>
      </c>
      <c r="G329" s="1" t="s">
        <v>2779</v>
      </c>
      <c r="H329" s="1" t="s">
        <v>2779</v>
      </c>
      <c r="I329" s="1" t="s">
        <v>2780</v>
      </c>
      <c r="J329" s="16" t="s">
        <v>2827</v>
      </c>
      <c r="K329" t="s">
        <v>182</v>
      </c>
      <c r="L329" t="s">
        <v>163</v>
      </c>
      <c r="M329" t="s">
        <v>163</v>
      </c>
      <c r="N329" t="s">
        <v>163</v>
      </c>
      <c r="O329" s="6" t="s">
        <v>659</v>
      </c>
      <c r="P329">
        <v>0</v>
      </c>
      <c r="Q329" s="24">
        <v>27.8</v>
      </c>
      <c r="R329" s="25">
        <v>33.5</v>
      </c>
      <c r="S329" s="26">
        <v>31.5</v>
      </c>
      <c r="Y329">
        <v>9</v>
      </c>
      <c r="Z329">
        <v>1</v>
      </c>
      <c r="AA329" s="3">
        <v>20</v>
      </c>
      <c r="AB329" s="3">
        <v>6</v>
      </c>
      <c r="AC329">
        <v>155</v>
      </c>
      <c r="AD329" s="9">
        <f t="shared" si="95"/>
        <v>12032.583333333334</v>
      </c>
      <c r="AE329">
        <f t="shared" si="97"/>
        <v>2555730</v>
      </c>
      <c r="AF329" s="2">
        <f t="shared" si="101"/>
        <v>17.7</v>
      </c>
      <c r="AG329" t="str">
        <f t="shared" si="102"/>
        <v>200小时</v>
      </c>
      <c r="AH329">
        <f t="shared" si="103"/>
        <v>54</v>
      </c>
      <c r="AI329">
        <f t="shared" si="104"/>
        <v>9</v>
      </c>
      <c r="AJ329">
        <f t="shared" si="98"/>
        <v>35.1</v>
      </c>
      <c r="AK329">
        <f t="shared" si="105"/>
        <v>18</v>
      </c>
      <c r="AL329">
        <f t="shared" si="99"/>
        <v>17.7</v>
      </c>
      <c r="AM329" s="2">
        <f t="shared" si="106"/>
        <v>9</v>
      </c>
      <c r="AX329">
        <v>326</v>
      </c>
      <c r="AZ329" s="3"/>
      <c r="BB329" s="2">
        <f t="shared" si="96"/>
        <v>120</v>
      </c>
      <c r="BC329">
        <f t="shared" si="100"/>
        <v>8.0521814187068426</v>
      </c>
      <c r="BD329" s="2">
        <f t="shared" si="107"/>
        <v>35.1</v>
      </c>
      <c r="BE329">
        <f t="shared" si="108"/>
        <v>17.7</v>
      </c>
      <c r="BF329">
        <f t="shared" si="109"/>
        <v>101952</v>
      </c>
    </row>
    <row r="330" spans="1:58" ht="14.25" x14ac:dyDescent="0.2">
      <c r="A330" s="11">
        <v>10147</v>
      </c>
      <c r="B330" s="13">
        <v>3</v>
      </c>
      <c r="C330" s="15">
        <v>3</v>
      </c>
      <c r="D330" s="14">
        <f t="shared" si="94"/>
        <v>6</v>
      </c>
      <c r="E330" s="1" t="s">
        <v>2777</v>
      </c>
      <c r="F330" s="1" t="s">
        <v>2835</v>
      </c>
      <c r="G330" s="1" t="s">
        <v>2779</v>
      </c>
      <c r="H330" s="1" t="s">
        <v>2779</v>
      </c>
      <c r="I330" s="1" t="s">
        <v>2780</v>
      </c>
      <c r="J330" s="16" t="s">
        <v>2827</v>
      </c>
      <c r="K330" t="s">
        <v>162</v>
      </c>
      <c r="L330" t="s">
        <v>163</v>
      </c>
      <c r="M330" t="s">
        <v>163</v>
      </c>
      <c r="N330" t="s">
        <v>163</v>
      </c>
      <c r="O330" s="6" t="s">
        <v>659</v>
      </c>
      <c r="P330">
        <v>0</v>
      </c>
      <c r="Q330" s="24">
        <v>27.8</v>
      </c>
      <c r="R330" s="25">
        <v>33.5</v>
      </c>
      <c r="S330" s="26">
        <v>31.5</v>
      </c>
      <c r="Y330">
        <v>9</v>
      </c>
      <c r="Z330">
        <v>2</v>
      </c>
      <c r="AA330" s="3">
        <v>20</v>
      </c>
      <c r="AB330" s="3">
        <v>6</v>
      </c>
      <c r="AC330">
        <v>155</v>
      </c>
      <c r="AD330" s="9">
        <f t="shared" si="95"/>
        <v>12032.583333333334</v>
      </c>
      <c r="AE330">
        <f t="shared" si="97"/>
        <v>2555730</v>
      </c>
      <c r="AF330" s="2">
        <f t="shared" si="101"/>
        <v>17.7</v>
      </c>
      <c r="AG330" t="str">
        <f t="shared" si="102"/>
        <v>200小时</v>
      </c>
      <c r="AH330">
        <f t="shared" si="103"/>
        <v>54</v>
      </c>
      <c r="AI330">
        <f t="shared" si="104"/>
        <v>9</v>
      </c>
      <c r="AJ330">
        <f t="shared" si="98"/>
        <v>35.1</v>
      </c>
      <c r="AK330">
        <f t="shared" si="105"/>
        <v>18</v>
      </c>
      <c r="AL330">
        <f t="shared" si="99"/>
        <v>17.7</v>
      </c>
      <c r="AM330" s="2">
        <f t="shared" si="106"/>
        <v>9</v>
      </c>
      <c r="AX330">
        <v>327</v>
      </c>
      <c r="AZ330" s="3"/>
      <c r="BB330" s="2">
        <f t="shared" si="96"/>
        <v>120</v>
      </c>
      <c r="BC330">
        <f t="shared" si="100"/>
        <v>8.0521814187068426</v>
      </c>
      <c r="BD330" s="2">
        <f t="shared" si="107"/>
        <v>35.1</v>
      </c>
      <c r="BE330">
        <f t="shared" si="108"/>
        <v>17.7</v>
      </c>
      <c r="BF330">
        <f t="shared" si="109"/>
        <v>101952</v>
      </c>
    </row>
    <row r="331" spans="1:58" ht="14.25" x14ac:dyDescent="0.2">
      <c r="A331" s="11">
        <v>10148</v>
      </c>
      <c r="B331" s="13">
        <v>3</v>
      </c>
      <c r="C331" s="15">
        <v>3</v>
      </c>
      <c r="D331" s="14">
        <f t="shared" si="94"/>
        <v>6</v>
      </c>
      <c r="E331" s="1" t="s">
        <v>2777</v>
      </c>
      <c r="F331" s="1" t="s">
        <v>2836</v>
      </c>
      <c r="G331" s="1" t="s">
        <v>2779</v>
      </c>
      <c r="H331" s="1" t="s">
        <v>2779</v>
      </c>
      <c r="I331" s="1" t="s">
        <v>2780</v>
      </c>
      <c r="J331" s="16" t="s">
        <v>2827</v>
      </c>
      <c r="K331" t="s">
        <v>177</v>
      </c>
      <c r="L331" t="s">
        <v>163</v>
      </c>
      <c r="M331" t="s">
        <v>163</v>
      </c>
      <c r="N331" t="s">
        <v>163</v>
      </c>
      <c r="O331" s="6" t="s">
        <v>661</v>
      </c>
      <c r="P331">
        <v>0</v>
      </c>
      <c r="Q331" s="24">
        <v>27.8</v>
      </c>
      <c r="R331" s="25">
        <v>33.5</v>
      </c>
      <c r="S331" s="26">
        <v>31.5</v>
      </c>
      <c r="Y331">
        <v>9</v>
      </c>
      <c r="Z331">
        <v>3</v>
      </c>
      <c r="AA331" s="3">
        <v>20</v>
      </c>
      <c r="AB331" s="3">
        <v>6</v>
      </c>
      <c r="AC331">
        <v>155</v>
      </c>
      <c r="AD331" s="9">
        <f t="shared" si="95"/>
        <v>12032.583333333334</v>
      </c>
      <c r="AE331">
        <f t="shared" si="97"/>
        <v>2555730</v>
      </c>
      <c r="AF331" s="2">
        <f t="shared" si="101"/>
        <v>17.7</v>
      </c>
      <c r="AG331" t="str">
        <f t="shared" si="102"/>
        <v>200小时</v>
      </c>
      <c r="AH331">
        <f t="shared" si="103"/>
        <v>54</v>
      </c>
      <c r="AI331">
        <f t="shared" si="104"/>
        <v>9</v>
      </c>
      <c r="AJ331">
        <f t="shared" si="98"/>
        <v>35.1</v>
      </c>
      <c r="AK331">
        <f t="shared" si="105"/>
        <v>18</v>
      </c>
      <c r="AL331">
        <f t="shared" si="99"/>
        <v>17.7</v>
      </c>
      <c r="AM331" s="2">
        <f t="shared" si="106"/>
        <v>9</v>
      </c>
      <c r="AX331">
        <v>328</v>
      </c>
      <c r="AZ331" s="3"/>
      <c r="BB331" s="2">
        <f t="shared" si="96"/>
        <v>120</v>
      </c>
      <c r="BC331">
        <f t="shared" si="100"/>
        <v>8.0521814187068426</v>
      </c>
      <c r="BD331" s="2">
        <f t="shared" si="107"/>
        <v>35.1</v>
      </c>
      <c r="BE331">
        <f t="shared" si="108"/>
        <v>17.7</v>
      </c>
      <c r="BF331">
        <f t="shared" si="109"/>
        <v>101952</v>
      </c>
    </row>
    <row r="332" spans="1:58" ht="14.25" x14ac:dyDescent="0.2">
      <c r="A332" s="11">
        <v>10149</v>
      </c>
      <c r="B332" s="13">
        <v>3</v>
      </c>
      <c r="C332" s="15">
        <v>3</v>
      </c>
      <c r="D332" s="14">
        <f t="shared" si="94"/>
        <v>6</v>
      </c>
      <c r="E332" s="1" t="s">
        <v>2777</v>
      </c>
      <c r="F332" s="1" t="s">
        <v>2837</v>
      </c>
      <c r="G332" s="1" t="s">
        <v>2779</v>
      </c>
      <c r="H332" s="1" t="s">
        <v>2779</v>
      </c>
      <c r="I332" s="1" t="s">
        <v>2780</v>
      </c>
      <c r="J332" s="16" t="s">
        <v>2827</v>
      </c>
      <c r="K332" t="s">
        <v>174</v>
      </c>
      <c r="L332" t="s">
        <v>163</v>
      </c>
      <c r="M332" t="s">
        <v>163</v>
      </c>
      <c r="N332" t="s">
        <v>163</v>
      </c>
      <c r="O332" s="6" t="s">
        <v>663</v>
      </c>
      <c r="P332">
        <v>0</v>
      </c>
      <c r="Q332" s="24">
        <v>27.8</v>
      </c>
      <c r="R332" s="25">
        <v>33.5</v>
      </c>
      <c r="S332" s="26">
        <v>31.5</v>
      </c>
      <c r="Y332">
        <v>9</v>
      </c>
      <c r="Z332">
        <v>4</v>
      </c>
      <c r="AA332" s="3">
        <v>20</v>
      </c>
      <c r="AB332" s="3">
        <v>6</v>
      </c>
      <c r="AC332">
        <v>155</v>
      </c>
      <c r="AD332" s="9">
        <f t="shared" si="95"/>
        <v>12032.583333333334</v>
      </c>
      <c r="AE332">
        <f t="shared" si="97"/>
        <v>2555730</v>
      </c>
      <c r="AF332" s="2">
        <f t="shared" si="101"/>
        <v>17.7</v>
      </c>
      <c r="AG332" t="str">
        <f t="shared" si="102"/>
        <v>200小时</v>
      </c>
      <c r="AH332">
        <f t="shared" si="103"/>
        <v>54</v>
      </c>
      <c r="AI332">
        <f t="shared" si="104"/>
        <v>9</v>
      </c>
      <c r="AJ332">
        <f t="shared" si="98"/>
        <v>35.1</v>
      </c>
      <c r="AK332">
        <f t="shared" si="105"/>
        <v>18</v>
      </c>
      <c r="AL332">
        <f t="shared" si="99"/>
        <v>17.7</v>
      </c>
      <c r="AM332" s="2">
        <f t="shared" si="106"/>
        <v>9</v>
      </c>
      <c r="AX332">
        <v>329</v>
      </c>
      <c r="AZ332" s="3"/>
      <c r="BB332" s="2">
        <f t="shared" si="96"/>
        <v>120</v>
      </c>
      <c r="BC332">
        <f t="shared" si="100"/>
        <v>8.0521814187068426</v>
      </c>
      <c r="BD332" s="2">
        <f t="shared" si="107"/>
        <v>35.1</v>
      </c>
      <c r="BE332">
        <f t="shared" si="108"/>
        <v>17.7</v>
      </c>
      <c r="BF332">
        <f t="shared" si="109"/>
        <v>101952</v>
      </c>
    </row>
    <row r="333" spans="1:58" ht="14.25" x14ac:dyDescent="0.2">
      <c r="A333" s="11">
        <v>10150</v>
      </c>
      <c r="B333" s="13">
        <v>3</v>
      </c>
      <c r="C333" s="15">
        <v>3</v>
      </c>
      <c r="D333" s="14">
        <f t="shared" si="94"/>
        <v>6</v>
      </c>
      <c r="E333" s="1" t="s">
        <v>2785</v>
      </c>
      <c r="F333" s="1" t="s">
        <v>2786</v>
      </c>
      <c r="G333" s="1" t="s">
        <v>2828</v>
      </c>
      <c r="H333" s="1" t="s">
        <v>2829</v>
      </c>
      <c r="I333" s="1" t="s">
        <v>2697</v>
      </c>
      <c r="J333" s="16" t="s">
        <v>2875</v>
      </c>
      <c r="K333" t="s">
        <v>166</v>
      </c>
      <c r="L333" t="s">
        <v>163</v>
      </c>
      <c r="M333" t="s">
        <v>163</v>
      </c>
      <c r="N333" t="s">
        <v>163</v>
      </c>
      <c r="O333" s="6" t="s">
        <v>663</v>
      </c>
      <c r="P333">
        <v>0</v>
      </c>
      <c r="Q333" s="24">
        <v>27.8</v>
      </c>
      <c r="R333" s="25">
        <v>33.5</v>
      </c>
      <c r="S333" s="26">
        <v>31.5</v>
      </c>
      <c r="Y333">
        <v>9</v>
      </c>
      <c r="Z333">
        <v>5</v>
      </c>
      <c r="AA333" s="3">
        <v>25</v>
      </c>
      <c r="AB333" s="3">
        <v>6</v>
      </c>
      <c r="AC333">
        <v>155</v>
      </c>
      <c r="AD333" s="9">
        <f t="shared" si="95"/>
        <v>12032.583333333334</v>
      </c>
      <c r="AE333">
        <f t="shared" si="97"/>
        <v>2555730</v>
      </c>
      <c r="AF333" s="2">
        <f t="shared" si="101"/>
        <v>17.7</v>
      </c>
      <c r="AG333" t="str">
        <f t="shared" si="102"/>
        <v>200小时</v>
      </c>
      <c r="AH333">
        <f t="shared" si="103"/>
        <v>54</v>
      </c>
      <c r="AI333">
        <f t="shared" si="104"/>
        <v>9</v>
      </c>
      <c r="AJ333">
        <f t="shared" si="98"/>
        <v>35.1</v>
      </c>
      <c r="AK333">
        <f t="shared" si="105"/>
        <v>18</v>
      </c>
      <c r="AL333">
        <f t="shared" si="99"/>
        <v>17.7</v>
      </c>
      <c r="AM333" s="2">
        <f t="shared" si="106"/>
        <v>9</v>
      </c>
      <c r="AX333">
        <v>330</v>
      </c>
      <c r="AZ333" s="3"/>
      <c r="BB333" s="2">
        <f t="shared" si="96"/>
        <v>120</v>
      </c>
      <c r="BC333">
        <f t="shared" si="100"/>
        <v>8.0521814187068426</v>
      </c>
      <c r="BD333" s="2">
        <f t="shared" si="107"/>
        <v>35.1</v>
      </c>
      <c r="BE333">
        <f t="shared" si="108"/>
        <v>17.7</v>
      </c>
      <c r="BF333">
        <f t="shared" si="109"/>
        <v>101952</v>
      </c>
    </row>
    <row r="334" spans="1:58" ht="14.25" x14ac:dyDescent="0.2">
      <c r="A334" s="11">
        <v>10201</v>
      </c>
      <c r="B334" s="13">
        <v>3</v>
      </c>
      <c r="C334" s="15">
        <v>3</v>
      </c>
      <c r="D334" s="14">
        <f t="shared" si="94"/>
        <v>6</v>
      </c>
      <c r="E334" s="1" t="s">
        <v>2777</v>
      </c>
      <c r="F334" s="1" t="s">
        <v>2834</v>
      </c>
      <c r="G334" s="1" t="s">
        <v>2779</v>
      </c>
      <c r="H334" s="1" t="s">
        <v>2779</v>
      </c>
      <c r="I334" s="1" t="s">
        <v>2780</v>
      </c>
      <c r="J334" s="16" t="s">
        <v>2827</v>
      </c>
      <c r="K334" t="s">
        <v>168</v>
      </c>
      <c r="L334" t="s">
        <v>163</v>
      </c>
      <c r="M334" t="s">
        <v>163</v>
      </c>
      <c r="N334" t="s">
        <v>163</v>
      </c>
      <c r="O334" s="6" t="s">
        <v>665</v>
      </c>
      <c r="P334">
        <v>0</v>
      </c>
      <c r="Q334" s="24">
        <v>28.2</v>
      </c>
      <c r="R334" s="25">
        <v>34</v>
      </c>
      <c r="S334" s="26">
        <v>31.8</v>
      </c>
      <c r="Y334">
        <v>9</v>
      </c>
      <c r="Z334">
        <v>6</v>
      </c>
      <c r="AA334" s="3">
        <v>20</v>
      </c>
      <c r="AB334" s="3">
        <v>6</v>
      </c>
      <c r="AC334">
        <v>155</v>
      </c>
      <c r="AD334" s="9">
        <f t="shared" si="95"/>
        <v>11832.083333333332</v>
      </c>
      <c r="AE334">
        <f t="shared" si="97"/>
        <v>2555730</v>
      </c>
      <c r="AF334" s="2">
        <f t="shared" si="101"/>
        <v>18</v>
      </c>
      <c r="AG334" t="str">
        <f t="shared" si="102"/>
        <v>197小时</v>
      </c>
      <c r="AH334">
        <f t="shared" si="103"/>
        <v>54</v>
      </c>
      <c r="AI334">
        <f t="shared" si="104"/>
        <v>9</v>
      </c>
      <c r="AJ334">
        <f t="shared" si="98"/>
        <v>35.5</v>
      </c>
      <c r="AK334">
        <f t="shared" si="105"/>
        <v>18</v>
      </c>
      <c r="AL334">
        <f t="shared" si="99"/>
        <v>18</v>
      </c>
      <c r="AM334" s="2">
        <f t="shared" si="106"/>
        <v>9</v>
      </c>
      <c r="AX334">
        <v>331</v>
      </c>
      <c r="AZ334" s="3"/>
      <c r="BB334" s="2">
        <f t="shared" si="96"/>
        <v>120</v>
      </c>
      <c r="BC334">
        <f t="shared" si="100"/>
        <v>7.917978395061728</v>
      </c>
      <c r="BD334" s="2">
        <f t="shared" si="107"/>
        <v>35.5</v>
      </c>
      <c r="BE334">
        <f t="shared" si="108"/>
        <v>18</v>
      </c>
      <c r="BF334">
        <f t="shared" si="109"/>
        <v>103680</v>
      </c>
    </row>
    <row r="335" spans="1:58" ht="14.25" x14ac:dyDescent="0.2">
      <c r="A335" s="11">
        <v>10202</v>
      </c>
      <c r="B335" s="13">
        <v>3</v>
      </c>
      <c r="C335" s="15">
        <v>3</v>
      </c>
      <c r="D335" s="14">
        <f t="shared" si="94"/>
        <v>6</v>
      </c>
      <c r="E335" s="1" t="s">
        <v>2777</v>
      </c>
      <c r="F335" s="1" t="s">
        <v>2835</v>
      </c>
      <c r="G335" s="1" t="s">
        <v>2779</v>
      </c>
      <c r="H335" s="1" t="s">
        <v>2779</v>
      </c>
      <c r="I335" s="1" t="s">
        <v>2780</v>
      </c>
      <c r="J335" s="16" t="s">
        <v>2827</v>
      </c>
      <c r="K335" t="s">
        <v>175</v>
      </c>
      <c r="L335" t="s">
        <v>164</v>
      </c>
      <c r="M335" t="s">
        <v>163</v>
      </c>
      <c r="N335" t="s">
        <v>167</v>
      </c>
      <c r="O335" s="6" t="s">
        <v>667</v>
      </c>
      <c r="P335">
        <v>0</v>
      </c>
      <c r="Q335" s="24">
        <v>28.2</v>
      </c>
      <c r="R335" s="25">
        <v>34</v>
      </c>
      <c r="S335" s="26">
        <v>31.8</v>
      </c>
      <c r="Y335">
        <v>9</v>
      </c>
      <c r="Z335">
        <v>7</v>
      </c>
      <c r="AA335" s="3">
        <v>20</v>
      </c>
      <c r="AB335" s="3">
        <v>6</v>
      </c>
      <c r="AC335">
        <v>155</v>
      </c>
      <c r="AD335" s="9">
        <f t="shared" si="95"/>
        <v>11832.083333333332</v>
      </c>
      <c r="AE335">
        <f t="shared" si="97"/>
        <v>2555730</v>
      </c>
      <c r="AF335" s="2">
        <f t="shared" si="101"/>
        <v>18</v>
      </c>
      <c r="AG335" t="str">
        <f t="shared" si="102"/>
        <v>197小时</v>
      </c>
      <c r="AH335">
        <f t="shared" si="103"/>
        <v>54</v>
      </c>
      <c r="AI335">
        <f t="shared" si="104"/>
        <v>9</v>
      </c>
      <c r="AJ335">
        <f t="shared" si="98"/>
        <v>35.5</v>
      </c>
      <c r="AK335">
        <f t="shared" si="105"/>
        <v>18</v>
      </c>
      <c r="AL335">
        <f t="shared" si="99"/>
        <v>18</v>
      </c>
      <c r="AM335" s="2">
        <f t="shared" si="106"/>
        <v>9</v>
      </c>
      <c r="AX335">
        <v>332</v>
      </c>
      <c r="AZ335" s="3"/>
      <c r="BB335" s="2">
        <f t="shared" si="96"/>
        <v>120</v>
      </c>
      <c r="BC335">
        <f t="shared" si="100"/>
        <v>7.917978395061728</v>
      </c>
      <c r="BD335" s="2">
        <f t="shared" si="107"/>
        <v>35.5</v>
      </c>
      <c r="BE335">
        <f t="shared" si="108"/>
        <v>18</v>
      </c>
      <c r="BF335">
        <f t="shared" si="109"/>
        <v>103680</v>
      </c>
    </row>
    <row r="336" spans="1:58" ht="14.25" x14ac:dyDescent="0.2">
      <c r="A336" s="11">
        <v>10203</v>
      </c>
      <c r="B336" s="13">
        <v>3</v>
      </c>
      <c r="C336" s="15">
        <v>3</v>
      </c>
      <c r="D336" s="14">
        <f t="shared" ref="D336:D399" si="110">FLOOR(S334/5,1)</f>
        <v>6</v>
      </c>
      <c r="E336" s="1" t="s">
        <v>2777</v>
      </c>
      <c r="F336" s="1" t="s">
        <v>2836</v>
      </c>
      <c r="G336" s="1" t="s">
        <v>2779</v>
      </c>
      <c r="H336" s="1" t="s">
        <v>2779</v>
      </c>
      <c r="I336" s="1" t="s">
        <v>2780</v>
      </c>
      <c r="J336" s="16" t="s">
        <v>2827</v>
      </c>
      <c r="K336" t="s">
        <v>179</v>
      </c>
      <c r="L336" t="s">
        <v>163</v>
      </c>
      <c r="M336" t="s">
        <v>163</v>
      </c>
      <c r="N336" t="s">
        <v>163</v>
      </c>
      <c r="O336" s="6" t="s">
        <v>669</v>
      </c>
      <c r="P336">
        <v>0</v>
      </c>
      <c r="Q336" s="24">
        <v>28.2</v>
      </c>
      <c r="R336" s="25">
        <v>34</v>
      </c>
      <c r="S336" s="26">
        <v>31.8</v>
      </c>
      <c r="Y336">
        <v>9</v>
      </c>
      <c r="Z336">
        <v>8</v>
      </c>
      <c r="AA336" s="3">
        <v>20</v>
      </c>
      <c r="AB336" s="3">
        <v>6</v>
      </c>
      <c r="AC336">
        <v>155</v>
      </c>
      <c r="AD336" s="9">
        <f t="shared" si="95"/>
        <v>11832.083333333332</v>
      </c>
      <c r="AE336">
        <f t="shared" si="97"/>
        <v>2555730</v>
      </c>
      <c r="AF336" s="2">
        <f t="shared" si="101"/>
        <v>18</v>
      </c>
      <c r="AG336" t="str">
        <f t="shared" si="102"/>
        <v>197小时</v>
      </c>
      <c r="AH336">
        <f t="shared" si="103"/>
        <v>54</v>
      </c>
      <c r="AI336">
        <f t="shared" si="104"/>
        <v>9</v>
      </c>
      <c r="AJ336">
        <f t="shared" si="98"/>
        <v>35.5</v>
      </c>
      <c r="AK336">
        <f t="shared" si="105"/>
        <v>18</v>
      </c>
      <c r="AL336">
        <f t="shared" si="99"/>
        <v>18</v>
      </c>
      <c r="AM336" s="2">
        <f t="shared" si="106"/>
        <v>9</v>
      </c>
      <c r="AX336">
        <v>333</v>
      </c>
      <c r="AZ336" s="3"/>
      <c r="BB336" s="2">
        <f t="shared" si="96"/>
        <v>120</v>
      </c>
      <c r="BC336">
        <f t="shared" si="100"/>
        <v>7.917978395061728</v>
      </c>
      <c r="BD336" s="2">
        <f t="shared" si="107"/>
        <v>35.5</v>
      </c>
      <c r="BE336">
        <f t="shared" si="108"/>
        <v>18</v>
      </c>
      <c r="BF336">
        <f t="shared" si="109"/>
        <v>103680</v>
      </c>
    </row>
    <row r="337" spans="1:58" ht="14.25" x14ac:dyDescent="0.2">
      <c r="A337" s="11">
        <v>10204</v>
      </c>
      <c r="B337" s="13">
        <v>3</v>
      </c>
      <c r="C337" s="15">
        <v>3</v>
      </c>
      <c r="D337" s="14">
        <f t="shared" si="110"/>
        <v>6</v>
      </c>
      <c r="E337" s="1" t="s">
        <v>2777</v>
      </c>
      <c r="F337" s="1" t="s">
        <v>2837</v>
      </c>
      <c r="G337" s="1" t="s">
        <v>2779</v>
      </c>
      <c r="H337" s="1" t="s">
        <v>2779</v>
      </c>
      <c r="I337" s="1" t="s">
        <v>2780</v>
      </c>
      <c r="J337" s="16" t="s">
        <v>2827</v>
      </c>
      <c r="K337" t="s">
        <v>177</v>
      </c>
      <c r="L337" t="s">
        <v>163</v>
      </c>
      <c r="M337" t="s">
        <v>163</v>
      </c>
      <c r="N337" t="s">
        <v>163</v>
      </c>
      <c r="O337" s="6" t="s">
        <v>669</v>
      </c>
      <c r="P337">
        <v>0</v>
      </c>
      <c r="Q337" s="24">
        <v>28.2</v>
      </c>
      <c r="R337" s="25">
        <v>34</v>
      </c>
      <c r="S337" s="26">
        <v>31.8</v>
      </c>
      <c r="Y337">
        <v>9</v>
      </c>
      <c r="Z337">
        <v>9</v>
      </c>
      <c r="AA337" s="3">
        <v>20</v>
      </c>
      <c r="AB337" s="3">
        <v>6</v>
      </c>
      <c r="AC337">
        <v>155</v>
      </c>
      <c r="AD337" s="9">
        <f t="shared" si="95"/>
        <v>11832.083333333332</v>
      </c>
      <c r="AE337">
        <f t="shared" si="97"/>
        <v>2555730</v>
      </c>
      <c r="AF337" s="2">
        <f t="shared" si="101"/>
        <v>18</v>
      </c>
      <c r="AG337" t="str">
        <f t="shared" si="102"/>
        <v>197小时</v>
      </c>
      <c r="AH337">
        <f t="shared" si="103"/>
        <v>54</v>
      </c>
      <c r="AI337">
        <f t="shared" si="104"/>
        <v>9</v>
      </c>
      <c r="AJ337">
        <f t="shared" si="98"/>
        <v>35.5</v>
      </c>
      <c r="AK337">
        <f t="shared" si="105"/>
        <v>18</v>
      </c>
      <c r="AL337">
        <f t="shared" si="99"/>
        <v>18</v>
      </c>
      <c r="AM337" s="2">
        <f t="shared" si="106"/>
        <v>9</v>
      </c>
      <c r="AX337">
        <v>334</v>
      </c>
      <c r="AZ337" s="3"/>
      <c r="BB337" s="2">
        <f t="shared" si="96"/>
        <v>120</v>
      </c>
      <c r="BC337">
        <f t="shared" si="100"/>
        <v>7.917978395061728</v>
      </c>
      <c r="BD337" s="2">
        <f t="shared" si="107"/>
        <v>35.5</v>
      </c>
      <c r="BE337">
        <f t="shared" si="108"/>
        <v>18</v>
      </c>
      <c r="BF337">
        <f t="shared" si="109"/>
        <v>103680</v>
      </c>
    </row>
    <row r="338" spans="1:58" ht="14.25" x14ac:dyDescent="0.2">
      <c r="A338" s="11">
        <v>10205</v>
      </c>
      <c r="B338" s="13">
        <v>3</v>
      </c>
      <c r="C338" s="15">
        <v>3</v>
      </c>
      <c r="D338" s="14">
        <f t="shared" si="110"/>
        <v>6</v>
      </c>
      <c r="E338" s="1" t="s">
        <v>2785</v>
      </c>
      <c r="F338" s="1" t="s">
        <v>2786</v>
      </c>
      <c r="G338" s="1" t="s">
        <v>2830</v>
      </c>
      <c r="H338" s="1" t="s">
        <v>2829</v>
      </c>
      <c r="I338" s="1" t="s">
        <v>2697</v>
      </c>
      <c r="J338" s="16" t="s">
        <v>2857</v>
      </c>
      <c r="K338" t="s">
        <v>174</v>
      </c>
      <c r="L338" t="s">
        <v>163</v>
      </c>
      <c r="M338" t="s">
        <v>163</v>
      </c>
      <c r="N338" t="s">
        <v>163</v>
      </c>
      <c r="O338" s="6" t="s">
        <v>671</v>
      </c>
      <c r="P338">
        <v>0</v>
      </c>
      <c r="Q338" s="24">
        <v>28.2</v>
      </c>
      <c r="R338" s="25">
        <v>34</v>
      </c>
      <c r="S338" s="26">
        <v>31.8</v>
      </c>
      <c r="Y338">
        <v>9</v>
      </c>
      <c r="Z338">
        <v>10</v>
      </c>
      <c r="AA338" s="3">
        <v>25</v>
      </c>
      <c r="AB338" s="3">
        <v>6</v>
      </c>
      <c r="AC338">
        <v>155</v>
      </c>
      <c r="AD338" s="9">
        <f t="shared" si="95"/>
        <v>11832.083333333332</v>
      </c>
      <c r="AE338">
        <f t="shared" si="97"/>
        <v>2555730</v>
      </c>
      <c r="AF338" s="2">
        <f t="shared" si="101"/>
        <v>18</v>
      </c>
      <c r="AG338" t="str">
        <f t="shared" si="102"/>
        <v>197小时</v>
      </c>
      <c r="AH338">
        <f t="shared" si="103"/>
        <v>54</v>
      </c>
      <c r="AI338">
        <f t="shared" si="104"/>
        <v>9</v>
      </c>
      <c r="AJ338">
        <f t="shared" si="98"/>
        <v>35.5</v>
      </c>
      <c r="AK338">
        <f t="shared" si="105"/>
        <v>18</v>
      </c>
      <c r="AL338">
        <f t="shared" si="99"/>
        <v>18</v>
      </c>
      <c r="AM338" s="2">
        <f t="shared" si="106"/>
        <v>9</v>
      </c>
      <c r="AX338">
        <v>335</v>
      </c>
      <c r="AZ338" s="3"/>
      <c r="BB338" s="2">
        <f t="shared" si="96"/>
        <v>120</v>
      </c>
      <c r="BC338">
        <f t="shared" si="100"/>
        <v>7.917978395061728</v>
      </c>
      <c r="BD338" s="2">
        <f t="shared" si="107"/>
        <v>35.5</v>
      </c>
      <c r="BE338">
        <f t="shared" si="108"/>
        <v>18</v>
      </c>
      <c r="BF338">
        <f t="shared" si="109"/>
        <v>103680</v>
      </c>
    </row>
    <row r="339" spans="1:58" ht="14.25" x14ac:dyDescent="0.2">
      <c r="A339" s="11">
        <v>10206</v>
      </c>
      <c r="B339" s="13">
        <v>3</v>
      </c>
      <c r="C339" s="15">
        <v>3</v>
      </c>
      <c r="D339" s="14">
        <f t="shared" si="110"/>
        <v>6</v>
      </c>
      <c r="E339" s="1" t="s">
        <v>2777</v>
      </c>
      <c r="F339" s="1" t="s">
        <v>2834</v>
      </c>
      <c r="G339" s="1" t="s">
        <v>2779</v>
      </c>
      <c r="H339" s="1" t="s">
        <v>2779</v>
      </c>
      <c r="I339" s="1" t="s">
        <v>2780</v>
      </c>
      <c r="J339" s="16" t="s">
        <v>2827</v>
      </c>
      <c r="K339" t="s">
        <v>182</v>
      </c>
      <c r="L339" t="s">
        <v>163</v>
      </c>
      <c r="M339" t="s">
        <v>163</v>
      </c>
      <c r="N339" t="s">
        <v>163</v>
      </c>
      <c r="O339" s="6" t="s">
        <v>673</v>
      </c>
      <c r="P339">
        <v>0</v>
      </c>
      <c r="Q339" s="24">
        <v>28.5</v>
      </c>
      <c r="R339" s="25">
        <v>34.5</v>
      </c>
      <c r="S339" s="26">
        <v>32</v>
      </c>
      <c r="Y339">
        <v>9</v>
      </c>
      <c r="Z339">
        <v>11</v>
      </c>
      <c r="AA339" s="3">
        <v>20</v>
      </c>
      <c r="AB339" s="3">
        <v>6</v>
      </c>
      <c r="AC339">
        <v>155</v>
      </c>
      <c r="AD339" s="9">
        <f t="shared" si="95"/>
        <v>11702</v>
      </c>
      <c r="AE339">
        <f t="shared" si="97"/>
        <v>2555730</v>
      </c>
      <c r="AF339" s="2">
        <f t="shared" si="101"/>
        <v>18.2</v>
      </c>
      <c r="AG339" t="str">
        <f t="shared" si="102"/>
        <v>195小时</v>
      </c>
      <c r="AH339">
        <f t="shared" si="103"/>
        <v>55</v>
      </c>
      <c r="AI339">
        <f t="shared" si="104"/>
        <v>10</v>
      </c>
      <c r="AJ339">
        <f t="shared" si="98"/>
        <v>35.799999999999997</v>
      </c>
      <c r="AK339">
        <f t="shared" si="105"/>
        <v>18</v>
      </c>
      <c r="AL339">
        <f t="shared" si="99"/>
        <v>18.2</v>
      </c>
      <c r="AM339" s="2">
        <f t="shared" si="106"/>
        <v>10</v>
      </c>
      <c r="AX339">
        <v>336</v>
      </c>
      <c r="AZ339" s="3"/>
      <c r="BB339" s="2">
        <f t="shared" si="96"/>
        <v>120</v>
      </c>
      <c r="BC339">
        <f t="shared" si="100"/>
        <v>7.8309676434676438</v>
      </c>
      <c r="BD339" s="2">
        <f t="shared" si="107"/>
        <v>35.799999999999997</v>
      </c>
      <c r="BE339">
        <f t="shared" si="108"/>
        <v>18.2</v>
      </c>
      <c r="BF339">
        <f t="shared" si="109"/>
        <v>104832</v>
      </c>
    </row>
    <row r="340" spans="1:58" ht="14.25" x14ac:dyDescent="0.2">
      <c r="A340" s="11">
        <v>10207</v>
      </c>
      <c r="B340" s="13">
        <v>3</v>
      </c>
      <c r="C340" s="15">
        <v>3</v>
      </c>
      <c r="D340" s="14">
        <f t="shared" si="110"/>
        <v>6</v>
      </c>
      <c r="E340" s="1" t="s">
        <v>2777</v>
      </c>
      <c r="F340" s="1" t="s">
        <v>2835</v>
      </c>
      <c r="G340" s="1" t="s">
        <v>2779</v>
      </c>
      <c r="H340" s="1" t="s">
        <v>2779</v>
      </c>
      <c r="I340" s="1" t="s">
        <v>2780</v>
      </c>
      <c r="J340" s="16" t="s">
        <v>2827</v>
      </c>
      <c r="K340" t="s">
        <v>162</v>
      </c>
      <c r="L340" t="s">
        <v>163</v>
      </c>
      <c r="M340" t="s">
        <v>163</v>
      </c>
      <c r="N340" t="s">
        <v>163</v>
      </c>
      <c r="O340" s="6" t="s">
        <v>673</v>
      </c>
      <c r="P340">
        <v>0</v>
      </c>
      <c r="Q340" s="24">
        <v>28.5</v>
      </c>
      <c r="R340" s="25">
        <v>34.5</v>
      </c>
      <c r="S340" s="26">
        <v>32</v>
      </c>
      <c r="Y340">
        <v>9</v>
      </c>
      <c r="Z340">
        <v>12</v>
      </c>
      <c r="AA340" s="3">
        <v>20</v>
      </c>
      <c r="AB340" s="3">
        <v>6</v>
      </c>
      <c r="AC340">
        <v>155</v>
      </c>
      <c r="AD340" s="9">
        <f t="shared" si="95"/>
        <v>11702</v>
      </c>
      <c r="AE340">
        <f t="shared" si="97"/>
        <v>2555730</v>
      </c>
      <c r="AF340" s="2">
        <f t="shared" si="101"/>
        <v>18.2</v>
      </c>
      <c r="AG340" t="str">
        <f t="shared" si="102"/>
        <v>195小时</v>
      </c>
      <c r="AH340">
        <f t="shared" si="103"/>
        <v>55</v>
      </c>
      <c r="AI340">
        <f t="shared" si="104"/>
        <v>10</v>
      </c>
      <c r="AJ340">
        <f t="shared" si="98"/>
        <v>35.799999999999997</v>
      </c>
      <c r="AK340">
        <f t="shared" si="105"/>
        <v>18</v>
      </c>
      <c r="AL340">
        <f t="shared" si="99"/>
        <v>18.2</v>
      </c>
      <c r="AM340" s="2">
        <f t="shared" si="106"/>
        <v>10</v>
      </c>
      <c r="AX340">
        <v>337</v>
      </c>
      <c r="AZ340" s="3"/>
      <c r="BB340" s="2">
        <f t="shared" si="96"/>
        <v>120</v>
      </c>
      <c r="BC340">
        <f t="shared" si="100"/>
        <v>7.8309676434676438</v>
      </c>
      <c r="BD340" s="2">
        <f t="shared" si="107"/>
        <v>35.799999999999997</v>
      </c>
      <c r="BE340">
        <f t="shared" si="108"/>
        <v>18.2</v>
      </c>
      <c r="BF340">
        <f t="shared" si="109"/>
        <v>104832</v>
      </c>
    </row>
    <row r="341" spans="1:58" ht="14.25" x14ac:dyDescent="0.2">
      <c r="A341" s="11">
        <v>10208</v>
      </c>
      <c r="B341" s="13">
        <v>3</v>
      </c>
      <c r="C341" s="15">
        <v>3</v>
      </c>
      <c r="D341" s="14">
        <f t="shared" si="110"/>
        <v>6</v>
      </c>
      <c r="E341" s="1" t="s">
        <v>2777</v>
      </c>
      <c r="F341" s="1" t="s">
        <v>2836</v>
      </c>
      <c r="G341" s="1" t="s">
        <v>2779</v>
      </c>
      <c r="H341" s="1" t="s">
        <v>2779</v>
      </c>
      <c r="I341" s="1" t="s">
        <v>2780</v>
      </c>
      <c r="J341" s="16" t="s">
        <v>2827</v>
      </c>
      <c r="K341" t="s">
        <v>177</v>
      </c>
      <c r="L341" t="s">
        <v>163</v>
      </c>
      <c r="M341" t="s">
        <v>163</v>
      </c>
      <c r="N341" t="s">
        <v>163</v>
      </c>
      <c r="O341" s="6" t="s">
        <v>675</v>
      </c>
      <c r="P341">
        <v>0</v>
      </c>
      <c r="Q341" s="24">
        <v>28.5</v>
      </c>
      <c r="R341" s="25">
        <v>34.5</v>
      </c>
      <c r="S341" s="26">
        <v>32</v>
      </c>
      <c r="Y341">
        <v>9</v>
      </c>
      <c r="Z341">
        <v>13</v>
      </c>
      <c r="AA341" s="3">
        <v>20</v>
      </c>
      <c r="AB341" s="3">
        <v>6</v>
      </c>
      <c r="AC341">
        <v>155</v>
      </c>
      <c r="AD341" s="9">
        <f t="shared" si="95"/>
        <v>11702</v>
      </c>
      <c r="AE341">
        <f t="shared" si="97"/>
        <v>2555730</v>
      </c>
      <c r="AF341" s="2">
        <f t="shared" si="101"/>
        <v>18.2</v>
      </c>
      <c r="AG341" t="str">
        <f t="shared" si="102"/>
        <v>195小时</v>
      </c>
      <c r="AH341">
        <f t="shared" si="103"/>
        <v>55</v>
      </c>
      <c r="AI341">
        <f t="shared" si="104"/>
        <v>10</v>
      </c>
      <c r="AJ341">
        <f t="shared" si="98"/>
        <v>35.799999999999997</v>
      </c>
      <c r="AK341">
        <f t="shared" si="105"/>
        <v>18</v>
      </c>
      <c r="AL341">
        <f t="shared" si="99"/>
        <v>18.2</v>
      </c>
      <c r="AM341" s="2">
        <f t="shared" si="106"/>
        <v>10</v>
      </c>
      <c r="AX341">
        <v>338</v>
      </c>
      <c r="AZ341" s="3"/>
      <c r="BB341" s="2">
        <f t="shared" si="96"/>
        <v>120</v>
      </c>
      <c r="BC341">
        <f t="shared" si="100"/>
        <v>7.8309676434676438</v>
      </c>
      <c r="BD341" s="2">
        <f t="shared" si="107"/>
        <v>35.799999999999997</v>
      </c>
      <c r="BE341">
        <f t="shared" si="108"/>
        <v>18.2</v>
      </c>
      <c r="BF341">
        <f t="shared" si="109"/>
        <v>104832</v>
      </c>
    </row>
    <row r="342" spans="1:58" ht="14.25" x14ac:dyDescent="0.2">
      <c r="A342" s="11">
        <v>10209</v>
      </c>
      <c r="B342" s="13">
        <v>3</v>
      </c>
      <c r="C342" s="15">
        <v>3</v>
      </c>
      <c r="D342" s="14">
        <f t="shared" si="110"/>
        <v>6</v>
      </c>
      <c r="E342" s="1" t="s">
        <v>2777</v>
      </c>
      <c r="F342" s="1" t="s">
        <v>2837</v>
      </c>
      <c r="G342" s="1" t="s">
        <v>2779</v>
      </c>
      <c r="H342" s="1" t="s">
        <v>2779</v>
      </c>
      <c r="I342" s="1" t="s">
        <v>2780</v>
      </c>
      <c r="J342" s="16" t="s">
        <v>2827</v>
      </c>
      <c r="K342" t="s">
        <v>174</v>
      </c>
      <c r="L342" t="s">
        <v>163</v>
      </c>
      <c r="M342" t="s">
        <v>163</v>
      </c>
      <c r="N342" t="s">
        <v>163</v>
      </c>
      <c r="O342" s="6" t="s">
        <v>677</v>
      </c>
      <c r="P342">
        <v>0</v>
      </c>
      <c r="Q342" s="24">
        <v>28.5</v>
      </c>
      <c r="R342" s="25">
        <v>34.5</v>
      </c>
      <c r="S342" s="26">
        <v>32</v>
      </c>
      <c r="Y342">
        <v>9</v>
      </c>
      <c r="Z342">
        <v>14</v>
      </c>
      <c r="AA342" s="3">
        <v>20</v>
      </c>
      <c r="AB342" s="3">
        <v>6</v>
      </c>
      <c r="AC342">
        <v>155</v>
      </c>
      <c r="AD342" s="9">
        <f t="shared" si="95"/>
        <v>11702</v>
      </c>
      <c r="AE342">
        <f t="shared" si="97"/>
        <v>2555730</v>
      </c>
      <c r="AF342" s="2">
        <f t="shared" si="101"/>
        <v>18.2</v>
      </c>
      <c r="AG342" t="str">
        <f t="shared" si="102"/>
        <v>195小时</v>
      </c>
      <c r="AH342">
        <f t="shared" si="103"/>
        <v>55</v>
      </c>
      <c r="AI342">
        <f t="shared" si="104"/>
        <v>10</v>
      </c>
      <c r="AJ342">
        <f t="shared" si="98"/>
        <v>35.799999999999997</v>
      </c>
      <c r="AK342">
        <f t="shared" si="105"/>
        <v>18</v>
      </c>
      <c r="AL342">
        <f t="shared" si="99"/>
        <v>18.2</v>
      </c>
      <c r="AM342" s="2">
        <f t="shared" si="106"/>
        <v>10</v>
      </c>
      <c r="AX342">
        <v>339</v>
      </c>
      <c r="AZ342" s="3"/>
      <c r="BB342" s="2">
        <f t="shared" si="96"/>
        <v>120</v>
      </c>
      <c r="BC342">
        <f t="shared" si="100"/>
        <v>7.8309676434676438</v>
      </c>
      <c r="BD342" s="2">
        <f t="shared" si="107"/>
        <v>35.799999999999997</v>
      </c>
      <c r="BE342">
        <f t="shared" si="108"/>
        <v>18.2</v>
      </c>
      <c r="BF342">
        <f t="shared" si="109"/>
        <v>104832</v>
      </c>
    </row>
    <row r="343" spans="1:58" ht="14.25" x14ac:dyDescent="0.2">
      <c r="A343" s="11">
        <v>10210</v>
      </c>
      <c r="B343" s="13">
        <v>3</v>
      </c>
      <c r="C343" s="15">
        <v>3</v>
      </c>
      <c r="D343" s="14">
        <f t="shared" si="110"/>
        <v>6</v>
      </c>
      <c r="E343" s="1" t="s">
        <v>2785</v>
      </c>
      <c r="F343" s="1" t="s">
        <v>2786</v>
      </c>
      <c r="G343" s="1" t="s">
        <v>2831</v>
      </c>
      <c r="H343" s="1" t="s">
        <v>2829</v>
      </c>
      <c r="I343" s="1" t="s">
        <v>2697</v>
      </c>
      <c r="J343" s="16" t="s">
        <v>2857</v>
      </c>
      <c r="K343" t="s">
        <v>166</v>
      </c>
      <c r="L343" t="s">
        <v>163</v>
      </c>
      <c r="M343" t="s">
        <v>163</v>
      </c>
      <c r="N343" t="s">
        <v>163</v>
      </c>
      <c r="O343" s="6" t="s">
        <v>677</v>
      </c>
      <c r="P343">
        <v>0</v>
      </c>
      <c r="Q343" s="24">
        <v>28.5</v>
      </c>
      <c r="R343" s="25">
        <v>34.5</v>
      </c>
      <c r="S343" s="26">
        <v>32</v>
      </c>
      <c r="Y343">
        <v>9</v>
      </c>
      <c r="Z343">
        <v>15</v>
      </c>
      <c r="AA343" s="3">
        <v>25</v>
      </c>
      <c r="AB343" s="3">
        <v>6</v>
      </c>
      <c r="AC343">
        <v>155</v>
      </c>
      <c r="AD343" s="9">
        <f t="shared" si="95"/>
        <v>11702</v>
      </c>
      <c r="AE343">
        <f t="shared" si="97"/>
        <v>2555730</v>
      </c>
      <c r="AF343" s="2">
        <f t="shared" si="101"/>
        <v>18.2</v>
      </c>
      <c r="AG343" t="str">
        <f t="shared" si="102"/>
        <v>195小时</v>
      </c>
      <c r="AH343">
        <f t="shared" si="103"/>
        <v>55</v>
      </c>
      <c r="AI343">
        <f t="shared" si="104"/>
        <v>10</v>
      </c>
      <c r="AJ343">
        <f t="shared" si="98"/>
        <v>35.799999999999997</v>
      </c>
      <c r="AK343">
        <f t="shared" si="105"/>
        <v>18</v>
      </c>
      <c r="AL343">
        <f t="shared" si="99"/>
        <v>18.2</v>
      </c>
      <c r="AM343" s="2">
        <f t="shared" si="106"/>
        <v>10</v>
      </c>
      <c r="AX343">
        <v>340</v>
      </c>
      <c r="AZ343" s="3"/>
      <c r="BB343" s="2">
        <f t="shared" si="96"/>
        <v>125</v>
      </c>
      <c r="BC343">
        <f t="shared" si="100"/>
        <v>8.2432844932844933</v>
      </c>
      <c r="BD343" s="2">
        <f t="shared" si="107"/>
        <v>35.799999999999997</v>
      </c>
      <c r="BE343">
        <f t="shared" si="108"/>
        <v>18.2</v>
      </c>
      <c r="BF343">
        <f t="shared" si="109"/>
        <v>104832</v>
      </c>
    </row>
    <row r="344" spans="1:58" ht="14.25" x14ac:dyDescent="0.2">
      <c r="A344" s="11">
        <v>10211</v>
      </c>
      <c r="B344" s="13">
        <v>3</v>
      </c>
      <c r="C344" s="15">
        <v>3</v>
      </c>
      <c r="D344" s="14">
        <f t="shared" si="110"/>
        <v>6</v>
      </c>
      <c r="E344" s="1" t="s">
        <v>2777</v>
      </c>
      <c r="F344" s="1" t="s">
        <v>2834</v>
      </c>
      <c r="G344" s="1" t="s">
        <v>2779</v>
      </c>
      <c r="H344" s="1" t="s">
        <v>2779</v>
      </c>
      <c r="I344" s="1" t="s">
        <v>2780</v>
      </c>
      <c r="J344" s="16" t="s">
        <v>2827</v>
      </c>
      <c r="K344" t="s">
        <v>168</v>
      </c>
      <c r="L344" t="s">
        <v>163</v>
      </c>
      <c r="M344" t="s">
        <v>163</v>
      </c>
      <c r="N344" t="s">
        <v>163</v>
      </c>
      <c r="O344" s="6" t="s">
        <v>679</v>
      </c>
      <c r="P344">
        <v>0</v>
      </c>
      <c r="Q344" s="24">
        <v>28.8</v>
      </c>
      <c r="R344" s="25">
        <v>35</v>
      </c>
      <c r="S344" s="26">
        <v>32.299999999999997</v>
      </c>
      <c r="Y344">
        <v>9</v>
      </c>
      <c r="Z344">
        <v>16</v>
      </c>
      <c r="AA344" s="3">
        <v>20</v>
      </c>
      <c r="AB344" s="3">
        <v>6</v>
      </c>
      <c r="AC344">
        <v>155</v>
      </c>
      <c r="AD344" s="9">
        <f t="shared" si="95"/>
        <v>11512.25</v>
      </c>
      <c r="AE344">
        <f t="shared" si="97"/>
        <v>2555730</v>
      </c>
      <c r="AF344" s="2">
        <f t="shared" si="101"/>
        <v>18.5</v>
      </c>
      <c r="AG344" t="str">
        <f t="shared" si="102"/>
        <v>191小时</v>
      </c>
      <c r="AH344">
        <f t="shared" si="103"/>
        <v>56</v>
      </c>
      <c r="AI344">
        <f t="shared" si="104"/>
        <v>10</v>
      </c>
      <c r="AJ344">
        <f t="shared" si="98"/>
        <v>36.299999999999997</v>
      </c>
      <c r="AK344">
        <f t="shared" si="105"/>
        <v>19</v>
      </c>
      <c r="AL344">
        <f t="shared" si="99"/>
        <v>18.5</v>
      </c>
      <c r="AM344" s="2">
        <f t="shared" si="106"/>
        <v>10</v>
      </c>
      <c r="AX344">
        <v>341</v>
      </c>
      <c r="AZ344" s="3"/>
      <c r="BB344" s="2">
        <f t="shared" si="96"/>
        <v>125</v>
      </c>
      <c r="BC344">
        <f t="shared" si="100"/>
        <v>8.1096096096096097</v>
      </c>
      <c r="BD344" s="2">
        <f t="shared" si="107"/>
        <v>36.299999999999997</v>
      </c>
      <c r="BE344">
        <f t="shared" si="108"/>
        <v>18.5</v>
      </c>
      <c r="BF344">
        <f t="shared" si="109"/>
        <v>106560</v>
      </c>
    </row>
    <row r="345" spans="1:58" ht="14.25" x14ac:dyDescent="0.2">
      <c r="A345" s="11">
        <v>10212</v>
      </c>
      <c r="B345" s="13">
        <v>3</v>
      </c>
      <c r="C345" s="15">
        <v>3</v>
      </c>
      <c r="D345" s="14">
        <f t="shared" si="110"/>
        <v>6</v>
      </c>
      <c r="E345" s="1" t="s">
        <v>2777</v>
      </c>
      <c r="F345" s="1" t="s">
        <v>2835</v>
      </c>
      <c r="G345" s="1" t="s">
        <v>2779</v>
      </c>
      <c r="H345" s="1" t="s">
        <v>2779</v>
      </c>
      <c r="I345" s="1" t="s">
        <v>2780</v>
      </c>
      <c r="J345" s="16" t="s">
        <v>2827</v>
      </c>
      <c r="K345" t="s">
        <v>175</v>
      </c>
      <c r="L345" t="s">
        <v>164</v>
      </c>
      <c r="M345" t="s">
        <v>163</v>
      </c>
      <c r="N345" t="s">
        <v>167</v>
      </c>
      <c r="O345" s="6" t="s">
        <v>681</v>
      </c>
      <c r="P345">
        <v>0</v>
      </c>
      <c r="Q345" s="24">
        <v>28.8</v>
      </c>
      <c r="R345" s="25">
        <v>35</v>
      </c>
      <c r="S345" s="26">
        <v>32.299999999999997</v>
      </c>
      <c r="Y345">
        <v>9</v>
      </c>
      <c r="Z345">
        <v>17</v>
      </c>
      <c r="AA345" s="3">
        <v>20</v>
      </c>
      <c r="AB345" s="3">
        <v>6</v>
      </c>
      <c r="AC345">
        <v>155</v>
      </c>
      <c r="AD345" s="9">
        <f t="shared" si="95"/>
        <v>11512.25</v>
      </c>
      <c r="AE345">
        <f t="shared" si="97"/>
        <v>2555730</v>
      </c>
      <c r="AF345" s="2">
        <f t="shared" si="101"/>
        <v>18.5</v>
      </c>
      <c r="AG345" t="str">
        <f t="shared" si="102"/>
        <v>191小时</v>
      </c>
      <c r="AH345">
        <f t="shared" si="103"/>
        <v>56</v>
      </c>
      <c r="AI345">
        <f t="shared" si="104"/>
        <v>10</v>
      </c>
      <c r="AJ345">
        <f t="shared" si="98"/>
        <v>36.299999999999997</v>
      </c>
      <c r="AK345">
        <f t="shared" si="105"/>
        <v>19</v>
      </c>
      <c r="AL345">
        <f t="shared" si="99"/>
        <v>18.5</v>
      </c>
      <c r="AM345" s="2">
        <f t="shared" si="106"/>
        <v>10</v>
      </c>
      <c r="AX345">
        <v>342</v>
      </c>
      <c r="AZ345" s="3"/>
      <c r="BB345" s="2">
        <f t="shared" si="96"/>
        <v>125</v>
      </c>
      <c r="BC345">
        <f t="shared" si="100"/>
        <v>8.1096096096096097</v>
      </c>
      <c r="BD345" s="2">
        <f t="shared" si="107"/>
        <v>36.299999999999997</v>
      </c>
      <c r="BE345">
        <f t="shared" si="108"/>
        <v>18.5</v>
      </c>
      <c r="BF345">
        <f t="shared" si="109"/>
        <v>106560</v>
      </c>
    </row>
    <row r="346" spans="1:58" ht="14.25" x14ac:dyDescent="0.2">
      <c r="A346" s="11">
        <v>10213</v>
      </c>
      <c r="B346" s="13">
        <v>3</v>
      </c>
      <c r="C346" s="15">
        <v>3</v>
      </c>
      <c r="D346" s="14">
        <f t="shared" si="110"/>
        <v>6</v>
      </c>
      <c r="E346" s="1" t="s">
        <v>2777</v>
      </c>
      <c r="F346" s="1" t="s">
        <v>2836</v>
      </c>
      <c r="G346" s="1" t="s">
        <v>2779</v>
      </c>
      <c r="H346" s="1" t="s">
        <v>2779</v>
      </c>
      <c r="I346" s="1" t="s">
        <v>2780</v>
      </c>
      <c r="J346" s="16" t="s">
        <v>2827</v>
      </c>
      <c r="K346" t="s">
        <v>179</v>
      </c>
      <c r="L346" t="s">
        <v>163</v>
      </c>
      <c r="M346" t="s">
        <v>163</v>
      </c>
      <c r="N346" t="s">
        <v>163</v>
      </c>
      <c r="O346" s="6" t="s">
        <v>683</v>
      </c>
      <c r="P346">
        <v>0</v>
      </c>
      <c r="Q346" s="24">
        <v>28.8</v>
      </c>
      <c r="R346" s="25">
        <v>35</v>
      </c>
      <c r="S346" s="26">
        <v>32.299999999999997</v>
      </c>
      <c r="Y346">
        <v>9</v>
      </c>
      <c r="Z346">
        <v>18</v>
      </c>
      <c r="AA346" s="3">
        <v>20</v>
      </c>
      <c r="AB346" s="3">
        <v>6</v>
      </c>
      <c r="AC346">
        <v>155</v>
      </c>
      <c r="AD346" s="9">
        <f t="shared" si="95"/>
        <v>11512.25</v>
      </c>
      <c r="AE346">
        <f t="shared" si="97"/>
        <v>2555730</v>
      </c>
      <c r="AF346" s="2">
        <f t="shared" si="101"/>
        <v>18.5</v>
      </c>
      <c r="AG346" t="str">
        <f t="shared" si="102"/>
        <v>191小时</v>
      </c>
      <c r="AH346">
        <f t="shared" si="103"/>
        <v>56</v>
      </c>
      <c r="AI346">
        <f t="shared" si="104"/>
        <v>10</v>
      </c>
      <c r="AJ346">
        <f t="shared" si="98"/>
        <v>36.299999999999997</v>
      </c>
      <c r="AK346">
        <f t="shared" si="105"/>
        <v>19</v>
      </c>
      <c r="AL346">
        <f t="shared" si="99"/>
        <v>18.5</v>
      </c>
      <c r="AM346" s="2">
        <f t="shared" si="106"/>
        <v>10</v>
      </c>
      <c r="AX346">
        <v>343</v>
      </c>
      <c r="AZ346" s="3"/>
      <c r="BB346" s="2">
        <f t="shared" si="96"/>
        <v>125</v>
      </c>
      <c r="BC346">
        <f t="shared" si="100"/>
        <v>8.1096096096096097</v>
      </c>
      <c r="BD346" s="2">
        <f t="shared" si="107"/>
        <v>36.299999999999997</v>
      </c>
      <c r="BE346">
        <f t="shared" si="108"/>
        <v>18.5</v>
      </c>
      <c r="BF346">
        <f t="shared" si="109"/>
        <v>106560</v>
      </c>
    </row>
    <row r="347" spans="1:58" ht="14.25" x14ac:dyDescent="0.2">
      <c r="A347" s="11">
        <v>10214</v>
      </c>
      <c r="B347" s="13">
        <v>3</v>
      </c>
      <c r="C347" s="15">
        <v>3</v>
      </c>
      <c r="D347" s="14">
        <f t="shared" si="110"/>
        <v>6</v>
      </c>
      <c r="E347" s="1" t="s">
        <v>2777</v>
      </c>
      <c r="F347" s="1" t="s">
        <v>2837</v>
      </c>
      <c r="G347" s="1" t="s">
        <v>2779</v>
      </c>
      <c r="H347" s="1" t="s">
        <v>2779</v>
      </c>
      <c r="I347" s="1" t="s">
        <v>2780</v>
      </c>
      <c r="J347" s="16" t="s">
        <v>2827</v>
      </c>
      <c r="K347" t="s">
        <v>177</v>
      </c>
      <c r="L347" t="s">
        <v>163</v>
      </c>
      <c r="M347" t="s">
        <v>163</v>
      </c>
      <c r="N347" t="s">
        <v>163</v>
      </c>
      <c r="O347" s="6" t="s">
        <v>683</v>
      </c>
      <c r="P347">
        <v>0</v>
      </c>
      <c r="Q347" s="24">
        <v>28.8</v>
      </c>
      <c r="R347" s="25">
        <v>35</v>
      </c>
      <c r="S347" s="26">
        <v>32.299999999999997</v>
      </c>
      <c r="Y347">
        <v>9</v>
      </c>
      <c r="Z347">
        <v>19</v>
      </c>
      <c r="AA347" s="3">
        <v>20</v>
      </c>
      <c r="AB347" s="3">
        <v>6</v>
      </c>
      <c r="AC347">
        <v>155</v>
      </c>
      <c r="AD347" s="9">
        <f t="shared" si="95"/>
        <v>11512.25</v>
      </c>
      <c r="AE347">
        <f t="shared" si="97"/>
        <v>2555730</v>
      </c>
      <c r="AF347" s="2">
        <f t="shared" si="101"/>
        <v>18.5</v>
      </c>
      <c r="AG347" t="str">
        <f t="shared" si="102"/>
        <v>191小时</v>
      </c>
      <c r="AH347">
        <f t="shared" si="103"/>
        <v>56</v>
      </c>
      <c r="AI347">
        <f t="shared" si="104"/>
        <v>10</v>
      </c>
      <c r="AJ347">
        <f t="shared" si="98"/>
        <v>36.299999999999997</v>
      </c>
      <c r="AK347">
        <f t="shared" si="105"/>
        <v>19</v>
      </c>
      <c r="AL347">
        <f t="shared" si="99"/>
        <v>18.5</v>
      </c>
      <c r="AM347" s="2">
        <f t="shared" si="106"/>
        <v>10</v>
      </c>
      <c r="AX347">
        <v>344</v>
      </c>
      <c r="AZ347" s="3"/>
      <c r="BB347" s="2">
        <f t="shared" si="96"/>
        <v>125</v>
      </c>
      <c r="BC347">
        <f t="shared" si="100"/>
        <v>8.1096096096096097</v>
      </c>
      <c r="BD347" s="2">
        <f t="shared" si="107"/>
        <v>36.299999999999997</v>
      </c>
      <c r="BE347">
        <f t="shared" si="108"/>
        <v>18.5</v>
      </c>
      <c r="BF347">
        <f t="shared" si="109"/>
        <v>106560</v>
      </c>
    </row>
    <row r="348" spans="1:58" ht="14.25" x14ac:dyDescent="0.2">
      <c r="A348" s="11">
        <v>10215</v>
      </c>
      <c r="B348" s="13">
        <v>3</v>
      </c>
      <c r="C348" s="15">
        <v>3</v>
      </c>
      <c r="D348" s="14">
        <f t="shared" si="110"/>
        <v>6</v>
      </c>
      <c r="E348" s="1" t="s">
        <v>2785</v>
      </c>
      <c r="F348" s="1" t="s">
        <v>2786</v>
      </c>
      <c r="G348" s="1" t="s">
        <v>2832</v>
      </c>
      <c r="H348" s="1" t="s">
        <v>2829</v>
      </c>
      <c r="I348" s="1" t="s">
        <v>2697</v>
      </c>
      <c r="J348" s="16" t="s">
        <v>2857</v>
      </c>
      <c r="K348" t="s">
        <v>174</v>
      </c>
      <c r="L348" t="s">
        <v>163</v>
      </c>
      <c r="M348" t="s">
        <v>163</v>
      </c>
      <c r="N348" t="s">
        <v>163</v>
      </c>
      <c r="O348" s="6" t="s">
        <v>685</v>
      </c>
      <c r="P348">
        <v>0</v>
      </c>
      <c r="Q348" s="24">
        <v>28.8</v>
      </c>
      <c r="R348" s="25">
        <v>35</v>
      </c>
      <c r="S348" s="26">
        <v>32.299999999999997</v>
      </c>
      <c r="Y348">
        <v>9</v>
      </c>
      <c r="Z348">
        <v>20</v>
      </c>
      <c r="AA348" s="3">
        <v>25</v>
      </c>
      <c r="AB348" s="3">
        <v>6</v>
      </c>
      <c r="AC348">
        <v>155</v>
      </c>
      <c r="AD348" s="9">
        <f t="shared" si="95"/>
        <v>11512.25</v>
      </c>
      <c r="AE348">
        <f t="shared" si="97"/>
        <v>2555730</v>
      </c>
      <c r="AF348" s="2">
        <f t="shared" si="101"/>
        <v>18.5</v>
      </c>
      <c r="AG348" t="str">
        <f t="shared" si="102"/>
        <v>191小时</v>
      </c>
      <c r="AH348">
        <f t="shared" si="103"/>
        <v>56</v>
      </c>
      <c r="AI348">
        <f t="shared" si="104"/>
        <v>10</v>
      </c>
      <c r="AJ348">
        <f t="shared" si="98"/>
        <v>36.299999999999997</v>
      </c>
      <c r="AK348">
        <f t="shared" si="105"/>
        <v>19</v>
      </c>
      <c r="AL348">
        <f t="shared" si="99"/>
        <v>18.5</v>
      </c>
      <c r="AM348" s="2">
        <f t="shared" si="106"/>
        <v>10</v>
      </c>
      <c r="AX348">
        <v>345</v>
      </c>
      <c r="AZ348" s="3"/>
      <c r="BB348" s="2">
        <f t="shared" si="96"/>
        <v>125</v>
      </c>
      <c r="BC348">
        <f t="shared" si="100"/>
        <v>8.1096096096096097</v>
      </c>
      <c r="BD348" s="2">
        <f t="shared" si="107"/>
        <v>36.299999999999997</v>
      </c>
      <c r="BE348">
        <f t="shared" si="108"/>
        <v>18.5</v>
      </c>
      <c r="BF348">
        <f t="shared" si="109"/>
        <v>106560</v>
      </c>
    </row>
    <row r="349" spans="1:58" ht="14.25" x14ac:dyDescent="0.2">
      <c r="A349" s="11">
        <v>10216</v>
      </c>
      <c r="B349" s="13">
        <v>3</v>
      </c>
      <c r="C349" s="15">
        <v>3</v>
      </c>
      <c r="D349" s="14">
        <f t="shared" si="110"/>
        <v>6</v>
      </c>
      <c r="E349" s="1" t="s">
        <v>2777</v>
      </c>
      <c r="F349" s="1" t="s">
        <v>2834</v>
      </c>
      <c r="G349" s="1" t="s">
        <v>2779</v>
      </c>
      <c r="H349" s="1" t="s">
        <v>2779</v>
      </c>
      <c r="I349" s="1" t="s">
        <v>2780</v>
      </c>
      <c r="J349" s="16" t="s">
        <v>2827</v>
      </c>
      <c r="K349" t="s">
        <v>182</v>
      </c>
      <c r="L349" t="s">
        <v>163</v>
      </c>
      <c r="M349" t="s">
        <v>163</v>
      </c>
      <c r="N349" t="s">
        <v>163</v>
      </c>
      <c r="O349" s="6" t="s">
        <v>687</v>
      </c>
      <c r="P349">
        <v>0</v>
      </c>
      <c r="Q349" s="24">
        <v>29.2</v>
      </c>
      <c r="R349" s="25">
        <v>35.5</v>
      </c>
      <c r="S349" s="26">
        <v>32.5</v>
      </c>
      <c r="Y349">
        <v>9</v>
      </c>
      <c r="Z349">
        <v>21</v>
      </c>
      <c r="AA349" s="3">
        <v>20</v>
      </c>
      <c r="AB349" s="3">
        <v>6</v>
      </c>
      <c r="AC349">
        <v>155</v>
      </c>
      <c r="AD349" s="9">
        <f t="shared" si="95"/>
        <v>11389.166666666668</v>
      </c>
      <c r="AE349">
        <f t="shared" si="97"/>
        <v>2555730</v>
      </c>
      <c r="AF349" s="2">
        <f t="shared" si="101"/>
        <v>18.7</v>
      </c>
      <c r="AG349" t="str">
        <f t="shared" si="102"/>
        <v>189小时</v>
      </c>
      <c r="AH349">
        <f t="shared" si="103"/>
        <v>57</v>
      </c>
      <c r="AI349">
        <f t="shared" si="104"/>
        <v>10</v>
      </c>
      <c r="AJ349">
        <f t="shared" si="98"/>
        <v>36.6</v>
      </c>
      <c r="AK349">
        <f t="shared" si="105"/>
        <v>19</v>
      </c>
      <c r="AL349">
        <f t="shared" si="99"/>
        <v>18.7</v>
      </c>
      <c r="AM349" s="2">
        <f t="shared" si="106"/>
        <v>10</v>
      </c>
      <c r="AX349">
        <v>346</v>
      </c>
      <c r="AZ349" s="3"/>
      <c r="BB349" s="2">
        <f t="shared" si="96"/>
        <v>125</v>
      </c>
      <c r="BC349">
        <f t="shared" si="100"/>
        <v>8.022875816993464</v>
      </c>
      <c r="BD349" s="2">
        <f t="shared" si="107"/>
        <v>36.6</v>
      </c>
      <c r="BE349">
        <f t="shared" si="108"/>
        <v>18.7</v>
      </c>
      <c r="BF349">
        <f t="shared" si="109"/>
        <v>107712</v>
      </c>
    </row>
    <row r="350" spans="1:58" ht="14.25" x14ac:dyDescent="0.2">
      <c r="A350" s="11">
        <v>10217</v>
      </c>
      <c r="B350" s="13">
        <v>3</v>
      </c>
      <c r="C350" s="15">
        <v>3</v>
      </c>
      <c r="D350" s="14">
        <f t="shared" si="110"/>
        <v>6</v>
      </c>
      <c r="E350" s="1" t="s">
        <v>2777</v>
      </c>
      <c r="F350" s="1" t="s">
        <v>2835</v>
      </c>
      <c r="G350" s="1" t="s">
        <v>2779</v>
      </c>
      <c r="H350" s="1" t="s">
        <v>2779</v>
      </c>
      <c r="I350" s="1" t="s">
        <v>2780</v>
      </c>
      <c r="J350" s="16" t="s">
        <v>2827</v>
      </c>
      <c r="K350" t="s">
        <v>162</v>
      </c>
      <c r="L350" t="s">
        <v>163</v>
      </c>
      <c r="M350" t="s">
        <v>163</v>
      </c>
      <c r="N350" t="s">
        <v>163</v>
      </c>
      <c r="O350" s="6" t="s">
        <v>687</v>
      </c>
      <c r="P350">
        <v>0</v>
      </c>
      <c r="Q350" s="24">
        <v>29.2</v>
      </c>
      <c r="R350" s="25">
        <v>35.5</v>
      </c>
      <c r="S350" s="26">
        <v>32.5</v>
      </c>
      <c r="Y350">
        <v>9</v>
      </c>
      <c r="Z350">
        <v>22</v>
      </c>
      <c r="AA350" s="3">
        <v>20</v>
      </c>
      <c r="AB350" s="3">
        <v>6</v>
      </c>
      <c r="AC350">
        <v>155</v>
      </c>
      <c r="AD350" s="9">
        <f t="shared" si="95"/>
        <v>11389.166666666668</v>
      </c>
      <c r="AE350">
        <f t="shared" si="97"/>
        <v>2555730</v>
      </c>
      <c r="AF350" s="2">
        <f t="shared" si="101"/>
        <v>18.7</v>
      </c>
      <c r="AG350" t="str">
        <f t="shared" si="102"/>
        <v>189小时</v>
      </c>
      <c r="AH350">
        <f t="shared" si="103"/>
        <v>57</v>
      </c>
      <c r="AI350">
        <f t="shared" si="104"/>
        <v>10</v>
      </c>
      <c r="AJ350">
        <f t="shared" si="98"/>
        <v>36.6</v>
      </c>
      <c r="AK350">
        <f t="shared" si="105"/>
        <v>19</v>
      </c>
      <c r="AL350">
        <f t="shared" si="99"/>
        <v>18.7</v>
      </c>
      <c r="AM350" s="2">
        <f t="shared" si="106"/>
        <v>10</v>
      </c>
      <c r="AX350">
        <v>347</v>
      </c>
      <c r="AZ350" s="3"/>
      <c r="BB350" s="2">
        <f t="shared" si="96"/>
        <v>125</v>
      </c>
      <c r="BC350">
        <f t="shared" si="100"/>
        <v>8.022875816993464</v>
      </c>
      <c r="BD350" s="2">
        <f t="shared" si="107"/>
        <v>36.6</v>
      </c>
      <c r="BE350">
        <f t="shared" si="108"/>
        <v>18.7</v>
      </c>
      <c r="BF350">
        <f t="shared" si="109"/>
        <v>107712</v>
      </c>
    </row>
    <row r="351" spans="1:58" ht="14.25" x14ac:dyDescent="0.2">
      <c r="A351" s="11">
        <v>10218</v>
      </c>
      <c r="B351" s="13">
        <v>3</v>
      </c>
      <c r="C351" s="15">
        <v>3</v>
      </c>
      <c r="D351" s="14">
        <f t="shared" si="110"/>
        <v>6</v>
      </c>
      <c r="E351" s="1" t="s">
        <v>2777</v>
      </c>
      <c r="F351" s="1" t="s">
        <v>2836</v>
      </c>
      <c r="G351" s="1" t="s">
        <v>2779</v>
      </c>
      <c r="H351" s="1" t="s">
        <v>2779</v>
      </c>
      <c r="I351" s="1" t="s">
        <v>2780</v>
      </c>
      <c r="J351" s="16" t="s">
        <v>2827</v>
      </c>
      <c r="K351" t="s">
        <v>177</v>
      </c>
      <c r="L351" t="s">
        <v>163</v>
      </c>
      <c r="M351" t="s">
        <v>163</v>
      </c>
      <c r="N351" t="s">
        <v>163</v>
      </c>
      <c r="O351" s="6" t="s">
        <v>689</v>
      </c>
      <c r="P351">
        <v>0</v>
      </c>
      <c r="Q351" s="24">
        <v>29.2</v>
      </c>
      <c r="R351" s="25">
        <v>35.5</v>
      </c>
      <c r="S351" s="26">
        <v>32.5</v>
      </c>
      <c r="Y351">
        <v>9</v>
      </c>
      <c r="Z351">
        <v>23</v>
      </c>
      <c r="AA351" s="3">
        <v>20</v>
      </c>
      <c r="AB351" s="3">
        <v>6</v>
      </c>
      <c r="AC351">
        <v>155</v>
      </c>
      <c r="AD351" s="9">
        <f t="shared" si="95"/>
        <v>11389.166666666668</v>
      </c>
      <c r="AE351">
        <f t="shared" si="97"/>
        <v>2555730</v>
      </c>
      <c r="AF351" s="2">
        <f t="shared" si="101"/>
        <v>18.7</v>
      </c>
      <c r="AG351" t="str">
        <f t="shared" si="102"/>
        <v>189小时</v>
      </c>
      <c r="AH351">
        <f t="shared" si="103"/>
        <v>57</v>
      </c>
      <c r="AI351">
        <f t="shared" si="104"/>
        <v>10</v>
      </c>
      <c r="AJ351">
        <f t="shared" si="98"/>
        <v>36.6</v>
      </c>
      <c r="AK351">
        <f t="shared" si="105"/>
        <v>19</v>
      </c>
      <c r="AL351">
        <f t="shared" si="99"/>
        <v>18.7</v>
      </c>
      <c r="AM351" s="2">
        <f t="shared" si="106"/>
        <v>10</v>
      </c>
      <c r="AX351">
        <v>348</v>
      </c>
      <c r="AZ351" s="3"/>
      <c r="BB351" s="2">
        <f t="shared" si="96"/>
        <v>125</v>
      </c>
      <c r="BC351">
        <f t="shared" si="100"/>
        <v>8.022875816993464</v>
      </c>
      <c r="BD351" s="2">
        <f t="shared" si="107"/>
        <v>36.6</v>
      </c>
      <c r="BE351">
        <f t="shared" si="108"/>
        <v>18.7</v>
      </c>
      <c r="BF351">
        <f t="shared" si="109"/>
        <v>107712</v>
      </c>
    </row>
    <row r="352" spans="1:58" ht="14.25" x14ac:dyDescent="0.2">
      <c r="A352" s="11">
        <v>10219</v>
      </c>
      <c r="B352" s="13">
        <v>3</v>
      </c>
      <c r="C352" s="15">
        <v>3</v>
      </c>
      <c r="D352" s="14">
        <f t="shared" si="110"/>
        <v>6</v>
      </c>
      <c r="E352" s="1" t="s">
        <v>2777</v>
      </c>
      <c r="F352" s="1" t="s">
        <v>2837</v>
      </c>
      <c r="G352" s="1" t="s">
        <v>2779</v>
      </c>
      <c r="H352" s="1" t="s">
        <v>2779</v>
      </c>
      <c r="I352" s="1" t="s">
        <v>2780</v>
      </c>
      <c r="J352" s="16" t="s">
        <v>2827</v>
      </c>
      <c r="K352" t="s">
        <v>174</v>
      </c>
      <c r="L352" t="s">
        <v>163</v>
      </c>
      <c r="M352" t="s">
        <v>163</v>
      </c>
      <c r="N352" t="s">
        <v>163</v>
      </c>
      <c r="O352" s="6" t="s">
        <v>691</v>
      </c>
      <c r="P352">
        <v>0</v>
      </c>
      <c r="Q352" s="24">
        <v>29.2</v>
      </c>
      <c r="R352" s="25">
        <v>35.5</v>
      </c>
      <c r="S352" s="26">
        <v>32.5</v>
      </c>
      <c r="Y352">
        <v>9</v>
      </c>
      <c r="Z352">
        <v>24</v>
      </c>
      <c r="AA352" s="3">
        <v>20</v>
      </c>
      <c r="AB352" s="3">
        <v>6</v>
      </c>
      <c r="AC352">
        <v>155</v>
      </c>
      <c r="AD352" s="9">
        <f t="shared" si="95"/>
        <v>11389.166666666668</v>
      </c>
      <c r="AE352">
        <f t="shared" si="97"/>
        <v>2555730</v>
      </c>
      <c r="AF352" s="2">
        <f t="shared" si="101"/>
        <v>18.7</v>
      </c>
      <c r="AG352" t="str">
        <f t="shared" si="102"/>
        <v>189小时</v>
      </c>
      <c r="AH352">
        <f t="shared" si="103"/>
        <v>57</v>
      </c>
      <c r="AI352">
        <f t="shared" si="104"/>
        <v>10</v>
      </c>
      <c r="AJ352">
        <f t="shared" si="98"/>
        <v>36.6</v>
      </c>
      <c r="AK352">
        <f t="shared" si="105"/>
        <v>19</v>
      </c>
      <c r="AL352">
        <f t="shared" si="99"/>
        <v>18.7</v>
      </c>
      <c r="AM352" s="2">
        <f t="shared" si="106"/>
        <v>10</v>
      </c>
      <c r="AX352">
        <v>349</v>
      </c>
      <c r="AZ352" s="3"/>
      <c r="BB352" s="2">
        <f t="shared" si="96"/>
        <v>125</v>
      </c>
      <c r="BC352">
        <f t="shared" si="100"/>
        <v>8.022875816993464</v>
      </c>
      <c r="BD352" s="2">
        <f t="shared" si="107"/>
        <v>36.6</v>
      </c>
      <c r="BE352">
        <f t="shared" si="108"/>
        <v>18.7</v>
      </c>
      <c r="BF352">
        <f t="shared" si="109"/>
        <v>107712</v>
      </c>
    </row>
    <row r="353" spans="1:58" ht="14.25" x14ac:dyDescent="0.2">
      <c r="A353" s="11">
        <v>10220</v>
      </c>
      <c r="B353" s="13">
        <v>3</v>
      </c>
      <c r="C353" s="15">
        <v>3</v>
      </c>
      <c r="D353" s="14">
        <f t="shared" si="110"/>
        <v>6</v>
      </c>
      <c r="E353" s="1" t="s">
        <v>2785</v>
      </c>
      <c r="F353" s="1" t="s">
        <v>2786</v>
      </c>
      <c r="G353" s="1" t="s">
        <v>2833</v>
      </c>
      <c r="H353" s="1" t="s">
        <v>2829</v>
      </c>
      <c r="I353" s="1" t="s">
        <v>2697</v>
      </c>
      <c r="J353" s="16" t="s">
        <v>2875</v>
      </c>
      <c r="K353" t="s">
        <v>166</v>
      </c>
      <c r="L353" t="s">
        <v>163</v>
      </c>
      <c r="M353" t="s">
        <v>163</v>
      </c>
      <c r="N353" t="s">
        <v>163</v>
      </c>
      <c r="O353" s="6" t="s">
        <v>691</v>
      </c>
      <c r="P353">
        <v>0</v>
      </c>
      <c r="Q353" s="24">
        <v>29.2</v>
      </c>
      <c r="R353" s="25">
        <v>35.5</v>
      </c>
      <c r="S353" s="26">
        <v>32.5</v>
      </c>
      <c r="Y353">
        <v>9</v>
      </c>
      <c r="Z353">
        <v>25</v>
      </c>
      <c r="AA353" s="3">
        <v>25</v>
      </c>
      <c r="AB353" s="3">
        <v>6</v>
      </c>
      <c r="AC353">
        <v>155</v>
      </c>
      <c r="AD353" s="9">
        <f t="shared" si="95"/>
        <v>11389.166666666668</v>
      </c>
      <c r="AE353">
        <f t="shared" si="97"/>
        <v>2555730</v>
      </c>
      <c r="AF353" s="2">
        <f t="shared" si="101"/>
        <v>18.7</v>
      </c>
      <c r="AG353" t="str">
        <f t="shared" si="102"/>
        <v>189小时</v>
      </c>
      <c r="AH353">
        <f t="shared" si="103"/>
        <v>57</v>
      </c>
      <c r="AI353">
        <f t="shared" si="104"/>
        <v>10</v>
      </c>
      <c r="AJ353">
        <f t="shared" si="98"/>
        <v>36.6</v>
      </c>
      <c r="AK353">
        <f t="shared" si="105"/>
        <v>19</v>
      </c>
      <c r="AL353">
        <f t="shared" si="99"/>
        <v>18.7</v>
      </c>
      <c r="AM353" s="2">
        <f t="shared" si="106"/>
        <v>10</v>
      </c>
      <c r="AX353">
        <v>350</v>
      </c>
      <c r="AZ353" s="3"/>
      <c r="BB353" s="2">
        <f t="shared" si="96"/>
        <v>125</v>
      </c>
      <c r="BC353">
        <f t="shared" si="100"/>
        <v>8.022875816993464</v>
      </c>
      <c r="BD353" s="2">
        <f t="shared" si="107"/>
        <v>36.6</v>
      </c>
      <c r="BE353">
        <f t="shared" si="108"/>
        <v>18.7</v>
      </c>
      <c r="BF353">
        <f t="shared" si="109"/>
        <v>107712</v>
      </c>
    </row>
    <row r="354" spans="1:58" ht="14.25" x14ac:dyDescent="0.2">
      <c r="A354" s="11">
        <v>10221</v>
      </c>
      <c r="B354" s="13">
        <v>3</v>
      </c>
      <c r="C354" s="15">
        <v>3</v>
      </c>
      <c r="D354" s="14">
        <f t="shared" si="110"/>
        <v>6</v>
      </c>
      <c r="E354" s="1" t="s">
        <v>2777</v>
      </c>
      <c r="F354" s="1" t="s">
        <v>2834</v>
      </c>
      <c r="G354" s="1" t="s">
        <v>2779</v>
      </c>
      <c r="H354" s="1" t="s">
        <v>2779</v>
      </c>
      <c r="I354" s="1" t="s">
        <v>2780</v>
      </c>
      <c r="J354" s="16" t="s">
        <v>2827</v>
      </c>
      <c r="K354" t="s">
        <v>168</v>
      </c>
      <c r="L354" t="s">
        <v>163</v>
      </c>
      <c r="M354" t="s">
        <v>163</v>
      </c>
      <c r="N354" t="s">
        <v>163</v>
      </c>
      <c r="O354" s="6" t="s">
        <v>693</v>
      </c>
      <c r="P354">
        <v>0</v>
      </c>
      <c r="Q354" s="24">
        <v>29.5</v>
      </c>
      <c r="R354" s="25">
        <v>36</v>
      </c>
      <c r="S354" s="26">
        <v>32.799999999999997</v>
      </c>
      <c r="Y354">
        <v>10</v>
      </c>
      <c r="Z354">
        <v>1</v>
      </c>
      <c r="AA354" s="3">
        <v>20</v>
      </c>
      <c r="AB354" s="3">
        <v>6</v>
      </c>
      <c r="AC354">
        <v>155</v>
      </c>
      <c r="AD354" s="9">
        <f t="shared" si="95"/>
        <v>11209.333333333334</v>
      </c>
      <c r="AE354">
        <f t="shared" si="97"/>
        <v>2555730</v>
      </c>
      <c r="AF354" s="2">
        <f t="shared" si="101"/>
        <v>19</v>
      </c>
      <c r="AG354" t="str">
        <f t="shared" si="102"/>
        <v>186小时</v>
      </c>
      <c r="AH354">
        <f t="shared" si="103"/>
        <v>57</v>
      </c>
      <c r="AI354">
        <f t="shared" si="104"/>
        <v>10</v>
      </c>
      <c r="AJ354">
        <f t="shared" si="98"/>
        <v>37</v>
      </c>
      <c r="AK354">
        <f t="shared" si="105"/>
        <v>19</v>
      </c>
      <c r="AL354">
        <f t="shared" si="99"/>
        <v>19</v>
      </c>
      <c r="AM354" s="2">
        <f t="shared" si="106"/>
        <v>10</v>
      </c>
      <c r="AX354">
        <v>351</v>
      </c>
      <c r="AZ354" s="3"/>
      <c r="BB354" s="2">
        <f t="shared" si="96"/>
        <v>125</v>
      </c>
      <c r="BC354">
        <f t="shared" si="100"/>
        <v>7.8961988304093564</v>
      </c>
      <c r="BD354" s="2">
        <f t="shared" si="107"/>
        <v>37</v>
      </c>
      <c r="BE354">
        <f t="shared" si="108"/>
        <v>19</v>
      </c>
      <c r="BF354">
        <f t="shared" si="109"/>
        <v>109440</v>
      </c>
    </row>
    <row r="355" spans="1:58" ht="14.25" x14ac:dyDescent="0.2">
      <c r="A355" s="11">
        <v>10222</v>
      </c>
      <c r="B355" s="13">
        <v>3</v>
      </c>
      <c r="C355" s="15">
        <v>3</v>
      </c>
      <c r="D355" s="14">
        <f t="shared" si="110"/>
        <v>6</v>
      </c>
      <c r="E355" s="1" t="s">
        <v>2777</v>
      </c>
      <c r="F355" s="1" t="s">
        <v>2835</v>
      </c>
      <c r="G355" s="1" t="s">
        <v>2779</v>
      </c>
      <c r="H355" s="1" t="s">
        <v>2779</v>
      </c>
      <c r="I355" s="1" t="s">
        <v>2780</v>
      </c>
      <c r="J355" s="16" t="s">
        <v>2827</v>
      </c>
      <c r="K355" t="s">
        <v>175</v>
      </c>
      <c r="L355" t="s">
        <v>164</v>
      </c>
      <c r="M355" t="s">
        <v>163</v>
      </c>
      <c r="N355" t="s">
        <v>167</v>
      </c>
      <c r="O355" s="6" t="s">
        <v>695</v>
      </c>
      <c r="P355">
        <v>0</v>
      </c>
      <c r="Q355" s="24">
        <v>29.5</v>
      </c>
      <c r="R355" s="25">
        <v>36</v>
      </c>
      <c r="S355" s="26">
        <v>32.799999999999997</v>
      </c>
      <c r="Y355">
        <v>10</v>
      </c>
      <c r="Z355">
        <v>2</v>
      </c>
      <c r="AA355" s="3">
        <v>20</v>
      </c>
      <c r="AB355" s="3">
        <v>6</v>
      </c>
      <c r="AC355">
        <v>155</v>
      </c>
      <c r="AD355" s="9">
        <f t="shared" si="95"/>
        <v>11209.333333333334</v>
      </c>
      <c r="AE355">
        <f t="shared" si="97"/>
        <v>2555730</v>
      </c>
      <c r="AF355" s="2">
        <f t="shared" si="101"/>
        <v>19</v>
      </c>
      <c r="AG355" t="str">
        <f t="shared" si="102"/>
        <v>186小时</v>
      </c>
      <c r="AH355">
        <f t="shared" si="103"/>
        <v>57</v>
      </c>
      <c r="AI355">
        <f t="shared" si="104"/>
        <v>10</v>
      </c>
      <c r="AJ355">
        <f t="shared" si="98"/>
        <v>37</v>
      </c>
      <c r="AK355">
        <f t="shared" si="105"/>
        <v>19</v>
      </c>
      <c r="AL355">
        <f t="shared" si="99"/>
        <v>19</v>
      </c>
      <c r="AM355" s="2">
        <f t="shared" si="106"/>
        <v>10</v>
      </c>
      <c r="AX355">
        <v>352</v>
      </c>
      <c r="AZ355" s="3"/>
      <c r="BB355" s="2">
        <f t="shared" si="96"/>
        <v>125</v>
      </c>
      <c r="BC355">
        <f t="shared" si="100"/>
        <v>7.8961988304093564</v>
      </c>
      <c r="BD355" s="2">
        <f t="shared" si="107"/>
        <v>37</v>
      </c>
      <c r="BE355">
        <f t="shared" si="108"/>
        <v>19</v>
      </c>
      <c r="BF355">
        <f t="shared" si="109"/>
        <v>109440</v>
      </c>
    </row>
    <row r="356" spans="1:58" ht="14.25" x14ac:dyDescent="0.2">
      <c r="A356" s="11">
        <v>10223</v>
      </c>
      <c r="B356" s="13">
        <v>3</v>
      </c>
      <c r="C356" s="15">
        <v>3</v>
      </c>
      <c r="D356" s="14">
        <f t="shared" si="110"/>
        <v>6</v>
      </c>
      <c r="E356" s="1" t="s">
        <v>2777</v>
      </c>
      <c r="F356" s="1" t="s">
        <v>2836</v>
      </c>
      <c r="G356" s="1" t="s">
        <v>2779</v>
      </c>
      <c r="H356" s="1" t="s">
        <v>2779</v>
      </c>
      <c r="I356" s="1" t="s">
        <v>2780</v>
      </c>
      <c r="J356" s="16" t="s">
        <v>2827</v>
      </c>
      <c r="K356" t="s">
        <v>179</v>
      </c>
      <c r="L356" t="s">
        <v>163</v>
      </c>
      <c r="M356" t="s">
        <v>163</v>
      </c>
      <c r="N356" t="s">
        <v>163</v>
      </c>
      <c r="O356" s="6" t="s">
        <v>697</v>
      </c>
      <c r="P356">
        <v>0</v>
      </c>
      <c r="Q356" s="24">
        <v>29.5</v>
      </c>
      <c r="R356" s="25">
        <v>36</v>
      </c>
      <c r="S356" s="26">
        <v>32.799999999999997</v>
      </c>
      <c r="Y356">
        <v>10</v>
      </c>
      <c r="Z356">
        <v>3</v>
      </c>
      <c r="AA356" s="3">
        <v>20</v>
      </c>
      <c r="AB356" s="3">
        <v>6</v>
      </c>
      <c r="AC356">
        <v>155</v>
      </c>
      <c r="AD356" s="9">
        <f t="shared" si="95"/>
        <v>11209.333333333334</v>
      </c>
      <c r="AE356">
        <f t="shared" si="97"/>
        <v>2555730</v>
      </c>
      <c r="AF356" s="2">
        <f t="shared" si="101"/>
        <v>19</v>
      </c>
      <c r="AG356" t="str">
        <f t="shared" si="102"/>
        <v>186小时</v>
      </c>
      <c r="AH356">
        <f t="shared" si="103"/>
        <v>57</v>
      </c>
      <c r="AI356">
        <f t="shared" si="104"/>
        <v>10</v>
      </c>
      <c r="AJ356">
        <f t="shared" si="98"/>
        <v>37</v>
      </c>
      <c r="AK356">
        <f t="shared" si="105"/>
        <v>19</v>
      </c>
      <c r="AL356">
        <f t="shared" si="99"/>
        <v>19</v>
      </c>
      <c r="AM356" s="2">
        <f t="shared" si="106"/>
        <v>10</v>
      </c>
      <c r="AX356">
        <v>353</v>
      </c>
      <c r="AZ356" s="3"/>
      <c r="BB356" s="2">
        <f t="shared" si="96"/>
        <v>125</v>
      </c>
      <c r="BC356">
        <f t="shared" si="100"/>
        <v>7.8961988304093564</v>
      </c>
      <c r="BD356" s="2">
        <f t="shared" si="107"/>
        <v>37</v>
      </c>
      <c r="BE356">
        <f t="shared" si="108"/>
        <v>19</v>
      </c>
      <c r="BF356">
        <f t="shared" si="109"/>
        <v>109440</v>
      </c>
    </row>
    <row r="357" spans="1:58" ht="14.25" x14ac:dyDescent="0.2">
      <c r="A357" s="11">
        <v>10224</v>
      </c>
      <c r="B357" s="13">
        <v>3</v>
      </c>
      <c r="C357" s="15">
        <v>3</v>
      </c>
      <c r="D357" s="14">
        <f t="shared" si="110"/>
        <v>6</v>
      </c>
      <c r="E357" s="1" t="s">
        <v>2777</v>
      </c>
      <c r="F357" s="1" t="s">
        <v>2837</v>
      </c>
      <c r="G357" s="1" t="s">
        <v>2779</v>
      </c>
      <c r="H357" s="1" t="s">
        <v>2779</v>
      </c>
      <c r="I357" s="1" t="s">
        <v>2780</v>
      </c>
      <c r="J357" s="16" t="s">
        <v>2827</v>
      </c>
      <c r="K357" t="s">
        <v>177</v>
      </c>
      <c r="L357" t="s">
        <v>163</v>
      </c>
      <c r="M357" t="s">
        <v>163</v>
      </c>
      <c r="N357" t="s">
        <v>163</v>
      </c>
      <c r="O357" s="6" t="s">
        <v>697</v>
      </c>
      <c r="P357">
        <v>0</v>
      </c>
      <c r="Q357" s="24">
        <v>29.5</v>
      </c>
      <c r="R357" s="25">
        <v>36</v>
      </c>
      <c r="S357" s="26">
        <v>32.799999999999997</v>
      </c>
      <c r="Y357">
        <v>10</v>
      </c>
      <c r="Z357">
        <v>4</v>
      </c>
      <c r="AA357" s="3">
        <v>20</v>
      </c>
      <c r="AB357" s="3">
        <v>6</v>
      </c>
      <c r="AC357">
        <v>155</v>
      </c>
      <c r="AD357" s="9">
        <f t="shared" si="95"/>
        <v>11209.333333333334</v>
      </c>
      <c r="AE357">
        <f t="shared" si="97"/>
        <v>2555730</v>
      </c>
      <c r="AF357" s="2">
        <f t="shared" si="101"/>
        <v>19</v>
      </c>
      <c r="AG357" t="str">
        <f t="shared" si="102"/>
        <v>186小时</v>
      </c>
      <c r="AH357">
        <f t="shared" si="103"/>
        <v>57</v>
      </c>
      <c r="AI357">
        <f t="shared" si="104"/>
        <v>10</v>
      </c>
      <c r="AJ357">
        <f t="shared" si="98"/>
        <v>37</v>
      </c>
      <c r="AK357">
        <f t="shared" si="105"/>
        <v>19</v>
      </c>
      <c r="AL357">
        <f t="shared" si="99"/>
        <v>19</v>
      </c>
      <c r="AM357" s="2">
        <f t="shared" si="106"/>
        <v>10</v>
      </c>
      <c r="AX357">
        <v>354</v>
      </c>
      <c r="AZ357" s="3"/>
      <c r="BB357" s="2">
        <f t="shared" si="96"/>
        <v>125</v>
      </c>
      <c r="BC357">
        <f t="shared" si="100"/>
        <v>7.8961988304093564</v>
      </c>
      <c r="BD357" s="2">
        <f t="shared" si="107"/>
        <v>37</v>
      </c>
      <c r="BE357">
        <f t="shared" si="108"/>
        <v>19</v>
      </c>
      <c r="BF357">
        <f t="shared" si="109"/>
        <v>109440</v>
      </c>
    </row>
    <row r="358" spans="1:58" ht="14.25" x14ac:dyDescent="0.2">
      <c r="A358" s="11">
        <v>10225</v>
      </c>
      <c r="B358" s="13">
        <v>3</v>
      </c>
      <c r="C358" s="15">
        <v>3</v>
      </c>
      <c r="D358" s="14">
        <f t="shared" si="110"/>
        <v>6</v>
      </c>
      <c r="E358" s="1" t="s">
        <v>2785</v>
      </c>
      <c r="F358" s="1" t="s">
        <v>2786</v>
      </c>
      <c r="G358" s="1" t="s">
        <v>2828</v>
      </c>
      <c r="H358" s="1" t="s">
        <v>2829</v>
      </c>
      <c r="I358" s="1" t="s">
        <v>2697</v>
      </c>
      <c r="J358" s="16" t="s">
        <v>2875</v>
      </c>
      <c r="K358" t="s">
        <v>174</v>
      </c>
      <c r="L358" t="s">
        <v>163</v>
      </c>
      <c r="M358" t="s">
        <v>163</v>
      </c>
      <c r="N358" t="s">
        <v>163</v>
      </c>
      <c r="O358" s="6" t="s">
        <v>699</v>
      </c>
      <c r="P358">
        <v>0</v>
      </c>
      <c r="Q358" s="24">
        <v>29.5</v>
      </c>
      <c r="R358" s="25">
        <v>36</v>
      </c>
      <c r="S358" s="26">
        <v>32.799999999999997</v>
      </c>
      <c r="Y358">
        <v>10</v>
      </c>
      <c r="Z358">
        <v>5</v>
      </c>
      <c r="AA358" s="3">
        <v>25</v>
      </c>
      <c r="AB358" s="3">
        <v>6</v>
      </c>
      <c r="AC358">
        <v>155</v>
      </c>
      <c r="AD358" s="9">
        <f t="shared" si="95"/>
        <v>11209.333333333334</v>
      </c>
      <c r="AE358">
        <f t="shared" si="97"/>
        <v>2555730</v>
      </c>
      <c r="AF358" s="2">
        <f t="shared" si="101"/>
        <v>19</v>
      </c>
      <c r="AG358" t="str">
        <f t="shared" si="102"/>
        <v>186小时</v>
      </c>
      <c r="AH358">
        <f t="shared" si="103"/>
        <v>57</v>
      </c>
      <c r="AI358">
        <f t="shared" si="104"/>
        <v>10</v>
      </c>
      <c r="AJ358">
        <f t="shared" si="98"/>
        <v>37</v>
      </c>
      <c r="AK358">
        <f t="shared" si="105"/>
        <v>19</v>
      </c>
      <c r="AL358">
        <f t="shared" si="99"/>
        <v>19</v>
      </c>
      <c r="AM358" s="2">
        <f t="shared" si="106"/>
        <v>10</v>
      </c>
      <c r="AX358">
        <v>355</v>
      </c>
      <c r="AZ358" s="3"/>
      <c r="BB358" s="2">
        <f t="shared" si="96"/>
        <v>125</v>
      </c>
      <c r="BC358">
        <f t="shared" si="100"/>
        <v>7.8961988304093564</v>
      </c>
      <c r="BD358" s="2">
        <f t="shared" si="107"/>
        <v>37</v>
      </c>
      <c r="BE358">
        <f t="shared" si="108"/>
        <v>19</v>
      </c>
      <c r="BF358">
        <f t="shared" si="109"/>
        <v>109440</v>
      </c>
    </row>
    <row r="359" spans="1:58" ht="14.25" x14ac:dyDescent="0.2">
      <c r="A359" s="11">
        <v>10226</v>
      </c>
      <c r="B359" s="13">
        <v>3</v>
      </c>
      <c r="C359" s="15">
        <v>3</v>
      </c>
      <c r="D359" s="14">
        <f t="shared" si="110"/>
        <v>6</v>
      </c>
      <c r="E359" s="1" t="s">
        <v>2777</v>
      </c>
      <c r="F359" s="1" t="s">
        <v>2834</v>
      </c>
      <c r="G359" s="1" t="s">
        <v>2779</v>
      </c>
      <c r="H359" s="1" t="s">
        <v>2779</v>
      </c>
      <c r="I359" s="1" t="s">
        <v>2780</v>
      </c>
      <c r="J359" s="16" t="s">
        <v>2827</v>
      </c>
      <c r="K359" t="s">
        <v>182</v>
      </c>
      <c r="L359" t="s">
        <v>163</v>
      </c>
      <c r="M359" t="s">
        <v>163</v>
      </c>
      <c r="N359" t="s">
        <v>163</v>
      </c>
      <c r="O359" s="6" t="s">
        <v>701</v>
      </c>
      <c r="P359">
        <v>0</v>
      </c>
      <c r="Q359" s="24">
        <v>29.8</v>
      </c>
      <c r="R359" s="25">
        <v>36.5</v>
      </c>
      <c r="S359" s="26">
        <v>33</v>
      </c>
      <c r="Y359">
        <v>10</v>
      </c>
      <c r="Z359">
        <v>6</v>
      </c>
      <c r="AA359" s="3">
        <v>20</v>
      </c>
      <c r="AB359" s="3">
        <v>6</v>
      </c>
      <c r="AC359">
        <v>155</v>
      </c>
      <c r="AD359" s="9">
        <f t="shared" si="95"/>
        <v>11092.5</v>
      </c>
      <c r="AE359">
        <f t="shared" si="97"/>
        <v>2555730</v>
      </c>
      <c r="AF359" s="2">
        <f t="shared" si="101"/>
        <v>19.200000000000003</v>
      </c>
      <c r="AG359" t="str">
        <f t="shared" si="102"/>
        <v>184小时</v>
      </c>
      <c r="AH359">
        <f t="shared" si="103"/>
        <v>58</v>
      </c>
      <c r="AI359">
        <f t="shared" si="104"/>
        <v>10</v>
      </c>
      <c r="AJ359">
        <f t="shared" si="98"/>
        <v>37.299999999999997</v>
      </c>
      <c r="AK359">
        <f t="shared" si="105"/>
        <v>19</v>
      </c>
      <c r="AL359">
        <f t="shared" si="99"/>
        <v>19.200000000000003</v>
      </c>
      <c r="AM359" s="2">
        <f t="shared" si="106"/>
        <v>10</v>
      </c>
      <c r="AX359">
        <v>356</v>
      </c>
      <c r="AZ359" s="3"/>
      <c r="BB359" s="2">
        <f t="shared" si="96"/>
        <v>125</v>
      </c>
      <c r="BC359">
        <f t="shared" si="100"/>
        <v>7.8139467592592569</v>
      </c>
      <c r="BD359" s="2">
        <f t="shared" si="107"/>
        <v>37.299999999999997</v>
      </c>
      <c r="BE359">
        <f t="shared" si="108"/>
        <v>19.200000000000003</v>
      </c>
      <c r="BF359">
        <f t="shared" si="109"/>
        <v>110592.00000000003</v>
      </c>
    </row>
    <row r="360" spans="1:58" ht="14.25" x14ac:dyDescent="0.2">
      <c r="A360" s="11">
        <v>10227</v>
      </c>
      <c r="B360" s="13">
        <v>3</v>
      </c>
      <c r="C360" s="15">
        <v>3</v>
      </c>
      <c r="D360" s="14">
        <f t="shared" si="110"/>
        <v>6</v>
      </c>
      <c r="E360" s="1" t="s">
        <v>2777</v>
      </c>
      <c r="F360" s="1" t="s">
        <v>2835</v>
      </c>
      <c r="G360" s="1" t="s">
        <v>2779</v>
      </c>
      <c r="H360" s="1" t="s">
        <v>2779</v>
      </c>
      <c r="I360" s="1" t="s">
        <v>2780</v>
      </c>
      <c r="J360" s="16" t="s">
        <v>2827</v>
      </c>
      <c r="K360" t="s">
        <v>162</v>
      </c>
      <c r="L360" t="s">
        <v>163</v>
      </c>
      <c r="M360" t="s">
        <v>163</v>
      </c>
      <c r="N360" t="s">
        <v>163</v>
      </c>
      <c r="O360" s="6" t="s">
        <v>701</v>
      </c>
      <c r="P360">
        <v>0</v>
      </c>
      <c r="Q360" s="24">
        <v>29.8</v>
      </c>
      <c r="R360" s="25">
        <v>36.5</v>
      </c>
      <c r="S360" s="26">
        <v>33</v>
      </c>
      <c r="Y360">
        <v>10</v>
      </c>
      <c r="Z360">
        <v>7</v>
      </c>
      <c r="AA360" s="3">
        <v>20</v>
      </c>
      <c r="AB360" s="3">
        <v>6</v>
      </c>
      <c r="AC360">
        <v>155</v>
      </c>
      <c r="AD360" s="9">
        <f t="shared" si="95"/>
        <v>11092.5</v>
      </c>
      <c r="AE360">
        <f t="shared" si="97"/>
        <v>2555730</v>
      </c>
      <c r="AF360" s="2">
        <f t="shared" si="101"/>
        <v>19.200000000000003</v>
      </c>
      <c r="AG360" t="str">
        <f t="shared" si="102"/>
        <v>184小时</v>
      </c>
      <c r="AH360">
        <f t="shared" si="103"/>
        <v>58</v>
      </c>
      <c r="AI360">
        <f t="shared" si="104"/>
        <v>10</v>
      </c>
      <c r="AJ360">
        <f t="shared" si="98"/>
        <v>37.299999999999997</v>
      </c>
      <c r="AK360">
        <f t="shared" si="105"/>
        <v>19</v>
      </c>
      <c r="AL360">
        <f t="shared" si="99"/>
        <v>19.200000000000003</v>
      </c>
      <c r="AM360" s="2">
        <f t="shared" si="106"/>
        <v>10</v>
      </c>
      <c r="AX360">
        <v>357</v>
      </c>
      <c r="AZ360" s="3"/>
      <c r="BB360" s="2">
        <f t="shared" si="96"/>
        <v>125</v>
      </c>
      <c r="BC360">
        <f t="shared" si="100"/>
        <v>7.8139467592592569</v>
      </c>
      <c r="BD360" s="2">
        <f t="shared" si="107"/>
        <v>37.299999999999997</v>
      </c>
      <c r="BE360">
        <f t="shared" si="108"/>
        <v>19.200000000000003</v>
      </c>
      <c r="BF360">
        <f t="shared" si="109"/>
        <v>110592.00000000003</v>
      </c>
    </row>
    <row r="361" spans="1:58" ht="14.25" x14ac:dyDescent="0.2">
      <c r="A361" s="11">
        <v>10228</v>
      </c>
      <c r="B361" s="13">
        <v>3</v>
      </c>
      <c r="C361" s="15">
        <v>3</v>
      </c>
      <c r="D361" s="14">
        <f t="shared" si="110"/>
        <v>6</v>
      </c>
      <c r="E361" s="1" t="s">
        <v>2777</v>
      </c>
      <c r="F361" s="1" t="s">
        <v>2836</v>
      </c>
      <c r="G361" s="1" t="s">
        <v>2779</v>
      </c>
      <c r="H361" s="1" t="s">
        <v>2779</v>
      </c>
      <c r="I361" s="1" t="s">
        <v>2780</v>
      </c>
      <c r="J361" s="16" t="s">
        <v>2827</v>
      </c>
      <c r="K361" t="s">
        <v>177</v>
      </c>
      <c r="L361" t="s">
        <v>163</v>
      </c>
      <c r="M361" t="s">
        <v>163</v>
      </c>
      <c r="N361" t="s">
        <v>163</v>
      </c>
      <c r="O361" s="6" t="s">
        <v>703</v>
      </c>
      <c r="P361">
        <v>0</v>
      </c>
      <c r="Q361" s="24">
        <v>29.8</v>
      </c>
      <c r="R361" s="25">
        <v>36.5</v>
      </c>
      <c r="S361" s="26">
        <v>33</v>
      </c>
      <c r="Y361">
        <v>10</v>
      </c>
      <c r="Z361">
        <v>8</v>
      </c>
      <c r="AA361" s="3">
        <v>20</v>
      </c>
      <c r="AB361" s="3">
        <v>6</v>
      </c>
      <c r="AC361">
        <v>155</v>
      </c>
      <c r="AD361" s="9">
        <f t="shared" si="95"/>
        <v>11092.5</v>
      </c>
      <c r="AE361">
        <f t="shared" si="97"/>
        <v>2555730</v>
      </c>
      <c r="AF361" s="2">
        <f t="shared" si="101"/>
        <v>19.200000000000003</v>
      </c>
      <c r="AG361" t="str">
        <f t="shared" si="102"/>
        <v>184小时</v>
      </c>
      <c r="AH361">
        <f t="shared" si="103"/>
        <v>58</v>
      </c>
      <c r="AI361">
        <f t="shared" si="104"/>
        <v>10</v>
      </c>
      <c r="AJ361">
        <f t="shared" si="98"/>
        <v>37.299999999999997</v>
      </c>
      <c r="AK361">
        <f t="shared" si="105"/>
        <v>19</v>
      </c>
      <c r="AL361">
        <f t="shared" si="99"/>
        <v>19.200000000000003</v>
      </c>
      <c r="AM361" s="2">
        <f t="shared" si="106"/>
        <v>10</v>
      </c>
      <c r="AX361">
        <v>358</v>
      </c>
      <c r="AZ361" s="3"/>
      <c r="BB361" s="2">
        <f t="shared" si="96"/>
        <v>125</v>
      </c>
      <c r="BC361">
        <f t="shared" si="100"/>
        <v>7.8139467592592569</v>
      </c>
      <c r="BD361" s="2">
        <f t="shared" si="107"/>
        <v>37.299999999999997</v>
      </c>
      <c r="BE361">
        <f t="shared" si="108"/>
        <v>19.200000000000003</v>
      </c>
      <c r="BF361">
        <f t="shared" si="109"/>
        <v>110592.00000000003</v>
      </c>
    </row>
    <row r="362" spans="1:58" ht="14.25" x14ac:dyDescent="0.2">
      <c r="A362" s="11">
        <v>10229</v>
      </c>
      <c r="B362" s="13">
        <v>3</v>
      </c>
      <c r="C362" s="15">
        <v>3</v>
      </c>
      <c r="D362" s="14">
        <f t="shared" si="110"/>
        <v>6</v>
      </c>
      <c r="E362" s="1" t="s">
        <v>2777</v>
      </c>
      <c r="F362" s="1" t="s">
        <v>2837</v>
      </c>
      <c r="G362" s="1" t="s">
        <v>2779</v>
      </c>
      <c r="H362" s="1" t="s">
        <v>2779</v>
      </c>
      <c r="I362" s="1" t="s">
        <v>2780</v>
      </c>
      <c r="J362" s="16" t="s">
        <v>2827</v>
      </c>
      <c r="K362" t="s">
        <v>174</v>
      </c>
      <c r="L362" t="s">
        <v>163</v>
      </c>
      <c r="M362" t="s">
        <v>163</v>
      </c>
      <c r="N362" t="s">
        <v>163</v>
      </c>
      <c r="O362" s="6" t="s">
        <v>705</v>
      </c>
      <c r="P362">
        <v>0</v>
      </c>
      <c r="Q362" s="24">
        <v>29.8</v>
      </c>
      <c r="R362" s="25">
        <v>36.5</v>
      </c>
      <c r="S362" s="26">
        <v>33</v>
      </c>
      <c r="Y362">
        <v>10</v>
      </c>
      <c r="Z362">
        <v>9</v>
      </c>
      <c r="AA362" s="3">
        <v>20</v>
      </c>
      <c r="AB362" s="3">
        <v>6</v>
      </c>
      <c r="AC362">
        <v>155</v>
      </c>
      <c r="AD362" s="9">
        <f t="shared" si="95"/>
        <v>11092.5</v>
      </c>
      <c r="AE362">
        <f t="shared" si="97"/>
        <v>2555730</v>
      </c>
      <c r="AF362" s="2">
        <f t="shared" si="101"/>
        <v>19.200000000000003</v>
      </c>
      <c r="AG362" t="str">
        <f t="shared" si="102"/>
        <v>184小时</v>
      </c>
      <c r="AH362">
        <f t="shared" si="103"/>
        <v>58</v>
      </c>
      <c r="AI362">
        <f t="shared" si="104"/>
        <v>10</v>
      </c>
      <c r="AJ362">
        <f t="shared" si="98"/>
        <v>37.299999999999997</v>
      </c>
      <c r="AK362">
        <f t="shared" si="105"/>
        <v>19</v>
      </c>
      <c r="AL362">
        <f t="shared" si="99"/>
        <v>19.200000000000003</v>
      </c>
      <c r="AM362" s="2">
        <f t="shared" si="106"/>
        <v>10</v>
      </c>
      <c r="AX362">
        <v>359</v>
      </c>
      <c r="AZ362" s="3"/>
      <c r="BB362" s="2">
        <f t="shared" si="96"/>
        <v>125</v>
      </c>
      <c r="BC362">
        <f t="shared" si="100"/>
        <v>7.8139467592592569</v>
      </c>
      <c r="BD362" s="2">
        <f t="shared" si="107"/>
        <v>37.299999999999997</v>
      </c>
      <c r="BE362">
        <f t="shared" si="108"/>
        <v>19.200000000000003</v>
      </c>
      <c r="BF362">
        <f t="shared" si="109"/>
        <v>110592.00000000003</v>
      </c>
    </row>
    <row r="363" spans="1:58" ht="14.25" x14ac:dyDescent="0.2">
      <c r="A363" s="11">
        <v>10230</v>
      </c>
      <c r="B363" s="13">
        <v>3</v>
      </c>
      <c r="C363" s="15">
        <v>3</v>
      </c>
      <c r="D363" s="14">
        <f t="shared" si="110"/>
        <v>6</v>
      </c>
      <c r="E363" s="1" t="s">
        <v>2785</v>
      </c>
      <c r="F363" s="1" t="s">
        <v>2786</v>
      </c>
      <c r="G363" s="1" t="s">
        <v>2830</v>
      </c>
      <c r="H363" s="1" t="s">
        <v>2829</v>
      </c>
      <c r="I363" s="1" t="s">
        <v>2697</v>
      </c>
      <c r="J363" s="16" t="s">
        <v>2857</v>
      </c>
      <c r="K363" t="s">
        <v>166</v>
      </c>
      <c r="L363" t="s">
        <v>163</v>
      </c>
      <c r="M363" t="s">
        <v>163</v>
      </c>
      <c r="N363" t="s">
        <v>163</v>
      </c>
      <c r="O363" s="6" t="s">
        <v>705</v>
      </c>
      <c r="P363">
        <v>0</v>
      </c>
      <c r="Q363" s="24">
        <v>29.8</v>
      </c>
      <c r="R363" s="25">
        <v>36.5</v>
      </c>
      <c r="S363" s="26">
        <v>33</v>
      </c>
      <c r="Y363">
        <v>10</v>
      </c>
      <c r="Z363">
        <v>10</v>
      </c>
      <c r="AA363" s="3">
        <v>25</v>
      </c>
      <c r="AB363" s="3">
        <v>6</v>
      </c>
      <c r="AC363">
        <v>155</v>
      </c>
      <c r="AD363" s="9">
        <f t="shared" si="95"/>
        <v>11092.5</v>
      </c>
      <c r="AE363">
        <f t="shared" si="97"/>
        <v>2555730</v>
      </c>
      <c r="AF363" s="2">
        <f t="shared" si="101"/>
        <v>19.200000000000003</v>
      </c>
      <c r="AG363" t="str">
        <f t="shared" si="102"/>
        <v>184小时</v>
      </c>
      <c r="AH363">
        <f t="shared" si="103"/>
        <v>58</v>
      </c>
      <c r="AI363">
        <f t="shared" si="104"/>
        <v>10</v>
      </c>
      <c r="AJ363">
        <f t="shared" si="98"/>
        <v>37.299999999999997</v>
      </c>
      <c r="AK363">
        <f t="shared" si="105"/>
        <v>19</v>
      </c>
      <c r="AL363">
        <f t="shared" si="99"/>
        <v>19.200000000000003</v>
      </c>
      <c r="AM363" s="2">
        <f t="shared" si="106"/>
        <v>10</v>
      </c>
      <c r="AX363">
        <v>360</v>
      </c>
      <c r="AZ363" s="3"/>
      <c r="BB363" s="2">
        <f t="shared" si="96"/>
        <v>125</v>
      </c>
      <c r="BC363">
        <f t="shared" si="100"/>
        <v>7.8139467592592569</v>
      </c>
      <c r="BD363" s="2">
        <f t="shared" si="107"/>
        <v>37.299999999999997</v>
      </c>
      <c r="BE363">
        <f t="shared" si="108"/>
        <v>19.200000000000003</v>
      </c>
      <c r="BF363">
        <f t="shared" si="109"/>
        <v>110592.00000000003</v>
      </c>
    </row>
    <row r="364" spans="1:58" ht="14.25" x14ac:dyDescent="0.2">
      <c r="A364" s="11">
        <v>10231</v>
      </c>
      <c r="B364" s="13">
        <v>3</v>
      </c>
      <c r="C364" s="15">
        <v>3</v>
      </c>
      <c r="D364" s="14">
        <f t="shared" si="110"/>
        <v>6</v>
      </c>
      <c r="E364" s="1" t="s">
        <v>2777</v>
      </c>
      <c r="F364" s="1" t="s">
        <v>2834</v>
      </c>
      <c r="G364" s="1" t="s">
        <v>2779</v>
      </c>
      <c r="H364" s="1" t="s">
        <v>2779</v>
      </c>
      <c r="I364" s="1" t="s">
        <v>2780</v>
      </c>
      <c r="J364" s="16" t="s">
        <v>2827</v>
      </c>
      <c r="K364" t="s">
        <v>168</v>
      </c>
      <c r="L364" t="s">
        <v>163</v>
      </c>
      <c r="M364" t="s">
        <v>163</v>
      </c>
      <c r="N364" t="s">
        <v>163</v>
      </c>
      <c r="O364" s="6" t="s">
        <v>707</v>
      </c>
      <c r="P364">
        <v>0</v>
      </c>
      <c r="Q364" s="24">
        <v>30.2</v>
      </c>
      <c r="R364" s="25">
        <v>37</v>
      </c>
      <c r="S364" s="26">
        <v>33.299999999999997</v>
      </c>
      <c r="Y364">
        <v>10</v>
      </c>
      <c r="Z364">
        <v>11</v>
      </c>
      <c r="AA364" s="3">
        <v>20</v>
      </c>
      <c r="AB364" s="3">
        <v>6</v>
      </c>
      <c r="AC364">
        <v>155</v>
      </c>
      <c r="AD364" s="9">
        <f t="shared" si="95"/>
        <v>10921.916666666666</v>
      </c>
      <c r="AE364">
        <f t="shared" si="97"/>
        <v>2555730</v>
      </c>
      <c r="AF364" s="2">
        <f t="shared" si="101"/>
        <v>19.5</v>
      </c>
      <c r="AG364" t="str">
        <f t="shared" si="102"/>
        <v>182小时</v>
      </c>
      <c r="AH364">
        <f t="shared" si="103"/>
        <v>59</v>
      </c>
      <c r="AI364">
        <f t="shared" si="104"/>
        <v>10</v>
      </c>
      <c r="AJ364">
        <f t="shared" si="98"/>
        <v>37.799999999999997</v>
      </c>
      <c r="AK364">
        <f t="shared" si="105"/>
        <v>19</v>
      </c>
      <c r="AL364">
        <f t="shared" si="99"/>
        <v>19.5</v>
      </c>
      <c r="AM364" s="2">
        <f t="shared" si="106"/>
        <v>10</v>
      </c>
      <c r="AX364">
        <v>361</v>
      </c>
      <c r="AZ364" s="3"/>
      <c r="BB364" s="2">
        <f t="shared" si="96"/>
        <v>125</v>
      </c>
      <c r="BC364">
        <f t="shared" si="100"/>
        <v>7.6937321937321936</v>
      </c>
      <c r="BD364" s="2">
        <f t="shared" si="107"/>
        <v>37.799999999999997</v>
      </c>
      <c r="BE364">
        <f t="shared" si="108"/>
        <v>19.5</v>
      </c>
      <c r="BF364">
        <f t="shared" si="109"/>
        <v>112320</v>
      </c>
    </row>
    <row r="365" spans="1:58" ht="14.25" x14ac:dyDescent="0.2">
      <c r="A365" s="11">
        <v>10232</v>
      </c>
      <c r="B365" s="13">
        <v>3</v>
      </c>
      <c r="C365" s="15">
        <v>3</v>
      </c>
      <c r="D365" s="14">
        <f t="shared" si="110"/>
        <v>6</v>
      </c>
      <c r="E365" s="1" t="s">
        <v>2777</v>
      </c>
      <c r="F365" s="1" t="s">
        <v>2835</v>
      </c>
      <c r="G365" s="1" t="s">
        <v>2779</v>
      </c>
      <c r="H365" s="1" t="s">
        <v>2779</v>
      </c>
      <c r="I365" s="1" t="s">
        <v>2780</v>
      </c>
      <c r="J365" s="16" t="s">
        <v>2827</v>
      </c>
      <c r="K365" t="s">
        <v>175</v>
      </c>
      <c r="L365" t="s">
        <v>164</v>
      </c>
      <c r="M365" t="s">
        <v>163</v>
      </c>
      <c r="N365" t="s">
        <v>167</v>
      </c>
      <c r="O365" s="6" t="s">
        <v>709</v>
      </c>
      <c r="P365">
        <v>0</v>
      </c>
      <c r="Q365" s="24">
        <v>30.2</v>
      </c>
      <c r="R365" s="25">
        <v>37</v>
      </c>
      <c r="S365" s="26">
        <v>33.299999999999997</v>
      </c>
      <c r="Y365">
        <v>10</v>
      </c>
      <c r="Z365">
        <v>12</v>
      </c>
      <c r="AA365" s="3">
        <v>20</v>
      </c>
      <c r="AB365" s="3">
        <v>6</v>
      </c>
      <c r="AC365">
        <v>155</v>
      </c>
      <c r="AD365" s="9">
        <f t="shared" si="95"/>
        <v>10921.916666666666</v>
      </c>
      <c r="AE365">
        <f t="shared" si="97"/>
        <v>2555730</v>
      </c>
      <c r="AF365" s="2">
        <f t="shared" si="101"/>
        <v>19.5</v>
      </c>
      <c r="AG365" t="str">
        <f t="shared" si="102"/>
        <v>182小时</v>
      </c>
      <c r="AH365">
        <f t="shared" si="103"/>
        <v>59</v>
      </c>
      <c r="AI365">
        <f t="shared" si="104"/>
        <v>10</v>
      </c>
      <c r="AJ365">
        <f t="shared" si="98"/>
        <v>37.799999999999997</v>
      </c>
      <c r="AK365">
        <f t="shared" si="105"/>
        <v>19</v>
      </c>
      <c r="AL365">
        <f t="shared" si="99"/>
        <v>19.5</v>
      </c>
      <c r="AM365" s="2">
        <f t="shared" si="106"/>
        <v>10</v>
      </c>
      <c r="AX365">
        <v>362</v>
      </c>
      <c r="AZ365" s="3"/>
      <c r="BB365" s="2">
        <f t="shared" si="96"/>
        <v>125</v>
      </c>
      <c r="BC365">
        <f t="shared" si="100"/>
        <v>7.6937321937321936</v>
      </c>
      <c r="BD365" s="2">
        <f t="shared" si="107"/>
        <v>37.799999999999997</v>
      </c>
      <c r="BE365">
        <f t="shared" si="108"/>
        <v>19.5</v>
      </c>
      <c r="BF365">
        <f t="shared" si="109"/>
        <v>112320</v>
      </c>
    </row>
    <row r="366" spans="1:58" ht="14.25" x14ac:dyDescent="0.2">
      <c r="A366" s="11">
        <v>10233</v>
      </c>
      <c r="B366" s="13">
        <v>3</v>
      </c>
      <c r="C366" s="15">
        <v>3</v>
      </c>
      <c r="D366" s="14">
        <f t="shared" si="110"/>
        <v>6</v>
      </c>
      <c r="E366" s="1" t="s">
        <v>2777</v>
      </c>
      <c r="F366" s="1" t="s">
        <v>2836</v>
      </c>
      <c r="G366" s="1" t="s">
        <v>2779</v>
      </c>
      <c r="H366" s="1" t="s">
        <v>2779</v>
      </c>
      <c r="I366" s="1" t="s">
        <v>2780</v>
      </c>
      <c r="J366" s="16" t="s">
        <v>2827</v>
      </c>
      <c r="K366" t="s">
        <v>179</v>
      </c>
      <c r="L366" t="s">
        <v>163</v>
      </c>
      <c r="M366" t="s">
        <v>163</v>
      </c>
      <c r="N366" t="s">
        <v>163</v>
      </c>
      <c r="O366" s="6" t="s">
        <v>711</v>
      </c>
      <c r="P366">
        <v>0</v>
      </c>
      <c r="Q366" s="24">
        <v>30.2</v>
      </c>
      <c r="R366" s="25">
        <v>37</v>
      </c>
      <c r="S366" s="26">
        <v>33.299999999999997</v>
      </c>
      <c r="Y366">
        <v>10</v>
      </c>
      <c r="Z366">
        <v>13</v>
      </c>
      <c r="AA366" s="3">
        <v>20</v>
      </c>
      <c r="AB366" s="3">
        <v>6</v>
      </c>
      <c r="AC366">
        <v>155</v>
      </c>
      <c r="AD366" s="9">
        <f t="shared" si="95"/>
        <v>10921.916666666666</v>
      </c>
      <c r="AE366">
        <f t="shared" si="97"/>
        <v>2555730</v>
      </c>
      <c r="AF366" s="2">
        <f t="shared" si="101"/>
        <v>19.5</v>
      </c>
      <c r="AG366" t="str">
        <f t="shared" si="102"/>
        <v>182小时</v>
      </c>
      <c r="AH366">
        <f t="shared" si="103"/>
        <v>59</v>
      </c>
      <c r="AI366">
        <f t="shared" si="104"/>
        <v>10</v>
      </c>
      <c r="AJ366">
        <f t="shared" si="98"/>
        <v>37.799999999999997</v>
      </c>
      <c r="AK366">
        <f t="shared" si="105"/>
        <v>19</v>
      </c>
      <c r="AL366">
        <f t="shared" si="99"/>
        <v>19.5</v>
      </c>
      <c r="AM366" s="2">
        <f t="shared" si="106"/>
        <v>10</v>
      </c>
      <c r="AX366">
        <v>363</v>
      </c>
      <c r="AZ366" s="3"/>
      <c r="BB366" s="2">
        <f t="shared" si="96"/>
        <v>125</v>
      </c>
      <c r="BC366">
        <f t="shared" si="100"/>
        <v>7.6937321937321936</v>
      </c>
      <c r="BD366" s="2">
        <f t="shared" si="107"/>
        <v>37.799999999999997</v>
      </c>
      <c r="BE366">
        <f t="shared" si="108"/>
        <v>19.5</v>
      </c>
      <c r="BF366">
        <f t="shared" si="109"/>
        <v>112320</v>
      </c>
    </row>
    <row r="367" spans="1:58" ht="14.25" x14ac:dyDescent="0.2">
      <c r="A367" s="11">
        <v>10234</v>
      </c>
      <c r="B367" s="13">
        <v>3</v>
      </c>
      <c r="C367" s="15">
        <v>3</v>
      </c>
      <c r="D367" s="14">
        <f t="shared" si="110"/>
        <v>6</v>
      </c>
      <c r="E367" s="1" t="s">
        <v>2777</v>
      </c>
      <c r="F367" s="1" t="s">
        <v>2837</v>
      </c>
      <c r="G367" s="1" t="s">
        <v>2779</v>
      </c>
      <c r="H367" s="1" t="s">
        <v>2779</v>
      </c>
      <c r="I367" s="1" t="s">
        <v>2780</v>
      </c>
      <c r="J367" s="16" t="s">
        <v>2827</v>
      </c>
      <c r="K367" t="s">
        <v>177</v>
      </c>
      <c r="L367" t="s">
        <v>163</v>
      </c>
      <c r="M367" t="s">
        <v>163</v>
      </c>
      <c r="N367" t="s">
        <v>163</v>
      </c>
      <c r="O367" s="6" t="s">
        <v>711</v>
      </c>
      <c r="P367">
        <v>0</v>
      </c>
      <c r="Q367" s="24">
        <v>30.2</v>
      </c>
      <c r="R367" s="25">
        <v>37</v>
      </c>
      <c r="S367" s="26">
        <v>33.299999999999997</v>
      </c>
      <c r="Y367">
        <v>10</v>
      </c>
      <c r="Z367">
        <v>14</v>
      </c>
      <c r="AA367" s="3">
        <v>20</v>
      </c>
      <c r="AB367" s="3">
        <v>6</v>
      </c>
      <c r="AC367">
        <v>155</v>
      </c>
      <c r="AD367" s="9">
        <f t="shared" si="95"/>
        <v>10921.916666666666</v>
      </c>
      <c r="AE367">
        <f t="shared" si="97"/>
        <v>2555730</v>
      </c>
      <c r="AF367" s="2">
        <f t="shared" si="101"/>
        <v>19.5</v>
      </c>
      <c r="AG367" t="str">
        <f t="shared" si="102"/>
        <v>182小时</v>
      </c>
      <c r="AH367">
        <f t="shared" si="103"/>
        <v>59</v>
      </c>
      <c r="AI367">
        <f t="shared" si="104"/>
        <v>10</v>
      </c>
      <c r="AJ367">
        <f t="shared" si="98"/>
        <v>37.799999999999997</v>
      </c>
      <c r="AK367">
        <f t="shared" si="105"/>
        <v>19</v>
      </c>
      <c r="AL367">
        <f t="shared" si="99"/>
        <v>19.5</v>
      </c>
      <c r="AM367" s="2">
        <f t="shared" si="106"/>
        <v>10</v>
      </c>
      <c r="AX367">
        <v>364</v>
      </c>
      <c r="AZ367" s="3"/>
      <c r="BB367" s="2">
        <f t="shared" si="96"/>
        <v>125</v>
      </c>
      <c r="BC367">
        <f t="shared" si="100"/>
        <v>7.6937321937321936</v>
      </c>
      <c r="BD367" s="2">
        <f t="shared" si="107"/>
        <v>37.799999999999997</v>
      </c>
      <c r="BE367">
        <f t="shared" si="108"/>
        <v>19.5</v>
      </c>
      <c r="BF367">
        <f t="shared" si="109"/>
        <v>112320</v>
      </c>
    </row>
    <row r="368" spans="1:58" ht="14.25" x14ac:dyDescent="0.2">
      <c r="A368" s="11">
        <v>10235</v>
      </c>
      <c r="B368" s="13">
        <v>3</v>
      </c>
      <c r="C368" s="15">
        <v>3</v>
      </c>
      <c r="D368" s="14">
        <f t="shared" si="110"/>
        <v>6</v>
      </c>
      <c r="E368" s="1" t="s">
        <v>2785</v>
      </c>
      <c r="F368" s="1" t="s">
        <v>2786</v>
      </c>
      <c r="G368" s="1" t="s">
        <v>2831</v>
      </c>
      <c r="H368" s="1" t="s">
        <v>2829</v>
      </c>
      <c r="I368" s="1" t="s">
        <v>2697</v>
      </c>
      <c r="J368" s="16" t="s">
        <v>2857</v>
      </c>
      <c r="K368" t="s">
        <v>174</v>
      </c>
      <c r="L368" t="s">
        <v>163</v>
      </c>
      <c r="M368" t="s">
        <v>163</v>
      </c>
      <c r="N368" t="s">
        <v>163</v>
      </c>
      <c r="O368" s="6" t="s">
        <v>713</v>
      </c>
      <c r="P368">
        <v>0</v>
      </c>
      <c r="Q368" s="24">
        <v>30.2</v>
      </c>
      <c r="R368" s="25">
        <v>37</v>
      </c>
      <c r="S368" s="26">
        <v>33.299999999999997</v>
      </c>
      <c r="Y368">
        <v>10</v>
      </c>
      <c r="Z368">
        <v>15</v>
      </c>
      <c r="AA368" s="3">
        <v>25</v>
      </c>
      <c r="AB368" s="3">
        <v>6</v>
      </c>
      <c r="AC368">
        <v>155</v>
      </c>
      <c r="AD368" s="9">
        <f t="shared" si="95"/>
        <v>10921.916666666666</v>
      </c>
      <c r="AE368">
        <f t="shared" si="97"/>
        <v>2555730</v>
      </c>
      <c r="AF368" s="2">
        <f t="shared" si="101"/>
        <v>19.5</v>
      </c>
      <c r="AG368" t="str">
        <f t="shared" si="102"/>
        <v>182小时</v>
      </c>
      <c r="AH368">
        <f t="shared" si="103"/>
        <v>59</v>
      </c>
      <c r="AI368">
        <f t="shared" si="104"/>
        <v>10</v>
      </c>
      <c r="AJ368">
        <f t="shared" si="98"/>
        <v>37.799999999999997</v>
      </c>
      <c r="AK368">
        <f t="shared" si="105"/>
        <v>19</v>
      </c>
      <c r="AL368">
        <f t="shared" si="99"/>
        <v>19.5</v>
      </c>
      <c r="AM368" s="2">
        <f t="shared" si="106"/>
        <v>10</v>
      </c>
      <c r="AX368">
        <v>365</v>
      </c>
      <c r="AZ368" s="3"/>
      <c r="BB368" s="2">
        <f t="shared" si="96"/>
        <v>125</v>
      </c>
      <c r="BC368">
        <f t="shared" si="100"/>
        <v>7.6937321937321936</v>
      </c>
      <c r="BD368" s="2">
        <f t="shared" si="107"/>
        <v>37.799999999999997</v>
      </c>
      <c r="BE368">
        <f t="shared" si="108"/>
        <v>19.5</v>
      </c>
      <c r="BF368">
        <f t="shared" si="109"/>
        <v>112320</v>
      </c>
    </row>
    <row r="369" spans="1:58" ht="14.25" x14ac:dyDescent="0.2">
      <c r="A369" s="11">
        <v>10236</v>
      </c>
      <c r="B369" s="13">
        <v>3</v>
      </c>
      <c r="C369" s="15">
        <v>3</v>
      </c>
      <c r="D369" s="14">
        <f t="shared" si="110"/>
        <v>6</v>
      </c>
      <c r="E369" s="1" t="s">
        <v>2777</v>
      </c>
      <c r="F369" s="1" t="s">
        <v>2834</v>
      </c>
      <c r="G369" s="1" t="s">
        <v>2779</v>
      </c>
      <c r="H369" s="1" t="s">
        <v>2779</v>
      </c>
      <c r="I369" s="1" t="s">
        <v>2780</v>
      </c>
      <c r="J369" s="16" t="s">
        <v>2827</v>
      </c>
      <c r="K369" t="s">
        <v>182</v>
      </c>
      <c r="L369" t="s">
        <v>163</v>
      </c>
      <c r="M369" t="s">
        <v>163</v>
      </c>
      <c r="N369" t="s">
        <v>163</v>
      </c>
      <c r="O369" s="6" t="s">
        <v>715</v>
      </c>
      <c r="P369">
        <v>0</v>
      </c>
      <c r="Q369" s="24">
        <v>30.5</v>
      </c>
      <c r="R369" s="25">
        <v>37.5</v>
      </c>
      <c r="S369" s="26">
        <v>33.5</v>
      </c>
      <c r="Y369">
        <v>10</v>
      </c>
      <c r="Z369">
        <v>16</v>
      </c>
      <c r="AA369" s="3">
        <v>20</v>
      </c>
      <c r="AB369" s="3">
        <v>6</v>
      </c>
      <c r="AC369">
        <v>155</v>
      </c>
      <c r="AD369" s="9">
        <f t="shared" si="95"/>
        <v>10811</v>
      </c>
      <c r="AE369">
        <f t="shared" si="97"/>
        <v>2555730</v>
      </c>
      <c r="AF369" s="2">
        <f t="shared" si="101"/>
        <v>19.700000000000003</v>
      </c>
      <c r="AG369" t="str">
        <f t="shared" si="102"/>
        <v>180小时</v>
      </c>
      <c r="AH369">
        <f t="shared" si="103"/>
        <v>60</v>
      </c>
      <c r="AI369">
        <f t="shared" si="104"/>
        <v>10</v>
      </c>
      <c r="AJ369">
        <f t="shared" si="98"/>
        <v>38.1</v>
      </c>
      <c r="AK369">
        <f t="shared" si="105"/>
        <v>20</v>
      </c>
      <c r="AL369">
        <f t="shared" si="99"/>
        <v>19.700000000000003</v>
      </c>
      <c r="AM369" s="2">
        <f t="shared" si="106"/>
        <v>10</v>
      </c>
      <c r="AX369">
        <v>366</v>
      </c>
      <c r="AZ369" s="3"/>
      <c r="BB369" s="2">
        <f t="shared" si="96"/>
        <v>125</v>
      </c>
      <c r="BC369">
        <f t="shared" si="100"/>
        <v>7.615623237450647</v>
      </c>
      <c r="BD369" s="2">
        <f t="shared" si="107"/>
        <v>38.1</v>
      </c>
      <c r="BE369">
        <f t="shared" si="108"/>
        <v>19.700000000000003</v>
      </c>
      <c r="BF369">
        <f t="shared" si="109"/>
        <v>113472.00000000003</v>
      </c>
    </row>
    <row r="370" spans="1:58" ht="14.25" x14ac:dyDescent="0.2">
      <c r="A370" s="11">
        <v>10237</v>
      </c>
      <c r="B370" s="13">
        <v>3</v>
      </c>
      <c r="C370" s="15">
        <v>3</v>
      </c>
      <c r="D370" s="14">
        <f t="shared" si="110"/>
        <v>6</v>
      </c>
      <c r="E370" s="1" t="s">
        <v>2777</v>
      </c>
      <c r="F370" s="1" t="s">
        <v>2835</v>
      </c>
      <c r="G370" s="1" t="s">
        <v>2779</v>
      </c>
      <c r="H370" s="1" t="s">
        <v>2779</v>
      </c>
      <c r="I370" s="1" t="s">
        <v>2780</v>
      </c>
      <c r="J370" s="16" t="s">
        <v>2827</v>
      </c>
      <c r="K370" t="s">
        <v>162</v>
      </c>
      <c r="L370" t="s">
        <v>163</v>
      </c>
      <c r="M370" t="s">
        <v>163</v>
      </c>
      <c r="N370" t="s">
        <v>163</v>
      </c>
      <c r="O370" s="6" t="s">
        <v>715</v>
      </c>
      <c r="P370">
        <v>0</v>
      </c>
      <c r="Q370" s="24">
        <v>30.5</v>
      </c>
      <c r="R370" s="25">
        <v>37.5</v>
      </c>
      <c r="S370" s="26">
        <v>33.5</v>
      </c>
      <c r="Y370">
        <v>10</v>
      </c>
      <c r="Z370">
        <v>17</v>
      </c>
      <c r="AA370" s="3">
        <v>20</v>
      </c>
      <c r="AB370" s="3">
        <v>6</v>
      </c>
      <c r="AC370">
        <v>155</v>
      </c>
      <c r="AD370" s="9">
        <f t="shared" si="95"/>
        <v>10811</v>
      </c>
      <c r="AE370">
        <f t="shared" si="97"/>
        <v>2555730</v>
      </c>
      <c r="AF370" s="2">
        <f t="shared" si="101"/>
        <v>19.700000000000003</v>
      </c>
      <c r="AG370" t="str">
        <f t="shared" si="102"/>
        <v>180小时</v>
      </c>
      <c r="AH370">
        <f t="shared" si="103"/>
        <v>60</v>
      </c>
      <c r="AI370">
        <f t="shared" si="104"/>
        <v>10</v>
      </c>
      <c r="AJ370">
        <f t="shared" si="98"/>
        <v>38.1</v>
      </c>
      <c r="AK370">
        <f t="shared" si="105"/>
        <v>20</v>
      </c>
      <c r="AL370">
        <f t="shared" si="99"/>
        <v>19.700000000000003</v>
      </c>
      <c r="AM370" s="2">
        <f t="shared" si="106"/>
        <v>10</v>
      </c>
      <c r="AX370">
        <v>367</v>
      </c>
      <c r="AZ370" s="3"/>
      <c r="BB370" s="2">
        <f t="shared" si="96"/>
        <v>125</v>
      </c>
      <c r="BC370">
        <f t="shared" si="100"/>
        <v>7.615623237450647</v>
      </c>
      <c r="BD370" s="2">
        <f t="shared" si="107"/>
        <v>38.1</v>
      </c>
      <c r="BE370">
        <f t="shared" si="108"/>
        <v>19.700000000000003</v>
      </c>
      <c r="BF370">
        <f t="shared" si="109"/>
        <v>113472.00000000003</v>
      </c>
    </row>
    <row r="371" spans="1:58" ht="14.25" x14ac:dyDescent="0.2">
      <c r="A371" s="11">
        <v>10238</v>
      </c>
      <c r="B371" s="13">
        <f t="shared" ref="B371:B399" si="111">FLOOR(R369/5,1)</f>
        <v>7</v>
      </c>
      <c r="C371" s="15">
        <f t="shared" ref="C371:C399" si="112">FLOOR(Q369/5,1)</f>
        <v>6</v>
      </c>
      <c r="D371" s="14">
        <f t="shared" si="110"/>
        <v>6</v>
      </c>
      <c r="E371" s="1" t="s">
        <v>2777</v>
      </c>
      <c r="F371" s="1" t="s">
        <v>2836</v>
      </c>
      <c r="G371" s="1" t="s">
        <v>2779</v>
      </c>
      <c r="H371" s="1" t="s">
        <v>2779</v>
      </c>
      <c r="I371" s="1" t="s">
        <v>2780</v>
      </c>
      <c r="J371" s="16" t="s">
        <v>2827</v>
      </c>
      <c r="K371" t="s">
        <v>177</v>
      </c>
      <c r="L371" t="s">
        <v>163</v>
      </c>
      <c r="M371" t="s">
        <v>163</v>
      </c>
      <c r="N371" t="s">
        <v>163</v>
      </c>
      <c r="O371" s="6" t="s">
        <v>717</v>
      </c>
      <c r="P371">
        <v>0</v>
      </c>
      <c r="Q371" s="24">
        <v>30.5</v>
      </c>
      <c r="R371" s="25">
        <v>37.5</v>
      </c>
      <c r="S371" s="26">
        <v>33.5</v>
      </c>
      <c r="Y371">
        <v>10</v>
      </c>
      <c r="Z371">
        <v>18</v>
      </c>
      <c r="AA371" s="3">
        <v>20</v>
      </c>
      <c r="AB371" s="3">
        <v>6</v>
      </c>
      <c r="AC371">
        <v>155</v>
      </c>
      <c r="AD371" s="9">
        <f t="shared" si="95"/>
        <v>10811</v>
      </c>
      <c r="AE371">
        <f t="shared" si="97"/>
        <v>2555730</v>
      </c>
      <c r="AF371" s="2">
        <f t="shared" si="101"/>
        <v>19.700000000000003</v>
      </c>
      <c r="AG371" t="str">
        <f t="shared" si="102"/>
        <v>180小时</v>
      </c>
      <c r="AH371">
        <f t="shared" si="103"/>
        <v>60</v>
      </c>
      <c r="AI371">
        <f t="shared" si="104"/>
        <v>10</v>
      </c>
      <c r="AJ371">
        <f t="shared" si="98"/>
        <v>38.1</v>
      </c>
      <c r="AK371">
        <f t="shared" si="105"/>
        <v>20</v>
      </c>
      <c r="AL371">
        <f t="shared" si="99"/>
        <v>19.700000000000003</v>
      </c>
      <c r="AM371" s="2">
        <f t="shared" si="106"/>
        <v>10</v>
      </c>
      <c r="AX371">
        <v>368</v>
      </c>
      <c r="AZ371" s="3"/>
      <c r="BB371" s="2">
        <f t="shared" si="96"/>
        <v>125</v>
      </c>
      <c r="BC371">
        <f t="shared" si="100"/>
        <v>7.615623237450647</v>
      </c>
      <c r="BD371" s="2">
        <f t="shared" si="107"/>
        <v>38.1</v>
      </c>
      <c r="BE371">
        <f t="shared" si="108"/>
        <v>19.700000000000003</v>
      </c>
      <c r="BF371">
        <f t="shared" si="109"/>
        <v>113472.00000000003</v>
      </c>
    </row>
    <row r="372" spans="1:58" ht="14.25" x14ac:dyDescent="0.2">
      <c r="A372" s="11">
        <v>10239</v>
      </c>
      <c r="B372" s="13">
        <f t="shared" si="111"/>
        <v>7</v>
      </c>
      <c r="C372" s="15">
        <f t="shared" si="112"/>
        <v>6</v>
      </c>
      <c r="D372" s="14">
        <f t="shared" si="110"/>
        <v>6</v>
      </c>
      <c r="E372" s="1" t="s">
        <v>2777</v>
      </c>
      <c r="F372" s="1" t="s">
        <v>2837</v>
      </c>
      <c r="G372" s="1" t="s">
        <v>2779</v>
      </c>
      <c r="H372" s="1" t="s">
        <v>2779</v>
      </c>
      <c r="I372" s="1" t="s">
        <v>2780</v>
      </c>
      <c r="J372" s="16" t="s">
        <v>2827</v>
      </c>
      <c r="K372" t="s">
        <v>174</v>
      </c>
      <c r="L372" t="s">
        <v>163</v>
      </c>
      <c r="M372" t="s">
        <v>163</v>
      </c>
      <c r="N372" t="s">
        <v>163</v>
      </c>
      <c r="O372" s="6" t="s">
        <v>719</v>
      </c>
      <c r="P372">
        <v>0</v>
      </c>
      <c r="Q372" s="24">
        <v>30.5</v>
      </c>
      <c r="R372" s="25">
        <v>37.5</v>
      </c>
      <c r="S372" s="26">
        <v>33.5</v>
      </c>
      <c r="Y372">
        <v>10</v>
      </c>
      <c r="Z372">
        <v>19</v>
      </c>
      <c r="AA372" s="3">
        <v>20</v>
      </c>
      <c r="AB372" s="3">
        <v>6</v>
      </c>
      <c r="AC372">
        <v>155</v>
      </c>
      <c r="AD372" s="9">
        <f t="shared" si="95"/>
        <v>10811</v>
      </c>
      <c r="AE372">
        <f t="shared" si="97"/>
        <v>2555730</v>
      </c>
      <c r="AF372" s="2">
        <f t="shared" si="101"/>
        <v>19.700000000000003</v>
      </c>
      <c r="AG372" t="str">
        <f t="shared" si="102"/>
        <v>180小时</v>
      </c>
      <c r="AH372">
        <f t="shared" si="103"/>
        <v>60</v>
      </c>
      <c r="AI372">
        <f t="shared" si="104"/>
        <v>10</v>
      </c>
      <c r="AJ372">
        <f t="shared" si="98"/>
        <v>38.1</v>
      </c>
      <c r="AK372">
        <f t="shared" si="105"/>
        <v>20</v>
      </c>
      <c r="AL372">
        <f t="shared" si="99"/>
        <v>19.700000000000003</v>
      </c>
      <c r="AM372" s="2">
        <f t="shared" si="106"/>
        <v>10</v>
      </c>
      <c r="AX372">
        <v>369</v>
      </c>
      <c r="AZ372" s="3"/>
      <c r="BB372" s="2">
        <f t="shared" si="96"/>
        <v>125</v>
      </c>
      <c r="BC372">
        <f t="shared" si="100"/>
        <v>7.615623237450647</v>
      </c>
      <c r="BD372" s="2">
        <f t="shared" si="107"/>
        <v>38.1</v>
      </c>
      <c r="BE372">
        <f t="shared" si="108"/>
        <v>19.700000000000003</v>
      </c>
      <c r="BF372">
        <f t="shared" si="109"/>
        <v>113472.00000000003</v>
      </c>
    </row>
    <row r="373" spans="1:58" ht="14.25" x14ac:dyDescent="0.2">
      <c r="A373" s="11">
        <v>10240</v>
      </c>
      <c r="B373" s="13">
        <f t="shared" si="111"/>
        <v>7</v>
      </c>
      <c r="C373" s="15">
        <f t="shared" si="112"/>
        <v>6</v>
      </c>
      <c r="D373" s="14">
        <f t="shared" si="110"/>
        <v>6</v>
      </c>
      <c r="E373" s="1" t="s">
        <v>2785</v>
      </c>
      <c r="F373" s="1" t="s">
        <v>2786</v>
      </c>
      <c r="G373" s="1" t="s">
        <v>2832</v>
      </c>
      <c r="H373" s="1" t="s">
        <v>2829</v>
      </c>
      <c r="I373" s="1" t="s">
        <v>2697</v>
      </c>
      <c r="J373" s="16" t="s">
        <v>2857</v>
      </c>
      <c r="K373" t="s">
        <v>166</v>
      </c>
      <c r="L373" t="s">
        <v>163</v>
      </c>
      <c r="M373" t="s">
        <v>163</v>
      </c>
      <c r="N373" t="s">
        <v>163</v>
      </c>
      <c r="O373" s="6" t="s">
        <v>719</v>
      </c>
      <c r="P373">
        <v>0</v>
      </c>
      <c r="Q373" s="24">
        <v>30.5</v>
      </c>
      <c r="R373" s="25">
        <v>37.5</v>
      </c>
      <c r="S373" s="26">
        <v>33.5</v>
      </c>
      <c r="Y373">
        <v>10</v>
      </c>
      <c r="Z373">
        <v>20</v>
      </c>
      <c r="AA373" s="3">
        <v>25</v>
      </c>
      <c r="AB373" s="3">
        <v>6</v>
      </c>
      <c r="AC373">
        <v>155</v>
      </c>
      <c r="AD373" s="9">
        <f t="shared" si="95"/>
        <v>10811</v>
      </c>
      <c r="AE373">
        <f t="shared" si="97"/>
        <v>2555730</v>
      </c>
      <c r="AF373" s="2">
        <f t="shared" si="101"/>
        <v>19.700000000000003</v>
      </c>
      <c r="AG373" t="str">
        <f t="shared" si="102"/>
        <v>180小时</v>
      </c>
      <c r="AH373">
        <f t="shared" si="103"/>
        <v>60</v>
      </c>
      <c r="AI373">
        <f t="shared" si="104"/>
        <v>10</v>
      </c>
      <c r="AJ373">
        <f t="shared" si="98"/>
        <v>38.1</v>
      </c>
      <c r="AK373">
        <f t="shared" si="105"/>
        <v>20</v>
      </c>
      <c r="AL373">
        <f t="shared" si="99"/>
        <v>19.700000000000003</v>
      </c>
      <c r="AM373" s="2">
        <f t="shared" si="106"/>
        <v>10</v>
      </c>
      <c r="AX373">
        <v>370</v>
      </c>
      <c r="AZ373" s="3"/>
      <c r="BB373" s="2">
        <f t="shared" si="96"/>
        <v>130</v>
      </c>
      <c r="BC373">
        <f t="shared" si="100"/>
        <v>8.6611675126903531</v>
      </c>
      <c r="BD373" s="2">
        <f t="shared" si="107"/>
        <v>38.1</v>
      </c>
      <c r="BE373">
        <f t="shared" si="108"/>
        <v>19.700000000000003</v>
      </c>
      <c r="BF373">
        <f t="shared" si="109"/>
        <v>113472.00000000003</v>
      </c>
    </row>
    <row r="374" spans="1:58" ht="14.25" x14ac:dyDescent="0.2">
      <c r="A374" s="11">
        <v>10241</v>
      </c>
      <c r="B374" s="13">
        <f t="shared" si="111"/>
        <v>7</v>
      </c>
      <c r="C374" s="15">
        <f t="shared" si="112"/>
        <v>6</v>
      </c>
      <c r="D374" s="14">
        <f t="shared" si="110"/>
        <v>6</v>
      </c>
      <c r="E374" s="1" t="s">
        <v>2777</v>
      </c>
      <c r="F374" s="1" t="s">
        <v>2834</v>
      </c>
      <c r="G374" s="1" t="s">
        <v>2779</v>
      </c>
      <c r="H374" s="1" t="s">
        <v>2779</v>
      </c>
      <c r="I374" s="1" t="s">
        <v>2780</v>
      </c>
      <c r="J374" s="16" t="s">
        <v>2827</v>
      </c>
      <c r="K374" t="s">
        <v>168</v>
      </c>
      <c r="L374" t="s">
        <v>163</v>
      </c>
      <c r="M374" t="s">
        <v>163</v>
      </c>
      <c r="N374" t="s">
        <v>163</v>
      </c>
      <c r="O374" s="6" t="s">
        <v>721</v>
      </c>
      <c r="P374">
        <v>0</v>
      </c>
      <c r="Q374" s="24">
        <v>30.8</v>
      </c>
      <c r="R374" s="25">
        <v>38</v>
      </c>
      <c r="S374" s="26">
        <v>33.799999999999997</v>
      </c>
      <c r="Y374">
        <v>10</v>
      </c>
      <c r="Z374">
        <v>21</v>
      </c>
      <c r="AA374" s="3">
        <v>20</v>
      </c>
      <c r="AB374" s="3">
        <v>6</v>
      </c>
      <c r="AC374">
        <v>155</v>
      </c>
      <c r="AD374" s="9">
        <f t="shared" si="95"/>
        <v>10648.833333333334</v>
      </c>
      <c r="AE374">
        <f t="shared" si="97"/>
        <v>2555730</v>
      </c>
      <c r="AF374" s="2">
        <f t="shared" si="101"/>
        <v>20</v>
      </c>
      <c r="AG374" t="str">
        <f t="shared" si="102"/>
        <v>177小时</v>
      </c>
      <c r="AH374">
        <f t="shared" si="103"/>
        <v>60</v>
      </c>
      <c r="AI374">
        <f t="shared" si="104"/>
        <v>10</v>
      </c>
      <c r="AJ374">
        <f t="shared" si="98"/>
        <v>38.5</v>
      </c>
      <c r="AK374">
        <f t="shared" si="105"/>
        <v>20</v>
      </c>
      <c r="AL374">
        <f t="shared" si="99"/>
        <v>20</v>
      </c>
      <c r="AM374" s="2">
        <f t="shared" si="106"/>
        <v>10</v>
      </c>
      <c r="AX374">
        <v>371</v>
      </c>
      <c r="AZ374" s="3"/>
      <c r="BB374" s="2">
        <f t="shared" si="96"/>
        <v>130</v>
      </c>
      <c r="BC374">
        <f t="shared" si="100"/>
        <v>8.53125</v>
      </c>
      <c r="BD374" s="2">
        <f t="shared" si="107"/>
        <v>38.5</v>
      </c>
      <c r="BE374">
        <f t="shared" si="108"/>
        <v>20</v>
      </c>
      <c r="BF374">
        <f t="shared" si="109"/>
        <v>115200</v>
      </c>
    </row>
    <row r="375" spans="1:58" ht="14.25" x14ac:dyDescent="0.2">
      <c r="A375" s="11">
        <v>10242</v>
      </c>
      <c r="B375" s="13">
        <f t="shared" si="111"/>
        <v>7</v>
      </c>
      <c r="C375" s="15">
        <f t="shared" si="112"/>
        <v>6</v>
      </c>
      <c r="D375" s="14">
        <f t="shared" si="110"/>
        <v>6</v>
      </c>
      <c r="E375" s="1" t="s">
        <v>2777</v>
      </c>
      <c r="F375" s="1" t="s">
        <v>2835</v>
      </c>
      <c r="G375" s="1" t="s">
        <v>2779</v>
      </c>
      <c r="H375" s="1" t="s">
        <v>2779</v>
      </c>
      <c r="I375" s="1" t="s">
        <v>2780</v>
      </c>
      <c r="J375" s="16" t="s">
        <v>2827</v>
      </c>
      <c r="K375" t="s">
        <v>175</v>
      </c>
      <c r="L375" t="s">
        <v>164</v>
      </c>
      <c r="M375" t="s">
        <v>163</v>
      </c>
      <c r="N375" t="s">
        <v>167</v>
      </c>
      <c r="O375" s="6" t="s">
        <v>723</v>
      </c>
      <c r="P375">
        <v>0</v>
      </c>
      <c r="Q375" s="24">
        <v>30.8</v>
      </c>
      <c r="R375" s="25">
        <v>38</v>
      </c>
      <c r="S375" s="26">
        <v>33.799999999999997</v>
      </c>
      <c r="Y375">
        <v>10</v>
      </c>
      <c r="Z375">
        <v>22</v>
      </c>
      <c r="AA375" s="3">
        <v>20</v>
      </c>
      <c r="AB375" s="3">
        <v>6</v>
      </c>
      <c r="AC375">
        <v>155</v>
      </c>
      <c r="AD375" s="9">
        <f t="shared" si="95"/>
        <v>10648.833333333334</v>
      </c>
      <c r="AE375">
        <f t="shared" si="97"/>
        <v>2555730</v>
      </c>
      <c r="AF375" s="2">
        <f t="shared" si="101"/>
        <v>20</v>
      </c>
      <c r="AG375" t="str">
        <f t="shared" si="102"/>
        <v>177小时</v>
      </c>
      <c r="AH375">
        <f t="shared" si="103"/>
        <v>60</v>
      </c>
      <c r="AI375">
        <f t="shared" si="104"/>
        <v>10</v>
      </c>
      <c r="AJ375">
        <f t="shared" si="98"/>
        <v>38.5</v>
      </c>
      <c r="AK375">
        <f t="shared" si="105"/>
        <v>20</v>
      </c>
      <c r="AL375">
        <f t="shared" si="99"/>
        <v>20</v>
      </c>
      <c r="AM375" s="2">
        <f t="shared" si="106"/>
        <v>10</v>
      </c>
      <c r="AX375">
        <v>372</v>
      </c>
      <c r="AZ375" s="3"/>
      <c r="BB375" s="2">
        <f t="shared" si="96"/>
        <v>130</v>
      </c>
      <c r="BC375">
        <f t="shared" si="100"/>
        <v>8.53125</v>
      </c>
      <c r="BD375" s="2">
        <f t="shared" si="107"/>
        <v>38.5</v>
      </c>
      <c r="BE375">
        <f t="shared" si="108"/>
        <v>20</v>
      </c>
      <c r="BF375">
        <f t="shared" si="109"/>
        <v>115200</v>
      </c>
    </row>
    <row r="376" spans="1:58" ht="14.25" x14ac:dyDescent="0.2">
      <c r="A376" s="11">
        <v>10243</v>
      </c>
      <c r="B376" s="13">
        <f t="shared" si="111"/>
        <v>7</v>
      </c>
      <c r="C376" s="15">
        <f t="shared" si="112"/>
        <v>6</v>
      </c>
      <c r="D376" s="14">
        <f t="shared" si="110"/>
        <v>6</v>
      </c>
      <c r="E376" s="1" t="s">
        <v>2777</v>
      </c>
      <c r="F376" s="1" t="s">
        <v>2836</v>
      </c>
      <c r="G376" s="1" t="s">
        <v>2779</v>
      </c>
      <c r="H376" s="1" t="s">
        <v>2779</v>
      </c>
      <c r="I376" s="1" t="s">
        <v>2780</v>
      </c>
      <c r="J376" s="16" t="s">
        <v>2827</v>
      </c>
      <c r="K376" t="s">
        <v>179</v>
      </c>
      <c r="L376" t="s">
        <v>163</v>
      </c>
      <c r="M376" t="s">
        <v>163</v>
      </c>
      <c r="N376" t="s">
        <v>163</v>
      </c>
      <c r="O376" s="6" t="s">
        <v>725</v>
      </c>
      <c r="P376">
        <v>0</v>
      </c>
      <c r="Q376" s="24">
        <v>30.8</v>
      </c>
      <c r="R376" s="25">
        <v>38</v>
      </c>
      <c r="S376" s="26">
        <v>33.799999999999997</v>
      </c>
      <c r="Y376">
        <v>10</v>
      </c>
      <c r="Z376">
        <v>23</v>
      </c>
      <c r="AA376" s="3">
        <v>20</v>
      </c>
      <c r="AB376" s="3">
        <v>6</v>
      </c>
      <c r="AC376">
        <v>155</v>
      </c>
      <c r="AD376" s="9">
        <f t="shared" si="95"/>
        <v>10648.833333333334</v>
      </c>
      <c r="AE376">
        <f t="shared" si="97"/>
        <v>2555730</v>
      </c>
      <c r="AF376" s="2">
        <f t="shared" si="101"/>
        <v>20</v>
      </c>
      <c r="AG376" t="str">
        <f t="shared" si="102"/>
        <v>177小时</v>
      </c>
      <c r="AH376">
        <f t="shared" si="103"/>
        <v>60</v>
      </c>
      <c r="AI376">
        <f t="shared" si="104"/>
        <v>10</v>
      </c>
      <c r="AJ376">
        <f t="shared" si="98"/>
        <v>38.5</v>
      </c>
      <c r="AK376">
        <f t="shared" si="105"/>
        <v>20</v>
      </c>
      <c r="AL376">
        <f t="shared" si="99"/>
        <v>20</v>
      </c>
      <c r="AM376" s="2">
        <f t="shared" si="106"/>
        <v>10</v>
      </c>
      <c r="AX376">
        <v>373</v>
      </c>
      <c r="AZ376" s="3"/>
      <c r="BB376" s="2">
        <f t="shared" si="96"/>
        <v>130</v>
      </c>
      <c r="BC376">
        <f t="shared" si="100"/>
        <v>8.53125</v>
      </c>
      <c r="BD376" s="2">
        <f t="shared" si="107"/>
        <v>38.5</v>
      </c>
      <c r="BE376">
        <f t="shared" si="108"/>
        <v>20</v>
      </c>
      <c r="BF376">
        <f t="shared" si="109"/>
        <v>115200</v>
      </c>
    </row>
    <row r="377" spans="1:58" ht="14.25" x14ac:dyDescent="0.2">
      <c r="A377" s="11">
        <v>10244</v>
      </c>
      <c r="B377" s="13">
        <f t="shared" si="111"/>
        <v>7</v>
      </c>
      <c r="C377" s="15">
        <f t="shared" si="112"/>
        <v>6</v>
      </c>
      <c r="D377" s="14">
        <f t="shared" si="110"/>
        <v>6</v>
      </c>
      <c r="E377" s="1" t="s">
        <v>2777</v>
      </c>
      <c r="F377" s="1" t="s">
        <v>2837</v>
      </c>
      <c r="G377" s="1" t="s">
        <v>2779</v>
      </c>
      <c r="H377" s="1" t="s">
        <v>2779</v>
      </c>
      <c r="I377" s="1" t="s">
        <v>2780</v>
      </c>
      <c r="J377" s="16" t="s">
        <v>2827</v>
      </c>
      <c r="K377" t="s">
        <v>177</v>
      </c>
      <c r="L377" t="s">
        <v>163</v>
      </c>
      <c r="M377" t="s">
        <v>163</v>
      </c>
      <c r="N377" t="s">
        <v>163</v>
      </c>
      <c r="O377" s="6" t="s">
        <v>725</v>
      </c>
      <c r="P377">
        <v>0</v>
      </c>
      <c r="Q377" s="24">
        <v>30.8</v>
      </c>
      <c r="R377" s="25">
        <v>38</v>
      </c>
      <c r="S377" s="26">
        <v>33.799999999999997</v>
      </c>
      <c r="Y377">
        <v>10</v>
      </c>
      <c r="Z377">
        <v>24</v>
      </c>
      <c r="AA377" s="3">
        <v>20</v>
      </c>
      <c r="AB377" s="3">
        <v>6</v>
      </c>
      <c r="AC377">
        <v>155</v>
      </c>
      <c r="AD377" s="9">
        <f t="shared" si="95"/>
        <v>10648.833333333334</v>
      </c>
      <c r="AE377">
        <f t="shared" si="97"/>
        <v>2555730</v>
      </c>
      <c r="AF377" s="2">
        <f t="shared" si="101"/>
        <v>20</v>
      </c>
      <c r="AG377" t="str">
        <f t="shared" si="102"/>
        <v>177小时</v>
      </c>
      <c r="AH377">
        <f t="shared" si="103"/>
        <v>60</v>
      </c>
      <c r="AI377">
        <f t="shared" si="104"/>
        <v>10</v>
      </c>
      <c r="AJ377">
        <f t="shared" si="98"/>
        <v>38.5</v>
      </c>
      <c r="AK377">
        <f t="shared" si="105"/>
        <v>20</v>
      </c>
      <c r="AL377">
        <f t="shared" si="99"/>
        <v>20</v>
      </c>
      <c r="AM377" s="2">
        <f t="shared" si="106"/>
        <v>10</v>
      </c>
      <c r="AX377">
        <v>374</v>
      </c>
      <c r="AZ377" s="3"/>
      <c r="BB377" s="2">
        <f t="shared" si="96"/>
        <v>130</v>
      </c>
      <c r="BC377">
        <f t="shared" si="100"/>
        <v>8.53125</v>
      </c>
      <c r="BD377" s="2">
        <f t="shared" si="107"/>
        <v>38.5</v>
      </c>
      <c r="BE377">
        <f t="shared" si="108"/>
        <v>20</v>
      </c>
      <c r="BF377">
        <f t="shared" si="109"/>
        <v>115200</v>
      </c>
    </row>
    <row r="378" spans="1:58" ht="14.25" x14ac:dyDescent="0.2">
      <c r="A378" s="11">
        <v>10245</v>
      </c>
      <c r="B378" s="13">
        <f t="shared" si="111"/>
        <v>7</v>
      </c>
      <c r="C378" s="15">
        <f t="shared" si="112"/>
        <v>6</v>
      </c>
      <c r="D378" s="14">
        <f t="shared" si="110"/>
        <v>6</v>
      </c>
      <c r="E378" s="1" t="s">
        <v>2785</v>
      </c>
      <c r="F378" s="1" t="s">
        <v>2786</v>
      </c>
      <c r="G378" s="1" t="s">
        <v>2833</v>
      </c>
      <c r="H378" s="1" t="s">
        <v>2829</v>
      </c>
      <c r="I378" s="1" t="s">
        <v>2697</v>
      </c>
      <c r="J378" s="16" t="s">
        <v>2875</v>
      </c>
      <c r="K378" t="s">
        <v>174</v>
      </c>
      <c r="L378" t="s">
        <v>163</v>
      </c>
      <c r="M378" t="s">
        <v>163</v>
      </c>
      <c r="N378" t="s">
        <v>163</v>
      </c>
      <c r="O378" s="6" t="s">
        <v>727</v>
      </c>
      <c r="P378">
        <v>0</v>
      </c>
      <c r="Q378" s="24">
        <v>30.8</v>
      </c>
      <c r="R378" s="25">
        <v>38</v>
      </c>
      <c r="S378" s="26">
        <v>33.799999999999997</v>
      </c>
      <c r="Y378">
        <v>10</v>
      </c>
      <c r="Z378">
        <v>25</v>
      </c>
      <c r="AA378" s="3">
        <v>25</v>
      </c>
      <c r="AB378" s="3">
        <v>6</v>
      </c>
      <c r="AC378">
        <v>155</v>
      </c>
      <c r="AD378" s="9">
        <f t="shared" si="95"/>
        <v>10648.833333333334</v>
      </c>
      <c r="AE378">
        <f t="shared" si="97"/>
        <v>2555730</v>
      </c>
      <c r="AF378" s="2">
        <f t="shared" si="101"/>
        <v>20</v>
      </c>
      <c r="AG378" t="str">
        <f t="shared" si="102"/>
        <v>177小时</v>
      </c>
      <c r="AH378">
        <f t="shared" si="103"/>
        <v>60</v>
      </c>
      <c r="AI378">
        <f t="shared" si="104"/>
        <v>10</v>
      </c>
      <c r="AJ378">
        <f t="shared" si="98"/>
        <v>38.5</v>
      </c>
      <c r="AK378">
        <f t="shared" si="105"/>
        <v>20</v>
      </c>
      <c r="AL378">
        <f t="shared" si="99"/>
        <v>20</v>
      </c>
      <c r="AM378" s="2">
        <f t="shared" si="106"/>
        <v>10</v>
      </c>
      <c r="AX378">
        <v>375</v>
      </c>
      <c r="AZ378" s="3"/>
      <c r="BB378" s="2">
        <f t="shared" si="96"/>
        <v>130</v>
      </c>
      <c r="BC378">
        <f t="shared" si="100"/>
        <v>8.53125</v>
      </c>
      <c r="BD378" s="2">
        <f t="shared" si="107"/>
        <v>38.5</v>
      </c>
      <c r="BE378">
        <f t="shared" si="108"/>
        <v>20</v>
      </c>
      <c r="BF378">
        <f t="shared" si="109"/>
        <v>115200</v>
      </c>
    </row>
    <row r="379" spans="1:58" ht="14.25" x14ac:dyDescent="0.2">
      <c r="A379" s="11">
        <v>10246</v>
      </c>
      <c r="B379" s="13">
        <f t="shared" si="111"/>
        <v>7</v>
      </c>
      <c r="C379" s="15">
        <f t="shared" si="112"/>
        <v>6</v>
      </c>
      <c r="D379" s="14">
        <f t="shared" si="110"/>
        <v>6</v>
      </c>
      <c r="E379" s="1" t="s">
        <v>2777</v>
      </c>
      <c r="F379" s="1" t="s">
        <v>2834</v>
      </c>
      <c r="G379" s="1" t="s">
        <v>2779</v>
      </c>
      <c r="H379" s="1" t="s">
        <v>2779</v>
      </c>
      <c r="I379" s="1" t="s">
        <v>2780</v>
      </c>
      <c r="J379" s="16" t="s">
        <v>2827</v>
      </c>
      <c r="K379" t="s">
        <v>182</v>
      </c>
      <c r="L379" t="s">
        <v>163</v>
      </c>
      <c r="M379" t="s">
        <v>163</v>
      </c>
      <c r="N379" t="s">
        <v>163</v>
      </c>
      <c r="O379" s="6" t="s">
        <v>729</v>
      </c>
      <c r="P379">
        <v>0</v>
      </c>
      <c r="Q379" s="24">
        <v>31.2</v>
      </c>
      <c r="R379" s="25">
        <v>38.5</v>
      </c>
      <c r="S379" s="26">
        <v>34</v>
      </c>
      <c r="Y379">
        <v>10</v>
      </c>
      <c r="Z379">
        <v>26</v>
      </c>
      <c r="AA379" s="3">
        <v>20</v>
      </c>
      <c r="AB379" s="3">
        <v>6</v>
      </c>
      <c r="AC379">
        <v>155</v>
      </c>
      <c r="AD379" s="9">
        <f t="shared" si="95"/>
        <v>10543.416666666668</v>
      </c>
      <c r="AE379">
        <f t="shared" si="97"/>
        <v>2555730</v>
      </c>
      <c r="AF379" s="2">
        <f t="shared" si="101"/>
        <v>20.200000000000003</v>
      </c>
      <c r="AG379" t="str">
        <f t="shared" si="102"/>
        <v>175小时</v>
      </c>
      <c r="AH379">
        <f t="shared" si="103"/>
        <v>61</v>
      </c>
      <c r="AI379">
        <f t="shared" si="104"/>
        <v>11</v>
      </c>
      <c r="AJ379">
        <f t="shared" si="98"/>
        <v>38.799999999999997</v>
      </c>
      <c r="AK379">
        <f t="shared" si="105"/>
        <v>20</v>
      </c>
      <c r="AL379">
        <f t="shared" si="99"/>
        <v>20.200000000000003</v>
      </c>
      <c r="AM379" s="2">
        <f t="shared" si="106"/>
        <v>11</v>
      </c>
      <c r="AX379">
        <v>376</v>
      </c>
      <c r="AZ379" s="3"/>
      <c r="BB379" s="2">
        <f t="shared" si="96"/>
        <v>130</v>
      </c>
      <c r="BC379">
        <f t="shared" si="100"/>
        <v>8.4467821782178198</v>
      </c>
      <c r="BD379" s="2">
        <f t="shared" si="107"/>
        <v>38.799999999999997</v>
      </c>
      <c r="BE379">
        <f t="shared" si="108"/>
        <v>20.200000000000003</v>
      </c>
      <c r="BF379">
        <f t="shared" si="109"/>
        <v>116352.00000000003</v>
      </c>
    </row>
    <row r="380" spans="1:58" ht="14.25" x14ac:dyDescent="0.2">
      <c r="A380" s="11">
        <v>10247</v>
      </c>
      <c r="B380" s="13">
        <f t="shared" si="111"/>
        <v>7</v>
      </c>
      <c r="C380" s="15">
        <f t="shared" si="112"/>
        <v>6</v>
      </c>
      <c r="D380" s="14">
        <f t="shared" si="110"/>
        <v>6</v>
      </c>
      <c r="E380" s="1" t="s">
        <v>2777</v>
      </c>
      <c r="F380" s="1" t="s">
        <v>2835</v>
      </c>
      <c r="G380" s="1" t="s">
        <v>2779</v>
      </c>
      <c r="H380" s="1" t="s">
        <v>2779</v>
      </c>
      <c r="I380" s="1" t="s">
        <v>2780</v>
      </c>
      <c r="J380" s="16" t="s">
        <v>2827</v>
      </c>
      <c r="K380" t="s">
        <v>162</v>
      </c>
      <c r="L380" t="s">
        <v>163</v>
      </c>
      <c r="M380" t="s">
        <v>163</v>
      </c>
      <c r="N380" t="s">
        <v>163</v>
      </c>
      <c r="O380" s="6" t="s">
        <v>729</v>
      </c>
      <c r="P380">
        <v>0</v>
      </c>
      <c r="Q380" s="24">
        <v>31.2</v>
      </c>
      <c r="R380" s="25">
        <v>38.5</v>
      </c>
      <c r="S380" s="26">
        <v>34</v>
      </c>
      <c r="Y380">
        <v>10</v>
      </c>
      <c r="Z380">
        <v>27</v>
      </c>
      <c r="AA380" s="3">
        <v>20</v>
      </c>
      <c r="AB380" s="3">
        <v>6</v>
      </c>
      <c r="AC380">
        <v>155</v>
      </c>
      <c r="AD380" s="9">
        <f t="shared" si="95"/>
        <v>10543.416666666668</v>
      </c>
      <c r="AE380">
        <f t="shared" si="97"/>
        <v>2555730</v>
      </c>
      <c r="AF380" s="2">
        <f t="shared" si="101"/>
        <v>20.200000000000003</v>
      </c>
      <c r="AG380" t="str">
        <f t="shared" si="102"/>
        <v>175小时</v>
      </c>
      <c r="AH380">
        <f t="shared" si="103"/>
        <v>61</v>
      </c>
      <c r="AI380">
        <f t="shared" si="104"/>
        <v>11</v>
      </c>
      <c r="AJ380">
        <f t="shared" si="98"/>
        <v>38.799999999999997</v>
      </c>
      <c r="AK380">
        <f t="shared" si="105"/>
        <v>20</v>
      </c>
      <c r="AL380">
        <f t="shared" si="99"/>
        <v>20.200000000000003</v>
      </c>
      <c r="AM380" s="2">
        <f t="shared" si="106"/>
        <v>11</v>
      </c>
      <c r="AX380">
        <v>377</v>
      </c>
      <c r="AZ380" s="3"/>
      <c r="BB380" s="2">
        <f t="shared" si="96"/>
        <v>130</v>
      </c>
      <c r="BC380">
        <f t="shared" si="100"/>
        <v>8.4467821782178198</v>
      </c>
      <c r="BD380" s="2">
        <f t="shared" si="107"/>
        <v>38.799999999999997</v>
      </c>
      <c r="BE380">
        <f t="shared" si="108"/>
        <v>20.200000000000003</v>
      </c>
      <c r="BF380">
        <f t="shared" si="109"/>
        <v>116352.00000000003</v>
      </c>
    </row>
    <row r="381" spans="1:58" ht="14.25" x14ac:dyDescent="0.2">
      <c r="A381" s="11">
        <v>10248</v>
      </c>
      <c r="B381" s="13">
        <f t="shared" si="111"/>
        <v>7</v>
      </c>
      <c r="C381" s="15">
        <f t="shared" si="112"/>
        <v>6</v>
      </c>
      <c r="D381" s="14">
        <f t="shared" si="110"/>
        <v>6</v>
      </c>
      <c r="E381" s="1" t="s">
        <v>2777</v>
      </c>
      <c r="F381" s="1" t="s">
        <v>2836</v>
      </c>
      <c r="G381" s="1" t="s">
        <v>2779</v>
      </c>
      <c r="H381" s="1" t="s">
        <v>2779</v>
      </c>
      <c r="I381" s="1" t="s">
        <v>2780</v>
      </c>
      <c r="J381" s="16" t="s">
        <v>2827</v>
      </c>
      <c r="K381" t="s">
        <v>177</v>
      </c>
      <c r="L381" t="s">
        <v>163</v>
      </c>
      <c r="M381" t="s">
        <v>163</v>
      </c>
      <c r="N381" t="s">
        <v>163</v>
      </c>
      <c r="O381" s="6" t="s">
        <v>731</v>
      </c>
      <c r="P381">
        <v>0</v>
      </c>
      <c r="Q381" s="24">
        <v>31.2</v>
      </c>
      <c r="R381" s="25">
        <v>38.5</v>
      </c>
      <c r="S381" s="26">
        <v>34</v>
      </c>
      <c r="Y381">
        <v>10</v>
      </c>
      <c r="Z381">
        <v>28</v>
      </c>
      <c r="AA381" s="3">
        <v>20</v>
      </c>
      <c r="AB381" s="3">
        <v>6</v>
      </c>
      <c r="AC381">
        <v>155</v>
      </c>
      <c r="AD381" s="9">
        <f t="shared" si="95"/>
        <v>10543.416666666668</v>
      </c>
      <c r="AE381">
        <f t="shared" si="97"/>
        <v>2555730</v>
      </c>
      <c r="AF381" s="2">
        <f t="shared" si="101"/>
        <v>20.200000000000003</v>
      </c>
      <c r="AG381" t="str">
        <f t="shared" si="102"/>
        <v>175小时</v>
      </c>
      <c r="AH381">
        <f t="shared" si="103"/>
        <v>61</v>
      </c>
      <c r="AI381">
        <f t="shared" si="104"/>
        <v>11</v>
      </c>
      <c r="AJ381">
        <f t="shared" si="98"/>
        <v>38.799999999999997</v>
      </c>
      <c r="AK381">
        <f t="shared" si="105"/>
        <v>20</v>
      </c>
      <c r="AL381">
        <f t="shared" si="99"/>
        <v>20.200000000000003</v>
      </c>
      <c r="AM381" s="2">
        <f t="shared" si="106"/>
        <v>11</v>
      </c>
      <c r="AX381">
        <v>378</v>
      </c>
      <c r="AZ381" s="3"/>
      <c r="BB381" s="2">
        <f t="shared" si="96"/>
        <v>130</v>
      </c>
      <c r="BC381">
        <f t="shared" si="100"/>
        <v>8.4467821782178198</v>
      </c>
      <c r="BD381" s="2">
        <f t="shared" si="107"/>
        <v>38.799999999999997</v>
      </c>
      <c r="BE381">
        <f t="shared" si="108"/>
        <v>20.200000000000003</v>
      </c>
      <c r="BF381">
        <f t="shared" si="109"/>
        <v>116352.00000000003</v>
      </c>
    </row>
    <row r="382" spans="1:58" ht="14.25" x14ac:dyDescent="0.2">
      <c r="A382" s="11">
        <v>10249</v>
      </c>
      <c r="B382" s="13">
        <f t="shared" si="111"/>
        <v>7</v>
      </c>
      <c r="C382" s="15">
        <f t="shared" si="112"/>
        <v>6</v>
      </c>
      <c r="D382" s="14">
        <f t="shared" si="110"/>
        <v>6</v>
      </c>
      <c r="E382" s="1" t="s">
        <v>2777</v>
      </c>
      <c r="F382" s="1" t="s">
        <v>2837</v>
      </c>
      <c r="G382" s="1" t="s">
        <v>2779</v>
      </c>
      <c r="H382" s="1" t="s">
        <v>2779</v>
      </c>
      <c r="I382" s="1" t="s">
        <v>2780</v>
      </c>
      <c r="J382" s="16" t="s">
        <v>2827</v>
      </c>
      <c r="K382" t="s">
        <v>174</v>
      </c>
      <c r="L382" t="s">
        <v>163</v>
      </c>
      <c r="M382" t="s">
        <v>163</v>
      </c>
      <c r="N382" t="s">
        <v>163</v>
      </c>
      <c r="O382" s="6" t="s">
        <v>733</v>
      </c>
      <c r="P382">
        <v>0</v>
      </c>
      <c r="Q382" s="24">
        <v>31.2</v>
      </c>
      <c r="R382" s="25">
        <v>38.5</v>
      </c>
      <c r="S382" s="26">
        <v>34</v>
      </c>
      <c r="Y382">
        <v>10</v>
      </c>
      <c r="Z382">
        <v>29</v>
      </c>
      <c r="AA382" s="3">
        <v>20</v>
      </c>
      <c r="AB382" s="3">
        <v>6</v>
      </c>
      <c r="AC382">
        <v>155</v>
      </c>
      <c r="AD382" s="9">
        <f t="shared" si="95"/>
        <v>10543.416666666668</v>
      </c>
      <c r="AE382">
        <f t="shared" si="97"/>
        <v>2555730</v>
      </c>
      <c r="AF382" s="2">
        <f t="shared" si="101"/>
        <v>20.200000000000003</v>
      </c>
      <c r="AG382" t="str">
        <f t="shared" si="102"/>
        <v>175小时</v>
      </c>
      <c r="AH382">
        <f t="shared" si="103"/>
        <v>61</v>
      </c>
      <c r="AI382">
        <f t="shared" si="104"/>
        <v>11</v>
      </c>
      <c r="AJ382">
        <f t="shared" si="98"/>
        <v>38.799999999999997</v>
      </c>
      <c r="AK382">
        <f t="shared" si="105"/>
        <v>20</v>
      </c>
      <c r="AL382">
        <f t="shared" si="99"/>
        <v>20.200000000000003</v>
      </c>
      <c r="AM382" s="2">
        <f t="shared" si="106"/>
        <v>11</v>
      </c>
      <c r="AX382">
        <v>379</v>
      </c>
      <c r="AZ382" s="3"/>
      <c r="BB382" s="2">
        <f t="shared" si="96"/>
        <v>130</v>
      </c>
      <c r="BC382">
        <f t="shared" si="100"/>
        <v>8.4467821782178198</v>
      </c>
      <c r="BD382" s="2">
        <f t="shared" si="107"/>
        <v>38.799999999999997</v>
      </c>
      <c r="BE382">
        <f t="shared" si="108"/>
        <v>20.200000000000003</v>
      </c>
      <c r="BF382">
        <f t="shared" si="109"/>
        <v>116352.00000000003</v>
      </c>
    </row>
    <row r="383" spans="1:58" ht="14.25" x14ac:dyDescent="0.2">
      <c r="A383" s="11">
        <v>10250</v>
      </c>
      <c r="B383" s="13">
        <f t="shared" si="111"/>
        <v>7</v>
      </c>
      <c r="C383" s="15">
        <f t="shared" si="112"/>
        <v>6</v>
      </c>
      <c r="D383" s="14">
        <f t="shared" si="110"/>
        <v>6</v>
      </c>
      <c r="E383" s="1" t="s">
        <v>2785</v>
      </c>
      <c r="F383" s="1" t="s">
        <v>2786</v>
      </c>
      <c r="G383" s="1" t="s">
        <v>2828</v>
      </c>
      <c r="H383" s="1" t="s">
        <v>2829</v>
      </c>
      <c r="I383" s="1" t="s">
        <v>2697</v>
      </c>
      <c r="J383" s="16" t="s">
        <v>2875</v>
      </c>
      <c r="K383" t="s">
        <v>166</v>
      </c>
      <c r="L383" t="s">
        <v>163</v>
      </c>
      <c r="M383" t="s">
        <v>163</v>
      </c>
      <c r="N383" t="s">
        <v>163</v>
      </c>
      <c r="O383" s="6" t="s">
        <v>733</v>
      </c>
      <c r="P383">
        <v>0</v>
      </c>
      <c r="Q383" s="24">
        <v>31.2</v>
      </c>
      <c r="R383" s="25">
        <v>38.5</v>
      </c>
      <c r="S383" s="26">
        <v>34</v>
      </c>
      <c r="Y383">
        <v>10</v>
      </c>
      <c r="Z383">
        <v>30</v>
      </c>
      <c r="AA383" s="3">
        <v>25</v>
      </c>
      <c r="AB383" s="3">
        <v>6</v>
      </c>
      <c r="AC383">
        <v>155</v>
      </c>
      <c r="AD383" s="9">
        <f t="shared" si="95"/>
        <v>10543.416666666668</v>
      </c>
      <c r="AE383">
        <f t="shared" si="97"/>
        <v>2555730</v>
      </c>
      <c r="AF383" s="2">
        <f t="shared" si="101"/>
        <v>20.200000000000003</v>
      </c>
      <c r="AG383" t="str">
        <f t="shared" si="102"/>
        <v>175小时</v>
      </c>
      <c r="AH383">
        <f t="shared" si="103"/>
        <v>61</v>
      </c>
      <c r="AI383">
        <f t="shared" si="104"/>
        <v>11</v>
      </c>
      <c r="AJ383">
        <f t="shared" si="98"/>
        <v>38.799999999999997</v>
      </c>
      <c r="AK383">
        <f t="shared" si="105"/>
        <v>20</v>
      </c>
      <c r="AL383">
        <f t="shared" si="99"/>
        <v>20.200000000000003</v>
      </c>
      <c r="AM383" s="2">
        <f t="shared" si="106"/>
        <v>11</v>
      </c>
      <c r="AX383">
        <v>380</v>
      </c>
      <c r="AZ383" s="3"/>
      <c r="BB383" s="2">
        <f t="shared" si="96"/>
        <v>130</v>
      </c>
      <c r="BC383">
        <f t="shared" si="100"/>
        <v>8.4467821782178198</v>
      </c>
      <c r="BD383" s="2">
        <f t="shared" si="107"/>
        <v>38.799999999999997</v>
      </c>
      <c r="BE383">
        <f t="shared" si="108"/>
        <v>20.200000000000003</v>
      </c>
      <c r="BF383">
        <f t="shared" si="109"/>
        <v>116352.00000000003</v>
      </c>
    </row>
    <row r="384" spans="1:58" ht="14.25" x14ac:dyDescent="0.2">
      <c r="A384" s="11">
        <v>10301</v>
      </c>
      <c r="B384" s="13">
        <f t="shared" si="111"/>
        <v>7</v>
      </c>
      <c r="C384" s="15">
        <f t="shared" si="112"/>
        <v>6</v>
      </c>
      <c r="D384" s="14">
        <f t="shared" si="110"/>
        <v>6</v>
      </c>
      <c r="E384" t="s">
        <v>2777</v>
      </c>
      <c r="F384" t="s">
        <v>2834</v>
      </c>
      <c r="G384" t="s">
        <v>2779</v>
      </c>
      <c r="H384" t="s">
        <v>2779</v>
      </c>
      <c r="I384" t="s">
        <v>2780</v>
      </c>
      <c r="J384" s="4" t="s">
        <v>2838</v>
      </c>
      <c r="K384" t="s">
        <v>168</v>
      </c>
      <c r="L384" t="s">
        <v>163</v>
      </c>
      <c r="M384" t="s">
        <v>163</v>
      </c>
      <c r="N384" t="s">
        <v>163</v>
      </c>
      <c r="O384" s="6" t="s">
        <v>735</v>
      </c>
      <c r="P384">
        <v>0</v>
      </c>
      <c r="Q384" s="24">
        <v>31.5</v>
      </c>
      <c r="R384" s="25">
        <v>39</v>
      </c>
      <c r="S384" s="26">
        <v>34.299999999999997</v>
      </c>
      <c r="Y384">
        <v>10</v>
      </c>
      <c r="Z384">
        <v>30</v>
      </c>
      <c r="AA384" s="3">
        <v>25</v>
      </c>
      <c r="AB384" s="3">
        <v>6</v>
      </c>
      <c r="AC384">
        <v>155</v>
      </c>
      <c r="AD384" s="9">
        <f t="shared" ref="AD384:AD447" si="113">INT(AE384/AF384)/60*5</f>
        <v>10389.083333333332</v>
      </c>
      <c r="AE384">
        <f t="shared" si="97"/>
        <v>2555730</v>
      </c>
      <c r="AF384" s="2">
        <f t="shared" si="101"/>
        <v>20.5</v>
      </c>
      <c r="AG384" t="str">
        <f t="shared" ref="AG384:AG447" si="114">IF(AD384&lt;60,CONCATENATE(INT(AD384),"分钟"),CONCATENATE(INT(AD384/60),"小时"))</f>
        <v>173小时</v>
      </c>
      <c r="AH384">
        <f t="shared" ref="AH384:AH447" si="115">ROUNDUP(AF384*3,0)</f>
        <v>62</v>
      </c>
      <c r="AI384">
        <f t="shared" ref="AI384:AI447" si="116">ROUNDUP(AH384/AB384,0)</f>
        <v>11</v>
      </c>
      <c r="AJ384">
        <f t="shared" si="98"/>
        <v>39.299999999999997</v>
      </c>
      <c r="AK384">
        <f t="shared" ref="AK384:AK447" si="117">ROUNDUP(AJ384*3/AB384,0)</f>
        <v>20</v>
      </c>
      <c r="AL384">
        <f t="shared" si="99"/>
        <v>20.5</v>
      </c>
      <c r="AM384" s="2">
        <f t="shared" ref="AM384:AM447" si="118">ROUNDUP(AL384*3/AB384,0)</f>
        <v>11</v>
      </c>
      <c r="AX384">
        <v>381</v>
      </c>
      <c r="AZ384" s="3"/>
      <c r="BB384" s="2">
        <f t="shared" si="96"/>
        <v>130</v>
      </c>
      <c r="BC384">
        <f t="shared" si="100"/>
        <v>8.3231707317073162</v>
      </c>
      <c r="BD384" s="2">
        <f t="shared" si="107"/>
        <v>39.299999999999997</v>
      </c>
      <c r="BE384">
        <f t="shared" si="108"/>
        <v>20.5</v>
      </c>
      <c r="BF384">
        <f t="shared" si="109"/>
        <v>118080</v>
      </c>
    </row>
    <row r="385" spans="1:58" ht="14.25" x14ac:dyDescent="0.2">
      <c r="A385" s="11">
        <v>10302</v>
      </c>
      <c r="B385" s="13">
        <f t="shared" si="111"/>
        <v>7</v>
      </c>
      <c r="C385" s="15">
        <f t="shared" si="112"/>
        <v>6</v>
      </c>
      <c r="D385" s="14">
        <f t="shared" si="110"/>
        <v>6</v>
      </c>
      <c r="E385" t="s">
        <v>2777</v>
      </c>
      <c r="F385" t="s">
        <v>2835</v>
      </c>
      <c r="G385" t="s">
        <v>2779</v>
      </c>
      <c r="H385" t="s">
        <v>2779</v>
      </c>
      <c r="I385" t="s">
        <v>2780</v>
      </c>
      <c r="J385" s="4" t="s">
        <v>2838</v>
      </c>
      <c r="K385" t="s">
        <v>175</v>
      </c>
      <c r="L385" t="s">
        <v>164</v>
      </c>
      <c r="M385" t="s">
        <v>163</v>
      </c>
      <c r="N385" t="s">
        <v>167</v>
      </c>
      <c r="O385" s="6" t="s">
        <v>737</v>
      </c>
      <c r="P385">
        <v>0</v>
      </c>
      <c r="Q385" s="24">
        <v>31.5</v>
      </c>
      <c r="R385" s="25">
        <v>39</v>
      </c>
      <c r="S385" s="26">
        <v>34.299999999999997</v>
      </c>
      <c r="Y385">
        <v>10</v>
      </c>
      <c r="Z385">
        <v>30</v>
      </c>
      <c r="AA385" s="3">
        <v>25</v>
      </c>
      <c r="AB385" s="3">
        <v>6</v>
      </c>
      <c r="AC385">
        <v>155</v>
      </c>
      <c r="AD385" s="9">
        <f t="shared" si="113"/>
        <v>10389.083333333332</v>
      </c>
      <c r="AE385">
        <f t="shared" si="97"/>
        <v>2555730</v>
      </c>
      <c r="AF385" s="2">
        <f t="shared" si="101"/>
        <v>20.5</v>
      </c>
      <c r="AG385" t="str">
        <f t="shared" si="114"/>
        <v>173小时</v>
      </c>
      <c r="AH385">
        <f t="shared" si="115"/>
        <v>62</v>
      </c>
      <c r="AI385">
        <f t="shared" si="116"/>
        <v>11</v>
      </c>
      <c r="AJ385">
        <f t="shared" si="98"/>
        <v>39.299999999999997</v>
      </c>
      <c r="AK385">
        <f t="shared" si="117"/>
        <v>20</v>
      </c>
      <c r="AL385">
        <f t="shared" si="99"/>
        <v>20.5</v>
      </c>
      <c r="AM385" s="2">
        <f t="shared" si="118"/>
        <v>11</v>
      </c>
      <c r="AX385">
        <v>382</v>
      </c>
      <c r="AZ385" s="3"/>
      <c r="BB385" s="2">
        <f t="shared" si="96"/>
        <v>130</v>
      </c>
      <c r="BC385">
        <f t="shared" si="100"/>
        <v>8.3231707317073162</v>
      </c>
      <c r="BD385" s="2">
        <f t="shared" si="107"/>
        <v>39.299999999999997</v>
      </c>
      <c r="BE385">
        <f t="shared" si="108"/>
        <v>20.5</v>
      </c>
      <c r="BF385">
        <f t="shared" si="109"/>
        <v>118080</v>
      </c>
    </row>
    <row r="386" spans="1:58" ht="14.25" x14ac:dyDescent="0.2">
      <c r="A386" s="11">
        <v>10303</v>
      </c>
      <c r="B386" s="13">
        <f t="shared" si="111"/>
        <v>7</v>
      </c>
      <c r="C386" s="15">
        <f t="shared" si="112"/>
        <v>6</v>
      </c>
      <c r="D386" s="14">
        <f t="shared" si="110"/>
        <v>6</v>
      </c>
      <c r="E386" t="s">
        <v>2777</v>
      </c>
      <c r="F386" t="s">
        <v>2836</v>
      </c>
      <c r="G386" t="s">
        <v>2779</v>
      </c>
      <c r="H386" t="s">
        <v>2779</v>
      </c>
      <c r="I386" t="s">
        <v>2780</v>
      </c>
      <c r="J386" s="4" t="s">
        <v>2838</v>
      </c>
      <c r="K386" t="s">
        <v>179</v>
      </c>
      <c r="L386" t="s">
        <v>163</v>
      </c>
      <c r="M386" t="s">
        <v>163</v>
      </c>
      <c r="N386" t="s">
        <v>163</v>
      </c>
      <c r="O386" s="6" t="s">
        <v>739</v>
      </c>
      <c r="P386">
        <v>0</v>
      </c>
      <c r="Q386" s="24">
        <v>31.5</v>
      </c>
      <c r="R386" s="25">
        <v>39</v>
      </c>
      <c r="S386" s="26">
        <v>34.299999999999997</v>
      </c>
      <c r="Y386">
        <v>10</v>
      </c>
      <c r="Z386">
        <v>30</v>
      </c>
      <c r="AA386" s="3">
        <v>25</v>
      </c>
      <c r="AB386" s="3">
        <v>6</v>
      </c>
      <c r="AC386">
        <v>155</v>
      </c>
      <c r="AD386" s="9">
        <f t="shared" si="113"/>
        <v>10389.083333333332</v>
      </c>
      <c r="AE386">
        <f t="shared" si="97"/>
        <v>2555730</v>
      </c>
      <c r="AF386" s="2">
        <f t="shared" si="101"/>
        <v>20.5</v>
      </c>
      <c r="AG386" t="str">
        <f t="shared" si="114"/>
        <v>173小时</v>
      </c>
      <c r="AH386">
        <f t="shared" si="115"/>
        <v>62</v>
      </c>
      <c r="AI386">
        <f t="shared" si="116"/>
        <v>11</v>
      </c>
      <c r="AJ386">
        <f t="shared" si="98"/>
        <v>39.299999999999997</v>
      </c>
      <c r="AK386">
        <f t="shared" si="117"/>
        <v>20</v>
      </c>
      <c r="AL386">
        <f t="shared" si="99"/>
        <v>20.5</v>
      </c>
      <c r="AM386" s="2">
        <f t="shared" si="118"/>
        <v>11</v>
      </c>
      <c r="AX386">
        <v>383</v>
      </c>
      <c r="AZ386" s="3"/>
      <c r="BB386" s="2">
        <f t="shared" si="96"/>
        <v>130</v>
      </c>
      <c r="BC386">
        <f t="shared" si="100"/>
        <v>8.3231707317073162</v>
      </c>
      <c r="BD386" s="2">
        <f t="shared" si="107"/>
        <v>39.299999999999997</v>
      </c>
      <c r="BE386">
        <f t="shared" si="108"/>
        <v>20.5</v>
      </c>
      <c r="BF386">
        <f t="shared" si="109"/>
        <v>118080</v>
      </c>
    </row>
    <row r="387" spans="1:58" ht="14.25" x14ac:dyDescent="0.2">
      <c r="A387" s="11">
        <v>10304</v>
      </c>
      <c r="B387" s="13">
        <f t="shared" si="111"/>
        <v>7</v>
      </c>
      <c r="C387" s="15">
        <f t="shared" si="112"/>
        <v>6</v>
      </c>
      <c r="D387" s="14">
        <f t="shared" si="110"/>
        <v>6</v>
      </c>
      <c r="E387" t="s">
        <v>2777</v>
      </c>
      <c r="F387" t="s">
        <v>2837</v>
      </c>
      <c r="G387" t="s">
        <v>2779</v>
      </c>
      <c r="H387" t="s">
        <v>2779</v>
      </c>
      <c r="I387" t="s">
        <v>2780</v>
      </c>
      <c r="J387" s="4" t="s">
        <v>2838</v>
      </c>
      <c r="K387" t="s">
        <v>177</v>
      </c>
      <c r="L387" t="s">
        <v>163</v>
      </c>
      <c r="M387" t="s">
        <v>163</v>
      </c>
      <c r="N387" t="s">
        <v>163</v>
      </c>
      <c r="O387" s="6" t="s">
        <v>739</v>
      </c>
      <c r="P387">
        <v>0</v>
      </c>
      <c r="Q387" s="24">
        <v>31.5</v>
      </c>
      <c r="R387" s="25">
        <v>39</v>
      </c>
      <c r="S387" s="26">
        <v>34.299999999999997</v>
      </c>
      <c r="Y387">
        <v>10</v>
      </c>
      <c r="Z387">
        <v>30</v>
      </c>
      <c r="AA387" s="3">
        <v>25</v>
      </c>
      <c r="AB387" s="3">
        <v>6</v>
      </c>
      <c r="AC387">
        <v>155</v>
      </c>
      <c r="AD387" s="9">
        <f t="shared" si="113"/>
        <v>10389.083333333332</v>
      </c>
      <c r="AE387">
        <f t="shared" si="97"/>
        <v>2555730</v>
      </c>
      <c r="AF387" s="2">
        <f t="shared" si="101"/>
        <v>20.5</v>
      </c>
      <c r="AG387" t="str">
        <f t="shared" si="114"/>
        <v>173小时</v>
      </c>
      <c r="AH387">
        <f t="shared" si="115"/>
        <v>62</v>
      </c>
      <c r="AI387">
        <f t="shared" si="116"/>
        <v>11</v>
      </c>
      <c r="AJ387">
        <f t="shared" si="98"/>
        <v>39.299999999999997</v>
      </c>
      <c r="AK387">
        <f t="shared" si="117"/>
        <v>20</v>
      </c>
      <c r="AL387">
        <f t="shared" si="99"/>
        <v>20.5</v>
      </c>
      <c r="AM387" s="2">
        <f t="shared" si="118"/>
        <v>11</v>
      </c>
      <c r="AX387">
        <v>384</v>
      </c>
      <c r="AZ387" s="3"/>
      <c r="BB387" s="2">
        <f t="shared" ref="BB387:BB450" si="119">100+FLOOR((AX387-190)/30,1)*5</f>
        <v>130</v>
      </c>
      <c r="BC387">
        <f t="shared" si="100"/>
        <v>8.3231707317073162</v>
      </c>
      <c r="BD387" s="2">
        <f t="shared" si="107"/>
        <v>39.299999999999997</v>
      </c>
      <c r="BE387">
        <f t="shared" si="108"/>
        <v>20.5</v>
      </c>
      <c r="BF387">
        <f t="shared" si="109"/>
        <v>118080</v>
      </c>
    </row>
    <row r="388" spans="1:58" ht="14.25" x14ac:dyDescent="0.2">
      <c r="A388" s="11">
        <v>10305</v>
      </c>
      <c r="B388" s="13">
        <f t="shared" si="111"/>
        <v>7</v>
      </c>
      <c r="C388" s="15">
        <f t="shared" si="112"/>
        <v>6</v>
      </c>
      <c r="D388" s="14">
        <f t="shared" si="110"/>
        <v>6</v>
      </c>
      <c r="E388" t="s">
        <v>2785</v>
      </c>
      <c r="F388" t="s">
        <v>2786</v>
      </c>
      <c r="G388" t="s">
        <v>2830</v>
      </c>
      <c r="H388" t="s">
        <v>2829</v>
      </c>
      <c r="I388" t="s">
        <v>2697</v>
      </c>
      <c r="J388" s="4" t="s">
        <v>2858</v>
      </c>
      <c r="K388" t="s">
        <v>174</v>
      </c>
      <c r="L388" t="s">
        <v>163</v>
      </c>
      <c r="M388" t="s">
        <v>163</v>
      </c>
      <c r="N388" t="s">
        <v>163</v>
      </c>
      <c r="O388" s="6" t="s">
        <v>741</v>
      </c>
      <c r="P388">
        <v>0</v>
      </c>
      <c r="Q388" s="24">
        <v>31.5</v>
      </c>
      <c r="R388" s="25">
        <v>39</v>
      </c>
      <c r="S388" s="26">
        <v>34.299999999999997</v>
      </c>
      <c r="Y388">
        <v>10</v>
      </c>
      <c r="Z388">
        <v>30</v>
      </c>
      <c r="AA388" s="3">
        <v>25</v>
      </c>
      <c r="AB388" s="3">
        <v>6</v>
      </c>
      <c r="AC388">
        <v>155</v>
      </c>
      <c r="AD388" s="9">
        <f t="shared" si="113"/>
        <v>10389.083333333332</v>
      </c>
      <c r="AE388">
        <f t="shared" ref="AE388:AE451" si="120">INDEX(V:V,MATCH(AC388,U:U,0))</f>
        <v>2555730</v>
      </c>
      <c r="AF388" s="2">
        <f t="shared" si="101"/>
        <v>20.5</v>
      </c>
      <c r="AG388" t="str">
        <f t="shared" si="114"/>
        <v>173小时</v>
      </c>
      <c r="AH388">
        <f t="shared" si="115"/>
        <v>62</v>
      </c>
      <c r="AI388">
        <f t="shared" si="116"/>
        <v>11</v>
      </c>
      <c r="AJ388">
        <f t="shared" ref="AJ388:AJ451" si="121">BD388</f>
        <v>39.299999999999997</v>
      </c>
      <c r="AK388">
        <f t="shared" si="117"/>
        <v>20</v>
      </c>
      <c r="AL388">
        <f t="shared" ref="AL388:AL451" si="122">BE388</f>
        <v>20.5</v>
      </c>
      <c r="AM388" s="2">
        <f t="shared" si="118"/>
        <v>11</v>
      </c>
      <c r="AX388">
        <v>385</v>
      </c>
      <c r="AZ388" s="3"/>
      <c r="BB388" s="2">
        <f t="shared" si="119"/>
        <v>130</v>
      </c>
      <c r="BC388">
        <f t="shared" ref="BC388:BC451" si="123">INDEX($W:$W,MATCH(BB388,$U:$U,0))/(BE388*60*60/5)</f>
        <v>8.3231707317073162</v>
      </c>
      <c r="BD388" s="2">
        <f t="shared" si="107"/>
        <v>39.299999999999997</v>
      </c>
      <c r="BE388">
        <f t="shared" si="108"/>
        <v>20.5</v>
      </c>
      <c r="BF388">
        <f t="shared" si="109"/>
        <v>118080</v>
      </c>
    </row>
    <row r="389" spans="1:58" ht="14.25" x14ac:dyDescent="0.2">
      <c r="A389" s="11">
        <v>10306</v>
      </c>
      <c r="B389" s="13">
        <f t="shared" si="111"/>
        <v>7</v>
      </c>
      <c r="C389" s="15">
        <f t="shared" si="112"/>
        <v>6</v>
      </c>
      <c r="D389" s="14">
        <f t="shared" si="110"/>
        <v>6</v>
      </c>
      <c r="E389" t="s">
        <v>2777</v>
      </c>
      <c r="F389" t="s">
        <v>2834</v>
      </c>
      <c r="G389" t="s">
        <v>2779</v>
      </c>
      <c r="H389" t="s">
        <v>2779</v>
      </c>
      <c r="I389" t="s">
        <v>2780</v>
      </c>
      <c r="J389" s="4" t="s">
        <v>2838</v>
      </c>
      <c r="K389" t="s">
        <v>182</v>
      </c>
      <c r="L389" t="s">
        <v>163</v>
      </c>
      <c r="M389" t="s">
        <v>163</v>
      </c>
      <c r="N389" t="s">
        <v>163</v>
      </c>
      <c r="O389" s="6" t="s">
        <v>743</v>
      </c>
      <c r="P389">
        <v>0</v>
      </c>
      <c r="Q389" s="24">
        <v>31.8</v>
      </c>
      <c r="R389" s="25">
        <v>39.5</v>
      </c>
      <c r="S389" s="26">
        <v>34.5</v>
      </c>
      <c r="Y389">
        <v>10</v>
      </c>
      <c r="Z389">
        <v>30</v>
      </c>
      <c r="AA389" s="3">
        <v>25</v>
      </c>
      <c r="AB389" s="3">
        <v>6</v>
      </c>
      <c r="AC389">
        <v>155</v>
      </c>
      <c r="AD389" s="9">
        <f t="shared" si="113"/>
        <v>10288.75</v>
      </c>
      <c r="AE389">
        <f t="shared" si="120"/>
        <v>2555730</v>
      </c>
      <c r="AF389" s="2">
        <f t="shared" ref="AF389:AF452" si="124">BE389</f>
        <v>20.700000000000003</v>
      </c>
      <c r="AG389" t="str">
        <f t="shared" si="114"/>
        <v>171小时</v>
      </c>
      <c r="AH389">
        <f t="shared" si="115"/>
        <v>63</v>
      </c>
      <c r="AI389">
        <f t="shared" si="116"/>
        <v>11</v>
      </c>
      <c r="AJ389">
        <f t="shared" si="121"/>
        <v>39.6</v>
      </c>
      <c r="AK389">
        <f t="shared" si="117"/>
        <v>20</v>
      </c>
      <c r="AL389">
        <f t="shared" si="122"/>
        <v>20.700000000000003</v>
      </c>
      <c r="AM389" s="2">
        <f t="shared" si="118"/>
        <v>11</v>
      </c>
      <c r="AX389">
        <v>386</v>
      </c>
      <c r="AZ389" s="3"/>
      <c r="BB389" s="2">
        <f t="shared" si="119"/>
        <v>130</v>
      </c>
      <c r="BC389">
        <f t="shared" si="123"/>
        <v>8.2427536231884044</v>
      </c>
      <c r="BD389" s="2">
        <f t="shared" ref="BD389:BD452" si="125">ROUNDUP(BE389*1.5,1)+8.5</f>
        <v>39.6</v>
      </c>
      <c r="BE389">
        <f t="shared" ref="BE389:BE452" si="126">FLOOR(ROUNDUP(AX389/5,0)*0.25+1.25,0.1)</f>
        <v>20.700000000000003</v>
      </c>
      <c r="BF389">
        <f t="shared" ref="BF389:BF452" si="127">BE389*8*60*60/5</f>
        <v>119232.00000000003</v>
      </c>
    </row>
    <row r="390" spans="1:58" ht="14.25" x14ac:dyDescent="0.2">
      <c r="A390" s="11">
        <v>10307</v>
      </c>
      <c r="B390" s="13">
        <f t="shared" si="111"/>
        <v>7</v>
      </c>
      <c r="C390" s="15">
        <f t="shared" si="112"/>
        <v>6</v>
      </c>
      <c r="D390" s="14">
        <f t="shared" si="110"/>
        <v>6</v>
      </c>
      <c r="E390" t="s">
        <v>2777</v>
      </c>
      <c r="F390" t="s">
        <v>2835</v>
      </c>
      <c r="G390" t="s">
        <v>2779</v>
      </c>
      <c r="H390" t="s">
        <v>2779</v>
      </c>
      <c r="I390" t="s">
        <v>2780</v>
      </c>
      <c r="J390" s="4" t="s">
        <v>2838</v>
      </c>
      <c r="K390" t="s">
        <v>162</v>
      </c>
      <c r="L390" t="s">
        <v>163</v>
      </c>
      <c r="M390" t="s">
        <v>163</v>
      </c>
      <c r="N390" t="s">
        <v>163</v>
      </c>
      <c r="O390" s="6" t="s">
        <v>743</v>
      </c>
      <c r="P390">
        <v>0</v>
      </c>
      <c r="Q390" s="24">
        <v>31.8</v>
      </c>
      <c r="R390" s="25">
        <v>39.5</v>
      </c>
      <c r="S390" s="26">
        <v>34.5</v>
      </c>
      <c r="Y390">
        <v>10</v>
      </c>
      <c r="Z390">
        <v>30</v>
      </c>
      <c r="AA390" s="3">
        <v>25</v>
      </c>
      <c r="AB390" s="3">
        <v>6</v>
      </c>
      <c r="AC390">
        <v>155</v>
      </c>
      <c r="AD390" s="9">
        <f t="shared" si="113"/>
        <v>10288.75</v>
      </c>
      <c r="AE390">
        <f t="shared" si="120"/>
        <v>2555730</v>
      </c>
      <c r="AF390" s="2">
        <f t="shared" si="124"/>
        <v>20.700000000000003</v>
      </c>
      <c r="AG390" t="str">
        <f t="shared" si="114"/>
        <v>171小时</v>
      </c>
      <c r="AH390">
        <f t="shared" si="115"/>
        <v>63</v>
      </c>
      <c r="AI390">
        <f t="shared" si="116"/>
        <v>11</v>
      </c>
      <c r="AJ390">
        <f t="shared" si="121"/>
        <v>39.6</v>
      </c>
      <c r="AK390">
        <f t="shared" si="117"/>
        <v>20</v>
      </c>
      <c r="AL390">
        <f t="shared" si="122"/>
        <v>20.700000000000003</v>
      </c>
      <c r="AM390" s="2">
        <f t="shared" si="118"/>
        <v>11</v>
      </c>
      <c r="AX390">
        <v>387</v>
      </c>
      <c r="AZ390" s="3"/>
      <c r="BB390" s="2">
        <f t="shared" si="119"/>
        <v>130</v>
      </c>
      <c r="BC390">
        <f t="shared" si="123"/>
        <v>8.2427536231884044</v>
      </c>
      <c r="BD390" s="2">
        <f t="shared" si="125"/>
        <v>39.6</v>
      </c>
      <c r="BE390">
        <f t="shared" si="126"/>
        <v>20.700000000000003</v>
      </c>
      <c r="BF390">
        <f t="shared" si="127"/>
        <v>119232.00000000003</v>
      </c>
    </row>
    <row r="391" spans="1:58" ht="14.25" x14ac:dyDescent="0.2">
      <c r="A391" s="11">
        <v>10308</v>
      </c>
      <c r="B391" s="13">
        <f t="shared" si="111"/>
        <v>7</v>
      </c>
      <c r="C391" s="15">
        <f t="shared" si="112"/>
        <v>6</v>
      </c>
      <c r="D391" s="14">
        <f t="shared" si="110"/>
        <v>6</v>
      </c>
      <c r="E391" t="s">
        <v>2777</v>
      </c>
      <c r="F391" t="s">
        <v>2836</v>
      </c>
      <c r="G391" t="s">
        <v>2779</v>
      </c>
      <c r="H391" t="s">
        <v>2779</v>
      </c>
      <c r="I391" t="s">
        <v>2780</v>
      </c>
      <c r="J391" s="4" t="s">
        <v>2838</v>
      </c>
      <c r="K391" t="s">
        <v>177</v>
      </c>
      <c r="L391" t="s">
        <v>163</v>
      </c>
      <c r="M391" t="s">
        <v>163</v>
      </c>
      <c r="N391" t="s">
        <v>163</v>
      </c>
      <c r="O391" s="6" t="s">
        <v>745</v>
      </c>
      <c r="P391">
        <v>0</v>
      </c>
      <c r="Q391" s="24">
        <v>31.8</v>
      </c>
      <c r="R391" s="25">
        <v>39.5</v>
      </c>
      <c r="S391" s="26">
        <v>34.5</v>
      </c>
      <c r="Y391">
        <v>10</v>
      </c>
      <c r="Z391">
        <v>30</v>
      </c>
      <c r="AA391" s="3">
        <v>25</v>
      </c>
      <c r="AB391" s="3">
        <v>6</v>
      </c>
      <c r="AC391">
        <v>155</v>
      </c>
      <c r="AD391" s="9">
        <f t="shared" si="113"/>
        <v>10288.75</v>
      </c>
      <c r="AE391">
        <f t="shared" si="120"/>
        <v>2555730</v>
      </c>
      <c r="AF391" s="2">
        <f t="shared" si="124"/>
        <v>20.700000000000003</v>
      </c>
      <c r="AG391" t="str">
        <f t="shared" si="114"/>
        <v>171小时</v>
      </c>
      <c r="AH391">
        <f t="shared" si="115"/>
        <v>63</v>
      </c>
      <c r="AI391">
        <f t="shared" si="116"/>
        <v>11</v>
      </c>
      <c r="AJ391">
        <f t="shared" si="121"/>
        <v>39.6</v>
      </c>
      <c r="AK391">
        <f t="shared" si="117"/>
        <v>20</v>
      </c>
      <c r="AL391">
        <f t="shared" si="122"/>
        <v>20.700000000000003</v>
      </c>
      <c r="AM391" s="2">
        <f t="shared" si="118"/>
        <v>11</v>
      </c>
      <c r="AX391">
        <v>388</v>
      </c>
      <c r="AZ391" s="3"/>
      <c r="BB391" s="2">
        <f t="shared" si="119"/>
        <v>130</v>
      </c>
      <c r="BC391">
        <f t="shared" si="123"/>
        <v>8.2427536231884044</v>
      </c>
      <c r="BD391" s="2">
        <f t="shared" si="125"/>
        <v>39.6</v>
      </c>
      <c r="BE391">
        <f t="shared" si="126"/>
        <v>20.700000000000003</v>
      </c>
      <c r="BF391">
        <f t="shared" si="127"/>
        <v>119232.00000000003</v>
      </c>
    </row>
    <row r="392" spans="1:58" ht="14.25" x14ac:dyDescent="0.2">
      <c r="A392" s="11">
        <v>10309</v>
      </c>
      <c r="B392" s="13">
        <f t="shared" si="111"/>
        <v>7</v>
      </c>
      <c r="C392" s="15">
        <f t="shared" si="112"/>
        <v>6</v>
      </c>
      <c r="D392" s="14">
        <f t="shared" si="110"/>
        <v>6</v>
      </c>
      <c r="E392" t="s">
        <v>2777</v>
      </c>
      <c r="F392" t="s">
        <v>2837</v>
      </c>
      <c r="G392" t="s">
        <v>2779</v>
      </c>
      <c r="H392" t="s">
        <v>2779</v>
      </c>
      <c r="I392" t="s">
        <v>2780</v>
      </c>
      <c r="J392" s="4" t="s">
        <v>2838</v>
      </c>
      <c r="K392" t="s">
        <v>174</v>
      </c>
      <c r="L392" t="s">
        <v>163</v>
      </c>
      <c r="M392" t="s">
        <v>163</v>
      </c>
      <c r="N392" t="s">
        <v>163</v>
      </c>
      <c r="O392" s="6" t="s">
        <v>747</v>
      </c>
      <c r="P392">
        <v>0</v>
      </c>
      <c r="Q392" s="24">
        <v>31.8</v>
      </c>
      <c r="R392" s="25">
        <v>39.5</v>
      </c>
      <c r="S392" s="26">
        <v>34.5</v>
      </c>
      <c r="Y392">
        <v>10</v>
      </c>
      <c r="Z392">
        <v>30</v>
      </c>
      <c r="AA392" s="3">
        <v>25</v>
      </c>
      <c r="AB392" s="3">
        <v>6</v>
      </c>
      <c r="AC392">
        <v>155</v>
      </c>
      <c r="AD392" s="9">
        <f t="shared" si="113"/>
        <v>10288.75</v>
      </c>
      <c r="AE392">
        <f t="shared" si="120"/>
        <v>2555730</v>
      </c>
      <c r="AF392" s="2">
        <f t="shared" si="124"/>
        <v>20.700000000000003</v>
      </c>
      <c r="AG392" t="str">
        <f t="shared" si="114"/>
        <v>171小时</v>
      </c>
      <c r="AH392">
        <f t="shared" si="115"/>
        <v>63</v>
      </c>
      <c r="AI392">
        <f t="shared" si="116"/>
        <v>11</v>
      </c>
      <c r="AJ392">
        <f t="shared" si="121"/>
        <v>39.6</v>
      </c>
      <c r="AK392">
        <f t="shared" si="117"/>
        <v>20</v>
      </c>
      <c r="AL392">
        <f t="shared" si="122"/>
        <v>20.700000000000003</v>
      </c>
      <c r="AM392" s="2">
        <f t="shared" si="118"/>
        <v>11</v>
      </c>
      <c r="AX392">
        <v>389</v>
      </c>
      <c r="AZ392" s="3"/>
      <c r="BB392" s="2">
        <f t="shared" si="119"/>
        <v>130</v>
      </c>
      <c r="BC392">
        <f t="shared" si="123"/>
        <v>8.2427536231884044</v>
      </c>
      <c r="BD392" s="2">
        <f t="shared" si="125"/>
        <v>39.6</v>
      </c>
      <c r="BE392">
        <f t="shared" si="126"/>
        <v>20.700000000000003</v>
      </c>
      <c r="BF392">
        <f t="shared" si="127"/>
        <v>119232.00000000003</v>
      </c>
    </row>
    <row r="393" spans="1:58" ht="14.25" x14ac:dyDescent="0.2">
      <c r="A393" s="11">
        <v>10310</v>
      </c>
      <c r="B393" s="13">
        <f t="shared" si="111"/>
        <v>7</v>
      </c>
      <c r="C393" s="15">
        <f t="shared" si="112"/>
        <v>6</v>
      </c>
      <c r="D393" s="14">
        <f t="shared" si="110"/>
        <v>6</v>
      </c>
      <c r="E393" t="s">
        <v>2785</v>
      </c>
      <c r="F393" t="s">
        <v>2786</v>
      </c>
      <c r="G393" t="s">
        <v>2831</v>
      </c>
      <c r="H393" t="s">
        <v>2829</v>
      </c>
      <c r="I393" t="s">
        <v>2697</v>
      </c>
      <c r="J393" s="4" t="s">
        <v>2858</v>
      </c>
      <c r="K393" t="s">
        <v>166</v>
      </c>
      <c r="L393" t="s">
        <v>163</v>
      </c>
      <c r="M393" t="s">
        <v>163</v>
      </c>
      <c r="N393" t="s">
        <v>163</v>
      </c>
      <c r="O393" s="6" t="s">
        <v>747</v>
      </c>
      <c r="P393">
        <v>0</v>
      </c>
      <c r="Q393" s="24">
        <v>31.8</v>
      </c>
      <c r="R393" s="25">
        <v>39.5</v>
      </c>
      <c r="S393" s="26">
        <v>34.5</v>
      </c>
      <c r="Y393">
        <v>10</v>
      </c>
      <c r="Z393">
        <v>30</v>
      </c>
      <c r="AA393" s="3">
        <v>25</v>
      </c>
      <c r="AB393" s="3">
        <v>6</v>
      </c>
      <c r="AC393">
        <v>155</v>
      </c>
      <c r="AD393" s="9">
        <f t="shared" si="113"/>
        <v>10288.75</v>
      </c>
      <c r="AE393">
        <f t="shared" si="120"/>
        <v>2555730</v>
      </c>
      <c r="AF393" s="2">
        <f t="shared" si="124"/>
        <v>20.700000000000003</v>
      </c>
      <c r="AG393" t="str">
        <f t="shared" si="114"/>
        <v>171小时</v>
      </c>
      <c r="AH393">
        <f t="shared" si="115"/>
        <v>63</v>
      </c>
      <c r="AI393">
        <f t="shared" si="116"/>
        <v>11</v>
      </c>
      <c r="AJ393">
        <f t="shared" si="121"/>
        <v>39.6</v>
      </c>
      <c r="AK393">
        <f t="shared" si="117"/>
        <v>20</v>
      </c>
      <c r="AL393">
        <f t="shared" si="122"/>
        <v>20.700000000000003</v>
      </c>
      <c r="AM393" s="2">
        <f t="shared" si="118"/>
        <v>11</v>
      </c>
      <c r="AX393">
        <v>390</v>
      </c>
      <c r="AZ393" s="3"/>
      <c r="BB393" s="2">
        <f t="shared" si="119"/>
        <v>130</v>
      </c>
      <c r="BC393">
        <f t="shared" si="123"/>
        <v>8.2427536231884044</v>
      </c>
      <c r="BD393" s="2">
        <f t="shared" si="125"/>
        <v>39.6</v>
      </c>
      <c r="BE393">
        <f t="shared" si="126"/>
        <v>20.700000000000003</v>
      </c>
      <c r="BF393">
        <f t="shared" si="127"/>
        <v>119232.00000000003</v>
      </c>
    </row>
    <row r="394" spans="1:58" ht="14.25" x14ac:dyDescent="0.2">
      <c r="A394" s="11">
        <v>10311</v>
      </c>
      <c r="B394" s="13">
        <f t="shared" si="111"/>
        <v>7</v>
      </c>
      <c r="C394" s="15">
        <f t="shared" si="112"/>
        <v>6</v>
      </c>
      <c r="D394" s="14">
        <f t="shared" si="110"/>
        <v>6</v>
      </c>
      <c r="E394" t="s">
        <v>2777</v>
      </c>
      <c r="F394" t="s">
        <v>2834</v>
      </c>
      <c r="G394" t="s">
        <v>2779</v>
      </c>
      <c r="H394" t="s">
        <v>2779</v>
      </c>
      <c r="I394" t="s">
        <v>2780</v>
      </c>
      <c r="J394" s="4" t="s">
        <v>2838</v>
      </c>
      <c r="K394" t="s">
        <v>168</v>
      </c>
      <c r="L394" t="s">
        <v>163</v>
      </c>
      <c r="M394" t="s">
        <v>163</v>
      </c>
      <c r="N394" t="s">
        <v>163</v>
      </c>
      <c r="O394" s="6" t="s">
        <v>749</v>
      </c>
      <c r="P394">
        <v>0</v>
      </c>
      <c r="Q394" s="24">
        <v>32.200000000000003</v>
      </c>
      <c r="R394" s="25">
        <v>40</v>
      </c>
      <c r="S394" s="26">
        <v>34.799999999999997</v>
      </c>
      <c r="Y394">
        <v>10</v>
      </c>
      <c r="Z394">
        <v>30</v>
      </c>
      <c r="AA394" s="3">
        <v>25</v>
      </c>
      <c r="AB394" s="3">
        <v>6</v>
      </c>
      <c r="AC394">
        <v>155</v>
      </c>
      <c r="AD394" s="9">
        <f t="shared" si="113"/>
        <v>10141.75</v>
      </c>
      <c r="AE394">
        <f t="shared" si="120"/>
        <v>2555730</v>
      </c>
      <c r="AF394" s="2">
        <f t="shared" si="124"/>
        <v>21</v>
      </c>
      <c r="AG394" t="str">
        <f t="shared" si="114"/>
        <v>169小时</v>
      </c>
      <c r="AH394">
        <f t="shared" si="115"/>
        <v>63</v>
      </c>
      <c r="AI394">
        <f t="shared" si="116"/>
        <v>11</v>
      </c>
      <c r="AJ394">
        <f t="shared" si="121"/>
        <v>40</v>
      </c>
      <c r="AK394">
        <f t="shared" si="117"/>
        <v>20</v>
      </c>
      <c r="AL394">
        <f t="shared" si="122"/>
        <v>21</v>
      </c>
      <c r="AM394" s="2">
        <f t="shared" si="118"/>
        <v>11</v>
      </c>
      <c r="AX394">
        <v>391</v>
      </c>
      <c r="AZ394" s="3"/>
      <c r="BB394" s="2">
        <f t="shared" si="119"/>
        <v>130</v>
      </c>
      <c r="BC394">
        <f t="shared" si="123"/>
        <v>8.125</v>
      </c>
      <c r="BD394" s="2">
        <f t="shared" si="125"/>
        <v>40</v>
      </c>
      <c r="BE394">
        <f t="shared" si="126"/>
        <v>21</v>
      </c>
      <c r="BF394">
        <f t="shared" si="127"/>
        <v>120960</v>
      </c>
    </row>
    <row r="395" spans="1:58" ht="14.25" x14ac:dyDescent="0.2">
      <c r="A395" s="11">
        <v>10312</v>
      </c>
      <c r="B395" s="13">
        <f t="shared" si="111"/>
        <v>7</v>
      </c>
      <c r="C395" s="15">
        <f t="shared" si="112"/>
        <v>6</v>
      </c>
      <c r="D395" s="14">
        <f t="shared" si="110"/>
        <v>6</v>
      </c>
      <c r="E395" t="s">
        <v>2777</v>
      </c>
      <c r="F395" t="s">
        <v>2835</v>
      </c>
      <c r="G395" t="s">
        <v>2779</v>
      </c>
      <c r="H395" t="s">
        <v>2779</v>
      </c>
      <c r="I395" t="s">
        <v>2780</v>
      </c>
      <c r="J395" s="4" t="s">
        <v>2838</v>
      </c>
      <c r="K395" t="s">
        <v>175</v>
      </c>
      <c r="L395" t="s">
        <v>164</v>
      </c>
      <c r="M395" t="s">
        <v>163</v>
      </c>
      <c r="N395" t="s">
        <v>167</v>
      </c>
      <c r="O395" s="6" t="s">
        <v>751</v>
      </c>
      <c r="P395">
        <v>0</v>
      </c>
      <c r="Q395" s="24">
        <v>32.200000000000003</v>
      </c>
      <c r="R395" s="25">
        <v>40</v>
      </c>
      <c r="S395" s="26">
        <v>34.799999999999997</v>
      </c>
      <c r="Y395">
        <v>10</v>
      </c>
      <c r="Z395">
        <v>30</v>
      </c>
      <c r="AA395" s="3">
        <v>25</v>
      </c>
      <c r="AB395" s="3">
        <v>6</v>
      </c>
      <c r="AC395">
        <v>155</v>
      </c>
      <c r="AD395" s="9">
        <f t="shared" si="113"/>
        <v>10141.75</v>
      </c>
      <c r="AE395">
        <f t="shared" si="120"/>
        <v>2555730</v>
      </c>
      <c r="AF395" s="2">
        <f t="shared" si="124"/>
        <v>21</v>
      </c>
      <c r="AG395" t="str">
        <f t="shared" si="114"/>
        <v>169小时</v>
      </c>
      <c r="AH395">
        <f t="shared" si="115"/>
        <v>63</v>
      </c>
      <c r="AI395">
        <f t="shared" si="116"/>
        <v>11</v>
      </c>
      <c r="AJ395">
        <f t="shared" si="121"/>
        <v>40</v>
      </c>
      <c r="AK395">
        <f t="shared" si="117"/>
        <v>20</v>
      </c>
      <c r="AL395">
        <f t="shared" si="122"/>
        <v>21</v>
      </c>
      <c r="AM395" s="2">
        <f t="shared" si="118"/>
        <v>11</v>
      </c>
      <c r="AX395">
        <v>392</v>
      </c>
      <c r="AZ395" s="3"/>
      <c r="BB395" s="2">
        <f t="shared" si="119"/>
        <v>130</v>
      </c>
      <c r="BC395">
        <f t="shared" si="123"/>
        <v>8.125</v>
      </c>
      <c r="BD395" s="2">
        <f t="shared" si="125"/>
        <v>40</v>
      </c>
      <c r="BE395">
        <f t="shared" si="126"/>
        <v>21</v>
      </c>
      <c r="BF395">
        <f t="shared" si="127"/>
        <v>120960</v>
      </c>
    </row>
    <row r="396" spans="1:58" ht="14.25" x14ac:dyDescent="0.2">
      <c r="A396" s="11">
        <v>10313</v>
      </c>
      <c r="B396" s="13">
        <f t="shared" si="111"/>
        <v>8</v>
      </c>
      <c r="C396" s="15">
        <f t="shared" si="112"/>
        <v>6</v>
      </c>
      <c r="D396" s="14">
        <f t="shared" si="110"/>
        <v>6</v>
      </c>
      <c r="E396" t="s">
        <v>2777</v>
      </c>
      <c r="F396" t="s">
        <v>2836</v>
      </c>
      <c r="G396" t="s">
        <v>2779</v>
      </c>
      <c r="H396" t="s">
        <v>2779</v>
      </c>
      <c r="I396" t="s">
        <v>2780</v>
      </c>
      <c r="J396" s="4" t="s">
        <v>2838</v>
      </c>
      <c r="K396" t="s">
        <v>179</v>
      </c>
      <c r="L396" t="s">
        <v>163</v>
      </c>
      <c r="M396" t="s">
        <v>163</v>
      </c>
      <c r="N396" t="s">
        <v>163</v>
      </c>
      <c r="O396" s="6" t="s">
        <v>753</v>
      </c>
      <c r="P396">
        <v>0</v>
      </c>
      <c r="Q396" s="24">
        <v>32.200000000000003</v>
      </c>
      <c r="R396" s="25">
        <v>40</v>
      </c>
      <c r="S396" s="26">
        <v>34.799999999999997</v>
      </c>
      <c r="Y396">
        <v>10</v>
      </c>
      <c r="Z396">
        <v>30</v>
      </c>
      <c r="AA396" s="3">
        <v>25</v>
      </c>
      <c r="AB396" s="3">
        <v>6</v>
      </c>
      <c r="AC396">
        <v>155</v>
      </c>
      <c r="AD396" s="9">
        <f t="shared" si="113"/>
        <v>10141.75</v>
      </c>
      <c r="AE396">
        <f t="shared" si="120"/>
        <v>2555730</v>
      </c>
      <c r="AF396" s="2">
        <f t="shared" si="124"/>
        <v>21</v>
      </c>
      <c r="AG396" t="str">
        <f t="shared" si="114"/>
        <v>169小时</v>
      </c>
      <c r="AH396">
        <f t="shared" si="115"/>
        <v>63</v>
      </c>
      <c r="AI396">
        <f t="shared" si="116"/>
        <v>11</v>
      </c>
      <c r="AJ396">
        <f t="shared" si="121"/>
        <v>40</v>
      </c>
      <c r="AK396">
        <f t="shared" si="117"/>
        <v>20</v>
      </c>
      <c r="AL396">
        <f t="shared" si="122"/>
        <v>21</v>
      </c>
      <c r="AM396" s="2">
        <f t="shared" si="118"/>
        <v>11</v>
      </c>
      <c r="AX396">
        <v>393</v>
      </c>
      <c r="AZ396" s="3"/>
      <c r="BB396" s="2">
        <f t="shared" si="119"/>
        <v>130</v>
      </c>
      <c r="BC396">
        <f t="shared" si="123"/>
        <v>8.125</v>
      </c>
      <c r="BD396" s="2">
        <f t="shared" si="125"/>
        <v>40</v>
      </c>
      <c r="BE396">
        <f t="shared" si="126"/>
        <v>21</v>
      </c>
      <c r="BF396">
        <f t="shared" si="127"/>
        <v>120960</v>
      </c>
    </row>
    <row r="397" spans="1:58" ht="14.25" x14ac:dyDescent="0.2">
      <c r="A397" s="11">
        <v>10314</v>
      </c>
      <c r="B397" s="13">
        <f t="shared" si="111"/>
        <v>8</v>
      </c>
      <c r="C397" s="15">
        <f t="shared" si="112"/>
        <v>6</v>
      </c>
      <c r="D397" s="14">
        <f t="shared" si="110"/>
        <v>6</v>
      </c>
      <c r="E397" t="s">
        <v>2777</v>
      </c>
      <c r="F397" t="s">
        <v>2837</v>
      </c>
      <c r="G397" t="s">
        <v>2779</v>
      </c>
      <c r="H397" t="s">
        <v>2779</v>
      </c>
      <c r="I397" t="s">
        <v>2780</v>
      </c>
      <c r="J397" s="4" t="s">
        <v>2838</v>
      </c>
      <c r="K397" t="s">
        <v>177</v>
      </c>
      <c r="L397" t="s">
        <v>163</v>
      </c>
      <c r="M397" t="s">
        <v>163</v>
      </c>
      <c r="N397" t="s">
        <v>163</v>
      </c>
      <c r="O397" s="6" t="s">
        <v>753</v>
      </c>
      <c r="P397">
        <v>0</v>
      </c>
      <c r="Q397" s="24">
        <v>32.200000000000003</v>
      </c>
      <c r="R397" s="25">
        <v>40</v>
      </c>
      <c r="S397" s="26">
        <v>34.799999999999997</v>
      </c>
      <c r="Y397">
        <v>10</v>
      </c>
      <c r="Z397">
        <v>30</v>
      </c>
      <c r="AA397" s="3">
        <v>25</v>
      </c>
      <c r="AB397" s="3">
        <v>6</v>
      </c>
      <c r="AC397">
        <v>155</v>
      </c>
      <c r="AD397" s="9">
        <f t="shared" si="113"/>
        <v>10141.75</v>
      </c>
      <c r="AE397">
        <f t="shared" si="120"/>
        <v>2555730</v>
      </c>
      <c r="AF397" s="2">
        <f t="shared" si="124"/>
        <v>21</v>
      </c>
      <c r="AG397" t="str">
        <f t="shared" si="114"/>
        <v>169小时</v>
      </c>
      <c r="AH397">
        <f t="shared" si="115"/>
        <v>63</v>
      </c>
      <c r="AI397">
        <f t="shared" si="116"/>
        <v>11</v>
      </c>
      <c r="AJ397">
        <f t="shared" si="121"/>
        <v>40</v>
      </c>
      <c r="AK397">
        <f t="shared" si="117"/>
        <v>20</v>
      </c>
      <c r="AL397">
        <f t="shared" si="122"/>
        <v>21</v>
      </c>
      <c r="AM397" s="2">
        <f t="shared" si="118"/>
        <v>11</v>
      </c>
      <c r="AX397">
        <v>394</v>
      </c>
      <c r="AZ397" s="3"/>
      <c r="BB397" s="2">
        <f t="shared" si="119"/>
        <v>130</v>
      </c>
      <c r="BC397">
        <f t="shared" si="123"/>
        <v>8.125</v>
      </c>
      <c r="BD397" s="2">
        <f t="shared" si="125"/>
        <v>40</v>
      </c>
      <c r="BE397">
        <f t="shared" si="126"/>
        <v>21</v>
      </c>
      <c r="BF397">
        <f t="shared" si="127"/>
        <v>120960</v>
      </c>
    </row>
    <row r="398" spans="1:58" ht="14.25" x14ac:dyDescent="0.2">
      <c r="A398" s="11">
        <v>10315</v>
      </c>
      <c r="B398" s="13">
        <f t="shared" si="111"/>
        <v>8</v>
      </c>
      <c r="C398" s="15">
        <f t="shared" si="112"/>
        <v>6</v>
      </c>
      <c r="D398" s="14">
        <f t="shared" si="110"/>
        <v>6</v>
      </c>
      <c r="E398" t="s">
        <v>2785</v>
      </c>
      <c r="F398" t="s">
        <v>2786</v>
      </c>
      <c r="G398" t="s">
        <v>2832</v>
      </c>
      <c r="H398" t="s">
        <v>2829</v>
      </c>
      <c r="I398" t="s">
        <v>2697</v>
      </c>
      <c r="J398" s="4" t="s">
        <v>2858</v>
      </c>
      <c r="K398" t="s">
        <v>174</v>
      </c>
      <c r="L398" t="s">
        <v>163</v>
      </c>
      <c r="M398" t="s">
        <v>163</v>
      </c>
      <c r="N398" t="s">
        <v>163</v>
      </c>
      <c r="O398" s="6" t="s">
        <v>755</v>
      </c>
      <c r="P398">
        <v>0</v>
      </c>
      <c r="Q398" s="24">
        <v>32.200000000000003</v>
      </c>
      <c r="R398" s="25">
        <v>40</v>
      </c>
      <c r="S398" s="26">
        <v>34.799999999999997</v>
      </c>
      <c r="Y398">
        <v>10</v>
      </c>
      <c r="Z398">
        <v>30</v>
      </c>
      <c r="AA398" s="3">
        <v>25</v>
      </c>
      <c r="AB398" s="3">
        <v>6</v>
      </c>
      <c r="AC398">
        <v>155</v>
      </c>
      <c r="AD398" s="9">
        <f t="shared" si="113"/>
        <v>10141.75</v>
      </c>
      <c r="AE398">
        <f t="shared" si="120"/>
        <v>2555730</v>
      </c>
      <c r="AF398" s="2">
        <f t="shared" si="124"/>
        <v>21</v>
      </c>
      <c r="AG398" t="str">
        <f t="shared" si="114"/>
        <v>169小时</v>
      </c>
      <c r="AH398">
        <f t="shared" si="115"/>
        <v>63</v>
      </c>
      <c r="AI398">
        <f t="shared" si="116"/>
        <v>11</v>
      </c>
      <c r="AJ398">
        <f t="shared" si="121"/>
        <v>40</v>
      </c>
      <c r="AK398">
        <f t="shared" si="117"/>
        <v>20</v>
      </c>
      <c r="AL398">
        <f t="shared" si="122"/>
        <v>21</v>
      </c>
      <c r="AM398" s="2">
        <f t="shared" si="118"/>
        <v>11</v>
      </c>
      <c r="AX398">
        <v>395</v>
      </c>
      <c r="AZ398" s="3"/>
      <c r="BB398" s="2">
        <f t="shared" si="119"/>
        <v>130</v>
      </c>
      <c r="BC398">
        <f t="shared" si="123"/>
        <v>8.125</v>
      </c>
      <c r="BD398" s="2">
        <f t="shared" si="125"/>
        <v>40</v>
      </c>
      <c r="BE398">
        <f t="shared" si="126"/>
        <v>21</v>
      </c>
      <c r="BF398">
        <f t="shared" si="127"/>
        <v>120960</v>
      </c>
    </row>
    <row r="399" spans="1:58" ht="14.25" x14ac:dyDescent="0.2">
      <c r="A399" s="11">
        <v>10316</v>
      </c>
      <c r="B399" s="13">
        <f t="shared" si="111"/>
        <v>8</v>
      </c>
      <c r="C399" s="15">
        <f t="shared" si="112"/>
        <v>6</v>
      </c>
      <c r="D399" s="14">
        <f t="shared" si="110"/>
        <v>6</v>
      </c>
      <c r="E399" t="s">
        <v>2777</v>
      </c>
      <c r="F399" t="s">
        <v>2834</v>
      </c>
      <c r="G399" t="s">
        <v>2779</v>
      </c>
      <c r="H399" t="s">
        <v>2779</v>
      </c>
      <c r="I399" t="s">
        <v>2780</v>
      </c>
      <c r="J399" s="4" t="s">
        <v>2838</v>
      </c>
      <c r="K399" t="s">
        <v>182</v>
      </c>
      <c r="L399" t="s">
        <v>163</v>
      </c>
      <c r="M399" t="s">
        <v>163</v>
      </c>
      <c r="N399" t="s">
        <v>163</v>
      </c>
      <c r="O399" s="6" t="s">
        <v>757</v>
      </c>
      <c r="P399">
        <v>0</v>
      </c>
      <c r="Q399" s="24">
        <v>32.5</v>
      </c>
      <c r="R399" s="25">
        <v>40.5</v>
      </c>
      <c r="S399" s="26">
        <v>35</v>
      </c>
      <c r="Y399">
        <v>10</v>
      </c>
      <c r="Z399">
        <v>30</v>
      </c>
      <c r="AA399" s="3">
        <v>25</v>
      </c>
      <c r="AB399" s="3">
        <v>6</v>
      </c>
      <c r="AC399">
        <v>155</v>
      </c>
      <c r="AD399" s="9">
        <f t="shared" si="113"/>
        <v>10046.083333333334</v>
      </c>
      <c r="AE399">
        <f t="shared" si="120"/>
        <v>2555730</v>
      </c>
      <c r="AF399" s="2">
        <f t="shared" si="124"/>
        <v>21.200000000000003</v>
      </c>
      <c r="AG399" t="str">
        <f t="shared" si="114"/>
        <v>167小时</v>
      </c>
      <c r="AH399">
        <f t="shared" si="115"/>
        <v>64</v>
      </c>
      <c r="AI399">
        <f t="shared" si="116"/>
        <v>11</v>
      </c>
      <c r="AJ399">
        <f t="shared" si="121"/>
        <v>40.299999999999997</v>
      </c>
      <c r="AK399">
        <f t="shared" si="117"/>
        <v>21</v>
      </c>
      <c r="AL399">
        <f t="shared" si="122"/>
        <v>21.200000000000003</v>
      </c>
      <c r="AM399" s="2">
        <f t="shared" si="118"/>
        <v>11</v>
      </c>
      <c r="AX399">
        <v>396</v>
      </c>
      <c r="AZ399" s="3"/>
      <c r="BB399" s="2">
        <f t="shared" si="119"/>
        <v>130</v>
      </c>
      <c r="BC399">
        <f t="shared" si="123"/>
        <v>8.0483490566037723</v>
      </c>
      <c r="BD399" s="2">
        <f t="shared" si="125"/>
        <v>40.299999999999997</v>
      </c>
      <c r="BE399">
        <f t="shared" si="126"/>
        <v>21.200000000000003</v>
      </c>
      <c r="BF399">
        <f t="shared" si="127"/>
        <v>122112.00000000003</v>
      </c>
    </row>
    <row r="400" spans="1:58" ht="14.25" x14ac:dyDescent="0.2">
      <c r="A400" s="11">
        <v>10317</v>
      </c>
      <c r="B400" s="13">
        <f t="shared" ref="B400:B463" si="128">FLOOR(R398/5,1)</f>
        <v>8</v>
      </c>
      <c r="C400" s="15">
        <f t="shared" ref="C400:C463" si="129">FLOOR(Q398/5,1)</f>
        <v>6</v>
      </c>
      <c r="D400" s="14">
        <f t="shared" ref="D400:D463" si="130">FLOOR(S398/5,1)</f>
        <v>6</v>
      </c>
      <c r="E400" t="s">
        <v>2777</v>
      </c>
      <c r="F400" t="s">
        <v>2835</v>
      </c>
      <c r="G400" t="s">
        <v>2779</v>
      </c>
      <c r="H400" t="s">
        <v>2779</v>
      </c>
      <c r="I400" t="s">
        <v>2780</v>
      </c>
      <c r="J400" s="4" t="s">
        <v>2838</v>
      </c>
      <c r="K400" t="s">
        <v>162</v>
      </c>
      <c r="L400" t="s">
        <v>163</v>
      </c>
      <c r="M400" t="s">
        <v>163</v>
      </c>
      <c r="N400" t="s">
        <v>163</v>
      </c>
      <c r="O400" s="6" t="s">
        <v>757</v>
      </c>
      <c r="P400">
        <v>0</v>
      </c>
      <c r="Q400" s="24">
        <v>32.5</v>
      </c>
      <c r="R400" s="25">
        <v>40.5</v>
      </c>
      <c r="S400" s="26">
        <v>35</v>
      </c>
      <c r="Y400">
        <v>10</v>
      </c>
      <c r="Z400">
        <v>30</v>
      </c>
      <c r="AA400" s="3">
        <v>25</v>
      </c>
      <c r="AB400" s="3">
        <v>6</v>
      </c>
      <c r="AC400">
        <v>155</v>
      </c>
      <c r="AD400" s="9">
        <f t="shared" si="113"/>
        <v>10046.083333333334</v>
      </c>
      <c r="AE400">
        <f t="shared" si="120"/>
        <v>2555730</v>
      </c>
      <c r="AF400" s="2">
        <f t="shared" si="124"/>
        <v>21.200000000000003</v>
      </c>
      <c r="AG400" t="str">
        <f t="shared" si="114"/>
        <v>167小时</v>
      </c>
      <c r="AH400">
        <f t="shared" si="115"/>
        <v>64</v>
      </c>
      <c r="AI400">
        <f t="shared" si="116"/>
        <v>11</v>
      </c>
      <c r="AJ400">
        <f t="shared" si="121"/>
        <v>40.299999999999997</v>
      </c>
      <c r="AK400">
        <f t="shared" si="117"/>
        <v>21</v>
      </c>
      <c r="AL400">
        <f t="shared" si="122"/>
        <v>21.200000000000003</v>
      </c>
      <c r="AM400" s="2">
        <f t="shared" si="118"/>
        <v>11</v>
      </c>
      <c r="AX400">
        <v>397</v>
      </c>
      <c r="AZ400" s="3"/>
      <c r="BB400" s="2">
        <f t="shared" si="119"/>
        <v>130</v>
      </c>
      <c r="BC400">
        <f t="shared" si="123"/>
        <v>8.0483490566037723</v>
      </c>
      <c r="BD400" s="2">
        <f t="shared" si="125"/>
        <v>40.299999999999997</v>
      </c>
      <c r="BE400">
        <f t="shared" si="126"/>
        <v>21.200000000000003</v>
      </c>
      <c r="BF400">
        <f t="shared" si="127"/>
        <v>122112.00000000003</v>
      </c>
    </row>
    <row r="401" spans="1:58" ht="14.25" x14ac:dyDescent="0.2">
      <c r="A401" s="11">
        <v>10318</v>
      </c>
      <c r="B401" s="13">
        <f t="shared" si="128"/>
        <v>8</v>
      </c>
      <c r="C401" s="15">
        <f t="shared" si="129"/>
        <v>6</v>
      </c>
      <c r="D401" s="14">
        <f t="shared" si="130"/>
        <v>7</v>
      </c>
      <c r="E401" t="s">
        <v>2777</v>
      </c>
      <c r="F401" t="s">
        <v>2836</v>
      </c>
      <c r="G401" t="s">
        <v>2779</v>
      </c>
      <c r="H401" t="s">
        <v>2779</v>
      </c>
      <c r="I401" t="s">
        <v>2780</v>
      </c>
      <c r="J401" s="4" t="s">
        <v>2838</v>
      </c>
      <c r="K401" t="s">
        <v>177</v>
      </c>
      <c r="L401" t="s">
        <v>163</v>
      </c>
      <c r="M401" t="s">
        <v>163</v>
      </c>
      <c r="N401" t="s">
        <v>163</v>
      </c>
      <c r="O401" s="6" t="s">
        <v>759</v>
      </c>
      <c r="P401">
        <v>0</v>
      </c>
      <c r="Q401" s="24">
        <v>32.5</v>
      </c>
      <c r="R401" s="25">
        <v>40.5</v>
      </c>
      <c r="S401" s="26">
        <v>35</v>
      </c>
      <c r="Y401">
        <v>10</v>
      </c>
      <c r="Z401">
        <v>30</v>
      </c>
      <c r="AA401" s="3">
        <v>25</v>
      </c>
      <c r="AB401" s="3">
        <v>6</v>
      </c>
      <c r="AC401">
        <v>155</v>
      </c>
      <c r="AD401" s="9">
        <f t="shared" si="113"/>
        <v>10046.083333333334</v>
      </c>
      <c r="AE401">
        <f t="shared" si="120"/>
        <v>2555730</v>
      </c>
      <c r="AF401" s="2">
        <f t="shared" si="124"/>
        <v>21.200000000000003</v>
      </c>
      <c r="AG401" t="str">
        <f t="shared" si="114"/>
        <v>167小时</v>
      </c>
      <c r="AH401">
        <f t="shared" si="115"/>
        <v>64</v>
      </c>
      <c r="AI401">
        <f t="shared" si="116"/>
        <v>11</v>
      </c>
      <c r="AJ401">
        <f t="shared" si="121"/>
        <v>40.299999999999997</v>
      </c>
      <c r="AK401">
        <f t="shared" si="117"/>
        <v>21</v>
      </c>
      <c r="AL401">
        <f t="shared" si="122"/>
        <v>21.200000000000003</v>
      </c>
      <c r="AM401" s="2">
        <f t="shared" si="118"/>
        <v>11</v>
      </c>
      <c r="AX401">
        <v>398</v>
      </c>
      <c r="AZ401" s="3"/>
      <c r="BB401" s="2">
        <f t="shared" si="119"/>
        <v>130</v>
      </c>
      <c r="BC401">
        <f t="shared" si="123"/>
        <v>8.0483490566037723</v>
      </c>
      <c r="BD401" s="2">
        <f t="shared" si="125"/>
        <v>40.299999999999997</v>
      </c>
      <c r="BE401">
        <f t="shared" si="126"/>
        <v>21.200000000000003</v>
      </c>
      <c r="BF401">
        <f t="shared" si="127"/>
        <v>122112.00000000003</v>
      </c>
    </row>
    <row r="402" spans="1:58" ht="14.25" x14ac:dyDescent="0.2">
      <c r="A402" s="11">
        <v>10319</v>
      </c>
      <c r="B402" s="13">
        <f t="shared" si="128"/>
        <v>8</v>
      </c>
      <c r="C402" s="15">
        <f t="shared" si="129"/>
        <v>6</v>
      </c>
      <c r="D402" s="14">
        <f t="shared" si="130"/>
        <v>7</v>
      </c>
      <c r="E402" t="s">
        <v>2777</v>
      </c>
      <c r="F402" t="s">
        <v>2837</v>
      </c>
      <c r="G402" t="s">
        <v>2779</v>
      </c>
      <c r="H402" t="s">
        <v>2779</v>
      </c>
      <c r="I402" t="s">
        <v>2780</v>
      </c>
      <c r="J402" s="4" t="s">
        <v>2838</v>
      </c>
      <c r="K402" t="s">
        <v>174</v>
      </c>
      <c r="L402" t="s">
        <v>163</v>
      </c>
      <c r="M402" t="s">
        <v>163</v>
      </c>
      <c r="N402" t="s">
        <v>163</v>
      </c>
      <c r="O402" s="6" t="s">
        <v>761</v>
      </c>
      <c r="P402">
        <v>0</v>
      </c>
      <c r="Q402" s="24">
        <v>32.5</v>
      </c>
      <c r="R402" s="25">
        <v>40.5</v>
      </c>
      <c r="S402" s="26">
        <v>35</v>
      </c>
      <c r="Y402">
        <v>10</v>
      </c>
      <c r="Z402">
        <v>30</v>
      </c>
      <c r="AA402" s="3">
        <v>25</v>
      </c>
      <c r="AB402" s="3">
        <v>6</v>
      </c>
      <c r="AC402">
        <v>155</v>
      </c>
      <c r="AD402" s="9">
        <f t="shared" si="113"/>
        <v>10046.083333333334</v>
      </c>
      <c r="AE402">
        <f t="shared" si="120"/>
        <v>2555730</v>
      </c>
      <c r="AF402" s="2">
        <f t="shared" si="124"/>
        <v>21.200000000000003</v>
      </c>
      <c r="AG402" t="str">
        <f t="shared" si="114"/>
        <v>167小时</v>
      </c>
      <c r="AH402">
        <f t="shared" si="115"/>
        <v>64</v>
      </c>
      <c r="AI402">
        <f t="shared" si="116"/>
        <v>11</v>
      </c>
      <c r="AJ402">
        <f t="shared" si="121"/>
        <v>40.299999999999997</v>
      </c>
      <c r="AK402">
        <f t="shared" si="117"/>
        <v>21</v>
      </c>
      <c r="AL402">
        <f t="shared" si="122"/>
        <v>21.200000000000003</v>
      </c>
      <c r="AM402" s="2">
        <f t="shared" si="118"/>
        <v>11</v>
      </c>
      <c r="AX402">
        <v>399</v>
      </c>
      <c r="AZ402" s="3"/>
      <c r="BB402" s="2">
        <f t="shared" si="119"/>
        <v>130</v>
      </c>
      <c r="BC402">
        <f t="shared" si="123"/>
        <v>8.0483490566037723</v>
      </c>
      <c r="BD402" s="2">
        <f t="shared" si="125"/>
        <v>40.299999999999997</v>
      </c>
      <c r="BE402">
        <f t="shared" si="126"/>
        <v>21.200000000000003</v>
      </c>
      <c r="BF402">
        <f t="shared" si="127"/>
        <v>122112.00000000003</v>
      </c>
    </row>
    <row r="403" spans="1:58" ht="14.25" x14ac:dyDescent="0.2">
      <c r="A403" s="11">
        <v>10320</v>
      </c>
      <c r="B403" s="13">
        <f t="shared" si="128"/>
        <v>8</v>
      </c>
      <c r="C403" s="15">
        <f t="shared" si="129"/>
        <v>6</v>
      </c>
      <c r="D403" s="14">
        <f t="shared" si="130"/>
        <v>7</v>
      </c>
      <c r="E403" t="s">
        <v>2785</v>
      </c>
      <c r="F403" t="s">
        <v>2786</v>
      </c>
      <c r="G403" t="s">
        <v>2833</v>
      </c>
      <c r="H403" t="s">
        <v>2829</v>
      </c>
      <c r="I403" t="s">
        <v>2697</v>
      </c>
      <c r="J403" s="4" t="s">
        <v>2876</v>
      </c>
      <c r="K403" t="s">
        <v>166</v>
      </c>
      <c r="L403" t="s">
        <v>163</v>
      </c>
      <c r="M403" t="s">
        <v>163</v>
      </c>
      <c r="N403" t="s">
        <v>163</v>
      </c>
      <c r="O403" s="6" t="s">
        <v>761</v>
      </c>
      <c r="P403">
        <v>0</v>
      </c>
      <c r="Q403" s="24">
        <v>32.5</v>
      </c>
      <c r="R403" s="25">
        <v>40.5</v>
      </c>
      <c r="S403" s="26">
        <v>35</v>
      </c>
      <c r="Y403">
        <v>10</v>
      </c>
      <c r="Z403">
        <v>30</v>
      </c>
      <c r="AA403" s="3">
        <v>25</v>
      </c>
      <c r="AB403" s="3">
        <v>6</v>
      </c>
      <c r="AC403">
        <v>155</v>
      </c>
      <c r="AD403" s="9">
        <f t="shared" si="113"/>
        <v>10046.083333333334</v>
      </c>
      <c r="AE403">
        <f t="shared" si="120"/>
        <v>2555730</v>
      </c>
      <c r="AF403" s="2">
        <f t="shared" si="124"/>
        <v>21.200000000000003</v>
      </c>
      <c r="AG403" t="str">
        <f t="shared" si="114"/>
        <v>167小时</v>
      </c>
      <c r="AH403">
        <f t="shared" si="115"/>
        <v>64</v>
      </c>
      <c r="AI403">
        <f t="shared" si="116"/>
        <v>11</v>
      </c>
      <c r="AJ403">
        <f t="shared" si="121"/>
        <v>40.299999999999997</v>
      </c>
      <c r="AK403">
        <f t="shared" si="117"/>
        <v>21</v>
      </c>
      <c r="AL403">
        <f t="shared" si="122"/>
        <v>21.200000000000003</v>
      </c>
      <c r="AM403" s="2">
        <f t="shared" si="118"/>
        <v>11</v>
      </c>
      <c r="AX403">
        <v>400</v>
      </c>
      <c r="AZ403" s="3"/>
      <c r="BB403" s="2">
        <f t="shared" si="119"/>
        <v>135</v>
      </c>
      <c r="BC403">
        <f t="shared" si="123"/>
        <v>8.6710560796645684</v>
      </c>
      <c r="BD403" s="2">
        <f t="shared" si="125"/>
        <v>40.299999999999997</v>
      </c>
      <c r="BE403">
        <f t="shared" si="126"/>
        <v>21.200000000000003</v>
      </c>
      <c r="BF403">
        <f t="shared" si="127"/>
        <v>122112.00000000003</v>
      </c>
    </row>
    <row r="404" spans="1:58" ht="14.25" x14ac:dyDescent="0.2">
      <c r="A404" s="11">
        <v>10321</v>
      </c>
      <c r="B404" s="13">
        <f t="shared" si="128"/>
        <v>8</v>
      </c>
      <c r="C404" s="15">
        <f t="shared" si="129"/>
        <v>6</v>
      </c>
      <c r="D404" s="14">
        <f t="shared" si="130"/>
        <v>7</v>
      </c>
      <c r="E404" t="s">
        <v>2777</v>
      </c>
      <c r="F404" t="s">
        <v>2834</v>
      </c>
      <c r="G404" t="s">
        <v>2779</v>
      </c>
      <c r="H404" t="s">
        <v>2779</v>
      </c>
      <c r="I404" t="s">
        <v>2780</v>
      </c>
      <c r="J404" s="4" t="s">
        <v>2838</v>
      </c>
      <c r="K404" t="s">
        <v>168</v>
      </c>
      <c r="L404" t="s">
        <v>163</v>
      </c>
      <c r="M404" t="s">
        <v>163</v>
      </c>
      <c r="N404" t="s">
        <v>163</v>
      </c>
      <c r="O404" s="6" t="s">
        <v>763</v>
      </c>
      <c r="P404">
        <v>0</v>
      </c>
      <c r="Q404" s="24">
        <v>32.799999999999997</v>
      </c>
      <c r="R404" s="25">
        <v>41</v>
      </c>
      <c r="S404" s="26">
        <v>35.299999999999997</v>
      </c>
      <c r="Y404">
        <v>10</v>
      </c>
      <c r="Z404">
        <v>30</v>
      </c>
      <c r="AA404" s="3">
        <v>25</v>
      </c>
      <c r="AB404" s="3">
        <v>6</v>
      </c>
      <c r="AC404">
        <v>155</v>
      </c>
      <c r="AD404" s="9">
        <f t="shared" si="113"/>
        <v>9905.9166666666679</v>
      </c>
      <c r="AE404">
        <f t="shared" si="120"/>
        <v>2555730</v>
      </c>
      <c r="AF404" s="2">
        <f t="shared" si="124"/>
        <v>21.5</v>
      </c>
      <c r="AG404" t="str">
        <f t="shared" si="114"/>
        <v>165小时</v>
      </c>
      <c r="AH404">
        <f t="shared" si="115"/>
        <v>65</v>
      </c>
      <c r="AI404">
        <f t="shared" si="116"/>
        <v>11</v>
      </c>
      <c r="AJ404">
        <f t="shared" si="121"/>
        <v>40.800000000000004</v>
      </c>
      <c r="AK404">
        <f t="shared" si="117"/>
        <v>21</v>
      </c>
      <c r="AL404">
        <f t="shared" si="122"/>
        <v>21.5</v>
      </c>
      <c r="AM404" s="2">
        <f t="shared" si="118"/>
        <v>11</v>
      </c>
      <c r="AX404">
        <v>401</v>
      </c>
      <c r="AZ404" s="3"/>
      <c r="BB404" s="2">
        <f t="shared" si="119"/>
        <v>135</v>
      </c>
      <c r="BC404">
        <f t="shared" si="123"/>
        <v>8.5500645994832034</v>
      </c>
      <c r="BD404" s="2">
        <f t="shared" si="125"/>
        <v>40.800000000000004</v>
      </c>
      <c r="BE404">
        <f t="shared" si="126"/>
        <v>21.5</v>
      </c>
      <c r="BF404">
        <f t="shared" si="127"/>
        <v>123840</v>
      </c>
    </row>
    <row r="405" spans="1:58" ht="14.25" x14ac:dyDescent="0.2">
      <c r="A405" s="11">
        <v>10322</v>
      </c>
      <c r="B405" s="13">
        <f t="shared" si="128"/>
        <v>8</v>
      </c>
      <c r="C405" s="15">
        <f t="shared" si="129"/>
        <v>6</v>
      </c>
      <c r="D405" s="14">
        <f t="shared" si="130"/>
        <v>7</v>
      </c>
      <c r="E405" t="s">
        <v>2777</v>
      </c>
      <c r="F405" t="s">
        <v>2835</v>
      </c>
      <c r="G405" t="s">
        <v>2779</v>
      </c>
      <c r="H405" t="s">
        <v>2779</v>
      </c>
      <c r="I405" t="s">
        <v>2780</v>
      </c>
      <c r="J405" s="4" t="s">
        <v>2838</v>
      </c>
      <c r="K405" t="s">
        <v>175</v>
      </c>
      <c r="L405" t="s">
        <v>164</v>
      </c>
      <c r="M405" t="s">
        <v>163</v>
      </c>
      <c r="N405" t="s">
        <v>167</v>
      </c>
      <c r="O405" s="6" t="s">
        <v>765</v>
      </c>
      <c r="P405">
        <v>0</v>
      </c>
      <c r="Q405" s="24">
        <v>32.799999999999997</v>
      </c>
      <c r="R405" s="25">
        <v>41</v>
      </c>
      <c r="S405" s="26">
        <v>35.299999999999997</v>
      </c>
      <c r="Y405">
        <v>10</v>
      </c>
      <c r="Z405">
        <v>30</v>
      </c>
      <c r="AA405" s="3">
        <v>25</v>
      </c>
      <c r="AB405" s="3">
        <v>6</v>
      </c>
      <c r="AC405">
        <v>155</v>
      </c>
      <c r="AD405" s="9">
        <f t="shared" si="113"/>
        <v>9905.9166666666679</v>
      </c>
      <c r="AE405">
        <f t="shared" si="120"/>
        <v>2555730</v>
      </c>
      <c r="AF405" s="2">
        <f t="shared" si="124"/>
        <v>21.5</v>
      </c>
      <c r="AG405" t="str">
        <f t="shared" si="114"/>
        <v>165小时</v>
      </c>
      <c r="AH405">
        <f t="shared" si="115"/>
        <v>65</v>
      </c>
      <c r="AI405">
        <f t="shared" si="116"/>
        <v>11</v>
      </c>
      <c r="AJ405">
        <f t="shared" si="121"/>
        <v>40.800000000000004</v>
      </c>
      <c r="AK405">
        <f t="shared" si="117"/>
        <v>21</v>
      </c>
      <c r="AL405">
        <f t="shared" si="122"/>
        <v>21.5</v>
      </c>
      <c r="AM405" s="2">
        <f t="shared" si="118"/>
        <v>11</v>
      </c>
      <c r="AX405">
        <v>402</v>
      </c>
      <c r="AZ405" s="3"/>
      <c r="BB405" s="2">
        <f t="shared" si="119"/>
        <v>135</v>
      </c>
      <c r="BC405">
        <f t="shared" si="123"/>
        <v>8.5500645994832034</v>
      </c>
      <c r="BD405" s="2">
        <f t="shared" si="125"/>
        <v>40.800000000000004</v>
      </c>
      <c r="BE405">
        <f t="shared" si="126"/>
        <v>21.5</v>
      </c>
      <c r="BF405">
        <f t="shared" si="127"/>
        <v>123840</v>
      </c>
    </row>
    <row r="406" spans="1:58" ht="14.25" x14ac:dyDescent="0.2">
      <c r="A406" s="11">
        <v>10323</v>
      </c>
      <c r="B406" s="13">
        <f t="shared" si="128"/>
        <v>8</v>
      </c>
      <c r="C406" s="15">
        <f t="shared" si="129"/>
        <v>6</v>
      </c>
      <c r="D406" s="14">
        <f t="shared" si="130"/>
        <v>7</v>
      </c>
      <c r="E406" t="s">
        <v>2777</v>
      </c>
      <c r="F406" t="s">
        <v>2836</v>
      </c>
      <c r="G406" t="s">
        <v>2779</v>
      </c>
      <c r="H406" t="s">
        <v>2779</v>
      </c>
      <c r="I406" t="s">
        <v>2780</v>
      </c>
      <c r="J406" s="4" t="s">
        <v>2838</v>
      </c>
      <c r="K406" t="s">
        <v>179</v>
      </c>
      <c r="L406" t="s">
        <v>163</v>
      </c>
      <c r="M406" t="s">
        <v>163</v>
      </c>
      <c r="N406" t="s">
        <v>163</v>
      </c>
      <c r="O406" s="6" t="s">
        <v>767</v>
      </c>
      <c r="P406">
        <v>0</v>
      </c>
      <c r="Q406" s="24">
        <v>32.799999999999997</v>
      </c>
      <c r="R406" s="25">
        <v>41</v>
      </c>
      <c r="S406" s="26">
        <v>35.299999999999997</v>
      </c>
      <c r="Y406">
        <v>10</v>
      </c>
      <c r="Z406">
        <v>30</v>
      </c>
      <c r="AA406" s="3">
        <v>25</v>
      </c>
      <c r="AB406" s="3">
        <v>6</v>
      </c>
      <c r="AC406">
        <v>155</v>
      </c>
      <c r="AD406" s="9">
        <f t="shared" si="113"/>
        <v>9905.9166666666679</v>
      </c>
      <c r="AE406">
        <f t="shared" si="120"/>
        <v>2555730</v>
      </c>
      <c r="AF406" s="2">
        <f t="shared" si="124"/>
        <v>21.5</v>
      </c>
      <c r="AG406" t="str">
        <f t="shared" si="114"/>
        <v>165小时</v>
      </c>
      <c r="AH406">
        <f t="shared" si="115"/>
        <v>65</v>
      </c>
      <c r="AI406">
        <f t="shared" si="116"/>
        <v>11</v>
      </c>
      <c r="AJ406">
        <f t="shared" si="121"/>
        <v>40.800000000000004</v>
      </c>
      <c r="AK406">
        <f t="shared" si="117"/>
        <v>21</v>
      </c>
      <c r="AL406">
        <f t="shared" si="122"/>
        <v>21.5</v>
      </c>
      <c r="AM406" s="2">
        <f t="shared" si="118"/>
        <v>11</v>
      </c>
      <c r="AX406">
        <v>403</v>
      </c>
      <c r="AZ406" s="3"/>
      <c r="BB406" s="2">
        <f t="shared" si="119"/>
        <v>135</v>
      </c>
      <c r="BC406">
        <f t="shared" si="123"/>
        <v>8.5500645994832034</v>
      </c>
      <c r="BD406" s="2">
        <f t="shared" si="125"/>
        <v>40.800000000000004</v>
      </c>
      <c r="BE406">
        <f t="shared" si="126"/>
        <v>21.5</v>
      </c>
      <c r="BF406">
        <f t="shared" si="127"/>
        <v>123840</v>
      </c>
    </row>
    <row r="407" spans="1:58" ht="14.25" x14ac:dyDescent="0.2">
      <c r="A407" s="11">
        <v>10324</v>
      </c>
      <c r="B407" s="13">
        <f t="shared" si="128"/>
        <v>8</v>
      </c>
      <c r="C407" s="15">
        <f t="shared" si="129"/>
        <v>6</v>
      </c>
      <c r="D407" s="14">
        <f t="shared" si="130"/>
        <v>7</v>
      </c>
      <c r="E407" t="s">
        <v>2777</v>
      </c>
      <c r="F407" t="s">
        <v>2837</v>
      </c>
      <c r="G407" t="s">
        <v>2779</v>
      </c>
      <c r="H407" t="s">
        <v>2779</v>
      </c>
      <c r="I407" t="s">
        <v>2780</v>
      </c>
      <c r="J407" s="4" t="s">
        <v>2838</v>
      </c>
      <c r="K407" t="s">
        <v>177</v>
      </c>
      <c r="L407" t="s">
        <v>163</v>
      </c>
      <c r="M407" t="s">
        <v>163</v>
      </c>
      <c r="N407" t="s">
        <v>163</v>
      </c>
      <c r="O407" s="6" t="s">
        <v>767</v>
      </c>
      <c r="P407">
        <v>0</v>
      </c>
      <c r="Q407" s="24">
        <v>32.799999999999997</v>
      </c>
      <c r="R407" s="25">
        <v>41</v>
      </c>
      <c r="S407" s="26">
        <v>35.299999999999997</v>
      </c>
      <c r="Y407">
        <v>10</v>
      </c>
      <c r="Z407">
        <v>30</v>
      </c>
      <c r="AA407" s="3">
        <v>25</v>
      </c>
      <c r="AB407" s="3">
        <v>6</v>
      </c>
      <c r="AC407">
        <v>155</v>
      </c>
      <c r="AD407" s="9">
        <f t="shared" si="113"/>
        <v>9905.9166666666679</v>
      </c>
      <c r="AE407">
        <f t="shared" si="120"/>
        <v>2555730</v>
      </c>
      <c r="AF407" s="2">
        <f t="shared" si="124"/>
        <v>21.5</v>
      </c>
      <c r="AG407" t="str">
        <f t="shared" si="114"/>
        <v>165小时</v>
      </c>
      <c r="AH407">
        <f t="shared" si="115"/>
        <v>65</v>
      </c>
      <c r="AI407">
        <f t="shared" si="116"/>
        <v>11</v>
      </c>
      <c r="AJ407">
        <f t="shared" si="121"/>
        <v>40.800000000000004</v>
      </c>
      <c r="AK407">
        <f t="shared" si="117"/>
        <v>21</v>
      </c>
      <c r="AL407">
        <f t="shared" si="122"/>
        <v>21.5</v>
      </c>
      <c r="AM407" s="2">
        <f t="shared" si="118"/>
        <v>11</v>
      </c>
      <c r="AX407">
        <v>404</v>
      </c>
      <c r="AZ407" s="3"/>
      <c r="BB407" s="2">
        <f t="shared" si="119"/>
        <v>135</v>
      </c>
      <c r="BC407">
        <f t="shared" si="123"/>
        <v>8.5500645994832034</v>
      </c>
      <c r="BD407" s="2">
        <f t="shared" si="125"/>
        <v>40.800000000000004</v>
      </c>
      <c r="BE407">
        <f t="shared" si="126"/>
        <v>21.5</v>
      </c>
      <c r="BF407">
        <f t="shared" si="127"/>
        <v>123840</v>
      </c>
    </row>
    <row r="408" spans="1:58" ht="14.25" x14ac:dyDescent="0.2">
      <c r="A408" s="11">
        <v>10325</v>
      </c>
      <c r="B408" s="13">
        <f t="shared" si="128"/>
        <v>8</v>
      </c>
      <c r="C408" s="15">
        <f t="shared" si="129"/>
        <v>6</v>
      </c>
      <c r="D408" s="14">
        <f t="shared" si="130"/>
        <v>7</v>
      </c>
      <c r="E408" t="s">
        <v>2785</v>
      </c>
      <c r="F408" t="s">
        <v>2786</v>
      </c>
      <c r="G408" t="s">
        <v>2828</v>
      </c>
      <c r="H408" t="s">
        <v>2829</v>
      </c>
      <c r="I408" t="s">
        <v>2697</v>
      </c>
      <c r="J408" s="4" t="s">
        <v>2876</v>
      </c>
      <c r="K408" t="s">
        <v>174</v>
      </c>
      <c r="L408" t="s">
        <v>163</v>
      </c>
      <c r="M408" t="s">
        <v>163</v>
      </c>
      <c r="N408" t="s">
        <v>163</v>
      </c>
      <c r="O408" s="6" t="s">
        <v>769</v>
      </c>
      <c r="P408">
        <v>0</v>
      </c>
      <c r="Q408" s="24">
        <v>32.799999999999997</v>
      </c>
      <c r="R408" s="25">
        <v>41</v>
      </c>
      <c r="S408" s="26">
        <v>35.299999999999997</v>
      </c>
      <c r="Y408">
        <v>10</v>
      </c>
      <c r="Z408">
        <v>30</v>
      </c>
      <c r="AA408" s="3">
        <v>25</v>
      </c>
      <c r="AB408" s="3">
        <v>6</v>
      </c>
      <c r="AC408">
        <v>155</v>
      </c>
      <c r="AD408" s="9">
        <f t="shared" si="113"/>
        <v>9905.9166666666679</v>
      </c>
      <c r="AE408">
        <f t="shared" si="120"/>
        <v>2555730</v>
      </c>
      <c r="AF408" s="2">
        <f t="shared" si="124"/>
        <v>21.5</v>
      </c>
      <c r="AG408" t="str">
        <f t="shared" si="114"/>
        <v>165小时</v>
      </c>
      <c r="AH408">
        <f t="shared" si="115"/>
        <v>65</v>
      </c>
      <c r="AI408">
        <f t="shared" si="116"/>
        <v>11</v>
      </c>
      <c r="AJ408">
        <f t="shared" si="121"/>
        <v>40.800000000000004</v>
      </c>
      <c r="AK408">
        <f t="shared" si="117"/>
        <v>21</v>
      </c>
      <c r="AL408">
        <f t="shared" si="122"/>
        <v>21.5</v>
      </c>
      <c r="AM408" s="2">
        <f t="shared" si="118"/>
        <v>11</v>
      </c>
      <c r="AX408">
        <v>405</v>
      </c>
      <c r="AZ408" s="3"/>
      <c r="BB408" s="2">
        <f t="shared" si="119"/>
        <v>135</v>
      </c>
      <c r="BC408">
        <f t="shared" si="123"/>
        <v>8.5500645994832034</v>
      </c>
      <c r="BD408" s="2">
        <f t="shared" si="125"/>
        <v>40.800000000000004</v>
      </c>
      <c r="BE408">
        <f t="shared" si="126"/>
        <v>21.5</v>
      </c>
      <c r="BF408">
        <f t="shared" si="127"/>
        <v>123840</v>
      </c>
    </row>
    <row r="409" spans="1:58" ht="14.25" x14ac:dyDescent="0.2">
      <c r="A409" s="11">
        <v>10326</v>
      </c>
      <c r="B409" s="13">
        <f t="shared" si="128"/>
        <v>8</v>
      </c>
      <c r="C409" s="15">
        <f t="shared" si="129"/>
        <v>6</v>
      </c>
      <c r="D409" s="14">
        <f t="shared" si="130"/>
        <v>7</v>
      </c>
      <c r="E409" t="s">
        <v>2777</v>
      </c>
      <c r="F409" t="s">
        <v>2834</v>
      </c>
      <c r="G409" t="s">
        <v>2779</v>
      </c>
      <c r="H409" t="s">
        <v>2779</v>
      </c>
      <c r="I409" t="s">
        <v>2780</v>
      </c>
      <c r="J409" s="4" t="s">
        <v>2838</v>
      </c>
      <c r="K409" t="s">
        <v>182</v>
      </c>
      <c r="L409" t="s">
        <v>163</v>
      </c>
      <c r="M409" t="s">
        <v>163</v>
      </c>
      <c r="N409" t="s">
        <v>163</v>
      </c>
      <c r="O409" s="6" t="s">
        <v>771</v>
      </c>
      <c r="P409">
        <v>0</v>
      </c>
      <c r="Q409" s="24">
        <v>33.200000000000003</v>
      </c>
      <c r="R409" s="25">
        <v>41.5</v>
      </c>
      <c r="S409" s="26">
        <v>35.5</v>
      </c>
      <c r="Y409">
        <v>10</v>
      </c>
      <c r="Z409">
        <v>30</v>
      </c>
      <c r="AA409" s="3">
        <v>25</v>
      </c>
      <c r="AB409" s="3">
        <v>6</v>
      </c>
      <c r="AC409">
        <v>155</v>
      </c>
      <c r="AD409" s="9">
        <f t="shared" si="113"/>
        <v>9814.5833333333339</v>
      </c>
      <c r="AE409">
        <f t="shared" si="120"/>
        <v>2555730</v>
      </c>
      <c r="AF409" s="2">
        <f t="shared" si="124"/>
        <v>21.700000000000003</v>
      </c>
      <c r="AG409" t="str">
        <f t="shared" si="114"/>
        <v>163小时</v>
      </c>
      <c r="AH409">
        <f t="shared" si="115"/>
        <v>66</v>
      </c>
      <c r="AI409">
        <f t="shared" si="116"/>
        <v>11</v>
      </c>
      <c r="AJ409">
        <f t="shared" si="121"/>
        <v>41.1</v>
      </c>
      <c r="AK409">
        <f t="shared" si="117"/>
        <v>21</v>
      </c>
      <c r="AL409">
        <f t="shared" si="122"/>
        <v>21.700000000000003</v>
      </c>
      <c r="AM409" s="2">
        <f t="shared" si="118"/>
        <v>11</v>
      </c>
      <c r="AX409">
        <v>406</v>
      </c>
      <c r="AZ409" s="3"/>
      <c r="BB409" s="2">
        <f t="shared" si="119"/>
        <v>135</v>
      </c>
      <c r="BC409">
        <f t="shared" si="123"/>
        <v>8.4712621607782879</v>
      </c>
      <c r="BD409" s="2">
        <f t="shared" si="125"/>
        <v>41.1</v>
      </c>
      <c r="BE409">
        <f t="shared" si="126"/>
        <v>21.700000000000003</v>
      </c>
      <c r="BF409">
        <f t="shared" si="127"/>
        <v>124992.00000000003</v>
      </c>
    </row>
    <row r="410" spans="1:58" ht="14.25" x14ac:dyDescent="0.2">
      <c r="A410" s="11">
        <v>10327</v>
      </c>
      <c r="B410" s="13">
        <f t="shared" si="128"/>
        <v>8</v>
      </c>
      <c r="C410" s="15">
        <f t="shared" si="129"/>
        <v>6</v>
      </c>
      <c r="D410" s="14">
        <f t="shared" si="130"/>
        <v>7</v>
      </c>
      <c r="E410" t="s">
        <v>2777</v>
      </c>
      <c r="F410" t="s">
        <v>2835</v>
      </c>
      <c r="G410" t="s">
        <v>2779</v>
      </c>
      <c r="H410" t="s">
        <v>2779</v>
      </c>
      <c r="I410" t="s">
        <v>2780</v>
      </c>
      <c r="J410" s="4" t="s">
        <v>2838</v>
      </c>
      <c r="K410" t="s">
        <v>162</v>
      </c>
      <c r="L410" t="s">
        <v>163</v>
      </c>
      <c r="M410" t="s">
        <v>163</v>
      </c>
      <c r="N410" t="s">
        <v>163</v>
      </c>
      <c r="O410" s="6" t="s">
        <v>771</v>
      </c>
      <c r="P410">
        <v>0</v>
      </c>
      <c r="Q410" s="24">
        <v>33.200000000000003</v>
      </c>
      <c r="R410" s="25">
        <v>41.5</v>
      </c>
      <c r="S410" s="26">
        <v>35.5</v>
      </c>
      <c r="Y410">
        <v>10</v>
      </c>
      <c r="Z410">
        <v>30</v>
      </c>
      <c r="AA410" s="3">
        <v>25</v>
      </c>
      <c r="AB410" s="3">
        <v>6</v>
      </c>
      <c r="AC410">
        <v>155</v>
      </c>
      <c r="AD410" s="9">
        <f t="shared" si="113"/>
        <v>9814.5833333333339</v>
      </c>
      <c r="AE410">
        <f t="shared" si="120"/>
        <v>2555730</v>
      </c>
      <c r="AF410" s="2">
        <f t="shared" si="124"/>
        <v>21.700000000000003</v>
      </c>
      <c r="AG410" t="str">
        <f t="shared" si="114"/>
        <v>163小时</v>
      </c>
      <c r="AH410">
        <f t="shared" si="115"/>
        <v>66</v>
      </c>
      <c r="AI410">
        <f t="shared" si="116"/>
        <v>11</v>
      </c>
      <c r="AJ410">
        <f t="shared" si="121"/>
        <v>41.1</v>
      </c>
      <c r="AK410">
        <f t="shared" si="117"/>
        <v>21</v>
      </c>
      <c r="AL410">
        <f t="shared" si="122"/>
        <v>21.700000000000003</v>
      </c>
      <c r="AM410" s="2">
        <f t="shared" si="118"/>
        <v>11</v>
      </c>
      <c r="AX410">
        <v>407</v>
      </c>
      <c r="AZ410" s="3"/>
      <c r="BB410" s="2">
        <f t="shared" si="119"/>
        <v>135</v>
      </c>
      <c r="BC410">
        <f t="shared" si="123"/>
        <v>8.4712621607782879</v>
      </c>
      <c r="BD410" s="2">
        <f t="shared" si="125"/>
        <v>41.1</v>
      </c>
      <c r="BE410">
        <f t="shared" si="126"/>
        <v>21.700000000000003</v>
      </c>
      <c r="BF410">
        <f t="shared" si="127"/>
        <v>124992.00000000003</v>
      </c>
    </row>
    <row r="411" spans="1:58" ht="14.25" x14ac:dyDescent="0.2">
      <c r="A411" s="11">
        <v>10328</v>
      </c>
      <c r="B411" s="13">
        <f t="shared" si="128"/>
        <v>8</v>
      </c>
      <c r="C411" s="15">
        <f t="shared" si="129"/>
        <v>6</v>
      </c>
      <c r="D411" s="14">
        <f t="shared" si="130"/>
        <v>7</v>
      </c>
      <c r="E411" t="s">
        <v>2777</v>
      </c>
      <c r="F411" t="s">
        <v>2836</v>
      </c>
      <c r="G411" t="s">
        <v>2779</v>
      </c>
      <c r="H411" t="s">
        <v>2779</v>
      </c>
      <c r="I411" t="s">
        <v>2780</v>
      </c>
      <c r="J411" s="4" t="s">
        <v>2838</v>
      </c>
      <c r="K411" t="s">
        <v>177</v>
      </c>
      <c r="L411" t="s">
        <v>163</v>
      </c>
      <c r="M411" t="s">
        <v>163</v>
      </c>
      <c r="N411" t="s">
        <v>163</v>
      </c>
      <c r="O411" s="6" t="s">
        <v>773</v>
      </c>
      <c r="P411">
        <v>0</v>
      </c>
      <c r="Q411" s="24">
        <v>33.200000000000003</v>
      </c>
      <c r="R411" s="25">
        <v>41.5</v>
      </c>
      <c r="S411" s="26">
        <v>35.5</v>
      </c>
      <c r="Y411">
        <v>10</v>
      </c>
      <c r="Z411">
        <v>30</v>
      </c>
      <c r="AA411" s="3">
        <v>25</v>
      </c>
      <c r="AB411" s="3">
        <v>6</v>
      </c>
      <c r="AC411">
        <v>155</v>
      </c>
      <c r="AD411" s="9">
        <f t="shared" si="113"/>
        <v>9814.5833333333339</v>
      </c>
      <c r="AE411">
        <f t="shared" si="120"/>
        <v>2555730</v>
      </c>
      <c r="AF411" s="2">
        <f t="shared" si="124"/>
        <v>21.700000000000003</v>
      </c>
      <c r="AG411" t="str">
        <f t="shared" si="114"/>
        <v>163小时</v>
      </c>
      <c r="AH411">
        <f t="shared" si="115"/>
        <v>66</v>
      </c>
      <c r="AI411">
        <f t="shared" si="116"/>
        <v>11</v>
      </c>
      <c r="AJ411">
        <f t="shared" si="121"/>
        <v>41.1</v>
      </c>
      <c r="AK411">
        <f t="shared" si="117"/>
        <v>21</v>
      </c>
      <c r="AL411">
        <f t="shared" si="122"/>
        <v>21.700000000000003</v>
      </c>
      <c r="AM411" s="2">
        <f t="shared" si="118"/>
        <v>11</v>
      </c>
      <c r="AX411">
        <v>408</v>
      </c>
      <c r="AZ411" s="3"/>
      <c r="BB411" s="2">
        <f t="shared" si="119"/>
        <v>135</v>
      </c>
      <c r="BC411">
        <f t="shared" si="123"/>
        <v>8.4712621607782879</v>
      </c>
      <c r="BD411" s="2">
        <f t="shared" si="125"/>
        <v>41.1</v>
      </c>
      <c r="BE411">
        <f t="shared" si="126"/>
        <v>21.700000000000003</v>
      </c>
      <c r="BF411">
        <f t="shared" si="127"/>
        <v>124992.00000000003</v>
      </c>
    </row>
    <row r="412" spans="1:58" ht="14.25" x14ac:dyDescent="0.2">
      <c r="A412" s="11">
        <v>10329</v>
      </c>
      <c r="B412" s="13">
        <f t="shared" si="128"/>
        <v>8</v>
      </c>
      <c r="C412" s="15">
        <f t="shared" si="129"/>
        <v>6</v>
      </c>
      <c r="D412" s="14">
        <f t="shared" si="130"/>
        <v>7</v>
      </c>
      <c r="E412" t="s">
        <v>2777</v>
      </c>
      <c r="F412" t="s">
        <v>2837</v>
      </c>
      <c r="G412" t="s">
        <v>2779</v>
      </c>
      <c r="H412" t="s">
        <v>2779</v>
      </c>
      <c r="I412" t="s">
        <v>2780</v>
      </c>
      <c r="J412" s="4" t="s">
        <v>2838</v>
      </c>
      <c r="K412" t="s">
        <v>174</v>
      </c>
      <c r="L412" t="s">
        <v>163</v>
      </c>
      <c r="M412" t="s">
        <v>163</v>
      </c>
      <c r="N412" t="s">
        <v>163</v>
      </c>
      <c r="O412" s="6" t="s">
        <v>775</v>
      </c>
      <c r="P412">
        <v>0</v>
      </c>
      <c r="Q412" s="24">
        <v>33.200000000000003</v>
      </c>
      <c r="R412" s="25">
        <v>41.5</v>
      </c>
      <c r="S412" s="26">
        <v>35.5</v>
      </c>
      <c r="Y412">
        <v>10</v>
      </c>
      <c r="Z412">
        <v>30</v>
      </c>
      <c r="AA412" s="3">
        <v>25</v>
      </c>
      <c r="AB412" s="3">
        <v>6</v>
      </c>
      <c r="AC412">
        <v>155</v>
      </c>
      <c r="AD412" s="9">
        <f t="shared" si="113"/>
        <v>9814.5833333333339</v>
      </c>
      <c r="AE412">
        <f t="shared" si="120"/>
        <v>2555730</v>
      </c>
      <c r="AF412" s="2">
        <f t="shared" si="124"/>
        <v>21.700000000000003</v>
      </c>
      <c r="AG412" t="str">
        <f t="shared" si="114"/>
        <v>163小时</v>
      </c>
      <c r="AH412">
        <f t="shared" si="115"/>
        <v>66</v>
      </c>
      <c r="AI412">
        <f t="shared" si="116"/>
        <v>11</v>
      </c>
      <c r="AJ412">
        <f t="shared" si="121"/>
        <v>41.1</v>
      </c>
      <c r="AK412">
        <f t="shared" si="117"/>
        <v>21</v>
      </c>
      <c r="AL412">
        <f t="shared" si="122"/>
        <v>21.700000000000003</v>
      </c>
      <c r="AM412" s="2">
        <f t="shared" si="118"/>
        <v>11</v>
      </c>
      <c r="AX412">
        <v>409</v>
      </c>
      <c r="AZ412" s="3"/>
      <c r="BB412" s="2">
        <f t="shared" si="119"/>
        <v>135</v>
      </c>
      <c r="BC412">
        <f t="shared" si="123"/>
        <v>8.4712621607782879</v>
      </c>
      <c r="BD412" s="2">
        <f t="shared" si="125"/>
        <v>41.1</v>
      </c>
      <c r="BE412">
        <f t="shared" si="126"/>
        <v>21.700000000000003</v>
      </c>
      <c r="BF412">
        <f t="shared" si="127"/>
        <v>124992.00000000003</v>
      </c>
    </row>
    <row r="413" spans="1:58" ht="14.25" x14ac:dyDescent="0.2">
      <c r="A413" s="11">
        <v>10330</v>
      </c>
      <c r="B413" s="13">
        <f t="shared" si="128"/>
        <v>8</v>
      </c>
      <c r="C413" s="15">
        <f t="shared" si="129"/>
        <v>6</v>
      </c>
      <c r="D413" s="14">
        <f t="shared" si="130"/>
        <v>7</v>
      </c>
      <c r="E413" t="s">
        <v>2785</v>
      </c>
      <c r="F413" t="s">
        <v>2786</v>
      </c>
      <c r="G413" t="s">
        <v>2830</v>
      </c>
      <c r="H413" t="s">
        <v>2829</v>
      </c>
      <c r="I413" t="s">
        <v>2697</v>
      </c>
      <c r="J413" s="4" t="s">
        <v>2858</v>
      </c>
      <c r="K413" t="s">
        <v>166</v>
      </c>
      <c r="L413" t="s">
        <v>163</v>
      </c>
      <c r="M413" t="s">
        <v>163</v>
      </c>
      <c r="N413" t="s">
        <v>163</v>
      </c>
      <c r="O413" s="6" t="s">
        <v>775</v>
      </c>
      <c r="P413">
        <v>0</v>
      </c>
      <c r="Q413" s="24">
        <v>33.200000000000003</v>
      </c>
      <c r="R413" s="25">
        <v>41.5</v>
      </c>
      <c r="S413" s="26">
        <v>35.5</v>
      </c>
      <c r="Y413">
        <v>10</v>
      </c>
      <c r="Z413">
        <v>30</v>
      </c>
      <c r="AA413" s="3">
        <v>25</v>
      </c>
      <c r="AB413" s="3">
        <v>6</v>
      </c>
      <c r="AC413">
        <v>155</v>
      </c>
      <c r="AD413" s="9">
        <f t="shared" si="113"/>
        <v>9814.5833333333339</v>
      </c>
      <c r="AE413">
        <f t="shared" si="120"/>
        <v>2555730</v>
      </c>
      <c r="AF413" s="2">
        <f t="shared" si="124"/>
        <v>21.700000000000003</v>
      </c>
      <c r="AG413" t="str">
        <f t="shared" si="114"/>
        <v>163小时</v>
      </c>
      <c r="AH413">
        <f t="shared" si="115"/>
        <v>66</v>
      </c>
      <c r="AI413">
        <f t="shared" si="116"/>
        <v>11</v>
      </c>
      <c r="AJ413">
        <f t="shared" si="121"/>
        <v>41.1</v>
      </c>
      <c r="AK413">
        <f t="shared" si="117"/>
        <v>21</v>
      </c>
      <c r="AL413">
        <f t="shared" si="122"/>
        <v>21.700000000000003</v>
      </c>
      <c r="AM413" s="2">
        <f t="shared" si="118"/>
        <v>11</v>
      </c>
      <c r="AX413">
        <v>410</v>
      </c>
      <c r="AZ413" s="3"/>
      <c r="BB413" s="2">
        <f t="shared" si="119"/>
        <v>135</v>
      </c>
      <c r="BC413">
        <f t="shared" si="123"/>
        <v>8.4712621607782879</v>
      </c>
      <c r="BD413" s="2">
        <f t="shared" si="125"/>
        <v>41.1</v>
      </c>
      <c r="BE413">
        <f t="shared" si="126"/>
        <v>21.700000000000003</v>
      </c>
      <c r="BF413">
        <f t="shared" si="127"/>
        <v>124992.00000000003</v>
      </c>
    </row>
    <row r="414" spans="1:58" ht="14.25" x14ac:dyDescent="0.2">
      <c r="A414" s="11">
        <v>10331</v>
      </c>
      <c r="B414" s="13">
        <f t="shared" si="128"/>
        <v>8</v>
      </c>
      <c r="C414" s="15">
        <f t="shared" si="129"/>
        <v>6</v>
      </c>
      <c r="D414" s="14">
        <f t="shared" si="130"/>
        <v>7</v>
      </c>
      <c r="E414" t="s">
        <v>2777</v>
      </c>
      <c r="F414" t="s">
        <v>2834</v>
      </c>
      <c r="G414" t="s">
        <v>2779</v>
      </c>
      <c r="H414" t="s">
        <v>2779</v>
      </c>
      <c r="I414" t="s">
        <v>2780</v>
      </c>
      <c r="J414" s="4" t="s">
        <v>2838</v>
      </c>
      <c r="K414" t="s">
        <v>168</v>
      </c>
      <c r="L414" t="s">
        <v>163</v>
      </c>
      <c r="M414" t="s">
        <v>163</v>
      </c>
      <c r="N414" t="s">
        <v>163</v>
      </c>
      <c r="O414" s="6" t="s">
        <v>777</v>
      </c>
      <c r="P414">
        <v>0</v>
      </c>
      <c r="Q414" s="24">
        <v>33.5</v>
      </c>
      <c r="R414" s="25">
        <v>42</v>
      </c>
      <c r="S414" s="26">
        <v>35.799999999999997</v>
      </c>
      <c r="Y414">
        <v>10</v>
      </c>
      <c r="Z414">
        <v>30</v>
      </c>
      <c r="AA414" s="3">
        <v>25</v>
      </c>
      <c r="AB414" s="3">
        <v>6</v>
      </c>
      <c r="AC414">
        <v>155</v>
      </c>
      <c r="AD414" s="9">
        <f t="shared" si="113"/>
        <v>9680.75</v>
      </c>
      <c r="AE414">
        <f t="shared" si="120"/>
        <v>2555730</v>
      </c>
      <c r="AF414" s="2">
        <f t="shared" si="124"/>
        <v>22</v>
      </c>
      <c r="AG414" t="str">
        <f t="shared" si="114"/>
        <v>161小时</v>
      </c>
      <c r="AH414">
        <f t="shared" si="115"/>
        <v>66</v>
      </c>
      <c r="AI414">
        <f t="shared" si="116"/>
        <v>11</v>
      </c>
      <c r="AJ414">
        <f t="shared" si="121"/>
        <v>41.5</v>
      </c>
      <c r="AK414">
        <f t="shared" si="117"/>
        <v>21</v>
      </c>
      <c r="AL414">
        <f t="shared" si="122"/>
        <v>22</v>
      </c>
      <c r="AM414" s="2">
        <f t="shared" si="118"/>
        <v>11</v>
      </c>
      <c r="AX414">
        <v>411</v>
      </c>
      <c r="AZ414" s="3"/>
      <c r="BB414" s="2">
        <f t="shared" si="119"/>
        <v>135</v>
      </c>
      <c r="BC414">
        <f t="shared" si="123"/>
        <v>8.3557449494949498</v>
      </c>
      <c r="BD414" s="2">
        <f t="shared" si="125"/>
        <v>41.5</v>
      </c>
      <c r="BE414">
        <f t="shared" si="126"/>
        <v>22</v>
      </c>
      <c r="BF414">
        <f t="shared" si="127"/>
        <v>126720</v>
      </c>
    </row>
    <row r="415" spans="1:58" ht="14.25" x14ac:dyDescent="0.2">
      <c r="A415" s="11">
        <v>10332</v>
      </c>
      <c r="B415" s="13">
        <f t="shared" si="128"/>
        <v>8</v>
      </c>
      <c r="C415" s="15">
        <f t="shared" si="129"/>
        <v>6</v>
      </c>
      <c r="D415" s="14">
        <f t="shared" si="130"/>
        <v>7</v>
      </c>
      <c r="E415" t="s">
        <v>2777</v>
      </c>
      <c r="F415" t="s">
        <v>2835</v>
      </c>
      <c r="G415" t="s">
        <v>2779</v>
      </c>
      <c r="H415" t="s">
        <v>2779</v>
      </c>
      <c r="I415" t="s">
        <v>2780</v>
      </c>
      <c r="J415" s="4" t="s">
        <v>2838</v>
      </c>
      <c r="K415" t="s">
        <v>175</v>
      </c>
      <c r="L415" t="s">
        <v>164</v>
      </c>
      <c r="M415" t="s">
        <v>163</v>
      </c>
      <c r="N415" t="s">
        <v>167</v>
      </c>
      <c r="O415" s="6" t="s">
        <v>779</v>
      </c>
      <c r="P415">
        <v>0</v>
      </c>
      <c r="Q415" s="24">
        <v>33.5</v>
      </c>
      <c r="R415" s="25">
        <v>42</v>
      </c>
      <c r="S415" s="26">
        <v>35.799999999999997</v>
      </c>
      <c r="Y415">
        <v>10</v>
      </c>
      <c r="Z415">
        <v>30</v>
      </c>
      <c r="AA415" s="3">
        <v>25</v>
      </c>
      <c r="AB415" s="3">
        <v>6</v>
      </c>
      <c r="AC415">
        <v>155</v>
      </c>
      <c r="AD415" s="9">
        <f t="shared" si="113"/>
        <v>9680.75</v>
      </c>
      <c r="AE415">
        <f t="shared" si="120"/>
        <v>2555730</v>
      </c>
      <c r="AF415" s="2">
        <f t="shared" si="124"/>
        <v>22</v>
      </c>
      <c r="AG415" t="str">
        <f t="shared" si="114"/>
        <v>161小时</v>
      </c>
      <c r="AH415">
        <f t="shared" si="115"/>
        <v>66</v>
      </c>
      <c r="AI415">
        <f t="shared" si="116"/>
        <v>11</v>
      </c>
      <c r="AJ415">
        <f t="shared" si="121"/>
        <v>41.5</v>
      </c>
      <c r="AK415">
        <f t="shared" si="117"/>
        <v>21</v>
      </c>
      <c r="AL415">
        <f t="shared" si="122"/>
        <v>22</v>
      </c>
      <c r="AM415" s="2">
        <f t="shared" si="118"/>
        <v>11</v>
      </c>
      <c r="AX415">
        <v>412</v>
      </c>
      <c r="AZ415" s="3"/>
      <c r="BB415" s="2">
        <f t="shared" si="119"/>
        <v>135</v>
      </c>
      <c r="BC415">
        <f t="shared" si="123"/>
        <v>8.3557449494949498</v>
      </c>
      <c r="BD415" s="2">
        <f t="shared" si="125"/>
        <v>41.5</v>
      </c>
      <c r="BE415">
        <f t="shared" si="126"/>
        <v>22</v>
      </c>
      <c r="BF415">
        <f t="shared" si="127"/>
        <v>126720</v>
      </c>
    </row>
    <row r="416" spans="1:58" ht="14.25" x14ac:dyDescent="0.2">
      <c r="A416" s="11">
        <v>10333</v>
      </c>
      <c r="B416" s="13">
        <f t="shared" si="128"/>
        <v>8</v>
      </c>
      <c r="C416" s="15">
        <f t="shared" si="129"/>
        <v>6</v>
      </c>
      <c r="D416" s="14">
        <f t="shared" si="130"/>
        <v>7</v>
      </c>
      <c r="E416" t="s">
        <v>2777</v>
      </c>
      <c r="F416" t="s">
        <v>2836</v>
      </c>
      <c r="G416" t="s">
        <v>2779</v>
      </c>
      <c r="H416" t="s">
        <v>2779</v>
      </c>
      <c r="I416" t="s">
        <v>2780</v>
      </c>
      <c r="J416" s="4" t="s">
        <v>2838</v>
      </c>
      <c r="K416" t="s">
        <v>179</v>
      </c>
      <c r="L416" t="s">
        <v>163</v>
      </c>
      <c r="M416" t="s">
        <v>163</v>
      </c>
      <c r="N416" t="s">
        <v>163</v>
      </c>
      <c r="O416" s="6" t="s">
        <v>781</v>
      </c>
      <c r="P416">
        <v>0</v>
      </c>
      <c r="Q416" s="24">
        <v>33.5</v>
      </c>
      <c r="R416" s="25">
        <v>42</v>
      </c>
      <c r="S416" s="26">
        <v>35.799999999999997</v>
      </c>
      <c r="Y416">
        <v>10</v>
      </c>
      <c r="Z416">
        <v>30</v>
      </c>
      <c r="AA416" s="3">
        <v>25</v>
      </c>
      <c r="AB416" s="3">
        <v>6</v>
      </c>
      <c r="AC416">
        <v>155</v>
      </c>
      <c r="AD416" s="9">
        <f t="shared" si="113"/>
        <v>9680.75</v>
      </c>
      <c r="AE416">
        <f t="shared" si="120"/>
        <v>2555730</v>
      </c>
      <c r="AF416" s="2">
        <f t="shared" si="124"/>
        <v>22</v>
      </c>
      <c r="AG416" t="str">
        <f t="shared" si="114"/>
        <v>161小时</v>
      </c>
      <c r="AH416">
        <f t="shared" si="115"/>
        <v>66</v>
      </c>
      <c r="AI416">
        <f t="shared" si="116"/>
        <v>11</v>
      </c>
      <c r="AJ416">
        <f t="shared" si="121"/>
        <v>41.5</v>
      </c>
      <c r="AK416">
        <f t="shared" si="117"/>
        <v>21</v>
      </c>
      <c r="AL416">
        <f t="shared" si="122"/>
        <v>22</v>
      </c>
      <c r="AM416" s="2">
        <f t="shared" si="118"/>
        <v>11</v>
      </c>
      <c r="AX416">
        <v>413</v>
      </c>
      <c r="AZ416" s="3"/>
      <c r="BB416" s="2">
        <f t="shared" si="119"/>
        <v>135</v>
      </c>
      <c r="BC416">
        <f t="shared" si="123"/>
        <v>8.3557449494949498</v>
      </c>
      <c r="BD416" s="2">
        <f t="shared" si="125"/>
        <v>41.5</v>
      </c>
      <c r="BE416">
        <f t="shared" si="126"/>
        <v>22</v>
      </c>
      <c r="BF416">
        <f t="shared" si="127"/>
        <v>126720</v>
      </c>
    </row>
    <row r="417" spans="1:58" ht="14.25" x14ac:dyDescent="0.2">
      <c r="A417" s="11">
        <v>10334</v>
      </c>
      <c r="B417" s="13">
        <f t="shared" si="128"/>
        <v>8</v>
      </c>
      <c r="C417" s="15">
        <f t="shared" si="129"/>
        <v>6</v>
      </c>
      <c r="D417" s="14">
        <f t="shared" si="130"/>
        <v>7</v>
      </c>
      <c r="E417" t="s">
        <v>2777</v>
      </c>
      <c r="F417" t="s">
        <v>2837</v>
      </c>
      <c r="G417" t="s">
        <v>2779</v>
      </c>
      <c r="H417" t="s">
        <v>2779</v>
      </c>
      <c r="I417" t="s">
        <v>2780</v>
      </c>
      <c r="J417" s="4" t="s">
        <v>2838</v>
      </c>
      <c r="K417" t="s">
        <v>177</v>
      </c>
      <c r="L417" t="s">
        <v>163</v>
      </c>
      <c r="M417" t="s">
        <v>163</v>
      </c>
      <c r="N417" t="s">
        <v>163</v>
      </c>
      <c r="O417" s="6" t="s">
        <v>781</v>
      </c>
      <c r="P417">
        <v>0</v>
      </c>
      <c r="Q417" s="24">
        <v>33.5</v>
      </c>
      <c r="R417" s="25">
        <v>42</v>
      </c>
      <c r="S417" s="26">
        <v>35.799999999999997</v>
      </c>
      <c r="Y417">
        <v>10</v>
      </c>
      <c r="Z417">
        <v>30</v>
      </c>
      <c r="AA417" s="3">
        <v>25</v>
      </c>
      <c r="AB417" s="3">
        <v>6</v>
      </c>
      <c r="AC417">
        <v>155</v>
      </c>
      <c r="AD417" s="9">
        <f t="shared" si="113"/>
        <v>9680.75</v>
      </c>
      <c r="AE417">
        <f t="shared" si="120"/>
        <v>2555730</v>
      </c>
      <c r="AF417" s="2">
        <f t="shared" si="124"/>
        <v>22</v>
      </c>
      <c r="AG417" t="str">
        <f t="shared" si="114"/>
        <v>161小时</v>
      </c>
      <c r="AH417">
        <f t="shared" si="115"/>
        <v>66</v>
      </c>
      <c r="AI417">
        <f t="shared" si="116"/>
        <v>11</v>
      </c>
      <c r="AJ417">
        <f t="shared" si="121"/>
        <v>41.5</v>
      </c>
      <c r="AK417">
        <f t="shared" si="117"/>
        <v>21</v>
      </c>
      <c r="AL417">
        <f t="shared" si="122"/>
        <v>22</v>
      </c>
      <c r="AM417" s="2">
        <f t="shared" si="118"/>
        <v>11</v>
      </c>
      <c r="AX417">
        <v>414</v>
      </c>
      <c r="AZ417" s="3"/>
      <c r="BB417" s="2">
        <f t="shared" si="119"/>
        <v>135</v>
      </c>
      <c r="BC417">
        <f t="shared" si="123"/>
        <v>8.3557449494949498</v>
      </c>
      <c r="BD417" s="2">
        <f t="shared" si="125"/>
        <v>41.5</v>
      </c>
      <c r="BE417">
        <f t="shared" si="126"/>
        <v>22</v>
      </c>
      <c r="BF417">
        <f t="shared" si="127"/>
        <v>126720</v>
      </c>
    </row>
    <row r="418" spans="1:58" ht="14.25" x14ac:dyDescent="0.2">
      <c r="A418" s="11">
        <v>10335</v>
      </c>
      <c r="B418" s="13">
        <f t="shared" si="128"/>
        <v>8</v>
      </c>
      <c r="C418" s="15">
        <f t="shared" si="129"/>
        <v>6</v>
      </c>
      <c r="D418" s="14">
        <f t="shared" si="130"/>
        <v>7</v>
      </c>
      <c r="E418" t="s">
        <v>2785</v>
      </c>
      <c r="F418" t="s">
        <v>2786</v>
      </c>
      <c r="G418" t="s">
        <v>2831</v>
      </c>
      <c r="H418" t="s">
        <v>2829</v>
      </c>
      <c r="I418" t="s">
        <v>2697</v>
      </c>
      <c r="J418" s="4" t="s">
        <v>2858</v>
      </c>
      <c r="K418" t="s">
        <v>174</v>
      </c>
      <c r="L418" t="s">
        <v>163</v>
      </c>
      <c r="M418" t="s">
        <v>163</v>
      </c>
      <c r="N418" t="s">
        <v>163</v>
      </c>
      <c r="O418" s="6" t="s">
        <v>783</v>
      </c>
      <c r="P418">
        <v>0</v>
      </c>
      <c r="Q418" s="24">
        <v>33.5</v>
      </c>
      <c r="R418" s="25">
        <v>42</v>
      </c>
      <c r="S418" s="26">
        <v>35.799999999999997</v>
      </c>
      <c r="Y418">
        <v>10</v>
      </c>
      <c r="Z418">
        <v>30</v>
      </c>
      <c r="AA418" s="3">
        <v>25</v>
      </c>
      <c r="AB418" s="3">
        <v>6</v>
      </c>
      <c r="AC418">
        <v>155</v>
      </c>
      <c r="AD418" s="9">
        <f t="shared" si="113"/>
        <v>9680.75</v>
      </c>
      <c r="AE418">
        <f t="shared" si="120"/>
        <v>2555730</v>
      </c>
      <c r="AF418" s="2">
        <f t="shared" si="124"/>
        <v>22</v>
      </c>
      <c r="AG418" t="str">
        <f t="shared" si="114"/>
        <v>161小时</v>
      </c>
      <c r="AH418">
        <f t="shared" si="115"/>
        <v>66</v>
      </c>
      <c r="AI418">
        <f t="shared" si="116"/>
        <v>11</v>
      </c>
      <c r="AJ418">
        <f t="shared" si="121"/>
        <v>41.5</v>
      </c>
      <c r="AK418">
        <f t="shared" si="117"/>
        <v>21</v>
      </c>
      <c r="AL418">
        <f t="shared" si="122"/>
        <v>22</v>
      </c>
      <c r="AM418" s="2">
        <f t="shared" si="118"/>
        <v>11</v>
      </c>
      <c r="AX418">
        <v>415</v>
      </c>
      <c r="AZ418" s="3"/>
      <c r="BB418" s="2">
        <f t="shared" si="119"/>
        <v>135</v>
      </c>
      <c r="BC418">
        <f t="shared" si="123"/>
        <v>8.3557449494949498</v>
      </c>
      <c r="BD418" s="2">
        <f t="shared" si="125"/>
        <v>41.5</v>
      </c>
      <c r="BE418">
        <f t="shared" si="126"/>
        <v>22</v>
      </c>
      <c r="BF418">
        <f t="shared" si="127"/>
        <v>126720</v>
      </c>
    </row>
    <row r="419" spans="1:58" ht="14.25" x14ac:dyDescent="0.2">
      <c r="A419" s="11">
        <v>10336</v>
      </c>
      <c r="B419" s="13">
        <f t="shared" si="128"/>
        <v>8</v>
      </c>
      <c r="C419" s="15">
        <f t="shared" si="129"/>
        <v>6</v>
      </c>
      <c r="D419" s="14">
        <f t="shared" si="130"/>
        <v>7</v>
      </c>
      <c r="E419" t="s">
        <v>2777</v>
      </c>
      <c r="F419" t="s">
        <v>2834</v>
      </c>
      <c r="G419" t="s">
        <v>2779</v>
      </c>
      <c r="H419" t="s">
        <v>2779</v>
      </c>
      <c r="I419" t="s">
        <v>2780</v>
      </c>
      <c r="J419" s="4" t="s">
        <v>2838</v>
      </c>
      <c r="K419" t="s">
        <v>182</v>
      </c>
      <c r="L419" t="s">
        <v>163</v>
      </c>
      <c r="M419" t="s">
        <v>163</v>
      </c>
      <c r="N419" t="s">
        <v>163</v>
      </c>
      <c r="O419" s="6" t="s">
        <v>785</v>
      </c>
      <c r="P419">
        <v>0</v>
      </c>
      <c r="Q419" s="24">
        <v>33.799999999999997</v>
      </c>
      <c r="R419" s="25">
        <v>42.5</v>
      </c>
      <c r="S419" s="26">
        <v>36</v>
      </c>
      <c r="Y419">
        <v>10</v>
      </c>
      <c r="Z419">
        <v>30</v>
      </c>
      <c r="AA419" s="3">
        <v>25</v>
      </c>
      <c r="AB419" s="3">
        <v>6</v>
      </c>
      <c r="AC419">
        <v>155</v>
      </c>
      <c r="AD419" s="9">
        <f t="shared" si="113"/>
        <v>9593.5</v>
      </c>
      <c r="AE419">
        <f t="shared" si="120"/>
        <v>2555730</v>
      </c>
      <c r="AF419" s="2">
        <f t="shared" si="124"/>
        <v>22.200000000000003</v>
      </c>
      <c r="AG419" t="str">
        <f t="shared" si="114"/>
        <v>159小时</v>
      </c>
      <c r="AH419">
        <f t="shared" si="115"/>
        <v>67</v>
      </c>
      <c r="AI419">
        <f t="shared" si="116"/>
        <v>12</v>
      </c>
      <c r="AJ419">
        <f t="shared" si="121"/>
        <v>41.8</v>
      </c>
      <c r="AK419">
        <f t="shared" si="117"/>
        <v>21</v>
      </c>
      <c r="AL419">
        <f t="shared" si="122"/>
        <v>22.200000000000003</v>
      </c>
      <c r="AM419" s="2">
        <f t="shared" si="118"/>
        <v>12</v>
      </c>
      <c r="AX419">
        <v>416</v>
      </c>
      <c r="AZ419" s="3"/>
      <c r="BB419" s="2">
        <f t="shared" si="119"/>
        <v>135</v>
      </c>
      <c r="BC419">
        <f t="shared" si="123"/>
        <v>8.2804679679679669</v>
      </c>
      <c r="BD419" s="2">
        <f t="shared" si="125"/>
        <v>41.8</v>
      </c>
      <c r="BE419">
        <f t="shared" si="126"/>
        <v>22.200000000000003</v>
      </c>
      <c r="BF419">
        <f t="shared" si="127"/>
        <v>127872.00000000003</v>
      </c>
    </row>
    <row r="420" spans="1:58" ht="14.25" x14ac:dyDescent="0.2">
      <c r="A420" s="11">
        <v>10337</v>
      </c>
      <c r="B420" s="13">
        <f t="shared" si="128"/>
        <v>8</v>
      </c>
      <c r="C420" s="15">
        <f t="shared" si="129"/>
        <v>6</v>
      </c>
      <c r="D420" s="14">
        <f t="shared" si="130"/>
        <v>7</v>
      </c>
      <c r="E420" t="s">
        <v>2777</v>
      </c>
      <c r="F420" t="s">
        <v>2835</v>
      </c>
      <c r="G420" t="s">
        <v>2779</v>
      </c>
      <c r="H420" t="s">
        <v>2779</v>
      </c>
      <c r="I420" t="s">
        <v>2780</v>
      </c>
      <c r="J420" s="4" t="s">
        <v>2838</v>
      </c>
      <c r="K420" t="s">
        <v>162</v>
      </c>
      <c r="L420" t="s">
        <v>163</v>
      </c>
      <c r="M420" t="s">
        <v>163</v>
      </c>
      <c r="N420" t="s">
        <v>163</v>
      </c>
      <c r="O420" s="6" t="s">
        <v>785</v>
      </c>
      <c r="P420">
        <v>0</v>
      </c>
      <c r="Q420" s="24">
        <v>33.799999999999997</v>
      </c>
      <c r="R420" s="25">
        <v>42.5</v>
      </c>
      <c r="S420" s="26">
        <v>36</v>
      </c>
      <c r="Y420">
        <v>10</v>
      </c>
      <c r="Z420">
        <v>30</v>
      </c>
      <c r="AA420" s="3">
        <v>25</v>
      </c>
      <c r="AB420" s="3">
        <v>6</v>
      </c>
      <c r="AC420">
        <v>155</v>
      </c>
      <c r="AD420" s="9">
        <f t="shared" si="113"/>
        <v>9593.5</v>
      </c>
      <c r="AE420">
        <f t="shared" si="120"/>
        <v>2555730</v>
      </c>
      <c r="AF420" s="2">
        <f t="shared" si="124"/>
        <v>22.200000000000003</v>
      </c>
      <c r="AG420" t="str">
        <f t="shared" si="114"/>
        <v>159小时</v>
      </c>
      <c r="AH420">
        <f t="shared" si="115"/>
        <v>67</v>
      </c>
      <c r="AI420">
        <f t="shared" si="116"/>
        <v>12</v>
      </c>
      <c r="AJ420">
        <f t="shared" si="121"/>
        <v>41.8</v>
      </c>
      <c r="AK420">
        <f t="shared" si="117"/>
        <v>21</v>
      </c>
      <c r="AL420">
        <f t="shared" si="122"/>
        <v>22.200000000000003</v>
      </c>
      <c r="AM420" s="2">
        <f t="shared" si="118"/>
        <v>12</v>
      </c>
      <c r="AX420">
        <v>417</v>
      </c>
      <c r="AZ420" s="3"/>
      <c r="BB420" s="2">
        <f t="shared" si="119"/>
        <v>135</v>
      </c>
      <c r="BC420">
        <f t="shared" si="123"/>
        <v>8.2804679679679669</v>
      </c>
      <c r="BD420" s="2">
        <f t="shared" si="125"/>
        <v>41.8</v>
      </c>
      <c r="BE420">
        <f t="shared" si="126"/>
        <v>22.200000000000003</v>
      </c>
      <c r="BF420">
        <f t="shared" si="127"/>
        <v>127872.00000000003</v>
      </c>
    </row>
    <row r="421" spans="1:58" ht="14.25" x14ac:dyDescent="0.2">
      <c r="A421" s="11">
        <v>10338</v>
      </c>
      <c r="B421" s="13">
        <f t="shared" si="128"/>
        <v>8</v>
      </c>
      <c r="C421" s="15">
        <f t="shared" si="129"/>
        <v>6</v>
      </c>
      <c r="D421" s="14">
        <f t="shared" si="130"/>
        <v>7</v>
      </c>
      <c r="E421" t="s">
        <v>2777</v>
      </c>
      <c r="F421" t="s">
        <v>2836</v>
      </c>
      <c r="G421" t="s">
        <v>2779</v>
      </c>
      <c r="H421" t="s">
        <v>2779</v>
      </c>
      <c r="I421" t="s">
        <v>2780</v>
      </c>
      <c r="J421" s="4" t="s">
        <v>2838</v>
      </c>
      <c r="K421" t="s">
        <v>177</v>
      </c>
      <c r="L421" t="s">
        <v>163</v>
      </c>
      <c r="M421" t="s">
        <v>163</v>
      </c>
      <c r="N421" t="s">
        <v>163</v>
      </c>
      <c r="O421" s="6" t="s">
        <v>787</v>
      </c>
      <c r="P421">
        <v>0</v>
      </c>
      <c r="Q421" s="24">
        <v>33.799999999999997</v>
      </c>
      <c r="R421" s="25">
        <v>42.5</v>
      </c>
      <c r="S421" s="26">
        <v>36</v>
      </c>
      <c r="Y421">
        <v>10</v>
      </c>
      <c r="Z421">
        <v>30</v>
      </c>
      <c r="AA421" s="3">
        <v>25</v>
      </c>
      <c r="AB421" s="3">
        <v>6</v>
      </c>
      <c r="AC421">
        <v>155</v>
      </c>
      <c r="AD421" s="9">
        <f t="shared" si="113"/>
        <v>9593.5</v>
      </c>
      <c r="AE421">
        <f t="shared" si="120"/>
        <v>2555730</v>
      </c>
      <c r="AF421" s="2">
        <f t="shared" si="124"/>
        <v>22.200000000000003</v>
      </c>
      <c r="AG421" t="str">
        <f t="shared" si="114"/>
        <v>159小时</v>
      </c>
      <c r="AH421">
        <f t="shared" si="115"/>
        <v>67</v>
      </c>
      <c r="AI421">
        <f t="shared" si="116"/>
        <v>12</v>
      </c>
      <c r="AJ421">
        <f t="shared" si="121"/>
        <v>41.8</v>
      </c>
      <c r="AK421">
        <f t="shared" si="117"/>
        <v>21</v>
      </c>
      <c r="AL421">
        <f t="shared" si="122"/>
        <v>22.200000000000003</v>
      </c>
      <c r="AM421" s="2">
        <f t="shared" si="118"/>
        <v>12</v>
      </c>
      <c r="AX421">
        <v>418</v>
      </c>
      <c r="AZ421" s="3"/>
      <c r="BB421" s="2">
        <f t="shared" si="119"/>
        <v>135</v>
      </c>
      <c r="BC421">
        <f t="shared" si="123"/>
        <v>8.2804679679679669</v>
      </c>
      <c r="BD421" s="2">
        <f t="shared" si="125"/>
        <v>41.8</v>
      </c>
      <c r="BE421">
        <f t="shared" si="126"/>
        <v>22.200000000000003</v>
      </c>
      <c r="BF421">
        <f t="shared" si="127"/>
        <v>127872.00000000003</v>
      </c>
    </row>
    <row r="422" spans="1:58" ht="14.25" x14ac:dyDescent="0.2">
      <c r="A422" s="11">
        <v>10339</v>
      </c>
      <c r="B422" s="13">
        <f t="shared" si="128"/>
        <v>8</v>
      </c>
      <c r="C422" s="15">
        <f t="shared" si="129"/>
        <v>6</v>
      </c>
      <c r="D422" s="14">
        <f t="shared" si="130"/>
        <v>7</v>
      </c>
      <c r="E422" t="s">
        <v>2777</v>
      </c>
      <c r="F422" t="s">
        <v>2837</v>
      </c>
      <c r="G422" t="s">
        <v>2779</v>
      </c>
      <c r="H422" t="s">
        <v>2779</v>
      </c>
      <c r="I422" t="s">
        <v>2780</v>
      </c>
      <c r="J422" s="4" t="s">
        <v>2838</v>
      </c>
      <c r="K422" t="s">
        <v>174</v>
      </c>
      <c r="L422" t="s">
        <v>163</v>
      </c>
      <c r="M422" t="s">
        <v>163</v>
      </c>
      <c r="N422" t="s">
        <v>163</v>
      </c>
      <c r="O422" s="6" t="s">
        <v>789</v>
      </c>
      <c r="P422">
        <v>0</v>
      </c>
      <c r="Q422" s="24">
        <v>33.799999999999997</v>
      </c>
      <c r="R422" s="25">
        <v>42.5</v>
      </c>
      <c r="S422" s="26">
        <v>36</v>
      </c>
      <c r="Y422">
        <v>10</v>
      </c>
      <c r="Z422">
        <v>30</v>
      </c>
      <c r="AA422" s="3">
        <v>25</v>
      </c>
      <c r="AB422" s="3">
        <v>6</v>
      </c>
      <c r="AC422">
        <v>155</v>
      </c>
      <c r="AD422" s="9">
        <f t="shared" si="113"/>
        <v>9593.5</v>
      </c>
      <c r="AE422">
        <f t="shared" si="120"/>
        <v>2555730</v>
      </c>
      <c r="AF422" s="2">
        <f t="shared" si="124"/>
        <v>22.200000000000003</v>
      </c>
      <c r="AG422" t="str">
        <f t="shared" si="114"/>
        <v>159小时</v>
      </c>
      <c r="AH422">
        <f t="shared" si="115"/>
        <v>67</v>
      </c>
      <c r="AI422">
        <f t="shared" si="116"/>
        <v>12</v>
      </c>
      <c r="AJ422">
        <f t="shared" si="121"/>
        <v>41.8</v>
      </c>
      <c r="AK422">
        <f t="shared" si="117"/>
        <v>21</v>
      </c>
      <c r="AL422">
        <f t="shared" si="122"/>
        <v>22.200000000000003</v>
      </c>
      <c r="AM422" s="2">
        <f t="shared" si="118"/>
        <v>12</v>
      </c>
      <c r="AX422">
        <v>419</v>
      </c>
      <c r="AZ422" s="3"/>
      <c r="BB422" s="2">
        <f t="shared" si="119"/>
        <v>135</v>
      </c>
      <c r="BC422">
        <f t="shared" si="123"/>
        <v>8.2804679679679669</v>
      </c>
      <c r="BD422" s="2">
        <f t="shared" si="125"/>
        <v>41.8</v>
      </c>
      <c r="BE422">
        <f t="shared" si="126"/>
        <v>22.200000000000003</v>
      </c>
      <c r="BF422">
        <f t="shared" si="127"/>
        <v>127872.00000000003</v>
      </c>
    </row>
    <row r="423" spans="1:58" ht="14.25" x14ac:dyDescent="0.2">
      <c r="A423" s="11">
        <v>10340</v>
      </c>
      <c r="B423" s="13">
        <f t="shared" si="128"/>
        <v>8</v>
      </c>
      <c r="C423" s="15">
        <f t="shared" si="129"/>
        <v>6</v>
      </c>
      <c r="D423" s="14">
        <f t="shared" si="130"/>
        <v>7</v>
      </c>
      <c r="E423" t="s">
        <v>2785</v>
      </c>
      <c r="F423" t="s">
        <v>2786</v>
      </c>
      <c r="G423" t="s">
        <v>2832</v>
      </c>
      <c r="H423" t="s">
        <v>2829</v>
      </c>
      <c r="I423" t="s">
        <v>2697</v>
      </c>
      <c r="J423" s="4" t="s">
        <v>2858</v>
      </c>
      <c r="K423" t="s">
        <v>166</v>
      </c>
      <c r="L423" t="s">
        <v>163</v>
      </c>
      <c r="M423" t="s">
        <v>163</v>
      </c>
      <c r="N423" t="s">
        <v>163</v>
      </c>
      <c r="O423" s="6" t="s">
        <v>789</v>
      </c>
      <c r="P423">
        <v>0</v>
      </c>
      <c r="Q423" s="24">
        <v>33.799999999999997</v>
      </c>
      <c r="R423" s="25">
        <v>42.5</v>
      </c>
      <c r="S423" s="26">
        <v>36</v>
      </c>
      <c r="Y423">
        <v>10</v>
      </c>
      <c r="Z423">
        <v>30</v>
      </c>
      <c r="AA423" s="3">
        <v>25</v>
      </c>
      <c r="AB423" s="3">
        <v>6</v>
      </c>
      <c r="AC423">
        <v>155</v>
      </c>
      <c r="AD423" s="9">
        <f t="shared" si="113"/>
        <v>9593.5</v>
      </c>
      <c r="AE423">
        <f t="shared" si="120"/>
        <v>2555730</v>
      </c>
      <c r="AF423" s="2">
        <f t="shared" si="124"/>
        <v>22.200000000000003</v>
      </c>
      <c r="AG423" t="str">
        <f t="shared" si="114"/>
        <v>159小时</v>
      </c>
      <c r="AH423">
        <f t="shared" si="115"/>
        <v>67</v>
      </c>
      <c r="AI423">
        <f t="shared" si="116"/>
        <v>12</v>
      </c>
      <c r="AJ423">
        <f t="shared" si="121"/>
        <v>41.8</v>
      </c>
      <c r="AK423">
        <f t="shared" si="117"/>
        <v>21</v>
      </c>
      <c r="AL423">
        <f t="shared" si="122"/>
        <v>22.200000000000003</v>
      </c>
      <c r="AM423" s="2">
        <f t="shared" si="118"/>
        <v>12</v>
      </c>
      <c r="AX423">
        <v>420</v>
      </c>
      <c r="AZ423" s="3"/>
      <c r="BB423" s="2">
        <f t="shared" si="119"/>
        <v>135</v>
      </c>
      <c r="BC423">
        <f t="shared" si="123"/>
        <v>8.2804679679679669</v>
      </c>
      <c r="BD423" s="2">
        <f t="shared" si="125"/>
        <v>41.8</v>
      </c>
      <c r="BE423">
        <f t="shared" si="126"/>
        <v>22.200000000000003</v>
      </c>
      <c r="BF423">
        <f t="shared" si="127"/>
        <v>127872.00000000003</v>
      </c>
    </row>
    <row r="424" spans="1:58" ht="14.25" x14ac:dyDescent="0.2">
      <c r="A424" s="11">
        <v>10341</v>
      </c>
      <c r="B424" s="13">
        <f t="shared" si="128"/>
        <v>8</v>
      </c>
      <c r="C424" s="15">
        <f t="shared" si="129"/>
        <v>6</v>
      </c>
      <c r="D424" s="14">
        <f t="shared" si="130"/>
        <v>7</v>
      </c>
      <c r="E424" t="s">
        <v>2777</v>
      </c>
      <c r="F424" t="s">
        <v>2834</v>
      </c>
      <c r="G424" t="s">
        <v>2779</v>
      </c>
      <c r="H424" t="s">
        <v>2779</v>
      </c>
      <c r="I424" t="s">
        <v>2780</v>
      </c>
      <c r="J424" s="4" t="s">
        <v>2838</v>
      </c>
      <c r="K424" t="s">
        <v>168</v>
      </c>
      <c r="L424" t="s">
        <v>163</v>
      </c>
      <c r="M424" t="s">
        <v>163</v>
      </c>
      <c r="N424" t="s">
        <v>163</v>
      </c>
      <c r="O424" s="6" t="s">
        <v>791</v>
      </c>
      <c r="P424">
        <v>0</v>
      </c>
      <c r="Q424" s="24">
        <v>34.200000000000003</v>
      </c>
      <c r="R424" s="25">
        <v>43</v>
      </c>
      <c r="S424" s="26">
        <v>36.299999999999997</v>
      </c>
      <c r="Y424">
        <v>10</v>
      </c>
      <c r="Z424">
        <v>30</v>
      </c>
      <c r="AA424" s="3">
        <v>25</v>
      </c>
      <c r="AB424" s="3">
        <v>6</v>
      </c>
      <c r="AC424">
        <v>155</v>
      </c>
      <c r="AD424" s="9">
        <f t="shared" si="113"/>
        <v>9465.6666666666679</v>
      </c>
      <c r="AE424">
        <f t="shared" si="120"/>
        <v>2555730</v>
      </c>
      <c r="AF424" s="2">
        <f t="shared" si="124"/>
        <v>22.5</v>
      </c>
      <c r="AG424" t="str">
        <f t="shared" si="114"/>
        <v>157小时</v>
      </c>
      <c r="AH424">
        <f t="shared" si="115"/>
        <v>68</v>
      </c>
      <c r="AI424">
        <f t="shared" si="116"/>
        <v>12</v>
      </c>
      <c r="AJ424">
        <f t="shared" si="121"/>
        <v>42.300000000000004</v>
      </c>
      <c r="AK424">
        <f t="shared" si="117"/>
        <v>22</v>
      </c>
      <c r="AL424">
        <f t="shared" si="122"/>
        <v>22.5</v>
      </c>
      <c r="AM424" s="2">
        <f t="shared" si="118"/>
        <v>12</v>
      </c>
      <c r="AX424">
        <v>421</v>
      </c>
      <c r="AZ424" s="3"/>
      <c r="BB424" s="2">
        <f t="shared" si="119"/>
        <v>135</v>
      </c>
      <c r="BC424">
        <f t="shared" si="123"/>
        <v>8.1700617283950621</v>
      </c>
      <c r="BD424" s="2">
        <f t="shared" si="125"/>
        <v>42.300000000000004</v>
      </c>
      <c r="BE424">
        <f t="shared" si="126"/>
        <v>22.5</v>
      </c>
      <c r="BF424">
        <f t="shared" si="127"/>
        <v>129600</v>
      </c>
    </row>
    <row r="425" spans="1:58" ht="14.25" x14ac:dyDescent="0.2">
      <c r="A425" s="11">
        <v>10342</v>
      </c>
      <c r="B425" s="13">
        <f t="shared" si="128"/>
        <v>8</v>
      </c>
      <c r="C425" s="15">
        <f t="shared" si="129"/>
        <v>6</v>
      </c>
      <c r="D425" s="14">
        <f t="shared" si="130"/>
        <v>7</v>
      </c>
      <c r="E425" t="s">
        <v>2777</v>
      </c>
      <c r="F425" t="s">
        <v>2835</v>
      </c>
      <c r="G425" t="s">
        <v>2779</v>
      </c>
      <c r="H425" t="s">
        <v>2779</v>
      </c>
      <c r="I425" t="s">
        <v>2780</v>
      </c>
      <c r="J425" s="4" t="s">
        <v>2838</v>
      </c>
      <c r="K425" t="s">
        <v>175</v>
      </c>
      <c r="L425" t="s">
        <v>164</v>
      </c>
      <c r="M425" t="s">
        <v>163</v>
      </c>
      <c r="N425" t="s">
        <v>167</v>
      </c>
      <c r="O425" s="6" t="s">
        <v>793</v>
      </c>
      <c r="P425">
        <v>0</v>
      </c>
      <c r="Q425" s="24">
        <v>34.200000000000003</v>
      </c>
      <c r="R425" s="25">
        <v>43</v>
      </c>
      <c r="S425" s="26">
        <v>36.299999999999997</v>
      </c>
      <c r="Y425">
        <v>10</v>
      </c>
      <c r="Z425">
        <v>30</v>
      </c>
      <c r="AA425" s="3">
        <v>25</v>
      </c>
      <c r="AB425" s="3">
        <v>6</v>
      </c>
      <c r="AC425">
        <v>155</v>
      </c>
      <c r="AD425" s="9">
        <f t="shared" si="113"/>
        <v>9465.6666666666679</v>
      </c>
      <c r="AE425">
        <f t="shared" si="120"/>
        <v>2555730</v>
      </c>
      <c r="AF425" s="2">
        <f t="shared" si="124"/>
        <v>22.5</v>
      </c>
      <c r="AG425" t="str">
        <f t="shared" si="114"/>
        <v>157小时</v>
      </c>
      <c r="AH425">
        <f t="shared" si="115"/>
        <v>68</v>
      </c>
      <c r="AI425">
        <f t="shared" si="116"/>
        <v>12</v>
      </c>
      <c r="AJ425">
        <f t="shared" si="121"/>
        <v>42.300000000000004</v>
      </c>
      <c r="AK425">
        <f t="shared" si="117"/>
        <v>22</v>
      </c>
      <c r="AL425">
        <f t="shared" si="122"/>
        <v>22.5</v>
      </c>
      <c r="AM425" s="2">
        <f t="shared" si="118"/>
        <v>12</v>
      </c>
      <c r="AX425">
        <v>422</v>
      </c>
      <c r="AZ425" s="3"/>
      <c r="BB425" s="2">
        <f t="shared" si="119"/>
        <v>135</v>
      </c>
      <c r="BC425">
        <f t="shared" si="123"/>
        <v>8.1700617283950621</v>
      </c>
      <c r="BD425" s="2">
        <f t="shared" si="125"/>
        <v>42.300000000000004</v>
      </c>
      <c r="BE425">
        <f t="shared" si="126"/>
        <v>22.5</v>
      </c>
      <c r="BF425">
        <f t="shared" si="127"/>
        <v>129600</v>
      </c>
    </row>
    <row r="426" spans="1:58" ht="14.25" x14ac:dyDescent="0.2">
      <c r="A426" s="11">
        <v>10343</v>
      </c>
      <c r="B426" s="13">
        <f t="shared" si="128"/>
        <v>8</v>
      </c>
      <c r="C426" s="15">
        <f t="shared" si="129"/>
        <v>6</v>
      </c>
      <c r="D426" s="14">
        <f t="shared" si="130"/>
        <v>7</v>
      </c>
      <c r="E426" t="s">
        <v>2777</v>
      </c>
      <c r="F426" t="s">
        <v>2836</v>
      </c>
      <c r="G426" t="s">
        <v>2779</v>
      </c>
      <c r="H426" t="s">
        <v>2779</v>
      </c>
      <c r="I426" t="s">
        <v>2780</v>
      </c>
      <c r="J426" s="4" t="s">
        <v>2838</v>
      </c>
      <c r="K426" t="s">
        <v>179</v>
      </c>
      <c r="L426" t="s">
        <v>163</v>
      </c>
      <c r="M426" t="s">
        <v>163</v>
      </c>
      <c r="N426" t="s">
        <v>163</v>
      </c>
      <c r="O426" s="6" t="s">
        <v>795</v>
      </c>
      <c r="P426">
        <v>0</v>
      </c>
      <c r="Q426" s="24">
        <v>34.200000000000003</v>
      </c>
      <c r="R426" s="25">
        <v>43</v>
      </c>
      <c r="S426" s="26">
        <v>36.299999999999997</v>
      </c>
      <c r="Y426">
        <v>10</v>
      </c>
      <c r="Z426">
        <v>30</v>
      </c>
      <c r="AA426" s="3">
        <v>25</v>
      </c>
      <c r="AB426" s="3">
        <v>6</v>
      </c>
      <c r="AC426">
        <v>155</v>
      </c>
      <c r="AD426" s="9">
        <f t="shared" si="113"/>
        <v>9465.6666666666679</v>
      </c>
      <c r="AE426">
        <f t="shared" si="120"/>
        <v>2555730</v>
      </c>
      <c r="AF426" s="2">
        <f t="shared" si="124"/>
        <v>22.5</v>
      </c>
      <c r="AG426" t="str">
        <f t="shared" si="114"/>
        <v>157小时</v>
      </c>
      <c r="AH426">
        <f t="shared" si="115"/>
        <v>68</v>
      </c>
      <c r="AI426">
        <f t="shared" si="116"/>
        <v>12</v>
      </c>
      <c r="AJ426">
        <f t="shared" si="121"/>
        <v>42.300000000000004</v>
      </c>
      <c r="AK426">
        <f t="shared" si="117"/>
        <v>22</v>
      </c>
      <c r="AL426">
        <f t="shared" si="122"/>
        <v>22.5</v>
      </c>
      <c r="AM426" s="2">
        <f t="shared" si="118"/>
        <v>12</v>
      </c>
      <c r="AX426">
        <v>423</v>
      </c>
      <c r="AZ426" s="3"/>
      <c r="BB426" s="2">
        <f t="shared" si="119"/>
        <v>135</v>
      </c>
      <c r="BC426">
        <f t="shared" si="123"/>
        <v>8.1700617283950621</v>
      </c>
      <c r="BD426" s="2">
        <f t="shared" si="125"/>
        <v>42.300000000000004</v>
      </c>
      <c r="BE426">
        <f t="shared" si="126"/>
        <v>22.5</v>
      </c>
      <c r="BF426">
        <f t="shared" si="127"/>
        <v>129600</v>
      </c>
    </row>
    <row r="427" spans="1:58" ht="14.25" x14ac:dyDescent="0.2">
      <c r="A427" s="11">
        <v>10344</v>
      </c>
      <c r="B427" s="13">
        <f t="shared" si="128"/>
        <v>8</v>
      </c>
      <c r="C427" s="15">
        <f t="shared" si="129"/>
        <v>6</v>
      </c>
      <c r="D427" s="14">
        <f t="shared" si="130"/>
        <v>7</v>
      </c>
      <c r="E427" t="s">
        <v>2777</v>
      </c>
      <c r="F427" t="s">
        <v>2837</v>
      </c>
      <c r="G427" t="s">
        <v>2779</v>
      </c>
      <c r="H427" t="s">
        <v>2779</v>
      </c>
      <c r="I427" t="s">
        <v>2780</v>
      </c>
      <c r="J427" s="4" t="s">
        <v>2838</v>
      </c>
      <c r="K427" t="s">
        <v>177</v>
      </c>
      <c r="L427" t="s">
        <v>163</v>
      </c>
      <c r="M427" t="s">
        <v>163</v>
      </c>
      <c r="N427" t="s">
        <v>163</v>
      </c>
      <c r="O427" s="6" t="s">
        <v>795</v>
      </c>
      <c r="P427">
        <v>0</v>
      </c>
      <c r="Q427" s="24">
        <v>34.200000000000003</v>
      </c>
      <c r="R427" s="25">
        <v>43</v>
      </c>
      <c r="S427" s="26">
        <v>36.299999999999997</v>
      </c>
      <c r="Y427">
        <v>10</v>
      </c>
      <c r="Z427">
        <v>30</v>
      </c>
      <c r="AA427" s="3">
        <v>25</v>
      </c>
      <c r="AB427" s="3">
        <v>6</v>
      </c>
      <c r="AC427">
        <v>155</v>
      </c>
      <c r="AD427" s="9">
        <f t="shared" si="113"/>
        <v>9465.6666666666679</v>
      </c>
      <c r="AE427">
        <f t="shared" si="120"/>
        <v>2555730</v>
      </c>
      <c r="AF427" s="2">
        <f t="shared" si="124"/>
        <v>22.5</v>
      </c>
      <c r="AG427" t="str">
        <f t="shared" si="114"/>
        <v>157小时</v>
      </c>
      <c r="AH427">
        <f t="shared" si="115"/>
        <v>68</v>
      </c>
      <c r="AI427">
        <f t="shared" si="116"/>
        <v>12</v>
      </c>
      <c r="AJ427">
        <f t="shared" si="121"/>
        <v>42.300000000000004</v>
      </c>
      <c r="AK427">
        <f t="shared" si="117"/>
        <v>22</v>
      </c>
      <c r="AL427">
        <f t="shared" si="122"/>
        <v>22.5</v>
      </c>
      <c r="AM427" s="2">
        <f t="shared" si="118"/>
        <v>12</v>
      </c>
      <c r="AX427">
        <v>424</v>
      </c>
      <c r="AZ427" s="3"/>
      <c r="BB427" s="2">
        <f t="shared" si="119"/>
        <v>135</v>
      </c>
      <c r="BC427">
        <f t="shared" si="123"/>
        <v>8.1700617283950621</v>
      </c>
      <c r="BD427" s="2">
        <f t="shared" si="125"/>
        <v>42.300000000000004</v>
      </c>
      <c r="BE427">
        <f t="shared" si="126"/>
        <v>22.5</v>
      </c>
      <c r="BF427">
        <f t="shared" si="127"/>
        <v>129600</v>
      </c>
    </row>
    <row r="428" spans="1:58" ht="14.25" x14ac:dyDescent="0.2">
      <c r="A428" s="11">
        <v>10345</v>
      </c>
      <c r="B428" s="13">
        <f t="shared" si="128"/>
        <v>8</v>
      </c>
      <c r="C428" s="15">
        <f t="shared" si="129"/>
        <v>6</v>
      </c>
      <c r="D428" s="14">
        <f t="shared" si="130"/>
        <v>7</v>
      </c>
      <c r="E428" t="s">
        <v>2785</v>
      </c>
      <c r="F428" t="s">
        <v>2786</v>
      </c>
      <c r="G428" t="s">
        <v>2833</v>
      </c>
      <c r="H428" t="s">
        <v>2829</v>
      </c>
      <c r="I428" t="s">
        <v>2697</v>
      </c>
      <c r="J428" s="4" t="s">
        <v>2876</v>
      </c>
      <c r="K428" t="s">
        <v>174</v>
      </c>
      <c r="L428" t="s">
        <v>163</v>
      </c>
      <c r="M428" t="s">
        <v>163</v>
      </c>
      <c r="N428" t="s">
        <v>163</v>
      </c>
      <c r="O428" s="6" t="s">
        <v>797</v>
      </c>
      <c r="P428">
        <v>0</v>
      </c>
      <c r="Q428" s="24">
        <v>34.200000000000003</v>
      </c>
      <c r="R428" s="25">
        <v>43</v>
      </c>
      <c r="S428" s="26">
        <v>36.299999999999997</v>
      </c>
      <c r="Y428">
        <v>10</v>
      </c>
      <c r="Z428">
        <v>30</v>
      </c>
      <c r="AA428" s="3">
        <v>25</v>
      </c>
      <c r="AB428" s="3">
        <v>6</v>
      </c>
      <c r="AC428">
        <v>155</v>
      </c>
      <c r="AD428" s="9">
        <f t="shared" si="113"/>
        <v>9465.6666666666679</v>
      </c>
      <c r="AE428">
        <f t="shared" si="120"/>
        <v>2555730</v>
      </c>
      <c r="AF428" s="2">
        <f t="shared" si="124"/>
        <v>22.5</v>
      </c>
      <c r="AG428" t="str">
        <f t="shared" si="114"/>
        <v>157小时</v>
      </c>
      <c r="AH428">
        <f t="shared" si="115"/>
        <v>68</v>
      </c>
      <c r="AI428">
        <f t="shared" si="116"/>
        <v>12</v>
      </c>
      <c r="AJ428">
        <f t="shared" si="121"/>
        <v>42.300000000000004</v>
      </c>
      <c r="AK428">
        <f t="shared" si="117"/>
        <v>22</v>
      </c>
      <c r="AL428">
        <f t="shared" si="122"/>
        <v>22.5</v>
      </c>
      <c r="AM428" s="2">
        <f t="shared" si="118"/>
        <v>12</v>
      </c>
      <c r="AX428">
        <v>425</v>
      </c>
      <c r="AZ428" s="3"/>
      <c r="BB428" s="2">
        <f t="shared" si="119"/>
        <v>135</v>
      </c>
      <c r="BC428">
        <f t="shared" si="123"/>
        <v>8.1700617283950621</v>
      </c>
      <c r="BD428" s="2">
        <f t="shared" si="125"/>
        <v>42.300000000000004</v>
      </c>
      <c r="BE428">
        <f t="shared" si="126"/>
        <v>22.5</v>
      </c>
      <c r="BF428">
        <f t="shared" si="127"/>
        <v>129600</v>
      </c>
    </row>
    <row r="429" spans="1:58" ht="14.25" x14ac:dyDescent="0.2">
      <c r="A429" s="11">
        <v>10346</v>
      </c>
      <c r="B429" s="13">
        <f t="shared" si="128"/>
        <v>8</v>
      </c>
      <c r="C429" s="15">
        <f t="shared" si="129"/>
        <v>6</v>
      </c>
      <c r="D429" s="14">
        <f t="shared" si="130"/>
        <v>7</v>
      </c>
      <c r="E429" t="s">
        <v>2777</v>
      </c>
      <c r="F429" t="s">
        <v>2834</v>
      </c>
      <c r="G429" t="s">
        <v>2779</v>
      </c>
      <c r="H429" t="s">
        <v>2779</v>
      </c>
      <c r="I429" t="s">
        <v>2780</v>
      </c>
      <c r="J429" s="4" t="s">
        <v>2838</v>
      </c>
      <c r="K429" t="s">
        <v>182</v>
      </c>
      <c r="L429" t="s">
        <v>163</v>
      </c>
      <c r="M429" t="s">
        <v>163</v>
      </c>
      <c r="N429" t="s">
        <v>163</v>
      </c>
      <c r="O429" s="6" t="s">
        <v>799</v>
      </c>
      <c r="P429">
        <v>0</v>
      </c>
      <c r="Q429" s="24">
        <v>34.5</v>
      </c>
      <c r="R429" s="25">
        <v>43.5</v>
      </c>
      <c r="S429" s="26">
        <v>36.5</v>
      </c>
      <c r="Y429">
        <v>10</v>
      </c>
      <c r="Z429">
        <v>30</v>
      </c>
      <c r="AA429" s="3">
        <v>25</v>
      </c>
      <c r="AB429" s="3">
        <v>6</v>
      </c>
      <c r="AC429">
        <v>155</v>
      </c>
      <c r="AD429" s="9">
        <f t="shared" si="113"/>
        <v>9382.25</v>
      </c>
      <c r="AE429">
        <f t="shared" si="120"/>
        <v>2555730</v>
      </c>
      <c r="AF429" s="2">
        <f t="shared" si="124"/>
        <v>22.700000000000003</v>
      </c>
      <c r="AG429" t="str">
        <f t="shared" si="114"/>
        <v>156小时</v>
      </c>
      <c r="AH429">
        <f t="shared" si="115"/>
        <v>69</v>
      </c>
      <c r="AI429">
        <f t="shared" si="116"/>
        <v>12</v>
      </c>
      <c r="AJ429">
        <f t="shared" si="121"/>
        <v>42.6</v>
      </c>
      <c r="AK429">
        <f t="shared" si="117"/>
        <v>22</v>
      </c>
      <c r="AL429">
        <f t="shared" si="122"/>
        <v>22.700000000000003</v>
      </c>
      <c r="AM429" s="2">
        <f t="shared" si="118"/>
        <v>12</v>
      </c>
      <c r="AX429">
        <v>426</v>
      </c>
      <c r="AZ429" s="3"/>
      <c r="BB429" s="2">
        <f t="shared" si="119"/>
        <v>135</v>
      </c>
      <c r="BC429">
        <f t="shared" si="123"/>
        <v>8.0980788056779236</v>
      </c>
      <c r="BD429" s="2">
        <f t="shared" si="125"/>
        <v>42.6</v>
      </c>
      <c r="BE429">
        <f t="shared" si="126"/>
        <v>22.700000000000003</v>
      </c>
      <c r="BF429">
        <f t="shared" si="127"/>
        <v>130752.00000000003</v>
      </c>
    </row>
    <row r="430" spans="1:58" ht="14.25" x14ac:dyDescent="0.2">
      <c r="A430" s="11">
        <v>10347</v>
      </c>
      <c r="B430" s="13">
        <f t="shared" si="128"/>
        <v>8</v>
      </c>
      <c r="C430" s="15">
        <f t="shared" si="129"/>
        <v>6</v>
      </c>
      <c r="D430" s="14">
        <f t="shared" si="130"/>
        <v>7</v>
      </c>
      <c r="E430" t="s">
        <v>2777</v>
      </c>
      <c r="F430" t="s">
        <v>2835</v>
      </c>
      <c r="G430" t="s">
        <v>2779</v>
      </c>
      <c r="H430" t="s">
        <v>2779</v>
      </c>
      <c r="I430" t="s">
        <v>2780</v>
      </c>
      <c r="J430" s="4" t="s">
        <v>2838</v>
      </c>
      <c r="K430" t="s">
        <v>162</v>
      </c>
      <c r="L430" t="s">
        <v>163</v>
      </c>
      <c r="M430" t="s">
        <v>163</v>
      </c>
      <c r="N430" t="s">
        <v>163</v>
      </c>
      <c r="O430" s="6" t="s">
        <v>799</v>
      </c>
      <c r="P430">
        <v>0</v>
      </c>
      <c r="Q430" s="24">
        <v>34.5</v>
      </c>
      <c r="R430" s="25">
        <v>43.5</v>
      </c>
      <c r="S430" s="26">
        <v>36.5</v>
      </c>
      <c r="Y430">
        <v>10</v>
      </c>
      <c r="Z430">
        <v>30</v>
      </c>
      <c r="AA430" s="3">
        <v>25</v>
      </c>
      <c r="AB430" s="3">
        <v>6</v>
      </c>
      <c r="AC430">
        <v>155</v>
      </c>
      <c r="AD430" s="9">
        <f t="shared" si="113"/>
        <v>9382.25</v>
      </c>
      <c r="AE430">
        <f t="shared" si="120"/>
        <v>2555730</v>
      </c>
      <c r="AF430" s="2">
        <f t="shared" si="124"/>
        <v>22.700000000000003</v>
      </c>
      <c r="AG430" t="str">
        <f t="shared" si="114"/>
        <v>156小时</v>
      </c>
      <c r="AH430">
        <f t="shared" si="115"/>
        <v>69</v>
      </c>
      <c r="AI430">
        <f t="shared" si="116"/>
        <v>12</v>
      </c>
      <c r="AJ430">
        <f t="shared" si="121"/>
        <v>42.6</v>
      </c>
      <c r="AK430">
        <f t="shared" si="117"/>
        <v>22</v>
      </c>
      <c r="AL430">
        <f t="shared" si="122"/>
        <v>22.700000000000003</v>
      </c>
      <c r="AM430" s="2">
        <f t="shared" si="118"/>
        <v>12</v>
      </c>
      <c r="AX430">
        <v>427</v>
      </c>
      <c r="AZ430" s="3"/>
      <c r="BB430" s="2">
        <f t="shared" si="119"/>
        <v>135</v>
      </c>
      <c r="BC430">
        <f t="shared" si="123"/>
        <v>8.0980788056779236</v>
      </c>
      <c r="BD430" s="2">
        <f t="shared" si="125"/>
        <v>42.6</v>
      </c>
      <c r="BE430">
        <f t="shared" si="126"/>
        <v>22.700000000000003</v>
      </c>
      <c r="BF430">
        <f t="shared" si="127"/>
        <v>130752.00000000003</v>
      </c>
    </row>
    <row r="431" spans="1:58" ht="14.25" x14ac:dyDescent="0.2">
      <c r="A431" s="11">
        <v>10348</v>
      </c>
      <c r="B431" s="13">
        <f t="shared" si="128"/>
        <v>8</v>
      </c>
      <c r="C431" s="15">
        <f t="shared" si="129"/>
        <v>6</v>
      </c>
      <c r="D431" s="14">
        <f t="shared" si="130"/>
        <v>7</v>
      </c>
      <c r="E431" t="s">
        <v>2777</v>
      </c>
      <c r="F431" t="s">
        <v>2836</v>
      </c>
      <c r="G431" t="s">
        <v>2779</v>
      </c>
      <c r="H431" t="s">
        <v>2779</v>
      </c>
      <c r="I431" t="s">
        <v>2780</v>
      </c>
      <c r="J431" s="4" t="s">
        <v>2838</v>
      </c>
      <c r="K431" t="s">
        <v>177</v>
      </c>
      <c r="L431" t="s">
        <v>163</v>
      </c>
      <c r="M431" t="s">
        <v>163</v>
      </c>
      <c r="N431" t="s">
        <v>163</v>
      </c>
      <c r="O431" s="6" t="s">
        <v>801</v>
      </c>
      <c r="P431">
        <v>0</v>
      </c>
      <c r="Q431" s="24">
        <v>34.5</v>
      </c>
      <c r="R431" s="25">
        <v>43.5</v>
      </c>
      <c r="S431" s="26">
        <v>36.5</v>
      </c>
      <c r="Y431">
        <v>10</v>
      </c>
      <c r="Z431">
        <v>30</v>
      </c>
      <c r="AA431" s="3">
        <v>25</v>
      </c>
      <c r="AB431" s="3">
        <v>6</v>
      </c>
      <c r="AC431">
        <v>155</v>
      </c>
      <c r="AD431" s="9">
        <f t="shared" si="113"/>
        <v>9382.25</v>
      </c>
      <c r="AE431">
        <f t="shared" si="120"/>
        <v>2555730</v>
      </c>
      <c r="AF431" s="2">
        <f t="shared" si="124"/>
        <v>22.700000000000003</v>
      </c>
      <c r="AG431" t="str">
        <f t="shared" si="114"/>
        <v>156小时</v>
      </c>
      <c r="AH431">
        <f t="shared" si="115"/>
        <v>69</v>
      </c>
      <c r="AI431">
        <f t="shared" si="116"/>
        <v>12</v>
      </c>
      <c r="AJ431">
        <f t="shared" si="121"/>
        <v>42.6</v>
      </c>
      <c r="AK431">
        <f t="shared" si="117"/>
        <v>22</v>
      </c>
      <c r="AL431">
        <f t="shared" si="122"/>
        <v>22.700000000000003</v>
      </c>
      <c r="AM431" s="2">
        <f t="shared" si="118"/>
        <v>12</v>
      </c>
      <c r="AX431">
        <v>428</v>
      </c>
      <c r="AZ431" s="3"/>
      <c r="BB431" s="2">
        <f t="shared" si="119"/>
        <v>135</v>
      </c>
      <c r="BC431">
        <f t="shared" si="123"/>
        <v>8.0980788056779236</v>
      </c>
      <c r="BD431" s="2">
        <f t="shared" si="125"/>
        <v>42.6</v>
      </c>
      <c r="BE431">
        <f t="shared" si="126"/>
        <v>22.700000000000003</v>
      </c>
      <c r="BF431">
        <f t="shared" si="127"/>
        <v>130752.00000000003</v>
      </c>
    </row>
    <row r="432" spans="1:58" ht="14.25" x14ac:dyDescent="0.2">
      <c r="A432" s="11">
        <v>10349</v>
      </c>
      <c r="B432" s="13">
        <f t="shared" si="128"/>
        <v>8</v>
      </c>
      <c r="C432" s="15">
        <f t="shared" si="129"/>
        <v>6</v>
      </c>
      <c r="D432" s="14">
        <f t="shared" si="130"/>
        <v>7</v>
      </c>
      <c r="E432" t="s">
        <v>2777</v>
      </c>
      <c r="F432" t="s">
        <v>2837</v>
      </c>
      <c r="G432" t="s">
        <v>2779</v>
      </c>
      <c r="H432" t="s">
        <v>2779</v>
      </c>
      <c r="I432" t="s">
        <v>2780</v>
      </c>
      <c r="J432" s="4" t="s">
        <v>2838</v>
      </c>
      <c r="K432" t="s">
        <v>174</v>
      </c>
      <c r="L432" t="s">
        <v>163</v>
      </c>
      <c r="M432" t="s">
        <v>163</v>
      </c>
      <c r="N432" t="s">
        <v>163</v>
      </c>
      <c r="O432" s="6" t="s">
        <v>803</v>
      </c>
      <c r="P432">
        <v>0</v>
      </c>
      <c r="Q432" s="24">
        <v>34.5</v>
      </c>
      <c r="R432" s="25">
        <v>43.5</v>
      </c>
      <c r="S432" s="26">
        <v>36.5</v>
      </c>
      <c r="Y432">
        <v>10</v>
      </c>
      <c r="Z432">
        <v>30</v>
      </c>
      <c r="AA432" s="3">
        <v>25</v>
      </c>
      <c r="AB432" s="3">
        <v>6</v>
      </c>
      <c r="AC432">
        <v>155</v>
      </c>
      <c r="AD432" s="9">
        <f t="shared" si="113"/>
        <v>9382.25</v>
      </c>
      <c r="AE432">
        <f t="shared" si="120"/>
        <v>2555730</v>
      </c>
      <c r="AF432" s="2">
        <f t="shared" si="124"/>
        <v>22.700000000000003</v>
      </c>
      <c r="AG432" t="str">
        <f t="shared" si="114"/>
        <v>156小时</v>
      </c>
      <c r="AH432">
        <f t="shared" si="115"/>
        <v>69</v>
      </c>
      <c r="AI432">
        <f t="shared" si="116"/>
        <v>12</v>
      </c>
      <c r="AJ432">
        <f t="shared" si="121"/>
        <v>42.6</v>
      </c>
      <c r="AK432">
        <f t="shared" si="117"/>
        <v>22</v>
      </c>
      <c r="AL432">
        <f t="shared" si="122"/>
        <v>22.700000000000003</v>
      </c>
      <c r="AM432" s="2">
        <f t="shared" si="118"/>
        <v>12</v>
      </c>
      <c r="AX432">
        <v>429</v>
      </c>
      <c r="AZ432" s="3"/>
      <c r="BB432" s="2">
        <f t="shared" si="119"/>
        <v>135</v>
      </c>
      <c r="BC432">
        <f t="shared" si="123"/>
        <v>8.0980788056779236</v>
      </c>
      <c r="BD432" s="2">
        <f t="shared" si="125"/>
        <v>42.6</v>
      </c>
      <c r="BE432">
        <f t="shared" si="126"/>
        <v>22.700000000000003</v>
      </c>
      <c r="BF432">
        <f t="shared" si="127"/>
        <v>130752.00000000003</v>
      </c>
    </row>
    <row r="433" spans="1:58" ht="14.25" x14ac:dyDescent="0.2">
      <c r="A433" s="11">
        <v>10350</v>
      </c>
      <c r="B433" s="13">
        <f t="shared" si="128"/>
        <v>8</v>
      </c>
      <c r="C433" s="15">
        <f t="shared" si="129"/>
        <v>6</v>
      </c>
      <c r="D433" s="14">
        <f t="shared" si="130"/>
        <v>7</v>
      </c>
      <c r="E433" t="s">
        <v>2785</v>
      </c>
      <c r="F433" t="s">
        <v>2786</v>
      </c>
      <c r="G433" t="s">
        <v>2828</v>
      </c>
      <c r="H433" t="s">
        <v>2829</v>
      </c>
      <c r="I433" t="s">
        <v>2697</v>
      </c>
      <c r="J433" s="4" t="s">
        <v>2876</v>
      </c>
      <c r="K433" t="s">
        <v>166</v>
      </c>
      <c r="L433" t="s">
        <v>163</v>
      </c>
      <c r="M433" t="s">
        <v>163</v>
      </c>
      <c r="N433" t="s">
        <v>163</v>
      </c>
      <c r="O433" s="6" t="s">
        <v>803</v>
      </c>
      <c r="P433">
        <v>0</v>
      </c>
      <c r="Q433" s="24">
        <v>34.5</v>
      </c>
      <c r="R433" s="25">
        <v>43.5</v>
      </c>
      <c r="S433" s="26">
        <v>36.5</v>
      </c>
      <c r="Y433">
        <v>10</v>
      </c>
      <c r="Z433">
        <v>30</v>
      </c>
      <c r="AA433" s="3">
        <v>25</v>
      </c>
      <c r="AB433" s="3">
        <v>6</v>
      </c>
      <c r="AC433">
        <v>155</v>
      </c>
      <c r="AD433" s="9">
        <f t="shared" si="113"/>
        <v>9382.25</v>
      </c>
      <c r="AE433">
        <f t="shared" si="120"/>
        <v>2555730</v>
      </c>
      <c r="AF433" s="2">
        <f t="shared" si="124"/>
        <v>22.700000000000003</v>
      </c>
      <c r="AG433" t="str">
        <f t="shared" si="114"/>
        <v>156小时</v>
      </c>
      <c r="AH433">
        <f t="shared" si="115"/>
        <v>69</v>
      </c>
      <c r="AI433">
        <f t="shared" si="116"/>
        <v>12</v>
      </c>
      <c r="AJ433">
        <f t="shared" si="121"/>
        <v>42.6</v>
      </c>
      <c r="AK433">
        <f t="shared" si="117"/>
        <v>22</v>
      </c>
      <c r="AL433">
        <f t="shared" si="122"/>
        <v>22.700000000000003</v>
      </c>
      <c r="AM433" s="2">
        <f t="shared" si="118"/>
        <v>12</v>
      </c>
      <c r="AX433">
        <v>430</v>
      </c>
      <c r="AZ433" s="3"/>
      <c r="BB433" s="2">
        <f t="shared" si="119"/>
        <v>140</v>
      </c>
      <c r="BC433">
        <f t="shared" si="123"/>
        <v>10.099118942731275</v>
      </c>
      <c r="BD433" s="2">
        <f t="shared" si="125"/>
        <v>42.6</v>
      </c>
      <c r="BE433">
        <f t="shared" si="126"/>
        <v>22.700000000000003</v>
      </c>
      <c r="BF433">
        <f t="shared" si="127"/>
        <v>130752.00000000003</v>
      </c>
    </row>
    <row r="434" spans="1:58" ht="14.25" x14ac:dyDescent="0.2">
      <c r="A434" s="11">
        <v>10401</v>
      </c>
      <c r="B434" s="13">
        <f t="shared" si="128"/>
        <v>8</v>
      </c>
      <c r="C434" s="15">
        <f t="shared" si="129"/>
        <v>6</v>
      </c>
      <c r="D434" s="14">
        <f t="shared" si="130"/>
        <v>7</v>
      </c>
      <c r="E434" t="s">
        <v>2777</v>
      </c>
      <c r="F434" t="s">
        <v>2834</v>
      </c>
      <c r="G434" t="s">
        <v>2779</v>
      </c>
      <c r="H434" t="s">
        <v>2779</v>
      </c>
      <c r="I434" t="s">
        <v>2780</v>
      </c>
      <c r="J434" s="4" t="s">
        <v>2838</v>
      </c>
      <c r="K434" t="s">
        <v>168</v>
      </c>
      <c r="L434" t="s">
        <v>163</v>
      </c>
      <c r="M434" t="s">
        <v>163</v>
      </c>
      <c r="N434" t="s">
        <v>163</v>
      </c>
      <c r="O434" s="6" t="s">
        <v>805</v>
      </c>
      <c r="P434">
        <v>0</v>
      </c>
      <c r="Q434" s="24">
        <v>34.799999999999997</v>
      </c>
      <c r="R434" s="25">
        <v>44</v>
      </c>
      <c r="S434" s="26">
        <v>36.799999999999997</v>
      </c>
      <c r="Y434">
        <v>10</v>
      </c>
      <c r="Z434">
        <v>30</v>
      </c>
      <c r="AA434" s="3">
        <v>25</v>
      </c>
      <c r="AB434" s="3">
        <v>6</v>
      </c>
      <c r="AC434">
        <v>155</v>
      </c>
      <c r="AD434" s="9">
        <f t="shared" si="113"/>
        <v>9259.8333333333339</v>
      </c>
      <c r="AE434">
        <f t="shared" si="120"/>
        <v>2555730</v>
      </c>
      <c r="AF434" s="2">
        <f t="shared" si="124"/>
        <v>23</v>
      </c>
      <c r="AG434" t="str">
        <f t="shared" si="114"/>
        <v>154小时</v>
      </c>
      <c r="AH434">
        <f t="shared" si="115"/>
        <v>69</v>
      </c>
      <c r="AI434">
        <f t="shared" si="116"/>
        <v>12</v>
      </c>
      <c r="AJ434">
        <f t="shared" si="121"/>
        <v>43</v>
      </c>
      <c r="AK434">
        <f t="shared" si="117"/>
        <v>22</v>
      </c>
      <c r="AL434">
        <f t="shared" si="122"/>
        <v>23</v>
      </c>
      <c r="AM434" s="2">
        <f t="shared" si="118"/>
        <v>12</v>
      </c>
      <c r="AX434">
        <v>431</v>
      </c>
      <c r="AZ434" s="3"/>
      <c r="BB434" s="2">
        <f t="shared" si="119"/>
        <v>140</v>
      </c>
      <c r="BC434">
        <f t="shared" si="123"/>
        <v>9.9673913043478262</v>
      </c>
      <c r="BD434" s="2">
        <f t="shared" si="125"/>
        <v>43</v>
      </c>
      <c r="BE434">
        <f t="shared" si="126"/>
        <v>23</v>
      </c>
      <c r="BF434">
        <f t="shared" si="127"/>
        <v>132480</v>
      </c>
    </row>
    <row r="435" spans="1:58" ht="14.25" x14ac:dyDescent="0.2">
      <c r="A435" s="11">
        <v>10402</v>
      </c>
      <c r="B435" s="13">
        <f t="shared" si="128"/>
        <v>8</v>
      </c>
      <c r="C435" s="15">
        <f t="shared" si="129"/>
        <v>6</v>
      </c>
      <c r="D435" s="14">
        <f t="shared" si="130"/>
        <v>7</v>
      </c>
      <c r="E435" t="s">
        <v>2777</v>
      </c>
      <c r="F435" t="s">
        <v>2835</v>
      </c>
      <c r="G435" t="s">
        <v>2779</v>
      </c>
      <c r="H435" t="s">
        <v>2779</v>
      </c>
      <c r="I435" t="s">
        <v>2780</v>
      </c>
      <c r="J435" s="4" t="s">
        <v>2838</v>
      </c>
      <c r="K435" t="s">
        <v>175</v>
      </c>
      <c r="L435" t="s">
        <v>164</v>
      </c>
      <c r="M435" t="s">
        <v>163</v>
      </c>
      <c r="N435" t="s">
        <v>167</v>
      </c>
      <c r="O435" s="6" t="s">
        <v>807</v>
      </c>
      <c r="P435">
        <v>0</v>
      </c>
      <c r="Q435" s="24">
        <v>34.799999999999997</v>
      </c>
      <c r="R435" s="25">
        <v>44</v>
      </c>
      <c r="S435" s="26">
        <v>36.799999999999997</v>
      </c>
      <c r="Y435">
        <v>10</v>
      </c>
      <c r="Z435">
        <v>30</v>
      </c>
      <c r="AA435" s="3">
        <v>25</v>
      </c>
      <c r="AB435" s="3">
        <v>6</v>
      </c>
      <c r="AC435">
        <v>155</v>
      </c>
      <c r="AD435" s="9">
        <f t="shared" si="113"/>
        <v>9259.8333333333339</v>
      </c>
      <c r="AE435">
        <f t="shared" si="120"/>
        <v>2555730</v>
      </c>
      <c r="AF435" s="2">
        <f t="shared" si="124"/>
        <v>23</v>
      </c>
      <c r="AG435" t="str">
        <f t="shared" si="114"/>
        <v>154小时</v>
      </c>
      <c r="AH435">
        <f t="shared" si="115"/>
        <v>69</v>
      </c>
      <c r="AI435">
        <f t="shared" si="116"/>
        <v>12</v>
      </c>
      <c r="AJ435">
        <f t="shared" si="121"/>
        <v>43</v>
      </c>
      <c r="AK435">
        <f t="shared" si="117"/>
        <v>22</v>
      </c>
      <c r="AL435">
        <f t="shared" si="122"/>
        <v>23</v>
      </c>
      <c r="AM435" s="2">
        <f t="shared" si="118"/>
        <v>12</v>
      </c>
      <c r="AX435">
        <v>432</v>
      </c>
      <c r="AZ435" s="3"/>
      <c r="BB435" s="2">
        <f t="shared" si="119"/>
        <v>140</v>
      </c>
      <c r="BC435">
        <f t="shared" si="123"/>
        <v>9.9673913043478262</v>
      </c>
      <c r="BD435" s="2">
        <f t="shared" si="125"/>
        <v>43</v>
      </c>
      <c r="BE435">
        <f t="shared" si="126"/>
        <v>23</v>
      </c>
      <c r="BF435">
        <f t="shared" si="127"/>
        <v>132480</v>
      </c>
    </row>
    <row r="436" spans="1:58" ht="14.25" x14ac:dyDescent="0.2">
      <c r="A436" s="11">
        <v>10403</v>
      </c>
      <c r="B436" s="13">
        <f t="shared" si="128"/>
        <v>8</v>
      </c>
      <c r="C436" s="15">
        <f t="shared" si="129"/>
        <v>6</v>
      </c>
      <c r="D436" s="14">
        <f t="shared" si="130"/>
        <v>7</v>
      </c>
      <c r="E436" t="s">
        <v>2777</v>
      </c>
      <c r="F436" t="s">
        <v>2836</v>
      </c>
      <c r="G436" t="s">
        <v>2779</v>
      </c>
      <c r="H436" t="s">
        <v>2779</v>
      </c>
      <c r="I436" t="s">
        <v>2780</v>
      </c>
      <c r="J436" s="4" t="s">
        <v>2838</v>
      </c>
      <c r="K436" t="s">
        <v>179</v>
      </c>
      <c r="L436" t="s">
        <v>163</v>
      </c>
      <c r="M436" t="s">
        <v>163</v>
      </c>
      <c r="N436" t="s">
        <v>163</v>
      </c>
      <c r="O436" s="6" t="s">
        <v>809</v>
      </c>
      <c r="P436">
        <v>0</v>
      </c>
      <c r="Q436" s="24">
        <v>34.799999999999997</v>
      </c>
      <c r="R436" s="25">
        <v>44</v>
      </c>
      <c r="S436" s="26">
        <v>36.799999999999997</v>
      </c>
      <c r="Y436">
        <v>10</v>
      </c>
      <c r="Z436">
        <v>30</v>
      </c>
      <c r="AA436" s="3">
        <v>25</v>
      </c>
      <c r="AB436" s="3">
        <v>6</v>
      </c>
      <c r="AC436">
        <v>155</v>
      </c>
      <c r="AD436" s="9">
        <f t="shared" si="113"/>
        <v>9259.8333333333339</v>
      </c>
      <c r="AE436">
        <f t="shared" si="120"/>
        <v>2555730</v>
      </c>
      <c r="AF436" s="2">
        <f t="shared" si="124"/>
        <v>23</v>
      </c>
      <c r="AG436" t="str">
        <f t="shared" si="114"/>
        <v>154小时</v>
      </c>
      <c r="AH436">
        <f t="shared" si="115"/>
        <v>69</v>
      </c>
      <c r="AI436">
        <f t="shared" si="116"/>
        <v>12</v>
      </c>
      <c r="AJ436">
        <f t="shared" si="121"/>
        <v>43</v>
      </c>
      <c r="AK436">
        <f t="shared" si="117"/>
        <v>22</v>
      </c>
      <c r="AL436">
        <f t="shared" si="122"/>
        <v>23</v>
      </c>
      <c r="AM436" s="2">
        <f t="shared" si="118"/>
        <v>12</v>
      </c>
      <c r="AX436">
        <v>433</v>
      </c>
      <c r="AZ436" s="3"/>
      <c r="BB436" s="2">
        <f t="shared" si="119"/>
        <v>140</v>
      </c>
      <c r="BC436">
        <f t="shared" si="123"/>
        <v>9.9673913043478262</v>
      </c>
      <c r="BD436" s="2">
        <f t="shared" si="125"/>
        <v>43</v>
      </c>
      <c r="BE436">
        <f t="shared" si="126"/>
        <v>23</v>
      </c>
      <c r="BF436">
        <f t="shared" si="127"/>
        <v>132480</v>
      </c>
    </row>
    <row r="437" spans="1:58" ht="14.25" x14ac:dyDescent="0.2">
      <c r="A437" s="11">
        <v>10404</v>
      </c>
      <c r="B437" s="13">
        <f t="shared" si="128"/>
        <v>8</v>
      </c>
      <c r="C437" s="15">
        <f t="shared" si="129"/>
        <v>6</v>
      </c>
      <c r="D437" s="14">
        <f t="shared" si="130"/>
        <v>7</v>
      </c>
      <c r="E437" t="s">
        <v>2777</v>
      </c>
      <c r="F437" t="s">
        <v>2837</v>
      </c>
      <c r="G437" t="s">
        <v>2779</v>
      </c>
      <c r="H437" t="s">
        <v>2779</v>
      </c>
      <c r="I437" t="s">
        <v>2780</v>
      </c>
      <c r="J437" s="4" t="s">
        <v>2838</v>
      </c>
      <c r="K437" t="s">
        <v>177</v>
      </c>
      <c r="L437" t="s">
        <v>163</v>
      </c>
      <c r="M437" t="s">
        <v>163</v>
      </c>
      <c r="N437" t="s">
        <v>163</v>
      </c>
      <c r="O437" s="6" t="s">
        <v>809</v>
      </c>
      <c r="P437">
        <v>0</v>
      </c>
      <c r="Q437" s="24">
        <v>34.799999999999997</v>
      </c>
      <c r="R437" s="25">
        <v>44</v>
      </c>
      <c r="S437" s="26">
        <v>36.799999999999997</v>
      </c>
      <c r="Y437">
        <v>10</v>
      </c>
      <c r="Z437">
        <v>30</v>
      </c>
      <c r="AA437" s="3">
        <v>25</v>
      </c>
      <c r="AB437" s="3">
        <v>6</v>
      </c>
      <c r="AC437">
        <v>155</v>
      </c>
      <c r="AD437" s="9">
        <f t="shared" si="113"/>
        <v>9259.8333333333339</v>
      </c>
      <c r="AE437">
        <f t="shared" si="120"/>
        <v>2555730</v>
      </c>
      <c r="AF437" s="2">
        <f t="shared" si="124"/>
        <v>23</v>
      </c>
      <c r="AG437" t="str">
        <f t="shared" si="114"/>
        <v>154小时</v>
      </c>
      <c r="AH437">
        <f t="shared" si="115"/>
        <v>69</v>
      </c>
      <c r="AI437">
        <f t="shared" si="116"/>
        <v>12</v>
      </c>
      <c r="AJ437">
        <f t="shared" si="121"/>
        <v>43</v>
      </c>
      <c r="AK437">
        <f t="shared" si="117"/>
        <v>22</v>
      </c>
      <c r="AL437">
        <f t="shared" si="122"/>
        <v>23</v>
      </c>
      <c r="AM437" s="2">
        <f t="shared" si="118"/>
        <v>12</v>
      </c>
      <c r="AX437">
        <v>434</v>
      </c>
      <c r="AZ437" s="3"/>
      <c r="BB437" s="2">
        <f t="shared" si="119"/>
        <v>140</v>
      </c>
      <c r="BC437">
        <f t="shared" si="123"/>
        <v>9.9673913043478262</v>
      </c>
      <c r="BD437" s="2">
        <f t="shared" si="125"/>
        <v>43</v>
      </c>
      <c r="BE437">
        <f t="shared" si="126"/>
        <v>23</v>
      </c>
      <c r="BF437">
        <f t="shared" si="127"/>
        <v>132480</v>
      </c>
    </row>
    <row r="438" spans="1:58" ht="14.25" x14ac:dyDescent="0.2">
      <c r="A438" s="11">
        <v>10405</v>
      </c>
      <c r="B438" s="13">
        <f t="shared" si="128"/>
        <v>8</v>
      </c>
      <c r="C438" s="15">
        <f t="shared" si="129"/>
        <v>6</v>
      </c>
      <c r="D438" s="14">
        <f t="shared" si="130"/>
        <v>7</v>
      </c>
      <c r="E438" t="s">
        <v>2785</v>
      </c>
      <c r="F438" t="s">
        <v>2786</v>
      </c>
      <c r="G438" t="s">
        <v>2830</v>
      </c>
      <c r="H438" t="s">
        <v>2829</v>
      </c>
      <c r="I438" t="s">
        <v>2697</v>
      </c>
      <c r="J438" s="4" t="s">
        <v>2858</v>
      </c>
      <c r="K438" t="s">
        <v>174</v>
      </c>
      <c r="L438" t="s">
        <v>163</v>
      </c>
      <c r="M438" t="s">
        <v>163</v>
      </c>
      <c r="N438" t="s">
        <v>163</v>
      </c>
      <c r="O438" s="6" t="s">
        <v>811</v>
      </c>
      <c r="P438">
        <v>0</v>
      </c>
      <c r="Q438" s="24">
        <v>34.799999999999997</v>
      </c>
      <c r="R438" s="25">
        <v>44</v>
      </c>
      <c r="S438" s="26">
        <v>36.799999999999997</v>
      </c>
      <c r="Y438">
        <v>10</v>
      </c>
      <c r="Z438">
        <v>30</v>
      </c>
      <c r="AA438" s="3">
        <v>25</v>
      </c>
      <c r="AB438" s="3">
        <v>6</v>
      </c>
      <c r="AC438">
        <v>155</v>
      </c>
      <c r="AD438" s="9">
        <f t="shared" si="113"/>
        <v>9259.8333333333339</v>
      </c>
      <c r="AE438">
        <f t="shared" si="120"/>
        <v>2555730</v>
      </c>
      <c r="AF438" s="2">
        <f t="shared" si="124"/>
        <v>23</v>
      </c>
      <c r="AG438" t="str">
        <f t="shared" si="114"/>
        <v>154小时</v>
      </c>
      <c r="AH438">
        <f t="shared" si="115"/>
        <v>69</v>
      </c>
      <c r="AI438">
        <f t="shared" si="116"/>
        <v>12</v>
      </c>
      <c r="AJ438">
        <f t="shared" si="121"/>
        <v>43</v>
      </c>
      <c r="AK438">
        <f t="shared" si="117"/>
        <v>22</v>
      </c>
      <c r="AL438">
        <f t="shared" si="122"/>
        <v>23</v>
      </c>
      <c r="AM438" s="2">
        <f t="shared" si="118"/>
        <v>12</v>
      </c>
      <c r="AX438">
        <v>435</v>
      </c>
      <c r="AZ438" s="3"/>
      <c r="BB438" s="2">
        <f t="shared" si="119"/>
        <v>140</v>
      </c>
      <c r="BC438">
        <f t="shared" si="123"/>
        <v>9.9673913043478262</v>
      </c>
      <c r="BD438" s="2">
        <f t="shared" si="125"/>
        <v>43</v>
      </c>
      <c r="BE438">
        <f t="shared" si="126"/>
        <v>23</v>
      </c>
      <c r="BF438">
        <f t="shared" si="127"/>
        <v>132480</v>
      </c>
    </row>
    <row r="439" spans="1:58" ht="14.25" x14ac:dyDescent="0.2">
      <c r="A439" s="11">
        <v>10406</v>
      </c>
      <c r="B439" s="13">
        <f t="shared" si="128"/>
        <v>8</v>
      </c>
      <c r="C439" s="15">
        <f t="shared" si="129"/>
        <v>6</v>
      </c>
      <c r="D439" s="14">
        <f t="shared" si="130"/>
        <v>7</v>
      </c>
      <c r="E439" t="s">
        <v>2777</v>
      </c>
      <c r="F439" t="s">
        <v>2834</v>
      </c>
      <c r="G439" t="s">
        <v>2779</v>
      </c>
      <c r="H439" t="s">
        <v>2779</v>
      </c>
      <c r="I439" t="s">
        <v>2780</v>
      </c>
      <c r="J439" s="4" t="s">
        <v>2838</v>
      </c>
      <c r="K439" t="s">
        <v>182</v>
      </c>
      <c r="L439" t="s">
        <v>163</v>
      </c>
      <c r="M439" t="s">
        <v>163</v>
      </c>
      <c r="N439" t="s">
        <v>163</v>
      </c>
      <c r="O439" s="6" t="s">
        <v>813</v>
      </c>
      <c r="P439">
        <v>0</v>
      </c>
      <c r="Q439" s="24">
        <v>35.200000000000003</v>
      </c>
      <c r="R439" s="25">
        <v>44.5</v>
      </c>
      <c r="S439" s="26">
        <v>37</v>
      </c>
      <c r="Y439">
        <v>10</v>
      </c>
      <c r="Z439">
        <v>30</v>
      </c>
      <c r="AA439" s="3">
        <v>25</v>
      </c>
      <c r="AB439" s="3">
        <v>6</v>
      </c>
      <c r="AC439">
        <v>155</v>
      </c>
      <c r="AD439" s="9">
        <f t="shared" si="113"/>
        <v>9180</v>
      </c>
      <c r="AE439">
        <f t="shared" si="120"/>
        <v>2555730</v>
      </c>
      <c r="AF439" s="2">
        <f t="shared" si="124"/>
        <v>23.200000000000003</v>
      </c>
      <c r="AG439" t="str">
        <f t="shared" si="114"/>
        <v>153小时</v>
      </c>
      <c r="AH439">
        <f t="shared" si="115"/>
        <v>70</v>
      </c>
      <c r="AI439">
        <f t="shared" si="116"/>
        <v>12</v>
      </c>
      <c r="AJ439">
        <f t="shared" si="121"/>
        <v>43.3</v>
      </c>
      <c r="AK439">
        <f t="shared" si="117"/>
        <v>22</v>
      </c>
      <c r="AL439">
        <f t="shared" si="122"/>
        <v>23.200000000000003</v>
      </c>
      <c r="AM439" s="2">
        <f t="shared" si="118"/>
        <v>12</v>
      </c>
      <c r="AX439">
        <v>436</v>
      </c>
      <c r="AZ439" s="3"/>
      <c r="BB439" s="2">
        <f t="shared" si="119"/>
        <v>140</v>
      </c>
      <c r="BC439">
        <f t="shared" si="123"/>
        <v>9.8814655172413772</v>
      </c>
      <c r="BD439" s="2">
        <f t="shared" si="125"/>
        <v>43.3</v>
      </c>
      <c r="BE439">
        <f t="shared" si="126"/>
        <v>23.200000000000003</v>
      </c>
      <c r="BF439">
        <f t="shared" si="127"/>
        <v>133632.00000000003</v>
      </c>
    </row>
    <row r="440" spans="1:58" ht="14.25" x14ac:dyDescent="0.2">
      <c r="A440" s="11">
        <v>10407</v>
      </c>
      <c r="B440" s="13">
        <f t="shared" si="128"/>
        <v>8</v>
      </c>
      <c r="C440" s="15">
        <f t="shared" si="129"/>
        <v>6</v>
      </c>
      <c r="D440" s="14">
        <f t="shared" si="130"/>
        <v>7</v>
      </c>
      <c r="E440" t="s">
        <v>2777</v>
      </c>
      <c r="F440" t="s">
        <v>2835</v>
      </c>
      <c r="G440" t="s">
        <v>2779</v>
      </c>
      <c r="H440" t="s">
        <v>2779</v>
      </c>
      <c r="I440" t="s">
        <v>2780</v>
      </c>
      <c r="J440" s="4" t="s">
        <v>2838</v>
      </c>
      <c r="K440" t="s">
        <v>162</v>
      </c>
      <c r="L440" t="s">
        <v>163</v>
      </c>
      <c r="M440" t="s">
        <v>163</v>
      </c>
      <c r="N440" t="s">
        <v>163</v>
      </c>
      <c r="O440" s="6" t="s">
        <v>813</v>
      </c>
      <c r="P440">
        <v>0</v>
      </c>
      <c r="Q440" s="24">
        <v>35.200000000000003</v>
      </c>
      <c r="R440" s="25">
        <v>44.5</v>
      </c>
      <c r="S440" s="26">
        <v>37</v>
      </c>
      <c r="Y440">
        <v>10</v>
      </c>
      <c r="Z440">
        <v>30</v>
      </c>
      <c r="AA440" s="3">
        <v>25</v>
      </c>
      <c r="AB440" s="3">
        <v>6</v>
      </c>
      <c r="AC440">
        <v>155</v>
      </c>
      <c r="AD440" s="9">
        <f t="shared" si="113"/>
        <v>9180</v>
      </c>
      <c r="AE440">
        <f t="shared" si="120"/>
        <v>2555730</v>
      </c>
      <c r="AF440" s="2">
        <f t="shared" si="124"/>
        <v>23.200000000000003</v>
      </c>
      <c r="AG440" t="str">
        <f t="shared" si="114"/>
        <v>153小时</v>
      </c>
      <c r="AH440">
        <f t="shared" si="115"/>
        <v>70</v>
      </c>
      <c r="AI440">
        <f t="shared" si="116"/>
        <v>12</v>
      </c>
      <c r="AJ440">
        <f t="shared" si="121"/>
        <v>43.3</v>
      </c>
      <c r="AK440">
        <f t="shared" si="117"/>
        <v>22</v>
      </c>
      <c r="AL440">
        <f t="shared" si="122"/>
        <v>23.200000000000003</v>
      </c>
      <c r="AM440" s="2">
        <f t="shared" si="118"/>
        <v>12</v>
      </c>
      <c r="AX440">
        <v>437</v>
      </c>
      <c r="AZ440" s="3"/>
      <c r="BB440" s="2">
        <f t="shared" si="119"/>
        <v>140</v>
      </c>
      <c r="BC440">
        <f t="shared" si="123"/>
        <v>9.8814655172413772</v>
      </c>
      <c r="BD440" s="2">
        <f t="shared" si="125"/>
        <v>43.3</v>
      </c>
      <c r="BE440">
        <f t="shared" si="126"/>
        <v>23.200000000000003</v>
      </c>
      <c r="BF440">
        <f t="shared" si="127"/>
        <v>133632.00000000003</v>
      </c>
    </row>
    <row r="441" spans="1:58" ht="14.25" x14ac:dyDescent="0.2">
      <c r="A441" s="11">
        <v>10408</v>
      </c>
      <c r="B441" s="13">
        <f t="shared" si="128"/>
        <v>8</v>
      </c>
      <c r="C441" s="15">
        <f t="shared" si="129"/>
        <v>7</v>
      </c>
      <c r="D441" s="14">
        <f t="shared" si="130"/>
        <v>7</v>
      </c>
      <c r="E441" t="s">
        <v>2777</v>
      </c>
      <c r="F441" t="s">
        <v>2836</v>
      </c>
      <c r="G441" t="s">
        <v>2779</v>
      </c>
      <c r="H441" t="s">
        <v>2779</v>
      </c>
      <c r="I441" t="s">
        <v>2780</v>
      </c>
      <c r="J441" s="4" t="s">
        <v>2838</v>
      </c>
      <c r="K441" t="s">
        <v>177</v>
      </c>
      <c r="L441" t="s">
        <v>163</v>
      </c>
      <c r="M441" t="s">
        <v>163</v>
      </c>
      <c r="N441" t="s">
        <v>163</v>
      </c>
      <c r="O441" s="6" t="s">
        <v>815</v>
      </c>
      <c r="P441">
        <v>0</v>
      </c>
      <c r="Q441" s="24">
        <v>35.200000000000003</v>
      </c>
      <c r="R441" s="25">
        <v>44.5</v>
      </c>
      <c r="S441" s="26">
        <v>37</v>
      </c>
      <c r="Y441">
        <v>10</v>
      </c>
      <c r="Z441">
        <v>30</v>
      </c>
      <c r="AA441" s="3">
        <v>25</v>
      </c>
      <c r="AB441" s="3">
        <v>6</v>
      </c>
      <c r="AC441">
        <v>155</v>
      </c>
      <c r="AD441" s="9">
        <f t="shared" si="113"/>
        <v>9180</v>
      </c>
      <c r="AE441">
        <f t="shared" si="120"/>
        <v>2555730</v>
      </c>
      <c r="AF441" s="2">
        <f t="shared" si="124"/>
        <v>23.200000000000003</v>
      </c>
      <c r="AG441" t="str">
        <f t="shared" si="114"/>
        <v>153小时</v>
      </c>
      <c r="AH441">
        <f t="shared" si="115"/>
        <v>70</v>
      </c>
      <c r="AI441">
        <f t="shared" si="116"/>
        <v>12</v>
      </c>
      <c r="AJ441">
        <f t="shared" si="121"/>
        <v>43.3</v>
      </c>
      <c r="AK441">
        <f t="shared" si="117"/>
        <v>22</v>
      </c>
      <c r="AL441">
        <f t="shared" si="122"/>
        <v>23.200000000000003</v>
      </c>
      <c r="AM441" s="2">
        <f t="shared" si="118"/>
        <v>12</v>
      </c>
      <c r="AX441">
        <v>438</v>
      </c>
      <c r="AZ441" s="3"/>
      <c r="BB441" s="2">
        <f t="shared" si="119"/>
        <v>140</v>
      </c>
      <c r="BC441">
        <f t="shared" si="123"/>
        <v>9.8814655172413772</v>
      </c>
      <c r="BD441" s="2">
        <f t="shared" si="125"/>
        <v>43.3</v>
      </c>
      <c r="BE441">
        <f t="shared" si="126"/>
        <v>23.200000000000003</v>
      </c>
      <c r="BF441">
        <f t="shared" si="127"/>
        <v>133632.00000000003</v>
      </c>
    </row>
    <row r="442" spans="1:58" ht="14.25" x14ac:dyDescent="0.2">
      <c r="A442" s="11">
        <v>10409</v>
      </c>
      <c r="B442" s="13">
        <f t="shared" si="128"/>
        <v>8</v>
      </c>
      <c r="C442" s="15">
        <f t="shared" si="129"/>
        <v>7</v>
      </c>
      <c r="D442" s="14">
        <f t="shared" si="130"/>
        <v>7</v>
      </c>
      <c r="E442" t="s">
        <v>2777</v>
      </c>
      <c r="F442" t="s">
        <v>2837</v>
      </c>
      <c r="G442" t="s">
        <v>2779</v>
      </c>
      <c r="H442" t="s">
        <v>2779</v>
      </c>
      <c r="I442" t="s">
        <v>2780</v>
      </c>
      <c r="J442" s="4" t="s">
        <v>2838</v>
      </c>
      <c r="K442" t="s">
        <v>174</v>
      </c>
      <c r="L442" t="s">
        <v>163</v>
      </c>
      <c r="M442" t="s">
        <v>163</v>
      </c>
      <c r="N442" t="s">
        <v>163</v>
      </c>
      <c r="O442" s="6" t="s">
        <v>817</v>
      </c>
      <c r="P442">
        <v>0</v>
      </c>
      <c r="Q442" s="24">
        <v>35.200000000000003</v>
      </c>
      <c r="R442" s="25">
        <v>44.5</v>
      </c>
      <c r="S442" s="26">
        <v>37</v>
      </c>
      <c r="Y442">
        <v>10</v>
      </c>
      <c r="Z442">
        <v>30</v>
      </c>
      <c r="AA442" s="3">
        <v>25</v>
      </c>
      <c r="AB442" s="3">
        <v>6</v>
      </c>
      <c r="AC442">
        <v>155</v>
      </c>
      <c r="AD442" s="9">
        <f t="shared" si="113"/>
        <v>9180</v>
      </c>
      <c r="AE442">
        <f t="shared" si="120"/>
        <v>2555730</v>
      </c>
      <c r="AF442" s="2">
        <f t="shared" si="124"/>
        <v>23.200000000000003</v>
      </c>
      <c r="AG442" t="str">
        <f t="shared" si="114"/>
        <v>153小时</v>
      </c>
      <c r="AH442">
        <f t="shared" si="115"/>
        <v>70</v>
      </c>
      <c r="AI442">
        <f t="shared" si="116"/>
        <v>12</v>
      </c>
      <c r="AJ442">
        <f t="shared" si="121"/>
        <v>43.3</v>
      </c>
      <c r="AK442">
        <f t="shared" si="117"/>
        <v>22</v>
      </c>
      <c r="AL442">
        <f t="shared" si="122"/>
        <v>23.200000000000003</v>
      </c>
      <c r="AM442" s="2">
        <f t="shared" si="118"/>
        <v>12</v>
      </c>
      <c r="AX442">
        <v>439</v>
      </c>
      <c r="AZ442" s="3"/>
      <c r="BB442" s="2">
        <f t="shared" si="119"/>
        <v>140</v>
      </c>
      <c r="BC442">
        <f t="shared" si="123"/>
        <v>9.8814655172413772</v>
      </c>
      <c r="BD442" s="2">
        <f t="shared" si="125"/>
        <v>43.3</v>
      </c>
      <c r="BE442">
        <f t="shared" si="126"/>
        <v>23.200000000000003</v>
      </c>
      <c r="BF442">
        <f t="shared" si="127"/>
        <v>133632.00000000003</v>
      </c>
    </row>
    <row r="443" spans="1:58" ht="14.25" x14ac:dyDescent="0.2">
      <c r="A443" s="11">
        <v>10410</v>
      </c>
      <c r="B443" s="13">
        <f t="shared" si="128"/>
        <v>8</v>
      </c>
      <c r="C443" s="15">
        <f t="shared" si="129"/>
        <v>7</v>
      </c>
      <c r="D443" s="14">
        <f t="shared" si="130"/>
        <v>7</v>
      </c>
      <c r="E443" t="s">
        <v>2785</v>
      </c>
      <c r="F443" t="s">
        <v>2786</v>
      </c>
      <c r="G443" t="s">
        <v>2831</v>
      </c>
      <c r="H443" t="s">
        <v>2829</v>
      </c>
      <c r="I443" t="s">
        <v>2697</v>
      </c>
      <c r="J443" s="4" t="s">
        <v>2858</v>
      </c>
      <c r="K443" t="s">
        <v>166</v>
      </c>
      <c r="L443" t="s">
        <v>163</v>
      </c>
      <c r="M443" t="s">
        <v>163</v>
      </c>
      <c r="N443" t="s">
        <v>163</v>
      </c>
      <c r="O443" s="6" t="s">
        <v>817</v>
      </c>
      <c r="P443">
        <v>0</v>
      </c>
      <c r="Q443" s="24">
        <v>35.200000000000003</v>
      </c>
      <c r="R443" s="25">
        <v>44.5</v>
      </c>
      <c r="S443" s="26">
        <v>37</v>
      </c>
      <c r="Y443">
        <v>10</v>
      </c>
      <c r="Z443">
        <v>30</v>
      </c>
      <c r="AA443" s="3">
        <v>25</v>
      </c>
      <c r="AB443" s="3">
        <v>6</v>
      </c>
      <c r="AC443">
        <v>155</v>
      </c>
      <c r="AD443" s="9">
        <f t="shared" si="113"/>
        <v>9180</v>
      </c>
      <c r="AE443">
        <f t="shared" si="120"/>
        <v>2555730</v>
      </c>
      <c r="AF443" s="2">
        <f t="shared" si="124"/>
        <v>23.200000000000003</v>
      </c>
      <c r="AG443" t="str">
        <f t="shared" si="114"/>
        <v>153小时</v>
      </c>
      <c r="AH443">
        <f t="shared" si="115"/>
        <v>70</v>
      </c>
      <c r="AI443">
        <f t="shared" si="116"/>
        <v>12</v>
      </c>
      <c r="AJ443">
        <f t="shared" si="121"/>
        <v>43.3</v>
      </c>
      <c r="AK443">
        <f t="shared" si="117"/>
        <v>22</v>
      </c>
      <c r="AL443">
        <f t="shared" si="122"/>
        <v>23.200000000000003</v>
      </c>
      <c r="AM443" s="2">
        <f t="shared" si="118"/>
        <v>12</v>
      </c>
      <c r="AX443">
        <v>440</v>
      </c>
      <c r="AZ443" s="3"/>
      <c r="BB443" s="2">
        <f t="shared" si="119"/>
        <v>140</v>
      </c>
      <c r="BC443">
        <f t="shared" si="123"/>
        <v>9.8814655172413772</v>
      </c>
      <c r="BD443" s="2">
        <f t="shared" si="125"/>
        <v>43.3</v>
      </c>
      <c r="BE443">
        <f t="shared" si="126"/>
        <v>23.200000000000003</v>
      </c>
      <c r="BF443">
        <f t="shared" si="127"/>
        <v>133632.00000000003</v>
      </c>
    </row>
    <row r="444" spans="1:58" ht="14.25" x14ac:dyDescent="0.2">
      <c r="A444" s="11">
        <v>10411</v>
      </c>
      <c r="B444" s="13">
        <f t="shared" si="128"/>
        <v>8</v>
      </c>
      <c r="C444" s="15">
        <f t="shared" si="129"/>
        <v>7</v>
      </c>
      <c r="D444" s="14">
        <f t="shared" si="130"/>
        <v>7</v>
      </c>
      <c r="E444" t="s">
        <v>2777</v>
      </c>
      <c r="F444" t="s">
        <v>2834</v>
      </c>
      <c r="G444" t="s">
        <v>2779</v>
      </c>
      <c r="H444" t="s">
        <v>2779</v>
      </c>
      <c r="I444" t="s">
        <v>2780</v>
      </c>
      <c r="J444" s="4" t="s">
        <v>2838</v>
      </c>
      <c r="K444" t="s">
        <v>168</v>
      </c>
      <c r="L444" t="s">
        <v>163</v>
      </c>
      <c r="M444" t="s">
        <v>163</v>
      </c>
      <c r="N444" t="s">
        <v>163</v>
      </c>
      <c r="O444" s="6" t="s">
        <v>819</v>
      </c>
      <c r="P444">
        <v>0</v>
      </c>
      <c r="Q444" s="24">
        <v>35.5</v>
      </c>
      <c r="R444" s="25">
        <v>45</v>
      </c>
      <c r="S444" s="26">
        <v>37.299999999999997</v>
      </c>
      <c r="Y444">
        <v>10</v>
      </c>
      <c r="Z444">
        <v>30</v>
      </c>
      <c r="AA444" s="3">
        <v>25</v>
      </c>
      <c r="AB444" s="3">
        <v>6</v>
      </c>
      <c r="AC444">
        <v>155</v>
      </c>
      <c r="AD444" s="9">
        <f t="shared" si="113"/>
        <v>9062.8333333333321</v>
      </c>
      <c r="AE444">
        <f t="shared" si="120"/>
        <v>2555730</v>
      </c>
      <c r="AF444" s="2">
        <f t="shared" si="124"/>
        <v>23.5</v>
      </c>
      <c r="AG444" t="str">
        <f t="shared" si="114"/>
        <v>151小时</v>
      </c>
      <c r="AH444">
        <f t="shared" si="115"/>
        <v>71</v>
      </c>
      <c r="AI444">
        <f t="shared" si="116"/>
        <v>12</v>
      </c>
      <c r="AJ444">
        <f t="shared" si="121"/>
        <v>43.800000000000004</v>
      </c>
      <c r="AK444">
        <f t="shared" si="117"/>
        <v>22</v>
      </c>
      <c r="AL444">
        <f t="shared" si="122"/>
        <v>23.5</v>
      </c>
      <c r="AM444" s="2">
        <f t="shared" si="118"/>
        <v>12</v>
      </c>
      <c r="AX444">
        <v>441</v>
      </c>
      <c r="AZ444" s="3"/>
      <c r="BB444" s="2">
        <f t="shared" si="119"/>
        <v>140</v>
      </c>
      <c r="BC444">
        <f t="shared" si="123"/>
        <v>9.7553191489361701</v>
      </c>
      <c r="BD444" s="2">
        <f t="shared" si="125"/>
        <v>43.800000000000004</v>
      </c>
      <c r="BE444">
        <f t="shared" si="126"/>
        <v>23.5</v>
      </c>
      <c r="BF444">
        <f t="shared" si="127"/>
        <v>135360</v>
      </c>
    </row>
    <row r="445" spans="1:58" ht="14.25" x14ac:dyDescent="0.2">
      <c r="A445" s="11">
        <v>10412</v>
      </c>
      <c r="B445" s="13">
        <f t="shared" si="128"/>
        <v>8</v>
      </c>
      <c r="C445" s="15">
        <f t="shared" si="129"/>
        <v>7</v>
      </c>
      <c r="D445" s="14">
        <f t="shared" si="130"/>
        <v>7</v>
      </c>
      <c r="E445" t="s">
        <v>2777</v>
      </c>
      <c r="F445" t="s">
        <v>2835</v>
      </c>
      <c r="G445" t="s">
        <v>2779</v>
      </c>
      <c r="H445" t="s">
        <v>2779</v>
      </c>
      <c r="I445" t="s">
        <v>2780</v>
      </c>
      <c r="J445" s="4" t="s">
        <v>2838</v>
      </c>
      <c r="K445" t="s">
        <v>175</v>
      </c>
      <c r="L445" t="s">
        <v>164</v>
      </c>
      <c r="M445" t="s">
        <v>163</v>
      </c>
      <c r="N445" t="s">
        <v>167</v>
      </c>
      <c r="O445" s="6" t="s">
        <v>821</v>
      </c>
      <c r="P445">
        <v>0</v>
      </c>
      <c r="Q445" s="24">
        <v>35.5</v>
      </c>
      <c r="R445" s="25">
        <v>45</v>
      </c>
      <c r="S445" s="26">
        <v>37.299999999999997</v>
      </c>
      <c r="Y445">
        <v>10</v>
      </c>
      <c r="Z445">
        <v>30</v>
      </c>
      <c r="AA445" s="3">
        <v>25</v>
      </c>
      <c r="AB445" s="3">
        <v>6</v>
      </c>
      <c r="AC445">
        <v>155</v>
      </c>
      <c r="AD445" s="9">
        <f t="shared" si="113"/>
        <v>9062.8333333333321</v>
      </c>
      <c r="AE445">
        <f t="shared" si="120"/>
        <v>2555730</v>
      </c>
      <c r="AF445" s="2">
        <f t="shared" si="124"/>
        <v>23.5</v>
      </c>
      <c r="AG445" t="str">
        <f t="shared" si="114"/>
        <v>151小时</v>
      </c>
      <c r="AH445">
        <f t="shared" si="115"/>
        <v>71</v>
      </c>
      <c r="AI445">
        <f t="shared" si="116"/>
        <v>12</v>
      </c>
      <c r="AJ445">
        <f t="shared" si="121"/>
        <v>43.800000000000004</v>
      </c>
      <c r="AK445">
        <f t="shared" si="117"/>
        <v>22</v>
      </c>
      <c r="AL445">
        <f t="shared" si="122"/>
        <v>23.5</v>
      </c>
      <c r="AM445" s="2">
        <f t="shared" si="118"/>
        <v>12</v>
      </c>
      <c r="AX445">
        <v>442</v>
      </c>
      <c r="AZ445" s="3"/>
      <c r="BB445" s="2">
        <f t="shared" si="119"/>
        <v>140</v>
      </c>
      <c r="BC445">
        <f t="shared" si="123"/>
        <v>9.7553191489361701</v>
      </c>
      <c r="BD445" s="2">
        <f t="shared" si="125"/>
        <v>43.800000000000004</v>
      </c>
      <c r="BE445">
        <f t="shared" si="126"/>
        <v>23.5</v>
      </c>
      <c r="BF445">
        <f t="shared" si="127"/>
        <v>135360</v>
      </c>
    </row>
    <row r="446" spans="1:58" ht="14.25" x14ac:dyDescent="0.2">
      <c r="A446" s="11">
        <v>10413</v>
      </c>
      <c r="B446" s="13">
        <f t="shared" si="128"/>
        <v>9</v>
      </c>
      <c r="C446" s="15">
        <f t="shared" si="129"/>
        <v>7</v>
      </c>
      <c r="D446" s="14">
        <f t="shared" si="130"/>
        <v>7</v>
      </c>
      <c r="E446" t="s">
        <v>2777</v>
      </c>
      <c r="F446" t="s">
        <v>2836</v>
      </c>
      <c r="G446" t="s">
        <v>2779</v>
      </c>
      <c r="H446" t="s">
        <v>2779</v>
      </c>
      <c r="I446" t="s">
        <v>2780</v>
      </c>
      <c r="J446" s="4" t="s">
        <v>2838</v>
      </c>
      <c r="K446" t="s">
        <v>179</v>
      </c>
      <c r="L446" t="s">
        <v>163</v>
      </c>
      <c r="M446" t="s">
        <v>163</v>
      </c>
      <c r="N446" t="s">
        <v>163</v>
      </c>
      <c r="O446" s="6" t="s">
        <v>823</v>
      </c>
      <c r="P446">
        <v>0</v>
      </c>
      <c r="Q446" s="24">
        <v>35.5</v>
      </c>
      <c r="R446" s="25">
        <v>45</v>
      </c>
      <c r="S446" s="26">
        <v>37.299999999999997</v>
      </c>
      <c r="Y446">
        <v>10</v>
      </c>
      <c r="Z446">
        <v>30</v>
      </c>
      <c r="AA446" s="3">
        <v>25</v>
      </c>
      <c r="AB446" s="3">
        <v>6</v>
      </c>
      <c r="AC446">
        <v>155</v>
      </c>
      <c r="AD446" s="9">
        <f t="shared" si="113"/>
        <v>9062.8333333333321</v>
      </c>
      <c r="AE446">
        <f t="shared" si="120"/>
        <v>2555730</v>
      </c>
      <c r="AF446" s="2">
        <f t="shared" si="124"/>
        <v>23.5</v>
      </c>
      <c r="AG446" t="str">
        <f t="shared" si="114"/>
        <v>151小时</v>
      </c>
      <c r="AH446">
        <f t="shared" si="115"/>
        <v>71</v>
      </c>
      <c r="AI446">
        <f t="shared" si="116"/>
        <v>12</v>
      </c>
      <c r="AJ446">
        <f t="shared" si="121"/>
        <v>43.800000000000004</v>
      </c>
      <c r="AK446">
        <f t="shared" si="117"/>
        <v>22</v>
      </c>
      <c r="AL446">
        <f t="shared" si="122"/>
        <v>23.5</v>
      </c>
      <c r="AM446" s="2">
        <f t="shared" si="118"/>
        <v>12</v>
      </c>
      <c r="AX446">
        <v>443</v>
      </c>
      <c r="AZ446" s="3"/>
      <c r="BB446" s="2">
        <f t="shared" si="119"/>
        <v>140</v>
      </c>
      <c r="BC446">
        <f t="shared" si="123"/>
        <v>9.7553191489361701</v>
      </c>
      <c r="BD446" s="2">
        <f t="shared" si="125"/>
        <v>43.800000000000004</v>
      </c>
      <c r="BE446">
        <f t="shared" si="126"/>
        <v>23.5</v>
      </c>
      <c r="BF446">
        <f t="shared" si="127"/>
        <v>135360</v>
      </c>
    </row>
    <row r="447" spans="1:58" ht="14.25" x14ac:dyDescent="0.2">
      <c r="A447" s="11">
        <v>10414</v>
      </c>
      <c r="B447" s="13">
        <f t="shared" si="128"/>
        <v>9</v>
      </c>
      <c r="C447" s="15">
        <f t="shared" si="129"/>
        <v>7</v>
      </c>
      <c r="D447" s="14">
        <f t="shared" si="130"/>
        <v>7</v>
      </c>
      <c r="E447" t="s">
        <v>2777</v>
      </c>
      <c r="F447" t="s">
        <v>2837</v>
      </c>
      <c r="G447" t="s">
        <v>2779</v>
      </c>
      <c r="H447" t="s">
        <v>2779</v>
      </c>
      <c r="I447" t="s">
        <v>2780</v>
      </c>
      <c r="J447" s="4" t="s">
        <v>2838</v>
      </c>
      <c r="K447" t="s">
        <v>177</v>
      </c>
      <c r="L447" t="s">
        <v>163</v>
      </c>
      <c r="M447" t="s">
        <v>163</v>
      </c>
      <c r="N447" t="s">
        <v>163</v>
      </c>
      <c r="O447" s="6" t="s">
        <v>823</v>
      </c>
      <c r="P447">
        <v>0</v>
      </c>
      <c r="Q447" s="24">
        <v>35.5</v>
      </c>
      <c r="R447" s="25">
        <v>45</v>
      </c>
      <c r="S447" s="26">
        <v>37.299999999999997</v>
      </c>
      <c r="Y447">
        <v>10</v>
      </c>
      <c r="Z447">
        <v>30</v>
      </c>
      <c r="AA447" s="3">
        <v>25</v>
      </c>
      <c r="AB447" s="3">
        <v>6</v>
      </c>
      <c r="AC447">
        <v>155</v>
      </c>
      <c r="AD447" s="9">
        <f t="shared" si="113"/>
        <v>9062.8333333333321</v>
      </c>
      <c r="AE447">
        <f t="shared" si="120"/>
        <v>2555730</v>
      </c>
      <c r="AF447" s="2">
        <f t="shared" si="124"/>
        <v>23.5</v>
      </c>
      <c r="AG447" t="str">
        <f t="shared" si="114"/>
        <v>151小时</v>
      </c>
      <c r="AH447">
        <f t="shared" si="115"/>
        <v>71</v>
      </c>
      <c r="AI447">
        <f t="shared" si="116"/>
        <v>12</v>
      </c>
      <c r="AJ447">
        <f t="shared" si="121"/>
        <v>43.800000000000004</v>
      </c>
      <c r="AK447">
        <f t="shared" si="117"/>
        <v>22</v>
      </c>
      <c r="AL447">
        <f t="shared" si="122"/>
        <v>23.5</v>
      </c>
      <c r="AM447" s="2">
        <f t="shared" si="118"/>
        <v>12</v>
      </c>
      <c r="AX447">
        <v>444</v>
      </c>
      <c r="AZ447" s="3"/>
      <c r="BB447" s="2">
        <f t="shared" si="119"/>
        <v>140</v>
      </c>
      <c r="BC447">
        <f t="shared" si="123"/>
        <v>9.7553191489361701</v>
      </c>
      <c r="BD447" s="2">
        <f t="shared" si="125"/>
        <v>43.800000000000004</v>
      </c>
      <c r="BE447">
        <f t="shared" si="126"/>
        <v>23.5</v>
      </c>
      <c r="BF447">
        <f t="shared" si="127"/>
        <v>135360</v>
      </c>
    </row>
    <row r="448" spans="1:58" ht="14.25" x14ac:dyDescent="0.2">
      <c r="A448" s="11">
        <v>10415</v>
      </c>
      <c r="B448" s="13">
        <f t="shared" si="128"/>
        <v>9</v>
      </c>
      <c r="C448" s="15">
        <f t="shared" si="129"/>
        <v>7</v>
      </c>
      <c r="D448" s="14">
        <f t="shared" si="130"/>
        <v>7</v>
      </c>
      <c r="E448" t="s">
        <v>2785</v>
      </c>
      <c r="F448" t="s">
        <v>2786</v>
      </c>
      <c r="G448" t="s">
        <v>2832</v>
      </c>
      <c r="H448" t="s">
        <v>2829</v>
      </c>
      <c r="I448" t="s">
        <v>2697</v>
      </c>
      <c r="J448" s="4" t="s">
        <v>2858</v>
      </c>
      <c r="K448" t="s">
        <v>174</v>
      </c>
      <c r="L448" t="s">
        <v>163</v>
      </c>
      <c r="M448" t="s">
        <v>163</v>
      </c>
      <c r="N448" t="s">
        <v>163</v>
      </c>
      <c r="O448" s="6" t="s">
        <v>825</v>
      </c>
      <c r="P448">
        <v>0</v>
      </c>
      <c r="Q448" s="24">
        <v>35.5</v>
      </c>
      <c r="R448" s="25">
        <v>45</v>
      </c>
      <c r="S448" s="26">
        <v>37.299999999999997</v>
      </c>
      <c r="Y448">
        <v>10</v>
      </c>
      <c r="Z448">
        <v>30</v>
      </c>
      <c r="AA448" s="3">
        <v>25</v>
      </c>
      <c r="AB448" s="3">
        <v>6</v>
      </c>
      <c r="AC448">
        <v>155</v>
      </c>
      <c r="AD448" s="9">
        <f t="shared" ref="AD448:AD511" si="131">INT(AE448/AF448)/60*5</f>
        <v>9062.8333333333321</v>
      </c>
      <c r="AE448">
        <f t="shared" si="120"/>
        <v>2555730</v>
      </c>
      <c r="AF448" s="2">
        <f t="shared" si="124"/>
        <v>23.5</v>
      </c>
      <c r="AG448" t="str">
        <f t="shared" ref="AG448:AG511" si="132">IF(AD448&lt;60,CONCATENATE(INT(AD448),"分钟"),CONCATENATE(INT(AD448/60),"小时"))</f>
        <v>151小时</v>
      </c>
      <c r="AH448">
        <f t="shared" ref="AH448:AH511" si="133">ROUNDUP(AF448*3,0)</f>
        <v>71</v>
      </c>
      <c r="AI448">
        <f t="shared" ref="AI448:AI511" si="134">ROUNDUP(AH448/AB448,0)</f>
        <v>12</v>
      </c>
      <c r="AJ448">
        <f t="shared" si="121"/>
        <v>43.800000000000004</v>
      </c>
      <c r="AK448">
        <f t="shared" ref="AK448:AK511" si="135">ROUNDUP(AJ448*3/AB448,0)</f>
        <v>22</v>
      </c>
      <c r="AL448">
        <f t="shared" si="122"/>
        <v>23.5</v>
      </c>
      <c r="AM448" s="2">
        <f t="shared" ref="AM448:AM511" si="136">ROUNDUP(AL448*3/AB448,0)</f>
        <v>12</v>
      </c>
      <c r="AX448">
        <v>445</v>
      </c>
      <c r="AZ448" s="3"/>
      <c r="BB448" s="2">
        <f t="shared" si="119"/>
        <v>140</v>
      </c>
      <c r="BC448">
        <f t="shared" si="123"/>
        <v>9.7553191489361701</v>
      </c>
      <c r="BD448" s="2">
        <f t="shared" si="125"/>
        <v>43.800000000000004</v>
      </c>
      <c r="BE448">
        <f t="shared" si="126"/>
        <v>23.5</v>
      </c>
      <c r="BF448">
        <f t="shared" si="127"/>
        <v>135360</v>
      </c>
    </row>
    <row r="449" spans="1:58" ht="14.25" x14ac:dyDescent="0.2">
      <c r="A449" s="11">
        <v>10416</v>
      </c>
      <c r="B449" s="13">
        <f t="shared" si="128"/>
        <v>9</v>
      </c>
      <c r="C449" s="15">
        <f t="shared" si="129"/>
        <v>7</v>
      </c>
      <c r="D449" s="14">
        <f t="shared" si="130"/>
        <v>7</v>
      </c>
      <c r="E449" t="s">
        <v>2777</v>
      </c>
      <c r="F449" t="s">
        <v>2834</v>
      </c>
      <c r="G449" t="s">
        <v>2779</v>
      </c>
      <c r="H449" t="s">
        <v>2779</v>
      </c>
      <c r="I449" t="s">
        <v>2780</v>
      </c>
      <c r="J449" s="4" t="s">
        <v>2838</v>
      </c>
      <c r="K449" t="s">
        <v>182</v>
      </c>
      <c r="L449" t="s">
        <v>163</v>
      </c>
      <c r="M449" t="s">
        <v>163</v>
      </c>
      <c r="N449" t="s">
        <v>163</v>
      </c>
      <c r="O449" s="6" t="s">
        <v>827</v>
      </c>
      <c r="P449">
        <v>0</v>
      </c>
      <c r="Q449" s="24">
        <v>35.799999999999997</v>
      </c>
      <c r="R449" s="25">
        <v>45.5</v>
      </c>
      <c r="S449" s="26">
        <v>37.5</v>
      </c>
      <c r="Y449">
        <v>10</v>
      </c>
      <c r="Z449">
        <v>30</v>
      </c>
      <c r="AA449" s="3">
        <v>25</v>
      </c>
      <c r="AB449" s="3">
        <v>6</v>
      </c>
      <c r="AC449">
        <v>155</v>
      </c>
      <c r="AD449" s="9">
        <f t="shared" si="131"/>
        <v>8986.3333333333339</v>
      </c>
      <c r="AE449">
        <f t="shared" si="120"/>
        <v>2555730</v>
      </c>
      <c r="AF449" s="2">
        <f t="shared" si="124"/>
        <v>23.700000000000003</v>
      </c>
      <c r="AG449" t="str">
        <f t="shared" si="132"/>
        <v>149小时</v>
      </c>
      <c r="AH449">
        <f t="shared" si="133"/>
        <v>72</v>
      </c>
      <c r="AI449">
        <f t="shared" si="134"/>
        <v>12</v>
      </c>
      <c r="AJ449">
        <f t="shared" si="121"/>
        <v>44.1</v>
      </c>
      <c r="AK449">
        <f t="shared" si="135"/>
        <v>23</v>
      </c>
      <c r="AL449">
        <f t="shared" si="122"/>
        <v>23.700000000000003</v>
      </c>
      <c r="AM449" s="2">
        <f t="shared" si="136"/>
        <v>12</v>
      </c>
      <c r="AX449">
        <v>446</v>
      </c>
      <c r="AZ449" s="3"/>
      <c r="BB449" s="2">
        <f t="shared" si="119"/>
        <v>140</v>
      </c>
      <c r="BC449">
        <f t="shared" si="123"/>
        <v>9.6729957805907159</v>
      </c>
      <c r="BD449" s="2">
        <f t="shared" si="125"/>
        <v>44.1</v>
      </c>
      <c r="BE449">
        <f t="shared" si="126"/>
        <v>23.700000000000003</v>
      </c>
      <c r="BF449">
        <f t="shared" si="127"/>
        <v>136512.00000000003</v>
      </c>
    </row>
    <row r="450" spans="1:58" ht="14.25" x14ac:dyDescent="0.2">
      <c r="A450" s="11">
        <v>10417</v>
      </c>
      <c r="B450" s="13">
        <f t="shared" si="128"/>
        <v>9</v>
      </c>
      <c r="C450" s="15">
        <f t="shared" si="129"/>
        <v>7</v>
      </c>
      <c r="D450" s="14">
        <f t="shared" si="130"/>
        <v>7</v>
      </c>
      <c r="E450" t="s">
        <v>2777</v>
      </c>
      <c r="F450" t="s">
        <v>2835</v>
      </c>
      <c r="G450" t="s">
        <v>2779</v>
      </c>
      <c r="H450" t="s">
        <v>2779</v>
      </c>
      <c r="I450" t="s">
        <v>2780</v>
      </c>
      <c r="J450" s="4" t="s">
        <v>2838</v>
      </c>
      <c r="K450" t="s">
        <v>162</v>
      </c>
      <c r="L450" t="s">
        <v>163</v>
      </c>
      <c r="M450" t="s">
        <v>163</v>
      </c>
      <c r="N450" t="s">
        <v>163</v>
      </c>
      <c r="O450" s="6" t="s">
        <v>827</v>
      </c>
      <c r="P450">
        <v>0</v>
      </c>
      <c r="Q450" s="24">
        <v>35.799999999999997</v>
      </c>
      <c r="R450" s="25">
        <v>45.5</v>
      </c>
      <c r="S450" s="26">
        <v>37.5</v>
      </c>
      <c r="Y450">
        <v>10</v>
      </c>
      <c r="Z450">
        <v>30</v>
      </c>
      <c r="AA450" s="3">
        <v>25</v>
      </c>
      <c r="AB450" s="3">
        <v>6</v>
      </c>
      <c r="AC450">
        <v>155</v>
      </c>
      <c r="AD450" s="9">
        <f t="shared" si="131"/>
        <v>8986.3333333333339</v>
      </c>
      <c r="AE450">
        <f t="shared" si="120"/>
        <v>2555730</v>
      </c>
      <c r="AF450" s="2">
        <f t="shared" si="124"/>
        <v>23.700000000000003</v>
      </c>
      <c r="AG450" t="str">
        <f t="shared" si="132"/>
        <v>149小时</v>
      </c>
      <c r="AH450">
        <f t="shared" si="133"/>
        <v>72</v>
      </c>
      <c r="AI450">
        <f t="shared" si="134"/>
        <v>12</v>
      </c>
      <c r="AJ450">
        <f t="shared" si="121"/>
        <v>44.1</v>
      </c>
      <c r="AK450">
        <f t="shared" si="135"/>
        <v>23</v>
      </c>
      <c r="AL450">
        <f t="shared" si="122"/>
        <v>23.700000000000003</v>
      </c>
      <c r="AM450" s="2">
        <f t="shared" si="136"/>
        <v>12</v>
      </c>
      <c r="AX450">
        <v>447</v>
      </c>
      <c r="AZ450" s="3"/>
      <c r="BB450" s="2">
        <f t="shared" si="119"/>
        <v>140</v>
      </c>
      <c r="BC450">
        <f t="shared" si="123"/>
        <v>9.6729957805907159</v>
      </c>
      <c r="BD450" s="2">
        <f t="shared" si="125"/>
        <v>44.1</v>
      </c>
      <c r="BE450">
        <f t="shared" si="126"/>
        <v>23.700000000000003</v>
      </c>
      <c r="BF450">
        <f t="shared" si="127"/>
        <v>136512.00000000003</v>
      </c>
    </row>
    <row r="451" spans="1:58" ht="14.25" x14ac:dyDescent="0.2">
      <c r="A451" s="11">
        <v>10418</v>
      </c>
      <c r="B451" s="13">
        <f t="shared" si="128"/>
        <v>9</v>
      </c>
      <c r="C451" s="15">
        <f t="shared" si="129"/>
        <v>7</v>
      </c>
      <c r="D451" s="14">
        <f t="shared" si="130"/>
        <v>7</v>
      </c>
      <c r="E451" t="s">
        <v>2777</v>
      </c>
      <c r="F451" t="s">
        <v>2836</v>
      </c>
      <c r="G451" t="s">
        <v>2779</v>
      </c>
      <c r="H451" t="s">
        <v>2779</v>
      </c>
      <c r="I451" t="s">
        <v>2780</v>
      </c>
      <c r="J451" s="4" t="s">
        <v>2838</v>
      </c>
      <c r="K451" t="s">
        <v>177</v>
      </c>
      <c r="L451" t="s">
        <v>163</v>
      </c>
      <c r="M451" t="s">
        <v>163</v>
      </c>
      <c r="N451" t="s">
        <v>163</v>
      </c>
      <c r="O451" s="6" t="s">
        <v>829</v>
      </c>
      <c r="P451">
        <v>0</v>
      </c>
      <c r="Q451" s="24">
        <v>35.799999999999997</v>
      </c>
      <c r="R451" s="25">
        <v>45.5</v>
      </c>
      <c r="S451" s="26">
        <v>37.5</v>
      </c>
      <c r="Y451">
        <v>10</v>
      </c>
      <c r="Z451">
        <v>30</v>
      </c>
      <c r="AA451" s="3">
        <v>25</v>
      </c>
      <c r="AB451" s="3">
        <v>6</v>
      </c>
      <c r="AC451">
        <v>155</v>
      </c>
      <c r="AD451" s="9">
        <f t="shared" si="131"/>
        <v>8986.3333333333339</v>
      </c>
      <c r="AE451">
        <f t="shared" si="120"/>
        <v>2555730</v>
      </c>
      <c r="AF451" s="2">
        <f t="shared" si="124"/>
        <v>23.700000000000003</v>
      </c>
      <c r="AG451" t="str">
        <f t="shared" si="132"/>
        <v>149小时</v>
      </c>
      <c r="AH451">
        <f t="shared" si="133"/>
        <v>72</v>
      </c>
      <c r="AI451">
        <f t="shared" si="134"/>
        <v>12</v>
      </c>
      <c r="AJ451">
        <f t="shared" si="121"/>
        <v>44.1</v>
      </c>
      <c r="AK451">
        <f t="shared" si="135"/>
        <v>23</v>
      </c>
      <c r="AL451">
        <f t="shared" si="122"/>
        <v>23.700000000000003</v>
      </c>
      <c r="AM451" s="2">
        <f t="shared" si="136"/>
        <v>12</v>
      </c>
      <c r="AX451">
        <v>448</v>
      </c>
      <c r="AZ451" s="3"/>
      <c r="BB451" s="2">
        <f t="shared" ref="BB451:BB514" si="137">100+FLOOR((AX451-190)/30,1)*5</f>
        <v>140</v>
      </c>
      <c r="BC451">
        <f t="shared" si="123"/>
        <v>9.6729957805907159</v>
      </c>
      <c r="BD451" s="2">
        <f t="shared" si="125"/>
        <v>44.1</v>
      </c>
      <c r="BE451">
        <f t="shared" si="126"/>
        <v>23.700000000000003</v>
      </c>
      <c r="BF451">
        <f t="shared" si="127"/>
        <v>136512.00000000003</v>
      </c>
    </row>
    <row r="452" spans="1:58" ht="14.25" x14ac:dyDescent="0.2">
      <c r="A452" s="11">
        <v>10419</v>
      </c>
      <c r="B452" s="13">
        <f t="shared" si="128"/>
        <v>9</v>
      </c>
      <c r="C452" s="15">
        <f t="shared" si="129"/>
        <v>7</v>
      </c>
      <c r="D452" s="14">
        <f t="shared" si="130"/>
        <v>7</v>
      </c>
      <c r="E452" t="s">
        <v>2777</v>
      </c>
      <c r="F452" t="s">
        <v>2837</v>
      </c>
      <c r="G452" t="s">
        <v>2779</v>
      </c>
      <c r="H452" t="s">
        <v>2779</v>
      </c>
      <c r="I452" t="s">
        <v>2780</v>
      </c>
      <c r="J452" s="4" t="s">
        <v>2838</v>
      </c>
      <c r="K452" t="s">
        <v>174</v>
      </c>
      <c r="L452" t="s">
        <v>163</v>
      </c>
      <c r="M452" t="s">
        <v>163</v>
      </c>
      <c r="N452" t="s">
        <v>163</v>
      </c>
      <c r="O452" s="6" t="s">
        <v>831</v>
      </c>
      <c r="P452">
        <v>0</v>
      </c>
      <c r="Q452" s="24">
        <v>35.799999999999997</v>
      </c>
      <c r="R452" s="25">
        <v>45.5</v>
      </c>
      <c r="S452" s="26">
        <v>37.5</v>
      </c>
      <c r="Y452">
        <v>10</v>
      </c>
      <c r="Z452">
        <v>30</v>
      </c>
      <c r="AA452" s="3">
        <v>25</v>
      </c>
      <c r="AB452" s="3">
        <v>6</v>
      </c>
      <c r="AC452">
        <v>155</v>
      </c>
      <c r="AD452" s="9">
        <f t="shared" si="131"/>
        <v>8986.3333333333339</v>
      </c>
      <c r="AE452">
        <f t="shared" ref="AE452:AE515" si="138">INDEX(V:V,MATCH(AC452,U:U,0))</f>
        <v>2555730</v>
      </c>
      <c r="AF452" s="2">
        <f t="shared" si="124"/>
        <v>23.700000000000003</v>
      </c>
      <c r="AG452" t="str">
        <f t="shared" si="132"/>
        <v>149小时</v>
      </c>
      <c r="AH452">
        <f t="shared" si="133"/>
        <v>72</v>
      </c>
      <c r="AI452">
        <f t="shared" si="134"/>
        <v>12</v>
      </c>
      <c r="AJ452">
        <f t="shared" ref="AJ452:AJ515" si="139">BD452</f>
        <v>44.1</v>
      </c>
      <c r="AK452">
        <f t="shared" si="135"/>
        <v>23</v>
      </c>
      <c r="AL452">
        <f t="shared" ref="AL452:AL515" si="140">BE452</f>
        <v>23.700000000000003</v>
      </c>
      <c r="AM452" s="2">
        <f t="shared" si="136"/>
        <v>12</v>
      </c>
      <c r="AX452">
        <v>449</v>
      </c>
      <c r="AZ452" s="3"/>
      <c r="BB452" s="2">
        <f t="shared" si="137"/>
        <v>140</v>
      </c>
      <c r="BC452">
        <f t="shared" ref="BC452:BC515" si="141">INDEX($W:$W,MATCH(BB452,$U:$U,0))/(BE452*60*60/5)</f>
        <v>9.6729957805907159</v>
      </c>
      <c r="BD452" s="2">
        <f t="shared" si="125"/>
        <v>44.1</v>
      </c>
      <c r="BE452">
        <f t="shared" si="126"/>
        <v>23.700000000000003</v>
      </c>
      <c r="BF452">
        <f t="shared" si="127"/>
        <v>136512.00000000003</v>
      </c>
    </row>
    <row r="453" spans="1:58" ht="14.25" x14ac:dyDescent="0.2">
      <c r="A453" s="11">
        <v>10420</v>
      </c>
      <c r="B453" s="13">
        <f t="shared" si="128"/>
        <v>9</v>
      </c>
      <c r="C453" s="15">
        <f t="shared" si="129"/>
        <v>7</v>
      </c>
      <c r="D453" s="14">
        <f t="shared" si="130"/>
        <v>7</v>
      </c>
      <c r="E453" t="s">
        <v>2785</v>
      </c>
      <c r="F453" t="s">
        <v>2786</v>
      </c>
      <c r="G453" t="s">
        <v>2833</v>
      </c>
      <c r="H453" t="s">
        <v>2829</v>
      </c>
      <c r="I453" t="s">
        <v>2697</v>
      </c>
      <c r="J453" s="4" t="s">
        <v>2876</v>
      </c>
      <c r="K453" t="s">
        <v>166</v>
      </c>
      <c r="L453" t="s">
        <v>163</v>
      </c>
      <c r="M453" t="s">
        <v>163</v>
      </c>
      <c r="N453" t="s">
        <v>163</v>
      </c>
      <c r="O453" s="6" t="s">
        <v>831</v>
      </c>
      <c r="P453">
        <v>0</v>
      </c>
      <c r="Q453" s="24">
        <v>35.799999999999997</v>
      </c>
      <c r="R453" s="25">
        <v>45.5</v>
      </c>
      <c r="S453" s="26">
        <v>37.5</v>
      </c>
      <c r="Y453">
        <v>10</v>
      </c>
      <c r="Z453">
        <v>30</v>
      </c>
      <c r="AA453" s="3">
        <v>25</v>
      </c>
      <c r="AB453" s="3">
        <v>6</v>
      </c>
      <c r="AC453">
        <v>155</v>
      </c>
      <c r="AD453" s="9">
        <f t="shared" si="131"/>
        <v>8986.3333333333339</v>
      </c>
      <c r="AE453">
        <f t="shared" si="138"/>
        <v>2555730</v>
      </c>
      <c r="AF453" s="2">
        <f t="shared" ref="AF453:AF516" si="142">BE453</f>
        <v>23.700000000000003</v>
      </c>
      <c r="AG453" t="str">
        <f t="shared" si="132"/>
        <v>149小时</v>
      </c>
      <c r="AH453">
        <f t="shared" si="133"/>
        <v>72</v>
      </c>
      <c r="AI453">
        <f t="shared" si="134"/>
        <v>12</v>
      </c>
      <c r="AJ453">
        <f t="shared" si="139"/>
        <v>44.1</v>
      </c>
      <c r="AK453">
        <f t="shared" si="135"/>
        <v>23</v>
      </c>
      <c r="AL453">
        <f t="shared" si="140"/>
        <v>23.700000000000003</v>
      </c>
      <c r="AM453" s="2">
        <f t="shared" si="136"/>
        <v>12</v>
      </c>
      <c r="AX453">
        <v>450</v>
      </c>
      <c r="AZ453" s="3"/>
      <c r="BB453" s="2">
        <f t="shared" si="137"/>
        <v>140</v>
      </c>
      <c r="BC453">
        <f t="shared" si="141"/>
        <v>9.6729957805907159</v>
      </c>
      <c r="BD453" s="2">
        <f t="shared" ref="BD453:BD516" si="143">ROUNDUP(BE453*1.5,1)+8.5</f>
        <v>44.1</v>
      </c>
      <c r="BE453">
        <f t="shared" ref="BE453:BE516" si="144">FLOOR(ROUNDUP(AX453/5,0)*0.25+1.25,0.1)</f>
        <v>23.700000000000003</v>
      </c>
      <c r="BF453">
        <f t="shared" ref="BF453:BF516" si="145">BE453*8*60*60/5</f>
        <v>136512.00000000003</v>
      </c>
    </row>
    <row r="454" spans="1:58" ht="14.25" x14ac:dyDescent="0.2">
      <c r="A454" s="11">
        <v>10421</v>
      </c>
      <c r="B454" s="13">
        <f t="shared" si="128"/>
        <v>9</v>
      </c>
      <c r="C454" s="15">
        <f t="shared" si="129"/>
        <v>7</v>
      </c>
      <c r="D454" s="14">
        <f t="shared" si="130"/>
        <v>7</v>
      </c>
      <c r="E454" t="s">
        <v>2777</v>
      </c>
      <c r="F454" t="s">
        <v>2834</v>
      </c>
      <c r="G454" t="s">
        <v>2779</v>
      </c>
      <c r="H454" t="s">
        <v>2779</v>
      </c>
      <c r="I454" t="s">
        <v>2780</v>
      </c>
      <c r="J454" s="4" t="s">
        <v>2838</v>
      </c>
      <c r="K454" t="s">
        <v>168</v>
      </c>
      <c r="L454" t="s">
        <v>163</v>
      </c>
      <c r="M454" t="s">
        <v>163</v>
      </c>
      <c r="N454" t="s">
        <v>163</v>
      </c>
      <c r="O454" s="6" t="s">
        <v>833</v>
      </c>
      <c r="P454">
        <v>0</v>
      </c>
      <c r="Q454" s="24">
        <v>36.200000000000003</v>
      </c>
      <c r="R454" s="25">
        <v>46</v>
      </c>
      <c r="S454" s="26">
        <v>37.799999999999997</v>
      </c>
      <c r="Y454">
        <v>10</v>
      </c>
      <c r="Z454">
        <v>30</v>
      </c>
      <c r="AA454" s="3">
        <v>25</v>
      </c>
      <c r="AB454" s="3">
        <v>6</v>
      </c>
      <c r="AC454">
        <v>155</v>
      </c>
      <c r="AD454" s="9">
        <f t="shared" si="131"/>
        <v>8874</v>
      </c>
      <c r="AE454">
        <f t="shared" si="138"/>
        <v>2555730</v>
      </c>
      <c r="AF454" s="2">
        <f t="shared" si="142"/>
        <v>24</v>
      </c>
      <c r="AG454" t="str">
        <f t="shared" si="132"/>
        <v>147小时</v>
      </c>
      <c r="AH454">
        <f t="shared" si="133"/>
        <v>72</v>
      </c>
      <c r="AI454">
        <f t="shared" si="134"/>
        <v>12</v>
      </c>
      <c r="AJ454">
        <f t="shared" si="139"/>
        <v>44.5</v>
      </c>
      <c r="AK454">
        <f t="shared" si="135"/>
        <v>23</v>
      </c>
      <c r="AL454">
        <f t="shared" si="140"/>
        <v>24</v>
      </c>
      <c r="AM454" s="2">
        <f t="shared" si="136"/>
        <v>12</v>
      </c>
      <c r="AX454">
        <v>451</v>
      </c>
      <c r="AZ454" s="3"/>
      <c r="BB454" s="2">
        <f t="shared" si="137"/>
        <v>140</v>
      </c>
      <c r="BC454">
        <f t="shared" si="141"/>
        <v>9.5520833333333339</v>
      </c>
      <c r="BD454" s="2">
        <f t="shared" si="143"/>
        <v>44.5</v>
      </c>
      <c r="BE454">
        <f t="shared" si="144"/>
        <v>24</v>
      </c>
      <c r="BF454">
        <f t="shared" si="145"/>
        <v>138240</v>
      </c>
    </row>
    <row r="455" spans="1:58" ht="14.25" x14ac:dyDescent="0.2">
      <c r="A455" s="11">
        <v>10422</v>
      </c>
      <c r="B455" s="13">
        <f t="shared" si="128"/>
        <v>9</v>
      </c>
      <c r="C455" s="15">
        <f t="shared" si="129"/>
        <v>7</v>
      </c>
      <c r="D455" s="14">
        <f t="shared" si="130"/>
        <v>7</v>
      </c>
      <c r="E455" t="s">
        <v>2777</v>
      </c>
      <c r="F455" t="s">
        <v>2835</v>
      </c>
      <c r="G455" t="s">
        <v>2779</v>
      </c>
      <c r="H455" t="s">
        <v>2779</v>
      </c>
      <c r="I455" t="s">
        <v>2780</v>
      </c>
      <c r="J455" s="4" t="s">
        <v>2838</v>
      </c>
      <c r="K455" t="s">
        <v>175</v>
      </c>
      <c r="L455" t="s">
        <v>164</v>
      </c>
      <c r="M455" t="s">
        <v>163</v>
      </c>
      <c r="N455" t="s">
        <v>167</v>
      </c>
      <c r="O455" s="6" t="s">
        <v>835</v>
      </c>
      <c r="P455">
        <v>0</v>
      </c>
      <c r="Q455" s="24">
        <v>36.200000000000003</v>
      </c>
      <c r="R455" s="25">
        <v>46</v>
      </c>
      <c r="S455" s="26">
        <v>37.799999999999997</v>
      </c>
      <c r="Y455">
        <v>10</v>
      </c>
      <c r="Z455">
        <v>30</v>
      </c>
      <c r="AA455" s="3">
        <v>25</v>
      </c>
      <c r="AB455" s="3">
        <v>6</v>
      </c>
      <c r="AC455">
        <v>155</v>
      </c>
      <c r="AD455" s="9">
        <f t="shared" si="131"/>
        <v>8874</v>
      </c>
      <c r="AE455">
        <f t="shared" si="138"/>
        <v>2555730</v>
      </c>
      <c r="AF455" s="2">
        <f t="shared" si="142"/>
        <v>24</v>
      </c>
      <c r="AG455" t="str">
        <f t="shared" si="132"/>
        <v>147小时</v>
      </c>
      <c r="AH455">
        <f t="shared" si="133"/>
        <v>72</v>
      </c>
      <c r="AI455">
        <f t="shared" si="134"/>
        <v>12</v>
      </c>
      <c r="AJ455">
        <f t="shared" si="139"/>
        <v>44.5</v>
      </c>
      <c r="AK455">
        <f t="shared" si="135"/>
        <v>23</v>
      </c>
      <c r="AL455">
        <f t="shared" si="140"/>
        <v>24</v>
      </c>
      <c r="AM455" s="2">
        <f t="shared" si="136"/>
        <v>12</v>
      </c>
      <c r="AX455">
        <v>452</v>
      </c>
      <c r="AZ455" s="3"/>
      <c r="BB455" s="2">
        <f t="shared" si="137"/>
        <v>140</v>
      </c>
      <c r="BC455">
        <f t="shared" si="141"/>
        <v>9.5520833333333339</v>
      </c>
      <c r="BD455" s="2">
        <f t="shared" si="143"/>
        <v>44.5</v>
      </c>
      <c r="BE455">
        <f t="shared" si="144"/>
        <v>24</v>
      </c>
      <c r="BF455">
        <f t="shared" si="145"/>
        <v>138240</v>
      </c>
    </row>
    <row r="456" spans="1:58" ht="14.25" x14ac:dyDescent="0.2">
      <c r="A456" s="11">
        <v>10423</v>
      </c>
      <c r="B456" s="13">
        <f t="shared" si="128"/>
        <v>9</v>
      </c>
      <c r="C456" s="15">
        <f t="shared" si="129"/>
        <v>7</v>
      </c>
      <c r="D456" s="14">
        <f t="shared" si="130"/>
        <v>7</v>
      </c>
      <c r="E456" t="s">
        <v>2777</v>
      </c>
      <c r="F456" t="s">
        <v>2836</v>
      </c>
      <c r="G456" t="s">
        <v>2779</v>
      </c>
      <c r="H456" t="s">
        <v>2779</v>
      </c>
      <c r="I456" t="s">
        <v>2780</v>
      </c>
      <c r="J456" s="4" t="s">
        <v>2838</v>
      </c>
      <c r="K456" t="s">
        <v>179</v>
      </c>
      <c r="L456" t="s">
        <v>163</v>
      </c>
      <c r="M456" t="s">
        <v>163</v>
      </c>
      <c r="N456" t="s">
        <v>163</v>
      </c>
      <c r="O456" s="6" t="s">
        <v>837</v>
      </c>
      <c r="P456">
        <v>0</v>
      </c>
      <c r="Q456" s="24">
        <v>36.200000000000003</v>
      </c>
      <c r="R456" s="25">
        <v>46</v>
      </c>
      <c r="S456" s="26">
        <v>37.799999999999997</v>
      </c>
      <c r="Y456">
        <v>10</v>
      </c>
      <c r="Z456">
        <v>30</v>
      </c>
      <c r="AA456" s="3">
        <v>25</v>
      </c>
      <c r="AB456" s="3">
        <v>6</v>
      </c>
      <c r="AC456">
        <v>155</v>
      </c>
      <c r="AD456" s="9">
        <f t="shared" si="131"/>
        <v>8874</v>
      </c>
      <c r="AE456">
        <f t="shared" si="138"/>
        <v>2555730</v>
      </c>
      <c r="AF456" s="2">
        <f t="shared" si="142"/>
        <v>24</v>
      </c>
      <c r="AG456" t="str">
        <f t="shared" si="132"/>
        <v>147小时</v>
      </c>
      <c r="AH456">
        <f t="shared" si="133"/>
        <v>72</v>
      </c>
      <c r="AI456">
        <f t="shared" si="134"/>
        <v>12</v>
      </c>
      <c r="AJ456">
        <f t="shared" si="139"/>
        <v>44.5</v>
      </c>
      <c r="AK456">
        <f t="shared" si="135"/>
        <v>23</v>
      </c>
      <c r="AL456">
        <f t="shared" si="140"/>
        <v>24</v>
      </c>
      <c r="AM456" s="2">
        <f t="shared" si="136"/>
        <v>12</v>
      </c>
      <c r="AX456">
        <v>453</v>
      </c>
      <c r="AZ456" s="3"/>
      <c r="BB456" s="2">
        <f t="shared" si="137"/>
        <v>140</v>
      </c>
      <c r="BC456">
        <f t="shared" si="141"/>
        <v>9.5520833333333339</v>
      </c>
      <c r="BD456" s="2">
        <f t="shared" si="143"/>
        <v>44.5</v>
      </c>
      <c r="BE456">
        <f t="shared" si="144"/>
        <v>24</v>
      </c>
      <c r="BF456">
        <f t="shared" si="145"/>
        <v>138240</v>
      </c>
    </row>
    <row r="457" spans="1:58" ht="14.25" x14ac:dyDescent="0.2">
      <c r="A457" s="11">
        <v>10424</v>
      </c>
      <c r="B457" s="13">
        <f t="shared" si="128"/>
        <v>9</v>
      </c>
      <c r="C457" s="15">
        <f t="shared" si="129"/>
        <v>7</v>
      </c>
      <c r="D457" s="14">
        <f t="shared" si="130"/>
        <v>7</v>
      </c>
      <c r="E457" t="s">
        <v>2777</v>
      </c>
      <c r="F457" t="s">
        <v>2837</v>
      </c>
      <c r="G457" t="s">
        <v>2779</v>
      </c>
      <c r="H457" t="s">
        <v>2779</v>
      </c>
      <c r="I457" t="s">
        <v>2780</v>
      </c>
      <c r="J457" s="4" t="s">
        <v>2838</v>
      </c>
      <c r="K457" t="s">
        <v>177</v>
      </c>
      <c r="L457" t="s">
        <v>163</v>
      </c>
      <c r="M457" t="s">
        <v>163</v>
      </c>
      <c r="N457" t="s">
        <v>163</v>
      </c>
      <c r="O457" s="6" t="s">
        <v>837</v>
      </c>
      <c r="P457">
        <v>0</v>
      </c>
      <c r="Q457" s="24">
        <v>36.200000000000003</v>
      </c>
      <c r="R457" s="25">
        <v>46</v>
      </c>
      <c r="S457" s="26">
        <v>37.799999999999997</v>
      </c>
      <c r="Y457">
        <v>10</v>
      </c>
      <c r="Z457">
        <v>30</v>
      </c>
      <c r="AA457" s="3">
        <v>25</v>
      </c>
      <c r="AB457" s="3">
        <v>6</v>
      </c>
      <c r="AC457">
        <v>155</v>
      </c>
      <c r="AD457" s="9">
        <f t="shared" si="131"/>
        <v>8874</v>
      </c>
      <c r="AE457">
        <f t="shared" si="138"/>
        <v>2555730</v>
      </c>
      <c r="AF457" s="2">
        <f t="shared" si="142"/>
        <v>24</v>
      </c>
      <c r="AG457" t="str">
        <f t="shared" si="132"/>
        <v>147小时</v>
      </c>
      <c r="AH457">
        <f t="shared" si="133"/>
        <v>72</v>
      </c>
      <c r="AI457">
        <f t="shared" si="134"/>
        <v>12</v>
      </c>
      <c r="AJ457">
        <f t="shared" si="139"/>
        <v>44.5</v>
      </c>
      <c r="AK457">
        <f t="shared" si="135"/>
        <v>23</v>
      </c>
      <c r="AL457">
        <f t="shared" si="140"/>
        <v>24</v>
      </c>
      <c r="AM457" s="2">
        <f t="shared" si="136"/>
        <v>12</v>
      </c>
      <c r="AX457">
        <v>454</v>
      </c>
      <c r="AZ457" s="3"/>
      <c r="BB457" s="2">
        <f t="shared" si="137"/>
        <v>140</v>
      </c>
      <c r="BC457">
        <f t="shared" si="141"/>
        <v>9.5520833333333339</v>
      </c>
      <c r="BD457" s="2">
        <f t="shared" si="143"/>
        <v>44.5</v>
      </c>
      <c r="BE457">
        <f t="shared" si="144"/>
        <v>24</v>
      </c>
      <c r="BF457">
        <f t="shared" si="145"/>
        <v>138240</v>
      </c>
    </row>
    <row r="458" spans="1:58" ht="14.25" x14ac:dyDescent="0.2">
      <c r="A458" s="11">
        <v>10425</v>
      </c>
      <c r="B458" s="13">
        <f t="shared" si="128"/>
        <v>9</v>
      </c>
      <c r="C458" s="15">
        <f t="shared" si="129"/>
        <v>7</v>
      </c>
      <c r="D458" s="14">
        <f t="shared" si="130"/>
        <v>7</v>
      </c>
      <c r="E458" t="s">
        <v>2785</v>
      </c>
      <c r="F458" t="s">
        <v>2786</v>
      </c>
      <c r="G458" t="s">
        <v>2828</v>
      </c>
      <c r="H458" t="s">
        <v>2829</v>
      </c>
      <c r="I458" t="s">
        <v>2697</v>
      </c>
      <c r="J458" s="4" t="s">
        <v>2876</v>
      </c>
      <c r="K458" t="s">
        <v>174</v>
      </c>
      <c r="L458" t="s">
        <v>163</v>
      </c>
      <c r="M458" t="s">
        <v>163</v>
      </c>
      <c r="N458" t="s">
        <v>163</v>
      </c>
      <c r="O458" s="6" t="s">
        <v>839</v>
      </c>
      <c r="P458">
        <v>0</v>
      </c>
      <c r="Q458" s="24">
        <v>36.200000000000003</v>
      </c>
      <c r="R458" s="25">
        <v>46</v>
      </c>
      <c r="S458" s="26">
        <v>37.799999999999997</v>
      </c>
      <c r="Y458">
        <v>10</v>
      </c>
      <c r="Z458">
        <v>30</v>
      </c>
      <c r="AA458" s="3">
        <v>25</v>
      </c>
      <c r="AB458" s="3">
        <v>6</v>
      </c>
      <c r="AC458">
        <v>155</v>
      </c>
      <c r="AD458" s="9">
        <f t="shared" si="131"/>
        <v>8874</v>
      </c>
      <c r="AE458">
        <f t="shared" si="138"/>
        <v>2555730</v>
      </c>
      <c r="AF458" s="2">
        <f t="shared" si="142"/>
        <v>24</v>
      </c>
      <c r="AG458" t="str">
        <f t="shared" si="132"/>
        <v>147小时</v>
      </c>
      <c r="AH458">
        <f t="shared" si="133"/>
        <v>72</v>
      </c>
      <c r="AI458">
        <f t="shared" si="134"/>
        <v>12</v>
      </c>
      <c r="AJ458">
        <f t="shared" si="139"/>
        <v>44.5</v>
      </c>
      <c r="AK458">
        <f t="shared" si="135"/>
        <v>23</v>
      </c>
      <c r="AL458">
        <f t="shared" si="140"/>
        <v>24</v>
      </c>
      <c r="AM458" s="2">
        <f t="shared" si="136"/>
        <v>12</v>
      </c>
      <c r="AX458">
        <v>455</v>
      </c>
      <c r="AZ458" s="3"/>
      <c r="BB458" s="2">
        <f t="shared" si="137"/>
        <v>140</v>
      </c>
      <c r="BC458">
        <f t="shared" si="141"/>
        <v>9.5520833333333339</v>
      </c>
      <c r="BD458" s="2">
        <f t="shared" si="143"/>
        <v>44.5</v>
      </c>
      <c r="BE458">
        <f t="shared" si="144"/>
        <v>24</v>
      </c>
      <c r="BF458">
        <f t="shared" si="145"/>
        <v>138240</v>
      </c>
    </row>
    <row r="459" spans="1:58" ht="14.25" x14ac:dyDescent="0.2">
      <c r="A459" s="11">
        <v>10426</v>
      </c>
      <c r="B459" s="13">
        <f t="shared" si="128"/>
        <v>9</v>
      </c>
      <c r="C459" s="15">
        <f t="shared" si="129"/>
        <v>7</v>
      </c>
      <c r="D459" s="14">
        <f t="shared" si="130"/>
        <v>7</v>
      </c>
      <c r="E459" t="s">
        <v>2777</v>
      </c>
      <c r="F459" t="s">
        <v>2834</v>
      </c>
      <c r="G459" t="s">
        <v>2779</v>
      </c>
      <c r="H459" t="s">
        <v>2779</v>
      </c>
      <c r="I459" t="s">
        <v>2780</v>
      </c>
      <c r="J459" s="4" t="s">
        <v>2838</v>
      </c>
      <c r="K459" t="s">
        <v>182</v>
      </c>
      <c r="L459" t="s">
        <v>163</v>
      </c>
      <c r="M459" t="s">
        <v>163</v>
      </c>
      <c r="N459" t="s">
        <v>163</v>
      </c>
      <c r="O459" s="6" t="s">
        <v>841</v>
      </c>
      <c r="P459">
        <v>0</v>
      </c>
      <c r="Q459" s="24">
        <v>36.5</v>
      </c>
      <c r="R459" s="25">
        <v>46.5</v>
      </c>
      <c r="S459" s="26">
        <v>38</v>
      </c>
      <c r="Y459">
        <v>10</v>
      </c>
      <c r="Z459">
        <v>30</v>
      </c>
      <c r="AA459" s="3">
        <v>25</v>
      </c>
      <c r="AB459" s="3">
        <v>6</v>
      </c>
      <c r="AC459">
        <v>155</v>
      </c>
      <c r="AD459" s="9">
        <f t="shared" si="131"/>
        <v>8800.6666666666679</v>
      </c>
      <c r="AE459">
        <f t="shared" si="138"/>
        <v>2555730</v>
      </c>
      <c r="AF459" s="2">
        <f t="shared" si="142"/>
        <v>24.200000000000003</v>
      </c>
      <c r="AG459" t="str">
        <f t="shared" si="132"/>
        <v>146小时</v>
      </c>
      <c r="AH459">
        <f t="shared" si="133"/>
        <v>73</v>
      </c>
      <c r="AI459">
        <f t="shared" si="134"/>
        <v>13</v>
      </c>
      <c r="AJ459">
        <f t="shared" si="139"/>
        <v>44.8</v>
      </c>
      <c r="AK459">
        <f t="shared" si="135"/>
        <v>23</v>
      </c>
      <c r="AL459">
        <f t="shared" si="140"/>
        <v>24.200000000000003</v>
      </c>
      <c r="AM459" s="2">
        <f t="shared" si="136"/>
        <v>13</v>
      </c>
      <c r="AX459">
        <v>456</v>
      </c>
      <c r="AZ459" s="3"/>
      <c r="BB459" s="2">
        <f t="shared" si="137"/>
        <v>140</v>
      </c>
      <c r="BC459">
        <f t="shared" si="141"/>
        <v>9.4731404958677672</v>
      </c>
      <c r="BD459" s="2">
        <f t="shared" si="143"/>
        <v>44.8</v>
      </c>
      <c r="BE459">
        <f t="shared" si="144"/>
        <v>24.200000000000003</v>
      </c>
      <c r="BF459">
        <f t="shared" si="145"/>
        <v>139392.00000000003</v>
      </c>
    </row>
    <row r="460" spans="1:58" ht="14.25" x14ac:dyDescent="0.2">
      <c r="A460" s="11">
        <v>10427</v>
      </c>
      <c r="B460" s="13">
        <f t="shared" si="128"/>
        <v>9</v>
      </c>
      <c r="C460" s="15">
        <f t="shared" si="129"/>
        <v>7</v>
      </c>
      <c r="D460" s="14">
        <f t="shared" si="130"/>
        <v>7</v>
      </c>
      <c r="E460" t="s">
        <v>2777</v>
      </c>
      <c r="F460" t="s">
        <v>2835</v>
      </c>
      <c r="G460" t="s">
        <v>2779</v>
      </c>
      <c r="H460" t="s">
        <v>2779</v>
      </c>
      <c r="I460" t="s">
        <v>2780</v>
      </c>
      <c r="J460" s="4" t="s">
        <v>2838</v>
      </c>
      <c r="K460" t="s">
        <v>162</v>
      </c>
      <c r="L460" t="s">
        <v>163</v>
      </c>
      <c r="M460" t="s">
        <v>163</v>
      </c>
      <c r="N460" t="s">
        <v>163</v>
      </c>
      <c r="O460" s="6" t="s">
        <v>841</v>
      </c>
      <c r="P460">
        <v>0</v>
      </c>
      <c r="Q460" s="24">
        <v>36.5</v>
      </c>
      <c r="R460" s="25">
        <v>46.5</v>
      </c>
      <c r="S460" s="26">
        <v>38</v>
      </c>
      <c r="Y460">
        <v>10</v>
      </c>
      <c r="Z460">
        <v>30</v>
      </c>
      <c r="AA460" s="3">
        <v>25</v>
      </c>
      <c r="AB460" s="3">
        <v>6</v>
      </c>
      <c r="AC460">
        <v>155</v>
      </c>
      <c r="AD460" s="9">
        <f t="shared" si="131"/>
        <v>8800.6666666666679</v>
      </c>
      <c r="AE460">
        <f t="shared" si="138"/>
        <v>2555730</v>
      </c>
      <c r="AF460" s="2">
        <f t="shared" si="142"/>
        <v>24.200000000000003</v>
      </c>
      <c r="AG460" t="str">
        <f t="shared" si="132"/>
        <v>146小时</v>
      </c>
      <c r="AH460">
        <f t="shared" si="133"/>
        <v>73</v>
      </c>
      <c r="AI460">
        <f t="shared" si="134"/>
        <v>13</v>
      </c>
      <c r="AJ460">
        <f t="shared" si="139"/>
        <v>44.8</v>
      </c>
      <c r="AK460">
        <f t="shared" si="135"/>
        <v>23</v>
      </c>
      <c r="AL460">
        <f t="shared" si="140"/>
        <v>24.200000000000003</v>
      </c>
      <c r="AM460" s="2">
        <f t="shared" si="136"/>
        <v>13</v>
      </c>
      <c r="AX460">
        <v>457</v>
      </c>
      <c r="AZ460" s="3"/>
      <c r="BB460" s="2">
        <f t="shared" si="137"/>
        <v>140</v>
      </c>
      <c r="BC460">
        <f t="shared" si="141"/>
        <v>9.4731404958677672</v>
      </c>
      <c r="BD460" s="2">
        <f t="shared" si="143"/>
        <v>44.8</v>
      </c>
      <c r="BE460">
        <f t="shared" si="144"/>
        <v>24.200000000000003</v>
      </c>
      <c r="BF460">
        <f t="shared" si="145"/>
        <v>139392.00000000003</v>
      </c>
    </row>
    <row r="461" spans="1:58" ht="14.25" x14ac:dyDescent="0.2">
      <c r="A461" s="11">
        <v>10428</v>
      </c>
      <c r="B461" s="13">
        <f t="shared" si="128"/>
        <v>9</v>
      </c>
      <c r="C461" s="15">
        <f t="shared" si="129"/>
        <v>7</v>
      </c>
      <c r="D461" s="14">
        <f t="shared" si="130"/>
        <v>7</v>
      </c>
      <c r="E461" t="s">
        <v>2777</v>
      </c>
      <c r="F461" t="s">
        <v>2836</v>
      </c>
      <c r="G461" t="s">
        <v>2779</v>
      </c>
      <c r="H461" t="s">
        <v>2779</v>
      </c>
      <c r="I461" t="s">
        <v>2780</v>
      </c>
      <c r="J461" s="4" t="s">
        <v>2838</v>
      </c>
      <c r="K461" t="s">
        <v>177</v>
      </c>
      <c r="L461" t="s">
        <v>163</v>
      </c>
      <c r="M461" t="s">
        <v>163</v>
      </c>
      <c r="N461" t="s">
        <v>163</v>
      </c>
      <c r="O461" s="6" t="s">
        <v>843</v>
      </c>
      <c r="P461">
        <v>0</v>
      </c>
      <c r="Q461" s="24">
        <v>36.5</v>
      </c>
      <c r="R461" s="25">
        <v>46.5</v>
      </c>
      <c r="S461" s="26">
        <v>38</v>
      </c>
      <c r="Y461">
        <v>10</v>
      </c>
      <c r="Z461">
        <v>30</v>
      </c>
      <c r="AA461" s="3">
        <v>25</v>
      </c>
      <c r="AB461" s="3">
        <v>6</v>
      </c>
      <c r="AC461">
        <v>155</v>
      </c>
      <c r="AD461" s="9">
        <f t="shared" si="131"/>
        <v>8800.6666666666679</v>
      </c>
      <c r="AE461">
        <f t="shared" si="138"/>
        <v>2555730</v>
      </c>
      <c r="AF461" s="2">
        <f t="shared" si="142"/>
        <v>24.200000000000003</v>
      </c>
      <c r="AG461" t="str">
        <f t="shared" si="132"/>
        <v>146小时</v>
      </c>
      <c r="AH461">
        <f t="shared" si="133"/>
        <v>73</v>
      </c>
      <c r="AI461">
        <f t="shared" si="134"/>
        <v>13</v>
      </c>
      <c r="AJ461">
        <f t="shared" si="139"/>
        <v>44.8</v>
      </c>
      <c r="AK461">
        <f t="shared" si="135"/>
        <v>23</v>
      </c>
      <c r="AL461">
        <f t="shared" si="140"/>
        <v>24.200000000000003</v>
      </c>
      <c r="AM461" s="2">
        <f t="shared" si="136"/>
        <v>13</v>
      </c>
      <c r="AX461">
        <v>458</v>
      </c>
      <c r="AZ461" s="3"/>
      <c r="BB461" s="2">
        <f t="shared" si="137"/>
        <v>140</v>
      </c>
      <c r="BC461">
        <f t="shared" si="141"/>
        <v>9.4731404958677672</v>
      </c>
      <c r="BD461" s="2">
        <f t="shared" si="143"/>
        <v>44.8</v>
      </c>
      <c r="BE461">
        <f t="shared" si="144"/>
        <v>24.200000000000003</v>
      </c>
      <c r="BF461">
        <f t="shared" si="145"/>
        <v>139392.00000000003</v>
      </c>
    </row>
    <row r="462" spans="1:58" ht="14.25" x14ac:dyDescent="0.2">
      <c r="A462" s="11">
        <v>10429</v>
      </c>
      <c r="B462" s="13">
        <f t="shared" si="128"/>
        <v>9</v>
      </c>
      <c r="C462" s="15">
        <f t="shared" si="129"/>
        <v>7</v>
      </c>
      <c r="D462" s="14">
        <f t="shared" si="130"/>
        <v>7</v>
      </c>
      <c r="E462" t="s">
        <v>2777</v>
      </c>
      <c r="F462" t="s">
        <v>2837</v>
      </c>
      <c r="G462" t="s">
        <v>2779</v>
      </c>
      <c r="H462" t="s">
        <v>2779</v>
      </c>
      <c r="I462" t="s">
        <v>2780</v>
      </c>
      <c r="J462" s="4" t="s">
        <v>2838</v>
      </c>
      <c r="K462" t="s">
        <v>174</v>
      </c>
      <c r="L462" t="s">
        <v>163</v>
      </c>
      <c r="M462" t="s">
        <v>163</v>
      </c>
      <c r="N462" t="s">
        <v>163</v>
      </c>
      <c r="O462" s="6" t="s">
        <v>845</v>
      </c>
      <c r="P462">
        <v>0</v>
      </c>
      <c r="Q462" s="24">
        <v>36.5</v>
      </c>
      <c r="R462" s="25">
        <v>46.5</v>
      </c>
      <c r="S462" s="26">
        <v>38</v>
      </c>
      <c r="Y462">
        <v>10</v>
      </c>
      <c r="Z462">
        <v>30</v>
      </c>
      <c r="AA462" s="3">
        <v>25</v>
      </c>
      <c r="AB462" s="3">
        <v>6</v>
      </c>
      <c r="AC462">
        <v>155</v>
      </c>
      <c r="AD462" s="9">
        <f t="shared" si="131"/>
        <v>8800.6666666666679</v>
      </c>
      <c r="AE462">
        <f t="shared" si="138"/>
        <v>2555730</v>
      </c>
      <c r="AF462" s="2">
        <f t="shared" si="142"/>
        <v>24.200000000000003</v>
      </c>
      <c r="AG462" t="str">
        <f t="shared" si="132"/>
        <v>146小时</v>
      </c>
      <c r="AH462">
        <f t="shared" si="133"/>
        <v>73</v>
      </c>
      <c r="AI462">
        <f t="shared" si="134"/>
        <v>13</v>
      </c>
      <c r="AJ462">
        <f t="shared" si="139"/>
        <v>44.8</v>
      </c>
      <c r="AK462">
        <f t="shared" si="135"/>
        <v>23</v>
      </c>
      <c r="AL462">
        <f t="shared" si="140"/>
        <v>24.200000000000003</v>
      </c>
      <c r="AM462" s="2">
        <f t="shared" si="136"/>
        <v>13</v>
      </c>
      <c r="AX462">
        <v>459</v>
      </c>
      <c r="AZ462" s="3"/>
      <c r="BB462" s="2">
        <f t="shared" si="137"/>
        <v>140</v>
      </c>
      <c r="BC462">
        <f t="shared" si="141"/>
        <v>9.4731404958677672</v>
      </c>
      <c r="BD462" s="2">
        <f t="shared" si="143"/>
        <v>44.8</v>
      </c>
      <c r="BE462">
        <f t="shared" si="144"/>
        <v>24.200000000000003</v>
      </c>
      <c r="BF462">
        <f t="shared" si="145"/>
        <v>139392.00000000003</v>
      </c>
    </row>
    <row r="463" spans="1:58" ht="14.25" x14ac:dyDescent="0.2">
      <c r="A463" s="11">
        <v>10430</v>
      </c>
      <c r="B463" s="13">
        <f t="shared" si="128"/>
        <v>9</v>
      </c>
      <c r="C463" s="15">
        <f t="shared" si="129"/>
        <v>7</v>
      </c>
      <c r="D463" s="14">
        <f t="shared" si="130"/>
        <v>7</v>
      </c>
      <c r="E463" t="s">
        <v>2785</v>
      </c>
      <c r="F463" t="s">
        <v>2786</v>
      </c>
      <c r="G463" t="s">
        <v>2830</v>
      </c>
      <c r="H463" t="s">
        <v>2829</v>
      </c>
      <c r="I463" t="s">
        <v>2697</v>
      </c>
      <c r="J463" s="4" t="s">
        <v>2858</v>
      </c>
      <c r="K463" t="s">
        <v>166</v>
      </c>
      <c r="L463" t="s">
        <v>163</v>
      </c>
      <c r="M463" t="s">
        <v>163</v>
      </c>
      <c r="N463" t="s">
        <v>163</v>
      </c>
      <c r="O463" s="6" t="s">
        <v>845</v>
      </c>
      <c r="P463">
        <v>0</v>
      </c>
      <c r="Q463" s="24">
        <v>36.5</v>
      </c>
      <c r="R463" s="25">
        <v>46.5</v>
      </c>
      <c r="S463" s="26">
        <v>38</v>
      </c>
      <c r="Y463">
        <v>10</v>
      </c>
      <c r="Z463">
        <v>30</v>
      </c>
      <c r="AA463" s="3">
        <v>25</v>
      </c>
      <c r="AB463" s="3">
        <v>6</v>
      </c>
      <c r="AC463">
        <v>155</v>
      </c>
      <c r="AD463" s="9">
        <f t="shared" si="131"/>
        <v>8800.6666666666679</v>
      </c>
      <c r="AE463">
        <f t="shared" si="138"/>
        <v>2555730</v>
      </c>
      <c r="AF463" s="2">
        <f t="shared" si="142"/>
        <v>24.200000000000003</v>
      </c>
      <c r="AG463" t="str">
        <f t="shared" si="132"/>
        <v>146小时</v>
      </c>
      <c r="AH463">
        <f t="shared" si="133"/>
        <v>73</v>
      </c>
      <c r="AI463">
        <f t="shared" si="134"/>
        <v>13</v>
      </c>
      <c r="AJ463">
        <f t="shared" si="139"/>
        <v>44.8</v>
      </c>
      <c r="AK463">
        <f t="shared" si="135"/>
        <v>23</v>
      </c>
      <c r="AL463">
        <f t="shared" si="140"/>
        <v>24.200000000000003</v>
      </c>
      <c r="AM463" s="2">
        <f t="shared" si="136"/>
        <v>13</v>
      </c>
      <c r="AX463">
        <v>460</v>
      </c>
      <c r="AZ463" s="3"/>
      <c r="BB463" s="2">
        <f t="shared" si="137"/>
        <v>145</v>
      </c>
      <c r="BC463">
        <f t="shared" si="141"/>
        <v>10.152949954086315</v>
      </c>
      <c r="BD463" s="2">
        <f t="shared" si="143"/>
        <v>44.8</v>
      </c>
      <c r="BE463">
        <f t="shared" si="144"/>
        <v>24.200000000000003</v>
      </c>
      <c r="BF463">
        <f t="shared" si="145"/>
        <v>139392.00000000003</v>
      </c>
    </row>
    <row r="464" spans="1:58" ht="14.25" x14ac:dyDescent="0.2">
      <c r="A464" s="11">
        <v>10431</v>
      </c>
      <c r="B464" s="13">
        <f t="shared" ref="B464:B527" si="146">FLOOR(R462/5,1)</f>
        <v>9</v>
      </c>
      <c r="C464" s="15">
        <f t="shared" ref="C464:C527" si="147">FLOOR(Q462/5,1)</f>
        <v>7</v>
      </c>
      <c r="D464" s="14">
        <f t="shared" ref="D464:D527" si="148">FLOOR(S462/5,1)</f>
        <v>7</v>
      </c>
      <c r="E464" t="s">
        <v>2777</v>
      </c>
      <c r="F464" t="s">
        <v>2834</v>
      </c>
      <c r="G464" t="s">
        <v>2779</v>
      </c>
      <c r="H464" t="s">
        <v>2779</v>
      </c>
      <c r="I464" t="s">
        <v>2780</v>
      </c>
      <c r="J464" s="4" t="s">
        <v>2838</v>
      </c>
      <c r="K464" t="s">
        <v>168</v>
      </c>
      <c r="L464" t="s">
        <v>163</v>
      </c>
      <c r="M464" t="s">
        <v>163</v>
      </c>
      <c r="N464" t="s">
        <v>163</v>
      </c>
      <c r="O464" s="6" t="s">
        <v>847</v>
      </c>
      <c r="P464">
        <v>0</v>
      </c>
      <c r="Q464" s="24">
        <v>36.799999999999997</v>
      </c>
      <c r="R464" s="25">
        <v>47</v>
      </c>
      <c r="S464" s="26">
        <v>38.299999999999997</v>
      </c>
      <c r="Y464">
        <v>10</v>
      </c>
      <c r="Z464">
        <v>30</v>
      </c>
      <c r="AA464" s="3">
        <v>25</v>
      </c>
      <c r="AB464" s="3">
        <v>6</v>
      </c>
      <c r="AC464">
        <v>155</v>
      </c>
      <c r="AD464" s="9">
        <f t="shared" si="131"/>
        <v>8692.9166666666661</v>
      </c>
      <c r="AE464">
        <f t="shared" si="138"/>
        <v>2555730</v>
      </c>
      <c r="AF464" s="2">
        <f t="shared" si="142"/>
        <v>24.5</v>
      </c>
      <c r="AG464" t="str">
        <f t="shared" si="132"/>
        <v>144小时</v>
      </c>
      <c r="AH464">
        <f t="shared" si="133"/>
        <v>74</v>
      </c>
      <c r="AI464">
        <f t="shared" si="134"/>
        <v>13</v>
      </c>
      <c r="AJ464">
        <f t="shared" si="139"/>
        <v>45.300000000000004</v>
      </c>
      <c r="AK464">
        <f t="shared" si="135"/>
        <v>23</v>
      </c>
      <c r="AL464">
        <f t="shared" si="140"/>
        <v>24.5</v>
      </c>
      <c r="AM464" s="2">
        <f t="shared" si="136"/>
        <v>13</v>
      </c>
      <c r="AX464">
        <v>461</v>
      </c>
      <c r="AZ464" s="3"/>
      <c r="BB464" s="2">
        <f t="shared" si="137"/>
        <v>145</v>
      </c>
      <c r="BC464">
        <f t="shared" si="141"/>
        <v>10.028628117913833</v>
      </c>
      <c r="BD464" s="2">
        <f t="shared" si="143"/>
        <v>45.300000000000004</v>
      </c>
      <c r="BE464">
        <f t="shared" si="144"/>
        <v>24.5</v>
      </c>
      <c r="BF464">
        <f t="shared" si="145"/>
        <v>141120</v>
      </c>
    </row>
    <row r="465" spans="1:58" ht="14.25" x14ac:dyDescent="0.2">
      <c r="A465" s="11">
        <v>10432</v>
      </c>
      <c r="B465" s="13">
        <f t="shared" si="146"/>
        <v>9</v>
      </c>
      <c r="C465" s="15">
        <f t="shared" si="147"/>
        <v>7</v>
      </c>
      <c r="D465" s="14">
        <f t="shared" si="148"/>
        <v>7</v>
      </c>
      <c r="E465" t="s">
        <v>2777</v>
      </c>
      <c r="F465" t="s">
        <v>2835</v>
      </c>
      <c r="G465" t="s">
        <v>2779</v>
      </c>
      <c r="H465" t="s">
        <v>2779</v>
      </c>
      <c r="I465" t="s">
        <v>2780</v>
      </c>
      <c r="J465" s="4" t="s">
        <v>2838</v>
      </c>
      <c r="K465" t="s">
        <v>175</v>
      </c>
      <c r="L465" t="s">
        <v>164</v>
      </c>
      <c r="M465" t="s">
        <v>163</v>
      </c>
      <c r="N465" t="s">
        <v>167</v>
      </c>
      <c r="O465" s="6" t="s">
        <v>849</v>
      </c>
      <c r="P465">
        <v>0</v>
      </c>
      <c r="Q465" s="24">
        <v>36.799999999999997</v>
      </c>
      <c r="R465" s="25">
        <v>47</v>
      </c>
      <c r="S465" s="26">
        <v>38.299999999999997</v>
      </c>
      <c r="Y465">
        <v>10</v>
      </c>
      <c r="Z465">
        <v>30</v>
      </c>
      <c r="AA465" s="3">
        <v>25</v>
      </c>
      <c r="AB465" s="3">
        <v>6</v>
      </c>
      <c r="AC465">
        <v>155</v>
      </c>
      <c r="AD465" s="9">
        <f t="shared" si="131"/>
        <v>8692.9166666666661</v>
      </c>
      <c r="AE465">
        <f t="shared" si="138"/>
        <v>2555730</v>
      </c>
      <c r="AF465" s="2">
        <f t="shared" si="142"/>
        <v>24.5</v>
      </c>
      <c r="AG465" t="str">
        <f t="shared" si="132"/>
        <v>144小时</v>
      </c>
      <c r="AH465">
        <f t="shared" si="133"/>
        <v>74</v>
      </c>
      <c r="AI465">
        <f t="shared" si="134"/>
        <v>13</v>
      </c>
      <c r="AJ465">
        <f t="shared" si="139"/>
        <v>45.300000000000004</v>
      </c>
      <c r="AK465">
        <f t="shared" si="135"/>
        <v>23</v>
      </c>
      <c r="AL465">
        <f t="shared" si="140"/>
        <v>24.5</v>
      </c>
      <c r="AM465" s="2">
        <f t="shared" si="136"/>
        <v>13</v>
      </c>
      <c r="AX465">
        <v>462</v>
      </c>
      <c r="AZ465" s="3"/>
      <c r="BB465" s="2">
        <f t="shared" si="137"/>
        <v>145</v>
      </c>
      <c r="BC465">
        <f t="shared" si="141"/>
        <v>10.028628117913833</v>
      </c>
      <c r="BD465" s="2">
        <f t="shared" si="143"/>
        <v>45.300000000000004</v>
      </c>
      <c r="BE465">
        <f t="shared" si="144"/>
        <v>24.5</v>
      </c>
      <c r="BF465">
        <f t="shared" si="145"/>
        <v>141120</v>
      </c>
    </row>
    <row r="466" spans="1:58" ht="14.25" x14ac:dyDescent="0.2">
      <c r="A466" s="11">
        <v>10433</v>
      </c>
      <c r="B466" s="13">
        <f t="shared" si="146"/>
        <v>9</v>
      </c>
      <c r="C466" s="15">
        <f t="shared" si="147"/>
        <v>7</v>
      </c>
      <c r="D466" s="14">
        <f t="shared" si="148"/>
        <v>7</v>
      </c>
      <c r="E466" t="s">
        <v>2777</v>
      </c>
      <c r="F466" t="s">
        <v>2836</v>
      </c>
      <c r="G466" t="s">
        <v>2779</v>
      </c>
      <c r="H466" t="s">
        <v>2779</v>
      </c>
      <c r="I466" t="s">
        <v>2780</v>
      </c>
      <c r="J466" s="4" t="s">
        <v>2838</v>
      </c>
      <c r="K466" t="s">
        <v>179</v>
      </c>
      <c r="L466" t="s">
        <v>163</v>
      </c>
      <c r="M466" t="s">
        <v>163</v>
      </c>
      <c r="N466" t="s">
        <v>163</v>
      </c>
      <c r="O466" s="6" t="s">
        <v>851</v>
      </c>
      <c r="P466">
        <v>0</v>
      </c>
      <c r="Q466" s="24">
        <v>36.799999999999997</v>
      </c>
      <c r="R466" s="25">
        <v>47</v>
      </c>
      <c r="S466" s="26">
        <v>38.299999999999997</v>
      </c>
      <c r="Y466">
        <v>10</v>
      </c>
      <c r="Z466">
        <v>30</v>
      </c>
      <c r="AA466" s="3">
        <v>25</v>
      </c>
      <c r="AB466" s="3">
        <v>6</v>
      </c>
      <c r="AC466">
        <v>155</v>
      </c>
      <c r="AD466" s="9">
        <f t="shared" si="131"/>
        <v>8692.9166666666661</v>
      </c>
      <c r="AE466">
        <f t="shared" si="138"/>
        <v>2555730</v>
      </c>
      <c r="AF466" s="2">
        <f t="shared" si="142"/>
        <v>24.5</v>
      </c>
      <c r="AG466" t="str">
        <f t="shared" si="132"/>
        <v>144小时</v>
      </c>
      <c r="AH466">
        <f t="shared" si="133"/>
        <v>74</v>
      </c>
      <c r="AI466">
        <f t="shared" si="134"/>
        <v>13</v>
      </c>
      <c r="AJ466">
        <f t="shared" si="139"/>
        <v>45.300000000000004</v>
      </c>
      <c r="AK466">
        <f t="shared" si="135"/>
        <v>23</v>
      </c>
      <c r="AL466">
        <f t="shared" si="140"/>
        <v>24.5</v>
      </c>
      <c r="AM466" s="2">
        <f t="shared" si="136"/>
        <v>13</v>
      </c>
      <c r="AX466">
        <v>463</v>
      </c>
      <c r="AZ466" s="3"/>
      <c r="BB466" s="2">
        <f t="shared" si="137"/>
        <v>145</v>
      </c>
      <c r="BC466">
        <f t="shared" si="141"/>
        <v>10.028628117913833</v>
      </c>
      <c r="BD466" s="2">
        <f t="shared" si="143"/>
        <v>45.300000000000004</v>
      </c>
      <c r="BE466">
        <f t="shared" si="144"/>
        <v>24.5</v>
      </c>
      <c r="BF466">
        <f t="shared" si="145"/>
        <v>141120</v>
      </c>
    </row>
    <row r="467" spans="1:58" ht="14.25" x14ac:dyDescent="0.2">
      <c r="A467" s="11">
        <v>10434</v>
      </c>
      <c r="B467" s="13">
        <f t="shared" si="146"/>
        <v>9</v>
      </c>
      <c r="C467" s="15">
        <f t="shared" si="147"/>
        <v>7</v>
      </c>
      <c r="D467" s="14">
        <f t="shared" si="148"/>
        <v>7</v>
      </c>
      <c r="E467" t="s">
        <v>2777</v>
      </c>
      <c r="F467" t="s">
        <v>2837</v>
      </c>
      <c r="G467" t="s">
        <v>2779</v>
      </c>
      <c r="H467" t="s">
        <v>2779</v>
      </c>
      <c r="I467" t="s">
        <v>2780</v>
      </c>
      <c r="J467" s="4" t="s">
        <v>2838</v>
      </c>
      <c r="K467" t="s">
        <v>177</v>
      </c>
      <c r="L467" t="s">
        <v>163</v>
      </c>
      <c r="M467" t="s">
        <v>163</v>
      </c>
      <c r="N467" t="s">
        <v>163</v>
      </c>
      <c r="O467" s="6" t="s">
        <v>851</v>
      </c>
      <c r="P467">
        <v>0</v>
      </c>
      <c r="Q467" s="24">
        <v>36.799999999999997</v>
      </c>
      <c r="R467" s="25">
        <v>47</v>
      </c>
      <c r="S467" s="26">
        <v>38.299999999999997</v>
      </c>
      <c r="Y467">
        <v>10</v>
      </c>
      <c r="Z467">
        <v>30</v>
      </c>
      <c r="AA467" s="3">
        <v>25</v>
      </c>
      <c r="AB467" s="3">
        <v>6</v>
      </c>
      <c r="AC467">
        <v>155</v>
      </c>
      <c r="AD467" s="9">
        <f t="shared" si="131"/>
        <v>8692.9166666666661</v>
      </c>
      <c r="AE467">
        <f t="shared" si="138"/>
        <v>2555730</v>
      </c>
      <c r="AF467" s="2">
        <f t="shared" si="142"/>
        <v>24.5</v>
      </c>
      <c r="AG467" t="str">
        <f t="shared" si="132"/>
        <v>144小时</v>
      </c>
      <c r="AH467">
        <f t="shared" si="133"/>
        <v>74</v>
      </c>
      <c r="AI467">
        <f t="shared" si="134"/>
        <v>13</v>
      </c>
      <c r="AJ467">
        <f t="shared" si="139"/>
        <v>45.300000000000004</v>
      </c>
      <c r="AK467">
        <f t="shared" si="135"/>
        <v>23</v>
      </c>
      <c r="AL467">
        <f t="shared" si="140"/>
        <v>24.5</v>
      </c>
      <c r="AM467" s="2">
        <f t="shared" si="136"/>
        <v>13</v>
      </c>
      <c r="AX467">
        <v>464</v>
      </c>
      <c r="AZ467" s="3"/>
      <c r="BB467" s="2">
        <f t="shared" si="137"/>
        <v>145</v>
      </c>
      <c r="BC467">
        <f t="shared" si="141"/>
        <v>10.028628117913833</v>
      </c>
      <c r="BD467" s="2">
        <f t="shared" si="143"/>
        <v>45.300000000000004</v>
      </c>
      <c r="BE467">
        <f t="shared" si="144"/>
        <v>24.5</v>
      </c>
      <c r="BF467">
        <f t="shared" si="145"/>
        <v>141120</v>
      </c>
    </row>
    <row r="468" spans="1:58" ht="14.25" x14ac:dyDescent="0.2">
      <c r="A468" s="11">
        <v>10435</v>
      </c>
      <c r="B468" s="13">
        <f t="shared" si="146"/>
        <v>9</v>
      </c>
      <c r="C468" s="15">
        <f t="shared" si="147"/>
        <v>7</v>
      </c>
      <c r="D468" s="14">
        <f t="shared" si="148"/>
        <v>7</v>
      </c>
      <c r="E468" t="s">
        <v>2785</v>
      </c>
      <c r="F468" t="s">
        <v>2786</v>
      </c>
      <c r="G468" t="s">
        <v>2831</v>
      </c>
      <c r="H468" t="s">
        <v>2829</v>
      </c>
      <c r="I468" t="s">
        <v>2697</v>
      </c>
      <c r="J468" s="4" t="s">
        <v>2858</v>
      </c>
      <c r="K468" t="s">
        <v>174</v>
      </c>
      <c r="L468" t="s">
        <v>163</v>
      </c>
      <c r="M468" t="s">
        <v>163</v>
      </c>
      <c r="N468" t="s">
        <v>163</v>
      </c>
      <c r="O468" s="6" t="s">
        <v>853</v>
      </c>
      <c r="P468">
        <v>0</v>
      </c>
      <c r="Q468" s="24">
        <v>36.799999999999997</v>
      </c>
      <c r="R468" s="25">
        <v>47</v>
      </c>
      <c r="S468" s="26">
        <v>38.299999999999997</v>
      </c>
      <c r="Y468">
        <v>10</v>
      </c>
      <c r="Z468">
        <v>30</v>
      </c>
      <c r="AA468" s="3">
        <v>25</v>
      </c>
      <c r="AB468" s="3">
        <v>6</v>
      </c>
      <c r="AC468">
        <v>155</v>
      </c>
      <c r="AD468" s="9">
        <f t="shared" si="131"/>
        <v>8692.9166666666661</v>
      </c>
      <c r="AE468">
        <f t="shared" si="138"/>
        <v>2555730</v>
      </c>
      <c r="AF468" s="2">
        <f t="shared" si="142"/>
        <v>24.5</v>
      </c>
      <c r="AG468" t="str">
        <f t="shared" si="132"/>
        <v>144小时</v>
      </c>
      <c r="AH468">
        <f t="shared" si="133"/>
        <v>74</v>
      </c>
      <c r="AI468">
        <f t="shared" si="134"/>
        <v>13</v>
      </c>
      <c r="AJ468">
        <f t="shared" si="139"/>
        <v>45.300000000000004</v>
      </c>
      <c r="AK468">
        <f t="shared" si="135"/>
        <v>23</v>
      </c>
      <c r="AL468">
        <f t="shared" si="140"/>
        <v>24.5</v>
      </c>
      <c r="AM468" s="2">
        <f t="shared" si="136"/>
        <v>13</v>
      </c>
      <c r="AX468">
        <v>465</v>
      </c>
      <c r="AZ468" s="3"/>
      <c r="BB468" s="2">
        <f t="shared" si="137"/>
        <v>145</v>
      </c>
      <c r="BC468">
        <f t="shared" si="141"/>
        <v>10.028628117913833</v>
      </c>
      <c r="BD468" s="2">
        <f t="shared" si="143"/>
        <v>45.300000000000004</v>
      </c>
      <c r="BE468">
        <f t="shared" si="144"/>
        <v>24.5</v>
      </c>
      <c r="BF468">
        <f t="shared" si="145"/>
        <v>141120</v>
      </c>
    </row>
    <row r="469" spans="1:58" ht="14.25" x14ac:dyDescent="0.2">
      <c r="A469" s="11">
        <v>10436</v>
      </c>
      <c r="B469" s="13">
        <f t="shared" si="146"/>
        <v>9</v>
      </c>
      <c r="C469" s="15">
        <f t="shared" si="147"/>
        <v>7</v>
      </c>
      <c r="D469" s="14">
        <f t="shared" si="148"/>
        <v>7</v>
      </c>
      <c r="E469" t="s">
        <v>2777</v>
      </c>
      <c r="F469" t="s">
        <v>2834</v>
      </c>
      <c r="G469" t="s">
        <v>2779</v>
      </c>
      <c r="H469" t="s">
        <v>2779</v>
      </c>
      <c r="I469" t="s">
        <v>2780</v>
      </c>
      <c r="J469" s="4" t="s">
        <v>2838</v>
      </c>
      <c r="K469" t="s">
        <v>182</v>
      </c>
      <c r="L469" t="s">
        <v>163</v>
      </c>
      <c r="M469" t="s">
        <v>163</v>
      </c>
      <c r="N469" t="s">
        <v>163</v>
      </c>
      <c r="O469" s="6" t="s">
        <v>855</v>
      </c>
      <c r="P469">
        <v>0</v>
      </c>
      <c r="Q469" s="24">
        <v>37.200000000000003</v>
      </c>
      <c r="R469" s="25">
        <v>47.5</v>
      </c>
      <c r="S469" s="26">
        <v>38.5</v>
      </c>
      <c r="Y469">
        <v>10</v>
      </c>
      <c r="Z469">
        <v>30</v>
      </c>
      <c r="AA469" s="3">
        <v>25</v>
      </c>
      <c r="AB469" s="3">
        <v>6</v>
      </c>
      <c r="AC469">
        <v>155</v>
      </c>
      <c r="AD469" s="9">
        <f t="shared" si="131"/>
        <v>8622.5</v>
      </c>
      <c r="AE469">
        <f t="shared" si="138"/>
        <v>2555730</v>
      </c>
      <c r="AF469" s="2">
        <f t="shared" si="142"/>
        <v>24.700000000000003</v>
      </c>
      <c r="AG469" t="str">
        <f t="shared" si="132"/>
        <v>143小时</v>
      </c>
      <c r="AH469">
        <f t="shared" si="133"/>
        <v>75</v>
      </c>
      <c r="AI469">
        <f t="shared" si="134"/>
        <v>13</v>
      </c>
      <c r="AJ469">
        <f t="shared" si="139"/>
        <v>45.6</v>
      </c>
      <c r="AK469">
        <f t="shared" si="135"/>
        <v>23</v>
      </c>
      <c r="AL469">
        <f t="shared" si="140"/>
        <v>24.700000000000003</v>
      </c>
      <c r="AM469" s="2">
        <f t="shared" si="136"/>
        <v>13</v>
      </c>
      <c r="AX469">
        <v>466</v>
      </c>
      <c r="AZ469" s="3"/>
      <c r="BB469" s="2">
        <f t="shared" si="137"/>
        <v>145</v>
      </c>
      <c r="BC469">
        <f t="shared" si="141"/>
        <v>9.9474246513720175</v>
      </c>
      <c r="BD469" s="2">
        <f t="shared" si="143"/>
        <v>45.6</v>
      </c>
      <c r="BE469">
        <f t="shared" si="144"/>
        <v>24.700000000000003</v>
      </c>
      <c r="BF469">
        <f t="shared" si="145"/>
        <v>142272.00000000003</v>
      </c>
    </row>
    <row r="470" spans="1:58" ht="14.25" x14ac:dyDescent="0.2">
      <c r="A470" s="11">
        <v>10437</v>
      </c>
      <c r="B470" s="13">
        <f t="shared" si="146"/>
        <v>9</v>
      </c>
      <c r="C470" s="15">
        <f t="shared" si="147"/>
        <v>7</v>
      </c>
      <c r="D470" s="14">
        <f t="shared" si="148"/>
        <v>7</v>
      </c>
      <c r="E470" t="s">
        <v>2777</v>
      </c>
      <c r="F470" t="s">
        <v>2835</v>
      </c>
      <c r="G470" t="s">
        <v>2779</v>
      </c>
      <c r="H470" t="s">
        <v>2779</v>
      </c>
      <c r="I470" t="s">
        <v>2780</v>
      </c>
      <c r="J470" s="4" t="s">
        <v>2838</v>
      </c>
      <c r="K470" t="s">
        <v>162</v>
      </c>
      <c r="L470" t="s">
        <v>163</v>
      </c>
      <c r="M470" t="s">
        <v>163</v>
      </c>
      <c r="N470" t="s">
        <v>163</v>
      </c>
      <c r="O470" s="6" t="s">
        <v>855</v>
      </c>
      <c r="P470">
        <v>0</v>
      </c>
      <c r="Q470" s="24">
        <v>37.200000000000003</v>
      </c>
      <c r="R470" s="25">
        <v>47.5</v>
      </c>
      <c r="S470" s="26">
        <v>38.5</v>
      </c>
      <c r="Y470">
        <v>10</v>
      </c>
      <c r="Z470">
        <v>30</v>
      </c>
      <c r="AA470" s="3">
        <v>25</v>
      </c>
      <c r="AB470" s="3">
        <v>6</v>
      </c>
      <c r="AC470">
        <v>155</v>
      </c>
      <c r="AD470" s="9">
        <f t="shared" si="131"/>
        <v>8622.5</v>
      </c>
      <c r="AE470">
        <f t="shared" si="138"/>
        <v>2555730</v>
      </c>
      <c r="AF470" s="2">
        <f t="shared" si="142"/>
        <v>24.700000000000003</v>
      </c>
      <c r="AG470" t="str">
        <f t="shared" si="132"/>
        <v>143小时</v>
      </c>
      <c r="AH470">
        <f t="shared" si="133"/>
        <v>75</v>
      </c>
      <c r="AI470">
        <f t="shared" si="134"/>
        <v>13</v>
      </c>
      <c r="AJ470">
        <f t="shared" si="139"/>
        <v>45.6</v>
      </c>
      <c r="AK470">
        <f t="shared" si="135"/>
        <v>23</v>
      </c>
      <c r="AL470">
        <f t="shared" si="140"/>
        <v>24.700000000000003</v>
      </c>
      <c r="AM470" s="2">
        <f t="shared" si="136"/>
        <v>13</v>
      </c>
      <c r="AX470">
        <v>467</v>
      </c>
      <c r="AZ470" s="3"/>
      <c r="BB470" s="2">
        <f t="shared" si="137"/>
        <v>145</v>
      </c>
      <c r="BC470">
        <f t="shared" si="141"/>
        <v>9.9474246513720175</v>
      </c>
      <c r="BD470" s="2">
        <f t="shared" si="143"/>
        <v>45.6</v>
      </c>
      <c r="BE470">
        <f t="shared" si="144"/>
        <v>24.700000000000003</v>
      </c>
      <c r="BF470">
        <f t="shared" si="145"/>
        <v>142272.00000000003</v>
      </c>
    </row>
    <row r="471" spans="1:58" ht="14.25" x14ac:dyDescent="0.2">
      <c r="A471" s="11">
        <v>10438</v>
      </c>
      <c r="B471" s="13">
        <f t="shared" si="146"/>
        <v>9</v>
      </c>
      <c r="C471" s="15">
        <f t="shared" si="147"/>
        <v>7</v>
      </c>
      <c r="D471" s="14">
        <f t="shared" si="148"/>
        <v>7</v>
      </c>
      <c r="E471" t="s">
        <v>2777</v>
      </c>
      <c r="F471" t="s">
        <v>2836</v>
      </c>
      <c r="G471" t="s">
        <v>2779</v>
      </c>
      <c r="H471" t="s">
        <v>2779</v>
      </c>
      <c r="I471" t="s">
        <v>2780</v>
      </c>
      <c r="J471" s="4" t="s">
        <v>2838</v>
      </c>
      <c r="K471" t="s">
        <v>177</v>
      </c>
      <c r="L471" t="s">
        <v>163</v>
      </c>
      <c r="M471" t="s">
        <v>163</v>
      </c>
      <c r="N471" t="s">
        <v>163</v>
      </c>
      <c r="O471" s="6" t="s">
        <v>857</v>
      </c>
      <c r="P471">
        <v>0</v>
      </c>
      <c r="Q471" s="24">
        <v>37.200000000000003</v>
      </c>
      <c r="R471" s="25">
        <v>47.5</v>
      </c>
      <c r="S471" s="26">
        <v>38.5</v>
      </c>
      <c r="Y471">
        <v>10</v>
      </c>
      <c r="Z471">
        <v>30</v>
      </c>
      <c r="AA471" s="3">
        <v>25</v>
      </c>
      <c r="AB471" s="3">
        <v>6</v>
      </c>
      <c r="AC471">
        <v>155</v>
      </c>
      <c r="AD471" s="9">
        <f t="shared" si="131"/>
        <v>8622.5</v>
      </c>
      <c r="AE471">
        <f t="shared" si="138"/>
        <v>2555730</v>
      </c>
      <c r="AF471" s="2">
        <f t="shared" si="142"/>
        <v>24.700000000000003</v>
      </c>
      <c r="AG471" t="str">
        <f t="shared" si="132"/>
        <v>143小时</v>
      </c>
      <c r="AH471">
        <f t="shared" si="133"/>
        <v>75</v>
      </c>
      <c r="AI471">
        <f t="shared" si="134"/>
        <v>13</v>
      </c>
      <c r="AJ471">
        <f t="shared" si="139"/>
        <v>45.6</v>
      </c>
      <c r="AK471">
        <f t="shared" si="135"/>
        <v>23</v>
      </c>
      <c r="AL471">
        <f t="shared" si="140"/>
        <v>24.700000000000003</v>
      </c>
      <c r="AM471" s="2">
        <f t="shared" si="136"/>
        <v>13</v>
      </c>
      <c r="AX471">
        <v>468</v>
      </c>
      <c r="AZ471" s="3"/>
      <c r="BB471" s="2">
        <f t="shared" si="137"/>
        <v>145</v>
      </c>
      <c r="BC471">
        <f t="shared" si="141"/>
        <v>9.9474246513720175</v>
      </c>
      <c r="BD471" s="2">
        <f t="shared" si="143"/>
        <v>45.6</v>
      </c>
      <c r="BE471">
        <f t="shared" si="144"/>
        <v>24.700000000000003</v>
      </c>
      <c r="BF471">
        <f t="shared" si="145"/>
        <v>142272.00000000003</v>
      </c>
    </row>
    <row r="472" spans="1:58" ht="14.25" x14ac:dyDescent="0.2">
      <c r="A472" s="11">
        <v>10439</v>
      </c>
      <c r="B472" s="13">
        <f t="shared" si="146"/>
        <v>9</v>
      </c>
      <c r="C472" s="15">
        <f t="shared" si="147"/>
        <v>7</v>
      </c>
      <c r="D472" s="14">
        <f t="shared" si="148"/>
        <v>7</v>
      </c>
      <c r="E472" t="s">
        <v>2777</v>
      </c>
      <c r="F472" t="s">
        <v>2837</v>
      </c>
      <c r="G472" t="s">
        <v>2779</v>
      </c>
      <c r="H472" t="s">
        <v>2779</v>
      </c>
      <c r="I472" t="s">
        <v>2780</v>
      </c>
      <c r="J472" s="4" t="s">
        <v>2838</v>
      </c>
      <c r="K472" t="s">
        <v>174</v>
      </c>
      <c r="L472" t="s">
        <v>163</v>
      </c>
      <c r="M472" t="s">
        <v>163</v>
      </c>
      <c r="N472" t="s">
        <v>163</v>
      </c>
      <c r="O472" s="6" t="s">
        <v>859</v>
      </c>
      <c r="P472">
        <v>0</v>
      </c>
      <c r="Q472" s="24">
        <v>37.200000000000003</v>
      </c>
      <c r="R472" s="25">
        <v>47.5</v>
      </c>
      <c r="S472" s="26">
        <v>38.5</v>
      </c>
      <c r="Y472">
        <v>10</v>
      </c>
      <c r="Z472">
        <v>30</v>
      </c>
      <c r="AA472" s="3">
        <v>25</v>
      </c>
      <c r="AB472" s="3">
        <v>6</v>
      </c>
      <c r="AC472">
        <v>155</v>
      </c>
      <c r="AD472" s="9">
        <f t="shared" si="131"/>
        <v>8622.5</v>
      </c>
      <c r="AE472">
        <f t="shared" si="138"/>
        <v>2555730</v>
      </c>
      <c r="AF472" s="2">
        <f t="shared" si="142"/>
        <v>24.700000000000003</v>
      </c>
      <c r="AG472" t="str">
        <f t="shared" si="132"/>
        <v>143小时</v>
      </c>
      <c r="AH472">
        <f t="shared" si="133"/>
        <v>75</v>
      </c>
      <c r="AI472">
        <f t="shared" si="134"/>
        <v>13</v>
      </c>
      <c r="AJ472">
        <f t="shared" si="139"/>
        <v>45.6</v>
      </c>
      <c r="AK472">
        <f t="shared" si="135"/>
        <v>23</v>
      </c>
      <c r="AL472">
        <f t="shared" si="140"/>
        <v>24.700000000000003</v>
      </c>
      <c r="AM472" s="2">
        <f t="shared" si="136"/>
        <v>13</v>
      </c>
      <c r="AX472">
        <v>469</v>
      </c>
      <c r="AZ472" s="3"/>
      <c r="BB472" s="2">
        <f t="shared" si="137"/>
        <v>145</v>
      </c>
      <c r="BC472">
        <f t="shared" si="141"/>
        <v>9.9474246513720175</v>
      </c>
      <c r="BD472" s="2">
        <f t="shared" si="143"/>
        <v>45.6</v>
      </c>
      <c r="BE472">
        <f t="shared" si="144"/>
        <v>24.700000000000003</v>
      </c>
      <c r="BF472">
        <f t="shared" si="145"/>
        <v>142272.00000000003</v>
      </c>
    </row>
    <row r="473" spans="1:58" ht="14.25" x14ac:dyDescent="0.2">
      <c r="A473" s="11">
        <v>10440</v>
      </c>
      <c r="B473" s="13">
        <f t="shared" si="146"/>
        <v>9</v>
      </c>
      <c r="C473" s="15">
        <f t="shared" si="147"/>
        <v>7</v>
      </c>
      <c r="D473" s="14">
        <f t="shared" si="148"/>
        <v>7</v>
      </c>
      <c r="E473" t="s">
        <v>2785</v>
      </c>
      <c r="F473" t="s">
        <v>2786</v>
      </c>
      <c r="G473" t="s">
        <v>2832</v>
      </c>
      <c r="H473" t="s">
        <v>2829</v>
      </c>
      <c r="I473" t="s">
        <v>2697</v>
      </c>
      <c r="J473" s="4" t="s">
        <v>2858</v>
      </c>
      <c r="K473" t="s">
        <v>166</v>
      </c>
      <c r="L473" t="s">
        <v>163</v>
      </c>
      <c r="M473" t="s">
        <v>163</v>
      </c>
      <c r="N473" t="s">
        <v>163</v>
      </c>
      <c r="O473" s="6" t="s">
        <v>859</v>
      </c>
      <c r="P473">
        <v>0</v>
      </c>
      <c r="Q473" s="24">
        <v>37.200000000000003</v>
      </c>
      <c r="R473" s="25">
        <v>47.5</v>
      </c>
      <c r="S473" s="26">
        <v>38.5</v>
      </c>
      <c r="Y473">
        <v>10</v>
      </c>
      <c r="Z473">
        <v>30</v>
      </c>
      <c r="AA473" s="3">
        <v>25</v>
      </c>
      <c r="AB473" s="3">
        <v>6</v>
      </c>
      <c r="AC473">
        <v>155</v>
      </c>
      <c r="AD473" s="9">
        <f t="shared" si="131"/>
        <v>8622.5</v>
      </c>
      <c r="AE473">
        <f t="shared" si="138"/>
        <v>2555730</v>
      </c>
      <c r="AF473" s="2">
        <f t="shared" si="142"/>
        <v>24.700000000000003</v>
      </c>
      <c r="AG473" t="str">
        <f t="shared" si="132"/>
        <v>143小时</v>
      </c>
      <c r="AH473">
        <f t="shared" si="133"/>
        <v>75</v>
      </c>
      <c r="AI473">
        <f t="shared" si="134"/>
        <v>13</v>
      </c>
      <c r="AJ473">
        <f t="shared" si="139"/>
        <v>45.6</v>
      </c>
      <c r="AK473">
        <f t="shared" si="135"/>
        <v>23</v>
      </c>
      <c r="AL473">
        <f t="shared" si="140"/>
        <v>24.700000000000003</v>
      </c>
      <c r="AM473" s="2">
        <f t="shared" si="136"/>
        <v>13</v>
      </c>
      <c r="AX473">
        <v>470</v>
      </c>
      <c r="AZ473" s="3"/>
      <c r="BB473" s="2">
        <f t="shared" si="137"/>
        <v>145</v>
      </c>
      <c r="BC473">
        <f t="shared" si="141"/>
        <v>9.9474246513720175</v>
      </c>
      <c r="BD473" s="2">
        <f t="shared" si="143"/>
        <v>45.6</v>
      </c>
      <c r="BE473">
        <f t="shared" si="144"/>
        <v>24.700000000000003</v>
      </c>
      <c r="BF473">
        <f t="shared" si="145"/>
        <v>142272.00000000003</v>
      </c>
    </row>
    <row r="474" spans="1:58" ht="14.25" x14ac:dyDescent="0.2">
      <c r="A474" s="11">
        <v>10441</v>
      </c>
      <c r="B474" s="13">
        <f t="shared" si="146"/>
        <v>9</v>
      </c>
      <c r="C474" s="15">
        <f t="shared" si="147"/>
        <v>7</v>
      </c>
      <c r="D474" s="14">
        <f t="shared" si="148"/>
        <v>7</v>
      </c>
      <c r="E474" t="s">
        <v>2777</v>
      </c>
      <c r="F474" t="s">
        <v>2834</v>
      </c>
      <c r="G474" t="s">
        <v>2779</v>
      </c>
      <c r="H474" t="s">
        <v>2779</v>
      </c>
      <c r="I474" t="s">
        <v>2780</v>
      </c>
      <c r="J474" s="4" t="s">
        <v>2838</v>
      </c>
      <c r="K474" t="s">
        <v>168</v>
      </c>
      <c r="L474" t="s">
        <v>163</v>
      </c>
      <c r="M474" t="s">
        <v>163</v>
      </c>
      <c r="N474" t="s">
        <v>163</v>
      </c>
      <c r="O474" s="6" t="s">
        <v>861</v>
      </c>
      <c r="P474">
        <v>0</v>
      </c>
      <c r="Q474" s="24">
        <v>37.5</v>
      </c>
      <c r="R474" s="25">
        <v>48</v>
      </c>
      <c r="S474" s="26">
        <v>38.799999999999997</v>
      </c>
      <c r="Y474">
        <v>10</v>
      </c>
      <c r="Z474">
        <v>30</v>
      </c>
      <c r="AA474" s="3">
        <v>25</v>
      </c>
      <c r="AB474" s="3">
        <v>6</v>
      </c>
      <c r="AC474">
        <v>155</v>
      </c>
      <c r="AD474" s="9">
        <f t="shared" si="131"/>
        <v>8519.0833333333321</v>
      </c>
      <c r="AE474">
        <f t="shared" si="138"/>
        <v>2555730</v>
      </c>
      <c r="AF474" s="2">
        <f t="shared" si="142"/>
        <v>25</v>
      </c>
      <c r="AG474" t="str">
        <f t="shared" si="132"/>
        <v>141小时</v>
      </c>
      <c r="AH474">
        <f t="shared" si="133"/>
        <v>75</v>
      </c>
      <c r="AI474">
        <f t="shared" si="134"/>
        <v>13</v>
      </c>
      <c r="AJ474">
        <f t="shared" si="139"/>
        <v>46</v>
      </c>
      <c r="AK474">
        <f t="shared" si="135"/>
        <v>23</v>
      </c>
      <c r="AL474">
        <f t="shared" si="140"/>
        <v>25</v>
      </c>
      <c r="AM474" s="2">
        <f t="shared" si="136"/>
        <v>13</v>
      </c>
      <c r="AX474">
        <v>471</v>
      </c>
      <c r="AZ474" s="3"/>
      <c r="BB474" s="2">
        <f t="shared" si="137"/>
        <v>145</v>
      </c>
      <c r="BC474">
        <f t="shared" si="141"/>
        <v>9.8280555555555562</v>
      </c>
      <c r="BD474" s="2">
        <f t="shared" si="143"/>
        <v>46</v>
      </c>
      <c r="BE474">
        <f t="shared" si="144"/>
        <v>25</v>
      </c>
      <c r="BF474">
        <f t="shared" si="145"/>
        <v>144000</v>
      </c>
    </row>
    <row r="475" spans="1:58" ht="14.25" x14ac:dyDescent="0.2">
      <c r="A475" s="11">
        <v>10442</v>
      </c>
      <c r="B475" s="13">
        <f t="shared" si="146"/>
        <v>9</v>
      </c>
      <c r="C475" s="15">
        <f t="shared" si="147"/>
        <v>7</v>
      </c>
      <c r="D475" s="14">
        <f t="shared" si="148"/>
        <v>7</v>
      </c>
      <c r="E475" t="s">
        <v>2777</v>
      </c>
      <c r="F475" t="s">
        <v>2835</v>
      </c>
      <c r="G475" t="s">
        <v>2779</v>
      </c>
      <c r="H475" t="s">
        <v>2779</v>
      </c>
      <c r="I475" t="s">
        <v>2780</v>
      </c>
      <c r="J475" s="4" t="s">
        <v>2838</v>
      </c>
      <c r="K475" t="s">
        <v>175</v>
      </c>
      <c r="L475" t="s">
        <v>164</v>
      </c>
      <c r="M475" t="s">
        <v>163</v>
      </c>
      <c r="N475" t="s">
        <v>167</v>
      </c>
      <c r="O475" s="6" t="s">
        <v>863</v>
      </c>
      <c r="P475">
        <v>0</v>
      </c>
      <c r="Q475" s="24">
        <v>37.5</v>
      </c>
      <c r="R475" s="25">
        <v>48</v>
      </c>
      <c r="S475" s="26">
        <v>38.799999999999997</v>
      </c>
      <c r="Y475">
        <v>10</v>
      </c>
      <c r="Z475">
        <v>30</v>
      </c>
      <c r="AA475" s="3">
        <v>25</v>
      </c>
      <c r="AB475" s="3">
        <v>6</v>
      </c>
      <c r="AC475">
        <v>155</v>
      </c>
      <c r="AD475" s="9">
        <f t="shared" si="131"/>
        <v>8519.0833333333321</v>
      </c>
      <c r="AE475">
        <f t="shared" si="138"/>
        <v>2555730</v>
      </c>
      <c r="AF475" s="2">
        <f t="shared" si="142"/>
        <v>25</v>
      </c>
      <c r="AG475" t="str">
        <f t="shared" si="132"/>
        <v>141小时</v>
      </c>
      <c r="AH475">
        <f t="shared" si="133"/>
        <v>75</v>
      </c>
      <c r="AI475">
        <f t="shared" si="134"/>
        <v>13</v>
      </c>
      <c r="AJ475">
        <f t="shared" si="139"/>
        <v>46</v>
      </c>
      <c r="AK475">
        <f t="shared" si="135"/>
        <v>23</v>
      </c>
      <c r="AL475">
        <f t="shared" si="140"/>
        <v>25</v>
      </c>
      <c r="AM475" s="2">
        <f t="shared" si="136"/>
        <v>13</v>
      </c>
      <c r="AX475">
        <v>472</v>
      </c>
      <c r="AZ475" s="3"/>
      <c r="BB475" s="2">
        <f t="shared" si="137"/>
        <v>145</v>
      </c>
      <c r="BC475">
        <f t="shared" si="141"/>
        <v>9.8280555555555562</v>
      </c>
      <c r="BD475" s="2">
        <f t="shared" si="143"/>
        <v>46</v>
      </c>
      <c r="BE475">
        <f t="shared" si="144"/>
        <v>25</v>
      </c>
      <c r="BF475">
        <f t="shared" si="145"/>
        <v>144000</v>
      </c>
    </row>
    <row r="476" spans="1:58" ht="14.25" x14ac:dyDescent="0.2">
      <c r="A476" s="11">
        <v>10443</v>
      </c>
      <c r="B476" s="13">
        <f t="shared" si="146"/>
        <v>9</v>
      </c>
      <c r="C476" s="15">
        <f t="shared" si="147"/>
        <v>7</v>
      </c>
      <c r="D476" s="14">
        <f t="shared" si="148"/>
        <v>7</v>
      </c>
      <c r="E476" t="s">
        <v>2777</v>
      </c>
      <c r="F476" t="s">
        <v>2836</v>
      </c>
      <c r="G476" t="s">
        <v>2779</v>
      </c>
      <c r="H476" t="s">
        <v>2779</v>
      </c>
      <c r="I476" t="s">
        <v>2780</v>
      </c>
      <c r="J476" s="4" t="s">
        <v>2838</v>
      </c>
      <c r="K476" t="s">
        <v>179</v>
      </c>
      <c r="L476" t="s">
        <v>163</v>
      </c>
      <c r="M476" t="s">
        <v>163</v>
      </c>
      <c r="N476" t="s">
        <v>163</v>
      </c>
      <c r="O476" s="6" t="s">
        <v>865</v>
      </c>
      <c r="P476">
        <v>0</v>
      </c>
      <c r="Q476" s="24">
        <v>37.5</v>
      </c>
      <c r="R476" s="25">
        <v>48</v>
      </c>
      <c r="S476" s="26">
        <v>38.799999999999997</v>
      </c>
      <c r="Y476">
        <v>10</v>
      </c>
      <c r="Z476">
        <v>30</v>
      </c>
      <c r="AA476" s="3">
        <v>25</v>
      </c>
      <c r="AB476" s="3">
        <v>6</v>
      </c>
      <c r="AC476">
        <v>155</v>
      </c>
      <c r="AD476" s="9">
        <f t="shared" si="131"/>
        <v>8519.0833333333321</v>
      </c>
      <c r="AE476">
        <f t="shared" si="138"/>
        <v>2555730</v>
      </c>
      <c r="AF476" s="2">
        <f t="shared" si="142"/>
        <v>25</v>
      </c>
      <c r="AG476" t="str">
        <f t="shared" si="132"/>
        <v>141小时</v>
      </c>
      <c r="AH476">
        <f t="shared" si="133"/>
        <v>75</v>
      </c>
      <c r="AI476">
        <f t="shared" si="134"/>
        <v>13</v>
      </c>
      <c r="AJ476">
        <f t="shared" si="139"/>
        <v>46</v>
      </c>
      <c r="AK476">
        <f t="shared" si="135"/>
        <v>23</v>
      </c>
      <c r="AL476">
        <f t="shared" si="140"/>
        <v>25</v>
      </c>
      <c r="AM476" s="2">
        <f t="shared" si="136"/>
        <v>13</v>
      </c>
      <c r="AX476">
        <v>473</v>
      </c>
      <c r="AZ476" s="3"/>
      <c r="BB476" s="2">
        <f t="shared" si="137"/>
        <v>145</v>
      </c>
      <c r="BC476">
        <f t="shared" si="141"/>
        <v>9.8280555555555562</v>
      </c>
      <c r="BD476" s="2">
        <f t="shared" si="143"/>
        <v>46</v>
      </c>
      <c r="BE476">
        <f t="shared" si="144"/>
        <v>25</v>
      </c>
      <c r="BF476">
        <f t="shared" si="145"/>
        <v>144000</v>
      </c>
    </row>
    <row r="477" spans="1:58" ht="14.25" x14ac:dyDescent="0.2">
      <c r="A477" s="11">
        <v>10444</v>
      </c>
      <c r="B477" s="13">
        <f t="shared" si="146"/>
        <v>9</v>
      </c>
      <c r="C477" s="15">
        <f t="shared" si="147"/>
        <v>7</v>
      </c>
      <c r="D477" s="14">
        <f t="shared" si="148"/>
        <v>7</v>
      </c>
      <c r="E477" t="s">
        <v>2777</v>
      </c>
      <c r="F477" t="s">
        <v>2837</v>
      </c>
      <c r="G477" t="s">
        <v>2779</v>
      </c>
      <c r="H477" t="s">
        <v>2779</v>
      </c>
      <c r="I477" t="s">
        <v>2780</v>
      </c>
      <c r="J477" s="4" t="s">
        <v>2838</v>
      </c>
      <c r="K477" t="s">
        <v>177</v>
      </c>
      <c r="L477" t="s">
        <v>163</v>
      </c>
      <c r="M477" t="s">
        <v>163</v>
      </c>
      <c r="N477" t="s">
        <v>163</v>
      </c>
      <c r="O477" s="6" t="s">
        <v>865</v>
      </c>
      <c r="P477">
        <v>0</v>
      </c>
      <c r="Q477" s="24">
        <v>37.5</v>
      </c>
      <c r="R477" s="25">
        <v>48</v>
      </c>
      <c r="S477" s="26">
        <v>38.799999999999997</v>
      </c>
      <c r="Y477">
        <v>10</v>
      </c>
      <c r="Z477">
        <v>30</v>
      </c>
      <c r="AA477" s="3">
        <v>25</v>
      </c>
      <c r="AB477" s="3">
        <v>6</v>
      </c>
      <c r="AC477">
        <v>155</v>
      </c>
      <c r="AD477" s="9">
        <f t="shared" si="131"/>
        <v>8519.0833333333321</v>
      </c>
      <c r="AE477">
        <f t="shared" si="138"/>
        <v>2555730</v>
      </c>
      <c r="AF477" s="2">
        <f t="shared" si="142"/>
        <v>25</v>
      </c>
      <c r="AG477" t="str">
        <f t="shared" si="132"/>
        <v>141小时</v>
      </c>
      <c r="AH477">
        <f t="shared" si="133"/>
        <v>75</v>
      </c>
      <c r="AI477">
        <f t="shared" si="134"/>
        <v>13</v>
      </c>
      <c r="AJ477">
        <f t="shared" si="139"/>
        <v>46</v>
      </c>
      <c r="AK477">
        <f t="shared" si="135"/>
        <v>23</v>
      </c>
      <c r="AL477">
        <f t="shared" si="140"/>
        <v>25</v>
      </c>
      <c r="AM477" s="2">
        <f t="shared" si="136"/>
        <v>13</v>
      </c>
      <c r="AX477">
        <v>474</v>
      </c>
      <c r="AZ477" s="3"/>
      <c r="BB477" s="2">
        <f t="shared" si="137"/>
        <v>145</v>
      </c>
      <c r="BC477">
        <f t="shared" si="141"/>
        <v>9.8280555555555562</v>
      </c>
      <c r="BD477" s="2">
        <f t="shared" si="143"/>
        <v>46</v>
      </c>
      <c r="BE477">
        <f t="shared" si="144"/>
        <v>25</v>
      </c>
      <c r="BF477">
        <f t="shared" si="145"/>
        <v>144000</v>
      </c>
    </row>
    <row r="478" spans="1:58" ht="14.25" x14ac:dyDescent="0.2">
      <c r="A478" s="11">
        <v>10445</v>
      </c>
      <c r="B478" s="13">
        <f t="shared" si="146"/>
        <v>9</v>
      </c>
      <c r="C478" s="15">
        <f t="shared" si="147"/>
        <v>7</v>
      </c>
      <c r="D478" s="14">
        <f t="shared" si="148"/>
        <v>7</v>
      </c>
      <c r="E478" t="s">
        <v>2785</v>
      </c>
      <c r="F478" t="s">
        <v>2786</v>
      </c>
      <c r="G478" t="s">
        <v>2833</v>
      </c>
      <c r="H478" t="s">
        <v>2829</v>
      </c>
      <c r="I478" t="s">
        <v>2697</v>
      </c>
      <c r="J478" s="4" t="s">
        <v>2876</v>
      </c>
      <c r="K478" t="s">
        <v>174</v>
      </c>
      <c r="L478" t="s">
        <v>163</v>
      </c>
      <c r="M478" t="s">
        <v>163</v>
      </c>
      <c r="N478" t="s">
        <v>163</v>
      </c>
      <c r="O478" s="6" t="s">
        <v>867</v>
      </c>
      <c r="P478">
        <v>0</v>
      </c>
      <c r="Q478" s="24">
        <v>37.5</v>
      </c>
      <c r="R478" s="25">
        <v>48</v>
      </c>
      <c r="S478" s="26">
        <v>38.799999999999997</v>
      </c>
      <c r="Y478">
        <v>10</v>
      </c>
      <c r="Z478">
        <v>30</v>
      </c>
      <c r="AA478" s="3">
        <v>25</v>
      </c>
      <c r="AB478" s="3">
        <v>6</v>
      </c>
      <c r="AC478">
        <v>155</v>
      </c>
      <c r="AD478" s="9">
        <f t="shared" si="131"/>
        <v>8519.0833333333321</v>
      </c>
      <c r="AE478">
        <f t="shared" si="138"/>
        <v>2555730</v>
      </c>
      <c r="AF478" s="2">
        <f t="shared" si="142"/>
        <v>25</v>
      </c>
      <c r="AG478" t="str">
        <f t="shared" si="132"/>
        <v>141小时</v>
      </c>
      <c r="AH478">
        <f t="shared" si="133"/>
        <v>75</v>
      </c>
      <c r="AI478">
        <f t="shared" si="134"/>
        <v>13</v>
      </c>
      <c r="AJ478">
        <f t="shared" si="139"/>
        <v>46</v>
      </c>
      <c r="AK478">
        <f t="shared" si="135"/>
        <v>23</v>
      </c>
      <c r="AL478">
        <f t="shared" si="140"/>
        <v>25</v>
      </c>
      <c r="AM478" s="2">
        <f t="shared" si="136"/>
        <v>13</v>
      </c>
      <c r="AX478">
        <v>475</v>
      </c>
      <c r="AZ478" s="3"/>
      <c r="BB478" s="2">
        <f t="shared" si="137"/>
        <v>145</v>
      </c>
      <c r="BC478">
        <f t="shared" si="141"/>
        <v>9.8280555555555562</v>
      </c>
      <c r="BD478" s="2">
        <f t="shared" si="143"/>
        <v>46</v>
      </c>
      <c r="BE478">
        <f t="shared" si="144"/>
        <v>25</v>
      </c>
      <c r="BF478">
        <f t="shared" si="145"/>
        <v>144000</v>
      </c>
    </row>
    <row r="479" spans="1:58" ht="14.25" x14ac:dyDescent="0.2">
      <c r="A479" s="11">
        <v>10446</v>
      </c>
      <c r="B479" s="13">
        <f t="shared" si="146"/>
        <v>9</v>
      </c>
      <c r="C479" s="15">
        <f t="shared" si="147"/>
        <v>7</v>
      </c>
      <c r="D479" s="14">
        <f t="shared" si="148"/>
        <v>7</v>
      </c>
      <c r="E479" t="s">
        <v>2777</v>
      </c>
      <c r="F479" t="s">
        <v>2834</v>
      </c>
      <c r="G479" t="s">
        <v>2779</v>
      </c>
      <c r="H479" t="s">
        <v>2779</v>
      </c>
      <c r="I479" t="s">
        <v>2780</v>
      </c>
      <c r="J479" s="4" t="s">
        <v>2838</v>
      </c>
      <c r="K479" t="s">
        <v>182</v>
      </c>
      <c r="L479" t="s">
        <v>163</v>
      </c>
      <c r="M479" t="s">
        <v>163</v>
      </c>
      <c r="N479" t="s">
        <v>163</v>
      </c>
      <c r="O479" s="6" t="s">
        <v>869</v>
      </c>
      <c r="P479">
        <v>0</v>
      </c>
      <c r="Q479" s="24">
        <v>37.799999999999997</v>
      </c>
      <c r="R479" s="25">
        <v>48.5</v>
      </c>
      <c r="S479" s="26">
        <v>39</v>
      </c>
      <c r="Y479">
        <v>10</v>
      </c>
      <c r="Z479">
        <v>30</v>
      </c>
      <c r="AA479" s="3">
        <v>25</v>
      </c>
      <c r="AB479" s="3">
        <v>6</v>
      </c>
      <c r="AC479">
        <v>155</v>
      </c>
      <c r="AD479" s="9">
        <f t="shared" si="131"/>
        <v>8451.4166666666661</v>
      </c>
      <c r="AE479">
        <f t="shared" si="138"/>
        <v>2555730</v>
      </c>
      <c r="AF479" s="2">
        <f t="shared" si="142"/>
        <v>25.200000000000003</v>
      </c>
      <c r="AG479" t="str">
        <f t="shared" si="132"/>
        <v>140小时</v>
      </c>
      <c r="AH479">
        <f t="shared" si="133"/>
        <v>76</v>
      </c>
      <c r="AI479">
        <f t="shared" si="134"/>
        <v>13</v>
      </c>
      <c r="AJ479">
        <f t="shared" si="139"/>
        <v>46.3</v>
      </c>
      <c r="AK479">
        <f t="shared" si="135"/>
        <v>24</v>
      </c>
      <c r="AL479">
        <f t="shared" si="140"/>
        <v>25.200000000000003</v>
      </c>
      <c r="AM479" s="2">
        <f t="shared" si="136"/>
        <v>13</v>
      </c>
      <c r="AX479">
        <v>476</v>
      </c>
      <c r="AZ479" s="3"/>
      <c r="BB479" s="2">
        <f t="shared" si="137"/>
        <v>145</v>
      </c>
      <c r="BC479">
        <f t="shared" si="141"/>
        <v>9.750055114638446</v>
      </c>
      <c r="BD479" s="2">
        <f t="shared" si="143"/>
        <v>46.3</v>
      </c>
      <c r="BE479">
        <f t="shared" si="144"/>
        <v>25.200000000000003</v>
      </c>
      <c r="BF479">
        <f t="shared" si="145"/>
        <v>145152.00000000003</v>
      </c>
    </row>
    <row r="480" spans="1:58" ht="14.25" x14ac:dyDescent="0.2">
      <c r="A480" s="11">
        <v>10447</v>
      </c>
      <c r="B480" s="13">
        <f t="shared" si="146"/>
        <v>9</v>
      </c>
      <c r="C480" s="15">
        <f t="shared" si="147"/>
        <v>7</v>
      </c>
      <c r="D480" s="14">
        <f t="shared" si="148"/>
        <v>7</v>
      </c>
      <c r="E480" t="s">
        <v>2777</v>
      </c>
      <c r="F480" t="s">
        <v>2835</v>
      </c>
      <c r="G480" t="s">
        <v>2779</v>
      </c>
      <c r="H480" t="s">
        <v>2779</v>
      </c>
      <c r="I480" t="s">
        <v>2780</v>
      </c>
      <c r="J480" s="4" t="s">
        <v>2838</v>
      </c>
      <c r="K480" t="s">
        <v>162</v>
      </c>
      <c r="L480" t="s">
        <v>163</v>
      </c>
      <c r="M480" t="s">
        <v>163</v>
      </c>
      <c r="N480" t="s">
        <v>163</v>
      </c>
      <c r="O480" s="6" t="s">
        <v>869</v>
      </c>
      <c r="P480">
        <v>0</v>
      </c>
      <c r="Q480" s="24">
        <v>37.799999999999997</v>
      </c>
      <c r="R480" s="25">
        <v>48.5</v>
      </c>
      <c r="S480" s="26">
        <v>39</v>
      </c>
      <c r="Y480">
        <v>10</v>
      </c>
      <c r="Z480">
        <v>30</v>
      </c>
      <c r="AA480" s="3">
        <v>25</v>
      </c>
      <c r="AB480" s="3">
        <v>6</v>
      </c>
      <c r="AC480">
        <v>155</v>
      </c>
      <c r="AD480" s="9">
        <f t="shared" si="131"/>
        <v>8451.4166666666661</v>
      </c>
      <c r="AE480">
        <f t="shared" si="138"/>
        <v>2555730</v>
      </c>
      <c r="AF480" s="2">
        <f t="shared" si="142"/>
        <v>25.200000000000003</v>
      </c>
      <c r="AG480" t="str">
        <f t="shared" si="132"/>
        <v>140小时</v>
      </c>
      <c r="AH480">
        <f t="shared" si="133"/>
        <v>76</v>
      </c>
      <c r="AI480">
        <f t="shared" si="134"/>
        <v>13</v>
      </c>
      <c r="AJ480">
        <f t="shared" si="139"/>
        <v>46.3</v>
      </c>
      <c r="AK480">
        <f t="shared" si="135"/>
        <v>24</v>
      </c>
      <c r="AL480">
        <f t="shared" si="140"/>
        <v>25.200000000000003</v>
      </c>
      <c r="AM480" s="2">
        <f t="shared" si="136"/>
        <v>13</v>
      </c>
      <c r="AX480">
        <v>477</v>
      </c>
      <c r="AZ480" s="3"/>
      <c r="BB480" s="2">
        <f t="shared" si="137"/>
        <v>145</v>
      </c>
      <c r="BC480">
        <f t="shared" si="141"/>
        <v>9.750055114638446</v>
      </c>
      <c r="BD480" s="2">
        <f t="shared" si="143"/>
        <v>46.3</v>
      </c>
      <c r="BE480">
        <f t="shared" si="144"/>
        <v>25.200000000000003</v>
      </c>
      <c r="BF480">
        <f t="shared" si="145"/>
        <v>145152.00000000003</v>
      </c>
    </row>
    <row r="481" spans="1:58" ht="14.25" x14ac:dyDescent="0.2">
      <c r="A481" s="11">
        <v>10448</v>
      </c>
      <c r="B481" s="13">
        <f t="shared" si="146"/>
        <v>9</v>
      </c>
      <c r="C481" s="15">
        <f t="shared" si="147"/>
        <v>7</v>
      </c>
      <c r="D481" s="14">
        <f t="shared" si="148"/>
        <v>7</v>
      </c>
      <c r="E481" t="s">
        <v>2777</v>
      </c>
      <c r="F481" t="s">
        <v>2836</v>
      </c>
      <c r="G481" t="s">
        <v>2779</v>
      </c>
      <c r="H481" t="s">
        <v>2779</v>
      </c>
      <c r="I481" t="s">
        <v>2780</v>
      </c>
      <c r="J481" s="4" t="s">
        <v>2838</v>
      </c>
      <c r="K481" t="s">
        <v>177</v>
      </c>
      <c r="L481" t="s">
        <v>163</v>
      </c>
      <c r="M481" t="s">
        <v>163</v>
      </c>
      <c r="N481" t="s">
        <v>163</v>
      </c>
      <c r="O481" s="6" t="s">
        <v>871</v>
      </c>
      <c r="P481">
        <v>0</v>
      </c>
      <c r="Q481" s="24">
        <v>37.799999999999997</v>
      </c>
      <c r="R481" s="25">
        <v>48.5</v>
      </c>
      <c r="S481" s="26">
        <v>39</v>
      </c>
      <c r="Y481">
        <v>10</v>
      </c>
      <c r="Z481">
        <v>30</v>
      </c>
      <c r="AA481" s="3">
        <v>25</v>
      </c>
      <c r="AB481" s="3">
        <v>6</v>
      </c>
      <c r="AC481">
        <v>155</v>
      </c>
      <c r="AD481" s="9">
        <f t="shared" si="131"/>
        <v>8451.4166666666661</v>
      </c>
      <c r="AE481">
        <f t="shared" si="138"/>
        <v>2555730</v>
      </c>
      <c r="AF481" s="2">
        <f t="shared" si="142"/>
        <v>25.200000000000003</v>
      </c>
      <c r="AG481" t="str">
        <f t="shared" si="132"/>
        <v>140小时</v>
      </c>
      <c r="AH481">
        <f t="shared" si="133"/>
        <v>76</v>
      </c>
      <c r="AI481">
        <f t="shared" si="134"/>
        <v>13</v>
      </c>
      <c r="AJ481">
        <f t="shared" si="139"/>
        <v>46.3</v>
      </c>
      <c r="AK481">
        <f t="shared" si="135"/>
        <v>24</v>
      </c>
      <c r="AL481">
        <f t="shared" si="140"/>
        <v>25.200000000000003</v>
      </c>
      <c r="AM481" s="2">
        <f t="shared" si="136"/>
        <v>13</v>
      </c>
      <c r="AX481">
        <v>478</v>
      </c>
      <c r="AZ481" s="3"/>
      <c r="BB481" s="2">
        <f t="shared" si="137"/>
        <v>145</v>
      </c>
      <c r="BC481">
        <f t="shared" si="141"/>
        <v>9.750055114638446</v>
      </c>
      <c r="BD481" s="2">
        <f t="shared" si="143"/>
        <v>46.3</v>
      </c>
      <c r="BE481">
        <f t="shared" si="144"/>
        <v>25.200000000000003</v>
      </c>
      <c r="BF481">
        <f t="shared" si="145"/>
        <v>145152.00000000003</v>
      </c>
    </row>
    <row r="482" spans="1:58" ht="14.25" x14ac:dyDescent="0.2">
      <c r="A482" s="11">
        <v>10449</v>
      </c>
      <c r="B482" s="13">
        <f t="shared" si="146"/>
        <v>9</v>
      </c>
      <c r="C482" s="15">
        <f t="shared" si="147"/>
        <v>7</v>
      </c>
      <c r="D482" s="14">
        <f t="shared" si="148"/>
        <v>7</v>
      </c>
      <c r="E482" t="s">
        <v>2777</v>
      </c>
      <c r="F482" t="s">
        <v>2837</v>
      </c>
      <c r="G482" t="s">
        <v>2779</v>
      </c>
      <c r="H482" t="s">
        <v>2779</v>
      </c>
      <c r="I482" t="s">
        <v>2780</v>
      </c>
      <c r="J482" s="4" t="s">
        <v>2838</v>
      </c>
      <c r="K482" t="s">
        <v>174</v>
      </c>
      <c r="L482" t="s">
        <v>163</v>
      </c>
      <c r="M482" t="s">
        <v>163</v>
      </c>
      <c r="N482" t="s">
        <v>163</v>
      </c>
      <c r="O482" s="6" t="s">
        <v>873</v>
      </c>
      <c r="P482">
        <v>0</v>
      </c>
      <c r="Q482" s="24">
        <v>37.799999999999997</v>
      </c>
      <c r="R482" s="25">
        <v>48.5</v>
      </c>
      <c r="S482" s="26">
        <v>39</v>
      </c>
      <c r="Y482">
        <v>10</v>
      </c>
      <c r="Z482">
        <v>30</v>
      </c>
      <c r="AA482" s="3">
        <v>25</v>
      </c>
      <c r="AB482" s="3">
        <v>6</v>
      </c>
      <c r="AC482">
        <v>155</v>
      </c>
      <c r="AD482" s="9">
        <f t="shared" si="131"/>
        <v>8451.4166666666661</v>
      </c>
      <c r="AE482">
        <f t="shared" si="138"/>
        <v>2555730</v>
      </c>
      <c r="AF482" s="2">
        <f t="shared" si="142"/>
        <v>25.200000000000003</v>
      </c>
      <c r="AG482" t="str">
        <f t="shared" si="132"/>
        <v>140小时</v>
      </c>
      <c r="AH482">
        <f t="shared" si="133"/>
        <v>76</v>
      </c>
      <c r="AI482">
        <f t="shared" si="134"/>
        <v>13</v>
      </c>
      <c r="AJ482">
        <f t="shared" si="139"/>
        <v>46.3</v>
      </c>
      <c r="AK482">
        <f t="shared" si="135"/>
        <v>24</v>
      </c>
      <c r="AL482">
        <f t="shared" si="140"/>
        <v>25.200000000000003</v>
      </c>
      <c r="AM482" s="2">
        <f t="shared" si="136"/>
        <v>13</v>
      </c>
      <c r="AX482">
        <v>479</v>
      </c>
      <c r="AZ482" s="3"/>
      <c r="BB482" s="2">
        <f t="shared" si="137"/>
        <v>145</v>
      </c>
      <c r="BC482">
        <f t="shared" si="141"/>
        <v>9.750055114638446</v>
      </c>
      <c r="BD482" s="2">
        <f t="shared" si="143"/>
        <v>46.3</v>
      </c>
      <c r="BE482">
        <f t="shared" si="144"/>
        <v>25.200000000000003</v>
      </c>
      <c r="BF482">
        <f t="shared" si="145"/>
        <v>145152.00000000003</v>
      </c>
    </row>
    <row r="483" spans="1:58" ht="14.25" x14ac:dyDescent="0.2">
      <c r="A483" s="11">
        <v>10450</v>
      </c>
      <c r="B483" s="13">
        <f t="shared" si="146"/>
        <v>9</v>
      </c>
      <c r="C483" s="15">
        <f t="shared" si="147"/>
        <v>7</v>
      </c>
      <c r="D483" s="14">
        <f t="shared" si="148"/>
        <v>7</v>
      </c>
      <c r="E483" t="s">
        <v>2785</v>
      </c>
      <c r="F483" t="s">
        <v>2786</v>
      </c>
      <c r="G483" t="s">
        <v>2828</v>
      </c>
      <c r="H483" t="s">
        <v>2829</v>
      </c>
      <c r="I483" t="s">
        <v>2697</v>
      </c>
      <c r="J483" s="4" t="s">
        <v>2876</v>
      </c>
      <c r="K483" t="s">
        <v>166</v>
      </c>
      <c r="L483" t="s">
        <v>163</v>
      </c>
      <c r="M483" t="s">
        <v>163</v>
      </c>
      <c r="N483" t="s">
        <v>163</v>
      </c>
      <c r="O483" s="6" t="s">
        <v>873</v>
      </c>
      <c r="P483">
        <v>0</v>
      </c>
      <c r="Q483" s="24">
        <v>37.799999999999997</v>
      </c>
      <c r="R483" s="25">
        <v>48.5</v>
      </c>
      <c r="S483" s="26">
        <v>39</v>
      </c>
      <c r="Y483">
        <v>10</v>
      </c>
      <c r="Z483">
        <v>30</v>
      </c>
      <c r="AA483" s="3">
        <v>25</v>
      </c>
      <c r="AB483" s="3">
        <v>6</v>
      </c>
      <c r="AC483">
        <v>155</v>
      </c>
      <c r="AD483" s="9">
        <f t="shared" si="131"/>
        <v>8451.4166666666661</v>
      </c>
      <c r="AE483">
        <f t="shared" si="138"/>
        <v>2555730</v>
      </c>
      <c r="AF483" s="2">
        <f t="shared" si="142"/>
        <v>25.200000000000003</v>
      </c>
      <c r="AG483" t="str">
        <f t="shared" si="132"/>
        <v>140小时</v>
      </c>
      <c r="AH483">
        <f t="shared" si="133"/>
        <v>76</v>
      </c>
      <c r="AI483">
        <f t="shared" si="134"/>
        <v>13</v>
      </c>
      <c r="AJ483">
        <f t="shared" si="139"/>
        <v>46.3</v>
      </c>
      <c r="AK483">
        <f t="shared" si="135"/>
        <v>24</v>
      </c>
      <c r="AL483">
        <f t="shared" si="140"/>
        <v>25.200000000000003</v>
      </c>
      <c r="AM483" s="2">
        <f t="shared" si="136"/>
        <v>13</v>
      </c>
      <c r="AX483">
        <v>480</v>
      </c>
      <c r="AZ483" s="3"/>
      <c r="BB483" s="2">
        <f t="shared" si="137"/>
        <v>145</v>
      </c>
      <c r="BC483">
        <f t="shared" si="141"/>
        <v>9.750055114638446</v>
      </c>
      <c r="BD483" s="2">
        <f t="shared" si="143"/>
        <v>46.3</v>
      </c>
      <c r="BE483">
        <f t="shared" si="144"/>
        <v>25.200000000000003</v>
      </c>
      <c r="BF483">
        <f t="shared" si="145"/>
        <v>145152.00000000003</v>
      </c>
    </row>
    <row r="484" spans="1:58" ht="14.25" x14ac:dyDescent="0.2">
      <c r="A484" s="11">
        <v>10501</v>
      </c>
      <c r="B484" s="13">
        <f t="shared" si="146"/>
        <v>9</v>
      </c>
      <c r="C484" s="15">
        <f t="shared" si="147"/>
        <v>7</v>
      </c>
      <c r="D484" s="14">
        <f t="shared" si="148"/>
        <v>7</v>
      </c>
      <c r="E484" t="s">
        <v>2777</v>
      </c>
      <c r="F484" t="s">
        <v>2834</v>
      </c>
      <c r="G484" t="s">
        <v>2779</v>
      </c>
      <c r="H484" t="s">
        <v>2779</v>
      </c>
      <c r="I484" t="s">
        <v>2780</v>
      </c>
      <c r="J484" s="4" t="s">
        <v>2838</v>
      </c>
      <c r="K484" t="s">
        <v>168</v>
      </c>
      <c r="L484" t="s">
        <v>163</v>
      </c>
      <c r="M484" t="s">
        <v>163</v>
      </c>
      <c r="N484" t="s">
        <v>163</v>
      </c>
      <c r="O484" s="6" t="s">
        <v>875</v>
      </c>
      <c r="P484">
        <v>0</v>
      </c>
      <c r="Q484" s="24">
        <v>38.200000000000003</v>
      </c>
      <c r="R484" s="25">
        <v>49</v>
      </c>
      <c r="S484" s="26">
        <v>39.299999999999997</v>
      </c>
      <c r="Y484">
        <v>10</v>
      </c>
      <c r="Z484">
        <v>30</v>
      </c>
      <c r="AA484" s="3">
        <v>25</v>
      </c>
      <c r="AB484" s="3">
        <v>6</v>
      </c>
      <c r="AC484">
        <v>155</v>
      </c>
      <c r="AD484" s="9">
        <f t="shared" si="131"/>
        <v>8352</v>
      </c>
      <c r="AE484">
        <f t="shared" si="138"/>
        <v>2555730</v>
      </c>
      <c r="AF484" s="2">
        <f t="shared" si="142"/>
        <v>25.5</v>
      </c>
      <c r="AG484" t="str">
        <f t="shared" si="132"/>
        <v>139小时</v>
      </c>
      <c r="AH484">
        <f t="shared" si="133"/>
        <v>77</v>
      </c>
      <c r="AI484">
        <f t="shared" si="134"/>
        <v>13</v>
      </c>
      <c r="AJ484">
        <f t="shared" si="139"/>
        <v>46.800000000000004</v>
      </c>
      <c r="AK484">
        <f t="shared" si="135"/>
        <v>24</v>
      </c>
      <c r="AL484">
        <f t="shared" si="140"/>
        <v>25.5</v>
      </c>
      <c r="AM484" s="2">
        <f t="shared" si="136"/>
        <v>13</v>
      </c>
      <c r="AX484">
        <v>481</v>
      </c>
      <c r="AZ484" s="3"/>
      <c r="BB484" s="2">
        <f t="shared" si="137"/>
        <v>145</v>
      </c>
      <c r="BC484">
        <f t="shared" si="141"/>
        <v>9.6353485838779953</v>
      </c>
      <c r="BD484" s="2">
        <f t="shared" si="143"/>
        <v>46.800000000000004</v>
      </c>
      <c r="BE484">
        <f t="shared" si="144"/>
        <v>25.5</v>
      </c>
      <c r="BF484">
        <f t="shared" si="145"/>
        <v>146880</v>
      </c>
    </row>
    <row r="485" spans="1:58" ht="14.25" x14ac:dyDescent="0.2">
      <c r="A485" s="11">
        <v>10502</v>
      </c>
      <c r="B485" s="13">
        <f t="shared" si="146"/>
        <v>9</v>
      </c>
      <c r="C485" s="15">
        <f t="shared" si="147"/>
        <v>7</v>
      </c>
      <c r="D485" s="14">
        <f t="shared" si="148"/>
        <v>7</v>
      </c>
      <c r="E485" t="s">
        <v>2777</v>
      </c>
      <c r="F485" t="s">
        <v>2835</v>
      </c>
      <c r="G485" t="s">
        <v>2779</v>
      </c>
      <c r="H485" t="s">
        <v>2779</v>
      </c>
      <c r="I485" t="s">
        <v>2780</v>
      </c>
      <c r="J485" s="4" t="s">
        <v>2838</v>
      </c>
      <c r="K485" t="s">
        <v>175</v>
      </c>
      <c r="L485" t="s">
        <v>164</v>
      </c>
      <c r="M485" t="s">
        <v>163</v>
      </c>
      <c r="N485" t="s">
        <v>167</v>
      </c>
      <c r="O485" s="6" t="s">
        <v>877</v>
      </c>
      <c r="P485">
        <v>0</v>
      </c>
      <c r="Q485" s="24">
        <v>38.200000000000003</v>
      </c>
      <c r="R485" s="25">
        <v>49</v>
      </c>
      <c r="S485" s="26">
        <v>39.299999999999997</v>
      </c>
      <c r="Y485">
        <v>10</v>
      </c>
      <c r="Z485">
        <v>30</v>
      </c>
      <c r="AA485" s="3">
        <v>25</v>
      </c>
      <c r="AB485" s="3">
        <v>6</v>
      </c>
      <c r="AC485">
        <v>155</v>
      </c>
      <c r="AD485" s="9">
        <f t="shared" si="131"/>
        <v>8352</v>
      </c>
      <c r="AE485">
        <f t="shared" si="138"/>
        <v>2555730</v>
      </c>
      <c r="AF485" s="2">
        <f t="shared" si="142"/>
        <v>25.5</v>
      </c>
      <c r="AG485" t="str">
        <f t="shared" si="132"/>
        <v>139小时</v>
      </c>
      <c r="AH485">
        <f t="shared" si="133"/>
        <v>77</v>
      </c>
      <c r="AI485">
        <f t="shared" si="134"/>
        <v>13</v>
      </c>
      <c r="AJ485">
        <f t="shared" si="139"/>
        <v>46.800000000000004</v>
      </c>
      <c r="AK485">
        <f t="shared" si="135"/>
        <v>24</v>
      </c>
      <c r="AL485">
        <f t="shared" si="140"/>
        <v>25.5</v>
      </c>
      <c r="AM485" s="2">
        <f t="shared" si="136"/>
        <v>13</v>
      </c>
      <c r="AX485">
        <v>482</v>
      </c>
      <c r="AZ485" s="3"/>
      <c r="BB485" s="2">
        <f t="shared" si="137"/>
        <v>145</v>
      </c>
      <c r="BC485">
        <f t="shared" si="141"/>
        <v>9.6353485838779953</v>
      </c>
      <c r="BD485" s="2">
        <f t="shared" si="143"/>
        <v>46.800000000000004</v>
      </c>
      <c r="BE485">
        <f t="shared" si="144"/>
        <v>25.5</v>
      </c>
      <c r="BF485">
        <f t="shared" si="145"/>
        <v>146880</v>
      </c>
    </row>
    <row r="486" spans="1:58" ht="14.25" x14ac:dyDescent="0.2">
      <c r="A486" s="11">
        <v>10503</v>
      </c>
      <c r="B486" s="13">
        <f t="shared" si="146"/>
        <v>9</v>
      </c>
      <c r="C486" s="15">
        <f t="shared" si="147"/>
        <v>7</v>
      </c>
      <c r="D486" s="14">
        <f t="shared" si="148"/>
        <v>7</v>
      </c>
      <c r="E486" t="s">
        <v>2777</v>
      </c>
      <c r="F486" t="s">
        <v>2836</v>
      </c>
      <c r="G486" t="s">
        <v>2779</v>
      </c>
      <c r="H486" t="s">
        <v>2779</v>
      </c>
      <c r="I486" t="s">
        <v>2780</v>
      </c>
      <c r="J486" s="4" t="s">
        <v>2838</v>
      </c>
      <c r="K486" t="s">
        <v>179</v>
      </c>
      <c r="L486" t="s">
        <v>163</v>
      </c>
      <c r="M486" t="s">
        <v>163</v>
      </c>
      <c r="N486" t="s">
        <v>163</v>
      </c>
      <c r="O486" s="6" t="s">
        <v>879</v>
      </c>
      <c r="P486">
        <v>0</v>
      </c>
      <c r="Q486" s="24">
        <v>38.200000000000003</v>
      </c>
      <c r="R486" s="25">
        <v>49</v>
      </c>
      <c r="S486" s="26">
        <v>39.299999999999997</v>
      </c>
      <c r="Y486">
        <v>10</v>
      </c>
      <c r="Z486">
        <v>30</v>
      </c>
      <c r="AA486" s="3">
        <v>25</v>
      </c>
      <c r="AB486" s="3">
        <v>6</v>
      </c>
      <c r="AC486">
        <v>155</v>
      </c>
      <c r="AD486" s="9">
        <f t="shared" si="131"/>
        <v>8352</v>
      </c>
      <c r="AE486">
        <f t="shared" si="138"/>
        <v>2555730</v>
      </c>
      <c r="AF486" s="2">
        <f t="shared" si="142"/>
        <v>25.5</v>
      </c>
      <c r="AG486" t="str">
        <f t="shared" si="132"/>
        <v>139小时</v>
      </c>
      <c r="AH486">
        <f t="shared" si="133"/>
        <v>77</v>
      </c>
      <c r="AI486">
        <f t="shared" si="134"/>
        <v>13</v>
      </c>
      <c r="AJ486">
        <f t="shared" si="139"/>
        <v>46.800000000000004</v>
      </c>
      <c r="AK486">
        <f t="shared" si="135"/>
        <v>24</v>
      </c>
      <c r="AL486">
        <f t="shared" si="140"/>
        <v>25.5</v>
      </c>
      <c r="AM486" s="2">
        <f t="shared" si="136"/>
        <v>13</v>
      </c>
      <c r="AX486">
        <v>483</v>
      </c>
      <c r="AZ486" s="3"/>
      <c r="BB486" s="2">
        <f t="shared" si="137"/>
        <v>145</v>
      </c>
      <c r="BC486">
        <f t="shared" si="141"/>
        <v>9.6353485838779953</v>
      </c>
      <c r="BD486" s="2">
        <f t="shared" si="143"/>
        <v>46.800000000000004</v>
      </c>
      <c r="BE486">
        <f t="shared" si="144"/>
        <v>25.5</v>
      </c>
      <c r="BF486">
        <f t="shared" si="145"/>
        <v>146880</v>
      </c>
    </row>
    <row r="487" spans="1:58" ht="14.25" x14ac:dyDescent="0.2">
      <c r="A487" s="11">
        <v>10504</v>
      </c>
      <c r="B487" s="13">
        <f t="shared" si="146"/>
        <v>9</v>
      </c>
      <c r="C487" s="15">
        <f t="shared" si="147"/>
        <v>7</v>
      </c>
      <c r="D487" s="14">
        <f t="shared" si="148"/>
        <v>7</v>
      </c>
      <c r="E487" t="s">
        <v>2777</v>
      </c>
      <c r="F487" t="s">
        <v>2837</v>
      </c>
      <c r="G487" t="s">
        <v>2779</v>
      </c>
      <c r="H487" t="s">
        <v>2779</v>
      </c>
      <c r="I487" t="s">
        <v>2780</v>
      </c>
      <c r="J487" s="4" t="s">
        <v>2838</v>
      </c>
      <c r="K487" t="s">
        <v>177</v>
      </c>
      <c r="L487" t="s">
        <v>163</v>
      </c>
      <c r="M487" t="s">
        <v>163</v>
      </c>
      <c r="N487" t="s">
        <v>163</v>
      </c>
      <c r="O487" s="6" t="s">
        <v>879</v>
      </c>
      <c r="P487">
        <v>0</v>
      </c>
      <c r="Q487" s="24">
        <v>38.200000000000003</v>
      </c>
      <c r="R487" s="25">
        <v>49</v>
      </c>
      <c r="S487" s="26">
        <v>39.299999999999997</v>
      </c>
      <c r="Y487">
        <v>10</v>
      </c>
      <c r="Z487">
        <v>30</v>
      </c>
      <c r="AA487" s="3">
        <v>25</v>
      </c>
      <c r="AB487" s="3">
        <v>6</v>
      </c>
      <c r="AC487">
        <v>155</v>
      </c>
      <c r="AD487" s="9">
        <f t="shared" si="131"/>
        <v>8352</v>
      </c>
      <c r="AE487">
        <f t="shared" si="138"/>
        <v>2555730</v>
      </c>
      <c r="AF487" s="2">
        <f t="shared" si="142"/>
        <v>25.5</v>
      </c>
      <c r="AG487" t="str">
        <f t="shared" si="132"/>
        <v>139小时</v>
      </c>
      <c r="AH487">
        <f t="shared" si="133"/>
        <v>77</v>
      </c>
      <c r="AI487">
        <f t="shared" si="134"/>
        <v>13</v>
      </c>
      <c r="AJ487">
        <f t="shared" si="139"/>
        <v>46.800000000000004</v>
      </c>
      <c r="AK487">
        <f t="shared" si="135"/>
        <v>24</v>
      </c>
      <c r="AL487">
        <f t="shared" si="140"/>
        <v>25.5</v>
      </c>
      <c r="AM487" s="2">
        <f t="shared" si="136"/>
        <v>13</v>
      </c>
      <c r="AX487">
        <v>484</v>
      </c>
      <c r="AZ487" s="3"/>
      <c r="BB487" s="2">
        <f t="shared" si="137"/>
        <v>145</v>
      </c>
      <c r="BC487">
        <f t="shared" si="141"/>
        <v>9.6353485838779953</v>
      </c>
      <c r="BD487" s="2">
        <f t="shared" si="143"/>
        <v>46.800000000000004</v>
      </c>
      <c r="BE487">
        <f t="shared" si="144"/>
        <v>25.5</v>
      </c>
      <c r="BF487">
        <f t="shared" si="145"/>
        <v>146880</v>
      </c>
    </row>
    <row r="488" spans="1:58" ht="14.25" x14ac:dyDescent="0.2">
      <c r="A488" s="11">
        <v>10505</v>
      </c>
      <c r="B488" s="13">
        <f t="shared" si="146"/>
        <v>9</v>
      </c>
      <c r="C488" s="15">
        <f t="shared" si="147"/>
        <v>7</v>
      </c>
      <c r="D488" s="14">
        <f t="shared" si="148"/>
        <v>7</v>
      </c>
      <c r="E488" t="s">
        <v>2785</v>
      </c>
      <c r="F488" t="s">
        <v>2786</v>
      </c>
      <c r="G488" t="s">
        <v>2830</v>
      </c>
      <c r="H488" t="s">
        <v>2829</v>
      </c>
      <c r="I488" t="s">
        <v>2697</v>
      </c>
      <c r="J488" s="4" t="s">
        <v>2858</v>
      </c>
      <c r="K488" t="s">
        <v>174</v>
      </c>
      <c r="L488" t="s">
        <v>163</v>
      </c>
      <c r="M488" t="s">
        <v>163</v>
      </c>
      <c r="N488" t="s">
        <v>163</v>
      </c>
      <c r="O488" s="6" t="s">
        <v>881</v>
      </c>
      <c r="P488">
        <v>0</v>
      </c>
      <c r="Q488" s="24">
        <v>38.200000000000003</v>
      </c>
      <c r="R488" s="25">
        <v>49</v>
      </c>
      <c r="S488" s="26">
        <v>39.299999999999997</v>
      </c>
      <c r="Y488">
        <v>10</v>
      </c>
      <c r="Z488">
        <v>30</v>
      </c>
      <c r="AA488" s="3">
        <v>25</v>
      </c>
      <c r="AB488" s="3">
        <v>6</v>
      </c>
      <c r="AC488">
        <v>155</v>
      </c>
      <c r="AD488" s="9">
        <f t="shared" si="131"/>
        <v>8352</v>
      </c>
      <c r="AE488">
        <f t="shared" si="138"/>
        <v>2555730</v>
      </c>
      <c r="AF488" s="2">
        <f t="shared" si="142"/>
        <v>25.5</v>
      </c>
      <c r="AG488" t="str">
        <f t="shared" si="132"/>
        <v>139小时</v>
      </c>
      <c r="AH488">
        <f t="shared" si="133"/>
        <v>77</v>
      </c>
      <c r="AI488">
        <f t="shared" si="134"/>
        <v>13</v>
      </c>
      <c r="AJ488">
        <f t="shared" si="139"/>
        <v>46.800000000000004</v>
      </c>
      <c r="AK488">
        <f t="shared" si="135"/>
        <v>24</v>
      </c>
      <c r="AL488">
        <f t="shared" si="140"/>
        <v>25.5</v>
      </c>
      <c r="AM488" s="2">
        <f t="shared" si="136"/>
        <v>13</v>
      </c>
      <c r="AX488">
        <v>485</v>
      </c>
      <c r="AZ488" s="3"/>
      <c r="BB488" s="2">
        <f t="shared" si="137"/>
        <v>145</v>
      </c>
      <c r="BC488">
        <f t="shared" si="141"/>
        <v>9.6353485838779953</v>
      </c>
      <c r="BD488" s="2">
        <f t="shared" si="143"/>
        <v>46.800000000000004</v>
      </c>
      <c r="BE488">
        <f t="shared" si="144"/>
        <v>25.5</v>
      </c>
      <c r="BF488">
        <f t="shared" si="145"/>
        <v>146880</v>
      </c>
    </row>
    <row r="489" spans="1:58" ht="14.25" x14ac:dyDescent="0.2">
      <c r="A489" s="11">
        <v>10506</v>
      </c>
      <c r="B489" s="13">
        <f t="shared" si="146"/>
        <v>9</v>
      </c>
      <c r="C489" s="15">
        <f t="shared" si="147"/>
        <v>7</v>
      </c>
      <c r="D489" s="14">
        <f t="shared" si="148"/>
        <v>7</v>
      </c>
      <c r="E489" t="s">
        <v>2777</v>
      </c>
      <c r="F489" t="s">
        <v>2834</v>
      </c>
      <c r="G489" t="s">
        <v>2779</v>
      </c>
      <c r="H489" t="s">
        <v>2779</v>
      </c>
      <c r="I489" t="s">
        <v>2780</v>
      </c>
      <c r="J489" s="4" t="s">
        <v>2838</v>
      </c>
      <c r="K489" t="s">
        <v>182</v>
      </c>
      <c r="L489" t="s">
        <v>163</v>
      </c>
      <c r="M489" t="s">
        <v>163</v>
      </c>
      <c r="N489" t="s">
        <v>163</v>
      </c>
      <c r="O489" s="6" t="s">
        <v>883</v>
      </c>
      <c r="P489">
        <v>0</v>
      </c>
      <c r="Q489" s="24">
        <v>38.5</v>
      </c>
      <c r="R489" s="25">
        <v>49.5</v>
      </c>
      <c r="S489" s="26">
        <v>39.5</v>
      </c>
      <c r="Y489">
        <v>10</v>
      </c>
      <c r="Z489">
        <v>30</v>
      </c>
      <c r="AA489" s="3">
        <v>25</v>
      </c>
      <c r="AB489" s="3">
        <v>6</v>
      </c>
      <c r="AC489">
        <v>155</v>
      </c>
      <c r="AD489" s="9">
        <f t="shared" si="131"/>
        <v>8287</v>
      </c>
      <c r="AE489">
        <f t="shared" si="138"/>
        <v>2555730</v>
      </c>
      <c r="AF489" s="2">
        <f t="shared" si="142"/>
        <v>25.700000000000003</v>
      </c>
      <c r="AG489" t="str">
        <f t="shared" si="132"/>
        <v>138小时</v>
      </c>
      <c r="AH489">
        <f t="shared" si="133"/>
        <v>78</v>
      </c>
      <c r="AI489">
        <f t="shared" si="134"/>
        <v>13</v>
      </c>
      <c r="AJ489">
        <f t="shared" si="139"/>
        <v>47.1</v>
      </c>
      <c r="AK489">
        <f t="shared" si="135"/>
        <v>24</v>
      </c>
      <c r="AL489">
        <f t="shared" si="140"/>
        <v>25.700000000000003</v>
      </c>
      <c r="AM489" s="2">
        <f t="shared" si="136"/>
        <v>13</v>
      </c>
      <c r="AX489">
        <v>486</v>
      </c>
      <c r="AZ489" s="3"/>
      <c r="BB489" s="2">
        <f t="shared" si="137"/>
        <v>145</v>
      </c>
      <c r="BC489">
        <f t="shared" si="141"/>
        <v>9.5603653264159085</v>
      </c>
      <c r="BD489" s="2">
        <f t="shared" si="143"/>
        <v>47.1</v>
      </c>
      <c r="BE489">
        <f t="shared" si="144"/>
        <v>25.700000000000003</v>
      </c>
      <c r="BF489">
        <f t="shared" si="145"/>
        <v>148032.00000000003</v>
      </c>
    </row>
    <row r="490" spans="1:58" ht="14.25" x14ac:dyDescent="0.2">
      <c r="A490" s="11">
        <v>10507</v>
      </c>
      <c r="B490" s="13">
        <f t="shared" si="146"/>
        <v>9</v>
      </c>
      <c r="C490" s="15">
        <f t="shared" si="147"/>
        <v>7</v>
      </c>
      <c r="D490" s="14">
        <f t="shared" si="148"/>
        <v>7</v>
      </c>
      <c r="E490" t="s">
        <v>2777</v>
      </c>
      <c r="F490" t="s">
        <v>2835</v>
      </c>
      <c r="G490" t="s">
        <v>2779</v>
      </c>
      <c r="H490" t="s">
        <v>2779</v>
      </c>
      <c r="I490" t="s">
        <v>2780</v>
      </c>
      <c r="J490" s="4" t="s">
        <v>2838</v>
      </c>
      <c r="K490" t="s">
        <v>162</v>
      </c>
      <c r="L490" t="s">
        <v>163</v>
      </c>
      <c r="M490" t="s">
        <v>163</v>
      </c>
      <c r="N490" t="s">
        <v>163</v>
      </c>
      <c r="O490" s="6" t="s">
        <v>883</v>
      </c>
      <c r="P490">
        <v>0</v>
      </c>
      <c r="Q490" s="24">
        <v>38.5</v>
      </c>
      <c r="R490" s="25">
        <v>49.5</v>
      </c>
      <c r="S490" s="26">
        <v>39.5</v>
      </c>
      <c r="Y490">
        <v>10</v>
      </c>
      <c r="Z490">
        <v>30</v>
      </c>
      <c r="AA490" s="3">
        <v>25</v>
      </c>
      <c r="AB490" s="3">
        <v>6</v>
      </c>
      <c r="AC490">
        <v>155</v>
      </c>
      <c r="AD490" s="9">
        <f t="shared" si="131"/>
        <v>8287</v>
      </c>
      <c r="AE490">
        <f t="shared" si="138"/>
        <v>2555730</v>
      </c>
      <c r="AF490" s="2">
        <f t="shared" si="142"/>
        <v>25.700000000000003</v>
      </c>
      <c r="AG490" t="str">
        <f t="shared" si="132"/>
        <v>138小时</v>
      </c>
      <c r="AH490">
        <f t="shared" si="133"/>
        <v>78</v>
      </c>
      <c r="AI490">
        <f t="shared" si="134"/>
        <v>13</v>
      </c>
      <c r="AJ490">
        <f t="shared" si="139"/>
        <v>47.1</v>
      </c>
      <c r="AK490">
        <f t="shared" si="135"/>
        <v>24</v>
      </c>
      <c r="AL490">
        <f t="shared" si="140"/>
        <v>25.700000000000003</v>
      </c>
      <c r="AM490" s="2">
        <f t="shared" si="136"/>
        <v>13</v>
      </c>
      <c r="AX490">
        <v>487</v>
      </c>
      <c r="AZ490" s="3"/>
      <c r="BB490" s="2">
        <f t="shared" si="137"/>
        <v>145</v>
      </c>
      <c r="BC490">
        <f t="shared" si="141"/>
        <v>9.5603653264159085</v>
      </c>
      <c r="BD490" s="2">
        <f t="shared" si="143"/>
        <v>47.1</v>
      </c>
      <c r="BE490">
        <f t="shared" si="144"/>
        <v>25.700000000000003</v>
      </c>
      <c r="BF490">
        <f t="shared" si="145"/>
        <v>148032.00000000003</v>
      </c>
    </row>
    <row r="491" spans="1:58" ht="14.25" x14ac:dyDescent="0.2">
      <c r="A491" s="11">
        <v>10508</v>
      </c>
      <c r="B491" s="13">
        <f t="shared" si="146"/>
        <v>9</v>
      </c>
      <c r="C491" s="15">
        <f t="shared" si="147"/>
        <v>7</v>
      </c>
      <c r="D491" s="14">
        <f t="shared" si="148"/>
        <v>7</v>
      </c>
      <c r="E491" t="s">
        <v>2777</v>
      </c>
      <c r="F491" t="s">
        <v>2836</v>
      </c>
      <c r="G491" t="s">
        <v>2779</v>
      </c>
      <c r="H491" t="s">
        <v>2779</v>
      </c>
      <c r="I491" t="s">
        <v>2780</v>
      </c>
      <c r="J491" s="4" t="s">
        <v>2838</v>
      </c>
      <c r="K491" t="s">
        <v>177</v>
      </c>
      <c r="L491" t="s">
        <v>163</v>
      </c>
      <c r="M491" t="s">
        <v>163</v>
      </c>
      <c r="N491" t="s">
        <v>163</v>
      </c>
      <c r="O491" s="6" t="s">
        <v>885</v>
      </c>
      <c r="P491">
        <v>0</v>
      </c>
      <c r="Q491" s="24">
        <v>38.5</v>
      </c>
      <c r="R491" s="25">
        <v>49.5</v>
      </c>
      <c r="S491" s="26">
        <v>39.5</v>
      </c>
      <c r="Y491">
        <v>10</v>
      </c>
      <c r="Z491">
        <v>30</v>
      </c>
      <c r="AA491" s="3">
        <v>25</v>
      </c>
      <c r="AB491" s="3">
        <v>6</v>
      </c>
      <c r="AC491">
        <v>155</v>
      </c>
      <c r="AD491" s="9">
        <f t="shared" si="131"/>
        <v>8287</v>
      </c>
      <c r="AE491">
        <f t="shared" si="138"/>
        <v>2555730</v>
      </c>
      <c r="AF491" s="2">
        <f t="shared" si="142"/>
        <v>25.700000000000003</v>
      </c>
      <c r="AG491" t="str">
        <f t="shared" si="132"/>
        <v>138小时</v>
      </c>
      <c r="AH491">
        <f t="shared" si="133"/>
        <v>78</v>
      </c>
      <c r="AI491">
        <f t="shared" si="134"/>
        <v>13</v>
      </c>
      <c r="AJ491">
        <f t="shared" si="139"/>
        <v>47.1</v>
      </c>
      <c r="AK491">
        <f t="shared" si="135"/>
        <v>24</v>
      </c>
      <c r="AL491">
        <f t="shared" si="140"/>
        <v>25.700000000000003</v>
      </c>
      <c r="AM491" s="2">
        <f t="shared" si="136"/>
        <v>13</v>
      </c>
      <c r="AX491">
        <v>488</v>
      </c>
      <c r="AZ491" s="3"/>
      <c r="BB491" s="2">
        <f t="shared" si="137"/>
        <v>145</v>
      </c>
      <c r="BC491">
        <f t="shared" si="141"/>
        <v>9.5603653264159085</v>
      </c>
      <c r="BD491" s="2">
        <f t="shared" si="143"/>
        <v>47.1</v>
      </c>
      <c r="BE491">
        <f t="shared" si="144"/>
        <v>25.700000000000003</v>
      </c>
      <c r="BF491">
        <f t="shared" si="145"/>
        <v>148032.00000000003</v>
      </c>
    </row>
    <row r="492" spans="1:58" ht="14.25" x14ac:dyDescent="0.2">
      <c r="A492" s="11">
        <v>10509</v>
      </c>
      <c r="B492" s="13">
        <f t="shared" si="146"/>
        <v>9</v>
      </c>
      <c r="C492" s="15">
        <f t="shared" si="147"/>
        <v>7</v>
      </c>
      <c r="D492" s="14">
        <f t="shared" si="148"/>
        <v>7</v>
      </c>
      <c r="E492" t="s">
        <v>2777</v>
      </c>
      <c r="F492" t="s">
        <v>2837</v>
      </c>
      <c r="G492" t="s">
        <v>2779</v>
      </c>
      <c r="H492" t="s">
        <v>2779</v>
      </c>
      <c r="I492" t="s">
        <v>2780</v>
      </c>
      <c r="J492" s="4" t="s">
        <v>2838</v>
      </c>
      <c r="K492" t="s">
        <v>174</v>
      </c>
      <c r="L492" t="s">
        <v>163</v>
      </c>
      <c r="M492" t="s">
        <v>163</v>
      </c>
      <c r="N492" t="s">
        <v>163</v>
      </c>
      <c r="O492" s="6" t="s">
        <v>887</v>
      </c>
      <c r="P492">
        <v>0</v>
      </c>
      <c r="Q492" s="24">
        <v>38.5</v>
      </c>
      <c r="R492" s="25">
        <v>49.5</v>
      </c>
      <c r="S492" s="26">
        <v>39.5</v>
      </c>
      <c r="Y492">
        <v>10</v>
      </c>
      <c r="Z492">
        <v>30</v>
      </c>
      <c r="AA492" s="3">
        <v>25</v>
      </c>
      <c r="AB492" s="3">
        <v>6</v>
      </c>
      <c r="AC492">
        <v>155</v>
      </c>
      <c r="AD492" s="9">
        <f t="shared" si="131"/>
        <v>8287</v>
      </c>
      <c r="AE492">
        <f t="shared" si="138"/>
        <v>2555730</v>
      </c>
      <c r="AF492" s="2">
        <f t="shared" si="142"/>
        <v>25.700000000000003</v>
      </c>
      <c r="AG492" t="str">
        <f t="shared" si="132"/>
        <v>138小时</v>
      </c>
      <c r="AH492">
        <f t="shared" si="133"/>
        <v>78</v>
      </c>
      <c r="AI492">
        <f t="shared" si="134"/>
        <v>13</v>
      </c>
      <c r="AJ492">
        <f t="shared" si="139"/>
        <v>47.1</v>
      </c>
      <c r="AK492">
        <f t="shared" si="135"/>
        <v>24</v>
      </c>
      <c r="AL492">
        <f t="shared" si="140"/>
        <v>25.700000000000003</v>
      </c>
      <c r="AM492" s="2">
        <f t="shared" si="136"/>
        <v>13</v>
      </c>
      <c r="AX492">
        <v>489</v>
      </c>
      <c r="AZ492" s="3"/>
      <c r="BB492" s="2">
        <f t="shared" si="137"/>
        <v>145</v>
      </c>
      <c r="BC492">
        <f t="shared" si="141"/>
        <v>9.5603653264159085</v>
      </c>
      <c r="BD492" s="2">
        <f t="shared" si="143"/>
        <v>47.1</v>
      </c>
      <c r="BE492">
        <f t="shared" si="144"/>
        <v>25.700000000000003</v>
      </c>
      <c r="BF492">
        <f t="shared" si="145"/>
        <v>148032.00000000003</v>
      </c>
    </row>
    <row r="493" spans="1:58" ht="14.25" x14ac:dyDescent="0.2">
      <c r="A493" s="11">
        <v>10510</v>
      </c>
      <c r="B493" s="13">
        <f t="shared" si="146"/>
        <v>9</v>
      </c>
      <c r="C493" s="15">
        <f t="shared" si="147"/>
        <v>7</v>
      </c>
      <c r="D493" s="14">
        <f t="shared" si="148"/>
        <v>7</v>
      </c>
      <c r="E493" t="s">
        <v>2785</v>
      </c>
      <c r="F493" t="s">
        <v>2786</v>
      </c>
      <c r="G493" t="s">
        <v>2831</v>
      </c>
      <c r="H493" t="s">
        <v>2829</v>
      </c>
      <c r="I493" t="s">
        <v>2697</v>
      </c>
      <c r="J493" s="4" t="s">
        <v>2858</v>
      </c>
      <c r="K493" t="s">
        <v>166</v>
      </c>
      <c r="L493" t="s">
        <v>163</v>
      </c>
      <c r="M493" t="s">
        <v>163</v>
      </c>
      <c r="N493" t="s">
        <v>163</v>
      </c>
      <c r="O493" s="6" t="s">
        <v>887</v>
      </c>
      <c r="P493">
        <v>0</v>
      </c>
      <c r="Q493" s="24">
        <v>38.5</v>
      </c>
      <c r="R493" s="25">
        <v>49.5</v>
      </c>
      <c r="S493" s="26">
        <v>39.5</v>
      </c>
      <c r="Y493">
        <v>10</v>
      </c>
      <c r="Z493">
        <v>30</v>
      </c>
      <c r="AA493" s="3">
        <v>25</v>
      </c>
      <c r="AB493" s="3">
        <v>6</v>
      </c>
      <c r="AC493">
        <v>155</v>
      </c>
      <c r="AD493" s="9">
        <f t="shared" si="131"/>
        <v>8287</v>
      </c>
      <c r="AE493">
        <f t="shared" si="138"/>
        <v>2555730</v>
      </c>
      <c r="AF493" s="2">
        <f t="shared" si="142"/>
        <v>25.700000000000003</v>
      </c>
      <c r="AG493" t="str">
        <f t="shared" si="132"/>
        <v>138小时</v>
      </c>
      <c r="AH493">
        <f t="shared" si="133"/>
        <v>78</v>
      </c>
      <c r="AI493">
        <f t="shared" si="134"/>
        <v>13</v>
      </c>
      <c r="AJ493">
        <f t="shared" si="139"/>
        <v>47.1</v>
      </c>
      <c r="AK493">
        <f t="shared" si="135"/>
        <v>24</v>
      </c>
      <c r="AL493">
        <f t="shared" si="140"/>
        <v>25.700000000000003</v>
      </c>
      <c r="AM493" s="2">
        <f t="shared" si="136"/>
        <v>13</v>
      </c>
      <c r="AX493">
        <v>490</v>
      </c>
      <c r="AZ493" s="3"/>
      <c r="BB493" s="2">
        <f t="shared" si="137"/>
        <v>150</v>
      </c>
      <c r="BC493">
        <f t="shared" si="141"/>
        <v>10.724708171206224</v>
      </c>
      <c r="BD493" s="2">
        <f t="shared" si="143"/>
        <v>47.1</v>
      </c>
      <c r="BE493">
        <f t="shared" si="144"/>
        <v>25.700000000000003</v>
      </c>
      <c r="BF493">
        <f t="shared" si="145"/>
        <v>148032.00000000003</v>
      </c>
    </row>
    <row r="494" spans="1:58" ht="14.25" x14ac:dyDescent="0.2">
      <c r="A494" s="11">
        <v>10511</v>
      </c>
      <c r="B494" s="13">
        <f t="shared" si="146"/>
        <v>9</v>
      </c>
      <c r="C494" s="15">
        <f t="shared" si="147"/>
        <v>7</v>
      </c>
      <c r="D494" s="14">
        <f t="shared" si="148"/>
        <v>7</v>
      </c>
      <c r="E494" t="s">
        <v>2777</v>
      </c>
      <c r="F494" t="s">
        <v>2834</v>
      </c>
      <c r="G494" t="s">
        <v>2779</v>
      </c>
      <c r="H494" t="s">
        <v>2779</v>
      </c>
      <c r="I494" t="s">
        <v>2780</v>
      </c>
      <c r="J494" s="4" t="s">
        <v>2838</v>
      </c>
      <c r="K494" t="s">
        <v>168</v>
      </c>
      <c r="L494" t="s">
        <v>163</v>
      </c>
      <c r="M494" t="s">
        <v>163</v>
      </c>
      <c r="N494" t="s">
        <v>163</v>
      </c>
      <c r="O494" s="6" t="s">
        <v>889</v>
      </c>
      <c r="P494">
        <v>0</v>
      </c>
      <c r="Q494" s="24">
        <v>38.799999999999997</v>
      </c>
      <c r="R494" s="25">
        <v>50</v>
      </c>
      <c r="S494" s="26">
        <v>39.799999999999997</v>
      </c>
      <c r="Y494">
        <v>10</v>
      </c>
      <c r="Z494">
        <v>30</v>
      </c>
      <c r="AA494" s="3">
        <v>25</v>
      </c>
      <c r="AB494" s="3">
        <v>6</v>
      </c>
      <c r="AC494">
        <v>155</v>
      </c>
      <c r="AD494" s="9">
        <f t="shared" si="131"/>
        <v>8191.4166666666661</v>
      </c>
      <c r="AE494">
        <f t="shared" si="138"/>
        <v>2555730</v>
      </c>
      <c r="AF494" s="2">
        <f t="shared" si="142"/>
        <v>26</v>
      </c>
      <c r="AG494" t="str">
        <f t="shared" si="132"/>
        <v>136小时</v>
      </c>
      <c r="AH494">
        <f t="shared" si="133"/>
        <v>78</v>
      </c>
      <c r="AI494">
        <f t="shared" si="134"/>
        <v>13</v>
      </c>
      <c r="AJ494">
        <f t="shared" si="139"/>
        <v>47.5</v>
      </c>
      <c r="AK494">
        <f t="shared" si="135"/>
        <v>24</v>
      </c>
      <c r="AL494">
        <f t="shared" si="140"/>
        <v>26</v>
      </c>
      <c r="AM494" s="2">
        <f t="shared" si="136"/>
        <v>13</v>
      </c>
      <c r="AX494">
        <v>491</v>
      </c>
      <c r="AZ494" s="3"/>
      <c r="BB494" s="2">
        <f t="shared" si="137"/>
        <v>150</v>
      </c>
      <c r="BC494">
        <f t="shared" si="141"/>
        <v>10.600961538461538</v>
      </c>
      <c r="BD494" s="2">
        <f t="shared" si="143"/>
        <v>47.5</v>
      </c>
      <c r="BE494">
        <f t="shared" si="144"/>
        <v>26</v>
      </c>
      <c r="BF494">
        <f t="shared" si="145"/>
        <v>149760</v>
      </c>
    </row>
    <row r="495" spans="1:58" ht="14.25" x14ac:dyDescent="0.2">
      <c r="A495" s="11">
        <v>10512</v>
      </c>
      <c r="B495" s="13">
        <f t="shared" si="146"/>
        <v>9</v>
      </c>
      <c r="C495" s="15">
        <f t="shared" si="147"/>
        <v>7</v>
      </c>
      <c r="D495" s="14">
        <f t="shared" si="148"/>
        <v>7</v>
      </c>
      <c r="E495" t="s">
        <v>2777</v>
      </c>
      <c r="F495" t="s">
        <v>2835</v>
      </c>
      <c r="G495" t="s">
        <v>2779</v>
      </c>
      <c r="H495" t="s">
        <v>2779</v>
      </c>
      <c r="I495" t="s">
        <v>2780</v>
      </c>
      <c r="J495" s="4" t="s">
        <v>2838</v>
      </c>
      <c r="K495" t="s">
        <v>175</v>
      </c>
      <c r="L495" t="s">
        <v>164</v>
      </c>
      <c r="M495" t="s">
        <v>163</v>
      </c>
      <c r="N495" t="s">
        <v>167</v>
      </c>
      <c r="O495" s="6" t="s">
        <v>891</v>
      </c>
      <c r="P495">
        <v>0</v>
      </c>
      <c r="Q495" s="24">
        <v>38.799999999999997</v>
      </c>
      <c r="R495" s="25">
        <v>50</v>
      </c>
      <c r="S495" s="26">
        <v>39.799999999999997</v>
      </c>
      <c r="Y495">
        <v>10</v>
      </c>
      <c r="Z495">
        <v>30</v>
      </c>
      <c r="AA495" s="3">
        <v>25</v>
      </c>
      <c r="AB495" s="3">
        <v>6</v>
      </c>
      <c r="AC495">
        <v>155</v>
      </c>
      <c r="AD495" s="9">
        <f t="shared" si="131"/>
        <v>8191.4166666666661</v>
      </c>
      <c r="AE495">
        <f t="shared" si="138"/>
        <v>2555730</v>
      </c>
      <c r="AF495" s="2">
        <f t="shared" si="142"/>
        <v>26</v>
      </c>
      <c r="AG495" t="str">
        <f t="shared" si="132"/>
        <v>136小时</v>
      </c>
      <c r="AH495">
        <f t="shared" si="133"/>
        <v>78</v>
      </c>
      <c r="AI495">
        <f t="shared" si="134"/>
        <v>13</v>
      </c>
      <c r="AJ495">
        <f t="shared" si="139"/>
        <v>47.5</v>
      </c>
      <c r="AK495">
        <f t="shared" si="135"/>
        <v>24</v>
      </c>
      <c r="AL495">
        <f t="shared" si="140"/>
        <v>26</v>
      </c>
      <c r="AM495" s="2">
        <f t="shared" si="136"/>
        <v>13</v>
      </c>
      <c r="AX495">
        <v>492</v>
      </c>
      <c r="AZ495" s="3"/>
      <c r="BB495" s="2">
        <f t="shared" si="137"/>
        <v>150</v>
      </c>
      <c r="BC495">
        <f t="shared" si="141"/>
        <v>10.600961538461538</v>
      </c>
      <c r="BD495" s="2">
        <f t="shared" si="143"/>
        <v>47.5</v>
      </c>
      <c r="BE495">
        <f t="shared" si="144"/>
        <v>26</v>
      </c>
      <c r="BF495">
        <f t="shared" si="145"/>
        <v>149760</v>
      </c>
    </row>
    <row r="496" spans="1:58" ht="14.25" x14ac:dyDescent="0.2">
      <c r="A496" s="11">
        <v>10513</v>
      </c>
      <c r="B496" s="13">
        <f t="shared" si="146"/>
        <v>10</v>
      </c>
      <c r="C496" s="15">
        <f t="shared" si="147"/>
        <v>7</v>
      </c>
      <c r="D496" s="14">
        <f t="shared" si="148"/>
        <v>7</v>
      </c>
      <c r="E496" t="s">
        <v>2777</v>
      </c>
      <c r="F496" t="s">
        <v>2836</v>
      </c>
      <c r="G496" t="s">
        <v>2779</v>
      </c>
      <c r="H496" t="s">
        <v>2779</v>
      </c>
      <c r="I496" t="s">
        <v>2780</v>
      </c>
      <c r="J496" s="4" t="s">
        <v>2838</v>
      </c>
      <c r="K496" t="s">
        <v>179</v>
      </c>
      <c r="L496" t="s">
        <v>163</v>
      </c>
      <c r="M496" t="s">
        <v>163</v>
      </c>
      <c r="N496" t="s">
        <v>163</v>
      </c>
      <c r="O496" s="6" t="s">
        <v>893</v>
      </c>
      <c r="P496">
        <v>0</v>
      </c>
      <c r="Q496" s="24">
        <v>38.799999999999997</v>
      </c>
      <c r="R496" s="25">
        <v>50</v>
      </c>
      <c r="S496" s="26">
        <v>39.799999999999997</v>
      </c>
      <c r="Y496">
        <v>10</v>
      </c>
      <c r="Z496">
        <v>30</v>
      </c>
      <c r="AA496" s="3">
        <v>25</v>
      </c>
      <c r="AB496" s="3">
        <v>6</v>
      </c>
      <c r="AC496">
        <v>155</v>
      </c>
      <c r="AD496" s="9">
        <f t="shared" si="131"/>
        <v>8191.4166666666661</v>
      </c>
      <c r="AE496">
        <f t="shared" si="138"/>
        <v>2555730</v>
      </c>
      <c r="AF496" s="2">
        <f t="shared" si="142"/>
        <v>26</v>
      </c>
      <c r="AG496" t="str">
        <f t="shared" si="132"/>
        <v>136小时</v>
      </c>
      <c r="AH496">
        <f t="shared" si="133"/>
        <v>78</v>
      </c>
      <c r="AI496">
        <f t="shared" si="134"/>
        <v>13</v>
      </c>
      <c r="AJ496">
        <f t="shared" si="139"/>
        <v>47.5</v>
      </c>
      <c r="AK496">
        <f t="shared" si="135"/>
        <v>24</v>
      </c>
      <c r="AL496">
        <f t="shared" si="140"/>
        <v>26</v>
      </c>
      <c r="AM496" s="2">
        <f t="shared" si="136"/>
        <v>13</v>
      </c>
      <c r="AX496">
        <v>493</v>
      </c>
      <c r="AZ496" s="3"/>
      <c r="BB496" s="2">
        <f t="shared" si="137"/>
        <v>150</v>
      </c>
      <c r="BC496">
        <f t="shared" si="141"/>
        <v>10.600961538461538</v>
      </c>
      <c r="BD496" s="2">
        <f t="shared" si="143"/>
        <v>47.5</v>
      </c>
      <c r="BE496">
        <f t="shared" si="144"/>
        <v>26</v>
      </c>
      <c r="BF496">
        <f t="shared" si="145"/>
        <v>149760</v>
      </c>
    </row>
    <row r="497" spans="1:58" ht="14.25" x14ac:dyDescent="0.2">
      <c r="A497" s="11">
        <v>10514</v>
      </c>
      <c r="B497" s="13">
        <f t="shared" si="146"/>
        <v>10</v>
      </c>
      <c r="C497" s="15">
        <f t="shared" si="147"/>
        <v>7</v>
      </c>
      <c r="D497" s="14">
        <f t="shared" si="148"/>
        <v>7</v>
      </c>
      <c r="E497" t="s">
        <v>2777</v>
      </c>
      <c r="F497" t="s">
        <v>2837</v>
      </c>
      <c r="G497" t="s">
        <v>2779</v>
      </c>
      <c r="H497" t="s">
        <v>2779</v>
      </c>
      <c r="I497" t="s">
        <v>2780</v>
      </c>
      <c r="J497" s="4" t="s">
        <v>2838</v>
      </c>
      <c r="K497" t="s">
        <v>177</v>
      </c>
      <c r="L497" t="s">
        <v>163</v>
      </c>
      <c r="M497" t="s">
        <v>163</v>
      </c>
      <c r="N497" t="s">
        <v>163</v>
      </c>
      <c r="O497" s="6" t="s">
        <v>893</v>
      </c>
      <c r="P497">
        <v>0</v>
      </c>
      <c r="Q497" s="24">
        <v>38.799999999999997</v>
      </c>
      <c r="R497" s="25">
        <v>50</v>
      </c>
      <c r="S497" s="26">
        <v>39.799999999999997</v>
      </c>
      <c r="Y497">
        <v>10</v>
      </c>
      <c r="Z497">
        <v>30</v>
      </c>
      <c r="AA497" s="3">
        <v>25</v>
      </c>
      <c r="AB497" s="3">
        <v>6</v>
      </c>
      <c r="AC497">
        <v>155</v>
      </c>
      <c r="AD497" s="9">
        <f t="shared" si="131"/>
        <v>8191.4166666666661</v>
      </c>
      <c r="AE497">
        <f t="shared" si="138"/>
        <v>2555730</v>
      </c>
      <c r="AF497" s="2">
        <f t="shared" si="142"/>
        <v>26</v>
      </c>
      <c r="AG497" t="str">
        <f t="shared" si="132"/>
        <v>136小时</v>
      </c>
      <c r="AH497">
        <f t="shared" si="133"/>
        <v>78</v>
      </c>
      <c r="AI497">
        <f t="shared" si="134"/>
        <v>13</v>
      </c>
      <c r="AJ497">
        <f t="shared" si="139"/>
        <v>47.5</v>
      </c>
      <c r="AK497">
        <f t="shared" si="135"/>
        <v>24</v>
      </c>
      <c r="AL497">
        <f t="shared" si="140"/>
        <v>26</v>
      </c>
      <c r="AM497" s="2">
        <f t="shared" si="136"/>
        <v>13</v>
      </c>
      <c r="AX497">
        <v>494</v>
      </c>
      <c r="AZ497" s="3"/>
      <c r="BB497" s="2">
        <f t="shared" si="137"/>
        <v>150</v>
      </c>
      <c r="BC497">
        <f t="shared" si="141"/>
        <v>10.600961538461538</v>
      </c>
      <c r="BD497" s="2">
        <f t="shared" si="143"/>
        <v>47.5</v>
      </c>
      <c r="BE497">
        <f t="shared" si="144"/>
        <v>26</v>
      </c>
      <c r="BF497">
        <f t="shared" si="145"/>
        <v>149760</v>
      </c>
    </row>
    <row r="498" spans="1:58" ht="14.25" x14ac:dyDescent="0.2">
      <c r="A498" s="11">
        <v>10515</v>
      </c>
      <c r="B498" s="13">
        <f t="shared" si="146"/>
        <v>10</v>
      </c>
      <c r="C498" s="15">
        <f t="shared" si="147"/>
        <v>7</v>
      </c>
      <c r="D498" s="14">
        <f t="shared" si="148"/>
        <v>7</v>
      </c>
      <c r="E498" t="s">
        <v>2785</v>
      </c>
      <c r="F498" t="s">
        <v>2786</v>
      </c>
      <c r="G498" t="s">
        <v>2832</v>
      </c>
      <c r="H498" t="s">
        <v>2829</v>
      </c>
      <c r="I498" t="s">
        <v>2697</v>
      </c>
      <c r="J498" s="4" t="s">
        <v>2858</v>
      </c>
      <c r="K498" t="s">
        <v>174</v>
      </c>
      <c r="L498" t="s">
        <v>163</v>
      </c>
      <c r="M498" t="s">
        <v>163</v>
      </c>
      <c r="N498" t="s">
        <v>163</v>
      </c>
      <c r="O498" s="6" t="s">
        <v>895</v>
      </c>
      <c r="P498">
        <v>0</v>
      </c>
      <c r="Q498" s="24">
        <v>38.799999999999997</v>
      </c>
      <c r="R498" s="25">
        <v>50</v>
      </c>
      <c r="S498" s="26">
        <v>39.799999999999997</v>
      </c>
      <c r="Y498">
        <v>10</v>
      </c>
      <c r="Z498">
        <v>30</v>
      </c>
      <c r="AA498" s="3">
        <v>25</v>
      </c>
      <c r="AB498" s="3">
        <v>6</v>
      </c>
      <c r="AC498">
        <v>155</v>
      </c>
      <c r="AD498" s="9">
        <f t="shared" si="131"/>
        <v>8191.4166666666661</v>
      </c>
      <c r="AE498">
        <f t="shared" si="138"/>
        <v>2555730</v>
      </c>
      <c r="AF498" s="2">
        <f t="shared" si="142"/>
        <v>26</v>
      </c>
      <c r="AG498" t="str">
        <f t="shared" si="132"/>
        <v>136小时</v>
      </c>
      <c r="AH498">
        <f t="shared" si="133"/>
        <v>78</v>
      </c>
      <c r="AI498">
        <f t="shared" si="134"/>
        <v>13</v>
      </c>
      <c r="AJ498">
        <f t="shared" si="139"/>
        <v>47.5</v>
      </c>
      <c r="AK498">
        <f t="shared" si="135"/>
        <v>24</v>
      </c>
      <c r="AL498">
        <f t="shared" si="140"/>
        <v>26</v>
      </c>
      <c r="AM498" s="2">
        <f t="shared" si="136"/>
        <v>13</v>
      </c>
      <c r="AX498">
        <v>495</v>
      </c>
      <c r="AZ498" s="3"/>
      <c r="BB498" s="2">
        <f t="shared" si="137"/>
        <v>150</v>
      </c>
      <c r="BC498">
        <f t="shared" si="141"/>
        <v>10.600961538461538</v>
      </c>
      <c r="BD498" s="2">
        <f t="shared" si="143"/>
        <v>47.5</v>
      </c>
      <c r="BE498">
        <f t="shared" si="144"/>
        <v>26</v>
      </c>
      <c r="BF498">
        <f t="shared" si="145"/>
        <v>149760</v>
      </c>
    </row>
    <row r="499" spans="1:58" ht="14.25" x14ac:dyDescent="0.2">
      <c r="A499" s="11">
        <v>10516</v>
      </c>
      <c r="B499" s="13">
        <f t="shared" si="146"/>
        <v>10</v>
      </c>
      <c r="C499" s="15">
        <f t="shared" si="147"/>
        <v>7</v>
      </c>
      <c r="D499" s="14">
        <f t="shared" si="148"/>
        <v>7</v>
      </c>
      <c r="E499" t="s">
        <v>2777</v>
      </c>
      <c r="F499" t="s">
        <v>2834</v>
      </c>
      <c r="G499" t="s">
        <v>2779</v>
      </c>
      <c r="H499" t="s">
        <v>2779</v>
      </c>
      <c r="I499" t="s">
        <v>2780</v>
      </c>
      <c r="J499" s="4" t="s">
        <v>2838</v>
      </c>
      <c r="K499" t="s">
        <v>182</v>
      </c>
      <c r="L499" t="s">
        <v>163</v>
      </c>
      <c r="M499" t="s">
        <v>163</v>
      </c>
      <c r="N499" t="s">
        <v>163</v>
      </c>
      <c r="O499" s="6" t="s">
        <v>897</v>
      </c>
      <c r="P499">
        <v>0</v>
      </c>
      <c r="Q499" s="24">
        <v>39.200000000000003</v>
      </c>
      <c r="R499" s="25">
        <v>50.5</v>
      </c>
      <c r="S499" s="26">
        <v>40</v>
      </c>
      <c r="Y499">
        <v>10</v>
      </c>
      <c r="Z499">
        <v>30</v>
      </c>
      <c r="AA499" s="3">
        <v>25</v>
      </c>
      <c r="AB499" s="3">
        <v>6</v>
      </c>
      <c r="AC499">
        <v>155</v>
      </c>
      <c r="AD499" s="9">
        <f t="shared" si="131"/>
        <v>8128.833333333333</v>
      </c>
      <c r="AE499">
        <f t="shared" si="138"/>
        <v>2555730</v>
      </c>
      <c r="AF499" s="2">
        <f t="shared" si="142"/>
        <v>26.200000000000003</v>
      </c>
      <c r="AG499" t="str">
        <f t="shared" si="132"/>
        <v>135小时</v>
      </c>
      <c r="AH499">
        <f t="shared" si="133"/>
        <v>79</v>
      </c>
      <c r="AI499">
        <f t="shared" si="134"/>
        <v>14</v>
      </c>
      <c r="AJ499">
        <f t="shared" si="139"/>
        <v>47.8</v>
      </c>
      <c r="AK499">
        <f t="shared" si="135"/>
        <v>24</v>
      </c>
      <c r="AL499">
        <f t="shared" si="140"/>
        <v>26.200000000000003</v>
      </c>
      <c r="AM499" s="2">
        <f t="shared" si="136"/>
        <v>14</v>
      </c>
      <c r="AX499">
        <v>496</v>
      </c>
      <c r="AZ499" s="3"/>
      <c r="BB499" s="2">
        <f t="shared" si="137"/>
        <v>150</v>
      </c>
      <c r="BC499">
        <f t="shared" si="141"/>
        <v>10.52003816793893</v>
      </c>
      <c r="BD499" s="2">
        <f t="shared" si="143"/>
        <v>47.8</v>
      </c>
      <c r="BE499">
        <f t="shared" si="144"/>
        <v>26.200000000000003</v>
      </c>
      <c r="BF499">
        <f t="shared" si="145"/>
        <v>150912.00000000003</v>
      </c>
    </row>
    <row r="500" spans="1:58" ht="14.25" x14ac:dyDescent="0.2">
      <c r="A500" s="11">
        <v>10517</v>
      </c>
      <c r="B500" s="13">
        <f t="shared" si="146"/>
        <v>10</v>
      </c>
      <c r="C500" s="15">
        <f t="shared" si="147"/>
        <v>7</v>
      </c>
      <c r="D500" s="14">
        <f t="shared" si="148"/>
        <v>7</v>
      </c>
      <c r="E500" t="s">
        <v>2777</v>
      </c>
      <c r="F500" t="s">
        <v>2835</v>
      </c>
      <c r="G500" t="s">
        <v>2779</v>
      </c>
      <c r="H500" t="s">
        <v>2779</v>
      </c>
      <c r="I500" t="s">
        <v>2780</v>
      </c>
      <c r="J500" s="4" t="s">
        <v>2838</v>
      </c>
      <c r="K500" t="s">
        <v>162</v>
      </c>
      <c r="L500" t="s">
        <v>163</v>
      </c>
      <c r="M500" t="s">
        <v>163</v>
      </c>
      <c r="N500" t="s">
        <v>163</v>
      </c>
      <c r="O500" s="6" t="s">
        <v>897</v>
      </c>
      <c r="P500">
        <v>0</v>
      </c>
      <c r="Q500" s="24">
        <v>39.200000000000003</v>
      </c>
      <c r="R500" s="25">
        <v>50.5</v>
      </c>
      <c r="S500" s="26">
        <v>40</v>
      </c>
      <c r="Y500">
        <v>10</v>
      </c>
      <c r="Z500">
        <v>30</v>
      </c>
      <c r="AA500" s="3">
        <v>25</v>
      </c>
      <c r="AB500" s="3">
        <v>6</v>
      </c>
      <c r="AC500">
        <v>155</v>
      </c>
      <c r="AD500" s="9">
        <f t="shared" si="131"/>
        <v>8128.833333333333</v>
      </c>
      <c r="AE500">
        <f t="shared" si="138"/>
        <v>2555730</v>
      </c>
      <c r="AF500" s="2">
        <f t="shared" si="142"/>
        <v>26.200000000000003</v>
      </c>
      <c r="AG500" t="str">
        <f t="shared" si="132"/>
        <v>135小时</v>
      </c>
      <c r="AH500">
        <f t="shared" si="133"/>
        <v>79</v>
      </c>
      <c r="AI500">
        <f t="shared" si="134"/>
        <v>14</v>
      </c>
      <c r="AJ500">
        <f t="shared" si="139"/>
        <v>47.8</v>
      </c>
      <c r="AK500">
        <f t="shared" si="135"/>
        <v>24</v>
      </c>
      <c r="AL500">
        <f t="shared" si="140"/>
        <v>26.200000000000003</v>
      </c>
      <c r="AM500" s="2">
        <f t="shared" si="136"/>
        <v>14</v>
      </c>
      <c r="AX500">
        <v>497</v>
      </c>
      <c r="AZ500" s="3"/>
      <c r="BB500" s="2">
        <f t="shared" si="137"/>
        <v>150</v>
      </c>
      <c r="BC500">
        <f t="shared" si="141"/>
        <v>10.52003816793893</v>
      </c>
      <c r="BD500" s="2">
        <f t="shared" si="143"/>
        <v>47.8</v>
      </c>
      <c r="BE500">
        <f t="shared" si="144"/>
        <v>26.200000000000003</v>
      </c>
      <c r="BF500">
        <f t="shared" si="145"/>
        <v>150912.00000000003</v>
      </c>
    </row>
    <row r="501" spans="1:58" ht="14.25" x14ac:dyDescent="0.2">
      <c r="A501" s="11">
        <v>10518</v>
      </c>
      <c r="B501" s="13">
        <f t="shared" si="146"/>
        <v>10</v>
      </c>
      <c r="C501" s="15">
        <f t="shared" si="147"/>
        <v>7</v>
      </c>
      <c r="D501" s="14">
        <f t="shared" si="148"/>
        <v>8</v>
      </c>
      <c r="E501" t="s">
        <v>2777</v>
      </c>
      <c r="F501" t="s">
        <v>2836</v>
      </c>
      <c r="G501" t="s">
        <v>2779</v>
      </c>
      <c r="H501" t="s">
        <v>2779</v>
      </c>
      <c r="I501" t="s">
        <v>2780</v>
      </c>
      <c r="J501" s="4" t="s">
        <v>2838</v>
      </c>
      <c r="K501" t="s">
        <v>177</v>
      </c>
      <c r="L501" t="s">
        <v>163</v>
      </c>
      <c r="M501" t="s">
        <v>163</v>
      </c>
      <c r="N501" t="s">
        <v>163</v>
      </c>
      <c r="O501" s="6" t="s">
        <v>899</v>
      </c>
      <c r="P501">
        <v>0</v>
      </c>
      <c r="Q501" s="24">
        <v>39.200000000000003</v>
      </c>
      <c r="R501" s="25">
        <v>50.5</v>
      </c>
      <c r="S501" s="26">
        <v>40</v>
      </c>
      <c r="Y501">
        <v>10</v>
      </c>
      <c r="Z501">
        <v>30</v>
      </c>
      <c r="AA501" s="3">
        <v>25</v>
      </c>
      <c r="AB501" s="3">
        <v>6</v>
      </c>
      <c r="AC501">
        <v>155</v>
      </c>
      <c r="AD501" s="9">
        <f t="shared" si="131"/>
        <v>8128.833333333333</v>
      </c>
      <c r="AE501">
        <f t="shared" si="138"/>
        <v>2555730</v>
      </c>
      <c r="AF501" s="2">
        <f t="shared" si="142"/>
        <v>26.200000000000003</v>
      </c>
      <c r="AG501" t="str">
        <f t="shared" si="132"/>
        <v>135小时</v>
      </c>
      <c r="AH501">
        <f t="shared" si="133"/>
        <v>79</v>
      </c>
      <c r="AI501">
        <f t="shared" si="134"/>
        <v>14</v>
      </c>
      <c r="AJ501">
        <f t="shared" si="139"/>
        <v>47.8</v>
      </c>
      <c r="AK501">
        <f t="shared" si="135"/>
        <v>24</v>
      </c>
      <c r="AL501">
        <f t="shared" si="140"/>
        <v>26.200000000000003</v>
      </c>
      <c r="AM501" s="2">
        <f t="shared" si="136"/>
        <v>14</v>
      </c>
      <c r="AX501">
        <v>498</v>
      </c>
      <c r="AZ501" s="3"/>
      <c r="BB501" s="2">
        <f t="shared" si="137"/>
        <v>150</v>
      </c>
      <c r="BC501">
        <f t="shared" si="141"/>
        <v>10.52003816793893</v>
      </c>
      <c r="BD501" s="2">
        <f t="shared" si="143"/>
        <v>47.8</v>
      </c>
      <c r="BE501">
        <f t="shared" si="144"/>
        <v>26.200000000000003</v>
      </c>
      <c r="BF501">
        <f t="shared" si="145"/>
        <v>150912.00000000003</v>
      </c>
    </row>
    <row r="502" spans="1:58" ht="14.25" x14ac:dyDescent="0.2">
      <c r="A502" s="11">
        <v>10519</v>
      </c>
      <c r="B502" s="13">
        <f t="shared" si="146"/>
        <v>10</v>
      </c>
      <c r="C502" s="15">
        <f t="shared" si="147"/>
        <v>7</v>
      </c>
      <c r="D502" s="14">
        <f t="shared" si="148"/>
        <v>8</v>
      </c>
      <c r="E502" t="s">
        <v>2777</v>
      </c>
      <c r="F502" t="s">
        <v>2837</v>
      </c>
      <c r="G502" t="s">
        <v>2779</v>
      </c>
      <c r="H502" t="s">
        <v>2779</v>
      </c>
      <c r="I502" t="s">
        <v>2780</v>
      </c>
      <c r="J502" s="4" t="s">
        <v>2838</v>
      </c>
      <c r="K502" t="s">
        <v>174</v>
      </c>
      <c r="L502" t="s">
        <v>163</v>
      </c>
      <c r="M502" t="s">
        <v>163</v>
      </c>
      <c r="N502" t="s">
        <v>163</v>
      </c>
      <c r="O502" s="6" t="s">
        <v>901</v>
      </c>
      <c r="P502">
        <v>0</v>
      </c>
      <c r="Q502" s="24">
        <v>39.200000000000003</v>
      </c>
      <c r="R502" s="25">
        <v>50.5</v>
      </c>
      <c r="S502" s="26">
        <v>40</v>
      </c>
      <c r="Y502">
        <v>10</v>
      </c>
      <c r="Z502">
        <v>30</v>
      </c>
      <c r="AA502" s="3">
        <v>25</v>
      </c>
      <c r="AB502" s="3">
        <v>6</v>
      </c>
      <c r="AC502">
        <v>155</v>
      </c>
      <c r="AD502" s="9">
        <f t="shared" si="131"/>
        <v>8128.833333333333</v>
      </c>
      <c r="AE502">
        <f t="shared" si="138"/>
        <v>2555730</v>
      </c>
      <c r="AF502" s="2">
        <f t="shared" si="142"/>
        <v>26.200000000000003</v>
      </c>
      <c r="AG502" t="str">
        <f t="shared" si="132"/>
        <v>135小时</v>
      </c>
      <c r="AH502">
        <f t="shared" si="133"/>
        <v>79</v>
      </c>
      <c r="AI502">
        <f t="shared" si="134"/>
        <v>14</v>
      </c>
      <c r="AJ502">
        <f t="shared" si="139"/>
        <v>47.8</v>
      </c>
      <c r="AK502">
        <f t="shared" si="135"/>
        <v>24</v>
      </c>
      <c r="AL502">
        <f t="shared" si="140"/>
        <v>26.200000000000003</v>
      </c>
      <c r="AM502" s="2">
        <f t="shared" si="136"/>
        <v>14</v>
      </c>
      <c r="AX502">
        <v>499</v>
      </c>
      <c r="AZ502" s="3"/>
      <c r="BB502" s="2">
        <f t="shared" si="137"/>
        <v>150</v>
      </c>
      <c r="BC502">
        <f t="shared" si="141"/>
        <v>10.52003816793893</v>
      </c>
      <c r="BD502" s="2">
        <f t="shared" si="143"/>
        <v>47.8</v>
      </c>
      <c r="BE502">
        <f t="shared" si="144"/>
        <v>26.200000000000003</v>
      </c>
      <c r="BF502">
        <f t="shared" si="145"/>
        <v>150912.00000000003</v>
      </c>
    </row>
    <row r="503" spans="1:58" ht="14.25" x14ac:dyDescent="0.2">
      <c r="A503" s="11">
        <v>10520</v>
      </c>
      <c r="B503" s="13">
        <f t="shared" si="146"/>
        <v>10</v>
      </c>
      <c r="C503" s="15">
        <f t="shared" si="147"/>
        <v>7</v>
      </c>
      <c r="D503" s="14">
        <f t="shared" si="148"/>
        <v>8</v>
      </c>
      <c r="E503" t="s">
        <v>2785</v>
      </c>
      <c r="F503" t="s">
        <v>2786</v>
      </c>
      <c r="G503" t="s">
        <v>2833</v>
      </c>
      <c r="H503" t="s">
        <v>2829</v>
      </c>
      <c r="I503" t="s">
        <v>2697</v>
      </c>
      <c r="J503" s="4" t="s">
        <v>2876</v>
      </c>
      <c r="K503" t="s">
        <v>166</v>
      </c>
      <c r="L503" t="s">
        <v>163</v>
      </c>
      <c r="M503" t="s">
        <v>163</v>
      </c>
      <c r="N503" t="s">
        <v>163</v>
      </c>
      <c r="O503" s="6" t="s">
        <v>901</v>
      </c>
      <c r="P503">
        <v>0</v>
      </c>
      <c r="Q503" s="24">
        <v>39.200000000000003</v>
      </c>
      <c r="R503" s="25">
        <v>50.5</v>
      </c>
      <c r="S503" s="26">
        <v>40</v>
      </c>
      <c r="Y503">
        <v>10</v>
      </c>
      <c r="Z503">
        <v>30</v>
      </c>
      <c r="AA503" s="3">
        <v>25</v>
      </c>
      <c r="AB503" s="3">
        <v>6</v>
      </c>
      <c r="AC503">
        <v>155</v>
      </c>
      <c r="AD503" s="9">
        <f t="shared" si="131"/>
        <v>8128.833333333333</v>
      </c>
      <c r="AE503">
        <f t="shared" si="138"/>
        <v>2555730</v>
      </c>
      <c r="AF503" s="2">
        <f t="shared" si="142"/>
        <v>26.200000000000003</v>
      </c>
      <c r="AG503" t="str">
        <f t="shared" si="132"/>
        <v>135小时</v>
      </c>
      <c r="AH503">
        <f t="shared" si="133"/>
        <v>79</v>
      </c>
      <c r="AI503">
        <f t="shared" si="134"/>
        <v>14</v>
      </c>
      <c r="AJ503">
        <f t="shared" si="139"/>
        <v>47.8</v>
      </c>
      <c r="AK503">
        <f t="shared" si="135"/>
        <v>24</v>
      </c>
      <c r="AL503">
        <f t="shared" si="140"/>
        <v>26.200000000000003</v>
      </c>
      <c r="AM503" s="2">
        <f t="shared" si="136"/>
        <v>14</v>
      </c>
      <c r="AX503">
        <v>500</v>
      </c>
      <c r="AZ503" s="3"/>
      <c r="BB503" s="2">
        <f t="shared" si="137"/>
        <v>150</v>
      </c>
      <c r="BC503">
        <f t="shared" si="141"/>
        <v>10.52003816793893</v>
      </c>
      <c r="BD503" s="2">
        <f t="shared" si="143"/>
        <v>47.8</v>
      </c>
      <c r="BE503">
        <f t="shared" si="144"/>
        <v>26.200000000000003</v>
      </c>
      <c r="BF503">
        <f t="shared" si="145"/>
        <v>150912.00000000003</v>
      </c>
    </row>
    <row r="504" spans="1:58" ht="14.25" x14ac:dyDescent="0.2">
      <c r="A504" s="11">
        <v>10521</v>
      </c>
      <c r="B504" s="13">
        <f t="shared" si="146"/>
        <v>10</v>
      </c>
      <c r="C504" s="15">
        <f t="shared" si="147"/>
        <v>7</v>
      </c>
      <c r="D504" s="14">
        <f t="shared" si="148"/>
        <v>8</v>
      </c>
      <c r="E504" t="s">
        <v>2777</v>
      </c>
      <c r="F504" t="s">
        <v>2834</v>
      </c>
      <c r="G504" t="s">
        <v>2779</v>
      </c>
      <c r="H504" t="s">
        <v>2779</v>
      </c>
      <c r="I504" t="s">
        <v>2780</v>
      </c>
      <c r="J504" s="4" t="s">
        <v>2838</v>
      </c>
      <c r="K504" t="s">
        <v>168</v>
      </c>
      <c r="L504" t="s">
        <v>163</v>
      </c>
      <c r="M504" t="s">
        <v>163</v>
      </c>
      <c r="N504" t="s">
        <v>163</v>
      </c>
      <c r="O504" s="6" t="s">
        <v>903</v>
      </c>
      <c r="P504">
        <v>0</v>
      </c>
      <c r="Q504" s="24">
        <v>39.5</v>
      </c>
      <c r="R504" s="25">
        <v>51</v>
      </c>
      <c r="S504" s="26">
        <v>40.299999999999997</v>
      </c>
      <c r="Y504">
        <v>10</v>
      </c>
      <c r="Z504">
        <v>30</v>
      </c>
      <c r="AA504" s="3">
        <v>25</v>
      </c>
      <c r="AB504" s="3">
        <v>6</v>
      </c>
      <c r="AC504">
        <v>155</v>
      </c>
      <c r="AD504" s="9">
        <f t="shared" si="131"/>
        <v>8036.833333333333</v>
      </c>
      <c r="AE504">
        <f t="shared" si="138"/>
        <v>2555730</v>
      </c>
      <c r="AF504" s="2">
        <f t="shared" si="142"/>
        <v>26.5</v>
      </c>
      <c r="AG504" t="str">
        <f t="shared" si="132"/>
        <v>133小时</v>
      </c>
      <c r="AH504">
        <f t="shared" si="133"/>
        <v>80</v>
      </c>
      <c r="AI504">
        <f t="shared" si="134"/>
        <v>14</v>
      </c>
      <c r="AJ504">
        <f t="shared" si="139"/>
        <v>48.300000000000004</v>
      </c>
      <c r="AK504">
        <f t="shared" si="135"/>
        <v>25</v>
      </c>
      <c r="AL504">
        <f t="shared" si="140"/>
        <v>26.5</v>
      </c>
      <c r="AM504" s="2">
        <f t="shared" si="136"/>
        <v>14</v>
      </c>
      <c r="AX504">
        <v>501</v>
      </c>
      <c r="AZ504" s="3"/>
      <c r="BB504" s="2">
        <f t="shared" si="137"/>
        <v>150</v>
      </c>
      <c r="BC504">
        <f t="shared" si="141"/>
        <v>10.400943396226415</v>
      </c>
      <c r="BD504" s="2">
        <f t="shared" si="143"/>
        <v>48.300000000000004</v>
      </c>
      <c r="BE504">
        <f t="shared" si="144"/>
        <v>26.5</v>
      </c>
      <c r="BF504">
        <f t="shared" si="145"/>
        <v>152640</v>
      </c>
    </row>
    <row r="505" spans="1:58" ht="14.25" x14ac:dyDescent="0.2">
      <c r="A505" s="11">
        <v>10522</v>
      </c>
      <c r="B505" s="13">
        <f t="shared" si="146"/>
        <v>10</v>
      </c>
      <c r="C505" s="15">
        <f t="shared" si="147"/>
        <v>7</v>
      </c>
      <c r="D505" s="14">
        <f t="shared" si="148"/>
        <v>8</v>
      </c>
      <c r="E505" t="s">
        <v>2777</v>
      </c>
      <c r="F505" t="s">
        <v>2835</v>
      </c>
      <c r="G505" t="s">
        <v>2779</v>
      </c>
      <c r="H505" t="s">
        <v>2779</v>
      </c>
      <c r="I505" t="s">
        <v>2780</v>
      </c>
      <c r="J505" s="4" t="s">
        <v>2838</v>
      </c>
      <c r="K505" t="s">
        <v>175</v>
      </c>
      <c r="L505" t="s">
        <v>164</v>
      </c>
      <c r="M505" t="s">
        <v>163</v>
      </c>
      <c r="N505" t="s">
        <v>167</v>
      </c>
      <c r="O505" s="6" t="s">
        <v>905</v>
      </c>
      <c r="P505">
        <v>0</v>
      </c>
      <c r="Q505" s="24">
        <v>39.5</v>
      </c>
      <c r="R505" s="25">
        <v>51</v>
      </c>
      <c r="S505" s="26">
        <v>40.299999999999997</v>
      </c>
      <c r="Y505">
        <v>10</v>
      </c>
      <c r="Z505">
        <v>30</v>
      </c>
      <c r="AA505" s="3">
        <v>25</v>
      </c>
      <c r="AB505" s="3">
        <v>6</v>
      </c>
      <c r="AC505">
        <v>155</v>
      </c>
      <c r="AD505" s="9">
        <f t="shared" si="131"/>
        <v>8036.833333333333</v>
      </c>
      <c r="AE505">
        <f t="shared" si="138"/>
        <v>2555730</v>
      </c>
      <c r="AF505" s="2">
        <f t="shared" si="142"/>
        <v>26.5</v>
      </c>
      <c r="AG505" t="str">
        <f t="shared" si="132"/>
        <v>133小时</v>
      </c>
      <c r="AH505">
        <f t="shared" si="133"/>
        <v>80</v>
      </c>
      <c r="AI505">
        <f t="shared" si="134"/>
        <v>14</v>
      </c>
      <c r="AJ505">
        <f t="shared" si="139"/>
        <v>48.300000000000004</v>
      </c>
      <c r="AK505">
        <f t="shared" si="135"/>
        <v>25</v>
      </c>
      <c r="AL505">
        <f t="shared" si="140"/>
        <v>26.5</v>
      </c>
      <c r="AM505" s="2">
        <f t="shared" si="136"/>
        <v>14</v>
      </c>
      <c r="AX505">
        <v>502</v>
      </c>
      <c r="AZ505" s="3"/>
      <c r="BB505" s="2">
        <f t="shared" si="137"/>
        <v>150</v>
      </c>
      <c r="BC505">
        <f t="shared" si="141"/>
        <v>10.400943396226415</v>
      </c>
      <c r="BD505" s="2">
        <f t="shared" si="143"/>
        <v>48.300000000000004</v>
      </c>
      <c r="BE505">
        <f t="shared" si="144"/>
        <v>26.5</v>
      </c>
      <c r="BF505">
        <f t="shared" si="145"/>
        <v>152640</v>
      </c>
    </row>
    <row r="506" spans="1:58" ht="14.25" x14ac:dyDescent="0.2">
      <c r="A506" s="11">
        <v>10523</v>
      </c>
      <c r="B506" s="13">
        <f t="shared" si="146"/>
        <v>10</v>
      </c>
      <c r="C506" s="15">
        <f t="shared" si="147"/>
        <v>7</v>
      </c>
      <c r="D506" s="14">
        <f t="shared" si="148"/>
        <v>8</v>
      </c>
      <c r="E506" t="s">
        <v>2777</v>
      </c>
      <c r="F506" t="s">
        <v>2836</v>
      </c>
      <c r="G506" t="s">
        <v>2779</v>
      </c>
      <c r="H506" t="s">
        <v>2779</v>
      </c>
      <c r="I506" t="s">
        <v>2780</v>
      </c>
      <c r="J506" s="4" t="s">
        <v>2838</v>
      </c>
      <c r="K506" t="s">
        <v>179</v>
      </c>
      <c r="L506" t="s">
        <v>163</v>
      </c>
      <c r="M506" t="s">
        <v>163</v>
      </c>
      <c r="N506" t="s">
        <v>163</v>
      </c>
      <c r="O506" s="6" t="s">
        <v>907</v>
      </c>
      <c r="P506">
        <v>0</v>
      </c>
      <c r="Q506" s="24">
        <v>39.5</v>
      </c>
      <c r="R506" s="25">
        <v>51</v>
      </c>
      <c r="S506" s="26">
        <v>40.299999999999997</v>
      </c>
      <c r="Y506">
        <v>10</v>
      </c>
      <c r="Z506">
        <v>30</v>
      </c>
      <c r="AA506" s="3">
        <v>25</v>
      </c>
      <c r="AB506" s="3">
        <v>6</v>
      </c>
      <c r="AC506">
        <v>155</v>
      </c>
      <c r="AD506" s="9">
        <f t="shared" si="131"/>
        <v>8036.833333333333</v>
      </c>
      <c r="AE506">
        <f t="shared" si="138"/>
        <v>2555730</v>
      </c>
      <c r="AF506" s="2">
        <f t="shared" si="142"/>
        <v>26.5</v>
      </c>
      <c r="AG506" t="str">
        <f t="shared" si="132"/>
        <v>133小时</v>
      </c>
      <c r="AH506">
        <f t="shared" si="133"/>
        <v>80</v>
      </c>
      <c r="AI506">
        <f t="shared" si="134"/>
        <v>14</v>
      </c>
      <c r="AJ506">
        <f t="shared" si="139"/>
        <v>48.300000000000004</v>
      </c>
      <c r="AK506">
        <f t="shared" si="135"/>
        <v>25</v>
      </c>
      <c r="AL506">
        <f t="shared" si="140"/>
        <v>26.5</v>
      </c>
      <c r="AM506" s="2">
        <f t="shared" si="136"/>
        <v>14</v>
      </c>
      <c r="AX506">
        <v>503</v>
      </c>
      <c r="AZ506" s="3"/>
      <c r="BB506" s="2">
        <f t="shared" si="137"/>
        <v>150</v>
      </c>
      <c r="BC506">
        <f t="shared" si="141"/>
        <v>10.400943396226415</v>
      </c>
      <c r="BD506" s="2">
        <f t="shared" si="143"/>
        <v>48.300000000000004</v>
      </c>
      <c r="BE506">
        <f t="shared" si="144"/>
        <v>26.5</v>
      </c>
      <c r="BF506">
        <f t="shared" si="145"/>
        <v>152640</v>
      </c>
    </row>
    <row r="507" spans="1:58" ht="14.25" x14ac:dyDescent="0.2">
      <c r="A507" s="11">
        <v>10524</v>
      </c>
      <c r="B507" s="13">
        <f t="shared" si="146"/>
        <v>10</v>
      </c>
      <c r="C507" s="15">
        <f t="shared" si="147"/>
        <v>7</v>
      </c>
      <c r="D507" s="14">
        <f t="shared" si="148"/>
        <v>8</v>
      </c>
      <c r="E507" t="s">
        <v>2777</v>
      </c>
      <c r="F507" t="s">
        <v>2837</v>
      </c>
      <c r="G507" t="s">
        <v>2779</v>
      </c>
      <c r="H507" t="s">
        <v>2779</v>
      </c>
      <c r="I507" t="s">
        <v>2780</v>
      </c>
      <c r="J507" s="4" t="s">
        <v>2838</v>
      </c>
      <c r="K507" t="s">
        <v>177</v>
      </c>
      <c r="L507" t="s">
        <v>163</v>
      </c>
      <c r="M507" t="s">
        <v>163</v>
      </c>
      <c r="N507" t="s">
        <v>163</v>
      </c>
      <c r="O507" s="6" t="s">
        <v>907</v>
      </c>
      <c r="P507">
        <v>0</v>
      </c>
      <c r="Q507" s="24">
        <v>39.5</v>
      </c>
      <c r="R507" s="25">
        <v>51</v>
      </c>
      <c r="S507" s="26">
        <v>40.299999999999997</v>
      </c>
      <c r="Y507">
        <v>10</v>
      </c>
      <c r="Z507">
        <v>30</v>
      </c>
      <c r="AA507" s="3">
        <v>25</v>
      </c>
      <c r="AB507" s="3">
        <v>6</v>
      </c>
      <c r="AC507">
        <v>155</v>
      </c>
      <c r="AD507" s="9">
        <f t="shared" si="131"/>
        <v>8036.833333333333</v>
      </c>
      <c r="AE507">
        <f t="shared" si="138"/>
        <v>2555730</v>
      </c>
      <c r="AF507" s="2">
        <f t="shared" si="142"/>
        <v>26.5</v>
      </c>
      <c r="AG507" t="str">
        <f t="shared" si="132"/>
        <v>133小时</v>
      </c>
      <c r="AH507">
        <f t="shared" si="133"/>
        <v>80</v>
      </c>
      <c r="AI507">
        <f t="shared" si="134"/>
        <v>14</v>
      </c>
      <c r="AJ507">
        <f t="shared" si="139"/>
        <v>48.300000000000004</v>
      </c>
      <c r="AK507">
        <f t="shared" si="135"/>
        <v>25</v>
      </c>
      <c r="AL507">
        <f t="shared" si="140"/>
        <v>26.5</v>
      </c>
      <c r="AM507" s="2">
        <f t="shared" si="136"/>
        <v>14</v>
      </c>
      <c r="AX507">
        <v>504</v>
      </c>
      <c r="AZ507" s="3"/>
      <c r="BB507" s="2">
        <f t="shared" si="137"/>
        <v>150</v>
      </c>
      <c r="BC507">
        <f t="shared" si="141"/>
        <v>10.400943396226415</v>
      </c>
      <c r="BD507" s="2">
        <f t="shared" si="143"/>
        <v>48.300000000000004</v>
      </c>
      <c r="BE507">
        <f t="shared" si="144"/>
        <v>26.5</v>
      </c>
      <c r="BF507">
        <f t="shared" si="145"/>
        <v>152640</v>
      </c>
    </row>
    <row r="508" spans="1:58" ht="14.25" x14ac:dyDescent="0.2">
      <c r="A508" s="11">
        <v>10525</v>
      </c>
      <c r="B508" s="13">
        <f t="shared" si="146"/>
        <v>10</v>
      </c>
      <c r="C508" s="15">
        <f t="shared" si="147"/>
        <v>7</v>
      </c>
      <c r="D508" s="14">
        <f t="shared" si="148"/>
        <v>8</v>
      </c>
      <c r="E508" t="s">
        <v>2785</v>
      </c>
      <c r="F508" t="s">
        <v>2786</v>
      </c>
      <c r="G508" t="s">
        <v>2828</v>
      </c>
      <c r="H508" t="s">
        <v>2829</v>
      </c>
      <c r="I508" t="s">
        <v>2697</v>
      </c>
      <c r="J508" s="4" t="s">
        <v>2876</v>
      </c>
      <c r="K508" t="s">
        <v>174</v>
      </c>
      <c r="L508" t="s">
        <v>163</v>
      </c>
      <c r="M508" t="s">
        <v>163</v>
      </c>
      <c r="N508" t="s">
        <v>163</v>
      </c>
      <c r="O508" s="6" t="s">
        <v>909</v>
      </c>
      <c r="P508">
        <v>0</v>
      </c>
      <c r="Q508" s="24">
        <v>39.5</v>
      </c>
      <c r="R508" s="25">
        <v>51</v>
      </c>
      <c r="S508" s="26">
        <v>40.299999999999997</v>
      </c>
      <c r="Y508">
        <v>10</v>
      </c>
      <c r="Z508">
        <v>30</v>
      </c>
      <c r="AA508" s="3">
        <v>25</v>
      </c>
      <c r="AB508" s="3">
        <v>6</v>
      </c>
      <c r="AC508">
        <v>155</v>
      </c>
      <c r="AD508" s="9">
        <f t="shared" si="131"/>
        <v>8036.833333333333</v>
      </c>
      <c r="AE508">
        <f t="shared" si="138"/>
        <v>2555730</v>
      </c>
      <c r="AF508" s="2">
        <f t="shared" si="142"/>
        <v>26.5</v>
      </c>
      <c r="AG508" t="str">
        <f t="shared" si="132"/>
        <v>133小时</v>
      </c>
      <c r="AH508">
        <f t="shared" si="133"/>
        <v>80</v>
      </c>
      <c r="AI508">
        <f t="shared" si="134"/>
        <v>14</v>
      </c>
      <c r="AJ508">
        <f t="shared" si="139"/>
        <v>48.300000000000004</v>
      </c>
      <c r="AK508">
        <f t="shared" si="135"/>
        <v>25</v>
      </c>
      <c r="AL508">
        <f t="shared" si="140"/>
        <v>26.5</v>
      </c>
      <c r="AM508" s="2">
        <f t="shared" si="136"/>
        <v>14</v>
      </c>
      <c r="AX508">
        <v>505</v>
      </c>
      <c r="AZ508" s="3"/>
      <c r="BB508" s="2">
        <f t="shared" si="137"/>
        <v>150</v>
      </c>
      <c r="BC508">
        <f t="shared" si="141"/>
        <v>10.400943396226415</v>
      </c>
      <c r="BD508" s="2">
        <f t="shared" si="143"/>
        <v>48.300000000000004</v>
      </c>
      <c r="BE508">
        <f t="shared" si="144"/>
        <v>26.5</v>
      </c>
      <c r="BF508">
        <f t="shared" si="145"/>
        <v>152640</v>
      </c>
    </row>
    <row r="509" spans="1:58" ht="14.25" x14ac:dyDescent="0.2">
      <c r="A509" s="11">
        <v>10526</v>
      </c>
      <c r="B509" s="13">
        <f t="shared" si="146"/>
        <v>10</v>
      </c>
      <c r="C509" s="15">
        <f t="shared" si="147"/>
        <v>7</v>
      </c>
      <c r="D509" s="14">
        <f t="shared" si="148"/>
        <v>8</v>
      </c>
      <c r="E509" t="s">
        <v>2777</v>
      </c>
      <c r="F509" t="s">
        <v>2834</v>
      </c>
      <c r="G509" t="s">
        <v>2779</v>
      </c>
      <c r="H509" t="s">
        <v>2779</v>
      </c>
      <c r="I509" t="s">
        <v>2780</v>
      </c>
      <c r="J509" s="4" t="s">
        <v>2838</v>
      </c>
      <c r="K509" t="s">
        <v>182</v>
      </c>
      <c r="L509" t="s">
        <v>163</v>
      </c>
      <c r="M509" t="s">
        <v>163</v>
      </c>
      <c r="N509" t="s">
        <v>163</v>
      </c>
      <c r="O509" s="6" t="s">
        <v>911</v>
      </c>
      <c r="P509">
        <v>0</v>
      </c>
      <c r="Q509" s="24">
        <v>39.799999999999997</v>
      </c>
      <c r="R509" s="25">
        <v>51.5</v>
      </c>
      <c r="S509" s="26">
        <v>40.5</v>
      </c>
      <c r="Y509">
        <v>10</v>
      </c>
      <c r="Z509">
        <v>30</v>
      </c>
      <c r="AA509" s="3">
        <v>25</v>
      </c>
      <c r="AB509" s="3">
        <v>6</v>
      </c>
      <c r="AC509">
        <v>155</v>
      </c>
      <c r="AD509" s="9">
        <f t="shared" si="131"/>
        <v>7976.6666666666661</v>
      </c>
      <c r="AE509">
        <f t="shared" si="138"/>
        <v>2555730</v>
      </c>
      <c r="AF509" s="2">
        <f t="shared" si="142"/>
        <v>26.700000000000003</v>
      </c>
      <c r="AG509" t="str">
        <f t="shared" si="132"/>
        <v>132小时</v>
      </c>
      <c r="AH509">
        <f t="shared" si="133"/>
        <v>81</v>
      </c>
      <c r="AI509">
        <f t="shared" si="134"/>
        <v>14</v>
      </c>
      <c r="AJ509">
        <f t="shared" si="139"/>
        <v>48.6</v>
      </c>
      <c r="AK509">
        <f t="shared" si="135"/>
        <v>25</v>
      </c>
      <c r="AL509">
        <f t="shared" si="140"/>
        <v>26.700000000000003</v>
      </c>
      <c r="AM509" s="2">
        <f t="shared" si="136"/>
        <v>14</v>
      </c>
      <c r="AX509">
        <v>506</v>
      </c>
      <c r="AZ509" s="3"/>
      <c r="BB509" s="2">
        <f t="shared" si="137"/>
        <v>150</v>
      </c>
      <c r="BC509">
        <f t="shared" si="141"/>
        <v>10.323033707865166</v>
      </c>
      <c r="BD509" s="2">
        <f t="shared" si="143"/>
        <v>48.6</v>
      </c>
      <c r="BE509">
        <f t="shared" si="144"/>
        <v>26.700000000000003</v>
      </c>
      <c r="BF509">
        <f t="shared" si="145"/>
        <v>153792.00000000003</v>
      </c>
    </row>
    <row r="510" spans="1:58" ht="14.25" x14ac:dyDescent="0.2">
      <c r="A510" s="11">
        <v>10527</v>
      </c>
      <c r="B510" s="13">
        <f t="shared" si="146"/>
        <v>10</v>
      </c>
      <c r="C510" s="15">
        <f t="shared" si="147"/>
        <v>7</v>
      </c>
      <c r="D510" s="14">
        <f t="shared" si="148"/>
        <v>8</v>
      </c>
      <c r="E510" t="s">
        <v>2777</v>
      </c>
      <c r="F510" t="s">
        <v>2835</v>
      </c>
      <c r="G510" t="s">
        <v>2779</v>
      </c>
      <c r="H510" t="s">
        <v>2779</v>
      </c>
      <c r="I510" t="s">
        <v>2780</v>
      </c>
      <c r="J510" s="4" t="s">
        <v>2838</v>
      </c>
      <c r="K510" t="s">
        <v>162</v>
      </c>
      <c r="L510" t="s">
        <v>163</v>
      </c>
      <c r="M510" t="s">
        <v>163</v>
      </c>
      <c r="N510" t="s">
        <v>163</v>
      </c>
      <c r="O510" s="6" t="s">
        <v>911</v>
      </c>
      <c r="P510">
        <v>0</v>
      </c>
      <c r="Q510" s="24">
        <v>39.799999999999997</v>
      </c>
      <c r="R510" s="25">
        <v>51.5</v>
      </c>
      <c r="S510" s="26">
        <v>40.5</v>
      </c>
      <c r="Y510">
        <v>10</v>
      </c>
      <c r="Z510">
        <v>30</v>
      </c>
      <c r="AA510" s="3">
        <v>25</v>
      </c>
      <c r="AB510" s="3">
        <v>6</v>
      </c>
      <c r="AC510">
        <v>155</v>
      </c>
      <c r="AD510" s="9">
        <f t="shared" si="131"/>
        <v>7976.6666666666661</v>
      </c>
      <c r="AE510">
        <f t="shared" si="138"/>
        <v>2555730</v>
      </c>
      <c r="AF510" s="2">
        <f t="shared" si="142"/>
        <v>26.700000000000003</v>
      </c>
      <c r="AG510" t="str">
        <f t="shared" si="132"/>
        <v>132小时</v>
      </c>
      <c r="AH510">
        <f t="shared" si="133"/>
        <v>81</v>
      </c>
      <c r="AI510">
        <f t="shared" si="134"/>
        <v>14</v>
      </c>
      <c r="AJ510">
        <f t="shared" si="139"/>
        <v>48.6</v>
      </c>
      <c r="AK510">
        <f t="shared" si="135"/>
        <v>25</v>
      </c>
      <c r="AL510">
        <f t="shared" si="140"/>
        <v>26.700000000000003</v>
      </c>
      <c r="AM510" s="2">
        <f t="shared" si="136"/>
        <v>14</v>
      </c>
      <c r="AX510">
        <v>507</v>
      </c>
      <c r="AZ510" s="3"/>
      <c r="BB510" s="2">
        <f t="shared" si="137"/>
        <v>150</v>
      </c>
      <c r="BC510">
        <f t="shared" si="141"/>
        <v>10.323033707865166</v>
      </c>
      <c r="BD510" s="2">
        <f t="shared" si="143"/>
        <v>48.6</v>
      </c>
      <c r="BE510">
        <f t="shared" si="144"/>
        <v>26.700000000000003</v>
      </c>
      <c r="BF510">
        <f t="shared" si="145"/>
        <v>153792.00000000003</v>
      </c>
    </row>
    <row r="511" spans="1:58" ht="14.25" x14ac:dyDescent="0.2">
      <c r="A511" s="11">
        <v>10528</v>
      </c>
      <c r="B511" s="13">
        <f t="shared" si="146"/>
        <v>10</v>
      </c>
      <c r="C511" s="15">
        <f t="shared" si="147"/>
        <v>7</v>
      </c>
      <c r="D511" s="14">
        <f t="shared" si="148"/>
        <v>8</v>
      </c>
      <c r="E511" t="s">
        <v>2777</v>
      </c>
      <c r="F511" t="s">
        <v>2836</v>
      </c>
      <c r="G511" t="s">
        <v>2779</v>
      </c>
      <c r="H511" t="s">
        <v>2779</v>
      </c>
      <c r="I511" t="s">
        <v>2780</v>
      </c>
      <c r="J511" s="4" t="s">
        <v>2838</v>
      </c>
      <c r="K511" t="s">
        <v>177</v>
      </c>
      <c r="L511" t="s">
        <v>163</v>
      </c>
      <c r="M511" t="s">
        <v>163</v>
      </c>
      <c r="N511" t="s">
        <v>163</v>
      </c>
      <c r="O511" s="6" t="s">
        <v>913</v>
      </c>
      <c r="P511">
        <v>0</v>
      </c>
      <c r="Q511" s="24">
        <v>39.799999999999997</v>
      </c>
      <c r="R511" s="25">
        <v>51.5</v>
      </c>
      <c r="S511" s="26">
        <v>40.5</v>
      </c>
      <c r="Y511">
        <v>10</v>
      </c>
      <c r="Z511">
        <v>30</v>
      </c>
      <c r="AA511" s="3">
        <v>25</v>
      </c>
      <c r="AB511" s="3">
        <v>6</v>
      </c>
      <c r="AC511">
        <v>155</v>
      </c>
      <c r="AD511" s="9">
        <f t="shared" si="131"/>
        <v>7976.6666666666661</v>
      </c>
      <c r="AE511">
        <f t="shared" si="138"/>
        <v>2555730</v>
      </c>
      <c r="AF511" s="2">
        <f t="shared" si="142"/>
        <v>26.700000000000003</v>
      </c>
      <c r="AG511" t="str">
        <f t="shared" si="132"/>
        <v>132小时</v>
      </c>
      <c r="AH511">
        <f t="shared" si="133"/>
        <v>81</v>
      </c>
      <c r="AI511">
        <f t="shared" si="134"/>
        <v>14</v>
      </c>
      <c r="AJ511">
        <f t="shared" si="139"/>
        <v>48.6</v>
      </c>
      <c r="AK511">
        <f t="shared" si="135"/>
        <v>25</v>
      </c>
      <c r="AL511">
        <f t="shared" si="140"/>
        <v>26.700000000000003</v>
      </c>
      <c r="AM511" s="2">
        <f t="shared" si="136"/>
        <v>14</v>
      </c>
      <c r="AX511">
        <v>508</v>
      </c>
      <c r="AZ511" s="3"/>
      <c r="BB511" s="2">
        <f t="shared" si="137"/>
        <v>150</v>
      </c>
      <c r="BC511">
        <f t="shared" si="141"/>
        <v>10.323033707865166</v>
      </c>
      <c r="BD511" s="2">
        <f t="shared" si="143"/>
        <v>48.6</v>
      </c>
      <c r="BE511">
        <f t="shared" si="144"/>
        <v>26.700000000000003</v>
      </c>
      <c r="BF511">
        <f t="shared" si="145"/>
        <v>153792.00000000003</v>
      </c>
    </row>
    <row r="512" spans="1:58" ht="14.25" x14ac:dyDescent="0.2">
      <c r="A512" s="11">
        <v>10529</v>
      </c>
      <c r="B512" s="13">
        <f t="shared" si="146"/>
        <v>10</v>
      </c>
      <c r="C512" s="15">
        <f t="shared" si="147"/>
        <v>7</v>
      </c>
      <c r="D512" s="14">
        <f t="shared" si="148"/>
        <v>8</v>
      </c>
      <c r="E512" t="s">
        <v>2777</v>
      </c>
      <c r="F512" t="s">
        <v>2837</v>
      </c>
      <c r="G512" t="s">
        <v>2779</v>
      </c>
      <c r="H512" t="s">
        <v>2779</v>
      </c>
      <c r="I512" t="s">
        <v>2780</v>
      </c>
      <c r="J512" s="4" t="s">
        <v>2838</v>
      </c>
      <c r="K512" t="s">
        <v>174</v>
      </c>
      <c r="L512" t="s">
        <v>163</v>
      </c>
      <c r="M512" t="s">
        <v>163</v>
      </c>
      <c r="N512" t="s">
        <v>163</v>
      </c>
      <c r="O512" s="6" t="s">
        <v>915</v>
      </c>
      <c r="P512">
        <v>0</v>
      </c>
      <c r="Q512" s="24">
        <v>39.799999999999997</v>
      </c>
      <c r="R512" s="25">
        <v>51.5</v>
      </c>
      <c r="S512" s="26">
        <v>40.5</v>
      </c>
      <c r="Y512">
        <v>10</v>
      </c>
      <c r="Z512">
        <v>30</v>
      </c>
      <c r="AA512" s="3">
        <v>25</v>
      </c>
      <c r="AB512" s="3">
        <v>6</v>
      </c>
      <c r="AC512">
        <v>155</v>
      </c>
      <c r="AD512" s="9">
        <f t="shared" ref="AD512:AD575" si="149">INT(AE512/AF512)/60*5</f>
        <v>7976.6666666666661</v>
      </c>
      <c r="AE512">
        <f t="shared" si="138"/>
        <v>2555730</v>
      </c>
      <c r="AF512" s="2">
        <f t="shared" si="142"/>
        <v>26.700000000000003</v>
      </c>
      <c r="AG512" t="str">
        <f t="shared" ref="AG512:AG575" si="150">IF(AD512&lt;60,CONCATENATE(INT(AD512),"分钟"),CONCATENATE(INT(AD512/60),"小时"))</f>
        <v>132小时</v>
      </c>
      <c r="AH512">
        <f t="shared" ref="AH512:AH575" si="151">ROUNDUP(AF512*3,0)</f>
        <v>81</v>
      </c>
      <c r="AI512">
        <f t="shared" ref="AI512:AI575" si="152">ROUNDUP(AH512/AB512,0)</f>
        <v>14</v>
      </c>
      <c r="AJ512">
        <f t="shared" si="139"/>
        <v>48.6</v>
      </c>
      <c r="AK512">
        <f t="shared" ref="AK512:AK575" si="153">ROUNDUP(AJ512*3/AB512,0)</f>
        <v>25</v>
      </c>
      <c r="AL512">
        <f t="shared" si="140"/>
        <v>26.700000000000003</v>
      </c>
      <c r="AM512" s="2">
        <f t="shared" ref="AM512:AM575" si="154">ROUNDUP(AL512*3/AB512,0)</f>
        <v>14</v>
      </c>
      <c r="AX512">
        <v>509</v>
      </c>
      <c r="AZ512" s="3"/>
      <c r="BB512" s="2">
        <f t="shared" si="137"/>
        <v>150</v>
      </c>
      <c r="BC512">
        <f t="shared" si="141"/>
        <v>10.323033707865166</v>
      </c>
      <c r="BD512" s="2">
        <f t="shared" si="143"/>
        <v>48.6</v>
      </c>
      <c r="BE512">
        <f t="shared" si="144"/>
        <v>26.700000000000003</v>
      </c>
      <c r="BF512">
        <f t="shared" si="145"/>
        <v>153792.00000000003</v>
      </c>
    </row>
    <row r="513" spans="1:58" ht="14.25" x14ac:dyDescent="0.2">
      <c r="A513" s="11">
        <v>10530</v>
      </c>
      <c r="B513" s="13">
        <f t="shared" si="146"/>
        <v>10</v>
      </c>
      <c r="C513" s="15">
        <f t="shared" si="147"/>
        <v>7</v>
      </c>
      <c r="D513" s="14">
        <f t="shared" si="148"/>
        <v>8</v>
      </c>
      <c r="E513" t="s">
        <v>2785</v>
      </c>
      <c r="F513" t="s">
        <v>2786</v>
      </c>
      <c r="G513" t="s">
        <v>2830</v>
      </c>
      <c r="H513" t="s">
        <v>2829</v>
      </c>
      <c r="I513" t="s">
        <v>2697</v>
      </c>
      <c r="J513" s="4" t="s">
        <v>2858</v>
      </c>
      <c r="K513" t="s">
        <v>166</v>
      </c>
      <c r="L513" t="s">
        <v>163</v>
      </c>
      <c r="M513" t="s">
        <v>163</v>
      </c>
      <c r="N513" t="s">
        <v>163</v>
      </c>
      <c r="O513" s="6" t="s">
        <v>915</v>
      </c>
      <c r="P513">
        <v>0</v>
      </c>
      <c r="Q513" s="24">
        <v>39.799999999999997</v>
      </c>
      <c r="R513" s="25">
        <v>51.5</v>
      </c>
      <c r="S513" s="26">
        <v>40.5</v>
      </c>
      <c r="Y513">
        <v>10</v>
      </c>
      <c r="Z513">
        <v>30</v>
      </c>
      <c r="AA513" s="3">
        <v>25</v>
      </c>
      <c r="AB513" s="3">
        <v>6</v>
      </c>
      <c r="AC513">
        <v>155</v>
      </c>
      <c r="AD513" s="9">
        <f t="shared" si="149"/>
        <v>7976.6666666666661</v>
      </c>
      <c r="AE513">
        <f t="shared" si="138"/>
        <v>2555730</v>
      </c>
      <c r="AF513" s="2">
        <f t="shared" si="142"/>
        <v>26.700000000000003</v>
      </c>
      <c r="AG513" t="str">
        <f t="shared" si="150"/>
        <v>132小时</v>
      </c>
      <c r="AH513">
        <f t="shared" si="151"/>
        <v>81</v>
      </c>
      <c r="AI513">
        <f t="shared" si="152"/>
        <v>14</v>
      </c>
      <c r="AJ513">
        <f t="shared" si="139"/>
        <v>48.6</v>
      </c>
      <c r="AK513">
        <f t="shared" si="153"/>
        <v>25</v>
      </c>
      <c r="AL513">
        <f t="shared" si="140"/>
        <v>26.700000000000003</v>
      </c>
      <c r="AM513" s="2">
        <f t="shared" si="154"/>
        <v>14</v>
      </c>
      <c r="AX513">
        <v>510</v>
      </c>
      <c r="AZ513" s="3"/>
      <c r="BB513" s="2">
        <f t="shared" si="137"/>
        <v>150</v>
      </c>
      <c r="BC513">
        <f t="shared" si="141"/>
        <v>10.323033707865166</v>
      </c>
      <c r="BD513" s="2">
        <f t="shared" si="143"/>
        <v>48.6</v>
      </c>
      <c r="BE513">
        <f t="shared" si="144"/>
        <v>26.700000000000003</v>
      </c>
      <c r="BF513">
        <f t="shared" si="145"/>
        <v>153792.00000000003</v>
      </c>
    </row>
    <row r="514" spans="1:58" ht="14.25" x14ac:dyDescent="0.2">
      <c r="A514" s="11">
        <v>10531</v>
      </c>
      <c r="B514" s="13">
        <f t="shared" si="146"/>
        <v>10</v>
      </c>
      <c r="C514" s="15">
        <f t="shared" si="147"/>
        <v>7</v>
      </c>
      <c r="D514" s="14">
        <f t="shared" si="148"/>
        <v>8</v>
      </c>
      <c r="E514" t="s">
        <v>2777</v>
      </c>
      <c r="F514" t="s">
        <v>2834</v>
      </c>
      <c r="G514" t="s">
        <v>2779</v>
      </c>
      <c r="H514" t="s">
        <v>2779</v>
      </c>
      <c r="I514" t="s">
        <v>2780</v>
      </c>
      <c r="J514" s="4" t="s">
        <v>2838</v>
      </c>
      <c r="K514" t="s">
        <v>168</v>
      </c>
      <c r="L514" t="s">
        <v>163</v>
      </c>
      <c r="M514" t="s">
        <v>163</v>
      </c>
      <c r="N514" t="s">
        <v>163</v>
      </c>
      <c r="O514" s="6" t="s">
        <v>917</v>
      </c>
      <c r="P514">
        <v>0</v>
      </c>
      <c r="Q514" s="24">
        <v>40.200000000000003</v>
      </c>
      <c r="R514" s="25">
        <v>52</v>
      </c>
      <c r="S514" s="26">
        <v>40.799999999999997</v>
      </c>
      <c r="Y514">
        <v>10</v>
      </c>
      <c r="Z514">
        <v>30</v>
      </c>
      <c r="AA514" s="3">
        <v>25</v>
      </c>
      <c r="AB514" s="3">
        <v>6</v>
      </c>
      <c r="AC514">
        <v>155</v>
      </c>
      <c r="AD514" s="9">
        <f t="shared" si="149"/>
        <v>7888</v>
      </c>
      <c r="AE514">
        <f t="shared" si="138"/>
        <v>2555730</v>
      </c>
      <c r="AF514" s="2">
        <f t="shared" si="142"/>
        <v>27</v>
      </c>
      <c r="AG514" t="str">
        <f t="shared" si="150"/>
        <v>131小时</v>
      </c>
      <c r="AH514">
        <f t="shared" si="151"/>
        <v>81</v>
      </c>
      <c r="AI514">
        <f t="shared" si="152"/>
        <v>14</v>
      </c>
      <c r="AJ514">
        <f t="shared" si="139"/>
        <v>49</v>
      </c>
      <c r="AK514">
        <f t="shared" si="153"/>
        <v>25</v>
      </c>
      <c r="AL514">
        <f t="shared" si="140"/>
        <v>27</v>
      </c>
      <c r="AM514" s="2">
        <f t="shared" si="154"/>
        <v>14</v>
      </c>
      <c r="AX514">
        <v>511</v>
      </c>
      <c r="AZ514" s="3"/>
      <c r="BB514" s="2">
        <f t="shared" si="137"/>
        <v>150</v>
      </c>
      <c r="BC514">
        <f t="shared" si="141"/>
        <v>10.208333333333334</v>
      </c>
      <c r="BD514" s="2">
        <f t="shared" si="143"/>
        <v>49</v>
      </c>
      <c r="BE514">
        <f t="shared" si="144"/>
        <v>27</v>
      </c>
      <c r="BF514">
        <f t="shared" si="145"/>
        <v>155520</v>
      </c>
    </row>
    <row r="515" spans="1:58" ht="14.25" x14ac:dyDescent="0.2">
      <c r="A515" s="11">
        <v>10532</v>
      </c>
      <c r="B515" s="13">
        <f t="shared" si="146"/>
        <v>10</v>
      </c>
      <c r="C515" s="15">
        <f t="shared" si="147"/>
        <v>7</v>
      </c>
      <c r="D515" s="14">
        <f t="shared" si="148"/>
        <v>8</v>
      </c>
      <c r="E515" t="s">
        <v>2777</v>
      </c>
      <c r="F515" t="s">
        <v>2835</v>
      </c>
      <c r="G515" t="s">
        <v>2779</v>
      </c>
      <c r="H515" t="s">
        <v>2779</v>
      </c>
      <c r="I515" t="s">
        <v>2780</v>
      </c>
      <c r="J515" s="4" t="s">
        <v>2838</v>
      </c>
      <c r="K515" t="s">
        <v>175</v>
      </c>
      <c r="L515" t="s">
        <v>164</v>
      </c>
      <c r="M515" t="s">
        <v>163</v>
      </c>
      <c r="N515" t="s">
        <v>167</v>
      </c>
      <c r="O515" s="6" t="s">
        <v>919</v>
      </c>
      <c r="P515">
        <v>0</v>
      </c>
      <c r="Q515" s="24">
        <v>40.200000000000003</v>
      </c>
      <c r="R515" s="25">
        <v>52</v>
      </c>
      <c r="S515" s="26">
        <v>40.799999999999997</v>
      </c>
      <c r="Y515">
        <v>10</v>
      </c>
      <c r="Z515">
        <v>30</v>
      </c>
      <c r="AA515" s="3">
        <v>25</v>
      </c>
      <c r="AB515" s="3">
        <v>6</v>
      </c>
      <c r="AC515">
        <v>155</v>
      </c>
      <c r="AD515" s="9">
        <f t="shared" si="149"/>
        <v>7888</v>
      </c>
      <c r="AE515">
        <f t="shared" si="138"/>
        <v>2555730</v>
      </c>
      <c r="AF515" s="2">
        <f t="shared" si="142"/>
        <v>27</v>
      </c>
      <c r="AG515" t="str">
        <f t="shared" si="150"/>
        <v>131小时</v>
      </c>
      <c r="AH515">
        <f t="shared" si="151"/>
        <v>81</v>
      </c>
      <c r="AI515">
        <f t="shared" si="152"/>
        <v>14</v>
      </c>
      <c r="AJ515">
        <f t="shared" si="139"/>
        <v>49</v>
      </c>
      <c r="AK515">
        <f t="shared" si="153"/>
        <v>25</v>
      </c>
      <c r="AL515">
        <f t="shared" si="140"/>
        <v>27</v>
      </c>
      <c r="AM515" s="2">
        <f t="shared" si="154"/>
        <v>14</v>
      </c>
      <c r="AX515">
        <v>512</v>
      </c>
      <c r="AZ515" s="3"/>
      <c r="BB515" s="2">
        <f t="shared" ref="BB515:BB578" si="155">100+FLOOR((AX515-190)/30,1)*5</f>
        <v>150</v>
      </c>
      <c r="BC515">
        <f t="shared" si="141"/>
        <v>10.208333333333334</v>
      </c>
      <c r="BD515" s="2">
        <f t="shared" si="143"/>
        <v>49</v>
      </c>
      <c r="BE515">
        <f t="shared" si="144"/>
        <v>27</v>
      </c>
      <c r="BF515">
        <f t="shared" si="145"/>
        <v>155520</v>
      </c>
    </row>
    <row r="516" spans="1:58" ht="14.25" x14ac:dyDescent="0.2">
      <c r="A516" s="11">
        <v>10533</v>
      </c>
      <c r="B516" s="13">
        <f t="shared" si="146"/>
        <v>10</v>
      </c>
      <c r="C516" s="15">
        <f t="shared" si="147"/>
        <v>8</v>
      </c>
      <c r="D516" s="14">
        <f t="shared" si="148"/>
        <v>8</v>
      </c>
      <c r="E516" t="s">
        <v>2777</v>
      </c>
      <c r="F516" t="s">
        <v>2836</v>
      </c>
      <c r="G516" t="s">
        <v>2779</v>
      </c>
      <c r="H516" t="s">
        <v>2779</v>
      </c>
      <c r="I516" t="s">
        <v>2780</v>
      </c>
      <c r="J516" s="4" t="s">
        <v>2838</v>
      </c>
      <c r="K516" t="s">
        <v>179</v>
      </c>
      <c r="L516" t="s">
        <v>163</v>
      </c>
      <c r="M516" t="s">
        <v>163</v>
      </c>
      <c r="N516" t="s">
        <v>163</v>
      </c>
      <c r="O516" s="6" t="s">
        <v>921</v>
      </c>
      <c r="P516">
        <v>0</v>
      </c>
      <c r="Q516" s="24">
        <v>40.200000000000003</v>
      </c>
      <c r="R516" s="25">
        <v>52</v>
      </c>
      <c r="S516" s="26">
        <v>40.799999999999997</v>
      </c>
      <c r="Y516">
        <v>10</v>
      </c>
      <c r="Z516">
        <v>30</v>
      </c>
      <c r="AA516" s="3">
        <v>25</v>
      </c>
      <c r="AB516" s="3">
        <v>6</v>
      </c>
      <c r="AC516">
        <v>155</v>
      </c>
      <c r="AD516" s="9">
        <f t="shared" si="149"/>
        <v>7888</v>
      </c>
      <c r="AE516">
        <f t="shared" ref="AE516:AE579" si="156">INDEX(V:V,MATCH(AC516,U:U,0))</f>
        <v>2555730</v>
      </c>
      <c r="AF516" s="2">
        <f t="shared" si="142"/>
        <v>27</v>
      </c>
      <c r="AG516" t="str">
        <f t="shared" si="150"/>
        <v>131小时</v>
      </c>
      <c r="AH516">
        <f t="shared" si="151"/>
        <v>81</v>
      </c>
      <c r="AI516">
        <f t="shared" si="152"/>
        <v>14</v>
      </c>
      <c r="AJ516">
        <f t="shared" ref="AJ516:AJ579" si="157">BD516</f>
        <v>49</v>
      </c>
      <c r="AK516">
        <f t="shared" si="153"/>
        <v>25</v>
      </c>
      <c r="AL516">
        <f t="shared" ref="AL516:AL579" si="158">BE516</f>
        <v>27</v>
      </c>
      <c r="AM516" s="2">
        <f t="shared" si="154"/>
        <v>14</v>
      </c>
      <c r="AX516">
        <v>513</v>
      </c>
      <c r="AZ516" s="3"/>
      <c r="BB516" s="2">
        <f t="shared" si="155"/>
        <v>150</v>
      </c>
      <c r="BC516">
        <f t="shared" ref="BC516:BC579" si="159">INDEX($W:$W,MATCH(BB516,$U:$U,0))/(BE516*60*60/5)</f>
        <v>10.208333333333334</v>
      </c>
      <c r="BD516" s="2">
        <f t="shared" si="143"/>
        <v>49</v>
      </c>
      <c r="BE516">
        <f t="shared" si="144"/>
        <v>27</v>
      </c>
      <c r="BF516">
        <f t="shared" si="145"/>
        <v>155520</v>
      </c>
    </row>
    <row r="517" spans="1:58" ht="14.25" x14ac:dyDescent="0.2">
      <c r="A517" s="11">
        <v>10534</v>
      </c>
      <c r="B517" s="13">
        <f t="shared" si="146"/>
        <v>10</v>
      </c>
      <c r="C517" s="15">
        <f t="shared" si="147"/>
        <v>8</v>
      </c>
      <c r="D517" s="14">
        <f t="shared" si="148"/>
        <v>8</v>
      </c>
      <c r="E517" t="s">
        <v>2777</v>
      </c>
      <c r="F517" t="s">
        <v>2837</v>
      </c>
      <c r="G517" t="s">
        <v>2779</v>
      </c>
      <c r="H517" t="s">
        <v>2779</v>
      </c>
      <c r="I517" t="s">
        <v>2780</v>
      </c>
      <c r="J517" s="4" t="s">
        <v>2838</v>
      </c>
      <c r="K517" t="s">
        <v>177</v>
      </c>
      <c r="L517" t="s">
        <v>163</v>
      </c>
      <c r="M517" t="s">
        <v>163</v>
      </c>
      <c r="N517" t="s">
        <v>163</v>
      </c>
      <c r="O517" s="6" t="s">
        <v>921</v>
      </c>
      <c r="P517">
        <v>0</v>
      </c>
      <c r="Q517" s="24">
        <v>40.200000000000003</v>
      </c>
      <c r="R517" s="25">
        <v>52</v>
      </c>
      <c r="S517" s="26">
        <v>40.799999999999997</v>
      </c>
      <c r="Y517">
        <v>10</v>
      </c>
      <c r="Z517">
        <v>30</v>
      </c>
      <c r="AA517" s="3">
        <v>25</v>
      </c>
      <c r="AB517" s="3">
        <v>6</v>
      </c>
      <c r="AC517">
        <v>155</v>
      </c>
      <c r="AD517" s="9">
        <f t="shared" si="149"/>
        <v>7888</v>
      </c>
      <c r="AE517">
        <f t="shared" si="156"/>
        <v>2555730</v>
      </c>
      <c r="AF517" s="2">
        <f t="shared" ref="AF517:AF580" si="160">BE517</f>
        <v>27</v>
      </c>
      <c r="AG517" t="str">
        <f t="shared" si="150"/>
        <v>131小时</v>
      </c>
      <c r="AH517">
        <f t="shared" si="151"/>
        <v>81</v>
      </c>
      <c r="AI517">
        <f t="shared" si="152"/>
        <v>14</v>
      </c>
      <c r="AJ517">
        <f t="shared" si="157"/>
        <v>49</v>
      </c>
      <c r="AK517">
        <f t="shared" si="153"/>
        <v>25</v>
      </c>
      <c r="AL517">
        <f t="shared" si="158"/>
        <v>27</v>
      </c>
      <c r="AM517" s="2">
        <f t="shared" si="154"/>
        <v>14</v>
      </c>
      <c r="AX517">
        <v>514</v>
      </c>
      <c r="AZ517" s="3"/>
      <c r="BB517" s="2">
        <f t="shared" si="155"/>
        <v>150</v>
      </c>
      <c r="BC517">
        <f t="shared" si="159"/>
        <v>10.208333333333334</v>
      </c>
      <c r="BD517" s="2">
        <f t="shared" ref="BD517:BD580" si="161">ROUNDUP(BE517*1.5,1)+8.5</f>
        <v>49</v>
      </c>
      <c r="BE517">
        <f t="shared" ref="BE517:BE580" si="162">FLOOR(ROUNDUP(AX517/5,0)*0.25+1.25,0.1)</f>
        <v>27</v>
      </c>
      <c r="BF517">
        <f t="shared" ref="BF517:BF580" si="163">BE517*8*60*60/5</f>
        <v>155520</v>
      </c>
    </row>
    <row r="518" spans="1:58" ht="14.25" x14ac:dyDescent="0.2">
      <c r="A518" s="11">
        <v>10535</v>
      </c>
      <c r="B518" s="13">
        <f t="shared" si="146"/>
        <v>10</v>
      </c>
      <c r="C518" s="15">
        <f t="shared" si="147"/>
        <v>8</v>
      </c>
      <c r="D518" s="14">
        <f t="shared" si="148"/>
        <v>8</v>
      </c>
      <c r="E518" t="s">
        <v>2785</v>
      </c>
      <c r="F518" t="s">
        <v>2786</v>
      </c>
      <c r="G518" t="s">
        <v>2831</v>
      </c>
      <c r="H518" t="s">
        <v>2829</v>
      </c>
      <c r="I518" t="s">
        <v>2697</v>
      </c>
      <c r="J518" s="4" t="s">
        <v>2858</v>
      </c>
      <c r="K518" t="s">
        <v>174</v>
      </c>
      <c r="L518" t="s">
        <v>163</v>
      </c>
      <c r="M518" t="s">
        <v>163</v>
      </c>
      <c r="N518" t="s">
        <v>163</v>
      </c>
      <c r="O518" s="6" t="s">
        <v>923</v>
      </c>
      <c r="P518">
        <v>0</v>
      </c>
      <c r="Q518" s="24">
        <v>40.200000000000003</v>
      </c>
      <c r="R518" s="25">
        <v>52</v>
      </c>
      <c r="S518" s="26">
        <v>40.799999999999997</v>
      </c>
      <c r="Y518">
        <v>10</v>
      </c>
      <c r="Z518">
        <v>30</v>
      </c>
      <c r="AA518" s="3">
        <v>25</v>
      </c>
      <c r="AB518" s="3">
        <v>6</v>
      </c>
      <c r="AC518">
        <v>155</v>
      </c>
      <c r="AD518" s="9">
        <f t="shared" si="149"/>
        <v>7888</v>
      </c>
      <c r="AE518">
        <f t="shared" si="156"/>
        <v>2555730</v>
      </c>
      <c r="AF518" s="2">
        <f t="shared" si="160"/>
        <v>27</v>
      </c>
      <c r="AG518" t="str">
        <f t="shared" si="150"/>
        <v>131小时</v>
      </c>
      <c r="AH518">
        <f t="shared" si="151"/>
        <v>81</v>
      </c>
      <c r="AI518">
        <f t="shared" si="152"/>
        <v>14</v>
      </c>
      <c r="AJ518">
        <f t="shared" si="157"/>
        <v>49</v>
      </c>
      <c r="AK518">
        <f t="shared" si="153"/>
        <v>25</v>
      </c>
      <c r="AL518">
        <f t="shared" si="158"/>
        <v>27</v>
      </c>
      <c r="AM518" s="2">
        <f t="shared" si="154"/>
        <v>14</v>
      </c>
      <c r="AX518">
        <v>515</v>
      </c>
      <c r="AZ518" s="3"/>
      <c r="BB518" s="2">
        <f t="shared" si="155"/>
        <v>150</v>
      </c>
      <c r="BC518">
        <f t="shared" si="159"/>
        <v>10.208333333333334</v>
      </c>
      <c r="BD518" s="2">
        <f t="shared" si="161"/>
        <v>49</v>
      </c>
      <c r="BE518">
        <f t="shared" si="162"/>
        <v>27</v>
      </c>
      <c r="BF518">
        <f t="shared" si="163"/>
        <v>155520</v>
      </c>
    </row>
    <row r="519" spans="1:58" ht="14.25" x14ac:dyDescent="0.2">
      <c r="A519" s="11">
        <v>10536</v>
      </c>
      <c r="B519" s="13">
        <f t="shared" si="146"/>
        <v>10</v>
      </c>
      <c r="C519" s="15">
        <f t="shared" si="147"/>
        <v>8</v>
      </c>
      <c r="D519" s="14">
        <f t="shared" si="148"/>
        <v>8</v>
      </c>
      <c r="E519" t="s">
        <v>2777</v>
      </c>
      <c r="F519" t="s">
        <v>2834</v>
      </c>
      <c r="G519" t="s">
        <v>2779</v>
      </c>
      <c r="H519" t="s">
        <v>2779</v>
      </c>
      <c r="I519" t="s">
        <v>2780</v>
      </c>
      <c r="J519" s="4" t="s">
        <v>2838</v>
      </c>
      <c r="K519" t="s">
        <v>182</v>
      </c>
      <c r="L519" t="s">
        <v>163</v>
      </c>
      <c r="M519" t="s">
        <v>163</v>
      </c>
      <c r="N519" t="s">
        <v>163</v>
      </c>
      <c r="O519" s="6" t="s">
        <v>925</v>
      </c>
      <c r="P519">
        <v>0</v>
      </c>
      <c r="Q519" s="24">
        <v>40.5</v>
      </c>
      <c r="R519" s="25">
        <v>52.5</v>
      </c>
      <c r="S519" s="26">
        <v>41</v>
      </c>
      <c r="Y519">
        <v>10</v>
      </c>
      <c r="Z519">
        <v>30</v>
      </c>
      <c r="AA519" s="3">
        <v>25</v>
      </c>
      <c r="AB519" s="3">
        <v>6</v>
      </c>
      <c r="AC519">
        <v>155</v>
      </c>
      <c r="AD519" s="9">
        <f t="shared" si="149"/>
        <v>7830</v>
      </c>
      <c r="AE519">
        <f t="shared" si="156"/>
        <v>2555730</v>
      </c>
      <c r="AF519" s="2">
        <f t="shared" si="160"/>
        <v>27.200000000000003</v>
      </c>
      <c r="AG519" t="str">
        <f t="shared" si="150"/>
        <v>130小时</v>
      </c>
      <c r="AH519">
        <f t="shared" si="151"/>
        <v>82</v>
      </c>
      <c r="AI519">
        <f t="shared" si="152"/>
        <v>14</v>
      </c>
      <c r="AJ519">
        <f t="shared" si="157"/>
        <v>49.3</v>
      </c>
      <c r="AK519">
        <f t="shared" si="153"/>
        <v>25</v>
      </c>
      <c r="AL519">
        <f t="shared" si="158"/>
        <v>27.200000000000003</v>
      </c>
      <c r="AM519" s="2">
        <f t="shared" si="154"/>
        <v>14</v>
      </c>
      <c r="AX519">
        <v>516</v>
      </c>
      <c r="AZ519" s="3"/>
      <c r="BB519" s="2">
        <f t="shared" si="155"/>
        <v>150</v>
      </c>
      <c r="BC519">
        <f t="shared" si="159"/>
        <v>10.133272058823527</v>
      </c>
      <c r="BD519" s="2">
        <f t="shared" si="161"/>
        <v>49.3</v>
      </c>
      <c r="BE519">
        <f t="shared" si="162"/>
        <v>27.200000000000003</v>
      </c>
      <c r="BF519">
        <f t="shared" si="163"/>
        <v>156672.00000000003</v>
      </c>
    </row>
    <row r="520" spans="1:58" ht="14.25" x14ac:dyDescent="0.2">
      <c r="A520" s="11">
        <v>10537</v>
      </c>
      <c r="B520" s="13">
        <f t="shared" si="146"/>
        <v>10</v>
      </c>
      <c r="C520" s="15">
        <f t="shared" si="147"/>
        <v>8</v>
      </c>
      <c r="D520" s="14">
        <f t="shared" si="148"/>
        <v>8</v>
      </c>
      <c r="E520" t="s">
        <v>2777</v>
      </c>
      <c r="F520" t="s">
        <v>2835</v>
      </c>
      <c r="G520" t="s">
        <v>2779</v>
      </c>
      <c r="H520" t="s">
        <v>2779</v>
      </c>
      <c r="I520" t="s">
        <v>2780</v>
      </c>
      <c r="J520" s="4" t="s">
        <v>2838</v>
      </c>
      <c r="K520" t="s">
        <v>162</v>
      </c>
      <c r="L520" t="s">
        <v>163</v>
      </c>
      <c r="M520" t="s">
        <v>163</v>
      </c>
      <c r="N520" t="s">
        <v>163</v>
      </c>
      <c r="O520" s="6" t="s">
        <v>925</v>
      </c>
      <c r="P520">
        <v>0</v>
      </c>
      <c r="Q520" s="24">
        <v>40.5</v>
      </c>
      <c r="R520" s="25">
        <v>52.5</v>
      </c>
      <c r="S520" s="26">
        <v>41</v>
      </c>
      <c r="Y520">
        <v>10</v>
      </c>
      <c r="Z520">
        <v>30</v>
      </c>
      <c r="AA520" s="3">
        <v>25</v>
      </c>
      <c r="AB520" s="3">
        <v>6</v>
      </c>
      <c r="AC520">
        <v>155</v>
      </c>
      <c r="AD520" s="9">
        <f t="shared" si="149"/>
        <v>7830</v>
      </c>
      <c r="AE520">
        <f t="shared" si="156"/>
        <v>2555730</v>
      </c>
      <c r="AF520" s="2">
        <f t="shared" si="160"/>
        <v>27.200000000000003</v>
      </c>
      <c r="AG520" t="str">
        <f t="shared" si="150"/>
        <v>130小时</v>
      </c>
      <c r="AH520">
        <f t="shared" si="151"/>
        <v>82</v>
      </c>
      <c r="AI520">
        <f t="shared" si="152"/>
        <v>14</v>
      </c>
      <c r="AJ520">
        <f t="shared" si="157"/>
        <v>49.3</v>
      </c>
      <c r="AK520">
        <f t="shared" si="153"/>
        <v>25</v>
      </c>
      <c r="AL520">
        <f t="shared" si="158"/>
        <v>27.200000000000003</v>
      </c>
      <c r="AM520" s="2">
        <f t="shared" si="154"/>
        <v>14</v>
      </c>
      <c r="AX520">
        <v>517</v>
      </c>
      <c r="AZ520" s="3"/>
      <c r="BB520" s="2">
        <f t="shared" si="155"/>
        <v>150</v>
      </c>
      <c r="BC520">
        <f t="shared" si="159"/>
        <v>10.133272058823527</v>
      </c>
      <c r="BD520" s="2">
        <f t="shared" si="161"/>
        <v>49.3</v>
      </c>
      <c r="BE520">
        <f t="shared" si="162"/>
        <v>27.200000000000003</v>
      </c>
      <c r="BF520">
        <f t="shared" si="163"/>
        <v>156672.00000000003</v>
      </c>
    </row>
    <row r="521" spans="1:58" ht="14.25" x14ac:dyDescent="0.2">
      <c r="A521" s="11">
        <v>10538</v>
      </c>
      <c r="B521" s="13">
        <f t="shared" si="146"/>
        <v>10</v>
      </c>
      <c r="C521" s="15">
        <f t="shared" si="147"/>
        <v>8</v>
      </c>
      <c r="D521" s="14">
        <f t="shared" si="148"/>
        <v>8</v>
      </c>
      <c r="E521" t="s">
        <v>2777</v>
      </c>
      <c r="F521" t="s">
        <v>2836</v>
      </c>
      <c r="G521" t="s">
        <v>2779</v>
      </c>
      <c r="H521" t="s">
        <v>2779</v>
      </c>
      <c r="I521" t="s">
        <v>2780</v>
      </c>
      <c r="J521" s="4" t="s">
        <v>2838</v>
      </c>
      <c r="K521" t="s">
        <v>177</v>
      </c>
      <c r="L521" t="s">
        <v>163</v>
      </c>
      <c r="M521" t="s">
        <v>163</v>
      </c>
      <c r="N521" t="s">
        <v>163</v>
      </c>
      <c r="O521" s="6" t="s">
        <v>927</v>
      </c>
      <c r="P521">
        <v>0</v>
      </c>
      <c r="Q521" s="24">
        <v>40.5</v>
      </c>
      <c r="R521" s="25">
        <v>52.5</v>
      </c>
      <c r="S521" s="26">
        <v>41</v>
      </c>
      <c r="Y521">
        <v>10</v>
      </c>
      <c r="Z521">
        <v>30</v>
      </c>
      <c r="AA521" s="3">
        <v>25</v>
      </c>
      <c r="AB521" s="3">
        <v>6</v>
      </c>
      <c r="AC521">
        <v>155</v>
      </c>
      <c r="AD521" s="9">
        <f t="shared" si="149"/>
        <v>7830</v>
      </c>
      <c r="AE521">
        <f t="shared" si="156"/>
        <v>2555730</v>
      </c>
      <c r="AF521" s="2">
        <f t="shared" si="160"/>
        <v>27.200000000000003</v>
      </c>
      <c r="AG521" t="str">
        <f t="shared" si="150"/>
        <v>130小时</v>
      </c>
      <c r="AH521">
        <f t="shared" si="151"/>
        <v>82</v>
      </c>
      <c r="AI521">
        <f t="shared" si="152"/>
        <v>14</v>
      </c>
      <c r="AJ521">
        <f t="shared" si="157"/>
        <v>49.3</v>
      </c>
      <c r="AK521">
        <f t="shared" si="153"/>
        <v>25</v>
      </c>
      <c r="AL521">
        <f t="shared" si="158"/>
        <v>27.200000000000003</v>
      </c>
      <c r="AM521" s="2">
        <f t="shared" si="154"/>
        <v>14</v>
      </c>
      <c r="AX521">
        <v>518</v>
      </c>
      <c r="AZ521" s="3"/>
      <c r="BB521" s="2">
        <f t="shared" si="155"/>
        <v>150</v>
      </c>
      <c r="BC521">
        <f t="shared" si="159"/>
        <v>10.133272058823527</v>
      </c>
      <c r="BD521" s="2">
        <f t="shared" si="161"/>
        <v>49.3</v>
      </c>
      <c r="BE521">
        <f t="shared" si="162"/>
        <v>27.200000000000003</v>
      </c>
      <c r="BF521">
        <f t="shared" si="163"/>
        <v>156672.00000000003</v>
      </c>
    </row>
    <row r="522" spans="1:58" ht="14.25" x14ac:dyDescent="0.2">
      <c r="A522" s="11">
        <v>10539</v>
      </c>
      <c r="B522" s="13">
        <f t="shared" si="146"/>
        <v>10</v>
      </c>
      <c r="C522" s="15">
        <f t="shared" si="147"/>
        <v>8</v>
      </c>
      <c r="D522" s="14">
        <f t="shared" si="148"/>
        <v>8</v>
      </c>
      <c r="E522" t="s">
        <v>2777</v>
      </c>
      <c r="F522" t="s">
        <v>2837</v>
      </c>
      <c r="G522" t="s">
        <v>2779</v>
      </c>
      <c r="H522" t="s">
        <v>2779</v>
      </c>
      <c r="I522" t="s">
        <v>2780</v>
      </c>
      <c r="J522" s="4" t="s">
        <v>2838</v>
      </c>
      <c r="K522" t="s">
        <v>174</v>
      </c>
      <c r="L522" t="s">
        <v>163</v>
      </c>
      <c r="M522" t="s">
        <v>163</v>
      </c>
      <c r="N522" t="s">
        <v>163</v>
      </c>
      <c r="O522" s="6" t="s">
        <v>929</v>
      </c>
      <c r="P522">
        <v>0</v>
      </c>
      <c r="Q522" s="24">
        <v>40.5</v>
      </c>
      <c r="R522" s="25">
        <v>52.5</v>
      </c>
      <c r="S522" s="26">
        <v>41</v>
      </c>
      <c r="Y522">
        <v>10</v>
      </c>
      <c r="Z522">
        <v>30</v>
      </c>
      <c r="AA522" s="3">
        <v>25</v>
      </c>
      <c r="AB522" s="3">
        <v>6</v>
      </c>
      <c r="AC522">
        <v>155</v>
      </c>
      <c r="AD522" s="9">
        <f t="shared" si="149"/>
        <v>7830</v>
      </c>
      <c r="AE522">
        <f t="shared" si="156"/>
        <v>2555730</v>
      </c>
      <c r="AF522" s="2">
        <f t="shared" si="160"/>
        <v>27.200000000000003</v>
      </c>
      <c r="AG522" t="str">
        <f t="shared" si="150"/>
        <v>130小时</v>
      </c>
      <c r="AH522">
        <f t="shared" si="151"/>
        <v>82</v>
      </c>
      <c r="AI522">
        <f t="shared" si="152"/>
        <v>14</v>
      </c>
      <c r="AJ522">
        <f t="shared" si="157"/>
        <v>49.3</v>
      </c>
      <c r="AK522">
        <f t="shared" si="153"/>
        <v>25</v>
      </c>
      <c r="AL522">
        <f t="shared" si="158"/>
        <v>27.200000000000003</v>
      </c>
      <c r="AM522" s="2">
        <f t="shared" si="154"/>
        <v>14</v>
      </c>
      <c r="AX522">
        <v>519</v>
      </c>
      <c r="AZ522" s="3"/>
      <c r="BB522" s="2">
        <f t="shared" si="155"/>
        <v>150</v>
      </c>
      <c r="BC522">
        <f t="shared" si="159"/>
        <v>10.133272058823527</v>
      </c>
      <c r="BD522" s="2">
        <f t="shared" si="161"/>
        <v>49.3</v>
      </c>
      <c r="BE522">
        <f t="shared" si="162"/>
        <v>27.200000000000003</v>
      </c>
      <c r="BF522">
        <f t="shared" si="163"/>
        <v>156672.00000000003</v>
      </c>
    </row>
    <row r="523" spans="1:58" ht="14.25" x14ac:dyDescent="0.2">
      <c r="A523" s="11">
        <v>10540</v>
      </c>
      <c r="B523" s="13">
        <f t="shared" si="146"/>
        <v>10</v>
      </c>
      <c r="C523" s="15">
        <f t="shared" si="147"/>
        <v>8</v>
      </c>
      <c r="D523" s="14">
        <f t="shared" si="148"/>
        <v>8</v>
      </c>
      <c r="E523" t="s">
        <v>2785</v>
      </c>
      <c r="F523" t="s">
        <v>2786</v>
      </c>
      <c r="G523" t="s">
        <v>2832</v>
      </c>
      <c r="H523" t="s">
        <v>2829</v>
      </c>
      <c r="I523" t="s">
        <v>2697</v>
      </c>
      <c r="J523" s="4" t="s">
        <v>2858</v>
      </c>
      <c r="K523" t="s">
        <v>166</v>
      </c>
      <c r="L523" t="s">
        <v>163</v>
      </c>
      <c r="M523" t="s">
        <v>163</v>
      </c>
      <c r="N523" t="s">
        <v>163</v>
      </c>
      <c r="O523" s="6" t="s">
        <v>929</v>
      </c>
      <c r="P523">
        <v>0</v>
      </c>
      <c r="Q523" s="24">
        <v>40.5</v>
      </c>
      <c r="R523" s="25">
        <v>52.5</v>
      </c>
      <c r="S523" s="26">
        <v>41</v>
      </c>
      <c r="Y523">
        <v>10</v>
      </c>
      <c r="Z523">
        <v>30</v>
      </c>
      <c r="AA523" s="3">
        <v>25</v>
      </c>
      <c r="AB523" s="3">
        <v>6</v>
      </c>
      <c r="AC523">
        <v>155</v>
      </c>
      <c r="AD523" s="9">
        <f t="shared" si="149"/>
        <v>7830</v>
      </c>
      <c r="AE523">
        <f t="shared" si="156"/>
        <v>2555730</v>
      </c>
      <c r="AF523" s="2">
        <f t="shared" si="160"/>
        <v>27.200000000000003</v>
      </c>
      <c r="AG523" t="str">
        <f t="shared" si="150"/>
        <v>130小时</v>
      </c>
      <c r="AH523">
        <f t="shared" si="151"/>
        <v>82</v>
      </c>
      <c r="AI523">
        <f t="shared" si="152"/>
        <v>14</v>
      </c>
      <c r="AJ523">
        <f t="shared" si="157"/>
        <v>49.3</v>
      </c>
      <c r="AK523">
        <f t="shared" si="153"/>
        <v>25</v>
      </c>
      <c r="AL523">
        <f t="shared" si="158"/>
        <v>27.200000000000003</v>
      </c>
      <c r="AM523" s="2">
        <f t="shared" si="154"/>
        <v>14</v>
      </c>
      <c r="AX523">
        <v>520</v>
      </c>
      <c r="AZ523" s="3"/>
      <c r="BB523" s="2">
        <f t="shared" si="155"/>
        <v>155</v>
      </c>
      <c r="BC523">
        <f t="shared" si="159"/>
        <v>10.288756127450979</v>
      </c>
      <c r="BD523" s="2">
        <f t="shared" si="161"/>
        <v>49.3</v>
      </c>
      <c r="BE523">
        <f t="shared" si="162"/>
        <v>27.200000000000003</v>
      </c>
      <c r="BF523">
        <f t="shared" si="163"/>
        <v>156672.00000000003</v>
      </c>
    </row>
    <row r="524" spans="1:58" ht="14.25" x14ac:dyDescent="0.2">
      <c r="A524" s="11">
        <v>10541</v>
      </c>
      <c r="B524" s="13">
        <f t="shared" si="146"/>
        <v>10</v>
      </c>
      <c r="C524" s="15">
        <f t="shared" si="147"/>
        <v>8</v>
      </c>
      <c r="D524" s="14">
        <f t="shared" si="148"/>
        <v>8</v>
      </c>
      <c r="E524" t="s">
        <v>2777</v>
      </c>
      <c r="F524" t="s">
        <v>2834</v>
      </c>
      <c r="G524" t="s">
        <v>2779</v>
      </c>
      <c r="H524" t="s">
        <v>2779</v>
      </c>
      <c r="I524" t="s">
        <v>2780</v>
      </c>
      <c r="J524" s="4" t="s">
        <v>2838</v>
      </c>
      <c r="K524" t="s">
        <v>168</v>
      </c>
      <c r="L524" t="s">
        <v>163</v>
      </c>
      <c r="M524" t="s">
        <v>163</v>
      </c>
      <c r="N524" t="s">
        <v>163</v>
      </c>
      <c r="O524" s="6" t="s">
        <v>931</v>
      </c>
      <c r="P524">
        <v>0</v>
      </c>
      <c r="Q524" s="24">
        <v>40.799999999999997</v>
      </c>
      <c r="R524" s="25">
        <v>53</v>
      </c>
      <c r="S524" s="26">
        <v>41.3</v>
      </c>
      <c r="Y524">
        <v>10</v>
      </c>
      <c r="Z524">
        <v>30</v>
      </c>
      <c r="AA524" s="3">
        <v>25</v>
      </c>
      <c r="AB524" s="3">
        <v>6</v>
      </c>
      <c r="AC524">
        <v>155</v>
      </c>
      <c r="AD524" s="9">
        <f t="shared" si="149"/>
        <v>7744.5833333333339</v>
      </c>
      <c r="AE524">
        <f t="shared" si="156"/>
        <v>2555730</v>
      </c>
      <c r="AF524" s="2">
        <f t="shared" si="160"/>
        <v>27.5</v>
      </c>
      <c r="AG524" t="str">
        <f t="shared" si="150"/>
        <v>129小时</v>
      </c>
      <c r="AH524">
        <f t="shared" si="151"/>
        <v>83</v>
      </c>
      <c r="AI524">
        <f t="shared" si="152"/>
        <v>14</v>
      </c>
      <c r="AJ524">
        <f t="shared" si="157"/>
        <v>49.800000000000004</v>
      </c>
      <c r="AK524">
        <f t="shared" si="153"/>
        <v>25</v>
      </c>
      <c r="AL524">
        <f t="shared" si="158"/>
        <v>27.5</v>
      </c>
      <c r="AM524" s="2">
        <f t="shared" si="154"/>
        <v>14</v>
      </c>
      <c r="AX524">
        <v>521</v>
      </c>
      <c r="AZ524" s="3"/>
      <c r="BB524" s="2">
        <f t="shared" si="155"/>
        <v>155</v>
      </c>
      <c r="BC524">
        <f t="shared" si="159"/>
        <v>10.176515151515151</v>
      </c>
      <c r="BD524" s="2">
        <f t="shared" si="161"/>
        <v>49.800000000000004</v>
      </c>
      <c r="BE524">
        <f t="shared" si="162"/>
        <v>27.5</v>
      </c>
      <c r="BF524">
        <f t="shared" si="163"/>
        <v>158400</v>
      </c>
    </row>
    <row r="525" spans="1:58" ht="14.25" x14ac:dyDescent="0.2">
      <c r="A525" s="11">
        <v>10542</v>
      </c>
      <c r="B525" s="13">
        <f t="shared" si="146"/>
        <v>10</v>
      </c>
      <c r="C525" s="15">
        <f t="shared" si="147"/>
        <v>8</v>
      </c>
      <c r="D525" s="14">
        <f t="shared" si="148"/>
        <v>8</v>
      </c>
      <c r="E525" t="s">
        <v>2777</v>
      </c>
      <c r="F525" t="s">
        <v>2835</v>
      </c>
      <c r="G525" t="s">
        <v>2779</v>
      </c>
      <c r="H525" t="s">
        <v>2779</v>
      </c>
      <c r="I525" t="s">
        <v>2780</v>
      </c>
      <c r="J525" s="4" t="s">
        <v>2838</v>
      </c>
      <c r="K525" t="s">
        <v>175</v>
      </c>
      <c r="L525" t="s">
        <v>164</v>
      </c>
      <c r="M525" t="s">
        <v>163</v>
      </c>
      <c r="N525" t="s">
        <v>167</v>
      </c>
      <c r="O525" s="6" t="s">
        <v>933</v>
      </c>
      <c r="P525">
        <v>0</v>
      </c>
      <c r="Q525" s="24">
        <v>40.799999999999997</v>
      </c>
      <c r="R525" s="25">
        <v>53</v>
      </c>
      <c r="S525" s="26">
        <v>41.3</v>
      </c>
      <c r="Y525">
        <v>10</v>
      </c>
      <c r="Z525">
        <v>30</v>
      </c>
      <c r="AA525" s="3">
        <v>25</v>
      </c>
      <c r="AB525" s="3">
        <v>6</v>
      </c>
      <c r="AC525">
        <v>155</v>
      </c>
      <c r="AD525" s="9">
        <f t="shared" si="149"/>
        <v>7744.5833333333339</v>
      </c>
      <c r="AE525">
        <f t="shared" si="156"/>
        <v>2555730</v>
      </c>
      <c r="AF525" s="2">
        <f t="shared" si="160"/>
        <v>27.5</v>
      </c>
      <c r="AG525" t="str">
        <f t="shared" si="150"/>
        <v>129小时</v>
      </c>
      <c r="AH525">
        <f t="shared" si="151"/>
        <v>83</v>
      </c>
      <c r="AI525">
        <f t="shared" si="152"/>
        <v>14</v>
      </c>
      <c r="AJ525">
        <f t="shared" si="157"/>
        <v>49.800000000000004</v>
      </c>
      <c r="AK525">
        <f t="shared" si="153"/>
        <v>25</v>
      </c>
      <c r="AL525">
        <f t="shared" si="158"/>
        <v>27.5</v>
      </c>
      <c r="AM525" s="2">
        <f t="shared" si="154"/>
        <v>14</v>
      </c>
      <c r="AX525">
        <v>522</v>
      </c>
      <c r="AZ525" s="3"/>
      <c r="BB525" s="2">
        <f t="shared" si="155"/>
        <v>155</v>
      </c>
      <c r="BC525">
        <f t="shared" si="159"/>
        <v>10.176515151515151</v>
      </c>
      <c r="BD525" s="2">
        <f t="shared" si="161"/>
        <v>49.800000000000004</v>
      </c>
      <c r="BE525">
        <f t="shared" si="162"/>
        <v>27.5</v>
      </c>
      <c r="BF525">
        <f t="shared" si="163"/>
        <v>158400</v>
      </c>
    </row>
    <row r="526" spans="1:58" ht="14.25" x14ac:dyDescent="0.2">
      <c r="A526" s="11">
        <v>10543</v>
      </c>
      <c r="B526" s="13">
        <f t="shared" si="146"/>
        <v>10</v>
      </c>
      <c r="C526" s="15">
        <f t="shared" si="147"/>
        <v>8</v>
      </c>
      <c r="D526" s="14">
        <f t="shared" si="148"/>
        <v>8</v>
      </c>
      <c r="E526" t="s">
        <v>2777</v>
      </c>
      <c r="F526" t="s">
        <v>2836</v>
      </c>
      <c r="G526" t="s">
        <v>2779</v>
      </c>
      <c r="H526" t="s">
        <v>2779</v>
      </c>
      <c r="I526" t="s">
        <v>2780</v>
      </c>
      <c r="J526" s="4" t="s">
        <v>2838</v>
      </c>
      <c r="K526" t="s">
        <v>179</v>
      </c>
      <c r="L526" t="s">
        <v>163</v>
      </c>
      <c r="M526" t="s">
        <v>163</v>
      </c>
      <c r="N526" t="s">
        <v>163</v>
      </c>
      <c r="O526" s="6" t="s">
        <v>935</v>
      </c>
      <c r="P526">
        <v>0</v>
      </c>
      <c r="Q526" s="24">
        <v>40.799999999999997</v>
      </c>
      <c r="R526" s="25">
        <v>53</v>
      </c>
      <c r="S526" s="26">
        <v>41.3</v>
      </c>
      <c r="Y526">
        <v>10</v>
      </c>
      <c r="Z526">
        <v>30</v>
      </c>
      <c r="AA526" s="3">
        <v>25</v>
      </c>
      <c r="AB526" s="3">
        <v>6</v>
      </c>
      <c r="AC526">
        <v>155</v>
      </c>
      <c r="AD526" s="9">
        <f t="shared" si="149"/>
        <v>7744.5833333333339</v>
      </c>
      <c r="AE526">
        <f t="shared" si="156"/>
        <v>2555730</v>
      </c>
      <c r="AF526" s="2">
        <f t="shared" si="160"/>
        <v>27.5</v>
      </c>
      <c r="AG526" t="str">
        <f t="shared" si="150"/>
        <v>129小时</v>
      </c>
      <c r="AH526">
        <f t="shared" si="151"/>
        <v>83</v>
      </c>
      <c r="AI526">
        <f t="shared" si="152"/>
        <v>14</v>
      </c>
      <c r="AJ526">
        <f t="shared" si="157"/>
        <v>49.800000000000004</v>
      </c>
      <c r="AK526">
        <f t="shared" si="153"/>
        <v>25</v>
      </c>
      <c r="AL526">
        <f t="shared" si="158"/>
        <v>27.5</v>
      </c>
      <c r="AM526" s="2">
        <f t="shared" si="154"/>
        <v>14</v>
      </c>
      <c r="AX526">
        <v>523</v>
      </c>
      <c r="AZ526" s="3"/>
      <c r="BB526" s="2">
        <f t="shared" si="155"/>
        <v>155</v>
      </c>
      <c r="BC526">
        <f t="shared" si="159"/>
        <v>10.176515151515151</v>
      </c>
      <c r="BD526" s="2">
        <f t="shared" si="161"/>
        <v>49.800000000000004</v>
      </c>
      <c r="BE526">
        <f t="shared" si="162"/>
        <v>27.5</v>
      </c>
      <c r="BF526">
        <f t="shared" si="163"/>
        <v>158400</v>
      </c>
    </row>
    <row r="527" spans="1:58" ht="14.25" x14ac:dyDescent="0.2">
      <c r="A527" s="11">
        <v>10544</v>
      </c>
      <c r="B527" s="13">
        <f t="shared" si="146"/>
        <v>10</v>
      </c>
      <c r="C527" s="15">
        <f t="shared" si="147"/>
        <v>8</v>
      </c>
      <c r="D527" s="14">
        <f t="shared" si="148"/>
        <v>8</v>
      </c>
      <c r="E527" t="s">
        <v>2777</v>
      </c>
      <c r="F527" t="s">
        <v>2837</v>
      </c>
      <c r="G527" t="s">
        <v>2779</v>
      </c>
      <c r="H527" t="s">
        <v>2779</v>
      </c>
      <c r="I527" t="s">
        <v>2780</v>
      </c>
      <c r="J527" s="4" t="s">
        <v>2838</v>
      </c>
      <c r="K527" t="s">
        <v>177</v>
      </c>
      <c r="L527" t="s">
        <v>163</v>
      </c>
      <c r="M527" t="s">
        <v>163</v>
      </c>
      <c r="N527" t="s">
        <v>163</v>
      </c>
      <c r="O527" s="6" t="s">
        <v>935</v>
      </c>
      <c r="P527">
        <v>0</v>
      </c>
      <c r="Q527" s="24">
        <v>40.799999999999997</v>
      </c>
      <c r="R527" s="25">
        <v>53</v>
      </c>
      <c r="S527" s="26">
        <v>41.3</v>
      </c>
      <c r="Y527">
        <v>10</v>
      </c>
      <c r="Z527">
        <v>30</v>
      </c>
      <c r="AA527" s="3">
        <v>25</v>
      </c>
      <c r="AB527" s="3">
        <v>6</v>
      </c>
      <c r="AC527">
        <v>155</v>
      </c>
      <c r="AD527" s="9">
        <f t="shared" si="149"/>
        <v>7744.5833333333339</v>
      </c>
      <c r="AE527">
        <f t="shared" si="156"/>
        <v>2555730</v>
      </c>
      <c r="AF527" s="2">
        <f t="shared" si="160"/>
        <v>27.5</v>
      </c>
      <c r="AG527" t="str">
        <f t="shared" si="150"/>
        <v>129小时</v>
      </c>
      <c r="AH527">
        <f t="shared" si="151"/>
        <v>83</v>
      </c>
      <c r="AI527">
        <f t="shared" si="152"/>
        <v>14</v>
      </c>
      <c r="AJ527">
        <f t="shared" si="157"/>
        <v>49.800000000000004</v>
      </c>
      <c r="AK527">
        <f t="shared" si="153"/>
        <v>25</v>
      </c>
      <c r="AL527">
        <f t="shared" si="158"/>
        <v>27.5</v>
      </c>
      <c r="AM527" s="2">
        <f t="shared" si="154"/>
        <v>14</v>
      </c>
      <c r="AX527">
        <v>524</v>
      </c>
      <c r="AZ527" s="3"/>
      <c r="BB527" s="2">
        <f t="shared" si="155"/>
        <v>155</v>
      </c>
      <c r="BC527">
        <f t="shared" si="159"/>
        <v>10.176515151515151</v>
      </c>
      <c r="BD527" s="2">
        <f t="shared" si="161"/>
        <v>49.800000000000004</v>
      </c>
      <c r="BE527">
        <f t="shared" si="162"/>
        <v>27.5</v>
      </c>
      <c r="BF527">
        <f t="shared" si="163"/>
        <v>158400</v>
      </c>
    </row>
    <row r="528" spans="1:58" ht="14.25" x14ac:dyDescent="0.2">
      <c r="A528" s="11">
        <v>10545</v>
      </c>
      <c r="B528" s="13">
        <f t="shared" ref="B528:B591" si="164">FLOOR(R526/5,1)</f>
        <v>10</v>
      </c>
      <c r="C528" s="15">
        <f t="shared" ref="C528:C591" si="165">FLOOR(Q526/5,1)</f>
        <v>8</v>
      </c>
      <c r="D528" s="14">
        <f t="shared" ref="D528:D591" si="166">FLOOR(S526/5,1)</f>
        <v>8</v>
      </c>
      <c r="E528" t="s">
        <v>2785</v>
      </c>
      <c r="F528" t="s">
        <v>2786</v>
      </c>
      <c r="G528" t="s">
        <v>2833</v>
      </c>
      <c r="H528" t="s">
        <v>2829</v>
      </c>
      <c r="I528" t="s">
        <v>2697</v>
      </c>
      <c r="J528" s="4" t="s">
        <v>2876</v>
      </c>
      <c r="K528" t="s">
        <v>174</v>
      </c>
      <c r="L528" t="s">
        <v>163</v>
      </c>
      <c r="M528" t="s">
        <v>163</v>
      </c>
      <c r="N528" t="s">
        <v>163</v>
      </c>
      <c r="O528" s="6" t="s">
        <v>937</v>
      </c>
      <c r="P528">
        <v>0</v>
      </c>
      <c r="Q528" s="24">
        <v>40.799999999999997</v>
      </c>
      <c r="R528" s="25">
        <v>53</v>
      </c>
      <c r="S528" s="26">
        <v>41.3</v>
      </c>
      <c r="Y528">
        <v>10</v>
      </c>
      <c r="Z528">
        <v>30</v>
      </c>
      <c r="AA528" s="3">
        <v>25</v>
      </c>
      <c r="AB528" s="3">
        <v>6</v>
      </c>
      <c r="AC528">
        <v>155</v>
      </c>
      <c r="AD528" s="9">
        <f t="shared" si="149"/>
        <v>7744.5833333333339</v>
      </c>
      <c r="AE528">
        <f t="shared" si="156"/>
        <v>2555730</v>
      </c>
      <c r="AF528" s="2">
        <f t="shared" si="160"/>
        <v>27.5</v>
      </c>
      <c r="AG528" t="str">
        <f t="shared" si="150"/>
        <v>129小时</v>
      </c>
      <c r="AH528">
        <f t="shared" si="151"/>
        <v>83</v>
      </c>
      <c r="AI528">
        <f t="shared" si="152"/>
        <v>14</v>
      </c>
      <c r="AJ528">
        <f t="shared" si="157"/>
        <v>49.800000000000004</v>
      </c>
      <c r="AK528">
        <f t="shared" si="153"/>
        <v>25</v>
      </c>
      <c r="AL528">
        <f t="shared" si="158"/>
        <v>27.5</v>
      </c>
      <c r="AM528" s="2">
        <f t="shared" si="154"/>
        <v>14</v>
      </c>
      <c r="AX528">
        <v>525</v>
      </c>
      <c r="AZ528" s="3"/>
      <c r="BB528" s="2">
        <f t="shared" si="155"/>
        <v>155</v>
      </c>
      <c r="BC528">
        <f t="shared" si="159"/>
        <v>10.176515151515151</v>
      </c>
      <c r="BD528" s="2">
        <f t="shared" si="161"/>
        <v>49.800000000000004</v>
      </c>
      <c r="BE528">
        <f t="shared" si="162"/>
        <v>27.5</v>
      </c>
      <c r="BF528">
        <f t="shared" si="163"/>
        <v>158400</v>
      </c>
    </row>
    <row r="529" spans="1:58" ht="14.25" x14ac:dyDescent="0.2">
      <c r="A529" s="11">
        <v>10546</v>
      </c>
      <c r="B529" s="13">
        <f t="shared" si="164"/>
        <v>10</v>
      </c>
      <c r="C529" s="15">
        <f t="shared" si="165"/>
        <v>8</v>
      </c>
      <c r="D529" s="14">
        <f t="shared" si="166"/>
        <v>8</v>
      </c>
      <c r="E529" t="s">
        <v>2777</v>
      </c>
      <c r="F529" t="s">
        <v>2834</v>
      </c>
      <c r="G529" t="s">
        <v>2779</v>
      </c>
      <c r="H529" t="s">
        <v>2779</v>
      </c>
      <c r="I529" t="s">
        <v>2780</v>
      </c>
      <c r="J529" s="4" t="s">
        <v>2838</v>
      </c>
      <c r="K529" t="s">
        <v>182</v>
      </c>
      <c r="L529" t="s">
        <v>163</v>
      </c>
      <c r="M529" t="s">
        <v>163</v>
      </c>
      <c r="N529" t="s">
        <v>163</v>
      </c>
      <c r="O529" s="6" t="s">
        <v>939</v>
      </c>
      <c r="P529">
        <v>0</v>
      </c>
      <c r="Q529" s="24">
        <v>41.2</v>
      </c>
      <c r="R529" s="25">
        <v>53.5</v>
      </c>
      <c r="S529" s="26">
        <v>41.5</v>
      </c>
      <c r="Y529">
        <v>10</v>
      </c>
      <c r="Z529">
        <v>30</v>
      </c>
      <c r="AA529" s="3">
        <v>25</v>
      </c>
      <c r="AB529" s="3">
        <v>6</v>
      </c>
      <c r="AC529">
        <v>155</v>
      </c>
      <c r="AD529" s="9">
        <f t="shared" si="149"/>
        <v>7688.666666666667</v>
      </c>
      <c r="AE529">
        <f t="shared" si="156"/>
        <v>2555730</v>
      </c>
      <c r="AF529" s="2">
        <f t="shared" si="160"/>
        <v>27.700000000000003</v>
      </c>
      <c r="AG529" t="str">
        <f t="shared" si="150"/>
        <v>128小时</v>
      </c>
      <c r="AH529">
        <f t="shared" si="151"/>
        <v>84</v>
      </c>
      <c r="AI529">
        <f t="shared" si="152"/>
        <v>14</v>
      </c>
      <c r="AJ529">
        <f t="shared" si="157"/>
        <v>50.1</v>
      </c>
      <c r="AK529">
        <f t="shared" si="153"/>
        <v>26</v>
      </c>
      <c r="AL529">
        <f t="shared" si="158"/>
        <v>27.700000000000003</v>
      </c>
      <c r="AM529" s="2">
        <f t="shared" si="154"/>
        <v>14</v>
      </c>
      <c r="AX529">
        <v>526</v>
      </c>
      <c r="AZ529" s="3"/>
      <c r="BB529" s="2">
        <f t="shared" si="155"/>
        <v>155</v>
      </c>
      <c r="BC529">
        <f t="shared" si="159"/>
        <v>10.1030385078219</v>
      </c>
      <c r="BD529" s="2">
        <f t="shared" si="161"/>
        <v>50.1</v>
      </c>
      <c r="BE529">
        <f t="shared" si="162"/>
        <v>27.700000000000003</v>
      </c>
      <c r="BF529">
        <f t="shared" si="163"/>
        <v>159552.00000000003</v>
      </c>
    </row>
    <row r="530" spans="1:58" ht="14.25" x14ac:dyDescent="0.2">
      <c r="A530" s="11">
        <v>10547</v>
      </c>
      <c r="B530" s="13">
        <f t="shared" si="164"/>
        <v>10</v>
      </c>
      <c r="C530" s="15">
        <f t="shared" si="165"/>
        <v>8</v>
      </c>
      <c r="D530" s="14">
        <f t="shared" si="166"/>
        <v>8</v>
      </c>
      <c r="E530" t="s">
        <v>2777</v>
      </c>
      <c r="F530" t="s">
        <v>2835</v>
      </c>
      <c r="G530" t="s">
        <v>2779</v>
      </c>
      <c r="H530" t="s">
        <v>2779</v>
      </c>
      <c r="I530" t="s">
        <v>2780</v>
      </c>
      <c r="J530" s="4" t="s">
        <v>2838</v>
      </c>
      <c r="K530" t="s">
        <v>162</v>
      </c>
      <c r="L530" t="s">
        <v>163</v>
      </c>
      <c r="M530" t="s">
        <v>163</v>
      </c>
      <c r="N530" t="s">
        <v>163</v>
      </c>
      <c r="O530" s="6" t="s">
        <v>939</v>
      </c>
      <c r="P530">
        <v>0</v>
      </c>
      <c r="Q530" s="24">
        <v>41.2</v>
      </c>
      <c r="R530" s="25">
        <v>53.5</v>
      </c>
      <c r="S530" s="26">
        <v>41.5</v>
      </c>
      <c r="Y530">
        <v>10</v>
      </c>
      <c r="Z530">
        <v>30</v>
      </c>
      <c r="AA530" s="3">
        <v>25</v>
      </c>
      <c r="AB530" s="3">
        <v>6</v>
      </c>
      <c r="AC530">
        <v>155</v>
      </c>
      <c r="AD530" s="9">
        <f t="shared" si="149"/>
        <v>7688.666666666667</v>
      </c>
      <c r="AE530">
        <f t="shared" si="156"/>
        <v>2555730</v>
      </c>
      <c r="AF530" s="2">
        <f t="shared" si="160"/>
        <v>27.700000000000003</v>
      </c>
      <c r="AG530" t="str">
        <f t="shared" si="150"/>
        <v>128小时</v>
      </c>
      <c r="AH530">
        <f t="shared" si="151"/>
        <v>84</v>
      </c>
      <c r="AI530">
        <f t="shared" si="152"/>
        <v>14</v>
      </c>
      <c r="AJ530">
        <f t="shared" si="157"/>
        <v>50.1</v>
      </c>
      <c r="AK530">
        <f t="shared" si="153"/>
        <v>26</v>
      </c>
      <c r="AL530">
        <f t="shared" si="158"/>
        <v>27.700000000000003</v>
      </c>
      <c r="AM530" s="2">
        <f t="shared" si="154"/>
        <v>14</v>
      </c>
      <c r="AX530">
        <v>527</v>
      </c>
      <c r="AZ530" s="3"/>
      <c r="BB530" s="2">
        <f t="shared" si="155"/>
        <v>155</v>
      </c>
      <c r="BC530">
        <f t="shared" si="159"/>
        <v>10.1030385078219</v>
      </c>
      <c r="BD530" s="2">
        <f t="shared" si="161"/>
        <v>50.1</v>
      </c>
      <c r="BE530">
        <f t="shared" si="162"/>
        <v>27.700000000000003</v>
      </c>
      <c r="BF530">
        <f t="shared" si="163"/>
        <v>159552.00000000003</v>
      </c>
    </row>
    <row r="531" spans="1:58" ht="14.25" x14ac:dyDescent="0.2">
      <c r="A531" s="11">
        <v>10548</v>
      </c>
      <c r="B531" s="13">
        <f t="shared" si="164"/>
        <v>10</v>
      </c>
      <c r="C531" s="15">
        <f t="shared" si="165"/>
        <v>8</v>
      </c>
      <c r="D531" s="14">
        <f t="shared" si="166"/>
        <v>8</v>
      </c>
      <c r="E531" t="s">
        <v>2777</v>
      </c>
      <c r="F531" t="s">
        <v>2836</v>
      </c>
      <c r="G531" t="s">
        <v>2779</v>
      </c>
      <c r="H531" t="s">
        <v>2779</v>
      </c>
      <c r="I531" t="s">
        <v>2780</v>
      </c>
      <c r="J531" s="4" t="s">
        <v>2838</v>
      </c>
      <c r="K531" t="s">
        <v>177</v>
      </c>
      <c r="L531" t="s">
        <v>163</v>
      </c>
      <c r="M531" t="s">
        <v>163</v>
      </c>
      <c r="N531" t="s">
        <v>163</v>
      </c>
      <c r="O531" s="6" t="s">
        <v>941</v>
      </c>
      <c r="P531">
        <v>0</v>
      </c>
      <c r="Q531" s="24">
        <v>41.2</v>
      </c>
      <c r="R531" s="25">
        <v>53.5</v>
      </c>
      <c r="S531" s="26">
        <v>41.5</v>
      </c>
      <c r="Y531">
        <v>10</v>
      </c>
      <c r="Z531">
        <v>30</v>
      </c>
      <c r="AA531" s="3">
        <v>25</v>
      </c>
      <c r="AB531" s="3">
        <v>6</v>
      </c>
      <c r="AC531">
        <v>155</v>
      </c>
      <c r="AD531" s="9">
        <f t="shared" si="149"/>
        <v>7688.666666666667</v>
      </c>
      <c r="AE531">
        <f t="shared" si="156"/>
        <v>2555730</v>
      </c>
      <c r="AF531" s="2">
        <f t="shared" si="160"/>
        <v>27.700000000000003</v>
      </c>
      <c r="AG531" t="str">
        <f t="shared" si="150"/>
        <v>128小时</v>
      </c>
      <c r="AH531">
        <f t="shared" si="151"/>
        <v>84</v>
      </c>
      <c r="AI531">
        <f t="shared" si="152"/>
        <v>14</v>
      </c>
      <c r="AJ531">
        <f t="shared" si="157"/>
        <v>50.1</v>
      </c>
      <c r="AK531">
        <f t="shared" si="153"/>
        <v>26</v>
      </c>
      <c r="AL531">
        <f t="shared" si="158"/>
        <v>27.700000000000003</v>
      </c>
      <c r="AM531" s="2">
        <f t="shared" si="154"/>
        <v>14</v>
      </c>
      <c r="AX531">
        <v>528</v>
      </c>
      <c r="AZ531" s="3"/>
      <c r="BB531" s="2">
        <f t="shared" si="155"/>
        <v>155</v>
      </c>
      <c r="BC531">
        <f t="shared" si="159"/>
        <v>10.1030385078219</v>
      </c>
      <c r="BD531" s="2">
        <f t="shared" si="161"/>
        <v>50.1</v>
      </c>
      <c r="BE531">
        <f t="shared" si="162"/>
        <v>27.700000000000003</v>
      </c>
      <c r="BF531">
        <f t="shared" si="163"/>
        <v>159552.00000000003</v>
      </c>
    </row>
    <row r="532" spans="1:58" ht="14.25" x14ac:dyDescent="0.2">
      <c r="A532" s="11">
        <v>10549</v>
      </c>
      <c r="B532" s="13">
        <f t="shared" si="164"/>
        <v>10</v>
      </c>
      <c r="C532" s="15">
        <f t="shared" si="165"/>
        <v>8</v>
      </c>
      <c r="D532" s="14">
        <f t="shared" si="166"/>
        <v>8</v>
      </c>
      <c r="E532" t="s">
        <v>2777</v>
      </c>
      <c r="F532" t="s">
        <v>2837</v>
      </c>
      <c r="G532" t="s">
        <v>2779</v>
      </c>
      <c r="H532" t="s">
        <v>2779</v>
      </c>
      <c r="I532" t="s">
        <v>2780</v>
      </c>
      <c r="J532" s="4" t="s">
        <v>2838</v>
      </c>
      <c r="K532" t="s">
        <v>174</v>
      </c>
      <c r="L532" t="s">
        <v>163</v>
      </c>
      <c r="M532" t="s">
        <v>163</v>
      </c>
      <c r="N532" t="s">
        <v>163</v>
      </c>
      <c r="O532" s="6" t="s">
        <v>943</v>
      </c>
      <c r="P532">
        <v>0</v>
      </c>
      <c r="Q532" s="24">
        <v>41.2</v>
      </c>
      <c r="R532" s="25">
        <v>53.5</v>
      </c>
      <c r="S532" s="26">
        <v>41.5</v>
      </c>
      <c r="Y532">
        <v>10</v>
      </c>
      <c r="Z532">
        <v>30</v>
      </c>
      <c r="AA532" s="3">
        <v>25</v>
      </c>
      <c r="AB532" s="3">
        <v>6</v>
      </c>
      <c r="AC532">
        <v>155</v>
      </c>
      <c r="AD532" s="9">
        <f t="shared" si="149"/>
        <v>7688.666666666667</v>
      </c>
      <c r="AE532">
        <f t="shared" si="156"/>
        <v>2555730</v>
      </c>
      <c r="AF532" s="2">
        <f t="shared" si="160"/>
        <v>27.700000000000003</v>
      </c>
      <c r="AG532" t="str">
        <f t="shared" si="150"/>
        <v>128小时</v>
      </c>
      <c r="AH532">
        <f t="shared" si="151"/>
        <v>84</v>
      </c>
      <c r="AI532">
        <f t="shared" si="152"/>
        <v>14</v>
      </c>
      <c r="AJ532">
        <f t="shared" si="157"/>
        <v>50.1</v>
      </c>
      <c r="AK532">
        <f t="shared" si="153"/>
        <v>26</v>
      </c>
      <c r="AL532">
        <f t="shared" si="158"/>
        <v>27.700000000000003</v>
      </c>
      <c r="AM532" s="2">
        <f t="shared" si="154"/>
        <v>14</v>
      </c>
      <c r="AX532">
        <v>529</v>
      </c>
      <c r="AZ532" s="3"/>
      <c r="BB532" s="2">
        <f t="shared" si="155"/>
        <v>155</v>
      </c>
      <c r="BC532">
        <f t="shared" si="159"/>
        <v>10.1030385078219</v>
      </c>
      <c r="BD532" s="2">
        <f t="shared" si="161"/>
        <v>50.1</v>
      </c>
      <c r="BE532">
        <f t="shared" si="162"/>
        <v>27.700000000000003</v>
      </c>
      <c r="BF532">
        <f t="shared" si="163"/>
        <v>159552.00000000003</v>
      </c>
    </row>
    <row r="533" spans="1:58" ht="14.25" x14ac:dyDescent="0.2">
      <c r="A533" s="11">
        <v>10550</v>
      </c>
      <c r="B533" s="13">
        <f t="shared" si="164"/>
        <v>10</v>
      </c>
      <c r="C533" s="15">
        <f t="shared" si="165"/>
        <v>8</v>
      </c>
      <c r="D533" s="14">
        <f t="shared" si="166"/>
        <v>8</v>
      </c>
      <c r="E533" t="s">
        <v>2785</v>
      </c>
      <c r="F533" t="s">
        <v>2786</v>
      </c>
      <c r="G533" t="s">
        <v>2828</v>
      </c>
      <c r="H533" t="s">
        <v>2829</v>
      </c>
      <c r="I533" t="s">
        <v>2697</v>
      </c>
      <c r="J533" s="4" t="s">
        <v>2876</v>
      </c>
      <c r="K533" t="s">
        <v>166</v>
      </c>
      <c r="L533" t="s">
        <v>163</v>
      </c>
      <c r="M533" t="s">
        <v>163</v>
      </c>
      <c r="N533" t="s">
        <v>163</v>
      </c>
      <c r="O533" s="6" t="s">
        <v>943</v>
      </c>
      <c r="P533">
        <v>0</v>
      </c>
      <c r="Q533" s="24">
        <v>41.2</v>
      </c>
      <c r="R533" s="25">
        <v>53.5</v>
      </c>
      <c r="S533" s="26">
        <v>41.5</v>
      </c>
      <c r="Y533">
        <v>10</v>
      </c>
      <c r="Z533">
        <v>30</v>
      </c>
      <c r="AA533" s="3">
        <v>25</v>
      </c>
      <c r="AB533" s="3">
        <v>6</v>
      </c>
      <c r="AC533">
        <v>155</v>
      </c>
      <c r="AD533" s="9">
        <f t="shared" si="149"/>
        <v>7688.666666666667</v>
      </c>
      <c r="AE533">
        <f t="shared" si="156"/>
        <v>2555730</v>
      </c>
      <c r="AF533" s="2">
        <f t="shared" si="160"/>
        <v>27.700000000000003</v>
      </c>
      <c r="AG533" t="str">
        <f t="shared" si="150"/>
        <v>128小时</v>
      </c>
      <c r="AH533">
        <f t="shared" si="151"/>
        <v>84</v>
      </c>
      <c r="AI533">
        <f t="shared" si="152"/>
        <v>14</v>
      </c>
      <c r="AJ533">
        <f t="shared" si="157"/>
        <v>50.1</v>
      </c>
      <c r="AK533">
        <f t="shared" si="153"/>
        <v>26</v>
      </c>
      <c r="AL533">
        <f t="shared" si="158"/>
        <v>27.700000000000003</v>
      </c>
      <c r="AM533" s="2">
        <f t="shared" si="154"/>
        <v>14</v>
      </c>
      <c r="AX533">
        <v>530</v>
      </c>
      <c r="AZ533" s="3"/>
      <c r="BB533" s="2">
        <f t="shared" si="155"/>
        <v>155</v>
      </c>
      <c r="BC533">
        <f t="shared" si="159"/>
        <v>10.1030385078219</v>
      </c>
      <c r="BD533" s="2">
        <f t="shared" si="161"/>
        <v>50.1</v>
      </c>
      <c r="BE533">
        <f t="shared" si="162"/>
        <v>27.700000000000003</v>
      </c>
      <c r="BF533">
        <f t="shared" si="163"/>
        <v>159552.00000000003</v>
      </c>
    </row>
    <row r="534" spans="1:58" ht="14.25" x14ac:dyDescent="0.2">
      <c r="A534" s="11">
        <v>10601</v>
      </c>
      <c r="B534" s="13">
        <f t="shared" si="164"/>
        <v>10</v>
      </c>
      <c r="C534" s="15">
        <f t="shared" si="165"/>
        <v>8</v>
      </c>
      <c r="D534" s="14">
        <f t="shared" si="166"/>
        <v>8</v>
      </c>
      <c r="E534" t="s">
        <v>2777</v>
      </c>
      <c r="F534" t="s">
        <v>2834</v>
      </c>
      <c r="G534" t="s">
        <v>2779</v>
      </c>
      <c r="H534" t="s">
        <v>2779</v>
      </c>
      <c r="I534" t="s">
        <v>2780</v>
      </c>
      <c r="J534" s="4" t="s">
        <v>2838</v>
      </c>
      <c r="K534" t="s">
        <v>168</v>
      </c>
      <c r="L534" t="s">
        <v>163</v>
      </c>
      <c r="M534" t="s">
        <v>163</v>
      </c>
      <c r="N534" t="s">
        <v>163</v>
      </c>
      <c r="O534" s="6" t="s">
        <v>945</v>
      </c>
      <c r="P534">
        <v>0</v>
      </c>
      <c r="Q534" s="24">
        <v>41.5</v>
      </c>
      <c r="R534" s="25">
        <v>54</v>
      </c>
      <c r="S534" s="26">
        <v>41.8</v>
      </c>
      <c r="Y534">
        <v>10</v>
      </c>
      <c r="Z534">
        <v>30</v>
      </c>
      <c r="AA534" s="3">
        <v>25</v>
      </c>
      <c r="AB534" s="3">
        <v>6</v>
      </c>
      <c r="AC534">
        <v>155</v>
      </c>
      <c r="AD534" s="9">
        <f t="shared" si="149"/>
        <v>7606.333333333333</v>
      </c>
      <c r="AE534">
        <f t="shared" si="156"/>
        <v>2555730</v>
      </c>
      <c r="AF534" s="2">
        <f t="shared" si="160"/>
        <v>28</v>
      </c>
      <c r="AG534" t="str">
        <f t="shared" si="150"/>
        <v>126小时</v>
      </c>
      <c r="AH534">
        <f t="shared" si="151"/>
        <v>84</v>
      </c>
      <c r="AI534">
        <f t="shared" si="152"/>
        <v>14</v>
      </c>
      <c r="AJ534">
        <f t="shared" si="157"/>
        <v>50.5</v>
      </c>
      <c r="AK534">
        <f t="shared" si="153"/>
        <v>26</v>
      </c>
      <c r="AL534">
        <f t="shared" si="158"/>
        <v>28</v>
      </c>
      <c r="AM534" s="2">
        <f t="shared" si="154"/>
        <v>14</v>
      </c>
      <c r="AX534">
        <v>531</v>
      </c>
      <c r="AZ534" s="3"/>
      <c r="BB534" s="2">
        <f t="shared" si="155"/>
        <v>155</v>
      </c>
      <c r="BC534">
        <f t="shared" si="159"/>
        <v>9.9947916666666661</v>
      </c>
      <c r="BD534" s="2">
        <f t="shared" si="161"/>
        <v>50.5</v>
      </c>
      <c r="BE534">
        <f t="shared" si="162"/>
        <v>28</v>
      </c>
      <c r="BF534">
        <f t="shared" si="163"/>
        <v>161280</v>
      </c>
    </row>
    <row r="535" spans="1:58" ht="14.25" x14ac:dyDescent="0.2">
      <c r="A535" s="11">
        <v>10602</v>
      </c>
      <c r="B535" s="13">
        <f t="shared" si="164"/>
        <v>10</v>
      </c>
      <c r="C535" s="15">
        <f t="shared" si="165"/>
        <v>8</v>
      </c>
      <c r="D535" s="14">
        <f t="shared" si="166"/>
        <v>8</v>
      </c>
      <c r="E535" t="s">
        <v>2777</v>
      </c>
      <c r="F535" t="s">
        <v>2835</v>
      </c>
      <c r="G535" t="s">
        <v>2779</v>
      </c>
      <c r="H535" t="s">
        <v>2779</v>
      </c>
      <c r="I535" t="s">
        <v>2780</v>
      </c>
      <c r="J535" s="4" t="s">
        <v>2838</v>
      </c>
      <c r="K535" t="s">
        <v>175</v>
      </c>
      <c r="L535" t="s">
        <v>164</v>
      </c>
      <c r="M535" t="s">
        <v>163</v>
      </c>
      <c r="N535" t="s">
        <v>167</v>
      </c>
      <c r="O535" s="6" t="s">
        <v>947</v>
      </c>
      <c r="P535">
        <v>0</v>
      </c>
      <c r="Q535" s="24">
        <v>41.5</v>
      </c>
      <c r="R535" s="25">
        <v>54</v>
      </c>
      <c r="S535" s="26">
        <v>41.8</v>
      </c>
      <c r="Y535">
        <v>10</v>
      </c>
      <c r="Z535">
        <v>30</v>
      </c>
      <c r="AA535" s="3">
        <v>25</v>
      </c>
      <c r="AB535" s="3">
        <v>6</v>
      </c>
      <c r="AC535">
        <v>155</v>
      </c>
      <c r="AD535" s="9">
        <f t="shared" si="149"/>
        <v>7606.333333333333</v>
      </c>
      <c r="AE535">
        <f t="shared" si="156"/>
        <v>2555730</v>
      </c>
      <c r="AF535" s="2">
        <f t="shared" si="160"/>
        <v>28</v>
      </c>
      <c r="AG535" t="str">
        <f t="shared" si="150"/>
        <v>126小时</v>
      </c>
      <c r="AH535">
        <f t="shared" si="151"/>
        <v>84</v>
      </c>
      <c r="AI535">
        <f t="shared" si="152"/>
        <v>14</v>
      </c>
      <c r="AJ535">
        <f t="shared" si="157"/>
        <v>50.5</v>
      </c>
      <c r="AK535">
        <f t="shared" si="153"/>
        <v>26</v>
      </c>
      <c r="AL535">
        <f t="shared" si="158"/>
        <v>28</v>
      </c>
      <c r="AM535" s="2">
        <f t="shared" si="154"/>
        <v>14</v>
      </c>
      <c r="AX535">
        <v>532</v>
      </c>
      <c r="AZ535" s="3"/>
      <c r="BB535" s="2">
        <f t="shared" si="155"/>
        <v>155</v>
      </c>
      <c r="BC535">
        <f t="shared" si="159"/>
        <v>9.9947916666666661</v>
      </c>
      <c r="BD535" s="2">
        <f t="shared" si="161"/>
        <v>50.5</v>
      </c>
      <c r="BE535">
        <f t="shared" si="162"/>
        <v>28</v>
      </c>
      <c r="BF535">
        <f t="shared" si="163"/>
        <v>161280</v>
      </c>
    </row>
    <row r="536" spans="1:58" ht="14.25" x14ac:dyDescent="0.2">
      <c r="A536" s="11">
        <v>10603</v>
      </c>
      <c r="B536" s="13">
        <f t="shared" si="164"/>
        <v>10</v>
      </c>
      <c r="C536" s="15">
        <f t="shared" si="165"/>
        <v>8</v>
      </c>
      <c r="D536" s="14">
        <f t="shared" si="166"/>
        <v>8</v>
      </c>
      <c r="E536" t="s">
        <v>2777</v>
      </c>
      <c r="F536" t="s">
        <v>2836</v>
      </c>
      <c r="G536" t="s">
        <v>2779</v>
      </c>
      <c r="H536" t="s">
        <v>2779</v>
      </c>
      <c r="I536" t="s">
        <v>2780</v>
      </c>
      <c r="J536" s="4" t="s">
        <v>2838</v>
      </c>
      <c r="K536" t="s">
        <v>179</v>
      </c>
      <c r="L536" t="s">
        <v>163</v>
      </c>
      <c r="M536" t="s">
        <v>163</v>
      </c>
      <c r="N536" t="s">
        <v>163</v>
      </c>
      <c r="O536" s="6" t="s">
        <v>949</v>
      </c>
      <c r="P536">
        <v>0</v>
      </c>
      <c r="Q536" s="24">
        <v>41.5</v>
      </c>
      <c r="R536" s="25">
        <v>54</v>
      </c>
      <c r="S536" s="26">
        <v>41.8</v>
      </c>
      <c r="Y536">
        <v>10</v>
      </c>
      <c r="Z536">
        <v>30</v>
      </c>
      <c r="AA536" s="3">
        <v>25</v>
      </c>
      <c r="AB536" s="3">
        <v>6</v>
      </c>
      <c r="AC536">
        <v>155</v>
      </c>
      <c r="AD536" s="9">
        <f t="shared" si="149"/>
        <v>7606.333333333333</v>
      </c>
      <c r="AE536">
        <f t="shared" si="156"/>
        <v>2555730</v>
      </c>
      <c r="AF536" s="2">
        <f t="shared" si="160"/>
        <v>28</v>
      </c>
      <c r="AG536" t="str">
        <f t="shared" si="150"/>
        <v>126小时</v>
      </c>
      <c r="AH536">
        <f t="shared" si="151"/>
        <v>84</v>
      </c>
      <c r="AI536">
        <f t="shared" si="152"/>
        <v>14</v>
      </c>
      <c r="AJ536">
        <f t="shared" si="157"/>
        <v>50.5</v>
      </c>
      <c r="AK536">
        <f t="shared" si="153"/>
        <v>26</v>
      </c>
      <c r="AL536">
        <f t="shared" si="158"/>
        <v>28</v>
      </c>
      <c r="AM536" s="2">
        <f t="shared" si="154"/>
        <v>14</v>
      </c>
      <c r="AX536">
        <v>533</v>
      </c>
      <c r="AZ536" s="3"/>
      <c r="BB536" s="2">
        <f t="shared" si="155"/>
        <v>155</v>
      </c>
      <c r="BC536">
        <f t="shared" si="159"/>
        <v>9.9947916666666661</v>
      </c>
      <c r="BD536" s="2">
        <f t="shared" si="161"/>
        <v>50.5</v>
      </c>
      <c r="BE536">
        <f t="shared" si="162"/>
        <v>28</v>
      </c>
      <c r="BF536">
        <f t="shared" si="163"/>
        <v>161280</v>
      </c>
    </row>
    <row r="537" spans="1:58" ht="14.25" x14ac:dyDescent="0.2">
      <c r="A537" s="11">
        <v>10604</v>
      </c>
      <c r="B537" s="13">
        <f t="shared" si="164"/>
        <v>10</v>
      </c>
      <c r="C537" s="15">
        <f t="shared" si="165"/>
        <v>8</v>
      </c>
      <c r="D537" s="14">
        <f t="shared" si="166"/>
        <v>8</v>
      </c>
      <c r="E537" t="s">
        <v>2777</v>
      </c>
      <c r="F537" t="s">
        <v>2837</v>
      </c>
      <c r="G537" t="s">
        <v>2779</v>
      </c>
      <c r="H537" t="s">
        <v>2779</v>
      </c>
      <c r="I537" t="s">
        <v>2780</v>
      </c>
      <c r="J537" s="4" t="s">
        <v>2838</v>
      </c>
      <c r="K537" t="s">
        <v>177</v>
      </c>
      <c r="L537" t="s">
        <v>163</v>
      </c>
      <c r="M537" t="s">
        <v>163</v>
      </c>
      <c r="N537" t="s">
        <v>163</v>
      </c>
      <c r="O537" s="6" t="s">
        <v>949</v>
      </c>
      <c r="P537">
        <v>0</v>
      </c>
      <c r="Q537" s="24">
        <v>41.5</v>
      </c>
      <c r="R537" s="25">
        <v>54</v>
      </c>
      <c r="S537" s="26">
        <v>41.8</v>
      </c>
      <c r="Y537">
        <v>10</v>
      </c>
      <c r="Z537">
        <v>30</v>
      </c>
      <c r="AA537" s="3">
        <v>25</v>
      </c>
      <c r="AB537" s="3">
        <v>6</v>
      </c>
      <c r="AC537">
        <v>155</v>
      </c>
      <c r="AD537" s="9">
        <f t="shared" si="149"/>
        <v>7606.333333333333</v>
      </c>
      <c r="AE537">
        <f t="shared" si="156"/>
        <v>2555730</v>
      </c>
      <c r="AF537" s="2">
        <f t="shared" si="160"/>
        <v>28</v>
      </c>
      <c r="AG537" t="str">
        <f t="shared" si="150"/>
        <v>126小时</v>
      </c>
      <c r="AH537">
        <f t="shared" si="151"/>
        <v>84</v>
      </c>
      <c r="AI537">
        <f t="shared" si="152"/>
        <v>14</v>
      </c>
      <c r="AJ537">
        <f t="shared" si="157"/>
        <v>50.5</v>
      </c>
      <c r="AK537">
        <f t="shared" si="153"/>
        <v>26</v>
      </c>
      <c r="AL537">
        <f t="shared" si="158"/>
        <v>28</v>
      </c>
      <c r="AM537" s="2">
        <f t="shared" si="154"/>
        <v>14</v>
      </c>
      <c r="AX537">
        <v>534</v>
      </c>
      <c r="AZ537" s="3"/>
      <c r="BB537" s="2">
        <f t="shared" si="155"/>
        <v>155</v>
      </c>
      <c r="BC537">
        <f t="shared" si="159"/>
        <v>9.9947916666666661</v>
      </c>
      <c r="BD537" s="2">
        <f t="shared" si="161"/>
        <v>50.5</v>
      </c>
      <c r="BE537">
        <f t="shared" si="162"/>
        <v>28</v>
      </c>
      <c r="BF537">
        <f t="shared" si="163"/>
        <v>161280</v>
      </c>
    </row>
    <row r="538" spans="1:58" ht="14.25" x14ac:dyDescent="0.2">
      <c r="A538" s="11">
        <v>10605</v>
      </c>
      <c r="B538" s="13">
        <f t="shared" si="164"/>
        <v>10</v>
      </c>
      <c r="C538" s="15">
        <f t="shared" si="165"/>
        <v>8</v>
      </c>
      <c r="D538" s="14">
        <f t="shared" si="166"/>
        <v>8</v>
      </c>
      <c r="E538" t="s">
        <v>2785</v>
      </c>
      <c r="F538" t="s">
        <v>2786</v>
      </c>
      <c r="G538" t="s">
        <v>2830</v>
      </c>
      <c r="H538" t="s">
        <v>2829</v>
      </c>
      <c r="I538" t="s">
        <v>2697</v>
      </c>
      <c r="J538" s="4" t="s">
        <v>2858</v>
      </c>
      <c r="K538" t="s">
        <v>174</v>
      </c>
      <c r="L538" t="s">
        <v>163</v>
      </c>
      <c r="M538" t="s">
        <v>163</v>
      </c>
      <c r="N538" t="s">
        <v>163</v>
      </c>
      <c r="O538" s="6" t="s">
        <v>951</v>
      </c>
      <c r="P538">
        <v>0</v>
      </c>
      <c r="Q538" s="24">
        <v>41.5</v>
      </c>
      <c r="R538" s="25">
        <v>54</v>
      </c>
      <c r="S538" s="26">
        <v>41.8</v>
      </c>
      <c r="Y538">
        <v>10</v>
      </c>
      <c r="Z538">
        <v>30</v>
      </c>
      <c r="AA538" s="3">
        <v>25</v>
      </c>
      <c r="AB538" s="3">
        <v>6</v>
      </c>
      <c r="AC538">
        <v>155</v>
      </c>
      <c r="AD538" s="9">
        <f t="shared" si="149"/>
        <v>7606.333333333333</v>
      </c>
      <c r="AE538">
        <f t="shared" si="156"/>
        <v>2555730</v>
      </c>
      <c r="AF538" s="2">
        <f t="shared" si="160"/>
        <v>28</v>
      </c>
      <c r="AG538" t="str">
        <f t="shared" si="150"/>
        <v>126小时</v>
      </c>
      <c r="AH538">
        <f t="shared" si="151"/>
        <v>84</v>
      </c>
      <c r="AI538">
        <f t="shared" si="152"/>
        <v>14</v>
      </c>
      <c r="AJ538">
        <f t="shared" si="157"/>
        <v>50.5</v>
      </c>
      <c r="AK538">
        <f t="shared" si="153"/>
        <v>26</v>
      </c>
      <c r="AL538">
        <f t="shared" si="158"/>
        <v>28</v>
      </c>
      <c r="AM538" s="2">
        <f t="shared" si="154"/>
        <v>14</v>
      </c>
      <c r="AX538">
        <v>535</v>
      </c>
      <c r="AZ538" s="3"/>
      <c r="BB538" s="2">
        <f t="shared" si="155"/>
        <v>155</v>
      </c>
      <c r="BC538">
        <f t="shared" si="159"/>
        <v>9.9947916666666661</v>
      </c>
      <c r="BD538" s="2">
        <f t="shared" si="161"/>
        <v>50.5</v>
      </c>
      <c r="BE538">
        <f t="shared" si="162"/>
        <v>28</v>
      </c>
      <c r="BF538">
        <f t="shared" si="163"/>
        <v>161280</v>
      </c>
    </row>
    <row r="539" spans="1:58" ht="14.25" x14ac:dyDescent="0.2">
      <c r="A539" s="11">
        <v>10606</v>
      </c>
      <c r="B539" s="13">
        <f t="shared" si="164"/>
        <v>10</v>
      </c>
      <c r="C539" s="15">
        <f t="shared" si="165"/>
        <v>8</v>
      </c>
      <c r="D539" s="14">
        <f t="shared" si="166"/>
        <v>8</v>
      </c>
      <c r="E539" t="s">
        <v>2777</v>
      </c>
      <c r="F539" t="s">
        <v>2834</v>
      </c>
      <c r="G539" t="s">
        <v>2779</v>
      </c>
      <c r="H539" t="s">
        <v>2779</v>
      </c>
      <c r="I539" t="s">
        <v>2780</v>
      </c>
      <c r="J539" s="4" t="s">
        <v>2838</v>
      </c>
      <c r="K539" t="s">
        <v>182</v>
      </c>
      <c r="L539" t="s">
        <v>163</v>
      </c>
      <c r="M539" t="s">
        <v>163</v>
      </c>
      <c r="N539" t="s">
        <v>163</v>
      </c>
      <c r="O539" s="6" t="s">
        <v>953</v>
      </c>
      <c r="P539">
        <v>0</v>
      </c>
      <c r="Q539" s="24">
        <v>41.8</v>
      </c>
      <c r="R539" s="25">
        <v>54.5</v>
      </c>
      <c r="S539" s="26">
        <v>42</v>
      </c>
      <c r="Y539">
        <v>10</v>
      </c>
      <c r="Z539">
        <v>30</v>
      </c>
      <c r="AA539" s="3">
        <v>25</v>
      </c>
      <c r="AB539" s="3">
        <v>6</v>
      </c>
      <c r="AC539">
        <v>155</v>
      </c>
      <c r="AD539" s="9">
        <f t="shared" si="149"/>
        <v>7552.3333333333339</v>
      </c>
      <c r="AE539">
        <f t="shared" si="156"/>
        <v>2555730</v>
      </c>
      <c r="AF539" s="2">
        <f t="shared" si="160"/>
        <v>28.200000000000003</v>
      </c>
      <c r="AG539" t="str">
        <f t="shared" si="150"/>
        <v>125小时</v>
      </c>
      <c r="AH539">
        <f t="shared" si="151"/>
        <v>85</v>
      </c>
      <c r="AI539">
        <f t="shared" si="152"/>
        <v>15</v>
      </c>
      <c r="AJ539">
        <f t="shared" si="157"/>
        <v>50.8</v>
      </c>
      <c r="AK539">
        <f t="shared" si="153"/>
        <v>26</v>
      </c>
      <c r="AL539">
        <f t="shared" si="158"/>
        <v>28.200000000000003</v>
      </c>
      <c r="AM539" s="2">
        <f t="shared" si="154"/>
        <v>15</v>
      </c>
      <c r="AX539">
        <v>536</v>
      </c>
      <c r="AZ539" s="3"/>
      <c r="BB539" s="2">
        <f t="shared" si="155"/>
        <v>155</v>
      </c>
      <c r="BC539">
        <f t="shared" si="159"/>
        <v>9.9239066193853418</v>
      </c>
      <c r="BD539" s="2">
        <f t="shared" si="161"/>
        <v>50.8</v>
      </c>
      <c r="BE539">
        <f t="shared" si="162"/>
        <v>28.200000000000003</v>
      </c>
      <c r="BF539">
        <f t="shared" si="163"/>
        <v>162432.00000000003</v>
      </c>
    </row>
    <row r="540" spans="1:58" ht="14.25" x14ac:dyDescent="0.2">
      <c r="A540" s="11">
        <v>10607</v>
      </c>
      <c r="B540" s="13">
        <f t="shared" si="164"/>
        <v>10</v>
      </c>
      <c r="C540" s="15">
        <f t="shared" si="165"/>
        <v>8</v>
      </c>
      <c r="D540" s="14">
        <f t="shared" si="166"/>
        <v>8</v>
      </c>
      <c r="E540" t="s">
        <v>2777</v>
      </c>
      <c r="F540" t="s">
        <v>2835</v>
      </c>
      <c r="G540" t="s">
        <v>2779</v>
      </c>
      <c r="H540" t="s">
        <v>2779</v>
      </c>
      <c r="I540" t="s">
        <v>2780</v>
      </c>
      <c r="J540" s="4" t="s">
        <v>2838</v>
      </c>
      <c r="K540" t="s">
        <v>162</v>
      </c>
      <c r="L540" t="s">
        <v>163</v>
      </c>
      <c r="M540" t="s">
        <v>163</v>
      </c>
      <c r="N540" t="s">
        <v>163</v>
      </c>
      <c r="O540" s="6" t="s">
        <v>953</v>
      </c>
      <c r="P540">
        <v>0</v>
      </c>
      <c r="Q540" s="24">
        <v>41.8</v>
      </c>
      <c r="R540" s="25">
        <v>54.5</v>
      </c>
      <c r="S540" s="26">
        <v>42</v>
      </c>
      <c r="Y540">
        <v>10</v>
      </c>
      <c r="Z540">
        <v>30</v>
      </c>
      <c r="AA540" s="3">
        <v>25</v>
      </c>
      <c r="AB540" s="3">
        <v>6</v>
      </c>
      <c r="AC540">
        <v>155</v>
      </c>
      <c r="AD540" s="9">
        <f t="shared" si="149"/>
        <v>7552.3333333333339</v>
      </c>
      <c r="AE540">
        <f t="shared" si="156"/>
        <v>2555730</v>
      </c>
      <c r="AF540" s="2">
        <f t="shared" si="160"/>
        <v>28.200000000000003</v>
      </c>
      <c r="AG540" t="str">
        <f t="shared" si="150"/>
        <v>125小时</v>
      </c>
      <c r="AH540">
        <f t="shared" si="151"/>
        <v>85</v>
      </c>
      <c r="AI540">
        <f t="shared" si="152"/>
        <v>15</v>
      </c>
      <c r="AJ540">
        <f t="shared" si="157"/>
        <v>50.8</v>
      </c>
      <c r="AK540">
        <f t="shared" si="153"/>
        <v>26</v>
      </c>
      <c r="AL540">
        <f t="shared" si="158"/>
        <v>28.200000000000003</v>
      </c>
      <c r="AM540" s="2">
        <f t="shared" si="154"/>
        <v>15</v>
      </c>
      <c r="AX540">
        <v>537</v>
      </c>
      <c r="AZ540" s="3"/>
      <c r="BB540" s="2">
        <f t="shared" si="155"/>
        <v>155</v>
      </c>
      <c r="BC540">
        <f t="shared" si="159"/>
        <v>9.9239066193853418</v>
      </c>
      <c r="BD540" s="2">
        <f t="shared" si="161"/>
        <v>50.8</v>
      </c>
      <c r="BE540">
        <f t="shared" si="162"/>
        <v>28.200000000000003</v>
      </c>
      <c r="BF540">
        <f t="shared" si="163"/>
        <v>162432.00000000003</v>
      </c>
    </row>
    <row r="541" spans="1:58" ht="14.25" x14ac:dyDescent="0.2">
      <c r="A541" s="11">
        <v>10608</v>
      </c>
      <c r="B541" s="13">
        <f t="shared" si="164"/>
        <v>10</v>
      </c>
      <c r="C541" s="15">
        <f t="shared" si="165"/>
        <v>8</v>
      </c>
      <c r="D541" s="14">
        <f t="shared" si="166"/>
        <v>8</v>
      </c>
      <c r="E541" t="s">
        <v>2777</v>
      </c>
      <c r="F541" t="s">
        <v>2836</v>
      </c>
      <c r="G541" t="s">
        <v>2779</v>
      </c>
      <c r="H541" t="s">
        <v>2779</v>
      </c>
      <c r="I541" t="s">
        <v>2780</v>
      </c>
      <c r="J541" s="4" t="s">
        <v>2838</v>
      </c>
      <c r="K541" t="s">
        <v>177</v>
      </c>
      <c r="L541" t="s">
        <v>163</v>
      </c>
      <c r="M541" t="s">
        <v>163</v>
      </c>
      <c r="N541" t="s">
        <v>163</v>
      </c>
      <c r="O541" s="6" t="s">
        <v>955</v>
      </c>
      <c r="P541">
        <v>0</v>
      </c>
      <c r="Q541" s="24">
        <v>41.8</v>
      </c>
      <c r="R541" s="25">
        <v>54.5</v>
      </c>
      <c r="S541" s="26">
        <v>42</v>
      </c>
      <c r="Y541">
        <v>10</v>
      </c>
      <c r="Z541">
        <v>30</v>
      </c>
      <c r="AA541" s="3">
        <v>25</v>
      </c>
      <c r="AB541" s="3">
        <v>6</v>
      </c>
      <c r="AC541">
        <v>155</v>
      </c>
      <c r="AD541" s="9">
        <f t="shared" si="149"/>
        <v>7552.3333333333339</v>
      </c>
      <c r="AE541">
        <f t="shared" si="156"/>
        <v>2555730</v>
      </c>
      <c r="AF541" s="2">
        <f t="shared" si="160"/>
        <v>28.200000000000003</v>
      </c>
      <c r="AG541" t="str">
        <f t="shared" si="150"/>
        <v>125小时</v>
      </c>
      <c r="AH541">
        <f t="shared" si="151"/>
        <v>85</v>
      </c>
      <c r="AI541">
        <f t="shared" si="152"/>
        <v>15</v>
      </c>
      <c r="AJ541">
        <f t="shared" si="157"/>
        <v>50.8</v>
      </c>
      <c r="AK541">
        <f t="shared" si="153"/>
        <v>26</v>
      </c>
      <c r="AL541">
        <f t="shared" si="158"/>
        <v>28.200000000000003</v>
      </c>
      <c r="AM541" s="2">
        <f t="shared" si="154"/>
        <v>15</v>
      </c>
      <c r="AX541">
        <v>538</v>
      </c>
      <c r="AZ541" s="3"/>
      <c r="BB541" s="2">
        <f t="shared" si="155"/>
        <v>155</v>
      </c>
      <c r="BC541">
        <f t="shared" si="159"/>
        <v>9.9239066193853418</v>
      </c>
      <c r="BD541" s="2">
        <f t="shared" si="161"/>
        <v>50.8</v>
      </c>
      <c r="BE541">
        <f t="shared" si="162"/>
        <v>28.200000000000003</v>
      </c>
      <c r="BF541">
        <f t="shared" si="163"/>
        <v>162432.00000000003</v>
      </c>
    </row>
    <row r="542" spans="1:58" ht="14.25" x14ac:dyDescent="0.2">
      <c r="A542" s="11">
        <v>10609</v>
      </c>
      <c r="B542" s="13">
        <f t="shared" si="164"/>
        <v>10</v>
      </c>
      <c r="C542" s="15">
        <f t="shared" si="165"/>
        <v>8</v>
      </c>
      <c r="D542" s="14">
        <f t="shared" si="166"/>
        <v>8</v>
      </c>
      <c r="E542" t="s">
        <v>2777</v>
      </c>
      <c r="F542" t="s">
        <v>2837</v>
      </c>
      <c r="G542" t="s">
        <v>2779</v>
      </c>
      <c r="H542" t="s">
        <v>2779</v>
      </c>
      <c r="I542" t="s">
        <v>2780</v>
      </c>
      <c r="J542" s="4" t="s">
        <v>2838</v>
      </c>
      <c r="K542" t="s">
        <v>174</v>
      </c>
      <c r="L542" t="s">
        <v>163</v>
      </c>
      <c r="M542" t="s">
        <v>163</v>
      </c>
      <c r="N542" t="s">
        <v>163</v>
      </c>
      <c r="O542" s="6" t="s">
        <v>957</v>
      </c>
      <c r="P542">
        <v>0</v>
      </c>
      <c r="Q542" s="24">
        <v>41.8</v>
      </c>
      <c r="R542" s="25">
        <v>54.5</v>
      </c>
      <c r="S542" s="26">
        <v>42</v>
      </c>
      <c r="Y542">
        <v>10</v>
      </c>
      <c r="Z542">
        <v>30</v>
      </c>
      <c r="AA542" s="3">
        <v>25</v>
      </c>
      <c r="AB542" s="3">
        <v>6</v>
      </c>
      <c r="AC542">
        <v>155</v>
      </c>
      <c r="AD542" s="9">
        <f t="shared" si="149"/>
        <v>7552.3333333333339</v>
      </c>
      <c r="AE542">
        <f t="shared" si="156"/>
        <v>2555730</v>
      </c>
      <c r="AF542" s="2">
        <f t="shared" si="160"/>
        <v>28.200000000000003</v>
      </c>
      <c r="AG542" t="str">
        <f t="shared" si="150"/>
        <v>125小时</v>
      </c>
      <c r="AH542">
        <f t="shared" si="151"/>
        <v>85</v>
      </c>
      <c r="AI542">
        <f t="shared" si="152"/>
        <v>15</v>
      </c>
      <c r="AJ542">
        <f t="shared" si="157"/>
        <v>50.8</v>
      </c>
      <c r="AK542">
        <f t="shared" si="153"/>
        <v>26</v>
      </c>
      <c r="AL542">
        <f t="shared" si="158"/>
        <v>28.200000000000003</v>
      </c>
      <c r="AM542" s="2">
        <f t="shared" si="154"/>
        <v>15</v>
      </c>
      <c r="AX542">
        <v>539</v>
      </c>
      <c r="AZ542" s="3"/>
      <c r="BB542" s="2">
        <f t="shared" si="155"/>
        <v>155</v>
      </c>
      <c r="BC542">
        <f t="shared" si="159"/>
        <v>9.9239066193853418</v>
      </c>
      <c r="BD542" s="2">
        <f t="shared" si="161"/>
        <v>50.8</v>
      </c>
      <c r="BE542">
        <f t="shared" si="162"/>
        <v>28.200000000000003</v>
      </c>
      <c r="BF542">
        <f t="shared" si="163"/>
        <v>162432.00000000003</v>
      </c>
    </row>
    <row r="543" spans="1:58" ht="14.25" x14ac:dyDescent="0.2">
      <c r="A543" s="11">
        <v>10610</v>
      </c>
      <c r="B543" s="13">
        <f t="shared" si="164"/>
        <v>10</v>
      </c>
      <c r="C543" s="15">
        <f t="shared" si="165"/>
        <v>8</v>
      </c>
      <c r="D543" s="14">
        <f t="shared" si="166"/>
        <v>8</v>
      </c>
      <c r="E543" t="s">
        <v>2785</v>
      </c>
      <c r="F543" t="s">
        <v>2786</v>
      </c>
      <c r="G543" t="s">
        <v>2831</v>
      </c>
      <c r="H543" t="s">
        <v>2829</v>
      </c>
      <c r="I543" t="s">
        <v>2697</v>
      </c>
      <c r="J543" s="4" t="s">
        <v>2858</v>
      </c>
      <c r="K543" t="s">
        <v>166</v>
      </c>
      <c r="L543" t="s">
        <v>163</v>
      </c>
      <c r="M543" t="s">
        <v>163</v>
      </c>
      <c r="N543" t="s">
        <v>163</v>
      </c>
      <c r="O543" s="6" t="s">
        <v>957</v>
      </c>
      <c r="P543">
        <v>0</v>
      </c>
      <c r="Q543" s="24">
        <v>41.8</v>
      </c>
      <c r="R543" s="25">
        <v>54.5</v>
      </c>
      <c r="S543" s="26">
        <v>42</v>
      </c>
      <c r="Y543">
        <v>10</v>
      </c>
      <c r="Z543">
        <v>30</v>
      </c>
      <c r="AA543" s="3">
        <v>25</v>
      </c>
      <c r="AB543" s="3">
        <v>6</v>
      </c>
      <c r="AC543">
        <v>155</v>
      </c>
      <c r="AD543" s="9">
        <f t="shared" si="149"/>
        <v>7552.3333333333339</v>
      </c>
      <c r="AE543">
        <f t="shared" si="156"/>
        <v>2555730</v>
      </c>
      <c r="AF543" s="2">
        <f t="shared" si="160"/>
        <v>28.200000000000003</v>
      </c>
      <c r="AG543" t="str">
        <f t="shared" si="150"/>
        <v>125小时</v>
      </c>
      <c r="AH543">
        <f t="shared" si="151"/>
        <v>85</v>
      </c>
      <c r="AI543">
        <f t="shared" si="152"/>
        <v>15</v>
      </c>
      <c r="AJ543">
        <f t="shared" si="157"/>
        <v>50.8</v>
      </c>
      <c r="AK543">
        <f t="shared" si="153"/>
        <v>26</v>
      </c>
      <c r="AL543">
        <f t="shared" si="158"/>
        <v>28.200000000000003</v>
      </c>
      <c r="AM543" s="2">
        <f t="shared" si="154"/>
        <v>15</v>
      </c>
      <c r="AX543">
        <v>540</v>
      </c>
      <c r="AZ543" s="3"/>
      <c r="BB543" s="2">
        <f t="shared" si="155"/>
        <v>155</v>
      </c>
      <c r="BC543">
        <f t="shared" si="159"/>
        <v>9.9239066193853418</v>
      </c>
      <c r="BD543" s="2">
        <f t="shared" si="161"/>
        <v>50.8</v>
      </c>
      <c r="BE543">
        <f t="shared" si="162"/>
        <v>28.200000000000003</v>
      </c>
      <c r="BF543">
        <f t="shared" si="163"/>
        <v>162432.00000000003</v>
      </c>
    </row>
    <row r="544" spans="1:58" ht="14.25" x14ac:dyDescent="0.2">
      <c r="A544" s="11">
        <v>10611</v>
      </c>
      <c r="B544" s="13">
        <f t="shared" si="164"/>
        <v>10</v>
      </c>
      <c r="C544" s="15">
        <f t="shared" si="165"/>
        <v>8</v>
      </c>
      <c r="D544" s="14">
        <f t="shared" si="166"/>
        <v>8</v>
      </c>
      <c r="E544" t="s">
        <v>2777</v>
      </c>
      <c r="F544" t="s">
        <v>2834</v>
      </c>
      <c r="G544" t="s">
        <v>2779</v>
      </c>
      <c r="H544" t="s">
        <v>2779</v>
      </c>
      <c r="I544" t="s">
        <v>2780</v>
      </c>
      <c r="J544" s="4" t="s">
        <v>2838</v>
      </c>
      <c r="K544" t="s">
        <v>168</v>
      </c>
      <c r="L544" t="s">
        <v>163</v>
      </c>
      <c r="M544" t="s">
        <v>163</v>
      </c>
      <c r="N544" t="s">
        <v>163</v>
      </c>
      <c r="O544" s="6" t="s">
        <v>959</v>
      </c>
      <c r="P544">
        <v>0</v>
      </c>
      <c r="Q544" s="24">
        <v>42.2</v>
      </c>
      <c r="R544" s="25">
        <v>55</v>
      </c>
      <c r="S544" s="26">
        <v>42.3</v>
      </c>
      <c r="Y544">
        <v>10</v>
      </c>
      <c r="Z544">
        <v>30</v>
      </c>
      <c r="AA544" s="3">
        <v>25</v>
      </c>
      <c r="AB544" s="3">
        <v>6</v>
      </c>
      <c r="AC544">
        <v>155</v>
      </c>
      <c r="AD544" s="9">
        <f t="shared" si="149"/>
        <v>7472.833333333333</v>
      </c>
      <c r="AE544">
        <f t="shared" si="156"/>
        <v>2555730</v>
      </c>
      <c r="AF544" s="2">
        <f t="shared" si="160"/>
        <v>28.5</v>
      </c>
      <c r="AG544" t="str">
        <f t="shared" si="150"/>
        <v>124小时</v>
      </c>
      <c r="AH544">
        <f t="shared" si="151"/>
        <v>86</v>
      </c>
      <c r="AI544">
        <f t="shared" si="152"/>
        <v>15</v>
      </c>
      <c r="AJ544">
        <f t="shared" si="157"/>
        <v>51.300000000000004</v>
      </c>
      <c r="AK544">
        <f t="shared" si="153"/>
        <v>26</v>
      </c>
      <c r="AL544">
        <f t="shared" si="158"/>
        <v>28.5</v>
      </c>
      <c r="AM544" s="2">
        <f t="shared" si="154"/>
        <v>15</v>
      </c>
      <c r="AX544">
        <v>541</v>
      </c>
      <c r="AZ544" s="3"/>
      <c r="BB544" s="2">
        <f t="shared" si="155"/>
        <v>155</v>
      </c>
      <c r="BC544">
        <f t="shared" si="159"/>
        <v>9.8194444444444446</v>
      </c>
      <c r="BD544" s="2">
        <f t="shared" si="161"/>
        <v>51.300000000000004</v>
      </c>
      <c r="BE544">
        <f t="shared" si="162"/>
        <v>28.5</v>
      </c>
      <c r="BF544">
        <f t="shared" si="163"/>
        <v>164160</v>
      </c>
    </row>
    <row r="545" spans="1:58" ht="14.25" x14ac:dyDescent="0.2">
      <c r="A545" s="11">
        <v>10612</v>
      </c>
      <c r="B545" s="13">
        <f t="shared" si="164"/>
        <v>10</v>
      </c>
      <c r="C545" s="15">
        <f t="shared" si="165"/>
        <v>8</v>
      </c>
      <c r="D545" s="14">
        <f t="shared" si="166"/>
        <v>8</v>
      </c>
      <c r="E545" t="s">
        <v>2777</v>
      </c>
      <c r="F545" t="s">
        <v>2835</v>
      </c>
      <c r="G545" t="s">
        <v>2779</v>
      </c>
      <c r="H545" t="s">
        <v>2779</v>
      </c>
      <c r="I545" t="s">
        <v>2780</v>
      </c>
      <c r="J545" s="4" t="s">
        <v>2838</v>
      </c>
      <c r="K545" t="s">
        <v>175</v>
      </c>
      <c r="L545" t="s">
        <v>164</v>
      </c>
      <c r="M545" t="s">
        <v>163</v>
      </c>
      <c r="N545" t="s">
        <v>167</v>
      </c>
      <c r="O545" s="6" t="s">
        <v>961</v>
      </c>
      <c r="P545">
        <v>0</v>
      </c>
      <c r="Q545" s="24">
        <v>42.2</v>
      </c>
      <c r="R545" s="25">
        <v>55</v>
      </c>
      <c r="S545" s="26">
        <v>42.3</v>
      </c>
      <c r="Y545">
        <v>10</v>
      </c>
      <c r="Z545">
        <v>30</v>
      </c>
      <c r="AA545" s="3">
        <v>25</v>
      </c>
      <c r="AB545" s="3">
        <v>6</v>
      </c>
      <c r="AC545">
        <v>155</v>
      </c>
      <c r="AD545" s="9">
        <f t="shared" si="149"/>
        <v>7472.833333333333</v>
      </c>
      <c r="AE545">
        <f t="shared" si="156"/>
        <v>2555730</v>
      </c>
      <c r="AF545" s="2">
        <f t="shared" si="160"/>
        <v>28.5</v>
      </c>
      <c r="AG545" t="str">
        <f t="shared" si="150"/>
        <v>124小时</v>
      </c>
      <c r="AH545">
        <f t="shared" si="151"/>
        <v>86</v>
      </c>
      <c r="AI545">
        <f t="shared" si="152"/>
        <v>15</v>
      </c>
      <c r="AJ545">
        <f t="shared" si="157"/>
        <v>51.300000000000004</v>
      </c>
      <c r="AK545">
        <f t="shared" si="153"/>
        <v>26</v>
      </c>
      <c r="AL545">
        <f t="shared" si="158"/>
        <v>28.5</v>
      </c>
      <c r="AM545" s="2">
        <f t="shared" si="154"/>
        <v>15</v>
      </c>
      <c r="AX545">
        <v>542</v>
      </c>
      <c r="AZ545" s="3"/>
      <c r="BB545" s="2">
        <f t="shared" si="155"/>
        <v>155</v>
      </c>
      <c r="BC545">
        <f t="shared" si="159"/>
        <v>9.8194444444444446</v>
      </c>
      <c r="BD545" s="2">
        <f t="shared" si="161"/>
        <v>51.300000000000004</v>
      </c>
      <c r="BE545">
        <f t="shared" si="162"/>
        <v>28.5</v>
      </c>
      <c r="BF545">
        <f t="shared" si="163"/>
        <v>164160</v>
      </c>
    </row>
    <row r="546" spans="1:58" ht="14.25" x14ac:dyDescent="0.2">
      <c r="A546" s="11">
        <v>10613</v>
      </c>
      <c r="B546" s="13">
        <f t="shared" si="164"/>
        <v>11</v>
      </c>
      <c r="C546" s="15">
        <f t="shared" si="165"/>
        <v>8</v>
      </c>
      <c r="D546" s="14">
        <f t="shared" si="166"/>
        <v>8</v>
      </c>
      <c r="E546" t="s">
        <v>2777</v>
      </c>
      <c r="F546" t="s">
        <v>2836</v>
      </c>
      <c r="G546" t="s">
        <v>2779</v>
      </c>
      <c r="H546" t="s">
        <v>2779</v>
      </c>
      <c r="I546" t="s">
        <v>2780</v>
      </c>
      <c r="J546" s="4" t="s">
        <v>2838</v>
      </c>
      <c r="K546" t="s">
        <v>179</v>
      </c>
      <c r="L546" t="s">
        <v>163</v>
      </c>
      <c r="M546" t="s">
        <v>163</v>
      </c>
      <c r="N546" t="s">
        <v>163</v>
      </c>
      <c r="O546" s="6" t="s">
        <v>963</v>
      </c>
      <c r="P546">
        <v>0</v>
      </c>
      <c r="Q546" s="24">
        <v>42.2</v>
      </c>
      <c r="R546" s="25">
        <v>55</v>
      </c>
      <c r="S546" s="26">
        <v>42.3</v>
      </c>
      <c r="Y546">
        <v>10</v>
      </c>
      <c r="Z546">
        <v>30</v>
      </c>
      <c r="AA546" s="3">
        <v>25</v>
      </c>
      <c r="AB546" s="3">
        <v>6</v>
      </c>
      <c r="AC546">
        <v>155</v>
      </c>
      <c r="AD546" s="9">
        <f t="shared" si="149"/>
        <v>7472.833333333333</v>
      </c>
      <c r="AE546">
        <f t="shared" si="156"/>
        <v>2555730</v>
      </c>
      <c r="AF546" s="2">
        <f t="shared" si="160"/>
        <v>28.5</v>
      </c>
      <c r="AG546" t="str">
        <f t="shared" si="150"/>
        <v>124小时</v>
      </c>
      <c r="AH546">
        <f t="shared" si="151"/>
        <v>86</v>
      </c>
      <c r="AI546">
        <f t="shared" si="152"/>
        <v>15</v>
      </c>
      <c r="AJ546">
        <f t="shared" si="157"/>
        <v>51.300000000000004</v>
      </c>
      <c r="AK546">
        <f t="shared" si="153"/>
        <v>26</v>
      </c>
      <c r="AL546">
        <f t="shared" si="158"/>
        <v>28.5</v>
      </c>
      <c r="AM546" s="2">
        <f t="shared" si="154"/>
        <v>15</v>
      </c>
      <c r="AX546">
        <v>543</v>
      </c>
      <c r="AZ546" s="3"/>
      <c r="BB546" s="2">
        <f t="shared" si="155"/>
        <v>155</v>
      </c>
      <c r="BC546">
        <f t="shared" si="159"/>
        <v>9.8194444444444446</v>
      </c>
      <c r="BD546" s="2">
        <f t="shared" si="161"/>
        <v>51.300000000000004</v>
      </c>
      <c r="BE546">
        <f t="shared" si="162"/>
        <v>28.5</v>
      </c>
      <c r="BF546">
        <f t="shared" si="163"/>
        <v>164160</v>
      </c>
    </row>
    <row r="547" spans="1:58" ht="14.25" x14ac:dyDescent="0.2">
      <c r="A547" s="11">
        <v>10614</v>
      </c>
      <c r="B547" s="13">
        <f t="shared" si="164"/>
        <v>11</v>
      </c>
      <c r="C547" s="15">
        <f t="shared" si="165"/>
        <v>8</v>
      </c>
      <c r="D547" s="14">
        <f t="shared" si="166"/>
        <v>8</v>
      </c>
      <c r="E547" t="s">
        <v>2777</v>
      </c>
      <c r="F547" t="s">
        <v>2837</v>
      </c>
      <c r="G547" t="s">
        <v>2779</v>
      </c>
      <c r="H547" t="s">
        <v>2779</v>
      </c>
      <c r="I547" t="s">
        <v>2780</v>
      </c>
      <c r="J547" s="4" t="s">
        <v>2838</v>
      </c>
      <c r="K547" t="s">
        <v>177</v>
      </c>
      <c r="L547" t="s">
        <v>163</v>
      </c>
      <c r="M547" t="s">
        <v>163</v>
      </c>
      <c r="N547" t="s">
        <v>163</v>
      </c>
      <c r="O547" s="6" t="s">
        <v>963</v>
      </c>
      <c r="P547">
        <v>0</v>
      </c>
      <c r="Q547" s="24">
        <v>42.2</v>
      </c>
      <c r="R547" s="25">
        <v>55</v>
      </c>
      <c r="S547" s="26">
        <v>42.3</v>
      </c>
      <c r="Y547">
        <v>10</v>
      </c>
      <c r="Z547">
        <v>30</v>
      </c>
      <c r="AA547" s="3">
        <v>25</v>
      </c>
      <c r="AB547" s="3">
        <v>6</v>
      </c>
      <c r="AC547">
        <v>155</v>
      </c>
      <c r="AD547" s="9">
        <f t="shared" si="149"/>
        <v>7472.833333333333</v>
      </c>
      <c r="AE547">
        <f t="shared" si="156"/>
        <v>2555730</v>
      </c>
      <c r="AF547" s="2">
        <f t="shared" si="160"/>
        <v>28.5</v>
      </c>
      <c r="AG547" t="str">
        <f t="shared" si="150"/>
        <v>124小时</v>
      </c>
      <c r="AH547">
        <f t="shared" si="151"/>
        <v>86</v>
      </c>
      <c r="AI547">
        <f t="shared" si="152"/>
        <v>15</v>
      </c>
      <c r="AJ547">
        <f t="shared" si="157"/>
        <v>51.300000000000004</v>
      </c>
      <c r="AK547">
        <f t="shared" si="153"/>
        <v>26</v>
      </c>
      <c r="AL547">
        <f t="shared" si="158"/>
        <v>28.5</v>
      </c>
      <c r="AM547" s="2">
        <f t="shared" si="154"/>
        <v>15</v>
      </c>
      <c r="AX547">
        <v>544</v>
      </c>
      <c r="AZ547" s="3"/>
      <c r="BB547" s="2">
        <f t="shared" si="155"/>
        <v>155</v>
      </c>
      <c r="BC547">
        <f t="shared" si="159"/>
        <v>9.8194444444444446</v>
      </c>
      <c r="BD547" s="2">
        <f t="shared" si="161"/>
        <v>51.300000000000004</v>
      </c>
      <c r="BE547">
        <f t="shared" si="162"/>
        <v>28.5</v>
      </c>
      <c r="BF547">
        <f t="shared" si="163"/>
        <v>164160</v>
      </c>
    </row>
    <row r="548" spans="1:58" ht="14.25" x14ac:dyDescent="0.2">
      <c r="A548" s="11">
        <v>10615</v>
      </c>
      <c r="B548" s="13">
        <f t="shared" si="164"/>
        <v>11</v>
      </c>
      <c r="C548" s="15">
        <f t="shared" si="165"/>
        <v>8</v>
      </c>
      <c r="D548" s="14">
        <f t="shared" si="166"/>
        <v>8</v>
      </c>
      <c r="E548" t="s">
        <v>2785</v>
      </c>
      <c r="F548" t="s">
        <v>2786</v>
      </c>
      <c r="G548" t="s">
        <v>2832</v>
      </c>
      <c r="H548" t="s">
        <v>2829</v>
      </c>
      <c r="I548" t="s">
        <v>2697</v>
      </c>
      <c r="J548" s="4" t="s">
        <v>2858</v>
      </c>
      <c r="K548" t="s">
        <v>174</v>
      </c>
      <c r="L548" t="s">
        <v>163</v>
      </c>
      <c r="M548" t="s">
        <v>163</v>
      </c>
      <c r="N548" t="s">
        <v>163</v>
      </c>
      <c r="O548" s="6" t="s">
        <v>965</v>
      </c>
      <c r="P548">
        <v>0</v>
      </c>
      <c r="Q548" s="24">
        <v>42.2</v>
      </c>
      <c r="R548" s="25">
        <v>55</v>
      </c>
      <c r="S548" s="26">
        <v>42.3</v>
      </c>
      <c r="Y548">
        <v>10</v>
      </c>
      <c r="Z548">
        <v>30</v>
      </c>
      <c r="AA548" s="3">
        <v>25</v>
      </c>
      <c r="AB548" s="3">
        <v>6</v>
      </c>
      <c r="AC548">
        <v>155</v>
      </c>
      <c r="AD548" s="9">
        <f t="shared" si="149"/>
        <v>7472.833333333333</v>
      </c>
      <c r="AE548">
        <f t="shared" si="156"/>
        <v>2555730</v>
      </c>
      <c r="AF548" s="2">
        <f t="shared" si="160"/>
        <v>28.5</v>
      </c>
      <c r="AG548" t="str">
        <f t="shared" si="150"/>
        <v>124小时</v>
      </c>
      <c r="AH548">
        <f t="shared" si="151"/>
        <v>86</v>
      </c>
      <c r="AI548">
        <f t="shared" si="152"/>
        <v>15</v>
      </c>
      <c r="AJ548">
        <f t="shared" si="157"/>
        <v>51.300000000000004</v>
      </c>
      <c r="AK548">
        <f t="shared" si="153"/>
        <v>26</v>
      </c>
      <c r="AL548">
        <f t="shared" si="158"/>
        <v>28.5</v>
      </c>
      <c r="AM548" s="2">
        <f t="shared" si="154"/>
        <v>15</v>
      </c>
      <c r="AX548">
        <v>545</v>
      </c>
      <c r="AZ548" s="3"/>
      <c r="BB548" s="2">
        <f t="shared" si="155"/>
        <v>155</v>
      </c>
      <c r="BC548">
        <f t="shared" si="159"/>
        <v>9.8194444444444446</v>
      </c>
      <c r="BD548" s="2">
        <f t="shared" si="161"/>
        <v>51.300000000000004</v>
      </c>
      <c r="BE548">
        <f t="shared" si="162"/>
        <v>28.5</v>
      </c>
      <c r="BF548">
        <f t="shared" si="163"/>
        <v>164160</v>
      </c>
    </row>
    <row r="549" spans="1:58" ht="14.25" x14ac:dyDescent="0.2">
      <c r="A549" s="11">
        <v>10616</v>
      </c>
      <c r="B549" s="13">
        <f t="shared" si="164"/>
        <v>11</v>
      </c>
      <c r="C549" s="15">
        <f t="shared" si="165"/>
        <v>8</v>
      </c>
      <c r="D549" s="14">
        <f t="shared" si="166"/>
        <v>8</v>
      </c>
      <c r="E549" t="s">
        <v>2777</v>
      </c>
      <c r="F549" t="s">
        <v>2834</v>
      </c>
      <c r="G549" t="s">
        <v>2779</v>
      </c>
      <c r="H549" t="s">
        <v>2779</v>
      </c>
      <c r="I549" t="s">
        <v>2780</v>
      </c>
      <c r="J549" s="4" t="s">
        <v>2838</v>
      </c>
      <c r="K549" t="s">
        <v>182</v>
      </c>
      <c r="L549" t="s">
        <v>163</v>
      </c>
      <c r="M549" t="s">
        <v>163</v>
      </c>
      <c r="N549" t="s">
        <v>163</v>
      </c>
      <c r="O549" s="6" t="s">
        <v>967</v>
      </c>
      <c r="P549">
        <v>0</v>
      </c>
      <c r="Q549" s="24">
        <v>42.5</v>
      </c>
      <c r="R549" s="25">
        <v>55.5</v>
      </c>
      <c r="S549" s="26">
        <v>42.5</v>
      </c>
      <c r="Y549">
        <v>10</v>
      </c>
      <c r="Z549">
        <v>30</v>
      </c>
      <c r="AA549" s="3">
        <v>25</v>
      </c>
      <c r="AB549" s="3">
        <v>6</v>
      </c>
      <c r="AC549">
        <v>155</v>
      </c>
      <c r="AD549" s="9">
        <f t="shared" si="149"/>
        <v>7420.75</v>
      </c>
      <c r="AE549">
        <f t="shared" si="156"/>
        <v>2555730</v>
      </c>
      <c r="AF549" s="2">
        <f t="shared" si="160"/>
        <v>28.700000000000003</v>
      </c>
      <c r="AG549" t="str">
        <f t="shared" si="150"/>
        <v>123小时</v>
      </c>
      <c r="AH549">
        <f t="shared" si="151"/>
        <v>87</v>
      </c>
      <c r="AI549">
        <f t="shared" si="152"/>
        <v>15</v>
      </c>
      <c r="AJ549">
        <f t="shared" si="157"/>
        <v>51.6</v>
      </c>
      <c r="AK549">
        <f t="shared" si="153"/>
        <v>26</v>
      </c>
      <c r="AL549">
        <f t="shared" si="158"/>
        <v>28.700000000000003</v>
      </c>
      <c r="AM549" s="2">
        <f t="shared" si="154"/>
        <v>15</v>
      </c>
      <c r="AX549">
        <v>546</v>
      </c>
      <c r="AZ549" s="3"/>
      <c r="BB549" s="2">
        <f t="shared" si="155"/>
        <v>155</v>
      </c>
      <c r="BC549">
        <f t="shared" si="159"/>
        <v>9.7510162601626007</v>
      </c>
      <c r="BD549" s="2">
        <f t="shared" si="161"/>
        <v>51.6</v>
      </c>
      <c r="BE549">
        <f t="shared" si="162"/>
        <v>28.700000000000003</v>
      </c>
      <c r="BF549">
        <f t="shared" si="163"/>
        <v>165312.00000000003</v>
      </c>
    </row>
    <row r="550" spans="1:58" ht="14.25" x14ac:dyDescent="0.2">
      <c r="A550" s="11">
        <v>10617</v>
      </c>
      <c r="B550" s="13">
        <f t="shared" si="164"/>
        <v>11</v>
      </c>
      <c r="C550" s="15">
        <f t="shared" si="165"/>
        <v>8</v>
      </c>
      <c r="D550" s="14">
        <f t="shared" si="166"/>
        <v>8</v>
      </c>
      <c r="E550" t="s">
        <v>2777</v>
      </c>
      <c r="F550" t="s">
        <v>2835</v>
      </c>
      <c r="G550" t="s">
        <v>2779</v>
      </c>
      <c r="H550" t="s">
        <v>2779</v>
      </c>
      <c r="I550" t="s">
        <v>2780</v>
      </c>
      <c r="J550" s="4" t="s">
        <v>2838</v>
      </c>
      <c r="K550" t="s">
        <v>162</v>
      </c>
      <c r="L550" t="s">
        <v>163</v>
      </c>
      <c r="M550" t="s">
        <v>163</v>
      </c>
      <c r="N550" t="s">
        <v>163</v>
      </c>
      <c r="O550" s="6" t="s">
        <v>967</v>
      </c>
      <c r="P550">
        <v>0</v>
      </c>
      <c r="Q550" s="24">
        <v>42.5</v>
      </c>
      <c r="R550" s="25">
        <v>55.5</v>
      </c>
      <c r="S550" s="26">
        <v>42.5</v>
      </c>
      <c r="Y550">
        <v>10</v>
      </c>
      <c r="Z550">
        <v>30</v>
      </c>
      <c r="AA550" s="3">
        <v>25</v>
      </c>
      <c r="AB550" s="3">
        <v>6</v>
      </c>
      <c r="AC550">
        <v>155</v>
      </c>
      <c r="AD550" s="9">
        <f t="shared" si="149"/>
        <v>7420.75</v>
      </c>
      <c r="AE550">
        <f t="shared" si="156"/>
        <v>2555730</v>
      </c>
      <c r="AF550" s="2">
        <f t="shared" si="160"/>
        <v>28.700000000000003</v>
      </c>
      <c r="AG550" t="str">
        <f t="shared" si="150"/>
        <v>123小时</v>
      </c>
      <c r="AH550">
        <f t="shared" si="151"/>
        <v>87</v>
      </c>
      <c r="AI550">
        <f t="shared" si="152"/>
        <v>15</v>
      </c>
      <c r="AJ550">
        <f t="shared" si="157"/>
        <v>51.6</v>
      </c>
      <c r="AK550">
        <f t="shared" si="153"/>
        <v>26</v>
      </c>
      <c r="AL550">
        <f t="shared" si="158"/>
        <v>28.700000000000003</v>
      </c>
      <c r="AM550" s="2">
        <f t="shared" si="154"/>
        <v>15</v>
      </c>
      <c r="AX550">
        <v>547</v>
      </c>
      <c r="AZ550" s="3"/>
      <c r="BB550" s="2">
        <f t="shared" si="155"/>
        <v>155</v>
      </c>
      <c r="BC550">
        <f t="shared" si="159"/>
        <v>9.7510162601626007</v>
      </c>
      <c r="BD550" s="2">
        <f t="shared" si="161"/>
        <v>51.6</v>
      </c>
      <c r="BE550">
        <f t="shared" si="162"/>
        <v>28.700000000000003</v>
      </c>
      <c r="BF550">
        <f t="shared" si="163"/>
        <v>165312.00000000003</v>
      </c>
    </row>
    <row r="551" spans="1:58" ht="14.25" x14ac:dyDescent="0.2">
      <c r="A551" s="11">
        <v>10618</v>
      </c>
      <c r="B551" s="13">
        <f t="shared" si="164"/>
        <v>11</v>
      </c>
      <c r="C551" s="15">
        <f t="shared" si="165"/>
        <v>8</v>
      </c>
      <c r="D551" s="14">
        <f t="shared" si="166"/>
        <v>8</v>
      </c>
      <c r="E551" t="s">
        <v>2777</v>
      </c>
      <c r="F551" t="s">
        <v>2836</v>
      </c>
      <c r="G551" t="s">
        <v>2779</v>
      </c>
      <c r="H551" t="s">
        <v>2779</v>
      </c>
      <c r="I551" t="s">
        <v>2780</v>
      </c>
      <c r="J551" s="4" t="s">
        <v>2838</v>
      </c>
      <c r="K551" t="s">
        <v>177</v>
      </c>
      <c r="L551" t="s">
        <v>163</v>
      </c>
      <c r="M551" t="s">
        <v>163</v>
      </c>
      <c r="N551" t="s">
        <v>163</v>
      </c>
      <c r="O551" s="6" t="s">
        <v>969</v>
      </c>
      <c r="P551">
        <v>0</v>
      </c>
      <c r="Q551" s="24">
        <v>42.5</v>
      </c>
      <c r="R551" s="25">
        <v>55.5</v>
      </c>
      <c r="S551" s="26">
        <v>42.5</v>
      </c>
      <c r="Y551">
        <v>10</v>
      </c>
      <c r="Z551">
        <v>30</v>
      </c>
      <c r="AA551" s="3">
        <v>25</v>
      </c>
      <c r="AB551" s="3">
        <v>6</v>
      </c>
      <c r="AC551">
        <v>155</v>
      </c>
      <c r="AD551" s="9">
        <f t="shared" si="149"/>
        <v>7420.75</v>
      </c>
      <c r="AE551">
        <f t="shared" si="156"/>
        <v>2555730</v>
      </c>
      <c r="AF551" s="2">
        <f t="shared" si="160"/>
        <v>28.700000000000003</v>
      </c>
      <c r="AG551" t="str">
        <f t="shared" si="150"/>
        <v>123小时</v>
      </c>
      <c r="AH551">
        <f t="shared" si="151"/>
        <v>87</v>
      </c>
      <c r="AI551">
        <f t="shared" si="152"/>
        <v>15</v>
      </c>
      <c r="AJ551">
        <f t="shared" si="157"/>
        <v>51.6</v>
      </c>
      <c r="AK551">
        <f t="shared" si="153"/>
        <v>26</v>
      </c>
      <c r="AL551">
        <f t="shared" si="158"/>
        <v>28.700000000000003</v>
      </c>
      <c r="AM551" s="2">
        <f t="shared" si="154"/>
        <v>15</v>
      </c>
      <c r="AX551">
        <v>548</v>
      </c>
      <c r="AZ551" s="3"/>
      <c r="BB551" s="2">
        <f t="shared" si="155"/>
        <v>155</v>
      </c>
      <c r="BC551">
        <f t="shared" si="159"/>
        <v>9.7510162601626007</v>
      </c>
      <c r="BD551" s="2">
        <f t="shared" si="161"/>
        <v>51.6</v>
      </c>
      <c r="BE551">
        <f t="shared" si="162"/>
        <v>28.700000000000003</v>
      </c>
      <c r="BF551">
        <f t="shared" si="163"/>
        <v>165312.00000000003</v>
      </c>
    </row>
    <row r="552" spans="1:58" ht="14.25" x14ac:dyDescent="0.2">
      <c r="A552" s="11">
        <v>10619</v>
      </c>
      <c r="B552" s="13">
        <f t="shared" si="164"/>
        <v>11</v>
      </c>
      <c r="C552" s="15">
        <f t="shared" si="165"/>
        <v>8</v>
      </c>
      <c r="D552" s="14">
        <f t="shared" si="166"/>
        <v>8</v>
      </c>
      <c r="E552" t="s">
        <v>2777</v>
      </c>
      <c r="F552" t="s">
        <v>2837</v>
      </c>
      <c r="G552" t="s">
        <v>2779</v>
      </c>
      <c r="H552" t="s">
        <v>2779</v>
      </c>
      <c r="I552" t="s">
        <v>2780</v>
      </c>
      <c r="J552" s="4" t="s">
        <v>2838</v>
      </c>
      <c r="K552" t="s">
        <v>174</v>
      </c>
      <c r="L552" t="s">
        <v>163</v>
      </c>
      <c r="M552" t="s">
        <v>163</v>
      </c>
      <c r="N552" t="s">
        <v>163</v>
      </c>
      <c r="O552" s="6" t="s">
        <v>971</v>
      </c>
      <c r="P552">
        <v>0</v>
      </c>
      <c r="Q552" s="24">
        <v>42.5</v>
      </c>
      <c r="R552" s="25">
        <v>55.5</v>
      </c>
      <c r="S552" s="26">
        <v>42.5</v>
      </c>
      <c r="Y552">
        <v>10</v>
      </c>
      <c r="Z552">
        <v>30</v>
      </c>
      <c r="AA552" s="3">
        <v>25</v>
      </c>
      <c r="AB552" s="3">
        <v>6</v>
      </c>
      <c r="AC552">
        <v>155</v>
      </c>
      <c r="AD552" s="9">
        <f t="shared" si="149"/>
        <v>7420.75</v>
      </c>
      <c r="AE552">
        <f t="shared" si="156"/>
        <v>2555730</v>
      </c>
      <c r="AF552" s="2">
        <f t="shared" si="160"/>
        <v>28.700000000000003</v>
      </c>
      <c r="AG552" t="str">
        <f t="shared" si="150"/>
        <v>123小时</v>
      </c>
      <c r="AH552">
        <f t="shared" si="151"/>
        <v>87</v>
      </c>
      <c r="AI552">
        <f t="shared" si="152"/>
        <v>15</v>
      </c>
      <c r="AJ552">
        <f t="shared" si="157"/>
        <v>51.6</v>
      </c>
      <c r="AK552">
        <f t="shared" si="153"/>
        <v>26</v>
      </c>
      <c r="AL552">
        <f t="shared" si="158"/>
        <v>28.700000000000003</v>
      </c>
      <c r="AM552" s="2">
        <f t="shared" si="154"/>
        <v>15</v>
      </c>
      <c r="AX552">
        <v>549</v>
      </c>
      <c r="AZ552" s="3"/>
      <c r="BB552" s="2">
        <f t="shared" si="155"/>
        <v>155</v>
      </c>
      <c r="BC552">
        <f t="shared" si="159"/>
        <v>9.7510162601626007</v>
      </c>
      <c r="BD552" s="2">
        <f t="shared" si="161"/>
        <v>51.6</v>
      </c>
      <c r="BE552">
        <f t="shared" si="162"/>
        <v>28.700000000000003</v>
      </c>
      <c r="BF552">
        <f t="shared" si="163"/>
        <v>165312.00000000003</v>
      </c>
    </row>
    <row r="553" spans="1:58" ht="14.25" x14ac:dyDescent="0.2">
      <c r="A553" s="11">
        <v>10620</v>
      </c>
      <c r="B553" s="13">
        <f t="shared" si="164"/>
        <v>11</v>
      </c>
      <c r="C553" s="15">
        <f t="shared" si="165"/>
        <v>8</v>
      </c>
      <c r="D553" s="14">
        <f t="shared" si="166"/>
        <v>8</v>
      </c>
      <c r="E553" t="s">
        <v>2785</v>
      </c>
      <c r="F553" t="s">
        <v>2786</v>
      </c>
      <c r="G553" t="s">
        <v>2833</v>
      </c>
      <c r="H553" t="s">
        <v>2829</v>
      </c>
      <c r="I553" t="s">
        <v>2697</v>
      </c>
      <c r="J553" s="4" t="s">
        <v>2876</v>
      </c>
      <c r="K553" t="s">
        <v>166</v>
      </c>
      <c r="L553" t="s">
        <v>163</v>
      </c>
      <c r="M553" t="s">
        <v>163</v>
      </c>
      <c r="N553" t="s">
        <v>163</v>
      </c>
      <c r="O553" s="6" t="s">
        <v>971</v>
      </c>
      <c r="P553">
        <v>0</v>
      </c>
      <c r="Q553" s="24">
        <v>42.5</v>
      </c>
      <c r="R553" s="25">
        <v>55.5</v>
      </c>
      <c r="S553" s="26">
        <v>42.5</v>
      </c>
      <c r="Y553">
        <v>10</v>
      </c>
      <c r="Z553">
        <v>30</v>
      </c>
      <c r="AA553" s="3">
        <v>25</v>
      </c>
      <c r="AB553" s="3">
        <v>6</v>
      </c>
      <c r="AC553">
        <v>155</v>
      </c>
      <c r="AD553" s="9">
        <f t="shared" si="149"/>
        <v>7420.75</v>
      </c>
      <c r="AE553">
        <f t="shared" si="156"/>
        <v>2555730</v>
      </c>
      <c r="AF553" s="2">
        <f t="shared" si="160"/>
        <v>28.700000000000003</v>
      </c>
      <c r="AG553" t="str">
        <f t="shared" si="150"/>
        <v>123小时</v>
      </c>
      <c r="AH553">
        <f t="shared" si="151"/>
        <v>87</v>
      </c>
      <c r="AI553">
        <f t="shared" si="152"/>
        <v>15</v>
      </c>
      <c r="AJ553">
        <f t="shared" si="157"/>
        <v>51.6</v>
      </c>
      <c r="AK553">
        <f t="shared" si="153"/>
        <v>26</v>
      </c>
      <c r="AL553">
        <f t="shared" si="158"/>
        <v>28.700000000000003</v>
      </c>
      <c r="AM553" s="2">
        <f t="shared" si="154"/>
        <v>15</v>
      </c>
      <c r="AX553">
        <v>550</v>
      </c>
      <c r="AZ553" s="3"/>
      <c r="BB553" s="2">
        <f t="shared" si="155"/>
        <v>160</v>
      </c>
      <c r="BC553">
        <f t="shared" si="159"/>
        <v>12.539682539682538</v>
      </c>
      <c r="BD553" s="2">
        <f t="shared" si="161"/>
        <v>51.6</v>
      </c>
      <c r="BE553">
        <f t="shared" si="162"/>
        <v>28.700000000000003</v>
      </c>
      <c r="BF553">
        <f t="shared" si="163"/>
        <v>165312.00000000003</v>
      </c>
    </row>
    <row r="554" spans="1:58" ht="14.25" x14ac:dyDescent="0.2">
      <c r="A554" s="11">
        <v>10621</v>
      </c>
      <c r="B554" s="13">
        <f t="shared" si="164"/>
        <v>11</v>
      </c>
      <c r="C554" s="15">
        <f t="shared" si="165"/>
        <v>8</v>
      </c>
      <c r="D554" s="14">
        <f t="shared" si="166"/>
        <v>8</v>
      </c>
      <c r="E554" t="s">
        <v>2777</v>
      </c>
      <c r="F554" t="s">
        <v>2834</v>
      </c>
      <c r="G554" t="s">
        <v>2779</v>
      </c>
      <c r="H554" t="s">
        <v>2779</v>
      </c>
      <c r="I554" t="s">
        <v>2780</v>
      </c>
      <c r="J554" s="4" t="s">
        <v>2838</v>
      </c>
      <c r="K554" t="s">
        <v>168</v>
      </c>
      <c r="L554" t="s">
        <v>163</v>
      </c>
      <c r="M554" t="s">
        <v>163</v>
      </c>
      <c r="N554" t="s">
        <v>163</v>
      </c>
      <c r="O554" s="6" t="s">
        <v>973</v>
      </c>
      <c r="P554">
        <v>0</v>
      </c>
      <c r="Q554" s="24">
        <v>42.8</v>
      </c>
      <c r="R554" s="25">
        <v>56</v>
      </c>
      <c r="S554" s="26">
        <v>42.8</v>
      </c>
      <c r="Y554">
        <v>10</v>
      </c>
      <c r="Z554">
        <v>30</v>
      </c>
      <c r="AA554" s="3">
        <v>25</v>
      </c>
      <c r="AB554" s="3">
        <v>6</v>
      </c>
      <c r="AC554">
        <v>155</v>
      </c>
      <c r="AD554" s="9">
        <f t="shared" si="149"/>
        <v>7344</v>
      </c>
      <c r="AE554">
        <f t="shared" si="156"/>
        <v>2555730</v>
      </c>
      <c r="AF554" s="2">
        <f t="shared" si="160"/>
        <v>29</v>
      </c>
      <c r="AG554" t="str">
        <f t="shared" si="150"/>
        <v>122小时</v>
      </c>
      <c r="AH554">
        <f t="shared" si="151"/>
        <v>87</v>
      </c>
      <c r="AI554">
        <f t="shared" si="152"/>
        <v>15</v>
      </c>
      <c r="AJ554">
        <f t="shared" si="157"/>
        <v>52</v>
      </c>
      <c r="AK554">
        <f t="shared" si="153"/>
        <v>26</v>
      </c>
      <c r="AL554">
        <f t="shared" si="158"/>
        <v>29</v>
      </c>
      <c r="AM554" s="2">
        <f t="shared" si="154"/>
        <v>15</v>
      </c>
      <c r="AX554">
        <v>551</v>
      </c>
      <c r="AZ554" s="3"/>
      <c r="BB554" s="2">
        <f t="shared" si="155"/>
        <v>160</v>
      </c>
      <c r="BC554">
        <f t="shared" si="159"/>
        <v>12.409961685823754</v>
      </c>
      <c r="BD554" s="2">
        <f t="shared" si="161"/>
        <v>52</v>
      </c>
      <c r="BE554">
        <f t="shared" si="162"/>
        <v>29</v>
      </c>
      <c r="BF554">
        <f t="shared" si="163"/>
        <v>167040</v>
      </c>
    </row>
    <row r="555" spans="1:58" ht="14.25" x14ac:dyDescent="0.2">
      <c r="A555" s="11">
        <v>10622</v>
      </c>
      <c r="B555" s="13">
        <f t="shared" si="164"/>
        <v>11</v>
      </c>
      <c r="C555" s="15">
        <f t="shared" si="165"/>
        <v>8</v>
      </c>
      <c r="D555" s="14">
        <f t="shared" si="166"/>
        <v>8</v>
      </c>
      <c r="E555" t="s">
        <v>2777</v>
      </c>
      <c r="F555" t="s">
        <v>2835</v>
      </c>
      <c r="G555" t="s">
        <v>2779</v>
      </c>
      <c r="H555" t="s">
        <v>2779</v>
      </c>
      <c r="I555" t="s">
        <v>2780</v>
      </c>
      <c r="J555" s="4" t="s">
        <v>2838</v>
      </c>
      <c r="K555" t="s">
        <v>175</v>
      </c>
      <c r="L555" t="s">
        <v>164</v>
      </c>
      <c r="M555" t="s">
        <v>163</v>
      </c>
      <c r="N555" t="s">
        <v>167</v>
      </c>
      <c r="O555" s="6" t="s">
        <v>975</v>
      </c>
      <c r="P555">
        <v>0</v>
      </c>
      <c r="Q555" s="24">
        <v>42.8</v>
      </c>
      <c r="R555" s="25">
        <v>56</v>
      </c>
      <c r="S555" s="26">
        <v>42.8</v>
      </c>
      <c r="Y555">
        <v>10</v>
      </c>
      <c r="Z555">
        <v>30</v>
      </c>
      <c r="AA555" s="3">
        <v>25</v>
      </c>
      <c r="AB555" s="3">
        <v>6</v>
      </c>
      <c r="AC555">
        <v>155</v>
      </c>
      <c r="AD555" s="9">
        <f t="shared" si="149"/>
        <v>7344</v>
      </c>
      <c r="AE555">
        <f t="shared" si="156"/>
        <v>2555730</v>
      </c>
      <c r="AF555" s="2">
        <f t="shared" si="160"/>
        <v>29</v>
      </c>
      <c r="AG555" t="str">
        <f t="shared" si="150"/>
        <v>122小时</v>
      </c>
      <c r="AH555">
        <f t="shared" si="151"/>
        <v>87</v>
      </c>
      <c r="AI555">
        <f t="shared" si="152"/>
        <v>15</v>
      </c>
      <c r="AJ555">
        <f t="shared" si="157"/>
        <v>52</v>
      </c>
      <c r="AK555">
        <f t="shared" si="153"/>
        <v>26</v>
      </c>
      <c r="AL555">
        <f t="shared" si="158"/>
        <v>29</v>
      </c>
      <c r="AM555" s="2">
        <f t="shared" si="154"/>
        <v>15</v>
      </c>
      <c r="AX555">
        <v>552</v>
      </c>
      <c r="AZ555" s="3"/>
      <c r="BB555" s="2">
        <f t="shared" si="155"/>
        <v>160</v>
      </c>
      <c r="BC555">
        <f t="shared" si="159"/>
        <v>12.409961685823754</v>
      </c>
      <c r="BD555" s="2">
        <f t="shared" si="161"/>
        <v>52</v>
      </c>
      <c r="BE555">
        <f t="shared" si="162"/>
        <v>29</v>
      </c>
      <c r="BF555">
        <f t="shared" si="163"/>
        <v>167040</v>
      </c>
    </row>
    <row r="556" spans="1:58" ht="14.25" x14ac:dyDescent="0.2">
      <c r="A556" s="11">
        <v>10623</v>
      </c>
      <c r="B556" s="13">
        <f t="shared" si="164"/>
        <v>11</v>
      </c>
      <c r="C556" s="15">
        <f t="shared" si="165"/>
        <v>8</v>
      </c>
      <c r="D556" s="14">
        <f t="shared" si="166"/>
        <v>8</v>
      </c>
      <c r="E556" t="s">
        <v>2777</v>
      </c>
      <c r="F556" t="s">
        <v>2836</v>
      </c>
      <c r="G556" t="s">
        <v>2779</v>
      </c>
      <c r="H556" t="s">
        <v>2779</v>
      </c>
      <c r="I556" t="s">
        <v>2780</v>
      </c>
      <c r="J556" s="4" t="s">
        <v>2838</v>
      </c>
      <c r="K556" t="s">
        <v>179</v>
      </c>
      <c r="L556" t="s">
        <v>163</v>
      </c>
      <c r="M556" t="s">
        <v>163</v>
      </c>
      <c r="N556" t="s">
        <v>163</v>
      </c>
      <c r="O556" s="6" t="s">
        <v>977</v>
      </c>
      <c r="P556">
        <v>0</v>
      </c>
      <c r="Q556" s="24">
        <v>42.8</v>
      </c>
      <c r="R556" s="25">
        <v>56</v>
      </c>
      <c r="S556" s="26">
        <v>42.8</v>
      </c>
      <c r="Y556">
        <v>10</v>
      </c>
      <c r="Z556">
        <v>30</v>
      </c>
      <c r="AA556" s="3">
        <v>25</v>
      </c>
      <c r="AB556" s="3">
        <v>6</v>
      </c>
      <c r="AC556">
        <v>155</v>
      </c>
      <c r="AD556" s="9">
        <f t="shared" si="149"/>
        <v>7344</v>
      </c>
      <c r="AE556">
        <f t="shared" si="156"/>
        <v>2555730</v>
      </c>
      <c r="AF556" s="2">
        <f t="shared" si="160"/>
        <v>29</v>
      </c>
      <c r="AG556" t="str">
        <f t="shared" si="150"/>
        <v>122小时</v>
      </c>
      <c r="AH556">
        <f t="shared" si="151"/>
        <v>87</v>
      </c>
      <c r="AI556">
        <f t="shared" si="152"/>
        <v>15</v>
      </c>
      <c r="AJ556">
        <f t="shared" si="157"/>
        <v>52</v>
      </c>
      <c r="AK556">
        <f t="shared" si="153"/>
        <v>26</v>
      </c>
      <c r="AL556">
        <f t="shared" si="158"/>
        <v>29</v>
      </c>
      <c r="AM556" s="2">
        <f t="shared" si="154"/>
        <v>15</v>
      </c>
      <c r="AX556">
        <v>553</v>
      </c>
      <c r="AZ556" s="3"/>
      <c r="BB556" s="2">
        <f t="shared" si="155"/>
        <v>160</v>
      </c>
      <c r="BC556">
        <f t="shared" si="159"/>
        <v>12.409961685823754</v>
      </c>
      <c r="BD556" s="2">
        <f t="shared" si="161"/>
        <v>52</v>
      </c>
      <c r="BE556">
        <f t="shared" si="162"/>
        <v>29</v>
      </c>
      <c r="BF556">
        <f t="shared" si="163"/>
        <v>167040</v>
      </c>
    </row>
    <row r="557" spans="1:58" ht="14.25" x14ac:dyDescent="0.2">
      <c r="A557" s="11">
        <v>10624</v>
      </c>
      <c r="B557" s="13">
        <f t="shared" si="164"/>
        <v>11</v>
      </c>
      <c r="C557" s="15">
        <f t="shared" si="165"/>
        <v>8</v>
      </c>
      <c r="D557" s="14">
        <f t="shared" si="166"/>
        <v>8</v>
      </c>
      <c r="E557" t="s">
        <v>2777</v>
      </c>
      <c r="F557" t="s">
        <v>2837</v>
      </c>
      <c r="G557" t="s">
        <v>2779</v>
      </c>
      <c r="H557" t="s">
        <v>2779</v>
      </c>
      <c r="I557" t="s">
        <v>2780</v>
      </c>
      <c r="J557" s="4" t="s">
        <v>2838</v>
      </c>
      <c r="K557" t="s">
        <v>177</v>
      </c>
      <c r="L557" t="s">
        <v>163</v>
      </c>
      <c r="M557" t="s">
        <v>163</v>
      </c>
      <c r="N557" t="s">
        <v>163</v>
      </c>
      <c r="O557" s="6" t="s">
        <v>977</v>
      </c>
      <c r="P557">
        <v>0</v>
      </c>
      <c r="Q557" s="24">
        <v>42.8</v>
      </c>
      <c r="R557" s="25">
        <v>56</v>
      </c>
      <c r="S557" s="26">
        <v>42.8</v>
      </c>
      <c r="Y557">
        <v>10</v>
      </c>
      <c r="Z557">
        <v>30</v>
      </c>
      <c r="AA557" s="3">
        <v>25</v>
      </c>
      <c r="AB557" s="3">
        <v>6</v>
      </c>
      <c r="AC557">
        <v>155</v>
      </c>
      <c r="AD557" s="9">
        <f t="shared" si="149"/>
        <v>7344</v>
      </c>
      <c r="AE557">
        <f t="shared" si="156"/>
        <v>2555730</v>
      </c>
      <c r="AF557" s="2">
        <f t="shared" si="160"/>
        <v>29</v>
      </c>
      <c r="AG557" t="str">
        <f t="shared" si="150"/>
        <v>122小时</v>
      </c>
      <c r="AH557">
        <f t="shared" si="151"/>
        <v>87</v>
      </c>
      <c r="AI557">
        <f t="shared" si="152"/>
        <v>15</v>
      </c>
      <c r="AJ557">
        <f t="shared" si="157"/>
        <v>52</v>
      </c>
      <c r="AK557">
        <f t="shared" si="153"/>
        <v>26</v>
      </c>
      <c r="AL557">
        <f t="shared" si="158"/>
        <v>29</v>
      </c>
      <c r="AM557" s="2">
        <f t="shared" si="154"/>
        <v>15</v>
      </c>
      <c r="AX557">
        <v>554</v>
      </c>
      <c r="AZ557" s="3"/>
      <c r="BB557" s="2">
        <f t="shared" si="155"/>
        <v>160</v>
      </c>
      <c r="BC557">
        <f t="shared" si="159"/>
        <v>12.409961685823754</v>
      </c>
      <c r="BD557" s="2">
        <f t="shared" si="161"/>
        <v>52</v>
      </c>
      <c r="BE557">
        <f t="shared" si="162"/>
        <v>29</v>
      </c>
      <c r="BF557">
        <f t="shared" si="163"/>
        <v>167040</v>
      </c>
    </row>
    <row r="558" spans="1:58" ht="14.25" x14ac:dyDescent="0.2">
      <c r="A558" s="11">
        <v>10625</v>
      </c>
      <c r="B558" s="13">
        <f t="shared" si="164"/>
        <v>11</v>
      </c>
      <c r="C558" s="15">
        <f t="shared" si="165"/>
        <v>8</v>
      </c>
      <c r="D558" s="14">
        <f t="shared" si="166"/>
        <v>8</v>
      </c>
      <c r="E558" t="s">
        <v>2785</v>
      </c>
      <c r="F558" t="s">
        <v>2786</v>
      </c>
      <c r="G558" t="s">
        <v>2828</v>
      </c>
      <c r="H558" t="s">
        <v>2829</v>
      </c>
      <c r="I558" t="s">
        <v>2697</v>
      </c>
      <c r="J558" s="4" t="s">
        <v>2876</v>
      </c>
      <c r="K558" t="s">
        <v>174</v>
      </c>
      <c r="L558" t="s">
        <v>163</v>
      </c>
      <c r="M558" t="s">
        <v>163</v>
      </c>
      <c r="N558" t="s">
        <v>163</v>
      </c>
      <c r="O558" s="6" t="s">
        <v>979</v>
      </c>
      <c r="P558">
        <v>0</v>
      </c>
      <c r="Q558" s="24">
        <v>42.8</v>
      </c>
      <c r="R558" s="25">
        <v>56</v>
      </c>
      <c r="S558" s="26">
        <v>42.8</v>
      </c>
      <c r="Y558">
        <v>10</v>
      </c>
      <c r="Z558">
        <v>30</v>
      </c>
      <c r="AA558" s="3">
        <v>25</v>
      </c>
      <c r="AB558" s="3">
        <v>6</v>
      </c>
      <c r="AC558">
        <v>155</v>
      </c>
      <c r="AD558" s="9">
        <f t="shared" si="149"/>
        <v>7344</v>
      </c>
      <c r="AE558">
        <f t="shared" si="156"/>
        <v>2555730</v>
      </c>
      <c r="AF558" s="2">
        <f t="shared" si="160"/>
        <v>29</v>
      </c>
      <c r="AG558" t="str">
        <f t="shared" si="150"/>
        <v>122小时</v>
      </c>
      <c r="AH558">
        <f t="shared" si="151"/>
        <v>87</v>
      </c>
      <c r="AI558">
        <f t="shared" si="152"/>
        <v>15</v>
      </c>
      <c r="AJ558">
        <f t="shared" si="157"/>
        <v>52</v>
      </c>
      <c r="AK558">
        <f t="shared" si="153"/>
        <v>26</v>
      </c>
      <c r="AL558">
        <f t="shared" si="158"/>
        <v>29</v>
      </c>
      <c r="AM558" s="2">
        <f t="shared" si="154"/>
        <v>15</v>
      </c>
      <c r="AX558">
        <v>555</v>
      </c>
      <c r="AZ558" s="3"/>
      <c r="BB558" s="2">
        <f t="shared" si="155"/>
        <v>160</v>
      </c>
      <c r="BC558">
        <f t="shared" si="159"/>
        <v>12.409961685823754</v>
      </c>
      <c r="BD558" s="2">
        <f t="shared" si="161"/>
        <v>52</v>
      </c>
      <c r="BE558">
        <f t="shared" si="162"/>
        <v>29</v>
      </c>
      <c r="BF558">
        <f t="shared" si="163"/>
        <v>167040</v>
      </c>
    </row>
    <row r="559" spans="1:58" ht="14.25" x14ac:dyDescent="0.2">
      <c r="A559" s="11">
        <v>10626</v>
      </c>
      <c r="B559" s="13">
        <f t="shared" si="164"/>
        <v>11</v>
      </c>
      <c r="C559" s="15">
        <f t="shared" si="165"/>
        <v>8</v>
      </c>
      <c r="D559" s="14">
        <f t="shared" si="166"/>
        <v>8</v>
      </c>
      <c r="E559" t="s">
        <v>2777</v>
      </c>
      <c r="F559" t="s">
        <v>2834</v>
      </c>
      <c r="G559" t="s">
        <v>2779</v>
      </c>
      <c r="H559" t="s">
        <v>2779</v>
      </c>
      <c r="I559" t="s">
        <v>2780</v>
      </c>
      <c r="J559" s="4" t="s">
        <v>2838</v>
      </c>
      <c r="K559" t="s">
        <v>182</v>
      </c>
      <c r="L559" t="s">
        <v>163</v>
      </c>
      <c r="M559" t="s">
        <v>163</v>
      </c>
      <c r="N559" t="s">
        <v>163</v>
      </c>
      <c r="O559" s="6" t="s">
        <v>981</v>
      </c>
      <c r="P559">
        <v>0</v>
      </c>
      <c r="Q559" s="24">
        <v>43.2</v>
      </c>
      <c r="R559" s="25">
        <v>56.5</v>
      </c>
      <c r="S559" s="26">
        <v>43</v>
      </c>
      <c r="Y559">
        <v>10</v>
      </c>
      <c r="Z559">
        <v>30</v>
      </c>
      <c r="AA559" s="3">
        <v>25</v>
      </c>
      <c r="AB559" s="3">
        <v>6</v>
      </c>
      <c r="AC559">
        <v>155</v>
      </c>
      <c r="AD559" s="9">
        <f t="shared" si="149"/>
        <v>7293.75</v>
      </c>
      <c r="AE559">
        <f t="shared" si="156"/>
        <v>2555730</v>
      </c>
      <c r="AF559" s="2">
        <f t="shared" si="160"/>
        <v>29.200000000000003</v>
      </c>
      <c r="AG559" t="str">
        <f t="shared" si="150"/>
        <v>121小时</v>
      </c>
      <c r="AH559">
        <f t="shared" si="151"/>
        <v>88</v>
      </c>
      <c r="AI559">
        <f t="shared" si="152"/>
        <v>15</v>
      </c>
      <c r="AJ559">
        <f t="shared" si="157"/>
        <v>52.3</v>
      </c>
      <c r="AK559">
        <f t="shared" si="153"/>
        <v>27</v>
      </c>
      <c r="AL559">
        <f t="shared" si="158"/>
        <v>29.200000000000003</v>
      </c>
      <c r="AM559" s="2">
        <f t="shared" si="154"/>
        <v>15</v>
      </c>
      <c r="AX559">
        <v>556</v>
      </c>
      <c r="AZ559" s="3"/>
      <c r="BB559" s="2">
        <f t="shared" si="155"/>
        <v>160</v>
      </c>
      <c r="BC559">
        <f t="shared" si="159"/>
        <v>12.324961948249618</v>
      </c>
      <c r="BD559" s="2">
        <f t="shared" si="161"/>
        <v>52.3</v>
      </c>
      <c r="BE559">
        <f t="shared" si="162"/>
        <v>29.200000000000003</v>
      </c>
      <c r="BF559">
        <f t="shared" si="163"/>
        <v>168192.00000000003</v>
      </c>
    </row>
    <row r="560" spans="1:58" ht="14.25" x14ac:dyDescent="0.2">
      <c r="A560" s="11">
        <v>10627</v>
      </c>
      <c r="B560" s="13">
        <f t="shared" si="164"/>
        <v>11</v>
      </c>
      <c r="C560" s="15">
        <f t="shared" si="165"/>
        <v>8</v>
      </c>
      <c r="D560" s="14">
        <f t="shared" si="166"/>
        <v>8</v>
      </c>
      <c r="E560" t="s">
        <v>2777</v>
      </c>
      <c r="F560" t="s">
        <v>2835</v>
      </c>
      <c r="G560" t="s">
        <v>2779</v>
      </c>
      <c r="H560" t="s">
        <v>2779</v>
      </c>
      <c r="I560" t="s">
        <v>2780</v>
      </c>
      <c r="J560" s="4" t="s">
        <v>2838</v>
      </c>
      <c r="K560" t="s">
        <v>162</v>
      </c>
      <c r="L560" t="s">
        <v>163</v>
      </c>
      <c r="M560" t="s">
        <v>163</v>
      </c>
      <c r="N560" t="s">
        <v>163</v>
      </c>
      <c r="O560" s="6" t="s">
        <v>981</v>
      </c>
      <c r="P560">
        <v>0</v>
      </c>
      <c r="Q560" s="24">
        <v>43.2</v>
      </c>
      <c r="R560" s="25">
        <v>56.5</v>
      </c>
      <c r="S560" s="26">
        <v>43</v>
      </c>
      <c r="Y560">
        <v>10</v>
      </c>
      <c r="Z560">
        <v>30</v>
      </c>
      <c r="AA560" s="3">
        <v>25</v>
      </c>
      <c r="AB560" s="3">
        <v>6</v>
      </c>
      <c r="AC560">
        <v>155</v>
      </c>
      <c r="AD560" s="9">
        <f t="shared" si="149"/>
        <v>7293.75</v>
      </c>
      <c r="AE560">
        <f t="shared" si="156"/>
        <v>2555730</v>
      </c>
      <c r="AF560" s="2">
        <f t="shared" si="160"/>
        <v>29.200000000000003</v>
      </c>
      <c r="AG560" t="str">
        <f t="shared" si="150"/>
        <v>121小时</v>
      </c>
      <c r="AH560">
        <f t="shared" si="151"/>
        <v>88</v>
      </c>
      <c r="AI560">
        <f t="shared" si="152"/>
        <v>15</v>
      </c>
      <c r="AJ560">
        <f t="shared" si="157"/>
        <v>52.3</v>
      </c>
      <c r="AK560">
        <f t="shared" si="153"/>
        <v>27</v>
      </c>
      <c r="AL560">
        <f t="shared" si="158"/>
        <v>29.200000000000003</v>
      </c>
      <c r="AM560" s="2">
        <f t="shared" si="154"/>
        <v>15</v>
      </c>
      <c r="AX560">
        <v>557</v>
      </c>
      <c r="AZ560" s="3"/>
      <c r="BB560" s="2">
        <f t="shared" si="155"/>
        <v>160</v>
      </c>
      <c r="BC560">
        <f t="shared" si="159"/>
        <v>12.324961948249618</v>
      </c>
      <c r="BD560" s="2">
        <f t="shared" si="161"/>
        <v>52.3</v>
      </c>
      <c r="BE560">
        <f t="shared" si="162"/>
        <v>29.200000000000003</v>
      </c>
      <c r="BF560">
        <f t="shared" si="163"/>
        <v>168192.00000000003</v>
      </c>
    </row>
    <row r="561" spans="1:58" ht="14.25" x14ac:dyDescent="0.2">
      <c r="A561" s="11">
        <v>10628</v>
      </c>
      <c r="B561" s="13">
        <f t="shared" si="164"/>
        <v>11</v>
      </c>
      <c r="C561" s="15">
        <f t="shared" si="165"/>
        <v>8</v>
      </c>
      <c r="D561" s="14">
        <f t="shared" si="166"/>
        <v>8</v>
      </c>
      <c r="E561" t="s">
        <v>2777</v>
      </c>
      <c r="F561" t="s">
        <v>2836</v>
      </c>
      <c r="G561" t="s">
        <v>2779</v>
      </c>
      <c r="H561" t="s">
        <v>2779</v>
      </c>
      <c r="I561" t="s">
        <v>2780</v>
      </c>
      <c r="J561" s="4" t="s">
        <v>2838</v>
      </c>
      <c r="K561" t="s">
        <v>177</v>
      </c>
      <c r="L561" t="s">
        <v>163</v>
      </c>
      <c r="M561" t="s">
        <v>163</v>
      </c>
      <c r="N561" t="s">
        <v>163</v>
      </c>
      <c r="O561" s="6" t="s">
        <v>983</v>
      </c>
      <c r="P561">
        <v>0</v>
      </c>
      <c r="Q561" s="24">
        <v>43.2</v>
      </c>
      <c r="R561" s="25">
        <v>56.5</v>
      </c>
      <c r="S561" s="26">
        <v>43</v>
      </c>
      <c r="Y561">
        <v>10</v>
      </c>
      <c r="Z561">
        <v>30</v>
      </c>
      <c r="AA561" s="3">
        <v>25</v>
      </c>
      <c r="AB561" s="3">
        <v>6</v>
      </c>
      <c r="AC561">
        <v>155</v>
      </c>
      <c r="AD561" s="9">
        <f t="shared" si="149"/>
        <v>7293.75</v>
      </c>
      <c r="AE561">
        <f t="shared" si="156"/>
        <v>2555730</v>
      </c>
      <c r="AF561" s="2">
        <f t="shared" si="160"/>
        <v>29.200000000000003</v>
      </c>
      <c r="AG561" t="str">
        <f t="shared" si="150"/>
        <v>121小时</v>
      </c>
      <c r="AH561">
        <f t="shared" si="151"/>
        <v>88</v>
      </c>
      <c r="AI561">
        <f t="shared" si="152"/>
        <v>15</v>
      </c>
      <c r="AJ561">
        <f t="shared" si="157"/>
        <v>52.3</v>
      </c>
      <c r="AK561">
        <f t="shared" si="153"/>
        <v>27</v>
      </c>
      <c r="AL561">
        <f t="shared" si="158"/>
        <v>29.200000000000003</v>
      </c>
      <c r="AM561" s="2">
        <f t="shared" si="154"/>
        <v>15</v>
      </c>
      <c r="AX561">
        <v>558</v>
      </c>
      <c r="AZ561" s="3"/>
      <c r="BB561" s="2">
        <f t="shared" si="155"/>
        <v>160</v>
      </c>
      <c r="BC561">
        <f t="shared" si="159"/>
        <v>12.324961948249618</v>
      </c>
      <c r="BD561" s="2">
        <f t="shared" si="161"/>
        <v>52.3</v>
      </c>
      <c r="BE561">
        <f t="shared" si="162"/>
        <v>29.200000000000003</v>
      </c>
      <c r="BF561">
        <f t="shared" si="163"/>
        <v>168192.00000000003</v>
      </c>
    </row>
    <row r="562" spans="1:58" ht="14.25" x14ac:dyDescent="0.2">
      <c r="A562" s="11">
        <v>10629</v>
      </c>
      <c r="B562" s="13">
        <f t="shared" si="164"/>
        <v>11</v>
      </c>
      <c r="C562" s="15">
        <f t="shared" si="165"/>
        <v>8</v>
      </c>
      <c r="D562" s="14">
        <f t="shared" si="166"/>
        <v>8</v>
      </c>
      <c r="E562" t="s">
        <v>2777</v>
      </c>
      <c r="F562" t="s">
        <v>2837</v>
      </c>
      <c r="G562" t="s">
        <v>2779</v>
      </c>
      <c r="H562" t="s">
        <v>2779</v>
      </c>
      <c r="I562" t="s">
        <v>2780</v>
      </c>
      <c r="J562" s="4" t="s">
        <v>2838</v>
      </c>
      <c r="K562" t="s">
        <v>174</v>
      </c>
      <c r="L562" t="s">
        <v>163</v>
      </c>
      <c r="M562" t="s">
        <v>163</v>
      </c>
      <c r="N562" t="s">
        <v>163</v>
      </c>
      <c r="O562" s="6" t="s">
        <v>985</v>
      </c>
      <c r="P562">
        <v>0</v>
      </c>
      <c r="Q562" s="24">
        <v>43.2</v>
      </c>
      <c r="R562" s="25">
        <v>56.5</v>
      </c>
      <c r="S562" s="26">
        <v>43</v>
      </c>
      <c r="Y562">
        <v>10</v>
      </c>
      <c r="Z562">
        <v>30</v>
      </c>
      <c r="AA562" s="3">
        <v>25</v>
      </c>
      <c r="AB562" s="3">
        <v>6</v>
      </c>
      <c r="AC562">
        <v>155</v>
      </c>
      <c r="AD562" s="9">
        <f t="shared" si="149"/>
        <v>7293.75</v>
      </c>
      <c r="AE562">
        <f t="shared" si="156"/>
        <v>2555730</v>
      </c>
      <c r="AF562" s="2">
        <f t="shared" si="160"/>
        <v>29.200000000000003</v>
      </c>
      <c r="AG562" t="str">
        <f t="shared" si="150"/>
        <v>121小时</v>
      </c>
      <c r="AH562">
        <f t="shared" si="151"/>
        <v>88</v>
      </c>
      <c r="AI562">
        <f t="shared" si="152"/>
        <v>15</v>
      </c>
      <c r="AJ562">
        <f t="shared" si="157"/>
        <v>52.3</v>
      </c>
      <c r="AK562">
        <f t="shared" si="153"/>
        <v>27</v>
      </c>
      <c r="AL562">
        <f t="shared" si="158"/>
        <v>29.200000000000003</v>
      </c>
      <c r="AM562" s="2">
        <f t="shared" si="154"/>
        <v>15</v>
      </c>
      <c r="AX562">
        <v>559</v>
      </c>
      <c r="AZ562" s="3"/>
      <c r="BB562" s="2">
        <f t="shared" si="155"/>
        <v>160</v>
      </c>
      <c r="BC562">
        <f t="shared" si="159"/>
        <v>12.324961948249618</v>
      </c>
      <c r="BD562" s="2">
        <f t="shared" si="161"/>
        <v>52.3</v>
      </c>
      <c r="BE562">
        <f t="shared" si="162"/>
        <v>29.200000000000003</v>
      </c>
      <c r="BF562">
        <f t="shared" si="163"/>
        <v>168192.00000000003</v>
      </c>
    </row>
    <row r="563" spans="1:58" ht="14.25" x14ac:dyDescent="0.2">
      <c r="A563" s="11">
        <v>10630</v>
      </c>
      <c r="B563" s="13">
        <f t="shared" si="164"/>
        <v>11</v>
      </c>
      <c r="C563" s="15">
        <f t="shared" si="165"/>
        <v>8</v>
      </c>
      <c r="D563" s="14">
        <f t="shared" si="166"/>
        <v>8</v>
      </c>
      <c r="E563" t="s">
        <v>2785</v>
      </c>
      <c r="F563" t="s">
        <v>2786</v>
      </c>
      <c r="G563" t="s">
        <v>2830</v>
      </c>
      <c r="H563" t="s">
        <v>2829</v>
      </c>
      <c r="I563" t="s">
        <v>2697</v>
      </c>
      <c r="J563" s="4" t="s">
        <v>2858</v>
      </c>
      <c r="K563" t="s">
        <v>166</v>
      </c>
      <c r="L563" t="s">
        <v>163</v>
      </c>
      <c r="M563" t="s">
        <v>163</v>
      </c>
      <c r="N563" t="s">
        <v>163</v>
      </c>
      <c r="O563" s="6" t="s">
        <v>985</v>
      </c>
      <c r="P563">
        <v>0</v>
      </c>
      <c r="Q563" s="24">
        <v>43.2</v>
      </c>
      <c r="R563" s="25">
        <v>56.5</v>
      </c>
      <c r="S563" s="26">
        <v>43</v>
      </c>
      <c r="Y563">
        <v>10</v>
      </c>
      <c r="Z563">
        <v>30</v>
      </c>
      <c r="AA563" s="3">
        <v>25</v>
      </c>
      <c r="AB563" s="3">
        <v>6</v>
      </c>
      <c r="AC563">
        <v>155</v>
      </c>
      <c r="AD563" s="9">
        <f t="shared" si="149"/>
        <v>7293.75</v>
      </c>
      <c r="AE563">
        <f t="shared" si="156"/>
        <v>2555730</v>
      </c>
      <c r="AF563" s="2">
        <f t="shared" si="160"/>
        <v>29.200000000000003</v>
      </c>
      <c r="AG563" t="str">
        <f t="shared" si="150"/>
        <v>121小时</v>
      </c>
      <c r="AH563">
        <f t="shared" si="151"/>
        <v>88</v>
      </c>
      <c r="AI563">
        <f t="shared" si="152"/>
        <v>15</v>
      </c>
      <c r="AJ563">
        <f t="shared" si="157"/>
        <v>52.3</v>
      </c>
      <c r="AK563">
        <f t="shared" si="153"/>
        <v>27</v>
      </c>
      <c r="AL563">
        <f t="shared" si="158"/>
        <v>29.200000000000003</v>
      </c>
      <c r="AM563" s="2">
        <f t="shared" si="154"/>
        <v>15</v>
      </c>
      <c r="AX563">
        <v>560</v>
      </c>
      <c r="AZ563" s="3"/>
      <c r="BB563" s="2">
        <f t="shared" si="155"/>
        <v>160</v>
      </c>
      <c r="BC563">
        <f t="shared" si="159"/>
        <v>12.324961948249618</v>
      </c>
      <c r="BD563" s="2">
        <f t="shared" si="161"/>
        <v>52.3</v>
      </c>
      <c r="BE563">
        <f t="shared" si="162"/>
        <v>29.200000000000003</v>
      </c>
      <c r="BF563">
        <f t="shared" si="163"/>
        <v>168192.00000000003</v>
      </c>
    </row>
    <row r="564" spans="1:58" ht="14.25" x14ac:dyDescent="0.2">
      <c r="A564" s="11">
        <v>10631</v>
      </c>
      <c r="B564" s="13">
        <f t="shared" si="164"/>
        <v>11</v>
      </c>
      <c r="C564" s="15">
        <f t="shared" si="165"/>
        <v>8</v>
      </c>
      <c r="D564" s="14">
        <f t="shared" si="166"/>
        <v>8</v>
      </c>
      <c r="E564" t="s">
        <v>2777</v>
      </c>
      <c r="F564" t="s">
        <v>2834</v>
      </c>
      <c r="G564" t="s">
        <v>2779</v>
      </c>
      <c r="H564" t="s">
        <v>2779</v>
      </c>
      <c r="I564" t="s">
        <v>2780</v>
      </c>
      <c r="J564" s="4" t="s">
        <v>2838</v>
      </c>
      <c r="K564" t="s">
        <v>168</v>
      </c>
      <c r="L564" t="s">
        <v>163</v>
      </c>
      <c r="M564" t="s">
        <v>163</v>
      </c>
      <c r="N564" t="s">
        <v>163</v>
      </c>
      <c r="O564" s="6" t="s">
        <v>987</v>
      </c>
      <c r="P564">
        <v>0</v>
      </c>
      <c r="Q564" s="24">
        <v>43.5</v>
      </c>
      <c r="R564" s="25">
        <v>57</v>
      </c>
      <c r="S564" s="26">
        <v>43.3</v>
      </c>
      <c r="Y564">
        <v>10</v>
      </c>
      <c r="Z564">
        <v>30</v>
      </c>
      <c r="AA564" s="3">
        <v>25</v>
      </c>
      <c r="AB564" s="3">
        <v>6</v>
      </c>
      <c r="AC564">
        <v>155</v>
      </c>
      <c r="AD564" s="9">
        <f t="shared" si="149"/>
        <v>7219.5</v>
      </c>
      <c r="AE564">
        <f t="shared" si="156"/>
        <v>2555730</v>
      </c>
      <c r="AF564" s="2">
        <f t="shared" si="160"/>
        <v>29.5</v>
      </c>
      <c r="AG564" t="str">
        <f t="shared" si="150"/>
        <v>120小时</v>
      </c>
      <c r="AH564">
        <f t="shared" si="151"/>
        <v>89</v>
      </c>
      <c r="AI564">
        <f t="shared" si="152"/>
        <v>15</v>
      </c>
      <c r="AJ564">
        <f t="shared" si="157"/>
        <v>52.800000000000004</v>
      </c>
      <c r="AK564">
        <f t="shared" si="153"/>
        <v>27</v>
      </c>
      <c r="AL564">
        <f t="shared" si="158"/>
        <v>29.5</v>
      </c>
      <c r="AM564" s="2">
        <f t="shared" si="154"/>
        <v>15</v>
      </c>
      <c r="AX564">
        <v>561</v>
      </c>
      <c r="AZ564" s="3"/>
      <c r="BB564" s="2">
        <f t="shared" si="155"/>
        <v>160</v>
      </c>
      <c r="BC564">
        <f t="shared" si="159"/>
        <v>12.199623352165725</v>
      </c>
      <c r="BD564" s="2">
        <f t="shared" si="161"/>
        <v>52.800000000000004</v>
      </c>
      <c r="BE564">
        <f t="shared" si="162"/>
        <v>29.5</v>
      </c>
      <c r="BF564">
        <f t="shared" si="163"/>
        <v>169920</v>
      </c>
    </row>
    <row r="565" spans="1:58" ht="14.25" x14ac:dyDescent="0.2">
      <c r="A565" s="11">
        <v>10632</v>
      </c>
      <c r="B565" s="13">
        <f t="shared" si="164"/>
        <v>11</v>
      </c>
      <c r="C565" s="15">
        <f t="shared" si="165"/>
        <v>8</v>
      </c>
      <c r="D565" s="14">
        <f t="shared" si="166"/>
        <v>8</v>
      </c>
      <c r="E565" t="s">
        <v>2777</v>
      </c>
      <c r="F565" t="s">
        <v>2835</v>
      </c>
      <c r="G565" t="s">
        <v>2779</v>
      </c>
      <c r="H565" t="s">
        <v>2779</v>
      </c>
      <c r="I565" t="s">
        <v>2780</v>
      </c>
      <c r="J565" s="4" t="s">
        <v>2838</v>
      </c>
      <c r="K565" t="s">
        <v>175</v>
      </c>
      <c r="L565" t="s">
        <v>164</v>
      </c>
      <c r="M565" t="s">
        <v>163</v>
      </c>
      <c r="N565" t="s">
        <v>167</v>
      </c>
      <c r="O565" s="6" t="s">
        <v>989</v>
      </c>
      <c r="P565">
        <v>0</v>
      </c>
      <c r="Q565" s="24">
        <v>43.5</v>
      </c>
      <c r="R565" s="25">
        <v>57</v>
      </c>
      <c r="S565" s="26">
        <v>43.3</v>
      </c>
      <c r="Y565">
        <v>10</v>
      </c>
      <c r="Z565">
        <v>30</v>
      </c>
      <c r="AA565" s="3">
        <v>25</v>
      </c>
      <c r="AB565" s="3">
        <v>6</v>
      </c>
      <c r="AC565">
        <v>155</v>
      </c>
      <c r="AD565" s="9">
        <f t="shared" si="149"/>
        <v>7219.5</v>
      </c>
      <c r="AE565">
        <f t="shared" si="156"/>
        <v>2555730</v>
      </c>
      <c r="AF565" s="2">
        <f t="shared" si="160"/>
        <v>29.5</v>
      </c>
      <c r="AG565" t="str">
        <f t="shared" si="150"/>
        <v>120小时</v>
      </c>
      <c r="AH565">
        <f t="shared" si="151"/>
        <v>89</v>
      </c>
      <c r="AI565">
        <f t="shared" si="152"/>
        <v>15</v>
      </c>
      <c r="AJ565">
        <f t="shared" si="157"/>
        <v>52.800000000000004</v>
      </c>
      <c r="AK565">
        <f t="shared" si="153"/>
        <v>27</v>
      </c>
      <c r="AL565">
        <f t="shared" si="158"/>
        <v>29.5</v>
      </c>
      <c r="AM565" s="2">
        <f t="shared" si="154"/>
        <v>15</v>
      </c>
      <c r="AX565">
        <v>562</v>
      </c>
      <c r="AZ565" s="3"/>
      <c r="BB565" s="2">
        <f t="shared" si="155"/>
        <v>160</v>
      </c>
      <c r="BC565">
        <f t="shared" si="159"/>
        <v>12.199623352165725</v>
      </c>
      <c r="BD565" s="2">
        <f t="shared" si="161"/>
        <v>52.800000000000004</v>
      </c>
      <c r="BE565">
        <f t="shared" si="162"/>
        <v>29.5</v>
      </c>
      <c r="BF565">
        <f t="shared" si="163"/>
        <v>169920</v>
      </c>
    </row>
    <row r="566" spans="1:58" ht="14.25" x14ac:dyDescent="0.2">
      <c r="A566" s="11">
        <v>10633</v>
      </c>
      <c r="B566" s="13">
        <f t="shared" si="164"/>
        <v>11</v>
      </c>
      <c r="C566" s="15">
        <f t="shared" si="165"/>
        <v>8</v>
      </c>
      <c r="D566" s="14">
        <f t="shared" si="166"/>
        <v>8</v>
      </c>
      <c r="E566" t="s">
        <v>2777</v>
      </c>
      <c r="F566" t="s">
        <v>2836</v>
      </c>
      <c r="G566" t="s">
        <v>2779</v>
      </c>
      <c r="H566" t="s">
        <v>2779</v>
      </c>
      <c r="I566" t="s">
        <v>2780</v>
      </c>
      <c r="J566" s="4" t="s">
        <v>2838</v>
      </c>
      <c r="K566" t="s">
        <v>179</v>
      </c>
      <c r="L566" t="s">
        <v>163</v>
      </c>
      <c r="M566" t="s">
        <v>163</v>
      </c>
      <c r="N566" t="s">
        <v>163</v>
      </c>
      <c r="O566" s="6" t="s">
        <v>991</v>
      </c>
      <c r="P566">
        <v>0</v>
      </c>
      <c r="Q566" s="24">
        <v>43.5</v>
      </c>
      <c r="R566" s="25">
        <v>57</v>
      </c>
      <c r="S566" s="26">
        <v>43.3</v>
      </c>
      <c r="Y566">
        <v>10</v>
      </c>
      <c r="Z566">
        <v>30</v>
      </c>
      <c r="AA566" s="3">
        <v>25</v>
      </c>
      <c r="AB566" s="3">
        <v>6</v>
      </c>
      <c r="AC566">
        <v>155</v>
      </c>
      <c r="AD566" s="9">
        <f t="shared" si="149"/>
        <v>7219.5</v>
      </c>
      <c r="AE566">
        <f t="shared" si="156"/>
        <v>2555730</v>
      </c>
      <c r="AF566" s="2">
        <f t="shared" si="160"/>
        <v>29.5</v>
      </c>
      <c r="AG566" t="str">
        <f t="shared" si="150"/>
        <v>120小时</v>
      </c>
      <c r="AH566">
        <f t="shared" si="151"/>
        <v>89</v>
      </c>
      <c r="AI566">
        <f t="shared" si="152"/>
        <v>15</v>
      </c>
      <c r="AJ566">
        <f t="shared" si="157"/>
        <v>52.800000000000004</v>
      </c>
      <c r="AK566">
        <f t="shared" si="153"/>
        <v>27</v>
      </c>
      <c r="AL566">
        <f t="shared" si="158"/>
        <v>29.5</v>
      </c>
      <c r="AM566" s="2">
        <f t="shared" si="154"/>
        <v>15</v>
      </c>
      <c r="AX566">
        <v>563</v>
      </c>
      <c r="AZ566" s="3"/>
      <c r="BB566" s="2">
        <f t="shared" si="155"/>
        <v>160</v>
      </c>
      <c r="BC566">
        <f t="shared" si="159"/>
        <v>12.199623352165725</v>
      </c>
      <c r="BD566" s="2">
        <f t="shared" si="161"/>
        <v>52.800000000000004</v>
      </c>
      <c r="BE566">
        <f t="shared" si="162"/>
        <v>29.5</v>
      </c>
      <c r="BF566">
        <f t="shared" si="163"/>
        <v>169920</v>
      </c>
    </row>
    <row r="567" spans="1:58" ht="14.25" x14ac:dyDescent="0.2">
      <c r="A567" s="11">
        <v>10634</v>
      </c>
      <c r="B567" s="13">
        <f t="shared" si="164"/>
        <v>11</v>
      </c>
      <c r="C567" s="15">
        <f t="shared" si="165"/>
        <v>8</v>
      </c>
      <c r="D567" s="14">
        <f t="shared" si="166"/>
        <v>8</v>
      </c>
      <c r="E567" t="s">
        <v>2777</v>
      </c>
      <c r="F567" t="s">
        <v>2837</v>
      </c>
      <c r="G567" t="s">
        <v>2779</v>
      </c>
      <c r="H567" t="s">
        <v>2779</v>
      </c>
      <c r="I567" t="s">
        <v>2780</v>
      </c>
      <c r="J567" s="4" t="s">
        <v>2838</v>
      </c>
      <c r="K567" t="s">
        <v>177</v>
      </c>
      <c r="L567" t="s">
        <v>163</v>
      </c>
      <c r="M567" t="s">
        <v>163</v>
      </c>
      <c r="N567" t="s">
        <v>163</v>
      </c>
      <c r="O567" s="6" t="s">
        <v>991</v>
      </c>
      <c r="P567">
        <v>0</v>
      </c>
      <c r="Q567" s="24">
        <v>43.5</v>
      </c>
      <c r="R567" s="25">
        <v>57</v>
      </c>
      <c r="S567" s="26">
        <v>43.3</v>
      </c>
      <c r="Y567">
        <v>10</v>
      </c>
      <c r="Z567">
        <v>30</v>
      </c>
      <c r="AA567" s="3">
        <v>25</v>
      </c>
      <c r="AB567" s="3">
        <v>6</v>
      </c>
      <c r="AC567">
        <v>155</v>
      </c>
      <c r="AD567" s="9">
        <f t="shared" si="149"/>
        <v>7219.5</v>
      </c>
      <c r="AE567">
        <f t="shared" si="156"/>
        <v>2555730</v>
      </c>
      <c r="AF567" s="2">
        <f t="shared" si="160"/>
        <v>29.5</v>
      </c>
      <c r="AG567" t="str">
        <f t="shared" si="150"/>
        <v>120小时</v>
      </c>
      <c r="AH567">
        <f t="shared" si="151"/>
        <v>89</v>
      </c>
      <c r="AI567">
        <f t="shared" si="152"/>
        <v>15</v>
      </c>
      <c r="AJ567">
        <f t="shared" si="157"/>
        <v>52.800000000000004</v>
      </c>
      <c r="AK567">
        <f t="shared" si="153"/>
        <v>27</v>
      </c>
      <c r="AL567">
        <f t="shared" si="158"/>
        <v>29.5</v>
      </c>
      <c r="AM567" s="2">
        <f t="shared" si="154"/>
        <v>15</v>
      </c>
      <c r="AX567">
        <v>564</v>
      </c>
      <c r="AZ567" s="3"/>
      <c r="BB567" s="2">
        <f t="shared" si="155"/>
        <v>160</v>
      </c>
      <c r="BC567">
        <f t="shared" si="159"/>
        <v>12.199623352165725</v>
      </c>
      <c r="BD567" s="2">
        <f t="shared" si="161"/>
        <v>52.800000000000004</v>
      </c>
      <c r="BE567">
        <f t="shared" si="162"/>
        <v>29.5</v>
      </c>
      <c r="BF567">
        <f t="shared" si="163"/>
        <v>169920</v>
      </c>
    </row>
    <row r="568" spans="1:58" ht="14.25" x14ac:dyDescent="0.2">
      <c r="A568" s="11">
        <v>10635</v>
      </c>
      <c r="B568" s="13">
        <f t="shared" si="164"/>
        <v>11</v>
      </c>
      <c r="C568" s="15">
        <f t="shared" si="165"/>
        <v>8</v>
      </c>
      <c r="D568" s="14">
        <f t="shared" si="166"/>
        <v>8</v>
      </c>
      <c r="E568" t="s">
        <v>2785</v>
      </c>
      <c r="F568" t="s">
        <v>2786</v>
      </c>
      <c r="G568" t="s">
        <v>2831</v>
      </c>
      <c r="H568" t="s">
        <v>2829</v>
      </c>
      <c r="I568" t="s">
        <v>2697</v>
      </c>
      <c r="J568" s="4" t="s">
        <v>2858</v>
      </c>
      <c r="K568" t="s">
        <v>174</v>
      </c>
      <c r="L568" t="s">
        <v>163</v>
      </c>
      <c r="M568" t="s">
        <v>163</v>
      </c>
      <c r="N568" t="s">
        <v>163</v>
      </c>
      <c r="O568" s="6" t="s">
        <v>993</v>
      </c>
      <c r="P568">
        <v>0</v>
      </c>
      <c r="Q568" s="24">
        <v>43.5</v>
      </c>
      <c r="R568" s="25">
        <v>57</v>
      </c>
      <c r="S568" s="26">
        <v>43.3</v>
      </c>
      <c r="Y568">
        <v>10</v>
      </c>
      <c r="Z568">
        <v>30</v>
      </c>
      <c r="AA568" s="3">
        <v>25</v>
      </c>
      <c r="AB568" s="3">
        <v>6</v>
      </c>
      <c r="AC568">
        <v>155</v>
      </c>
      <c r="AD568" s="9">
        <f t="shared" si="149"/>
        <v>7219.5</v>
      </c>
      <c r="AE568">
        <f t="shared" si="156"/>
        <v>2555730</v>
      </c>
      <c r="AF568" s="2">
        <f t="shared" si="160"/>
        <v>29.5</v>
      </c>
      <c r="AG568" t="str">
        <f t="shared" si="150"/>
        <v>120小时</v>
      </c>
      <c r="AH568">
        <f t="shared" si="151"/>
        <v>89</v>
      </c>
      <c r="AI568">
        <f t="shared" si="152"/>
        <v>15</v>
      </c>
      <c r="AJ568">
        <f t="shared" si="157"/>
        <v>52.800000000000004</v>
      </c>
      <c r="AK568">
        <f t="shared" si="153"/>
        <v>27</v>
      </c>
      <c r="AL568">
        <f t="shared" si="158"/>
        <v>29.5</v>
      </c>
      <c r="AM568" s="2">
        <f t="shared" si="154"/>
        <v>15</v>
      </c>
      <c r="AX568">
        <v>565</v>
      </c>
      <c r="AZ568" s="3"/>
      <c r="BB568" s="2">
        <f t="shared" si="155"/>
        <v>160</v>
      </c>
      <c r="BC568">
        <f t="shared" si="159"/>
        <v>12.199623352165725</v>
      </c>
      <c r="BD568" s="2">
        <f t="shared" si="161"/>
        <v>52.800000000000004</v>
      </c>
      <c r="BE568">
        <f t="shared" si="162"/>
        <v>29.5</v>
      </c>
      <c r="BF568">
        <f t="shared" si="163"/>
        <v>169920</v>
      </c>
    </row>
    <row r="569" spans="1:58" ht="14.25" x14ac:dyDescent="0.2">
      <c r="A569" s="11">
        <v>10636</v>
      </c>
      <c r="B569" s="13">
        <f t="shared" si="164"/>
        <v>11</v>
      </c>
      <c r="C569" s="15">
        <f t="shared" si="165"/>
        <v>8</v>
      </c>
      <c r="D569" s="14">
        <f t="shared" si="166"/>
        <v>8</v>
      </c>
      <c r="E569" t="s">
        <v>2777</v>
      </c>
      <c r="F569" t="s">
        <v>2834</v>
      </c>
      <c r="G569" t="s">
        <v>2779</v>
      </c>
      <c r="H569" t="s">
        <v>2779</v>
      </c>
      <c r="I569" t="s">
        <v>2780</v>
      </c>
      <c r="J569" s="4" t="s">
        <v>2838</v>
      </c>
      <c r="K569" t="s">
        <v>182</v>
      </c>
      <c r="L569" t="s">
        <v>163</v>
      </c>
      <c r="M569" t="s">
        <v>163</v>
      </c>
      <c r="N569" t="s">
        <v>163</v>
      </c>
      <c r="O569" s="6" t="s">
        <v>995</v>
      </c>
      <c r="P569">
        <v>0</v>
      </c>
      <c r="Q569" s="24">
        <v>43.8</v>
      </c>
      <c r="R569" s="25">
        <v>57.5</v>
      </c>
      <c r="S569" s="26">
        <v>43.5</v>
      </c>
      <c r="Y569">
        <v>10</v>
      </c>
      <c r="Z569">
        <v>30</v>
      </c>
      <c r="AA569" s="3">
        <v>25</v>
      </c>
      <c r="AB569" s="3">
        <v>6</v>
      </c>
      <c r="AC569">
        <v>155</v>
      </c>
      <c r="AD569" s="9">
        <f t="shared" si="149"/>
        <v>7170.916666666667</v>
      </c>
      <c r="AE569">
        <f t="shared" si="156"/>
        <v>2555730</v>
      </c>
      <c r="AF569" s="2">
        <f t="shared" si="160"/>
        <v>29.700000000000003</v>
      </c>
      <c r="AG569" t="str">
        <f t="shared" si="150"/>
        <v>119小时</v>
      </c>
      <c r="AH569">
        <f t="shared" si="151"/>
        <v>90</v>
      </c>
      <c r="AI569">
        <f t="shared" si="152"/>
        <v>15</v>
      </c>
      <c r="AJ569">
        <f t="shared" si="157"/>
        <v>53.1</v>
      </c>
      <c r="AK569">
        <f t="shared" si="153"/>
        <v>27</v>
      </c>
      <c r="AL569">
        <f t="shared" si="158"/>
        <v>29.700000000000003</v>
      </c>
      <c r="AM569" s="2">
        <f t="shared" si="154"/>
        <v>15</v>
      </c>
      <c r="AX569">
        <v>566</v>
      </c>
      <c r="AZ569" s="3"/>
      <c r="BB569" s="2">
        <f t="shared" si="155"/>
        <v>160</v>
      </c>
      <c r="BC569">
        <f t="shared" si="159"/>
        <v>12.117471006359894</v>
      </c>
      <c r="BD569" s="2">
        <f t="shared" si="161"/>
        <v>53.1</v>
      </c>
      <c r="BE569">
        <f t="shared" si="162"/>
        <v>29.700000000000003</v>
      </c>
      <c r="BF569">
        <f t="shared" si="163"/>
        <v>171072.00000000003</v>
      </c>
    </row>
    <row r="570" spans="1:58" ht="14.25" x14ac:dyDescent="0.2">
      <c r="A570" s="11">
        <v>10637</v>
      </c>
      <c r="B570" s="13">
        <f t="shared" si="164"/>
        <v>11</v>
      </c>
      <c r="C570" s="15">
        <f t="shared" si="165"/>
        <v>8</v>
      </c>
      <c r="D570" s="14">
        <f t="shared" si="166"/>
        <v>8</v>
      </c>
      <c r="E570" t="s">
        <v>2777</v>
      </c>
      <c r="F570" t="s">
        <v>2835</v>
      </c>
      <c r="G570" t="s">
        <v>2779</v>
      </c>
      <c r="H570" t="s">
        <v>2779</v>
      </c>
      <c r="I570" t="s">
        <v>2780</v>
      </c>
      <c r="J570" s="4" t="s">
        <v>2838</v>
      </c>
      <c r="K570" t="s">
        <v>162</v>
      </c>
      <c r="L570" t="s">
        <v>163</v>
      </c>
      <c r="M570" t="s">
        <v>163</v>
      </c>
      <c r="N570" t="s">
        <v>163</v>
      </c>
      <c r="O570" s="6" t="s">
        <v>995</v>
      </c>
      <c r="P570">
        <v>0</v>
      </c>
      <c r="Q570" s="24">
        <v>43.8</v>
      </c>
      <c r="R570" s="25">
        <v>57.5</v>
      </c>
      <c r="S570" s="26">
        <v>43.5</v>
      </c>
      <c r="Y570">
        <v>10</v>
      </c>
      <c r="Z570">
        <v>30</v>
      </c>
      <c r="AA570" s="3">
        <v>25</v>
      </c>
      <c r="AB570" s="3">
        <v>6</v>
      </c>
      <c r="AC570">
        <v>155</v>
      </c>
      <c r="AD570" s="9">
        <f t="shared" si="149"/>
        <v>7170.916666666667</v>
      </c>
      <c r="AE570">
        <f t="shared" si="156"/>
        <v>2555730</v>
      </c>
      <c r="AF570" s="2">
        <f t="shared" si="160"/>
        <v>29.700000000000003</v>
      </c>
      <c r="AG570" t="str">
        <f t="shared" si="150"/>
        <v>119小时</v>
      </c>
      <c r="AH570">
        <f t="shared" si="151"/>
        <v>90</v>
      </c>
      <c r="AI570">
        <f t="shared" si="152"/>
        <v>15</v>
      </c>
      <c r="AJ570">
        <f t="shared" si="157"/>
        <v>53.1</v>
      </c>
      <c r="AK570">
        <f t="shared" si="153"/>
        <v>27</v>
      </c>
      <c r="AL570">
        <f t="shared" si="158"/>
        <v>29.700000000000003</v>
      </c>
      <c r="AM570" s="2">
        <f t="shared" si="154"/>
        <v>15</v>
      </c>
      <c r="AX570">
        <v>567</v>
      </c>
      <c r="AZ570" s="3"/>
      <c r="BB570" s="2">
        <f t="shared" si="155"/>
        <v>160</v>
      </c>
      <c r="BC570">
        <f t="shared" si="159"/>
        <v>12.117471006359894</v>
      </c>
      <c r="BD570" s="2">
        <f t="shared" si="161"/>
        <v>53.1</v>
      </c>
      <c r="BE570">
        <f t="shared" si="162"/>
        <v>29.700000000000003</v>
      </c>
      <c r="BF570">
        <f t="shared" si="163"/>
        <v>171072.00000000003</v>
      </c>
    </row>
    <row r="571" spans="1:58" ht="14.25" x14ac:dyDescent="0.2">
      <c r="A571" s="11">
        <v>10638</v>
      </c>
      <c r="B571" s="13">
        <f t="shared" si="164"/>
        <v>11</v>
      </c>
      <c r="C571" s="15">
        <f t="shared" si="165"/>
        <v>8</v>
      </c>
      <c r="D571" s="14">
        <f t="shared" si="166"/>
        <v>8</v>
      </c>
      <c r="E571" t="s">
        <v>2777</v>
      </c>
      <c r="F571" t="s">
        <v>2836</v>
      </c>
      <c r="G571" t="s">
        <v>2779</v>
      </c>
      <c r="H571" t="s">
        <v>2779</v>
      </c>
      <c r="I571" t="s">
        <v>2780</v>
      </c>
      <c r="J571" s="4" t="s">
        <v>2838</v>
      </c>
      <c r="K571" t="s">
        <v>177</v>
      </c>
      <c r="L571" t="s">
        <v>163</v>
      </c>
      <c r="M571" t="s">
        <v>163</v>
      </c>
      <c r="N571" t="s">
        <v>163</v>
      </c>
      <c r="O571" s="6" t="s">
        <v>997</v>
      </c>
      <c r="P571">
        <v>0</v>
      </c>
      <c r="Q571" s="24">
        <v>43.8</v>
      </c>
      <c r="R571" s="25">
        <v>57.5</v>
      </c>
      <c r="S571" s="26">
        <v>43.5</v>
      </c>
      <c r="Y571">
        <v>10</v>
      </c>
      <c r="Z571">
        <v>30</v>
      </c>
      <c r="AA571" s="3">
        <v>25</v>
      </c>
      <c r="AB571" s="3">
        <v>6</v>
      </c>
      <c r="AC571">
        <v>155</v>
      </c>
      <c r="AD571" s="9">
        <f t="shared" si="149"/>
        <v>7170.916666666667</v>
      </c>
      <c r="AE571">
        <f t="shared" si="156"/>
        <v>2555730</v>
      </c>
      <c r="AF571" s="2">
        <f t="shared" si="160"/>
        <v>29.700000000000003</v>
      </c>
      <c r="AG571" t="str">
        <f t="shared" si="150"/>
        <v>119小时</v>
      </c>
      <c r="AH571">
        <f t="shared" si="151"/>
        <v>90</v>
      </c>
      <c r="AI571">
        <f t="shared" si="152"/>
        <v>15</v>
      </c>
      <c r="AJ571">
        <f t="shared" si="157"/>
        <v>53.1</v>
      </c>
      <c r="AK571">
        <f t="shared" si="153"/>
        <v>27</v>
      </c>
      <c r="AL571">
        <f t="shared" si="158"/>
        <v>29.700000000000003</v>
      </c>
      <c r="AM571" s="2">
        <f t="shared" si="154"/>
        <v>15</v>
      </c>
      <c r="AX571">
        <v>568</v>
      </c>
      <c r="AZ571" s="3"/>
      <c r="BB571" s="2">
        <f t="shared" si="155"/>
        <v>160</v>
      </c>
      <c r="BC571">
        <f t="shared" si="159"/>
        <v>12.117471006359894</v>
      </c>
      <c r="BD571" s="2">
        <f t="shared" si="161"/>
        <v>53.1</v>
      </c>
      <c r="BE571">
        <f t="shared" si="162"/>
        <v>29.700000000000003</v>
      </c>
      <c r="BF571">
        <f t="shared" si="163"/>
        <v>171072.00000000003</v>
      </c>
    </row>
    <row r="572" spans="1:58" ht="14.25" x14ac:dyDescent="0.2">
      <c r="A572" s="11">
        <v>10639</v>
      </c>
      <c r="B572" s="13">
        <f t="shared" si="164"/>
        <v>11</v>
      </c>
      <c r="C572" s="15">
        <f t="shared" si="165"/>
        <v>8</v>
      </c>
      <c r="D572" s="14">
        <f t="shared" si="166"/>
        <v>8</v>
      </c>
      <c r="E572" t="s">
        <v>2777</v>
      </c>
      <c r="F572" t="s">
        <v>2837</v>
      </c>
      <c r="G572" t="s">
        <v>2779</v>
      </c>
      <c r="H572" t="s">
        <v>2779</v>
      </c>
      <c r="I572" t="s">
        <v>2780</v>
      </c>
      <c r="J572" s="4" t="s">
        <v>2838</v>
      </c>
      <c r="K572" t="s">
        <v>174</v>
      </c>
      <c r="L572" t="s">
        <v>163</v>
      </c>
      <c r="M572" t="s">
        <v>163</v>
      </c>
      <c r="N572" t="s">
        <v>163</v>
      </c>
      <c r="O572" s="6" t="s">
        <v>999</v>
      </c>
      <c r="P572">
        <v>0</v>
      </c>
      <c r="Q572" s="24">
        <v>43.8</v>
      </c>
      <c r="R572" s="25">
        <v>57.5</v>
      </c>
      <c r="S572" s="26">
        <v>43.5</v>
      </c>
      <c r="Y572">
        <v>10</v>
      </c>
      <c r="Z572">
        <v>30</v>
      </c>
      <c r="AA572" s="3">
        <v>25</v>
      </c>
      <c r="AB572" s="3">
        <v>6</v>
      </c>
      <c r="AC572">
        <v>155</v>
      </c>
      <c r="AD572" s="9">
        <f t="shared" si="149"/>
        <v>7170.916666666667</v>
      </c>
      <c r="AE572">
        <f t="shared" si="156"/>
        <v>2555730</v>
      </c>
      <c r="AF572" s="2">
        <f t="shared" si="160"/>
        <v>29.700000000000003</v>
      </c>
      <c r="AG572" t="str">
        <f t="shared" si="150"/>
        <v>119小时</v>
      </c>
      <c r="AH572">
        <f t="shared" si="151"/>
        <v>90</v>
      </c>
      <c r="AI572">
        <f t="shared" si="152"/>
        <v>15</v>
      </c>
      <c r="AJ572">
        <f t="shared" si="157"/>
        <v>53.1</v>
      </c>
      <c r="AK572">
        <f t="shared" si="153"/>
        <v>27</v>
      </c>
      <c r="AL572">
        <f t="shared" si="158"/>
        <v>29.700000000000003</v>
      </c>
      <c r="AM572" s="2">
        <f t="shared" si="154"/>
        <v>15</v>
      </c>
      <c r="AX572">
        <v>569</v>
      </c>
      <c r="AZ572" s="3"/>
      <c r="BB572" s="2">
        <f t="shared" si="155"/>
        <v>160</v>
      </c>
      <c r="BC572">
        <f t="shared" si="159"/>
        <v>12.117471006359894</v>
      </c>
      <c r="BD572" s="2">
        <f t="shared" si="161"/>
        <v>53.1</v>
      </c>
      <c r="BE572">
        <f t="shared" si="162"/>
        <v>29.700000000000003</v>
      </c>
      <c r="BF572">
        <f t="shared" si="163"/>
        <v>171072.00000000003</v>
      </c>
    </row>
    <row r="573" spans="1:58" ht="14.25" x14ac:dyDescent="0.2">
      <c r="A573" s="11">
        <v>10640</v>
      </c>
      <c r="B573" s="13">
        <f t="shared" si="164"/>
        <v>11</v>
      </c>
      <c r="C573" s="15">
        <f t="shared" si="165"/>
        <v>8</v>
      </c>
      <c r="D573" s="14">
        <f t="shared" si="166"/>
        <v>8</v>
      </c>
      <c r="E573" t="s">
        <v>2785</v>
      </c>
      <c r="F573" t="s">
        <v>2786</v>
      </c>
      <c r="G573" t="s">
        <v>2832</v>
      </c>
      <c r="H573" t="s">
        <v>2829</v>
      </c>
      <c r="I573" t="s">
        <v>2697</v>
      </c>
      <c r="J573" s="4" t="s">
        <v>2858</v>
      </c>
      <c r="K573" t="s">
        <v>166</v>
      </c>
      <c r="L573" t="s">
        <v>163</v>
      </c>
      <c r="M573" t="s">
        <v>163</v>
      </c>
      <c r="N573" t="s">
        <v>163</v>
      </c>
      <c r="O573" s="6" t="s">
        <v>999</v>
      </c>
      <c r="P573">
        <v>0</v>
      </c>
      <c r="Q573" s="24">
        <v>43.8</v>
      </c>
      <c r="R573" s="25">
        <v>57.5</v>
      </c>
      <c r="S573" s="26">
        <v>43.5</v>
      </c>
      <c r="Y573">
        <v>10</v>
      </c>
      <c r="Z573">
        <v>30</v>
      </c>
      <c r="AA573" s="3">
        <v>25</v>
      </c>
      <c r="AB573" s="3">
        <v>6</v>
      </c>
      <c r="AC573">
        <v>155</v>
      </c>
      <c r="AD573" s="9">
        <f t="shared" si="149"/>
        <v>7170.916666666667</v>
      </c>
      <c r="AE573">
        <f t="shared" si="156"/>
        <v>2555730</v>
      </c>
      <c r="AF573" s="2">
        <f t="shared" si="160"/>
        <v>29.700000000000003</v>
      </c>
      <c r="AG573" t="str">
        <f t="shared" si="150"/>
        <v>119小时</v>
      </c>
      <c r="AH573">
        <f t="shared" si="151"/>
        <v>90</v>
      </c>
      <c r="AI573">
        <f t="shared" si="152"/>
        <v>15</v>
      </c>
      <c r="AJ573">
        <f t="shared" si="157"/>
        <v>53.1</v>
      </c>
      <c r="AK573">
        <f t="shared" si="153"/>
        <v>27</v>
      </c>
      <c r="AL573">
        <f t="shared" si="158"/>
        <v>29.700000000000003</v>
      </c>
      <c r="AM573" s="2">
        <f t="shared" si="154"/>
        <v>15</v>
      </c>
      <c r="AX573">
        <v>570</v>
      </c>
      <c r="AZ573" s="3"/>
      <c r="BB573" s="2">
        <f t="shared" si="155"/>
        <v>160</v>
      </c>
      <c r="BC573">
        <f t="shared" si="159"/>
        <v>12.117471006359894</v>
      </c>
      <c r="BD573" s="2">
        <f t="shared" si="161"/>
        <v>53.1</v>
      </c>
      <c r="BE573">
        <f t="shared" si="162"/>
        <v>29.700000000000003</v>
      </c>
      <c r="BF573">
        <f t="shared" si="163"/>
        <v>171072.00000000003</v>
      </c>
    </row>
    <row r="574" spans="1:58" ht="14.25" x14ac:dyDescent="0.2">
      <c r="A574" s="11">
        <v>10641</v>
      </c>
      <c r="B574" s="13">
        <f t="shared" si="164"/>
        <v>11</v>
      </c>
      <c r="C574" s="15">
        <f t="shared" si="165"/>
        <v>8</v>
      </c>
      <c r="D574" s="14">
        <f t="shared" si="166"/>
        <v>8</v>
      </c>
      <c r="E574" t="s">
        <v>2777</v>
      </c>
      <c r="F574" t="s">
        <v>2834</v>
      </c>
      <c r="G574" t="s">
        <v>2779</v>
      </c>
      <c r="H574" t="s">
        <v>2779</v>
      </c>
      <c r="I574" t="s">
        <v>2780</v>
      </c>
      <c r="J574" s="4" t="s">
        <v>2838</v>
      </c>
      <c r="K574" t="s">
        <v>168</v>
      </c>
      <c r="L574" t="s">
        <v>163</v>
      </c>
      <c r="M574" t="s">
        <v>163</v>
      </c>
      <c r="N574" t="s">
        <v>163</v>
      </c>
      <c r="O574" s="6" t="s">
        <v>1001</v>
      </c>
      <c r="P574">
        <v>0</v>
      </c>
      <c r="Q574" s="24">
        <v>44.2</v>
      </c>
      <c r="R574" s="25">
        <v>58</v>
      </c>
      <c r="S574" s="26">
        <v>43.8</v>
      </c>
      <c r="Y574">
        <v>10</v>
      </c>
      <c r="Z574">
        <v>30</v>
      </c>
      <c r="AA574" s="3">
        <v>25</v>
      </c>
      <c r="AB574" s="3">
        <v>6</v>
      </c>
      <c r="AC574">
        <v>155</v>
      </c>
      <c r="AD574" s="9">
        <f t="shared" si="149"/>
        <v>7099.25</v>
      </c>
      <c r="AE574">
        <f t="shared" si="156"/>
        <v>2555730</v>
      </c>
      <c r="AF574" s="2">
        <f t="shared" si="160"/>
        <v>30</v>
      </c>
      <c r="AG574" t="str">
        <f t="shared" si="150"/>
        <v>118小时</v>
      </c>
      <c r="AH574">
        <f t="shared" si="151"/>
        <v>90</v>
      </c>
      <c r="AI574">
        <f t="shared" si="152"/>
        <v>15</v>
      </c>
      <c r="AJ574">
        <f t="shared" si="157"/>
        <v>53.5</v>
      </c>
      <c r="AK574">
        <f t="shared" si="153"/>
        <v>27</v>
      </c>
      <c r="AL574">
        <f t="shared" si="158"/>
        <v>30</v>
      </c>
      <c r="AM574" s="2">
        <f t="shared" si="154"/>
        <v>15</v>
      </c>
      <c r="AX574">
        <v>571</v>
      </c>
      <c r="AZ574" s="3"/>
      <c r="BB574" s="2">
        <f t="shared" si="155"/>
        <v>160</v>
      </c>
      <c r="BC574">
        <f t="shared" si="159"/>
        <v>11.996296296296297</v>
      </c>
      <c r="BD574" s="2">
        <f t="shared" si="161"/>
        <v>53.5</v>
      </c>
      <c r="BE574">
        <f t="shared" si="162"/>
        <v>30</v>
      </c>
      <c r="BF574">
        <f t="shared" si="163"/>
        <v>172800</v>
      </c>
    </row>
    <row r="575" spans="1:58" ht="14.25" x14ac:dyDescent="0.2">
      <c r="A575" s="11">
        <v>10642</v>
      </c>
      <c r="B575" s="13">
        <f t="shared" si="164"/>
        <v>11</v>
      </c>
      <c r="C575" s="15">
        <f t="shared" si="165"/>
        <v>8</v>
      </c>
      <c r="D575" s="14">
        <f t="shared" si="166"/>
        <v>8</v>
      </c>
      <c r="E575" t="s">
        <v>2777</v>
      </c>
      <c r="F575" t="s">
        <v>2835</v>
      </c>
      <c r="G575" t="s">
        <v>2779</v>
      </c>
      <c r="H575" t="s">
        <v>2779</v>
      </c>
      <c r="I575" t="s">
        <v>2780</v>
      </c>
      <c r="J575" s="4" t="s">
        <v>2838</v>
      </c>
      <c r="K575" t="s">
        <v>175</v>
      </c>
      <c r="L575" t="s">
        <v>164</v>
      </c>
      <c r="M575" t="s">
        <v>163</v>
      </c>
      <c r="N575" t="s">
        <v>167</v>
      </c>
      <c r="O575" s="6" t="s">
        <v>1003</v>
      </c>
      <c r="P575">
        <v>0</v>
      </c>
      <c r="Q575" s="24">
        <v>44.2</v>
      </c>
      <c r="R575" s="25">
        <v>58</v>
      </c>
      <c r="S575" s="26">
        <v>43.8</v>
      </c>
      <c r="Y575">
        <v>10</v>
      </c>
      <c r="Z575">
        <v>30</v>
      </c>
      <c r="AA575" s="3">
        <v>25</v>
      </c>
      <c r="AB575" s="3">
        <v>6</v>
      </c>
      <c r="AC575">
        <v>155</v>
      </c>
      <c r="AD575" s="9">
        <f t="shared" si="149"/>
        <v>7099.25</v>
      </c>
      <c r="AE575">
        <f t="shared" si="156"/>
        <v>2555730</v>
      </c>
      <c r="AF575" s="2">
        <f t="shared" si="160"/>
        <v>30</v>
      </c>
      <c r="AG575" t="str">
        <f t="shared" si="150"/>
        <v>118小时</v>
      </c>
      <c r="AH575">
        <f t="shared" si="151"/>
        <v>90</v>
      </c>
      <c r="AI575">
        <f t="shared" si="152"/>
        <v>15</v>
      </c>
      <c r="AJ575">
        <f t="shared" si="157"/>
        <v>53.5</v>
      </c>
      <c r="AK575">
        <f t="shared" si="153"/>
        <v>27</v>
      </c>
      <c r="AL575">
        <f t="shared" si="158"/>
        <v>30</v>
      </c>
      <c r="AM575" s="2">
        <f t="shared" si="154"/>
        <v>15</v>
      </c>
      <c r="AX575">
        <v>572</v>
      </c>
      <c r="AZ575" s="3"/>
      <c r="BB575" s="2">
        <f t="shared" si="155"/>
        <v>160</v>
      </c>
      <c r="BC575">
        <f t="shared" si="159"/>
        <v>11.996296296296297</v>
      </c>
      <c r="BD575" s="2">
        <f t="shared" si="161"/>
        <v>53.5</v>
      </c>
      <c r="BE575">
        <f t="shared" si="162"/>
        <v>30</v>
      </c>
      <c r="BF575">
        <f t="shared" si="163"/>
        <v>172800</v>
      </c>
    </row>
    <row r="576" spans="1:58" ht="14.25" x14ac:dyDescent="0.2">
      <c r="A576" s="11">
        <v>10643</v>
      </c>
      <c r="B576" s="13">
        <f t="shared" si="164"/>
        <v>11</v>
      </c>
      <c r="C576" s="15">
        <f t="shared" si="165"/>
        <v>8</v>
      </c>
      <c r="D576" s="14">
        <f t="shared" si="166"/>
        <v>8</v>
      </c>
      <c r="E576" t="s">
        <v>2777</v>
      </c>
      <c r="F576" t="s">
        <v>2836</v>
      </c>
      <c r="G576" t="s">
        <v>2779</v>
      </c>
      <c r="H576" t="s">
        <v>2779</v>
      </c>
      <c r="I576" t="s">
        <v>2780</v>
      </c>
      <c r="J576" s="4" t="s">
        <v>2838</v>
      </c>
      <c r="K576" t="s">
        <v>179</v>
      </c>
      <c r="L576" t="s">
        <v>163</v>
      </c>
      <c r="M576" t="s">
        <v>163</v>
      </c>
      <c r="N576" t="s">
        <v>163</v>
      </c>
      <c r="O576" s="6" t="s">
        <v>1005</v>
      </c>
      <c r="P576">
        <v>0</v>
      </c>
      <c r="Q576" s="24">
        <v>44.2</v>
      </c>
      <c r="R576" s="25">
        <v>58</v>
      </c>
      <c r="S576" s="26">
        <v>43.8</v>
      </c>
      <c r="Y576">
        <v>10</v>
      </c>
      <c r="Z576">
        <v>30</v>
      </c>
      <c r="AA576" s="3">
        <v>25</v>
      </c>
      <c r="AB576" s="3">
        <v>6</v>
      </c>
      <c r="AC576">
        <v>155</v>
      </c>
      <c r="AD576" s="9">
        <f t="shared" ref="AD576:AD639" si="167">INT(AE576/AF576)/60*5</f>
        <v>7099.25</v>
      </c>
      <c r="AE576">
        <f t="shared" si="156"/>
        <v>2555730</v>
      </c>
      <c r="AF576" s="2">
        <f t="shared" si="160"/>
        <v>30</v>
      </c>
      <c r="AG576" t="str">
        <f t="shared" ref="AG576:AG639" si="168">IF(AD576&lt;60,CONCATENATE(INT(AD576),"分钟"),CONCATENATE(INT(AD576/60),"小时"))</f>
        <v>118小时</v>
      </c>
      <c r="AH576">
        <f t="shared" ref="AH576:AH639" si="169">ROUNDUP(AF576*3,0)</f>
        <v>90</v>
      </c>
      <c r="AI576">
        <f t="shared" ref="AI576:AI639" si="170">ROUNDUP(AH576/AB576,0)</f>
        <v>15</v>
      </c>
      <c r="AJ576">
        <f t="shared" si="157"/>
        <v>53.5</v>
      </c>
      <c r="AK576">
        <f t="shared" ref="AK576:AK639" si="171">ROUNDUP(AJ576*3/AB576,0)</f>
        <v>27</v>
      </c>
      <c r="AL576">
        <f t="shared" si="158"/>
        <v>30</v>
      </c>
      <c r="AM576" s="2">
        <f t="shared" ref="AM576:AM639" si="172">ROUNDUP(AL576*3/AB576,0)</f>
        <v>15</v>
      </c>
      <c r="AX576">
        <v>573</v>
      </c>
      <c r="AZ576" s="3"/>
      <c r="BB576" s="2">
        <f t="shared" si="155"/>
        <v>160</v>
      </c>
      <c r="BC576">
        <f t="shared" si="159"/>
        <v>11.996296296296297</v>
      </c>
      <c r="BD576" s="2">
        <f t="shared" si="161"/>
        <v>53.5</v>
      </c>
      <c r="BE576">
        <f t="shared" si="162"/>
        <v>30</v>
      </c>
      <c r="BF576">
        <f t="shared" si="163"/>
        <v>172800</v>
      </c>
    </row>
    <row r="577" spans="1:58" ht="14.25" x14ac:dyDescent="0.2">
      <c r="A577" s="11">
        <v>10644</v>
      </c>
      <c r="B577" s="13">
        <f t="shared" si="164"/>
        <v>11</v>
      </c>
      <c r="C577" s="15">
        <f t="shared" si="165"/>
        <v>8</v>
      </c>
      <c r="D577" s="14">
        <f t="shared" si="166"/>
        <v>8</v>
      </c>
      <c r="E577" t="s">
        <v>2777</v>
      </c>
      <c r="F577" t="s">
        <v>2837</v>
      </c>
      <c r="G577" t="s">
        <v>2779</v>
      </c>
      <c r="H577" t="s">
        <v>2779</v>
      </c>
      <c r="I577" t="s">
        <v>2780</v>
      </c>
      <c r="J577" s="4" t="s">
        <v>2838</v>
      </c>
      <c r="K577" t="s">
        <v>177</v>
      </c>
      <c r="L577" t="s">
        <v>163</v>
      </c>
      <c r="M577" t="s">
        <v>163</v>
      </c>
      <c r="N577" t="s">
        <v>163</v>
      </c>
      <c r="O577" s="6" t="s">
        <v>1005</v>
      </c>
      <c r="P577">
        <v>0</v>
      </c>
      <c r="Q577" s="24">
        <v>44.2</v>
      </c>
      <c r="R577" s="25">
        <v>58</v>
      </c>
      <c r="S577" s="26">
        <v>43.8</v>
      </c>
      <c r="Y577">
        <v>10</v>
      </c>
      <c r="Z577">
        <v>30</v>
      </c>
      <c r="AA577" s="3">
        <v>25</v>
      </c>
      <c r="AB577" s="3">
        <v>6</v>
      </c>
      <c r="AC577">
        <v>155</v>
      </c>
      <c r="AD577" s="9">
        <f t="shared" si="167"/>
        <v>7099.25</v>
      </c>
      <c r="AE577">
        <f t="shared" si="156"/>
        <v>2555730</v>
      </c>
      <c r="AF577" s="2">
        <f t="shared" si="160"/>
        <v>30</v>
      </c>
      <c r="AG577" t="str">
        <f t="shared" si="168"/>
        <v>118小时</v>
      </c>
      <c r="AH577">
        <f t="shared" si="169"/>
        <v>90</v>
      </c>
      <c r="AI577">
        <f t="shared" si="170"/>
        <v>15</v>
      </c>
      <c r="AJ577">
        <f t="shared" si="157"/>
        <v>53.5</v>
      </c>
      <c r="AK577">
        <f t="shared" si="171"/>
        <v>27</v>
      </c>
      <c r="AL577">
        <f t="shared" si="158"/>
        <v>30</v>
      </c>
      <c r="AM577" s="2">
        <f t="shared" si="172"/>
        <v>15</v>
      </c>
      <c r="AX577">
        <v>574</v>
      </c>
      <c r="AZ577" s="3"/>
      <c r="BB577" s="2">
        <f t="shared" si="155"/>
        <v>160</v>
      </c>
      <c r="BC577">
        <f t="shared" si="159"/>
        <v>11.996296296296297</v>
      </c>
      <c r="BD577" s="2">
        <f t="shared" si="161"/>
        <v>53.5</v>
      </c>
      <c r="BE577">
        <f t="shared" si="162"/>
        <v>30</v>
      </c>
      <c r="BF577">
        <f t="shared" si="163"/>
        <v>172800</v>
      </c>
    </row>
    <row r="578" spans="1:58" ht="14.25" x14ac:dyDescent="0.2">
      <c r="A578" s="11">
        <v>10645</v>
      </c>
      <c r="B578" s="13">
        <f t="shared" si="164"/>
        <v>11</v>
      </c>
      <c r="C578" s="15">
        <f t="shared" si="165"/>
        <v>8</v>
      </c>
      <c r="D578" s="14">
        <f t="shared" si="166"/>
        <v>8</v>
      </c>
      <c r="E578" t="s">
        <v>2785</v>
      </c>
      <c r="F578" t="s">
        <v>2786</v>
      </c>
      <c r="G578" t="s">
        <v>2833</v>
      </c>
      <c r="H578" t="s">
        <v>2829</v>
      </c>
      <c r="I578" t="s">
        <v>2697</v>
      </c>
      <c r="J578" s="4" t="s">
        <v>2876</v>
      </c>
      <c r="K578" t="s">
        <v>174</v>
      </c>
      <c r="L578" t="s">
        <v>163</v>
      </c>
      <c r="M578" t="s">
        <v>163</v>
      </c>
      <c r="N578" t="s">
        <v>163</v>
      </c>
      <c r="O578" s="6" t="s">
        <v>1007</v>
      </c>
      <c r="P578">
        <v>0</v>
      </c>
      <c r="Q578" s="24">
        <v>44.2</v>
      </c>
      <c r="R578" s="25">
        <v>58</v>
      </c>
      <c r="S578" s="26">
        <v>43.8</v>
      </c>
      <c r="Y578">
        <v>10</v>
      </c>
      <c r="Z578">
        <v>30</v>
      </c>
      <c r="AA578" s="3">
        <v>25</v>
      </c>
      <c r="AB578" s="3">
        <v>6</v>
      </c>
      <c r="AC578">
        <v>155</v>
      </c>
      <c r="AD578" s="9">
        <f t="shared" si="167"/>
        <v>7099.25</v>
      </c>
      <c r="AE578">
        <f t="shared" si="156"/>
        <v>2555730</v>
      </c>
      <c r="AF578" s="2">
        <f t="shared" si="160"/>
        <v>30</v>
      </c>
      <c r="AG578" t="str">
        <f t="shared" si="168"/>
        <v>118小时</v>
      </c>
      <c r="AH578">
        <f t="shared" si="169"/>
        <v>90</v>
      </c>
      <c r="AI578">
        <f t="shared" si="170"/>
        <v>15</v>
      </c>
      <c r="AJ578">
        <f t="shared" si="157"/>
        <v>53.5</v>
      </c>
      <c r="AK578">
        <f t="shared" si="171"/>
        <v>27</v>
      </c>
      <c r="AL578">
        <f t="shared" si="158"/>
        <v>30</v>
      </c>
      <c r="AM578" s="2">
        <f t="shared" si="172"/>
        <v>15</v>
      </c>
      <c r="AX578">
        <v>575</v>
      </c>
      <c r="AZ578" s="3"/>
      <c r="BB578" s="2">
        <f t="shared" si="155"/>
        <v>160</v>
      </c>
      <c r="BC578">
        <f t="shared" si="159"/>
        <v>11.996296296296297</v>
      </c>
      <c r="BD578" s="2">
        <f t="shared" si="161"/>
        <v>53.5</v>
      </c>
      <c r="BE578">
        <f t="shared" si="162"/>
        <v>30</v>
      </c>
      <c r="BF578">
        <f t="shared" si="163"/>
        <v>172800</v>
      </c>
    </row>
    <row r="579" spans="1:58" ht="14.25" x14ac:dyDescent="0.2">
      <c r="A579" s="11">
        <v>10646</v>
      </c>
      <c r="B579" s="13">
        <f t="shared" si="164"/>
        <v>11</v>
      </c>
      <c r="C579" s="15">
        <f t="shared" si="165"/>
        <v>8</v>
      </c>
      <c r="D579" s="14">
        <f t="shared" si="166"/>
        <v>8</v>
      </c>
      <c r="E579" t="s">
        <v>2777</v>
      </c>
      <c r="F579" t="s">
        <v>2834</v>
      </c>
      <c r="G579" t="s">
        <v>2779</v>
      </c>
      <c r="H579" t="s">
        <v>2779</v>
      </c>
      <c r="I579" t="s">
        <v>2780</v>
      </c>
      <c r="J579" s="4" t="s">
        <v>2838</v>
      </c>
      <c r="K579" t="s">
        <v>182</v>
      </c>
      <c r="L579" t="s">
        <v>163</v>
      </c>
      <c r="M579" t="s">
        <v>163</v>
      </c>
      <c r="N579" t="s">
        <v>163</v>
      </c>
      <c r="O579" s="6" t="s">
        <v>1009</v>
      </c>
      <c r="P579">
        <v>0</v>
      </c>
      <c r="Q579" s="24">
        <v>44.5</v>
      </c>
      <c r="R579" s="25">
        <v>58.5</v>
      </c>
      <c r="S579" s="26">
        <v>44</v>
      </c>
      <c r="Y579">
        <v>10</v>
      </c>
      <c r="Z579">
        <v>30</v>
      </c>
      <c r="AA579" s="3">
        <v>25</v>
      </c>
      <c r="AB579" s="3">
        <v>6</v>
      </c>
      <c r="AC579">
        <v>155</v>
      </c>
      <c r="AD579" s="9">
        <f t="shared" si="167"/>
        <v>7052.166666666667</v>
      </c>
      <c r="AE579">
        <f t="shared" si="156"/>
        <v>2555730</v>
      </c>
      <c r="AF579" s="2">
        <f t="shared" si="160"/>
        <v>30.200000000000003</v>
      </c>
      <c r="AG579" t="str">
        <f t="shared" si="168"/>
        <v>117小时</v>
      </c>
      <c r="AH579">
        <f t="shared" si="169"/>
        <v>91</v>
      </c>
      <c r="AI579">
        <f t="shared" si="170"/>
        <v>16</v>
      </c>
      <c r="AJ579">
        <f t="shared" si="157"/>
        <v>53.8</v>
      </c>
      <c r="AK579">
        <f t="shared" si="171"/>
        <v>27</v>
      </c>
      <c r="AL579">
        <f t="shared" si="158"/>
        <v>30.200000000000003</v>
      </c>
      <c r="AM579" s="2">
        <f t="shared" si="172"/>
        <v>16</v>
      </c>
      <c r="AX579">
        <v>576</v>
      </c>
      <c r="AZ579" s="3"/>
      <c r="BB579" s="2">
        <f t="shared" ref="BB579:BB642" si="173">100+FLOOR((AX579-190)/30,1)*5</f>
        <v>160</v>
      </c>
      <c r="BC579">
        <f t="shared" si="159"/>
        <v>11.916850625459896</v>
      </c>
      <c r="BD579" s="2">
        <f t="shared" si="161"/>
        <v>53.8</v>
      </c>
      <c r="BE579">
        <f t="shared" si="162"/>
        <v>30.200000000000003</v>
      </c>
      <c r="BF579">
        <f t="shared" si="163"/>
        <v>173952.00000000003</v>
      </c>
    </row>
    <row r="580" spans="1:58" ht="14.25" x14ac:dyDescent="0.2">
      <c r="A580" s="11">
        <v>10647</v>
      </c>
      <c r="B580" s="13">
        <f t="shared" si="164"/>
        <v>11</v>
      </c>
      <c r="C580" s="15">
        <f t="shared" si="165"/>
        <v>8</v>
      </c>
      <c r="D580" s="14">
        <f t="shared" si="166"/>
        <v>8</v>
      </c>
      <c r="E580" t="s">
        <v>2777</v>
      </c>
      <c r="F580" t="s">
        <v>2835</v>
      </c>
      <c r="G580" t="s">
        <v>2779</v>
      </c>
      <c r="H580" t="s">
        <v>2779</v>
      </c>
      <c r="I580" t="s">
        <v>2780</v>
      </c>
      <c r="J580" s="4" t="s">
        <v>2838</v>
      </c>
      <c r="K580" t="s">
        <v>162</v>
      </c>
      <c r="L580" t="s">
        <v>163</v>
      </c>
      <c r="M580" t="s">
        <v>163</v>
      </c>
      <c r="N580" t="s">
        <v>163</v>
      </c>
      <c r="O580" s="6" t="s">
        <v>1009</v>
      </c>
      <c r="P580">
        <v>0</v>
      </c>
      <c r="Q580" s="24">
        <v>44.5</v>
      </c>
      <c r="R580" s="25">
        <v>58.5</v>
      </c>
      <c r="S580" s="26">
        <v>44</v>
      </c>
      <c r="Y580">
        <v>10</v>
      </c>
      <c r="Z580">
        <v>30</v>
      </c>
      <c r="AA580" s="3">
        <v>25</v>
      </c>
      <c r="AB580" s="3">
        <v>6</v>
      </c>
      <c r="AC580">
        <v>155</v>
      </c>
      <c r="AD580" s="9">
        <f t="shared" si="167"/>
        <v>7052.166666666667</v>
      </c>
      <c r="AE580">
        <f t="shared" ref="AE580:AE643" si="174">INDEX(V:V,MATCH(AC580,U:U,0))</f>
        <v>2555730</v>
      </c>
      <c r="AF580" s="2">
        <f t="shared" si="160"/>
        <v>30.200000000000003</v>
      </c>
      <c r="AG580" t="str">
        <f t="shared" si="168"/>
        <v>117小时</v>
      </c>
      <c r="AH580">
        <f t="shared" si="169"/>
        <v>91</v>
      </c>
      <c r="AI580">
        <f t="shared" si="170"/>
        <v>16</v>
      </c>
      <c r="AJ580">
        <f t="shared" ref="AJ580:AJ643" si="175">BD580</f>
        <v>53.8</v>
      </c>
      <c r="AK580">
        <f t="shared" si="171"/>
        <v>27</v>
      </c>
      <c r="AL580">
        <f t="shared" ref="AL580:AL643" si="176">BE580</f>
        <v>30.200000000000003</v>
      </c>
      <c r="AM580" s="2">
        <f t="shared" si="172"/>
        <v>16</v>
      </c>
      <c r="AX580">
        <v>577</v>
      </c>
      <c r="AZ580" s="3"/>
      <c r="BB580" s="2">
        <f t="shared" si="173"/>
        <v>160</v>
      </c>
      <c r="BC580">
        <f t="shared" ref="BC580:BC643" si="177">INDEX($W:$W,MATCH(BB580,$U:$U,0))/(BE580*60*60/5)</f>
        <v>11.916850625459896</v>
      </c>
      <c r="BD580" s="2">
        <f t="shared" si="161"/>
        <v>53.8</v>
      </c>
      <c r="BE580">
        <f t="shared" si="162"/>
        <v>30.200000000000003</v>
      </c>
      <c r="BF580">
        <f t="shared" si="163"/>
        <v>173952.00000000003</v>
      </c>
    </row>
    <row r="581" spans="1:58" ht="14.25" x14ac:dyDescent="0.2">
      <c r="A581" s="11">
        <v>10648</v>
      </c>
      <c r="B581" s="13">
        <f t="shared" si="164"/>
        <v>11</v>
      </c>
      <c r="C581" s="15">
        <f t="shared" si="165"/>
        <v>8</v>
      </c>
      <c r="D581" s="14">
        <f t="shared" si="166"/>
        <v>8</v>
      </c>
      <c r="E581" t="s">
        <v>2777</v>
      </c>
      <c r="F581" t="s">
        <v>2836</v>
      </c>
      <c r="G581" t="s">
        <v>2779</v>
      </c>
      <c r="H581" t="s">
        <v>2779</v>
      </c>
      <c r="I581" t="s">
        <v>2780</v>
      </c>
      <c r="J581" s="4" t="s">
        <v>2838</v>
      </c>
      <c r="K581" t="s">
        <v>177</v>
      </c>
      <c r="L581" t="s">
        <v>163</v>
      </c>
      <c r="M581" t="s">
        <v>163</v>
      </c>
      <c r="N581" t="s">
        <v>163</v>
      </c>
      <c r="O581" s="6" t="s">
        <v>1011</v>
      </c>
      <c r="P581">
        <v>0</v>
      </c>
      <c r="Q581" s="24">
        <v>44.5</v>
      </c>
      <c r="R581" s="25">
        <v>58.5</v>
      </c>
      <c r="S581" s="26">
        <v>44</v>
      </c>
      <c r="Y581">
        <v>10</v>
      </c>
      <c r="Z581">
        <v>30</v>
      </c>
      <c r="AA581" s="3">
        <v>25</v>
      </c>
      <c r="AB581" s="3">
        <v>6</v>
      </c>
      <c r="AC581">
        <v>155</v>
      </c>
      <c r="AD581" s="9">
        <f t="shared" si="167"/>
        <v>7052.166666666667</v>
      </c>
      <c r="AE581">
        <f t="shared" si="174"/>
        <v>2555730</v>
      </c>
      <c r="AF581" s="2">
        <f t="shared" ref="AF581:AF644" si="178">BE581</f>
        <v>30.200000000000003</v>
      </c>
      <c r="AG581" t="str">
        <f t="shared" si="168"/>
        <v>117小时</v>
      </c>
      <c r="AH581">
        <f t="shared" si="169"/>
        <v>91</v>
      </c>
      <c r="AI581">
        <f t="shared" si="170"/>
        <v>16</v>
      </c>
      <c r="AJ581">
        <f t="shared" si="175"/>
        <v>53.8</v>
      </c>
      <c r="AK581">
        <f t="shared" si="171"/>
        <v>27</v>
      </c>
      <c r="AL581">
        <f t="shared" si="176"/>
        <v>30.200000000000003</v>
      </c>
      <c r="AM581" s="2">
        <f t="shared" si="172"/>
        <v>16</v>
      </c>
      <c r="AX581">
        <v>578</v>
      </c>
      <c r="AZ581" s="3"/>
      <c r="BB581" s="2">
        <f t="shared" si="173"/>
        <v>160</v>
      </c>
      <c r="BC581">
        <f t="shared" si="177"/>
        <v>11.916850625459896</v>
      </c>
      <c r="BD581" s="2">
        <f t="shared" ref="BD581:BD644" si="179">ROUNDUP(BE581*1.5,1)+8.5</f>
        <v>53.8</v>
      </c>
      <c r="BE581">
        <f t="shared" ref="BE581:BE644" si="180">FLOOR(ROUNDUP(AX581/5,0)*0.25+1.25,0.1)</f>
        <v>30.200000000000003</v>
      </c>
      <c r="BF581">
        <f t="shared" ref="BF581:BF644" si="181">BE581*8*60*60/5</f>
        <v>173952.00000000003</v>
      </c>
    </row>
    <row r="582" spans="1:58" ht="14.25" x14ac:dyDescent="0.2">
      <c r="A582" s="11">
        <v>10649</v>
      </c>
      <c r="B582" s="13">
        <f t="shared" si="164"/>
        <v>11</v>
      </c>
      <c r="C582" s="15">
        <f t="shared" si="165"/>
        <v>8</v>
      </c>
      <c r="D582" s="14">
        <f t="shared" si="166"/>
        <v>8</v>
      </c>
      <c r="E582" t="s">
        <v>2777</v>
      </c>
      <c r="F582" t="s">
        <v>2837</v>
      </c>
      <c r="G582" t="s">
        <v>2779</v>
      </c>
      <c r="H582" t="s">
        <v>2779</v>
      </c>
      <c r="I582" t="s">
        <v>2780</v>
      </c>
      <c r="J582" s="4" t="s">
        <v>2838</v>
      </c>
      <c r="K582" t="s">
        <v>174</v>
      </c>
      <c r="L582" t="s">
        <v>163</v>
      </c>
      <c r="M582" t="s">
        <v>163</v>
      </c>
      <c r="N582" t="s">
        <v>163</v>
      </c>
      <c r="O582" s="6" t="s">
        <v>1013</v>
      </c>
      <c r="P582">
        <v>0</v>
      </c>
      <c r="Q582" s="24">
        <v>44.5</v>
      </c>
      <c r="R582" s="25">
        <v>58.5</v>
      </c>
      <c r="S582" s="26">
        <v>44</v>
      </c>
      <c r="Y582">
        <v>10</v>
      </c>
      <c r="Z582">
        <v>30</v>
      </c>
      <c r="AA582" s="3">
        <v>25</v>
      </c>
      <c r="AB582" s="3">
        <v>6</v>
      </c>
      <c r="AC582">
        <v>155</v>
      </c>
      <c r="AD582" s="9">
        <f t="shared" si="167"/>
        <v>7052.166666666667</v>
      </c>
      <c r="AE582">
        <f t="shared" si="174"/>
        <v>2555730</v>
      </c>
      <c r="AF582" s="2">
        <f t="shared" si="178"/>
        <v>30.200000000000003</v>
      </c>
      <c r="AG582" t="str">
        <f t="shared" si="168"/>
        <v>117小时</v>
      </c>
      <c r="AH582">
        <f t="shared" si="169"/>
        <v>91</v>
      </c>
      <c r="AI582">
        <f t="shared" si="170"/>
        <v>16</v>
      </c>
      <c r="AJ582">
        <f t="shared" si="175"/>
        <v>53.8</v>
      </c>
      <c r="AK582">
        <f t="shared" si="171"/>
        <v>27</v>
      </c>
      <c r="AL582">
        <f t="shared" si="176"/>
        <v>30.200000000000003</v>
      </c>
      <c r="AM582" s="2">
        <f t="shared" si="172"/>
        <v>16</v>
      </c>
      <c r="AX582">
        <v>579</v>
      </c>
      <c r="AZ582" s="3"/>
      <c r="BB582" s="2">
        <f t="shared" si="173"/>
        <v>160</v>
      </c>
      <c r="BC582">
        <f t="shared" si="177"/>
        <v>11.916850625459896</v>
      </c>
      <c r="BD582" s="2">
        <f t="shared" si="179"/>
        <v>53.8</v>
      </c>
      <c r="BE582">
        <f t="shared" si="180"/>
        <v>30.200000000000003</v>
      </c>
      <c r="BF582">
        <f t="shared" si="181"/>
        <v>173952.00000000003</v>
      </c>
    </row>
    <row r="583" spans="1:58" ht="14.25" x14ac:dyDescent="0.2">
      <c r="A583" s="11">
        <v>10650</v>
      </c>
      <c r="B583" s="13">
        <f t="shared" si="164"/>
        <v>11</v>
      </c>
      <c r="C583" s="15">
        <f t="shared" si="165"/>
        <v>8</v>
      </c>
      <c r="D583" s="14">
        <f t="shared" si="166"/>
        <v>8</v>
      </c>
      <c r="E583" t="s">
        <v>2785</v>
      </c>
      <c r="F583" t="s">
        <v>2786</v>
      </c>
      <c r="G583" t="s">
        <v>2828</v>
      </c>
      <c r="H583" t="s">
        <v>2829</v>
      </c>
      <c r="I583" t="s">
        <v>2697</v>
      </c>
      <c r="J583" s="4" t="s">
        <v>2876</v>
      </c>
      <c r="K583" t="s">
        <v>166</v>
      </c>
      <c r="L583" t="s">
        <v>163</v>
      </c>
      <c r="M583" t="s">
        <v>163</v>
      </c>
      <c r="N583" t="s">
        <v>163</v>
      </c>
      <c r="O583" s="6" t="s">
        <v>1013</v>
      </c>
      <c r="P583">
        <v>0</v>
      </c>
      <c r="Q583" s="24">
        <v>44.5</v>
      </c>
      <c r="R583" s="25">
        <v>58.5</v>
      </c>
      <c r="S583" s="26">
        <v>44</v>
      </c>
      <c r="Y583">
        <v>10</v>
      </c>
      <c r="Z583">
        <v>30</v>
      </c>
      <c r="AA583" s="3">
        <v>25</v>
      </c>
      <c r="AB583" s="3">
        <v>6</v>
      </c>
      <c r="AC583">
        <v>155</v>
      </c>
      <c r="AD583" s="9">
        <f t="shared" si="167"/>
        <v>7052.166666666667</v>
      </c>
      <c r="AE583">
        <f t="shared" si="174"/>
        <v>2555730</v>
      </c>
      <c r="AF583" s="2">
        <f t="shared" si="178"/>
        <v>30.200000000000003</v>
      </c>
      <c r="AG583" t="str">
        <f t="shared" si="168"/>
        <v>117小时</v>
      </c>
      <c r="AH583">
        <f t="shared" si="169"/>
        <v>91</v>
      </c>
      <c r="AI583">
        <f t="shared" si="170"/>
        <v>16</v>
      </c>
      <c r="AJ583">
        <f t="shared" si="175"/>
        <v>53.8</v>
      </c>
      <c r="AK583">
        <f t="shared" si="171"/>
        <v>27</v>
      </c>
      <c r="AL583">
        <f t="shared" si="176"/>
        <v>30.200000000000003</v>
      </c>
      <c r="AM583" s="2">
        <f t="shared" si="172"/>
        <v>16</v>
      </c>
      <c r="AX583">
        <v>580</v>
      </c>
      <c r="AZ583" s="3"/>
      <c r="BB583" s="2">
        <f t="shared" si="173"/>
        <v>165</v>
      </c>
      <c r="BC583">
        <f t="shared" si="177"/>
        <v>13.262279249448122</v>
      </c>
      <c r="BD583" s="2">
        <f t="shared" si="179"/>
        <v>53.8</v>
      </c>
      <c r="BE583">
        <f t="shared" si="180"/>
        <v>30.200000000000003</v>
      </c>
      <c r="BF583">
        <f t="shared" si="181"/>
        <v>173952.00000000003</v>
      </c>
    </row>
    <row r="584" spans="1:58" ht="14.25" x14ac:dyDescent="0.2">
      <c r="A584" s="11">
        <v>10701</v>
      </c>
      <c r="B584" s="13">
        <f t="shared" si="164"/>
        <v>11</v>
      </c>
      <c r="C584" s="15">
        <f t="shared" si="165"/>
        <v>8</v>
      </c>
      <c r="D584" s="14">
        <f t="shared" si="166"/>
        <v>8</v>
      </c>
      <c r="E584" t="s">
        <v>2777</v>
      </c>
      <c r="F584" t="s">
        <v>2834</v>
      </c>
      <c r="G584" t="s">
        <v>2779</v>
      </c>
      <c r="H584" t="s">
        <v>2779</v>
      </c>
      <c r="I584" t="s">
        <v>2780</v>
      </c>
      <c r="J584" s="4" t="s">
        <v>2839</v>
      </c>
      <c r="K584" t="s">
        <v>168</v>
      </c>
      <c r="L584" t="s">
        <v>163</v>
      </c>
      <c r="M584" t="s">
        <v>163</v>
      </c>
      <c r="N584" t="s">
        <v>163</v>
      </c>
      <c r="O584" s="6" t="s">
        <v>1015</v>
      </c>
      <c r="P584">
        <v>0</v>
      </c>
      <c r="Q584" s="24">
        <v>44.8</v>
      </c>
      <c r="R584" s="25">
        <v>59</v>
      </c>
      <c r="S584" s="26">
        <v>44.3</v>
      </c>
      <c r="Y584">
        <v>10</v>
      </c>
      <c r="Z584">
        <v>30</v>
      </c>
      <c r="AA584" s="3">
        <v>25</v>
      </c>
      <c r="AB584" s="3">
        <v>6</v>
      </c>
      <c r="AC584">
        <v>155</v>
      </c>
      <c r="AD584" s="9">
        <f t="shared" si="167"/>
        <v>6982.833333333333</v>
      </c>
      <c r="AE584">
        <f t="shared" si="174"/>
        <v>2555730</v>
      </c>
      <c r="AF584" s="2">
        <f t="shared" si="178"/>
        <v>30.5</v>
      </c>
      <c r="AG584" t="str">
        <f t="shared" si="168"/>
        <v>116小时</v>
      </c>
      <c r="AH584">
        <f t="shared" si="169"/>
        <v>92</v>
      </c>
      <c r="AI584">
        <f t="shared" si="170"/>
        <v>16</v>
      </c>
      <c r="AJ584">
        <f t="shared" si="175"/>
        <v>54.300000000000004</v>
      </c>
      <c r="AK584">
        <f t="shared" si="171"/>
        <v>28</v>
      </c>
      <c r="AL584">
        <f t="shared" si="176"/>
        <v>30.5</v>
      </c>
      <c r="AM584" s="2">
        <f t="shared" si="172"/>
        <v>16</v>
      </c>
      <c r="AX584">
        <v>581</v>
      </c>
      <c r="AZ584" s="3"/>
      <c r="BB584" s="2">
        <f t="shared" si="173"/>
        <v>165</v>
      </c>
      <c r="BC584">
        <f t="shared" si="177"/>
        <v>13.131830601092895</v>
      </c>
      <c r="BD584" s="2">
        <f t="shared" si="179"/>
        <v>54.300000000000004</v>
      </c>
      <c r="BE584">
        <f t="shared" si="180"/>
        <v>30.5</v>
      </c>
      <c r="BF584">
        <f t="shared" si="181"/>
        <v>175680</v>
      </c>
    </row>
    <row r="585" spans="1:58" ht="14.25" x14ac:dyDescent="0.2">
      <c r="A585" s="11">
        <v>10702</v>
      </c>
      <c r="B585" s="13">
        <f t="shared" si="164"/>
        <v>11</v>
      </c>
      <c r="C585" s="15">
        <f t="shared" si="165"/>
        <v>8</v>
      </c>
      <c r="D585" s="14">
        <f t="shared" si="166"/>
        <v>8</v>
      </c>
      <c r="E585" t="s">
        <v>2777</v>
      </c>
      <c r="F585" t="s">
        <v>2835</v>
      </c>
      <c r="G585" t="s">
        <v>2779</v>
      </c>
      <c r="H585" t="s">
        <v>2779</v>
      </c>
      <c r="I585" t="s">
        <v>2780</v>
      </c>
      <c r="J585" s="4" t="s">
        <v>2839</v>
      </c>
      <c r="K585" t="s">
        <v>175</v>
      </c>
      <c r="L585" t="s">
        <v>164</v>
      </c>
      <c r="M585" t="s">
        <v>163</v>
      </c>
      <c r="N585" t="s">
        <v>167</v>
      </c>
      <c r="O585" s="6" t="s">
        <v>1017</v>
      </c>
      <c r="P585">
        <v>0</v>
      </c>
      <c r="Q585" s="24">
        <v>44.8</v>
      </c>
      <c r="R585" s="25">
        <v>59</v>
      </c>
      <c r="S585" s="26">
        <v>44.3</v>
      </c>
      <c r="Y585">
        <v>10</v>
      </c>
      <c r="Z585">
        <v>30</v>
      </c>
      <c r="AA585" s="3">
        <v>25</v>
      </c>
      <c r="AB585" s="3">
        <v>6</v>
      </c>
      <c r="AC585">
        <v>155</v>
      </c>
      <c r="AD585" s="9">
        <f t="shared" si="167"/>
        <v>6982.833333333333</v>
      </c>
      <c r="AE585">
        <f t="shared" si="174"/>
        <v>2555730</v>
      </c>
      <c r="AF585" s="2">
        <f t="shared" si="178"/>
        <v>30.5</v>
      </c>
      <c r="AG585" t="str">
        <f t="shared" si="168"/>
        <v>116小时</v>
      </c>
      <c r="AH585">
        <f t="shared" si="169"/>
        <v>92</v>
      </c>
      <c r="AI585">
        <f t="shared" si="170"/>
        <v>16</v>
      </c>
      <c r="AJ585">
        <f t="shared" si="175"/>
        <v>54.300000000000004</v>
      </c>
      <c r="AK585">
        <f t="shared" si="171"/>
        <v>28</v>
      </c>
      <c r="AL585">
        <f t="shared" si="176"/>
        <v>30.5</v>
      </c>
      <c r="AM585" s="2">
        <f t="shared" si="172"/>
        <v>16</v>
      </c>
      <c r="AX585">
        <v>582</v>
      </c>
      <c r="AZ585" s="3"/>
      <c r="BB585" s="2">
        <f t="shared" si="173"/>
        <v>165</v>
      </c>
      <c r="BC585">
        <f t="shared" si="177"/>
        <v>13.131830601092895</v>
      </c>
      <c r="BD585" s="2">
        <f t="shared" si="179"/>
        <v>54.300000000000004</v>
      </c>
      <c r="BE585">
        <f t="shared" si="180"/>
        <v>30.5</v>
      </c>
      <c r="BF585">
        <f t="shared" si="181"/>
        <v>175680</v>
      </c>
    </row>
    <row r="586" spans="1:58" ht="14.25" x14ac:dyDescent="0.2">
      <c r="A586" s="11">
        <v>10703</v>
      </c>
      <c r="B586" s="13">
        <f t="shared" si="164"/>
        <v>11</v>
      </c>
      <c r="C586" s="15">
        <f t="shared" si="165"/>
        <v>8</v>
      </c>
      <c r="D586" s="14">
        <f t="shared" si="166"/>
        <v>8</v>
      </c>
      <c r="E586" t="s">
        <v>2777</v>
      </c>
      <c r="F586" t="s">
        <v>2836</v>
      </c>
      <c r="G586" t="s">
        <v>2779</v>
      </c>
      <c r="H586" t="s">
        <v>2779</v>
      </c>
      <c r="I586" t="s">
        <v>2780</v>
      </c>
      <c r="J586" s="4" t="s">
        <v>2839</v>
      </c>
      <c r="K586" t="s">
        <v>179</v>
      </c>
      <c r="L586" t="s">
        <v>163</v>
      </c>
      <c r="M586" t="s">
        <v>163</v>
      </c>
      <c r="N586" t="s">
        <v>163</v>
      </c>
      <c r="O586" s="6" t="s">
        <v>1019</v>
      </c>
      <c r="P586">
        <v>0</v>
      </c>
      <c r="Q586" s="24">
        <v>44.8</v>
      </c>
      <c r="R586" s="25">
        <v>59</v>
      </c>
      <c r="S586" s="26">
        <v>44.3</v>
      </c>
      <c r="Y586">
        <v>10</v>
      </c>
      <c r="Z586">
        <v>30</v>
      </c>
      <c r="AA586" s="3">
        <v>25</v>
      </c>
      <c r="AB586" s="3">
        <v>6</v>
      </c>
      <c r="AC586">
        <v>155</v>
      </c>
      <c r="AD586" s="9">
        <f t="shared" si="167"/>
        <v>6982.833333333333</v>
      </c>
      <c r="AE586">
        <f t="shared" si="174"/>
        <v>2555730</v>
      </c>
      <c r="AF586" s="2">
        <f t="shared" si="178"/>
        <v>30.5</v>
      </c>
      <c r="AG586" t="str">
        <f t="shared" si="168"/>
        <v>116小时</v>
      </c>
      <c r="AH586">
        <f t="shared" si="169"/>
        <v>92</v>
      </c>
      <c r="AI586">
        <f t="shared" si="170"/>
        <v>16</v>
      </c>
      <c r="AJ586">
        <f t="shared" si="175"/>
        <v>54.300000000000004</v>
      </c>
      <c r="AK586">
        <f t="shared" si="171"/>
        <v>28</v>
      </c>
      <c r="AL586">
        <f t="shared" si="176"/>
        <v>30.5</v>
      </c>
      <c r="AM586" s="2">
        <f t="shared" si="172"/>
        <v>16</v>
      </c>
      <c r="AX586">
        <v>583</v>
      </c>
      <c r="AZ586" s="3"/>
      <c r="BB586" s="2">
        <f t="shared" si="173"/>
        <v>165</v>
      </c>
      <c r="BC586">
        <f t="shared" si="177"/>
        <v>13.131830601092895</v>
      </c>
      <c r="BD586" s="2">
        <f t="shared" si="179"/>
        <v>54.300000000000004</v>
      </c>
      <c r="BE586">
        <f t="shared" si="180"/>
        <v>30.5</v>
      </c>
      <c r="BF586">
        <f t="shared" si="181"/>
        <v>175680</v>
      </c>
    </row>
    <row r="587" spans="1:58" ht="14.25" x14ac:dyDescent="0.2">
      <c r="A587" s="11">
        <v>10704</v>
      </c>
      <c r="B587" s="13">
        <f t="shared" si="164"/>
        <v>11</v>
      </c>
      <c r="C587" s="15">
        <f t="shared" si="165"/>
        <v>8</v>
      </c>
      <c r="D587" s="14">
        <f t="shared" si="166"/>
        <v>8</v>
      </c>
      <c r="E587" t="s">
        <v>2777</v>
      </c>
      <c r="F587" t="s">
        <v>2837</v>
      </c>
      <c r="G587" t="s">
        <v>2779</v>
      </c>
      <c r="H587" t="s">
        <v>2779</v>
      </c>
      <c r="I587" t="s">
        <v>2780</v>
      </c>
      <c r="J587" s="4" t="s">
        <v>2839</v>
      </c>
      <c r="K587" t="s">
        <v>177</v>
      </c>
      <c r="L587" t="s">
        <v>163</v>
      </c>
      <c r="M587" t="s">
        <v>163</v>
      </c>
      <c r="N587" t="s">
        <v>163</v>
      </c>
      <c r="O587" s="6" t="s">
        <v>1019</v>
      </c>
      <c r="P587">
        <v>0</v>
      </c>
      <c r="Q587" s="24">
        <v>44.8</v>
      </c>
      <c r="R587" s="25">
        <v>59</v>
      </c>
      <c r="S587" s="26">
        <v>44.3</v>
      </c>
      <c r="Y587">
        <v>10</v>
      </c>
      <c r="Z587">
        <v>30</v>
      </c>
      <c r="AA587" s="3">
        <v>25</v>
      </c>
      <c r="AB587" s="3">
        <v>6</v>
      </c>
      <c r="AC587">
        <v>155</v>
      </c>
      <c r="AD587" s="9">
        <f t="shared" si="167"/>
        <v>6982.833333333333</v>
      </c>
      <c r="AE587">
        <f t="shared" si="174"/>
        <v>2555730</v>
      </c>
      <c r="AF587" s="2">
        <f t="shared" si="178"/>
        <v>30.5</v>
      </c>
      <c r="AG587" t="str">
        <f t="shared" si="168"/>
        <v>116小时</v>
      </c>
      <c r="AH587">
        <f t="shared" si="169"/>
        <v>92</v>
      </c>
      <c r="AI587">
        <f t="shared" si="170"/>
        <v>16</v>
      </c>
      <c r="AJ587">
        <f t="shared" si="175"/>
        <v>54.300000000000004</v>
      </c>
      <c r="AK587">
        <f t="shared" si="171"/>
        <v>28</v>
      </c>
      <c r="AL587">
        <f t="shared" si="176"/>
        <v>30.5</v>
      </c>
      <c r="AM587" s="2">
        <f t="shared" si="172"/>
        <v>16</v>
      </c>
      <c r="AX587">
        <v>584</v>
      </c>
      <c r="AZ587" s="3"/>
      <c r="BB587" s="2">
        <f t="shared" si="173"/>
        <v>165</v>
      </c>
      <c r="BC587">
        <f t="shared" si="177"/>
        <v>13.131830601092895</v>
      </c>
      <c r="BD587" s="2">
        <f t="shared" si="179"/>
        <v>54.300000000000004</v>
      </c>
      <c r="BE587">
        <f t="shared" si="180"/>
        <v>30.5</v>
      </c>
      <c r="BF587">
        <f t="shared" si="181"/>
        <v>175680</v>
      </c>
    </row>
    <row r="588" spans="1:58" ht="14.25" x14ac:dyDescent="0.2">
      <c r="A588" s="11">
        <v>10705</v>
      </c>
      <c r="B588" s="13">
        <f t="shared" si="164"/>
        <v>11</v>
      </c>
      <c r="C588" s="15">
        <f t="shared" si="165"/>
        <v>8</v>
      </c>
      <c r="D588" s="14">
        <f t="shared" si="166"/>
        <v>8</v>
      </c>
      <c r="E588" t="s">
        <v>2785</v>
      </c>
      <c r="F588" t="s">
        <v>2786</v>
      </c>
      <c r="G588" t="s">
        <v>2830</v>
      </c>
      <c r="H588" t="s">
        <v>2829</v>
      </c>
      <c r="I588" t="s">
        <v>2697</v>
      </c>
      <c r="J588" s="4" t="s">
        <v>2859</v>
      </c>
      <c r="K588" t="s">
        <v>174</v>
      </c>
      <c r="L588" t="s">
        <v>163</v>
      </c>
      <c r="M588" t="s">
        <v>163</v>
      </c>
      <c r="N588" t="s">
        <v>163</v>
      </c>
      <c r="O588" s="6" t="s">
        <v>1021</v>
      </c>
      <c r="P588">
        <v>0</v>
      </c>
      <c r="Q588" s="24">
        <v>44.8</v>
      </c>
      <c r="R588" s="25">
        <v>59</v>
      </c>
      <c r="S588" s="26">
        <v>44.3</v>
      </c>
      <c r="Y588">
        <v>10</v>
      </c>
      <c r="Z588">
        <v>30</v>
      </c>
      <c r="AA588" s="3">
        <v>25</v>
      </c>
      <c r="AB588" s="3">
        <v>6</v>
      </c>
      <c r="AC588">
        <v>155</v>
      </c>
      <c r="AD588" s="9">
        <f t="shared" si="167"/>
        <v>6982.833333333333</v>
      </c>
      <c r="AE588">
        <f t="shared" si="174"/>
        <v>2555730</v>
      </c>
      <c r="AF588" s="2">
        <f t="shared" si="178"/>
        <v>30.5</v>
      </c>
      <c r="AG588" t="str">
        <f t="shared" si="168"/>
        <v>116小时</v>
      </c>
      <c r="AH588">
        <f t="shared" si="169"/>
        <v>92</v>
      </c>
      <c r="AI588">
        <f t="shared" si="170"/>
        <v>16</v>
      </c>
      <c r="AJ588">
        <f t="shared" si="175"/>
        <v>54.300000000000004</v>
      </c>
      <c r="AK588">
        <f t="shared" si="171"/>
        <v>28</v>
      </c>
      <c r="AL588">
        <f t="shared" si="176"/>
        <v>30.5</v>
      </c>
      <c r="AM588" s="2">
        <f t="shared" si="172"/>
        <v>16</v>
      </c>
      <c r="AX588">
        <v>585</v>
      </c>
      <c r="AZ588" s="3"/>
      <c r="BB588" s="2">
        <f t="shared" si="173"/>
        <v>165</v>
      </c>
      <c r="BC588">
        <f t="shared" si="177"/>
        <v>13.131830601092895</v>
      </c>
      <c r="BD588" s="2">
        <f t="shared" si="179"/>
        <v>54.300000000000004</v>
      </c>
      <c r="BE588">
        <f t="shared" si="180"/>
        <v>30.5</v>
      </c>
      <c r="BF588">
        <f t="shared" si="181"/>
        <v>175680</v>
      </c>
    </row>
    <row r="589" spans="1:58" ht="14.25" x14ac:dyDescent="0.2">
      <c r="A589" s="11">
        <v>10706</v>
      </c>
      <c r="B589" s="13">
        <f t="shared" si="164"/>
        <v>11</v>
      </c>
      <c r="C589" s="15">
        <f t="shared" si="165"/>
        <v>8</v>
      </c>
      <c r="D589" s="14">
        <f t="shared" si="166"/>
        <v>8</v>
      </c>
      <c r="E589" t="s">
        <v>2777</v>
      </c>
      <c r="F589" t="s">
        <v>2834</v>
      </c>
      <c r="G589" t="s">
        <v>2779</v>
      </c>
      <c r="H589" t="s">
        <v>2779</v>
      </c>
      <c r="I589" t="s">
        <v>2780</v>
      </c>
      <c r="J589" s="4" t="s">
        <v>2839</v>
      </c>
      <c r="K589" t="s">
        <v>182</v>
      </c>
      <c r="L589" t="s">
        <v>163</v>
      </c>
      <c r="M589" t="s">
        <v>163</v>
      </c>
      <c r="N589" t="s">
        <v>163</v>
      </c>
      <c r="O589" s="6" t="s">
        <v>1023</v>
      </c>
      <c r="P589">
        <v>0</v>
      </c>
      <c r="Q589" s="24">
        <v>45.2</v>
      </c>
      <c r="R589" s="25">
        <v>59.5</v>
      </c>
      <c r="S589" s="26">
        <v>44.5</v>
      </c>
      <c r="Y589">
        <v>10</v>
      </c>
      <c r="Z589">
        <v>30</v>
      </c>
      <c r="AA589" s="3">
        <v>25</v>
      </c>
      <c r="AB589" s="3">
        <v>6</v>
      </c>
      <c r="AC589">
        <v>155</v>
      </c>
      <c r="AD589" s="9">
        <f t="shared" si="167"/>
        <v>6937.3333333333339</v>
      </c>
      <c r="AE589">
        <f t="shared" si="174"/>
        <v>2555730</v>
      </c>
      <c r="AF589" s="2">
        <f t="shared" si="178"/>
        <v>30.700000000000003</v>
      </c>
      <c r="AG589" t="str">
        <f t="shared" si="168"/>
        <v>115小时</v>
      </c>
      <c r="AH589">
        <f t="shared" si="169"/>
        <v>93</v>
      </c>
      <c r="AI589">
        <f t="shared" si="170"/>
        <v>16</v>
      </c>
      <c r="AJ589">
        <f t="shared" si="175"/>
        <v>54.6</v>
      </c>
      <c r="AK589">
        <f t="shared" si="171"/>
        <v>28</v>
      </c>
      <c r="AL589">
        <f t="shared" si="176"/>
        <v>30.700000000000003</v>
      </c>
      <c r="AM589" s="2">
        <f t="shared" si="172"/>
        <v>16</v>
      </c>
      <c r="AX589">
        <v>586</v>
      </c>
      <c r="AZ589" s="3"/>
      <c r="BB589" s="2">
        <f t="shared" si="173"/>
        <v>165</v>
      </c>
      <c r="BC589">
        <f t="shared" si="177"/>
        <v>13.046281216069488</v>
      </c>
      <c r="BD589" s="2">
        <f t="shared" si="179"/>
        <v>54.6</v>
      </c>
      <c r="BE589">
        <f t="shared" si="180"/>
        <v>30.700000000000003</v>
      </c>
      <c r="BF589">
        <f t="shared" si="181"/>
        <v>176832.00000000003</v>
      </c>
    </row>
    <row r="590" spans="1:58" ht="14.25" x14ac:dyDescent="0.2">
      <c r="A590" s="11">
        <v>10707</v>
      </c>
      <c r="B590" s="13">
        <f t="shared" si="164"/>
        <v>11</v>
      </c>
      <c r="C590" s="15">
        <f t="shared" si="165"/>
        <v>8</v>
      </c>
      <c r="D590" s="14">
        <f t="shared" si="166"/>
        <v>8</v>
      </c>
      <c r="E590" t="s">
        <v>2777</v>
      </c>
      <c r="F590" t="s">
        <v>2835</v>
      </c>
      <c r="G590" t="s">
        <v>2779</v>
      </c>
      <c r="H590" t="s">
        <v>2779</v>
      </c>
      <c r="I590" t="s">
        <v>2780</v>
      </c>
      <c r="J590" s="4" t="s">
        <v>2839</v>
      </c>
      <c r="K590" t="s">
        <v>162</v>
      </c>
      <c r="L590" t="s">
        <v>163</v>
      </c>
      <c r="M590" t="s">
        <v>163</v>
      </c>
      <c r="N590" t="s">
        <v>163</v>
      </c>
      <c r="O590" s="6" t="s">
        <v>1023</v>
      </c>
      <c r="P590">
        <v>0</v>
      </c>
      <c r="Q590" s="24">
        <v>45.2</v>
      </c>
      <c r="R590" s="25">
        <v>59.5</v>
      </c>
      <c r="S590" s="26">
        <v>44.5</v>
      </c>
      <c r="Y590">
        <v>10</v>
      </c>
      <c r="Z590">
        <v>30</v>
      </c>
      <c r="AA590" s="3">
        <v>25</v>
      </c>
      <c r="AB590" s="3">
        <v>6</v>
      </c>
      <c r="AC590">
        <v>155</v>
      </c>
      <c r="AD590" s="9">
        <f t="shared" si="167"/>
        <v>6937.3333333333339</v>
      </c>
      <c r="AE590">
        <f t="shared" si="174"/>
        <v>2555730</v>
      </c>
      <c r="AF590" s="2">
        <f t="shared" si="178"/>
        <v>30.700000000000003</v>
      </c>
      <c r="AG590" t="str">
        <f t="shared" si="168"/>
        <v>115小时</v>
      </c>
      <c r="AH590">
        <f t="shared" si="169"/>
        <v>93</v>
      </c>
      <c r="AI590">
        <f t="shared" si="170"/>
        <v>16</v>
      </c>
      <c r="AJ590">
        <f t="shared" si="175"/>
        <v>54.6</v>
      </c>
      <c r="AK590">
        <f t="shared" si="171"/>
        <v>28</v>
      </c>
      <c r="AL590">
        <f t="shared" si="176"/>
        <v>30.700000000000003</v>
      </c>
      <c r="AM590" s="2">
        <f t="shared" si="172"/>
        <v>16</v>
      </c>
      <c r="AX590">
        <v>587</v>
      </c>
      <c r="AZ590" s="3"/>
      <c r="BB590" s="2">
        <f t="shared" si="173"/>
        <v>165</v>
      </c>
      <c r="BC590">
        <f t="shared" si="177"/>
        <v>13.046281216069488</v>
      </c>
      <c r="BD590" s="2">
        <f t="shared" si="179"/>
        <v>54.6</v>
      </c>
      <c r="BE590">
        <f t="shared" si="180"/>
        <v>30.700000000000003</v>
      </c>
      <c r="BF590">
        <f t="shared" si="181"/>
        <v>176832.00000000003</v>
      </c>
    </row>
    <row r="591" spans="1:58" ht="14.25" x14ac:dyDescent="0.2">
      <c r="A591" s="11">
        <v>10708</v>
      </c>
      <c r="B591" s="13">
        <f t="shared" si="164"/>
        <v>11</v>
      </c>
      <c r="C591" s="15">
        <f t="shared" si="165"/>
        <v>9</v>
      </c>
      <c r="D591" s="14">
        <f t="shared" si="166"/>
        <v>8</v>
      </c>
      <c r="E591" t="s">
        <v>2777</v>
      </c>
      <c r="F591" t="s">
        <v>2836</v>
      </c>
      <c r="G591" t="s">
        <v>2779</v>
      </c>
      <c r="H591" t="s">
        <v>2779</v>
      </c>
      <c r="I591" t="s">
        <v>2780</v>
      </c>
      <c r="J591" s="4" t="s">
        <v>2839</v>
      </c>
      <c r="K591" t="s">
        <v>177</v>
      </c>
      <c r="L591" t="s">
        <v>163</v>
      </c>
      <c r="M591" t="s">
        <v>163</v>
      </c>
      <c r="N591" t="s">
        <v>163</v>
      </c>
      <c r="O591" s="6" t="s">
        <v>1025</v>
      </c>
      <c r="P591">
        <v>0</v>
      </c>
      <c r="Q591" s="24">
        <v>45.2</v>
      </c>
      <c r="R591" s="25">
        <v>59.5</v>
      </c>
      <c r="S591" s="26">
        <v>44.5</v>
      </c>
      <c r="Y591">
        <v>10</v>
      </c>
      <c r="Z591">
        <v>30</v>
      </c>
      <c r="AA591" s="3">
        <v>25</v>
      </c>
      <c r="AB591" s="3">
        <v>6</v>
      </c>
      <c r="AC591">
        <v>155</v>
      </c>
      <c r="AD591" s="9">
        <f t="shared" si="167"/>
        <v>6937.3333333333339</v>
      </c>
      <c r="AE591">
        <f t="shared" si="174"/>
        <v>2555730</v>
      </c>
      <c r="AF591" s="2">
        <f t="shared" si="178"/>
        <v>30.700000000000003</v>
      </c>
      <c r="AG591" t="str">
        <f t="shared" si="168"/>
        <v>115小时</v>
      </c>
      <c r="AH591">
        <f t="shared" si="169"/>
        <v>93</v>
      </c>
      <c r="AI591">
        <f t="shared" si="170"/>
        <v>16</v>
      </c>
      <c r="AJ591">
        <f t="shared" si="175"/>
        <v>54.6</v>
      </c>
      <c r="AK591">
        <f t="shared" si="171"/>
        <v>28</v>
      </c>
      <c r="AL591">
        <f t="shared" si="176"/>
        <v>30.700000000000003</v>
      </c>
      <c r="AM591" s="2">
        <f t="shared" si="172"/>
        <v>16</v>
      </c>
      <c r="AX591">
        <v>588</v>
      </c>
      <c r="AZ591" s="3"/>
      <c r="BB591" s="2">
        <f t="shared" si="173"/>
        <v>165</v>
      </c>
      <c r="BC591">
        <f t="shared" si="177"/>
        <v>13.046281216069488</v>
      </c>
      <c r="BD591" s="2">
        <f t="shared" si="179"/>
        <v>54.6</v>
      </c>
      <c r="BE591">
        <f t="shared" si="180"/>
        <v>30.700000000000003</v>
      </c>
      <c r="BF591">
        <f t="shared" si="181"/>
        <v>176832.00000000003</v>
      </c>
    </row>
    <row r="592" spans="1:58" ht="14.25" x14ac:dyDescent="0.2">
      <c r="A592" s="11">
        <v>10709</v>
      </c>
      <c r="B592" s="13">
        <f t="shared" ref="B592:B655" si="182">FLOOR(R590/5,1)</f>
        <v>11</v>
      </c>
      <c r="C592" s="15">
        <f t="shared" ref="C592:C655" si="183">FLOOR(Q590/5,1)</f>
        <v>9</v>
      </c>
      <c r="D592" s="14">
        <f t="shared" ref="D592:D655" si="184">FLOOR(S590/5,1)</f>
        <v>8</v>
      </c>
      <c r="E592" t="s">
        <v>2777</v>
      </c>
      <c r="F592" t="s">
        <v>2837</v>
      </c>
      <c r="G592" t="s">
        <v>2779</v>
      </c>
      <c r="H592" t="s">
        <v>2779</v>
      </c>
      <c r="I592" t="s">
        <v>2780</v>
      </c>
      <c r="J592" s="4" t="s">
        <v>2839</v>
      </c>
      <c r="K592" t="s">
        <v>174</v>
      </c>
      <c r="L592" t="s">
        <v>163</v>
      </c>
      <c r="M592" t="s">
        <v>163</v>
      </c>
      <c r="N592" t="s">
        <v>163</v>
      </c>
      <c r="O592" s="6" t="s">
        <v>1027</v>
      </c>
      <c r="P592">
        <v>0</v>
      </c>
      <c r="Q592" s="24">
        <v>45.2</v>
      </c>
      <c r="R592" s="25">
        <v>59.5</v>
      </c>
      <c r="S592" s="26">
        <v>44.5</v>
      </c>
      <c r="Y592">
        <v>10</v>
      </c>
      <c r="Z592">
        <v>30</v>
      </c>
      <c r="AA592" s="3">
        <v>25</v>
      </c>
      <c r="AB592" s="3">
        <v>6</v>
      </c>
      <c r="AC592">
        <v>155</v>
      </c>
      <c r="AD592" s="9">
        <f t="shared" si="167"/>
        <v>6937.3333333333339</v>
      </c>
      <c r="AE592">
        <f t="shared" si="174"/>
        <v>2555730</v>
      </c>
      <c r="AF592" s="2">
        <f t="shared" si="178"/>
        <v>30.700000000000003</v>
      </c>
      <c r="AG592" t="str">
        <f t="shared" si="168"/>
        <v>115小时</v>
      </c>
      <c r="AH592">
        <f t="shared" si="169"/>
        <v>93</v>
      </c>
      <c r="AI592">
        <f t="shared" si="170"/>
        <v>16</v>
      </c>
      <c r="AJ592">
        <f t="shared" si="175"/>
        <v>54.6</v>
      </c>
      <c r="AK592">
        <f t="shared" si="171"/>
        <v>28</v>
      </c>
      <c r="AL592">
        <f t="shared" si="176"/>
        <v>30.700000000000003</v>
      </c>
      <c r="AM592" s="2">
        <f t="shared" si="172"/>
        <v>16</v>
      </c>
      <c r="AX592">
        <v>589</v>
      </c>
      <c r="AZ592" s="3"/>
      <c r="BB592" s="2">
        <f t="shared" si="173"/>
        <v>165</v>
      </c>
      <c r="BC592">
        <f t="shared" si="177"/>
        <v>13.046281216069488</v>
      </c>
      <c r="BD592" s="2">
        <f t="shared" si="179"/>
        <v>54.6</v>
      </c>
      <c r="BE592">
        <f t="shared" si="180"/>
        <v>30.700000000000003</v>
      </c>
      <c r="BF592">
        <f t="shared" si="181"/>
        <v>176832.00000000003</v>
      </c>
    </row>
    <row r="593" spans="1:58" ht="14.25" x14ac:dyDescent="0.2">
      <c r="A593" s="11">
        <v>10710</v>
      </c>
      <c r="B593" s="13">
        <f t="shared" si="182"/>
        <v>11</v>
      </c>
      <c r="C593" s="15">
        <f t="shared" si="183"/>
        <v>9</v>
      </c>
      <c r="D593" s="14">
        <f t="shared" si="184"/>
        <v>8</v>
      </c>
      <c r="E593" t="s">
        <v>2785</v>
      </c>
      <c r="F593" t="s">
        <v>2786</v>
      </c>
      <c r="G593" t="s">
        <v>2831</v>
      </c>
      <c r="H593" t="s">
        <v>2829</v>
      </c>
      <c r="I593" t="s">
        <v>2697</v>
      </c>
      <c r="J593" s="4" t="s">
        <v>2859</v>
      </c>
      <c r="K593" t="s">
        <v>166</v>
      </c>
      <c r="L593" t="s">
        <v>163</v>
      </c>
      <c r="M593" t="s">
        <v>163</v>
      </c>
      <c r="N593" t="s">
        <v>163</v>
      </c>
      <c r="O593" s="6" t="s">
        <v>1027</v>
      </c>
      <c r="P593">
        <v>0</v>
      </c>
      <c r="Q593" s="24">
        <v>45.2</v>
      </c>
      <c r="R593" s="25">
        <v>59.5</v>
      </c>
      <c r="S593" s="26">
        <v>44.5</v>
      </c>
      <c r="Y593">
        <v>10</v>
      </c>
      <c r="Z593">
        <v>30</v>
      </c>
      <c r="AA593" s="3">
        <v>25</v>
      </c>
      <c r="AB593" s="3">
        <v>6</v>
      </c>
      <c r="AC593">
        <v>155</v>
      </c>
      <c r="AD593" s="9">
        <f t="shared" si="167"/>
        <v>6937.3333333333339</v>
      </c>
      <c r="AE593">
        <f t="shared" si="174"/>
        <v>2555730</v>
      </c>
      <c r="AF593" s="2">
        <f t="shared" si="178"/>
        <v>30.700000000000003</v>
      </c>
      <c r="AG593" t="str">
        <f t="shared" si="168"/>
        <v>115小时</v>
      </c>
      <c r="AH593">
        <f t="shared" si="169"/>
        <v>93</v>
      </c>
      <c r="AI593">
        <f t="shared" si="170"/>
        <v>16</v>
      </c>
      <c r="AJ593">
        <f t="shared" si="175"/>
        <v>54.6</v>
      </c>
      <c r="AK593">
        <f t="shared" si="171"/>
        <v>28</v>
      </c>
      <c r="AL593">
        <f t="shared" si="176"/>
        <v>30.700000000000003</v>
      </c>
      <c r="AM593" s="2">
        <f t="shared" si="172"/>
        <v>16</v>
      </c>
      <c r="AX593">
        <v>590</v>
      </c>
      <c r="AZ593" s="3"/>
      <c r="BB593" s="2">
        <f t="shared" si="173"/>
        <v>165</v>
      </c>
      <c r="BC593">
        <f t="shared" si="177"/>
        <v>13.046281216069488</v>
      </c>
      <c r="BD593" s="2">
        <f t="shared" si="179"/>
        <v>54.6</v>
      </c>
      <c r="BE593">
        <f t="shared" si="180"/>
        <v>30.700000000000003</v>
      </c>
      <c r="BF593">
        <f t="shared" si="181"/>
        <v>176832.00000000003</v>
      </c>
    </row>
    <row r="594" spans="1:58" ht="14.25" x14ac:dyDescent="0.2">
      <c r="A594" s="11">
        <v>10711</v>
      </c>
      <c r="B594" s="13">
        <f t="shared" si="182"/>
        <v>11</v>
      </c>
      <c r="C594" s="15">
        <f t="shared" si="183"/>
        <v>9</v>
      </c>
      <c r="D594" s="14">
        <f t="shared" si="184"/>
        <v>8</v>
      </c>
      <c r="E594" t="s">
        <v>2777</v>
      </c>
      <c r="F594" t="s">
        <v>2834</v>
      </c>
      <c r="G594" t="s">
        <v>2779</v>
      </c>
      <c r="H594" t="s">
        <v>2779</v>
      </c>
      <c r="I594" t="s">
        <v>2780</v>
      </c>
      <c r="J594" s="4" t="s">
        <v>2839</v>
      </c>
      <c r="K594" t="s">
        <v>168</v>
      </c>
      <c r="L594" t="s">
        <v>163</v>
      </c>
      <c r="M594" t="s">
        <v>163</v>
      </c>
      <c r="N594" t="s">
        <v>163</v>
      </c>
      <c r="O594" s="6" t="s">
        <v>1029</v>
      </c>
      <c r="P594">
        <v>0</v>
      </c>
      <c r="Q594" s="24">
        <v>45.5</v>
      </c>
      <c r="R594" s="25">
        <v>60</v>
      </c>
      <c r="S594" s="26">
        <v>44.8</v>
      </c>
      <c r="Y594">
        <v>10</v>
      </c>
      <c r="Z594">
        <v>30</v>
      </c>
      <c r="AA594" s="3">
        <v>25</v>
      </c>
      <c r="AB594" s="3">
        <v>6</v>
      </c>
      <c r="AC594">
        <v>155</v>
      </c>
      <c r="AD594" s="9">
        <f t="shared" si="167"/>
        <v>6870.1666666666661</v>
      </c>
      <c r="AE594">
        <f t="shared" si="174"/>
        <v>2555730</v>
      </c>
      <c r="AF594" s="2">
        <f t="shared" si="178"/>
        <v>31</v>
      </c>
      <c r="AG594" t="str">
        <f t="shared" si="168"/>
        <v>114小时</v>
      </c>
      <c r="AH594">
        <f t="shared" si="169"/>
        <v>93</v>
      </c>
      <c r="AI594">
        <f t="shared" si="170"/>
        <v>16</v>
      </c>
      <c r="AJ594">
        <f t="shared" si="175"/>
        <v>55</v>
      </c>
      <c r="AK594">
        <f t="shared" si="171"/>
        <v>28</v>
      </c>
      <c r="AL594">
        <f t="shared" si="176"/>
        <v>31</v>
      </c>
      <c r="AM594" s="2">
        <f t="shared" si="172"/>
        <v>16</v>
      </c>
      <c r="AX594">
        <v>591</v>
      </c>
      <c r="AZ594" s="3"/>
      <c r="BB594" s="2">
        <f t="shared" si="173"/>
        <v>165</v>
      </c>
      <c r="BC594">
        <f t="shared" si="177"/>
        <v>12.92002688172043</v>
      </c>
      <c r="BD594" s="2">
        <f t="shared" si="179"/>
        <v>55</v>
      </c>
      <c r="BE594">
        <f t="shared" si="180"/>
        <v>31</v>
      </c>
      <c r="BF594">
        <f t="shared" si="181"/>
        <v>178560</v>
      </c>
    </row>
    <row r="595" spans="1:58" ht="14.25" x14ac:dyDescent="0.2">
      <c r="A595" s="11">
        <v>10712</v>
      </c>
      <c r="B595" s="13">
        <f t="shared" si="182"/>
        <v>11</v>
      </c>
      <c r="C595" s="15">
        <f t="shared" si="183"/>
        <v>9</v>
      </c>
      <c r="D595" s="14">
        <f t="shared" si="184"/>
        <v>8</v>
      </c>
      <c r="E595" t="s">
        <v>2777</v>
      </c>
      <c r="F595" t="s">
        <v>2835</v>
      </c>
      <c r="G595" t="s">
        <v>2779</v>
      </c>
      <c r="H595" t="s">
        <v>2779</v>
      </c>
      <c r="I595" t="s">
        <v>2780</v>
      </c>
      <c r="J595" s="4" t="s">
        <v>2839</v>
      </c>
      <c r="K595" t="s">
        <v>175</v>
      </c>
      <c r="L595" t="s">
        <v>164</v>
      </c>
      <c r="M595" t="s">
        <v>163</v>
      </c>
      <c r="N595" t="s">
        <v>167</v>
      </c>
      <c r="O595" s="6" t="s">
        <v>1031</v>
      </c>
      <c r="P595">
        <v>0</v>
      </c>
      <c r="Q595" s="24">
        <v>45.5</v>
      </c>
      <c r="R595" s="25">
        <v>60</v>
      </c>
      <c r="S595" s="26">
        <v>44.8</v>
      </c>
      <c r="Y595">
        <v>10</v>
      </c>
      <c r="Z595">
        <v>30</v>
      </c>
      <c r="AA595" s="3">
        <v>25</v>
      </c>
      <c r="AB595" s="3">
        <v>6</v>
      </c>
      <c r="AC595">
        <v>155</v>
      </c>
      <c r="AD595" s="9">
        <f t="shared" si="167"/>
        <v>6870.1666666666661</v>
      </c>
      <c r="AE595">
        <f t="shared" si="174"/>
        <v>2555730</v>
      </c>
      <c r="AF595" s="2">
        <f t="shared" si="178"/>
        <v>31</v>
      </c>
      <c r="AG595" t="str">
        <f t="shared" si="168"/>
        <v>114小时</v>
      </c>
      <c r="AH595">
        <f t="shared" si="169"/>
        <v>93</v>
      </c>
      <c r="AI595">
        <f t="shared" si="170"/>
        <v>16</v>
      </c>
      <c r="AJ595">
        <f t="shared" si="175"/>
        <v>55</v>
      </c>
      <c r="AK595">
        <f t="shared" si="171"/>
        <v>28</v>
      </c>
      <c r="AL595">
        <f t="shared" si="176"/>
        <v>31</v>
      </c>
      <c r="AM595" s="2">
        <f t="shared" si="172"/>
        <v>16</v>
      </c>
      <c r="AX595">
        <v>592</v>
      </c>
      <c r="AZ595" s="3"/>
      <c r="BB595" s="2">
        <f t="shared" si="173"/>
        <v>165</v>
      </c>
      <c r="BC595">
        <f t="shared" si="177"/>
        <v>12.92002688172043</v>
      </c>
      <c r="BD595" s="2">
        <f t="shared" si="179"/>
        <v>55</v>
      </c>
      <c r="BE595">
        <f t="shared" si="180"/>
        <v>31</v>
      </c>
      <c r="BF595">
        <f t="shared" si="181"/>
        <v>178560</v>
      </c>
    </row>
    <row r="596" spans="1:58" ht="14.25" x14ac:dyDescent="0.2">
      <c r="A596" s="11">
        <v>10713</v>
      </c>
      <c r="B596" s="13">
        <f t="shared" si="182"/>
        <v>12</v>
      </c>
      <c r="C596" s="15">
        <f t="shared" si="183"/>
        <v>9</v>
      </c>
      <c r="D596" s="14">
        <f t="shared" si="184"/>
        <v>8</v>
      </c>
      <c r="E596" t="s">
        <v>2777</v>
      </c>
      <c r="F596" t="s">
        <v>2836</v>
      </c>
      <c r="G596" t="s">
        <v>2779</v>
      </c>
      <c r="H596" t="s">
        <v>2779</v>
      </c>
      <c r="I596" t="s">
        <v>2780</v>
      </c>
      <c r="J596" s="4" t="s">
        <v>2839</v>
      </c>
      <c r="K596" t="s">
        <v>179</v>
      </c>
      <c r="L596" t="s">
        <v>163</v>
      </c>
      <c r="M596" t="s">
        <v>163</v>
      </c>
      <c r="N596" t="s">
        <v>163</v>
      </c>
      <c r="O596" s="6" t="s">
        <v>1033</v>
      </c>
      <c r="P596">
        <v>0</v>
      </c>
      <c r="Q596" s="24">
        <v>45.5</v>
      </c>
      <c r="R596" s="25">
        <v>60</v>
      </c>
      <c r="S596" s="26">
        <v>44.8</v>
      </c>
      <c r="Y596">
        <v>10</v>
      </c>
      <c r="Z596">
        <v>30</v>
      </c>
      <c r="AA596" s="3">
        <v>25</v>
      </c>
      <c r="AB596" s="3">
        <v>6</v>
      </c>
      <c r="AC596">
        <v>155</v>
      </c>
      <c r="AD596" s="9">
        <f t="shared" si="167"/>
        <v>6870.1666666666661</v>
      </c>
      <c r="AE596">
        <f t="shared" si="174"/>
        <v>2555730</v>
      </c>
      <c r="AF596" s="2">
        <f t="shared" si="178"/>
        <v>31</v>
      </c>
      <c r="AG596" t="str">
        <f t="shared" si="168"/>
        <v>114小时</v>
      </c>
      <c r="AH596">
        <f t="shared" si="169"/>
        <v>93</v>
      </c>
      <c r="AI596">
        <f t="shared" si="170"/>
        <v>16</v>
      </c>
      <c r="AJ596">
        <f t="shared" si="175"/>
        <v>55</v>
      </c>
      <c r="AK596">
        <f t="shared" si="171"/>
        <v>28</v>
      </c>
      <c r="AL596">
        <f t="shared" si="176"/>
        <v>31</v>
      </c>
      <c r="AM596" s="2">
        <f t="shared" si="172"/>
        <v>16</v>
      </c>
      <c r="AX596">
        <v>593</v>
      </c>
      <c r="AZ596" s="3"/>
      <c r="BB596" s="2">
        <f t="shared" si="173"/>
        <v>165</v>
      </c>
      <c r="BC596">
        <f t="shared" si="177"/>
        <v>12.92002688172043</v>
      </c>
      <c r="BD596" s="2">
        <f t="shared" si="179"/>
        <v>55</v>
      </c>
      <c r="BE596">
        <f t="shared" si="180"/>
        <v>31</v>
      </c>
      <c r="BF596">
        <f t="shared" si="181"/>
        <v>178560</v>
      </c>
    </row>
    <row r="597" spans="1:58" ht="14.25" x14ac:dyDescent="0.2">
      <c r="A597" s="11">
        <v>10714</v>
      </c>
      <c r="B597" s="13">
        <f t="shared" si="182"/>
        <v>12</v>
      </c>
      <c r="C597" s="15">
        <f t="shared" si="183"/>
        <v>9</v>
      </c>
      <c r="D597" s="14">
        <f t="shared" si="184"/>
        <v>8</v>
      </c>
      <c r="E597" t="s">
        <v>2777</v>
      </c>
      <c r="F597" t="s">
        <v>2837</v>
      </c>
      <c r="G597" t="s">
        <v>2779</v>
      </c>
      <c r="H597" t="s">
        <v>2779</v>
      </c>
      <c r="I597" t="s">
        <v>2780</v>
      </c>
      <c r="J597" s="4" t="s">
        <v>2839</v>
      </c>
      <c r="K597" t="s">
        <v>177</v>
      </c>
      <c r="L597" t="s">
        <v>163</v>
      </c>
      <c r="M597" t="s">
        <v>163</v>
      </c>
      <c r="N597" t="s">
        <v>163</v>
      </c>
      <c r="O597" s="6" t="s">
        <v>1033</v>
      </c>
      <c r="P597">
        <v>0</v>
      </c>
      <c r="Q597" s="24">
        <v>45.5</v>
      </c>
      <c r="R597" s="25">
        <v>60</v>
      </c>
      <c r="S597" s="26">
        <v>44.8</v>
      </c>
      <c r="Y597">
        <v>10</v>
      </c>
      <c r="Z597">
        <v>30</v>
      </c>
      <c r="AA597" s="3">
        <v>25</v>
      </c>
      <c r="AB597" s="3">
        <v>6</v>
      </c>
      <c r="AC597">
        <v>155</v>
      </c>
      <c r="AD597" s="9">
        <f t="shared" si="167"/>
        <v>6870.1666666666661</v>
      </c>
      <c r="AE597">
        <f t="shared" si="174"/>
        <v>2555730</v>
      </c>
      <c r="AF597" s="2">
        <f t="shared" si="178"/>
        <v>31</v>
      </c>
      <c r="AG597" t="str">
        <f t="shared" si="168"/>
        <v>114小时</v>
      </c>
      <c r="AH597">
        <f t="shared" si="169"/>
        <v>93</v>
      </c>
      <c r="AI597">
        <f t="shared" si="170"/>
        <v>16</v>
      </c>
      <c r="AJ597">
        <f t="shared" si="175"/>
        <v>55</v>
      </c>
      <c r="AK597">
        <f t="shared" si="171"/>
        <v>28</v>
      </c>
      <c r="AL597">
        <f t="shared" si="176"/>
        <v>31</v>
      </c>
      <c r="AM597" s="2">
        <f t="shared" si="172"/>
        <v>16</v>
      </c>
      <c r="AX597">
        <v>594</v>
      </c>
      <c r="AZ597" s="3"/>
      <c r="BB597" s="2">
        <f t="shared" si="173"/>
        <v>165</v>
      </c>
      <c r="BC597">
        <f t="shared" si="177"/>
        <v>12.92002688172043</v>
      </c>
      <c r="BD597" s="2">
        <f t="shared" si="179"/>
        <v>55</v>
      </c>
      <c r="BE597">
        <f t="shared" si="180"/>
        <v>31</v>
      </c>
      <c r="BF597">
        <f t="shared" si="181"/>
        <v>178560</v>
      </c>
    </row>
    <row r="598" spans="1:58" ht="14.25" x14ac:dyDescent="0.2">
      <c r="A598" s="11">
        <v>10715</v>
      </c>
      <c r="B598" s="13">
        <f t="shared" si="182"/>
        <v>12</v>
      </c>
      <c r="C598" s="15">
        <f t="shared" si="183"/>
        <v>9</v>
      </c>
      <c r="D598" s="14">
        <f t="shared" si="184"/>
        <v>8</v>
      </c>
      <c r="E598" t="s">
        <v>2785</v>
      </c>
      <c r="F598" t="s">
        <v>2786</v>
      </c>
      <c r="G598" t="s">
        <v>2832</v>
      </c>
      <c r="H598" t="s">
        <v>2829</v>
      </c>
      <c r="I598" t="s">
        <v>2697</v>
      </c>
      <c r="J598" s="4" t="s">
        <v>2859</v>
      </c>
      <c r="K598" t="s">
        <v>174</v>
      </c>
      <c r="L598" t="s">
        <v>163</v>
      </c>
      <c r="M598" t="s">
        <v>163</v>
      </c>
      <c r="N598" t="s">
        <v>163</v>
      </c>
      <c r="O598" s="6" t="s">
        <v>1035</v>
      </c>
      <c r="P598">
        <v>0</v>
      </c>
      <c r="Q598" s="24">
        <v>45.5</v>
      </c>
      <c r="R598" s="25">
        <v>60</v>
      </c>
      <c r="S598" s="26">
        <v>44.8</v>
      </c>
      <c r="Y598">
        <v>10</v>
      </c>
      <c r="Z598">
        <v>30</v>
      </c>
      <c r="AA598" s="3">
        <v>25</v>
      </c>
      <c r="AB598" s="3">
        <v>6</v>
      </c>
      <c r="AC598">
        <v>155</v>
      </c>
      <c r="AD598" s="9">
        <f t="shared" si="167"/>
        <v>6870.1666666666661</v>
      </c>
      <c r="AE598">
        <f t="shared" si="174"/>
        <v>2555730</v>
      </c>
      <c r="AF598" s="2">
        <f t="shared" si="178"/>
        <v>31</v>
      </c>
      <c r="AG598" t="str">
        <f t="shared" si="168"/>
        <v>114小时</v>
      </c>
      <c r="AH598">
        <f t="shared" si="169"/>
        <v>93</v>
      </c>
      <c r="AI598">
        <f t="shared" si="170"/>
        <v>16</v>
      </c>
      <c r="AJ598">
        <f t="shared" si="175"/>
        <v>55</v>
      </c>
      <c r="AK598">
        <f t="shared" si="171"/>
        <v>28</v>
      </c>
      <c r="AL598">
        <f t="shared" si="176"/>
        <v>31</v>
      </c>
      <c r="AM598" s="2">
        <f t="shared" si="172"/>
        <v>16</v>
      </c>
      <c r="AX598">
        <v>595</v>
      </c>
      <c r="AZ598" s="3"/>
      <c r="BB598" s="2">
        <f t="shared" si="173"/>
        <v>165</v>
      </c>
      <c r="BC598">
        <f t="shared" si="177"/>
        <v>12.92002688172043</v>
      </c>
      <c r="BD598" s="2">
        <f t="shared" si="179"/>
        <v>55</v>
      </c>
      <c r="BE598">
        <f t="shared" si="180"/>
        <v>31</v>
      </c>
      <c r="BF598">
        <f t="shared" si="181"/>
        <v>178560</v>
      </c>
    </row>
    <row r="599" spans="1:58" ht="14.25" x14ac:dyDescent="0.2">
      <c r="A599" s="11">
        <v>10716</v>
      </c>
      <c r="B599" s="13">
        <f t="shared" si="182"/>
        <v>12</v>
      </c>
      <c r="C599" s="15">
        <f t="shared" si="183"/>
        <v>9</v>
      </c>
      <c r="D599" s="14">
        <f t="shared" si="184"/>
        <v>8</v>
      </c>
      <c r="E599" t="s">
        <v>2777</v>
      </c>
      <c r="F599" t="s">
        <v>2834</v>
      </c>
      <c r="G599" t="s">
        <v>2779</v>
      </c>
      <c r="H599" t="s">
        <v>2779</v>
      </c>
      <c r="I599" t="s">
        <v>2780</v>
      </c>
      <c r="J599" s="4" t="s">
        <v>2839</v>
      </c>
      <c r="K599" t="s">
        <v>182</v>
      </c>
      <c r="L599" t="s">
        <v>163</v>
      </c>
      <c r="M599" t="s">
        <v>163</v>
      </c>
      <c r="N599" t="s">
        <v>163</v>
      </c>
      <c r="O599" s="6" t="s">
        <v>1037</v>
      </c>
      <c r="P599">
        <v>0</v>
      </c>
      <c r="Q599" s="24">
        <v>45.8</v>
      </c>
      <c r="R599" s="25">
        <v>60.5</v>
      </c>
      <c r="S599" s="26">
        <v>45</v>
      </c>
      <c r="Y599">
        <v>10</v>
      </c>
      <c r="Z599">
        <v>30</v>
      </c>
      <c r="AA599" s="3">
        <v>25</v>
      </c>
      <c r="AB599" s="3">
        <v>6</v>
      </c>
      <c r="AC599">
        <v>155</v>
      </c>
      <c r="AD599" s="9">
        <f t="shared" si="167"/>
        <v>6826.166666666667</v>
      </c>
      <c r="AE599">
        <f t="shared" si="174"/>
        <v>2555730</v>
      </c>
      <c r="AF599" s="2">
        <f t="shared" si="178"/>
        <v>31.200000000000003</v>
      </c>
      <c r="AG599" t="str">
        <f t="shared" si="168"/>
        <v>113小时</v>
      </c>
      <c r="AH599">
        <f t="shared" si="169"/>
        <v>94</v>
      </c>
      <c r="AI599">
        <f t="shared" si="170"/>
        <v>16</v>
      </c>
      <c r="AJ599">
        <f t="shared" si="175"/>
        <v>55.3</v>
      </c>
      <c r="AK599">
        <f t="shared" si="171"/>
        <v>28</v>
      </c>
      <c r="AL599">
        <f t="shared" si="176"/>
        <v>31.200000000000003</v>
      </c>
      <c r="AM599" s="2">
        <f t="shared" si="172"/>
        <v>16</v>
      </c>
      <c r="AX599">
        <v>596</v>
      </c>
      <c r="AZ599" s="3"/>
      <c r="BB599" s="2">
        <f t="shared" si="173"/>
        <v>165</v>
      </c>
      <c r="BC599">
        <f t="shared" si="177"/>
        <v>12.837206196581194</v>
      </c>
      <c r="BD599" s="2">
        <f t="shared" si="179"/>
        <v>55.3</v>
      </c>
      <c r="BE599">
        <f t="shared" si="180"/>
        <v>31.200000000000003</v>
      </c>
      <c r="BF599">
        <f t="shared" si="181"/>
        <v>179712.00000000003</v>
      </c>
    </row>
    <row r="600" spans="1:58" ht="14.25" x14ac:dyDescent="0.2">
      <c r="A600" s="11">
        <v>10717</v>
      </c>
      <c r="B600" s="13">
        <f t="shared" si="182"/>
        <v>12</v>
      </c>
      <c r="C600" s="15">
        <f t="shared" si="183"/>
        <v>9</v>
      </c>
      <c r="D600" s="14">
        <f t="shared" si="184"/>
        <v>8</v>
      </c>
      <c r="E600" t="s">
        <v>2777</v>
      </c>
      <c r="F600" t="s">
        <v>2835</v>
      </c>
      <c r="G600" t="s">
        <v>2779</v>
      </c>
      <c r="H600" t="s">
        <v>2779</v>
      </c>
      <c r="I600" t="s">
        <v>2780</v>
      </c>
      <c r="J600" s="4" t="s">
        <v>2839</v>
      </c>
      <c r="K600" t="s">
        <v>162</v>
      </c>
      <c r="L600" t="s">
        <v>163</v>
      </c>
      <c r="M600" t="s">
        <v>163</v>
      </c>
      <c r="N600" t="s">
        <v>163</v>
      </c>
      <c r="O600" s="6" t="s">
        <v>1037</v>
      </c>
      <c r="P600">
        <v>0</v>
      </c>
      <c r="Q600" s="24">
        <v>45.8</v>
      </c>
      <c r="R600" s="25">
        <v>60.5</v>
      </c>
      <c r="S600" s="26">
        <v>45</v>
      </c>
      <c r="Y600">
        <v>10</v>
      </c>
      <c r="Z600">
        <v>30</v>
      </c>
      <c r="AA600" s="3">
        <v>25</v>
      </c>
      <c r="AB600" s="3">
        <v>6</v>
      </c>
      <c r="AC600">
        <v>155</v>
      </c>
      <c r="AD600" s="9">
        <f t="shared" si="167"/>
        <v>6826.166666666667</v>
      </c>
      <c r="AE600">
        <f t="shared" si="174"/>
        <v>2555730</v>
      </c>
      <c r="AF600" s="2">
        <f t="shared" si="178"/>
        <v>31.200000000000003</v>
      </c>
      <c r="AG600" t="str">
        <f t="shared" si="168"/>
        <v>113小时</v>
      </c>
      <c r="AH600">
        <f t="shared" si="169"/>
        <v>94</v>
      </c>
      <c r="AI600">
        <f t="shared" si="170"/>
        <v>16</v>
      </c>
      <c r="AJ600">
        <f t="shared" si="175"/>
        <v>55.3</v>
      </c>
      <c r="AK600">
        <f t="shared" si="171"/>
        <v>28</v>
      </c>
      <c r="AL600">
        <f t="shared" si="176"/>
        <v>31.200000000000003</v>
      </c>
      <c r="AM600" s="2">
        <f t="shared" si="172"/>
        <v>16</v>
      </c>
      <c r="AX600">
        <v>597</v>
      </c>
      <c r="AZ600" s="3"/>
      <c r="BB600" s="2">
        <f t="shared" si="173"/>
        <v>165</v>
      </c>
      <c r="BC600">
        <f t="shared" si="177"/>
        <v>12.837206196581194</v>
      </c>
      <c r="BD600" s="2">
        <f t="shared" si="179"/>
        <v>55.3</v>
      </c>
      <c r="BE600">
        <f t="shared" si="180"/>
        <v>31.200000000000003</v>
      </c>
      <c r="BF600">
        <f t="shared" si="181"/>
        <v>179712.00000000003</v>
      </c>
    </row>
    <row r="601" spans="1:58" ht="14.25" x14ac:dyDescent="0.2">
      <c r="A601" s="11">
        <v>10718</v>
      </c>
      <c r="B601" s="13">
        <f t="shared" si="182"/>
        <v>12</v>
      </c>
      <c r="C601" s="15">
        <f t="shared" si="183"/>
        <v>9</v>
      </c>
      <c r="D601" s="14">
        <f t="shared" si="184"/>
        <v>9</v>
      </c>
      <c r="E601" t="s">
        <v>2777</v>
      </c>
      <c r="F601" t="s">
        <v>2836</v>
      </c>
      <c r="G601" t="s">
        <v>2779</v>
      </c>
      <c r="H601" t="s">
        <v>2779</v>
      </c>
      <c r="I601" t="s">
        <v>2780</v>
      </c>
      <c r="J601" s="4" t="s">
        <v>2839</v>
      </c>
      <c r="K601" t="s">
        <v>177</v>
      </c>
      <c r="L601" t="s">
        <v>163</v>
      </c>
      <c r="M601" t="s">
        <v>163</v>
      </c>
      <c r="N601" t="s">
        <v>163</v>
      </c>
      <c r="O601" s="6" t="s">
        <v>1039</v>
      </c>
      <c r="P601">
        <v>0</v>
      </c>
      <c r="Q601" s="24">
        <v>45.8</v>
      </c>
      <c r="R601" s="25">
        <v>60.5</v>
      </c>
      <c r="S601" s="26">
        <v>45</v>
      </c>
      <c r="Y601">
        <v>10</v>
      </c>
      <c r="Z601">
        <v>30</v>
      </c>
      <c r="AA601" s="3">
        <v>25</v>
      </c>
      <c r="AB601" s="3">
        <v>6</v>
      </c>
      <c r="AC601">
        <v>155</v>
      </c>
      <c r="AD601" s="9">
        <f t="shared" si="167"/>
        <v>6826.166666666667</v>
      </c>
      <c r="AE601">
        <f t="shared" si="174"/>
        <v>2555730</v>
      </c>
      <c r="AF601" s="2">
        <f t="shared" si="178"/>
        <v>31.200000000000003</v>
      </c>
      <c r="AG601" t="str">
        <f t="shared" si="168"/>
        <v>113小时</v>
      </c>
      <c r="AH601">
        <f t="shared" si="169"/>
        <v>94</v>
      </c>
      <c r="AI601">
        <f t="shared" si="170"/>
        <v>16</v>
      </c>
      <c r="AJ601">
        <f t="shared" si="175"/>
        <v>55.3</v>
      </c>
      <c r="AK601">
        <f t="shared" si="171"/>
        <v>28</v>
      </c>
      <c r="AL601">
        <f t="shared" si="176"/>
        <v>31.200000000000003</v>
      </c>
      <c r="AM601" s="2">
        <f t="shared" si="172"/>
        <v>16</v>
      </c>
      <c r="AX601">
        <v>598</v>
      </c>
      <c r="AZ601" s="3"/>
      <c r="BB601" s="2">
        <f t="shared" si="173"/>
        <v>165</v>
      </c>
      <c r="BC601">
        <f t="shared" si="177"/>
        <v>12.837206196581194</v>
      </c>
      <c r="BD601" s="2">
        <f t="shared" si="179"/>
        <v>55.3</v>
      </c>
      <c r="BE601">
        <f t="shared" si="180"/>
        <v>31.200000000000003</v>
      </c>
      <c r="BF601">
        <f t="shared" si="181"/>
        <v>179712.00000000003</v>
      </c>
    </row>
    <row r="602" spans="1:58" ht="14.25" x14ac:dyDescent="0.2">
      <c r="A602" s="11">
        <v>10719</v>
      </c>
      <c r="B602" s="13">
        <f t="shared" si="182"/>
        <v>12</v>
      </c>
      <c r="C602" s="15">
        <f t="shared" si="183"/>
        <v>9</v>
      </c>
      <c r="D602" s="14">
        <f t="shared" si="184"/>
        <v>9</v>
      </c>
      <c r="E602" t="s">
        <v>2777</v>
      </c>
      <c r="F602" t="s">
        <v>2837</v>
      </c>
      <c r="G602" t="s">
        <v>2779</v>
      </c>
      <c r="H602" t="s">
        <v>2779</v>
      </c>
      <c r="I602" t="s">
        <v>2780</v>
      </c>
      <c r="J602" s="4" t="s">
        <v>2839</v>
      </c>
      <c r="K602" t="s">
        <v>174</v>
      </c>
      <c r="L602" t="s">
        <v>163</v>
      </c>
      <c r="M602" t="s">
        <v>163</v>
      </c>
      <c r="N602" t="s">
        <v>163</v>
      </c>
      <c r="O602" s="6" t="s">
        <v>1041</v>
      </c>
      <c r="P602">
        <v>0</v>
      </c>
      <c r="Q602" s="24">
        <v>45.8</v>
      </c>
      <c r="R602" s="25">
        <v>60.5</v>
      </c>
      <c r="S602" s="26">
        <v>45</v>
      </c>
      <c r="Y602">
        <v>10</v>
      </c>
      <c r="Z602">
        <v>30</v>
      </c>
      <c r="AA602" s="3">
        <v>25</v>
      </c>
      <c r="AB602" s="3">
        <v>6</v>
      </c>
      <c r="AC602">
        <v>155</v>
      </c>
      <c r="AD602" s="9">
        <f t="shared" si="167"/>
        <v>6826.166666666667</v>
      </c>
      <c r="AE602">
        <f t="shared" si="174"/>
        <v>2555730</v>
      </c>
      <c r="AF602" s="2">
        <f t="shared" si="178"/>
        <v>31.200000000000003</v>
      </c>
      <c r="AG602" t="str">
        <f t="shared" si="168"/>
        <v>113小时</v>
      </c>
      <c r="AH602">
        <f t="shared" si="169"/>
        <v>94</v>
      </c>
      <c r="AI602">
        <f t="shared" si="170"/>
        <v>16</v>
      </c>
      <c r="AJ602">
        <f t="shared" si="175"/>
        <v>55.3</v>
      </c>
      <c r="AK602">
        <f t="shared" si="171"/>
        <v>28</v>
      </c>
      <c r="AL602">
        <f t="shared" si="176"/>
        <v>31.200000000000003</v>
      </c>
      <c r="AM602" s="2">
        <f t="shared" si="172"/>
        <v>16</v>
      </c>
      <c r="AX602">
        <v>599</v>
      </c>
      <c r="AZ602" s="3"/>
      <c r="BB602" s="2">
        <f t="shared" si="173"/>
        <v>165</v>
      </c>
      <c r="BC602">
        <f t="shared" si="177"/>
        <v>12.837206196581194</v>
      </c>
      <c r="BD602" s="2">
        <f t="shared" si="179"/>
        <v>55.3</v>
      </c>
      <c r="BE602">
        <f t="shared" si="180"/>
        <v>31.200000000000003</v>
      </c>
      <c r="BF602">
        <f t="shared" si="181"/>
        <v>179712.00000000003</v>
      </c>
    </row>
    <row r="603" spans="1:58" ht="14.25" x14ac:dyDescent="0.2">
      <c r="A603" s="11">
        <v>10720</v>
      </c>
      <c r="B603" s="13">
        <f t="shared" si="182"/>
        <v>12</v>
      </c>
      <c r="C603" s="15">
        <f t="shared" si="183"/>
        <v>9</v>
      </c>
      <c r="D603" s="14">
        <f t="shared" si="184"/>
        <v>9</v>
      </c>
      <c r="E603" t="s">
        <v>2785</v>
      </c>
      <c r="F603" t="s">
        <v>2786</v>
      </c>
      <c r="G603" t="s">
        <v>2833</v>
      </c>
      <c r="H603" t="s">
        <v>2829</v>
      </c>
      <c r="I603" t="s">
        <v>2697</v>
      </c>
      <c r="J603" s="4" t="s">
        <v>2877</v>
      </c>
      <c r="K603" t="s">
        <v>166</v>
      </c>
      <c r="L603" t="s">
        <v>163</v>
      </c>
      <c r="M603" t="s">
        <v>163</v>
      </c>
      <c r="N603" t="s">
        <v>163</v>
      </c>
      <c r="O603" s="6" t="s">
        <v>1041</v>
      </c>
      <c r="P603">
        <v>0</v>
      </c>
      <c r="Q603" s="24">
        <v>45.8</v>
      </c>
      <c r="R603" s="25">
        <v>60.5</v>
      </c>
      <c r="S603" s="26">
        <v>45</v>
      </c>
      <c r="Y603">
        <v>10</v>
      </c>
      <c r="Z603">
        <v>30</v>
      </c>
      <c r="AA603" s="3">
        <v>25</v>
      </c>
      <c r="AB603" s="3">
        <v>6</v>
      </c>
      <c r="AC603">
        <v>155</v>
      </c>
      <c r="AD603" s="9">
        <f t="shared" si="167"/>
        <v>6826.166666666667</v>
      </c>
      <c r="AE603">
        <f t="shared" si="174"/>
        <v>2555730</v>
      </c>
      <c r="AF603" s="2">
        <f t="shared" si="178"/>
        <v>31.200000000000003</v>
      </c>
      <c r="AG603" t="str">
        <f t="shared" si="168"/>
        <v>113小时</v>
      </c>
      <c r="AH603">
        <f t="shared" si="169"/>
        <v>94</v>
      </c>
      <c r="AI603">
        <f t="shared" si="170"/>
        <v>16</v>
      </c>
      <c r="AJ603">
        <f t="shared" si="175"/>
        <v>55.3</v>
      </c>
      <c r="AK603">
        <f t="shared" si="171"/>
        <v>28</v>
      </c>
      <c r="AL603">
        <f t="shared" si="176"/>
        <v>31.200000000000003</v>
      </c>
      <c r="AM603" s="2">
        <f t="shared" si="172"/>
        <v>16</v>
      </c>
      <c r="AX603">
        <v>600</v>
      </c>
      <c r="AZ603" s="3"/>
      <c r="BB603" s="2">
        <f t="shared" si="173"/>
        <v>165</v>
      </c>
      <c r="BC603">
        <f t="shared" si="177"/>
        <v>12.837206196581194</v>
      </c>
      <c r="BD603" s="2">
        <f t="shared" si="179"/>
        <v>55.3</v>
      </c>
      <c r="BE603">
        <f t="shared" si="180"/>
        <v>31.200000000000003</v>
      </c>
      <c r="BF603">
        <f t="shared" si="181"/>
        <v>179712.00000000003</v>
      </c>
    </row>
    <row r="604" spans="1:58" ht="14.25" x14ac:dyDescent="0.2">
      <c r="A604" s="11">
        <v>10721</v>
      </c>
      <c r="B604" s="13">
        <f t="shared" si="182"/>
        <v>12</v>
      </c>
      <c r="C604" s="15">
        <f t="shared" si="183"/>
        <v>9</v>
      </c>
      <c r="D604" s="14">
        <f t="shared" si="184"/>
        <v>9</v>
      </c>
      <c r="E604" t="s">
        <v>2777</v>
      </c>
      <c r="F604" t="s">
        <v>2834</v>
      </c>
      <c r="G604" t="s">
        <v>2779</v>
      </c>
      <c r="H604" t="s">
        <v>2779</v>
      </c>
      <c r="I604" t="s">
        <v>2780</v>
      </c>
      <c r="J604" s="4" t="s">
        <v>2839</v>
      </c>
      <c r="K604" t="s">
        <v>168</v>
      </c>
      <c r="L604" t="s">
        <v>163</v>
      </c>
      <c r="M604" t="s">
        <v>163</v>
      </c>
      <c r="N604" t="s">
        <v>163</v>
      </c>
      <c r="O604" s="6" t="s">
        <v>1043</v>
      </c>
      <c r="P604">
        <v>0</v>
      </c>
      <c r="Q604" s="24">
        <v>46.2</v>
      </c>
      <c r="R604" s="25">
        <v>61</v>
      </c>
      <c r="S604" s="26">
        <v>45.3</v>
      </c>
      <c r="Y604">
        <v>10</v>
      </c>
      <c r="Z604">
        <v>30</v>
      </c>
      <c r="AA604" s="3">
        <v>25</v>
      </c>
      <c r="AB604" s="3">
        <v>6</v>
      </c>
      <c r="AC604">
        <v>155</v>
      </c>
      <c r="AD604" s="9">
        <f t="shared" si="167"/>
        <v>6761.166666666667</v>
      </c>
      <c r="AE604">
        <f t="shared" si="174"/>
        <v>2555730</v>
      </c>
      <c r="AF604" s="2">
        <f t="shared" si="178"/>
        <v>31.5</v>
      </c>
      <c r="AG604" t="str">
        <f t="shared" si="168"/>
        <v>112小时</v>
      </c>
      <c r="AH604">
        <f t="shared" si="169"/>
        <v>95</v>
      </c>
      <c r="AI604">
        <f t="shared" si="170"/>
        <v>16</v>
      </c>
      <c r="AJ604">
        <f t="shared" si="175"/>
        <v>55.800000000000004</v>
      </c>
      <c r="AK604">
        <f t="shared" si="171"/>
        <v>28</v>
      </c>
      <c r="AL604">
        <f t="shared" si="176"/>
        <v>31.5</v>
      </c>
      <c r="AM604" s="2">
        <f t="shared" si="172"/>
        <v>16</v>
      </c>
      <c r="AX604">
        <v>601</v>
      </c>
      <c r="AZ604" s="3"/>
      <c r="BB604" s="2">
        <f t="shared" si="173"/>
        <v>165</v>
      </c>
      <c r="BC604">
        <f t="shared" si="177"/>
        <v>12.71494708994709</v>
      </c>
      <c r="BD604" s="2">
        <f t="shared" si="179"/>
        <v>55.800000000000004</v>
      </c>
      <c r="BE604">
        <f t="shared" si="180"/>
        <v>31.5</v>
      </c>
      <c r="BF604">
        <f t="shared" si="181"/>
        <v>181440</v>
      </c>
    </row>
    <row r="605" spans="1:58" ht="14.25" x14ac:dyDescent="0.2">
      <c r="A605" s="11">
        <v>10722</v>
      </c>
      <c r="B605" s="13">
        <f t="shared" si="182"/>
        <v>12</v>
      </c>
      <c r="C605" s="15">
        <f t="shared" si="183"/>
        <v>9</v>
      </c>
      <c r="D605" s="14">
        <f t="shared" si="184"/>
        <v>9</v>
      </c>
      <c r="E605" t="s">
        <v>2777</v>
      </c>
      <c r="F605" t="s">
        <v>2835</v>
      </c>
      <c r="G605" t="s">
        <v>2779</v>
      </c>
      <c r="H605" t="s">
        <v>2779</v>
      </c>
      <c r="I605" t="s">
        <v>2780</v>
      </c>
      <c r="J605" s="4" t="s">
        <v>2839</v>
      </c>
      <c r="K605" t="s">
        <v>175</v>
      </c>
      <c r="L605" t="s">
        <v>164</v>
      </c>
      <c r="M605" t="s">
        <v>163</v>
      </c>
      <c r="N605" t="s">
        <v>167</v>
      </c>
      <c r="O605" s="6" t="s">
        <v>1045</v>
      </c>
      <c r="P605">
        <v>0</v>
      </c>
      <c r="Q605" s="24">
        <v>46.2</v>
      </c>
      <c r="R605" s="25">
        <v>61</v>
      </c>
      <c r="S605" s="26">
        <v>45.3</v>
      </c>
      <c r="Y605">
        <v>10</v>
      </c>
      <c r="Z605">
        <v>30</v>
      </c>
      <c r="AA605" s="3">
        <v>25</v>
      </c>
      <c r="AB605" s="3">
        <v>6</v>
      </c>
      <c r="AC605">
        <v>155</v>
      </c>
      <c r="AD605" s="9">
        <f t="shared" si="167"/>
        <v>6761.166666666667</v>
      </c>
      <c r="AE605">
        <f t="shared" si="174"/>
        <v>2555730</v>
      </c>
      <c r="AF605" s="2">
        <f t="shared" si="178"/>
        <v>31.5</v>
      </c>
      <c r="AG605" t="str">
        <f t="shared" si="168"/>
        <v>112小时</v>
      </c>
      <c r="AH605">
        <f t="shared" si="169"/>
        <v>95</v>
      </c>
      <c r="AI605">
        <f t="shared" si="170"/>
        <v>16</v>
      </c>
      <c r="AJ605">
        <f t="shared" si="175"/>
        <v>55.800000000000004</v>
      </c>
      <c r="AK605">
        <f t="shared" si="171"/>
        <v>28</v>
      </c>
      <c r="AL605">
        <f t="shared" si="176"/>
        <v>31.5</v>
      </c>
      <c r="AM605" s="2">
        <f t="shared" si="172"/>
        <v>16</v>
      </c>
      <c r="AX605">
        <v>602</v>
      </c>
      <c r="AZ605" s="3"/>
      <c r="BB605" s="2">
        <f t="shared" si="173"/>
        <v>165</v>
      </c>
      <c r="BC605">
        <f t="shared" si="177"/>
        <v>12.71494708994709</v>
      </c>
      <c r="BD605" s="2">
        <f t="shared" si="179"/>
        <v>55.800000000000004</v>
      </c>
      <c r="BE605">
        <f t="shared" si="180"/>
        <v>31.5</v>
      </c>
      <c r="BF605">
        <f t="shared" si="181"/>
        <v>181440</v>
      </c>
    </row>
    <row r="606" spans="1:58" ht="14.25" x14ac:dyDescent="0.2">
      <c r="A606" s="11">
        <v>10723</v>
      </c>
      <c r="B606" s="13">
        <f t="shared" si="182"/>
        <v>12</v>
      </c>
      <c r="C606" s="15">
        <f t="shared" si="183"/>
        <v>9</v>
      </c>
      <c r="D606" s="14">
        <f t="shared" si="184"/>
        <v>9</v>
      </c>
      <c r="E606" t="s">
        <v>2777</v>
      </c>
      <c r="F606" t="s">
        <v>2836</v>
      </c>
      <c r="G606" t="s">
        <v>2779</v>
      </c>
      <c r="H606" t="s">
        <v>2779</v>
      </c>
      <c r="I606" t="s">
        <v>2780</v>
      </c>
      <c r="J606" s="4" t="s">
        <v>2839</v>
      </c>
      <c r="K606" t="s">
        <v>179</v>
      </c>
      <c r="L606" t="s">
        <v>163</v>
      </c>
      <c r="M606" t="s">
        <v>163</v>
      </c>
      <c r="N606" t="s">
        <v>163</v>
      </c>
      <c r="O606" s="6" t="s">
        <v>1047</v>
      </c>
      <c r="P606">
        <v>0</v>
      </c>
      <c r="Q606" s="24">
        <v>46.2</v>
      </c>
      <c r="R606" s="25">
        <v>61</v>
      </c>
      <c r="S606" s="26">
        <v>45.3</v>
      </c>
      <c r="Y606">
        <v>10</v>
      </c>
      <c r="Z606">
        <v>30</v>
      </c>
      <c r="AA606" s="3">
        <v>25</v>
      </c>
      <c r="AB606" s="3">
        <v>6</v>
      </c>
      <c r="AC606">
        <v>155</v>
      </c>
      <c r="AD606" s="9">
        <f t="shared" si="167"/>
        <v>6761.166666666667</v>
      </c>
      <c r="AE606">
        <f t="shared" si="174"/>
        <v>2555730</v>
      </c>
      <c r="AF606" s="2">
        <f t="shared" si="178"/>
        <v>31.5</v>
      </c>
      <c r="AG606" t="str">
        <f t="shared" si="168"/>
        <v>112小时</v>
      </c>
      <c r="AH606">
        <f t="shared" si="169"/>
        <v>95</v>
      </c>
      <c r="AI606">
        <f t="shared" si="170"/>
        <v>16</v>
      </c>
      <c r="AJ606">
        <f t="shared" si="175"/>
        <v>55.800000000000004</v>
      </c>
      <c r="AK606">
        <f t="shared" si="171"/>
        <v>28</v>
      </c>
      <c r="AL606">
        <f t="shared" si="176"/>
        <v>31.5</v>
      </c>
      <c r="AM606" s="2">
        <f t="shared" si="172"/>
        <v>16</v>
      </c>
      <c r="AX606">
        <v>603</v>
      </c>
      <c r="AZ606" s="3"/>
      <c r="BB606" s="2">
        <f t="shared" si="173"/>
        <v>165</v>
      </c>
      <c r="BC606">
        <f t="shared" si="177"/>
        <v>12.71494708994709</v>
      </c>
      <c r="BD606" s="2">
        <f t="shared" si="179"/>
        <v>55.800000000000004</v>
      </c>
      <c r="BE606">
        <f t="shared" si="180"/>
        <v>31.5</v>
      </c>
      <c r="BF606">
        <f t="shared" si="181"/>
        <v>181440</v>
      </c>
    </row>
    <row r="607" spans="1:58" ht="14.25" x14ac:dyDescent="0.2">
      <c r="A607" s="11">
        <v>10724</v>
      </c>
      <c r="B607" s="13">
        <f t="shared" si="182"/>
        <v>12</v>
      </c>
      <c r="C607" s="15">
        <f t="shared" si="183"/>
        <v>9</v>
      </c>
      <c r="D607" s="14">
        <f t="shared" si="184"/>
        <v>9</v>
      </c>
      <c r="E607" t="s">
        <v>2777</v>
      </c>
      <c r="F607" t="s">
        <v>2837</v>
      </c>
      <c r="G607" t="s">
        <v>2779</v>
      </c>
      <c r="H607" t="s">
        <v>2779</v>
      </c>
      <c r="I607" t="s">
        <v>2780</v>
      </c>
      <c r="J607" s="4" t="s">
        <v>2839</v>
      </c>
      <c r="K607" t="s">
        <v>177</v>
      </c>
      <c r="L607" t="s">
        <v>163</v>
      </c>
      <c r="M607" t="s">
        <v>163</v>
      </c>
      <c r="N607" t="s">
        <v>163</v>
      </c>
      <c r="O607" s="6" t="s">
        <v>1047</v>
      </c>
      <c r="P607">
        <v>0</v>
      </c>
      <c r="Q607" s="24">
        <v>46.2</v>
      </c>
      <c r="R607" s="25">
        <v>61</v>
      </c>
      <c r="S607" s="26">
        <v>45.3</v>
      </c>
      <c r="Y607">
        <v>10</v>
      </c>
      <c r="Z607">
        <v>30</v>
      </c>
      <c r="AA607" s="3">
        <v>25</v>
      </c>
      <c r="AB607" s="3">
        <v>6</v>
      </c>
      <c r="AC607">
        <v>155</v>
      </c>
      <c r="AD607" s="9">
        <f t="shared" si="167"/>
        <v>6761.166666666667</v>
      </c>
      <c r="AE607">
        <f t="shared" si="174"/>
        <v>2555730</v>
      </c>
      <c r="AF607" s="2">
        <f t="shared" si="178"/>
        <v>31.5</v>
      </c>
      <c r="AG607" t="str">
        <f t="shared" si="168"/>
        <v>112小时</v>
      </c>
      <c r="AH607">
        <f t="shared" si="169"/>
        <v>95</v>
      </c>
      <c r="AI607">
        <f t="shared" si="170"/>
        <v>16</v>
      </c>
      <c r="AJ607">
        <f t="shared" si="175"/>
        <v>55.800000000000004</v>
      </c>
      <c r="AK607">
        <f t="shared" si="171"/>
        <v>28</v>
      </c>
      <c r="AL607">
        <f t="shared" si="176"/>
        <v>31.5</v>
      </c>
      <c r="AM607" s="2">
        <f t="shared" si="172"/>
        <v>16</v>
      </c>
      <c r="AX607">
        <v>604</v>
      </c>
      <c r="AZ607" s="3"/>
      <c r="BB607" s="2">
        <f t="shared" si="173"/>
        <v>165</v>
      </c>
      <c r="BC607">
        <f t="shared" si="177"/>
        <v>12.71494708994709</v>
      </c>
      <c r="BD607" s="2">
        <f t="shared" si="179"/>
        <v>55.800000000000004</v>
      </c>
      <c r="BE607">
        <f t="shared" si="180"/>
        <v>31.5</v>
      </c>
      <c r="BF607">
        <f t="shared" si="181"/>
        <v>181440</v>
      </c>
    </row>
    <row r="608" spans="1:58" ht="14.25" x14ac:dyDescent="0.2">
      <c r="A608" s="11">
        <v>10725</v>
      </c>
      <c r="B608" s="13">
        <f t="shared" si="182"/>
        <v>12</v>
      </c>
      <c r="C608" s="15">
        <f t="shared" si="183"/>
        <v>9</v>
      </c>
      <c r="D608" s="14">
        <f t="shared" si="184"/>
        <v>9</v>
      </c>
      <c r="E608" t="s">
        <v>2785</v>
      </c>
      <c r="F608" t="s">
        <v>2786</v>
      </c>
      <c r="G608" t="s">
        <v>2828</v>
      </c>
      <c r="H608" t="s">
        <v>2829</v>
      </c>
      <c r="I608" t="s">
        <v>2697</v>
      </c>
      <c r="J608" s="4" t="s">
        <v>2877</v>
      </c>
      <c r="K608" t="s">
        <v>174</v>
      </c>
      <c r="L608" t="s">
        <v>163</v>
      </c>
      <c r="M608" t="s">
        <v>163</v>
      </c>
      <c r="N608" t="s">
        <v>163</v>
      </c>
      <c r="O608" s="6" t="s">
        <v>1049</v>
      </c>
      <c r="P608">
        <v>0</v>
      </c>
      <c r="Q608" s="24">
        <v>46.2</v>
      </c>
      <c r="R608" s="25">
        <v>61</v>
      </c>
      <c r="S608" s="26">
        <v>45.3</v>
      </c>
      <c r="Y608">
        <v>10</v>
      </c>
      <c r="Z608">
        <v>30</v>
      </c>
      <c r="AA608" s="3">
        <v>25</v>
      </c>
      <c r="AB608" s="3">
        <v>6</v>
      </c>
      <c r="AC608">
        <v>155</v>
      </c>
      <c r="AD608" s="9">
        <f t="shared" si="167"/>
        <v>6761.166666666667</v>
      </c>
      <c r="AE608">
        <f t="shared" si="174"/>
        <v>2555730</v>
      </c>
      <c r="AF608" s="2">
        <f t="shared" si="178"/>
        <v>31.5</v>
      </c>
      <c r="AG608" t="str">
        <f t="shared" si="168"/>
        <v>112小时</v>
      </c>
      <c r="AH608">
        <f t="shared" si="169"/>
        <v>95</v>
      </c>
      <c r="AI608">
        <f t="shared" si="170"/>
        <v>16</v>
      </c>
      <c r="AJ608">
        <f t="shared" si="175"/>
        <v>55.800000000000004</v>
      </c>
      <c r="AK608">
        <f t="shared" si="171"/>
        <v>28</v>
      </c>
      <c r="AL608">
        <f t="shared" si="176"/>
        <v>31.5</v>
      </c>
      <c r="AM608" s="2">
        <f t="shared" si="172"/>
        <v>16</v>
      </c>
      <c r="AX608">
        <v>605</v>
      </c>
      <c r="AZ608" s="3"/>
      <c r="BB608" s="2">
        <f t="shared" si="173"/>
        <v>165</v>
      </c>
      <c r="BC608">
        <f t="shared" si="177"/>
        <v>12.71494708994709</v>
      </c>
      <c r="BD608" s="2">
        <f t="shared" si="179"/>
        <v>55.800000000000004</v>
      </c>
      <c r="BE608">
        <f t="shared" si="180"/>
        <v>31.5</v>
      </c>
      <c r="BF608">
        <f t="shared" si="181"/>
        <v>181440</v>
      </c>
    </row>
    <row r="609" spans="1:58" ht="14.25" x14ac:dyDescent="0.2">
      <c r="A609" s="11">
        <v>10726</v>
      </c>
      <c r="B609" s="13">
        <f t="shared" si="182"/>
        <v>12</v>
      </c>
      <c r="C609" s="15">
        <f t="shared" si="183"/>
        <v>9</v>
      </c>
      <c r="D609" s="14">
        <f t="shared" si="184"/>
        <v>9</v>
      </c>
      <c r="E609" t="s">
        <v>2777</v>
      </c>
      <c r="F609" t="s">
        <v>2834</v>
      </c>
      <c r="G609" t="s">
        <v>2779</v>
      </c>
      <c r="H609" t="s">
        <v>2779</v>
      </c>
      <c r="I609" t="s">
        <v>2780</v>
      </c>
      <c r="J609" s="4" t="s">
        <v>2839</v>
      </c>
      <c r="K609" t="s">
        <v>182</v>
      </c>
      <c r="L609" t="s">
        <v>163</v>
      </c>
      <c r="M609" t="s">
        <v>163</v>
      </c>
      <c r="N609" t="s">
        <v>163</v>
      </c>
      <c r="O609" s="6" t="s">
        <v>1051</v>
      </c>
      <c r="P609">
        <v>0</v>
      </c>
      <c r="Q609" s="24">
        <v>46.5</v>
      </c>
      <c r="R609" s="25">
        <v>61.5</v>
      </c>
      <c r="S609" s="26">
        <v>45.5</v>
      </c>
      <c r="Y609">
        <v>10</v>
      </c>
      <c r="Z609">
        <v>30</v>
      </c>
      <c r="AA609" s="3">
        <v>25</v>
      </c>
      <c r="AB609" s="3">
        <v>6</v>
      </c>
      <c r="AC609">
        <v>155</v>
      </c>
      <c r="AD609" s="9">
        <f t="shared" si="167"/>
        <v>6718.5</v>
      </c>
      <c r="AE609">
        <f t="shared" si="174"/>
        <v>2555730</v>
      </c>
      <c r="AF609" s="2">
        <f t="shared" si="178"/>
        <v>31.700000000000003</v>
      </c>
      <c r="AG609" t="str">
        <f t="shared" si="168"/>
        <v>111小时</v>
      </c>
      <c r="AH609">
        <f t="shared" si="169"/>
        <v>96</v>
      </c>
      <c r="AI609">
        <f t="shared" si="170"/>
        <v>16</v>
      </c>
      <c r="AJ609">
        <f t="shared" si="175"/>
        <v>56.1</v>
      </c>
      <c r="AK609">
        <f t="shared" si="171"/>
        <v>29</v>
      </c>
      <c r="AL609">
        <f t="shared" si="176"/>
        <v>31.700000000000003</v>
      </c>
      <c r="AM609" s="2">
        <f t="shared" si="172"/>
        <v>16</v>
      </c>
      <c r="AX609">
        <v>606</v>
      </c>
      <c r="AZ609" s="3"/>
      <c r="BB609" s="2">
        <f t="shared" si="173"/>
        <v>165</v>
      </c>
      <c r="BC609">
        <f t="shared" si="177"/>
        <v>12.634726603575182</v>
      </c>
      <c r="BD609" s="2">
        <f t="shared" si="179"/>
        <v>56.1</v>
      </c>
      <c r="BE609">
        <f t="shared" si="180"/>
        <v>31.700000000000003</v>
      </c>
      <c r="BF609">
        <f t="shared" si="181"/>
        <v>182592.00000000003</v>
      </c>
    </row>
    <row r="610" spans="1:58" ht="14.25" x14ac:dyDescent="0.2">
      <c r="A610" s="11">
        <v>10727</v>
      </c>
      <c r="B610" s="13">
        <f t="shared" si="182"/>
        <v>12</v>
      </c>
      <c r="C610" s="15">
        <f t="shared" si="183"/>
        <v>9</v>
      </c>
      <c r="D610" s="14">
        <f t="shared" si="184"/>
        <v>9</v>
      </c>
      <c r="E610" t="s">
        <v>2777</v>
      </c>
      <c r="F610" t="s">
        <v>2835</v>
      </c>
      <c r="G610" t="s">
        <v>2779</v>
      </c>
      <c r="H610" t="s">
        <v>2779</v>
      </c>
      <c r="I610" t="s">
        <v>2780</v>
      </c>
      <c r="J610" s="4" t="s">
        <v>2839</v>
      </c>
      <c r="K610" t="s">
        <v>162</v>
      </c>
      <c r="L610" t="s">
        <v>163</v>
      </c>
      <c r="M610" t="s">
        <v>163</v>
      </c>
      <c r="N610" t="s">
        <v>163</v>
      </c>
      <c r="O610" s="6" t="s">
        <v>1051</v>
      </c>
      <c r="P610">
        <v>0</v>
      </c>
      <c r="Q610" s="24">
        <v>46.5</v>
      </c>
      <c r="R610" s="25">
        <v>61.5</v>
      </c>
      <c r="S610" s="26">
        <v>45.5</v>
      </c>
      <c r="Y610">
        <v>10</v>
      </c>
      <c r="Z610">
        <v>30</v>
      </c>
      <c r="AA610" s="3">
        <v>25</v>
      </c>
      <c r="AB610" s="3">
        <v>6</v>
      </c>
      <c r="AC610">
        <v>155</v>
      </c>
      <c r="AD610" s="9">
        <f t="shared" si="167"/>
        <v>6718.5</v>
      </c>
      <c r="AE610">
        <f t="shared" si="174"/>
        <v>2555730</v>
      </c>
      <c r="AF610" s="2">
        <f t="shared" si="178"/>
        <v>31.700000000000003</v>
      </c>
      <c r="AG610" t="str">
        <f t="shared" si="168"/>
        <v>111小时</v>
      </c>
      <c r="AH610">
        <f t="shared" si="169"/>
        <v>96</v>
      </c>
      <c r="AI610">
        <f t="shared" si="170"/>
        <v>16</v>
      </c>
      <c r="AJ610">
        <f t="shared" si="175"/>
        <v>56.1</v>
      </c>
      <c r="AK610">
        <f t="shared" si="171"/>
        <v>29</v>
      </c>
      <c r="AL610">
        <f t="shared" si="176"/>
        <v>31.700000000000003</v>
      </c>
      <c r="AM610" s="2">
        <f t="shared" si="172"/>
        <v>16</v>
      </c>
      <c r="AX610">
        <v>607</v>
      </c>
      <c r="AZ610" s="3"/>
      <c r="BB610" s="2">
        <f t="shared" si="173"/>
        <v>165</v>
      </c>
      <c r="BC610">
        <f t="shared" si="177"/>
        <v>12.634726603575182</v>
      </c>
      <c r="BD610" s="2">
        <f t="shared" si="179"/>
        <v>56.1</v>
      </c>
      <c r="BE610">
        <f t="shared" si="180"/>
        <v>31.700000000000003</v>
      </c>
      <c r="BF610">
        <f t="shared" si="181"/>
        <v>182592.00000000003</v>
      </c>
    </row>
    <row r="611" spans="1:58" ht="14.25" x14ac:dyDescent="0.2">
      <c r="A611" s="11">
        <v>10728</v>
      </c>
      <c r="B611" s="13">
        <f t="shared" si="182"/>
        <v>12</v>
      </c>
      <c r="C611" s="15">
        <f t="shared" si="183"/>
        <v>9</v>
      </c>
      <c r="D611" s="14">
        <f t="shared" si="184"/>
        <v>9</v>
      </c>
      <c r="E611" t="s">
        <v>2777</v>
      </c>
      <c r="F611" t="s">
        <v>2836</v>
      </c>
      <c r="G611" t="s">
        <v>2779</v>
      </c>
      <c r="H611" t="s">
        <v>2779</v>
      </c>
      <c r="I611" t="s">
        <v>2780</v>
      </c>
      <c r="J611" s="4" t="s">
        <v>2839</v>
      </c>
      <c r="K611" t="s">
        <v>177</v>
      </c>
      <c r="L611" t="s">
        <v>163</v>
      </c>
      <c r="M611" t="s">
        <v>163</v>
      </c>
      <c r="N611" t="s">
        <v>163</v>
      </c>
      <c r="O611" s="6" t="s">
        <v>1053</v>
      </c>
      <c r="P611">
        <v>0</v>
      </c>
      <c r="Q611" s="24">
        <v>46.5</v>
      </c>
      <c r="R611" s="25">
        <v>61.5</v>
      </c>
      <c r="S611" s="26">
        <v>45.5</v>
      </c>
      <c r="Y611">
        <v>10</v>
      </c>
      <c r="Z611">
        <v>30</v>
      </c>
      <c r="AA611" s="3">
        <v>25</v>
      </c>
      <c r="AB611" s="3">
        <v>6</v>
      </c>
      <c r="AC611">
        <v>155</v>
      </c>
      <c r="AD611" s="9">
        <f t="shared" si="167"/>
        <v>6718.5</v>
      </c>
      <c r="AE611">
        <f t="shared" si="174"/>
        <v>2555730</v>
      </c>
      <c r="AF611" s="2">
        <f t="shared" si="178"/>
        <v>31.700000000000003</v>
      </c>
      <c r="AG611" t="str">
        <f t="shared" si="168"/>
        <v>111小时</v>
      </c>
      <c r="AH611">
        <f t="shared" si="169"/>
        <v>96</v>
      </c>
      <c r="AI611">
        <f t="shared" si="170"/>
        <v>16</v>
      </c>
      <c r="AJ611">
        <f t="shared" si="175"/>
        <v>56.1</v>
      </c>
      <c r="AK611">
        <f t="shared" si="171"/>
        <v>29</v>
      </c>
      <c r="AL611">
        <f t="shared" si="176"/>
        <v>31.700000000000003</v>
      </c>
      <c r="AM611" s="2">
        <f t="shared" si="172"/>
        <v>16</v>
      </c>
      <c r="AX611">
        <v>608</v>
      </c>
      <c r="AZ611" s="3"/>
      <c r="BB611" s="2">
        <f t="shared" si="173"/>
        <v>165</v>
      </c>
      <c r="BC611">
        <f t="shared" si="177"/>
        <v>12.634726603575182</v>
      </c>
      <c r="BD611" s="2">
        <f t="shared" si="179"/>
        <v>56.1</v>
      </c>
      <c r="BE611">
        <f t="shared" si="180"/>
        <v>31.700000000000003</v>
      </c>
      <c r="BF611">
        <f t="shared" si="181"/>
        <v>182592.00000000003</v>
      </c>
    </row>
    <row r="612" spans="1:58" ht="14.25" x14ac:dyDescent="0.2">
      <c r="A612" s="11">
        <v>10729</v>
      </c>
      <c r="B612" s="13">
        <f t="shared" si="182"/>
        <v>12</v>
      </c>
      <c r="C612" s="15">
        <f t="shared" si="183"/>
        <v>9</v>
      </c>
      <c r="D612" s="14">
        <f t="shared" si="184"/>
        <v>9</v>
      </c>
      <c r="E612" t="s">
        <v>2777</v>
      </c>
      <c r="F612" t="s">
        <v>2837</v>
      </c>
      <c r="G612" t="s">
        <v>2779</v>
      </c>
      <c r="H612" t="s">
        <v>2779</v>
      </c>
      <c r="I612" t="s">
        <v>2780</v>
      </c>
      <c r="J612" s="4" t="s">
        <v>2839</v>
      </c>
      <c r="K612" t="s">
        <v>174</v>
      </c>
      <c r="L612" t="s">
        <v>163</v>
      </c>
      <c r="M612" t="s">
        <v>163</v>
      </c>
      <c r="N612" t="s">
        <v>163</v>
      </c>
      <c r="O612" s="6" t="s">
        <v>1055</v>
      </c>
      <c r="P612">
        <v>0</v>
      </c>
      <c r="Q612" s="24">
        <v>46.5</v>
      </c>
      <c r="R612" s="25">
        <v>61.5</v>
      </c>
      <c r="S612" s="26">
        <v>45.5</v>
      </c>
      <c r="Y612">
        <v>10</v>
      </c>
      <c r="Z612">
        <v>30</v>
      </c>
      <c r="AA612" s="3">
        <v>25</v>
      </c>
      <c r="AB612" s="3">
        <v>6</v>
      </c>
      <c r="AC612">
        <v>155</v>
      </c>
      <c r="AD612" s="9">
        <f t="shared" si="167"/>
        <v>6718.5</v>
      </c>
      <c r="AE612">
        <f t="shared" si="174"/>
        <v>2555730</v>
      </c>
      <c r="AF612" s="2">
        <f t="shared" si="178"/>
        <v>31.700000000000003</v>
      </c>
      <c r="AG612" t="str">
        <f t="shared" si="168"/>
        <v>111小时</v>
      </c>
      <c r="AH612">
        <f t="shared" si="169"/>
        <v>96</v>
      </c>
      <c r="AI612">
        <f t="shared" si="170"/>
        <v>16</v>
      </c>
      <c r="AJ612">
        <f t="shared" si="175"/>
        <v>56.1</v>
      </c>
      <c r="AK612">
        <f t="shared" si="171"/>
        <v>29</v>
      </c>
      <c r="AL612">
        <f t="shared" si="176"/>
        <v>31.700000000000003</v>
      </c>
      <c r="AM612" s="2">
        <f t="shared" si="172"/>
        <v>16</v>
      </c>
      <c r="AX612">
        <v>609</v>
      </c>
      <c r="AZ612" s="3"/>
      <c r="BB612" s="2">
        <f t="shared" si="173"/>
        <v>165</v>
      </c>
      <c r="BC612">
        <f t="shared" si="177"/>
        <v>12.634726603575182</v>
      </c>
      <c r="BD612" s="2">
        <f t="shared" si="179"/>
        <v>56.1</v>
      </c>
      <c r="BE612">
        <f t="shared" si="180"/>
        <v>31.700000000000003</v>
      </c>
      <c r="BF612">
        <f t="shared" si="181"/>
        <v>182592.00000000003</v>
      </c>
    </row>
    <row r="613" spans="1:58" ht="14.25" x14ac:dyDescent="0.2">
      <c r="A613" s="11">
        <v>10730</v>
      </c>
      <c r="B613" s="13">
        <f t="shared" si="182"/>
        <v>12</v>
      </c>
      <c r="C613" s="15">
        <f t="shared" si="183"/>
        <v>9</v>
      </c>
      <c r="D613" s="14">
        <f t="shared" si="184"/>
        <v>9</v>
      </c>
      <c r="E613" t="s">
        <v>2785</v>
      </c>
      <c r="F613" t="s">
        <v>2786</v>
      </c>
      <c r="G613" t="s">
        <v>2830</v>
      </c>
      <c r="H613" t="s">
        <v>2829</v>
      </c>
      <c r="I613" t="s">
        <v>2697</v>
      </c>
      <c r="J613" s="4" t="s">
        <v>2859</v>
      </c>
      <c r="K613" t="s">
        <v>166</v>
      </c>
      <c r="L613" t="s">
        <v>163</v>
      </c>
      <c r="M613" t="s">
        <v>163</v>
      </c>
      <c r="N613" t="s">
        <v>163</v>
      </c>
      <c r="O613" s="6" t="s">
        <v>1055</v>
      </c>
      <c r="P613">
        <v>0</v>
      </c>
      <c r="Q613" s="24">
        <v>46.5</v>
      </c>
      <c r="R613" s="25">
        <v>61.5</v>
      </c>
      <c r="S613" s="26">
        <v>45.5</v>
      </c>
      <c r="Y613">
        <v>10</v>
      </c>
      <c r="Z613">
        <v>30</v>
      </c>
      <c r="AA613" s="3">
        <v>25</v>
      </c>
      <c r="AB613" s="3">
        <v>6</v>
      </c>
      <c r="AC613">
        <v>155</v>
      </c>
      <c r="AD613" s="9">
        <f t="shared" si="167"/>
        <v>6718.5</v>
      </c>
      <c r="AE613">
        <f t="shared" si="174"/>
        <v>2555730</v>
      </c>
      <c r="AF613" s="2">
        <f t="shared" si="178"/>
        <v>31.700000000000003</v>
      </c>
      <c r="AG613" t="str">
        <f t="shared" si="168"/>
        <v>111小时</v>
      </c>
      <c r="AH613">
        <f t="shared" si="169"/>
        <v>96</v>
      </c>
      <c r="AI613">
        <f t="shared" si="170"/>
        <v>16</v>
      </c>
      <c r="AJ613">
        <f t="shared" si="175"/>
        <v>56.1</v>
      </c>
      <c r="AK613">
        <f t="shared" si="171"/>
        <v>29</v>
      </c>
      <c r="AL613">
        <f t="shared" si="176"/>
        <v>31.700000000000003</v>
      </c>
      <c r="AM613" s="2">
        <f t="shared" si="172"/>
        <v>16</v>
      </c>
      <c r="AX613">
        <v>610</v>
      </c>
      <c r="AZ613" s="3"/>
      <c r="BB613" s="2">
        <f t="shared" si="173"/>
        <v>170</v>
      </c>
      <c r="BC613">
        <f t="shared" si="177"/>
        <v>14.023396424815981</v>
      </c>
      <c r="BD613" s="2">
        <f t="shared" si="179"/>
        <v>56.1</v>
      </c>
      <c r="BE613">
        <f t="shared" si="180"/>
        <v>31.700000000000003</v>
      </c>
      <c r="BF613">
        <f t="shared" si="181"/>
        <v>182592.00000000003</v>
      </c>
    </row>
    <row r="614" spans="1:58" ht="14.25" x14ac:dyDescent="0.2">
      <c r="A614" s="11">
        <v>10731</v>
      </c>
      <c r="B614" s="13">
        <f t="shared" si="182"/>
        <v>12</v>
      </c>
      <c r="C614" s="15">
        <f t="shared" si="183"/>
        <v>9</v>
      </c>
      <c r="D614" s="14">
        <f t="shared" si="184"/>
        <v>9</v>
      </c>
      <c r="E614" t="s">
        <v>2777</v>
      </c>
      <c r="F614" t="s">
        <v>2834</v>
      </c>
      <c r="G614" t="s">
        <v>2779</v>
      </c>
      <c r="H614" t="s">
        <v>2779</v>
      </c>
      <c r="I614" t="s">
        <v>2780</v>
      </c>
      <c r="J614" s="4" t="s">
        <v>2839</v>
      </c>
      <c r="K614" t="s">
        <v>168</v>
      </c>
      <c r="L614" t="s">
        <v>163</v>
      </c>
      <c r="M614" t="s">
        <v>163</v>
      </c>
      <c r="N614" t="s">
        <v>163</v>
      </c>
      <c r="O614" s="6" t="s">
        <v>1057</v>
      </c>
      <c r="P614">
        <v>0</v>
      </c>
      <c r="Q614" s="24">
        <v>46.8</v>
      </c>
      <c r="R614" s="25">
        <v>62</v>
      </c>
      <c r="S614" s="26">
        <v>45.8</v>
      </c>
      <c r="Y614">
        <v>10</v>
      </c>
      <c r="Z614">
        <v>30</v>
      </c>
      <c r="AA614" s="3">
        <v>25</v>
      </c>
      <c r="AB614" s="3">
        <v>6</v>
      </c>
      <c r="AC614">
        <v>155</v>
      </c>
      <c r="AD614" s="9">
        <f t="shared" si="167"/>
        <v>6655.5</v>
      </c>
      <c r="AE614">
        <f t="shared" si="174"/>
        <v>2555730</v>
      </c>
      <c r="AF614" s="2">
        <f t="shared" si="178"/>
        <v>32</v>
      </c>
      <c r="AG614" t="str">
        <f t="shared" si="168"/>
        <v>110小时</v>
      </c>
      <c r="AH614">
        <f t="shared" si="169"/>
        <v>96</v>
      </c>
      <c r="AI614">
        <f t="shared" si="170"/>
        <v>16</v>
      </c>
      <c r="AJ614">
        <f t="shared" si="175"/>
        <v>56.5</v>
      </c>
      <c r="AK614">
        <f t="shared" si="171"/>
        <v>29</v>
      </c>
      <c r="AL614">
        <f t="shared" si="176"/>
        <v>32</v>
      </c>
      <c r="AM614" s="2">
        <f t="shared" si="172"/>
        <v>16</v>
      </c>
      <c r="AX614">
        <v>611</v>
      </c>
      <c r="AZ614" s="3"/>
      <c r="BB614" s="2">
        <f t="shared" si="173"/>
        <v>170</v>
      </c>
      <c r="BC614">
        <f t="shared" si="177"/>
        <v>13.891927083333334</v>
      </c>
      <c r="BD614" s="2">
        <f t="shared" si="179"/>
        <v>56.5</v>
      </c>
      <c r="BE614">
        <f t="shared" si="180"/>
        <v>32</v>
      </c>
      <c r="BF614">
        <f t="shared" si="181"/>
        <v>184320</v>
      </c>
    </row>
    <row r="615" spans="1:58" ht="14.25" x14ac:dyDescent="0.2">
      <c r="A615" s="11">
        <v>10732</v>
      </c>
      <c r="B615" s="13">
        <f t="shared" si="182"/>
        <v>12</v>
      </c>
      <c r="C615" s="15">
        <f t="shared" si="183"/>
        <v>9</v>
      </c>
      <c r="D615" s="14">
        <f t="shared" si="184"/>
        <v>9</v>
      </c>
      <c r="E615" t="s">
        <v>2777</v>
      </c>
      <c r="F615" t="s">
        <v>2835</v>
      </c>
      <c r="G615" t="s">
        <v>2779</v>
      </c>
      <c r="H615" t="s">
        <v>2779</v>
      </c>
      <c r="I615" t="s">
        <v>2780</v>
      </c>
      <c r="J615" s="4" t="s">
        <v>2839</v>
      </c>
      <c r="K615" t="s">
        <v>175</v>
      </c>
      <c r="L615" t="s">
        <v>164</v>
      </c>
      <c r="M615" t="s">
        <v>163</v>
      </c>
      <c r="N615" t="s">
        <v>167</v>
      </c>
      <c r="O615" s="6" t="s">
        <v>1059</v>
      </c>
      <c r="P615">
        <v>0</v>
      </c>
      <c r="Q615" s="24">
        <v>46.8</v>
      </c>
      <c r="R615" s="25">
        <v>62</v>
      </c>
      <c r="S615" s="26">
        <v>45.8</v>
      </c>
      <c r="Y615">
        <v>10</v>
      </c>
      <c r="Z615">
        <v>30</v>
      </c>
      <c r="AA615" s="3">
        <v>25</v>
      </c>
      <c r="AB615" s="3">
        <v>6</v>
      </c>
      <c r="AC615">
        <v>155</v>
      </c>
      <c r="AD615" s="9">
        <f t="shared" si="167"/>
        <v>6655.5</v>
      </c>
      <c r="AE615">
        <f t="shared" si="174"/>
        <v>2555730</v>
      </c>
      <c r="AF615" s="2">
        <f t="shared" si="178"/>
        <v>32</v>
      </c>
      <c r="AG615" t="str">
        <f t="shared" si="168"/>
        <v>110小时</v>
      </c>
      <c r="AH615">
        <f t="shared" si="169"/>
        <v>96</v>
      </c>
      <c r="AI615">
        <f t="shared" si="170"/>
        <v>16</v>
      </c>
      <c r="AJ615">
        <f t="shared" si="175"/>
        <v>56.5</v>
      </c>
      <c r="AK615">
        <f t="shared" si="171"/>
        <v>29</v>
      </c>
      <c r="AL615">
        <f t="shared" si="176"/>
        <v>32</v>
      </c>
      <c r="AM615" s="2">
        <f t="shared" si="172"/>
        <v>16</v>
      </c>
      <c r="AX615">
        <v>612</v>
      </c>
      <c r="AZ615" s="3"/>
      <c r="BB615" s="2">
        <f t="shared" si="173"/>
        <v>170</v>
      </c>
      <c r="BC615">
        <f t="shared" si="177"/>
        <v>13.891927083333334</v>
      </c>
      <c r="BD615" s="2">
        <f t="shared" si="179"/>
        <v>56.5</v>
      </c>
      <c r="BE615">
        <f t="shared" si="180"/>
        <v>32</v>
      </c>
      <c r="BF615">
        <f t="shared" si="181"/>
        <v>184320</v>
      </c>
    </row>
    <row r="616" spans="1:58" ht="14.25" x14ac:dyDescent="0.2">
      <c r="A616" s="11">
        <v>10733</v>
      </c>
      <c r="B616" s="13">
        <f t="shared" si="182"/>
        <v>12</v>
      </c>
      <c r="C616" s="15">
        <f t="shared" si="183"/>
        <v>9</v>
      </c>
      <c r="D616" s="14">
        <f t="shared" si="184"/>
        <v>9</v>
      </c>
      <c r="E616" t="s">
        <v>2777</v>
      </c>
      <c r="F616" t="s">
        <v>2836</v>
      </c>
      <c r="G616" t="s">
        <v>2779</v>
      </c>
      <c r="H616" t="s">
        <v>2779</v>
      </c>
      <c r="I616" t="s">
        <v>2780</v>
      </c>
      <c r="J616" s="4" t="s">
        <v>2839</v>
      </c>
      <c r="K616" t="s">
        <v>179</v>
      </c>
      <c r="L616" t="s">
        <v>163</v>
      </c>
      <c r="M616" t="s">
        <v>163</v>
      </c>
      <c r="N616" t="s">
        <v>163</v>
      </c>
      <c r="O616" s="6" t="s">
        <v>1061</v>
      </c>
      <c r="P616">
        <v>0</v>
      </c>
      <c r="Q616" s="24">
        <v>46.8</v>
      </c>
      <c r="R616" s="25">
        <v>62</v>
      </c>
      <c r="S616" s="26">
        <v>45.8</v>
      </c>
      <c r="Y616">
        <v>10</v>
      </c>
      <c r="Z616">
        <v>30</v>
      </c>
      <c r="AA616" s="3">
        <v>25</v>
      </c>
      <c r="AB616" s="3">
        <v>6</v>
      </c>
      <c r="AC616">
        <v>155</v>
      </c>
      <c r="AD616" s="9">
        <f t="shared" si="167"/>
        <v>6655.5</v>
      </c>
      <c r="AE616">
        <f t="shared" si="174"/>
        <v>2555730</v>
      </c>
      <c r="AF616" s="2">
        <f t="shared" si="178"/>
        <v>32</v>
      </c>
      <c r="AG616" t="str">
        <f t="shared" si="168"/>
        <v>110小时</v>
      </c>
      <c r="AH616">
        <f t="shared" si="169"/>
        <v>96</v>
      </c>
      <c r="AI616">
        <f t="shared" si="170"/>
        <v>16</v>
      </c>
      <c r="AJ616">
        <f t="shared" si="175"/>
        <v>56.5</v>
      </c>
      <c r="AK616">
        <f t="shared" si="171"/>
        <v>29</v>
      </c>
      <c r="AL616">
        <f t="shared" si="176"/>
        <v>32</v>
      </c>
      <c r="AM616" s="2">
        <f t="shared" si="172"/>
        <v>16</v>
      </c>
      <c r="AX616">
        <v>613</v>
      </c>
      <c r="AZ616" s="3"/>
      <c r="BB616" s="2">
        <f t="shared" si="173"/>
        <v>170</v>
      </c>
      <c r="BC616">
        <f t="shared" si="177"/>
        <v>13.891927083333334</v>
      </c>
      <c r="BD616" s="2">
        <f t="shared" si="179"/>
        <v>56.5</v>
      </c>
      <c r="BE616">
        <f t="shared" si="180"/>
        <v>32</v>
      </c>
      <c r="BF616">
        <f t="shared" si="181"/>
        <v>184320</v>
      </c>
    </row>
    <row r="617" spans="1:58" ht="14.25" x14ac:dyDescent="0.2">
      <c r="A617" s="11">
        <v>10734</v>
      </c>
      <c r="B617" s="13">
        <f t="shared" si="182"/>
        <v>12</v>
      </c>
      <c r="C617" s="15">
        <f t="shared" si="183"/>
        <v>9</v>
      </c>
      <c r="D617" s="14">
        <f t="shared" si="184"/>
        <v>9</v>
      </c>
      <c r="E617" t="s">
        <v>2777</v>
      </c>
      <c r="F617" t="s">
        <v>2837</v>
      </c>
      <c r="G617" t="s">
        <v>2779</v>
      </c>
      <c r="H617" t="s">
        <v>2779</v>
      </c>
      <c r="I617" t="s">
        <v>2780</v>
      </c>
      <c r="J617" s="4" t="s">
        <v>2839</v>
      </c>
      <c r="K617" t="s">
        <v>177</v>
      </c>
      <c r="L617" t="s">
        <v>163</v>
      </c>
      <c r="M617" t="s">
        <v>163</v>
      </c>
      <c r="N617" t="s">
        <v>163</v>
      </c>
      <c r="O617" s="6" t="s">
        <v>1061</v>
      </c>
      <c r="P617">
        <v>0</v>
      </c>
      <c r="Q617" s="24">
        <v>46.8</v>
      </c>
      <c r="R617" s="25">
        <v>62</v>
      </c>
      <c r="S617" s="26">
        <v>45.8</v>
      </c>
      <c r="Y617">
        <v>10</v>
      </c>
      <c r="Z617">
        <v>30</v>
      </c>
      <c r="AA617" s="3">
        <v>25</v>
      </c>
      <c r="AB617" s="3">
        <v>6</v>
      </c>
      <c r="AC617">
        <v>155</v>
      </c>
      <c r="AD617" s="9">
        <f t="shared" si="167"/>
        <v>6655.5</v>
      </c>
      <c r="AE617">
        <f t="shared" si="174"/>
        <v>2555730</v>
      </c>
      <c r="AF617" s="2">
        <f t="shared" si="178"/>
        <v>32</v>
      </c>
      <c r="AG617" t="str">
        <f t="shared" si="168"/>
        <v>110小时</v>
      </c>
      <c r="AH617">
        <f t="shared" si="169"/>
        <v>96</v>
      </c>
      <c r="AI617">
        <f t="shared" si="170"/>
        <v>16</v>
      </c>
      <c r="AJ617">
        <f t="shared" si="175"/>
        <v>56.5</v>
      </c>
      <c r="AK617">
        <f t="shared" si="171"/>
        <v>29</v>
      </c>
      <c r="AL617">
        <f t="shared" si="176"/>
        <v>32</v>
      </c>
      <c r="AM617" s="2">
        <f t="shared" si="172"/>
        <v>16</v>
      </c>
      <c r="AX617">
        <v>614</v>
      </c>
      <c r="AZ617" s="3"/>
      <c r="BB617" s="2">
        <f t="shared" si="173"/>
        <v>170</v>
      </c>
      <c r="BC617">
        <f t="shared" si="177"/>
        <v>13.891927083333334</v>
      </c>
      <c r="BD617" s="2">
        <f t="shared" si="179"/>
        <v>56.5</v>
      </c>
      <c r="BE617">
        <f t="shared" si="180"/>
        <v>32</v>
      </c>
      <c r="BF617">
        <f t="shared" si="181"/>
        <v>184320</v>
      </c>
    </row>
    <row r="618" spans="1:58" ht="14.25" x14ac:dyDescent="0.2">
      <c r="A618" s="11">
        <v>10735</v>
      </c>
      <c r="B618" s="13">
        <f t="shared" si="182"/>
        <v>12</v>
      </c>
      <c r="C618" s="15">
        <f t="shared" si="183"/>
        <v>9</v>
      </c>
      <c r="D618" s="14">
        <f t="shared" si="184"/>
        <v>9</v>
      </c>
      <c r="E618" t="s">
        <v>2785</v>
      </c>
      <c r="F618" t="s">
        <v>2786</v>
      </c>
      <c r="G618" t="s">
        <v>2831</v>
      </c>
      <c r="H618" t="s">
        <v>2829</v>
      </c>
      <c r="I618" t="s">
        <v>2697</v>
      </c>
      <c r="J618" s="4" t="s">
        <v>2859</v>
      </c>
      <c r="K618" t="s">
        <v>174</v>
      </c>
      <c r="L618" t="s">
        <v>163</v>
      </c>
      <c r="M618" t="s">
        <v>163</v>
      </c>
      <c r="N618" t="s">
        <v>163</v>
      </c>
      <c r="O618" s="6" t="s">
        <v>1063</v>
      </c>
      <c r="P618">
        <v>0</v>
      </c>
      <c r="Q618" s="24">
        <v>46.8</v>
      </c>
      <c r="R618" s="25">
        <v>62</v>
      </c>
      <c r="S618" s="26">
        <v>45.8</v>
      </c>
      <c r="Y618">
        <v>10</v>
      </c>
      <c r="Z618">
        <v>30</v>
      </c>
      <c r="AA618" s="3">
        <v>25</v>
      </c>
      <c r="AB618" s="3">
        <v>6</v>
      </c>
      <c r="AC618">
        <v>155</v>
      </c>
      <c r="AD618" s="9">
        <f t="shared" si="167"/>
        <v>6655.5</v>
      </c>
      <c r="AE618">
        <f t="shared" si="174"/>
        <v>2555730</v>
      </c>
      <c r="AF618" s="2">
        <f t="shared" si="178"/>
        <v>32</v>
      </c>
      <c r="AG618" t="str">
        <f t="shared" si="168"/>
        <v>110小时</v>
      </c>
      <c r="AH618">
        <f t="shared" si="169"/>
        <v>96</v>
      </c>
      <c r="AI618">
        <f t="shared" si="170"/>
        <v>16</v>
      </c>
      <c r="AJ618">
        <f t="shared" si="175"/>
        <v>56.5</v>
      </c>
      <c r="AK618">
        <f t="shared" si="171"/>
        <v>29</v>
      </c>
      <c r="AL618">
        <f t="shared" si="176"/>
        <v>32</v>
      </c>
      <c r="AM618" s="2">
        <f t="shared" si="172"/>
        <v>16</v>
      </c>
      <c r="AX618">
        <v>615</v>
      </c>
      <c r="AZ618" s="3"/>
      <c r="BB618" s="2">
        <f t="shared" si="173"/>
        <v>170</v>
      </c>
      <c r="BC618">
        <f t="shared" si="177"/>
        <v>13.891927083333334</v>
      </c>
      <c r="BD618" s="2">
        <f t="shared" si="179"/>
        <v>56.5</v>
      </c>
      <c r="BE618">
        <f t="shared" si="180"/>
        <v>32</v>
      </c>
      <c r="BF618">
        <f t="shared" si="181"/>
        <v>184320</v>
      </c>
    </row>
    <row r="619" spans="1:58" ht="14.25" x14ac:dyDescent="0.2">
      <c r="A619" s="11">
        <v>10736</v>
      </c>
      <c r="B619" s="13">
        <f t="shared" si="182"/>
        <v>12</v>
      </c>
      <c r="C619" s="15">
        <f t="shared" si="183"/>
        <v>9</v>
      </c>
      <c r="D619" s="14">
        <f t="shared" si="184"/>
        <v>9</v>
      </c>
      <c r="E619" t="s">
        <v>2777</v>
      </c>
      <c r="F619" t="s">
        <v>2834</v>
      </c>
      <c r="G619" t="s">
        <v>2779</v>
      </c>
      <c r="H619" t="s">
        <v>2779</v>
      </c>
      <c r="I619" t="s">
        <v>2780</v>
      </c>
      <c r="J619" s="4" t="s">
        <v>2839</v>
      </c>
      <c r="K619" t="s">
        <v>182</v>
      </c>
      <c r="L619" t="s">
        <v>163</v>
      </c>
      <c r="M619" t="s">
        <v>163</v>
      </c>
      <c r="N619" t="s">
        <v>163</v>
      </c>
      <c r="O619" s="6" t="s">
        <v>1065</v>
      </c>
      <c r="P619">
        <v>0</v>
      </c>
      <c r="Q619" s="24">
        <v>47.2</v>
      </c>
      <c r="R619" s="25">
        <v>62.5</v>
      </c>
      <c r="S619" s="26">
        <v>46</v>
      </c>
      <c r="Y619">
        <v>10</v>
      </c>
      <c r="Z619">
        <v>30</v>
      </c>
      <c r="AA619" s="3">
        <v>25</v>
      </c>
      <c r="AB619" s="3">
        <v>6</v>
      </c>
      <c r="AC619">
        <v>155</v>
      </c>
      <c r="AD619" s="9">
        <f t="shared" si="167"/>
        <v>6614.1666666666661</v>
      </c>
      <c r="AE619">
        <f t="shared" si="174"/>
        <v>2555730</v>
      </c>
      <c r="AF619" s="2">
        <f t="shared" si="178"/>
        <v>32.200000000000003</v>
      </c>
      <c r="AG619" t="str">
        <f t="shared" si="168"/>
        <v>110小时</v>
      </c>
      <c r="AH619">
        <f t="shared" si="169"/>
        <v>97</v>
      </c>
      <c r="AI619">
        <f t="shared" si="170"/>
        <v>17</v>
      </c>
      <c r="AJ619">
        <f t="shared" si="175"/>
        <v>56.8</v>
      </c>
      <c r="AK619">
        <f t="shared" si="171"/>
        <v>29</v>
      </c>
      <c r="AL619">
        <f t="shared" si="176"/>
        <v>32.200000000000003</v>
      </c>
      <c r="AM619" s="2">
        <f t="shared" si="172"/>
        <v>17</v>
      </c>
      <c r="AX619">
        <v>616</v>
      </c>
      <c r="AZ619" s="3"/>
      <c r="BB619" s="2">
        <f t="shared" si="173"/>
        <v>170</v>
      </c>
      <c r="BC619">
        <f t="shared" si="177"/>
        <v>13.805641821946168</v>
      </c>
      <c r="BD619" s="2">
        <f t="shared" si="179"/>
        <v>56.8</v>
      </c>
      <c r="BE619">
        <f t="shared" si="180"/>
        <v>32.200000000000003</v>
      </c>
      <c r="BF619">
        <f t="shared" si="181"/>
        <v>185472.00000000003</v>
      </c>
    </row>
    <row r="620" spans="1:58" ht="14.25" x14ac:dyDescent="0.2">
      <c r="A620" s="11">
        <v>10737</v>
      </c>
      <c r="B620" s="13">
        <f t="shared" si="182"/>
        <v>12</v>
      </c>
      <c r="C620" s="15">
        <f t="shared" si="183"/>
        <v>9</v>
      </c>
      <c r="D620" s="14">
        <f t="shared" si="184"/>
        <v>9</v>
      </c>
      <c r="E620" t="s">
        <v>2777</v>
      </c>
      <c r="F620" t="s">
        <v>2835</v>
      </c>
      <c r="G620" t="s">
        <v>2779</v>
      </c>
      <c r="H620" t="s">
        <v>2779</v>
      </c>
      <c r="I620" t="s">
        <v>2780</v>
      </c>
      <c r="J620" s="4" t="s">
        <v>2839</v>
      </c>
      <c r="K620" t="s">
        <v>162</v>
      </c>
      <c r="L620" t="s">
        <v>163</v>
      </c>
      <c r="M620" t="s">
        <v>163</v>
      </c>
      <c r="N620" t="s">
        <v>163</v>
      </c>
      <c r="O620" s="6" t="s">
        <v>1065</v>
      </c>
      <c r="P620">
        <v>0</v>
      </c>
      <c r="Q620" s="24">
        <v>47.2</v>
      </c>
      <c r="R620" s="25">
        <v>62.5</v>
      </c>
      <c r="S620" s="26">
        <v>46</v>
      </c>
      <c r="Y620">
        <v>10</v>
      </c>
      <c r="Z620">
        <v>30</v>
      </c>
      <c r="AA620" s="3">
        <v>25</v>
      </c>
      <c r="AB620" s="3">
        <v>6</v>
      </c>
      <c r="AC620">
        <v>155</v>
      </c>
      <c r="AD620" s="9">
        <f t="shared" si="167"/>
        <v>6614.1666666666661</v>
      </c>
      <c r="AE620">
        <f t="shared" si="174"/>
        <v>2555730</v>
      </c>
      <c r="AF620" s="2">
        <f t="shared" si="178"/>
        <v>32.200000000000003</v>
      </c>
      <c r="AG620" t="str">
        <f t="shared" si="168"/>
        <v>110小时</v>
      </c>
      <c r="AH620">
        <f t="shared" si="169"/>
        <v>97</v>
      </c>
      <c r="AI620">
        <f t="shared" si="170"/>
        <v>17</v>
      </c>
      <c r="AJ620">
        <f t="shared" si="175"/>
        <v>56.8</v>
      </c>
      <c r="AK620">
        <f t="shared" si="171"/>
        <v>29</v>
      </c>
      <c r="AL620">
        <f t="shared" si="176"/>
        <v>32.200000000000003</v>
      </c>
      <c r="AM620" s="2">
        <f t="shared" si="172"/>
        <v>17</v>
      </c>
      <c r="AX620">
        <v>617</v>
      </c>
      <c r="AZ620" s="3"/>
      <c r="BB620" s="2">
        <f t="shared" si="173"/>
        <v>170</v>
      </c>
      <c r="BC620">
        <f t="shared" si="177"/>
        <v>13.805641821946168</v>
      </c>
      <c r="BD620" s="2">
        <f t="shared" si="179"/>
        <v>56.8</v>
      </c>
      <c r="BE620">
        <f t="shared" si="180"/>
        <v>32.200000000000003</v>
      </c>
      <c r="BF620">
        <f t="shared" si="181"/>
        <v>185472.00000000003</v>
      </c>
    </row>
    <row r="621" spans="1:58" ht="14.25" x14ac:dyDescent="0.2">
      <c r="A621" s="11">
        <v>10738</v>
      </c>
      <c r="B621" s="13">
        <f t="shared" si="182"/>
        <v>12</v>
      </c>
      <c r="C621" s="15">
        <f t="shared" si="183"/>
        <v>9</v>
      </c>
      <c r="D621" s="14">
        <f t="shared" si="184"/>
        <v>9</v>
      </c>
      <c r="E621" t="s">
        <v>2777</v>
      </c>
      <c r="F621" t="s">
        <v>2836</v>
      </c>
      <c r="G621" t="s">
        <v>2779</v>
      </c>
      <c r="H621" t="s">
        <v>2779</v>
      </c>
      <c r="I621" t="s">
        <v>2780</v>
      </c>
      <c r="J621" s="4" t="s">
        <v>2839</v>
      </c>
      <c r="K621" t="s">
        <v>177</v>
      </c>
      <c r="L621" t="s">
        <v>163</v>
      </c>
      <c r="M621" t="s">
        <v>163</v>
      </c>
      <c r="N621" t="s">
        <v>163</v>
      </c>
      <c r="O621" s="6" t="s">
        <v>1067</v>
      </c>
      <c r="P621">
        <v>0</v>
      </c>
      <c r="Q621" s="24">
        <v>47.2</v>
      </c>
      <c r="R621" s="25">
        <v>62.5</v>
      </c>
      <c r="S621" s="26">
        <v>46</v>
      </c>
      <c r="Y621">
        <v>10</v>
      </c>
      <c r="Z621">
        <v>30</v>
      </c>
      <c r="AA621" s="3">
        <v>25</v>
      </c>
      <c r="AB621" s="3">
        <v>6</v>
      </c>
      <c r="AC621">
        <v>155</v>
      </c>
      <c r="AD621" s="9">
        <f t="shared" si="167"/>
        <v>6614.1666666666661</v>
      </c>
      <c r="AE621">
        <f t="shared" si="174"/>
        <v>2555730</v>
      </c>
      <c r="AF621" s="2">
        <f t="shared" si="178"/>
        <v>32.200000000000003</v>
      </c>
      <c r="AG621" t="str">
        <f t="shared" si="168"/>
        <v>110小时</v>
      </c>
      <c r="AH621">
        <f t="shared" si="169"/>
        <v>97</v>
      </c>
      <c r="AI621">
        <f t="shared" si="170"/>
        <v>17</v>
      </c>
      <c r="AJ621">
        <f t="shared" si="175"/>
        <v>56.8</v>
      </c>
      <c r="AK621">
        <f t="shared" si="171"/>
        <v>29</v>
      </c>
      <c r="AL621">
        <f t="shared" si="176"/>
        <v>32.200000000000003</v>
      </c>
      <c r="AM621" s="2">
        <f t="shared" si="172"/>
        <v>17</v>
      </c>
      <c r="AX621">
        <v>618</v>
      </c>
      <c r="AZ621" s="3"/>
      <c r="BB621" s="2">
        <f t="shared" si="173"/>
        <v>170</v>
      </c>
      <c r="BC621">
        <f t="shared" si="177"/>
        <v>13.805641821946168</v>
      </c>
      <c r="BD621" s="2">
        <f t="shared" si="179"/>
        <v>56.8</v>
      </c>
      <c r="BE621">
        <f t="shared" si="180"/>
        <v>32.200000000000003</v>
      </c>
      <c r="BF621">
        <f t="shared" si="181"/>
        <v>185472.00000000003</v>
      </c>
    </row>
    <row r="622" spans="1:58" ht="14.25" x14ac:dyDescent="0.2">
      <c r="A622" s="11">
        <v>10739</v>
      </c>
      <c r="B622" s="13">
        <f t="shared" si="182"/>
        <v>12</v>
      </c>
      <c r="C622" s="15">
        <f t="shared" si="183"/>
        <v>9</v>
      </c>
      <c r="D622" s="14">
        <f t="shared" si="184"/>
        <v>9</v>
      </c>
      <c r="E622" t="s">
        <v>2777</v>
      </c>
      <c r="F622" t="s">
        <v>2837</v>
      </c>
      <c r="G622" t="s">
        <v>2779</v>
      </c>
      <c r="H622" t="s">
        <v>2779</v>
      </c>
      <c r="I622" t="s">
        <v>2780</v>
      </c>
      <c r="J622" s="4" t="s">
        <v>2839</v>
      </c>
      <c r="K622" t="s">
        <v>174</v>
      </c>
      <c r="L622" t="s">
        <v>163</v>
      </c>
      <c r="M622" t="s">
        <v>163</v>
      </c>
      <c r="N622" t="s">
        <v>163</v>
      </c>
      <c r="O622" s="6" t="s">
        <v>1069</v>
      </c>
      <c r="P622">
        <v>0</v>
      </c>
      <c r="Q622" s="24">
        <v>47.2</v>
      </c>
      <c r="R622" s="25">
        <v>62.5</v>
      </c>
      <c r="S622" s="26">
        <v>46</v>
      </c>
      <c r="Y622">
        <v>10</v>
      </c>
      <c r="Z622">
        <v>30</v>
      </c>
      <c r="AA622" s="3">
        <v>25</v>
      </c>
      <c r="AB622" s="3">
        <v>6</v>
      </c>
      <c r="AC622">
        <v>155</v>
      </c>
      <c r="AD622" s="9">
        <f t="shared" si="167"/>
        <v>6614.1666666666661</v>
      </c>
      <c r="AE622">
        <f t="shared" si="174"/>
        <v>2555730</v>
      </c>
      <c r="AF622" s="2">
        <f t="shared" si="178"/>
        <v>32.200000000000003</v>
      </c>
      <c r="AG622" t="str">
        <f t="shared" si="168"/>
        <v>110小时</v>
      </c>
      <c r="AH622">
        <f t="shared" si="169"/>
        <v>97</v>
      </c>
      <c r="AI622">
        <f t="shared" si="170"/>
        <v>17</v>
      </c>
      <c r="AJ622">
        <f t="shared" si="175"/>
        <v>56.8</v>
      </c>
      <c r="AK622">
        <f t="shared" si="171"/>
        <v>29</v>
      </c>
      <c r="AL622">
        <f t="shared" si="176"/>
        <v>32.200000000000003</v>
      </c>
      <c r="AM622" s="2">
        <f t="shared" si="172"/>
        <v>17</v>
      </c>
      <c r="AX622">
        <v>619</v>
      </c>
      <c r="AZ622" s="3"/>
      <c r="BB622" s="2">
        <f t="shared" si="173"/>
        <v>170</v>
      </c>
      <c r="BC622">
        <f t="shared" si="177"/>
        <v>13.805641821946168</v>
      </c>
      <c r="BD622" s="2">
        <f t="shared" si="179"/>
        <v>56.8</v>
      </c>
      <c r="BE622">
        <f t="shared" si="180"/>
        <v>32.200000000000003</v>
      </c>
      <c r="BF622">
        <f t="shared" si="181"/>
        <v>185472.00000000003</v>
      </c>
    </row>
    <row r="623" spans="1:58" ht="14.25" x14ac:dyDescent="0.2">
      <c r="A623" s="11">
        <v>10740</v>
      </c>
      <c r="B623" s="13">
        <f t="shared" si="182"/>
        <v>12</v>
      </c>
      <c r="C623" s="15">
        <f t="shared" si="183"/>
        <v>9</v>
      </c>
      <c r="D623" s="14">
        <f t="shared" si="184"/>
        <v>9</v>
      </c>
      <c r="E623" t="s">
        <v>2785</v>
      </c>
      <c r="F623" t="s">
        <v>2786</v>
      </c>
      <c r="G623" t="s">
        <v>2832</v>
      </c>
      <c r="H623" t="s">
        <v>2829</v>
      </c>
      <c r="I623" t="s">
        <v>2697</v>
      </c>
      <c r="J623" s="4" t="s">
        <v>2859</v>
      </c>
      <c r="K623" t="s">
        <v>166</v>
      </c>
      <c r="L623" t="s">
        <v>163</v>
      </c>
      <c r="M623" t="s">
        <v>163</v>
      </c>
      <c r="N623" t="s">
        <v>163</v>
      </c>
      <c r="O623" s="6" t="s">
        <v>1069</v>
      </c>
      <c r="P623">
        <v>0</v>
      </c>
      <c r="Q623" s="24">
        <v>47.2</v>
      </c>
      <c r="R623" s="25">
        <v>62.5</v>
      </c>
      <c r="S623" s="26">
        <v>46</v>
      </c>
      <c r="Y623">
        <v>10</v>
      </c>
      <c r="Z623">
        <v>30</v>
      </c>
      <c r="AA623" s="3">
        <v>25</v>
      </c>
      <c r="AB623" s="3">
        <v>6</v>
      </c>
      <c r="AC623">
        <v>155</v>
      </c>
      <c r="AD623" s="9">
        <f t="shared" si="167"/>
        <v>6614.1666666666661</v>
      </c>
      <c r="AE623">
        <f t="shared" si="174"/>
        <v>2555730</v>
      </c>
      <c r="AF623" s="2">
        <f t="shared" si="178"/>
        <v>32.200000000000003</v>
      </c>
      <c r="AG623" t="str">
        <f t="shared" si="168"/>
        <v>110小时</v>
      </c>
      <c r="AH623">
        <f t="shared" si="169"/>
        <v>97</v>
      </c>
      <c r="AI623">
        <f t="shared" si="170"/>
        <v>17</v>
      </c>
      <c r="AJ623">
        <f t="shared" si="175"/>
        <v>56.8</v>
      </c>
      <c r="AK623">
        <f t="shared" si="171"/>
        <v>29</v>
      </c>
      <c r="AL623">
        <f t="shared" si="176"/>
        <v>32.200000000000003</v>
      </c>
      <c r="AM623" s="2">
        <f t="shared" si="172"/>
        <v>17</v>
      </c>
      <c r="AX623">
        <v>620</v>
      </c>
      <c r="AZ623" s="3"/>
      <c r="BB623" s="2">
        <f t="shared" si="173"/>
        <v>170</v>
      </c>
      <c r="BC623">
        <f t="shared" si="177"/>
        <v>13.805641821946168</v>
      </c>
      <c r="BD623" s="2">
        <f t="shared" si="179"/>
        <v>56.8</v>
      </c>
      <c r="BE623">
        <f t="shared" si="180"/>
        <v>32.200000000000003</v>
      </c>
      <c r="BF623">
        <f t="shared" si="181"/>
        <v>185472.00000000003</v>
      </c>
    </row>
    <row r="624" spans="1:58" ht="14.25" x14ac:dyDescent="0.2">
      <c r="A624" s="11">
        <v>10741</v>
      </c>
      <c r="B624" s="13">
        <f t="shared" si="182"/>
        <v>12</v>
      </c>
      <c r="C624" s="15">
        <f t="shared" si="183"/>
        <v>9</v>
      </c>
      <c r="D624" s="14">
        <f t="shared" si="184"/>
        <v>9</v>
      </c>
      <c r="E624" t="s">
        <v>2777</v>
      </c>
      <c r="F624" t="s">
        <v>2834</v>
      </c>
      <c r="G624" t="s">
        <v>2779</v>
      </c>
      <c r="H624" t="s">
        <v>2779</v>
      </c>
      <c r="I624" t="s">
        <v>2780</v>
      </c>
      <c r="J624" s="4" t="s">
        <v>2839</v>
      </c>
      <c r="K624" t="s">
        <v>168</v>
      </c>
      <c r="L624" t="s">
        <v>163</v>
      </c>
      <c r="M624" t="s">
        <v>163</v>
      </c>
      <c r="N624" t="s">
        <v>163</v>
      </c>
      <c r="O624" s="6" t="s">
        <v>1071</v>
      </c>
      <c r="P624">
        <v>0</v>
      </c>
      <c r="Q624" s="24">
        <v>47.5</v>
      </c>
      <c r="R624" s="25">
        <v>63</v>
      </c>
      <c r="S624" s="26">
        <v>46.3</v>
      </c>
      <c r="Y624">
        <v>10</v>
      </c>
      <c r="Z624">
        <v>30</v>
      </c>
      <c r="AA624" s="3">
        <v>25</v>
      </c>
      <c r="AB624" s="3">
        <v>6</v>
      </c>
      <c r="AC624">
        <v>155</v>
      </c>
      <c r="AD624" s="9">
        <f t="shared" si="167"/>
        <v>6553.083333333333</v>
      </c>
      <c r="AE624">
        <f t="shared" si="174"/>
        <v>2555730</v>
      </c>
      <c r="AF624" s="2">
        <f t="shared" si="178"/>
        <v>32.5</v>
      </c>
      <c r="AG624" t="str">
        <f t="shared" si="168"/>
        <v>109小时</v>
      </c>
      <c r="AH624">
        <f t="shared" si="169"/>
        <v>98</v>
      </c>
      <c r="AI624">
        <f t="shared" si="170"/>
        <v>17</v>
      </c>
      <c r="AJ624">
        <f t="shared" si="175"/>
        <v>57.300000000000004</v>
      </c>
      <c r="AK624">
        <f t="shared" si="171"/>
        <v>29</v>
      </c>
      <c r="AL624">
        <f t="shared" si="176"/>
        <v>32.5</v>
      </c>
      <c r="AM624" s="2">
        <f t="shared" si="172"/>
        <v>17</v>
      </c>
      <c r="AX624">
        <v>621</v>
      </c>
      <c r="AZ624" s="3"/>
      <c r="BB624" s="2">
        <f t="shared" si="173"/>
        <v>170</v>
      </c>
      <c r="BC624">
        <f t="shared" si="177"/>
        <v>13.678205128205128</v>
      </c>
      <c r="BD624" s="2">
        <f t="shared" si="179"/>
        <v>57.300000000000004</v>
      </c>
      <c r="BE624">
        <f t="shared" si="180"/>
        <v>32.5</v>
      </c>
      <c r="BF624">
        <f t="shared" si="181"/>
        <v>187200</v>
      </c>
    </row>
    <row r="625" spans="1:58" ht="14.25" x14ac:dyDescent="0.2">
      <c r="A625" s="11">
        <v>10742</v>
      </c>
      <c r="B625" s="13">
        <f t="shared" si="182"/>
        <v>12</v>
      </c>
      <c r="C625" s="15">
        <f t="shared" si="183"/>
        <v>9</v>
      </c>
      <c r="D625" s="14">
        <f t="shared" si="184"/>
        <v>9</v>
      </c>
      <c r="E625" t="s">
        <v>2777</v>
      </c>
      <c r="F625" t="s">
        <v>2835</v>
      </c>
      <c r="G625" t="s">
        <v>2779</v>
      </c>
      <c r="H625" t="s">
        <v>2779</v>
      </c>
      <c r="I625" t="s">
        <v>2780</v>
      </c>
      <c r="J625" s="4" t="s">
        <v>2839</v>
      </c>
      <c r="K625" t="s">
        <v>175</v>
      </c>
      <c r="L625" t="s">
        <v>164</v>
      </c>
      <c r="M625" t="s">
        <v>163</v>
      </c>
      <c r="N625" t="s">
        <v>167</v>
      </c>
      <c r="O625" s="6" t="s">
        <v>1073</v>
      </c>
      <c r="P625">
        <v>0</v>
      </c>
      <c r="Q625" s="24">
        <v>47.5</v>
      </c>
      <c r="R625" s="25">
        <v>63</v>
      </c>
      <c r="S625" s="26">
        <v>46.3</v>
      </c>
      <c r="Y625">
        <v>10</v>
      </c>
      <c r="Z625">
        <v>30</v>
      </c>
      <c r="AA625" s="3">
        <v>25</v>
      </c>
      <c r="AB625" s="3">
        <v>6</v>
      </c>
      <c r="AC625">
        <v>155</v>
      </c>
      <c r="AD625" s="9">
        <f t="shared" si="167"/>
        <v>6553.083333333333</v>
      </c>
      <c r="AE625">
        <f t="shared" si="174"/>
        <v>2555730</v>
      </c>
      <c r="AF625" s="2">
        <f t="shared" si="178"/>
        <v>32.5</v>
      </c>
      <c r="AG625" t="str">
        <f t="shared" si="168"/>
        <v>109小时</v>
      </c>
      <c r="AH625">
        <f t="shared" si="169"/>
        <v>98</v>
      </c>
      <c r="AI625">
        <f t="shared" si="170"/>
        <v>17</v>
      </c>
      <c r="AJ625">
        <f t="shared" si="175"/>
        <v>57.300000000000004</v>
      </c>
      <c r="AK625">
        <f t="shared" si="171"/>
        <v>29</v>
      </c>
      <c r="AL625">
        <f t="shared" si="176"/>
        <v>32.5</v>
      </c>
      <c r="AM625" s="2">
        <f t="shared" si="172"/>
        <v>17</v>
      </c>
      <c r="AX625">
        <v>622</v>
      </c>
      <c r="AZ625" s="3"/>
      <c r="BB625" s="2">
        <f t="shared" si="173"/>
        <v>170</v>
      </c>
      <c r="BC625">
        <f t="shared" si="177"/>
        <v>13.678205128205128</v>
      </c>
      <c r="BD625" s="2">
        <f t="shared" si="179"/>
        <v>57.300000000000004</v>
      </c>
      <c r="BE625">
        <f t="shared" si="180"/>
        <v>32.5</v>
      </c>
      <c r="BF625">
        <f t="shared" si="181"/>
        <v>187200</v>
      </c>
    </row>
    <row r="626" spans="1:58" ht="14.25" x14ac:dyDescent="0.2">
      <c r="A626" s="11">
        <v>10743</v>
      </c>
      <c r="B626" s="13">
        <f t="shared" si="182"/>
        <v>12</v>
      </c>
      <c r="C626" s="15">
        <f t="shared" si="183"/>
        <v>9</v>
      </c>
      <c r="D626" s="14">
        <f t="shared" si="184"/>
        <v>9</v>
      </c>
      <c r="E626" t="s">
        <v>2777</v>
      </c>
      <c r="F626" t="s">
        <v>2836</v>
      </c>
      <c r="G626" t="s">
        <v>2779</v>
      </c>
      <c r="H626" t="s">
        <v>2779</v>
      </c>
      <c r="I626" t="s">
        <v>2780</v>
      </c>
      <c r="J626" s="4" t="s">
        <v>2839</v>
      </c>
      <c r="K626" t="s">
        <v>179</v>
      </c>
      <c r="L626" t="s">
        <v>163</v>
      </c>
      <c r="M626" t="s">
        <v>163</v>
      </c>
      <c r="N626" t="s">
        <v>163</v>
      </c>
      <c r="O626" s="6" t="s">
        <v>1075</v>
      </c>
      <c r="P626">
        <v>0</v>
      </c>
      <c r="Q626" s="24">
        <v>47.5</v>
      </c>
      <c r="R626" s="25">
        <v>63</v>
      </c>
      <c r="S626" s="26">
        <v>46.3</v>
      </c>
      <c r="Y626">
        <v>10</v>
      </c>
      <c r="Z626">
        <v>30</v>
      </c>
      <c r="AA626" s="3">
        <v>25</v>
      </c>
      <c r="AB626" s="3">
        <v>6</v>
      </c>
      <c r="AC626">
        <v>155</v>
      </c>
      <c r="AD626" s="9">
        <f t="shared" si="167"/>
        <v>6553.083333333333</v>
      </c>
      <c r="AE626">
        <f t="shared" si="174"/>
        <v>2555730</v>
      </c>
      <c r="AF626" s="2">
        <f t="shared" si="178"/>
        <v>32.5</v>
      </c>
      <c r="AG626" t="str">
        <f t="shared" si="168"/>
        <v>109小时</v>
      </c>
      <c r="AH626">
        <f t="shared" si="169"/>
        <v>98</v>
      </c>
      <c r="AI626">
        <f t="shared" si="170"/>
        <v>17</v>
      </c>
      <c r="AJ626">
        <f t="shared" si="175"/>
        <v>57.300000000000004</v>
      </c>
      <c r="AK626">
        <f t="shared" si="171"/>
        <v>29</v>
      </c>
      <c r="AL626">
        <f t="shared" si="176"/>
        <v>32.5</v>
      </c>
      <c r="AM626" s="2">
        <f t="shared" si="172"/>
        <v>17</v>
      </c>
      <c r="AX626">
        <v>623</v>
      </c>
      <c r="AZ626" s="3"/>
      <c r="BB626" s="2">
        <f t="shared" si="173"/>
        <v>170</v>
      </c>
      <c r="BC626">
        <f t="shared" si="177"/>
        <v>13.678205128205128</v>
      </c>
      <c r="BD626" s="2">
        <f t="shared" si="179"/>
        <v>57.300000000000004</v>
      </c>
      <c r="BE626">
        <f t="shared" si="180"/>
        <v>32.5</v>
      </c>
      <c r="BF626">
        <f t="shared" si="181"/>
        <v>187200</v>
      </c>
    </row>
    <row r="627" spans="1:58" ht="14.25" x14ac:dyDescent="0.2">
      <c r="A627" s="11">
        <v>10744</v>
      </c>
      <c r="B627" s="13">
        <f t="shared" si="182"/>
        <v>12</v>
      </c>
      <c r="C627" s="15">
        <f t="shared" si="183"/>
        <v>9</v>
      </c>
      <c r="D627" s="14">
        <f t="shared" si="184"/>
        <v>9</v>
      </c>
      <c r="E627" t="s">
        <v>2777</v>
      </c>
      <c r="F627" t="s">
        <v>2837</v>
      </c>
      <c r="G627" t="s">
        <v>2779</v>
      </c>
      <c r="H627" t="s">
        <v>2779</v>
      </c>
      <c r="I627" t="s">
        <v>2780</v>
      </c>
      <c r="J627" s="4" t="s">
        <v>2839</v>
      </c>
      <c r="K627" t="s">
        <v>177</v>
      </c>
      <c r="L627" t="s">
        <v>163</v>
      </c>
      <c r="M627" t="s">
        <v>163</v>
      </c>
      <c r="N627" t="s">
        <v>163</v>
      </c>
      <c r="O627" s="6" t="s">
        <v>1075</v>
      </c>
      <c r="P627">
        <v>0</v>
      </c>
      <c r="Q627" s="24">
        <v>47.5</v>
      </c>
      <c r="R627" s="25">
        <v>63</v>
      </c>
      <c r="S627" s="26">
        <v>46.3</v>
      </c>
      <c r="Y627">
        <v>10</v>
      </c>
      <c r="Z627">
        <v>30</v>
      </c>
      <c r="AA627" s="3">
        <v>25</v>
      </c>
      <c r="AB627" s="3">
        <v>6</v>
      </c>
      <c r="AC627">
        <v>155</v>
      </c>
      <c r="AD627" s="9">
        <f t="shared" si="167"/>
        <v>6553.083333333333</v>
      </c>
      <c r="AE627">
        <f t="shared" si="174"/>
        <v>2555730</v>
      </c>
      <c r="AF627" s="2">
        <f t="shared" si="178"/>
        <v>32.5</v>
      </c>
      <c r="AG627" t="str">
        <f t="shared" si="168"/>
        <v>109小时</v>
      </c>
      <c r="AH627">
        <f t="shared" si="169"/>
        <v>98</v>
      </c>
      <c r="AI627">
        <f t="shared" si="170"/>
        <v>17</v>
      </c>
      <c r="AJ627">
        <f t="shared" si="175"/>
        <v>57.300000000000004</v>
      </c>
      <c r="AK627">
        <f t="shared" si="171"/>
        <v>29</v>
      </c>
      <c r="AL627">
        <f t="shared" si="176"/>
        <v>32.5</v>
      </c>
      <c r="AM627" s="2">
        <f t="shared" si="172"/>
        <v>17</v>
      </c>
      <c r="AX627">
        <v>624</v>
      </c>
      <c r="AZ627" s="3"/>
      <c r="BB627" s="2">
        <f t="shared" si="173"/>
        <v>170</v>
      </c>
      <c r="BC627">
        <f t="shared" si="177"/>
        <v>13.678205128205128</v>
      </c>
      <c r="BD627" s="2">
        <f t="shared" si="179"/>
        <v>57.300000000000004</v>
      </c>
      <c r="BE627">
        <f t="shared" si="180"/>
        <v>32.5</v>
      </c>
      <c r="BF627">
        <f t="shared" si="181"/>
        <v>187200</v>
      </c>
    </row>
    <row r="628" spans="1:58" ht="14.25" x14ac:dyDescent="0.2">
      <c r="A628" s="11">
        <v>10745</v>
      </c>
      <c r="B628" s="13">
        <f t="shared" si="182"/>
        <v>12</v>
      </c>
      <c r="C628" s="15">
        <f t="shared" si="183"/>
        <v>9</v>
      </c>
      <c r="D628" s="14">
        <f t="shared" si="184"/>
        <v>9</v>
      </c>
      <c r="E628" t="s">
        <v>2785</v>
      </c>
      <c r="F628" t="s">
        <v>2786</v>
      </c>
      <c r="G628" t="s">
        <v>2833</v>
      </c>
      <c r="H628" t="s">
        <v>2829</v>
      </c>
      <c r="I628" t="s">
        <v>2697</v>
      </c>
      <c r="J628" s="4" t="s">
        <v>2877</v>
      </c>
      <c r="K628" t="s">
        <v>174</v>
      </c>
      <c r="L628" t="s">
        <v>163</v>
      </c>
      <c r="M628" t="s">
        <v>163</v>
      </c>
      <c r="N628" t="s">
        <v>163</v>
      </c>
      <c r="O628" s="6" t="s">
        <v>1077</v>
      </c>
      <c r="P628">
        <v>0</v>
      </c>
      <c r="Q628" s="24">
        <v>47.5</v>
      </c>
      <c r="R628" s="25">
        <v>63</v>
      </c>
      <c r="S628" s="26">
        <v>46.3</v>
      </c>
      <c r="Y628">
        <v>10</v>
      </c>
      <c r="Z628">
        <v>30</v>
      </c>
      <c r="AA628" s="3">
        <v>25</v>
      </c>
      <c r="AB628" s="3">
        <v>6</v>
      </c>
      <c r="AC628">
        <v>155</v>
      </c>
      <c r="AD628" s="9">
        <f t="shared" si="167"/>
        <v>6553.083333333333</v>
      </c>
      <c r="AE628">
        <f t="shared" si="174"/>
        <v>2555730</v>
      </c>
      <c r="AF628" s="2">
        <f t="shared" si="178"/>
        <v>32.5</v>
      </c>
      <c r="AG628" t="str">
        <f t="shared" si="168"/>
        <v>109小时</v>
      </c>
      <c r="AH628">
        <f t="shared" si="169"/>
        <v>98</v>
      </c>
      <c r="AI628">
        <f t="shared" si="170"/>
        <v>17</v>
      </c>
      <c r="AJ628">
        <f t="shared" si="175"/>
        <v>57.300000000000004</v>
      </c>
      <c r="AK628">
        <f t="shared" si="171"/>
        <v>29</v>
      </c>
      <c r="AL628">
        <f t="shared" si="176"/>
        <v>32.5</v>
      </c>
      <c r="AM628" s="2">
        <f t="shared" si="172"/>
        <v>17</v>
      </c>
      <c r="AX628">
        <v>625</v>
      </c>
      <c r="AZ628" s="3"/>
      <c r="BB628" s="2">
        <f t="shared" si="173"/>
        <v>170</v>
      </c>
      <c r="BC628">
        <f t="shared" si="177"/>
        <v>13.678205128205128</v>
      </c>
      <c r="BD628" s="2">
        <f t="shared" si="179"/>
        <v>57.300000000000004</v>
      </c>
      <c r="BE628">
        <f t="shared" si="180"/>
        <v>32.5</v>
      </c>
      <c r="BF628">
        <f t="shared" si="181"/>
        <v>187200</v>
      </c>
    </row>
    <row r="629" spans="1:58" ht="14.25" x14ac:dyDescent="0.2">
      <c r="A629" s="11">
        <v>10746</v>
      </c>
      <c r="B629" s="13">
        <f t="shared" si="182"/>
        <v>12</v>
      </c>
      <c r="C629" s="15">
        <f t="shared" si="183"/>
        <v>9</v>
      </c>
      <c r="D629" s="14">
        <f t="shared" si="184"/>
        <v>9</v>
      </c>
      <c r="E629" t="s">
        <v>2777</v>
      </c>
      <c r="F629" t="s">
        <v>2834</v>
      </c>
      <c r="G629" t="s">
        <v>2779</v>
      </c>
      <c r="H629" t="s">
        <v>2779</v>
      </c>
      <c r="I629" t="s">
        <v>2780</v>
      </c>
      <c r="J629" s="4" t="s">
        <v>2839</v>
      </c>
      <c r="K629" t="s">
        <v>182</v>
      </c>
      <c r="L629" t="s">
        <v>163</v>
      </c>
      <c r="M629" t="s">
        <v>163</v>
      </c>
      <c r="N629" t="s">
        <v>163</v>
      </c>
      <c r="O629" s="6" t="s">
        <v>1079</v>
      </c>
      <c r="P629">
        <v>0</v>
      </c>
      <c r="Q629" s="24">
        <v>47.8</v>
      </c>
      <c r="R629" s="25">
        <v>63.5</v>
      </c>
      <c r="S629" s="26">
        <v>46.5</v>
      </c>
      <c r="Y629">
        <v>10</v>
      </c>
      <c r="Z629">
        <v>30</v>
      </c>
      <c r="AA629" s="3">
        <v>25</v>
      </c>
      <c r="AB629" s="3">
        <v>6</v>
      </c>
      <c r="AC629">
        <v>155</v>
      </c>
      <c r="AD629" s="9">
        <f t="shared" si="167"/>
        <v>6513</v>
      </c>
      <c r="AE629">
        <f t="shared" si="174"/>
        <v>2555730</v>
      </c>
      <c r="AF629" s="2">
        <f t="shared" si="178"/>
        <v>32.700000000000003</v>
      </c>
      <c r="AG629" t="str">
        <f t="shared" si="168"/>
        <v>108小时</v>
      </c>
      <c r="AH629">
        <f t="shared" si="169"/>
        <v>99</v>
      </c>
      <c r="AI629">
        <f t="shared" si="170"/>
        <v>17</v>
      </c>
      <c r="AJ629">
        <f t="shared" si="175"/>
        <v>57.6</v>
      </c>
      <c r="AK629">
        <f t="shared" si="171"/>
        <v>29</v>
      </c>
      <c r="AL629">
        <f t="shared" si="176"/>
        <v>32.700000000000003</v>
      </c>
      <c r="AM629" s="2">
        <f t="shared" si="172"/>
        <v>17</v>
      </c>
      <c r="AX629">
        <v>626</v>
      </c>
      <c r="AZ629" s="3"/>
      <c r="BB629" s="2">
        <f t="shared" si="173"/>
        <v>170</v>
      </c>
      <c r="BC629">
        <f t="shared" si="177"/>
        <v>13.594546381243626</v>
      </c>
      <c r="BD629" s="2">
        <f t="shared" si="179"/>
        <v>57.6</v>
      </c>
      <c r="BE629">
        <f t="shared" si="180"/>
        <v>32.700000000000003</v>
      </c>
      <c r="BF629">
        <f t="shared" si="181"/>
        <v>188352.00000000003</v>
      </c>
    </row>
    <row r="630" spans="1:58" ht="14.25" x14ac:dyDescent="0.2">
      <c r="A630" s="11">
        <v>10747</v>
      </c>
      <c r="B630" s="13">
        <f t="shared" si="182"/>
        <v>12</v>
      </c>
      <c r="C630" s="15">
        <f t="shared" si="183"/>
        <v>9</v>
      </c>
      <c r="D630" s="14">
        <f t="shared" si="184"/>
        <v>9</v>
      </c>
      <c r="E630" t="s">
        <v>2777</v>
      </c>
      <c r="F630" t="s">
        <v>2835</v>
      </c>
      <c r="G630" t="s">
        <v>2779</v>
      </c>
      <c r="H630" t="s">
        <v>2779</v>
      </c>
      <c r="I630" t="s">
        <v>2780</v>
      </c>
      <c r="J630" s="4" t="s">
        <v>2839</v>
      </c>
      <c r="K630" t="s">
        <v>162</v>
      </c>
      <c r="L630" t="s">
        <v>163</v>
      </c>
      <c r="M630" t="s">
        <v>163</v>
      </c>
      <c r="N630" t="s">
        <v>163</v>
      </c>
      <c r="O630" s="6" t="s">
        <v>1079</v>
      </c>
      <c r="P630">
        <v>0</v>
      </c>
      <c r="Q630" s="24">
        <v>47.8</v>
      </c>
      <c r="R630" s="25">
        <v>63.5</v>
      </c>
      <c r="S630" s="26">
        <v>46.5</v>
      </c>
      <c r="Y630">
        <v>10</v>
      </c>
      <c r="Z630">
        <v>30</v>
      </c>
      <c r="AA630" s="3">
        <v>25</v>
      </c>
      <c r="AB630" s="3">
        <v>6</v>
      </c>
      <c r="AC630">
        <v>155</v>
      </c>
      <c r="AD630" s="9">
        <f t="shared" si="167"/>
        <v>6513</v>
      </c>
      <c r="AE630">
        <f t="shared" si="174"/>
        <v>2555730</v>
      </c>
      <c r="AF630" s="2">
        <f t="shared" si="178"/>
        <v>32.700000000000003</v>
      </c>
      <c r="AG630" t="str">
        <f t="shared" si="168"/>
        <v>108小时</v>
      </c>
      <c r="AH630">
        <f t="shared" si="169"/>
        <v>99</v>
      </c>
      <c r="AI630">
        <f t="shared" si="170"/>
        <v>17</v>
      </c>
      <c r="AJ630">
        <f t="shared" si="175"/>
        <v>57.6</v>
      </c>
      <c r="AK630">
        <f t="shared" si="171"/>
        <v>29</v>
      </c>
      <c r="AL630">
        <f t="shared" si="176"/>
        <v>32.700000000000003</v>
      </c>
      <c r="AM630" s="2">
        <f t="shared" si="172"/>
        <v>17</v>
      </c>
      <c r="AX630">
        <v>627</v>
      </c>
      <c r="AZ630" s="3"/>
      <c r="BB630" s="2">
        <f t="shared" si="173"/>
        <v>170</v>
      </c>
      <c r="BC630">
        <f t="shared" si="177"/>
        <v>13.594546381243626</v>
      </c>
      <c r="BD630" s="2">
        <f t="shared" si="179"/>
        <v>57.6</v>
      </c>
      <c r="BE630">
        <f t="shared" si="180"/>
        <v>32.700000000000003</v>
      </c>
      <c r="BF630">
        <f t="shared" si="181"/>
        <v>188352.00000000003</v>
      </c>
    </row>
    <row r="631" spans="1:58" ht="14.25" x14ac:dyDescent="0.2">
      <c r="A631" s="11">
        <v>10748</v>
      </c>
      <c r="B631" s="13">
        <f t="shared" si="182"/>
        <v>12</v>
      </c>
      <c r="C631" s="15">
        <f t="shared" si="183"/>
        <v>9</v>
      </c>
      <c r="D631" s="14">
        <f t="shared" si="184"/>
        <v>9</v>
      </c>
      <c r="E631" t="s">
        <v>2777</v>
      </c>
      <c r="F631" t="s">
        <v>2836</v>
      </c>
      <c r="G631" t="s">
        <v>2779</v>
      </c>
      <c r="H631" t="s">
        <v>2779</v>
      </c>
      <c r="I631" t="s">
        <v>2780</v>
      </c>
      <c r="J631" s="4" t="s">
        <v>2839</v>
      </c>
      <c r="K631" t="s">
        <v>177</v>
      </c>
      <c r="L631" t="s">
        <v>163</v>
      </c>
      <c r="M631" t="s">
        <v>163</v>
      </c>
      <c r="N631" t="s">
        <v>163</v>
      </c>
      <c r="O631" s="6" t="s">
        <v>1081</v>
      </c>
      <c r="P631">
        <v>0</v>
      </c>
      <c r="Q631" s="24">
        <v>47.8</v>
      </c>
      <c r="R631" s="25">
        <v>63.5</v>
      </c>
      <c r="S631" s="26">
        <v>46.5</v>
      </c>
      <c r="Y631">
        <v>10</v>
      </c>
      <c r="Z631">
        <v>30</v>
      </c>
      <c r="AA631" s="3">
        <v>25</v>
      </c>
      <c r="AB631" s="3">
        <v>6</v>
      </c>
      <c r="AC631">
        <v>155</v>
      </c>
      <c r="AD631" s="9">
        <f t="shared" si="167"/>
        <v>6513</v>
      </c>
      <c r="AE631">
        <f t="shared" si="174"/>
        <v>2555730</v>
      </c>
      <c r="AF631" s="2">
        <f t="shared" si="178"/>
        <v>32.700000000000003</v>
      </c>
      <c r="AG631" t="str">
        <f t="shared" si="168"/>
        <v>108小时</v>
      </c>
      <c r="AH631">
        <f t="shared" si="169"/>
        <v>99</v>
      </c>
      <c r="AI631">
        <f t="shared" si="170"/>
        <v>17</v>
      </c>
      <c r="AJ631">
        <f t="shared" si="175"/>
        <v>57.6</v>
      </c>
      <c r="AK631">
        <f t="shared" si="171"/>
        <v>29</v>
      </c>
      <c r="AL631">
        <f t="shared" si="176"/>
        <v>32.700000000000003</v>
      </c>
      <c r="AM631" s="2">
        <f t="shared" si="172"/>
        <v>17</v>
      </c>
      <c r="AX631">
        <v>628</v>
      </c>
      <c r="AZ631" s="3"/>
      <c r="BB631" s="2">
        <f t="shared" si="173"/>
        <v>170</v>
      </c>
      <c r="BC631">
        <f t="shared" si="177"/>
        <v>13.594546381243626</v>
      </c>
      <c r="BD631" s="2">
        <f t="shared" si="179"/>
        <v>57.6</v>
      </c>
      <c r="BE631">
        <f t="shared" si="180"/>
        <v>32.700000000000003</v>
      </c>
      <c r="BF631">
        <f t="shared" si="181"/>
        <v>188352.00000000003</v>
      </c>
    </row>
    <row r="632" spans="1:58" ht="14.25" x14ac:dyDescent="0.2">
      <c r="A632" s="11">
        <v>10749</v>
      </c>
      <c r="B632" s="13">
        <f t="shared" si="182"/>
        <v>12</v>
      </c>
      <c r="C632" s="15">
        <f t="shared" si="183"/>
        <v>9</v>
      </c>
      <c r="D632" s="14">
        <f t="shared" si="184"/>
        <v>9</v>
      </c>
      <c r="E632" t="s">
        <v>2777</v>
      </c>
      <c r="F632" t="s">
        <v>2837</v>
      </c>
      <c r="G632" t="s">
        <v>2779</v>
      </c>
      <c r="H632" t="s">
        <v>2779</v>
      </c>
      <c r="I632" t="s">
        <v>2780</v>
      </c>
      <c r="J632" s="4" t="s">
        <v>2839</v>
      </c>
      <c r="K632" t="s">
        <v>174</v>
      </c>
      <c r="L632" t="s">
        <v>163</v>
      </c>
      <c r="M632" t="s">
        <v>163</v>
      </c>
      <c r="N632" t="s">
        <v>163</v>
      </c>
      <c r="O632" s="6" t="s">
        <v>1083</v>
      </c>
      <c r="P632">
        <v>0</v>
      </c>
      <c r="Q632" s="24">
        <v>47.8</v>
      </c>
      <c r="R632" s="25">
        <v>63.5</v>
      </c>
      <c r="S632" s="26">
        <v>46.5</v>
      </c>
      <c r="Y632">
        <v>10</v>
      </c>
      <c r="Z632">
        <v>30</v>
      </c>
      <c r="AA632" s="3">
        <v>25</v>
      </c>
      <c r="AB632" s="3">
        <v>6</v>
      </c>
      <c r="AC632">
        <v>155</v>
      </c>
      <c r="AD632" s="9">
        <f t="shared" si="167"/>
        <v>6513</v>
      </c>
      <c r="AE632">
        <f t="shared" si="174"/>
        <v>2555730</v>
      </c>
      <c r="AF632" s="2">
        <f t="shared" si="178"/>
        <v>32.700000000000003</v>
      </c>
      <c r="AG632" t="str">
        <f t="shared" si="168"/>
        <v>108小时</v>
      </c>
      <c r="AH632">
        <f t="shared" si="169"/>
        <v>99</v>
      </c>
      <c r="AI632">
        <f t="shared" si="170"/>
        <v>17</v>
      </c>
      <c r="AJ632">
        <f t="shared" si="175"/>
        <v>57.6</v>
      </c>
      <c r="AK632">
        <f t="shared" si="171"/>
        <v>29</v>
      </c>
      <c r="AL632">
        <f t="shared" si="176"/>
        <v>32.700000000000003</v>
      </c>
      <c r="AM632" s="2">
        <f t="shared" si="172"/>
        <v>17</v>
      </c>
      <c r="AX632">
        <v>629</v>
      </c>
      <c r="AZ632" s="3"/>
      <c r="BB632" s="2">
        <f t="shared" si="173"/>
        <v>170</v>
      </c>
      <c r="BC632">
        <f t="shared" si="177"/>
        <v>13.594546381243626</v>
      </c>
      <c r="BD632" s="2">
        <f t="shared" si="179"/>
        <v>57.6</v>
      </c>
      <c r="BE632">
        <f t="shared" si="180"/>
        <v>32.700000000000003</v>
      </c>
      <c r="BF632">
        <f t="shared" si="181"/>
        <v>188352.00000000003</v>
      </c>
    </row>
    <row r="633" spans="1:58" ht="14.25" x14ac:dyDescent="0.2">
      <c r="A633" s="11">
        <v>10750</v>
      </c>
      <c r="B633" s="13">
        <f t="shared" si="182"/>
        <v>12</v>
      </c>
      <c r="C633" s="15">
        <f t="shared" si="183"/>
        <v>9</v>
      </c>
      <c r="D633" s="14">
        <f t="shared" si="184"/>
        <v>9</v>
      </c>
      <c r="E633" t="s">
        <v>2785</v>
      </c>
      <c r="F633" t="s">
        <v>2786</v>
      </c>
      <c r="G633" t="s">
        <v>2828</v>
      </c>
      <c r="H633" t="s">
        <v>2829</v>
      </c>
      <c r="I633" t="s">
        <v>2697</v>
      </c>
      <c r="J633" s="4" t="s">
        <v>2877</v>
      </c>
      <c r="K633" t="s">
        <v>166</v>
      </c>
      <c r="L633" t="s">
        <v>163</v>
      </c>
      <c r="M633" t="s">
        <v>163</v>
      </c>
      <c r="N633" t="s">
        <v>163</v>
      </c>
      <c r="O633" s="6" t="s">
        <v>1083</v>
      </c>
      <c r="P633">
        <v>0</v>
      </c>
      <c r="Q633" s="24">
        <v>47.8</v>
      </c>
      <c r="R633" s="25">
        <v>63.5</v>
      </c>
      <c r="S633" s="26">
        <v>46.5</v>
      </c>
      <c r="Y633">
        <v>10</v>
      </c>
      <c r="Z633">
        <v>30</v>
      </c>
      <c r="AA633" s="3">
        <v>25</v>
      </c>
      <c r="AB633" s="3">
        <v>6</v>
      </c>
      <c r="AC633">
        <v>155</v>
      </c>
      <c r="AD633" s="9">
        <f t="shared" si="167"/>
        <v>6513</v>
      </c>
      <c r="AE633">
        <f t="shared" si="174"/>
        <v>2555730</v>
      </c>
      <c r="AF633" s="2">
        <f t="shared" si="178"/>
        <v>32.700000000000003</v>
      </c>
      <c r="AG633" t="str">
        <f t="shared" si="168"/>
        <v>108小时</v>
      </c>
      <c r="AH633">
        <f t="shared" si="169"/>
        <v>99</v>
      </c>
      <c r="AI633">
        <f t="shared" si="170"/>
        <v>17</v>
      </c>
      <c r="AJ633">
        <f t="shared" si="175"/>
        <v>57.6</v>
      </c>
      <c r="AK633">
        <f t="shared" si="171"/>
        <v>29</v>
      </c>
      <c r="AL633">
        <f t="shared" si="176"/>
        <v>32.700000000000003</v>
      </c>
      <c r="AM633" s="2">
        <f t="shared" si="172"/>
        <v>17</v>
      </c>
      <c r="AX633">
        <v>630</v>
      </c>
      <c r="AZ633" s="3"/>
      <c r="BB633" s="2">
        <f t="shared" si="173"/>
        <v>170</v>
      </c>
      <c r="BC633">
        <f t="shared" si="177"/>
        <v>13.594546381243626</v>
      </c>
      <c r="BD633" s="2">
        <f t="shared" si="179"/>
        <v>57.6</v>
      </c>
      <c r="BE633">
        <f t="shared" si="180"/>
        <v>32.700000000000003</v>
      </c>
      <c r="BF633">
        <f t="shared" si="181"/>
        <v>188352.00000000003</v>
      </c>
    </row>
    <row r="634" spans="1:58" ht="14.25" x14ac:dyDescent="0.2">
      <c r="A634" s="11">
        <v>10801</v>
      </c>
      <c r="B634" s="13">
        <f t="shared" si="182"/>
        <v>12</v>
      </c>
      <c r="C634" s="15">
        <f t="shared" si="183"/>
        <v>9</v>
      </c>
      <c r="D634" s="14">
        <f t="shared" si="184"/>
        <v>9</v>
      </c>
      <c r="E634" t="s">
        <v>2777</v>
      </c>
      <c r="F634" t="s">
        <v>2834</v>
      </c>
      <c r="G634" t="s">
        <v>2779</v>
      </c>
      <c r="H634" t="s">
        <v>2779</v>
      </c>
      <c r="I634" t="s">
        <v>2780</v>
      </c>
      <c r="J634" s="4" t="s">
        <v>2840</v>
      </c>
      <c r="K634" t="s">
        <v>168</v>
      </c>
      <c r="L634" t="s">
        <v>163</v>
      </c>
      <c r="M634" t="s">
        <v>163</v>
      </c>
      <c r="N634" t="s">
        <v>163</v>
      </c>
      <c r="O634" s="6" t="s">
        <v>1085</v>
      </c>
      <c r="P634">
        <v>0</v>
      </c>
      <c r="Q634" s="24">
        <v>48.2</v>
      </c>
      <c r="R634" s="25">
        <v>64</v>
      </c>
      <c r="S634" s="26">
        <v>46.8</v>
      </c>
      <c r="Y634">
        <v>10</v>
      </c>
      <c r="Z634">
        <v>30</v>
      </c>
      <c r="AA634" s="3">
        <v>25</v>
      </c>
      <c r="AB634" s="3">
        <v>6</v>
      </c>
      <c r="AC634">
        <v>155</v>
      </c>
      <c r="AD634" s="9">
        <f t="shared" si="167"/>
        <v>6453.833333333333</v>
      </c>
      <c r="AE634">
        <f t="shared" si="174"/>
        <v>2555730</v>
      </c>
      <c r="AF634" s="2">
        <f t="shared" si="178"/>
        <v>33</v>
      </c>
      <c r="AG634" t="str">
        <f t="shared" si="168"/>
        <v>107小时</v>
      </c>
      <c r="AH634">
        <f t="shared" si="169"/>
        <v>99</v>
      </c>
      <c r="AI634">
        <f t="shared" si="170"/>
        <v>17</v>
      </c>
      <c r="AJ634">
        <f t="shared" si="175"/>
        <v>58</v>
      </c>
      <c r="AK634">
        <f t="shared" si="171"/>
        <v>29</v>
      </c>
      <c r="AL634">
        <f t="shared" si="176"/>
        <v>33</v>
      </c>
      <c r="AM634" s="2">
        <f t="shared" si="172"/>
        <v>17</v>
      </c>
      <c r="AX634">
        <v>631</v>
      </c>
      <c r="AZ634" s="3"/>
      <c r="BB634" s="2">
        <f t="shared" si="173"/>
        <v>170</v>
      </c>
      <c r="BC634">
        <f t="shared" si="177"/>
        <v>13.470959595959595</v>
      </c>
      <c r="BD634" s="2">
        <f t="shared" si="179"/>
        <v>58</v>
      </c>
      <c r="BE634">
        <f t="shared" si="180"/>
        <v>33</v>
      </c>
      <c r="BF634">
        <f t="shared" si="181"/>
        <v>190080</v>
      </c>
    </row>
    <row r="635" spans="1:58" ht="14.25" x14ac:dyDescent="0.2">
      <c r="A635" s="11">
        <v>10802</v>
      </c>
      <c r="B635" s="13">
        <f t="shared" si="182"/>
        <v>12</v>
      </c>
      <c r="C635" s="15">
        <f t="shared" si="183"/>
        <v>9</v>
      </c>
      <c r="D635" s="14">
        <f t="shared" si="184"/>
        <v>9</v>
      </c>
      <c r="E635" t="s">
        <v>2777</v>
      </c>
      <c r="F635" t="s">
        <v>2835</v>
      </c>
      <c r="G635" t="s">
        <v>2779</v>
      </c>
      <c r="H635" t="s">
        <v>2779</v>
      </c>
      <c r="I635" t="s">
        <v>2780</v>
      </c>
      <c r="J635" s="4" t="s">
        <v>2840</v>
      </c>
      <c r="K635" t="s">
        <v>175</v>
      </c>
      <c r="L635" t="s">
        <v>164</v>
      </c>
      <c r="M635" t="s">
        <v>163</v>
      </c>
      <c r="N635" t="s">
        <v>167</v>
      </c>
      <c r="O635" s="6" t="s">
        <v>1087</v>
      </c>
      <c r="P635">
        <v>0</v>
      </c>
      <c r="Q635" s="24">
        <v>48.2</v>
      </c>
      <c r="R635" s="25">
        <v>64</v>
      </c>
      <c r="S635" s="26">
        <v>46.8</v>
      </c>
      <c r="Y635">
        <v>10</v>
      </c>
      <c r="Z635">
        <v>30</v>
      </c>
      <c r="AA635" s="3">
        <v>25</v>
      </c>
      <c r="AB635" s="3">
        <v>6</v>
      </c>
      <c r="AC635">
        <v>155</v>
      </c>
      <c r="AD635" s="9">
        <f t="shared" si="167"/>
        <v>6453.833333333333</v>
      </c>
      <c r="AE635">
        <f t="shared" si="174"/>
        <v>2555730</v>
      </c>
      <c r="AF635" s="2">
        <f t="shared" si="178"/>
        <v>33</v>
      </c>
      <c r="AG635" t="str">
        <f t="shared" si="168"/>
        <v>107小时</v>
      </c>
      <c r="AH635">
        <f t="shared" si="169"/>
        <v>99</v>
      </c>
      <c r="AI635">
        <f t="shared" si="170"/>
        <v>17</v>
      </c>
      <c r="AJ635">
        <f t="shared" si="175"/>
        <v>58</v>
      </c>
      <c r="AK635">
        <f t="shared" si="171"/>
        <v>29</v>
      </c>
      <c r="AL635">
        <f t="shared" si="176"/>
        <v>33</v>
      </c>
      <c r="AM635" s="2">
        <f t="shared" si="172"/>
        <v>17</v>
      </c>
      <c r="AX635">
        <v>632</v>
      </c>
      <c r="AZ635" s="3"/>
      <c r="BB635" s="2">
        <f t="shared" si="173"/>
        <v>170</v>
      </c>
      <c r="BC635">
        <f t="shared" si="177"/>
        <v>13.470959595959595</v>
      </c>
      <c r="BD635" s="2">
        <f t="shared" si="179"/>
        <v>58</v>
      </c>
      <c r="BE635">
        <f t="shared" si="180"/>
        <v>33</v>
      </c>
      <c r="BF635">
        <f t="shared" si="181"/>
        <v>190080</v>
      </c>
    </row>
    <row r="636" spans="1:58" ht="14.25" x14ac:dyDescent="0.2">
      <c r="A636" s="11">
        <v>10803</v>
      </c>
      <c r="B636" s="13">
        <f t="shared" si="182"/>
        <v>12</v>
      </c>
      <c r="C636" s="15">
        <f t="shared" si="183"/>
        <v>9</v>
      </c>
      <c r="D636" s="14">
        <f t="shared" si="184"/>
        <v>9</v>
      </c>
      <c r="E636" t="s">
        <v>2777</v>
      </c>
      <c r="F636" t="s">
        <v>2836</v>
      </c>
      <c r="G636" t="s">
        <v>2779</v>
      </c>
      <c r="H636" t="s">
        <v>2779</v>
      </c>
      <c r="I636" t="s">
        <v>2780</v>
      </c>
      <c r="J636" s="4" t="s">
        <v>2840</v>
      </c>
      <c r="K636" t="s">
        <v>179</v>
      </c>
      <c r="L636" t="s">
        <v>163</v>
      </c>
      <c r="M636" t="s">
        <v>163</v>
      </c>
      <c r="N636" t="s">
        <v>163</v>
      </c>
      <c r="O636" s="6" t="s">
        <v>1089</v>
      </c>
      <c r="P636">
        <v>0</v>
      </c>
      <c r="Q636" s="24">
        <v>48.2</v>
      </c>
      <c r="R636" s="25">
        <v>64</v>
      </c>
      <c r="S636" s="26">
        <v>46.8</v>
      </c>
      <c r="Y636">
        <v>10</v>
      </c>
      <c r="Z636">
        <v>30</v>
      </c>
      <c r="AA636" s="3">
        <v>25</v>
      </c>
      <c r="AB636" s="3">
        <v>6</v>
      </c>
      <c r="AC636">
        <v>155</v>
      </c>
      <c r="AD636" s="9">
        <f t="shared" si="167"/>
        <v>6453.833333333333</v>
      </c>
      <c r="AE636">
        <f t="shared" si="174"/>
        <v>2555730</v>
      </c>
      <c r="AF636" s="2">
        <f t="shared" si="178"/>
        <v>33</v>
      </c>
      <c r="AG636" t="str">
        <f t="shared" si="168"/>
        <v>107小时</v>
      </c>
      <c r="AH636">
        <f t="shared" si="169"/>
        <v>99</v>
      </c>
      <c r="AI636">
        <f t="shared" si="170"/>
        <v>17</v>
      </c>
      <c r="AJ636">
        <f t="shared" si="175"/>
        <v>58</v>
      </c>
      <c r="AK636">
        <f t="shared" si="171"/>
        <v>29</v>
      </c>
      <c r="AL636">
        <f t="shared" si="176"/>
        <v>33</v>
      </c>
      <c r="AM636" s="2">
        <f t="shared" si="172"/>
        <v>17</v>
      </c>
      <c r="AX636">
        <v>633</v>
      </c>
      <c r="AZ636" s="3"/>
      <c r="BB636" s="2">
        <f t="shared" si="173"/>
        <v>170</v>
      </c>
      <c r="BC636">
        <f t="shared" si="177"/>
        <v>13.470959595959595</v>
      </c>
      <c r="BD636" s="2">
        <f t="shared" si="179"/>
        <v>58</v>
      </c>
      <c r="BE636">
        <f t="shared" si="180"/>
        <v>33</v>
      </c>
      <c r="BF636">
        <f t="shared" si="181"/>
        <v>190080</v>
      </c>
    </row>
    <row r="637" spans="1:58" ht="14.25" x14ac:dyDescent="0.2">
      <c r="A637" s="11">
        <v>10804</v>
      </c>
      <c r="B637" s="13">
        <f t="shared" si="182"/>
        <v>12</v>
      </c>
      <c r="C637" s="15">
        <f t="shared" si="183"/>
        <v>9</v>
      </c>
      <c r="D637" s="14">
        <f t="shared" si="184"/>
        <v>9</v>
      </c>
      <c r="E637" t="s">
        <v>2777</v>
      </c>
      <c r="F637" t="s">
        <v>2837</v>
      </c>
      <c r="G637" t="s">
        <v>2779</v>
      </c>
      <c r="H637" t="s">
        <v>2779</v>
      </c>
      <c r="I637" t="s">
        <v>2780</v>
      </c>
      <c r="J637" s="4" t="s">
        <v>2840</v>
      </c>
      <c r="K637" t="s">
        <v>177</v>
      </c>
      <c r="L637" t="s">
        <v>163</v>
      </c>
      <c r="M637" t="s">
        <v>163</v>
      </c>
      <c r="N637" t="s">
        <v>163</v>
      </c>
      <c r="O637" s="6" t="s">
        <v>1089</v>
      </c>
      <c r="P637">
        <v>0</v>
      </c>
      <c r="Q637" s="24">
        <v>48.2</v>
      </c>
      <c r="R637" s="25">
        <v>64</v>
      </c>
      <c r="S637" s="26">
        <v>46.8</v>
      </c>
      <c r="Y637">
        <v>10</v>
      </c>
      <c r="Z637">
        <v>30</v>
      </c>
      <c r="AA637" s="3">
        <v>25</v>
      </c>
      <c r="AB637" s="3">
        <v>6</v>
      </c>
      <c r="AC637">
        <v>155</v>
      </c>
      <c r="AD637" s="9">
        <f t="shared" si="167"/>
        <v>6453.833333333333</v>
      </c>
      <c r="AE637">
        <f t="shared" si="174"/>
        <v>2555730</v>
      </c>
      <c r="AF637" s="2">
        <f t="shared" si="178"/>
        <v>33</v>
      </c>
      <c r="AG637" t="str">
        <f t="shared" si="168"/>
        <v>107小时</v>
      </c>
      <c r="AH637">
        <f t="shared" si="169"/>
        <v>99</v>
      </c>
      <c r="AI637">
        <f t="shared" si="170"/>
        <v>17</v>
      </c>
      <c r="AJ637">
        <f t="shared" si="175"/>
        <v>58</v>
      </c>
      <c r="AK637">
        <f t="shared" si="171"/>
        <v>29</v>
      </c>
      <c r="AL637">
        <f t="shared" si="176"/>
        <v>33</v>
      </c>
      <c r="AM637" s="2">
        <f t="shared" si="172"/>
        <v>17</v>
      </c>
      <c r="AX637">
        <v>634</v>
      </c>
      <c r="AZ637" s="3"/>
      <c r="BB637" s="2">
        <f t="shared" si="173"/>
        <v>170</v>
      </c>
      <c r="BC637">
        <f t="shared" si="177"/>
        <v>13.470959595959595</v>
      </c>
      <c r="BD637" s="2">
        <f t="shared" si="179"/>
        <v>58</v>
      </c>
      <c r="BE637">
        <f t="shared" si="180"/>
        <v>33</v>
      </c>
      <c r="BF637">
        <f t="shared" si="181"/>
        <v>190080</v>
      </c>
    </row>
    <row r="638" spans="1:58" ht="14.25" x14ac:dyDescent="0.2">
      <c r="A638" s="11">
        <v>10805</v>
      </c>
      <c r="B638" s="13">
        <f t="shared" si="182"/>
        <v>12</v>
      </c>
      <c r="C638" s="15">
        <f t="shared" si="183"/>
        <v>9</v>
      </c>
      <c r="D638" s="14">
        <f t="shared" si="184"/>
        <v>9</v>
      </c>
      <c r="E638" t="s">
        <v>2785</v>
      </c>
      <c r="F638" t="s">
        <v>2786</v>
      </c>
      <c r="G638" t="s">
        <v>2830</v>
      </c>
      <c r="H638" t="s">
        <v>2829</v>
      </c>
      <c r="I638" t="s">
        <v>2697</v>
      </c>
      <c r="J638" s="4" t="s">
        <v>2860</v>
      </c>
      <c r="K638" t="s">
        <v>174</v>
      </c>
      <c r="L638" t="s">
        <v>163</v>
      </c>
      <c r="M638" t="s">
        <v>163</v>
      </c>
      <c r="N638" t="s">
        <v>163</v>
      </c>
      <c r="O638" s="6" t="s">
        <v>1091</v>
      </c>
      <c r="P638">
        <v>0</v>
      </c>
      <c r="Q638" s="24">
        <v>48.2</v>
      </c>
      <c r="R638" s="25">
        <v>64</v>
      </c>
      <c r="S638" s="26">
        <v>46.8</v>
      </c>
      <c r="Y638">
        <v>10</v>
      </c>
      <c r="Z638">
        <v>30</v>
      </c>
      <c r="AA638" s="3">
        <v>25</v>
      </c>
      <c r="AB638" s="3">
        <v>6</v>
      </c>
      <c r="AC638">
        <v>155</v>
      </c>
      <c r="AD638" s="9">
        <f t="shared" si="167"/>
        <v>6453.833333333333</v>
      </c>
      <c r="AE638">
        <f t="shared" si="174"/>
        <v>2555730</v>
      </c>
      <c r="AF638" s="2">
        <f t="shared" si="178"/>
        <v>33</v>
      </c>
      <c r="AG638" t="str">
        <f t="shared" si="168"/>
        <v>107小时</v>
      </c>
      <c r="AH638">
        <f t="shared" si="169"/>
        <v>99</v>
      </c>
      <c r="AI638">
        <f t="shared" si="170"/>
        <v>17</v>
      </c>
      <c r="AJ638">
        <f t="shared" si="175"/>
        <v>58</v>
      </c>
      <c r="AK638">
        <f t="shared" si="171"/>
        <v>29</v>
      </c>
      <c r="AL638">
        <f t="shared" si="176"/>
        <v>33</v>
      </c>
      <c r="AM638" s="2">
        <f t="shared" si="172"/>
        <v>17</v>
      </c>
      <c r="AX638">
        <v>635</v>
      </c>
      <c r="AZ638" s="3"/>
      <c r="BB638" s="2">
        <f t="shared" si="173"/>
        <v>170</v>
      </c>
      <c r="BC638">
        <f t="shared" si="177"/>
        <v>13.470959595959595</v>
      </c>
      <c r="BD638" s="2">
        <f t="shared" si="179"/>
        <v>58</v>
      </c>
      <c r="BE638">
        <f t="shared" si="180"/>
        <v>33</v>
      </c>
      <c r="BF638">
        <f t="shared" si="181"/>
        <v>190080</v>
      </c>
    </row>
    <row r="639" spans="1:58" ht="14.25" x14ac:dyDescent="0.2">
      <c r="A639" s="11">
        <v>10806</v>
      </c>
      <c r="B639" s="13">
        <f t="shared" si="182"/>
        <v>12</v>
      </c>
      <c r="C639" s="15">
        <f t="shared" si="183"/>
        <v>9</v>
      </c>
      <c r="D639" s="14">
        <f t="shared" si="184"/>
        <v>9</v>
      </c>
      <c r="E639" t="s">
        <v>2777</v>
      </c>
      <c r="F639" t="s">
        <v>2834</v>
      </c>
      <c r="G639" t="s">
        <v>2779</v>
      </c>
      <c r="H639" t="s">
        <v>2779</v>
      </c>
      <c r="I639" t="s">
        <v>2780</v>
      </c>
      <c r="J639" s="4" t="s">
        <v>2840</v>
      </c>
      <c r="K639" t="s">
        <v>182</v>
      </c>
      <c r="L639" t="s">
        <v>163</v>
      </c>
      <c r="M639" t="s">
        <v>163</v>
      </c>
      <c r="N639" t="s">
        <v>163</v>
      </c>
      <c r="O639" s="6" t="s">
        <v>1093</v>
      </c>
      <c r="P639">
        <v>0</v>
      </c>
      <c r="Q639" s="24">
        <v>48.5</v>
      </c>
      <c r="R639" s="25">
        <v>64.5</v>
      </c>
      <c r="S639" s="26">
        <v>47</v>
      </c>
      <c r="Y639">
        <v>10</v>
      </c>
      <c r="Z639">
        <v>30</v>
      </c>
      <c r="AA639" s="3">
        <v>25</v>
      </c>
      <c r="AB639" s="3">
        <v>6</v>
      </c>
      <c r="AC639">
        <v>155</v>
      </c>
      <c r="AD639" s="9">
        <f t="shared" si="167"/>
        <v>6414.916666666667</v>
      </c>
      <c r="AE639">
        <f t="shared" si="174"/>
        <v>2555730</v>
      </c>
      <c r="AF639" s="2">
        <f t="shared" si="178"/>
        <v>33.200000000000003</v>
      </c>
      <c r="AG639" t="str">
        <f t="shared" si="168"/>
        <v>106小时</v>
      </c>
      <c r="AH639">
        <f t="shared" si="169"/>
        <v>100</v>
      </c>
      <c r="AI639">
        <f t="shared" si="170"/>
        <v>17</v>
      </c>
      <c r="AJ639">
        <f t="shared" si="175"/>
        <v>58.3</v>
      </c>
      <c r="AK639">
        <f t="shared" si="171"/>
        <v>30</v>
      </c>
      <c r="AL639">
        <f t="shared" si="176"/>
        <v>33.200000000000003</v>
      </c>
      <c r="AM639" s="2">
        <f t="shared" si="172"/>
        <v>17</v>
      </c>
      <c r="AX639">
        <v>636</v>
      </c>
      <c r="AZ639" s="3"/>
      <c r="BB639" s="2">
        <f t="shared" si="173"/>
        <v>170</v>
      </c>
      <c r="BC639">
        <f t="shared" si="177"/>
        <v>13.389809236947789</v>
      </c>
      <c r="BD639" s="2">
        <f t="shared" si="179"/>
        <v>58.3</v>
      </c>
      <c r="BE639">
        <f t="shared" si="180"/>
        <v>33.200000000000003</v>
      </c>
      <c r="BF639">
        <f t="shared" si="181"/>
        <v>191232.00000000003</v>
      </c>
    </row>
    <row r="640" spans="1:58" ht="14.25" x14ac:dyDescent="0.2">
      <c r="A640" s="11">
        <v>10807</v>
      </c>
      <c r="B640" s="13">
        <f t="shared" si="182"/>
        <v>12</v>
      </c>
      <c r="C640" s="15">
        <f t="shared" si="183"/>
        <v>9</v>
      </c>
      <c r="D640" s="14">
        <f t="shared" si="184"/>
        <v>9</v>
      </c>
      <c r="E640" t="s">
        <v>2777</v>
      </c>
      <c r="F640" t="s">
        <v>2835</v>
      </c>
      <c r="G640" t="s">
        <v>2779</v>
      </c>
      <c r="H640" t="s">
        <v>2779</v>
      </c>
      <c r="I640" t="s">
        <v>2780</v>
      </c>
      <c r="J640" s="4" t="s">
        <v>2840</v>
      </c>
      <c r="K640" t="s">
        <v>162</v>
      </c>
      <c r="L640" t="s">
        <v>163</v>
      </c>
      <c r="M640" t="s">
        <v>163</v>
      </c>
      <c r="N640" t="s">
        <v>163</v>
      </c>
      <c r="O640" s="6" t="s">
        <v>1093</v>
      </c>
      <c r="P640">
        <v>0</v>
      </c>
      <c r="Q640" s="24">
        <v>48.5</v>
      </c>
      <c r="R640" s="25">
        <v>64.5</v>
      </c>
      <c r="S640" s="26">
        <v>47</v>
      </c>
      <c r="Y640">
        <v>10</v>
      </c>
      <c r="Z640">
        <v>30</v>
      </c>
      <c r="AA640" s="3">
        <v>25</v>
      </c>
      <c r="AB640" s="3">
        <v>6</v>
      </c>
      <c r="AC640">
        <v>155</v>
      </c>
      <c r="AD640" s="9">
        <f t="shared" ref="AD640:AD703" si="185">INT(AE640/AF640)/60*5</f>
        <v>6414.916666666667</v>
      </c>
      <c r="AE640">
        <f t="shared" si="174"/>
        <v>2555730</v>
      </c>
      <c r="AF640" s="2">
        <f t="shared" si="178"/>
        <v>33.200000000000003</v>
      </c>
      <c r="AG640" t="str">
        <f t="shared" ref="AG640:AG703" si="186">IF(AD640&lt;60,CONCATENATE(INT(AD640),"分钟"),CONCATENATE(INT(AD640/60),"小时"))</f>
        <v>106小时</v>
      </c>
      <c r="AH640">
        <f t="shared" ref="AH640:AH703" si="187">ROUNDUP(AF640*3,0)</f>
        <v>100</v>
      </c>
      <c r="AI640">
        <f t="shared" ref="AI640:AI703" si="188">ROUNDUP(AH640/AB640,0)</f>
        <v>17</v>
      </c>
      <c r="AJ640">
        <f t="shared" si="175"/>
        <v>58.3</v>
      </c>
      <c r="AK640">
        <f t="shared" ref="AK640:AK703" si="189">ROUNDUP(AJ640*3/AB640,0)</f>
        <v>30</v>
      </c>
      <c r="AL640">
        <f t="shared" si="176"/>
        <v>33.200000000000003</v>
      </c>
      <c r="AM640" s="2">
        <f t="shared" ref="AM640:AM703" si="190">ROUNDUP(AL640*3/AB640,0)</f>
        <v>17</v>
      </c>
      <c r="AX640">
        <v>637</v>
      </c>
      <c r="AZ640" s="3"/>
      <c r="BB640" s="2">
        <f t="shared" si="173"/>
        <v>170</v>
      </c>
      <c r="BC640">
        <f t="shared" si="177"/>
        <v>13.389809236947789</v>
      </c>
      <c r="BD640" s="2">
        <f t="shared" si="179"/>
        <v>58.3</v>
      </c>
      <c r="BE640">
        <f t="shared" si="180"/>
        <v>33.200000000000003</v>
      </c>
      <c r="BF640">
        <f t="shared" si="181"/>
        <v>191232.00000000003</v>
      </c>
    </row>
    <row r="641" spans="1:58" ht="14.25" x14ac:dyDescent="0.2">
      <c r="A641" s="11">
        <v>10808</v>
      </c>
      <c r="B641" s="13">
        <f t="shared" si="182"/>
        <v>12</v>
      </c>
      <c r="C641" s="15">
        <f t="shared" si="183"/>
        <v>9</v>
      </c>
      <c r="D641" s="14">
        <f t="shared" si="184"/>
        <v>9</v>
      </c>
      <c r="E641" t="s">
        <v>2777</v>
      </c>
      <c r="F641" t="s">
        <v>2836</v>
      </c>
      <c r="G641" t="s">
        <v>2779</v>
      </c>
      <c r="H641" t="s">
        <v>2779</v>
      </c>
      <c r="I641" t="s">
        <v>2780</v>
      </c>
      <c r="J641" s="4" t="s">
        <v>2840</v>
      </c>
      <c r="K641" t="s">
        <v>177</v>
      </c>
      <c r="L641" t="s">
        <v>163</v>
      </c>
      <c r="M641" t="s">
        <v>163</v>
      </c>
      <c r="N641" t="s">
        <v>163</v>
      </c>
      <c r="O641" s="6" t="s">
        <v>1095</v>
      </c>
      <c r="P641">
        <v>0</v>
      </c>
      <c r="Q641" s="24">
        <v>48.5</v>
      </c>
      <c r="R641" s="25">
        <v>64.5</v>
      </c>
      <c r="S641" s="26">
        <v>47</v>
      </c>
      <c r="Y641">
        <v>10</v>
      </c>
      <c r="Z641">
        <v>30</v>
      </c>
      <c r="AA641" s="3">
        <v>25</v>
      </c>
      <c r="AB641" s="3">
        <v>6</v>
      </c>
      <c r="AC641">
        <v>155</v>
      </c>
      <c r="AD641" s="9">
        <f t="shared" si="185"/>
        <v>6414.916666666667</v>
      </c>
      <c r="AE641">
        <f t="shared" si="174"/>
        <v>2555730</v>
      </c>
      <c r="AF641" s="2">
        <f t="shared" si="178"/>
        <v>33.200000000000003</v>
      </c>
      <c r="AG641" t="str">
        <f t="shared" si="186"/>
        <v>106小时</v>
      </c>
      <c r="AH641">
        <f t="shared" si="187"/>
        <v>100</v>
      </c>
      <c r="AI641">
        <f t="shared" si="188"/>
        <v>17</v>
      </c>
      <c r="AJ641">
        <f t="shared" si="175"/>
        <v>58.3</v>
      </c>
      <c r="AK641">
        <f t="shared" si="189"/>
        <v>30</v>
      </c>
      <c r="AL641">
        <f t="shared" si="176"/>
        <v>33.200000000000003</v>
      </c>
      <c r="AM641" s="2">
        <f t="shared" si="190"/>
        <v>17</v>
      </c>
      <c r="AX641">
        <v>638</v>
      </c>
      <c r="AZ641" s="3"/>
      <c r="BB641" s="2">
        <f t="shared" si="173"/>
        <v>170</v>
      </c>
      <c r="BC641">
        <f t="shared" si="177"/>
        <v>13.389809236947789</v>
      </c>
      <c r="BD641" s="2">
        <f t="shared" si="179"/>
        <v>58.3</v>
      </c>
      <c r="BE641">
        <f t="shared" si="180"/>
        <v>33.200000000000003</v>
      </c>
      <c r="BF641">
        <f t="shared" si="181"/>
        <v>191232.00000000003</v>
      </c>
    </row>
    <row r="642" spans="1:58" ht="14.25" x14ac:dyDescent="0.2">
      <c r="A642" s="11">
        <v>10809</v>
      </c>
      <c r="B642" s="13">
        <f t="shared" si="182"/>
        <v>12</v>
      </c>
      <c r="C642" s="15">
        <f t="shared" si="183"/>
        <v>9</v>
      </c>
      <c r="D642" s="14">
        <f t="shared" si="184"/>
        <v>9</v>
      </c>
      <c r="E642" t="s">
        <v>2777</v>
      </c>
      <c r="F642" t="s">
        <v>2837</v>
      </c>
      <c r="G642" t="s">
        <v>2779</v>
      </c>
      <c r="H642" t="s">
        <v>2779</v>
      </c>
      <c r="I642" t="s">
        <v>2780</v>
      </c>
      <c r="J642" s="4" t="s">
        <v>2840</v>
      </c>
      <c r="K642" t="s">
        <v>174</v>
      </c>
      <c r="L642" t="s">
        <v>163</v>
      </c>
      <c r="M642" t="s">
        <v>163</v>
      </c>
      <c r="N642" t="s">
        <v>163</v>
      </c>
      <c r="O642" s="6" t="s">
        <v>1097</v>
      </c>
      <c r="P642">
        <v>0</v>
      </c>
      <c r="Q642" s="24">
        <v>48.5</v>
      </c>
      <c r="R642" s="25">
        <v>64.5</v>
      </c>
      <c r="S642" s="26">
        <v>47</v>
      </c>
      <c r="Y642">
        <v>10</v>
      </c>
      <c r="Z642">
        <v>30</v>
      </c>
      <c r="AA642" s="3">
        <v>25</v>
      </c>
      <c r="AB642" s="3">
        <v>6</v>
      </c>
      <c r="AC642">
        <v>155</v>
      </c>
      <c r="AD642" s="9">
        <f t="shared" si="185"/>
        <v>6414.916666666667</v>
      </c>
      <c r="AE642">
        <f t="shared" si="174"/>
        <v>2555730</v>
      </c>
      <c r="AF642" s="2">
        <f t="shared" si="178"/>
        <v>33.200000000000003</v>
      </c>
      <c r="AG642" t="str">
        <f t="shared" si="186"/>
        <v>106小时</v>
      </c>
      <c r="AH642">
        <f t="shared" si="187"/>
        <v>100</v>
      </c>
      <c r="AI642">
        <f t="shared" si="188"/>
        <v>17</v>
      </c>
      <c r="AJ642">
        <f t="shared" si="175"/>
        <v>58.3</v>
      </c>
      <c r="AK642">
        <f t="shared" si="189"/>
        <v>30</v>
      </c>
      <c r="AL642">
        <f t="shared" si="176"/>
        <v>33.200000000000003</v>
      </c>
      <c r="AM642" s="2">
        <f t="shared" si="190"/>
        <v>17</v>
      </c>
      <c r="AX642">
        <v>639</v>
      </c>
      <c r="AZ642" s="3"/>
      <c r="BB642" s="2">
        <f t="shared" si="173"/>
        <v>170</v>
      </c>
      <c r="BC642">
        <f t="shared" si="177"/>
        <v>13.389809236947789</v>
      </c>
      <c r="BD642" s="2">
        <f t="shared" si="179"/>
        <v>58.3</v>
      </c>
      <c r="BE642">
        <f t="shared" si="180"/>
        <v>33.200000000000003</v>
      </c>
      <c r="BF642">
        <f t="shared" si="181"/>
        <v>191232.00000000003</v>
      </c>
    </row>
    <row r="643" spans="1:58" ht="14.25" x14ac:dyDescent="0.2">
      <c r="A643" s="11">
        <v>10810</v>
      </c>
      <c r="B643" s="13">
        <f t="shared" si="182"/>
        <v>12</v>
      </c>
      <c r="C643" s="15">
        <f t="shared" si="183"/>
        <v>9</v>
      </c>
      <c r="D643" s="14">
        <f t="shared" si="184"/>
        <v>9</v>
      </c>
      <c r="E643" t="s">
        <v>2785</v>
      </c>
      <c r="F643" t="s">
        <v>2786</v>
      </c>
      <c r="G643" t="s">
        <v>2831</v>
      </c>
      <c r="H643" t="s">
        <v>2829</v>
      </c>
      <c r="I643" t="s">
        <v>2697</v>
      </c>
      <c r="J643" s="4" t="s">
        <v>2860</v>
      </c>
      <c r="K643" t="s">
        <v>166</v>
      </c>
      <c r="L643" t="s">
        <v>163</v>
      </c>
      <c r="M643" t="s">
        <v>163</v>
      </c>
      <c r="N643" t="s">
        <v>163</v>
      </c>
      <c r="O643" s="6" t="s">
        <v>1097</v>
      </c>
      <c r="P643">
        <v>0</v>
      </c>
      <c r="Q643" s="24">
        <v>48.5</v>
      </c>
      <c r="R643" s="25">
        <v>64.5</v>
      </c>
      <c r="S643" s="26">
        <v>47</v>
      </c>
      <c r="Y643">
        <v>10</v>
      </c>
      <c r="Z643">
        <v>30</v>
      </c>
      <c r="AA643" s="3">
        <v>25</v>
      </c>
      <c r="AB643" s="3">
        <v>6</v>
      </c>
      <c r="AC643">
        <v>155</v>
      </c>
      <c r="AD643" s="9">
        <f t="shared" si="185"/>
        <v>6414.916666666667</v>
      </c>
      <c r="AE643">
        <f t="shared" si="174"/>
        <v>2555730</v>
      </c>
      <c r="AF643" s="2">
        <f t="shared" si="178"/>
        <v>33.200000000000003</v>
      </c>
      <c r="AG643" t="str">
        <f t="shared" si="186"/>
        <v>106小时</v>
      </c>
      <c r="AH643">
        <f t="shared" si="187"/>
        <v>100</v>
      </c>
      <c r="AI643">
        <f t="shared" si="188"/>
        <v>17</v>
      </c>
      <c r="AJ643">
        <f t="shared" si="175"/>
        <v>58.3</v>
      </c>
      <c r="AK643">
        <f t="shared" si="189"/>
        <v>30</v>
      </c>
      <c r="AL643">
        <f t="shared" si="176"/>
        <v>33.200000000000003</v>
      </c>
      <c r="AM643" s="2">
        <f t="shared" si="190"/>
        <v>17</v>
      </c>
      <c r="AX643">
        <v>640</v>
      </c>
      <c r="AZ643" s="3"/>
      <c r="BB643" s="2">
        <f t="shared" ref="BB643:BB706" si="191">100+FLOOR((AX643-190)/30,1)*5</f>
        <v>175</v>
      </c>
      <c r="BC643">
        <f t="shared" si="177"/>
        <v>14.753806894243638</v>
      </c>
      <c r="BD643" s="2">
        <f t="shared" si="179"/>
        <v>58.3</v>
      </c>
      <c r="BE643">
        <f t="shared" si="180"/>
        <v>33.200000000000003</v>
      </c>
      <c r="BF643">
        <f t="shared" si="181"/>
        <v>191232.00000000003</v>
      </c>
    </row>
    <row r="644" spans="1:58" ht="14.25" x14ac:dyDescent="0.2">
      <c r="A644" s="11">
        <v>10811</v>
      </c>
      <c r="B644" s="13">
        <f t="shared" si="182"/>
        <v>12</v>
      </c>
      <c r="C644" s="15">
        <f t="shared" si="183"/>
        <v>9</v>
      </c>
      <c r="D644" s="14">
        <f t="shared" si="184"/>
        <v>9</v>
      </c>
      <c r="E644" t="s">
        <v>2777</v>
      </c>
      <c r="F644" t="s">
        <v>2834</v>
      </c>
      <c r="G644" t="s">
        <v>2779</v>
      </c>
      <c r="H644" t="s">
        <v>2779</v>
      </c>
      <c r="I644" t="s">
        <v>2780</v>
      </c>
      <c r="J644" s="4" t="s">
        <v>2840</v>
      </c>
      <c r="K644" t="s">
        <v>168</v>
      </c>
      <c r="L644" t="s">
        <v>163</v>
      </c>
      <c r="M644" t="s">
        <v>163</v>
      </c>
      <c r="N644" t="s">
        <v>163</v>
      </c>
      <c r="O644" s="6" t="s">
        <v>1099</v>
      </c>
      <c r="P644">
        <v>0</v>
      </c>
      <c r="Q644" s="24">
        <v>48.8</v>
      </c>
      <c r="R644" s="25">
        <v>65</v>
      </c>
      <c r="S644" s="26">
        <v>47.3</v>
      </c>
      <c r="Y644">
        <v>10</v>
      </c>
      <c r="Z644">
        <v>30</v>
      </c>
      <c r="AA644" s="3">
        <v>25</v>
      </c>
      <c r="AB644" s="3">
        <v>6</v>
      </c>
      <c r="AC644">
        <v>155</v>
      </c>
      <c r="AD644" s="9">
        <f t="shared" si="185"/>
        <v>6357.5</v>
      </c>
      <c r="AE644">
        <f t="shared" ref="AE644:AE707" si="192">INDEX(V:V,MATCH(AC644,U:U,0))</f>
        <v>2555730</v>
      </c>
      <c r="AF644" s="2">
        <f t="shared" si="178"/>
        <v>33.5</v>
      </c>
      <c r="AG644" t="str">
        <f t="shared" si="186"/>
        <v>105小时</v>
      </c>
      <c r="AH644">
        <f t="shared" si="187"/>
        <v>101</v>
      </c>
      <c r="AI644">
        <f t="shared" si="188"/>
        <v>17</v>
      </c>
      <c r="AJ644">
        <f t="shared" ref="AJ644:AJ707" si="193">BD644</f>
        <v>58.800000000000004</v>
      </c>
      <c r="AK644">
        <f t="shared" si="189"/>
        <v>30</v>
      </c>
      <c r="AL644">
        <f t="shared" ref="AL644:AL707" si="194">BE644</f>
        <v>33.5</v>
      </c>
      <c r="AM644" s="2">
        <f t="shared" si="190"/>
        <v>17</v>
      </c>
      <c r="AX644">
        <v>641</v>
      </c>
      <c r="AZ644" s="3"/>
      <c r="BB644" s="2">
        <f t="shared" si="191"/>
        <v>175</v>
      </c>
      <c r="BC644">
        <f t="shared" ref="BC644:BC707" si="195">INDEX($W:$W,MATCH(BB644,$U:$U,0))/(BE644*60*60/5)</f>
        <v>14.621683250414593</v>
      </c>
      <c r="BD644" s="2">
        <f t="shared" si="179"/>
        <v>58.800000000000004</v>
      </c>
      <c r="BE644">
        <f t="shared" si="180"/>
        <v>33.5</v>
      </c>
      <c r="BF644">
        <f t="shared" si="181"/>
        <v>192960</v>
      </c>
    </row>
    <row r="645" spans="1:58" ht="14.25" x14ac:dyDescent="0.2">
      <c r="A645" s="11">
        <v>10812</v>
      </c>
      <c r="B645" s="13">
        <f t="shared" si="182"/>
        <v>12</v>
      </c>
      <c r="C645" s="15">
        <f t="shared" si="183"/>
        <v>9</v>
      </c>
      <c r="D645" s="14">
        <f t="shared" si="184"/>
        <v>9</v>
      </c>
      <c r="E645" t="s">
        <v>2777</v>
      </c>
      <c r="F645" t="s">
        <v>2835</v>
      </c>
      <c r="G645" t="s">
        <v>2779</v>
      </c>
      <c r="H645" t="s">
        <v>2779</v>
      </c>
      <c r="I645" t="s">
        <v>2780</v>
      </c>
      <c r="J645" s="4" t="s">
        <v>2840</v>
      </c>
      <c r="K645" t="s">
        <v>175</v>
      </c>
      <c r="L645" t="s">
        <v>164</v>
      </c>
      <c r="M645" t="s">
        <v>163</v>
      </c>
      <c r="N645" t="s">
        <v>167</v>
      </c>
      <c r="O645" s="6" t="s">
        <v>1101</v>
      </c>
      <c r="P645">
        <v>0</v>
      </c>
      <c r="Q645" s="24">
        <v>48.8</v>
      </c>
      <c r="R645" s="25">
        <v>65</v>
      </c>
      <c r="S645" s="26">
        <v>47.3</v>
      </c>
      <c r="Y645">
        <v>10</v>
      </c>
      <c r="Z645">
        <v>30</v>
      </c>
      <c r="AA645" s="3">
        <v>25</v>
      </c>
      <c r="AB645" s="3">
        <v>6</v>
      </c>
      <c r="AC645">
        <v>155</v>
      </c>
      <c r="AD645" s="9">
        <f t="shared" si="185"/>
        <v>6357.5</v>
      </c>
      <c r="AE645">
        <f t="shared" si="192"/>
        <v>2555730</v>
      </c>
      <c r="AF645" s="2">
        <f t="shared" ref="AF645:AF708" si="196">BE645</f>
        <v>33.5</v>
      </c>
      <c r="AG645" t="str">
        <f t="shared" si="186"/>
        <v>105小时</v>
      </c>
      <c r="AH645">
        <f t="shared" si="187"/>
        <v>101</v>
      </c>
      <c r="AI645">
        <f t="shared" si="188"/>
        <v>17</v>
      </c>
      <c r="AJ645">
        <f t="shared" si="193"/>
        <v>58.800000000000004</v>
      </c>
      <c r="AK645">
        <f t="shared" si="189"/>
        <v>30</v>
      </c>
      <c r="AL645">
        <f t="shared" si="194"/>
        <v>33.5</v>
      </c>
      <c r="AM645" s="2">
        <f t="shared" si="190"/>
        <v>17</v>
      </c>
      <c r="AX645">
        <v>642</v>
      </c>
      <c r="AZ645" s="3"/>
      <c r="BB645" s="2">
        <f t="shared" si="191"/>
        <v>175</v>
      </c>
      <c r="BC645">
        <f t="shared" si="195"/>
        <v>14.621683250414593</v>
      </c>
      <c r="BD645" s="2">
        <f t="shared" ref="BD645:BD708" si="197">ROUNDUP(BE645*1.5,1)+8.5</f>
        <v>58.800000000000004</v>
      </c>
      <c r="BE645">
        <f t="shared" ref="BE645:BE708" si="198">FLOOR(ROUNDUP(AX645/5,0)*0.25+1.25,0.1)</f>
        <v>33.5</v>
      </c>
      <c r="BF645">
        <f t="shared" ref="BF645:BF708" si="199">BE645*8*60*60/5</f>
        <v>192960</v>
      </c>
    </row>
    <row r="646" spans="1:58" ht="14.25" x14ac:dyDescent="0.2">
      <c r="A646" s="11">
        <v>10813</v>
      </c>
      <c r="B646" s="13">
        <f t="shared" si="182"/>
        <v>13</v>
      </c>
      <c r="C646" s="15">
        <f t="shared" si="183"/>
        <v>9</v>
      </c>
      <c r="D646" s="14">
        <f t="shared" si="184"/>
        <v>9</v>
      </c>
      <c r="E646" t="s">
        <v>2777</v>
      </c>
      <c r="F646" t="s">
        <v>2836</v>
      </c>
      <c r="G646" t="s">
        <v>2779</v>
      </c>
      <c r="H646" t="s">
        <v>2779</v>
      </c>
      <c r="I646" t="s">
        <v>2780</v>
      </c>
      <c r="J646" s="4" t="s">
        <v>2840</v>
      </c>
      <c r="K646" t="s">
        <v>179</v>
      </c>
      <c r="L646" t="s">
        <v>163</v>
      </c>
      <c r="M646" t="s">
        <v>163</v>
      </c>
      <c r="N646" t="s">
        <v>163</v>
      </c>
      <c r="O646" s="6" t="s">
        <v>1103</v>
      </c>
      <c r="P646">
        <v>0</v>
      </c>
      <c r="Q646" s="24">
        <v>48.8</v>
      </c>
      <c r="R646" s="25">
        <v>65</v>
      </c>
      <c r="S646" s="26">
        <v>47.3</v>
      </c>
      <c r="Y646">
        <v>10</v>
      </c>
      <c r="Z646">
        <v>30</v>
      </c>
      <c r="AA646" s="3">
        <v>25</v>
      </c>
      <c r="AB646" s="3">
        <v>6</v>
      </c>
      <c r="AC646">
        <v>155</v>
      </c>
      <c r="AD646" s="9">
        <f t="shared" si="185"/>
        <v>6357.5</v>
      </c>
      <c r="AE646">
        <f t="shared" si="192"/>
        <v>2555730</v>
      </c>
      <c r="AF646" s="2">
        <f t="shared" si="196"/>
        <v>33.5</v>
      </c>
      <c r="AG646" t="str">
        <f t="shared" si="186"/>
        <v>105小时</v>
      </c>
      <c r="AH646">
        <f t="shared" si="187"/>
        <v>101</v>
      </c>
      <c r="AI646">
        <f t="shared" si="188"/>
        <v>17</v>
      </c>
      <c r="AJ646">
        <f t="shared" si="193"/>
        <v>58.800000000000004</v>
      </c>
      <c r="AK646">
        <f t="shared" si="189"/>
        <v>30</v>
      </c>
      <c r="AL646">
        <f t="shared" si="194"/>
        <v>33.5</v>
      </c>
      <c r="AM646" s="2">
        <f t="shared" si="190"/>
        <v>17</v>
      </c>
      <c r="AX646">
        <v>643</v>
      </c>
      <c r="AZ646" s="3"/>
      <c r="BB646" s="2">
        <f t="shared" si="191"/>
        <v>175</v>
      </c>
      <c r="BC646">
        <f t="shared" si="195"/>
        <v>14.621683250414593</v>
      </c>
      <c r="BD646" s="2">
        <f t="shared" si="197"/>
        <v>58.800000000000004</v>
      </c>
      <c r="BE646">
        <f t="shared" si="198"/>
        <v>33.5</v>
      </c>
      <c r="BF646">
        <f t="shared" si="199"/>
        <v>192960</v>
      </c>
    </row>
    <row r="647" spans="1:58" ht="14.25" x14ac:dyDescent="0.2">
      <c r="A647" s="11">
        <v>10814</v>
      </c>
      <c r="B647" s="13">
        <f t="shared" si="182"/>
        <v>13</v>
      </c>
      <c r="C647" s="15">
        <f t="shared" si="183"/>
        <v>9</v>
      </c>
      <c r="D647" s="14">
        <f t="shared" si="184"/>
        <v>9</v>
      </c>
      <c r="E647" t="s">
        <v>2777</v>
      </c>
      <c r="F647" t="s">
        <v>2837</v>
      </c>
      <c r="G647" t="s">
        <v>2779</v>
      </c>
      <c r="H647" t="s">
        <v>2779</v>
      </c>
      <c r="I647" t="s">
        <v>2780</v>
      </c>
      <c r="J647" s="4" t="s">
        <v>2840</v>
      </c>
      <c r="K647" t="s">
        <v>177</v>
      </c>
      <c r="L647" t="s">
        <v>163</v>
      </c>
      <c r="M647" t="s">
        <v>163</v>
      </c>
      <c r="N647" t="s">
        <v>163</v>
      </c>
      <c r="O647" s="6" t="s">
        <v>1103</v>
      </c>
      <c r="P647">
        <v>0</v>
      </c>
      <c r="Q647" s="24">
        <v>48.8</v>
      </c>
      <c r="R647" s="25">
        <v>65</v>
      </c>
      <c r="S647" s="26">
        <v>47.3</v>
      </c>
      <c r="Y647">
        <v>10</v>
      </c>
      <c r="Z647">
        <v>30</v>
      </c>
      <c r="AA647" s="3">
        <v>25</v>
      </c>
      <c r="AB647" s="3">
        <v>6</v>
      </c>
      <c r="AC647">
        <v>155</v>
      </c>
      <c r="AD647" s="9">
        <f t="shared" si="185"/>
        <v>6357.5</v>
      </c>
      <c r="AE647">
        <f t="shared" si="192"/>
        <v>2555730</v>
      </c>
      <c r="AF647" s="2">
        <f t="shared" si="196"/>
        <v>33.5</v>
      </c>
      <c r="AG647" t="str">
        <f t="shared" si="186"/>
        <v>105小时</v>
      </c>
      <c r="AH647">
        <f t="shared" si="187"/>
        <v>101</v>
      </c>
      <c r="AI647">
        <f t="shared" si="188"/>
        <v>17</v>
      </c>
      <c r="AJ647">
        <f t="shared" si="193"/>
        <v>58.800000000000004</v>
      </c>
      <c r="AK647">
        <f t="shared" si="189"/>
        <v>30</v>
      </c>
      <c r="AL647">
        <f t="shared" si="194"/>
        <v>33.5</v>
      </c>
      <c r="AM647" s="2">
        <f t="shared" si="190"/>
        <v>17</v>
      </c>
      <c r="AX647">
        <v>644</v>
      </c>
      <c r="AZ647" s="3"/>
      <c r="BB647" s="2">
        <f t="shared" si="191"/>
        <v>175</v>
      </c>
      <c r="BC647">
        <f t="shared" si="195"/>
        <v>14.621683250414593</v>
      </c>
      <c r="BD647" s="2">
        <f t="shared" si="197"/>
        <v>58.800000000000004</v>
      </c>
      <c r="BE647">
        <f t="shared" si="198"/>
        <v>33.5</v>
      </c>
      <c r="BF647">
        <f t="shared" si="199"/>
        <v>192960</v>
      </c>
    </row>
    <row r="648" spans="1:58" ht="14.25" x14ac:dyDescent="0.2">
      <c r="A648" s="11">
        <v>10815</v>
      </c>
      <c r="B648" s="13">
        <f t="shared" si="182"/>
        <v>13</v>
      </c>
      <c r="C648" s="15">
        <f t="shared" si="183"/>
        <v>9</v>
      </c>
      <c r="D648" s="14">
        <f t="shared" si="184"/>
        <v>9</v>
      </c>
      <c r="E648" t="s">
        <v>2785</v>
      </c>
      <c r="F648" t="s">
        <v>2786</v>
      </c>
      <c r="G648" t="s">
        <v>2832</v>
      </c>
      <c r="H648" t="s">
        <v>2829</v>
      </c>
      <c r="I648" t="s">
        <v>2697</v>
      </c>
      <c r="J648" s="4" t="s">
        <v>2860</v>
      </c>
      <c r="K648" t="s">
        <v>174</v>
      </c>
      <c r="L648" t="s">
        <v>163</v>
      </c>
      <c r="M648" t="s">
        <v>163</v>
      </c>
      <c r="N648" t="s">
        <v>163</v>
      </c>
      <c r="O648" s="6" t="s">
        <v>1105</v>
      </c>
      <c r="P648">
        <v>0</v>
      </c>
      <c r="Q648" s="24">
        <v>48.8</v>
      </c>
      <c r="R648" s="25">
        <v>65</v>
      </c>
      <c r="S648" s="26">
        <v>47.3</v>
      </c>
      <c r="Y648">
        <v>10</v>
      </c>
      <c r="Z648">
        <v>30</v>
      </c>
      <c r="AA648" s="3">
        <v>25</v>
      </c>
      <c r="AB648" s="3">
        <v>6</v>
      </c>
      <c r="AC648">
        <v>155</v>
      </c>
      <c r="AD648" s="9">
        <f t="shared" si="185"/>
        <v>6357.5</v>
      </c>
      <c r="AE648">
        <f t="shared" si="192"/>
        <v>2555730</v>
      </c>
      <c r="AF648" s="2">
        <f t="shared" si="196"/>
        <v>33.5</v>
      </c>
      <c r="AG648" t="str">
        <f t="shared" si="186"/>
        <v>105小时</v>
      </c>
      <c r="AH648">
        <f t="shared" si="187"/>
        <v>101</v>
      </c>
      <c r="AI648">
        <f t="shared" si="188"/>
        <v>17</v>
      </c>
      <c r="AJ648">
        <f t="shared" si="193"/>
        <v>58.800000000000004</v>
      </c>
      <c r="AK648">
        <f t="shared" si="189"/>
        <v>30</v>
      </c>
      <c r="AL648">
        <f t="shared" si="194"/>
        <v>33.5</v>
      </c>
      <c r="AM648" s="2">
        <f t="shared" si="190"/>
        <v>17</v>
      </c>
      <c r="AX648">
        <v>645</v>
      </c>
      <c r="AZ648" s="3"/>
      <c r="BB648" s="2">
        <f t="shared" si="191"/>
        <v>175</v>
      </c>
      <c r="BC648">
        <f t="shared" si="195"/>
        <v>14.621683250414593</v>
      </c>
      <c r="BD648" s="2">
        <f t="shared" si="197"/>
        <v>58.800000000000004</v>
      </c>
      <c r="BE648">
        <f t="shared" si="198"/>
        <v>33.5</v>
      </c>
      <c r="BF648">
        <f t="shared" si="199"/>
        <v>192960</v>
      </c>
    </row>
    <row r="649" spans="1:58" ht="14.25" x14ac:dyDescent="0.2">
      <c r="A649" s="11">
        <v>10816</v>
      </c>
      <c r="B649" s="13">
        <f t="shared" si="182"/>
        <v>13</v>
      </c>
      <c r="C649" s="15">
        <f t="shared" si="183"/>
        <v>9</v>
      </c>
      <c r="D649" s="14">
        <f t="shared" si="184"/>
        <v>9</v>
      </c>
      <c r="E649" t="s">
        <v>2777</v>
      </c>
      <c r="F649" t="s">
        <v>2834</v>
      </c>
      <c r="G649" t="s">
        <v>2779</v>
      </c>
      <c r="H649" t="s">
        <v>2779</v>
      </c>
      <c r="I649" t="s">
        <v>2780</v>
      </c>
      <c r="J649" s="4" t="s">
        <v>2840</v>
      </c>
      <c r="K649" t="s">
        <v>182</v>
      </c>
      <c r="L649" t="s">
        <v>163</v>
      </c>
      <c r="M649" t="s">
        <v>163</v>
      </c>
      <c r="N649" t="s">
        <v>163</v>
      </c>
      <c r="O649" s="6" t="s">
        <v>1107</v>
      </c>
      <c r="P649">
        <v>0</v>
      </c>
      <c r="Q649" s="24">
        <v>49.2</v>
      </c>
      <c r="R649" s="25">
        <v>65.5</v>
      </c>
      <c r="S649" s="26">
        <v>47.5</v>
      </c>
      <c r="Y649">
        <v>10</v>
      </c>
      <c r="Z649">
        <v>30</v>
      </c>
      <c r="AA649" s="3">
        <v>25</v>
      </c>
      <c r="AB649" s="3">
        <v>6</v>
      </c>
      <c r="AC649">
        <v>155</v>
      </c>
      <c r="AD649" s="9">
        <f t="shared" si="185"/>
        <v>6319.75</v>
      </c>
      <c r="AE649">
        <f t="shared" si="192"/>
        <v>2555730</v>
      </c>
      <c r="AF649" s="2">
        <f t="shared" si="196"/>
        <v>33.700000000000003</v>
      </c>
      <c r="AG649" t="str">
        <f t="shared" si="186"/>
        <v>105小时</v>
      </c>
      <c r="AH649">
        <f t="shared" si="187"/>
        <v>102</v>
      </c>
      <c r="AI649">
        <f t="shared" si="188"/>
        <v>17</v>
      </c>
      <c r="AJ649">
        <f t="shared" si="193"/>
        <v>59.1</v>
      </c>
      <c r="AK649">
        <f t="shared" si="189"/>
        <v>30</v>
      </c>
      <c r="AL649">
        <f t="shared" si="194"/>
        <v>33.700000000000003</v>
      </c>
      <c r="AM649" s="2">
        <f t="shared" si="190"/>
        <v>17</v>
      </c>
      <c r="AX649">
        <v>646</v>
      </c>
      <c r="AZ649" s="3"/>
      <c r="BB649" s="2">
        <f t="shared" si="191"/>
        <v>175</v>
      </c>
      <c r="BC649">
        <f t="shared" si="195"/>
        <v>14.534907682162872</v>
      </c>
      <c r="BD649" s="2">
        <f t="shared" si="197"/>
        <v>59.1</v>
      </c>
      <c r="BE649">
        <f t="shared" si="198"/>
        <v>33.700000000000003</v>
      </c>
      <c r="BF649">
        <f t="shared" si="199"/>
        <v>194112.00000000003</v>
      </c>
    </row>
    <row r="650" spans="1:58" ht="14.25" x14ac:dyDescent="0.2">
      <c r="A650" s="11">
        <v>10817</v>
      </c>
      <c r="B650" s="13">
        <f t="shared" si="182"/>
        <v>13</v>
      </c>
      <c r="C650" s="15">
        <f t="shared" si="183"/>
        <v>9</v>
      </c>
      <c r="D650" s="14">
        <f t="shared" si="184"/>
        <v>9</v>
      </c>
      <c r="E650" t="s">
        <v>2777</v>
      </c>
      <c r="F650" t="s">
        <v>2835</v>
      </c>
      <c r="G650" t="s">
        <v>2779</v>
      </c>
      <c r="H650" t="s">
        <v>2779</v>
      </c>
      <c r="I650" t="s">
        <v>2780</v>
      </c>
      <c r="J650" s="4" t="s">
        <v>2840</v>
      </c>
      <c r="K650" t="s">
        <v>162</v>
      </c>
      <c r="L650" t="s">
        <v>163</v>
      </c>
      <c r="M650" t="s">
        <v>163</v>
      </c>
      <c r="N650" t="s">
        <v>163</v>
      </c>
      <c r="O650" s="6" t="s">
        <v>1107</v>
      </c>
      <c r="P650">
        <v>0</v>
      </c>
      <c r="Q650" s="24">
        <v>49.2</v>
      </c>
      <c r="R650" s="25">
        <v>65.5</v>
      </c>
      <c r="S650" s="26">
        <v>47.5</v>
      </c>
      <c r="Y650">
        <v>10</v>
      </c>
      <c r="Z650">
        <v>30</v>
      </c>
      <c r="AA650" s="3">
        <v>25</v>
      </c>
      <c r="AB650" s="3">
        <v>6</v>
      </c>
      <c r="AC650">
        <v>155</v>
      </c>
      <c r="AD650" s="9">
        <f t="shared" si="185"/>
        <v>6319.75</v>
      </c>
      <c r="AE650">
        <f t="shared" si="192"/>
        <v>2555730</v>
      </c>
      <c r="AF650" s="2">
        <f t="shared" si="196"/>
        <v>33.700000000000003</v>
      </c>
      <c r="AG650" t="str">
        <f t="shared" si="186"/>
        <v>105小时</v>
      </c>
      <c r="AH650">
        <f t="shared" si="187"/>
        <v>102</v>
      </c>
      <c r="AI650">
        <f t="shared" si="188"/>
        <v>17</v>
      </c>
      <c r="AJ650">
        <f t="shared" si="193"/>
        <v>59.1</v>
      </c>
      <c r="AK650">
        <f t="shared" si="189"/>
        <v>30</v>
      </c>
      <c r="AL650">
        <f t="shared" si="194"/>
        <v>33.700000000000003</v>
      </c>
      <c r="AM650" s="2">
        <f t="shared" si="190"/>
        <v>17</v>
      </c>
      <c r="AX650">
        <v>647</v>
      </c>
      <c r="AZ650" s="3"/>
      <c r="BB650" s="2">
        <f t="shared" si="191"/>
        <v>175</v>
      </c>
      <c r="BC650">
        <f t="shared" si="195"/>
        <v>14.534907682162872</v>
      </c>
      <c r="BD650" s="2">
        <f t="shared" si="197"/>
        <v>59.1</v>
      </c>
      <c r="BE650">
        <f t="shared" si="198"/>
        <v>33.700000000000003</v>
      </c>
      <c r="BF650">
        <f t="shared" si="199"/>
        <v>194112.00000000003</v>
      </c>
    </row>
    <row r="651" spans="1:58" ht="14.25" x14ac:dyDescent="0.2">
      <c r="A651" s="11">
        <v>10818</v>
      </c>
      <c r="B651" s="13">
        <f t="shared" si="182"/>
        <v>13</v>
      </c>
      <c r="C651" s="15">
        <f t="shared" si="183"/>
        <v>9</v>
      </c>
      <c r="D651" s="14">
        <f t="shared" si="184"/>
        <v>9</v>
      </c>
      <c r="E651" t="s">
        <v>2777</v>
      </c>
      <c r="F651" t="s">
        <v>2836</v>
      </c>
      <c r="G651" t="s">
        <v>2779</v>
      </c>
      <c r="H651" t="s">
        <v>2779</v>
      </c>
      <c r="I651" t="s">
        <v>2780</v>
      </c>
      <c r="J651" s="4" t="s">
        <v>2840</v>
      </c>
      <c r="K651" t="s">
        <v>177</v>
      </c>
      <c r="L651" t="s">
        <v>163</v>
      </c>
      <c r="M651" t="s">
        <v>163</v>
      </c>
      <c r="N651" t="s">
        <v>163</v>
      </c>
      <c r="O651" s="6" t="s">
        <v>1109</v>
      </c>
      <c r="P651">
        <v>0</v>
      </c>
      <c r="Q651" s="24">
        <v>49.2</v>
      </c>
      <c r="R651" s="25">
        <v>65.5</v>
      </c>
      <c r="S651" s="26">
        <v>47.5</v>
      </c>
      <c r="Y651">
        <v>10</v>
      </c>
      <c r="Z651">
        <v>30</v>
      </c>
      <c r="AA651" s="3">
        <v>25</v>
      </c>
      <c r="AB651" s="3">
        <v>6</v>
      </c>
      <c r="AC651">
        <v>155</v>
      </c>
      <c r="AD651" s="9">
        <f t="shared" si="185"/>
        <v>6319.75</v>
      </c>
      <c r="AE651">
        <f t="shared" si="192"/>
        <v>2555730</v>
      </c>
      <c r="AF651" s="2">
        <f t="shared" si="196"/>
        <v>33.700000000000003</v>
      </c>
      <c r="AG651" t="str">
        <f t="shared" si="186"/>
        <v>105小时</v>
      </c>
      <c r="AH651">
        <f t="shared" si="187"/>
        <v>102</v>
      </c>
      <c r="AI651">
        <f t="shared" si="188"/>
        <v>17</v>
      </c>
      <c r="AJ651">
        <f t="shared" si="193"/>
        <v>59.1</v>
      </c>
      <c r="AK651">
        <f t="shared" si="189"/>
        <v>30</v>
      </c>
      <c r="AL651">
        <f t="shared" si="194"/>
        <v>33.700000000000003</v>
      </c>
      <c r="AM651" s="2">
        <f t="shared" si="190"/>
        <v>17</v>
      </c>
      <c r="AX651">
        <v>648</v>
      </c>
      <c r="AZ651" s="3"/>
      <c r="BB651" s="2">
        <f t="shared" si="191"/>
        <v>175</v>
      </c>
      <c r="BC651">
        <f t="shared" si="195"/>
        <v>14.534907682162872</v>
      </c>
      <c r="BD651" s="2">
        <f t="shared" si="197"/>
        <v>59.1</v>
      </c>
      <c r="BE651">
        <f t="shared" si="198"/>
        <v>33.700000000000003</v>
      </c>
      <c r="BF651">
        <f t="shared" si="199"/>
        <v>194112.00000000003</v>
      </c>
    </row>
    <row r="652" spans="1:58" ht="14.25" x14ac:dyDescent="0.2">
      <c r="A652" s="11">
        <v>10819</v>
      </c>
      <c r="B652" s="13">
        <f t="shared" si="182"/>
        <v>13</v>
      </c>
      <c r="C652" s="15">
        <f t="shared" si="183"/>
        <v>9</v>
      </c>
      <c r="D652" s="14">
        <f t="shared" si="184"/>
        <v>9</v>
      </c>
      <c r="E652" t="s">
        <v>2777</v>
      </c>
      <c r="F652" t="s">
        <v>2837</v>
      </c>
      <c r="G652" t="s">
        <v>2779</v>
      </c>
      <c r="H652" t="s">
        <v>2779</v>
      </c>
      <c r="I652" t="s">
        <v>2780</v>
      </c>
      <c r="J652" s="4" t="s">
        <v>2840</v>
      </c>
      <c r="K652" t="s">
        <v>174</v>
      </c>
      <c r="L652" t="s">
        <v>163</v>
      </c>
      <c r="M652" t="s">
        <v>163</v>
      </c>
      <c r="N652" t="s">
        <v>163</v>
      </c>
      <c r="O652" s="6" t="s">
        <v>1111</v>
      </c>
      <c r="P652">
        <v>0</v>
      </c>
      <c r="Q652" s="24">
        <v>49.2</v>
      </c>
      <c r="R652" s="25">
        <v>65.5</v>
      </c>
      <c r="S652" s="26">
        <v>47.5</v>
      </c>
      <c r="Y652">
        <v>10</v>
      </c>
      <c r="Z652">
        <v>30</v>
      </c>
      <c r="AA652" s="3">
        <v>25</v>
      </c>
      <c r="AB652" s="3">
        <v>6</v>
      </c>
      <c r="AC652">
        <v>155</v>
      </c>
      <c r="AD652" s="9">
        <f t="shared" si="185"/>
        <v>6319.75</v>
      </c>
      <c r="AE652">
        <f t="shared" si="192"/>
        <v>2555730</v>
      </c>
      <c r="AF652" s="2">
        <f t="shared" si="196"/>
        <v>33.700000000000003</v>
      </c>
      <c r="AG652" t="str">
        <f t="shared" si="186"/>
        <v>105小时</v>
      </c>
      <c r="AH652">
        <f t="shared" si="187"/>
        <v>102</v>
      </c>
      <c r="AI652">
        <f t="shared" si="188"/>
        <v>17</v>
      </c>
      <c r="AJ652">
        <f t="shared" si="193"/>
        <v>59.1</v>
      </c>
      <c r="AK652">
        <f t="shared" si="189"/>
        <v>30</v>
      </c>
      <c r="AL652">
        <f t="shared" si="194"/>
        <v>33.700000000000003</v>
      </c>
      <c r="AM652" s="2">
        <f t="shared" si="190"/>
        <v>17</v>
      </c>
      <c r="AX652">
        <v>649</v>
      </c>
      <c r="AZ652" s="3"/>
      <c r="BB652" s="2">
        <f t="shared" si="191"/>
        <v>175</v>
      </c>
      <c r="BC652">
        <f t="shared" si="195"/>
        <v>14.534907682162872</v>
      </c>
      <c r="BD652" s="2">
        <f t="shared" si="197"/>
        <v>59.1</v>
      </c>
      <c r="BE652">
        <f t="shared" si="198"/>
        <v>33.700000000000003</v>
      </c>
      <c r="BF652">
        <f t="shared" si="199"/>
        <v>194112.00000000003</v>
      </c>
    </row>
    <row r="653" spans="1:58" ht="14.25" x14ac:dyDescent="0.2">
      <c r="A653" s="11">
        <v>10820</v>
      </c>
      <c r="B653" s="13">
        <f t="shared" si="182"/>
        <v>13</v>
      </c>
      <c r="C653" s="15">
        <f t="shared" si="183"/>
        <v>9</v>
      </c>
      <c r="D653" s="14">
        <f t="shared" si="184"/>
        <v>9</v>
      </c>
      <c r="E653" t="s">
        <v>2785</v>
      </c>
      <c r="F653" t="s">
        <v>2786</v>
      </c>
      <c r="G653" t="s">
        <v>2833</v>
      </c>
      <c r="H653" t="s">
        <v>2829</v>
      </c>
      <c r="I653" t="s">
        <v>2697</v>
      </c>
      <c r="J653" s="4" t="s">
        <v>2878</v>
      </c>
      <c r="K653" t="s">
        <v>166</v>
      </c>
      <c r="L653" t="s">
        <v>163</v>
      </c>
      <c r="M653" t="s">
        <v>163</v>
      </c>
      <c r="N653" t="s">
        <v>163</v>
      </c>
      <c r="O653" s="6" t="s">
        <v>1111</v>
      </c>
      <c r="P653">
        <v>0</v>
      </c>
      <c r="Q653" s="24">
        <v>49.2</v>
      </c>
      <c r="R653" s="25">
        <v>65.5</v>
      </c>
      <c r="S653" s="26">
        <v>47.5</v>
      </c>
      <c r="Y653">
        <v>10</v>
      </c>
      <c r="Z653">
        <v>30</v>
      </c>
      <c r="AA653" s="3">
        <v>25</v>
      </c>
      <c r="AB653" s="3">
        <v>6</v>
      </c>
      <c r="AC653">
        <v>155</v>
      </c>
      <c r="AD653" s="9">
        <f t="shared" si="185"/>
        <v>6319.75</v>
      </c>
      <c r="AE653">
        <f t="shared" si="192"/>
        <v>2555730</v>
      </c>
      <c r="AF653" s="2">
        <f t="shared" si="196"/>
        <v>33.700000000000003</v>
      </c>
      <c r="AG653" t="str">
        <f t="shared" si="186"/>
        <v>105小时</v>
      </c>
      <c r="AH653">
        <f t="shared" si="187"/>
        <v>102</v>
      </c>
      <c r="AI653">
        <f t="shared" si="188"/>
        <v>17</v>
      </c>
      <c r="AJ653">
        <f t="shared" si="193"/>
        <v>59.1</v>
      </c>
      <c r="AK653">
        <f t="shared" si="189"/>
        <v>30</v>
      </c>
      <c r="AL653">
        <f t="shared" si="194"/>
        <v>33.700000000000003</v>
      </c>
      <c r="AM653" s="2">
        <f t="shared" si="190"/>
        <v>17</v>
      </c>
      <c r="AX653">
        <v>650</v>
      </c>
      <c r="AZ653" s="3"/>
      <c r="BB653" s="2">
        <f t="shared" si="191"/>
        <v>175</v>
      </c>
      <c r="BC653">
        <f t="shared" si="195"/>
        <v>14.534907682162872</v>
      </c>
      <c r="BD653" s="2">
        <f t="shared" si="197"/>
        <v>59.1</v>
      </c>
      <c r="BE653">
        <f t="shared" si="198"/>
        <v>33.700000000000003</v>
      </c>
      <c r="BF653">
        <f t="shared" si="199"/>
        <v>194112.00000000003</v>
      </c>
    </row>
    <row r="654" spans="1:58" ht="14.25" x14ac:dyDescent="0.2">
      <c r="A654" s="11">
        <v>10821</v>
      </c>
      <c r="B654" s="13">
        <f t="shared" si="182"/>
        <v>13</v>
      </c>
      <c r="C654" s="15">
        <f t="shared" si="183"/>
        <v>9</v>
      </c>
      <c r="D654" s="14">
        <f t="shared" si="184"/>
        <v>9</v>
      </c>
      <c r="E654" t="s">
        <v>2777</v>
      </c>
      <c r="F654" t="s">
        <v>2834</v>
      </c>
      <c r="G654" t="s">
        <v>2779</v>
      </c>
      <c r="H654" t="s">
        <v>2779</v>
      </c>
      <c r="I654" t="s">
        <v>2780</v>
      </c>
      <c r="J654" s="4" t="s">
        <v>2840</v>
      </c>
      <c r="K654" t="s">
        <v>168</v>
      </c>
      <c r="L654" t="s">
        <v>163</v>
      </c>
      <c r="M654" t="s">
        <v>163</v>
      </c>
      <c r="N654" t="s">
        <v>163</v>
      </c>
      <c r="O654" s="6" t="s">
        <v>1113</v>
      </c>
      <c r="P654">
        <v>0</v>
      </c>
      <c r="Q654" s="24">
        <v>49.5</v>
      </c>
      <c r="R654" s="25">
        <v>66</v>
      </c>
      <c r="S654" s="26">
        <v>47.8</v>
      </c>
      <c r="Y654">
        <v>10</v>
      </c>
      <c r="Z654">
        <v>30</v>
      </c>
      <c r="AA654" s="3">
        <v>25</v>
      </c>
      <c r="AB654" s="3">
        <v>6</v>
      </c>
      <c r="AC654">
        <v>155</v>
      </c>
      <c r="AD654" s="9">
        <f t="shared" si="185"/>
        <v>6264</v>
      </c>
      <c r="AE654">
        <f t="shared" si="192"/>
        <v>2555730</v>
      </c>
      <c r="AF654" s="2">
        <f t="shared" si="196"/>
        <v>34</v>
      </c>
      <c r="AG654" t="str">
        <f t="shared" si="186"/>
        <v>104小时</v>
      </c>
      <c r="AH654">
        <f t="shared" si="187"/>
        <v>102</v>
      </c>
      <c r="AI654">
        <f t="shared" si="188"/>
        <v>17</v>
      </c>
      <c r="AJ654">
        <f t="shared" si="193"/>
        <v>59.5</v>
      </c>
      <c r="AK654">
        <f t="shared" si="189"/>
        <v>30</v>
      </c>
      <c r="AL654">
        <f t="shared" si="194"/>
        <v>34</v>
      </c>
      <c r="AM654" s="2">
        <f t="shared" si="190"/>
        <v>17</v>
      </c>
      <c r="AX654">
        <v>651</v>
      </c>
      <c r="AZ654" s="3"/>
      <c r="BB654" s="2">
        <f t="shared" si="191"/>
        <v>175</v>
      </c>
      <c r="BC654">
        <f t="shared" si="195"/>
        <v>14.406658496732026</v>
      </c>
      <c r="BD654" s="2">
        <f t="shared" si="197"/>
        <v>59.5</v>
      </c>
      <c r="BE654">
        <f t="shared" si="198"/>
        <v>34</v>
      </c>
      <c r="BF654">
        <f t="shared" si="199"/>
        <v>195840</v>
      </c>
    </row>
    <row r="655" spans="1:58" ht="14.25" x14ac:dyDescent="0.2">
      <c r="A655" s="11">
        <v>10822</v>
      </c>
      <c r="B655" s="13">
        <f t="shared" si="182"/>
        <v>13</v>
      </c>
      <c r="C655" s="15">
        <f t="shared" si="183"/>
        <v>9</v>
      </c>
      <c r="D655" s="14">
        <f t="shared" si="184"/>
        <v>9</v>
      </c>
      <c r="E655" t="s">
        <v>2777</v>
      </c>
      <c r="F655" t="s">
        <v>2835</v>
      </c>
      <c r="G655" t="s">
        <v>2779</v>
      </c>
      <c r="H655" t="s">
        <v>2779</v>
      </c>
      <c r="I655" t="s">
        <v>2780</v>
      </c>
      <c r="J655" s="4" t="s">
        <v>2840</v>
      </c>
      <c r="K655" t="s">
        <v>175</v>
      </c>
      <c r="L655" t="s">
        <v>164</v>
      </c>
      <c r="M655" t="s">
        <v>163</v>
      </c>
      <c r="N655" t="s">
        <v>167</v>
      </c>
      <c r="O655" s="6" t="s">
        <v>1115</v>
      </c>
      <c r="P655">
        <v>0</v>
      </c>
      <c r="Q655" s="24">
        <v>49.5</v>
      </c>
      <c r="R655" s="25">
        <v>66</v>
      </c>
      <c r="S655" s="26">
        <v>47.8</v>
      </c>
      <c r="Y655">
        <v>10</v>
      </c>
      <c r="Z655">
        <v>30</v>
      </c>
      <c r="AA655" s="3">
        <v>25</v>
      </c>
      <c r="AB655" s="3">
        <v>6</v>
      </c>
      <c r="AC655">
        <v>155</v>
      </c>
      <c r="AD655" s="9">
        <f t="shared" si="185"/>
        <v>6264</v>
      </c>
      <c r="AE655">
        <f t="shared" si="192"/>
        <v>2555730</v>
      </c>
      <c r="AF655" s="2">
        <f t="shared" si="196"/>
        <v>34</v>
      </c>
      <c r="AG655" t="str">
        <f t="shared" si="186"/>
        <v>104小时</v>
      </c>
      <c r="AH655">
        <f t="shared" si="187"/>
        <v>102</v>
      </c>
      <c r="AI655">
        <f t="shared" si="188"/>
        <v>17</v>
      </c>
      <c r="AJ655">
        <f t="shared" si="193"/>
        <v>59.5</v>
      </c>
      <c r="AK655">
        <f t="shared" si="189"/>
        <v>30</v>
      </c>
      <c r="AL655">
        <f t="shared" si="194"/>
        <v>34</v>
      </c>
      <c r="AM655" s="2">
        <f t="shared" si="190"/>
        <v>17</v>
      </c>
      <c r="AX655">
        <v>652</v>
      </c>
      <c r="AZ655" s="3"/>
      <c r="BB655" s="2">
        <f t="shared" si="191"/>
        <v>175</v>
      </c>
      <c r="BC655">
        <f t="shared" si="195"/>
        <v>14.406658496732026</v>
      </c>
      <c r="BD655" s="2">
        <f t="shared" si="197"/>
        <v>59.5</v>
      </c>
      <c r="BE655">
        <f t="shared" si="198"/>
        <v>34</v>
      </c>
      <c r="BF655">
        <f t="shared" si="199"/>
        <v>195840</v>
      </c>
    </row>
    <row r="656" spans="1:58" ht="14.25" x14ac:dyDescent="0.2">
      <c r="A656" s="11">
        <v>10823</v>
      </c>
      <c r="B656" s="13">
        <f t="shared" ref="B656:B719" si="200">FLOOR(R654/5,1)</f>
        <v>13</v>
      </c>
      <c r="C656" s="15">
        <f t="shared" ref="C656:C719" si="201">FLOOR(Q654/5,1)</f>
        <v>9</v>
      </c>
      <c r="D656" s="14">
        <f t="shared" ref="D656:D719" si="202">FLOOR(S654/5,1)</f>
        <v>9</v>
      </c>
      <c r="E656" t="s">
        <v>2777</v>
      </c>
      <c r="F656" t="s">
        <v>2836</v>
      </c>
      <c r="G656" t="s">
        <v>2779</v>
      </c>
      <c r="H656" t="s">
        <v>2779</v>
      </c>
      <c r="I656" t="s">
        <v>2780</v>
      </c>
      <c r="J656" s="4" t="s">
        <v>2840</v>
      </c>
      <c r="K656" t="s">
        <v>179</v>
      </c>
      <c r="L656" t="s">
        <v>163</v>
      </c>
      <c r="M656" t="s">
        <v>163</v>
      </c>
      <c r="N656" t="s">
        <v>163</v>
      </c>
      <c r="O656" s="6" t="s">
        <v>1117</v>
      </c>
      <c r="P656">
        <v>0</v>
      </c>
      <c r="Q656" s="24">
        <v>49.5</v>
      </c>
      <c r="R656" s="25">
        <v>66</v>
      </c>
      <c r="S656" s="26">
        <v>47.8</v>
      </c>
      <c r="Y656">
        <v>10</v>
      </c>
      <c r="Z656">
        <v>30</v>
      </c>
      <c r="AA656" s="3">
        <v>25</v>
      </c>
      <c r="AB656" s="3">
        <v>6</v>
      </c>
      <c r="AC656">
        <v>155</v>
      </c>
      <c r="AD656" s="9">
        <f t="shared" si="185"/>
        <v>6264</v>
      </c>
      <c r="AE656">
        <f t="shared" si="192"/>
        <v>2555730</v>
      </c>
      <c r="AF656" s="2">
        <f t="shared" si="196"/>
        <v>34</v>
      </c>
      <c r="AG656" t="str">
        <f t="shared" si="186"/>
        <v>104小时</v>
      </c>
      <c r="AH656">
        <f t="shared" si="187"/>
        <v>102</v>
      </c>
      <c r="AI656">
        <f t="shared" si="188"/>
        <v>17</v>
      </c>
      <c r="AJ656">
        <f t="shared" si="193"/>
        <v>59.5</v>
      </c>
      <c r="AK656">
        <f t="shared" si="189"/>
        <v>30</v>
      </c>
      <c r="AL656">
        <f t="shared" si="194"/>
        <v>34</v>
      </c>
      <c r="AM656" s="2">
        <f t="shared" si="190"/>
        <v>17</v>
      </c>
      <c r="AX656">
        <v>653</v>
      </c>
      <c r="AZ656" s="3"/>
      <c r="BB656" s="2">
        <f t="shared" si="191"/>
        <v>175</v>
      </c>
      <c r="BC656">
        <f t="shared" si="195"/>
        <v>14.406658496732026</v>
      </c>
      <c r="BD656" s="2">
        <f t="shared" si="197"/>
        <v>59.5</v>
      </c>
      <c r="BE656">
        <f t="shared" si="198"/>
        <v>34</v>
      </c>
      <c r="BF656">
        <f t="shared" si="199"/>
        <v>195840</v>
      </c>
    </row>
    <row r="657" spans="1:58" ht="14.25" x14ac:dyDescent="0.2">
      <c r="A657" s="11">
        <v>10824</v>
      </c>
      <c r="B657" s="13">
        <f t="shared" si="200"/>
        <v>13</v>
      </c>
      <c r="C657" s="15">
        <f t="shared" si="201"/>
        <v>9</v>
      </c>
      <c r="D657" s="14">
        <f t="shared" si="202"/>
        <v>9</v>
      </c>
      <c r="E657" t="s">
        <v>2777</v>
      </c>
      <c r="F657" t="s">
        <v>2837</v>
      </c>
      <c r="G657" t="s">
        <v>2779</v>
      </c>
      <c r="H657" t="s">
        <v>2779</v>
      </c>
      <c r="I657" t="s">
        <v>2780</v>
      </c>
      <c r="J657" s="4" t="s">
        <v>2840</v>
      </c>
      <c r="K657" t="s">
        <v>177</v>
      </c>
      <c r="L657" t="s">
        <v>163</v>
      </c>
      <c r="M657" t="s">
        <v>163</v>
      </c>
      <c r="N657" t="s">
        <v>163</v>
      </c>
      <c r="O657" s="6" t="s">
        <v>1117</v>
      </c>
      <c r="P657">
        <v>0</v>
      </c>
      <c r="Q657" s="24">
        <v>49.5</v>
      </c>
      <c r="R657" s="25">
        <v>66</v>
      </c>
      <c r="S657" s="26">
        <v>47.8</v>
      </c>
      <c r="Y657">
        <v>10</v>
      </c>
      <c r="Z657">
        <v>30</v>
      </c>
      <c r="AA657" s="3">
        <v>25</v>
      </c>
      <c r="AB657" s="3">
        <v>6</v>
      </c>
      <c r="AC657">
        <v>155</v>
      </c>
      <c r="AD657" s="9">
        <f t="shared" si="185"/>
        <v>6264</v>
      </c>
      <c r="AE657">
        <f t="shared" si="192"/>
        <v>2555730</v>
      </c>
      <c r="AF657" s="2">
        <f t="shared" si="196"/>
        <v>34</v>
      </c>
      <c r="AG657" t="str">
        <f t="shared" si="186"/>
        <v>104小时</v>
      </c>
      <c r="AH657">
        <f t="shared" si="187"/>
        <v>102</v>
      </c>
      <c r="AI657">
        <f t="shared" si="188"/>
        <v>17</v>
      </c>
      <c r="AJ657">
        <f t="shared" si="193"/>
        <v>59.5</v>
      </c>
      <c r="AK657">
        <f t="shared" si="189"/>
        <v>30</v>
      </c>
      <c r="AL657">
        <f t="shared" si="194"/>
        <v>34</v>
      </c>
      <c r="AM657" s="2">
        <f t="shared" si="190"/>
        <v>17</v>
      </c>
      <c r="AX657">
        <v>654</v>
      </c>
      <c r="AZ657" s="3"/>
      <c r="BB657" s="2">
        <f t="shared" si="191"/>
        <v>175</v>
      </c>
      <c r="BC657">
        <f t="shared" si="195"/>
        <v>14.406658496732026</v>
      </c>
      <c r="BD657" s="2">
        <f t="shared" si="197"/>
        <v>59.5</v>
      </c>
      <c r="BE657">
        <f t="shared" si="198"/>
        <v>34</v>
      </c>
      <c r="BF657">
        <f t="shared" si="199"/>
        <v>195840</v>
      </c>
    </row>
    <row r="658" spans="1:58" ht="14.25" x14ac:dyDescent="0.2">
      <c r="A658" s="11">
        <v>10825</v>
      </c>
      <c r="B658" s="13">
        <f t="shared" si="200"/>
        <v>13</v>
      </c>
      <c r="C658" s="15">
        <f t="shared" si="201"/>
        <v>9</v>
      </c>
      <c r="D658" s="14">
        <f t="shared" si="202"/>
        <v>9</v>
      </c>
      <c r="E658" t="s">
        <v>2785</v>
      </c>
      <c r="F658" t="s">
        <v>2786</v>
      </c>
      <c r="G658" t="s">
        <v>2828</v>
      </c>
      <c r="H658" t="s">
        <v>2829</v>
      </c>
      <c r="I658" t="s">
        <v>2697</v>
      </c>
      <c r="J658" s="4" t="s">
        <v>2878</v>
      </c>
      <c r="K658" t="s">
        <v>174</v>
      </c>
      <c r="L658" t="s">
        <v>163</v>
      </c>
      <c r="M658" t="s">
        <v>163</v>
      </c>
      <c r="N658" t="s">
        <v>163</v>
      </c>
      <c r="O658" s="6" t="s">
        <v>1119</v>
      </c>
      <c r="P658">
        <v>0</v>
      </c>
      <c r="Q658" s="24">
        <v>49.5</v>
      </c>
      <c r="R658" s="25">
        <v>66</v>
      </c>
      <c r="S658" s="26">
        <v>47.8</v>
      </c>
      <c r="Y658">
        <v>10</v>
      </c>
      <c r="Z658">
        <v>30</v>
      </c>
      <c r="AA658" s="3">
        <v>25</v>
      </c>
      <c r="AB658" s="3">
        <v>6</v>
      </c>
      <c r="AC658">
        <v>155</v>
      </c>
      <c r="AD658" s="9">
        <f t="shared" si="185"/>
        <v>6264</v>
      </c>
      <c r="AE658">
        <f t="shared" si="192"/>
        <v>2555730</v>
      </c>
      <c r="AF658" s="2">
        <f t="shared" si="196"/>
        <v>34</v>
      </c>
      <c r="AG658" t="str">
        <f t="shared" si="186"/>
        <v>104小时</v>
      </c>
      <c r="AH658">
        <f t="shared" si="187"/>
        <v>102</v>
      </c>
      <c r="AI658">
        <f t="shared" si="188"/>
        <v>17</v>
      </c>
      <c r="AJ658">
        <f t="shared" si="193"/>
        <v>59.5</v>
      </c>
      <c r="AK658">
        <f t="shared" si="189"/>
        <v>30</v>
      </c>
      <c r="AL658">
        <f t="shared" si="194"/>
        <v>34</v>
      </c>
      <c r="AM658" s="2">
        <f t="shared" si="190"/>
        <v>17</v>
      </c>
      <c r="AX658">
        <v>655</v>
      </c>
      <c r="AZ658" s="3"/>
      <c r="BB658" s="2">
        <f t="shared" si="191"/>
        <v>175</v>
      </c>
      <c r="BC658">
        <f t="shared" si="195"/>
        <v>14.406658496732026</v>
      </c>
      <c r="BD658" s="2">
        <f t="shared" si="197"/>
        <v>59.5</v>
      </c>
      <c r="BE658">
        <f t="shared" si="198"/>
        <v>34</v>
      </c>
      <c r="BF658">
        <f t="shared" si="199"/>
        <v>195840</v>
      </c>
    </row>
    <row r="659" spans="1:58" ht="14.25" x14ac:dyDescent="0.2">
      <c r="A659" s="11">
        <v>10826</v>
      </c>
      <c r="B659" s="13">
        <f t="shared" si="200"/>
        <v>13</v>
      </c>
      <c r="C659" s="15">
        <f t="shared" si="201"/>
        <v>9</v>
      </c>
      <c r="D659" s="14">
        <f t="shared" si="202"/>
        <v>9</v>
      </c>
      <c r="E659" t="s">
        <v>2777</v>
      </c>
      <c r="F659" t="s">
        <v>2834</v>
      </c>
      <c r="G659" t="s">
        <v>2779</v>
      </c>
      <c r="H659" t="s">
        <v>2779</v>
      </c>
      <c r="I659" t="s">
        <v>2780</v>
      </c>
      <c r="J659" s="4" t="s">
        <v>2840</v>
      </c>
      <c r="K659" t="s">
        <v>182</v>
      </c>
      <c r="L659" t="s">
        <v>163</v>
      </c>
      <c r="M659" t="s">
        <v>163</v>
      </c>
      <c r="N659" t="s">
        <v>163</v>
      </c>
      <c r="O659" s="6" t="s">
        <v>1121</v>
      </c>
      <c r="P659">
        <v>0</v>
      </c>
      <c r="Q659" s="24">
        <v>49.8</v>
      </c>
      <c r="R659" s="25">
        <v>66.5</v>
      </c>
      <c r="S659" s="26">
        <v>48</v>
      </c>
      <c r="Y659">
        <v>10</v>
      </c>
      <c r="Z659">
        <v>30</v>
      </c>
      <c r="AA659" s="3">
        <v>25</v>
      </c>
      <c r="AB659" s="3">
        <v>6</v>
      </c>
      <c r="AC659">
        <v>155</v>
      </c>
      <c r="AD659" s="9">
        <f t="shared" si="185"/>
        <v>6227.3333333333339</v>
      </c>
      <c r="AE659">
        <f t="shared" si="192"/>
        <v>2555730</v>
      </c>
      <c r="AF659" s="2">
        <f t="shared" si="196"/>
        <v>34.200000000000003</v>
      </c>
      <c r="AG659" t="str">
        <f t="shared" si="186"/>
        <v>103小时</v>
      </c>
      <c r="AH659">
        <f t="shared" si="187"/>
        <v>103</v>
      </c>
      <c r="AI659">
        <f t="shared" si="188"/>
        <v>18</v>
      </c>
      <c r="AJ659">
        <f t="shared" si="193"/>
        <v>59.8</v>
      </c>
      <c r="AK659">
        <f t="shared" si="189"/>
        <v>30</v>
      </c>
      <c r="AL659">
        <f t="shared" si="194"/>
        <v>34.200000000000003</v>
      </c>
      <c r="AM659" s="2">
        <f t="shared" si="190"/>
        <v>18</v>
      </c>
      <c r="AX659">
        <v>656</v>
      </c>
      <c r="AZ659" s="3"/>
      <c r="BB659" s="2">
        <f t="shared" si="191"/>
        <v>175</v>
      </c>
      <c r="BC659">
        <f t="shared" si="195"/>
        <v>14.322409031838857</v>
      </c>
      <c r="BD659" s="2">
        <f t="shared" si="197"/>
        <v>59.8</v>
      </c>
      <c r="BE659">
        <f t="shared" si="198"/>
        <v>34.200000000000003</v>
      </c>
      <c r="BF659">
        <f t="shared" si="199"/>
        <v>196992</v>
      </c>
    </row>
    <row r="660" spans="1:58" ht="14.25" x14ac:dyDescent="0.2">
      <c r="A660" s="11">
        <v>10827</v>
      </c>
      <c r="B660" s="13">
        <f t="shared" si="200"/>
        <v>13</v>
      </c>
      <c r="C660" s="15">
        <f t="shared" si="201"/>
        <v>9</v>
      </c>
      <c r="D660" s="14">
        <f t="shared" si="202"/>
        <v>9</v>
      </c>
      <c r="E660" t="s">
        <v>2777</v>
      </c>
      <c r="F660" t="s">
        <v>2835</v>
      </c>
      <c r="G660" t="s">
        <v>2779</v>
      </c>
      <c r="H660" t="s">
        <v>2779</v>
      </c>
      <c r="I660" t="s">
        <v>2780</v>
      </c>
      <c r="J660" s="4" t="s">
        <v>2840</v>
      </c>
      <c r="K660" t="s">
        <v>162</v>
      </c>
      <c r="L660" t="s">
        <v>163</v>
      </c>
      <c r="M660" t="s">
        <v>163</v>
      </c>
      <c r="N660" t="s">
        <v>163</v>
      </c>
      <c r="O660" s="6" t="s">
        <v>1121</v>
      </c>
      <c r="P660">
        <v>0</v>
      </c>
      <c r="Q660" s="24">
        <v>49.8</v>
      </c>
      <c r="R660" s="25">
        <v>66.5</v>
      </c>
      <c r="S660" s="26">
        <v>48</v>
      </c>
      <c r="Y660">
        <v>10</v>
      </c>
      <c r="Z660">
        <v>30</v>
      </c>
      <c r="AA660" s="3">
        <v>25</v>
      </c>
      <c r="AB660" s="3">
        <v>6</v>
      </c>
      <c r="AC660">
        <v>155</v>
      </c>
      <c r="AD660" s="9">
        <f t="shared" si="185"/>
        <v>6227.3333333333339</v>
      </c>
      <c r="AE660">
        <f t="shared" si="192"/>
        <v>2555730</v>
      </c>
      <c r="AF660" s="2">
        <f t="shared" si="196"/>
        <v>34.200000000000003</v>
      </c>
      <c r="AG660" t="str">
        <f t="shared" si="186"/>
        <v>103小时</v>
      </c>
      <c r="AH660">
        <f t="shared" si="187"/>
        <v>103</v>
      </c>
      <c r="AI660">
        <f t="shared" si="188"/>
        <v>18</v>
      </c>
      <c r="AJ660">
        <f t="shared" si="193"/>
        <v>59.8</v>
      </c>
      <c r="AK660">
        <f t="shared" si="189"/>
        <v>30</v>
      </c>
      <c r="AL660">
        <f t="shared" si="194"/>
        <v>34.200000000000003</v>
      </c>
      <c r="AM660" s="2">
        <f t="shared" si="190"/>
        <v>18</v>
      </c>
      <c r="AX660">
        <v>657</v>
      </c>
      <c r="AZ660" s="3"/>
      <c r="BB660" s="2">
        <f t="shared" si="191"/>
        <v>175</v>
      </c>
      <c r="BC660">
        <f t="shared" si="195"/>
        <v>14.322409031838857</v>
      </c>
      <c r="BD660" s="2">
        <f t="shared" si="197"/>
        <v>59.8</v>
      </c>
      <c r="BE660">
        <f t="shared" si="198"/>
        <v>34.200000000000003</v>
      </c>
      <c r="BF660">
        <f t="shared" si="199"/>
        <v>196992</v>
      </c>
    </row>
    <row r="661" spans="1:58" ht="14.25" x14ac:dyDescent="0.2">
      <c r="A661" s="11">
        <v>10828</v>
      </c>
      <c r="B661" s="13">
        <f t="shared" si="200"/>
        <v>13</v>
      </c>
      <c r="C661" s="15">
        <f t="shared" si="201"/>
        <v>9</v>
      </c>
      <c r="D661" s="14">
        <f t="shared" si="202"/>
        <v>9</v>
      </c>
      <c r="E661" t="s">
        <v>2777</v>
      </c>
      <c r="F661" t="s">
        <v>2836</v>
      </c>
      <c r="G661" t="s">
        <v>2779</v>
      </c>
      <c r="H661" t="s">
        <v>2779</v>
      </c>
      <c r="I661" t="s">
        <v>2780</v>
      </c>
      <c r="J661" s="4" t="s">
        <v>2840</v>
      </c>
      <c r="K661" t="s">
        <v>177</v>
      </c>
      <c r="L661" t="s">
        <v>163</v>
      </c>
      <c r="M661" t="s">
        <v>163</v>
      </c>
      <c r="N661" t="s">
        <v>163</v>
      </c>
      <c r="O661" s="6" t="s">
        <v>1123</v>
      </c>
      <c r="P661">
        <v>0</v>
      </c>
      <c r="Q661" s="24">
        <v>49.8</v>
      </c>
      <c r="R661" s="25">
        <v>66.5</v>
      </c>
      <c r="S661" s="26">
        <v>48</v>
      </c>
      <c r="Y661">
        <v>10</v>
      </c>
      <c r="Z661">
        <v>30</v>
      </c>
      <c r="AA661" s="3">
        <v>25</v>
      </c>
      <c r="AB661" s="3">
        <v>6</v>
      </c>
      <c r="AC661">
        <v>155</v>
      </c>
      <c r="AD661" s="9">
        <f t="shared" si="185"/>
        <v>6227.3333333333339</v>
      </c>
      <c r="AE661">
        <f t="shared" si="192"/>
        <v>2555730</v>
      </c>
      <c r="AF661" s="2">
        <f t="shared" si="196"/>
        <v>34.200000000000003</v>
      </c>
      <c r="AG661" t="str">
        <f t="shared" si="186"/>
        <v>103小时</v>
      </c>
      <c r="AH661">
        <f t="shared" si="187"/>
        <v>103</v>
      </c>
      <c r="AI661">
        <f t="shared" si="188"/>
        <v>18</v>
      </c>
      <c r="AJ661">
        <f t="shared" si="193"/>
        <v>59.8</v>
      </c>
      <c r="AK661">
        <f t="shared" si="189"/>
        <v>30</v>
      </c>
      <c r="AL661">
        <f t="shared" si="194"/>
        <v>34.200000000000003</v>
      </c>
      <c r="AM661" s="2">
        <f t="shared" si="190"/>
        <v>18</v>
      </c>
      <c r="AX661">
        <v>658</v>
      </c>
      <c r="AZ661" s="3"/>
      <c r="BB661" s="2">
        <f t="shared" si="191"/>
        <v>175</v>
      </c>
      <c r="BC661">
        <f t="shared" si="195"/>
        <v>14.322409031838857</v>
      </c>
      <c r="BD661" s="2">
        <f t="shared" si="197"/>
        <v>59.8</v>
      </c>
      <c r="BE661">
        <f t="shared" si="198"/>
        <v>34.200000000000003</v>
      </c>
      <c r="BF661">
        <f t="shared" si="199"/>
        <v>196992</v>
      </c>
    </row>
    <row r="662" spans="1:58" ht="14.25" x14ac:dyDescent="0.2">
      <c r="A662" s="11">
        <v>10829</v>
      </c>
      <c r="B662" s="13">
        <f t="shared" si="200"/>
        <v>13</v>
      </c>
      <c r="C662" s="15">
        <f t="shared" si="201"/>
        <v>9</v>
      </c>
      <c r="D662" s="14">
        <f t="shared" si="202"/>
        <v>9</v>
      </c>
      <c r="E662" t="s">
        <v>2777</v>
      </c>
      <c r="F662" t="s">
        <v>2837</v>
      </c>
      <c r="G662" t="s">
        <v>2779</v>
      </c>
      <c r="H662" t="s">
        <v>2779</v>
      </c>
      <c r="I662" t="s">
        <v>2780</v>
      </c>
      <c r="J662" s="4" t="s">
        <v>2840</v>
      </c>
      <c r="K662" t="s">
        <v>174</v>
      </c>
      <c r="L662" t="s">
        <v>163</v>
      </c>
      <c r="M662" t="s">
        <v>163</v>
      </c>
      <c r="N662" t="s">
        <v>163</v>
      </c>
      <c r="O662" s="6" t="s">
        <v>1125</v>
      </c>
      <c r="P662">
        <v>0</v>
      </c>
      <c r="Q662" s="24">
        <v>49.8</v>
      </c>
      <c r="R662" s="25">
        <v>66.5</v>
      </c>
      <c r="S662" s="26">
        <v>48</v>
      </c>
      <c r="Y662">
        <v>10</v>
      </c>
      <c r="Z662">
        <v>30</v>
      </c>
      <c r="AA662" s="3">
        <v>25</v>
      </c>
      <c r="AB662" s="3">
        <v>6</v>
      </c>
      <c r="AC662">
        <v>155</v>
      </c>
      <c r="AD662" s="9">
        <f t="shared" si="185"/>
        <v>6227.3333333333339</v>
      </c>
      <c r="AE662">
        <f t="shared" si="192"/>
        <v>2555730</v>
      </c>
      <c r="AF662" s="2">
        <f t="shared" si="196"/>
        <v>34.200000000000003</v>
      </c>
      <c r="AG662" t="str">
        <f t="shared" si="186"/>
        <v>103小时</v>
      </c>
      <c r="AH662">
        <f t="shared" si="187"/>
        <v>103</v>
      </c>
      <c r="AI662">
        <f t="shared" si="188"/>
        <v>18</v>
      </c>
      <c r="AJ662">
        <f t="shared" si="193"/>
        <v>59.8</v>
      </c>
      <c r="AK662">
        <f t="shared" si="189"/>
        <v>30</v>
      </c>
      <c r="AL662">
        <f t="shared" si="194"/>
        <v>34.200000000000003</v>
      </c>
      <c r="AM662" s="2">
        <f t="shared" si="190"/>
        <v>18</v>
      </c>
      <c r="AX662">
        <v>659</v>
      </c>
      <c r="AZ662" s="3"/>
      <c r="BB662" s="2">
        <f t="shared" si="191"/>
        <v>175</v>
      </c>
      <c r="BC662">
        <f t="shared" si="195"/>
        <v>14.322409031838857</v>
      </c>
      <c r="BD662" s="2">
        <f t="shared" si="197"/>
        <v>59.8</v>
      </c>
      <c r="BE662">
        <f t="shared" si="198"/>
        <v>34.200000000000003</v>
      </c>
      <c r="BF662">
        <f t="shared" si="199"/>
        <v>196992</v>
      </c>
    </row>
    <row r="663" spans="1:58" ht="14.25" x14ac:dyDescent="0.2">
      <c r="A663" s="11">
        <v>10830</v>
      </c>
      <c r="B663" s="13">
        <f t="shared" si="200"/>
        <v>13</v>
      </c>
      <c r="C663" s="15">
        <f t="shared" si="201"/>
        <v>9</v>
      </c>
      <c r="D663" s="14">
        <f t="shared" si="202"/>
        <v>9</v>
      </c>
      <c r="E663" t="s">
        <v>2785</v>
      </c>
      <c r="F663" t="s">
        <v>2786</v>
      </c>
      <c r="G663" t="s">
        <v>2830</v>
      </c>
      <c r="H663" t="s">
        <v>2829</v>
      </c>
      <c r="I663" t="s">
        <v>2697</v>
      </c>
      <c r="J663" s="4" t="s">
        <v>2860</v>
      </c>
      <c r="K663" t="s">
        <v>166</v>
      </c>
      <c r="L663" t="s">
        <v>163</v>
      </c>
      <c r="M663" t="s">
        <v>163</v>
      </c>
      <c r="N663" t="s">
        <v>163</v>
      </c>
      <c r="O663" s="6" t="s">
        <v>1125</v>
      </c>
      <c r="P663">
        <v>0</v>
      </c>
      <c r="Q663" s="24">
        <v>49.8</v>
      </c>
      <c r="R663" s="25">
        <v>66.5</v>
      </c>
      <c r="S663" s="26">
        <v>48</v>
      </c>
      <c r="Y663">
        <v>10</v>
      </c>
      <c r="Z663">
        <v>30</v>
      </c>
      <c r="AA663" s="3">
        <v>25</v>
      </c>
      <c r="AB663" s="3">
        <v>6</v>
      </c>
      <c r="AC663">
        <v>155</v>
      </c>
      <c r="AD663" s="9">
        <f t="shared" si="185"/>
        <v>6227.3333333333339</v>
      </c>
      <c r="AE663">
        <f t="shared" si="192"/>
        <v>2555730</v>
      </c>
      <c r="AF663" s="2">
        <f t="shared" si="196"/>
        <v>34.200000000000003</v>
      </c>
      <c r="AG663" t="str">
        <f t="shared" si="186"/>
        <v>103小时</v>
      </c>
      <c r="AH663">
        <f t="shared" si="187"/>
        <v>103</v>
      </c>
      <c r="AI663">
        <f t="shared" si="188"/>
        <v>18</v>
      </c>
      <c r="AJ663">
        <f t="shared" si="193"/>
        <v>59.8</v>
      </c>
      <c r="AK663">
        <f t="shared" si="189"/>
        <v>30</v>
      </c>
      <c r="AL663">
        <f t="shared" si="194"/>
        <v>34.200000000000003</v>
      </c>
      <c r="AM663" s="2">
        <f t="shared" si="190"/>
        <v>18</v>
      </c>
      <c r="AX663">
        <v>660</v>
      </c>
      <c r="AZ663" s="3"/>
      <c r="BB663" s="2">
        <f t="shared" si="191"/>
        <v>175</v>
      </c>
      <c r="BC663">
        <f t="shared" si="195"/>
        <v>14.322409031838857</v>
      </c>
      <c r="BD663" s="2">
        <f t="shared" si="197"/>
        <v>59.8</v>
      </c>
      <c r="BE663">
        <f t="shared" si="198"/>
        <v>34.200000000000003</v>
      </c>
      <c r="BF663">
        <f t="shared" si="199"/>
        <v>196992</v>
      </c>
    </row>
    <row r="664" spans="1:58" ht="14.25" x14ac:dyDescent="0.2">
      <c r="A664" s="11">
        <v>10831</v>
      </c>
      <c r="B664" s="13">
        <f t="shared" si="200"/>
        <v>13</v>
      </c>
      <c r="C664" s="15">
        <f t="shared" si="201"/>
        <v>9</v>
      </c>
      <c r="D664" s="14">
        <f t="shared" si="202"/>
        <v>9</v>
      </c>
      <c r="E664" t="s">
        <v>2777</v>
      </c>
      <c r="F664" t="s">
        <v>2834</v>
      </c>
      <c r="G664" t="s">
        <v>2779</v>
      </c>
      <c r="H664" t="s">
        <v>2779</v>
      </c>
      <c r="I664" t="s">
        <v>2780</v>
      </c>
      <c r="J664" s="4" t="s">
        <v>2840</v>
      </c>
      <c r="K664" t="s">
        <v>168</v>
      </c>
      <c r="L664" t="s">
        <v>163</v>
      </c>
      <c r="M664" t="s">
        <v>163</v>
      </c>
      <c r="N664" t="s">
        <v>163</v>
      </c>
      <c r="O664" s="6" t="s">
        <v>1127</v>
      </c>
      <c r="P664">
        <v>0</v>
      </c>
      <c r="Q664" s="24">
        <v>50.2</v>
      </c>
      <c r="R664" s="25">
        <v>67</v>
      </c>
      <c r="S664" s="26">
        <v>48.3</v>
      </c>
      <c r="Y664">
        <v>10</v>
      </c>
      <c r="Z664">
        <v>30</v>
      </c>
      <c r="AA664" s="3">
        <v>25</v>
      </c>
      <c r="AB664" s="3">
        <v>6</v>
      </c>
      <c r="AC664">
        <v>155</v>
      </c>
      <c r="AD664" s="9">
        <f t="shared" si="185"/>
        <v>6173.25</v>
      </c>
      <c r="AE664">
        <f t="shared" si="192"/>
        <v>2555730</v>
      </c>
      <c r="AF664" s="2">
        <f t="shared" si="196"/>
        <v>34.5</v>
      </c>
      <c r="AG664" t="str">
        <f t="shared" si="186"/>
        <v>102小时</v>
      </c>
      <c r="AH664">
        <f t="shared" si="187"/>
        <v>104</v>
      </c>
      <c r="AI664">
        <f t="shared" si="188"/>
        <v>18</v>
      </c>
      <c r="AJ664">
        <f t="shared" si="193"/>
        <v>60.300000000000004</v>
      </c>
      <c r="AK664">
        <f t="shared" si="189"/>
        <v>31</v>
      </c>
      <c r="AL664">
        <f t="shared" si="194"/>
        <v>34.5</v>
      </c>
      <c r="AM664" s="2">
        <f t="shared" si="190"/>
        <v>18</v>
      </c>
      <c r="AX664">
        <v>661</v>
      </c>
      <c r="AZ664" s="3"/>
      <c r="BB664" s="2">
        <f t="shared" si="191"/>
        <v>175</v>
      </c>
      <c r="BC664">
        <f t="shared" si="195"/>
        <v>14.197866344605474</v>
      </c>
      <c r="BD664" s="2">
        <f t="shared" si="197"/>
        <v>60.300000000000004</v>
      </c>
      <c r="BE664">
        <f t="shared" si="198"/>
        <v>34.5</v>
      </c>
      <c r="BF664">
        <f t="shared" si="199"/>
        <v>198720</v>
      </c>
    </row>
    <row r="665" spans="1:58" ht="14.25" x14ac:dyDescent="0.2">
      <c r="A665" s="11">
        <v>10832</v>
      </c>
      <c r="B665" s="13">
        <f t="shared" si="200"/>
        <v>13</v>
      </c>
      <c r="C665" s="15">
        <f t="shared" si="201"/>
        <v>9</v>
      </c>
      <c r="D665" s="14">
        <f t="shared" si="202"/>
        <v>9</v>
      </c>
      <c r="E665" t="s">
        <v>2777</v>
      </c>
      <c r="F665" t="s">
        <v>2835</v>
      </c>
      <c r="G665" t="s">
        <v>2779</v>
      </c>
      <c r="H665" t="s">
        <v>2779</v>
      </c>
      <c r="I665" t="s">
        <v>2780</v>
      </c>
      <c r="J665" s="4" t="s">
        <v>2840</v>
      </c>
      <c r="K665" t="s">
        <v>175</v>
      </c>
      <c r="L665" t="s">
        <v>164</v>
      </c>
      <c r="M665" t="s">
        <v>163</v>
      </c>
      <c r="N665" t="s">
        <v>167</v>
      </c>
      <c r="O665" s="6" t="s">
        <v>1129</v>
      </c>
      <c r="P665">
        <v>0</v>
      </c>
      <c r="Q665" s="24">
        <v>50.2</v>
      </c>
      <c r="R665" s="25">
        <v>67</v>
      </c>
      <c r="S665" s="26">
        <v>48.3</v>
      </c>
      <c r="Y665">
        <v>10</v>
      </c>
      <c r="Z665">
        <v>30</v>
      </c>
      <c r="AA665" s="3">
        <v>25</v>
      </c>
      <c r="AB665" s="3">
        <v>6</v>
      </c>
      <c r="AC665">
        <v>155</v>
      </c>
      <c r="AD665" s="9">
        <f t="shared" si="185"/>
        <v>6173.25</v>
      </c>
      <c r="AE665">
        <f t="shared" si="192"/>
        <v>2555730</v>
      </c>
      <c r="AF665" s="2">
        <f t="shared" si="196"/>
        <v>34.5</v>
      </c>
      <c r="AG665" t="str">
        <f t="shared" si="186"/>
        <v>102小时</v>
      </c>
      <c r="AH665">
        <f t="shared" si="187"/>
        <v>104</v>
      </c>
      <c r="AI665">
        <f t="shared" si="188"/>
        <v>18</v>
      </c>
      <c r="AJ665">
        <f t="shared" si="193"/>
        <v>60.300000000000004</v>
      </c>
      <c r="AK665">
        <f t="shared" si="189"/>
        <v>31</v>
      </c>
      <c r="AL665">
        <f t="shared" si="194"/>
        <v>34.5</v>
      </c>
      <c r="AM665" s="2">
        <f t="shared" si="190"/>
        <v>18</v>
      </c>
      <c r="AX665">
        <v>662</v>
      </c>
      <c r="AZ665" s="3"/>
      <c r="BB665" s="2">
        <f t="shared" si="191"/>
        <v>175</v>
      </c>
      <c r="BC665">
        <f t="shared" si="195"/>
        <v>14.197866344605474</v>
      </c>
      <c r="BD665" s="2">
        <f t="shared" si="197"/>
        <v>60.300000000000004</v>
      </c>
      <c r="BE665">
        <f t="shared" si="198"/>
        <v>34.5</v>
      </c>
      <c r="BF665">
        <f t="shared" si="199"/>
        <v>198720</v>
      </c>
    </row>
    <row r="666" spans="1:58" ht="14.25" x14ac:dyDescent="0.2">
      <c r="A666" s="11">
        <v>10833</v>
      </c>
      <c r="B666" s="13">
        <f t="shared" si="200"/>
        <v>13</v>
      </c>
      <c r="C666" s="15">
        <f t="shared" si="201"/>
        <v>10</v>
      </c>
      <c r="D666" s="14">
        <f t="shared" si="202"/>
        <v>9</v>
      </c>
      <c r="E666" t="s">
        <v>2777</v>
      </c>
      <c r="F666" t="s">
        <v>2836</v>
      </c>
      <c r="G666" t="s">
        <v>2779</v>
      </c>
      <c r="H666" t="s">
        <v>2779</v>
      </c>
      <c r="I666" t="s">
        <v>2780</v>
      </c>
      <c r="J666" s="4" t="s">
        <v>2840</v>
      </c>
      <c r="K666" t="s">
        <v>179</v>
      </c>
      <c r="L666" t="s">
        <v>163</v>
      </c>
      <c r="M666" t="s">
        <v>163</v>
      </c>
      <c r="N666" t="s">
        <v>163</v>
      </c>
      <c r="O666" s="6" t="s">
        <v>1131</v>
      </c>
      <c r="P666">
        <v>0</v>
      </c>
      <c r="Q666" s="24">
        <v>50.2</v>
      </c>
      <c r="R666" s="25">
        <v>67</v>
      </c>
      <c r="S666" s="26">
        <v>48.3</v>
      </c>
      <c r="Y666">
        <v>10</v>
      </c>
      <c r="Z666">
        <v>30</v>
      </c>
      <c r="AA666" s="3">
        <v>25</v>
      </c>
      <c r="AB666" s="3">
        <v>6</v>
      </c>
      <c r="AC666">
        <v>155</v>
      </c>
      <c r="AD666" s="9">
        <f t="shared" si="185"/>
        <v>6173.25</v>
      </c>
      <c r="AE666">
        <f t="shared" si="192"/>
        <v>2555730</v>
      </c>
      <c r="AF666" s="2">
        <f t="shared" si="196"/>
        <v>34.5</v>
      </c>
      <c r="AG666" t="str">
        <f t="shared" si="186"/>
        <v>102小时</v>
      </c>
      <c r="AH666">
        <f t="shared" si="187"/>
        <v>104</v>
      </c>
      <c r="AI666">
        <f t="shared" si="188"/>
        <v>18</v>
      </c>
      <c r="AJ666">
        <f t="shared" si="193"/>
        <v>60.300000000000004</v>
      </c>
      <c r="AK666">
        <f t="shared" si="189"/>
        <v>31</v>
      </c>
      <c r="AL666">
        <f t="shared" si="194"/>
        <v>34.5</v>
      </c>
      <c r="AM666" s="2">
        <f t="shared" si="190"/>
        <v>18</v>
      </c>
      <c r="AX666">
        <v>663</v>
      </c>
      <c r="AZ666" s="3"/>
      <c r="BB666" s="2">
        <f t="shared" si="191"/>
        <v>175</v>
      </c>
      <c r="BC666">
        <f t="shared" si="195"/>
        <v>14.197866344605474</v>
      </c>
      <c r="BD666" s="2">
        <f t="shared" si="197"/>
        <v>60.300000000000004</v>
      </c>
      <c r="BE666">
        <f t="shared" si="198"/>
        <v>34.5</v>
      </c>
      <c r="BF666">
        <f t="shared" si="199"/>
        <v>198720</v>
      </c>
    </row>
    <row r="667" spans="1:58" ht="14.25" x14ac:dyDescent="0.2">
      <c r="A667" s="11">
        <v>10834</v>
      </c>
      <c r="B667" s="13">
        <f t="shared" si="200"/>
        <v>13</v>
      </c>
      <c r="C667" s="15">
        <f t="shared" si="201"/>
        <v>10</v>
      </c>
      <c r="D667" s="14">
        <f t="shared" si="202"/>
        <v>9</v>
      </c>
      <c r="E667" t="s">
        <v>2777</v>
      </c>
      <c r="F667" t="s">
        <v>2837</v>
      </c>
      <c r="G667" t="s">
        <v>2779</v>
      </c>
      <c r="H667" t="s">
        <v>2779</v>
      </c>
      <c r="I667" t="s">
        <v>2780</v>
      </c>
      <c r="J667" s="4" t="s">
        <v>2840</v>
      </c>
      <c r="K667" t="s">
        <v>177</v>
      </c>
      <c r="L667" t="s">
        <v>163</v>
      </c>
      <c r="M667" t="s">
        <v>163</v>
      </c>
      <c r="N667" t="s">
        <v>163</v>
      </c>
      <c r="O667" s="6" t="s">
        <v>1131</v>
      </c>
      <c r="P667">
        <v>0</v>
      </c>
      <c r="Q667" s="24">
        <v>50.2</v>
      </c>
      <c r="R667" s="25">
        <v>67</v>
      </c>
      <c r="S667" s="26">
        <v>48.3</v>
      </c>
      <c r="Y667">
        <v>10</v>
      </c>
      <c r="Z667">
        <v>30</v>
      </c>
      <c r="AA667" s="3">
        <v>25</v>
      </c>
      <c r="AB667" s="3">
        <v>6</v>
      </c>
      <c r="AC667">
        <v>155</v>
      </c>
      <c r="AD667" s="9">
        <f t="shared" si="185"/>
        <v>6173.25</v>
      </c>
      <c r="AE667">
        <f t="shared" si="192"/>
        <v>2555730</v>
      </c>
      <c r="AF667" s="2">
        <f t="shared" si="196"/>
        <v>34.5</v>
      </c>
      <c r="AG667" t="str">
        <f t="shared" si="186"/>
        <v>102小时</v>
      </c>
      <c r="AH667">
        <f t="shared" si="187"/>
        <v>104</v>
      </c>
      <c r="AI667">
        <f t="shared" si="188"/>
        <v>18</v>
      </c>
      <c r="AJ667">
        <f t="shared" si="193"/>
        <v>60.300000000000004</v>
      </c>
      <c r="AK667">
        <f t="shared" si="189"/>
        <v>31</v>
      </c>
      <c r="AL667">
        <f t="shared" si="194"/>
        <v>34.5</v>
      </c>
      <c r="AM667" s="2">
        <f t="shared" si="190"/>
        <v>18</v>
      </c>
      <c r="AX667">
        <v>664</v>
      </c>
      <c r="AZ667" s="3"/>
      <c r="BB667" s="2">
        <f t="shared" si="191"/>
        <v>175</v>
      </c>
      <c r="BC667">
        <f t="shared" si="195"/>
        <v>14.197866344605474</v>
      </c>
      <c r="BD667" s="2">
        <f t="shared" si="197"/>
        <v>60.300000000000004</v>
      </c>
      <c r="BE667">
        <f t="shared" si="198"/>
        <v>34.5</v>
      </c>
      <c r="BF667">
        <f t="shared" si="199"/>
        <v>198720</v>
      </c>
    </row>
    <row r="668" spans="1:58" ht="14.25" x14ac:dyDescent="0.2">
      <c r="A668" s="11">
        <v>10835</v>
      </c>
      <c r="B668" s="13">
        <f t="shared" si="200"/>
        <v>13</v>
      </c>
      <c r="C668" s="15">
        <f t="shared" si="201"/>
        <v>10</v>
      </c>
      <c r="D668" s="14">
        <f t="shared" si="202"/>
        <v>9</v>
      </c>
      <c r="E668" t="s">
        <v>2785</v>
      </c>
      <c r="F668" t="s">
        <v>2786</v>
      </c>
      <c r="G668" t="s">
        <v>2831</v>
      </c>
      <c r="H668" t="s">
        <v>2829</v>
      </c>
      <c r="I668" t="s">
        <v>2697</v>
      </c>
      <c r="J668" s="4" t="s">
        <v>2860</v>
      </c>
      <c r="K668" t="s">
        <v>174</v>
      </c>
      <c r="L668" t="s">
        <v>163</v>
      </c>
      <c r="M668" t="s">
        <v>163</v>
      </c>
      <c r="N668" t="s">
        <v>163</v>
      </c>
      <c r="O668" s="6" t="s">
        <v>1133</v>
      </c>
      <c r="P668">
        <v>0</v>
      </c>
      <c r="Q668" s="24">
        <v>50.2</v>
      </c>
      <c r="R668" s="25">
        <v>67</v>
      </c>
      <c r="S668" s="26">
        <v>48.3</v>
      </c>
      <c r="Y668">
        <v>10</v>
      </c>
      <c r="Z668">
        <v>30</v>
      </c>
      <c r="AA668" s="3">
        <v>25</v>
      </c>
      <c r="AB668" s="3">
        <v>6</v>
      </c>
      <c r="AC668">
        <v>155</v>
      </c>
      <c r="AD668" s="9">
        <f t="shared" si="185"/>
        <v>6173.25</v>
      </c>
      <c r="AE668">
        <f t="shared" si="192"/>
        <v>2555730</v>
      </c>
      <c r="AF668" s="2">
        <f t="shared" si="196"/>
        <v>34.5</v>
      </c>
      <c r="AG668" t="str">
        <f t="shared" si="186"/>
        <v>102小时</v>
      </c>
      <c r="AH668">
        <f t="shared" si="187"/>
        <v>104</v>
      </c>
      <c r="AI668">
        <f t="shared" si="188"/>
        <v>18</v>
      </c>
      <c r="AJ668">
        <f t="shared" si="193"/>
        <v>60.300000000000004</v>
      </c>
      <c r="AK668">
        <f t="shared" si="189"/>
        <v>31</v>
      </c>
      <c r="AL668">
        <f t="shared" si="194"/>
        <v>34.5</v>
      </c>
      <c r="AM668" s="2">
        <f t="shared" si="190"/>
        <v>18</v>
      </c>
      <c r="AX668">
        <v>665</v>
      </c>
      <c r="AZ668" s="3"/>
      <c r="BB668" s="2">
        <f t="shared" si="191"/>
        <v>175</v>
      </c>
      <c r="BC668">
        <f t="shared" si="195"/>
        <v>14.197866344605474</v>
      </c>
      <c r="BD668" s="2">
        <f t="shared" si="197"/>
        <v>60.300000000000004</v>
      </c>
      <c r="BE668">
        <f t="shared" si="198"/>
        <v>34.5</v>
      </c>
      <c r="BF668">
        <f t="shared" si="199"/>
        <v>198720</v>
      </c>
    </row>
    <row r="669" spans="1:58" ht="14.25" x14ac:dyDescent="0.2">
      <c r="A669" s="11">
        <v>10836</v>
      </c>
      <c r="B669" s="13">
        <f t="shared" si="200"/>
        <v>13</v>
      </c>
      <c r="C669" s="15">
        <f t="shared" si="201"/>
        <v>10</v>
      </c>
      <c r="D669" s="14">
        <f t="shared" si="202"/>
        <v>9</v>
      </c>
      <c r="E669" t="s">
        <v>2777</v>
      </c>
      <c r="F669" t="s">
        <v>2834</v>
      </c>
      <c r="G669" t="s">
        <v>2779</v>
      </c>
      <c r="H669" t="s">
        <v>2779</v>
      </c>
      <c r="I669" t="s">
        <v>2780</v>
      </c>
      <c r="J669" s="4" t="s">
        <v>2840</v>
      </c>
      <c r="K669" t="s">
        <v>182</v>
      </c>
      <c r="L669" t="s">
        <v>163</v>
      </c>
      <c r="M669" t="s">
        <v>163</v>
      </c>
      <c r="N669" t="s">
        <v>163</v>
      </c>
      <c r="O669" s="6" t="s">
        <v>1135</v>
      </c>
      <c r="P669">
        <v>0</v>
      </c>
      <c r="Q669" s="24">
        <v>50.5</v>
      </c>
      <c r="R669" s="25">
        <v>67.5</v>
      </c>
      <c r="S669" s="26">
        <v>48.5</v>
      </c>
      <c r="Y669">
        <v>10</v>
      </c>
      <c r="Z669">
        <v>30</v>
      </c>
      <c r="AA669" s="3">
        <v>25</v>
      </c>
      <c r="AB669" s="3">
        <v>6</v>
      </c>
      <c r="AC669">
        <v>155</v>
      </c>
      <c r="AD669" s="9">
        <f t="shared" si="185"/>
        <v>6137.6666666666661</v>
      </c>
      <c r="AE669">
        <f t="shared" si="192"/>
        <v>2555730</v>
      </c>
      <c r="AF669" s="2">
        <f t="shared" si="196"/>
        <v>34.700000000000003</v>
      </c>
      <c r="AG669" t="str">
        <f t="shared" si="186"/>
        <v>102小时</v>
      </c>
      <c r="AH669">
        <f t="shared" si="187"/>
        <v>105</v>
      </c>
      <c r="AI669">
        <f t="shared" si="188"/>
        <v>18</v>
      </c>
      <c r="AJ669">
        <f t="shared" si="193"/>
        <v>60.6</v>
      </c>
      <c r="AK669">
        <f t="shared" si="189"/>
        <v>31</v>
      </c>
      <c r="AL669">
        <f t="shared" si="194"/>
        <v>34.700000000000003</v>
      </c>
      <c r="AM669" s="2">
        <f t="shared" si="190"/>
        <v>18</v>
      </c>
      <c r="AX669">
        <v>666</v>
      </c>
      <c r="AZ669" s="3"/>
      <c r="BB669" s="2">
        <f t="shared" si="191"/>
        <v>175</v>
      </c>
      <c r="BC669">
        <f t="shared" si="195"/>
        <v>14.116034261927634</v>
      </c>
      <c r="BD669" s="2">
        <f t="shared" si="197"/>
        <v>60.6</v>
      </c>
      <c r="BE669">
        <f t="shared" si="198"/>
        <v>34.700000000000003</v>
      </c>
      <c r="BF669">
        <f t="shared" si="199"/>
        <v>199872</v>
      </c>
    </row>
    <row r="670" spans="1:58" ht="14.25" x14ac:dyDescent="0.2">
      <c r="A670" s="11">
        <v>10837</v>
      </c>
      <c r="B670" s="13">
        <f t="shared" si="200"/>
        <v>13</v>
      </c>
      <c r="C670" s="15">
        <f t="shared" si="201"/>
        <v>10</v>
      </c>
      <c r="D670" s="14">
        <f t="shared" si="202"/>
        <v>9</v>
      </c>
      <c r="E670" t="s">
        <v>2777</v>
      </c>
      <c r="F670" t="s">
        <v>2835</v>
      </c>
      <c r="G670" t="s">
        <v>2779</v>
      </c>
      <c r="H670" t="s">
        <v>2779</v>
      </c>
      <c r="I670" t="s">
        <v>2780</v>
      </c>
      <c r="J670" s="4" t="s">
        <v>2840</v>
      </c>
      <c r="K670" t="s">
        <v>162</v>
      </c>
      <c r="L670" t="s">
        <v>163</v>
      </c>
      <c r="M670" t="s">
        <v>163</v>
      </c>
      <c r="N670" t="s">
        <v>163</v>
      </c>
      <c r="O670" s="6" t="s">
        <v>1135</v>
      </c>
      <c r="P670">
        <v>0</v>
      </c>
      <c r="Q670" s="24">
        <v>50.5</v>
      </c>
      <c r="R670" s="25">
        <v>67.5</v>
      </c>
      <c r="S670" s="26">
        <v>48.5</v>
      </c>
      <c r="Y670">
        <v>10</v>
      </c>
      <c r="Z670">
        <v>30</v>
      </c>
      <c r="AA670" s="3">
        <v>25</v>
      </c>
      <c r="AB670" s="3">
        <v>6</v>
      </c>
      <c r="AC670">
        <v>155</v>
      </c>
      <c r="AD670" s="9">
        <f t="shared" si="185"/>
        <v>6137.6666666666661</v>
      </c>
      <c r="AE670">
        <f t="shared" si="192"/>
        <v>2555730</v>
      </c>
      <c r="AF670" s="2">
        <f t="shared" si="196"/>
        <v>34.700000000000003</v>
      </c>
      <c r="AG670" t="str">
        <f t="shared" si="186"/>
        <v>102小时</v>
      </c>
      <c r="AH670">
        <f t="shared" si="187"/>
        <v>105</v>
      </c>
      <c r="AI670">
        <f t="shared" si="188"/>
        <v>18</v>
      </c>
      <c r="AJ670">
        <f t="shared" si="193"/>
        <v>60.6</v>
      </c>
      <c r="AK670">
        <f t="shared" si="189"/>
        <v>31</v>
      </c>
      <c r="AL670">
        <f t="shared" si="194"/>
        <v>34.700000000000003</v>
      </c>
      <c r="AM670" s="2">
        <f t="shared" si="190"/>
        <v>18</v>
      </c>
      <c r="AX670">
        <v>667</v>
      </c>
      <c r="AZ670" s="3"/>
      <c r="BB670" s="2">
        <f t="shared" si="191"/>
        <v>175</v>
      </c>
      <c r="BC670">
        <f t="shared" si="195"/>
        <v>14.116034261927634</v>
      </c>
      <c r="BD670" s="2">
        <f t="shared" si="197"/>
        <v>60.6</v>
      </c>
      <c r="BE670">
        <f t="shared" si="198"/>
        <v>34.700000000000003</v>
      </c>
      <c r="BF670">
        <f t="shared" si="199"/>
        <v>199872</v>
      </c>
    </row>
    <row r="671" spans="1:58" ht="14.25" x14ac:dyDescent="0.2">
      <c r="A671" s="11">
        <v>10838</v>
      </c>
      <c r="B671" s="13">
        <f t="shared" si="200"/>
        <v>13</v>
      </c>
      <c r="C671" s="15">
        <f t="shared" si="201"/>
        <v>10</v>
      </c>
      <c r="D671" s="14">
        <f t="shared" si="202"/>
        <v>9</v>
      </c>
      <c r="E671" t="s">
        <v>2777</v>
      </c>
      <c r="F671" t="s">
        <v>2836</v>
      </c>
      <c r="G671" t="s">
        <v>2779</v>
      </c>
      <c r="H671" t="s">
        <v>2779</v>
      </c>
      <c r="I671" t="s">
        <v>2780</v>
      </c>
      <c r="J671" s="4" t="s">
        <v>2840</v>
      </c>
      <c r="K671" t="s">
        <v>177</v>
      </c>
      <c r="L671" t="s">
        <v>163</v>
      </c>
      <c r="M671" t="s">
        <v>163</v>
      </c>
      <c r="N671" t="s">
        <v>163</v>
      </c>
      <c r="O671" s="6" t="s">
        <v>1137</v>
      </c>
      <c r="P671">
        <v>0</v>
      </c>
      <c r="Q671" s="24">
        <v>50.5</v>
      </c>
      <c r="R671" s="25">
        <v>67.5</v>
      </c>
      <c r="S671" s="26">
        <v>48.5</v>
      </c>
      <c r="Y671">
        <v>10</v>
      </c>
      <c r="Z671">
        <v>30</v>
      </c>
      <c r="AA671" s="3">
        <v>25</v>
      </c>
      <c r="AB671" s="3">
        <v>6</v>
      </c>
      <c r="AC671">
        <v>155</v>
      </c>
      <c r="AD671" s="9">
        <f t="shared" si="185"/>
        <v>6137.6666666666661</v>
      </c>
      <c r="AE671">
        <f t="shared" si="192"/>
        <v>2555730</v>
      </c>
      <c r="AF671" s="2">
        <f t="shared" si="196"/>
        <v>34.700000000000003</v>
      </c>
      <c r="AG671" t="str">
        <f t="shared" si="186"/>
        <v>102小时</v>
      </c>
      <c r="AH671">
        <f t="shared" si="187"/>
        <v>105</v>
      </c>
      <c r="AI671">
        <f t="shared" si="188"/>
        <v>18</v>
      </c>
      <c r="AJ671">
        <f t="shared" si="193"/>
        <v>60.6</v>
      </c>
      <c r="AK671">
        <f t="shared" si="189"/>
        <v>31</v>
      </c>
      <c r="AL671">
        <f t="shared" si="194"/>
        <v>34.700000000000003</v>
      </c>
      <c r="AM671" s="2">
        <f t="shared" si="190"/>
        <v>18</v>
      </c>
      <c r="AX671">
        <v>668</v>
      </c>
      <c r="AZ671" s="3"/>
      <c r="BB671" s="2">
        <f t="shared" si="191"/>
        <v>175</v>
      </c>
      <c r="BC671">
        <f t="shared" si="195"/>
        <v>14.116034261927634</v>
      </c>
      <c r="BD671" s="2">
        <f t="shared" si="197"/>
        <v>60.6</v>
      </c>
      <c r="BE671">
        <f t="shared" si="198"/>
        <v>34.700000000000003</v>
      </c>
      <c r="BF671">
        <f t="shared" si="199"/>
        <v>199872</v>
      </c>
    </row>
    <row r="672" spans="1:58" ht="14.25" x14ac:dyDescent="0.2">
      <c r="A672" s="11">
        <v>10839</v>
      </c>
      <c r="B672" s="13">
        <f t="shared" si="200"/>
        <v>13</v>
      </c>
      <c r="C672" s="15">
        <f t="shared" si="201"/>
        <v>10</v>
      </c>
      <c r="D672" s="14">
        <f t="shared" si="202"/>
        <v>9</v>
      </c>
      <c r="E672" t="s">
        <v>2777</v>
      </c>
      <c r="F672" t="s">
        <v>2837</v>
      </c>
      <c r="G672" t="s">
        <v>2779</v>
      </c>
      <c r="H672" t="s">
        <v>2779</v>
      </c>
      <c r="I672" t="s">
        <v>2780</v>
      </c>
      <c r="J672" s="4" t="s">
        <v>2840</v>
      </c>
      <c r="K672" t="s">
        <v>174</v>
      </c>
      <c r="L672" t="s">
        <v>163</v>
      </c>
      <c r="M672" t="s">
        <v>163</v>
      </c>
      <c r="N672" t="s">
        <v>163</v>
      </c>
      <c r="O672" s="6" t="s">
        <v>1139</v>
      </c>
      <c r="P672">
        <v>0</v>
      </c>
      <c r="Q672" s="24">
        <v>50.5</v>
      </c>
      <c r="R672" s="25">
        <v>67.5</v>
      </c>
      <c r="S672" s="26">
        <v>48.5</v>
      </c>
      <c r="Y672">
        <v>10</v>
      </c>
      <c r="Z672">
        <v>30</v>
      </c>
      <c r="AA672" s="3">
        <v>25</v>
      </c>
      <c r="AB672" s="3">
        <v>6</v>
      </c>
      <c r="AC672">
        <v>155</v>
      </c>
      <c r="AD672" s="9">
        <f t="shared" si="185"/>
        <v>6137.6666666666661</v>
      </c>
      <c r="AE672">
        <f t="shared" si="192"/>
        <v>2555730</v>
      </c>
      <c r="AF672" s="2">
        <f t="shared" si="196"/>
        <v>34.700000000000003</v>
      </c>
      <c r="AG672" t="str">
        <f t="shared" si="186"/>
        <v>102小时</v>
      </c>
      <c r="AH672">
        <f t="shared" si="187"/>
        <v>105</v>
      </c>
      <c r="AI672">
        <f t="shared" si="188"/>
        <v>18</v>
      </c>
      <c r="AJ672">
        <f t="shared" si="193"/>
        <v>60.6</v>
      </c>
      <c r="AK672">
        <f t="shared" si="189"/>
        <v>31</v>
      </c>
      <c r="AL672">
        <f t="shared" si="194"/>
        <v>34.700000000000003</v>
      </c>
      <c r="AM672" s="2">
        <f t="shared" si="190"/>
        <v>18</v>
      </c>
      <c r="AX672">
        <v>669</v>
      </c>
      <c r="AZ672" s="3"/>
      <c r="BB672" s="2">
        <f t="shared" si="191"/>
        <v>175</v>
      </c>
      <c r="BC672">
        <f t="shared" si="195"/>
        <v>14.116034261927634</v>
      </c>
      <c r="BD672" s="2">
        <f t="shared" si="197"/>
        <v>60.6</v>
      </c>
      <c r="BE672">
        <f t="shared" si="198"/>
        <v>34.700000000000003</v>
      </c>
      <c r="BF672">
        <f t="shared" si="199"/>
        <v>199872</v>
      </c>
    </row>
    <row r="673" spans="1:58" ht="14.25" x14ac:dyDescent="0.2">
      <c r="A673" s="11">
        <v>10840</v>
      </c>
      <c r="B673" s="13">
        <f t="shared" si="200"/>
        <v>13</v>
      </c>
      <c r="C673" s="15">
        <f t="shared" si="201"/>
        <v>10</v>
      </c>
      <c r="D673" s="14">
        <f t="shared" si="202"/>
        <v>9</v>
      </c>
      <c r="E673" t="s">
        <v>2785</v>
      </c>
      <c r="F673" t="s">
        <v>2786</v>
      </c>
      <c r="G673" t="s">
        <v>2832</v>
      </c>
      <c r="H673" t="s">
        <v>2829</v>
      </c>
      <c r="I673" t="s">
        <v>2697</v>
      </c>
      <c r="J673" s="4" t="s">
        <v>2860</v>
      </c>
      <c r="K673" t="s">
        <v>166</v>
      </c>
      <c r="L673" t="s">
        <v>163</v>
      </c>
      <c r="M673" t="s">
        <v>163</v>
      </c>
      <c r="N673" t="s">
        <v>163</v>
      </c>
      <c r="O673" s="6" t="s">
        <v>1139</v>
      </c>
      <c r="P673">
        <v>0</v>
      </c>
      <c r="Q673" s="24">
        <v>50.5</v>
      </c>
      <c r="R673" s="25">
        <v>67.5</v>
      </c>
      <c r="S673" s="26">
        <v>48.5</v>
      </c>
      <c r="Y673">
        <v>10</v>
      </c>
      <c r="Z673">
        <v>30</v>
      </c>
      <c r="AA673" s="3">
        <v>25</v>
      </c>
      <c r="AB673" s="3">
        <v>6</v>
      </c>
      <c r="AC673">
        <v>155</v>
      </c>
      <c r="AD673" s="9">
        <f t="shared" si="185"/>
        <v>6137.6666666666661</v>
      </c>
      <c r="AE673">
        <f t="shared" si="192"/>
        <v>2555730</v>
      </c>
      <c r="AF673" s="2">
        <f t="shared" si="196"/>
        <v>34.700000000000003</v>
      </c>
      <c r="AG673" t="str">
        <f t="shared" si="186"/>
        <v>102小时</v>
      </c>
      <c r="AH673">
        <f t="shared" si="187"/>
        <v>105</v>
      </c>
      <c r="AI673">
        <f t="shared" si="188"/>
        <v>18</v>
      </c>
      <c r="AJ673">
        <f t="shared" si="193"/>
        <v>60.6</v>
      </c>
      <c r="AK673">
        <f t="shared" si="189"/>
        <v>31</v>
      </c>
      <c r="AL673">
        <f t="shared" si="194"/>
        <v>34.700000000000003</v>
      </c>
      <c r="AM673" s="2">
        <f t="shared" si="190"/>
        <v>18</v>
      </c>
      <c r="AX673">
        <v>670</v>
      </c>
      <c r="AZ673" s="3"/>
      <c r="BB673" s="2">
        <f t="shared" si="191"/>
        <v>180</v>
      </c>
      <c r="BC673">
        <f t="shared" si="195"/>
        <v>17.035702849823888</v>
      </c>
      <c r="BD673" s="2">
        <f t="shared" si="197"/>
        <v>60.6</v>
      </c>
      <c r="BE673">
        <f t="shared" si="198"/>
        <v>34.700000000000003</v>
      </c>
      <c r="BF673">
        <f t="shared" si="199"/>
        <v>199872</v>
      </c>
    </row>
    <row r="674" spans="1:58" ht="14.25" x14ac:dyDescent="0.2">
      <c r="A674" s="11">
        <v>10841</v>
      </c>
      <c r="B674" s="13">
        <f t="shared" si="200"/>
        <v>13</v>
      </c>
      <c r="C674" s="15">
        <f t="shared" si="201"/>
        <v>10</v>
      </c>
      <c r="D674" s="14">
        <f t="shared" si="202"/>
        <v>9</v>
      </c>
      <c r="E674" t="s">
        <v>2777</v>
      </c>
      <c r="F674" t="s">
        <v>2834</v>
      </c>
      <c r="G674" t="s">
        <v>2779</v>
      </c>
      <c r="H674" t="s">
        <v>2779</v>
      </c>
      <c r="I674" t="s">
        <v>2780</v>
      </c>
      <c r="J674" s="4" t="s">
        <v>2840</v>
      </c>
      <c r="K674" t="s">
        <v>168</v>
      </c>
      <c r="L674" t="s">
        <v>163</v>
      </c>
      <c r="M674" t="s">
        <v>163</v>
      </c>
      <c r="N674" t="s">
        <v>163</v>
      </c>
      <c r="O674" s="6" t="s">
        <v>1141</v>
      </c>
      <c r="P674">
        <v>0</v>
      </c>
      <c r="Q674" s="24">
        <v>50.8</v>
      </c>
      <c r="R674" s="25">
        <v>68</v>
      </c>
      <c r="S674" s="26">
        <v>48.8</v>
      </c>
      <c r="Y674">
        <v>10</v>
      </c>
      <c r="Z674">
        <v>30</v>
      </c>
      <c r="AA674" s="3">
        <v>25</v>
      </c>
      <c r="AB674" s="3">
        <v>6</v>
      </c>
      <c r="AC674">
        <v>155</v>
      </c>
      <c r="AD674" s="9">
        <f t="shared" si="185"/>
        <v>6085</v>
      </c>
      <c r="AE674">
        <f t="shared" si="192"/>
        <v>2555730</v>
      </c>
      <c r="AF674" s="2">
        <f t="shared" si="196"/>
        <v>35</v>
      </c>
      <c r="AG674" t="str">
        <f t="shared" si="186"/>
        <v>101小时</v>
      </c>
      <c r="AH674">
        <f t="shared" si="187"/>
        <v>105</v>
      </c>
      <c r="AI674">
        <f t="shared" si="188"/>
        <v>18</v>
      </c>
      <c r="AJ674">
        <f t="shared" si="193"/>
        <v>61</v>
      </c>
      <c r="AK674">
        <f t="shared" si="189"/>
        <v>31</v>
      </c>
      <c r="AL674">
        <f t="shared" si="194"/>
        <v>35</v>
      </c>
      <c r="AM674" s="2">
        <f t="shared" si="190"/>
        <v>18</v>
      </c>
      <c r="AX674">
        <v>671</v>
      </c>
      <c r="AZ674" s="3"/>
      <c r="BB674" s="2">
        <f t="shared" si="191"/>
        <v>180</v>
      </c>
      <c r="BC674">
        <f t="shared" si="195"/>
        <v>16.889682539682539</v>
      </c>
      <c r="BD674" s="2">
        <f t="shared" si="197"/>
        <v>61</v>
      </c>
      <c r="BE674">
        <f t="shared" si="198"/>
        <v>35</v>
      </c>
      <c r="BF674">
        <f t="shared" si="199"/>
        <v>201600</v>
      </c>
    </row>
    <row r="675" spans="1:58" ht="14.25" x14ac:dyDescent="0.2">
      <c r="A675" s="11">
        <v>10842</v>
      </c>
      <c r="B675" s="13">
        <f t="shared" si="200"/>
        <v>13</v>
      </c>
      <c r="C675" s="15">
        <f t="shared" si="201"/>
        <v>10</v>
      </c>
      <c r="D675" s="14">
        <f t="shared" si="202"/>
        <v>9</v>
      </c>
      <c r="E675" t="s">
        <v>2777</v>
      </c>
      <c r="F675" t="s">
        <v>2835</v>
      </c>
      <c r="G675" t="s">
        <v>2779</v>
      </c>
      <c r="H675" t="s">
        <v>2779</v>
      </c>
      <c r="I675" t="s">
        <v>2780</v>
      </c>
      <c r="J675" s="4" t="s">
        <v>2840</v>
      </c>
      <c r="K675" t="s">
        <v>175</v>
      </c>
      <c r="L675" t="s">
        <v>164</v>
      </c>
      <c r="M675" t="s">
        <v>163</v>
      </c>
      <c r="N675" t="s">
        <v>167</v>
      </c>
      <c r="O675" s="6" t="s">
        <v>1143</v>
      </c>
      <c r="P675">
        <v>0</v>
      </c>
      <c r="Q675" s="24">
        <v>50.8</v>
      </c>
      <c r="R675" s="25">
        <v>68</v>
      </c>
      <c r="S675" s="26">
        <v>48.8</v>
      </c>
      <c r="Y675">
        <v>10</v>
      </c>
      <c r="Z675">
        <v>30</v>
      </c>
      <c r="AA675" s="3">
        <v>25</v>
      </c>
      <c r="AB675" s="3">
        <v>6</v>
      </c>
      <c r="AC675">
        <v>155</v>
      </c>
      <c r="AD675" s="9">
        <f t="shared" si="185"/>
        <v>6085</v>
      </c>
      <c r="AE675">
        <f t="shared" si="192"/>
        <v>2555730</v>
      </c>
      <c r="AF675" s="2">
        <f t="shared" si="196"/>
        <v>35</v>
      </c>
      <c r="AG675" t="str">
        <f t="shared" si="186"/>
        <v>101小时</v>
      </c>
      <c r="AH675">
        <f t="shared" si="187"/>
        <v>105</v>
      </c>
      <c r="AI675">
        <f t="shared" si="188"/>
        <v>18</v>
      </c>
      <c r="AJ675">
        <f t="shared" si="193"/>
        <v>61</v>
      </c>
      <c r="AK675">
        <f t="shared" si="189"/>
        <v>31</v>
      </c>
      <c r="AL675">
        <f t="shared" si="194"/>
        <v>35</v>
      </c>
      <c r="AM675" s="2">
        <f t="shared" si="190"/>
        <v>18</v>
      </c>
      <c r="AX675">
        <v>672</v>
      </c>
      <c r="AZ675" s="3"/>
      <c r="BB675" s="2">
        <f t="shared" si="191"/>
        <v>180</v>
      </c>
      <c r="BC675">
        <f t="shared" si="195"/>
        <v>16.889682539682539</v>
      </c>
      <c r="BD675" s="2">
        <f t="shared" si="197"/>
        <v>61</v>
      </c>
      <c r="BE675">
        <f t="shared" si="198"/>
        <v>35</v>
      </c>
      <c r="BF675">
        <f t="shared" si="199"/>
        <v>201600</v>
      </c>
    </row>
    <row r="676" spans="1:58" ht="14.25" x14ac:dyDescent="0.2">
      <c r="A676" s="11">
        <v>10843</v>
      </c>
      <c r="B676" s="13">
        <f t="shared" si="200"/>
        <v>13</v>
      </c>
      <c r="C676" s="15">
        <f t="shared" si="201"/>
        <v>10</v>
      </c>
      <c r="D676" s="14">
        <f t="shared" si="202"/>
        <v>9</v>
      </c>
      <c r="E676" t="s">
        <v>2777</v>
      </c>
      <c r="F676" t="s">
        <v>2836</v>
      </c>
      <c r="G676" t="s">
        <v>2779</v>
      </c>
      <c r="H676" t="s">
        <v>2779</v>
      </c>
      <c r="I676" t="s">
        <v>2780</v>
      </c>
      <c r="J676" s="4" t="s">
        <v>2840</v>
      </c>
      <c r="K676" t="s">
        <v>179</v>
      </c>
      <c r="L676" t="s">
        <v>163</v>
      </c>
      <c r="M676" t="s">
        <v>163</v>
      </c>
      <c r="N676" t="s">
        <v>163</v>
      </c>
      <c r="O676" s="6" t="s">
        <v>1145</v>
      </c>
      <c r="P676">
        <v>0</v>
      </c>
      <c r="Q676" s="24">
        <v>50.8</v>
      </c>
      <c r="R676" s="25">
        <v>68</v>
      </c>
      <c r="S676" s="26">
        <v>48.8</v>
      </c>
      <c r="Y676">
        <v>10</v>
      </c>
      <c r="Z676">
        <v>30</v>
      </c>
      <c r="AA676" s="3">
        <v>25</v>
      </c>
      <c r="AB676" s="3">
        <v>6</v>
      </c>
      <c r="AC676">
        <v>155</v>
      </c>
      <c r="AD676" s="9">
        <f t="shared" si="185"/>
        <v>6085</v>
      </c>
      <c r="AE676">
        <f t="shared" si="192"/>
        <v>2555730</v>
      </c>
      <c r="AF676" s="2">
        <f t="shared" si="196"/>
        <v>35</v>
      </c>
      <c r="AG676" t="str">
        <f t="shared" si="186"/>
        <v>101小时</v>
      </c>
      <c r="AH676">
        <f t="shared" si="187"/>
        <v>105</v>
      </c>
      <c r="AI676">
        <f t="shared" si="188"/>
        <v>18</v>
      </c>
      <c r="AJ676">
        <f t="shared" si="193"/>
        <v>61</v>
      </c>
      <c r="AK676">
        <f t="shared" si="189"/>
        <v>31</v>
      </c>
      <c r="AL676">
        <f t="shared" si="194"/>
        <v>35</v>
      </c>
      <c r="AM676" s="2">
        <f t="shared" si="190"/>
        <v>18</v>
      </c>
      <c r="AX676">
        <v>673</v>
      </c>
      <c r="AZ676" s="3"/>
      <c r="BB676" s="2">
        <f t="shared" si="191"/>
        <v>180</v>
      </c>
      <c r="BC676">
        <f t="shared" si="195"/>
        <v>16.889682539682539</v>
      </c>
      <c r="BD676" s="2">
        <f t="shared" si="197"/>
        <v>61</v>
      </c>
      <c r="BE676">
        <f t="shared" si="198"/>
        <v>35</v>
      </c>
      <c r="BF676">
        <f t="shared" si="199"/>
        <v>201600</v>
      </c>
    </row>
    <row r="677" spans="1:58" ht="14.25" x14ac:dyDescent="0.2">
      <c r="A677" s="11">
        <v>10844</v>
      </c>
      <c r="B677" s="13">
        <f t="shared" si="200"/>
        <v>13</v>
      </c>
      <c r="C677" s="15">
        <f t="shared" si="201"/>
        <v>10</v>
      </c>
      <c r="D677" s="14">
        <f t="shared" si="202"/>
        <v>9</v>
      </c>
      <c r="E677" t="s">
        <v>2777</v>
      </c>
      <c r="F677" t="s">
        <v>2837</v>
      </c>
      <c r="G677" t="s">
        <v>2779</v>
      </c>
      <c r="H677" t="s">
        <v>2779</v>
      </c>
      <c r="I677" t="s">
        <v>2780</v>
      </c>
      <c r="J677" s="4" t="s">
        <v>2840</v>
      </c>
      <c r="K677" t="s">
        <v>177</v>
      </c>
      <c r="L677" t="s">
        <v>163</v>
      </c>
      <c r="M677" t="s">
        <v>163</v>
      </c>
      <c r="N677" t="s">
        <v>163</v>
      </c>
      <c r="O677" s="6" t="s">
        <v>1145</v>
      </c>
      <c r="P677">
        <v>0</v>
      </c>
      <c r="Q677" s="24">
        <v>50.8</v>
      </c>
      <c r="R677" s="25">
        <v>68</v>
      </c>
      <c r="S677" s="26">
        <v>48.8</v>
      </c>
      <c r="Y677">
        <v>10</v>
      </c>
      <c r="Z677">
        <v>30</v>
      </c>
      <c r="AA677" s="3">
        <v>25</v>
      </c>
      <c r="AB677" s="3">
        <v>6</v>
      </c>
      <c r="AC677">
        <v>155</v>
      </c>
      <c r="AD677" s="9">
        <f t="shared" si="185"/>
        <v>6085</v>
      </c>
      <c r="AE677">
        <f t="shared" si="192"/>
        <v>2555730</v>
      </c>
      <c r="AF677" s="2">
        <f t="shared" si="196"/>
        <v>35</v>
      </c>
      <c r="AG677" t="str">
        <f t="shared" si="186"/>
        <v>101小时</v>
      </c>
      <c r="AH677">
        <f t="shared" si="187"/>
        <v>105</v>
      </c>
      <c r="AI677">
        <f t="shared" si="188"/>
        <v>18</v>
      </c>
      <c r="AJ677">
        <f t="shared" si="193"/>
        <v>61</v>
      </c>
      <c r="AK677">
        <f t="shared" si="189"/>
        <v>31</v>
      </c>
      <c r="AL677">
        <f t="shared" si="194"/>
        <v>35</v>
      </c>
      <c r="AM677" s="2">
        <f t="shared" si="190"/>
        <v>18</v>
      </c>
      <c r="AX677">
        <v>674</v>
      </c>
      <c r="AZ677" s="3"/>
      <c r="BB677" s="2">
        <f t="shared" si="191"/>
        <v>180</v>
      </c>
      <c r="BC677">
        <f t="shared" si="195"/>
        <v>16.889682539682539</v>
      </c>
      <c r="BD677" s="2">
        <f t="shared" si="197"/>
        <v>61</v>
      </c>
      <c r="BE677">
        <f t="shared" si="198"/>
        <v>35</v>
      </c>
      <c r="BF677">
        <f t="shared" si="199"/>
        <v>201600</v>
      </c>
    </row>
    <row r="678" spans="1:58" ht="14.25" x14ac:dyDescent="0.2">
      <c r="A678" s="11">
        <v>10845</v>
      </c>
      <c r="B678" s="13">
        <f t="shared" si="200"/>
        <v>13</v>
      </c>
      <c r="C678" s="15">
        <f t="shared" si="201"/>
        <v>10</v>
      </c>
      <c r="D678" s="14">
        <f t="shared" si="202"/>
        <v>9</v>
      </c>
      <c r="E678" t="s">
        <v>2785</v>
      </c>
      <c r="F678" t="s">
        <v>2786</v>
      </c>
      <c r="G678" t="s">
        <v>2833</v>
      </c>
      <c r="H678" t="s">
        <v>2829</v>
      </c>
      <c r="I678" t="s">
        <v>2697</v>
      </c>
      <c r="J678" s="4" t="s">
        <v>2878</v>
      </c>
      <c r="K678" t="s">
        <v>174</v>
      </c>
      <c r="L678" t="s">
        <v>163</v>
      </c>
      <c r="M678" t="s">
        <v>163</v>
      </c>
      <c r="N678" t="s">
        <v>163</v>
      </c>
      <c r="O678" s="6" t="s">
        <v>1147</v>
      </c>
      <c r="P678">
        <v>0</v>
      </c>
      <c r="Q678" s="24">
        <v>50.8</v>
      </c>
      <c r="R678" s="25">
        <v>68</v>
      </c>
      <c r="S678" s="26">
        <v>48.8</v>
      </c>
      <c r="Y678">
        <v>10</v>
      </c>
      <c r="Z678">
        <v>30</v>
      </c>
      <c r="AA678" s="3">
        <v>25</v>
      </c>
      <c r="AB678" s="3">
        <v>6</v>
      </c>
      <c r="AC678">
        <v>155</v>
      </c>
      <c r="AD678" s="9">
        <f t="shared" si="185"/>
        <v>6085</v>
      </c>
      <c r="AE678">
        <f t="shared" si="192"/>
        <v>2555730</v>
      </c>
      <c r="AF678" s="2">
        <f t="shared" si="196"/>
        <v>35</v>
      </c>
      <c r="AG678" t="str">
        <f t="shared" si="186"/>
        <v>101小时</v>
      </c>
      <c r="AH678">
        <f t="shared" si="187"/>
        <v>105</v>
      </c>
      <c r="AI678">
        <f t="shared" si="188"/>
        <v>18</v>
      </c>
      <c r="AJ678">
        <f t="shared" si="193"/>
        <v>61</v>
      </c>
      <c r="AK678">
        <f t="shared" si="189"/>
        <v>31</v>
      </c>
      <c r="AL678">
        <f t="shared" si="194"/>
        <v>35</v>
      </c>
      <c r="AM678" s="2">
        <f t="shared" si="190"/>
        <v>18</v>
      </c>
      <c r="AX678">
        <v>675</v>
      </c>
      <c r="AZ678" s="3"/>
      <c r="BB678" s="2">
        <f t="shared" si="191"/>
        <v>180</v>
      </c>
      <c r="BC678">
        <f t="shared" si="195"/>
        <v>16.889682539682539</v>
      </c>
      <c r="BD678" s="2">
        <f t="shared" si="197"/>
        <v>61</v>
      </c>
      <c r="BE678">
        <f t="shared" si="198"/>
        <v>35</v>
      </c>
      <c r="BF678">
        <f t="shared" si="199"/>
        <v>201600</v>
      </c>
    </row>
    <row r="679" spans="1:58" ht="14.25" x14ac:dyDescent="0.2">
      <c r="A679" s="11">
        <v>10846</v>
      </c>
      <c r="B679" s="13">
        <f t="shared" si="200"/>
        <v>13</v>
      </c>
      <c r="C679" s="15">
        <f t="shared" si="201"/>
        <v>10</v>
      </c>
      <c r="D679" s="14">
        <f t="shared" si="202"/>
        <v>9</v>
      </c>
      <c r="E679" t="s">
        <v>2777</v>
      </c>
      <c r="F679" t="s">
        <v>2834</v>
      </c>
      <c r="G679" t="s">
        <v>2779</v>
      </c>
      <c r="H679" t="s">
        <v>2779</v>
      </c>
      <c r="I679" t="s">
        <v>2780</v>
      </c>
      <c r="J679" s="4" t="s">
        <v>2840</v>
      </c>
      <c r="K679" t="s">
        <v>182</v>
      </c>
      <c r="L679" t="s">
        <v>163</v>
      </c>
      <c r="M679" t="s">
        <v>163</v>
      </c>
      <c r="N679" t="s">
        <v>163</v>
      </c>
      <c r="O679" s="6" t="s">
        <v>1149</v>
      </c>
      <c r="P679">
        <v>0</v>
      </c>
      <c r="Q679" s="24">
        <v>51.2</v>
      </c>
      <c r="R679" s="25">
        <v>68.5</v>
      </c>
      <c r="S679" s="26">
        <v>49</v>
      </c>
      <c r="Y679">
        <v>10</v>
      </c>
      <c r="Z679">
        <v>30</v>
      </c>
      <c r="AA679" s="3">
        <v>25</v>
      </c>
      <c r="AB679" s="3">
        <v>6</v>
      </c>
      <c r="AC679">
        <v>155</v>
      </c>
      <c r="AD679" s="9">
        <f t="shared" si="185"/>
        <v>6050.4166666666661</v>
      </c>
      <c r="AE679">
        <f t="shared" si="192"/>
        <v>2555730</v>
      </c>
      <c r="AF679" s="2">
        <f t="shared" si="196"/>
        <v>35.200000000000003</v>
      </c>
      <c r="AG679" t="str">
        <f t="shared" si="186"/>
        <v>100小时</v>
      </c>
      <c r="AH679">
        <f t="shared" si="187"/>
        <v>106</v>
      </c>
      <c r="AI679">
        <f t="shared" si="188"/>
        <v>18</v>
      </c>
      <c r="AJ679">
        <f t="shared" si="193"/>
        <v>61.3</v>
      </c>
      <c r="AK679">
        <f t="shared" si="189"/>
        <v>31</v>
      </c>
      <c r="AL679">
        <f t="shared" si="194"/>
        <v>35.200000000000003</v>
      </c>
      <c r="AM679" s="2">
        <f t="shared" si="190"/>
        <v>18</v>
      </c>
      <c r="AX679">
        <v>676</v>
      </c>
      <c r="AZ679" s="3"/>
      <c r="BB679" s="2">
        <f t="shared" si="191"/>
        <v>180</v>
      </c>
      <c r="BC679">
        <f t="shared" si="195"/>
        <v>16.793718434343436</v>
      </c>
      <c r="BD679" s="2">
        <f t="shared" si="197"/>
        <v>61.3</v>
      </c>
      <c r="BE679">
        <f t="shared" si="198"/>
        <v>35.200000000000003</v>
      </c>
      <c r="BF679">
        <f t="shared" si="199"/>
        <v>202752</v>
      </c>
    </row>
    <row r="680" spans="1:58" ht="14.25" x14ac:dyDescent="0.2">
      <c r="A680" s="11">
        <v>10847</v>
      </c>
      <c r="B680" s="13">
        <f t="shared" si="200"/>
        <v>13</v>
      </c>
      <c r="C680" s="15">
        <f t="shared" si="201"/>
        <v>10</v>
      </c>
      <c r="D680" s="14">
        <f t="shared" si="202"/>
        <v>9</v>
      </c>
      <c r="E680" t="s">
        <v>2777</v>
      </c>
      <c r="F680" t="s">
        <v>2835</v>
      </c>
      <c r="G680" t="s">
        <v>2779</v>
      </c>
      <c r="H680" t="s">
        <v>2779</v>
      </c>
      <c r="I680" t="s">
        <v>2780</v>
      </c>
      <c r="J680" s="4" t="s">
        <v>2840</v>
      </c>
      <c r="K680" t="s">
        <v>162</v>
      </c>
      <c r="L680" t="s">
        <v>163</v>
      </c>
      <c r="M680" t="s">
        <v>163</v>
      </c>
      <c r="N680" t="s">
        <v>163</v>
      </c>
      <c r="O680" s="6" t="s">
        <v>1149</v>
      </c>
      <c r="P680">
        <v>0</v>
      </c>
      <c r="Q680" s="24">
        <v>51.2</v>
      </c>
      <c r="R680" s="25">
        <v>68.5</v>
      </c>
      <c r="S680" s="26">
        <v>49</v>
      </c>
      <c r="Y680">
        <v>10</v>
      </c>
      <c r="Z680">
        <v>30</v>
      </c>
      <c r="AA680" s="3">
        <v>25</v>
      </c>
      <c r="AB680" s="3">
        <v>6</v>
      </c>
      <c r="AC680">
        <v>155</v>
      </c>
      <c r="AD680" s="9">
        <f t="shared" si="185"/>
        <v>6050.4166666666661</v>
      </c>
      <c r="AE680">
        <f t="shared" si="192"/>
        <v>2555730</v>
      </c>
      <c r="AF680" s="2">
        <f t="shared" si="196"/>
        <v>35.200000000000003</v>
      </c>
      <c r="AG680" t="str">
        <f t="shared" si="186"/>
        <v>100小时</v>
      </c>
      <c r="AH680">
        <f t="shared" si="187"/>
        <v>106</v>
      </c>
      <c r="AI680">
        <f t="shared" si="188"/>
        <v>18</v>
      </c>
      <c r="AJ680">
        <f t="shared" si="193"/>
        <v>61.3</v>
      </c>
      <c r="AK680">
        <f t="shared" si="189"/>
        <v>31</v>
      </c>
      <c r="AL680">
        <f t="shared" si="194"/>
        <v>35.200000000000003</v>
      </c>
      <c r="AM680" s="2">
        <f t="shared" si="190"/>
        <v>18</v>
      </c>
      <c r="AX680">
        <v>677</v>
      </c>
      <c r="AZ680" s="3"/>
      <c r="BB680" s="2">
        <f t="shared" si="191"/>
        <v>180</v>
      </c>
      <c r="BC680">
        <f t="shared" si="195"/>
        <v>16.793718434343436</v>
      </c>
      <c r="BD680" s="2">
        <f t="shared" si="197"/>
        <v>61.3</v>
      </c>
      <c r="BE680">
        <f t="shared" si="198"/>
        <v>35.200000000000003</v>
      </c>
      <c r="BF680">
        <f t="shared" si="199"/>
        <v>202752</v>
      </c>
    </row>
    <row r="681" spans="1:58" ht="14.25" x14ac:dyDescent="0.2">
      <c r="A681" s="11">
        <v>10848</v>
      </c>
      <c r="B681" s="13">
        <f t="shared" si="200"/>
        <v>13</v>
      </c>
      <c r="C681" s="15">
        <f t="shared" si="201"/>
        <v>10</v>
      </c>
      <c r="D681" s="14">
        <f t="shared" si="202"/>
        <v>9</v>
      </c>
      <c r="E681" t="s">
        <v>2777</v>
      </c>
      <c r="F681" t="s">
        <v>2836</v>
      </c>
      <c r="G681" t="s">
        <v>2779</v>
      </c>
      <c r="H681" t="s">
        <v>2779</v>
      </c>
      <c r="I681" t="s">
        <v>2780</v>
      </c>
      <c r="J681" s="4" t="s">
        <v>2840</v>
      </c>
      <c r="K681" t="s">
        <v>177</v>
      </c>
      <c r="L681" t="s">
        <v>163</v>
      </c>
      <c r="M681" t="s">
        <v>163</v>
      </c>
      <c r="N681" t="s">
        <v>163</v>
      </c>
      <c r="O681" s="6" t="s">
        <v>1151</v>
      </c>
      <c r="P681">
        <v>0</v>
      </c>
      <c r="Q681" s="24">
        <v>51.2</v>
      </c>
      <c r="R681" s="25">
        <v>68.5</v>
      </c>
      <c r="S681" s="26">
        <v>49</v>
      </c>
      <c r="Y681">
        <v>10</v>
      </c>
      <c r="Z681">
        <v>30</v>
      </c>
      <c r="AA681" s="3">
        <v>25</v>
      </c>
      <c r="AB681" s="3">
        <v>6</v>
      </c>
      <c r="AC681">
        <v>155</v>
      </c>
      <c r="AD681" s="9">
        <f t="shared" si="185"/>
        <v>6050.4166666666661</v>
      </c>
      <c r="AE681">
        <f t="shared" si="192"/>
        <v>2555730</v>
      </c>
      <c r="AF681" s="2">
        <f t="shared" si="196"/>
        <v>35.200000000000003</v>
      </c>
      <c r="AG681" t="str">
        <f t="shared" si="186"/>
        <v>100小时</v>
      </c>
      <c r="AH681">
        <f t="shared" si="187"/>
        <v>106</v>
      </c>
      <c r="AI681">
        <f t="shared" si="188"/>
        <v>18</v>
      </c>
      <c r="AJ681">
        <f t="shared" si="193"/>
        <v>61.3</v>
      </c>
      <c r="AK681">
        <f t="shared" si="189"/>
        <v>31</v>
      </c>
      <c r="AL681">
        <f t="shared" si="194"/>
        <v>35.200000000000003</v>
      </c>
      <c r="AM681" s="2">
        <f t="shared" si="190"/>
        <v>18</v>
      </c>
      <c r="AX681">
        <v>678</v>
      </c>
      <c r="AZ681" s="3"/>
      <c r="BB681" s="2">
        <f t="shared" si="191"/>
        <v>180</v>
      </c>
      <c r="BC681">
        <f t="shared" si="195"/>
        <v>16.793718434343436</v>
      </c>
      <c r="BD681" s="2">
        <f t="shared" si="197"/>
        <v>61.3</v>
      </c>
      <c r="BE681">
        <f t="shared" si="198"/>
        <v>35.200000000000003</v>
      </c>
      <c r="BF681">
        <f t="shared" si="199"/>
        <v>202752</v>
      </c>
    </row>
    <row r="682" spans="1:58" ht="14.25" x14ac:dyDescent="0.2">
      <c r="A682" s="11">
        <v>10849</v>
      </c>
      <c r="B682" s="13">
        <f t="shared" si="200"/>
        <v>13</v>
      </c>
      <c r="C682" s="15">
        <f t="shared" si="201"/>
        <v>10</v>
      </c>
      <c r="D682" s="14">
        <f t="shared" si="202"/>
        <v>9</v>
      </c>
      <c r="E682" t="s">
        <v>2777</v>
      </c>
      <c r="F682" t="s">
        <v>2837</v>
      </c>
      <c r="G682" t="s">
        <v>2779</v>
      </c>
      <c r="H682" t="s">
        <v>2779</v>
      </c>
      <c r="I682" t="s">
        <v>2780</v>
      </c>
      <c r="J682" s="4" t="s">
        <v>2840</v>
      </c>
      <c r="K682" t="s">
        <v>174</v>
      </c>
      <c r="L682" t="s">
        <v>163</v>
      </c>
      <c r="M682" t="s">
        <v>163</v>
      </c>
      <c r="N682" t="s">
        <v>163</v>
      </c>
      <c r="O682" s="6" t="s">
        <v>1153</v>
      </c>
      <c r="P682">
        <v>0</v>
      </c>
      <c r="Q682" s="24">
        <v>51.2</v>
      </c>
      <c r="R682" s="25">
        <v>68.5</v>
      </c>
      <c r="S682" s="26">
        <v>49</v>
      </c>
      <c r="Y682">
        <v>10</v>
      </c>
      <c r="Z682">
        <v>30</v>
      </c>
      <c r="AA682" s="3">
        <v>25</v>
      </c>
      <c r="AB682" s="3">
        <v>6</v>
      </c>
      <c r="AC682">
        <v>155</v>
      </c>
      <c r="AD682" s="9">
        <f t="shared" si="185"/>
        <v>6050.4166666666661</v>
      </c>
      <c r="AE682">
        <f t="shared" si="192"/>
        <v>2555730</v>
      </c>
      <c r="AF682" s="2">
        <f t="shared" si="196"/>
        <v>35.200000000000003</v>
      </c>
      <c r="AG682" t="str">
        <f t="shared" si="186"/>
        <v>100小时</v>
      </c>
      <c r="AH682">
        <f t="shared" si="187"/>
        <v>106</v>
      </c>
      <c r="AI682">
        <f t="shared" si="188"/>
        <v>18</v>
      </c>
      <c r="AJ682">
        <f t="shared" si="193"/>
        <v>61.3</v>
      </c>
      <c r="AK682">
        <f t="shared" si="189"/>
        <v>31</v>
      </c>
      <c r="AL682">
        <f t="shared" si="194"/>
        <v>35.200000000000003</v>
      </c>
      <c r="AM682" s="2">
        <f t="shared" si="190"/>
        <v>18</v>
      </c>
      <c r="AX682">
        <v>679</v>
      </c>
      <c r="AZ682" s="3"/>
      <c r="BB682" s="2">
        <f t="shared" si="191"/>
        <v>180</v>
      </c>
      <c r="BC682">
        <f t="shared" si="195"/>
        <v>16.793718434343436</v>
      </c>
      <c r="BD682" s="2">
        <f t="shared" si="197"/>
        <v>61.3</v>
      </c>
      <c r="BE682">
        <f t="shared" si="198"/>
        <v>35.200000000000003</v>
      </c>
      <c r="BF682">
        <f t="shared" si="199"/>
        <v>202752</v>
      </c>
    </row>
    <row r="683" spans="1:58" ht="14.25" x14ac:dyDescent="0.2">
      <c r="A683" s="11">
        <v>10850</v>
      </c>
      <c r="B683" s="13">
        <f t="shared" si="200"/>
        <v>13</v>
      </c>
      <c r="C683" s="15">
        <f t="shared" si="201"/>
        <v>10</v>
      </c>
      <c r="D683" s="14">
        <f t="shared" si="202"/>
        <v>9</v>
      </c>
      <c r="E683" t="s">
        <v>2785</v>
      </c>
      <c r="F683" t="s">
        <v>2786</v>
      </c>
      <c r="G683" t="s">
        <v>2828</v>
      </c>
      <c r="H683" t="s">
        <v>2829</v>
      </c>
      <c r="I683" t="s">
        <v>2697</v>
      </c>
      <c r="J683" s="4" t="s">
        <v>2878</v>
      </c>
      <c r="K683" t="s">
        <v>166</v>
      </c>
      <c r="L683" t="s">
        <v>163</v>
      </c>
      <c r="M683" t="s">
        <v>163</v>
      </c>
      <c r="N683" t="s">
        <v>163</v>
      </c>
      <c r="O683" s="6" t="s">
        <v>1153</v>
      </c>
      <c r="P683">
        <v>0</v>
      </c>
      <c r="Q683" s="24">
        <v>51.2</v>
      </c>
      <c r="R683" s="25">
        <v>68.5</v>
      </c>
      <c r="S683" s="26">
        <v>49</v>
      </c>
      <c r="Y683">
        <v>10</v>
      </c>
      <c r="Z683">
        <v>30</v>
      </c>
      <c r="AA683" s="3">
        <v>25</v>
      </c>
      <c r="AB683" s="3">
        <v>6</v>
      </c>
      <c r="AC683">
        <v>155</v>
      </c>
      <c r="AD683" s="9">
        <f t="shared" si="185"/>
        <v>6050.4166666666661</v>
      </c>
      <c r="AE683">
        <f t="shared" si="192"/>
        <v>2555730</v>
      </c>
      <c r="AF683" s="2">
        <f t="shared" si="196"/>
        <v>35.200000000000003</v>
      </c>
      <c r="AG683" t="str">
        <f t="shared" si="186"/>
        <v>100小时</v>
      </c>
      <c r="AH683">
        <f t="shared" si="187"/>
        <v>106</v>
      </c>
      <c r="AI683">
        <f t="shared" si="188"/>
        <v>18</v>
      </c>
      <c r="AJ683">
        <f t="shared" si="193"/>
        <v>61.3</v>
      </c>
      <c r="AK683">
        <f t="shared" si="189"/>
        <v>31</v>
      </c>
      <c r="AL683">
        <f t="shared" si="194"/>
        <v>35.200000000000003</v>
      </c>
      <c r="AM683" s="2">
        <f t="shared" si="190"/>
        <v>18</v>
      </c>
      <c r="AX683">
        <v>680</v>
      </c>
      <c r="AZ683" s="3"/>
      <c r="BB683" s="2">
        <f t="shared" si="191"/>
        <v>180</v>
      </c>
      <c r="BC683">
        <f t="shared" si="195"/>
        <v>16.793718434343436</v>
      </c>
      <c r="BD683" s="2">
        <f t="shared" si="197"/>
        <v>61.3</v>
      </c>
      <c r="BE683">
        <f t="shared" si="198"/>
        <v>35.200000000000003</v>
      </c>
      <c r="BF683">
        <f t="shared" si="199"/>
        <v>202752</v>
      </c>
    </row>
    <row r="684" spans="1:58" ht="14.25" x14ac:dyDescent="0.2">
      <c r="A684" s="11">
        <v>10901</v>
      </c>
      <c r="B684" s="13">
        <f t="shared" si="200"/>
        <v>13</v>
      </c>
      <c r="C684" s="15">
        <f t="shared" si="201"/>
        <v>10</v>
      </c>
      <c r="D684" s="14">
        <f t="shared" si="202"/>
        <v>9</v>
      </c>
      <c r="E684" t="s">
        <v>2777</v>
      </c>
      <c r="F684" t="s">
        <v>2834</v>
      </c>
      <c r="G684" t="s">
        <v>2779</v>
      </c>
      <c r="H684" t="s">
        <v>2779</v>
      </c>
      <c r="I684" t="s">
        <v>2780</v>
      </c>
      <c r="J684" s="4" t="s">
        <v>2839</v>
      </c>
      <c r="K684" t="s">
        <v>168</v>
      </c>
      <c r="L684" t="s">
        <v>163</v>
      </c>
      <c r="M684" t="s">
        <v>163</v>
      </c>
      <c r="N684" t="s">
        <v>163</v>
      </c>
      <c r="O684" s="6" t="s">
        <v>1155</v>
      </c>
      <c r="P684">
        <v>0</v>
      </c>
      <c r="Q684" s="24">
        <v>51.5</v>
      </c>
      <c r="R684" s="25">
        <v>69</v>
      </c>
      <c r="S684" s="26">
        <v>49.3</v>
      </c>
      <c r="Y684">
        <v>10</v>
      </c>
      <c r="Z684">
        <v>30</v>
      </c>
      <c r="AA684" s="3">
        <v>25</v>
      </c>
      <c r="AB684" s="3">
        <v>6</v>
      </c>
      <c r="AC684">
        <v>155</v>
      </c>
      <c r="AD684" s="9">
        <f t="shared" si="185"/>
        <v>5999.333333333333</v>
      </c>
      <c r="AE684">
        <f t="shared" si="192"/>
        <v>2555730</v>
      </c>
      <c r="AF684" s="2">
        <f t="shared" si="196"/>
        <v>35.5</v>
      </c>
      <c r="AG684" t="str">
        <f t="shared" si="186"/>
        <v>99小时</v>
      </c>
      <c r="AH684">
        <f t="shared" si="187"/>
        <v>107</v>
      </c>
      <c r="AI684">
        <f t="shared" si="188"/>
        <v>18</v>
      </c>
      <c r="AJ684">
        <f t="shared" si="193"/>
        <v>61.800000000000004</v>
      </c>
      <c r="AK684">
        <f t="shared" si="189"/>
        <v>31</v>
      </c>
      <c r="AL684">
        <f t="shared" si="194"/>
        <v>35.5</v>
      </c>
      <c r="AM684" s="2">
        <f t="shared" si="190"/>
        <v>18</v>
      </c>
      <c r="AX684">
        <v>681</v>
      </c>
      <c r="AZ684" s="3"/>
      <c r="BB684" s="2">
        <f t="shared" si="191"/>
        <v>180</v>
      </c>
      <c r="BC684">
        <f t="shared" si="195"/>
        <v>16.651799687010953</v>
      </c>
      <c r="BD684" s="2">
        <f t="shared" si="197"/>
        <v>61.800000000000004</v>
      </c>
      <c r="BE684">
        <f t="shared" si="198"/>
        <v>35.5</v>
      </c>
      <c r="BF684">
        <f t="shared" si="199"/>
        <v>204480</v>
      </c>
    </row>
    <row r="685" spans="1:58" ht="14.25" x14ac:dyDescent="0.2">
      <c r="A685" s="11">
        <v>10902</v>
      </c>
      <c r="B685" s="13">
        <f t="shared" si="200"/>
        <v>13</v>
      </c>
      <c r="C685" s="15">
        <f t="shared" si="201"/>
        <v>10</v>
      </c>
      <c r="D685" s="14">
        <f t="shared" si="202"/>
        <v>9</v>
      </c>
      <c r="E685" t="s">
        <v>2777</v>
      </c>
      <c r="F685" t="s">
        <v>2835</v>
      </c>
      <c r="G685" t="s">
        <v>2779</v>
      </c>
      <c r="H685" t="s">
        <v>2779</v>
      </c>
      <c r="I685" t="s">
        <v>2780</v>
      </c>
      <c r="J685" s="4" t="s">
        <v>2839</v>
      </c>
      <c r="K685" t="s">
        <v>175</v>
      </c>
      <c r="L685" t="s">
        <v>164</v>
      </c>
      <c r="M685" t="s">
        <v>163</v>
      </c>
      <c r="N685" t="s">
        <v>167</v>
      </c>
      <c r="O685" s="6" t="s">
        <v>1157</v>
      </c>
      <c r="P685">
        <v>0</v>
      </c>
      <c r="Q685" s="24">
        <v>51.5</v>
      </c>
      <c r="R685" s="25">
        <v>69</v>
      </c>
      <c r="S685" s="26">
        <v>49.3</v>
      </c>
      <c r="Y685">
        <v>10</v>
      </c>
      <c r="Z685">
        <v>30</v>
      </c>
      <c r="AA685" s="3">
        <v>25</v>
      </c>
      <c r="AB685" s="3">
        <v>6</v>
      </c>
      <c r="AC685">
        <v>155</v>
      </c>
      <c r="AD685" s="9">
        <f t="shared" si="185"/>
        <v>5999.333333333333</v>
      </c>
      <c r="AE685">
        <f t="shared" si="192"/>
        <v>2555730</v>
      </c>
      <c r="AF685" s="2">
        <f t="shared" si="196"/>
        <v>35.5</v>
      </c>
      <c r="AG685" t="str">
        <f t="shared" si="186"/>
        <v>99小时</v>
      </c>
      <c r="AH685">
        <f t="shared" si="187"/>
        <v>107</v>
      </c>
      <c r="AI685">
        <f t="shared" si="188"/>
        <v>18</v>
      </c>
      <c r="AJ685">
        <f t="shared" si="193"/>
        <v>61.800000000000004</v>
      </c>
      <c r="AK685">
        <f t="shared" si="189"/>
        <v>31</v>
      </c>
      <c r="AL685">
        <f t="shared" si="194"/>
        <v>35.5</v>
      </c>
      <c r="AM685" s="2">
        <f t="shared" si="190"/>
        <v>18</v>
      </c>
      <c r="AX685">
        <v>682</v>
      </c>
      <c r="AZ685" s="3"/>
      <c r="BB685" s="2">
        <f t="shared" si="191"/>
        <v>180</v>
      </c>
      <c r="BC685">
        <f t="shared" si="195"/>
        <v>16.651799687010953</v>
      </c>
      <c r="BD685" s="2">
        <f t="shared" si="197"/>
        <v>61.800000000000004</v>
      </c>
      <c r="BE685">
        <f t="shared" si="198"/>
        <v>35.5</v>
      </c>
      <c r="BF685">
        <f t="shared" si="199"/>
        <v>204480</v>
      </c>
    </row>
    <row r="686" spans="1:58" ht="14.25" x14ac:dyDescent="0.2">
      <c r="A686" s="11">
        <v>10903</v>
      </c>
      <c r="B686" s="13">
        <f t="shared" si="200"/>
        <v>13</v>
      </c>
      <c r="C686" s="15">
        <f t="shared" si="201"/>
        <v>10</v>
      </c>
      <c r="D686" s="14">
        <f t="shared" si="202"/>
        <v>9</v>
      </c>
      <c r="E686" t="s">
        <v>2777</v>
      </c>
      <c r="F686" t="s">
        <v>2836</v>
      </c>
      <c r="G686" t="s">
        <v>2779</v>
      </c>
      <c r="H686" t="s">
        <v>2779</v>
      </c>
      <c r="I686" t="s">
        <v>2780</v>
      </c>
      <c r="J686" s="4" t="s">
        <v>2839</v>
      </c>
      <c r="K686" t="s">
        <v>179</v>
      </c>
      <c r="L686" t="s">
        <v>163</v>
      </c>
      <c r="M686" t="s">
        <v>163</v>
      </c>
      <c r="N686" t="s">
        <v>163</v>
      </c>
      <c r="O686" s="6" t="s">
        <v>1159</v>
      </c>
      <c r="P686">
        <v>0</v>
      </c>
      <c r="Q686" s="24">
        <v>51.5</v>
      </c>
      <c r="R686" s="25">
        <v>69</v>
      </c>
      <c r="S686" s="26">
        <v>49.3</v>
      </c>
      <c r="Y686">
        <v>10</v>
      </c>
      <c r="Z686">
        <v>30</v>
      </c>
      <c r="AA686" s="3">
        <v>25</v>
      </c>
      <c r="AB686" s="3">
        <v>6</v>
      </c>
      <c r="AC686">
        <v>155</v>
      </c>
      <c r="AD686" s="9">
        <f t="shared" si="185"/>
        <v>5999.333333333333</v>
      </c>
      <c r="AE686">
        <f t="shared" si="192"/>
        <v>2555730</v>
      </c>
      <c r="AF686" s="2">
        <f t="shared" si="196"/>
        <v>35.5</v>
      </c>
      <c r="AG686" t="str">
        <f t="shared" si="186"/>
        <v>99小时</v>
      </c>
      <c r="AH686">
        <f t="shared" si="187"/>
        <v>107</v>
      </c>
      <c r="AI686">
        <f t="shared" si="188"/>
        <v>18</v>
      </c>
      <c r="AJ686">
        <f t="shared" si="193"/>
        <v>61.800000000000004</v>
      </c>
      <c r="AK686">
        <f t="shared" si="189"/>
        <v>31</v>
      </c>
      <c r="AL686">
        <f t="shared" si="194"/>
        <v>35.5</v>
      </c>
      <c r="AM686" s="2">
        <f t="shared" si="190"/>
        <v>18</v>
      </c>
      <c r="AX686">
        <v>683</v>
      </c>
      <c r="AZ686" s="3"/>
      <c r="BB686" s="2">
        <f t="shared" si="191"/>
        <v>180</v>
      </c>
      <c r="BC686">
        <f t="shared" si="195"/>
        <v>16.651799687010953</v>
      </c>
      <c r="BD686" s="2">
        <f t="shared" si="197"/>
        <v>61.800000000000004</v>
      </c>
      <c r="BE686">
        <f t="shared" si="198"/>
        <v>35.5</v>
      </c>
      <c r="BF686">
        <f t="shared" si="199"/>
        <v>204480</v>
      </c>
    </row>
    <row r="687" spans="1:58" ht="14.25" x14ac:dyDescent="0.2">
      <c r="A687" s="11">
        <v>10904</v>
      </c>
      <c r="B687" s="13">
        <f t="shared" si="200"/>
        <v>13</v>
      </c>
      <c r="C687" s="15">
        <f t="shared" si="201"/>
        <v>10</v>
      </c>
      <c r="D687" s="14">
        <f t="shared" si="202"/>
        <v>9</v>
      </c>
      <c r="E687" t="s">
        <v>2777</v>
      </c>
      <c r="F687" t="s">
        <v>2837</v>
      </c>
      <c r="G687" t="s">
        <v>2779</v>
      </c>
      <c r="H687" t="s">
        <v>2779</v>
      </c>
      <c r="I687" t="s">
        <v>2780</v>
      </c>
      <c r="J687" s="4" t="s">
        <v>2839</v>
      </c>
      <c r="K687" t="s">
        <v>177</v>
      </c>
      <c r="L687" t="s">
        <v>163</v>
      </c>
      <c r="M687" t="s">
        <v>163</v>
      </c>
      <c r="N687" t="s">
        <v>163</v>
      </c>
      <c r="O687" s="6" t="s">
        <v>1159</v>
      </c>
      <c r="P687">
        <v>0</v>
      </c>
      <c r="Q687" s="24">
        <v>51.5</v>
      </c>
      <c r="R687" s="25">
        <v>69</v>
      </c>
      <c r="S687" s="26">
        <v>49.3</v>
      </c>
      <c r="Y687">
        <v>10</v>
      </c>
      <c r="Z687">
        <v>30</v>
      </c>
      <c r="AA687" s="3">
        <v>25</v>
      </c>
      <c r="AB687" s="3">
        <v>6</v>
      </c>
      <c r="AC687">
        <v>155</v>
      </c>
      <c r="AD687" s="9">
        <f t="shared" si="185"/>
        <v>5999.333333333333</v>
      </c>
      <c r="AE687">
        <f t="shared" si="192"/>
        <v>2555730</v>
      </c>
      <c r="AF687" s="2">
        <f t="shared" si="196"/>
        <v>35.5</v>
      </c>
      <c r="AG687" t="str">
        <f t="shared" si="186"/>
        <v>99小时</v>
      </c>
      <c r="AH687">
        <f t="shared" si="187"/>
        <v>107</v>
      </c>
      <c r="AI687">
        <f t="shared" si="188"/>
        <v>18</v>
      </c>
      <c r="AJ687">
        <f t="shared" si="193"/>
        <v>61.800000000000004</v>
      </c>
      <c r="AK687">
        <f t="shared" si="189"/>
        <v>31</v>
      </c>
      <c r="AL687">
        <f t="shared" si="194"/>
        <v>35.5</v>
      </c>
      <c r="AM687" s="2">
        <f t="shared" si="190"/>
        <v>18</v>
      </c>
      <c r="AX687">
        <v>684</v>
      </c>
      <c r="AZ687" s="3"/>
      <c r="BB687" s="2">
        <f t="shared" si="191"/>
        <v>180</v>
      </c>
      <c r="BC687">
        <f t="shared" si="195"/>
        <v>16.651799687010953</v>
      </c>
      <c r="BD687" s="2">
        <f t="shared" si="197"/>
        <v>61.800000000000004</v>
      </c>
      <c r="BE687">
        <f t="shared" si="198"/>
        <v>35.5</v>
      </c>
      <c r="BF687">
        <f t="shared" si="199"/>
        <v>204480</v>
      </c>
    </row>
    <row r="688" spans="1:58" ht="14.25" x14ac:dyDescent="0.2">
      <c r="A688" s="11">
        <v>10905</v>
      </c>
      <c r="B688" s="13">
        <f t="shared" si="200"/>
        <v>13</v>
      </c>
      <c r="C688" s="15">
        <f t="shared" si="201"/>
        <v>10</v>
      </c>
      <c r="D688" s="14">
        <f t="shared" si="202"/>
        <v>9</v>
      </c>
      <c r="E688" t="s">
        <v>2785</v>
      </c>
      <c r="F688" t="s">
        <v>2786</v>
      </c>
      <c r="G688" t="s">
        <v>2830</v>
      </c>
      <c r="H688" t="s">
        <v>2829</v>
      </c>
      <c r="I688" t="s">
        <v>2697</v>
      </c>
      <c r="J688" s="4" t="s">
        <v>2859</v>
      </c>
      <c r="K688" t="s">
        <v>174</v>
      </c>
      <c r="L688" t="s">
        <v>163</v>
      </c>
      <c r="M688" t="s">
        <v>163</v>
      </c>
      <c r="N688" t="s">
        <v>163</v>
      </c>
      <c r="O688" s="6" t="s">
        <v>1161</v>
      </c>
      <c r="P688">
        <v>0</v>
      </c>
      <c r="Q688" s="24">
        <v>51.5</v>
      </c>
      <c r="R688" s="25">
        <v>69</v>
      </c>
      <c r="S688" s="26">
        <v>49.3</v>
      </c>
      <c r="Y688">
        <v>10</v>
      </c>
      <c r="Z688">
        <v>30</v>
      </c>
      <c r="AA688" s="3">
        <v>25</v>
      </c>
      <c r="AB688" s="3">
        <v>6</v>
      </c>
      <c r="AC688">
        <v>155</v>
      </c>
      <c r="AD688" s="9">
        <f t="shared" si="185"/>
        <v>5999.333333333333</v>
      </c>
      <c r="AE688">
        <f t="shared" si="192"/>
        <v>2555730</v>
      </c>
      <c r="AF688" s="2">
        <f t="shared" si="196"/>
        <v>35.5</v>
      </c>
      <c r="AG688" t="str">
        <f t="shared" si="186"/>
        <v>99小时</v>
      </c>
      <c r="AH688">
        <f t="shared" si="187"/>
        <v>107</v>
      </c>
      <c r="AI688">
        <f t="shared" si="188"/>
        <v>18</v>
      </c>
      <c r="AJ688">
        <f t="shared" si="193"/>
        <v>61.800000000000004</v>
      </c>
      <c r="AK688">
        <f t="shared" si="189"/>
        <v>31</v>
      </c>
      <c r="AL688">
        <f t="shared" si="194"/>
        <v>35.5</v>
      </c>
      <c r="AM688" s="2">
        <f t="shared" si="190"/>
        <v>18</v>
      </c>
      <c r="AX688">
        <v>685</v>
      </c>
      <c r="AZ688" s="3"/>
      <c r="BB688" s="2">
        <f t="shared" si="191"/>
        <v>180</v>
      </c>
      <c r="BC688">
        <f t="shared" si="195"/>
        <v>16.651799687010953</v>
      </c>
      <c r="BD688" s="2">
        <f t="shared" si="197"/>
        <v>61.800000000000004</v>
      </c>
      <c r="BE688">
        <f t="shared" si="198"/>
        <v>35.5</v>
      </c>
      <c r="BF688">
        <f t="shared" si="199"/>
        <v>204480</v>
      </c>
    </row>
    <row r="689" spans="1:58" ht="14.25" x14ac:dyDescent="0.2">
      <c r="A689" s="11">
        <v>10906</v>
      </c>
      <c r="B689" s="13">
        <f t="shared" si="200"/>
        <v>13</v>
      </c>
      <c r="C689" s="15">
        <f t="shared" si="201"/>
        <v>10</v>
      </c>
      <c r="D689" s="14">
        <f t="shared" si="202"/>
        <v>9</v>
      </c>
      <c r="E689" t="s">
        <v>2777</v>
      </c>
      <c r="F689" t="s">
        <v>2834</v>
      </c>
      <c r="G689" t="s">
        <v>2779</v>
      </c>
      <c r="H689" t="s">
        <v>2779</v>
      </c>
      <c r="I689" t="s">
        <v>2780</v>
      </c>
      <c r="J689" s="4" t="s">
        <v>2839</v>
      </c>
      <c r="K689" t="s">
        <v>182</v>
      </c>
      <c r="L689" t="s">
        <v>163</v>
      </c>
      <c r="M689" t="s">
        <v>163</v>
      </c>
      <c r="N689" t="s">
        <v>163</v>
      </c>
      <c r="O689" s="6" t="s">
        <v>1163</v>
      </c>
      <c r="P689">
        <v>0</v>
      </c>
      <c r="Q689" s="24">
        <v>51.8</v>
      </c>
      <c r="R689" s="25">
        <v>69.5</v>
      </c>
      <c r="S689" s="26">
        <v>49.5</v>
      </c>
      <c r="Y689">
        <v>10</v>
      </c>
      <c r="Z689">
        <v>30</v>
      </c>
      <c r="AA689" s="3">
        <v>25</v>
      </c>
      <c r="AB689" s="3">
        <v>6</v>
      </c>
      <c r="AC689">
        <v>155</v>
      </c>
      <c r="AD689" s="9">
        <f t="shared" si="185"/>
        <v>5965.75</v>
      </c>
      <c r="AE689">
        <f t="shared" si="192"/>
        <v>2555730</v>
      </c>
      <c r="AF689" s="2">
        <f t="shared" si="196"/>
        <v>35.700000000000003</v>
      </c>
      <c r="AG689" t="str">
        <f t="shared" si="186"/>
        <v>99小时</v>
      </c>
      <c r="AH689">
        <f t="shared" si="187"/>
        <v>108</v>
      </c>
      <c r="AI689">
        <f t="shared" si="188"/>
        <v>18</v>
      </c>
      <c r="AJ689">
        <f t="shared" si="193"/>
        <v>62.1</v>
      </c>
      <c r="AK689">
        <f t="shared" si="189"/>
        <v>32</v>
      </c>
      <c r="AL689">
        <f t="shared" si="194"/>
        <v>35.700000000000003</v>
      </c>
      <c r="AM689" s="2">
        <f t="shared" si="190"/>
        <v>18</v>
      </c>
      <c r="AX689">
        <v>686</v>
      </c>
      <c r="AZ689" s="3"/>
      <c r="BB689" s="2">
        <f t="shared" si="191"/>
        <v>180</v>
      </c>
      <c r="BC689">
        <f t="shared" si="195"/>
        <v>16.558512293806412</v>
      </c>
      <c r="BD689" s="2">
        <f t="shared" si="197"/>
        <v>62.1</v>
      </c>
      <c r="BE689">
        <f t="shared" si="198"/>
        <v>35.700000000000003</v>
      </c>
      <c r="BF689">
        <f t="shared" si="199"/>
        <v>205632</v>
      </c>
    </row>
    <row r="690" spans="1:58" ht="14.25" x14ac:dyDescent="0.2">
      <c r="A690" s="11">
        <v>10907</v>
      </c>
      <c r="B690" s="13">
        <f t="shared" si="200"/>
        <v>13</v>
      </c>
      <c r="C690" s="15">
        <f t="shared" si="201"/>
        <v>10</v>
      </c>
      <c r="D690" s="14">
        <f t="shared" si="202"/>
        <v>9</v>
      </c>
      <c r="E690" t="s">
        <v>2777</v>
      </c>
      <c r="F690" t="s">
        <v>2835</v>
      </c>
      <c r="G690" t="s">
        <v>2779</v>
      </c>
      <c r="H690" t="s">
        <v>2779</v>
      </c>
      <c r="I690" t="s">
        <v>2780</v>
      </c>
      <c r="J690" s="4" t="s">
        <v>2839</v>
      </c>
      <c r="K690" t="s">
        <v>162</v>
      </c>
      <c r="L690" t="s">
        <v>163</v>
      </c>
      <c r="M690" t="s">
        <v>163</v>
      </c>
      <c r="N690" t="s">
        <v>163</v>
      </c>
      <c r="O690" s="6" t="s">
        <v>1163</v>
      </c>
      <c r="P690">
        <v>0</v>
      </c>
      <c r="Q690" s="24">
        <v>51.8</v>
      </c>
      <c r="R690" s="25">
        <v>69.5</v>
      </c>
      <c r="S690" s="26">
        <v>49.5</v>
      </c>
      <c r="Y690">
        <v>10</v>
      </c>
      <c r="Z690">
        <v>30</v>
      </c>
      <c r="AA690" s="3">
        <v>25</v>
      </c>
      <c r="AB690" s="3">
        <v>6</v>
      </c>
      <c r="AC690">
        <v>155</v>
      </c>
      <c r="AD690" s="9">
        <f t="shared" si="185"/>
        <v>5965.75</v>
      </c>
      <c r="AE690">
        <f t="shared" si="192"/>
        <v>2555730</v>
      </c>
      <c r="AF690" s="2">
        <f t="shared" si="196"/>
        <v>35.700000000000003</v>
      </c>
      <c r="AG690" t="str">
        <f t="shared" si="186"/>
        <v>99小时</v>
      </c>
      <c r="AH690">
        <f t="shared" si="187"/>
        <v>108</v>
      </c>
      <c r="AI690">
        <f t="shared" si="188"/>
        <v>18</v>
      </c>
      <c r="AJ690">
        <f t="shared" si="193"/>
        <v>62.1</v>
      </c>
      <c r="AK690">
        <f t="shared" si="189"/>
        <v>32</v>
      </c>
      <c r="AL690">
        <f t="shared" si="194"/>
        <v>35.700000000000003</v>
      </c>
      <c r="AM690" s="2">
        <f t="shared" si="190"/>
        <v>18</v>
      </c>
      <c r="AX690">
        <v>687</v>
      </c>
      <c r="AZ690" s="3"/>
      <c r="BB690" s="2">
        <f t="shared" si="191"/>
        <v>180</v>
      </c>
      <c r="BC690">
        <f t="shared" si="195"/>
        <v>16.558512293806412</v>
      </c>
      <c r="BD690" s="2">
        <f t="shared" si="197"/>
        <v>62.1</v>
      </c>
      <c r="BE690">
        <f t="shared" si="198"/>
        <v>35.700000000000003</v>
      </c>
      <c r="BF690">
        <f t="shared" si="199"/>
        <v>205632</v>
      </c>
    </row>
    <row r="691" spans="1:58" ht="14.25" x14ac:dyDescent="0.2">
      <c r="A691" s="11">
        <v>10908</v>
      </c>
      <c r="B691" s="13">
        <f t="shared" si="200"/>
        <v>13</v>
      </c>
      <c r="C691" s="15">
        <f t="shared" si="201"/>
        <v>10</v>
      </c>
      <c r="D691" s="14">
        <f t="shared" si="202"/>
        <v>9</v>
      </c>
      <c r="E691" t="s">
        <v>2777</v>
      </c>
      <c r="F691" t="s">
        <v>2836</v>
      </c>
      <c r="G691" t="s">
        <v>2779</v>
      </c>
      <c r="H691" t="s">
        <v>2779</v>
      </c>
      <c r="I691" t="s">
        <v>2780</v>
      </c>
      <c r="J691" s="4" t="s">
        <v>2839</v>
      </c>
      <c r="K691" t="s">
        <v>177</v>
      </c>
      <c r="L691" t="s">
        <v>163</v>
      </c>
      <c r="M691" t="s">
        <v>163</v>
      </c>
      <c r="N691" t="s">
        <v>163</v>
      </c>
      <c r="O691" s="6" t="s">
        <v>1165</v>
      </c>
      <c r="P691">
        <v>0</v>
      </c>
      <c r="Q691" s="24">
        <v>51.8</v>
      </c>
      <c r="R691" s="25">
        <v>69.5</v>
      </c>
      <c r="S691" s="26">
        <v>49.5</v>
      </c>
      <c r="Y691">
        <v>10</v>
      </c>
      <c r="Z691">
        <v>30</v>
      </c>
      <c r="AA691" s="3">
        <v>25</v>
      </c>
      <c r="AB691" s="3">
        <v>6</v>
      </c>
      <c r="AC691">
        <v>155</v>
      </c>
      <c r="AD691" s="9">
        <f t="shared" si="185"/>
        <v>5965.75</v>
      </c>
      <c r="AE691">
        <f t="shared" si="192"/>
        <v>2555730</v>
      </c>
      <c r="AF691" s="2">
        <f t="shared" si="196"/>
        <v>35.700000000000003</v>
      </c>
      <c r="AG691" t="str">
        <f t="shared" si="186"/>
        <v>99小时</v>
      </c>
      <c r="AH691">
        <f t="shared" si="187"/>
        <v>108</v>
      </c>
      <c r="AI691">
        <f t="shared" si="188"/>
        <v>18</v>
      </c>
      <c r="AJ691">
        <f t="shared" si="193"/>
        <v>62.1</v>
      </c>
      <c r="AK691">
        <f t="shared" si="189"/>
        <v>32</v>
      </c>
      <c r="AL691">
        <f t="shared" si="194"/>
        <v>35.700000000000003</v>
      </c>
      <c r="AM691" s="2">
        <f t="shared" si="190"/>
        <v>18</v>
      </c>
      <c r="AX691">
        <v>688</v>
      </c>
      <c r="AZ691" s="3"/>
      <c r="BB691" s="2">
        <f t="shared" si="191"/>
        <v>180</v>
      </c>
      <c r="BC691">
        <f t="shared" si="195"/>
        <v>16.558512293806412</v>
      </c>
      <c r="BD691" s="2">
        <f t="shared" si="197"/>
        <v>62.1</v>
      </c>
      <c r="BE691">
        <f t="shared" si="198"/>
        <v>35.700000000000003</v>
      </c>
      <c r="BF691">
        <f t="shared" si="199"/>
        <v>205632</v>
      </c>
    </row>
    <row r="692" spans="1:58" ht="14.25" x14ac:dyDescent="0.2">
      <c r="A692" s="11">
        <v>10909</v>
      </c>
      <c r="B692" s="13">
        <f t="shared" si="200"/>
        <v>13</v>
      </c>
      <c r="C692" s="15">
        <f t="shared" si="201"/>
        <v>10</v>
      </c>
      <c r="D692" s="14">
        <f t="shared" si="202"/>
        <v>9</v>
      </c>
      <c r="E692" t="s">
        <v>2777</v>
      </c>
      <c r="F692" t="s">
        <v>2837</v>
      </c>
      <c r="G692" t="s">
        <v>2779</v>
      </c>
      <c r="H692" t="s">
        <v>2779</v>
      </c>
      <c r="I692" t="s">
        <v>2780</v>
      </c>
      <c r="J692" s="4" t="s">
        <v>2839</v>
      </c>
      <c r="K692" t="s">
        <v>174</v>
      </c>
      <c r="L692" t="s">
        <v>163</v>
      </c>
      <c r="M692" t="s">
        <v>163</v>
      </c>
      <c r="N692" t="s">
        <v>163</v>
      </c>
      <c r="O692" s="6" t="s">
        <v>1167</v>
      </c>
      <c r="P692">
        <v>0</v>
      </c>
      <c r="Q692" s="24">
        <v>51.8</v>
      </c>
      <c r="R692" s="25">
        <v>69.5</v>
      </c>
      <c r="S692" s="26">
        <v>49.5</v>
      </c>
      <c r="Y692">
        <v>10</v>
      </c>
      <c r="Z692">
        <v>30</v>
      </c>
      <c r="AA692" s="3">
        <v>25</v>
      </c>
      <c r="AB692" s="3">
        <v>6</v>
      </c>
      <c r="AC692">
        <v>155</v>
      </c>
      <c r="AD692" s="9">
        <f t="shared" si="185"/>
        <v>5965.75</v>
      </c>
      <c r="AE692">
        <f t="shared" si="192"/>
        <v>2555730</v>
      </c>
      <c r="AF692" s="2">
        <f t="shared" si="196"/>
        <v>35.700000000000003</v>
      </c>
      <c r="AG692" t="str">
        <f t="shared" si="186"/>
        <v>99小时</v>
      </c>
      <c r="AH692">
        <f t="shared" si="187"/>
        <v>108</v>
      </c>
      <c r="AI692">
        <f t="shared" si="188"/>
        <v>18</v>
      </c>
      <c r="AJ692">
        <f t="shared" si="193"/>
        <v>62.1</v>
      </c>
      <c r="AK692">
        <f t="shared" si="189"/>
        <v>32</v>
      </c>
      <c r="AL692">
        <f t="shared" si="194"/>
        <v>35.700000000000003</v>
      </c>
      <c r="AM692" s="2">
        <f t="shared" si="190"/>
        <v>18</v>
      </c>
      <c r="AX692">
        <v>689</v>
      </c>
      <c r="AZ692" s="3"/>
      <c r="BB692" s="2">
        <f t="shared" si="191"/>
        <v>180</v>
      </c>
      <c r="BC692">
        <f t="shared" si="195"/>
        <v>16.558512293806412</v>
      </c>
      <c r="BD692" s="2">
        <f t="shared" si="197"/>
        <v>62.1</v>
      </c>
      <c r="BE692">
        <f t="shared" si="198"/>
        <v>35.700000000000003</v>
      </c>
      <c r="BF692">
        <f t="shared" si="199"/>
        <v>205632</v>
      </c>
    </row>
    <row r="693" spans="1:58" ht="14.25" x14ac:dyDescent="0.2">
      <c r="A693" s="11">
        <v>10910</v>
      </c>
      <c r="B693" s="13">
        <f t="shared" si="200"/>
        <v>13</v>
      </c>
      <c r="C693" s="15">
        <f t="shared" si="201"/>
        <v>10</v>
      </c>
      <c r="D693" s="14">
        <f t="shared" si="202"/>
        <v>9</v>
      </c>
      <c r="E693" t="s">
        <v>2785</v>
      </c>
      <c r="F693" t="s">
        <v>2786</v>
      </c>
      <c r="G693" t="s">
        <v>2831</v>
      </c>
      <c r="H693" t="s">
        <v>2829</v>
      </c>
      <c r="I693" t="s">
        <v>2697</v>
      </c>
      <c r="J693" s="4" t="s">
        <v>2859</v>
      </c>
      <c r="K693" t="s">
        <v>166</v>
      </c>
      <c r="L693" t="s">
        <v>163</v>
      </c>
      <c r="M693" t="s">
        <v>163</v>
      </c>
      <c r="N693" t="s">
        <v>163</v>
      </c>
      <c r="O693" s="6" t="s">
        <v>1167</v>
      </c>
      <c r="P693">
        <v>0</v>
      </c>
      <c r="Q693" s="24">
        <v>51.8</v>
      </c>
      <c r="R693" s="25">
        <v>69.5</v>
      </c>
      <c r="S693" s="26">
        <v>49.5</v>
      </c>
      <c r="Y693">
        <v>10</v>
      </c>
      <c r="Z693">
        <v>30</v>
      </c>
      <c r="AA693" s="3">
        <v>25</v>
      </c>
      <c r="AB693" s="3">
        <v>6</v>
      </c>
      <c r="AC693">
        <v>155</v>
      </c>
      <c r="AD693" s="9">
        <f t="shared" si="185"/>
        <v>5965.75</v>
      </c>
      <c r="AE693">
        <f t="shared" si="192"/>
        <v>2555730</v>
      </c>
      <c r="AF693" s="2">
        <f t="shared" si="196"/>
        <v>35.700000000000003</v>
      </c>
      <c r="AG693" t="str">
        <f t="shared" si="186"/>
        <v>99小时</v>
      </c>
      <c r="AH693">
        <f t="shared" si="187"/>
        <v>108</v>
      </c>
      <c r="AI693">
        <f t="shared" si="188"/>
        <v>18</v>
      </c>
      <c r="AJ693">
        <f t="shared" si="193"/>
        <v>62.1</v>
      </c>
      <c r="AK693">
        <f t="shared" si="189"/>
        <v>32</v>
      </c>
      <c r="AL693">
        <f t="shared" si="194"/>
        <v>35.700000000000003</v>
      </c>
      <c r="AM693" s="2">
        <f t="shared" si="190"/>
        <v>18</v>
      </c>
      <c r="AX693">
        <v>690</v>
      </c>
      <c r="AZ693" s="3"/>
      <c r="BB693" s="2">
        <f t="shared" si="191"/>
        <v>180</v>
      </c>
      <c r="BC693">
        <f t="shared" si="195"/>
        <v>16.558512293806412</v>
      </c>
      <c r="BD693" s="2">
        <f t="shared" si="197"/>
        <v>62.1</v>
      </c>
      <c r="BE693">
        <f t="shared" si="198"/>
        <v>35.700000000000003</v>
      </c>
      <c r="BF693">
        <f t="shared" si="199"/>
        <v>205632</v>
      </c>
    </row>
    <row r="694" spans="1:58" ht="14.25" x14ac:dyDescent="0.2">
      <c r="A694" s="11">
        <v>10911</v>
      </c>
      <c r="B694" s="13">
        <f t="shared" si="200"/>
        <v>13</v>
      </c>
      <c r="C694" s="15">
        <f t="shared" si="201"/>
        <v>10</v>
      </c>
      <c r="D694" s="14">
        <f t="shared" si="202"/>
        <v>9</v>
      </c>
      <c r="E694" t="s">
        <v>2777</v>
      </c>
      <c r="F694" t="s">
        <v>2834</v>
      </c>
      <c r="G694" t="s">
        <v>2779</v>
      </c>
      <c r="H694" t="s">
        <v>2779</v>
      </c>
      <c r="I694" t="s">
        <v>2780</v>
      </c>
      <c r="J694" s="4" t="s">
        <v>2839</v>
      </c>
      <c r="K694" t="s">
        <v>168</v>
      </c>
      <c r="L694" t="s">
        <v>163</v>
      </c>
      <c r="M694" t="s">
        <v>163</v>
      </c>
      <c r="N694" t="s">
        <v>163</v>
      </c>
      <c r="O694" s="6" t="s">
        <v>1169</v>
      </c>
      <c r="P694">
        <v>0</v>
      </c>
      <c r="Q694" s="24">
        <v>52.2</v>
      </c>
      <c r="R694" s="25">
        <v>70</v>
      </c>
      <c r="S694" s="26">
        <v>49.8</v>
      </c>
      <c r="Y694">
        <v>10</v>
      </c>
      <c r="Z694">
        <v>30</v>
      </c>
      <c r="AA694" s="3">
        <v>25</v>
      </c>
      <c r="AB694" s="3">
        <v>6</v>
      </c>
      <c r="AC694">
        <v>155</v>
      </c>
      <c r="AD694" s="9">
        <f t="shared" si="185"/>
        <v>5916</v>
      </c>
      <c r="AE694">
        <f t="shared" si="192"/>
        <v>2555730</v>
      </c>
      <c r="AF694" s="2">
        <f t="shared" si="196"/>
        <v>36</v>
      </c>
      <c r="AG694" t="str">
        <f t="shared" si="186"/>
        <v>98小时</v>
      </c>
      <c r="AH694">
        <f t="shared" si="187"/>
        <v>108</v>
      </c>
      <c r="AI694">
        <f t="shared" si="188"/>
        <v>18</v>
      </c>
      <c r="AJ694">
        <f t="shared" si="193"/>
        <v>62.5</v>
      </c>
      <c r="AK694">
        <f t="shared" si="189"/>
        <v>32</v>
      </c>
      <c r="AL694">
        <f t="shared" si="194"/>
        <v>36</v>
      </c>
      <c r="AM694" s="2">
        <f t="shared" si="190"/>
        <v>18</v>
      </c>
      <c r="AX694">
        <v>691</v>
      </c>
      <c r="AZ694" s="3"/>
      <c r="BB694" s="2">
        <f t="shared" si="191"/>
        <v>180</v>
      </c>
      <c r="BC694">
        <f t="shared" si="195"/>
        <v>16.420524691358025</v>
      </c>
      <c r="BD694" s="2">
        <f t="shared" si="197"/>
        <v>62.5</v>
      </c>
      <c r="BE694">
        <f t="shared" si="198"/>
        <v>36</v>
      </c>
      <c r="BF694">
        <f t="shared" si="199"/>
        <v>207360</v>
      </c>
    </row>
    <row r="695" spans="1:58" ht="14.25" x14ac:dyDescent="0.2">
      <c r="A695" s="11">
        <v>10912</v>
      </c>
      <c r="B695" s="13">
        <f t="shared" si="200"/>
        <v>13</v>
      </c>
      <c r="C695" s="15">
        <f t="shared" si="201"/>
        <v>10</v>
      </c>
      <c r="D695" s="14">
        <f t="shared" si="202"/>
        <v>9</v>
      </c>
      <c r="E695" t="s">
        <v>2777</v>
      </c>
      <c r="F695" t="s">
        <v>2835</v>
      </c>
      <c r="G695" t="s">
        <v>2779</v>
      </c>
      <c r="H695" t="s">
        <v>2779</v>
      </c>
      <c r="I695" t="s">
        <v>2780</v>
      </c>
      <c r="J695" s="4" t="s">
        <v>2839</v>
      </c>
      <c r="K695" t="s">
        <v>175</v>
      </c>
      <c r="L695" t="s">
        <v>164</v>
      </c>
      <c r="M695" t="s">
        <v>163</v>
      </c>
      <c r="N695" t="s">
        <v>167</v>
      </c>
      <c r="O695" s="6" t="s">
        <v>1171</v>
      </c>
      <c r="P695">
        <v>0</v>
      </c>
      <c r="Q695" s="24">
        <v>52.2</v>
      </c>
      <c r="R695" s="25">
        <v>70</v>
      </c>
      <c r="S695" s="26">
        <v>49.8</v>
      </c>
      <c r="Y695">
        <v>10</v>
      </c>
      <c r="Z695">
        <v>30</v>
      </c>
      <c r="AA695" s="3">
        <v>25</v>
      </c>
      <c r="AB695" s="3">
        <v>6</v>
      </c>
      <c r="AC695">
        <v>155</v>
      </c>
      <c r="AD695" s="9">
        <f t="shared" si="185"/>
        <v>5916</v>
      </c>
      <c r="AE695">
        <f t="shared" si="192"/>
        <v>2555730</v>
      </c>
      <c r="AF695" s="2">
        <f t="shared" si="196"/>
        <v>36</v>
      </c>
      <c r="AG695" t="str">
        <f t="shared" si="186"/>
        <v>98小时</v>
      </c>
      <c r="AH695">
        <f t="shared" si="187"/>
        <v>108</v>
      </c>
      <c r="AI695">
        <f t="shared" si="188"/>
        <v>18</v>
      </c>
      <c r="AJ695">
        <f t="shared" si="193"/>
        <v>62.5</v>
      </c>
      <c r="AK695">
        <f t="shared" si="189"/>
        <v>32</v>
      </c>
      <c r="AL695">
        <f t="shared" si="194"/>
        <v>36</v>
      </c>
      <c r="AM695" s="2">
        <f t="shared" si="190"/>
        <v>18</v>
      </c>
      <c r="AX695">
        <v>692</v>
      </c>
      <c r="AZ695" s="3"/>
      <c r="BB695" s="2">
        <f t="shared" si="191"/>
        <v>180</v>
      </c>
      <c r="BC695">
        <f t="shared" si="195"/>
        <v>16.420524691358025</v>
      </c>
      <c r="BD695" s="2">
        <f t="shared" si="197"/>
        <v>62.5</v>
      </c>
      <c r="BE695">
        <f t="shared" si="198"/>
        <v>36</v>
      </c>
      <c r="BF695">
        <f t="shared" si="199"/>
        <v>207360</v>
      </c>
    </row>
    <row r="696" spans="1:58" ht="14.25" x14ac:dyDescent="0.2">
      <c r="A696" s="11">
        <v>10913</v>
      </c>
      <c r="B696" s="13">
        <f t="shared" si="200"/>
        <v>14</v>
      </c>
      <c r="C696" s="15">
        <f t="shared" si="201"/>
        <v>10</v>
      </c>
      <c r="D696" s="14">
        <f t="shared" si="202"/>
        <v>9</v>
      </c>
      <c r="E696" t="s">
        <v>2777</v>
      </c>
      <c r="F696" t="s">
        <v>2836</v>
      </c>
      <c r="G696" t="s">
        <v>2779</v>
      </c>
      <c r="H696" t="s">
        <v>2779</v>
      </c>
      <c r="I696" t="s">
        <v>2780</v>
      </c>
      <c r="J696" s="4" t="s">
        <v>2839</v>
      </c>
      <c r="K696" t="s">
        <v>179</v>
      </c>
      <c r="L696" t="s">
        <v>163</v>
      </c>
      <c r="M696" t="s">
        <v>163</v>
      </c>
      <c r="N696" t="s">
        <v>163</v>
      </c>
      <c r="O696" s="6" t="s">
        <v>1173</v>
      </c>
      <c r="P696">
        <v>0</v>
      </c>
      <c r="Q696" s="24">
        <v>52.2</v>
      </c>
      <c r="R696" s="25">
        <v>70</v>
      </c>
      <c r="S696" s="26">
        <v>49.8</v>
      </c>
      <c r="Y696">
        <v>10</v>
      </c>
      <c r="Z696">
        <v>30</v>
      </c>
      <c r="AA696" s="3">
        <v>25</v>
      </c>
      <c r="AB696" s="3">
        <v>6</v>
      </c>
      <c r="AC696">
        <v>155</v>
      </c>
      <c r="AD696" s="9">
        <f t="shared" si="185"/>
        <v>5916</v>
      </c>
      <c r="AE696">
        <f t="shared" si="192"/>
        <v>2555730</v>
      </c>
      <c r="AF696" s="2">
        <f t="shared" si="196"/>
        <v>36</v>
      </c>
      <c r="AG696" t="str">
        <f t="shared" si="186"/>
        <v>98小时</v>
      </c>
      <c r="AH696">
        <f t="shared" si="187"/>
        <v>108</v>
      </c>
      <c r="AI696">
        <f t="shared" si="188"/>
        <v>18</v>
      </c>
      <c r="AJ696">
        <f t="shared" si="193"/>
        <v>62.5</v>
      </c>
      <c r="AK696">
        <f t="shared" si="189"/>
        <v>32</v>
      </c>
      <c r="AL696">
        <f t="shared" si="194"/>
        <v>36</v>
      </c>
      <c r="AM696" s="2">
        <f t="shared" si="190"/>
        <v>18</v>
      </c>
      <c r="AX696">
        <v>693</v>
      </c>
      <c r="AZ696" s="3"/>
      <c r="BB696" s="2">
        <f t="shared" si="191"/>
        <v>180</v>
      </c>
      <c r="BC696">
        <f t="shared" si="195"/>
        <v>16.420524691358025</v>
      </c>
      <c r="BD696" s="2">
        <f t="shared" si="197"/>
        <v>62.5</v>
      </c>
      <c r="BE696">
        <f t="shared" si="198"/>
        <v>36</v>
      </c>
      <c r="BF696">
        <f t="shared" si="199"/>
        <v>207360</v>
      </c>
    </row>
    <row r="697" spans="1:58" ht="14.25" x14ac:dyDescent="0.2">
      <c r="A697" s="11">
        <v>10914</v>
      </c>
      <c r="B697" s="13">
        <f t="shared" si="200"/>
        <v>14</v>
      </c>
      <c r="C697" s="15">
        <f t="shared" si="201"/>
        <v>10</v>
      </c>
      <c r="D697" s="14">
        <f t="shared" si="202"/>
        <v>9</v>
      </c>
      <c r="E697" t="s">
        <v>2777</v>
      </c>
      <c r="F697" t="s">
        <v>2837</v>
      </c>
      <c r="G697" t="s">
        <v>2779</v>
      </c>
      <c r="H697" t="s">
        <v>2779</v>
      </c>
      <c r="I697" t="s">
        <v>2780</v>
      </c>
      <c r="J697" s="4" t="s">
        <v>2839</v>
      </c>
      <c r="K697" t="s">
        <v>177</v>
      </c>
      <c r="L697" t="s">
        <v>163</v>
      </c>
      <c r="M697" t="s">
        <v>163</v>
      </c>
      <c r="N697" t="s">
        <v>163</v>
      </c>
      <c r="O697" s="6" t="s">
        <v>1173</v>
      </c>
      <c r="P697">
        <v>0</v>
      </c>
      <c r="Q697" s="24">
        <v>52.2</v>
      </c>
      <c r="R697" s="25">
        <v>70</v>
      </c>
      <c r="S697" s="26">
        <v>49.8</v>
      </c>
      <c r="Y697">
        <v>10</v>
      </c>
      <c r="Z697">
        <v>30</v>
      </c>
      <c r="AA697" s="3">
        <v>25</v>
      </c>
      <c r="AB697" s="3">
        <v>6</v>
      </c>
      <c r="AC697">
        <v>155</v>
      </c>
      <c r="AD697" s="9">
        <f t="shared" si="185"/>
        <v>5916</v>
      </c>
      <c r="AE697">
        <f t="shared" si="192"/>
        <v>2555730</v>
      </c>
      <c r="AF697" s="2">
        <f t="shared" si="196"/>
        <v>36</v>
      </c>
      <c r="AG697" t="str">
        <f t="shared" si="186"/>
        <v>98小时</v>
      </c>
      <c r="AH697">
        <f t="shared" si="187"/>
        <v>108</v>
      </c>
      <c r="AI697">
        <f t="shared" si="188"/>
        <v>18</v>
      </c>
      <c r="AJ697">
        <f t="shared" si="193"/>
        <v>62.5</v>
      </c>
      <c r="AK697">
        <f t="shared" si="189"/>
        <v>32</v>
      </c>
      <c r="AL697">
        <f t="shared" si="194"/>
        <v>36</v>
      </c>
      <c r="AM697" s="2">
        <f t="shared" si="190"/>
        <v>18</v>
      </c>
      <c r="AX697">
        <v>694</v>
      </c>
      <c r="AZ697" s="3"/>
      <c r="BB697" s="2">
        <f t="shared" si="191"/>
        <v>180</v>
      </c>
      <c r="BC697">
        <f t="shared" si="195"/>
        <v>16.420524691358025</v>
      </c>
      <c r="BD697" s="2">
        <f t="shared" si="197"/>
        <v>62.5</v>
      </c>
      <c r="BE697">
        <f t="shared" si="198"/>
        <v>36</v>
      </c>
      <c r="BF697">
        <f t="shared" si="199"/>
        <v>207360</v>
      </c>
    </row>
    <row r="698" spans="1:58" ht="14.25" x14ac:dyDescent="0.2">
      <c r="A698" s="11">
        <v>10915</v>
      </c>
      <c r="B698" s="13">
        <f t="shared" si="200"/>
        <v>14</v>
      </c>
      <c r="C698" s="15">
        <f t="shared" si="201"/>
        <v>10</v>
      </c>
      <c r="D698" s="14">
        <f t="shared" si="202"/>
        <v>9</v>
      </c>
      <c r="E698" t="s">
        <v>2785</v>
      </c>
      <c r="F698" t="s">
        <v>2786</v>
      </c>
      <c r="G698" t="s">
        <v>2832</v>
      </c>
      <c r="H698" t="s">
        <v>2829</v>
      </c>
      <c r="I698" t="s">
        <v>2697</v>
      </c>
      <c r="J698" s="4" t="s">
        <v>2859</v>
      </c>
      <c r="K698" t="s">
        <v>174</v>
      </c>
      <c r="L698" t="s">
        <v>163</v>
      </c>
      <c r="M698" t="s">
        <v>163</v>
      </c>
      <c r="N698" t="s">
        <v>163</v>
      </c>
      <c r="O698" s="6" t="s">
        <v>1175</v>
      </c>
      <c r="P698">
        <v>0</v>
      </c>
      <c r="Q698" s="24">
        <v>52.2</v>
      </c>
      <c r="R698" s="25">
        <v>70</v>
      </c>
      <c r="S698" s="26">
        <v>49.8</v>
      </c>
      <c r="Y698">
        <v>10</v>
      </c>
      <c r="Z698">
        <v>30</v>
      </c>
      <c r="AA698" s="3">
        <v>25</v>
      </c>
      <c r="AB698" s="3">
        <v>6</v>
      </c>
      <c r="AC698">
        <v>155</v>
      </c>
      <c r="AD698" s="9">
        <f t="shared" si="185"/>
        <v>5916</v>
      </c>
      <c r="AE698">
        <f t="shared" si="192"/>
        <v>2555730</v>
      </c>
      <c r="AF698" s="2">
        <f t="shared" si="196"/>
        <v>36</v>
      </c>
      <c r="AG698" t="str">
        <f t="shared" si="186"/>
        <v>98小时</v>
      </c>
      <c r="AH698">
        <f t="shared" si="187"/>
        <v>108</v>
      </c>
      <c r="AI698">
        <f t="shared" si="188"/>
        <v>18</v>
      </c>
      <c r="AJ698">
        <f t="shared" si="193"/>
        <v>62.5</v>
      </c>
      <c r="AK698">
        <f t="shared" si="189"/>
        <v>32</v>
      </c>
      <c r="AL698">
        <f t="shared" si="194"/>
        <v>36</v>
      </c>
      <c r="AM698" s="2">
        <f t="shared" si="190"/>
        <v>18</v>
      </c>
      <c r="AX698">
        <v>695</v>
      </c>
      <c r="AZ698" s="3"/>
      <c r="BB698" s="2">
        <f t="shared" si="191"/>
        <v>180</v>
      </c>
      <c r="BC698">
        <f t="shared" si="195"/>
        <v>16.420524691358025</v>
      </c>
      <c r="BD698" s="2">
        <f t="shared" si="197"/>
        <v>62.5</v>
      </c>
      <c r="BE698">
        <f t="shared" si="198"/>
        <v>36</v>
      </c>
      <c r="BF698">
        <f t="shared" si="199"/>
        <v>207360</v>
      </c>
    </row>
    <row r="699" spans="1:58" ht="14.25" x14ac:dyDescent="0.2">
      <c r="A699" s="11">
        <v>10916</v>
      </c>
      <c r="B699" s="13">
        <f t="shared" si="200"/>
        <v>14</v>
      </c>
      <c r="C699" s="15">
        <f t="shared" si="201"/>
        <v>10</v>
      </c>
      <c r="D699" s="14">
        <f t="shared" si="202"/>
        <v>9</v>
      </c>
      <c r="E699" t="s">
        <v>2777</v>
      </c>
      <c r="F699" t="s">
        <v>2834</v>
      </c>
      <c r="G699" t="s">
        <v>2779</v>
      </c>
      <c r="H699" t="s">
        <v>2779</v>
      </c>
      <c r="I699" t="s">
        <v>2780</v>
      </c>
      <c r="J699" s="4" t="s">
        <v>2839</v>
      </c>
      <c r="K699" t="s">
        <v>182</v>
      </c>
      <c r="L699" t="s">
        <v>163</v>
      </c>
      <c r="M699" t="s">
        <v>163</v>
      </c>
      <c r="N699" t="s">
        <v>163</v>
      </c>
      <c r="O699" s="6" t="s">
        <v>1177</v>
      </c>
      <c r="P699">
        <v>0</v>
      </c>
      <c r="Q699" s="24">
        <v>52.5</v>
      </c>
      <c r="R699" s="25">
        <v>70.5</v>
      </c>
      <c r="S699" s="26">
        <v>50</v>
      </c>
      <c r="Y699">
        <v>10</v>
      </c>
      <c r="Z699">
        <v>30</v>
      </c>
      <c r="AA699" s="3">
        <v>25</v>
      </c>
      <c r="AB699" s="3">
        <v>6</v>
      </c>
      <c r="AC699">
        <v>155</v>
      </c>
      <c r="AD699" s="9">
        <f t="shared" si="185"/>
        <v>5883.3333333333339</v>
      </c>
      <c r="AE699">
        <f t="shared" si="192"/>
        <v>2555730</v>
      </c>
      <c r="AF699" s="2">
        <f t="shared" si="196"/>
        <v>36.200000000000003</v>
      </c>
      <c r="AG699" t="str">
        <f t="shared" si="186"/>
        <v>98小时</v>
      </c>
      <c r="AH699">
        <f t="shared" si="187"/>
        <v>109</v>
      </c>
      <c r="AI699">
        <f t="shared" si="188"/>
        <v>19</v>
      </c>
      <c r="AJ699">
        <f t="shared" si="193"/>
        <v>62.8</v>
      </c>
      <c r="AK699">
        <f t="shared" si="189"/>
        <v>32</v>
      </c>
      <c r="AL699">
        <f t="shared" si="194"/>
        <v>36.200000000000003</v>
      </c>
      <c r="AM699" s="2">
        <f t="shared" si="190"/>
        <v>19</v>
      </c>
      <c r="AX699">
        <v>696</v>
      </c>
      <c r="AZ699" s="3"/>
      <c r="BB699" s="2">
        <f t="shared" si="191"/>
        <v>180</v>
      </c>
      <c r="BC699">
        <f t="shared" si="195"/>
        <v>16.329803560466544</v>
      </c>
      <c r="BD699" s="2">
        <f t="shared" si="197"/>
        <v>62.8</v>
      </c>
      <c r="BE699">
        <f t="shared" si="198"/>
        <v>36.200000000000003</v>
      </c>
      <c r="BF699">
        <f t="shared" si="199"/>
        <v>208512</v>
      </c>
    </row>
    <row r="700" spans="1:58" ht="14.25" x14ac:dyDescent="0.2">
      <c r="A700" s="11">
        <v>10917</v>
      </c>
      <c r="B700" s="13">
        <f t="shared" si="200"/>
        <v>14</v>
      </c>
      <c r="C700" s="15">
        <f t="shared" si="201"/>
        <v>10</v>
      </c>
      <c r="D700" s="14">
        <f t="shared" si="202"/>
        <v>9</v>
      </c>
      <c r="E700" t="s">
        <v>2777</v>
      </c>
      <c r="F700" t="s">
        <v>2835</v>
      </c>
      <c r="G700" t="s">
        <v>2779</v>
      </c>
      <c r="H700" t="s">
        <v>2779</v>
      </c>
      <c r="I700" t="s">
        <v>2780</v>
      </c>
      <c r="J700" s="4" t="s">
        <v>2839</v>
      </c>
      <c r="K700" t="s">
        <v>162</v>
      </c>
      <c r="L700" t="s">
        <v>163</v>
      </c>
      <c r="M700" t="s">
        <v>163</v>
      </c>
      <c r="N700" t="s">
        <v>163</v>
      </c>
      <c r="O700" s="6" t="s">
        <v>1177</v>
      </c>
      <c r="P700">
        <v>0</v>
      </c>
      <c r="Q700" s="24">
        <v>52.5</v>
      </c>
      <c r="R700" s="25">
        <v>70.5</v>
      </c>
      <c r="S700" s="26">
        <v>50</v>
      </c>
      <c r="Y700">
        <v>10</v>
      </c>
      <c r="Z700">
        <v>30</v>
      </c>
      <c r="AA700" s="3">
        <v>25</v>
      </c>
      <c r="AB700" s="3">
        <v>6</v>
      </c>
      <c r="AC700">
        <v>155</v>
      </c>
      <c r="AD700" s="9">
        <f t="shared" si="185"/>
        <v>5883.3333333333339</v>
      </c>
      <c r="AE700">
        <f t="shared" si="192"/>
        <v>2555730</v>
      </c>
      <c r="AF700" s="2">
        <f t="shared" si="196"/>
        <v>36.200000000000003</v>
      </c>
      <c r="AG700" t="str">
        <f t="shared" si="186"/>
        <v>98小时</v>
      </c>
      <c r="AH700">
        <f t="shared" si="187"/>
        <v>109</v>
      </c>
      <c r="AI700">
        <f t="shared" si="188"/>
        <v>19</v>
      </c>
      <c r="AJ700">
        <f t="shared" si="193"/>
        <v>62.8</v>
      </c>
      <c r="AK700">
        <f t="shared" si="189"/>
        <v>32</v>
      </c>
      <c r="AL700">
        <f t="shared" si="194"/>
        <v>36.200000000000003</v>
      </c>
      <c r="AM700" s="2">
        <f t="shared" si="190"/>
        <v>19</v>
      </c>
      <c r="AX700">
        <v>697</v>
      </c>
      <c r="AZ700" s="3"/>
      <c r="BB700" s="2">
        <f t="shared" si="191"/>
        <v>180</v>
      </c>
      <c r="BC700">
        <f t="shared" si="195"/>
        <v>16.329803560466544</v>
      </c>
      <c r="BD700" s="2">
        <f t="shared" si="197"/>
        <v>62.8</v>
      </c>
      <c r="BE700">
        <f t="shared" si="198"/>
        <v>36.200000000000003</v>
      </c>
      <c r="BF700">
        <f t="shared" si="199"/>
        <v>208512</v>
      </c>
    </row>
    <row r="701" spans="1:58" ht="14.25" x14ac:dyDescent="0.2">
      <c r="A701" s="11">
        <v>10918</v>
      </c>
      <c r="B701" s="13">
        <f t="shared" si="200"/>
        <v>14</v>
      </c>
      <c r="C701" s="15">
        <f t="shared" si="201"/>
        <v>10</v>
      </c>
      <c r="D701" s="14">
        <f t="shared" si="202"/>
        <v>10</v>
      </c>
      <c r="E701" t="s">
        <v>2777</v>
      </c>
      <c r="F701" t="s">
        <v>2836</v>
      </c>
      <c r="G701" t="s">
        <v>2779</v>
      </c>
      <c r="H701" t="s">
        <v>2779</v>
      </c>
      <c r="I701" t="s">
        <v>2780</v>
      </c>
      <c r="J701" s="4" t="s">
        <v>2839</v>
      </c>
      <c r="K701" t="s">
        <v>177</v>
      </c>
      <c r="L701" t="s">
        <v>163</v>
      </c>
      <c r="M701" t="s">
        <v>163</v>
      </c>
      <c r="N701" t="s">
        <v>163</v>
      </c>
      <c r="O701" s="6" t="s">
        <v>1179</v>
      </c>
      <c r="P701">
        <v>0</v>
      </c>
      <c r="Q701" s="24">
        <v>52.5</v>
      </c>
      <c r="R701" s="25">
        <v>70.5</v>
      </c>
      <c r="S701" s="26">
        <v>50</v>
      </c>
      <c r="Y701">
        <v>10</v>
      </c>
      <c r="Z701">
        <v>30</v>
      </c>
      <c r="AA701" s="3">
        <v>25</v>
      </c>
      <c r="AB701" s="3">
        <v>6</v>
      </c>
      <c r="AC701">
        <v>155</v>
      </c>
      <c r="AD701" s="9">
        <f t="shared" si="185"/>
        <v>5883.3333333333339</v>
      </c>
      <c r="AE701">
        <f t="shared" si="192"/>
        <v>2555730</v>
      </c>
      <c r="AF701" s="2">
        <f t="shared" si="196"/>
        <v>36.200000000000003</v>
      </c>
      <c r="AG701" t="str">
        <f t="shared" si="186"/>
        <v>98小时</v>
      </c>
      <c r="AH701">
        <f t="shared" si="187"/>
        <v>109</v>
      </c>
      <c r="AI701">
        <f t="shared" si="188"/>
        <v>19</v>
      </c>
      <c r="AJ701">
        <f t="shared" si="193"/>
        <v>62.8</v>
      </c>
      <c r="AK701">
        <f t="shared" si="189"/>
        <v>32</v>
      </c>
      <c r="AL701">
        <f t="shared" si="194"/>
        <v>36.200000000000003</v>
      </c>
      <c r="AM701" s="2">
        <f t="shared" si="190"/>
        <v>19</v>
      </c>
      <c r="AX701">
        <v>698</v>
      </c>
      <c r="AZ701" s="3"/>
      <c r="BB701" s="2">
        <f t="shared" si="191"/>
        <v>180</v>
      </c>
      <c r="BC701">
        <f t="shared" si="195"/>
        <v>16.329803560466544</v>
      </c>
      <c r="BD701" s="2">
        <f t="shared" si="197"/>
        <v>62.8</v>
      </c>
      <c r="BE701">
        <f t="shared" si="198"/>
        <v>36.200000000000003</v>
      </c>
      <c r="BF701">
        <f t="shared" si="199"/>
        <v>208512</v>
      </c>
    </row>
    <row r="702" spans="1:58" ht="14.25" x14ac:dyDescent="0.2">
      <c r="A702" s="11">
        <v>10919</v>
      </c>
      <c r="B702" s="13">
        <f t="shared" si="200"/>
        <v>14</v>
      </c>
      <c r="C702" s="15">
        <f t="shared" si="201"/>
        <v>10</v>
      </c>
      <c r="D702" s="14">
        <f t="shared" si="202"/>
        <v>10</v>
      </c>
      <c r="E702" t="s">
        <v>2777</v>
      </c>
      <c r="F702" t="s">
        <v>2837</v>
      </c>
      <c r="G702" t="s">
        <v>2779</v>
      </c>
      <c r="H702" t="s">
        <v>2779</v>
      </c>
      <c r="I702" t="s">
        <v>2780</v>
      </c>
      <c r="J702" s="4" t="s">
        <v>2839</v>
      </c>
      <c r="K702" t="s">
        <v>174</v>
      </c>
      <c r="L702" t="s">
        <v>163</v>
      </c>
      <c r="M702" t="s">
        <v>163</v>
      </c>
      <c r="N702" t="s">
        <v>163</v>
      </c>
      <c r="O702" s="6" t="s">
        <v>1181</v>
      </c>
      <c r="P702">
        <v>0</v>
      </c>
      <c r="Q702" s="24">
        <v>52.5</v>
      </c>
      <c r="R702" s="25">
        <v>70.5</v>
      </c>
      <c r="S702" s="26">
        <v>50</v>
      </c>
      <c r="Y702">
        <v>10</v>
      </c>
      <c r="Z702">
        <v>30</v>
      </c>
      <c r="AA702" s="3">
        <v>25</v>
      </c>
      <c r="AB702" s="3">
        <v>6</v>
      </c>
      <c r="AC702">
        <v>155</v>
      </c>
      <c r="AD702" s="9">
        <f t="shared" si="185"/>
        <v>5883.3333333333339</v>
      </c>
      <c r="AE702">
        <f t="shared" si="192"/>
        <v>2555730</v>
      </c>
      <c r="AF702" s="2">
        <f t="shared" si="196"/>
        <v>36.200000000000003</v>
      </c>
      <c r="AG702" t="str">
        <f t="shared" si="186"/>
        <v>98小时</v>
      </c>
      <c r="AH702">
        <f t="shared" si="187"/>
        <v>109</v>
      </c>
      <c r="AI702">
        <f t="shared" si="188"/>
        <v>19</v>
      </c>
      <c r="AJ702">
        <f t="shared" si="193"/>
        <v>62.8</v>
      </c>
      <c r="AK702">
        <f t="shared" si="189"/>
        <v>32</v>
      </c>
      <c r="AL702">
        <f t="shared" si="194"/>
        <v>36.200000000000003</v>
      </c>
      <c r="AM702" s="2">
        <f t="shared" si="190"/>
        <v>19</v>
      </c>
      <c r="AX702">
        <v>699</v>
      </c>
      <c r="AZ702" s="3"/>
      <c r="BB702" s="2">
        <f t="shared" si="191"/>
        <v>180</v>
      </c>
      <c r="BC702">
        <f t="shared" si="195"/>
        <v>16.329803560466544</v>
      </c>
      <c r="BD702" s="2">
        <f t="shared" si="197"/>
        <v>62.8</v>
      </c>
      <c r="BE702">
        <f t="shared" si="198"/>
        <v>36.200000000000003</v>
      </c>
      <c r="BF702">
        <f t="shared" si="199"/>
        <v>208512</v>
      </c>
    </row>
    <row r="703" spans="1:58" ht="14.25" x14ac:dyDescent="0.2">
      <c r="A703" s="11">
        <v>10920</v>
      </c>
      <c r="B703" s="13">
        <f t="shared" si="200"/>
        <v>14</v>
      </c>
      <c r="C703" s="15">
        <f t="shared" si="201"/>
        <v>10</v>
      </c>
      <c r="D703" s="14">
        <f t="shared" si="202"/>
        <v>10</v>
      </c>
      <c r="E703" t="s">
        <v>2785</v>
      </c>
      <c r="F703" t="s">
        <v>2786</v>
      </c>
      <c r="G703" t="s">
        <v>2833</v>
      </c>
      <c r="H703" t="s">
        <v>2829</v>
      </c>
      <c r="I703" t="s">
        <v>2697</v>
      </c>
      <c r="J703" s="4" t="s">
        <v>2877</v>
      </c>
      <c r="K703" t="s">
        <v>166</v>
      </c>
      <c r="L703" t="s">
        <v>163</v>
      </c>
      <c r="M703" t="s">
        <v>163</v>
      </c>
      <c r="N703" t="s">
        <v>163</v>
      </c>
      <c r="O703" s="6" t="s">
        <v>1181</v>
      </c>
      <c r="P703">
        <v>0</v>
      </c>
      <c r="Q703" s="24">
        <v>52.5</v>
      </c>
      <c r="R703" s="25">
        <v>70.5</v>
      </c>
      <c r="S703" s="26">
        <v>50</v>
      </c>
      <c r="Y703">
        <v>10</v>
      </c>
      <c r="Z703">
        <v>30</v>
      </c>
      <c r="AA703" s="3">
        <v>25</v>
      </c>
      <c r="AB703" s="3">
        <v>6</v>
      </c>
      <c r="AC703">
        <v>155</v>
      </c>
      <c r="AD703" s="9">
        <f t="shared" si="185"/>
        <v>5883.3333333333339</v>
      </c>
      <c r="AE703">
        <f t="shared" si="192"/>
        <v>2555730</v>
      </c>
      <c r="AF703" s="2">
        <f t="shared" si="196"/>
        <v>36.200000000000003</v>
      </c>
      <c r="AG703" t="str">
        <f t="shared" si="186"/>
        <v>98小时</v>
      </c>
      <c r="AH703">
        <f t="shared" si="187"/>
        <v>109</v>
      </c>
      <c r="AI703">
        <f t="shared" si="188"/>
        <v>19</v>
      </c>
      <c r="AJ703">
        <f t="shared" si="193"/>
        <v>62.8</v>
      </c>
      <c r="AK703">
        <f t="shared" si="189"/>
        <v>32</v>
      </c>
      <c r="AL703">
        <f t="shared" si="194"/>
        <v>36.200000000000003</v>
      </c>
      <c r="AM703" s="2">
        <f t="shared" si="190"/>
        <v>19</v>
      </c>
      <c r="AX703">
        <v>700</v>
      </c>
      <c r="AZ703" s="3"/>
      <c r="BB703" s="2">
        <f t="shared" si="191"/>
        <v>185</v>
      </c>
      <c r="BC703">
        <f t="shared" si="195"/>
        <v>17.854703806015962</v>
      </c>
      <c r="BD703" s="2">
        <f t="shared" si="197"/>
        <v>62.8</v>
      </c>
      <c r="BE703">
        <f t="shared" si="198"/>
        <v>36.200000000000003</v>
      </c>
      <c r="BF703">
        <f t="shared" si="199"/>
        <v>208512</v>
      </c>
    </row>
    <row r="704" spans="1:58" ht="14.25" x14ac:dyDescent="0.2">
      <c r="A704" s="11">
        <v>10921</v>
      </c>
      <c r="B704" s="13">
        <f t="shared" si="200"/>
        <v>14</v>
      </c>
      <c r="C704" s="15">
        <f t="shared" si="201"/>
        <v>10</v>
      </c>
      <c r="D704" s="14">
        <f t="shared" si="202"/>
        <v>10</v>
      </c>
      <c r="E704" t="s">
        <v>2777</v>
      </c>
      <c r="F704" t="s">
        <v>2834</v>
      </c>
      <c r="G704" t="s">
        <v>2779</v>
      </c>
      <c r="H704" t="s">
        <v>2779</v>
      </c>
      <c r="I704" t="s">
        <v>2780</v>
      </c>
      <c r="J704" s="4" t="s">
        <v>2839</v>
      </c>
      <c r="K704" t="s">
        <v>168</v>
      </c>
      <c r="L704" t="s">
        <v>163</v>
      </c>
      <c r="M704" t="s">
        <v>163</v>
      </c>
      <c r="N704" t="s">
        <v>163</v>
      </c>
      <c r="O704" s="6" t="s">
        <v>1183</v>
      </c>
      <c r="P704">
        <v>0</v>
      </c>
      <c r="Q704" s="24">
        <v>52.8</v>
      </c>
      <c r="R704" s="25">
        <v>71</v>
      </c>
      <c r="S704" s="26">
        <v>50.3</v>
      </c>
      <c r="Y704">
        <v>10</v>
      </c>
      <c r="Z704">
        <v>30</v>
      </c>
      <c r="AA704" s="3">
        <v>25</v>
      </c>
      <c r="AB704" s="3">
        <v>6</v>
      </c>
      <c r="AC704">
        <v>155</v>
      </c>
      <c r="AD704" s="9">
        <f t="shared" ref="AD704:AD767" si="203">INT(AE704/AF704)/60*5</f>
        <v>5835</v>
      </c>
      <c r="AE704">
        <f t="shared" si="192"/>
        <v>2555730</v>
      </c>
      <c r="AF704" s="2">
        <f t="shared" si="196"/>
        <v>36.5</v>
      </c>
      <c r="AG704" t="str">
        <f t="shared" ref="AG704:AG767" si="204">IF(AD704&lt;60,CONCATENATE(INT(AD704),"分钟"),CONCATENATE(INT(AD704/60),"小时"))</f>
        <v>97小时</v>
      </c>
      <c r="AH704">
        <f t="shared" ref="AH704:AH767" si="205">ROUNDUP(AF704*3,0)</f>
        <v>110</v>
      </c>
      <c r="AI704">
        <f t="shared" ref="AI704:AI767" si="206">ROUNDUP(AH704/AB704,0)</f>
        <v>19</v>
      </c>
      <c r="AJ704">
        <f t="shared" si="193"/>
        <v>63.300000000000004</v>
      </c>
      <c r="AK704">
        <f t="shared" ref="AK704:AK767" si="207">ROUNDUP(AJ704*3/AB704,0)</f>
        <v>32</v>
      </c>
      <c r="AL704">
        <f t="shared" si="194"/>
        <v>36.5</v>
      </c>
      <c r="AM704" s="2">
        <f t="shared" ref="AM704:AM767" si="208">ROUNDUP(AL704*3/AB704,0)</f>
        <v>19</v>
      </c>
      <c r="AX704">
        <v>701</v>
      </c>
      <c r="AZ704" s="3"/>
      <c r="BB704" s="2">
        <f t="shared" si="191"/>
        <v>185</v>
      </c>
      <c r="BC704">
        <f t="shared" si="195"/>
        <v>17.707952815829529</v>
      </c>
      <c r="BD704" s="2">
        <f t="shared" si="197"/>
        <v>63.300000000000004</v>
      </c>
      <c r="BE704">
        <f t="shared" si="198"/>
        <v>36.5</v>
      </c>
      <c r="BF704">
        <f t="shared" si="199"/>
        <v>210240</v>
      </c>
    </row>
    <row r="705" spans="1:58" ht="14.25" x14ac:dyDescent="0.2">
      <c r="A705" s="11">
        <v>10922</v>
      </c>
      <c r="B705" s="13">
        <f t="shared" si="200"/>
        <v>14</v>
      </c>
      <c r="C705" s="15">
        <f t="shared" si="201"/>
        <v>10</v>
      </c>
      <c r="D705" s="14">
        <f t="shared" si="202"/>
        <v>10</v>
      </c>
      <c r="E705" t="s">
        <v>2777</v>
      </c>
      <c r="F705" t="s">
        <v>2835</v>
      </c>
      <c r="G705" t="s">
        <v>2779</v>
      </c>
      <c r="H705" t="s">
        <v>2779</v>
      </c>
      <c r="I705" t="s">
        <v>2780</v>
      </c>
      <c r="J705" s="4" t="s">
        <v>2839</v>
      </c>
      <c r="K705" t="s">
        <v>175</v>
      </c>
      <c r="L705" t="s">
        <v>164</v>
      </c>
      <c r="M705" t="s">
        <v>163</v>
      </c>
      <c r="N705" t="s">
        <v>167</v>
      </c>
      <c r="O705" s="6" t="s">
        <v>1185</v>
      </c>
      <c r="P705">
        <v>0</v>
      </c>
      <c r="Q705" s="24">
        <v>52.8</v>
      </c>
      <c r="R705" s="25">
        <v>71</v>
      </c>
      <c r="S705" s="26">
        <v>50.3</v>
      </c>
      <c r="Y705">
        <v>10</v>
      </c>
      <c r="Z705">
        <v>30</v>
      </c>
      <c r="AA705" s="3">
        <v>25</v>
      </c>
      <c r="AB705" s="3">
        <v>6</v>
      </c>
      <c r="AC705">
        <v>155</v>
      </c>
      <c r="AD705" s="9">
        <f t="shared" si="203"/>
        <v>5835</v>
      </c>
      <c r="AE705">
        <f t="shared" si="192"/>
        <v>2555730</v>
      </c>
      <c r="AF705" s="2">
        <f t="shared" si="196"/>
        <v>36.5</v>
      </c>
      <c r="AG705" t="str">
        <f t="shared" si="204"/>
        <v>97小时</v>
      </c>
      <c r="AH705">
        <f t="shared" si="205"/>
        <v>110</v>
      </c>
      <c r="AI705">
        <f t="shared" si="206"/>
        <v>19</v>
      </c>
      <c r="AJ705">
        <f t="shared" si="193"/>
        <v>63.300000000000004</v>
      </c>
      <c r="AK705">
        <f t="shared" si="207"/>
        <v>32</v>
      </c>
      <c r="AL705">
        <f t="shared" si="194"/>
        <v>36.5</v>
      </c>
      <c r="AM705" s="2">
        <f t="shared" si="208"/>
        <v>19</v>
      </c>
      <c r="AX705">
        <v>702</v>
      </c>
      <c r="AZ705" s="3"/>
      <c r="BB705" s="2">
        <f t="shared" si="191"/>
        <v>185</v>
      </c>
      <c r="BC705">
        <f t="shared" si="195"/>
        <v>17.707952815829529</v>
      </c>
      <c r="BD705" s="2">
        <f t="shared" si="197"/>
        <v>63.300000000000004</v>
      </c>
      <c r="BE705">
        <f t="shared" si="198"/>
        <v>36.5</v>
      </c>
      <c r="BF705">
        <f t="shared" si="199"/>
        <v>210240</v>
      </c>
    </row>
    <row r="706" spans="1:58" ht="14.25" x14ac:dyDescent="0.2">
      <c r="A706" s="11">
        <v>10923</v>
      </c>
      <c r="B706" s="13">
        <f t="shared" si="200"/>
        <v>14</v>
      </c>
      <c r="C706" s="15">
        <f t="shared" si="201"/>
        <v>10</v>
      </c>
      <c r="D706" s="14">
        <f t="shared" si="202"/>
        <v>10</v>
      </c>
      <c r="E706" t="s">
        <v>2777</v>
      </c>
      <c r="F706" t="s">
        <v>2836</v>
      </c>
      <c r="G706" t="s">
        <v>2779</v>
      </c>
      <c r="H706" t="s">
        <v>2779</v>
      </c>
      <c r="I706" t="s">
        <v>2780</v>
      </c>
      <c r="J706" s="4" t="s">
        <v>2839</v>
      </c>
      <c r="K706" t="s">
        <v>179</v>
      </c>
      <c r="L706" t="s">
        <v>163</v>
      </c>
      <c r="M706" t="s">
        <v>163</v>
      </c>
      <c r="N706" t="s">
        <v>163</v>
      </c>
      <c r="O706" s="6" t="s">
        <v>1187</v>
      </c>
      <c r="P706">
        <v>0</v>
      </c>
      <c r="Q706" s="24">
        <v>52.8</v>
      </c>
      <c r="R706" s="25">
        <v>71</v>
      </c>
      <c r="S706" s="26">
        <v>50.3</v>
      </c>
      <c r="Y706">
        <v>10</v>
      </c>
      <c r="Z706">
        <v>30</v>
      </c>
      <c r="AA706" s="3">
        <v>25</v>
      </c>
      <c r="AB706" s="3">
        <v>6</v>
      </c>
      <c r="AC706">
        <v>155</v>
      </c>
      <c r="AD706" s="9">
        <f t="shared" si="203"/>
        <v>5835</v>
      </c>
      <c r="AE706">
        <f t="shared" si="192"/>
        <v>2555730</v>
      </c>
      <c r="AF706" s="2">
        <f t="shared" si="196"/>
        <v>36.5</v>
      </c>
      <c r="AG706" t="str">
        <f t="shared" si="204"/>
        <v>97小时</v>
      </c>
      <c r="AH706">
        <f t="shared" si="205"/>
        <v>110</v>
      </c>
      <c r="AI706">
        <f t="shared" si="206"/>
        <v>19</v>
      </c>
      <c r="AJ706">
        <f t="shared" si="193"/>
        <v>63.300000000000004</v>
      </c>
      <c r="AK706">
        <f t="shared" si="207"/>
        <v>32</v>
      </c>
      <c r="AL706">
        <f t="shared" si="194"/>
        <v>36.5</v>
      </c>
      <c r="AM706" s="2">
        <f t="shared" si="208"/>
        <v>19</v>
      </c>
      <c r="AX706">
        <v>703</v>
      </c>
      <c r="AZ706" s="3"/>
      <c r="BB706" s="2">
        <f t="shared" si="191"/>
        <v>185</v>
      </c>
      <c r="BC706">
        <f t="shared" si="195"/>
        <v>17.707952815829529</v>
      </c>
      <c r="BD706" s="2">
        <f t="shared" si="197"/>
        <v>63.300000000000004</v>
      </c>
      <c r="BE706">
        <f t="shared" si="198"/>
        <v>36.5</v>
      </c>
      <c r="BF706">
        <f t="shared" si="199"/>
        <v>210240</v>
      </c>
    </row>
    <row r="707" spans="1:58" ht="14.25" x14ac:dyDescent="0.2">
      <c r="A707" s="11">
        <v>10924</v>
      </c>
      <c r="B707" s="13">
        <f t="shared" si="200"/>
        <v>14</v>
      </c>
      <c r="C707" s="15">
        <f t="shared" si="201"/>
        <v>10</v>
      </c>
      <c r="D707" s="14">
        <f t="shared" si="202"/>
        <v>10</v>
      </c>
      <c r="E707" t="s">
        <v>2777</v>
      </c>
      <c r="F707" t="s">
        <v>2837</v>
      </c>
      <c r="G707" t="s">
        <v>2779</v>
      </c>
      <c r="H707" t="s">
        <v>2779</v>
      </c>
      <c r="I707" t="s">
        <v>2780</v>
      </c>
      <c r="J707" s="4" t="s">
        <v>2839</v>
      </c>
      <c r="K707" t="s">
        <v>177</v>
      </c>
      <c r="L707" t="s">
        <v>163</v>
      </c>
      <c r="M707" t="s">
        <v>163</v>
      </c>
      <c r="N707" t="s">
        <v>163</v>
      </c>
      <c r="O707" s="6" t="s">
        <v>1187</v>
      </c>
      <c r="P707">
        <v>0</v>
      </c>
      <c r="Q707" s="24">
        <v>52.8</v>
      </c>
      <c r="R707" s="25">
        <v>71</v>
      </c>
      <c r="S707" s="26">
        <v>50.3</v>
      </c>
      <c r="Y707">
        <v>10</v>
      </c>
      <c r="Z707">
        <v>30</v>
      </c>
      <c r="AA707" s="3">
        <v>25</v>
      </c>
      <c r="AB707" s="3">
        <v>6</v>
      </c>
      <c r="AC707">
        <v>155</v>
      </c>
      <c r="AD707" s="9">
        <f t="shared" si="203"/>
        <v>5835</v>
      </c>
      <c r="AE707">
        <f t="shared" si="192"/>
        <v>2555730</v>
      </c>
      <c r="AF707" s="2">
        <f t="shared" si="196"/>
        <v>36.5</v>
      </c>
      <c r="AG707" t="str">
        <f t="shared" si="204"/>
        <v>97小时</v>
      </c>
      <c r="AH707">
        <f t="shared" si="205"/>
        <v>110</v>
      </c>
      <c r="AI707">
        <f t="shared" si="206"/>
        <v>19</v>
      </c>
      <c r="AJ707">
        <f t="shared" si="193"/>
        <v>63.300000000000004</v>
      </c>
      <c r="AK707">
        <f t="shared" si="207"/>
        <v>32</v>
      </c>
      <c r="AL707">
        <f t="shared" si="194"/>
        <v>36.5</v>
      </c>
      <c r="AM707" s="2">
        <f t="shared" si="208"/>
        <v>19</v>
      </c>
      <c r="AX707">
        <v>704</v>
      </c>
      <c r="AZ707" s="3"/>
      <c r="BB707" s="2">
        <f t="shared" ref="BB707:BB770" si="209">100+FLOOR((AX707-190)/30,1)*5</f>
        <v>185</v>
      </c>
      <c r="BC707">
        <f t="shared" si="195"/>
        <v>17.707952815829529</v>
      </c>
      <c r="BD707" s="2">
        <f t="shared" si="197"/>
        <v>63.300000000000004</v>
      </c>
      <c r="BE707">
        <f t="shared" si="198"/>
        <v>36.5</v>
      </c>
      <c r="BF707">
        <f t="shared" si="199"/>
        <v>210240</v>
      </c>
    </row>
    <row r="708" spans="1:58" ht="14.25" x14ac:dyDescent="0.2">
      <c r="A708" s="11">
        <v>10925</v>
      </c>
      <c r="B708" s="13">
        <f t="shared" si="200"/>
        <v>14</v>
      </c>
      <c r="C708" s="15">
        <f t="shared" si="201"/>
        <v>10</v>
      </c>
      <c r="D708" s="14">
        <f t="shared" si="202"/>
        <v>10</v>
      </c>
      <c r="E708" t="s">
        <v>2785</v>
      </c>
      <c r="F708" t="s">
        <v>2786</v>
      </c>
      <c r="G708" t="s">
        <v>2828</v>
      </c>
      <c r="H708" t="s">
        <v>2829</v>
      </c>
      <c r="I708" t="s">
        <v>2697</v>
      </c>
      <c r="J708" s="4" t="s">
        <v>2877</v>
      </c>
      <c r="K708" t="s">
        <v>174</v>
      </c>
      <c r="L708" t="s">
        <v>163</v>
      </c>
      <c r="M708" t="s">
        <v>163</v>
      </c>
      <c r="N708" t="s">
        <v>163</v>
      </c>
      <c r="O708" s="6" t="s">
        <v>1189</v>
      </c>
      <c r="P708">
        <v>0</v>
      </c>
      <c r="Q708" s="24">
        <v>52.8</v>
      </c>
      <c r="R708" s="25">
        <v>71</v>
      </c>
      <c r="S708" s="26">
        <v>50.3</v>
      </c>
      <c r="Y708">
        <v>10</v>
      </c>
      <c r="Z708">
        <v>30</v>
      </c>
      <c r="AA708" s="3">
        <v>25</v>
      </c>
      <c r="AB708" s="3">
        <v>6</v>
      </c>
      <c r="AC708">
        <v>155</v>
      </c>
      <c r="AD708" s="9">
        <f t="shared" si="203"/>
        <v>5835</v>
      </c>
      <c r="AE708">
        <f t="shared" ref="AE708:AE771" si="210">INDEX(V:V,MATCH(AC708,U:U,0))</f>
        <v>2555730</v>
      </c>
      <c r="AF708" s="2">
        <f t="shared" si="196"/>
        <v>36.5</v>
      </c>
      <c r="AG708" t="str">
        <f t="shared" si="204"/>
        <v>97小时</v>
      </c>
      <c r="AH708">
        <f t="shared" si="205"/>
        <v>110</v>
      </c>
      <c r="AI708">
        <f t="shared" si="206"/>
        <v>19</v>
      </c>
      <c r="AJ708">
        <f t="shared" ref="AJ708:AJ771" si="211">BD708</f>
        <v>63.300000000000004</v>
      </c>
      <c r="AK708">
        <f t="shared" si="207"/>
        <v>32</v>
      </c>
      <c r="AL708">
        <f t="shared" ref="AL708:AL771" si="212">BE708</f>
        <v>36.5</v>
      </c>
      <c r="AM708" s="2">
        <f t="shared" si="208"/>
        <v>19</v>
      </c>
      <c r="AX708">
        <v>705</v>
      </c>
      <c r="AZ708" s="3"/>
      <c r="BB708" s="2">
        <f t="shared" si="209"/>
        <v>185</v>
      </c>
      <c r="BC708">
        <f t="shared" ref="BC708:BC771" si="213">INDEX($W:$W,MATCH(BB708,$U:$U,0))/(BE708*60*60/5)</f>
        <v>17.707952815829529</v>
      </c>
      <c r="BD708" s="2">
        <f t="shared" si="197"/>
        <v>63.300000000000004</v>
      </c>
      <c r="BE708">
        <f t="shared" si="198"/>
        <v>36.5</v>
      </c>
      <c r="BF708">
        <f t="shared" si="199"/>
        <v>210240</v>
      </c>
    </row>
    <row r="709" spans="1:58" ht="14.25" x14ac:dyDescent="0.2">
      <c r="A709" s="11">
        <v>10926</v>
      </c>
      <c r="B709" s="13">
        <f t="shared" si="200"/>
        <v>14</v>
      </c>
      <c r="C709" s="15">
        <f t="shared" si="201"/>
        <v>10</v>
      </c>
      <c r="D709" s="14">
        <f t="shared" si="202"/>
        <v>10</v>
      </c>
      <c r="E709" t="s">
        <v>2777</v>
      </c>
      <c r="F709" t="s">
        <v>2834</v>
      </c>
      <c r="G709" t="s">
        <v>2779</v>
      </c>
      <c r="H709" t="s">
        <v>2779</v>
      </c>
      <c r="I709" t="s">
        <v>2780</v>
      </c>
      <c r="J709" s="4" t="s">
        <v>2839</v>
      </c>
      <c r="K709" t="s">
        <v>182</v>
      </c>
      <c r="L709" t="s">
        <v>163</v>
      </c>
      <c r="M709" t="s">
        <v>163</v>
      </c>
      <c r="N709" t="s">
        <v>163</v>
      </c>
      <c r="O709" s="6" t="s">
        <v>1191</v>
      </c>
      <c r="P709">
        <v>0</v>
      </c>
      <c r="Q709" s="24">
        <v>53.2</v>
      </c>
      <c r="R709" s="25">
        <v>71.5</v>
      </c>
      <c r="S709" s="26">
        <v>50.5</v>
      </c>
      <c r="Y709">
        <v>10</v>
      </c>
      <c r="Z709">
        <v>30</v>
      </c>
      <c r="AA709" s="3">
        <v>25</v>
      </c>
      <c r="AB709" s="3">
        <v>6</v>
      </c>
      <c r="AC709">
        <v>155</v>
      </c>
      <c r="AD709" s="9">
        <f t="shared" si="203"/>
        <v>5803.166666666667</v>
      </c>
      <c r="AE709">
        <f t="shared" si="210"/>
        <v>2555730</v>
      </c>
      <c r="AF709" s="2">
        <f t="shared" ref="AF709:AF772" si="214">BE709</f>
        <v>36.700000000000003</v>
      </c>
      <c r="AG709" t="str">
        <f t="shared" si="204"/>
        <v>96小时</v>
      </c>
      <c r="AH709">
        <f t="shared" si="205"/>
        <v>111</v>
      </c>
      <c r="AI709">
        <f t="shared" si="206"/>
        <v>19</v>
      </c>
      <c r="AJ709">
        <f t="shared" si="211"/>
        <v>63.6</v>
      </c>
      <c r="AK709">
        <f t="shared" si="207"/>
        <v>32</v>
      </c>
      <c r="AL709">
        <f t="shared" si="212"/>
        <v>36.700000000000003</v>
      </c>
      <c r="AM709" s="2">
        <f t="shared" si="208"/>
        <v>19</v>
      </c>
      <c r="AX709">
        <v>706</v>
      </c>
      <c r="AZ709" s="3"/>
      <c r="BB709" s="2">
        <f t="shared" si="209"/>
        <v>185</v>
      </c>
      <c r="BC709">
        <f t="shared" si="213"/>
        <v>17.611451710566151</v>
      </c>
      <c r="BD709" s="2">
        <f t="shared" ref="BD709:BD772" si="215">ROUNDUP(BE709*1.5,1)+8.5</f>
        <v>63.6</v>
      </c>
      <c r="BE709">
        <f t="shared" ref="BE709:BE772" si="216">FLOOR(ROUNDUP(AX709/5,0)*0.25+1.25,0.1)</f>
        <v>36.700000000000003</v>
      </c>
      <c r="BF709">
        <f t="shared" ref="BF709:BF772" si="217">BE709*8*60*60/5</f>
        <v>211392</v>
      </c>
    </row>
    <row r="710" spans="1:58" ht="14.25" x14ac:dyDescent="0.2">
      <c r="A710" s="11">
        <v>10927</v>
      </c>
      <c r="B710" s="13">
        <f t="shared" si="200"/>
        <v>14</v>
      </c>
      <c r="C710" s="15">
        <f t="shared" si="201"/>
        <v>10</v>
      </c>
      <c r="D710" s="14">
        <f t="shared" si="202"/>
        <v>10</v>
      </c>
      <c r="E710" t="s">
        <v>2777</v>
      </c>
      <c r="F710" t="s">
        <v>2835</v>
      </c>
      <c r="G710" t="s">
        <v>2779</v>
      </c>
      <c r="H710" t="s">
        <v>2779</v>
      </c>
      <c r="I710" t="s">
        <v>2780</v>
      </c>
      <c r="J710" s="4" t="s">
        <v>2839</v>
      </c>
      <c r="K710" t="s">
        <v>162</v>
      </c>
      <c r="L710" t="s">
        <v>163</v>
      </c>
      <c r="M710" t="s">
        <v>163</v>
      </c>
      <c r="N710" t="s">
        <v>163</v>
      </c>
      <c r="O710" s="6" t="s">
        <v>1191</v>
      </c>
      <c r="P710">
        <v>0</v>
      </c>
      <c r="Q710" s="24">
        <v>53.2</v>
      </c>
      <c r="R710" s="25">
        <v>71.5</v>
      </c>
      <c r="S710" s="26">
        <v>50.5</v>
      </c>
      <c r="Y710">
        <v>10</v>
      </c>
      <c r="Z710">
        <v>30</v>
      </c>
      <c r="AA710" s="3">
        <v>25</v>
      </c>
      <c r="AB710" s="3">
        <v>6</v>
      </c>
      <c r="AC710">
        <v>155</v>
      </c>
      <c r="AD710" s="9">
        <f t="shared" si="203"/>
        <v>5803.166666666667</v>
      </c>
      <c r="AE710">
        <f t="shared" si="210"/>
        <v>2555730</v>
      </c>
      <c r="AF710" s="2">
        <f t="shared" si="214"/>
        <v>36.700000000000003</v>
      </c>
      <c r="AG710" t="str">
        <f t="shared" si="204"/>
        <v>96小时</v>
      </c>
      <c r="AH710">
        <f t="shared" si="205"/>
        <v>111</v>
      </c>
      <c r="AI710">
        <f t="shared" si="206"/>
        <v>19</v>
      </c>
      <c r="AJ710">
        <f t="shared" si="211"/>
        <v>63.6</v>
      </c>
      <c r="AK710">
        <f t="shared" si="207"/>
        <v>32</v>
      </c>
      <c r="AL710">
        <f t="shared" si="212"/>
        <v>36.700000000000003</v>
      </c>
      <c r="AM710" s="2">
        <f t="shared" si="208"/>
        <v>19</v>
      </c>
      <c r="AX710">
        <v>707</v>
      </c>
      <c r="AZ710" s="3"/>
      <c r="BB710" s="2">
        <f t="shared" si="209"/>
        <v>185</v>
      </c>
      <c r="BC710">
        <f t="shared" si="213"/>
        <v>17.611451710566151</v>
      </c>
      <c r="BD710" s="2">
        <f t="shared" si="215"/>
        <v>63.6</v>
      </c>
      <c r="BE710">
        <f t="shared" si="216"/>
        <v>36.700000000000003</v>
      </c>
      <c r="BF710">
        <f t="shared" si="217"/>
        <v>211392</v>
      </c>
    </row>
    <row r="711" spans="1:58" ht="14.25" x14ac:dyDescent="0.2">
      <c r="A711" s="11">
        <v>10928</v>
      </c>
      <c r="B711" s="13">
        <f t="shared" si="200"/>
        <v>14</v>
      </c>
      <c r="C711" s="15">
        <f t="shared" si="201"/>
        <v>10</v>
      </c>
      <c r="D711" s="14">
        <f t="shared" si="202"/>
        <v>10</v>
      </c>
      <c r="E711" t="s">
        <v>2777</v>
      </c>
      <c r="F711" t="s">
        <v>2836</v>
      </c>
      <c r="G711" t="s">
        <v>2779</v>
      </c>
      <c r="H711" t="s">
        <v>2779</v>
      </c>
      <c r="I711" t="s">
        <v>2780</v>
      </c>
      <c r="J711" s="4" t="s">
        <v>2839</v>
      </c>
      <c r="K711" t="s">
        <v>177</v>
      </c>
      <c r="L711" t="s">
        <v>163</v>
      </c>
      <c r="M711" t="s">
        <v>163</v>
      </c>
      <c r="N711" t="s">
        <v>163</v>
      </c>
      <c r="O711" s="6" t="s">
        <v>1193</v>
      </c>
      <c r="P711">
        <v>0</v>
      </c>
      <c r="Q711" s="24">
        <v>53.2</v>
      </c>
      <c r="R711" s="25">
        <v>71.5</v>
      </c>
      <c r="S711" s="26">
        <v>50.5</v>
      </c>
      <c r="Y711">
        <v>10</v>
      </c>
      <c r="Z711">
        <v>30</v>
      </c>
      <c r="AA711" s="3">
        <v>25</v>
      </c>
      <c r="AB711" s="3">
        <v>6</v>
      </c>
      <c r="AC711">
        <v>155</v>
      </c>
      <c r="AD711" s="9">
        <f t="shared" si="203"/>
        <v>5803.166666666667</v>
      </c>
      <c r="AE711">
        <f t="shared" si="210"/>
        <v>2555730</v>
      </c>
      <c r="AF711" s="2">
        <f t="shared" si="214"/>
        <v>36.700000000000003</v>
      </c>
      <c r="AG711" t="str">
        <f t="shared" si="204"/>
        <v>96小时</v>
      </c>
      <c r="AH711">
        <f t="shared" si="205"/>
        <v>111</v>
      </c>
      <c r="AI711">
        <f t="shared" si="206"/>
        <v>19</v>
      </c>
      <c r="AJ711">
        <f t="shared" si="211"/>
        <v>63.6</v>
      </c>
      <c r="AK711">
        <f t="shared" si="207"/>
        <v>32</v>
      </c>
      <c r="AL711">
        <f t="shared" si="212"/>
        <v>36.700000000000003</v>
      </c>
      <c r="AM711" s="2">
        <f t="shared" si="208"/>
        <v>19</v>
      </c>
      <c r="AX711">
        <v>708</v>
      </c>
      <c r="AZ711" s="3"/>
      <c r="BB711" s="2">
        <f t="shared" si="209"/>
        <v>185</v>
      </c>
      <c r="BC711">
        <f t="shared" si="213"/>
        <v>17.611451710566151</v>
      </c>
      <c r="BD711" s="2">
        <f t="shared" si="215"/>
        <v>63.6</v>
      </c>
      <c r="BE711">
        <f t="shared" si="216"/>
        <v>36.700000000000003</v>
      </c>
      <c r="BF711">
        <f t="shared" si="217"/>
        <v>211392</v>
      </c>
    </row>
    <row r="712" spans="1:58" ht="14.25" x14ac:dyDescent="0.2">
      <c r="A712" s="11">
        <v>10929</v>
      </c>
      <c r="B712" s="13">
        <f t="shared" si="200"/>
        <v>14</v>
      </c>
      <c r="C712" s="15">
        <f t="shared" si="201"/>
        <v>10</v>
      </c>
      <c r="D712" s="14">
        <f t="shared" si="202"/>
        <v>10</v>
      </c>
      <c r="E712" t="s">
        <v>2777</v>
      </c>
      <c r="F712" t="s">
        <v>2837</v>
      </c>
      <c r="G712" t="s">
        <v>2779</v>
      </c>
      <c r="H712" t="s">
        <v>2779</v>
      </c>
      <c r="I712" t="s">
        <v>2780</v>
      </c>
      <c r="J712" s="4" t="s">
        <v>2839</v>
      </c>
      <c r="K712" t="s">
        <v>174</v>
      </c>
      <c r="L712" t="s">
        <v>163</v>
      </c>
      <c r="M712" t="s">
        <v>163</v>
      </c>
      <c r="N712" t="s">
        <v>163</v>
      </c>
      <c r="O712" s="6" t="s">
        <v>1195</v>
      </c>
      <c r="P712">
        <v>0</v>
      </c>
      <c r="Q712" s="24">
        <v>53.2</v>
      </c>
      <c r="R712" s="25">
        <v>71.5</v>
      </c>
      <c r="S712" s="26">
        <v>50.5</v>
      </c>
      <c r="Y712">
        <v>10</v>
      </c>
      <c r="Z712">
        <v>30</v>
      </c>
      <c r="AA712" s="3">
        <v>25</v>
      </c>
      <c r="AB712" s="3">
        <v>6</v>
      </c>
      <c r="AC712">
        <v>155</v>
      </c>
      <c r="AD712" s="9">
        <f t="shared" si="203"/>
        <v>5803.166666666667</v>
      </c>
      <c r="AE712">
        <f t="shared" si="210"/>
        <v>2555730</v>
      </c>
      <c r="AF712" s="2">
        <f t="shared" si="214"/>
        <v>36.700000000000003</v>
      </c>
      <c r="AG712" t="str">
        <f t="shared" si="204"/>
        <v>96小时</v>
      </c>
      <c r="AH712">
        <f t="shared" si="205"/>
        <v>111</v>
      </c>
      <c r="AI712">
        <f t="shared" si="206"/>
        <v>19</v>
      </c>
      <c r="AJ712">
        <f t="shared" si="211"/>
        <v>63.6</v>
      </c>
      <c r="AK712">
        <f t="shared" si="207"/>
        <v>32</v>
      </c>
      <c r="AL712">
        <f t="shared" si="212"/>
        <v>36.700000000000003</v>
      </c>
      <c r="AM712" s="2">
        <f t="shared" si="208"/>
        <v>19</v>
      </c>
      <c r="AX712">
        <v>709</v>
      </c>
      <c r="AZ712" s="3"/>
      <c r="BB712" s="2">
        <f t="shared" si="209"/>
        <v>185</v>
      </c>
      <c r="BC712">
        <f t="shared" si="213"/>
        <v>17.611451710566151</v>
      </c>
      <c r="BD712" s="2">
        <f t="shared" si="215"/>
        <v>63.6</v>
      </c>
      <c r="BE712">
        <f t="shared" si="216"/>
        <v>36.700000000000003</v>
      </c>
      <c r="BF712">
        <f t="shared" si="217"/>
        <v>211392</v>
      </c>
    </row>
    <row r="713" spans="1:58" ht="14.25" x14ac:dyDescent="0.2">
      <c r="A713" s="11">
        <v>10930</v>
      </c>
      <c r="B713" s="13">
        <f t="shared" si="200"/>
        <v>14</v>
      </c>
      <c r="C713" s="15">
        <f t="shared" si="201"/>
        <v>10</v>
      </c>
      <c r="D713" s="14">
        <f t="shared" si="202"/>
        <v>10</v>
      </c>
      <c r="E713" t="s">
        <v>2785</v>
      </c>
      <c r="F713" t="s">
        <v>2786</v>
      </c>
      <c r="G713" t="s">
        <v>2830</v>
      </c>
      <c r="H713" t="s">
        <v>2829</v>
      </c>
      <c r="I713" t="s">
        <v>2697</v>
      </c>
      <c r="J713" s="4" t="s">
        <v>2859</v>
      </c>
      <c r="K713" t="s">
        <v>166</v>
      </c>
      <c r="L713" t="s">
        <v>163</v>
      </c>
      <c r="M713" t="s">
        <v>163</v>
      </c>
      <c r="N713" t="s">
        <v>163</v>
      </c>
      <c r="O713" s="6" t="s">
        <v>1195</v>
      </c>
      <c r="P713">
        <v>0</v>
      </c>
      <c r="Q713" s="24">
        <v>53.2</v>
      </c>
      <c r="R713" s="25">
        <v>71.5</v>
      </c>
      <c r="S713" s="26">
        <v>50.5</v>
      </c>
      <c r="Y713">
        <v>10</v>
      </c>
      <c r="Z713">
        <v>30</v>
      </c>
      <c r="AA713" s="3">
        <v>25</v>
      </c>
      <c r="AB713" s="3">
        <v>6</v>
      </c>
      <c r="AC713">
        <v>155</v>
      </c>
      <c r="AD713" s="9">
        <f t="shared" si="203"/>
        <v>5803.166666666667</v>
      </c>
      <c r="AE713">
        <f t="shared" si="210"/>
        <v>2555730</v>
      </c>
      <c r="AF713" s="2">
        <f t="shared" si="214"/>
        <v>36.700000000000003</v>
      </c>
      <c r="AG713" t="str">
        <f t="shared" si="204"/>
        <v>96小时</v>
      </c>
      <c r="AH713">
        <f t="shared" si="205"/>
        <v>111</v>
      </c>
      <c r="AI713">
        <f t="shared" si="206"/>
        <v>19</v>
      </c>
      <c r="AJ713">
        <f t="shared" si="211"/>
        <v>63.6</v>
      </c>
      <c r="AK713">
        <f t="shared" si="207"/>
        <v>32</v>
      </c>
      <c r="AL713">
        <f t="shared" si="212"/>
        <v>36.700000000000003</v>
      </c>
      <c r="AM713" s="2">
        <f t="shared" si="208"/>
        <v>19</v>
      </c>
      <c r="AX713">
        <v>710</v>
      </c>
      <c r="AZ713" s="3"/>
      <c r="BB713" s="2">
        <f t="shared" si="209"/>
        <v>185</v>
      </c>
      <c r="BC713">
        <f t="shared" si="213"/>
        <v>17.611451710566151</v>
      </c>
      <c r="BD713" s="2">
        <f t="shared" si="215"/>
        <v>63.6</v>
      </c>
      <c r="BE713">
        <f t="shared" si="216"/>
        <v>36.700000000000003</v>
      </c>
      <c r="BF713">
        <f t="shared" si="217"/>
        <v>211392</v>
      </c>
    </row>
    <row r="714" spans="1:58" ht="14.25" x14ac:dyDescent="0.2">
      <c r="A714" s="11">
        <v>10931</v>
      </c>
      <c r="B714" s="13">
        <f t="shared" si="200"/>
        <v>14</v>
      </c>
      <c r="C714" s="15">
        <f t="shared" si="201"/>
        <v>10</v>
      </c>
      <c r="D714" s="14">
        <f t="shared" si="202"/>
        <v>10</v>
      </c>
      <c r="E714" t="s">
        <v>2777</v>
      </c>
      <c r="F714" t="s">
        <v>2834</v>
      </c>
      <c r="G714" t="s">
        <v>2779</v>
      </c>
      <c r="H714" t="s">
        <v>2779</v>
      </c>
      <c r="I714" t="s">
        <v>2780</v>
      </c>
      <c r="J714" s="4" t="s">
        <v>2839</v>
      </c>
      <c r="K714" t="s">
        <v>168</v>
      </c>
      <c r="L714" t="s">
        <v>163</v>
      </c>
      <c r="M714" t="s">
        <v>163</v>
      </c>
      <c r="N714" t="s">
        <v>163</v>
      </c>
      <c r="O714" s="6" t="s">
        <v>1197</v>
      </c>
      <c r="P714">
        <v>0</v>
      </c>
      <c r="Q714" s="24">
        <v>53.5</v>
      </c>
      <c r="R714" s="25">
        <v>72</v>
      </c>
      <c r="S714" s="26">
        <v>50.8</v>
      </c>
      <c r="Y714">
        <v>10</v>
      </c>
      <c r="Z714">
        <v>30</v>
      </c>
      <c r="AA714" s="3">
        <v>25</v>
      </c>
      <c r="AB714" s="3">
        <v>6</v>
      </c>
      <c r="AC714">
        <v>155</v>
      </c>
      <c r="AD714" s="9">
        <f t="shared" si="203"/>
        <v>5756.0833333333339</v>
      </c>
      <c r="AE714">
        <f t="shared" si="210"/>
        <v>2555730</v>
      </c>
      <c r="AF714" s="2">
        <f t="shared" si="214"/>
        <v>37</v>
      </c>
      <c r="AG714" t="str">
        <f t="shared" si="204"/>
        <v>95小时</v>
      </c>
      <c r="AH714">
        <f t="shared" si="205"/>
        <v>111</v>
      </c>
      <c r="AI714">
        <f t="shared" si="206"/>
        <v>19</v>
      </c>
      <c r="AJ714">
        <f t="shared" si="211"/>
        <v>64</v>
      </c>
      <c r="AK714">
        <f t="shared" si="207"/>
        <v>32</v>
      </c>
      <c r="AL714">
        <f t="shared" si="212"/>
        <v>37</v>
      </c>
      <c r="AM714" s="2">
        <f t="shared" si="208"/>
        <v>19</v>
      </c>
      <c r="AX714">
        <v>711</v>
      </c>
      <c r="AZ714" s="3"/>
      <c r="BB714" s="2">
        <f t="shared" si="209"/>
        <v>185</v>
      </c>
      <c r="BC714">
        <f t="shared" si="213"/>
        <v>17.468656156156158</v>
      </c>
      <c r="BD714" s="2">
        <f t="shared" si="215"/>
        <v>64</v>
      </c>
      <c r="BE714">
        <f t="shared" si="216"/>
        <v>37</v>
      </c>
      <c r="BF714">
        <f t="shared" si="217"/>
        <v>213120</v>
      </c>
    </row>
    <row r="715" spans="1:58" ht="14.25" x14ac:dyDescent="0.2">
      <c r="A715" s="11">
        <v>10932</v>
      </c>
      <c r="B715" s="13">
        <f t="shared" si="200"/>
        <v>14</v>
      </c>
      <c r="C715" s="15">
        <f t="shared" si="201"/>
        <v>10</v>
      </c>
      <c r="D715" s="14">
        <f t="shared" si="202"/>
        <v>10</v>
      </c>
      <c r="E715" t="s">
        <v>2777</v>
      </c>
      <c r="F715" t="s">
        <v>2835</v>
      </c>
      <c r="G715" t="s">
        <v>2779</v>
      </c>
      <c r="H715" t="s">
        <v>2779</v>
      </c>
      <c r="I715" t="s">
        <v>2780</v>
      </c>
      <c r="J715" s="4" t="s">
        <v>2839</v>
      </c>
      <c r="K715" t="s">
        <v>175</v>
      </c>
      <c r="L715" t="s">
        <v>164</v>
      </c>
      <c r="M715" t="s">
        <v>163</v>
      </c>
      <c r="N715" t="s">
        <v>167</v>
      </c>
      <c r="O715" s="6" t="s">
        <v>1199</v>
      </c>
      <c r="P715">
        <v>0</v>
      </c>
      <c r="Q715" s="24">
        <v>53.5</v>
      </c>
      <c r="R715" s="25">
        <v>72</v>
      </c>
      <c r="S715" s="26">
        <v>50.8</v>
      </c>
      <c r="Y715">
        <v>10</v>
      </c>
      <c r="Z715">
        <v>30</v>
      </c>
      <c r="AA715" s="3">
        <v>25</v>
      </c>
      <c r="AB715" s="3">
        <v>6</v>
      </c>
      <c r="AC715">
        <v>155</v>
      </c>
      <c r="AD715" s="9">
        <f t="shared" si="203"/>
        <v>5756.0833333333339</v>
      </c>
      <c r="AE715">
        <f t="shared" si="210"/>
        <v>2555730</v>
      </c>
      <c r="AF715" s="2">
        <f t="shared" si="214"/>
        <v>37</v>
      </c>
      <c r="AG715" t="str">
        <f t="shared" si="204"/>
        <v>95小时</v>
      </c>
      <c r="AH715">
        <f t="shared" si="205"/>
        <v>111</v>
      </c>
      <c r="AI715">
        <f t="shared" si="206"/>
        <v>19</v>
      </c>
      <c r="AJ715">
        <f t="shared" si="211"/>
        <v>64</v>
      </c>
      <c r="AK715">
        <f t="shared" si="207"/>
        <v>32</v>
      </c>
      <c r="AL715">
        <f t="shared" si="212"/>
        <v>37</v>
      </c>
      <c r="AM715" s="2">
        <f t="shared" si="208"/>
        <v>19</v>
      </c>
      <c r="AX715">
        <v>712</v>
      </c>
      <c r="AZ715" s="3"/>
      <c r="BB715" s="2">
        <f t="shared" si="209"/>
        <v>185</v>
      </c>
      <c r="BC715">
        <f t="shared" si="213"/>
        <v>17.468656156156158</v>
      </c>
      <c r="BD715" s="2">
        <f t="shared" si="215"/>
        <v>64</v>
      </c>
      <c r="BE715">
        <f t="shared" si="216"/>
        <v>37</v>
      </c>
      <c r="BF715">
        <f t="shared" si="217"/>
        <v>213120</v>
      </c>
    </row>
    <row r="716" spans="1:58" ht="14.25" x14ac:dyDescent="0.2">
      <c r="A716" s="11">
        <v>10933</v>
      </c>
      <c r="B716" s="13">
        <f t="shared" si="200"/>
        <v>14</v>
      </c>
      <c r="C716" s="15">
        <f t="shared" si="201"/>
        <v>10</v>
      </c>
      <c r="D716" s="14">
        <f t="shared" si="202"/>
        <v>10</v>
      </c>
      <c r="E716" t="s">
        <v>2777</v>
      </c>
      <c r="F716" t="s">
        <v>2836</v>
      </c>
      <c r="G716" t="s">
        <v>2779</v>
      </c>
      <c r="H716" t="s">
        <v>2779</v>
      </c>
      <c r="I716" t="s">
        <v>2780</v>
      </c>
      <c r="J716" s="4" t="s">
        <v>2839</v>
      </c>
      <c r="K716" t="s">
        <v>179</v>
      </c>
      <c r="L716" t="s">
        <v>163</v>
      </c>
      <c r="M716" t="s">
        <v>163</v>
      </c>
      <c r="N716" t="s">
        <v>163</v>
      </c>
      <c r="O716" s="6" t="s">
        <v>1201</v>
      </c>
      <c r="P716">
        <v>0</v>
      </c>
      <c r="Q716" s="24">
        <v>53.5</v>
      </c>
      <c r="R716" s="25">
        <v>72</v>
      </c>
      <c r="S716" s="26">
        <v>50.8</v>
      </c>
      <c r="Y716">
        <v>10</v>
      </c>
      <c r="Z716">
        <v>30</v>
      </c>
      <c r="AA716" s="3">
        <v>25</v>
      </c>
      <c r="AB716" s="3">
        <v>6</v>
      </c>
      <c r="AC716">
        <v>155</v>
      </c>
      <c r="AD716" s="9">
        <f t="shared" si="203"/>
        <v>5756.0833333333339</v>
      </c>
      <c r="AE716">
        <f t="shared" si="210"/>
        <v>2555730</v>
      </c>
      <c r="AF716" s="2">
        <f t="shared" si="214"/>
        <v>37</v>
      </c>
      <c r="AG716" t="str">
        <f t="shared" si="204"/>
        <v>95小时</v>
      </c>
      <c r="AH716">
        <f t="shared" si="205"/>
        <v>111</v>
      </c>
      <c r="AI716">
        <f t="shared" si="206"/>
        <v>19</v>
      </c>
      <c r="AJ716">
        <f t="shared" si="211"/>
        <v>64</v>
      </c>
      <c r="AK716">
        <f t="shared" si="207"/>
        <v>32</v>
      </c>
      <c r="AL716">
        <f t="shared" si="212"/>
        <v>37</v>
      </c>
      <c r="AM716" s="2">
        <f t="shared" si="208"/>
        <v>19</v>
      </c>
      <c r="AX716">
        <v>713</v>
      </c>
      <c r="AZ716" s="3"/>
      <c r="BB716" s="2">
        <f t="shared" si="209"/>
        <v>185</v>
      </c>
      <c r="BC716">
        <f t="shared" si="213"/>
        <v>17.468656156156158</v>
      </c>
      <c r="BD716" s="2">
        <f t="shared" si="215"/>
        <v>64</v>
      </c>
      <c r="BE716">
        <f t="shared" si="216"/>
        <v>37</v>
      </c>
      <c r="BF716">
        <f t="shared" si="217"/>
        <v>213120</v>
      </c>
    </row>
    <row r="717" spans="1:58" ht="14.25" x14ac:dyDescent="0.2">
      <c r="A717" s="11">
        <v>10934</v>
      </c>
      <c r="B717" s="13">
        <f t="shared" si="200"/>
        <v>14</v>
      </c>
      <c r="C717" s="15">
        <f t="shared" si="201"/>
        <v>10</v>
      </c>
      <c r="D717" s="14">
        <f t="shared" si="202"/>
        <v>10</v>
      </c>
      <c r="E717" t="s">
        <v>2777</v>
      </c>
      <c r="F717" t="s">
        <v>2837</v>
      </c>
      <c r="G717" t="s">
        <v>2779</v>
      </c>
      <c r="H717" t="s">
        <v>2779</v>
      </c>
      <c r="I717" t="s">
        <v>2780</v>
      </c>
      <c r="J717" s="4" t="s">
        <v>2839</v>
      </c>
      <c r="K717" t="s">
        <v>177</v>
      </c>
      <c r="L717" t="s">
        <v>163</v>
      </c>
      <c r="M717" t="s">
        <v>163</v>
      </c>
      <c r="N717" t="s">
        <v>163</v>
      </c>
      <c r="O717" s="6" t="s">
        <v>1201</v>
      </c>
      <c r="P717">
        <v>0</v>
      </c>
      <c r="Q717" s="24">
        <v>53.5</v>
      </c>
      <c r="R717" s="25">
        <v>72</v>
      </c>
      <c r="S717" s="26">
        <v>50.8</v>
      </c>
      <c r="Y717">
        <v>10</v>
      </c>
      <c r="Z717">
        <v>30</v>
      </c>
      <c r="AA717" s="3">
        <v>25</v>
      </c>
      <c r="AB717" s="3">
        <v>6</v>
      </c>
      <c r="AC717">
        <v>155</v>
      </c>
      <c r="AD717" s="9">
        <f t="shared" si="203"/>
        <v>5756.0833333333339</v>
      </c>
      <c r="AE717">
        <f t="shared" si="210"/>
        <v>2555730</v>
      </c>
      <c r="AF717" s="2">
        <f t="shared" si="214"/>
        <v>37</v>
      </c>
      <c r="AG717" t="str">
        <f t="shared" si="204"/>
        <v>95小时</v>
      </c>
      <c r="AH717">
        <f t="shared" si="205"/>
        <v>111</v>
      </c>
      <c r="AI717">
        <f t="shared" si="206"/>
        <v>19</v>
      </c>
      <c r="AJ717">
        <f t="shared" si="211"/>
        <v>64</v>
      </c>
      <c r="AK717">
        <f t="shared" si="207"/>
        <v>32</v>
      </c>
      <c r="AL717">
        <f t="shared" si="212"/>
        <v>37</v>
      </c>
      <c r="AM717" s="2">
        <f t="shared" si="208"/>
        <v>19</v>
      </c>
      <c r="AX717">
        <v>714</v>
      </c>
      <c r="AZ717" s="3"/>
      <c r="BB717" s="2">
        <f t="shared" si="209"/>
        <v>185</v>
      </c>
      <c r="BC717">
        <f t="shared" si="213"/>
        <v>17.468656156156158</v>
      </c>
      <c r="BD717" s="2">
        <f t="shared" si="215"/>
        <v>64</v>
      </c>
      <c r="BE717">
        <f t="shared" si="216"/>
        <v>37</v>
      </c>
      <c r="BF717">
        <f t="shared" si="217"/>
        <v>213120</v>
      </c>
    </row>
    <row r="718" spans="1:58" ht="14.25" x14ac:dyDescent="0.2">
      <c r="A718" s="11">
        <v>10935</v>
      </c>
      <c r="B718" s="13">
        <f t="shared" si="200"/>
        <v>14</v>
      </c>
      <c r="C718" s="15">
        <f t="shared" si="201"/>
        <v>10</v>
      </c>
      <c r="D718" s="14">
        <f t="shared" si="202"/>
        <v>10</v>
      </c>
      <c r="E718" t="s">
        <v>2785</v>
      </c>
      <c r="F718" t="s">
        <v>2786</v>
      </c>
      <c r="G718" t="s">
        <v>2831</v>
      </c>
      <c r="H718" t="s">
        <v>2829</v>
      </c>
      <c r="I718" t="s">
        <v>2697</v>
      </c>
      <c r="J718" s="4" t="s">
        <v>2859</v>
      </c>
      <c r="K718" t="s">
        <v>174</v>
      </c>
      <c r="L718" t="s">
        <v>163</v>
      </c>
      <c r="M718" t="s">
        <v>163</v>
      </c>
      <c r="N718" t="s">
        <v>163</v>
      </c>
      <c r="O718" s="6" t="s">
        <v>1203</v>
      </c>
      <c r="P718">
        <v>0</v>
      </c>
      <c r="Q718" s="24">
        <v>53.5</v>
      </c>
      <c r="R718" s="25">
        <v>72</v>
      </c>
      <c r="S718" s="26">
        <v>50.8</v>
      </c>
      <c r="Y718">
        <v>10</v>
      </c>
      <c r="Z718">
        <v>30</v>
      </c>
      <c r="AA718" s="3">
        <v>25</v>
      </c>
      <c r="AB718" s="3">
        <v>6</v>
      </c>
      <c r="AC718">
        <v>155</v>
      </c>
      <c r="AD718" s="9">
        <f t="shared" si="203"/>
        <v>5756.0833333333339</v>
      </c>
      <c r="AE718">
        <f t="shared" si="210"/>
        <v>2555730</v>
      </c>
      <c r="AF718" s="2">
        <f t="shared" si="214"/>
        <v>37</v>
      </c>
      <c r="AG718" t="str">
        <f t="shared" si="204"/>
        <v>95小时</v>
      </c>
      <c r="AH718">
        <f t="shared" si="205"/>
        <v>111</v>
      </c>
      <c r="AI718">
        <f t="shared" si="206"/>
        <v>19</v>
      </c>
      <c r="AJ718">
        <f t="shared" si="211"/>
        <v>64</v>
      </c>
      <c r="AK718">
        <f t="shared" si="207"/>
        <v>32</v>
      </c>
      <c r="AL718">
        <f t="shared" si="212"/>
        <v>37</v>
      </c>
      <c r="AM718" s="2">
        <f t="shared" si="208"/>
        <v>19</v>
      </c>
      <c r="AX718">
        <v>715</v>
      </c>
      <c r="AZ718" s="3"/>
      <c r="BB718" s="2">
        <f t="shared" si="209"/>
        <v>185</v>
      </c>
      <c r="BC718">
        <f t="shared" si="213"/>
        <v>17.468656156156158</v>
      </c>
      <c r="BD718" s="2">
        <f t="shared" si="215"/>
        <v>64</v>
      </c>
      <c r="BE718">
        <f t="shared" si="216"/>
        <v>37</v>
      </c>
      <c r="BF718">
        <f t="shared" si="217"/>
        <v>213120</v>
      </c>
    </row>
    <row r="719" spans="1:58" ht="14.25" x14ac:dyDescent="0.2">
      <c r="A719" s="11">
        <v>10936</v>
      </c>
      <c r="B719" s="13">
        <f t="shared" si="200"/>
        <v>14</v>
      </c>
      <c r="C719" s="15">
        <f t="shared" si="201"/>
        <v>10</v>
      </c>
      <c r="D719" s="14">
        <f t="shared" si="202"/>
        <v>10</v>
      </c>
      <c r="E719" t="s">
        <v>2777</v>
      </c>
      <c r="F719" t="s">
        <v>2834</v>
      </c>
      <c r="G719" t="s">
        <v>2779</v>
      </c>
      <c r="H719" t="s">
        <v>2779</v>
      </c>
      <c r="I719" t="s">
        <v>2780</v>
      </c>
      <c r="J719" s="4" t="s">
        <v>2839</v>
      </c>
      <c r="K719" t="s">
        <v>182</v>
      </c>
      <c r="L719" t="s">
        <v>163</v>
      </c>
      <c r="M719" t="s">
        <v>163</v>
      </c>
      <c r="N719" t="s">
        <v>163</v>
      </c>
      <c r="O719" s="6" t="s">
        <v>1205</v>
      </c>
      <c r="P719">
        <v>0</v>
      </c>
      <c r="Q719" s="24">
        <v>53.8</v>
      </c>
      <c r="R719" s="25">
        <v>72.5</v>
      </c>
      <c r="S719" s="26">
        <v>51</v>
      </c>
      <c r="Y719">
        <v>10</v>
      </c>
      <c r="Z719">
        <v>30</v>
      </c>
      <c r="AA719" s="3">
        <v>25</v>
      </c>
      <c r="AB719" s="3">
        <v>6</v>
      </c>
      <c r="AC719">
        <v>155</v>
      </c>
      <c r="AD719" s="9">
        <f t="shared" si="203"/>
        <v>5725.1666666666661</v>
      </c>
      <c r="AE719">
        <f t="shared" si="210"/>
        <v>2555730</v>
      </c>
      <c r="AF719" s="2">
        <f t="shared" si="214"/>
        <v>37.200000000000003</v>
      </c>
      <c r="AG719" t="str">
        <f t="shared" si="204"/>
        <v>95小时</v>
      </c>
      <c r="AH719">
        <f t="shared" si="205"/>
        <v>112</v>
      </c>
      <c r="AI719">
        <f t="shared" si="206"/>
        <v>19</v>
      </c>
      <c r="AJ719">
        <f t="shared" si="211"/>
        <v>64.3</v>
      </c>
      <c r="AK719">
        <f t="shared" si="207"/>
        <v>33</v>
      </c>
      <c r="AL719">
        <f t="shared" si="212"/>
        <v>37.200000000000003</v>
      </c>
      <c r="AM719" s="2">
        <f t="shared" si="208"/>
        <v>19</v>
      </c>
      <c r="AX719">
        <v>716</v>
      </c>
      <c r="AZ719" s="3"/>
      <c r="BB719" s="2">
        <f t="shared" si="209"/>
        <v>185</v>
      </c>
      <c r="BC719">
        <f t="shared" si="213"/>
        <v>17.374738649940262</v>
      </c>
      <c r="BD719" s="2">
        <f t="shared" si="215"/>
        <v>64.3</v>
      </c>
      <c r="BE719">
        <f t="shared" si="216"/>
        <v>37.200000000000003</v>
      </c>
      <c r="BF719">
        <f t="shared" si="217"/>
        <v>214272</v>
      </c>
    </row>
    <row r="720" spans="1:58" ht="14.25" x14ac:dyDescent="0.2">
      <c r="A720" s="11">
        <v>10937</v>
      </c>
      <c r="B720" s="13">
        <f t="shared" ref="B720:B783" si="218">FLOOR(R718/5,1)</f>
        <v>14</v>
      </c>
      <c r="C720" s="15">
        <f t="shared" ref="C720:C783" si="219">FLOOR(Q718/5,1)</f>
        <v>10</v>
      </c>
      <c r="D720" s="14">
        <f t="shared" ref="D720:D783" si="220">FLOOR(S718/5,1)</f>
        <v>10</v>
      </c>
      <c r="E720" t="s">
        <v>2777</v>
      </c>
      <c r="F720" t="s">
        <v>2835</v>
      </c>
      <c r="G720" t="s">
        <v>2779</v>
      </c>
      <c r="H720" t="s">
        <v>2779</v>
      </c>
      <c r="I720" t="s">
        <v>2780</v>
      </c>
      <c r="J720" s="4" t="s">
        <v>2839</v>
      </c>
      <c r="K720" t="s">
        <v>162</v>
      </c>
      <c r="L720" t="s">
        <v>163</v>
      </c>
      <c r="M720" t="s">
        <v>163</v>
      </c>
      <c r="N720" t="s">
        <v>163</v>
      </c>
      <c r="O720" s="6" t="s">
        <v>1205</v>
      </c>
      <c r="P720">
        <v>0</v>
      </c>
      <c r="Q720" s="24">
        <v>53.8</v>
      </c>
      <c r="R720" s="25">
        <v>72.5</v>
      </c>
      <c r="S720" s="26">
        <v>51</v>
      </c>
      <c r="Y720">
        <v>10</v>
      </c>
      <c r="Z720">
        <v>30</v>
      </c>
      <c r="AA720" s="3">
        <v>25</v>
      </c>
      <c r="AB720" s="3">
        <v>6</v>
      </c>
      <c r="AC720">
        <v>155</v>
      </c>
      <c r="AD720" s="9">
        <f t="shared" si="203"/>
        <v>5725.1666666666661</v>
      </c>
      <c r="AE720">
        <f t="shared" si="210"/>
        <v>2555730</v>
      </c>
      <c r="AF720" s="2">
        <f t="shared" si="214"/>
        <v>37.200000000000003</v>
      </c>
      <c r="AG720" t="str">
        <f t="shared" si="204"/>
        <v>95小时</v>
      </c>
      <c r="AH720">
        <f t="shared" si="205"/>
        <v>112</v>
      </c>
      <c r="AI720">
        <f t="shared" si="206"/>
        <v>19</v>
      </c>
      <c r="AJ720">
        <f t="shared" si="211"/>
        <v>64.3</v>
      </c>
      <c r="AK720">
        <f t="shared" si="207"/>
        <v>33</v>
      </c>
      <c r="AL720">
        <f t="shared" si="212"/>
        <v>37.200000000000003</v>
      </c>
      <c r="AM720" s="2">
        <f t="shared" si="208"/>
        <v>19</v>
      </c>
      <c r="AX720">
        <v>717</v>
      </c>
      <c r="AZ720" s="3"/>
      <c r="BB720" s="2">
        <f t="shared" si="209"/>
        <v>185</v>
      </c>
      <c r="BC720">
        <f t="shared" si="213"/>
        <v>17.374738649940262</v>
      </c>
      <c r="BD720" s="2">
        <f t="shared" si="215"/>
        <v>64.3</v>
      </c>
      <c r="BE720">
        <f t="shared" si="216"/>
        <v>37.200000000000003</v>
      </c>
      <c r="BF720">
        <f t="shared" si="217"/>
        <v>214272</v>
      </c>
    </row>
    <row r="721" spans="1:58" ht="14.25" x14ac:dyDescent="0.2">
      <c r="A721" s="11">
        <v>10938</v>
      </c>
      <c r="B721" s="13">
        <f t="shared" si="218"/>
        <v>14</v>
      </c>
      <c r="C721" s="15">
        <f t="shared" si="219"/>
        <v>10</v>
      </c>
      <c r="D721" s="14">
        <f t="shared" si="220"/>
        <v>10</v>
      </c>
      <c r="E721" t="s">
        <v>2777</v>
      </c>
      <c r="F721" t="s">
        <v>2836</v>
      </c>
      <c r="G721" t="s">
        <v>2779</v>
      </c>
      <c r="H721" t="s">
        <v>2779</v>
      </c>
      <c r="I721" t="s">
        <v>2780</v>
      </c>
      <c r="J721" s="4" t="s">
        <v>2839</v>
      </c>
      <c r="K721" t="s">
        <v>177</v>
      </c>
      <c r="L721" t="s">
        <v>163</v>
      </c>
      <c r="M721" t="s">
        <v>163</v>
      </c>
      <c r="N721" t="s">
        <v>163</v>
      </c>
      <c r="O721" s="6" t="s">
        <v>1207</v>
      </c>
      <c r="P721">
        <v>0</v>
      </c>
      <c r="Q721" s="24">
        <v>53.8</v>
      </c>
      <c r="R721" s="25">
        <v>72.5</v>
      </c>
      <c r="S721" s="26">
        <v>51</v>
      </c>
      <c r="Y721">
        <v>10</v>
      </c>
      <c r="Z721">
        <v>30</v>
      </c>
      <c r="AA721" s="3">
        <v>25</v>
      </c>
      <c r="AB721" s="3">
        <v>6</v>
      </c>
      <c r="AC721">
        <v>155</v>
      </c>
      <c r="AD721" s="9">
        <f t="shared" si="203"/>
        <v>5725.1666666666661</v>
      </c>
      <c r="AE721">
        <f t="shared" si="210"/>
        <v>2555730</v>
      </c>
      <c r="AF721" s="2">
        <f t="shared" si="214"/>
        <v>37.200000000000003</v>
      </c>
      <c r="AG721" t="str">
        <f t="shared" si="204"/>
        <v>95小时</v>
      </c>
      <c r="AH721">
        <f t="shared" si="205"/>
        <v>112</v>
      </c>
      <c r="AI721">
        <f t="shared" si="206"/>
        <v>19</v>
      </c>
      <c r="AJ721">
        <f t="shared" si="211"/>
        <v>64.3</v>
      </c>
      <c r="AK721">
        <f t="shared" si="207"/>
        <v>33</v>
      </c>
      <c r="AL721">
        <f t="shared" si="212"/>
        <v>37.200000000000003</v>
      </c>
      <c r="AM721" s="2">
        <f t="shared" si="208"/>
        <v>19</v>
      </c>
      <c r="AX721">
        <v>718</v>
      </c>
      <c r="AZ721" s="3"/>
      <c r="BB721" s="2">
        <f t="shared" si="209"/>
        <v>185</v>
      </c>
      <c r="BC721">
        <f t="shared" si="213"/>
        <v>17.374738649940262</v>
      </c>
      <c r="BD721" s="2">
        <f t="shared" si="215"/>
        <v>64.3</v>
      </c>
      <c r="BE721">
        <f t="shared" si="216"/>
        <v>37.200000000000003</v>
      </c>
      <c r="BF721">
        <f t="shared" si="217"/>
        <v>214272</v>
      </c>
    </row>
    <row r="722" spans="1:58" ht="14.25" x14ac:dyDescent="0.2">
      <c r="A722" s="11">
        <v>10939</v>
      </c>
      <c r="B722" s="13">
        <f t="shared" si="218"/>
        <v>14</v>
      </c>
      <c r="C722" s="15">
        <f t="shared" si="219"/>
        <v>10</v>
      </c>
      <c r="D722" s="14">
        <f t="shared" si="220"/>
        <v>10</v>
      </c>
      <c r="E722" t="s">
        <v>2777</v>
      </c>
      <c r="F722" t="s">
        <v>2837</v>
      </c>
      <c r="G722" t="s">
        <v>2779</v>
      </c>
      <c r="H722" t="s">
        <v>2779</v>
      </c>
      <c r="I722" t="s">
        <v>2780</v>
      </c>
      <c r="J722" s="4" t="s">
        <v>2839</v>
      </c>
      <c r="K722" t="s">
        <v>174</v>
      </c>
      <c r="L722" t="s">
        <v>163</v>
      </c>
      <c r="M722" t="s">
        <v>163</v>
      </c>
      <c r="N722" t="s">
        <v>163</v>
      </c>
      <c r="O722" s="6" t="s">
        <v>1209</v>
      </c>
      <c r="P722">
        <v>0</v>
      </c>
      <c r="Q722" s="24">
        <v>53.8</v>
      </c>
      <c r="R722" s="25">
        <v>72.5</v>
      </c>
      <c r="S722" s="26">
        <v>51</v>
      </c>
      <c r="Y722">
        <v>10</v>
      </c>
      <c r="Z722">
        <v>30</v>
      </c>
      <c r="AA722" s="3">
        <v>25</v>
      </c>
      <c r="AB722" s="3">
        <v>6</v>
      </c>
      <c r="AC722">
        <v>155</v>
      </c>
      <c r="AD722" s="9">
        <f t="shared" si="203"/>
        <v>5725.1666666666661</v>
      </c>
      <c r="AE722">
        <f t="shared" si="210"/>
        <v>2555730</v>
      </c>
      <c r="AF722" s="2">
        <f t="shared" si="214"/>
        <v>37.200000000000003</v>
      </c>
      <c r="AG722" t="str">
        <f t="shared" si="204"/>
        <v>95小时</v>
      </c>
      <c r="AH722">
        <f t="shared" si="205"/>
        <v>112</v>
      </c>
      <c r="AI722">
        <f t="shared" si="206"/>
        <v>19</v>
      </c>
      <c r="AJ722">
        <f t="shared" si="211"/>
        <v>64.3</v>
      </c>
      <c r="AK722">
        <f t="shared" si="207"/>
        <v>33</v>
      </c>
      <c r="AL722">
        <f t="shared" si="212"/>
        <v>37.200000000000003</v>
      </c>
      <c r="AM722" s="2">
        <f t="shared" si="208"/>
        <v>19</v>
      </c>
      <c r="AX722">
        <v>719</v>
      </c>
      <c r="AZ722" s="3"/>
      <c r="BB722" s="2">
        <f t="shared" si="209"/>
        <v>185</v>
      </c>
      <c r="BC722">
        <f t="shared" si="213"/>
        <v>17.374738649940262</v>
      </c>
      <c r="BD722" s="2">
        <f t="shared" si="215"/>
        <v>64.3</v>
      </c>
      <c r="BE722">
        <f t="shared" si="216"/>
        <v>37.200000000000003</v>
      </c>
      <c r="BF722">
        <f t="shared" si="217"/>
        <v>214272</v>
      </c>
    </row>
    <row r="723" spans="1:58" ht="14.25" x14ac:dyDescent="0.2">
      <c r="A723" s="11">
        <v>10940</v>
      </c>
      <c r="B723" s="13">
        <f t="shared" si="218"/>
        <v>14</v>
      </c>
      <c r="C723" s="15">
        <f t="shared" si="219"/>
        <v>10</v>
      </c>
      <c r="D723" s="14">
        <f t="shared" si="220"/>
        <v>10</v>
      </c>
      <c r="E723" t="s">
        <v>2785</v>
      </c>
      <c r="F723" t="s">
        <v>2786</v>
      </c>
      <c r="G723" t="s">
        <v>2832</v>
      </c>
      <c r="H723" t="s">
        <v>2829</v>
      </c>
      <c r="I723" t="s">
        <v>2697</v>
      </c>
      <c r="J723" s="4" t="s">
        <v>2859</v>
      </c>
      <c r="K723" t="s">
        <v>166</v>
      </c>
      <c r="L723" t="s">
        <v>163</v>
      </c>
      <c r="M723" t="s">
        <v>163</v>
      </c>
      <c r="N723" t="s">
        <v>163</v>
      </c>
      <c r="O723" s="6" t="s">
        <v>1209</v>
      </c>
      <c r="P723">
        <v>0</v>
      </c>
      <c r="Q723" s="24">
        <v>53.8</v>
      </c>
      <c r="R723" s="25">
        <v>72.5</v>
      </c>
      <c r="S723" s="26">
        <v>51</v>
      </c>
      <c r="Y723">
        <v>10</v>
      </c>
      <c r="Z723">
        <v>30</v>
      </c>
      <c r="AA723" s="3">
        <v>25</v>
      </c>
      <c r="AB723" s="3">
        <v>6</v>
      </c>
      <c r="AC723">
        <v>155</v>
      </c>
      <c r="AD723" s="9">
        <f t="shared" si="203"/>
        <v>5725.1666666666661</v>
      </c>
      <c r="AE723">
        <f t="shared" si="210"/>
        <v>2555730</v>
      </c>
      <c r="AF723" s="2">
        <f t="shared" si="214"/>
        <v>37.200000000000003</v>
      </c>
      <c r="AG723" t="str">
        <f t="shared" si="204"/>
        <v>95小时</v>
      </c>
      <c r="AH723">
        <f t="shared" si="205"/>
        <v>112</v>
      </c>
      <c r="AI723">
        <f t="shared" si="206"/>
        <v>19</v>
      </c>
      <c r="AJ723">
        <f t="shared" si="211"/>
        <v>64.3</v>
      </c>
      <c r="AK723">
        <f t="shared" si="207"/>
        <v>33</v>
      </c>
      <c r="AL723">
        <f t="shared" si="212"/>
        <v>37.200000000000003</v>
      </c>
      <c r="AM723" s="2">
        <f t="shared" si="208"/>
        <v>19</v>
      </c>
      <c r="AX723">
        <v>720</v>
      </c>
      <c r="AZ723" s="3"/>
      <c r="BB723" s="2">
        <f t="shared" si="209"/>
        <v>185</v>
      </c>
      <c r="BC723">
        <f t="shared" si="213"/>
        <v>17.374738649940262</v>
      </c>
      <c r="BD723" s="2">
        <f t="shared" si="215"/>
        <v>64.3</v>
      </c>
      <c r="BE723">
        <f t="shared" si="216"/>
        <v>37.200000000000003</v>
      </c>
      <c r="BF723">
        <f t="shared" si="217"/>
        <v>214272</v>
      </c>
    </row>
    <row r="724" spans="1:58" ht="14.25" x14ac:dyDescent="0.2">
      <c r="A724" s="11">
        <v>10941</v>
      </c>
      <c r="B724" s="13">
        <f t="shared" si="218"/>
        <v>14</v>
      </c>
      <c r="C724" s="15">
        <f t="shared" si="219"/>
        <v>10</v>
      </c>
      <c r="D724" s="14">
        <f t="shared" si="220"/>
        <v>10</v>
      </c>
      <c r="E724" t="s">
        <v>2777</v>
      </c>
      <c r="F724" t="s">
        <v>2834</v>
      </c>
      <c r="G724" t="s">
        <v>2779</v>
      </c>
      <c r="H724" t="s">
        <v>2779</v>
      </c>
      <c r="I724" t="s">
        <v>2780</v>
      </c>
      <c r="J724" s="4" t="s">
        <v>2839</v>
      </c>
      <c r="K724" t="s">
        <v>168</v>
      </c>
      <c r="L724" t="s">
        <v>163</v>
      </c>
      <c r="M724" t="s">
        <v>163</v>
      </c>
      <c r="N724" t="s">
        <v>163</v>
      </c>
      <c r="O724" s="6" t="s">
        <v>1211</v>
      </c>
      <c r="P724">
        <v>0</v>
      </c>
      <c r="Q724" s="24">
        <v>54.2</v>
      </c>
      <c r="R724" s="25">
        <v>73</v>
      </c>
      <c r="S724" s="26">
        <v>51.3</v>
      </c>
      <c r="Y724">
        <v>10</v>
      </c>
      <c r="Z724">
        <v>30</v>
      </c>
      <c r="AA724" s="3">
        <v>25</v>
      </c>
      <c r="AB724" s="3">
        <v>6</v>
      </c>
      <c r="AC724">
        <v>155</v>
      </c>
      <c r="AD724" s="9">
        <f t="shared" si="203"/>
        <v>5679.333333333333</v>
      </c>
      <c r="AE724">
        <f t="shared" si="210"/>
        <v>2555730</v>
      </c>
      <c r="AF724" s="2">
        <f t="shared" si="214"/>
        <v>37.5</v>
      </c>
      <c r="AG724" t="str">
        <f t="shared" si="204"/>
        <v>94小时</v>
      </c>
      <c r="AH724">
        <f t="shared" si="205"/>
        <v>113</v>
      </c>
      <c r="AI724">
        <f t="shared" si="206"/>
        <v>19</v>
      </c>
      <c r="AJ724">
        <f t="shared" si="211"/>
        <v>64.800000000000011</v>
      </c>
      <c r="AK724">
        <f t="shared" si="207"/>
        <v>33</v>
      </c>
      <c r="AL724">
        <f t="shared" si="212"/>
        <v>37.5</v>
      </c>
      <c r="AM724" s="2">
        <f t="shared" si="208"/>
        <v>19</v>
      </c>
      <c r="AX724">
        <v>721</v>
      </c>
      <c r="AZ724" s="3"/>
      <c r="BB724" s="2">
        <f t="shared" si="209"/>
        <v>185</v>
      </c>
      <c r="BC724">
        <f t="shared" si="213"/>
        <v>17.235740740740741</v>
      </c>
      <c r="BD724" s="2">
        <f t="shared" si="215"/>
        <v>64.800000000000011</v>
      </c>
      <c r="BE724">
        <f t="shared" si="216"/>
        <v>37.5</v>
      </c>
      <c r="BF724">
        <f t="shared" si="217"/>
        <v>216000</v>
      </c>
    </row>
    <row r="725" spans="1:58" ht="14.25" x14ac:dyDescent="0.2">
      <c r="A725" s="11">
        <v>10942</v>
      </c>
      <c r="B725" s="13">
        <f t="shared" si="218"/>
        <v>14</v>
      </c>
      <c r="C725" s="15">
        <f t="shared" si="219"/>
        <v>10</v>
      </c>
      <c r="D725" s="14">
        <f t="shared" si="220"/>
        <v>10</v>
      </c>
      <c r="E725" t="s">
        <v>2777</v>
      </c>
      <c r="F725" t="s">
        <v>2835</v>
      </c>
      <c r="G725" t="s">
        <v>2779</v>
      </c>
      <c r="H725" t="s">
        <v>2779</v>
      </c>
      <c r="I725" t="s">
        <v>2780</v>
      </c>
      <c r="J725" s="4" t="s">
        <v>2839</v>
      </c>
      <c r="K725" t="s">
        <v>175</v>
      </c>
      <c r="L725" t="s">
        <v>164</v>
      </c>
      <c r="M725" t="s">
        <v>163</v>
      </c>
      <c r="N725" t="s">
        <v>167</v>
      </c>
      <c r="O725" s="6" t="s">
        <v>1213</v>
      </c>
      <c r="P725">
        <v>0</v>
      </c>
      <c r="Q725" s="24">
        <v>54.2</v>
      </c>
      <c r="R725" s="25">
        <v>73</v>
      </c>
      <c r="S725" s="26">
        <v>51.3</v>
      </c>
      <c r="Y725">
        <v>10</v>
      </c>
      <c r="Z725">
        <v>30</v>
      </c>
      <c r="AA725" s="3">
        <v>25</v>
      </c>
      <c r="AB725" s="3">
        <v>6</v>
      </c>
      <c r="AC725">
        <v>155</v>
      </c>
      <c r="AD725" s="9">
        <f t="shared" si="203"/>
        <v>5679.333333333333</v>
      </c>
      <c r="AE725">
        <f t="shared" si="210"/>
        <v>2555730</v>
      </c>
      <c r="AF725" s="2">
        <f t="shared" si="214"/>
        <v>37.5</v>
      </c>
      <c r="AG725" t="str">
        <f t="shared" si="204"/>
        <v>94小时</v>
      </c>
      <c r="AH725">
        <f t="shared" si="205"/>
        <v>113</v>
      </c>
      <c r="AI725">
        <f t="shared" si="206"/>
        <v>19</v>
      </c>
      <c r="AJ725">
        <f t="shared" si="211"/>
        <v>64.800000000000011</v>
      </c>
      <c r="AK725">
        <f t="shared" si="207"/>
        <v>33</v>
      </c>
      <c r="AL725">
        <f t="shared" si="212"/>
        <v>37.5</v>
      </c>
      <c r="AM725" s="2">
        <f t="shared" si="208"/>
        <v>19</v>
      </c>
      <c r="AX725">
        <v>722</v>
      </c>
      <c r="AZ725" s="3"/>
      <c r="BB725" s="2">
        <f t="shared" si="209"/>
        <v>185</v>
      </c>
      <c r="BC725">
        <f t="shared" si="213"/>
        <v>17.235740740740741</v>
      </c>
      <c r="BD725" s="2">
        <f t="shared" si="215"/>
        <v>64.800000000000011</v>
      </c>
      <c r="BE725">
        <f t="shared" si="216"/>
        <v>37.5</v>
      </c>
      <c r="BF725">
        <f t="shared" si="217"/>
        <v>216000</v>
      </c>
    </row>
    <row r="726" spans="1:58" ht="14.25" x14ac:dyDescent="0.2">
      <c r="A726" s="11">
        <v>10943</v>
      </c>
      <c r="B726" s="13">
        <f t="shared" si="218"/>
        <v>14</v>
      </c>
      <c r="C726" s="15">
        <f t="shared" si="219"/>
        <v>10</v>
      </c>
      <c r="D726" s="14">
        <f t="shared" si="220"/>
        <v>10</v>
      </c>
      <c r="E726" t="s">
        <v>2777</v>
      </c>
      <c r="F726" t="s">
        <v>2836</v>
      </c>
      <c r="G726" t="s">
        <v>2779</v>
      </c>
      <c r="H726" t="s">
        <v>2779</v>
      </c>
      <c r="I726" t="s">
        <v>2780</v>
      </c>
      <c r="J726" s="4" t="s">
        <v>2839</v>
      </c>
      <c r="K726" t="s">
        <v>179</v>
      </c>
      <c r="L726" t="s">
        <v>163</v>
      </c>
      <c r="M726" t="s">
        <v>163</v>
      </c>
      <c r="N726" t="s">
        <v>163</v>
      </c>
      <c r="O726" s="6" t="s">
        <v>1215</v>
      </c>
      <c r="P726">
        <v>0</v>
      </c>
      <c r="Q726" s="24">
        <v>54.2</v>
      </c>
      <c r="R726" s="25">
        <v>73</v>
      </c>
      <c r="S726" s="26">
        <v>51.3</v>
      </c>
      <c r="Y726">
        <v>10</v>
      </c>
      <c r="Z726">
        <v>30</v>
      </c>
      <c r="AA726" s="3">
        <v>25</v>
      </c>
      <c r="AB726" s="3">
        <v>6</v>
      </c>
      <c r="AC726">
        <v>155</v>
      </c>
      <c r="AD726" s="9">
        <f t="shared" si="203"/>
        <v>5679.333333333333</v>
      </c>
      <c r="AE726">
        <f t="shared" si="210"/>
        <v>2555730</v>
      </c>
      <c r="AF726" s="2">
        <f t="shared" si="214"/>
        <v>37.5</v>
      </c>
      <c r="AG726" t="str">
        <f t="shared" si="204"/>
        <v>94小时</v>
      </c>
      <c r="AH726">
        <f t="shared" si="205"/>
        <v>113</v>
      </c>
      <c r="AI726">
        <f t="shared" si="206"/>
        <v>19</v>
      </c>
      <c r="AJ726">
        <f t="shared" si="211"/>
        <v>64.800000000000011</v>
      </c>
      <c r="AK726">
        <f t="shared" si="207"/>
        <v>33</v>
      </c>
      <c r="AL726">
        <f t="shared" si="212"/>
        <v>37.5</v>
      </c>
      <c r="AM726" s="2">
        <f t="shared" si="208"/>
        <v>19</v>
      </c>
      <c r="AX726">
        <v>723</v>
      </c>
      <c r="AZ726" s="3"/>
      <c r="BB726" s="2">
        <f t="shared" si="209"/>
        <v>185</v>
      </c>
      <c r="BC726">
        <f t="shared" si="213"/>
        <v>17.235740740740741</v>
      </c>
      <c r="BD726" s="2">
        <f t="shared" si="215"/>
        <v>64.800000000000011</v>
      </c>
      <c r="BE726">
        <f t="shared" si="216"/>
        <v>37.5</v>
      </c>
      <c r="BF726">
        <f t="shared" si="217"/>
        <v>216000</v>
      </c>
    </row>
    <row r="727" spans="1:58" ht="14.25" x14ac:dyDescent="0.2">
      <c r="A727" s="11">
        <v>10944</v>
      </c>
      <c r="B727" s="13">
        <f t="shared" si="218"/>
        <v>14</v>
      </c>
      <c r="C727" s="15">
        <f t="shared" si="219"/>
        <v>10</v>
      </c>
      <c r="D727" s="14">
        <f t="shared" si="220"/>
        <v>10</v>
      </c>
      <c r="E727" t="s">
        <v>2777</v>
      </c>
      <c r="F727" t="s">
        <v>2837</v>
      </c>
      <c r="G727" t="s">
        <v>2779</v>
      </c>
      <c r="H727" t="s">
        <v>2779</v>
      </c>
      <c r="I727" t="s">
        <v>2780</v>
      </c>
      <c r="J727" s="4" t="s">
        <v>2839</v>
      </c>
      <c r="K727" t="s">
        <v>177</v>
      </c>
      <c r="L727" t="s">
        <v>163</v>
      </c>
      <c r="M727" t="s">
        <v>163</v>
      </c>
      <c r="N727" t="s">
        <v>163</v>
      </c>
      <c r="O727" s="6" t="s">
        <v>1215</v>
      </c>
      <c r="P727">
        <v>0</v>
      </c>
      <c r="Q727" s="24">
        <v>54.2</v>
      </c>
      <c r="R727" s="25">
        <v>73</v>
      </c>
      <c r="S727" s="26">
        <v>51.3</v>
      </c>
      <c r="Y727">
        <v>10</v>
      </c>
      <c r="Z727">
        <v>30</v>
      </c>
      <c r="AA727" s="3">
        <v>25</v>
      </c>
      <c r="AB727" s="3">
        <v>6</v>
      </c>
      <c r="AC727">
        <v>155</v>
      </c>
      <c r="AD727" s="9">
        <f t="shared" si="203"/>
        <v>5679.333333333333</v>
      </c>
      <c r="AE727">
        <f t="shared" si="210"/>
        <v>2555730</v>
      </c>
      <c r="AF727" s="2">
        <f t="shared" si="214"/>
        <v>37.5</v>
      </c>
      <c r="AG727" t="str">
        <f t="shared" si="204"/>
        <v>94小时</v>
      </c>
      <c r="AH727">
        <f t="shared" si="205"/>
        <v>113</v>
      </c>
      <c r="AI727">
        <f t="shared" si="206"/>
        <v>19</v>
      </c>
      <c r="AJ727">
        <f t="shared" si="211"/>
        <v>64.800000000000011</v>
      </c>
      <c r="AK727">
        <f t="shared" si="207"/>
        <v>33</v>
      </c>
      <c r="AL727">
        <f t="shared" si="212"/>
        <v>37.5</v>
      </c>
      <c r="AM727" s="2">
        <f t="shared" si="208"/>
        <v>19</v>
      </c>
      <c r="AX727">
        <v>724</v>
      </c>
      <c r="AZ727" s="3"/>
      <c r="BB727" s="2">
        <f t="shared" si="209"/>
        <v>185</v>
      </c>
      <c r="BC727">
        <f t="shared" si="213"/>
        <v>17.235740740740741</v>
      </c>
      <c r="BD727" s="2">
        <f t="shared" si="215"/>
        <v>64.800000000000011</v>
      </c>
      <c r="BE727">
        <f t="shared" si="216"/>
        <v>37.5</v>
      </c>
      <c r="BF727">
        <f t="shared" si="217"/>
        <v>216000</v>
      </c>
    </row>
    <row r="728" spans="1:58" ht="14.25" x14ac:dyDescent="0.2">
      <c r="A728" s="11">
        <v>10945</v>
      </c>
      <c r="B728" s="13">
        <f t="shared" si="218"/>
        <v>14</v>
      </c>
      <c r="C728" s="15">
        <f t="shared" si="219"/>
        <v>10</v>
      </c>
      <c r="D728" s="14">
        <f t="shared" si="220"/>
        <v>10</v>
      </c>
      <c r="E728" t="s">
        <v>2785</v>
      </c>
      <c r="F728" t="s">
        <v>2786</v>
      </c>
      <c r="G728" t="s">
        <v>2833</v>
      </c>
      <c r="H728" t="s">
        <v>2829</v>
      </c>
      <c r="I728" t="s">
        <v>2697</v>
      </c>
      <c r="J728" s="4" t="s">
        <v>2877</v>
      </c>
      <c r="K728" t="s">
        <v>174</v>
      </c>
      <c r="L728" t="s">
        <v>163</v>
      </c>
      <c r="M728" t="s">
        <v>163</v>
      </c>
      <c r="N728" t="s">
        <v>163</v>
      </c>
      <c r="O728" s="6" t="s">
        <v>1217</v>
      </c>
      <c r="P728">
        <v>0</v>
      </c>
      <c r="Q728" s="24">
        <v>54.2</v>
      </c>
      <c r="R728" s="25">
        <v>73</v>
      </c>
      <c r="S728" s="26">
        <v>51.3</v>
      </c>
      <c r="Y728">
        <v>10</v>
      </c>
      <c r="Z728">
        <v>30</v>
      </c>
      <c r="AA728" s="3">
        <v>25</v>
      </c>
      <c r="AB728" s="3">
        <v>6</v>
      </c>
      <c r="AC728">
        <v>155</v>
      </c>
      <c r="AD728" s="9">
        <f t="shared" si="203"/>
        <v>5679.333333333333</v>
      </c>
      <c r="AE728">
        <f t="shared" si="210"/>
        <v>2555730</v>
      </c>
      <c r="AF728" s="2">
        <f t="shared" si="214"/>
        <v>37.5</v>
      </c>
      <c r="AG728" t="str">
        <f t="shared" si="204"/>
        <v>94小时</v>
      </c>
      <c r="AH728">
        <f t="shared" si="205"/>
        <v>113</v>
      </c>
      <c r="AI728">
        <f t="shared" si="206"/>
        <v>19</v>
      </c>
      <c r="AJ728">
        <f t="shared" si="211"/>
        <v>64.800000000000011</v>
      </c>
      <c r="AK728">
        <f t="shared" si="207"/>
        <v>33</v>
      </c>
      <c r="AL728">
        <f t="shared" si="212"/>
        <v>37.5</v>
      </c>
      <c r="AM728" s="2">
        <f t="shared" si="208"/>
        <v>19</v>
      </c>
      <c r="AX728">
        <v>725</v>
      </c>
      <c r="AZ728" s="3"/>
      <c r="BB728" s="2">
        <f t="shared" si="209"/>
        <v>185</v>
      </c>
      <c r="BC728">
        <f t="shared" si="213"/>
        <v>17.235740740740741</v>
      </c>
      <c r="BD728" s="2">
        <f t="shared" si="215"/>
        <v>64.800000000000011</v>
      </c>
      <c r="BE728">
        <f t="shared" si="216"/>
        <v>37.5</v>
      </c>
      <c r="BF728">
        <f t="shared" si="217"/>
        <v>216000</v>
      </c>
    </row>
    <row r="729" spans="1:58" ht="14.25" x14ac:dyDescent="0.2">
      <c r="A729" s="11">
        <v>10946</v>
      </c>
      <c r="B729" s="13">
        <f t="shared" si="218"/>
        <v>14</v>
      </c>
      <c r="C729" s="15">
        <f t="shared" si="219"/>
        <v>10</v>
      </c>
      <c r="D729" s="14">
        <f t="shared" si="220"/>
        <v>10</v>
      </c>
      <c r="E729" t="s">
        <v>2777</v>
      </c>
      <c r="F729" t="s">
        <v>2834</v>
      </c>
      <c r="G729" t="s">
        <v>2779</v>
      </c>
      <c r="H729" t="s">
        <v>2779</v>
      </c>
      <c r="I729" t="s">
        <v>2780</v>
      </c>
      <c r="J729" s="4" t="s">
        <v>2839</v>
      </c>
      <c r="K729" t="s">
        <v>182</v>
      </c>
      <c r="L729" t="s">
        <v>163</v>
      </c>
      <c r="M729" t="s">
        <v>163</v>
      </c>
      <c r="N729" t="s">
        <v>163</v>
      </c>
      <c r="O729" s="6" t="s">
        <v>1219</v>
      </c>
      <c r="P729">
        <v>0</v>
      </c>
      <c r="Q729" s="24">
        <v>54.5</v>
      </c>
      <c r="R729" s="25">
        <v>73.5</v>
      </c>
      <c r="S729" s="26">
        <v>51.5</v>
      </c>
      <c r="Y729">
        <v>10</v>
      </c>
      <c r="Z729">
        <v>30</v>
      </c>
      <c r="AA729" s="3">
        <v>25</v>
      </c>
      <c r="AB729" s="3">
        <v>6</v>
      </c>
      <c r="AC729">
        <v>155</v>
      </c>
      <c r="AD729" s="9">
        <f t="shared" si="203"/>
        <v>5649.25</v>
      </c>
      <c r="AE729">
        <f t="shared" si="210"/>
        <v>2555730</v>
      </c>
      <c r="AF729" s="2">
        <f t="shared" si="214"/>
        <v>37.700000000000003</v>
      </c>
      <c r="AG729" t="str">
        <f t="shared" si="204"/>
        <v>94小时</v>
      </c>
      <c r="AH729">
        <f t="shared" si="205"/>
        <v>114</v>
      </c>
      <c r="AI729">
        <f t="shared" si="206"/>
        <v>19</v>
      </c>
      <c r="AJ729">
        <f t="shared" si="211"/>
        <v>65.099999999999994</v>
      </c>
      <c r="AK729">
        <f t="shared" si="207"/>
        <v>33</v>
      </c>
      <c r="AL729">
        <f t="shared" si="212"/>
        <v>37.700000000000003</v>
      </c>
      <c r="AM729" s="2">
        <f t="shared" si="208"/>
        <v>19</v>
      </c>
      <c r="AX729">
        <v>726</v>
      </c>
      <c r="AZ729" s="3"/>
      <c r="BB729" s="2">
        <f t="shared" si="209"/>
        <v>185</v>
      </c>
      <c r="BC729">
        <f t="shared" si="213"/>
        <v>17.144304450338932</v>
      </c>
      <c r="BD729" s="2">
        <f t="shared" si="215"/>
        <v>65.099999999999994</v>
      </c>
      <c r="BE729">
        <f t="shared" si="216"/>
        <v>37.700000000000003</v>
      </c>
      <c r="BF729">
        <f t="shared" si="217"/>
        <v>217152</v>
      </c>
    </row>
    <row r="730" spans="1:58" ht="14.25" x14ac:dyDescent="0.2">
      <c r="A730" s="11">
        <v>10947</v>
      </c>
      <c r="B730" s="13">
        <f t="shared" si="218"/>
        <v>14</v>
      </c>
      <c r="C730" s="15">
        <f t="shared" si="219"/>
        <v>10</v>
      </c>
      <c r="D730" s="14">
        <f t="shared" si="220"/>
        <v>10</v>
      </c>
      <c r="E730" t="s">
        <v>2777</v>
      </c>
      <c r="F730" t="s">
        <v>2835</v>
      </c>
      <c r="G730" t="s">
        <v>2779</v>
      </c>
      <c r="H730" t="s">
        <v>2779</v>
      </c>
      <c r="I730" t="s">
        <v>2780</v>
      </c>
      <c r="J730" s="4" t="s">
        <v>2839</v>
      </c>
      <c r="K730" t="s">
        <v>162</v>
      </c>
      <c r="L730" t="s">
        <v>163</v>
      </c>
      <c r="M730" t="s">
        <v>163</v>
      </c>
      <c r="N730" t="s">
        <v>163</v>
      </c>
      <c r="O730" s="6" t="s">
        <v>1219</v>
      </c>
      <c r="P730">
        <v>0</v>
      </c>
      <c r="Q730" s="24">
        <v>54.5</v>
      </c>
      <c r="R730" s="25">
        <v>73.5</v>
      </c>
      <c r="S730" s="26">
        <v>51.5</v>
      </c>
      <c r="Y730">
        <v>10</v>
      </c>
      <c r="Z730">
        <v>30</v>
      </c>
      <c r="AA730" s="3">
        <v>25</v>
      </c>
      <c r="AB730" s="3">
        <v>6</v>
      </c>
      <c r="AC730">
        <v>155</v>
      </c>
      <c r="AD730" s="9">
        <f t="shared" si="203"/>
        <v>5649.25</v>
      </c>
      <c r="AE730">
        <f t="shared" si="210"/>
        <v>2555730</v>
      </c>
      <c r="AF730" s="2">
        <f t="shared" si="214"/>
        <v>37.700000000000003</v>
      </c>
      <c r="AG730" t="str">
        <f t="shared" si="204"/>
        <v>94小时</v>
      </c>
      <c r="AH730">
        <f t="shared" si="205"/>
        <v>114</v>
      </c>
      <c r="AI730">
        <f t="shared" si="206"/>
        <v>19</v>
      </c>
      <c r="AJ730">
        <f t="shared" si="211"/>
        <v>65.099999999999994</v>
      </c>
      <c r="AK730">
        <f t="shared" si="207"/>
        <v>33</v>
      </c>
      <c r="AL730">
        <f t="shared" si="212"/>
        <v>37.700000000000003</v>
      </c>
      <c r="AM730" s="2">
        <f t="shared" si="208"/>
        <v>19</v>
      </c>
      <c r="AX730">
        <v>727</v>
      </c>
      <c r="AZ730" s="3"/>
      <c r="BB730" s="2">
        <f t="shared" si="209"/>
        <v>185</v>
      </c>
      <c r="BC730">
        <f t="shared" si="213"/>
        <v>17.144304450338932</v>
      </c>
      <c r="BD730" s="2">
        <f t="shared" si="215"/>
        <v>65.099999999999994</v>
      </c>
      <c r="BE730">
        <f t="shared" si="216"/>
        <v>37.700000000000003</v>
      </c>
      <c r="BF730">
        <f t="shared" si="217"/>
        <v>217152</v>
      </c>
    </row>
    <row r="731" spans="1:58" ht="14.25" x14ac:dyDescent="0.2">
      <c r="A731" s="11">
        <v>10948</v>
      </c>
      <c r="B731" s="13">
        <f t="shared" si="218"/>
        <v>14</v>
      </c>
      <c r="C731" s="15">
        <f t="shared" si="219"/>
        <v>10</v>
      </c>
      <c r="D731" s="14">
        <f t="shared" si="220"/>
        <v>10</v>
      </c>
      <c r="E731" t="s">
        <v>2777</v>
      </c>
      <c r="F731" t="s">
        <v>2836</v>
      </c>
      <c r="G731" t="s">
        <v>2779</v>
      </c>
      <c r="H731" t="s">
        <v>2779</v>
      </c>
      <c r="I731" t="s">
        <v>2780</v>
      </c>
      <c r="J731" s="4" t="s">
        <v>2839</v>
      </c>
      <c r="K731" t="s">
        <v>177</v>
      </c>
      <c r="L731" t="s">
        <v>163</v>
      </c>
      <c r="M731" t="s">
        <v>163</v>
      </c>
      <c r="N731" t="s">
        <v>163</v>
      </c>
      <c r="O731" s="6" t="s">
        <v>1221</v>
      </c>
      <c r="P731">
        <v>0</v>
      </c>
      <c r="Q731" s="24">
        <v>54.5</v>
      </c>
      <c r="R731" s="25">
        <v>73.5</v>
      </c>
      <c r="S731" s="26">
        <v>51.5</v>
      </c>
      <c r="Y731">
        <v>10</v>
      </c>
      <c r="Z731">
        <v>30</v>
      </c>
      <c r="AA731" s="3">
        <v>25</v>
      </c>
      <c r="AB731" s="3">
        <v>6</v>
      </c>
      <c r="AC731">
        <v>155</v>
      </c>
      <c r="AD731" s="9">
        <f t="shared" si="203"/>
        <v>5649.25</v>
      </c>
      <c r="AE731">
        <f t="shared" si="210"/>
        <v>2555730</v>
      </c>
      <c r="AF731" s="2">
        <f t="shared" si="214"/>
        <v>37.700000000000003</v>
      </c>
      <c r="AG731" t="str">
        <f t="shared" si="204"/>
        <v>94小时</v>
      </c>
      <c r="AH731">
        <f t="shared" si="205"/>
        <v>114</v>
      </c>
      <c r="AI731">
        <f t="shared" si="206"/>
        <v>19</v>
      </c>
      <c r="AJ731">
        <f t="shared" si="211"/>
        <v>65.099999999999994</v>
      </c>
      <c r="AK731">
        <f t="shared" si="207"/>
        <v>33</v>
      </c>
      <c r="AL731">
        <f t="shared" si="212"/>
        <v>37.700000000000003</v>
      </c>
      <c r="AM731" s="2">
        <f t="shared" si="208"/>
        <v>19</v>
      </c>
      <c r="AX731">
        <v>728</v>
      </c>
      <c r="AZ731" s="3"/>
      <c r="BB731" s="2">
        <f t="shared" si="209"/>
        <v>185</v>
      </c>
      <c r="BC731">
        <f t="shared" si="213"/>
        <v>17.144304450338932</v>
      </c>
      <c r="BD731" s="2">
        <f t="shared" si="215"/>
        <v>65.099999999999994</v>
      </c>
      <c r="BE731">
        <f t="shared" si="216"/>
        <v>37.700000000000003</v>
      </c>
      <c r="BF731">
        <f t="shared" si="217"/>
        <v>217152</v>
      </c>
    </row>
    <row r="732" spans="1:58" ht="14.25" x14ac:dyDescent="0.2">
      <c r="A732" s="11">
        <v>10949</v>
      </c>
      <c r="B732" s="13">
        <f t="shared" si="218"/>
        <v>14</v>
      </c>
      <c r="C732" s="15">
        <f t="shared" si="219"/>
        <v>10</v>
      </c>
      <c r="D732" s="14">
        <f t="shared" si="220"/>
        <v>10</v>
      </c>
      <c r="E732" t="s">
        <v>2777</v>
      </c>
      <c r="F732" t="s">
        <v>2837</v>
      </c>
      <c r="G732" t="s">
        <v>2779</v>
      </c>
      <c r="H732" t="s">
        <v>2779</v>
      </c>
      <c r="I732" t="s">
        <v>2780</v>
      </c>
      <c r="J732" s="4" t="s">
        <v>2839</v>
      </c>
      <c r="K732" t="s">
        <v>174</v>
      </c>
      <c r="L732" t="s">
        <v>163</v>
      </c>
      <c r="M732" t="s">
        <v>163</v>
      </c>
      <c r="N732" t="s">
        <v>163</v>
      </c>
      <c r="O732" s="6" t="s">
        <v>1223</v>
      </c>
      <c r="P732">
        <v>0</v>
      </c>
      <c r="Q732" s="24">
        <v>54.5</v>
      </c>
      <c r="R732" s="25">
        <v>73.5</v>
      </c>
      <c r="S732" s="26">
        <v>51.5</v>
      </c>
      <c r="Y732">
        <v>10</v>
      </c>
      <c r="Z732">
        <v>30</v>
      </c>
      <c r="AA732" s="3">
        <v>25</v>
      </c>
      <c r="AB732" s="3">
        <v>6</v>
      </c>
      <c r="AC732">
        <v>155</v>
      </c>
      <c r="AD732" s="9">
        <f t="shared" si="203"/>
        <v>5649.25</v>
      </c>
      <c r="AE732">
        <f t="shared" si="210"/>
        <v>2555730</v>
      </c>
      <c r="AF732" s="2">
        <f t="shared" si="214"/>
        <v>37.700000000000003</v>
      </c>
      <c r="AG732" t="str">
        <f t="shared" si="204"/>
        <v>94小时</v>
      </c>
      <c r="AH732">
        <f t="shared" si="205"/>
        <v>114</v>
      </c>
      <c r="AI732">
        <f t="shared" si="206"/>
        <v>19</v>
      </c>
      <c r="AJ732">
        <f t="shared" si="211"/>
        <v>65.099999999999994</v>
      </c>
      <c r="AK732">
        <f t="shared" si="207"/>
        <v>33</v>
      </c>
      <c r="AL732">
        <f t="shared" si="212"/>
        <v>37.700000000000003</v>
      </c>
      <c r="AM732" s="2">
        <f t="shared" si="208"/>
        <v>19</v>
      </c>
      <c r="AX732">
        <v>729</v>
      </c>
      <c r="AZ732" s="3"/>
      <c r="BB732" s="2">
        <f t="shared" si="209"/>
        <v>185</v>
      </c>
      <c r="BC732">
        <f t="shared" si="213"/>
        <v>17.144304450338932</v>
      </c>
      <c r="BD732" s="2">
        <f t="shared" si="215"/>
        <v>65.099999999999994</v>
      </c>
      <c r="BE732">
        <f t="shared" si="216"/>
        <v>37.700000000000003</v>
      </c>
      <c r="BF732">
        <f t="shared" si="217"/>
        <v>217152</v>
      </c>
    </row>
    <row r="733" spans="1:58" ht="14.25" x14ac:dyDescent="0.2">
      <c r="A733" s="11">
        <v>10950</v>
      </c>
      <c r="B733" s="13">
        <f t="shared" si="218"/>
        <v>14</v>
      </c>
      <c r="C733" s="15">
        <f t="shared" si="219"/>
        <v>10</v>
      </c>
      <c r="D733" s="14">
        <f t="shared" si="220"/>
        <v>10</v>
      </c>
      <c r="E733" t="s">
        <v>2785</v>
      </c>
      <c r="F733" t="s">
        <v>2786</v>
      </c>
      <c r="G733" t="s">
        <v>2828</v>
      </c>
      <c r="H733" t="s">
        <v>2829</v>
      </c>
      <c r="I733" t="s">
        <v>2697</v>
      </c>
      <c r="J733" s="4" t="s">
        <v>2877</v>
      </c>
      <c r="K733" t="s">
        <v>166</v>
      </c>
      <c r="L733" t="s">
        <v>163</v>
      </c>
      <c r="M733" t="s">
        <v>163</v>
      </c>
      <c r="N733" t="s">
        <v>163</v>
      </c>
      <c r="O733" s="6" t="s">
        <v>1223</v>
      </c>
      <c r="P733">
        <v>0</v>
      </c>
      <c r="Q733" s="24">
        <v>54.5</v>
      </c>
      <c r="R733" s="25">
        <v>73.5</v>
      </c>
      <c r="S733" s="26">
        <v>51.5</v>
      </c>
      <c r="Y733">
        <v>10</v>
      </c>
      <c r="Z733">
        <v>30</v>
      </c>
      <c r="AA733" s="3">
        <v>25</v>
      </c>
      <c r="AB733" s="3">
        <v>6</v>
      </c>
      <c r="AC733">
        <v>155</v>
      </c>
      <c r="AD733" s="9">
        <f t="shared" si="203"/>
        <v>5649.25</v>
      </c>
      <c r="AE733">
        <f t="shared" si="210"/>
        <v>2555730</v>
      </c>
      <c r="AF733" s="2">
        <f t="shared" si="214"/>
        <v>37.700000000000003</v>
      </c>
      <c r="AG733" t="str">
        <f t="shared" si="204"/>
        <v>94小时</v>
      </c>
      <c r="AH733">
        <f t="shared" si="205"/>
        <v>114</v>
      </c>
      <c r="AI733">
        <f t="shared" si="206"/>
        <v>19</v>
      </c>
      <c r="AJ733">
        <f t="shared" si="211"/>
        <v>65.099999999999994</v>
      </c>
      <c r="AK733">
        <f t="shared" si="207"/>
        <v>33</v>
      </c>
      <c r="AL733">
        <f t="shared" si="212"/>
        <v>37.700000000000003</v>
      </c>
      <c r="AM733" s="2">
        <f t="shared" si="208"/>
        <v>19</v>
      </c>
      <c r="AX733">
        <v>730</v>
      </c>
      <c r="AZ733" s="3"/>
      <c r="BB733" s="2">
        <f t="shared" si="209"/>
        <v>190</v>
      </c>
      <c r="BC733">
        <f t="shared" si="213"/>
        <v>18.862732095490717</v>
      </c>
      <c r="BD733" s="2">
        <f t="shared" si="215"/>
        <v>65.099999999999994</v>
      </c>
      <c r="BE733">
        <f t="shared" si="216"/>
        <v>37.700000000000003</v>
      </c>
      <c r="BF733">
        <f t="shared" si="217"/>
        <v>217152</v>
      </c>
    </row>
    <row r="734" spans="1:58" ht="14.25" x14ac:dyDescent="0.2">
      <c r="A734" s="11">
        <v>11001</v>
      </c>
      <c r="B734" s="13">
        <f t="shared" si="218"/>
        <v>14</v>
      </c>
      <c r="C734" s="15">
        <f t="shared" si="219"/>
        <v>10</v>
      </c>
      <c r="D734" s="14">
        <f t="shared" si="220"/>
        <v>10</v>
      </c>
      <c r="E734" t="s">
        <v>2777</v>
      </c>
      <c r="F734" t="s">
        <v>2834</v>
      </c>
      <c r="G734" t="s">
        <v>2779</v>
      </c>
      <c r="H734" t="s">
        <v>2779</v>
      </c>
      <c r="I734" t="s">
        <v>2780</v>
      </c>
      <c r="J734" s="4" t="s">
        <v>2841</v>
      </c>
      <c r="K734" t="s">
        <v>168</v>
      </c>
      <c r="L734" t="s">
        <v>163</v>
      </c>
      <c r="M734" t="s">
        <v>163</v>
      </c>
      <c r="N734" t="s">
        <v>163</v>
      </c>
      <c r="O734" s="6" t="s">
        <v>1225</v>
      </c>
      <c r="P734">
        <v>0</v>
      </c>
      <c r="Q734" s="24">
        <v>54.8</v>
      </c>
      <c r="R734" s="25">
        <v>74</v>
      </c>
      <c r="S734" s="26">
        <v>51.8</v>
      </c>
      <c r="Y734">
        <v>10</v>
      </c>
      <c r="Z734">
        <v>30</v>
      </c>
      <c r="AA734" s="3">
        <v>25</v>
      </c>
      <c r="AB734" s="3">
        <v>6</v>
      </c>
      <c r="AC734">
        <v>155</v>
      </c>
      <c r="AD734" s="9">
        <f t="shared" si="203"/>
        <v>5604.666666666667</v>
      </c>
      <c r="AE734">
        <f t="shared" si="210"/>
        <v>2555730</v>
      </c>
      <c r="AF734" s="2">
        <f t="shared" si="214"/>
        <v>38</v>
      </c>
      <c r="AG734" t="str">
        <f t="shared" si="204"/>
        <v>93小时</v>
      </c>
      <c r="AH734">
        <f t="shared" si="205"/>
        <v>114</v>
      </c>
      <c r="AI734">
        <f t="shared" si="206"/>
        <v>19</v>
      </c>
      <c r="AJ734">
        <f t="shared" si="211"/>
        <v>65.5</v>
      </c>
      <c r="AK734">
        <f t="shared" si="207"/>
        <v>33</v>
      </c>
      <c r="AL734">
        <f t="shared" si="212"/>
        <v>38</v>
      </c>
      <c r="AM734" s="2">
        <f t="shared" si="208"/>
        <v>19</v>
      </c>
      <c r="AX734">
        <v>731</v>
      </c>
      <c r="AZ734" s="3"/>
      <c r="BB734" s="2">
        <f t="shared" si="209"/>
        <v>190</v>
      </c>
      <c r="BC734">
        <f t="shared" si="213"/>
        <v>18.713815789473685</v>
      </c>
      <c r="BD734" s="2">
        <f t="shared" si="215"/>
        <v>65.5</v>
      </c>
      <c r="BE734">
        <f t="shared" si="216"/>
        <v>38</v>
      </c>
      <c r="BF734">
        <f t="shared" si="217"/>
        <v>218880</v>
      </c>
    </row>
    <row r="735" spans="1:58" ht="14.25" x14ac:dyDescent="0.2">
      <c r="A735" s="11">
        <v>11002</v>
      </c>
      <c r="B735" s="13">
        <f t="shared" si="218"/>
        <v>14</v>
      </c>
      <c r="C735" s="15">
        <f t="shared" si="219"/>
        <v>10</v>
      </c>
      <c r="D735" s="14">
        <f t="shared" si="220"/>
        <v>10</v>
      </c>
      <c r="E735" t="s">
        <v>2777</v>
      </c>
      <c r="F735" t="s">
        <v>2835</v>
      </c>
      <c r="G735" t="s">
        <v>2779</v>
      </c>
      <c r="H735" t="s">
        <v>2779</v>
      </c>
      <c r="I735" t="s">
        <v>2780</v>
      </c>
      <c r="J735" s="4" t="s">
        <v>2841</v>
      </c>
      <c r="K735" t="s">
        <v>175</v>
      </c>
      <c r="L735" t="s">
        <v>164</v>
      </c>
      <c r="M735" t="s">
        <v>163</v>
      </c>
      <c r="N735" t="s">
        <v>167</v>
      </c>
      <c r="O735" s="6" t="s">
        <v>1227</v>
      </c>
      <c r="P735">
        <v>0</v>
      </c>
      <c r="Q735" s="24">
        <v>54.8</v>
      </c>
      <c r="R735" s="25">
        <v>74</v>
      </c>
      <c r="S735" s="26">
        <v>51.8</v>
      </c>
      <c r="Y735">
        <v>10</v>
      </c>
      <c r="Z735">
        <v>30</v>
      </c>
      <c r="AA735" s="3">
        <v>25</v>
      </c>
      <c r="AB735" s="3">
        <v>6</v>
      </c>
      <c r="AC735">
        <v>155</v>
      </c>
      <c r="AD735" s="9">
        <f t="shared" si="203"/>
        <v>5604.666666666667</v>
      </c>
      <c r="AE735">
        <f t="shared" si="210"/>
        <v>2555730</v>
      </c>
      <c r="AF735" s="2">
        <f t="shared" si="214"/>
        <v>38</v>
      </c>
      <c r="AG735" t="str">
        <f t="shared" si="204"/>
        <v>93小时</v>
      </c>
      <c r="AH735">
        <f t="shared" si="205"/>
        <v>114</v>
      </c>
      <c r="AI735">
        <f t="shared" si="206"/>
        <v>19</v>
      </c>
      <c r="AJ735">
        <f t="shared" si="211"/>
        <v>65.5</v>
      </c>
      <c r="AK735">
        <f t="shared" si="207"/>
        <v>33</v>
      </c>
      <c r="AL735">
        <f t="shared" si="212"/>
        <v>38</v>
      </c>
      <c r="AM735" s="2">
        <f t="shared" si="208"/>
        <v>19</v>
      </c>
      <c r="AX735">
        <v>732</v>
      </c>
      <c r="AZ735" s="3"/>
      <c r="BB735" s="2">
        <f t="shared" si="209"/>
        <v>190</v>
      </c>
      <c r="BC735">
        <f t="shared" si="213"/>
        <v>18.713815789473685</v>
      </c>
      <c r="BD735" s="2">
        <f t="shared" si="215"/>
        <v>65.5</v>
      </c>
      <c r="BE735">
        <f t="shared" si="216"/>
        <v>38</v>
      </c>
      <c r="BF735">
        <f t="shared" si="217"/>
        <v>218880</v>
      </c>
    </row>
    <row r="736" spans="1:58" ht="14.25" x14ac:dyDescent="0.2">
      <c r="A736" s="11">
        <v>11003</v>
      </c>
      <c r="B736" s="13">
        <f t="shared" si="218"/>
        <v>14</v>
      </c>
      <c r="C736" s="15">
        <f t="shared" si="219"/>
        <v>10</v>
      </c>
      <c r="D736" s="14">
        <f t="shared" si="220"/>
        <v>10</v>
      </c>
      <c r="E736" t="s">
        <v>2777</v>
      </c>
      <c r="F736" t="s">
        <v>2836</v>
      </c>
      <c r="G736" t="s">
        <v>2779</v>
      </c>
      <c r="H736" t="s">
        <v>2779</v>
      </c>
      <c r="I736" t="s">
        <v>2780</v>
      </c>
      <c r="J736" s="4" t="s">
        <v>2841</v>
      </c>
      <c r="K736" t="s">
        <v>179</v>
      </c>
      <c r="L736" t="s">
        <v>163</v>
      </c>
      <c r="M736" t="s">
        <v>163</v>
      </c>
      <c r="N736" t="s">
        <v>163</v>
      </c>
      <c r="O736" s="6" t="s">
        <v>1229</v>
      </c>
      <c r="P736">
        <v>0</v>
      </c>
      <c r="Q736" s="24">
        <v>54.8</v>
      </c>
      <c r="R736" s="25">
        <v>74</v>
      </c>
      <c r="S736" s="26">
        <v>51.8</v>
      </c>
      <c r="Y736">
        <v>10</v>
      </c>
      <c r="Z736">
        <v>30</v>
      </c>
      <c r="AA736" s="3">
        <v>25</v>
      </c>
      <c r="AB736" s="3">
        <v>6</v>
      </c>
      <c r="AC736">
        <v>155</v>
      </c>
      <c r="AD736" s="9">
        <f t="shared" si="203"/>
        <v>5604.666666666667</v>
      </c>
      <c r="AE736">
        <f t="shared" si="210"/>
        <v>2555730</v>
      </c>
      <c r="AF736" s="2">
        <f t="shared" si="214"/>
        <v>38</v>
      </c>
      <c r="AG736" t="str">
        <f t="shared" si="204"/>
        <v>93小时</v>
      </c>
      <c r="AH736">
        <f t="shared" si="205"/>
        <v>114</v>
      </c>
      <c r="AI736">
        <f t="shared" si="206"/>
        <v>19</v>
      </c>
      <c r="AJ736">
        <f t="shared" si="211"/>
        <v>65.5</v>
      </c>
      <c r="AK736">
        <f t="shared" si="207"/>
        <v>33</v>
      </c>
      <c r="AL736">
        <f t="shared" si="212"/>
        <v>38</v>
      </c>
      <c r="AM736" s="2">
        <f t="shared" si="208"/>
        <v>19</v>
      </c>
      <c r="AX736">
        <v>733</v>
      </c>
      <c r="AZ736" s="3"/>
      <c r="BB736" s="2">
        <f t="shared" si="209"/>
        <v>190</v>
      </c>
      <c r="BC736">
        <f t="shared" si="213"/>
        <v>18.713815789473685</v>
      </c>
      <c r="BD736" s="2">
        <f t="shared" si="215"/>
        <v>65.5</v>
      </c>
      <c r="BE736">
        <f t="shared" si="216"/>
        <v>38</v>
      </c>
      <c r="BF736">
        <f t="shared" si="217"/>
        <v>218880</v>
      </c>
    </row>
    <row r="737" spans="1:58" ht="14.25" x14ac:dyDescent="0.2">
      <c r="A737" s="11">
        <v>11004</v>
      </c>
      <c r="B737" s="13">
        <f t="shared" si="218"/>
        <v>14</v>
      </c>
      <c r="C737" s="15">
        <f t="shared" si="219"/>
        <v>10</v>
      </c>
      <c r="D737" s="14">
        <f t="shared" si="220"/>
        <v>10</v>
      </c>
      <c r="E737" t="s">
        <v>2777</v>
      </c>
      <c r="F737" t="s">
        <v>2837</v>
      </c>
      <c r="G737" t="s">
        <v>2779</v>
      </c>
      <c r="H737" t="s">
        <v>2779</v>
      </c>
      <c r="I737" t="s">
        <v>2780</v>
      </c>
      <c r="J737" s="4" t="s">
        <v>2841</v>
      </c>
      <c r="K737" t="s">
        <v>177</v>
      </c>
      <c r="L737" t="s">
        <v>163</v>
      </c>
      <c r="M737" t="s">
        <v>163</v>
      </c>
      <c r="N737" t="s">
        <v>163</v>
      </c>
      <c r="O737" s="6" t="s">
        <v>1229</v>
      </c>
      <c r="P737">
        <v>0</v>
      </c>
      <c r="Q737" s="24">
        <v>54.8</v>
      </c>
      <c r="R737" s="25">
        <v>74</v>
      </c>
      <c r="S737" s="26">
        <v>51.8</v>
      </c>
      <c r="Y737">
        <v>10</v>
      </c>
      <c r="Z737">
        <v>30</v>
      </c>
      <c r="AA737" s="3">
        <v>25</v>
      </c>
      <c r="AB737" s="3">
        <v>6</v>
      </c>
      <c r="AC737">
        <v>155</v>
      </c>
      <c r="AD737" s="9">
        <f t="shared" si="203"/>
        <v>5604.666666666667</v>
      </c>
      <c r="AE737">
        <f t="shared" si="210"/>
        <v>2555730</v>
      </c>
      <c r="AF737" s="2">
        <f t="shared" si="214"/>
        <v>38</v>
      </c>
      <c r="AG737" t="str">
        <f t="shared" si="204"/>
        <v>93小时</v>
      </c>
      <c r="AH737">
        <f t="shared" si="205"/>
        <v>114</v>
      </c>
      <c r="AI737">
        <f t="shared" si="206"/>
        <v>19</v>
      </c>
      <c r="AJ737">
        <f t="shared" si="211"/>
        <v>65.5</v>
      </c>
      <c r="AK737">
        <f t="shared" si="207"/>
        <v>33</v>
      </c>
      <c r="AL737">
        <f t="shared" si="212"/>
        <v>38</v>
      </c>
      <c r="AM737" s="2">
        <f t="shared" si="208"/>
        <v>19</v>
      </c>
      <c r="AX737">
        <v>734</v>
      </c>
      <c r="AZ737" s="3"/>
      <c r="BB737" s="2">
        <f t="shared" si="209"/>
        <v>190</v>
      </c>
      <c r="BC737">
        <f t="shared" si="213"/>
        <v>18.713815789473685</v>
      </c>
      <c r="BD737" s="2">
        <f t="shared" si="215"/>
        <v>65.5</v>
      </c>
      <c r="BE737">
        <f t="shared" si="216"/>
        <v>38</v>
      </c>
      <c r="BF737">
        <f t="shared" si="217"/>
        <v>218880</v>
      </c>
    </row>
    <row r="738" spans="1:58" ht="14.25" x14ac:dyDescent="0.2">
      <c r="A738" s="11">
        <v>11005</v>
      </c>
      <c r="B738" s="13">
        <f t="shared" si="218"/>
        <v>14</v>
      </c>
      <c r="C738" s="15">
        <f t="shared" si="219"/>
        <v>10</v>
      </c>
      <c r="D738" s="14">
        <f t="shared" si="220"/>
        <v>10</v>
      </c>
      <c r="E738" t="s">
        <v>2785</v>
      </c>
      <c r="F738" t="s">
        <v>2786</v>
      </c>
      <c r="G738" t="s">
        <v>2830</v>
      </c>
      <c r="H738" t="s">
        <v>2829</v>
      </c>
      <c r="I738" t="s">
        <v>2697</v>
      </c>
      <c r="J738" s="4" t="s">
        <v>2861</v>
      </c>
      <c r="K738" t="s">
        <v>174</v>
      </c>
      <c r="L738" t="s">
        <v>163</v>
      </c>
      <c r="M738" t="s">
        <v>163</v>
      </c>
      <c r="N738" t="s">
        <v>163</v>
      </c>
      <c r="O738" s="6" t="s">
        <v>1231</v>
      </c>
      <c r="P738">
        <v>0</v>
      </c>
      <c r="Q738" s="24">
        <v>54.8</v>
      </c>
      <c r="R738" s="25">
        <v>74</v>
      </c>
      <c r="S738" s="26">
        <v>51.8</v>
      </c>
      <c r="Y738">
        <v>10</v>
      </c>
      <c r="Z738">
        <v>30</v>
      </c>
      <c r="AA738" s="3">
        <v>25</v>
      </c>
      <c r="AB738" s="3">
        <v>6</v>
      </c>
      <c r="AC738">
        <v>155</v>
      </c>
      <c r="AD738" s="9">
        <f t="shared" si="203"/>
        <v>5604.666666666667</v>
      </c>
      <c r="AE738">
        <f t="shared" si="210"/>
        <v>2555730</v>
      </c>
      <c r="AF738" s="2">
        <f t="shared" si="214"/>
        <v>38</v>
      </c>
      <c r="AG738" t="str">
        <f t="shared" si="204"/>
        <v>93小时</v>
      </c>
      <c r="AH738">
        <f t="shared" si="205"/>
        <v>114</v>
      </c>
      <c r="AI738">
        <f t="shared" si="206"/>
        <v>19</v>
      </c>
      <c r="AJ738">
        <f t="shared" si="211"/>
        <v>65.5</v>
      </c>
      <c r="AK738">
        <f t="shared" si="207"/>
        <v>33</v>
      </c>
      <c r="AL738">
        <f t="shared" si="212"/>
        <v>38</v>
      </c>
      <c r="AM738" s="2">
        <f t="shared" si="208"/>
        <v>19</v>
      </c>
      <c r="AX738">
        <v>735</v>
      </c>
      <c r="AZ738" s="3"/>
      <c r="BB738" s="2">
        <f t="shared" si="209"/>
        <v>190</v>
      </c>
      <c r="BC738">
        <f t="shared" si="213"/>
        <v>18.713815789473685</v>
      </c>
      <c r="BD738" s="2">
        <f t="shared" si="215"/>
        <v>65.5</v>
      </c>
      <c r="BE738">
        <f t="shared" si="216"/>
        <v>38</v>
      </c>
      <c r="BF738">
        <f t="shared" si="217"/>
        <v>218880</v>
      </c>
    </row>
    <row r="739" spans="1:58" ht="14.25" x14ac:dyDescent="0.2">
      <c r="A739" s="11">
        <v>11006</v>
      </c>
      <c r="B739" s="13">
        <f t="shared" si="218"/>
        <v>14</v>
      </c>
      <c r="C739" s="15">
        <f t="shared" si="219"/>
        <v>10</v>
      </c>
      <c r="D739" s="14">
        <f t="shared" si="220"/>
        <v>10</v>
      </c>
      <c r="E739" t="s">
        <v>2777</v>
      </c>
      <c r="F739" t="s">
        <v>2834</v>
      </c>
      <c r="G739" t="s">
        <v>2779</v>
      </c>
      <c r="H739" t="s">
        <v>2779</v>
      </c>
      <c r="I739" t="s">
        <v>2780</v>
      </c>
      <c r="J739" s="4" t="s">
        <v>2841</v>
      </c>
      <c r="K739" t="s">
        <v>182</v>
      </c>
      <c r="L739" t="s">
        <v>163</v>
      </c>
      <c r="M739" t="s">
        <v>163</v>
      </c>
      <c r="N739" t="s">
        <v>163</v>
      </c>
      <c r="O739" s="6" t="s">
        <v>1233</v>
      </c>
      <c r="P739">
        <v>0</v>
      </c>
      <c r="Q739" s="24">
        <v>55.2</v>
      </c>
      <c r="R739" s="25">
        <v>74.5</v>
      </c>
      <c r="S739" s="26">
        <v>52</v>
      </c>
      <c r="Y739">
        <v>10</v>
      </c>
      <c r="Z739">
        <v>30</v>
      </c>
      <c r="AA739" s="3">
        <v>25</v>
      </c>
      <c r="AB739" s="3">
        <v>6</v>
      </c>
      <c r="AC739">
        <v>155</v>
      </c>
      <c r="AD739" s="9">
        <f t="shared" si="203"/>
        <v>5575.25</v>
      </c>
      <c r="AE739">
        <f t="shared" si="210"/>
        <v>2555730</v>
      </c>
      <c r="AF739" s="2">
        <f t="shared" si="214"/>
        <v>38.200000000000003</v>
      </c>
      <c r="AG739" t="str">
        <f t="shared" si="204"/>
        <v>92小时</v>
      </c>
      <c r="AH739">
        <f t="shared" si="205"/>
        <v>115</v>
      </c>
      <c r="AI739">
        <f t="shared" si="206"/>
        <v>20</v>
      </c>
      <c r="AJ739">
        <f t="shared" si="211"/>
        <v>65.8</v>
      </c>
      <c r="AK739">
        <f t="shared" si="207"/>
        <v>33</v>
      </c>
      <c r="AL739">
        <f t="shared" si="212"/>
        <v>38.200000000000003</v>
      </c>
      <c r="AM739" s="2">
        <f t="shared" si="208"/>
        <v>20</v>
      </c>
      <c r="AX739">
        <v>736</v>
      </c>
      <c r="AZ739" s="3"/>
      <c r="BB739" s="2">
        <f t="shared" si="209"/>
        <v>190</v>
      </c>
      <c r="BC739">
        <f t="shared" si="213"/>
        <v>18.615837696335078</v>
      </c>
      <c r="BD739" s="2">
        <f t="shared" si="215"/>
        <v>65.8</v>
      </c>
      <c r="BE739">
        <f t="shared" si="216"/>
        <v>38.200000000000003</v>
      </c>
      <c r="BF739">
        <f t="shared" si="217"/>
        <v>220032</v>
      </c>
    </row>
    <row r="740" spans="1:58" ht="14.25" x14ac:dyDescent="0.2">
      <c r="A740" s="11">
        <v>11007</v>
      </c>
      <c r="B740" s="13">
        <f t="shared" si="218"/>
        <v>14</v>
      </c>
      <c r="C740" s="15">
        <f t="shared" si="219"/>
        <v>10</v>
      </c>
      <c r="D740" s="14">
        <f t="shared" si="220"/>
        <v>10</v>
      </c>
      <c r="E740" t="s">
        <v>2777</v>
      </c>
      <c r="F740" t="s">
        <v>2835</v>
      </c>
      <c r="G740" t="s">
        <v>2779</v>
      </c>
      <c r="H740" t="s">
        <v>2779</v>
      </c>
      <c r="I740" t="s">
        <v>2780</v>
      </c>
      <c r="J740" s="4" t="s">
        <v>2841</v>
      </c>
      <c r="K740" t="s">
        <v>162</v>
      </c>
      <c r="L740" t="s">
        <v>163</v>
      </c>
      <c r="M740" t="s">
        <v>163</v>
      </c>
      <c r="N740" t="s">
        <v>163</v>
      </c>
      <c r="O740" s="6" t="s">
        <v>1233</v>
      </c>
      <c r="P740">
        <v>0</v>
      </c>
      <c r="Q740" s="24">
        <v>55.2</v>
      </c>
      <c r="R740" s="25">
        <v>74.5</v>
      </c>
      <c r="S740" s="26">
        <v>52</v>
      </c>
      <c r="Y740">
        <v>10</v>
      </c>
      <c r="Z740">
        <v>30</v>
      </c>
      <c r="AA740" s="3">
        <v>25</v>
      </c>
      <c r="AB740" s="3">
        <v>6</v>
      </c>
      <c r="AC740">
        <v>155</v>
      </c>
      <c r="AD740" s="9">
        <f t="shared" si="203"/>
        <v>5575.25</v>
      </c>
      <c r="AE740">
        <f t="shared" si="210"/>
        <v>2555730</v>
      </c>
      <c r="AF740" s="2">
        <f t="shared" si="214"/>
        <v>38.200000000000003</v>
      </c>
      <c r="AG740" t="str">
        <f t="shared" si="204"/>
        <v>92小时</v>
      </c>
      <c r="AH740">
        <f t="shared" si="205"/>
        <v>115</v>
      </c>
      <c r="AI740">
        <f t="shared" si="206"/>
        <v>20</v>
      </c>
      <c r="AJ740">
        <f t="shared" si="211"/>
        <v>65.8</v>
      </c>
      <c r="AK740">
        <f t="shared" si="207"/>
        <v>33</v>
      </c>
      <c r="AL740">
        <f t="shared" si="212"/>
        <v>38.200000000000003</v>
      </c>
      <c r="AM740" s="2">
        <f t="shared" si="208"/>
        <v>20</v>
      </c>
      <c r="AX740">
        <v>737</v>
      </c>
      <c r="AZ740" s="3"/>
      <c r="BB740" s="2">
        <f t="shared" si="209"/>
        <v>190</v>
      </c>
      <c r="BC740">
        <f t="shared" si="213"/>
        <v>18.615837696335078</v>
      </c>
      <c r="BD740" s="2">
        <f t="shared" si="215"/>
        <v>65.8</v>
      </c>
      <c r="BE740">
        <f t="shared" si="216"/>
        <v>38.200000000000003</v>
      </c>
      <c r="BF740">
        <f t="shared" si="217"/>
        <v>220032</v>
      </c>
    </row>
    <row r="741" spans="1:58" ht="14.25" x14ac:dyDescent="0.2">
      <c r="A741" s="11">
        <v>11008</v>
      </c>
      <c r="B741" s="13">
        <f t="shared" si="218"/>
        <v>14</v>
      </c>
      <c r="C741" s="15">
        <f t="shared" si="219"/>
        <v>11</v>
      </c>
      <c r="D741" s="14">
        <f t="shared" si="220"/>
        <v>10</v>
      </c>
      <c r="E741" t="s">
        <v>2777</v>
      </c>
      <c r="F741" t="s">
        <v>2836</v>
      </c>
      <c r="G741" t="s">
        <v>2779</v>
      </c>
      <c r="H741" t="s">
        <v>2779</v>
      </c>
      <c r="I741" t="s">
        <v>2780</v>
      </c>
      <c r="J741" s="4" t="s">
        <v>2841</v>
      </c>
      <c r="K741" t="s">
        <v>177</v>
      </c>
      <c r="L741" t="s">
        <v>163</v>
      </c>
      <c r="M741" t="s">
        <v>163</v>
      </c>
      <c r="N741" t="s">
        <v>163</v>
      </c>
      <c r="O741" s="6" t="s">
        <v>1235</v>
      </c>
      <c r="P741">
        <v>0</v>
      </c>
      <c r="Q741" s="24">
        <v>55.2</v>
      </c>
      <c r="R741" s="25">
        <v>74.5</v>
      </c>
      <c r="S741" s="26">
        <v>52</v>
      </c>
      <c r="Y741">
        <v>10</v>
      </c>
      <c r="Z741">
        <v>30</v>
      </c>
      <c r="AA741" s="3">
        <v>25</v>
      </c>
      <c r="AB741" s="3">
        <v>6</v>
      </c>
      <c r="AC741">
        <v>155</v>
      </c>
      <c r="AD741" s="9">
        <f t="shared" si="203"/>
        <v>5575.25</v>
      </c>
      <c r="AE741">
        <f t="shared" si="210"/>
        <v>2555730</v>
      </c>
      <c r="AF741" s="2">
        <f t="shared" si="214"/>
        <v>38.200000000000003</v>
      </c>
      <c r="AG741" t="str">
        <f t="shared" si="204"/>
        <v>92小时</v>
      </c>
      <c r="AH741">
        <f t="shared" si="205"/>
        <v>115</v>
      </c>
      <c r="AI741">
        <f t="shared" si="206"/>
        <v>20</v>
      </c>
      <c r="AJ741">
        <f t="shared" si="211"/>
        <v>65.8</v>
      </c>
      <c r="AK741">
        <f t="shared" si="207"/>
        <v>33</v>
      </c>
      <c r="AL741">
        <f t="shared" si="212"/>
        <v>38.200000000000003</v>
      </c>
      <c r="AM741" s="2">
        <f t="shared" si="208"/>
        <v>20</v>
      </c>
      <c r="AX741">
        <v>738</v>
      </c>
      <c r="AZ741" s="3"/>
      <c r="BB741" s="2">
        <f t="shared" si="209"/>
        <v>190</v>
      </c>
      <c r="BC741">
        <f t="shared" si="213"/>
        <v>18.615837696335078</v>
      </c>
      <c r="BD741" s="2">
        <f t="shared" si="215"/>
        <v>65.8</v>
      </c>
      <c r="BE741">
        <f t="shared" si="216"/>
        <v>38.200000000000003</v>
      </c>
      <c r="BF741">
        <f t="shared" si="217"/>
        <v>220032</v>
      </c>
    </row>
    <row r="742" spans="1:58" ht="14.25" x14ac:dyDescent="0.2">
      <c r="A742" s="11">
        <v>11009</v>
      </c>
      <c r="B742" s="13">
        <f t="shared" si="218"/>
        <v>14</v>
      </c>
      <c r="C742" s="15">
        <f t="shared" si="219"/>
        <v>11</v>
      </c>
      <c r="D742" s="14">
        <f t="shared" si="220"/>
        <v>10</v>
      </c>
      <c r="E742" t="s">
        <v>2777</v>
      </c>
      <c r="F742" t="s">
        <v>2837</v>
      </c>
      <c r="G742" t="s">
        <v>2779</v>
      </c>
      <c r="H742" t="s">
        <v>2779</v>
      </c>
      <c r="I742" t="s">
        <v>2780</v>
      </c>
      <c r="J742" s="4" t="s">
        <v>2841</v>
      </c>
      <c r="K742" t="s">
        <v>174</v>
      </c>
      <c r="L742" t="s">
        <v>163</v>
      </c>
      <c r="M742" t="s">
        <v>163</v>
      </c>
      <c r="N742" t="s">
        <v>163</v>
      </c>
      <c r="O742" s="6" t="s">
        <v>1237</v>
      </c>
      <c r="P742">
        <v>0</v>
      </c>
      <c r="Q742" s="24">
        <v>55.2</v>
      </c>
      <c r="R742" s="25">
        <v>74.5</v>
      </c>
      <c r="S742" s="26">
        <v>52</v>
      </c>
      <c r="Y742">
        <v>10</v>
      </c>
      <c r="Z742">
        <v>30</v>
      </c>
      <c r="AA742" s="3">
        <v>25</v>
      </c>
      <c r="AB742" s="3">
        <v>6</v>
      </c>
      <c r="AC742">
        <v>155</v>
      </c>
      <c r="AD742" s="9">
        <f t="shared" si="203"/>
        <v>5575.25</v>
      </c>
      <c r="AE742">
        <f t="shared" si="210"/>
        <v>2555730</v>
      </c>
      <c r="AF742" s="2">
        <f t="shared" si="214"/>
        <v>38.200000000000003</v>
      </c>
      <c r="AG742" t="str">
        <f t="shared" si="204"/>
        <v>92小时</v>
      </c>
      <c r="AH742">
        <f t="shared" si="205"/>
        <v>115</v>
      </c>
      <c r="AI742">
        <f t="shared" si="206"/>
        <v>20</v>
      </c>
      <c r="AJ742">
        <f t="shared" si="211"/>
        <v>65.8</v>
      </c>
      <c r="AK742">
        <f t="shared" si="207"/>
        <v>33</v>
      </c>
      <c r="AL742">
        <f t="shared" si="212"/>
        <v>38.200000000000003</v>
      </c>
      <c r="AM742" s="2">
        <f t="shared" si="208"/>
        <v>20</v>
      </c>
      <c r="AX742">
        <v>739</v>
      </c>
      <c r="AZ742" s="3"/>
      <c r="BB742" s="2">
        <f t="shared" si="209"/>
        <v>190</v>
      </c>
      <c r="BC742">
        <f t="shared" si="213"/>
        <v>18.615837696335078</v>
      </c>
      <c r="BD742" s="2">
        <f t="shared" si="215"/>
        <v>65.8</v>
      </c>
      <c r="BE742">
        <f t="shared" si="216"/>
        <v>38.200000000000003</v>
      </c>
      <c r="BF742">
        <f t="shared" si="217"/>
        <v>220032</v>
      </c>
    </row>
    <row r="743" spans="1:58" ht="14.25" x14ac:dyDescent="0.2">
      <c r="A743" s="11">
        <v>11010</v>
      </c>
      <c r="B743" s="13">
        <f t="shared" si="218"/>
        <v>14</v>
      </c>
      <c r="C743" s="15">
        <f t="shared" si="219"/>
        <v>11</v>
      </c>
      <c r="D743" s="14">
        <f t="shared" si="220"/>
        <v>10</v>
      </c>
      <c r="E743" t="s">
        <v>2785</v>
      </c>
      <c r="F743" t="s">
        <v>2786</v>
      </c>
      <c r="G743" t="s">
        <v>2831</v>
      </c>
      <c r="H743" t="s">
        <v>2829</v>
      </c>
      <c r="I743" t="s">
        <v>2697</v>
      </c>
      <c r="J743" s="4" t="s">
        <v>2861</v>
      </c>
      <c r="K743" t="s">
        <v>166</v>
      </c>
      <c r="L743" t="s">
        <v>163</v>
      </c>
      <c r="M743" t="s">
        <v>163</v>
      </c>
      <c r="N743" t="s">
        <v>163</v>
      </c>
      <c r="O743" s="6" t="s">
        <v>1237</v>
      </c>
      <c r="P743">
        <v>0</v>
      </c>
      <c r="Q743" s="24">
        <v>55.2</v>
      </c>
      <c r="R743" s="25">
        <v>74.5</v>
      </c>
      <c r="S743" s="26">
        <v>52</v>
      </c>
      <c r="Y743">
        <v>10</v>
      </c>
      <c r="Z743">
        <v>30</v>
      </c>
      <c r="AA743" s="3">
        <v>25</v>
      </c>
      <c r="AB743" s="3">
        <v>6</v>
      </c>
      <c r="AC743">
        <v>155</v>
      </c>
      <c r="AD743" s="9">
        <f t="shared" si="203"/>
        <v>5575.25</v>
      </c>
      <c r="AE743">
        <f t="shared" si="210"/>
        <v>2555730</v>
      </c>
      <c r="AF743" s="2">
        <f t="shared" si="214"/>
        <v>38.200000000000003</v>
      </c>
      <c r="AG743" t="str">
        <f t="shared" si="204"/>
        <v>92小时</v>
      </c>
      <c r="AH743">
        <f t="shared" si="205"/>
        <v>115</v>
      </c>
      <c r="AI743">
        <f t="shared" si="206"/>
        <v>20</v>
      </c>
      <c r="AJ743">
        <f t="shared" si="211"/>
        <v>65.8</v>
      </c>
      <c r="AK743">
        <f t="shared" si="207"/>
        <v>33</v>
      </c>
      <c r="AL743">
        <f t="shared" si="212"/>
        <v>38.200000000000003</v>
      </c>
      <c r="AM743" s="2">
        <f t="shared" si="208"/>
        <v>20</v>
      </c>
      <c r="AX743">
        <v>740</v>
      </c>
      <c r="AZ743" s="3"/>
      <c r="BB743" s="2">
        <f t="shared" si="209"/>
        <v>190</v>
      </c>
      <c r="BC743">
        <f t="shared" si="213"/>
        <v>18.615837696335078</v>
      </c>
      <c r="BD743" s="2">
        <f t="shared" si="215"/>
        <v>65.8</v>
      </c>
      <c r="BE743">
        <f t="shared" si="216"/>
        <v>38.200000000000003</v>
      </c>
      <c r="BF743">
        <f t="shared" si="217"/>
        <v>220032</v>
      </c>
    </row>
    <row r="744" spans="1:58" ht="14.25" x14ac:dyDescent="0.2">
      <c r="A744" s="11">
        <v>11011</v>
      </c>
      <c r="B744" s="13">
        <f t="shared" si="218"/>
        <v>14</v>
      </c>
      <c r="C744" s="15">
        <f t="shared" si="219"/>
        <v>11</v>
      </c>
      <c r="D744" s="14">
        <f t="shared" si="220"/>
        <v>10</v>
      </c>
      <c r="E744" t="s">
        <v>2777</v>
      </c>
      <c r="F744" t="s">
        <v>2834</v>
      </c>
      <c r="G744" t="s">
        <v>2779</v>
      </c>
      <c r="H744" t="s">
        <v>2779</v>
      </c>
      <c r="I744" t="s">
        <v>2780</v>
      </c>
      <c r="J744" s="4" t="s">
        <v>2841</v>
      </c>
      <c r="K744" t="s">
        <v>168</v>
      </c>
      <c r="L744" t="s">
        <v>163</v>
      </c>
      <c r="M744" t="s">
        <v>163</v>
      </c>
      <c r="N744" t="s">
        <v>163</v>
      </c>
      <c r="O744" s="6" t="s">
        <v>1239</v>
      </c>
      <c r="P744">
        <v>0</v>
      </c>
      <c r="Q744" s="24">
        <v>55.5</v>
      </c>
      <c r="R744" s="25">
        <v>75</v>
      </c>
      <c r="S744" s="26">
        <v>52.3</v>
      </c>
      <c r="Y744">
        <v>10</v>
      </c>
      <c r="Z744">
        <v>30</v>
      </c>
      <c r="AA744" s="3">
        <v>25</v>
      </c>
      <c r="AB744" s="3">
        <v>6</v>
      </c>
      <c r="AC744">
        <v>155</v>
      </c>
      <c r="AD744" s="9">
        <f t="shared" si="203"/>
        <v>5531.833333333333</v>
      </c>
      <c r="AE744">
        <f t="shared" si="210"/>
        <v>2555730</v>
      </c>
      <c r="AF744" s="2">
        <f t="shared" si="214"/>
        <v>38.5</v>
      </c>
      <c r="AG744" t="str">
        <f t="shared" si="204"/>
        <v>92小时</v>
      </c>
      <c r="AH744">
        <f t="shared" si="205"/>
        <v>116</v>
      </c>
      <c r="AI744">
        <f t="shared" si="206"/>
        <v>20</v>
      </c>
      <c r="AJ744">
        <f t="shared" si="211"/>
        <v>66.300000000000011</v>
      </c>
      <c r="AK744">
        <f t="shared" si="207"/>
        <v>34</v>
      </c>
      <c r="AL744">
        <f t="shared" si="212"/>
        <v>38.5</v>
      </c>
      <c r="AM744" s="2">
        <f t="shared" si="208"/>
        <v>20</v>
      </c>
      <c r="AX744">
        <v>741</v>
      </c>
      <c r="AZ744" s="3"/>
      <c r="BB744" s="2">
        <f t="shared" si="209"/>
        <v>190</v>
      </c>
      <c r="BC744">
        <f t="shared" si="213"/>
        <v>18.470779220779221</v>
      </c>
      <c r="BD744" s="2">
        <f t="shared" si="215"/>
        <v>66.300000000000011</v>
      </c>
      <c r="BE744">
        <f t="shared" si="216"/>
        <v>38.5</v>
      </c>
      <c r="BF744">
        <f t="shared" si="217"/>
        <v>221760</v>
      </c>
    </row>
    <row r="745" spans="1:58" ht="14.25" x14ac:dyDescent="0.2">
      <c r="A745" s="11">
        <v>11012</v>
      </c>
      <c r="B745" s="13">
        <f t="shared" si="218"/>
        <v>14</v>
      </c>
      <c r="C745" s="15">
        <f t="shared" si="219"/>
        <v>11</v>
      </c>
      <c r="D745" s="14">
        <f t="shared" si="220"/>
        <v>10</v>
      </c>
      <c r="E745" t="s">
        <v>2777</v>
      </c>
      <c r="F745" t="s">
        <v>2835</v>
      </c>
      <c r="G745" t="s">
        <v>2779</v>
      </c>
      <c r="H745" t="s">
        <v>2779</v>
      </c>
      <c r="I745" t="s">
        <v>2780</v>
      </c>
      <c r="J745" s="4" t="s">
        <v>2841</v>
      </c>
      <c r="K745" t="s">
        <v>175</v>
      </c>
      <c r="L745" t="s">
        <v>164</v>
      </c>
      <c r="M745" t="s">
        <v>163</v>
      </c>
      <c r="N745" t="s">
        <v>167</v>
      </c>
      <c r="O745" s="6" t="s">
        <v>1241</v>
      </c>
      <c r="P745">
        <v>0</v>
      </c>
      <c r="Q745" s="24">
        <v>55.5</v>
      </c>
      <c r="R745" s="25">
        <v>75</v>
      </c>
      <c r="S745" s="26">
        <v>52.3</v>
      </c>
      <c r="Y745">
        <v>10</v>
      </c>
      <c r="Z745">
        <v>30</v>
      </c>
      <c r="AA745" s="3">
        <v>25</v>
      </c>
      <c r="AB745" s="3">
        <v>6</v>
      </c>
      <c r="AC745">
        <v>155</v>
      </c>
      <c r="AD745" s="9">
        <f t="shared" si="203"/>
        <v>5531.833333333333</v>
      </c>
      <c r="AE745">
        <f t="shared" si="210"/>
        <v>2555730</v>
      </c>
      <c r="AF745" s="2">
        <f t="shared" si="214"/>
        <v>38.5</v>
      </c>
      <c r="AG745" t="str">
        <f t="shared" si="204"/>
        <v>92小时</v>
      </c>
      <c r="AH745">
        <f t="shared" si="205"/>
        <v>116</v>
      </c>
      <c r="AI745">
        <f t="shared" si="206"/>
        <v>20</v>
      </c>
      <c r="AJ745">
        <f t="shared" si="211"/>
        <v>66.300000000000011</v>
      </c>
      <c r="AK745">
        <f t="shared" si="207"/>
        <v>34</v>
      </c>
      <c r="AL745">
        <f t="shared" si="212"/>
        <v>38.5</v>
      </c>
      <c r="AM745" s="2">
        <f t="shared" si="208"/>
        <v>20</v>
      </c>
      <c r="AX745">
        <v>742</v>
      </c>
      <c r="AZ745" s="3"/>
      <c r="BB745" s="2">
        <f t="shared" si="209"/>
        <v>190</v>
      </c>
      <c r="BC745">
        <f t="shared" si="213"/>
        <v>18.470779220779221</v>
      </c>
      <c r="BD745" s="2">
        <f t="shared" si="215"/>
        <v>66.300000000000011</v>
      </c>
      <c r="BE745">
        <f t="shared" si="216"/>
        <v>38.5</v>
      </c>
      <c r="BF745">
        <f t="shared" si="217"/>
        <v>221760</v>
      </c>
    </row>
    <row r="746" spans="1:58" ht="14.25" x14ac:dyDescent="0.2">
      <c r="A746" s="11">
        <v>11013</v>
      </c>
      <c r="B746" s="13">
        <f t="shared" si="218"/>
        <v>15</v>
      </c>
      <c r="C746" s="15">
        <f t="shared" si="219"/>
        <v>11</v>
      </c>
      <c r="D746" s="14">
        <f t="shared" si="220"/>
        <v>10</v>
      </c>
      <c r="E746" t="s">
        <v>2777</v>
      </c>
      <c r="F746" t="s">
        <v>2836</v>
      </c>
      <c r="G746" t="s">
        <v>2779</v>
      </c>
      <c r="H746" t="s">
        <v>2779</v>
      </c>
      <c r="I746" t="s">
        <v>2780</v>
      </c>
      <c r="J746" s="4" t="s">
        <v>2841</v>
      </c>
      <c r="K746" t="s">
        <v>179</v>
      </c>
      <c r="L746" t="s">
        <v>163</v>
      </c>
      <c r="M746" t="s">
        <v>163</v>
      </c>
      <c r="N746" t="s">
        <v>163</v>
      </c>
      <c r="O746" s="6" t="s">
        <v>1243</v>
      </c>
      <c r="P746">
        <v>0</v>
      </c>
      <c r="Q746" s="24">
        <v>55.5</v>
      </c>
      <c r="R746" s="25">
        <v>75</v>
      </c>
      <c r="S746" s="26">
        <v>52.3</v>
      </c>
      <c r="Y746">
        <v>10</v>
      </c>
      <c r="Z746">
        <v>30</v>
      </c>
      <c r="AA746" s="3">
        <v>25</v>
      </c>
      <c r="AB746" s="3">
        <v>6</v>
      </c>
      <c r="AC746">
        <v>155</v>
      </c>
      <c r="AD746" s="9">
        <f t="shared" si="203"/>
        <v>5531.833333333333</v>
      </c>
      <c r="AE746">
        <f t="shared" si="210"/>
        <v>2555730</v>
      </c>
      <c r="AF746" s="2">
        <f t="shared" si="214"/>
        <v>38.5</v>
      </c>
      <c r="AG746" t="str">
        <f t="shared" si="204"/>
        <v>92小时</v>
      </c>
      <c r="AH746">
        <f t="shared" si="205"/>
        <v>116</v>
      </c>
      <c r="AI746">
        <f t="shared" si="206"/>
        <v>20</v>
      </c>
      <c r="AJ746">
        <f t="shared" si="211"/>
        <v>66.300000000000011</v>
      </c>
      <c r="AK746">
        <f t="shared" si="207"/>
        <v>34</v>
      </c>
      <c r="AL746">
        <f t="shared" si="212"/>
        <v>38.5</v>
      </c>
      <c r="AM746" s="2">
        <f t="shared" si="208"/>
        <v>20</v>
      </c>
      <c r="AX746">
        <v>743</v>
      </c>
      <c r="AZ746" s="3"/>
      <c r="BB746" s="2">
        <f t="shared" si="209"/>
        <v>190</v>
      </c>
      <c r="BC746">
        <f t="shared" si="213"/>
        <v>18.470779220779221</v>
      </c>
      <c r="BD746" s="2">
        <f t="shared" si="215"/>
        <v>66.300000000000011</v>
      </c>
      <c r="BE746">
        <f t="shared" si="216"/>
        <v>38.5</v>
      </c>
      <c r="BF746">
        <f t="shared" si="217"/>
        <v>221760</v>
      </c>
    </row>
    <row r="747" spans="1:58" ht="14.25" x14ac:dyDescent="0.2">
      <c r="A747" s="11">
        <v>11014</v>
      </c>
      <c r="B747" s="13">
        <f t="shared" si="218"/>
        <v>15</v>
      </c>
      <c r="C747" s="15">
        <f t="shared" si="219"/>
        <v>11</v>
      </c>
      <c r="D747" s="14">
        <f t="shared" si="220"/>
        <v>10</v>
      </c>
      <c r="E747" t="s">
        <v>2777</v>
      </c>
      <c r="F747" t="s">
        <v>2837</v>
      </c>
      <c r="G747" t="s">
        <v>2779</v>
      </c>
      <c r="H747" t="s">
        <v>2779</v>
      </c>
      <c r="I747" t="s">
        <v>2780</v>
      </c>
      <c r="J747" s="4" t="s">
        <v>2841</v>
      </c>
      <c r="K747" t="s">
        <v>177</v>
      </c>
      <c r="L747" t="s">
        <v>163</v>
      </c>
      <c r="M747" t="s">
        <v>163</v>
      </c>
      <c r="N747" t="s">
        <v>163</v>
      </c>
      <c r="O747" s="6" t="s">
        <v>1243</v>
      </c>
      <c r="P747">
        <v>0</v>
      </c>
      <c r="Q747" s="24">
        <v>55.5</v>
      </c>
      <c r="R747" s="25">
        <v>75</v>
      </c>
      <c r="S747" s="26">
        <v>52.3</v>
      </c>
      <c r="Y747">
        <v>10</v>
      </c>
      <c r="Z747">
        <v>30</v>
      </c>
      <c r="AA747" s="3">
        <v>25</v>
      </c>
      <c r="AB747" s="3">
        <v>6</v>
      </c>
      <c r="AC747">
        <v>155</v>
      </c>
      <c r="AD747" s="9">
        <f t="shared" si="203"/>
        <v>5531.833333333333</v>
      </c>
      <c r="AE747">
        <f t="shared" si="210"/>
        <v>2555730</v>
      </c>
      <c r="AF747" s="2">
        <f t="shared" si="214"/>
        <v>38.5</v>
      </c>
      <c r="AG747" t="str">
        <f t="shared" si="204"/>
        <v>92小时</v>
      </c>
      <c r="AH747">
        <f t="shared" si="205"/>
        <v>116</v>
      </c>
      <c r="AI747">
        <f t="shared" si="206"/>
        <v>20</v>
      </c>
      <c r="AJ747">
        <f t="shared" si="211"/>
        <v>66.300000000000011</v>
      </c>
      <c r="AK747">
        <f t="shared" si="207"/>
        <v>34</v>
      </c>
      <c r="AL747">
        <f t="shared" si="212"/>
        <v>38.5</v>
      </c>
      <c r="AM747" s="2">
        <f t="shared" si="208"/>
        <v>20</v>
      </c>
      <c r="AX747">
        <v>744</v>
      </c>
      <c r="AZ747" s="3"/>
      <c r="BB747" s="2">
        <f t="shared" si="209"/>
        <v>190</v>
      </c>
      <c r="BC747">
        <f t="shared" si="213"/>
        <v>18.470779220779221</v>
      </c>
      <c r="BD747" s="2">
        <f t="shared" si="215"/>
        <v>66.300000000000011</v>
      </c>
      <c r="BE747">
        <f t="shared" si="216"/>
        <v>38.5</v>
      </c>
      <c r="BF747">
        <f t="shared" si="217"/>
        <v>221760</v>
      </c>
    </row>
    <row r="748" spans="1:58" ht="14.25" x14ac:dyDescent="0.2">
      <c r="A748" s="11">
        <v>11015</v>
      </c>
      <c r="B748" s="13">
        <f t="shared" si="218"/>
        <v>15</v>
      </c>
      <c r="C748" s="15">
        <f t="shared" si="219"/>
        <v>11</v>
      </c>
      <c r="D748" s="14">
        <f t="shared" si="220"/>
        <v>10</v>
      </c>
      <c r="E748" t="s">
        <v>2785</v>
      </c>
      <c r="F748" t="s">
        <v>2786</v>
      </c>
      <c r="G748" t="s">
        <v>2832</v>
      </c>
      <c r="H748" t="s">
        <v>2829</v>
      </c>
      <c r="I748" t="s">
        <v>2697</v>
      </c>
      <c r="J748" s="4" t="s">
        <v>2861</v>
      </c>
      <c r="K748" t="s">
        <v>174</v>
      </c>
      <c r="L748" t="s">
        <v>163</v>
      </c>
      <c r="M748" t="s">
        <v>163</v>
      </c>
      <c r="N748" t="s">
        <v>163</v>
      </c>
      <c r="O748" s="6" t="s">
        <v>1245</v>
      </c>
      <c r="P748">
        <v>0</v>
      </c>
      <c r="Q748" s="24">
        <v>55.5</v>
      </c>
      <c r="R748" s="25">
        <v>75</v>
      </c>
      <c r="S748" s="26">
        <v>52.3</v>
      </c>
      <c r="Y748">
        <v>10</v>
      </c>
      <c r="Z748">
        <v>30</v>
      </c>
      <c r="AA748" s="3">
        <v>25</v>
      </c>
      <c r="AB748" s="3">
        <v>6</v>
      </c>
      <c r="AC748">
        <v>155</v>
      </c>
      <c r="AD748" s="9">
        <f t="shared" si="203"/>
        <v>5531.833333333333</v>
      </c>
      <c r="AE748">
        <f t="shared" si="210"/>
        <v>2555730</v>
      </c>
      <c r="AF748" s="2">
        <f t="shared" si="214"/>
        <v>38.5</v>
      </c>
      <c r="AG748" t="str">
        <f t="shared" si="204"/>
        <v>92小时</v>
      </c>
      <c r="AH748">
        <f t="shared" si="205"/>
        <v>116</v>
      </c>
      <c r="AI748">
        <f t="shared" si="206"/>
        <v>20</v>
      </c>
      <c r="AJ748">
        <f t="shared" si="211"/>
        <v>66.300000000000011</v>
      </c>
      <c r="AK748">
        <f t="shared" si="207"/>
        <v>34</v>
      </c>
      <c r="AL748">
        <f t="shared" si="212"/>
        <v>38.5</v>
      </c>
      <c r="AM748" s="2">
        <f t="shared" si="208"/>
        <v>20</v>
      </c>
      <c r="AX748">
        <v>745</v>
      </c>
      <c r="AZ748" s="3"/>
      <c r="BB748" s="2">
        <f t="shared" si="209"/>
        <v>190</v>
      </c>
      <c r="BC748">
        <f t="shared" si="213"/>
        <v>18.470779220779221</v>
      </c>
      <c r="BD748" s="2">
        <f t="shared" si="215"/>
        <v>66.300000000000011</v>
      </c>
      <c r="BE748">
        <f t="shared" si="216"/>
        <v>38.5</v>
      </c>
      <c r="BF748">
        <f t="shared" si="217"/>
        <v>221760</v>
      </c>
    </row>
    <row r="749" spans="1:58" ht="14.25" x14ac:dyDescent="0.2">
      <c r="A749" s="11">
        <v>11016</v>
      </c>
      <c r="B749" s="13">
        <f t="shared" si="218"/>
        <v>15</v>
      </c>
      <c r="C749" s="15">
        <f t="shared" si="219"/>
        <v>11</v>
      </c>
      <c r="D749" s="14">
        <f t="shared" si="220"/>
        <v>10</v>
      </c>
      <c r="E749" t="s">
        <v>2777</v>
      </c>
      <c r="F749" t="s">
        <v>2834</v>
      </c>
      <c r="G749" t="s">
        <v>2779</v>
      </c>
      <c r="H749" t="s">
        <v>2779</v>
      </c>
      <c r="I749" t="s">
        <v>2780</v>
      </c>
      <c r="J749" s="4" t="s">
        <v>2841</v>
      </c>
      <c r="K749" t="s">
        <v>182</v>
      </c>
      <c r="L749" t="s">
        <v>163</v>
      </c>
      <c r="M749" t="s">
        <v>163</v>
      </c>
      <c r="N749" t="s">
        <v>163</v>
      </c>
      <c r="O749" s="6" t="s">
        <v>1247</v>
      </c>
      <c r="P749">
        <v>0</v>
      </c>
      <c r="Q749" s="24">
        <v>55.8</v>
      </c>
      <c r="R749" s="25">
        <v>75.5</v>
      </c>
      <c r="S749" s="26">
        <v>52.5</v>
      </c>
      <c r="Y749">
        <v>10</v>
      </c>
      <c r="Z749">
        <v>30</v>
      </c>
      <c r="AA749" s="3">
        <v>25</v>
      </c>
      <c r="AB749" s="3">
        <v>6</v>
      </c>
      <c r="AC749">
        <v>155</v>
      </c>
      <c r="AD749" s="9">
        <f t="shared" si="203"/>
        <v>5503.25</v>
      </c>
      <c r="AE749">
        <f t="shared" si="210"/>
        <v>2555730</v>
      </c>
      <c r="AF749" s="2">
        <f t="shared" si="214"/>
        <v>38.700000000000003</v>
      </c>
      <c r="AG749" t="str">
        <f t="shared" si="204"/>
        <v>91小时</v>
      </c>
      <c r="AH749">
        <f t="shared" si="205"/>
        <v>117</v>
      </c>
      <c r="AI749">
        <f t="shared" si="206"/>
        <v>20</v>
      </c>
      <c r="AJ749">
        <f t="shared" si="211"/>
        <v>66.599999999999994</v>
      </c>
      <c r="AK749">
        <f t="shared" si="207"/>
        <v>34</v>
      </c>
      <c r="AL749">
        <f t="shared" si="212"/>
        <v>38.700000000000003</v>
      </c>
      <c r="AM749" s="2">
        <f t="shared" si="208"/>
        <v>20</v>
      </c>
      <c r="AX749">
        <v>746</v>
      </c>
      <c r="AZ749" s="3"/>
      <c r="BB749" s="2">
        <f t="shared" si="209"/>
        <v>190</v>
      </c>
      <c r="BC749">
        <f t="shared" si="213"/>
        <v>18.375322997416021</v>
      </c>
      <c r="BD749" s="2">
        <f t="shared" si="215"/>
        <v>66.599999999999994</v>
      </c>
      <c r="BE749">
        <f t="shared" si="216"/>
        <v>38.700000000000003</v>
      </c>
      <c r="BF749">
        <f t="shared" si="217"/>
        <v>222912</v>
      </c>
    </row>
    <row r="750" spans="1:58" ht="14.25" x14ac:dyDescent="0.2">
      <c r="A750" s="11">
        <v>11017</v>
      </c>
      <c r="B750" s="13">
        <f t="shared" si="218"/>
        <v>15</v>
      </c>
      <c r="C750" s="15">
        <f t="shared" si="219"/>
        <v>11</v>
      </c>
      <c r="D750" s="14">
        <f t="shared" si="220"/>
        <v>10</v>
      </c>
      <c r="E750" t="s">
        <v>2777</v>
      </c>
      <c r="F750" t="s">
        <v>2835</v>
      </c>
      <c r="G750" t="s">
        <v>2779</v>
      </c>
      <c r="H750" t="s">
        <v>2779</v>
      </c>
      <c r="I750" t="s">
        <v>2780</v>
      </c>
      <c r="J750" s="4" t="s">
        <v>2841</v>
      </c>
      <c r="K750" t="s">
        <v>162</v>
      </c>
      <c r="L750" t="s">
        <v>163</v>
      </c>
      <c r="M750" t="s">
        <v>163</v>
      </c>
      <c r="N750" t="s">
        <v>163</v>
      </c>
      <c r="O750" s="6" t="s">
        <v>1247</v>
      </c>
      <c r="P750">
        <v>0</v>
      </c>
      <c r="Q750" s="24">
        <v>55.8</v>
      </c>
      <c r="R750" s="25">
        <v>75.5</v>
      </c>
      <c r="S750" s="26">
        <v>52.5</v>
      </c>
      <c r="Y750">
        <v>10</v>
      </c>
      <c r="Z750">
        <v>30</v>
      </c>
      <c r="AA750" s="3">
        <v>25</v>
      </c>
      <c r="AB750" s="3">
        <v>6</v>
      </c>
      <c r="AC750">
        <v>155</v>
      </c>
      <c r="AD750" s="9">
        <f t="shared" si="203"/>
        <v>5503.25</v>
      </c>
      <c r="AE750">
        <f t="shared" si="210"/>
        <v>2555730</v>
      </c>
      <c r="AF750" s="2">
        <f t="shared" si="214"/>
        <v>38.700000000000003</v>
      </c>
      <c r="AG750" t="str">
        <f t="shared" si="204"/>
        <v>91小时</v>
      </c>
      <c r="AH750">
        <f t="shared" si="205"/>
        <v>117</v>
      </c>
      <c r="AI750">
        <f t="shared" si="206"/>
        <v>20</v>
      </c>
      <c r="AJ750">
        <f t="shared" si="211"/>
        <v>66.599999999999994</v>
      </c>
      <c r="AK750">
        <f t="shared" si="207"/>
        <v>34</v>
      </c>
      <c r="AL750">
        <f t="shared" si="212"/>
        <v>38.700000000000003</v>
      </c>
      <c r="AM750" s="2">
        <f t="shared" si="208"/>
        <v>20</v>
      </c>
      <c r="AX750">
        <v>747</v>
      </c>
      <c r="AZ750" s="3"/>
      <c r="BB750" s="2">
        <f t="shared" si="209"/>
        <v>190</v>
      </c>
      <c r="BC750">
        <f t="shared" si="213"/>
        <v>18.375322997416021</v>
      </c>
      <c r="BD750" s="2">
        <f t="shared" si="215"/>
        <v>66.599999999999994</v>
      </c>
      <c r="BE750">
        <f t="shared" si="216"/>
        <v>38.700000000000003</v>
      </c>
      <c r="BF750">
        <f t="shared" si="217"/>
        <v>222912</v>
      </c>
    </row>
    <row r="751" spans="1:58" ht="14.25" x14ac:dyDescent="0.2">
      <c r="A751" s="11">
        <v>11018</v>
      </c>
      <c r="B751" s="13">
        <f t="shared" si="218"/>
        <v>15</v>
      </c>
      <c r="C751" s="15">
        <f t="shared" si="219"/>
        <v>11</v>
      </c>
      <c r="D751" s="14">
        <f t="shared" si="220"/>
        <v>10</v>
      </c>
      <c r="E751" t="s">
        <v>2777</v>
      </c>
      <c r="F751" t="s">
        <v>2836</v>
      </c>
      <c r="G751" t="s">
        <v>2779</v>
      </c>
      <c r="H751" t="s">
        <v>2779</v>
      </c>
      <c r="I751" t="s">
        <v>2780</v>
      </c>
      <c r="J751" s="4" t="s">
        <v>2841</v>
      </c>
      <c r="K751" t="s">
        <v>177</v>
      </c>
      <c r="L751" t="s">
        <v>163</v>
      </c>
      <c r="M751" t="s">
        <v>163</v>
      </c>
      <c r="N751" t="s">
        <v>163</v>
      </c>
      <c r="O751" s="6" t="s">
        <v>1249</v>
      </c>
      <c r="P751">
        <v>0</v>
      </c>
      <c r="Q751" s="24">
        <v>55.8</v>
      </c>
      <c r="R751" s="25">
        <v>75.5</v>
      </c>
      <c r="S751" s="26">
        <v>52.5</v>
      </c>
      <c r="Y751">
        <v>10</v>
      </c>
      <c r="Z751">
        <v>30</v>
      </c>
      <c r="AA751" s="3">
        <v>25</v>
      </c>
      <c r="AB751" s="3">
        <v>6</v>
      </c>
      <c r="AC751">
        <v>155</v>
      </c>
      <c r="AD751" s="9">
        <f t="shared" si="203"/>
        <v>5503.25</v>
      </c>
      <c r="AE751">
        <f t="shared" si="210"/>
        <v>2555730</v>
      </c>
      <c r="AF751" s="2">
        <f t="shared" si="214"/>
        <v>38.700000000000003</v>
      </c>
      <c r="AG751" t="str">
        <f t="shared" si="204"/>
        <v>91小时</v>
      </c>
      <c r="AH751">
        <f t="shared" si="205"/>
        <v>117</v>
      </c>
      <c r="AI751">
        <f t="shared" si="206"/>
        <v>20</v>
      </c>
      <c r="AJ751">
        <f t="shared" si="211"/>
        <v>66.599999999999994</v>
      </c>
      <c r="AK751">
        <f t="shared" si="207"/>
        <v>34</v>
      </c>
      <c r="AL751">
        <f t="shared" si="212"/>
        <v>38.700000000000003</v>
      </c>
      <c r="AM751" s="2">
        <f t="shared" si="208"/>
        <v>20</v>
      </c>
      <c r="AX751">
        <v>748</v>
      </c>
      <c r="AZ751" s="3"/>
      <c r="BB751" s="2">
        <f t="shared" si="209"/>
        <v>190</v>
      </c>
      <c r="BC751">
        <f t="shared" si="213"/>
        <v>18.375322997416021</v>
      </c>
      <c r="BD751" s="2">
        <f t="shared" si="215"/>
        <v>66.599999999999994</v>
      </c>
      <c r="BE751">
        <f t="shared" si="216"/>
        <v>38.700000000000003</v>
      </c>
      <c r="BF751">
        <f t="shared" si="217"/>
        <v>222912</v>
      </c>
    </row>
    <row r="752" spans="1:58" ht="14.25" x14ac:dyDescent="0.2">
      <c r="A752" s="11">
        <v>11019</v>
      </c>
      <c r="B752" s="13">
        <f t="shared" si="218"/>
        <v>15</v>
      </c>
      <c r="C752" s="15">
        <f t="shared" si="219"/>
        <v>11</v>
      </c>
      <c r="D752" s="14">
        <f t="shared" si="220"/>
        <v>10</v>
      </c>
      <c r="E752" t="s">
        <v>2777</v>
      </c>
      <c r="F752" t="s">
        <v>2837</v>
      </c>
      <c r="G752" t="s">
        <v>2779</v>
      </c>
      <c r="H752" t="s">
        <v>2779</v>
      </c>
      <c r="I752" t="s">
        <v>2780</v>
      </c>
      <c r="J752" s="4" t="s">
        <v>2841</v>
      </c>
      <c r="K752" t="s">
        <v>174</v>
      </c>
      <c r="L752" t="s">
        <v>163</v>
      </c>
      <c r="M752" t="s">
        <v>163</v>
      </c>
      <c r="N752" t="s">
        <v>163</v>
      </c>
      <c r="O752" s="6" t="s">
        <v>1251</v>
      </c>
      <c r="P752">
        <v>0</v>
      </c>
      <c r="Q752" s="24">
        <v>55.8</v>
      </c>
      <c r="R752" s="25">
        <v>75.5</v>
      </c>
      <c r="S752" s="26">
        <v>52.5</v>
      </c>
      <c r="Y752">
        <v>10</v>
      </c>
      <c r="Z752">
        <v>30</v>
      </c>
      <c r="AA752" s="3">
        <v>25</v>
      </c>
      <c r="AB752" s="3">
        <v>6</v>
      </c>
      <c r="AC752">
        <v>155</v>
      </c>
      <c r="AD752" s="9">
        <f t="shared" si="203"/>
        <v>5503.25</v>
      </c>
      <c r="AE752">
        <f t="shared" si="210"/>
        <v>2555730</v>
      </c>
      <c r="AF752" s="2">
        <f t="shared" si="214"/>
        <v>38.700000000000003</v>
      </c>
      <c r="AG752" t="str">
        <f t="shared" si="204"/>
        <v>91小时</v>
      </c>
      <c r="AH752">
        <f t="shared" si="205"/>
        <v>117</v>
      </c>
      <c r="AI752">
        <f t="shared" si="206"/>
        <v>20</v>
      </c>
      <c r="AJ752">
        <f t="shared" si="211"/>
        <v>66.599999999999994</v>
      </c>
      <c r="AK752">
        <f t="shared" si="207"/>
        <v>34</v>
      </c>
      <c r="AL752">
        <f t="shared" si="212"/>
        <v>38.700000000000003</v>
      </c>
      <c r="AM752" s="2">
        <f t="shared" si="208"/>
        <v>20</v>
      </c>
      <c r="AX752">
        <v>749</v>
      </c>
      <c r="AZ752" s="3"/>
      <c r="BB752" s="2">
        <f t="shared" si="209"/>
        <v>190</v>
      </c>
      <c r="BC752">
        <f t="shared" si="213"/>
        <v>18.375322997416021</v>
      </c>
      <c r="BD752" s="2">
        <f t="shared" si="215"/>
        <v>66.599999999999994</v>
      </c>
      <c r="BE752">
        <f t="shared" si="216"/>
        <v>38.700000000000003</v>
      </c>
      <c r="BF752">
        <f t="shared" si="217"/>
        <v>222912</v>
      </c>
    </row>
    <row r="753" spans="1:58" ht="14.25" x14ac:dyDescent="0.2">
      <c r="A753" s="11">
        <v>11020</v>
      </c>
      <c r="B753" s="13">
        <f t="shared" si="218"/>
        <v>15</v>
      </c>
      <c r="C753" s="15">
        <f t="shared" si="219"/>
        <v>11</v>
      </c>
      <c r="D753" s="14">
        <f t="shared" si="220"/>
        <v>10</v>
      </c>
      <c r="E753" t="s">
        <v>2785</v>
      </c>
      <c r="F753" t="s">
        <v>2786</v>
      </c>
      <c r="G753" t="s">
        <v>2833</v>
      </c>
      <c r="H753" t="s">
        <v>2829</v>
      </c>
      <c r="I753" t="s">
        <v>2697</v>
      </c>
      <c r="J753" s="4" t="s">
        <v>2879</v>
      </c>
      <c r="K753" t="s">
        <v>166</v>
      </c>
      <c r="L753" t="s">
        <v>163</v>
      </c>
      <c r="M753" t="s">
        <v>163</v>
      </c>
      <c r="N753" t="s">
        <v>163</v>
      </c>
      <c r="O753" s="6" t="s">
        <v>1251</v>
      </c>
      <c r="P753">
        <v>0</v>
      </c>
      <c r="Q753" s="24">
        <v>55.8</v>
      </c>
      <c r="R753" s="25">
        <v>75.5</v>
      </c>
      <c r="S753" s="26">
        <v>52.5</v>
      </c>
      <c r="Y753">
        <v>10</v>
      </c>
      <c r="Z753">
        <v>30</v>
      </c>
      <c r="AA753" s="3">
        <v>25</v>
      </c>
      <c r="AB753" s="3">
        <v>6</v>
      </c>
      <c r="AC753">
        <v>155</v>
      </c>
      <c r="AD753" s="9">
        <f t="shared" si="203"/>
        <v>5503.25</v>
      </c>
      <c r="AE753">
        <f t="shared" si="210"/>
        <v>2555730</v>
      </c>
      <c r="AF753" s="2">
        <f t="shared" si="214"/>
        <v>38.700000000000003</v>
      </c>
      <c r="AG753" t="str">
        <f t="shared" si="204"/>
        <v>91小时</v>
      </c>
      <c r="AH753">
        <f t="shared" si="205"/>
        <v>117</v>
      </c>
      <c r="AI753">
        <f t="shared" si="206"/>
        <v>20</v>
      </c>
      <c r="AJ753">
        <f t="shared" si="211"/>
        <v>66.599999999999994</v>
      </c>
      <c r="AK753">
        <f t="shared" si="207"/>
        <v>34</v>
      </c>
      <c r="AL753">
        <f t="shared" si="212"/>
        <v>38.700000000000003</v>
      </c>
      <c r="AM753" s="2">
        <f t="shared" si="208"/>
        <v>20</v>
      </c>
      <c r="AX753">
        <v>750</v>
      </c>
      <c r="AZ753" s="3"/>
      <c r="BB753" s="2">
        <f t="shared" si="209"/>
        <v>190</v>
      </c>
      <c r="BC753">
        <f t="shared" si="213"/>
        <v>18.375322997416021</v>
      </c>
      <c r="BD753" s="2">
        <f t="shared" si="215"/>
        <v>66.599999999999994</v>
      </c>
      <c r="BE753">
        <f t="shared" si="216"/>
        <v>38.700000000000003</v>
      </c>
      <c r="BF753">
        <f t="shared" si="217"/>
        <v>222912</v>
      </c>
    </row>
    <row r="754" spans="1:58" ht="14.25" x14ac:dyDescent="0.2">
      <c r="A754" s="11">
        <v>11021</v>
      </c>
      <c r="B754" s="13">
        <f t="shared" si="218"/>
        <v>15</v>
      </c>
      <c r="C754" s="15">
        <f t="shared" si="219"/>
        <v>11</v>
      </c>
      <c r="D754" s="14">
        <f t="shared" si="220"/>
        <v>10</v>
      </c>
      <c r="E754" t="s">
        <v>2777</v>
      </c>
      <c r="F754" t="s">
        <v>2834</v>
      </c>
      <c r="G754" t="s">
        <v>2779</v>
      </c>
      <c r="H754" t="s">
        <v>2779</v>
      </c>
      <c r="I754" t="s">
        <v>2780</v>
      </c>
      <c r="J754" s="4" t="s">
        <v>2841</v>
      </c>
      <c r="K754" t="s">
        <v>168</v>
      </c>
      <c r="L754" t="s">
        <v>163</v>
      </c>
      <c r="M754" t="s">
        <v>163</v>
      </c>
      <c r="N754" t="s">
        <v>163</v>
      </c>
      <c r="O754" s="6" t="s">
        <v>1253</v>
      </c>
      <c r="P754">
        <v>0</v>
      </c>
      <c r="Q754" s="24">
        <v>56.2</v>
      </c>
      <c r="R754" s="25">
        <v>76</v>
      </c>
      <c r="S754" s="26">
        <v>52.8</v>
      </c>
      <c r="Y754">
        <v>10</v>
      </c>
      <c r="Z754">
        <v>30</v>
      </c>
      <c r="AA754" s="3">
        <v>25</v>
      </c>
      <c r="AB754" s="3">
        <v>6</v>
      </c>
      <c r="AC754">
        <v>155</v>
      </c>
      <c r="AD754" s="9">
        <f t="shared" si="203"/>
        <v>5460.916666666667</v>
      </c>
      <c r="AE754">
        <f t="shared" si="210"/>
        <v>2555730</v>
      </c>
      <c r="AF754" s="2">
        <f t="shared" si="214"/>
        <v>39</v>
      </c>
      <c r="AG754" t="str">
        <f t="shared" si="204"/>
        <v>91小时</v>
      </c>
      <c r="AH754">
        <f t="shared" si="205"/>
        <v>117</v>
      </c>
      <c r="AI754">
        <f t="shared" si="206"/>
        <v>20</v>
      </c>
      <c r="AJ754">
        <f t="shared" si="211"/>
        <v>67</v>
      </c>
      <c r="AK754">
        <f t="shared" si="207"/>
        <v>34</v>
      </c>
      <c r="AL754">
        <f t="shared" si="212"/>
        <v>39</v>
      </c>
      <c r="AM754" s="2">
        <f t="shared" si="208"/>
        <v>20</v>
      </c>
      <c r="AX754">
        <v>751</v>
      </c>
      <c r="AZ754" s="3"/>
      <c r="BB754" s="2">
        <f t="shared" si="209"/>
        <v>190</v>
      </c>
      <c r="BC754">
        <f t="shared" si="213"/>
        <v>18.233974358974358</v>
      </c>
      <c r="BD754" s="2">
        <f t="shared" si="215"/>
        <v>67</v>
      </c>
      <c r="BE754">
        <f t="shared" si="216"/>
        <v>39</v>
      </c>
      <c r="BF754">
        <f t="shared" si="217"/>
        <v>224640</v>
      </c>
    </row>
    <row r="755" spans="1:58" ht="14.25" x14ac:dyDescent="0.2">
      <c r="A755" s="11">
        <v>11022</v>
      </c>
      <c r="B755" s="13">
        <f t="shared" si="218"/>
        <v>15</v>
      </c>
      <c r="C755" s="15">
        <f t="shared" si="219"/>
        <v>11</v>
      </c>
      <c r="D755" s="14">
        <f t="shared" si="220"/>
        <v>10</v>
      </c>
      <c r="E755" t="s">
        <v>2777</v>
      </c>
      <c r="F755" t="s">
        <v>2835</v>
      </c>
      <c r="G755" t="s">
        <v>2779</v>
      </c>
      <c r="H755" t="s">
        <v>2779</v>
      </c>
      <c r="I755" t="s">
        <v>2780</v>
      </c>
      <c r="J755" s="4" t="s">
        <v>2841</v>
      </c>
      <c r="K755" t="s">
        <v>175</v>
      </c>
      <c r="L755" t="s">
        <v>164</v>
      </c>
      <c r="M755" t="s">
        <v>163</v>
      </c>
      <c r="N755" t="s">
        <v>167</v>
      </c>
      <c r="O755" s="6" t="s">
        <v>1255</v>
      </c>
      <c r="P755">
        <v>0</v>
      </c>
      <c r="Q755" s="24">
        <v>56.2</v>
      </c>
      <c r="R755" s="25">
        <v>76</v>
      </c>
      <c r="S755" s="26">
        <v>52.8</v>
      </c>
      <c r="Y755">
        <v>10</v>
      </c>
      <c r="Z755">
        <v>30</v>
      </c>
      <c r="AA755" s="3">
        <v>25</v>
      </c>
      <c r="AB755" s="3">
        <v>6</v>
      </c>
      <c r="AC755">
        <v>155</v>
      </c>
      <c r="AD755" s="9">
        <f t="shared" si="203"/>
        <v>5460.916666666667</v>
      </c>
      <c r="AE755">
        <f t="shared" si="210"/>
        <v>2555730</v>
      </c>
      <c r="AF755" s="2">
        <f t="shared" si="214"/>
        <v>39</v>
      </c>
      <c r="AG755" t="str">
        <f t="shared" si="204"/>
        <v>91小时</v>
      </c>
      <c r="AH755">
        <f t="shared" si="205"/>
        <v>117</v>
      </c>
      <c r="AI755">
        <f t="shared" si="206"/>
        <v>20</v>
      </c>
      <c r="AJ755">
        <f t="shared" si="211"/>
        <v>67</v>
      </c>
      <c r="AK755">
        <f t="shared" si="207"/>
        <v>34</v>
      </c>
      <c r="AL755">
        <f t="shared" si="212"/>
        <v>39</v>
      </c>
      <c r="AM755" s="2">
        <f t="shared" si="208"/>
        <v>20</v>
      </c>
      <c r="AX755">
        <v>752</v>
      </c>
      <c r="AZ755" s="3"/>
      <c r="BB755" s="2">
        <f t="shared" si="209"/>
        <v>190</v>
      </c>
      <c r="BC755">
        <f t="shared" si="213"/>
        <v>18.233974358974358</v>
      </c>
      <c r="BD755" s="2">
        <f t="shared" si="215"/>
        <v>67</v>
      </c>
      <c r="BE755">
        <f t="shared" si="216"/>
        <v>39</v>
      </c>
      <c r="BF755">
        <f t="shared" si="217"/>
        <v>224640</v>
      </c>
    </row>
    <row r="756" spans="1:58" ht="14.25" x14ac:dyDescent="0.2">
      <c r="A756" s="11">
        <v>11023</v>
      </c>
      <c r="B756" s="13">
        <f t="shared" si="218"/>
        <v>15</v>
      </c>
      <c r="C756" s="15">
        <f t="shared" si="219"/>
        <v>11</v>
      </c>
      <c r="D756" s="14">
        <f t="shared" si="220"/>
        <v>10</v>
      </c>
      <c r="E756" t="s">
        <v>2777</v>
      </c>
      <c r="F756" t="s">
        <v>2836</v>
      </c>
      <c r="G756" t="s">
        <v>2779</v>
      </c>
      <c r="H756" t="s">
        <v>2779</v>
      </c>
      <c r="I756" t="s">
        <v>2780</v>
      </c>
      <c r="J756" s="4" t="s">
        <v>2841</v>
      </c>
      <c r="K756" t="s">
        <v>179</v>
      </c>
      <c r="L756" t="s">
        <v>163</v>
      </c>
      <c r="M756" t="s">
        <v>163</v>
      </c>
      <c r="N756" t="s">
        <v>163</v>
      </c>
      <c r="O756" s="6" t="s">
        <v>1257</v>
      </c>
      <c r="P756">
        <v>0</v>
      </c>
      <c r="Q756" s="24">
        <v>56.2</v>
      </c>
      <c r="R756" s="25">
        <v>76</v>
      </c>
      <c r="S756" s="26">
        <v>52.8</v>
      </c>
      <c r="Y756">
        <v>10</v>
      </c>
      <c r="Z756">
        <v>30</v>
      </c>
      <c r="AA756" s="3">
        <v>25</v>
      </c>
      <c r="AB756" s="3">
        <v>6</v>
      </c>
      <c r="AC756">
        <v>155</v>
      </c>
      <c r="AD756" s="9">
        <f t="shared" si="203"/>
        <v>5460.916666666667</v>
      </c>
      <c r="AE756">
        <f t="shared" si="210"/>
        <v>2555730</v>
      </c>
      <c r="AF756" s="2">
        <f t="shared" si="214"/>
        <v>39</v>
      </c>
      <c r="AG756" t="str">
        <f t="shared" si="204"/>
        <v>91小时</v>
      </c>
      <c r="AH756">
        <f t="shared" si="205"/>
        <v>117</v>
      </c>
      <c r="AI756">
        <f t="shared" si="206"/>
        <v>20</v>
      </c>
      <c r="AJ756">
        <f t="shared" si="211"/>
        <v>67</v>
      </c>
      <c r="AK756">
        <f t="shared" si="207"/>
        <v>34</v>
      </c>
      <c r="AL756">
        <f t="shared" si="212"/>
        <v>39</v>
      </c>
      <c r="AM756" s="2">
        <f t="shared" si="208"/>
        <v>20</v>
      </c>
      <c r="AX756">
        <v>753</v>
      </c>
      <c r="AZ756" s="3"/>
      <c r="BB756" s="2">
        <f t="shared" si="209"/>
        <v>190</v>
      </c>
      <c r="BC756">
        <f t="shared" si="213"/>
        <v>18.233974358974358</v>
      </c>
      <c r="BD756" s="2">
        <f t="shared" si="215"/>
        <v>67</v>
      </c>
      <c r="BE756">
        <f t="shared" si="216"/>
        <v>39</v>
      </c>
      <c r="BF756">
        <f t="shared" si="217"/>
        <v>224640</v>
      </c>
    </row>
    <row r="757" spans="1:58" ht="14.25" x14ac:dyDescent="0.2">
      <c r="A757" s="11">
        <v>11024</v>
      </c>
      <c r="B757" s="13">
        <f t="shared" si="218"/>
        <v>15</v>
      </c>
      <c r="C757" s="15">
        <f t="shared" si="219"/>
        <v>11</v>
      </c>
      <c r="D757" s="14">
        <f t="shared" si="220"/>
        <v>10</v>
      </c>
      <c r="E757" t="s">
        <v>2777</v>
      </c>
      <c r="F757" t="s">
        <v>2837</v>
      </c>
      <c r="G757" t="s">
        <v>2779</v>
      </c>
      <c r="H757" t="s">
        <v>2779</v>
      </c>
      <c r="I757" t="s">
        <v>2780</v>
      </c>
      <c r="J757" s="4" t="s">
        <v>2841</v>
      </c>
      <c r="K757" t="s">
        <v>177</v>
      </c>
      <c r="L757" t="s">
        <v>163</v>
      </c>
      <c r="M757" t="s">
        <v>163</v>
      </c>
      <c r="N757" t="s">
        <v>163</v>
      </c>
      <c r="O757" s="6" t="s">
        <v>1257</v>
      </c>
      <c r="P757">
        <v>0</v>
      </c>
      <c r="Q757" s="24">
        <v>56.2</v>
      </c>
      <c r="R757" s="25">
        <v>76</v>
      </c>
      <c r="S757" s="26">
        <v>52.8</v>
      </c>
      <c r="Y757">
        <v>10</v>
      </c>
      <c r="Z757">
        <v>30</v>
      </c>
      <c r="AA757" s="3">
        <v>25</v>
      </c>
      <c r="AB757" s="3">
        <v>6</v>
      </c>
      <c r="AC757">
        <v>155</v>
      </c>
      <c r="AD757" s="9">
        <f t="shared" si="203"/>
        <v>5460.916666666667</v>
      </c>
      <c r="AE757">
        <f t="shared" si="210"/>
        <v>2555730</v>
      </c>
      <c r="AF757" s="2">
        <f t="shared" si="214"/>
        <v>39</v>
      </c>
      <c r="AG757" t="str">
        <f t="shared" si="204"/>
        <v>91小时</v>
      </c>
      <c r="AH757">
        <f t="shared" si="205"/>
        <v>117</v>
      </c>
      <c r="AI757">
        <f t="shared" si="206"/>
        <v>20</v>
      </c>
      <c r="AJ757">
        <f t="shared" si="211"/>
        <v>67</v>
      </c>
      <c r="AK757">
        <f t="shared" si="207"/>
        <v>34</v>
      </c>
      <c r="AL757">
        <f t="shared" si="212"/>
        <v>39</v>
      </c>
      <c r="AM757" s="2">
        <f t="shared" si="208"/>
        <v>20</v>
      </c>
      <c r="AX757">
        <v>754</v>
      </c>
      <c r="AZ757" s="3"/>
      <c r="BB757" s="2">
        <f t="shared" si="209"/>
        <v>190</v>
      </c>
      <c r="BC757">
        <f t="shared" si="213"/>
        <v>18.233974358974358</v>
      </c>
      <c r="BD757" s="2">
        <f t="shared" si="215"/>
        <v>67</v>
      </c>
      <c r="BE757">
        <f t="shared" si="216"/>
        <v>39</v>
      </c>
      <c r="BF757">
        <f t="shared" si="217"/>
        <v>224640</v>
      </c>
    </row>
    <row r="758" spans="1:58" ht="14.25" x14ac:dyDescent="0.2">
      <c r="A758" s="11">
        <v>11025</v>
      </c>
      <c r="B758" s="13">
        <f t="shared" si="218"/>
        <v>15</v>
      </c>
      <c r="C758" s="15">
        <f t="shared" si="219"/>
        <v>11</v>
      </c>
      <c r="D758" s="14">
        <f t="shared" si="220"/>
        <v>10</v>
      </c>
      <c r="E758" t="s">
        <v>2785</v>
      </c>
      <c r="F758" t="s">
        <v>2786</v>
      </c>
      <c r="G758" t="s">
        <v>2828</v>
      </c>
      <c r="H758" t="s">
        <v>2829</v>
      </c>
      <c r="I758" t="s">
        <v>2697</v>
      </c>
      <c r="J758" s="4" t="s">
        <v>2879</v>
      </c>
      <c r="K758" t="s">
        <v>174</v>
      </c>
      <c r="L758" t="s">
        <v>163</v>
      </c>
      <c r="M758" t="s">
        <v>163</v>
      </c>
      <c r="N758" t="s">
        <v>163</v>
      </c>
      <c r="O758" s="6" t="s">
        <v>1259</v>
      </c>
      <c r="P758">
        <v>0</v>
      </c>
      <c r="Q758" s="24">
        <v>56.2</v>
      </c>
      <c r="R758" s="25">
        <v>76</v>
      </c>
      <c r="S758" s="26">
        <v>52.8</v>
      </c>
      <c r="Y758">
        <v>10</v>
      </c>
      <c r="Z758">
        <v>30</v>
      </c>
      <c r="AA758" s="3">
        <v>25</v>
      </c>
      <c r="AB758" s="3">
        <v>6</v>
      </c>
      <c r="AC758">
        <v>155</v>
      </c>
      <c r="AD758" s="9">
        <f t="shared" si="203"/>
        <v>5460.916666666667</v>
      </c>
      <c r="AE758">
        <f t="shared" si="210"/>
        <v>2555730</v>
      </c>
      <c r="AF758" s="2">
        <f t="shared" si="214"/>
        <v>39</v>
      </c>
      <c r="AG758" t="str">
        <f t="shared" si="204"/>
        <v>91小时</v>
      </c>
      <c r="AH758">
        <f t="shared" si="205"/>
        <v>117</v>
      </c>
      <c r="AI758">
        <f t="shared" si="206"/>
        <v>20</v>
      </c>
      <c r="AJ758">
        <f t="shared" si="211"/>
        <v>67</v>
      </c>
      <c r="AK758">
        <f t="shared" si="207"/>
        <v>34</v>
      </c>
      <c r="AL758">
        <f t="shared" si="212"/>
        <v>39</v>
      </c>
      <c r="AM758" s="2">
        <f t="shared" si="208"/>
        <v>20</v>
      </c>
      <c r="AX758">
        <v>755</v>
      </c>
      <c r="AZ758" s="3"/>
      <c r="BB758" s="2">
        <f t="shared" si="209"/>
        <v>190</v>
      </c>
      <c r="BC758">
        <f t="shared" si="213"/>
        <v>18.233974358974358</v>
      </c>
      <c r="BD758" s="2">
        <f t="shared" si="215"/>
        <v>67</v>
      </c>
      <c r="BE758">
        <f t="shared" si="216"/>
        <v>39</v>
      </c>
      <c r="BF758">
        <f t="shared" si="217"/>
        <v>224640</v>
      </c>
    </row>
    <row r="759" spans="1:58" ht="14.25" x14ac:dyDescent="0.2">
      <c r="A759" s="11">
        <v>11026</v>
      </c>
      <c r="B759" s="13">
        <f t="shared" si="218"/>
        <v>15</v>
      </c>
      <c r="C759" s="15">
        <f t="shared" si="219"/>
        <v>11</v>
      </c>
      <c r="D759" s="14">
        <f t="shared" si="220"/>
        <v>10</v>
      </c>
      <c r="E759" t="s">
        <v>2777</v>
      </c>
      <c r="F759" t="s">
        <v>2834</v>
      </c>
      <c r="G759" t="s">
        <v>2779</v>
      </c>
      <c r="H759" t="s">
        <v>2779</v>
      </c>
      <c r="I759" t="s">
        <v>2780</v>
      </c>
      <c r="J759" s="4" t="s">
        <v>2841</v>
      </c>
      <c r="K759" t="s">
        <v>182</v>
      </c>
      <c r="L759" t="s">
        <v>163</v>
      </c>
      <c r="M759" t="s">
        <v>163</v>
      </c>
      <c r="N759" t="s">
        <v>163</v>
      </c>
      <c r="O759" s="6" t="s">
        <v>1261</v>
      </c>
      <c r="P759">
        <v>0</v>
      </c>
      <c r="Q759" s="24">
        <v>56.5</v>
      </c>
      <c r="R759" s="25">
        <v>76.5</v>
      </c>
      <c r="S759" s="26">
        <v>53</v>
      </c>
      <c r="Y759">
        <v>10</v>
      </c>
      <c r="Z759">
        <v>30</v>
      </c>
      <c r="AA759" s="3">
        <v>25</v>
      </c>
      <c r="AB759" s="3">
        <v>6</v>
      </c>
      <c r="AC759">
        <v>155</v>
      </c>
      <c r="AD759" s="9">
        <f t="shared" si="203"/>
        <v>5433.083333333333</v>
      </c>
      <c r="AE759">
        <f t="shared" si="210"/>
        <v>2555730</v>
      </c>
      <c r="AF759" s="2">
        <f t="shared" si="214"/>
        <v>39.200000000000003</v>
      </c>
      <c r="AG759" t="str">
        <f t="shared" si="204"/>
        <v>90小时</v>
      </c>
      <c r="AH759">
        <f t="shared" si="205"/>
        <v>118</v>
      </c>
      <c r="AI759">
        <f t="shared" si="206"/>
        <v>20</v>
      </c>
      <c r="AJ759">
        <f t="shared" si="211"/>
        <v>67.3</v>
      </c>
      <c r="AK759">
        <f t="shared" si="207"/>
        <v>34</v>
      </c>
      <c r="AL759">
        <f t="shared" si="212"/>
        <v>39.200000000000003</v>
      </c>
      <c r="AM759" s="2">
        <f t="shared" si="208"/>
        <v>20</v>
      </c>
      <c r="AX759">
        <v>756</v>
      </c>
      <c r="AZ759" s="3"/>
      <c r="BB759" s="2">
        <f t="shared" si="209"/>
        <v>190</v>
      </c>
      <c r="BC759">
        <f t="shared" si="213"/>
        <v>18.14094387755102</v>
      </c>
      <c r="BD759" s="2">
        <f t="shared" si="215"/>
        <v>67.3</v>
      </c>
      <c r="BE759">
        <f t="shared" si="216"/>
        <v>39.200000000000003</v>
      </c>
      <c r="BF759">
        <f t="shared" si="217"/>
        <v>225792</v>
      </c>
    </row>
    <row r="760" spans="1:58" ht="14.25" x14ac:dyDescent="0.2">
      <c r="A760" s="11">
        <v>11027</v>
      </c>
      <c r="B760" s="13">
        <f t="shared" si="218"/>
        <v>15</v>
      </c>
      <c r="C760" s="15">
        <f t="shared" si="219"/>
        <v>11</v>
      </c>
      <c r="D760" s="14">
        <f t="shared" si="220"/>
        <v>10</v>
      </c>
      <c r="E760" t="s">
        <v>2777</v>
      </c>
      <c r="F760" t="s">
        <v>2835</v>
      </c>
      <c r="G760" t="s">
        <v>2779</v>
      </c>
      <c r="H760" t="s">
        <v>2779</v>
      </c>
      <c r="I760" t="s">
        <v>2780</v>
      </c>
      <c r="J760" s="4" t="s">
        <v>2841</v>
      </c>
      <c r="K760" t="s">
        <v>162</v>
      </c>
      <c r="L760" t="s">
        <v>163</v>
      </c>
      <c r="M760" t="s">
        <v>163</v>
      </c>
      <c r="N760" t="s">
        <v>163</v>
      </c>
      <c r="O760" s="6" t="s">
        <v>1261</v>
      </c>
      <c r="P760">
        <v>0</v>
      </c>
      <c r="Q760" s="24">
        <v>56.5</v>
      </c>
      <c r="R760" s="25">
        <v>76.5</v>
      </c>
      <c r="S760" s="26">
        <v>53</v>
      </c>
      <c r="Y760">
        <v>10</v>
      </c>
      <c r="Z760">
        <v>30</v>
      </c>
      <c r="AA760" s="3">
        <v>25</v>
      </c>
      <c r="AB760" s="3">
        <v>6</v>
      </c>
      <c r="AC760">
        <v>155</v>
      </c>
      <c r="AD760" s="9">
        <f t="shared" si="203"/>
        <v>5433.083333333333</v>
      </c>
      <c r="AE760">
        <f t="shared" si="210"/>
        <v>2555730</v>
      </c>
      <c r="AF760" s="2">
        <f t="shared" si="214"/>
        <v>39.200000000000003</v>
      </c>
      <c r="AG760" t="str">
        <f t="shared" si="204"/>
        <v>90小时</v>
      </c>
      <c r="AH760">
        <f t="shared" si="205"/>
        <v>118</v>
      </c>
      <c r="AI760">
        <f t="shared" si="206"/>
        <v>20</v>
      </c>
      <c r="AJ760">
        <f t="shared" si="211"/>
        <v>67.3</v>
      </c>
      <c r="AK760">
        <f t="shared" si="207"/>
        <v>34</v>
      </c>
      <c r="AL760">
        <f t="shared" si="212"/>
        <v>39.200000000000003</v>
      </c>
      <c r="AM760" s="2">
        <f t="shared" si="208"/>
        <v>20</v>
      </c>
      <c r="AX760">
        <v>757</v>
      </c>
      <c r="AZ760" s="3"/>
      <c r="BB760" s="2">
        <f t="shared" si="209"/>
        <v>190</v>
      </c>
      <c r="BC760">
        <f t="shared" si="213"/>
        <v>18.14094387755102</v>
      </c>
      <c r="BD760" s="2">
        <f t="shared" si="215"/>
        <v>67.3</v>
      </c>
      <c r="BE760">
        <f t="shared" si="216"/>
        <v>39.200000000000003</v>
      </c>
      <c r="BF760">
        <f t="shared" si="217"/>
        <v>225792</v>
      </c>
    </row>
    <row r="761" spans="1:58" ht="14.25" x14ac:dyDescent="0.2">
      <c r="A761" s="11">
        <v>11028</v>
      </c>
      <c r="B761" s="13">
        <f t="shared" si="218"/>
        <v>15</v>
      </c>
      <c r="C761" s="15">
        <f t="shared" si="219"/>
        <v>11</v>
      </c>
      <c r="D761" s="14">
        <f t="shared" si="220"/>
        <v>10</v>
      </c>
      <c r="E761" t="s">
        <v>2777</v>
      </c>
      <c r="F761" t="s">
        <v>2836</v>
      </c>
      <c r="G761" t="s">
        <v>2779</v>
      </c>
      <c r="H761" t="s">
        <v>2779</v>
      </c>
      <c r="I761" t="s">
        <v>2780</v>
      </c>
      <c r="J761" s="4" t="s">
        <v>2841</v>
      </c>
      <c r="K761" t="s">
        <v>177</v>
      </c>
      <c r="L761" t="s">
        <v>163</v>
      </c>
      <c r="M761" t="s">
        <v>163</v>
      </c>
      <c r="N761" t="s">
        <v>163</v>
      </c>
      <c r="O761" s="6" t="s">
        <v>1263</v>
      </c>
      <c r="P761">
        <v>0</v>
      </c>
      <c r="Q761" s="24">
        <v>56.5</v>
      </c>
      <c r="R761" s="25">
        <v>76.5</v>
      </c>
      <c r="S761" s="26">
        <v>53</v>
      </c>
      <c r="Y761">
        <v>10</v>
      </c>
      <c r="Z761">
        <v>30</v>
      </c>
      <c r="AA761" s="3">
        <v>25</v>
      </c>
      <c r="AB761" s="3">
        <v>6</v>
      </c>
      <c r="AC761">
        <v>155</v>
      </c>
      <c r="AD761" s="9">
        <f t="shared" si="203"/>
        <v>5433.083333333333</v>
      </c>
      <c r="AE761">
        <f t="shared" si="210"/>
        <v>2555730</v>
      </c>
      <c r="AF761" s="2">
        <f t="shared" si="214"/>
        <v>39.200000000000003</v>
      </c>
      <c r="AG761" t="str">
        <f t="shared" si="204"/>
        <v>90小时</v>
      </c>
      <c r="AH761">
        <f t="shared" si="205"/>
        <v>118</v>
      </c>
      <c r="AI761">
        <f t="shared" si="206"/>
        <v>20</v>
      </c>
      <c r="AJ761">
        <f t="shared" si="211"/>
        <v>67.3</v>
      </c>
      <c r="AK761">
        <f t="shared" si="207"/>
        <v>34</v>
      </c>
      <c r="AL761">
        <f t="shared" si="212"/>
        <v>39.200000000000003</v>
      </c>
      <c r="AM761" s="2">
        <f t="shared" si="208"/>
        <v>20</v>
      </c>
      <c r="AX761">
        <v>758</v>
      </c>
      <c r="AZ761" s="3"/>
      <c r="BB761" s="2">
        <f t="shared" si="209"/>
        <v>190</v>
      </c>
      <c r="BC761">
        <f t="shared" si="213"/>
        <v>18.14094387755102</v>
      </c>
      <c r="BD761" s="2">
        <f t="shared" si="215"/>
        <v>67.3</v>
      </c>
      <c r="BE761">
        <f t="shared" si="216"/>
        <v>39.200000000000003</v>
      </c>
      <c r="BF761">
        <f t="shared" si="217"/>
        <v>225792</v>
      </c>
    </row>
    <row r="762" spans="1:58" ht="14.25" x14ac:dyDescent="0.2">
      <c r="A762" s="11">
        <v>11029</v>
      </c>
      <c r="B762" s="13">
        <f t="shared" si="218"/>
        <v>15</v>
      </c>
      <c r="C762" s="15">
        <f t="shared" si="219"/>
        <v>11</v>
      </c>
      <c r="D762" s="14">
        <f t="shared" si="220"/>
        <v>10</v>
      </c>
      <c r="E762" t="s">
        <v>2777</v>
      </c>
      <c r="F762" t="s">
        <v>2837</v>
      </c>
      <c r="G762" t="s">
        <v>2779</v>
      </c>
      <c r="H762" t="s">
        <v>2779</v>
      </c>
      <c r="I762" t="s">
        <v>2780</v>
      </c>
      <c r="J762" s="4" t="s">
        <v>2841</v>
      </c>
      <c r="K762" t="s">
        <v>174</v>
      </c>
      <c r="L762" t="s">
        <v>163</v>
      </c>
      <c r="M762" t="s">
        <v>163</v>
      </c>
      <c r="N762" t="s">
        <v>163</v>
      </c>
      <c r="O762" s="6" t="s">
        <v>1265</v>
      </c>
      <c r="P762">
        <v>0</v>
      </c>
      <c r="Q762" s="24">
        <v>56.5</v>
      </c>
      <c r="R762" s="25">
        <v>76.5</v>
      </c>
      <c r="S762" s="26">
        <v>53</v>
      </c>
      <c r="Y762">
        <v>10</v>
      </c>
      <c r="Z762">
        <v>30</v>
      </c>
      <c r="AA762" s="3">
        <v>25</v>
      </c>
      <c r="AB762" s="3">
        <v>6</v>
      </c>
      <c r="AC762">
        <v>155</v>
      </c>
      <c r="AD762" s="9">
        <f t="shared" si="203"/>
        <v>5433.083333333333</v>
      </c>
      <c r="AE762">
        <f t="shared" si="210"/>
        <v>2555730</v>
      </c>
      <c r="AF762" s="2">
        <f t="shared" si="214"/>
        <v>39.200000000000003</v>
      </c>
      <c r="AG762" t="str">
        <f t="shared" si="204"/>
        <v>90小时</v>
      </c>
      <c r="AH762">
        <f t="shared" si="205"/>
        <v>118</v>
      </c>
      <c r="AI762">
        <f t="shared" si="206"/>
        <v>20</v>
      </c>
      <c r="AJ762">
        <f t="shared" si="211"/>
        <v>67.3</v>
      </c>
      <c r="AK762">
        <f t="shared" si="207"/>
        <v>34</v>
      </c>
      <c r="AL762">
        <f t="shared" si="212"/>
        <v>39.200000000000003</v>
      </c>
      <c r="AM762" s="2">
        <f t="shared" si="208"/>
        <v>20</v>
      </c>
      <c r="AX762">
        <v>759</v>
      </c>
      <c r="AZ762" s="3"/>
      <c r="BB762" s="2">
        <f t="shared" si="209"/>
        <v>190</v>
      </c>
      <c r="BC762">
        <f t="shared" si="213"/>
        <v>18.14094387755102</v>
      </c>
      <c r="BD762" s="2">
        <f t="shared" si="215"/>
        <v>67.3</v>
      </c>
      <c r="BE762">
        <f t="shared" si="216"/>
        <v>39.200000000000003</v>
      </c>
      <c r="BF762">
        <f t="shared" si="217"/>
        <v>225792</v>
      </c>
    </row>
    <row r="763" spans="1:58" ht="14.25" x14ac:dyDescent="0.2">
      <c r="A763" s="11">
        <v>11030</v>
      </c>
      <c r="B763" s="13">
        <f t="shared" si="218"/>
        <v>15</v>
      </c>
      <c r="C763" s="15">
        <f t="shared" si="219"/>
        <v>11</v>
      </c>
      <c r="D763" s="14">
        <f t="shared" si="220"/>
        <v>10</v>
      </c>
      <c r="E763" t="s">
        <v>2785</v>
      </c>
      <c r="F763" t="s">
        <v>2786</v>
      </c>
      <c r="G763" t="s">
        <v>2830</v>
      </c>
      <c r="H763" t="s">
        <v>2829</v>
      </c>
      <c r="I763" t="s">
        <v>2697</v>
      </c>
      <c r="J763" s="4" t="s">
        <v>2861</v>
      </c>
      <c r="K763" t="s">
        <v>166</v>
      </c>
      <c r="L763" t="s">
        <v>163</v>
      </c>
      <c r="M763" t="s">
        <v>163</v>
      </c>
      <c r="N763" t="s">
        <v>163</v>
      </c>
      <c r="O763" s="6" t="s">
        <v>1265</v>
      </c>
      <c r="P763">
        <v>0</v>
      </c>
      <c r="Q763" s="24">
        <v>56.5</v>
      </c>
      <c r="R763" s="25">
        <v>76.5</v>
      </c>
      <c r="S763" s="26">
        <v>53</v>
      </c>
      <c r="Y763">
        <v>10</v>
      </c>
      <c r="Z763">
        <v>30</v>
      </c>
      <c r="AA763" s="3">
        <v>25</v>
      </c>
      <c r="AB763" s="3">
        <v>6</v>
      </c>
      <c r="AC763">
        <v>155</v>
      </c>
      <c r="AD763" s="9">
        <f t="shared" si="203"/>
        <v>5433.083333333333</v>
      </c>
      <c r="AE763">
        <f t="shared" si="210"/>
        <v>2555730</v>
      </c>
      <c r="AF763" s="2">
        <f t="shared" si="214"/>
        <v>39.200000000000003</v>
      </c>
      <c r="AG763" t="str">
        <f t="shared" si="204"/>
        <v>90小时</v>
      </c>
      <c r="AH763">
        <f t="shared" si="205"/>
        <v>118</v>
      </c>
      <c r="AI763">
        <f t="shared" si="206"/>
        <v>20</v>
      </c>
      <c r="AJ763">
        <f t="shared" si="211"/>
        <v>67.3</v>
      </c>
      <c r="AK763">
        <f t="shared" si="207"/>
        <v>34</v>
      </c>
      <c r="AL763">
        <f t="shared" si="212"/>
        <v>39.200000000000003</v>
      </c>
      <c r="AM763" s="2">
        <f t="shared" si="208"/>
        <v>20</v>
      </c>
      <c r="AX763">
        <v>760</v>
      </c>
      <c r="AZ763" s="3"/>
      <c r="BB763" s="2">
        <f t="shared" si="209"/>
        <v>195</v>
      </c>
      <c r="BC763">
        <f t="shared" si="213"/>
        <v>19.694409013605441</v>
      </c>
      <c r="BD763" s="2">
        <f t="shared" si="215"/>
        <v>67.3</v>
      </c>
      <c r="BE763">
        <f t="shared" si="216"/>
        <v>39.200000000000003</v>
      </c>
      <c r="BF763">
        <f t="shared" si="217"/>
        <v>225792</v>
      </c>
    </row>
    <row r="764" spans="1:58" ht="14.25" x14ac:dyDescent="0.2">
      <c r="A764" s="11">
        <v>11031</v>
      </c>
      <c r="B764" s="13">
        <f t="shared" si="218"/>
        <v>15</v>
      </c>
      <c r="C764" s="15">
        <f t="shared" si="219"/>
        <v>11</v>
      </c>
      <c r="D764" s="14">
        <f t="shared" si="220"/>
        <v>10</v>
      </c>
      <c r="E764" t="s">
        <v>2777</v>
      </c>
      <c r="F764" t="s">
        <v>2834</v>
      </c>
      <c r="G764" t="s">
        <v>2779</v>
      </c>
      <c r="H764" t="s">
        <v>2779</v>
      </c>
      <c r="I764" t="s">
        <v>2780</v>
      </c>
      <c r="J764" s="4" t="s">
        <v>2841</v>
      </c>
      <c r="K764" t="s">
        <v>168</v>
      </c>
      <c r="L764" t="s">
        <v>163</v>
      </c>
      <c r="M764" t="s">
        <v>163</v>
      </c>
      <c r="N764" t="s">
        <v>163</v>
      </c>
      <c r="O764" s="6" t="s">
        <v>1267</v>
      </c>
      <c r="P764">
        <v>0</v>
      </c>
      <c r="Q764" s="24">
        <v>56.8</v>
      </c>
      <c r="R764" s="25">
        <v>77</v>
      </c>
      <c r="S764" s="26">
        <v>53.3</v>
      </c>
      <c r="Y764">
        <v>10</v>
      </c>
      <c r="Z764">
        <v>30</v>
      </c>
      <c r="AA764" s="3">
        <v>25</v>
      </c>
      <c r="AB764" s="3">
        <v>6</v>
      </c>
      <c r="AC764">
        <v>155</v>
      </c>
      <c r="AD764" s="9">
        <f t="shared" si="203"/>
        <v>5391.833333333333</v>
      </c>
      <c r="AE764">
        <f t="shared" si="210"/>
        <v>2555730</v>
      </c>
      <c r="AF764" s="2">
        <f t="shared" si="214"/>
        <v>39.5</v>
      </c>
      <c r="AG764" t="str">
        <f t="shared" si="204"/>
        <v>89小时</v>
      </c>
      <c r="AH764">
        <f t="shared" si="205"/>
        <v>119</v>
      </c>
      <c r="AI764">
        <f t="shared" si="206"/>
        <v>20</v>
      </c>
      <c r="AJ764">
        <f t="shared" si="211"/>
        <v>67.800000000000011</v>
      </c>
      <c r="AK764">
        <f t="shared" si="207"/>
        <v>34</v>
      </c>
      <c r="AL764">
        <f t="shared" si="212"/>
        <v>39.5</v>
      </c>
      <c r="AM764" s="2">
        <f t="shared" si="208"/>
        <v>20</v>
      </c>
      <c r="AX764">
        <v>761</v>
      </c>
      <c r="AZ764" s="3"/>
      <c r="BB764" s="2">
        <f t="shared" si="209"/>
        <v>195</v>
      </c>
      <c r="BC764">
        <f t="shared" si="213"/>
        <v>19.544831223628691</v>
      </c>
      <c r="BD764" s="2">
        <f t="shared" si="215"/>
        <v>67.800000000000011</v>
      </c>
      <c r="BE764">
        <f t="shared" si="216"/>
        <v>39.5</v>
      </c>
      <c r="BF764">
        <f t="shared" si="217"/>
        <v>227520</v>
      </c>
    </row>
    <row r="765" spans="1:58" ht="14.25" x14ac:dyDescent="0.2">
      <c r="A765" s="11">
        <v>11032</v>
      </c>
      <c r="B765" s="13">
        <f t="shared" si="218"/>
        <v>15</v>
      </c>
      <c r="C765" s="15">
        <f t="shared" si="219"/>
        <v>11</v>
      </c>
      <c r="D765" s="14">
        <f t="shared" si="220"/>
        <v>10</v>
      </c>
      <c r="E765" t="s">
        <v>2777</v>
      </c>
      <c r="F765" t="s">
        <v>2835</v>
      </c>
      <c r="G765" t="s">
        <v>2779</v>
      </c>
      <c r="H765" t="s">
        <v>2779</v>
      </c>
      <c r="I765" t="s">
        <v>2780</v>
      </c>
      <c r="J765" s="4" t="s">
        <v>2841</v>
      </c>
      <c r="K765" t="s">
        <v>175</v>
      </c>
      <c r="L765" t="s">
        <v>164</v>
      </c>
      <c r="M765" t="s">
        <v>163</v>
      </c>
      <c r="N765" t="s">
        <v>167</v>
      </c>
      <c r="O765" s="6" t="s">
        <v>1269</v>
      </c>
      <c r="P765">
        <v>0</v>
      </c>
      <c r="Q765" s="24">
        <v>56.8</v>
      </c>
      <c r="R765" s="25">
        <v>77</v>
      </c>
      <c r="S765" s="26">
        <v>53.3</v>
      </c>
      <c r="Y765">
        <v>10</v>
      </c>
      <c r="Z765">
        <v>30</v>
      </c>
      <c r="AA765" s="3">
        <v>25</v>
      </c>
      <c r="AB765" s="3">
        <v>6</v>
      </c>
      <c r="AC765">
        <v>155</v>
      </c>
      <c r="AD765" s="9">
        <f t="shared" si="203"/>
        <v>5391.833333333333</v>
      </c>
      <c r="AE765">
        <f t="shared" si="210"/>
        <v>2555730</v>
      </c>
      <c r="AF765" s="2">
        <f t="shared" si="214"/>
        <v>39.5</v>
      </c>
      <c r="AG765" t="str">
        <f t="shared" si="204"/>
        <v>89小时</v>
      </c>
      <c r="AH765">
        <f t="shared" si="205"/>
        <v>119</v>
      </c>
      <c r="AI765">
        <f t="shared" si="206"/>
        <v>20</v>
      </c>
      <c r="AJ765">
        <f t="shared" si="211"/>
        <v>67.800000000000011</v>
      </c>
      <c r="AK765">
        <f t="shared" si="207"/>
        <v>34</v>
      </c>
      <c r="AL765">
        <f t="shared" si="212"/>
        <v>39.5</v>
      </c>
      <c r="AM765" s="2">
        <f t="shared" si="208"/>
        <v>20</v>
      </c>
      <c r="AX765">
        <v>762</v>
      </c>
      <c r="AZ765" s="3"/>
      <c r="BB765" s="2">
        <f t="shared" si="209"/>
        <v>195</v>
      </c>
      <c r="BC765">
        <f t="shared" si="213"/>
        <v>19.544831223628691</v>
      </c>
      <c r="BD765" s="2">
        <f t="shared" si="215"/>
        <v>67.800000000000011</v>
      </c>
      <c r="BE765">
        <f t="shared" si="216"/>
        <v>39.5</v>
      </c>
      <c r="BF765">
        <f t="shared" si="217"/>
        <v>227520</v>
      </c>
    </row>
    <row r="766" spans="1:58" ht="14.25" x14ac:dyDescent="0.2">
      <c r="A766" s="11">
        <v>11033</v>
      </c>
      <c r="B766" s="13">
        <f t="shared" si="218"/>
        <v>15</v>
      </c>
      <c r="C766" s="15">
        <f t="shared" si="219"/>
        <v>11</v>
      </c>
      <c r="D766" s="14">
        <f t="shared" si="220"/>
        <v>10</v>
      </c>
      <c r="E766" t="s">
        <v>2777</v>
      </c>
      <c r="F766" t="s">
        <v>2836</v>
      </c>
      <c r="G766" t="s">
        <v>2779</v>
      </c>
      <c r="H766" t="s">
        <v>2779</v>
      </c>
      <c r="I766" t="s">
        <v>2780</v>
      </c>
      <c r="J766" s="4" t="s">
        <v>2841</v>
      </c>
      <c r="K766" t="s">
        <v>179</v>
      </c>
      <c r="L766" t="s">
        <v>163</v>
      </c>
      <c r="M766" t="s">
        <v>163</v>
      </c>
      <c r="N766" t="s">
        <v>163</v>
      </c>
      <c r="O766" s="6" t="s">
        <v>1271</v>
      </c>
      <c r="P766">
        <v>0</v>
      </c>
      <c r="Q766" s="24">
        <v>56.8</v>
      </c>
      <c r="R766" s="25">
        <v>77</v>
      </c>
      <c r="S766" s="26">
        <v>53.3</v>
      </c>
      <c r="Y766">
        <v>10</v>
      </c>
      <c r="Z766">
        <v>30</v>
      </c>
      <c r="AA766" s="3">
        <v>25</v>
      </c>
      <c r="AB766" s="3">
        <v>6</v>
      </c>
      <c r="AC766">
        <v>155</v>
      </c>
      <c r="AD766" s="9">
        <f t="shared" si="203"/>
        <v>5391.833333333333</v>
      </c>
      <c r="AE766">
        <f t="shared" si="210"/>
        <v>2555730</v>
      </c>
      <c r="AF766" s="2">
        <f t="shared" si="214"/>
        <v>39.5</v>
      </c>
      <c r="AG766" t="str">
        <f t="shared" si="204"/>
        <v>89小时</v>
      </c>
      <c r="AH766">
        <f t="shared" si="205"/>
        <v>119</v>
      </c>
      <c r="AI766">
        <f t="shared" si="206"/>
        <v>20</v>
      </c>
      <c r="AJ766">
        <f t="shared" si="211"/>
        <v>67.800000000000011</v>
      </c>
      <c r="AK766">
        <f t="shared" si="207"/>
        <v>34</v>
      </c>
      <c r="AL766">
        <f t="shared" si="212"/>
        <v>39.5</v>
      </c>
      <c r="AM766" s="2">
        <f t="shared" si="208"/>
        <v>20</v>
      </c>
      <c r="AX766">
        <v>763</v>
      </c>
      <c r="AZ766" s="3"/>
      <c r="BB766" s="2">
        <f t="shared" si="209"/>
        <v>195</v>
      </c>
      <c r="BC766">
        <f t="shared" si="213"/>
        <v>19.544831223628691</v>
      </c>
      <c r="BD766" s="2">
        <f t="shared" si="215"/>
        <v>67.800000000000011</v>
      </c>
      <c r="BE766">
        <f t="shared" si="216"/>
        <v>39.5</v>
      </c>
      <c r="BF766">
        <f t="shared" si="217"/>
        <v>227520</v>
      </c>
    </row>
    <row r="767" spans="1:58" ht="14.25" x14ac:dyDescent="0.2">
      <c r="A767" s="11">
        <v>11034</v>
      </c>
      <c r="B767" s="13">
        <f t="shared" si="218"/>
        <v>15</v>
      </c>
      <c r="C767" s="15">
        <f t="shared" si="219"/>
        <v>11</v>
      </c>
      <c r="D767" s="14">
        <f t="shared" si="220"/>
        <v>10</v>
      </c>
      <c r="E767" t="s">
        <v>2777</v>
      </c>
      <c r="F767" t="s">
        <v>2837</v>
      </c>
      <c r="G767" t="s">
        <v>2779</v>
      </c>
      <c r="H767" t="s">
        <v>2779</v>
      </c>
      <c r="I767" t="s">
        <v>2780</v>
      </c>
      <c r="J767" s="4" t="s">
        <v>2841</v>
      </c>
      <c r="K767" t="s">
        <v>177</v>
      </c>
      <c r="L767" t="s">
        <v>163</v>
      </c>
      <c r="M767" t="s">
        <v>163</v>
      </c>
      <c r="N767" t="s">
        <v>163</v>
      </c>
      <c r="O767" s="6" t="s">
        <v>1271</v>
      </c>
      <c r="P767">
        <v>0</v>
      </c>
      <c r="Q767" s="24">
        <v>56.8</v>
      </c>
      <c r="R767" s="25">
        <v>77</v>
      </c>
      <c r="S767" s="26">
        <v>53.3</v>
      </c>
      <c r="Y767">
        <v>10</v>
      </c>
      <c r="Z767">
        <v>30</v>
      </c>
      <c r="AA767" s="3">
        <v>25</v>
      </c>
      <c r="AB767" s="3">
        <v>6</v>
      </c>
      <c r="AC767">
        <v>155</v>
      </c>
      <c r="AD767" s="9">
        <f t="shared" si="203"/>
        <v>5391.833333333333</v>
      </c>
      <c r="AE767">
        <f t="shared" si="210"/>
        <v>2555730</v>
      </c>
      <c r="AF767" s="2">
        <f t="shared" si="214"/>
        <v>39.5</v>
      </c>
      <c r="AG767" t="str">
        <f t="shared" si="204"/>
        <v>89小时</v>
      </c>
      <c r="AH767">
        <f t="shared" si="205"/>
        <v>119</v>
      </c>
      <c r="AI767">
        <f t="shared" si="206"/>
        <v>20</v>
      </c>
      <c r="AJ767">
        <f t="shared" si="211"/>
        <v>67.800000000000011</v>
      </c>
      <c r="AK767">
        <f t="shared" si="207"/>
        <v>34</v>
      </c>
      <c r="AL767">
        <f t="shared" si="212"/>
        <v>39.5</v>
      </c>
      <c r="AM767" s="2">
        <f t="shared" si="208"/>
        <v>20</v>
      </c>
      <c r="AX767">
        <v>764</v>
      </c>
      <c r="AZ767" s="3"/>
      <c r="BB767" s="2">
        <f t="shared" si="209"/>
        <v>195</v>
      </c>
      <c r="BC767">
        <f t="shared" si="213"/>
        <v>19.544831223628691</v>
      </c>
      <c r="BD767" s="2">
        <f t="shared" si="215"/>
        <v>67.800000000000011</v>
      </c>
      <c r="BE767">
        <f t="shared" si="216"/>
        <v>39.5</v>
      </c>
      <c r="BF767">
        <f t="shared" si="217"/>
        <v>227520</v>
      </c>
    </row>
    <row r="768" spans="1:58" ht="14.25" x14ac:dyDescent="0.2">
      <c r="A768" s="11">
        <v>11035</v>
      </c>
      <c r="B768" s="13">
        <f t="shared" si="218"/>
        <v>15</v>
      </c>
      <c r="C768" s="15">
        <f t="shared" si="219"/>
        <v>11</v>
      </c>
      <c r="D768" s="14">
        <f t="shared" si="220"/>
        <v>10</v>
      </c>
      <c r="E768" t="s">
        <v>2785</v>
      </c>
      <c r="F768" t="s">
        <v>2786</v>
      </c>
      <c r="G768" t="s">
        <v>2831</v>
      </c>
      <c r="H768" t="s">
        <v>2829</v>
      </c>
      <c r="I768" t="s">
        <v>2697</v>
      </c>
      <c r="J768" s="4" t="s">
        <v>2861</v>
      </c>
      <c r="K768" t="s">
        <v>174</v>
      </c>
      <c r="L768" t="s">
        <v>163</v>
      </c>
      <c r="M768" t="s">
        <v>163</v>
      </c>
      <c r="N768" t="s">
        <v>163</v>
      </c>
      <c r="O768" s="6" t="s">
        <v>1273</v>
      </c>
      <c r="P768">
        <v>0</v>
      </c>
      <c r="Q768" s="24">
        <v>56.8</v>
      </c>
      <c r="R768" s="25">
        <v>77</v>
      </c>
      <c r="S768" s="26">
        <v>53.3</v>
      </c>
      <c r="Y768">
        <v>10</v>
      </c>
      <c r="Z768">
        <v>30</v>
      </c>
      <c r="AA768" s="3">
        <v>25</v>
      </c>
      <c r="AB768" s="3">
        <v>6</v>
      </c>
      <c r="AC768">
        <v>155</v>
      </c>
      <c r="AD768" s="9">
        <f t="shared" ref="AD768:AD831" si="221">INT(AE768/AF768)/60*5</f>
        <v>5391.833333333333</v>
      </c>
      <c r="AE768">
        <f t="shared" si="210"/>
        <v>2555730</v>
      </c>
      <c r="AF768" s="2">
        <f t="shared" si="214"/>
        <v>39.5</v>
      </c>
      <c r="AG768" t="str">
        <f t="shared" ref="AG768:AG831" si="222">IF(AD768&lt;60,CONCATENATE(INT(AD768),"分钟"),CONCATENATE(INT(AD768/60),"小时"))</f>
        <v>89小时</v>
      </c>
      <c r="AH768">
        <f t="shared" ref="AH768:AH831" si="223">ROUNDUP(AF768*3,0)</f>
        <v>119</v>
      </c>
      <c r="AI768">
        <f t="shared" ref="AI768:AI831" si="224">ROUNDUP(AH768/AB768,0)</f>
        <v>20</v>
      </c>
      <c r="AJ768">
        <f t="shared" si="211"/>
        <v>67.800000000000011</v>
      </c>
      <c r="AK768">
        <f t="shared" ref="AK768:AK831" si="225">ROUNDUP(AJ768*3/AB768,0)</f>
        <v>34</v>
      </c>
      <c r="AL768">
        <f t="shared" si="212"/>
        <v>39.5</v>
      </c>
      <c r="AM768" s="2">
        <f t="shared" ref="AM768:AM831" si="226">ROUNDUP(AL768*3/AB768,0)</f>
        <v>20</v>
      </c>
      <c r="AX768">
        <v>765</v>
      </c>
      <c r="AZ768" s="3"/>
      <c r="BB768" s="2">
        <f t="shared" si="209"/>
        <v>195</v>
      </c>
      <c r="BC768">
        <f t="shared" si="213"/>
        <v>19.544831223628691</v>
      </c>
      <c r="BD768" s="2">
        <f t="shared" si="215"/>
        <v>67.800000000000011</v>
      </c>
      <c r="BE768">
        <f t="shared" si="216"/>
        <v>39.5</v>
      </c>
      <c r="BF768">
        <f t="shared" si="217"/>
        <v>227520</v>
      </c>
    </row>
    <row r="769" spans="1:58" ht="14.25" x14ac:dyDescent="0.2">
      <c r="A769" s="11">
        <v>11036</v>
      </c>
      <c r="B769" s="13">
        <f t="shared" si="218"/>
        <v>15</v>
      </c>
      <c r="C769" s="15">
        <f t="shared" si="219"/>
        <v>11</v>
      </c>
      <c r="D769" s="14">
        <f t="shared" si="220"/>
        <v>10</v>
      </c>
      <c r="E769" t="s">
        <v>2777</v>
      </c>
      <c r="F769" t="s">
        <v>2834</v>
      </c>
      <c r="G769" t="s">
        <v>2779</v>
      </c>
      <c r="H769" t="s">
        <v>2779</v>
      </c>
      <c r="I769" t="s">
        <v>2780</v>
      </c>
      <c r="J769" s="4" t="s">
        <v>2841</v>
      </c>
      <c r="K769" t="s">
        <v>182</v>
      </c>
      <c r="L769" t="s">
        <v>163</v>
      </c>
      <c r="M769" t="s">
        <v>163</v>
      </c>
      <c r="N769" t="s">
        <v>163</v>
      </c>
      <c r="O769" s="6" t="s">
        <v>1275</v>
      </c>
      <c r="P769">
        <v>0</v>
      </c>
      <c r="Q769" s="24">
        <v>57.2</v>
      </c>
      <c r="R769" s="25">
        <v>77.5</v>
      </c>
      <c r="S769" s="26">
        <v>53.5</v>
      </c>
      <c r="Y769">
        <v>10</v>
      </c>
      <c r="Z769">
        <v>30</v>
      </c>
      <c r="AA769" s="3">
        <v>25</v>
      </c>
      <c r="AB769" s="3">
        <v>6</v>
      </c>
      <c r="AC769">
        <v>155</v>
      </c>
      <c r="AD769" s="9">
        <f t="shared" si="221"/>
        <v>5364.666666666667</v>
      </c>
      <c r="AE769">
        <f t="shared" si="210"/>
        <v>2555730</v>
      </c>
      <c r="AF769" s="2">
        <f t="shared" si="214"/>
        <v>39.700000000000003</v>
      </c>
      <c r="AG769" t="str">
        <f t="shared" si="222"/>
        <v>89小时</v>
      </c>
      <c r="AH769">
        <f t="shared" si="223"/>
        <v>120</v>
      </c>
      <c r="AI769">
        <f t="shared" si="224"/>
        <v>20</v>
      </c>
      <c r="AJ769">
        <f t="shared" si="211"/>
        <v>68.099999999999994</v>
      </c>
      <c r="AK769">
        <f t="shared" si="225"/>
        <v>35</v>
      </c>
      <c r="AL769">
        <f t="shared" si="212"/>
        <v>39.700000000000003</v>
      </c>
      <c r="AM769" s="2">
        <f t="shared" si="226"/>
        <v>20</v>
      </c>
      <c r="AX769">
        <v>766</v>
      </c>
      <c r="AZ769" s="3"/>
      <c r="BB769" s="2">
        <f t="shared" si="209"/>
        <v>195</v>
      </c>
      <c r="BC769">
        <f t="shared" si="213"/>
        <v>19.44636859781696</v>
      </c>
      <c r="BD769" s="2">
        <f t="shared" si="215"/>
        <v>68.099999999999994</v>
      </c>
      <c r="BE769">
        <f t="shared" si="216"/>
        <v>39.700000000000003</v>
      </c>
      <c r="BF769">
        <f t="shared" si="217"/>
        <v>228672</v>
      </c>
    </row>
    <row r="770" spans="1:58" ht="14.25" x14ac:dyDescent="0.2">
      <c r="A770" s="11">
        <v>11037</v>
      </c>
      <c r="B770" s="13">
        <f t="shared" si="218"/>
        <v>15</v>
      </c>
      <c r="C770" s="15">
        <f t="shared" si="219"/>
        <v>11</v>
      </c>
      <c r="D770" s="14">
        <f t="shared" si="220"/>
        <v>10</v>
      </c>
      <c r="E770" t="s">
        <v>2777</v>
      </c>
      <c r="F770" t="s">
        <v>2835</v>
      </c>
      <c r="G770" t="s">
        <v>2779</v>
      </c>
      <c r="H770" t="s">
        <v>2779</v>
      </c>
      <c r="I770" t="s">
        <v>2780</v>
      </c>
      <c r="J770" s="4" t="s">
        <v>2841</v>
      </c>
      <c r="K770" t="s">
        <v>162</v>
      </c>
      <c r="L770" t="s">
        <v>163</v>
      </c>
      <c r="M770" t="s">
        <v>163</v>
      </c>
      <c r="N770" t="s">
        <v>163</v>
      </c>
      <c r="O770" s="6" t="s">
        <v>1275</v>
      </c>
      <c r="P770">
        <v>0</v>
      </c>
      <c r="Q770" s="24">
        <v>57.2</v>
      </c>
      <c r="R770" s="25">
        <v>77.5</v>
      </c>
      <c r="S770" s="26">
        <v>53.5</v>
      </c>
      <c r="Y770">
        <v>10</v>
      </c>
      <c r="Z770">
        <v>30</v>
      </c>
      <c r="AA770" s="3">
        <v>25</v>
      </c>
      <c r="AB770" s="3">
        <v>6</v>
      </c>
      <c r="AC770">
        <v>155</v>
      </c>
      <c r="AD770" s="9">
        <f t="shared" si="221"/>
        <v>5364.666666666667</v>
      </c>
      <c r="AE770">
        <f t="shared" si="210"/>
        <v>2555730</v>
      </c>
      <c r="AF770" s="2">
        <f t="shared" si="214"/>
        <v>39.700000000000003</v>
      </c>
      <c r="AG770" t="str">
        <f t="shared" si="222"/>
        <v>89小时</v>
      </c>
      <c r="AH770">
        <f t="shared" si="223"/>
        <v>120</v>
      </c>
      <c r="AI770">
        <f t="shared" si="224"/>
        <v>20</v>
      </c>
      <c r="AJ770">
        <f t="shared" si="211"/>
        <v>68.099999999999994</v>
      </c>
      <c r="AK770">
        <f t="shared" si="225"/>
        <v>35</v>
      </c>
      <c r="AL770">
        <f t="shared" si="212"/>
        <v>39.700000000000003</v>
      </c>
      <c r="AM770" s="2">
        <f t="shared" si="226"/>
        <v>20</v>
      </c>
      <c r="AX770">
        <v>767</v>
      </c>
      <c r="AZ770" s="3"/>
      <c r="BB770" s="2">
        <f t="shared" si="209"/>
        <v>195</v>
      </c>
      <c r="BC770">
        <f t="shared" si="213"/>
        <v>19.44636859781696</v>
      </c>
      <c r="BD770" s="2">
        <f t="shared" si="215"/>
        <v>68.099999999999994</v>
      </c>
      <c r="BE770">
        <f t="shared" si="216"/>
        <v>39.700000000000003</v>
      </c>
      <c r="BF770">
        <f t="shared" si="217"/>
        <v>228672</v>
      </c>
    </row>
    <row r="771" spans="1:58" ht="14.25" x14ac:dyDescent="0.2">
      <c r="A771" s="11">
        <v>11038</v>
      </c>
      <c r="B771" s="13">
        <f t="shared" si="218"/>
        <v>15</v>
      </c>
      <c r="C771" s="15">
        <f t="shared" si="219"/>
        <v>11</v>
      </c>
      <c r="D771" s="14">
        <f t="shared" si="220"/>
        <v>10</v>
      </c>
      <c r="E771" t="s">
        <v>2777</v>
      </c>
      <c r="F771" t="s">
        <v>2836</v>
      </c>
      <c r="G771" t="s">
        <v>2779</v>
      </c>
      <c r="H771" t="s">
        <v>2779</v>
      </c>
      <c r="I771" t="s">
        <v>2780</v>
      </c>
      <c r="J771" s="4" t="s">
        <v>2841</v>
      </c>
      <c r="K771" t="s">
        <v>177</v>
      </c>
      <c r="L771" t="s">
        <v>163</v>
      </c>
      <c r="M771" t="s">
        <v>163</v>
      </c>
      <c r="N771" t="s">
        <v>163</v>
      </c>
      <c r="O771" s="6" t="s">
        <v>1277</v>
      </c>
      <c r="P771">
        <v>0</v>
      </c>
      <c r="Q771" s="24">
        <v>57.2</v>
      </c>
      <c r="R771" s="25">
        <v>77.5</v>
      </c>
      <c r="S771" s="26">
        <v>53.5</v>
      </c>
      <c r="Y771">
        <v>10</v>
      </c>
      <c r="Z771">
        <v>30</v>
      </c>
      <c r="AA771" s="3">
        <v>25</v>
      </c>
      <c r="AB771" s="3">
        <v>6</v>
      </c>
      <c r="AC771">
        <v>155</v>
      </c>
      <c r="AD771" s="9">
        <f t="shared" si="221"/>
        <v>5364.666666666667</v>
      </c>
      <c r="AE771">
        <f t="shared" si="210"/>
        <v>2555730</v>
      </c>
      <c r="AF771" s="2">
        <f t="shared" si="214"/>
        <v>39.700000000000003</v>
      </c>
      <c r="AG771" t="str">
        <f t="shared" si="222"/>
        <v>89小时</v>
      </c>
      <c r="AH771">
        <f t="shared" si="223"/>
        <v>120</v>
      </c>
      <c r="AI771">
        <f t="shared" si="224"/>
        <v>20</v>
      </c>
      <c r="AJ771">
        <f t="shared" si="211"/>
        <v>68.099999999999994</v>
      </c>
      <c r="AK771">
        <f t="shared" si="225"/>
        <v>35</v>
      </c>
      <c r="AL771">
        <f t="shared" si="212"/>
        <v>39.700000000000003</v>
      </c>
      <c r="AM771" s="2">
        <f t="shared" si="226"/>
        <v>20</v>
      </c>
      <c r="AX771">
        <v>768</v>
      </c>
      <c r="AZ771" s="3"/>
      <c r="BB771" s="2">
        <f t="shared" ref="BB771:BB834" si="227">100+FLOOR((AX771-190)/30,1)*5</f>
        <v>195</v>
      </c>
      <c r="BC771">
        <f t="shared" si="213"/>
        <v>19.44636859781696</v>
      </c>
      <c r="BD771" s="2">
        <f t="shared" si="215"/>
        <v>68.099999999999994</v>
      </c>
      <c r="BE771">
        <f t="shared" si="216"/>
        <v>39.700000000000003</v>
      </c>
      <c r="BF771">
        <f t="shared" si="217"/>
        <v>228672</v>
      </c>
    </row>
    <row r="772" spans="1:58" ht="14.25" x14ac:dyDescent="0.2">
      <c r="A772" s="11">
        <v>11039</v>
      </c>
      <c r="B772" s="13">
        <f t="shared" si="218"/>
        <v>15</v>
      </c>
      <c r="C772" s="15">
        <f t="shared" si="219"/>
        <v>11</v>
      </c>
      <c r="D772" s="14">
        <f t="shared" si="220"/>
        <v>10</v>
      </c>
      <c r="E772" t="s">
        <v>2777</v>
      </c>
      <c r="F772" t="s">
        <v>2837</v>
      </c>
      <c r="G772" t="s">
        <v>2779</v>
      </c>
      <c r="H772" t="s">
        <v>2779</v>
      </c>
      <c r="I772" t="s">
        <v>2780</v>
      </c>
      <c r="J772" s="4" t="s">
        <v>2841</v>
      </c>
      <c r="K772" t="s">
        <v>174</v>
      </c>
      <c r="L772" t="s">
        <v>163</v>
      </c>
      <c r="M772" t="s">
        <v>163</v>
      </c>
      <c r="N772" t="s">
        <v>163</v>
      </c>
      <c r="O772" s="6" t="s">
        <v>1279</v>
      </c>
      <c r="P772">
        <v>0</v>
      </c>
      <c r="Q772" s="24">
        <v>57.2</v>
      </c>
      <c r="R772" s="25">
        <v>77.5</v>
      </c>
      <c r="S772" s="26">
        <v>53.5</v>
      </c>
      <c r="Y772">
        <v>10</v>
      </c>
      <c r="Z772">
        <v>30</v>
      </c>
      <c r="AA772" s="3">
        <v>25</v>
      </c>
      <c r="AB772" s="3">
        <v>6</v>
      </c>
      <c r="AC772">
        <v>155</v>
      </c>
      <c r="AD772" s="9">
        <f t="shared" si="221"/>
        <v>5364.666666666667</v>
      </c>
      <c r="AE772">
        <f t="shared" ref="AE772:AE835" si="228">INDEX(V:V,MATCH(AC772,U:U,0))</f>
        <v>2555730</v>
      </c>
      <c r="AF772" s="2">
        <f t="shared" si="214"/>
        <v>39.700000000000003</v>
      </c>
      <c r="AG772" t="str">
        <f t="shared" si="222"/>
        <v>89小时</v>
      </c>
      <c r="AH772">
        <f t="shared" si="223"/>
        <v>120</v>
      </c>
      <c r="AI772">
        <f t="shared" si="224"/>
        <v>20</v>
      </c>
      <c r="AJ772">
        <f t="shared" ref="AJ772:AJ835" si="229">BD772</f>
        <v>68.099999999999994</v>
      </c>
      <c r="AK772">
        <f t="shared" si="225"/>
        <v>35</v>
      </c>
      <c r="AL772">
        <f t="shared" ref="AL772:AL835" si="230">BE772</f>
        <v>39.700000000000003</v>
      </c>
      <c r="AM772" s="2">
        <f t="shared" si="226"/>
        <v>20</v>
      </c>
      <c r="AX772">
        <v>769</v>
      </c>
      <c r="AZ772" s="3"/>
      <c r="BB772" s="2">
        <f t="shared" si="227"/>
        <v>195</v>
      </c>
      <c r="BC772">
        <f t="shared" ref="BC772:BC835" si="231">INDEX($W:$W,MATCH(BB772,$U:$U,0))/(BE772*60*60/5)</f>
        <v>19.44636859781696</v>
      </c>
      <c r="BD772" s="2">
        <f t="shared" si="215"/>
        <v>68.099999999999994</v>
      </c>
      <c r="BE772">
        <f t="shared" si="216"/>
        <v>39.700000000000003</v>
      </c>
      <c r="BF772">
        <f t="shared" si="217"/>
        <v>228672</v>
      </c>
    </row>
    <row r="773" spans="1:58" ht="14.25" x14ac:dyDescent="0.2">
      <c r="A773" s="11">
        <v>11040</v>
      </c>
      <c r="B773" s="13">
        <f t="shared" si="218"/>
        <v>15</v>
      </c>
      <c r="C773" s="15">
        <f t="shared" si="219"/>
        <v>11</v>
      </c>
      <c r="D773" s="14">
        <f t="shared" si="220"/>
        <v>10</v>
      </c>
      <c r="E773" t="s">
        <v>2785</v>
      </c>
      <c r="F773" t="s">
        <v>2786</v>
      </c>
      <c r="G773" t="s">
        <v>2832</v>
      </c>
      <c r="H773" t="s">
        <v>2829</v>
      </c>
      <c r="I773" t="s">
        <v>2697</v>
      </c>
      <c r="J773" s="4" t="s">
        <v>2861</v>
      </c>
      <c r="K773" t="s">
        <v>166</v>
      </c>
      <c r="L773" t="s">
        <v>163</v>
      </c>
      <c r="M773" t="s">
        <v>163</v>
      </c>
      <c r="N773" t="s">
        <v>163</v>
      </c>
      <c r="O773" s="6" t="s">
        <v>1279</v>
      </c>
      <c r="P773">
        <v>0</v>
      </c>
      <c r="Q773" s="24">
        <v>57.2</v>
      </c>
      <c r="R773" s="25">
        <v>77.5</v>
      </c>
      <c r="S773" s="26">
        <v>53.5</v>
      </c>
      <c r="Y773">
        <v>10</v>
      </c>
      <c r="Z773">
        <v>30</v>
      </c>
      <c r="AA773" s="3">
        <v>25</v>
      </c>
      <c r="AB773" s="3">
        <v>6</v>
      </c>
      <c r="AC773">
        <v>155</v>
      </c>
      <c r="AD773" s="9">
        <f t="shared" si="221"/>
        <v>5364.666666666667</v>
      </c>
      <c r="AE773">
        <f t="shared" si="228"/>
        <v>2555730</v>
      </c>
      <c r="AF773" s="2">
        <f t="shared" ref="AF773:AF836" si="232">BE773</f>
        <v>39.700000000000003</v>
      </c>
      <c r="AG773" t="str">
        <f t="shared" si="222"/>
        <v>89小时</v>
      </c>
      <c r="AH773">
        <f t="shared" si="223"/>
        <v>120</v>
      </c>
      <c r="AI773">
        <f t="shared" si="224"/>
        <v>20</v>
      </c>
      <c r="AJ773">
        <f t="shared" si="229"/>
        <v>68.099999999999994</v>
      </c>
      <c r="AK773">
        <f t="shared" si="225"/>
        <v>35</v>
      </c>
      <c r="AL773">
        <f t="shared" si="230"/>
        <v>39.700000000000003</v>
      </c>
      <c r="AM773" s="2">
        <f t="shared" si="226"/>
        <v>20</v>
      </c>
      <c r="AX773">
        <v>770</v>
      </c>
      <c r="AZ773" s="3"/>
      <c r="BB773" s="2">
        <f t="shared" si="227"/>
        <v>195</v>
      </c>
      <c r="BC773">
        <f t="shared" si="231"/>
        <v>19.44636859781696</v>
      </c>
      <c r="BD773" s="2">
        <f t="shared" ref="BD773:BD836" si="233">ROUNDUP(BE773*1.5,1)+8.5</f>
        <v>68.099999999999994</v>
      </c>
      <c r="BE773">
        <f t="shared" ref="BE773:BE836" si="234">FLOOR(ROUNDUP(AX773/5,0)*0.25+1.25,0.1)</f>
        <v>39.700000000000003</v>
      </c>
      <c r="BF773">
        <f t="shared" ref="BF773:BF836" si="235">BE773*8*60*60/5</f>
        <v>228672</v>
      </c>
    </row>
    <row r="774" spans="1:58" ht="14.25" x14ac:dyDescent="0.2">
      <c r="A774" s="11">
        <v>11041</v>
      </c>
      <c r="B774" s="13">
        <f t="shared" si="218"/>
        <v>15</v>
      </c>
      <c r="C774" s="15">
        <f t="shared" si="219"/>
        <v>11</v>
      </c>
      <c r="D774" s="14">
        <f t="shared" si="220"/>
        <v>10</v>
      </c>
      <c r="E774" t="s">
        <v>2777</v>
      </c>
      <c r="F774" t="s">
        <v>2834</v>
      </c>
      <c r="G774" t="s">
        <v>2779</v>
      </c>
      <c r="H774" t="s">
        <v>2779</v>
      </c>
      <c r="I774" t="s">
        <v>2780</v>
      </c>
      <c r="J774" s="4" t="s">
        <v>2841</v>
      </c>
      <c r="K774" t="s">
        <v>168</v>
      </c>
      <c r="L774" t="s">
        <v>163</v>
      </c>
      <c r="M774" t="s">
        <v>163</v>
      </c>
      <c r="N774" t="s">
        <v>163</v>
      </c>
      <c r="O774" s="6" t="s">
        <v>1281</v>
      </c>
      <c r="P774">
        <v>0</v>
      </c>
      <c r="Q774" s="24">
        <v>57.5</v>
      </c>
      <c r="R774" s="25">
        <v>78</v>
      </c>
      <c r="S774" s="26">
        <v>53.8</v>
      </c>
      <c r="Y774">
        <v>10</v>
      </c>
      <c r="Z774">
        <v>30</v>
      </c>
      <c r="AA774" s="3">
        <v>25</v>
      </c>
      <c r="AB774" s="3">
        <v>6</v>
      </c>
      <c r="AC774">
        <v>155</v>
      </c>
      <c r="AD774" s="9">
        <f t="shared" si="221"/>
        <v>5324.416666666667</v>
      </c>
      <c r="AE774">
        <f t="shared" si="228"/>
        <v>2555730</v>
      </c>
      <c r="AF774" s="2">
        <f t="shared" si="232"/>
        <v>40</v>
      </c>
      <c r="AG774" t="str">
        <f t="shared" si="222"/>
        <v>88小时</v>
      </c>
      <c r="AH774">
        <f t="shared" si="223"/>
        <v>120</v>
      </c>
      <c r="AI774">
        <f t="shared" si="224"/>
        <v>20</v>
      </c>
      <c r="AJ774">
        <f t="shared" si="229"/>
        <v>68.5</v>
      </c>
      <c r="AK774">
        <f t="shared" si="225"/>
        <v>35</v>
      </c>
      <c r="AL774">
        <f t="shared" si="230"/>
        <v>40</v>
      </c>
      <c r="AM774" s="2">
        <f t="shared" si="226"/>
        <v>20</v>
      </c>
      <c r="AX774">
        <v>771</v>
      </c>
      <c r="AZ774" s="3"/>
      <c r="BB774" s="2">
        <f t="shared" si="227"/>
        <v>195</v>
      </c>
      <c r="BC774">
        <f t="shared" si="231"/>
        <v>19.300520833333334</v>
      </c>
      <c r="BD774" s="2">
        <f t="shared" si="233"/>
        <v>68.5</v>
      </c>
      <c r="BE774">
        <f t="shared" si="234"/>
        <v>40</v>
      </c>
      <c r="BF774">
        <f t="shared" si="235"/>
        <v>230400</v>
      </c>
    </row>
    <row r="775" spans="1:58" ht="14.25" x14ac:dyDescent="0.2">
      <c r="A775" s="11">
        <v>11042</v>
      </c>
      <c r="B775" s="13">
        <f t="shared" si="218"/>
        <v>15</v>
      </c>
      <c r="C775" s="15">
        <f t="shared" si="219"/>
        <v>11</v>
      </c>
      <c r="D775" s="14">
        <f t="shared" si="220"/>
        <v>10</v>
      </c>
      <c r="E775" t="s">
        <v>2777</v>
      </c>
      <c r="F775" t="s">
        <v>2835</v>
      </c>
      <c r="G775" t="s">
        <v>2779</v>
      </c>
      <c r="H775" t="s">
        <v>2779</v>
      </c>
      <c r="I775" t="s">
        <v>2780</v>
      </c>
      <c r="J775" s="4" t="s">
        <v>2841</v>
      </c>
      <c r="K775" t="s">
        <v>175</v>
      </c>
      <c r="L775" t="s">
        <v>164</v>
      </c>
      <c r="M775" t="s">
        <v>163</v>
      </c>
      <c r="N775" t="s">
        <v>167</v>
      </c>
      <c r="O775" s="6" t="s">
        <v>1283</v>
      </c>
      <c r="P775">
        <v>0</v>
      </c>
      <c r="Q775" s="24">
        <v>57.5</v>
      </c>
      <c r="R775" s="25">
        <v>78</v>
      </c>
      <c r="S775" s="26">
        <v>53.8</v>
      </c>
      <c r="Y775">
        <v>10</v>
      </c>
      <c r="Z775">
        <v>30</v>
      </c>
      <c r="AA775" s="3">
        <v>25</v>
      </c>
      <c r="AB775" s="3">
        <v>6</v>
      </c>
      <c r="AC775">
        <v>155</v>
      </c>
      <c r="AD775" s="9">
        <f t="shared" si="221"/>
        <v>5324.416666666667</v>
      </c>
      <c r="AE775">
        <f t="shared" si="228"/>
        <v>2555730</v>
      </c>
      <c r="AF775" s="2">
        <f t="shared" si="232"/>
        <v>40</v>
      </c>
      <c r="AG775" t="str">
        <f t="shared" si="222"/>
        <v>88小时</v>
      </c>
      <c r="AH775">
        <f t="shared" si="223"/>
        <v>120</v>
      </c>
      <c r="AI775">
        <f t="shared" si="224"/>
        <v>20</v>
      </c>
      <c r="AJ775">
        <f t="shared" si="229"/>
        <v>68.5</v>
      </c>
      <c r="AK775">
        <f t="shared" si="225"/>
        <v>35</v>
      </c>
      <c r="AL775">
        <f t="shared" si="230"/>
        <v>40</v>
      </c>
      <c r="AM775" s="2">
        <f t="shared" si="226"/>
        <v>20</v>
      </c>
      <c r="AX775">
        <v>772</v>
      </c>
      <c r="AZ775" s="3"/>
      <c r="BB775" s="2">
        <f t="shared" si="227"/>
        <v>195</v>
      </c>
      <c r="BC775">
        <f t="shared" si="231"/>
        <v>19.300520833333334</v>
      </c>
      <c r="BD775" s="2">
        <f t="shared" si="233"/>
        <v>68.5</v>
      </c>
      <c r="BE775">
        <f t="shared" si="234"/>
        <v>40</v>
      </c>
      <c r="BF775">
        <f t="shared" si="235"/>
        <v>230400</v>
      </c>
    </row>
    <row r="776" spans="1:58" ht="14.25" x14ac:dyDescent="0.2">
      <c r="A776" s="11">
        <v>11043</v>
      </c>
      <c r="B776" s="13">
        <f t="shared" si="218"/>
        <v>15</v>
      </c>
      <c r="C776" s="15">
        <f t="shared" si="219"/>
        <v>11</v>
      </c>
      <c r="D776" s="14">
        <f t="shared" si="220"/>
        <v>10</v>
      </c>
      <c r="E776" t="s">
        <v>2777</v>
      </c>
      <c r="F776" t="s">
        <v>2836</v>
      </c>
      <c r="G776" t="s">
        <v>2779</v>
      </c>
      <c r="H776" t="s">
        <v>2779</v>
      </c>
      <c r="I776" t="s">
        <v>2780</v>
      </c>
      <c r="J776" s="4" t="s">
        <v>2841</v>
      </c>
      <c r="K776" t="s">
        <v>179</v>
      </c>
      <c r="L776" t="s">
        <v>163</v>
      </c>
      <c r="M776" t="s">
        <v>163</v>
      </c>
      <c r="N776" t="s">
        <v>163</v>
      </c>
      <c r="O776" s="6" t="s">
        <v>1285</v>
      </c>
      <c r="P776">
        <v>0</v>
      </c>
      <c r="Q776" s="24">
        <v>57.5</v>
      </c>
      <c r="R776" s="25">
        <v>78</v>
      </c>
      <c r="S776" s="26">
        <v>53.8</v>
      </c>
      <c r="Y776">
        <v>10</v>
      </c>
      <c r="Z776">
        <v>30</v>
      </c>
      <c r="AA776" s="3">
        <v>25</v>
      </c>
      <c r="AB776" s="3">
        <v>6</v>
      </c>
      <c r="AC776">
        <v>155</v>
      </c>
      <c r="AD776" s="9">
        <f t="shared" si="221"/>
        <v>5324.416666666667</v>
      </c>
      <c r="AE776">
        <f t="shared" si="228"/>
        <v>2555730</v>
      </c>
      <c r="AF776" s="2">
        <f t="shared" si="232"/>
        <v>40</v>
      </c>
      <c r="AG776" t="str">
        <f t="shared" si="222"/>
        <v>88小时</v>
      </c>
      <c r="AH776">
        <f t="shared" si="223"/>
        <v>120</v>
      </c>
      <c r="AI776">
        <f t="shared" si="224"/>
        <v>20</v>
      </c>
      <c r="AJ776">
        <f t="shared" si="229"/>
        <v>68.5</v>
      </c>
      <c r="AK776">
        <f t="shared" si="225"/>
        <v>35</v>
      </c>
      <c r="AL776">
        <f t="shared" si="230"/>
        <v>40</v>
      </c>
      <c r="AM776" s="2">
        <f t="shared" si="226"/>
        <v>20</v>
      </c>
      <c r="AX776">
        <v>773</v>
      </c>
      <c r="AZ776" s="3"/>
      <c r="BB776" s="2">
        <f t="shared" si="227"/>
        <v>195</v>
      </c>
      <c r="BC776">
        <f t="shared" si="231"/>
        <v>19.300520833333334</v>
      </c>
      <c r="BD776" s="2">
        <f t="shared" si="233"/>
        <v>68.5</v>
      </c>
      <c r="BE776">
        <f t="shared" si="234"/>
        <v>40</v>
      </c>
      <c r="BF776">
        <f t="shared" si="235"/>
        <v>230400</v>
      </c>
    </row>
    <row r="777" spans="1:58" ht="14.25" x14ac:dyDescent="0.2">
      <c r="A777" s="11">
        <v>11044</v>
      </c>
      <c r="B777" s="13">
        <f t="shared" si="218"/>
        <v>15</v>
      </c>
      <c r="C777" s="15">
        <f t="shared" si="219"/>
        <v>11</v>
      </c>
      <c r="D777" s="14">
        <f t="shared" si="220"/>
        <v>10</v>
      </c>
      <c r="E777" t="s">
        <v>2777</v>
      </c>
      <c r="F777" t="s">
        <v>2837</v>
      </c>
      <c r="G777" t="s">
        <v>2779</v>
      </c>
      <c r="H777" t="s">
        <v>2779</v>
      </c>
      <c r="I777" t="s">
        <v>2780</v>
      </c>
      <c r="J777" s="4" t="s">
        <v>2841</v>
      </c>
      <c r="K777" t="s">
        <v>177</v>
      </c>
      <c r="L777" t="s">
        <v>163</v>
      </c>
      <c r="M777" t="s">
        <v>163</v>
      </c>
      <c r="N777" t="s">
        <v>163</v>
      </c>
      <c r="O777" s="6" t="s">
        <v>1285</v>
      </c>
      <c r="P777">
        <v>0</v>
      </c>
      <c r="Q777" s="24">
        <v>57.5</v>
      </c>
      <c r="R777" s="25">
        <v>78</v>
      </c>
      <c r="S777" s="26">
        <v>53.8</v>
      </c>
      <c r="Y777">
        <v>10</v>
      </c>
      <c r="Z777">
        <v>30</v>
      </c>
      <c r="AA777" s="3">
        <v>25</v>
      </c>
      <c r="AB777" s="3">
        <v>6</v>
      </c>
      <c r="AC777">
        <v>155</v>
      </c>
      <c r="AD777" s="9">
        <f t="shared" si="221"/>
        <v>5324.416666666667</v>
      </c>
      <c r="AE777">
        <f t="shared" si="228"/>
        <v>2555730</v>
      </c>
      <c r="AF777" s="2">
        <f t="shared" si="232"/>
        <v>40</v>
      </c>
      <c r="AG777" t="str">
        <f t="shared" si="222"/>
        <v>88小时</v>
      </c>
      <c r="AH777">
        <f t="shared" si="223"/>
        <v>120</v>
      </c>
      <c r="AI777">
        <f t="shared" si="224"/>
        <v>20</v>
      </c>
      <c r="AJ777">
        <f t="shared" si="229"/>
        <v>68.5</v>
      </c>
      <c r="AK777">
        <f t="shared" si="225"/>
        <v>35</v>
      </c>
      <c r="AL777">
        <f t="shared" si="230"/>
        <v>40</v>
      </c>
      <c r="AM777" s="2">
        <f t="shared" si="226"/>
        <v>20</v>
      </c>
      <c r="AX777">
        <v>774</v>
      </c>
      <c r="AZ777" s="3"/>
      <c r="BB777" s="2">
        <f t="shared" si="227"/>
        <v>195</v>
      </c>
      <c r="BC777">
        <f t="shared" si="231"/>
        <v>19.300520833333334</v>
      </c>
      <c r="BD777" s="2">
        <f t="shared" si="233"/>
        <v>68.5</v>
      </c>
      <c r="BE777">
        <f t="shared" si="234"/>
        <v>40</v>
      </c>
      <c r="BF777">
        <f t="shared" si="235"/>
        <v>230400</v>
      </c>
    </row>
    <row r="778" spans="1:58" ht="14.25" x14ac:dyDescent="0.2">
      <c r="A778" s="11">
        <v>11045</v>
      </c>
      <c r="B778" s="13">
        <f t="shared" si="218"/>
        <v>15</v>
      </c>
      <c r="C778" s="15">
        <f t="shared" si="219"/>
        <v>11</v>
      </c>
      <c r="D778" s="14">
        <f t="shared" si="220"/>
        <v>10</v>
      </c>
      <c r="E778" t="s">
        <v>2785</v>
      </c>
      <c r="F778" t="s">
        <v>2786</v>
      </c>
      <c r="G778" t="s">
        <v>2833</v>
      </c>
      <c r="H778" t="s">
        <v>2829</v>
      </c>
      <c r="I778" t="s">
        <v>2697</v>
      </c>
      <c r="J778" s="4" t="s">
        <v>2879</v>
      </c>
      <c r="K778" t="s">
        <v>174</v>
      </c>
      <c r="L778" t="s">
        <v>163</v>
      </c>
      <c r="M778" t="s">
        <v>163</v>
      </c>
      <c r="N778" t="s">
        <v>163</v>
      </c>
      <c r="O778" s="6" t="s">
        <v>1287</v>
      </c>
      <c r="P778">
        <v>0</v>
      </c>
      <c r="Q778" s="24">
        <v>57.5</v>
      </c>
      <c r="R778" s="25">
        <v>78</v>
      </c>
      <c r="S778" s="26">
        <v>53.8</v>
      </c>
      <c r="Y778">
        <v>10</v>
      </c>
      <c r="Z778">
        <v>30</v>
      </c>
      <c r="AA778" s="3">
        <v>25</v>
      </c>
      <c r="AB778" s="3">
        <v>6</v>
      </c>
      <c r="AC778">
        <v>155</v>
      </c>
      <c r="AD778" s="9">
        <f t="shared" si="221"/>
        <v>5324.416666666667</v>
      </c>
      <c r="AE778">
        <f t="shared" si="228"/>
        <v>2555730</v>
      </c>
      <c r="AF778" s="2">
        <f t="shared" si="232"/>
        <v>40</v>
      </c>
      <c r="AG778" t="str">
        <f t="shared" si="222"/>
        <v>88小时</v>
      </c>
      <c r="AH778">
        <f t="shared" si="223"/>
        <v>120</v>
      </c>
      <c r="AI778">
        <f t="shared" si="224"/>
        <v>20</v>
      </c>
      <c r="AJ778">
        <f t="shared" si="229"/>
        <v>68.5</v>
      </c>
      <c r="AK778">
        <f t="shared" si="225"/>
        <v>35</v>
      </c>
      <c r="AL778">
        <f t="shared" si="230"/>
        <v>40</v>
      </c>
      <c r="AM778" s="2">
        <f t="shared" si="226"/>
        <v>20</v>
      </c>
      <c r="AX778">
        <v>775</v>
      </c>
      <c r="AZ778" s="3"/>
      <c r="BB778" s="2">
        <f t="shared" si="227"/>
        <v>195</v>
      </c>
      <c r="BC778">
        <f t="shared" si="231"/>
        <v>19.300520833333334</v>
      </c>
      <c r="BD778" s="2">
        <f t="shared" si="233"/>
        <v>68.5</v>
      </c>
      <c r="BE778">
        <f t="shared" si="234"/>
        <v>40</v>
      </c>
      <c r="BF778">
        <f t="shared" si="235"/>
        <v>230400</v>
      </c>
    </row>
    <row r="779" spans="1:58" ht="14.25" x14ac:dyDescent="0.2">
      <c r="A779" s="11">
        <v>11046</v>
      </c>
      <c r="B779" s="13">
        <f t="shared" si="218"/>
        <v>15</v>
      </c>
      <c r="C779" s="15">
        <f t="shared" si="219"/>
        <v>11</v>
      </c>
      <c r="D779" s="14">
        <f t="shared" si="220"/>
        <v>10</v>
      </c>
      <c r="E779" t="s">
        <v>2777</v>
      </c>
      <c r="F779" t="s">
        <v>2834</v>
      </c>
      <c r="G779" t="s">
        <v>2779</v>
      </c>
      <c r="H779" t="s">
        <v>2779</v>
      </c>
      <c r="I779" t="s">
        <v>2780</v>
      </c>
      <c r="J779" s="4" t="s">
        <v>2841</v>
      </c>
      <c r="K779" t="s">
        <v>182</v>
      </c>
      <c r="L779" t="s">
        <v>163</v>
      </c>
      <c r="M779" t="s">
        <v>163</v>
      </c>
      <c r="N779" t="s">
        <v>163</v>
      </c>
      <c r="O779" s="6" t="s">
        <v>1289</v>
      </c>
      <c r="P779">
        <v>0</v>
      </c>
      <c r="Q779" s="24">
        <v>57.8</v>
      </c>
      <c r="R779" s="25">
        <v>78.5</v>
      </c>
      <c r="S779" s="26">
        <v>54</v>
      </c>
      <c r="Y779">
        <v>10</v>
      </c>
      <c r="Z779">
        <v>30</v>
      </c>
      <c r="AA779" s="3">
        <v>25</v>
      </c>
      <c r="AB779" s="3">
        <v>6</v>
      </c>
      <c r="AC779">
        <v>155</v>
      </c>
      <c r="AD779" s="9">
        <f t="shared" si="221"/>
        <v>5297.9166666666661</v>
      </c>
      <c r="AE779">
        <f t="shared" si="228"/>
        <v>2555730</v>
      </c>
      <c r="AF779" s="2">
        <f t="shared" si="232"/>
        <v>40.200000000000003</v>
      </c>
      <c r="AG779" t="str">
        <f t="shared" si="222"/>
        <v>88小时</v>
      </c>
      <c r="AH779">
        <f t="shared" si="223"/>
        <v>121</v>
      </c>
      <c r="AI779">
        <f t="shared" si="224"/>
        <v>21</v>
      </c>
      <c r="AJ779">
        <f t="shared" si="229"/>
        <v>68.8</v>
      </c>
      <c r="AK779">
        <f t="shared" si="225"/>
        <v>35</v>
      </c>
      <c r="AL779">
        <f t="shared" si="230"/>
        <v>40.200000000000003</v>
      </c>
      <c r="AM779" s="2">
        <f t="shared" si="226"/>
        <v>21</v>
      </c>
      <c r="AX779">
        <v>776</v>
      </c>
      <c r="AZ779" s="3"/>
      <c r="BB779" s="2">
        <f t="shared" si="227"/>
        <v>195</v>
      </c>
      <c r="BC779">
        <f t="shared" si="231"/>
        <v>19.204498341625207</v>
      </c>
      <c r="BD779" s="2">
        <f t="shared" si="233"/>
        <v>68.8</v>
      </c>
      <c r="BE779">
        <f t="shared" si="234"/>
        <v>40.200000000000003</v>
      </c>
      <c r="BF779">
        <f t="shared" si="235"/>
        <v>231552</v>
      </c>
    </row>
    <row r="780" spans="1:58" ht="14.25" x14ac:dyDescent="0.2">
      <c r="A780" s="11">
        <v>11047</v>
      </c>
      <c r="B780" s="13">
        <f t="shared" si="218"/>
        <v>15</v>
      </c>
      <c r="C780" s="15">
        <f t="shared" si="219"/>
        <v>11</v>
      </c>
      <c r="D780" s="14">
        <f t="shared" si="220"/>
        <v>10</v>
      </c>
      <c r="E780" t="s">
        <v>2777</v>
      </c>
      <c r="F780" t="s">
        <v>2835</v>
      </c>
      <c r="G780" t="s">
        <v>2779</v>
      </c>
      <c r="H780" t="s">
        <v>2779</v>
      </c>
      <c r="I780" t="s">
        <v>2780</v>
      </c>
      <c r="J780" s="4" t="s">
        <v>2841</v>
      </c>
      <c r="K780" t="s">
        <v>162</v>
      </c>
      <c r="L780" t="s">
        <v>163</v>
      </c>
      <c r="M780" t="s">
        <v>163</v>
      </c>
      <c r="N780" t="s">
        <v>163</v>
      </c>
      <c r="O780" s="6" t="s">
        <v>1289</v>
      </c>
      <c r="P780">
        <v>0</v>
      </c>
      <c r="Q780" s="24">
        <v>57.8</v>
      </c>
      <c r="R780" s="25">
        <v>78.5</v>
      </c>
      <c r="S780" s="26">
        <v>54</v>
      </c>
      <c r="Y780">
        <v>10</v>
      </c>
      <c r="Z780">
        <v>30</v>
      </c>
      <c r="AA780" s="3">
        <v>25</v>
      </c>
      <c r="AB780" s="3">
        <v>6</v>
      </c>
      <c r="AC780">
        <v>155</v>
      </c>
      <c r="AD780" s="9">
        <f t="shared" si="221"/>
        <v>5297.9166666666661</v>
      </c>
      <c r="AE780">
        <f t="shared" si="228"/>
        <v>2555730</v>
      </c>
      <c r="AF780" s="2">
        <f t="shared" si="232"/>
        <v>40.200000000000003</v>
      </c>
      <c r="AG780" t="str">
        <f t="shared" si="222"/>
        <v>88小时</v>
      </c>
      <c r="AH780">
        <f t="shared" si="223"/>
        <v>121</v>
      </c>
      <c r="AI780">
        <f t="shared" si="224"/>
        <v>21</v>
      </c>
      <c r="AJ780">
        <f t="shared" si="229"/>
        <v>68.8</v>
      </c>
      <c r="AK780">
        <f t="shared" si="225"/>
        <v>35</v>
      </c>
      <c r="AL780">
        <f t="shared" si="230"/>
        <v>40.200000000000003</v>
      </c>
      <c r="AM780" s="2">
        <f t="shared" si="226"/>
        <v>21</v>
      </c>
      <c r="AX780">
        <v>777</v>
      </c>
      <c r="AZ780" s="3"/>
      <c r="BB780" s="2">
        <f t="shared" si="227"/>
        <v>195</v>
      </c>
      <c r="BC780">
        <f t="shared" si="231"/>
        <v>19.204498341625207</v>
      </c>
      <c r="BD780" s="2">
        <f t="shared" si="233"/>
        <v>68.8</v>
      </c>
      <c r="BE780">
        <f t="shared" si="234"/>
        <v>40.200000000000003</v>
      </c>
      <c r="BF780">
        <f t="shared" si="235"/>
        <v>231552</v>
      </c>
    </row>
    <row r="781" spans="1:58" ht="14.25" x14ac:dyDescent="0.2">
      <c r="A781" s="11">
        <v>11048</v>
      </c>
      <c r="B781" s="13">
        <f t="shared" si="218"/>
        <v>15</v>
      </c>
      <c r="C781" s="15">
        <f t="shared" si="219"/>
        <v>11</v>
      </c>
      <c r="D781" s="14">
        <f t="shared" si="220"/>
        <v>10</v>
      </c>
      <c r="E781" t="s">
        <v>2777</v>
      </c>
      <c r="F781" t="s">
        <v>2836</v>
      </c>
      <c r="G781" t="s">
        <v>2779</v>
      </c>
      <c r="H781" t="s">
        <v>2779</v>
      </c>
      <c r="I781" t="s">
        <v>2780</v>
      </c>
      <c r="J781" s="4" t="s">
        <v>2841</v>
      </c>
      <c r="K781" t="s">
        <v>177</v>
      </c>
      <c r="L781" t="s">
        <v>163</v>
      </c>
      <c r="M781" t="s">
        <v>163</v>
      </c>
      <c r="N781" t="s">
        <v>163</v>
      </c>
      <c r="O781" s="6" t="s">
        <v>1291</v>
      </c>
      <c r="P781">
        <v>0</v>
      </c>
      <c r="Q781" s="24">
        <v>57.8</v>
      </c>
      <c r="R781" s="25">
        <v>78.5</v>
      </c>
      <c r="S781" s="26">
        <v>54</v>
      </c>
      <c r="Y781">
        <v>10</v>
      </c>
      <c r="Z781">
        <v>30</v>
      </c>
      <c r="AA781" s="3">
        <v>25</v>
      </c>
      <c r="AB781" s="3">
        <v>6</v>
      </c>
      <c r="AC781">
        <v>155</v>
      </c>
      <c r="AD781" s="9">
        <f t="shared" si="221"/>
        <v>5297.9166666666661</v>
      </c>
      <c r="AE781">
        <f t="shared" si="228"/>
        <v>2555730</v>
      </c>
      <c r="AF781" s="2">
        <f t="shared" si="232"/>
        <v>40.200000000000003</v>
      </c>
      <c r="AG781" t="str">
        <f t="shared" si="222"/>
        <v>88小时</v>
      </c>
      <c r="AH781">
        <f t="shared" si="223"/>
        <v>121</v>
      </c>
      <c r="AI781">
        <f t="shared" si="224"/>
        <v>21</v>
      </c>
      <c r="AJ781">
        <f t="shared" si="229"/>
        <v>68.8</v>
      </c>
      <c r="AK781">
        <f t="shared" si="225"/>
        <v>35</v>
      </c>
      <c r="AL781">
        <f t="shared" si="230"/>
        <v>40.200000000000003</v>
      </c>
      <c r="AM781" s="2">
        <f t="shared" si="226"/>
        <v>21</v>
      </c>
      <c r="AX781">
        <v>778</v>
      </c>
      <c r="AZ781" s="3"/>
      <c r="BB781" s="2">
        <f t="shared" si="227"/>
        <v>195</v>
      </c>
      <c r="BC781">
        <f t="shared" si="231"/>
        <v>19.204498341625207</v>
      </c>
      <c r="BD781" s="2">
        <f t="shared" si="233"/>
        <v>68.8</v>
      </c>
      <c r="BE781">
        <f t="shared" si="234"/>
        <v>40.200000000000003</v>
      </c>
      <c r="BF781">
        <f t="shared" si="235"/>
        <v>231552</v>
      </c>
    </row>
    <row r="782" spans="1:58" ht="14.25" x14ac:dyDescent="0.2">
      <c r="A782" s="11">
        <v>11049</v>
      </c>
      <c r="B782" s="13">
        <f t="shared" si="218"/>
        <v>15</v>
      </c>
      <c r="C782" s="15">
        <f t="shared" si="219"/>
        <v>11</v>
      </c>
      <c r="D782" s="14">
        <f t="shared" si="220"/>
        <v>10</v>
      </c>
      <c r="E782" t="s">
        <v>2777</v>
      </c>
      <c r="F782" t="s">
        <v>2837</v>
      </c>
      <c r="G782" t="s">
        <v>2779</v>
      </c>
      <c r="H782" t="s">
        <v>2779</v>
      </c>
      <c r="I782" t="s">
        <v>2780</v>
      </c>
      <c r="J782" s="4" t="s">
        <v>2841</v>
      </c>
      <c r="K782" t="s">
        <v>174</v>
      </c>
      <c r="L782" t="s">
        <v>163</v>
      </c>
      <c r="M782" t="s">
        <v>163</v>
      </c>
      <c r="N782" t="s">
        <v>163</v>
      </c>
      <c r="O782" s="6" t="s">
        <v>1293</v>
      </c>
      <c r="P782">
        <v>0</v>
      </c>
      <c r="Q782" s="24">
        <v>57.8</v>
      </c>
      <c r="R782" s="25">
        <v>78.5</v>
      </c>
      <c r="S782" s="26">
        <v>54</v>
      </c>
      <c r="Y782">
        <v>10</v>
      </c>
      <c r="Z782">
        <v>30</v>
      </c>
      <c r="AA782" s="3">
        <v>25</v>
      </c>
      <c r="AB782" s="3">
        <v>6</v>
      </c>
      <c r="AC782">
        <v>155</v>
      </c>
      <c r="AD782" s="9">
        <f t="shared" si="221"/>
        <v>5297.9166666666661</v>
      </c>
      <c r="AE782">
        <f t="shared" si="228"/>
        <v>2555730</v>
      </c>
      <c r="AF782" s="2">
        <f t="shared" si="232"/>
        <v>40.200000000000003</v>
      </c>
      <c r="AG782" t="str">
        <f t="shared" si="222"/>
        <v>88小时</v>
      </c>
      <c r="AH782">
        <f t="shared" si="223"/>
        <v>121</v>
      </c>
      <c r="AI782">
        <f t="shared" si="224"/>
        <v>21</v>
      </c>
      <c r="AJ782">
        <f t="shared" si="229"/>
        <v>68.8</v>
      </c>
      <c r="AK782">
        <f t="shared" si="225"/>
        <v>35</v>
      </c>
      <c r="AL782">
        <f t="shared" si="230"/>
        <v>40.200000000000003</v>
      </c>
      <c r="AM782" s="2">
        <f t="shared" si="226"/>
        <v>21</v>
      </c>
      <c r="AX782">
        <v>779</v>
      </c>
      <c r="AZ782" s="3"/>
      <c r="BB782" s="2">
        <f t="shared" si="227"/>
        <v>195</v>
      </c>
      <c r="BC782">
        <f t="shared" si="231"/>
        <v>19.204498341625207</v>
      </c>
      <c r="BD782" s="2">
        <f t="shared" si="233"/>
        <v>68.8</v>
      </c>
      <c r="BE782">
        <f t="shared" si="234"/>
        <v>40.200000000000003</v>
      </c>
      <c r="BF782">
        <f t="shared" si="235"/>
        <v>231552</v>
      </c>
    </row>
    <row r="783" spans="1:58" ht="14.25" x14ac:dyDescent="0.2">
      <c r="A783" s="11">
        <v>11050</v>
      </c>
      <c r="B783" s="13">
        <f t="shared" si="218"/>
        <v>15</v>
      </c>
      <c r="C783" s="15">
        <f t="shared" si="219"/>
        <v>11</v>
      </c>
      <c r="D783" s="14">
        <f t="shared" si="220"/>
        <v>10</v>
      </c>
      <c r="E783" t="s">
        <v>2785</v>
      </c>
      <c r="F783" t="s">
        <v>2786</v>
      </c>
      <c r="G783" t="s">
        <v>2828</v>
      </c>
      <c r="H783" t="s">
        <v>2829</v>
      </c>
      <c r="I783" t="s">
        <v>2697</v>
      </c>
      <c r="J783" s="4" t="s">
        <v>2879</v>
      </c>
      <c r="K783" t="s">
        <v>166</v>
      </c>
      <c r="L783" t="s">
        <v>163</v>
      </c>
      <c r="M783" t="s">
        <v>163</v>
      </c>
      <c r="N783" t="s">
        <v>163</v>
      </c>
      <c r="O783" s="6" t="s">
        <v>1293</v>
      </c>
      <c r="P783">
        <v>0</v>
      </c>
      <c r="Q783" s="24">
        <v>57.8</v>
      </c>
      <c r="R783" s="25">
        <v>78.5</v>
      </c>
      <c r="S783" s="26">
        <v>54</v>
      </c>
      <c r="Y783">
        <v>10</v>
      </c>
      <c r="Z783">
        <v>30</v>
      </c>
      <c r="AA783" s="3">
        <v>25</v>
      </c>
      <c r="AB783" s="3">
        <v>6</v>
      </c>
      <c r="AC783">
        <v>155</v>
      </c>
      <c r="AD783" s="9">
        <f t="shared" si="221"/>
        <v>5297.9166666666661</v>
      </c>
      <c r="AE783">
        <f t="shared" si="228"/>
        <v>2555730</v>
      </c>
      <c r="AF783" s="2">
        <f t="shared" si="232"/>
        <v>40.200000000000003</v>
      </c>
      <c r="AG783" t="str">
        <f t="shared" si="222"/>
        <v>88小时</v>
      </c>
      <c r="AH783">
        <f t="shared" si="223"/>
        <v>121</v>
      </c>
      <c r="AI783">
        <f t="shared" si="224"/>
        <v>21</v>
      </c>
      <c r="AJ783">
        <f t="shared" si="229"/>
        <v>68.8</v>
      </c>
      <c r="AK783">
        <f t="shared" si="225"/>
        <v>35</v>
      </c>
      <c r="AL783">
        <f t="shared" si="230"/>
        <v>40.200000000000003</v>
      </c>
      <c r="AM783" s="2">
        <f t="shared" si="226"/>
        <v>21</v>
      </c>
      <c r="AX783">
        <v>780</v>
      </c>
      <c r="AZ783" s="3"/>
      <c r="BB783" s="2">
        <f t="shared" si="227"/>
        <v>195</v>
      </c>
      <c r="BC783">
        <f t="shared" si="231"/>
        <v>19.204498341625207</v>
      </c>
      <c r="BD783" s="2">
        <f t="shared" si="233"/>
        <v>68.8</v>
      </c>
      <c r="BE783">
        <f t="shared" si="234"/>
        <v>40.200000000000003</v>
      </c>
      <c r="BF783">
        <f t="shared" si="235"/>
        <v>231552</v>
      </c>
    </row>
    <row r="784" spans="1:58" ht="14.25" x14ac:dyDescent="0.2">
      <c r="A784" s="12">
        <v>20101</v>
      </c>
      <c r="B784" s="13">
        <f t="shared" ref="B784:B847" si="236">FLOOR(R782/5,1)</f>
        <v>15</v>
      </c>
      <c r="C784" s="15">
        <f t="shared" ref="C784:C847" si="237">FLOOR(Q782/5,1)</f>
        <v>11</v>
      </c>
      <c r="D784" s="14">
        <f t="shared" ref="D784:D847" si="238">FLOOR(S782/5,1)</f>
        <v>10</v>
      </c>
      <c r="E784" t="s">
        <v>2777</v>
      </c>
      <c r="F784" t="s">
        <v>2834</v>
      </c>
      <c r="G784" t="s">
        <v>2779</v>
      </c>
      <c r="H784" t="s">
        <v>2779</v>
      </c>
      <c r="I784" t="s">
        <v>2780</v>
      </c>
      <c r="J784" s="4" t="s">
        <v>2840</v>
      </c>
      <c r="K784" t="s">
        <v>168</v>
      </c>
      <c r="L784" t="s">
        <v>163</v>
      </c>
      <c r="M784" t="s">
        <v>163</v>
      </c>
      <c r="N784" t="s">
        <v>163</v>
      </c>
      <c r="O784" s="6" t="s">
        <v>1295</v>
      </c>
      <c r="P784">
        <v>0</v>
      </c>
      <c r="Q784" s="24">
        <v>58.2</v>
      </c>
      <c r="R784" s="25">
        <v>79</v>
      </c>
      <c r="S784" s="26">
        <v>54.3</v>
      </c>
      <c r="Y784">
        <v>10</v>
      </c>
      <c r="Z784">
        <v>30</v>
      </c>
      <c r="AA784" s="3">
        <v>25</v>
      </c>
      <c r="AB784" s="3">
        <v>6</v>
      </c>
      <c r="AC784">
        <v>155</v>
      </c>
      <c r="AD784" s="9">
        <f t="shared" si="221"/>
        <v>5258.666666666667</v>
      </c>
      <c r="AE784">
        <f t="shared" si="228"/>
        <v>2555730</v>
      </c>
      <c r="AF784" s="2">
        <f t="shared" si="232"/>
        <v>40.5</v>
      </c>
      <c r="AG784" t="str">
        <f t="shared" si="222"/>
        <v>87小时</v>
      </c>
      <c r="AH784">
        <f t="shared" si="223"/>
        <v>122</v>
      </c>
      <c r="AI784">
        <f t="shared" si="224"/>
        <v>21</v>
      </c>
      <c r="AJ784">
        <f t="shared" si="229"/>
        <v>69.300000000000011</v>
      </c>
      <c r="AK784">
        <f t="shared" si="225"/>
        <v>35</v>
      </c>
      <c r="AL784">
        <f t="shared" si="230"/>
        <v>40.5</v>
      </c>
      <c r="AM784" s="2">
        <f t="shared" si="226"/>
        <v>21</v>
      </c>
      <c r="AX784">
        <v>781</v>
      </c>
      <c r="AZ784" s="3"/>
      <c r="BB784" s="2">
        <f t="shared" si="227"/>
        <v>195</v>
      </c>
      <c r="BC784">
        <f t="shared" si="231"/>
        <v>19.06224279835391</v>
      </c>
      <c r="BD784" s="2">
        <f t="shared" si="233"/>
        <v>69.300000000000011</v>
      </c>
      <c r="BE784">
        <f t="shared" si="234"/>
        <v>40.5</v>
      </c>
      <c r="BF784">
        <f t="shared" si="235"/>
        <v>233280</v>
      </c>
    </row>
    <row r="785" spans="1:58" ht="14.25" x14ac:dyDescent="0.2">
      <c r="A785" s="12">
        <v>20102</v>
      </c>
      <c r="B785" s="13">
        <f t="shared" si="236"/>
        <v>15</v>
      </c>
      <c r="C785" s="15">
        <f t="shared" si="237"/>
        <v>11</v>
      </c>
      <c r="D785" s="14">
        <f t="shared" si="238"/>
        <v>10</v>
      </c>
      <c r="E785" t="s">
        <v>2777</v>
      </c>
      <c r="F785" t="s">
        <v>2835</v>
      </c>
      <c r="G785" t="s">
        <v>2779</v>
      </c>
      <c r="H785" t="s">
        <v>2779</v>
      </c>
      <c r="I785" t="s">
        <v>2780</v>
      </c>
      <c r="J785" s="4" t="s">
        <v>2840</v>
      </c>
      <c r="K785" t="s">
        <v>175</v>
      </c>
      <c r="L785" t="s">
        <v>164</v>
      </c>
      <c r="M785" t="s">
        <v>163</v>
      </c>
      <c r="N785" t="s">
        <v>167</v>
      </c>
      <c r="O785" s="6" t="s">
        <v>1297</v>
      </c>
      <c r="P785">
        <v>0</v>
      </c>
      <c r="Q785" s="24">
        <v>58.2</v>
      </c>
      <c r="R785" s="25">
        <v>79</v>
      </c>
      <c r="S785" s="26">
        <v>54.3</v>
      </c>
      <c r="Y785">
        <v>10</v>
      </c>
      <c r="Z785">
        <v>30</v>
      </c>
      <c r="AA785" s="3">
        <v>25</v>
      </c>
      <c r="AB785" s="3">
        <v>6</v>
      </c>
      <c r="AC785">
        <v>155</v>
      </c>
      <c r="AD785" s="9">
        <f t="shared" si="221"/>
        <v>5258.666666666667</v>
      </c>
      <c r="AE785">
        <f t="shared" si="228"/>
        <v>2555730</v>
      </c>
      <c r="AF785" s="2">
        <f t="shared" si="232"/>
        <v>40.5</v>
      </c>
      <c r="AG785" t="str">
        <f t="shared" si="222"/>
        <v>87小时</v>
      </c>
      <c r="AH785">
        <f t="shared" si="223"/>
        <v>122</v>
      </c>
      <c r="AI785">
        <f t="shared" si="224"/>
        <v>21</v>
      </c>
      <c r="AJ785">
        <f t="shared" si="229"/>
        <v>69.300000000000011</v>
      </c>
      <c r="AK785">
        <f t="shared" si="225"/>
        <v>35</v>
      </c>
      <c r="AL785">
        <f t="shared" si="230"/>
        <v>40.5</v>
      </c>
      <c r="AM785" s="2">
        <f t="shared" si="226"/>
        <v>21</v>
      </c>
      <c r="AX785">
        <v>782</v>
      </c>
      <c r="AZ785" s="3"/>
      <c r="BB785" s="2">
        <f t="shared" si="227"/>
        <v>195</v>
      </c>
      <c r="BC785">
        <f t="shared" si="231"/>
        <v>19.06224279835391</v>
      </c>
      <c r="BD785" s="2">
        <f t="shared" si="233"/>
        <v>69.300000000000011</v>
      </c>
      <c r="BE785">
        <f t="shared" si="234"/>
        <v>40.5</v>
      </c>
      <c r="BF785">
        <f t="shared" si="235"/>
        <v>233280</v>
      </c>
    </row>
    <row r="786" spans="1:58" ht="14.25" x14ac:dyDescent="0.2">
      <c r="A786" s="12">
        <v>20103</v>
      </c>
      <c r="B786" s="13">
        <f t="shared" si="236"/>
        <v>15</v>
      </c>
      <c r="C786" s="15">
        <f t="shared" si="237"/>
        <v>11</v>
      </c>
      <c r="D786" s="14">
        <f t="shared" si="238"/>
        <v>10</v>
      </c>
      <c r="E786" t="s">
        <v>2777</v>
      </c>
      <c r="F786" t="s">
        <v>2836</v>
      </c>
      <c r="G786" t="s">
        <v>2779</v>
      </c>
      <c r="H786" t="s">
        <v>2779</v>
      </c>
      <c r="I786" t="s">
        <v>2780</v>
      </c>
      <c r="J786" s="4" t="s">
        <v>2840</v>
      </c>
      <c r="K786" t="s">
        <v>179</v>
      </c>
      <c r="L786" t="s">
        <v>163</v>
      </c>
      <c r="M786" t="s">
        <v>163</v>
      </c>
      <c r="N786" t="s">
        <v>163</v>
      </c>
      <c r="O786" s="6" t="s">
        <v>1299</v>
      </c>
      <c r="P786">
        <v>0</v>
      </c>
      <c r="Q786" s="24">
        <v>58.2</v>
      </c>
      <c r="R786" s="25">
        <v>79</v>
      </c>
      <c r="S786" s="26">
        <v>54.3</v>
      </c>
      <c r="Y786">
        <v>10</v>
      </c>
      <c r="Z786">
        <v>30</v>
      </c>
      <c r="AA786" s="3">
        <v>25</v>
      </c>
      <c r="AB786" s="3">
        <v>6</v>
      </c>
      <c r="AC786">
        <v>155</v>
      </c>
      <c r="AD786" s="9">
        <f t="shared" si="221"/>
        <v>5258.666666666667</v>
      </c>
      <c r="AE786">
        <f t="shared" si="228"/>
        <v>2555730</v>
      </c>
      <c r="AF786" s="2">
        <f t="shared" si="232"/>
        <v>40.5</v>
      </c>
      <c r="AG786" t="str">
        <f t="shared" si="222"/>
        <v>87小时</v>
      </c>
      <c r="AH786">
        <f t="shared" si="223"/>
        <v>122</v>
      </c>
      <c r="AI786">
        <f t="shared" si="224"/>
        <v>21</v>
      </c>
      <c r="AJ786">
        <f t="shared" si="229"/>
        <v>69.300000000000011</v>
      </c>
      <c r="AK786">
        <f t="shared" si="225"/>
        <v>35</v>
      </c>
      <c r="AL786">
        <f t="shared" si="230"/>
        <v>40.5</v>
      </c>
      <c r="AM786" s="2">
        <f t="shared" si="226"/>
        <v>21</v>
      </c>
      <c r="AX786">
        <v>783</v>
      </c>
      <c r="AZ786" s="3"/>
      <c r="BB786" s="2">
        <f t="shared" si="227"/>
        <v>195</v>
      </c>
      <c r="BC786">
        <f t="shared" si="231"/>
        <v>19.06224279835391</v>
      </c>
      <c r="BD786" s="2">
        <f t="shared" si="233"/>
        <v>69.300000000000011</v>
      </c>
      <c r="BE786">
        <f t="shared" si="234"/>
        <v>40.5</v>
      </c>
      <c r="BF786">
        <f t="shared" si="235"/>
        <v>233280</v>
      </c>
    </row>
    <row r="787" spans="1:58" ht="14.25" x14ac:dyDescent="0.2">
      <c r="A787" s="12">
        <v>20104</v>
      </c>
      <c r="B787" s="13">
        <f t="shared" si="236"/>
        <v>15</v>
      </c>
      <c r="C787" s="15">
        <f t="shared" si="237"/>
        <v>11</v>
      </c>
      <c r="D787" s="14">
        <f t="shared" si="238"/>
        <v>10</v>
      </c>
      <c r="E787" t="s">
        <v>2777</v>
      </c>
      <c r="F787" t="s">
        <v>2837</v>
      </c>
      <c r="G787" t="s">
        <v>2779</v>
      </c>
      <c r="H787" t="s">
        <v>2779</v>
      </c>
      <c r="I787" t="s">
        <v>2780</v>
      </c>
      <c r="J787" s="4" t="s">
        <v>2840</v>
      </c>
      <c r="K787" t="s">
        <v>177</v>
      </c>
      <c r="L787" t="s">
        <v>163</v>
      </c>
      <c r="M787" t="s">
        <v>163</v>
      </c>
      <c r="N787" t="s">
        <v>163</v>
      </c>
      <c r="O787" s="6" t="s">
        <v>1299</v>
      </c>
      <c r="P787">
        <v>0</v>
      </c>
      <c r="Q787" s="24">
        <v>58.2</v>
      </c>
      <c r="R787" s="25">
        <v>79</v>
      </c>
      <c r="S787" s="26">
        <v>54.3</v>
      </c>
      <c r="Y787">
        <v>10</v>
      </c>
      <c r="Z787">
        <v>30</v>
      </c>
      <c r="AA787" s="3">
        <v>25</v>
      </c>
      <c r="AB787" s="3">
        <v>6</v>
      </c>
      <c r="AC787">
        <v>155</v>
      </c>
      <c r="AD787" s="9">
        <f t="shared" si="221"/>
        <v>5258.666666666667</v>
      </c>
      <c r="AE787">
        <f t="shared" si="228"/>
        <v>2555730</v>
      </c>
      <c r="AF787" s="2">
        <f t="shared" si="232"/>
        <v>40.5</v>
      </c>
      <c r="AG787" t="str">
        <f t="shared" si="222"/>
        <v>87小时</v>
      </c>
      <c r="AH787">
        <f t="shared" si="223"/>
        <v>122</v>
      </c>
      <c r="AI787">
        <f t="shared" si="224"/>
        <v>21</v>
      </c>
      <c r="AJ787">
        <f t="shared" si="229"/>
        <v>69.300000000000011</v>
      </c>
      <c r="AK787">
        <f t="shared" si="225"/>
        <v>35</v>
      </c>
      <c r="AL787">
        <f t="shared" si="230"/>
        <v>40.5</v>
      </c>
      <c r="AM787" s="2">
        <f t="shared" si="226"/>
        <v>21</v>
      </c>
      <c r="AX787">
        <v>784</v>
      </c>
      <c r="AZ787" s="3"/>
      <c r="BB787" s="2">
        <f t="shared" si="227"/>
        <v>195</v>
      </c>
      <c r="BC787">
        <f t="shared" si="231"/>
        <v>19.06224279835391</v>
      </c>
      <c r="BD787" s="2">
        <f t="shared" si="233"/>
        <v>69.300000000000011</v>
      </c>
      <c r="BE787">
        <f t="shared" si="234"/>
        <v>40.5</v>
      </c>
      <c r="BF787">
        <f t="shared" si="235"/>
        <v>233280</v>
      </c>
    </row>
    <row r="788" spans="1:58" ht="14.25" x14ac:dyDescent="0.2">
      <c r="A788" s="12">
        <v>20105</v>
      </c>
      <c r="B788" s="13">
        <f t="shared" si="236"/>
        <v>15</v>
      </c>
      <c r="C788" s="15">
        <f t="shared" si="237"/>
        <v>11</v>
      </c>
      <c r="D788" s="14">
        <f t="shared" si="238"/>
        <v>10</v>
      </c>
      <c r="E788" t="s">
        <v>2785</v>
      </c>
      <c r="F788" t="s">
        <v>2786</v>
      </c>
      <c r="G788" t="s">
        <v>2830</v>
      </c>
      <c r="H788" t="s">
        <v>2829</v>
      </c>
      <c r="I788" t="s">
        <v>2697</v>
      </c>
      <c r="J788" s="4" t="s">
        <v>2860</v>
      </c>
      <c r="K788" t="s">
        <v>174</v>
      </c>
      <c r="L788" t="s">
        <v>163</v>
      </c>
      <c r="M788" t="s">
        <v>163</v>
      </c>
      <c r="N788" t="s">
        <v>163</v>
      </c>
      <c r="O788" s="6" t="s">
        <v>1301</v>
      </c>
      <c r="P788">
        <v>0</v>
      </c>
      <c r="Q788" s="24">
        <v>58.2</v>
      </c>
      <c r="R788" s="25">
        <v>79</v>
      </c>
      <c r="S788" s="26">
        <v>54.3</v>
      </c>
      <c r="Y788">
        <v>10</v>
      </c>
      <c r="Z788">
        <v>30</v>
      </c>
      <c r="AA788" s="3">
        <v>25</v>
      </c>
      <c r="AB788" s="3">
        <v>6</v>
      </c>
      <c r="AC788">
        <v>155</v>
      </c>
      <c r="AD788" s="9">
        <f t="shared" si="221"/>
        <v>5258.666666666667</v>
      </c>
      <c r="AE788">
        <f t="shared" si="228"/>
        <v>2555730</v>
      </c>
      <c r="AF788" s="2">
        <f t="shared" si="232"/>
        <v>40.5</v>
      </c>
      <c r="AG788" t="str">
        <f t="shared" si="222"/>
        <v>87小时</v>
      </c>
      <c r="AH788">
        <f t="shared" si="223"/>
        <v>122</v>
      </c>
      <c r="AI788">
        <f t="shared" si="224"/>
        <v>21</v>
      </c>
      <c r="AJ788">
        <f t="shared" si="229"/>
        <v>69.300000000000011</v>
      </c>
      <c r="AK788">
        <f t="shared" si="225"/>
        <v>35</v>
      </c>
      <c r="AL788">
        <f t="shared" si="230"/>
        <v>40.5</v>
      </c>
      <c r="AM788" s="2">
        <f t="shared" si="226"/>
        <v>21</v>
      </c>
      <c r="AX788">
        <v>785</v>
      </c>
      <c r="AZ788" s="3"/>
      <c r="BB788" s="2">
        <f t="shared" si="227"/>
        <v>195</v>
      </c>
      <c r="BC788">
        <f t="shared" si="231"/>
        <v>19.06224279835391</v>
      </c>
      <c r="BD788" s="2">
        <f t="shared" si="233"/>
        <v>69.300000000000011</v>
      </c>
      <c r="BE788">
        <f t="shared" si="234"/>
        <v>40.5</v>
      </c>
      <c r="BF788">
        <f t="shared" si="235"/>
        <v>233280</v>
      </c>
    </row>
    <row r="789" spans="1:58" ht="14.25" x14ac:dyDescent="0.2">
      <c r="A789" s="12">
        <v>20106</v>
      </c>
      <c r="B789" s="13">
        <f t="shared" si="236"/>
        <v>15</v>
      </c>
      <c r="C789" s="15">
        <f t="shared" si="237"/>
        <v>11</v>
      </c>
      <c r="D789" s="14">
        <f t="shared" si="238"/>
        <v>10</v>
      </c>
      <c r="E789" t="s">
        <v>2777</v>
      </c>
      <c r="F789" t="s">
        <v>2834</v>
      </c>
      <c r="G789" t="s">
        <v>2779</v>
      </c>
      <c r="H789" t="s">
        <v>2779</v>
      </c>
      <c r="I789" t="s">
        <v>2780</v>
      </c>
      <c r="J789" s="4" t="s">
        <v>2840</v>
      </c>
      <c r="K789" t="s">
        <v>182</v>
      </c>
      <c r="L789" t="s">
        <v>163</v>
      </c>
      <c r="M789" t="s">
        <v>163</v>
      </c>
      <c r="N789" t="s">
        <v>163</v>
      </c>
      <c r="O789" s="6" t="s">
        <v>1303</v>
      </c>
      <c r="P789">
        <v>0</v>
      </c>
      <c r="Q789" s="24">
        <v>58.5</v>
      </c>
      <c r="R789" s="25">
        <v>79.5</v>
      </c>
      <c r="S789" s="26">
        <v>54.5</v>
      </c>
      <c r="Y789">
        <v>10</v>
      </c>
      <c r="Z789">
        <v>30</v>
      </c>
      <c r="AA789" s="3">
        <v>25</v>
      </c>
      <c r="AB789" s="3">
        <v>6</v>
      </c>
      <c r="AC789">
        <v>155</v>
      </c>
      <c r="AD789" s="9">
        <f t="shared" si="221"/>
        <v>5232.833333333333</v>
      </c>
      <c r="AE789">
        <f t="shared" si="228"/>
        <v>2555730</v>
      </c>
      <c r="AF789" s="2">
        <f t="shared" si="232"/>
        <v>40.700000000000003</v>
      </c>
      <c r="AG789" t="str">
        <f t="shared" si="222"/>
        <v>87小时</v>
      </c>
      <c r="AH789">
        <f t="shared" si="223"/>
        <v>123</v>
      </c>
      <c r="AI789">
        <f t="shared" si="224"/>
        <v>21</v>
      </c>
      <c r="AJ789">
        <f t="shared" si="229"/>
        <v>69.599999999999994</v>
      </c>
      <c r="AK789">
        <f t="shared" si="225"/>
        <v>35</v>
      </c>
      <c r="AL789">
        <f t="shared" si="230"/>
        <v>40.700000000000003</v>
      </c>
      <c r="AM789" s="2">
        <f t="shared" si="226"/>
        <v>21</v>
      </c>
      <c r="AX789">
        <v>786</v>
      </c>
      <c r="AZ789" s="3"/>
      <c r="BB789" s="2">
        <f t="shared" si="227"/>
        <v>195</v>
      </c>
      <c r="BC789">
        <f t="shared" si="231"/>
        <v>18.968570843570845</v>
      </c>
      <c r="BD789" s="2">
        <f t="shared" si="233"/>
        <v>69.599999999999994</v>
      </c>
      <c r="BE789">
        <f t="shared" si="234"/>
        <v>40.700000000000003</v>
      </c>
      <c r="BF789">
        <f t="shared" si="235"/>
        <v>234432</v>
      </c>
    </row>
    <row r="790" spans="1:58" ht="14.25" x14ac:dyDescent="0.2">
      <c r="A790" s="12">
        <v>20107</v>
      </c>
      <c r="B790" s="13">
        <f t="shared" si="236"/>
        <v>15</v>
      </c>
      <c r="C790" s="15">
        <f t="shared" si="237"/>
        <v>11</v>
      </c>
      <c r="D790" s="14">
        <f t="shared" si="238"/>
        <v>10</v>
      </c>
      <c r="E790" t="s">
        <v>2777</v>
      </c>
      <c r="F790" t="s">
        <v>2835</v>
      </c>
      <c r="G790" t="s">
        <v>2779</v>
      </c>
      <c r="H790" t="s">
        <v>2779</v>
      </c>
      <c r="I790" t="s">
        <v>2780</v>
      </c>
      <c r="J790" s="4" t="s">
        <v>2840</v>
      </c>
      <c r="K790" t="s">
        <v>162</v>
      </c>
      <c r="L790" t="s">
        <v>163</v>
      </c>
      <c r="M790" t="s">
        <v>163</v>
      </c>
      <c r="N790" t="s">
        <v>163</v>
      </c>
      <c r="O790" s="6" t="s">
        <v>1303</v>
      </c>
      <c r="P790">
        <v>0</v>
      </c>
      <c r="Q790" s="24">
        <v>58.5</v>
      </c>
      <c r="R790" s="25">
        <v>79.5</v>
      </c>
      <c r="S790" s="26">
        <v>54.5</v>
      </c>
      <c r="Y790">
        <v>10</v>
      </c>
      <c r="Z790">
        <v>30</v>
      </c>
      <c r="AA790" s="3">
        <v>25</v>
      </c>
      <c r="AB790" s="3">
        <v>6</v>
      </c>
      <c r="AC790">
        <v>155</v>
      </c>
      <c r="AD790" s="9">
        <f t="shared" si="221"/>
        <v>5232.833333333333</v>
      </c>
      <c r="AE790">
        <f t="shared" si="228"/>
        <v>2555730</v>
      </c>
      <c r="AF790" s="2">
        <f t="shared" si="232"/>
        <v>40.700000000000003</v>
      </c>
      <c r="AG790" t="str">
        <f t="shared" si="222"/>
        <v>87小时</v>
      </c>
      <c r="AH790">
        <f t="shared" si="223"/>
        <v>123</v>
      </c>
      <c r="AI790">
        <f t="shared" si="224"/>
        <v>21</v>
      </c>
      <c r="AJ790">
        <f t="shared" si="229"/>
        <v>69.599999999999994</v>
      </c>
      <c r="AK790">
        <f t="shared" si="225"/>
        <v>35</v>
      </c>
      <c r="AL790">
        <f t="shared" si="230"/>
        <v>40.700000000000003</v>
      </c>
      <c r="AM790" s="2">
        <f t="shared" si="226"/>
        <v>21</v>
      </c>
      <c r="AX790">
        <v>787</v>
      </c>
      <c r="AZ790" s="3"/>
      <c r="BB790" s="2">
        <f t="shared" si="227"/>
        <v>195</v>
      </c>
      <c r="BC790">
        <f t="shared" si="231"/>
        <v>18.968570843570845</v>
      </c>
      <c r="BD790" s="2">
        <f t="shared" si="233"/>
        <v>69.599999999999994</v>
      </c>
      <c r="BE790">
        <f t="shared" si="234"/>
        <v>40.700000000000003</v>
      </c>
      <c r="BF790">
        <f t="shared" si="235"/>
        <v>234432</v>
      </c>
    </row>
    <row r="791" spans="1:58" ht="14.25" x14ac:dyDescent="0.2">
      <c r="A791" s="12">
        <v>20108</v>
      </c>
      <c r="B791" s="13">
        <f t="shared" si="236"/>
        <v>15</v>
      </c>
      <c r="C791" s="15">
        <f t="shared" si="237"/>
        <v>11</v>
      </c>
      <c r="D791" s="14">
        <f t="shared" si="238"/>
        <v>10</v>
      </c>
      <c r="E791" t="s">
        <v>2777</v>
      </c>
      <c r="F791" t="s">
        <v>2836</v>
      </c>
      <c r="G791" t="s">
        <v>2779</v>
      </c>
      <c r="H791" t="s">
        <v>2779</v>
      </c>
      <c r="I791" t="s">
        <v>2780</v>
      </c>
      <c r="J791" s="4" t="s">
        <v>2840</v>
      </c>
      <c r="K791" t="s">
        <v>177</v>
      </c>
      <c r="L791" t="s">
        <v>163</v>
      </c>
      <c r="M791" t="s">
        <v>163</v>
      </c>
      <c r="N791" t="s">
        <v>163</v>
      </c>
      <c r="O791" s="6" t="s">
        <v>1305</v>
      </c>
      <c r="P791">
        <v>0</v>
      </c>
      <c r="Q791" s="24">
        <v>58.5</v>
      </c>
      <c r="R791" s="25">
        <v>79.5</v>
      </c>
      <c r="S791" s="26">
        <v>54.5</v>
      </c>
      <c r="Y791">
        <v>10</v>
      </c>
      <c r="Z791">
        <v>30</v>
      </c>
      <c r="AA791" s="3">
        <v>25</v>
      </c>
      <c r="AB791" s="3">
        <v>6</v>
      </c>
      <c r="AC791">
        <v>155</v>
      </c>
      <c r="AD791" s="9">
        <f t="shared" si="221"/>
        <v>5232.833333333333</v>
      </c>
      <c r="AE791">
        <f t="shared" si="228"/>
        <v>2555730</v>
      </c>
      <c r="AF791" s="2">
        <f t="shared" si="232"/>
        <v>40.700000000000003</v>
      </c>
      <c r="AG791" t="str">
        <f t="shared" si="222"/>
        <v>87小时</v>
      </c>
      <c r="AH791">
        <f t="shared" si="223"/>
        <v>123</v>
      </c>
      <c r="AI791">
        <f t="shared" si="224"/>
        <v>21</v>
      </c>
      <c r="AJ791">
        <f t="shared" si="229"/>
        <v>69.599999999999994</v>
      </c>
      <c r="AK791">
        <f t="shared" si="225"/>
        <v>35</v>
      </c>
      <c r="AL791">
        <f t="shared" si="230"/>
        <v>40.700000000000003</v>
      </c>
      <c r="AM791" s="2">
        <f t="shared" si="226"/>
        <v>21</v>
      </c>
      <c r="AX791">
        <v>788</v>
      </c>
      <c r="AZ791" s="3"/>
      <c r="BB791" s="2">
        <f t="shared" si="227"/>
        <v>195</v>
      </c>
      <c r="BC791">
        <f t="shared" si="231"/>
        <v>18.968570843570845</v>
      </c>
      <c r="BD791" s="2">
        <f t="shared" si="233"/>
        <v>69.599999999999994</v>
      </c>
      <c r="BE791">
        <f t="shared" si="234"/>
        <v>40.700000000000003</v>
      </c>
      <c r="BF791">
        <f t="shared" si="235"/>
        <v>234432</v>
      </c>
    </row>
    <row r="792" spans="1:58" ht="14.25" x14ac:dyDescent="0.2">
      <c r="A792" s="12">
        <v>20109</v>
      </c>
      <c r="B792" s="13">
        <f t="shared" si="236"/>
        <v>15</v>
      </c>
      <c r="C792" s="15">
        <f t="shared" si="237"/>
        <v>11</v>
      </c>
      <c r="D792" s="14">
        <f t="shared" si="238"/>
        <v>10</v>
      </c>
      <c r="E792" t="s">
        <v>2777</v>
      </c>
      <c r="F792" t="s">
        <v>2837</v>
      </c>
      <c r="G792" t="s">
        <v>2779</v>
      </c>
      <c r="H792" t="s">
        <v>2779</v>
      </c>
      <c r="I792" t="s">
        <v>2780</v>
      </c>
      <c r="J792" s="4" t="s">
        <v>2840</v>
      </c>
      <c r="K792" t="s">
        <v>174</v>
      </c>
      <c r="L792" t="s">
        <v>163</v>
      </c>
      <c r="M792" t="s">
        <v>163</v>
      </c>
      <c r="N792" t="s">
        <v>163</v>
      </c>
      <c r="O792" s="6" t="s">
        <v>1307</v>
      </c>
      <c r="P792">
        <v>0</v>
      </c>
      <c r="Q792" s="24">
        <v>58.5</v>
      </c>
      <c r="R792" s="25">
        <v>79.5</v>
      </c>
      <c r="S792" s="26">
        <v>54.5</v>
      </c>
      <c r="Y792">
        <v>10</v>
      </c>
      <c r="Z792">
        <v>30</v>
      </c>
      <c r="AA792" s="3">
        <v>25</v>
      </c>
      <c r="AB792" s="3">
        <v>6</v>
      </c>
      <c r="AC792">
        <v>155</v>
      </c>
      <c r="AD792" s="9">
        <f t="shared" si="221"/>
        <v>5232.833333333333</v>
      </c>
      <c r="AE792">
        <f t="shared" si="228"/>
        <v>2555730</v>
      </c>
      <c r="AF792" s="2">
        <f t="shared" si="232"/>
        <v>40.700000000000003</v>
      </c>
      <c r="AG792" t="str">
        <f t="shared" si="222"/>
        <v>87小时</v>
      </c>
      <c r="AH792">
        <f t="shared" si="223"/>
        <v>123</v>
      </c>
      <c r="AI792">
        <f t="shared" si="224"/>
        <v>21</v>
      </c>
      <c r="AJ792">
        <f t="shared" si="229"/>
        <v>69.599999999999994</v>
      </c>
      <c r="AK792">
        <f t="shared" si="225"/>
        <v>35</v>
      </c>
      <c r="AL792">
        <f t="shared" si="230"/>
        <v>40.700000000000003</v>
      </c>
      <c r="AM792" s="2">
        <f t="shared" si="226"/>
        <v>21</v>
      </c>
      <c r="AX792">
        <v>789</v>
      </c>
      <c r="AZ792" s="3"/>
      <c r="BB792" s="2">
        <f t="shared" si="227"/>
        <v>195</v>
      </c>
      <c r="BC792">
        <f t="shared" si="231"/>
        <v>18.968570843570845</v>
      </c>
      <c r="BD792" s="2">
        <f t="shared" si="233"/>
        <v>69.599999999999994</v>
      </c>
      <c r="BE792">
        <f t="shared" si="234"/>
        <v>40.700000000000003</v>
      </c>
      <c r="BF792">
        <f t="shared" si="235"/>
        <v>234432</v>
      </c>
    </row>
    <row r="793" spans="1:58" ht="14.25" x14ac:dyDescent="0.2">
      <c r="A793" s="12">
        <v>20110</v>
      </c>
      <c r="B793" s="13">
        <f t="shared" si="236"/>
        <v>15</v>
      </c>
      <c r="C793" s="15">
        <f t="shared" si="237"/>
        <v>11</v>
      </c>
      <c r="D793" s="14">
        <f t="shared" si="238"/>
        <v>10</v>
      </c>
      <c r="E793" t="s">
        <v>2785</v>
      </c>
      <c r="F793" t="s">
        <v>2786</v>
      </c>
      <c r="G793" t="s">
        <v>2831</v>
      </c>
      <c r="H793" t="s">
        <v>2829</v>
      </c>
      <c r="I793" t="s">
        <v>2697</v>
      </c>
      <c r="J793" s="4" t="s">
        <v>2860</v>
      </c>
      <c r="K793" t="s">
        <v>166</v>
      </c>
      <c r="L793" t="s">
        <v>163</v>
      </c>
      <c r="M793" t="s">
        <v>163</v>
      </c>
      <c r="N793" t="s">
        <v>163</v>
      </c>
      <c r="O793" s="6" t="s">
        <v>1307</v>
      </c>
      <c r="P793">
        <v>0</v>
      </c>
      <c r="Q793" s="24">
        <v>58.5</v>
      </c>
      <c r="R793" s="25">
        <v>79.5</v>
      </c>
      <c r="S793" s="26">
        <v>54.5</v>
      </c>
      <c r="Y793">
        <v>10</v>
      </c>
      <c r="Z793">
        <v>30</v>
      </c>
      <c r="AA793" s="3">
        <v>25</v>
      </c>
      <c r="AB793" s="3">
        <v>6</v>
      </c>
      <c r="AC793">
        <v>155</v>
      </c>
      <c r="AD793" s="9">
        <f t="shared" si="221"/>
        <v>5232.833333333333</v>
      </c>
      <c r="AE793">
        <f t="shared" si="228"/>
        <v>2555730</v>
      </c>
      <c r="AF793" s="2">
        <f t="shared" si="232"/>
        <v>40.700000000000003</v>
      </c>
      <c r="AG793" t="str">
        <f t="shared" si="222"/>
        <v>87小时</v>
      </c>
      <c r="AH793">
        <f t="shared" si="223"/>
        <v>123</v>
      </c>
      <c r="AI793">
        <f t="shared" si="224"/>
        <v>21</v>
      </c>
      <c r="AJ793">
        <f t="shared" si="229"/>
        <v>69.599999999999994</v>
      </c>
      <c r="AK793">
        <f t="shared" si="225"/>
        <v>35</v>
      </c>
      <c r="AL793">
        <f t="shared" si="230"/>
        <v>40.700000000000003</v>
      </c>
      <c r="AM793" s="2">
        <f t="shared" si="226"/>
        <v>21</v>
      </c>
      <c r="AX793">
        <v>790</v>
      </c>
      <c r="AZ793" s="3"/>
      <c r="BB793" s="2">
        <f t="shared" si="227"/>
        <v>200</v>
      </c>
      <c r="BC793">
        <f t="shared" si="231"/>
        <v>22.588042588042587</v>
      </c>
      <c r="BD793" s="2">
        <f t="shared" si="233"/>
        <v>69.599999999999994</v>
      </c>
      <c r="BE793">
        <f t="shared" si="234"/>
        <v>40.700000000000003</v>
      </c>
      <c r="BF793">
        <f t="shared" si="235"/>
        <v>234432</v>
      </c>
    </row>
    <row r="794" spans="1:58" ht="14.25" x14ac:dyDescent="0.2">
      <c r="A794" s="12">
        <v>20111</v>
      </c>
      <c r="B794" s="13">
        <f t="shared" si="236"/>
        <v>15</v>
      </c>
      <c r="C794" s="15">
        <f t="shared" si="237"/>
        <v>11</v>
      </c>
      <c r="D794" s="14">
        <f t="shared" si="238"/>
        <v>10</v>
      </c>
      <c r="E794" t="s">
        <v>2777</v>
      </c>
      <c r="F794" t="s">
        <v>2834</v>
      </c>
      <c r="G794" t="s">
        <v>2779</v>
      </c>
      <c r="H794" t="s">
        <v>2779</v>
      </c>
      <c r="I794" t="s">
        <v>2780</v>
      </c>
      <c r="J794" s="4" t="s">
        <v>2840</v>
      </c>
      <c r="K794" t="s">
        <v>168</v>
      </c>
      <c r="L794" t="s">
        <v>163</v>
      </c>
      <c r="M794" t="s">
        <v>163</v>
      </c>
      <c r="N794" t="s">
        <v>163</v>
      </c>
      <c r="O794" s="6" t="s">
        <v>1309</v>
      </c>
      <c r="P794">
        <v>0</v>
      </c>
      <c r="Q794" s="24">
        <v>58.8</v>
      </c>
      <c r="R794" s="25">
        <v>80</v>
      </c>
      <c r="S794" s="26">
        <v>54.8</v>
      </c>
      <c r="Y794">
        <v>10</v>
      </c>
      <c r="Z794">
        <v>30</v>
      </c>
      <c r="AA794" s="3">
        <v>25</v>
      </c>
      <c r="AB794" s="3">
        <v>6</v>
      </c>
      <c r="AC794">
        <v>155</v>
      </c>
      <c r="AD794" s="9">
        <f t="shared" si="221"/>
        <v>5194.5</v>
      </c>
      <c r="AE794">
        <f t="shared" si="228"/>
        <v>2555730</v>
      </c>
      <c r="AF794" s="2">
        <f t="shared" si="232"/>
        <v>41</v>
      </c>
      <c r="AG794" t="str">
        <f t="shared" si="222"/>
        <v>86小时</v>
      </c>
      <c r="AH794">
        <f t="shared" si="223"/>
        <v>123</v>
      </c>
      <c r="AI794">
        <f t="shared" si="224"/>
        <v>21</v>
      </c>
      <c r="AJ794">
        <f t="shared" si="229"/>
        <v>70</v>
      </c>
      <c r="AK794">
        <f t="shared" si="225"/>
        <v>35</v>
      </c>
      <c r="AL794">
        <f t="shared" si="230"/>
        <v>41</v>
      </c>
      <c r="AM794" s="2">
        <f t="shared" si="226"/>
        <v>21</v>
      </c>
      <c r="AX794">
        <v>791</v>
      </c>
      <c r="AZ794" s="3"/>
      <c r="BB794" s="2">
        <f t="shared" si="227"/>
        <v>200</v>
      </c>
      <c r="BC794">
        <f t="shared" si="231"/>
        <v>22.422764227642276</v>
      </c>
      <c r="BD794" s="2">
        <f t="shared" si="233"/>
        <v>70</v>
      </c>
      <c r="BE794">
        <f t="shared" si="234"/>
        <v>41</v>
      </c>
      <c r="BF794">
        <f t="shared" si="235"/>
        <v>236160</v>
      </c>
    </row>
    <row r="795" spans="1:58" ht="14.25" x14ac:dyDescent="0.2">
      <c r="A795" s="12">
        <v>20112</v>
      </c>
      <c r="B795" s="13">
        <f t="shared" si="236"/>
        <v>15</v>
      </c>
      <c r="C795" s="15">
        <f t="shared" si="237"/>
        <v>11</v>
      </c>
      <c r="D795" s="14">
        <f t="shared" si="238"/>
        <v>10</v>
      </c>
      <c r="E795" t="s">
        <v>2777</v>
      </c>
      <c r="F795" t="s">
        <v>2835</v>
      </c>
      <c r="G795" t="s">
        <v>2779</v>
      </c>
      <c r="H795" t="s">
        <v>2779</v>
      </c>
      <c r="I795" t="s">
        <v>2780</v>
      </c>
      <c r="J795" s="4" t="s">
        <v>2840</v>
      </c>
      <c r="K795" t="s">
        <v>175</v>
      </c>
      <c r="L795" t="s">
        <v>164</v>
      </c>
      <c r="M795" t="s">
        <v>163</v>
      </c>
      <c r="N795" t="s">
        <v>167</v>
      </c>
      <c r="O795" s="6" t="s">
        <v>1311</v>
      </c>
      <c r="P795">
        <v>0</v>
      </c>
      <c r="Q795" s="24">
        <v>58.8</v>
      </c>
      <c r="R795" s="25">
        <v>80</v>
      </c>
      <c r="S795" s="26">
        <v>54.8</v>
      </c>
      <c r="Y795">
        <v>10</v>
      </c>
      <c r="Z795">
        <v>30</v>
      </c>
      <c r="AA795" s="3">
        <v>25</v>
      </c>
      <c r="AB795" s="3">
        <v>6</v>
      </c>
      <c r="AC795">
        <v>155</v>
      </c>
      <c r="AD795" s="9">
        <f t="shared" si="221"/>
        <v>5194.5</v>
      </c>
      <c r="AE795">
        <f t="shared" si="228"/>
        <v>2555730</v>
      </c>
      <c r="AF795" s="2">
        <f t="shared" si="232"/>
        <v>41</v>
      </c>
      <c r="AG795" t="str">
        <f t="shared" si="222"/>
        <v>86小时</v>
      </c>
      <c r="AH795">
        <f t="shared" si="223"/>
        <v>123</v>
      </c>
      <c r="AI795">
        <f t="shared" si="224"/>
        <v>21</v>
      </c>
      <c r="AJ795">
        <f t="shared" si="229"/>
        <v>70</v>
      </c>
      <c r="AK795">
        <f t="shared" si="225"/>
        <v>35</v>
      </c>
      <c r="AL795">
        <f t="shared" si="230"/>
        <v>41</v>
      </c>
      <c r="AM795" s="2">
        <f t="shared" si="226"/>
        <v>21</v>
      </c>
      <c r="AX795">
        <v>792</v>
      </c>
      <c r="AZ795" s="3"/>
      <c r="BB795" s="2">
        <f t="shared" si="227"/>
        <v>200</v>
      </c>
      <c r="BC795">
        <f t="shared" si="231"/>
        <v>22.422764227642276</v>
      </c>
      <c r="BD795" s="2">
        <f t="shared" si="233"/>
        <v>70</v>
      </c>
      <c r="BE795">
        <f t="shared" si="234"/>
        <v>41</v>
      </c>
      <c r="BF795">
        <f t="shared" si="235"/>
        <v>236160</v>
      </c>
    </row>
    <row r="796" spans="1:58" ht="14.25" x14ac:dyDescent="0.2">
      <c r="A796" s="12">
        <v>20113</v>
      </c>
      <c r="B796" s="13">
        <f t="shared" si="236"/>
        <v>16</v>
      </c>
      <c r="C796" s="15">
        <f t="shared" si="237"/>
        <v>11</v>
      </c>
      <c r="D796" s="14">
        <f t="shared" si="238"/>
        <v>10</v>
      </c>
      <c r="E796" t="s">
        <v>2777</v>
      </c>
      <c r="F796" t="s">
        <v>2836</v>
      </c>
      <c r="G796" t="s">
        <v>2779</v>
      </c>
      <c r="H796" t="s">
        <v>2779</v>
      </c>
      <c r="I796" t="s">
        <v>2780</v>
      </c>
      <c r="J796" s="4" t="s">
        <v>2840</v>
      </c>
      <c r="K796" t="s">
        <v>179</v>
      </c>
      <c r="L796" t="s">
        <v>163</v>
      </c>
      <c r="M796" t="s">
        <v>163</v>
      </c>
      <c r="N796" t="s">
        <v>163</v>
      </c>
      <c r="O796" s="6" t="s">
        <v>1313</v>
      </c>
      <c r="P796">
        <v>0</v>
      </c>
      <c r="Q796" s="24">
        <v>58.8</v>
      </c>
      <c r="R796" s="25">
        <v>80</v>
      </c>
      <c r="S796" s="26">
        <v>54.8</v>
      </c>
      <c r="Y796">
        <v>10</v>
      </c>
      <c r="Z796">
        <v>30</v>
      </c>
      <c r="AA796" s="3">
        <v>25</v>
      </c>
      <c r="AB796" s="3">
        <v>6</v>
      </c>
      <c r="AC796">
        <v>155</v>
      </c>
      <c r="AD796" s="9">
        <f t="shared" si="221"/>
        <v>5194.5</v>
      </c>
      <c r="AE796">
        <f t="shared" si="228"/>
        <v>2555730</v>
      </c>
      <c r="AF796" s="2">
        <f t="shared" si="232"/>
        <v>41</v>
      </c>
      <c r="AG796" t="str">
        <f t="shared" si="222"/>
        <v>86小时</v>
      </c>
      <c r="AH796">
        <f t="shared" si="223"/>
        <v>123</v>
      </c>
      <c r="AI796">
        <f t="shared" si="224"/>
        <v>21</v>
      </c>
      <c r="AJ796">
        <f t="shared" si="229"/>
        <v>70</v>
      </c>
      <c r="AK796">
        <f t="shared" si="225"/>
        <v>35</v>
      </c>
      <c r="AL796">
        <f t="shared" si="230"/>
        <v>41</v>
      </c>
      <c r="AM796" s="2">
        <f t="shared" si="226"/>
        <v>21</v>
      </c>
      <c r="AX796">
        <v>793</v>
      </c>
      <c r="AZ796" s="3"/>
      <c r="BB796" s="2">
        <f t="shared" si="227"/>
        <v>200</v>
      </c>
      <c r="BC796">
        <f t="shared" si="231"/>
        <v>22.422764227642276</v>
      </c>
      <c r="BD796" s="2">
        <f t="shared" si="233"/>
        <v>70</v>
      </c>
      <c r="BE796">
        <f t="shared" si="234"/>
        <v>41</v>
      </c>
      <c r="BF796">
        <f t="shared" si="235"/>
        <v>236160</v>
      </c>
    </row>
    <row r="797" spans="1:58" ht="14.25" x14ac:dyDescent="0.2">
      <c r="A797" s="12">
        <v>20114</v>
      </c>
      <c r="B797" s="13">
        <f t="shared" si="236"/>
        <v>16</v>
      </c>
      <c r="C797" s="15">
        <f t="shared" si="237"/>
        <v>11</v>
      </c>
      <c r="D797" s="14">
        <f t="shared" si="238"/>
        <v>10</v>
      </c>
      <c r="E797" t="s">
        <v>2777</v>
      </c>
      <c r="F797" t="s">
        <v>2837</v>
      </c>
      <c r="G797" t="s">
        <v>2779</v>
      </c>
      <c r="H797" t="s">
        <v>2779</v>
      </c>
      <c r="I797" t="s">
        <v>2780</v>
      </c>
      <c r="J797" s="4" t="s">
        <v>2840</v>
      </c>
      <c r="K797" t="s">
        <v>177</v>
      </c>
      <c r="L797" t="s">
        <v>163</v>
      </c>
      <c r="M797" t="s">
        <v>163</v>
      </c>
      <c r="N797" t="s">
        <v>163</v>
      </c>
      <c r="O797" s="6" t="s">
        <v>1313</v>
      </c>
      <c r="P797">
        <v>0</v>
      </c>
      <c r="Q797" s="24">
        <v>58.8</v>
      </c>
      <c r="R797" s="25">
        <v>80</v>
      </c>
      <c r="S797" s="26">
        <v>54.8</v>
      </c>
      <c r="Y797">
        <v>10</v>
      </c>
      <c r="Z797">
        <v>30</v>
      </c>
      <c r="AA797" s="3">
        <v>25</v>
      </c>
      <c r="AB797" s="3">
        <v>6</v>
      </c>
      <c r="AC797">
        <v>155</v>
      </c>
      <c r="AD797" s="9">
        <f t="shared" si="221"/>
        <v>5194.5</v>
      </c>
      <c r="AE797">
        <f t="shared" si="228"/>
        <v>2555730</v>
      </c>
      <c r="AF797" s="2">
        <f t="shared" si="232"/>
        <v>41</v>
      </c>
      <c r="AG797" t="str">
        <f t="shared" si="222"/>
        <v>86小时</v>
      </c>
      <c r="AH797">
        <f t="shared" si="223"/>
        <v>123</v>
      </c>
      <c r="AI797">
        <f t="shared" si="224"/>
        <v>21</v>
      </c>
      <c r="AJ797">
        <f t="shared" si="229"/>
        <v>70</v>
      </c>
      <c r="AK797">
        <f t="shared" si="225"/>
        <v>35</v>
      </c>
      <c r="AL797">
        <f t="shared" si="230"/>
        <v>41</v>
      </c>
      <c r="AM797" s="2">
        <f t="shared" si="226"/>
        <v>21</v>
      </c>
      <c r="AX797">
        <v>794</v>
      </c>
      <c r="AZ797" s="3"/>
      <c r="BB797" s="2">
        <f t="shared" si="227"/>
        <v>200</v>
      </c>
      <c r="BC797">
        <f t="shared" si="231"/>
        <v>22.422764227642276</v>
      </c>
      <c r="BD797" s="2">
        <f t="shared" si="233"/>
        <v>70</v>
      </c>
      <c r="BE797">
        <f t="shared" si="234"/>
        <v>41</v>
      </c>
      <c r="BF797">
        <f t="shared" si="235"/>
        <v>236160</v>
      </c>
    </row>
    <row r="798" spans="1:58" ht="14.25" x14ac:dyDescent="0.2">
      <c r="A798" s="12">
        <v>20115</v>
      </c>
      <c r="B798" s="13">
        <f t="shared" si="236"/>
        <v>16</v>
      </c>
      <c r="C798" s="15">
        <f t="shared" si="237"/>
        <v>11</v>
      </c>
      <c r="D798" s="14">
        <f t="shared" si="238"/>
        <v>10</v>
      </c>
      <c r="E798" t="s">
        <v>2785</v>
      </c>
      <c r="F798" t="s">
        <v>2786</v>
      </c>
      <c r="G798" t="s">
        <v>2832</v>
      </c>
      <c r="H798" t="s">
        <v>2829</v>
      </c>
      <c r="I798" t="s">
        <v>2697</v>
      </c>
      <c r="J798" s="4" t="s">
        <v>2860</v>
      </c>
      <c r="K798" t="s">
        <v>174</v>
      </c>
      <c r="L798" t="s">
        <v>163</v>
      </c>
      <c r="M798" t="s">
        <v>163</v>
      </c>
      <c r="N798" t="s">
        <v>163</v>
      </c>
      <c r="O798" s="6" t="s">
        <v>1315</v>
      </c>
      <c r="P798">
        <v>0</v>
      </c>
      <c r="Q798" s="24">
        <v>58.8</v>
      </c>
      <c r="R798" s="25">
        <v>80</v>
      </c>
      <c r="S798" s="26">
        <v>54.8</v>
      </c>
      <c r="Y798">
        <v>10</v>
      </c>
      <c r="Z798">
        <v>30</v>
      </c>
      <c r="AA798" s="3">
        <v>25</v>
      </c>
      <c r="AB798" s="3">
        <v>6</v>
      </c>
      <c r="AC798">
        <v>155</v>
      </c>
      <c r="AD798" s="9">
        <f t="shared" si="221"/>
        <v>5194.5</v>
      </c>
      <c r="AE798">
        <f t="shared" si="228"/>
        <v>2555730</v>
      </c>
      <c r="AF798" s="2">
        <f t="shared" si="232"/>
        <v>41</v>
      </c>
      <c r="AG798" t="str">
        <f t="shared" si="222"/>
        <v>86小时</v>
      </c>
      <c r="AH798">
        <f t="shared" si="223"/>
        <v>123</v>
      </c>
      <c r="AI798">
        <f t="shared" si="224"/>
        <v>21</v>
      </c>
      <c r="AJ798">
        <f t="shared" si="229"/>
        <v>70</v>
      </c>
      <c r="AK798">
        <f t="shared" si="225"/>
        <v>35</v>
      </c>
      <c r="AL798">
        <f t="shared" si="230"/>
        <v>41</v>
      </c>
      <c r="AM798" s="2">
        <f t="shared" si="226"/>
        <v>21</v>
      </c>
      <c r="AX798">
        <v>795</v>
      </c>
      <c r="AZ798" s="3"/>
      <c r="BB798" s="2">
        <f t="shared" si="227"/>
        <v>200</v>
      </c>
      <c r="BC798">
        <f t="shared" si="231"/>
        <v>22.422764227642276</v>
      </c>
      <c r="BD798" s="2">
        <f t="shared" si="233"/>
        <v>70</v>
      </c>
      <c r="BE798">
        <f t="shared" si="234"/>
        <v>41</v>
      </c>
      <c r="BF798">
        <f t="shared" si="235"/>
        <v>236160</v>
      </c>
    </row>
    <row r="799" spans="1:58" ht="14.25" x14ac:dyDescent="0.2">
      <c r="A799" s="12">
        <v>20116</v>
      </c>
      <c r="B799" s="13">
        <f t="shared" si="236"/>
        <v>16</v>
      </c>
      <c r="C799" s="15">
        <f t="shared" si="237"/>
        <v>11</v>
      </c>
      <c r="D799" s="14">
        <f t="shared" si="238"/>
        <v>10</v>
      </c>
      <c r="E799" t="s">
        <v>2777</v>
      </c>
      <c r="F799" t="s">
        <v>2834</v>
      </c>
      <c r="G799" t="s">
        <v>2779</v>
      </c>
      <c r="H799" t="s">
        <v>2779</v>
      </c>
      <c r="I799" t="s">
        <v>2780</v>
      </c>
      <c r="J799" s="4" t="s">
        <v>2840</v>
      </c>
      <c r="K799" t="s">
        <v>182</v>
      </c>
      <c r="L799" t="s">
        <v>163</v>
      </c>
      <c r="M799" t="s">
        <v>163</v>
      </c>
      <c r="N799" t="s">
        <v>163</v>
      </c>
      <c r="O799" s="6" t="s">
        <v>1317</v>
      </c>
      <c r="P799">
        <v>0</v>
      </c>
      <c r="Q799" s="24">
        <v>59.2</v>
      </c>
      <c r="R799" s="25">
        <v>80.5</v>
      </c>
      <c r="S799" s="26">
        <v>55</v>
      </c>
      <c r="Y799">
        <v>10</v>
      </c>
      <c r="Z799">
        <v>30</v>
      </c>
      <c r="AA799" s="3">
        <v>25</v>
      </c>
      <c r="AB799" s="3">
        <v>6</v>
      </c>
      <c r="AC799">
        <v>155</v>
      </c>
      <c r="AD799" s="9">
        <f t="shared" si="221"/>
        <v>5169.333333333333</v>
      </c>
      <c r="AE799">
        <f t="shared" si="228"/>
        <v>2555730</v>
      </c>
      <c r="AF799" s="2">
        <f t="shared" si="232"/>
        <v>41.2</v>
      </c>
      <c r="AG799" t="str">
        <f t="shared" si="222"/>
        <v>86小时</v>
      </c>
      <c r="AH799">
        <f t="shared" si="223"/>
        <v>124</v>
      </c>
      <c r="AI799">
        <f t="shared" si="224"/>
        <v>21</v>
      </c>
      <c r="AJ799">
        <f t="shared" si="229"/>
        <v>70.3</v>
      </c>
      <c r="AK799">
        <f t="shared" si="225"/>
        <v>36</v>
      </c>
      <c r="AL799">
        <f t="shared" si="230"/>
        <v>41.2</v>
      </c>
      <c r="AM799" s="2">
        <f t="shared" si="226"/>
        <v>21</v>
      </c>
      <c r="AX799">
        <v>796</v>
      </c>
      <c r="AZ799" s="3"/>
      <c r="BB799" s="2">
        <f t="shared" si="227"/>
        <v>200</v>
      </c>
      <c r="BC799">
        <f t="shared" si="231"/>
        <v>22.313915857605178</v>
      </c>
      <c r="BD799" s="2">
        <f t="shared" si="233"/>
        <v>70.3</v>
      </c>
      <c r="BE799">
        <f t="shared" si="234"/>
        <v>41.2</v>
      </c>
      <c r="BF799">
        <f t="shared" si="235"/>
        <v>237312</v>
      </c>
    </row>
    <row r="800" spans="1:58" ht="14.25" x14ac:dyDescent="0.2">
      <c r="A800" s="12">
        <v>20117</v>
      </c>
      <c r="B800" s="13">
        <f t="shared" si="236"/>
        <v>16</v>
      </c>
      <c r="C800" s="15">
        <f t="shared" si="237"/>
        <v>11</v>
      </c>
      <c r="D800" s="14">
        <f t="shared" si="238"/>
        <v>10</v>
      </c>
      <c r="E800" t="s">
        <v>2777</v>
      </c>
      <c r="F800" t="s">
        <v>2835</v>
      </c>
      <c r="G800" t="s">
        <v>2779</v>
      </c>
      <c r="H800" t="s">
        <v>2779</v>
      </c>
      <c r="I800" t="s">
        <v>2780</v>
      </c>
      <c r="J800" s="4" t="s">
        <v>2840</v>
      </c>
      <c r="K800" t="s">
        <v>162</v>
      </c>
      <c r="L800" t="s">
        <v>163</v>
      </c>
      <c r="M800" t="s">
        <v>163</v>
      </c>
      <c r="N800" t="s">
        <v>163</v>
      </c>
      <c r="O800" s="6" t="s">
        <v>1317</v>
      </c>
      <c r="P800">
        <v>0</v>
      </c>
      <c r="Q800" s="24">
        <v>59.2</v>
      </c>
      <c r="R800" s="25">
        <v>80.5</v>
      </c>
      <c r="S800" s="26">
        <v>55</v>
      </c>
      <c r="Y800">
        <v>10</v>
      </c>
      <c r="Z800">
        <v>30</v>
      </c>
      <c r="AA800" s="3">
        <v>25</v>
      </c>
      <c r="AB800" s="3">
        <v>6</v>
      </c>
      <c r="AC800">
        <v>155</v>
      </c>
      <c r="AD800" s="9">
        <f t="shared" si="221"/>
        <v>5169.333333333333</v>
      </c>
      <c r="AE800">
        <f t="shared" si="228"/>
        <v>2555730</v>
      </c>
      <c r="AF800" s="2">
        <f t="shared" si="232"/>
        <v>41.2</v>
      </c>
      <c r="AG800" t="str">
        <f t="shared" si="222"/>
        <v>86小时</v>
      </c>
      <c r="AH800">
        <f t="shared" si="223"/>
        <v>124</v>
      </c>
      <c r="AI800">
        <f t="shared" si="224"/>
        <v>21</v>
      </c>
      <c r="AJ800">
        <f t="shared" si="229"/>
        <v>70.3</v>
      </c>
      <c r="AK800">
        <f t="shared" si="225"/>
        <v>36</v>
      </c>
      <c r="AL800">
        <f t="shared" si="230"/>
        <v>41.2</v>
      </c>
      <c r="AM800" s="2">
        <f t="shared" si="226"/>
        <v>21</v>
      </c>
      <c r="AX800">
        <v>797</v>
      </c>
      <c r="AZ800" s="3"/>
      <c r="BB800" s="2">
        <f t="shared" si="227"/>
        <v>200</v>
      </c>
      <c r="BC800">
        <f t="shared" si="231"/>
        <v>22.313915857605178</v>
      </c>
      <c r="BD800" s="2">
        <f t="shared" si="233"/>
        <v>70.3</v>
      </c>
      <c r="BE800">
        <f t="shared" si="234"/>
        <v>41.2</v>
      </c>
      <c r="BF800">
        <f t="shared" si="235"/>
        <v>237312</v>
      </c>
    </row>
    <row r="801" spans="1:58" ht="14.25" x14ac:dyDescent="0.2">
      <c r="A801" s="12">
        <v>20118</v>
      </c>
      <c r="B801" s="13">
        <f t="shared" si="236"/>
        <v>16</v>
      </c>
      <c r="C801" s="15">
        <f t="shared" si="237"/>
        <v>11</v>
      </c>
      <c r="D801" s="14">
        <f t="shared" si="238"/>
        <v>11</v>
      </c>
      <c r="E801" t="s">
        <v>2777</v>
      </c>
      <c r="F801" t="s">
        <v>2836</v>
      </c>
      <c r="G801" t="s">
        <v>2779</v>
      </c>
      <c r="H801" t="s">
        <v>2779</v>
      </c>
      <c r="I801" t="s">
        <v>2780</v>
      </c>
      <c r="J801" s="4" t="s">
        <v>2840</v>
      </c>
      <c r="K801" t="s">
        <v>177</v>
      </c>
      <c r="L801" t="s">
        <v>163</v>
      </c>
      <c r="M801" t="s">
        <v>163</v>
      </c>
      <c r="N801" t="s">
        <v>163</v>
      </c>
      <c r="O801" s="6" t="s">
        <v>1319</v>
      </c>
      <c r="P801">
        <v>0</v>
      </c>
      <c r="Q801" s="24">
        <v>59.2</v>
      </c>
      <c r="R801" s="25">
        <v>80.5</v>
      </c>
      <c r="S801" s="26">
        <v>55</v>
      </c>
      <c r="Y801">
        <v>10</v>
      </c>
      <c r="Z801">
        <v>30</v>
      </c>
      <c r="AA801" s="3">
        <v>25</v>
      </c>
      <c r="AB801" s="3">
        <v>6</v>
      </c>
      <c r="AC801">
        <v>155</v>
      </c>
      <c r="AD801" s="9">
        <f t="shared" si="221"/>
        <v>5169.333333333333</v>
      </c>
      <c r="AE801">
        <f t="shared" si="228"/>
        <v>2555730</v>
      </c>
      <c r="AF801" s="2">
        <f t="shared" si="232"/>
        <v>41.2</v>
      </c>
      <c r="AG801" t="str">
        <f t="shared" si="222"/>
        <v>86小时</v>
      </c>
      <c r="AH801">
        <f t="shared" si="223"/>
        <v>124</v>
      </c>
      <c r="AI801">
        <f t="shared" si="224"/>
        <v>21</v>
      </c>
      <c r="AJ801">
        <f t="shared" si="229"/>
        <v>70.3</v>
      </c>
      <c r="AK801">
        <f t="shared" si="225"/>
        <v>36</v>
      </c>
      <c r="AL801">
        <f t="shared" si="230"/>
        <v>41.2</v>
      </c>
      <c r="AM801" s="2">
        <f t="shared" si="226"/>
        <v>21</v>
      </c>
      <c r="AX801">
        <v>798</v>
      </c>
      <c r="AZ801" s="3"/>
      <c r="BB801" s="2">
        <f t="shared" si="227"/>
        <v>200</v>
      </c>
      <c r="BC801">
        <f t="shared" si="231"/>
        <v>22.313915857605178</v>
      </c>
      <c r="BD801" s="2">
        <f t="shared" si="233"/>
        <v>70.3</v>
      </c>
      <c r="BE801">
        <f t="shared" si="234"/>
        <v>41.2</v>
      </c>
      <c r="BF801">
        <f t="shared" si="235"/>
        <v>237312</v>
      </c>
    </row>
    <row r="802" spans="1:58" ht="14.25" x14ac:dyDescent="0.2">
      <c r="A802" s="12">
        <v>20119</v>
      </c>
      <c r="B802" s="13">
        <f t="shared" si="236"/>
        <v>16</v>
      </c>
      <c r="C802" s="15">
        <f t="shared" si="237"/>
        <v>11</v>
      </c>
      <c r="D802" s="14">
        <f t="shared" si="238"/>
        <v>11</v>
      </c>
      <c r="E802" t="s">
        <v>2777</v>
      </c>
      <c r="F802" t="s">
        <v>2837</v>
      </c>
      <c r="G802" t="s">
        <v>2779</v>
      </c>
      <c r="H802" t="s">
        <v>2779</v>
      </c>
      <c r="I802" t="s">
        <v>2780</v>
      </c>
      <c r="J802" s="4" t="s">
        <v>2840</v>
      </c>
      <c r="K802" t="s">
        <v>174</v>
      </c>
      <c r="L802" t="s">
        <v>163</v>
      </c>
      <c r="M802" t="s">
        <v>163</v>
      </c>
      <c r="N802" t="s">
        <v>163</v>
      </c>
      <c r="O802" s="6" t="s">
        <v>1321</v>
      </c>
      <c r="P802">
        <v>0</v>
      </c>
      <c r="Q802" s="24">
        <v>59.2</v>
      </c>
      <c r="R802" s="25">
        <v>80.5</v>
      </c>
      <c r="S802" s="26">
        <v>55</v>
      </c>
      <c r="Y802">
        <v>10</v>
      </c>
      <c r="Z802">
        <v>30</v>
      </c>
      <c r="AA802" s="3">
        <v>25</v>
      </c>
      <c r="AB802" s="3">
        <v>6</v>
      </c>
      <c r="AC802">
        <v>155</v>
      </c>
      <c r="AD802" s="9">
        <f t="shared" si="221"/>
        <v>5169.333333333333</v>
      </c>
      <c r="AE802">
        <f t="shared" si="228"/>
        <v>2555730</v>
      </c>
      <c r="AF802" s="2">
        <f t="shared" si="232"/>
        <v>41.2</v>
      </c>
      <c r="AG802" t="str">
        <f t="shared" si="222"/>
        <v>86小时</v>
      </c>
      <c r="AH802">
        <f t="shared" si="223"/>
        <v>124</v>
      </c>
      <c r="AI802">
        <f t="shared" si="224"/>
        <v>21</v>
      </c>
      <c r="AJ802">
        <f t="shared" si="229"/>
        <v>70.3</v>
      </c>
      <c r="AK802">
        <f t="shared" si="225"/>
        <v>36</v>
      </c>
      <c r="AL802">
        <f t="shared" si="230"/>
        <v>41.2</v>
      </c>
      <c r="AM802" s="2">
        <f t="shared" si="226"/>
        <v>21</v>
      </c>
      <c r="AX802">
        <v>799</v>
      </c>
      <c r="AZ802" s="3"/>
      <c r="BB802" s="2">
        <f t="shared" si="227"/>
        <v>200</v>
      </c>
      <c r="BC802">
        <f t="shared" si="231"/>
        <v>22.313915857605178</v>
      </c>
      <c r="BD802" s="2">
        <f t="shared" si="233"/>
        <v>70.3</v>
      </c>
      <c r="BE802">
        <f t="shared" si="234"/>
        <v>41.2</v>
      </c>
      <c r="BF802">
        <f t="shared" si="235"/>
        <v>237312</v>
      </c>
    </row>
    <row r="803" spans="1:58" ht="14.25" x14ac:dyDescent="0.2">
      <c r="A803" s="12">
        <v>20120</v>
      </c>
      <c r="B803" s="13">
        <f t="shared" si="236"/>
        <v>16</v>
      </c>
      <c r="C803" s="15">
        <f t="shared" si="237"/>
        <v>11</v>
      </c>
      <c r="D803" s="14">
        <f t="shared" si="238"/>
        <v>11</v>
      </c>
      <c r="E803" t="s">
        <v>2785</v>
      </c>
      <c r="F803" t="s">
        <v>2786</v>
      </c>
      <c r="G803" t="s">
        <v>2833</v>
      </c>
      <c r="H803" t="s">
        <v>2829</v>
      </c>
      <c r="I803" t="s">
        <v>2697</v>
      </c>
      <c r="J803" s="4" t="s">
        <v>2878</v>
      </c>
      <c r="K803" t="s">
        <v>166</v>
      </c>
      <c r="L803" t="s">
        <v>163</v>
      </c>
      <c r="M803" t="s">
        <v>163</v>
      </c>
      <c r="N803" t="s">
        <v>163</v>
      </c>
      <c r="O803" s="6" t="s">
        <v>1321</v>
      </c>
      <c r="P803">
        <v>0</v>
      </c>
      <c r="Q803" s="24">
        <v>59.2</v>
      </c>
      <c r="R803" s="25">
        <v>80.5</v>
      </c>
      <c r="S803" s="26">
        <v>55</v>
      </c>
      <c r="Y803">
        <v>10</v>
      </c>
      <c r="Z803">
        <v>30</v>
      </c>
      <c r="AA803" s="3">
        <v>25</v>
      </c>
      <c r="AB803" s="3">
        <v>6</v>
      </c>
      <c r="AC803">
        <v>155</v>
      </c>
      <c r="AD803" s="9">
        <f t="shared" si="221"/>
        <v>5169.333333333333</v>
      </c>
      <c r="AE803">
        <f t="shared" si="228"/>
        <v>2555730</v>
      </c>
      <c r="AF803" s="2">
        <f t="shared" si="232"/>
        <v>41.2</v>
      </c>
      <c r="AG803" t="str">
        <f t="shared" si="222"/>
        <v>86小时</v>
      </c>
      <c r="AH803">
        <f t="shared" si="223"/>
        <v>124</v>
      </c>
      <c r="AI803">
        <f t="shared" si="224"/>
        <v>21</v>
      </c>
      <c r="AJ803">
        <f t="shared" si="229"/>
        <v>70.3</v>
      </c>
      <c r="AK803">
        <f t="shared" si="225"/>
        <v>36</v>
      </c>
      <c r="AL803">
        <f t="shared" si="230"/>
        <v>41.2</v>
      </c>
      <c r="AM803" s="2">
        <f t="shared" si="226"/>
        <v>21</v>
      </c>
      <c r="AX803">
        <v>800</v>
      </c>
      <c r="AZ803" s="3"/>
      <c r="BB803" s="2">
        <f t="shared" si="227"/>
        <v>200</v>
      </c>
      <c r="BC803">
        <f t="shared" si="231"/>
        <v>22.313915857605178</v>
      </c>
      <c r="BD803" s="2">
        <f t="shared" si="233"/>
        <v>70.3</v>
      </c>
      <c r="BE803">
        <f t="shared" si="234"/>
        <v>41.2</v>
      </c>
      <c r="BF803">
        <f t="shared" si="235"/>
        <v>237312</v>
      </c>
    </row>
    <row r="804" spans="1:58" ht="14.25" x14ac:dyDescent="0.2">
      <c r="A804" s="12">
        <v>20121</v>
      </c>
      <c r="B804" s="13">
        <f t="shared" si="236"/>
        <v>16</v>
      </c>
      <c r="C804" s="15">
        <f t="shared" si="237"/>
        <v>11</v>
      </c>
      <c r="D804" s="14">
        <f t="shared" si="238"/>
        <v>11</v>
      </c>
      <c r="E804" t="s">
        <v>2777</v>
      </c>
      <c r="F804" t="s">
        <v>2834</v>
      </c>
      <c r="G804" t="s">
        <v>2779</v>
      </c>
      <c r="H804" t="s">
        <v>2779</v>
      </c>
      <c r="I804" t="s">
        <v>2780</v>
      </c>
      <c r="J804" s="4" t="s">
        <v>2840</v>
      </c>
      <c r="K804" t="s">
        <v>168</v>
      </c>
      <c r="L804" t="s">
        <v>163</v>
      </c>
      <c r="M804" t="s">
        <v>163</v>
      </c>
      <c r="N804" t="s">
        <v>163</v>
      </c>
      <c r="O804" s="6" t="s">
        <v>1323</v>
      </c>
      <c r="P804">
        <v>0</v>
      </c>
      <c r="Q804" s="24">
        <v>59.5</v>
      </c>
      <c r="R804" s="25">
        <v>81</v>
      </c>
      <c r="S804" s="26">
        <v>55.3</v>
      </c>
      <c r="Y804">
        <v>10</v>
      </c>
      <c r="Z804">
        <v>30</v>
      </c>
      <c r="AA804" s="3">
        <v>25</v>
      </c>
      <c r="AB804" s="3">
        <v>6</v>
      </c>
      <c r="AC804">
        <v>155</v>
      </c>
      <c r="AD804" s="9">
        <f t="shared" si="221"/>
        <v>5131.916666666667</v>
      </c>
      <c r="AE804">
        <f t="shared" si="228"/>
        <v>2555730</v>
      </c>
      <c r="AF804" s="2">
        <f t="shared" si="232"/>
        <v>41.5</v>
      </c>
      <c r="AG804" t="str">
        <f t="shared" si="222"/>
        <v>85小时</v>
      </c>
      <c r="AH804">
        <f t="shared" si="223"/>
        <v>125</v>
      </c>
      <c r="AI804">
        <f t="shared" si="224"/>
        <v>21</v>
      </c>
      <c r="AJ804">
        <f t="shared" si="229"/>
        <v>70.800000000000011</v>
      </c>
      <c r="AK804">
        <f t="shared" si="225"/>
        <v>36</v>
      </c>
      <c r="AL804">
        <f t="shared" si="230"/>
        <v>41.5</v>
      </c>
      <c r="AM804" s="2">
        <f t="shared" si="226"/>
        <v>21</v>
      </c>
      <c r="AX804">
        <v>801</v>
      </c>
      <c r="AZ804" s="3"/>
      <c r="BB804" s="2">
        <f t="shared" si="227"/>
        <v>200</v>
      </c>
      <c r="BC804">
        <f t="shared" si="231"/>
        <v>22.152610441767067</v>
      </c>
      <c r="BD804" s="2">
        <f t="shared" si="233"/>
        <v>70.800000000000011</v>
      </c>
      <c r="BE804">
        <f t="shared" si="234"/>
        <v>41.5</v>
      </c>
      <c r="BF804">
        <f t="shared" si="235"/>
        <v>239040</v>
      </c>
    </row>
    <row r="805" spans="1:58" ht="14.25" x14ac:dyDescent="0.2">
      <c r="A805" s="12">
        <v>20122</v>
      </c>
      <c r="B805" s="13">
        <f t="shared" si="236"/>
        <v>16</v>
      </c>
      <c r="C805" s="15">
        <f t="shared" si="237"/>
        <v>11</v>
      </c>
      <c r="D805" s="14">
        <f t="shared" si="238"/>
        <v>11</v>
      </c>
      <c r="E805" t="s">
        <v>2777</v>
      </c>
      <c r="F805" t="s">
        <v>2835</v>
      </c>
      <c r="G805" t="s">
        <v>2779</v>
      </c>
      <c r="H805" t="s">
        <v>2779</v>
      </c>
      <c r="I805" t="s">
        <v>2780</v>
      </c>
      <c r="J805" s="4" t="s">
        <v>2840</v>
      </c>
      <c r="K805" t="s">
        <v>175</v>
      </c>
      <c r="L805" t="s">
        <v>164</v>
      </c>
      <c r="M805" t="s">
        <v>163</v>
      </c>
      <c r="N805" t="s">
        <v>167</v>
      </c>
      <c r="O805" s="6" t="s">
        <v>1325</v>
      </c>
      <c r="P805">
        <v>0</v>
      </c>
      <c r="Q805" s="24">
        <v>59.5</v>
      </c>
      <c r="R805" s="25">
        <v>81</v>
      </c>
      <c r="S805" s="26">
        <v>55.3</v>
      </c>
      <c r="Y805">
        <v>10</v>
      </c>
      <c r="Z805">
        <v>30</v>
      </c>
      <c r="AA805" s="3">
        <v>25</v>
      </c>
      <c r="AB805" s="3">
        <v>6</v>
      </c>
      <c r="AC805">
        <v>155</v>
      </c>
      <c r="AD805" s="9">
        <f t="shared" si="221"/>
        <v>5131.916666666667</v>
      </c>
      <c r="AE805">
        <f t="shared" si="228"/>
        <v>2555730</v>
      </c>
      <c r="AF805" s="2">
        <f t="shared" si="232"/>
        <v>41.5</v>
      </c>
      <c r="AG805" t="str">
        <f t="shared" si="222"/>
        <v>85小时</v>
      </c>
      <c r="AH805">
        <f t="shared" si="223"/>
        <v>125</v>
      </c>
      <c r="AI805">
        <f t="shared" si="224"/>
        <v>21</v>
      </c>
      <c r="AJ805">
        <f t="shared" si="229"/>
        <v>70.800000000000011</v>
      </c>
      <c r="AK805">
        <f t="shared" si="225"/>
        <v>36</v>
      </c>
      <c r="AL805">
        <f t="shared" si="230"/>
        <v>41.5</v>
      </c>
      <c r="AM805" s="2">
        <f t="shared" si="226"/>
        <v>21</v>
      </c>
      <c r="AX805">
        <v>802</v>
      </c>
      <c r="AZ805" s="3"/>
      <c r="BB805" s="2">
        <f t="shared" si="227"/>
        <v>200</v>
      </c>
      <c r="BC805">
        <f t="shared" si="231"/>
        <v>22.152610441767067</v>
      </c>
      <c r="BD805" s="2">
        <f t="shared" si="233"/>
        <v>70.800000000000011</v>
      </c>
      <c r="BE805">
        <f t="shared" si="234"/>
        <v>41.5</v>
      </c>
      <c r="BF805">
        <f t="shared" si="235"/>
        <v>239040</v>
      </c>
    </row>
    <row r="806" spans="1:58" ht="14.25" x14ac:dyDescent="0.2">
      <c r="A806" s="12">
        <v>20123</v>
      </c>
      <c r="B806" s="13">
        <f t="shared" si="236"/>
        <v>16</v>
      </c>
      <c r="C806" s="15">
        <f t="shared" si="237"/>
        <v>11</v>
      </c>
      <c r="D806" s="14">
        <f t="shared" si="238"/>
        <v>11</v>
      </c>
      <c r="E806" t="s">
        <v>2777</v>
      </c>
      <c r="F806" t="s">
        <v>2836</v>
      </c>
      <c r="G806" t="s">
        <v>2779</v>
      </c>
      <c r="H806" t="s">
        <v>2779</v>
      </c>
      <c r="I806" t="s">
        <v>2780</v>
      </c>
      <c r="J806" s="4" t="s">
        <v>2840</v>
      </c>
      <c r="K806" t="s">
        <v>179</v>
      </c>
      <c r="L806" t="s">
        <v>163</v>
      </c>
      <c r="M806" t="s">
        <v>163</v>
      </c>
      <c r="N806" t="s">
        <v>163</v>
      </c>
      <c r="O806" s="6" t="s">
        <v>1327</v>
      </c>
      <c r="P806">
        <v>0</v>
      </c>
      <c r="Q806" s="24">
        <v>59.5</v>
      </c>
      <c r="R806" s="25">
        <v>81</v>
      </c>
      <c r="S806" s="26">
        <v>55.3</v>
      </c>
      <c r="Y806">
        <v>10</v>
      </c>
      <c r="Z806">
        <v>30</v>
      </c>
      <c r="AA806" s="3">
        <v>25</v>
      </c>
      <c r="AB806" s="3">
        <v>6</v>
      </c>
      <c r="AC806">
        <v>155</v>
      </c>
      <c r="AD806" s="9">
        <f t="shared" si="221"/>
        <v>5131.916666666667</v>
      </c>
      <c r="AE806">
        <f t="shared" si="228"/>
        <v>2555730</v>
      </c>
      <c r="AF806" s="2">
        <f t="shared" si="232"/>
        <v>41.5</v>
      </c>
      <c r="AG806" t="str">
        <f t="shared" si="222"/>
        <v>85小时</v>
      </c>
      <c r="AH806">
        <f t="shared" si="223"/>
        <v>125</v>
      </c>
      <c r="AI806">
        <f t="shared" si="224"/>
        <v>21</v>
      </c>
      <c r="AJ806">
        <f t="shared" si="229"/>
        <v>70.800000000000011</v>
      </c>
      <c r="AK806">
        <f t="shared" si="225"/>
        <v>36</v>
      </c>
      <c r="AL806">
        <f t="shared" si="230"/>
        <v>41.5</v>
      </c>
      <c r="AM806" s="2">
        <f t="shared" si="226"/>
        <v>21</v>
      </c>
      <c r="AX806">
        <v>803</v>
      </c>
      <c r="AZ806" s="3"/>
      <c r="BB806" s="2">
        <f t="shared" si="227"/>
        <v>200</v>
      </c>
      <c r="BC806">
        <f t="shared" si="231"/>
        <v>22.152610441767067</v>
      </c>
      <c r="BD806" s="2">
        <f t="shared" si="233"/>
        <v>70.800000000000011</v>
      </c>
      <c r="BE806">
        <f t="shared" si="234"/>
        <v>41.5</v>
      </c>
      <c r="BF806">
        <f t="shared" si="235"/>
        <v>239040</v>
      </c>
    </row>
    <row r="807" spans="1:58" ht="14.25" x14ac:dyDescent="0.2">
      <c r="A807" s="12">
        <v>20124</v>
      </c>
      <c r="B807" s="13">
        <f t="shared" si="236"/>
        <v>16</v>
      </c>
      <c r="C807" s="15">
        <f t="shared" si="237"/>
        <v>11</v>
      </c>
      <c r="D807" s="14">
        <f t="shared" si="238"/>
        <v>11</v>
      </c>
      <c r="E807" t="s">
        <v>2777</v>
      </c>
      <c r="F807" t="s">
        <v>2837</v>
      </c>
      <c r="G807" t="s">
        <v>2779</v>
      </c>
      <c r="H807" t="s">
        <v>2779</v>
      </c>
      <c r="I807" t="s">
        <v>2780</v>
      </c>
      <c r="J807" s="4" t="s">
        <v>2840</v>
      </c>
      <c r="K807" t="s">
        <v>177</v>
      </c>
      <c r="L807" t="s">
        <v>163</v>
      </c>
      <c r="M807" t="s">
        <v>163</v>
      </c>
      <c r="N807" t="s">
        <v>163</v>
      </c>
      <c r="O807" s="6" t="s">
        <v>1327</v>
      </c>
      <c r="P807">
        <v>0</v>
      </c>
      <c r="Q807" s="24">
        <v>59.5</v>
      </c>
      <c r="R807" s="25">
        <v>81</v>
      </c>
      <c r="S807" s="26">
        <v>55.3</v>
      </c>
      <c r="Y807">
        <v>10</v>
      </c>
      <c r="Z807">
        <v>30</v>
      </c>
      <c r="AA807" s="3">
        <v>25</v>
      </c>
      <c r="AB807" s="3">
        <v>6</v>
      </c>
      <c r="AC807">
        <v>155</v>
      </c>
      <c r="AD807" s="9">
        <f t="shared" si="221"/>
        <v>5131.916666666667</v>
      </c>
      <c r="AE807">
        <f t="shared" si="228"/>
        <v>2555730</v>
      </c>
      <c r="AF807" s="2">
        <f t="shared" si="232"/>
        <v>41.5</v>
      </c>
      <c r="AG807" t="str">
        <f t="shared" si="222"/>
        <v>85小时</v>
      </c>
      <c r="AH807">
        <f t="shared" si="223"/>
        <v>125</v>
      </c>
      <c r="AI807">
        <f t="shared" si="224"/>
        <v>21</v>
      </c>
      <c r="AJ807">
        <f t="shared" si="229"/>
        <v>70.800000000000011</v>
      </c>
      <c r="AK807">
        <f t="shared" si="225"/>
        <v>36</v>
      </c>
      <c r="AL807">
        <f t="shared" si="230"/>
        <v>41.5</v>
      </c>
      <c r="AM807" s="2">
        <f t="shared" si="226"/>
        <v>21</v>
      </c>
      <c r="AX807">
        <v>804</v>
      </c>
      <c r="AZ807" s="3"/>
      <c r="BB807" s="2">
        <f t="shared" si="227"/>
        <v>200</v>
      </c>
      <c r="BC807">
        <f t="shared" si="231"/>
        <v>22.152610441767067</v>
      </c>
      <c r="BD807" s="2">
        <f t="shared" si="233"/>
        <v>70.800000000000011</v>
      </c>
      <c r="BE807">
        <f t="shared" si="234"/>
        <v>41.5</v>
      </c>
      <c r="BF807">
        <f t="shared" si="235"/>
        <v>239040</v>
      </c>
    </row>
    <row r="808" spans="1:58" ht="14.25" x14ac:dyDescent="0.2">
      <c r="A808" s="12">
        <v>20125</v>
      </c>
      <c r="B808" s="13">
        <f t="shared" si="236"/>
        <v>16</v>
      </c>
      <c r="C808" s="15">
        <f t="shared" si="237"/>
        <v>11</v>
      </c>
      <c r="D808" s="14">
        <f t="shared" si="238"/>
        <v>11</v>
      </c>
      <c r="E808" t="s">
        <v>2785</v>
      </c>
      <c r="F808" t="s">
        <v>2786</v>
      </c>
      <c r="G808" t="s">
        <v>2828</v>
      </c>
      <c r="H808" t="s">
        <v>2829</v>
      </c>
      <c r="I808" t="s">
        <v>2697</v>
      </c>
      <c r="J808" s="4" t="s">
        <v>2878</v>
      </c>
      <c r="K808" t="s">
        <v>174</v>
      </c>
      <c r="L808" t="s">
        <v>163</v>
      </c>
      <c r="M808" t="s">
        <v>163</v>
      </c>
      <c r="N808" t="s">
        <v>163</v>
      </c>
      <c r="O808" s="6" t="s">
        <v>1329</v>
      </c>
      <c r="P808">
        <v>0</v>
      </c>
      <c r="Q808" s="24">
        <v>59.5</v>
      </c>
      <c r="R808" s="25">
        <v>81</v>
      </c>
      <c r="S808" s="26">
        <v>55.3</v>
      </c>
      <c r="Y808">
        <v>10</v>
      </c>
      <c r="Z808">
        <v>30</v>
      </c>
      <c r="AA808" s="3">
        <v>25</v>
      </c>
      <c r="AB808" s="3">
        <v>6</v>
      </c>
      <c r="AC808">
        <v>155</v>
      </c>
      <c r="AD808" s="9">
        <f t="shared" si="221"/>
        <v>5131.916666666667</v>
      </c>
      <c r="AE808">
        <f t="shared" si="228"/>
        <v>2555730</v>
      </c>
      <c r="AF808" s="2">
        <f t="shared" si="232"/>
        <v>41.5</v>
      </c>
      <c r="AG808" t="str">
        <f t="shared" si="222"/>
        <v>85小时</v>
      </c>
      <c r="AH808">
        <f t="shared" si="223"/>
        <v>125</v>
      </c>
      <c r="AI808">
        <f t="shared" si="224"/>
        <v>21</v>
      </c>
      <c r="AJ808">
        <f t="shared" si="229"/>
        <v>70.800000000000011</v>
      </c>
      <c r="AK808">
        <f t="shared" si="225"/>
        <v>36</v>
      </c>
      <c r="AL808">
        <f t="shared" si="230"/>
        <v>41.5</v>
      </c>
      <c r="AM808" s="2">
        <f t="shared" si="226"/>
        <v>21</v>
      </c>
      <c r="AX808">
        <v>805</v>
      </c>
      <c r="AZ808" s="3"/>
      <c r="BB808" s="2">
        <f t="shared" si="227"/>
        <v>200</v>
      </c>
      <c r="BC808">
        <f t="shared" si="231"/>
        <v>22.152610441767067</v>
      </c>
      <c r="BD808" s="2">
        <f t="shared" si="233"/>
        <v>70.800000000000011</v>
      </c>
      <c r="BE808">
        <f t="shared" si="234"/>
        <v>41.5</v>
      </c>
      <c r="BF808">
        <f t="shared" si="235"/>
        <v>239040</v>
      </c>
    </row>
    <row r="809" spans="1:58" ht="14.25" x14ac:dyDescent="0.2">
      <c r="A809" s="12">
        <v>20126</v>
      </c>
      <c r="B809" s="13">
        <f t="shared" si="236"/>
        <v>16</v>
      </c>
      <c r="C809" s="15">
        <f t="shared" si="237"/>
        <v>11</v>
      </c>
      <c r="D809" s="14">
        <f t="shared" si="238"/>
        <v>11</v>
      </c>
      <c r="E809" t="s">
        <v>2777</v>
      </c>
      <c r="F809" t="s">
        <v>2834</v>
      </c>
      <c r="G809" t="s">
        <v>2779</v>
      </c>
      <c r="H809" t="s">
        <v>2779</v>
      </c>
      <c r="I809" t="s">
        <v>2780</v>
      </c>
      <c r="J809" s="4" t="s">
        <v>2840</v>
      </c>
      <c r="K809" t="s">
        <v>182</v>
      </c>
      <c r="L809" t="s">
        <v>163</v>
      </c>
      <c r="M809" t="s">
        <v>163</v>
      </c>
      <c r="N809" t="s">
        <v>163</v>
      </c>
      <c r="O809" s="6" t="s">
        <v>1331</v>
      </c>
      <c r="P809">
        <v>0</v>
      </c>
      <c r="Q809" s="24">
        <v>59.8</v>
      </c>
      <c r="R809" s="25">
        <v>81.5</v>
      </c>
      <c r="S809" s="26">
        <v>55.5</v>
      </c>
      <c r="Y809">
        <v>10</v>
      </c>
      <c r="Z809">
        <v>30</v>
      </c>
      <c r="AA809" s="3">
        <v>25</v>
      </c>
      <c r="AB809" s="3">
        <v>6</v>
      </c>
      <c r="AC809">
        <v>155</v>
      </c>
      <c r="AD809" s="9">
        <f t="shared" si="221"/>
        <v>5107.3333333333339</v>
      </c>
      <c r="AE809">
        <f t="shared" si="228"/>
        <v>2555730</v>
      </c>
      <c r="AF809" s="2">
        <f t="shared" si="232"/>
        <v>41.7</v>
      </c>
      <c r="AG809" t="str">
        <f t="shared" si="222"/>
        <v>85小时</v>
      </c>
      <c r="AH809">
        <f t="shared" si="223"/>
        <v>126</v>
      </c>
      <c r="AI809">
        <f t="shared" si="224"/>
        <v>21</v>
      </c>
      <c r="AJ809">
        <f t="shared" si="229"/>
        <v>71.099999999999994</v>
      </c>
      <c r="AK809">
        <f t="shared" si="225"/>
        <v>36</v>
      </c>
      <c r="AL809">
        <f t="shared" si="230"/>
        <v>41.7</v>
      </c>
      <c r="AM809" s="2">
        <f t="shared" si="226"/>
        <v>21</v>
      </c>
      <c r="AX809">
        <v>806</v>
      </c>
      <c r="AZ809" s="3"/>
      <c r="BB809" s="2">
        <f t="shared" si="227"/>
        <v>200</v>
      </c>
      <c r="BC809">
        <f t="shared" si="231"/>
        <v>22.046362909672261</v>
      </c>
      <c r="BD809" s="2">
        <f t="shared" si="233"/>
        <v>71.099999999999994</v>
      </c>
      <c r="BE809">
        <f t="shared" si="234"/>
        <v>41.7</v>
      </c>
      <c r="BF809">
        <f t="shared" si="235"/>
        <v>240192</v>
      </c>
    </row>
    <row r="810" spans="1:58" ht="14.25" x14ac:dyDescent="0.2">
      <c r="A810" s="12">
        <v>20127</v>
      </c>
      <c r="B810" s="13">
        <f t="shared" si="236"/>
        <v>16</v>
      </c>
      <c r="C810" s="15">
        <f t="shared" si="237"/>
        <v>11</v>
      </c>
      <c r="D810" s="14">
        <f t="shared" si="238"/>
        <v>11</v>
      </c>
      <c r="E810" t="s">
        <v>2777</v>
      </c>
      <c r="F810" t="s">
        <v>2835</v>
      </c>
      <c r="G810" t="s">
        <v>2779</v>
      </c>
      <c r="H810" t="s">
        <v>2779</v>
      </c>
      <c r="I810" t="s">
        <v>2780</v>
      </c>
      <c r="J810" s="4" t="s">
        <v>2840</v>
      </c>
      <c r="K810" t="s">
        <v>162</v>
      </c>
      <c r="L810" t="s">
        <v>163</v>
      </c>
      <c r="M810" t="s">
        <v>163</v>
      </c>
      <c r="N810" t="s">
        <v>163</v>
      </c>
      <c r="O810" s="6" t="s">
        <v>1331</v>
      </c>
      <c r="P810">
        <v>0</v>
      </c>
      <c r="Q810" s="24">
        <v>59.8</v>
      </c>
      <c r="R810" s="25">
        <v>81.5</v>
      </c>
      <c r="S810" s="26">
        <v>55.5</v>
      </c>
      <c r="Y810">
        <v>10</v>
      </c>
      <c r="Z810">
        <v>30</v>
      </c>
      <c r="AA810" s="3">
        <v>25</v>
      </c>
      <c r="AB810" s="3">
        <v>6</v>
      </c>
      <c r="AC810">
        <v>155</v>
      </c>
      <c r="AD810" s="9">
        <f t="shared" si="221"/>
        <v>5107.3333333333339</v>
      </c>
      <c r="AE810">
        <f t="shared" si="228"/>
        <v>2555730</v>
      </c>
      <c r="AF810" s="2">
        <f t="shared" si="232"/>
        <v>41.7</v>
      </c>
      <c r="AG810" t="str">
        <f t="shared" si="222"/>
        <v>85小时</v>
      </c>
      <c r="AH810">
        <f t="shared" si="223"/>
        <v>126</v>
      </c>
      <c r="AI810">
        <f t="shared" si="224"/>
        <v>21</v>
      </c>
      <c r="AJ810">
        <f t="shared" si="229"/>
        <v>71.099999999999994</v>
      </c>
      <c r="AK810">
        <f t="shared" si="225"/>
        <v>36</v>
      </c>
      <c r="AL810">
        <f t="shared" si="230"/>
        <v>41.7</v>
      </c>
      <c r="AM810" s="2">
        <f t="shared" si="226"/>
        <v>21</v>
      </c>
      <c r="AX810">
        <v>807</v>
      </c>
      <c r="AZ810" s="3"/>
      <c r="BB810" s="2">
        <f t="shared" si="227"/>
        <v>200</v>
      </c>
      <c r="BC810">
        <f t="shared" si="231"/>
        <v>22.046362909672261</v>
      </c>
      <c r="BD810" s="2">
        <f t="shared" si="233"/>
        <v>71.099999999999994</v>
      </c>
      <c r="BE810">
        <f t="shared" si="234"/>
        <v>41.7</v>
      </c>
      <c r="BF810">
        <f t="shared" si="235"/>
        <v>240192</v>
      </c>
    </row>
    <row r="811" spans="1:58" ht="14.25" x14ac:dyDescent="0.2">
      <c r="A811" s="12">
        <v>20128</v>
      </c>
      <c r="B811" s="13">
        <f t="shared" si="236"/>
        <v>16</v>
      </c>
      <c r="C811" s="15">
        <f t="shared" si="237"/>
        <v>11</v>
      </c>
      <c r="D811" s="14">
        <f t="shared" si="238"/>
        <v>11</v>
      </c>
      <c r="E811" t="s">
        <v>2777</v>
      </c>
      <c r="F811" t="s">
        <v>2836</v>
      </c>
      <c r="G811" t="s">
        <v>2779</v>
      </c>
      <c r="H811" t="s">
        <v>2779</v>
      </c>
      <c r="I811" t="s">
        <v>2780</v>
      </c>
      <c r="J811" s="4" t="s">
        <v>2840</v>
      </c>
      <c r="K811" t="s">
        <v>177</v>
      </c>
      <c r="L811" t="s">
        <v>163</v>
      </c>
      <c r="M811" t="s">
        <v>163</v>
      </c>
      <c r="N811" t="s">
        <v>163</v>
      </c>
      <c r="O811" s="6" t="s">
        <v>1333</v>
      </c>
      <c r="P811">
        <v>0</v>
      </c>
      <c r="Q811" s="24">
        <v>59.8</v>
      </c>
      <c r="R811" s="25">
        <v>81.5</v>
      </c>
      <c r="S811" s="26">
        <v>55.5</v>
      </c>
      <c r="Y811">
        <v>10</v>
      </c>
      <c r="Z811">
        <v>30</v>
      </c>
      <c r="AA811" s="3">
        <v>25</v>
      </c>
      <c r="AB811" s="3">
        <v>6</v>
      </c>
      <c r="AC811">
        <v>155</v>
      </c>
      <c r="AD811" s="9">
        <f t="shared" si="221"/>
        <v>5107.3333333333339</v>
      </c>
      <c r="AE811">
        <f t="shared" si="228"/>
        <v>2555730</v>
      </c>
      <c r="AF811" s="2">
        <f t="shared" si="232"/>
        <v>41.7</v>
      </c>
      <c r="AG811" t="str">
        <f t="shared" si="222"/>
        <v>85小时</v>
      </c>
      <c r="AH811">
        <f t="shared" si="223"/>
        <v>126</v>
      </c>
      <c r="AI811">
        <f t="shared" si="224"/>
        <v>21</v>
      </c>
      <c r="AJ811">
        <f t="shared" si="229"/>
        <v>71.099999999999994</v>
      </c>
      <c r="AK811">
        <f t="shared" si="225"/>
        <v>36</v>
      </c>
      <c r="AL811">
        <f t="shared" si="230"/>
        <v>41.7</v>
      </c>
      <c r="AM811" s="2">
        <f t="shared" si="226"/>
        <v>21</v>
      </c>
      <c r="AX811">
        <v>808</v>
      </c>
      <c r="AZ811" s="3"/>
      <c r="BB811" s="2">
        <f t="shared" si="227"/>
        <v>200</v>
      </c>
      <c r="BC811">
        <f t="shared" si="231"/>
        <v>22.046362909672261</v>
      </c>
      <c r="BD811" s="2">
        <f t="shared" si="233"/>
        <v>71.099999999999994</v>
      </c>
      <c r="BE811">
        <f t="shared" si="234"/>
        <v>41.7</v>
      </c>
      <c r="BF811">
        <f t="shared" si="235"/>
        <v>240192</v>
      </c>
    </row>
    <row r="812" spans="1:58" ht="14.25" x14ac:dyDescent="0.2">
      <c r="A812" s="12">
        <v>20129</v>
      </c>
      <c r="B812" s="13">
        <f t="shared" si="236"/>
        <v>16</v>
      </c>
      <c r="C812" s="15">
        <f t="shared" si="237"/>
        <v>11</v>
      </c>
      <c r="D812" s="14">
        <f t="shared" si="238"/>
        <v>11</v>
      </c>
      <c r="E812" t="s">
        <v>2777</v>
      </c>
      <c r="F812" t="s">
        <v>2837</v>
      </c>
      <c r="G812" t="s">
        <v>2779</v>
      </c>
      <c r="H812" t="s">
        <v>2779</v>
      </c>
      <c r="I812" t="s">
        <v>2780</v>
      </c>
      <c r="J812" s="4" t="s">
        <v>2840</v>
      </c>
      <c r="K812" t="s">
        <v>174</v>
      </c>
      <c r="L812" t="s">
        <v>163</v>
      </c>
      <c r="M812" t="s">
        <v>163</v>
      </c>
      <c r="N812" t="s">
        <v>163</v>
      </c>
      <c r="O812" s="6" t="s">
        <v>1335</v>
      </c>
      <c r="P812">
        <v>0</v>
      </c>
      <c r="Q812" s="24">
        <v>59.8</v>
      </c>
      <c r="R812" s="25">
        <v>81.5</v>
      </c>
      <c r="S812" s="26">
        <v>55.5</v>
      </c>
      <c r="Y812">
        <v>10</v>
      </c>
      <c r="Z812">
        <v>30</v>
      </c>
      <c r="AA812" s="3">
        <v>25</v>
      </c>
      <c r="AB812" s="3">
        <v>6</v>
      </c>
      <c r="AC812">
        <v>155</v>
      </c>
      <c r="AD812" s="9">
        <f t="shared" si="221"/>
        <v>5107.3333333333339</v>
      </c>
      <c r="AE812">
        <f t="shared" si="228"/>
        <v>2555730</v>
      </c>
      <c r="AF812" s="2">
        <f t="shared" si="232"/>
        <v>41.7</v>
      </c>
      <c r="AG812" t="str">
        <f t="shared" si="222"/>
        <v>85小时</v>
      </c>
      <c r="AH812">
        <f t="shared" si="223"/>
        <v>126</v>
      </c>
      <c r="AI812">
        <f t="shared" si="224"/>
        <v>21</v>
      </c>
      <c r="AJ812">
        <f t="shared" si="229"/>
        <v>71.099999999999994</v>
      </c>
      <c r="AK812">
        <f t="shared" si="225"/>
        <v>36</v>
      </c>
      <c r="AL812">
        <f t="shared" si="230"/>
        <v>41.7</v>
      </c>
      <c r="AM812" s="2">
        <f t="shared" si="226"/>
        <v>21</v>
      </c>
      <c r="AX812">
        <v>809</v>
      </c>
      <c r="AZ812" s="3"/>
      <c r="BB812" s="2">
        <f t="shared" si="227"/>
        <v>200</v>
      </c>
      <c r="BC812">
        <f t="shared" si="231"/>
        <v>22.046362909672261</v>
      </c>
      <c r="BD812" s="2">
        <f t="shared" si="233"/>
        <v>71.099999999999994</v>
      </c>
      <c r="BE812">
        <f t="shared" si="234"/>
        <v>41.7</v>
      </c>
      <c r="BF812">
        <f t="shared" si="235"/>
        <v>240192</v>
      </c>
    </row>
    <row r="813" spans="1:58" ht="14.25" x14ac:dyDescent="0.2">
      <c r="A813" s="12">
        <v>20130</v>
      </c>
      <c r="B813" s="13">
        <f t="shared" si="236"/>
        <v>16</v>
      </c>
      <c r="C813" s="15">
        <f t="shared" si="237"/>
        <v>11</v>
      </c>
      <c r="D813" s="14">
        <f t="shared" si="238"/>
        <v>11</v>
      </c>
      <c r="E813" t="s">
        <v>2785</v>
      </c>
      <c r="F813" t="s">
        <v>2786</v>
      </c>
      <c r="G813" t="s">
        <v>2830</v>
      </c>
      <c r="H813" t="s">
        <v>2829</v>
      </c>
      <c r="I813" t="s">
        <v>2697</v>
      </c>
      <c r="J813" s="4" t="s">
        <v>2860</v>
      </c>
      <c r="K813" t="s">
        <v>166</v>
      </c>
      <c r="L813" t="s">
        <v>163</v>
      </c>
      <c r="M813" t="s">
        <v>163</v>
      </c>
      <c r="N813" t="s">
        <v>163</v>
      </c>
      <c r="O813" s="6" t="s">
        <v>1335</v>
      </c>
      <c r="P813">
        <v>0</v>
      </c>
      <c r="Q813" s="24">
        <v>59.8</v>
      </c>
      <c r="R813" s="25">
        <v>81.5</v>
      </c>
      <c r="S813" s="26">
        <v>55.5</v>
      </c>
      <c r="Y813">
        <v>10</v>
      </c>
      <c r="Z813">
        <v>30</v>
      </c>
      <c r="AA813" s="3">
        <v>25</v>
      </c>
      <c r="AB813" s="3">
        <v>6</v>
      </c>
      <c r="AC813">
        <v>155</v>
      </c>
      <c r="AD813" s="9">
        <f t="shared" si="221"/>
        <v>5107.3333333333339</v>
      </c>
      <c r="AE813">
        <f t="shared" si="228"/>
        <v>2555730</v>
      </c>
      <c r="AF813" s="2">
        <f t="shared" si="232"/>
        <v>41.7</v>
      </c>
      <c r="AG813" t="str">
        <f t="shared" si="222"/>
        <v>85小时</v>
      </c>
      <c r="AH813">
        <f t="shared" si="223"/>
        <v>126</v>
      </c>
      <c r="AI813">
        <f t="shared" si="224"/>
        <v>21</v>
      </c>
      <c r="AJ813">
        <f t="shared" si="229"/>
        <v>71.099999999999994</v>
      </c>
      <c r="AK813">
        <f t="shared" si="225"/>
        <v>36</v>
      </c>
      <c r="AL813">
        <f t="shared" si="230"/>
        <v>41.7</v>
      </c>
      <c r="AM813" s="2">
        <f t="shared" si="226"/>
        <v>21</v>
      </c>
      <c r="AX813">
        <v>810</v>
      </c>
      <c r="AZ813" s="3"/>
      <c r="BB813" s="2">
        <f t="shared" si="227"/>
        <v>200</v>
      </c>
      <c r="BC813">
        <f t="shared" si="231"/>
        <v>22.046362909672261</v>
      </c>
      <c r="BD813" s="2">
        <f t="shared" si="233"/>
        <v>71.099999999999994</v>
      </c>
      <c r="BE813">
        <f t="shared" si="234"/>
        <v>41.7</v>
      </c>
      <c r="BF813">
        <f t="shared" si="235"/>
        <v>240192</v>
      </c>
    </row>
    <row r="814" spans="1:58" ht="14.25" x14ac:dyDescent="0.2">
      <c r="A814" s="12">
        <v>20131</v>
      </c>
      <c r="B814" s="13">
        <f t="shared" si="236"/>
        <v>16</v>
      </c>
      <c r="C814" s="15">
        <f t="shared" si="237"/>
        <v>11</v>
      </c>
      <c r="D814" s="14">
        <f t="shared" si="238"/>
        <v>11</v>
      </c>
      <c r="E814" t="s">
        <v>2777</v>
      </c>
      <c r="F814" t="s">
        <v>2834</v>
      </c>
      <c r="G814" t="s">
        <v>2779</v>
      </c>
      <c r="H814" t="s">
        <v>2779</v>
      </c>
      <c r="I814" t="s">
        <v>2780</v>
      </c>
      <c r="J814" s="4" t="s">
        <v>2840</v>
      </c>
      <c r="K814" t="s">
        <v>168</v>
      </c>
      <c r="L814" t="s">
        <v>163</v>
      </c>
      <c r="M814" t="s">
        <v>163</v>
      </c>
      <c r="N814" t="s">
        <v>163</v>
      </c>
      <c r="O814" s="6" t="s">
        <v>1337</v>
      </c>
      <c r="P814">
        <v>0</v>
      </c>
      <c r="Q814" s="24">
        <v>60.2</v>
      </c>
      <c r="R814" s="25">
        <v>82</v>
      </c>
      <c r="S814" s="26">
        <v>55.8</v>
      </c>
      <c r="Y814">
        <v>10</v>
      </c>
      <c r="Z814">
        <v>30</v>
      </c>
      <c r="AA814" s="3">
        <v>25</v>
      </c>
      <c r="AB814" s="3">
        <v>6</v>
      </c>
      <c r="AC814">
        <v>155</v>
      </c>
      <c r="AD814" s="9">
        <f t="shared" si="221"/>
        <v>5070.833333333333</v>
      </c>
      <c r="AE814">
        <f t="shared" si="228"/>
        <v>2555730</v>
      </c>
      <c r="AF814" s="2">
        <f t="shared" si="232"/>
        <v>42</v>
      </c>
      <c r="AG814" t="str">
        <f t="shared" si="222"/>
        <v>84小时</v>
      </c>
      <c r="AH814">
        <f t="shared" si="223"/>
        <v>126</v>
      </c>
      <c r="AI814">
        <f t="shared" si="224"/>
        <v>21</v>
      </c>
      <c r="AJ814">
        <f t="shared" si="229"/>
        <v>71.5</v>
      </c>
      <c r="AK814">
        <f t="shared" si="225"/>
        <v>36</v>
      </c>
      <c r="AL814">
        <f t="shared" si="230"/>
        <v>42</v>
      </c>
      <c r="AM814" s="2">
        <f t="shared" si="226"/>
        <v>21</v>
      </c>
      <c r="AX814">
        <v>811</v>
      </c>
      <c r="AZ814" s="3"/>
      <c r="BB814" s="2">
        <f t="shared" si="227"/>
        <v>200</v>
      </c>
      <c r="BC814">
        <f t="shared" si="231"/>
        <v>21.888888888888889</v>
      </c>
      <c r="BD814" s="2">
        <f t="shared" si="233"/>
        <v>71.5</v>
      </c>
      <c r="BE814">
        <f t="shared" si="234"/>
        <v>42</v>
      </c>
      <c r="BF814">
        <f t="shared" si="235"/>
        <v>241920</v>
      </c>
    </row>
    <row r="815" spans="1:58" ht="14.25" x14ac:dyDescent="0.2">
      <c r="A815" s="12">
        <v>20132</v>
      </c>
      <c r="B815" s="13">
        <f t="shared" si="236"/>
        <v>16</v>
      </c>
      <c r="C815" s="15">
        <f t="shared" si="237"/>
        <v>11</v>
      </c>
      <c r="D815" s="14">
        <f t="shared" si="238"/>
        <v>11</v>
      </c>
      <c r="E815" t="s">
        <v>2777</v>
      </c>
      <c r="F815" t="s">
        <v>2835</v>
      </c>
      <c r="G815" t="s">
        <v>2779</v>
      </c>
      <c r="H815" t="s">
        <v>2779</v>
      </c>
      <c r="I815" t="s">
        <v>2780</v>
      </c>
      <c r="J815" s="4" t="s">
        <v>2840</v>
      </c>
      <c r="K815" t="s">
        <v>175</v>
      </c>
      <c r="L815" t="s">
        <v>164</v>
      </c>
      <c r="M815" t="s">
        <v>163</v>
      </c>
      <c r="N815" t="s">
        <v>167</v>
      </c>
      <c r="O815" s="6" t="s">
        <v>1339</v>
      </c>
      <c r="P815">
        <v>0</v>
      </c>
      <c r="Q815" s="24">
        <v>60.2</v>
      </c>
      <c r="R815" s="25">
        <v>82</v>
      </c>
      <c r="S815" s="26">
        <v>55.8</v>
      </c>
      <c r="Y815">
        <v>10</v>
      </c>
      <c r="Z815">
        <v>30</v>
      </c>
      <c r="AA815" s="3">
        <v>25</v>
      </c>
      <c r="AB815" s="3">
        <v>6</v>
      </c>
      <c r="AC815">
        <v>155</v>
      </c>
      <c r="AD815" s="9">
        <f t="shared" si="221"/>
        <v>5070.833333333333</v>
      </c>
      <c r="AE815">
        <f t="shared" si="228"/>
        <v>2555730</v>
      </c>
      <c r="AF815" s="2">
        <f t="shared" si="232"/>
        <v>42</v>
      </c>
      <c r="AG815" t="str">
        <f t="shared" si="222"/>
        <v>84小时</v>
      </c>
      <c r="AH815">
        <f t="shared" si="223"/>
        <v>126</v>
      </c>
      <c r="AI815">
        <f t="shared" si="224"/>
        <v>21</v>
      </c>
      <c r="AJ815">
        <f t="shared" si="229"/>
        <v>71.5</v>
      </c>
      <c r="AK815">
        <f t="shared" si="225"/>
        <v>36</v>
      </c>
      <c r="AL815">
        <f t="shared" si="230"/>
        <v>42</v>
      </c>
      <c r="AM815" s="2">
        <f t="shared" si="226"/>
        <v>21</v>
      </c>
      <c r="AX815">
        <v>812</v>
      </c>
      <c r="AZ815" s="3"/>
      <c r="BB815" s="2">
        <f t="shared" si="227"/>
        <v>200</v>
      </c>
      <c r="BC815">
        <f t="shared" si="231"/>
        <v>21.888888888888889</v>
      </c>
      <c r="BD815" s="2">
        <f t="shared" si="233"/>
        <v>71.5</v>
      </c>
      <c r="BE815">
        <f t="shared" si="234"/>
        <v>42</v>
      </c>
      <c r="BF815">
        <f t="shared" si="235"/>
        <v>241920</v>
      </c>
    </row>
    <row r="816" spans="1:58" ht="14.25" x14ac:dyDescent="0.2">
      <c r="A816" s="12">
        <v>20133</v>
      </c>
      <c r="B816" s="13">
        <f t="shared" si="236"/>
        <v>16</v>
      </c>
      <c r="C816" s="15">
        <f t="shared" si="237"/>
        <v>12</v>
      </c>
      <c r="D816" s="14">
        <f t="shared" si="238"/>
        <v>11</v>
      </c>
      <c r="E816" t="s">
        <v>2777</v>
      </c>
      <c r="F816" t="s">
        <v>2836</v>
      </c>
      <c r="G816" t="s">
        <v>2779</v>
      </c>
      <c r="H816" t="s">
        <v>2779</v>
      </c>
      <c r="I816" t="s">
        <v>2780</v>
      </c>
      <c r="J816" s="4" t="s">
        <v>2840</v>
      </c>
      <c r="K816" t="s">
        <v>179</v>
      </c>
      <c r="L816" t="s">
        <v>163</v>
      </c>
      <c r="M816" t="s">
        <v>163</v>
      </c>
      <c r="N816" t="s">
        <v>163</v>
      </c>
      <c r="O816" s="6" t="s">
        <v>1341</v>
      </c>
      <c r="P816">
        <v>0</v>
      </c>
      <c r="Q816" s="24">
        <v>60.2</v>
      </c>
      <c r="R816" s="25">
        <v>82</v>
      </c>
      <c r="S816" s="26">
        <v>55.8</v>
      </c>
      <c r="Y816">
        <v>10</v>
      </c>
      <c r="Z816">
        <v>30</v>
      </c>
      <c r="AA816" s="3">
        <v>25</v>
      </c>
      <c r="AB816" s="3">
        <v>6</v>
      </c>
      <c r="AC816">
        <v>155</v>
      </c>
      <c r="AD816" s="9">
        <f t="shared" si="221"/>
        <v>5070.833333333333</v>
      </c>
      <c r="AE816">
        <f t="shared" si="228"/>
        <v>2555730</v>
      </c>
      <c r="AF816" s="2">
        <f t="shared" si="232"/>
        <v>42</v>
      </c>
      <c r="AG816" t="str">
        <f t="shared" si="222"/>
        <v>84小时</v>
      </c>
      <c r="AH816">
        <f t="shared" si="223"/>
        <v>126</v>
      </c>
      <c r="AI816">
        <f t="shared" si="224"/>
        <v>21</v>
      </c>
      <c r="AJ816">
        <f t="shared" si="229"/>
        <v>71.5</v>
      </c>
      <c r="AK816">
        <f t="shared" si="225"/>
        <v>36</v>
      </c>
      <c r="AL816">
        <f t="shared" si="230"/>
        <v>42</v>
      </c>
      <c r="AM816" s="2">
        <f t="shared" si="226"/>
        <v>21</v>
      </c>
      <c r="AX816">
        <v>813</v>
      </c>
      <c r="AZ816" s="3"/>
      <c r="BB816" s="2">
        <f t="shared" si="227"/>
        <v>200</v>
      </c>
      <c r="BC816">
        <f t="shared" si="231"/>
        <v>21.888888888888889</v>
      </c>
      <c r="BD816" s="2">
        <f t="shared" si="233"/>
        <v>71.5</v>
      </c>
      <c r="BE816">
        <f t="shared" si="234"/>
        <v>42</v>
      </c>
      <c r="BF816">
        <f t="shared" si="235"/>
        <v>241920</v>
      </c>
    </row>
    <row r="817" spans="1:58" ht="14.25" x14ac:dyDescent="0.2">
      <c r="A817" s="12">
        <v>20134</v>
      </c>
      <c r="B817" s="13">
        <f t="shared" si="236"/>
        <v>16</v>
      </c>
      <c r="C817" s="15">
        <f t="shared" si="237"/>
        <v>12</v>
      </c>
      <c r="D817" s="14">
        <f t="shared" si="238"/>
        <v>11</v>
      </c>
      <c r="E817" t="s">
        <v>2777</v>
      </c>
      <c r="F817" t="s">
        <v>2837</v>
      </c>
      <c r="G817" t="s">
        <v>2779</v>
      </c>
      <c r="H817" t="s">
        <v>2779</v>
      </c>
      <c r="I817" t="s">
        <v>2780</v>
      </c>
      <c r="J817" s="4" t="s">
        <v>2840</v>
      </c>
      <c r="K817" t="s">
        <v>177</v>
      </c>
      <c r="L817" t="s">
        <v>163</v>
      </c>
      <c r="M817" t="s">
        <v>163</v>
      </c>
      <c r="N817" t="s">
        <v>163</v>
      </c>
      <c r="O817" s="6" t="s">
        <v>1341</v>
      </c>
      <c r="P817">
        <v>0</v>
      </c>
      <c r="Q817" s="24">
        <v>60.2</v>
      </c>
      <c r="R817" s="25">
        <v>82</v>
      </c>
      <c r="S817" s="26">
        <v>55.8</v>
      </c>
      <c r="Y817">
        <v>10</v>
      </c>
      <c r="Z817">
        <v>30</v>
      </c>
      <c r="AA817" s="3">
        <v>25</v>
      </c>
      <c r="AB817" s="3">
        <v>6</v>
      </c>
      <c r="AC817">
        <v>155</v>
      </c>
      <c r="AD817" s="9">
        <f t="shared" si="221"/>
        <v>5070.833333333333</v>
      </c>
      <c r="AE817">
        <f t="shared" si="228"/>
        <v>2555730</v>
      </c>
      <c r="AF817" s="2">
        <f t="shared" si="232"/>
        <v>42</v>
      </c>
      <c r="AG817" t="str">
        <f t="shared" si="222"/>
        <v>84小时</v>
      </c>
      <c r="AH817">
        <f t="shared" si="223"/>
        <v>126</v>
      </c>
      <c r="AI817">
        <f t="shared" si="224"/>
        <v>21</v>
      </c>
      <c r="AJ817">
        <f t="shared" si="229"/>
        <v>71.5</v>
      </c>
      <c r="AK817">
        <f t="shared" si="225"/>
        <v>36</v>
      </c>
      <c r="AL817">
        <f t="shared" si="230"/>
        <v>42</v>
      </c>
      <c r="AM817" s="2">
        <f t="shared" si="226"/>
        <v>21</v>
      </c>
      <c r="AX817">
        <v>814</v>
      </c>
      <c r="AZ817" s="3"/>
      <c r="BB817" s="2">
        <f t="shared" si="227"/>
        <v>200</v>
      </c>
      <c r="BC817">
        <f t="shared" si="231"/>
        <v>21.888888888888889</v>
      </c>
      <c r="BD817" s="2">
        <f t="shared" si="233"/>
        <v>71.5</v>
      </c>
      <c r="BE817">
        <f t="shared" si="234"/>
        <v>42</v>
      </c>
      <c r="BF817">
        <f t="shared" si="235"/>
        <v>241920</v>
      </c>
    </row>
    <row r="818" spans="1:58" ht="14.25" x14ac:dyDescent="0.2">
      <c r="A818" s="12">
        <v>20135</v>
      </c>
      <c r="B818" s="13">
        <f t="shared" si="236"/>
        <v>16</v>
      </c>
      <c r="C818" s="15">
        <f t="shared" si="237"/>
        <v>12</v>
      </c>
      <c r="D818" s="14">
        <f t="shared" si="238"/>
        <v>11</v>
      </c>
      <c r="E818" t="s">
        <v>2785</v>
      </c>
      <c r="F818" t="s">
        <v>2786</v>
      </c>
      <c r="G818" t="s">
        <v>2831</v>
      </c>
      <c r="H818" t="s">
        <v>2829</v>
      </c>
      <c r="I818" t="s">
        <v>2697</v>
      </c>
      <c r="J818" s="4" t="s">
        <v>2860</v>
      </c>
      <c r="K818" t="s">
        <v>174</v>
      </c>
      <c r="L818" t="s">
        <v>163</v>
      </c>
      <c r="M818" t="s">
        <v>163</v>
      </c>
      <c r="N818" t="s">
        <v>163</v>
      </c>
      <c r="O818" s="6" t="s">
        <v>1343</v>
      </c>
      <c r="P818">
        <v>0</v>
      </c>
      <c r="Q818" s="24">
        <v>60.2</v>
      </c>
      <c r="R818" s="25">
        <v>82</v>
      </c>
      <c r="S818" s="26">
        <v>55.8</v>
      </c>
      <c r="Y818">
        <v>10</v>
      </c>
      <c r="Z818">
        <v>30</v>
      </c>
      <c r="AA818" s="3">
        <v>25</v>
      </c>
      <c r="AB818" s="3">
        <v>6</v>
      </c>
      <c r="AC818">
        <v>155</v>
      </c>
      <c r="AD818" s="9">
        <f t="shared" si="221"/>
        <v>5070.833333333333</v>
      </c>
      <c r="AE818">
        <f t="shared" si="228"/>
        <v>2555730</v>
      </c>
      <c r="AF818" s="2">
        <f t="shared" si="232"/>
        <v>42</v>
      </c>
      <c r="AG818" t="str">
        <f t="shared" si="222"/>
        <v>84小时</v>
      </c>
      <c r="AH818">
        <f t="shared" si="223"/>
        <v>126</v>
      </c>
      <c r="AI818">
        <f t="shared" si="224"/>
        <v>21</v>
      </c>
      <c r="AJ818">
        <f t="shared" si="229"/>
        <v>71.5</v>
      </c>
      <c r="AK818">
        <f t="shared" si="225"/>
        <v>36</v>
      </c>
      <c r="AL818">
        <f t="shared" si="230"/>
        <v>42</v>
      </c>
      <c r="AM818" s="2">
        <f t="shared" si="226"/>
        <v>21</v>
      </c>
      <c r="AX818">
        <v>815</v>
      </c>
      <c r="AZ818" s="3"/>
      <c r="BB818" s="2">
        <f t="shared" si="227"/>
        <v>200</v>
      </c>
      <c r="BC818">
        <f t="shared" si="231"/>
        <v>21.888888888888889</v>
      </c>
      <c r="BD818" s="2">
        <f t="shared" si="233"/>
        <v>71.5</v>
      </c>
      <c r="BE818">
        <f t="shared" si="234"/>
        <v>42</v>
      </c>
      <c r="BF818">
        <f t="shared" si="235"/>
        <v>241920</v>
      </c>
    </row>
    <row r="819" spans="1:58" ht="14.25" x14ac:dyDescent="0.2">
      <c r="A819" s="12">
        <v>20136</v>
      </c>
      <c r="B819" s="13">
        <f t="shared" si="236"/>
        <v>16</v>
      </c>
      <c r="C819" s="15">
        <f t="shared" si="237"/>
        <v>12</v>
      </c>
      <c r="D819" s="14">
        <f t="shared" si="238"/>
        <v>11</v>
      </c>
      <c r="E819" t="s">
        <v>2777</v>
      </c>
      <c r="F819" t="s">
        <v>2834</v>
      </c>
      <c r="G819" t="s">
        <v>2779</v>
      </c>
      <c r="H819" t="s">
        <v>2779</v>
      </c>
      <c r="I819" t="s">
        <v>2780</v>
      </c>
      <c r="J819" s="4" t="s">
        <v>2840</v>
      </c>
      <c r="K819" t="s">
        <v>182</v>
      </c>
      <c r="L819" t="s">
        <v>163</v>
      </c>
      <c r="M819" t="s">
        <v>163</v>
      </c>
      <c r="N819" t="s">
        <v>163</v>
      </c>
      <c r="O819" s="6" t="s">
        <v>1345</v>
      </c>
      <c r="P819">
        <v>0</v>
      </c>
      <c r="Q819" s="24">
        <v>60.5</v>
      </c>
      <c r="R819" s="25">
        <v>82.5</v>
      </c>
      <c r="S819" s="26">
        <v>56</v>
      </c>
      <c r="Y819">
        <v>10</v>
      </c>
      <c r="Z819">
        <v>30</v>
      </c>
      <c r="AA819" s="3">
        <v>25</v>
      </c>
      <c r="AB819" s="3">
        <v>6</v>
      </c>
      <c r="AC819">
        <v>155</v>
      </c>
      <c r="AD819" s="9">
        <f t="shared" si="221"/>
        <v>5046.833333333333</v>
      </c>
      <c r="AE819">
        <f t="shared" si="228"/>
        <v>2555730</v>
      </c>
      <c r="AF819" s="2">
        <f t="shared" si="232"/>
        <v>42.2</v>
      </c>
      <c r="AG819" t="str">
        <f t="shared" si="222"/>
        <v>84小时</v>
      </c>
      <c r="AH819">
        <f t="shared" si="223"/>
        <v>127</v>
      </c>
      <c r="AI819">
        <f t="shared" si="224"/>
        <v>22</v>
      </c>
      <c r="AJ819">
        <f t="shared" si="229"/>
        <v>71.8</v>
      </c>
      <c r="AK819">
        <f t="shared" si="225"/>
        <v>36</v>
      </c>
      <c r="AL819">
        <f t="shared" si="230"/>
        <v>42.2</v>
      </c>
      <c r="AM819" s="2">
        <f t="shared" si="226"/>
        <v>22</v>
      </c>
      <c r="AX819">
        <v>816</v>
      </c>
      <c r="AZ819" s="3"/>
      <c r="BB819" s="2">
        <f t="shared" si="227"/>
        <v>200</v>
      </c>
      <c r="BC819">
        <f t="shared" si="231"/>
        <v>21.785150078988941</v>
      </c>
      <c r="BD819" s="2">
        <f t="shared" si="233"/>
        <v>71.8</v>
      </c>
      <c r="BE819">
        <f t="shared" si="234"/>
        <v>42.2</v>
      </c>
      <c r="BF819">
        <f t="shared" si="235"/>
        <v>243072</v>
      </c>
    </row>
    <row r="820" spans="1:58" ht="14.25" x14ac:dyDescent="0.2">
      <c r="A820" s="12">
        <v>20137</v>
      </c>
      <c r="B820" s="13">
        <f t="shared" si="236"/>
        <v>16</v>
      </c>
      <c r="C820" s="15">
        <f t="shared" si="237"/>
        <v>12</v>
      </c>
      <c r="D820" s="14">
        <f t="shared" si="238"/>
        <v>11</v>
      </c>
      <c r="E820" t="s">
        <v>2777</v>
      </c>
      <c r="F820" t="s">
        <v>2835</v>
      </c>
      <c r="G820" t="s">
        <v>2779</v>
      </c>
      <c r="H820" t="s">
        <v>2779</v>
      </c>
      <c r="I820" t="s">
        <v>2780</v>
      </c>
      <c r="J820" s="4" t="s">
        <v>2840</v>
      </c>
      <c r="K820" t="s">
        <v>162</v>
      </c>
      <c r="L820" t="s">
        <v>163</v>
      </c>
      <c r="M820" t="s">
        <v>163</v>
      </c>
      <c r="N820" t="s">
        <v>163</v>
      </c>
      <c r="O820" s="6" t="s">
        <v>1345</v>
      </c>
      <c r="P820">
        <v>0</v>
      </c>
      <c r="Q820" s="24">
        <v>60.5</v>
      </c>
      <c r="R820" s="25">
        <v>82.5</v>
      </c>
      <c r="S820" s="26">
        <v>56</v>
      </c>
      <c r="Y820">
        <v>10</v>
      </c>
      <c r="Z820">
        <v>30</v>
      </c>
      <c r="AA820" s="3">
        <v>25</v>
      </c>
      <c r="AB820" s="3">
        <v>6</v>
      </c>
      <c r="AC820">
        <v>155</v>
      </c>
      <c r="AD820" s="9">
        <f t="shared" si="221"/>
        <v>5046.833333333333</v>
      </c>
      <c r="AE820">
        <f t="shared" si="228"/>
        <v>2555730</v>
      </c>
      <c r="AF820" s="2">
        <f t="shared" si="232"/>
        <v>42.2</v>
      </c>
      <c r="AG820" t="str">
        <f t="shared" si="222"/>
        <v>84小时</v>
      </c>
      <c r="AH820">
        <f t="shared" si="223"/>
        <v>127</v>
      </c>
      <c r="AI820">
        <f t="shared" si="224"/>
        <v>22</v>
      </c>
      <c r="AJ820">
        <f t="shared" si="229"/>
        <v>71.8</v>
      </c>
      <c r="AK820">
        <f t="shared" si="225"/>
        <v>36</v>
      </c>
      <c r="AL820">
        <f t="shared" si="230"/>
        <v>42.2</v>
      </c>
      <c r="AM820" s="2">
        <f t="shared" si="226"/>
        <v>22</v>
      </c>
      <c r="AX820">
        <v>817</v>
      </c>
      <c r="AZ820" s="3"/>
      <c r="BB820" s="2">
        <f t="shared" si="227"/>
        <v>200</v>
      </c>
      <c r="BC820">
        <f t="shared" si="231"/>
        <v>21.785150078988941</v>
      </c>
      <c r="BD820" s="2">
        <f t="shared" si="233"/>
        <v>71.8</v>
      </c>
      <c r="BE820">
        <f t="shared" si="234"/>
        <v>42.2</v>
      </c>
      <c r="BF820">
        <f t="shared" si="235"/>
        <v>243072</v>
      </c>
    </row>
    <row r="821" spans="1:58" ht="14.25" x14ac:dyDescent="0.2">
      <c r="A821" s="12">
        <v>20138</v>
      </c>
      <c r="B821" s="13">
        <f t="shared" si="236"/>
        <v>16</v>
      </c>
      <c r="C821" s="15">
        <f t="shared" si="237"/>
        <v>12</v>
      </c>
      <c r="D821" s="14">
        <f t="shared" si="238"/>
        <v>11</v>
      </c>
      <c r="E821" t="s">
        <v>2777</v>
      </c>
      <c r="F821" t="s">
        <v>2836</v>
      </c>
      <c r="G821" t="s">
        <v>2779</v>
      </c>
      <c r="H821" t="s">
        <v>2779</v>
      </c>
      <c r="I821" t="s">
        <v>2780</v>
      </c>
      <c r="J821" s="4" t="s">
        <v>2840</v>
      </c>
      <c r="K821" t="s">
        <v>177</v>
      </c>
      <c r="L821" t="s">
        <v>163</v>
      </c>
      <c r="M821" t="s">
        <v>163</v>
      </c>
      <c r="N821" t="s">
        <v>163</v>
      </c>
      <c r="O821" s="6" t="s">
        <v>1347</v>
      </c>
      <c r="P821">
        <v>0</v>
      </c>
      <c r="Q821" s="24">
        <v>60.5</v>
      </c>
      <c r="R821" s="25">
        <v>82.5</v>
      </c>
      <c r="S821" s="26">
        <v>56</v>
      </c>
      <c r="Y821">
        <v>10</v>
      </c>
      <c r="Z821">
        <v>30</v>
      </c>
      <c r="AA821" s="3">
        <v>25</v>
      </c>
      <c r="AB821" s="3">
        <v>6</v>
      </c>
      <c r="AC821">
        <v>155</v>
      </c>
      <c r="AD821" s="9">
        <f t="shared" si="221"/>
        <v>5046.833333333333</v>
      </c>
      <c r="AE821">
        <f t="shared" si="228"/>
        <v>2555730</v>
      </c>
      <c r="AF821" s="2">
        <f t="shared" si="232"/>
        <v>42.2</v>
      </c>
      <c r="AG821" t="str">
        <f t="shared" si="222"/>
        <v>84小时</v>
      </c>
      <c r="AH821">
        <f t="shared" si="223"/>
        <v>127</v>
      </c>
      <c r="AI821">
        <f t="shared" si="224"/>
        <v>22</v>
      </c>
      <c r="AJ821">
        <f t="shared" si="229"/>
        <v>71.8</v>
      </c>
      <c r="AK821">
        <f t="shared" si="225"/>
        <v>36</v>
      </c>
      <c r="AL821">
        <f t="shared" si="230"/>
        <v>42.2</v>
      </c>
      <c r="AM821" s="2">
        <f t="shared" si="226"/>
        <v>22</v>
      </c>
      <c r="AX821">
        <v>818</v>
      </c>
      <c r="AZ821" s="3"/>
      <c r="BB821" s="2">
        <f t="shared" si="227"/>
        <v>200</v>
      </c>
      <c r="BC821">
        <f t="shared" si="231"/>
        <v>21.785150078988941</v>
      </c>
      <c r="BD821" s="2">
        <f t="shared" si="233"/>
        <v>71.8</v>
      </c>
      <c r="BE821">
        <f t="shared" si="234"/>
        <v>42.2</v>
      </c>
      <c r="BF821">
        <f t="shared" si="235"/>
        <v>243072</v>
      </c>
    </row>
    <row r="822" spans="1:58" ht="14.25" x14ac:dyDescent="0.2">
      <c r="A822" s="12">
        <v>20139</v>
      </c>
      <c r="B822" s="13">
        <f t="shared" si="236"/>
        <v>16</v>
      </c>
      <c r="C822" s="15">
        <f t="shared" si="237"/>
        <v>12</v>
      </c>
      <c r="D822" s="14">
        <f t="shared" si="238"/>
        <v>11</v>
      </c>
      <c r="E822" t="s">
        <v>2777</v>
      </c>
      <c r="F822" t="s">
        <v>2837</v>
      </c>
      <c r="G822" t="s">
        <v>2779</v>
      </c>
      <c r="H822" t="s">
        <v>2779</v>
      </c>
      <c r="I822" t="s">
        <v>2780</v>
      </c>
      <c r="J822" s="4" t="s">
        <v>2840</v>
      </c>
      <c r="K822" t="s">
        <v>174</v>
      </c>
      <c r="L822" t="s">
        <v>163</v>
      </c>
      <c r="M822" t="s">
        <v>163</v>
      </c>
      <c r="N822" t="s">
        <v>163</v>
      </c>
      <c r="O822" s="6" t="s">
        <v>1349</v>
      </c>
      <c r="P822">
        <v>0</v>
      </c>
      <c r="Q822" s="24">
        <v>60.5</v>
      </c>
      <c r="R822" s="25">
        <v>82.5</v>
      </c>
      <c r="S822" s="26">
        <v>56</v>
      </c>
      <c r="Y822">
        <v>10</v>
      </c>
      <c r="Z822">
        <v>30</v>
      </c>
      <c r="AA822" s="3">
        <v>25</v>
      </c>
      <c r="AB822" s="3">
        <v>6</v>
      </c>
      <c r="AC822">
        <v>155</v>
      </c>
      <c r="AD822" s="9">
        <f t="shared" si="221"/>
        <v>5046.833333333333</v>
      </c>
      <c r="AE822">
        <f t="shared" si="228"/>
        <v>2555730</v>
      </c>
      <c r="AF822" s="2">
        <f t="shared" si="232"/>
        <v>42.2</v>
      </c>
      <c r="AG822" t="str">
        <f t="shared" si="222"/>
        <v>84小时</v>
      </c>
      <c r="AH822">
        <f t="shared" si="223"/>
        <v>127</v>
      </c>
      <c r="AI822">
        <f t="shared" si="224"/>
        <v>22</v>
      </c>
      <c r="AJ822">
        <f t="shared" si="229"/>
        <v>71.8</v>
      </c>
      <c r="AK822">
        <f t="shared" si="225"/>
        <v>36</v>
      </c>
      <c r="AL822">
        <f t="shared" si="230"/>
        <v>42.2</v>
      </c>
      <c r="AM822" s="2">
        <f t="shared" si="226"/>
        <v>22</v>
      </c>
      <c r="AX822">
        <v>819</v>
      </c>
      <c r="AZ822" s="3"/>
      <c r="BB822" s="2">
        <f t="shared" si="227"/>
        <v>200</v>
      </c>
      <c r="BC822">
        <f t="shared" si="231"/>
        <v>21.785150078988941</v>
      </c>
      <c r="BD822" s="2">
        <f t="shared" si="233"/>
        <v>71.8</v>
      </c>
      <c r="BE822">
        <f t="shared" si="234"/>
        <v>42.2</v>
      </c>
      <c r="BF822">
        <f t="shared" si="235"/>
        <v>243072</v>
      </c>
    </row>
    <row r="823" spans="1:58" ht="14.25" x14ac:dyDescent="0.2">
      <c r="A823" s="12">
        <v>20140</v>
      </c>
      <c r="B823" s="13">
        <f t="shared" si="236"/>
        <v>16</v>
      </c>
      <c r="C823" s="15">
        <f t="shared" si="237"/>
        <v>12</v>
      </c>
      <c r="D823" s="14">
        <f t="shared" si="238"/>
        <v>11</v>
      </c>
      <c r="E823" t="s">
        <v>2785</v>
      </c>
      <c r="F823" t="s">
        <v>2786</v>
      </c>
      <c r="G823" t="s">
        <v>2832</v>
      </c>
      <c r="H823" t="s">
        <v>2829</v>
      </c>
      <c r="I823" t="s">
        <v>2697</v>
      </c>
      <c r="J823" s="4" t="s">
        <v>2860</v>
      </c>
      <c r="K823" t="s">
        <v>166</v>
      </c>
      <c r="L823" t="s">
        <v>163</v>
      </c>
      <c r="M823" t="s">
        <v>163</v>
      </c>
      <c r="N823" t="s">
        <v>163</v>
      </c>
      <c r="O823" s="6" t="s">
        <v>1349</v>
      </c>
      <c r="P823">
        <v>0</v>
      </c>
      <c r="Q823" s="24">
        <v>60.5</v>
      </c>
      <c r="R823" s="25">
        <v>82.5</v>
      </c>
      <c r="S823" s="26">
        <v>56</v>
      </c>
      <c r="Y823">
        <v>10</v>
      </c>
      <c r="Z823">
        <v>30</v>
      </c>
      <c r="AA823" s="3">
        <v>25</v>
      </c>
      <c r="AB823" s="3">
        <v>6</v>
      </c>
      <c r="AC823">
        <v>155</v>
      </c>
      <c r="AD823" s="9">
        <f t="shared" si="221"/>
        <v>5046.833333333333</v>
      </c>
      <c r="AE823">
        <f t="shared" si="228"/>
        <v>2555730</v>
      </c>
      <c r="AF823" s="2">
        <f t="shared" si="232"/>
        <v>42.2</v>
      </c>
      <c r="AG823" t="str">
        <f t="shared" si="222"/>
        <v>84小时</v>
      </c>
      <c r="AH823">
        <f t="shared" si="223"/>
        <v>127</v>
      </c>
      <c r="AI823">
        <f t="shared" si="224"/>
        <v>22</v>
      </c>
      <c r="AJ823">
        <f t="shared" si="229"/>
        <v>71.8</v>
      </c>
      <c r="AK823">
        <f t="shared" si="225"/>
        <v>36</v>
      </c>
      <c r="AL823">
        <f t="shared" si="230"/>
        <v>42.2</v>
      </c>
      <c r="AM823" s="2">
        <f t="shared" si="226"/>
        <v>22</v>
      </c>
      <c r="AX823">
        <v>820</v>
      </c>
      <c r="AZ823" s="3"/>
      <c r="BB823" s="2">
        <f t="shared" si="227"/>
        <v>205</v>
      </c>
      <c r="BC823">
        <f t="shared" si="231"/>
        <v>23.514843338599263</v>
      </c>
      <c r="BD823" s="2">
        <f t="shared" si="233"/>
        <v>71.8</v>
      </c>
      <c r="BE823">
        <f t="shared" si="234"/>
        <v>42.2</v>
      </c>
      <c r="BF823">
        <f t="shared" si="235"/>
        <v>243072</v>
      </c>
    </row>
    <row r="824" spans="1:58" ht="14.25" x14ac:dyDescent="0.2">
      <c r="A824" s="12">
        <v>20141</v>
      </c>
      <c r="B824" s="13">
        <f t="shared" si="236"/>
        <v>16</v>
      </c>
      <c r="C824" s="15">
        <f t="shared" si="237"/>
        <v>12</v>
      </c>
      <c r="D824" s="14">
        <f t="shared" si="238"/>
        <v>11</v>
      </c>
      <c r="E824" t="s">
        <v>2777</v>
      </c>
      <c r="F824" t="s">
        <v>2834</v>
      </c>
      <c r="G824" t="s">
        <v>2779</v>
      </c>
      <c r="H824" t="s">
        <v>2779</v>
      </c>
      <c r="I824" t="s">
        <v>2780</v>
      </c>
      <c r="J824" s="4" t="s">
        <v>2840</v>
      </c>
      <c r="K824" t="s">
        <v>168</v>
      </c>
      <c r="L824" t="s">
        <v>163</v>
      </c>
      <c r="M824" t="s">
        <v>163</v>
      </c>
      <c r="N824" t="s">
        <v>163</v>
      </c>
      <c r="O824" s="6" t="s">
        <v>1351</v>
      </c>
      <c r="P824">
        <v>0</v>
      </c>
      <c r="Q824" s="24">
        <v>60.8</v>
      </c>
      <c r="R824" s="25">
        <v>83</v>
      </c>
      <c r="S824" s="26">
        <v>56.3</v>
      </c>
      <c r="Y824">
        <v>10</v>
      </c>
      <c r="Z824">
        <v>30</v>
      </c>
      <c r="AA824" s="3">
        <v>25</v>
      </c>
      <c r="AB824" s="3">
        <v>6</v>
      </c>
      <c r="AC824">
        <v>155</v>
      </c>
      <c r="AD824" s="9">
        <f t="shared" si="221"/>
        <v>5011.166666666667</v>
      </c>
      <c r="AE824">
        <f t="shared" si="228"/>
        <v>2555730</v>
      </c>
      <c r="AF824" s="2">
        <f t="shared" si="232"/>
        <v>42.5</v>
      </c>
      <c r="AG824" t="str">
        <f t="shared" si="222"/>
        <v>83小时</v>
      </c>
      <c r="AH824">
        <f t="shared" si="223"/>
        <v>128</v>
      </c>
      <c r="AI824">
        <f t="shared" si="224"/>
        <v>22</v>
      </c>
      <c r="AJ824">
        <f t="shared" si="229"/>
        <v>72.300000000000011</v>
      </c>
      <c r="AK824">
        <f t="shared" si="225"/>
        <v>37</v>
      </c>
      <c r="AL824">
        <f t="shared" si="230"/>
        <v>42.5</v>
      </c>
      <c r="AM824" s="2">
        <f t="shared" si="226"/>
        <v>22</v>
      </c>
      <c r="AX824">
        <v>821</v>
      </c>
      <c r="AZ824" s="3"/>
      <c r="BB824" s="2">
        <f t="shared" si="227"/>
        <v>205</v>
      </c>
      <c r="BC824">
        <f t="shared" si="231"/>
        <v>23.348856209150327</v>
      </c>
      <c r="BD824" s="2">
        <f t="shared" si="233"/>
        <v>72.300000000000011</v>
      </c>
      <c r="BE824">
        <f t="shared" si="234"/>
        <v>42.5</v>
      </c>
      <c r="BF824">
        <f t="shared" si="235"/>
        <v>244800</v>
      </c>
    </row>
    <row r="825" spans="1:58" ht="14.25" x14ac:dyDescent="0.2">
      <c r="A825" s="12">
        <v>20142</v>
      </c>
      <c r="B825" s="13">
        <f t="shared" si="236"/>
        <v>16</v>
      </c>
      <c r="C825" s="15">
        <f t="shared" si="237"/>
        <v>12</v>
      </c>
      <c r="D825" s="14">
        <f t="shared" si="238"/>
        <v>11</v>
      </c>
      <c r="E825" t="s">
        <v>2777</v>
      </c>
      <c r="F825" t="s">
        <v>2835</v>
      </c>
      <c r="G825" t="s">
        <v>2779</v>
      </c>
      <c r="H825" t="s">
        <v>2779</v>
      </c>
      <c r="I825" t="s">
        <v>2780</v>
      </c>
      <c r="J825" s="4" t="s">
        <v>2840</v>
      </c>
      <c r="K825" t="s">
        <v>175</v>
      </c>
      <c r="L825" t="s">
        <v>164</v>
      </c>
      <c r="M825" t="s">
        <v>163</v>
      </c>
      <c r="N825" t="s">
        <v>167</v>
      </c>
      <c r="O825" s="6" t="s">
        <v>1353</v>
      </c>
      <c r="P825">
        <v>0</v>
      </c>
      <c r="Q825" s="24">
        <v>60.8</v>
      </c>
      <c r="R825" s="25">
        <v>83</v>
      </c>
      <c r="S825" s="26">
        <v>56.3</v>
      </c>
      <c r="Y825">
        <v>10</v>
      </c>
      <c r="Z825">
        <v>30</v>
      </c>
      <c r="AA825" s="3">
        <v>25</v>
      </c>
      <c r="AB825" s="3">
        <v>6</v>
      </c>
      <c r="AC825">
        <v>155</v>
      </c>
      <c r="AD825" s="9">
        <f t="shared" si="221"/>
        <v>5011.166666666667</v>
      </c>
      <c r="AE825">
        <f t="shared" si="228"/>
        <v>2555730</v>
      </c>
      <c r="AF825" s="2">
        <f t="shared" si="232"/>
        <v>42.5</v>
      </c>
      <c r="AG825" t="str">
        <f t="shared" si="222"/>
        <v>83小时</v>
      </c>
      <c r="AH825">
        <f t="shared" si="223"/>
        <v>128</v>
      </c>
      <c r="AI825">
        <f t="shared" si="224"/>
        <v>22</v>
      </c>
      <c r="AJ825">
        <f t="shared" si="229"/>
        <v>72.300000000000011</v>
      </c>
      <c r="AK825">
        <f t="shared" si="225"/>
        <v>37</v>
      </c>
      <c r="AL825">
        <f t="shared" si="230"/>
        <v>42.5</v>
      </c>
      <c r="AM825" s="2">
        <f t="shared" si="226"/>
        <v>22</v>
      </c>
      <c r="AX825">
        <v>822</v>
      </c>
      <c r="AZ825" s="3"/>
      <c r="BB825" s="2">
        <f t="shared" si="227"/>
        <v>205</v>
      </c>
      <c r="BC825">
        <f t="shared" si="231"/>
        <v>23.348856209150327</v>
      </c>
      <c r="BD825" s="2">
        <f t="shared" si="233"/>
        <v>72.300000000000011</v>
      </c>
      <c r="BE825">
        <f t="shared" si="234"/>
        <v>42.5</v>
      </c>
      <c r="BF825">
        <f t="shared" si="235"/>
        <v>244800</v>
      </c>
    </row>
    <row r="826" spans="1:58" ht="14.25" x14ac:dyDescent="0.2">
      <c r="A826" s="12">
        <v>20143</v>
      </c>
      <c r="B826" s="13">
        <f t="shared" si="236"/>
        <v>16</v>
      </c>
      <c r="C826" s="15">
        <f t="shared" si="237"/>
        <v>12</v>
      </c>
      <c r="D826" s="14">
        <f t="shared" si="238"/>
        <v>11</v>
      </c>
      <c r="E826" t="s">
        <v>2777</v>
      </c>
      <c r="F826" t="s">
        <v>2836</v>
      </c>
      <c r="G826" t="s">
        <v>2779</v>
      </c>
      <c r="H826" t="s">
        <v>2779</v>
      </c>
      <c r="I826" t="s">
        <v>2780</v>
      </c>
      <c r="J826" s="4" t="s">
        <v>2840</v>
      </c>
      <c r="K826" t="s">
        <v>179</v>
      </c>
      <c r="L826" t="s">
        <v>163</v>
      </c>
      <c r="M826" t="s">
        <v>163</v>
      </c>
      <c r="N826" t="s">
        <v>163</v>
      </c>
      <c r="O826" s="6" t="s">
        <v>1355</v>
      </c>
      <c r="P826">
        <v>0</v>
      </c>
      <c r="Q826" s="24">
        <v>60.8</v>
      </c>
      <c r="R826" s="25">
        <v>83</v>
      </c>
      <c r="S826" s="26">
        <v>56.3</v>
      </c>
      <c r="Y826">
        <v>10</v>
      </c>
      <c r="Z826">
        <v>30</v>
      </c>
      <c r="AA826" s="3">
        <v>25</v>
      </c>
      <c r="AB826" s="3">
        <v>6</v>
      </c>
      <c r="AC826">
        <v>155</v>
      </c>
      <c r="AD826" s="9">
        <f t="shared" si="221"/>
        <v>5011.166666666667</v>
      </c>
      <c r="AE826">
        <f t="shared" si="228"/>
        <v>2555730</v>
      </c>
      <c r="AF826" s="2">
        <f t="shared" si="232"/>
        <v>42.5</v>
      </c>
      <c r="AG826" t="str">
        <f t="shared" si="222"/>
        <v>83小时</v>
      </c>
      <c r="AH826">
        <f t="shared" si="223"/>
        <v>128</v>
      </c>
      <c r="AI826">
        <f t="shared" si="224"/>
        <v>22</v>
      </c>
      <c r="AJ826">
        <f t="shared" si="229"/>
        <v>72.300000000000011</v>
      </c>
      <c r="AK826">
        <f t="shared" si="225"/>
        <v>37</v>
      </c>
      <c r="AL826">
        <f t="shared" si="230"/>
        <v>42.5</v>
      </c>
      <c r="AM826" s="2">
        <f t="shared" si="226"/>
        <v>22</v>
      </c>
      <c r="AX826">
        <v>823</v>
      </c>
      <c r="AZ826" s="3"/>
      <c r="BB826" s="2">
        <f t="shared" si="227"/>
        <v>205</v>
      </c>
      <c r="BC826">
        <f t="shared" si="231"/>
        <v>23.348856209150327</v>
      </c>
      <c r="BD826" s="2">
        <f t="shared" si="233"/>
        <v>72.300000000000011</v>
      </c>
      <c r="BE826">
        <f t="shared" si="234"/>
        <v>42.5</v>
      </c>
      <c r="BF826">
        <f t="shared" si="235"/>
        <v>244800</v>
      </c>
    </row>
    <row r="827" spans="1:58" ht="14.25" x14ac:dyDescent="0.2">
      <c r="A827" s="12">
        <v>20144</v>
      </c>
      <c r="B827" s="13">
        <f t="shared" si="236"/>
        <v>16</v>
      </c>
      <c r="C827" s="15">
        <f t="shared" si="237"/>
        <v>12</v>
      </c>
      <c r="D827" s="14">
        <f t="shared" si="238"/>
        <v>11</v>
      </c>
      <c r="E827" t="s">
        <v>2777</v>
      </c>
      <c r="F827" t="s">
        <v>2837</v>
      </c>
      <c r="G827" t="s">
        <v>2779</v>
      </c>
      <c r="H827" t="s">
        <v>2779</v>
      </c>
      <c r="I827" t="s">
        <v>2780</v>
      </c>
      <c r="J827" s="4" t="s">
        <v>2840</v>
      </c>
      <c r="K827" t="s">
        <v>177</v>
      </c>
      <c r="L827" t="s">
        <v>163</v>
      </c>
      <c r="M827" t="s">
        <v>163</v>
      </c>
      <c r="N827" t="s">
        <v>163</v>
      </c>
      <c r="O827" s="6" t="s">
        <v>1355</v>
      </c>
      <c r="P827">
        <v>0</v>
      </c>
      <c r="Q827" s="24">
        <v>60.8</v>
      </c>
      <c r="R827" s="25">
        <v>83</v>
      </c>
      <c r="S827" s="26">
        <v>56.3</v>
      </c>
      <c r="Y827">
        <v>10</v>
      </c>
      <c r="Z827">
        <v>30</v>
      </c>
      <c r="AA827" s="3">
        <v>25</v>
      </c>
      <c r="AB827" s="3">
        <v>6</v>
      </c>
      <c r="AC827">
        <v>155</v>
      </c>
      <c r="AD827" s="9">
        <f t="shared" si="221"/>
        <v>5011.166666666667</v>
      </c>
      <c r="AE827">
        <f t="shared" si="228"/>
        <v>2555730</v>
      </c>
      <c r="AF827" s="2">
        <f t="shared" si="232"/>
        <v>42.5</v>
      </c>
      <c r="AG827" t="str">
        <f t="shared" si="222"/>
        <v>83小时</v>
      </c>
      <c r="AH827">
        <f t="shared" si="223"/>
        <v>128</v>
      </c>
      <c r="AI827">
        <f t="shared" si="224"/>
        <v>22</v>
      </c>
      <c r="AJ827">
        <f t="shared" si="229"/>
        <v>72.300000000000011</v>
      </c>
      <c r="AK827">
        <f t="shared" si="225"/>
        <v>37</v>
      </c>
      <c r="AL827">
        <f t="shared" si="230"/>
        <v>42.5</v>
      </c>
      <c r="AM827" s="2">
        <f t="shared" si="226"/>
        <v>22</v>
      </c>
      <c r="AX827">
        <v>824</v>
      </c>
      <c r="AZ827" s="3"/>
      <c r="BB827" s="2">
        <f t="shared" si="227"/>
        <v>205</v>
      </c>
      <c r="BC827">
        <f t="shared" si="231"/>
        <v>23.348856209150327</v>
      </c>
      <c r="BD827" s="2">
        <f t="shared" si="233"/>
        <v>72.300000000000011</v>
      </c>
      <c r="BE827">
        <f t="shared" si="234"/>
        <v>42.5</v>
      </c>
      <c r="BF827">
        <f t="shared" si="235"/>
        <v>244800</v>
      </c>
    </row>
    <row r="828" spans="1:58" ht="14.25" x14ac:dyDescent="0.2">
      <c r="A828" s="12">
        <v>20145</v>
      </c>
      <c r="B828" s="13">
        <f t="shared" si="236"/>
        <v>16</v>
      </c>
      <c r="C828" s="15">
        <f t="shared" si="237"/>
        <v>12</v>
      </c>
      <c r="D828" s="14">
        <f t="shared" si="238"/>
        <v>11</v>
      </c>
      <c r="E828" t="s">
        <v>2785</v>
      </c>
      <c r="F828" t="s">
        <v>2786</v>
      </c>
      <c r="G828" t="s">
        <v>2833</v>
      </c>
      <c r="H828" t="s">
        <v>2829</v>
      </c>
      <c r="I828" t="s">
        <v>2697</v>
      </c>
      <c r="J828" s="4" t="s">
        <v>2878</v>
      </c>
      <c r="K828" t="s">
        <v>174</v>
      </c>
      <c r="L828" t="s">
        <v>163</v>
      </c>
      <c r="M828" t="s">
        <v>163</v>
      </c>
      <c r="N828" t="s">
        <v>163</v>
      </c>
      <c r="O828" s="6" t="s">
        <v>1357</v>
      </c>
      <c r="P828">
        <v>0</v>
      </c>
      <c r="Q828" s="24">
        <v>60.8</v>
      </c>
      <c r="R828" s="25">
        <v>83</v>
      </c>
      <c r="S828" s="26">
        <v>56.3</v>
      </c>
      <c r="Y828">
        <v>10</v>
      </c>
      <c r="Z828">
        <v>30</v>
      </c>
      <c r="AA828" s="3">
        <v>25</v>
      </c>
      <c r="AB828" s="3">
        <v>6</v>
      </c>
      <c r="AC828">
        <v>155</v>
      </c>
      <c r="AD828" s="9">
        <f t="shared" si="221"/>
        <v>5011.166666666667</v>
      </c>
      <c r="AE828">
        <f t="shared" si="228"/>
        <v>2555730</v>
      </c>
      <c r="AF828" s="2">
        <f t="shared" si="232"/>
        <v>42.5</v>
      </c>
      <c r="AG828" t="str">
        <f t="shared" si="222"/>
        <v>83小时</v>
      </c>
      <c r="AH828">
        <f t="shared" si="223"/>
        <v>128</v>
      </c>
      <c r="AI828">
        <f t="shared" si="224"/>
        <v>22</v>
      </c>
      <c r="AJ828">
        <f t="shared" si="229"/>
        <v>72.300000000000011</v>
      </c>
      <c r="AK828">
        <f t="shared" si="225"/>
        <v>37</v>
      </c>
      <c r="AL828">
        <f t="shared" si="230"/>
        <v>42.5</v>
      </c>
      <c r="AM828" s="2">
        <f t="shared" si="226"/>
        <v>22</v>
      </c>
      <c r="AX828">
        <v>825</v>
      </c>
      <c r="AZ828" s="3"/>
      <c r="BB828" s="2">
        <f t="shared" si="227"/>
        <v>205</v>
      </c>
      <c r="BC828">
        <f t="shared" si="231"/>
        <v>23.348856209150327</v>
      </c>
      <c r="BD828" s="2">
        <f t="shared" si="233"/>
        <v>72.300000000000011</v>
      </c>
      <c r="BE828">
        <f t="shared" si="234"/>
        <v>42.5</v>
      </c>
      <c r="BF828">
        <f t="shared" si="235"/>
        <v>244800</v>
      </c>
    </row>
    <row r="829" spans="1:58" ht="14.25" x14ac:dyDescent="0.2">
      <c r="A829" s="12">
        <v>20146</v>
      </c>
      <c r="B829" s="13">
        <f t="shared" si="236"/>
        <v>16</v>
      </c>
      <c r="C829" s="15">
        <f t="shared" si="237"/>
        <v>12</v>
      </c>
      <c r="D829" s="14">
        <f t="shared" si="238"/>
        <v>11</v>
      </c>
      <c r="E829" t="s">
        <v>2777</v>
      </c>
      <c r="F829" t="s">
        <v>2834</v>
      </c>
      <c r="G829" t="s">
        <v>2779</v>
      </c>
      <c r="H829" t="s">
        <v>2779</v>
      </c>
      <c r="I829" t="s">
        <v>2780</v>
      </c>
      <c r="J829" s="4" t="s">
        <v>2840</v>
      </c>
      <c r="K829" t="s">
        <v>182</v>
      </c>
      <c r="L829" t="s">
        <v>163</v>
      </c>
      <c r="M829" t="s">
        <v>163</v>
      </c>
      <c r="N829" t="s">
        <v>163</v>
      </c>
      <c r="O829" s="6" t="s">
        <v>1359</v>
      </c>
      <c r="P829">
        <v>0</v>
      </c>
      <c r="Q829" s="24">
        <v>61.2</v>
      </c>
      <c r="R829" s="25">
        <v>83.5</v>
      </c>
      <c r="S829" s="26">
        <v>56.5</v>
      </c>
      <c r="Y829">
        <v>10</v>
      </c>
      <c r="Z829">
        <v>30</v>
      </c>
      <c r="AA829" s="3">
        <v>25</v>
      </c>
      <c r="AB829" s="3">
        <v>6</v>
      </c>
      <c r="AC829">
        <v>155</v>
      </c>
      <c r="AD829" s="9">
        <f t="shared" si="221"/>
        <v>4987.75</v>
      </c>
      <c r="AE829">
        <f t="shared" si="228"/>
        <v>2555730</v>
      </c>
      <c r="AF829" s="2">
        <f t="shared" si="232"/>
        <v>42.7</v>
      </c>
      <c r="AG829" t="str">
        <f t="shared" si="222"/>
        <v>83小时</v>
      </c>
      <c r="AH829">
        <f t="shared" si="223"/>
        <v>129</v>
      </c>
      <c r="AI829">
        <f t="shared" si="224"/>
        <v>22</v>
      </c>
      <c r="AJ829">
        <f t="shared" si="229"/>
        <v>72.599999999999994</v>
      </c>
      <c r="AK829">
        <f t="shared" si="225"/>
        <v>37</v>
      </c>
      <c r="AL829">
        <f t="shared" si="230"/>
        <v>42.7</v>
      </c>
      <c r="AM829" s="2">
        <f t="shared" si="226"/>
        <v>22</v>
      </c>
      <c r="AX829">
        <v>826</v>
      </c>
      <c r="AZ829" s="3"/>
      <c r="BB829" s="2">
        <f t="shared" si="227"/>
        <v>205</v>
      </c>
      <c r="BC829">
        <f t="shared" si="231"/>
        <v>23.239493884985688</v>
      </c>
      <c r="BD829" s="2">
        <f t="shared" si="233"/>
        <v>72.599999999999994</v>
      </c>
      <c r="BE829">
        <f t="shared" si="234"/>
        <v>42.7</v>
      </c>
      <c r="BF829">
        <f t="shared" si="235"/>
        <v>245952</v>
      </c>
    </row>
    <row r="830" spans="1:58" ht="14.25" x14ac:dyDescent="0.2">
      <c r="A830" s="12">
        <v>20147</v>
      </c>
      <c r="B830" s="13">
        <f t="shared" si="236"/>
        <v>16</v>
      </c>
      <c r="C830" s="15">
        <f t="shared" si="237"/>
        <v>12</v>
      </c>
      <c r="D830" s="14">
        <f t="shared" si="238"/>
        <v>11</v>
      </c>
      <c r="E830" t="s">
        <v>2777</v>
      </c>
      <c r="F830" t="s">
        <v>2835</v>
      </c>
      <c r="G830" t="s">
        <v>2779</v>
      </c>
      <c r="H830" t="s">
        <v>2779</v>
      </c>
      <c r="I830" t="s">
        <v>2780</v>
      </c>
      <c r="J830" s="4" t="s">
        <v>2840</v>
      </c>
      <c r="K830" t="s">
        <v>162</v>
      </c>
      <c r="L830" t="s">
        <v>163</v>
      </c>
      <c r="M830" t="s">
        <v>163</v>
      </c>
      <c r="N830" t="s">
        <v>163</v>
      </c>
      <c r="O830" s="6" t="s">
        <v>1359</v>
      </c>
      <c r="P830">
        <v>0</v>
      </c>
      <c r="Q830" s="24">
        <v>61.2</v>
      </c>
      <c r="R830" s="25">
        <v>83.5</v>
      </c>
      <c r="S830" s="26">
        <v>56.5</v>
      </c>
      <c r="Y830">
        <v>10</v>
      </c>
      <c r="Z830">
        <v>30</v>
      </c>
      <c r="AA830" s="3">
        <v>25</v>
      </c>
      <c r="AB830" s="3">
        <v>6</v>
      </c>
      <c r="AC830">
        <v>155</v>
      </c>
      <c r="AD830" s="9">
        <f t="shared" si="221"/>
        <v>4987.75</v>
      </c>
      <c r="AE830">
        <f t="shared" si="228"/>
        <v>2555730</v>
      </c>
      <c r="AF830" s="2">
        <f t="shared" si="232"/>
        <v>42.7</v>
      </c>
      <c r="AG830" t="str">
        <f t="shared" si="222"/>
        <v>83小时</v>
      </c>
      <c r="AH830">
        <f t="shared" si="223"/>
        <v>129</v>
      </c>
      <c r="AI830">
        <f t="shared" si="224"/>
        <v>22</v>
      </c>
      <c r="AJ830">
        <f t="shared" si="229"/>
        <v>72.599999999999994</v>
      </c>
      <c r="AK830">
        <f t="shared" si="225"/>
        <v>37</v>
      </c>
      <c r="AL830">
        <f t="shared" si="230"/>
        <v>42.7</v>
      </c>
      <c r="AM830" s="2">
        <f t="shared" si="226"/>
        <v>22</v>
      </c>
      <c r="AX830">
        <v>827</v>
      </c>
      <c r="AZ830" s="3"/>
      <c r="BB830" s="2">
        <f t="shared" si="227"/>
        <v>205</v>
      </c>
      <c r="BC830">
        <f t="shared" si="231"/>
        <v>23.239493884985688</v>
      </c>
      <c r="BD830" s="2">
        <f t="shared" si="233"/>
        <v>72.599999999999994</v>
      </c>
      <c r="BE830">
        <f t="shared" si="234"/>
        <v>42.7</v>
      </c>
      <c r="BF830">
        <f t="shared" si="235"/>
        <v>245952</v>
      </c>
    </row>
    <row r="831" spans="1:58" ht="14.25" x14ac:dyDescent="0.2">
      <c r="A831" s="12">
        <v>20148</v>
      </c>
      <c r="B831" s="13">
        <f t="shared" si="236"/>
        <v>16</v>
      </c>
      <c r="C831" s="15">
        <f t="shared" si="237"/>
        <v>12</v>
      </c>
      <c r="D831" s="14">
        <f t="shared" si="238"/>
        <v>11</v>
      </c>
      <c r="E831" t="s">
        <v>2777</v>
      </c>
      <c r="F831" t="s">
        <v>2836</v>
      </c>
      <c r="G831" t="s">
        <v>2779</v>
      </c>
      <c r="H831" t="s">
        <v>2779</v>
      </c>
      <c r="I831" t="s">
        <v>2780</v>
      </c>
      <c r="J831" s="4" t="s">
        <v>2840</v>
      </c>
      <c r="K831" t="s">
        <v>177</v>
      </c>
      <c r="L831" t="s">
        <v>163</v>
      </c>
      <c r="M831" t="s">
        <v>163</v>
      </c>
      <c r="N831" t="s">
        <v>163</v>
      </c>
      <c r="O831" s="6" t="s">
        <v>1361</v>
      </c>
      <c r="P831">
        <v>0</v>
      </c>
      <c r="Q831" s="24">
        <v>61.2</v>
      </c>
      <c r="R831" s="25">
        <v>83.5</v>
      </c>
      <c r="S831" s="26">
        <v>56.5</v>
      </c>
      <c r="Y831">
        <v>10</v>
      </c>
      <c r="Z831">
        <v>30</v>
      </c>
      <c r="AA831" s="3">
        <v>25</v>
      </c>
      <c r="AB831" s="3">
        <v>6</v>
      </c>
      <c r="AC831">
        <v>155</v>
      </c>
      <c r="AD831" s="9">
        <f t="shared" si="221"/>
        <v>4987.75</v>
      </c>
      <c r="AE831">
        <f t="shared" si="228"/>
        <v>2555730</v>
      </c>
      <c r="AF831" s="2">
        <f t="shared" si="232"/>
        <v>42.7</v>
      </c>
      <c r="AG831" t="str">
        <f t="shared" si="222"/>
        <v>83小时</v>
      </c>
      <c r="AH831">
        <f t="shared" si="223"/>
        <v>129</v>
      </c>
      <c r="AI831">
        <f t="shared" si="224"/>
        <v>22</v>
      </c>
      <c r="AJ831">
        <f t="shared" si="229"/>
        <v>72.599999999999994</v>
      </c>
      <c r="AK831">
        <f t="shared" si="225"/>
        <v>37</v>
      </c>
      <c r="AL831">
        <f t="shared" si="230"/>
        <v>42.7</v>
      </c>
      <c r="AM831" s="2">
        <f t="shared" si="226"/>
        <v>22</v>
      </c>
      <c r="AX831">
        <v>828</v>
      </c>
      <c r="AZ831" s="3"/>
      <c r="BB831" s="2">
        <f t="shared" si="227"/>
        <v>205</v>
      </c>
      <c r="BC831">
        <f t="shared" si="231"/>
        <v>23.239493884985688</v>
      </c>
      <c r="BD831" s="2">
        <f t="shared" si="233"/>
        <v>72.599999999999994</v>
      </c>
      <c r="BE831">
        <f t="shared" si="234"/>
        <v>42.7</v>
      </c>
      <c r="BF831">
        <f t="shared" si="235"/>
        <v>245952</v>
      </c>
    </row>
    <row r="832" spans="1:58" ht="14.25" x14ac:dyDescent="0.2">
      <c r="A832" s="12">
        <v>20149</v>
      </c>
      <c r="B832" s="13">
        <f t="shared" si="236"/>
        <v>16</v>
      </c>
      <c r="C832" s="15">
        <f t="shared" si="237"/>
        <v>12</v>
      </c>
      <c r="D832" s="14">
        <f t="shared" si="238"/>
        <v>11</v>
      </c>
      <c r="E832" t="s">
        <v>2777</v>
      </c>
      <c r="F832" t="s">
        <v>2837</v>
      </c>
      <c r="G832" t="s">
        <v>2779</v>
      </c>
      <c r="H832" t="s">
        <v>2779</v>
      </c>
      <c r="I832" t="s">
        <v>2780</v>
      </c>
      <c r="J832" s="4" t="s">
        <v>2840</v>
      </c>
      <c r="K832" t="s">
        <v>174</v>
      </c>
      <c r="L832" t="s">
        <v>163</v>
      </c>
      <c r="M832" t="s">
        <v>163</v>
      </c>
      <c r="N832" t="s">
        <v>163</v>
      </c>
      <c r="O832" s="6" t="s">
        <v>1363</v>
      </c>
      <c r="P832">
        <v>0</v>
      </c>
      <c r="Q832" s="24">
        <v>61.2</v>
      </c>
      <c r="R832" s="25">
        <v>83.5</v>
      </c>
      <c r="S832" s="26">
        <v>56.5</v>
      </c>
      <c r="Y832">
        <v>10</v>
      </c>
      <c r="Z832">
        <v>30</v>
      </c>
      <c r="AA832" s="3">
        <v>25</v>
      </c>
      <c r="AB832" s="3">
        <v>6</v>
      </c>
      <c r="AC832">
        <v>155</v>
      </c>
      <c r="AD832" s="9">
        <f t="shared" ref="AD832:AD895" si="239">INT(AE832/AF832)/60*5</f>
        <v>4987.75</v>
      </c>
      <c r="AE832">
        <f t="shared" si="228"/>
        <v>2555730</v>
      </c>
      <c r="AF832" s="2">
        <f t="shared" si="232"/>
        <v>42.7</v>
      </c>
      <c r="AG832" t="str">
        <f t="shared" ref="AG832:AG895" si="240">IF(AD832&lt;60,CONCATENATE(INT(AD832),"分钟"),CONCATENATE(INT(AD832/60),"小时"))</f>
        <v>83小时</v>
      </c>
      <c r="AH832">
        <f t="shared" ref="AH832:AH895" si="241">ROUNDUP(AF832*3,0)</f>
        <v>129</v>
      </c>
      <c r="AI832">
        <f t="shared" ref="AI832:AI895" si="242">ROUNDUP(AH832/AB832,0)</f>
        <v>22</v>
      </c>
      <c r="AJ832">
        <f t="shared" si="229"/>
        <v>72.599999999999994</v>
      </c>
      <c r="AK832">
        <f t="shared" ref="AK832:AK895" si="243">ROUNDUP(AJ832*3/AB832,0)</f>
        <v>37</v>
      </c>
      <c r="AL832">
        <f t="shared" si="230"/>
        <v>42.7</v>
      </c>
      <c r="AM832" s="2">
        <f t="shared" ref="AM832:AM895" si="244">ROUNDUP(AL832*3/AB832,0)</f>
        <v>22</v>
      </c>
      <c r="AX832">
        <v>829</v>
      </c>
      <c r="AZ832" s="3"/>
      <c r="BB832" s="2">
        <f t="shared" si="227"/>
        <v>205</v>
      </c>
      <c r="BC832">
        <f t="shared" si="231"/>
        <v>23.239493884985688</v>
      </c>
      <c r="BD832" s="2">
        <f t="shared" si="233"/>
        <v>72.599999999999994</v>
      </c>
      <c r="BE832">
        <f t="shared" si="234"/>
        <v>42.7</v>
      </c>
      <c r="BF832">
        <f t="shared" si="235"/>
        <v>245952</v>
      </c>
    </row>
    <row r="833" spans="1:58" ht="14.25" x14ac:dyDescent="0.2">
      <c r="A833" s="12">
        <v>20150</v>
      </c>
      <c r="B833" s="13">
        <f t="shared" si="236"/>
        <v>16</v>
      </c>
      <c r="C833" s="15">
        <f t="shared" si="237"/>
        <v>12</v>
      </c>
      <c r="D833" s="14">
        <f t="shared" si="238"/>
        <v>11</v>
      </c>
      <c r="E833" t="s">
        <v>2785</v>
      </c>
      <c r="F833" t="s">
        <v>2786</v>
      </c>
      <c r="G833" t="s">
        <v>2828</v>
      </c>
      <c r="H833" t="s">
        <v>2829</v>
      </c>
      <c r="I833" t="s">
        <v>2697</v>
      </c>
      <c r="J833" s="4" t="s">
        <v>2878</v>
      </c>
      <c r="K833" t="s">
        <v>166</v>
      </c>
      <c r="L833" t="s">
        <v>163</v>
      </c>
      <c r="M833" t="s">
        <v>163</v>
      </c>
      <c r="N833" t="s">
        <v>163</v>
      </c>
      <c r="O833" s="6" t="s">
        <v>1363</v>
      </c>
      <c r="P833">
        <v>0</v>
      </c>
      <c r="Q833" s="24">
        <v>61.2</v>
      </c>
      <c r="R833" s="25">
        <v>83.5</v>
      </c>
      <c r="S833" s="26">
        <v>56.5</v>
      </c>
      <c r="Y833">
        <v>10</v>
      </c>
      <c r="Z833">
        <v>30</v>
      </c>
      <c r="AA833" s="3">
        <v>25</v>
      </c>
      <c r="AB833" s="3">
        <v>6</v>
      </c>
      <c r="AC833">
        <v>155</v>
      </c>
      <c r="AD833" s="9">
        <f t="shared" si="239"/>
        <v>4987.75</v>
      </c>
      <c r="AE833">
        <f t="shared" si="228"/>
        <v>2555730</v>
      </c>
      <c r="AF833" s="2">
        <f t="shared" si="232"/>
        <v>42.7</v>
      </c>
      <c r="AG833" t="str">
        <f t="shared" si="240"/>
        <v>83小时</v>
      </c>
      <c r="AH833">
        <f t="shared" si="241"/>
        <v>129</v>
      </c>
      <c r="AI833">
        <f t="shared" si="242"/>
        <v>22</v>
      </c>
      <c r="AJ833">
        <f t="shared" si="229"/>
        <v>72.599999999999994</v>
      </c>
      <c r="AK833">
        <f t="shared" si="243"/>
        <v>37</v>
      </c>
      <c r="AL833">
        <f t="shared" si="230"/>
        <v>42.7</v>
      </c>
      <c r="AM833" s="2">
        <f t="shared" si="244"/>
        <v>22</v>
      </c>
      <c r="AX833">
        <v>830</v>
      </c>
      <c r="AZ833" s="3"/>
      <c r="BB833" s="2">
        <f t="shared" si="227"/>
        <v>205</v>
      </c>
      <c r="BC833">
        <f t="shared" si="231"/>
        <v>23.239493884985688</v>
      </c>
      <c r="BD833" s="2">
        <f t="shared" si="233"/>
        <v>72.599999999999994</v>
      </c>
      <c r="BE833">
        <f t="shared" si="234"/>
        <v>42.7</v>
      </c>
      <c r="BF833">
        <f t="shared" si="235"/>
        <v>245952</v>
      </c>
    </row>
    <row r="834" spans="1:58" ht="14.25" x14ac:dyDescent="0.2">
      <c r="A834" s="12">
        <v>20201</v>
      </c>
      <c r="B834" s="13">
        <f t="shared" si="236"/>
        <v>16</v>
      </c>
      <c r="C834" s="15">
        <f t="shared" si="237"/>
        <v>12</v>
      </c>
      <c r="D834" s="14">
        <f t="shared" si="238"/>
        <v>11</v>
      </c>
      <c r="E834" t="s">
        <v>2777</v>
      </c>
      <c r="F834" t="s">
        <v>2834</v>
      </c>
      <c r="G834" t="s">
        <v>2779</v>
      </c>
      <c r="H834" t="s">
        <v>2779</v>
      </c>
      <c r="I834" t="s">
        <v>2780</v>
      </c>
      <c r="J834" s="4" t="s">
        <v>2841</v>
      </c>
      <c r="K834" t="s">
        <v>168</v>
      </c>
      <c r="L834" t="s">
        <v>163</v>
      </c>
      <c r="M834" t="s">
        <v>163</v>
      </c>
      <c r="N834" t="s">
        <v>163</v>
      </c>
      <c r="O834" s="6" t="s">
        <v>1365</v>
      </c>
      <c r="P834">
        <v>0</v>
      </c>
      <c r="Q834" s="24">
        <v>61.5</v>
      </c>
      <c r="R834" s="25">
        <v>84</v>
      </c>
      <c r="S834" s="26">
        <v>56.8</v>
      </c>
      <c r="Y834">
        <v>10</v>
      </c>
      <c r="Z834">
        <v>30</v>
      </c>
      <c r="AA834" s="3">
        <v>25</v>
      </c>
      <c r="AB834" s="3">
        <v>6</v>
      </c>
      <c r="AC834">
        <v>155</v>
      </c>
      <c r="AD834" s="9">
        <f t="shared" si="239"/>
        <v>4952.916666666667</v>
      </c>
      <c r="AE834">
        <f t="shared" si="228"/>
        <v>2555730</v>
      </c>
      <c r="AF834" s="2">
        <f t="shared" si="232"/>
        <v>43</v>
      </c>
      <c r="AG834" t="str">
        <f t="shared" si="240"/>
        <v>82小时</v>
      </c>
      <c r="AH834">
        <f t="shared" si="241"/>
        <v>129</v>
      </c>
      <c r="AI834">
        <f t="shared" si="242"/>
        <v>22</v>
      </c>
      <c r="AJ834">
        <f t="shared" si="229"/>
        <v>73</v>
      </c>
      <c r="AK834">
        <f t="shared" si="243"/>
        <v>37</v>
      </c>
      <c r="AL834">
        <f t="shared" si="230"/>
        <v>43</v>
      </c>
      <c r="AM834" s="2">
        <f t="shared" si="244"/>
        <v>22</v>
      </c>
      <c r="AX834">
        <v>831</v>
      </c>
      <c r="AZ834" s="3"/>
      <c r="BB834" s="2">
        <f t="shared" si="227"/>
        <v>205</v>
      </c>
      <c r="BC834">
        <f t="shared" si="231"/>
        <v>23.077357881136951</v>
      </c>
      <c r="BD834" s="2">
        <f t="shared" si="233"/>
        <v>73</v>
      </c>
      <c r="BE834">
        <f t="shared" si="234"/>
        <v>43</v>
      </c>
      <c r="BF834">
        <f t="shared" si="235"/>
        <v>247680</v>
      </c>
    </row>
    <row r="835" spans="1:58" ht="14.25" x14ac:dyDescent="0.2">
      <c r="A835" s="12">
        <v>20202</v>
      </c>
      <c r="B835" s="13">
        <f t="shared" si="236"/>
        <v>16</v>
      </c>
      <c r="C835" s="15">
        <f t="shared" si="237"/>
        <v>12</v>
      </c>
      <c r="D835" s="14">
        <f t="shared" si="238"/>
        <v>11</v>
      </c>
      <c r="E835" t="s">
        <v>2777</v>
      </c>
      <c r="F835" t="s">
        <v>2835</v>
      </c>
      <c r="G835" t="s">
        <v>2779</v>
      </c>
      <c r="H835" t="s">
        <v>2779</v>
      </c>
      <c r="I835" t="s">
        <v>2780</v>
      </c>
      <c r="J835" s="4" t="s">
        <v>2841</v>
      </c>
      <c r="K835" t="s">
        <v>175</v>
      </c>
      <c r="L835" t="s">
        <v>164</v>
      </c>
      <c r="M835" t="s">
        <v>163</v>
      </c>
      <c r="N835" t="s">
        <v>167</v>
      </c>
      <c r="O835" s="6" t="s">
        <v>1367</v>
      </c>
      <c r="P835">
        <v>0</v>
      </c>
      <c r="Q835" s="24">
        <v>61.5</v>
      </c>
      <c r="R835" s="25">
        <v>84</v>
      </c>
      <c r="S835" s="26">
        <v>56.8</v>
      </c>
      <c r="Y835">
        <v>10</v>
      </c>
      <c r="Z835">
        <v>30</v>
      </c>
      <c r="AA835" s="3">
        <v>25</v>
      </c>
      <c r="AB835" s="3">
        <v>6</v>
      </c>
      <c r="AC835">
        <v>155</v>
      </c>
      <c r="AD835" s="9">
        <f t="shared" si="239"/>
        <v>4952.916666666667</v>
      </c>
      <c r="AE835">
        <f t="shared" si="228"/>
        <v>2555730</v>
      </c>
      <c r="AF835" s="2">
        <f t="shared" si="232"/>
        <v>43</v>
      </c>
      <c r="AG835" t="str">
        <f t="shared" si="240"/>
        <v>82小时</v>
      </c>
      <c r="AH835">
        <f t="shared" si="241"/>
        <v>129</v>
      </c>
      <c r="AI835">
        <f t="shared" si="242"/>
        <v>22</v>
      </c>
      <c r="AJ835">
        <f t="shared" si="229"/>
        <v>73</v>
      </c>
      <c r="AK835">
        <f t="shared" si="243"/>
        <v>37</v>
      </c>
      <c r="AL835">
        <f t="shared" si="230"/>
        <v>43</v>
      </c>
      <c r="AM835" s="2">
        <f t="shared" si="244"/>
        <v>22</v>
      </c>
      <c r="AX835">
        <v>832</v>
      </c>
      <c r="AZ835" s="3"/>
      <c r="BB835" s="2">
        <f t="shared" ref="BB835:BB898" si="245">100+FLOOR((AX835-190)/30,1)*5</f>
        <v>205</v>
      </c>
      <c r="BC835">
        <f t="shared" si="231"/>
        <v>23.077357881136951</v>
      </c>
      <c r="BD835" s="2">
        <f t="shared" si="233"/>
        <v>73</v>
      </c>
      <c r="BE835">
        <f t="shared" si="234"/>
        <v>43</v>
      </c>
      <c r="BF835">
        <f t="shared" si="235"/>
        <v>247680</v>
      </c>
    </row>
    <row r="836" spans="1:58" ht="14.25" x14ac:dyDescent="0.2">
      <c r="A836" s="12">
        <v>20203</v>
      </c>
      <c r="B836" s="13">
        <f t="shared" si="236"/>
        <v>16</v>
      </c>
      <c r="C836" s="15">
        <f t="shared" si="237"/>
        <v>12</v>
      </c>
      <c r="D836" s="14">
        <f t="shared" si="238"/>
        <v>11</v>
      </c>
      <c r="E836" t="s">
        <v>2777</v>
      </c>
      <c r="F836" t="s">
        <v>2836</v>
      </c>
      <c r="G836" t="s">
        <v>2779</v>
      </c>
      <c r="H836" t="s">
        <v>2779</v>
      </c>
      <c r="I836" t="s">
        <v>2780</v>
      </c>
      <c r="J836" s="4" t="s">
        <v>2841</v>
      </c>
      <c r="K836" t="s">
        <v>179</v>
      </c>
      <c r="L836" t="s">
        <v>163</v>
      </c>
      <c r="M836" t="s">
        <v>163</v>
      </c>
      <c r="N836" t="s">
        <v>163</v>
      </c>
      <c r="O836" s="6" t="s">
        <v>1369</v>
      </c>
      <c r="P836">
        <v>0</v>
      </c>
      <c r="Q836" s="24">
        <v>61.5</v>
      </c>
      <c r="R836" s="25">
        <v>84</v>
      </c>
      <c r="S836" s="26">
        <v>56.8</v>
      </c>
      <c r="Y836">
        <v>10</v>
      </c>
      <c r="Z836">
        <v>30</v>
      </c>
      <c r="AA836" s="3">
        <v>25</v>
      </c>
      <c r="AB836" s="3">
        <v>6</v>
      </c>
      <c r="AC836">
        <v>155</v>
      </c>
      <c r="AD836" s="9">
        <f t="shared" si="239"/>
        <v>4952.916666666667</v>
      </c>
      <c r="AE836">
        <f t="shared" ref="AE836:AE899" si="246">INDEX(V:V,MATCH(AC836,U:U,0))</f>
        <v>2555730</v>
      </c>
      <c r="AF836" s="2">
        <f t="shared" si="232"/>
        <v>43</v>
      </c>
      <c r="AG836" t="str">
        <f t="shared" si="240"/>
        <v>82小时</v>
      </c>
      <c r="AH836">
        <f t="shared" si="241"/>
        <v>129</v>
      </c>
      <c r="AI836">
        <f t="shared" si="242"/>
        <v>22</v>
      </c>
      <c r="AJ836">
        <f t="shared" ref="AJ836:AJ899" si="247">BD836</f>
        <v>73</v>
      </c>
      <c r="AK836">
        <f t="shared" si="243"/>
        <v>37</v>
      </c>
      <c r="AL836">
        <f t="shared" ref="AL836:AL899" si="248">BE836</f>
        <v>43</v>
      </c>
      <c r="AM836" s="2">
        <f t="shared" si="244"/>
        <v>22</v>
      </c>
      <c r="AX836">
        <v>833</v>
      </c>
      <c r="AZ836" s="3"/>
      <c r="BB836" s="2">
        <f t="shared" si="245"/>
        <v>205</v>
      </c>
      <c r="BC836">
        <f t="shared" ref="BC836:BC899" si="249">INDEX($W:$W,MATCH(BB836,$U:$U,0))/(BE836*60*60/5)</f>
        <v>23.077357881136951</v>
      </c>
      <c r="BD836" s="2">
        <f t="shared" si="233"/>
        <v>73</v>
      </c>
      <c r="BE836">
        <f t="shared" si="234"/>
        <v>43</v>
      </c>
      <c r="BF836">
        <f t="shared" si="235"/>
        <v>247680</v>
      </c>
    </row>
    <row r="837" spans="1:58" ht="14.25" x14ac:dyDescent="0.2">
      <c r="A837" s="12">
        <v>20204</v>
      </c>
      <c r="B837" s="13">
        <f t="shared" si="236"/>
        <v>16</v>
      </c>
      <c r="C837" s="15">
        <f t="shared" si="237"/>
        <v>12</v>
      </c>
      <c r="D837" s="14">
        <f t="shared" si="238"/>
        <v>11</v>
      </c>
      <c r="E837" t="s">
        <v>2777</v>
      </c>
      <c r="F837" t="s">
        <v>2837</v>
      </c>
      <c r="G837" t="s">
        <v>2779</v>
      </c>
      <c r="H837" t="s">
        <v>2779</v>
      </c>
      <c r="I837" t="s">
        <v>2780</v>
      </c>
      <c r="J837" s="4" t="s">
        <v>2841</v>
      </c>
      <c r="K837" t="s">
        <v>177</v>
      </c>
      <c r="L837" t="s">
        <v>163</v>
      </c>
      <c r="M837" t="s">
        <v>163</v>
      </c>
      <c r="N837" t="s">
        <v>163</v>
      </c>
      <c r="O837" s="6" t="s">
        <v>1369</v>
      </c>
      <c r="P837">
        <v>0</v>
      </c>
      <c r="Q837" s="24">
        <v>61.5</v>
      </c>
      <c r="R837" s="25">
        <v>84</v>
      </c>
      <c r="S837" s="26">
        <v>56.8</v>
      </c>
      <c r="Y837">
        <v>10</v>
      </c>
      <c r="Z837">
        <v>30</v>
      </c>
      <c r="AA837" s="3">
        <v>25</v>
      </c>
      <c r="AB837" s="3">
        <v>6</v>
      </c>
      <c r="AC837">
        <v>155</v>
      </c>
      <c r="AD837" s="9">
        <f t="shared" si="239"/>
        <v>4952.916666666667</v>
      </c>
      <c r="AE837">
        <f t="shared" si="246"/>
        <v>2555730</v>
      </c>
      <c r="AF837" s="2">
        <f t="shared" ref="AF837:AF900" si="250">BE837</f>
        <v>43</v>
      </c>
      <c r="AG837" t="str">
        <f t="shared" si="240"/>
        <v>82小时</v>
      </c>
      <c r="AH837">
        <f t="shared" si="241"/>
        <v>129</v>
      </c>
      <c r="AI837">
        <f t="shared" si="242"/>
        <v>22</v>
      </c>
      <c r="AJ837">
        <f t="shared" si="247"/>
        <v>73</v>
      </c>
      <c r="AK837">
        <f t="shared" si="243"/>
        <v>37</v>
      </c>
      <c r="AL837">
        <f t="shared" si="248"/>
        <v>43</v>
      </c>
      <c r="AM837" s="2">
        <f t="shared" si="244"/>
        <v>22</v>
      </c>
      <c r="AX837">
        <v>834</v>
      </c>
      <c r="AZ837" s="3"/>
      <c r="BB837" s="2">
        <f t="shared" si="245"/>
        <v>205</v>
      </c>
      <c r="BC837">
        <f t="shared" si="249"/>
        <v>23.077357881136951</v>
      </c>
      <c r="BD837" s="2">
        <f t="shared" ref="BD837:BD900" si="251">ROUNDUP(BE837*1.5,1)+8.5</f>
        <v>73</v>
      </c>
      <c r="BE837">
        <f t="shared" ref="BE837:BE900" si="252">FLOOR(ROUNDUP(AX837/5,0)*0.25+1.25,0.1)</f>
        <v>43</v>
      </c>
      <c r="BF837">
        <f t="shared" ref="BF837:BF900" si="253">BE837*8*60*60/5</f>
        <v>247680</v>
      </c>
    </row>
    <row r="838" spans="1:58" ht="14.25" x14ac:dyDescent="0.2">
      <c r="A838" s="12">
        <v>20205</v>
      </c>
      <c r="B838" s="13">
        <f t="shared" si="236"/>
        <v>16</v>
      </c>
      <c r="C838" s="15">
        <f t="shared" si="237"/>
        <v>12</v>
      </c>
      <c r="D838" s="14">
        <f t="shared" si="238"/>
        <v>11</v>
      </c>
      <c r="E838" t="s">
        <v>2785</v>
      </c>
      <c r="F838" t="s">
        <v>2786</v>
      </c>
      <c r="G838" t="s">
        <v>2830</v>
      </c>
      <c r="H838" t="s">
        <v>2829</v>
      </c>
      <c r="I838" t="s">
        <v>2697</v>
      </c>
      <c r="J838" s="4" t="s">
        <v>2861</v>
      </c>
      <c r="K838" t="s">
        <v>174</v>
      </c>
      <c r="L838" t="s">
        <v>163</v>
      </c>
      <c r="M838" t="s">
        <v>163</v>
      </c>
      <c r="N838" t="s">
        <v>163</v>
      </c>
      <c r="O838" s="6" t="s">
        <v>1371</v>
      </c>
      <c r="P838">
        <v>0</v>
      </c>
      <c r="Q838" s="24">
        <v>61.5</v>
      </c>
      <c r="R838" s="25">
        <v>84</v>
      </c>
      <c r="S838" s="26">
        <v>56.8</v>
      </c>
      <c r="Y838">
        <v>10</v>
      </c>
      <c r="Z838">
        <v>30</v>
      </c>
      <c r="AA838" s="3">
        <v>25</v>
      </c>
      <c r="AB838" s="3">
        <v>6</v>
      </c>
      <c r="AC838">
        <v>155</v>
      </c>
      <c r="AD838" s="9">
        <f t="shared" si="239"/>
        <v>4952.916666666667</v>
      </c>
      <c r="AE838">
        <f t="shared" si="246"/>
        <v>2555730</v>
      </c>
      <c r="AF838" s="2">
        <f t="shared" si="250"/>
        <v>43</v>
      </c>
      <c r="AG838" t="str">
        <f t="shared" si="240"/>
        <v>82小时</v>
      </c>
      <c r="AH838">
        <f t="shared" si="241"/>
        <v>129</v>
      </c>
      <c r="AI838">
        <f t="shared" si="242"/>
        <v>22</v>
      </c>
      <c r="AJ838">
        <f t="shared" si="247"/>
        <v>73</v>
      </c>
      <c r="AK838">
        <f t="shared" si="243"/>
        <v>37</v>
      </c>
      <c r="AL838">
        <f t="shared" si="248"/>
        <v>43</v>
      </c>
      <c r="AM838" s="2">
        <f t="shared" si="244"/>
        <v>22</v>
      </c>
      <c r="AX838">
        <v>835</v>
      </c>
      <c r="AZ838" s="3"/>
      <c r="BB838" s="2">
        <f t="shared" si="245"/>
        <v>205</v>
      </c>
      <c r="BC838">
        <f t="shared" si="249"/>
        <v>23.077357881136951</v>
      </c>
      <c r="BD838" s="2">
        <f t="shared" si="251"/>
        <v>73</v>
      </c>
      <c r="BE838">
        <f t="shared" si="252"/>
        <v>43</v>
      </c>
      <c r="BF838">
        <f t="shared" si="253"/>
        <v>247680</v>
      </c>
    </row>
    <row r="839" spans="1:58" ht="14.25" x14ac:dyDescent="0.2">
      <c r="A839" s="12">
        <v>20206</v>
      </c>
      <c r="B839" s="13">
        <f t="shared" si="236"/>
        <v>16</v>
      </c>
      <c r="C839" s="15">
        <f t="shared" si="237"/>
        <v>12</v>
      </c>
      <c r="D839" s="14">
        <f t="shared" si="238"/>
        <v>11</v>
      </c>
      <c r="E839" t="s">
        <v>2777</v>
      </c>
      <c r="F839" t="s">
        <v>2834</v>
      </c>
      <c r="G839" t="s">
        <v>2779</v>
      </c>
      <c r="H839" t="s">
        <v>2779</v>
      </c>
      <c r="I839" t="s">
        <v>2780</v>
      </c>
      <c r="J839" s="4" t="s">
        <v>2841</v>
      </c>
      <c r="K839" t="s">
        <v>182</v>
      </c>
      <c r="L839" t="s">
        <v>163</v>
      </c>
      <c r="M839" t="s">
        <v>163</v>
      </c>
      <c r="N839" t="s">
        <v>163</v>
      </c>
      <c r="O839" s="6" t="s">
        <v>1373</v>
      </c>
      <c r="P839">
        <v>0</v>
      </c>
      <c r="Q839" s="24">
        <v>61.8</v>
      </c>
      <c r="R839" s="25">
        <v>84.5</v>
      </c>
      <c r="S839" s="26">
        <v>57</v>
      </c>
      <c r="Y839">
        <v>10</v>
      </c>
      <c r="Z839">
        <v>30</v>
      </c>
      <c r="AA839" s="3">
        <v>25</v>
      </c>
      <c r="AB839" s="3">
        <v>6</v>
      </c>
      <c r="AC839">
        <v>155</v>
      </c>
      <c r="AD839" s="9">
        <f t="shared" si="239"/>
        <v>4930</v>
      </c>
      <c r="AE839">
        <f t="shared" si="246"/>
        <v>2555730</v>
      </c>
      <c r="AF839" s="2">
        <f t="shared" si="250"/>
        <v>43.2</v>
      </c>
      <c r="AG839" t="str">
        <f t="shared" si="240"/>
        <v>82小时</v>
      </c>
      <c r="AH839">
        <f t="shared" si="241"/>
        <v>130</v>
      </c>
      <c r="AI839">
        <f t="shared" si="242"/>
        <v>22</v>
      </c>
      <c r="AJ839">
        <f t="shared" si="247"/>
        <v>73.3</v>
      </c>
      <c r="AK839">
        <f t="shared" si="243"/>
        <v>37</v>
      </c>
      <c r="AL839">
        <f t="shared" si="248"/>
        <v>43.2</v>
      </c>
      <c r="AM839" s="2">
        <f t="shared" si="244"/>
        <v>22</v>
      </c>
      <c r="AX839">
        <v>836</v>
      </c>
      <c r="AZ839" s="3"/>
      <c r="BB839" s="2">
        <f t="shared" si="245"/>
        <v>205</v>
      </c>
      <c r="BC839">
        <f t="shared" si="249"/>
        <v>22.970518261316872</v>
      </c>
      <c r="BD839" s="2">
        <f t="shared" si="251"/>
        <v>73.3</v>
      </c>
      <c r="BE839">
        <f t="shared" si="252"/>
        <v>43.2</v>
      </c>
      <c r="BF839">
        <f t="shared" si="253"/>
        <v>248832</v>
      </c>
    </row>
    <row r="840" spans="1:58" ht="14.25" x14ac:dyDescent="0.2">
      <c r="A840" s="12">
        <v>20207</v>
      </c>
      <c r="B840" s="13">
        <f t="shared" si="236"/>
        <v>16</v>
      </c>
      <c r="C840" s="15">
        <f t="shared" si="237"/>
        <v>12</v>
      </c>
      <c r="D840" s="14">
        <f t="shared" si="238"/>
        <v>11</v>
      </c>
      <c r="E840" t="s">
        <v>2777</v>
      </c>
      <c r="F840" t="s">
        <v>2835</v>
      </c>
      <c r="G840" t="s">
        <v>2779</v>
      </c>
      <c r="H840" t="s">
        <v>2779</v>
      </c>
      <c r="I840" t="s">
        <v>2780</v>
      </c>
      <c r="J840" s="4" t="s">
        <v>2841</v>
      </c>
      <c r="K840" t="s">
        <v>162</v>
      </c>
      <c r="L840" t="s">
        <v>163</v>
      </c>
      <c r="M840" t="s">
        <v>163</v>
      </c>
      <c r="N840" t="s">
        <v>163</v>
      </c>
      <c r="O840" s="6" t="s">
        <v>1373</v>
      </c>
      <c r="P840">
        <v>0</v>
      </c>
      <c r="Q840" s="24">
        <v>61.8</v>
      </c>
      <c r="R840" s="25">
        <v>84.5</v>
      </c>
      <c r="S840" s="26">
        <v>57</v>
      </c>
      <c r="Y840">
        <v>10</v>
      </c>
      <c r="Z840">
        <v>30</v>
      </c>
      <c r="AA840" s="3">
        <v>25</v>
      </c>
      <c r="AB840" s="3">
        <v>6</v>
      </c>
      <c r="AC840">
        <v>155</v>
      </c>
      <c r="AD840" s="9">
        <f t="shared" si="239"/>
        <v>4930</v>
      </c>
      <c r="AE840">
        <f t="shared" si="246"/>
        <v>2555730</v>
      </c>
      <c r="AF840" s="2">
        <f t="shared" si="250"/>
        <v>43.2</v>
      </c>
      <c r="AG840" t="str">
        <f t="shared" si="240"/>
        <v>82小时</v>
      </c>
      <c r="AH840">
        <f t="shared" si="241"/>
        <v>130</v>
      </c>
      <c r="AI840">
        <f t="shared" si="242"/>
        <v>22</v>
      </c>
      <c r="AJ840">
        <f t="shared" si="247"/>
        <v>73.3</v>
      </c>
      <c r="AK840">
        <f t="shared" si="243"/>
        <v>37</v>
      </c>
      <c r="AL840">
        <f t="shared" si="248"/>
        <v>43.2</v>
      </c>
      <c r="AM840" s="2">
        <f t="shared" si="244"/>
        <v>22</v>
      </c>
      <c r="AX840">
        <v>837</v>
      </c>
      <c r="AZ840" s="3"/>
      <c r="BB840" s="2">
        <f t="shared" si="245"/>
        <v>205</v>
      </c>
      <c r="BC840">
        <f t="shared" si="249"/>
        <v>22.970518261316872</v>
      </c>
      <c r="BD840" s="2">
        <f t="shared" si="251"/>
        <v>73.3</v>
      </c>
      <c r="BE840">
        <f t="shared" si="252"/>
        <v>43.2</v>
      </c>
      <c r="BF840">
        <f t="shared" si="253"/>
        <v>248832</v>
      </c>
    </row>
    <row r="841" spans="1:58" ht="14.25" x14ac:dyDescent="0.2">
      <c r="A841" s="12">
        <v>20208</v>
      </c>
      <c r="B841" s="13">
        <f t="shared" si="236"/>
        <v>16</v>
      </c>
      <c r="C841" s="15">
        <f t="shared" si="237"/>
        <v>12</v>
      </c>
      <c r="D841" s="14">
        <f t="shared" si="238"/>
        <v>11</v>
      </c>
      <c r="E841" t="s">
        <v>2777</v>
      </c>
      <c r="F841" t="s">
        <v>2836</v>
      </c>
      <c r="G841" t="s">
        <v>2779</v>
      </c>
      <c r="H841" t="s">
        <v>2779</v>
      </c>
      <c r="I841" t="s">
        <v>2780</v>
      </c>
      <c r="J841" s="4" t="s">
        <v>2841</v>
      </c>
      <c r="K841" t="s">
        <v>177</v>
      </c>
      <c r="L841" t="s">
        <v>163</v>
      </c>
      <c r="M841" t="s">
        <v>163</v>
      </c>
      <c r="N841" t="s">
        <v>163</v>
      </c>
      <c r="O841" s="6" t="s">
        <v>1375</v>
      </c>
      <c r="P841">
        <v>0</v>
      </c>
      <c r="Q841" s="24">
        <v>61.8</v>
      </c>
      <c r="R841" s="25">
        <v>84.5</v>
      </c>
      <c r="S841" s="26">
        <v>57</v>
      </c>
      <c r="Y841">
        <v>10</v>
      </c>
      <c r="Z841">
        <v>30</v>
      </c>
      <c r="AA841" s="3">
        <v>25</v>
      </c>
      <c r="AB841" s="3">
        <v>6</v>
      </c>
      <c r="AC841">
        <v>155</v>
      </c>
      <c r="AD841" s="9">
        <f t="shared" si="239"/>
        <v>4930</v>
      </c>
      <c r="AE841">
        <f t="shared" si="246"/>
        <v>2555730</v>
      </c>
      <c r="AF841" s="2">
        <f t="shared" si="250"/>
        <v>43.2</v>
      </c>
      <c r="AG841" t="str">
        <f t="shared" si="240"/>
        <v>82小时</v>
      </c>
      <c r="AH841">
        <f t="shared" si="241"/>
        <v>130</v>
      </c>
      <c r="AI841">
        <f t="shared" si="242"/>
        <v>22</v>
      </c>
      <c r="AJ841">
        <f t="shared" si="247"/>
        <v>73.3</v>
      </c>
      <c r="AK841">
        <f t="shared" si="243"/>
        <v>37</v>
      </c>
      <c r="AL841">
        <f t="shared" si="248"/>
        <v>43.2</v>
      </c>
      <c r="AM841" s="2">
        <f t="shared" si="244"/>
        <v>22</v>
      </c>
      <c r="AX841">
        <v>838</v>
      </c>
      <c r="AZ841" s="3"/>
      <c r="BB841" s="2">
        <f t="shared" si="245"/>
        <v>205</v>
      </c>
      <c r="BC841">
        <f t="shared" si="249"/>
        <v>22.970518261316872</v>
      </c>
      <c r="BD841" s="2">
        <f t="shared" si="251"/>
        <v>73.3</v>
      </c>
      <c r="BE841">
        <f t="shared" si="252"/>
        <v>43.2</v>
      </c>
      <c r="BF841">
        <f t="shared" si="253"/>
        <v>248832</v>
      </c>
    </row>
    <row r="842" spans="1:58" ht="14.25" x14ac:dyDescent="0.2">
      <c r="A842" s="12">
        <v>20209</v>
      </c>
      <c r="B842" s="13">
        <f t="shared" si="236"/>
        <v>16</v>
      </c>
      <c r="C842" s="15">
        <f t="shared" si="237"/>
        <v>12</v>
      </c>
      <c r="D842" s="14">
        <f t="shared" si="238"/>
        <v>11</v>
      </c>
      <c r="E842" t="s">
        <v>2777</v>
      </c>
      <c r="F842" t="s">
        <v>2837</v>
      </c>
      <c r="G842" t="s">
        <v>2779</v>
      </c>
      <c r="H842" t="s">
        <v>2779</v>
      </c>
      <c r="I842" t="s">
        <v>2780</v>
      </c>
      <c r="J842" s="4" t="s">
        <v>2841</v>
      </c>
      <c r="K842" t="s">
        <v>174</v>
      </c>
      <c r="L842" t="s">
        <v>163</v>
      </c>
      <c r="M842" t="s">
        <v>163</v>
      </c>
      <c r="N842" t="s">
        <v>163</v>
      </c>
      <c r="O842" s="6" t="s">
        <v>1377</v>
      </c>
      <c r="P842">
        <v>0</v>
      </c>
      <c r="Q842" s="24">
        <v>61.8</v>
      </c>
      <c r="R842" s="25">
        <v>84.5</v>
      </c>
      <c r="S842" s="26">
        <v>57</v>
      </c>
      <c r="Y842">
        <v>10</v>
      </c>
      <c r="Z842">
        <v>30</v>
      </c>
      <c r="AA842" s="3">
        <v>25</v>
      </c>
      <c r="AB842" s="3">
        <v>6</v>
      </c>
      <c r="AC842">
        <v>155</v>
      </c>
      <c r="AD842" s="9">
        <f t="shared" si="239"/>
        <v>4930</v>
      </c>
      <c r="AE842">
        <f t="shared" si="246"/>
        <v>2555730</v>
      </c>
      <c r="AF842" s="2">
        <f t="shared" si="250"/>
        <v>43.2</v>
      </c>
      <c r="AG842" t="str">
        <f t="shared" si="240"/>
        <v>82小时</v>
      </c>
      <c r="AH842">
        <f t="shared" si="241"/>
        <v>130</v>
      </c>
      <c r="AI842">
        <f t="shared" si="242"/>
        <v>22</v>
      </c>
      <c r="AJ842">
        <f t="shared" si="247"/>
        <v>73.3</v>
      </c>
      <c r="AK842">
        <f t="shared" si="243"/>
        <v>37</v>
      </c>
      <c r="AL842">
        <f t="shared" si="248"/>
        <v>43.2</v>
      </c>
      <c r="AM842" s="2">
        <f t="shared" si="244"/>
        <v>22</v>
      </c>
      <c r="AX842">
        <v>839</v>
      </c>
      <c r="AZ842" s="3"/>
      <c r="BB842" s="2">
        <f t="shared" si="245"/>
        <v>205</v>
      </c>
      <c r="BC842">
        <f t="shared" si="249"/>
        <v>22.970518261316872</v>
      </c>
      <c r="BD842" s="2">
        <f t="shared" si="251"/>
        <v>73.3</v>
      </c>
      <c r="BE842">
        <f t="shared" si="252"/>
        <v>43.2</v>
      </c>
      <c r="BF842">
        <f t="shared" si="253"/>
        <v>248832</v>
      </c>
    </row>
    <row r="843" spans="1:58" ht="14.25" x14ac:dyDescent="0.2">
      <c r="A843" s="12">
        <v>20210</v>
      </c>
      <c r="B843" s="13">
        <f t="shared" si="236"/>
        <v>16</v>
      </c>
      <c r="C843" s="15">
        <f t="shared" si="237"/>
        <v>12</v>
      </c>
      <c r="D843" s="14">
        <f t="shared" si="238"/>
        <v>11</v>
      </c>
      <c r="E843" t="s">
        <v>2785</v>
      </c>
      <c r="F843" t="s">
        <v>2786</v>
      </c>
      <c r="G843" t="s">
        <v>2831</v>
      </c>
      <c r="H843" t="s">
        <v>2829</v>
      </c>
      <c r="I843" t="s">
        <v>2697</v>
      </c>
      <c r="J843" s="4" t="s">
        <v>2861</v>
      </c>
      <c r="K843" t="s">
        <v>166</v>
      </c>
      <c r="L843" t="s">
        <v>163</v>
      </c>
      <c r="M843" t="s">
        <v>163</v>
      </c>
      <c r="N843" t="s">
        <v>163</v>
      </c>
      <c r="O843" s="6" t="s">
        <v>1377</v>
      </c>
      <c r="P843">
        <v>0</v>
      </c>
      <c r="Q843" s="24">
        <v>61.8</v>
      </c>
      <c r="R843" s="25">
        <v>84.5</v>
      </c>
      <c r="S843" s="26">
        <v>57</v>
      </c>
      <c r="Y843">
        <v>10</v>
      </c>
      <c r="Z843">
        <v>30</v>
      </c>
      <c r="AA843" s="3">
        <v>25</v>
      </c>
      <c r="AB843" s="3">
        <v>6</v>
      </c>
      <c r="AC843">
        <v>155</v>
      </c>
      <c r="AD843" s="9">
        <f t="shared" si="239"/>
        <v>4930</v>
      </c>
      <c r="AE843">
        <f t="shared" si="246"/>
        <v>2555730</v>
      </c>
      <c r="AF843" s="2">
        <f t="shared" si="250"/>
        <v>43.2</v>
      </c>
      <c r="AG843" t="str">
        <f t="shared" si="240"/>
        <v>82小时</v>
      </c>
      <c r="AH843">
        <f t="shared" si="241"/>
        <v>130</v>
      </c>
      <c r="AI843">
        <f t="shared" si="242"/>
        <v>22</v>
      </c>
      <c r="AJ843">
        <f t="shared" si="247"/>
        <v>73.3</v>
      </c>
      <c r="AK843">
        <f t="shared" si="243"/>
        <v>37</v>
      </c>
      <c r="AL843">
        <f t="shared" si="248"/>
        <v>43.2</v>
      </c>
      <c r="AM843" s="2">
        <f t="shared" si="244"/>
        <v>22</v>
      </c>
      <c r="AX843">
        <v>840</v>
      </c>
      <c r="AZ843" s="3"/>
      <c r="BB843" s="2">
        <f t="shared" si="245"/>
        <v>205</v>
      </c>
      <c r="BC843">
        <f t="shared" si="249"/>
        <v>22.970518261316872</v>
      </c>
      <c r="BD843" s="2">
        <f t="shared" si="251"/>
        <v>73.3</v>
      </c>
      <c r="BE843">
        <f t="shared" si="252"/>
        <v>43.2</v>
      </c>
      <c r="BF843">
        <f t="shared" si="253"/>
        <v>248832</v>
      </c>
    </row>
    <row r="844" spans="1:58" ht="14.25" x14ac:dyDescent="0.2">
      <c r="A844" s="12">
        <v>20211</v>
      </c>
      <c r="B844" s="13">
        <f t="shared" si="236"/>
        <v>16</v>
      </c>
      <c r="C844" s="15">
        <f t="shared" si="237"/>
        <v>12</v>
      </c>
      <c r="D844" s="14">
        <f t="shared" si="238"/>
        <v>11</v>
      </c>
      <c r="E844" t="s">
        <v>2777</v>
      </c>
      <c r="F844" t="s">
        <v>2834</v>
      </c>
      <c r="G844" t="s">
        <v>2779</v>
      </c>
      <c r="H844" t="s">
        <v>2779</v>
      </c>
      <c r="I844" t="s">
        <v>2780</v>
      </c>
      <c r="J844" s="4" t="s">
        <v>2841</v>
      </c>
      <c r="K844" t="s">
        <v>168</v>
      </c>
      <c r="L844" t="s">
        <v>163</v>
      </c>
      <c r="M844" t="s">
        <v>163</v>
      </c>
      <c r="N844" t="s">
        <v>163</v>
      </c>
      <c r="O844" s="6" t="s">
        <v>1379</v>
      </c>
      <c r="P844">
        <v>0</v>
      </c>
      <c r="Q844" s="24">
        <v>62.2</v>
      </c>
      <c r="R844" s="25">
        <v>85</v>
      </c>
      <c r="S844" s="26">
        <v>57.3</v>
      </c>
      <c r="Y844">
        <v>10</v>
      </c>
      <c r="Z844">
        <v>30</v>
      </c>
      <c r="AA844" s="3">
        <v>25</v>
      </c>
      <c r="AB844" s="3">
        <v>6</v>
      </c>
      <c r="AC844">
        <v>155</v>
      </c>
      <c r="AD844" s="9">
        <f t="shared" si="239"/>
        <v>4896</v>
      </c>
      <c r="AE844">
        <f t="shared" si="246"/>
        <v>2555730</v>
      </c>
      <c r="AF844" s="2">
        <f t="shared" si="250"/>
        <v>43.5</v>
      </c>
      <c r="AG844" t="str">
        <f t="shared" si="240"/>
        <v>81小时</v>
      </c>
      <c r="AH844">
        <f t="shared" si="241"/>
        <v>131</v>
      </c>
      <c r="AI844">
        <f t="shared" si="242"/>
        <v>22</v>
      </c>
      <c r="AJ844">
        <f t="shared" si="247"/>
        <v>73.8</v>
      </c>
      <c r="AK844">
        <f t="shared" si="243"/>
        <v>37</v>
      </c>
      <c r="AL844">
        <f t="shared" si="248"/>
        <v>43.5</v>
      </c>
      <c r="AM844" s="2">
        <f t="shared" si="244"/>
        <v>22</v>
      </c>
      <c r="AX844">
        <v>841</v>
      </c>
      <c r="AZ844" s="3"/>
      <c r="BB844" s="2">
        <f t="shared" si="245"/>
        <v>205</v>
      </c>
      <c r="BC844">
        <f t="shared" si="249"/>
        <v>22.812100893997446</v>
      </c>
      <c r="BD844" s="2">
        <f t="shared" si="251"/>
        <v>73.8</v>
      </c>
      <c r="BE844">
        <f t="shared" si="252"/>
        <v>43.5</v>
      </c>
      <c r="BF844">
        <f t="shared" si="253"/>
        <v>250560</v>
      </c>
    </row>
    <row r="845" spans="1:58" ht="14.25" x14ac:dyDescent="0.2">
      <c r="A845" s="12">
        <v>20212</v>
      </c>
      <c r="B845" s="13">
        <f t="shared" si="236"/>
        <v>16</v>
      </c>
      <c r="C845" s="15">
        <f t="shared" si="237"/>
        <v>12</v>
      </c>
      <c r="D845" s="14">
        <f t="shared" si="238"/>
        <v>11</v>
      </c>
      <c r="E845" t="s">
        <v>2777</v>
      </c>
      <c r="F845" t="s">
        <v>2835</v>
      </c>
      <c r="G845" t="s">
        <v>2779</v>
      </c>
      <c r="H845" t="s">
        <v>2779</v>
      </c>
      <c r="I845" t="s">
        <v>2780</v>
      </c>
      <c r="J845" s="4" t="s">
        <v>2841</v>
      </c>
      <c r="K845" t="s">
        <v>175</v>
      </c>
      <c r="L845" t="s">
        <v>164</v>
      </c>
      <c r="M845" t="s">
        <v>163</v>
      </c>
      <c r="N845" t="s">
        <v>167</v>
      </c>
      <c r="O845" s="6" t="s">
        <v>1381</v>
      </c>
      <c r="P845">
        <v>0</v>
      </c>
      <c r="Q845" s="24">
        <v>62.2</v>
      </c>
      <c r="R845" s="25">
        <v>85</v>
      </c>
      <c r="S845" s="26">
        <v>57.3</v>
      </c>
      <c r="Y845">
        <v>10</v>
      </c>
      <c r="Z845">
        <v>30</v>
      </c>
      <c r="AA845" s="3">
        <v>25</v>
      </c>
      <c r="AB845" s="3">
        <v>6</v>
      </c>
      <c r="AC845">
        <v>155</v>
      </c>
      <c r="AD845" s="9">
        <f t="shared" si="239"/>
        <v>4896</v>
      </c>
      <c r="AE845">
        <f t="shared" si="246"/>
        <v>2555730</v>
      </c>
      <c r="AF845" s="2">
        <f t="shared" si="250"/>
        <v>43.5</v>
      </c>
      <c r="AG845" t="str">
        <f t="shared" si="240"/>
        <v>81小时</v>
      </c>
      <c r="AH845">
        <f t="shared" si="241"/>
        <v>131</v>
      </c>
      <c r="AI845">
        <f t="shared" si="242"/>
        <v>22</v>
      </c>
      <c r="AJ845">
        <f t="shared" si="247"/>
        <v>73.8</v>
      </c>
      <c r="AK845">
        <f t="shared" si="243"/>
        <v>37</v>
      </c>
      <c r="AL845">
        <f t="shared" si="248"/>
        <v>43.5</v>
      </c>
      <c r="AM845" s="2">
        <f t="shared" si="244"/>
        <v>22</v>
      </c>
      <c r="AX845">
        <v>842</v>
      </c>
      <c r="AZ845" s="3"/>
      <c r="BB845" s="2">
        <f t="shared" si="245"/>
        <v>205</v>
      </c>
      <c r="BC845">
        <f t="shared" si="249"/>
        <v>22.812100893997446</v>
      </c>
      <c r="BD845" s="2">
        <f t="shared" si="251"/>
        <v>73.8</v>
      </c>
      <c r="BE845">
        <f t="shared" si="252"/>
        <v>43.5</v>
      </c>
      <c r="BF845">
        <f t="shared" si="253"/>
        <v>250560</v>
      </c>
    </row>
    <row r="846" spans="1:58" ht="14.25" x14ac:dyDescent="0.2">
      <c r="A846" s="12">
        <v>20213</v>
      </c>
      <c r="B846" s="13">
        <f t="shared" si="236"/>
        <v>17</v>
      </c>
      <c r="C846" s="15">
        <f t="shared" si="237"/>
        <v>12</v>
      </c>
      <c r="D846" s="14">
        <f t="shared" si="238"/>
        <v>11</v>
      </c>
      <c r="E846" t="s">
        <v>2777</v>
      </c>
      <c r="F846" t="s">
        <v>2836</v>
      </c>
      <c r="G846" t="s">
        <v>2779</v>
      </c>
      <c r="H846" t="s">
        <v>2779</v>
      </c>
      <c r="I846" t="s">
        <v>2780</v>
      </c>
      <c r="J846" s="4" t="s">
        <v>2841</v>
      </c>
      <c r="K846" t="s">
        <v>179</v>
      </c>
      <c r="L846" t="s">
        <v>163</v>
      </c>
      <c r="M846" t="s">
        <v>163</v>
      </c>
      <c r="N846" t="s">
        <v>163</v>
      </c>
      <c r="O846" s="6" t="s">
        <v>1383</v>
      </c>
      <c r="P846">
        <v>0</v>
      </c>
      <c r="Q846" s="24">
        <v>62.2</v>
      </c>
      <c r="R846" s="25">
        <v>85</v>
      </c>
      <c r="S846" s="26">
        <v>57.3</v>
      </c>
      <c r="Y846">
        <v>10</v>
      </c>
      <c r="Z846">
        <v>30</v>
      </c>
      <c r="AA846" s="3">
        <v>25</v>
      </c>
      <c r="AB846" s="3">
        <v>6</v>
      </c>
      <c r="AC846">
        <v>155</v>
      </c>
      <c r="AD846" s="9">
        <f t="shared" si="239"/>
        <v>4896</v>
      </c>
      <c r="AE846">
        <f t="shared" si="246"/>
        <v>2555730</v>
      </c>
      <c r="AF846" s="2">
        <f t="shared" si="250"/>
        <v>43.5</v>
      </c>
      <c r="AG846" t="str">
        <f t="shared" si="240"/>
        <v>81小时</v>
      </c>
      <c r="AH846">
        <f t="shared" si="241"/>
        <v>131</v>
      </c>
      <c r="AI846">
        <f t="shared" si="242"/>
        <v>22</v>
      </c>
      <c r="AJ846">
        <f t="shared" si="247"/>
        <v>73.8</v>
      </c>
      <c r="AK846">
        <f t="shared" si="243"/>
        <v>37</v>
      </c>
      <c r="AL846">
        <f t="shared" si="248"/>
        <v>43.5</v>
      </c>
      <c r="AM846" s="2">
        <f t="shared" si="244"/>
        <v>22</v>
      </c>
      <c r="AX846">
        <v>843</v>
      </c>
      <c r="AZ846" s="3"/>
      <c r="BB846" s="2">
        <f t="shared" si="245"/>
        <v>205</v>
      </c>
      <c r="BC846">
        <f t="shared" si="249"/>
        <v>22.812100893997446</v>
      </c>
      <c r="BD846" s="2">
        <f t="shared" si="251"/>
        <v>73.8</v>
      </c>
      <c r="BE846">
        <f t="shared" si="252"/>
        <v>43.5</v>
      </c>
      <c r="BF846">
        <f t="shared" si="253"/>
        <v>250560</v>
      </c>
    </row>
    <row r="847" spans="1:58" ht="14.25" x14ac:dyDescent="0.2">
      <c r="A847" s="12">
        <v>20214</v>
      </c>
      <c r="B847" s="13">
        <f t="shared" si="236"/>
        <v>17</v>
      </c>
      <c r="C847" s="15">
        <f t="shared" si="237"/>
        <v>12</v>
      </c>
      <c r="D847" s="14">
        <f t="shared" si="238"/>
        <v>11</v>
      </c>
      <c r="E847" t="s">
        <v>2777</v>
      </c>
      <c r="F847" t="s">
        <v>2837</v>
      </c>
      <c r="G847" t="s">
        <v>2779</v>
      </c>
      <c r="H847" t="s">
        <v>2779</v>
      </c>
      <c r="I847" t="s">
        <v>2780</v>
      </c>
      <c r="J847" s="4" t="s">
        <v>2841</v>
      </c>
      <c r="K847" t="s">
        <v>177</v>
      </c>
      <c r="L847" t="s">
        <v>163</v>
      </c>
      <c r="M847" t="s">
        <v>163</v>
      </c>
      <c r="N847" t="s">
        <v>163</v>
      </c>
      <c r="O847" s="6" t="s">
        <v>1383</v>
      </c>
      <c r="P847">
        <v>0</v>
      </c>
      <c r="Q847" s="24">
        <v>62.2</v>
      </c>
      <c r="R847" s="25">
        <v>85</v>
      </c>
      <c r="S847" s="26">
        <v>57.3</v>
      </c>
      <c r="Y847">
        <v>10</v>
      </c>
      <c r="Z847">
        <v>30</v>
      </c>
      <c r="AA847" s="3">
        <v>25</v>
      </c>
      <c r="AB847" s="3">
        <v>6</v>
      </c>
      <c r="AC847">
        <v>155</v>
      </c>
      <c r="AD847" s="9">
        <f t="shared" si="239"/>
        <v>4896</v>
      </c>
      <c r="AE847">
        <f t="shared" si="246"/>
        <v>2555730</v>
      </c>
      <c r="AF847" s="2">
        <f t="shared" si="250"/>
        <v>43.5</v>
      </c>
      <c r="AG847" t="str">
        <f t="shared" si="240"/>
        <v>81小时</v>
      </c>
      <c r="AH847">
        <f t="shared" si="241"/>
        <v>131</v>
      </c>
      <c r="AI847">
        <f t="shared" si="242"/>
        <v>22</v>
      </c>
      <c r="AJ847">
        <f t="shared" si="247"/>
        <v>73.8</v>
      </c>
      <c r="AK847">
        <f t="shared" si="243"/>
        <v>37</v>
      </c>
      <c r="AL847">
        <f t="shared" si="248"/>
        <v>43.5</v>
      </c>
      <c r="AM847" s="2">
        <f t="shared" si="244"/>
        <v>22</v>
      </c>
      <c r="AX847">
        <v>844</v>
      </c>
      <c r="AZ847" s="3"/>
      <c r="BB847" s="2">
        <f t="shared" si="245"/>
        <v>205</v>
      </c>
      <c r="BC847">
        <f t="shared" si="249"/>
        <v>22.812100893997446</v>
      </c>
      <c r="BD847" s="2">
        <f t="shared" si="251"/>
        <v>73.8</v>
      </c>
      <c r="BE847">
        <f t="shared" si="252"/>
        <v>43.5</v>
      </c>
      <c r="BF847">
        <f t="shared" si="253"/>
        <v>250560</v>
      </c>
    </row>
    <row r="848" spans="1:58" ht="14.25" x14ac:dyDescent="0.2">
      <c r="A848" s="12">
        <v>20215</v>
      </c>
      <c r="B848" s="13">
        <f t="shared" ref="B848:B911" si="254">FLOOR(R846/5,1)</f>
        <v>17</v>
      </c>
      <c r="C848" s="15">
        <f t="shared" ref="C848:C911" si="255">FLOOR(Q846/5,1)</f>
        <v>12</v>
      </c>
      <c r="D848" s="14">
        <f t="shared" ref="D848:D911" si="256">FLOOR(S846/5,1)</f>
        <v>11</v>
      </c>
      <c r="E848" t="s">
        <v>2785</v>
      </c>
      <c r="F848" t="s">
        <v>2786</v>
      </c>
      <c r="G848" t="s">
        <v>2832</v>
      </c>
      <c r="H848" t="s">
        <v>2829</v>
      </c>
      <c r="I848" t="s">
        <v>2697</v>
      </c>
      <c r="J848" s="4" t="s">
        <v>2861</v>
      </c>
      <c r="K848" t="s">
        <v>174</v>
      </c>
      <c r="L848" t="s">
        <v>163</v>
      </c>
      <c r="M848" t="s">
        <v>163</v>
      </c>
      <c r="N848" t="s">
        <v>163</v>
      </c>
      <c r="O848" s="6" t="s">
        <v>1385</v>
      </c>
      <c r="P848">
        <v>0</v>
      </c>
      <c r="Q848" s="24">
        <v>62.2</v>
      </c>
      <c r="R848" s="25">
        <v>85</v>
      </c>
      <c r="S848" s="26">
        <v>57.3</v>
      </c>
      <c r="Y848">
        <v>10</v>
      </c>
      <c r="Z848">
        <v>30</v>
      </c>
      <c r="AA848" s="3">
        <v>25</v>
      </c>
      <c r="AB848" s="3">
        <v>6</v>
      </c>
      <c r="AC848">
        <v>155</v>
      </c>
      <c r="AD848" s="9">
        <f t="shared" si="239"/>
        <v>4896</v>
      </c>
      <c r="AE848">
        <f t="shared" si="246"/>
        <v>2555730</v>
      </c>
      <c r="AF848" s="2">
        <f t="shared" si="250"/>
        <v>43.5</v>
      </c>
      <c r="AG848" t="str">
        <f t="shared" si="240"/>
        <v>81小时</v>
      </c>
      <c r="AH848">
        <f t="shared" si="241"/>
        <v>131</v>
      </c>
      <c r="AI848">
        <f t="shared" si="242"/>
        <v>22</v>
      </c>
      <c r="AJ848">
        <f t="shared" si="247"/>
        <v>73.8</v>
      </c>
      <c r="AK848">
        <f t="shared" si="243"/>
        <v>37</v>
      </c>
      <c r="AL848">
        <f t="shared" si="248"/>
        <v>43.5</v>
      </c>
      <c r="AM848" s="2">
        <f t="shared" si="244"/>
        <v>22</v>
      </c>
      <c r="AX848">
        <v>845</v>
      </c>
      <c r="AZ848" s="3"/>
      <c r="BB848" s="2">
        <f t="shared" si="245"/>
        <v>205</v>
      </c>
      <c r="BC848">
        <f t="shared" si="249"/>
        <v>22.812100893997446</v>
      </c>
      <c r="BD848" s="2">
        <f t="shared" si="251"/>
        <v>73.8</v>
      </c>
      <c r="BE848">
        <f t="shared" si="252"/>
        <v>43.5</v>
      </c>
      <c r="BF848">
        <f t="shared" si="253"/>
        <v>250560</v>
      </c>
    </row>
    <row r="849" spans="1:58" ht="14.25" x14ac:dyDescent="0.2">
      <c r="A849" s="12">
        <v>20216</v>
      </c>
      <c r="B849" s="13">
        <f t="shared" si="254"/>
        <v>17</v>
      </c>
      <c r="C849" s="15">
        <f t="shared" si="255"/>
        <v>12</v>
      </c>
      <c r="D849" s="14">
        <f t="shared" si="256"/>
        <v>11</v>
      </c>
      <c r="E849" t="s">
        <v>2777</v>
      </c>
      <c r="F849" t="s">
        <v>2834</v>
      </c>
      <c r="G849" t="s">
        <v>2779</v>
      </c>
      <c r="H849" t="s">
        <v>2779</v>
      </c>
      <c r="I849" t="s">
        <v>2780</v>
      </c>
      <c r="J849" s="4" t="s">
        <v>2841</v>
      </c>
      <c r="K849" t="s">
        <v>182</v>
      </c>
      <c r="L849" t="s">
        <v>163</v>
      </c>
      <c r="M849" t="s">
        <v>163</v>
      </c>
      <c r="N849" t="s">
        <v>163</v>
      </c>
      <c r="O849" s="6" t="s">
        <v>1387</v>
      </c>
      <c r="P849">
        <v>0</v>
      </c>
      <c r="Q849" s="24">
        <v>62.5</v>
      </c>
      <c r="R849" s="25">
        <v>85.5</v>
      </c>
      <c r="S849" s="26">
        <v>57.5</v>
      </c>
      <c r="Y849">
        <v>10</v>
      </c>
      <c r="Z849">
        <v>30</v>
      </c>
      <c r="AA849" s="3">
        <v>25</v>
      </c>
      <c r="AB849" s="3">
        <v>6</v>
      </c>
      <c r="AC849">
        <v>155</v>
      </c>
      <c r="AD849" s="9">
        <f t="shared" si="239"/>
        <v>4873.5833333333339</v>
      </c>
      <c r="AE849">
        <f t="shared" si="246"/>
        <v>2555730</v>
      </c>
      <c r="AF849" s="2">
        <f t="shared" si="250"/>
        <v>43.7</v>
      </c>
      <c r="AG849" t="str">
        <f t="shared" si="240"/>
        <v>81小时</v>
      </c>
      <c r="AH849">
        <f t="shared" si="241"/>
        <v>132</v>
      </c>
      <c r="AI849">
        <f t="shared" si="242"/>
        <v>22</v>
      </c>
      <c r="AJ849">
        <f t="shared" si="247"/>
        <v>74.099999999999994</v>
      </c>
      <c r="AK849">
        <f t="shared" si="243"/>
        <v>38</v>
      </c>
      <c r="AL849">
        <f t="shared" si="248"/>
        <v>43.7</v>
      </c>
      <c r="AM849" s="2">
        <f t="shared" si="244"/>
        <v>22</v>
      </c>
      <c r="AX849">
        <v>846</v>
      </c>
      <c r="AZ849" s="3"/>
      <c r="BB849" s="2">
        <f t="shared" si="245"/>
        <v>205</v>
      </c>
      <c r="BC849">
        <f t="shared" si="249"/>
        <v>22.707697686244597</v>
      </c>
      <c r="BD849" s="2">
        <f t="shared" si="251"/>
        <v>74.099999999999994</v>
      </c>
      <c r="BE849">
        <f t="shared" si="252"/>
        <v>43.7</v>
      </c>
      <c r="BF849">
        <f t="shared" si="253"/>
        <v>251712</v>
      </c>
    </row>
    <row r="850" spans="1:58" ht="14.25" x14ac:dyDescent="0.2">
      <c r="A850" s="12">
        <v>20217</v>
      </c>
      <c r="B850" s="13">
        <f t="shared" si="254"/>
        <v>17</v>
      </c>
      <c r="C850" s="15">
        <f t="shared" si="255"/>
        <v>12</v>
      </c>
      <c r="D850" s="14">
        <f t="shared" si="256"/>
        <v>11</v>
      </c>
      <c r="E850" t="s">
        <v>2777</v>
      </c>
      <c r="F850" t="s">
        <v>2835</v>
      </c>
      <c r="G850" t="s">
        <v>2779</v>
      </c>
      <c r="H850" t="s">
        <v>2779</v>
      </c>
      <c r="I850" t="s">
        <v>2780</v>
      </c>
      <c r="J850" s="4" t="s">
        <v>2841</v>
      </c>
      <c r="K850" t="s">
        <v>162</v>
      </c>
      <c r="L850" t="s">
        <v>163</v>
      </c>
      <c r="M850" t="s">
        <v>163</v>
      </c>
      <c r="N850" t="s">
        <v>163</v>
      </c>
      <c r="O850" s="6" t="s">
        <v>1387</v>
      </c>
      <c r="P850">
        <v>0</v>
      </c>
      <c r="Q850" s="24">
        <v>62.5</v>
      </c>
      <c r="R850" s="25">
        <v>85.5</v>
      </c>
      <c r="S850" s="26">
        <v>57.5</v>
      </c>
      <c r="Y850">
        <v>10</v>
      </c>
      <c r="Z850">
        <v>30</v>
      </c>
      <c r="AA850" s="3">
        <v>25</v>
      </c>
      <c r="AB850" s="3">
        <v>6</v>
      </c>
      <c r="AC850">
        <v>155</v>
      </c>
      <c r="AD850" s="9">
        <f t="shared" si="239"/>
        <v>4873.5833333333339</v>
      </c>
      <c r="AE850">
        <f t="shared" si="246"/>
        <v>2555730</v>
      </c>
      <c r="AF850" s="2">
        <f t="shared" si="250"/>
        <v>43.7</v>
      </c>
      <c r="AG850" t="str">
        <f t="shared" si="240"/>
        <v>81小时</v>
      </c>
      <c r="AH850">
        <f t="shared" si="241"/>
        <v>132</v>
      </c>
      <c r="AI850">
        <f t="shared" si="242"/>
        <v>22</v>
      </c>
      <c r="AJ850">
        <f t="shared" si="247"/>
        <v>74.099999999999994</v>
      </c>
      <c r="AK850">
        <f t="shared" si="243"/>
        <v>38</v>
      </c>
      <c r="AL850">
        <f t="shared" si="248"/>
        <v>43.7</v>
      </c>
      <c r="AM850" s="2">
        <f t="shared" si="244"/>
        <v>22</v>
      </c>
      <c r="AX850">
        <v>847</v>
      </c>
      <c r="AZ850" s="3"/>
      <c r="BB850" s="2">
        <f t="shared" si="245"/>
        <v>205</v>
      </c>
      <c r="BC850">
        <f t="shared" si="249"/>
        <v>22.707697686244597</v>
      </c>
      <c r="BD850" s="2">
        <f t="shared" si="251"/>
        <v>74.099999999999994</v>
      </c>
      <c r="BE850">
        <f t="shared" si="252"/>
        <v>43.7</v>
      </c>
      <c r="BF850">
        <f t="shared" si="253"/>
        <v>251712</v>
      </c>
    </row>
    <row r="851" spans="1:58" ht="14.25" x14ac:dyDescent="0.2">
      <c r="A851" s="12">
        <v>20218</v>
      </c>
      <c r="B851" s="13">
        <f t="shared" si="254"/>
        <v>17</v>
      </c>
      <c r="C851" s="15">
        <f t="shared" si="255"/>
        <v>12</v>
      </c>
      <c r="D851" s="14">
        <f t="shared" si="256"/>
        <v>11</v>
      </c>
      <c r="E851" t="s">
        <v>2777</v>
      </c>
      <c r="F851" t="s">
        <v>2836</v>
      </c>
      <c r="G851" t="s">
        <v>2779</v>
      </c>
      <c r="H851" t="s">
        <v>2779</v>
      </c>
      <c r="I851" t="s">
        <v>2780</v>
      </c>
      <c r="J851" s="4" t="s">
        <v>2841</v>
      </c>
      <c r="K851" t="s">
        <v>177</v>
      </c>
      <c r="L851" t="s">
        <v>163</v>
      </c>
      <c r="M851" t="s">
        <v>163</v>
      </c>
      <c r="N851" t="s">
        <v>163</v>
      </c>
      <c r="O851" s="6" t="s">
        <v>1389</v>
      </c>
      <c r="P851">
        <v>0</v>
      </c>
      <c r="Q851" s="24">
        <v>62.5</v>
      </c>
      <c r="R851" s="25">
        <v>85.5</v>
      </c>
      <c r="S851" s="26">
        <v>57.5</v>
      </c>
      <c r="Y851">
        <v>10</v>
      </c>
      <c r="Z851">
        <v>30</v>
      </c>
      <c r="AA851" s="3">
        <v>25</v>
      </c>
      <c r="AB851" s="3">
        <v>6</v>
      </c>
      <c r="AC851">
        <v>155</v>
      </c>
      <c r="AD851" s="9">
        <f t="shared" si="239"/>
        <v>4873.5833333333339</v>
      </c>
      <c r="AE851">
        <f t="shared" si="246"/>
        <v>2555730</v>
      </c>
      <c r="AF851" s="2">
        <f t="shared" si="250"/>
        <v>43.7</v>
      </c>
      <c r="AG851" t="str">
        <f t="shared" si="240"/>
        <v>81小时</v>
      </c>
      <c r="AH851">
        <f t="shared" si="241"/>
        <v>132</v>
      </c>
      <c r="AI851">
        <f t="shared" si="242"/>
        <v>22</v>
      </c>
      <c r="AJ851">
        <f t="shared" si="247"/>
        <v>74.099999999999994</v>
      </c>
      <c r="AK851">
        <f t="shared" si="243"/>
        <v>38</v>
      </c>
      <c r="AL851">
        <f t="shared" si="248"/>
        <v>43.7</v>
      </c>
      <c r="AM851" s="2">
        <f t="shared" si="244"/>
        <v>22</v>
      </c>
      <c r="AX851">
        <v>848</v>
      </c>
      <c r="AZ851" s="3"/>
      <c r="BB851" s="2">
        <f t="shared" si="245"/>
        <v>205</v>
      </c>
      <c r="BC851">
        <f t="shared" si="249"/>
        <v>22.707697686244597</v>
      </c>
      <c r="BD851" s="2">
        <f t="shared" si="251"/>
        <v>74.099999999999994</v>
      </c>
      <c r="BE851">
        <f t="shared" si="252"/>
        <v>43.7</v>
      </c>
      <c r="BF851">
        <f t="shared" si="253"/>
        <v>251712</v>
      </c>
    </row>
    <row r="852" spans="1:58" ht="14.25" x14ac:dyDescent="0.2">
      <c r="A852" s="12">
        <v>20219</v>
      </c>
      <c r="B852" s="13">
        <f t="shared" si="254"/>
        <v>17</v>
      </c>
      <c r="C852" s="15">
        <f t="shared" si="255"/>
        <v>12</v>
      </c>
      <c r="D852" s="14">
        <f t="shared" si="256"/>
        <v>11</v>
      </c>
      <c r="E852" t="s">
        <v>2777</v>
      </c>
      <c r="F852" t="s">
        <v>2837</v>
      </c>
      <c r="G852" t="s">
        <v>2779</v>
      </c>
      <c r="H852" t="s">
        <v>2779</v>
      </c>
      <c r="I852" t="s">
        <v>2780</v>
      </c>
      <c r="J852" s="4" t="s">
        <v>2841</v>
      </c>
      <c r="K852" t="s">
        <v>174</v>
      </c>
      <c r="L852" t="s">
        <v>163</v>
      </c>
      <c r="M852" t="s">
        <v>163</v>
      </c>
      <c r="N852" t="s">
        <v>163</v>
      </c>
      <c r="O852" s="6" t="s">
        <v>1391</v>
      </c>
      <c r="P852">
        <v>0</v>
      </c>
      <c r="Q852" s="24">
        <v>62.5</v>
      </c>
      <c r="R852" s="25">
        <v>85.5</v>
      </c>
      <c r="S852" s="26">
        <v>57.5</v>
      </c>
      <c r="Y852">
        <v>10</v>
      </c>
      <c r="Z852">
        <v>30</v>
      </c>
      <c r="AA852" s="3">
        <v>25</v>
      </c>
      <c r="AB852" s="3">
        <v>6</v>
      </c>
      <c r="AC852">
        <v>155</v>
      </c>
      <c r="AD852" s="9">
        <f t="shared" si="239"/>
        <v>4873.5833333333339</v>
      </c>
      <c r="AE852">
        <f t="shared" si="246"/>
        <v>2555730</v>
      </c>
      <c r="AF852" s="2">
        <f t="shared" si="250"/>
        <v>43.7</v>
      </c>
      <c r="AG852" t="str">
        <f t="shared" si="240"/>
        <v>81小时</v>
      </c>
      <c r="AH852">
        <f t="shared" si="241"/>
        <v>132</v>
      </c>
      <c r="AI852">
        <f t="shared" si="242"/>
        <v>22</v>
      </c>
      <c r="AJ852">
        <f t="shared" si="247"/>
        <v>74.099999999999994</v>
      </c>
      <c r="AK852">
        <f t="shared" si="243"/>
        <v>38</v>
      </c>
      <c r="AL852">
        <f t="shared" si="248"/>
        <v>43.7</v>
      </c>
      <c r="AM852" s="2">
        <f t="shared" si="244"/>
        <v>22</v>
      </c>
      <c r="AX852">
        <v>849</v>
      </c>
      <c r="AZ852" s="3"/>
      <c r="BB852" s="2">
        <f t="shared" si="245"/>
        <v>205</v>
      </c>
      <c r="BC852">
        <f t="shared" si="249"/>
        <v>22.707697686244597</v>
      </c>
      <c r="BD852" s="2">
        <f t="shared" si="251"/>
        <v>74.099999999999994</v>
      </c>
      <c r="BE852">
        <f t="shared" si="252"/>
        <v>43.7</v>
      </c>
      <c r="BF852">
        <f t="shared" si="253"/>
        <v>251712</v>
      </c>
    </row>
    <row r="853" spans="1:58" ht="14.25" x14ac:dyDescent="0.2">
      <c r="A853" s="12">
        <v>20220</v>
      </c>
      <c r="B853" s="13">
        <f t="shared" si="254"/>
        <v>17</v>
      </c>
      <c r="C853" s="15">
        <f t="shared" si="255"/>
        <v>12</v>
      </c>
      <c r="D853" s="14">
        <f t="shared" si="256"/>
        <v>11</v>
      </c>
      <c r="E853" t="s">
        <v>2785</v>
      </c>
      <c r="F853" t="s">
        <v>2786</v>
      </c>
      <c r="G853" t="s">
        <v>2833</v>
      </c>
      <c r="H853" t="s">
        <v>2829</v>
      </c>
      <c r="I853" t="s">
        <v>2697</v>
      </c>
      <c r="J853" s="4" t="s">
        <v>2879</v>
      </c>
      <c r="K853" t="s">
        <v>166</v>
      </c>
      <c r="L853" t="s">
        <v>163</v>
      </c>
      <c r="M853" t="s">
        <v>163</v>
      </c>
      <c r="N853" t="s">
        <v>163</v>
      </c>
      <c r="O853" s="6" t="s">
        <v>1391</v>
      </c>
      <c r="P853">
        <v>0</v>
      </c>
      <c r="Q853" s="24">
        <v>62.5</v>
      </c>
      <c r="R853" s="25">
        <v>85.5</v>
      </c>
      <c r="S853" s="26">
        <v>57.5</v>
      </c>
      <c r="Y853">
        <v>10</v>
      </c>
      <c r="Z853">
        <v>30</v>
      </c>
      <c r="AA853" s="3">
        <v>25</v>
      </c>
      <c r="AB853" s="3">
        <v>6</v>
      </c>
      <c r="AC853">
        <v>155</v>
      </c>
      <c r="AD853" s="9">
        <f t="shared" si="239"/>
        <v>4873.5833333333339</v>
      </c>
      <c r="AE853">
        <f t="shared" si="246"/>
        <v>2555730</v>
      </c>
      <c r="AF853" s="2">
        <f t="shared" si="250"/>
        <v>43.7</v>
      </c>
      <c r="AG853" t="str">
        <f t="shared" si="240"/>
        <v>81小时</v>
      </c>
      <c r="AH853">
        <f t="shared" si="241"/>
        <v>132</v>
      </c>
      <c r="AI853">
        <f t="shared" si="242"/>
        <v>22</v>
      </c>
      <c r="AJ853">
        <f t="shared" si="247"/>
        <v>74.099999999999994</v>
      </c>
      <c r="AK853">
        <f t="shared" si="243"/>
        <v>38</v>
      </c>
      <c r="AL853">
        <f t="shared" si="248"/>
        <v>43.7</v>
      </c>
      <c r="AM853" s="2">
        <f t="shared" si="244"/>
        <v>22</v>
      </c>
      <c r="AX853">
        <v>850</v>
      </c>
      <c r="AZ853" s="3"/>
      <c r="BB853" s="2">
        <f t="shared" si="245"/>
        <v>210</v>
      </c>
      <c r="BC853">
        <f t="shared" si="249"/>
        <v>24.79373251970506</v>
      </c>
      <c r="BD853" s="2">
        <f t="shared" si="251"/>
        <v>74.099999999999994</v>
      </c>
      <c r="BE853">
        <f t="shared" si="252"/>
        <v>43.7</v>
      </c>
      <c r="BF853">
        <f t="shared" si="253"/>
        <v>251712</v>
      </c>
    </row>
    <row r="854" spans="1:58" ht="14.25" x14ac:dyDescent="0.2">
      <c r="A854" s="12">
        <v>20221</v>
      </c>
      <c r="B854" s="13">
        <f t="shared" si="254"/>
        <v>17</v>
      </c>
      <c r="C854" s="15">
        <f t="shared" si="255"/>
        <v>12</v>
      </c>
      <c r="D854" s="14">
        <f t="shared" si="256"/>
        <v>11</v>
      </c>
      <c r="E854" t="s">
        <v>2777</v>
      </c>
      <c r="F854" t="s">
        <v>2834</v>
      </c>
      <c r="G854" t="s">
        <v>2779</v>
      </c>
      <c r="H854" t="s">
        <v>2779</v>
      </c>
      <c r="I854" t="s">
        <v>2780</v>
      </c>
      <c r="J854" s="4" t="s">
        <v>2841</v>
      </c>
      <c r="K854" t="s">
        <v>168</v>
      </c>
      <c r="L854" t="s">
        <v>163</v>
      </c>
      <c r="M854" t="s">
        <v>163</v>
      </c>
      <c r="N854" t="s">
        <v>163</v>
      </c>
      <c r="O854" s="6" t="s">
        <v>1393</v>
      </c>
      <c r="P854">
        <v>0</v>
      </c>
      <c r="Q854" s="24">
        <v>62.8</v>
      </c>
      <c r="R854" s="25">
        <v>86</v>
      </c>
      <c r="S854" s="26">
        <v>57.8</v>
      </c>
      <c r="Y854">
        <v>10</v>
      </c>
      <c r="Z854">
        <v>30</v>
      </c>
      <c r="AA854" s="3">
        <v>25</v>
      </c>
      <c r="AB854" s="3">
        <v>6</v>
      </c>
      <c r="AC854">
        <v>155</v>
      </c>
      <c r="AD854" s="9">
        <f t="shared" si="239"/>
        <v>4840.3333333333339</v>
      </c>
      <c r="AE854">
        <f t="shared" si="246"/>
        <v>2555730</v>
      </c>
      <c r="AF854" s="2">
        <f t="shared" si="250"/>
        <v>44</v>
      </c>
      <c r="AG854" t="str">
        <f t="shared" si="240"/>
        <v>80小时</v>
      </c>
      <c r="AH854">
        <f t="shared" si="241"/>
        <v>132</v>
      </c>
      <c r="AI854">
        <f t="shared" si="242"/>
        <v>22</v>
      </c>
      <c r="AJ854">
        <f t="shared" si="247"/>
        <v>74.5</v>
      </c>
      <c r="AK854">
        <f t="shared" si="243"/>
        <v>38</v>
      </c>
      <c r="AL854">
        <f t="shared" si="248"/>
        <v>44</v>
      </c>
      <c r="AM854" s="2">
        <f t="shared" si="244"/>
        <v>22</v>
      </c>
      <c r="AX854">
        <v>851</v>
      </c>
      <c r="AZ854" s="3"/>
      <c r="BB854" s="2">
        <f t="shared" si="245"/>
        <v>210</v>
      </c>
      <c r="BC854">
        <f t="shared" si="249"/>
        <v>24.624684343434343</v>
      </c>
      <c r="BD854" s="2">
        <f t="shared" si="251"/>
        <v>74.5</v>
      </c>
      <c r="BE854">
        <f t="shared" si="252"/>
        <v>44</v>
      </c>
      <c r="BF854">
        <f t="shared" si="253"/>
        <v>253440</v>
      </c>
    </row>
    <row r="855" spans="1:58" ht="14.25" x14ac:dyDescent="0.2">
      <c r="A855" s="12">
        <v>20222</v>
      </c>
      <c r="B855" s="13">
        <f t="shared" si="254"/>
        <v>17</v>
      </c>
      <c r="C855" s="15">
        <f t="shared" si="255"/>
        <v>12</v>
      </c>
      <c r="D855" s="14">
        <f t="shared" si="256"/>
        <v>11</v>
      </c>
      <c r="E855" t="s">
        <v>2777</v>
      </c>
      <c r="F855" t="s">
        <v>2835</v>
      </c>
      <c r="G855" t="s">
        <v>2779</v>
      </c>
      <c r="H855" t="s">
        <v>2779</v>
      </c>
      <c r="I855" t="s">
        <v>2780</v>
      </c>
      <c r="J855" s="4" t="s">
        <v>2841</v>
      </c>
      <c r="K855" t="s">
        <v>175</v>
      </c>
      <c r="L855" t="s">
        <v>164</v>
      </c>
      <c r="M855" t="s">
        <v>163</v>
      </c>
      <c r="N855" t="s">
        <v>167</v>
      </c>
      <c r="O855" s="6" t="s">
        <v>1395</v>
      </c>
      <c r="P855">
        <v>0</v>
      </c>
      <c r="Q855" s="24">
        <v>62.8</v>
      </c>
      <c r="R855" s="25">
        <v>86</v>
      </c>
      <c r="S855" s="26">
        <v>57.8</v>
      </c>
      <c r="Y855">
        <v>10</v>
      </c>
      <c r="Z855">
        <v>30</v>
      </c>
      <c r="AA855" s="3">
        <v>25</v>
      </c>
      <c r="AB855" s="3">
        <v>6</v>
      </c>
      <c r="AC855">
        <v>155</v>
      </c>
      <c r="AD855" s="9">
        <f t="shared" si="239"/>
        <v>4840.3333333333339</v>
      </c>
      <c r="AE855">
        <f t="shared" si="246"/>
        <v>2555730</v>
      </c>
      <c r="AF855" s="2">
        <f t="shared" si="250"/>
        <v>44</v>
      </c>
      <c r="AG855" t="str">
        <f t="shared" si="240"/>
        <v>80小时</v>
      </c>
      <c r="AH855">
        <f t="shared" si="241"/>
        <v>132</v>
      </c>
      <c r="AI855">
        <f t="shared" si="242"/>
        <v>22</v>
      </c>
      <c r="AJ855">
        <f t="shared" si="247"/>
        <v>74.5</v>
      </c>
      <c r="AK855">
        <f t="shared" si="243"/>
        <v>38</v>
      </c>
      <c r="AL855">
        <f t="shared" si="248"/>
        <v>44</v>
      </c>
      <c r="AM855" s="2">
        <f t="shared" si="244"/>
        <v>22</v>
      </c>
      <c r="AX855">
        <v>852</v>
      </c>
      <c r="AZ855" s="3"/>
      <c r="BB855" s="2">
        <f t="shared" si="245"/>
        <v>210</v>
      </c>
      <c r="BC855">
        <f t="shared" si="249"/>
        <v>24.624684343434343</v>
      </c>
      <c r="BD855" s="2">
        <f t="shared" si="251"/>
        <v>74.5</v>
      </c>
      <c r="BE855">
        <f t="shared" si="252"/>
        <v>44</v>
      </c>
      <c r="BF855">
        <f t="shared" si="253"/>
        <v>253440</v>
      </c>
    </row>
    <row r="856" spans="1:58" ht="14.25" x14ac:dyDescent="0.2">
      <c r="A856" s="12">
        <v>20223</v>
      </c>
      <c r="B856" s="13">
        <f t="shared" si="254"/>
        <v>17</v>
      </c>
      <c r="C856" s="15">
        <f t="shared" si="255"/>
        <v>12</v>
      </c>
      <c r="D856" s="14">
        <f t="shared" si="256"/>
        <v>11</v>
      </c>
      <c r="E856" t="s">
        <v>2777</v>
      </c>
      <c r="F856" t="s">
        <v>2836</v>
      </c>
      <c r="G856" t="s">
        <v>2779</v>
      </c>
      <c r="H856" t="s">
        <v>2779</v>
      </c>
      <c r="I856" t="s">
        <v>2780</v>
      </c>
      <c r="J856" s="4" t="s">
        <v>2841</v>
      </c>
      <c r="K856" t="s">
        <v>179</v>
      </c>
      <c r="L856" t="s">
        <v>163</v>
      </c>
      <c r="M856" t="s">
        <v>163</v>
      </c>
      <c r="N856" t="s">
        <v>163</v>
      </c>
      <c r="O856" s="6" t="s">
        <v>1397</v>
      </c>
      <c r="P856">
        <v>0</v>
      </c>
      <c r="Q856" s="24">
        <v>62.8</v>
      </c>
      <c r="R856" s="25">
        <v>86</v>
      </c>
      <c r="S856" s="26">
        <v>57.8</v>
      </c>
      <c r="Y856">
        <v>10</v>
      </c>
      <c r="Z856">
        <v>30</v>
      </c>
      <c r="AA856" s="3">
        <v>25</v>
      </c>
      <c r="AB856" s="3">
        <v>6</v>
      </c>
      <c r="AC856">
        <v>155</v>
      </c>
      <c r="AD856" s="9">
        <f t="shared" si="239"/>
        <v>4840.3333333333339</v>
      </c>
      <c r="AE856">
        <f t="shared" si="246"/>
        <v>2555730</v>
      </c>
      <c r="AF856" s="2">
        <f t="shared" si="250"/>
        <v>44</v>
      </c>
      <c r="AG856" t="str">
        <f t="shared" si="240"/>
        <v>80小时</v>
      </c>
      <c r="AH856">
        <f t="shared" si="241"/>
        <v>132</v>
      </c>
      <c r="AI856">
        <f t="shared" si="242"/>
        <v>22</v>
      </c>
      <c r="AJ856">
        <f t="shared" si="247"/>
        <v>74.5</v>
      </c>
      <c r="AK856">
        <f t="shared" si="243"/>
        <v>38</v>
      </c>
      <c r="AL856">
        <f t="shared" si="248"/>
        <v>44</v>
      </c>
      <c r="AM856" s="2">
        <f t="shared" si="244"/>
        <v>22</v>
      </c>
      <c r="AX856">
        <v>853</v>
      </c>
      <c r="AZ856" s="3"/>
      <c r="BB856" s="2">
        <f t="shared" si="245"/>
        <v>210</v>
      </c>
      <c r="BC856">
        <f t="shared" si="249"/>
        <v>24.624684343434343</v>
      </c>
      <c r="BD856" s="2">
        <f t="shared" si="251"/>
        <v>74.5</v>
      </c>
      <c r="BE856">
        <f t="shared" si="252"/>
        <v>44</v>
      </c>
      <c r="BF856">
        <f t="shared" si="253"/>
        <v>253440</v>
      </c>
    </row>
    <row r="857" spans="1:58" ht="14.25" x14ac:dyDescent="0.2">
      <c r="A857" s="12">
        <v>20224</v>
      </c>
      <c r="B857" s="13">
        <f t="shared" si="254"/>
        <v>17</v>
      </c>
      <c r="C857" s="15">
        <f t="shared" si="255"/>
        <v>12</v>
      </c>
      <c r="D857" s="14">
        <f t="shared" si="256"/>
        <v>11</v>
      </c>
      <c r="E857" t="s">
        <v>2777</v>
      </c>
      <c r="F857" t="s">
        <v>2837</v>
      </c>
      <c r="G857" t="s">
        <v>2779</v>
      </c>
      <c r="H857" t="s">
        <v>2779</v>
      </c>
      <c r="I857" t="s">
        <v>2780</v>
      </c>
      <c r="J857" s="4" t="s">
        <v>2841</v>
      </c>
      <c r="K857" t="s">
        <v>177</v>
      </c>
      <c r="L857" t="s">
        <v>163</v>
      </c>
      <c r="M857" t="s">
        <v>163</v>
      </c>
      <c r="N857" t="s">
        <v>163</v>
      </c>
      <c r="O857" s="6" t="s">
        <v>1397</v>
      </c>
      <c r="P857">
        <v>0</v>
      </c>
      <c r="Q857" s="24">
        <v>62.8</v>
      </c>
      <c r="R857" s="25">
        <v>86</v>
      </c>
      <c r="S857" s="26">
        <v>57.8</v>
      </c>
      <c r="Y857">
        <v>10</v>
      </c>
      <c r="Z857">
        <v>30</v>
      </c>
      <c r="AA857" s="3">
        <v>25</v>
      </c>
      <c r="AB857" s="3">
        <v>6</v>
      </c>
      <c r="AC857">
        <v>155</v>
      </c>
      <c r="AD857" s="9">
        <f t="shared" si="239"/>
        <v>4840.3333333333339</v>
      </c>
      <c r="AE857">
        <f t="shared" si="246"/>
        <v>2555730</v>
      </c>
      <c r="AF857" s="2">
        <f t="shared" si="250"/>
        <v>44</v>
      </c>
      <c r="AG857" t="str">
        <f t="shared" si="240"/>
        <v>80小时</v>
      </c>
      <c r="AH857">
        <f t="shared" si="241"/>
        <v>132</v>
      </c>
      <c r="AI857">
        <f t="shared" si="242"/>
        <v>22</v>
      </c>
      <c r="AJ857">
        <f t="shared" si="247"/>
        <v>74.5</v>
      </c>
      <c r="AK857">
        <f t="shared" si="243"/>
        <v>38</v>
      </c>
      <c r="AL857">
        <f t="shared" si="248"/>
        <v>44</v>
      </c>
      <c r="AM857" s="2">
        <f t="shared" si="244"/>
        <v>22</v>
      </c>
      <c r="AX857">
        <v>854</v>
      </c>
      <c r="AZ857" s="3"/>
      <c r="BB857" s="2">
        <f t="shared" si="245"/>
        <v>210</v>
      </c>
      <c r="BC857">
        <f t="shared" si="249"/>
        <v>24.624684343434343</v>
      </c>
      <c r="BD857" s="2">
        <f t="shared" si="251"/>
        <v>74.5</v>
      </c>
      <c r="BE857">
        <f t="shared" si="252"/>
        <v>44</v>
      </c>
      <c r="BF857">
        <f t="shared" si="253"/>
        <v>253440</v>
      </c>
    </row>
    <row r="858" spans="1:58" ht="14.25" x14ac:dyDescent="0.2">
      <c r="A858" s="12">
        <v>20225</v>
      </c>
      <c r="B858" s="13">
        <f t="shared" si="254"/>
        <v>17</v>
      </c>
      <c r="C858" s="15">
        <f t="shared" si="255"/>
        <v>12</v>
      </c>
      <c r="D858" s="14">
        <f t="shared" si="256"/>
        <v>11</v>
      </c>
      <c r="E858" t="s">
        <v>2785</v>
      </c>
      <c r="F858" t="s">
        <v>2786</v>
      </c>
      <c r="G858" t="s">
        <v>2828</v>
      </c>
      <c r="H858" t="s">
        <v>2829</v>
      </c>
      <c r="I858" t="s">
        <v>2697</v>
      </c>
      <c r="J858" s="4" t="s">
        <v>2879</v>
      </c>
      <c r="K858" t="s">
        <v>174</v>
      </c>
      <c r="L858" t="s">
        <v>163</v>
      </c>
      <c r="M858" t="s">
        <v>163</v>
      </c>
      <c r="N858" t="s">
        <v>163</v>
      </c>
      <c r="O858" s="6" t="s">
        <v>1399</v>
      </c>
      <c r="P858">
        <v>0</v>
      </c>
      <c r="Q858" s="24">
        <v>62.8</v>
      </c>
      <c r="R858" s="25">
        <v>86</v>
      </c>
      <c r="S858" s="26">
        <v>57.8</v>
      </c>
      <c r="Y858">
        <v>10</v>
      </c>
      <c r="Z858">
        <v>30</v>
      </c>
      <c r="AA858" s="3">
        <v>25</v>
      </c>
      <c r="AB858" s="3">
        <v>6</v>
      </c>
      <c r="AC858">
        <v>155</v>
      </c>
      <c r="AD858" s="9">
        <f t="shared" si="239"/>
        <v>4840.3333333333339</v>
      </c>
      <c r="AE858">
        <f t="shared" si="246"/>
        <v>2555730</v>
      </c>
      <c r="AF858" s="2">
        <f t="shared" si="250"/>
        <v>44</v>
      </c>
      <c r="AG858" t="str">
        <f t="shared" si="240"/>
        <v>80小时</v>
      </c>
      <c r="AH858">
        <f t="shared" si="241"/>
        <v>132</v>
      </c>
      <c r="AI858">
        <f t="shared" si="242"/>
        <v>22</v>
      </c>
      <c r="AJ858">
        <f t="shared" si="247"/>
        <v>74.5</v>
      </c>
      <c r="AK858">
        <f t="shared" si="243"/>
        <v>38</v>
      </c>
      <c r="AL858">
        <f t="shared" si="248"/>
        <v>44</v>
      </c>
      <c r="AM858" s="2">
        <f t="shared" si="244"/>
        <v>22</v>
      </c>
      <c r="AX858">
        <v>855</v>
      </c>
      <c r="AZ858" s="3"/>
      <c r="BB858" s="2">
        <f t="shared" si="245"/>
        <v>210</v>
      </c>
      <c r="BC858">
        <f t="shared" si="249"/>
        <v>24.624684343434343</v>
      </c>
      <c r="BD858" s="2">
        <f t="shared" si="251"/>
        <v>74.5</v>
      </c>
      <c r="BE858">
        <f t="shared" si="252"/>
        <v>44</v>
      </c>
      <c r="BF858">
        <f t="shared" si="253"/>
        <v>253440</v>
      </c>
    </row>
    <row r="859" spans="1:58" ht="14.25" x14ac:dyDescent="0.2">
      <c r="A859" s="12">
        <v>20226</v>
      </c>
      <c r="B859" s="13">
        <f t="shared" si="254"/>
        <v>17</v>
      </c>
      <c r="C859" s="15">
        <f t="shared" si="255"/>
        <v>12</v>
      </c>
      <c r="D859" s="14">
        <f t="shared" si="256"/>
        <v>11</v>
      </c>
      <c r="E859" t="s">
        <v>2777</v>
      </c>
      <c r="F859" t="s">
        <v>2834</v>
      </c>
      <c r="G859" t="s">
        <v>2779</v>
      </c>
      <c r="H859" t="s">
        <v>2779</v>
      </c>
      <c r="I859" t="s">
        <v>2780</v>
      </c>
      <c r="J859" s="4" t="s">
        <v>2841</v>
      </c>
      <c r="K859" t="s">
        <v>182</v>
      </c>
      <c r="L859" t="s">
        <v>163</v>
      </c>
      <c r="M859" t="s">
        <v>163</v>
      </c>
      <c r="N859" t="s">
        <v>163</v>
      </c>
      <c r="O859" s="6" t="s">
        <v>1401</v>
      </c>
      <c r="P859">
        <v>0</v>
      </c>
      <c r="Q859" s="24">
        <v>63.2</v>
      </c>
      <c r="R859" s="25">
        <v>86.5</v>
      </c>
      <c r="S859" s="26">
        <v>58</v>
      </c>
      <c r="Y859">
        <v>10</v>
      </c>
      <c r="Z859">
        <v>30</v>
      </c>
      <c r="AA859" s="3">
        <v>25</v>
      </c>
      <c r="AB859" s="3">
        <v>6</v>
      </c>
      <c r="AC859">
        <v>155</v>
      </c>
      <c r="AD859" s="9">
        <f t="shared" si="239"/>
        <v>4818.4166666666661</v>
      </c>
      <c r="AE859">
        <f t="shared" si="246"/>
        <v>2555730</v>
      </c>
      <c r="AF859" s="2">
        <f t="shared" si="250"/>
        <v>44.2</v>
      </c>
      <c r="AG859" t="str">
        <f t="shared" si="240"/>
        <v>80小时</v>
      </c>
      <c r="AH859">
        <f t="shared" si="241"/>
        <v>133</v>
      </c>
      <c r="AI859">
        <f t="shared" si="242"/>
        <v>23</v>
      </c>
      <c r="AJ859">
        <f t="shared" si="247"/>
        <v>74.8</v>
      </c>
      <c r="AK859">
        <f t="shared" si="243"/>
        <v>38</v>
      </c>
      <c r="AL859">
        <f t="shared" si="248"/>
        <v>44.2</v>
      </c>
      <c r="AM859" s="2">
        <f t="shared" si="244"/>
        <v>23</v>
      </c>
      <c r="AX859">
        <v>856</v>
      </c>
      <c r="AZ859" s="3"/>
      <c r="BB859" s="2">
        <f t="shared" si="245"/>
        <v>210</v>
      </c>
      <c r="BC859">
        <f t="shared" si="249"/>
        <v>24.513260432378079</v>
      </c>
      <c r="BD859" s="2">
        <f t="shared" si="251"/>
        <v>74.8</v>
      </c>
      <c r="BE859">
        <f t="shared" si="252"/>
        <v>44.2</v>
      </c>
      <c r="BF859">
        <f t="shared" si="253"/>
        <v>254592</v>
      </c>
    </row>
    <row r="860" spans="1:58" ht="14.25" x14ac:dyDescent="0.2">
      <c r="A860" s="12">
        <v>20227</v>
      </c>
      <c r="B860" s="13">
        <f t="shared" si="254"/>
        <v>17</v>
      </c>
      <c r="C860" s="15">
        <f t="shared" si="255"/>
        <v>12</v>
      </c>
      <c r="D860" s="14">
        <f t="shared" si="256"/>
        <v>11</v>
      </c>
      <c r="E860" t="s">
        <v>2777</v>
      </c>
      <c r="F860" t="s">
        <v>2835</v>
      </c>
      <c r="G860" t="s">
        <v>2779</v>
      </c>
      <c r="H860" t="s">
        <v>2779</v>
      </c>
      <c r="I860" t="s">
        <v>2780</v>
      </c>
      <c r="J860" s="4" t="s">
        <v>2841</v>
      </c>
      <c r="K860" t="s">
        <v>162</v>
      </c>
      <c r="L860" t="s">
        <v>163</v>
      </c>
      <c r="M860" t="s">
        <v>163</v>
      </c>
      <c r="N860" t="s">
        <v>163</v>
      </c>
      <c r="O860" s="6" t="s">
        <v>1401</v>
      </c>
      <c r="P860">
        <v>0</v>
      </c>
      <c r="Q860" s="24">
        <v>63.2</v>
      </c>
      <c r="R860" s="25">
        <v>86.5</v>
      </c>
      <c r="S860" s="26">
        <v>58</v>
      </c>
      <c r="Y860">
        <v>10</v>
      </c>
      <c r="Z860">
        <v>30</v>
      </c>
      <c r="AA860" s="3">
        <v>25</v>
      </c>
      <c r="AB860" s="3">
        <v>6</v>
      </c>
      <c r="AC860">
        <v>155</v>
      </c>
      <c r="AD860" s="9">
        <f t="shared" si="239"/>
        <v>4818.4166666666661</v>
      </c>
      <c r="AE860">
        <f t="shared" si="246"/>
        <v>2555730</v>
      </c>
      <c r="AF860" s="2">
        <f t="shared" si="250"/>
        <v>44.2</v>
      </c>
      <c r="AG860" t="str">
        <f t="shared" si="240"/>
        <v>80小时</v>
      </c>
      <c r="AH860">
        <f t="shared" si="241"/>
        <v>133</v>
      </c>
      <c r="AI860">
        <f t="shared" si="242"/>
        <v>23</v>
      </c>
      <c r="AJ860">
        <f t="shared" si="247"/>
        <v>74.8</v>
      </c>
      <c r="AK860">
        <f t="shared" si="243"/>
        <v>38</v>
      </c>
      <c r="AL860">
        <f t="shared" si="248"/>
        <v>44.2</v>
      </c>
      <c r="AM860" s="2">
        <f t="shared" si="244"/>
        <v>23</v>
      </c>
      <c r="AX860">
        <v>857</v>
      </c>
      <c r="AZ860" s="3"/>
      <c r="BB860" s="2">
        <f t="shared" si="245"/>
        <v>210</v>
      </c>
      <c r="BC860">
        <f t="shared" si="249"/>
        <v>24.513260432378079</v>
      </c>
      <c r="BD860" s="2">
        <f t="shared" si="251"/>
        <v>74.8</v>
      </c>
      <c r="BE860">
        <f t="shared" si="252"/>
        <v>44.2</v>
      </c>
      <c r="BF860">
        <f t="shared" si="253"/>
        <v>254592</v>
      </c>
    </row>
    <row r="861" spans="1:58" ht="14.25" x14ac:dyDescent="0.2">
      <c r="A861" s="12">
        <v>20228</v>
      </c>
      <c r="B861" s="13">
        <f t="shared" si="254"/>
        <v>17</v>
      </c>
      <c r="C861" s="15">
        <f t="shared" si="255"/>
        <v>12</v>
      </c>
      <c r="D861" s="14">
        <f t="shared" si="256"/>
        <v>11</v>
      </c>
      <c r="E861" t="s">
        <v>2777</v>
      </c>
      <c r="F861" t="s">
        <v>2836</v>
      </c>
      <c r="G861" t="s">
        <v>2779</v>
      </c>
      <c r="H861" t="s">
        <v>2779</v>
      </c>
      <c r="I861" t="s">
        <v>2780</v>
      </c>
      <c r="J861" s="4" t="s">
        <v>2841</v>
      </c>
      <c r="K861" t="s">
        <v>177</v>
      </c>
      <c r="L861" t="s">
        <v>163</v>
      </c>
      <c r="M861" t="s">
        <v>163</v>
      </c>
      <c r="N861" t="s">
        <v>163</v>
      </c>
      <c r="O861" s="6" t="s">
        <v>1403</v>
      </c>
      <c r="P861">
        <v>0</v>
      </c>
      <c r="Q861" s="24">
        <v>63.2</v>
      </c>
      <c r="R861" s="25">
        <v>86.5</v>
      </c>
      <c r="S861" s="26">
        <v>58</v>
      </c>
      <c r="Y861">
        <v>10</v>
      </c>
      <c r="Z861">
        <v>30</v>
      </c>
      <c r="AA861" s="3">
        <v>25</v>
      </c>
      <c r="AB861" s="3">
        <v>6</v>
      </c>
      <c r="AC861">
        <v>155</v>
      </c>
      <c r="AD861" s="9">
        <f t="shared" si="239"/>
        <v>4818.4166666666661</v>
      </c>
      <c r="AE861">
        <f t="shared" si="246"/>
        <v>2555730</v>
      </c>
      <c r="AF861" s="2">
        <f t="shared" si="250"/>
        <v>44.2</v>
      </c>
      <c r="AG861" t="str">
        <f t="shared" si="240"/>
        <v>80小时</v>
      </c>
      <c r="AH861">
        <f t="shared" si="241"/>
        <v>133</v>
      </c>
      <c r="AI861">
        <f t="shared" si="242"/>
        <v>23</v>
      </c>
      <c r="AJ861">
        <f t="shared" si="247"/>
        <v>74.8</v>
      </c>
      <c r="AK861">
        <f t="shared" si="243"/>
        <v>38</v>
      </c>
      <c r="AL861">
        <f t="shared" si="248"/>
        <v>44.2</v>
      </c>
      <c r="AM861" s="2">
        <f t="shared" si="244"/>
        <v>23</v>
      </c>
      <c r="AX861">
        <v>858</v>
      </c>
      <c r="AZ861" s="3"/>
      <c r="BB861" s="2">
        <f t="shared" si="245"/>
        <v>210</v>
      </c>
      <c r="BC861">
        <f t="shared" si="249"/>
        <v>24.513260432378079</v>
      </c>
      <c r="BD861" s="2">
        <f t="shared" si="251"/>
        <v>74.8</v>
      </c>
      <c r="BE861">
        <f t="shared" si="252"/>
        <v>44.2</v>
      </c>
      <c r="BF861">
        <f t="shared" si="253"/>
        <v>254592</v>
      </c>
    </row>
    <row r="862" spans="1:58" ht="14.25" x14ac:dyDescent="0.2">
      <c r="A862" s="12">
        <v>20229</v>
      </c>
      <c r="B862" s="13">
        <f t="shared" si="254"/>
        <v>17</v>
      </c>
      <c r="C862" s="15">
        <f t="shared" si="255"/>
        <v>12</v>
      </c>
      <c r="D862" s="14">
        <f t="shared" si="256"/>
        <v>11</v>
      </c>
      <c r="E862" t="s">
        <v>2777</v>
      </c>
      <c r="F862" t="s">
        <v>2837</v>
      </c>
      <c r="G862" t="s">
        <v>2779</v>
      </c>
      <c r="H862" t="s">
        <v>2779</v>
      </c>
      <c r="I862" t="s">
        <v>2780</v>
      </c>
      <c r="J862" s="4" t="s">
        <v>2841</v>
      </c>
      <c r="K862" t="s">
        <v>174</v>
      </c>
      <c r="L862" t="s">
        <v>163</v>
      </c>
      <c r="M862" t="s">
        <v>163</v>
      </c>
      <c r="N862" t="s">
        <v>163</v>
      </c>
      <c r="O862" s="6" t="s">
        <v>1405</v>
      </c>
      <c r="P862">
        <v>0</v>
      </c>
      <c r="Q862" s="24">
        <v>63.2</v>
      </c>
      <c r="R862" s="25">
        <v>86.5</v>
      </c>
      <c r="S862" s="26">
        <v>58</v>
      </c>
      <c r="Y862">
        <v>10</v>
      </c>
      <c r="Z862">
        <v>30</v>
      </c>
      <c r="AA862" s="3">
        <v>25</v>
      </c>
      <c r="AB862" s="3">
        <v>6</v>
      </c>
      <c r="AC862">
        <v>155</v>
      </c>
      <c r="AD862" s="9">
        <f t="shared" si="239"/>
        <v>4818.4166666666661</v>
      </c>
      <c r="AE862">
        <f t="shared" si="246"/>
        <v>2555730</v>
      </c>
      <c r="AF862" s="2">
        <f t="shared" si="250"/>
        <v>44.2</v>
      </c>
      <c r="AG862" t="str">
        <f t="shared" si="240"/>
        <v>80小时</v>
      </c>
      <c r="AH862">
        <f t="shared" si="241"/>
        <v>133</v>
      </c>
      <c r="AI862">
        <f t="shared" si="242"/>
        <v>23</v>
      </c>
      <c r="AJ862">
        <f t="shared" si="247"/>
        <v>74.8</v>
      </c>
      <c r="AK862">
        <f t="shared" si="243"/>
        <v>38</v>
      </c>
      <c r="AL862">
        <f t="shared" si="248"/>
        <v>44.2</v>
      </c>
      <c r="AM862" s="2">
        <f t="shared" si="244"/>
        <v>23</v>
      </c>
      <c r="AX862">
        <v>859</v>
      </c>
      <c r="AZ862" s="3"/>
      <c r="BB862" s="2">
        <f t="shared" si="245"/>
        <v>210</v>
      </c>
      <c r="BC862">
        <f t="shared" si="249"/>
        <v>24.513260432378079</v>
      </c>
      <c r="BD862" s="2">
        <f t="shared" si="251"/>
        <v>74.8</v>
      </c>
      <c r="BE862">
        <f t="shared" si="252"/>
        <v>44.2</v>
      </c>
      <c r="BF862">
        <f t="shared" si="253"/>
        <v>254592</v>
      </c>
    </row>
    <row r="863" spans="1:58" ht="14.25" x14ac:dyDescent="0.2">
      <c r="A863" s="12">
        <v>20230</v>
      </c>
      <c r="B863" s="13">
        <f t="shared" si="254"/>
        <v>17</v>
      </c>
      <c r="C863" s="15">
        <f t="shared" si="255"/>
        <v>12</v>
      </c>
      <c r="D863" s="14">
        <f t="shared" si="256"/>
        <v>11</v>
      </c>
      <c r="E863" t="s">
        <v>2785</v>
      </c>
      <c r="F863" t="s">
        <v>2786</v>
      </c>
      <c r="G863" t="s">
        <v>2830</v>
      </c>
      <c r="H863" t="s">
        <v>2829</v>
      </c>
      <c r="I863" t="s">
        <v>2697</v>
      </c>
      <c r="J863" s="4" t="s">
        <v>2861</v>
      </c>
      <c r="K863" t="s">
        <v>166</v>
      </c>
      <c r="L863" t="s">
        <v>163</v>
      </c>
      <c r="M863" t="s">
        <v>163</v>
      </c>
      <c r="N863" t="s">
        <v>163</v>
      </c>
      <c r="O863" s="6" t="s">
        <v>1405</v>
      </c>
      <c r="P863">
        <v>0</v>
      </c>
      <c r="Q863" s="24">
        <v>63.2</v>
      </c>
      <c r="R863" s="25">
        <v>86.5</v>
      </c>
      <c r="S863" s="26">
        <v>58</v>
      </c>
      <c r="Y863">
        <v>10</v>
      </c>
      <c r="Z863">
        <v>30</v>
      </c>
      <c r="AA863" s="3">
        <v>25</v>
      </c>
      <c r="AB863" s="3">
        <v>6</v>
      </c>
      <c r="AC863">
        <v>155</v>
      </c>
      <c r="AD863" s="9">
        <f t="shared" si="239"/>
        <v>4818.4166666666661</v>
      </c>
      <c r="AE863">
        <f t="shared" si="246"/>
        <v>2555730</v>
      </c>
      <c r="AF863" s="2">
        <f t="shared" si="250"/>
        <v>44.2</v>
      </c>
      <c r="AG863" t="str">
        <f t="shared" si="240"/>
        <v>80小时</v>
      </c>
      <c r="AH863">
        <f t="shared" si="241"/>
        <v>133</v>
      </c>
      <c r="AI863">
        <f t="shared" si="242"/>
        <v>23</v>
      </c>
      <c r="AJ863">
        <f t="shared" si="247"/>
        <v>74.8</v>
      </c>
      <c r="AK863">
        <f t="shared" si="243"/>
        <v>38</v>
      </c>
      <c r="AL863">
        <f t="shared" si="248"/>
        <v>44.2</v>
      </c>
      <c r="AM863" s="2">
        <f t="shared" si="244"/>
        <v>23</v>
      </c>
      <c r="AX863">
        <v>860</v>
      </c>
      <c r="AZ863" s="3"/>
      <c r="BB863" s="2">
        <f t="shared" si="245"/>
        <v>210</v>
      </c>
      <c r="BC863">
        <f t="shared" si="249"/>
        <v>24.513260432378079</v>
      </c>
      <c r="BD863" s="2">
        <f t="shared" si="251"/>
        <v>74.8</v>
      </c>
      <c r="BE863">
        <f t="shared" si="252"/>
        <v>44.2</v>
      </c>
      <c r="BF863">
        <f t="shared" si="253"/>
        <v>254592</v>
      </c>
    </row>
    <row r="864" spans="1:58" ht="14.25" x14ac:dyDescent="0.2">
      <c r="A864" s="12">
        <v>20231</v>
      </c>
      <c r="B864" s="13">
        <f t="shared" si="254"/>
        <v>17</v>
      </c>
      <c r="C864" s="15">
        <f t="shared" si="255"/>
        <v>12</v>
      </c>
      <c r="D864" s="14">
        <f t="shared" si="256"/>
        <v>11</v>
      </c>
      <c r="E864" t="s">
        <v>2777</v>
      </c>
      <c r="F864" t="s">
        <v>2834</v>
      </c>
      <c r="G864" t="s">
        <v>2779</v>
      </c>
      <c r="H864" t="s">
        <v>2779</v>
      </c>
      <c r="I864" t="s">
        <v>2780</v>
      </c>
      <c r="J864" s="4" t="s">
        <v>2841</v>
      </c>
      <c r="K864" t="s">
        <v>168</v>
      </c>
      <c r="L864" t="s">
        <v>163</v>
      </c>
      <c r="M864" t="s">
        <v>163</v>
      </c>
      <c r="N864" t="s">
        <v>163</v>
      </c>
      <c r="O864" s="6" t="s">
        <v>1407</v>
      </c>
      <c r="P864">
        <v>0</v>
      </c>
      <c r="Q864" s="24">
        <v>63.5</v>
      </c>
      <c r="R864" s="25">
        <v>87</v>
      </c>
      <c r="S864" s="26">
        <v>58.3</v>
      </c>
      <c r="Y864">
        <v>10</v>
      </c>
      <c r="Z864">
        <v>30</v>
      </c>
      <c r="AA864" s="3">
        <v>25</v>
      </c>
      <c r="AB864" s="3">
        <v>6</v>
      </c>
      <c r="AC864">
        <v>155</v>
      </c>
      <c r="AD864" s="9">
        <f t="shared" si="239"/>
        <v>4786</v>
      </c>
      <c r="AE864">
        <f t="shared" si="246"/>
        <v>2555730</v>
      </c>
      <c r="AF864" s="2">
        <f t="shared" si="250"/>
        <v>44.5</v>
      </c>
      <c r="AG864" t="str">
        <f t="shared" si="240"/>
        <v>79小时</v>
      </c>
      <c r="AH864">
        <f t="shared" si="241"/>
        <v>134</v>
      </c>
      <c r="AI864">
        <f t="shared" si="242"/>
        <v>23</v>
      </c>
      <c r="AJ864">
        <f t="shared" si="247"/>
        <v>75.3</v>
      </c>
      <c r="AK864">
        <f t="shared" si="243"/>
        <v>38</v>
      </c>
      <c r="AL864">
        <f t="shared" si="248"/>
        <v>44.5</v>
      </c>
      <c r="AM864" s="2">
        <f t="shared" si="244"/>
        <v>23</v>
      </c>
      <c r="AX864">
        <v>861</v>
      </c>
      <c r="AZ864" s="3"/>
      <c r="BB864" s="2">
        <f t="shared" si="245"/>
        <v>210</v>
      </c>
      <c r="BC864">
        <f t="shared" si="249"/>
        <v>24.348002496878902</v>
      </c>
      <c r="BD864" s="2">
        <f t="shared" si="251"/>
        <v>75.3</v>
      </c>
      <c r="BE864">
        <f t="shared" si="252"/>
        <v>44.5</v>
      </c>
      <c r="BF864">
        <f t="shared" si="253"/>
        <v>256320</v>
      </c>
    </row>
    <row r="865" spans="1:58" ht="14.25" x14ac:dyDescent="0.2">
      <c r="A865" s="12">
        <v>20232</v>
      </c>
      <c r="B865" s="13">
        <f t="shared" si="254"/>
        <v>17</v>
      </c>
      <c r="C865" s="15">
        <f t="shared" si="255"/>
        <v>12</v>
      </c>
      <c r="D865" s="14">
        <f t="shared" si="256"/>
        <v>11</v>
      </c>
      <c r="E865" t="s">
        <v>2777</v>
      </c>
      <c r="F865" t="s">
        <v>2835</v>
      </c>
      <c r="G865" t="s">
        <v>2779</v>
      </c>
      <c r="H865" t="s">
        <v>2779</v>
      </c>
      <c r="I865" t="s">
        <v>2780</v>
      </c>
      <c r="J865" s="4" t="s">
        <v>2841</v>
      </c>
      <c r="K865" t="s">
        <v>175</v>
      </c>
      <c r="L865" t="s">
        <v>164</v>
      </c>
      <c r="M865" t="s">
        <v>163</v>
      </c>
      <c r="N865" t="s">
        <v>167</v>
      </c>
      <c r="O865" s="6" t="s">
        <v>1409</v>
      </c>
      <c r="P865">
        <v>0</v>
      </c>
      <c r="Q865" s="24">
        <v>63.5</v>
      </c>
      <c r="R865" s="25">
        <v>87</v>
      </c>
      <c r="S865" s="26">
        <v>58.3</v>
      </c>
      <c r="Y865">
        <v>10</v>
      </c>
      <c r="Z865">
        <v>30</v>
      </c>
      <c r="AA865" s="3">
        <v>25</v>
      </c>
      <c r="AB865" s="3">
        <v>6</v>
      </c>
      <c r="AC865">
        <v>155</v>
      </c>
      <c r="AD865" s="9">
        <f t="shared" si="239"/>
        <v>4786</v>
      </c>
      <c r="AE865">
        <f t="shared" si="246"/>
        <v>2555730</v>
      </c>
      <c r="AF865" s="2">
        <f t="shared" si="250"/>
        <v>44.5</v>
      </c>
      <c r="AG865" t="str">
        <f t="shared" si="240"/>
        <v>79小时</v>
      </c>
      <c r="AH865">
        <f t="shared" si="241"/>
        <v>134</v>
      </c>
      <c r="AI865">
        <f t="shared" si="242"/>
        <v>23</v>
      </c>
      <c r="AJ865">
        <f t="shared" si="247"/>
        <v>75.3</v>
      </c>
      <c r="AK865">
        <f t="shared" si="243"/>
        <v>38</v>
      </c>
      <c r="AL865">
        <f t="shared" si="248"/>
        <v>44.5</v>
      </c>
      <c r="AM865" s="2">
        <f t="shared" si="244"/>
        <v>23</v>
      </c>
      <c r="AX865">
        <v>862</v>
      </c>
      <c r="AZ865" s="3"/>
      <c r="BB865" s="2">
        <f t="shared" si="245"/>
        <v>210</v>
      </c>
      <c r="BC865">
        <f t="shared" si="249"/>
        <v>24.348002496878902</v>
      </c>
      <c r="BD865" s="2">
        <f t="shared" si="251"/>
        <v>75.3</v>
      </c>
      <c r="BE865">
        <f t="shared" si="252"/>
        <v>44.5</v>
      </c>
      <c r="BF865">
        <f t="shared" si="253"/>
        <v>256320</v>
      </c>
    </row>
    <row r="866" spans="1:58" ht="14.25" x14ac:dyDescent="0.2">
      <c r="A866" s="12">
        <v>20233</v>
      </c>
      <c r="B866" s="13">
        <f t="shared" si="254"/>
        <v>17</v>
      </c>
      <c r="C866" s="15">
        <f t="shared" si="255"/>
        <v>12</v>
      </c>
      <c r="D866" s="14">
        <f t="shared" si="256"/>
        <v>11</v>
      </c>
      <c r="E866" t="s">
        <v>2777</v>
      </c>
      <c r="F866" t="s">
        <v>2836</v>
      </c>
      <c r="G866" t="s">
        <v>2779</v>
      </c>
      <c r="H866" t="s">
        <v>2779</v>
      </c>
      <c r="I866" t="s">
        <v>2780</v>
      </c>
      <c r="J866" s="4" t="s">
        <v>2841</v>
      </c>
      <c r="K866" t="s">
        <v>179</v>
      </c>
      <c r="L866" t="s">
        <v>163</v>
      </c>
      <c r="M866" t="s">
        <v>163</v>
      </c>
      <c r="N866" t="s">
        <v>163</v>
      </c>
      <c r="O866" s="6" t="s">
        <v>1411</v>
      </c>
      <c r="P866">
        <v>0</v>
      </c>
      <c r="Q866" s="24">
        <v>63.5</v>
      </c>
      <c r="R866" s="25">
        <v>87</v>
      </c>
      <c r="S866" s="26">
        <v>58.3</v>
      </c>
      <c r="Y866">
        <v>10</v>
      </c>
      <c r="Z866">
        <v>30</v>
      </c>
      <c r="AA866" s="3">
        <v>25</v>
      </c>
      <c r="AB866" s="3">
        <v>6</v>
      </c>
      <c r="AC866">
        <v>155</v>
      </c>
      <c r="AD866" s="9">
        <f t="shared" si="239"/>
        <v>4786</v>
      </c>
      <c r="AE866">
        <f t="shared" si="246"/>
        <v>2555730</v>
      </c>
      <c r="AF866" s="2">
        <f t="shared" si="250"/>
        <v>44.5</v>
      </c>
      <c r="AG866" t="str">
        <f t="shared" si="240"/>
        <v>79小时</v>
      </c>
      <c r="AH866">
        <f t="shared" si="241"/>
        <v>134</v>
      </c>
      <c r="AI866">
        <f t="shared" si="242"/>
        <v>23</v>
      </c>
      <c r="AJ866">
        <f t="shared" si="247"/>
        <v>75.3</v>
      </c>
      <c r="AK866">
        <f t="shared" si="243"/>
        <v>38</v>
      </c>
      <c r="AL866">
        <f t="shared" si="248"/>
        <v>44.5</v>
      </c>
      <c r="AM866" s="2">
        <f t="shared" si="244"/>
        <v>23</v>
      </c>
      <c r="AX866">
        <v>863</v>
      </c>
      <c r="AZ866" s="3"/>
      <c r="BB866" s="2">
        <f t="shared" si="245"/>
        <v>210</v>
      </c>
      <c r="BC866">
        <f t="shared" si="249"/>
        <v>24.348002496878902</v>
      </c>
      <c r="BD866" s="2">
        <f t="shared" si="251"/>
        <v>75.3</v>
      </c>
      <c r="BE866">
        <f t="shared" si="252"/>
        <v>44.5</v>
      </c>
      <c r="BF866">
        <f t="shared" si="253"/>
        <v>256320</v>
      </c>
    </row>
    <row r="867" spans="1:58" ht="14.25" x14ac:dyDescent="0.2">
      <c r="A867" s="12">
        <v>20234</v>
      </c>
      <c r="B867" s="13">
        <f t="shared" si="254"/>
        <v>17</v>
      </c>
      <c r="C867" s="15">
        <f t="shared" si="255"/>
        <v>12</v>
      </c>
      <c r="D867" s="14">
        <f t="shared" si="256"/>
        <v>11</v>
      </c>
      <c r="E867" t="s">
        <v>2777</v>
      </c>
      <c r="F867" t="s">
        <v>2837</v>
      </c>
      <c r="G867" t="s">
        <v>2779</v>
      </c>
      <c r="H867" t="s">
        <v>2779</v>
      </c>
      <c r="I867" t="s">
        <v>2780</v>
      </c>
      <c r="J867" s="4" t="s">
        <v>2841</v>
      </c>
      <c r="K867" t="s">
        <v>177</v>
      </c>
      <c r="L867" t="s">
        <v>163</v>
      </c>
      <c r="M867" t="s">
        <v>163</v>
      </c>
      <c r="N867" t="s">
        <v>163</v>
      </c>
      <c r="O867" s="6" t="s">
        <v>1411</v>
      </c>
      <c r="P867">
        <v>0</v>
      </c>
      <c r="Q867" s="24">
        <v>63.5</v>
      </c>
      <c r="R867" s="25">
        <v>87</v>
      </c>
      <c r="S867" s="26">
        <v>58.3</v>
      </c>
      <c r="Y867">
        <v>10</v>
      </c>
      <c r="Z867">
        <v>30</v>
      </c>
      <c r="AA867" s="3">
        <v>25</v>
      </c>
      <c r="AB867" s="3">
        <v>6</v>
      </c>
      <c r="AC867">
        <v>155</v>
      </c>
      <c r="AD867" s="9">
        <f t="shared" si="239"/>
        <v>4786</v>
      </c>
      <c r="AE867">
        <f t="shared" si="246"/>
        <v>2555730</v>
      </c>
      <c r="AF867" s="2">
        <f t="shared" si="250"/>
        <v>44.5</v>
      </c>
      <c r="AG867" t="str">
        <f t="shared" si="240"/>
        <v>79小时</v>
      </c>
      <c r="AH867">
        <f t="shared" si="241"/>
        <v>134</v>
      </c>
      <c r="AI867">
        <f t="shared" si="242"/>
        <v>23</v>
      </c>
      <c r="AJ867">
        <f t="shared" si="247"/>
        <v>75.3</v>
      </c>
      <c r="AK867">
        <f t="shared" si="243"/>
        <v>38</v>
      </c>
      <c r="AL867">
        <f t="shared" si="248"/>
        <v>44.5</v>
      </c>
      <c r="AM867" s="2">
        <f t="shared" si="244"/>
        <v>23</v>
      </c>
      <c r="AX867">
        <v>864</v>
      </c>
      <c r="AZ867" s="3"/>
      <c r="BB867" s="2">
        <f t="shared" si="245"/>
        <v>210</v>
      </c>
      <c r="BC867">
        <f t="shared" si="249"/>
        <v>24.348002496878902</v>
      </c>
      <c r="BD867" s="2">
        <f t="shared" si="251"/>
        <v>75.3</v>
      </c>
      <c r="BE867">
        <f t="shared" si="252"/>
        <v>44.5</v>
      </c>
      <c r="BF867">
        <f t="shared" si="253"/>
        <v>256320</v>
      </c>
    </row>
    <row r="868" spans="1:58" ht="14.25" x14ac:dyDescent="0.2">
      <c r="A868" s="12">
        <v>20235</v>
      </c>
      <c r="B868" s="13">
        <f t="shared" si="254"/>
        <v>17</v>
      </c>
      <c r="C868" s="15">
        <f t="shared" si="255"/>
        <v>12</v>
      </c>
      <c r="D868" s="14">
        <f t="shared" si="256"/>
        <v>11</v>
      </c>
      <c r="E868" t="s">
        <v>2785</v>
      </c>
      <c r="F868" t="s">
        <v>2786</v>
      </c>
      <c r="G868" t="s">
        <v>2831</v>
      </c>
      <c r="H868" t="s">
        <v>2829</v>
      </c>
      <c r="I868" t="s">
        <v>2697</v>
      </c>
      <c r="J868" s="4" t="s">
        <v>2861</v>
      </c>
      <c r="K868" t="s">
        <v>174</v>
      </c>
      <c r="L868" t="s">
        <v>163</v>
      </c>
      <c r="M868" t="s">
        <v>163</v>
      </c>
      <c r="N868" t="s">
        <v>163</v>
      </c>
      <c r="O868" s="6" t="s">
        <v>1413</v>
      </c>
      <c r="P868">
        <v>0</v>
      </c>
      <c r="Q868" s="24">
        <v>63.5</v>
      </c>
      <c r="R868" s="25">
        <v>87</v>
      </c>
      <c r="S868" s="26">
        <v>58.3</v>
      </c>
      <c r="Y868">
        <v>10</v>
      </c>
      <c r="Z868">
        <v>30</v>
      </c>
      <c r="AA868" s="3">
        <v>25</v>
      </c>
      <c r="AB868" s="3">
        <v>6</v>
      </c>
      <c r="AC868">
        <v>155</v>
      </c>
      <c r="AD868" s="9">
        <f t="shared" si="239"/>
        <v>4786</v>
      </c>
      <c r="AE868">
        <f t="shared" si="246"/>
        <v>2555730</v>
      </c>
      <c r="AF868" s="2">
        <f t="shared" si="250"/>
        <v>44.5</v>
      </c>
      <c r="AG868" t="str">
        <f t="shared" si="240"/>
        <v>79小时</v>
      </c>
      <c r="AH868">
        <f t="shared" si="241"/>
        <v>134</v>
      </c>
      <c r="AI868">
        <f t="shared" si="242"/>
        <v>23</v>
      </c>
      <c r="AJ868">
        <f t="shared" si="247"/>
        <v>75.3</v>
      </c>
      <c r="AK868">
        <f t="shared" si="243"/>
        <v>38</v>
      </c>
      <c r="AL868">
        <f t="shared" si="248"/>
        <v>44.5</v>
      </c>
      <c r="AM868" s="2">
        <f t="shared" si="244"/>
        <v>23</v>
      </c>
      <c r="AX868">
        <v>865</v>
      </c>
      <c r="AZ868" s="3"/>
      <c r="BB868" s="2">
        <f t="shared" si="245"/>
        <v>210</v>
      </c>
      <c r="BC868">
        <f t="shared" si="249"/>
        <v>24.348002496878902</v>
      </c>
      <c r="BD868" s="2">
        <f t="shared" si="251"/>
        <v>75.3</v>
      </c>
      <c r="BE868">
        <f t="shared" si="252"/>
        <v>44.5</v>
      </c>
      <c r="BF868">
        <f t="shared" si="253"/>
        <v>256320</v>
      </c>
    </row>
    <row r="869" spans="1:58" ht="14.25" x14ac:dyDescent="0.2">
      <c r="A869" s="12">
        <v>20236</v>
      </c>
      <c r="B869" s="13">
        <f t="shared" si="254"/>
        <v>17</v>
      </c>
      <c r="C869" s="15">
        <f t="shared" si="255"/>
        <v>12</v>
      </c>
      <c r="D869" s="14">
        <f t="shared" si="256"/>
        <v>11</v>
      </c>
      <c r="E869" t="s">
        <v>2777</v>
      </c>
      <c r="F869" t="s">
        <v>2834</v>
      </c>
      <c r="G869" t="s">
        <v>2779</v>
      </c>
      <c r="H869" t="s">
        <v>2779</v>
      </c>
      <c r="I869" t="s">
        <v>2780</v>
      </c>
      <c r="J869" s="4" t="s">
        <v>2841</v>
      </c>
      <c r="K869" t="s">
        <v>182</v>
      </c>
      <c r="L869" t="s">
        <v>163</v>
      </c>
      <c r="M869" t="s">
        <v>163</v>
      </c>
      <c r="N869" t="s">
        <v>163</v>
      </c>
      <c r="O869" s="6" t="s">
        <v>1415</v>
      </c>
      <c r="P869">
        <v>0</v>
      </c>
      <c r="Q869" s="24">
        <v>63.8</v>
      </c>
      <c r="R869" s="25">
        <v>87.5</v>
      </c>
      <c r="S869" s="26">
        <v>58.5</v>
      </c>
      <c r="Y869">
        <v>10</v>
      </c>
      <c r="Z869">
        <v>30</v>
      </c>
      <c r="AA869" s="3">
        <v>25</v>
      </c>
      <c r="AB869" s="3">
        <v>6</v>
      </c>
      <c r="AC869">
        <v>155</v>
      </c>
      <c r="AD869" s="9">
        <f t="shared" si="239"/>
        <v>4764.583333333333</v>
      </c>
      <c r="AE869">
        <f t="shared" si="246"/>
        <v>2555730</v>
      </c>
      <c r="AF869" s="2">
        <f t="shared" si="250"/>
        <v>44.7</v>
      </c>
      <c r="AG869" t="str">
        <f t="shared" si="240"/>
        <v>79小时</v>
      </c>
      <c r="AH869">
        <f t="shared" si="241"/>
        <v>135</v>
      </c>
      <c r="AI869">
        <f t="shared" si="242"/>
        <v>23</v>
      </c>
      <c r="AJ869">
        <f t="shared" si="247"/>
        <v>75.599999999999994</v>
      </c>
      <c r="AK869">
        <f t="shared" si="243"/>
        <v>38</v>
      </c>
      <c r="AL869">
        <f t="shared" si="248"/>
        <v>44.7</v>
      </c>
      <c r="AM869" s="2">
        <f t="shared" si="244"/>
        <v>23</v>
      </c>
      <c r="AX869">
        <v>866</v>
      </c>
      <c r="AZ869" s="3"/>
      <c r="BB869" s="2">
        <f t="shared" si="245"/>
        <v>210</v>
      </c>
      <c r="BC869">
        <f t="shared" si="249"/>
        <v>24.239062888391746</v>
      </c>
      <c r="BD869" s="2">
        <f t="shared" si="251"/>
        <v>75.599999999999994</v>
      </c>
      <c r="BE869">
        <f t="shared" si="252"/>
        <v>44.7</v>
      </c>
      <c r="BF869">
        <f t="shared" si="253"/>
        <v>257472</v>
      </c>
    </row>
    <row r="870" spans="1:58" ht="14.25" x14ac:dyDescent="0.2">
      <c r="A870" s="12">
        <v>20237</v>
      </c>
      <c r="B870" s="13">
        <f t="shared" si="254"/>
        <v>17</v>
      </c>
      <c r="C870" s="15">
        <f t="shared" si="255"/>
        <v>12</v>
      </c>
      <c r="D870" s="14">
        <f t="shared" si="256"/>
        <v>11</v>
      </c>
      <c r="E870" t="s">
        <v>2777</v>
      </c>
      <c r="F870" t="s">
        <v>2835</v>
      </c>
      <c r="G870" t="s">
        <v>2779</v>
      </c>
      <c r="H870" t="s">
        <v>2779</v>
      </c>
      <c r="I870" t="s">
        <v>2780</v>
      </c>
      <c r="J870" s="4" t="s">
        <v>2841</v>
      </c>
      <c r="K870" t="s">
        <v>162</v>
      </c>
      <c r="L870" t="s">
        <v>163</v>
      </c>
      <c r="M870" t="s">
        <v>163</v>
      </c>
      <c r="N870" t="s">
        <v>163</v>
      </c>
      <c r="O870" s="6" t="s">
        <v>1415</v>
      </c>
      <c r="P870">
        <v>0</v>
      </c>
      <c r="Q870" s="24">
        <v>63.8</v>
      </c>
      <c r="R870" s="25">
        <v>87.5</v>
      </c>
      <c r="S870" s="26">
        <v>58.5</v>
      </c>
      <c r="Y870">
        <v>10</v>
      </c>
      <c r="Z870">
        <v>30</v>
      </c>
      <c r="AA870" s="3">
        <v>25</v>
      </c>
      <c r="AB870" s="3">
        <v>6</v>
      </c>
      <c r="AC870">
        <v>155</v>
      </c>
      <c r="AD870" s="9">
        <f t="shared" si="239"/>
        <v>4764.583333333333</v>
      </c>
      <c r="AE870">
        <f t="shared" si="246"/>
        <v>2555730</v>
      </c>
      <c r="AF870" s="2">
        <f t="shared" si="250"/>
        <v>44.7</v>
      </c>
      <c r="AG870" t="str">
        <f t="shared" si="240"/>
        <v>79小时</v>
      </c>
      <c r="AH870">
        <f t="shared" si="241"/>
        <v>135</v>
      </c>
      <c r="AI870">
        <f t="shared" si="242"/>
        <v>23</v>
      </c>
      <c r="AJ870">
        <f t="shared" si="247"/>
        <v>75.599999999999994</v>
      </c>
      <c r="AK870">
        <f t="shared" si="243"/>
        <v>38</v>
      </c>
      <c r="AL870">
        <f t="shared" si="248"/>
        <v>44.7</v>
      </c>
      <c r="AM870" s="2">
        <f t="shared" si="244"/>
        <v>23</v>
      </c>
      <c r="AX870">
        <v>867</v>
      </c>
      <c r="AZ870" s="3"/>
      <c r="BB870" s="2">
        <f t="shared" si="245"/>
        <v>210</v>
      </c>
      <c r="BC870">
        <f t="shared" si="249"/>
        <v>24.239062888391746</v>
      </c>
      <c r="BD870" s="2">
        <f t="shared" si="251"/>
        <v>75.599999999999994</v>
      </c>
      <c r="BE870">
        <f t="shared" si="252"/>
        <v>44.7</v>
      </c>
      <c r="BF870">
        <f t="shared" si="253"/>
        <v>257472</v>
      </c>
    </row>
    <row r="871" spans="1:58" ht="14.25" x14ac:dyDescent="0.2">
      <c r="A871" s="12">
        <v>20238</v>
      </c>
      <c r="B871" s="13">
        <f t="shared" si="254"/>
        <v>17</v>
      </c>
      <c r="C871" s="15">
        <f t="shared" si="255"/>
        <v>12</v>
      </c>
      <c r="D871" s="14">
        <f t="shared" si="256"/>
        <v>11</v>
      </c>
      <c r="E871" t="s">
        <v>2777</v>
      </c>
      <c r="F871" t="s">
        <v>2836</v>
      </c>
      <c r="G871" t="s">
        <v>2779</v>
      </c>
      <c r="H871" t="s">
        <v>2779</v>
      </c>
      <c r="I871" t="s">
        <v>2780</v>
      </c>
      <c r="J871" s="4" t="s">
        <v>2841</v>
      </c>
      <c r="K871" t="s">
        <v>177</v>
      </c>
      <c r="L871" t="s">
        <v>163</v>
      </c>
      <c r="M871" t="s">
        <v>163</v>
      </c>
      <c r="N871" t="s">
        <v>163</v>
      </c>
      <c r="O871" s="6" t="s">
        <v>1417</v>
      </c>
      <c r="P871">
        <v>0</v>
      </c>
      <c r="Q871" s="24">
        <v>63.8</v>
      </c>
      <c r="R871" s="25">
        <v>87.5</v>
      </c>
      <c r="S871" s="26">
        <v>58.5</v>
      </c>
      <c r="Y871">
        <v>10</v>
      </c>
      <c r="Z871">
        <v>30</v>
      </c>
      <c r="AA871" s="3">
        <v>25</v>
      </c>
      <c r="AB871" s="3">
        <v>6</v>
      </c>
      <c r="AC871">
        <v>155</v>
      </c>
      <c r="AD871" s="9">
        <f t="shared" si="239"/>
        <v>4764.583333333333</v>
      </c>
      <c r="AE871">
        <f t="shared" si="246"/>
        <v>2555730</v>
      </c>
      <c r="AF871" s="2">
        <f t="shared" si="250"/>
        <v>44.7</v>
      </c>
      <c r="AG871" t="str">
        <f t="shared" si="240"/>
        <v>79小时</v>
      </c>
      <c r="AH871">
        <f t="shared" si="241"/>
        <v>135</v>
      </c>
      <c r="AI871">
        <f t="shared" si="242"/>
        <v>23</v>
      </c>
      <c r="AJ871">
        <f t="shared" si="247"/>
        <v>75.599999999999994</v>
      </c>
      <c r="AK871">
        <f t="shared" si="243"/>
        <v>38</v>
      </c>
      <c r="AL871">
        <f t="shared" si="248"/>
        <v>44.7</v>
      </c>
      <c r="AM871" s="2">
        <f t="shared" si="244"/>
        <v>23</v>
      </c>
      <c r="AX871">
        <v>868</v>
      </c>
      <c r="AZ871" s="3"/>
      <c r="BB871" s="2">
        <f t="shared" si="245"/>
        <v>210</v>
      </c>
      <c r="BC871">
        <f t="shared" si="249"/>
        <v>24.239062888391746</v>
      </c>
      <c r="BD871" s="2">
        <f t="shared" si="251"/>
        <v>75.599999999999994</v>
      </c>
      <c r="BE871">
        <f t="shared" si="252"/>
        <v>44.7</v>
      </c>
      <c r="BF871">
        <f t="shared" si="253"/>
        <v>257472</v>
      </c>
    </row>
    <row r="872" spans="1:58" ht="14.25" x14ac:dyDescent="0.2">
      <c r="A872" s="12">
        <v>20239</v>
      </c>
      <c r="B872" s="13">
        <f t="shared" si="254"/>
        <v>17</v>
      </c>
      <c r="C872" s="15">
        <f t="shared" si="255"/>
        <v>12</v>
      </c>
      <c r="D872" s="14">
        <f t="shared" si="256"/>
        <v>11</v>
      </c>
      <c r="E872" t="s">
        <v>2777</v>
      </c>
      <c r="F872" t="s">
        <v>2837</v>
      </c>
      <c r="G872" t="s">
        <v>2779</v>
      </c>
      <c r="H872" t="s">
        <v>2779</v>
      </c>
      <c r="I872" t="s">
        <v>2780</v>
      </c>
      <c r="J872" s="4" t="s">
        <v>2841</v>
      </c>
      <c r="K872" t="s">
        <v>174</v>
      </c>
      <c r="L872" t="s">
        <v>163</v>
      </c>
      <c r="M872" t="s">
        <v>163</v>
      </c>
      <c r="N872" t="s">
        <v>163</v>
      </c>
      <c r="O872" s="6" t="s">
        <v>1419</v>
      </c>
      <c r="P872">
        <v>0</v>
      </c>
      <c r="Q872" s="24">
        <v>63.8</v>
      </c>
      <c r="R872" s="25">
        <v>87.5</v>
      </c>
      <c r="S872" s="26">
        <v>58.5</v>
      </c>
      <c r="Y872">
        <v>10</v>
      </c>
      <c r="Z872">
        <v>30</v>
      </c>
      <c r="AA872" s="3">
        <v>25</v>
      </c>
      <c r="AB872" s="3">
        <v>6</v>
      </c>
      <c r="AC872">
        <v>155</v>
      </c>
      <c r="AD872" s="9">
        <f t="shared" si="239"/>
        <v>4764.583333333333</v>
      </c>
      <c r="AE872">
        <f t="shared" si="246"/>
        <v>2555730</v>
      </c>
      <c r="AF872" s="2">
        <f t="shared" si="250"/>
        <v>44.7</v>
      </c>
      <c r="AG872" t="str">
        <f t="shared" si="240"/>
        <v>79小时</v>
      </c>
      <c r="AH872">
        <f t="shared" si="241"/>
        <v>135</v>
      </c>
      <c r="AI872">
        <f t="shared" si="242"/>
        <v>23</v>
      </c>
      <c r="AJ872">
        <f t="shared" si="247"/>
        <v>75.599999999999994</v>
      </c>
      <c r="AK872">
        <f t="shared" si="243"/>
        <v>38</v>
      </c>
      <c r="AL872">
        <f t="shared" si="248"/>
        <v>44.7</v>
      </c>
      <c r="AM872" s="2">
        <f t="shared" si="244"/>
        <v>23</v>
      </c>
      <c r="AX872">
        <v>869</v>
      </c>
      <c r="AZ872" s="3"/>
      <c r="BB872" s="2">
        <f t="shared" si="245"/>
        <v>210</v>
      </c>
      <c r="BC872">
        <f t="shared" si="249"/>
        <v>24.239062888391746</v>
      </c>
      <c r="BD872" s="2">
        <f t="shared" si="251"/>
        <v>75.599999999999994</v>
      </c>
      <c r="BE872">
        <f t="shared" si="252"/>
        <v>44.7</v>
      </c>
      <c r="BF872">
        <f t="shared" si="253"/>
        <v>257472</v>
      </c>
    </row>
    <row r="873" spans="1:58" ht="14.25" x14ac:dyDescent="0.2">
      <c r="A873" s="12">
        <v>20240</v>
      </c>
      <c r="B873" s="13">
        <f t="shared" si="254"/>
        <v>17</v>
      </c>
      <c r="C873" s="15">
        <f t="shared" si="255"/>
        <v>12</v>
      </c>
      <c r="D873" s="14">
        <f t="shared" si="256"/>
        <v>11</v>
      </c>
      <c r="E873" t="s">
        <v>2785</v>
      </c>
      <c r="F873" t="s">
        <v>2786</v>
      </c>
      <c r="G873" t="s">
        <v>2832</v>
      </c>
      <c r="H873" t="s">
        <v>2829</v>
      </c>
      <c r="I873" t="s">
        <v>2697</v>
      </c>
      <c r="J873" s="4" t="s">
        <v>2861</v>
      </c>
      <c r="K873" t="s">
        <v>166</v>
      </c>
      <c r="L873" t="s">
        <v>163</v>
      </c>
      <c r="M873" t="s">
        <v>163</v>
      </c>
      <c r="N873" t="s">
        <v>163</v>
      </c>
      <c r="O873" s="6" t="s">
        <v>1419</v>
      </c>
      <c r="P873">
        <v>0</v>
      </c>
      <c r="Q873" s="24">
        <v>63.8</v>
      </c>
      <c r="R873" s="25">
        <v>87.5</v>
      </c>
      <c r="S873" s="26">
        <v>58.5</v>
      </c>
      <c r="Y873">
        <v>10</v>
      </c>
      <c r="Z873">
        <v>30</v>
      </c>
      <c r="AA873" s="3">
        <v>25</v>
      </c>
      <c r="AB873" s="3">
        <v>6</v>
      </c>
      <c r="AC873">
        <v>155</v>
      </c>
      <c r="AD873" s="9">
        <f t="shared" si="239"/>
        <v>4764.583333333333</v>
      </c>
      <c r="AE873">
        <f t="shared" si="246"/>
        <v>2555730</v>
      </c>
      <c r="AF873" s="2">
        <f t="shared" si="250"/>
        <v>44.7</v>
      </c>
      <c r="AG873" t="str">
        <f t="shared" si="240"/>
        <v>79小时</v>
      </c>
      <c r="AH873">
        <f t="shared" si="241"/>
        <v>135</v>
      </c>
      <c r="AI873">
        <f t="shared" si="242"/>
        <v>23</v>
      </c>
      <c r="AJ873">
        <f t="shared" si="247"/>
        <v>75.599999999999994</v>
      </c>
      <c r="AK873">
        <f t="shared" si="243"/>
        <v>38</v>
      </c>
      <c r="AL873">
        <f t="shared" si="248"/>
        <v>44.7</v>
      </c>
      <c r="AM873" s="2">
        <f t="shared" si="244"/>
        <v>23</v>
      </c>
      <c r="AX873">
        <v>870</v>
      </c>
      <c r="AZ873" s="3"/>
      <c r="BB873" s="2">
        <f t="shared" si="245"/>
        <v>210</v>
      </c>
      <c r="BC873">
        <f t="shared" si="249"/>
        <v>24.239062888391746</v>
      </c>
      <c r="BD873" s="2">
        <f t="shared" si="251"/>
        <v>75.599999999999994</v>
      </c>
      <c r="BE873">
        <f t="shared" si="252"/>
        <v>44.7</v>
      </c>
      <c r="BF873">
        <f t="shared" si="253"/>
        <v>257472</v>
      </c>
    </row>
    <row r="874" spans="1:58" ht="14.25" x14ac:dyDescent="0.2">
      <c r="A874" s="12">
        <v>20241</v>
      </c>
      <c r="B874" s="13">
        <f t="shared" si="254"/>
        <v>17</v>
      </c>
      <c r="C874" s="15">
        <f t="shared" si="255"/>
        <v>12</v>
      </c>
      <c r="D874" s="14">
        <f t="shared" si="256"/>
        <v>11</v>
      </c>
      <c r="E874" t="s">
        <v>2777</v>
      </c>
      <c r="F874" t="s">
        <v>2834</v>
      </c>
      <c r="G874" t="s">
        <v>2779</v>
      </c>
      <c r="H874" t="s">
        <v>2779</v>
      </c>
      <c r="I874" t="s">
        <v>2780</v>
      </c>
      <c r="J874" s="4" t="s">
        <v>2841</v>
      </c>
      <c r="K874" t="s">
        <v>168</v>
      </c>
      <c r="L874" t="s">
        <v>163</v>
      </c>
      <c r="M874" t="s">
        <v>163</v>
      </c>
      <c r="N874" t="s">
        <v>163</v>
      </c>
      <c r="O874" s="6" t="s">
        <v>1421</v>
      </c>
      <c r="P874">
        <v>0</v>
      </c>
      <c r="Q874" s="24">
        <v>64.2</v>
      </c>
      <c r="R874" s="25">
        <v>88</v>
      </c>
      <c r="S874" s="26">
        <v>58.8</v>
      </c>
      <c r="Y874">
        <v>10</v>
      </c>
      <c r="Z874">
        <v>30</v>
      </c>
      <c r="AA874" s="3">
        <v>25</v>
      </c>
      <c r="AB874" s="3">
        <v>6</v>
      </c>
      <c r="AC874">
        <v>155</v>
      </c>
      <c r="AD874" s="9">
        <f t="shared" si="239"/>
        <v>4732.8333333333339</v>
      </c>
      <c r="AE874">
        <f t="shared" si="246"/>
        <v>2555730</v>
      </c>
      <c r="AF874" s="2">
        <f t="shared" si="250"/>
        <v>45</v>
      </c>
      <c r="AG874" t="str">
        <f t="shared" si="240"/>
        <v>78小时</v>
      </c>
      <c r="AH874">
        <f t="shared" si="241"/>
        <v>135</v>
      </c>
      <c r="AI874">
        <f t="shared" si="242"/>
        <v>23</v>
      </c>
      <c r="AJ874">
        <f t="shared" si="247"/>
        <v>76</v>
      </c>
      <c r="AK874">
        <f t="shared" si="243"/>
        <v>38</v>
      </c>
      <c r="AL874">
        <f t="shared" si="248"/>
        <v>45</v>
      </c>
      <c r="AM874" s="2">
        <f t="shared" si="244"/>
        <v>23</v>
      </c>
      <c r="AX874">
        <v>871</v>
      </c>
      <c r="AZ874" s="3"/>
      <c r="BB874" s="2">
        <f t="shared" si="245"/>
        <v>210</v>
      </c>
      <c r="BC874">
        <f t="shared" si="249"/>
        <v>24.07746913580247</v>
      </c>
      <c r="BD874" s="2">
        <f t="shared" si="251"/>
        <v>76</v>
      </c>
      <c r="BE874">
        <f t="shared" si="252"/>
        <v>45</v>
      </c>
      <c r="BF874">
        <f t="shared" si="253"/>
        <v>259200</v>
      </c>
    </row>
    <row r="875" spans="1:58" ht="14.25" x14ac:dyDescent="0.2">
      <c r="A875" s="12">
        <v>20242</v>
      </c>
      <c r="B875" s="13">
        <f t="shared" si="254"/>
        <v>17</v>
      </c>
      <c r="C875" s="15">
        <f t="shared" si="255"/>
        <v>12</v>
      </c>
      <c r="D875" s="14">
        <f t="shared" si="256"/>
        <v>11</v>
      </c>
      <c r="E875" t="s">
        <v>2777</v>
      </c>
      <c r="F875" t="s">
        <v>2835</v>
      </c>
      <c r="G875" t="s">
        <v>2779</v>
      </c>
      <c r="H875" t="s">
        <v>2779</v>
      </c>
      <c r="I875" t="s">
        <v>2780</v>
      </c>
      <c r="J875" s="4" t="s">
        <v>2841</v>
      </c>
      <c r="K875" t="s">
        <v>175</v>
      </c>
      <c r="L875" t="s">
        <v>164</v>
      </c>
      <c r="M875" t="s">
        <v>163</v>
      </c>
      <c r="N875" t="s">
        <v>167</v>
      </c>
      <c r="O875" s="6" t="s">
        <v>1423</v>
      </c>
      <c r="P875">
        <v>0</v>
      </c>
      <c r="Q875" s="24">
        <v>64.2</v>
      </c>
      <c r="R875" s="25">
        <v>88</v>
      </c>
      <c r="S875" s="26">
        <v>58.8</v>
      </c>
      <c r="Y875">
        <v>10</v>
      </c>
      <c r="Z875">
        <v>30</v>
      </c>
      <c r="AA875" s="3">
        <v>25</v>
      </c>
      <c r="AB875" s="3">
        <v>6</v>
      </c>
      <c r="AC875">
        <v>155</v>
      </c>
      <c r="AD875" s="9">
        <f t="shared" si="239"/>
        <v>4732.8333333333339</v>
      </c>
      <c r="AE875">
        <f t="shared" si="246"/>
        <v>2555730</v>
      </c>
      <c r="AF875" s="2">
        <f t="shared" si="250"/>
        <v>45</v>
      </c>
      <c r="AG875" t="str">
        <f t="shared" si="240"/>
        <v>78小时</v>
      </c>
      <c r="AH875">
        <f t="shared" si="241"/>
        <v>135</v>
      </c>
      <c r="AI875">
        <f t="shared" si="242"/>
        <v>23</v>
      </c>
      <c r="AJ875">
        <f t="shared" si="247"/>
        <v>76</v>
      </c>
      <c r="AK875">
        <f t="shared" si="243"/>
        <v>38</v>
      </c>
      <c r="AL875">
        <f t="shared" si="248"/>
        <v>45</v>
      </c>
      <c r="AM875" s="2">
        <f t="shared" si="244"/>
        <v>23</v>
      </c>
      <c r="AX875">
        <v>872</v>
      </c>
      <c r="AZ875" s="3"/>
      <c r="BB875" s="2">
        <f t="shared" si="245"/>
        <v>210</v>
      </c>
      <c r="BC875">
        <f t="shared" si="249"/>
        <v>24.07746913580247</v>
      </c>
      <c r="BD875" s="2">
        <f t="shared" si="251"/>
        <v>76</v>
      </c>
      <c r="BE875">
        <f t="shared" si="252"/>
        <v>45</v>
      </c>
      <c r="BF875">
        <f t="shared" si="253"/>
        <v>259200</v>
      </c>
    </row>
    <row r="876" spans="1:58" ht="14.25" x14ac:dyDescent="0.2">
      <c r="A876" s="12">
        <v>20243</v>
      </c>
      <c r="B876" s="13">
        <f t="shared" si="254"/>
        <v>17</v>
      </c>
      <c r="C876" s="15">
        <f t="shared" si="255"/>
        <v>12</v>
      </c>
      <c r="D876" s="14">
        <f t="shared" si="256"/>
        <v>11</v>
      </c>
      <c r="E876" t="s">
        <v>2777</v>
      </c>
      <c r="F876" t="s">
        <v>2836</v>
      </c>
      <c r="G876" t="s">
        <v>2779</v>
      </c>
      <c r="H876" t="s">
        <v>2779</v>
      </c>
      <c r="I876" t="s">
        <v>2780</v>
      </c>
      <c r="J876" s="4" t="s">
        <v>2841</v>
      </c>
      <c r="K876" t="s">
        <v>179</v>
      </c>
      <c r="L876" t="s">
        <v>163</v>
      </c>
      <c r="M876" t="s">
        <v>163</v>
      </c>
      <c r="N876" t="s">
        <v>163</v>
      </c>
      <c r="O876" s="6" t="s">
        <v>1425</v>
      </c>
      <c r="P876">
        <v>0</v>
      </c>
      <c r="Q876" s="24">
        <v>64.2</v>
      </c>
      <c r="R876" s="25">
        <v>88</v>
      </c>
      <c r="S876" s="26">
        <v>58.8</v>
      </c>
      <c r="Y876">
        <v>10</v>
      </c>
      <c r="Z876">
        <v>30</v>
      </c>
      <c r="AA876" s="3">
        <v>25</v>
      </c>
      <c r="AB876" s="3">
        <v>6</v>
      </c>
      <c r="AC876">
        <v>155</v>
      </c>
      <c r="AD876" s="9">
        <f t="shared" si="239"/>
        <v>4732.8333333333339</v>
      </c>
      <c r="AE876">
        <f t="shared" si="246"/>
        <v>2555730</v>
      </c>
      <c r="AF876" s="2">
        <f t="shared" si="250"/>
        <v>45</v>
      </c>
      <c r="AG876" t="str">
        <f t="shared" si="240"/>
        <v>78小时</v>
      </c>
      <c r="AH876">
        <f t="shared" si="241"/>
        <v>135</v>
      </c>
      <c r="AI876">
        <f t="shared" si="242"/>
        <v>23</v>
      </c>
      <c r="AJ876">
        <f t="shared" si="247"/>
        <v>76</v>
      </c>
      <c r="AK876">
        <f t="shared" si="243"/>
        <v>38</v>
      </c>
      <c r="AL876">
        <f t="shared" si="248"/>
        <v>45</v>
      </c>
      <c r="AM876" s="2">
        <f t="shared" si="244"/>
        <v>23</v>
      </c>
      <c r="AX876">
        <v>873</v>
      </c>
      <c r="AZ876" s="3"/>
      <c r="BB876" s="2">
        <f t="shared" si="245"/>
        <v>210</v>
      </c>
      <c r="BC876">
        <f t="shared" si="249"/>
        <v>24.07746913580247</v>
      </c>
      <c r="BD876" s="2">
        <f t="shared" si="251"/>
        <v>76</v>
      </c>
      <c r="BE876">
        <f t="shared" si="252"/>
        <v>45</v>
      </c>
      <c r="BF876">
        <f t="shared" si="253"/>
        <v>259200</v>
      </c>
    </row>
    <row r="877" spans="1:58" ht="14.25" x14ac:dyDescent="0.2">
      <c r="A877" s="12">
        <v>20244</v>
      </c>
      <c r="B877" s="13">
        <f t="shared" si="254"/>
        <v>17</v>
      </c>
      <c r="C877" s="15">
        <f t="shared" si="255"/>
        <v>12</v>
      </c>
      <c r="D877" s="14">
        <f t="shared" si="256"/>
        <v>11</v>
      </c>
      <c r="E877" t="s">
        <v>2777</v>
      </c>
      <c r="F877" t="s">
        <v>2837</v>
      </c>
      <c r="G877" t="s">
        <v>2779</v>
      </c>
      <c r="H877" t="s">
        <v>2779</v>
      </c>
      <c r="I877" t="s">
        <v>2780</v>
      </c>
      <c r="J877" s="4" t="s">
        <v>2841</v>
      </c>
      <c r="K877" t="s">
        <v>177</v>
      </c>
      <c r="L877" t="s">
        <v>163</v>
      </c>
      <c r="M877" t="s">
        <v>163</v>
      </c>
      <c r="N877" t="s">
        <v>163</v>
      </c>
      <c r="O877" s="6" t="s">
        <v>1425</v>
      </c>
      <c r="P877">
        <v>0</v>
      </c>
      <c r="Q877" s="24">
        <v>64.2</v>
      </c>
      <c r="R877" s="25">
        <v>88</v>
      </c>
      <c r="S877" s="26">
        <v>58.8</v>
      </c>
      <c r="Y877">
        <v>10</v>
      </c>
      <c r="Z877">
        <v>30</v>
      </c>
      <c r="AA877" s="3">
        <v>25</v>
      </c>
      <c r="AB877" s="3">
        <v>6</v>
      </c>
      <c r="AC877">
        <v>155</v>
      </c>
      <c r="AD877" s="9">
        <f t="shared" si="239"/>
        <v>4732.8333333333339</v>
      </c>
      <c r="AE877">
        <f t="shared" si="246"/>
        <v>2555730</v>
      </c>
      <c r="AF877" s="2">
        <f t="shared" si="250"/>
        <v>45</v>
      </c>
      <c r="AG877" t="str">
        <f t="shared" si="240"/>
        <v>78小时</v>
      </c>
      <c r="AH877">
        <f t="shared" si="241"/>
        <v>135</v>
      </c>
      <c r="AI877">
        <f t="shared" si="242"/>
        <v>23</v>
      </c>
      <c r="AJ877">
        <f t="shared" si="247"/>
        <v>76</v>
      </c>
      <c r="AK877">
        <f t="shared" si="243"/>
        <v>38</v>
      </c>
      <c r="AL877">
        <f t="shared" si="248"/>
        <v>45</v>
      </c>
      <c r="AM877" s="2">
        <f t="shared" si="244"/>
        <v>23</v>
      </c>
      <c r="AX877">
        <v>874</v>
      </c>
      <c r="AZ877" s="3"/>
      <c r="BB877" s="2">
        <f t="shared" si="245"/>
        <v>210</v>
      </c>
      <c r="BC877">
        <f t="shared" si="249"/>
        <v>24.07746913580247</v>
      </c>
      <c r="BD877" s="2">
        <f t="shared" si="251"/>
        <v>76</v>
      </c>
      <c r="BE877">
        <f t="shared" si="252"/>
        <v>45</v>
      </c>
      <c r="BF877">
        <f t="shared" si="253"/>
        <v>259200</v>
      </c>
    </row>
    <row r="878" spans="1:58" ht="14.25" x14ac:dyDescent="0.2">
      <c r="A878" s="12">
        <v>20245</v>
      </c>
      <c r="B878" s="13">
        <f t="shared" si="254"/>
        <v>17</v>
      </c>
      <c r="C878" s="15">
        <f t="shared" si="255"/>
        <v>12</v>
      </c>
      <c r="D878" s="14">
        <f t="shared" si="256"/>
        <v>11</v>
      </c>
      <c r="E878" t="s">
        <v>2785</v>
      </c>
      <c r="F878" t="s">
        <v>2786</v>
      </c>
      <c r="G878" t="s">
        <v>2833</v>
      </c>
      <c r="H878" t="s">
        <v>2829</v>
      </c>
      <c r="I878" t="s">
        <v>2697</v>
      </c>
      <c r="J878" s="4" t="s">
        <v>2879</v>
      </c>
      <c r="K878" t="s">
        <v>174</v>
      </c>
      <c r="L878" t="s">
        <v>163</v>
      </c>
      <c r="M878" t="s">
        <v>163</v>
      </c>
      <c r="N878" t="s">
        <v>163</v>
      </c>
      <c r="O878" s="6" t="s">
        <v>1427</v>
      </c>
      <c r="P878">
        <v>0</v>
      </c>
      <c r="Q878" s="24">
        <v>64.2</v>
      </c>
      <c r="R878" s="25">
        <v>88</v>
      </c>
      <c r="S878" s="26">
        <v>58.8</v>
      </c>
      <c r="Y878">
        <v>10</v>
      </c>
      <c r="Z878">
        <v>30</v>
      </c>
      <c r="AA878" s="3">
        <v>25</v>
      </c>
      <c r="AB878" s="3">
        <v>6</v>
      </c>
      <c r="AC878">
        <v>155</v>
      </c>
      <c r="AD878" s="9">
        <f t="shared" si="239"/>
        <v>4732.8333333333339</v>
      </c>
      <c r="AE878">
        <f t="shared" si="246"/>
        <v>2555730</v>
      </c>
      <c r="AF878" s="2">
        <f t="shared" si="250"/>
        <v>45</v>
      </c>
      <c r="AG878" t="str">
        <f t="shared" si="240"/>
        <v>78小时</v>
      </c>
      <c r="AH878">
        <f t="shared" si="241"/>
        <v>135</v>
      </c>
      <c r="AI878">
        <f t="shared" si="242"/>
        <v>23</v>
      </c>
      <c r="AJ878">
        <f t="shared" si="247"/>
        <v>76</v>
      </c>
      <c r="AK878">
        <f t="shared" si="243"/>
        <v>38</v>
      </c>
      <c r="AL878">
        <f t="shared" si="248"/>
        <v>45</v>
      </c>
      <c r="AM878" s="2">
        <f t="shared" si="244"/>
        <v>23</v>
      </c>
      <c r="AX878">
        <v>875</v>
      </c>
      <c r="AZ878" s="3"/>
      <c r="BB878" s="2">
        <f t="shared" si="245"/>
        <v>210</v>
      </c>
      <c r="BC878">
        <f t="shared" si="249"/>
        <v>24.07746913580247</v>
      </c>
      <c r="BD878" s="2">
        <f t="shared" si="251"/>
        <v>76</v>
      </c>
      <c r="BE878">
        <f t="shared" si="252"/>
        <v>45</v>
      </c>
      <c r="BF878">
        <f t="shared" si="253"/>
        <v>259200</v>
      </c>
    </row>
    <row r="879" spans="1:58" ht="14.25" x14ac:dyDescent="0.2">
      <c r="A879" s="12">
        <v>20246</v>
      </c>
      <c r="B879" s="13">
        <f t="shared" si="254"/>
        <v>17</v>
      </c>
      <c r="C879" s="15">
        <f t="shared" si="255"/>
        <v>12</v>
      </c>
      <c r="D879" s="14">
        <f t="shared" si="256"/>
        <v>11</v>
      </c>
      <c r="E879" t="s">
        <v>2777</v>
      </c>
      <c r="F879" t="s">
        <v>2834</v>
      </c>
      <c r="G879" t="s">
        <v>2779</v>
      </c>
      <c r="H879" t="s">
        <v>2779</v>
      </c>
      <c r="I879" t="s">
        <v>2780</v>
      </c>
      <c r="J879" s="4" t="s">
        <v>2841</v>
      </c>
      <c r="K879" t="s">
        <v>182</v>
      </c>
      <c r="L879" t="s">
        <v>163</v>
      </c>
      <c r="M879" t="s">
        <v>163</v>
      </c>
      <c r="N879" t="s">
        <v>163</v>
      </c>
      <c r="O879" s="6" t="s">
        <v>1429</v>
      </c>
      <c r="P879">
        <v>0</v>
      </c>
      <c r="Q879" s="24">
        <v>64.5</v>
      </c>
      <c r="R879" s="25">
        <v>88.5</v>
      </c>
      <c r="S879" s="26">
        <v>59</v>
      </c>
      <c r="Y879">
        <v>10</v>
      </c>
      <c r="Z879">
        <v>30</v>
      </c>
      <c r="AA879" s="3">
        <v>25</v>
      </c>
      <c r="AB879" s="3">
        <v>6</v>
      </c>
      <c r="AC879">
        <v>155</v>
      </c>
      <c r="AD879" s="9">
        <f t="shared" si="239"/>
        <v>4711.833333333333</v>
      </c>
      <c r="AE879">
        <f t="shared" si="246"/>
        <v>2555730</v>
      </c>
      <c r="AF879" s="2">
        <f t="shared" si="250"/>
        <v>45.2</v>
      </c>
      <c r="AG879" t="str">
        <f t="shared" si="240"/>
        <v>78小时</v>
      </c>
      <c r="AH879">
        <f t="shared" si="241"/>
        <v>136</v>
      </c>
      <c r="AI879">
        <f t="shared" si="242"/>
        <v>23</v>
      </c>
      <c r="AJ879">
        <f t="shared" si="247"/>
        <v>76.3</v>
      </c>
      <c r="AK879">
        <f t="shared" si="243"/>
        <v>39</v>
      </c>
      <c r="AL879">
        <f t="shared" si="248"/>
        <v>45.2</v>
      </c>
      <c r="AM879" s="2">
        <f t="shared" si="244"/>
        <v>23</v>
      </c>
      <c r="AX879">
        <v>876</v>
      </c>
      <c r="AZ879" s="3"/>
      <c r="BB879" s="2">
        <f t="shared" si="245"/>
        <v>210</v>
      </c>
      <c r="BC879">
        <f t="shared" si="249"/>
        <v>23.970931661750246</v>
      </c>
      <c r="BD879" s="2">
        <f t="shared" si="251"/>
        <v>76.3</v>
      </c>
      <c r="BE879">
        <f t="shared" si="252"/>
        <v>45.2</v>
      </c>
      <c r="BF879">
        <f t="shared" si="253"/>
        <v>260352</v>
      </c>
    </row>
    <row r="880" spans="1:58" ht="14.25" x14ac:dyDescent="0.2">
      <c r="A880" s="12">
        <v>20247</v>
      </c>
      <c r="B880" s="13">
        <f t="shared" si="254"/>
        <v>17</v>
      </c>
      <c r="C880" s="15">
        <f t="shared" si="255"/>
        <v>12</v>
      </c>
      <c r="D880" s="14">
        <f t="shared" si="256"/>
        <v>11</v>
      </c>
      <c r="E880" t="s">
        <v>2777</v>
      </c>
      <c r="F880" t="s">
        <v>2835</v>
      </c>
      <c r="G880" t="s">
        <v>2779</v>
      </c>
      <c r="H880" t="s">
        <v>2779</v>
      </c>
      <c r="I880" t="s">
        <v>2780</v>
      </c>
      <c r="J880" s="4" t="s">
        <v>2841</v>
      </c>
      <c r="K880" t="s">
        <v>162</v>
      </c>
      <c r="L880" t="s">
        <v>163</v>
      </c>
      <c r="M880" t="s">
        <v>163</v>
      </c>
      <c r="N880" t="s">
        <v>163</v>
      </c>
      <c r="O880" s="6" t="s">
        <v>1429</v>
      </c>
      <c r="P880">
        <v>0</v>
      </c>
      <c r="Q880" s="24">
        <v>64.5</v>
      </c>
      <c r="R880" s="25">
        <v>88.5</v>
      </c>
      <c r="S880" s="26">
        <v>59</v>
      </c>
      <c r="Y880">
        <v>10</v>
      </c>
      <c r="Z880">
        <v>30</v>
      </c>
      <c r="AA880" s="3">
        <v>25</v>
      </c>
      <c r="AB880" s="3">
        <v>6</v>
      </c>
      <c r="AC880">
        <v>155</v>
      </c>
      <c r="AD880" s="9">
        <f t="shared" si="239"/>
        <v>4711.833333333333</v>
      </c>
      <c r="AE880">
        <f t="shared" si="246"/>
        <v>2555730</v>
      </c>
      <c r="AF880" s="2">
        <f t="shared" si="250"/>
        <v>45.2</v>
      </c>
      <c r="AG880" t="str">
        <f t="shared" si="240"/>
        <v>78小时</v>
      </c>
      <c r="AH880">
        <f t="shared" si="241"/>
        <v>136</v>
      </c>
      <c r="AI880">
        <f t="shared" si="242"/>
        <v>23</v>
      </c>
      <c r="AJ880">
        <f t="shared" si="247"/>
        <v>76.3</v>
      </c>
      <c r="AK880">
        <f t="shared" si="243"/>
        <v>39</v>
      </c>
      <c r="AL880">
        <f t="shared" si="248"/>
        <v>45.2</v>
      </c>
      <c r="AM880" s="2">
        <f t="shared" si="244"/>
        <v>23</v>
      </c>
      <c r="AX880">
        <v>877</v>
      </c>
      <c r="AZ880" s="3"/>
      <c r="BB880" s="2">
        <f t="shared" si="245"/>
        <v>210</v>
      </c>
      <c r="BC880">
        <f t="shared" si="249"/>
        <v>23.970931661750246</v>
      </c>
      <c r="BD880" s="2">
        <f t="shared" si="251"/>
        <v>76.3</v>
      </c>
      <c r="BE880">
        <f t="shared" si="252"/>
        <v>45.2</v>
      </c>
      <c r="BF880">
        <f t="shared" si="253"/>
        <v>260352</v>
      </c>
    </row>
    <row r="881" spans="1:58" ht="14.25" x14ac:dyDescent="0.2">
      <c r="A881" s="12">
        <v>20248</v>
      </c>
      <c r="B881" s="13">
        <f t="shared" si="254"/>
        <v>17</v>
      </c>
      <c r="C881" s="15">
        <f t="shared" si="255"/>
        <v>12</v>
      </c>
      <c r="D881" s="14">
        <f t="shared" si="256"/>
        <v>11</v>
      </c>
      <c r="E881" t="s">
        <v>2777</v>
      </c>
      <c r="F881" t="s">
        <v>2836</v>
      </c>
      <c r="G881" t="s">
        <v>2779</v>
      </c>
      <c r="H881" t="s">
        <v>2779</v>
      </c>
      <c r="I881" t="s">
        <v>2780</v>
      </c>
      <c r="J881" s="4" t="s">
        <v>2841</v>
      </c>
      <c r="K881" t="s">
        <v>177</v>
      </c>
      <c r="L881" t="s">
        <v>163</v>
      </c>
      <c r="M881" t="s">
        <v>163</v>
      </c>
      <c r="N881" t="s">
        <v>163</v>
      </c>
      <c r="O881" s="6" t="s">
        <v>1431</v>
      </c>
      <c r="P881">
        <v>0</v>
      </c>
      <c r="Q881" s="24">
        <v>64.5</v>
      </c>
      <c r="R881" s="25">
        <v>88.5</v>
      </c>
      <c r="S881" s="26">
        <v>59</v>
      </c>
      <c r="Y881">
        <v>10</v>
      </c>
      <c r="Z881">
        <v>30</v>
      </c>
      <c r="AA881" s="3">
        <v>25</v>
      </c>
      <c r="AB881" s="3">
        <v>6</v>
      </c>
      <c r="AC881">
        <v>155</v>
      </c>
      <c r="AD881" s="9">
        <f t="shared" si="239"/>
        <v>4711.833333333333</v>
      </c>
      <c r="AE881">
        <f t="shared" si="246"/>
        <v>2555730</v>
      </c>
      <c r="AF881" s="2">
        <f t="shared" si="250"/>
        <v>45.2</v>
      </c>
      <c r="AG881" t="str">
        <f t="shared" si="240"/>
        <v>78小时</v>
      </c>
      <c r="AH881">
        <f t="shared" si="241"/>
        <v>136</v>
      </c>
      <c r="AI881">
        <f t="shared" si="242"/>
        <v>23</v>
      </c>
      <c r="AJ881">
        <f t="shared" si="247"/>
        <v>76.3</v>
      </c>
      <c r="AK881">
        <f t="shared" si="243"/>
        <v>39</v>
      </c>
      <c r="AL881">
        <f t="shared" si="248"/>
        <v>45.2</v>
      </c>
      <c r="AM881" s="2">
        <f t="shared" si="244"/>
        <v>23</v>
      </c>
      <c r="AX881">
        <v>878</v>
      </c>
      <c r="AZ881" s="3"/>
      <c r="BB881" s="2">
        <f t="shared" si="245"/>
        <v>210</v>
      </c>
      <c r="BC881">
        <f t="shared" si="249"/>
        <v>23.970931661750246</v>
      </c>
      <c r="BD881" s="2">
        <f t="shared" si="251"/>
        <v>76.3</v>
      </c>
      <c r="BE881">
        <f t="shared" si="252"/>
        <v>45.2</v>
      </c>
      <c r="BF881">
        <f t="shared" si="253"/>
        <v>260352</v>
      </c>
    </row>
    <row r="882" spans="1:58" ht="14.25" x14ac:dyDescent="0.2">
      <c r="A882" s="12">
        <v>20249</v>
      </c>
      <c r="B882" s="13">
        <f t="shared" si="254"/>
        <v>17</v>
      </c>
      <c r="C882" s="15">
        <f t="shared" si="255"/>
        <v>12</v>
      </c>
      <c r="D882" s="14">
        <f t="shared" si="256"/>
        <v>11</v>
      </c>
      <c r="E882" t="s">
        <v>2777</v>
      </c>
      <c r="F882" t="s">
        <v>2837</v>
      </c>
      <c r="G882" t="s">
        <v>2779</v>
      </c>
      <c r="H882" t="s">
        <v>2779</v>
      </c>
      <c r="I882" t="s">
        <v>2780</v>
      </c>
      <c r="J882" s="4" t="s">
        <v>2841</v>
      </c>
      <c r="K882" t="s">
        <v>174</v>
      </c>
      <c r="L882" t="s">
        <v>163</v>
      </c>
      <c r="M882" t="s">
        <v>163</v>
      </c>
      <c r="N882" t="s">
        <v>163</v>
      </c>
      <c r="O882" s="6" t="s">
        <v>1433</v>
      </c>
      <c r="P882">
        <v>0</v>
      </c>
      <c r="Q882" s="24">
        <v>64.5</v>
      </c>
      <c r="R882" s="25">
        <v>88.5</v>
      </c>
      <c r="S882" s="26">
        <v>59</v>
      </c>
      <c r="Y882">
        <v>10</v>
      </c>
      <c r="Z882">
        <v>30</v>
      </c>
      <c r="AA882" s="3">
        <v>25</v>
      </c>
      <c r="AB882" s="3">
        <v>6</v>
      </c>
      <c r="AC882">
        <v>155</v>
      </c>
      <c r="AD882" s="9">
        <f t="shared" si="239"/>
        <v>4711.833333333333</v>
      </c>
      <c r="AE882">
        <f t="shared" si="246"/>
        <v>2555730</v>
      </c>
      <c r="AF882" s="2">
        <f t="shared" si="250"/>
        <v>45.2</v>
      </c>
      <c r="AG882" t="str">
        <f t="shared" si="240"/>
        <v>78小时</v>
      </c>
      <c r="AH882">
        <f t="shared" si="241"/>
        <v>136</v>
      </c>
      <c r="AI882">
        <f t="shared" si="242"/>
        <v>23</v>
      </c>
      <c r="AJ882">
        <f t="shared" si="247"/>
        <v>76.3</v>
      </c>
      <c r="AK882">
        <f t="shared" si="243"/>
        <v>39</v>
      </c>
      <c r="AL882">
        <f t="shared" si="248"/>
        <v>45.2</v>
      </c>
      <c r="AM882" s="2">
        <f t="shared" si="244"/>
        <v>23</v>
      </c>
      <c r="AX882">
        <v>879</v>
      </c>
      <c r="AZ882" s="3"/>
      <c r="BB882" s="2">
        <f t="shared" si="245"/>
        <v>210</v>
      </c>
      <c r="BC882">
        <f t="shared" si="249"/>
        <v>23.970931661750246</v>
      </c>
      <c r="BD882" s="2">
        <f t="shared" si="251"/>
        <v>76.3</v>
      </c>
      <c r="BE882">
        <f t="shared" si="252"/>
        <v>45.2</v>
      </c>
      <c r="BF882">
        <f t="shared" si="253"/>
        <v>260352</v>
      </c>
    </row>
    <row r="883" spans="1:58" ht="14.25" x14ac:dyDescent="0.2">
      <c r="A883" s="12">
        <v>20250</v>
      </c>
      <c r="B883" s="13">
        <f t="shared" si="254"/>
        <v>17</v>
      </c>
      <c r="C883" s="15">
        <f t="shared" si="255"/>
        <v>12</v>
      </c>
      <c r="D883" s="14">
        <f t="shared" si="256"/>
        <v>11</v>
      </c>
      <c r="E883" t="s">
        <v>2785</v>
      </c>
      <c r="F883" t="s">
        <v>2786</v>
      </c>
      <c r="G883" t="s">
        <v>2828</v>
      </c>
      <c r="H883" t="s">
        <v>2829</v>
      </c>
      <c r="I883" t="s">
        <v>2697</v>
      </c>
      <c r="J883" s="4" t="s">
        <v>2879</v>
      </c>
      <c r="K883" t="s">
        <v>166</v>
      </c>
      <c r="L883" t="s">
        <v>163</v>
      </c>
      <c r="M883" t="s">
        <v>163</v>
      </c>
      <c r="N883" t="s">
        <v>163</v>
      </c>
      <c r="O883" s="6" t="s">
        <v>1433</v>
      </c>
      <c r="P883">
        <v>0</v>
      </c>
      <c r="Q883" s="24">
        <v>64.5</v>
      </c>
      <c r="R883" s="25">
        <v>88.5</v>
      </c>
      <c r="S883" s="26">
        <v>59</v>
      </c>
      <c r="Y883">
        <v>10</v>
      </c>
      <c r="Z883">
        <v>30</v>
      </c>
      <c r="AA883" s="3">
        <v>25</v>
      </c>
      <c r="AB883" s="3">
        <v>6</v>
      </c>
      <c r="AC883">
        <v>155</v>
      </c>
      <c r="AD883" s="9">
        <f t="shared" si="239"/>
        <v>4711.833333333333</v>
      </c>
      <c r="AE883">
        <f t="shared" si="246"/>
        <v>2555730</v>
      </c>
      <c r="AF883" s="2">
        <f t="shared" si="250"/>
        <v>45.2</v>
      </c>
      <c r="AG883" t="str">
        <f t="shared" si="240"/>
        <v>78小时</v>
      </c>
      <c r="AH883">
        <f t="shared" si="241"/>
        <v>136</v>
      </c>
      <c r="AI883">
        <f t="shared" si="242"/>
        <v>23</v>
      </c>
      <c r="AJ883">
        <f t="shared" si="247"/>
        <v>76.3</v>
      </c>
      <c r="AK883">
        <f t="shared" si="243"/>
        <v>39</v>
      </c>
      <c r="AL883">
        <f t="shared" si="248"/>
        <v>45.2</v>
      </c>
      <c r="AM883" s="2">
        <f t="shared" si="244"/>
        <v>23</v>
      </c>
      <c r="AX883">
        <v>880</v>
      </c>
      <c r="AZ883" s="3"/>
      <c r="BB883" s="2">
        <f t="shared" si="245"/>
        <v>215</v>
      </c>
      <c r="BC883">
        <f t="shared" si="249"/>
        <v>25.737309488692233</v>
      </c>
      <c r="BD883" s="2">
        <f t="shared" si="251"/>
        <v>76.3</v>
      </c>
      <c r="BE883">
        <f t="shared" si="252"/>
        <v>45.2</v>
      </c>
      <c r="BF883">
        <f t="shared" si="253"/>
        <v>260352</v>
      </c>
    </row>
    <row r="884" spans="1:58" ht="14.25" x14ac:dyDescent="0.2">
      <c r="A884" s="12">
        <v>20301</v>
      </c>
      <c r="B884" s="13">
        <f t="shared" si="254"/>
        <v>17</v>
      </c>
      <c r="C884" s="15">
        <f t="shared" si="255"/>
        <v>12</v>
      </c>
      <c r="D884" s="14">
        <f t="shared" si="256"/>
        <v>11</v>
      </c>
      <c r="E884" t="s">
        <v>2777</v>
      </c>
      <c r="F884" t="s">
        <v>2834</v>
      </c>
      <c r="G884" t="s">
        <v>2779</v>
      </c>
      <c r="H884" t="s">
        <v>2779</v>
      </c>
      <c r="I884" t="s">
        <v>2780</v>
      </c>
      <c r="J884" s="4" t="s">
        <v>2841</v>
      </c>
      <c r="K884" t="s">
        <v>168</v>
      </c>
      <c r="L884" t="s">
        <v>163</v>
      </c>
      <c r="M884" t="s">
        <v>163</v>
      </c>
      <c r="N884" t="s">
        <v>163</v>
      </c>
      <c r="O884" s="6" t="s">
        <v>1435</v>
      </c>
      <c r="P884">
        <v>0</v>
      </c>
      <c r="Q884" s="24">
        <v>64.8</v>
      </c>
      <c r="R884" s="25">
        <v>89</v>
      </c>
      <c r="S884" s="26">
        <v>59.3</v>
      </c>
      <c r="Y884">
        <v>10</v>
      </c>
      <c r="Z884">
        <v>30</v>
      </c>
      <c r="AA884" s="3">
        <v>25</v>
      </c>
      <c r="AB884" s="3">
        <v>6</v>
      </c>
      <c r="AC884">
        <v>155</v>
      </c>
      <c r="AD884" s="9">
        <f t="shared" si="239"/>
        <v>4680.75</v>
      </c>
      <c r="AE884">
        <f t="shared" si="246"/>
        <v>2555730</v>
      </c>
      <c r="AF884" s="2">
        <f t="shared" si="250"/>
        <v>45.5</v>
      </c>
      <c r="AG884" t="str">
        <f t="shared" si="240"/>
        <v>78小时</v>
      </c>
      <c r="AH884">
        <f t="shared" si="241"/>
        <v>137</v>
      </c>
      <c r="AI884">
        <f t="shared" si="242"/>
        <v>23</v>
      </c>
      <c r="AJ884">
        <f t="shared" si="247"/>
        <v>76.8</v>
      </c>
      <c r="AK884">
        <f t="shared" si="243"/>
        <v>39</v>
      </c>
      <c r="AL884">
        <f t="shared" si="248"/>
        <v>45.5</v>
      </c>
      <c r="AM884" s="2">
        <f t="shared" si="244"/>
        <v>23</v>
      </c>
      <c r="AX884">
        <v>881</v>
      </c>
      <c r="AZ884" s="3"/>
      <c r="BB884" s="2">
        <f t="shared" si="245"/>
        <v>215</v>
      </c>
      <c r="BC884">
        <f t="shared" si="249"/>
        <v>25.567612942612943</v>
      </c>
      <c r="BD884" s="2">
        <f t="shared" si="251"/>
        <v>76.8</v>
      </c>
      <c r="BE884">
        <f t="shared" si="252"/>
        <v>45.5</v>
      </c>
      <c r="BF884">
        <f t="shared" si="253"/>
        <v>262080</v>
      </c>
    </row>
    <row r="885" spans="1:58" ht="14.25" x14ac:dyDescent="0.2">
      <c r="A885" s="12">
        <v>20302</v>
      </c>
      <c r="B885" s="13">
        <f t="shared" si="254"/>
        <v>17</v>
      </c>
      <c r="C885" s="15">
        <f t="shared" si="255"/>
        <v>12</v>
      </c>
      <c r="D885" s="14">
        <f t="shared" si="256"/>
        <v>11</v>
      </c>
      <c r="E885" t="s">
        <v>2777</v>
      </c>
      <c r="F885" t="s">
        <v>2835</v>
      </c>
      <c r="G885" t="s">
        <v>2779</v>
      </c>
      <c r="H885" t="s">
        <v>2779</v>
      </c>
      <c r="I885" t="s">
        <v>2780</v>
      </c>
      <c r="J885" s="4" t="s">
        <v>2841</v>
      </c>
      <c r="K885" t="s">
        <v>175</v>
      </c>
      <c r="L885" t="s">
        <v>164</v>
      </c>
      <c r="M885" t="s">
        <v>163</v>
      </c>
      <c r="N885" t="s">
        <v>167</v>
      </c>
      <c r="O885" s="6" t="s">
        <v>1437</v>
      </c>
      <c r="P885">
        <v>0</v>
      </c>
      <c r="Q885" s="24">
        <v>64.8</v>
      </c>
      <c r="R885" s="25">
        <v>89</v>
      </c>
      <c r="S885" s="26">
        <v>59.3</v>
      </c>
      <c r="Y885">
        <v>10</v>
      </c>
      <c r="Z885">
        <v>30</v>
      </c>
      <c r="AA885" s="3">
        <v>25</v>
      </c>
      <c r="AB885" s="3">
        <v>6</v>
      </c>
      <c r="AC885">
        <v>155</v>
      </c>
      <c r="AD885" s="9">
        <f t="shared" si="239"/>
        <v>4680.75</v>
      </c>
      <c r="AE885">
        <f t="shared" si="246"/>
        <v>2555730</v>
      </c>
      <c r="AF885" s="2">
        <f t="shared" si="250"/>
        <v>45.5</v>
      </c>
      <c r="AG885" t="str">
        <f t="shared" si="240"/>
        <v>78小时</v>
      </c>
      <c r="AH885">
        <f t="shared" si="241"/>
        <v>137</v>
      </c>
      <c r="AI885">
        <f t="shared" si="242"/>
        <v>23</v>
      </c>
      <c r="AJ885">
        <f t="shared" si="247"/>
        <v>76.8</v>
      </c>
      <c r="AK885">
        <f t="shared" si="243"/>
        <v>39</v>
      </c>
      <c r="AL885">
        <f t="shared" si="248"/>
        <v>45.5</v>
      </c>
      <c r="AM885" s="2">
        <f t="shared" si="244"/>
        <v>23</v>
      </c>
      <c r="AX885">
        <v>882</v>
      </c>
      <c r="AZ885" s="3"/>
      <c r="BB885" s="2">
        <f t="shared" si="245"/>
        <v>215</v>
      </c>
      <c r="BC885">
        <f t="shared" si="249"/>
        <v>25.567612942612943</v>
      </c>
      <c r="BD885" s="2">
        <f t="shared" si="251"/>
        <v>76.8</v>
      </c>
      <c r="BE885">
        <f t="shared" si="252"/>
        <v>45.5</v>
      </c>
      <c r="BF885">
        <f t="shared" si="253"/>
        <v>262080</v>
      </c>
    </row>
    <row r="886" spans="1:58" ht="14.25" x14ac:dyDescent="0.2">
      <c r="A886" s="12">
        <v>20303</v>
      </c>
      <c r="B886" s="13">
        <f t="shared" si="254"/>
        <v>17</v>
      </c>
      <c r="C886" s="15">
        <f t="shared" si="255"/>
        <v>12</v>
      </c>
      <c r="D886" s="14">
        <f t="shared" si="256"/>
        <v>11</v>
      </c>
      <c r="E886" t="s">
        <v>2777</v>
      </c>
      <c r="F886" t="s">
        <v>2836</v>
      </c>
      <c r="G886" t="s">
        <v>2779</v>
      </c>
      <c r="H886" t="s">
        <v>2779</v>
      </c>
      <c r="I886" t="s">
        <v>2780</v>
      </c>
      <c r="J886" s="4" t="s">
        <v>2841</v>
      </c>
      <c r="K886" t="s">
        <v>179</v>
      </c>
      <c r="L886" t="s">
        <v>163</v>
      </c>
      <c r="M886" t="s">
        <v>163</v>
      </c>
      <c r="N886" t="s">
        <v>163</v>
      </c>
      <c r="O886" s="6" t="s">
        <v>1439</v>
      </c>
      <c r="P886">
        <v>0</v>
      </c>
      <c r="Q886" s="24">
        <v>64.8</v>
      </c>
      <c r="R886" s="25">
        <v>89</v>
      </c>
      <c r="S886" s="26">
        <v>59.3</v>
      </c>
      <c r="Y886">
        <v>10</v>
      </c>
      <c r="Z886">
        <v>30</v>
      </c>
      <c r="AA886" s="3">
        <v>25</v>
      </c>
      <c r="AB886" s="3">
        <v>6</v>
      </c>
      <c r="AC886">
        <v>155</v>
      </c>
      <c r="AD886" s="9">
        <f t="shared" si="239"/>
        <v>4680.75</v>
      </c>
      <c r="AE886">
        <f t="shared" si="246"/>
        <v>2555730</v>
      </c>
      <c r="AF886" s="2">
        <f t="shared" si="250"/>
        <v>45.5</v>
      </c>
      <c r="AG886" t="str">
        <f t="shared" si="240"/>
        <v>78小时</v>
      </c>
      <c r="AH886">
        <f t="shared" si="241"/>
        <v>137</v>
      </c>
      <c r="AI886">
        <f t="shared" si="242"/>
        <v>23</v>
      </c>
      <c r="AJ886">
        <f t="shared" si="247"/>
        <v>76.8</v>
      </c>
      <c r="AK886">
        <f t="shared" si="243"/>
        <v>39</v>
      </c>
      <c r="AL886">
        <f t="shared" si="248"/>
        <v>45.5</v>
      </c>
      <c r="AM886" s="2">
        <f t="shared" si="244"/>
        <v>23</v>
      </c>
      <c r="AX886">
        <v>883</v>
      </c>
      <c r="AZ886" s="3"/>
      <c r="BB886" s="2">
        <f t="shared" si="245"/>
        <v>215</v>
      </c>
      <c r="BC886">
        <f t="shared" si="249"/>
        <v>25.567612942612943</v>
      </c>
      <c r="BD886" s="2">
        <f t="shared" si="251"/>
        <v>76.8</v>
      </c>
      <c r="BE886">
        <f t="shared" si="252"/>
        <v>45.5</v>
      </c>
      <c r="BF886">
        <f t="shared" si="253"/>
        <v>262080</v>
      </c>
    </row>
    <row r="887" spans="1:58" ht="14.25" x14ac:dyDescent="0.2">
      <c r="A887" s="12">
        <v>20304</v>
      </c>
      <c r="B887" s="13">
        <f t="shared" si="254"/>
        <v>17</v>
      </c>
      <c r="C887" s="15">
        <f t="shared" si="255"/>
        <v>12</v>
      </c>
      <c r="D887" s="14">
        <f t="shared" si="256"/>
        <v>11</v>
      </c>
      <c r="E887" t="s">
        <v>2777</v>
      </c>
      <c r="F887" t="s">
        <v>2837</v>
      </c>
      <c r="G887" t="s">
        <v>2779</v>
      </c>
      <c r="H887" t="s">
        <v>2779</v>
      </c>
      <c r="I887" t="s">
        <v>2780</v>
      </c>
      <c r="J887" s="4" t="s">
        <v>2841</v>
      </c>
      <c r="K887" t="s">
        <v>177</v>
      </c>
      <c r="L887" t="s">
        <v>163</v>
      </c>
      <c r="M887" t="s">
        <v>163</v>
      </c>
      <c r="N887" t="s">
        <v>163</v>
      </c>
      <c r="O887" s="6" t="s">
        <v>1439</v>
      </c>
      <c r="P887">
        <v>0</v>
      </c>
      <c r="Q887" s="24">
        <v>64.8</v>
      </c>
      <c r="R887" s="25">
        <v>89</v>
      </c>
      <c r="S887" s="26">
        <v>59.3</v>
      </c>
      <c r="Y887">
        <v>10</v>
      </c>
      <c r="Z887">
        <v>30</v>
      </c>
      <c r="AA887" s="3">
        <v>25</v>
      </c>
      <c r="AB887" s="3">
        <v>6</v>
      </c>
      <c r="AC887">
        <v>155</v>
      </c>
      <c r="AD887" s="9">
        <f t="shared" si="239"/>
        <v>4680.75</v>
      </c>
      <c r="AE887">
        <f t="shared" si="246"/>
        <v>2555730</v>
      </c>
      <c r="AF887" s="2">
        <f t="shared" si="250"/>
        <v>45.5</v>
      </c>
      <c r="AG887" t="str">
        <f t="shared" si="240"/>
        <v>78小时</v>
      </c>
      <c r="AH887">
        <f t="shared" si="241"/>
        <v>137</v>
      </c>
      <c r="AI887">
        <f t="shared" si="242"/>
        <v>23</v>
      </c>
      <c r="AJ887">
        <f t="shared" si="247"/>
        <v>76.8</v>
      </c>
      <c r="AK887">
        <f t="shared" si="243"/>
        <v>39</v>
      </c>
      <c r="AL887">
        <f t="shared" si="248"/>
        <v>45.5</v>
      </c>
      <c r="AM887" s="2">
        <f t="shared" si="244"/>
        <v>23</v>
      </c>
      <c r="AX887">
        <v>884</v>
      </c>
      <c r="AZ887" s="3"/>
      <c r="BB887" s="2">
        <f t="shared" si="245"/>
        <v>215</v>
      </c>
      <c r="BC887">
        <f t="shared" si="249"/>
        <v>25.567612942612943</v>
      </c>
      <c r="BD887" s="2">
        <f t="shared" si="251"/>
        <v>76.8</v>
      </c>
      <c r="BE887">
        <f t="shared" si="252"/>
        <v>45.5</v>
      </c>
      <c r="BF887">
        <f t="shared" si="253"/>
        <v>262080</v>
      </c>
    </row>
    <row r="888" spans="1:58" ht="14.25" x14ac:dyDescent="0.2">
      <c r="A888" s="12">
        <v>20305</v>
      </c>
      <c r="B888" s="13">
        <f t="shared" si="254"/>
        <v>17</v>
      </c>
      <c r="C888" s="15">
        <f t="shared" si="255"/>
        <v>12</v>
      </c>
      <c r="D888" s="14">
        <f t="shared" si="256"/>
        <v>11</v>
      </c>
      <c r="E888" t="s">
        <v>2785</v>
      </c>
      <c r="F888" t="s">
        <v>2786</v>
      </c>
      <c r="G888" t="s">
        <v>2830</v>
      </c>
      <c r="H888" t="s">
        <v>2829</v>
      </c>
      <c r="I888" t="s">
        <v>2697</v>
      </c>
      <c r="J888" s="4" t="s">
        <v>2861</v>
      </c>
      <c r="K888" t="s">
        <v>174</v>
      </c>
      <c r="L888" t="s">
        <v>163</v>
      </c>
      <c r="M888" t="s">
        <v>163</v>
      </c>
      <c r="N888" t="s">
        <v>163</v>
      </c>
      <c r="O888" s="6" t="s">
        <v>1441</v>
      </c>
      <c r="P888">
        <v>0</v>
      </c>
      <c r="Q888" s="24">
        <v>64.8</v>
      </c>
      <c r="R888" s="25">
        <v>89</v>
      </c>
      <c r="S888" s="26">
        <v>59.3</v>
      </c>
      <c r="Y888">
        <v>10</v>
      </c>
      <c r="Z888">
        <v>30</v>
      </c>
      <c r="AA888" s="3">
        <v>25</v>
      </c>
      <c r="AB888" s="3">
        <v>6</v>
      </c>
      <c r="AC888">
        <v>155</v>
      </c>
      <c r="AD888" s="9">
        <f t="shared" si="239"/>
        <v>4680.75</v>
      </c>
      <c r="AE888">
        <f t="shared" si="246"/>
        <v>2555730</v>
      </c>
      <c r="AF888" s="2">
        <f t="shared" si="250"/>
        <v>45.5</v>
      </c>
      <c r="AG888" t="str">
        <f t="shared" si="240"/>
        <v>78小时</v>
      </c>
      <c r="AH888">
        <f t="shared" si="241"/>
        <v>137</v>
      </c>
      <c r="AI888">
        <f t="shared" si="242"/>
        <v>23</v>
      </c>
      <c r="AJ888">
        <f t="shared" si="247"/>
        <v>76.8</v>
      </c>
      <c r="AK888">
        <f t="shared" si="243"/>
        <v>39</v>
      </c>
      <c r="AL888">
        <f t="shared" si="248"/>
        <v>45.5</v>
      </c>
      <c r="AM888" s="2">
        <f t="shared" si="244"/>
        <v>23</v>
      </c>
      <c r="AX888">
        <v>885</v>
      </c>
      <c r="AZ888" s="3"/>
      <c r="BB888" s="2">
        <f t="shared" si="245"/>
        <v>215</v>
      </c>
      <c r="BC888">
        <f t="shared" si="249"/>
        <v>25.567612942612943</v>
      </c>
      <c r="BD888" s="2">
        <f t="shared" si="251"/>
        <v>76.8</v>
      </c>
      <c r="BE888">
        <f t="shared" si="252"/>
        <v>45.5</v>
      </c>
      <c r="BF888">
        <f t="shared" si="253"/>
        <v>262080</v>
      </c>
    </row>
    <row r="889" spans="1:58" ht="14.25" x14ac:dyDescent="0.2">
      <c r="A889" s="12">
        <v>20306</v>
      </c>
      <c r="B889" s="13">
        <f t="shared" si="254"/>
        <v>17</v>
      </c>
      <c r="C889" s="15">
        <f t="shared" si="255"/>
        <v>12</v>
      </c>
      <c r="D889" s="14">
        <f t="shared" si="256"/>
        <v>11</v>
      </c>
      <c r="E889" t="s">
        <v>2777</v>
      </c>
      <c r="F889" t="s">
        <v>2834</v>
      </c>
      <c r="G889" t="s">
        <v>2779</v>
      </c>
      <c r="H889" t="s">
        <v>2779</v>
      </c>
      <c r="I889" t="s">
        <v>2780</v>
      </c>
      <c r="J889" s="4" t="s">
        <v>2841</v>
      </c>
      <c r="K889" t="s">
        <v>182</v>
      </c>
      <c r="L889" t="s">
        <v>163</v>
      </c>
      <c r="M889" t="s">
        <v>163</v>
      </c>
      <c r="N889" t="s">
        <v>163</v>
      </c>
      <c r="O889" s="6" t="s">
        <v>1443</v>
      </c>
      <c r="P889">
        <v>0</v>
      </c>
      <c r="Q889" s="24">
        <v>65.2</v>
      </c>
      <c r="R889" s="25">
        <v>89.5</v>
      </c>
      <c r="S889" s="26">
        <v>59.5</v>
      </c>
      <c r="Y889">
        <v>10</v>
      </c>
      <c r="Z889">
        <v>30</v>
      </c>
      <c r="AA889" s="3">
        <v>25</v>
      </c>
      <c r="AB889" s="3">
        <v>6</v>
      </c>
      <c r="AC889">
        <v>155</v>
      </c>
      <c r="AD889" s="9">
        <f t="shared" si="239"/>
        <v>4660.3333333333339</v>
      </c>
      <c r="AE889">
        <f t="shared" si="246"/>
        <v>2555730</v>
      </c>
      <c r="AF889" s="2">
        <f t="shared" si="250"/>
        <v>45.7</v>
      </c>
      <c r="AG889" t="str">
        <f t="shared" si="240"/>
        <v>77小时</v>
      </c>
      <c r="AH889">
        <f t="shared" si="241"/>
        <v>138</v>
      </c>
      <c r="AI889">
        <f t="shared" si="242"/>
        <v>23</v>
      </c>
      <c r="AJ889">
        <f t="shared" si="247"/>
        <v>77.099999999999994</v>
      </c>
      <c r="AK889">
        <f t="shared" si="243"/>
        <v>39</v>
      </c>
      <c r="AL889">
        <f t="shared" si="248"/>
        <v>45.7</v>
      </c>
      <c r="AM889" s="2">
        <f t="shared" si="244"/>
        <v>23</v>
      </c>
      <c r="AX889">
        <v>886</v>
      </c>
      <c r="AZ889" s="3"/>
      <c r="BB889" s="2">
        <f t="shared" si="245"/>
        <v>215</v>
      </c>
      <c r="BC889">
        <f t="shared" si="249"/>
        <v>25.455719669341114</v>
      </c>
      <c r="BD889" s="2">
        <f t="shared" si="251"/>
        <v>77.099999999999994</v>
      </c>
      <c r="BE889">
        <f t="shared" si="252"/>
        <v>45.7</v>
      </c>
      <c r="BF889">
        <f t="shared" si="253"/>
        <v>263232</v>
      </c>
    </row>
    <row r="890" spans="1:58" ht="14.25" x14ac:dyDescent="0.2">
      <c r="A890" s="12">
        <v>20307</v>
      </c>
      <c r="B890" s="13">
        <f t="shared" si="254"/>
        <v>17</v>
      </c>
      <c r="C890" s="15">
        <f t="shared" si="255"/>
        <v>12</v>
      </c>
      <c r="D890" s="14">
        <f t="shared" si="256"/>
        <v>11</v>
      </c>
      <c r="E890" t="s">
        <v>2777</v>
      </c>
      <c r="F890" t="s">
        <v>2835</v>
      </c>
      <c r="G890" t="s">
        <v>2779</v>
      </c>
      <c r="H890" t="s">
        <v>2779</v>
      </c>
      <c r="I890" t="s">
        <v>2780</v>
      </c>
      <c r="J890" s="4" t="s">
        <v>2841</v>
      </c>
      <c r="K890" t="s">
        <v>162</v>
      </c>
      <c r="L890" t="s">
        <v>163</v>
      </c>
      <c r="M890" t="s">
        <v>163</v>
      </c>
      <c r="N890" t="s">
        <v>163</v>
      </c>
      <c r="O890" s="6" t="s">
        <v>1443</v>
      </c>
      <c r="P890">
        <v>0</v>
      </c>
      <c r="Q890" s="24">
        <v>65.2</v>
      </c>
      <c r="R890" s="25">
        <v>89.5</v>
      </c>
      <c r="S890" s="26">
        <v>59.5</v>
      </c>
      <c r="Y890">
        <v>10</v>
      </c>
      <c r="Z890">
        <v>30</v>
      </c>
      <c r="AA890" s="3">
        <v>25</v>
      </c>
      <c r="AB890" s="3">
        <v>6</v>
      </c>
      <c r="AC890">
        <v>155</v>
      </c>
      <c r="AD890" s="9">
        <f t="shared" si="239"/>
        <v>4660.3333333333339</v>
      </c>
      <c r="AE890">
        <f t="shared" si="246"/>
        <v>2555730</v>
      </c>
      <c r="AF890" s="2">
        <f t="shared" si="250"/>
        <v>45.7</v>
      </c>
      <c r="AG890" t="str">
        <f t="shared" si="240"/>
        <v>77小时</v>
      </c>
      <c r="AH890">
        <f t="shared" si="241"/>
        <v>138</v>
      </c>
      <c r="AI890">
        <f t="shared" si="242"/>
        <v>23</v>
      </c>
      <c r="AJ890">
        <f t="shared" si="247"/>
        <v>77.099999999999994</v>
      </c>
      <c r="AK890">
        <f t="shared" si="243"/>
        <v>39</v>
      </c>
      <c r="AL890">
        <f t="shared" si="248"/>
        <v>45.7</v>
      </c>
      <c r="AM890" s="2">
        <f t="shared" si="244"/>
        <v>23</v>
      </c>
      <c r="AX890">
        <v>887</v>
      </c>
      <c r="AZ890" s="3"/>
      <c r="BB890" s="2">
        <f t="shared" si="245"/>
        <v>215</v>
      </c>
      <c r="BC890">
        <f t="shared" si="249"/>
        <v>25.455719669341114</v>
      </c>
      <c r="BD890" s="2">
        <f t="shared" si="251"/>
        <v>77.099999999999994</v>
      </c>
      <c r="BE890">
        <f t="shared" si="252"/>
        <v>45.7</v>
      </c>
      <c r="BF890">
        <f t="shared" si="253"/>
        <v>263232</v>
      </c>
    </row>
    <row r="891" spans="1:58" ht="14.25" x14ac:dyDescent="0.2">
      <c r="A891" s="12">
        <v>20308</v>
      </c>
      <c r="B891" s="13">
        <f t="shared" si="254"/>
        <v>17</v>
      </c>
      <c r="C891" s="15">
        <f t="shared" si="255"/>
        <v>13</v>
      </c>
      <c r="D891" s="14">
        <f t="shared" si="256"/>
        <v>11</v>
      </c>
      <c r="E891" t="s">
        <v>2777</v>
      </c>
      <c r="F891" t="s">
        <v>2836</v>
      </c>
      <c r="G891" t="s">
        <v>2779</v>
      </c>
      <c r="H891" t="s">
        <v>2779</v>
      </c>
      <c r="I891" t="s">
        <v>2780</v>
      </c>
      <c r="J891" s="4" t="s">
        <v>2841</v>
      </c>
      <c r="K891" t="s">
        <v>177</v>
      </c>
      <c r="L891" t="s">
        <v>163</v>
      </c>
      <c r="M891" t="s">
        <v>163</v>
      </c>
      <c r="N891" t="s">
        <v>163</v>
      </c>
      <c r="O891" s="6" t="s">
        <v>1445</v>
      </c>
      <c r="P891">
        <v>0</v>
      </c>
      <c r="Q891" s="24">
        <v>65.2</v>
      </c>
      <c r="R891" s="25">
        <v>89.5</v>
      </c>
      <c r="S891" s="26">
        <v>59.5</v>
      </c>
      <c r="Y891">
        <v>10</v>
      </c>
      <c r="Z891">
        <v>30</v>
      </c>
      <c r="AA891" s="3">
        <v>25</v>
      </c>
      <c r="AB891" s="3">
        <v>6</v>
      </c>
      <c r="AC891">
        <v>155</v>
      </c>
      <c r="AD891" s="9">
        <f t="shared" si="239"/>
        <v>4660.3333333333339</v>
      </c>
      <c r="AE891">
        <f t="shared" si="246"/>
        <v>2555730</v>
      </c>
      <c r="AF891" s="2">
        <f t="shared" si="250"/>
        <v>45.7</v>
      </c>
      <c r="AG891" t="str">
        <f t="shared" si="240"/>
        <v>77小时</v>
      </c>
      <c r="AH891">
        <f t="shared" si="241"/>
        <v>138</v>
      </c>
      <c r="AI891">
        <f t="shared" si="242"/>
        <v>23</v>
      </c>
      <c r="AJ891">
        <f t="shared" si="247"/>
        <v>77.099999999999994</v>
      </c>
      <c r="AK891">
        <f t="shared" si="243"/>
        <v>39</v>
      </c>
      <c r="AL891">
        <f t="shared" si="248"/>
        <v>45.7</v>
      </c>
      <c r="AM891" s="2">
        <f t="shared" si="244"/>
        <v>23</v>
      </c>
      <c r="AX891">
        <v>888</v>
      </c>
      <c r="AZ891" s="3"/>
      <c r="BB891" s="2">
        <f t="shared" si="245"/>
        <v>215</v>
      </c>
      <c r="BC891">
        <f t="shared" si="249"/>
        <v>25.455719669341114</v>
      </c>
      <c r="BD891" s="2">
        <f t="shared" si="251"/>
        <v>77.099999999999994</v>
      </c>
      <c r="BE891">
        <f t="shared" si="252"/>
        <v>45.7</v>
      </c>
      <c r="BF891">
        <f t="shared" si="253"/>
        <v>263232</v>
      </c>
    </row>
    <row r="892" spans="1:58" ht="14.25" x14ac:dyDescent="0.2">
      <c r="A892" s="12">
        <v>20309</v>
      </c>
      <c r="B892" s="13">
        <f t="shared" si="254"/>
        <v>17</v>
      </c>
      <c r="C892" s="15">
        <f t="shared" si="255"/>
        <v>13</v>
      </c>
      <c r="D892" s="14">
        <f t="shared" si="256"/>
        <v>11</v>
      </c>
      <c r="E892" t="s">
        <v>2777</v>
      </c>
      <c r="F892" t="s">
        <v>2837</v>
      </c>
      <c r="G892" t="s">
        <v>2779</v>
      </c>
      <c r="H892" t="s">
        <v>2779</v>
      </c>
      <c r="I892" t="s">
        <v>2780</v>
      </c>
      <c r="J892" s="4" t="s">
        <v>2841</v>
      </c>
      <c r="K892" t="s">
        <v>174</v>
      </c>
      <c r="L892" t="s">
        <v>163</v>
      </c>
      <c r="M892" t="s">
        <v>163</v>
      </c>
      <c r="N892" t="s">
        <v>163</v>
      </c>
      <c r="O892" s="6" t="s">
        <v>1447</v>
      </c>
      <c r="P892">
        <v>0</v>
      </c>
      <c r="Q892" s="24">
        <v>65.2</v>
      </c>
      <c r="R892" s="25">
        <v>89.5</v>
      </c>
      <c r="S892" s="26">
        <v>59.5</v>
      </c>
      <c r="Y892">
        <v>10</v>
      </c>
      <c r="Z892">
        <v>30</v>
      </c>
      <c r="AA892" s="3">
        <v>25</v>
      </c>
      <c r="AB892" s="3">
        <v>6</v>
      </c>
      <c r="AC892">
        <v>155</v>
      </c>
      <c r="AD892" s="9">
        <f t="shared" si="239"/>
        <v>4660.3333333333339</v>
      </c>
      <c r="AE892">
        <f t="shared" si="246"/>
        <v>2555730</v>
      </c>
      <c r="AF892" s="2">
        <f t="shared" si="250"/>
        <v>45.7</v>
      </c>
      <c r="AG892" t="str">
        <f t="shared" si="240"/>
        <v>77小时</v>
      </c>
      <c r="AH892">
        <f t="shared" si="241"/>
        <v>138</v>
      </c>
      <c r="AI892">
        <f t="shared" si="242"/>
        <v>23</v>
      </c>
      <c r="AJ892">
        <f t="shared" si="247"/>
        <v>77.099999999999994</v>
      </c>
      <c r="AK892">
        <f t="shared" si="243"/>
        <v>39</v>
      </c>
      <c r="AL892">
        <f t="shared" si="248"/>
        <v>45.7</v>
      </c>
      <c r="AM892" s="2">
        <f t="shared" si="244"/>
        <v>23</v>
      </c>
      <c r="AX892">
        <v>889</v>
      </c>
      <c r="AZ892" s="3"/>
      <c r="BB892" s="2">
        <f t="shared" si="245"/>
        <v>215</v>
      </c>
      <c r="BC892">
        <f t="shared" si="249"/>
        <v>25.455719669341114</v>
      </c>
      <c r="BD892" s="2">
        <f t="shared" si="251"/>
        <v>77.099999999999994</v>
      </c>
      <c r="BE892">
        <f t="shared" si="252"/>
        <v>45.7</v>
      </c>
      <c r="BF892">
        <f t="shared" si="253"/>
        <v>263232</v>
      </c>
    </row>
    <row r="893" spans="1:58" ht="14.25" x14ac:dyDescent="0.2">
      <c r="A893" s="12">
        <v>20310</v>
      </c>
      <c r="B893" s="13">
        <f t="shared" si="254"/>
        <v>17</v>
      </c>
      <c r="C893" s="15">
        <f t="shared" si="255"/>
        <v>13</v>
      </c>
      <c r="D893" s="14">
        <f t="shared" si="256"/>
        <v>11</v>
      </c>
      <c r="E893" t="s">
        <v>2785</v>
      </c>
      <c r="F893" t="s">
        <v>2786</v>
      </c>
      <c r="G893" t="s">
        <v>2831</v>
      </c>
      <c r="H893" t="s">
        <v>2829</v>
      </c>
      <c r="I893" t="s">
        <v>2697</v>
      </c>
      <c r="J893" s="4" t="s">
        <v>2861</v>
      </c>
      <c r="K893" t="s">
        <v>166</v>
      </c>
      <c r="L893" t="s">
        <v>163</v>
      </c>
      <c r="M893" t="s">
        <v>163</v>
      </c>
      <c r="N893" t="s">
        <v>163</v>
      </c>
      <c r="O893" s="6" t="s">
        <v>1447</v>
      </c>
      <c r="P893">
        <v>0</v>
      </c>
      <c r="Q893" s="24">
        <v>65.2</v>
      </c>
      <c r="R893" s="25">
        <v>89.5</v>
      </c>
      <c r="S893" s="26">
        <v>59.5</v>
      </c>
      <c r="Y893">
        <v>10</v>
      </c>
      <c r="Z893">
        <v>30</v>
      </c>
      <c r="AA893" s="3">
        <v>25</v>
      </c>
      <c r="AB893" s="3">
        <v>6</v>
      </c>
      <c r="AC893">
        <v>155</v>
      </c>
      <c r="AD893" s="9">
        <f t="shared" si="239"/>
        <v>4660.3333333333339</v>
      </c>
      <c r="AE893">
        <f t="shared" si="246"/>
        <v>2555730</v>
      </c>
      <c r="AF893" s="2">
        <f t="shared" si="250"/>
        <v>45.7</v>
      </c>
      <c r="AG893" t="str">
        <f t="shared" si="240"/>
        <v>77小时</v>
      </c>
      <c r="AH893">
        <f t="shared" si="241"/>
        <v>138</v>
      </c>
      <c r="AI893">
        <f t="shared" si="242"/>
        <v>23</v>
      </c>
      <c r="AJ893">
        <f t="shared" si="247"/>
        <v>77.099999999999994</v>
      </c>
      <c r="AK893">
        <f t="shared" si="243"/>
        <v>39</v>
      </c>
      <c r="AL893">
        <f t="shared" si="248"/>
        <v>45.7</v>
      </c>
      <c r="AM893" s="2">
        <f t="shared" si="244"/>
        <v>23</v>
      </c>
      <c r="AX893">
        <v>890</v>
      </c>
      <c r="AZ893" s="3"/>
      <c r="BB893" s="2">
        <f t="shared" si="245"/>
        <v>215</v>
      </c>
      <c r="BC893">
        <f t="shared" si="249"/>
        <v>25.455719669341114</v>
      </c>
      <c r="BD893" s="2">
        <f t="shared" si="251"/>
        <v>77.099999999999994</v>
      </c>
      <c r="BE893">
        <f t="shared" si="252"/>
        <v>45.7</v>
      </c>
      <c r="BF893">
        <f t="shared" si="253"/>
        <v>263232</v>
      </c>
    </row>
    <row r="894" spans="1:58" ht="14.25" x14ac:dyDescent="0.2">
      <c r="A894" s="12">
        <v>20311</v>
      </c>
      <c r="B894" s="13">
        <f t="shared" si="254"/>
        <v>17</v>
      </c>
      <c r="C894" s="15">
        <f t="shared" si="255"/>
        <v>13</v>
      </c>
      <c r="D894" s="14">
        <f t="shared" si="256"/>
        <v>11</v>
      </c>
      <c r="E894" t="s">
        <v>2777</v>
      </c>
      <c r="F894" t="s">
        <v>2834</v>
      </c>
      <c r="G894" t="s">
        <v>2779</v>
      </c>
      <c r="H894" t="s">
        <v>2779</v>
      </c>
      <c r="I894" t="s">
        <v>2780</v>
      </c>
      <c r="J894" s="4" t="s">
        <v>2841</v>
      </c>
      <c r="K894" t="s">
        <v>168</v>
      </c>
      <c r="L894" t="s">
        <v>163</v>
      </c>
      <c r="M894" t="s">
        <v>163</v>
      </c>
      <c r="N894" t="s">
        <v>163</v>
      </c>
      <c r="O894" s="6" t="s">
        <v>1449</v>
      </c>
      <c r="P894">
        <v>0</v>
      </c>
      <c r="Q894" s="24">
        <v>65.5</v>
      </c>
      <c r="R894" s="25">
        <v>90</v>
      </c>
      <c r="S894" s="26">
        <v>59.8</v>
      </c>
      <c r="Y894">
        <v>10</v>
      </c>
      <c r="Z894">
        <v>30</v>
      </c>
      <c r="AA894" s="3">
        <v>25</v>
      </c>
      <c r="AB894" s="3">
        <v>6</v>
      </c>
      <c r="AC894">
        <v>155</v>
      </c>
      <c r="AD894" s="9">
        <f t="shared" si="239"/>
        <v>4629.916666666667</v>
      </c>
      <c r="AE894">
        <f t="shared" si="246"/>
        <v>2555730</v>
      </c>
      <c r="AF894" s="2">
        <f t="shared" si="250"/>
        <v>46</v>
      </c>
      <c r="AG894" t="str">
        <f t="shared" si="240"/>
        <v>77小时</v>
      </c>
      <c r="AH894">
        <f t="shared" si="241"/>
        <v>138</v>
      </c>
      <c r="AI894">
        <f t="shared" si="242"/>
        <v>23</v>
      </c>
      <c r="AJ894">
        <f t="shared" si="247"/>
        <v>77.5</v>
      </c>
      <c r="AK894">
        <f t="shared" si="243"/>
        <v>39</v>
      </c>
      <c r="AL894">
        <f t="shared" si="248"/>
        <v>46</v>
      </c>
      <c r="AM894" s="2">
        <f t="shared" si="244"/>
        <v>23</v>
      </c>
      <c r="AX894">
        <v>891</v>
      </c>
      <c r="AZ894" s="3"/>
      <c r="BB894" s="2">
        <f t="shared" si="245"/>
        <v>215</v>
      </c>
      <c r="BC894">
        <f t="shared" si="249"/>
        <v>25.289704106280194</v>
      </c>
      <c r="BD894" s="2">
        <f t="shared" si="251"/>
        <v>77.5</v>
      </c>
      <c r="BE894">
        <f t="shared" si="252"/>
        <v>46</v>
      </c>
      <c r="BF894">
        <f t="shared" si="253"/>
        <v>264960</v>
      </c>
    </row>
    <row r="895" spans="1:58" ht="14.25" x14ac:dyDescent="0.2">
      <c r="A895" s="12">
        <v>20312</v>
      </c>
      <c r="B895" s="13">
        <f t="shared" si="254"/>
        <v>17</v>
      </c>
      <c r="C895" s="15">
        <f t="shared" si="255"/>
        <v>13</v>
      </c>
      <c r="D895" s="14">
        <f t="shared" si="256"/>
        <v>11</v>
      </c>
      <c r="E895" t="s">
        <v>2777</v>
      </c>
      <c r="F895" t="s">
        <v>2835</v>
      </c>
      <c r="G895" t="s">
        <v>2779</v>
      </c>
      <c r="H895" t="s">
        <v>2779</v>
      </c>
      <c r="I895" t="s">
        <v>2780</v>
      </c>
      <c r="J895" s="4" t="s">
        <v>2841</v>
      </c>
      <c r="K895" t="s">
        <v>175</v>
      </c>
      <c r="L895" t="s">
        <v>164</v>
      </c>
      <c r="M895" t="s">
        <v>163</v>
      </c>
      <c r="N895" t="s">
        <v>167</v>
      </c>
      <c r="O895" s="6" t="s">
        <v>1451</v>
      </c>
      <c r="P895">
        <v>0</v>
      </c>
      <c r="Q895" s="24">
        <v>65.5</v>
      </c>
      <c r="R895" s="25">
        <v>90</v>
      </c>
      <c r="S895" s="26">
        <v>59.8</v>
      </c>
      <c r="Y895">
        <v>10</v>
      </c>
      <c r="Z895">
        <v>30</v>
      </c>
      <c r="AA895" s="3">
        <v>25</v>
      </c>
      <c r="AB895" s="3">
        <v>6</v>
      </c>
      <c r="AC895">
        <v>155</v>
      </c>
      <c r="AD895" s="9">
        <f t="shared" si="239"/>
        <v>4629.916666666667</v>
      </c>
      <c r="AE895">
        <f t="shared" si="246"/>
        <v>2555730</v>
      </c>
      <c r="AF895" s="2">
        <f t="shared" si="250"/>
        <v>46</v>
      </c>
      <c r="AG895" t="str">
        <f t="shared" si="240"/>
        <v>77小时</v>
      </c>
      <c r="AH895">
        <f t="shared" si="241"/>
        <v>138</v>
      </c>
      <c r="AI895">
        <f t="shared" si="242"/>
        <v>23</v>
      </c>
      <c r="AJ895">
        <f t="shared" si="247"/>
        <v>77.5</v>
      </c>
      <c r="AK895">
        <f t="shared" si="243"/>
        <v>39</v>
      </c>
      <c r="AL895">
        <f t="shared" si="248"/>
        <v>46</v>
      </c>
      <c r="AM895" s="2">
        <f t="shared" si="244"/>
        <v>23</v>
      </c>
      <c r="AX895">
        <v>892</v>
      </c>
      <c r="AZ895" s="3"/>
      <c r="BB895" s="2">
        <f t="shared" si="245"/>
        <v>215</v>
      </c>
      <c r="BC895">
        <f t="shared" si="249"/>
        <v>25.289704106280194</v>
      </c>
      <c r="BD895" s="2">
        <f t="shared" si="251"/>
        <v>77.5</v>
      </c>
      <c r="BE895">
        <f t="shared" si="252"/>
        <v>46</v>
      </c>
      <c r="BF895">
        <f t="shared" si="253"/>
        <v>264960</v>
      </c>
    </row>
    <row r="896" spans="1:58" ht="14.25" x14ac:dyDescent="0.2">
      <c r="A896" s="12">
        <v>20313</v>
      </c>
      <c r="B896" s="13">
        <f t="shared" si="254"/>
        <v>18</v>
      </c>
      <c r="C896" s="15">
        <f t="shared" si="255"/>
        <v>13</v>
      </c>
      <c r="D896" s="14">
        <f t="shared" si="256"/>
        <v>11</v>
      </c>
      <c r="E896" t="s">
        <v>2777</v>
      </c>
      <c r="F896" t="s">
        <v>2836</v>
      </c>
      <c r="G896" t="s">
        <v>2779</v>
      </c>
      <c r="H896" t="s">
        <v>2779</v>
      </c>
      <c r="I896" t="s">
        <v>2780</v>
      </c>
      <c r="J896" s="4" t="s">
        <v>2841</v>
      </c>
      <c r="K896" t="s">
        <v>179</v>
      </c>
      <c r="L896" t="s">
        <v>163</v>
      </c>
      <c r="M896" t="s">
        <v>163</v>
      </c>
      <c r="N896" t="s">
        <v>163</v>
      </c>
      <c r="O896" s="6" t="s">
        <v>1453</v>
      </c>
      <c r="P896">
        <v>0</v>
      </c>
      <c r="Q896" s="24">
        <v>65.5</v>
      </c>
      <c r="R896" s="25">
        <v>90</v>
      </c>
      <c r="S896" s="26">
        <v>59.8</v>
      </c>
      <c r="Y896">
        <v>10</v>
      </c>
      <c r="Z896">
        <v>30</v>
      </c>
      <c r="AA896" s="3">
        <v>25</v>
      </c>
      <c r="AB896" s="3">
        <v>6</v>
      </c>
      <c r="AC896">
        <v>155</v>
      </c>
      <c r="AD896" s="9">
        <f t="shared" ref="AD896:AD959" si="257">INT(AE896/AF896)/60*5</f>
        <v>4629.916666666667</v>
      </c>
      <c r="AE896">
        <f t="shared" si="246"/>
        <v>2555730</v>
      </c>
      <c r="AF896" s="2">
        <f t="shared" si="250"/>
        <v>46</v>
      </c>
      <c r="AG896" t="str">
        <f t="shared" ref="AG896:AG959" si="258">IF(AD896&lt;60,CONCATENATE(INT(AD896),"分钟"),CONCATENATE(INT(AD896/60),"小时"))</f>
        <v>77小时</v>
      </c>
      <c r="AH896">
        <f t="shared" ref="AH896:AH959" si="259">ROUNDUP(AF896*3,0)</f>
        <v>138</v>
      </c>
      <c r="AI896">
        <f t="shared" ref="AI896:AI959" si="260">ROUNDUP(AH896/AB896,0)</f>
        <v>23</v>
      </c>
      <c r="AJ896">
        <f t="shared" si="247"/>
        <v>77.5</v>
      </c>
      <c r="AK896">
        <f t="shared" ref="AK896:AK959" si="261">ROUNDUP(AJ896*3/AB896,0)</f>
        <v>39</v>
      </c>
      <c r="AL896">
        <f t="shared" si="248"/>
        <v>46</v>
      </c>
      <c r="AM896" s="2">
        <f t="shared" ref="AM896:AM959" si="262">ROUNDUP(AL896*3/AB896,0)</f>
        <v>23</v>
      </c>
      <c r="AX896">
        <v>893</v>
      </c>
      <c r="AZ896" s="3"/>
      <c r="BB896" s="2">
        <f t="shared" si="245"/>
        <v>215</v>
      </c>
      <c r="BC896">
        <f t="shared" si="249"/>
        <v>25.289704106280194</v>
      </c>
      <c r="BD896" s="2">
        <f t="shared" si="251"/>
        <v>77.5</v>
      </c>
      <c r="BE896">
        <f t="shared" si="252"/>
        <v>46</v>
      </c>
      <c r="BF896">
        <f t="shared" si="253"/>
        <v>264960</v>
      </c>
    </row>
    <row r="897" spans="1:58" ht="14.25" x14ac:dyDescent="0.2">
      <c r="A897" s="12">
        <v>20314</v>
      </c>
      <c r="B897" s="13">
        <f t="shared" si="254"/>
        <v>18</v>
      </c>
      <c r="C897" s="15">
        <f t="shared" si="255"/>
        <v>13</v>
      </c>
      <c r="D897" s="14">
        <f t="shared" si="256"/>
        <v>11</v>
      </c>
      <c r="E897" t="s">
        <v>2777</v>
      </c>
      <c r="F897" t="s">
        <v>2837</v>
      </c>
      <c r="G897" t="s">
        <v>2779</v>
      </c>
      <c r="H897" t="s">
        <v>2779</v>
      </c>
      <c r="I897" t="s">
        <v>2780</v>
      </c>
      <c r="J897" s="4" t="s">
        <v>2841</v>
      </c>
      <c r="K897" t="s">
        <v>177</v>
      </c>
      <c r="L897" t="s">
        <v>163</v>
      </c>
      <c r="M897" t="s">
        <v>163</v>
      </c>
      <c r="N897" t="s">
        <v>163</v>
      </c>
      <c r="O897" s="6" t="s">
        <v>1453</v>
      </c>
      <c r="P897">
        <v>0</v>
      </c>
      <c r="Q897" s="24">
        <v>65.5</v>
      </c>
      <c r="R897" s="25">
        <v>90</v>
      </c>
      <c r="S897" s="26">
        <v>59.8</v>
      </c>
      <c r="Y897">
        <v>10</v>
      </c>
      <c r="Z897">
        <v>30</v>
      </c>
      <c r="AA897" s="3">
        <v>25</v>
      </c>
      <c r="AB897" s="3">
        <v>6</v>
      </c>
      <c r="AC897">
        <v>155</v>
      </c>
      <c r="AD897" s="9">
        <f t="shared" si="257"/>
        <v>4629.916666666667</v>
      </c>
      <c r="AE897">
        <f t="shared" si="246"/>
        <v>2555730</v>
      </c>
      <c r="AF897" s="2">
        <f t="shared" si="250"/>
        <v>46</v>
      </c>
      <c r="AG897" t="str">
        <f t="shared" si="258"/>
        <v>77小时</v>
      </c>
      <c r="AH897">
        <f t="shared" si="259"/>
        <v>138</v>
      </c>
      <c r="AI897">
        <f t="shared" si="260"/>
        <v>23</v>
      </c>
      <c r="AJ897">
        <f t="shared" si="247"/>
        <v>77.5</v>
      </c>
      <c r="AK897">
        <f t="shared" si="261"/>
        <v>39</v>
      </c>
      <c r="AL897">
        <f t="shared" si="248"/>
        <v>46</v>
      </c>
      <c r="AM897" s="2">
        <f t="shared" si="262"/>
        <v>23</v>
      </c>
      <c r="AX897">
        <v>894</v>
      </c>
      <c r="AZ897" s="3"/>
      <c r="BB897" s="2">
        <f t="shared" si="245"/>
        <v>215</v>
      </c>
      <c r="BC897">
        <f t="shared" si="249"/>
        <v>25.289704106280194</v>
      </c>
      <c r="BD897" s="2">
        <f t="shared" si="251"/>
        <v>77.5</v>
      </c>
      <c r="BE897">
        <f t="shared" si="252"/>
        <v>46</v>
      </c>
      <c r="BF897">
        <f t="shared" si="253"/>
        <v>264960</v>
      </c>
    </row>
    <row r="898" spans="1:58" ht="14.25" x14ac:dyDescent="0.2">
      <c r="A898" s="12">
        <v>20315</v>
      </c>
      <c r="B898" s="13">
        <f t="shared" si="254"/>
        <v>18</v>
      </c>
      <c r="C898" s="15">
        <f t="shared" si="255"/>
        <v>13</v>
      </c>
      <c r="D898" s="14">
        <f t="shared" si="256"/>
        <v>11</v>
      </c>
      <c r="E898" t="s">
        <v>2785</v>
      </c>
      <c r="F898" t="s">
        <v>2786</v>
      </c>
      <c r="G898" t="s">
        <v>2832</v>
      </c>
      <c r="H898" t="s">
        <v>2829</v>
      </c>
      <c r="I898" t="s">
        <v>2697</v>
      </c>
      <c r="J898" s="4" t="s">
        <v>2861</v>
      </c>
      <c r="K898" t="s">
        <v>174</v>
      </c>
      <c r="L898" t="s">
        <v>163</v>
      </c>
      <c r="M898" t="s">
        <v>163</v>
      </c>
      <c r="N898" t="s">
        <v>163</v>
      </c>
      <c r="O898" s="6" t="s">
        <v>1455</v>
      </c>
      <c r="P898">
        <v>0</v>
      </c>
      <c r="Q898" s="24">
        <v>65.5</v>
      </c>
      <c r="R898" s="25">
        <v>90</v>
      </c>
      <c r="S898" s="26">
        <v>59.8</v>
      </c>
      <c r="Y898">
        <v>10</v>
      </c>
      <c r="Z898">
        <v>30</v>
      </c>
      <c r="AA898" s="3">
        <v>25</v>
      </c>
      <c r="AB898" s="3">
        <v>6</v>
      </c>
      <c r="AC898">
        <v>155</v>
      </c>
      <c r="AD898" s="9">
        <f t="shared" si="257"/>
        <v>4629.916666666667</v>
      </c>
      <c r="AE898">
        <f t="shared" si="246"/>
        <v>2555730</v>
      </c>
      <c r="AF898" s="2">
        <f t="shared" si="250"/>
        <v>46</v>
      </c>
      <c r="AG898" t="str">
        <f t="shared" si="258"/>
        <v>77小时</v>
      </c>
      <c r="AH898">
        <f t="shared" si="259"/>
        <v>138</v>
      </c>
      <c r="AI898">
        <f t="shared" si="260"/>
        <v>23</v>
      </c>
      <c r="AJ898">
        <f t="shared" si="247"/>
        <v>77.5</v>
      </c>
      <c r="AK898">
        <f t="shared" si="261"/>
        <v>39</v>
      </c>
      <c r="AL898">
        <f t="shared" si="248"/>
        <v>46</v>
      </c>
      <c r="AM898" s="2">
        <f t="shared" si="262"/>
        <v>23</v>
      </c>
      <c r="AX898">
        <v>895</v>
      </c>
      <c r="AZ898" s="3"/>
      <c r="BB898" s="2">
        <f t="shared" si="245"/>
        <v>215</v>
      </c>
      <c r="BC898">
        <f t="shared" si="249"/>
        <v>25.289704106280194</v>
      </c>
      <c r="BD898" s="2">
        <f t="shared" si="251"/>
        <v>77.5</v>
      </c>
      <c r="BE898">
        <f t="shared" si="252"/>
        <v>46</v>
      </c>
      <c r="BF898">
        <f t="shared" si="253"/>
        <v>264960</v>
      </c>
    </row>
    <row r="899" spans="1:58" ht="14.25" x14ac:dyDescent="0.2">
      <c r="A899" s="12">
        <v>20316</v>
      </c>
      <c r="B899" s="13">
        <f t="shared" si="254"/>
        <v>18</v>
      </c>
      <c r="C899" s="15">
        <f t="shared" si="255"/>
        <v>13</v>
      </c>
      <c r="D899" s="14">
        <f t="shared" si="256"/>
        <v>11</v>
      </c>
      <c r="E899" t="s">
        <v>2777</v>
      </c>
      <c r="F899" t="s">
        <v>2834</v>
      </c>
      <c r="G899" t="s">
        <v>2779</v>
      </c>
      <c r="H899" t="s">
        <v>2779</v>
      </c>
      <c r="I899" t="s">
        <v>2780</v>
      </c>
      <c r="J899" s="4" t="s">
        <v>2841</v>
      </c>
      <c r="K899" t="s">
        <v>182</v>
      </c>
      <c r="L899" t="s">
        <v>163</v>
      </c>
      <c r="M899" t="s">
        <v>163</v>
      </c>
      <c r="N899" t="s">
        <v>163</v>
      </c>
      <c r="O899" s="6" t="s">
        <v>1457</v>
      </c>
      <c r="P899">
        <v>0</v>
      </c>
      <c r="Q899" s="24">
        <v>65.8</v>
      </c>
      <c r="R899" s="25">
        <v>90.5</v>
      </c>
      <c r="S899" s="26">
        <v>60</v>
      </c>
      <c r="Y899">
        <v>10</v>
      </c>
      <c r="Z899">
        <v>30</v>
      </c>
      <c r="AA899" s="3">
        <v>25</v>
      </c>
      <c r="AB899" s="3">
        <v>6</v>
      </c>
      <c r="AC899">
        <v>155</v>
      </c>
      <c r="AD899" s="9">
        <f t="shared" si="257"/>
        <v>4609.8333333333339</v>
      </c>
      <c r="AE899">
        <f t="shared" si="246"/>
        <v>2555730</v>
      </c>
      <c r="AF899" s="2">
        <f t="shared" si="250"/>
        <v>46.2</v>
      </c>
      <c r="AG899" t="str">
        <f t="shared" si="258"/>
        <v>76小时</v>
      </c>
      <c r="AH899">
        <f t="shared" si="259"/>
        <v>139</v>
      </c>
      <c r="AI899">
        <f t="shared" si="260"/>
        <v>24</v>
      </c>
      <c r="AJ899">
        <f t="shared" si="247"/>
        <v>77.8</v>
      </c>
      <c r="AK899">
        <f t="shared" si="261"/>
        <v>39</v>
      </c>
      <c r="AL899">
        <f t="shared" si="248"/>
        <v>46.2</v>
      </c>
      <c r="AM899" s="2">
        <f t="shared" si="262"/>
        <v>24</v>
      </c>
      <c r="AX899">
        <v>896</v>
      </c>
      <c r="AZ899" s="3"/>
      <c r="BB899" s="2">
        <f t="shared" ref="BB899:BB962" si="263">100+FLOOR((AX899-190)/30,1)*5</f>
        <v>215</v>
      </c>
      <c r="BC899">
        <f t="shared" si="249"/>
        <v>25.180224867724867</v>
      </c>
      <c r="BD899" s="2">
        <f t="shared" si="251"/>
        <v>77.8</v>
      </c>
      <c r="BE899">
        <f t="shared" si="252"/>
        <v>46.2</v>
      </c>
      <c r="BF899">
        <f t="shared" si="253"/>
        <v>266112</v>
      </c>
    </row>
    <row r="900" spans="1:58" ht="14.25" x14ac:dyDescent="0.2">
      <c r="A900" s="12">
        <v>20317</v>
      </c>
      <c r="B900" s="13">
        <f t="shared" si="254"/>
        <v>18</v>
      </c>
      <c r="C900" s="15">
        <f t="shared" si="255"/>
        <v>13</v>
      </c>
      <c r="D900" s="14">
        <f t="shared" si="256"/>
        <v>11</v>
      </c>
      <c r="E900" t="s">
        <v>2777</v>
      </c>
      <c r="F900" t="s">
        <v>2835</v>
      </c>
      <c r="G900" t="s">
        <v>2779</v>
      </c>
      <c r="H900" t="s">
        <v>2779</v>
      </c>
      <c r="I900" t="s">
        <v>2780</v>
      </c>
      <c r="J900" s="4" t="s">
        <v>2841</v>
      </c>
      <c r="K900" t="s">
        <v>162</v>
      </c>
      <c r="L900" t="s">
        <v>163</v>
      </c>
      <c r="M900" t="s">
        <v>163</v>
      </c>
      <c r="N900" t="s">
        <v>163</v>
      </c>
      <c r="O900" s="6" t="s">
        <v>1457</v>
      </c>
      <c r="P900">
        <v>0</v>
      </c>
      <c r="Q900" s="24">
        <v>65.8</v>
      </c>
      <c r="R900" s="25">
        <v>90.5</v>
      </c>
      <c r="S900" s="26">
        <v>60</v>
      </c>
      <c r="Y900">
        <v>10</v>
      </c>
      <c r="Z900">
        <v>30</v>
      </c>
      <c r="AA900" s="3">
        <v>25</v>
      </c>
      <c r="AB900" s="3">
        <v>6</v>
      </c>
      <c r="AC900">
        <v>155</v>
      </c>
      <c r="AD900" s="9">
        <f t="shared" si="257"/>
        <v>4609.8333333333339</v>
      </c>
      <c r="AE900">
        <f t="shared" ref="AE900:AE963" si="264">INDEX(V:V,MATCH(AC900,U:U,0))</f>
        <v>2555730</v>
      </c>
      <c r="AF900" s="2">
        <f t="shared" si="250"/>
        <v>46.2</v>
      </c>
      <c r="AG900" t="str">
        <f t="shared" si="258"/>
        <v>76小时</v>
      </c>
      <c r="AH900">
        <f t="shared" si="259"/>
        <v>139</v>
      </c>
      <c r="AI900">
        <f t="shared" si="260"/>
        <v>24</v>
      </c>
      <c r="AJ900">
        <f t="shared" ref="AJ900:AJ963" si="265">BD900</f>
        <v>77.8</v>
      </c>
      <c r="AK900">
        <f t="shared" si="261"/>
        <v>39</v>
      </c>
      <c r="AL900">
        <f t="shared" ref="AL900:AL963" si="266">BE900</f>
        <v>46.2</v>
      </c>
      <c r="AM900" s="2">
        <f t="shared" si="262"/>
        <v>24</v>
      </c>
      <c r="AX900">
        <v>897</v>
      </c>
      <c r="AZ900" s="3"/>
      <c r="BB900" s="2">
        <f t="shared" si="263"/>
        <v>215</v>
      </c>
      <c r="BC900">
        <f t="shared" ref="BC900:BC963" si="267">INDEX($W:$W,MATCH(BB900,$U:$U,0))/(BE900*60*60/5)</f>
        <v>25.180224867724867</v>
      </c>
      <c r="BD900" s="2">
        <f t="shared" si="251"/>
        <v>77.8</v>
      </c>
      <c r="BE900">
        <f t="shared" si="252"/>
        <v>46.2</v>
      </c>
      <c r="BF900">
        <f t="shared" si="253"/>
        <v>266112</v>
      </c>
    </row>
    <row r="901" spans="1:58" ht="14.25" x14ac:dyDescent="0.2">
      <c r="A901" s="12">
        <v>20318</v>
      </c>
      <c r="B901" s="13">
        <f t="shared" si="254"/>
        <v>18</v>
      </c>
      <c r="C901" s="15">
        <f t="shared" si="255"/>
        <v>13</v>
      </c>
      <c r="D901" s="14">
        <f t="shared" si="256"/>
        <v>12</v>
      </c>
      <c r="E901" t="s">
        <v>2777</v>
      </c>
      <c r="F901" t="s">
        <v>2836</v>
      </c>
      <c r="G901" t="s">
        <v>2779</v>
      </c>
      <c r="H901" t="s">
        <v>2779</v>
      </c>
      <c r="I901" t="s">
        <v>2780</v>
      </c>
      <c r="J901" s="4" t="s">
        <v>2841</v>
      </c>
      <c r="K901" t="s">
        <v>177</v>
      </c>
      <c r="L901" t="s">
        <v>163</v>
      </c>
      <c r="M901" t="s">
        <v>163</v>
      </c>
      <c r="N901" t="s">
        <v>163</v>
      </c>
      <c r="O901" s="6" t="s">
        <v>1459</v>
      </c>
      <c r="P901">
        <v>0</v>
      </c>
      <c r="Q901" s="24">
        <v>65.8</v>
      </c>
      <c r="R901" s="25">
        <v>90.5</v>
      </c>
      <c r="S901" s="26">
        <v>60</v>
      </c>
      <c r="Y901">
        <v>10</v>
      </c>
      <c r="Z901">
        <v>30</v>
      </c>
      <c r="AA901" s="3">
        <v>25</v>
      </c>
      <c r="AB901" s="3">
        <v>6</v>
      </c>
      <c r="AC901">
        <v>155</v>
      </c>
      <c r="AD901" s="9">
        <f t="shared" si="257"/>
        <v>4609.8333333333339</v>
      </c>
      <c r="AE901">
        <f t="shared" si="264"/>
        <v>2555730</v>
      </c>
      <c r="AF901" s="2">
        <f t="shared" ref="AF901:AF964" si="268">BE901</f>
        <v>46.2</v>
      </c>
      <c r="AG901" t="str">
        <f t="shared" si="258"/>
        <v>76小时</v>
      </c>
      <c r="AH901">
        <f t="shared" si="259"/>
        <v>139</v>
      </c>
      <c r="AI901">
        <f t="shared" si="260"/>
        <v>24</v>
      </c>
      <c r="AJ901">
        <f t="shared" si="265"/>
        <v>77.8</v>
      </c>
      <c r="AK901">
        <f t="shared" si="261"/>
        <v>39</v>
      </c>
      <c r="AL901">
        <f t="shared" si="266"/>
        <v>46.2</v>
      </c>
      <c r="AM901" s="2">
        <f t="shared" si="262"/>
        <v>24</v>
      </c>
      <c r="AX901">
        <v>898</v>
      </c>
      <c r="AZ901" s="3"/>
      <c r="BB901" s="2">
        <f t="shared" si="263"/>
        <v>215</v>
      </c>
      <c r="BC901">
        <f t="shared" si="267"/>
        <v>25.180224867724867</v>
      </c>
      <c r="BD901" s="2">
        <f t="shared" ref="BD901:BD964" si="269">ROUNDUP(BE901*1.5,1)+8.5</f>
        <v>77.8</v>
      </c>
      <c r="BE901">
        <f t="shared" ref="BE901:BE964" si="270">FLOOR(ROUNDUP(AX901/5,0)*0.25+1.25,0.1)</f>
        <v>46.2</v>
      </c>
      <c r="BF901">
        <f t="shared" ref="BF901:BF964" si="271">BE901*8*60*60/5</f>
        <v>266112</v>
      </c>
    </row>
    <row r="902" spans="1:58" ht="14.25" x14ac:dyDescent="0.2">
      <c r="A902" s="12">
        <v>20319</v>
      </c>
      <c r="B902" s="13">
        <f t="shared" si="254"/>
        <v>18</v>
      </c>
      <c r="C902" s="15">
        <f t="shared" si="255"/>
        <v>13</v>
      </c>
      <c r="D902" s="14">
        <f t="shared" si="256"/>
        <v>12</v>
      </c>
      <c r="E902" t="s">
        <v>2777</v>
      </c>
      <c r="F902" t="s">
        <v>2837</v>
      </c>
      <c r="G902" t="s">
        <v>2779</v>
      </c>
      <c r="H902" t="s">
        <v>2779</v>
      </c>
      <c r="I902" t="s">
        <v>2780</v>
      </c>
      <c r="J902" s="4" t="s">
        <v>2841</v>
      </c>
      <c r="K902" t="s">
        <v>174</v>
      </c>
      <c r="L902" t="s">
        <v>163</v>
      </c>
      <c r="M902" t="s">
        <v>163</v>
      </c>
      <c r="N902" t="s">
        <v>163</v>
      </c>
      <c r="O902" s="6" t="s">
        <v>1461</v>
      </c>
      <c r="P902">
        <v>0</v>
      </c>
      <c r="Q902" s="24">
        <v>65.8</v>
      </c>
      <c r="R902" s="25">
        <v>90.5</v>
      </c>
      <c r="S902" s="26">
        <v>60</v>
      </c>
      <c r="Y902">
        <v>10</v>
      </c>
      <c r="Z902">
        <v>30</v>
      </c>
      <c r="AA902" s="3">
        <v>25</v>
      </c>
      <c r="AB902" s="3">
        <v>6</v>
      </c>
      <c r="AC902">
        <v>155</v>
      </c>
      <c r="AD902" s="9">
        <f t="shared" si="257"/>
        <v>4609.8333333333339</v>
      </c>
      <c r="AE902">
        <f t="shared" si="264"/>
        <v>2555730</v>
      </c>
      <c r="AF902" s="2">
        <f t="shared" si="268"/>
        <v>46.2</v>
      </c>
      <c r="AG902" t="str">
        <f t="shared" si="258"/>
        <v>76小时</v>
      </c>
      <c r="AH902">
        <f t="shared" si="259"/>
        <v>139</v>
      </c>
      <c r="AI902">
        <f t="shared" si="260"/>
        <v>24</v>
      </c>
      <c r="AJ902">
        <f t="shared" si="265"/>
        <v>77.8</v>
      </c>
      <c r="AK902">
        <f t="shared" si="261"/>
        <v>39</v>
      </c>
      <c r="AL902">
        <f t="shared" si="266"/>
        <v>46.2</v>
      </c>
      <c r="AM902" s="2">
        <f t="shared" si="262"/>
        <v>24</v>
      </c>
      <c r="AX902">
        <v>899</v>
      </c>
      <c r="AZ902" s="3"/>
      <c r="BB902" s="2">
        <f t="shared" si="263"/>
        <v>215</v>
      </c>
      <c r="BC902">
        <f t="shared" si="267"/>
        <v>25.180224867724867</v>
      </c>
      <c r="BD902" s="2">
        <f t="shared" si="269"/>
        <v>77.8</v>
      </c>
      <c r="BE902">
        <f t="shared" si="270"/>
        <v>46.2</v>
      </c>
      <c r="BF902">
        <f t="shared" si="271"/>
        <v>266112</v>
      </c>
    </row>
    <row r="903" spans="1:58" ht="14.25" x14ac:dyDescent="0.2">
      <c r="A903" s="12">
        <v>20320</v>
      </c>
      <c r="B903" s="13">
        <f t="shared" si="254"/>
        <v>18</v>
      </c>
      <c r="C903" s="15">
        <f t="shared" si="255"/>
        <v>13</v>
      </c>
      <c r="D903" s="14">
        <f t="shared" si="256"/>
        <v>12</v>
      </c>
      <c r="E903" t="s">
        <v>2785</v>
      </c>
      <c r="F903" t="s">
        <v>2786</v>
      </c>
      <c r="G903" t="s">
        <v>2833</v>
      </c>
      <c r="H903" t="s">
        <v>2829</v>
      </c>
      <c r="I903" t="s">
        <v>2697</v>
      </c>
      <c r="J903" s="4" t="s">
        <v>2879</v>
      </c>
      <c r="K903" t="s">
        <v>166</v>
      </c>
      <c r="L903" t="s">
        <v>163</v>
      </c>
      <c r="M903" t="s">
        <v>163</v>
      </c>
      <c r="N903" t="s">
        <v>163</v>
      </c>
      <c r="O903" s="6" t="s">
        <v>1461</v>
      </c>
      <c r="P903">
        <v>0</v>
      </c>
      <c r="Q903" s="24">
        <v>65.8</v>
      </c>
      <c r="R903" s="25">
        <v>90.5</v>
      </c>
      <c r="S903" s="26">
        <v>60</v>
      </c>
      <c r="Y903">
        <v>10</v>
      </c>
      <c r="Z903">
        <v>30</v>
      </c>
      <c r="AA903" s="3">
        <v>25</v>
      </c>
      <c r="AB903" s="3">
        <v>6</v>
      </c>
      <c r="AC903">
        <v>155</v>
      </c>
      <c r="AD903" s="9">
        <f t="shared" si="257"/>
        <v>4609.8333333333339</v>
      </c>
      <c r="AE903">
        <f t="shared" si="264"/>
        <v>2555730</v>
      </c>
      <c r="AF903" s="2">
        <f t="shared" si="268"/>
        <v>46.2</v>
      </c>
      <c r="AG903" t="str">
        <f t="shared" si="258"/>
        <v>76小时</v>
      </c>
      <c r="AH903">
        <f t="shared" si="259"/>
        <v>139</v>
      </c>
      <c r="AI903">
        <f t="shared" si="260"/>
        <v>24</v>
      </c>
      <c r="AJ903">
        <f t="shared" si="265"/>
        <v>77.8</v>
      </c>
      <c r="AK903">
        <f t="shared" si="261"/>
        <v>39</v>
      </c>
      <c r="AL903">
        <f t="shared" si="266"/>
        <v>46.2</v>
      </c>
      <c r="AM903" s="2">
        <f t="shared" si="262"/>
        <v>24</v>
      </c>
      <c r="AX903">
        <v>900</v>
      </c>
      <c r="AZ903" s="3"/>
      <c r="BB903" s="2">
        <f t="shared" si="263"/>
        <v>215</v>
      </c>
      <c r="BC903">
        <f t="shared" si="267"/>
        <v>25.180224867724867</v>
      </c>
      <c r="BD903" s="2">
        <f t="shared" si="269"/>
        <v>77.8</v>
      </c>
      <c r="BE903">
        <f t="shared" si="270"/>
        <v>46.2</v>
      </c>
      <c r="BF903">
        <f t="shared" si="271"/>
        <v>266112</v>
      </c>
    </row>
    <row r="904" spans="1:58" ht="14.25" x14ac:dyDescent="0.2">
      <c r="A904" s="12">
        <v>20321</v>
      </c>
      <c r="B904" s="13">
        <f t="shared" si="254"/>
        <v>18</v>
      </c>
      <c r="C904" s="15">
        <f t="shared" si="255"/>
        <v>13</v>
      </c>
      <c r="D904" s="14">
        <f t="shared" si="256"/>
        <v>12</v>
      </c>
      <c r="E904" t="s">
        <v>2777</v>
      </c>
      <c r="F904" t="s">
        <v>2834</v>
      </c>
      <c r="G904" t="s">
        <v>2779</v>
      </c>
      <c r="H904" t="s">
        <v>2779</v>
      </c>
      <c r="I904" t="s">
        <v>2780</v>
      </c>
      <c r="J904" s="4" t="s">
        <v>2841</v>
      </c>
      <c r="K904" t="s">
        <v>168</v>
      </c>
      <c r="L904" t="s">
        <v>163</v>
      </c>
      <c r="M904" t="s">
        <v>163</v>
      </c>
      <c r="N904" t="s">
        <v>163</v>
      </c>
      <c r="O904" s="6" t="s">
        <v>1463</v>
      </c>
      <c r="P904">
        <v>0</v>
      </c>
      <c r="Q904" s="24">
        <v>66.2</v>
      </c>
      <c r="R904" s="25">
        <v>91</v>
      </c>
      <c r="S904" s="26">
        <v>60.3</v>
      </c>
      <c r="Y904">
        <v>10</v>
      </c>
      <c r="Z904">
        <v>30</v>
      </c>
      <c r="AA904" s="3">
        <v>25</v>
      </c>
      <c r="AB904" s="3">
        <v>6</v>
      </c>
      <c r="AC904">
        <v>155</v>
      </c>
      <c r="AD904" s="9">
        <f t="shared" si="257"/>
        <v>4580.083333333333</v>
      </c>
      <c r="AE904">
        <f t="shared" si="264"/>
        <v>2555730</v>
      </c>
      <c r="AF904" s="2">
        <f t="shared" si="268"/>
        <v>46.5</v>
      </c>
      <c r="AG904" t="str">
        <f t="shared" si="258"/>
        <v>76小时</v>
      </c>
      <c r="AH904">
        <f t="shared" si="259"/>
        <v>140</v>
      </c>
      <c r="AI904">
        <f t="shared" si="260"/>
        <v>24</v>
      </c>
      <c r="AJ904">
        <f t="shared" si="265"/>
        <v>78.3</v>
      </c>
      <c r="AK904">
        <f t="shared" si="261"/>
        <v>40</v>
      </c>
      <c r="AL904">
        <f t="shared" si="266"/>
        <v>46.5</v>
      </c>
      <c r="AM904" s="2">
        <f t="shared" si="262"/>
        <v>24</v>
      </c>
      <c r="AX904">
        <v>901</v>
      </c>
      <c r="AZ904" s="3"/>
      <c r="BB904" s="2">
        <f t="shared" si="263"/>
        <v>215</v>
      </c>
      <c r="BC904">
        <f t="shared" si="267"/>
        <v>25.017771804062125</v>
      </c>
      <c r="BD904" s="2">
        <f t="shared" si="269"/>
        <v>78.3</v>
      </c>
      <c r="BE904">
        <f t="shared" si="270"/>
        <v>46.5</v>
      </c>
      <c r="BF904">
        <f t="shared" si="271"/>
        <v>267840</v>
      </c>
    </row>
    <row r="905" spans="1:58" ht="14.25" x14ac:dyDescent="0.2">
      <c r="A905" s="12">
        <v>20322</v>
      </c>
      <c r="B905" s="13">
        <f t="shared" si="254"/>
        <v>18</v>
      </c>
      <c r="C905" s="15">
        <f t="shared" si="255"/>
        <v>13</v>
      </c>
      <c r="D905" s="14">
        <f t="shared" si="256"/>
        <v>12</v>
      </c>
      <c r="E905" t="s">
        <v>2777</v>
      </c>
      <c r="F905" t="s">
        <v>2835</v>
      </c>
      <c r="G905" t="s">
        <v>2779</v>
      </c>
      <c r="H905" t="s">
        <v>2779</v>
      </c>
      <c r="I905" t="s">
        <v>2780</v>
      </c>
      <c r="J905" s="4" t="s">
        <v>2841</v>
      </c>
      <c r="K905" t="s">
        <v>175</v>
      </c>
      <c r="L905" t="s">
        <v>164</v>
      </c>
      <c r="M905" t="s">
        <v>163</v>
      </c>
      <c r="N905" t="s">
        <v>167</v>
      </c>
      <c r="O905" s="6" t="s">
        <v>1465</v>
      </c>
      <c r="P905">
        <v>0</v>
      </c>
      <c r="Q905" s="24">
        <v>66.2</v>
      </c>
      <c r="R905" s="25">
        <v>91</v>
      </c>
      <c r="S905" s="26">
        <v>60.3</v>
      </c>
      <c r="Y905">
        <v>10</v>
      </c>
      <c r="Z905">
        <v>30</v>
      </c>
      <c r="AA905" s="3">
        <v>25</v>
      </c>
      <c r="AB905" s="3">
        <v>6</v>
      </c>
      <c r="AC905">
        <v>155</v>
      </c>
      <c r="AD905" s="9">
        <f t="shared" si="257"/>
        <v>4580.083333333333</v>
      </c>
      <c r="AE905">
        <f t="shared" si="264"/>
        <v>2555730</v>
      </c>
      <c r="AF905" s="2">
        <f t="shared" si="268"/>
        <v>46.5</v>
      </c>
      <c r="AG905" t="str">
        <f t="shared" si="258"/>
        <v>76小时</v>
      </c>
      <c r="AH905">
        <f t="shared" si="259"/>
        <v>140</v>
      </c>
      <c r="AI905">
        <f t="shared" si="260"/>
        <v>24</v>
      </c>
      <c r="AJ905">
        <f t="shared" si="265"/>
        <v>78.3</v>
      </c>
      <c r="AK905">
        <f t="shared" si="261"/>
        <v>40</v>
      </c>
      <c r="AL905">
        <f t="shared" si="266"/>
        <v>46.5</v>
      </c>
      <c r="AM905" s="2">
        <f t="shared" si="262"/>
        <v>24</v>
      </c>
      <c r="AX905">
        <v>902</v>
      </c>
      <c r="AZ905" s="3"/>
      <c r="BB905" s="2">
        <f t="shared" si="263"/>
        <v>215</v>
      </c>
      <c r="BC905">
        <f t="shared" si="267"/>
        <v>25.017771804062125</v>
      </c>
      <c r="BD905" s="2">
        <f t="shared" si="269"/>
        <v>78.3</v>
      </c>
      <c r="BE905">
        <f t="shared" si="270"/>
        <v>46.5</v>
      </c>
      <c r="BF905">
        <f t="shared" si="271"/>
        <v>267840</v>
      </c>
    </row>
    <row r="906" spans="1:58" ht="14.25" x14ac:dyDescent="0.2">
      <c r="A906" s="12">
        <v>20323</v>
      </c>
      <c r="B906" s="13">
        <f t="shared" si="254"/>
        <v>18</v>
      </c>
      <c r="C906" s="15">
        <f t="shared" si="255"/>
        <v>13</v>
      </c>
      <c r="D906" s="14">
        <f t="shared" si="256"/>
        <v>12</v>
      </c>
      <c r="E906" t="s">
        <v>2777</v>
      </c>
      <c r="F906" t="s">
        <v>2836</v>
      </c>
      <c r="G906" t="s">
        <v>2779</v>
      </c>
      <c r="H906" t="s">
        <v>2779</v>
      </c>
      <c r="I906" t="s">
        <v>2780</v>
      </c>
      <c r="J906" s="4" t="s">
        <v>2841</v>
      </c>
      <c r="K906" t="s">
        <v>179</v>
      </c>
      <c r="L906" t="s">
        <v>163</v>
      </c>
      <c r="M906" t="s">
        <v>163</v>
      </c>
      <c r="N906" t="s">
        <v>163</v>
      </c>
      <c r="O906" s="6" t="s">
        <v>1467</v>
      </c>
      <c r="P906">
        <v>0</v>
      </c>
      <c r="Q906" s="24">
        <v>66.2</v>
      </c>
      <c r="R906" s="25">
        <v>91</v>
      </c>
      <c r="S906" s="26">
        <v>60.3</v>
      </c>
      <c r="Y906">
        <v>10</v>
      </c>
      <c r="Z906">
        <v>30</v>
      </c>
      <c r="AA906" s="3">
        <v>25</v>
      </c>
      <c r="AB906" s="3">
        <v>6</v>
      </c>
      <c r="AC906">
        <v>155</v>
      </c>
      <c r="AD906" s="9">
        <f t="shared" si="257"/>
        <v>4580.083333333333</v>
      </c>
      <c r="AE906">
        <f t="shared" si="264"/>
        <v>2555730</v>
      </c>
      <c r="AF906" s="2">
        <f t="shared" si="268"/>
        <v>46.5</v>
      </c>
      <c r="AG906" t="str">
        <f t="shared" si="258"/>
        <v>76小时</v>
      </c>
      <c r="AH906">
        <f t="shared" si="259"/>
        <v>140</v>
      </c>
      <c r="AI906">
        <f t="shared" si="260"/>
        <v>24</v>
      </c>
      <c r="AJ906">
        <f t="shared" si="265"/>
        <v>78.3</v>
      </c>
      <c r="AK906">
        <f t="shared" si="261"/>
        <v>40</v>
      </c>
      <c r="AL906">
        <f t="shared" si="266"/>
        <v>46.5</v>
      </c>
      <c r="AM906" s="2">
        <f t="shared" si="262"/>
        <v>24</v>
      </c>
      <c r="AX906">
        <v>903</v>
      </c>
      <c r="AZ906" s="3"/>
      <c r="BB906" s="2">
        <f t="shared" si="263"/>
        <v>215</v>
      </c>
      <c r="BC906">
        <f t="shared" si="267"/>
        <v>25.017771804062125</v>
      </c>
      <c r="BD906" s="2">
        <f t="shared" si="269"/>
        <v>78.3</v>
      </c>
      <c r="BE906">
        <f t="shared" si="270"/>
        <v>46.5</v>
      </c>
      <c r="BF906">
        <f t="shared" si="271"/>
        <v>267840</v>
      </c>
    </row>
    <row r="907" spans="1:58" ht="14.25" x14ac:dyDescent="0.2">
      <c r="A907" s="12">
        <v>20324</v>
      </c>
      <c r="B907" s="13">
        <f t="shared" si="254"/>
        <v>18</v>
      </c>
      <c r="C907" s="15">
        <f t="shared" si="255"/>
        <v>13</v>
      </c>
      <c r="D907" s="14">
        <f t="shared" si="256"/>
        <v>12</v>
      </c>
      <c r="E907" t="s">
        <v>2777</v>
      </c>
      <c r="F907" t="s">
        <v>2837</v>
      </c>
      <c r="G907" t="s">
        <v>2779</v>
      </c>
      <c r="H907" t="s">
        <v>2779</v>
      </c>
      <c r="I907" t="s">
        <v>2780</v>
      </c>
      <c r="J907" s="4" t="s">
        <v>2841</v>
      </c>
      <c r="K907" t="s">
        <v>177</v>
      </c>
      <c r="L907" t="s">
        <v>163</v>
      </c>
      <c r="M907" t="s">
        <v>163</v>
      </c>
      <c r="N907" t="s">
        <v>163</v>
      </c>
      <c r="O907" s="6" t="s">
        <v>1467</v>
      </c>
      <c r="P907">
        <v>0</v>
      </c>
      <c r="Q907" s="24">
        <v>66.2</v>
      </c>
      <c r="R907" s="25">
        <v>91</v>
      </c>
      <c r="S907" s="26">
        <v>60.3</v>
      </c>
      <c r="Y907">
        <v>10</v>
      </c>
      <c r="Z907">
        <v>30</v>
      </c>
      <c r="AA907" s="3">
        <v>25</v>
      </c>
      <c r="AB907" s="3">
        <v>6</v>
      </c>
      <c r="AC907">
        <v>155</v>
      </c>
      <c r="AD907" s="9">
        <f t="shared" si="257"/>
        <v>4580.083333333333</v>
      </c>
      <c r="AE907">
        <f t="shared" si="264"/>
        <v>2555730</v>
      </c>
      <c r="AF907" s="2">
        <f t="shared" si="268"/>
        <v>46.5</v>
      </c>
      <c r="AG907" t="str">
        <f t="shared" si="258"/>
        <v>76小时</v>
      </c>
      <c r="AH907">
        <f t="shared" si="259"/>
        <v>140</v>
      </c>
      <c r="AI907">
        <f t="shared" si="260"/>
        <v>24</v>
      </c>
      <c r="AJ907">
        <f t="shared" si="265"/>
        <v>78.3</v>
      </c>
      <c r="AK907">
        <f t="shared" si="261"/>
        <v>40</v>
      </c>
      <c r="AL907">
        <f t="shared" si="266"/>
        <v>46.5</v>
      </c>
      <c r="AM907" s="2">
        <f t="shared" si="262"/>
        <v>24</v>
      </c>
      <c r="AX907">
        <v>904</v>
      </c>
      <c r="AZ907" s="3"/>
      <c r="BB907" s="2">
        <f t="shared" si="263"/>
        <v>215</v>
      </c>
      <c r="BC907">
        <f t="shared" si="267"/>
        <v>25.017771804062125</v>
      </c>
      <c r="BD907" s="2">
        <f t="shared" si="269"/>
        <v>78.3</v>
      </c>
      <c r="BE907">
        <f t="shared" si="270"/>
        <v>46.5</v>
      </c>
      <c r="BF907">
        <f t="shared" si="271"/>
        <v>267840</v>
      </c>
    </row>
    <row r="908" spans="1:58" ht="14.25" x14ac:dyDescent="0.2">
      <c r="A908" s="12">
        <v>20325</v>
      </c>
      <c r="B908" s="13">
        <f t="shared" si="254"/>
        <v>18</v>
      </c>
      <c r="C908" s="15">
        <f t="shared" si="255"/>
        <v>13</v>
      </c>
      <c r="D908" s="14">
        <f t="shared" si="256"/>
        <v>12</v>
      </c>
      <c r="E908" t="s">
        <v>2785</v>
      </c>
      <c r="F908" t="s">
        <v>2786</v>
      </c>
      <c r="G908" t="s">
        <v>2828</v>
      </c>
      <c r="H908" t="s">
        <v>2829</v>
      </c>
      <c r="I908" t="s">
        <v>2697</v>
      </c>
      <c r="J908" s="4" t="s">
        <v>2879</v>
      </c>
      <c r="K908" t="s">
        <v>174</v>
      </c>
      <c r="L908" t="s">
        <v>163</v>
      </c>
      <c r="M908" t="s">
        <v>163</v>
      </c>
      <c r="N908" t="s">
        <v>163</v>
      </c>
      <c r="O908" s="6" t="s">
        <v>1469</v>
      </c>
      <c r="P908">
        <v>0</v>
      </c>
      <c r="Q908" s="24">
        <v>66.2</v>
      </c>
      <c r="R908" s="25">
        <v>91</v>
      </c>
      <c r="S908" s="26">
        <v>60.3</v>
      </c>
      <c r="Y908">
        <v>10</v>
      </c>
      <c r="Z908">
        <v>30</v>
      </c>
      <c r="AA908" s="3">
        <v>25</v>
      </c>
      <c r="AB908" s="3">
        <v>6</v>
      </c>
      <c r="AC908">
        <v>155</v>
      </c>
      <c r="AD908" s="9">
        <f t="shared" si="257"/>
        <v>4580.083333333333</v>
      </c>
      <c r="AE908">
        <f t="shared" si="264"/>
        <v>2555730</v>
      </c>
      <c r="AF908" s="2">
        <f t="shared" si="268"/>
        <v>46.5</v>
      </c>
      <c r="AG908" t="str">
        <f t="shared" si="258"/>
        <v>76小时</v>
      </c>
      <c r="AH908">
        <f t="shared" si="259"/>
        <v>140</v>
      </c>
      <c r="AI908">
        <f t="shared" si="260"/>
        <v>24</v>
      </c>
      <c r="AJ908">
        <f t="shared" si="265"/>
        <v>78.3</v>
      </c>
      <c r="AK908">
        <f t="shared" si="261"/>
        <v>40</v>
      </c>
      <c r="AL908">
        <f t="shared" si="266"/>
        <v>46.5</v>
      </c>
      <c r="AM908" s="2">
        <f t="shared" si="262"/>
        <v>24</v>
      </c>
      <c r="AX908">
        <v>905</v>
      </c>
      <c r="AZ908" s="3"/>
      <c r="BB908" s="2">
        <f t="shared" si="263"/>
        <v>215</v>
      </c>
      <c r="BC908">
        <f t="shared" si="267"/>
        <v>25.017771804062125</v>
      </c>
      <c r="BD908" s="2">
        <f t="shared" si="269"/>
        <v>78.3</v>
      </c>
      <c r="BE908">
        <f t="shared" si="270"/>
        <v>46.5</v>
      </c>
      <c r="BF908">
        <f t="shared" si="271"/>
        <v>267840</v>
      </c>
    </row>
    <row r="909" spans="1:58" ht="14.25" x14ac:dyDescent="0.2">
      <c r="A909" s="12">
        <v>20326</v>
      </c>
      <c r="B909" s="13">
        <f t="shared" si="254"/>
        <v>18</v>
      </c>
      <c r="C909" s="15">
        <f t="shared" si="255"/>
        <v>13</v>
      </c>
      <c r="D909" s="14">
        <f t="shared" si="256"/>
        <v>12</v>
      </c>
      <c r="E909" t="s">
        <v>2777</v>
      </c>
      <c r="F909" t="s">
        <v>2834</v>
      </c>
      <c r="G909" t="s">
        <v>2779</v>
      </c>
      <c r="H909" t="s">
        <v>2779</v>
      </c>
      <c r="I909" t="s">
        <v>2780</v>
      </c>
      <c r="J909" s="4" t="s">
        <v>2841</v>
      </c>
      <c r="K909" t="s">
        <v>182</v>
      </c>
      <c r="L909" t="s">
        <v>163</v>
      </c>
      <c r="M909" t="s">
        <v>163</v>
      </c>
      <c r="N909" t="s">
        <v>163</v>
      </c>
      <c r="O909" s="6" t="s">
        <v>1471</v>
      </c>
      <c r="P909">
        <v>0</v>
      </c>
      <c r="Q909" s="24">
        <v>66.5</v>
      </c>
      <c r="R909" s="25">
        <v>91.5</v>
      </c>
      <c r="S909" s="26">
        <v>60.5</v>
      </c>
      <c r="Y909">
        <v>10</v>
      </c>
      <c r="Z909">
        <v>30</v>
      </c>
      <c r="AA909" s="3">
        <v>25</v>
      </c>
      <c r="AB909" s="3">
        <v>6</v>
      </c>
      <c r="AC909">
        <v>155</v>
      </c>
      <c r="AD909" s="9">
        <f t="shared" si="257"/>
        <v>4560.5</v>
      </c>
      <c r="AE909">
        <f t="shared" si="264"/>
        <v>2555730</v>
      </c>
      <c r="AF909" s="2">
        <f t="shared" si="268"/>
        <v>46.7</v>
      </c>
      <c r="AG909" t="str">
        <f t="shared" si="258"/>
        <v>76小时</v>
      </c>
      <c r="AH909">
        <f t="shared" si="259"/>
        <v>141</v>
      </c>
      <c r="AI909">
        <f t="shared" si="260"/>
        <v>24</v>
      </c>
      <c r="AJ909">
        <f t="shared" si="265"/>
        <v>78.599999999999994</v>
      </c>
      <c r="AK909">
        <f t="shared" si="261"/>
        <v>40</v>
      </c>
      <c r="AL909">
        <f t="shared" si="266"/>
        <v>46.7</v>
      </c>
      <c r="AM909" s="2">
        <f t="shared" si="262"/>
        <v>24</v>
      </c>
      <c r="AX909">
        <v>906</v>
      </c>
      <c r="AZ909" s="3"/>
      <c r="BB909" s="2">
        <f t="shared" si="263"/>
        <v>215</v>
      </c>
      <c r="BC909">
        <f t="shared" si="267"/>
        <v>24.910629312395908</v>
      </c>
      <c r="BD909" s="2">
        <f t="shared" si="269"/>
        <v>78.599999999999994</v>
      </c>
      <c r="BE909">
        <f t="shared" si="270"/>
        <v>46.7</v>
      </c>
      <c r="BF909">
        <f t="shared" si="271"/>
        <v>268992</v>
      </c>
    </row>
    <row r="910" spans="1:58" ht="14.25" x14ac:dyDescent="0.2">
      <c r="A910" s="12">
        <v>20327</v>
      </c>
      <c r="B910" s="13">
        <f t="shared" si="254"/>
        <v>18</v>
      </c>
      <c r="C910" s="15">
        <f t="shared" si="255"/>
        <v>13</v>
      </c>
      <c r="D910" s="14">
        <f t="shared" si="256"/>
        <v>12</v>
      </c>
      <c r="E910" t="s">
        <v>2777</v>
      </c>
      <c r="F910" t="s">
        <v>2835</v>
      </c>
      <c r="G910" t="s">
        <v>2779</v>
      </c>
      <c r="H910" t="s">
        <v>2779</v>
      </c>
      <c r="I910" t="s">
        <v>2780</v>
      </c>
      <c r="J910" s="4" t="s">
        <v>2841</v>
      </c>
      <c r="K910" t="s">
        <v>162</v>
      </c>
      <c r="L910" t="s">
        <v>163</v>
      </c>
      <c r="M910" t="s">
        <v>163</v>
      </c>
      <c r="N910" t="s">
        <v>163</v>
      </c>
      <c r="O910" s="6" t="s">
        <v>1471</v>
      </c>
      <c r="P910">
        <v>0</v>
      </c>
      <c r="Q910" s="24">
        <v>66.5</v>
      </c>
      <c r="R910" s="25">
        <v>91.5</v>
      </c>
      <c r="S910" s="26">
        <v>60.5</v>
      </c>
      <c r="Y910">
        <v>10</v>
      </c>
      <c r="Z910">
        <v>30</v>
      </c>
      <c r="AA910" s="3">
        <v>25</v>
      </c>
      <c r="AB910" s="3">
        <v>6</v>
      </c>
      <c r="AC910">
        <v>155</v>
      </c>
      <c r="AD910" s="9">
        <f t="shared" si="257"/>
        <v>4560.5</v>
      </c>
      <c r="AE910">
        <f t="shared" si="264"/>
        <v>2555730</v>
      </c>
      <c r="AF910" s="2">
        <f t="shared" si="268"/>
        <v>46.7</v>
      </c>
      <c r="AG910" t="str">
        <f t="shared" si="258"/>
        <v>76小时</v>
      </c>
      <c r="AH910">
        <f t="shared" si="259"/>
        <v>141</v>
      </c>
      <c r="AI910">
        <f t="shared" si="260"/>
        <v>24</v>
      </c>
      <c r="AJ910">
        <f t="shared" si="265"/>
        <v>78.599999999999994</v>
      </c>
      <c r="AK910">
        <f t="shared" si="261"/>
        <v>40</v>
      </c>
      <c r="AL910">
        <f t="shared" si="266"/>
        <v>46.7</v>
      </c>
      <c r="AM910" s="2">
        <f t="shared" si="262"/>
        <v>24</v>
      </c>
      <c r="AX910">
        <v>907</v>
      </c>
      <c r="AZ910" s="3"/>
      <c r="BB910" s="2">
        <f t="shared" si="263"/>
        <v>215</v>
      </c>
      <c r="BC910">
        <f t="shared" si="267"/>
        <v>24.910629312395908</v>
      </c>
      <c r="BD910" s="2">
        <f t="shared" si="269"/>
        <v>78.599999999999994</v>
      </c>
      <c r="BE910">
        <f t="shared" si="270"/>
        <v>46.7</v>
      </c>
      <c r="BF910">
        <f t="shared" si="271"/>
        <v>268992</v>
      </c>
    </row>
    <row r="911" spans="1:58" ht="14.25" x14ac:dyDescent="0.2">
      <c r="A911" s="12">
        <v>20328</v>
      </c>
      <c r="B911" s="13">
        <f t="shared" si="254"/>
        <v>18</v>
      </c>
      <c r="C911" s="15">
        <f t="shared" si="255"/>
        <v>13</v>
      </c>
      <c r="D911" s="14">
        <f t="shared" si="256"/>
        <v>12</v>
      </c>
      <c r="E911" t="s">
        <v>2777</v>
      </c>
      <c r="F911" t="s">
        <v>2836</v>
      </c>
      <c r="G911" t="s">
        <v>2779</v>
      </c>
      <c r="H911" t="s">
        <v>2779</v>
      </c>
      <c r="I911" t="s">
        <v>2780</v>
      </c>
      <c r="J911" s="4" t="s">
        <v>2841</v>
      </c>
      <c r="K911" t="s">
        <v>177</v>
      </c>
      <c r="L911" t="s">
        <v>163</v>
      </c>
      <c r="M911" t="s">
        <v>163</v>
      </c>
      <c r="N911" t="s">
        <v>163</v>
      </c>
      <c r="O911" s="6" t="s">
        <v>1473</v>
      </c>
      <c r="P911">
        <v>0</v>
      </c>
      <c r="Q911" s="24">
        <v>66.5</v>
      </c>
      <c r="R911" s="25">
        <v>91.5</v>
      </c>
      <c r="S911" s="26">
        <v>60.5</v>
      </c>
      <c r="Y911">
        <v>10</v>
      </c>
      <c r="Z911">
        <v>30</v>
      </c>
      <c r="AA911" s="3">
        <v>25</v>
      </c>
      <c r="AB911" s="3">
        <v>6</v>
      </c>
      <c r="AC911">
        <v>155</v>
      </c>
      <c r="AD911" s="9">
        <f t="shared" si="257"/>
        <v>4560.5</v>
      </c>
      <c r="AE911">
        <f t="shared" si="264"/>
        <v>2555730</v>
      </c>
      <c r="AF911" s="2">
        <f t="shared" si="268"/>
        <v>46.7</v>
      </c>
      <c r="AG911" t="str">
        <f t="shared" si="258"/>
        <v>76小时</v>
      </c>
      <c r="AH911">
        <f t="shared" si="259"/>
        <v>141</v>
      </c>
      <c r="AI911">
        <f t="shared" si="260"/>
        <v>24</v>
      </c>
      <c r="AJ911">
        <f t="shared" si="265"/>
        <v>78.599999999999994</v>
      </c>
      <c r="AK911">
        <f t="shared" si="261"/>
        <v>40</v>
      </c>
      <c r="AL911">
        <f t="shared" si="266"/>
        <v>46.7</v>
      </c>
      <c r="AM911" s="2">
        <f t="shared" si="262"/>
        <v>24</v>
      </c>
      <c r="AX911">
        <v>908</v>
      </c>
      <c r="AZ911" s="3"/>
      <c r="BB911" s="2">
        <f t="shared" si="263"/>
        <v>215</v>
      </c>
      <c r="BC911">
        <f t="shared" si="267"/>
        <v>24.910629312395908</v>
      </c>
      <c r="BD911" s="2">
        <f t="shared" si="269"/>
        <v>78.599999999999994</v>
      </c>
      <c r="BE911">
        <f t="shared" si="270"/>
        <v>46.7</v>
      </c>
      <c r="BF911">
        <f t="shared" si="271"/>
        <v>268992</v>
      </c>
    </row>
    <row r="912" spans="1:58" ht="14.25" x14ac:dyDescent="0.2">
      <c r="A912" s="12">
        <v>20329</v>
      </c>
      <c r="B912" s="13">
        <f t="shared" ref="B912:B975" si="272">FLOOR(R910/5,1)</f>
        <v>18</v>
      </c>
      <c r="C912" s="15">
        <f t="shared" ref="C912:C975" si="273">FLOOR(Q910/5,1)</f>
        <v>13</v>
      </c>
      <c r="D912" s="14">
        <f t="shared" ref="D912:D975" si="274">FLOOR(S910/5,1)</f>
        <v>12</v>
      </c>
      <c r="E912" t="s">
        <v>2777</v>
      </c>
      <c r="F912" t="s">
        <v>2837</v>
      </c>
      <c r="G912" t="s">
        <v>2779</v>
      </c>
      <c r="H912" t="s">
        <v>2779</v>
      </c>
      <c r="I912" t="s">
        <v>2780</v>
      </c>
      <c r="J912" s="4" t="s">
        <v>2841</v>
      </c>
      <c r="K912" t="s">
        <v>174</v>
      </c>
      <c r="L912" t="s">
        <v>163</v>
      </c>
      <c r="M912" t="s">
        <v>163</v>
      </c>
      <c r="N912" t="s">
        <v>163</v>
      </c>
      <c r="O912" s="6" t="s">
        <v>1475</v>
      </c>
      <c r="P912">
        <v>0</v>
      </c>
      <c r="Q912" s="24">
        <v>66.5</v>
      </c>
      <c r="R912" s="25">
        <v>91.5</v>
      </c>
      <c r="S912" s="26">
        <v>60.5</v>
      </c>
      <c r="Y912">
        <v>10</v>
      </c>
      <c r="Z912">
        <v>30</v>
      </c>
      <c r="AA912" s="3">
        <v>25</v>
      </c>
      <c r="AB912" s="3">
        <v>6</v>
      </c>
      <c r="AC912">
        <v>155</v>
      </c>
      <c r="AD912" s="9">
        <f t="shared" si="257"/>
        <v>4560.5</v>
      </c>
      <c r="AE912">
        <f t="shared" si="264"/>
        <v>2555730</v>
      </c>
      <c r="AF912" s="2">
        <f t="shared" si="268"/>
        <v>46.7</v>
      </c>
      <c r="AG912" t="str">
        <f t="shared" si="258"/>
        <v>76小时</v>
      </c>
      <c r="AH912">
        <f t="shared" si="259"/>
        <v>141</v>
      </c>
      <c r="AI912">
        <f t="shared" si="260"/>
        <v>24</v>
      </c>
      <c r="AJ912">
        <f t="shared" si="265"/>
        <v>78.599999999999994</v>
      </c>
      <c r="AK912">
        <f t="shared" si="261"/>
        <v>40</v>
      </c>
      <c r="AL912">
        <f t="shared" si="266"/>
        <v>46.7</v>
      </c>
      <c r="AM912" s="2">
        <f t="shared" si="262"/>
        <v>24</v>
      </c>
      <c r="AX912">
        <v>909</v>
      </c>
      <c r="AZ912" s="3"/>
      <c r="BB912" s="2">
        <f t="shared" si="263"/>
        <v>215</v>
      </c>
      <c r="BC912">
        <f t="shared" si="267"/>
        <v>24.910629312395908</v>
      </c>
      <c r="BD912" s="2">
        <f t="shared" si="269"/>
        <v>78.599999999999994</v>
      </c>
      <c r="BE912">
        <f t="shared" si="270"/>
        <v>46.7</v>
      </c>
      <c r="BF912">
        <f t="shared" si="271"/>
        <v>268992</v>
      </c>
    </row>
    <row r="913" spans="1:58" ht="14.25" x14ac:dyDescent="0.2">
      <c r="A913" s="12">
        <v>20330</v>
      </c>
      <c r="B913" s="13">
        <f t="shared" si="272"/>
        <v>18</v>
      </c>
      <c r="C913" s="15">
        <f t="shared" si="273"/>
        <v>13</v>
      </c>
      <c r="D913" s="14">
        <f t="shared" si="274"/>
        <v>12</v>
      </c>
      <c r="E913" t="s">
        <v>2785</v>
      </c>
      <c r="F913" t="s">
        <v>2786</v>
      </c>
      <c r="G913" t="s">
        <v>2830</v>
      </c>
      <c r="H913" t="s">
        <v>2829</v>
      </c>
      <c r="I913" t="s">
        <v>2697</v>
      </c>
      <c r="J913" s="4" t="s">
        <v>2861</v>
      </c>
      <c r="K913" t="s">
        <v>166</v>
      </c>
      <c r="L913" t="s">
        <v>163</v>
      </c>
      <c r="M913" t="s">
        <v>163</v>
      </c>
      <c r="N913" t="s">
        <v>163</v>
      </c>
      <c r="O913" s="6" t="s">
        <v>1475</v>
      </c>
      <c r="P913">
        <v>0</v>
      </c>
      <c r="Q913" s="24">
        <v>66.5</v>
      </c>
      <c r="R913" s="25">
        <v>91.5</v>
      </c>
      <c r="S913" s="26">
        <v>60.5</v>
      </c>
      <c r="Y913">
        <v>10</v>
      </c>
      <c r="Z913">
        <v>30</v>
      </c>
      <c r="AA913" s="3">
        <v>25</v>
      </c>
      <c r="AB913" s="3">
        <v>6</v>
      </c>
      <c r="AC913">
        <v>155</v>
      </c>
      <c r="AD913" s="9">
        <f t="shared" si="257"/>
        <v>4560.5</v>
      </c>
      <c r="AE913">
        <f t="shared" si="264"/>
        <v>2555730</v>
      </c>
      <c r="AF913" s="2">
        <f t="shared" si="268"/>
        <v>46.7</v>
      </c>
      <c r="AG913" t="str">
        <f t="shared" si="258"/>
        <v>76小时</v>
      </c>
      <c r="AH913">
        <f t="shared" si="259"/>
        <v>141</v>
      </c>
      <c r="AI913">
        <f t="shared" si="260"/>
        <v>24</v>
      </c>
      <c r="AJ913">
        <f t="shared" si="265"/>
        <v>78.599999999999994</v>
      </c>
      <c r="AK913">
        <f t="shared" si="261"/>
        <v>40</v>
      </c>
      <c r="AL913">
        <f t="shared" si="266"/>
        <v>46.7</v>
      </c>
      <c r="AM913" s="2">
        <f t="shared" si="262"/>
        <v>24</v>
      </c>
      <c r="AX913">
        <v>910</v>
      </c>
      <c r="AZ913" s="3"/>
      <c r="BB913" s="2">
        <f t="shared" si="263"/>
        <v>220</v>
      </c>
      <c r="BC913">
        <f t="shared" si="267"/>
        <v>29.303473709255293</v>
      </c>
      <c r="BD913" s="2">
        <f t="shared" si="269"/>
        <v>78.599999999999994</v>
      </c>
      <c r="BE913">
        <f t="shared" si="270"/>
        <v>46.7</v>
      </c>
      <c r="BF913">
        <f t="shared" si="271"/>
        <v>268992</v>
      </c>
    </row>
    <row r="914" spans="1:58" ht="14.25" x14ac:dyDescent="0.2">
      <c r="A914" s="12">
        <v>20331</v>
      </c>
      <c r="B914" s="13">
        <f t="shared" si="272"/>
        <v>18</v>
      </c>
      <c r="C914" s="15">
        <f t="shared" si="273"/>
        <v>13</v>
      </c>
      <c r="D914" s="14">
        <f t="shared" si="274"/>
        <v>12</v>
      </c>
      <c r="E914" t="s">
        <v>2777</v>
      </c>
      <c r="F914" t="s">
        <v>2834</v>
      </c>
      <c r="G914" t="s">
        <v>2779</v>
      </c>
      <c r="H914" t="s">
        <v>2779</v>
      </c>
      <c r="I914" t="s">
        <v>2780</v>
      </c>
      <c r="J914" s="4" t="s">
        <v>2841</v>
      </c>
      <c r="K914" t="s">
        <v>168</v>
      </c>
      <c r="L914" t="s">
        <v>163</v>
      </c>
      <c r="M914" t="s">
        <v>163</v>
      </c>
      <c r="N914" t="s">
        <v>163</v>
      </c>
      <c r="O914" s="6" t="s">
        <v>1477</v>
      </c>
      <c r="P914">
        <v>0</v>
      </c>
      <c r="Q914" s="24">
        <v>66.8</v>
      </c>
      <c r="R914" s="25">
        <v>92</v>
      </c>
      <c r="S914" s="26">
        <v>60.8</v>
      </c>
      <c r="Y914">
        <v>10</v>
      </c>
      <c r="Z914">
        <v>30</v>
      </c>
      <c r="AA914" s="3">
        <v>25</v>
      </c>
      <c r="AB914" s="3">
        <v>6</v>
      </c>
      <c r="AC914">
        <v>155</v>
      </c>
      <c r="AD914" s="9">
        <f t="shared" si="257"/>
        <v>4531.4166666666661</v>
      </c>
      <c r="AE914">
        <f t="shared" si="264"/>
        <v>2555730</v>
      </c>
      <c r="AF914" s="2">
        <f t="shared" si="268"/>
        <v>47</v>
      </c>
      <c r="AG914" t="str">
        <f t="shared" si="258"/>
        <v>75小时</v>
      </c>
      <c r="AH914">
        <f t="shared" si="259"/>
        <v>141</v>
      </c>
      <c r="AI914">
        <f t="shared" si="260"/>
        <v>24</v>
      </c>
      <c r="AJ914">
        <f t="shared" si="265"/>
        <v>79</v>
      </c>
      <c r="AK914">
        <f t="shared" si="261"/>
        <v>40</v>
      </c>
      <c r="AL914">
        <f t="shared" si="266"/>
        <v>47</v>
      </c>
      <c r="AM914" s="2">
        <f t="shared" si="262"/>
        <v>24</v>
      </c>
      <c r="AX914">
        <v>911</v>
      </c>
      <c r="AZ914" s="3"/>
      <c r="BB914" s="2">
        <f t="shared" si="263"/>
        <v>220</v>
      </c>
      <c r="BC914">
        <f t="shared" si="267"/>
        <v>29.116430260047281</v>
      </c>
      <c r="BD914" s="2">
        <f t="shared" si="269"/>
        <v>79</v>
      </c>
      <c r="BE914">
        <f t="shared" si="270"/>
        <v>47</v>
      </c>
      <c r="BF914">
        <f t="shared" si="271"/>
        <v>270720</v>
      </c>
    </row>
    <row r="915" spans="1:58" ht="14.25" x14ac:dyDescent="0.2">
      <c r="A915" s="12">
        <v>20332</v>
      </c>
      <c r="B915" s="13">
        <f t="shared" si="272"/>
        <v>18</v>
      </c>
      <c r="C915" s="15">
        <f t="shared" si="273"/>
        <v>13</v>
      </c>
      <c r="D915" s="14">
        <f t="shared" si="274"/>
        <v>12</v>
      </c>
      <c r="E915" t="s">
        <v>2777</v>
      </c>
      <c r="F915" t="s">
        <v>2835</v>
      </c>
      <c r="G915" t="s">
        <v>2779</v>
      </c>
      <c r="H915" t="s">
        <v>2779</v>
      </c>
      <c r="I915" t="s">
        <v>2780</v>
      </c>
      <c r="J915" s="4" t="s">
        <v>2841</v>
      </c>
      <c r="K915" t="s">
        <v>175</v>
      </c>
      <c r="L915" t="s">
        <v>164</v>
      </c>
      <c r="M915" t="s">
        <v>163</v>
      </c>
      <c r="N915" t="s">
        <v>167</v>
      </c>
      <c r="O915" s="6" t="s">
        <v>1479</v>
      </c>
      <c r="P915">
        <v>0</v>
      </c>
      <c r="Q915" s="24">
        <v>66.8</v>
      </c>
      <c r="R915" s="25">
        <v>92</v>
      </c>
      <c r="S915" s="26">
        <v>60.8</v>
      </c>
      <c r="Y915">
        <v>10</v>
      </c>
      <c r="Z915">
        <v>30</v>
      </c>
      <c r="AA915" s="3">
        <v>25</v>
      </c>
      <c r="AB915" s="3">
        <v>6</v>
      </c>
      <c r="AC915">
        <v>155</v>
      </c>
      <c r="AD915" s="9">
        <f t="shared" si="257"/>
        <v>4531.4166666666661</v>
      </c>
      <c r="AE915">
        <f t="shared" si="264"/>
        <v>2555730</v>
      </c>
      <c r="AF915" s="2">
        <f t="shared" si="268"/>
        <v>47</v>
      </c>
      <c r="AG915" t="str">
        <f t="shared" si="258"/>
        <v>75小时</v>
      </c>
      <c r="AH915">
        <f t="shared" si="259"/>
        <v>141</v>
      </c>
      <c r="AI915">
        <f t="shared" si="260"/>
        <v>24</v>
      </c>
      <c r="AJ915">
        <f t="shared" si="265"/>
        <v>79</v>
      </c>
      <c r="AK915">
        <f t="shared" si="261"/>
        <v>40</v>
      </c>
      <c r="AL915">
        <f t="shared" si="266"/>
        <v>47</v>
      </c>
      <c r="AM915" s="2">
        <f t="shared" si="262"/>
        <v>24</v>
      </c>
      <c r="AX915">
        <v>912</v>
      </c>
      <c r="AZ915" s="3"/>
      <c r="BB915" s="2">
        <f t="shared" si="263"/>
        <v>220</v>
      </c>
      <c r="BC915">
        <f t="shared" si="267"/>
        <v>29.116430260047281</v>
      </c>
      <c r="BD915" s="2">
        <f t="shared" si="269"/>
        <v>79</v>
      </c>
      <c r="BE915">
        <f t="shared" si="270"/>
        <v>47</v>
      </c>
      <c r="BF915">
        <f t="shared" si="271"/>
        <v>270720</v>
      </c>
    </row>
    <row r="916" spans="1:58" ht="14.25" x14ac:dyDescent="0.2">
      <c r="A916" s="12">
        <v>20333</v>
      </c>
      <c r="B916" s="13">
        <f t="shared" si="272"/>
        <v>18</v>
      </c>
      <c r="C916" s="15">
        <f t="shared" si="273"/>
        <v>13</v>
      </c>
      <c r="D916" s="14">
        <f t="shared" si="274"/>
        <v>12</v>
      </c>
      <c r="E916" t="s">
        <v>2777</v>
      </c>
      <c r="F916" t="s">
        <v>2836</v>
      </c>
      <c r="G916" t="s">
        <v>2779</v>
      </c>
      <c r="H916" t="s">
        <v>2779</v>
      </c>
      <c r="I916" t="s">
        <v>2780</v>
      </c>
      <c r="J916" s="4" t="s">
        <v>2841</v>
      </c>
      <c r="K916" t="s">
        <v>179</v>
      </c>
      <c r="L916" t="s">
        <v>163</v>
      </c>
      <c r="M916" t="s">
        <v>163</v>
      </c>
      <c r="N916" t="s">
        <v>163</v>
      </c>
      <c r="O916" s="6" t="s">
        <v>1481</v>
      </c>
      <c r="P916">
        <v>0</v>
      </c>
      <c r="Q916" s="24">
        <v>66.8</v>
      </c>
      <c r="R916" s="25">
        <v>92</v>
      </c>
      <c r="S916" s="26">
        <v>60.8</v>
      </c>
      <c r="Y916">
        <v>10</v>
      </c>
      <c r="Z916">
        <v>30</v>
      </c>
      <c r="AA916" s="3">
        <v>25</v>
      </c>
      <c r="AB916" s="3">
        <v>6</v>
      </c>
      <c r="AC916">
        <v>155</v>
      </c>
      <c r="AD916" s="9">
        <f t="shared" si="257"/>
        <v>4531.4166666666661</v>
      </c>
      <c r="AE916">
        <f t="shared" si="264"/>
        <v>2555730</v>
      </c>
      <c r="AF916" s="2">
        <f t="shared" si="268"/>
        <v>47</v>
      </c>
      <c r="AG916" t="str">
        <f t="shared" si="258"/>
        <v>75小时</v>
      </c>
      <c r="AH916">
        <f t="shared" si="259"/>
        <v>141</v>
      </c>
      <c r="AI916">
        <f t="shared" si="260"/>
        <v>24</v>
      </c>
      <c r="AJ916">
        <f t="shared" si="265"/>
        <v>79</v>
      </c>
      <c r="AK916">
        <f t="shared" si="261"/>
        <v>40</v>
      </c>
      <c r="AL916">
        <f t="shared" si="266"/>
        <v>47</v>
      </c>
      <c r="AM916" s="2">
        <f t="shared" si="262"/>
        <v>24</v>
      </c>
      <c r="AX916">
        <v>913</v>
      </c>
      <c r="AZ916" s="3"/>
      <c r="BB916" s="2">
        <f t="shared" si="263"/>
        <v>220</v>
      </c>
      <c r="BC916">
        <f t="shared" si="267"/>
        <v>29.116430260047281</v>
      </c>
      <c r="BD916" s="2">
        <f t="shared" si="269"/>
        <v>79</v>
      </c>
      <c r="BE916">
        <f t="shared" si="270"/>
        <v>47</v>
      </c>
      <c r="BF916">
        <f t="shared" si="271"/>
        <v>270720</v>
      </c>
    </row>
    <row r="917" spans="1:58" ht="14.25" x14ac:dyDescent="0.2">
      <c r="A917" s="12">
        <v>20334</v>
      </c>
      <c r="B917" s="13">
        <f t="shared" si="272"/>
        <v>18</v>
      </c>
      <c r="C917" s="15">
        <f t="shared" si="273"/>
        <v>13</v>
      </c>
      <c r="D917" s="14">
        <f t="shared" si="274"/>
        <v>12</v>
      </c>
      <c r="E917" t="s">
        <v>2777</v>
      </c>
      <c r="F917" t="s">
        <v>2837</v>
      </c>
      <c r="G917" t="s">
        <v>2779</v>
      </c>
      <c r="H917" t="s">
        <v>2779</v>
      </c>
      <c r="I917" t="s">
        <v>2780</v>
      </c>
      <c r="J917" s="4" t="s">
        <v>2841</v>
      </c>
      <c r="K917" t="s">
        <v>177</v>
      </c>
      <c r="L917" t="s">
        <v>163</v>
      </c>
      <c r="M917" t="s">
        <v>163</v>
      </c>
      <c r="N917" t="s">
        <v>163</v>
      </c>
      <c r="O917" s="6" t="s">
        <v>1481</v>
      </c>
      <c r="P917">
        <v>0</v>
      </c>
      <c r="Q917" s="24">
        <v>66.8</v>
      </c>
      <c r="R917" s="25">
        <v>92</v>
      </c>
      <c r="S917" s="26">
        <v>60.8</v>
      </c>
      <c r="Y917">
        <v>10</v>
      </c>
      <c r="Z917">
        <v>30</v>
      </c>
      <c r="AA917" s="3">
        <v>25</v>
      </c>
      <c r="AB917" s="3">
        <v>6</v>
      </c>
      <c r="AC917">
        <v>155</v>
      </c>
      <c r="AD917" s="9">
        <f t="shared" si="257"/>
        <v>4531.4166666666661</v>
      </c>
      <c r="AE917">
        <f t="shared" si="264"/>
        <v>2555730</v>
      </c>
      <c r="AF917" s="2">
        <f t="shared" si="268"/>
        <v>47</v>
      </c>
      <c r="AG917" t="str">
        <f t="shared" si="258"/>
        <v>75小时</v>
      </c>
      <c r="AH917">
        <f t="shared" si="259"/>
        <v>141</v>
      </c>
      <c r="AI917">
        <f t="shared" si="260"/>
        <v>24</v>
      </c>
      <c r="AJ917">
        <f t="shared" si="265"/>
        <v>79</v>
      </c>
      <c r="AK917">
        <f t="shared" si="261"/>
        <v>40</v>
      </c>
      <c r="AL917">
        <f t="shared" si="266"/>
        <v>47</v>
      </c>
      <c r="AM917" s="2">
        <f t="shared" si="262"/>
        <v>24</v>
      </c>
      <c r="AX917">
        <v>914</v>
      </c>
      <c r="AZ917" s="3"/>
      <c r="BB917" s="2">
        <f t="shared" si="263"/>
        <v>220</v>
      </c>
      <c r="BC917">
        <f t="shared" si="267"/>
        <v>29.116430260047281</v>
      </c>
      <c r="BD917" s="2">
        <f t="shared" si="269"/>
        <v>79</v>
      </c>
      <c r="BE917">
        <f t="shared" si="270"/>
        <v>47</v>
      </c>
      <c r="BF917">
        <f t="shared" si="271"/>
        <v>270720</v>
      </c>
    </row>
    <row r="918" spans="1:58" ht="14.25" x14ac:dyDescent="0.2">
      <c r="A918" s="12">
        <v>20335</v>
      </c>
      <c r="B918" s="13">
        <f t="shared" si="272"/>
        <v>18</v>
      </c>
      <c r="C918" s="15">
        <f t="shared" si="273"/>
        <v>13</v>
      </c>
      <c r="D918" s="14">
        <f t="shared" si="274"/>
        <v>12</v>
      </c>
      <c r="E918" t="s">
        <v>2785</v>
      </c>
      <c r="F918" t="s">
        <v>2786</v>
      </c>
      <c r="G918" t="s">
        <v>2831</v>
      </c>
      <c r="H918" t="s">
        <v>2829</v>
      </c>
      <c r="I918" t="s">
        <v>2697</v>
      </c>
      <c r="J918" s="4" t="s">
        <v>2861</v>
      </c>
      <c r="K918" t="s">
        <v>174</v>
      </c>
      <c r="L918" t="s">
        <v>163</v>
      </c>
      <c r="M918" t="s">
        <v>163</v>
      </c>
      <c r="N918" t="s">
        <v>163</v>
      </c>
      <c r="O918" s="6" t="s">
        <v>1483</v>
      </c>
      <c r="P918">
        <v>0</v>
      </c>
      <c r="Q918" s="24">
        <v>66.8</v>
      </c>
      <c r="R918" s="25">
        <v>92</v>
      </c>
      <c r="S918" s="26">
        <v>60.8</v>
      </c>
      <c r="Y918">
        <v>10</v>
      </c>
      <c r="Z918">
        <v>30</v>
      </c>
      <c r="AA918" s="3">
        <v>25</v>
      </c>
      <c r="AB918" s="3">
        <v>6</v>
      </c>
      <c r="AC918">
        <v>155</v>
      </c>
      <c r="AD918" s="9">
        <f t="shared" si="257"/>
        <v>4531.4166666666661</v>
      </c>
      <c r="AE918">
        <f t="shared" si="264"/>
        <v>2555730</v>
      </c>
      <c r="AF918" s="2">
        <f t="shared" si="268"/>
        <v>47</v>
      </c>
      <c r="AG918" t="str">
        <f t="shared" si="258"/>
        <v>75小时</v>
      </c>
      <c r="AH918">
        <f t="shared" si="259"/>
        <v>141</v>
      </c>
      <c r="AI918">
        <f t="shared" si="260"/>
        <v>24</v>
      </c>
      <c r="AJ918">
        <f t="shared" si="265"/>
        <v>79</v>
      </c>
      <c r="AK918">
        <f t="shared" si="261"/>
        <v>40</v>
      </c>
      <c r="AL918">
        <f t="shared" si="266"/>
        <v>47</v>
      </c>
      <c r="AM918" s="2">
        <f t="shared" si="262"/>
        <v>24</v>
      </c>
      <c r="AX918">
        <v>915</v>
      </c>
      <c r="AZ918" s="3"/>
      <c r="BB918" s="2">
        <f t="shared" si="263"/>
        <v>220</v>
      </c>
      <c r="BC918">
        <f t="shared" si="267"/>
        <v>29.116430260047281</v>
      </c>
      <c r="BD918" s="2">
        <f t="shared" si="269"/>
        <v>79</v>
      </c>
      <c r="BE918">
        <f t="shared" si="270"/>
        <v>47</v>
      </c>
      <c r="BF918">
        <f t="shared" si="271"/>
        <v>270720</v>
      </c>
    </row>
    <row r="919" spans="1:58" ht="14.25" x14ac:dyDescent="0.2">
      <c r="A919" s="12">
        <v>20336</v>
      </c>
      <c r="B919" s="13">
        <f t="shared" si="272"/>
        <v>18</v>
      </c>
      <c r="C919" s="15">
        <f t="shared" si="273"/>
        <v>13</v>
      </c>
      <c r="D919" s="14">
        <f t="shared" si="274"/>
        <v>12</v>
      </c>
      <c r="E919" t="s">
        <v>2777</v>
      </c>
      <c r="F919" t="s">
        <v>2834</v>
      </c>
      <c r="G919" t="s">
        <v>2779</v>
      </c>
      <c r="H919" t="s">
        <v>2779</v>
      </c>
      <c r="I919" t="s">
        <v>2780</v>
      </c>
      <c r="J919" s="4" t="s">
        <v>2841</v>
      </c>
      <c r="K919" t="s">
        <v>182</v>
      </c>
      <c r="L919" t="s">
        <v>163</v>
      </c>
      <c r="M919" t="s">
        <v>163</v>
      </c>
      <c r="N919" t="s">
        <v>163</v>
      </c>
      <c r="O919" s="6" t="s">
        <v>1485</v>
      </c>
      <c r="P919">
        <v>0</v>
      </c>
      <c r="Q919" s="24">
        <v>67.2</v>
      </c>
      <c r="R919" s="25">
        <v>92.5</v>
      </c>
      <c r="S919" s="26">
        <v>61</v>
      </c>
      <c r="Y919">
        <v>10</v>
      </c>
      <c r="Z919">
        <v>30</v>
      </c>
      <c r="AA919" s="3">
        <v>25</v>
      </c>
      <c r="AB919" s="3">
        <v>6</v>
      </c>
      <c r="AC919">
        <v>155</v>
      </c>
      <c r="AD919" s="9">
        <f t="shared" si="257"/>
        <v>4512.1666666666661</v>
      </c>
      <c r="AE919">
        <f t="shared" si="264"/>
        <v>2555730</v>
      </c>
      <c r="AF919" s="2">
        <f t="shared" si="268"/>
        <v>47.2</v>
      </c>
      <c r="AG919" t="str">
        <f t="shared" si="258"/>
        <v>75小时</v>
      </c>
      <c r="AH919">
        <f t="shared" si="259"/>
        <v>142</v>
      </c>
      <c r="AI919">
        <f t="shared" si="260"/>
        <v>24</v>
      </c>
      <c r="AJ919">
        <f t="shared" si="265"/>
        <v>79.3</v>
      </c>
      <c r="AK919">
        <f t="shared" si="261"/>
        <v>40</v>
      </c>
      <c r="AL919">
        <f t="shared" si="266"/>
        <v>47.2</v>
      </c>
      <c r="AM919" s="2">
        <f t="shared" si="262"/>
        <v>24</v>
      </c>
      <c r="AX919">
        <v>916</v>
      </c>
      <c r="AZ919" s="3"/>
      <c r="BB919" s="2">
        <f t="shared" si="263"/>
        <v>220</v>
      </c>
      <c r="BC919">
        <f t="shared" si="267"/>
        <v>28.993055555555557</v>
      </c>
      <c r="BD919" s="2">
        <f t="shared" si="269"/>
        <v>79.3</v>
      </c>
      <c r="BE919">
        <f t="shared" si="270"/>
        <v>47.2</v>
      </c>
      <c r="BF919">
        <f t="shared" si="271"/>
        <v>271872</v>
      </c>
    </row>
    <row r="920" spans="1:58" ht="14.25" x14ac:dyDescent="0.2">
      <c r="A920" s="12">
        <v>20337</v>
      </c>
      <c r="B920" s="13">
        <f t="shared" si="272"/>
        <v>18</v>
      </c>
      <c r="C920" s="15">
        <f t="shared" si="273"/>
        <v>13</v>
      </c>
      <c r="D920" s="14">
        <f t="shared" si="274"/>
        <v>12</v>
      </c>
      <c r="E920" t="s">
        <v>2777</v>
      </c>
      <c r="F920" t="s">
        <v>2835</v>
      </c>
      <c r="G920" t="s">
        <v>2779</v>
      </c>
      <c r="H920" t="s">
        <v>2779</v>
      </c>
      <c r="I920" t="s">
        <v>2780</v>
      </c>
      <c r="J920" s="4" t="s">
        <v>2841</v>
      </c>
      <c r="K920" t="s">
        <v>162</v>
      </c>
      <c r="L920" t="s">
        <v>163</v>
      </c>
      <c r="M920" t="s">
        <v>163</v>
      </c>
      <c r="N920" t="s">
        <v>163</v>
      </c>
      <c r="O920" s="6" t="s">
        <v>1485</v>
      </c>
      <c r="P920">
        <v>0</v>
      </c>
      <c r="Q920" s="24">
        <v>67.2</v>
      </c>
      <c r="R920" s="25">
        <v>92.5</v>
      </c>
      <c r="S920" s="26">
        <v>61</v>
      </c>
      <c r="Y920">
        <v>10</v>
      </c>
      <c r="Z920">
        <v>30</v>
      </c>
      <c r="AA920" s="3">
        <v>25</v>
      </c>
      <c r="AB920" s="3">
        <v>6</v>
      </c>
      <c r="AC920">
        <v>155</v>
      </c>
      <c r="AD920" s="9">
        <f t="shared" si="257"/>
        <v>4512.1666666666661</v>
      </c>
      <c r="AE920">
        <f t="shared" si="264"/>
        <v>2555730</v>
      </c>
      <c r="AF920" s="2">
        <f t="shared" si="268"/>
        <v>47.2</v>
      </c>
      <c r="AG920" t="str">
        <f t="shared" si="258"/>
        <v>75小时</v>
      </c>
      <c r="AH920">
        <f t="shared" si="259"/>
        <v>142</v>
      </c>
      <c r="AI920">
        <f t="shared" si="260"/>
        <v>24</v>
      </c>
      <c r="AJ920">
        <f t="shared" si="265"/>
        <v>79.3</v>
      </c>
      <c r="AK920">
        <f t="shared" si="261"/>
        <v>40</v>
      </c>
      <c r="AL920">
        <f t="shared" si="266"/>
        <v>47.2</v>
      </c>
      <c r="AM920" s="2">
        <f t="shared" si="262"/>
        <v>24</v>
      </c>
      <c r="AX920">
        <v>917</v>
      </c>
      <c r="AZ920" s="3"/>
      <c r="BB920" s="2">
        <f t="shared" si="263"/>
        <v>220</v>
      </c>
      <c r="BC920">
        <f t="shared" si="267"/>
        <v>28.993055555555557</v>
      </c>
      <c r="BD920" s="2">
        <f t="shared" si="269"/>
        <v>79.3</v>
      </c>
      <c r="BE920">
        <f t="shared" si="270"/>
        <v>47.2</v>
      </c>
      <c r="BF920">
        <f t="shared" si="271"/>
        <v>271872</v>
      </c>
    </row>
    <row r="921" spans="1:58" ht="14.25" x14ac:dyDescent="0.2">
      <c r="A921" s="12">
        <v>20338</v>
      </c>
      <c r="B921" s="13">
        <f t="shared" si="272"/>
        <v>18</v>
      </c>
      <c r="C921" s="15">
        <f t="shared" si="273"/>
        <v>13</v>
      </c>
      <c r="D921" s="14">
        <f t="shared" si="274"/>
        <v>12</v>
      </c>
      <c r="E921" t="s">
        <v>2777</v>
      </c>
      <c r="F921" t="s">
        <v>2836</v>
      </c>
      <c r="G921" t="s">
        <v>2779</v>
      </c>
      <c r="H921" t="s">
        <v>2779</v>
      </c>
      <c r="I921" t="s">
        <v>2780</v>
      </c>
      <c r="J921" s="4" t="s">
        <v>2841</v>
      </c>
      <c r="K921" t="s">
        <v>177</v>
      </c>
      <c r="L921" t="s">
        <v>163</v>
      </c>
      <c r="M921" t="s">
        <v>163</v>
      </c>
      <c r="N921" t="s">
        <v>163</v>
      </c>
      <c r="O921" s="6" t="s">
        <v>1487</v>
      </c>
      <c r="P921">
        <v>0</v>
      </c>
      <c r="Q921" s="24">
        <v>67.2</v>
      </c>
      <c r="R921" s="25">
        <v>92.5</v>
      </c>
      <c r="S921" s="26">
        <v>61</v>
      </c>
      <c r="Y921">
        <v>10</v>
      </c>
      <c r="Z921">
        <v>30</v>
      </c>
      <c r="AA921" s="3">
        <v>25</v>
      </c>
      <c r="AB921" s="3">
        <v>6</v>
      </c>
      <c r="AC921">
        <v>155</v>
      </c>
      <c r="AD921" s="9">
        <f t="shared" si="257"/>
        <v>4512.1666666666661</v>
      </c>
      <c r="AE921">
        <f t="shared" si="264"/>
        <v>2555730</v>
      </c>
      <c r="AF921" s="2">
        <f t="shared" si="268"/>
        <v>47.2</v>
      </c>
      <c r="AG921" t="str">
        <f t="shared" si="258"/>
        <v>75小时</v>
      </c>
      <c r="AH921">
        <f t="shared" si="259"/>
        <v>142</v>
      </c>
      <c r="AI921">
        <f t="shared" si="260"/>
        <v>24</v>
      </c>
      <c r="AJ921">
        <f t="shared" si="265"/>
        <v>79.3</v>
      </c>
      <c r="AK921">
        <f t="shared" si="261"/>
        <v>40</v>
      </c>
      <c r="AL921">
        <f t="shared" si="266"/>
        <v>47.2</v>
      </c>
      <c r="AM921" s="2">
        <f t="shared" si="262"/>
        <v>24</v>
      </c>
      <c r="AX921">
        <v>918</v>
      </c>
      <c r="AZ921" s="3"/>
      <c r="BB921" s="2">
        <f t="shared" si="263"/>
        <v>220</v>
      </c>
      <c r="BC921">
        <f t="shared" si="267"/>
        <v>28.993055555555557</v>
      </c>
      <c r="BD921" s="2">
        <f t="shared" si="269"/>
        <v>79.3</v>
      </c>
      <c r="BE921">
        <f t="shared" si="270"/>
        <v>47.2</v>
      </c>
      <c r="BF921">
        <f t="shared" si="271"/>
        <v>271872</v>
      </c>
    </row>
    <row r="922" spans="1:58" ht="14.25" x14ac:dyDescent="0.2">
      <c r="A922" s="12">
        <v>20339</v>
      </c>
      <c r="B922" s="13">
        <f t="shared" si="272"/>
        <v>18</v>
      </c>
      <c r="C922" s="15">
        <f t="shared" si="273"/>
        <v>13</v>
      </c>
      <c r="D922" s="14">
        <f t="shared" si="274"/>
        <v>12</v>
      </c>
      <c r="E922" t="s">
        <v>2777</v>
      </c>
      <c r="F922" t="s">
        <v>2837</v>
      </c>
      <c r="G922" t="s">
        <v>2779</v>
      </c>
      <c r="H922" t="s">
        <v>2779</v>
      </c>
      <c r="I922" t="s">
        <v>2780</v>
      </c>
      <c r="J922" s="4" t="s">
        <v>2841</v>
      </c>
      <c r="K922" t="s">
        <v>174</v>
      </c>
      <c r="L922" t="s">
        <v>163</v>
      </c>
      <c r="M922" t="s">
        <v>163</v>
      </c>
      <c r="N922" t="s">
        <v>163</v>
      </c>
      <c r="O922" s="6" t="s">
        <v>1489</v>
      </c>
      <c r="P922">
        <v>0</v>
      </c>
      <c r="Q922" s="24">
        <v>67.2</v>
      </c>
      <c r="R922" s="25">
        <v>92.5</v>
      </c>
      <c r="S922" s="26">
        <v>61</v>
      </c>
      <c r="Y922">
        <v>10</v>
      </c>
      <c r="Z922">
        <v>30</v>
      </c>
      <c r="AA922" s="3">
        <v>25</v>
      </c>
      <c r="AB922" s="3">
        <v>6</v>
      </c>
      <c r="AC922">
        <v>155</v>
      </c>
      <c r="AD922" s="9">
        <f t="shared" si="257"/>
        <v>4512.1666666666661</v>
      </c>
      <c r="AE922">
        <f t="shared" si="264"/>
        <v>2555730</v>
      </c>
      <c r="AF922" s="2">
        <f t="shared" si="268"/>
        <v>47.2</v>
      </c>
      <c r="AG922" t="str">
        <f t="shared" si="258"/>
        <v>75小时</v>
      </c>
      <c r="AH922">
        <f t="shared" si="259"/>
        <v>142</v>
      </c>
      <c r="AI922">
        <f t="shared" si="260"/>
        <v>24</v>
      </c>
      <c r="AJ922">
        <f t="shared" si="265"/>
        <v>79.3</v>
      </c>
      <c r="AK922">
        <f t="shared" si="261"/>
        <v>40</v>
      </c>
      <c r="AL922">
        <f t="shared" si="266"/>
        <v>47.2</v>
      </c>
      <c r="AM922" s="2">
        <f t="shared" si="262"/>
        <v>24</v>
      </c>
      <c r="AX922">
        <v>919</v>
      </c>
      <c r="AZ922" s="3"/>
      <c r="BB922" s="2">
        <f t="shared" si="263"/>
        <v>220</v>
      </c>
      <c r="BC922">
        <f t="shared" si="267"/>
        <v>28.993055555555557</v>
      </c>
      <c r="BD922" s="2">
        <f t="shared" si="269"/>
        <v>79.3</v>
      </c>
      <c r="BE922">
        <f t="shared" si="270"/>
        <v>47.2</v>
      </c>
      <c r="BF922">
        <f t="shared" si="271"/>
        <v>271872</v>
      </c>
    </row>
    <row r="923" spans="1:58" ht="14.25" x14ac:dyDescent="0.2">
      <c r="A923" s="12">
        <v>20340</v>
      </c>
      <c r="B923" s="13">
        <f t="shared" si="272"/>
        <v>18</v>
      </c>
      <c r="C923" s="15">
        <f t="shared" si="273"/>
        <v>13</v>
      </c>
      <c r="D923" s="14">
        <f t="shared" si="274"/>
        <v>12</v>
      </c>
      <c r="E923" t="s">
        <v>2785</v>
      </c>
      <c r="F923" t="s">
        <v>2786</v>
      </c>
      <c r="G923" t="s">
        <v>2832</v>
      </c>
      <c r="H923" t="s">
        <v>2829</v>
      </c>
      <c r="I923" t="s">
        <v>2697</v>
      </c>
      <c r="J923" s="4" t="s">
        <v>2861</v>
      </c>
      <c r="K923" t="s">
        <v>166</v>
      </c>
      <c r="L923" t="s">
        <v>163</v>
      </c>
      <c r="M923" t="s">
        <v>163</v>
      </c>
      <c r="N923" t="s">
        <v>163</v>
      </c>
      <c r="O923" s="6" t="s">
        <v>1489</v>
      </c>
      <c r="P923">
        <v>0</v>
      </c>
      <c r="Q923" s="24">
        <v>67.2</v>
      </c>
      <c r="R923" s="25">
        <v>92.5</v>
      </c>
      <c r="S923" s="26">
        <v>61</v>
      </c>
      <c r="Y923">
        <v>10</v>
      </c>
      <c r="Z923">
        <v>30</v>
      </c>
      <c r="AA923" s="3">
        <v>25</v>
      </c>
      <c r="AB923" s="3">
        <v>6</v>
      </c>
      <c r="AC923">
        <v>155</v>
      </c>
      <c r="AD923" s="9">
        <f t="shared" si="257"/>
        <v>4512.1666666666661</v>
      </c>
      <c r="AE923">
        <f t="shared" si="264"/>
        <v>2555730</v>
      </c>
      <c r="AF923" s="2">
        <f t="shared" si="268"/>
        <v>47.2</v>
      </c>
      <c r="AG923" t="str">
        <f t="shared" si="258"/>
        <v>75小时</v>
      </c>
      <c r="AH923">
        <f t="shared" si="259"/>
        <v>142</v>
      </c>
      <c r="AI923">
        <f t="shared" si="260"/>
        <v>24</v>
      </c>
      <c r="AJ923">
        <f t="shared" si="265"/>
        <v>79.3</v>
      </c>
      <c r="AK923">
        <f t="shared" si="261"/>
        <v>40</v>
      </c>
      <c r="AL923">
        <f t="shared" si="266"/>
        <v>47.2</v>
      </c>
      <c r="AM923" s="2">
        <f t="shared" si="262"/>
        <v>24</v>
      </c>
      <c r="AX923">
        <v>920</v>
      </c>
      <c r="AZ923" s="3"/>
      <c r="BB923" s="2">
        <f t="shared" si="263"/>
        <v>220</v>
      </c>
      <c r="BC923">
        <f t="shared" si="267"/>
        <v>28.993055555555557</v>
      </c>
      <c r="BD923" s="2">
        <f t="shared" si="269"/>
        <v>79.3</v>
      </c>
      <c r="BE923">
        <f t="shared" si="270"/>
        <v>47.2</v>
      </c>
      <c r="BF923">
        <f t="shared" si="271"/>
        <v>271872</v>
      </c>
    </row>
    <row r="924" spans="1:58" ht="14.25" x14ac:dyDescent="0.2">
      <c r="A924" s="12">
        <v>20341</v>
      </c>
      <c r="B924" s="13">
        <f t="shared" si="272"/>
        <v>18</v>
      </c>
      <c r="C924" s="15">
        <f t="shared" si="273"/>
        <v>13</v>
      </c>
      <c r="D924" s="14">
        <f t="shared" si="274"/>
        <v>12</v>
      </c>
      <c r="E924" t="s">
        <v>2777</v>
      </c>
      <c r="F924" t="s">
        <v>2834</v>
      </c>
      <c r="G924" t="s">
        <v>2779</v>
      </c>
      <c r="H924" t="s">
        <v>2779</v>
      </c>
      <c r="I924" t="s">
        <v>2780</v>
      </c>
      <c r="J924" s="4" t="s">
        <v>2841</v>
      </c>
      <c r="K924" t="s">
        <v>168</v>
      </c>
      <c r="L924" t="s">
        <v>163</v>
      </c>
      <c r="M924" t="s">
        <v>163</v>
      </c>
      <c r="N924" t="s">
        <v>163</v>
      </c>
      <c r="O924" s="6" t="s">
        <v>1491</v>
      </c>
      <c r="P924">
        <v>0</v>
      </c>
      <c r="Q924" s="24">
        <v>67.5</v>
      </c>
      <c r="R924" s="25">
        <v>93</v>
      </c>
      <c r="S924" s="26">
        <v>61.3</v>
      </c>
      <c r="Y924">
        <v>10</v>
      </c>
      <c r="Z924">
        <v>30</v>
      </c>
      <c r="AA924" s="3">
        <v>25</v>
      </c>
      <c r="AB924" s="3">
        <v>6</v>
      </c>
      <c r="AC924">
        <v>155</v>
      </c>
      <c r="AD924" s="9">
        <f t="shared" si="257"/>
        <v>4483.666666666667</v>
      </c>
      <c r="AE924">
        <f t="shared" si="264"/>
        <v>2555730</v>
      </c>
      <c r="AF924" s="2">
        <f t="shared" si="268"/>
        <v>47.5</v>
      </c>
      <c r="AG924" t="str">
        <f t="shared" si="258"/>
        <v>74小时</v>
      </c>
      <c r="AH924">
        <f t="shared" si="259"/>
        <v>143</v>
      </c>
      <c r="AI924">
        <f t="shared" si="260"/>
        <v>24</v>
      </c>
      <c r="AJ924">
        <f t="shared" si="265"/>
        <v>79.8</v>
      </c>
      <c r="AK924">
        <f t="shared" si="261"/>
        <v>40</v>
      </c>
      <c r="AL924">
        <f t="shared" si="266"/>
        <v>47.5</v>
      </c>
      <c r="AM924" s="2">
        <f t="shared" si="262"/>
        <v>24</v>
      </c>
      <c r="AX924">
        <v>921</v>
      </c>
      <c r="AZ924" s="3"/>
      <c r="BB924" s="2">
        <f t="shared" si="263"/>
        <v>220</v>
      </c>
      <c r="BC924">
        <f t="shared" si="267"/>
        <v>28.809941520467838</v>
      </c>
      <c r="BD924" s="2">
        <f t="shared" si="269"/>
        <v>79.8</v>
      </c>
      <c r="BE924">
        <f t="shared" si="270"/>
        <v>47.5</v>
      </c>
      <c r="BF924">
        <f t="shared" si="271"/>
        <v>273600</v>
      </c>
    </row>
    <row r="925" spans="1:58" ht="14.25" x14ac:dyDescent="0.2">
      <c r="A925" s="12">
        <v>20342</v>
      </c>
      <c r="B925" s="13">
        <f t="shared" si="272"/>
        <v>18</v>
      </c>
      <c r="C925" s="15">
        <f t="shared" si="273"/>
        <v>13</v>
      </c>
      <c r="D925" s="14">
        <f t="shared" si="274"/>
        <v>12</v>
      </c>
      <c r="E925" t="s">
        <v>2777</v>
      </c>
      <c r="F925" t="s">
        <v>2835</v>
      </c>
      <c r="G925" t="s">
        <v>2779</v>
      </c>
      <c r="H925" t="s">
        <v>2779</v>
      </c>
      <c r="I925" t="s">
        <v>2780</v>
      </c>
      <c r="J925" s="4" t="s">
        <v>2841</v>
      </c>
      <c r="K925" t="s">
        <v>175</v>
      </c>
      <c r="L925" t="s">
        <v>164</v>
      </c>
      <c r="M925" t="s">
        <v>163</v>
      </c>
      <c r="N925" t="s">
        <v>167</v>
      </c>
      <c r="O925" s="6" t="s">
        <v>1493</v>
      </c>
      <c r="P925">
        <v>0</v>
      </c>
      <c r="Q925" s="24">
        <v>67.5</v>
      </c>
      <c r="R925" s="25">
        <v>93</v>
      </c>
      <c r="S925" s="26">
        <v>61.3</v>
      </c>
      <c r="Y925">
        <v>10</v>
      </c>
      <c r="Z925">
        <v>30</v>
      </c>
      <c r="AA925" s="3">
        <v>25</v>
      </c>
      <c r="AB925" s="3">
        <v>6</v>
      </c>
      <c r="AC925">
        <v>155</v>
      </c>
      <c r="AD925" s="9">
        <f t="shared" si="257"/>
        <v>4483.666666666667</v>
      </c>
      <c r="AE925">
        <f t="shared" si="264"/>
        <v>2555730</v>
      </c>
      <c r="AF925" s="2">
        <f t="shared" si="268"/>
        <v>47.5</v>
      </c>
      <c r="AG925" t="str">
        <f t="shared" si="258"/>
        <v>74小时</v>
      </c>
      <c r="AH925">
        <f t="shared" si="259"/>
        <v>143</v>
      </c>
      <c r="AI925">
        <f t="shared" si="260"/>
        <v>24</v>
      </c>
      <c r="AJ925">
        <f t="shared" si="265"/>
        <v>79.8</v>
      </c>
      <c r="AK925">
        <f t="shared" si="261"/>
        <v>40</v>
      </c>
      <c r="AL925">
        <f t="shared" si="266"/>
        <v>47.5</v>
      </c>
      <c r="AM925" s="2">
        <f t="shared" si="262"/>
        <v>24</v>
      </c>
      <c r="AX925">
        <v>922</v>
      </c>
      <c r="AZ925" s="3"/>
      <c r="BB925" s="2">
        <f t="shared" si="263"/>
        <v>220</v>
      </c>
      <c r="BC925">
        <f t="shared" si="267"/>
        <v>28.809941520467838</v>
      </c>
      <c r="BD925" s="2">
        <f t="shared" si="269"/>
        <v>79.8</v>
      </c>
      <c r="BE925">
        <f t="shared" si="270"/>
        <v>47.5</v>
      </c>
      <c r="BF925">
        <f t="shared" si="271"/>
        <v>273600</v>
      </c>
    </row>
    <row r="926" spans="1:58" ht="14.25" x14ac:dyDescent="0.2">
      <c r="A926" s="12">
        <v>20343</v>
      </c>
      <c r="B926" s="13">
        <f t="shared" si="272"/>
        <v>18</v>
      </c>
      <c r="C926" s="15">
        <f t="shared" si="273"/>
        <v>13</v>
      </c>
      <c r="D926" s="14">
        <f t="shared" si="274"/>
        <v>12</v>
      </c>
      <c r="E926" t="s">
        <v>2777</v>
      </c>
      <c r="F926" t="s">
        <v>2836</v>
      </c>
      <c r="G926" t="s">
        <v>2779</v>
      </c>
      <c r="H926" t="s">
        <v>2779</v>
      </c>
      <c r="I926" t="s">
        <v>2780</v>
      </c>
      <c r="J926" s="4" t="s">
        <v>2841</v>
      </c>
      <c r="K926" t="s">
        <v>179</v>
      </c>
      <c r="L926" t="s">
        <v>163</v>
      </c>
      <c r="M926" t="s">
        <v>163</v>
      </c>
      <c r="N926" t="s">
        <v>163</v>
      </c>
      <c r="O926" s="6" t="s">
        <v>1495</v>
      </c>
      <c r="P926">
        <v>0</v>
      </c>
      <c r="Q926" s="24">
        <v>67.5</v>
      </c>
      <c r="R926" s="25">
        <v>93</v>
      </c>
      <c r="S926" s="26">
        <v>61.3</v>
      </c>
      <c r="Y926">
        <v>10</v>
      </c>
      <c r="Z926">
        <v>30</v>
      </c>
      <c r="AA926" s="3">
        <v>25</v>
      </c>
      <c r="AB926" s="3">
        <v>6</v>
      </c>
      <c r="AC926">
        <v>155</v>
      </c>
      <c r="AD926" s="9">
        <f t="shared" si="257"/>
        <v>4483.666666666667</v>
      </c>
      <c r="AE926">
        <f t="shared" si="264"/>
        <v>2555730</v>
      </c>
      <c r="AF926" s="2">
        <f t="shared" si="268"/>
        <v>47.5</v>
      </c>
      <c r="AG926" t="str">
        <f t="shared" si="258"/>
        <v>74小时</v>
      </c>
      <c r="AH926">
        <f t="shared" si="259"/>
        <v>143</v>
      </c>
      <c r="AI926">
        <f t="shared" si="260"/>
        <v>24</v>
      </c>
      <c r="AJ926">
        <f t="shared" si="265"/>
        <v>79.8</v>
      </c>
      <c r="AK926">
        <f t="shared" si="261"/>
        <v>40</v>
      </c>
      <c r="AL926">
        <f t="shared" si="266"/>
        <v>47.5</v>
      </c>
      <c r="AM926" s="2">
        <f t="shared" si="262"/>
        <v>24</v>
      </c>
      <c r="AX926">
        <v>923</v>
      </c>
      <c r="AZ926" s="3"/>
      <c r="BB926" s="2">
        <f t="shared" si="263"/>
        <v>220</v>
      </c>
      <c r="BC926">
        <f t="shared" si="267"/>
        <v>28.809941520467838</v>
      </c>
      <c r="BD926" s="2">
        <f t="shared" si="269"/>
        <v>79.8</v>
      </c>
      <c r="BE926">
        <f t="shared" si="270"/>
        <v>47.5</v>
      </c>
      <c r="BF926">
        <f t="shared" si="271"/>
        <v>273600</v>
      </c>
    </row>
    <row r="927" spans="1:58" ht="14.25" x14ac:dyDescent="0.2">
      <c r="A927" s="12">
        <v>20344</v>
      </c>
      <c r="B927" s="13">
        <f t="shared" si="272"/>
        <v>18</v>
      </c>
      <c r="C927" s="15">
        <f t="shared" si="273"/>
        <v>13</v>
      </c>
      <c r="D927" s="14">
        <f t="shared" si="274"/>
        <v>12</v>
      </c>
      <c r="E927" t="s">
        <v>2777</v>
      </c>
      <c r="F927" t="s">
        <v>2837</v>
      </c>
      <c r="G927" t="s">
        <v>2779</v>
      </c>
      <c r="H927" t="s">
        <v>2779</v>
      </c>
      <c r="I927" t="s">
        <v>2780</v>
      </c>
      <c r="J927" s="4" t="s">
        <v>2841</v>
      </c>
      <c r="K927" t="s">
        <v>177</v>
      </c>
      <c r="L927" t="s">
        <v>163</v>
      </c>
      <c r="M927" t="s">
        <v>163</v>
      </c>
      <c r="N927" t="s">
        <v>163</v>
      </c>
      <c r="O927" s="6" t="s">
        <v>1495</v>
      </c>
      <c r="P927">
        <v>0</v>
      </c>
      <c r="Q927" s="24">
        <v>67.5</v>
      </c>
      <c r="R927" s="25">
        <v>93</v>
      </c>
      <c r="S927" s="26">
        <v>61.3</v>
      </c>
      <c r="Y927">
        <v>10</v>
      </c>
      <c r="Z927">
        <v>30</v>
      </c>
      <c r="AA927" s="3">
        <v>25</v>
      </c>
      <c r="AB927" s="3">
        <v>6</v>
      </c>
      <c r="AC927">
        <v>155</v>
      </c>
      <c r="AD927" s="9">
        <f t="shared" si="257"/>
        <v>4483.666666666667</v>
      </c>
      <c r="AE927">
        <f t="shared" si="264"/>
        <v>2555730</v>
      </c>
      <c r="AF927" s="2">
        <f t="shared" si="268"/>
        <v>47.5</v>
      </c>
      <c r="AG927" t="str">
        <f t="shared" si="258"/>
        <v>74小时</v>
      </c>
      <c r="AH927">
        <f t="shared" si="259"/>
        <v>143</v>
      </c>
      <c r="AI927">
        <f t="shared" si="260"/>
        <v>24</v>
      </c>
      <c r="AJ927">
        <f t="shared" si="265"/>
        <v>79.8</v>
      </c>
      <c r="AK927">
        <f t="shared" si="261"/>
        <v>40</v>
      </c>
      <c r="AL927">
        <f t="shared" si="266"/>
        <v>47.5</v>
      </c>
      <c r="AM927" s="2">
        <f t="shared" si="262"/>
        <v>24</v>
      </c>
      <c r="AX927">
        <v>924</v>
      </c>
      <c r="AZ927" s="3"/>
      <c r="BB927" s="2">
        <f t="shared" si="263"/>
        <v>220</v>
      </c>
      <c r="BC927">
        <f t="shared" si="267"/>
        <v>28.809941520467838</v>
      </c>
      <c r="BD927" s="2">
        <f t="shared" si="269"/>
        <v>79.8</v>
      </c>
      <c r="BE927">
        <f t="shared" si="270"/>
        <v>47.5</v>
      </c>
      <c r="BF927">
        <f t="shared" si="271"/>
        <v>273600</v>
      </c>
    </row>
    <row r="928" spans="1:58" ht="14.25" x14ac:dyDescent="0.2">
      <c r="A928" s="12">
        <v>20345</v>
      </c>
      <c r="B928" s="13">
        <f t="shared" si="272"/>
        <v>18</v>
      </c>
      <c r="C928" s="15">
        <f t="shared" si="273"/>
        <v>13</v>
      </c>
      <c r="D928" s="14">
        <f t="shared" si="274"/>
        <v>12</v>
      </c>
      <c r="E928" t="s">
        <v>2785</v>
      </c>
      <c r="F928" t="s">
        <v>2786</v>
      </c>
      <c r="G928" t="s">
        <v>2833</v>
      </c>
      <c r="H928" t="s">
        <v>2829</v>
      </c>
      <c r="I928" t="s">
        <v>2697</v>
      </c>
      <c r="J928" s="4" t="s">
        <v>2879</v>
      </c>
      <c r="K928" t="s">
        <v>174</v>
      </c>
      <c r="L928" t="s">
        <v>163</v>
      </c>
      <c r="M928" t="s">
        <v>163</v>
      </c>
      <c r="N928" t="s">
        <v>163</v>
      </c>
      <c r="O928" s="6" t="s">
        <v>1497</v>
      </c>
      <c r="P928">
        <v>0</v>
      </c>
      <c r="Q928" s="24">
        <v>67.5</v>
      </c>
      <c r="R928" s="25">
        <v>93</v>
      </c>
      <c r="S928" s="26">
        <v>61.3</v>
      </c>
      <c r="Y928">
        <v>10</v>
      </c>
      <c r="Z928">
        <v>30</v>
      </c>
      <c r="AA928" s="3">
        <v>25</v>
      </c>
      <c r="AB928" s="3">
        <v>6</v>
      </c>
      <c r="AC928">
        <v>155</v>
      </c>
      <c r="AD928" s="9">
        <f t="shared" si="257"/>
        <v>4483.666666666667</v>
      </c>
      <c r="AE928">
        <f t="shared" si="264"/>
        <v>2555730</v>
      </c>
      <c r="AF928" s="2">
        <f t="shared" si="268"/>
        <v>47.5</v>
      </c>
      <c r="AG928" t="str">
        <f t="shared" si="258"/>
        <v>74小时</v>
      </c>
      <c r="AH928">
        <f t="shared" si="259"/>
        <v>143</v>
      </c>
      <c r="AI928">
        <f t="shared" si="260"/>
        <v>24</v>
      </c>
      <c r="AJ928">
        <f t="shared" si="265"/>
        <v>79.8</v>
      </c>
      <c r="AK928">
        <f t="shared" si="261"/>
        <v>40</v>
      </c>
      <c r="AL928">
        <f t="shared" si="266"/>
        <v>47.5</v>
      </c>
      <c r="AM928" s="2">
        <f t="shared" si="262"/>
        <v>24</v>
      </c>
      <c r="AX928">
        <v>925</v>
      </c>
      <c r="AZ928" s="3"/>
      <c r="BB928" s="2">
        <f t="shared" si="263"/>
        <v>220</v>
      </c>
      <c r="BC928">
        <f t="shared" si="267"/>
        <v>28.809941520467838</v>
      </c>
      <c r="BD928" s="2">
        <f t="shared" si="269"/>
        <v>79.8</v>
      </c>
      <c r="BE928">
        <f t="shared" si="270"/>
        <v>47.5</v>
      </c>
      <c r="BF928">
        <f t="shared" si="271"/>
        <v>273600</v>
      </c>
    </row>
    <row r="929" spans="1:58" ht="14.25" x14ac:dyDescent="0.2">
      <c r="A929" s="12">
        <v>20346</v>
      </c>
      <c r="B929" s="13">
        <f t="shared" si="272"/>
        <v>18</v>
      </c>
      <c r="C929" s="15">
        <f t="shared" si="273"/>
        <v>13</v>
      </c>
      <c r="D929" s="14">
        <f t="shared" si="274"/>
        <v>12</v>
      </c>
      <c r="E929" t="s">
        <v>2777</v>
      </c>
      <c r="F929" t="s">
        <v>2834</v>
      </c>
      <c r="G929" t="s">
        <v>2779</v>
      </c>
      <c r="H929" t="s">
        <v>2779</v>
      </c>
      <c r="I929" t="s">
        <v>2780</v>
      </c>
      <c r="J929" s="4" t="s">
        <v>2841</v>
      </c>
      <c r="K929" t="s">
        <v>182</v>
      </c>
      <c r="L929" t="s">
        <v>163</v>
      </c>
      <c r="M929" t="s">
        <v>163</v>
      </c>
      <c r="N929" t="s">
        <v>163</v>
      </c>
      <c r="O929" s="6" t="s">
        <v>1499</v>
      </c>
      <c r="P929">
        <v>0</v>
      </c>
      <c r="Q929" s="24">
        <v>67.8</v>
      </c>
      <c r="R929" s="25">
        <v>93.5</v>
      </c>
      <c r="S929" s="26">
        <v>61.5</v>
      </c>
      <c r="Y929">
        <v>10</v>
      </c>
      <c r="Z929">
        <v>30</v>
      </c>
      <c r="AA929" s="3">
        <v>25</v>
      </c>
      <c r="AB929" s="3">
        <v>6</v>
      </c>
      <c r="AC929">
        <v>155</v>
      </c>
      <c r="AD929" s="9">
        <f t="shared" si="257"/>
        <v>4464.916666666667</v>
      </c>
      <c r="AE929">
        <f t="shared" si="264"/>
        <v>2555730</v>
      </c>
      <c r="AF929" s="2">
        <f t="shared" si="268"/>
        <v>47.7</v>
      </c>
      <c r="AG929" t="str">
        <f t="shared" si="258"/>
        <v>74小时</v>
      </c>
      <c r="AH929">
        <f t="shared" si="259"/>
        <v>144</v>
      </c>
      <c r="AI929">
        <f t="shared" si="260"/>
        <v>24</v>
      </c>
      <c r="AJ929">
        <f t="shared" si="265"/>
        <v>80.099999999999994</v>
      </c>
      <c r="AK929">
        <f t="shared" si="261"/>
        <v>41</v>
      </c>
      <c r="AL929">
        <f t="shared" si="266"/>
        <v>47.7</v>
      </c>
      <c r="AM929" s="2">
        <f t="shared" si="262"/>
        <v>24</v>
      </c>
      <c r="AX929">
        <v>926</v>
      </c>
      <c r="AZ929" s="3"/>
      <c r="BB929" s="2">
        <f t="shared" si="263"/>
        <v>220</v>
      </c>
      <c r="BC929">
        <f t="shared" si="267"/>
        <v>28.689145119962731</v>
      </c>
      <c r="BD929" s="2">
        <f t="shared" si="269"/>
        <v>80.099999999999994</v>
      </c>
      <c r="BE929">
        <f t="shared" si="270"/>
        <v>47.7</v>
      </c>
      <c r="BF929">
        <f t="shared" si="271"/>
        <v>274752</v>
      </c>
    </row>
    <row r="930" spans="1:58" ht="14.25" x14ac:dyDescent="0.2">
      <c r="A930" s="12">
        <v>20347</v>
      </c>
      <c r="B930" s="13">
        <f t="shared" si="272"/>
        <v>18</v>
      </c>
      <c r="C930" s="15">
        <f t="shared" si="273"/>
        <v>13</v>
      </c>
      <c r="D930" s="14">
        <f t="shared" si="274"/>
        <v>12</v>
      </c>
      <c r="E930" t="s">
        <v>2777</v>
      </c>
      <c r="F930" t="s">
        <v>2835</v>
      </c>
      <c r="G930" t="s">
        <v>2779</v>
      </c>
      <c r="H930" t="s">
        <v>2779</v>
      </c>
      <c r="I930" t="s">
        <v>2780</v>
      </c>
      <c r="J930" s="4" t="s">
        <v>2841</v>
      </c>
      <c r="K930" t="s">
        <v>162</v>
      </c>
      <c r="L930" t="s">
        <v>163</v>
      </c>
      <c r="M930" t="s">
        <v>163</v>
      </c>
      <c r="N930" t="s">
        <v>163</v>
      </c>
      <c r="O930" s="6" t="s">
        <v>1499</v>
      </c>
      <c r="P930">
        <v>0</v>
      </c>
      <c r="Q930" s="24">
        <v>67.8</v>
      </c>
      <c r="R930" s="25">
        <v>93.5</v>
      </c>
      <c r="S930" s="26">
        <v>61.5</v>
      </c>
      <c r="Y930">
        <v>10</v>
      </c>
      <c r="Z930">
        <v>30</v>
      </c>
      <c r="AA930" s="3">
        <v>25</v>
      </c>
      <c r="AB930" s="3">
        <v>6</v>
      </c>
      <c r="AC930">
        <v>155</v>
      </c>
      <c r="AD930" s="9">
        <f t="shared" si="257"/>
        <v>4464.916666666667</v>
      </c>
      <c r="AE930">
        <f t="shared" si="264"/>
        <v>2555730</v>
      </c>
      <c r="AF930" s="2">
        <f t="shared" si="268"/>
        <v>47.7</v>
      </c>
      <c r="AG930" t="str">
        <f t="shared" si="258"/>
        <v>74小时</v>
      </c>
      <c r="AH930">
        <f t="shared" si="259"/>
        <v>144</v>
      </c>
      <c r="AI930">
        <f t="shared" si="260"/>
        <v>24</v>
      </c>
      <c r="AJ930">
        <f t="shared" si="265"/>
        <v>80.099999999999994</v>
      </c>
      <c r="AK930">
        <f t="shared" si="261"/>
        <v>41</v>
      </c>
      <c r="AL930">
        <f t="shared" si="266"/>
        <v>47.7</v>
      </c>
      <c r="AM930" s="2">
        <f t="shared" si="262"/>
        <v>24</v>
      </c>
      <c r="AX930">
        <v>927</v>
      </c>
      <c r="AZ930" s="3"/>
      <c r="BB930" s="2">
        <f t="shared" si="263"/>
        <v>220</v>
      </c>
      <c r="BC930">
        <f t="shared" si="267"/>
        <v>28.689145119962731</v>
      </c>
      <c r="BD930" s="2">
        <f t="shared" si="269"/>
        <v>80.099999999999994</v>
      </c>
      <c r="BE930">
        <f t="shared" si="270"/>
        <v>47.7</v>
      </c>
      <c r="BF930">
        <f t="shared" si="271"/>
        <v>274752</v>
      </c>
    </row>
    <row r="931" spans="1:58" ht="14.25" x14ac:dyDescent="0.2">
      <c r="A931" s="12">
        <v>20348</v>
      </c>
      <c r="B931" s="13">
        <f t="shared" si="272"/>
        <v>18</v>
      </c>
      <c r="C931" s="15">
        <f t="shared" si="273"/>
        <v>13</v>
      </c>
      <c r="D931" s="14">
        <f t="shared" si="274"/>
        <v>12</v>
      </c>
      <c r="E931" t="s">
        <v>2777</v>
      </c>
      <c r="F931" t="s">
        <v>2836</v>
      </c>
      <c r="G931" t="s">
        <v>2779</v>
      </c>
      <c r="H931" t="s">
        <v>2779</v>
      </c>
      <c r="I931" t="s">
        <v>2780</v>
      </c>
      <c r="J931" s="4" t="s">
        <v>2841</v>
      </c>
      <c r="K931" t="s">
        <v>177</v>
      </c>
      <c r="L931" t="s">
        <v>163</v>
      </c>
      <c r="M931" t="s">
        <v>163</v>
      </c>
      <c r="N931" t="s">
        <v>163</v>
      </c>
      <c r="O931" s="6" t="s">
        <v>1501</v>
      </c>
      <c r="P931">
        <v>0</v>
      </c>
      <c r="Q931" s="24">
        <v>67.8</v>
      </c>
      <c r="R931" s="25">
        <v>93.5</v>
      </c>
      <c r="S931" s="26">
        <v>61.5</v>
      </c>
      <c r="Y931">
        <v>10</v>
      </c>
      <c r="Z931">
        <v>30</v>
      </c>
      <c r="AA931" s="3">
        <v>25</v>
      </c>
      <c r="AB931" s="3">
        <v>6</v>
      </c>
      <c r="AC931">
        <v>155</v>
      </c>
      <c r="AD931" s="9">
        <f t="shared" si="257"/>
        <v>4464.916666666667</v>
      </c>
      <c r="AE931">
        <f t="shared" si="264"/>
        <v>2555730</v>
      </c>
      <c r="AF931" s="2">
        <f t="shared" si="268"/>
        <v>47.7</v>
      </c>
      <c r="AG931" t="str">
        <f t="shared" si="258"/>
        <v>74小时</v>
      </c>
      <c r="AH931">
        <f t="shared" si="259"/>
        <v>144</v>
      </c>
      <c r="AI931">
        <f t="shared" si="260"/>
        <v>24</v>
      </c>
      <c r="AJ931">
        <f t="shared" si="265"/>
        <v>80.099999999999994</v>
      </c>
      <c r="AK931">
        <f t="shared" si="261"/>
        <v>41</v>
      </c>
      <c r="AL931">
        <f t="shared" si="266"/>
        <v>47.7</v>
      </c>
      <c r="AM931" s="2">
        <f t="shared" si="262"/>
        <v>24</v>
      </c>
      <c r="AX931">
        <v>928</v>
      </c>
      <c r="AZ931" s="3"/>
      <c r="BB931" s="2">
        <f t="shared" si="263"/>
        <v>220</v>
      </c>
      <c r="BC931">
        <f t="shared" si="267"/>
        <v>28.689145119962731</v>
      </c>
      <c r="BD931" s="2">
        <f t="shared" si="269"/>
        <v>80.099999999999994</v>
      </c>
      <c r="BE931">
        <f t="shared" si="270"/>
        <v>47.7</v>
      </c>
      <c r="BF931">
        <f t="shared" si="271"/>
        <v>274752</v>
      </c>
    </row>
    <row r="932" spans="1:58" ht="14.25" x14ac:dyDescent="0.2">
      <c r="A932" s="12">
        <v>20349</v>
      </c>
      <c r="B932" s="13">
        <f t="shared" si="272"/>
        <v>18</v>
      </c>
      <c r="C932" s="15">
        <f t="shared" si="273"/>
        <v>13</v>
      </c>
      <c r="D932" s="14">
        <f t="shared" si="274"/>
        <v>12</v>
      </c>
      <c r="E932" t="s">
        <v>2777</v>
      </c>
      <c r="F932" t="s">
        <v>2837</v>
      </c>
      <c r="G932" t="s">
        <v>2779</v>
      </c>
      <c r="H932" t="s">
        <v>2779</v>
      </c>
      <c r="I932" t="s">
        <v>2780</v>
      </c>
      <c r="J932" s="4" t="s">
        <v>2841</v>
      </c>
      <c r="K932" t="s">
        <v>174</v>
      </c>
      <c r="L932" t="s">
        <v>163</v>
      </c>
      <c r="M932" t="s">
        <v>163</v>
      </c>
      <c r="N932" t="s">
        <v>163</v>
      </c>
      <c r="O932" s="6" t="s">
        <v>1503</v>
      </c>
      <c r="P932">
        <v>0</v>
      </c>
      <c r="Q932" s="24">
        <v>67.8</v>
      </c>
      <c r="R932" s="25">
        <v>93.5</v>
      </c>
      <c r="S932" s="26">
        <v>61.5</v>
      </c>
      <c r="Y932">
        <v>10</v>
      </c>
      <c r="Z932">
        <v>30</v>
      </c>
      <c r="AA932" s="3">
        <v>25</v>
      </c>
      <c r="AB932" s="3">
        <v>6</v>
      </c>
      <c r="AC932">
        <v>155</v>
      </c>
      <c r="AD932" s="9">
        <f t="shared" si="257"/>
        <v>4464.916666666667</v>
      </c>
      <c r="AE932">
        <f t="shared" si="264"/>
        <v>2555730</v>
      </c>
      <c r="AF932" s="2">
        <f t="shared" si="268"/>
        <v>47.7</v>
      </c>
      <c r="AG932" t="str">
        <f t="shared" si="258"/>
        <v>74小时</v>
      </c>
      <c r="AH932">
        <f t="shared" si="259"/>
        <v>144</v>
      </c>
      <c r="AI932">
        <f t="shared" si="260"/>
        <v>24</v>
      </c>
      <c r="AJ932">
        <f t="shared" si="265"/>
        <v>80.099999999999994</v>
      </c>
      <c r="AK932">
        <f t="shared" si="261"/>
        <v>41</v>
      </c>
      <c r="AL932">
        <f t="shared" si="266"/>
        <v>47.7</v>
      </c>
      <c r="AM932" s="2">
        <f t="shared" si="262"/>
        <v>24</v>
      </c>
      <c r="AX932">
        <v>929</v>
      </c>
      <c r="AZ932" s="3"/>
      <c r="BB932" s="2">
        <f t="shared" si="263"/>
        <v>220</v>
      </c>
      <c r="BC932">
        <f t="shared" si="267"/>
        <v>28.689145119962731</v>
      </c>
      <c r="BD932" s="2">
        <f t="shared" si="269"/>
        <v>80.099999999999994</v>
      </c>
      <c r="BE932">
        <f t="shared" si="270"/>
        <v>47.7</v>
      </c>
      <c r="BF932">
        <f t="shared" si="271"/>
        <v>274752</v>
      </c>
    </row>
    <row r="933" spans="1:58" ht="14.25" x14ac:dyDescent="0.2">
      <c r="A933" s="12">
        <v>20350</v>
      </c>
      <c r="B933" s="13">
        <f t="shared" si="272"/>
        <v>18</v>
      </c>
      <c r="C933" s="15">
        <f t="shared" si="273"/>
        <v>13</v>
      </c>
      <c r="D933" s="14">
        <f t="shared" si="274"/>
        <v>12</v>
      </c>
      <c r="E933" t="s">
        <v>2785</v>
      </c>
      <c r="F933" t="s">
        <v>2786</v>
      </c>
      <c r="G933" t="s">
        <v>2828</v>
      </c>
      <c r="H933" t="s">
        <v>2829</v>
      </c>
      <c r="I933" t="s">
        <v>2697</v>
      </c>
      <c r="J933" s="4" t="s">
        <v>2879</v>
      </c>
      <c r="K933" t="s">
        <v>166</v>
      </c>
      <c r="L933" t="s">
        <v>163</v>
      </c>
      <c r="M933" t="s">
        <v>163</v>
      </c>
      <c r="N933" t="s">
        <v>163</v>
      </c>
      <c r="O933" s="6" t="s">
        <v>1503</v>
      </c>
      <c r="P933">
        <v>0</v>
      </c>
      <c r="Q933" s="24">
        <v>67.8</v>
      </c>
      <c r="R933" s="25">
        <v>93.5</v>
      </c>
      <c r="S933" s="26">
        <v>61.5</v>
      </c>
      <c r="Y933">
        <v>10</v>
      </c>
      <c r="Z933">
        <v>30</v>
      </c>
      <c r="AA933" s="3">
        <v>25</v>
      </c>
      <c r="AB933" s="3">
        <v>6</v>
      </c>
      <c r="AC933">
        <v>155</v>
      </c>
      <c r="AD933" s="9">
        <f t="shared" si="257"/>
        <v>4464.916666666667</v>
      </c>
      <c r="AE933">
        <f t="shared" si="264"/>
        <v>2555730</v>
      </c>
      <c r="AF933" s="2">
        <f t="shared" si="268"/>
        <v>47.7</v>
      </c>
      <c r="AG933" t="str">
        <f t="shared" si="258"/>
        <v>74小时</v>
      </c>
      <c r="AH933">
        <f t="shared" si="259"/>
        <v>144</v>
      </c>
      <c r="AI933">
        <f t="shared" si="260"/>
        <v>24</v>
      </c>
      <c r="AJ933">
        <f t="shared" si="265"/>
        <v>80.099999999999994</v>
      </c>
      <c r="AK933">
        <f t="shared" si="261"/>
        <v>41</v>
      </c>
      <c r="AL933">
        <f t="shared" si="266"/>
        <v>47.7</v>
      </c>
      <c r="AM933" s="2">
        <f t="shared" si="262"/>
        <v>24</v>
      </c>
      <c r="AX933">
        <v>930</v>
      </c>
      <c r="AZ933" s="3"/>
      <c r="BB933" s="2">
        <f t="shared" si="263"/>
        <v>220</v>
      </c>
      <c r="BC933">
        <f t="shared" si="267"/>
        <v>28.689145119962731</v>
      </c>
      <c r="BD933" s="2">
        <f t="shared" si="269"/>
        <v>80.099999999999994</v>
      </c>
      <c r="BE933">
        <f t="shared" si="270"/>
        <v>47.7</v>
      </c>
      <c r="BF933">
        <f t="shared" si="271"/>
        <v>274752</v>
      </c>
    </row>
    <row r="934" spans="1:58" ht="14.25" x14ac:dyDescent="0.2">
      <c r="A934" s="12">
        <v>20401</v>
      </c>
      <c r="B934" s="13">
        <f t="shared" si="272"/>
        <v>18</v>
      </c>
      <c r="C934" s="15">
        <f t="shared" si="273"/>
        <v>13</v>
      </c>
      <c r="D934" s="14">
        <f t="shared" si="274"/>
        <v>12</v>
      </c>
      <c r="E934" t="s">
        <v>2777</v>
      </c>
      <c r="F934" t="s">
        <v>2834</v>
      </c>
      <c r="G934" t="s">
        <v>2779</v>
      </c>
      <c r="H934" t="s">
        <v>2779</v>
      </c>
      <c r="I934" t="s">
        <v>2780</v>
      </c>
      <c r="J934" s="4" t="s">
        <v>2842</v>
      </c>
      <c r="K934" t="s">
        <v>168</v>
      </c>
      <c r="L934" t="s">
        <v>163</v>
      </c>
      <c r="M934" t="s">
        <v>163</v>
      </c>
      <c r="N934" t="s">
        <v>163</v>
      </c>
      <c r="O934" s="6" t="s">
        <v>1505</v>
      </c>
      <c r="P934">
        <v>0</v>
      </c>
      <c r="Q934" s="24">
        <v>68.2</v>
      </c>
      <c r="R934" s="25">
        <v>94</v>
      </c>
      <c r="S934" s="26">
        <v>61.8</v>
      </c>
      <c r="Y934">
        <v>10</v>
      </c>
      <c r="Z934">
        <v>30</v>
      </c>
      <c r="AA934" s="3">
        <v>25</v>
      </c>
      <c r="AB934" s="3">
        <v>6</v>
      </c>
      <c r="AC934">
        <v>155</v>
      </c>
      <c r="AD934" s="9">
        <f t="shared" si="257"/>
        <v>4437</v>
      </c>
      <c r="AE934">
        <f t="shared" si="264"/>
        <v>2555730</v>
      </c>
      <c r="AF934" s="2">
        <f t="shared" si="268"/>
        <v>48</v>
      </c>
      <c r="AG934" t="str">
        <f t="shared" si="258"/>
        <v>73小时</v>
      </c>
      <c r="AH934">
        <f t="shared" si="259"/>
        <v>144</v>
      </c>
      <c r="AI934">
        <f t="shared" si="260"/>
        <v>24</v>
      </c>
      <c r="AJ934">
        <f t="shared" si="265"/>
        <v>80.5</v>
      </c>
      <c r="AK934">
        <f t="shared" si="261"/>
        <v>41</v>
      </c>
      <c r="AL934">
        <f t="shared" si="266"/>
        <v>48</v>
      </c>
      <c r="AM934" s="2">
        <f t="shared" si="262"/>
        <v>24</v>
      </c>
      <c r="AX934">
        <v>931</v>
      </c>
      <c r="AZ934" s="3"/>
      <c r="BB934" s="2">
        <f t="shared" si="263"/>
        <v>220</v>
      </c>
      <c r="BC934">
        <f t="shared" si="267"/>
        <v>28.509837962962962</v>
      </c>
      <c r="BD934" s="2">
        <f t="shared" si="269"/>
        <v>80.5</v>
      </c>
      <c r="BE934">
        <f t="shared" si="270"/>
        <v>48</v>
      </c>
      <c r="BF934">
        <f t="shared" si="271"/>
        <v>276480</v>
      </c>
    </row>
    <row r="935" spans="1:58" ht="14.25" x14ac:dyDescent="0.2">
      <c r="A935" s="12">
        <v>20402</v>
      </c>
      <c r="B935" s="13">
        <f t="shared" si="272"/>
        <v>18</v>
      </c>
      <c r="C935" s="15">
        <f t="shared" si="273"/>
        <v>13</v>
      </c>
      <c r="D935" s="14">
        <f t="shared" si="274"/>
        <v>12</v>
      </c>
      <c r="E935" t="s">
        <v>2777</v>
      </c>
      <c r="F935" t="s">
        <v>2835</v>
      </c>
      <c r="G935" t="s">
        <v>2779</v>
      </c>
      <c r="H935" t="s">
        <v>2779</v>
      </c>
      <c r="I935" t="s">
        <v>2780</v>
      </c>
      <c r="J935" s="4" t="s">
        <v>2842</v>
      </c>
      <c r="K935" t="s">
        <v>175</v>
      </c>
      <c r="L935" t="s">
        <v>164</v>
      </c>
      <c r="M935" t="s">
        <v>163</v>
      </c>
      <c r="N935" t="s">
        <v>167</v>
      </c>
      <c r="O935" s="6" t="s">
        <v>1507</v>
      </c>
      <c r="P935">
        <v>0</v>
      </c>
      <c r="Q935" s="24">
        <v>68.2</v>
      </c>
      <c r="R935" s="25">
        <v>94</v>
      </c>
      <c r="S935" s="26">
        <v>61.8</v>
      </c>
      <c r="Y935">
        <v>10</v>
      </c>
      <c r="Z935">
        <v>30</v>
      </c>
      <c r="AA935" s="3">
        <v>25</v>
      </c>
      <c r="AB935" s="3">
        <v>6</v>
      </c>
      <c r="AC935">
        <v>155</v>
      </c>
      <c r="AD935" s="9">
        <f t="shared" si="257"/>
        <v>4437</v>
      </c>
      <c r="AE935">
        <f t="shared" si="264"/>
        <v>2555730</v>
      </c>
      <c r="AF935" s="2">
        <f t="shared" si="268"/>
        <v>48</v>
      </c>
      <c r="AG935" t="str">
        <f t="shared" si="258"/>
        <v>73小时</v>
      </c>
      <c r="AH935">
        <f t="shared" si="259"/>
        <v>144</v>
      </c>
      <c r="AI935">
        <f t="shared" si="260"/>
        <v>24</v>
      </c>
      <c r="AJ935">
        <f t="shared" si="265"/>
        <v>80.5</v>
      </c>
      <c r="AK935">
        <f t="shared" si="261"/>
        <v>41</v>
      </c>
      <c r="AL935">
        <f t="shared" si="266"/>
        <v>48</v>
      </c>
      <c r="AM935" s="2">
        <f t="shared" si="262"/>
        <v>24</v>
      </c>
      <c r="AX935">
        <v>932</v>
      </c>
      <c r="AZ935" s="3"/>
      <c r="BB935" s="2">
        <f t="shared" si="263"/>
        <v>220</v>
      </c>
      <c r="BC935">
        <f t="shared" si="267"/>
        <v>28.509837962962962</v>
      </c>
      <c r="BD935" s="2">
        <f t="shared" si="269"/>
        <v>80.5</v>
      </c>
      <c r="BE935">
        <f t="shared" si="270"/>
        <v>48</v>
      </c>
      <c r="BF935">
        <f t="shared" si="271"/>
        <v>276480</v>
      </c>
    </row>
    <row r="936" spans="1:58" ht="14.25" x14ac:dyDescent="0.2">
      <c r="A936" s="12">
        <v>20403</v>
      </c>
      <c r="B936" s="13">
        <f t="shared" si="272"/>
        <v>18</v>
      </c>
      <c r="C936" s="15">
        <f t="shared" si="273"/>
        <v>13</v>
      </c>
      <c r="D936" s="14">
        <f t="shared" si="274"/>
        <v>12</v>
      </c>
      <c r="E936" t="s">
        <v>2777</v>
      </c>
      <c r="F936" t="s">
        <v>2836</v>
      </c>
      <c r="G936" t="s">
        <v>2779</v>
      </c>
      <c r="H936" t="s">
        <v>2779</v>
      </c>
      <c r="I936" t="s">
        <v>2780</v>
      </c>
      <c r="J936" s="4" t="s">
        <v>2842</v>
      </c>
      <c r="K936" t="s">
        <v>179</v>
      </c>
      <c r="L936" t="s">
        <v>163</v>
      </c>
      <c r="M936" t="s">
        <v>163</v>
      </c>
      <c r="N936" t="s">
        <v>163</v>
      </c>
      <c r="O936" s="6" t="s">
        <v>1509</v>
      </c>
      <c r="P936">
        <v>0</v>
      </c>
      <c r="Q936" s="24">
        <v>68.2</v>
      </c>
      <c r="R936" s="25">
        <v>94</v>
      </c>
      <c r="S936" s="26">
        <v>61.8</v>
      </c>
      <c r="Y936">
        <v>10</v>
      </c>
      <c r="Z936">
        <v>30</v>
      </c>
      <c r="AA936" s="3">
        <v>25</v>
      </c>
      <c r="AB936" s="3">
        <v>6</v>
      </c>
      <c r="AC936">
        <v>155</v>
      </c>
      <c r="AD936" s="9">
        <f t="shared" si="257"/>
        <v>4437</v>
      </c>
      <c r="AE936">
        <f t="shared" si="264"/>
        <v>2555730</v>
      </c>
      <c r="AF936" s="2">
        <f t="shared" si="268"/>
        <v>48</v>
      </c>
      <c r="AG936" t="str">
        <f t="shared" si="258"/>
        <v>73小时</v>
      </c>
      <c r="AH936">
        <f t="shared" si="259"/>
        <v>144</v>
      </c>
      <c r="AI936">
        <f t="shared" si="260"/>
        <v>24</v>
      </c>
      <c r="AJ936">
        <f t="shared" si="265"/>
        <v>80.5</v>
      </c>
      <c r="AK936">
        <f t="shared" si="261"/>
        <v>41</v>
      </c>
      <c r="AL936">
        <f t="shared" si="266"/>
        <v>48</v>
      </c>
      <c r="AM936" s="2">
        <f t="shared" si="262"/>
        <v>24</v>
      </c>
      <c r="AX936">
        <v>933</v>
      </c>
      <c r="AZ936" s="3"/>
      <c r="BB936" s="2">
        <f t="shared" si="263"/>
        <v>220</v>
      </c>
      <c r="BC936">
        <f t="shared" si="267"/>
        <v>28.509837962962962</v>
      </c>
      <c r="BD936" s="2">
        <f t="shared" si="269"/>
        <v>80.5</v>
      </c>
      <c r="BE936">
        <f t="shared" si="270"/>
        <v>48</v>
      </c>
      <c r="BF936">
        <f t="shared" si="271"/>
        <v>276480</v>
      </c>
    </row>
    <row r="937" spans="1:58" ht="14.25" x14ac:dyDescent="0.2">
      <c r="A937" s="12">
        <v>20404</v>
      </c>
      <c r="B937" s="13">
        <f t="shared" si="272"/>
        <v>18</v>
      </c>
      <c r="C937" s="15">
        <f t="shared" si="273"/>
        <v>13</v>
      </c>
      <c r="D937" s="14">
        <f t="shared" si="274"/>
        <v>12</v>
      </c>
      <c r="E937" t="s">
        <v>2777</v>
      </c>
      <c r="F937" t="s">
        <v>2837</v>
      </c>
      <c r="G937" t="s">
        <v>2779</v>
      </c>
      <c r="H937" t="s">
        <v>2779</v>
      </c>
      <c r="I937" t="s">
        <v>2780</v>
      </c>
      <c r="J937" s="4" t="s">
        <v>2842</v>
      </c>
      <c r="K937" t="s">
        <v>177</v>
      </c>
      <c r="L937" t="s">
        <v>163</v>
      </c>
      <c r="M937" t="s">
        <v>163</v>
      </c>
      <c r="N937" t="s">
        <v>163</v>
      </c>
      <c r="O937" s="6" t="s">
        <v>1509</v>
      </c>
      <c r="P937">
        <v>0</v>
      </c>
      <c r="Q937" s="24">
        <v>68.2</v>
      </c>
      <c r="R937" s="25">
        <v>94</v>
      </c>
      <c r="S937" s="26">
        <v>61.8</v>
      </c>
      <c r="Y937">
        <v>10</v>
      </c>
      <c r="Z937">
        <v>30</v>
      </c>
      <c r="AA937" s="3">
        <v>25</v>
      </c>
      <c r="AB937" s="3">
        <v>6</v>
      </c>
      <c r="AC937">
        <v>155</v>
      </c>
      <c r="AD937" s="9">
        <f t="shared" si="257"/>
        <v>4437</v>
      </c>
      <c r="AE937">
        <f t="shared" si="264"/>
        <v>2555730</v>
      </c>
      <c r="AF937" s="2">
        <f t="shared" si="268"/>
        <v>48</v>
      </c>
      <c r="AG937" t="str">
        <f t="shared" si="258"/>
        <v>73小时</v>
      </c>
      <c r="AH937">
        <f t="shared" si="259"/>
        <v>144</v>
      </c>
      <c r="AI937">
        <f t="shared" si="260"/>
        <v>24</v>
      </c>
      <c r="AJ937">
        <f t="shared" si="265"/>
        <v>80.5</v>
      </c>
      <c r="AK937">
        <f t="shared" si="261"/>
        <v>41</v>
      </c>
      <c r="AL937">
        <f t="shared" si="266"/>
        <v>48</v>
      </c>
      <c r="AM937" s="2">
        <f t="shared" si="262"/>
        <v>24</v>
      </c>
      <c r="AX937">
        <v>934</v>
      </c>
      <c r="AZ937" s="3"/>
      <c r="BB937" s="2">
        <f t="shared" si="263"/>
        <v>220</v>
      </c>
      <c r="BC937">
        <f t="shared" si="267"/>
        <v>28.509837962962962</v>
      </c>
      <c r="BD937" s="2">
        <f t="shared" si="269"/>
        <v>80.5</v>
      </c>
      <c r="BE937">
        <f t="shared" si="270"/>
        <v>48</v>
      </c>
      <c r="BF937">
        <f t="shared" si="271"/>
        <v>276480</v>
      </c>
    </row>
    <row r="938" spans="1:58" ht="14.25" x14ac:dyDescent="0.2">
      <c r="A938" s="12">
        <v>20405</v>
      </c>
      <c r="B938" s="13">
        <f t="shared" si="272"/>
        <v>18</v>
      </c>
      <c r="C938" s="15">
        <f t="shared" si="273"/>
        <v>13</v>
      </c>
      <c r="D938" s="14">
        <f t="shared" si="274"/>
        <v>12</v>
      </c>
      <c r="E938" t="s">
        <v>2785</v>
      </c>
      <c r="F938" t="s">
        <v>2786</v>
      </c>
      <c r="G938" t="s">
        <v>2830</v>
      </c>
      <c r="H938" t="s">
        <v>2829</v>
      </c>
      <c r="I938" t="s">
        <v>2697</v>
      </c>
      <c r="J938" s="4" t="s">
        <v>2862</v>
      </c>
      <c r="K938" t="s">
        <v>174</v>
      </c>
      <c r="L938" t="s">
        <v>163</v>
      </c>
      <c r="M938" t="s">
        <v>163</v>
      </c>
      <c r="N938" t="s">
        <v>163</v>
      </c>
      <c r="O938" s="6" t="s">
        <v>1511</v>
      </c>
      <c r="P938">
        <v>0</v>
      </c>
      <c r="Q938" s="24">
        <v>68.2</v>
      </c>
      <c r="R938" s="25">
        <v>94</v>
      </c>
      <c r="S938" s="26">
        <v>61.8</v>
      </c>
      <c r="Y938">
        <v>10</v>
      </c>
      <c r="Z938">
        <v>30</v>
      </c>
      <c r="AA938" s="3">
        <v>25</v>
      </c>
      <c r="AB938" s="3">
        <v>6</v>
      </c>
      <c r="AC938">
        <v>155</v>
      </c>
      <c r="AD938" s="9">
        <f t="shared" si="257"/>
        <v>4437</v>
      </c>
      <c r="AE938">
        <f t="shared" si="264"/>
        <v>2555730</v>
      </c>
      <c r="AF938" s="2">
        <f t="shared" si="268"/>
        <v>48</v>
      </c>
      <c r="AG938" t="str">
        <f t="shared" si="258"/>
        <v>73小时</v>
      </c>
      <c r="AH938">
        <f t="shared" si="259"/>
        <v>144</v>
      </c>
      <c r="AI938">
        <f t="shared" si="260"/>
        <v>24</v>
      </c>
      <c r="AJ938">
        <f t="shared" si="265"/>
        <v>80.5</v>
      </c>
      <c r="AK938">
        <f t="shared" si="261"/>
        <v>41</v>
      </c>
      <c r="AL938">
        <f t="shared" si="266"/>
        <v>48</v>
      </c>
      <c r="AM938" s="2">
        <f t="shared" si="262"/>
        <v>24</v>
      </c>
      <c r="AX938">
        <v>935</v>
      </c>
      <c r="AZ938" s="3"/>
      <c r="BB938" s="2">
        <f t="shared" si="263"/>
        <v>220</v>
      </c>
      <c r="BC938">
        <f t="shared" si="267"/>
        <v>28.509837962962962</v>
      </c>
      <c r="BD938" s="2">
        <f t="shared" si="269"/>
        <v>80.5</v>
      </c>
      <c r="BE938">
        <f t="shared" si="270"/>
        <v>48</v>
      </c>
      <c r="BF938">
        <f t="shared" si="271"/>
        <v>276480</v>
      </c>
    </row>
    <row r="939" spans="1:58" ht="14.25" x14ac:dyDescent="0.2">
      <c r="A939" s="12">
        <v>20406</v>
      </c>
      <c r="B939" s="13">
        <f t="shared" si="272"/>
        <v>18</v>
      </c>
      <c r="C939" s="15">
        <f t="shared" si="273"/>
        <v>13</v>
      </c>
      <c r="D939" s="14">
        <f t="shared" si="274"/>
        <v>12</v>
      </c>
      <c r="E939" t="s">
        <v>2777</v>
      </c>
      <c r="F939" t="s">
        <v>2834</v>
      </c>
      <c r="G939" t="s">
        <v>2779</v>
      </c>
      <c r="H939" t="s">
        <v>2779</v>
      </c>
      <c r="I939" t="s">
        <v>2780</v>
      </c>
      <c r="J939" s="4" t="s">
        <v>2842</v>
      </c>
      <c r="K939" t="s">
        <v>182</v>
      </c>
      <c r="L939" t="s">
        <v>163</v>
      </c>
      <c r="M939" t="s">
        <v>163</v>
      </c>
      <c r="N939" t="s">
        <v>163</v>
      </c>
      <c r="O939" s="6" t="s">
        <v>1513</v>
      </c>
      <c r="P939">
        <v>0</v>
      </c>
      <c r="Q939" s="24">
        <v>68.5</v>
      </c>
      <c r="R939" s="25">
        <v>94.5</v>
      </c>
      <c r="S939" s="26">
        <v>62</v>
      </c>
      <c r="Y939">
        <v>10</v>
      </c>
      <c r="Z939">
        <v>30</v>
      </c>
      <c r="AA939" s="3">
        <v>25</v>
      </c>
      <c r="AB939" s="3">
        <v>6</v>
      </c>
      <c r="AC939">
        <v>155</v>
      </c>
      <c r="AD939" s="9">
        <f t="shared" si="257"/>
        <v>4418.5833333333339</v>
      </c>
      <c r="AE939">
        <f t="shared" si="264"/>
        <v>2555730</v>
      </c>
      <c r="AF939" s="2">
        <f t="shared" si="268"/>
        <v>48.2</v>
      </c>
      <c r="AG939" t="str">
        <f t="shared" si="258"/>
        <v>73小时</v>
      </c>
      <c r="AH939">
        <f t="shared" si="259"/>
        <v>145</v>
      </c>
      <c r="AI939">
        <f t="shared" si="260"/>
        <v>25</v>
      </c>
      <c r="AJ939">
        <f t="shared" si="265"/>
        <v>80.8</v>
      </c>
      <c r="AK939">
        <f t="shared" si="261"/>
        <v>41</v>
      </c>
      <c r="AL939">
        <f t="shared" si="266"/>
        <v>48.2</v>
      </c>
      <c r="AM939" s="2">
        <f t="shared" si="262"/>
        <v>25</v>
      </c>
      <c r="AX939">
        <v>936</v>
      </c>
      <c r="AZ939" s="3"/>
      <c r="BB939" s="2">
        <f t="shared" si="263"/>
        <v>220</v>
      </c>
      <c r="BC939">
        <f t="shared" si="267"/>
        <v>28.391539880129091</v>
      </c>
      <c r="BD939" s="2">
        <f t="shared" si="269"/>
        <v>80.8</v>
      </c>
      <c r="BE939">
        <f t="shared" si="270"/>
        <v>48.2</v>
      </c>
      <c r="BF939">
        <f t="shared" si="271"/>
        <v>277632</v>
      </c>
    </row>
    <row r="940" spans="1:58" ht="14.25" x14ac:dyDescent="0.2">
      <c r="A940" s="12">
        <v>20407</v>
      </c>
      <c r="B940" s="13">
        <f t="shared" si="272"/>
        <v>18</v>
      </c>
      <c r="C940" s="15">
        <f t="shared" si="273"/>
        <v>13</v>
      </c>
      <c r="D940" s="14">
        <f t="shared" si="274"/>
        <v>12</v>
      </c>
      <c r="E940" t="s">
        <v>2777</v>
      </c>
      <c r="F940" t="s">
        <v>2835</v>
      </c>
      <c r="G940" t="s">
        <v>2779</v>
      </c>
      <c r="H940" t="s">
        <v>2779</v>
      </c>
      <c r="I940" t="s">
        <v>2780</v>
      </c>
      <c r="J940" s="4" t="s">
        <v>2842</v>
      </c>
      <c r="K940" t="s">
        <v>162</v>
      </c>
      <c r="L940" t="s">
        <v>163</v>
      </c>
      <c r="M940" t="s">
        <v>163</v>
      </c>
      <c r="N940" t="s">
        <v>163</v>
      </c>
      <c r="O940" s="6" t="s">
        <v>1513</v>
      </c>
      <c r="P940">
        <v>0</v>
      </c>
      <c r="Q940" s="24">
        <v>68.5</v>
      </c>
      <c r="R940" s="25">
        <v>94.5</v>
      </c>
      <c r="S940" s="26">
        <v>62</v>
      </c>
      <c r="Y940">
        <v>10</v>
      </c>
      <c r="Z940">
        <v>30</v>
      </c>
      <c r="AA940" s="3">
        <v>25</v>
      </c>
      <c r="AB940" s="3">
        <v>6</v>
      </c>
      <c r="AC940">
        <v>155</v>
      </c>
      <c r="AD940" s="9">
        <f t="shared" si="257"/>
        <v>4418.5833333333339</v>
      </c>
      <c r="AE940">
        <f t="shared" si="264"/>
        <v>2555730</v>
      </c>
      <c r="AF940" s="2">
        <f t="shared" si="268"/>
        <v>48.2</v>
      </c>
      <c r="AG940" t="str">
        <f t="shared" si="258"/>
        <v>73小时</v>
      </c>
      <c r="AH940">
        <f t="shared" si="259"/>
        <v>145</v>
      </c>
      <c r="AI940">
        <f t="shared" si="260"/>
        <v>25</v>
      </c>
      <c r="AJ940">
        <f t="shared" si="265"/>
        <v>80.8</v>
      </c>
      <c r="AK940">
        <f t="shared" si="261"/>
        <v>41</v>
      </c>
      <c r="AL940">
        <f t="shared" si="266"/>
        <v>48.2</v>
      </c>
      <c r="AM940" s="2">
        <f t="shared" si="262"/>
        <v>25</v>
      </c>
      <c r="AX940">
        <v>937</v>
      </c>
      <c r="AZ940" s="3"/>
      <c r="BB940" s="2">
        <f t="shared" si="263"/>
        <v>220</v>
      </c>
      <c r="BC940">
        <f t="shared" si="267"/>
        <v>28.391539880129091</v>
      </c>
      <c r="BD940" s="2">
        <f t="shared" si="269"/>
        <v>80.8</v>
      </c>
      <c r="BE940">
        <f t="shared" si="270"/>
        <v>48.2</v>
      </c>
      <c r="BF940">
        <f t="shared" si="271"/>
        <v>277632</v>
      </c>
    </row>
    <row r="941" spans="1:58" ht="14.25" x14ac:dyDescent="0.2">
      <c r="A941" s="12">
        <v>20408</v>
      </c>
      <c r="B941" s="13">
        <f t="shared" si="272"/>
        <v>18</v>
      </c>
      <c r="C941" s="15">
        <f t="shared" si="273"/>
        <v>13</v>
      </c>
      <c r="D941" s="14">
        <f t="shared" si="274"/>
        <v>12</v>
      </c>
      <c r="E941" t="s">
        <v>2777</v>
      </c>
      <c r="F941" t="s">
        <v>2836</v>
      </c>
      <c r="G941" t="s">
        <v>2779</v>
      </c>
      <c r="H941" t="s">
        <v>2779</v>
      </c>
      <c r="I941" t="s">
        <v>2780</v>
      </c>
      <c r="J941" s="4" t="s">
        <v>2842</v>
      </c>
      <c r="K941" t="s">
        <v>177</v>
      </c>
      <c r="L941" t="s">
        <v>163</v>
      </c>
      <c r="M941" t="s">
        <v>163</v>
      </c>
      <c r="N941" t="s">
        <v>163</v>
      </c>
      <c r="O941" s="6" t="s">
        <v>1515</v>
      </c>
      <c r="P941">
        <v>0</v>
      </c>
      <c r="Q941" s="24">
        <v>68.5</v>
      </c>
      <c r="R941" s="25">
        <v>94.5</v>
      </c>
      <c r="S941" s="26">
        <v>62</v>
      </c>
      <c r="Y941">
        <v>10</v>
      </c>
      <c r="Z941">
        <v>30</v>
      </c>
      <c r="AA941" s="3">
        <v>25</v>
      </c>
      <c r="AB941" s="3">
        <v>6</v>
      </c>
      <c r="AC941">
        <v>155</v>
      </c>
      <c r="AD941" s="9">
        <f t="shared" si="257"/>
        <v>4418.5833333333339</v>
      </c>
      <c r="AE941">
        <f t="shared" si="264"/>
        <v>2555730</v>
      </c>
      <c r="AF941" s="2">
        <f t="shared" si="268"/>
        <v>48.2</v>
      </c>
      <c r="AG941" t="str">
        <f t="shared" si="258"/>
        <v>73小时</v>
      </c>
      <c r="AH941">
        <f t="shared" si="259"/>
        <v>145</v>
      </c>
      <c r="AI941">
        <f t="shared" si="260"/>
        <v>25</v>
      </c>
      <c r="AJ941">
        <f t="shared" si="265"/>
        <v>80.8</v>
      </c>
      <c r="AK941">
        <f t="shared" si="261"/>
        <v>41</v>
      </c>
      <c r="AL941">
        <f t="shared" si="266"/>
        <v>48.2</v>
      </c>
      <c r="AM941" s="2">
        <f t="shared" si="262"/>
        <v>25</v>
      </c>
      <c r="AX941">
        <v>938</v>
      </c>
      <c r="AZ941" s="3"/>
      <c r="BB941" s="2">
        <f t="shared" si="263"/>
        <v>220</v>
      </c>
      <c r="BC941">
        <f t="shared" si="267"/>
        <v>28.391539880129091</v>
      </c>
      <c r="BD941" s="2">
        <f t="shared" si="269"/>
        <v>80.8</v>
      </c>
      <c r="BE941">
        <f t="shared" si="270"/>
        <v>48.2</v>
      </c>
      <c r="BF941">
        <f t="shared" si="271"/>
        <v>277632</v>
      </c>
    </row>
    <row r="942" spans="1:58" ht="14.25" x14ac:dyDescent="0.2">
      <c r="A942" s="12">
        <v>20409</v>
      </c>
      <c r="B942" s="13">
        <f t="shared" si="272"/>
        <v>18</v>
      </c>
      <c r="C942" s="15">
        <f t="shared" si="273"/>
        <v>13</v>
      </c>
      <c r="D942" s="14">
        <f t="shared" si="274"/>
        <v>12</v>
      </c>
      <c r="E942" t="s">
        <v>2777</v>
      </c>
      <c r="F942" t="s">
        <v>2837</v>
      </c>
      <c r="G942" t="s">
        <v>2779</v>
      </c>
      <c r="H942" t="s">
        <v>2779</v>
      </c>
      <c r="I942" t="s">
        <v>2780</v>
      </c>
      <c r="J942" s="4" t="s">
        <v>2842</v>
      </c>
      <c r="K942" t="s">
        <v>174</v>
      </c>
      <c r="L942" t="s">
        <v>163</v>
      </c>
      <c r="M942" t="s">
        <v>163</v>
      </c>
      <c r="N942" t="s">
        <v>163</v>
      </c>
      <c r="O942" s="6" t="s">
        <v>1517</v>
      </c>
      <c r="P942">
        <v>0</v>
      </c>
      <c r="Q942" s="24">
        <v>68.5</v>
      </c>
      <c r="R942" s="25">
        <v>94.5</v>
      </c>
      <c r="S942" s="26">
        <v>62</v>
      </c>
      <c r="Y942">
        <v>10</v>
      </c>
      <c r="Z942">
        <v>30</v>
      </c>
      <c r="AA942" s="3">
        <v>25</v>
      </c>
      <c r="AB942" s="3">
        <v>6</v>
      </c>
      <c r="AC942">
        <v>155</v>
      </c>
      <c r="AD942" s="9">
        <f t="shared" si="257"/>
        <v>4418.5833333333339</v>
      </c>
      <c r="AE942">
        <f t="shared" si="264"/>
        <v>2555730</v>
      </c>
      <c r="AF942" s="2">
        <f t="shared" si="268"/>
        <v>48.2</v>
      </c>
      <c r="AG942" t="str">
        <f t="shared" si="258"/>
        <v>73小时</v>
      </c>
      <c r="AH942">
        <f t="shared" si="259"/>
        <v>145</v>
      </c>
      <c r="AI942">
        <f t="shared" si="260"/>
        <v>25</v>
      </c>
      <c r="AJ942">
        <f t="shared" si="265"/>
        <v>80.8</v>
      </c>
      <c r="AK942">
        <f t="shared" si="261"/>
        <v>41</v>
      </c>
      <c r="AL942">
        <f t="shared" si="266"/>
        <v>48.2</v>
      </c>
      <c r="AM942" s="2">
        <f t="shared" si="262"/>
        <v>25</v>
      </c>
      <c r="AX942">
        <v>939</v>
      </c>
      <c r="AZ942" s="3"/>
      <c r="BB942" s="2">
        <f t="shared" si="263"/>
        <v>220</v>
      </c>
      <c r="BC942">
        <f t="shared" si="267"/>
        <v>28.391539880129091</v>
      </c>
      <c r="BD942" s="2">
        <f t="shared" si="269"/>
        <v>80.8</v>
      </c>
      <c r="BE942">
        <f t="shared" si="270"/>
        <v>48.2</v>
      </c>
      <c r="BF942">
        <f t="shared" si="271"/>
        <v>277632</v>
      </c>
    </row>
    <row r="943" spans="1:58" ht="14.25" x14ac:dyDescent="0.2">
      <c r="A943" s="12">
        <v>20410</v>
      </c>
      <c r="B943" s="13">
        <f t="shared" si="272"/>
        <v>18</v>
      </c>
      <c r="C943" s="15">
        <f t="shared" si="273"/>
        <v>13</v>
      </c>
      <c r="D943" s="14">
        <f t="shared" si="274"/>
        <v>12</v>
      </c>
      <c r="E943" t="s">
        <v>2785</v>
      </c>
      <c r="F943" t="s">
        <v>2786</v>
      </c>
      <c r="G943" t="s">
        <v>2831</v>
      </c>
      <c r="H943" t="s">
        <v>2829</v>
      </c>
      <c r="I943" t="s">
        <v>2697</v>
      </c>
      <c r="J943" s="4" t="s">
        <v>2862</v>
      </c>
      <c r="K943" t="s">
        <v>166</v>
      </c>
      <c r="L943" t="s">
        <v>163</v>
      </c>
      <c r="M943" t="s">
        <v>163</v>
      </c>
      <c r="N943" t="s">
        <v>163</v>
      </c>
      <c r="O943" s="6" t="s">
        <v>1517</v>
      </c>
      <c r="P943">
        <v>0</v>
      </c>
      <c r="Q943" s="24">
        <v>68.5</v>
      </c>
      <c r="R943" s="25">
        <v>94.5</v>
      </c>
      <c r="S943" s="26">
        <v>62</v>
      </c>
      <c r="Y943">
        <v>10</v>
      </c>
      <c r="Z943">
        <v>30</v>
      </c>
      <c r="AA943" s="3">
        <v>25</v>
      </c>
      <c r="AB943" s="3">
        <v>6</v>
      </c>
      <c r="AC943">
        <v>155</v>
      </c>
      <c r="AD943" s="9">
        <f t="shared" si="257"/>
        <v>4418.5833333333339</v>
      </c>
      <c r="AE943">
        <f t="shared" si="264"/>
        <v>2555730</v>
      </c>
      <c r="AF943" s="2">
        <f t="shared" si="268"/>
        <v>48.2</v>
      </c>
      <c r="AG943" t="str">
        <f t="shared" si="258"/>
        <v>73小时</v>
      </c>
      <c r="AH943">
        <f t="shared" si="259"/>
        <v>145</v>
      </c>
      <c r="AI943">
        <f t="shared" si="260"/>
        <v>25</v>
      </c>
      <c r="AJ943">
        <f t="shared" si="265"/>
        <v>80.8</v>
      </c>
      <c r="AK943">
        <f t="shared" si="261"/>
        <v>41</v>
      </c>
      <c r="AL943">
        <f t="shared" si="266"/>
        <v>48.2</v>
      </c>
      <c r="AM943" s="2">
        <f t="shared" si="262"/>
        <v>25</v>
      </c>
      <c r="AX943">
        <v>940</v>
      </c>
      <c r="AZ943" s="3"/>
      <c r="BB943" s="2">
        <f t="shared" si="263"/>
        <v>225</v>
      </c>
      <c r="BC943">
        <f t="shared" si="267"/>
        <v>30.348807053941908</v>
      </c>
      <c r="BD943" s="2">
        <f t="shared" si="269"/>
        <v>80.8</v>
      </c>
      <c r="BE943">
        <f t="shared" si="270"/>
        <v>48.2</v>
      </c>
      <c r="BF943">
        <f t="shared" si="271"/>
        <v>277632</v>
      </c>
    </row>
    <row r="944" spans="1:58" ht="14.25" x14ac:dyDescent="0.2">
      <c r="A944" s="12">
        <v>20411</v>
      </c>
      <c r="B944" s="13">
        <f t="shared" si="272"/>
        <v>18</v>
      </c>
      <c r="C944" s="15">
        <f t="shared" si="273"/>
        <v>13</v>
      </c>
      <c r="D944" s="14">
        <f t="shared" si="274"/>
        <v>12</v>
      </c>
      <c r="E944" t="s">
        <v>2777</v>
      </c>
      <c r="F944" t="s">
        <v>2834</v>
      </c>
      <c r="G944" t="s">
        <v>2779</v>
      </c>
      <c r="H944" t="s">
        <v>2779</v>
      </c>
      <c r="I944" t="s">
        <v>2780</v>
      </c>
      <c r="J944" s="4" t="s">
        <v>2842</v>
      </c>
      <c r="K944" t="s">
        <v>168</v>
      </c>
      <c r="L944" t="s">
        <v>163</v>
      </c>
      <c r="M944" t="s">
        <v>163</v>
      </c>
      <c r="N944" t="s">
        <v>163</v>
      </c>
      <c r="O944" s="6" t="s">
        <v>1519</v>
      </c>
      <c r="P944">
        <v>0</v>
      </c>
      <c r="Q944" s="24">
        <v>68.8</v>
      </c>
      <c r="R944" s="25">
        <v>95</v>
      </c>
      <c r="S944" s="26">
        <v>62.3</v>
      </c>
      <c r="Y944">
        <v>10</v>
      </c>
      <c r="Z944">
        <v>30</v>
      </c>
      <c r="AA944" s="3">
        <v>25</v>
      </c>
      <c r="AB944" s="3">
        <v>6</v>
      </c>
      <c r="AC944">
        <v>155</v>
      </c>
      <c r="AD944" s="9">
        <f t="shared" si="257"/>
        <v>4391.25</v>
      </c>
      <c r="AE944">
        <f t="shared" si="264"/>
        <v>2555730</v>
      </c>
      <c r="AF944" s="2">
        <f t="shared" si="268"/>
        <v>48.5</v>
      </c>
      <c r="AG944" t="str">
        <f t="shared" si="258"/>
        <v>73小时</v>
      </c>
      <c r="AH944">
        <f t="shared" si="259"/>
        <v>146</v>
      </c>
      <c r="AI944">
        <f t="shared" si="260"/>
        <v>25</v>
      </c>
      <c r="AJ944">
        <f t="shared" si="265"/>
        <v>81.3</v>
      </c>
      <c r="AK944">
        <f t="shared" si="261"/>
        <v>41</v>
      </c>
      <c r="AL944">
        <f t="shared" si="266"/>
        <v>48.5</v>
      </c>
      <c r="AM944" s="2">
        <f t="shared" si="262"/>
        <v>25</v>
      </c>
      <c r="AX944">
        <v>941</v>
      </c>
      <c r="AZ944" s="3"/>
      <c r="BB944" s="2">
        <f t="shared" si="263"/>
        <v>225</v>
      </c>
      <c r="BC944">
        <f t="shared" si="267"/>
        <v>30.161082474226806</v>
      </c>
      <c r="BD944" s="2">
        <f t="shared" si="269"/>
        <v>81.3</v>
      </c>
      <c r="BE944">
        <f t="shared" si="270"/>
        <v>48.5</v>
      </c>
      <c r="BF944">
        <f t="shared" si="271"/>
        <v>279360</v>
      </c>
    </row>
    <row r="945" spans="1:58" ht="14.25" x14ac:dyDescent="0.2">
      <c r="A945" s="12">
        <v>20412</v>
      </c>
      <c r="B945" s="13">
        <f t="shared" si="272"/>
        <v>18</v>
      </c>
      <c r="C945" s="15">
        <f t="shared" si="273"/>
        <v>13</v>
      </c>
      <c r="D945" s="14">
        <f t="shared" si="274"/>
        <v>12</v>
      </c>
      <c r="E945" t="s">
        <v>2777</v>
      </c>
      <c r="F945" t="s">
        <v>2835</v>
      </c>
      <c r="G945" t="s">
        <v>2779</v>
      </c>
      <c r="H945" t="s">
        <v>2779</v>
      </c>
      <c r="I945" t="s">
        <v>2780</v>
      </c>
      <c r="J945" s="4" t="s">
        <v>2842</v>
      </c>
      <c r="K945" t="s">
        <v>175</v>
      </c>
      <c r="L945" t="s">
        <v>164</v>
      </c>
      <c r="M945" t="s">
        <v>163</v>
      </c>
      <c r="N945" t="s">
        <v>167</v>
      </c>
      <c r="O945" s="6" t="s">
        <v>1521</v>
      </c>
      <c r="P945">
        <v>0</v>
      </c>
      <c r="Q945" s="24">
        <v>68.8</v>
      </c>
      <c r="R945" s="25">
        <v>95</v>
      </c>
      <c r="S945" s="26">
        <v>62.3</v>
      </c>
      <c r="Y945">
        <v>10</v>
      </c>
      <c r="Z945">
        <v>30</v>
      </c>
      <c r="AA945" s="3">
        <v>25</v>
      </c>
      <c r="AB945" s="3">
        <v>6</v>
      </c>
      <c r="AC945">
        <v>155</v>
      </c>
      <c r="AD945" s="9">
        <f t="shared" si="257"/>
        <v>4391.25</v>
      </c>
      <c r="AE945">
        <f t="shared" si="264"/>
        <v>2555730</v>
      </c>
      <c r="AF945" s="2">
        <f t="shared" si="268"/>
        <v>48.5</v>
      </c>
      <c r="AG945" t="str">
        <f t="shared" si="258"/>
        <v>73小时</v>
      </c>
      <c r="AH945">
        <f t="shared" si="259"/>
        <v>146</v>
      </c>
      <c r="AI945">
        <f t="shared" si="260"/>
        <v>25</v>
      </c>
      <c r="AJ945">
        <f t="shared" si="265"/>
        <v>81.3</v>
      </c>
      <c r="AK945">
        <f t="shared" si="261"/>
        <v>41</v>
      </c>
      <c r="AL945">
        <f t="shared" si="266"/>
        <v>48.5</v>
      </c>
      <c r="AM945" s="2">
        <f t="shared" si="262"/>
        <v>25</v>
      </c>
      <c r="AX945">
        <v>942</v>
      </c>
      <c r="AZ945" s="3"/>
      <c r="BB945" s="2">
        <f t="shared" si="263"/>
        <v>225</v>
      </c>
      <c r="BC945">
        <f t="shared" si="267"/>
        <v>30.161082474226806</v>
      </c>
      <c r="BD945" s="2">
        <f t="shared" si="269"/>
        <v>81.3</v>
      </c>
      <c r="BE945">
        <f t="shared" si="270"/>
        <v>48.5</v>
      </c>
      <c r="BF945">
        <f t="shared" si="271"/>
        <v>279360</v>
      </c>
    </row>
    <row r="946" spans="1:58" ht="14.25" x14ac:dyDescent="0.2">
      <c r="A946" s="12">
        <v>20413</v>
      </c>
      <c r="B946" s="13">
        <f t="shared" si="272"/>
        <v>19</v>
      </c>
      <c r="C946" s="15">
        <f t="shared" si="273"/>
        <v>13</v>
      </c>
      <c r="D946" s="14">
        <f t="shared" si="274"/>
        <v>12</v>
      </c>
      <c r="E946" t="s">
        <v>2777</v>
      </c>
      <c r="F946" t="s">
        <v>2836</v>
      </c>
      <c r="G946" t="s">
        <v>2779</v>
      </c>
      <c r="H946" t="s">
        <v>2779</v>
      </c>
      <c r="I946" t="s">
        <v>2780</v>
      </c>
      <c r="J946" s="4" t="s">
        <v>2842</v>
      </c>
      <c r="K946" t="s">
        <v>179</v>
      </c>
      <c r="L946" t="s">
        <v>163</v>
      </c>
      <c r="M946" t="s">
        <v>163</v>
      </c>
      <c r="N946" t="s">
        <v>163</v>
      </c>
      <c r="O946" s="6" t="s">
        <v>1523</v>
      </c>
      <c r="P946">
        <v>0</v>
      </c>
      <c r="Q946" s="24">
        <v>68.8</v>
      </c>
      <c r="R946" s="25">
        <v>95</v>
      </c>
      <c r="S946" s="26">
        <v>62.3</v>
      </c>
      <c r="Y946">
        <v>10</v>
      </c>
      <c r="Z946">
        <v>30</v>
      </c>
      <c r="AA946" s="3">
        <v>25</v>
      </c>
      <c r="AB946" s="3">
        <v>6</v>
      </c>
      <c r="AC946">
        <v>155</v>
      </c>
      <c r="AD946" s="9">
        <f t="shared" si="257"/>
        <v>4391.25</v>
      </c>
      <c r="AE946">
        <f t="shared" si="264"/>
        <v>2555730</v>
      </c>
      <c r="AF946" s="2">
        <f t="shared" si="268"/>
        <v>48.5</v>
      </c>
      <c r="AG946" t="str">
        <f t="shared" si="258"/>
        <v>73小时</v>
      </c>
      <c r="AH946">
        <f t="shared" si="259"/>
        <v>146</v>
      </c>
      <c r="AI946">
        <f t="shared" si="260"/>
        <v>25</v>
      </c>
      <c r="AJ946">
        <f t="shared" si="265"/>
        <v>81.3</v>
      </c>
      <c r="AK946">
        <f t="shared" si="261"/>
        <v>41</v>
      </c>
      <c r="AL946">
        <f t="shared" si="266"/>
        <v>48.5</v>
      </c>
      <c r="AM946" s="2">
        <f t="shared" si="262"/>
        <v>25</v>
      </c>
      <c r="AX946">
        <v>943</v>
      </c>
      <c r="AZ946" s="3"/>
      <c r="BB946" s="2">
        <f t="shared" si="263"/>
        <v>225</v>
      </c>
      <c r="BC946">
        <f t="shared" si="267"/>
        <v>30.161082474226806</v>
      </c>
      <c r="BD946" s="2">
        <f t="shared" si="269"/>
        <v>81.3</v>
      </c>
      <c r="BE946">
        <f t="shared" si="270"/>
        <v>48.5</v>
      </c>
      <c r="BF946">
        <f t="shared" si="271"/>
        <v>279360</v>
      </c>
    </row>
    <row r="947" spans="1:58" ht="14.25" x14ac:dyDescent="0.2">
      <c r="A947" s="12">
        <v>20414</v>
      </c>
      <c r="B947" s="13">
        <f t="shared" si="272"/>
        <v>19</v>
      </c>
      <c r="C947" s="15">
        <f t="shared" si="273"/>
        <v>13</v>
      </c>
      <c r="D947" s="14">
        <f t="shared" si="274"/>
        <v>12</v>
      </c>
      <c r="E947" t="s">
        <v>2777</v>
      </c>
      <c r="F947" t="s">
        <v>2837</v>
      </c>
      <c r="G947" t="s">
        <v>2779</v>
      </c>
      <c r="H947" t="s">
        <v>2779</v>
      </c>
      <c r="I947" t="s">
        <v>2780</v>
      </c>
      <c r="J947" s="4" t="s">
        <v>2842</v>
      </c>
      <c r="K947" t="s">
        <v>177</v>
      </c>
      <c r="L947" t="s">
        <v>163</v>
      </c>
      <c r="M947" t="s">
        <v>163</v>
      </c>
      <c r="N947" t="s">
        <v>163</v>
      </c>
      <c r="O947" s="6" t="s">
        <v>1523</v>
      </c>
      <c r="P947">
        <v>0</v>
      </c>
      <c r="Q947" s="24">
        <v>68.8</v>
      </c>
      <c r="R947" s="25">
        <v>95</v>
      </c>
      <c r="S947" s="26">
        <v>62.3</v>
      </c>
      <c r="Y947">
        <v>10</v>
      </c>
      <c r="Z947">
        <v>30</v>
      </c>
      <c r="AA947" s="3">
        <v>25</v>
      </c>
      <c r="AB947" s="3">
        <v>6</v>
      </c>
      <c r="AC947">
        <v>155</v>
      </c>
      <c r="AD947" s="9">
        <f t="shared" si="257"/>
        <v>4391.25</v>
      </c>
      <c r="AE947">
        <f t="shared" si="264"/>
        <v>2555730</v>
      </c>
      <c r="AF947" s="2">
        <f t="shared" si="268"/>
        <v>48.5</v>
      </c>
      <c r="AG947" t="str">
        <f t="shared" si="258"/>
        <v>73小时</v>
      </c>
      <c r="AH947">
        <f t="shared" si="259"/>
        <v>146</v>
      </c>
      <c r="AI947">
        <f t="shared" si="260"/>
        <v>25</v>
      </c>
      <c r="AJ947">
        <f t="shared" si="265"/>
        <v>81.3</v>
      </c>
      <c r="AK947">
        <f t="shared" si="261"/>
        <v>41</v>
      </c>
      <c r="AL947">
        <f t="shared" si="266"/>
        <v>48.5</v>
      </c>
      <c r="AM947" s="2">
        <f t="shared" si="262"/>
        <v>25</v>
      </c>
      <c r="AX947">
        <v>944</v>
      </c>
      <c r="AZ947" s="3"/>
      <c r="BB947" s="2">
        <f t="shared" si="263"/>
        <v>225</v>
      </c>
      <c r="BC947">
        <f t="shared" si="267"/>
        <v>30.161082474226806</v>
      </c>
      <c r="BD947" s="2">
        <f t="shared" si="269"/>
        <v>81.3</v>
      </c>
      <c r="BE947">
        <f t="shared" si="270"/>
        <v>48.5</v>
      </c>
      <c r="BF947">
        <f t="shared" si="271"/>
        <v>279360</v>
      </c>
    </row>
    <row r="948" spans="1:58" ht="14.25" x14ac:dyDescent="0.2">
      <c r="A948" s="12">
        <v>20415</v>
      </c>
      <c r="B948" s="13">
        <f t="shared" si="272"/>
        <v>19</v>
      </c>
      <c r="C948" s="15">
        <f t="shared" si="273"/>
        <v>13</v>
      </c>
      <c r="D948" s="14">
        <f t="shared" si="274"/>
        <v>12</v>
      </c>
      <c r="E948" t="s">
        <v>2785</v>
      </c>
      <c r="F948" t="s">
        <v>2786</v>
      </c>
      <c r="G948" t="s">
        <v>2832</v>
      </c>
      <c r="H948" t="s">
        <v>2829</v>
      </c>
      <c r="I948" t="s">
        <v>2697</v>
      </c>
      <c r="J948" s="4" t="s">
        <v>2862</v>
      </c>
      <c r="K948" t="s">
        <v>174</v>
      </c>
      <c r="L948" t="s">
        <v>163</v>
      </c>
      <c r="M948" t="s">
        <v>163</v>
      </c>
      <c r="N948" t="s">
        <v>163</v>
      </c>
      <c r="O948" s="6" t="s">
        <v>1525</v>
      </c>
      <c r="P948">
        <v>0</v>
      </c>
      <c r="Q948" s="24">
        <v>68.8</v>
      </c>
      <c r="R948" s="25">
        <v>95</v>
      </c>
      <c r="S948" s="26">
        <v>62.3</v>
      </c>
      <c r="Y948">
        <v>10</v>
      </c>
      <c r="Z948">
        <v>30</v>
      </c>
      <c r="AA948" s="3">
        <v>25</v>
      </c>
      <c r="AB948" s="3">
        <v>6</v>
      </c>
      <c r="AC948">
        <v>155</v>
      </c>
      <c r="AD948" s="9">
        <f t="shared" si="257"/>
        <v>4391.25</v>
      </c>
      <c r="AE948">
        <f t="shared" si="264"/>
        <v>2555730</v>
      </c>
      <c r="AF948" s="2">
        <f t="shared" si="268"/>
        <v>48.5</v>
      </c>
      <c r="AG948" t="str">
        <f t="shared" si="258"/>
        <v>73小时</v>
      </c>
      <c r="AH948">
        <f t="shared" si="259"/>
        <v>146</v>
      </c>
      <c r="AI948">
        <f t="shared" si="260"/>
        <v>25</v>
      </c>
      <c r="AJ948">
        <f t="shared" si="265"/>
        <v>81.3</v>
      </c>
      <c r="AK948">
        <f t="shared" si="261"/>
        <v>41</v>
      </c>
      <c r="AL948">
        <f t="shared" si="266"/>
        <v>48.5</v>
      </c>
      <c r="AM948" s="2">
        <f t="shared" si="262"/>
        <v>25</v>
      </c>
      <c r="AX948">
        <v>945</v>
      </c>
      <c r="AZ948" s="3"/>
      <c r="BB948" s="2">
        <f t="shared" si="263"/>
        <v>225</v>
      </c>
      <c r="BC948">
        <f t="shared" si="267"/>
        <v>30.161082474226806</v>
      </c>
      <c r="BD948" s="2">
        <f t="shared" si="269"/>
        <v>81.3</v>
      </c>
      <c r="BE948">
        <f t="shared" si="270"/>
        <v>48.5</v>
      </c>
      <c r="BF948">
        <f t="shared" si="271"/>
        <v>279360</v>
      </c>
    </row>
    <row r="949" spans="1:58" ht="14.25" x14ac:dyDescent="0.2">
      <c r="A949" s="12">
        <v>20416</v>
      </c>
      <c r="B949" s="13">
        <f t="shared" si="272"/>
        <v>19</v>
      </c>
      <c r="C949" s="15">
        <f t="shared" si="273"/>
        <v>13</v>
      </c>
      <c r="D949" s="14">
        <f t="shared" si="274"/>
        <v>12</v>
      </c>
      <c r="E949" t="s">
        <v>2777</v>
      </c>
      <c r="F949" t="s">
        <v>2834</v>
      </c>
      <c r="G949" t="s">
        <v>2779</v>
      </c>
      <c r="H949" t="s">
        <v>2779</v>
      </c>
      <c r="I949" t="s">
        <v>2780</v>
      </c>
      <c r="J949" s="4" t="s">
        <v>2842</v>
      </c>
      <c r="K949" t="s">
        <v>182</v>
      </c>
      <c r="L949" t="s">
        <v>163</v>
      </c>
      <c r="M949" t="s">
        <v>163</v>
      </c>
      <c r="N949" t="s">
        <v>163</v>
      </c>
      <c r="O949" s="6" t="s">
        <v>1527</v>
      </c>
      <c r="P949">
        <v>0</v>
      </c>
      <c r="Q949" s="24">
        <v>69.2</v>
      </c>
      <c r="R949" s="25">
        <v>95.5</v>
      </c>
      <c r="S949" s="26">
        <v>62.5</v>
      </c>
      <c r="Y949">
        <v>10</v>
      </c>
      <c r="Z949">
        <v>30</v>
      </c>
      <c r="AA949" s="3">
        <v>25</v>
      </c>
      <c r="AB949" s="3">
        <v>6</v>
      </c>
      <c r="AC949">
        <v>155</v>
      </c>
      <c r="AD949" s="9">
        <f t="shared" si="257"/>
        <v>4373.25</v>
      </c>
      <c r="AE949">
        <f t="shared" si="264"/>
        <v>2555730</v>
      </c>
      <c r="AF949" s="2">
        <f t="shared" si="268"/>
        <v>48.7</v>
      </c>
      <c r="AG949" t="str">
        <f t="shared" si="258"/>
        <v>72小时</v>
      </c>
      <c r="AH949">
        <f t="shared" si="259"/>
        <v>147</v>
      </c>
      <c r="AI949">
        <f t="shared" si="260"/>
        <v>25</v>
      </c>
      <c r="AJ949">
        <f t="shared" si="265"/>
        <v>81.599999999999994</v>
      </c>
      <c r="AK949">
        <f t="shared" si="261"/>
        <v>41</v>
      </c>
      <c r="AL949">
        <f t="shared" si="266"/>
        <v>48.7</v>
      </c>
      <c r="AM949" s="2">
        <f t="shared" si="262"/>
        <v>25</v>
      </c>
      <c r="AX949">
        <v>946</v>
      </c>
      <c r="AZ949" s="3"/>
      <c r="BB949" s="2">
        <f t="shared" si="263"/>
        <v>225</v>
      </c>
      <c r="BC949">
        <f t="shared" si="267"/>
        <v>30.037217659137578</v>
      </c>
      <c r="BD949" s="2">
        <f t="shared" si="269"/>
        <v>81.599999999999994</v>
      </c>
      <c r="BE949">
        <f t="shared" si="270"/>
        <v>48.7</v>
      </c>
      <c r="BF949">
        <f t="shared" si="271"/>
        <v>280512</v>
      </c>
    </row>
    <row r="950" spans="1:58" ht="14.25" x14ac:dyDescent="0.2">
      <c r="A950" s="12">
        <v>20417</v>
      </c>
      <c r="B950" s="13">
        <f t="shared" si="272"/>
        <v>19</v>
      </c>
      <c r="C950" s="15">
        <f t="shared" si="273"/>
        <v>13</v>
      </c>
      <c r="D950" s="14">
        <f t="shared" si="274"/>
        <v>12</v>
      </c>
      <c r="E950" t="s">
        <v>2777</v>
      </c>
      <c r="F950" t="s">
        <v>2835</v>
      </c>
      <c r="G950" t="s">
        <v>2779</v>
      </c>
      <c r="H950" t="s">
        <v>2779</v>
      </c>
      <c r="I950" t="s">
        <v>2780</v>
      </c>
      <c r="J950" s="4" t="s">
        <v>2842</v>
      </c>
      <c r="K950" t="s">
        <v>162</v>
      </c>
      <c r="L950" t="s">
        <v>163</v>
      </c>
      <c r="M950" t="s">
        <v>163</v>
      </c>
      <c r="N950" t="s">
        <v>163</v>
      </c>
      <c r="O950" s="6" t="s">
        <v>1527</v>
      </c>
      <c r="P950">
        <v>0</v>
      </c>
      <c r="Q950" s="24">
        <v>69.2</v>
      </c>
      <c r="R950" s="25">
        <v>95.5</v>
      </c>
      <c r="S950" s="26">
        <v>62.5</v>
      </c>
      <c r="Y950">
        <v>10</v>
      </c>
      <c r="Z950">
        <v>30</v>
      </c>
      <c r="AA950" s="3">
        <v>25</v>
      </c>
      <c r="AB950" s="3">
        <v>6</v>
      </c>
      <c r="AC950">
        <v>155</v>
      </c>
      <c r="AD950" s="9">
        <f t="shared" si="257"/>
        <v>4373.25</v>
      </c>
      <c r="AE950">
        <f t="shared" si="264"/>
        <v>2555730</v>
      </c>
      <c r="AF950" s="2">
        <f t="shared" si="268"/>
        <v>48.7</v>
      </c>
      <c r="AG950" t="str">
        <f t="shared" si="258"/>
        <v>72小时</v>
      </c>
      <c r="AH950">
        <f t="shared" si="259"/>
        <v>147</v>
      </c>
      <c r="AI950">
        <f t="shared" si="260"/>
        <v>25</v>
      </c>
      <c r="AJ950">
        <f t="shared" si="265"/>
        <v>81.599999999999994</v>
      </c>
      <c r="AK950">
        <f t="shared" si="261"/>
        <v>41</v>
      </c>
      <c r="AL950">
        <f t="shared" si="266"/>
        <v>48.7</v>
      </c>
      <c r="AM950" s="2">
        <f t="shared" si="262"/>
        <v>25</v>
      </c>
      <c r="AX950">
        <v>947</v>
      </c>
      <c r="AZ950" s="3"/>
      <c r="BB950" s="2">
        <f t="shared" si="263"/>
        <v>225</v>
      </c>
      <c r="BC950">
        <f t="shared" si="267"/>
        <v>30.037217659137578</v>
      </c>
      <c r="BD950" s="2">
        <f t="shared" si="269"/>
        <v>81.599999999999994</v>
      </c>
      <c r="BE950">
        <f t="shared" si="270"/>
        <v>48.7</v>
      </c>
      <c r="BF950">
        <f t="shared" si="271"/>
        <v>280512</v>
      </c>
    </row>
    <row r="951" spans="1:58" ht="14.25" x14ac:dyDescent="0.2">
      <c r="A951" s="12">
        <v>20418</v>
      </c>
      <c r="B951" s="13">
        <f t="shared" si="272"/>
        <v>19</v>
      </c>
      <c r="C951" s="15">
        <f t="shared" si="273"/>
        <v>13</v>
      </c>
      <c r="D951" s="14">
        <f t="shared" si="274"/>
        <v>12</v>
      </c>
      <c r="E951" t="s">
        <v>2777</v>
      </c>
      <c r="F951" t="s">
        <v>2836</v>
      </c>
      <c r="G951" t="s">
        <v>2779</v>
      </c>
      <c r="H951" t="s">
        <v>2779</v>
      </c>
      <c r="I951" t="s">
        <v>2780</v>
      </c>
      <c r="J951" s="4" t="s">
        <v>2842</v>
      </c>
      <c r="K951" t="s">
        <v>177</v>
      </c>
      <c r="L951" t="s">
        <v>163</v>
      </c>
      <c r="M951" t="s">
        <v>163</v>
      </c>
      <c r="N951" t="s">
        <v>163</v>
      </c>
      <c r="O951" s="6" t="s">
        <v>1529</v>
      </c>
      <c r="P951">
        <v>0</v>
      </c>
      <c r="Q951" s="24">
        <v>69.2</v>
      </c>
      <c r="R951" s="25">
        <v>95.5</v>
      </c>
      <c r="S951" s="26">
        <v>62.5</v>
      </c>
      <c r="Y951">
        <v>10</v>
      </c>
      <c r="Z951">
        <v>30</v>
      </c>
      <c r="AA951" s="3">
        <v>25</v>
      </c>
      <c r="AB951" s="3">
        <v>6</v>
      </c>
      <c r="AC951">
        <v>155</v>
      </c>
      <c r="AD951" s="9">
        <f t="shared" si="257"/>
        <v>4373.25</v>
      </c>
      <c r="AE951">
        <f t="shared" si="264"/>
        <v>2555730</v>
      </c>
      <c r="AF951" s="2">
        <f t="shared" si="268"/>
        <v>48.7</v>
      </c>
      <c r="AG951" t="str">
        <f t="shared" si="258"/>
        <v>72小时</v>
      </c>
      <c r="AH951">
        <f t="shared" si="259"/>
        <v>147</v>
      </c>
      <c r="AI951">
        <f t="shared" si="260"/>
        <v>25</v>
      </c>
      <c r="AJ951">
        <f t="shared" si="265"/>
        <v>81.599999999999994</v>
      </c>
      <c r="AK951">
        <f t="shared" si="261"/>
        <v>41</v>
      </c>
      <c r="AL951">
        <f t="shared" si="266"/>
        <v>48.7</v>
      </c>
      <c r="AM951" s="2">
        <f t="shared" si="262"/>
        <v>25</v>
      </c>
      <c r="AX951">
        <v>948</v>
      </c>
      <c r="AZ951" s="3"/>
      <c r="BB951" s="2">
        <f t="shared" si="263"/>
        <v>225</v>
      </c>
      <c r="BC951">
        <f t="shared" si="267"/>
        <v>30.037217659137578</v>
      </c>
      <c r="BD951" s="2">
        <f t="shared" si="269"/>
        <v>81.599999999999994</v>
      </c>
      <c r="BE951">
        <f t="shared" si="270"/>
        <v>48.7</v>
      </c>
      <c r="BF951">
        <f t="shared" si="271"/>
        <v>280512</v>
      </c>
    </row>
    <row r="952" spans="1:58" ht="14.25" x14ac:dyDescent="0.2">
      <c r="A952" s="12">
        <v>20419</v>
      </c>
      <c r="B952" s="13">
        <f t="shared" si="272"/>
        <v>19</v>
      </c>
      <c r="C952" s="15">
        <f t="shared" si="273"/>
        <v>13</v>
      </c>
      <c r="D952" s="14">
        <f t="shared" si="274"/>
        <v>12</v>
      </c>
      <c r="E952" t="s">
        <v>2777</v>
      </c>
      <c r="F952" t="s">
        <v>2837</v>
      </c>
      <c r="G952" t="s">
        <v>2779</v>
      </c>
      <c r="H952" t="s">
        <v>2779</v>
      </c>
      <c r="I952" t="s">
        <v>2780</v>
      </c>
      <c r="J952" s="4" t="s">
        <v>2842</v>
      </c>
      <c r="K952" t="s">
        <v>174</v>
      </c>
      <c r="L952" t="s">
        <v>163</v>
      </c>
      <c r="M952" t="s">
        <v>163</v>
      </c>
      <c r="N952" t="s">
        <v>163</v>
      </c>
      <c r="O952" s="6" t="s">
        <v>1531</v>
      </c>
      <c r="P952">
        <v>0</v>
      </c>
      <c r="Q952" s="24">
        <v>69.2</v>
      </c>
      <c r="R952" s="25">
        <v>95.5</v>
      </c>
      <c r="S952" s="26">
        <v>62.5</v>
      </c>
      <c r="Y952">
        <v>10</v>
      </c>
      <c r="Z952">
        <v>30</v>
      </c>
      <c r="AA952" s="3">
        <v>25</v>
      </c>
      <c r="AB952" s="3">
        <v>6</v>
      </c>
      <c r="AC952">
        <v>155</v>
      </c>
      <c r="AD952" s="9">
        <f t="shared" si="257"/>
        <v>4373.25</v>
      </c>
      <c r="AE952">
        <f t="shared" si="264"/>
        <v>2555730</v>
      </c>
      <c r="AF952" s="2">
        <f t="shared" si="268"/>
        <v>48.7</v>
      </c>
      <c r="AG952" t="str">
        <f t="shared" si="258"/>
        <v>72小时</v>
      </c>
      <c r="AH952">
        <f t="shared" si="259"/>
        <v>147</v>
      </c>
      <c r="AI952">
        <f t="shared" si="260"/>
        <v>25</v>
      </c>
      <c r="AJ952">
        <f t="shared" si="265"/>
        <v>81.599999999999994</v>
      </c>
      <c r="AK952">
        <f t="shared" si="261"/>
        <v>41</v>
      </c>
      <c r="AL952">
        <f t="shared" si="266"/>
        <v>48.7</v>
      </c>
      <c r="AM952" s="2">
        <f t="shared" si="262"/>
        <v>25</v>
      </c>
      <c r="AX952">
        <v>949</v>
      </c>
      <c r="AZ952" s="3"/>
      <c r="BB952" s="2">
        <f t="shared" si="263"/>
        <v>225</v>
      </c>
      <c r="BC952">
        <f t="shared" si="267"/>
        <v>30.037217659137578</v>
      </c>
      <c r="BD952" s="2">
        <f t="shared" si="269"/>
        <v>81.599999999999994</v>
      </c>
      <c r="BE952">
        <f t="shared" si="270"/>
        <v>48.7</v>
      </c>
      <c r="BF952">
        <f t="shared" si="271"/>
        <v>280512</v>
      </c>
    </row>
    <row r="953" spans="1:58" ht="14.25" x14ac:dyDescent="0.2">
      <c r="A953" s="12">
        <v>20420</v>
      </c>
      <c r="B953" s="13">
        <f t="shared" si="272"/>
        <v>19</v>
      </c>
      <c r="C953" s="15">
        <f t="shared" si="273"/>
        <v>13</v>
      </c>
      <c r="D953" s="14">
        <f t="shared" si="274"/>
        <v>12</v>
      </c>
      <c r="E953" t="s">
        <v>2785</v>
      </c>
      <c r="F953" t="s">
        <v>2786</v>
      </c>
      <c r="G953" t="s">
        <v>2833</v>
      </c>
      <c r="H953" t="s">
        <v>2829</v>
      </c>
      <c r="I953" t="s">
        <v>2697</v>
      </c>
      <c r="J953" s="4" t="s">
        <v>2880</v>
      </c>
      <c r="K953" t="s">
        <v>166</v>
      </c>
      <c r="L953" t="s">
        <v>163</v>
      </c>
      <c r="M953" t="s">
        <v>163</v>
      </c>
      <c r="N953" t="s">
        <v>163</v>
      </c>
      <c r="O953" s="6" t="s">
        <v>1531</v>
      </c>
      <c r="P953">
        <v>0</v>
      </c>
      <c r="Q953" s="24">
        <v>69.2</v>
      </c>
      <c r="R953" s="25">
        <v>95.5</v>
      </c>
      <c r="S953" s="26">
        <v>62.5</v>
      </c>
      <c r="Y953">
        <v>10</v>
      </c>
      <c r="Z953">
        <v>30</v>
      </c>
      <c r="AA953" s="3">
        <v>25</v>
      </c>
      <c r="AB953" s="3">
        <v>6</v>
      </c>
      <c r="AC953">
        <v>155</v>
      </c>
      <c r="AD953" s="9">
        <f t="shared" si="257"/>
        <v>4373.25</v>
      </c>
      <c r="AE953">
        <f t="shared" si="264"/>
        <v>2555730</v>
      </c>
      <c r="AF953" s="2">
        <f t="shared" si="268"/>
        <v>48.7</v>
      </c>
      <c r="AG953" t="str">
        <f t="shared" si="258"/>
        <v>72小时</v>
      </c>
      <c r="AH953">
        <f t="shared" si="259"/>
        <v>147</v>
      </c>
      <c r="AI953">
        <f t="shared" si="260"/>
        <v>25</v>
      </c>
      <c r="AJ953">
        <f t="shared" si="265"/>
        <v>81.599999999999994</v>
      </c>
      <c r="AK953">
        <f t="shared" si="261"/>
        <v>41</v>
      </c>
      <c r="AL953">
        <f t="shared" si="266"/>
        <v>48.7</v>
      </c>
      <c r="AM953" s="2">
        <f t="shared" si="262"/>
        <v>25</v>
      </c>
      <c r="AX953">
        <v>950</v>
      </c>
      <c r="AZ953" s="3"/>
      <c r="BB953" s="2">
        <f t="shared" si="263"/>
        <v>225</v>
      </c>
      <c r="BC953">
        <f t="shared" si="267"/>
        <v>30.037217659137578</v>
      </c>
      <c r="BD953" s="2">
        <f t="shared" si="269"/>
        <v>81.599999999999994</v>
      </c>
      <c r="BE953">
        <f t="shared" si="270"/>
        <v>48.7</v>
      </c>
      <c r="BF953">
        <f t="shared" si="271"/>
        <v>280512</v>
      </c>
    </row>
    <row r="954" spans="1:58" ht="14.25" x14ac:dyDescent="0.2">
      <c r="A954" s="12">
        <v>20421</v>
      </c>
      <c r="B954" s="13">
        <f t="shared" si="272"/>
        <v>19</v>
      </c>
      <c r="C954" s="15">
        <f t="shared" si="273"/>
        <v>13</v>
      </c>
      <c r="D954" s="14">
        <f t="shared" si="274"/>
        <v>12</v>
      </c>
      <c r="E954" t="s">
        <v>2777</v>
      </c>
      <c r="F954" t="s">
        <v>2834</v>
      </c>
      <c r="G954" t="s">
        <v>2779</v>
      </c>
      <c r="H954" t="s">
        <v>2779</v>
      </c>
      <c r="I954" t="s">
        <v>2780</v>
      </c>
      <c r="J954" s="4" t="s">
        <v>2842</v>
      </c>
      <c r="K954" t="s">
        <v>168</v>
      </c>
      <c r="L954" t="s">
        <v>163</v>
      </c>
      <c r="M954" t="s">
        <v>163</v>
      </c>
      <c r="N954" t="s">
        <v>163</v>
      </c>
      <c r="O954" s="6" t="s">
        <v>1533</v>
      </c>
      <c r="P954">
        <v>0</v>
      </c>
      <c r="Q954" s="24">
        <v>69.5</v>
      </c>
      <c r="R954" s="25">
        <v>96</v>
      </c>
      <c r="S954" s="26">
        <v>62.8</v>
      </c>
      <c r="Y954">
        <v>10</v>
      </c>
      <c r="Z954">
        <v>30</v>
      </c>
      <c r="AA954" s="3">
        <v>25</v>
      </c>
      <c r="AB954" s="3">
        <v>6</v>
      </c>
      <c r="AC954">
        <v>155</v>
      </c>
      <c r="AD954" s="9">
        <f t="shared" si="257"/>
        <v>4346.4166666666661</v>
      </c>
      <c r="AE954">
        <f t="shared" si="264"/>
        <v>2555730</v>
      </c>
      <c r="AF954" s="2">
        <f t="shared" si="268"/>
        <v>49</v>
      </c>
      <c r="AG954" t="str">
        <f t="shared" si="258"/>
        <v>72小时</v>
      </c>
      <c r="AH954">
        <f t="shared" si="259"/>
        <v>147</v>
      </c>
      <c r="AI954">
        <f t="shared" si="260"/>
        <v>25</v>
      </c>
      <c r="AJ954">
        <f t="shared" si="265"/>
        <v>82</v>
      </c>
      <c r="AK954">
        <f t="shared" si="261"/>
        <v>41</v>
      </c>
      <c r="AL954">
        <f t="shared" si="266"/>
        <v>49</v>
      </c>
      <c r="AM954" s="2">
        <f t="shared" si="262"/>
        <v>25</v>
      </c>
      <c r="AX954">
        <v>951</v>
      </c>
      <c r="AZ954" s="3"/>
      <c r="BB954" s="2">
        <f t="shared" si="263"/>
        <v>225</v>
      </c>
      <c r="BC954">
        <f t="shared" si="267"/>
        <v>29.853316326530614</v>
      </c>
      <c r="BD954" s="2">
        <f t="shared" si="269"/>
        <v>82</v>
      </c>
      <c r="BE954">
        <f t="shared" si="270"/>
        <v>49</v>
      </c>
      <c r="BF954">
        <f t="shared" si="271"/>
        <v>282240</v>
      </c>
    </row>
    <row r="955" spans="1:58" ht="14.25" x14ac:dyDescent="0.2">
      <c r="A955" s="12">
        <v>20422</v>
      </c>
      <c r="B955" s="13">
        <f t="shared" si="272"/>
        <v>19</v>
      </c>
      <c r="C955" s="15">
        <f t="shared" si="273"/>
        <v>13</v>
      </c>
      <c r="D955" s="14">
        <f t="shared" si="274"/>
        <v>12</v>
      </c>
      <c r="E955" t="s">
        <v>2777</v>
      </c>
      <c r="F955" t="s">
        <v>2835</v>
      </c>
      <c r="G955" t="s">
        <v>2779</v>
      </c>
      <c r="H955" t="s">
        <v>2779</v>
      </c>
      <c r="I955" t="s">
        <v>2780</v>
      </c>
      <c r="J955" s="4" t="s">
        <v>2842</v>
      </c>
      <c r="K955" t="s">
        <v>175</v>
      </c>
      <c r="L955" t="s">
        <v>164</v>
      </c>
      <c r="M955" t="s">
        <v>163</v>
      </c>
      <c r="N955" t="s">
        <v>167</v>
      </c>
      <c r="O955" s="6" t="s">
        <v>1535</v>
      </c>
      <c r="P955">
        <v>0</v>
      </c>
      <c r="Q955" s="24">
        <v>69.5</v>
      </c>
      <c r="R955" s="25">
        <v>96</v>
      </c>
      <c r="S955" s="26">
        <v>62.8</v>
      </c>
      <c r="Y955">
        <v>10</v>
      </c>
      <c r="Z955">
        <v>30</v>
      </c>
      <c r="AA955" s="3">
        <v>25</v>
      </c>
      <c r="AB955" s="3">
        <v>6</v>
      </c>
      <c r="AC955">
        <v>155</v>
      </c>
      <c r="AD955" s="9">
        <f t="shared" si="257"/>
        <v>4346.4166666666661</v>
      </c>
      <c r="AE955">
        <f t="shared" si="264"/>
        <v>2555730</v>
      </c>
      <c r="AF955" s="2">
        <f t="shared" si="268"/>
        <v>49</v>
      </c>
      <c r="AG955" t="str">
        <f t="shared" si="258"/>
        <v>72小时</v>
      </c>
      <c r="AH955">
        <f t="shared" si="259"/>
        <v>147</v>
      </c>
      <c r="AI955">
        <f t="shared" si="260"/>
        <v>25</v>
      </c>
      <c r="AJ955">
        <f t="shared" si="265"/>
        <v>82</v>
      </c>
      <c r="AK955">
        <f t="shared" si="261"/>
        <v>41</v>
      </c>
      <c r="AL955">
        <f t="shared" si="266"/>
        <v>49</v>
      </c>
      <c r="AM955" s="2">
        <f t="shared" si="262"/>
        <v>25</v>
      </c>
      <c r="AX955">
        <v>952</v>
      </c>
      <c r="AZ955" s="3"/>
      <c r="BB955" s="2">
        <f t="shared" si="263"/>
        <v>225</v>
      </c>
      <c r="BC955">
        <f t="shared" si="267"/>
        <v>29.853316326530614</v>
      </c>
      <c r="BD955" s="2">
        <f t="shared" si="269"/>
        <v>82</v>
      </c>
      <c r="BE955">
        <f t="shared" si="270"/>
        <v>49</v>
      </c>
      <c r="BF955">
        <f t="shared" si="271"/>
        <v>282240</v>
      </c>
    </row>
    <row r="956" spans="1:58" ht="14.25" x14ac:dyDescent="0.2">
      <c r="A956" s="12">
        <v>20423</v>
      </c>
      <c r="B956" s="13">
        <f t="shared" si="272"/>
        <v>19</v>
      </c>
      <c r="C956" s="15">
        <f t="shared" si="273"/>
        <v>13</v>
      </c>
      <c r="D956" s="14">
        <f t="shared" si="274"/>
        <v>12</v>
      </c>
      <c r="E956" t="s">
        <v>2777</v>
      </c>
      <c r="F956" t="s">
        <v>2836</v>
      </c>
      <c r="G956" t="s">
        <v>2779</v>
      </c>
      <c r="H956" t="s">
        <v>2779</v>
      </c>
      <c r="I956" t="s">
        <v>2780</v>
      </c>
      <c r="J956" s="4" t="s">
        <v>2842</v>
      </c>
      <c r="K956" t="s">
        <v>179</v>
      </c>
      <c r="L956" t="s">
        <v>163</v>
      </c>
      <c r="M956" t="s">
        <v>163</v>
      </c>
      <c r="N956" t="s">
        <v>163</v>
      </c>
      <c r="O956" s="6" t="s">
        <v>1537</v>
      </c>
      <c r="P956">
        <v>0</v>
      </c>
      <c r="Q956" s="24">
        <v>69.5</v>
      </c>
      <c r="R956" s="25">
        <v>96</v>
      </c>
      <c r="S956" s="26">
        <v>62.8</v>
      </c>
      <c r="Y956">
        <v>10</v>
      </c>
      <c r="Z956">
        <v>30</v>
      </c>
      <c r="AA956" s="3">
        <v>25</v>
      </c>
      <c r="AB956" s="3">
        <v>6</v>
      </c>
      <c r="AC956">
        <v>155</v>
      </c>
      <c r="AD956" s="9">
        <f t="shared" si="257"/>
        <v>4346.4166666666661</v>
      </c>
      <c r="AE956">
        <f t="shared" si="264"/>
        <v>2555730</v>
      </c>
      <c r="AF956" s="2">
        <f t="shared" si="268"/>
        <v>49</v>
      </c>
      <c r="AG956" t="str">
        <f t="shared" si="258"/>
        <v>72小时</v>
      </c>
      <c r="AH956">
        <f t="shared" si="259"/>
        <v>147</v>
      </c>
      <c r="AI956">
        <f t="shared" si="260"/>
        <v>25</v>
      </c>
      <c r="AJ956">
        <f t="shared" si="265"/>
        <v>82</v>
      </c>
      <c r="AK956">
        <f t="shared" si="261"/>
        <v>41</v>
      </c>
      <c r="AL956">
        <f t="shared" si="266"/>
        <v>49</v>
      </c>
      <c r="AM956" s="2">
        <f t="shared" si="262"/>
        <v>25</v>
      </c>
      <c r="AX956">
        <v>953</v>
      </c>
      <c r="AZ956" s="3"/>
      <c r="BB956" s="2">
        <f t="shared" si="263"/>
        <v>225</v>
      </c>
      <c r="BC956">
        <f t="shared" si="267"/>
        <v>29.853316326530614</v>
      </c>
      <c r="BD956" s="2">
        <f t="shared" si="269"/>
        <v>82</v>
      </c>
      <c r="BE956">
        <f t="shared" si="270"/>
        <v>49</v>
      </c>
      <c r="BF956">
        <f t="shared" si="271"/>
        <v>282240</v>
      </c>
    </row>
    <row r="957" spans="1:58" ht="14.25" x14ac:dyDescent="0.2">
      <c r="A957" s="12">
        <v>20424</v>
      </c>
      <c r="B957" s="13">
        <f t="shared" si="272"/>
        <v>19</v>
      </c>
      <c r="C957" s="15">
        <f t="shared" si="273"/>
        <v>13</v>
      </c>
      <c r="D957" s="14">
        <f t="shared" si="274"/>
        <v>12</v>
      </c>
      <c r="E957" t="s">
        <v>2777</v>
      </c>
      <c r="F957" t="s">
        <v>2837</v>
      </c>
      <c r="G957" t="s">
        <v>2779</v>
      </c>
      <c r="H957" t="s">
        <v>2779</v>
      </c>
      <c r="I957" t="s">
        <v>2780</v>
      </c>
      <c r="J957" s="4" t="s">
        <v>2842</v>
      </c>
      <c r="K957" t="s">
        <v>177</v>
      </c>
      <c r="L957" t="s">
        <v>163</v>
      </c>
      <c r="M957" t="s">
        <v>163</v>
      </c>
      <c r="N957" t="s">
        <v>163</v>
      </c>
      <c r="O957" s="6" t="s">
        <v>1537</v>
      </c>
      <c r="P957">
        <v>0</v>
      </c>
      <c r="Q957" s="24">
        <v>69.5</v>
      </c>
      <c r="R957" s="25">
        <v>96</v>
      </c>
      <c r="S957" s="26">
        <v>62.8</v>
      </c>
      <c r="Y957">
        <v>10</v>
      </c>
      <c r="Z957">
        <v>30</v>
      </c>
      <c r="AA957" s="3">
        <v>25</v>
      </c>
      <c r="AB957" s="3">
        <v>6</v>
      </c>
      <c r="AC957">
        <v>155</v>
      </c>
      <c r="AD957" s="9">
        <f t="shared" si="257"/>
        <v>4346.4166666666661</v>
      </c>
      <c r="AE957">
        <f t="shared" si="264"/>
        <v>2555730</v>
      </c>
      <c r="AF957" s="2">
        <f t="shared" si="268"/>
        <v>49</v>
      </c>
      <c r="AG957" t="str">
        <f t="shared" si="258"/>
        <v>72小时</v>
      </c>
      <c r="AH957">
        <f t="shared" si="259"/>
        <v>147</v>
      </c>
      <c r="AI957">
        <f t="shared" si="260"/>
        <v>25</v>
      </c>
      <c r="AJ957">
        <f t="shared" si="265"/>
        <v>82</v>
      </c>
      <c r="AK957">
        <f t="shared" si="261"/>
        <v>41</v>
      </c>
      <c r="AL957">
        <f t="shared" si="266"/>
        <v>49</v>
      </c>
      <c r="AM957" s="2">
        <f t="shared" si="262"/>
        <v>25</v>
      </c>
      <c r="AX957">
        <v>954</v>
      </c>
      <c r="AZ957" s="3"/>
      <c r="BB957" s="2">
        <f t="shared" si="263"/>
        <v>225</v>
      </c>
      <c r="BC957">
        <f t="shared" si="267"/>
        <v>29.853316326530614</v>
      </c>
      <c r="BD957" s="2">
        <f t="shared" si="269"/>
        <v>82</v>
      </c>
      <c r="BE957">
        <f t="shared" si="270"/>
        <v>49</v>
      </c>
      <c r="BF957">
        <f t="shared" si="271"/>
        <v>282240</v>
      </c>
    </row>
    <row r="958" spans="1:58" ht="14.25" x14ac:dyDescent="0.2">
      <c r="A958" s="12">
        <v>20425</v>
      </c>
      <c r="B958" s="13">
        <f t="shared" si="272"/>
        <v>19</v>
      </c>
      <c r="C958" s="15">
        <f t="shared" si="273"/>
        <v>13</v>
      </c>
      <c r="D958" s="14">
        <f t="shared" si="274"/>
        <v>12</v>
      </c>
      <c r="E958" t="s">
        <v>2785</v>
      </c>
      <c r="F958" t="s">
        <v>2786</v>
      </c>
      <c r="G958" t="s">
        <v>2828</v>
      </c>
      <c r="H958" t="s">
        <v>2829</v>
      </c>
      <c r="I958" t="s">
        <v>2697</v>
      </c>
      <c r="J958" s="4" t="s">
        <v>2880</v>
      </c>
      <c r="K958" t="s">
        <v>174</v>
      </c>
      <c r="L958" t="s">
        <v>163</v>
      </c>
      <c r="M958" t="s">
        <v>163</v>
      </c>
      <c r="N958" t="s">
        <v>163</v>
      </c>
      <c r="O958" s="6" t="s">
        <v>1539</v>
      </c>
      <c r="P958">
        <v>0</v>
      </c>
      <c r="Q958" s="24">
        <v>69.5</v>
      </c>
      <c r="R958" s="25">
        <v>96</v>
      </c>
      <c r="S958" s="26">
        <v>62.8</v>
      </c>
      <c r="Y958">
        <v>10</v>
      </c>
      <c r="Z958">
        <v>30</v>
      </c>
      <c r="AA958" s="3">
        <v>25</v>
      </c>
      <c r="AB958" s="3">
        <v>6</v>
      </c>
      <c r="AC958">
        <v>155</v>
      </c>
      <c r="AD958" s="9">
        <f t="shared" si="257"/>
        <v>4346.4166666666661</v>
      </c>
      <c r="AE958">
        <f t="shared" si="264"/>
        <v>2555730</v>
      </c>
      <c r="AF958" s="2">
        <f t="shared" si="268"/>
        <v>49</v>
      </c>
      <c r="AG958" t="str">
        <f t="shared" si="258"/>
        <v>72小时</v>
      </c>
      <c r="AH958">
        <f t="shared" si="259"/>
        <v>147</v>
      </c>
      <c r="AI958">
        <f t="shared" si="260"/>
        <v>25</v>
      </c>
      <c r="AJ958">
        <f t="shared" si="265"/>
        <v>82</v>
      </c>
      <c r="AK958">
        <f t="shared" si="261"/>
        <v>41</v>
      </c>
      <c r="AL958">
        <f t="shared" si="266"/>
        <v>49</v>
      </c>
      <c r="AM958" s="2">
        <f t="shared" si="262"/>
        <v>25</v>
      </c>
      <c r="AX958">
        <v>955</v>
      </c>
      <c r="AZ958" s="3"/>
      <c r="BB958" s="2">
        <f t="shared" si="263"/>
        <v>225</v>
      </c>
      <c r="BC958">
        <f t="shared" si="267"/>
        <v>29.853316326530614</v>
      </c>
      <c r="BD958" s="2">
        <f t="shared" si="269"/>
        <v>82</v>
      </c>
      <c r="BE958">
        <f t="shared" si="270"/>
        <v>49</v>
      </c>
      <c r="BF958">
        <f t="shared" si="271"/>
        <v>282240</v>
      </c>
    </row>
    <row r="959" spans="1:58" ht="14.25" x14ac:dyDescent="0.2">
      <c r="A959" s="12">
        <v>20426</v>
      </c>
      <c r="B959" s="13">
        <f t="shared" si="272"/>
        <v>19</v>
      </c>
      <c r="C959" s="15">
        <f t="shared" si="273"/>
        <v>13</v>
      </c>
      <c r="D959" s="14">
        <f t="shared" si="274"/>
        <v>12</v>
      </c>
      <c r="E959" t="s">
        <v>2777</v>
      </c>
      <c r="F959" t="s">
        <v>2834</v>
      </c>
      <c r="G959" t="s">
        <v>2779</v>
      </c>
      <c r="H959" t="s">
        <v>2779</v>
      </c>
      <c r="I959" t="s">
        <v>2780</v>
      </c>
      <c r="J959" s="4" t="s">
        <v>2842</v>
      </c>
      <c r="K959" t="s">
        <v>182</v>
      </c>
      <c r="L959" t="s">
        <v>163</v>
      </c>
      <c r="M959" t="s">
        <v>163</v>
      </c>
      <c r="N959" t="s">
        <v>163</v>
      </c>
      <c r="O959" s="6" t="s">
        <v>1541</v>
      </c>
      <c r="P959">
        <v>0</v>
      </c>
      <c r="Q959" s="24">
        <v>69.8</v>
      </c>
      <c r="R959" s="25">
        <v>96.5</v>
      </c>
      <c r="S959" s="26">
        <v>63</v>
      </c>
      <c r="Y959">
        <v>10</v>
      </c>
      <c r="Z959">
        <v>30</v>
      </c>
      <c r="AA959" s="3">
        <v>25</v>
      </c>
      <c r="AB959" s="3">
        <v>6</v>
      </c>
      <c r="AC959">
        <v>155</v>
      </c>
      <c r="AD959" s="9">
        <f t="shared" si="257"/>
        <v>4328.75</v>
      </c>
      <c r="AE959">
        <f t="shared" si="264"/>
        <v>2555730</v>
      </c>
      <c r="AF959" s="2">
        <f t="shared" si="268"/>
        <v>49.2</v>
      </c>
      <c r="AG959" t="str">
        <f t="shared" si="258"/>
        <v>72小时</v>
      </c>
      <c r="AH959">
        <f t="shared" si="259"/>
        <v>148</v>
      </c>
      <c r="AI959">
        <f t="shared" si="260"/>
        <v>25</v>
      </c>
      <c r="AJ959">
        <f t="shared" si="265"/>
        <v>82.3</v>
      </c>
      <c r="AK959">
        <f t="shared" si="261"/>
        <v>42</v>
      </c>
      <c r="AL959">
        <f t="shared" si="266"/>
        <v>49.2</v>
      </c>
      <c r="AM959" s="2">
        <f t="shared" si="262"/>
        <v>25</v>
      </c>
      <c r="AX959">
        <v>956</v>
      </c>
      <c r="AZ959" s="3"/>
      <c r="BB959" s="2">
        <f t="shared" si="263"/>
        <v>225</v>
      </c>
      <c r="BC959">
        <f t="shared" si="267"/>
        <v>29.73196138211382</v>
      </c>
      <c r="BD959" s="2">
        <f t="shared" si="269"/>
        <v>82.3</v>
      </c>
      <c r="BE959">
        <f t="shared" si="270"/>
        <v>49.2</v>
      </c>
      <c r="BF959">
        <f t="shared" si="271"/>
        <v>283392</v>
      </c>
    </row>
    <row r="960" spans="1:58" ht="14.25" x14ac:dyDescent="0.2">
      <c r="A960" s="12">
        <v>20427</v>
      </c>
      <c r="B960" s="13">
        <f t="shared" si="272"/>
        <v>19</v>
      </c>
      <c r="C960" s="15">
        <f t="shared" si="273"/>
        <v>13</v>
      </c>
      <c r="D960" s="14">
        <f t="shared" si="274"/>
        <v>12</v>
      </c>
      <c r="E960" t="s">
        <v>2777</v>
      </c>
      <c r="F960" t="s">
        <v>2835</v>
      </c>
      <c r="G960" t="s">
        <v>2779</v>
      </c>
      <c r="H960" t="s">
        <v>2779</v>
      </c>
      <c r="I960" t="s">
        <v>2780</v>
      </c>
      <c r="J960" s="4" t="s">
        <v>2842</v>
      </c>
      <c r="K960" t="s">
        <v>162</v>
      </c>
      <c r="L960" t="s">
        <v>163</v>
      </c>
      <c r="M960" t="s">
        <v>163</v>
      </c>
      <c r="N960" t="s">
        <v>163</v>
      </c>
      <c r="O960" s="6" t="s">
        <v>1541</v>
      </c>
      <c r="P960">
        <v>0</v>
      </c>
      <c r="Q960" s="24">
        <v>69.8</v>
      </c>
      <c r="R960" s="25">
        <v>96.5</v>
      </c>
      <c r="S960" s="26">
        <v>63</v>
      </c>
      <c r="Y960">
        <v>10</v>
      </c>
      <c r="Z960">
        <v>30</v>
      </c>
      <c r="AA960" s="3">
        <v>25</v>
      </c>
      <c r="AB960" s="3">
        <v>6</v>
      </c>
      <c r="AC960">
        <v>155</v>
      </c>
      <c r="AD960" s="9">
        <f t="shared" ref="AD960:AD983" si="275">INT(AE960/AF960)/60*5</f>
        <v>4328.75</v>
      </c>
      <c r="AE960">
        <f t="shared" si="264"/>
        <v>2555730</v>
      </c>
      <c r="AF960" s="2">
        <f t="shared" si="268"/>
        <v>49.2</v>
      </c>
      <c r="AG960" t="str">
        <f t="shared" ref="AG960:AG983" si="276">IF(AD960&lt;60,CONCATENATE(INT(AD960),"分钟"),CONCATENATE(INT(AD960/60),"小时"))</f>
        <v>72小时</v>
      </c>
      <c r="AH960">
        <f t="shared" ref="AH960:AH983" si="277">ROUNDUP(AF960*3,0)</f>
        <v>148</v>
      </c>
      <c r="AI960">
        <f t="shared" ref="AI960:AI983" si="278">ROUNDUP(AH960/AB960,0)</f>
        <v>25</v>
      </c>
      <c r="AJ960">
        <f t="shared" si="265"/>
        <v>82.3</v>
      </c>
      <c r="AK960">
        <f t="shared" ref="AK960:AK983" si="279">ROUNDUP(AJ960*3/AB960,0)</f>
        <v>42</v>
      </c>
      <c r="AL960">
        <f t="shared" si="266"/>
        <v>49.2</v>
      </c>
      <c r="AM960" s="2">
        <f t="shared" ref="AM960:AM983" si="280">ROUNDUP(AL960*3/AB960,0)</f>
        <v>25</v>
      </c>
      <c r="AX960">
        <v>957</v>
      </c>
      <c r="AZ960" s="3"/>
      <c r="BB960" s="2">
        <f t="shared" si="263"/>
        <v>225</v>
      </c>
      <c r="BC960">
        <f t="shared" si="267"/>
        <v>29.73196138211382</v>
      </c>
      <c r="BD960" s="2">
        <f t="shared" si="269"/>
        <v>82.3</v>
      </c>
      <c r="BE960">
        <f t="shared" si="270"/>
        <v>49.2</v>
      </c>
      <c r="BF960">
        <f t="shared" si="271"/>
        <v>283392</v>
      </c>
    </row>
    <row r="961" spans="1:59" ht="14.25" x14ac:dyDescent="0.2">
      <c r="A961" s="12">
        <v>20428</v>
      </c>
      <c r="B961" s="13">
        <f t="shared" si="272"/>
        <v>19</v>
      </c>
      <c r="C961" s="15">
        <f t="shared" si="273"/>
        <v>13</v>
      </c>
      <c r="D961" s="14">
        <f t="shared" si="274"/>
        <v>12</v>
      </c>
      <c r="E961" t="s">
        <v>2777</v>
      </c>
      <c r="F961" t="s">
        <v>2836</v>
      </c>
      <c r="G961" t="s">
        <v>2779</v>
      </c>
      <c r="H961" t="s">
        <v>2779</v>
      </c>
      <c r="I961" t="s">
        <v>2780</v>
      </c>
      <c r="J961" s="4" t="s">
        <v>2842</v>
      </c>
      <c r="K961" t="s">
        <v>177</v>
      </c>
      <c r="L961" t="s">
        <v>163</v>
      </c>
      <c r="M961" t="s">
        <v>163</v>
      </c>
      <c r="N961" t="s">
        <v>163</v>
      </c>
      <c r="O961" s="6" t="s">
        <v>1543</v>
      </c>
      <c r="P961">
        <v>0</v>
      </c>
      <c r="Q961" s="24">
        <v>69.8</v>
      </c>
      <c r="R961" s="25">
        <v>96.5</v>
      </c>
      <c r="S961" s="26">
        <v>63</v>
      </c>
      <c r="Y961">
        <v>10</v>
      </c>
      <c r="Z961">
        <v>30</v>
      </c>
      <c r="AA961" s="3">
        <v>25</v>
      </c>
      <c r="AB961" s="3">
        <v>6</v>
      </c>
      <c r="AC961">
        <v>155</v>
      </c>
      <c r="AD961" s="9">
        <f t="shared" si="275"/>
        <v>4328.75</v>
      </c>
      <c r="AE961">
        <f t="shared" si="264"/>
        <v>2555730</v>
      </c>
      <c r="AF961" s="2">
        <f t="shared" si="268"/>
        <v>49.2</v>
      </c>
      <c r="AG961" t="str">
        <f t="shared" si="276"/>
        <v>72小时</v>
      </c>
      <c r="AH961">
        <f t="shared" si="277"/>
        <v>148</v>
      </c>
      <c r="AI961">
        <f t="shared" si="278"/>
        <v>25</v>
      </c>
      <c r="AJ961">
        <f t="shared" si="265"/>
        <v>82.3</v>
      </c>
      <c r="AK961">
        <f t="shared" si="279"/>
        <v>42</v>
      </c>
      <c r="AL961">
        <f t="shared" si="266"/>
        <v>49.2</v>
      </c>
      <c r="AM961" s="2">
        <f t="shared" si="280"/>
        <v>25</v>
      </c>
      <c r="AX961">
        <v>958</v>
      </c>
      <c r="AZ961" s="3"/>
      <c r="BB961" s="2">
        <f t="shared" si="263"/>
        <v>225</v>
      </c>
      <c r="BC961">
        <f t="shared" si="267"/>
        <v>29.73196138211382</v>
      </c>
      <c r="BD961" s="2">
        <f t="shared" si="269"/>
        <v>82.3</v>
      </c>
      <c r="BE961">
        <f t="shared" si="270"/>
        <v>49.2</v>
      </c>
      <c r="BF961">
        <f t="shared" si="271"/>
        <v>283392</v>
      </c>
    </row>
    <row r="962" spans="1:59" ht="14.25" x14ac:dyDescent="0.2">
      <c r="A962" s="12">
        <v>20429</v>
      </c>
      <c r="B962" s="13">
        <f t="shared" si="272"/>
        <v>19</v>
      </c>
      <c r="C962" s="15">
        <f t="shared" si="273"/>
        <v>13</v>
      </c>
      <c r="D962" s="14">
        <f t="shared" si="274"/>
        <v>12</v>
      </c>
      <c r="E962" t="s">
        <v>2777</v>
      </c>
      <c r="F962" t="s">
        <v>2837</v>
      </c>
      <c r="G962" t="s">
        <v>2779</v>
      </c>
      <c r="H962" t="s">
        <v>2779</v>
      </c>
      <c r="I962" t="s">
        <v>2780</v>
      </c>
      <c r="J962" s="4" t="s">
        <v>2842</v>
      </c>
      <c r="K962" t="s">
        <v>174</v>
      </c>
      <c r="L962" t="s">
        <v>163</v>
      </c>
      <c r="M962" t="s">
        <v>163</v>
      </c>
      <c r="N962" t="s">
        <v>163</v>
      </c>
      <c r="O962" s="6" t="s">
        <v>1545</v>
      </c>
      <c r="P962">
        <v>0</v>
      </c>
      <c r="Q962" s="24">
        <v>69.8</v>
      </c>
      <c r="R962" s="25">
        <v>96.5</v>
      </c>
      <c r="S962" s="26">
        <v>63</v>
      </c>
      <c r="Y962">
        <v>10</v>
      </c>
      <c r="Z962">
        <v>30</v>
      </c>
      <c r="AA962" s="3">
        <v>25</v>
      </c>
      <c r="AB962" s="3">
        <v>6</v>
      </c>
      <c r="AC962">
        <v>155</v>
      </c>
      <c r="AD962" s="9">
        <f t="shared" si="275"/>
        <v>4328.75</v>
      </c>
      <c r="AE962">
        <f t="shared" si="264"/>
        <v>2555730</v>
      </c>
      <c r="AF962" s="2">
        <f t="shared" si="268"/>
        <v>49.2</v>
      </c>
      <c r="AG962" t="str">
        <f t="shared" si="276"/>
        <v>72小时</v>
      </c>
      <c r="AH962">
        <f t="shared" si="277"/>
        <v>148</v>
      </c>
      <c r="AI962">
        <f t="shared" si="278"/>
        <v>25</v>
      </c>
      <c r="AJ962">
        <f t="shared" si="265"/>
        <v>82.3</v>
      </c>
      <c r="AK962">
        <f t="shared" si="279"/>
        <v>42</v>
      </c>
      <c r="AL962">
        <f t="shared" si="266"/>
        <v>49.2</v>
      </c>
      <c r="AM962" s="2">
        <f t="shared" si="280"/>
        <v>25</v>
      </c>
      <c r="AX962">
        <v>959</v>
      </c>
      <c r="AZ962" s="3"/>
      <c r="BB962" s="2">
        <f t="shared" si="263"/>
        <v>225</v>
      </c>
      <c r="BC962">
        <f t="shared" si="267"/>
        <v>29.73196138211382</v>
      </c>
      <c r="BD962" s="2">
        <f t="shared" si="269"/>
        <v>82.3</v>
      </c>
      <c r="BE962">
        <f t="shared" si="270"/>
        <v>49.2</v>
      </c>
      <c r="BF962">
        <f t="shared" si="271"/>
        <v>283392</v>
      </c>
    </row>
    <row r="963" spans="1:59" ht="14.25" x14ac:dyDescent="0.2">
      <c r="A963" s="12">
        <v>20430</v>
      </c>
      <c r="B963" s="13">
        <f t="shared" si="272"/>
        <v>19</v>
      </c>
      <c r="C963" s="15">
        <f t="shared" si="273"/>
        <v>13</v>
      </c>
      <c r="D963" s="14">
        <f t="shared" si="274"/>
        <v>12</v>
      </c>
      <c r="E963" t="s">
        <v>2785</v>
      </c>
      <c r="F963" t="s">
        <v>2786</v>
      </c>
      <c r="G963" t="s">
        <v>2830</v>
      </c>
      <c r="H963" t="s">
        <v>2829</v>
      </c>
      <c r="I963" t="s">
        <v>2697</v>
      </c>
      <c r="J963" s="4" t="s">
        <v>2862</v>
      </c>
      <c r="K963" t="s">
        <v>166</v>
      </c>
      <c r="L963" t="s">
        <v>163</v>
      </c>
      <c r="M963" t="s">
        <v>163</v>
      </c>
      <c r="N963" t="s">
        <v>163</v>
      </c>
      <c r="O963" s="6" t="s">
        <v>1545</v>
      </c>
      <c r="P963">
        <v>0</v>
      </c>
      <c r="Q963" s="24">
        <v>69.8</v>
      </c>
      <c r="R963" s="25">
        <v>96.5</v>
      </c>
      <c r="S963" s="26">
        <v>63</v>
      </c>
      <c r="Y963">
        <v>10</v>
      </c>
      <c r="Z963">
        <v>30</v>
      </c>
      <c r="AA963" s="3">
        <v>25</v>
      </c>
      <c r="AB963" s="3">
        <v>6</v>
      </c>
      <c r="AC963">
        <v>155</v>
      </c>
      <c r="AD963" s="9">
        <f t="shared" si="275"/>
        <v>4328.75</v>
      </c>
      <c r="AE963">
        <f t="shared" si="264"/>
        <v>2555730</v>
      </c>
      <c r="AF963" s="2">
        <f t="shared" si="268"/>
        <v>49.2</v>
      </c>
      <c r="AG963" t="str">
        <f t="shared" si="276"/>
        <v>72小时</v>
      </c>
      <c r="AH963">
        <f t="shared" si="277"/>
        <v>148</v>
      </c>
      <c r="AI963">
        <f t="shared" si="278"/>
        <v>25</v>
      </c>
      <c r="AJ963">
        <f t="shared" si="265"/>
        <v>82.3</v>
      </c>
      <c r="AK963">
        <f t="shared" si="279"/>
        <v>42</v>
      </c>
      <c r="AL963">
        <f t="shared" si="266"/>
        <v>49.2</v>
      </c>
      <c r="AM963" s="2">
        <f t="shared" si="280"/>
        <v>25</v>
      </c>
      <c r="AX963">
        <v>960</v>
      </c>
      <c r="AZ963" s="3"/>
      <c r="BB963" s="2">
        <f t="shared" ref="BB963:BB983" si="281">100+FLOOR((AX963-190)/30,1)*5</f>
        <v>225</v>
      </c>
      <c r="BC963">
        <f t="shared" si="267"/>
        <v>29.73196138211382</v>
      </c>
      <c r="BD963" s="2">
        <f t="shared" si="269"/>
        <v>82.3</v>
      </c>
      <c r="BE963">
        <f t="shared" si="270"/>
        <v>49.2</v>
      </c>
      <c r="BF963">
        <f t="shared" si="271"/>
        <v>283392</v>
      </c>
    </row>
    <row r="964" spans="1:59" ht="14.25" x14ac:dyDescent="0.2">
      <c r="A964" s="12">
        <v>20431</v>
      </c>
      <c r="B964" s="13">
        <f t="shared" si="272"/>
        <v>19</v>
      </c>
      <c r="C964" s="15">
        <f t="shared" si="273"/>
        <v>13</v>
      </c>
      <c r="D964" s="14">
        <f t="shared" si="274"/>
        <v>12</v>
      </c>
      <c r="E964" t="s">
        <v>2777</v>
      </c>
      <c r="F964" t="s">
        <v>2834</v>
      </c>
      <c r="G964" t="s">
        <v>2779</v>
      </c>
      <c r="H964" t="s">
        <v>2779</v>
      </c>
      <c r="I964" t="s">
        <v>2780</v>
      </c>
      <c r="J964" s="4" t="s">
        <v>2842</v>
      </c>
      <c r="K964" t="s">
        <v>168</v>
      </c>
      <c r="L964" t="s">
        <v>163</v>
      </c>
      <c r="M964" t="s">
        <v>163</v>
      </c>
      <c r="N964" t="s">
        <v>163</v>
      </c>
      <c r="O964" s="6" t="s">
        <v>1547</v>
      </c>
      <c r="P964">
        <v>0</v>
      </c>
      <c r="Q964" s="24">
        <v>70.2</v>
      </c>
      <c r="R964" s="25">
        <v>97</v>
      </c>
      <c r="S964" s="26">
        <v>63.3</v>
      </c>
      <c r="Y964">
        <v>10</v>
      </c>
      <c r="Z964">
        <v>30</v>
      </c>
      <c r="AA964" s="3">
        <v>25</v>
      </c>
      <c r="AB964" s="3">
        <v>6</v>
      </c>
      <c r="AC964">
        <v>155</v>
      </c>
      <c r="AD964" s="9">
        <f t="shared" si="275"/>
        <v>4302.5</v>
      </c>
      <c r="AE964">
        <f t="shared" ref="AE964:AE983" si="282">INDEX(V:V,MATCH(AC964,U:U,0))</f>
        <v>2555730</v>
      </c>
      <c r="AF964" s="2">
        <f t="shared" si="268"/>
        <v>49.5</v>
      </c>
      <c r="AG964" t="str">
        <f t="shared" si="276"/>
        <v>71小时</v>
      </c>
      <c r="AH964">
        <f t="shared" si="277"/>
        <v>149</v>
      </c>
      <c r="AI964">
        <f t="shared" si="278"/>
        <v>25</v>
      </c>
      <c r="AJ964">
        <f t="shared" ref="AJ964:AJ983" si="283">BD964</f>
        <v>82.8</v>
      </c>
      <c r="AK964">
        <f t="shared" si="279"/>
        <v>42</v>
      </c>
      <c r="AL964">
        <f t="shared" ref="AL964:AL983" si="284">BE964</f>
        <v>49.5</v>
      </c>
      <c r="AM964" s="2">
        <f t="shared" si="280"/>
        <v>25</v>
      </c>
      <c r="AX964">
        <v>961</v>
      </c>
      <c r="AZ964" s="3"/>
      <c r="BB964" s="2">
        <f t="shared" si="281"/>
        <v>225</v>
      </c>
      <c r="BC964">
        <f t="shared" ref="BC964:BC983" si="285">INDEX($W:$W,MATCH(BB964,$U:$U,0))/(BE964*60*60/5)</f>
        <v>29.551767676767678</v>
      </c>
      <c r="BD964" s="2">
        <f t="shared" si="269"/>
        <v>82.8</v>
      </c>
      <c r="BE964">
        <f t="shared" si="270"/>
        <v>49.5</v>
      </c>
      <c r="BF964">
        <f t="shared" si="271"/>
        <v>285120</v>
      </c>
    </row>
    <row r="965" spans="1:59" ht="14.25" x14ac:dyDescent="0.2">
      <c r="A965" s="12">
        <v>20432</v>
      </c>
      <c r="B965" s="13">
        <f t="shared" si="272"/>
        <v>19</v>
      </c>
      <c r="C965" s="15">
        <f t="shared" si="273"/>
        <v>13</v>
      </c>
      <c r="D965" s="14">
        <f t="shared" si="274"/>
        <v>12</v>
      </c>
      <c r="E965" t="s">
        <v>2777</v>
      </c>
      <c r="F965" t="s">
        <v>2835</v>
      </c>
      <c r="G965" t="s">
        <v>2779</v>
      </c>
      <c r="H965" t="s">
        <v>2779</v>
      </c>
      <c r="I965" t="s">
        <v>2780</v>
      </c>
      <c r="J965" s="4" t="s">
        <v>2842</v>
      </c>
      <c r="K965" t="s">
        <v>175</v>
      </c>
      <c r="L965" t="s">
        <v>164</v>
      </c>
      <c r="M965" t="s">
        <v>163</v>
      </c>
      <c r="N965" t="s">
        <v>167</v>
      </c>
      <c r="O965" s="6" t="s">
        <v>1549</v>
      </c>
      <c r="P965">
        <v>0</v>
      </c>
      <c r="Q965" s="24">
        <v>70.2</v>
      </c>
      <c r="R965" s="25">
        <v>97</v>
      </c>
      <c r="S965" s="26">
        <v>63.3</v>
      </c>
      <c r="Y965">
        <v>10</v>
      </c>
      <c r="Z965">
        <v>30</v>
      </c>
      <c r="AA965" s="3">
        <v>25</v>
      </c>
      <c r="AB965" s="3">
        <v>6</v>
      </c>
      <c r="AC965">
        <v>155</v>
      </c>
      <c r="AD965" s="9">
        <f t="shared" si="275"/>
        <v>4302.5</v>
      </c>
      <c r="AE965">
        <f t="shared" si="282"/>
        <v>2555730</v>
      </c>
      <c r="AF965" s="2">
        <f t="shared" ref="AF965:AF983" si="286">BE965</f>
        <v>49.5</v>
      </c>
      <c r="AG965" t="str">
        <f t="shared" si="276"/>
        <v>71小时</v>
      </c>
      <c r="AH965">
        <f t="shared" si="277"/>
        <v>149</v>
      </c>
      <c r="AI965">
        <f t="shared" si="278"/>
        <v>25</v>
      </c>
      <c r="AJ965">
        <f t="shared" si="283"/>
        <v>82.8</v>
      </c>
      <c r="AK965">
        <f t="shared" si="279"/>
        <v>42</v>
      </c>
      <c r="AL965">
        <f t="shared" si="284"/>
        <v>49.5</v>
      </c>
      <c r="AM965" s="2">
        <f t="shared" si="280"/>
        <v>25</v>
      </c>
      <c r="AX965">
        <v>962</v>
      </c>
      <c r="AZ965" s="3"/>
      <c r="BB965" s="2">
        <f t="shared" si="281"/>
        <v>225</v>
      </c>
      <c r="BC965">
        <f t="shared" si="285"/>
        <v>29.551767676767678</v>
      </c>
      <c r="BD965" s="2">
        <f t="shared" ref="BD965:BD983" si="287">ROUNDUP(BE965*1.5,1)+8.5</f>
        <v>82.8</v>
      </c>
      <c r="BE965">
        <f t="shared" ref="BE965:BE983" si="288">FLOOR(ROUNDUP(AX965/5,0)*0.25+1.25,0.1)</f>
        <v>49.5</v>
      </c>
      <c r="BF965">
        <f t="shared" ref="BF965:BF983" si="289">BE965*8*60*60/5</f>
        <v>285120</v>
      </c>
    </row>
    <row r="966" spans="1:59" ht="14.25" x14ac:dyDescent="0.2">
      <c r="A966" s="12">
        <v>20433</v>
      </c>
      <c r="B966" s="13">
        <f t="shared" si="272"/>
        <v>19</v>
      </c>
      <c r="C966" s="15">
        <f t="shared" si="273"/>
        <v>14</v>
      </c>
      <c r="D966" s="14">
        <f t="shared" si="274"/>
        <v>12</v>
      </c>
      <c r="E966" t="s">
        <v>2777</v>
      </c>
      <c r="F966" t="s">
        <v>2836</v>
      </c>
      <c r="G966" t="s">
        <v>2779</v>
      </c>
      <c r="H966" t="s">
        <v>2779</v>
      </c>
      <c r="I966" t="s">
        <v>2780</v>
      </c>
      <c r="J966" s="4" t="s">
        <v>2842</v>
      </c>
      <c r="K966" t="s">
        <v>179</v>
      </c>
      <c r="L966" t="s">
        <v>163</v>
      </c>
      <c r="M966" t="s">
        <v>163</v>
      </c>
      <c r="N966" t="s">
        <v>163</v>
      </c>
      <c r="O966" s="6" t="s">
        <v>1551</v>
      </c>
      <c r="P966">
        <v>0</v>
      </c>
      <c r="Q966" s="24">
        <v>70.2</v>
      </c>
      <c r="R966" s="25">
        <v>97</v>
      </c>
      <c r="S966" s="26">
        <v>63.3</v>
      </c>
      <c r="Y966">
        <v>10</v>
      </c>
      <c r="Z966">
        <v>30</v>
      </c>
      <c r="AA966" s="3">
        <v>25</v>
      </c>
      <c r="AB966" s="3">
        <v>6</v>
      </c>
      <c r="AC966">
        <v>155</v>
      </c>
      <c r="AD966" s="9">
        <f t="shared" si="275"/>
        <v>4302.5</v>
      </c>
      <c r="AE966">
        <f t="shared" si="282"/>
        <v>2555730</v>
      </c>
      <c r="AF966" s="2">
        <f t="shared" si="286"/>
        <v>49.5</v>
      </c>
      <c r="AG966" t="str">
        <f t="shared" si="276"/>
        <v>71小时</v>
      </c>
      <c r="AH966">
        <f t="shared" si="277"/>
        <v>149</v>
      </c>
      <c r="AI966">
        <f t="shared" si="278"/>
        <v>25</v>
      </c>
      <c r="AJ966">
        <f t="shared" si="283"/>
        <v>82.8</v>
      </c>
      <c r="AK966">
        <f t="shared" si="279"/>
        <v>42</v>
      </c>
      <c r="AL966">
        <f t="shared" si="284"/>
        <v>49.5</v>
      </c>
      <c r="AM966" s="2">
        <f t="shared" si="280"/>
        <v>25</v>
      </c>
      <c r="AX966">
        <v>963</v>
      </c>
      <c r="AZ966" s="3"/>
      <c r="BB966" s="2">
        <f t="shared" si="281"/>
        <v>225</v>
      </c>
      <c r="BC966">
        <f t="shared" si="285"/>
        <v>29.551767676767678</v>
      </c>
      <c r="BD966" s="2">
        <f t="shared" si="287"/>
        <v>82.8</v>
      </c>
      <c r="BE966">
        <f t="shared" si="288"/>
        <v>49.5</v>
      </c>
      <c r="BF966">
        <f t="shared" si="289"/>
        <v>285120</v>
      </c>
    </row>
    <row r="967" spans="1:59" ht="14.25" x14ac:dyDescent="0.2">
      <c r="A967" s="12">
        <v>20434</v>
      </c>
      <c r="B967" s="13">
        <f t="shared" si="272"/>
        <v>19</v>
      </c>
      <c r="C967" s="15">
        <f t="shared" si="273"/>
        <v>14</v>
      </c>
      <c r="D967" s="14">
        <f t="shared" si="274"/>
        <v>12</v>
      </c>
      <c r="E967" t="s">
        <v>2777</v>
      </c>
      <c r="F967" t="s">
        <v>2837</v>
      </c>
      <c r="G967" t="s">
        <v>2779</v>
      </c>
      <c r="H967" t="s">
        <v>2779</v>
      </c>
      <c r="I967" t="s">
        <v>2780</v>
      </c>
      <c r="J967" s="4" t="s">
        <v>2842</v>
      </c>
      <c r="K967" t="s">
        <v>177</v>
      </c>
      <c r="L967" t="s">
        <v>163</v>
      </c>
      <c r="M967" t="s">
        <v>163</v>
      </c>
      <c r="N967" t="s">
        <v>163</v>
      </c>
      <c r="O967" s="6" t="s">
        <v>1551</v>
      </c>
      <c r="P967">
        <v>0</v>
      </c>
      <c r="Q967" s="24">
        <v>70.2</v>
      </c>
      <c r="R967" s="25">
        <v>97</v>
      </c>
      <c r="S967" s="26">
        <v>63.3</v>
      </c>
      <c r="Y967">
        <v>10</v>
      </c>
      <c r="Z967">
        <v>30</v>
      </c>
      <c r="AA967" s="3">
        <v>25</v>
      </c>
      <c r="AB967" s="3">
        <v>6</v>
      </c>
      <c r="AC967">
        <v>155</v>
      </c>
      <c r="AD967" s="9">
        <f t="shared" si="275"/>
        <v>4302.5</v>
      </c>
      <c r="AE967">
        <f t="shared" si="282"/>
        <v>2555730</v>
      </c>
      <c r="AF967" s="2">
        <f t="shared" si="286"/>
        <v>49.5</v>
      </c>
      <c r="AG967" t="str">
        <f t="shared" si="276"/>
        <v>71小时</v>
      </c>
      <c r="AH967">
        <f t="shared" si="277"/>
        <v>149</v>
      </c>
      <c r="AI967">
        <f t="shared" si="278"/>
        <v>25</v>
      </c>
      <c r="AJ967">
        <f t="shared" si="283"/>
        <v>82.8</v>
      </c>
      <c r="AK967">
        <f t="shared" si="279"/>
        <v>42</v>
      </c>
      <c r="AL967">
        <f t="shared" si="284"/>
        <v>49.5</v>
      </c>
      <c r="AM967" s="2">
        <f t="shared" si="280"/>
        <v>25</v>
      </c>
      <c r="AX967">
        <v>964</v>
      </c>
      <c r="AZ967" s="3"/>
      <c r="BB967" s="2">
        <f t="shared" si="281"/>
        <v>225</v>
      </c>
      <c r="BC967">
        <f t="shared" si="285"/>
        <v>29.551767676767678</v>
      </c>
      <c r="BD967" s="2">
        <f t="shared" si="287"/>
        <v>82.8</v>
      </c>
      <c r="BE967">
        <f t="shared" si="288"/>
        <v>49.5</v>
      </c>
      <c r="BF967">
        <f t="shared" si="289"/>
        <v>285120</v>
      </c>
    </row>
    <row r="968" spans="1:59" ht="14.25" x14ac:dyDescent="0.2">
      <c r="A968" s="12">
        <v>20435</v>
      </c>
      <c r="B968" s="13">
        <f t="shared" si="272"/>
        <v>19</v>
      </c>
      <c r="C968" s="15">
        <f t="shared" si="273"/>
        <v>14</v>
      </c>
      <c r="D968" s="14">
        <f t="shared" si="274"/>
        <v>12</v>
      </c>
      <c r="E968" t="s">
        <v>2785</v>
      </c>
      <c r="F968" t="s">
        <v>2786</v>
      </c>
      <c r="G968" t="s">
        <v>2831</v>
      </c>
      <c r="H968" t="s">
        <v>2829</v>
      </c>
      <c r="I968" t="s">
        <v>2697</v>
      </c>
      <c r="J968" s="4" t="s">
        <v>2862</v>
      </c>
      <c r="K968" t="s">
        <v>174</v>
      </c>
      <c r="L968" t="s">
        <v>163</v>
      </c>
      <c r="M968" t="s">
        <v>163</v>
      </c>
      <c r="N968" t="s">
        <v>163</v>
      </c>
      <c r="O968" s="6" t="s">
        <v>1553</v>
      </c>
      <c r="P968">
        <v>0</v>
      </c>
      <c r="Q968" s="24">
        <v>70.2</v>
      </c>
      <c r="R968" s="25">
        <v>97</v>
      </c>
      <c r="S968" s="26">
        <v>63.3</v>
      </c>
      <c r="Y968">
        <v>10</v>
      </c>
      <c r="Z968">
        <v>30</v>
      </c>
      <c r="AA968" s="3">
        <v>25</v>
      </c>
      <c r="AB968" s="3">
        <v>6</v>
      </c>
      <c r="AC968">
        <v>155</v>
      </c>
      <c r="AD968" s="9">
        <f t="shared" si="275"/>
        <v>4302.5</v>
      </c>
      <c r="AE968">
        <f t="shared" si="282"/>
        <v>2555730</v>
      </c>
      <c r="AF968" s="2">
        <f t="shared" si="286"/>
        <v>49.5</v>
      </c>
      <c r="AG968" t="str">
        <f t="shared" si="276"/>
        <v>71小时</v>
      </c>
      <c r="AH968">
        <f t="shared" si="277"/>
        <v>149</v>
      </c>
      <c r="AI968">
        <f t="shared" si="278"/>
        <v>25</v>
      </c>
      <c r="AJ968">
        <f t="shared" si="283"/>
        <v>82.8</v>
      </c>
      <c r="AK968">
        <f t="shared" si="279"/>
        <v>42</v>
      </c>
      <c r="AL968">
        <f t="shared" si="284"/>
        <v>49.5</v>
      </c>
      <c r="AM968" s="2">
        <f t="shared" si="280"/>
        <v>25</v>
      </c>
      <c r="AX968">
        <v>965</v>
      </c>
      <c r="AZ968" s="3"/>
      <c r="BB968" s="2">
        <f t="shared" si="281"/>
        <v>225</v>
      </c>
      <c r="BC968">
        <f t="shared" si="285"/>
        <v>29.551767676767678</v>
      </c>
      <c r="BD968" s="2">
        <f t="shared" si="287"/>
        <v>82.8</v>
      </c>
      <c r="BE968">
        <f t="shared" si="288"/>
        <v>49.5</v>
      </c>
      <c r="BF968">
        <f t="shared" si="289"/>
        <v>285120</v>
      </c>
    </row>
    <row r="969" spans="1:59" ht="14.25" x14ac:dyDescent="0.2">
      <c r="A969" s="12">
        <v>20436</v>
      </c>
      <c r="B969" s="13">
        <f t="shared" si="272"/>
        <v>19</v>
      </c>
      <c r="C969" s="15">
        <f t="shared" si="273"/>
        <v>14</v>
      </c>
      <c r="D969" s="14">
        <f t="shared" si="274"/>
        <v>12</v>
      </c>
      <c r="E969" t="s">
        <v>2777</v>
      </c>
      <c r="F969" t="s">
        <v>2834</v>
      </c>
      <c r="G969" t="s">
        <v>2779</v>
      </c>
      <c r="H969" t="s">
        <v>2779</v>
      </c>
      <c r="I969" t="s">
        <v>2780</v>
      </c>
      <c r="J969" s="4" t="s">
        <v>2842</v>
      </c>
      <c r="K969" t="s">
        <v>182</v>
      </c>
      <c r="L969" t="s">
        <v>163</v>
      </c>
      <c r="M969" t="s">
        <v>163</v>
      </c>
      <c r="N969" t="s">
        <v>163</v>
      </c>
      <c r="O969" s="6" t="s">
        <v>1555</v>
      </c>
      <c r="P969">
        <v>0</v>
      </c>
      <c r="Q969" s="24">
        <v>70.5</v>
      </c>
      <c r="R969" s="25">
        <v>97.5</v>
      </c>
      <c r="S969" s="26">
        <v>63.5</v>
      </c>
      <c r="Y969">
        <v>10</v>
      </c>
      <c r="Z969">
        <v>30</v>
      </c>
      <c r="AA969" s="3">
        <v>25</v>
      </c>
      <c r="AB969" s="3">
        <v>6</v>
      </c>
      <c r="AC969">
        <v>155</v>
      </c>
      <c r="AD969" s="9">
        <f t="shared" si="275"/>
        <v>4285.25</v>
      </c>
      <c r="AE969">
        <f t="shared" si="282"/>
        <v>2555730</v>
      </c>
      <c r="AF969" s="2">
        <f t="shared" si="286"/>
        <v>49.7</v>
      </c>
      <c r="AG969" t="str">
        <f t="shared" si="276"/>
        <v>71小时</v>
      </c>
      <c r="AH969">
        <f t="shared" si="277"/>
        <v>150</v>
      </c>
      <c r="AI969">
        <f t="shared" si="278"/>
        <v>25</v>
      </c>
      <c r="AJ969">
        <f t="shared" si="283"/>
        <v>83.1</v>
      </c>
      <c r="AK969">
        <f t="shared" si="279"/>
        <v>42</v>
      </c>
      <c r="AL969">
        <f t="shared" si="284"/>
        <v>49.7</v>
      </c>
      <c r="AM969" s="2">
        <f t="shared" si="280"/>
        <v>25</v>
      </c>
      <c r="AX969">
        <v>966</v>
      </c>
      <c r="AZ969" s="3"/>
      <c r="BB969" s="2">
        <f t="shared" si="281"/>
        <v>225</v>
      </c>
      <c r="BC969">
        <f t="shared" si="285"/>
        <v>29.43284708249497</v>
      </c>
      <c r="BD969" s="2">
        <f t="shared" si="287"/>
        <v>83.1</v>
      </c>
      <c r="BE969">
        <f t="shared" si="288"/>
        <v>49.7</v>
      </c>
      <c r="BF969">
        <f t="shared" si="289"/>
        <v>286272</v>
      </c>
    </row>
    <row r="970" spans="1:59" ht="14.25" x14ac:dyDescent="0.2">
      <c r="A970" s="12">
        <v>20437</v>
      </c>
      <c r="B970" s="13">
        <f t="shared" si="272"/>
        <v>19</v>
      </c>
      <c r="C970" s="15">
        <f t="shared" si="273"/>
        <v>14</v>
      </c>
      <c r="D970" s="14">
        <f t="shared" si="274"/>
        <v>12</v>
      </c>
      <c r="E970" t="s">
        <v>2777</v>
      </c>
      <c r="F970" t="s">
        <v>2835</v>
      </c>
      <c r="G970" t="s">
        <v>2779</v>
      </c>
      <c r="H970" t="s">
        <v>2779</v>
      </c>
      <c r="I970" t="s">
        <v>2780</v>
      </c>
      <c r="J970" s="4" t="s">
        <v>2842</v>
      </c>
      <c r="K970" t="s">
        <v>162</v>
      </c>
      <c r="L970" t="s">
        <v>163</v>
      </c>
      <c r="M970" t="s">
        <v>163</v>
      </c>
      <c r="N970" t="s">
        <v>163</v>
      </c>
      <c r="O970" s="6" t="s">
        <v>1555</v>
      </c>
      <c r="P970">
        <v>0</v>
      </c>
      <c r="Q970" s="24">
        <v>70.5</v>
      </c>
      <c r="R970" s="25">
        <v>97.5</v>
      </c>
      <c r="S970" s="26">
        <v>63.5</v>
      </c>
      <c r="Y970">
        <v>10</v>
      </c>
      <c r="Z970">
        <v>30</v>
      </c>
      <c r="AA970" s="3">
        <v>25</v>
      </c>
      <c r="AB970" s="3">
        <v>6</v>
      </c>
      <c r="AC970">
        <v>155</v>
      </c>
      <c r="AD970" s="9">
        <f t="shared" si="275"/>
        <v>4285.25</v>
      </c>
      <c r="AE970">
        <f t="shared" si="282"/>
        <v>2555730</v>
      </c>
      <c r="AF970" s="2">
        <f t="shared" si="286"/>
        <v>49.7</v>
      </c>
      <c r="AG970" t="str">
        <f t="shared" si="276"/>
        <v>71小时</v>
      </c>
      <c r="AH970">
        <f t="shared" si="277"/>
        <v>150</v>
      </c>
      <c r="AI970">
        <f t="shared" si="278"/>
        <v>25</v>
      </c>
      <c r="AJ970">
        <f t="shared" si="283"/>
        <v>83.1</v>
      </c>
      <c r="AK970">
        <f t="shared" si="279"/>
        <v>42</v>
      </c>
      <c r="AL970">
        <f t="shared" si="284"/>
        <v>49.7</v>
      </c>
      <c r="AM970" s="2">
        <f t="shared" si="280"/>
        <v>25</v>
      </c>
      <c r="AX970">
        <v>967</v>
      </c>
      <c r="AZ970" s="3"/>
      <c r="BB970" s="2">
        <f t="shared" si="281"/>
        <v>225</v>
      </c>
      <c r="BC970">
        <f t="shared" si="285"/>
        <v>29.43284708249497</v>
      </c>
      <c r="BD970" s="2">
        <f t="shared" si="287"/>
        <v>83.1</v>
      </c>
      <c r="BE970">
        <f t="shared" si="288"/>
        <v>49.7</v>
      </c>
      <c r="BF970">
        <f t="shared" si="289"/>
        <v>286272</v>
      </c>
    </row>
    <row r="971" spans="1:59" ht="14.25" x14ac:dyDescent="0.2">
      <c r="A971" s="12">
        <v>20438</v>
      </c>
      <c r="B971" s="13">
        <f t="shared" si="272"/>
        <v>19</v>
      </c>
      <c r="C971" s="15">
        <f t="shared" si="273"/>
        <v>14</v>
      </c>
      <c r="D971" s="14">
        <f t="shared" si="274"/>
        <v>12</v>
      </c>
      <c r="E971" t="s">
        <v>2777</v>
      </c>
      <c r="F971" t="s">
        <v>2836</v>
      </c>
      <c r="G971" t="s">
        <v>2779</v>
      </c>
      <c r="H971" t="s">
        <v>2779</v>
      </c>
      <c r="I971" t="s">
        <v>2780</v>
      </c>
      <c r="J971" s="4" t="s">
        <v>2842</v>
      </c>
      <c r="K971" t="s">
        <v>177</v>
      </c>
      <c r="L971" t="s">
        <v>163</v>
      </c>
      <c r="M971" t="s">
        <v>163</v>
      </c>
      <c r="N971" t="s">
        <v>163</v>
      </c>
      <c r="O971" s="6" t="s">
        <v>1557</v>
      </c>
      <c r="P971">
        <v>0</v>
      </c>
      <c r="Q971" s="24">
        <v>70.5</v>
      </c>
      <c r="R971" s="25">
        <v>97.5</v>
      </c>
      <c r="S971" s="26">
        <v>63.5</v>
      </c>
      <c r="Y971">
        <v>10</v>
      </c>
      <c r="Z971">
        <v>30</v>
      </c>
      <c r="AA971" s="3">
        <v>25</v>
      </c>
      <c r="AB971" s="3">
        <v>6</v>
      </c>
      <c r="AC971">
        <v>155</v>
      </c>
      <c r="AD971" s="9">
        <f t="shared" si="275"/>
        <v>4285.25</v>
      </c>
      <c r="AE971">
        <f t="shared" si="282"/>
        <v>2555730</v>
      </c>
      <c r="AF971" s="2">
        <f t="shared" si="286"/>
        <v>49.7</v>
      </c>
      <c r="AG971" t="str">
        <f t="shared" si="276"/>
        <v>71小时</v>
      </c>
      <c r="AH971">
        <f t="shared" si="277"/>
        <v>150</v>
      </c>
      <c r="AI971">
        <f t="shared" si="278"/>
        <v>25</v>
      </c>
      <c r="AJ971">
        <f t="shared" si="283"/>
        <v>83.1</v>
      </c>
      <c r="AK971">
        <f t="shared" si="279"/>
        <v>42</v>
      </c>
      <c r="AL971">
        <f t="shared" si="284"/>
        <v>49.7</v>
      </c>
      <c r="AM971" s="2">
        <f t="shared" si="280"/>
        <v>25</v>
      </c>
      <c r="AX971">
        <v>968</v>
      </c>
      <c r="AZ971" s="3"/>
      <c r="BB971" s="2">
        <f t="shared" si="281"/>
        <v>225</v>
      </c>
      <c r="BC971">
        <f t="shared" si="285"/>
        <v>29.43284708249497</v>
      </c>
      <c r="BD971" s="2">
        <f t="shared" si="287"/>
        <v>83.1</v>
      </c>
      <c r="BE971">
        <f t="shared" si="288"/>
        <v>49.7</v>
      </c>
      <c r="BF971">
        <f t="shared" si="289"/>
        <v>286272</v>
      </c>
    </row>
    <row r="972" spans="1:59" ht="14.25" x14ac:dyDescent="0.2">
      <c r="A972" s="12">
        <v>20439</v>
      </c>
      <c r="B972" s="13">
        <f t="shared" si="272"/>
        <v>19</v>
      </c>
      <c r="C972" s="15">
        <f t="shared" si="273"/>
        <v>14</v>
      </c>
      <c r="D972" s="14">
        <f t="shared" si="274"/>
        <v>12</v>
      </c>
      <c r="E972" t="s">
        <v>2777</v>
      </c>
      <c r="F972" t="s">
        <v>2837</v>
      </c>
      <c r="G972" t="s">
        <v>2779</v>
      </c>
      <c r="H972" t="s">
        <v>2779</v>
      </c>
      <c r="I972" t="s">
        <v>2780</v>
      </c>
      <c r="J972" s="4" t="s">
        <v>2842</v>
      </c>
      <c r="K972" t="s">
        <v>174</v>
      </c>
      <c r="L972" t="s">
        <v>163</v>
      </c>
      <c r="M972" t="s">
        <v>163</v>
      </c>
      <c r="N972" t="s">
        <v>163</v>
      </c>
      <c r="O972" s="6" t="s">
        <v>1559</v>
      </c>
      <c r="P972">
        <v>0</v>
      </c>
      <c r="Q972" s="24">
        <v>70.5</v>
      </c>
      <c r="R972" s="25">
        <v>97.5</v>
      </c>
      <c r="S972" s="26">
        <v>63.5</v>
      </c>
      <c r="Y972">
        <v>10</v>
      </c>
      <c r="Z972">
        <v>30</v>
      </c>
      <c r="AA972" s="3">
        <v>25</v>
      </c>
      <c r="AB972" s="3">
        <v>6</v>
      </c>
      <c r="AC972">
        <v>155</v>
      </c>
      <c r="AD972" s="9">
        <f t="shared" si="275"/>
        <v>4285.25</v>
      </c>
      <c r="AE972">
        <f t="shared" si="282"/>
        <v>2555730</v>
      </c>
      <c r="AF972" s="2">
        <f t="shared" si="286"/>
        <v>49.7</v>
      </c>
      <c r="AG972" t="str">
        <f t="shared" si="276"/>
        <v>71小时</v>
      </c>
      <c r="AH972">
        <f t="shared" si="277"/>
        <v>150</v>
      </c>
      <c r="AI972">
        <f t="shared" si="278"/>
        <v>25</v>
      </c>
      <c r="AJ972">
        <f t="shared" si="283"/>
        <v>83.1</v>
      </c>
      <c r="AK972">
        <f t="shared" si="279"/>
        <v>42</v>
      </c>
      <c r="AL972">
        <f t="shared" si="284"/>
        <v>49.7</v>
      </c>
      <c r="AM972" s="2">
        <f t="shared" si="280"/>
        <v>25</v>
      </c>
      <c r="AX972">
        <v>969</v>
      </c>
      <c r="AZ972" s="3"/>
      <c r="BB972" s="2">
        <f t="shared" si="281"/>
        <v>225</v>
      </c>
      <c r="BC972">
        <f t="shared" si="285"/>
        <v>29.43284708249497</v>
      </c>
      <c r="BD972" s="2">
        <f t="shared" si="287"/>
        <v>83.1</v>
      </c>
      <c r="BE972">
        <f t="shared" si="288"/>
        <v>49.7</v>
      </c>
      <c r="BF972">
        <f t="shared" si="289"/>
        <v>286272</v>
      </c>
    </row>
    <row r="973" spans="1:59" ht="14.25" x14ac:dyDescent="0.2">
      <c r="A973" s="12">
        <v>20440</v>
      </c>
      <c r="B973" s="13">
        <f t="shared" si="272"/>
        <v>19</v>
      </c>
      <c r="C973" s="15">
        <f t="shared" si="273"/>
        <v>14</v>
      </c>
      <c r="D973" s="14">
        <f t="shared" si="274"/>
        <v>12</v>
      </c>
      <c r="E973" t="s">
        <v>2785</v>
      </c>
      <c r="F973" t="s">
        <v>2786</v>
      </c>
      <c r="G973" t="s">
        <v>2832</v>
      </c>
      <c r="H973" t="s">
        <v>2829</v>
      </c>
      <c r="I973" t="s">
        <v>2697</v>
      </c>
      <c r="J973" s="4" t="s">
        <v>2862</v>
      </c>
      <c r="K973" t="s">
        <v>166</v>
      </c>
      <c r="L973" t="s">
        <v>163</v>
      </c>
      <c r="M973" t="s">
        <v>163</v>
      </c>
      <c r="N973" t="s">
        <v>163</v>
      </c>
      <c r="O973" s="6" t="s">
        <v>1559</v>
      </c>
      <c r="P973">
        <v>0</v>
      </c>
      <c r="Q973" s="24">
        <v>70.5</v>
      </c>
      <c r="R973" s="25">
        <v>97.5</v>
      </c>
      <c r="S973" s="26">
        <v>63.5</v>
      </c>
      <c r="Y973">
        <v>10</v>
      </c>
      <c r="Z973">
        <v>30</v>
      </c>
      <c r="AA973" s="3">
        <v>25</v>
      </c>
      <c r="AB973" s="3">
        <v>6</v>
      </c>
      <c r="AC973">
        <v>155</v>
      </c>
      <c r="AD973" s="9">
        <f t="shared" si="275"/>
        <v>4285.25</v>
      </c>
      <c r="AE973">
        <f t="shared" si="282"/>
        <v>2555730</v>
      </c>
      <c r="AF973" s="2">
        <f t="shared" si="286"/>
        <v>49.7</v>
      </c>
      <c r="AG973" t="str">
        <f t="shared" si="276"/>
        <v>71小时</v>
      </c>
      <c r="AH973">
        <f t="shared" si="277"/>
        <v>150</v>
      </c>
      <c r="AI973">
        <f t="shared" si="278"/>
        <v>25</v>
      </c>
      <c r="AJ973">
        <f t="shared" si="283"/>
        <v>83.1</v>
      </c>
      <c r="AK973">
        <f t="shared" si="279"/>
        <v>42</v>
      </c>
      <c r="AL973">
        <f t="shared" si="284"/>
        <v>49.7</v>
      </c>
      <c r="AM973" s="2">
        <f t="shared" si="280"/>
        <v>25</v>
      </c>
      <c r="AX973">
        <v>970</v>
      </c>
      <c r="AZ973" s="3"/>
      <c r="BB973" s="2">
        <f t="shared" si="281"/>
        <v>230</v>
      </c>
      <c r="BC973">
        <f t="shared" si="285"/>
        <v>31.924044265593562</v>
      </c>
      <c r="BD973" s="2">
        <f t="shared" si="287"/>
        <v>83.1</v>
      </c>
      <c r="BE973">
        <f t="shared" si="288"/>
        <v>49.7</v>
      </c>
      <c r="BF973">
        <f t="shared" si="289"/>
        <v>286272</v>
      </c>
      <c r="BG973">
        <f>97.5*60*60/5</f>
        <v>70200</v>
      </c>
    </row>
    <row r="974" spans="1:59" ht="14.25" x14ac:dyDescent="0.2">
      <c r="A974" s="12">
        <v>20441</v>
      </c>
      <c r="B974" s="13">
        <f t="shared" si="272"/>
        <v>19</v>
      </c>
      <c r="C974" s="15">
        <f t="shared" si="273"/>
        <v>14</v>
      </c>
      <c r="D974" s="14">
        <f t="shared" si="274"/>
        <v>12</v>
      </c>
      <c r="E974" t="s">
        <v>2777</v>
      </c>
      <c r="F974" t="s">
        <v>2834</v>
      </c>
      <c r="G974" t="s">
        <v>2779</v>
      </c>
      <c r="H974" t="s">
        <v>2779</v>
      </c>
      <c r="I974" t="s">
        <v>2780</v>
      </c>
      <c r="J974" s="4" t="s">
        <v>2842</v>
      </c>
      <c r="K974" t="s">
        <v>168</v>
      </c>
      <c r="L974" t="s">
        <v>163</v>
      </c>
      <c r="M974" t="s">
        <v>163</v>
      </c>
      <c r="N974" t="s">
        <v>163</v>
      </c>
      <c r="O974" s="6" t="s">
        <v>1561</v>
      </c>
      <c r="P974">
        <v>0</v>
      </c>
      <c r="Q974" s="24">
        <v>70.8</v>
      </c>
      <c r="R974" s="25">
        <v>98</v>
      </c>
      <c r="S974" s="26">
        <v>63.8</v>
      </c>
      <c r="Y974">
        <v>10</v>
      </c>
      <c r="Z974">
        <v>30</v>
      </c>
      <c r="AA974" s="3">
        <v>25</v>
      </c>
      <c r="AB974" s="3">
        <v>6</v>
      </c>
      <c r="AC974">
        <v>155</v>
      </c>
      <c r="AD974" s="9">
        <f t="shared" si="275"/>
        <v>4259.5</v>
      </c>
      <c r="AE974">
        <f t="shared" si="282"/>
        <v>2555730</v>
      </c>
      <c r="AF974" s="2">
        <f t="shared" si="286"/>
        <v>50</v>
      </c>
      <c r="AG974" t="str">
        <f t="shared" si="276"/>
        <v>70小时</v>
      </c>
      <c r="AH974">
        <f t="shared" si="277"/>
        <v>150</v>
      </c>
      <c r="AI974">
        <f t="shared" si="278"/>
        <v>25</v>
      </c>
      <c r="AJ974">
        <f t="shared" si="283"/>
        <v>83.5</v>
      </c>
      <c r="AK974">
        <f t="shared" si="279"/>
        <v>42</v>
      </c>
      <c r="AL974">
        <f t="shared" si="284"/>
        <v>50</v>
      </c>
      <c r="AM974" s="2">
        <f t="shared" si="280"/>
        <v>25</v>
      </c>
      <c r="AX974">
        <v>971</v>
      </c>
      <c r="AZ974" s="3"/>
      <c r="BB974" s="2">
        <f t="shared" si="281"/>
        <v>230</v>
      </c>
      <c r="BC974">
        <f t="shared" si="285"/>
        <v>31.732500000000002</v>
      </c>
      <c r="BD974" s="2">
        <f t="shared" si="287"/>
        <v>83.5</v>
      </c>
      <c r="BE974">
        <f t="shared" si="288"/>
        <v>50</v>
      </c>
      <c r="BF974">
        <f t="shared" si="289"/>
        <v>288000</v>
      </c>
    </row>
    <row r="975" spans="1:59" ht="14.25" x14ac:dyDescent="0.2">
      <c r="A975" s="12">
        <v>20442</v>
      </c>
      <c r="B975" s="13">
        <f t="shared" si="272"/>
        <v>19</v>
      </c>
      <c r="C975" s="15">
        <f t="shared" si="273"/>
        <v>14</v>
      </c>
      <c r="D975" s="14">
        <f t="shared" si="274"/>
        <v>12</v>
      </c>
      <c r="E975" t="s">
        <v>2777</v>
      </c>
      <c r="F975" t="s">
        <v>2835</v>
      </c>
      <c r="G975" t="s">
        <v>2779</v>
      </c>
      <c r="H975" t="s">
        <v>2779</v>
      </c>
      <c r="I975" t="s">
        <v>2780</v>
      </c>
      <c r="J975" s="4" t="s">
        <v>2842</v>
      </c>
      <c r="K975" t="s">
        <v>175</v>
      </c>
      <c r="L975" t="s">
        <v>164</v>
      </c>
      <c r="M975" t="s">
        <v>163</v>
      </c>
      <c r="N975" t="s">
        <v>167</v>
      </c>
      <c r="O975" s="6" t="s">
        <v>1563</v>
      </c>
      <c r="P975">
        <v>0</v>
      </c>
      <c r="Q975" s="24">
        <v>70.8</v>
      </c>
      <c r="R975" s="25">
        <v>98</v>
      </c>
      <c r="S975" s="26">
        <v>63.8</v>
      </c>
      <c r="Y975">
        <v>10</v>
      </c>
      <c r="Z975">
        <v>30</v>
      </c>
      <c r="AA975" s="3">
        <v>25</v>
      </c>
      <c r="AB975" s="3">
        <v>6</v>
      </c>
      <c r="AC975">
        <v>155</v>
      </c>
      <c r="AD975" s="9">
        <f t="shared" si="275"/>
        <v>4259.5</v>
      </c>
      <c r="AE975">
        <f t="shared" si="282"/>
        <v>2555730</v>
      </c>
      <c r="AF975" s="2">
        <f t="shared" si="286"/>
        <v>50</v>
      </c>
      <c r="AG975" t="str">
        <f t="shared" si="276"/>
        <v>70小时</v>
      </c>
      <c r="AH975">
        <f t="shared" si="277"/>
        <v>150</v>
      </c>
      <c r="AI975">
        <f t="shared" si="278"/>
        <v>25</v>
      </c>
      <c r="AJ975">
        <f t="shared" si="283"/>
        <v>83.5</v>
      </c>
      <c r="AK975">
        <f t="shared" si="279"/>
        <v>42</v>
      </c>
      <c r="AL975">
        <f t="shared" si="284"/>
        <v>50</v>
      </c>
      <c r="AM975" s="2">
        <f t="shared" si="280"/>
        <v>25</v>
      </c>
      <c r="AX975">
        <v>972</v>
      </c>
      <c r="AZ975" s="3"/>
      <c r="BB975" s="2">
        <f t="shared" si="281"/>
        <v>230</v>
      </c>
      <c r="BC975">
        <f t="shared" si="285"/>
        <v>31.732500000000002</v>
      </c>
      <c r="BD975" s="2">
        <f t="shared" si="287"/>
        <v>83.5</v>
      </c>
      <c r="BE975">
        <f t="shared" si="288"/>
        <v>50</v>
      </c>
      <c r="BF975">
        <f t="shared" si="289"/>
        <v>288000</v>
      </c>
    </row>
    <row r="976" spans="1:59" ht="14.25" x14ac:dyDescent="0.2">
      <c r="A976" s="12">
        <v>20443</v>
      </c>
      <c r="B976" s="13">
        <f t="shared" ref="B976:B1028" si="290">FLOOR(R974/5,1)</f>
        <v>19</v>
      </c>
      <c r="C976" s="15">
        <f t="shared" ref="C976:C1028" si="291">FLOOR(Q974/5,1)</f>
        <v>14</v>
      </c>
      <c r="D976" s="14">
        <f t="shared" ref="D976:D1028" si="292">FLOOR(S974/5,1)</f>
        <v>12</v>
      </c>
      <c r="E976" t="s">
        <v>2777</v>
      </c>
      <c r="F976" t="s">
        <v>2836</v>
      </c>
      <c r="G976" t="s">
        <v>2779</v>
      </c>
      <c r="H976" t="s">
        <v>2779</v>
      </c>
      <c r="I976" t="s">
        <v>2780</v>
      </c>
      <c r="J976" s="4" t="s">
        <v>2842</v>
      </c>
      <c r="K976" t="s">
        <v>179</v>
      </c>
      <c r="L976" t="s">
        <v>163</v>
      </c>
      <c r="M976" t="s">
        <v>163</v>
      </c>
      <c r="N976" t="s">
        <v>163</v>
      </c>
      <c r="O976" s="6" t="s">
        <v>1565</v>
      </c>
      <c r="P976">
        <v>0</v>
      </c>
      <c r="Q976" s="24">
        <v>70.8</v>
      </c>
      <c r="R976" s="25">
        <v>98</v>
      </c>
      <c r="S976" s="26">
        <v>63.8</v>
      </c>
      <c r="Y976">
        <v>10</v>
      </c>
      <c r="Z976">
        <v>30</v>
      </c>
      <c r="AA976" s="3">
        <v>25</v>
      </c>
      <c r="AB976" s="3">
        <v>6</v>
      </c>
      <c r="AC976">
        <v>155</v>
      </c>
      <c r="AD976" s="9">
        <f t="shared" si="275"/>
        <v>4259.5</v>
      </c>
      <c r="AE976">
        <f t="shared" si="282"/>
        <v>2555730</v>
      </c>
      <c r="AF976" s="2">
        <f t="shared" si="286"/>
        <v>50</v>
      </c>
      <c r="AG976" t="str">
        <f t="shared" si="276"/>
        <v>70小时</v>
      </c>
      <c r="AH976">
        <f t="shared" si="277"/>
        <v>150</v>
      </c>
      <c r="AI976">
        <f t="shared" si="278"/>
        <v>25</v>
      </c>
      <c r="AJ976">
        <f t="shared" si="283"/>
        <v>83.5</v>
      </c>
      <c r="AK976">
        <f t="shared" si="279"/>
        <v>42</v>
      </c>
      <c r="AL976">
        <f t="shared" si="284"/>
        <v>50</v>
      </c>
      <c r="AM976" s="2">
        <f t="shared" si="280"/>
        <v>25</v>
      </c>
      <c r="AX976">
        <v>973</v>
      </c>
      <c r="AZ976" s="3"/>
      <c r="BB976" s="2">
        <f t="shared" si="281"/>
        <v>230</v>
      </c>
      <c r="BC976">
        <f t="shared" si="285"/>
        <v>31.732500000000002</v>
      </c>
      <c r="BD976" s="2">
        <f t="shared" si="287"/>
        <v>83.5</v>
      </c>
      <c r="BE976">
        <f t="shared" si="288"/>
        <v>50</v>
      </c>
      <c r="BF976">
        <f t="shared" si="289"/>
        <v>288000</v>
      </c>
    </row>
    <row r="977" spans="1:58" ht="14.25" x14ac:dyDescent="0.2">
      <c r="A977" s="12">
        <v>20444</v>
      </c>
      <c r="B977" s="13">
        <f t="shared" si="290"/>
        <v>19</v>
      </c>
      <c r="C977" s="15">
        <f t="shared" si="291"/>
        <v>14</v>
      </c>
      <c r="D977" s="14">
        <f t="shared" si="292"/>
        <v>12</v>
      </c>
      <c r="E977" t="s">
        <v>2777</v>
      </c>
      <c r="F977" t="s">
        <v>2837</v>
      </c>
      <c r="G977" t="s">
        <v>2779</v>
      </c>
      <c r="H977" t="s">
        <v>2779</v>
      </c>
      <c r="I977" t="s">
        <v>2780</v>
      </c>
      <c r="J977" s="4" t="s">
        <v>2842</v>
      </c>
      <c r="K977" t="s">
        <v>177</v>
      </c>
      <c r="L977" t="s">
        <v>163</v>
      </c>
      <c r="M977" t="s">
        <v>163</v>
      </c>
      <c r="N977" t="s">
        <v>163</v>
      </c>
      <c r="O977" s="6" t="s">
        <v>1565</v>
      </c>
      <c r="P977">
        <v>0</v>
      </c>
      <c r="Q977" s="24">
        <v>70.8</v>
      </c>
      <c r="R977" s="25">
        <v>98</v>
      </c>
      <c r="S977" s="26">
        <v>63.8</v>
      </c>
      <c r="Y977">
        <v>10</v>
      </c>
      <c r="Z977">
        <v>30</v>
      </c>
      <c r="AA977" s="3">
        <v>25</v>
      </c>
      <c r="AB977" s="3">
        <v>6</v>
      </c>
      <c r="AC977">
        <v>155</v>
      </c>
      <c r="AD977" s="9">
        <f t="shared" si="275"/>
        <v>4259.5</v>
      </c>
      <c r="AE977">
        <f t="shared" si="282"/>
        <v>2555730</v>
      </c>
      <c r="AF977" s="2">
        <f t="shared" si="286"/>
        <v>50</v>
      </c>
      <c r="AG977" t="str">
        <f t="shared" si="276"/>
        <v>70小时</v>
      </c>
      <c r="AH977">
        <f t="shared" si="277"/>
        <v>150</v>
      </c>
      <c r="AI977">
        <f t="shared" si="278"/>
        <v>25</v>
      </c>
      <c r="AJ977">
        <f t="shared" si="283"/>
        <v>83.5</v>
      </c>
      <c r="AK977">
        <f t="shared" si="279"/>
        <v>42</v>
      </c>
      <c r="AL977">
        <f t="shared" si="284"/>
        <v>50</v>
      </c>
      <c r="AM977" s="2">
        <f t="shared" si="280"/>
        <v>25</v>
      </c>
      <c r="AX977">
        <v>974</v>
      </c>
      <c r="AZ977" s="3"/>
      <c r="BB977" s="2">
        <f t="shared" si="281"/>
        <v>230</v>
      </c>
      <c r="BC977">
        <f t="shared" si="285"/>
        <v>31.732500000000002</v>
      </c>
      <c r="BD977" s="2">
        <f t="shared" si="287"/>
        <v>83.5</v>
      </c>
      <c r="BE977">
        <f t="shared" si="288"/>
        <v>50</v>
      </c>
      <c r="BF977">
        <f t="shared" si="289"/>
        <v>288000</v>
      </c>
    </row>
    <row r="978" spans="1:58" ht="14.25" x14ac:dyDescent="0.2">
      <c r="A978" s="12">
        <v>20445</v>
      </c>
      <c r="B978" s="13">
        <f t="shared" si="290"/>
        <v>19</v>
      </c>
      <c r="C978" s="15">
        <f t="shared" si="291"/>
        <v>14</v>
      </c>
      <c r="D978" s="14">
        <f t="shared" si="292"/>
        <v>12</v>
      </c>
      <c r="E978" t="s">
        <v>2785</v>
      </c>
      <c r="F978" t="s">
        <v>2786</v>
      </c>
      <c r="G978" t="s">
        <v>2833</v>
      </c>
      <c r="H978" t="s">
        <v>2829</v>
      </c>
      <c r="I978" t="s">
        <v>2697</v>
      </c>
      <c r="J978" s="4" t="s">
        <v>2880</v>
      </c>
      <c r="K978" t="s">
        <v>174</v>
      </c>
      <c r="L978" t="s">
        <v>163</v>
      </c>
      <c r="M978" t="s">
        <v>163</v>
      </c>
      <c r="N978" t="s">
        <v>163</v>
      </c>
      <c r="O978" s="6" t="s">
        <v>1567</v>
      </c>
      <c r="P978">
        <v>0</v>
      </c>
      <c r="Q978" s="24">
        <v>70.8</v>
      </c>
      <c r="R978" s="25">
        <v>98</v>
      </c>
      <c r="S978" s="26">
        <v>63.8</v>
      </c>
      <c r="Y978">
        <v>10</v>
      </c>
      <c r="Z978">
        <v>30</v>
      </c>
      <c r="AA978" s="3">
        <v>25</v>
      </c>
      <c r="AB978" s="3">
        <v>6</v>
      </c>
      <c r="AC978">
        <v>155</v>
      </c>
      <c r="AD978" s="9">
        <f t="shared" si="275"/>
        <v>4259.5</v>
      </c>
      <c r="AE978">
        <f t="shared" si="282"/>
        <v>2555730</v>
      </c>
      <c r="AF978" s="2">
        <f t="shared" si="286"/>
        <v>50</v>
      </c>
      <c r="AG978" t="str">
        <f t="shared" si="276"/>
        <v>70小时</v>
      </c>
      <c r="AH978">
        <f t="shared" si="277"/>
        <v>150</v>
      </c>
      <c r="AI978">
        <f t="shared" si="278"/>
        <v>25</v>
      </c>
      <c r="AJ978">
        <f t="shared" si="283"/>
        <v>83.5</v>
      </c>
      <c r="AK978">
        <f t="shared" si="279"/>
        <v>42</v>
      </c>
      <c r="AL978">
        <f t="shared" si="284"/>
        <v>50</v>
      </c>
      <c r="AM978" s="2">
        <f t="shared" si="280"/>
        <v>25</v>
      </c>
      <c r="AX978">
        <v>975</v>
      </c>
      <c r="AZ978" s="3"/>
      <c r="BB978" s="2">
        <f t="shared" si="281"/>
        <v>230</v>
      </c>
      <c r="BC978">
        <f t="shared" si="285"/>
        <v>31.732500000000002</v>
      </c>
      <c r="BD978" s="2">
        <f t="shared" si="287"/>
        <v>83.5</v>
      </c>
      <c r="BE978">
        <f t="shared" si="288"/>
        <v>50</v>
      </c>
      <c r="BF978">
        <f t="shared" si="289"/>
        <v>288000</v>
      </c>
    </row>
    <row r="979" spans="1:58" ht="14.25" x14ac:dyDescent="0.2">
      <c r="A979" s="12">
        <v>20446</v>
      </c>
      <c r="B979" s="13">
        <f t="shared" si="290"/>
        <v>19</v>
      </c>
      <c r="C979" s="15">
        <f t="shared" si="291"/>
        <v>14</v>
      </c>
      <c r="D979" s="14">
        <f t="shared" si="292"/>
        <v>12</v>
      </c>
      <c r="E979" t="s">
        <v>2777</v>
      </c>
      <c r="F979" t="s">
        <v>2834</v>
      </c>
      <c r="G979" t="s">
        <v>2779</v>
      </c>
      <c r="H979" t="s">
        <v>2779</v>
      </c>
      <c r="I979" t="s">
        <v>2780</v>
      </c>
      <c r="J979" s="4" t="s">
        <v>2842</v>
      </c>
      <c r="K979" t="s">
        <v>182</v>
      </c>
      <c r="L979" t="s">
        <v>163</v>
      </c>
      <c r="M979" t="s">
        <v>163</v>
      </c>
      <c r="N979" t="s">
        <v>163</v>
      </c>
      <c r="O979" s="6" t="s">
        <v>1569</v>
      </c>
      <c r="P979">
        <v>0</v>
      </c>
      <c r="Q979" s="24">
        <v>71.2</v>
      </c>
      <c r="R979" s="25">
        <v>98.5</v>
      </c>
      <c r="S979" s="26">
        <v>64</v>
      </c>
      <c r="Y979">
        <v>10</v>
      </c>
      <c r="Z979">
        <v>30</v>
      </c>
      <c r="AA979" s="3">
        <v>25</v>
      </c>
      <c r="AB979" s="3">
        <v>6</v>
      </c>
      <c r="AC979">
        <v>155</v>
      </c>
      <c r="AD979" s="9">
        <f t="shared" si="275"/>
        <v>4242.5</v>
      </c>
      <c r="AE979">
        <f t="shared" si="282"/>
        <v>2555730</v>
      </c>
      <c r="AF979" s="2">
        <f t="shared" si="286"/>
        <v>50.2</v>
      </c>
      <c r="AG979" t="str">
        <f t="shared" si="276"/>
        <v>70小时</v>
      </c>
      <c r="AH979">
        <f t="shared" si="277"/>
        <v>151</v>
      </c>
      <c r="AI979">
        <f t="shared" si="278"/>
        <v>26</v>
      </c>
      <c r="AJ979">
        <f t="shared" si="283"/>
        <v>83.8</v>
      </c>
      <c r="AK979">
        <f t="shared" si="279"/>
        <v>42</v>
      </c>
      <c r="AL979">
        <f t="shared" si="284"/>
        <v>50.2</v>
      </c>
      <c r="AM979" s="2">
        <f t="shared" si="280"/>
        <v>26</v>
      </c>
      <c r="AX979">
        <v>976</v>
      </c>
      <c r="AZ979" s="3"/>
      <c r="BB979" s="2">
        <f t="shared" si="281"/>
        <v>230</v>
      </c>
      <c r="BC979">
        <f t="shared" si="285"/>
        <v>31.606075697211157</v>
      </c>
      <c r="BD979" s="2">
        <f t="shared" si="287"/>
        <v>83.8</v>
      </c>
      <c r="BE979">
        <f t="shared" si="288"/>
        <v>50.2</v>
      </c>
      <c r="BF979">
        <f t="shared" si="289"/>
        <v>289152</v>
      </c>
    </row>
    <row r="980" spans="1:58" ht="14.25" x14ac:dyDescent="0.2">
      <c r="A980" s="12">
        <v>20447</v>
      </c>
      <c r="B980" s="13">
        <f t="shared" si="290"/>
        <v>19</v>
      </c>
      <c r="C980" s="15">
        <f t="shared" si="291"/>
        <v>14</v>
      </c>
      <c r="D980" s="14">
        <f t="shared" si="292"/>
        <v>12</v>
      </c>
      <c r="E980" t="s">
        <v>2777</v>
      </c>
      <c r="F980" t="s">
        <v>2835</v>
      </c>
      <c r="G980" t="s">
        <v>2779</v>
      </c>
      <c r="H980" t="s">
        <v>2779</v>
      </c>
      <c r="I980" t="s">
        <v>2780</v>
      </c>
      <c r="J980" s="4" t="s">
        <v>2842</v>
      </c>
      <c r="K980" t="s">
        <v>162</v>
      </c>
      <c r="L980" t="s">
        <v>163</v>
      </c>
      <c r="M980" t="s">
        <v>163</v>
      </c>
      <c r="N980" t="s">
        <v>163</v>
      </c>
      <c r="O980" s="6" t="s">
        <v>1569</v>
      </c>
      <c r="P980">
        <v>0</v>
      </c>
      <c r="Q980" s="24">
        <v>71.2</v>
      </c>
      <c r="R980" s="25">
        <v>98.5</v>
      </c>
      <c r="S980" s="26">
        <v>64</v>
      </c>
      <c r="Y980">
        <v>10</v>
      </c>
      <c r="Z980">
        <v>30</v>
      </c>
      <c r="AA980" s="3">
        <v>25</v>
      </c>
      <c r="AB980" s="3">
        <v>6</v>
      </c>
      <c r="AC980">
        <v>155</v>
      </c>
      <c r="AD980" s="9">
        <f t="shared" si="275"/>
        <v>4242.5</v>
      </c>
      <c r="AE980">
        <f t="shared" si="282"/>
        <v>2555730</v>
      </c>
      <c r="AF980" s="2">
        <f t="shared" si="286"/>
        <v>50.2</v>
      </c>
      <c r="AG980" t="str">
        <f t="shared" si="276"/>
        <v>70小时</v>
      </c>
      <c r="AH980">
        <f t="shared" si="277"/>
        <v>151</v>
      </c>
      <c r="AI980">
        <f t="shared" si="278"/>
        <v>26</v>
      </c>
      <c r="AJ980">
        <f t="shared" si="283"/>
        <v>83.8</v>
      </c>
      <c r="AK980">
        <f t="shared" si="279"/>
        <v>42</v>
      </c>
      <c r="AL980">
        <f t="shared" si="284"/>
        <v>50.2</v>
      </c>
      <c r="AM980" s="2">
        <f t="shared" si="280"/>
        <v>26</v>
      </c>
      <c r="AX980">
        <v>977</v>
      </c>
      <c r="AZ980" s="3"/>
      <c r="BB980" s="2">
        <f t="shared" si="281"/>
        <v>230</v>
      </c>
      <c r="BC980">
        <f t="shared" si="285"/>
        <v>31.606075697211157</v>
      </c>
      <c r="BD980" s="2">
        <f t="shared" si="287"/>
        <v>83.8</v>
      </c>
      <c r="BE980">
        <f t="shared" si="288"/>
        <v>50.2</v>
      </c>
      <c r="BF980">
        <f t="shared" si="289"/>
        <v>289152</v>
      </c>
    </row>
    <row r="981" spans="1:58" ht="14.25" x14ac:dyDescent="0.2">
      <c r="A981" s="12">
        <v>20448</v>
      </c>
      <c r="B981" s="13">
        <f t="shared" si="290"/>
        <v>19</v>
      </c>
      <c r="C981" s="15">
        <f t="shared" si="291"/>
        <v>14</v>
      </c>
      <c r="D981" s="14">
        <f t="shared" si="292"/>
        <v>12</v>
      </c>
      <c r="E981" t="s">
        <v>2777</v>
      </c>
      <c r="F981" t="s">
        <v>2836</v>
      </c>
      <c r="G981" t="s">
        <v>2779</v>
      </c>
      <c r="H981" t="s">
        <v>2779</v>
      </c>
      <c r="I981" t="s">
        <v>2780</v>
      </c>
      <c r="J981" s="4" t="s">
        <v>2842</v>
      </c>
      <c r="K981" t="s">
        <v>177</v>
      </c>
      <c r="L981" t="s">
        <v>163</v>
      </c>
      <c r="M981" t="s">
        <v>163</v>
      </c>
      <c r="N981" t="s">
        <v>163</v>
      </c>
      <c r="O981" s="6" t="s">
        <v>1571</v>
      </c>
      <c r="P981">
        <v>0</v>
      </c>
      <c r="Q981" s="24">
        <v>71.2</v>
      </c>
      <c r="R981" s="25">
        <v>98.5</v>
      </c>
      <c r="S981" s="26">
        <v>64</v>
      </c>
      <c r="Y981">
        <v>10</v>
      </c>
      <c r="Z981">
        <v>30</v>
      </c>
      <c r="AA981" s="3">
        <v>25</v>
      </c>
      <c r="AB981" s="3">
        <v>6</v>
      </c>
      <c r="AC981">
        <v>155</v>
      </c>
      <c r="AD981" s="9">
        <f t="shared" si="275"/>
        <v>4242.5</v>
      </c>
      <c r="AE981">
        <f t="shared" si="282"/>
        <v>2555730</v>
      </c>
      <c r="AF981" s="2">
        <f t="shared" si="286"/>
        <v>50.2</v>
      </c>
      <c r="AG981" t="str">
        <f t="shared" si="276"/>
        <v>70小时</v>
      </c>
      <c r="AH981">
        <f t="shared" si="277"/>
        <v>151</v>
      </c>
      <c r="AI981">
        <f t="shared" si="278"/>
        <v>26</v>
      </c>
      <c r="AJ981">
        <f t="shared" si="283"/>
        <v>83.8</v>
      </c>
      <c r="AK981">
        <f t="shared" si="279"/>
        <v>42</v>
      </c>
      <c r="AL981">
        <f t="shared" si="284"/>
        <v>50.2</v>
      </c>
      <c r="AM981" s="2">
        <f t="shared" si="280"/>
        <v>26</v>
      </c>
      <c r="AX981">
        <v>978</v>
      </c>
      <c r="AZ981" s="3"/>
      <c r="BB981" s="2">
        <f t="shared" si="281"/>
        <v>230</v>
      </c>
      <c r="BC981">
        <f t="shared" si="285"/>
        <v>31.606075697211157</v>
      </c>
      <c r="BD981" s="2">
        <f t="shared" si="287"/>
        <v>83.8</v>
      </c>
      <c r="BE981">
        <f t="shared" si="288"/>
        <v>50.2</v>
      </c>
      <c r="BF981">
        <f t="shared" si="289"/>
        <v>289152</v>
      </c>
    </row>
    <row r="982" spans="1:58" ht="14.25" x14ac:dyDescent="0.2">
      <c r="A982" s="12">
        <v>20449</v>
      </c>
      <c r="B982" s="13">
        <f t="shared" si="290"/>
        <v>19</v>
      </c>
      <c r="C982" s="15">
        <f t="shared" si="291"/>
        <v>14</v>
      </c>
      <c r="D982" s="14">
        <f t="shared" si="292"/>
        <v>12</v>
      </c>
      <c r="E982" t="s">
        <v>2777</v>
      </c>
      <c r="F982" t="s">
        <v>2837</v>
      </c>
      <c r="G982" t="s">
        <v>2779</v>
      </c>
      <c r="H982" t="s">
        <v>2779</v>
      </c>
      <c r="I982" t="s">
        <v>2780</v>
      </c>
      <c r="J982" s="4" t="s">
        <v>2842</v>
      </c>
      <c r="K982" t="s">
        <v>174</v>
      </c>
      <c r="L982" t="s">
        <v>163</v>
      </c>
      <c r="M982" t="s">
        <v>163</v>
      </c>
      <c r="N982" t="s">
        <v>163</v>
      </c>
      <c r="O982" s="6" t="s">
        <v>1573</v>
      </c>
      <c r="P982">
        <v>0</v>
      </c>
      <c r="Q982" s="24">
        <v>71.2</v>
      </c>
      <c r="R982" s="25">
        <v>98.5</v>
      </c>
      <c r="S982" s="26">
        <v>64</v>
      </c>
      <c r="Y982">
        <v>10</v>
      </c>
      <c r="Z982">
        <v>30</v>
      </c>
      <c r="AA982" s="3">
        <v>25</v>
      </c>
      <c r="AB982" s="3">
        <v>6</v>
      </c>
      <c r="AC982">
        <v>155</v>
      </c>
      <c r="AD982" s="9">
        <f t="shared" si="275"/>
        <v>4242.5</v>
      </c>
      <c r="AE982">
        <f t="shared" si="282"/>
        <v>2555730</v>
      </c>
      <c r="AF982" s="2">
        <f t="shared" si="286"/>
        <v>50.2</v>
      </c>
      <c r="AG982" t="str">
        <f t="shared" si="276"/>
        <v>70小时</v>
      </c>
      <c r="AH982">
        <f t="shared" si="277"/>
        <v>151</v>
      </c>
      <c r="AI982">
        <f t="shared" si="278"/>
        <v>26</v>
      </c>
      <c r="AJ982">
        <f t="shared" si="283"/>
        <v>83.8</v>
      </c>
      <c r="AK982">
        <f t="shared" si="279"/>
        <v>42</v>
      </c>
      <c r="AL982">
        <f t="shared" si="284"/>
        <v>50.2</v>
      </c>
      <c r="AM982" s="2">
        <f t="shared" si="280"/>
        <v>26</v>
      </c>
      <c r="AX982">
        <v>979</v>
      </c>
      <c r="AZ982" s="3"/>
      <c r="BB982" s="2">
        <f t="shared" si="281"/>
        <v>230</v>
      </c>
      <c r="BC982">
        <f t="shared" si="285"/>
        <v>31.606075697211157</v>
      </c>
      <c r="BD982" s="2">
        <f t="shared" si="287"/>
        <v>83.8</v>
      </c>
      <c r="BE982">
        <f t="shared" si="288"/>
        <v>50.2</v>
      </c>
      <c r="BF982">
        <f t="shared" si="289"/>
        <v>289152</v>
      </c>
    </row>
    <row r="983" spans="1:58" ht="14.25" x14ac:dyDescent="0.2">
      <c r="A983" s="12">
        <v>20450</v>
      </c>
      <c r="B983" s="13">
        <f t="shared" si="290"/>
        <v>19</v>
      </c>
      <c r="C983" s="15">
        <f t="shared" si="291"/>
        <v>14</v>
      </c>
      <c r="D983" s="14">
        <f t="shared" si="292"/>
        <v>12</v>
      </c>
      <c r="E983" t="s">
        <v>2785</v>
      </c>
      <c r="F983" t="s">
        <v>2786</v>
      </c>
      <c r="G983" t="s">
        <v>2828</v>
      </c>
      <c r="H983" t="s">
        <v>2829</v>
      </c>
      <c r="I983" t="s">
        <v>2697</v>
      </c>
      <c r="J983" s="17" t="s">
        <v>2880</v>
      </c>
      <c r="K983" s="2" t="s">
        <v>166</v>
      </c>
      <c r="L983" t="s">
        <v>163</v>
      </c>
      <c r="M983" t="s">
        <v>163</v>
      </c>
      <c r="N983" t="s">
        <v>163</v>
      </c>
      <c r="O983" s="6" t="s">
        <v>1573</v>
      </c>
      <c r="P983">
        <v>0</v>
      </c>
      <c r="Q983" s="24">
        <v>71.2</v>
      </c>
      <c r="R983" s="25">
        <v>98.5</v>
      </c>
      <c r="S983" s="26">
        <v>64</v>
      </c>
      <c r="Y983">
        <v>10</v>
      </c>
      <c r="Z983">
        <v>30</v>
      </c>
      <c r="AA983" s="3">
        <v>25</v>
      </c>
      <c r="AB983" s="3">
        <v>6</v>
      </c>
      <c r="AC983">
        <v>155</v>
      </c>
      <c r="AD983" s="9">
        <f t="shared" si="275"/>
        <v>4242.5</v>
      </c>
      <c r="AE983">
        <f t="shared" si="282"/>
        <v>2555730</v>
      </c>
      <c r="AF983" s="2">
        <f t="shared" si="286"/>
        <v>50.2</v>
      </c>
      <c r="AG983" t="str">
        <f t="shared" si="276"/>
        <v>70小时</v>
      </c>
      <c r="AH983">
        <f t="shared" si="277"/>
        <v>151</v>
      </c>
      <c r="AI983">
        <f t="shared" si="278"/>
        <v>26</v>
      </c>
      <c r="AJ983">
        <f t="shared" si="283"/>
        <v>83.8</v>
      </c>
      <c r="AK983">
        <f t="shared" si="279"/>
        <v>42</v>
      </c>
      <c r="AL983">
        <f t="shared" si="284"/>
        <v>50.2</v>
      </c>
      <c r="AM983" s="2">
        <f t="shared" si="280"/>
        <v>26</v>
      </c>
      <c r="AX983">
        <v>980</v>
      </c>
      <c r="AZ983" s="3"/>
      <c r="BB983" s="2">
        <f t="shared" si="281"/>
        <v>230</v>
      </c>
      <c r="BC983">
        <f t="shared" si="285"/>
        <v>31.606075697211157</v>
      </c>
      <c r="BD983" s="2">
        <f t="shared" si="287"/>
        <v>83.8</v>
      </c>
      <c r="BE983">
        <f t="shared" si="288"/>
        <v>50.2</v>
      </c>
      <c r="BF983">
        <f t="shared" si="289"/>
        <v>289152</v>
      </c>
    </row>
    <row r="984" spans="1:58" ht="14.25" x14ac:dyDescent="0.2">
      <c r="A984" s="12">
        <v>20501</v>
      </c>
      <c r="B984" s="13">
        <f t="shared" si="290"/>
        <v>19</v>
      </c>
      <c r="C984" s="15">
        <f t="shared" si="291"/>
        <v>14</v>
      </c>
      <c r="D984" s="14">
        <f t="shared" si="292"/>
        <v>12</v>
      </c>
      <c r="E984" t="s">
        <v>2777</v>
      </c>
      <c r="F984" t="s">
        <v>2834</v>
      </c>
      <c r="G984" t="s">
        <v>2779</v>
      </c>
      <c r="H984" t="s">
        <v>2779</v>
      </c>
      <c r="I984" t="s">
        <v>2780</v>
      </c>
      <c r="J984" s="4" t="s">
        <v>2842</v>
      </c>
      <c r="K984" t="s">
        <v>168</v>
      </c>
      <c r="L984" t="s">
        <v>163</v>
      </c>
      <c r="M984" t="s">
        <v>163</v>
      </c>
      <c r="N984" t="s">
        <v>163</v>
      </c>
      <c r="O984" s="4" t="s">
        <v>1575</v>
      </c>
      <c r="P984">
        <v>0</v>
      </c>
      <c r="Q984" s="24">
        <v>71.5</v>
      </c>
      <c r="R984" s="25">
        <v>99</v>
      </c>
      <c r="S984" s="26">
        <v>64.3</v>
      </c>
    </row>
    <row r="985" spans="1:58" ht="14.25" x14ac:dyDescent="0.2">
      <c r="A985" s="12">
        <v>20502</v>
      </c>
      <c r="B985" s="13">
        <f t="shared" si="290"/>
        <v>19</v>
      </c>
      <c r="C985" s="15">
        <f t="shared" si="291"/>
        <v>14</v>
      </c>
      <c r="D985" s="14">
        <f t="shared" si="292"/>
        <v>12</v>
      </c>
      <c r="E985" t="s">
        <v>2777</v>
      </c>
      <c r="F985" t="s">
        <v>2835</v>
      </c>
      <c r="G985" t="s">
        <v>2779</v>
      </c>
      <c r="H985" t="s">
        <v>2779</v>
      </c>
      <c r="I985" t="s">
        <v>2780</v>
      </c>
      <c r="J985" s="4" t="s">
        <v>2842</v>
      </c>
      <c r="K985" t="s">
        <v>175</v>
      </c>
      <c r="L985" t="s">
        <v>164</v>
      </c>
      <c r="M985" t="s">
        <v>163</v>
      </c>
      <c r="N985" t="s">
        <v>167</v>
      </c>
      <c r="O985" s="4" t="s">
        <v>1577</v>
      </c>
      <c r="P985">
        <v>0</v>
      </c>
      <c r="Q985" s="24">
        <v>71.5</v>
      </c>
      <c r="R985" s="25">
        <v>99</v>
      </c>
      <c r="S985" s="26">
        <v>64.3</v>
      </c>
    </row>
    <row r="986" spans="1:58" ht="14.25" x14ac:dyDescent="0.2">
      <c r="A986" s="12">
        <v>20503</v>
      </c>
      <c r="B986" s="13">
        <f t="shared" si="290"/>
        <v>19</v>
      </c>
      <c r="C986" s="15">
        <f t="shared" si="291"/>
        <v>14</v>
      </c>
      <c r="D986" s="14">
        <f t="shared" si="292"/>
        <v>12</v>
      </c>
      <c r="E986" t="s">
        <v>2777</v>
      </c>
      <c r="F986" t="s">
        <v>2836</v>
      </c>
      <c r="G986" t="s">
        <v>2779</v>
      </c>
      <c r="H986" t="s">
        <v>2779</v>
      </c>
      <c r="I986" t="s">
        <v>2780</v>
      </c>
      <c r="J986" s="4" t="s">
        <v>2842</v>
      </c>
      <c r="K986" t="s">
        <v>179</v>
      </c>
      <c r="L986" t="s">
        <v>163</v>
      </c>
      <c r="M986" t="s">
        <v>163</v>
      </c>
      <c r="N986" t="s">
        <v>163</v>
      </c>
      <c r="O986" s="4" t="s">
        <v>1579</v>
      </c>
      <c r="P986">
        <v>0</v>
      </c>
      <c r="Q986" s="24">
        <v>71.5</v>
      </c>
      <c r="R986" s="25">
        <v>99</v>
      </c>
      <c r="S986" s="26">
        <v>64.3</v>
      </c>
    </row>
    <row r="987" spans="1:58" ht="14.25" x14ac:dyDescent="0.2">
      <c r="A987" s="12">
        <v>20504</v>
      </c>
      <c r="B987" s="13">
        <f t="shared" si="290"/>
        <v>19</v>
      </c>
      <c r="C987" s="15">
        <f t="shared" si="291"/>
        <v>14</v>
      </c>
      <c r="D987" s="14">
        <f t="shared" si="292"/>
        <v>12</v>
      </c>
      <c r="E987" t="s">
        <v>2777</v>
      </c>
      <c r="F987" t="s">
        <v>2837</v>
      </c>
      <c r="G987" t="s">
        <v>2779</v>
      </c>
      <c r="H987" t="s">
        <v>2779</v>
      </c>
      <c r="I987" t="s">
        <v>2780</v>
      </c>
      <c r="J987" s="17" t="s">
        <v>2842</v>
      </c>
      <c r="K987" t="s">
        <v>177</v>
      </c>
      <c r="L987" t="s">
        <v>163</v>
      </c>
      <c r="M987" t="s">
        <v>163</v>
      </c>
      <c r="N987" t="s">
        <v>163</v>
      </c>
      <c r="O987" s="4" t="s">
        <v>1579</v>
      </c>
      <c r="P987">
        <v>0</v>
      </c>
      <c r="Q987" s="24">
        <v>71.5</v>
      </c>
      <c r="R987" s="25">
        <v>99</v>
      </c>
      <c r="S987" s="26">
        <v>64.3</v>
      </c>
    </row>
    <row r="988" spans="1:58" ht="14.25" x14ac:dyDescent="0.2">
      <c r="A988" s="12">
        <v>20505</v>
      </c>
      <c r="B988" s="13">
        <f t="shared" si="290"/>
        <v>19</v>
      </c>
      <c r="C988" s="15">
        <f t="shared" si="291"/>
        <v>14</v>
      </c>
      <c r="D988" s="14">
        <f t="shared" si="292"/>
        <v>12</v>
      </c>
      <c r="E988" t="s">
        <v>2785</v>
      </c>
      <c r="F988" t="s">
        <v>2786</v>
      </c>
      <c r="G988" t="s">
        <v>2830</v>
      </c>
      <c r="H988" t="s">
        <v>2829</v>
      </c>
      <c r="I988" t="s">
        <v>2697</v>
      </c>
      <c r="J988" s="4" t="s">
        <v>2862</v>
      </c>
      <c r="K988" t="s">
        <v>174</v>
      </c>
      <c r="L988" t="s">
        <v>163</v>
      </c>
      <c r="M988" t="s">
        <v>163</v>
      </c>
      <c r="N988" t="s">
        <v>163</v>
      </c>
      <c r="O988" s="4" t="s">
        <v>1581</v>
      </c>
      <c r="P988">
        <v>0</v>
      </c>
      <c r="Q988" s="24">
        <v>71.5</v>
      </c>
      <c r="R988" s="25">
        <v>99</v>
      </c>
      <c r="S988" s="26">
        <v>64.3</v>
      </c>
    </row>
    <row r="989" spans="1:58" ht="14.25" x14ac:dyDescent="0.2">
      <c r="A989" s="12">
        <v>20506</v>
      </c>
      <c r="B989" s="13">
        <f t="shared" si="290"/>
        <v>19</v>
      </c>
      <c r="C989" s="15">
        <f t="shared" si="291"/>
        <v>14</v>
      </c>
      <c r="D989" s="14">
        <f t="shared" si="292"/>
        <v>12</v>
      </c>
      <c r="E989" t="s">
        <v>2777</v>
      </c>
      <c r="F989" t="s">
        <v>2834</v>
      </c>
      <c r="G989" t="s">
        <v>2779</v>
      </c>
      <c r="H989" t="s">
        <v>2779</v>
      </c>
      <c r="I989" t="s">
        <v>2780</v>
      </c>
      <c r="J989" s="4" t="s">
        <v>2842</v>
      </c>
      <c r="K989" t="s">
        <v>182</v>
      </c>
      <c r="L989" t="s">
        <v>163</v>
      </c>
      <c r="M989" t="s">
        <v>163</v>
      </c>
      <c r="N989" t="s">
        <v>163</v>
      </c>
      <c r="O989" s="4" t="s">
        <v>1583</v>
      </c>
      <c r="P989">
        <v>0</v>
      </c>
      <c r="Q989" s="24">
        <v>71.8</v>
      </c>
      <c r="R989" s="25">
        <v>99.5</v>
      </c>
      <c r="S989" s="26">
        <v>64.5</v>
      </c>
    </row>
    <row r="990" spans="1:58" ht="14.25" x14ac:dyDescent="0.2">
      <c r="A990" s="12">
        <v>20507</v>
      </c>
      <c r="B990" s="13">
        <f t="shared" si="290"/>
        <v>19</v>
      </c>
      <c r="C990" s="15">
        <f t="shared" si="291"/>
        <v>14</v>
      </c>
      <c r="D990" s="14">
        <f t="shared" si="292"/>
        <v>12</v>
      </c>
      <c r="E990" t="s">
        <v>2777</v>
      </c>
      <c r="F990" t="s">
        <v>2835</v>
      </c>
      <c r="G990" t="s">
        <v>2779</v>
      </c>
      <c r="H990" t="s">
        <v>2779</v>
      </c>
      <c r="I990" t="s">
        <v>2780</v>
      </c>
      <c r="J990" s="4" t="s">
        <v>2842</v>
      </c>
      <c r="K990" t="s">
        <v>162</v>
      </c>
      <c r="L990" t="s">
        <v>163</v>
      </c>
      <c r="M990" t="s">
        <v>163</v>
      </c>
      <c r="N990" t="s">
        <v>163</v>
      </c>
      <c r="O990" s="4" t="s">
        <v>1583</v>
      </c>
      <c r="P990">
        <v>0</v>
      </c>
      <c r="Q990" s="24">
        <v>71.8</v>
      </c>
      <c r="R990" s="25">
        <v>99.5</v>
      </c>
      <c r="S990" s="26">
        <v>64.5</v>
      </c>
    </row>
    <row r="991" spans="1:58" ht="14.25" x14ac:dyDescent="0.2">
      <c r="A991" s="12">
        <v>20508</v>
      </c>
      <c r="B991" s="13">
        <f t="shared" si="290"/>
        <v>19</v>
      </c>
      <c r="C991" s="15">
        <f t="shared" si="291"/>
        <v>14</v>
      </c>
      <c r="D991" s="14">
        <f t="shared" si="292"/>
        <v>12</v>
      </c>
      <c r="E991" t="s">
        <v>2777</v>
      </c>
      <c r="F991" t="s">
        <v>2836</v>
      </c>
      <c r="G991" t="s">
        <v>2779</v>
      </c>
      <c r="H991" t="s">
        <v>2779</v>
      </c>
      <c r="I991" t="s">
        <v>2780</v>
      </c>
      <c r="J991" s="4" t="s">
        <v>2842</v>
      </c>
      <c r="K991" t="s">
        <v>177</v>
      </c>
      <c r="L991" t="s">
        <v>163</v>
      </c>
      <c r="M991" t="s">
        <v>163</v>
      </c>
      <c r="N991" t="s">
        <v>163</v>
      </c>
      <c r="O991" s="4" t="s">
        <v>1585</v>
      </c>
      <c r="P991">
        <v>0</v>
      </c>
      <c r="Q991" s="24">
        <v>71.8</v>
      </c>
      <c r="R991" s="25">
        <v>99.5</v>
      </c>
      <c r="S991" s="26">
        <v>64.5</v>
      </c>
    </row>
    <row r="992" spans="1:58" ht="14.25" x14ac:dyDescent="0.2">
      <c r="A992" s="12">
        <v>20509</v>
      </c>
      <c r="B992" s="13">
        <f t="shared" si="290"/>
        <v>19</v>
      </c>
      <c r="C992" s="15">
        <f t="shared" si="291"/>
        <v>14</v>
      </c>
      <c r="D992" s="14">
        <f t="shared" si="292"/>
        <v>12</v>
      </c>
      <c r="E992" t="s">
        <v>2777</v>
      </c>
      <c r="F992" t="s">
        <v>2837</v>
      </c>
      <c r="G992" t="s">
        <v>2779</v>
      </c>
      <c r="H992" t="s">
        <v>2779</v>
      </c>
      <c r="I992" t="s">
        <v>2780</v>
      </c>
      <c r="J992" s="4" t="s">
        <v>2842</v>
      </c>
      <c r="K992" t="s">
        <v>174</v>
      </c>
      <c r="L992" t="s">
        <v>163</v>
      </c>
      <c r="M992" t="s">
        <v>163</v>
      </c>
      <c r="N992" t="s">
        <v>163</v>
      </c>
      <c r="O992" s="4" t="s">
        <v>1587</v>
      </c>
      <c r="P992">
        <v>0</v>
      </c>
      <c r="Q992" s="24">
        <v>71.8</v>
      </c>
      <c r="R992" s="25">
        <v>99.5</v>
      </c>
      <c r="S992" s="26">
        <v>64.5</v>
      </c>
    </row>
    <row r="993" spans="1:19" ht="14.25" x14ac:dyDescent="0.2">
      <c r="A993" s="12">
        <v>20510</v>
      </c>
      <c r="B993" s="13">
        <f t="shared" si="290"/>
        <v>19</v>
      </c>
      <c r="C993" s="15">
        <f t="shared" si="291"/>
        <v>14</v>
      </c>
      <c r="D993" s="14">
        <f t="shared" si="292"/>
        <v>12</v>
      </c>
      <c r="E993" t="s">
        <v>2785</v>
      </c>
      <c r="F993" t="s">
        <v>2786</v>
      </c>
      <c r="G993" t="s">
        <v>2831</v>
      </c>
      <c r="H993" t="s">
        <v>2829</v>
      </c>
      <c r="I993" t="s">
        <v>2697</v>
      </c>
      <c r="J993" s="4" t="s">
        <v>2862</v>
      </c>
      <c r="K993" t="s">
        <v>166</v>
      </c>
      <c r="L993" t="s">
        <v>163</v>
      </c>
      <c r="M993" t="s">
        <v>163</v>
      </c>
      <c r="N993" t="s">
        <v>163</v>
      </c>
      <c r="O993" s="4" t="s">
        <v>1587</v>
      </c>
      <c r="P993">
        <v>0</v>
      </c>
      <c r="Q993" s="24">
        <v>71.8</v>
      </c>
      <c r="R993" s="25">
        <v>99.5</v>
      </c>
      <c r="S993" s="26">
        <v>64.5</v>
      </c>
    </row>
    <row r="994" spans="1:19" ht="14.25" x14ac:dyDescent="0.2">
      <c r="A994" s="12">
        <v>20511</v>
      </c>
      <c r="B994" s="13">
        <f t="shared" si="290"/>
        <v>19</v>
      </c>
      <c r="C994" s="15">
        <f t="shared" si="291"/>
        <v>14</v>
      </c>
      <c r="D994" s="14">
        <f t="shared" si="292"/>
        <v>12</v>
      </c>
      <c r="E994" t="s">
        <v>2777</v>
      </c>
      <c r="F994" t="s">
        <v>2834</v>
      </c>
      <c r="G994" t="s">
        <v>2779</v>
      </c>
      <c r="H994" t="s">
        <v>2779</v>
      </c>
      <c r="I994" t="s">
        <v>2780</v>
      </c>
      <c r="J994" s="4" t="s">
        <v>2842</v>
      </c>
      <c r="K994" t="s">
        <v>168</v>
      </c>
      <c r="L994" t="s">
        <v>163</v>
      </c>
      <c r="M994" t="s">
        <v>163</v>
      </c>
      <c r="N994" t="s">
        <v>163</v>
      </c>
      <c r="O994" s="4" t="s">
        <v>1589</v>
      </c>
      <c r="P994">
        <v>0</v>
      </c>
      <c r="Q994" s="24">
        <v>72.2</v>
      </c>
      <c r="R994" s="25">
        <v>100</v>
      </c>
      <c r="S994" s="26">
        <v>64.8</v>
      </c>
    </row>
    <row r="995" spans="1:19" ht="14.25" x14ac:dyDescent="0.2">
      <c r="A995" s="12">
        <v>20512</v>
      </c>
      <c r="B995" s="13">
        <f t="shared" si="290"/>
        <v>19</v>
      </c>
      <c r="C995" s="15">
        <f t="shared" si="291"/>
        <v>14</v>
      </c>
      <c r="D995" s="14">
        <f t="shared" si="292"/>
        <v>12</v>
      </c>
      <c r="E995" t="s">
        <v>2777</v>
      </c>
      <c r="F995" t="s">
        <v>2835</v>
      </c>
      <c r="G995" t="s">
        <v>2779</v>
      </c>
      <c r="H995" t="s">
        <v>2779</v>
      </c>
      <c r="I995" t="s">
        <v>2780</v>
      </c>
      <c r="J995" s="4" t="s">
        <v>2842</v>
      </c>
      <c r="K995" t="s">
        <v>175</v>
      </c>
      <c r="L995" t="s">
        <v>164</v>
      </c>
      <c r="M995" t="s">
        <v>163</v>
      </c>
      <c r="N995" t="s">
        <v>167</v>
      </c>
      <c r="O995" s="4" t="s">
        <v>1591</v>
      </c>
      <c r="P995">
        <v>0</v>
      </c>
      <c r="Q995" s="24">
        <v>72.2</v>
      </c>
      <c r="R995" s="25">
        <v>100</v>
      </c>
      <c r="S995" s="26">
        <v>64.8</v>
      </c>
    </row>
    <row r="996" spans="1:19" ht="14.25" x14ac:dyDescent="0.2">
      <c r="A996" s="12">
        <v>20513</v>
      </c>
      <c r="B996" s="13">
        <f t="shared" si="290"/>
        <v>20</v>
      </c>
      <c r="C996" s="15">
        <f t="shared" si="291"/>
        <v>14</v>
      </c>
      <c r="D996" s="14">
        <f t="shared" si="292"/>
        <v>12</v>
      </c>
      <c r="E996" t="s">
        <v>2777</v>
      </c>
      <c r="F996" t="s">
        <v>2836</v>
      </c>
      <c r="G996" t="s">
        <v>2779</v>
      </c>
      <c r="H996" t="s">
        <v>2779</v>
      </c>
      <c r="I996" t="s">
        <v>2780</v>
      </c>
      <c r="J996" s="4" t="s">
        <v>2842</v>
      </c>
      <c r="K996" t="s">
        <v>179</v>
      </c>
      <c r="L996" t="s">
        <v>163</v>
      </c>
      <c r="M996" t="s">
        <v>163</v>
      </c>
      <c r="N996" t="s">
        <v>163</v>
      </c>
      <c r="O996" s="4" t="s">
        <v>1593</v>
      </c>
      <c r="P996">
        <v>0</v>
      </c>
      <c r="Q996" s="24">
        <v>72.2</v>
      </c>
      <c r="R996" s="25">
        <v>100</v>
      </c>
      <c r="S996" s="26">
        <v>64.8</v>
      </c>
    </row>
    <row r="997" spans="1:19" ht="14.25" x14ac:dyDescent="0.2">
      <c r="A997" s="12">
        <v>20514</v>
      </c>
      <c r="B997" s="13">
        <f t="shared" si="290"/>
        <v>20</v>
      </c>
      <c r="C997" s="15">
        <f t="shared" si="291"/>
        <v>14</v>
      </c>
      <c r="D997" s="14">
        <f t="shared" si="292"/>
        <v>12</v>
      </c>
      <c r="E997" t="s">
        <v>2777</v>
      </c>
      <c r="F997" t="s">
        <v>2837</v>
      </c>
      <c r="G997" t="s">
        <v>2779</v>
      </c>
      <c r="H997" t="s">
        <v>2779</v>
      </c>
      <c r="I997" t="s">
        <v>2780</v>
      </c>
      <c r="J997" s="4" t="s">
        <v>2842</v>
      </c>
      <c r="K997" t="s">
        <v>177</v>
      </c>
      <c r="L997" t="s">
        <v>163</v>
      </c>
      <c r="M997" t="s">
        <v>163</v>
      </c>
      <c r="N997" t="s">
        <v>163</v>
      </c>
      <c r="O997" s="4" t="s">
        <v>1593</v>
      </c>
      <c r="P997">
        <v>0</v>
      </c>
      <c r="Q997" s="24">
        <v>72.2</v>
      </c>
      <c r="R997" s="25">
        <v>100</v>
      </c>
      <c r="S997" s="26">
        <v>64.8</v>
      </c>
    </row>
    <row r="998" spans="1:19" ht="14.25" x14ac:dyDescent="0.2">
      <c r="A998" s="12">
        <v>20515</v>
      </c>
      <c r="B998" s="13">
        <f t="shared" si="290"/>
        <v>20</v>
      </c>
      <c r="C998" s="15">
        <f t="shared" si="291"/>
        <v>14</v>
      </c>
      <c r="D998" s="14">
        <f t="shared" si="292"/>
        <v>12</v>
      </c>
      <c r="E998" t="s">
        <v>2785</v>
      </c>
      <c r="F998" t="s">
        <v>2786</v>
      </c>
      <c r="G998" t="s">
        <v>2832</v>
      </c>
      <c r="H998" t="s">
        <v>2829</v>
      </c>
      <c r="I998" t="s">
        <v>2697</v>
      </c>
      <c r="J998" s="4" t="s">
        <v>2862</v>
      </c>
      <c r="K998" t="s">
        <v>174</v>
      </c>
      <c r="L998" t="s">
        <v>163</v>
      </c>
      <c r="M998" t="s">
        <v>163</v>
      </c>
      <c r="N998" t="s">
        <v>163</v>
      </c>
      <c r="O998" s="4" t="s">
        <v>1595</v>
      </c>
      <c r="P998">
        <v>0</v>
      </c>
      <c r="Q998" s="24">
        <v>72.2</v>
      </c>
      <c r="R998" s="25">
        <v>100</v>
      </c>
      <c r="S998" s="26">
        <v>64.8</v>
      </c>
    </row>
    <row r="999" spans="1:19" ht="14.25" x14ac:dyDescent="0.2">
      <c r="A999" s="12">
        <v>20516</v>
      </c>
      <c r="B999" s="13">
        <f t="shared" si="290"/>
        <v>20</v>
      </c>
      <c r="C999" s="15">
        <f t="shared" si="291"/>
        <v>14</v>
      </c>
      <c r="D999" s="14">
        <f t="shared" si="292"/>
        <v>12</v>
      </c>
      <c r="E999" t="s">
        <v>2777</v>
      </c>
      <c r="F999" t="s">
        <v>2834</v>
      </c>
      <c r="G999" t="s">
        <v>2779</v>
      </c>
      <c r="H999" t="s">
        <v>2779</v>
      </c>
      <c r="I999" t="s">
        <v>2780</v>
      </c>
      <c r="J999" s="4" t="s">
        <v>2842</v>
      </c>
      <c r="K999" t="s">
        <v>182</v>
      </c>
      <c r="L999" t="s">
        <v>163</v>
      </c>
      <c r="M999" t="s">
        <v>163</v>
      </c>
      <c r="N999" t="s">
        <v>163</v>
      </c>
      <c r="O999" s="4" t="s">
        <v>1597</v>
      </c>
      <c r="P999">
        <v>0</v>
      </c>
      <c r="Q999" s="24">
        <v>72.5</v>
      </c>
      <c r="R999" s="25">
        <v>100.5</v>
      </c>
      <c r="S999" s="26">
        <v>65</v>
      </c>
    </row>
    <row r="1000" spans="1:19" ht="14.25" x14ac:dyDescent="0.2">
      <c r="A1000" s="12">
        <v>20517</v>
      </c>
      <c r="B1000" s="13">
        <f t="shared" si="290"/>
        <v>20</v>
      </c>
      <c r="C1000" s="15">
        <f t="shared" si="291"/>
        <v>14</v>
      </c>
      <c r="D1000" s="14">
        <f t="shared" si="292"/>
        <v>12</v>
      </c>
      <c r="E1000" t="s">
        <v>2777</v>
      </c>
      <c r="F1000" t="s">
        <v>2835</v>
      </c>
      <c r="G1000" t="s">
        <v>2779</v>
      </c>
      <c r="H1000" t="s">
        <v>2779</v>
      </c>
      <c r="I1000" t="s">
        <v>2780</v>
      </c>
      <c r="J1000" s="4" t="s">
        <v>2842</v>
      </c>
      <c r="K1000" t="s">
        <v>162</v>
      </c>
      <c r="L1000" t="s">
        <v>163</v>
      </c>
      <c r="M1000" t="s">
        <v>163</v>
      </c>
      <c r="N1000" t="s">
        <v>163</v>
      </c>
      <c r="O1000" s="4" t="s">
        <v>1597</v>
      </c>
      <c r="P1000">
        <v>0</v>
      </c>
      <c r="Q1000" s="24">
        <v>72.5</v>
      </c>
      <c r="R1000" s="25">
        <v>100.5</v>
      </c>
      <c r="S1000" s="26">
        <v>65</v>
      </c>
    </row>
    <row r="1001" spans="1:19" ht="14.25" x14ac:dyDescent="0.2">
      <c r="A1001" s="12">
        <v>20518</v>
      </c>
      <c r="B1001" s="13">
        <f t="shared" si="290"/>
        <v>20</v>
      </c>
      <c r="C1001" s="15">
        <f t="shared" si="291"/>
        <v>14</v>
      </c>
      <c r="D1001" s="14">
        <f t="shared" si="292"/>
        <v>13</v>
      </c>
      <c r="E1001" t="s">
        <v>2777</v>
      </c>
      <c r="F1001" t="s">
        <v>2836</v>
      </c>
      <c r="G1001" t="s">
        <v>2779</v>
      </c>
      <c r="H1001" t="s">
        <v>2779</v>
      </c>
      <c r="I1001" t="s">
        <v>2780</v>
      </c>
      <c r="J1001" s="4" t="s">
        <v>2842</v>
      </c>
      <c r="K1001" t="s">
        <v>177</v>
      </c>
      <c r="L1001" t="s">
        <v>163</v>
      </c>
      <c r="M1001" t="s">
        <v>163</v>
      </c>
      <c r="N1001" t="s">
        <v>163</v>
      </c>
      <c r="O1001" s="4" t="s">
        <v>1599</v>
      </c>
      <c r="P1001">
        <v>0</v>
      </c>
      <c r="Q1001" s="24">
        <v>72.5</v>
      </c>
      <c r="R1001" s="25">
        <v>100.5</v>
      </c>
      <c r="S1001" s="26">
        <v>65</v>
      </c>
    </row>
    <row r="1002" spans="1:19" ht="14.25" x14ac:dyDescent="0.2">
      <c r="A1002" s="12">
        <v>20519</v>
      </c>
      <c r="B1002" s="13">
        <f t="shared" si="290"/>
        <v>20</v>
      </c>
      <c r="C1002" s="15">
        <f t="shared" si="291"/>
        <v>14</v>
      </c>
      <c r="D1002" s="14">
        <f t="shared" si="292"/>
        <v>13</v>
      </c>
      <c r="E1002" t="s">
        <v>2777</v>
      </c>
      <c r="F1002" t="s">
        <v>2837</v>
      </c>
      <c r="G1002" t="s">
        <v>2779</v>
      </c>
      <c r="H1002" t="s">
        <v>2779</v>
      </c>
      <c r="I1002" t="s">
        <v>2780</v>
      </c>
      <c r="J1002" s="4" t="s">
        <v>2842</v>
      </c>
      <c r="K1002" t="s">
        <v>174</v>
      </c>
      <c r="L1002" t="s">
        <v>163</v>
      </c>
      <c r="M1002" t="s">
        <v>163</v>
      </c>
      <c r="N1002" t="s">
        <v>163</v>
      </c>
      <c r="O1002" s="4" t="s">
        <v>1601</v>
      </c>
      <c r="P1002">
        <v>0</v>
      </c>
      <c r="Q1002" s="24">
        <v>72.5</v>
      </c>
      <c r="R1002" s="25">
        <v>100.5</v>
      </c>
      <c r="S1002" s="26">
        <v>65</v>
      </c>
    </row>
    <row r="1003" spans="1:19" ht="14.25" x14ac:dyDescent="0.2">
      <c r="A1003" s="12">
        <v>20520</v>
      </c>
      <c r="B1003" s="13">
        <f t="shared" si="290"/>
        <v>20</v>
      </c>
      <c r="C1003" s="15">
        <f t="shared" si="291"/>
        <v>14</v>
      </c>
      <c r="D1003" s="14">
        <f t="shared" si="292"/>
        <v>13</v>
      </c>
      <c r="E1003" t="s">
        <v>2785</v>
      </c>
      <c r="F1003" t="s">
        <v>2786</v>
      </c>
      <c r="G1003" t="s">
        <v>2833</v>
      </c>
      <c r="H1003" t="s">
        <v>2829</v>
      </c>
      <c r="I1003" t="s">
        <v>2697</v>
      </c>
      <c r="J1003" s="4" t="s">
        <v>2880</v>
      </c>
      <c r="K1003" t="s">
        <v>166</v>
      </c>
      <c r="L1003" t="s">
        <v>163</v>
      </c>
      <c r="M1003" t="s">
        <v>163</v>
      </c>
      <c r="N1003" t="s">
        <v>163</v>
      </c>
      <c r="O1003" s="4" t="s">
        <v>1601</v>
      </c>
      <c r="P1003">
        <v>0</v>
      </c>
      <c r="Q1003" s="24">
        <v>72.5</v>
      </c>
      <c r="R1003" s="25">
        <v>100.5</v>
      </c>
      <c r="S1003" s="26">
        <v>65</v>
      </c>
    </row>
    <row r="1004" spans="1:19" ht="14.25" x14ac:dyDescent="0.2">
      <c r="A1004" s="12">
        <v>20521</v>
      </c>
      <c r="B1004" s="13">
        <f t="shared" si="290"/>
        <v>20</v>
      </c>
      <c r="C1004" s="15">
        <f t="shared" si="291"/>
        <v>14</v>
      </c>
      <c r="D1004" s="14">
        <f t="shared" si="292"/>
        <v>13</v>
      </c>
      <c r="E1004" t="s">
        <v>2777</v>
      </c>
      <c r="F1004" t="s">
        <v>2834</v>
      </c>
      <c r="G1004" t="s">
        <v>2779</v>
      </c>
      <c r="H1004" t="s">
        <v>2779</v>
      </c>
      <c r="I1004" t="s">
        <v>2780</v>
      </c>
      <c r="J1004" s="4" t="s">
        <v>2842</v>
      </c>
      <c r="K1004" t="s">
        <v>168</v>
      </c>
      <c r="L1004" t="s">
        <v>163</v>
      </c>
      <c r="M1004" t="s">
        <v>163</v>
      </c>
      <c r="N1004" t="s">
        <v>163</v>
      </c>
      <c r="O1004" s="4" t="s">
        <v>1603</v>
      </c>
      <c r="P1004">
        <v>0</v>
      </c>
      <c r="Q1004" s="24">
        <v>72.8</v>
      </c>
      <c r="R1004" s="25">
        <v>101</v>
      </c>
      <c r="S1004" s="26">
        <v>65.3</v>
      </c>
    </row>
    <row r="1005" spans="1:19" ht="14.25" x14ac:dyDescent="0.2">
      <c r="A1005" s="12">
        <v>20522</v>
      </c>
      <c r="B1005" s="13">
        <f t="shared" si="290"/>
        <v>20</v>
      </c>
      <c r="C1005" s="15">
        <f t="shared" si="291"/>
        <v>14</v>
      </c>
      <c r="D1005" s="14">
        <f t="shared" si="292"/>
        <v>13</v>
      </c>
      <c r="E1005" t="s">
        <v>2777</v>
      </c>
      <c r="F1005" t="s">
        <v>2835</v>
      </c>
      <c r="G1005" t="s">
        <v>2779</v>
      </c>
      <c r="H1005" t="s">
        <v>2779</v>
      </c>
      <c r="I1005" t="s">
        <v>2780</v>
      </c>
      <c r="J1005" s="4" t="s">
        <v>2842</v>
      </c>
      <c r="K1005" t="s">
        <v>175</v>
      </c>
      <c r="L1005" t="s">
        <v>164</v>
      </c>
      <c r="M1005" t="s">
        <v>163</v>
      </c>
      <c r="N1005" t="s">
        <v>167</v>
      </c>
      <c r="O1005" s="4" t="s">
        <v>1605</v>
      </c>
      <c r="P1005">
        <v>0</v>
      </c>
      <c r="Q1005" s="24">
        <v>72.8</v>
      </c>
      <c r="R1005" s="25">
        <v>101</v>
      </c>
      <c r="S1005" s="26">
        <v>65.3</v>
      </c>
    </row>
    <row r="1006" spans="1:19" ht="14.25" x14ac:dyDescent="0.2">
      <c r="A1006" s="12">
        <v>20523</v>
      </c>
      <c r="B1006" s="13">
        <f t="shared" si="290"/>
        <v>20</v>
      </c>
      <c r="C1006" s="15">
        <f t="shared" si="291"/>
        <v>14</v>
      </c>
      <c r="D1006" s="14">
        <f t="shared" si="292"/>
        <v>13</v>
      </c>
      <c r="E1006" t="s">
        <v>2777</v>
      </c>
      <c r="F1006" t="s">
        <v>2836</v>
      </c>
      <c r="G1006" t="s">
        <v>2779</v>
      </c>
      <c r="H1006" t="s">
        <v>2779</v>
      </c>
      <c r="I1006" t="s">
        <v>2780</v>
      </c>
      <c r="J1006" s="4" t="s">
        <v>2842</v>
      </c>
      <c r="K1006" t="s">
        <v>179</v>
      </c>
      <c r="L1006" t="s">
        <v>163</v>
      </c>
      <c r="M1006" t="s">
        <v>163</v>
      </c>
      <c r="N1006" t="s">
        <v>163</v>
      </c>
      <c r="O1006" s="4" t="s">
        <v>1607</v>
      </c>
      <c r="P1006">
        <v>0</v>
      </c>
      <c r="Q1006" s="24">
        <v>72.8</v>
      </c>
      <c r="R1006" s="25">
        <v>101</v>
      </c>
      <c r="S1006" s="26">
        <v>65.3</v>
      </c>
    </row>
    <row r="1007" spans="1:19" ht="14.25" x14ac:dyDescent="0.2">
      <c r="A1007" s="12">
        <v>20524</v>
      </c>
      <c r="B1007" s="13">
        <f t="shared" si="290"/>
        <v>20</v>
      </c>
      <c r="C1007" s="15">
        <f t="shared" si="291"/>
        <v>14</v>
      </c>
      <c r="D1007" s="14">
        <f t="shared" si="292"/>
        <v>13</v>
      </c>
      <c r="E1007" t="s">
        <v>2777</v>
      </c>
      <c r="F1007" t="s">
        <v>2837</v>
      </c>
      <c r="G1007" t="s">
        <v>2779</v>
      </c>
      <c r="H1007" t="s">
        <v>2779</v>
      </c>
      <c r="I1007" t="s">
        <v>2780</v>
      </c>
      <c r="J1007" s="4" t="s">
        <v>2842</v>
      </c>
      <c r="K1007" t="s">
        <v>177</v>
      </c>
      <c r="L1007" t="s">
        <v>163</v>
      </c>
      <c r="M1007" t="s">
        <v>163</v>
      </c>
      <c r="N1007" t="s">
        <v>163</v>
      </c>
      <c r="O1007" s="4" t="s">
        <v>1607</v>
      </c>
      <c r="P1007">
        <v>0</v>
      </c>
      <c r="Q1007" s="24">
        <v>72.8</v>
      </c>
      <c r="R1007" s="25">
        <v>101</v>
      </c>
      <c r="S1007" s="26">
        <v>65.3</v>
      </c>
    </row>
    <row r="1008" spans="1:19" ht="14.25" x14ac:dyDescent="0.2">
      <c r="A1008" s="12">
        <v>20525</v>
      </c>
      <c r="B1008" s="13">
        <f t="shared" si="290"/>
        <v>20</v>
      </c>
      <c r="C1008" s="15">
        <f t="shared" si="291"/>
        <v>14</v>
      </c>
      <c r="D1008" s="14">
        <f t="shared" si="292"/>
        <v>13</v>
      </c>
      <c r="E1008" t="s">
        <v>2785</v>
      </c>
      <c r="F1008" t="s">
        <v>2786</v>
      </c>
      <c r="G1008" t="s">
        <v>2828</v>
      </c>
      <c r="H1008" t="s">
        <v>2829</v>
      </c>
      <c r="I1008" t="s">
        <v>2697</v>
      </c>
      <c r="J1008" s="4" t="s">
        <v>2880</v>
      </c>
      <c r="K1008" t="s">
        <v>174</v>
      </c>
      <c r="L1008" t="s">
        <v>163</v>
      </c>
      <c r="M1008" t="s">
        <v>163</v>
      </c>
      <c r="N1008" t="s">
        <v>163</v>
      </c>
      <c r="O1008" s="4" t="s">
        <v>1609</v>
      </c>
      <c r="P1008">
        <v>0</v>
      </c>
      <c r="Q1008" s="24">
        <v>72.8</v>
      </c>
      <c r="R1008" s="25">
        <v>101</v>
      </c>
      <c r="S1008" s="26">
        <v>65.3</v>
      </c>
    </row>
    <row r="1009" spans="1:19" ht="14.25" x14ac:dyDescent="0.2">
      <c r="A1009" s="12">
        <v>20526</v>
      </c>
      <c r="B1009" s="13">
        <f t="shared" si="290"/>
        <v>20</v>
      </c>
      <c r="C1009" s="15">
        <f t="shared" si="291"/>
        <v>14</v>
      </c>
      <c r="D1009" s="14">
        <f t="shared" si="292"/>
        <v>13</v>
      </c>
      <c r="E1009" t="s">
        <v>2777</v>
      </c>
      <c r="F1009" t="s">
        <v>2834</v>
      </c>
      <c r="G1009" t="s">
        <v>2779</v>
      </c>
      <c r="H1009" t="s">
        <v>2779</v>
      </c>
      <c r="I1009" t="s">
        <v>2780</v>
      </c>
      <c r="J1009" s="4" t="s">
        <v>2842</v>
      </c>
      <c r="K1009" t="s">
        <v>182</v>
      </c>
      <c r="L1009" t="s">
        <v>163</v>
      </c>
      <c r="M1009" t="s">
        <v>163</v>
      </c>
      <c r="N1009" t="s">
        <v>163</v>
      </c>
      <c r="O1009" s="4" t="s">
        <v>1611</v>
      </c>
      <c r="P1009">
        <v>0</v>
      </c>
      <c r="Q1009" s="24">
        <v>73.2</v>
      </c>
      <c r="R1009" s="25">
        <v>101.5</v>
      </c>
      <c r="S1009" s="26">
        <v>65.5</v>
      </c>
    </row>
    <row r="1010" spans="1:19" ht="14.25" x14ac:dyDescent="0.2">
      <c r="A1010" s="12">
        <v>20527</v>
      </c>
      <c r="B1010" s="13">
        <f t="shared" si="290"/>
        <v>20</v>
      </c>
      <c r="C1010" s="15">
        <f t="shared" si="291"/>
        <v>14</v>
      </c>
      <c r="D1010" s="14">
        <f t="shared" si="292"/>
        <v>13</v>
      </c>
      <c r="E1010" t="s">
        <v>2777</v>
      </c>
      <c r="F1010" t="s">
        <v>2835</v>
      </c>
      <c r="G1010" t="s">
        <v>2779</v>
      </c>
      <c r="H1010" t="s">
        <v>2779</v>
      </c>
      <c r="I1010" t="s">
        <v>2780</v>
      </c>
      <c r="J1010" s="4" t="s">
        <v>2842</v>
      </c>
      <c r="K1010" t="s">
        <v>162</v>
      </c>
      <c r="L1010" t="s">
        <v>163</v>
      </c>
      <c r="M1010" t="s">
        <v>163</v>
      </c>
      <c r="N1010" t="s">
        <v>163</v>
      </c>
      <c r="O1010" s="4" t="s">
        <v>1611</v>
      </c>
      <c r="P1010">
        <v>0</v>
      </c>
      <c r="Q1010" s="24">
        <v>73.2</v>
      </c>
      <c r="R1010" s="25">
        <v>101.5</v>
      </c>
      <c r="S1010" s="26">
        <v>65.5</v>
      </c>
    </row>
    <row r="1011" spans="1:19" ht="14.25" x14ac:dyDescent="0.2">
      <c r="A1011" s="12">
        <v>20528</v>
      </c>
      <c r="B1011" s="13">
        <f t="shared" si="290"/>
        <v>20</v>
      </c>
      <c r="C1011" s="15">
        <f t="shared" si="291"/>
        <v>14</v>
      </c>
      <c r="D1011" s="14">
        <f t="shared" si="292"/>
        <v>13</v>
      </c>
      <c r="E1011" t="s">
        <v>2777</v>
      </c>
      <c r="F1011" t="s">
        <v>2836</v>
      </c>
      <c r="G1011" t="s">
        <v>2779</v>
      </c>
      <c r="H1011" t="s">
        <v>2779</v>
      </c>
      <c r="I1011" t="s">
        <v>2780</v>
      </c>
      <c r="J1011" s="4" t="s">
        <v>2842</v>
      </c>
      <c r="K1011" t="s">
        <v>177</v>
      </c>
      <c r="L1011" t="s">
        <v>163</v>
      </c>
      <c r="M1011" t="s">
        <v>163</v>
      </c>
      <c r="N1011" t="s">
        <v>163</v>
      </c>
      <c r="O1011" s="4" t="s">
        <v>1613</v>
      </c>
      <c r="P1011">
        <v>0</v>
      </c>
      <c r="Q1011" s="24">
        <v>73.2</v>
      </c>
      <c r="R1011" s="25">
        <v>101.5</v>
      </c>
      <c r="S1011" s="26">
        <v>65.5</v>
      </c>
    </row>
    <row r="1012" spans="1:19" ht="14.25" x14ac:dyDescent="0.2">
      <c r="A1012" s="12">
        <v>20529</v>
      </c>
      <c r="B1012" s="13">
        <f t="shared" si="290"/>
        <v>20</v>
      </c>
      <c r="C1012" s="15">
        <f t="shared" si="291"/>
        <v>14</v>
      </c>
      <c r="D1012" s="14">
        <f t="shared" si="292"/>
        <v>13</v>
      </c>
      <c r="E1012" t="s">
        <v>2777</v>
      </c>
      <c r="F1012" t="s">
        <v>2837</v>
      </c>
      <c r="G1012" t="s">
        <v>2779</v>
      </c>
      <c r="H1012" t="s">
        <v>2779</v>
      </c>
      <c r="I1012" t="s">
        <v>2780</v>
      </c>
      <c r="J1012" s="4" t="s">
        <v>2842</v>
      </c>
      <c r="K1012" t="s">
        <v>174</v>
      </c>
      <c r="L1012" t="s">
        <v>163</v>
      </c>
      <c r="M1012" t="s">
        <v>163</v>
      </c>
      <c r="N1012" t="s">
        <v>163</v>
      </c>
      <c r="O1012" s="4" t="s">
        <v>1615</v>
      </c>
      <c r="P1012">
        <v>0</v>
      </c>
      <c r="Q1012" s="24">
        <v>73.2</v>
      </c>
      <c r="R1012" s="25">
        <v>101.5</v>
      </c>
      <c r="S1012" s="26">
        <v>65.5</v>
      </c>
    </row>
    <row r="1013" spans="1:19" ht="14.25" x14ac:dyDescent="0.2">
      <c r="A1013" s="12">
        <v>20530</v>
      </c>
      <c r="B1013" s="13">
        <f t="shared" si="290"/>
        <v>20</v>
      </c>
      <c r="C1013" s="15">
        <f t="shared" si="291"/>
        <v>14</v>
      </c>
      <c r="D1013" s="14">
        <f t="shared" si="292"/>
        <v>13</v>
      </c>
      <c r="E1013" t="s">
        <v>2785</v>
      </c>
      <c r="F1013" t="s">
        <v>2786</v>
      </c>
      <c r="G1013" t="s">
        <v>2830</v>
      </c>
      <c r="H1013" t="s">
        <v>2829</v>
      </c>
      <c r="I1013" t="s">
        <v>2697</v>
      </c>
      <c r="J1013" s="4" t="s">
        <v>2862</v>
      </c>
      <c r="K1013" t="s">
        <v>166</v>
      </c>
      <c r="L1013" t="s">
        <v>163</v>
      </c>
      <c r="M1013" t="s">
        <v>163</v>
      </c>
      <c r="N1013" t="s">
        <v>163</v>
      </c>
      <c r="O1013" s="4" t="s">
        <v>1615</v>
      </c>
      <c r="P1013">
        <v>0</v>
      </c>
      <c r="Q1013" s="24">
        <v>73.2</v>
      </c>
      <c r="R1013" s="25">
        <v>101.5</v>
      </c>
      <c r="S1013" s="26">
        <v>65.5</v>
      </c>
    </row>
    <row r="1014" spans="1:19" ht="14.25" x14ac:dyDescent="0.2">
      <c r="A1014" s="12">
        <v>20531</v>
      </c>
      <c r="B1014" s="13">
        <f t="shared" si="290"/>
        <v>20</v>
      </c>
      <c r="C1014" s="15">
        <f t="shared" si="291"/>
        <v>14</v>
      </c>
      <c r="D1014" s="14">
        <f t="shared" si="292"/>
        <v>13</v>
      </c>
      <c r="E1014" t="s">
        <v>2777</v>
      </c>
      <c r="F1014" t="s">
        <v>2834</v>
      </c>
      <c r="G1014" t="s">
        <v>2779</v>
      </c>
      <c r="H1014" t="s">
        <v>2779</v>
      </c>
      <c r="I1014" t="s">
        <v>2780</v>
      </c>
      <c r="J1014" s="4" t="s">
        <v>2842</v>
      </c>
      <c r="K1014" t="s">
        <v>168</v>
      </c>
      <c r="L1014" t="s">
        <v>163</v>
      </c>
      <c r="M1014" t="s">
        <v>163</v>
      </c>
      <c r="N1014" t="s">
        <v>163</v>
      </c>
      <c r="O1014" s="4" t="s">
        <v>1617</v>
      </c>
      <c r="P1014">
        <v>0</v>
      </c>
      <c r="Q1014" s="24">
        <v>73.5</v>
      </c>
      <c r="R1014" s="25">
        <v>102</v>
      </c>
      <c r="S1014" s="26">
        <v>65.8</v>
      </c>
    </row>
    <row r="1015" spans="1:19" ht="14.25" x14ac:dyDescent="0.2">
      <c r="A1015" s="12">
        <v>20532</v>
      </c>
      <c r="B1015" s="13">
        <f t="shared" si="290"/>
        <v>20</v>
      </c>
      <c r="C1015" s="15">
        <f t="shared" si="291"/>
        <v>14</v>
      </c>
      <c r="D1015" s="14">
        <f t="shared" si="292"/>
        <v>13</v>
      </c>
      <c r="E1015" t="s">
        <v>2777</v>
      </c>
      <c r="F1015" t="s">
        <v>2835</v>
      </c>
      <c r="G1015" t="s">
        <v>2779</v>
      </c>
      <c r="H1015" t="s">
        <v>2779</v>
      </c>
      <c r="I1015" t="s">
        <v>2780</v>
      </c>
      <c r="J1015" s="4" t="s">
        <v>2842</v>
      </c>
      <c r="K1015" t="s">
        <v>175</v>
      </c>
      <c r="L1015" t="s">
        <v>164</v>
      </c>
      <c r="M1015" t="s">
        <v>163</v>
      </c>
      <c r="N1015" t="s">
        <v>167</v>
      </c>
      <c r="O1015" s="4" t="s">
        <v>1619</v>
      </c>
      <c r="P1015">
        <v>0</v>
      </c>
      <c r="Q1015" s="24">
        <v>73.5</v>
      </c>
      <c r="R1015" s="25">
        <v>102</v>
      </c>
      <c r="S1015" s="26">
        <v>65.8</v>
      </c>
    </row>
    <row r="1016" spans="1:19" ht="14.25" x14ac:dyDescent="0.2">
      <c r="A1016" s="12">
        <v>20533</v>
      </c>
      <c r="B1016" s="13">
        <f t="shared" si="290"/>
        <v>20</v>
      </c>
      <c r="C1016" s="15">
        <f t="shared" si="291"/>
        <v>14</v>
      </c>
      <c r="D1016" s="14">
        <f t="shared" si="292"/>
        <v>13</v>
      </c>
      <c r="E1016" t="s">
        <v>2777</v>
      </c>
      <c r="F1016" t="s">
        <v>2836</v>
      </c>
      <c r="G1016" t="s">
        <v>2779</v>
      </c>
      <c r="H1016" t="s">
        <v>2779</v>
      </c>
      <c r="I1016" t="s">
        <v>2780</v>
      </c>
      <c r="J1016" s="4" t="s">
        <v>2842</v>
      </c>
      <c r="K1016" t="s">
        <v>179</v>
      </c>
      <c r="L1016" t="s">
        <v>163</v>
      </c>
      <c r="M1016" t="s">
        <v>163</v>
      </c>
      <c r="N1016" t="s">
        <v>163</v>
      </c>
      <c r="O1016" s="4" t="s">
        <v>1621</v>
      </c>
      <c r="P1016">
        <v>0</v>
      </c>
      <c r="Q1016" s="24">
        <v>73.5</v>
      </c>
      <c r="R1016" s="25">
        <v>102</v>
      </c>
      <c r="S1016" s="26">
        <v>65.8</v>
      </c>
    </row>
    <row r="1017" spans="1:19" ht="14.25" x14ac:dyDescent="0.2">
      <c r="A1017" s="12">
        <v>20534</v>
      </c>
      <c r="B1017" s="13">
        <f t="shared" si="290"/>
        <v>20</v>
      </c>
      <c r="C1017" s="15">
        <f t="shared" si="291"/>
        <v>14</v>
      </c>
      <c r="D1017" s="14">
        <f t="shared" si="292"/>
        <v>13</v>
      </c>
      <c r="E1017" t="s">
        <v>2777</v>
      </c>
      <c r="F1017" t="s">
        <v>2837</v>
      </c>
      <c r="G1017" t="s">
        <v>2779</v>
      </c>
      <c r="H1017" t="s">
        <v>2779</v>
      </c>
      <c r="I1017" t="s">
        <v>2780</v>
      </c>
      <c r="J1017" s="4" t="s">
        <v>2842</v>
      </c>
      <c r="K1017" t="s">
        <v>177</v>
      </c>
      <c r="L1017" t="s">
        <v>163</v>
      </c>
      <c r="M1017" t="s">
        <v>163</v>
      </c>
      <c r="N1017" t="s">
        <v>163</v>
      </c>
      <c r="O1017" s="4" t="s">
        <v>1621</v>
      </c>
      <c r="P1017">
        <v>0</v>
      </c>
      <c r="Q1017" s="24">
        <v>73.5</v>
      </c>
      <c r="R1017" s="25">
        <v>102</v>
      </c>
      <c r="S1017" s="26">
        <v>65.8</v>
      </c>
    </row>
    <row r="1018" spans="1:19" ht="14.25" x14ac:dyDescent="0.2">
      <c r="A1018" s="12">
        <v>20535</v>
      </c>
      <c r="B1018" s="13">
        <f t="shared" si="290"/>
        <v>20</v>
      </c>
      <c r="C1018" s="15">
        <f t="shared" si="291"/>
        <v>14</v>
      </c>
      <c r="D1018" s="14">
        <f t="shared" si="292"/>
        <v>13</v>
      </c>
      <c r="E1018" t="s">
        <v>2785</v>
      </c>
      <c r="F1018" t="s">
        <v>2786</v>
      </c>
      <c r="G1018" t="s">
        <v>2831</v>
      </c>
      <c r="H1018" t="s">
        <v>2829</v>
      </c>
      <c r="I1018" t="s">
        <v>2697</v>
      </c>
      <c r="J1018" s="4" t="s">
        <v>2862</v>
      </c>
      <c r="K1018" t="s">
        <v>174</v>
      </c>
      <c r="L1018" t="s">
        <v>163</v>
      </c>
      <c r="M1018" t="s">
        <v>163</v>
      </c>
      <c r="N1018" t="s">
        <v>163</v>
      </c>
      <c r="O1018" s="4" t="s">
        <v>1623</v>
      </c>
      <c r="P1018">
        <v>0</v>
      </c>
      <c r="Q1018" s="24">
        <v>73.5</v>
      </c>
      <c r="R1018" s="25">
        <v>102</v>
      </c>
      <c r="S1018" s="26">
        <v>65.8</v>
      </c>
    </row>
    <row r="1019" spans="1:19" ht="14.25" x14ac:dyDescent="0.2">
      <c r="A1019" s="12">
        <v>20536</v>
      </c>
      <c r="B1019" s="13">
        <f t="shared" si="290"/>
        <v>20</v>
      </c>
      <c r="C1019" s="15">
        <f t="shared" si="291"/>
        <v>14</v>
      </c>
      <c r="D1019" s="14">
        <f t="shared" si="292"/>
        <v>13</v>
      </c>
      <c r="E1019" t="s">
        <v>2777</v>
      </c>
      <c r="F1019" t="s">
        <v>2834</v>
      </c>
      <c r="G1019" t="s">
        <v>2779</v>
      </c>
      <c r="H1019" t="s">
        <v>2779</v>
      </c>
      <c r="I1019" t="s">
        <v>2780</v>
      </c>
      <c r="J1019" s="4" t="s">
        <v>2842</v>
      </c>
      <c r="K1019" t="s">
        <v>182</v>
      </c>
      <c r="L1019" t="s">
        <v>163</v>
      </c>
      <c r="M1019" t="s">
        <v>163</v>
      </c>
      <c r="N1019" t="s">
        <v>163</v>
      </c>
      <c r="O1019" s="4" t="s">
        <v>1625</v>
      </c>
      <c r="P1019">
        <v>0</v>
      </c>
      <c r="Q1019" s="24">
        <v>73.8</v>
      </c>
      <c r="R1019" s="25">
        <v>102.5</v>
      </c>
      <c r="S1019" s="26">
        <v>66</v>
      </c>
    </row>
    <row r="1020" spans="1:19" ht="14.25" x14ac:dyDescent="0.2">
      <c r="A1020" s="12">
        <v>20537</v>
      </c>
      <c r="B1020" s="13">
        <f t="shared" si="290"/>
        <v>20</v>
      </c>
      <c r="C1020" s="15">
        <f t="shared" si="291"/>
        <v>14</v>
      </c>
      <c r="D1020" s="14">
        <f t="shared" si="292"/>
        <v>13</v>
      </c>
      <c r="E1020" t="s">
        <v>2777</v>
      </c>
      <c r="F1020" t="s">
        <v>2835</v>
      </c>
      <c r="G1020" t="s">
        <v>2779</v>
      </c>
      <c r="H1020" t="s">
        <v>2779</v>
      </c>
      <c r="I1020" t="s">
        <v>2780</v>
      </c>
      <c r="J1020" s="4" t="s">
        <v>2842</v>
      </c>
      <c r="K1020" t="s">
        <v>162</v>
      </c>
      <c r="L1020" t="s">
        <v>163</v>
      </c>
      <c r="M1020" t="s">
        <v>163</v>
      </c>
      <c r="N1020" t="s">
        <v>163</v>
      </c>
      <c r="O1020" s="4" t="s">
        <v>1625</v>
      </c>
      <c r="P1020">
        <v>0</v>
      </c>
      <c r="Q1020" s="24">
        <v>73.8</v>
      </c>
      <c r="R1020" s="25">
        <v>102.5</v>
      </c>
      <c r="S1020" s="26">
        <v>66</v>
      </c>
    </row>
    <row r="1021" spans="1:19" ht="14.25" x14ac:dyDescent="0.2">
      <c r="A1021" s="12">
        <v>20538</v>
      </c>
      <c r="B1021" s="13">
        <f t="shared" si="290"/>
        <v>20</v>
      </c>
      <c r="C1021" s="15">
        <f t="shared" si="291"/>
        <v>14</v>
      </c>
      <c r="D1021" s="14">
        <f t="shared" si="292"/>
        <v>13</v>
      </c>
      <c r="E1021" t="s">
        <v>2777</v>
      </c>
      <c r="F1021" t="s">
        <v>2836</v>
      </c>
      <c r="G1021" t="s">
        <v>2779</v>
      </c>
      <c r="H1021" t="s">
        <v>2779</v>
      </c>
      <c r="I1021" t="s">
        <v>2780</v>
      </c>
      <c r="J1021" s="4" t="s">
        <v>2842</v>
      </c>
      <c r="K1021" t="s">
        <v>177</v>
      </c>
      <c r="L1021" t="s">
        <v>163</v>
      </c>
      <c r="M1021" t="s">
        <v>163</v>
      </c>
      <c r="N1021" t="s">
        <v>163</v>
      </c>
      <c r="O1021" s="4" t="s">
        <v>1627</v>
      </c>
      <c r="P1021">
        <v>0</v>
      </c>
      <c r="Q1021" s="24">
        <v>73.8</v>
      </c>
      <c r="R1021" s="25">
        <v>102.5</v>
      </c>
      <c r="S1021" s="26">
        <v>66</v>
      </c>
    </row>
    <row r="1022" spans="1:19" ht="14.25" x14ac:dyDescent="0.2">
      <c r="A1022" s="12">
        <v>20539</v>
      </c>
      <c r="B1022" s="13">
        <f t="shared" si="290"/>
        <v>20</v>
      </c>
      <c r="C1022" s="15">
        <f t="shared" si="291"/>
        <v>14</v>
      </c>
      <c r="D1022" s="14">
        <f t="shared" si="292"/>
        <v>13</v>
      </c>
      <c r="E1022" t="s">
        <v>2777</v>
      </c>
      <c r="F1022" t="s">
        <v>2837</v>
      </c>
      <c r="G1022" t="s">
        <v>2779</v>
      </c>
      <c r="H1022" t="s">
        <v>2779</v>
      </c>
      <c r="I1022" t="s">
        <v>2780</v>
      </c>
      <c r="J1022" s="4" t="s">
        <v>2842</v>
      </c>
      <c r="K1022" t="s">
        <v>174</v>
      </c>
      <c r="L1022" t="s">
        <v>163</v>
      </c>
      <c r="M1022" t="s">
        <v>163</v>
      </c>
      <c r="N1022" t="s">
        <v>163</v>
      </c>
      <c r="O1022" s="4" t="s">
        <v>1629</v>
      </c>
      <c r="P1022">
        <v>0</v>
      </c>
      <c r="Q1022" s="24">
        <v>73.8</v>
      </c>
      <c r="R1022" s="25">
        <v>102.5</v>
      </c>
      <c r="S1022" s="26">
        <v>66</v>
      </c>
    </row>
    <row r="1023" spans="1:19" ht="14.25" x14ac:dyDescent="0.2">
      <c r="A1023" s="12">
        <v>20540</v>
      </c>
      <c r="B1023" s="13">
        <f t="shared" si="290"/>
        <v>20</v>
      </c>
      <c r="C1023" s="15">
        <f t="shared" si="291"/>
        <v>14</v>
      </c>
      <c r="D1023" s="14">
        <f t="shared" si="292"/>
        <v>13</v>
      </c>
      <c r="E1023" t="s">
        <v>2785</v>
      </c>
      <c r="F1023" t="s">
        <v>2786</v>
      </c>
      <c r="G1023" t="s">
        <v>2832</v>
      </c>
      <c r="H1023" t="s">
        <v>2829</v>
      </c>
      <c r="I1023" t="s">
        <v>2697</v>
      </c>
      <c r="J1023" s="4" t="s">
        <v>2862</v>
      </c>
      <c r="K1023" t="s">
        <v>166</v>
      </c>
      <c r="L1023" t="s">
        <v>163</v>
      </c>
      <c r="M1023" t="s">
        <v>163</v>
      </c>
      <c r="N1023" t="s">
        <v>163</v>
      </c>
      <c r="O1023" s="4" t="s">
        <v>1629</v>
      </c>
      <c r="P1023">
        <v>0</v>
      </c>
      <c r="Q1023" s="24">
        <v>73.8</v>
      </c>
      <c r="R1023" s="25">
        <v>102.5</v>
      </c>
      <c r="S1023" s="26">
        <v>66</v>
      </c>
    </row>
    <row r="1024" spans="1:19" ht="14.25" x14ac:dyDescent="0.2">
      <c r="A1024" s="12">
        <v>20541</v>
      </c>
      <c r="B1024" s="13">
        <f t="shared" si="290"/>
        <v>20</v>
      </c>
      <c r="C1024" s="15">
        <f t="shared" si="291"/>
        <v>14</v>
      </c>
      <c r="D1024" s="14">
        <f t="shared" si="292"/>
        <v>13</v>
      </c>
      <c r="E1024" t="s">
        <v>2777</v>
      </c>
      <c r="F1024" t="s">
        <v>2834</v>
      </c>
      <c r="G1024" t="s">
        <v>2779</v>
      </c>
      <c r="H1024" t="s">
        <v>2779</v>
      </c>
      <c r="I1024" t="s">
        <v>2780</v>
      </c>
      <c r="J1024" s="4" t="s">
        <v>2842</v>
      </c>
      <c r="K1024" t="s">
        <v>168</v>
      </c>
      <c r="L1024" t="s">
        <v>163</v>
      </c>
      <c r="M1024" t="s">
        <v>163</v>
      </c>
      <c r="N1024" t="s">
        <v>163</v>
      </c>
      <c r="O1024" s="4" t="s">
        <v>1631</v>
      </c>
      <c r="P1024">
        <v>0</v>
      </c>
      <c r="Q1024" s="24">
        <v>74.2</v>
      </c>
      <c r="R1024" s="25">
        <v>103</v>
      </c>
      <c r="S1024" s="26">
        <v>66.3</v>
      </c>
    </row>
    <row r="1025" spans="1:19" ht="14.25" x14ac:dyDescent="0.2">
      <c r="A1025" s="12">
        <v>20542</v>
      </c>
      <c r="B1025" s="13">
        <f t="shared" si="290"/>
        <v>20</v>
      </c>
      <c r="C1025" s="15">
        <f t="shared" si="291"/>
        <v>14</v>
      </c>
      <c r="D1025" s="14">
        <f t="shared" si="292"/>
        <v>13</v>
      </c>
      <c r="E1025" t="s">
        <v>2777</v>
      </c>
      <c r="F1025" t="s">
        <v>2835</v>
      </c>
      <c r="G1025" t="s">
        <v>2779</v>
      </c>
      <c r="H1025" t="s">
        <v>2779</v>
      </c>
      <c r="I1025" t="s">
        <v>2780</v>
      </c>
      <c r="J1025" s="4" t="s">
        <v>2842</v>
      </c>
      <c r="K1025" t="s">
        <v>175</v>
      </c>
      <c r="L1025" t="s">
        <v>164</v>
      </c>
      <c r="M1025" t="s">
        <v>163</v>
      </c>
      <c r="N1025" t="s">
        <v>167</v>
      </c>
      <c r="O1025" s="4" t="s">
        <v>1633</v>
      </c>
      <c r="P1025">
        <v>0</v>
      </c>
      <c r="Q1025" s="24">
        <v>74.2</v>
      </c>
      <c r="R1025" s="25">
        <v>103</v>
      </c>
      <c r="S1025" s="26">
        <v>66.3</v>
      </c>
    </row>
    <row r="1026" spans="1:19" ht="14.25" x14ac:dyDescent="0.2">
      <c r="A1026" s="12">
        <v>20543</v>
      </c>
      <c r="B1026" s="13">
        <f t="shared" si="290"/>
        <v>20</v>
      </c>
      <c r="C1026" s="15">
        <f t="shared" si="291"/>
        <v>14</v>
      </c>
      <c r="D1026" s="14">
        <f t="shared" si="292"/>
        <v>13</v>
      </c>
      <c r="E1026" t="s">
        <v>2777</v>
      </c>
      <c r="F1026" t="s">
        <v>2836</v>
      </c>
      <c r="G1026" t="s">
        <v>2779</v>
      </c>
      <c r="H1026" t="s">
        <v>2779</v>
      </c>
      <c r="I1026" t="s">
        <v>2780</v>
      </c>
      <c r="J1026" s="4" t="s">
        <v>2842</v>
      </c>
      <c r="K1026" t="s">
        <v>179</v>
      </c>
      <c r="L1026" t="s">
        <v>163</v>
      </c>
      <c r="M1026" t="s">
        <v>163</v>
      </c>
      <c r="N1026" t="s">
        <v>163</v>
      </c>
      <c r="O1026" s="4" t="s">
        <v>1635</v>
      </c>
      <c r="P1026">
        <v>0</v>
      </c>
      <c r="Q1026" s="24">
        <v>74.2</v>
      </c>
      <c r="R1026" s="25">
        <v>103</v>
      </c>
      <c r="S1026" s="26">
        <v>66.3</v>
      </c>
    </row>
    <row r="1027" spans="1:19" ht="14.25" x14ac:dyDescent="0.2">
      <c r="A1027" s="12">
        <v>20544</v>
      </c>
      <c r="B1027" s="13">
        <f t="shared" si="290"/>
        <v>20</v>
      </c>
      <c r="C1027" s="15">
        <f t="shared" si="291"/>
        <v>14</v>
      </c>
      <c r="D1027" s="14">
        <f t="shared" si="292"/>
        <v>13</v>
      </c>
      <c r="E1027" t="s">
        <v>2777</v>
      </c>
      <c r="F1027" t="s">
        <v>2837</v>
      </c>
      <c r="G1027" t="s">
        <v>2779</v>
      </c>
      <c r="H1027" t="s">
        <v>2779</v>
      </c>
      <c r="I1027" t="s">
        <v>2780</v>
      </c>
      <c r="J1027" s="4" t="s">
        <v>2842</v>
      </c>
      <c r="K1027" t="s">
        <v>177</v>
      </c>
      <c r="L1027" t="s">
        <v>163</v>
      </c>
      <c r="M1027" t="s">
        <v>163</v>
      </c>
      <c r="N1027" t="s">
        <v>163</v>
      </c>
      <c r="O1027" s="4" t="s">
        <v>1635</v>
      </c>
      <c r="P1027">
        <v>0</v>
      </c>
      <c r="Q1027" s="24">
        <v>74.2</v>
      </c>
      <c r="R1027" s="25">
        <v>103</v>
      </c>
      <c r="S1027" s="26">
        <v>66.3</v>
      </c>
    </row>
    <row r="1028" spans="1:19" ht="14.25" x14ac:dyDescent="0.2">
      <c r="A1028" s="12">
        <v>20545</v>
      </c>
      <c r="B1028" s="13">
        <f t="shared" si="290"/>
        <v>20</v>
      </c>
      <c r="C1028" s="15">
        <f t="shared" si="291"/>
        <v>14</v>
      </c>
      <c r="D1028" s="14">
        <f t="shared" si="292"/>
        <v>13</v>
      </c>
      <c r="E1028" t="s">
        <v>2785</v>
      </c>
      <c r="F1028" t="s">
        <v>2786</v>
      </c>
      <c r="G1028" t="s">
        <v>2833</v>
      </c>
      <c r="H1028" t="s">
        <v>2829</v>
      </c>
      <c r="I1028" t="s">
        <v>2697</v>
      </c>
      <c r="J1028" s="4" t="s">
        <v>2880</v>
      </c>
      <c r="K1028" t="s">
        <v>174</v>
      </c>
      <c r="L1028" t="s">
        <v>163</v>
      </c>
      <c r="M1028" t="s">
        <v>163</v>
      </c>
      <c r="N1028" t="s">
        <v>163</v>
      </c>
      <c r="O1028" s="4" t="s">
        <v>1637</v>
      </c>
      <c r="P1028">
        <v>0</v>
      </c>
      <c r="Q1028" s="24">
        <v>74.2</v>
      </c>
      <c r="R1028" s="25">
        <v>103</v>
      </c>
      <c r="S1028" s="26">
        <v>66.3</v>
      </c>
    </row>
    <row r="1029" spans="1:19" ht="14.25" x14ac:dyDescent="0.2">
      <c r="A1029" s="12">
        <v>20546</v>
      </c>
      <c r="B1029" s="13">
        <f t="shared" ref="B1029:B1092" si="293">FLOOR(R1027/5,1)</f>
        <v>20</v>
      </c>
      <c r="C1029" s="15">
        <f t="shared" ref="C1029:C1092" si="294">FLOOR(Q1027/5,1)</f>
        <v>14</v>
      </c>
      <c r="D1029" s="14">
        <f t="shared" ref="D1029:D1092" si="295">FLOOR(S1027/5,1)</f>
        <v>13</v>
      </c>
      <c r="E1029" t="s">
        <v>2777</v>
      </c>
      <c r="F1029" t="s">
        <v>2834</v>
      </c>
      <c r="G1029" t="s">
        <v>2779</v>
      </c>
      <c r="H1029" t="s">
        <v>2779</v>
      </c>
      <c r="I1029" t="s">
        <v>2780</v>
      </c>
      <c r="J1029" s="4" t="s">
        <v>2842</v>
      </c>
      <c r="K1029" t="s">
        <v>182</v>
      </c>
      <c r="L1029" t="s">
        <v>163</v>
      </c>
      <c r="M1029" t="s">
        <v>163</v>
      </c>
      <c r="N1029" t="s">
        <v>163</v>
      </c>
      <c r="O1029" s="4" t="s">
        <v>1639</v>
      </c>
      <c r="P1029">
        <v>0</v>
      </c>
      <c r="Q1029" s="24">
        <v>74.5</v>
      </c>
      <c r="R1029" s="25">
        <v>103.5</v>
      </c>
      <c r="S1029" s="26">
        <v>66.5</v>
      </c>
    </row>
    <row r="1030" spans="1:19" ht="14.25" x14ac:dyDescent="0.2">
      <c r="A1030" s="12">
        <v>20547</v>
      </c>
      <c r="B1030" s="13">
        <f t="shared" si="293"/>
        <v>20</v>
      </c>
      <c r="C1030" s="15">
        <f t="shared" si="294"/>
        <v>14</v>
      </c>
      <c r="D1030" s="14">
        <f t="shared" si="295"/>
        <v>13</v>
      </c>
      <c r="E1030" t="s">
        <v>2777</v>
      </c>
      <c r="F1030" t="s">
        <v>2835</v>
      </c>
      <c r="G1030" t="s">
        <v>2779</v>
      </c>
      <c r="H1030" t="s">
        <v>2779</v>
      </c>
      <c r="I1030" t="s">
        <v>2780</v>
      </c>
      <c r="J1030" s="4" t="s">
        <v>2842</v>
      </c>
      <c r="K1030" t="s">
        <v>162</v>
      </c>
      <c r="L1030" t="s">
        <v>163</v>
      </c>
      <c r="M1030" t="s">
        <v>163</v>
      </c>
      <c r="N1030" t="s">
        <v>163</v>
      </c>
      <c r="O1030" s="4" t="s">
        <v>1639</v>
      </c>
      <c r="P1030">
        <v>0</v>
      </c>
      <c r="Q1030" s="24">
        <v>74.5</v>
      </c>
      <c r="R1030" s="25">
        <v>103.5</v>
      </c>
      <c r="S1030" s="26">
        <v>66.5</v>
      </c>
    </row>
    <row r="1031" spans="1:19" ht="14.25" x14ac:dyDescent="0.2">
      <c r="A1031" s="12">
        <v>20548</v>
      </c>
      <c r="B1031" s="13">
        <f t="shared" si="293"/>
        <v>20</v>
      </c>
      <c r="C1031" s="15">
        <f t="shared" si="294"/>
        <v>14</v>
      </c>
      <c r="D1031" s="14">
        <f t="shared" si="295"/>
        <v>13</v>
      </c>
      <c r="E1031" t="s">
        <v>2777</v>
      </c>
      <c r="F1031" t="s">
        <v>2836</v>
      </c>
      <c r="G1031" t="s">
        <v>2779</v>
      </c>
      <c r="H1031" t="s">
        <v>2779</v>
      </c>
      <c r="I1031" t="s">
        <v>2780</v>
      </c>
      <c r="J1031" s="4" t="s">
        <v>2842</v>
      </c>
      <c r="K1031" t="s">
        <v>177</v>
      </c>
      <c r="L1031" t="s">
        <v>163</v>
      </c>
      <c r="M1031" t="s">
        <v>163</v>
      </c>
      <c r="N1031" t="s">
        <v>163</v>
      </c>
      <c r="O1031" s="4" t="s">
        <v>1641</v>
      </c>
      <c r="P1031">
        <v>0</v>
      </c>
      <c r="Q1031" s="24">
        <v>74.5</v>
      </c>
      <c r="R1031" s="25">
        <v>103.5</v>
      </c>
      <c r="S1031" s="26">
        <v>66.5</v>
      </c>
    </row>
    <row r="1032" spans="1:19" ht="14.25" x14ac:dyDescent="0.2">
      <c r="A1032" s="12">
        <v>20549</v>
      </c>
      <c r="B1032" s="13">
        <f t="shared" si="293"/>
        <v>20</v>
      </c>
      <c r="C1032" s="15">
        <f t="shared" si="294"/>
        <v>14</v>
      </c>
      <c r="D1032" s="14">
        <f t="shared" si="295"/>
        <v>13</v>
      </c>
      <c r="E1032" t="s">
        <v>2777</v>
      </c>
      <c r="F1032" t="s">
        <v>2837</v>
      </c>
      <c r="G1032" t="s">
        <v>2779</v>
      </c>
      <c r="H1032" t="s">
        <v>2779</v>
      </c>
      <c r="I1032" t="s">
        <v>2780</v>
      </c>
      <c r="J1032" s="4" t="s">
        <v>2842</v>
      </c>
      <c r="K1032" t="s">
        <v>174</v>
      </c>
      <c r="L1032" t="s">
        <v>163</v>
      </c>
      <c r="M1032" t="s">
        <v>163</v>
      </c>
      <c r="N1032" t="s">
        <v>163</v>
      </c>
      <c r="O1032" s="4" t="s">
        <v>1643</v>
      </c>
      <c r="P1032">
        <v>0</v>
      </c>
      <c r="Q1032" s="24">
        <v>74.5</v>
      </c>
      <c r="R1032" s="25">
        <v>103.5</v>
      </c>
      <c r="S1032" s="26">
        <v>66.5</v>
      </c>
    </row>
    <row r="1033" spans="1:19" ht="14.25" x14ac:dyDescent="0.2">
      <c r="A1033" s="12">
        <v>20550</v>
      </c>
      <c r="B1033" s="13">
        <f t="shared" si="293"/>
        <v>20</v>
      </c>
      <c r="C1033" s="15">
        <f t="shared" si="294"/>
        <v>14</v>
      </c>
      <c r="D1033" s="14">
        <f t="shared" si="295"/>
        <v>13</v>
      </c>
      <c r="E1033" t="s">
        <v>2785</v>
      </c>
      <c r="F1033" t="s">
        <v>2786</v>
      </c>
      <c r="G1033" t="s">
        <v>2828</v>
      </c>
      <c r="H1033" t="s">
        <v>2829</v>
      </c>
      <c r="I1033" t="s">
        <v>2697</v>
      </c>
      <c r="J1033" s="4" t="s">
        <v>2880</v>
      </c>
      <c r="K1033" t="s">
        <v>166</v>
      </c>
      <c r="L1033" t="s">
        <v>163</v>
      </c>
      <c r="M1033" t="s">
        <v>163</v>
      </c>
      <c r="N1033" t="s">
        <v>163</v>
      </c>
      <c r="O1033" s="4" t="s">
        <v>1643</v>
      </c>
      <c r="P1033">
        <v>0</v>
      </c>
      <c r="Q1033" s="24">
        <v>74.5</v>
      </c>
      <c r="R1033" s="25">
        <v>103.5</v>
      </c>
      <c r="S1033" s="26">
        <v>66.5</v>
      </c>
    </row>
    <row r="1034" spans="1:19" ht="14.25" x14ac:dyDescent="0.2">
      <c r="A1034" s="12">
        <v>20601</v>
      </c>
      <c r="B1034" s="13">
        <f t="shared" si="293"/>
        <v>20</v>
      </c>
      <c r="C1034" s="15">
        <f t="shared" si="294"/>
        <v>14</v>
      </c>
      <c r="D1034" s="14">
        <f t="shared" si="295"/>
        <v>13</v>
      </c>
      <c r="E1034" t="s">
        <v>2777</v>
      </c>
      <c r="F1034" t="s">
        <v>2834</v>
      </c>
      <c r="G1034" t="s">
        <v>2779</v>
      </c>
      <c r="H1034" t="s">
        <v>2779</v>
      </c>
      <c r="I1034" t="s">
        <v>2780</v>
      </c>
      <c r="J1034" s="4" t="s">
        <v>2842</v>
      </c>
      <c r="K1034" t="s">
        <v>168</v>
      </c>
      <c r="L1034" t="s">
        <v>163</v>
      </c>
      <c r="M1034" t="s">
        <v>163</v>
      </c>
      <c r="N1034" t="s">
        <v>163</v>
      </c>
      <c r="O1034" s="4" t="s">
        <v>1645</v>
      </c>
      <c r="P1034">
        <v>0</v>
      </c>
      <c r="Q1034" s="24">
        <v>74.8</v>
      </c>
      <c r="R1034" s="25">
        <v>104</v>
      </c>
      <c r="S1034" s="26">
        <v>66.8</v>
      </c>
    </row>
    <row r="1035" spans="1:19" ht="14.25" x14ac:dyDescent="0.2">
      <c r="A1035" s="12">
        <v>20602</v>
      </c>
      <c r="B1035" s="13">
        <f t="shared" si="293"/>
        <v>20</v>
      </c>
      <c r="C1035" s="15">
        <f t="shared" si="294"/>
        <v>14</v>
      </c>
      <c r="D1035" s="14">
        <f t="shared" si="295"/>
        <v>13</v>
      </c>
      <c r="E1035" t="s">
        <v>2777</v>
      </c>
      <c r="F1035" t="s">
        <v>2835</v>
      </c>
      <c r="G1035" t="s">
        <v>2779</v>
      </c>
      <c r="H1035" t="s">
        <v>2779</v>
      </c>
      <c r="I1035" t="s">
        <v>2780</v>
      </c>
      <c r="J1035" s="4" t="s">
        <v>2842</v>
      </c>
      <c r="K1035" t="s">
        <v>175</v>
      </c>
      <c r="L1035" t="s">
        <v>164</v>
      </c>
      <c r="M1035" t="s">
        <v>163</v>
      </c>
      <c r="N1035" t="s">
        <v>167</v>
      </c>
      <c r="O1035" s="4" t="s">
        <v>1647</v>
      </c>
      <c r="P1035">
        <v>0</v>
      </c>
      <c r="Q1035" s="24">
        <v>74.8</v>
      </c>
      <c r="R1035" s="25">
        <v>104</v>
      </c>
      <c r="S1035" s="26">
        <v>66.8</v>
      </c>
    </row>
    <row r="1036" spans="1:19" ht="14.25" x14ac:dyDescent="0.2">
      <c r="A1036" s="12">
        <v>20603</v>
      </c>
      <c r="B1036" s="13">
        <f t="shared" si="293"/>
        <v>20</v>
      </c>
      <c r="C1036" s="15">
        <f t="shared" si="294"/>
        <v>14</v>
      </c>
      <c r="D1036" s="14">
        <f t="shared" si="295"/>
        <v>13</v>
      </c>
      <c r="E1036" t="s">
        <v>2777</v>
      </c>
      <c r="F1036" t="s">
        <v>2836</v>
      </c>
      <c r="G1036" t="s">
        <v>2779</v>
      </c>
      <c r="H1036" t="s">
        <v>2779</v>
      </c>
      <c r="I1036" t="s">
        <v>2780</v>
      </c>
      <c r="J1036" s="4" t="s">
        <v>2842</v>
      </c>
      <c r="K1036" t="s">
        <v>179</v>
      </c>
      <c r="L1036" t="s">
        <v>163</v>
      </c>
      <c r="M1036" t="s">
        <v>163</v>
      </c>
      <c r="N1036" t="s">
        <v>163</v>
      </c>
      <c r="O1036" s="4" t="s">
        <v>1649</v>
      </c>
      <c r="P1036">
        <v>0</v>
      </c>
      <c r="Q1036" s="24">
        <v>74.8</v>
      </c>
      <c r="R1036" s="25">
        <v>104</v>
      </c>
      <c r="S1036" s="26">
        <v>66.8</v>
      </c>
    </row>
    <row r="1037" spans="1:19" ht="14.25" x14ac:dyDescent="0.2">
      <c r="A1037" s="12">
        <v>20604</v>
      </c>
      <c r="B1037" s="13">
        <f t="shared" si="293"/>
        <v>20</v>
      </c>
      <c r="C1037" s="15">
        <f t="shared" si="294"/>
        <v>14</v>
      </c>
      <c r="D1037" s="14">
        <f t="shared" si="295"/>
        <v>13</v>
      </c>
      <c r="E1037" t="s">
        <v>2777</v>
      </c>
      <c r="F1037" t="s">
        <v>2837</v>
      </c>
      <c r="G1037" t="s">
        <v>2779</v>
      </c>
      <c r="H1037" t="s">
        <v>2779</v>
      </c>
      <c r="I1037" t="s">
        <v>2780</v>
      </c>
      <c r="J1037" s="4" t="s">
        <v>2842</v>
      </c>
      <c r="K1037" t="s">
        <v>177</v>
      </c>
      <c r="L1037" t="s">
        <v>163</v>
      </c>
      <c r="M1037" t="s">
        <v>163</v>
      </c>
      <c r="N1037" t="s">
        <v>163</v>
      </c>
      <c r="O1037" s="4" t="s">
        <v>1649</v>
      </c>
      <c r="P1037">
        <v>0</v>
      </c>
      <c r="Q1037" s="24">
        <v>74.8</v>
      </c>
      <c r="R1037" s="25">
        <v>104</v>
      </c>
      <c r="S1037" s="26">
        <v>66.8</v>
      </c>
    </row>
    <row r="1038" spans="1:19" ht="14.25" x14ac:dyDescent="0.2">
      <c r="A1038" s="12">
        <v>20605</v>
      </c>
      <c r="B1038" s="13">
        <f t="shared" si="293"/>
        <v>20</v>
      </c>
      <c r="C1038" s="15">
        <f t="shared" si="294"/>
        <v>14</v>
      </c>
      <c r="D1038" s="14">
        <f t="shared" si="295"/>
        <v>13</v>
      </c>
      <c r="E1038" t="s">
        <v>2785</v>
      </c>
      <c r="F1038" t="s">
        <v>2786</v>
      </c>
      <c r="G1038" t="s">
        <v>2830</v>
      </c>
      <c r="H1038" t="s">
        <v>2829</v>
      </c>
      <c r="I1038" t="s">
        <v>2697</v>
      </c>
      <c r="J1038" s="4" t="s">
        <v>2862</v>
      </c>
      <c r="K1038" t="s">
        <v>174</v>
      </c>
      <c r="L1038" t="s">
        <v>163</v>
      </c>
      <c r="M1038" t="s">
        <v>163</v>
      </c>
      <c r="N1038" t="s">
        <v>163</v>
      </c>
      <c r="O1038" s="4" t="s">
        <v>1651</v>
      </c>
      <c r="P1038">
        <v>0</v>
      </c>
      <c r="Q1038" s="24">
        <v>74.8</v>
      </c>
      <c r="R1038" s="25">
        <v>104</v>
      </c>
      <c r="S1038" s="26">
        <v>66.8</v>
      </c>
    </row>
    <row r="1039" spans="1:19" ht="14.25" x14ac:dyDescent="0.2">
      <c r="A1039" s="12">
        <v>20606</v>
      </c>
      <c r="B1039" s="13">
        <f t="shared" si="293"/>
        <v>20</v>
      </c>
      <c r="C1039" s="15">
        <f t="shared" si="294"/>
        <v>14</v>
      </c>
      <c r="D1039" s="14">
        <f t="shared" si="295"/>
        <v>13</v>
      </c>
      <c r="E1039" t="s">
        <v>2777</v>
      </c>
      <c r="F1039" t="s">
        <v>2834</v>
      </c>
      <c r="G1039" t="s">
        <v>2779</v>
      </c>
      <c r="H1039" t="s">
        <v>2779</v>
      </c>
      <c r="I1039" t="s">
        <v>2780</v>
      </c>
      <c r="J1039" s="4" t="s">
        <v>2842</v>
      </c>
      <c r="K1039" t="s">
        <v>182</v>
      </c>
      <c r="L1039" t="s">
        <v>163</v>
      </c>
      <c r="M1039" t="s">
        <v>163</v>
      </c>
      <c r="N1039" t="s">
        <v>163</v>
      </c>
      <c r="O1039" s="4" t="s">
        <v>1653</v>
      </c>
      <c r="P1039">
        <v>0</v>
      </c>
      <c r="Q1039" s="24">
        <v>75.2</v>
      </c>
      <c r="R1039" s="25">
        <v>104.5</v>
      </c>
      <c r="S1039" s="26">
        <v>67</v>
      </c>
    </row>
    <row r="1040" spans="1:19" ht="14.25" x14ac:dyDescent="0.2">
      <c r="A1040" s="12">
        <v>20607</v>
      </c>
      <c r="B1040" s="13">
        <f t="shared" si="293"/>
        <v>20</v>
      </c>
      <c r="C1040" s="15">
        <f t="shared" si="294"/>
        <v>14</v>
      </c>
      <c r="D1040" s="14">
        <f t="shared" si="295"/>
        <v>13</v>
      </c>
      <c r="E1040" t="s">
        <v>2777</v>
      </c>
      <c r="F1040" t="s">
        <v>2835</v>
      </c>
      <c r="G1040" t="s">
        <v>2779</v>
      </c>
      <c r="H1040" t="s">
        <v>2779</v>
      </c>
      <c r="I1040" t="s">
        <v>2780</v>
      </c>
      <c r="J1040" s="4" t="s">
        <v>2842</v>
      </c>
      <c r="K1040" t="s">
        <v>162</v>
      </c>
      <c r="L1040" t="s">
        <v>163</v>
      </c>
      <c r="M1040" t="s">
        <v>163</v>
      </c>
      <c r="N1040" t="s">
        <v>163</v>
      </c>
      <c r="O1040" s="4" t="s">
        <v>1653</v>
      </c>
      <c r="P1040">
        <v>0</v>
      </c>
      <c r="Q1040" s="24">
        <v>75.2</v>
      </c>
      <c r="R1040" s="25">
        <v>104.5</v>
      </c>
      <c r="S1040" s="26">
        <v>67</v>
      </c>
    </row>
    <row r="1041" spans="1:19" ht="14.25" x14ac:dyDescent="0.2">
      <c r="A1041" s="12">
        <v>20608</v>
      </c>
      <c r="B1041" s="13">
        <f t="shared" si="293"/>
        <v>20</v>
      </c>
      <c r="C1041" s="15">
        <f t="shared" si="294"/>
        <v>15</v>
      </c>
      <c r="D1041" s="14">
        <f t="shared" si="295"/>
        <v>13</v>
      </c>
      <c r="E1041" t="s">
        <v>2777</v>
      </c>
      <c r="F1041" t="s">
        <v>2836</v>
      </c>
      <c r="G1041" t="s">
        <v>2779</v>
      </c>
      <c r="H1041" t="s">
        <v>2779</v>
      </c>
      <c r="I1041" t="s">
        <v>2780</v>
      </c>
      <c r="J1041" s="4" t="s">
        <v>2842</v>
      </c>
      <c r="K1041" t="s">
        <v>177</v>
      </c>
      <c r="L1041" t="s">
        <v>163</v>
      </c>
      <c r="M1041" t="s">
        <v>163</v>
      </c>
      <c r="N1041" t="s">
        <v>163</v>
      </c>
      <c r="O1041" s="4" t="s">
        <v>1655</v>
      </c>
      <c r="P1041">
        <v>0</v>
      </c>
      <c r="Q1041" s="24">
        <v>75.2</v>
      </c>
      <c r="R1041" s="25">
        <v>104.5</v>
      </c>
      <c r="S1041" s="26">
        <v>67</v>
      </c>
    </row>
    <row r="1042" spans="1:19" ht="14.25" x14ac:dyDescent="0.2">
      <c r="A1042" s="12">
        <v>20609</v>
      </c>
      <c r="B1042" s="13">
        <f t="shared" si="293"/>
        <v>20</v>
      </c>
      <c r="C1042" s="15">
        <f t="shared" si="294"/>
        <v>15</v>
      </c>
      <c r="D1042" s="14">
        <f t="shared" si="295"/>
        <v>13</v>
      </c>
      <c r="E1042" t="s">
        <v>2777</v>
      </c>
      <c r="F1042" t="s">
        <v>2837</v>
      </c>
      <c r="G1042" t="s">
        <v>2779</v>
      </c>
      <c r="H1042" t="s">
        <v>2779</v>
      </c>
      <c r="I1042" t="s">
        <v>2780</v>
      </c>
      <c r="J1042" s="4" t="s">
        <v>2842</v>
      </c>
      <c r="K1042" t="s">
        <v>174</v>
      </c>
      <c r="L1042" t="s">
        <v>163</v>
      </c>
      <c r="M1042" t="s">
        <v>163</v>
      </c>
      <c r="N1042" t="s">
        <v>163</v>
      </c>
      <c r="O1042" s="4" t="s">
        <v>1657</v>
      </c>
      <c r="P1042">
        <v>0</v>
      </c>
      <c r="Q1042" s="24">
        <v>75.2</v>
      </c>
      <c r="R1042" s="25">
        <v>104.5</v>
      </c>
      <c r="S1042" s="26">
        <v>67</v>
      </c>
    </row>
    <row r="1043" spans="1:19" ht="14.25" x14ac:dyDescent="0.2">
      <c r="A1043" s="12">
        <v>20610</v>
      </c>
      <c r="B1043" s="13">
        <f t="shared" si="293"/>
        <v>20</v>
      </c>
      <c r="C1043" s="15">
        <f t="shared" si="294"/>
        <v>15</v>
      </c>
      <c r="D1043" s="14">
        <f t="shared" si="295"/>
        <v>13</v>
      </c>
      <c r="E1043" t="s">
        <v>2785</v>
      </c>
      <c r="F1043" t="s">
        <v>2786</v>
      </c>
      <c r="G1043" t="s">
        <v>2831</v>
      </c>
      <c r="H1043" t="s">
        <v>2829</v>
      </c>
      <c r="I1043" t="s">
        <v>2697</v>
      </c>
      <c r="J1043" s="4" t="s">
        <v>2862</v>
      </c>
      <c r="K1043" t="s">
        <v>166</v>
      </c>
      <c r="L1043" t="s">
        <v>163</v>
      </c>
      <c r="M1043" t="s">
        <v>163</v>
      </c>
      <c r="N1043" t="s">
        <v>163</v>
      </c>
      <c r="O1043" s="4" t="s">
        <v>1657</v>
      </c>
      <c r="P1043">
        <v>0</v>
      </c>
      <c r="Q1043" s="24">
        <v>75.2</v>
      </c>
      <c r="R1043" s="25">
        <v>104.5</v>
      </c>
      <c r="S1043" s="26">
        <v>67</v>
      </c>
    </row>
    <row r="1044" spans="1:19" ht="14.25" x14ac:dyDescent="0.2">
      <c r="A1044" s="12">
        <v>20611</v>
      </c>
      <c r="B1044" s="13">
        <f t="shared" si="293"/>
        <v>20</v>
      </c>
      <c r="C1044" s="15">
        <f t="shared" si="294"/>
        <v>15</v>
      </c>
      <c r="D1044" s="14">
        <f t="shared" si="295"/>
        <v>13</v>
      </c>
      <c r="E1044" t="s">
        <v>2777</v>
      </c>
      <c r="F1044" t="s">
        <v>2834</v>
      </c>
      <c r="G1044" t="s">
        <v>2779</v>
      </c>
      <c r="H1044" t="s">
        <v>2779</v>
      </c>
      <c r="I1044" t="s">
        <v>2780</v>
      </c>
      <c r="J1044" s="4" t="s">
        <v>2842</v>
      </c>
      <c r="K1044" t="s">
        <v>168</v>
      </c>
      <c r="L1044" t="s">
        <v>163</v>
      </c>
      <c r="M1044" t="s">
        <v>163</v>
      </c>
      <c r="N1044" t="s">
        <v>163</v>
      </c>
      <c r="O1044" s="4" t="s">
        <v>1659</v>
      </c>
      <c r="P1044">
        <v>0</v>
      </c>
      <c r="Q1044" s="24">
        <v>75.5</v>
      </c>
      <c r="R1044" s="25">
        <v>105</v>
      </c>
      <c r="S1044" s="26">
        <v>67.3</v>
      </c>
    </row>
    <row r="1045" spans="1:19" ht="14.25" x14ac:dyDescent="0.2">
      <c r="A1045" s="12">
        <v>20612</v>
      </c>
      <c r="B1045" s="13">
        <f t="shared" si="293"/>
        <v>20</v>
      </c>
      <c r="C1045" s="15">
        <f t="shared" si="294"/>
        <v>15</v>
      </c>
      <c r="D1045" s="14">
        <f t="shared" si="295"/>
        <v>13</v>
      </c>
      <c r="E1045" t="s">
        <v>2777</v>
      </c>
      <c r="F1045" t="s">
        <v>2835</v>
      </c>
      <c r="G1045" t="s">
        <v>2779</v>
      </c>
      <c r="H1045" t="s">
        <v>2779</v>
      </c>
      <c r="I1045" t="s">
        <v>2780</v>
      </c>
      <c r="J1045" s="4" t="s">
        <v>2842</v>
      </c>
      <c r="K1045" t="s">
        <v>175</v>
      </c>
      <c r="L1045" t="s">
        <v>164</v>
      </c>
      <c r="M1045" t="s">
        <v>163</v>
      </c>
      <c r="N1045" t="s">
        <v>167</v>
      </c>
      <c r="O1045" s="4" t="s">
        <v>1661</v>
      </c>
      <c r="P1045">
        <v>0</v>
      </c>
      <c r="Q1045" s="24">
        <v>75.5</v>
      </c>
      <c r="R1045" s="25">
        <v>105</v>
      </c>
      <c r="S1045" s="26">
        <v>67.3</v>
      </c>
    </row>
    <row r="1046" spans="1:19" ht="14.25" x14ac:dyDescent="0.2">
      <c r="A1046" s="12">
        <v>20613</v>
      </c>
      <c r="B1046" s="13">
        <f t="shared" si="293"/>
        <v>21</v>
      </c>
      <c r="C1046" s="15">
        <f t="shared" si="294"/>
        <v>15</v>
      </c>
      <c r="D1046" s="14">
        <f t="shared" si="295"/>
        <v>13</v>
      </c>
      <c r="E1046" t="s">
        <v>2777</v>
      </c>
      <c r="F1046" t="s">
        <v>2836</v>
      </c>
      <c r="G1046" t="s">
        <v>2779</v>
      </c>
      <c r="H1046" t="s">
        <v>2779</v>
      </c>
      <c r="I1046" t="s">
        <v>2780</v>
      </c>
      <c r="J1046" s="4" t="s">
        <v>2842</v>
      </c>
      <c r="K1046" t="s">
        <v>179</v>
      </c>
      <c r="L1046" t="s">
        <v>163</v>
      </c>
      <c r="M1046" t="s">
        <v>163</v>
      </c>
      <c r="N1046" t="s">
        <v>163</v>
      </c>
      <c r="O1046" s="4" t="s">
        <v>1663</v>
      </c>
      <c r="P1046">
        <v>0</v>
      </c>
      <c r="Q1046" s="24">
        <v>75.5</v>
      </c>
      <c r="R1046" s="25">
        <v>105</v>
      </c>
      <c r="S1046" s="26">
        <v>67.3</v>
      </c>
    </row>
    <row r="1047" spans="1:19" ht="14.25" x14ac:dyDescent="0.2">
      <c r="A1047" s="12">
        <v>20614</v>
      </c>
      <c r="B1047" s="13">
        <f t="shared" si="293"/>
        <v>21</v>
      </c>
      <c r="C1047" s="15">
        <f t="shared" si="294"/>
        <v>15</v>
      </c>
      <c r="D1047" s="14">
        <f t="shared" si="295"/>
        <v>13</v>
      </c>
      <c r="E1047" t="s">
        <v>2777</v>
      </c>
      <c r="F1047" t="s">
        <v>2837</v>
      </c>
      <c r="G1047" t="s">
        <v>2779</v>
      </c>
      <c r="H1047" t="s">
        <v>2779</v>
      </c>
      <c r="I1047" t="s">
        <v>2780</v>
      </c>
      <c r="J1047" s="4" t="s">
        <v>2842</v>
      </c>
      <c r="K1047" t="s">
        <v>177</v>
      </c>
      <c r="L1047" t="s">
        <v>163</v>
      </c>
      <c r="M1047" t="s">
        <v>163</v>
      </c>
      <c r="N1047" t="s">
        <v>163</v>
      </c>
      <c r="O1047" s="4" t="s">
        <v>1663</v>
      </c>
      <c r="P1047">
        <v>0</v>
      </c>
      <c r="Q1047" s="24">
        <v>75.5</v>
      </c>
      <c r="R1047" s="25">
        <v>105</v>
      </c>
      <c r="S1047" s="26">
        <v>67.3</v>
      </c>
    </row>
    <row r="1048" spans="1:19" ht="14.25" x14ac:dyDescent="0.2">
      <c r="A1048" s="12">
        <v>20615</v>
      </c>
      <c r="B1048" s="13">
        <f t="shared" si="293"/>
        <v>21</v>
      </c>
      <c r="C1048" s="15">
        <f t="shared" si="294"/>
        <v>15</v>
      </c>
      <c r="D1048" s="14">
        <f t="shared" si="295"/>
        <v>13</v>
      </c>
      <c r="E1048" t="s">
        <v>2785</v>
      </c>
      <c r="F1048" t="s">
        <v>2786</v>
      </c>
      <c r="G1048" t="s">
        <v>2832</v>
      </c>
      <c r="H1048" t="s">
        <v>2829</v>
      </c>
      <c r="I1048" t="s">
        <v>2697</v>
      </c>
      <c r="J1048" s="4" t="s">
        <v>2862</v>
      </c>
      <c r="K1048" t="s">
        <v>174</v>
      </c>
      <c r="L1048" t="s">
        <v>163</v>
      </c>
      <c r="M1048" t="s">
        <v>163</v>
      </c>
      <c r="N1048" t="s">
        <v>163</v>
      </c>
      <c r="O1048" s="4" t="s">
        <v>1665</v>
      </c>
      <c r="P1048">
        <v>0</v>
      </c>
      <c r="Q1048" s="24">
        <v>75.5</v>
      </c>
      <c r="R1048" s="25">
        <v>105</v>
      </c>
      <c r="S1048" s="26">
        <v>67.3</v>
      </c>
    </row>
    <row r="1049" spans="1:19" ht="14.25" x14ac:dyDescent="0.2">
      <c r="A1049" s="12">
        <v>20616</v>
      </c>
      <c r="B1049" s="13">
        <f t="shared" si="293"/>
        <v>21</v>
      </c>
      <c r="C1049" s="15">
        <f t="shared" si="294"/>
        <v>15</v>
      </c>
      <c r="D1049" s="14">
        <f t="shared" si="295"/>
        <v>13</v>
      </c>
      <c r="E1049" t="s">
        <v>2777</v>
      </c>
      <c r="F1049" t="s">
        <v>2834</v>
      </c>
      <c r="G1049" t="s">
        <v>2779</v>
      </c>
      <c r="H1049" t="s">
        <v>2779</v>
      </c>
      <c r="I1049" t="s">
        <v>2780</v>
      </c>
      <c r="J1049" s="4" t="s">
        <v>2842</v>
      </c>
      <c r="K1049" t="s">
        <v>182</v>
      </c>
      <c r="L1049" t="s">
        <v>163</v>
      </c>
      <c r="M1049" t="s">
        <v>163</v>
      </c>
      <c r="N1049" t="s">
        <v>163</v>
      </c>
      <c r="O1049" s="4" t="s">
        <v>1667</v>
      </c>
      <c r="P1049">
        <v>0</v>
      </c>
      <c r="Q1049" s="24">
        <v>75.8</v>
      </c>
      <c r="R1049" s="25">
        <v>105.5</v>
      </c>
      <c r="S1049" s="26">
        <v>67.5</v>
      </c>
    </row>
    <row r="1050" spans="1:19" ht="14.25" x14ac:dyDescent="0.2">
      <c r="A1050" s="12">
        <v>20617</v>
      </c>
      <c r="B1050" s="13">
        <f t="shared" si="293"/>
        <v>21</v>
      </c>
      <c r="C1050" s="15">
        <f t="shared" si="294"/>
        <v>15</v>
      </c>
      <c r="D1050" s="14">
        <f t="shared" si="295"/>
        <v>13</v>
      </c>
      <c r="E1050" t="s">
        <v>2777</v>
      </c>
      <c r="F1050" t="s">
        <v>2835</v>
      </c>
      <c r="G1050" t="s">
        <v>2779</v>
      </c>
      <c r="H1050" t="s">
        <v>2779</v>
      </c>
      <c r="I1050" t="s">
        <v>2780</v>
      </c>
      <c r="J1050" s="4" t="s">
        <v>2842</v>
      </c>
      <c r="K1050" t="s">
        <v>162</v>
      </c>
      <c r="L1050" t="s">
        <v>163</v>
      </c>
      <c r="M1050" t="s">
        <v>163</v>
      </c>
      <c r="N1050" t="s">
        <v>163</v>
      </c>
      <c r="O1050" s="4" t="s">
        <v>1667</v>
      </c>
      <c r="P1050">
        <v>0</v>
      </c>
      <c r="Q1050" s="24">
        <v>75.8</v>
      </c>
      <c r="R1050" s="25">
        <v>105.5</v>
      </c>
      <c r="S1050" s="26">
        <v>67.5</v>
      </c>
    </row>
    <row r="1051" spans="1:19" ht="14.25" x14ac:dyDescent="0.2">
      <c r="A1051" s="12">
        <v>20618</v>
      </c>
      <c r="B1051" s="13">
        <f t="shared" si="293"/>
        <v>21</v>
      </c>
      <c r="C1051" s="15">
        <f t="shared" si="294"/>
        <v>15</v>
      </c>
      <c r="D1051" s="14">
        <f t="shared" si="295"/>
        <v>13</v>
      </c>
      <c r="E1051" t="s">
        <v>2777</v>
      </c>
      <c r="F1051" t="s">
        <v>2836</v>
      </c>
      <c r="G1051" t="s">
        <v>2779</v>
      </c>
      <c r="H1051" t="s">
        <v>2779</v>
      </c>
      <c r="I1051" t="s">
        <v>2780</v>
      </c>
      <c r="J1051" s="4" t="s">
        <v>2842</v>
      </c>
      <c r="K1051" t="s">
        <v>177</v>
      </c>
      <c r="L1051" t="s">
        <v>163</v>
      </c>
      <c r="M1051" t="s">
        <v>163</v>
      </c>
      <c r="N1051" t="s">
        <v>163</v>
      </c>
      <c r="O1051" s="4" t="s">
        <v>1669</v>
      </c>
      <c r="P1051">
        <v>0</v>
      </c>
      <c r="Q1051" s="24">
        <v>75.8</v>
      </c>
      <c r="R1051" s="25">
        <v>105.5</v>
      </c>
      <c r="S1051" s="26">
        <v>67.5</v>
      </c>
    </row>
    <row r="1052" spans="1:19" ht="14.25" x14ac:dyDescent="0.2">
      <c r="A1052" s="12">
        <v>20619</v>
      </c>
      <c r="B1052" s="13">
        <f t="shared" si="293"/>
        <v>21</v>
      </c>
      <c r="C1052" s="15">
        <f t="shared" si="294"/>
        <v>15</v>
      </c>
      <c r="D1052" s="14">
        <f t="shared" si="295"/>
        <v>13</v>
      </c>
      <c r="E1052" t="s">
        <v>2777</v>
      </c>
      <c r="F1052" t="s">
        <v>2837</v>
      </c>
      <c r="G1052" t="s">
        <v>2779</v>
      </c>
      <c r="H1052" t="s">
        <v>2779</v>
      </c>
      <c r="I1052" t="s">
        <v>2780</v>
      </c>
      <c r="J1052" s="4" t="s">
        <v>2842</v>
      </c>
      <c r="K1052" t="s">
        <v>174</v>
      </c>
      <c r="L1052" t="s">
        <v>163</v>
      </c>
      <c r="M1052" t="s">
        <v>163</v>
      </c>
      <c r="N1052" t="s">
        <v>163</v>
      </c>
      <c r="O1052" s="4" t="s">
        <v>1671</v>
      </c>
      <c r="P1052">
        <v>0</v>
      </c>
      <c r="Q1052" s="24">
        <v>75.8</v>
      </c>
      <c r="R1052" s="25">
        <v>105.5</v>
      </c>
      <c r="S1052" s="26">
        <v>67.5</v>
      </c>
    </row>
    <row r="1053" spans="1:19" ht="14.25" x14ac:dyDescent="0.2">
      <c r="A1053" s="12">
        <v>20620</v>
      </c>
      <c r="B1053" s="13">
        <f t="shared" si="293"/>
        <v>21</v>
      </c>
      <c r="C1053" s="15">
        <f t="shared" si="294"/>
        <v>15</v>
      </c>
      <c r="D1053" s="14">
        <f t="shared" si="295"/>
        <v>13</v>
      </c>
      <c r="E1053" t="s">
        <v>2785</v>
      </c>
      <c r="F1053" t="s">
        <v>2786</v>
      </c>
      <c r="G1053" t="s">
        <v>2833</v>
      </c>
      <c r="H1053" t="s">
        <v>2829</v>
      </c>
      <c r="I1053" t="s">
        <v>2697</v>
      </c>
      <c r="J1053" s="4" t="s">
        <v>2880</v>
      </c>
      <c r="K1053" t="s">
        <v>166</v>
      </c>
      <c r="L1053" t="s">
        <v>163</v>
      </c>
      <c r="M1053" t="s">
        <v>163</v>
      </c>
      <c r="N1053" t="s">
        <v>163</v>
      </c>
      <c r="O1053" s="4" t="s">
        <v>1671</v>
      </c>
      <c r="P1053">
        <v>0</v>
      </c>
      <c r="Q1053" s="24">
        <v>75.8</v>
      </c>
      <c r="R1053" s="25">
        <v>105.5</v>
      </c>
      <c r="S1053" s="26">
        <v>67.5</v>
      </c>
    </row>
    <row r="1054" spans="1:19" ht="14.25" x14ac:dyDescent="0.2">
      <c r="A1054" s="12">
        <v>20621</v>
      </c>
      <c r="B1054" s="13">
        <f t="shared" si="293"/>
        <v>21</v>
      </c>
      <c r="C1054" s="15">
        <f t="shared" si="294"/>
        <v>15</v>
      </c>
      <c r="D1054" s="14">
        <f t="shared" si="295"/>
        <v>13</v>
      </c>
      <c r="E1054" t="s">
        <v>2777</v>
      </c>
      <c r="F1054" t="s">
        <v>2834</v>
      </c>
      <c r="G1054" t="s">
        <v>2779</v>
      </c>
      <c r="H1054" t="s">
        <v>2779</v>
      </c>
      <c r="I1054" t="s">
        <v>2780</v>
      </c>
      <c r="J1054" s="4" t="s">
        <v>2842</v>
      </c>
      <c r="K1054" t="s">
        <v>168</v>
      </c>
      <c r="L1054" t="s">
        <v>163</v>
      </c>
      <c r="M1054" t="s">
        <v>163</v>
      </c>
      <c r="N1054" t="s">
        <v>163</v>
      </c>
      <c r="O1054" s="4" t="s">
        <v>1673</v>
      </c>
      <c r="P1054">
        <v>0</v>
      </c>
      <c r="Q1054" s="24">
        <v>76.2</v>
      </c>
      <c r="R1054" s="25">
        <v>106</v>
      </c>
      <c r="S1054" s="26">
        <v>67.8</v>
      </c>
    </row>
    <row r="1055" spans="1:19" ht="14.25" x14ac:dyDescent="0.2">
      <c r="A1055" s="12">
        <v>20622</v>
      </c>
      <c r="B1055" s="13">
        <f t="shared" si="293"/>
        <v>21</v>
      </c>
      <c r="C1055" s="15">
        <f t="shared" si="294"/>
        <v>15</v>
      </c>
      <c r="D1055" s="14">
        <f t="shared" si="295"/>
        <v>13</v>
      </c>
      <c r="E1055" t="s">
        <v>2777</v>
      </c>
      <c r="F1055" t="s">
        <v>2835</v>
      </c>
      <c r="G1055" t="s">
        <v>2779</v>
      </c>
      <c r="H1055" t="s">
        <v>2779</v>
      </c>
      <c r="I1055" t="s">
        <v>2780</v>
      </c>
      <c r="J1055" s="4" t="s">
        <v>2842</v>
      </c>
      <c r="K1055" t="s">
        <v>175</v>
      </c>
      <c r="L1055" t="s">
        <v>164</v>
      </c>
      <c r="M1055" t="s">
        <v>163</v>
      </c>
      <c r="N1055" t="s">
        <v>167</v>
      </c>
      <c r="O1055" s="4" t="s">
        <v>1675</v>
      </c>
      <c r="P1055">
        <v>0</v>
      </c>
      <c r="Q1055" s="24">
        <v>76.2</v>
      </c>
      <c r="R1055" s="25">
        <v>106</v>
      </c>
      <c r="S1055" s="26">
        <v>67.8</v>
      </c>
    </row>
    <row r="1056" spans="1:19" ht="14.25" x14ac:dyDescent="0.2">
      <c r="A1056" s="12">
        <v>20623</v>
      </c>
      <c r="B1056" s="13">
        <f t="shared" si="293"/>
        <v>21</v>
      </c>
      <c r="C1056" s="15">
        <f t="shared" si="294"/>
        <v>15</v>
      </c>
      <c r="D1056" s="14">
        <f t="shared" si="295"/>
        <v>13</v>
      </c>
      <c r="E1056" t="s">
        <v>2777</v>
      </c>
      <c r="F1056" t="s">
        <v>2836</v>
      </c>
      <c r="G1056" t="s">
        <v>2779</v>
      </c>
      <c r="H1056" t="s">
        <v>2779</v>
      </c>
      <c r="I1056" t="s">
        <v>2780</v>
      </c>
      <c r="J1056" s="4" t="s">
        <v>2842</v>
      </c>
      <c r="K1056" t="s">
        <v>179</v>
      </c>
      <c r="L1056" t="s">
        <v>163</v>
      </c>
      <c r="M1056" t="s">
        <v>163</v>
      </c>
      <c r="N1056" t="s">
        <v>163</v>
      </c>
      <c r="O1056" s="4" t="s">
        <v>1677</v>
      </c>
      <c r="P1056">
        <v>0</v>
      </c>
      <c r="Q1056" s="24">
        <v>76.2</v>
      </c>
      <c r="R1056" s="25">
        <v>106</v>
      </c>
      <c r="S1056" s="26">
        <v>67.8</v>
      </c>
    </row>
    <row r="1057" spans="1:19" ht="14.25" x14ac:dyDescent="0.2">
      <c r="A1057" s="12">
        <v>20624</v>
      </c>
      <c r="B1057" s="13">
        <f t="shared" si="293"/>
        <v>21</v>
      </c>
      <c r="C1057" s="15">
        <f t="shared" si="294"/>
        <v>15</v>
      </c>
      <c r="D1057" s="14">
        <f t="shared" si="295"/>
        <v>13</v>
      </c>
      <c r="E1057" t="s">
        <v>2777</v>
      </c>
      <c r="F1057" t="s">
        <v>2837</v>
      </c>
      <c r="G1057" t="s">
        <v>2779</v>
      </c>
      <c r="H1057" t="s">
        <v>2779</v>
      </c>
      <c r="I1057" t="s">
        <v>2780</v>
      </c>
      <c r="J1057" s="4" t="s">
        <v>2842</v>
      </c>
      <c r="K1057" t="s">
        <v>177</v>
      </c>
      <c r="L1057" t="s">
        <v>163</v>
      </c>
      <c r="M1057" t="s">
        <v>163</v>
      </c>
      <c r="N1057" t="s">
        <v>163</v>
      </c>
      <c r="O1057" s="4" t="s">
        <v>1677</v>
      </c>
      <c r="P1057">
        <v>0</v>
      </c>
      <c r="Q1057" s="24">
        <v>76.2</v>
      </c>
      <c r="R1057" s="25">
        <v>106</v>
      </c>
      <c r="S1057" s="26">
        <v>67.8</v>
      </c>
    </row>
    <row r="1058" spans="1:19" ht="14.25" x14ac:dyDescent="0.2">
      <c r="A1058" s="12">
        <v>20625</v>
      </c>
      <c r="B1058" s="13">
        <f t="shared" si="293"/>
        <v>21</v>
      </c>
      <c r="C1058" s="15">
        <f t="shared" si="294"/>
        <v>15</v>
      </c>
      <c r="D1058" s="14">
        <f t="shared" si="295"/>
        <v>13</v>
      </c>
      <c r="E1058" t="s">
        <v>2785</v>
      </c>
      <c r="F1058" t="s">
        <v>2786</v>
      </c>
      <c r="G1058" t="s">
        <v>2828</v>
      </c>
      <c r="H1058" t="s">
        <v>2829</v>
      </c>
      <c r="I1058" t="s">
        <v>2697</v>
      </c>
      <c r="J1058" s="4" t="s">
        <v>2880</v>
      </c>
      <c r="K1058" t="s">
        <v>174</v>
      </c>
      <c r="L1058" t="s">
        <v>163</v>
      </c>
      <c r="M1058" t="s">
        <v>163</v>
      </c>
      <c r="N1058" t="s">
        <v>163</v>
      </c>
      <c r="O1058" s="4" t="s">
        <v>1679</v>
      </c>
      <c r="P1058">
        <v>0</v>
      </c>
      <c r="Q1058" s="24">
        <v>76.2</v>
      </c>
      <c r="R1058" s="25">
        <v>106</v>
      </c>
      <c r="S1058" s="26">
        <v>67.8</v>
      </c>
    </row>
    <row r="1059" spans="1:19" ht="14.25" x14ac:dyDescent="0.2">
      <c r="A1059" s="12">
        <v>20626</v>
      </c>
      <c r="B1059" s="13">
        <f t="shared" si="293"/>
        <v>21</v>
      </c>
      <c r="C1059" s="15">
        <f t="shared" si="294"/>
        <v>15</v>
      </c>
      <c r="D1059" s="14">
        <f t="shared" si="295"/>
        <v>13</v>
      </c>
      <c r="E1059" t="s">
        <v>2777</v>
      </c>
      <c r="F1059" t="s">
        <v>2834</v>
      </c>
      <c r="G1059" t="s">
        <v>2779</v>
      </c>
      <c r="H1059" t="s">
        <v>2779</v>
      </c>
      <c r="I1059" t="s">
        <v>2780</v>
      </c>
      <c r="J1059" s="4" t="s">
        <v>2842</v>
      </c>
      <c r="K1059" t="s">
        <v>182</v>
      </c>
      <c r="L1059" t="s">
        <v>163</v>
      </c>
      <c r="M1059" t="s">
        <v>163</v>
      </c>
      <c r="N1059" t="s">
        <v>163</v>
      </c>
      <c r="O1059" s="4" t="s">
        <v>1681</v>
      </c>
      <c r="P1059">
        <v>0</v>
      </c>
      <c r="Q1059" s="24">
        <v>76.5</v>
      </c>
      <c r="R1059" s="25">
        <v>106.5</v>
      </c>
      <c r="S1059" s="26">
        <v>68</v>
      </c>
    </row>
    <row r="1060" spans="1:19" ht="14.25" x14ac:dyDescent="0.2">
      <c r="A1060" s="12">
        <v>20627</v>
      </c>
      <c r="B1060" s="13">
        <f t="shared" si="293"/>
        <v>21</v>
      </c>
      <c r="C1060" s="15">
        <f t="shared" si="294"/>
        <v>15</v>
      </c>
      <c r="D1060" s="14">
        <f t="shared" si="295"/>
        <v>13</v>
      </c>
      <c r="E1060" t="s">
        <v>2777</v>
      </c>
      <c r="F1060" t="s">
        <v>2835</v>
      </c>
      <c r="G1060" t="s">
        <v>2779</v>
      </c>
      <c r="H1060" t="s">
        <v>2779</v>
      </c>
      <c r="I1060" t="s">
        <v>2780</v>
      </c>
      <c r="J1060" s="4" t="s">
        <v>2842</v>
      </c>
      <c r="K1060" t="s">
        <v>162</v>
      </c>
      <c r="L1060" t="s">
        <v>163</v>
      </c>
      <c r="M1060" t="s">
        <v>163</v>
      </c>
      <c r="N1060" t="s">
        <v>163</v>
      </c>
      <c r="O1060" s="4" t="s">
        <v>1681</v>
      </c>
      <c r="P1060">
        <v>0</v>
      </c>
      <c r="Q1060" s="24">
        <v>76.5</v>
      </c>
      <c r="R1060" s="25">
        <v>106.5</v>
      </c>
      <c r="S1060" s="26">
        <v>68</v>
      </c>
    </row>
    <row r="1061" spans="1:19" ht="14.25" x14ac:dyDescent="0.2">
      <c r="A1061" s="12">
        <v>20628</v>
      </c>
      <c r="B1061" s="13">
        <f t="shared" si="293"/>
        <v>21</v>
      </c>
      <c r="C1061" s="15">
        <f t="shared" si="294"/>
        <v>15</v>
      </c>
      <c r="D1061" s="14">
        <f t="shared" si="295"/>
        <v>13</v>
      </c>
      <c r="E1061" t="s">
        <v>2777</v>
      </c>
      <c r="F1061" t="s">
        <v>2836</v>
      </c>
      <c r="G1061" t="s">
        <v>2779</v>
      </c>
      <c r="H1061" t="s">
        <v>2779</v>
      </c>
      <c r="I1061" t="s">
        <v>2780</v>
      </c>
      <c r="J1061" s="4" t="s">
        <v>2842</v>
      </c>
      <c r="K1061" t="s">
        <v>177</v>
      </c>
      <c r="L1061" t="s">
        <v>163</v>
      </c>
      <c r="M1061" t="s">
        <v>163</v>
      </c>
      <c r="N1061" t="s">
        <v>163</v>
      </c>
      <c r="O1061" s="4" t="s">
        <v>1683</v>
      </c>
      <c r="P1061">
        <v>0</v>
      </c>
      <c r="Q1061" s="24">
        <v>76.5</v>
      </c>
      <c r="R1061" s="25">
        <v>106.5</v>
      </c>
      <c r="S1061" s="26">
        <v>68</v>
      </c>
    </row>
    <row r="1062" spans="1:19" ht="14.25" x14ac:dyDescent="0.2">
      <c r="A1062" s="12">
        <v>20629</v>
      </c>
      <c r="B1062" s="13">
        <f t="shared" si="293"/>
        <v>21</v>
      </c>
      <c r="C1062" s="15">
        <f t="shared" si="294"/>
        <v>15</v>
      </c>
      <c r="D1062" s="14">
        <f t="shared" si="295"/>
        <v>13</v>
      </c>
      <c r="E1062" t="s">
        <v>2777</v>
      </c>
      <c r="F1062" t="s">
        <v>2837</v>
      </c>
      <c r="G1062" t="s">
        <v>2779</v>
      </c>
      <c r="H1062" t="s">
        <v>2779</v>
      </c>
      <c r="I1062" t="s">
        <v>2780</v>
      </c>
      <c r="J1062" s="4" t="s">
        <v>2842</v>
      </c>
      <c r="K1062" t="s">
        <v>174</v>
      </c>
      <c r="L1062" t="s">
        <v>163</v>
      </c>
      <c r="M1062" t="s">
        <v>163</v>
      </c>
      <c r="N1062" t="s">
        <v>163</v>
      </c>
      <c r="O1062" s="4" t="s">
        <v>1685</v>
      </c>
      <c r="P1062">
        <v>0</v>
      </c>
      <c r="Q1062" s="24">
        <v>76.5</v>
      </c>
      <c r="R1062" s="25">
        <v>106.5</v>
      </c>
      <c r="S1062" s="26">
        <v>68</v>
      </c>
    </row>
    <row r="1063" spans="1:19" ht="14.25" x14ac:dyDescent="0.2">
      <c r="A1063" s="12">
        <v>20630</v>
      </c>
      <c r="B1063" s="13">
        <f t="shared" si="293"/>
        <v>21</v>
      </c>
      <c r="C1063" s="15">
        <f t="shared" si="294"/>
        <v>15</v>
      </c>
      <c r="D1063" s="14">
        <f t="shared" si="295"/>
        <v>13</v>
      </c>
      <c r="E1063" t="s">
        <v>2785</v>
      </c>
      <c r="F1063" t="s">
        <v>2786</v>
      </c>
      <c r="G1063" t="s">
        <v>2830</v>
      </c>
      <c r="H1063" t="s">
        <v>2829</v>
      </c>
      <c r="I1063" t="s">
        <v>2697</v>
      </c>
      <c r="J1063" s="4" t="s">
        <v>2862</v>
      </c>
      <c r="K1063" t="s">
        <v>166</v>
      </c>
      <c r="L1063" t="s">
        <v>163</v>
      </c>
      <c r="M1063" t="s">
        <v>163</v>
      </c>
      <c r="N1063" t="s">
        <v>163</v>
      </c>
      <c r="O1063" s="4" t="s">
        <v>1685</v>
      </c>
      <c r="P1063">
        <v>0</v>
      </c>
      <c r="Q1063" s="24">
        <v>76.5</v>
      </c>
      <c r="R1063" s="25">
        <v>106.5</v>
      </c>
      <c r="S1063" s="26">
        <v>68</v>
      </c>
    </row>
    <row r="1064" spans="1:19" ht="14.25" x14ac:dyDescent="0.2">
      <c r="A1064" s="12">
        <v>20631</v>
      </c>
      <c r="B1064" s="13">
        <f t="shared" si="293"/>
        <v>21</v>
      </c>
      <c r="C1064" s="15">
        <f t="shared" si="294"/>
        <v>15</v>
      </c>
      <c r="D1064" s="14">
        <f t="shared" si="295"/>
        <v>13</v>
      </c>
      <c r="E1064" t="s">
        <v>2777</v>
      </c>
      <c r="F1064" t="s">
        <v>2834</v>
      </c>
      <c r="G1064" t="s">
        <v>2779</v>
      </c>
      <c r="H1064" t="s">
        <v>2779</v>
      </c>
      <c r="I1064" t="s">
        <v>2780</v>
      </c>
      <c r="J1064" s="4" t="s">
        <v>2842</v>
      </c>
      <c r="K1064" t="s">
        <v>168</v>
      </c>
      <c r="L1064" t="s">
        <v>163</v>
      </c>
      <c r="M1064" t="s">
        <v>163</v>
      </c>
      <c r="N1064" t="s">
        <v>163</v>
      </c>
      <c r="O1064" s="4" t="s">
        <v>1687</v>
      </c>
      <c r="P1064">
        <v>0</v>
      </c>
      <c r="Q1064" s="24">
        <v>76.8</v>
      </c>
      <c r="R1064" s="25">
        <v>107</v>
      </c>
      <c r="S1064" s="26">
        <v>68.3</v>
      </c>
    </row>
    <row r="1065" spans="1:19" ht="14.25" x14ac:dyDescent="0.2">
      <c r="A1065" s="12">
        <v>20632</v>
      </c>
      <c r="B1065" s="13">
        <f t="shared" si="293"/>
        <v>21</v>
      </c>
      <c r="C1065" s="15">
        <f t="shared" si="294"/>
        <v>15</v>
      </c>
      <c r="D1065" s="14">
        <f t="shared" si="295"/>
        <v>13</v>
      </c>
      <c r="E1065" t="s">
        <v>2777</v>
      </c>
      <c r="F1065" t="s">
        <v>2835</v>
      </c>
      <c r="G1065" t="s">
        <v>2779</v>
      </c>
      <c r="H1065" t="s">
        <v>2779</v>
      </c>
      <c r="I1065" t="s">
        <v>2780</v>
      </c>
      <c r="J1065" s="4" t="s">
        <v>2842</v>
      </c>
      <c r="K1065" t="s">
        <v>175</v>
      </c>
      <c r="L1065" t="s">
        <v>164</v>
      </c>
      <c r="M1065" t="s">
        <v>163</v>
      </c>
      <c r="N1065" t="s">
        <v>167</v>
      </c>
      <c r="O1065" s="4" t="s">
        <v>1689</v>
      </c>
      <c r="P1065">
        <v>0</v>
      </c>
      <c r="Q1065" s="24">
        <v>76.8</v>
      </c>
      <c r="R1065" s="25">
        <v>107</v>
      </c>
      <c r="S1065" s="26">
        <v>68.3</v>
      </c>
    </row>
    <row r="1066" spans="1:19" ht="14.25" x14ac:dyDescent="0.2">
      <c r="A1066" s="12">
        <v>20633</v>
      </c>
      <c r="B1066" s="13">
        <f t="shared" si="293"/>
        <v>21</v>
      </c>
      <c r="C1066" s="15">
        <f t="shared" si="294"/>
        <v>15</v>
      </c>
      <c r="D1066" s="14">
        <f t="shared" si="295"/>
        <v>13</v>
      </c>
      <c r="E1066" t="s">
        <v>2777</v>
      </c>
      <c r="F1066" t="s">
        <v>2836</v>
      </c>
      <c r="G1066" t="s">
        <v>2779</v>
      </c>
      <c r="H1066" t="s">
        <v>2779</v>
      </c>
      <c r="I1066" t="s">
        <v>2780</v>
      </c>
      <c r="J1066" s="4" t="s">
        <v>2842</v>
      </c>
      <c r="K1066" t="s">
        <v>179</v>
      </c>
      <c r="L1066" t="s">
        <v>163</v>
      </c>
      <c r="M1066" t="s">
        <v>163</v>
      </c>
      <c r="N1066" t="s">
        <v>163</v>
      </c>
      <c r="O1066" s="4" t="s">
        <v>1691</v>
      </c>
      <c r="P1066">
        <v>0</v>
      </c>
      <c r="Q1066" s="24">
        <v>76.8</v>
      </c>
      <c r="R1066" s="25">
        <v>107</v>
      </c>
      <c r="S1066" s="26">
        <v>68.3</v>
      </c>
    </row>
    <row r="1067" spans="1:19" ht="14.25" x14ac:dyDescent="0.2">
      <c r="A1067" s="12">
        <v>20634</v>
      </c>
      <c r="B1067" s="13">
        <f t="shared" si="293"/>
        <v>21</v>
      </c>
      <c r="C1067" s="15">
        <f t="shared" si="294"/>
        <v>15</v>
      </c>
      <c r="D1067" s="14">
        <f t="shared" si="295"/>
        <v>13</v>
      </c>
      <c r="E1067" t="s">
        <v>2777</v>
      </c>
      <c r="F1067" t="s">
        <v>2837</v>
      </c>
      <c r="G1067" t="s">
        <v>2779</v>
      </c>
      <c r="H1067" t="s">
        <v>2779</v>
      </c>
      <c r="I1067" t="s">
        <v>2780</v>
      </c>
      <c r="J1067" s="4" t="s">
        <v>2842</v>
      </c>
      <c r="K1067" t="s">
        <v>177</v>
      </c>
      <c r="L1067" t="s">
        <v>163</v>
      </c>
      <c r="M1067" t="s">
        <v>163</v>
      </c>
      <c r="N1067" t="s">
        <v>163</v>
      </c>
      <c r="O1067" s="4" t="s">
        <v>1691</v>
      </c>
      <c r="P1067">
        <v>0</v>
      </c>
      <c r="Q1067" s="24">
        <v>76.8</v>
      </c>
      <c r="R1067" s="25">
        <v>107</v>
      </c>
      <c r="S1067" s="26">
        <v>68.3</v>
      </c>
    </row>
    <row r="1068" spans="1:19" ht="14.25" x14ac:dyDescent="0.2">
      <c r="A1068" s="12">
        <v>20635</v>
      </c>
      <c r="B1068" s="13">
        <f t="shared" si="293"/>
        <v>21</v>
      </c>
      <c r="C1068" s="15">
        <f t="shared" si="294"/>
        <v>15</v>
      </c>
      <c r="D1068" s="14">
        <f t="shared" si="295"/>
        <v>13</v>
      </c>
      <c r="E1068" t="s">
        <v>2785</v>
      </c>
      <c r="F1068" t="s">
        <v>2786</v>
      </c>
      <c r="G1068" t="s">
        <v>2831</v>
      </c>
      <c r="H1068" t="s">
        <v>2829</v>
      </c>
      <c r="I1068" t="s">
        <v>2697</v>
      </c>
      <c r="J1068" s="4" t="s">
        <v>2862</v>
      </c>
      <c r="K1068" t="s">
        <v>174</v>
      </c>
      <c r="L1068" t="s">
        <v>163</v>
      </c>
      <c r="M1068" t="s">
        <v>163</v>
      </c>
      <c r="N1068" t="s">
        <v>163</v>
      </c>
      <c r="O1068" s="4" t="s">
        <v>1693</v>
      </c>
      <c r="P1068">
        <v>0</v>
      </c>
      <c r="Q1068" s="24">
        <v>76.8</v>
      </c>
      <c r="R1068" s="25">
        <v>107</v>
      </c>
      <c r="S1068" s="26">
        <v>68.3</v>
      </c>
    </row>
    <row r="1069" spans="1:19" ht="14.25" x14ac:dyDescent="0.2">
      <c r="A1069" s="12">
        <v>20636</v>
      </c>
      <c r="B1069" s="13">
        <f t="shared" si="293"/>
        <v>21</v>
      </c>
      <c r="C1069" s="15">
        <f t="shared" si="294"/>
        <v>15</v>
      </c>
      <c r="D1069" s="14">
        <f t="shared" si="295"/>
        <v>13</v>
      </c>
      <c r="E1069" t="s">
        <v>2777</v>
      </c>
      <c r="F1069" t="s">
        <v>2834</v>
      </c>
      <c r="G1069" t="s">
        <v>2779</v>
      </c>
      <c r="H1069" t="s">
        <v>2779</v>
      </c>
      <c r="I1069" t="s">
        <v>2780</v>
      </c>
      <c r="J1069" s="4" t="s">
        <v>2842</v>
      </c>
      <c r="K1069" t="s">
        <v>182</v>
      </c>
      <c r="L1069" t="s">
        <v>163</v>
      </c>
      <c r="M1069" t="s">
        <v>163</v>
      </c>
      <c r="N1069" t="s">
        <v>163</v>
      </c>
      <c r="O1069" s="4" t="s">
        <v>1695</v>
      </c>
      <c r="P1069">
        <v>0</v>
      </c>
      <c r="Q1069" s="24">
        <v>77.2</v>
      </c>
      <c r="R1069" s="25">
        <v>107.5</v>
      </c>
      <c r="S1069" s="26">
        <v>68.5</v>
      </c>
    </row>
    <row r="1070" spans="1:19" ht="14.25" x14ac:dyDescent="0.2">
      <c r="A1070" s="12">
        <v>20637</v>
      </c>
      <c r="B1070" s="13">
        <f t="shared" si="293"/>
        <v>21</v>
      </c>
      <c r="C1070" s="15">
        <f t="shared" si="294"/>
        <v>15</v>
      </c>
      <c r="D1070" s="14">
        <f t="shared" si="295"/>
        <v>13</v>
      </c>
      <c r="E1070" t="s">
        <v>2777</v>
      </c>
      <c r="F1070" t="s">
        <v>2835</v>
      </c>
      <c r="G1070" t="s">
        <v>2779</v>
      </c>
      <c r="H1070" t="s">
        <v>2779</v>
      </c>
      <c r="I1070" t="s">
        <v>2780</v>
      </c>
      <c r="J1070" s="4" t="s">
        <v>2842</v>
      </c>
      <c r="K1070" t="s">
        <v>162</v>
      </c>
      <c r="L1070" t="s">
        <v>163</v>
      </c>
      <c r="M1070" t="s">
        <v>163</v>
      </c>
      <c r="N1070" t="s">
        <v>163</v>
      </c>
      <c r="O1070" s="4" t="s">
        <v>1695</v>
      </c>
      <c r="P1070">
        <v>0</v>
      </c>
      <c r="Q1070" s="24">
        <v>77.2</v>
      </c>
      <c r="R1070" s="25">
        <v>107.5</v>
      </c>
      <c r="S1070" s="26">
        <v>68.5</v>
      </c>
    </row>
    <row r="1071" spans="1:19" ht="14.25" x14ac:dyDescent="0.2">
      <c r="A1071" s="12">
        <v>20638</v>
      </c>
      <c r="B1071" s="13">
        <f t="shared" si="293"/>
        <v>21</v>
      </c>
      <c r="C1071" s="15">
        <f t="shared" si="294"/>
        <v>15</v>
      </c>
      <c r="D1071" s="14">
        <f t="shared" si="295"/>
        <v>13</v>
      </c>
      <c r="E1071" t="s">
        <v>2777</v>
      </c>
      <c r="F1071" t="s">
        <v>2836</v>
      </c>
      <c r="G1071" t="s">
        <v>2779</v>
      </c>
      <c r="H1071" t="s">
        <v>2779</v>
      </c>
      <c r="I1071" t="s">
        <v>2780</v>
      </c>
      <c r="J1071" s="4" t="s">
        <v>2842</v>
      </c>
      <c r="K1071" t="s">
        <v>177</v>
      </c>
      <c r="L1071" t="s">
        <v>163</v>
      </c>
      <c r="M1071" t="s">
        <v>163</v>
      </c>
      <c r="N1071" t="s">
        <v>163</v>
      </c>
      <c r="O1071" s="4" t="s">
        <v>1697</v>
      </c>
      <c r="P1071">
        <v>0</v>
      </c>
      <c r="Q1071" s="24">
        <v>77.2</v>
      </c>
      <c r="R1071" s="25">
        <v>107.5</v>
      </c>
      <c r="S1071" s="26">
        <v>68.5</v>
      </c>
    </row>
    <row r="1072" spans="1:19" ht="14.25" x14ac:dyDescent="0.2">
      <c r="A1072" s="12">
        <v>20639</v>
      </c>
      <c r="B1072" s="13">
        <f t="shared" si="293"/>
        <v>21</v>
      </c>
      <c r="C1072" s="15">
        <f t="shared" si="294"/>
        <v>15</v>
      </c>
      <c r="D1072" s="14">
        <f t="shared" si="295"/>
        <v>13</v>
      </c>
      <c r="E1072" t="s">
        <v>2777</v>
      </c>
      <c r="F1072" t="s">
        <v>2837</v>
      </c>
      <c r="G1072" t="s">
        <v>2779</v>
      </c>
      <c r="H1072" t="s">
        <v>2779</v>
      </c>
      <c r="I1072" t="s">
        <v>2780</v>
      </c>
      <c r="J1072" s="4" t="s">
        <v>2842</v>
      </c>
      <c r="K1072" t="s">
        <v>174</v>
      </c>
      <c r="L1072" t="s">
        <v>163</v>
      </c>
      <c r="M1072" t="s">
        <v>163</v>
      </c>
      <c r="N1072" t="s">
        <v>163</v>
      </c>
      <c r="O1072" s="4" t="s">
        <v>1699</v>
      </c>
      <c r="P1072">
        <v>0</v>
      </c>
      <c r="Q1072" s="24">
        <v>77.2</v>
      </c>
      <c r="R1072" s="25">
        <v>107.5</v>
      </c>
      <c r="S1072" s="26">
        <v>68.5</v>
      </c>
    </row>
    <row r="1073" spans="1:19" ht="14.25" x14ac:dyDescent="0.2">
      <c r="A1073" s="12">
        <v>20640</v>
      </c>
      <c r="B1073" s="13">
        <f t="shared" si="293"/>
        <v>21</v>
      </c>
      <c r="C1073" s="15">
        <f t="shared" si="294"/>
        <v>15</v>
      </c>
      <c r="D1073" s="14">
        <f t="shared" si="295"/>
        <v>13</v>
      </c>
      <c r="E1073" t="s">
        <v>2785</v>
      </c>
      <c r="F1073" t="s">
        <v>2786</v>
      </c>
      <c r="G1073" t="s">
        <v>2832</v>
      </c>
      <c r="H1073" t="s">
        <v>2829</v>
      </c>
      <c r="I1073" t="s">
        <v>2697</v>
      </c>
      <c r="J1073" s="4" t="s">
        <v>2862</v>
      </c>
      <c r="K1073" t="s">
        <v>166</v>
      </c>
      <c r="L1073" t="s">
        <v>163</v>
      </c>
      <c r="M1073" t="s">
        <v>163</v>
      </c>
      <c r="N1073" t="s">
        <v>163</v>
      </c>
      <c r="O1073" s="4" t="s">
        <v>1699</v>
      </c>
      <c r="P1073">
        <v>0</v>
      </c>
      <c r="Q1073" s="24">
        <v>77.2</v>
      </c>
      <c r="R1073" s="25">
        <v>107.5</v>
      </c>
      <c r="S1073" s="26">
        <v>68.5</v>
      </c>
    </row>
    <row r="1074" spans="1:19" ht="14.25" x14ac:dyDescent="0.2">
      <c r="A1074" s="12">
        <v>20641</v>
      </c>
      <c r="B1074" s="13">
        <f t="shared" si="293"/>
        <v>21</v>
      </c>
      <c r="C1074" s="15">
        <f t="shared" si="294"/>
        <v>15</v>
      </c>
      <c r="D1074" s="14">
        <f t="shared" si="295"/>
        <v>13</v>
      </c>
      <c r="E1074" t="s">
        <v>2777</v>
      </c>
      <c r="F1074" t="s">
        <v>2834</v>
      </c>
      <c r="G1074" t="s">
        <v>2779</v>
      </c>
      <c r="H1074" t="s">
        <v>2779</v>
      </c>
      <c r="I1074" t="s">
        <v>2780</v>
      </c>
      <c r="J1074" s="4" t="s">
        <v>2842</v>
      </c>
      <c r="K1074" t="s">
        <v>168</v>
      </c>
      <c r="L1074" t="s">
        <v>163</v>
      </c>
      <c r="M1074" t="s">
        <v>163</v>
      </c>
      <c r="N1074" t="s">
        <v>163</v>
      </c>
      <c r="O1074" s="4" t="s">
        <v>1701</v>
      </c>
      <c r="P1074">
        <v>0</v>
      </c>
      <c r="Q1074" s="24">
        <v>77.5</v>
      </c>
      <c r="R1074" s="25">
        <v>108</v>
      </c>
      <c r="S1074" s="26">
        <v>68.8</v>
      </c>
    </row>
    <row r="1075" spans="1:19" ht="14.25" x14ac:dyDescent="0.2">
      <c r="A1075" s="12">
        <v>20642</v>
      </c>
      <c r="B1075" s="13">
        <f t="shared" si="293"/>
        <v>21</v>
      </c>
      <c r="C1075" s="15">
        <f t="shared" si="294"/>
        <v>15</v>
      </c>
      <c r="D1075" s="14">
        <f t="shared" si="295"/>
        <v>13</v>
      </c>
      <c r="E1075" t="s">
        <v>2777</v>
      </c>
      <c r="F1075" t="s">
        <v>2835</v>
      </c>
      <c r="G1075" t="s">
        <v>2779</v>
      </c>
      <c r="H1075" t="s">
        <v>2779</v>
      </c>
      <c r="I1075" t="s">
        <v>2780</v>
      </c>
      <c r="J1075" s="4" t="s">
        <v>2842</v>
      </c>
      <c r="K1075" t="s">
        <v>175</v>
      </c>
      <c r="L1075" t="s">
        <v>164</v>
      </c>
      <c r="M1075" t="s">
        <v>163</v>
      </c>
      <c r="N1075" t="s">
        <v>167</v>
      </c>
      <c r="O1075" s="4" t="s">
        <v>1703</v>
      </c>
      <c r="P1075">
        <v>0</v>
      </c>
      <c r="Q1075" s="24">
        <v>77.5</v>
      </c>
      <c r="R1075" s="25">
        <v>108</v>
      </c>
      <c r="S1075" s="26">
        <v>68.8</v>
      </c>
    </row>
    <row r="1076" spans="1:19" ht="14.25" x14ac:dyDescent="0.2">
      <c r="A1076" s="12">
        <v>20643</v>
      </c>
      <c r="B1076" s="13">
        <f t="shared" si="293"/>
        <v>21</v>
      </c>
      <c r="C1076" s="15">
        <f t="shared" si="294"/>
        <v>15</v>
      </c>
      <c r="D1076" s="14">
        <f t="shared" si="295"/>
        <v>13</v>
      </c>
      <c r="E1076" t="s">
        <v>2777</v>
      </c>
      <c r="F1076" t="s">
        <v>2836</v>
      </c>
      <c r="G1076" t="s">
        <v>2779</v>
      </c>
      <c r="H1076" t="s">
        <v>2779</v>
      </c>
      <c r="I1076" t="s">
        <v>2780</v>
      </c>
      <c r="J1076" s="4" t="s">
        <v>2842</v>
      </c>
      <c r="K1076" t="s">
        <v>179</v>
      </c>
      <c r="L1076" t="s">
        <v>163</v>
      </c>
      <c r="M1076" t="s">
        <v>163</v>
      </c>
      <c r="N1076" t="s">
        <v>163</v>
      </c>
      <c r="O1076" s="4" t="s">
        <v>1705</v>
      </c>
      <c r="P1076">
        <v>0</v>
      </c>
      <c r="Q1076" s="24">
        <v>77.5</v>
      </c>
      <c r="R1076" s="25">
        <v>108</v>
      </c>
      <c r="S1076" s="26">
        <v>68.8</v>
      </c>
    </row>
    <row r="1077" spans="1:19" ht="14.25" x14ac:dyDescent="0.2">
      <c r="A1077" s="12">
        <v>20644</v>
      </c>
      <c r="B1077" s="13">
        <f t="shared" si="293"/>
        <v>21</v>
      </c>
      <c r="C1077" s="15">
        <f t="shared" si="294"/>
        <v>15</v>
      </c>
      <c r="D1077" s="14">
        <f t="shared" si="295"/>
        <v>13</v>
      </c>
      <c r="E1077" t="s">
        <v>2777</v>
      </c>
      <c r="F1077" t="s">
        <v>2837</v>
      </c>
      <c r="G1077" t="s">
        <v>2779</v>
      </c>
      <c r="H1077" t="s">
        <v>2779</v>
      </c>
      <c r="I1077" t="s">
        <v>2780</v>
      </c>
      <c r="J1077" s="4" t="s">
        <v>2842</v>
      </c>
      <c r="K1077" t="s">
        <v>177</v>
      </c>
      <c r="L1077" t="s">
        <v>163</v>
      </c>
      <c r="M1077" t="s">
        <v>163</v>
      </c>
      <c r="N1077" t="s">
        <v>163</v>
      </c>
      <c r="O1077" s="4" t="s">
        <v>1705</v>
      </c>
      <c r="P1077">
        <v>0</v>
      </c>
      <c r="Q1077" s="24">
        <v>77.5</v>
      </c>
      <c r="R1077" s="25">
        <v>108</v>
      </c>
      <c r="S1077" s="26">
        <v>68.8</v>
      </c>
    </row>
    <row r="1078" spans="1:19" ht="14.25" x14ac:dyDescent="0.2">
      <c r="A1078" s="12">
        <v>20645</v>
      </c>
      <c r="B1078" s="13">
        <f t="shared" si="293"/>
        <v>21</v>
      </c>
      <c r="C1078" s="15">
        <f t="shared" si="294"/>
        <v>15</v>
      </c>
      <c r="D1078" s="14">
        <f t="shared" si="295"/>
        <v>13</v>
      </c>
      <c r="E1078" t="s">
        <v>2785</v>
      </c>
      <c r="F1078" t="s">
        <v>2786</v>
      </c>
      <c r="G1078" t="s">
        <v>2833</v>
      </c>
      <c r="H1078" t="s">
        <v>2829</v>
      </c>
      <c r="I1078" t="s">
        <v>2697</v>
      </c>
      <c r="J1078" s="4" t="s">
        <v>2880</v>
      </c>
      <c r="K1078" t="s">
        <v>174</v>
      </c>
      <c r="L1078" t="s">
        <v>163</v>
      </c>
      <c r="M1078" t="s">
        <v>163</v>
      </c>
      <c r="N1078" t="s">
        <v>163</v>
      </c>
      <c r="O1078" s="4" t="s">
        <v>1707</v>
      </c>
      <c r="P1078">
        <v>0</v>
      </c>
      <c r="Q1078" s="24">
        <v>77.5</v>
      </c>
      <c r="R1078" s="25">
        <v>108</v>
      </c>
      <c r="S1078" s="26">
        <v>68.8</v>
      </c>
    </row>
    <row r="1079" spans="1:19" ht="14.25" x14ac:dyDescent="0.2">
      <c r="A1079" s="12">
        <v>20646</v>
      </c>
      <c r="B1079" s="13">
        <f t="shared" si="293"/>
        <v>21</v>
      </c>
      <c r="C1079" s="15">
        <f t="shared" si="294"/>
        <v>15</v>
      </c>
      <c r="D1079" s="14">
        <f t="shared" si="295"/>
        <v>13</v>
      </c>
      <c r="E1079" t="s">
        <v>2777</v>
      </c>
      <c r="F1079" t="s">
        <v>2834</v>
      </c>
      <c r="G1079" t="s">
        <v>2779</v>
      </c>
      <c r="H1079" t="s">
        <v>2779</v>
      </c>
      <c r="I1079" t="s">
        <v>2780</v>
      </c>
      <c r="J1079" s="4" t="s">
        <v>2842</v>
      </c>
      <c r="K1079" t="s">
        <v>182</v>
      </c>
      <c r="L1079" t="s">
        <v>163</v>
      </c>
      <c r="M1079" t="s">
        <v>163</v>
      </c>
      <c r="N1079" t="s">
        <v>163</v>
      </c>
      <c r="O1079" s="4" t="s">
        <v>1709</v>
      </c>
      <c r="P1079">
        <v>0</v>
      </c>
      <c r="Q1079" s="24">
        <v>77.8</v>
      </c>
      <c r="R1079" s="25">
        <v>108.5</v>
      </c>
      <c r="S1079" s="26">
        <v>69</v>
      </c>
    </row>
    <row r="1080" spans="1:19" ht="14.25" x14ac:dyDescent="0.2">
      <c r="A1080" s="12">
        <v>20647</v>
      </c>
      <c r="B1080" s="13">
        <f t="shared" si="293"/>
        <v>21</v>
      </c>
      <c r="C1080" s="15">
        <f t="shared" si="294"/>
        <v>15</v>
      </c>
      <c r="D1080" s="14">
        <f t="shared" si="295"/>
        <v>13</v>
      </c>
      <c r="E1080" t="s">
        <v>2777</v>
      </c>
      <c r="F1080" t="s">
        <v>2835</v>
      </c>
      <c r="G1080" t="s">
        <v>2779</v>
      </c>
      <c r="H1080" t="s">
        <v>2779</v>
      </c>
      <c r="I1080" t="s">
        <v>2780</v>
      </c>
      <c r="J1080" s="4" t="s">
        <v>2842</v>
      </c>
      <c r="K1080" t="s">
        <v>162</v>
      </c>
      <c r="L1080" t="s">
        <v>163</v>
      </c>
      <c r="M1080" t="s">
        <v>163</v>
      </c>
      <c r="N1080" t="s">
        <v>163</v>
      </c>
      <c r="O1080" s="4" t="s">
        <v>1709</v>
      </c>
      <c r="P1080">
        <v>0</v>
      </c>
      <c r="Q1080" s="24">
        <v>77.8</v>
      </c>
      <c r="R1080" s="25">
        <v>108.5</v>
      </c>
      <c r="S1080" s="26">
        <v>69</v>
      </c>
    </row>
    <row r="1081" spans="1:19" ht="14.25" x14ac:dyDescent="0.2">
      <c r="A1081" s="12">
        <v>20648</v>
      </c>
      <c r="B1081" s="13">
        <f t="shared" si="293"/>
        <v>21</v>
      </c>
      <c r="C1081" s="15">
        <f t="shared" si="294"/>
        <v>15</v>
      </c>
      <c r="D1081" s="14">
        <f t="shared" si="295"/>
        <v>13</v>
      </c>
      <c r="E1081" t="s">
        <v>2777</v>
      </c>
      <c r="F1081" t="s">
        <v>2836</v>
      </c>
      <c r="G1081" t="s">
        <v>2779</v>
      </c>
      <c r="H1081" t="s">
        <v>2779</v>
      </c>
      <c r="I1081" t="s">
        <v>2780</v>
      </c>
      <c r="J1081" s="4" t="s">
        <v>2842</v>
      </c>
      <c r="K1081" t="s">
        <v>177</v>
      </c>
      <c r="L1081" t="s">
        <v>163</v>
      </c>
      <c r="M1081" t="s">
        <v>163</v>
      </c>
      <c r="N1081" t="s">
        <v>163</v>
      </c>
      <c r="O1081" s="4" t="s">
        <v>1711</v>
      </c>
      <c r="P1081">
        <v>0</v>
      </c>
      <c r="Q1081" s="24">
        <v>77.8</v>
      </c>
      <c r="R1081" s="25">
        <v>108.5</v>
      </c>
      <c r="S1081" s="26">
        <v>69</v>
      </c>
    </row>
    <row r="1082" spans="1:19" ht="14.25" x14ac:dyDescent="0.2">
      <c r="A1082" s="12">
        <v>20649</v>
      </c>
      <c r="B1082" s="13">
        <f t="shared" si="293"/>
        <v>21</v>
      </c>
      <c r="C1082" s="15">
        <f t="shared" si="294"/>
        <v>15</v>
      </c>
      <c r="D1082" s="14">
        <f t="shared" si="295"/>
        <v>13</v>
      </c>
      <c r="E1082" t="s">
        <v>2777</v>
      </c>
      <c r="F1082" t="s">
        <v>2837</v>
      </c>
      <c r="G1082" t="s">
        <v>2779</v>
      </c>
      <c r="H1082" t="s">
        <v>2779</v>
      </c>
      <c r="I1082" t="s">
        <v>2780</v>
      </c>
      <c r="J1082" s="4" t="s">
        <v>2842</v>
      </c>
      <c r="K1082" t="s">
        <v>174</v>
      </c>
      <c r="L1082" t="s">
        <v>163</v>
      </c>
      <c r="M1082" t="s">
        <v>163</v>
      </c>
      <c r="N1082" t="s">
        <v>163</v>
      </c>
      <c r="O1082" s="4" t="s">
        <v>1713</v>
      </c>
      <c r="P1082">
        <v>0</v>
      </c>
      <c r="Q1082" s="24">
        <v>77.8</v>
      </c>
      <c r="R1082" s="25">
        <v>108.5</v>
      </c>
      <c r="S1082" s="26">
        <v>69</v>
      </c>
    </row>
    <row r="1083" spans="1:19" ht="14.25" x14ac:dyDescent="0.2">
      <c r="A1083" s="12">
        <v>20650</v>
      </c>
      <c r="B1083" s="13">
        <f t="shared" si="293"/>
        <v>21</v>
      </c>
      <c r="C1083" s="15">
        <f t="shared" si="294"/>
        <v>15</v>
      </c>
      <c r="D1083" s="14">
        <f t="shared" si="295"/>
        <v>13</v>
      </c>
      <c r="E1083" t="s">
        <v>2785</v>
      </c>
      <c r="F1083" t="s">
        <v>2786</v>
      </c>
      <c r="G1083" t="s">
        <v>2828</v>
      </c>
      <c r="H1083" t="s">
        <v>2829</v>
      </c>
      <c r="I1083" t="s">
        <v>2697</v>
      </c>
      <c r="J1083" s="4" t="s">
        <v>2880</v>
      </c>
      <c r="K1083" t="s">
        <v>166</v>
      </c>
      <c r="L1083" t="s">
        <v>163</v>
      </c>
      <c r="M1083" t="s">
        <v>163</v>
      </c>
      <c r="N1083" t="s">
        <v>163</v>
      </c>
      <c r="O1083" s="4" t="s">
        <v>1713</v>
      </c>
      <c r="P1083">
        <v>0</v>
      </c>
      <c r="Q1083" s="24">
        <v>77.8</v>
      </c>
      <c r="R1083" s="25">
        <v>108.5</v>
      </c>
      <c r="S1083" s="26">
        <v>69</v>
      </c>
    </row>
    <row r="1084" spans="1:19" ht="14.25" x14ac:dyDescent="0.2">
      <c r="A1084" s="12">
        <v>20701</v>
      </c>
      <c r="B1084" s="13">
        <f t="shared" si="293"/>
        <v>21</v>
      </c>
      <c r="C1084" s="15">
        <f t="shared" si="294"/>
        <v>15</v>
      </c>
      <c r="D1084" s="14">
        <f t="shared" si="295"/>
        <v>13</v>
      </c>
      <c r="E1084" t="s">
        <v>2777</v>
      </c>
      <c r="F1084" t="s">
        <v>2834</v>
      </c>
      <c r="G1084" t="s">
        <v>2779</v>
      </c>
      <c r="H1084" t="s">
        <v>2779</v>
      </c>
      <c r="I1084" t="s">
        <v>2780</v>
      </c>
      <c r="J1084" s="4" t="s">
        <v>2842</v>
      </c>
      <c r="K1084" t="s">
        <v>168</v>
      </c>
      <c r="L1084" t="s">
        <v>163</v>
      </c>
      <c r="M1084" t="s">
        <v>163</v>
      </c>
      <c r="N1084" t="s">
        <v>163</v>
      </c>
      <c r="O1084" s="4" t="s">
        <v>1715</v>
      </c>
      <c r="P1084">
        <v>0</v>
      </c>
      <c r="Q1084" s="24">
        <v>78.2</v>
      </c>
      <c r="R1084" s="25">
        <v>109</v>
      </c>
      <c r="S1084" s="26">
        <v>69.3</v>
      </c>
    </row>
    <row r="1085" spans="1:19" ht="14.25" x14ac:dyDescent="0.2">
      <c r="A1085" s="12">
        <v>20702</v>
      </c>
      <c r="B1085" s="13">
        <f t="shared" si="293"/>
        <v>21</v>
      </c>
      <c r="C1085" s="15">
        <f t="shared" si="294"/>
        <v>15</v>
      </c>
      <c r="D1085" s="14">
        <f t="shared" si="295"/>
        <v>13</v>
      </c>
      <c r="E1085" t="s">
        <v>2777</v>
      </c>
      <c r="F1085" t="s">
        <v>2835</v>
      </c>
      <c r="G1085" t="s">
        <v>2779</v>
      </c>
      <c r="H1085" t="s">
        <v>2779</v>
      </c>
      <c r="I1085" t="s">
        <v>2780</v>
      </c>
      <c r="J1085" s="4" t="s">
        <v>2842</v>
      </c>
      <c r="K1085" t="s">
        <v>175</v>
      </c>
      <c r="L1085" t="s">
        <v>164</v>
      </c>
      <c r="M1085" t="s">
        <v>163</v>
      </c>
      <c r="N1085" t="s">
        <v>167</v>
      </c>
      <c r="O1085" s="4" t="s">
        <v>1717</v>
      </c>
      <c r="P1085">
        <v>0</v>
      </c>
      <c r="Q1085" s="24">
        <v>78.2</v>
      </c>
      <c r="R1085" s="25">
        <v>109</v>
      </c>
      <c r="S1085" s="26">
        <v>69.3</v>
      </c>
    </row>
    <row r="1086" spans="1:19" ht="14.25" x14ac:dyDescent="0.2">
      <c r="A1086" s="12">
        <v>20703</v>
      </c>
      <c r="B1086" s="13">
        <f t="shared" si="293"/>
        <v>21</v>
      </c>
      <c r="C1086" s="15">
        <f t="shared" si="294"/>
        <v>15</v>
      </c>
      <c r="D1086" s="14">
        <f t="shared" si="295"/>
        <v>13</v>
      </c>
      <c r="E1086" t="s">
        <v>2777</v>
      </c>
      <c r="F1086" t="s">
        <v>2836</v>
      </c>
      <c r="G1086" t="s">
        <v>2779</v>
      </c>
      <c r="H1086" t="s">
        <v>2779</v>
      </c>
      <c r="I1086" t="s">
        <v>2780</v>
      </c>
      <c r="J1086" s="4" t="s">
        <v>2842</v>
      </c>
      <c r="K1086" t="s">
        <v>179</v>
      </c>
      <c r="L1086" t="s">
        <v>163</v>
      </c>
      <c r="M1086" t="s">
        <v>163</v>
      </c>
      <c r="N1086" t="s">
        <v>163</v>
      </c>
      <c r="O1086" s="4" t="s">
        <v>1719</v>
      </c>
      <c r="P1086">
        <v>0</v>
      </c>
      <c r="Q1086" s="24">
        <v>78.2</v>
      </c>
      <c r="R1086" s="25">
        <v>109</v>
      </c>
      <c r="S1086" s="26">
        <v>69.3</v>
      </c>
    </row>
    <row r="1087" spans="1:19" ht="14.25" x14ac:dyDescent="0.2">
      <c r="A1087" s="12">
        <v>20704</v>
      </c>
      <c r="B1087" s="13">
        <f t="shared" si="293"/>
        <v>21</v>
      </c>
      <c r="C1087" s="15">
        <f t="shared" si="294"/>
        <v>15</v>
      </c>
      <c r="D1087" s="14">
        <f t="shared" si="295"/>
        <v>13</v>
      </c>
      <c r="E1087" t="s">
        <v>2777</v>
      </c>
      <c r="F1087" t="s">
        <v>2837</v>
      </c>
      <c r="G1087" t="s">
        <v>2779</v>
      </c>
      <c r="H1087" t="s">
        <v>2779</v>
      </c>
      <c r="I1087" t="s">
        <v>2780</v>
      </c>
      <c r="J1087" s="4" t="s">
        <v>2842</v>
      </c>
      <c r="K1087" t="s">
        <v>177</v>
      </c>
      <c r="L1087" t="s">
        <v>163</v>
      </c>
      <c r="M1087" t="s">
        <v>163</v>
      </c>
      <c r="N1087" t="s">
        <v>163</v>
      </c>
      <c r="O1087" s="4" t="s">
        <v>1719</v>
      </c>
      <c r="P1087">
        <v>0</v>
      </c>
      <c r="Q1087" s="24">
        <v>78.2</v>
      </c>
      <c r="R1087" s="25">
        <v>109</v>
      </c>
      <c r="S1087" s="26">
        <v>69.3</v>
      </c>
    </row>
    <row r="1088" spans="1:19" ht="14.25" x14ac:dyDescent="0.2">
      <c r="A1088" s="12">
        <v>20705</v>
      </c>
      <c r="B1088" s="13">
        <f t="shared" si="293"/>
        <v>21</v>
      </c>
      <c r="C1088" s="15">
        <f t="shared" si="294"/>
        <v>15</v>
      </c>
      <c r="D1088" s="14">
        <f t="shared" si="295"/>
        <v>13</v>
      </c>
      <c r="E1088" t="s">
        <v>2785</v>
      </c>
      <c r="F1088" t="s">
        <v>2786</v>
      </c>
      <c r="G1088" t="s">
        <v>2830</v>
      </c>
      <c r="H1088" t="s">
        <v>2829</v>
      </c>
      <c r="I1088" t="s">
        <v>2697</v>
      </c>
      <c r="J1088" s="4" t="s">
        <v>2862</v>
      </c>
      <c r="K1088" t="s">
        <v>174</v>
      </c>
      <c r="L1088" t="s">
        <v>163</v>
      </c>
      <c r="M1088" t="s">
        <v>163</v>
      </c>
      <c r="N1088" t="s">
        <v>163</v>
      </c>
      <c r="O1088" s="4" t="s">
        <v>1721</v>
      </c>
      <c r="P1088">
        <v>0</v>
      </c>
      <c r="Q1088" s="24">
        <v>78.2</v>
      </c>
      <c r="R1088" s="25">
        <v>109</v>
      </c>
      <c r="S1088" s="26">
        <v>69.3</v>
      </c>
    </row>
    <row r="1089" spans="1:19" ht="14.25" x14ac:dyDescent="0.2">
      <c r="A1089" s="12">
        <v>20706</v>
      </c>
      <c r="B1089" s="13">
        <f t="shared" si="293"/>
        <v>21</v>
      </c>
      <c r="C1089" s="15">
        <f t="shared" si="294"/>
        <v>15</v>
      </c>
      <c r="D1089" s="14">
        <f t="shared" si="295"/>
        <v>13</v>
      </c>
      <c r="E1089" t="s">
        <v>2777</v>
      </c>
      <c r="F1089" t="s">
        <v>2834</v>
      </c>
      <c r="G1089" t="s">
        <v>2779</v>
      </c>
      <c r="H1089" t="s">
        <v>2779</v>
      </c>
      <c r="I1089" t="s">
        <v>2780</v>
      </c>
      <c r="J1089" s="4" t="s">
        <v>2842</v>
      </c>
      <c r="K1089" t="s">
        <v>182</v>
      </c>
      <c r="L1089" t="s">
        <v>163</v>
      </c>
      <c r="M1089" t="s">
        <v>163</v>
      </c>
      <c r="N1089" t="s">
        <v>163</v>
      </c>
      <c r="O1089" s="4" t="s">
        <v>1723</v>
      </c>
      <c r="P1089">
        <v>0</v>
      </c>
      <c r="Q1089" s="24">
        <v>78.5</v>
      </c>
      <c r="R1089" s="25">
        <v>109.5</v>
      </c>
      <c r="S1089" s="26">
        <v>69.5</v>
      </c>
    </row>
    <row r="1090" spans="1:19" ht="14.25" x14ac:dyDescent="0.2">
      <c r="A1090" s="12">
        <v>20707</v>
      </c>
      <c r="B1090" s="13">
        <f t="shared" si="293"/>
        <v>21</v>
      </c>
      <c r="C1090" s="15">
        <f t="shared" si="294"/>
        <v>15</v>
      </c>
      <c r="D1090" s="14">
        <f t="shared" si="295"/>
        <v>13</v>
      </c>
      <c r="E1090" t="s">
        <v>2777</v>
      </c>
      <c r="F1090" t="s">
        <v>2835</v>
      </c>
      <c r="G1090" t="s">
        <v>2779</v>
      </c>
      <c r="H1090" t="s">
        <v>2779</v>
      </c>
      <c r="I1090" t="s">
        <v>2780</v>
      </c>
      <c r="J1090" s="4" t="s">
        <v>2842</v>
      </c>
      <c r="K1090" t="s">
        <v>162</v>
      </c>
      <c r="L1090" t="s">
        <v>163</v>
      </c>
      <c r="M1090" t="s">
        <v>163</v>
      </c>
      <c r="N1090" t="s">
        <v>163</v>
      </c>
      <c r="O1090" s="4" t="s">
        <v>1723</v>
      </c>
      <c r="P1090">
        <v>0</v>
      </c>
      <c r="Q1090" s="24">
        <v>78.5</v>
      </c>
      <c r="R1090" s="25">
        <v>109.5</v>
      </c>
      <c r="S1090" s="26">
        <v>69.5</v>
      </c>
    </row>
    <row r="1091" spans="1:19" ht="14.25" x14ac:dyDescent="0.2">
      <c r="A1091" s="12">
        <v>20708</v>
      </c>
      <c r="B1091" s="13">
        <f t="shared" si="293"/>
        <v>21</v>
      </c>
      <c r="C1091" s="15">
        <f t="shared" si="294"/>
        <v>15</v>
      </c>
      <c r="D1091" s="14">
        <f t="shared" si="295"/>
        <v>13</v>
      </c>
      <c r="E1091" t="s">
        <v>2777</v>
      </c>
      <c r="F1091" t="s">
        <v>2836</v>
      </c>
      <c r="G1091" t="s">
        <v>2779</v>
      </c>
      <c r="H1091" t="s">
        <v>2779</v>
      </c>
      <c r="I1091" t="s">
        <v>2780</v>
      </c>
      <c r="J1091" s="4" t="s">
        <v>2842</v>
      </c>
      <c r="K1091" t="s">
        <v>177</v>
      </c>
      <c r="L1091" t="s">
        <v>163</v>
      </c>
      <c r="M1091" t="s">
        <v>163</v>
      </c>
      <c r="N1091" t="s">
        <v>163</v>
      </c>
      <c r="O1091" s="4" t="s">
        <v>1725</v>
      </c>
      <c r="P1091">
        <v>0</v>
      </c>
      <c r="Q1091" s="24">
        <v>78.5</v>
      </c>
      <c r="R1091" s="25">
        <v>109.5</v>
      </c>
      <c r="S1091" s="26">
        <v>69.5</v>
      </c>
    </row>
    <row r="1092" spans="1:19" ht="14.25" x14ac:dyDescent="0.2">
      <c r="A1092" s="12">
        <v>20709</v>
      </c>
      <c r="B1092" s="13">
        <f t="shared" si="293"/>
        <v>21</v>
      </c>
      <c r="C1092" s="15">
        <f t="shared" si="294"/>
        <v>15</v>
      </c>
      <c r="D1092" s="14">
        <f t="shared" si="295"/>
        <v>13</v>
      </c>
      <c r="E1092" t="s">
        <v>2777</v>
      </c>
      <c r="F1092" t="s">
        <v>2837</v>
      </c>
      <c r="G1092" t="s">
        <v>2779</v>
      </c>
      <c r="H1092" t="s">
        <v>2779</v>
      </c>
      <c r="I1092" t="s">
        <v>2780</v>
      </c>
      <c r="J1092" s="4" t="s">
        <v>2842</v>
      </c>
      <c r="K1092" t="s">
        <v>174</v>
      </c>
      <c r="L1092" t="s">
        <v>163</v>
      </c>
      <c r="M1092" t="s">
        <v>163</v>
      </c>
      <c r="N1092" t="s">
        <v>163</v>
      </c>
      <c r="O1092" s="4" t="s">
        <v>1727</v>
      </c>
      <c r="P1092">
        <v>0</v>
      </c>
      <c r="Q1092" s="24">
        <v>78.5</v>
      </c>
      <c r="R1092" s="25">
        <v>109.5</v>
      </c>
      <c r="S1092" s="26">
        <v>69.5</v>
      </c>
    </row>
    <row r="1093" spans="1:19" ht="14.25" x14ac:dyDescent="0.2">
      <c r="A1093" s="12">
        <v>20710</v>
      </c>
      <c r="B1093" s="13">
        <f t="shared" ref="B1093:B1156" si="296">FLOOR(R1091/5,1)</f>
        <v>21</v>
      </c>
      <c r="C1093" s="15">
        <f t="shared" ref="C1093:C1156" si="297">FLOOR(Q1091/5,1)</f>
        <v>15</v>
      </c>
      <c r="D1093" s="14">
        <f t="shared" ref="D1093:D1156" si="298">FLOOR(S1091/5,1)</f>
        <v>13</v>
      </c>
      <c r="E1093" t="s">
        <v>2785</v>
      </c>
      <c r="F1093" t="s">
        <v>2786</v>
      </c>
      <c r="G1093" t="s">
        <v>2831</v>
      </c>
      <c r="H1093" t="s">
        <v>2829</v>
      </c>
      <c r="I1093" t="s">
        <v>2697</v>
      </c>
      <c r="J1093" s="4" t="s">
        <v>2862</v>
      </c>
      <c r="K1093" t="s">
        <v>166</v>
      </c>
      <c r="L1093" t="s">
        <v>163</v>
      </c>
      <c r="M1093" t="s">
        <v>163</v>
      </c>
      <c r="N1093" t="s">
        <v>163</v>
      </c>
      <c r="O1093" s="4" t="s">
        <v>1727</v>
      </c>
      <c r="P1093">
        <v>0</v>
      </c>
      <c r="Q1093" s="24">
        <v>78.5</v>
      </c>
      <c r="R1093" s="25">
        <v>109.5</v>
      </c>
      <c r="S1093" s="26">
        <v>69.5</v>
      </c>
    </row>
    <row r="1094" spans="1:19" ht="14.25" x14ac:dyDescent="0.2">
      <c r="A1094" s="12">
        <v>20711</v>
      </c>
      <c r="B1094" s="13">
        <f t="shared" si="296"/>
        <v>21</v>
      </c>
      <c r="C1094" s="15">
        <f t="shared" si="297"/>
        <v>15</v>
      </c>
      <c r="D1094" s="14">
        <f t="shared" si="298"/>
        <v>13</v>
      </c>
      <c r="E1094" t="s">
        <v>2777</v>
      </c>
      <c r="F1094" t="s">
        <v>2834</v>
      </c>
      <c r="G1094" t="s">
        <v>2779</v>
      </c>
      <c r="H1094" t="s">
        <v>2779</v>
      </c>
      <c r="I1094" t="s">
        <v>2780</v>
      </c>
      <c r="J1094" s="4" t="s">
        <v>2842</v>
      </c>
      <c r="K1094" t="s">
        <v>168</v>
      </c>
      <c r="L1094" t="s">
        <v>163</v>
      </c>
      <c r="M1094" t="s">
        <v>163</v>
      </c>
      <c r="N1094" t="s">
        <v>163</v>
      </c>
      <c r="O1094" s="4" t="s">
        <v>1729</v>
      </c>
      <c r="P1094">
        <v>0</v>
      </c>
      <c r="Q1094" s="24">
        <v>78.8</v>
      </c>
      <c r="R1094" s="25">
        <v>110</v>
      </c>
      <c r="S1094" s="26">
        <v>69.8</v>
      </c>
    </row>
    <row r="1095" spans="1:19" ht="14.25" x14ac:dyDescent="0.2">
      <c r="A1095" s="12">
        <v>20712</v>
      </c>
      <c r="B1095" s="13">
        <f t="shared" si="296"/>
        <v>21</v>
      </c>
      <c r="C1095" s="15">
        <f t="shared" si="297"/>
        <v>15</v>
      </c>
      <c r="D1095" s="14">
        <f t="shared" si="298"/>
        <v>13</v>
      </c>
      <c r="E1095" t="s">
        <v>2777</v>
      </c>
      <c r="F1095" t="s">
        <v>2835</v>
      </c>
      <c r="G1095" t="s">
        <v>2779</v>
      </c>
      <c r="H1095" t="s">
        <v>2779</v>
      </c>
      <c r="I1095" t="s">
        <v>2780</v>
      </c>
      <c r="J1095" s="4" t="s">
        <v>2842</v>
      </c>
      <c r="K1095" t="s">
        <v>175</v>
      </c>
      <c r="L1095" t="s">
        <v>164</v>
      </c>
      <c r="M1095" t="s">
        <v>163</v>
      </c>
      <c r="N1095" t="s">
        <v>167</v>
      </c>
      <c r="O1095" s="4" t="s">
        <v>1731</v>
      </c>
      <c r="P1095">
        <v>0</v>
      </c>
      <c r="Q1095" s="24">
        <v>78.8</v>
      </c>
      <c r="R1095" s="25">
        <v>110</v>
      </c>
      <c r="S1095" s="26">
        <v>69.8</v>
      </c>
    </row>
    <row r="1096" spans="1:19" ht="14.25" x14ac:dyDescent="0.2">
      <c r="A1096" s="12">
        <v>20713</v>
      </c>
      <c r="B1096" s="13">
        <f t="shared" si="296"/>
        <v>22</v>
      </c>
      <c r="C1096" s="15">
        <f t="shared" si="297"/>
        <v>15</v>
      </c>
      <c r="D1096" s="14">
        <f t="shared" si="298"/>
        <v>13</v>
      </c>
      <c r="E1096" t="s">
        <v>2777</v>
      </c>
      <c r="F1096" t="s">
        <v>2836</v>
      </c>
      <c r="G1096" t="s">
        <v>2779</v>
      </c>
      <c r="H1096" t="s">
        <v>2779</v>
      </c>
      <c r="I1096" t="s">
        <v>2780</v>
      </c>
      <c r="J1096" s="4" t="s">
        <v>2842</v>
      </c>
      <c r="K1096" t="s">
        <v>179</v>
      </c>
      <c r="L1096" t="s">
        <v>163</v>
      </c>
      <c r="M1096" t="s">
        <v>163</v>
      </c>
      <c r="N1096" t="s">
        <v>163</v>
      </c>
      <c r="O1096" s="4" t="s">
        <v>1733</v>
      </c>
      <c r="P1096">
        <v>0</v>
      </c>
      <c r="Q1096" s="24">
        <v>78.8</v>
      </c>
      <c r="R1096" s="25">
        <v>110</v>
      </c>
      <c r="S1096" s="26">
        <v>69.8</v>
      </c>
    </row>
    <row r="1097" spans="1:19" ht="14.25" x14ac:dyDescent="0.2">
      <c r="A1097" s="12">
        <v>20714</v>
      </c>
      <c r="B1097" s="13">
        <f t="shared" si="296"/>
        <v>22</v>
      </c>
      <c r="C1097" s="15">
        <f t="shared" si="297"/>
        <v>15</v>
      </c>
      <c r="D1097" s="14">
        <f t="shared" si="298"/>
        <v>13</v>
      </c>
      <c r="E1097" t="s">
        <v>2777</v>
      </c>
      <c r="F1097" t="s">
        <v>2837</v>
      </c>
      <c r="G1097" t="s">
        <v>2779</v>
      </c>
      <c r="H1097" t="s">
        <v>2779</v>
      </c>
      <c r="I1097" t="s">
        <v>2780</v>
      </c>
      <c r="J1097" s="4" t="s">
        <v>2842</v>
      </c>
      <c r="K1097" t="s">
        <v>177</v>
      </c>
      <c r="L1097" t="s">
        <v>163</v>
      </c>
      <c r="M1097" t="s">
        <v>163</v>
      </c>
      <c r="N1097" t="s">
        <v>163</v>
      </c>
      <c r="O1097" s="4" t="s">
        <v>1733</v>
      </c>
      <c r="P1097">
        <v>0</v>
      </c>
      <c r="Q1097" s="24">
        <v>78.8</v>
      </c>
      <c r="R1097" s="25">
        <v>110</v>
      </c>
      <c r="S1097" s="26">
        <v>69.8</v>
      </c>
    </row>
    <row r="1098" spans="1:19" ht="14.25" x14ac:dyDescent="0.2">
      <c r="A1098" s="12">
        <v>20715</v>
      </c>
      <c r="B1098" s="13">
        <f t="shared" si="296"/>
        <v>22</v>
      </c>
      <c r="C1098" s="15">
        <f t="shared" si="297"/>
        <v>15</v>
      </c>
      <c r="D1098" s="14">
        <f t="shared" si="298"/>
        <v>13</v>
      </c>
      <c r="E1098" t="s">
        <v>2785</v>
      </c>
      <c r="F1098" t="s">
        <v>2786</v>
      </c>
      <c r="G1098" t="s">
        <v>2832</v>
      </c>
      <c r="H1098" t="s">
        <v>2829</v>
      </c>
      <c r="I1098" t="s">
        <v>2697</v>
      </c>
      <c r="J1098" s="4" t="s">
        <v>2862</v>
      </c>
      <c r="K1098" t="s">
        <v>174</v>
      </c>
      <c r="L1098" t="s">
        <v>163</v>
      </c>
      <c r="M1098" t="s">
        <v>163</v>
      </c>
      <c r="N1098" t="s">
        <v>163</v>
      </c>
      <c r="O1098" s="4" t="s">
        <v>1735</v>
      </c>
      <c r="P1098">
        <v>0</v>
      </c>
      <c r="Q1098" s="24">
        <v>78.8</v>
      </c>
      <c r="R1098" s="25">
        <v>110</v>
      </c>
      <c r="S1098" s="26">
        <v>69.8</v>
      </c>
    </row>
    <row r="1099" spans="1:19" ht="14.25" x14ac:dyDescent="0.2">
      <c r="A1099" s="12">
        <v>20716</v>
      </c>
      <c r="B1099" s="13">
        <f t="shared" si="296"/>
        <v>22</v>
      </c>
      <c r="C1099" s="15">
        <f t="shared" si="297"/>
        <v>15</v>
      </c>
      <c r="D1099" s="14">
        <f t="shared" si="298"/>
        <v>13</v>
      </c>
      <c r="E1099" t="s">
        <v>2777</v>
      </c>
      <c r="F1099" t="s">
        <v>2834</v>
      </c>
      <c r="G1099" t="s">
        <v>2779</v>
      </c>
      <c r="H1099" t="s">
        <v>2779</v>
      </c>
      <c r="I1099" t="s">
        <v>2780</v>
      </c>
      <c r="J1099" s="4" t="s">
        <v>2842</v>
      </c>
      <c r="K1099" t="s">
        <v>182</v>
      </c>
      <c r="L1099" t="s">
        <v>163</v>
      </c>
      <c r="M1099" t="s">
        <v>163</v>
      </c>
      <c r="N1099" t="s">
        <v>163</v>
      </c>
      <c r="O1099" s="4" t="s">
        <v>1737</v>
      </c>
      <c r="P1099">
        <v>0</v>
      </c>
      <c r="Q1099" s="24">
        <v>79.2</v>
      </c>
      <c r="R1099" s="25">
        <v>110.5</v>
      </c>
      <c r="S1099" s="26">
        <v>70</v>
      </c>
    </row>
    <row r="1100" spans="1:19" ht="14.25" x14ac:dyDescent="0.2">
      <c r="A1100" s="12">
        <v>20717</v>
      </c>
      <c r="B1100" s="13">
        <f t="shared" si="296"/>
        <v>22</v>
      </c>
      <c r="C1100" s="15">
        <f t="shared" si="297"/>
        <v>15</v>
      </c>
      <c r="D1100" s="14">
        <f t="shared" si="298"/>
        <v>13</v>
      </c>
      <c r="E1100" t="s">
        <v>2777</v>
      </c>
      <c r="F1100" t="s">
        <v>2835</v>
      </c>
      <c r="G1100" t="s">
        <v>2779</v>
      </c>
      <c r="H1100" t="s">
        <v>2779</v>
      </c>
      <c r="I1100" t="s">
        <v>2780</v>
      </c>
      <c r="J1100" s="4" t="s">
        <v>2842</v>
      </c>
      <c r="K1100" t="s">
        <v>162</v>
      </c>
      <c r="L1100" t="s">
        <v>163</v>
      </c>
      <c r="M1100" t="s">
        <v>163</v>
      </c>
      <c r="N1100" t="s">
        <v>163</v>
      </c>
      <c r="O1100" s="4" t="s">
        <v>1737</v>
      </c>
      <c r="P1100">
        <v>0</v>
      </c>
      <c r="Q1100" s="24">
        <v>79.2</v>
      </c>
      <c r="R1100" s="25">
        <v>110.5</v>
      </c>
      <c r="S1100" s="26">
        <v>70</v>
      </c>
    </row>
    <row r="1101" spans="1:19" ht="14.25" x14ac:dyDescent="0.2">
      <c r="A1101" s="12">
        <v>20718</v>
      </c>
      <c r="B1101" s="13">
        <f t="shared" si="296"/>
        <v>22</v>
      </c>
      <c r="C1101" s="15">
        <f t="shared" si="297"/>
        <v>15</v>
      </c>
      <c r="D1101" s="14">
        <f t="shared" si="298"/>
        <v>14</v>
      </c>
      <c r="E1101" t="s">
        <v>2777</v>
      </c>
      <c r="F1101" t="s">
        <v>2836</v>
      </c>
      <c r="G1101" t="s">
        <v>2779</v>
      </c>
      <c r="H1101" t="s">
        <v>2779</v>
      </c>
      <c r="I1101" t="s">
        <v>2780</v>
      </c>
      <c r="J1101" s="4" t="s">
        <v>2842</v>
      </c>
      <c r="K1101" t="s">
        <v>177</v>
      </c>
      <c r="L1101" t="s">
        <v>163</v>
      </c>
      <c r="M1101" t="s">
        <v>163</v>
      </c>
      <c r="N1101" t="s">
        <v>163</v>
      </c>
      <c r="O1101" s="4" t="s">
        <v>1739</v>
      </c>
      <c r="P1101">
        <v>0</v>
      </c>
      <c r="Q1101" s="24">
        <v>79.2</v>
      </c>
      <c r="R1101" s="25">
        <v>110.5</v>
      </c>
      <c r="S1101" s="26">
        <v>70</v>
      </c>
    </row>
    <row r="1102" spans="1:19" ht="14.25" x14ac:dyDescent="0.2">
      <c r="A1102" s="12">
        <v>20719</v>
      </c>
      <c r="B1102" s="13">
        <f t="shared" si="296"/>
        <v>22</v>
      </c>
      <c r="C1102" s="15">
        <f t="shared" si="297"/>
        <v>15</v>
      </c>
      <c r="D1102" s="14">
        <f t="shared" si="298"/>
        <v>14</v>
      </c>
      <c r="E1102" t="s">
        <v>2777</v>
      </c>
      <c r="F1102" t="s">
        <v>2837</v>
      </c>
      <c r="G1102" t="s">
        <v>2779</v>
      </c>
      <c r="H1102" t="s">
        <v>2779</v>
      </c>
      <c r="I1102" t="s">
        <v>2780</v>
      </c>
      <c r="J1102" s="4" t="s">
        <v>2842</v>
      </c>
      <c r="K1102" t="s">
        <v>174</v>
      </c>
      <c r="L1102" t="s">
        <v>163</v>
      </c>
      <c r="M1102" t="s">
        <v>163</v>
      </c>
      <c r="N1102" t="s">
        <v>163</v>
      </c>
      <c r="O1102" s="4" t="s">
        <v>1741</v>
      </c>
      <c r="P1102">
        <v>0</v>
      </c>
      <c r="Q1102" s="24">
        <v>79.2</v>
      </c>
      <c r="R1102" s="25">
        <v>110.5</v>
      </c>
      <c r="S1102" s="26">
        <v>70</v>
      </c>
    </row>
    <row r="1103" spans="1:19" ht="14.25" x14ac:dyDescent="0.2">
      <c r="A1103" s="12">
        <v>20720</v>
      </c>
      <c r="B1103" s="13">
        <f t="shared" si="296"/>
        <v>22</v>
      </c>
      <c r="C1103" s="15">
        <f t="shared" si="297"/>
        <v>15</v>
      </c>
      <c r="D1103" s="14">
        <f t="shared" si="298"/>
        <v>14</v>
      </c>
      <c r="E1103" t="s">
        <v>2785</v>
      </c>
      <c r="F1103" t="s">
        <v>2786</v>
      </c>
      <c r="G1103" t="s">
        <v>2833</v>
      </c>
      <c r="H1103" t="s">
        <v>2829</v>
      </c>
      <c r="I1103" t="s">
        <v>2697</v>
      </c>
      <c r="J1103" s="4" t="s">
        <v>2880</v>
      </c>
      <c r="K1103" t="s">
        <v>166</v>
      </c>
      <c r="L1103" t="s">
        <v>163</v>
      </c>
      <c r="M1103" t="s">
        <v>163</v>
      </c>
      <c r="N1103" t="s">
        <v>163</v>
      </c>
      <c r="O1103" s="4" t="s">
        <v>1741</v>
      </c>
      <c r="P1103">
        <v>0</v>
      </c>
      <c r="Q1103" s="24">
        <v>79.2</v>
      </c>
      <c r="R1103" s="25">
        <v>110.5</v>
      </c>
      <c r="S1103" s="26">
        <v>70</v>
      </c>
    </row>
    <row r="1104" spans="1:19" ht="14.25" x14ac:dyDescent="0.2">
      <c r="A1104" s="12">
        <v>20721</v>
      </c>
      <c r="B1104" s="13">
        <f t="shared" si="296"/>
        <v>22</v>
      </c>
      <c r="C1104" s="15">
        <f t="shared" si="297"/>
        <v>15</v>
      </c>
      <c r="D1104" s="14">
        <f t="shared" si="298"/>
        <v>14</v>
      </c>
      <c r="E1104" t="s">
        <v>2777</v>
      </c>
      <c r="F1104" t="s">
        <v>2834</v>
      </c>
      <c r="G1104" t="s">
        <v>2779</v>
      </c>
      <c r="H1104" t="s">
        <v>2779</v>
      </c>
      <c r="I1104" t="s">
        <v>2780</v>
      </c>
      <c r="J1104" s="4" t="s">
        <v>2842</v>
      </c>
      <c r="K1104" t="s">
        <v>168</v>
      </c>
      <c r="L1104" t="s">
        <v>163</v>
      </c>
      <c r="M1104" t="s">
        <v>163</v>
      </c>
      <c r="N1104" t="s">
        <v>163</v>
      </c>
      <c r="O1104" s="4" t="s">
        <v>1743</v>
      </c>
      <c r="P1104">
        <v>0</v>
      </c>
      <c r="Q1104" s="24">
        <v>79.5</v>
      </c>
      <c r="R1104" s="25">
        <v>111</v>
      </c>
      <c r="S1104" s="26">
        <v>70.3</v>
      </c>
    </row>
    <row r="1105" spans="1:19" ht="14.25" x14ac:dyDescent="0.2">
      <c r="A1105" s="12">
        <v>20722</v>
      </c>
      <c r="B1105" s="13">
        <f t="shared" si="296"/>
        <v>22</v>
      </c>
      <c r="C1105" s="15">
        <f t="shared" si="297"/>
        <v>15</v>
      </c>
      <c r="D1105" s="14">
        <f t="shared" si="298"/>
        <v>14</v>
      </c>
      <c r="E1105" t="s">
        <v>2777</v>
      </c>
      <c r="F1105" t="s">
        <v>2835</v>
      </c>
      <c r="G1105" t="s">
        <v>2779</v>
      </c>
      <c r="H1105" t="s">
        <v>2779</v>
      </c>
      <c r="I1105" t="s">
        <v>2780</v>
      </c>
      <c r="J1105" s="4" t="s">
        <v>2842</v>
      </c>
      <c r="K1105" t="s">
        <v>175</v>
      </c>
      <c r="L1105" t="s">
        <v>164</v>
      </c>
      <c r="M1105" t="s">
        <v>163</v>
      </c>
      <c r="N1105" t="s">
        <v>167</v>
      </c>
      <c r="O1105" s="4" t="s">
        <v>1745</v>
      </c>
      <c r="P1105">
        <v>0</v>
      </c>
      <c r="Q1105" s="24">
        <v>79.5</v>
      </c>
      <c r="R1105" s="25">
        <v>111</v>
      </c>
      <c r="S1105" s="26">
        <v>70.3</v>
      </c>
    </row>
    <row r="1106" spans="1:19" ht="14.25" x14ac:dyDescent="0.2">
      <c r="A1106" s="12">
        <v>20723</v>
      </c>
      <c r="B1106" s="13">
        <f t="shared" si="296"/>
        <v>22</v>
      </c>
      <c r="C1106" s="15">
        <f t="shared" si="297"/>
        <v>15</v>
      </c>
      <c r="D1106" s="14">
        <f t="shared" si="298"/>
        <v>14</v>
      </c>
      <c r="E1106" t="s">
        <v>2777</v>
      </c>
      <c r="F1106" t="s">
        <v>2836</v>
      </c>
      <c r="G1106" t="s">
        <v>2779</v>
      </c>
      <c r="H1106" t="s">
        <v>2779</v>
      </c>
      <c r="I1106" t="s">
        <v>2780</v>
      </c>
      <c r="J1106" s="4" t="s">
        <v>2842</v>
      </c>
      <c r="K1106" t="s">
        <v>179</v>
      </c>
      <c r="L1106" t="s">
        <v>163</v>
      </c>
      <c r="M1106" t="s">
        <v>163</v>
      </c>
      <c r="N1106" t="s">
        <v>163</v>
      </c>
      <c r="O1106" s="4" t="s">
        <v>1747</v>
      </c>
      <c r="P1106">
        <v>0</v>
      </c>
      <c r="Q1106" s="24">
        <v>79.5</v>
      </c>
      <c r="R1106" s="25">
        <v>111</v>
      </c>
      <c r="S1106" s="26">
        <v>70.3</v>
      </c>
    </row>
    <row r="1107" spans="1:19" ht="14.25" x14ac:dyDescent="0.2">
      <c r="A1107" s="12">
        <v>20724</v>
      </c>
      <c r="B1107" s="13">
        <f t="shared" si="296"/>
        <v>22</v>
      </c>
      <c r="C1107" s="15">
        <f t="shared" si="297"/>
        <v>15</v>
      </c>
      <c r="D1107" s="14">
        <f t="shared" si="298"/>
        <v>14</v>
      </c>
      <c r="E1107" t="s">
        <v>2777</v>
      </c>
      <c r="F1107" t="s">
        <v>2837</v>
      </c>
      <c r="G1107" t="s">
        <v>2779</v>
      </c>
      <c r="H1107" t="s">
        <v>2779</v>
      </c>
      <c r="I1107" t="s">
        <v>2780</v>
      </c>
      <c r="J1107" s="4" t="s">
        <v>2842</v>
      </c>
      <c r="K1107" t="s">
        <v>177</v>
      </c>
      <c r="L1107" t="s">
        <v>163</v>
      </c>
      <c r="M1107" t="s">
        <v>163</v>
      </c>
      <c r="N1107" t="s">
        <v>163</v>
      </c>
      <c r="O1107" s="4" t="s">
        <v>1747</v>
      </c>
      <c r="P1107">
        <v>0</v>
      </c>
      <c r="Q1107" s="24">
        <v>79.5</v>
      </c>
      <c r="R1107" s="25">
        <v>111</v>
      </c>
      <c r="S1107" s="26">
        <v>70.3</v>
      </c>
    </row>
    <row r="1108" spans="1:19" ht="14.25" x14ac:dyDescent="0.2">
      <c r="A1108" s="12">
        <v>20725</v>
      </c>
      <c r="B1108" s="13">
        <f t="shared" si="296"/>
        <v>22</v>
      </c>
      <c r="C1108" s="15">
        <f t="shared" si="297"/>
        <v>15</v>
      </c>
      <c r="D1108" s="14">
        <f t="shared" si="298"/>
        <v>14</v>
      </c>
      <c r="E1108" t="s">
        <v>2785</v>
      </c>
      <c r="F1108" t="s">
        <v>2786</v>
      </c>
      <c r="G1108" t="s">
        <v>2828</v>
      </c>
      <c r="H1108" t="s">
        <v>2829</v>
      </c>
      <c r="I1108" t="s">
        <v>2697</v>
      </c>
      <c r="J1108" s="4" t="s">
        <v>2880</v>
      </c>
      <c r="K1108" t="s">
        <v>174</v>
      </c>
      <c r="L1108" t="s">
        <v>163</v>
      </c>
      <c r="M1108" t="s">
        <v>163</v>
      </c>
      <c r="N1108" t="s">
        <v>163</v>
      </c>
      <c r="O1108" s="4" t="s">
        <v>1749</v>
      </c>
      <c r="P1108">
        <v>0</v>
      </c>
      <c r="Q1108" s="24">
        <v>79.5</v>
      </c>
      <c r="R1108" s="25">
        <v>111</v>
      </c>
      <c r="S1108" s="26">
        <v>70.3</v>
      </c>
    </row>
    <row r="1109" spans="1:19" ht="14.25" x14ac:dyDescent="0.2">
      <c r="A1109" s="12">
        <v>20726</v>
      </c>
      <c r="B1109" s="13">
        <f t="shared" si="296"/>
        <v>22</v>
      </c>
      <c r="C1109" s="15">
        <f t="shared" si="297"/>
        <v>15</v>
      </c>
      <c r="D1109" s="14">
        <f t="shared" si="298"/>
        <v>14</v>
      </c>
      <c r="E1109" t="s">
        <v>2777</v>
      </c>
      <c r="F1109" t="s">
        <v>2834</v>
      </c>
      <c r="G1109" t="s">
        <v>2779</v>
      </c>
      <c r="H1109" t="s">
        <v>2779</v>
      </c>
      <c r="I1109" t="s">
        <v>2780</v>
      </c>
      <c r="J1109" s="4" t="s">
        <v>2842</v>
      </c>
      <c r="K1109" t="s">
        <v>182</v>
      </c>
      <c r="L1109" t="s">
        <v>163</v>
      </c>
      <c r="M1109" t="s">
        <v>163</v>
      </c>
      <c r="N1109" t="s">
        <v>163</v>
      </c>
      <c r="O1109" s="4" t="s">
        <v>1751</v>
      </c>
      <c r="P1109">
        <v>0</v>
      </c>
      <c r="Q1109" s="24">
        <v>79.8</v>
      </c>
      <c r="R1109" s="25">
        <v>111.5</v>
      </c>
      <c r="S1109" s="26">
        <v>70.5</v>
      </c>
    </row>
    <row r="1110" spans="1:19" ht="14.25" x14ac:dyDescent="0.2">
      <c r="A1110" s="12">
        <v>20727</v>
      </c>
      <c r="B1110" s="13">
        <f t="shared" si="296"/>
        <v>22</v>
      </c>
      <c r="C1110" s="15">
        <f t="shared" si="297"/>
        <v>15</v>
      </c>
      <c r="D1110" s="14">
        <f t="shared" si="298"/>
        <v>14</v>
      </c>
      <c r="E1110" t="s">
        <v>2777</v>
      </c>
      <c r="F1110" t="s">
        <v>2835</v>
      </c>
      <c r="G1110" t="s">
        <v>2779</v>
      </c>
      <c r="H1110" t="s">
        <v>2779</v>
      </c>
      <c r="I1110" t="s">
        <v>2780</v>
      </c>
      <c r="J1110" s="4" t="s">
        <v>2842</v>
      </c>
      <c r="K1110" t="s">
        <v>162</v>
      </c>
      <c r="L1110" t="s">
        <v>163</v>
      </c>
      <c r="M1110" t="s">
        <v>163</v>
      </c>
      <c r="N1110" t="s">
        <v>163</v>
      </c>
      <c r="O1110" s="4" t="s">
        <v>1751</v>
      </c>
      <c r="P1110">
        <v>0</v>
      </c>
      <c r="Q1110" s="24">
        <v>79.8</v>
      </c>
      <c r="R1110" s="25">
        <v>111.5</v>
      </c>
      <c r="S1110" s="26">
        <v>70.5</v>
      </c>
    </row>
    <row r="1111" spans="1:19" ht="14.25" x14ac:dyDescent="0.2">
      <c r="A1111" s="12">
        <v>20728</v>
      </c>
      <c r="B1111" s="13">
        <f t="shared" si="296"/>
        <v>22</v>
      </c>
      <c r="C1111" s="15">
        <f t="shared" si="297"/>
        <v>15</v>
      </c>
      <c r="D1111" s="14">
        <f t="shared" si="298"/>
        <v>14</v>
      </c>
      <c r="E1111" t="s">
        <v>2777</v>
      </c>
      <c r="F1111" t="s">
        <v>2836</v>
      </c>
      <c r="G1111" t="s">
        <v>2779</v>
      </c>
      <c r="H1111" t="s">
        <v>2779</v>
      </c>
      <c r="I1111" t="s">
        <v>2780</v>
      </c>
      <c r="J1111" s="4" t="s">
        <v>2842</v>
      </c>
      <c r="K1111" t="s">
        <v>177</v>
      </c>
      <c r="L1111" t="s">
        <v>163</v>
      </c>
      <c r="M1111" t="s">
        <v>163</v>
      </c>
      <c r="N1111" t="s">
        <v>163</v>
      </c>
      <c r="O1111" s="4" t="s">
        <v>1753</v>
      </c>
      <c r="P1111">
        <v>0</v>
      </c>
      <c r="Q1111" s="24">
        <v>79.8</v>
      </c>
      <c r="R1111" s="25">
        <v>111.5</v>
      </c>
      <c r="S1111" s="26">
        <v>70.5</v>
      </c>
    </row>
    <row r="1112" spans="1:19" ht="14.25" x14ac:dyDescent="0.2">
      <c r="A1112" s="12">
        <v>20729</v>
      </c>
      <c r="B1112" s="13">
        <f t="shared" si="296"/>
        <v>22</v>
      </c>
      <c r="C1112" s="15">
        <f t="shared" si="297"/>
        <v>15</v>
      </c>
      <c r="D1112" s="14">
        <f t="shared" si="298"/>
        <v>14</v>
      </c>
      <c r="E1112" t="s">
        <v>2777</v>
      </c>
      <c r="F1112" t="s">
        <v>2837</v>
      </c>
      <c r="G1112" t="s">
        <v>2779</v>
      </c>
      <c r="H1112" t="s">
        <v>2779</v>
      </c>
      <c r="I1112" t="s">
        <v>2780</v>
      </c>
      <c r="J1112" s="4" t="s">
        <v>2842</v>
      </c>
      <c r="K1112" t="s">
        <v>174</v>
      </c>
      <c r="L1112" t="s">
        <v>163</v>
      </c>
      <c r="M1112" t="s">
        <v>163</v>
      </c>
      <c r="N1112" t="s">
        <v>163</v>
      </c>
      <c r="O1112" s="4" t="s">
        <v>1755</v>
      </c>
      <c r="P1112">
        <v>0</v>
      </c>
      <c r="Q1112" s="24">
        <v>79.8</v>
      </c>
      <c r="R1112" s="25">
        <v>111.5</v>
      </c>
      <c r="S1112" s="26">
        <v>70.5</v>
      </c>
    </row>
    <row r="1113" spans="1:19" ht="14.25" x14ac:dyDescent="0.2">
      <c r="A1113" s="12">
        <v>20730</v>
      </c>
      <c r="B1113" s="13">
        <f t="shared" si="296"/>
        <v>22</v>
      </c>
      <c r="C1113" s="15">
        <f t="shared" si="297"/>
        <v>15</v>
      </c>
      <c r="D1113" s="14">
        <f t="shared" si="298"/>
        <v>14</v>
      </c>
      <c r="E1113" t="s">
        <v>2785</v>
      </c>
      <c r="F1113" t="s">
        <v>2786</v>
      </c>
      <c r="G1113" t="s">
        <v>2830</v>
      </c>
      <c r="H1113" t="s">
        <v>2829</v>
      </c>
      <c r="I1113" t="s">
        <v>2697</v>
      </c>
      <c r="J1113" s="4" t="s">
        <v>2862</v>
      </c>
      <c r="K1113" t="s">
        <v>166</v>
      </c>
      <c r="L1113" t="s">
        <v>163</v>
      </c>
      <c r="M1113" t="s">
        <v>163</v>
      </c>
      <c r="N1113" t="s">
        <v>163</v>
      </c>
      <c r="O1113" s="4" t="s">
        <v>1755</v>
      </c>
      <c r="P1113">
        <v>0</v>
      </c>
      <c r="Q1113" s="24">
        <v>79.8</v>
      </c>
      <c r="R1113" s="25">
        <v>111.5</v>
      </c>
      <c r="S1113" s="26">
        <v>70.5</v>
      </c>
    </row>
    <row r="1114" spans="1:19" ht="14.25" x14ac:dyDescent="0.2">
      <c r="A1114" s="12">
        <v>20731</v>
      </c>
      <c r="B1114" s="13">
        <f t="shared" si="296"/>
        <v>22</v>
      </c>
      <c r="C1114" s="15">
        <f t="shared" si="297"/>
        <v>15</v>
      </c>
      <c r="D1114" s="14">
        <f t="shared" si="298"/>
        <v>14</v>
      </c>
      <c r="E1114" t="s">
        <v>2777</v>
      </c>
      <c r="F1114" t="s">
        <v>2834</v>
      </c>
      <c r="G1114" t="s">
        <v>2779</v>
      </c>
      <c r="H1114" t="s">
        <v>2779</v>
      </c>
      <c r="I1114" t="s">
        <v>2780</v>
      </c>
      <c r="J1114" s="4" t="s">
        <v>2842</v>
      </c>
      <c r="K1114" t="s">
        <v>168</v>
      </c>
      <c r="L1114" t="s">
        <v>163</v>
      </c>
      <c r="M1114" t="s">
        <v>163</v>
      </c>
      <c r="N1114" t="s">
        <v>163</v>
      </c>
      <c r="O1114" s="4" t="s">
        <v>1757</v>
      </c>
      <c r="P1114">
        <v>0</v>
      </c>
      <c r="Q1114" s="24">
        <v>80.2</v>
      </c>
      <c r="R1114" s="25">
        <v>112</v>
      </c>
      <c r="S1114" s="26">
        <v>70.8</v>
      </c>
    </row>
    <row r="1115" spans="1:19" ht="14.25" x14ac:dyDescent="0.2">
      <c r="A1115" s="12">
        <v>20732</v>
      </c>
      <c r="B1115" s="13">
        <f t="shared" si="296"/>
        <v>22</v>
      </c>
      <c r="C1115" s="15">
        <f t="shared" si="297"/>
        <v>15</v>
      </c>
      <c r="D1115" s="14">
        <f t="shared" si="298"/>
        <v>14</v>
      </c>
      <c r="E1115" t="s">
        <v>2777</v>
      </c>
      <c r="F1115" t="s">
        <v>2835</v>
      </c>
      <c r="G1115" t="s">
        <v>2779</v>
      </c>
      <c r="H1115" t="s">
        <v>2779</v>
      </c>
      <c r="I1115" t="s">
        <v>2780</v>
      </c>
      <c r="J1115" s="4" t="s">
        <v>2842</v>
      </c>
      <c r="K1115" t="s">
        <v>175</v>
      </c>
      <c r="L1115" t="s">
        <v>164</v>
      </c>
      <c r="M1115" t="s">
        <v>163</v>
      </c>
      <c r="N1115" t="s">
        <v>167</v>
      </c>
      <c r="O1115" s="4" t="s">
        <v>1759</v>
      </c>
      <c r="P1115">
        <v>0</v>
      </c>
      <c r="Q1115" s="24">
        <v>80.2</v>
      </c>
      <c r="R1115" s="25">
        <v>112</v>
      </c>
      <c r="S1115" s="26">
        <v>70.8</v>
      </c>
    </row>
    <row r="1116" spans="1:19" ht="14.25" x14ac:dyDescent="0.2">
      <c r="A1116" s="12">
        <v>20733</v>
      </c>
      <c r="B1116" s="13">
        <f t="shared" si="296"/>
        <v>22</v>
      </c>
      <c r="C1116" s="15">
        <f t="shared" si="297"/>
        <v>16</v>
      </c>
      <c r="D1116" s="14">
        <f t="shared" si="298"/>
        <v>14</v>
      </c>
      <c r="E1116" t="s">
        <v>2777</v>
      </c>
      <c r="F1116" t="s">
        <v>2836</v>
      </c>
      <c r="G1116" t="s">
        <v>2779</v>
      </c>
      <c r="H1116" t="s">
        <v>2779</v>
      </c>
      <c r="I1116" t="s">
        <v>2780</v>
      </c>
      <c r="J1116" s="4" t="s">
        <v>2842</v>
      </c>
      <c r="K1116" t="s">
        <v>179</v>
      </c>
      <c r="L1116" t="s">
        <v>163</v>
      </c>
      <c r="M1116" t="s">
        <v>163</v>
      </c>
      <c r="N1116" t="s">
        <v>163</v>
      </c>
      <c r="O1116" s="4" t="s">
        <v>1761</v>
      </c>
      <c r="P1116">
        <v>0</v>
      </c>
      <c r="Q1116" s="24">
        <v>80.2</v>
      </c>
      <c r="R1116" s="25">
        <v>112</v>
      </c>
      <c r="S1116" s="26">
        <v>70.8</v>
      </c>
    </row>
    <row r="1117" spans="1:19" ht="14.25" x14ac:dyDescent="0.2">
      <c r="A1117" s="12">
        <v>20734</v>
      </c>
      <c r="B1117" s="13">
        <f t="shared" si="296"/>
        <v>22</v>
      </c>
      <c r="C1117" s="15">
        <f t="shared" si="297"/>
        <v>16</v>
      </c>
      <c r="D1117" s="14">
        <f t="shared" si="298"/>
        <v>14</v>
      </c>
      <c r="E1117" t="s">
        <v>2777</v>
      </c>
      <c r="F1117" t="s">
        <v>2837</v>
      </c>
      <c r="G1117" t="s">
        <v>2779</v>
      </c>
      <c r="H1117" t="s">
        <v>2779</v>
      </c>
      <c r="I1117" t="s">
        <v>2780</v>
      </c>
      <c r="J1117" s="4" t="s">
        <v>2842</v>
      </c>
      <c r="K1117" t="s">
        <v>177</v>
      </c>
      <c r="L1117" t="s">
        <v>163</v>
      </c>
      <c r="M1117" t="s">
        <v>163</v>
      </c>
      <c r="N1117" t="s">
        <v>163</v>
      </c>
      <c r="O1117" s="4" t="s">
        <v>1761</v>
      </c>
      <c r="P1117">
        <v>0</v>
      </c>
      <c r="Q1117" s="24">
        <v>80.2</v>
      </c>
      <c r="R1117" s="25">
        <v>112</v>
      </c>
      <c r="S1117" s="26">
        <v>70.8</v>
      </c>
    </row>
    <row r="1118" spans="1:19" ht="14.25" x14ac:dyDescent="0.2">
      <c r="A1118" s="12">
        <v>20735</v>
      </c>
      <c r="B1118" s="13">
        <f t="shared" si="296"/>
        <v>22</v>
      </c>
      <c r="C1118" s="15">
        <f t="shared" si="297"/>
        <v>16</v>
      </c>
      <c r="D1118" s="14">
        <f t="shared" si="298"/>
        <v>14</v>
      </c>
      <c r="E1118" t="s">
        <v>2785</v>
      </c>
      <c r="F1118" t="s">
        <v>2786</v>
      </c>
      <c r="G1118" t="s">
        <v>2831</v>
      </c>
      <c r="H1118" t="s">
        <v>2829</v>
      </c>
      <c r="I1118" t="s">
        <v>2697</v>
      </c>
      <c r="J1118" s="4" t="s">
        <v>2862</v>
      </c>
      <c r="K1118" t="s">
        <v>174</v>
      </c>
      <c r="L1118" t="s">
        <v>163</v>
      </c>
      <c r="M1118" t="s">
        <v>163</v>
      </c>
      <c r="N1118" t="s">
        <v>163</v>
      </c>
      <c r="O1118" s="4" t="s">
        <v>1763</v>
      </c>
      <c r="P1118">
        <v>0</v>
      </c>
      <c r="Q1118" s="24">
        <v>80.2</v>
      </c>
      <c r="R1118" s="25">
        <v>112</v>
      </c>
      <c r="S1118" s="26">
        <v>70.8</v>
      </c>
    </row>
    <row r="1119" spans="1:19" ht="14.25" x14ac:dyDescent="0.2">
      <c r="A1119" s="12">
        <v>20736</v>
      </c>
      <c r="B1119" s="13">
        <f t="shared" si="296"/>
        <v>22</v>
      </c>
      <c r="C1119" s="15">
        <f t="shared" si="297"/>
        <v>16</v>
      </c>
      <c r="D1119" s="14">
        <f t="shared" si="298"/>
        <v>14</v>
      </c>
      <c r="E1119" t="s">
        <v>2777</v>
      </c>
      <c r="F1119" t="s">
        <v>2834</v>
      </c>
      <c r="G1119" t="s">
        <v>2779</v>
      </c>
      <c r="H1119" t="s">
        <v>2779</v>
      </c>
      <c r="I1119" t="s">
        <v>2780</v>
      </c>
      <c r="J1119" s="4" t="s">
        <v>2842</v>
      </c>
      <c r="K1119" t="s">
        <v>182</v>
      </c>
      <c r="L1119" t="s">
        <v>163</v>
      </c>
      <c r="M1119" t="s">
        <v>163</v>
      </c>
      <c r="N1119" t="s">
        <v>163</v>
      </c>
      <c r="O1119" s="4" t="s">
        <v>1765</v>
      </c>
      <c r="P1119">
        <v>0</v>
      </c>
      <c r="Q1119" s="24">
        <v>80.5</v>
      </c>
      <c r="R1119" s="25">
        <v>112.5</v>
      </c>
      <c r="S1119" s="26">
        <v>71</v>
      </c>
    </row>
    <row r="1120" spans="1:19" ht="14.25" x14ac:dyDescent="0.2">
      <c r="A1120" s="12">
        <v>20737</v>
      </c>
      <c r="B1120" s="13">
        <f t="shared" si="296"/>
        <v>22</v>
      </c>
      <c r="C1120" s="15">
        <f t="shared" si="297"/>
        <v>16</v>
      </c>
      <c r="D1120" s="14">
        <f t="shared" si="298"/>
        <v>14</v>
      </c>
      <c r="E1120" t="s">
        <v>2777</v>
      </c>
      <c r="F1120" t="s">
        <v>2835</v>
      </c>
      <c r="G1120" t="s">
        <v>2779</v>
      </c>
      <c r="H1120" t="s">
        <v>2779</v>
      </c>
      <c r="I1120" t="s">
        <v>2780</v>
      </c>
      <c r="J1120" s="4" t="s">
        <v>2842</v>
      </c>
      <c r="K1120" t="s">
        <v>162</v>
      </c>
      <c r="L1120" t="s">
        <v>163</v>
      </c>
      <c r="M1120" t="s">
        <v>163</v>
      </c>
      <c r="N1120" t="s">
        <v>163</v>
      </c>
      <c r="O1120" s="4" t="s">
        <v>1765</v>
      </c>
      <c r="P1120">
        <v>0</v>
      </c>
      <c r="Q1120" s="24">
        <v>80.5</v>
      </c>
      <c r="R1120" s="25">
        <v>112.5</v>
      </c>
      <c r="S1120" s="26">
        <v>71</v>
      </c>
    </row>
    <row r="1121" spans="1:19" ht="14.25" x14ac:dyDescent="0.2">
      <c r="A1121" s="12">
        <v>20738</v>
      </c>
      <c r="B1121" s="13">
        <f t="shared" si="296"/>
        <v>22</v>
      </c>
      <c r="C1121" s="15">
        <f t="shared" si="297"/>
        <v>16</v>
      </c>
      <c r="D1121" s="14">
        <f t="shared" si="298"/>
        <v>14</v>
      </c>
      <c r="E1121" t="s">
        <v>2777</v>
      </c>
      <c r="F1121" t="s">
        <v>2836</v>
      </c>
      <c r="G1121" t="s">
        <v>2779</v>
      </c>
      <c r="H1121" t="s">
        <v>2779</v>
      </c>
      <c r="I1121" t="s">
        <v>2780</v>
      </c>
      <c r="J1121" s="4" t="s">
        <v>2842</v>
      </c>
      <c r="K1121" t="s">
        <v>177</v>
      </c>
      <c r="L1121" t="s">
        <v>163</v>
      </c>
      <c r="M1121" t="s">
        <v>163</v>
      </c>
      <c r="N1121" t="s">
        <v>163</v>
      </c>
      <c r="O1121" s="4" t="s">
        <v>1767</v>
      </c>
      <c r="P1121">
        <v>0</v>
      </c>
      <c r="Q1121" s="24">
        <v>80.5</v>
      </c>
      <c r="R1121" s="25">
        <v>112.5</v>
      </c>
      <c r="S1121" s="26">
        <v>71</v>
      </c>
    </row>
    <row r="1122" spans="1:19" ht="14.25" x14ac:dyDescent="0.2">
      <c r="A1122" s="12">
        <v>20739</v>
      </c>
      <c r="B1122" s="13">
        <f t="shared" si="296"/>
        <v>22</v>
      </c>
      <c r="C1122" s="15">
        <f t="shared" si="297"/>
        <v>16</v>
      </c>
      <c r="D1122" s="14">
        <f t="shared" si="298"/>
        <v>14</v>
      </c>
      <c r="E1122" t="s">
        <v>2777</v>
      </c>
      <c r="F1122" t="s">
        <v>2837</v>
      </c>
      <c r="G1122" t="s">
        <v>2779</v>
      </c>
      <c r="H1122" t="s">
        <v>2779</v>
      </c>
      <c r="I1122" t="s">
        <v>2780</v>
      </c>
      <c r="J1122" s="4" t="s">
        <v>2842</v>
      </c>
      <c r="K1122" t="s">
        <v>174</v>
      </c>
      <c r="L1122" t="s">
        <v>163</v>
      </c>
      <c r="M1122" t="s">
        <v>163</v>
      </c>
      <c r="N1122" t="s">
        <v>163</v>
      </c>
      <c r="O1122" s="4" t="s">
        <v>1769</v>
      </c>
      <c r="P1122">
        <v>0</v>
      </c>
      <c r="Q1122" s="24">
        <v>80.5</v>
      </c>
      <c r="R1122" s="25">
        <v>112.5</v>
      </c>
      <c r="S1122" s="26">
        <v>71</v>
      </c>
    </row>
    <row r="1123" spans="1:19" ht="14.25" x14ac:dyDescent="0.2">
      <c r="A1123" s="12">
        <v>20740</v>
      </c>
      <c r="B1123" s="13">
        <f t="shared" si="296"/>
        <v>22</v>
      </c>
      <c r="C1123" s="15">
        <f t="shared" si="297"/>
        <v>16</v>
      </c>
      <c r="D1123" s="14">
        <f t="shared" si="298"/>
        <v>14</v>
      </c>
      <c r="E1123" t="s">
        <v>2785</v>
      </c>
      <c r="F1123" t="s">
        <v>2786</v>
      </c>
      <c r="G1123" t="s">
        <v>2832</v>
      </c>
      <c r="H1123" t="s">
        <v>2829</v>
      </c>
      <c r="I1123" t="s">
        <v>2697</v>
      </c>
      <c r="J1123" s="4" t="s">
        <v>2862</v>
      </c>
      <c r="K1123" t="s">
        <v>166</v>
      </c>
      <c r="L1123" t="s">
        <v>163</v>
      </c>
      <c r="M1123" t="s">
        <v>163</v>
      </c>
      <c r="N1123" t="s">
        <v>163</v>
      </c>
      <c r="O1123" s="4" t="s">
        <v>1769</v>
      </c>
      <c r="P1123">
        <v>0</v>
      </c>
      <c r="Q1123" s="24">
        <v>80.5</v>
      </c>
      <c r="R1123" s="25">
        <v>112.5</v>
      </c>
      <c r="S1123" s="26">
        <v>71</v>
      </c>
    </row>
    <row r="1124" spans="1:19" ht="14.25" x14ac:dyDescent="0.2">
      <c r="A1124" s="12">
        <v>20741</v>
      </c>
      <c r="B1124" s="13">
        <f t="shared" si="296"/>
        <v>22</v>
      </c>
      <c r="C1124" s="15">
        <f t="shared" si="297"/>
        <v>16</v>
      </c>
      <c r="D1124" s="14">
        <f t="shared" si="298"/>
        <v>14</v>
      </c>
      <c r="E1124" t="s">
        <v>2777</v>
      </c>
      <c r="F1124" t="s">
        <v>2834</v>
      </c>
      <c r="G1124" t="s">
        <v>2779</v>
      </c>
      <c r="H1124" t="s">
        <v>2779</v>
      </c>
      <c r="I1124" t="s">
        <v>2780</v>
      </c>
      <c r="J1124" s="4" t="s">
        <v>2842</v>
      </c>
      <c r="K1124" t="s">
        <v>168</v>
      </c>
      <c r="L1124" t="s">
        <v>163</v>
      </c>
      <c r="M1124" t="s">
        <v>163</v>
      </c>
      <c r="N1124" t="s">
        <v>163</v>
      </c>
      <c r="O1124" s="4" t="s">
        <v>1771</v>
      </c>
      <c r="P1124">
        <v>0</v>
      </c>
      <c r="Q1124" s="24">
        <v>80.8</v>
      </c>
      <c r="R1124" s="25">
        <v>113</v>
      </c>
      <c r="S1124" s="26">
        <v>71.3</v>
      </c>
    </row>
    <row r="1125" spans="1:19" ht="14.25" x14ac:dyDescent="0.2">
      <c r="A1125" s="12">
        <v>20742</v>
      </c>
      <c r="B1125" s="13">
        <f t="shared" si="296"/>
        <v>22</v>
      </c>
      <c r="C1125" s="15">
        <f t="shared" si="297"/>
        <v>16</v>
      </c>
      <c r="D1125" s="14">
        <f t="shared" si="298"/>
        <v>14</v>
      </c>
      <c r="E1125" t="s">
        <v>2777</v>
      </c>
      <c r="F1125" t="s">
        <v>2835</v>
      </c>
      <c r="G1125" t="s">
        <v>2779</v>
      </c>
      <c r="H1125" t="s">
        <v>2779</v>
      </c>
      <c r="I1125" t="s">
        <v>2780</v>
      </c>
      <c r="J1125" s="4" t="s">
        <v>2842</v>
      </c>
      <c r="K1125" t="s">
        <v>175</v>
      </c>
      <c r="L1125" t="s">
        <v>164</v>
      </c>
      <c r="M1125" t="s">
        <v>163</v>
      </c>
      <c r="N1125" t="s">
        <v>167</v>
      </c>
      <c r="O1125" s="4" t="s">
        <v>1773</v>
      </c>
      <c r="P1125">
        <v>0</v>
      </c>
      <c r="Q1125" s="24">
        <v>80.8</v>
      </c>
      <c r="R1125" s="25">
        <v>113</v>
      </c>
      <c r="S1125" s="26">
        <v>71.3</v>
      </c>
    </row>
    <row r="1126" spans="1:19" ht="14.25" x14ac:dyDescent="0.2">
      <c r="A1126" s="12">
        <v>20743</v>
      </c>
      <c r="B1126" s="13">
        <f t="shared" si="296"/>
        <v>22</v>
      </c>
      <c r="C1126" s="15">
        <f t="shared" si="297"/>
        <v>16</v>
      </c>
      <c r="D1126" s="14">
        <f t="shared" si="298"/>
        <v>14</v>
      </c>
      <c r="E1126" t="s">
        <v>2777</v>
      </c>
      <c r="F1126" t="s">
        <v>2836</v>
      </c>
      <c r="G1126" t="s">
        <v>2779</v>
      </c>
      <c r="H1126" t="s">
        <v>2779</v>
      </c>
      <c r="I1126" t="s">
        <v>2780</v>
      </c>
      <c r="J1126" s="4" t="s">
        <v>2842</v>
      </c>
      <c r="K1126" t="s">
        <v>179</v>
      </c>
      <c r="L1126" t="s">
        <v>163</v>
      </c>
      <c r="M1126" t="s">
        <v>163</v>
      </c>
      <c r="N1126" t="s">
        <v>163</v>
      </c>
      <c r="O1126" s="4" t="s">
        <v>1775</v>
      </c>
      <c r="P1126">
        <v>0</v>
      </c>
      <c r="Q1126" s="24">
        <v>80.8</v>
      </c>
      <c r="R1126" s="25">
        <v>113</v>
      </c>
      <c r="S1126" s="26">
        <v>71.3</v>
      </c>
    </row>
    <row r="1127" spans="1:19" ht="14.25" x14ac:dyDescent="0.2">
      <c r="A1127" s="12">
        <v>20744</v>
      </c>
      <c r="B1127" s="13">
        <f t="shared" si="296"/>
        <v>22</v>
      </c>
      <c r="C1127" s="15">
        <f t="shared" si="297"/>
        <v>16</v>
      </c>
      <c r="D1127" s="14">
        <f t="shared" si="298"/>
        <v>14</v>
      </c>
      <c r="E1127" t="s">
        <v>2777</v>
      </c>
      <c r="F1127" t="s">
        <v>2837</v>
      </c>
      <c r="G1127" t="s">
        <v>2779</v>
      </c>
      <c r="H1127" t="s">
        <v>2779</v>
      </c>
      <c r="I1127" t="s">
        <v>2780</v>
      </c>
      <c r="J1127" s="4" t="s">
        <v>2842</v>
      </c>
      <c r="K1127" t="s">
        <v>177</v>
      </c>
      <c r="L1127" t="s">
        <v>163</v>
      </c>
      <c r="M1127" t="s">
        <v>163</v>
      </c>
      <c r="N1127" t="s">
        <v>163</v>
      </c>
      <c r="O1127" s="4" t="s">
        <v>1775</v>
      </c>
      <c r="P1127">
        <v>0</v>
      </c>
      <c r="Q1127" s="24">
        <v>80.8</v>
      </c>
      <c r="R1127" s="25">
        <v>113</v>
      </c>
      <c r="S1127" s="26">
        <v>71.3</v>
      </c>
    </row>
    <row r="1128" spans="1:19" ht="14.25" x14ac:dyDescent="0.2">
      <c r="A1128" s="12">
        <v>20745</v>
      </c>
      <c r="B1128" s="13">
        <f t="shared" si="296"/>
        <v>22</v>
      </c>
      <c r="C1128" s="15">
        <f t="shared" si="297"/>
        <v>16</v>
      </c>
      <c r="D1128" s="14">
        <f t="shared" si="298"/>
        <v>14</v>
      </c>
      <c r="E1128" t="s">
        <v>2785</v>
      </c>
      <c r="F1128" t="s">
        <v>2786</v>
      </c>
      <c r="G1128" t="s">
        <v>2833</v>
      </c>
      <c r="H1128" t="s">
        <v>2829</v>
      </c>
      <c r="I1128" t="s">
        <v>2697</v>
      </c>
      <c r="J1128" s="4" t="s">
        <v>2880</v>
      </c>
      <c r="K1128" t="s">
        <v>174</v>
      </c>
      <c r="L1128" t="s">
        <v>163</v>
      </c>
      <c r="M1128" t="s">
        <v>163</v>
      </c>
      <c r="N1128" t="s">
        <v>163</v>
      </c>
      <c r="O1128" s="4" t="s">
        <v>1777</v>
      </c>
      <c r="P1128">
        <v>0</v>
      </c>
      <c r="Q1128" s="24">
        <v>80.8</v>
      </c>
      <c r="R1128" s="25">
        <v>113</v>
      </c>
      <c r="S1128" s="26">
        <v>71.3</v>
      </c>
    </row>
    <row r="1129" spans="1:19" ht="14.25" x14ac:dyDescent="0.2">
      <c r="A1129" s="12">
        <v>20746</v>
      </c>
      <c r="B1129" s="13">
        <f t="shared" si="296"/>
        <v>22</v>
      </c>
      <c r="C1129" s="15">
        <f t="shared" si="297"/>
        <v>16</v>
      </c>
      <c r="D1129" s="14">
        <f t="shared" si="298"/>
        <v>14</v>
      </c>
      <c r="E1129" t="s">
        <v>2777</v>
      </c>
      <c r="F1129" t="s">
        <v>2834</v>
      </c>
      <c r="G1129" t="s">
        <v>2779</v>
      </c>
      <c r="H1129" t="s">
        <v>2779</v>
      </c>
      <c r="I1129" t="s">
        <v>2780</v>
      </c>
      <c r="J1129" s="4" t="s">
        <v>2842</v>
      </c>
      <c r="K1129" t="s">
        <v>182</v>
      </c>
      <c r="L1129" t="s">
        <v>163</v>
      </c>
      <c r="M1129" t="s">
        <v>163</v>
      </c>
      <c r="N1129" t="s">
        <v>163</v>
      </c>
      <c r="O1129" s="4" t="s">
        <v>1779</v>
      </c>
      <c r="P1129">
        <v>0</v>
      </c>
      <c r="Q1129" s="24">
        <v>81.2</v>
      </c>
      <c r="R1129" s="25">
        <v>113.5</v>
      </c>
      <c r="S1129" s="26">
        <v>71.5</v>
      </c>
    </row>
    <row r="1130" spans="1:19" ht="14.25" x14ac:dyDescent="0.2">
      <c r="A1130" s="12">
        <v>20747</v>
      </c>
      <c r="B1130" s="13">
        <f t="shared" si="296"/>
        <v>22</v>
      </c>
      <c r="C1130" s="15">
        <f t="shared" si="297"/>
        <v>16</v>
      </c>
      <c r="D1130" s="14">
        <f t="shared" si="298"/>
        <v>14</v>
      </c>
      <c r="E1130" t="s">
        <v>2777</v>
      </c>
      <c r="F1130" t="s">
        <v>2835</v>
      </c>
      <c r="G1130" t="s">
        <v>2779</v>
      </c>
      <c r="H1130" t="s">
        <v>2779</v>
      </c>
      <c r="I1130" t="s">
        <v>2780</v>
      </c>
      <c r="J1130" s="4" t="s">
        <v>2842</v>
      </c>
      <c r="K1130" t="s">
        <v>162</v>
      </c>
      <c r="L1130" t="s">
        <v>163</v>
      </c>
      <c r="M1130" t="s">
        <v>163</v>
      </c>
      <c r="N1130" t="s">
        <v>163</v>
      </c>
      <c r="O1130" s="4" t="s">
        <v>1779</v>
      </c>
      <c r="P1130">
        <v>0</v>
      </c>
      <c r="Q1130" s="24">
        <v>81.2</v>
      </c>
      <c r="R1130" s="25">
        <v>113.5</v>
      </c>
      <c r="S1130" s="26">
        <v>71.5</v>
      </c>
    </row>
    <row r="1131" spans="1:19" ht="14.25" x14ac:dyDescent="0.2">
      <c r="A1131" s="12">
        <v>20748</v>
      </c>
      <c r="B1131" s="13">
        <f t="shared" si="296"/>
        <v>22</v>
      </c>
      <c r="C1131" s="15">
        <f t="shared" si="297"/>
        <v>16</v>
      </c>
      <c r="D1131" s="14">
        <f t="shared" si="298"/>
        <v>14</v>
      </c>
      <c r="E1131" t="s">
        <v>2777</v>
      </c>
      <c r="F1131" t="s">
        <v>2836</v>
      </c>
      <c r="G1131" t="s">
        <v>2779</v>
      </c>
      <c r="H1131" t="s">
        <v>2779</v>
      </c>
      <c r="I1131" t="s">
        <v>2780</v>
      </c>
      <c r="J1131" s="4" t="s">
        <v>2842</v>
      </c>
      <c r="K1131" t="s">
        <v>177</v>
      </c>
      <c r="L1131" t="s">
        <v>163</v>
      </c>
      <c r="M1131" t="s">
        <v>163</v>
      </c>
      <c r="N1131" t="s">
        <v>163</v>
      </c>
      <c r="O1131" s="4" t="s">
        <v>1781</v>
      </c>
      <c r="P1131">
        <v>0</v>
      </c>
      <c r="Q1131" s="24">
        <v>81.2</v>
      </c>
      <c r="R1131" s="25">
        <v>113.5</v>
      </c>
      <c r="S1131" s="26">
        <v>71.5</v>
      </c>
    </row>
    <row r="1132" spans="1:19" ht="14.25" x14ac:dyDescent="0.2">
      <c r="A1132" s="12">
        <v>20749</v>
      </c>
      <c r="B1132" s="13">
        <f t="shared" si="296"/>
        <v>22</v>
      </c>
      <c r="C1132" s="15">
        <f t="shared" si="297"/>
        <v>16</v>
      </c>
      <c r="D1132" s="14">
        <f t="shared" si="298"/>
        <v>14</v>
      </c>
      <c r="E1132" t="s">
        <v>2777</v>
      </c>
      <c r="F1132" t="s">
        <v>2837</v>
      </c>
      <c r="G1132" t="s">
        <v>2779</v>
      </c>
      <c r="H1132" t="s">
        <v>2779</v>
      </c>
      <c r="I1132" t="s">
        <v>2780</v>
      </c>
      <c r="J1132" s="4" t="s">
        <v>2842</v>
      </c>
      <c r="K1132" t="s">
        <v>174</v>
      </c>
      <c r="L1132" t="s">
        <v>163</v>
      </c>
      <c r="M1132" t="s">
        <v>163</v>
      </c>
      <c r="N1132" t="s">
        <v>163</v>
      </c>
      <c r="O1132" s="4" t="s">
        <v>1783</v>
      </c>
      <c r="P1132">
        <v>0</v>
      </c>
      <c r="Q1132" s="24">
        <v>81.2</v>
      </c>
      <c r="R1132" s="25">
        <v>113.5</v>
      </c>
      <c r="S1132" s="26">
        <v>71.5</v>
      </c>
    </row>
    <row r="1133" spans="1:19" ht="14.25" x14ac:dyDescent="0.2">
      <c r="A1133" s="12">
        <v>20750</v>
      </c>
      <c r="B1133" s="13">
        <f t="shared" si="296"/>
        <v>22</v>
      </c>
      <c r="C1133" s="15">
        <f t="shared" si="297"/>
        <v>16</v>
      </c>
      <c r="D1133" s="14">
        <f t="shared" si="298"/>
        <v>14</v>
      </c>
      <c r="E1133" t="s">
        <v>2785</v>
      </c>
      <c r="F1133" t="s">
        <v>2786</v>
      </c>
      <c r="G1133" t="s">
        <v>2828</v>
      </c>
      <c r="H1133" t="s">
        <v>2829</v>
      </c>
      <c r="I1133" t="s">
        <v>2697</v>
      </c>
      <c r="J1133" s="4" t="s">
        <v>2880</v>
      </c>
      <c r="K1133" t="s">
        <v>166</v>
      </c>
      <c r="L1133" t="s">
        <v>163</v>
      </c>
      <c r="M1133" t="s">
        <v>163</v>
      </c>
      <c r="N1133" t="s">
        <v>163</v>
      </c>
      <c r="O1133" s="4" t="s">
        <v>1783</v>
      </c>
      <c r="P1133">
        <v>0</v>
      </c>
      <c r="Q1133" s="24">
        <v>81.2</v>
      </c>
      <c r="R1133" s="25">
        <v>113.5</v>
      </c>
      <c r="S1133" s="26">
        <v>71.5</v>
      </c>
    </row>
    <row r="1134" spans="1:19" ht="14.25" x14ac:dyDescent="0.2">
      <c r="A1134" s="12">
        <v>20801</v>
      </c>
      <c r="B1134" s="13">
        <f t="shared" si="296"/>
        <v>22</v>
      </c>
      <c r="C1134" s="15">
        <f t="shared" si="297"/>
        <v>16</v>
      </c>
      <c r="D1134" s="14">
        <f t="shared" si="298"/>
        <v>14</v>
      </c>
      <c r="E1134" t="s">
        <v>2777</v>
      </c>
      <c r="F1134" t="s">
        <v>2834</v>
      </c>
      <c r="G1134" t="s">
        <v>2779</v>
      </c>
      <c r="H1134" t="s">
        <v>2779</v>
      </c>
      <c r="I1134" t="s">
        <v>2780</v>
      </c>
      <c r="J1134" s="4" t="s">
        <v>2843</v>
      </c>
      <c r="K1134" t="s">
        <v>168</v>
      </c>
      <c r="L1134" t="s">
        <v>163</v>
      </c>
      <c r="M1134" t="s">
        <v>163</v>
      </c>
      <c r="N1134" t="s">
        <v>163</v>
      </c>
      <c r="O1134" s="4" t="s">
        <v>1785</v>
      </c>
      <c r="P1134">
        <v>0</v>
      </c>
      <c r="Q1134" s="24">
        <v>81.5</v>
      </c>
      <c r="R1134" s="25">
        <v>114</v>
      </c>
      <c r="S1134" s="26">
        <v>71.8</v>
      </c>
    </row>
    <row r="1135" spans="1:19" ht="14.25" x14ac:dyDescent="0.2">
      <c r="A1135" s="12">
        <v>20802</v>
      </c>
      <c r="B1135" s="13">
        <f t="shared" si="296"/>
        <v>22</v>
      </c>
      <c r="C1135" s="15">
        <f t="shared" si="297"/>
        <v>16</v>
      </c>
      <c r="D1135" s="14">
        <f t="shared" si="298"/>
        <v>14</v>
      </c>
      <c r="E1135" t="s">
        <v>2777</v>
      </c>
      <c r="F1135" t="s">
        <v>2835</v>
      </c>
      <c r="G1135" t="s">
        <v>2779</v>
      </c>
      <c r="H1135" t="s">
        <v>2779</v>
      </c>
      <c r="I1135" t="s">
        <v>2780</v>
      </c>
      <c r="J1135" s="4" t="s">
        <v>2843</v>
      </c>
      <c r="K1135" t="s">
        <v>175</v>
      </c>
      <c r="L1135" t="s">
        <v>164</v>
      </c>
      <c r="M1135" t="s">
        <v>163</v>
      </c>
      <c r="N1135" t="s">
        <v>167</v>
      </c>
      <c r="O1135" s="4" t="s">
        <v>1787</v>
      </c>
      <c r="P1135">
        <v>0</v>
      </c>
      <c r="Q1135" s="24">
        <v>81.5</v>
      </c>
      <c r="R1135" s="25">
        <v>114</v>
      </c>
      <c r="S1135" s="26">
        <v>71.8</v>
      </c>
    </row>
    <row r="1136" spans="1:19" ht="14.25" x14ac:dyDescent="0.2">
      <c r="A1136" s="12">
        <v>20803</v>
      </c>
      <c r="B1136" s="13">
        <f t="shared" si="296"/>
        <v>22</v>
      </c>
      <c r="C1136" s="15">
        <f t="shared" si="297"/>
        <v>16</v>
      </c>
      <c r="D1136" s="14">
        <f t="shared" si="298"/>
        <v>14</v>
      </c>
      <c r="E1136" t="s">
        <v>2777</v>
      </c>
      <c r="F1136" t="s">
        <v>2836</v>
      </c>
      <c r="G1136" t="s">
        <v>2779</v>
      </c>
      <c r="H1136" t="s">
        <v>2779</v>
      </c>
      <c r="I1136" t="s">
        <v>2780</v>
      </c>
      <c r="J1136" s="4" t="s">
        <v>2843</v>
      </c>
      <c r="K1136" t="s">
        <v>179</v>
      </c>
      <c r="L1136" t="s">
        <v>163</v>
      </c>
      <c r="M1136" t="s">
        <v>163</v>
      </c>
      <c r="N1136" t="s">
        <v>163</v>
      </c>
      <c r="O1136" s="4" t="s">
        <v>1789</v>
      </c>
      <c r="P1136">
        <v>0</v>
      </c>
      <c r="Q1136" s="24">
        <v>81.5</v>
      </c>
      <c r="R1136" s="25">
        <v>114</v>
      </c>
      <c r="S1136" s="26">
        <v>71.8</v>
      </c>
    </row>
    <row r="1137" spans="1:19" ht="14.25" x14ac:dyDescent="0.2">
      <c r="A1137" s="12">
        <v>20804</v>
      </c>
      <c r="B1137" s="13">
        <f t="shared" si="296"/>
        <v>22</v>
      </c>
      <c r="C1137" s="15">
        <f t="shared" si="297"/>
        <v>16</v>
      </c>
      <c r="D1137" s="14">
        <f t="shared" si="298"/>
        <v>14</v>
      </c>
      <c r="E1137" t="s">
        <v>2777</v>
      </c>
      <c r="F1137" t="s">
        <v>2837</v>
      </c>
      <c r="G1137" t="s">
        <v>2779</v>
      </c>
      <c r="H1137" t="s">
        <v>2779</v>
      </c>
      <c r="I1137" t="s">
        <v>2780</v>
      </c>
      <c r="J1137" s="4" t="s">
        <v>2843</v>
      </c>
      <c r="K1137" t="s">
        <v>177</v>
      </c>
      <c r="L1137" t="s">
        <v>163</v>
      </c>
      <c r="M1137" t="s">
        <v>163</v>
      </c>
      <c r="N1137" t="s">
        <v>163</v>
      </c>
      <c r="O1137" s="4" t="s">
        <v>1789</v>
      </c>
      <c r="P1137">
        <v>0</v>
      </c>
      <c r="Q1137" s="24">
        <v>81.5</v>
      </c>
      <c r="R1137" s="25">
        <v>114</v>
      </c>
      <c r="S1137" s="26">
        <v>71.8</v>
      </c>
    </row>
    <row r="1138" spans="1:19" ht="14.25" x14ac:dyDescent="0.2">
      <c r="A1138" s="12">
        <v>20805</v>
      </c>
      <c r="B1138" s="13">
        <f t="shared" si="296"/>
        <v>22</v>
      </c>
      <c r="C1138" s="15">
        <f t="shared" si="297"/>
        <v>16</v>
      </c>
      <c r="D1138" s="14">
        <f t="shared" si="298"/>
        <v>14</v>
      </c>
      <c r="E1138" t="s">
        <v>2785</v>
      </c>
      <c r="F1138" t="s">
        <v>2786</v>
      </c>
      <c r="G1138" t="s">
        <v>2830</v>
      </c>
      <c r="H1138" t="s">
        <v>2829</v>
      </c>
      <c r="I1138" t="s">
        <v>2697</v>
      </c>
      <c r="J1138" s="4" t="s">
        <v>2863</v>
      </c>
      <c r="K1138" t="s">
        <v>174</v>
      </c>
      <c r="L1138" t="s">
        <v>163</v>
      </c>
      <c r="M1138" t="s">
        <v>163</v>
      </c>
      <c r="N1138" t="s">
        <v>163</v>
      </c>
      <c r="O1138" s="4" t="s">
        <v>1791</v>
      </c>
      <c r="P1138">
        <v>0</v>
      </c>
      <c r="Q1138" s="24">
        <v>81.5</v>
      </c>
      <c r="R1138" s="25">
        <v>114</v>
      </c>
      <c r="S1138" s="26">
        <v>71.8</v>
      </c>
    </row>
    <row r="1139" spans="1:19" ht="14.25" x14ac:dyDescent="0.2">
      <c r="A1139" s="12">
        <v>20806</v>
      </c>
      <c r="B1139" s="13">
        <f t="shared" si="296"/>
        <v>22</v>
      </c>
      <c r="C1139" s="15">
        <f t="shared" si="297"/>
        <v>16</v>
      </c>
      <c r="D1139" s="14">
        <f t="shared" si="298"/>
        <v>14</v>
      </c>
      <c r="E1139" t="s">
        <v>2777</v>
      </c>
      <c r="F1139" t="s">
        <v>2834</v>
      </c>
      <c r="G1139" t="s">
        <v>2779</v>
      </c>
      <c r="H1139" t="s">
        <v>2779</v>
      </c>
      <c r="I1139" t="s">
        <v>2780</v>
      </c>
      <c r="J1139" s="4" t="s">
        <v>2843</v>
      </c>
      <c r="K1139" t="s">
        <v>182</v>
      </c>
      <c r="L1139" t="s">
        <v>163</v>
      </c>
      <c r="M1139" t="s">
        <v>163</v>
      </c>
      <c r="N1139" t="s">
        <v>163</v>
      </c>
      <c r="O1139" s="4" t="s">
        <v>1793</v>
      </c>
      <c r="P1139">
        <v>0</v>
      </c>
      <c r="Q1139" s="24">
        <v>81.8</v>
      </c>
      <c r="R1139" s="25">
        <v>114.5</v>
      </c>
      <c r="S1139" s="26">
        <v>72</v>
      </c>
    </row>
    <row r="1140" spans="1:19" ht="14.25" x14ac:dyDescent="0.2">
      <c r="A1140" s="12">
        <v>20807</v>
      </c>
      <c r="B1140" s="13">
        <f t="shared" si="296"/>
        <v>22</v>
      </c>
      <c r="C1140" s="15">
        <f t="shared" si="297"/>
        <v>16</v>
      </c>
      <c r="D1140" s="14">
        <f t="shared" si="298"/>
        <v>14</v>
      </c>
      <c r="E1140" t="s">
        <v>2777</v>
      </c>
      <c r="F1140" t="s">
        <v>2835</v>
      </c>
      <c r="G1140" t="s">
        <v>2779</v>
      </c>
      <c r="H1140" t="s">
        <v>2779</v>
      </c>
      <c r="I1140" t="s">
        <v>2780</v>
      </c>
      <c r="J1140" s="4" t="s">
        <v>2843</v>
      </c>
      <c r="K1140" t="s">
        <v>162</v>
      </c>
      <c r="L1140" t="s">
        <v>163</v>
      </c>
      <c r="M1140" t="s">
        <v>163</v>
      </c>
      <c r="N1140" t="s">
        <v>163</v>
      </c>
      <c r="O1140" s="4" t="s">
        <v>1793</v>
      </c>
      <c r="P1140">
        <v>0</v>
      </c>
      <c r="Q1140" s="24">
        <v>81.8</v>
      </c>
      <c r="R1140" s="25">
        <v>114.5</v>
      </c>
      <c r="S1140" s="26">
        <v>72</v>
      </c>
    </row>
    <row r="1141" spans="1:19" ht="14.25" x14ac:dyDescent="0.2">
      <c r="A1141" s="12">
        <v>20808</v>
      </c>
      <c r="B1141" s="13">
        <f t="shared" si="296"/>
        <v>22</v>
      </c>
      <c r="C1141" s="15">
        <f t="shared" si="297"/>
        <v>16</v>
      </c>
      <c r="D1141" s="14">
        <f t="shared" si="298"/>
        <v>14</v>
      </c>
      <c r="E1141" t="s">
        <v>2777</v>
      </c>
      <c r="F1141" t="s">
        <v>2836</v>
      </c>
      <c r="G1141" t="s">
        <v>2779</v>
      </c>
      <c r="H1141" t="s">
        <v>2779</v>
      </c>
      <c r="I1141" t="s">
        <v>2780</v>
      </c>
      <c r="J1141" s="4" t="s">
        <v>2843</v>
      </c>
      <c r="K1141" t="s">
        <v>177</v>
      </c>
      <c r="L1141" t="s">
        <v>163</v>
      </c>
      <c r="M1141" t="s">
        <v>163</v>
      </c>
      <c r="N1141" t="s">
        <v>163</v>
      </c>
      <c r="O1141" s="4" t="s">
        <v>1795</v>
      </c>
      <c r="P1141">
        <v>0</v>
      </c>
      <c r="Q1141" s="24">
        <v>81.8</v>
      </c>
      <c r="R1141" s="25">
        <v>114.5</v>
      </c>
      <c r="S1141" s="26">
        <v>72</v>
      </c>
    </row>
    <row r="1142" spans="1:19" ht="14.25" x14ac:dyDescent="0.2">
      <c r="A1142" s="12">
        <v>20809</v>
      </c>
      <c r="B1142" s="13">
        <f t="shared" si="296"/>
        <v>22</v>
      </c>
      <c r="C1142" s="15">
        <f t="shared" si="297"/>
        <v>16</v>
      </c>
      <c r="D1142" s="14">
        <f t="shared" si="298"/>
        <v>14</v>
      </c>
      <c r="E1142" t="s">
        <v>2777</v>
      </c>
      <c r="F1142" t="s">
        <v>2837</v>
      </c>
      <c r="G1142" t="s">
        <v>2779</v>
      </c>
      <c r="H1142" t="s">
        <v>2779</v>
      </c>
      <c r="I1142" t="s">
        <v>2780</v>
      </c>
      <c r="J1142" s="4" t="s">
        <v>2843</v>
      </c>
      <c r="K1142" t="s">
        <v>174</v>
      </c>
      <c r="L1142" t="s">
        <v>163</v>
      </c>
      <c r="M1142" t="s">
        <v>163</v>
      </c>
      <c r="N1142" t="s">
        <v>163</v>
      </c>
      <c r="O1142" s="4" t="s">
        <v>1797</v>
      </c>
      <c r="P1142">
        <v>0</v>
      </c>
      <c r="Q1142" s="24">
        <v>81.8</v>
      </c>
      <c r="R1142" s="25">
        <v>114.5</v>
      </c>
      <c r="S1142" s="26">
        <v>72</v>
      </c>
    </row>
    <row r="1143" spans="1:19" ht="14.25" x14ac:dyDescent="0.2">
      <c r="A1143" s="12">
        <v>20810</v>
      </c>
      <c r="B1143" s="13">
        <f t="shared" si="296"/>
        <v>22</v>
      </c>
      <c r="C1143" s="15">
        <f t="shared" si="297"/>
        <v>16</v>
      </c>
      <c r="D1143" s="14">
        <f t="shared" si="298"/>
        <v>14</v>
      </c>
      <c r="E1143" t="s">
        <v>2785</v>
      </c>
      <c r="F1143" t="s">
        <v>2786</v>
      </c>
      <c r="G1143" t="s">
        <v>2831</v>
      </c>
      <c r="H1143" t="s">
        <v>2829</v>
      </c>
      <c r="I1143" t="s">
        <v>2697</v>
      </c>
      <c r="J1143" s="4" t="s">
        <v>2863</v>
      </c>
      <c r="K1143" t="s">
        <v>166</v>
      </c>
      <c r="L1143" t="s">
        <v>163</v>
      </c>
      <c r="M1143" t="s">
        <v>163</v>
      </c>
      <c r="N1143" t="s">
        <v>163</v>
      </c>
      <c r="O1143" s="4" t="s">
        <v>1797</v>
      </c>
      <c r="P1143">
        <v>0</v>
      </c>
      <c r="Q1143" s="24">
        <v>81.8</v>
      </c>
      <c r="R1143" s="25">
        <v>114.5</v>
      </c>
      <c r="S1143" s="26">
        <v>72</v>
      </c>
    </row>
    <row r="1144" spans="1:19" ht="14.25" x14ac:dyDescent="0.2">
      <c r="A1144" s="12">
        <v>20811</v>
      </c>
      <c r="B1144" s="13">
        <f t="shared" si="296"/>
        <v>22</v>
      </c>
      <c r="C1144" s="15">
        <f t="shared" si="297"/>
        <v>16</v>
      </c>
      <c r="D1144" s="14">
        <f t="shared" si="298"/>
        <v>14</v>
      </c>
      <c r="E1144" t="s">
        <v>2777</v>
      </c>
      <c r="F1144" t="s">
        <v>2834</v>
      </c>
      <c r="G1144" t="s">
        <v>2779</v>
      </c>
      <c r="H1144" t="s">
        <v>2779</v>
      </c>
      <c r="I1144" t="s">
        <v>2780</v>
      </c>
      <c r="J1144" s="4" t="s">
        <v>2843</v>
      </c>
      <c r="K1144" t="s">
        <v>168</v>
      </c>
      <c r="L1144" t="s">
        <v>163</v>
      </c>
      <c r="M1144" t="s">
        <v>163</v>
      </c>
      <c r="N1144" t="s">
        <v>163</v>
      </c>
      <c r="O1144" s="4" t="s">
        <v>1799</v>
      </c>
      <c r="P1144">
        <v>0</v>
      </c>
      <c r="Q1144" s="24">
        <v>82.2</v>
      </c>
      <c r="R1144" s="25">
        <v>115</v>
      </c>
      <c r="S1144" s="26">
        <v>72.3</v>
      </c>
    </row>
    <row r="1145" spans="1:19" ht="14.25" x14ac:dyDescent="0.2">
      <c r="A1145" s="12">
        <v>20812</v>
      </c>
      <c r="B1145" s="13">
        <f t="shared" si="296"/>
        <v>22</v>
      </c>
      <c r="C1145" s="15">
        <f t="shared" si="297"/>
        <v>16</v>
      </c>
      <c r="D1145" s="14">
        <f t="shared" si="298"/>
        <v>14</v>
      </c>
      <c r="E1145" t="s">
        <v>2777</v>
      </c>
      <c r="F1145" t="s">
        <v>2835</v>
      </c>
      <c r="G1145" t="s">
        <v>2779</v>
      </c>
      <c r="H1145" t="s">
        <v>2779</v>
      </c>
      <c r="I1145" t="s">
        <v>2780</v>
      </c>
      <c r="J1145" s="4" t="s">
        <v>2843</v>
      </c>
      <c r="K1145" t="s">
        <v>175</v>
      </c>
      <c r="L1145" t="s">
        <v>164</v>
      </c>
      <c r="M1145" t="s">
        <v>163</v>
      </c>
      <c r="N1145" t="s">
        <v>167</v>
      </c>
      <c r="O1145" s="4" t="s">
        <v>1801</v>
      </c>
      <c r="P1145">
        <v>0</v>
      </c>
      <c r="Q1145" s="24">
        <v>82.2</v>
      </c>
      <c r="R1145" s="25">
        <v>115</v>
      </c>
      <c r="S1145" s="26">
        <v>72.3</v>
      </c>
    </row>
    <row r="1146" spans="1:19" ht="14.25" x14ac:dyDescent="0.2">
      <c r="A1146" s="12">
        <v>20813</v>
      </c>
      <c r="B1146" s="13">
        <f t="shared" si="296"/>
        <v>23</v>
      </c>
      <c r="C1146" s="15">
        <f t="shared" si="297"/>
        <v>16</v>
      </c>
      <c r="D1146" s="14">
        <f t="shared" si="298"/>
        <v>14</v>
      </c>
      <c r="E1146" t="s">
        <v>2777</v>
      </c>
      <c r="F1146" t="s">
        <v>2836</v>
      </c>
      <c r="G1146" t="s">
        <v>2779</v>
      </c>
      <c r="H1146" t="s">
        <v>2779</v>
      </c>
      <c r="I1146" t="s">
        <v>2780</v>
      </c>
      <c r="J1146" s="4" t="s">
        <v>2843</v>
      </c>
      <c r="K1146" t="s">
        <v>179</v>
      </c>
      <c r="L1146" t="s">
        <v>163</v>
      </c>
      <c r="M1146" t="s">
        <v>163</v>
      </c>
      <c r="N1146" t="s">
        <v>163</v>
      </c>
      <c r="O1146" s="4" t="s">
        <v>1803</v>
      </c>
      <c r="P1146">
        <v>0</v>
      </c>
      <c r="Q1146" s="24">
        <v>82.2</v>
      </c>
      <c r="R1146" s="25">
        <v>115</v>
      </c>
      <c r="S1146" s="26">
        <v>72.3</v>
      </c>
    </row>
    <row r="1147" spans="1:19" ht="14.25" x14ac:dyDescent="0.2">
      <c r="A1147" s="12">
        <v>20814</v>
      </c>
      <c r="B1147" s="13">
        <f t="shared" si="296"/>
        <v>23</v>
      </c>
      <c r="C1147" s="15">
        <f t="shared" si="297"/>
        <v>16</v>
      </c>
      <c r="D1147" s="14">
        <f t="shared" si="298"/>
        <v>14</v>
      </c>
      <c r="E1147" t="s">
        <v>2777</v>
      </c>
      <c r="F1147" t="s">
        <v>2837</v>
      </c>
      <c r="G1147" t="s">
        <v>2779</v>
      </c>
      <c r="H1147" t="s">
        <v>2779</v>
      </c>
      <c r="I1147" t="s">
        <v>2780</v>
      </c>
      <c r="J1147" s="4" t="s">
        <v>2843</v>
      </c>
      <c r="K1147" t="s">
        <v>177</v>
      </c>
      <c r="L1147" t="s">
        <v>163</v>
      </c>
      <c r="M1147" t="s">
        <v>163</v>
      </c>
      <c r="N1147" t="s">
        <v>163</v>
      </c>
      <c r="O1147" s="4" t="s">
        <v>1803</v>
      </c>
      <c r="P1147">
        <v>0</v>
      </c>
      <c r="Q1147" s="24">
        <v>82.2</v>
      </c>
      <c r="R1147" s="25">
        <v>115</v>
      </c>
      <c r="S1147" s="26">
        <v>72.3</v>
      </c>
    </row>
    <row r="1148" spans="1:19" ht="14.25" x14ac:dyDescent="0.2">
      <c r="A1148" s="12">
        <v>20815</v>
      </c>
      <c r="B1148" s="13">
        <f t="shared" si="296"/>
        <v>23</v>
      </c>
      <c r="C1148" s="15">
        <f t="shared" si="297"/>
        <v>16</v>
      </c>
      <c r="D1148" s="14">
        <f t="shared" si="298"/>
        <v>14</v>
      </c>
      <c r="E1148" t="s">
        <v>2785</v>
      </c>
      <c r="F1148" t="s">
        <v>2786</v>
      </c>
      <c r="G1148" t="s">
        <v>2832</v>
      </c>
      <c r="H1148" t="s">
        <v>2829</v>
      </c>
      <c r="I1148" t="s">
        <v>2697</v>
      </c>
      <c r="J1148" s="4" t="s">
        <v>2863</v>
      </c>
      <c r="K1148" t="s">
        <v>174</v>
      </c>
      <c r="L1148" t="s">
        <v>163</v>
      </c>
      <c r="M1148" t="s">
        <v>163</v>
      </c>
      <c r="N1148" t="s">
        <v>163</v>
      </c>
      <c r="O1148" s="4" t="s">
        <v>1805</v>
      </c>
      <c r="P1148">
        <v>0</v>
      </c>
      <c r="Q1148" s="24">
        <v>82.2</v>
      </c>
      <c r="R1148" s="25">
        <v>115</v>
      </c>
      <c r="S1148" s="26">
        <v>72.3</v>
      </c>
    </row>
    <row r="1149" spans="1:19" ht="14.25" x14ac:dyDescent="0.2">
      <c r="A1149" s="12">
        <v>20816</v>
      </c>
      <c r="B1149" s="13">
        <f t="shared" si="296"/>
        <v>23</v>
      </c>
      <c r="C1149" s="15">
        <f t="shared" si="297"/>
        <v>16</v>
      </c>
      <c r="D1149" s="14">
        <f t="shared" si="298"/>
        <v>14</v>
      </c>
      <c r="E1149" t="s">
        <v>2777</v>
      </c>
      <c r="F1149" t="s">
        <v>2834</v>
      </c>
      <c r="G1149" t="s">
        <v>2779</v>
      </c>
      <c r="H1149" t="s">
        <v>2779</v>
      </c>
      <c r="I1149" t="s">
        <v>2780</v>
      </c>
      <c r="J1149" s="4" t="s">
        <v>2843</v>
      </c>
      <c r="K1149" t="s">
        <v>182</v>
      </c>
      <c r="L1149" t="s">
        <v>163</v>
      </c>
      <c r="M1149" t="s">
        <v>163</v>
      </c>
      <c r="N1149" t="s">
        <v>163</v>
      </c>
      <c r="O1149" s="4" t="s">
        <v>1807</v>
      </c>
      <c r="P1149">
        <v>0</v>
      </c>
      <c r="Q1149" s="24">
        <v>82.5</v>
      </c>
      <c r="R1149" s="25">
        <v>115.5</v>
      </c>
      <c r="S1149" s="26">
        <v>72.5</v>
      </c>
    </row>
    <row r="1150" spans="1:19" ht="14.25" x14ac:dyDescent="0.2">
      <c r="A1150" s="12">
        <v>20817</v>
      </c>
      <c r="B1150" s="13">
        <f t="shared" si="296"/>
        <v>23</v>
      </c>
      <c r="C1150" s="15">
        <f t="shared" si="297"/>
        <v>16</v>
      </c>
      <c r="D1150" s="14">
        <f t="shared" si="298"/>
        <v>14</v>
      </c>
      <c r="E1150" t="s">
        <v>2777</v>
      </c>
      <c r="F1150" t="s">
        <v>2835</v>
      </c>
      <c r="G1150" t="s">
        <v>2779</v>
      </c>
      <c r="H1150" t="s">
        <v>2779</v>
      </c>
      <c r="I1150" t="s">
        <v>2780</v>
      </c>
      <c r="J1150" s="4" t="s">
        <v>2843</v>
      </c>
      <c r="K1150" t="s">
        <v>162</v>
      </c>
      <c r="L1150" t="s">
        <v>163</v>
      </c>
      <c r="M1150" t="s">
        <v>163</v>
      </c>
      <c r="N1150" t="s">
        <v>163</v>
      </c>
      <c r="O1150" s="4" t="s">
        <v>1807</v>
      </c>
      <c r="P1150">
        <v>0</v>
      </c>
      <c r="Q1150" s="24">
        <v>82.5</v>
      </c>
      <c r="R1150" s="25">
        <v>115.5</v>
      </c>
      <c r="S1150" s="26">
        <v>72.5</v>
      </c>
    </row>
    <row r="1151" spans="1:19" ht="14.25" x14ac:dyDescent="0.2">
      <c r="A1151" s="12">
        <v>20818</v>
      </c>
      <c r="B1151" s="13">
        <f t="shared" si="296"/>
        <v>23</v>
      </c>
      <c r="C1151" s="15">
        <f t="shared" si="297"/>
        <v>16</v>
      </c>
      <c r="D1151" s="14">
        <f t="shared" si="298"/>
        <v>14</v>
      </c>
      <c r="E1151" t="s">
        <v>2777</v>
      </c>
      <c r="F1151" t="s">
        <v>2836</v>
      </c>
      <c r="G1151" t="s">
        <v>2779</v>
      </c>
      <c r="H1151" t="s">
        <v>2779</v>
      </c>
      <c r="I1151" t="s">
        <v>2780</v>
      </c>
      <c r="J1151" s="4" t="s">
        <v>2843</v>
      </c>
      <c r="K1151" t="s">
        <v>177</v>
      </c>
      <c r="L1151" t="s">
        <v>163</v>
      </c>
      <c r="M1151" t="s">
        <v>163</v>
      </c>
      <c r="N1151" t="s">
        <v>163</v>
      </c>
      <c r="O1151" s="4" t="s">
        <v>1809</v>
      </c>
      <c r="P1151">
        <v>0</v>
      </c>
      <c r="Q1151" s="24">
        <v>82.5</v>
      </c>
      <c r="R1151" s="25">
        <v>115.5</v>
      </c>
      <c r="S1151" s="26">
        <v>72.5</v>
      </c>
    </row>
    <row r="1152" spans="1:19" ht="14.25" x14ac:dyDescent="0.2">
      <c r="A1152" s="12">
        <v>20819</v>
      </c>
      <c r="B1152" s="13">
        <f t="shared" si="296"/>
        <v>23</v>
      </c>
      <c r="C1152" s="15">
        <f t="shared" si="297"/>
        <v>16</v>
      </c>
      <c r="D1152" s="14">
        <f t="shared" si="298"/>
        <v>14</v>
      </c>
      <c r="E1152" t="s">
        <v>2777</v>
      </c>
      <c r="F1152" t="s">
        <v>2837</v>
      </c>
      <c r="G1152" t="s">
        <v>2779</v>
      </c>
      <c r="H1152" t="s">
        <v>2779</v>
      </c>
      <c r="I1152" t="s">
        <v>2780</v>
      </c>
      <c r="J1152" s="4" t="s">
        <v>2843</v>
      </c>
      <c r="K1152" t="s">
        <v>174</v>
      </c>
      <c r="L1152" t="s">
        <v>163</v>
      </c>
      <c r="M1152" t="s">
        <v>163</v>
      </c>
      <c r="N1152" t="s">
        <v>163</v>
      </c>
      <c r="O1152" s="4" t="s">
        <v>1811</v>
      </c>
      <c r="P1152">
        <v>0</v>
      </c>
      <c r="Q1152" s="24">
        <v>82.5</v>
      </c>
      <c r="R1152" s="25">
        <v>115.5</v>
      </c>
      <c r="S1152" s="26">
        <v>72.5</v>
      </c>
    </row>
    <row r="1153" spans="1:19" ht="14.25" x14ac:dyDescent="0.2">
      <c r="A1153" s="12">
        <v>20820</v>
      </c>
      <c r="B1153" s="13">
        <f t="shared" si="296"/>
        <v>23</v>
      </c>
      <c r="C1153" s="15">
        <f t="shared" si="297"/>
        <v>16</v>
      </c>
      <c r="D1153" s="14">
        <f t="shared" si="298"/>
        <v>14</v>
      </c>
      <c r="E1153" t="s">
        <v>2785</v>
      </c>
      <c r="F1153" t="s">
        <v>2786</v>
      </c>
      <c r="G1153" t="s">
        <v>2833</v>
      </c>
      <c r="H1153" t="s">
        <v>2829</v>
      </c>
      <c r="I1153" t="s">
        <v>2697</v>
      </c>
      <c r="J1153" s="4" t="s">
        <v>2881</v>
      </c>
      <c r="K1153" t="s">
        <v>166</v>
      </c>
      <c r="L1153" t="s">
        <v>163</v>
      </c>
      <c r="M1153" t="s">
        <v>163</v>
      </c>
      <c r="N1153" t="s">
        <v>163</v>
      </c>
      <c r="O1153" s="4" t="s">
        <v>1811</v>
      </c>
      <c r="P1153">
        <v>0</v>
      </c>
      <c r="Q1153" s="24">
        <v>82.5</v>
      </c>
      <c r="R1153" s="25">
        <v>115.5</v>
      </c>
      <c r="S1153" s="26">
        <v>72.5</v>
      </c>
    </row>
    <row r="1154" spans="1:19" ht="14.25" x14ac:dyDescent="0.2">
      <c r="A1154" s="12">
        <v>20821</v>
      </c>
      <c r="B1154" s="13">
        <f t="shared" si="296"/>
        <v>23</v>
      </c>
      <c r="C1154" s="15">
        <f t="shared" si="297"/>
        <v>16</v>
      </c>
      <c r="D1154" s="14">
        <f t="shared" si="298"/>
        <v>14</v>
      </c>
      <c r="E1154" t="s">
        <v>2777</v>
      </c>
      <c r="F1154" t="s">
        <v>2834</v>
      </c>
      <c r="G1154" t="s">
        <v>2779</v>
      </c>
      <c r="H1154" t="s">
        <v>2779</v>
      </c>
      <c r="I1154" t="s">
        <v>2780</v>
      </c>
      <c r="J1154" s="4" t="s">
        <v>2843</v>
      </c>
      <c r="K1154" t="s">
        <v>168</v>
      </c>
      <c r="L1154" t="s">
        <v>163</v>
      </c>
      <c r="M1154" t="s">
        <v>163</v>
      </c>
      <c r="N1154" t="s">
        <v>163</v>
      </c>
      <c r="O1154" s="4" t="s">
        <v>1813</v>
      </c>
      <c r="P1154">
        <v>0</v>
      </c>
      <c r="Q1154" s="24">
        <v>82.8</v>
      </c>
      <c r="R1154" s="25">
        <v>116</v>
      </c>
      <c r="S1154" s="26">
        <v>72.8</v>
      </c>
    </row>
    <row r="1155" spans="1:19" ht="14.25" x14ac:dyDescent="0.2">
      <c r="A1155" s="12">
        <v>20822</v>
      </c>
      <c r="B1155" s="13">
        <f t="shared" si="296"/>
        <v>23</v>
      </c>
      <c r="C1155" s="15">
        <f t="shared" si="297"/>
        <v>16</v>
      </c>
      <c r="D1155" s="14">
        <f t="shared" si="298"/>
        <v>14</v>
      </c>
      <c r="E1155" t="s">
        <v>2777</v>
      </c>
      <c r="F1155" t="s">
        <v>2835</v>
      </c>
      <c r="G1155" t="s">
        <v>2779</v>
      </c>
      <c r="H1155" t="s">
        <v>2779</v>
      </c>
      <c r="I1155" t="s">
        <v>2780</v>
      </c>
      <c r="J1155" s="4" t="s">
        <v>2843</v>
      </c>
      <c r="K1155" t="s">
        <v>175</v>
      </c>
      <c r="L1155" t="s">
        <v>164</v>
      </c>
      <c r="M1155" t="s">
        <v>163</v>
      </c>
      <c r="N1155" t="s">
        <v>167</v>
      </c>
      <c r="O1155" s="4" t="s">
        <v>1815</v>
      </c>
      <c r="P1155">
        <v>0</v>
      </c>
      <c r="Q1155" s="24">
        <v>82.8</v>
      </c>
      <c r="R1155" s="25">
        <v>116</v>
      </c>
      <c r="S1155" s="26">
        <v>72.8</v>
      </c>
    </row>
    <row r="1156" spans="1:19" ht="14.25" x14ac:dyDescent="0.2">
      <c r="A1156" s="12">
        <v>20823</v>
      </c>
      <c r="B1156" s="13">
        <f t="shared" si="296"/>
        <v>23</v>
      </c>
      <c r="C1156" s="15">
        <f t="shared" si="297"/>
        <v>16</v>
      </c>
      <c r="D1156" s="14">
        <f t="shared" si="298"/>
        <v>14</v>
      </c>
      <c r="E1156" t="s">
        <v>2777</v>
      </c>
      <c r="F1156" t="s">
        <v>2836</v>
      </c>
      <c r="G1156" t="s">
        <v>2779</v>
      </c>
      <c r="H1156" t="s">
        <v>2779</v>
      </c>
      <c r="I1156" t="s">
        <v>2780</v>
      </c>
      <c r="J1156" s="4" t="s">
        <v>2843</v>
      </c>
      <c r="K1156" t="s">
        <v>179</v>
      </c>
      <c r="L1156" t="s">
        <v>163</v>
      </c>
      <c r="M1156" t="s">
        <v>163</v>
      </c>
      <c r="N1156" t="s">
        <v>163</v>
      </c>
      <c r="O1156" s="4" t="s">
        <v>1817</v>
      </c>
      <c r="P1156">
        <v>0</v>
      </c>
      <c r="Q1156" s="24">
        <v>82.8</v>
      </c>
      <c r="R1156" s="25">
        <v>116</v>
      </c>
      <c r="S1156" s="26">
        <v>72.8</v>
      </c>
    </row>
    <row r="1157" spans="1:19" ht="14.25" x14ac:dyDescent="0.2">
      <c r="A1157" s="12">
        <v>20824</v>
      </c>
      <c r="B1157" s="13">
        <f t="shared" ref="B1157:B1220" si="299">FLOOR(R1155/5,1)</f>
        <v>23</v>
      </c>
      <c r="C1157" s="15">
        <f t="shared" ref="C1157:C1220" si="300">FLOOR(Q1155/5,1)</f>
        <v>16</v>
      </c>
      <c r="D1157" s="14">
        <f t="shared" ref="D1157:D1220" si="301">FLOOR(S1155/5,1)</f>
        <v>14</v>
      </c>
      <c r="E1157" t="s">
        <v>2777</v>
      </c>
      <c r="F1157" t="s">
        <v>2837</v>
      </c>
      <c r="G1157" t="s">
        <v>2779</v>
      </c>
      <c r="H1157" t="s">
        <v>2779</v>
      </c>
      <c r="I1157" t="s">
        <v>2780</v>
      </c>
      <c r="J1157" s="4" t="s">
        <v>2843</v>
      </c>
      <c r="K1157" t="s">
        <v>177</v>
      </c>
      <c r="L1157" t="s">
        <v>163</v>
      </c>
      <c r="M1157" t="s">
        <v>163</v>
      </c>
      <c r="N1157" t="s">
        <v>163</v>
      </c>
      <c r="O1157" s="4" t="s">
        <v>1817</v>
      </c>
      <c r="P1157">
        <v>0</v>
      </c>
      <c r="Q1157" s="24">
        <v>82.8</v>
      </c>
      <c r="R1157" s="25">
        <v>116</v>
      </c>
      <c r="S1157" s="26">
        <v>72.8</v>
      </c>
    </row>
    <row r="1158" spans="1:19" ht="14.25" x14ac:dyDescent="0.2">
      <c r="A1158" s="12">
        <v>20825</v>
      </c>
      <c r="B1158" s="13">
        <f t="shared" si="299"/>
        <v>23</v>
      </c>
      <c r="C1158" s="15">
        <f t="shared" si="300"/>
        <v>16</v>
      </c>
      <c r="D1158" s="14">
        <f t="shared" si="301"/>
        <v>14</v>
      </c>
      <c r="E1158" t="s">
        <v>2785</v>
      </c>
      <c r="F1158" t="s">
        <v>2786</v>
      </c>
      <c r="G1158" t="s">
        <v>2828</v>
      </c>
      <c r="H1158" t="s">
        <v>2829</v>
      </c>
      <c r="I1158" t="s">
        <v>2697</v>
      </c>
      <c r="J1158" s="4" t="s">
        <v>2881</v>
      </c>
      <c r="K1158" t="s">
        <v>174</v>
      </c>
      <c r="L1158" t="s">
        <v>163</v>
      </c>
      <c r="M1158" t="s">
        <v>163</v>
      </c>
      <c r="N1158" t="s">
        <v>163</v>
      </c>
      <c r="O1158" s="4" t="s">
        <v>1819</v>
      </c>
      <c r="P1158">
        <v>0</v>
      </c>
      <c r="Q1158" s="24">
        <v>82.8</v>
      </c>
      <c r="R1158" s="25">
        <v>116</v>
      </c>
      <c r="S1158" s="26">
        <v>72.8</v>
      </c>
    </row>
    <row r="1159" spans="1:19" ht="14.25" x14ac:dyDescent="0.2">
      <c r="A1159" s="12">
        <v>20826</v>
      </c>
      <c r="B1159" s="13">
        <f t="shared" si="299"/>
        <v>23</v>
      </c>
      <c r="C1159" s="15">
        <f t="shared" si="300"/>
        <v>16</v>
      </c>
      <c r="D1159" s="14">
        <f t="shared" si="301"/>
        <v>14</v>
      </c>
      <c r="E1159" t="s">
        <v>2777</v>
      </c>
      <c r="F1159" t="s">
        <v>2834</v>
      </c>
      <c r="G1159" t="s">
        <v>2779</v>
      </c>
      <c r="H1159" t="s">
        <v>2779</v>
      </c>
      <c r="I1159" t="s">
        <v>2780</v>
      </c>
      <c r="J1159" s="4" t="s">
        <v>2843</v>
      </c>
      <c r="K1159" t="s">
        <v>182</v>
      </c>
      <c r="L1159" t="s">
        <v>163</v>
      </c>
      <c r="M1159" t="s">
        <v>163</v>
      </c>
      <c r="N1159" t="s">
        <v>163</v>
      </c>
      <c r="O1159" s="4" t="s">
        <v>1821</v>
      </c>
      <c r="P1159">
        <v>0</v>
      </c>
      <c r="Q1159" s="24">
        <v>83.2</v>
      </c>
      <c r="R1159" s="25">
        <v>116.5</v>
      </c>
      <c r="S1159" s="26">
        <v>73</v>
      </c>
    </row>
    <row r="1160" spans="1:19" ht="14.25" x14ac:dyDescent="0.2">
      <c r="A1160" s="12">
        <v>20827</v>
      </c>
      <c r="B1160" s="13">
        <f t="shared" si="299"/>
        <v>23</v>
      </c>
      <c r="C1160" s="15">
        <f t="shared" si="300"/>
        <v>16</v>
      </c>
      <c r="D1160" s="14">
        <f t="shared" si="301"/>
        <v>14</v>
      </c>
      <c r="E1160" t="s">
        <v>2777</v>
      </c>
      <c r="F1160" t="s">
        <v>2835</v>
      </c>
      <c r="G1160" t="s">
        <v>2779</v>
      </c>
      <c r="H1160" t="s">
        <v>2779</v>
      </c>
      <c r="I1160" t="s">
        <v>2780</v>
      </c>
      <c r="J1160" s="4" t="s">
        <v>2843</v>
      </c>
      <c r="K1160" t="s">
        <v>162</v>
      </c>
      <c r="L1160" t="s">
        <v>163</v>
      </c>
      <c r="M1160" t="s">
        <v>163</v>
      </c>
      <c r="N1160" t="s">
        <v>163</v>
      </c>
      <c r="O1160" s="4" t="s">
        <v>1821</v>
      </c>
      <c r="P1160">
        <v>0</v>
      </c>
      <c r="Q1160" s="24">
        <v>83.2</v>
      </c>
      <c r="R1160" s="25">
        <v>116.5</v>
      </c>
      <c r="S1160" s="26">
        <v>73</v>
      </c>
    </row>
    <row r="1161" spans="1:19" ht="14.25" x14ac:dyDescent="0.2">
      <c r="A1161" s="12">
        <v>20828</v>
      </c>
      <c r="B1161" s="13">
        <f t="shared" si="299"/>
        <v>23</v>
      </c>
      <c r="C1161" s="15">
        <f t="shared" si="300"/>
        <v>16</v>
      </c>
      <c r="D1161" s="14">
        <f t="shared" si="301"/>
        <v>14</v>
      </c>
      <c r="E1161" t="s">
        <v>2777</v>
      </c>
      <c r="F1161" t="s">
        <v>2836</v>
      </c>
      <c r="G1161" t="s">
        <v>2779</v>
      </c>
      <c r="H1161" t="s">
        <v>2779</v>
      </c>
      <c r="I1161" t="s">
        <v>2780</v>
      </c>
      <c r="J1161" s="4" t="s">
        <v>2843</v>
      </c>
      <c r="K1161" t="s">
        <v>177</v>
      </c>
      <c r="L1161" t="s">
        <v>163</v>
      </c>
      <c r="M1161" t="s">
        <v>163</v>
      </c>
      <c r="N1161" t="s">
        <v>163</v>
      </c>
      <c r="O1161" s="4" t="s">
        <v>1823</v>
      </c>
      <c r="P1161">
        <v>0</v>
      </c>
      <c r="Q1161" s="24">
        <v>83.2</v>
      </c>
      <c r="R1161" s="25">
        <v>116.5</v>
      </c>
      <c r="S1161" s="26">
        <v>73</v>
      </c>
    </row>
    <row r="1162" spans="1:19" ht="14.25" x14ac:dyDescent="0.2">
      <c r="A1162" s="12">
        <v>20829</v>
      </c>
      <c r="B1162" s="13">
        <f t="shared" si="299"/>
        <v>23</v>
      </c>
      <c r="C1162" s="15">
        <f t="shared" si="300"/>
        <v>16</v>
      </c>
      <c r="D1162" s="14">
        <f t="shared" si="301"/>
        <v>14</v>
      </c>
      <c r="E1162" t="s">
        <v>2777</v>
      </c>
      <c r="F1162" t="s">
        <v>2837</v>
      </c>
      <c r="G1162" t="s">
        <v>2779</v>
      </c>
      <c r="H1162" t="s">
        <v>2779</v>
      </c>
      <c r="I1162" t="s">
        <v>2780</v>
      </c>
      <c r="J1162" s="4" t="s">
        <v>2843</v>
      </c>
      <c r="K1162" t="s">
        <v>174</v>
      </c>
      <c r="L1162" t="s">
        <v>163</v>
      </c>
      <c r="M1162" t="s">
        <v>163</v>
      </c>
      <c r="N1162" t="s">
        <v>163</v>
      </c>
      <c r="O1162" s="4" t="s">
        <v>1825</v>
      </c>
      <c r="P1162">
        <v>0</v>
      </c>
      <c r="Q1162" s="24">
        <v>83.2</v>
      </c>
      <c r="R1162" s="25">
        <v>116.5</v>
      </c>
      <c r="S1162" s="26">
        <v>73</v>
      </c>
    </row>
    <row r="1163" spans="1:19" ht="14.25" x14ac:dyDescent="0.2">
      <c r="A1163" s="12">
        <v>20830</v>
      </c>
      <c r="B1163" s="13">
        <f t="shared" si="299"/>
        <v>23</v>
      </c>
      <c r="C1163" s="15">
        <f t="shared" si="300"/>
        <v>16</v>
      </c>
      <c r="D1163" s="14">
        <f t="shared" si="301"/>
        <v>14</v>
      </c>
      <c r="E1163" t="s">
        <v>2785</v>
      </c>
      <c r="F1163" t="s">
        <v>2786</v>
      </c>
      <c r="G1163" t="s">
        <v>2830</v>
      </c>
      <c r="H1163" t="s">
        <v>2829</v>
      </c>
      <c r="I1163" t="s">
        <v>2697</v>
      </c>
      <c r="J1163" s="4" t="s">
        <v>2863</v>
      </c>
      <c r="K1163" t="s">
        <v>166</v>
      </c>
      <c r="L1163" t="s">
        <v>163</v>
      </c>
      <c r="M1163" t="s">
        <v>163</v>
      </c>
      <c r="N1163" t="s">
        <v>163</v>
      </c>
      <c r="O1163" s="4" t="s">
        <v>1825</v>
      </c>
      <c r="P1163">
        <v>0</v>
      </c>
      <c r="Q1163" s="24">
        <v>83.2</v>
      </c>
      <c r="R1163" s="25">
        <v>116.5</v>
      </c>
      <c r="S1163" s="26">
        <v>73</v>
      </c>
    </row>
    <row r="1164" spans="1:19" ht="14.25" x14ac:dyDescent="0.2">
      <c r="A1164" s="12">
        <v>20831</v>
      </c>
      <c r="B1164" s="13">
        <f t="shared" si="299"/>
        <v>23</v>
      </c>
      <c r="C1164" s="15">
        <f t="shared" si="300"/>
        <v>16</v>
      </c>
      <c r="D1164" s="14">
        <f t="shared" si="301"/>
        <v>14</v>
      </c>
      <c r="E1164" t="s">
        <v>2777</v>
      </c>
      <c r="F1164" t="s">
        <v>2834</v>
      </c>
      <c r="G1164" t="s">
        <v>2779</v>
      </c>
      <c r="H1164" t="s">
        <v>2779</v>
      </c>
      <c r="I1164" t="s">
        <v>2780</v>
      </c>
      <c r="J1164" s="4" t="s">
        <v>2843</v>
      </c>
      <c r="K1164" t="s">
        <v>168</v>
      </c>
      <c r="L1164" t="s">
        <v>163</v>
      </c>
      <c r="M1164" t="s">
        <v>163</v>
      </c>
      <c r="N1164" t="s">
        <v>163</v>
      </c>
      <c r="O1164" s="4" t="s">
        <v>1827</v>
      </c>
      <c r="P1164">
        <v>0</v>
      </c>
      <c r="Q1164" s="24">
        <v>83.5</v>
      </c>
      <c r="R1164" s="25">
        <v>117</v>
      </c>
      <c r="S1164" s="26">
        <v>73.3</v>
      </c>
    </row>
    <row r="1165" spans="1:19" ht="14.25" x14ac:dyDescent="0.2">
      <c r="A1165" s="12">
        <v>20832</v>
      </c>
      <c r="B1165" s="13">
        <f t="shared" si="299"/>
        <v>23</v>
      </c>
      <c r="C1165" s="15">
        <f t="shared" si="300"/>
        <v>16</v>
      </c>
      <c r="D1165" s="14">
        <f t="shared" si="301"/>
        <v>14</v>
      </c>
      <c r="E1165" t="s">
        <v>2777</v>
      </c>
      <c r="F1165" t="s">
        <v>2835</v>
      </c>
      <c r="G1165" t="s">
        <v>2779</v>
      </c>
      <c r="H1165" t="s">
        <v>2779</v>
      </c>
      <c r="I1165" t="s">
        <v>2780</v>
      </c>
      <c r="J1165" s="4" t="s">
        <v>2843</v>
      </c>
      <c r="K1165" t="s">
        <v>175</v>
      </c>
      <c r="L1165" t="s">
        <v>164</v>
      </c>
      <c r="M1165" t="s">
        <v>163</v>
      </c>
      <c r="N1165" t="s">
        <v>167</v>
      </c>
      <c r="O1165" s="4" t="s">
        <v>1829</v>
      </c>
      <c r="P1165">
        <v>0</v>
      </c>
      <c r="Q1165" s="24">
        <v>83.5</v>
      </c>
      <c r="R1165" s="25">
        <v>117</v>
      </c>
      <c r="S1165" s="26">
        <v>73.3</v>
      </c>
    </row>
    <row r="1166" spans="1:19" ht="14.25" x14ac:dyDescent="0.2">
      <c r="A1166" s="12">
        <v>20833</v>
      </c>
      <c r="B1166" s="13">
        <f t="shared" si="299"/>
        <v>23</v>
      </c>
      <c r="C1166" s="15">
        <f t="shared" si="300"/>
        <v>16</v>
      </c>
      <c r="D1166" s="14">
        <f t="shared" si="301"/>
        <v>14</v>
      </c>
      <c r="E1166" t="s">
        <v>2777</v>
      </c>
      <c r="F1166" t="s">
        <v>2836</v>
      </c>
      <c r="G1166" t="s">
        <v>2779</v>
      </c>
      <c r="H1166" t="s">
        <v>2779</v>
      </c>
      <c r="I1166" t="s">
        <v>2780</v>
      </c>
      <c r="J1166" s="4" t="s">
        <v>2843</v>
      </c>
      <c r="K1166" t="s">
        <v>179</v>
      </c>
      <c r="L1166" t="s">
        <v>163</v>
      </c>
      <c r="M1166" t="s">
        <v>163</v>
      </c>
      <c r="N1166" t="s">
        <v>163</v>
      </c>
      <c r="O1166" s="4" t="s">
        <v>1831</v>
      </c>
      <c r="P1166">
        <v>0</v>
      </c>
      <c r="Q1166" s="24">
        <v>83.5</v>
      </c>
      <c r="R1166" s="25">
        <v>117</v>
      </c>
      <c r="S1166" s="26">
        <v>73.3</v>
      </c>
    </row>
    <row r="1167" spans="1:19" ht="14.25" x14ac:dyDescent="0.2">
      <c r="A1167" s="12">
        <v>20834</v>
      </c>
      <c r="B1167" s="13">
        <f t="shared" si="299"/>
        <v>23</v>
      </c>
      <c r="C1167" s="15">
        <f t="shared" si="300"/>
        <v>16</v>
      </c>
      <c r="D1167" s="14">
        <f t="shared" si="301"/>
        <v>14</v>
      </c>
      <c r="E1167" t="s">
        <v>2777</v>
      </c>
      <c r="F1167" t="s">
        <v>2837</v>
      </c>
      <c r="G1167" t="s">
        <v>2779</v>
      </c>
      <c r="H1167" t="s">
        <v>2779</v>
      </c>
      <c r="I1167" t="s">
        <v>2780</v>
      </c>
      <c r="J1167" s="4" t="s">
        <v>2843</v>
      </c>
      <c r="K1167" t="s">
        <v>177</v>
      </c>
      <c r="L1167" t="s">
        <v>163</v>
      </c>
      <c r="M1167" t="s">
        <v>163</v>
      </c>
      <c r="N1167" t="s">
        <v>163</v>
      </c>
      <c r="O1167" s="4" t="s">
        <v>1831</v>
      </c>
      <c r="P1167">
        <v>0</v>
      </c>
      <c r="Q1167" s="24">
        <v>83.5</v>
      </c>
      <c r="R1167" s="25">
        <v>117</v>
      </c>
      <c r="S1167" s="26">
        <v>73.3</v>
      </c>
    </row>
    <row r="1168" spans="1:19" ht="14.25" x14ac:dyDescent="0.2">
      <c r="A1168" s="12">
        <v>20835</v>
      </c>
      <c r="B1168" s="13">
        <f t="shared" si="299"/>
        <v>23</v>
      </c>
      <c r="C1168" s="15">
        <f t="shared" si="300"/>
        <v>16</v>
      </c>
      <c r="D1168" s="14">
        <f t="shared" si="301"/>
        <v>14</v>
      </c>
      <c r="E1168" t="s">
        <v>2785</v>
      </c>
      <c r="F1168" t="s">
        <v>2786</v>
      </c>
      <c r="G1168" t="s">
        <v>2831</v>
      </c>
      <c r="H1168" t="s">
        <v>2829</v>
      </c>
      <c r="I1168" t="s">
        <v>2697</v>
      </c>
      <c r="J1168" s="4" t="s">
        <v>2863</v>
      </c>
      <c r="K1168" t="s">
        <v>174</v>
      </c>
      <c r="L1168" t="s">
        <v>163</v>
      </c>
      <c r="M1168" t="s">
        <v>163</v>
      </c>
      <c r="N1168" t="s">
        <v>163</v>
      </c>
      <c r="O1168" s="4" t="s">
        <v>1833</v>
      </c>
      <c r="P1168">
        <v>0</v>
      </c>
      <c r="Q1168" s="24">
        <v>83.5</v>
      </c>
      <c r="R1168" s="25">
        <v>117</v>
      </c>
      <c r="S1168" s="26">
        <v>73.3</v>
      </c>
    </row>
    <row r="1169" spans="1:19" ht="14.25" x14ac:dyDescent="0.2">
      <c r="A1169" s="12">
        <v>20836</v>
      </c>
      <c r="B1169" s="13">
        <f t="shared" si="299"/>
        <v>23</v>
      </c>
      <c r="C1169" s="15">
        <f t="shared" si="300"/>
        <v>16</v>
      </c>
      <c r="D1169" s="14">
        <f t="shared" si="301"/>
        <v>14</v>
      </c>
      <c r="E1169" t="s">
        <v>2777</v>
      </c>
      <c r="F1169" t="s">
        <v>2834</v>
      </c>
      <c r="G1169" t="s">
        <v>2779</v>
      </c>
      <c r="H1169" t="s">
        <v>2779</v>
      </c>
      <c r="I1169" t="s">
        <v>2780</v>
      </c>
      <c r="J1169" s="4" t="s">
        <v>2843</v>
      </c>
      <c r="K1169" t="s">
        <v>182</v>
      </c>
      <c r="L1169" t="s">
        <v>163</v>
      </c>
      <c r="M1169" t="s">
        <v>163</v>
      </c>
      <c r="N1169" t="s">
        <v>163</v>
      </c>
      <c r="O1169" s="4" t="s">
        <v>1835</v>
      </c>
      <c r="P1169">
        <v>0</v>
      </c>
      <c r="Q1169" s="24">
        <v>83.8</v>
      </c>
      <c r="R1169" s="25">
        <v>117.5</v>
      </c>
      <c r="S1169" s="26">
        <v>73.5</v>
      </c>
    </row>
    <row r="1170" spans="1:19" ht="14.25" x14ac:dyDescent="0.2">
      <c r="A1170" s="12">
        <v>20837</v>
      </c>
      <c r="B1170" s="13">
        <f t="shared" si="299"/>
        <v>23</v>
      </c>
      <c r="C1170" s="15">
        <f t="shared" si="300"/>
        <v>16</v>
      </c>
      <c r="D1170" s="14">
        <f t="shared" si="301"/>
        <v>14</v>
      </c>
      <c r="E1170" t="s">
        <v>2777</v>
      </c>
      <c r="F1170" t="s">
        <v>2835</v>
      </c>
      <c r="G1170" t="s">
        <v>2779</v>
      </c>
      <c r="H1170" t="s">
        <v>2779</v>
      </c>
      <c r="I1170" t="s">
        <v>2780</v>
      </c>
      <c r="J1170" s="4" t="s">
        <v>2843</v>
      </c>
      <c r="K1170" t="s">
        <v>162</v>
      </c>
      <c r="L1170" t="s">
        <v>163</v>
      </c>
      <c r="M1170" t="s">
        <v>163</v>
      </c>
      <c r="N1170" t="s">
        <v>163</v>
      </c>
      <c r="O1170" s="4" t="s">
        <v>1835</v>
      </c>
      <c r="P1170">
        <v>0</v>
      </c>
      <c r="Q1170" s="24">
        <v>83.8</v>
      </c>
      <c r="R1170" s="25">
        <v>117.5</v>
      </c>
      <c r="S1170" s="26">
        <v>73.5</v>
      </c>
    </row>
    <row r="1171" spans="1:19" ht="14.25" x14ac:dyDescent="0.2">
      <c r="A1171" s="12">
        <v>20838</v>
      </c>
      <c r="B1171" s="13">
        <f t="shared" si="299"/>
        <v>23</v>
      </c>
      <c r="C1171" s="15">
        <f t="shared" si="300"/>
        <v>16</v>
      </c>
      <c r="D1171" s="14">
        <f t="shared" si="301"/>
        <v>14</v>
      </c>
      <c r="E1171" t="s">
        <v>2777</v>
      </c>
      <c r="F1171" t="s">
        <v>2836</v>
      </c>
      <c r="G1171" t="s">
        <v>2779</v>
      </c>
      <c r="H1171" t="s">
        <v>2779</v>
      </c>
      <c r="I1171" t="s">
        <v>2780</v>
      </c>
      <c r="J1171" s="4" t="s">
        <v>2843</v>
      </c>
      <c r="K1171" t="s">
        <v>177</v>
      </c>
      <c r="L1171" t="s">
        <v>163</v>
      </c>
      <c r="M1171" t="s">
        <v>163</v>
      </c>
      <c r="N1171" t="s">
        <v>163</v>
      </c>
      <c r="O1171" s="4" t="s">
        <v>1837</v>
      </c>
      <c r="P1171">
        <v>0</v>
      </c>
      <c r="Q1171" s="24">
        <v>83.8</v>
      </c>
      <c r="R1171" s="25">
        <v>117.5</v>
      </c>
      <c r="S1171" s="26">
        <v>73.5</v>
      </c>
    </row>
    <row r="1172" spans="1:19" ht="14.25" x14ac:dyDescent="0.2">
      <c r="A1172" s="12">
        <v>20839</v>
      </c>
      <c r="B1172" s="13">
        <f t="shared" si="299"/>
        <v>23</v>
      </c>
      <c r="C1172" s="15">
        <f t="shared" si="300"/>
        <v>16</v>
      </c>
      <c r="D1172" s="14">
        <f t="shared" si="301"/>
        <v>14</v>
      </c>
      <c r="E1172" t="s">
        <v>2777</v>
      </c>
      <c r="F1172" t="s">
        <v>2837</v>
      </c>
      <c r="G1172" t="s">
        <v>2779</v>
      </c>
      <c r="H1172" t="s">
        <v>2779</v>
      </c>
      <c r="I1172" t="s">
        <v>2780</v>
      </c>
      <c r="J1172" s="4" t="s">
        <v>2843</v>
      </c>
      <c r="K1172" t="s">
        <v>174</v>
      </c>
      <c r="L1172" t="s">
        <v>163</v>
      </c>
      <c r="M1172" t="s">
        <v>163</v>
      </c>
      <c r="N1172" t="s">
        <v>163</v>
      </c>
      <c r="O1172" s="4" t="s">
        <v>1839</v>
      </c>
      <c r="P1172">
        <v>0</v>
      </c>
      <c r="Q1172" s="24">
        <v>83.8</v>
      </c>
      <c r="R1172" s="25">
        <v>117.5</v>
      </c>
      <c r="S1172" s="26">
        <v>73.5</v>
      </c>
    </row>
    <row r="1173" spans="1:19" ht="14.25" x14ac:dyDescent="0.2">
      <c r="A1173" s="12">
        <v>20840</v>
      </c>
      <c r="B1173" s="13">
        <f t="shared" si="299"/>
        <v>23</v>
      </c>
      <c r="C1173" s="15">
        <f t="shared" si="300"/>
        <v>16</v>
      </c>
      <c r="D1173" s="14">
        <f t="shared" si="301"/>
        <v>14</v>
      </c>
      <c r="E1173" t="s">
        <v>2785</v>
      </c>
      <c r="F1173" t="s">
        <v>2786</v>
      </c>
      <c r="G1173" t="s">
        <v>2832</v>
      </c>
      <c r="H1173" t="s">
        <v>2829</v>
      </c>
      <c r="I1173" t="s">
        <v>2697</v>
      </c>
      <c r="J1173" s="4" t="s">
        <v>2863</v>
      </c>
      <c r="K1173" t="s">
        <v>166</v>
      </c>
      <c r="L1173" t="s">
        <v>163</v>
      </c>
      <c r="M1173" t="s">
        <v>163</v>
      </c>
      <c r="N1173" t="s">
        <v>163</v>
      </c>
      <c r="O1173" s="4" t="s">
        <v>1839</v>
      </c>
      <c r="P1173">
        <v>0</v>
      </c>
      <c r="Q1173" s="24">
        <v>83.8</v>
      </c>
      <c r="R1173" s="25">
        <v>117.5</v>
      </c>
      <c r="S1173" s="26">
        <v>73.5</v>
      </c>
    </row>
    <row r="1174" spans="1:19" ht="14.25" x14ac:dyDescent="0.2">
      <c r="A1174" s="12">
        <v>20841</v>
      </c>
      <c r="B1174" s="13">
        <f t="shared" si="299"/>
        <v>23</v>
      </c>
      <c r="C1174" s="15">
        <f t="shared" si="300"/>
        <v>16</v>
      </c>
      <c r="D1174" s="14">
        <f t="shared" si="301"/>
        <v>14</v>
      </c>
      <c r="E1174" t="s">
        <v>2777</v>
      </c>
      <c r="F1174" t="s">
        <v>2834</v>
      </c>
      <c r="G1174" t="s">
        <v>2779</v>
      </c>
      <c r="H1174" t="s">
        <v>2779</v>
      </c>
      <c r="I1174" t="s">
        <v>2780</v>
      </c>
      <c r="J1174" s="4" t="s">
        <v>2843</v>
      </c>
      <c r="K1174" t="s">
        <v>168</v>
      </c>
      <c r="L1174" t="s">
        <v>163</v>
      </c>
      <c r="M1174" t="s">
        <v>163</v>
      </c>
      <c r="N1174" t="s">
        <v>163</v>
      </c>
      <c r="O1174" s="4" t="s">
        <v>1841</v>
      </c>
      <c r="P1174">
        <v>0</v>
      </c>
      <c r="Q1174" s="24">
        <v>84.2</v>
      </c>
      <c r="R1174" s="25">
        <v>118</v>
      </c>
      <c r="S1174" s="26">
        <v>73.8</v>
      </c>
    </row>
    <row r="1175" spans="1:19" ht="14.25" x14ac:dyDescent="0.2">
      <c r="A1175" s="12">
        <v>20842</v>
      </c>
      <c r="B1175" s="13">
        <f t="shared" si="299"/>
        <v>23</v>
      </c>
      <c r="C1175" s="15">
        <f t="shared" si="300"/>
        <v>16</v>
      </c>
      <c r="D1175" s="14">
        <f t="shared" si="301"/>
        <v>14</v>
      </c>
      <c r="E1175" t="s">
        <v>2777</v>
      </c>
      <c r="F1175" t="s">
        <v>2835</v>
      </c>
      <c r="G1175" t="s">
        <v>2779</v>
      </c>
      <c r="H1175" t="s">
        <v>2779</v>
      </c>
      <c r="I1175" t="s">
        <v>2780</v>
      </c>
      <c r="J1175" s="4" t="s">
        <v>2843</v>
      </c>
      <c r="K1175" t="s">
        <v>175</v>
      </c>
      <c r="L1175" t="s">
        <v>164</v>
      </c>
      <c r="M1175" t="s">
        <v>163</v>
      </c>
      <c r="N1175" t="s">
        <v>167</v>
      </c>
      <c r="O1175" s="4" t="s">
        <v>1843</v>
      </c>
      <c r="P1175">
        <v>0</v>
      </c>
      <c r="Q1175" s="24">
        <v>84.2</v>
      </c>
      <c r="R1175" s="25">
        <v>118</v>
      </c>
      <c r="S1175" s="26">
        <v>73.8</v>
      </c>
    </row>
    <row r="1176" spans="1:19" ht="14.25" x14ac:dyDescent="0.2">
      <c r="A1176" s="12">
        <v>20843</v>
      </c>
      <c r="B1176" s="13">
        <f t="shared" si="299"/>
        <v>23</v>
      </c>
      <c r="C1176" s="15">
        <f t="shared" si="300"/>
        <v>16</v>
      </c>
      <c r="D1176" s="14">
        <f t="shared" si="301"/>
        <v>14</v>
      </c>
      <c r="E1176" t="s">
        <v>2777</v>
      </c>
      <c r="F1176" t="s">
        <v>2836</v>
      </c>
      <c r="G1176" t="s">
        <v>2779</v>
      </c>
      <c r="H1176" t="s">
        <v>2779</v>
      </c>
      <c r="I1176" t="s">
        <v>2780</v>
      </c>
      <c r="J1176" s="4" t="s">
        <v>2843</v>
      </c>
      <c r="K1176" t="s">
        <v>179</v>
      </c>
      <c r="L1176" t="s">
        <v>163</v>
      </c>
      <c r="M1176" t="s">
        <v>163</v>
      </c>
      <c r="N1176" t="s">
        <v>163</v>
      </c>
      <c r="O1176" s="4" t="s">
        <v>1845</v>
      </c>
      <c r="P1176">
        <v>0</v>
      </c>
      <c r="Q1176" s="24">
        <v>84.2</v>
      </c>
      <c r="R1176" s="25">
        <v>118</v>
      </c>
      <c r="S1176" s="26">
        <v>73.8</v>
      </c>
    </row>
    <row r="1177" spans="1:19" ht="14.25" x14ac:dyDescent="0.2">
      <c r="A1177" s="12">
        <v>20844</v>
      </c>
      <c r="B1177" s="13">
        <f t="shared" si="299"/>
        <v>23</v>
      </c>
      <c r="C1177" s="15">
        <f t="shared" si="300"/>
        <v>16</v>
      </c>
      <c r="D1177" s="14">
        <f t="shared" si="301"/>
        <v>14</v>
      </c>
      <c r="E1177" t="s">
        <v>2777</v>
      </c>
      <c r="F1177" t="s">
        <v>2837</v>
      </c>
      <c r="G1177" t="s">
        <v>2779</v>
      </c>
      <c r="H1177" t="s">
        <v>2779</v>
      </c>
      <c r="I1177" t="s">
        <v>2780</v>
      </c>
      <c r="J1177" s="4" t="s">
        <v>2843</v>
      </c>
      <c r="K1177" t="s">
        <v>177</v>
      </c>
      <c r="L1177" t="s">
        <v>163</v>
      </c>
      <c r="M1177" t="s">
        <v>163</v>
      </c>
      <c r="N1177" t="s">
        <v>163</v>
      </c>
      <c r="O1177" s="4" t="s">
        <v>1845</v>
      </c>
      <c r="P1177">
        <v>0</v>
      </c>
      <c r="Q1177" s="24">
        <v>84.2</v>
      </c>
      <c r="R1177" s="25">
        <v>118</v>
      </c>
      <c r="S1177" s="26">
        <v>73.8</v>
      </c>
    </row>
    <row r="1178" spans="1:19" ht="14.25" x14ac:dyDescent="0.2">
      <c r="A1178" s="12">
        <v>20845</v>
      </c>
      <c r="B1178" s="13">
        <f t="shared" si="299"/>
        <v>23</v>
      </c>
      <c r="C1178" s="15">
        <f t="shared" si="300"/>
        <v>16</v>
      </c>
      <c r="D1178" s="14">
        <f t="shared" si="301"/>
        <v>14</v>
      </c>
      <c r="E1178" t="s">
        <v>2785</v>
      </c>
      <c r="F1178" t="s">
        <v>2786</v>
      </c>
      <c r="G1178" t="s">
        <v>2833</v>
      </c>
      <c r="H1178" t="s">
        <v>2829</v>
      </c>
      <c r="I1178" t="s">
        <v>2697</v>
      </c>
      <c r="J1178" s="4" t="s">
        <v>2881</v>
      </c>
      <c r="K1178" t="s">
        <v>174</v>
      </c>
      <c r="L1178" t="s">
        <v>163</v>
      </c>
      <c r="M1178" t="s">
        <v>163</v>
      </c>
      <c r="N1178" t="s">
        <v>163</v>
      </c>
      <c r="O1178" s="4" t="s">
        <v>1847</v>
      </c>
      <c r="P1178">
        <v>0</v>
      </c>
      <c r="Q1178" s="24">
        <v>84.2</v>
      </c>
      <c r="R1178" s="25">
        <v>118</v>
      </c>
      <c r="S1178" s="26">
        <v>73.8</v>
      </c>
    </row>
    <row r="1179" spans="1:19" ht="14.25" x14ac:dyDescent="0.2">
      <c r="A1179" s="12">
        <v>20846</v>
      </c>
      <c r="B1179" s="13">
        <f t="shared" si="299"/>
        <v>23</v>
      </c>
      <c r="C1179" s="15">
        <f t="shared" si="300"/>
        <v>16</v>
      </c>
      <c r="D1179" s="14">
        <f t="shared" si="301"/>
        <v>14</v>
      </c>
      <c r="E1179" t="s">
        <v>2777</v>
      </c>
      <c r="F1179" t="s">
        <v>2834</v>
      </c>
      <c r="G1179" t="s">
        <v>2779</v>
      </c>
      <c r="H1179" t="s">
        <v>2779</v>
      </c>
      <c r="I1179" t="s">
        <v>2780</v>
      </c>
      <c r="J1179" s="4" t="s">
        <v>2843</v>
      </c>
      <c r="K1179" t="s">
        <v>182</v>
      </c>
      <c r="L1179" t="s">
        <v>163</v>
      </c>
      <c r="M1179" t="s">
        <v>163</v>
      </c>
      <c r="N1179" t="s">
        <v>163</v>
      </c>
      <c r="O1179" s="4" t="s">
        <v>1849</v>
      </c>
      <c r="P1179">
        <v>0</v>
      </c>
      <c r="Q1179" s="24">
        <v>84.5</v>
      </c>
      <c r="R1179" s="25">
        <v>118.5</v>
      </c>
      <c r="S1179" s="26">
        <v>74</v>
      </c>
    </row>
    <row r="1180" spans="1:19" ht="14.25" x14ac:dyDescent="0.2">
      <c r="A1180" s="12">
        <v>20847</v>
      </c>
      <c r="B1180" s="13">
        <f t="shared" si="299"/>
        <v>23</v>
      </c>
      <c r="C1180" s="15">
        <f t="shared" si="300"/>
        <v>16</v>
      </c>
      <c r="D1180" s="14">
        <f t="shared" si="301"/>
        <v>14</v>
      </c>
      <c r="E1180" t="s">
        <v>2777</v>
      </c>
      <c r="F1180" t="s">
        <v>2835</v>
      </c>
      <c r="G1180" t="s">
        <v>2779</v>
      </c>
      <c r="H1180" t="s">
        <v>2779</v>
      </c>
      <c r="I1180" t="s">
        <v>2780</v>
      </c>
      <c r="J1180" s="4" t="s">
        <v>2843</v>
      </c>
      <c r="K1180" t="s">
        <v>162</v>
      </c>
      <c r="L1180" t="s">
        <v>163</v>
      </c>
      <c r="M1180" t="s">
        <v>163</v>
      </c>
      <c r="N1180" t="s">
        <v>163</v>
      </c>
      <c r="O1180" s="4" t="s">
        <v>1849</v>
      </c>
      <c r="P1180">
        <v>0</v>
      </c>
      <c r="Q1180" s="24">
        <v>84.5</v>
      </c>
      <c r="R1180" s="25">
        <v>118.5</v>
      </c>
      <c r="S1180" s="26">
        <v>74</v>
      </c>
    </row>
    <row r="1181" spans="1:19" ht="14.25" x14ac:dyDescent="0.2">
      <c r="A1181" s="12">
        <v>20848</v>
      </c>
      <c r="B1181" s="13">
        <f t="shared" si="299"/>
        <v>23</v>
      </c>
      <c r="C1181" s="15">
        <f t="shared" si="300"/>
        <v>16</v>
      </c>
      <c r="D1181" s="14">
        <f t="shared" si="301"/>
        <v>14</v>
      </c>
      <c r="E1181" t="s">
        <v>2777</v>
      </c>
      <c r="F1181" t="s">
        <v>2836</v>
      </c>
      <c r="G1181" t="s">
        <v>2779</v>
      </c>
      <c r="H1181" t="s">
        <v>2779</v>
      </c>
      <c r="I1181" t="s">
        <v>2780</v>
      </c>
      <c r="J1181" s="4" t="s">
        <v>2843</v>
      </c>
      <c r="K1181" t="s">
        <v>177</v>
      </c>
      <c r="L1181" t="s">
        <v>163</v>
      </c>
      <c r="M1181" t="s">
        <v>163</v>
      </c>
      <c r="N1181" t="s">
        <v>163</v>
      </c>
      <c r="O1181" s="4" t="s">
        <v>1851</v>
      </c>
      <c r="P1181">
        <v>0</v>
      </c>
      <c r="Q1181" s="24">
        <v>84.5</v>
      </c>
      <c r="R1181" s="25">
        <v>118.5</v>
      </c>
      <c r="S1181" s="26">
        <v>74</v>
      </c>
    </row>
    <row r="1182" spans="1:19" ht="14.25" x14ac:dyDescent="0.2">
      <c r="A1182" s="12">
        <v>20849</v>
      </c>
      <c r="B1182" s="13">
        <f t="shared" si="299"/>
        <v>23</v>
      </c>
      <c r="C1182" s="15">
        <f t="shared" si="300"/>
        <v>16</v>
      </c>
      <c r="D1182" s="14">
        <f t="shared" si="301"/>
        <v>14</v>
      </c>
      <c r="E1182" t="s">
        <v>2777</v>
      </c>
      <c r="F1182" t="s">
        <v>2837</v>
      </c>
      <c r="G1182" t="s">
        <v>2779</v>
      </c>
      <c r="H1182" t="s">
        <v>2779</v>
      </c>
      <c r="I1182" t="s">
        <v>2780</v>
      </c>
      <c r="J1182" s="4" t="s">
        <v>2843</v>
      </c>
      <c r="K1182" t="s">
        <v>174</v>
      </c>
      <c r="L1182" t="s">
        <v>163</v>
      </c>
      <c r="M1182" t="s">
        <v>163</v>
      </c>
      <c r="N1182" t="s">
        <v>163</v>
      </c>
      <c r="O1182" s="4" t="s">
        <v>1853</v>
      </c>
      <c r="P1182">
        <v>0</v>
      </c>
      <c r="Q1182" s="24">
        <v>84.5</v>
      </c>
      <c r="R1182" s="25">
        <v>118.5</v>
      </c>
      <c r="S1182" s="26">
        <v>74</v>
      </c>
    </row>
    <row r="1183" spans="1:19" ht="14.25" x14ac:dyDescent="0.2">
      <c r="A1183" s="12">
        <v>20850</v>
      </c>
      <c r="B1183" s="13">
        <f t="shared" si="299"/>
        <v>23</v>
      </c>
      <c r="C1183" s="15">
        <f t="shared" si="300"/>
        <v>16</v>
      </c>
      <c r="D1183" s="14">
        <f t="shared" si="301"/>
        <v>14</v>
      </c>
      <c r="E1183" t="s">
        <v>2785</v>
      </c>
      <c r="F1183" t="s">
        <v>2786</v>
      </c>
      <c r="G1183" t="s">
        <v>2828</v>
      </c>
      <c r="H1183" t="s">
        <v>2829</v>
      </c>
      <c r="I1183" t="s">
        <v>2697</v>
      </c>
      <c r="J1183" s="4" t="s">
        <v>2881</v>
      </c>
      <c r="K1183" t="s">
        <v>166</v>
      </c>
      <c r="L1183" t="s">
        <v>163</v>
      </c>
      <c r="M1183" t="s">
        <v>163</v>
      </c>
      <c r="N1183" t="s">
        <v>163</v>
      </c>
      <c r="O1183" s="4" t="s">
        <v>1853</v>
      </c>
      <c r="P1183">
        <v>0</v>
      </c>
      <c r="Q1183" s="24">
        <v>84.5</v>
      </c>
      <c r="R1183" s="25">
        <v>118.5</v>
      </c>
      <c r="S1183" s="26">
        <v>74</v>
      </c>
    </row>
    <row r="1184" spans="1:19" ht="14.25" x14ac:dyDescent="0.2">
      <c r="A1184" s="12">
        <v>20901</v>
      </c>
      <c r="B1184" s="13">
        <f t="shared" si="299"/>
        <v>23</v>
      </c>
      <c r="C1184" s="15">
        <f t="shared" si="300"/>
        <v>16</v>
      </c>
      <c r="D1184" s="14">
        <f t="shared" si="301"/>
        <v>14</v>
      </c>
      <c r="E1184" t="s">
        <v>2777</v>
      </c>
      <c r="F1184" t="s">
        <v>2834</v>
      </c>
      <c r="G1184" t="s">
        <v>2779</v>
      </c>
      <c r="H1184" t="s">
        <v>2779</v>
      </c>
      <c r="I1184" t="s">
        <v>2780</v>
      </c>
      <c r="J1184" s="4" t="s">
        <v>2843</v>
      </c>
      <c r="K1184" t="s">
        <v>168</v>
      </c>
      <c r="L1184" t="s">
        <v>163</v>
      </c>
      <c r="M1184" t="s">
        <v>163</v>
      </c>
      <c r="N1184" t="s">
        <v>163</v>
      </c>
      <c r="O1184" s="4" t="s">
        <v>1855</v>
      </c>
      <c r="P1184">
        <v>0</v>
      </c>
      <c r="Q1184" s="24">
        <v>84.8</v>
      </c>
      <c r="R1184" s="25">
        <v>119</v>
      </c>
      <c r="S1184" s="26">
        <v>74.3</v>
      </c>
    </row>
    <row r="1185" spans="1:19" ht="14.25" x14ac:dyDescent="0.2">
      <c r="A1185" s="12">
        <v>20902</v>
      </c>
      <c r="B1185" s="13">
        <f t="shared" si="299"/>
        <v>23</v>
      </c>
      <c r="C1185" s="15">
        <f t="shared" si="300"/>
        <v>16</v>
      </c>
      <c r="D1185" s="14">
        <f t="shared" si="301"/>
        <v>14</v>
      </c>
      <c r="E1185" t="s">
        <v>2777</v>
      </c>
      <c r="F1185" t="s">
        <v>2835</v>
      </c>
      <c r="G1185" t="s">
        <v>2779</v>
      </c>
      <c r="H1185" t="s">
        <v>2779</v>
      </c>
      <c r="I1185" t="s">
        <v>2780</v>
      </c>
      <c r="J1185" s="4" t="s">
        <v>2843</v>
      </c>
      <c r="K1185" t="s">
        <v>175</v>
      </c>
      <c r="L1185" t="s">
        <v>164</v>
      </c>
      <c r="M1185" t="s">
        <v>163</v>
      </c>
      <c r="N1185" t="s">
        <v>167</v>
      </c>
      <c r="O1185" s="4" t="s">
        <v>1857</v>
      </c>
      <c r="P1185">
        <v>0</v>
      </c>
      <c r="Q1185" s="24">
        <v>84.8</v>
      </c>
      <c r="R1185" s="25">
        <v>119</v>
      </c>
      <c r="S1185" s="26">
        <v>74.3</v>
      </c>
    </row>
    <row r="1186" spans="1:19" ht="14.25" x14ac:dyDescent="0.2">
      <c r="A1186" s="12">
        <v>20903</v>
      </c>
      <c r="B1186" s="13">
        <f t="shared" si="299"/>
        <v>23</v>
      </c>
      <c r="C1186" s="15">
        <f t="shared" si="300"/>
        <v>16</v>
      </c>
      <c r="D1186" s="14">
        <f t="shared" si="301"/>
        <v>14</v>
      </c>
      <c r="E1186" t="s">
        <v>2777</v>
      </c>
      <c r="F1186" t="s">
        <v>2836</v>
      </c>
      <c r="G1186" t="s">
        <v>2779</v>
      </c>
      <c r="H1186" t="s">
        <v>2779</v>
      </c>
      <c r="I1186" t="s">
        <v>2780</v>
      </c>
      <c r="J1186" s="4" t="s">
        <v>2843</v>
      </c>
      <c r="K1186" t="s">
        <v>179</v>
      </c>
      <c r="L1186" t="s">
        <v>163</v>
      </c>
      <c r="M1186" t="s">
        <v>163</v>
      </c>
      <c r="N1186" t="s">
        <v>163</v>
      </c>
      <c r="O1186" s="4" t="s">
        <v>1859</v>
      </c>
      <c r="P1186">
        <v>0</v>
      </c>
      <c r="Q1186" s="24">
        <v>84.8</v>
      </c>
      <c r="R1186" s="25">
        <v>119</v>
      </c>
      <c r="S1186" s="26">
        <v>74.3</v>
      </c>
    </row>
    <row r="1187" spans="1:19" ht="14.25" x14ac:dyDescent="0.2">
      <c r="A1187" s="12">
        <v>20904</v>
      </c>
      <c r="B1187" s="13">
        <f t="shared" si="299"/>
        <v>23</v>
      </c>
      <c r="C1187" s="15">
        <f t="shared" si="300"/>
        <v>16</v>
      </c>
      <c r="D1187" s="14">
        <f t="shared" si="301"/>
        <v>14</v>
      </c>
      <c r="E1187" t="s">
        <v>2777</v>
      </c>
      <c r="F1187" t="s">
        <v>2837</v>
      </c>
      <c r="G1187" t="s">
        <v>2779</v>
      </c>
      <c r="H1187" t="s">
        <v>2779</v>
      </c>
      <c r="I1187" t="s">
        <v>2780</v>
      </c>
      <c r="J1187" s="4" t="s">
        <v>2843</v>
      </c>
      <c r="K1187" t="s">
        <v>177</v>
      </c>
      <c r="L1187" t="s">
        <v>163</v>
      </c>
      <c r="M1187" t="s">
        <v>163</v>
      </c>
      <c r="N1187" t="s">
        <v>163</v>
      </c>
      <c r="O1187" s="4" t="s">
        <v>1859</v>
      </c>
      <c r="P1187">
        <v>0</v>
      </c>
      <c r="Q1187" s="24">
        <v>84.8</v>
      </c>
      <c r="R1187" s="25">
        <v>119</v>
      </c>
      <c r="S1187" s="26">
        <v>74.3</v>
      </c>
    </row>
    <row r="1188" spans="1:19" ht="14.25" x14ac:dyDescent="0.2">
      <c r="A1188" s="12">
        <v>20905</v>
      </c>
      <c r="B1188" s="13">
        <f t="shared" si="299"/>
        <v>23</v>
      </c>
      <c r="C1188" s="15">
        <f t="shared" si="300"/>
        <v>16</v>
      </c>
      <c r="D1188" s="14">
        <f t="shared" si="301"/>
        <v>14</v>
      </c>
      <c r="E1188" t="s">
        <v>2785</v>
      </c>
      <c r="F1188" t="s">
        <v>2786</v>
      </c>
      <c r="G1188" t="s">
        <v>2830</v>
      </c>
      <c r="H1188" t="s">
        <v>2829</v>
      </c>
      <c r="I1188" t="s">
        <v>2697</v>
      </c>
      <c r="J1188" s="4" t="s">
        <v>2863</v>
      </c>
      <c r="K1188" t="s">
        <v>174</v>
      </c>
      <c r="L1188" t="s">
        <v>163</v>
      </c>
      <c r="M1188" t="s">
        <v>163</v>
      </c>
      <c r="N1188" t="s">
        <v>163</v>
      </c>
      <c r="O1188" s="4" t="s">
        <v>1861</v>
      </c>
      <c r="P1188">
        <v>0</v>
      </c>
      <c r="Q1188" s="24">
        <v>84.8</v>
      </c>
      <c r="R1188" s="25">
        <v>119</v>
      </c>
      <c r="S1188" s="26">
        <v>74.3</v>
      </c>
    </row>
    <row r="1189" spans="1:19" ht="14.25" x14ac:dyDescent="0.2">
      <c r="A1189" s="12">
        <v>20906</v>
      </c>
      <c r="B1189" s="13">
        <f t="shared" si="299"/>
        <v>23</v>
      </c>
      <c r="C1189" s="15">
        <f t="shared" si="300"/>
        <v>16</v>
      </c>
      <c r="D1189" s="14">
        <f t="shared" si="301"/>
        <v>14</v>
      </c>
      <c r="E1189" t="s">
        <v>2777</v>
      </c>
      <c r="F1189" t="s">
        <v>2834</v>
      </c>
      <c r="G1189" t="s">
        <v>2779</v>
      </c>
      <c r="H1189" t="s">
        <v>2779</v>
      </c>
      <c r="I1189" t="s">
        <v>2780</v>
      </c>
      <c r="J1189" s="4" t="s">
        <v>2843</v>
      </c>
      <c r="K1189" t="s">
        <v>182</v>
      </c>
      <c r="L1189" t="s">
        <v>163</v>
      </c>
      <c r="M1189" t="s">
        <v>163</v>
      </c>
      <c r="N1189" t="s">
        <v>163</v>
      </c>
      <c r="O1189" s="4" t="s">
        <v>1863</v>
      </c>
      <c r="P1189">
        <v>0</v>
      </c>
      <c r="Q1189" s="24">
        <v>85.2</v>
      </c>
      <c r="R1189" s="25">
        <v>119.5</v>
      </c>
      <c r="S1189" s="26">
        <v>74.5</v>
      </c>
    </row>
    <row r="1190" spans="1:19" ht="14.25" x14ac:dyDescent="0.2">
      <c r="A1190" s="12">
        <v>20907</v>
      </c>
      <c r="B1190" s="13">
        <f t="shared" si="299"/>
        <v>23</v>
      </c>
      <c r="C1190" s="15">
        <f t="shared" si="300"/>
        <v>16</v>
      </c>
      <c r="D1190" s="14">
        <f t="shared" si="301"/>
        <v>14</v>
      </c>
      <c r="E1190" t="s">
        <v>2777</v>
      </c>
      <c r="F1190" t="s">
        <v>2835</v>
      </c>
      <c r="G1190" t="s">
        <v>2779</v>
      </c>
      <c r="H1190" t="s">
        <v>2779</v>
      </c>
      <c r="I1190" t="s">
        <v>2780</v>
      </c>
      <c r="J1190" s="4" t="s">
        <v>2843</v>
      </c>
      <c r="K1190" t="s">
        <v>162</v>
      </c>
      <c r="L1190" t="s">
        <v>163</v>
      </c>
      <c r="M1190" t="s">
        <v>163</v>
      </c>
      <c r="N1190" t="s">
        <v>163</v>
      </c>
      <c r="O1190" s="4" t="s">
        <v>1863</v>
      </c>
      <c r="P1190">
        <v>0</v>
      </c>
      <c r="Q1190" s="24">
        <v>85.2</v>
      </c>
      <c r="R1190" s="25">
        <v>119.5</v>
      </c>
      <c r="S1190" s="26">
        <v>74.5</v>
      </c>
    </row>
    <row r="1191" spans="1:19" ht="14.25" x14ac:dyDescent="0.2">
      <c r="A1191" s="12">
        <v>20908</v>
      </c>
      <c r="B1191" s="13">
        <f t="shared" si="299"/>
        <v>23</v>
      </c>
      <c r="C1191" s="15">
        <f t="shared" si="300"/>
        <v>17</v>
      </c>
      <c r="D1191" s="14">
        <f t="shared" si="301"/>
        <v>14</v>
      </c>
      <c r="E1191" t="s">
        <v>2777</v>
      </c>
      <c r="F1191" t="s">
        <v>2836</v>
      </c>
      <c r="G1191" t="s">
        <v>2779</v>
      </c>
      <c r="H1191" t="s">
        <v>2779</v>
      </c>
      <c r="I1191" t="s">
        <v>2780</v>
      </c>
      <c r="J1191" s="4" t="s">
        <v>2843</v>
      </c>
      <c r="K1191" t="s">
        <v>177</v>
      </c>
      <c r="L1191" t="s">
        <v>163</v>
      </c>
      <c r="M1191" t="s">
        <v>163</v>
      </c>
      <c r="N1191" t="s">
        <v>163</v>
      </c>
      <c r="O1191" s="4" t="s">
        <v>1865</v>
      </c>
      <c r="P1191">
        <v>0</v>
      </c>
      <c r="Q1191" s="24">
        <v>85.2</v>
      </c>
      <c r="R1191" s="25">
        <v>119.5</v>
      </c>
      <c r="S1191" s="26">
        <v>74.5</v>
      </c>
    </row>
    <row r="1192" spans="1:19" ht="14.25" x14ac:dyDescent="0.2">
      <c r="A1192" s="12">
        <v>20909</v>
      </c>
      <c r="B1192" s="13">
        <f t="shared" si="299"/>
        <v>23</v>
      </c>
      <c r="C1192" s="15">
        <f t="shared" si="300"/>
        <v>17</v>
      </c>
      <c r="D1192" s="14">
        <f t="shared" si="301"/>
        <v>14</v>
      </c>
      <c r="E1192" t="s">
        <v>2777</v>
      </c>
      <c r="F1192" t="s">
        <v>2837</v>
      </c>
      <c r="G1192" t="s">
        <v>2779</v>
      </c>
      <c r="H1192" t="s">
        <v>2779</v>
      </c>
      <c r="I1192" t="s">
        <v>2780</v>
      </c>
      <c r="J1192" s="4" t="s">
        <v>2843</v>
      </c>
      <c r="K1192" t="s">
        <v>174</v>
      </c>
      <c r="L1192" t="s">
        <v>163</v>
      </c>
      <c r="M1192" t="s">
        <v>163</v>
      </c>
      <c r="N1192" t="s">
        <v>163</v>
      </c>
      <c r="O1192" s="4" t="s">
        <v>1867</v>
      </c>
      <c r="P1192">
        <v>0</v>
      </c>
      <c r="Q1192" s="24">
        <v>85.2</v>
      </c>
      <c r="R1192" s="25">
        <v>119.5</v>
      </c>
      <c r="S1192" s="26">
        <v>74.5</v>
      </c>
    </row>
    <row r="1193" spans="1:19" ht="14.25" x14ac:dyDescent="0.2">
      <c r="A1193" s="12">
        <v>20910</v>
      </c>
      <c r="B1193" s="13">
        <f t="shared" si="299"/>
        <v>23</v>
      </c>
      <c r="C1193" s="15">
        <f t="shared" si="300"/>
        <v>17</v>
      </c>
      <c r="D1193" s="14">
        <f t="shared" si="301"/>
        <v>14</v>
      </c>
      <c r="E1193" t="s">
        <v>2785</v>
      </c>
      <c r="F1193" t="s">
        <v>2786</v>
      </c>
      <c r="G1193" t="s">
        <v>2831</v>
      </c>
      <c r="H1193" t="s">
        <v>2829</v>
      </c>
      <c r="I1193" t="s">
        <v>2697</v>
      </c>
      <c r="J1193" s="4" t="s">
        <v>2863</v>
      </c>
      <c r="K1193" t="s">
        <v>166</v>
      </c>
      <c r="L1193" t="s">
        <v>163</v>
      </c>
      <c r="M1193" t="s">
        <v>163</v>
      </c>
      <c r="N1193" t="s">
        <v>163</v>
      </c>
      <c r="O1193" s="4" t="s">
        <v>1867</v>
      </c>
      <c r="P1193">
        <v>0</v>
      </c>
      <c r="Q1193" s="24">
        <v>85.2</v>
      </c>
      <c r="R1193" s="25">
        <v>119.5</v>
      </c>
      <c r="S1193" s="26">
        <v>74.5</v>
      </c>
    </row>
    <row r="1194" spans="1:19" ht="14.25" x14ac:dyDescent="0.2">
      <c r="A1194" s="12">
        <v>20911</v>
      </c>
      <c r="B1194" s="13">
        <f t="shared" si="299"/>
        <v>23</v>
      </c>
      <c r="C1194" s="15">
        <f t="shared" si="300"/>
        <v>17</v>
      </c>
      <c r="D1194" s="14">
        <f t="shared" si="301"/>
        <v>14</v>
      </c>
      <c r="E1194" t="s">
        <v>2777</v>
      </c>
      <c r="F1194" t="s">
        <v>2834</v>
      </c>
      <c r="G1194" t="s">
        <v>2779</v>
      </c>
      <c r="H1194" t="s">
        <v>2779</v>
      </c>
      <c r="I1194" t="s">
        <v>2780</v>
      </c>
      <c r="J1194" s="4" t="s">
        <v>2843</v>
      </c>
      <c r="K1194" t="s">
        <v>168</v>
      </c>
      <c r="L1194" t="s">
        <v>163</v>
      </c>
      <c r="M1194" t="s">
        <v>163</v>
      </c>
      <c r="N1194" t="s">
        <v>163</v>
      </c>
      <c r="O1194" s="4" t="s">
        <v>1869</v>
      </c>
      <c r="P1194">
        <v>0</v>
      </c>
      <c r="Q1194" s="24">
        <v>85.5</v>
      </c>
      <c r="R1194" s="25">
        <v>120</v>
      </c>
      <c r="S1194" s="26">
        <v>74.8</v>
      </c>
    </row>
    <row r="1195" spans="1:19" ht="14.25" x14ac:dyDescent="0.2">
      <c r="A1195" s="12">
        <v>20912</v>
      </c>
      <c r="B1195" s="13">
        <f t="shared" si="299"/>
        <v>23</v>
      </c>
      <c r="C1195" s="15">
        <f t="shared" si="300"/>
        <v>17</v>
      </c>
      <c r="D1195" s="14">
        <f t="shared" si="301"/>
        <v>14</v>
      </c>
      <c r="E1195" t="s">
        <v>2777</v>
      </c>
      <c r="F1195" t="s">
        <v>2835</v>
      </c>
      <c r="G1195" t="s">
        <v>2779</v>
      </c>
      <c r="H1195" t="s">
        <v>2779</v>
      </c>
      <c r="I1195" t="s">
        <v>2780</v>
      </c>
      <c r="J1195" s="4" t="s">
        <v>2843</v>
      </c>
      <c r="K1195" t="s">
        <v>175</v>
      </c>
      <c r="L1195" t="s">
        <v>164</v>
      </c>
      <c r="M1195" t="s">
        <v>163</v>
      </c>
      <c r="N1195" t="s">
        <v>167</v>
      </c>
      <c r="O1195" s="4" t="s">
        <v>1871</v>
      </c>
      <c r="P1195">
        <v>0</v>
      </c>
      <c r="Q1195" s="24">
        <v>85.5</v>
      </c>
      <c r="R1195" s="25">
        <v>120</v>
      </c>
      <c r="S1195" s="26">
        <v>74.8</v>
      </c>
    </row>
    <row r="1196" spans="1:19" ht="14.25" x14ac:dyDescent="0.2">
      <c r="A1196" s="12">
        <v>20913</v>
      </c>
      <c r="B1196" s="13">
        <f t="shared" si="299"/>
        <v>24</v>
      </c>
      <c r="C1196" s="15">
        <f t="shared" si="300"/>
        <v>17</v>
      </c>
      <c r="D1196" s="14">
        <f t="shared" si="301"/>
        <v>14</v>
      </c>
      <c r="E1196" t="s">
        <v>2777</v>
      </c>
      <c r="F1196" t="s">
        <v>2836</v>
      </c>
      <c r="G1196" t="s">
        <v>2779</v>
      </c>
      <c r="H1196" t="s">
        <v>2779</v>
      </c>
      <c r="I1196" t="s">
        <v>2780</v>
      </c>
      <c r="J1196" s="4" t="s">
        <v>2843</v>
      </c>
      <c r="K1196" t="s">
        <v>179</v>
      </c>
      <c r="L1196" t="s">
        <v>163</v>
      </c>
      <c r="M1196" t="s">
        <v>163</v>
      </c>
      <c r="N1196" t="s">
        <v>163</v>
      </c>
      <c r="O1196" s="4" t="s">
        <v>1873</v>
      </c>
      <c r="P1196">
        <v>0</v>
      </c>
      <c r="Q1196" s="24">
        <v>85.5</v>
      </c>
      <c r="R1196" s="25">
        <v>120</v>
      </c>
      <c r="S1196" s="26">
        <v>74.8</v>
      </c>
    </row>
    <row r="1197" spans="1:19" ht="14.25" x14ac:dyDescent="0.2">
      <c r="A1197" s="12">
        <v>20914</v>
      </c>
      <c r="B1197" s="13">
        <f t="shared" si="299"/>
        <v>24</v>
      </c>
      <c r="C1197" s="15">
        <f t="shared" si="300"/>
        <v>17</v>
      </c>
      <c r="D1197" s="14">
        <f t="shared" si="301"/>
        <v>14</v>
      </c>
      <c r="E1197" t="s">
        <v>2777</v>
      </c>
      <c r="F1197" t="s">
        <v>2837</v>
      </c>
      <c r="G1197" t="s">
        <v>2779</v>
      </c>
      <c r="H1197" t="s">
        <v>2779</v>
      </c>
      <c r="I1197" t="s">
        <v>2780</v>
      </c>
      <c r="J1197" s="4" t="s">
        <v>2843</v>
      </c>
      <c r="K1197" t="s">
        <v>177</v>
      </c>
      <c r="L1197" t="s">
        <v>163</v>
      </c>
      <c r="M1197" t="s">
        <v>163</v>
      </c>
      <c r="N1197" t="s">
        <v>163</v>
      </c>
      <c r="O1197" s="4" t="s">
        <v>1873</v>
      </c>
      <c r="P1197">
        <v>0</v>
      </c>
      <c r="Q1197" s="24">
        <v>85.5</v>
      </c>
      <c r="R1197" s="25">
        <v>120</v>
      </c>
      <c r="S1197" s="26">
        <v>74.8</v>
      </c>
    </row>
    <row r="1198" spans="1:19" ht="14.25" x14ac:dyDescent="0.2">
      <c r="A1198" s="12">
        <v>20915</v>
      </c>
      <c r="B1198" s="13">
        <f t="shared" si="299"/>
        <v>24</v>
      </c>
      <c r="C1198" s="15">
        <f t="shared" si="300"/>
        <v>17</v>
      </c>
      <c r="D1198" s="14">
        <f t="shared" si="301"/>
        <v>14</v>
      </c>
      <c r="E1198" t="s">
        <v>2785</v>
      </c>
      <c r="F1198" t="s">
        <v>2786</v>
      </c>
      <c r="G1198" t="s">
        <v>2832</v>
      </c>
      <c r="H1198" t="s">
        <v>2829</v>
      </c>
      <c r="I1198" t="s">
        <v>2697</v>
      </c>
      <c r="J1198" s="4" t="s">
        <v>2863</v>
      </c>
      <c r="K1198" t="s">
        <v>174</v>
      </c>
      <c r="L1198" t="s">
        <v>163</v>
      </c>
      <c r="M1198" t="s">
        <v>163</v>
      </c>
      <c r="N1198" t="s">
        <v>163</v>
      </c>
      <c r="O1198" s="4" t="s">
        <v>1875</v>
      </c>
      <c r="P1198">
        <v>0</v>
      </c>
      <c r="Q1198" s="24">
        <v>85.5</v>
      </c>
      <c r="R1198" s="25">
        <v>120</v>
      </c>
      <c r="S1198" s="26">
        <v>74.8</v>
      </c>
    </row>
    <row r="1199" spans="1:19" ht="14.25" x14ac:dyDescent="0.2">
      <c r="A1199" s="12">
        <v>20916</v>
      </c>
      <c r="B1199" s="13">
        <f t="shared" si="299"/>
        <v>24</v>
      </c>
      <c r="C1199" s="15">
        <f t="shared" si="300"/>
        <v>17</v>
      </c>
      <c r="D1199" s="14">
        <f t="shared" si="301"/>
        <v>14</v>
      </c>
      <c r="E1199" t="s">
        <v>2777</v>
      </c>
      <c r="F1199" t="s">
        <v>2834</v>
      </c>
      <c r="G1199" t="s">
        <v>2779</v>
      </c>
      <c r="H1199" t="s">
        <v>2779</v>
      </c>
      <c r="I1199" t="s">
        <v>2780</v>
      </c>
      <c r="J1199" s="4" t="s">
        <v>2843</v>
      </c>
      <c r="K1199" t="s">
        <v>182</v>
      </c>
      <c r="L1199" t="s">
        <v>163</v>
      </c>
      <c r="M1199" t="s">
        <v>163</v>
      </c>
      <c r="N1199" t="s">
        <v>163</v>
      </c>
      <c r="O1199" s="4" t="s">
        <v>1877</v>
      </c>
      <c r="P1199">
        <v>0</v>
      </c>
      <c r="Q1199" s="24">
        <v>85.8</v>
      </c>
      <c r="R1199" s="25">
        <v>120.5</v>
      </c>
      <c r="S1199" s="26">
        <v>75</v>
      </c>
    </row>
    <row r="1200" spans="1:19" ht="14.25" x14ac:dyDescent="0.2">
      <c r="A1200" s="12">
        <v>20917</v>
      </c>
      <c r="B1200" s="13">
        <f t="shared" si="299"/>
        <v>24</v>
      </c>
      <c r="C1200" s="15">
        <f t="shared" si="300"/>
        <v>17</v>
      </c>
      <c r="D1200" s="14">
        <f t="shared" si="301"/>
        <v>14</v>
      </c>
      <c r="E1200" t="s">
        <v>2777</v>
      </c>
      <c r="F1200" t="s">
        <v>2835</v>
      </c>
      <c r="G1200" t="s">
        <v>2779</v>
      </c>
      <c r="H1200" t="s">
        <v>2779</v>
      </c>
      <c r="I1200" t="s">
        <v>2780</v>
      </c>
      <c r="J1200" s="4" t="s">
        <v>2843</v>
      </c>
      <c r="K1200" t="s">
        <v>162</v>
      </c>
      <c r="L1200" t="s">
        <v>163</v>
      </c>
      <c r="M1200" t="s">
        <v>163</v>
      </c>
      <c r="N1200" t="s">
        <v>163</v>
      </c>
      <c r="O1200" s="4" t="s">
        <v>1877</v>
      </c>
      <c r="P1200">
        <v>0</v>
      </c>
      <c r="Q1200" s="24">
        <v>85.8</v>
      </c>
      <c r="R1200" s="25">
        <v>120.5</v>
      </c>
      <c r="S1200" s="26">
        <v>75</v>
      </c>
    </row>
    <row r="1201" spans="1:19" ht="14.25" x14ac:dyDescent="0.2">
      <c r="A1201" s="12">
        <v>20918</v>
      </c>
      <c r="B1201" s="13">
        <f t="shared" si="299"/>
        <v>24</v>
      </c>
      <c r="C1201" s="15">
        <f t="shared" si="300"/>
        <v>17</v>
      </c>
      <c r="D1201" s="14">
        <f t="shared" si="301"/>
        <v>15</v>
      </c>
      <c r="E1201" t="s">
        <v>2777</v>
      </c>
      <c r="F1201" t="s">
        <v>2836</v>
      </c>
      <c r="G1201" t="s">
        <v>2779</v>
      </c>
      <c r="H1201" t="s">
        <v>2779</v>
      </c>
      <c r="I1201" t="s">
        <v>2780</v>
      </c>
      <c r="J1201" s="4" t="s">
        <v>2843</v>
      </c>
      <c r="K1201" t="s">
        <v>177</v>
      </c>
      <c r="L1201" t="s">
        <v>163</v>
      </c>
      <c r="M1201" t="s">
        <v>163</v>
      </c>
      <c r="N1201" t="s">
        <v>163</v>
      </c>
      <c r="O1201" s="4" t="s">
        <v>1879</v>
      </c>
      <c r="P1201">
        <v>0</v>
      </c>
      <c r="Q1201" s="24">
        <v>85.8</v>
      </c>
      <c r="R1201" s="25">
        <v>120.5</v>
      </c>
      <c r="S1201" s="26">
        <v>75</v>
      </c>
    </row>
    <row r="1202" spans="1:19" ht="14.25" x14ac:dyDescent="0.2">
      <c r="A1202" s="12">
        <v>20919</v>
      </c>
      <c r="B1202" s="13">
        <f t="shared" si="299"/>
        <v>24</v>
      </c>
      <c r="C1202" s="15">
        <f t="shared" si="300"/>
        <v>17</v>
      </c>
      <c r="D1202" s="14">
        <f t="shared" si="301"/>
        <v>15</v>
      </c>
      <c r="E1202" t="s">
        <v>2777</v>
      </c>
      <c r="F1202" t="s">
        <v>2837</v>
      </c>
      <c r="G1202" t="s">
        <v>2779</v>
      </c>
      <c r="H1202" t="s">
        <v>2779</v>
      </c>
      <c r="I1202" t="s">
        <v>2780</v>
      </c>
      <c r="J1202" s="4" t="s">
        <v>2843</v>
      </c>
      <c r="K1202" t="s">
        <v>174</v>
      </c>
      <c r="L1202" t="s">
        <v>163</v>
      </c>
      <c r="M1202" t="s">
        <v>163</v>
      </c>
      <c r="N1202" t="s">
        <v>163</v>
      </c>
      <c r="O1202" s="4" t="s">
        <v>1881</v>
      </c>
      <c r="P1202">
        <v>0</v>
      </c>
      <c r="Q1202" s="24">
        <v>85.8</v>
      </c>
      <c r="R1202" s="25">
        <v>120.5</v>
      </c>
      <c r="S1202" s="26">
        <v>75</v>
      </c>
    </row>
    <row r="1203" spans="1:19" ht="14.25" x14ac:dyDescent="0.2">
      <c r="A1203" s="12">
        <v>20920</v>
      </c>
      <c r="B1203" s="13">
        <f t="shared" si="299"/>
        <v>24</v>
      </c>
      <c r="C1203" s="15">
        <f t="shared" si="300"/>
        <v>17</v>
      </c>
      <c r="D1203" s="14">
        <f t="shared" si="301"/>
        <v>15</v>
      </c>
      <c r="E1203" t="s">
        <v>2785</v>
      </c>
      <c r="F1203" t="s">
        <v>2786</v>
      </c>
      <c r="G1203" t="s">
        <v>2833</v>
      </c>
      <c r="H1203" t="s">
        <v>2829</v>
      </c>
      <c r="I1203" t="s">
        <v>2697</v>
      </c>
      <c r="J1203" s="4" t="s">
        <v>2881</v>
      </c>
      <c r="K1203" t="s">
        <v>166</v>
      </c>
      <c r="L1203" t="s">
        <v>163</v>
      </c>
      <c r="M1203" t="s">
        <v>163</v>
      </c>
      <c r="N1203" t="s">
        <v>163</v>
      </c>
      <c r="O1203" s="4" t="s">
        <v>1881</v>
      </c>
      <c r="P1203">
        <v>0</v>
      </c>
      <c r="Q1203" s="24">
        <v>85.8</v>
      </c>
      <c r="R1203" s="25">
        <v>120.5</v>
      </c>
      <c r="S1203" s="26">
        <v>75</v>
      </c>
    </row>
    <row r="1204" spans="1:19" ht="14.25" x14ac:dyDescent="0.2">
      <c r="A1204" s="12">
        <v>20921</v>
      </c>
      <c r="B1204" s="13">
        <f t="shared" si="299"/>
        <v>24</v>
      </c>
      <c r="C1204" s="15">
        <f t="shared" si="300"/>
        <v>17</v>
      </c>
      <c r="D1204" s="14">
        <f t="shared" si="301"/>
        <v>15</v>
      </c>
      <c r="E1204" t="s">
        <v>2777</v>
      </c>
      <c r="F1204" t="s">
        <v>2834</v>
      </c>
      <c r="G1204" t="s">
        <v>2779</v>
      </c>
      <c r="H1204" t="s">
        <v>2779</v>
      </c>
      <c r="I1204" t="s">
        <v>2780</v>
      </c>
      <c r="J1204" s="4" t="s">
        <v>2843</v>
      </c>
      <c r="K1204" t="s">
        <v>168</v>
      </c>
      <c r="L1204" t="s">
        <v>163</v>
      </c>
      <c r="M1204" t="s">
        <v>163</v>
      </c>
      <c r="N1204" t="s">
        <v>163</v>
      </c>
      <c r="O1204" s="4" t="s">
        <v>1883</v>
      </c>
      <c r="P1204">
        <v>0</v>
      </c>
      <c r="Q1204" s="24">
        <v>86.2</v>
      </c>
      <c r="R1204" s="25">
        <v>121</v>
      </c>
      <c r="S1204" s="26">
        <v>75.3</v>
      </c>
    </row>
    <row r="1205" spans="1:19" ht="14.25" x14ac:dyDescent="0.2">
      <c r="A1205" s="12">
        <v>20922</v>
      </c>
      <c r="B1205" s="13">
        <f t="shared" si="299"/>
        <v>24</v>
      </c>
      <c r="C1205" s="15">
        <f t="shared" si="300"/>
        <v>17</v>
      </c>
      <c r="D1205" s="14">
        <f t="shared" si="301"/>
        <v>15</v>
      </c>
      <c r="E1205" t="s">
        <v>2777</v>
      </c>
      <c r="F1205" t="s">
        <v>2835</v>
      </c>
      <c r="G1205" t="s">
        <v>2779</v>
      </c>
      <c r="H1205" t="s">
        <v>2779</v>
      </c>
      <c r="I1205" t="s">
        <v>2780</v>
      </c>
      <c r="J1205" s="4" t="s">
        <v>2843</v>
      </c>
      <c r="K1205" t="s">
        <v>175</v>
      </c>
      <c r="L1205" t="s">
        <v>164</v>
      </c>
      <c r="M1205" t="s">
        <v>163</v>
      </c>
      <c r="N1205" t="s">
        <v>167</v>
      </c>
      <c r="O1205" s="4" t="s">
        <v>1885</v>
      </c>
      <c r="P1205">
        <v>0</v>
      </c>
      <c r="Q1205" s="24">
        <v>86.2</v>
      </c>
      <c r="R1205" s="25">
        <v>121</v>
      </c>
      <c r="S1205" s="26">
        <v>75.3</v>
      </c>
    </row>
    <row r="1206" spans="1:19" ht="14.25" x14ac:dyDescent="0.2">
      <c r="A1206" s="12">
        <v>20923</v>
      </c>
      <c r="B1206" s="13">
        <f t="shared" si="299"/>
        <v>24</v>
      </c>
      <c r="C1206" s="15">
        <f t="shared" si="300"/>
        <v>17</v>
      </c>
      <c r="D1206" s="14">
        <f t="shared" si="301"/>
        <v>15</v>
      </c>
      <c r="E1206" t="s">
        <v>2777</v>
      </c>
      <c r="F1206" t="s">
        <v>2836</v>
      </c>
      <c r="G1206" t="s">
        <v>2779</v>
      </c>
      <c r="H1206" t="s">
        <v>2779</v>
      </c>
      <c r="I1206" t="s">
        <v>2780</v>
      </c>
      <c r="J1206" s="4" t="s">
        <v>2843</v>
      </c>
      <c r="K1206" t="s">
        <v>179</v>
      </c>
      <c r="L1206" t="s">
        <v>163</v>
      </c>
      <c r="M1206" t="s">
        <v>163</v>
      </c>
      <c r="N1206" t="s">
        <v>163</v>
      </c>
      <c r="O1206" s="4" t="s">
        <v>1887</v>
      </c>
      <c r="P1206">
        <v>0</v>
      </c>
      <c r="Q1206" s="24">
        <v>86.2</v>
      </c>
      <c r="R1206" s="25">
        <v>121</v>
      </c>
      <c r="S1206" s="26">
        <v>75.3</v>
      </c>
    </row>
    <row r="1207" spans="1:19" ht="14.25" x14ac:dyDescent="0.2">
      <c r="A1207" s="12">
        <v>20924</v>
      </c>
      <c r="B1207" s="13">
        <f t="shared" si="299"/>
        <v>24</v>
      </c>
      <c r="C1207" s="15">
        <f t="shared" si="300"/>
        <v>17</v>
      </c>
      <c r="D1207" s="14">
        <f t="shared" si="301"/>
        <v>15</v>
      </c>
      <c r="E1207" t="s">
        <v>2777</v>
      </c>
      <c r="F1207" t="s">
        <v>2837</v>
      </c>
      <c r="G1207" t="s">
        <v>2779</v>
      </c>
      <c r="H1207" t="s">
        <v>2779</v>
      </c>
      <c r="I1207" t="s">
        <v>2780</v>
      </c>
      <c r="J1207" s="4" t="s">
        <v>2843</v>
      </c>
      <c r="K1207" t="s">
        <v>177</v>
      </c>
      <c r="L1207" t="s">
        <v>163</v>
      </c>
      <c r="M1207" t="s">
        <v>163</v>
      </c>
      <c r="N1207" t="s">
        <v>163</v>
      </c>
      <c r="O1207" s="4" t="s">
        <v>1887</v>
      </c>
      <c r="P1207">
        <v>0</v>
      </c>
      <c r="Q1207" s="24">
        <v>86.2</v>
      </c>
      <c r="R1207" s="25">
        <v>121</v>
      </c>
      <c r="S1207" s="26">
        <v>75.3</v>
      </c>
    </row>
    <row r="1208" spans="1:19" ht="14.25" x14ac:dyDescent="0.2">
      <c r="A1208" s="12">
        <v>20925</v>
      </c>
      <c r="B1208" s="13">
        <f t="shared" si="299"/>
        <v>24</v>
      </c>
      <c r="C1208" s="15">
        <f t="shared" si="300"/>
        <v>17</v>
      </c>
      <c r="D1208" s="14">
        <f t="shared" si="301"/>
        <v>15</v>
      </c>
      <c r="E1208" t="s">
        <v>2785</v>
      </c>
      <c r="F1208" t="s">
        <v>2786</v>
      </c>
      <c r="G1208" t="s">
        <v>2828</v>
      </c>
      <c r="H1208" t="s">
        <v>2829</v>
      </c>
      <c r="I1208" t="s">
        <v>2697</v>
      </c>
      <c r="J1208" s="4" t="s">
        <v>2881</v>
      </c>
      <c r="K1208" t="s">
        <v>174</v>
      </c>
      <c r="L1208" t="s">
        <v>163</v>
      </c>
      <c r="M1208" t="s">
        <v>163</v>
      </c>
      <c r="N1208" t="s">
        <v>163</v>
      </c>
      <c r="O1208" s="4" t="s">
        <v>1889</v>
      </c>
      <c r="P1208">
        <v>0</v>
      </c>
      <c r="Q1208" s="24">
        <v>86.2</v>
      </c>
      <c r="R1208" s="25">
        <v>121</v>
      </c>
      <c r="S1208" s="26">
        <v>75.3</v>
      </c>
    </row>
    <row r="1209" spans="1:19" ht="14.25" x14ac:dyDescent="0.2">
      <c r="A1209" s="12">
        <v>20926</v>
      </c>
      <c r="B1209" s="13">
        <f t="shared" si="299"/>
        <v>24</v>
      </c>
      <c r="C1209" s="15">
        <f t="shared" si="300"/>
        <v>17</v>
      </c>
      <c r="D1209" s="14">
        <f t="shared" si="301"/>
        <v>15</v>
      </c>
      <c r="E1209" t="s">
        <v>2777</v>
      </c>
      <c r="F1209" t="s">
        <v>2834</v>
      </c>
      <c r="G1209" t="s">
        <v>2779</v>
      </c>
      <c r="H1209" t="s">
        <v>2779</v>
      </c>
      <c r="I1209" t="s">
        <v>2780</v>
      </c>
      <c r="J1209" s="4" t="s">
        <v>2843</v>
      </c>
      <c r="K1209" t="s">
        <v>182</v>
      </c>
      <c r="L1209" t="s">
        <v>163</v>
      </c>
      <c r="M1209" t="s">
        <v>163</v>
      </c>
      <c r="N1209" t="s">
        <v>163</v>
      </c>
      <c r="O1209" s="4" t="s">
        <v>1891</v>
      </c>
      <c r="P1209">
        <v>0</v>
      </c>
      <c r="Q1209" s="24">
        <v>86.5</v>
      </c>
      <c r="R1209" s="25">
        <v>121.5</v>
      </c>
      <c r="S1209" s="26">
        <v>75.5</v>
      </c>
    </row>
    <row r="1210" spans="1:19" ht="14.25" x14ac:dyDescent="0.2">
      <c r="A1210" s="12">
        <v>20927</v>
      </c>
      <c r="B1210" s="13">
        <f t="shared" si="299"/>
        <v>24</v>
      </c>
      <c r="C1210" s="15">
        <f t="shared" si="300"/>
        <v>17</v>
      </c>
      <c r="D1210" s="14">
        <f t="shared" si="301"/>
        <v>15</v>
      </c>
      <c r="E1210" t="s">
        <v>2777</v>
      </c>
      <c r="F1210" t="s">
        <v>2835</v>
      </c>
      <c r="G1210" t="s">
        <v>2779</v>
      </c>
      <c r="H1210" t="s">
        <v>2779</v>
      </c>
      <c r="I1210" t="s">
        <v>2780</v>
      </c>
      <c r="J1210" s="4" t="s">
        <v>2843</v>
      </c>
      <c r="K1210" t="s">
        <v>162</v>
      </c>
      <c r="L1210" t="s">
        <v>163</v>
      </c>
      <c r="M1210" t="s">
        <v>163</v>
      </c>
      <c r="N1210" t="s">
        <v>163</v>
      </c>
      <c r="O1210" s="4" t="s">
        <v>1891</v>
      </c>
      <c r="P1210">
        <v>0</v>
      </c>
      <c r="Q1210" s="24">
        <v>86.5</v>
      </c>
      <c r="R1210" s="25">
        <v>121.5</v>
      </c>
      <c r="S1210" s="26">
        <v>75.5</v>
      </c>
    </row>
    <row r="1211" spans="1:19" ht="14.25" x14ac:dyDescent="0.2">
      <c r="A1211" s="12">
        <v>20928</v>
      </c>
      <c r="B1211" s="13">
        <f t="shared" si="299"/>
        <v>24</v>
      </c>
      <c r="C1211" s="15">
        <f t="shared" si="300"/>
        <v>17</v>
      </c>
      <c r="D1211" s="14">
        <f t="shared" si="301"/>
        <v>15</v>
      </c>
      <c r="E1211" t="s">
        <v>2777</v>
      </c>
      <c r="F1211" t="s">
        <v>2836</v>
      </c>
      <c r="G1211" t="s">
        <v>2779</v>
      </c>
      <c r="H1211" t="s">
        <v>2779</v>
      </c>
      <c r="I1211" t="s">
        <v>2780</v>
      </c>
      <c r="J1211" s="4" t="s">
        <v>2843</v>
      </c>
      <c r="K1211" t="s">
        <v>177</v>
      </c>
      <c r="L1211" t="s">
        <v>163</v>
      </c>
      <c r="M1211" t="s">
        <v>163</v>
      </c>
      <c r="N1211" t="s">
        <v>163</v>
      </c>
      <c r="O1211" s="4" t="s">
        <v>1893</v>
      </c>
      <c r="P1211">
        <v>0</v>
      </c>
      <c r="Q1211" s="24">
        <v>86.5</v>
      </c>
      <c r="R1211" s="25">
        <v>121.5</v>
      </c>
      <c r="S1211" s="26">
        <v>75.5</v>
      </c>
    </row>
    <row r="1212" spans="1:19" ht="14.25" x14ac:dyDescent="0.2">
      <c r="A1212" s="12">
        <v>20929</v>
      </c>
      <c r="B1212" s="13">
        <f t="shared" si="299"/>
        <v>24</v>
      </c>
      <c r="C1212" s="15">
        <f t="shared" si="300"/>
        <v>17</v>
      </c>
      <c r="D1212" s="14">
        <f t="shared" si="301"/>
        <v>15</v>
      </c>
      <c r="E1212" t="s">
        <v>2777</v>
      </c>
      <c r="F1212" t="s">
        <v>2837</v>
      </c>
      <c r="G1212" t="s">
        <v>2779</v>
      </c>
      <c r="H1212" t="s">
        <v>2779</v>
      </c>
      <c r="I1212" t="s">
        <v>2780</v>
      </c>
      <c r="J1212" s="4" t="s">
        <v>2843</v>
      </c>
      <c r="K1212" t="s">
        <v>174</v>
      </c>
      <c r="L1212" t="s">
        <v>163</v>
      </c>
      <c r="M1212" t="s">
        <v>163</v>
      </c>
      <c r="N1212" t="s">
        <v>163</v>
      </c>
      <c r="O1212" s="4" t="s">
        <v>1895</v>
      </c>
      <c r="P1212">
        <v>0</v>
      </c>
      <c r="Q1212" s="24">
        <v>86.5</v>
      </c>
      <c r="R1212" s="25">
        <v>121.5</v>
      </c>
      <c r="S1212" s="26">
        <v>75.5</v>
      </c>
    </row>
    <row r="1213" spans="1:19" ht="14.25" x14ac:dyDescent="0.2">
      <c r="A1213" s="12">
        <v>20930</v>
      </c>
      <c r="B1213" s="13">
        <f t="shared" si="299"/>
        <v>24</v>
      </c>
      <c r="C1213" s="15">
        <f t="shared" si="300"/>
        <v>17</v>
      </c>
      <c r="D1213" s="14">
        <f t="shared" si="301"/>
        <v>15</v>
      </c>
      <c r="E1213" t="s">
        <v>2785</v>
      </c>
      <c r="F1213" t="s">
        <v>2786</v>
      </c>
      <c r="G1213" t="s">
        <v>2830</v>
      </c>
      <c r="H1213" t="s">
        <v>2829</v>
      </c>
      <c r="I1213" t="s">
        <v>2697</v>
      </c>
      <c r="J1213" s="4" t="s">
        <v>2863</v>
      </c>
      <c r="K1213" t="s">
        <v>166</v>
      </c>
      <c r="L1213" t="s">
        <v>163</v>
      </c>
      <c r="M1213" t="s">
        <v>163</v>
      </c>
      <c r="N1213" t="s">
        <v>163</v>
      </c>
      <c r="O1213" s="4" t="s">
        <v>1895</v>
      </c>
      <c r="P1213">
        <v>0</v>
      </c>
      <c r="Q1213" s="24">
        <v>86.5</v>
      </c>
      <c r="R1213" s="25">
        <v>121.5</v>
      </c>
      <c r="S1213" s="26">
        <v>75.5</v>
      </c>
    </row>
    <row r="1214" spans="1:19" ht="14.25" x14ac:dyDescent="0.2">
      <c r="A1214" s="12">
        <v>20931</v>
      </c>
      <c r="B1214" s="13">
        <f t="shared" si="299"/>
        <v>24</v>
      </c>
      <c r="C1214" s="15">
        <f t="shared" si="300"/>
        <v>17</v>
      </c>
      <c r="D1214" s="14">
        <f t="shared" si="301"/>
        <v>15</v>
      </c>
      <c r="E1214" t="s">
        <v>2777</v>
      </c>
      <c r="F1214" t="s">
        <v>2834</v>
      </c>
      <c r="G1214" t="s">
        <v>2779</v>
      </c>
      <c r="H1214" t="s">
        <v>2779</v>
      </c>
      <c r="I1214" t="s">
        <v>2780</v>
      </c>
      <c r="J1214" s="4" t="s">
        <v>2843</v>
      </c>
      <c r="K1214" t="s">
        <v>168</v>
      </c>
      <c r="L1214" t="s">
        <v>163</v>
      </c>
      <c r="M1214" t="s">
        <v>163</v>
      </c>
      <c r="N1214" t="s">
        <v>163</v>
      </c>
      <c r="O1214" s="4" t="s">
        <v>1897</v>
      </c>
      <c r="P1214">
        <v>0</v>
      </c>
      <c r="Q1214" s="24">
        <v>86.8</v>
      </c>
      <c r="R1214" s="25">
        <v>122</v>
      </c>
      <c r="S1214" s="26">
        <v>75.8</v>
      </c>
    </row>
    <row r="1215" spans="1:19" ht="14.25" x14ac:dyDescent="0.2">
      <c r="A1215" s="12">
        <v>20932</v>
      </c>
      <c r="B1215" s="13">
        <f t="shared" si="299"/>
        <v>24</v>
      </c>
      <c r="C1215" s="15">
        <f t="shared" si="300"/>
        <v>17</v>
      </c>
      <c r="D1215" s="14">
        <f t="shared" si="301"/>
        <v>15</v>
      </c>
      <c r="E1215" t="s">
        <v>2777</v>
      </c>
      <c r="F1215" t="s">
        <v>2835</v>
      </c>
      <c r="G1215" t="s">
        <v>2779</v>
      </c>
      <c r="H1215" t="s">
        <v>2779</v>
      </c>
      <c r="I1215" t="s">
        <v>2780</v>
      </c>
      <c r="J1215" s="4" t="s">
        <v>2843</v>
      </c>
      <c r="K1215" t="s">
        <v>175</v>
      </c>
      <c r="L1215" t="s">
        <v>164</v>
      </c>
      <c r="M1215" t="s">
        <v>163</v>
      </c>
      <c r="N1215" t="s">
        <v>167</v>
      </c>
      <c r="O1215" s="4" t="s">
        <v>1899</v>
      </c>
      <c r="P1215">
        <v>0</v>
      </c>
      <c r="Q1215" s="24">
        <v>86.8</v>
      </c>
      <c r="R1215" s="25">
        <v>122</v>
      </c>
      <c r="S1215" s="26">
        <v>75.8</v>
      </c>
    </row>
    <row r="1216" spans="1:19" ht="14.25" x14ac:dyDescent="0.2">
      <c r="A1216" s="12">
        <v>20933</v>
      </c>
      <c r="B1216" s="13">
        <f t="shared" si="299"/>
        <v>24</v>
      </c>
      <c r="C1216" s="15">
        <f t="shared" si="300"/>
        <v>17</v>
      </c>
      <c r="D1216" s="14">
        <f t="shared" si="301"/>
        <v>15</v>
      </c>
      <c r="E1216" t="s">
        <v>2777</v>
      </c>
      <c r="F1216" t="s">
        <v>2836</v>
      </c>
      <c r="G1216" t="s">
        <v>2779</v>
      </c>
      <c r="H1216" t="s">
        <v>2779</v>
      </c>
      <c r="I1216" t="s">
        <v>2780</v>
      </c>
      <c r="J1216" s="4" t="s">
        <v>2843</v>
      </c>
      <c r="K1216" t="s">
        <v>179</v>
      </c>
      <c r="L1216" t="s">
        <v>163</v>
      </c>
      <c r="M1216" t="s">
        <v>163</v>
      </c>
      <c r="N1216" t="s">
        <v>163</v>
      </c>
      <c r="O1216" s="4" t="s">
        <v>1901</v>
      </c>
      <c r="P1216">
        <v>0</v>
      </c>
      <c r="Q1216" s="24">
        <v>86.8</v>
      </c>
      <c r="R1216" s="25">
        <v>122</v>
      </c>
      <c r="S1216" s="26">
        <v>75.8</v>
      </c>
    </row>
    <row r="1217" spans="1:19" ht="14.25" x14ac:dyDescent="0.2">
      <c r="A1217" s="12">
        <v>20934</v>
      </c>
      <c r="B1217" s="13">
        <f t="shared" si="299"/>
        <v>24</v>
      </c>
      <c r="C1217" s="15">
        <f t="shared" si="300"/>
        <v>17</v>
      </c>
      <c r="D1217" s="14">
        <f t="shared" si="301"/>
        <v>15</v>
      </c>
      <c r="E1217" t="s">
        <v>2777</v>
      </c>
      <c r="F1217" t="s">
        <v>2837</v>
      </c>
      <c r="G1217" t="s">
        <v>2779</v>
      </c>
      <c r="H1217" t="s">
        <v>2779</v>
      </c>
      <c r="I1217" t="s">
        <v>2780</v>
      </c>
      <c r="J1217" s="4" t="s">
        <v>2843</v>
      </c>
      <c r="K1217" t="s">
        <v>177</v>
      </c>
      <c r="L1217" t="s">
        <v>163</v>
      </c>
      <c r="M1217" t="s">
        <v>163</v>
      </c>
      <c r="N1217" t="s">
        <v>163</v>
      </c>
      <c r="O1217" s="4" t="s">
        <v>1901</v>
      </c>
      <c r="P1217">
        <v>0</v>
      </c>
      <c r="Q1217" s="24">
        <v>86.8</v>
      </c>
      <c r="R1217" s="25">
        <v>122</v>
      </c>
      <c r="S1217" s="26">
        <v>75.8</v>
      </c>
    </row>
    <row r="1218" spans="1:19" ht="14.25" x14ac:dyDescent="0.2">
      <c r="A1218" s="12">
        <v>20935</v>
      </c>
      <c r="B1218" s="13">
        <f t="shared" si="299"/>
        <v>24</v>
      </c>
      <c r="C1218" s="15">
        <f t="shared" si="300"/>
        <v>17</v>
      </c>
      <c r="D1218" s="14">
        <f t="shared" si="301"/>
        <v>15</v>
      </c>
      <c r="E1218" t="s">
        <v>2785</v>
      </c>
      <c r="F1218" t="s">
        <v>2786</v>
      </c>
      <c r="G1218" t="s">
        <v>2831</v>
      </c>
      <c r="H1218" t="s">
        <v>2829</v>
      </c>
      <c r="I1218" t="s">
        <v>2697</v>
      </c>
      <c r="J1218" s="4" t="s">
        <v>2863</v>
      </c>
      <c r="K1218" t="s">
        <v>174</v>
      </c>
      <c r="L1218" t="s">
        <v>163</v>
      </c>
      <c r="M1218" t="s">
        <v>163</v>
      </c>
      <c r="N1218" t="s">
        <v>163</v>
      </c>
      <c r="O1218" s="4" t="s">
        <v>1903</v>
      </c>
      <c r="P1218">
        <v>0</v>
      </c>
      <c r="Q1218" s="24">
        <v>86.8</v>
      </c>
      <c r="R1218" s="25">
        <v>122</v>
      </c>
      <c r="S1218" s="26">
        <v>75.8</v>
      </c>
    </row>
    <row r="1219" spans="1:19" ht="14.25" x14ac:dyDescent="0.2">
      <c r="A1219" s="12">
        <v>20936</v>
      </c>
      <c r="B1219" s="13">
        <f t="shared" si="299"/>
        <v>24</v>
      </c>
      <c r="C1219" s="15">
        <f t="shared" si="300"/>
        <v>17</v>
      </c>
      <c r="D1219" s="14">
        <f t="shared" si="301"/>
        <v>15</v>
      </c>
      <c r="E1219" t="s">
        <v>2777</v>
      </c>
      <c r="F1219" t="s">
        <v>2834</v>
      </c>
      <c r="G1219" t="s">
        <v>2779</v>
      </c>
      <c r="H1219" t="s">
        <v>2779</v>
      </c>
      <c r="I1219" t="s">
        <v>2780</v>
      </c>
      <c r="J1219" s="4" t="s">
        <v>2843</v>
      </c>
      <c r="K1219" t="s">
        <v>182</v>
      </c>
      <c r="L1219" t="s">
        <v>163</v>
      </c>
      <c r="M1219" t="s">
        <v>163</v>
      </c>
      <c r="N1219" t="s">
        <v>163</v>
      </c>
      <c r="O1219" s="4" t="s">
        <v>1905</v>
      </c>
      <c r="P1219">
        <v>0</v>
      </c>
      <c r="Q1219" s="24">
        <v>87.2</v>
      </c>
      <c r="R1219" s="25">
        <v>122.5</v>
      </c>
      <c r="S1219" s="26">
        <v>76</v>
      </c>
    </row>
    <row r="1220" spans="1:19" ht="14.25" x14ac:dyDescent="0.2">
      <c r="A1220" s="12">
        <v>20937</v>
      </c>
      <c r="B1220" s="13">
        <f t="shared" si="299"/>
        <v>24</v>
      </c>
      <c r="C1220" s="15">
        <f t="shared" si="300"/>
        <v>17</v>
      </c>
      <c r="D1220" s="14">
        <f t="shared" si="301"/>
        <v>15</v>
      </c>
      <c r="E1220" t="s">
        <v>2777</v>
      </c>
      <c r="F1220" t="s">
        <v>2835</v>
      </c>
      <c r="G1220" t="s">
        <v>2779</v>
      </c>
      <c r="H1220" t="s">
        <v>2779</v>
      </c>
      <c r="I1220" t="s">
        <v>2780</v>
      </c>
      <c r="J1220" s="4" t="s">
        <v>2843</v>
      </c>
      <c r="K1220" t="s">
        <v>162</v>
      </c>
      <c r="L1220" t="s">
        <v>163</v>
      </c>
      <c r="M1220" t="s">
        <v>163</v>
      </c>
      <c r="N1220" t="s">
        <v>163</v>
      </c>
      <c r="O1220" s="4" t="s">
        <v>1905</v>
      </c>
      <c r="P1220">
        <v>0</v>
      </c>
      <c r="Q1220" s="24">
        <v>87.2</v>
      </c>
      <c r="R1220" s="25">
        <v>122.5</v>
      </c>
      <c r="S1220" s="26">
        <v>76</v>
      </c>
    </row>
    <row r="1221" spans="1:19" ht="14.25" x14ac:dyDescent="0.2">
      <c r="A1221" s="12">
        <v>20938</v>
      </c>
      <c r="B1221" s="13">
        <f t="shared" ref="B1221:B1284" si="302">FLOOR(R1219/5,1)</f>
        <v>24</v>
      </c>
      <c r="C1221" s="15">
        <f t="shared" ref="C1221:C1284" si="303">FLOOR(Q1219/5,1)</f>
        <v>17</v>
      </c>
      <c r="D1221" s="14">
        <f t="shared" ref="D1221:D1284" si="304">FLOOR(S1219/5,1)</f>
        <v>15</v>
      </c>
      <c r="E1221" t="s">
        <v>2777</v>
      </c>
      <c r="F1221" t="s">
        <v>2836</v>
      </c>
      <c r="G1221" t="s">
        <v>2779</v>
      </c>
      <c r="H1221" t="s">
        <v>2779</v>
      </c>
      <c r="I1221" t="s">
        <v>2780</v>
      </c>
      <c r="J1221" s="4" t="s">
        <v>2843</v>
      </c>
      <c r="K1221" t="s">
        <v>177</v>
      </c>
      <c r="L1221" t="s">
        <v>163</v>
      </c>
      <c r="M1221" t="s">
        <v>163</v>
      </c>
      <c r="N1221" t="s">
        <v>163</v>
      </c>
      <c r="O1221" s="4" t="s">
        <v>1907</v>
      </c>
      <c r="P1221">
        <v>0</v>
      </c>
      <c r="Q1221" s="24">
        <v>87.2</v>
      </c>
      <c r="R1221" s="25">
        <v>122.5</v>
      </c>
      <c r="S1221" s="26">
        <v>76</v>
      </c>
    </row>
    <row r="1222" spans="1:19" ht="14.25" x14ac:dyDescent="0.2">
      <c r="A1222" s="12">
        <v>20939</v>
      </c>
      <c r="B1222" s="13">
        <f t="shared" si="302"/>
        <v>24</v>
      </c>
      <c r="C1222" s="15">
        <f t="shared" si="303"/>
        <v>17</v>
      </c>
      <c r="D1222" s="14">
        <f t="shared" si="304"/>
        <v>15</v>
      </c>
      <c r="E1222" t="s">
        <v>2777</v>
      </c>
      <c r="F1222" t="s">
        <v>2837</v>
      </c>
      <c r="G1222" t="s">
        <v>2779</v>
      </c>
      <c r="H1222" t="s">
        <v>2779</v>
      </c>
      <c r="I1222" t="s">
        <v>2780</v>
      </c>
      <c r="J1222" s="4" t="s">
        <v>2843</v>
      </c>
      <c r="K1222" t="s">
        <v>174</v>
      </c>
      <c r="L1222" t="s">
        <v>163</v>
      </c>
      <c r="M1222" t="s">
        <v>163</v>
      </c>
      <c r="N1222" t="s">
        <v>163</v>
      </c>
      <c r="O1222" s="4" t="s">
        <v>1909</v>
      </c>
      <c r="P1222">
        <v>0</v>
      </c>
      <c r="Q1222" s="24">
        <v>87.2</v>
      </c>
      <c r="R1222" s="25">
        <v>122.5</v>
      </c>
      <c r="S1222" s="26">
        <v>76</v>
      </c>
    </row>
    <row r="1223" spans="1:19" ht="14.25" x14ac:dyDescent="0.2">
      <c r="A1223" s="12">
        <v>20940</v>
      </c>
      <c r="B1223" s="13">
        <f t="shared" si="302"/>
        <v>24</v>
      </c>
      <c r="C1223" s="15">
        <f t="shared" si="303"/>
        <v>17</v>
      </c>
      <c r="D1223" s="14">
        <f t="shared" si="304"/>
        <v>15</v>
      </c>
      <c r="E1223" t="s">
        <v>2785</v>
      </c>
      <c r="F1223" t="s">
        <v>2786</v>
      </c>
      <c r="G1223" t="s">
        <v>2832</v>
      </c>
      <c r="H1223" t="s">
        <v>2829</v>
      </c>
      <c r="I1223" t="s">
        <v>2697</v>
      </c>
      <c r="J1223" s="4" t="s">
        <v>2863</v>
      </c>
      <c r="K1223" t="s">
        <v>166</v>
      </c>
      <c r="L1223" t="s">
        <v>163</v>
      </c>
      <c r="M1223" t="s">
        <v>163</v>
      </c>
      <c r="N1223" t="s">
        <v>163</v>
      </c>
      <c r="O1223" s="4" t="s">
        <v>1909</v>
      </c>
      <c r="P1223">
        <v>0</v>
      </c>
      <c r="Q1223" s="24">
        <v>87.2</v>
      </c>
      <c r="R1223" s="25">
        <v>122.5</v>
      </c>
      <c r="S1223" s="26">
        <v>76</v>
      </c>
    </row>
    <row r="1224" spans="1:19" ht="14.25" x14ac:dyDescent="0.2">
      <c r="A1224" s="12">
        <v>20941</v>
      </c>
      <c r="B1224" s="13">
        <f t="shared" si="302"/>
        <v>24</v>
      </c>
      <c r="C1224" s="15">
        <f t="shared" si="303"/>
        <v>17</v>
      </c>
      <c r="D1224" s="14">
        <f t="shared" si="304"/>
        <v>15</v>
      </c>
      <c r="E1224" t="s">
        <v>2777</v>
      </c>
      <c r="F1224" t="s">
        <v>2834</v>
      </c>
      <c r="G1224" t="s">
        <v>2779</v>
      </c>
      <c r="H1224" t="s">
        <v>2779</v>
      </c>
      <c r="I1224" t="s">
        <v>2780</v>
      </c>
      <c r="J1224" s="4" t="s">
        <v>2843</v>
      </c>
      <c r="K1224" t="s">
        <v>168</v>
      </c>
      <c r="L1224" t="s">
        <v>163</v>
      </c>
      <c r="M1224" t="s">
        <v>163</v>
      </c>
      <c r="N1224" t="s">
        <v>163</v>
      </c>
      <c r="O1224" s="4" t="s">
        <v>1911</v>
      </c>
      <c r="P1224">
        <v>0</v>
      </c>
      <c r="Q1224" s="24">
        <v>87.5</v>
      </c>
      <c r="R1224" s="25">
        <v>123</v>
      </c>
      <c r="S1224" s="26">
        <v>76.3</v>
      </c>
    </row>
    <row r="1225" spans="1:19" ht="14.25" x14ac:dyDescent="0.2">
      <c r="A1225" s="12">
        <v>20942</v>
      </c>
      <c r="B1225" s="13">
        <f t="shared" si="302"/>
        <v>24</v>
      </c>
      <c r="C1225" s="15">
        <f t="shared" si="303"/>
        <v>17</v>
      </c>
      <c r="D1225" s="14">
        <f t="shared" si="304"/>
        <v>15</v>
      </c>
      <c r="E1225" t="s">
        <v>2777</v>
      </c>
      <c r="F1225" t="s">
        <v>2835</v>
      </c>
      <c r="G1225" t="s">
        <v>2779</v>
      </c>
      <c r="H1225" t="s">
        <v>2779</v>
      </c>
      <c r="I1225" t="s">
        <v>2780</v>
      </c>
      <c r="J1225" s="4" t="s">
        <v>2843</v>
      </c>
      <c r="K1225" t="s">
        <v>175</v>
      </c>
      <c r="L1225" t="s">
        <v>164</v>
      </c>
      <c r="M1225" t="s">
        <v>163</v>
      </c>
      <c r="N1225" t="s">
        <v>167</v>
      </c>
      <c r="O1225" s="4" t="s">
        <v>1913</v>
      </c>
      <c r="P1225">
        <v>0</v>
      </c>
      <c r="Q1225" s="24">
        <v>87.5</v>
      </c>
      <c r="R1225" s="25">
        <v>123</v>
      </c>
      <c r="S1225" s="26">
        <v>76.3</v>
      </c>
    </row>
    <row r="1226" spans="1:19" ht="14.25" x14ac:dyDescent="0.2">
      <c r="A1226" s="12">
        <v>20943</v>
      </c>
      <c r="B1226" s="13">
        <f t="shared" si="302"/>
        <v>24</v>
      </c>
      <c r="C1226" s="15">
        <f t="shared" si="303"/>
        <v>17</v>
      </c>
      <c r="D1226" s="14">
        <f t="shared" si="304"/>
        <v>15</v>
      </c>
      <c r="E1226" t="s">
        <v>2777</v>
      </c>
      <c r="F1226" t="s">
        <v>2836</v>
      </c>
      <c r="G1226" t="s">
        <v>2779</v>
      </c>
      <c r="H1226" t="s">
        <v>2779</v>
      </c>
      <c r="I1226" t="s">
        <v>2780</v>
      </c>
      <c r="J1226" s="4" t="s">
        <v>2843</v>
      </c>
      <c r="K1226" t="s">
        <v>179</v>
      </c>
      <c r="L1226" t="s">
        <v>163</v>
      </c>
      <c r="M1226" t="s">
        <v>163</v>
      </c>
      <c r="N1226" t="s">
        <v>163</v>
      </c>
      <c r="O1226" s="4" t="s">
        <v>1915</v>
      </c>
      <c r="P1226">
        <v>0</v>
      </c>
      <c r="Q1226" s="24">
        <v>87.5</v>
      </c>
      <c r="R1226" s="25">
        <v>123</v>
      </c>
      <c r="S1226" s="26">
        <v>76.3</v>
      </c>
    </row>
    <row r="1227" spans="1:19" ht="14.25" x14ac:dyDescent="0.2">
      <c r="A1227" s="12">
        <v>20944</v>
      </c>
      <c r="B1227" s="13">
        <f t="shared" si="302"/>
        <v>24</v>
      </c>
      <c r="C1227" s="15">
        <f t="shared" si="303"/>
        <v>17</v>
      </c>
      <c r="D1227" s="14">
        <f t="shared" si="304"/>
        <v>15</v>
      </c>
      <c r="E1227" t="s">
        <v>2777</v>
      </c>
      <c r="F1227" t="s">
        <v>2837</v>
      </c>
      <c r="G1227" t="s">
        <v>2779</v>
      </c>
      <c r="H1227" t="s">
        <v>2779</v>
      </c>
      <c r="I1227" t="s">
        <v>2780</v>
      </c>
      <c r="J1227" s="4" t="s">
        <v>2843</v>
      </c>
      <c r="K1227" t="s">
        <v>177</v>
      </c>
      <c r="L1227" t="s">
        <v>163</v>
      </c>
      <c r="M1227" t="s">
        <v>163</v>
      </c>
      <c r="N1227" t="s">
        <v>163</v>
      </c>
      <c r="O1227" s="4" t="s">
        <v>1915</v>
      </c>
      <c r="P1227">
        <v>0</v>
      </c>
      <c r="Q1227" s="24">
        <v>87.5</v>
      </c>
      <c r="R1227" s="25">
        <v>123</v>
      </c>
      <c r="S1227" s="26">
        <v>76.3</v>
      </c>
    </row>
    <row r="1228" spans="1:19" ht="14.25" x14ac:dyDescent="0.2">
      <c r="A1228" s="12">
        <v>20945</v>
      </c>
      <c r="B1228" s="13">
        <f t="shared" si="302"/>
        <v>24</v>
      </c>
      <c r="C1228" s="15">
        <f t="shared" si="303"/>
        <v>17</v>
      </c>
      <c r="D1228" s="14">
        <f t="shared" si="304"/>
        <v>15</v>
      </c>
      <c r="E1228" t="s">
        <v>2785</v>
      </c>
      <c r="F1228" t="s">
        <v>2786</v>
      </c>
      <c r="G1228" t="s">
        <v>2833</v>
      </c>
      <c r="H1228" t="s">
        <v>2829</v>
      </c>
      <c r="I1228" t="s">
        <v>2697</v>
      </c>
      <c r="J1228" s="4" t="s">
        <v>2881</v>
      </c>
      <c r="K1228" t="s">
        <v>174</v>
      </c>
      <c r="L1228" t="s">
        <v>163</v>
      </c>
      <c r="M1228" t="s">
        <v>163</v>
      </c>
      <c r="N1228" t="s">
        <v>163</v>
      </c>
      <c r="O1228" s="4" t="s">
        <v>1917</v>
      </c>
      <c r="P1228">
        <v>0</v>
      </c>
      <c r="Q1228" s="24">
        <v>87.5</v>
      </c>
      <c r="R1228" s="25">
        <v>123</v>
      </c>
      <c r="S1228" s="26">
        <v>76.3</v>
      </c>
    </row>
    <row r="1229" spans="1:19" ht="14.25" x14ac:dyDescent="0.2">
      <c r="A1229" s="12">
        <v>20946</v>
      </c>
      <c r="B1229" s="13">
        <f t="shared" si="302"/>
        <v>24</v>
      </c>
      <c r="C1229" s="15">
        <f t="shared" si="303"/>
        <v>17</v>
      </c>
      <c r="D1229" s="14">
        <f t="shared" si="304"/>
        <v>15</v>
      </c>
      <c r="E1229" t="s">
        <v>2777</v>
      </c>
      <c r="F1229" t="s">
        <v>2834</v>
      </c>
      <c r="G1229" t="s">
        <v>2779</v>
      </c>
      <c r="H1229" t="s">
        <v>2779</v>
      </c>
      <c r="I1229" t="s">
        <v>2780</v>
      </c>
      <c r="J1229" s="4" t="s">
        <v>2843</v>
      </c>
      <c r="K1229" t="s">
        <v>182</v>
      </c>
      <c r="L1229" t="s">
        <v>163</v>
      </c>
      <c r="M1229" t="s">
        <v>163</v>
      </c>
      <c r="N1229" t="s">
        <v>163</v>
      </c>
      <c r="O1229" s="4" t="s">
        <v>1919</v>
      </c>
      <c r="P1229">
        <v>0</v>
      </c>
      <c r="Q1229" s="24">
        <v>87.8</v>
      </c>
      <c r="R1229" s="25">
        <v>123.5</v>
      </c>
      <c r="S1229" s="26">
        <v>76.5</v>
      </c>
    </row>
    <row r="1230" spans="1:19" ht="14.25" x14ac:dyDescent="0.2">
      <c r="A1230" s="12">
        <v>20947</v>
      </c>
      <c r="B1230" s="13">
        <f t="shared" si="302"/>
        <v>24</v>
      </c>
      <c r="C1230" s="15">
        <f t="shared" si="303"/>
        <v>17</v>
      </c>
      <c r="D1230" s="14">
        <f t="shared" si="304"/>
        <v>15</v>
      </c>
      <c r="E1230" t="s">
        <v>2777</v>
      </c>
      <c r="F1230" t="s">
        <v>2835</v>
      </c>
      <c r="G1230" t="s">
        <v>2779</v>
      </c>
      <c r="H1230" t="s">
        <v>2779</v>
      </c>
      <c r="I1230" t="s">
        <v>2780</v>
      </c>
      <c r="J1230" s="4" t="s">
        <v>2843</v>
      </c>
      <c r="K1230" t="s">
        <v>162</v>
      </c>
      <c r="L1230" t="s">
        <v>163</v>
      </c>
      <c r="M1230" t="s">
        <v>163</v>
      </c>
      <c r="N1230" t="s">
        <v>163</v>
      </c>
      <c r="O1230" s="4" t="s">
        <v>1919</v>
      </c>
      <c r="P1230">
        <v>0</v>
      </c>
      <c r="Q1230" s="24">
        <v>87.8</v>
      </c>
      <c r="R1230" s="25">
        <v>123.5</v>
      </c>
      <c r="S1230" s="26">
        <v>76.5</v>
      </c>
    </row>
    <row r="1231" spans="1:19" ht="14.25" x14ac:dyDescent="0.2">
      <c r="A1231" s="12">
        <v>20948</v>
      </c>
      <c r="B1231" s="13">
        <f t="shared" si="302"/>
        <v>24</v>
      </c>
      <c r="C1231" s="15">
        <f t="shared" si="303"/>
        <v>17</v>
      </c>
      <c r="D1231" s="14">
        <f t="shared" si="304"/>
        <v>15</v>
      </c>
      <c r="E1231" t="s">
        <v>2777</v>
      </c>
      <c r="F1231" t="s">
        <v>2836</v>
      </c>
      <c r="G1231" t="s">
        <v>2779</v>
      </c>
      <c r="H1231" t="s">
        <v>2779</v>
      </c>
      <c r="I1231" t="s">
        <v>2780</v>
      </c>
      <c r="J1231" s="4" t="s">
        <v>2843</v>
      </c>
      <c r="K1231" t="s">
        <v>177</v>
      </c>
      <c r="L1231" t="s">
        <v>163</v>
      </c>
      <c r="M1231" t="s">
        <v>163</v>
      </c>
      <c r="N1231" t="s">
        <v>163</v>
      </c>
      <c r="O1231" s="4" t="s">
        <v>1921</v>
      </c>
      <c r="P1231">
        <v>0</v>
      </c>
      <c r="Q1231" s="24">
        <v>87.8</v>
      </c>
      <c r="R1231" s="25">
        <v>123.5</v>
      </c>
      <c r="S1231" s="26">
        <v>76.5</v>
      </c>
    </row>
    <row r="1232" spans="1:19" ht="14.25" x14ac:dyDescent="0.2">
      <c r="A1232" s="12">
        <v>20949</v>
      </c>
      <c r="B1232" s="13">
        <f t="shared" si="302"/>
        <v>24</v>
      </c>
      <c r="C1232" s="15">
        <f t="shared" si="303"/>
        <v>17</v>
      </c>
      <c r="D1232" s="14">
        <f t="shared" si="304"/>
        <v>15</v>
      </c>
      <c r="E1232" t="s">
        <v>2777</v>
      </c>
      <c r="F1232" t="s">
        <v>2837</v>
      </c>
      <c r="G1232" t="s">
        <v>2779</v>
      </c>
      <c r="H1232" t="s">
        <v>2779</v>
      </c>
      <c r="I1232" t="s">
        <v>2780</v>
      </c>
      <c r="J1232" s="4" t="s">
        <v>2843</v>
      </c>
      <c r="K1232" t="s">
        <v>174</v>
      </c>
      <c r="L1232" t="s">
        <v>163</v>
      </c>
      <c r="M1232" t="s">
        <v>163</v>
      </c>
      <c r="N1232" t="s">
        <v>163</v>
      </c>
      <c r="O1232" s="4" t="s">
        <v>1923</v>
      </c>
      <c r="P1232">
        <v>0</v>
      </c>
      <c r="Q1232" s="24">
        <v>87.8</v>
      </c>
      <c r="R1232" s="25">
        <v>123.5</v>
      </c>
      <c r="S1232" s="26">
        <v>76.5</v>
      </c>
    </row>
    <row r="1233" spans="1:19" ht="14.25" x14ac:dyDescent="0.2">
      <c r="A1233" s="12">
        <v>20950</v>
      </c>
      <c r="B1233" s="13">
        <f t="shared" si="302"/>
        <v>24</v>
      </c>
      <c r="C1233" s="15">
        <f t="shared" si="303"/>
        <v>17</v>
      </c>
      <c r="D1233" s="14">
        <f t="shared" si="304"/>
        <v>15</v>
      </c>
      <c r="E1233" t="s">
        <v>2785</v>
      </c>
      <c r="F1233" t="s">
        <v>2786</v>
      </c>
      <c r="G1233" t="s">
        <v>2828</v>
      </c>
      <c r="H1233" t="s">
        <v>2829</v>
      </c>
      <c r="I1233" t="s">
        <v>2697</v>
      </c>
      <c r="J1233" s="4" t="s">
        <v>2881</v>
      </c>
      <c r="K1233" t="s">
        <v>166</v>
      </c>
      <c r="L1233" t="s">
        <v>163</v>
      </c>
      <c r="M1233" t="s">
        <v>163</v>
      </c>
      <c r="N1233" t="s">
        <v>163</v>
      </c>
      <c r="O1233" s="4" t="s">
        <v>1923</v>
      </c>
      <c r="P1233">
        <v>0</v>
      </c>
      <c r="Q1233" s="24">
        <v>87.8</v>
      </c>
      <c r="R1233" s="25">
        <v>123.5</v>
      </c>
      <c r="S1233" s="26">
        <v>76.5</v>
      </c>
    </row>
    <row r="1234" spans="1:19" ht="14.25" x14ac:dyDescent="0.2">
      <c r="A1234" s="12">
        <v>21001</v>
      </c>
      <c r="B1234" s="13">
        <f t="shared" si="302"/>
        <v>24</v>
      </c>
      <c r="C1234" s="15">
        <f t="shared" si="303"/>
        <v>17</v>
      </c>
      <c r="D1234" s="14">
        <f t="shared" si="304"/>
        <v>15</v>
      </c>
      <c r="E1234" t="s">
        <v>2777</v>
      </c>
      <c r="F1234" t="s">
        <v>2834</v>
      </c>
      <c r="G1234" t="s">
        <v>2779</v>
      </c>
      <c r="H1234" t="s">
        <v>2779</v>
      </c>
      <c r="I1234" t="s">
        <v>2780</v>
      </c>
      <c r="J1234" s="4" t="s">
        <v>2843</v>
      </c>
      <c r="K1234" t="s">
        <v>168</v>
      </c>
      <c r="L1234" t="s">
        <v>163</v>
      </c>
      <c r="M1234" t="s">
        <v>163</v>
      </c>
      <c r="N1234" t="s">
        <v>163</v>
      </c>
      <c r="O1234" s="4" t="s">
        <v>1925</v>
      </c>
      <c r="P1234">
        <v>0</v>
      </c>
      <c r="Q1234" s="24">
        <v>88.2</v>
      </c>
      <c r="R1234" s="25">
        <v>124</v>
      </c>
      <c r="S1234" s="26">
        <v>76.8</v>
      </c>
    </row>
    <row r="1235" spans="1:19" ht="14.25" x14ac:dyDescent="0.2">
      <c r="A1235" s="12">
        <v>21002</v>
      </c>
      <c r="B1235" s="13">
        <f t="shared" si="302"/>
        <v>24</v>
      </c>
      <c r="C1235" s="15">
        <f t="shared" si="303"/>
        <v>17</v>
      </c>
      <c r="D1235" s="14">
        <f t="shared" si="304"/>
        <v>15</v>
      </c>
      <c r="E1235" t="s">
        <v>2777</v>
      </c>
      <c r="F1235" t="s">
        <v>2835</v>
      </c>
      <c r="G1235" t="s">
        <v>2779</v>
      </c>
      <c r="H1235" t="s">
        <v>2779</v>
      </c>
      <c r="I1235" t="s">
        <v>2780</v>
      </c>
      <c r="J1235" s="4" t="s">
        <v>2843</v>
      </c>
      <c r="K1235" t="s">
        <v>175</v>
      </c>
      <c r="L1235" t="s">
        <v>164</v>
      </c>
      <c r="M1235" t="s">
        <v>163</v>
      </c>
      <c r="N1235" t="s">
        <v>167</v>
      </c>
      <c r="O1235" s="4" t="s">
        <v>1927</v>
      </c>
      <c r="P1235">
        <v>0</v>
      </c>
      <c r="Q1235" s="24">
        <v>88.2</v>
      </c>
      <c r="R1235" s="25">
        <v>124</v>
      </c>
      <c r="S1235" s="26">
        <v>76.8</v>
      </c>
    </row>
    <row r="1236" spans="1:19" ht="14.25" x14ac:dyDescent="0.2">
      <c r="A1236" s="12">
        <v>21003</v>
      </c>
      <c r="B1236" s="13">
        <f t="shared" si="302"/>
        <v>24</v>
      </c>
      <c r="C1236" s="15">
        <f t="shared" si="303"/>
        <v>17</v>
      </c>
      <c r="D1236" s="14">
        <f t="shared" si="304"/>
        <v>15</v>
      </c>
      <c r="E1236" t="s">
        <v>2777</v>
      </c>
      <c r="F1236" t="s">
        <v>2836</v>
      </c>
      <c r="G1236" t="s">
        <v>2779</v>
      </c>
      <c r="H1236" t="s">
        <v>2779</v>
      </c>
      <c r="I1236" t="s">
        <v>2780</v>
      </c>
      <c r="J1236" s="4" t="s">
        <v>2843</v>
      </c>
      <c r="K1236" t="s">
        <v>179</v>
      </c>
      <c r="L1236" t="s">
        <v>163</v>
      </c>
      <c r="M1236" t="s">
        <v>163</v>
      </c>
      <c r="N1236" t="s">
        <v>163</v>
      </c>
      <c r="O1236" s="4" t="s">
        <v>1929</v>
      </c>
      <c r="P1236">
        <v>0</v>
      </c>
      <c r="Q1236" s="24">
        <v>88.2</v>
      </c>
      <c r="R1236" s="25">
        <v>124</v>
      </c>
      <c r="S1236" s="26">
        <v>76.8</v>
      </c>
    </row>
    <row r="1237" spans="1:19" ht="14.25" x14ac:dyDescent="0.2">
      <c r="A1237" s="12">
        <v>21004</v>
      </c>
      <c r="B1237" s="13">
        <f t="shared" si="302"/>
        <v>24</v>
      </c>
      <c r="C1237" s="15">
        <f t="shared" si="303"/>
        <v>17</v>
      </c>
      <c r="D1237" s="14">
        <f t="shared" si="304"/>
        <v>15</v>
      </c>
      <c r="E1237" t="s">
        <v>2777</v>
      </c>
      <c r="F1237" t="s">
        <v>2837</v>
      </c>
      <c r="G1237" t="s">
        <v>2779</v>
      </c>
      <c r="H1237" t="s">
        <v>2779</v>
      </c>
      <c r="I1237" t="s">
        <v>2780</v>
      </c>
      <c r="J1237" s="4" t="s">
        <v>2843</v>
      </c>
      <c r="K1237" t="s">
        <v>177</v>
      </c>
      <c r="L1237" t="s">
        <v>163</v>
      </c>
      <c r="M1237" t="s">
        <v>163</v>
      </c>
      <c r="N1237" t="s">
        <v>163</v>
      </c>
      <c r="O1237" s="4" t="s">
        <v>1929</v>
      </c>
      <c r="P1237">
        <v>0</v>
      </c>
      <c r="Q1237" s="24">
        <v>88.2</v>
      </c>
      <c r="R1237" s="25">
        <v>124</v>
      </c>
      <c r="S1237" s="26">
        <v>76.8</v>
      </c>
    </row>
    <row r="1238" spans="1:19" ht="14.25" x14ac:dyDescent="0.2">
      <c r="A1238" s="12">
        <v>21005</v>
      </c>
      <c r="B1238" s="13">
        <f t="shared" si="302"/>
        <v>24</v>
      </c>
      <c r="C1238" s="15">
        <f t="shared" si="303"/>
        <v>17</v>
      </c>
      <c r="D1238" s="14">
        <f t="shared" si="304"/>
        <v>15</v>
      </c>
      <c r="E1238" t="s">
        <v>2785</v>
      </c>
      <c r="F1238" t="s">
        <v>2786</v>
      </c>
      <c r="G1238" t="s">
        <v>2830</v>
      </c>
      <c r="H1238" t="s">
        <v>2829</v>
      </c>
      <c r="I1238" t="s">
        <v>2697</v>
      </c>
      <c r="J1238" s="4" t="s">
        <v>2863</v>
      </c>
      <c r="K1238" t="s">
        <v>174</v>
      </c>
      <c r="L1238" t="s">
        <v>163</v>
      </c>
      <c r="M1238" t="s">
        <v>163</v>
      </c>
      <c r="N1238" t="s">
        <v>163</v>
      </c>
      <c r="O1238" s="4" t="s">
        <v>1931</v>
      </c>
      <c r="P1238">
        <v>0</v>
      </c>
      <c r="Q1238" s="24">
        <v>88.2</v>
      </c>
      <c r="R1238" s="25">
        <v>124</v>
      </c>
      <c r="S1238" s="26">
        <v>76.8</v>
      </c>
    </row>
    <row r="1239" spans="1:19" ht="14.25" x14ac:dyDescent="0.2">
      <c r="A1239" s="12">
        <v>21006</v>
      </c>
      <c r="B1239" s="13">
        <f t="shared" si="302"/>
        <v>24</v>
      </c>
      <c r="C1239" s="15">
        <f t="shared" si="303"/>
        <v>17</v>
      </c>
      <c r="D1239" s="14">
        <f t="shared" si="304"/>
        <v>15</v>
      </c>
      <c r="E1239" t="s">
        <v>2777</v>
      </c>
      <c r="F1239" t="s">
        <v>2834</v>
      </c>
      <c r="G1239" t="s">
        <v>2779</v>
      </c>
      <c r="H1239" t="s">
        <v>2779</v>
      </c>
      <c r="I1239" t="s">
        <v>2780</v>
      </c>
      <c r="J1239" s="4" t="s">
        <v>2843</v>
      </c>
      <c r="K1239" t="s">
        <v>182</v>
      </c>
      <c r="L1239" t="s">
        <v>163</v>
      </c>
      <c r="M1239" t="s">
        <v>163</v>
      </c>
      <c r="N1239" t="s">
        <v>163</v>
      </c>
      <c r="O1239" s="4" t="s">
        <v>1933</v>
      </c>
      <c r="P1239">
        <v>0</v>
      </c>
      <c r="Q1239" s="24">
        <v>88.5</v>
      </c>
      <c r="R1239" s="25">
        <v>124.5</v>
      </c>
      <c r="S1239" s="26">
        <v>77</v>
      </c>
    </row>
    <row r="1240" spans="1:19" ht="14.25" x14ac:dyDescent="0.2">
      <c r="A1240" s="12">
        <v>21007</v>
      </c>
      <c r="B1240" s="13">
        <f t="shared" si="302"/>
        <v>24</v>
      </c>
      <c r="C1240" s="15">
        <f t="shared" si="303"/>
        <v>17</v>
      </c>
      <c r="D1240" s="14">
        <f t="shared" si="304"/>
        <v>15</v>
      </c>
      <c r="E1240" t="s">
        <v>2777</v>
      </c>
      <c r="F1240" t="s">
        <v>2835</v>
      </c>
      <c r="G1240" t="s">
        <v>2779</v>
      </c>
      <c r="H1240" t="s">
        <v>2779</v>
      </c>
      <c r="I1240" t="s">
        <v>2780</v>
      </c>
      <c r="J1240" s="4" t="s">
        <v>2843</v>
      </c>
      <c r="K1240" t="s">
        <v>162</v>
      </c>
      <c r="L1240" t="s">
        <v>163</v>
      </c>
      <c r="M1240" t="s">
        <v>163</v>
      </c>
      <c r="N1240" t="s">
        <v>163</v>
      </c>
      <c r="O1240" s="4" t="s">
        <v>1933</v>
      </c>
      <c r="P1240">
        <v>0</v>
      </c>
      <c r="Q1240" s="24">
        <v>88.5</v>
      </c>
      <c r="R1240" s="25">
        <v>124.5</v>
      </c>
      <c r="S1240" s="26">
        <v>77</v>
      </c>
    </row>
    <row r="1241" spans="1:19" ht="14.25" x14ac:dyDescent="0.2">
      <c r="A1241" s="12">
        <v>21008</v>
      </c>
      <c r="B1241" s="13">
        <f t="shared" si="302"/>
        <v>24</v>
      </c>
      <c r="C1241" s="15">
        <f t="shared" si="303"/>
        <v>17</v>
      </c>
      <c r="D1241" s="14">
        <f t="shared" si="304"/>
        <v>15</v>
      </c>
      <c r="E1241" t="s">
        <v>2777</v>
      </c>
      <c r="F1241" t="s">
        <v>2836</v>
      </c>
      <c r="G1241" t="s">
        <v>2779</v>
      </c>
      <c r="H1241" t="s">
        <v>2779</v>
      </c>
      <c r="I1241" t="s">
        <v>2780</v>
      </c>
      <c r="J1241" s="4" t="s">
        <v>2843</v>
      </c>
      <c r="K1241" t="s">
        <v>177</v>
      </c>
      <c r="L1241" t="s">
        <v>163</v>
      </c>
      <c r="M1241" t="s">
        <v>163</v>
      </c>
      <c r="N1241" t="s">
        <v>163</v>
      </c>
      <c r="O1241" s="4" t="s">
        <v>1935</v>
      </c>
      <c r="P1241">
        <v>0</v>
      </c>
      <c r="Q1241" s="24">
        <v>88.5</v>
      </c>
      <c r="R1241" s="25">
        <v>124.5</v>
      </c>
      <c r="S1241" s="26">
        <v>77</v>
      </c>
    </row>
    <row r="1242" spans="1:19" ht="14.25" x14ac:dyDescent="0.2">
      <c r="A1242" s="12">
        <v>21009</v>
      </c>
      <c r="B1242" s="13">
        <f t="shared" si="302"/>
        <v>24</v>
      </c>
      <c r="C1242" s="15">
        <f t="shared" si="303"/>
        <v>17</v>
      </c>
      <c r="D1242" s="14">
        <f t="shared" si="304"/>
        <v>15</v>
      </c>
      <c r="E1242" t="s">
        <v>2777</v>
      </c>
      <c r="F1242" t="s">
        <v>2837</v>
      </c>
      <c r="G1242" t="s">
        <v>2779</v>
      </c>
      <c r="H1242" t="s">
        <v>2779</v>
      </c>
      <c r="I1242" t="s">
        <v>2780</v>
      </c>
      <c r="J1242" s="4" t="s">
        <v>2843</v>
      </c>
      <c r="K1242" t="s">
        <v>174</v>
      </c>
      <c r="L1242" t="s">
        <v>163</v>
      </c>
      <c r="M1242" t="s">
        <v>163</v>
      </c>
      <c r="N1242" t="s">
        <v>163</v>
      </c>
      <c r="O1242" s="4" t="s">
        <v>1937</v>
      </c>
      <c r="P1242">
        <v>0</v>
      </c>
      <c r="Q1242" s="24">
        <v>88.5</v>
      </c>
      <c r="R1242" s="25">
        <v>124.5</v>
      </c>
      <c r="S1242" s="26">
        <v>77</v>
      </c>
    </row>
    <row r="1243" spans="1:19" ht="14.25" x14ac:dyDescent="0.2">
      <c r="A1243" s="12">
        <v>21010</v>
      </c>
      <c r="B1243" s="13">
        <f t="shared" si="302"/>
        <v>24</v>
      </c>
      <c r="C1243" s="15">
        <f t="shared" si="303"/>
        <v>17</v>
      </c>
      <c r="D1243" s="14">
        <f t="shared" si="304"/>
        <v>15</v>
      </c>
      <c r="E1243" t="s">
        <v>2785</v>
      </c>
      <c r="F1243" t="s">
        <v>2786</v>
      </c>
      <c r="G1243" t="s">
        <v>2831</v>
      </c>
      <c r="H1243" t="s">
        <v>2829</v>
      </c>
      <c r="I1243" t="s">
        <v>2697</v>
      </c>
      <c r="J1243" s="4" t="s">
        <v>2863</v>
      </c>
      <c r="K1243" t="s">
        <v>166</v>
      </c>
      <c r="L1243" t="s">
        <v>163</v>
      </c>
      <c r="M1243" t="s">
        <v>163</v>
      </c>
      <c r="N1243" t="s">
        <v>163</v>
      </c>
      <c r="O1243" s="4" t="s">
        <v>1937</v>
      </c>
      <c r="P1243">
        <v>0</v>
      </c>
      <c r="Q1243" s="24">
        <v>88.5</v>
      </c>
      <c r="R1243" s="25">
        <v>124.5</v>
      </c>
      <c r="S1243" s="26">
        <v>77</v>
      </c>
    </row>
    <row r="1244" spans="1:19" ht="14.25" x14ac:dyDescent="0.2">
      <c r="A1244" s="12">
        <v>21011</v>
      </c>
      <c r="B1244" s="13">
        <f t="shared" si="302"/>
        <v>24</v>
      </c>
      <c r="C1244" s="15">
        <f t="shared" si="303"/>
        <v>17</v>
      </c>
      <c r="D1244" s="14">
        <f t="shared" si="304"/>
        <v>15</v>
      </c>
      <c r="E1244" t="s">
        <v>2777</v>
      </c>
      <c r="F1244" t="s">
        <v>2834</v>
      </c>
      <c r="G1244" t="s">
        <v>2779</v>
      </c>
      <c r="H1244" t="s">
        <v>2779</v>
      </c>
      <c r="I1244" t="s">
        <v>2780</v>
      </c>
      <c r="J1244" s="4" t="s">
        <v>2843</v>
      </c>
      <c r="K1244" t="s">
        <v>168</v>
      </c>
      <c r="L1244" t="s">
        <v>163</v>
      </c>
      <c r="M1244" t="s">
        <v>163</v>
      </c>
      <c r="N1244" t="s">
        <v>163</v>
      </c>
      <c r="O1244" s="4" t="s">
        <v>1939</v>
      </c>
      <c r="P1244">
        <v>0</v>
      </c>
      <c r="Q1244" s="24">
        <v>88.8</v>
      </c>
      <c r="R1244" s="25">
        <v>125</v>
      </c>
      <c r="S1244" s="26">
        <v>77.3</v>
      </c>
    </row>
    <row r="1245" spans="1:19" ht="14.25" x14ac:dyDescent="0.2">
      <c r="A1245" s="12">
        <v>21012</v>
      </c>
      <c r="B1245" s="13">
        <f t="shared" si="302"/>
        <v>24</v>
      </c>
      <c r="C1245" s="15">
        <f t="shared" si="303"/>
        <v>17</v>
      </c>
      <c r="D1245" s="14">
        <f t="shared" si="304"/>
        <v>15</v>
      </c>
      <c r="E1245" t="s">
        <v>2777</v>
      </c>
      <c r="F1245" t="s">
        <v>2835</v>
      </c>
      <c r="G1245" t="s">
        <v>2779</v>
      </c>
      <c r="H1245" t="s">
        <v>2779</v>
      </c>
      <c r="I1245" t="s">
        <v>2780</v>
      </c>
      <c r="J1245" s="4" t="s">
        <v>2843</v>
      </c>
      <c r="K1245" t="s">
        <v>175</v>
      </c>
      <c r="L1245" t="s">
        <v>164</v>
      </c>
      <c r="M1245" t="s">
        <v>163</v>
      </c>
      <c r="N1245" t="s">
        <v>167</v>
      </c>
      <c r="O1245" s="4" t="s">
        <v>1941</v>
      </c>
      <c r="P1245">
        <v>0</v>
      </c>
      <c r="Q1245" s="24">
        <v>88.8</v>
      </c>
      <c r="R1245" s="25">
        <v>125</v>
      </c>
      <c r="S1245" s="26">
        <v>77.3</v>
      </c>
    </row>
    <row r="1246" spans="1:19" ht="14.25" x14ac:dyDescent="0.2">
      <c r="A1246" s="12">
        <v>21013</v>
      </c>
      <c r="B1246" s="13">
        <f t="shared" si="302"/>
        <v>25</v>
      </c>
      <c r="C1246" s="15">
        <f t="shared" si="303"/>
        <v>17</v>
      </c>
      <c r="D1246" s="14">
        <f t="shared" si="304"/>
        <v>15</v>
      </c>
      <c r="E1246" t="s">
        <v>2777</v>
      </c>
      <c r="F1246" t="s">
        <v>2836</v>
      </c>
      <c r="G1246" t="s">
        <v>2779</v>
      </c>
      <c r="H1246" t="s">
        <v>2779</v>
      </c>
      <c r="I1246" t="s">
        <v>2780</v>
      </c>
      <c r="J1246" s="4" t="s">
        <v>2843</v>
      </c>
      <c r="K1246" t="s">
        <v>179</v>
      </c>
      <c r="L1246" t="s">
        <v>163</v>
      </c>
      <c r="M1246" t="s">
        <v>163</v>
      </c>
      <c r="N1246" t="s">
        <v>163</v>
      </c>
      <c r="O1246" s="4" t="s">
        <v>1943</v>
      </c>
      <c r="P1246">
        <v>0</v>
      </c>
      <c r="Q1246" s="24">
        <v>88.8</v>
      </c>
      <c r="R1246" s="25">
        <v>125</v>
      </c>
      <c r="S1246" s="26">
        <v>77.3</v>
      </c>
    </row>
    <row r="1247" spans="1:19" ht="14.25" x14ac:dyDescent="0.2">
      <c r="A1247" s="12">
        <v>21014</v>
      </c>
      <c r="B1247" s="13">
        <f t="shared" si="302"/>
        <v>25</v>
      </c>
      <c r="C1247" s="15">
        <f t="shared" si="303"/>
        <v>17</v>
      </c>
      <c r="D1247" s="14">
        <f t="shared" si="304"/>
        <v>15</v>
      </c>
      <c r="E1247" t="s">
        <v>2777</v>
      </c>
      <c r="F1247" t="s">
        <v>2837</v>
      </c>
      <c r="G1247" t="s">
        <v>2779</v>
      </c>
      <c r="H1247" t="s">
        <v>2779</v>
      </c>
      <c r="I1247" t="s">
        <v>2780</v>
      </c>
      <c r="J1247" s="4" t="s">
        <v>2843</v>
      </c>
      <c r="K1247" t="s">
        <v>177</v>
      </c>
      <c r="L1247" t="s">
        <v>163</v>
      </c>
      <c r="M1247" t="s">
        <v>163</v>
      </c>
      <c r="N1247" t="s">
        <v>163</v>
      </c>
      <c r="O1247" s="4" t="s">
        <v>1943</v>
      </c>
      <c r="P1247">
        <v>0</v>
      </c>
      <c r="Q1247" s="24">
        <v>88.8</v>
      </c>
      <c r="R1247" s="25">
        <v>125</v>
      </c>
      <c r="S1247" s="26">
        <v>77.3</v>
      </c>
    </row>
    <row r="1248" spans="1:19" ht="14.25" x14ac:dyDescent="0.2">
      <c r="A1248" s="12">
        <v>21015</v>
      </c>
      <c r="B1248" s="13">
        <f t="shared" si="302"/>
        <v>25</v>
      </c>
      <c r="C1248" s="15">
        <f t="shared" si="303"/>
        <v>17</v>
      </c>
      <c r="D1248" s="14">
        <f t="shared" si="304"/>
        <v>15</v>
      </c>
      <c r="E1248" t="s">
        <v>2785</v>
      </c>
      <c r="F1248" t="s">
        <v>2786</v>
      </c>
      <c r="G1248" t="s">
        <v>2832</v>
      </c>
      <c r="H1248" t="s">
        <v>2829</v>
      </c>
      <c r="I1248" t="s">
        <v>2697</v>
      </c>
      <c r="J1248" s="4" t="s">
        <v>2863</v>
      </c>
      <c r="K1248" t="s">
        <v>174</v>
      </c>
      <c r="L1248" t="s">
        <v>163</v>
      </c>
      <c r="M1248" t="s">
        <v>163</v>
      </c>
      <c r="N1248" t="s">
        <v>163</v>
      </c>
      <c r="O1248" s="4" t="s">
        <v>1945</v>
      </c>
      <c r="P1248">
        <v>0</v>
      </c>
      <c r="Q1248" s="24">
        <v>88.8</v>
      </c>
      <c r="R1248" s="25">
        <v>125</v>
      </c>
      <c r="S1248" s="26">
        <v>77.3</v>
      </c>
    </row>
    <row r="1249" spans="1:19" ht="14.25" x14ac:dyDescent="0.2">
      <c r="A1249" s="12">
        <v>21016</v>
      </c>
      <c r="B1249" s="13">
        <f t="shared" si="302"/>
        <v>25</v>
      </c>
      <c r="C1249" s="15">
        <f t="shared" si="303"/>
        <v>17</v>
      </c>
      <c r="D1249" s="14">
        <f t="shared" si="304"/>
        <v>15</v>
      </c>
      <c r="E1249" t="s">
        <v>2777</v>
      </c>
      <c r="F1249" t="s">
        <v>2834</v>
      </c>
      <c r="G1249" t="s">
        <v>2779</v>
      </c>
      <c r="H1249" t="s">
        <v>2779</v>
      </c>
      <c r="I1249" t="s">
        <v>2780</v>
      </c>
      <c r="J1249" s="4" t="s">
        <v>2843</v>
      </c>
      <c r="K1249" t="s">
        <v>182</v>
      </c>
      <c r="L1249" t="s">
        <v>163</v>
      </c>
      <c r="M1249" t="s">
        <v>163</v>
      </c>
      <c r="N1249" t="s">
        <v>163</v>
      </c>
      <c r="O1249" s="4" t="s">
        <v>1947</v>
      </c>
      <c r="P1249">
        <v>0</v>
      </c>
      <c r="Q1249" s="24">
        <v>89.2</v>
      </c>
      <c r="R1249" s="25">
        <v>125.5</v>
      </c>
      <c r="S1249" s="26">
        <v>77.5</v>
      </c>
    </row>
    <row r="1250" spans="1:19" ht="14.25" x14ac:dyDescent="0.2">
      <c r="A1250" s="12">
        <v>21017</v>
      </c>
      <c r="B1250" s="13">
        <f t="shared" si="302"/>
        <v>25</v>
      </c>
      <c r="C1250" s="15">
        <f t="shared" si="303"/>
        <v>17</v>
      </c>
      <c r="D1250" s="14">
        <f t="shared" si="304"/>
        <v>15</v>
      </c>
      <c r="E1250" t="s">
        <v>2777</v>
      </c>
      <c r="F1250" t="s">
        <v>2835</v>
      </c>
      <c r="G1250" t="s">
        <v>2779</v>
      </c>
      <c r="H1250" t="s">
        <v>2779</v>
      </c>
      <c r="I1250" t="s">
        <v>2780</v>
      </c>
      <c r="J1250" s="4" t="s">
        <v>2843</v>
      </c>
      <c r="K1250" t="s">
        <v>162</v>
      </c>
      <c r="L1250" t="s">
        <v>163</v>
      </c>
      <c r="M1250" t="s">
        <v>163</v>
      </c>
      <c r="N1250" t="s">
        <v>163</v>
      </c>
      <c r="O1250" s="4" t="s">
        <v>1947</v>
      </c>
      <c r="P1250">
        <v>0</v>
      </c>
      <c r="Q1250" s="24">
        <v>89.2</v>
      </c>
      <c r="R1250" s="25">
        <v>125.5</v>
      </c>
      <c r="S1250" s="26">
        <v>77.5</v>
      </c>
    </row>
    <row r="1251" spans="1:19" ht="14.25" x14ac:dyDescent="0.2">
      <c r="A1251" s="12">
        <v>21018</v>
      </c>
      <c r="B1251" s="13">
        <f t="shared" si="302"/>
        <v>25</v>
      </c>
      <c r="C1251" s="15">
        <f t="shared" si="303"/>
        <v>17</v>
      </c>
      <c r="D1251" s="14">
        <f t="shared" si="304"/>
        <v>15</v>
      </c>
      <c r="E1251" t="s">
        <v>2777</v>
      </c>
      <c r="F1251" t="s">
        <v>2836</v>
      </c>
      <c r="G1251" t="s">
        <v>2779</v>
      </c>
      <c r="H1251" t="s">
        <v>2779</v>
      </c>
      <c r="I1251" t="s">
        <v>2780</v>
      </c>
      <c r="J1251" s="4" t="s">
        <v>2843</v>
      </c>
      <c r="K1251" t="s">
        <v>177</v>
      </c>
      <c r="L1251" t="s">
        <v>163</v>
      </c>
      <c r="M1251" t="s">
        <v>163</v>
      </c>
      <c r="N1251" t="s">
        <v>163</v>
      </c>
      <c r="O1251" s="4" t="s">
        <v>1949</v>
      </c>
      <c r="P1251">
        <v>0</v>
      </c>
      <c r="Q1251" s="24">
        <v>89.2</v>
      </c>
      <c r="R1251" s="25">
        <v>125.5</v>
      </c>
      <c r="S1251" s="26">
        <v>77.5</v>
      </c>
    </row>
    <row r="1252" spans="1:19" ht="14.25" x14ac:dyDescent="0.2">
      <c r="A1252" s="12">
        <v>21019</v>
      </c>
      <c r="B1252" s="13">
        <f t="shared" si="302"/>
        <v>25</v>
      </c>
      <c r="C1252" s="15">
        <f t="shared" si="303"/>
        <v>17</v>
      </c>
      <c r="D1252" s="14">
        <f t="shared" si="304"/>
        <v>15</v>
      </c>
      <c r="E1252" t="s">
        <v>2777</v>
      </c>
      <c r="F1252" t="s">
        <v>2837</v>
      </c>
      <c r="G1252" t="s">
        <v>2779</v>
      </c>
      <c r="H1252" t="s">
        <v>2779</v>
      </c>
      <c r="I1252" t="s">
        <v>2780</v>
      </c>
      <c r="J1252" s="4" t="s">
        <v>2843</v>
      </c>
      <c r="K1252" t="s">
        <v>174</v>
      </c>
      <c r="L1252" t="s">
        <v>163</v>
      </c>
      <c r="M1252" t="s">
        <v>163</v>
      </c>
      <c r="N1252" t="s">
        <v>163</v>
      </c>
      <c r="O1252" s="4" t="s">
        <v>1951</v>
      </c>
      <c r="P1252">
        <v>0</v>
      </c>
      <c r="Q1252" s="24">
        <v>89.2</v>
      </c>
      <c r="R1252" s="25">
        <v>125.5</v>
      </c>
      <c r="S1252" s="26">
        <v>77.5</v>
      </c>
    </row>
    <row r="1253" spans="1:19" ht="14.25" x14ac:dyDescent="0.2">
      <c r="A1253" s="12">
        <v>21020</v>
      </c>
      <c r="B1253" s="13">
        <f t="shared" si="302"/>
        <v>25</v>
      </c>
      <c r="C1253" s="15">
        <f t="shared" si="303"/>
        <v>17</v>
      </c>
      <c r="D1253" s="14">
        <f t="shared" si="304"/>
        <v>15</v>
      </c>
      <c r="E1253" t="s">
        <v>2785</v>
      </c>
      <c r="F1253" t="s">
        <v>2786</v>
      </c>
      <c r="G1253" t="s">
        <v>2833</v>
      </c>
      <c r="H1253" t="s">
        <v>2829</v>
      </c>
      <c r="I1253" t="s">
        <v>2697</v>
      </c>
      <c r="J1253" s="4" t="s">
        <v>2881</v>
      </c>
      <c r="K1253" t="s">
        <v>166</v>
      </c>
      <c r="L1253" t="s">
        <v>163</v>
      </c>
      <c r="M1253" t="s">
        <v>163</v>
      </c>
      <c r="N1253" t="s">
        <v>163</v>
      </c>
      <c r="O1253" s="4" t="s">
        <v>1951</v>
      </c>
      <c r="P1253">
        <v>0</v>
      </c>
      <c r="Q1253" s="24">
        <v>89.2</v>
      </c>
      <c r="R1253" s="25">
        <v>125.5</v>
      </c>
      <c r="S1253" s="26">
        <v>77.5</v>
      </c>
    </row>
    <row r="1254" spans="1:19" ht="14.25" x14ac:dyDescent="0.2">
      <c r="A1254" s="12">
        <v>21021</v>
      </c>
      <c r="B1254" s="13">
        <f t="shared" si="302"/>
        <v>25</v>
      </c>
      <c r="C1254" s="15">
        <f t="shared" si="303"/>
        <v>17</v>
      </c>
      <c r="D1254" s="14">
        <f t="shared" si="304"/>
        <v>15</v>
      </c>
      <c r="E1254" t="s">
        <v>2777</v>
      </c>
      <c r="F1254" t="s">
        <v>2834</v>
      </c>
      <c r="G1254" t="s">
        <v>2779</v>
      </c>
      <c r="H1254" t="s">
        <v>2779</v>
      </c>
      <c r="I1254" t="s">
        <v>2780</v>
      </c>
      <c r="J1254" s="4" t="s">
        <v>2843</v>
      </c>
      <c r="K1254" t="s">
        <v>168</v>
      </c>
      <c r="L1254" t="s">
        <v>163</v>
      </c>
      <c r="M1254" t="s">
        <v>163</v>
      </c>
      <c r="N1254" t="s">
        <v>163</v>
      </c>
      <c r="O1254" s="4" t="s">
        <v>1953</v>
      </c>
      <c r="P1254">
        <v>0</v>
      </c>
      <c r="Q1254" s="24">
        <v>89.5</v>
      </c>
      <c r="R1254" s="25">
        <v>126</v>
      </c>
      <c r="S1254" s="26">
        <v>77.8</v>
      </c>
    </row>
    <row r="1255" spans="1:19" ht="14.25" x14ac:dyDescent="0.2">
      <c r="A1255" s="12">
        <v>21022</v>
      </c>
      <c r="B1255" s="13">
        <f t="shared" si="302"/>
        <v>25</v>
      </c>
      <c r="C1255" s="15">
        <f t="shared" si="303"/>
        <v>17</v>
      </c>
      <c r="D1255" s="14">
        <f t="shared" si="304"/>
        <v>15</v>
      </c>
      <c r="E1255" t="s">
        <v>2777</v>
      </c>
      <c r="F1255" t="s">
        <v>2835</v>
      </c>
      <c r="G1255" t="s">
        <v>2779</v>
      </c>
      <c r="H1255" t="s">
        <v>2779</v>
      </c>
      <c r="I1255" t="s">
        <v>2780</v>
      </c>
      <c r="J1255" s="4" t="s">
        <v>2843</v>
      </c>
      <c r="K1255" t="s">
        <v>175</v>
      </c>
      <c r="L1255" t="s">
        <v>164</v>
      </c>
      <c r="M1255" t="s">
        <v>163</v>
      </c>
      <c r="N1255" t="s">
        <v>167</v>
      </c>
      <c r="O1255" s="4" t="s">
        <v>1955</v>
      </c>
      <c r="P1255">
        <v>0</v>
      </c>
      <c r="Q1255" s="24">
        <v>89.5</v>
      </c>
      <c r="R1255" s="25">
        <v>126</v>
      </c>
      <c r="S1255" s="26">
        <v>77.8</v>
      </c>
    </row>
    <row r="1256" spans="1:19" ht="14.25" x14ac:dyDescent="0.2">
      <c r="A1256" s="12">
        <v>21023</v>
      </c>
      <c r="B1256" s="13">
        <f t="shared" si="302"/>
        <v>25</v>
      </c>
      <c r="C1256" s="15">
        <f t="shared" si="303"/>
        <v>17</v>
      </c>
      <c r="D1256" s="14">
        <f t="shared" si="304"/>
        <v>15</v>
      </c>
      <c r="E1256" t="s">
        <v>2777</v>
      </c>
      <c r="F1256" t="s">
        <v>2836</v>
      </c>
      <c r="G1256" t="s">
        <v>2779</v>
      </c>
      <c r="H1256" t="s">
        <v>2779</v>
      </c>
      <c r="I1256" t="s">
        <v>2780</v>
      </c>
      <c r="J1256" s="4" t="s">
        <v>2843</v>
      </c>
      <c r="K1256" t="s">
        <v>179</v>
      </c>
      <c r="L1256" t="s">
        <v>163</v>
      </c>
      <c r="M1256" t="s">
        <v>163</v>
      </c>
      <c r="N1256" t="s">
        <v>163</v>
      </c>
      <c r="O1256" s="4" t="s">
        <v>1957</v>
      </c>
      <c r="P1256">
        <v>0</v>
      </c>
      <c r="Q1256" s="24">
        <v>89.5</v>
      </c>
      <c r="R1256" s="25">
        <v>126</v>
      </c>
      <c r="S1256" s="26">
        <v>77.8</v>
      </c>
    </row>
    <row r="1257" spans="1:19" ht="14.25" x14ac:dyDescent="0.2">
      <c r="A1257" s="12">
        <v>21024</v>
      </c>
      <c r="B1257" s="13">
        <f t="shared" si="302"/>
        <v>25</v>
      </c>
      <c r="C1257" s="15">
        <f t="shared" si="303"/>
        <v>17</v>
      </c>
      <c r="D1257" s="14">
        <f t="shared" si="304"/>
        <v>15</v>
      </c>
      <c r="E1257" t="s">
        <v>2777</v>
      </c>
      <c r="F1257" t="s">
        <v>2837</v>
      </c>
      <c r="G1257" t="s">
        <v>2779</v>
      </c>
      <c r="H1257" t="s">
        <v>2779</v>
      </c>
      <c r="I1257" t="s">
        <v>2780</v>
      </c>
      <c r="J1257" s="4" t="s">
        <v>2843</v>
      </c>
      <c r="K1257" t="s">
        <v>177</v>
      </c>
      <c r="L1257" t="s">
        <v>163</v>
      </c>
      <c r="M1257" t="s">
        <v>163</v>
      </c>
      <c r="N1257" t="s">
        <v>163</v>
      </c>
      <c r="O1257" s="4" t="s">
        <v>1957</v>
      </c>
      <c r="P1257">
        <v>0</v>
      </c>
      <c r="Q1257" s="24">
        <v>89.5</v>
      </c>
      <c r="R1257" s="25">
        <v>126</v>
      </c>
      <c r="S1257" s="26">
        <v>77.8</v>
      </c>
    </row>
    <row r="1258" spans="1:19" ht="14.25" x14ac:dyDescent="0.2">
      <c r="A1258" s="12">
        <v>21025</v>
      </c>
      <c r="B1258" s="13">
        <f t="shared" si="302"/>
        <v>25</v>
      </c>
      <c r="C1258" s="15">
        <f t="shared" si="303"/>
        <v>17</v>
      </c>
      <c r="D1258" s="14">
        <f t="shared" si="304"/>
        <v>15</v>
      </c>
      <c r="E1258" t="s">
        <v>2785</v>
      </c>
      <c r="F1258" t="s">
        <v>2786</v>
      </c>
      <c r="G1258" t="s">
        <v>2828</v>
      </c>
      <c r="H1258" t="s">
        <v>2829</v>
      </c>
      <c r="I1258" t="s">
        <v>2697</v>
      </c>
      <c r="J1258" s="4" t="s">
        <v>2881</v>
      </c>
      <c r="K1258" t="s">
        <v>174</v>
      </c>
      <c r="L1258" t="s">
        <v>163</v>
      </c>
      <c r="M1258" t="s">
        <v>163</v>
      </c>
      <c r="N1258" t="s">
        <v>163</v>
      </c>
      <c r="O1258" s="4" t="s">
        <v>1959</v>
      </c>
      <c r="P1258">
        <v>0</v>
      </c>
      <c r="Q1258" s="24">
        <v>89.5</v>
      </c>
      <c r="R1258" s="25">
        <v>126</v>
      </c>
      <c r="S1258" s="26">
        <v>77.8</v>
      </c>
    </row>
    <row r="1259" spans="1:19" ht="14.25" x14ac:dyDescent="0.2">
      <c r="A1259" s="12">
        <v>21026</v>
      </c>
      <c r="B1259" s="13">
        <f t="shared" si="302"/>
        <v>25</v>
      </c>
      <c r="C1259" s="15">
        <f t="shared" si="303"/>
        <v>17</v>
      </c>
      <c r="D1259" s="14">
        <f t="shared" si="304"/>
        <v>15</v>
      </c>
      <c r="E1259" t="s">
        <v>2777</v>
      </c>
      <c r="F1259" t="s">
        <v>2834</v>
      </c>
      <c r="G1259" t="s">
        <v>2779</v>
      </c>
      <c r="H1259" t="s">
        <v>2779</v>
      </c>
      <c r="I1259" t="s">
        <v>2780</v>
      </c>
      <c r="J1259" s="4" t="s">
        <v>2843</v>
      </c>
      <c r="K1259" t="s">
        <v>182</v>
      </c>
      <c r="L1259" t="s">
        <v>163</v>
      </c>
      <c r="M1259" t="s">
        <v>163</v>
      </c>
      <c r="N1259" t="s">
        <v>163</v>
      </c>
      <c r="O1259" s="4" t="s">
        <v>1961</v>
      </c>
      <c r="P1259">
        <v>0</v>
      </c>
      <c r="Q1259" s="24">
        <v>89.8</v>
      </c>
      <c r="R1259" s="25">
        <v>126.5</v>
      </c>
      <c r="S1259" s="26">
        <v>78</v>
      </c>
    </row>
    <row r="1260" spans="1:19" ht="14.25" x14ac:dyDescent="0.2">
      <c r="A1260" s="12">
        <v>21027</v>
      </c>
      <c r="B1260" s="13">
        <f t="shared" si="302"/>
        <v>25</v>
      </c>
      <c r="C1260" s="15">
        <f t="shared" si="303"/>
        <v>17</v>
      </c>
      <c r="D1260" s="14">
        <f t="shared" si="304"/>
        <v>15</v>
      </c>
      <c r="E1260" t="s">
        <v>2777</v>
      </c>
      <c r="F1260" t="s">
        <v>2835</v>
      </c>
      <c r="G1260" t="s">
        <v>2779</v>
      </c>
      <c r="H1260" t="s">
        <v>2779</v>
      </c>
      <c r="I1260" t="s">
        <v>2780</v>
      </c>
      <c r="J1260" s="4" t="s">
        <v>2843</v>
      </c>
      <c r="K1260" t="s">
        <v>162</v>
      </c>
      <c r="L1260" t="s">
        <v>163</v>
      </c>
      <c r="M1260" t="s">
        <v>163</v>
      </c>
      <c r="N1260" t="s">
        <v>163</v>
      </c>
      <c r="O1260" s="4" t="s">
        <v>1961</v>
      </c>
      <c r="P1260">
        <v>0</v>
      </c>
      <c r="Q1260" s="24">
        <v>89.8</v>
      </c>
      <c r="R1260" s="25">
        <v>126.5</v>
      </c>
      <c r="S1260" s="26">
        <v>78</v>
      </c>
    </row>
    <row r="1261" spans="1:19" ht="14.25" x14ac:dyDescent="0.2">
      <c r="A1261" s="12">
        <v>21028</v>
      </c>
      <c r="B1261" s="13">
        <f t="shared" si="302"/>
        <v>25</v>
      </c>
      <c r="C1261" s="15">
        <f t="shared" si="303"/>
        <v>17</v>
      </c>
      <c r="D1261" s="14">
        <f t="shared" si="304"/>
        <v>15</v>
      </c>
      <c r="E1261" t="s">
        <v>2777</v>
      </c>
      <c r="F1261" t="s">
        <v>2836</v>
      </c>
      <c r="G1261" t="s">
        <v>2779</v>
      </c>
      <c r="H1261" t="s">
        <v>2779</v>
      </c>
      <c r="I1261" t="s">
        <v>2780</v>
      </c>
      <c r="J1261" s="4" t="s">
        <v>2843</v>
      </c>
      <c r="K1261" t="s">
        <v>177</v>
      </c>
      <c r="L1261" t="s">
        <v>163</v>
      </c>
      <c r="M1261" t="s">
        <v>163</v>
      </c>
      <c r="N1261" t="s">
        <v>163</v>
      </c>
      <c r="O1261" s="4" t="s">
        <v>1963</v>
      </c>
      <c r="P1261">
        <v>0</v>
      </c>
      <c r="Q1261" s="24">
        <v>89.8</v>
      </c>
      <c r="R1261" s="25">
        <v>126.5</v>
      </c>
      <c r="S1261" s="26">
        <v>78</v>
      </c>
    </row>
    <row r="1262" spans="1:19" ht="14.25" x14ac:dyDescent="0.2">
      <c r="A1262" s="12">
        <v>21029</v>
      </c>
      <c r="B1262" s="13">
        <f t="shared" si="302"/>
        <v>25</v>
      </c>
      <c r="C1262" s="15">
        <f t="shared" si="303"/>
        <v>17</v>
      </c>
      <c r="D1262" s="14">
        <f t="shared" si="304"/>
        <v>15</v>
      </c>
      <c r="E1262" t="s">
        <v>2777</v>
      </c>
      <c r="F1262" t="s">
        <v>2837</v>
      </c>
      <c r="G1262" t="s">
        <v>2779</v>
      </c>
      <c r="H1262" t="s">
        <v>2779</v>
      </c>
      <c r="I1262" t="s">
        <v>2780</v>
      </c>
      <c r="J1262" s="4" t="s">
        <v>2843</v>
      </c>
      <c r="K1262" t="s">
        <v>174</v>
      </c>
      <c r="L1262" t="s">
        <v>163</v>
      </c>
      <c r="M1262" t="s">
        <v>163</v>
      </c>
      <c r="N1262" t="s">
        <v>163</v>
      </c>
      <c r="O1262" s="4" t="s">
        <v>1965</v>
      </c>
      <c r="P1262">
        <v>0</v>
      </c>
      <c r="Q1262" s="24">
        <v>89.8</v>
      </c>
      <c r="R1262" s="25">
        <v>126.5</v>
      </c>
      <c r="S1262" s="26">
        <v>78</v>
      </c>
    </row>
    <row r="1263" spans="1:19" ht="14.25" x14ac:dyDescent="0.2">
      <c r="A1263" s="12">
        <v>21030</v>
      </c>
      <c r="B1263" s="13">
        <f t="shared" si="302"/>
        <v>25</v>
      </c>
      <c r="C1263" s="15">
        <f t="shared" si="303"/>
        <v>17</v>
      </c>
      <c r="D1263" s="14">
        <f t="shared" si="304"/>
        <v>15</v>
      </c>
      <c r="E1263" t="s">
        <v>2785</v>
      </c>
      <c r="F1263" t="s">
        <v>2786</v>
      </c>
      <c r="G1263" t="s">
        <v>2830</v>
      </c>
      <c r="H1263" t="s">
        <v>2829</v>
      </c>
      <c r="I1263" t="s">
        <v>2697</v>
      </c>
      <c r="J1263" s="4" t="s">
        <v>2863</v>
      </c>
      <c r="K1263" t="s">
        <v>166</v>
      </c>
      <c r="L1263" t="s">
        <v>163</v>
      </c>
      <c r="M1263" t="s">
        <v>163</v>
      </c>
      <c r="N1263" t="s">
        <v>163</v>
      </c>
      <c r="O1263" s="4" t="s">
        <v>1965</v>
      </c>
      <c r="P1263">
        <v>0</v>
      </c>
      <c r="Q1263" s="24">
        <v>89.8</v>
      </c>
      <c r="R1263" s="25">
        <v>126.5</v>
      </c>
      <c r="S1263" s="26">
        <v>78</v>
      </c>
    </row>
    <row r="1264" spans="1:19" ht="14.25" x14ac:dyDescent="0.2">
      <c r="A1264" s="12">
        <v>21031</v>
      </c>
      <c r="B1264" s="13">
        <f t="shared" si="302"/>
        <v>25</v>
      </c>
      <c r="C1264" s="15">
        <f t="shared" si="303"/>
        <v>17</v>
      </c>
      <c r="D1264" s="14">
        <f t="shared" si="304"/>
        <v>15</v>
      </c>
      <c r="E1264" t="s">
        <v>2777</v>
      </c>
      <c r="F1264" t="s">
        <v>2834</v>
      </c>
      <c r="G1264" t="s">
        <v>2779</v>
      </c>
      <c r="H1264" t="s">
        <v>2779</v>
      </c>
      <c r="I1264" t="s">
        <v>2780</v>
      </c>
      <c r="J1264" s="4" t="s">
        <v>2843</v>
      </c>
      <c r="K1264" t="s">
        <v>168</v>
      </c>
      <c r="L1264" t="s">
        <v>163</v>
      </c>
      <c r="M1264" t="s">
        <v>163</v>
      </c>
      <c r="N1264" t="s">
        <v>163</v>
      </c>
      <c r="O1264" s="4" t="s">
        <v>1967</v>
      </c>
      <c r="P1264">
        <v>0</v>
      </c>
      <c r="Q1264" s="24">
        <v>90.2</v>
      </c>
      <c r="R1264" s="25">
        <v>127</v>
      </c>
      <c r="S1264" s="26">
        <v>78.3</v>
      </c>
    </row>
    <row r="1265" spans="1:19" ht="14.25" x14ac:dyDescent="0.2">
      <c r="A1265" s="12">
        <v>21032</v>
      </c>
      <c r="B1265" s="13">
        <f t="shared" si="302"/>
        <v>25</v>
      </c>
      <c r="C1265" s="15">
        <f t="shared" si="303"/>
        <v>17</v>
      </c>
      <c r="D1265" s="14">
        <f t="shared" si="304"/>
        <v>15</v>
      </c>
      <c r="E1265" t="s">
        <v>2777</v>
      </c>
      <c r="F1265" t="s">
        <v>2835</v>
      </c>
      <c r="G1265" t="s">
        <v>2779</v>
      </c>
      <c r="H1265" t="s">
        <v>2779</v>
      </c>
      <c r="I1265" t="s">
        <v>2780</v>
      </c>
      <c r="J1265" s="4" t="s">
        <v>2843</v>
      </c>
      <c r="K1265" t="s">
        <v>175</v>
      </c>
      <c r="L1265" t="s">
        <v>164</v>
      </c>
      <c r="M1265" t="s">
        <v>163</v>
      </c>
      <c r="N1265" t="s">
        <v>167</v>
      </c>
      <c r="O1265" s="4" t="s">
        <v>1969</v>
      </c>
      <c r="P1265">
        <v>0</v>
      </c>
      <c r="Q1265" s="24">
        <v>90.2</v>
      </c>
      <c r="R1265" s="25">
        <v>127</v>
      </c>
      <c r="S1265" s="26">
        <v>78.3</v>
      </c>
    </row>
    <row r="1266" spans="1:19" ht="14.25" x14ac:dyDescent="0.2">
      <c r="A1266" s="12">
        <v>21033</v>
      </c>
      <c r="B1266" s="13">
        <f t="shared" si="302"/>
        <v>25</v>
      </c>
      <c r="C1266" s="15">
        <f t="shared" si="303"/>
        <v>18</v>
      </c>
      <c r="D1266" s="14">
        <f t="shared" si="304"/>
        <v>15</v>
      </c>
      <c r="E1266" t="s">
        <v>2777</v>
      </c>
      <c r="F1266" t="s">
        <v>2836</v>
      </c>
      <c r="G1266" t="s">
        <v>2779</v>
      </c>
      <c r="H1266" t="s">
        <v>2779</v>
      </c>
      <c r="I1266" t="s">
        <v>2780</v>
      </c>
      <c r="J1266" s="4" t="s">
        <v>2843</v>
      </c>
      <c r="K1266" t="s">
        <v>179</v>
      </c>
      <c r="L1266" t="s">
        <v>163</v>
      </c>
      <c r="M1266" t="s">
        <v>163</v>
      </c>
      <c r="N1266" t="s">
        <v>163</v>
      </c>
      <c r="O1266" s="4" t="s">
        <v>1971</v>
      </c>
      <c r="P1266">
        <v>0</v>
      </c>
      <c r="Q1266" s="24">
        <v>90.2</v>
      </c>
      <c r="R1266" s="25">
        <v>127</v>
      </c>
      <c r="S1266" s="26">
        <v>78.3</v>
      </c>
    </row>
    <row r="1267" spans="1:19" ht="14.25" x14ac:dyDescent="0.2">
      <c r="A1267" s="12">
        <v>21034</v>
      </c>
      <c r="B1267" s="13">
        <f t="shared" si="302"/>
        <v>25</v>
      </c>
      <c r="C1267" s="15">
        <f t="shared" si="303"/>
        <v>18</v>
      </c>
      <c r="D1267" s="14">
        <f t="shared" si="304"/>
        <v>15</v>
      </c>
      <c r="E1267" t="s">
        <v>2777</v>
      </c>
      <c r="F1267" t="s">
        <v>2837</v>
      </c>
      <c r="G1267" t="s">
        <v>2779</v>
      </c>
      <c r="H1267" t="s">
        <v>2779</v>
      </c>
      <c r="I1267" t="s">
        <v>2780</v>
      </c>
      <c r="J1267" s="4" t="s">
        <v>2843</v>
      </c>
      <c r="K1267" t="s">
        <v>177</v>
      </c>
      <c r="L1267" t="s">
        <v>163</v>
      </c>
      <c r="M1267" t="s">
        <v>163</v>
      </c>
      <c r="N1267" t="s">
        <v>163</v>
      </c>
      <c r="O1267" s="4" t="s">
        <v>1971</v>
      </c>
      <c r="P1267">
        <v>0</v>
      </c>
      <c r="Q1267" s="24">
        <v>90.2</v>
      </c>
      <c r="R1267" s="25">
        <v>127</v>
      </c>
      <c r="S1267" s="26">
        <v>78.3</v>
      </c>
    </row>
    <row r="1268" spans="1:19" ht="14.25" x14ac:dyDescent="0.2">
      <c r="A1268" s="12">
        <v>21035</v>
      </c>
      <c r="B1268" s="13">
        <f t="shared" si="302"/>
        <v>25</v>
      </c>
      <c r="C1268" s="15">
        <f t="shared" si="303"/>
        <v>18</v>
      </c>
      <c r="D1268" s="14">
        <f t="shared" si="304"/>
        <v>15</v>
      </c>
      <c r="E1268" t="s">
        <v>2785</v>
      </c>
      <c r="F1268" t="s">
        <v>2786</v>
      </c>
      <c r="G1268" t="s">
        <v>2831</v>
      </c>
      <c r="H1268" t="s">
        <v>2829</v>
      </c>
      <c r="I1268" t="s">
        <v>2697</v>
      </c>
      <c r="J1268" s="4" t="s">
        <v>2863</v>
      </c>
      <c r="K1268" t="s">
        <v>174</v>
      </c>
      <c r="L1268" t="s">
        <v>163</v>
      </c>
      <c r="M1268" t="s">
        <v>163</v>
      </c>
      <c r="N1268" t="s">
        <v>163</v>
      </c>
      <c r="O1268" s="4" t="s">
        <v>1973</v>
      </c>
      <c r="P1268">
        <v>0</v>
      </c>
      <c r="Q1268" s="24">
        <v>90.2</v>
      </c>
      <c r="R1268" s="25">
        <v>127</v>
      </c>
      <c r="S1268" s="26">
        <v>78.3</v>
      </c>
    </row>
    <row r="1269" spans="1:19" ht="14.25" x14ac:dyDescent="0.2">
      <c r="A1269" s="12">
        <v>21036</v>
      </c>
      <c r="B1269" s="13">
        <f t="shared" si="302"/>
        <v>25</v>
      </c>
      <c r="C1269" s="15">
        <f t="shared" si="303"/>
        <v>18</v>
      </c>
      <c r="D1269" s="14">
        <f t="shared" si="304"/>
        <v>15</v>
      </c>
      <c r="E1269" t="s">
        <v>2777</v>
      </c>
      <c r="F1269" t="s">
        <v>2834</v>
      </c>
      <c r="G1269" t="s">
        <v>2779</v>
      </c>
      <c r="H1269" t="s">
        <v>2779</v>
      </c>
      <c r="I1269" t="s">
        <v>2780</v>
      </c>
      <c r="J1269" s="4" t="s">
        <v>2843</v>
      </c>
      <c r="K1269" t="s">
        <v>182</v>
      </c>
      <c r="L1269" t="s">
        <v>163</v>
      </c>
      <c r="M1269" t="s">
        <v>163</v>
      </c>
      <c r="N1269" t="s">
        <v>163</v>
      </c>
      <c r="O1269" s="4" t="s">
        <v>1975</v>
      </c>
      <c r="P1269">
        <v>0</v>
      </c>
      <c r="Q1269" s="24">
        <v>90.5</v>
      </c>
      <c r="R1269" s="25">
        <v>127.5</v>
      </c>
      <c r="S1269" s="26">
        <v>78.5</v>
      </c>
    </row>
    <row r="1270" spans="1:19" ht="14.25" x14ac:dyDescent="0.2">
      <c r="A1270" s="12">
        <v>21037</v>
      </c>
      <c r="B1270" s="13">
        <f t="shared" si="302"/>
        <v>25</v>
      </c>
      <c r="C1270" s="15">
        <f t="shared" si="303"/>
        <v>18</v>
      </c>
      <c r="D1270" s="14">
        <f t="shared" si="304"/>
        <v>15</v>
      </c>
      <c r="E1270" t="s">
        <v>2777</v>
      </c>
      <c r="F1270" t="s">
        <v>2835</v>
      </c>
      <c r="G1270" t="s">
        <v>2779</v>
      </c>
      <c r="H1270" t="s">
        <v>2779</v>
      </c>
      <c r="I1270" t="s">
        <v>2780</v>
      </c>
      <c r="J1270" s="4" t="s">
        <v>2843</v>
      </c>
      <c r="K1270" t="s">
        <v>162</v>
      </c>
      <c r="L1270" t="s">
        <v>163</v>
      </c>
      <c r="M1270" t="s">
        <v>163</v>
      </c>
      <c r="N1270" t="s">
        <v>163</v>
      </c>
      <c r="O1270" s="4" t="s">
        <v>1975</v>
      </c>
      <c r="P1270">
        <v>0</v>
      </c>
      <c r="Q1270" s="24">
        <v>90.5</v>
      </c>
      <c r="R1270" s="25">
        <v>127.5</v>
      </c>
      <c r="S1270" s="26">
        <v>78.5</v>
      </c>
    </row>
    <row r="1271" spans="1:19" ht="14.25" x14ac:dyDescent="0.2">
      <c r="A1271" s="12">
        <v>21038</v>
      </c>
      <c r="B1271" s="13">
        <f t="shared" si="302"/>
        <v>25</v>
      </c>
      <c r="C1271" s="15">
        <f t="shared" si="303"/>
        <v>18</v>
      </c>
      <c r="D1271" s="14">
        <f t="shared" si="304"/>
        <v>15</v>
      </c>
      <c r="E1271" t="s">
        <v>2777</v>
      </c>
      <c r="F1271" t="s">
        <v>2836</v>
      </c>
      <c r="G1271" t="s">
        <v>2779</v>
      </c>
      <c r="H1271" t="s">
        <v>2779</v>
      </c>
      <c r="I1271" t="s">
        <v>2780</v>
      </c>
      <c r="J1271" s="4" t="s">
        <v>2843</v>
      </c>
      <c r="K1271" t="s">
        <v>177</v>
      </c>
      <c r="L1271" t="s">
        <v>163</v>
      </c>
      <c r="M1271" t="s">
        <v>163</v>
      </c>
      <c r="N1271" t="s">
        <v>163</v>
      </c>
      <c r="O1271" s="4" t="s">
        <v>1977</v>
      </c>
      <c r="P1271">
        <v>0</v>
      </c>
      <c r="Q1271" s="24">
        <v>90.5</v>
      </c>
      <c r="R1271" s="25">
        <v>127.5</v>
      </c>
      <c r="S1271" s="26">
        <v>78.5</v>
      </c>
    </row>
    <row r="1272" spans="1:19" ht="14.25" x14ac:dyDescent="0.2">
      <c r="A1272" s="12">
        <v>21039</v>
      </c>
      <c r="B1272" s="13">
        <f t="shared" si="302"/>
        <v>25</v>
      </c>
      <c r="C1272" s="15">
        <f t="shared" si="303"/>
        <v>18</v>
      </c>
      <c r="D1272" s="14">
        <f t="shared" si="304"/>
        <v>15</v>
      </c>
      <c r="E1272" t="s">
        <v>2777</v>
      </c>
      <c r="F1272" t="s">
        <v>2837</v>
      </c>
      <c r="G1272" t="s">
        <v>2779</v>
      </c>
      <c r="H1272" t="s">
        <v>2779</v>
      </c>
      <c r="I1272" t="s">
        <v>2780</v>
      </c>
      <c r="J1272" s="4" t="s">
        <v>2843</v>
      </c>
      <c r="K1272" t="s">
        <v>174</v>
      </c>
      <c r="L1272" t="s">
        <v>163</v>
      </c>
      <c r="M1272" t="s">
        <v>163</v>
      </c>
      <c r="N1272" t="s">
        <v>163</v>
      </c>
      <c r="O1272" s="4" t="s">
        <v>1979</v>
      </c>
      <c r="P1272">
        <v>0</v>
      </c>
      <c r="Q1272" s="24">
        <v>90.5</v>
      </c>
      <c r="R1272" s="25">
        <v>127.5</v>
      </c>
      <c r="S1272" s="26">
        <v>78.5</v>
      </c>
    </row>
    <row r="1273" spans="1:19" ht="14.25" x14ac:dyDescent="0.2">
      <c r="A1273" s="12">
        <v>21040</v>
      </c>
      <c r="B1273" s="13">
        <f t="shared" si="302"/>
        <v>25</v>
      </c>
      <c r="C1273" s="15">
        <f t="shared" si="303"/>
        <v>18</v>
      </c>
      <c r="D1273" s="14">
        <f t="shared" si="304"/>
        <v>15</v>
      </c>
      <c r="E1273" t="s">
        <v>2785</v>
      </c>
      <c r="F1273" t="s">
        <v>2786</v>
      </c>
      <c r="G1273" t="s">
        <v>2832</v>
      </c>
      <c r="H1273" t="s">
        <v>2829</v>
      </c>
      <c r="I1273" t="s">
        <v>2697</v>
      </c>
      <c r="J1273" s="4" t="s">
        <v>2863</v>
      </c>
      <c r="K1273" t="s">
        <v>166</v>
      </c>
      <c r="L1273" t="s">
        <v>163</v>
      </c>
      <c r="M1273" t="s">
        <v>163</v>
      </c>
      <c r="N1273" t="s">
        <v>163</v>
      </c>
      <c r="O1273" s="4" t="s">
        <v>1979</v>
      </c>
      <c r="P1273">
        <v>0</v>
      </c>
      <c r="Q1273" s="24">
        <v>90.5</v>
      </c>
      <c r="R1273" s="25">
        <v>127.5</v>
      </c>
      <c r="S1273" s="26">
        <v>78.5</v>
      </c>
    </row>
    <row r="1274" spans="1:19" ht="14.25" x14ac:dyDescent="0.2">
      <c r="A1274" s="12">
        <v>21041</v>
      </c>
      <c r="B1274" s="13">
        <f t="shared" si="302"/>
        <v>25</v>
      </c>
      <c r="C1274" s="15">
        <f t="shared" si="303"/>
        <v>18</v>
      </c>
      <c r="D1274" s="14">
        <f t="shared" si="304"/>
        <v>15</v>
      </c>
      <c r="E1274" t="s">
        <v>2777</v>
      </c>
      <c r="F1274" t="s">
        <v>2834</v>
      </c>
      <c r="G1274" t="s">
        <v>2779</v>
      </c>
      <c r="H1274" t="s">
        <v>2779</v>
      </c>
      <c r="I1274" t="s">
        <v>2780</v>
      </c>
      <c r="J1274" s="4" t="s">
        <v>2843</v>
      </c>
      <c r="K1274" t="s">
        <v>168</v>
      </c>
      <c r="L1274" t="s">
        <v>163</v>
      </c>
      <c r="M1274" t="s">
        <v>163</v>
      </c>
      <c r="N1274" t="s">
        <v>163</v>
      </c>
      <c r="O1274" s="4" t="s">
        <v>1981</v>
      </c>
      <c r="P1274">
        <v>0</v>
      </c>
      <c r="Q1274" s="24">
        <v>90.8</v>
      </c>
      <c r="R1274" s="25">
        <v>128</v>
      </c>
      <c r="S1274" s="26">
        <v>78.8</v>
      </c>
    </row>
    <row r="1275" spans="1:19" ht="14.25" x14ac:dyDescent="0.2">
      <c r="A1275" s="12">
        <v>21042</v>
      </c>
      <c r="B1275" s="13">
        <f t="shared" si="302"/>
        <v>25</v>
      </c>
      <c r="C1275" s="15">
        <f t="shared" si="303"/>
        <v>18</v>
      </c>
      <c r="D1275" s="14">
        <f t="shared" si="304"/>
        <v>15</v>
      </c>
      <c r="E1275" t="s">
        <v>2777</v>
      </c>
      <c r="F1275" t="s">
        <v>2835</v>
      </c>
      <c r="G1275" t="s">
        <v>2779</v>
      </c>
      <c r="H1275" t="s">
        <v>2779</v>
      </c>
      <c r="I1275" t="s">
        <v>2780</v>
      </c>
      <c r="J1275" s="4" t="s">
        <v>2843</v>
      </c>
      <c r="K1275" t="s">
        <v>175</v>
      </c>
      <c r="L1275" t="s">
        <v>164</v>
      </c>
      <c r="M1275" t="s">
        <v>163</v>
      </c>
      <c r="N1275" t="s">
        <v>167</v>
      </c>
      <c r="O1275" s="4" t="s">
        <v>1983</v>
      </c>
      <c r="P1275">
        <v>0</v>
      </c>
      <c r="Q1275" s="24">
        <v>90.8</v>
      </c>
      <c r="R1275" s="25">
        <v>128</v>
      </c>
      <c r="S1275" s="26">
        <v>78.8</v>
      </c>
    </row>
    <row r="1276" spans="1:19" ht="14.25" x14ac:dyDescent="0.2">
      <c r="A1276" s="12">
        <v>21043</v>
      </c>
      <c r="B1276" s="13">
        <f t="shared" si="302"/>
        <v>25</v>
      </c>
      <c r="C1276" s="15">
        <f t="shared" si="303"/>
        <v>18</v>
      </c>
      <c r="D1276" s="14">
        <f t="shared" si="304"/>
        <v>15</v>
      </c>
      <c r="E1276" t="s">
        <v>2777</v>
      </c>
      <c r="F1276" t="s">
        <v>2836</v>
      </c>
      <c r="G1276" t="s">
        <v>2779</v>
      </c>
      <c r="H1276" t="s">
        <v>2779</v>
      </c>
      <c r="I1276" t="s">
        <v>2780</v>
      </c>
      <c r="J1276" s="4" t="s">
        <v>2843</v>
      </c>
      <c r="K1276" t="s">
        <v>179</v>
      </c>
      <c r="L1276" t="s">
        <v>163</v>
      </c>
      <c r="M1276" t="s">
        <v>163</v>
      </c>
      <c r="N1276" t="s">
        <v>163</v>
      </c>
      <c r="O1276" s="4" t="s">
        <v>1985</v>
      </c>
      <c r="P1276">
        <v>0</v>
      </c>
      <c r="Q1276" s="24">
        <v>90.8</v>
      </c>
      <c r="R1276" s="25">
        <v>128</v>
      </c>
      <c r="S1276" s="26">
        <v>78.8</v>
      </c>
    </row>
    <row r="1277" spans="1:19" ht="14.25" x14ac:dyDescent="0.2">
      <c r="A1277" s="12">
        <v>21044</v>
      </c>
      <c r="B1277" s="13">
        <f t="shared" si="302"/>
        <v>25</v>
      </c>
      <c r="C1277" s="15">
        <f t="shared" si="303"/>
        <v>18</v>
      </c>
      <c r="D1277" s="14">
        <f t="shared" si="304"/>
        <v>15</v>
      </c>
      <c r="E1277" t="s">
        <v>2777</v>
      </c>
      <c r="F1277" t="s">
        <v>2837</v>
      </c>
      <c r="G1277" t="s">
        <v>2779</v>
      </c>
      <c r="H1277" t="s">
        <v>2779</v>
      </c>
      <c r="I1277" t="s">
        <v>2780</v>
      </c>
      <c r="J1277" s="4" t="s">
        <v>2843</v>
      </c>
      <c r="K1277" t="s">
        <v>177</v>
      </c>
      <c r="L1277" t="s">
        <v>163</v>
      </c>
      <c r="M1277" t="s">
        <v>163</v>
      </c>
      <c r="N1277" t="s">
        <v>163</v>
      </c>
      <c r="O1277" s="4" t="s">
        <v>1985</v>
      </c>
      <c r="P1277">
        <v>0</v>
      </c>
      <c r="Q1277" s="24">
        <v>90.8</v>
      </c>
      <c r="R1277" s="25">
        <v>128</v>
      </c>
      <c r="S1277" s="26">
        <v>78.8</v>
      </c>
    </row>
    <row r="1278" spans="1:19" ht="14.25" x14ac:dyDescent="0.2">
      <c r="A1278" s="12">
        <v>21045</v>
      </c>
      <c r="B1278" s="13">
        <f t="shared" si="302"/>
        <v>25</v>
      </c>
      <c r="C1278" s="15">
        <f t="shared" si="303"/>
        <v>18</v>
      </c>
      <c r="D1278" s="14">
        <f t="shared" si="304"/>
        <v>15</v>
      </c>
      <c r="E1278" t="s">
        <v>2785</v>
      </c>
      <c r="F1278" t="s">
        <v>2786</v>
      </c>
      <c r="G1278" t="s">
        <v>2833</v>
      </c>
      <c r="H1278" t="s">
        <v>2829</v>
      </c>
      <c r="I1278" t="s">
        <v>2697</v>
      </c>
      <c r="J1278" s="4" t="s">
        <v>2881</v>
      </c>
      <c r="K1278" t="s">
        <v>174</v>
      </c>
      <c r="L1278" t="s">
        <v>163</v>
      </c>
      <c r="M1278" t="s">
        <v>163</v>
      </c>
      <c r="N1278" t="s">
        <v>163</v>
      </c>
      <c r="O1278" s="4" t="s">
        <v>1987</v>
      </c>
      <c r="P1278">
        <v>0</v>
      </c>
      <c r="Q1278" s="24">
        <v>90.8</v>
      </c>
      <c r="R1278" s="25">
        <v>128</v>
      </c>
      <c r="S1278" s="26">
        <v>78.8</v>
      </c>
    </row>
    <row r="1279" spans="1:19" ht="14.25" x14ac:dyDescent="0.2">
      <c r="A1279" s="12">
        <v>21046</v>
      </c>
      <c r="B1279" s="13">
        <f t="shared" si="302"/>
        <v>25</v>
      </c>
      <c r="C1279" s="15">
        <f t="shared" si="303"/>
        <v>18</v>
      </c>
      <c r="D1279" s="14">
        <f t="shared" si="304"/>
        <v>15</v>
      </c>
      <c r="E1279" t="s">
        <v>2777</v>
      </c>
      <c r="F1279" t="s">
        <v>2834</v>
      </c>
      <c r="G1279" t="s">
        <v>2779</v>
      </c>
      <c r="H1279" t="s">
        <v>2779</v>
      </c>
      <c r="I1279" t="s">
        <v>2780</v>
      </c>
      <c r="J1279" s="17" t="s">
        <v>2843</v>
      </c>
      <c r="K1279" t="s">
        <v>182</v>
      </c>
      <c r="L1279" t="s">
        <v>163</v>
      </c>
      <c r="M1279" t="s">
        <v>163</v>
      </c>
      <c r="N1279" t="s">
        <v>163</v>
      </c>
      <c r="O1279" s="4" t="s">
        <v>1989</v>
      </c>
      <c r="P1279">
        <v>0</v>
      </c>
      <c r="Q1279" s="24">
        <v>91.2</v>
      </c>
      <c r="R1279" s="25">
        <v>128.5</v>
      </c>
      <c r="S1279" s="26">
        <v>79</v>
      </c>
    </row>
    <row r="1280" spans="1:19" ht="14.25" x14ac:dyDescent="0.2">
      <c r="A1280" s="12">
        <v>21047</v>
      </c>
      <c r="B1280" s="13">
        <f t="shared" si="302"/>
        <v>25</v>
      </c>
      <c r="C1280" s="15">
        <f t="shared" si="303"/>
        <v>18</v>
      </c>
      <c r="D1280" s="14">
        <f t="shared" si="304"/>
        <v>15</v>
      </c>
      <c r="E1280" t="s">
        <v>2777</v>
      </c>
      <c r="F1280" t="s">
        <v>2835</v>
      </c>
      <c r="G1280" t="s">
        <v>2779</v>
      </c>
      <c r="H1280" t="s">
        <v>2779</v>
      </c>
      <c r="I1280" t="s">
        <v>2780</v>
      </c>
      <c r="J1280" s="4" t="s">
        <v>2843</v>
      </c>
      <c r="K1280" t="s">
        <v>162</v>
      </c>
      <c r="L1280" t="s">
        <v>163</v>
      </c>
      <c r="M1280" t="s">
        <v>163</v>
      </c>
      <c r="N1280" t="s">
        <v>163</v>
      </c>
      <c r="O1280" s="4" t="s">
        <v>1989</v>
      </c>
      <c r="P1280">
        <v>0</v>
      </c>
      <c r="Q1280" s="24">
        <v>91.2</v>
      </c>
      <c r="R1280" s="25">
        <v>128.5</v>
      </c>
      <c r="S1280" s="26">
        <v>79</v>
      </c>
    </row>
    <row r="1281" spans="1:19" ht="14.25" x14ac:dyDescent="0.2">
      <c r="A1281" s="12">
        <v>21048</v>
      </c>
      <c r="B1281" s="13">
        <f t="shared" si="302"/>
        <v>25</v>
      </c>
      <c r="C1281" s="15">
        <f t="shared" si="303"/>
        <v>18</v>
      </c>
      <c r="D1281" s="14">
        <f t="shared" si="304"/>
        <v>15</v>
      </c>
      <c r="E1281" t="s">
        <v>2777</v>
      </c>
      <c r="F1281" t="s">
        <v>2836</v>
      </c>
      <c r="G1281" t="s">
        <v>2779</v>
      </c>
      <c r="H1281" t="s">
        <v>2779</v>
      </c>
      <c r="I1281" t="s">
        <v>2780</v>
      </c>
      <c r="J1281" s="4" t="s">
        <v>2843</v>
      </c>
      <c r="K1281" t="s">
        <v>177</v>
      </c>
      <c r="L1281" t="s">
        <v>163</v>
      </c>
      <c r="M1281" t="s">
        <v>163</v>
      </c>
      <c r="N1281" t="s">
        <v>163</v>
      </c>
      <c r="O1281" s="4" t="s">
        <v>1991</v>
      </c>
      <c r="P1281">
        <v>0</v>
      </c>
      <c r="Q1281" s="24">
        <v>91.2</v>
      </c>
      <c r="R1281" s="25">
        <v>128.5</v>
      </c>
      <c r="S1281" s="26">
        <v>79</v>
      </c>
    </row>
    <row r="1282" spans="1:19" ht="14.25" x14ac:dyDescent="0.2">
      <c r="A1282" s="12">
        <v>21049</v>
      </c>
      <c r="B1282" s="13">
        <f t="shared" si="302"/>
        <v>25</v>
      </c>
      <c r="C1282" s="15">
        <f t="shared" si="303"/>
        <v>18</v>
      </c>
      <c r="D1282" s="14">
        <f t="shared" si="304"/>
        <v>15</v>
      </c>
      <c r="E1282" t="s">
        <v>2777</v>
      </c>
      <c r="F1282" t="s">
        <v>2837</v>
      </c>
      <c r="G1282" t="s">
        <v>2779</v>
      </c>
      <c r="H1282" t="s">
        <v>2779</v>
      </c>
      <c r="I1282" t="s">
        <v>2780</v>
      </c>
      <c r="J1282" s="4" t="s">
        <v>2843</v>
      </c>
      <c r="K1282" t="s">
        <v>174</v>
      </c>
      <c r="L1282" t="s">
        <v>163</v>
      </c>
      <c r="M1282" t="s">
        <v>163</v>
      </c>
      <c r="N1282" t="s">
        <v>163</v>
      </c>
      <c r="O1282" s="4" t="s">
        <v>1993</v>
      </c>
      <c r="P1282">
        <v>0</v>
      </c>
      <c r="Q1282" s="24">
        <v>91.2</v>
      </c>
      <c r="R1282" s="25">
        <v>128.5</v>
      </c>
      <c r="S1282" s="26">
        <v>79</v>
      </c>
    </row>
    <row r="1283" spans="1:19" ht="14.25" x14ac:dyDescent="0.2">
      <c r="A1283" s="12">
        <v>21050</v>
      </c>
      <c r="B1283" s="13">
        <f t="shared" si="302"/>
        <v>25</v>
      </c>
      <c r="C1283" s="15">
        <f t="shared" si="303"/>
        <v>18</v>
      </c>
      <c r="D1283" s="14">
        <f t="shared" si="304"/>
        <v>15</v>
      </c>
      <c r="E1283" t="s">
        <v>2785</v>
      </c>
      <c r="F1283" t="s">
        <v>2786</v>
      </c>
      <c r="G1283" t="s">
        <v>2828</v>
      </c>
      <c r="H1283" t="s">
        <v>2829</v>
      </c>
      <c r="I1283" t="s">
        <v>2697</v>
      </c>
      <c r="J1283" s="4" t="s">
        <v>2881</v>
      </c>
      <c r="K1283" t="s">
        <v>166</v>
      </c>
      <c r="L1283" t="s">
        <v>163</v>
      </c>
      <c r="M1283" t="s">
        <v>163</v>
      </c>
      <c r="N1283" t="s">
        <v>163</v>
      </c>
      <c r="O1283" s="4" t="s">
        <v>1993</v>
      </c>
      <c r="P1283">
        <v>0</v>
      </c>
      <c r="Q1283" s="24">
        <v>91.2</v>
      </c>
      <c r="R1283" s="25">
        <v>128.5</v>
      </c>
      <c r="S1283" s="26">
        <v>79</v>
      </c>
    </row>
    <row r="1284" spans="1:19" ht="14.25" x14ac:dyDescent="0.2">
      <c r="A1284" s="12">
        <v>30101</v>
      </c>
      <c r="B1284" s="13">
        <f t="shared" si="302"/>
        <v>25</v>
      </c>
      <c r="C1284" s="15">
        <f t="shared" si="303"/>
        <v>18</v>
      </c>
      <c r="D1284" s="14">
        <f t="shared" si="304"/>
        <v>15</v>
      </c>
      <c r="E1284" t="s">
        <v>2777</v>
      </c>
      <c r="F1284" t="s">
        <v>2834</v>
      </c>
      <c r="G1284" t="s">
        <v>2779</v>
      </c>
      <c r="H1284" t="s">
        <v>2779</v>
      </c>
      <c r="I1284" t="s">
        <v>2780</v>
      </c>
      <c r="J1284" s="4" t="s">
        <v>2844</v>
      </c>
      <c r="K1284" t="s">
        <v>168</v>
      </c>
      <c r="L1284" t="s">
        <v>163</v>
      </c>
      <c r="M1284" t="s">
        <v>163</v>
      </c>
      <c r="N1284" t="s">
        <v>163</v>
      </c>
      <c r="O1284" s="4" t="s">
        <v>1995</v>
      </c>
      <c r="P1284">
        <v>0</v>
      </c>
      <c r="Q1284" s="24">
        <v>91.5</v>
      </c>
      <c r="R1284" s="25">
        <v>129</v>
      </c>
      <c r="S1284" s="26">
        <v>79.3</v>
      </c>
    </row>
    <row r="1285" spans="1:19" ht="14.25" x14ac:dyDescent="0.2">
      <c r="A1285" s="12">
        <v>30102</v>
      </c>
      <c r="B1285" s="13">
        <f t="shared" ref="B1285:B1348" si="305">FLOOR(R1283/5,1)</f>
        <v>25</v>
      </c>
      <c r="C1285" s="15">
        <f t="shared" ref="C1285:C1348" si="306">FLOOR(Q1283/5,1)</f>
        <v>18</v>
      </c>
      <c r="D1285" s="14">
        <f t="shared" ref="D1285:D1348" si="307">FLOOR(S1283/5,1)</f>
        <v>15</v>
      </c>
      <c r="E1285" t="s">
        <v>2777</v>
      </c>
      <c r="F1285" t="s">
        <v>2835</v>
      </c>
      <c r="G1285" t="s">
        <v>2779</v>
      </c>
      <c r="H1285" t="s">
        <v>2779</v>
      </c>
      <c r="I1285" t="s">
        <v>2780</v>
      </c>
      <c r="J1285" s="4" t="s">
        <v>2844</v>
      </c>
      <c r="K1285" t="s">
        <v>175</v>
      </c>
      <c r="L1285" t="s">
        <v>164</v>
      </c>
      <c r="M1285" t="s">
        <v>163</v>
      </c>
      <c r="N1285" t="s">
        <v>167</v>
      </c>
      <c r="O1285" s="4" t="s">
        <v>1997</v>
      </c>
      <c r="P1285">
        <v>0</v>
      </c>
      <c r="Q1285" s="24">
        <v>91.5</v>
      </c>
      <c r="R1285" s="25">
        <v>129</v>
      </c>
      <c r="S1285" s="26">
        <v>79.3</v>
      </c>
    </row>
    <row r="1286" spans="1:19" ht="14.25" x14ac:dyDescent="0.2">
      <c r="A1286" s="12">
        <v>30103</v>
      </c>
      <c r="B1286" s="13">
        <f t="shared" si="305"/>
        <v>25</v>
      </c>
      <c r="C1286" s="15">
        <f t="shared" si="306"/>
        <v>18</v>
      </c>
      <c r="D1286" s="14">
        <f t="shared" si="307"/>
        <v>15</v>
      </c>
      <c r="E1286" t="s">
        <v>2777</v>
      </c>
      <c r="F1286" t="s">
        <v>2836</v>
      </c>
      <c r="G1286" t="s">
        <v>2779</v>
      </c>
      <c r="H1286" t="s">
        <v>2779</v>
      </c>
      <c r="I1286" t="s">
        <v>2780</v>
      </c>
      <c r="J1286" s="4" t="s">
        <v>2844</v>
      </c>
      <c r="K1286" t="s">
        <v>179</v>
      </c>
      <c r="L1286" t="s">
        <v>163</v>
      </c>
      <c r="M1286" t="s">
        <v>163</v>
      </c>
      <c r="N1286" t="s">
        <v>163</v>
      </c>
      <c r="O1286" s="4" t="s">
        <v>1999</v>
      </c>
      <c r="P1286">
        <v>0</v>
      </c>
      <c r="Q1286" s="24">
        <v>91.5</v>
      </c>
      <c r="R1286" s="25">
        <v>129</v>
      </c>
      <c r="S1286" s="26">
        <v>79.3</v>
      </c>
    </row>
    <row r="1287" spans="1:19" ht="14.25" x14ac:dyDescent="0.2">
      <c r="A1287" s="12">
        <v>30104</v>
      </c>
      <c r="B1287" s="13">
        <f t="shared" si="305"/>
        <v>25</v>
      </c>
      <c r="C1287" s="15">
        <f t="shared" si="306"/>
        <v>18</v>
      </c>
      <c r="D1287" s="14">
        <f t="shared" si="307"/>
        <v>15</v>
      </c>
      <c r="E1287" t="s">
        <v>2777</v>
      </c>
      <c r="F1287" t="s">
        <v>2837</v>
      </c>
      <c r="G1287" t="s">
        <v>2779</v>
      </c>
      <c r="H1287" t="s">
        <v>2779</v>
      </c>
      <c r="I1287" t="s">
        <v>2780</v>
      </c>
      <c r="J1287" s="4" t="s">
        <v>2844</v>
      </c>
      <c r="K1287" t="s">
        <v>177</v>
      </c>
      <c r="L1287" t="s">
        <v>163</v>
      </c>
      <c r="M1287" t="s">
        <v>163</v>
      </c>
      <c r="N1287" t="s">
        <v>163</v>
      </c>
      <c r="O1287" s="4" t="s">
        <v>1999</v>
      </c>
      <c r="P1287">
        <v>0</v>
      </c>
      <c r="Q1287" s="24">
        <v>91.5</v>
      </c>
      <c r="R1287" s="25">
        <v>129</v>
      </c>
      <c r="S1287" s="26">
        <v>79.3</v>
      </c>
    </row>
    <row r="1288" spans="1:19" ht="14.25" x14ac:dyDescent="0.2">
      <c r="A1288" s="12">
        <v>30105</v>
      </c>
      <c r="B1288" s="13">
        <f t="shared" si="305"/>
        <v>25</v>
      </c>
      <c r="C1288" s="15">
        <f t="shared" si="306"/>
        <v>18</v>
      </c>
      <c r="D1288" s="14">
        <f t="shared" si="307"/>
        <v>15</v>
      </c>
      <c r="E1288" t="s">
        <v>2785</v>
      </c>
      <c r="F1288" t="s">
        <v>2786</v>
      </c>
      <c r="G1288" t="s">
        <v>2830</v>
      </c>
      <c r="H1288" t="s">
        <v>2829</v>
      </c>
      <c r="I1288" t="s">
        <v>2697</v>
      </c>
      <c r="J1288" s="4" t="s">
        <v>2864</v>
      </c>
      <c r="K1288" t="s">
        <v>174</v>
      </c>
      <c r="L1288" t="s">
        <v>163</v>
      </c>
      <c r="M1288" t="s">
        <v>163</v>
      </c>
      <c r="N1288" t="s">
        <v>163</v>
      </c>
      <c r="O1288" s="4" t="s">
        <v>2001</v>
      </c>
      <c r="P1288">
        <v>0</v>
      </c>
      <c r="Q1288" s="24">
        <v>91.5</v>
      </c>
      <c r="R1288" s="25">
        <v>129</v>
      </c>
      <c r="S1288" s="26">
        <v>79.3</v>
      </c>
    </row>
    <row r="1289" spans="1:19" ht="14.25" x14ac:dyDescent="0.2">
      <c r="A1289" s="12">
        <v>30106</v>
      </c>
      <c r="B1289" s="13">
        <f t="shared" si="305"/>
        <v>25</v>
      </c>
      <c r="C1289" s="15">
        <f t="shared" si="306"/>
        <v>18</v>
      </c>
      <c r="D1289" s="14">
        <f t="shared" si="307"/>
        <v>15</v>
      </c>
      <c r="E1289" t="s">
        <v>2777</v>
      </c>
      <c r="F1289" t="s">
        <v>2834</v>
      </c>
      <c r="G1289" t="s">
        <v>2779</v>
      </c>
      <c r="H1289" t="s">
        <v>2779</v>
      </c>
      <c r="I1289" t="s">
        <v>2780</v>
      </c>
      <c r="J1289" s="4" t="s">
        <v>2844</v>
      </c>
      <c r="K1289" t="s">
        <v>182</v>
      </c>
      <c r="L1289" t="s">
        <v>163</v>
      </c>
      <c r="M1289" t="s">
        <v>163</v>
      </c>
      <c r="N1289" t="s">
        <v>163</v>
      </c>
      <c r="O1289" s="4" t="s">
        <v>2003</v>
      </c>
      <c r="P1289">
        <v>0</v>
      </c>
      <c r="Q1289" s="24">
        <v>91.8</v>
      </c>
      <c r="R1289" s="25">
        <v>129.5</v>
      </c>
      <c r="S1289" s="26">
        <v>79.5</v>
      </c>
    </row>
    <row r="1290" spans="1:19" ht="14.25" x14ac:dyDescent="0.2">
      <c r="A1290" s="12">
        <v>30107</v>
      </c>
      <c r="B1290" s="13">
        <f t="shared" si="305"/>
        <v>25</v>
      </c>
      <c r="C1290" s="15">
        <f t="shared" si="306"/>
        <v>18</v>
      </c>
      <c r="D1290" s="14">
        <f t="shared" si="307"/>
        <v>15</v>
      </c>
      <c r="E1290" t="s">
        <v>2777</v>
      </c>
      <c r="F1290" t="s">
        <v>2835</v>
      </c>
      <c r="G1290" t="s">
        <v>2779</v>
      </c>
      <c r="H1290" t="s">
        <v>2779</v>
      </c>
      <c r="I1290" t="s">
        <v>2780</v>
      </c>
      <c r="J1290" s="4" t="s">
        <v>2844</v>
      </c>
      <c r="K1290" t="s">
        <v>162</v>
      </c>
      <c r="L1290" t="s">
        <v>163</v>
      </c>
      <c r="M1290" t="s">
        <v>163</v>
      </c>
      <c r="N1290" t="s">
        <v>163</v>
      </c>
      <c r="O1290" s="4" t="s">
        <v>2003</v>
      </c>
      <c r="P1290">
        <v>0</v>
      </c>
      <c r="Q1290" s="24">
        <v>91.8</v>
      </c>
      <c r="R1290" s="25">
        <v>129.5</v>
      </c>
      <c r="S1290" s="26">
        <v>79.5</v>
      </c>
    </row>
    <row r="1291" spans="1:19" ht="14.25" x14ac:dyDescent="0.2">
      <c r="A1291" s="12">
        <v>30108</v>
      </c>
      <c r="B1291" s="13">
        <f t="shared" si="305"/>
        <v>25</v>
      </c>
      <c r="C1291" s="15">
        <f t="shared" si="306"/>
        <v>18</v>
      </c>
      <c r="D1291" s="14">
        <f t="shared" si="307"/>
        <v>15</v>
      </c>
      <c r="E1291" t="s">
        <v>2777</v>
      </c>
      <c r="F1291" t="s">
        <v>2836</v>
      </c>
      <c r="G1291" t="s">
        <v>2779</v>
      </c>
      <c r="H1291" t="s">
        <v>2779</v>
      </c>
      <c r="I1291" t="s">
        <v>2780</v>
      </c>
      <c r="J1291" s="4" t="s">
        <v>2844</v>
      </c>
      <c r="K1291" t="s">
        <v>177</v>
      </c>
      <c r="L1291" t="s">
        <v>163</v>
      </c>
      <c r="M1291" t="s">
        <v>163</v>
      </c>
      <c r="N1291" t="s">
        <v>163</v>
      </c>
      <c r="O1291" s="4" t="s">
        <v>2005</v>
      </c>
      <c r="P1291">
        <v>0</v>
      </c>
      <c r="Q1291" s="24">
        <v>91.8</v>
      </c>
      <c r="R1291" s="25">
        <v>129.5</v>
      </c>
      <c r="S1291" s="26">
        <v>79.5</v>
      </c>
    </row>
    <row r="1292" spans="1:19" ht="14.25" x14ac:dyDescent="0.2">
      <c r="A1292" s="12">
        <v>30109</v>
      </c>
      <c r="B1292" s="13">
        <f t="shared" si="305"/>
        <v>25</v>
      </c>
      <c r="C1292" s="15">
        <f t="shared" si="306"/>
        <v>18</v>
      </c>
      <c r="D1292" s="14">
        <f t="shared" si="307"/>
        <v>15</v>
      </c>
      <c r="E1292" t="s">
        <v>2777</v>
      </c>
      <c r="F1292" t="s">
        <v>2837</v>
      </c>
      <c r="G1292" t="s">
        <v>2779</v>
      </c>
      <c r="H1292" t="s">
        <v>2779</v>
      </c>
      <c r="I1292" t="s">
        <v>2780</v>
      </c>
      <c r="J1292" s="4" t="s">
        <v>2844</v>
      </c>
      <c r="K1292" t="s">
        <v>174</v>
      </c>
      <c r="L1292" t="s">
        <v>163</v>
      </c>
      <c r="M1292" t="s">
        <v>163</v>
      </c>
      <c r="N1292" t="s">
        <v>163</v>
      </c>
      <c r="O1292" s="4" t="s">
        <v>2007</v>
      </c>
      <c r="P1292">
        <v>0</v>
      </c>
      <c r="Q1292" s="24">
        <v>91.8</v>
      </c>
      <c r="R1292" s="25">
        <v>129.5</v>
      </c>
      <c r="S1292" s="26">
        <v>79.5</v>
      </c>
    </row>
    <row r="1293" spans="1:19" ht="14.25" x14ac:dyDescent="0.2">
      <c r="A1293" s="12">
        <v>30110</v>
      </c>
      <c r="B1293" s="13">
        <f t="shared" si="305"/>
        <v>25</v>
      </c>
      <c r="C1293" s="15">
        <f t="shared" si="306"/>
        <v>18</v>
      </c>
      <c r="D1293" s="14">
        <f t="shared" si="307"/>
        <v>15</v>
      </c>
      <c r="E1293" t="s">
        <v>2785</v>
      </c>
      <c r="F1293" t="s">
        <v>2786</v>
      </c>
      <c r="G1293" t="s">
        <v>2831</v>
      </c>
      <c r="H1293" t="s">
        <v>2829</v>
      </c>
      <c r="I1293" t="s">
        <v>2697</v>
      </c>
      <c r="J1293" s="4" t="s">
        <v>2864</v>
      </c>
      <c r="K1293" t="s">
        <v>166</v>
      </c>
      <c r="L1293" t="s">
        <v>163</v>
      </c>
      <c r="M1293" t="s">
        <v>163</v>
      </c>
      <c r="N1293" t="s">
        <v>163</v>
      </c>
      <c r="O1293" s="4" t="s">
        <v>2007</v>
      </c>
      <c r="P1293">
        <v>0</v>
      </c>
      <c r="Q1293" s="24">
        <v>91.8</v>
      </c>
      <c r="R1293" s="25">
        <v>129.5</v>
      </c>
      <c r="S1293" s="26">
        <v>79.5</v>
      </c>
    </row>
    <row r="1294" spans="1:19" ht="14.25" x14ac:dyDescent="0.2">
      <c r="A1294" s="12">
        <v>30111</v>
      </c>
      <c r="B1294" s="13">
        <f t="shared" si="305"/>
        <v>25</v>
      </c>
      <c r="C1294" s="15">
        <f t="shared" si="306"/>
        <v>18</v>
      </c>
      <c r="D1294" s="14">
        <f t="shared" si="307"/>
        <v>15</v>
      </c>
      <c r="E1294" t="s">
        <v>2777</v>
      </c>
      <c r="F1294" t="s">
        <v>2834</v>
      </c>
      <c r="G1294" t="s">
        <v>2779</v>
      </c>
      <c r="H1294" t="s">
        <v>2779</v>
      </c>
      <c r="I1294" t="s">
        <v>2780</v>
      </c>
      <c r="J1294" s="4" t="s">
        <v>2844</v>
      </c>
      <c r="K1294" t="s">
        <v>168</v>
      </c>
      <c r="L1294" t="s">
        <v>163</v>
      </c>
      <c r="M1294" t="s">
        <v>163</v>
      </c>
      <c r="N1294" t="s">
        <v>163</v>
      </c>
      <c r="O1294" s="4" t="s">
        <v>2009</v>
      </c>
      <c r="P1294">
        <v>0</v>
      </c>
      <c r="Q1294" s="24">
        <v>92.2</v>
      </c>
      <c r="R1294" s="25">
        <v>130</v>
      </c>
      <c r="S1294" s="26">
        <v>79.8</v>
      </c>
    </row>
    <row r="1295" spans="1:19" ht="14.25" x14ac:dyDescent="0.2">
      <c r="A1295" s="12">
        <v>30112</v>
      </c>
      <c r="B1295" s="13">
        <f t="shared" si="305"/>
        <v>25</v>
      </c>
      <c r="C1295" s="15">
        <f t="shared" si="306"/>
        <v>18</v>
      </c>
      <c r="D1295" s="14">
        <f t="shared" si="307"/>
        <v>15</v>
      </c>
      <c r="E1295" t="s">
        <v>2777</v>
      </c>
      <c r="F1295" t="s">
        <v>2835</v>
      </c>
      <c r="G1295" t="s">
        <v>2779</v>
      </c>
      <c r="H1295" t="s">
        <v>2779</v>
      </c>
      <c r="I1295" t="s">
        <v>2780</v>
      </c>
      <c r="J1295" s="4" t="s">
        <v>2844</v>
      </c>
      <c r="K1295" t="s">
        <v>175</v>
      </c>
      <c r="L1295" t="s">
        <v>164</v>
      </c>
      <c r="M1295" t="s">
        <v>163</v>
      </c>
      <c r="N1295" t="s">
        <v>167</v>
      </c>
      <c r="O1295" s="4" t="s">
        <v>2011</v>
      </c>
      <c r="P1295">
        <v>0</v>
      </c>
      <c r="Q1295" s="24">
        <v>92.2</v>
      </c>
      <c r="R1295" s="25">
        <v>130</v>
      </c>
      <c r="S1295" s="26">
        <v>79.8</v>
      </c>
    </row>
    <row r="1296" spans="1:19" ht="14.25" x14ac:dyDescent="0.2">
      <c r="A1296" s="12">
        <v>30113</v>
      </c>
      <c r="B1296" s="13">
        <f t="shared" si="305"/>
        <v>26</v>
      </c>
      <c r="C1296" s="15">
        <f t="shared" si="306"/>
        <v>18</v>
      </c>
      <c r="D1296" s="14">
        <f t="shared" si="307"/>
        <v>15</v>
      </c>
      <c r="E1296" t="s">
        <v>2777</v>
      </c>
      <c r="F1296" t="s">
        <v>2836</v>
      </c>
      <c r="G1296" t="s">
        <v>2779</v>
      </c>
      <c r="H1296" t="s">
        <v>2779</v>
      </c>
      <c r="I1296" t="s">
        <v>2780</v>
      </c>
      <c r="J1296" s="4" t="s">
        <v>2844</v>
      </c>
      <c r="K1296" t="s">
        <v>179</v>
      </c>
      <c r="L1296" t="s">
        <v>163</v>
      </c>
      <c r="M1296" t="s">
        <v>163</v>
      </c>
      <c r="N1296" t="s">
        <v>163</v>
      </c>
      <c r="O1296" s="4" t="s">
        <v>2013</v>
      </c>
      <c r="P1296">
        <v>0</v>
      </c>
      <c r="Q1296" s="24">
        <v>92.2</v>
      </c>
      <c r="R1296" s="25">
        <v>130</v>
      </c>
      <c r="S1296" s="26">
        <v>79.8</v>
      </c>
    </row>
    <row r="1297" spans="1:19" ht="14.25" x14ac:dyDescent="0.2">
      <c r="A1297" s="12">
        <v>30114</v>
      </c>
      <c r="B1297" s="13">
        <f t="shared" si="305"/>
        <v>26</v>
      </c>
      <c r="C1297" s="15">
        <f t="shared" si="306"/>
        <v>18</v>
      </c>
      <c r="D1297" s="14">
        <f t="shared" si="307"/>
        <v>15</v>
      </c>
      <c r="E1297" t="s">
        <v>2777</v>
      </c>
      <c r="F1297" t="s">
        <v>2837</v>
      </c>
      <c r="G1297" t="s">
        <v>2779</v>
      </c>
      <c r="H1297" t="s">
        <v>2779</v>
      </c>
      <c r="I1297" t="s">
        <v>2780</v>
      </c>
      <c r="J1297" s="4" t="s">
        <v>2844</v>
      </c>
      <c r="K1297" t="s">
        <v>177</v>
      </c>
      <c r="L1297" t="s">
        <v>163</v>
      </c>
      <c r="M1297" t="s">
        <v>163</v>
      </c>
      <c r="N1297" t="s">
        <v>163</v>
      </c>
      <c r="O1297" s="4" t="s">
        <v>2013</v>
      </c>
      <c r="P1297">
        <v>0</v>
      </c>
      <c r="Q1297" s="24">
        <v>92.2</v>
      </c>
      <c r="R1297" s="25">
        <v>130</v>
      </c>
      <c r="S1297" s="26">
        <v>79.8</v>
      </c>
    </row>
    <row r="1298" spans="1:19" ht="14.25" x14ac:dyDescent="0.2">
      <c r="A1298" s="12">
        <v>30115</v>
      </c>
      <c r="B1298" s="13">
        <f t="shared" si="305"/>
        <v>26</v>
      </c>
      <c r="C1298" s="15">
        <f t="shared" si="306"/>
        <v>18</v>
      </c>
      <c r="D1298" s="14">
        <f t="shared" si="307"/>
        <v>15</v>
      </c>
      <c r="E1298" t="s">
        <v>2785</v>
      </c>
      <c r="F1298" t="s">
        <v>2786</v>
      </c>
      <c r="G1298" t="s">
        <v>2832</v>
      </c>
      <c r="H1298" t="s">
        <v>2829</v>
      </c>
      <c r="I1298" t="s">
        <v>2697</v>
      </c>
      <c r="J1298" s="4" t="s">
        <v>2864</v>
      </c>
      <c r="K1298" t="s">
        <v>174</v>
      </c>
      <c r="L1298" t="s">
        <v>163</v>
      </c>
      <c r="M1298" t="s">
        <v>163</v>
      </c>
      <c r="N1298" t="s">
        <v>163</v>
      </c>
      <c r="O1298" s="4" t="s">
        <v>2015</v>
      </c>
      <c r="P1298">
        <v>0</v>
      </c>
      <c r="Q1298" s="24">
        <v>92.2</v>
      </c>
      <c r="R1298" s="25">
        <v>130</v>
      </c>
      <c r="S1298" s="26">
        <v>79.8</v>
      </c>
    </row>
    <row r="1299" spans="1:19" ht="14.25" x14ac:dyDescent="0.2">
      <c r="A1299" s="12">
        <v>30116</v>
      </c>
      <c r="B1299" s="13">
        <f t="shared" si="305"/>
        <v>26</v>
      </c>
      <c r="C1299" s="15">
        <f t="shared" si="306"/>
        <v>18</v>
      </c>
      <c r="D1299" s="14">
        <f t="shared" si="307"/>
        <v>15</v>
      </c>
      <c r="E1299" t="s">
        <v>2777</v>
      </c>
      <c r="F1299" t="s">
        <v>2834</v>
      </c>
      <c r="G1299" t="s">
        <v>2779</v>
      </c>
      <c r="H1299" t="s">
        <v>2779</v>
      </c>
      <c r="I1299" t="s">
        <v>2780</v>
      </c>
      <c r="J1299" s="4" t="s">
        <v>2844</v>
      </c>
      <c r="K1299" t="s">
        <v>182</v>
      </c>
      <c r="L1299" t="s">
        <v>163</v>
      </c>
      <c r="M1299" t="s">
        <v>163</v>
      </c>
      <c r="N1299" t="s">
        <v>163</v>
      </c>
      <c r="O1299" s="4" t="s">
        <v>2017</v>
      </c>
      <c r="P1299">
        <v>0</v>
      </c>
      <c r="Q1299" s="24">
        <v>92.5</v>
      </c>
      <c r="R1299" s="25">
        <v>130.5</v>
      </c>
      <c r="S1299" s="26">
        <v>80</v>
      </c>
    </row>
    <row r="1300" spans="1:19" ht="14.25" x14ac:dyDescent="0.2">
      <c r="A1300" s="12">
        <v>30117</v>
      </c>
      <c r="B1300" s="13">
        <f t="shared" si="305"/>
        <v>26</v>
      </c>
      <c r="C1300" s="15">
        <f t="shared" si="306"/>
        <v>18</v>
      </c>
      <c r="D1300" s="14">
        <f t="shared" si="307"/>
        <v>15</v>
      </c>
      <c r="E1300" t="s">
        <v>2777</v>
      </c>
      <c r="F1300" t="s">
        <v>2835</v>
      </c>
      <c r="G1300" t="s">
        <v>2779</v>
      </c>
      <c r="H1300" t="s">
        <v>2779</v>
      </c>
      <c r="I1300" t="s">
        <v>2780</v>
      </c>
      <c r="J1300" s="4" t="s">
        <v>2844</v>
      </c>
      <c r="K1300" t="s">
        <v>162</v>
      </c>
      <c r="L1300" t="s">
        <v>163</v>
      </c>
      <c r="M1300" t="s">
        <v>163</v>
      </c>
      <c r="N1300" t="s">
        <v>163</v>
      </c>
      <c r="O1300" s="4" t="s">
        <v>2017</v>
      </c>
      <c r="P1300">
        <v>0</v>
      </c>
      <c r="Q1300" s="24">
        <v>92.5</v>
      </c>
      <c r="R1300" s="25">
        <v>130.5</v>
      </c>
      <c r="S1300" s="26">
        <v>80</v>
      </c>
    </row>
    <row r="1301" spans="1:19" ht="14.25" x14ac:dyDescent="0.2">
      <c r="A1301" s="12">
        <v>30118</v>
      </c>
      <c r="B1301" s="13">
        <f t="shared" si="305"/>
        <v>26</v>
      </c>
      <c r="C1301" s="15">
        <f t="shared" si="306"/>
        <v>18</v>
      </c>
      <c r="D1301" s="14">
        <f t="shared" si="307"/>
        <v>16</v>
      </c>
      <c r="E1301" t="s">
        <v>2777</v>
      </c>
      <c r="F1301" t="s">
        <v>2836</v>
      </c>
      <c r="G1301" t="s">
        <v>2779</v>
      </c>
      <c r="H1301" t="s">
        <v>2779</v>
      </c>
      <c r="I1301" t="s">
        <v>2780</v>
      </c>
      <c r="J1301" s="4" t="s">
        <v>2844</v>
      </c>
      <c r="K1301" t="s">
        <v>177</v>
      </c>
      <c r="L1301" t="s">
        <v>163</v>
      </c>
      <c r="M1301" t="s">
        <v>163</v>
      </c>
      <c r="N1301" t="s">
        <v>163</v>
      </c>
      <c r="O1301" s="4" t="s">
        <v>2019</v>
      </c>
      <c r="P1301">
        <v>0</v>
      </c>
      <c r="Q1301" s="24">
        <v>92.5</v>
      </c>
      <c r="R1301" s="25">
        <v>130.5</v>
      </c>
      <c r="S1301" s="26">
        <v>80</v>
      </c>
    </row>
    <row r="1302" spans="1:19" ht="14.25" x14ac:dyDescent="0.2">
      <c r="A1302" s="12">
        <v>30119</v>
      </c>
      <c r="B1302" s="13">
        <f t="shared" si="305"/>
        <v>26</v>
      </c>
      <c r="C1302" s="15">
        <f t="shared" si="306"/>
        <v>18</v>
      </c>
      <c r="D1302" s="14">
        <f t="shared" si="307"/>
        <v>16</v>
      </c>
      <c r="E1302" t="s">
        <v>2777</v>
      </c>
      <c r="F1302" t="s">
        <v>2837</v>
      </c>
      <c r="G1302" t="s">
        <v>2779</v>
      </c>
      <c r="H1302" t="s">
        <v>2779</v>
      </c>
      <c r="I1302" t="s">
        <v>2780</v>
      </c>
      <c r="J1302" s="4" t="s">
        <v>2844</v>
      </c>
      <c r="K1302" t="s">
        <v>174</v>
      </c>
      <c r="L1302" t="s">
        <v>163</v>
      </c>
      <c r="M1302" t="s">
        <v>163</v>
      </c>
      <c r="N1302" t="s">
        <v>163</v>
      </c>
      <c r="O1302" s="4" t="s">
        <v>2021</v>
      </c>
      <c r="P1302">
        <v>0</v>
      </c>
      <c r="Q1302" s="24">
        <v>92.5</v>
      </c>
      <c r="R1302" s="25">
        <v>130.5</v>
      </c>
      <c r="S1302" s="26">
        <v>80</v>
      </c>
    </row>
    <row r="1303" spans="1:19" ht="14.25" x14ac:dyDescent="0.2">
      <c r="A1303" s="12">
        <v>30120</v>
      </c>
      <c r="B1303" s="13">
        <f t="shared" si="305"/>
        <v>26</v>
      </c>
      <c r="C1303" s="15">
        <f t="shared" si="306"/>
        <v>18</v>
      </c>
      <c r="D1303" s="14">
        <f t="shared" si="307"/>
        <v>16</v>
      </c>
      <c r="E1303" t="s">
        <v>2785</v>
      </c>
      <c r="F1303" t="s">
        <v>2786</v>
      </c>
      <c r="G1303" t="s">
        <v>2833</v>
      </c>
      <c r="H1303" t="s">
        <v>2829</v>
      </c>
      <c r="I1303" t="s">
        <v>2697</v>
      </c>
      <c r="J1303" s="4" t="s">
        <v>2882</v>
      </c>
      <c r="K1303" t="s">
        <v>166</v>
      </c>
      <c r="L1303" t="s">
        <v>163</v>
      </c>
      <c r="M1303" t="s">
        <v>163</v>
      </c>
      <c r="N1303" t="s">
        <v>163</v>
      </c>
      <c r="O1303" s="4" t="s">
        <v>2021</v>
      </c>
      <c r="P1303">
        <v>0</v>
      </c>
      <c r="Q1303" s="24">
        <v>92.5</v>
      </c>
      <c r="R1303" s="25">
        <v>130.5</v>
      </c>
      <c r="S1303" s="26">
        <v>80</v>
      </c>
    </row>
    <row r="1304" spans="1:19" ht="14.25" x14ac:dyDescent="0.2">
      <c r="A1304" s="12">
        <v>30121</v>
      </c>
      <c r="B1304" s="13">
        <f t="shared" si="305"/>
        <v>26</v>
      </c>
      <c r="C1304" s="15">
        <f t="shared" si="306"/>
        <v>18</v>
      </c>
      <c r="D1304" s="14">
        <f t="shared" si="307"/>
        <v>16</v>
      </c>
      <c r="E1304" t="s">
        <v>2777</v>
      </c>
      <c r="F1304" t="s">
        <v>2834</v>
      </c>
      <c r="G1304" t="s">
        <v>2779</v>
      </c>
      <c r="H1304" t="s">
        <v>2779</v>
      </c>
      <c r="I1304" t="s">
        <v>2780</v>
      </c>
      <c r="J1304" s="4" t="s">
        <v>2844</v>
      </c>
      <c r="K1304" t="s">
        <v>168</v>
      </c>
      <c r="L1304" t="s">
        <v>163</v>
      </c>
      <c r="M1304" t="s">
        <v>163</v>
      </c>
      <c r="N1304" t="s">
        <v>163</v>
      </c>
      <c r="O1304" s="4" t="s">
        <v>2023</v>
      </c>
      <c r="P1304">
        <v>0</v>
      </c>
      <c r="Q1304" s="24">
        <v>92.8</v>
      </c>
      <c r="R1304" s="25">
        <v>131</v>
      </c>
      <c r="S1304" s="26">
        <v>80.3</v>
      </c>
    </row>
    <row r="1305" spans="1:19" ht="14.25" x14ac:dyDescent="0.2">
      <c r="A1305" s="12">
        <v>30122</v>
      </c>
      <c r="B1305" s="13">
        <f t="shared" si="305"/>
        <v>26</v>
      </c>
      <c r="C1305" s="15">
        <f t="shared" si="306"/>
        <v>18</v>
      </c>
      <c r="D1305" s="14">
        <f t="shared" si="307"/>
        <v>16</v>
      </c>
      <c r="E1305" t="s">
        <v>2777</v>
      </c>
      <c r="F1305" t="s">
        <v>2835</v>
      </c>
      <c r="G1305" t="s">
        <v>2779</v>
      </c>
      <c r="H1305" t="s">
        <v>2779</v>
      </c>
      <c r="I1305" t="s">
        <v>2780</v>
      </c>
      <c r="J1305" s="4" t="s">
        <v>2844</v>
      </c>
      <c r="K1305" t="s">
        <v>175</v>
      </c>
      <c r="L1305" t="s">
        <v>164</v>
      </c>
      <c r="M1305" t="s">
        <v>163</v>
      </c>
      <c r="N1305" t="s">
        <v>167</v>
      </c>
      <c r="O1305" s="4" t="s">
        <v>2025</v>
      </c>
      <c r="P1305">
        <v>0</v>
      </c>
      <c r="Q1305" s="24">
        <v>92.8</v>
      </c>
      <c r="R1305" s="25">
        <v>131</v>
      </c>
      <c r="S1305" s="26">
        <v>80.3</v>
      </c>
    </row>
    <row r="1306" spans="1:19" ht="14.25" x14ac:dyDescent="0.2">
      <c r="A1306" s="12">
        <v>30123</v>
      </c>
      <c r="B1306" s="13">
        <f t="shared" si="305"/>
        <v>26</v>
      </c>
      <c r="C1306" s="15">
        <f t="shared" si="306"/>
        <v>18</v>
      </c>
      <c r="D1306" s="14">
        <f t="shared" si="307"/>
        <v>16</v>
      </c>
      <c r="E1306" t="s">
        <v>2777</v>
      </c>
      <c r="F1306" t="s">
        <v>2836</v>
      </c>
      <c r="G1306" t="s">
        <v>2779</v>
      </c>
      <c r="H1306" t="s">
        <v>2779</v>
      </c>
      <c r="I1306" t="s">
        <v>2780</v>
      </c>
      <c r="J1306" s="4" t="s">
        <v>2844</v>
      </c>
      <c r="K1306" t="s">
        <v>179</v>
      </c>
      <c r="L1306" t="s">
        <v>163</v>
      </c>
      <c r="M1306" t="s">
        <v>163</v>
      </c>
      <c r="N1306" t="s">
        <v>163</v>
      </c>
      <c r="O1306" s="4" t="s">
        <v>2027</v>
      </c>
      <c r="P1306">
        <v>0</v>
      </c>
      <c r="Q1306" s="24">
        <v>92.8</v>
      </c>
      <c r="R1306" s="25">
        <v>131</v>
      </c>
      <c r="S1306" s="26">
        <v>80.3</v>
      </c>
    </row>
    <row r="1307" spans="1:19" ht="14.25" x14ac:dyDescent="0.2">
      <c r="A1307" s="12">
        <v>30124</v>
      </c>
      <c r="B1307" s="13">
        <f t="shared" si="305"/>
        <v>26</v>
      </c>
      <c r="C1307" s="15">
        <f t="shared" si="306"/>
        <v>18</v>
      </c>
      <c r="D1307" s="14">
        <f t="shared" si="307"/>
        <v>16</v>
      </c>
      <c r="E1307" t="s">
        <v>2777</v>
      </c>
      <c r="F1307" t="s">
        <v>2837</v>
      </c>
      <c r="G1307" t="s">
        <v>2779</v>
      </c>
      <c r="H1307" t="s">
        <v>2779</v>
      </c>
      <c r="I1307" t="s">
        <v>2780</v>
      </c>
      <c r="J1307" s="4" t="s">
        <v>2844</v>
      </c>
      <c r="K1307" t="s">
        <v>177</v>
      </c>
      <c r="L1307" t="s">
        <v>163</v>
      </c>
      <c r="M1307" t="s">
        <v>163</v>
      </c>
      <c r="N1307" t="s">
        <v>163</v>
      </c>
      <c r="O1307" s="4" t="s">
        <v>2027</v>
      </c>
      <c r="P1307">
        <v>0</v>
      </c>
      <c r="Q1307" s="24">
        <v>92.8</v>
      </c>
      <c r="R1307" s="25">
        <v>131</v>
      </c>
      <c r="S1307" s="26">
        <v>80.3</v>
      </c>
    </row>
    <row r="1308" spans="1:19" ht="14.25" x14ac:dyDescent="0.2">
      <c r="A1308" s="12">
        <v>30125</v>
      </c>
      <c r="B1308" s="13">
        <f t="shared" si="305"/>
        <v>26</v>
      </c>
      <c r="C1308" s="15">
        <f t="shared" si="306"/>
        <v>18</v>
      </c>
      <c r="D1308" s="14">
        <f t="shared" si="307"/>
        <v>16</v>
      </c>
      <c r="E1308" t="s">
        <v>2785</v>
      </c>
      <c r="F1308" t="s">
        <v>2786</v>
      </c>
      <c r="G1308" t="s">
        <v>2828</v>
      </c>
      <c r="H1308" t="s">
        <v>2829</v>
      </c>
      <c r="I1308" t="s">
        <v>2697</v>
      </c>
      <c r="J1308" s="4" t="s">
        <v>2882</v>
      </c>
      <c r="K1308" t="s">
        <v>174</v>
      </c>
      <c r="L1308" t="s">
        <v>163</v>
      </c>
      <c r="M1308" t="s">
        <v>163</v>
      </c>
      <c r="N1308" t="s">
        <v>163</v>
      </c>
      <c r="O1308" s="4" t="s">
        <v>2029</v>
      </c>
      <c r="P1308">
        <v>0</v>
      </c>
      <c r="Q1308" s="24">
        <v>92.8</v>
      </c>
      <c r="R1308" s="25">
        <v>131</v>
      </c>
      <c r="S1308" s="26">
        <v>80.3</v>
      </c>
    </row>
    <row r="1309" spans="1:19" ht="14.25" x14ac:dyDescent="0.2">
      <c r="A1309" s="12">
        <v>30126</v>
      </c>
      <c r="B1309" s="13">
        <f t="shared" si="305"/>
        <v>26</v>
      </c>
      <c r="C1309" s="15">
        <f t="shared" si="306"/>
        <v>18</v>
      </c>
      <c r="D1309" s="14">
        <f t="shared" si="307"/>
        <v>16</v>
      </c>
      <c r="E1309" t="s">
        <v>2777</v>
      </c>
      <c r="F1309" t="s">
        <v>2834</v>
      </c>
      <c r="G1309" t="s">
        <v>2779</v>
      </c>
      <c r="H1309" t="s">
        <v>2779</v>
      </c>
      <c r="I1309" t="s">
        <v>2780</v>
      </c>
      <c r="J1309" s="4" t="s">
        <v>2844</v>
      </c>
      <c r="K1309" t="s">
        <v>182</v>
      </c>
      <c r="L1309" t="s">
        <v>163</v>
      </c>
      <c r="M1309" t="s">
        <v>163</v>
      </c>
      <c r="N1309" t="s">
        <v>163</v>
      </c>
      <c r="O1309" s="4" t="s">
        <v>2031</v>
      </c>
      <c r="P1309">
        <v>0</v>
      </c>
      <c r="Q1309" s="24">
        <v>93.2</v>
      </c>
      <c r="R1309" s="25">
        <v>131.5</v>
      </c>
      <c r="S1309" s="26">
        <v>80.5</v>
      </c>
    </row>
    <row r="1310" spans="1:19" ht="14.25" x14ac:dyDescent="0.2">
      <c r="A1310" s="12">
        <v>30127</v>
      </c>
      <c r="B1310" s="13">
        <f t="shared" si="305"/>
        <v>26</v>
      </c>
      <c r="C1310" s="15">
        <f t="shared" si="306"/>
        <v>18</v>
      </c>
      <c r="D1310" s="14">
        <f t="shared" si="307"/>
        <v>16</v>
      </c>
      <c r="E1310" t="s">
        <v>2777</v>
      </c>
      <c r="F1310" t="s">
        <v>2835</v>
      </c>
      <c r="G1310" t="s">
        <v>2779</v>
      </c>
      <c r="H1310" t="s">
        <v>2779</v>
      </c>
      <c r="I1310" t="s">
        <v>2780</v>
      </c>
      <c r="J1310" s="4" t="s">
        <v>2844</v>
      </c>
      <c r="K1310" t="s">
        <v>162</v>
      </c>
      <c r="L1310" t="s">
        <v>163</v>
      </c>
      <c r="M1310" t="s">
        <v>163</v>
      </c>
      <c r="N1310" t="s">
        <v>163</v>
      </c>
      <c r="O1310" s="4" t="s">
        <v>2031</v>
      </c>
      <c r="P1310">
        <v>0</v>
      </c>
      <c r="Q1310" s="24">
        <v>93.2</v>
      </c>
      <c r="R1310" s="25">
        <v>131.5</v>
      </c>
      <c r="S1310" s="26">
        <v>80.5</v>
      </c>
    </row>
    <row r="1311" spans="1:19" ht="14.25" x14ac:dyDescent="0.2">
      <c r="A1311" s="12">
        <v>30128</v>
      </c>
      <c r="B1311" s="13">
        <f t="shared" si="305"/>
        <v>26</v>
      </c>
      <c r="C1311" s="15">
        <f t="shared" si="306"/>
        <v>18</v>
      </c>
      <c r="D1311" s="14">
        <f t="shared" si="307"/>
        <v>16</v>
      </c>
      <c r="E1311" t="s">
        <v>2777</v>
      </c>
      <c r="F1311" t="s">
        <v>2836</v>
      </c>
      <c r="G1311" t="s">
        <v>2779</v>
      </c>
      <c r="H1311" t="s">
        <v>2779</v>
      </c>
      <c r="I1311" t="s">
        <v>2780</v>
      </c>
      <c r="J1311" s="4" t="s">
        <v>2844</v>
      </c>
      <c r="K1311" t="s">
        <v>177</v>
      </c>
      <c r="L1311" t="s">
        <v>163</v>
      </c>
      <c r="M1311" t="s">
        <v>163</v>
      </c>
      <c r="N1311" t="s">
        <v>163</v>
      </c>
      <c r="O1311" s="4" t="s">
        <v>2033</v>
      </c>
      <c r="P1311">
        <v>0</v>
      </c>
      <c r="Q1311" s="24">
        <v>93.2</v>
      </c>
      <c r="R1311" s="25">
        <v>131.5</v>
      </c>
      <c r="S1311" s="26">
        <v>80.5</v>
      </c>
    </row>
    <row r="1312" spans="1:19" ht="14.25" x14ac:dyDescent="0.2">
      <c r="A1312" s="12">
        <v>30129</v>
      </c>
      <c r="B1312" s="13">
        <f t="shared" si="305"/>
        <v>26</v>
      </c>
      <c r="C1312" s="15">
        <f t="shared" si="306"/>
        <v>18</v>
      </c>
      <c r="D1312" s="14">
        <f t="shared" si="307"/>
        <v>16</v>
      </c>
      <c r="E1312" t="s">
        <v>2777</v>
      </c>
      <c r="F1312" t="s">
        <v>2837</v>
      </c>
      <c r="G1312" t="s">
        <v>2779</v>
      </c>
      <c r="H1312" t="s">
        <v>2779</v>
      </c>
      <c r="I1312" t="s">
        <v>2780</v>
      </c>
      <c r="J1312" s="4" t="s">
        <v>2844</v>
      </c>
      <c r="K1312" t="s">
        <v>174</v>
      </c>
      <c r="L1312" t="s">
        <v>163</v>
      </c>
      <c r="M1312" t="s">
        <v>163</v>
      </c>
      <c r="N1312" t="s">
        <v>163</v>
      </c>
      <c r="O1312" s="4" t="s">
        <v>2035</v>
      </c>
      <c r="P1312">
        <v>0</v>
      </c>
      <c r="Q1312" s="24">
        <v>93.2</v>
      </c>
      <c r="R1312" s="25">
        <v>131.5</v>
      </c>
      <c r="S1312" s="26">
        <v>80.5</v>
      </c>
    </row>
    <row r="1313" spans="1:19" ht="14.25" x14ac:dyDescent="0.2">
      <c r="A1313" s="12">
        <v>30130</v>
      </c>
      <c r="B1313" s="13">
        <f t="shared" si="305"/>
        <v>26</v>
      </c>
      <c r="C1313" s="15">
        <f t="shared" si="306"/>
        <v>18</v>
      </c>
      <c r="D1313" s="14">
        <f t="shared" si="307"/>
        <v>16</v>
      </c>
      <c r="E1313" t="s">
        <v>2785</v>
      </c>
      <c r="F1313" t="s">
        <v>2786</v>
      </c>
      <c r="G1313" t="s">
        <v>2830</v>
      </c>
      <c r="H1313" t="s">
        <v>2829</v>
      </c>
      <c r="I1313" t="s">
        <v>2697</v>
      </c>
      <c r="J1313" s="4" t="s">
        <v>2864</v>
      </c>
      <c r="K1313" t="s">
        <v>166</v>
      </c>
      <c r="L1313" t="s">
        <v>163</v>
      </c>
      <c r="M1313" t="s">
        <v>163</v>
      </c>
      <c r="N1313" t="s">
        <v>163</v>
      </c>
      <c r="O1313" s="4" t="s">
        <v>2035</v>
      </c>
      <c r="P1313">
        <v>0</v>
      </c>
      <c r="Q1313" s="24">
        <v>93.2</v>
      </c>
      <c r="R1313" s="25">
        <v>131.5</v>
      </c>
      <c r="S1313" s="26">
        <v>80.5</v>
      </c>
    </row>
    <row r="1314" spans="1:19" ht="14.25" x14ac:dyDescent="0.2">
      <c r="A1314" s="12">
        <v>30131</v>
      </c>
      <c r="B1314" s="13">
        <f t="shared" si="305"/>
        <v>26</v>
      </c>
      <c r="C1314" s="15">
        <f t="shared" si="306"/>
        <v>18</v>
      </c>
      <c r="D1314" s="14">
        <f t="shared" si="307"/>
        <v>16</v>
      </c>
      <c r="E1314" t="s">
        <v>2777</v>
      </c>
      <c r="F1314" t="s">
        <v>2834</v>
      </c>
      <c r="G1314" t="s">
        <v>2779</v>
      </c>
      <c r="H1314" t="s">
        <v>2779</v>
      </c>
      <c r="I1314" t="s">
        <v>2780</v>
      </c>
      <c r="J1314" s="4" t="s">
        <v>2844</v>
      </c>
      <c r="K1314" t="s">
        <v>168</v>
      </c>
      <c r="L1314" t="s">
        <v>163</v>
      </c>
      <c r="M1314" t="s">
        <v>163</v>
      </c>
      <c r="N1314" t="s">
        <v>163</v>
      </c>
      <c r="O1314" s="4" t="s">
        <v>2037</v>
      </c>
      <c r="P1314">
        <v>0</v>
      </c>
      <c r="Q1314" s="24">
        <v>93.5</v>
      </c>
      <c r="R1314" s="25">
        <v>132</v>
      </c>
      <c r="S1314" s="26">
        <v>80.8</v>
      </c>
    </row>
    <row r="1315" spans="1:19" ht="14.25" x14ac:dyDescent="0.2">
      <c r="A1315" s="12">
        <v>30132</v>
      </c>
      <c r="B1315" s="13">
        <f t="shared" si="305"/>
        <v>26</v>
      </c>
      <c r="C1315" s="15">
        <f t="shared" si="306"/>
        <v>18</v>
      </c>
      <c r="D1315" s="14">
        <f t="shared" si="307"/>
        <v>16</v>
      </c>
      <c r="E1315" t="s">
        <v>2777</v>
      </c>
      <c r="F1315" t="s">
        <v>2835</v>
      </c>
      <c r="G1315" t="s">
        <v>2779</v>
      </c>
      <c r="H1315" t="s">
        <v>2779</v>
      </c>
      <c r="I1315" t="s">
        <v>2780</v>
      </c>
      <c r="J1315" s="4" t="s">
        <v>2844</v>
      </c>
      <c r="K1315" t="s">
        <v>175</v>
      </c>
      <c r="L1315" t="s">
        <v>164</v>
      </c>
      <c r="M1315" t="s">
        <v>163</v>
      </c>
      <c r="N1315" t="s">
        <v>167</v>
      </c>
      <c r="O1315" s="4" t="s">
        <v>2039</v>
      </c>
      <c r="P1315">
        <v>0</v>
      </c>
      <c r="Q1315" s="24">
        <v>93.5</v>
      </c>
      <c r="R1315" s="25">
        <v>132</v>
      </c>
      <c r="S1315" s="26">
        <v>80.8</v>
      </c>
    </row>
    <row r="1316" spans="1:19" ht="14.25" x14ac:dyDescent="0.2">
      <c r="A1316" s="12">
        <v>30133</v>
      </c>
      <c r="B1316" s="13">
        <f t="shared" si="305"/>
        <v>26</v>
      </c>
      <c r="C1316" s="15">
        <f t="shared" si="306"/>
        <v>18</v>
      </c>
      <c r="D1316" s="14">
        <f t="shared" si="307"/>
        <v>16</v>
      </c>
      <c r="E1316" t="s">
        <v>2777</v>
      </c>
      <c r="F1316" t="s">
        <v>2836</v>
      </c>
      <c r="G1316" t="s">
        <v>2779</v>
      </c>
      <c r="H1316" t="s">
        <v>2779</v>
      </c>
      <c r="I1316" t="s">
        <v>2780</v>
      </c>
      <c r="J1316" s="4" t="s">
        <v>2844</v>
      </c>
      <c r="K1316" t="s">
        <v>179</v>
      </c>
      <c r="L1316" t="s">
        <v>163</v>
      </c>
      <c r="M1316" t="s">
        <v>163</v>
      </c>
      <c r="N1316" t="s">
        <v>163</v>
      </c>
      <c r="O1316" s="4" t="s">
        <v>2041</v>
      </c>
      <c r="P1316">
        <v>0</v>
      </c>
      <c r="Q1316" s="24">
        <v>93.5</v>
      </c>
      <c r="R1316" s="25">
        <v>132</v>
      </c>
      <c r="S1316" s="26">
        <v>80.8</v>
      </c>
    </row>
    <row r="1317" spans="1:19" ht="14.25" x14ac:dyDescent="0.2">
      <c r="A1317" s="12">
        <v>30134</v>
      </c>
      <c r="B1317" s="13">
        <f t="shared" si="305"/>
        <v>26</v>
      </c>
      <c r="C1317" s="15">
        <f t="shared" si="306"/>
        <v>18</v>
      </c>
      <c r="D1317" s="14">
        <f t="shared" si="307"/>
        <v>16</v>
      </c>
      <c r="E1317" t="s">
        <v>2777</v>
      </c>
      <c r="F1317" t="s">
        <v>2837</v>
      </c>
      <c r="G1317" t="s">
        <v>2779</v>
      </c>
      <c r="H1317" t="s">
        <v>2779</v>
      </c>
      <c r="I1317" t="s">
        <v>2780</v>
      </c>
      <c r="J1317" s="4" t="s">
        <v>2844</v>
      </c>
      <c r="K1317" t="s">
        <v>177</v>
      </c>
      <c r="L1317" t="s">
        <v>163</v>
      </c>
      <c r="M1317" t="s">
        <v>163</v>
      </c>
      <c r="N1317" t="s">
        <v>163</v>
      </c>
      <c r="O1317" s="4" t="s">
        <v>2041</v>
      </c>
      <c r="P1317">
        <v>0</v>
      </c>
      <c r="Q1317" s="24">
        <v>93.5</v>
      </c>
      <c r="R1317" s="25">
        <v>132</v>
      </c>
      <c r="S1317" s="26">
        <v>80.8</v>
      </c>
    </row>
    <row r="1318" spans="1:19" ht="14.25" x14ac:dyDescent="0.2">
      <c r="A1318" s="12">
        <v>30135</v>
      </c>
      <c r="B1318" s="13">
        <f t="shared" si="305"/>
        <v>26</v>
      </c>
      <c r="C1318" s="15">
        <f t="shared" si="306"/>
        <v>18</v>
      </c>
      <c r="D1318" s="14">
        <f t="shared" si="307"/>
        <v>16</v>
      </c>
      <c r="E1318" t="s">
        <v>2785</v>
      </c>
      <c r="F1318" t="s">
        <v>2786</v>
      </c>
      <c r="G1318" t="s">
        <v>2831</v>
      </c>
      <c r="H1318" t="s">
        <v>2829</v>
      </c>
      <c r="I1318" t="s">
        <v>2697</v>
      </c>
      <c r="J1318" s="4" t="s">
        <v>2864</v>
      </c>
      <c r="K1318" t="s">
        <v>174</v>
      </c>
      <c r="L1318" t="s">
        <v>163</v>
      </c>
      <c r="M1318" t="s">
        <v>163</v>
      </c>
      <c r="N1318" t="s">
        <v>163</v>
      </c>
      <c r="O1318" s="4" t="s">
        <v>2043</v>
      </c>
      <c r="P1318">
        <v>0</v>
      </c>
      <c r="Q1318" s="24">
        <v>93.5</v>
      </c>
      <c r="R1318" s="25">
        <v>132</v>
      </c>
      <c r="S1318" s="26">
        <v>80.8</v>
      </c>
    </row>
    <row r="1319" spans="1:19" ht="14.25" x14ac:dyDescent="0.2">
      <c r="A1319" s="12">
        <v>30136</v>
      </c>
      <c r="B1319" s="13">
        <f t="shared" si="305"/>
        <v>26</v>
      </c>
      <c r="C1319" s="15">
        <f t="shared" si="306"/>
        <v>18</v>
      </c>
      <c r="D1319" s="14">
        <f t="shared" si="307"/>
        <v>16</v>
      </c>
      <c r="E1319" t="s">
        <v>2777</v>
      </c>
      <c r="F1319" t="s">
        <v>2834</v>
      </c>
      <c r="G1319" t="s">
        <v>2779</v>
      </c>
      <c r="H1319" t="s">
        <v>2779</v>
      </c>
      <c r="I1319" t="s">
        <v>2780</v>
      </c>
      <c r="J1319" s="4" t="s">
        <v>2844</v>
      </c>
      <c r="K1319" t="s">
        <v>182</v>
      </c>
      <c r="L1319" t="s">
        <v>163</v>
      </c>
      <c r="M1319" t="s">
        <v>163</v>
      </c>
      <c r="N1319" t="s">
        <v>163</v>
      </c>
      <c r="O1319" s="4" t="s">
        <v>2045</v>
      </c>
      <c r="P1319">
        <v>0</v>
      </c>
      <c r="Q1319" s="24">
        <v>93.8</v>
      </c>
      <c r="R1319" s="25">
        <v>132.5</v>
      </c>
      <c r="S1319" s="26">
        <v>81</v>
      </c>
    </row>
    <row r="1320" spans="1:19" ht="14.25" x14ac:dyDescent="0.2">
      <c r="A1320" s="12">
        <v>30137</v>
      </c>
      <c r="B1320" s="13">
        <f t="shared" si="305"/>
        <v>26</v>
      </c>
      <c r="C1320" s="15">
        <f t="shared" si="306"/>
        <v>18</v>
      </c>
      <c r="D1320" s="14">
        <f t="shared" si="307"/>
        <v>16</v>
      </c>
      <c r="E1320" t="s">
        <v>2777</v>
      </c>
      <c r="F1320" t="s">
        <v>2835</v>
      </c>
      <c r="G1320" t="s">
        <v>2779</v>
      </c>
      <c r="H1320" t="s">
        <v>2779</v>
      </c>
      <c r="I1320" t="s">
        <v>2780</v>
      </c>
      <c r="J1320" s="4" t="s">
        <v>2844</v>
      </c>
      <c r="K1320" t="s">
        <v>162</v>
      </c>
      <c r="L1320" t="s">
        <v>163</v>
      </c>
      <c r="M1320" t="s">
        <v>163</v>
      </c>
      <c r="N1320" t="s">
        <v>163</v>
      </c>
      <c r="O1320" s="4" t="s">
        <v>2045</v>
      </c>
      <c r="P1320">
        <v>0</v>
      </c>
      <c r="Q1320" s="24">
        <v>93.8</v>
      </c>
      <c r="R1320" s="25">
        <v>132.5</v>
      </c>
      <c r="S1320" s="26">
        <v>81</v>
      </c>
    </row>
    <row r="1321" spans="1:19" ht="14.25" x14ac:dyDescent="0.2">
      <c r="A1321" s="12">
        <v>30138</v>
      </c>
      <c r="B1321" s="13">
        <f t="shared" si="305"/>
        <v>26</v>
      </c>
      <c r="C1321" s="15">
        <f t="shared" si="306"/>
        <v>18</v>
      </c>
      <c r="D1321" s="14">
        <f t="shared" si="307"/>
        <v>16</v>
      </c>
      <c r="E1321" t="s">
        <v>2777</v>
      </c>
      <c r="F1321" t="s">
        <v>2836</v>
      </c>
      <c r="G1321" t="s">
        <v>2779</v>
      </c>
      <c r="H1321" t="s">
        <v>2779</v>
      </c>
      <c r="I1321" t="s">
        <v>2780</v>
      </c>
      <c r="J1321" s="4" t="s">
        <v>2844</v>
      </c>
      <c r="K1321" t="s">
        <v>177</v>
      </c>
      <c r="L1321" t="s">
        <v>163</v>
      </c>
      <c r="M1321" t="s">
        <v>163</v>
      </c>
      <c r="N1321" t="s">
        <v>163</v>
      </c>
      <c r="O1321" s="4" t="s">
        <v>2047</v>
      </c>
      <c r="P1321">
        <v>0</v>
      </c>
      <c r="Q1321" s="24">
        <v>93.8</v>
      </c>
      <c r="R1321" s="25">
        <v>132.5</v>
      </c>
      <c r="S1321" s="26">
        <v>81</v>
      </c>
    </row>
    <row r="1322" spans="1:19" ht="14.25" x14ac:dyDescent="0.2">
      <c r="A1322" s="12">
        <v>30139</v>
      </c>
      <c r="B1322" s="13">
        <f t="shared" si="305"/>
        <v>26</v>
      </c>
      <c r="C1322" s="15">
        <f t="shared" si="306"/>
        <v>18</v>
      </c>
      <c r="D1322" s="14">
        <f t="shared" si="307"/>
        <v>16</v>
      </c>
      <c r="E1322" t="s">
        <v>2777</v>
      </c>
      <c r="F1322" t="s">
        <v>2837</v>
      </c>
      <c r="G1322" t="s">
        <v>2779</v>
      </c>
      <c r="H1322" t="s">
        <v>2779</v>
      </c>
      <c r="I1322" t="s">
        <v>2780</v>
      </c>
      <c r="J1322" s="4" t="s">
        <v>2844</v>
      </c>
      <c r="K1322" t="s">
        <v>174</v>
      </c>
      <c r="L1322" t="s">
        <v>163</v>
      </c>
      <c r="M1322" t="s">
        <v>163</v>
      </c>
      <c r="N1322" t="s">
        <v>163</v>
      </c>
      <c r="O1322" s="4" t="s">
        <v>2049</v>
      </c>
      <c r="P1322">
        <v>0</v>
      </c>
      <c r="Q1322" s="24">
        <v>93.8</v>
      </c>
      <c r="R1322" s="25">
        <v>132.5</v>
      </c>
      <c r="S1322" s="26">
        <v>81</v>
      </c>
    </row>
    <row r="1323" spans="1:19" ht="14.25" x14ac:dyDescent="0.2">
      <c r="A1323" s="12">
        <v>30140</v>
      </c>
      <c r="B1323" s="13">
        <f t="shared" si="305"/>
        <v>26</v>
      </c>
      <c r="C1323" s="15">
        <f t="shared" si="306"/>
        <v>18</v>
      </c>
      <c r="D1323" s="14">
        <f t="shared" si="307"/>
        <v>16</v>
      </c>
      <c r="E1323" t="s">
        <v>2785</v>
      </c>
      <c r="F1323" t="s">
        <v>2786</v>
      </c>
      <c r="G1323" t="s">
        <v>2832</v>
      </c>
      <c r="H1323" t="s">
        <v>2829</v>
      </c>
      <c r="I1323" t="s">
        <v>2697</v>
      </c>
      <c r="J1323" s="4" t="s">
        <v>2864</v>
      </c>
      <c r="K1323" t="s">
        <v>166</v>
      </c>
      <c r="L1323" t="s">
        <v>163</v>
      </c>
      <c r="M1323" t="s">
        <v>163</v>
      </c>
      <c r="N1323" t="s">
        <v>163</v>
      </c>
      <c r="O1323" s="4" t="s">
        <v>2049</v>
      </c>
      <c r="P1323">
        <v>0</v>
      </c>
      <c r="Q1323" s="24">
        <v>93.8</v>
      </c>
      <c r="R1323" s="25">
        <v>132.5</v>
      </c>
      <c r="S1323" s="26">
        <v>81</v>
      </c>
    </row>
    <row r="1324" spans="1:19" ht="14.25" x14ac:dyDescent="0.2">
      <c r="A1324" s="12">
        <v>30141</v>
      </c>
      <c r="B1324" s="13">
        <f t="shared" si="305"/>
        <v>26</v>
      </c>
      <c r="C1324" s="15">
        <f t="shared" si="306"/>
        <v>18</v>
      </c>
      <c r="D1324" s="14">
        <f t="shared" si="307"/>
        <v>16</v>
      </c>
      <c r="E1324" t="s">
        <v>2777</v>
      </c>
      <c r="F1324" t="s">
        <v>2834</v>
      </c>
      <c r="G1324" t="s">
        <v>2779</v>
      </c>
      <c r="H1324" t="s">
        <v>2779</v>
      </c>
      <c r="I1324" t="s">
        <v>2780</v>
      </c>
      <c r="J1324" s="4" t="s">
        <v>2844</v>
      </c>
      <c r="K1324" t="s">
        <v>168</v>
      </c>
      <c r="L1324" t="s">
        <v>163</v>
      </c>
      <c r="M1324" t="s">
        <v>163</v>
      </c>
      <c r="N1324" t="s">
        <v>163</v>
      </c>
      <c r="O1324" s="4" t="s">
        <v>2051</v>
      </c>
      <c r="P1324">
        <v>0</v>
      </c>
      <c r="Q1324" s="24">
        <v>94.2</v>
      </c>
      <c r="R1324" s="25">
        <v>133</v>
      </c>
      <c r="S1324" s="26">
        <v>81.3</v>
      </c>
    </row>
    <row r="1325" spans="1:19" ht="14.25" x14ac:dyDescent="0.2">
      <c r="A1325" s="12">
        <v>30142</v>
      </c>
      <c r="B1325" s="13">
        <f t="shared" si="305"/>
        <v>26</v>
      </c>
      <c r="C1325" s="15">
        <f t="shared" si="306"/>
        <v>18</v>
      </c>
      <c r="D1325" s="14">
        <f t="shared" si="307"/>
        <v>16</v>
      </c>
      <c r="E1325" t="s">
        <v>2777</v>
      </c>
      <c r="F1325" t="s">
        <v>2835</v>
      </c>
      <c r="G1325" t="s">
        <v>2779</v>
      </c>
      <c r="H1325" t="s">
        <v>2779</v>
      </c>
      <c r="I1325" t="s">
        <v>2780</v>
      </c>
      <c r="J1325" s="4" t="s">
        <v>2844</v>
      </c>
      <c r="K1325" t="s">
        <v>175</v>
      </c>
      <c r="L1325" t="s">
        <v>164</v>
      </c>
      <c r="M1325" t="s">
        <v>163</v>
      </c>
      <c r="N1325" t="s">
        <v>167</v>
      </c>
      <c r="O1325" s="4" t="s">
        <v>2053</v>
      </c>
      <c r="P1325">
        <v>0</v>
      </c>
      <c r="Q1325" s="24">
        <v>94.2</v>
      </c>
      <c r="R1325" s="25">
        <v>133</v>
      </c>
      <c r="S1325" s="26">
        <v>81.3</v>
      </c>
    </row>
    <row r="1326" spans="1:19" ht="14.25" x14ac:dyDescent="0.2">
      <c r="A1326" s="12">
        <v>30143</v>
      </c>
      <c r="B1326" s="13">
        <f t="shared" si="305"/>
        <v>26</v>
      </c>
      <c r="C1326" s="15">
        <f t="shared" si="306"/>
        <v>18</v>
      </c>
      <c r="D1326" s="14">
        <f t="shared" si="307"/>
        <v>16</v>
      </c>
      <c r="E1326" t="s">
        <v>2777</v>
      </c>
      <c r="F1326" t="s">
        <v>2836</v>
      </c>
      <c r="G1326" t="s">
        <v>2779</v>
      </c>
      <c r="H1326" t="s">
        <v>2779</v>
      </c>
      <c r="I1326" t="s">
        <v>2780</v>
      </c>
      <c r="J1326" s="4" t="s">
        <v>2844</v>
      </c>
      <c r="K1326" t="s">
        <v>179</v>
      </c>
      <c r="L1326" t="s">
        <v>163</v>
      </c>
      <c r="M1326" t="s">
        <v>163</v>
      </c>
      <c r="N1326" t="s">
        <v>163</v>
      </c>
      <c r="O1326" s="4" t="s">
        <v>2055</v>
      </c>
      <c r="P1326">
        <v>0</v>
      </c>
      <c r="Q1326" s="24">
        <v>94.2</v>
      </c>
      <c r="R1326" s="25">
        <v>133</v>
      </c>
      <c r="S1326" s="26">
        <v>81.3</v>
      </c>
    </row>
    <row r="1327" spans="1:19" ht="14.25" x14ac:dyDescent="0.2">
      <c r="A1327" s="12">
        <v>30144</v>
      </c>
      <c r="B1327" s="13">
        <f t="shared" si="305"/>
        <v>26</v>
      </c>
      <c r="C1327" s="15">
        <f t="shared" si="306"/>
        <v>18</v>
      </c>
      <c r="D1327" s="14">
        <f t="shared" si="307"/>
        <v>16</v>
      </c>
      <c r="E1327" t="s">
        <v>2777</v>
      </c>
      <c r="F1327" t="s">
        <v>2837</v>
      </c>
      <c r="G1327" t="s">
        <v>2779</v>
      </c>
      <c r="H1327" t="s">
        <v>2779</v>
      </c>
      <c r="I1327" t="s">
        <v>2780</v>
      </c>
      <c r="J1327" s="4" t="s">
        <v>2844</v>
      </c>
      <c r="K1327" t="s">
        <v>177</v>
      </c>
      <c r="L1327" t="s">
        <v>163</v>
      </c>
      <c r="M1327" t="s">
        <v>163</v>
      </c>
      <c r="N1327" t="s">
        <v>163</v>
      </c>
      <c r="O1327" s="4" t="s">
        <v>2055</v>
      </c>
      <c r="P1327">
        <v>0</v>
      </c>
      <c r="Q1327" s="24">
        <v>94.2</v>
      </c>
      <c r="R1327" s="25">
        <v>133</v>
      </c>
      <c r="S1327" s="26">
        <v>81.3</v>
      </c>
    </row>
    <row r="1328" spans="1:19" ht="14.25" x14ac:dyDescent="0.2">
      <c r="A1328" s="12">
        <v>30145</v>
      </c>
      <c r="B1328" s="13">
        <f t="shared" si="305"/>
        <v>26</v>
      </c>
      <c r="C1328" s="15">
        <f t="shared" si="306"/>
        <v>18</v>
      </c>
      <c r="D1328" s="14">
        <f t="shared" si="307"/>
        <v>16</v>
      </c>
      <c r="E1328" t="s">
        <v>2785</v>
      </c>
      <c r="F1328" t="s">
        <v>2786</v>
      </c>
      <c r="G1328" t="s">
        <v>2833</v>
      </c>
      <c r="H1328" t="s">
        <v>2829</v>
      </c>
      <c r="I1328" t="s">
        <v>2697</v>
      </c>
      <c r="J1328" s="4" t="s">
        <v>2882</v>
      </c>
      <c r="K1328" t="s">
        <v>174</v>
      </c>
      <c r="L1328" t="s">
        <v>163</v>
      </c>
      <c r="M1328" t="s">
        <v>163</v>
      </c>
      <c r="N1328" t="s">
        <v>163</v>
      </c>
      <c r="O1328" s="4" t="s">
        <v>2057</v>
      </c>
      <c r="P1328">
        <v>0</v>
      </c>
      <c r="Q1328" s="24">
        <v>94.2</v>
      </c>
      <c r="R1328" s="25">
        <v>133</v>
      </c>
      <c r="S1328" s="26">
        <v>81.3</v>
      </c>
    </row>
    <row r="1329" spans="1:19" ht="14.25" x14ac:dyDescent="0.2">
      <c r="A1329" s="12">
        <v>30146</v>
      </c>
      <c r="B1329" s="13">
        <f t="shared" si="305"/>
        <v>26</v>
      </c>
      <c r="C1329" s="15">
        <f t="shared" si="306"/>
        <v>18</v>
      </c>
      <c r="D1329" s="14">
        <f t="shared" si="307"/>
        <v>16</v>
      </c>
      <c r="E1329" t="s">
        <v>2777</v>
      </c>
      <c r="F1329" t="s">
        <v>2834</v>
      </c>
      <c r="G1329" t="s">
        <v>2779</v>
      </c>
      <c r="H1329" t="s">
        <v>2779</v>
      </c>
      <c r="I1329" t="s">
        <v>2780</v>
      </c>
      <c r="J1329" s="4" t="s">
        <v>2844</v>
      </c>
      <c r="K1329" t="s">
        <v>182</v>
      </c>
      <c r="L1329" t="s">
        <v>163</v>
      </c>
      <c r="M1329" t="s">
        <v>163</v>
      </c>
      <c r="N1329" t="s">
        <v>163</v>
      </c>
      <c r="O1329" s="4" t="s">
        <v>2059</v>
      </c>
      <c r="P1329">
        <v>0</v>
      </c>
      <c r="Q1329" s="24">
        <v>94.5</v>
      </c>
      <c r="R1329" s="25">
        <v>133.5</v>
      </c>
      <c r="S1329" s="26">
        <v>81.5</v>
      </c>
    </row>
    <row r="1330" spans="1:19" ht="14.25" x14ac:dyDescent="0.2">
      <c r="A1330" s="12">
        <v>30147</v>
      </c>
      <c r="B1330" s="13">
        <f t="shared" si="305"/>
        <v>26</v>
      </c>
      <c r="C1330" s="15">
        <f t="shared" si="306"/>
        <v>18</v>
      </c>
      <c r="D1330" s="14">
        <f t="shared" si="307"/>
        <v>16</v>
      </c>
      <c r="E1330" t="s">
        <v>2777</v>
      </c>
      <c r="F1330" t="s">
        <v>2835</v>
      </c>
      <c r="G1330" t="s">
        <v>2779</v>
      </c>
      <c r="H1330" t="s">
        <v>2779</v>
      </c>
      <c r="I1330" t="s">
        <v>2780</v>
      </c>
      <c r="J1330" s="4" t="s">
        <v>2844</v>
      </c>
      <c r="K1330" t="s">
        <v>162</v>
      </c>
      <c r="L1330" t="s">
        <v>163</v>
      </c>
      <c r="M1330" t="s">
        <v>163</v>
      </c>
      <c r="N1330" t="s">
        <v>163</v>
      </c>
      <c r="O1330" s="4" t="s">
        <v>2059</v>
      </c>
      <c r="P1330">
        <v>0</v>
      </c>
      <c r="Q1330" s="24">
        <v>94.5</v>
      </c>
      <c r="R1330" s="25">
        <v>133.5</v>
      </c>
      <c r="S1330" s="26">
        <v>81.5</v>
      </c>
    </row>
    <row r="1331" spans="1:19" ht="14.25" x14ac:dyDescent="0.2">
      <c r="A1331" s="12">
        <v>30148</v>
      </c>
      <c r="B1331" s="13">
        <f t="shared" si="305"/>
        <v>26</v>
      </c>
      <c r="C1331" s="15">
        <f t="shared" si="306"/>
        <v>18</v>
      </c>
      <c r="D1331" s="14">
        <f t="shared" si="307"/>
        <v>16</v>
      </c>
      <c r="E1331" t="s">
        <v>2777</v>
      </c>
      <c r="F1331" t="s">
        <v>2836</v>
      </c>
      <c r="G1331" t="s">
        <v>2779</v>
      </c>
      <c r="H1331" t="s">
        <v>2779</v>
      </c>
      <c r="I1331" t="s">
        <v>2780</v>
      </c>
      <c r="J1331" s="4" t="s">
        <v>2844</v>
      </c>
      <c r="K1331" t="s">
        <v>177</v>
      </c>
      <c r="L1331" t="s">
        <v>163</v>
      </c>
      <c r="M1331" t="s">
        <v>163</v>
      </c>
      <c r="N1331" t="s">
        <v>163</v>
      </c>
      <c r="O1331" s="4" t="s">
        <v>2061</v>
      </c>
      <c r="P1331">
        <v>0</v>
      </c>
      <c r="Q1331" s="24">
        <v>94.5</v>
      </c>
      <c r="R1331" s="25">
        <v>133.5</v>
      </c>
      <c r="S1331" s="26">
        <v>81.5</v>
      </c>
    </row>
    <row r="1332" spans="1:19" ht="14.25" x14ac:dyDescent="0.2">
      <c r="A1332" s="12">
        <v>30149</v>
      </c>
      <c r="B1332" s="13">
        <f t="shared" si="305"/>
        <v>26</v>
      </c>
      <c r="C1332" s="15">
        <f t="shared" si="306"/>
        <v>18</v>
      </c>
      <c r="D1332" s="14">
        <f t="shared" si="307"/>
        <v>16</v>
      </c>
      <c r="E1332" t="s">
        <v>2777</v>
      </c>
      <c r="F1332" t="s">
        <v>2837</v>
      </c>
      <c r="G1332" t="s">
        <v>2779</v>
      </c>
      <c r="H1332" t="s">
        <v>2779</v>
      </c>
      <c r="I1332" t="s">
        <v>2780</v>
      </c>
      <c r="J1332" s="4" t="s">
        <v>2844</v>
      </c>
      <c r="K1332" t="s">
        <v>174</v>
      </c>
      <c r="L1332" t="s">
        <v>163</v>
      </c>
      <c r="M1332" t="s">
        <v>163</v>
      </c>
      <c r="N1332" t="s">
        <v>163</v>
      </c>
      <c r="O1332" s="4" t="s">
        <v>2063</v>
      </c>
      <c r="P1332">
        <v>0</v>
      </c>
      <c r="Q1332" s="24">
        <v>94.5</v>
      </c>
      <c r="R1332" s="25">
        <v>133.5</v>
      </c>
      <c r="S1332" s="26">
        <v>81.5</v>
      </c>
    </row>
    <row r="1333" spans="1:19" ht="14.25" x14ac:dyDescent="0.2">
      <c r="A1333" s="12">
        <v>30150</v>
      </c>
      <c r="B1333" s="13">
        <f t="shared" si="305"/>
        <v>26</v>
      </c>
      <c r="C1333" s="15">
        <f t="shared" si="306"/>
        <v>18</v>
      </c>
      <c r="D1333" s="14">
        <f t="shared" si="307"/>
        <v>16</v>
      </c>
      <c r="E1333" t="s">
        <v>2785</v>
      </c>
      <c r="F1333" t="s">
        <v>2786</v>
      </c>
      <c r="G1333" t="s">
        <v>2828</v>
      </c>
      <c r="H1333" t="s">
        <v>2829</v>
      </c>
      <c r="I1333" t="s">
        <v>2697</v>
      </c>
      <c r="J1333" s="4" t="s">
        <v>2882</v>
      </c>
      <c r="K1333" t="s">
        <v>166</v>
      </c>
      <c r="L1333" t="s">
        <v>163</v>
      </c>
      <c r="M1333" t="s">
        <v>163</v>
      </c>
      <c r="N1333" t="s">
        <v>163</v>
      </c>
      <c r="O1333" s="4" t="s">
        <v>2063</v>
      </c>
      <c r="P1333">
        <v>0</v>
      </c>
      <c r="Q1333" s="24">
        <v>94.5</v>
      </c>
      <c r="R1333" s="25">
        <v>133.5</v>
      </c>
      <c r="S1333" s="26">
        <v>81.5</v>
      </c>
    </row>
    <row r="1334" spans="1:19" ht="14.25" x14ac:dyDescent="0.2">
      <c r="A1334" s="12">
        <v>30201</v>
      </c>
      <c r="B1334" s="13">
        <f t="shared" si="305"/>
        <v>26</v>
      </c>
      <c r="C1334" s="15">
        <f t="shared" si="306"/>
        <v>18</v>
      </c>
      <c r="D1334" s="14">
        <f t="shared" si="307"/>
        <v>16</v>
      </c>
      <c r="E1334" t="s">
        <v>2777</v>
      </c>
      <c r="F1334" t="s">
        <v>2834</v>
      </c>
      <c r="G1334" t="s">
        <v>2779</v>
      </c>
      <c r="H1334" t="s">
        <v>2779</v>
      </c>
      <c r="I1334" t="s">
        <v>2780</v>
      </c>
      <c r="J1334" s="4" t="s">
        <v>2844</v>
      </c>
      <c r="K1334" t="s">
        <v>168</v>
      </c>
      <c r="L1334" t="s">
        <v>163</v>
      </c>
      <c r="M1334" t="s">
        <v>163</v>
      </c>
      <c r="N1334" t="s">
        <v>163</v>
      </c>
      <c r="O1334" s="4" t="s">
        <v>2065</v>
      </c>
      <c r="P1334">
        <v>0</v>
      </c>
      <c r="Q1334" s="24">
        <v>94.8</v>
      </c>
      <c r="R1334" s="25">
        <v>134</v>
      </c>
      <c r="S1334" s="26">
        <v>81.8</v>
      </c>
    </row>
    <row r="1335" spans="1:19" ht="14.25" x14ac:dyDescent="0.2">
      <c r="A1335" s="12">
        <v>30202</v>
      </c>
      <c r="B1335" s="13">
        <f t="shared" si="305"/>
        <v>26</v>
      </c>
      <c r="C1335" s="15">
        <f t="shared" si="306"/>
        <v>18</v>
      </c>
      <c r="D1335" s="14">
        <f t="shared" si="307"/>
        <v>16</v>
      </c>
      <c r="E1335" t="s">
        <v>2777</v>
      </c>
      <c r="F1335" t="s">
        <v>2835</v>
      </c>
      <c r="G1335" t="s">
        <v>2779</v>
      </c>
      <c r="H1335" t="s">
        <v>2779</v>
      </c>
      <c r="I1335" t="s">
        <v>2780</v>
      </c>
      <c r="J1335" s="4" t="s">
        <v>2844</v>
      </c>
      <c r="K1335" t="s">
        <v>175</v>
      </c>
      <c r="L1335" t="s">
        <v>164</v>
      </c>
      <c r="M1335" t="s">
        <v>163</v>
      </c>
      <c r="N1335" t="s">
        <v>167</v>
      </c>
      <c r="O1335" s="4" t="s">
        <v>2067</v>
      </c>
      <c r="P1335">
        <v>0</v>
      </c>
      <c r="Q1335" s="24">
        <v>94.8</v>
      </c>
      <c r="R1335" s="25">
        <v>134</v>
      </c>
      <c r="S1335" s="26">
        <v>81.8</v>
      </c>
    </row>
    <row r="1336" spans="1:19" ht="14.25" x14ac:dyDescent="0.2">
      <c r="A1336" s="12">
        <v>30203</v>
      </c>
      <c r="B1336" s="13">
        <f t="shared" si="305"/>
        <v>26</v>
      </c>
      <c r="C1336" s="15">
        <f t="shared" si="306"/>
        <v>18</v>
      </c>
      <c r="D1336" s="14">
        <f t="shared" si="307"/>
        <v>16</v>
      </c>
      <c r="E1336" t="s">
        <v>2777</v>
      </c>
      <c r="F1336" t="s">
        <v>2836</v>
      </c>
      <c r="G1336" t="s">
        <v>2779</v>
      </c>
      <c r="H1336" t="s">
        <v>2779</v>
      </c>
      <c r="I1336" t="s">
        <v>2780</v>
      </c>
      <c r="J1336" s="4" t="s">
        <v>2844</v>
      </c>
      <c r="K1336" t="s">
        <v>179</v>
      </c>
      <c r="L1336" t="s">
        <v>163</v>
      </c>
      <c r="M1336" t="s">
        <v>163</v>
      </c>
      <c r="N1336" t="s">
        <v>163</v>
      </c>
      <c r="O1336" s="4" t="s">
        <v>2069</v>
      </c>
      <c r="P1336">
        <v>0</v>
      </c>
      <c r="Q1336" s="24">
        <v>94.8</v>
      </c>
      <c r="R1336" s="25">
        <v>134</v>
      </c>
      <c r="S1336" s="26">
        <v>81.8</v>
      </c>
    </row>
    <row r="1337" spans="1:19" ht="14.25" x14ac:dyDescent="0.2">
      <c r="A1337" s="12">
        <v>30204</v>
      </c>
      <c r="B1337" s="13">
        <f t="shared" si="305"/>
        <v>26</v>
      </c>
      <c r="C1337" s="15">
        <f t="shared" si="306"/>
        <v>18</v>
      </c>
      <c r="D1337" s="14">
        <f t="shared" si="307"/>
        <v>16</v>
      </c>
      <c r="E1337" t="s">
        <v>2777</v>
      </c>
      <c r="F1337" t="s">
        <v>2837</v>
      </c>
      <c r="G1337" t="s">
        <v>2779</v>
      </c>
      <c r="H1337" t="s">
        <v>2779</v>
      </c>
      <c r="I1337" t="s">
        <v>2780</v>
      </c>
      <c r="J1337" s="4" t="s">
        <v>2844</v>
      </c>
      <c r="K1337" t="s">
        <v>177</v>
      </c>
      <c r="L1337" t="s">
        <v>163</v>
      </c>
      <c r="M1337" t="s">
        <v>163</v>
      </c>
      <c r="N1337" t="s">
        <v>163</v>
      </c>
      <c r="O1337" s="4" t="s">
        <v>2069</v>
      </c>
      <c r="P1337">
        <v>0</v>
      </c>
      <c r="Q1337" s="24">
        <v>94.8</v>
      </c>
      <c r="R1337" s="25">
        <v>134</v>
      </c>
      <c r="S1337" s="26">
        <v>81.8</v>
      </c>
    </row>
    <row r="1338" spans="1:19" ht="14.25" x14ac:dyDescent="0.2">
      <c r="A1338" s="12">
        <v>30205</v>
      </c>
      <c r="B1338" s="13">
        <f t="shared" si="305"/>
        <v>26</v>
      </c>
      <c r="C1338" s="15">
        <f t="shared" si="306"/>
        <v>18</v>
      </c>
      <c r="D1338" s="14">
        <f t="shared" si="307"/>
        <v>16</v>
      </c>
      <c r="E1338" t="s">
        <v>2785</v>
      </c>
      <c r="F1338" t="s">
        <v>2786</v>
      </c>
      <c r="G1338" t="s">
        <v>2830</v>
      </c>
      <c r="H1338" t="s">
        <v>2829</v>
      </c>
      <c r="I1338" t="s">
        <v>2697</v>
      </c>
      <c r="J1338" s="4" t="s">
        <v>2864</v>
      </c>
      <c r="K1338" t="s">
        <v>174</v>
      </c>
      <c r="L1338" t="s">
        <v>163</v>
      </c>
      <c r="M1338" t="s">
        <v>163</v>
      </c>
      <c r="N1338" t="s">
        <v>163</v>
      </c>
      <c r="O1338" s="4" t="s">
        <v>2071</v>
      </c>
      <c r="P1338">
        <v>0</v>
      </c>
      <c r="Q1338" s="24">
        <v>94.8</v>
      </c>
      <c r="R1338" s="25">
        <v>134</v>
      </c>
      <c r="S1338" s="26">
        <v>81.8</v>
      </c>
    </row>
    <row r="1339" spans="1:19" ht="14.25" x14ac:dyDescent="0.2">
      <c r="A1339" s="12">
        <v>30206</v>
      </c>
      <c r="B1339" s="13">
        <f t="shared" si="305"/>
        <v>26</v>
      </c>
      <c r="C1339" s="15">
        <f t="shared" si="306"/>
        <v>18</v>
      </c>
      <c r="D1339" s="14">
        <f t="shared" si="307"/>
        <v>16</v>
      </c>
      <c r="E1339" t="s">
        <v>2777</v>
      </c>
      <c r="F1339" t="s">
        <v>2834</v>
      </c>
      <c r="G1339" t="s">
        <v>2779</v>
      </c>
      <c r="H1339" t="s">
        <v>2779</v>
      </c>
      <c r="I1339" t="s">
        <v>2780</v>
      </c>
      <c r="J1339" s="4" t="s">
        <v>2844</v>
      </c>
      <c r="K1339" t="s">
        <v>182</v>
      </c>
      <c r="L1339" t="s">
        <v>163</v>
      </c>
      <c r="M1339" t="s">
        <v>163</v>
      </c>
      <c r="N1339" t="s">
        <v>163</v>
      </c>
      <c r="O1339" s="4" t="s">
        <v>2073</v>
      </c>
      <c r="P1339">
        <v>0</v>
      </c>
      <c r="Q1339" s="24">
        <v>95.2</v>
      </c>
      <c r="R1339" s="25">
        <v>134.5</v>
      </c>
      <c r="S1339" s="26">
        <v>82</v>
      </c>
    </row>
    <row r="1340" spans="1:19" ht="14.25" x14ac:dyDescent="0.2">
      <c r="A1340" s="12">
        <v>30207</v>
      </c>
      <c r="B1340" s="13">
        <f t="shared" si="305"/>
        <v>26</v>
      </c>
      <c r="C1340" s="15">
        <f t="shared" si="306"/>
        <v>18</v>
      </c>
      <c r="D1340" s="14">
        <f t="shared" si="307"/>
        <v>16</v>
      </c>
      <c r="E1340" t="s">
        <v>2777</v>
      </c>
      <c r="F1340" t="s">
        <v>2835</v>
      </c>
      <c r="G1340" t="s">
        <v>2779</v>
      </c>
      <c r="H1340" t="s">
        <v>2779</v>
      </c>
      <c r="I1340" t="s">
        <v>2780</v>
      </c>
      <c r="J1340" s="4" t="s">
        <v>2844</v>
      </c>
      <c r="K1340" t="s">
        <v>162</v>
      </c>
      <c r="L1340" t="s">
        <v>163</v>
      </c>
      <c r="M1340" t="s">
        <v>163</v>
      </c>
      <c r="N1340" t="s">
        <v>163</v>
      </c>
      <c r="O1340" s="4" t="s">
        <v>2073</v>
      </c>
      <c r="P1340">
        <v>0</v>
      </c>
      <c r="Q1340" s="24">
        <v>95.2</v>
      </c>
      <c r="R1340" s="25">
        <v>134.5</v>
      </c>
      <c r="S1340" s="26">
        <v>82</v>
      </c>
    </row>
    <row r="1341" spans="1:19" ht="14.25" x14ac:dyDescent="0.2">
      <c r="A1341" s="12">
        <v>30208</v>
      </c>
      <c r="B1341" s="13">
        <f t="shared" si="305"/>
        <v>26</v>
      </c>
      <c r="C1341" s="15">
        <f t="shared" si="306"/>
        <v>19</v>
      </c>
      <c r="D1341" s="14">
        <f t="shared" si="307"/>
        <v>16</v>
      </c>
      <c r="E1341" t="s">
        <v>2777</v>
      </c>
      <c r="F1341" t="s">
        <v>2836</v>
      </c>
      <c r="G1341" t="s">
        <v>2779</v>
      </c>
      <c r="H1341" t="s">
        <v>2779</v>
      </c>
      <c r="I1341" t="s">
        <v>2780</v>
      </c>
      <c r="J1341" s="4" t="s">
        <v>2844</v>
      </c>
      <c r="K1341" t="s">
        <v>177</v>
      </c>
      <c r="L1341" t="s">
        <v>163</v>
      </c>
      <c r="M1341" t="s">
        <v>163</v>
      </c>
      <c r="N1341" t="s">
        <v>163</v>
      </c>
      <c r="O1341" s="4" t="s">
        <v>2075</v>
      </c>
      <c r="P1341">
        <v>0</v>
      </c>
      <c r="Q1341" s="24">
        <v>95.2</v>
      </c>
      <c r="R1341" s="25">
        <v>134.5</v>
      </c>
      <c r="S1341" s="26">
        <v>82</v>
      </c>
    </row>
    <row r="1342" spans="1:19" ht="14.25" x14ac:dyDescent="0.2">
      <c r="A1342" s="12">
        <v>30209</v>
      </c>
      <c r="B1342" s="13">
        <f t="shared" si="305"/>
        <v>26</v>
      </c>
      <c r="C1342" s="15">
        <f t="shared" si="306"/>
        <v>19</v>
      </c>
      <c r="D1342" s="14">
        <f t="shared" si="307"/>
        <v>16</v>
      </c>
      <c r="E1342" t="s">
        <v>2777</v>
      </c>
      <c r="F1342" t="s">
        <v>2837</v>
      </c>
      <c r="G1342" t="s">
        <v>2779</v>
      </c>
      <c r="H1342" t="s">
        <v>2779</v>
      </c>
      <c r="I1342" t="s">
        <v>2780</v>
      </c>
      <c r="J1342" s="4" t="s">
        <v>2844</v>
      </c>
      <c r="K1342" t="s">
        <v>174</v>
      </c>
      <c r="L1342" t="s">
        <v>163</v>
      </c>
      <c r="M1342" t="s">
        <v>163</v>
      </c>
      <c r="N1342" t="s">
        <v>163</v>
      </c>
      <c r="O1342" s="4" t="s">
        <v>2077</v>
      </c>
      <c r="P1342">
        <v>0</v>
      </c>
      <c r="Q1342" s="24">
        <v>95.2</v>
      </c>
      <c r="R1342" s="25">
        <v>134.5</v>
      </c>
      <c r="S1342" s="26">
        <v>82</v>
      </c>
    </row>
    <row r="1343" spans="1:19" ht="14.25" x14ac:dyDescent="0.2">
      <c r="A1343" s="12">
        <v>30210</v>
      </c>
      <c r="B1343" s="13">
        <f t="shared" si="305"/>
        <v>26</v>
      </c>
      <c r="C1343" s="15">
        <f t="shared" si="306"/>
        <v>19</v>
      </c>
      <c r="D1343" s="14">
        <f t="shared" si="307"/>
        <v>16</v>
      </c>
      <c r="E1343" t="s">
        <v>2785</v>
      </c>
      <c r="F1343" t="s">
        <v>2786</v>
      </c>
      <c r="G1343" t="s">
        <v>2831</v>
      </c>
      <c r="H1343" t="s">
        <v>2829</v>
      </c>
      <c r="I1343" t="s">
        <v>2697</v>
      </c>
      <c r="J1343" s="4" t="s">
        <v>2864</v>
      </c>
      <c r="K1343" t="s">
        <v>166</v>
      </c>
      <c r="L1343" t="s">
        <v>163</v>
      </c>
      <c r="M1343" t="s">
        <v>163</v>
      </c>
      <c r="N1343" t="s">
        <v>163</v>
      </c>
      <c r="O1343" s="4" t="s">
        <v>2077</v>
      </c>
      <c r="P1343">
        <v>0</v>
      </c>
      <c r="Q1343" s="24">
        <v>95.2</v>
      </c>
      <c r="R1343" s="25">
        <v>134.5</v>
      </c>
      <c r="S1343" s="26">
        <v>82</v>
      </c>
    </row>
    <row r="1344" spans="1:19" ht="14.25" x14ac:dyDescent="0.2">
      <c r="A1344" s="12">
        <v>30211</v>
      </c>
      <c r="B1344" s="13">
        <f t="shared" si="305"/>
        <v>26</v>
      </c>
      <c r="C1344" s="15">
        <f t="shared" si="306"/>
        <v>19</v>
      </c>
      <c r="D1344" s="14">
        <f t="shared" si="307"/>
        <v>16</v>
      </c>
      <c r="E1344" t="s">
        <v>2777</v>
      </c>
      <c r="F1344" t="s">
        <v>2834</v>
      </c>
      <c r="G1344" t="s">
        <v>2779</v>
      </c>
      <c r="H1344" t="s">
        <v>2779</v>
      </c>
      <c r="I1344" t="s">
        <v>2780</v>
      </c>
      <c r="J1344" s="4" t="s">
        <v>2844</v>
      </c>
      <c r="K1344" t="s">
        <v>168</v>
      </c>
      <c r="L1344" t="s">
        <v>163</v>
      </c>
      <c r="M1344" t="s">
        <v>163</v>
      </c>
      <c r="N1344" t="s">
        <v>163</v>
      </c>
      <c r="O1344" s="4" t="s">
        <v>2079</v>
      </c>
      <c r="P1344">
        <v>0</v>
      </c>
      <c r="Q1344" s="24">
        <v>95.5</v>
      </c>
      <c r="R1344" s="25">
        <v>135</v>
      </c>
      <c r="S1344" s="26">
        <v>82.3</v>
      </c>
    </row>
    <row r="1345" spans="1:19" ht="14.25" x14ac:dyDescent="0.2">
      <c r="A1345" s="12">
        <v>30212</v>
      </c>
      <c r="B1345" s="13">
        <f t="shared" si="305"/>
        <v>26</v>
      </c>
      <c r="C1345" s="15">
        <f t="shared" si="306"/>
        <v>19</v>
      </c>
      <c r="D1345" s="14">
        <f t="shared" si="307"/>
        <v>16</v>
      </c>
      <c r="E1345" t="s">
        <v>2777</v>
      </c>
      <c r="F1345" t="s">
        <v>2835</v>
      </c>
      <c r="G1345" t="s">
        <v>2779</v>
      </c>
      <c r="H1345" t="s">
        <v>2779</v>
      </c>
      <c r="I1345" t="s">
        <v>2780</v>
      </c>
      <c r="J1345" s="4" t="s">
        <v>2844</v>
      </c>
      <c r="K1345" t="s">
        <v>175</v>
      </c>
      <c r="L1345" t="s">
        <v>164</v>
      </c>
      <c r="M1345" t="s">
        <v>163</v>
      </c>
      <c r="N1345" t="s">
        <v>167</v>
      </c>
      <c r="O1345" s="4" t="s">
        <v>2081</v>
      </c>
      <c r="P1345">
        <v>0</v>
      </c>
      <c r="Q1345" s="24">
        <v>95.5</v>
      </c>
      <c r="R1345" s="25">
        <v>135</v>
      </c>
      <c r="S1345" s="26">
        <v>82.3</v>
      </c>
    </row>
    <row r="1346" spans="1:19" ht="14.25" x14ac:dyDescent="0.2">
      <c r="A1346" s="12">
        <v>30213</v>
      </c>
      <c r="B1346" s="13">
        <f t="shared" si="305"/>
        <v>27</v>
      </c>
      <c r="C1346" s="15">
        <f t="shared" si="306"/>
        <v>19</v>
      </c>
      <c r="D1346" s="14">
        <f t="shared" si="307"/>
        <v>16</v>
      </c>
      <c r="E1346" t="s">
        <v>2777</v>
      </c>
      <c r="F1346" t="s">
        <v>2836</v>
      </c>
      <c r="G1346" t="s">
        <v>2779</v>
      </c>
      <c r="H1346" t="s">
        <v>2779</v>
      </c>
      <c r="I1346" t="s">
        <v>2780</v>
      </c>
      <c r="J1346" s="4" t="s">
        <v>2844</v>
      </c>
      <c r="K1346" t="s">
        <v>179</v>
      </c>
      <c r="L1346" t="s">
        <v>163</v>
      </c>
      <c r="M1346" t="s">
        <v>163</v>
      </c>
      <c r="N1346" t="s">
        <v>163</v>
      </c>
      <c r="O1346" s="4" t="s">
        <v>2083</v>
      </c>
      <c r="P1346">
        <v>0</v>
      </c>
      <c r="Q1346" s="24">
        <v>95.5</v>
      </c>
      <c r="R1346" s="25">
        <v>135</v>
      </c>
      <c r="S1346" s="26">
        <v>82.3</v>
      </c>
    </row>
    <row r="1347" spans="1:19" ht="14.25" x14ac:dyDescent="0.2">
      <c r="A1347" s="12">
        <v>30214</v>
      </c>
      <c r="B1347" s="13">
        <f t="shared" si="305"/>
        <v>27</v>
      </c>
      <c r="C1347" s="15">
        <f t="shared" si="306"/>
        <v>19</v>
      </c>
      <c r="D1347" s="14">
        <f t="shared" si="307"/>
        <v>16</v>
      </c>
      <c r="E1347" t="s">
        <v>2777</v>
      </c>
      <c r="F1347" t="s">
        <v>2837</v>
      </c>
      <c r="G1347" t="s">
        <v>2779</v>
      </c>
      <c r="H1347" t="s">
        <v>2779</v>
      </c>
      <c r="I1347" t="s">
        <v>2780</v>
      </c>
      <c r="J1347" s="4" t="s">
        <v>2844</v>
      </c>
      <c r="K1347" t="s">
        <v>177</v>
      </c>
      <c r="L1347" t="s">
        <v>163</v>
      </c>
      <c r="M1347" t="s">
        <v>163</v>
      </c>
      <c r="N1347" t="s">
        <v>163</v>
      </c>
      <c r="O1347" s="4" t="s">
        <v>2083</v>
      </c>
      <c r="P1347">
        <v>0</v>
      </c>
      <c r="Q1347" s="24">
        <v>95.5</v>
      </c>
      <c r="R1347" s="25">
        <v>135</v>
      </c>
      <c r="S1347" s="26">
        <v>82.3</v>
      </c>
    </row>
    <row r="1348" spans="1:19" ht="14.25" x14ac:dyDescent="0.2">
      <c r="A1348" s="12">
        <v>30215</v>
      </c>
      <c r="B1348" s="13">
        <f t="shared" si="305"/>
        <v>27</v>
      </c>
      <c r="C1348" s="15">
        <f t="shared" si="306"/>
        <v>19</v>
      </c>
      <c r="D1348" s="14">
        <f t="shared" si="307"/>
        <v>16</v>
      </c>
      <c r="E1348" t="s">
        <v>2785</v>
      </c>
      <c r="F1348" t="s">
        <v>2786</v>
      </c>
      <c r="G1348" t="s">
        <v>2832</v>
      </c>
      <c r="H1348" t="s">
        <v>2829</v>
      </c>
      <c r="I1348" t="s">
        <v>2697</v>
      </c>
      <c r="J1348" s="4" t="s">
        <v>2864</v>
      </c>
      <c r="K1348" t="s">
        <v>174</v>
      </c>
      <c r="L1348" t="s">
        <v>163</v>
      </c>
      <c r="M1348" t="s">
        <v>163</v>
      </c>
      <c r="N1348" t="s">
        <v>163</v>
      </c>
      <c r="O1348" s="4" t="s">
        <v>2085</v>
      </c>
      <c r="P1348">
        <v>0</v>
      </c>
      <c r="Q1348" s="24">
        <v>95.5</v>
      </c>
      <c r="R1348" s="25">
        <v>135</v>
      </c>
      <c r="S1348" s="26">
        <v>82.3</v>
      </c>
    </row>
    <row r="1349" spans="1:19" ht="14.25" x14ac:dyDescent="0.2">
      <c r="A1349" s="12">
        <v>30216</v>
      </c>
      <c r="B1349" s="13">
        <f t="shared" ref="B1349:B1412" si="308">FLOOR(R1347/5,1)</f>
        <v>27</v>
      </c>
      <c r="C1349" s="15">
        <f t="shared" ref="C1349:C1412" si="309">FLOOR(Q1347/5,1)</f>
        <v>19</v>
      </c>
      <c r="D1349" s="14">
        <f t="shared" ref="D1349:D1412" si="310">FLOOR(S1347/5,1)</f>
        <v>16</v>
      </c>
      <c r="E1349" t="s">
        <v>2777</v>
      </c>
      <c r="F1349" t="s">
        <v>2834</v>
      </c>
      <c r="G1349" t="s">
        <v>2779</v>
      </c>
      <c r="H1349" t="s">
        <v>2779</v>
      </c>
      <c r="I1349" t="s">
        <v>2780</v>
      </c>
      <c r="J1349" s="4" t="s">
        <v>2844</v>
      </c>
      <c r="K1349" t="s">
        <v>182</v>
      </c>
      <c r="L1349" t="s">
        <v>163</v>
      </c>
      <c r="M1349" t="s">
        <v>163</v>
      </c>
      <c r="N1349" t="s">
        <v>163</v>
      </c>
      <c r="O1349" s="4" t="s">
        <v>2087</v>
      </c>
      <c r="P1349">
        <v>0</v>
      </c>
      <c r="Q1349" s="24">
        <v>95.8</v>
      </c>
      <c r="R1349" s="25">
        <v>135.5</v>
      </c>
      <c r="S1349" s="26">
        <v>82.5</v>
      </c>
    </row>
    <row r="1350" spans="1:19" ht="14.25" x14ac:dyDescent="0.2">
      <c r="A1350" s="12">
        <v>30217</v>
      </c>
      <c r="B1350" s="13">
        <f t="shared" si="308"/>
        <v>27</v>
      </c>
      <c r="C1350" s="15">
        <f t="shared" si="309"/>
        <v>19</v>
      </c>
      <c r="D1350" s="14">
        <f t="shared" si="310"/>
        <v>16</v>
      </c>
      <c r="E1350" t="s">
        <v>2777</v>
      </c>
      <c r="F1350" t="s">
        <v>2835</v>
      </c>
      <c r="G1350" t="s">
        <v>2779</v>
      </c>
      <c r="H1350" t="s">
        <v>2779</v>
      </c>
      <c r="I1350" t="s">
        <v>2780</v>
      </c>
      <c r="J1350" s="4" t="s">
        <v>2844</v>
      </c>
      <c r="K1350" t="s">
        <v>162</v>
      </c>
      <c r="L1350" t="s">
        <v>163</v>
      </c>
      <c r="M1350" t="s">
        <v>163</v>
      </c>
      <c r="N1350" t="s">
        <v>163</v>
      </c>
      <c r="O1350" s="4" t="s">
        <v>2087</v>
      </c>
      <c r="P1350">
        <v>0</v>
      </c>
      <c r="Q1350" s="24">
        <v>95.8</v>
      </c>
      <c r="R1350" s="25">
        <v>135.5</v>
      </c>
      <c r="S1350" s="26">
        <v>82.5</v>
      </c>
    </row>
    <row r="1351" spans="1:19" ht="14.25" x14ac:dyDescent="0.2">
      <c r="A1351" s="12">
        <v>30218</v>
      </c>
      <c r="B1351" s="13">
        <f t="shared" si="308"/>
        <v>27</v>
      </c>
      <c r="C1351" s="15">
        <f t="shared" si="309"/>
        <v>19</v>
      </c>
      <c r="D1351" s="14">
        <f t="shared" si="310"/>
        <v>16</v>
      </c>
      <c r="E1351" t="s">
        <v>2777</v>
      </c>
      <c r="F1351" t="s">
        <v>2836</v>
      </c>
      <c r="G1351" t="s">
        <v>2779</v>
      </c>
      <c r="H1351" t="s">
        <v>2779</v>
      </c>
      <c r="I1351" t="s">
        <v>2780</v>
      </c>
      <c r="J1351" s="4" t="s">
        <v>2844</v>
      </c>
      <c r="K1351" t="s">
        <v>177</v>
      </c>
      <c r="L1351" t="s">
        <v>163</v>
      </c>
      <c r="M1351" t="s">
        <v>163</v>
      </c>
      <c r="N1351" t="s">
        <v>163</v>
      </c>
      <c r="O1351" s="4" t="s">
        <v>2089</v>
      </c>
      <c r="P1351">
        <v>0</v>
      </c>
      <c r="Q1351" s="24">
        <v>95.8</v>
      </c>
      <c r="R1351" s="25">
        <v>135.5</v>
      </c>
      <c r="S1351" s="26">
        <v>82.5</v>
      </c>
    </row>
    <row r="1352" spans="1:19" ht="14.25" x14ac:dyDescent="0.2">
      <c r="A1352" s="12">
        <v>30219</v>
      </c>
      <c r="B1352" s="13">
        <f t="shared" si="308"/>
        <v>27</v>
      </c>
      <c r="C1352" s="15">
        <f t="shared" si="309"/>
        <v>19</v>
      </c>
      <c r="D1352" s="14">
        <f t="shared" si="310"/>
        <v>16</v>
      </c>
      <c r="E1352" t="s">
        <v>2777</v>
      </c>
      <c r="F1352" t="s">
        <v>2837</v>
      </c>
      <c r="G1352" t="s">
        <v>2779</v>
      </c>
      <c r="H1352" t="s">
        <v>2779</v>
      </c>
      <c r="I1352" t="s">
        <v>2780</v>
      </c>
      <c r="J1352" s="4" t="s">
        <v>2844</v>
      </c>
      <c r="K1352" t="s">
        <v>174</v>
      </c>
      <c r="L1352" t="s">
        <v>163</v>
      </c>
      <c r="M1352" t="s">
        <v>163</v>
      </c>
      <c r="N1352" t="s">
        <v>163</v>
      </c>
      <c r="O1352" s="4" t="s">
        <v>2091</v>
      </c>
      <c r="P1352">
        <v>0</v>
      </c>
      <c r="Q1352" s="24">
        <v>95.8</v>
      </c>
      <c r="R1352" s="25">
        <v>135.5</v>
      </c>
      <c r="S1352" s="26">
        <v>82.5</v>
      </c>
    </row>
    <row r="1353" spans="1:19" ht="14.25" x14ac:dyDescent="0.2">
      <c r="A1353" s="12">
        <v>30220</v>
      </c>
      <c r="B1353" s="13">
        <f t="shared" si="308"/>
        <v>27</v>
      </c>
      <c r="C1353" s="15">
        <f t="shared" si="309"/>
        <v>19</v>
      </c>
      <c r="D1353" s="14">
        <f t="shared" si="310"/>
        <v>16</v>
      </c>
      <c r="E1353" t="s">
        <v>2785</v>
      </c>
      <c r="F1353" t="s">
        <v>2786</v>
      </c>
      <c r="G1353" t="s">
        <v>2833</v>
      </c>
      <c r="H1353" t="s">
        <v>2829</v>
      </c>
      <c r="I1353" t="s">
        <v>2697</v>
      </c>
      <c r="J1353" s="4" t="s">
        <v>2882</v>
      </c>
      <c r="K1353" t="s">
        <v>166</v>
      </c>
      <c r="L1353" t="s">
        <v>163</v>
      </c>
      <c r="M1353" t="s">
        <v>163</v>
      </c>
      <c r="N1353" t="s">
        <v>163</v>
      </c>
      <c r="O1353" s="4" t="s">
        <v>2091</v>
      </c>
      <c r="P1353">
        <v>0</v>
      </c>
      <c r="Q1353" s="24">
        <v>95.8</v>
      </c>
      <c r="R1353" s="25">
        <v>135.5</v>
      </c>
      <c r="S1353" s="26">
        <v>82.5</v>
      </c>
    </row>
    <row r="1354" spans="1:19" ht="14.25" x14ac:dyDescent="0.2">
      <c r="A1354" s="12">
        <v>30221</v>
      </c>
      <c r="B1354" s="13">
        <f t="shared" si="308"/>
        <v>27</v>
      </c>
      <c r="C1354" s="15">
        <f t="shared" si="309"/>
        <v>19</v>
      </c>
      <c r="D1354" s="14">
        <f t="shared" si="310"/>
        <v>16</v>
      </c>
      <c r="E1354" t="s">
        <v>2777</v>
      </c>
      <c r="F1354" t="s">
        <v>2834</v>
      </c>
      <c r="G1354" t="s">
        <v>2779</v>
      </c>
      <c r="H1354" t="s">
        <v>2779</v>
      </c>
      <c r="I1354" t="s">
        <v>2780</v>
      </c>
      <c r="J1354" s="4" t="s">
        <v>2844</v>
      </c>
      <c r="K1354" t="s">
        <v>168</v>
      </c>
      <c r="L1354" t="s">
        <v>163</v>
      </c>
      <c r="M1354" t="s">
        <v>163</v>
      </c>
      <c r="N1354" t="s">
        <v>163</v>
      </c>
      <c r="O1354" s="4" t="s">
        <v>2093</v>
      </c>
      <c r="P1354">
        <v>0</v>
      </c>
      <c r="Q1354" s="24">
        <v>96.2</v>
      </c>
      <c r="R1354" s="25">
        <v>136</v>
      </c>
      <c r="S1354" s="26">
        <v>82.8</v>
      </c>
    </row>
    <row r="1355" spans="1:19" ht="14.25" x14ac:dyDescent="0.2">
      <c r="A1355" s="12">
        <v>30222</v>
      </c>
      <c r="B1355" s="13">
        <f t="shared" si="308"/>
        <v>27</v>
      </c>
      <c r="C1355" s="15">
        <f t="shared" si="309"/>
        <v>19</v>
      </c>
      <c r="D1355" s="14">
        <f t="shared" si="310"/>
        <v>16</v>
      </c>
      <c r="E1355" t="s">
        <v>2777</v>
      </c>
      <c r="F1355" t="s">
        <v>2835</v>
      </c>
      <c r="G1355" t="s">
        <v>2779</v>
      </c>
      <c r="H1355" t="s">
        <v>2779</v>
      </c>
      <c r="I1355" t="s">
        <v>2780</v>
      </c>
      <c r="J1355" s="4" t="s">
        <v>2844</v>
      </c>
      <c r="K1355" t="s">
        <v>175</v>
      </c>
      <c r="L1355" t="s">
        <v>164</v>
      </c>
      <c r="M1355" t="s">
        <v>163</v>
      </c>
      <c r="N1355" t="s">
        <v>167</v>
      </c>
      <c r="O1355" s="4" t="s">
        <v>2095</v>
      </c>
      <c r="P1355">
        <v>0</v>
      </c>
      <c r="Q1355" s="24">
        <v>96.2</v>
      </c>
      <c r="R1355" s="25">
        <v>136</v>
      </c>
      <c r="S1355" s="26">
        <v>82.8</v>
      </c>
    </row>
    <row r="1356" spans="1:19" ht="14.25" x14ac:dyDescent="0.2">
      <c r="A1356" s="12">
        <v>30223</v>
      </c>
      <c r="B1356" s="13">
        <f t="shared" si="308"/>
        <v>27</v>
      </c>
      <c r="C1356" s="15">
        <f t="shared" si="309"/>
        <v>19</v>
      </c>
      <c r="D1356" s="14">
        <f t="shared" si="310"/>
        <v>16</v>
      </c>
      <c r="E1356" t="s">
        <v>2777</v>
      </c>
      <c r="F1356" t="s">
        <v>2836</v>
      </c>
      <c r="G1356" t="s">
        <v>2779</v>
      </c>
      <c r="H1356" t="s">
        <v>2779</v>
      </c>
      <c r="I1356" t="s">
        <v>2780</v>
      </c>
      <c r="J1356" s="4" t="s">
        <v>2844</v>
      </c>
      <c r="K1356" t="s">
        <v>179</v>
      </c>
      <c r="L1356" t="s">
        <v>163</v>
      </c>
      <c r="M1356" t="s">
        <v>163</v>
      </c>
      <c r="N1356" t="s">
        <v>163</v>
      </c>
      <c r="O1356" s="4" t="s">
        <v>2097</v>
      </c>
      <c r="P1356">
        <v>0</v>
      </c>
      <c r="Q1356" s="24">
        <v>96.2</v>
      </c>
      <c r="R1356" s="25">
        <v>136</v>
      </c>
      <c r="S1356" s="26">
        <v>82.8</v>
      </c>
    </row>
    <row r="1357" spans="1:19" ht="14.25" x14ac:dyDescent="0.2">
      <c r="A1357" s="12">
        <v>30224</v>
      </c>
      <c r="B1357" s="13">
        <f t="shared" si="308"/>
        <v>27</v>
      </c>
      <c r="C1357" s="15">
        <f t="shared" si="309"/>
        <v>19</v>
      </c>
      <c r="D1357" s="14">
        <f t="shared" si="310"/>
        <v>16</v>
      </c>
      <c r="E1357" t="s">
        <v>2777</v>
      </c>
      <c r="F1357" t="s">
        <v>2837</v>
      </c>
      <c r="G1357" t="s">
        <v>2779</v>
      </c>
      <c r="H1357" t="s">
        <v>2779</v>
      </c>
      <c r="I1357" t="s">
        <v>2780</v>
      </c>
      <c r="J1357" s="4" t="s">
        <v>2844</v>
      </c>
      <c r="K1357" t="s">
        <v>177</v>
      </c>
      <c r="L1357" t="s">
        <v>163</v>
      </c>
      <c r="M1357" t="s">
        <v>163</v>
      </c>
      <c r="N1357" t="s">
        <v>163</v>
      </c>
      <c r="O1357" s="4" t="s">
        <v>2097</v>
      </c>
      <c r="P1357">
        <v>0</v>
      </c>
      <c r="Q1357" s="24">
        <v>96.2</v>
      </c>
      <c r="R1357" s="25">
        <v>136</v>
      </c>
      <c r="S1357" s="26">
        <v>82.8</v>
      </c>
    </row>
    <row r="1358" spans="1:19" ht="14.25" x14ac:dyDescent="0.2">
      <c r="A1358" s="12">
        <v>30225</v>
      </c>
      <c r="B1358" s="13">
        <f t="shared" si="308"/>
        <v>27</v>
      </c>
      <c r="C1358" s="15">
        <f t="shared" si="309"/>
        <v>19</v>
      </c>
      <c r="D1358" s="14">
        <f t="shared" si="310"/>
        <v>16</v>
      </c>
      <c r="E1358" t="s">
        <v>2785</v>
      </c>
      <c r="F1358" t="s">
        <v>2786</v>
      </c>
      <c r="G1358" t="s">
        <v>2828</v>
      </c>
      <c r="H1358" t="s">
        <v>2829</v>
      </c>
      <c r="I1358" t="s">
        <v>2697</v>
      </c>
      <c r="J1358" s="4" t="s">
        <v>2882</v>
      </c>
      <c r="K1358" t="s">
        <v>174</v>
      </c>
      <c r="L1358" t="s">
        <v>163</v>
      </c>
      <c r="M1358" t="s">
        <v>163</v>
      </c>
      <c r="N1358" t="s">
        <v>163</v>
      </c>
      <c r="O1358" s="4" t="s">
        <v>2099</v>
      </c>
      <c r="P1358">
        <v>0</v>
      </c>
      <c r="Q1358" s="24">
        <v>96.2</v>
      </c>
      <c r="R1358" s="25">
        <v>136</v>
      </c>
      <c r="S1358" s="26">
        <v>82.8</v>
      </c>
    </row>
    <row r="1359" spans="1:19" ht="14.25" x14ac:dyDescent="0.2">
      <c r="A1359" s="12">
        <v>30226</v>
      </c>
      <c r="B1359" s="13">
        <f t="shared" si="308"/>
        <v>27</v>
      </c>
      <c r="C1359" s="15">
        <f t="shared" si="309"/>
        <v>19</v>
      </c>
      <c r="D1359" s="14">
        <f t="shared" si="310"/>
        <v>16</v>
      </c>
      <c r="E1359" t="s">
        <v>2777</v>
      </c>
      <c r="F1359" t="s">
        <v>2834</v>
      </c>
      <c r="G1359" t="s">
        <v>2779</v>
      </c>
      <c r="H1359" t="s">
        <v>2779</v>
      </c>
      <c r="I1359" t="s">
        <v>2780</v>
      </c>
      <c r="J1359" s="4" t="s">
        <v>2844</v>
      </c>
      <c r="K1359" t="s">
        <v>182</v>
      </c>
      <c r="L1359" t="s">
        <v>163</v>
      </c>
      <c r="M1359" t="s">
        <v>163</v>
      </c>
      <c r="N1359" t="s">
        <v>163</v>
      </c>
      <c r="O1359" s="4" t="s">
        <v>2101</v>
      </c>
      <c r="P1359">
        <v>0</v>
      </c>
      <c r="Q1359" s="24">
        <v>96.5</v>
      </c>
      <c r="R1359" s="25">
        <v>136.5</v>
      </c>
      <c r="S1359" s="26">
        <v>83</v>
      </c>
    </row>
    <row r="1360" spans="1:19" ht="14.25" x14ac:dyDescent="0.2">
      <c r="A1360" s="12">
        <v>30227</v>
      </c>
      <c r="B1360" s="13">
        <f t="shared" si="308"/>
        <v>27</v>
      </c>
      <c r="C1360" s="15">
        <f t="shared" si="309"/>
        <v>19</v>
      </c>
      <c r="D1360" s="14">
        <f t="shared" si="310"/>
        <v>16</v>
      </c>
      <c r="E1360" t="s">
        <v>2777</v>
      </c>
      <c r="F1360" t="s">
        <v>2835</v>
      </c>
      <c r="G1360" t="s">
        <v>2779</v>
      </c>
      <c r="H1360" t="s">
        <v>2779</v>
      </c>
      <c r="I1360" t="s">
        <v>2780</v>
      </c>
      <c r="J1360" s="4" t="s">
        <v>2844</v>
      </c>
      <c r="K1360" t="s">
        <v>162</v>
      </c>
      <c r="L1360" t="s">
        <v>163</v>
      </c>
      <c r="M1360" t="s">
        <v>163</v>
      </c>
      <c r="N1360" t="s">
        <v>163</v>
      </c>
      <c r="O1360" s="4" t="s">
        <v>2101</v>
      </c>
      <c r="P1360">
        <v>0</v>
      </c>
      <c r="Q1360" s="24">
        <v>96.5</v>
      </c>
      <c r="R1360" s="25">
        <v>136.5</v>
      </c>
      <c r="S1360" s="26">
        <v>83</v>
      </c>
    </row>
    <row r="1361" spans="1:19" ht="14.25" x14ac:dyDescent="0.2">
      <c r="A1361" s="12">
        <v>30228</v>
      </c>
      <c r="B1361" s="13">
        <f t="shared" si="308"/>
        <v>27</v>
      </c>
      <c r="C1361" s="15">
        <f t="shared" si="309"/>
        <v>19</v>
      </c>
      <c r="D1361" s="14">
        <f t="shared" si="310"/>
        <v>16</v>
      </c>
      <c r="E1361" t="s">
        <v>2777</v>
      </c>
      <c r="F1361" t="s">
        <v>2836</v>
      </c>
      <c r="G1361" t="s">
        <v>2779</v>
      </c>
      <c r="H1361" t="s">
        <v>2779</v>
      </c>
      <c r="I1361" t="s">
        <v>2780</v>
      </c>
      <c r="J1361" s="4" t="s">
        <v>2844</v>
      </c>
      <c r="K1361" t="s">
        <v>177</v>
      </c>
      <c r="L1361" t="s">
        <v>163</v>
      </c>
      <c r="M1361" t="s">
        <v>163</v>
      </c>
      <c r="N1361" t="s">
        <v>163</v>
      </c>
      <c r="O1361" s="4" t="s">
        <v>2103</v>
      </c>
      <c r="P1361">
        <v>0</v>
      </c>
      <c r="Q1361" s="24">
        <v>96.5</v>
      </c>
      <c r="R1361" s="25">
        <v>136.5</v>
      </c>
      <c r="S1361" s="26">
        <v>83</v>
      </c>
    </row>
    <row r="1362" spans="1:19" ht="14.25" x14ac:dyDescent="0.2">
      <c r="A1362" s="12">
        <v>30229</v>
      </c>
      <c r="B1362" s="13">
        <f t="shared" si="308"/>
        <v>27</v>
      </c>
      <c r="C1362" s="15">
        <f t="shared" si="309"/>
        <v>19</v>
      </c>
      <c r="D1362" s="14">
        <f t="shared" si="310"/>
        <v>16</v>
      </c>
      <c r="E1362" t="s">
        <v>2777</v>
      </c>
      <c r="F1362" t="s">
        <v>2837</v>
      </c>
      <c r="G1362" t="s">
        <v>2779</v>
      </c>
      <c r="H1362" t="s">
        <v>2779</v>
      </c>
      <c r="I1362" t="s">
        <v>2780</v>
      </c>
      <c r="J1362" s="4" t="s">
        <v>2844</v>
      </c>
      <c r="K1362" t="s">
        <v>174</v>
      </c>
      <c r="L1362" t="s">
        <v>163</v>
      </c>
      <c r="M1362" t="s">
        <v>163</v>
      </c>
      <c r="N1362" t="s">
        <v>163</v>
      </c>
      <c r="O1362" s="4" t="s">
        <v>2105</v>
      </c>
      <c r="P1362">
        <v>0</v>
      </c>
      <c r="Q1362" s="24">
        <v>96.5</v>
      </c>
      <c r="R1362" s="25">
        <v>136.5</v>
      </c>
      <c r="S1362" s="26">
        <v>83</v>
      </c>
    </row>
    <row r="1363" spans="1:19" ht="14.25" x14ac:dyDescent="0.2">
      <c r="A1363" s="12">
        <v>30230</v>
      </c>
      <c r="B1363" s="13">
        <f t="shared" si="308"/>
        <v>27</v>
      </c>
      <c r="C1363" s="15">
        <f t="shared" si="309"/>
        <v>19</v>
      </c>
      <c r="D1363" s="14">
        <f t="shared" si="310"/>
        <v>16</v>
      </c>
      <c r="E1363" t="s">
        <v>2785</v>
      </c>
      <c r="F1363" t="s">
        <v>2786</v>
      </c>
      <c r="G1363" t="s">
        <v>2830</v>
      </c>
      <c r="H1363" t="s">
        <v>2829</v>
      </c>
      <c r="I1363" t="s">
        <v>2697</v>
      </c>
      <c r="J1363" s="4" t="s">
        <v>2864</v>
      </c>
      <c r="K1363" t="s">
        <v>166</v>
      </c>
      <c r="L1363" t="s">
        <v>163</v>
      </c>
      <c r="M1363" t="s">
        <v>163</v>
      </c>
      <c r="N1363" t="s">
        <v>163</v>
      </c>
      <c r="O1363" s="4" t="s">
        <v>2105</v>
      </c>
      <c r="P1363">
        <v>0</v>
      </c>
      <c r="Q1363" s="24">
        <v>96.5</v>
      </c>
      <c r="R1363" s="25">
        <v>136.5</v>
      </c>
      <c r="S1363" s="26">
        <v>83</v>
      </c>
    </row>
    <row r="1364" spans="1:19" ht="14.25" x14ac:dyDescent="0.2">
      <c r="A1364" s="12">
        <v>30231</v>
      </c>
      <c r="B1364" s="13">
        <f t="shared" si="308"/>
        <v>27</v>
      </c>
      <c r="C1364" s="15">
        <f t="shared" si="309"/>
        <v>19</v>
      </c>
      <c r="D1364" s="14">
        <f t="shared" si="310"/>
        <v>16</v>
      </c>
      <c r="E1364" t="s">
        <v>2777</v>
      </c>
      <c r="F1364" t="s">
        <v>2834</v>
      </c>
      <c r="G1364" t="s">
        <v>2779</v>
      </c>
      <c r="H1364" t="s">
        <v>2779</v>
      </c>
      <c r="I1364" t="s">
        <v>2780</v>
      </c>
      <c r="J1364" s="4" t="s">
        <v>2844</v>
      </c>
      <c r="K1364" t="s">
        <v>168</v>
      </c>
      <c r="L1364" t="s">
        <v>163</v>
      </c>
      <c r="M1364" t="s">
        <v>163</v>
      </c>
      <c r="N1364" t="s">
        <v>163</v>
      </c>
      <c r="O1364" s="4" t="s">
        <v>2107</v>
      </c>
      <c r="P1364">
        <v>0</v>
      </c>
      <c r="Q1364" s="24">
        <v>96.8</v>
      </c>
      <c r="R1364" s="25">
        <v>137</v>
      </c>
      <c r="S1364" s="26">
        <v>83.3</v>
      </c>
    </row>
    <row r="1365" spans="1:19" ht="14.25" x14ac:dyDescent="0.2">
      <c r="A1365" s="12">
        <v>30232</v>
      </c>
      <c r="B1365" s="13">
        <f t="shared" si="308"/>
        <v>27</v>
      </c>
      <c r="C1365" s="15">
        <f t="shared" si="309"/>
        <v>19</v>
      </c>
      <c r="D1365" s="14">
        <f t="shared" si="310"/>
        <v>16</v>
      </c>
      <c r="E1365" t="s">
        <v>2777</v>
      </c>
      <c r="F1365" t="s">
        <v>2835</v>
      </c>
      <c r="G1365" t="s">
        <v>2779</v>
      </c>
      <c r="H1365" t="s">
        <v>2779</v>
      </c>
      <c r="I1365" t="s">
        <v>2780</v>
      </c>
      <c r="J1365" s="4" t="s">
        <v>2844</v>
      </c>
      <c r="K1365" t="s">
        <v>175</v>
      </c>
      <c r="L1365" t="s">
        <v>164</v>
      </c>
      <c r="M1365" t="s">
        <v>163</v>
      </c>
      <c r="N1365" t="s">
        <v>167</v>
      </c>
      <c r="O1365" s="4" t="s">
        <v>2109</v>
      </c>
      <c r="P1365">
        <v>0</v>
      </c>
      <c r="Q1365" s="24">
        <v>96.8</v>
      </c>
      <c r="R1365" s="25">
        <v>137</v>
      </c>
      <c r="S1365" s="26">
        <v>83.3</v>
      </c>
    </row>
    <row r="1366" spans="1:19" ht="14.25" x14ac:dyDescent="0.2">
      <c r="A1366" s="12">
        <v>30233</v>
      </c>
      <c r="B1366" s="13">
        <f t="shared" si="308"/>
        <v>27</v>
      </c>
      <c r="C1366" s="15">
        <f t="shared" si="309"/>
        <v>19</v>
      </c>
      <c r="D1366" s="14">
        <f t="shared" si="310"/>
        <v>16</v>
      </c>
      <c r="E1366" t="s">
        <v>2777</v>
      </c>
      <c r="F1366" t="s">
        <v>2836</v>
      </c>
      <c r="G1366" t="s">
        <v>2779</v>
      </c>
      <c r="H1366" t="s">
        <v>2779</v>
      </c>
      <c r="I1366" t="s">
        <v>2780</v>
      </c>
      <c r="J1366" s="4" t="s">
        <v>2844</v>
      </c>
      <c r="K1366" t="s">
        <v>179</v>
      </c>
      <c r="L1366" t="s">
        <v>163</v>
      </c>
      <c r="M1366" t="s">
        <v>163</v>
      </c>
      <c r="N1366" t="s">
        <v>163</v>
      </c>
      <c r="O1366" s="4" t="s">
        <v>2111</v>
      </c>
      <c r="P1366">
        <v>0</v>
      </c>
      <c r="Q1366" s="24">
        <v>96.8</v>
      </c>
      <c r="R1366" s="25">
        <v>137</v>
      </c>
      <c r="S1366" s="26">
        <v>83.3</v>
      </c>
    </row>
    <row r="1367" spans="1:19" ht="14.25" x14ac:dyDescent="0.2">
      <c r="A1367" s="12">
        <v>30234</v>
      </c>
      <c r="B1367" s="13">
        <f t="shared" si="308"/>
        <v>27</v>
      </c>
      <c r="C1367" s="15">
        <f t="shared" si="309"/>
        <v>19</v>
      </c>
      <c r="D1367" s="14">
        <f t="shared" si="310"/>
        <v>16</v>
      </c>
      <c r="E1367" t="s">
        <v>2777</v>
      </c>
      <c r="F1367" t="s">
        <v>2837</v>
      </c>
      <c r="G1367" t="s">
        <v>2779</v>
      </c>
      <c r="H1367" t="s">
        <v>2779</v>
      </c>
      <c r="I1367" t="s">
        <v>2780</v>
      </c>
      <c r="J1367" s="4" t="s">
        <v>2844</v>
      </c>
      <c r="K1367" t="s">
        <v>177</v>
      </c>
      <c r="L1367" t="s">
        <v>163</v>
      </c>
      <c r="M1367" t="s">
        <v>163</v>
      </c>
      <c r="N1367" t="s">
        <v>163</v>
      </c>
      <c r="O1367" s="4" t="s">
        <v>2111</v>
      </c>
      <c r="P1367">
        <v>0</v>
      </c>
      <c r="Q1367" s="24">
        <v>96.8</v>
      </c>
      <c r="R1367" s="25">
        <v>137</v>
      </c>
      <c r="S1367" s="26">
        <v>83.3</v>
      </c>
    </row>
    <row r="1368" spans="1:19" ht="14.25" x14ac:dyDescent="0.2">
      <c r="A1368" s="12">
        <v>30235</v>
      </c>
      <c r="B1368" s="13">
        <f t="shared" si="308"/>
        <v>27</v>
      </c>
      <c r="C1368" s="15">
        <f t="shared" si="309"/>
        <v>19</v>
      </c>
      <c r="D1368" s="14">
        <f t="shared" si="310"/>
        <v>16</v>
      </c>
      <c r="E1368" t="s">
        <v>2785</v>
      </c>
      <c r="F1368" t="s">
        <v>2786</v>
      </c>
      <c r="G1368" t="s">
        <v>2831</v>
      </c>
      <c r="H1368" t="s">
        <v>2829</v>
      </c>
      <c r="I1368" t="s">
        <v>2697</v>
      </c>
      <c r="J1368" s="4" t="s">
        <v>2864</v>
      </c>
      <c r="K1368" t="s">
        <v>174</v>
      </c>
      <c r="L1368" t="s">
        <v>163</v>
      </c>
      <c r="M1368" t="s">
        <v>163</v>
      </c>
      <c r="N1368" t="s">
        <v>163</v>
      </c>
      <c r="O1368" s="4" t="s">
        <v>2113</v>
      </c>
      <c r="P1368">
        <v>0</v>
      </c>
      <c r="Q1368" s="24">
        <v>96.8</v>
      </c>
      <c r="R1368" s="25">
        <v>137</v>
      </c>
      <c r="S1368" s="26">
        <v>83.3</v>
      </c>
    </row>
    <row r="1369" spans="1:19" ht="14.25" x14ac:dyDescent="0.2">
      <c r="A1369" s="12">
        <v>30236</v>
      </c>
      <c r="B1369" s="13">
        <f t="shared" si="308"/>
        <v>27</v>
      </c>
      <c r="C1369" s="15">
        <f t="shared" si="309"/>
        <v>19</v>
      </c>
      <c r="D1369" s="14">
        <f t="shared" si="310"/>
        <v>16</v>
      </c>
      <c r="E1369" t="s">
        <v>2777</v>
      </c>
      <c r="F1369" t="s">
        <v>2834</v>
      </c>
      <c r="G1369" t="s">
        <v>2779</v>
      </c>
      <c r="H1369" t="s">
        <v>2779</v>
      </c>
      <c r="I1369" t="s">
        <v>2780</v>
      </c>
      <c r="J1369" s="4" t="s">
        <v>2844</v>
      </c>
      <c r="K1369" t="s">
        <v>182</v>
      </c>
      <c r="L1369" t="s">
        <v>163</v>
      </c>
      <c r="M1369" t="s">
        <v>163</v>
      </c>
      <c r="N1369" t="s">
        <v>163</v>
      </c>
      <c r="O1369" s="4" t="s">
        <v>2115</v>
      </c>
      <c r="P1369">
        <v>0</v>
      </c>
      <c r="Q1369" s="24">
        <v>97.2</v>
      </c>
      <c r="R1369" s="25">
        <v>137.5</v>
      </c>
      <c r="S1369" s="26">
        <v>83.5</v>
      </c>
    </row>
    <row r="1370" spans="1:19" ht="14.25" x14ac:dyDescent="0.2">
      <c r="A1370" s="12">
        <v>30237</v>
      </c>
      <c r="B1370" s="13">
        <f t="shared" si="308"/>
        <v>27</v>
      </c>
      <c r="C1370" s="15">
        <f t="shared" si="309"/>
        <v>19</v>
      </c>
      <c r="D1370" s="14">
        <f t="shared" si="310"/>
        <v>16</v>
      </c>
      <c r="E1370" t="s">
        <v>2777</v>
      </c>
      <c r="F1370" t="s">
        <v>2835</v>
      </c>
      <c r="G1370" t="s">
        <v>2779</v>
      </c>
      <c r="H1370" t="s">
        <v>2779</v>
      </c>
      <c r="I1370" t="s">
        <v>2780</v>
      </c>
      <c r="J1370" s="4" t="s">
        <v>2844</v>
      </c>
      <c r="K1370" t="s">
        <v>162</v>
      </c>
      <c r="L1370" t="s">
        <v>163</v>
      </c>
      <c r="M1370" t="s">
        <v>163</v>
      </c>
      <c r="N1370" t="s">
        <v>163</v>
      </c>
      <c r="O1370" s="4" t="s">
        <v>2115</v>
      </c>
      <c r="P1370">
        <v>0</v>
      </c>
      <c r="Q1370" s="24">
        <v>97.2</v>
      </c>
      <c r="R1370" s="25">
        <v>137.5</v>
      </c>
      <c r="S1370" s="26">
        <v>83.5</v>
      </c>
    </row>
    <row r="1371" spans="1:19" ht="14.25" x14ac:dyDescent="0.2">
      <c r="A1371" s="12">
        <v>30238</v>
      </c>
      <c r="B1371" s="13">
        <f t="shared" si="308"/>
        <v>27</v>
      </c>
      <c r="C1371" s="15">
        <f t="shared" si="309"/>
        <v>19</v>
      </c>
      <c r="D1371" s="14">
        <f t="shared" si="310"/>
        <v>16</v>
      </c>
      <c r="E1371" t="s">
        <v>2777</v>
      </c>
      <c r="F1371" t="s">
        <v>2836</v>
      </c>
      <c r="G1371" t="s">
        <v>2779</v>
      </c>
      <c r="H1371" t="s">
        <v>2779</v>
      </c>
      <c r="I1371" t="s">
        <v>2780</v>
      </c>
      <c r="J1371" s="4" t="s">
        <v>2844</v>
      </c>
      <c r="K1371" t="s">
        <v>177</v>
      </c>
      <c r="L1371" t="s">
        <v>163</v>
      </c>
      <c r="M1371" t="s">
        <v>163</v>
      </c>
      <c r="N1371" t="s">
        <v>163</v>
      </c>
      <c r="O1371" s="4" t="s">
        <v>2117</v>
      </c>
      <c r="P1371">
        <v>0</v>
      </c>
      <c r="Q1371" s="24">
        <v>97.2</v>
      </c>
      <c r="R1371" s="25">
        <v>137.5</v>
      </c>
      <c r="S1371" s="26">
        <v>83.5</v>
      </c>
    </row>
    <row r="1372" spans="1:19" ht="14.25" x14ac:dyDescent="0.2">
      <c r="A1372" s="12">
        <v>30239</v>
      </c>
      <c r="B1372" s="13">
        <f t="shared" si="308"/>
        <v>27</v>
      </c>
      <c r="C1372" s="15">
        <f t="shared" si="309"/>
        <v>19</v>
      </c>
      <c r="D1372" s="14">
        <f t="shared" si="310"/>
        <v>16</v>
      </c>
      <c r="E1372" t="s">
        <v>2777</v>
      </c>
      <c r="F1372" t="s">
        <v>2837</v>
      </c>
      <c r="G1372" t="s">
        <v>2779</v>
      </c>
      <c r="H1372" t="s">
        <v>2779</v>
      </c>
      <c r="I1372" t="s">
        <v>2780</v>
      </c>
      <c r="J1372" s="4" t="s">
        <v>2844</v>
      </c>
      <c r="K1372" t="s">
        <v>174</v>
      </c>
      <c r="L1372" t="s">
        <v>163</v>
      </c>
      <c r="M1372" t="s">
        <v>163</v>
      </c>
      <c r="N1372" t="s">
        <v>163</v>
      </c>
      <c r="O1372" s="4" t="s">
        <v>2119</v>
      </c>
      <c r="P1372">
        <v>0</v>
      </c>
      <c r="Q1372" s="24">
        <v>97.2</v>
      </c>
      <c r="R1372" s="25">
        <v>137.5</v>
      </c>
      <c r="S1372" s="26">
        <v>83.5</v>
      </c>
    </row>
    <row r="1373" spans="1:19" ht="14.25" x14ac:dyDescent="0.2">
      <c r="A1373" s="12">
        <v>30240</v>
      </c>
      <c r="B1373" s="13">
        <f t="shared" si="308"/>
        <v>27</v>
      </c>
      <c r="C1373" s="15">
        <f t="shared" si="309"/>
        <v>19</v>
      </c>
      <c r="D1373" s="14">
        <f t="shared" si="310"/>
        <v>16</v>
      </c>
      <c r="E1373" t="s">
        <v>2785</v>
      </c>
      <c r="F1373" t="s">
        <v>2786</v>
      </c>
      <c r="G1373" t="s">
        <v>2832</v>
      </c>
      <c r="H1373" t="s">
        <v>2829</v>
      </c>
      <c r="I1373" t="s">
        <v>2697</v>
      </c>
      <c r="J1373" s="4" t="s">
        <v>2864</v>
      </c>
      <c r="K1373" t="s">
        <v>166</v>
      </c>
      <c r="L1373" t="s">
        <v>163</v>
      </c>
      <c r="M1373" t="s">
        <v>163</v>
      </c>
      <c r="N1373" t="s">
        <v>163</v>
      </c>
      <c r="O1373" s="4" t="s">
        <v>2119</v>
      </c>
      <c r="P1373">
        <v>0</v>
      </c>
      <c r="Q1373" s="24">
        <v>97.2</v>
      </c>
      <c r="R1373" s="25">
        <v>137.5</v>
      </c>
      <c r="S1373" s="26">
        <v>83.5</v>
      </c>
    </row>
    <row r="1374" spans="1:19" ht="14.25" x14ac:dyDescent="0.2">
      <c r="A1374" s="12">
        <v>30241</v>
      </c>
      <c r="B1374" s="13">
        <f t="shared" si="308"/>
        <v>27</v>
      </c>
      <c r="C1374" s="15">
        <f t="shared" si="309"/>
        <v>19</v>
      </c>
      <c r="D1374" s="14">
        <f t="shared" si="310"/>
        <v>16</v>
      </c>
      <c r="E1374" t="s">
        <v>2777</v>
      </c>
      <c r="F1374" t="s">
        <v>2834</v>
      </c>
      <c r="G1374" t="s">
        <v>2779</v>
      </c>
      <c r="H1374" t="s">
        <v>2779</v>
      </c>
      <c r="I1374" t="s">
        <v>2780</v>
      </c>
      <c r="J1374" s="4" t="s">
        <v>2844</v>
      </c>
      <c r="K1374" t="s">
        <v>168</v>
      </c>
      <c r="L1374" t="s">
        <v>163</v>
      </c>
      <c r="M1374" t="s">
        <v>163</v>
      </c>
      <c r="N1374" t="s">
        <v>163</v>
      </c>
      <c r="O1374" s="4" t="s">
        <v>2121</v>
      </c>
      <c r="P1374">
        <v>0</v>
      </c>
      <c r="Q1374" s="24">
        <v>97.5</v>
      </c>
      <c r="R1374" s="25">
        <v>138</v>
      </c>
      <c r="S1374" s="26">
        <v>83.8</v>
      </c>
    </row>
    <row r="1375" spans="1:19" ht="14.25" x14ac:dyDescent="0.2">
      <c r="A1375" s="12">
        <v>30242</v>
      </c>
      <c r="B1375" s="13">
        <f t="shared" si="308"/>
        <v>27</v>
      </c>
      <c r="C1375" s="15">
        <f t="shared" si="309"/>
        <v>19</v>
      </c>
      <c r="D1375" s="14">
        <f t="shared" si="310"/>
        <v>16</v>
      </c>
      <c r="E1375" t="s">
        <v>2777</v>
      </c>
      <c r="F1375" t="s">
        <v>2835</v>
      </c>
      <c r="G1375" t="s">
        <v>2779</v>
      </c>
      <c r="H1375" t="s">
        <v>2779</v>
      </c>
      <c r="I1375" t="s">
        <v>2780</v>
      </c>
      <c r="J1375" s="4" t="s">
        <v>2844</v>
      </c>
      <c r="K1375" t="s">
        <v>175</v>
      </c>
      <c r="L1375" t="s">
        <v>164</v>
      </c>
      <c r="M1375" t="s">
        <v>163</v>
      </c>
      <c r="N1375" t="s">
        <v>167</v>
      </c>
      <c r="O1375" s="4" t="s">
        <v>2123</v>
      </c>
      <c r="P1375">
        <v>0</v>
      </c>
      <c r="Q1375" s="24">
        <v>97.5</v>
      </c>
      <c r="R1375" s="25">
        <v>138</v>
      </c>
      <c r="S1375" s="26">
        <v>83.8</v>
      </c>
    </row>
    <row r="1376" spans="1:19" ht="14.25" x14ac:dyDescent="0.2">
      <c r="A1376" s="12">
        <v>30243</v>
      </c>
      <c r="B1376" s="13">
        <f t="shared" si="308"/>
        <v>27</v>
      </c>
      <c r="C1376" s="15">
        <f t="shared" si="309"/>
        <v>19</v>
      </c>
      <c r="D1376" s="14">
        <f t="shared" si="310"/>
        <v>16</v>
      </c>
      <c r="E1376" t="s">
        <v>2777</v>
      </c>
      <c r="F1376" t="s">
        <v>2836</v>
      </c>
      <c r="G1376" t="s">
        <v>2779</v>
      </c>
      <c r="H1376" t="s">
        <v>2779</v>
      </c>
      <c r="I1376" t="s">
        <v>2780</v>
      </c>
      <c r="J1376" s="4" t="s">
        <v>2844</v>
      </c>
      <c r="K1376" t="s">
        <v>179</v>
      </c>
      <c r="L1376" t="s">
        <v>163</v>
      </c>
      <c r="M1376" t="s">
        <v>163</v>
      </c>
      <c r="N1376" t="s">
        <v>163</v>
      </c>
      <c r="O1376" s="4" t="s">
        <v>2125</v>
      </c>
      <c r="P1376">
        <v>0</v>
      </c>
      <c r="Q1376" s="24">
        <v>97.5</v>
      </c>
      <c r="R1376" s="25">
        <v>138</v>
      </c>
      <c r="S1376" s="26">
        <v>83.8</v>
      </c>
    </row>
    <row r="1377" spans="1:19" ht="14.25" x14ac:dyDescent="0.2">
      <c r="A1377" s="12">
        <v>30244</v>
      </c>
      <c r="B1377" s="13">
        <f t="shared" si="308"/>
        <v>27</v>
      </c>
      <c r="C1377" s="15">
        <f t="shared" si="309"/>
        <v>19</v>
      </c>
      <c r="D1377" s="14">
        <f t="shared" si="310"/>
        <v>16</v>
      </c>
      <c r="E1377" t="s">
        <v>2777</v>
      </c>
      <c r="F1377" t="s">
        <v>2837</v>
      </c>
      <c r="G1377" t="s">
        <v>2779</v>
      </c>
      <c r="H1377" t="s">
        <v>2779</v>
      </c>
      <c r="I1377" t="s">
        <v>2780</v>
      </c>
      <c r="J1377" s="4" t="s">
        <v>2844</v>
      </c>
      <c r="K1377" t="s">
        <v>177</v>
      </c>
      <c r="L1377" t="s">
        <v>163</v>
      </c>
      <c r="M1377" t="s">
        <v>163</v>
      </c>
      <c r="N1377" t="s">
        <v>163</v>
      </c>
      <c r="O1377" s="4" t="s">
        <v>2125</v>
      </c>
      <c r="P1377">
        <v>0</v>
      </c>
      <c r="Q1377" s="24">
        <v>97.5</v>
      </c>
      <c r="R1377" s="25">
        <v>138</v>
      </c>
      <c r="S1377" s="26">
        <v>83.8</v>
      </c>
    </row>
    <row r="1378" spans="1:19" ht="14.25" x14ac:dyDescent="0.2">
      <c r="A1378" s="12">
        <v>30245</v>
      </c>
      <c r="B1378" s="13">
        <f t="shared" si="308"/>
        <v>27</v>
      </c>
      <c r="C1378" s="15">
        <f t="shared" si="309"/>
        <v>19</v>
      </c>
      <c r="D1378" s="14">
        <f t="shared" si="310"/>
        <v>16</v>
      </c>
      <c r="E1378" t="s">
        <v>2785</v>
      </c>
      <c r="F1378" t="s">
        <v>2786</v>
      </c>
      <c r="G1378" t="s">
        <v>2833</v>
      </c>
      <c r="H1378" t="s">
        <v>2829</v>
      </c>
      <c r="I1378" t="s">
        <v>2697</v>
      </c>
      <c r="J1378" s="4" t="s">
        <v>2882</v>
      </c>
      <c r="K1378" t="s">
        <v>174</v>
      </c>
      <c r="L1378" t="s">
        <v>163</v>
      </c>
      <c r="M1378" t="s">
        <v>163</v>
      </c>
      <c r="N1378" t="s">
        <v>163</v>
      </c>
      <c r="O1378" s="4" t="s">
        <v>2127</v>
      </c>
      <c r="P1378">
        <v>0</v>
      </c>
      <c r="Q1378" s="24">
        <v>97.5</v>
      </c>
      <c r="R1378" s="25">
        <v>138</v>
      </c>
      <c r="S1378" s="26">
        <v>83.8</v>
      </c>
    </row>
    <row r="1379" spans="1:19" ht="14.25" x14ac:dyDescent="0.2">
      <c r="A1379" s="12">
        <v>30246</v>
      </c>
      <c r="B1379" s="13">
        <f t="shared" si="308"/>
        <v>27</v>
      </c>
      <c r="C1379" s="15">
        <f t="shared" si="309"/>
        <v>19</v>
      </c>
      <c r="D1379" s="14">
        <f t="shared" si="310"/>
        <v>16</v>
      </c>
      <c r="E1379" t="s">
        <v>2777</v>
      </c>
      <c r="F1379" t="s">
        <v>2834</v>
      </c>
      <c r="G1379" t="s">
        <v>2779</v>
      </c>
      <c r="H1379" t="s">
        <v>2779</v>
      </c>
      <c r="I1379" t="s">
        <v>2780</v>
      </c>
      <c r="J1379" s="4" t="s">
        <v>2844</v>
      </c>
      <c r="K1379" t="s">
        <v>182</v>
      </c>
      <c r="L1379" t="s">
        <v>163</v>
      </c>
      <c r="M1379" t="s">
        <v>163</v>
      </c>
      <c r="N1379" t="s">
        <v>163</v>
      </c>
      <c r="O1379" s="4" t="s">
        <v>2129</v>
      </c>
      <c r="P1379">
        <v>0</v>
      </c>
      <c r="Q1379" s="24">
        <v>97.8</v>
      </c>
      <c r="R1379" s="25">
        <v>138.5</v>
      </c>
      <c r="S1379" s="26">
        <v>84</v>
      </c>
    </row>
    <row r="1380" spans="1:19" ht="14.25" x14ac:dyDescent="0.2">
      <c r="A1380" s="12">
        <v>30247</v>
      </c>
      <c r="B1380" s="13">
        <f t="shared" si="308"/>
        <v>27</v>
      </c>
      <c r="C1380" s="15">
        <f t="shared" si="309"/>
        <v>19</v>
      </c>
      <c r="D1380" s="14">
        <f t="shared" si="310"/>
        <v>16</v>
      </c>
      <c r="E1380" t="s">
        <v>2777</v>
      </c>
      <c r="F1380" t="s">
        <v>2835</v>
      </c>
      <c r="G1380" t="s">
        <v>2779</v>
      </c>
      <c r="H1380" t="s">
        <v>2779</v>
      </c>
      <c r="I1380" t="s">
        <v>2780</v>
      </c>
      <c r="J1380" s="4" t="s">
        <v>2844</v>
      </c>
      <c r="K1380" t="s">
        <v>162</v>
      </c>
      <c r="L1380" t="s">
        <v>163</v>
      </c>
      <c r="M1380" t="s">
        <v>163</v>
      </c>
      <c r="N1380" t="s">
        <v>163</v>
      </c>
      <c r="O1380" s="4" t="s">
        <v>2129</v>
      </c>
      <c r="P1380">
        <v>0</v>
      </c>
      <c r="Q1380" s="24">
        <v>97.8</v>
      </c>
      <c r="R1380" s="25">
        <v>138.5</v>
      </c>
      <c r="S1380" s="26">
        <v>84</v>
      </c>
    </row>
    <row r="1381" spans="1:19" ht="14.25" x14ac:dyDescent="0.2">
      <c r="A1381" s="12">
        <v>30248</v>
      </c>
      <c r="B1381" s="13">
        <f t="shared" si="308"/>
        <v>27</v>
      </c>
      <c r="C1381" s="15">
        <f t="shared" si="309"/>
        <v>19</v>
      </c>
      <c r="D1381" s="14">
        <f t="shared" si="310"/>
        <v>16</v>
      </c>
      <c r="E1381" t="s">
        <v>2777</v>
      </c>
      <c r="F1381" t="s">
        <v>2836</v>
      </c>
      <c r="G1381" t="s">
        <v>2779</v>
      </c>
      <c r="H1381" t="s">
        <v>2779</v>
      </c>
      <c r="I1381" t="s">
        <v>2780</v>
      </c>
      <c r="J1381" s="4" t="s">
        <v>2844</v>
      </c>
      <c r="K1381" t="s">
        <v>177</v>
      </c>
      <c r="L1381" t="s">
        <v>163</v>
      </c>
      <c r="M1381" t="s">
        <v>163</v>
      </c>
      <c r="N1381" t="s">
        <v>163</v>
      </c>
      <c r="O1381" s="4" t="s">
        <v>2131</v>
      </c>
      <c r="P1381">
        <v>0</v>
      </c>
      <c r="Q1381" s="24">
        <v>97.8</v>
      </c>
      <c r="R1381" s="25">
        <v>138.5</v>
      </c>
      <c r="S1381" s="26">
        <v>84</v>
      </c>
    </row>
    <row r="1382" spans="1:19" ht="14.25" x14ac:dyDescent="0.2">
      <c r="A1382" s="12">
        <v>30249</v>
      </c>
      <c r="B1382" s="13">
        <f t="shared" si="308"/>
        <v>27</v>
      </c>
      <c r="C1382" s="15">
        <f t="shared" si="309"/>
        <v>19</v>
      </c>
      <c r="D1382" s="14">
        <f t="shared" si="310"/>
        <v>16</v>
      </c>
      <c r="E1382" t="s">
        <v>2777</v>
      </c>
      <c r="F1382" t="s">
        <v>2837</v>
      </c>
      <c r="G1382" t="s">
        <v>2779</v>
      </c>
      <c r="H1382" t="s">
        <v>2779</v>
      </c>
      <c r="I1382" t="s">
        <v>2780</v>
      </c>
      <c r="J1382" s="4" t="s">
        <v>2844</v>
      </c>
      <c r="K1382" t="s">
        <v>174</v>
      </c>
      <c r="L1382" t="s">
        <v>163</v>
      </c>
      <c r="M1382" t="s">
        <v>163</v>
      </c>
      <c r="N1382" t="s">
        <v>163</v>
      </c>
      <c r="O1382" s="4" t="s">
        <v>2133</v>
      </c>
      <c r="P1382">
        <v>0</v>
      </c>
      <c r="Q1382" s="24">
        <v>97.8</v>
      </c>
      <c r="R1382" s="25">
        <v>138.5</v>
      </c>
      <c r="S1382" s="26">
        <v>84</v>
      </c>
    </row>
    <row r="1383" spans="1:19" ht="14.25" x14ac:dyDescent="0.2">
      <c r="A1383" s="12">
        <v>30250</v>
      </c>
      <c r="B1383" s="13">
        <f t="shared" si="308"/>
        <v>27</v>
      </c>
      <c r="C1383" s="15">
        <f t="shared" si="309"/>
        <v>19</v>
      </c>
      <c r="D1383" s="14">
        <f t="shared" si="310"/>
        <v>16</v>
      </c>
      <c r="E1383" t="s">
        <v>2785</v>
      </c>
      <c r="F1383" t="s">
        <v>2786</v>
      </c>
      <c r="G1383" t="s">
        <v>2828</v>
      </c>
      <c r="H1383" t="s">
        <v>2829</v>
      </c>
      <c r="I1383" t="s">
        <v>2697</v>
      </c>
      <c r="J1383" s="4" t="s">
        <v>2882</v>
      </c>
      <c r="K1383" t="s">
        <v>166</v>
      </c>
      <c r="L1383" t="s">
        <v>163</v>
      </c>
      <c r="M1383" t="s">
        <v>163</v>
      </c>
      <c r="N1383" t="s">
        <v>163</v>
      </c>
      <c r="O1383" s="4" t="s">
        <v>2133</v>
      </c>
      <c r="P1383">
        <v>0</v>
      </c>
      <c r="Q1383" s="24">
        <v>97.8</v>
      </c>
      <c r="R1383" s="25">
        <v>138.5</v>
      </c>
      <c r="S1383" s="26">
        <v>84</v>
      </c>
    </row>
    <row r="1384" spans="1:19" ht="14.25" x14ac:dyDescent="0.2">
      <c r="A1384" s="12">
        <v>30301</v>
      </c>
      <c r="B1384" s="13">
        <f t="shared" si="308"/>
        <v>27</v>
      </c>
      <c r="C1384" s="15">
        <f t="shared" si="309"/>
        <v>19</v>
      </c>
      <c r="D1384" s="14">
        <f t="shared" si="310"/>
        <v>16</v>
      </c>
      <c r="E1384" t="s">
        <v>2777</v>
      </c>
      <c r="F1384" t="s">
        <v>2834</v>
      </c>
      <c r="G1384" t="s">
        <v>2779</v>
      </c>
      <c r="H1384" t="s">
        <v>2779</v>
      </c>
      <c r="I1384" t="s">
        <v>2780</v>
      </c>
      <c r="J1384" s="4" t="s">
        <v>2844</v>
      </c>
      <c r="K1384" t="s">
        <v>168</v>
      </c>
      <c r="L1384" t="s">
        <v>163</v>
      </c>
      <c r="M1384" t="s">
        <v>163</v>
      </c>
      <c r="N1384" t="s">
        <v>163</v>
      </c>
      <c r="O1384" s="4" t="s">
        <v>2135</v>
      </c>
      <c r="P1384">
        <v>0</v>
      </c>
      <c r="Q1384" s="24">
        <v>98.2</v>
      </c>
      <c r="R1384" s="25">
        <v>139</v>
      </c>
      <c r="S1384" s="26">
        <v>84.3</v>
      </c>
    </row>
    <row r="1385" spans="1:19" ht="14.25" x14ac:dyDescent="0.2">
      <c r="A1385" s="12">
        <v>30302</v>
      </c>
      <c r="B1385" s="13">
        <f t="shared" si="308"/>
        <v>27</v>
      </c>
      <c r="C1385" s="15">
        <f t="shared" si="309"/>
        <v>19</v>
      </c>
      <c r="D1385" s="14">
        <f t="shared" si="310"/>
        <v>16</v>
      </c>
      <c r="E1385" t="s">
        <v>2777</v>
      </c>
      <c r="F1385" t="s">
        <v>2835</v>
      </c>
      <c r="G1385" t="s">
        <v>2779</v>
      </c>
      <c r="H1385" t="s">
        <v>2779</v>
      </c>
      <c r="I1385" t="s">
        <v>2780</v>
      </c>
      <c r="J1385" s="4" t="s">
        <v>2844</v>
      </c>
      <c r="K1385" t="s">
        <v>175</v>
      </c>
      <c r="L1385" t="s">
        <v>164</v>
      </c>
      <c r="M1385" t="s">
        <v>163</v>
      </c>
      <c r="N1385" t="s">
        <v>167</v>
      </c>
      <c r="O1385" s="4" t="s">
        <v>2137</v>
      </c>
      <c r="P1385">
        <v>0</v>
      </c>
      <c r="Q1385" s="24">
        <v>98.2</v>
      </c>
      <c r="R1385" s="25">
        <v>139</v>
      </c>
      <c r="S1385" s="26">
        <v>84.3</v>
      </c>
    </row>
    <row r="1386" spans="1:19" ht="14.25" x14ac:dyDescent="0.2">
      <c r="A1386" s="12">
        <v>30303</v>
      </c>
      <c r="B1386" s="13">
        <f t="shared" si="308"/>
        <v>27</v>
      </c>
      <c r="C1386" s="15">
        <f t="shared" si="309"/>
        <v>19</v>
      </c>
      <c r="D1386" s="14">
        <f t="shared" si="310"/>
        <v>16</v>
      </c>
      <c r="E1386" t="s">
        <v>2777</v>
      </c>
      <c r="F1386" t="s">
        <v>2836</v>
      </c>
      <c r="G1386" t="s">
        <v>2779</v>
      </c>
      <c r="H1386" t="s">
        <v>2779</v>
      </c>
      <c r="I1386" t="s">
        <v>2780</v>
      </c>
      <c r="J1386" s="4" t="s">
        <v>2844</v>
      </c>
      <c r="K1386" t="s">
        <v>179</v>
      </c>
      <c r="L1386" t="s">
        <v>163</v>
      </c>
      <c r="M1386" t="s">
        <v>163</v>
      </c>
      <c r="N1386" t="s">
        <v>163</v>
      </c>
      <c r="O1386" s="4" t="s">
        <v>2139</v>
      </c>
      <c r="P1386">
        <v>0</v>
      </c>
      <c r="Q1386" s="24">
        <v>98.2</v>
      </c>
      <c r="R1386" s="25">
        <v>139</v>
      </c>
      <c r="S1386" s="26">
        <v>84.3</v>
      </c>
    </row>
    <row r="1387" spans="1:19" ht="14.25" x14ac:dyDescent="0.2">
      <c r="A1387" s="12">
        <v>30304</v>
      </c>
      <c r="B1387" s="13">
        <f t="shared" si="308"/>
        <v>27</v>
      </c>
      <c r="C1387" s="15">
        <f t="shared" si="309"/>
        <v>19</v>
      </c>
      <c r="D1387" s="14">
        <f t="shared" si="310"/>
        <v>16</v>
      </c>
      <c r="E1387" t="s">
        <v>2777</v>
      </c>
      <c r="F1387" t="s">
        <v>2837</v>
      </c>
      <c r="G1387" t="s">
        <v>2779</v>
      </c>
      <c r="H1387" t="s">
        <v>2779</v>
      </c>
      <c r="I1387" t="s">
        <v>2780</v>
      </c>
      <c r="J1387" s="4" t="s">
        <v>2844</v>
      </c>
      <c r="K1387" t="s">
        <v>177</v>
      </c>
      <c r="L1387" t="s">
        <v>163</v>
      </c>
      <c r="M1387" t="s">
        <v>163</v>
      </c>
      <c r="N1387" t="s">
        <v>163</v>
      </c>
      <c r="O1387" s="4" t="s">
        <v>2139</v>
      </c>
      <c r="P1387">
        <v>0</v>
      </c>
      <c r="Q1387" s="24">
        <v>98.2</v>
      </c>
      <c r="R1387" s="25">
        <v>139</v>
      </c>
      <c r="S1387" s="26">
        <v>84.3</v>
      </c>
    </row>
    <row r="1388" spans="1:19" ht="14.25" x14ac:dyDescent="0.2">
      <c r="A1388" s="12">
        <v>30305</v>
      </c>
      <c r="B1388" s="13">
        <f t="shared" si="308"/>
        <v>27</v>
      </c>
      <c r="C1388" s="15">
        <f t="shared" si="309"/>
        <v>19</v>
      </c>
      <c r="D1388" s="14">
        <f t="shared" si="310"/>
        <v>16</v>
      </c>
      <c r="E1388" t="s">
        <v>2785</v>
      </c>
      <c r="F1388" t="s">
        <v>2786</v>
      </c>
      <c r="G1388" t="s">
        <v>2830</v>
      </c>
      <c r="H1388" t="s">
        <v>2829</v>
      </c>
      <c r="I1388" t="s">
        <v>2697</v>
      </c>
      <c r="J1388" s="4" t="s">
        <v>2864</v>
      </c>
      <c r="K1388" t="s">
        <v>174</v>
      </c>
      <c r="L1388" t="s">
        <v>163</v>
      </c>
      <c r="M1388" t="s">
        <v>163</v>
      </c>
      <c r="N1388" t="s">
        <v>163</v>
      </c>
      <c r="O1388" s="4" t="s">
        <v>2141</v>
      </c>
      <c r="P1388">
        <v>0</v>
      </c>
      <c r="Q1388" s="24">
        <v>98.2</v>
      </c>
      <c r="R1388" s="25">
        <v>139</v>
      </c>
      <c r="S1388" s="26">
        <v>84.3</v>
      </c>
    </row>
    <row r="1389" spans="1:19" ht="14.25" x14ac:dyDescent="0.2">
      <c r="A1389" s="12">
        <v>30306</v>
      </c>
      <c r="B1389" s="13">
        <f t="shared" si="308"/>
        <v>27</v>
      </c>
      <c r="C1389" s="15">
        <f t="shared" si="309"/>
        <v>19</v>
      </c>
      <c r="D1389" s="14">
        <f t="shared" si="310"/>
        <v>16</v>
      </c>
      <c r="E1389" t="s">
        <v>2777</v>
      </c>
      <c r="F1389" t="s">
        <v>2834</v>
      </c>
      <c r="G1389" t="s">
        <v>2779</v>
      </c>
      <c r="H1389" t="s">
        <v>2779</v>
      </c>
      <c r="I1389" t="s">
        <v>2780</v>
      </c>
      <c r="J1389" s="4" t="s">
        <v>2844</v>
      </c>
      <c r="K1389" t="s">
        <v>182</v>
      </c>
      <c r="L1389" t="s">
        <v>163</v>
      </c>
      <c r="M1389" t="s">
        <v>163</v>
      </c>
      <c r="N1389" t="s">
        <v>163</v>
      </c>
      <c r="O1389" s="4" t="s">
        <v>2143</v>
      </c>
      <c r="P1389">
        <v>0</v>
      </c>
      <c r="Q1389" s="24">
        <v>98.5</v>
      </c>
      <c r="R1389" s="25">
        <v>139.5</v>
      </c>
      <c r="S1389" s="26">
        <v>84.5</v>
      </c>
    </row>
    <row r="1390" spans="1:19" ht="14.25" x14ac:dyDescent="0.2">
      <c r="A1390" s="12">
        <v>30307</v>
      </c>
      <c r="B1390" s="13">
        <f t="shared" si="308"/>
        <v>27</v>
      </c>
      <c r="C1390" s="15">
        <f t="shared" si="309"/>
        <v>19</v>
      </c>
      <c r="D1390" s="14">
        <f t="shared" si="310"/>
        <v>16</v>
      </c>
      <c r="E1390" t="s">
        <v>2777</v>
      </c>
      <c r="F1390" t="s">
        <v>2835</v>
      </c>
      <c r="G1390" t="s">
        <v>2779</v>
      </c>
      <c r="H1390" t="s">
        <v>2779</v>
      </c>
      <c r="I1390" t="s">
        <v>2780</v>
      </c>
      <c r="J1390" s="4" t="s">
        <v>2844</v>
      </c>
      <c r="K1390" t="s">
        <v>162</v>
      </c>
      <c r="L1390" t="s">
        <v>163</v>
      </c>
      <c r="M1390" t="s">
        <v>163</v>
      </c>
      <c r="N1390" t="s">
        <v>163</v>
      </c>
      <c r="O1390" s="4" t="s">
        <v>2143</v>
      </c>
      <c r="P1390">
        <v>0</v>
      </c>
      <c r="Q1390" s="24">
        <v>98.5</v>
      </c>
      <c r="R1390" s="25">
        <v>139.5</v>
      </c>
      <c r="S1390" s="26">
        <v>84.5</v>
      </c>
    </row>
    <row r="1391" spans="1:19" ht="14.25" x14ac:dyDescent="0.2">
      <c r="A1391" s="12">
        <v>30308</v>
      </c>
      <c r="B1391" s="13">
        <f t="shared" si="308"/>
        <v>27</v>
      </c>
      <c r="C1391" s="15">
        <f t="shared" si="309"/>
        <v>19</v>
      </c>
      <c r="D1391" s="14">
        <f t="shared" si="310"/>
        <v>16</v>
      </c>
      <c r="E1391" t="s">
        <v>2777</v>
      </c>
      <c r="F1391" t="s">
        <v>2836</v>
      </c>
      <c r="G1391" t="s">
        <v>2779</v>
      </c>
      <c r="H1391" t="s">
        <v>2779</v>
      </c>
      <c r="I1391" t="s">
        <v>2780</v>
      </c>
      <c r="J1391" s="4" t="s">
        <v>2844</v>
      </c>
      <c r="K1391" t="s">
        <v>177</v>
      </c>
      <c r="L1391" t="s">
        <v>163</v>
      </c>
      <c r="M1391" t="s">
        <v>163</v>
      </c>
      <c r="N1391" t="s">
        <v>163</v>
      </c>
      <c r="O1391" s="4" t="s">
        <v>2145</v>
      </c>
      <c r="P1391">
        <v>0</v>
      </c>
      <c r="Q1391" s="24">
        <v>98.5</v>
      </c>
      <c r="R1391" s="25">
        <v>139.5</v>
      </c>
      <c r="S1391" s="26">
        <v>84.5</v>
      </c>
    </row>
    <row r="1392" spans="1:19" ht="14.25" x14ac:dyDescent="0.2">
      <c r="A1392" s="12">
        <v>30309</v>
      </c>
      <c r="B1392" s="13">
        <f t="shared" si="308"/>
        <v>27</v>
      </c>
      <c r="C1392" s="15">
        <f t="shared" si="309"/>
        <v>19</v>
      </c>
      <c r="D1392" s="14">
        <f t="shared" si="310"/>
        <v>16</v>
      </c>
      <c r="E1392" t="s">
        <v>2777</v>
      </c>
      <c r="F1392" t="s">
        <v>2837</v>
      </c>
      <c r="G1392" t="s">
        <v>2779</v>
      </c>
      <c r="H1392" t="s">
        <v>2779</v>
      </c>
      <c r="I1392" t="s">
        <v>2780</v>
      </c>
      <c r="J1392" s="4" t="s">
        <v>2844</v>
      </c>
      <c r="K1392" t="s">
        <v>174</v>
      </c>
      <c r="L1392" t="s">
        <v>163</v>
      </c>
      <c r="M1392" t="s">
        <v>163</v>
      </c>
      <c r="N1392" t="s">
        <v>163</v>
      </c>
      <c r="O1392" s="4" t="s">
        <v>2147</v>
      </c>
      <c r="P1392">
        <v>0</v>
      </c>
      <c r="Q1392" s="24">
        <v>98.5</v>
      </c>
      <c r="R1392" s="25">
        <v>139.5</v>
      </c>
      <c r="S1392" s="26">
        <v>84.5</v>
      </c>
    </row>
    <row r="1393" spans="1:19" ht="14.25" x14ac:dyDescent="0.2">
      <c r="A1393" s="12">
        <v>30310</v>
      </c>
      <c r="B1393" s="13">
        <f t="shared" si="308"/>
        <v>27</v>
      </c>
      <c r="C1393" s="15">
        <f t="shared" si="309"/>
        <v>19</v>
      </c>
      <c r="D1393" s="14">
        <f t="shared" si="310"/>
        <v>16</v>
      </c>
      <c r="E1393" t="s">
        <v>2785</v>
      </c>
      <c r="F1393" t="s">
        <v>2786</v>
      </c>
      <c r="G1393" t="s">
        <v>2831</v>
      </c>
      <c r="H1393" t="s">
        <v>2829</v>
      </c>
      <c r="I1393" t="s">
        <v>2697</v>
      </c>
      <c r="J1393" s="4" t="s">
        <v>2864</v>
      </c>
      <c r="K1393" t="s">
        <v>166</v>
      </c>
      <c r="L1393" t="s">
        <v>163</v>
      </c>
      <c r="M1393" t="s">
        <v>163</v>
      </c>
      <c r="N1393" t="s">
        <v>163</v>
      </c>
      <c r="O1393" s="4" t="s">
        <v>2147</v>
      </c>
      <c r="P1393">
        <v>0</v>
      </c>
      <c r="Q1393" s="24">
        <v>98.5</v>
      </c>
      <c r="R1393" s="25">
        <v>139.5</v>
      </c>
      <c r="S1393" s="26">
        <v>84.5</v>
      </c>
    </row>
    <row r="1394" spans="1:19" ht="14.25" x14ac:dyDescent="0.2">
      <c r="A1394" s="12">
        <v>30311</v>
      </c>
      <c r="B1394" s="13">
        <f t="shared" si="308"/>
        <v>27</v>
      </c>
      <c r="C1394" s="15">
        <f t="shared" si="309"/>
        <v>19</v>
      </c>
      <c r="D1394" s="14">
        <f t="shared" si="310"/>
        <v>16</v>
      </c>
      <c r="E1394" t="s">
        <v>2777</v>
      </c>
      <c r="F1394" t="s">
        <v>2834</v>
      </c>
      <c r="G1394" t="s">
        <v>2779</v>
      </c>
      <c r="H1394" t="s">
        <v>2779</v>
      </c>
      <c r="I1394" t="s">
        <v>2780</v>
      </c>
      <c r="J1394" s="4" t="s">
        <v>2844</v>
      </c>
      <c r="K1394" t="s">
        <v>168</v>
      </c>
      <c r="L1394" t="s">
        <v>163</v>
      </c>
      <c r="M1394" t="s">
        <v>163</v>
      </c>
      <c r="N1394" t="s">
        <v>163</v>
      </c>
      <c r="O1394" s="4" t="s">
        <v>2149</v>
      </c>
      <c r="P1394">
        <v>0</v>
      </c>
      <c r="Q1394" s="24">
        <v>98.8</v>
      </c>
      <c r="R1394" s="25">
        <v>140</v>
      </c>
      <c r="S1394" s="26">
        <v>84.8</v>
      </c>
    </row>
    <row r="1395" spans="1:19" ht="14.25" x14ac:dyDescent="0.2">
      <c r="A1395" s="12">
        <v>30312</v>
      </c>
      <c r="B1395" s="13">
        <f t="shared" si="308"/>
        <v>27</v>
      </c>
      <c r="C1395" s="15">
        <f t="shared" si="309"/>
        <v>19</v>
      </c>
      <c r="D1395" s="14">
        <f t="shared" si="310"/>
        <v>16</v>
      </c>
      <c r="E1395" t="s">
        <v>2777</v>
      </c>
      <c r="F1395" t="s">
        <v>2835</v>
      </c>
      <c r="G1395" t="s">
        <v>2779</v>
      </c>
      <c r="H1395" t="s">
        <v>2779</v>
      </c>
      <c r="I1395" t="s">
        <v>2780</v>
      </c>
      <c r="J1395" s="4" t="s">
        <v>2844</v>
      </c>
      <c r="K1395" t="s">
        <v>175</v>
      </c>
      <c r="L1395" t="s">
        <v>164</v>
      </c>
      <c r="M1395" t="s">
        <v>163</v>
      </c>
      <c r="N1395" t="s">
        <v>167</v>
      </c>
      <c r="O1395" s="4" t="s">
        <v>2151</v>
      </c>
      <c r="P1395">
        <v>0</v>
      </c>
      <c r="Q1395" s="24">
        <v>98.8</v>
      </c>
      <c r="R1395" s="25">
        <v>140</v>
      </c>
      <c r="S1395" s="26">
        <v>84.8</v>
      </c>
    </row>
    <row r="1396" spans="1:19" ht="14.25" x14ac:dyDescent="0.2">
      <c r="A1396" s="12">
        <v>30313</v>
      </c>
      <c r="B1396" s="13">
        <f t="shared" si="308"/>
        <v>28</v>
      </c>
      <c r="C1396" s="15">
        <f t="shared" si="309"/>
        <v>19</v>
      </c>
      <c r="D1396" s="14">
        <f t="shared" si="310"/>
        <v>16</v>
      </c>
      <c r="E1396" t="s">
        <v>2777</v>
      </c>
      <c r="F1396" t="s">
        <v>2836</v>
      </c>
      <c r="G1396" t="s">
        <v>2779</v>
      </c>
      <c r="H1396" t="s">
        <v>2779</v>
      </c>
      <c r="I1396" t="s">
        <v>2780</v>
      </c>
      <c r="J1396" s="4" t="s">
        <v>2844</v>
      </c>
      <c r="K1396" t="s">
        <v>179</v>
      </c>
      <c r="L1396" t="s">
        <v>163</v>
      </c>
      <c r="M1396" t="s">
        <v>163</v>
      </c>
      <c r="N1396" t="s">
        <v>163</v>
      </c>
      <c r="O1396" s="4" t="s">
        <v>2153</v>
      </c>
      <c r="P1396">
        <v>0</v>
      </c>
      <c r="Q1396" s="24">
        <v>98.8</v>
      </c>
      <c r="R1396" s="25">
        <v>140</v>
      </c>
      <c r="S1396" s="26">
        <v>84.8</v>
      </c>
    </row>
    <row r="1397" spans="1:19" ht="14.25" x14ac:dyDescent="0.2">
      <c r="A1397" s="12">
        <v>30314</v>
      </c>
      <c r="B1397" s="13">
        <f t="shared" si="308"/>
        <v>28</v>
      </c>
      <c r="C1397" s="15">
        <f t="shared" si="309"/>
        <v>19</v>
      </c>
      <c r="D1397" s="14">
        <f t="shared" si="310"/>
        <v>16</v>
      </c>
      <c r="E1397" t="s">
        <v>2777</v>
      </c>
      <c r="F1397" t="s">
        <v>2837</v>
      </c>
      <c r="G1397" t="s">
        <v>2779</v>
      </c>
      <c r="H1397" t="s">
        <v>2779</v>
      </c>
      <c r="I1397" t="s">
        <v>2780</v>
      </c>
      <c r="J1397" s="4" t="s">
        <v>2844</v>
      </c>
      <c r="K1397" t="s">
        <v>177</v>
      </c>
      <c r="L1397" t="s">
        <v>163</v>
      </c>
      <c r="M1397" t="s">
        <v>163</v>
      </c>
      <c r="N1397" t="s">
        <v>163</v>
      </c>
      <c r="O1397" s="4" t="s">
        <v>2153</v>
      </c>
      <c r="P1397">
        <v>0</v>
      </c>
      <c r="Q1397" s="24">
        <v>98.8</v>
      </c>
      <c r="R1397" s="25">
        <v>140</v>
      </c>
      <c r="S1397" s="26">
        <v>84.8</v>
      </c>
    </row>
    <row r="1398" spans="1:19" ht="14.25" x14ac:dyDescent="0.2">
      <c r="A1398" s="12">
        <v>30315</v>
      </c>
      <c r="B1398" s="13">
        <f t="shared" si="308"/>
        <v>28</v>
      </c>
      <c r="C1398" s="15">
        <f t="shared" si="309"/>
        <v>19</v>
      </c>
      <c r="D1398" s="14">
        <f t="shared" si="310"/>
        <v>16</v>
      </c>
      <c r="E1398" t="s">
        <v>2785</v>
      </c>
      <c r="F1398" t="s">
        <v>2786</v>
      </c>
      <c r="G1398" t="s">
        <v>2832</v>
      </c>
      <c r="H1398" t="s">
        <v>2829</v>
      </c>
      <c r="I1398" t="s">
        <v>2697</v>
      </c>
      <c r="J1398" s="4" t="s">
        <v>2864</v>
      </c>
      <c r="K1398" t="s">
        <v>174</v>
      </c>
      <c r="L1398" t="s">
        <v>163</v>
      </c>
      <c r="M1398" t="s">
        <v>163</v>
      </c>
      <c r="N1398" t="s">
        <v>163</v>
      </c>
      <c r="O1398" s="4" t="s">
        <v>2155</v>
      </c>
      <c r="P1398">
        <v>0</v>
      </c>
      <c r="Q1398" s="24">
        <v>98.8</v>
      </c>
      <c r="R1398" s="25">
        <v>140</v>
      </c>
      <c r="S1398" s="26">
        <v>84.8</v>
      </c>
    </row>
    <row r="1399" spans="1:19" ht="14.25" x14ac:dyDescent="0.2">
      <c r="A1399" s="12">
        <v>30316</v>
      </c>
      <c r="B1399" s="13">
        <f t="shared" si="308"/>
        <v>28</v>
      </c>
      <c r="C1399" s="15">
        <f t="shared" si="309"/>
        <v>19</v>
      </c>
      <c r="D1399" s="14">
        <f t="shared" si="310"/>
        <v>16</v>
      </c>
      <c r="E1399" t="s">
        <v>2777</v>
      </c>
      <c r="F1399" t="s">
        <v>2834</v>
      </c>
      <c r="G1399" t="s">
        <v>2779</v>
      </c>
      <c r="H1399" t="s">
        <v>2779</v>
      </c>
      <c r="I1399" t="s">
        <v>2780</v>
      </c>
      <c r="J1399" s="4" t="s">
        <v>2844</v>
      </c>
      <c r="K1399" t="s">
        <v>182</v>
      </c>
      <c r="L1399" t="s">
        <v>163</v>
      </c>
      <c r="M1399" t="s">
        <v>163</v>
      </c>
      <c r="N1399" t="s">
        <v>163</v>
      </c>
      <c r="O1399" s="4" t="s">
        <v>2157</v>
      </c>
      <c r="P1399">
        <v>0</v>
      </c>
      <c r="Q1399" s="24">
        <v>99.2</v>
      </c>
      <c r="R1399" s="25">
        <v>140.5</v>
      </c>
      <c r="S1399" s="26">
        <v>85</v>
      </c>
    </row>
    <row r="1400" spans="1:19" ht="14.25" x14ac:dyDescent="0.2">
      <c r="A1400" s="12">
        <v>30317</v>
      </c>
      <c r="B1400" s="13">
        <f t="shared" si="308"/>
        <v>28</v>
      </c>
      <c r="C1400" s="15">
        <f t="shared" si="309"/>
        <v>19</v>
      </c>
      <c r="D1400" s="14">
        <f t="shared" si="310"/>
        <v>16</v>
      </c>
      <c r="E1400" t="s">
        <v>2777</v>
      </c>
      <c r="F1400" t="s">
        <v>2835</v>
      </c>
      <c r="G1400" t="s">
        <v>2779</v>
      </c>
      <c r="H1400" t="s">
        <v>2779</v>
      </c>
      <c r="I1400" t="s">
        <v>2780</v>
      </c>
      <c r="J1400" s="4" t="s">
        <v>2844</v>
      </c>
      <c r="K1400" t="s">
        <v>162</v>
      </c>
      <c r="L1400" t="s">
        <v>163</v>
      </c>
      <c r="M1400" t="s">
        <v>163</v>
      </c>
      <c r="N1400" t="s">
        <v>163</v>
      </c>
      <c r="O1400" s="4" t="s">
        <v>2157</v>
      </c>
      <c r="P1400">
        <v>0</v>
      </c>
      <c r="Q1400" s="24">
        <v>99.2</v>
      </c>
      <c r="R1400" s="25">
        <v>140.5</v>
      </c>
      <c r="S1400" s="26">
        <v>85</v>
      </c>
    </row>
    <row r="1401" spans="1:19" ht="14.25" x14ac:dyDescent="0.2">
      <c r="A1401" s="12">
        <v>30318</v>
      </c>
      <c r="B1401" s="13">
        <f t="shared" si="308"/>
        <v>28</v>
      </c>
      <c r="C1401" s="15">
        <f t="shared" si="309"/>
        <v>19</v>
      </c>
      <c r="D1401" s="14">
        <f t="shared" si="310"/>
        <v>17</v>
      </c>
      <c r="E1401" t="s">
        <v>2777</v>
      </c>
      <c r="F1401" t="s">
        <v>2836</v>
      </c>
      <c r="G1401" t="s">
        <v>2779</v>
      </c>
      <c r="H1401" t="s">
        <v>2779</v>
      </c>
      <c r="I1401" t="s">
        <v>2780</v>
      </c>
      <c r="J1401" s="4" t="s">
        <v>2844</v>
      </c>
      <c r="K1401" t="s">
        <v>177</v>
      </c>
      <c r="L1401" t="s">
        <v>163</v>
      </c>
      <c r="M1401" t="s">
        <v>163</v>
      </c>
      <c r="N1401" t="s">
        <v>163</v>
      </c>
      <c r="O1401" s="4" t="s">
        <v>2159</v>
      </c>
      <c r="P1401">
        <v>0</v>
      </c>
      <c r="Q1401" s="24">
        <v>99.2</v>
      </c>
      <c r="R1401" s="25">
        <v>140.5</v>
      </c>
      <c r="S1401" s="26">
        <v>85</v>
      </c>
    </row>
    <row r="1402" spans="1:19" ht="14.25" x14ac:dyDescent="0.2">
      <c r="A1402" s="12">
        <v>30319</v>
      </c>
      <c r="B1402" s="13">
        <f t="shared" si="308"/>
        <v>28</v>
      </c>
      <c r="C1402" s="15">
        <f t="shared" si="309"/>
        <v>19</v>
      </c>
      <c r="D1402" s="14">
        <f t="shared" si="310"/>
        <v>17</v>
      </c>
      <c r="E1402" t="s">
        <v>2777</v>
      </c>
      <c r="F1402" t="s">
        <v>2837</v>
      </c>
      <c r="G1402" t="s">
        <v>2779</v>
      </c>
      <c r="H1402" t="s">
        <v>2779</v>
      </c>
      <c r="I1402" t="s">
        <v>2780</v>
      </c>
      <c r="J1402" s="4" t="s">
        <v>2844</v>
      </c>
      <c r="K1402" t="s">
        <v>174</v>
      </c>
      <c r="L1402" t="s">
        <v>163</v>
      </c>
      <c r="M1402" t="s">
        <v>163</v>
      </c>
      <c r="N1402" t="s">
        <v>163</v>
      </c>
      <c r="O1402" s="4" t="s">
        <v>2161</v>
      </c>
      <c r="P1402">
        <v>0</v>
      </c>
      <c r="Q1402" s="24">
        <v>99.2</v>
      </c>
      <c r="R1402" s="25">
        <v>140.5</v>
      </c>
      <c r="S1402" s="26">
        <v>85</v>
      </c>
    </row>
    <row r="1403" spans="1:19" ht="14.25" x14ac:dyDescent="0.2">
      <c r="A1403" s="12">
        <v>30320</v>
      </c>
      <c r="B1403" s="13">
        <f t="shared" si="308"/>
        <v>28</v>
      </c>
      <c r="C1403" s="15">
        <f t="shared" si="309"/>
        <v>19</v>
      </c>
      <c r="D1403" s="14">
        <f t="shared" si="310"/>
        <v>17</v>
      </c>
      <c r="E1403" t="s">
        <v>2785</v>
      </c>
      <c r="F1403" t="s">
        <v>2786</v>
      </c>
      <c r="G1403" t="s">
        <v>2833</v>
      </c>
      <c r="H1403" t="s">
        <v>2829</v>
      </c>
      <c r="I1403" t="s">
        <v>2697</v>
      </c>
      <c r="J1403" s="4" t="s">
        <v>2882</v>
      </c>
      <c r="K1403" t="s">
        <v>166</v>
      </c>
      <c r="L1403" t="s">
        <v>163</v>
      </c>
      <c r="M1403" t="s">
        <v>163</v>
      </c>
      <c r="N1403" t="s">
        <v>163</v>
      </c>
      <c r="O1403" s="4" t="s">
        <v>2161</v>
      </c>
      <c r="P1403">
        <v>0</v>
      </c>
      <c r="Q1403" s="24">
        <v>99.2</v>
      </c>
      <c r="R1403" s="25">
        <v>140.5</v>
      </c>
      <c r="S1403" s="26">
        <v>85</v>
      </c>
    </row>
    <row r="1404" spans="1:19" ht="14.25" x14ac:dyDescent="0.2">
      <c r="A1404" s="12">
        <v>30321</v>
      </c>
      <c r="B1404" s="13">
        <f t="shared" si="308"/>
        <v>28</v>
      </c>
      <c r="C1404" s="15">
        <f t="shared" si="309"/>
        <v>19</v>
      </c>
      <c r="D1404" s="14">
        <f t="shared" si="310"/>
        <v>17</v>
      </c>
      <c r="E1404" t="s">
        <v>2777</v>
      </c>
      <c r="F1404" t="s">
        <v>2834</v>
      </c>
      <c r="G1404" t="s">
        <v>2779</v>
      </c>
      <c r="H1404" t="s">
        <v>2779</v>
      </c>
      <c r="I1404" t="s">
        <v>2780</v>
      </c>
      <c r="J1404" s="4" t="s">
        <v>2844</v>
      </c>
      <c r="K1404" t="s">
        <v>168</v>
      </c>
      <c r="L1404" t="s">
        <v>163</v>
      </c>
      <c r="M1404" t="s">
        <v>163</v>
      </c>
      <c r="N1404" t="s">
        <v>163</v>
      </c>
      <c r="O1404" s="4" t="s">
        <v>2163</v>
      </c>
      <c r="P1404">
        <v>0</v>
      </c>
      <c r="Q1404" s="24">
        <v>99.5</v>
      </c>
      <c r="R1404" s="25">
        <v>141</v>
      </c>
      <c r="S1404" s="26">
        <v>85.3</v>
      </c>
    </row>
    <row r="1405" spans="1:19" ht="14.25" x14ac:dyDescent="0.2">
      <c r="A1405" s="12">
        <v>30322</v>
      </c>
      <c r="B1405" s="13">
        <f t="shared" si="308"/>
        <v>28</v>
      </c>
      <c r="C1405" s="15">
        <f t="shared" si="309"/>
        <v>19</v>
      </c>
      <c r="D1405" s="14">
        <f t="shared" si="310"/>
        <v>17</v>
      </c>
      <c r="E1405" t="s">
        <v>2777</v>
      </c>
      <c r="F1405" t="s">
        <v>2835</v>
      </c>
      <c r="G1405" t="s">
        <v>2779</v>
      </c>
      <c r="H1405" t="s">
        <v>2779</v>
      </c>
      <c r="I1405" t="s">
        <v>2780</v>
      </c>
      <c r="J1405" s="4" t="s">
        <v>2844</v>
      </c>
      <c r="K1405" t="s">
        <v>175</v>
      </c>
      <c r="L1405" t="s">
        <v>164</v>
      </c>
      <c r="M1405" t="s">
        <v>163</v>
      </c>
      <c r="N1405" t="s">
        <v>167</v>
      </c>
      <c r="O1405" s="4" t="s">
        <v>2165</v>
      </c>
      <c r="P1405">
        <v>0</v>
      </c>
      <c r="Q1405" s="24">
        <v>99.5</v>
      </c>
      <c r="R1405" s="25">
        <v>141</v>
      </c>
      <c r="S1405" s="26">
        <v>85.3</v>
      </c>
    </row>
    <row r="1406" spans="1:19" ht="14.25" x14ac:dyDescent="0.2">
      <c r="A1406" s="12">
        <v>30323</v>
      </c>
      <c r="B1406" s="13">
        <f t="shared" si="308"/>
        <v>28</v>
      </c>
      <c r="C1406" s="15">
        <f t="shared" si="309"/>
        <v>19</v>
      </c>
      <c r="D1406" s="14">
        <f t="shared" si="310"/>
        <v>17</v>
      </c>
      <c r="E1406" t="s">
        <v>2777</v>
      </c>
      <c r="F1406" t="s">
        <v>2836</v>
      </c>
      <c r="G1406" t="s">
        <v>2779</v>
      </c>
      <c r="H1406" t="s">
        <v>2779</v>
      </c>
      <c r="I1406" t="s">
        <v>2780</v>
      </c>
      <c r="J1406" s="4" t="s">
        <v>2844</v>
      </c>
      <c r="K1406" t="s">
        <v>179</v>
      </c>
      <c r="L1406" t="s">
        <v>163</v>
      </c>
      <c r="M1406" t="s">
        <v>163</v>
      </c>
      <c r="N1406" t="s">
        <v>163</v>
      </c>
      <c r="O1406" s="4" t="s">
        <v>2167</v>
      </c>
      <c r="P1406">
        <v>0</v>
      </c>
      <c r="Q1406" s="24">
        <v>99.5</v>
      </c>
      <c r="R1406" s="25">
        <v>141</v>
      </c>
      <c r="S1406" s="26">
        <v>85.3</v>
      </c>
    </row>
    <row r="1407" spans="1:19" ht="14.25" x14ac:dyDescent="0.2">
      <c r="A1407" s="12">
        <v>30324</v>
      </c>
      <c r="B1407" s="13">
        <f t="shared" si="308"/>
        <v>28</v>
      </c>
      <c r="C1407" s="15">
        <f t="shared" si="309"/>
        <v>19</v>
      </c>
      <c r="D1407" s="14">
        <f t="shared" si="310"/>
        <v>17</v>
      </c>
      <c r="E1407" t="s">
        <v>2777</v>
      </c>
      <c r="F1407" t="s">
        <v>2837</v>
      </c>
      <c r="G1407" t="s">
        <v>2779</v>
      </c>
      <c r="H1407" t="s">
        <v>2779</v>
      </c>
      <c r="I1407" t="s">
        <v>2780</v>
      </c>
      <c r="J1407" s="4" t="s">
        <v>2844</v>
      </c>
      <c r="K1407" t="s">
        <v>177</v>
      </c>
      <c r="L1407" t="s">
        <v>163</v>
      </c>
      <c r="M1407" t="s">
        <v>163</v>
      </c>
      <c r="N1407" t="s">
        <v>163</v>
      </c>
      <c r="O1407" s="4" t="s">
        <v>2167</v>
      </c>
      <c r="P1407">
        <v>0</v>
      </c>
      <c r="Q1407" s="24">
        <v>99.5</v>
      </c>
      <c r="R1407" s="25">
        <v>141</v>
      </c>
      <c r="S1407" s="26">
        <v>85.3</v>
      </c>
    </row>
    <row r="1408" spans="1:19" ht="14.25" x14ac:dyDescent="0.2">
      <c r="A1408" s="12">
        <v>30325</v>
      </c>
      <c r="B1408" s="13">
        <f t="shared" si="308"/>
        <v>28</v>
      </c>
      <c r="C1408" s="15">
        <f t="shared" si="309"/>
        <v>19</v>
      </c>
      <c r="D1408" s="14">
        <f t="shared" si="310"/>
        <v>17</v>
      </c>
      <c r="E1408" t="s">
        <v>2785</v>
      </c>
      <c r="F1408" t="s">
        <v>2786</v>
      </c>
      <c r="G1408" t="s">
        <v>2828</v>
      </c>
      <c r="H1408" t="s">
        <v>2829</v>
      </c>
      <c r="I1408" t="s">
        <v>2697</v>
      </c>
      <c r="J1408" s="4" t="s">
        <v>2882</v>
      </c>
      <c r="K1408" t="s">
        <v>174</v>
      </c>
      <c r="L1408" t="s">
        <v>163</v>
      </c>
      <c r="M1408" t="s">
        <v>163</v>
      </c>
      <c r="N1408" t="s">
        <v>163</v>
      </c>
      <c r="O1408" s="4" t="s">
        <v>2169</v>
      </c>
      <c r="P1408">
        <v>0</v>
      </c>
      <c r="Q1408" s="24">
        <v>99.5</v>
      </c>
      <c r="R1408" s="25">
        <v>141</v>
      </c>
      <c r="S1408" s="26">
        <v>85.3</v>
      </c>
    </row>
    <row r="1409" spans="1:19" ht="14.25" x14ac:dyDescent="0.2">
      <c r="A1409" s="12">
        <v>30326</v>
      </c>
      <c r="B1409" s="13">
        <f t="shared" si="308"/>
        <v>28</v>
      </c>
      <c r="C1409" s="15">
        <f t="shared" si="309"/>
        <v>19</v>
      </c>
      <c r="D1409" s="14">
        <f t="shared" si="310"/>
        <v>17</v>
      </c>
      <c r="E1409" t="s">
        <v>2777</v>
      </c>
      <c r="F1409" t="s">
        <v>2834</v>
      </c>
      <c r="G1409" t="s">
        <v>2779</v>
      </c>
      <c r="H1409" t="s">
        <v>2779</v>
      </c>
      <c r="I1409" t="s">
        <v>2780</v>
      </c>
      <c r="J1409" s="4" t="s">
        <v>2844</v>
      </c>
      <c r="K1409" t="s">
        <v>182</v>
      </c>
      <c r="L1409" t="s">
        <v>163</v>
      </c>
      <c r="M1409" t="s">
        <v>163</v>
      </c>
      <c r="N1409" t="s">
        <v>163</v>
      </c>
      <c r="O1409" s="4" t="s">
        <v>2171</v>
      </c>
      <c r="P1409">
        <v>0</v>
      </c>
      <c r="Q1409" s="24">
        <v>99.8</v>
      </c>
      <c r="R1409" s="25">
        <v>141.5</v>
      </c>
      <c r="S1409" s="26">
        <v>85.5</v>
      </c>
    </row>
    <row r="1410" spans="1:19" ht="14.25" x14ac:dyDescent="0.2">
      <c r="A1410" s="12">
        <v>30327</v>
      </c>
      <c r="B1410" s="13">
        <f t="shared" si="308"/>
        <v>28</v>
      </c>
      <c r="C1410" s="15">
        <f t="shared" si="309"/>
        <v>19</v>
      </c>
      <c r="D1410" s="14">
        <f t="shared" si="310"/>
        <v>17</v>
      </c>
      <c r="E1410" t="s">
        <v>2777</v>
      </c>
      <c r="F1410" t="s">
        <v>2835</v>
      </c>
      <c r="G1410" t="s">
        <v>2779</v>
      </c>
      <c r="H1410" t="s">
        <v>2779</v>
      </c>
      <c r="I1410" t="s">
        <v>2780</v>
      </c>
      <c r="J1410" s="4" t="s">
        <v>2844</v>
      </c>
      <c r="K1410" t="s">
        <v>162</v>
      </c>
      <c r="L1410" t="s">
        <v>163</v>
      </c>
      <c r="M1410" t="s">
        <v>163</v>
      </c>
      <c r="N1410" t="s">
        <v>163</v>
      </c>
      <c r="O1410" s="4" t="s">
        <v>2171</v>
      </c>
      <c r="P1410">
        <v>0</v>
      </c>
      <c r="Q1410" s="24">
        <v>99.8</v>
      </c>
      <c r="R1410" s="25">
        <v>141.5</v>
      </c>
      <c r="S1410" s="26">
        <v>85.5</v>
      </c>
    </row>
    <row r="1411" spans="1:19" ht="14.25" x14ac:dyDescent="0.2">
      <c r="A1411" s="12">
        <v>30328</v>
      </c>
      <c r="B1411" s="13">
        <f t="shared" si="308"/>
        <v>28</v>
      </c>
      <c r="C1411" s="15">
        <f t="shared" si="309"/>
        <v>19</v>
      </c>
      <c r="D1411" s="14">
        <f t="shared" si="310"/>
        <v>17</v>
      </c>
      <c r="E1411" t="s">
        <v>2777</v>
      </c>
      <c r="F1411" t="s">
        <v>2836</v>
      </c>
      <c r="G1411" t="s">
        <v>2779</v>
      </c>
      <c r="H1411" t="s">
        <v>2779</v>
      </c>
      <c r="I1411" t="s">
        <v>2780</v>
      </c>
      <c r="J1411" s="4" t="s">
        <v>2844</v>
      </c>
      <c r="K1411" t="s">
        <v>177</v>
      </c>
      <c r="L1411" t="s">
        <v>163</v>
      </c>
      <c r="M1411" t="s">
        <v>163</v>
      </c>
      <c r="N1411" t="s">
        <v>163</v>
      </c>
      <c r="O1411" s="4" t="s">
        <v>2173</v>
      </c>
      <c r="P1411">
        <v>0</v>
      </c>
      <c r="Q1411" s="24">
        <v>99.8</v>
      </c>
      <c r="R1411" s="25">
        <v>141.5</v>
      </c>
      <c r="S1411" s="26">
        <v>85.5</v>
      </c>
    </row>
    <row r="1412" spans="1:19" ht="14.25" x14ac:dyDescent="0.2">
      <c r="A1412" s="12">
        <v>30329</v>
      </c>
      <c r="B1412" s="13">
        <f t="shared" si="308"/>
        <v>28</v>
      </c>
      <c r="C1412" s="15">
        <f t="shared" si="309"/>
        <v>19</v>
      </c>
      <c r="D1412" s="14">
        <f t="shared" si="310"/>
        <v>17</v>
      </c>
      <c r="E1412" t="s">
        <v>2777</v>
      </c>
      <c r="F1412" t="s">
        <v>2837</v>
      </c>
      <c r="G1412" t="s">
        <v>2779</v>
      </c>
      <c r="H1412" t="s">
        <v>2779</v>
      </c>
      <c r="I1412" t="s">
        <v>2780</v>
      </c>
      <c r="J1412" s="4" t="s">
        <v>2844</v>
      </c>
      <c r="K1412" t="s">
        <v>174</v>
      </c>
      <c r="L1412" t="s">
        <v>163</v>
      </c>
      <c r="M1412" t="s">
        <v>163</v>
      </c>
      <c r="N1412" t="s">
        <v>163</v>
      </c>
      <c r="O1412" s="4" t="s">
        <v>2175</v>
      </c>
      <c r="P1412">
        <v>0</v>
      </c>
      <c r="Q1412" s="24">
        <v>99.8</v>
      </c>
      <c r="R1412" s="25">
        <v>141.5</v>
      </c>
      <c r="S1412" s="26">
        <v>85.5</v>
      </c>
    </row>
    <row r="1413" spans="1:19" ht="14.25" x14ac:dyDescent="0.2">
      <c r="A1413" s="12">
        <v>30330</v>
      </c>
      <c r="B1413" s="13">
        <f t="shared" ref="B1413:B1476" si="311">FLOOR(R1411/5,1)</f>
        <v>28</v>
      </c>
      <c r="C1413" s="15">
        <f t="shared" ref="C1413:C1476" si="312">FLOOR(Q1411/5,1)</f>
        <v>19</v>
      </c>
      <c r="D1413" s="14">
        <f t="shared" ref="D1413:D1476" si="313">FLOOR(S1411/5,1)</f>
        <v>17</v>
      </c>
      <c r="E1413" t="s">
        <v>2785</v>
      </c>
      <c r="F1413" t="s">
        <v>2786</v>
      </c>
      <c r="G1413" t="s">
        <v>2830</v>
      </c>
      <c r="H1413" t="s">
        <v>2829</v>
      </c>
      <c r="I1413" t="s">
        <v>2697</v>
      </c>
      <c r="J1413" s="4" t="s">
        <v>2864</v>
      </c>
      <c r="K1413" t="s">
        <v>166</v>
      </c>
      <c r="L1413" t="s">
        <v>163</v>
      </c>
      <c r="M1413" t="s">
        <v>163</v>
      </c>
      <c r="N1413" t="s">
        <v>163</v>
      </c>
      <c r="O1413" s="4" t="s">
        <v>2175</v>
      </c>
      <c r="P1413">
        <v>0</v>
      </c>
      <c r="Q1413" s="24">
        <v>99.8</v>
      </c>
      <c r="R1413" s="25">
        <v>141.5</v>
      </c>
      <c r="S1413" s="26">
        <v>85.5</v>
      </c>
    </row>
    <row r="1414" spans="1:19" ht="14.25" x14ac:dyDescent="0.2">
      <c r="A1414" s="12">
        <v>30331</v>
      </c>
      <c r="B1414" s="13">
        <f t="shared" si="311"/>
        <v>28</v>
      </c>
      <c r="C1414" s="15">
        <f t="shared" si="312"/>
        <v>19</v>
      </c>
      <c r="D1414" s="14">
        <f t="shared" si="313"/>
        <v>17</v>
      </c>
      <c r="E1414" t="s">
        <v>2777</v>
      </c>
      <c r="F1414" t="s">
        <v>2834</v>
      </c>
      <c r="G1414" t="s">
        <v>2779</v>
      </c>
      <c r="H1414" t="s">
        <v>2779</v>
      </c>
      <c r="I1414" t="s">
        <v>2780</v>
      </c>
      <c r="J1414" s="4" t="s">
        <v>2844</v>
      </c>
      <c r="K1414" t="s">
        <v>168</v>
      </c>
      <c r="L1414" t="s">
        <v>163</v>
      </c>
      <c r="M1414" t="s">
        <v>163</v>
      </c>
      <c r="N1414" t="s">
        <v>163</v>
      </c>
      <c r="O1414" s="4" t="s">
        <v>2177</v>
      </c>
      <c r="P1414">
        <v>0</v>
      </c>
      <c r="Q1414" s="24">
        <v>100.2</v>
      </c>
      <c r="R1414" s="25">
        <v>142</v>
      </c>
      <c r="S1414" s="26">
        <v>85.8</v>
      </c>
    </row>
    <row r="1415" spans="1:19" ht="14.25" x14ac:dyDescent="0.2">
      <c r="A1415" s="12">
        <v>30332</v>
      </c>
      <c r="B1415" s="13">
        <f t="shared" si="311"/>
        <v>28</v>
      </c>
      <c r="C1415" s="15">
        <f t="shared" si="312"/>
        <v>19</v>
      </c>
      <c r="D1415" s="14">
        <f t="shared" si="313"/>
        <v>17</v>
      </c>
      <c r="E1415" t="s">
        <v>2777</v>
      </c>
      <c r="F1415" t="s">
        <v>2835</v>
      </c>
      <c r="G1415" t="s">
        <v>2779</v>
      </c>
      <c r="H1415" t="s">
        <v>2779</v>
      </c>
      <c r="I1415" t="s">
        <v>2780</v>
      </c>
      <c r="J1415" s="4" t="s">
        <v>2844</v>
      </c>
      <c r="K1415" t="s">
        <v>175</v>
      </c>
      <c r="L1415" t="s">
        <v>164</v>
      </c>
      <c r="M1415" t="s">
        <v>163</v>
      </c>
      <c r="N1415" t="s">
        <v>167</v>
      </c>
      <c r="O1415" s="4" t="s">
        <v>2179</v>
      </c>
      <c r="P1415">
        <v>0</v>
      </c>
      <c r="Q1415" s="24">
        <v>100.2</v>
      </c>
      <c r="R1415" s="25">
        <v>142</v>
      </c>
      <c r="S1415" s="26">
        <v>85.8</v>
      </c>
    </row>
    <row r="1416" spans="1:19" ht="14.25" x14ac:dyDescent="0.2">
      <c r="A1416" s="12">
        <v>30333</v>
      </c>
      <c r="B1416" s="13">
        <f t="shared" si="311"/>
        <v>28</v>
      </c>
      <c r="C1416" s="15">
        <f t="shared" si="312"/>
        <v>20</v>
      </c>
      <c r="D1416" s="14">
        <f t="shared" si="313"/>
        <v>17</v>
      </c>
      <c r="E1416" t="s">
        <v>2777</v>
      </c>
      <c r="F1416" t="s">
        <v>2836</v>
      </c>
      <c r="G1416" t="s">
        <v>2779</v>
      </c>
      <c r="H1416" t="s">
        <v>2779</v>
      </c>
      <c r="I1416" t="s">
        <v>2780</v>
      </c>
      <c r="J1416" s="4" t="s">
        <v>2844</v>
      </c>
      <c r="K1416" t="s">
        <v>179</v>
      </c>
      <c r="L1416" t="s">
        <v>163</v>
      </c>
      <c r="M1416" t="s">
        <v>163</v>
      </c>
      <c r="N1416" t="s">
        <v>163</v>
      </c>
      <c r="O1416" s="4" t="s">
        <v>2181</v>
      </c>
      <c r="P1416">
        <v>0</v>
      </c>
      <c r="Q1416" s="24">
        <v>100.2</v>
      </c>
      <c r="R1416" s="25">
        <v>142</v>
      </c>
      <c r="S1416" s="26">
        <v>85.8</v>
      </c>
    </row>
    <row r="1417" spans="1:19" ht="14.25" x14ac:dyDescent="0.2">
      <c r="A1417" s="12">
        <v>30334</v>
      </c>
      <c r="B1417" s="13">
        <f t="shared" si="311"/>
        <v>28</v>
      </c>
      <c r="C1417" s="15">
        <f t="shared" si="312"/>
        <v>20</v>
      </c>
      <c r="D1417" s="14">
        <f t="shared" si="313"/>
        <v>17</v>
      </c>
      <c r="E1417" t="s">
        <v>2777</v>
      </c>
      <c r="F1417" t="s">
        <v>2837</v>
      </c>
      <c r="G1417" t="s">
        <v>2779</v>
      </c>
      <c r="H1417" t="s">
        <v>2779</v>
      </c>
      <c r="I1417" t="s">
        <v>2780</v>
      </c>
      <c r="J1417" s="4" t="s">
        <v>2844</v>
      </c>
      <c r="K1417" t="s">
        <v>177</v>
      </c>
      <c r="L1417" t="s">
        <v>163</v>
      </c>
      <c r="M1417" t="s">
        <v>163</v>
      </c>
      <c r="N1417" t="s">
        <v>163</v>
      </c>
      <c r="O1417" s="4" t="s">
        <v>2181</v>
      </c>
      <c r="P1417">
        <v>0</v>
      </c>
      <c r="Q1417" s="24">
        <v>100.2</v>
      </c>
      <c r="R1417" s="25">
        <v>142</v>
      </c>
      <c r="S1417" s="26">
        <v>85.8</v>
      </c>
    </row>
    <row r="1418" spans="1:19" ht="14.25" x14ac:dyDescent="0.2">
      <c r="A1418" s="12">
        <v>30335</v>
      </c>
      <c r="B1418" s="13">
        <f t="shared" si="311"/>
        <v>28</v>
      </c>
      <c r="C1418" s="15">
        <f t="shared" si="312"/>
        <v>20</v>
      </c>
      <c r="D1418" s="14">
        <f t="shared" si="313"/>
        <v>17</v>
      </c>
      <c r="E1418" t="s">
        <v>2785</v>
      </c>
      <c r="F1418" t="s">
        <v>2786</v>
      </c>
      <c r="G1418" t="s">
        <v>2831</v>
      </c>
      <c r="H1418" t="s">
        <v>2829</v>
      </c>
      <c r="I1418" t="s">
        <v>2697</v>
      </c>
      <c r="J1418" s="4" t="s">
        <v>2864</v>
      </c>
      <c r="K1418" t="s">
        <v>174</v>
      </c>
      <c r="L1418" t="s">
        <v>163</v>
      </c>
      <c r="M1418" t="s">
        <v>163</v>
      </c>
      <c r="N1418" t="s">
        <v>163</v>
      </c>
      <c r="O1418" s="4" t="s">
        <v>2183</v>
      </c>
      <c r="P1418">
        <v>0</v>
      </c>
      <c r="Q1418" s="24">
        <v>100.2</v>
      </c>
      <c r="R1418" s="25">
        <v>142</v>
      </c>
      <c r="S1418" s="26">
        <v>85.8</v>
      </c>
    </row>
    <row r="1419" spans="1:19" ht="14.25" x14ac:dyDescent="0.2">
      <c r="A1419" s="12">
        <v>30336</v>
      </c>
      <c r="B1419" s="13">
        <f t="shared" si="311"/>
        <v>28</v>
      </c>
      <c r="C1419" s="15">
        <f t="shared" si="312"/>
        <v>20</v>
      </c>
      <c r="D1419" s="14">
        <f t="shared" si="313"/>
        <v>17</v>
      </c>
      <c r="E1419" t="s">
        <v>2777</v>
      </c>
      <c r="F1419" t="s">
        <v>2834</v>
      </c>
      <c r="G1419" t="s">
        <v>2779</v>
      </c>
      <c r="H1419" t="s">
        <v>2779</v>
      </c>
      <c r="I1419" t="s">
        <v>2780</v>
      </c>
      <c r="J1419" s="4" t="s">
        <v>2844</v>
      </c>
      <c r="K1419" t="s">
        <v>182</v>
      </c>
      <c r="L1419" t="s">
        <v>163</v>
      </c>
      <c r="M1419" t="s">
        <v>163</v>
      </c>
      <c r="N1419" t="s">
        <v>163</v>
      </c>
      <c r="O1419" s="4" t="s">
        <v>2185</v>
      </c>
      <c r="P1419">
        <v>0</v>
      </c>
      <c r="Q1419" s="24">
        <v>100.5</v>
      </c>
      <c r="R1419" s="25">
        <v>142.5</v>
      </c>
      <c r="S1419" s="26">
        <v>86</v>
      </c>
    </row>
    <row r="1420" spans="1:19" ht="14.25" x14ac:dyDescent="0.2">
      <c r="A1420" s="12">
        <v>30337</v>
      </c>
      <c r="B1420" s="13">
        <f t="shared" si="311"/>
        <v>28</v>
      </c>
      <c r="C1420" s="15">
        <f t="shared" si="312"/>
        <v>20</v>
      </c>
      <c r="D1420" s="14">
        <f t="shared" si="313"/>
        <v>17</v>
      </c>
      <c r="E1420" t="s">
        <v>2777</v>
      </c>
      <c r="F1420" t="s">
        <v>2835</v>
      </c>
      <c r="G1420" t="s">
        <v>2779</v>
      </c>
      <c r="H1420" t="s">
        <v>2779</v>
      </c>
      <c r="I1420" t="s">
        <v>2780</v>
      </c>
      <c r="J1420" s="4" t="s">
        <v>2844</v>
      </c>
      <c r="K1420" t="s">
        <v>162</v>
      </c>
      <c r="L1420" t="s">
        <v>163</v>
      </c>
      <c r="M1420" t="s">
        <v>163</v>
      </c>
      <c r="N1420" t="s">
        <v>163</v>
      </c>
      <c r="O1420" s="4" t="s">
        <v>2185</v>
      </c>
      <c r="P1420">
        <v>0</v>
      </c>
      <c r="Q1420" s="24">
        <v>100.5</v>
      </c>
      <c r="R1420" s="25">
        <v>142.5</v>
      </c>
      <c r="S1420" s="26">
        <v>86</v>
      </c>
    </row>
    <row r="1421" spans="1:19" ht="14.25" x14ac:dyDescent="0.2">
      <c r="A1421" s="12">
        <v>30338</v>
      </c>
      <c r="B1421" s="13">
        <f t="shared" si="311"/>
        <v>28</v>
      </c>
      <c r="C1421" s="15">
        <f t="shared" si="312"/>
        <v>20</v>
      </c>
      <c r="D1421" s="14">
        <f t="shared" si="313"/>
        <v>17</v>
      </c>
      <c r="E1421" t="s">
        <v>2777</v>
      </c>
      <c r="F1421" t="s">
        <v>2836</v>
      </c>
      <c r="G1421" t="s">
        <v>2779</v>
      </c>
      <c r="H1421" t="s">
        <v>2779</v>
      </c>
      <c r="I1421" t="s">
        <v>2780</v>
      </c>
      <c r="J1421" s="4" t="s">
        <v>2844</v>
      </c>
      <c r="K1421" t="s">
        <v>177</v>
      </c>
      <c r="L1421" t="s">
        <v>163</v>
      </c>
      <c r="M1421" t="s">
        <v>163</v>
      </c>
      <c r="N1421" t="s">
        <v>163</v>
      </c>
      <c r="O1421" s="4" t="s">
        <v>2187</v>
      </c>
      <c r="P1421">
        <v>0</v>
      </c>
      <c r="Q1421" s="24">
        <v>100.5</v>
      </c>
      <c r="R1421" s="25">
        <v>142.5</v>
      </c>
      <c r="S1421" s="26">
        <v>86</v>
      </c>
    </row>
    <row r="1422" spans="1:19" ht="14.25" x14ac:dyDescent="0.2">
      <c r="A1422" s="12">
        <v>30339</v>
      </c>
      <c r="B1422" s="13">
        <f t="shared" si="311"/>
        <v>28</v>
      </c>
      <c r="C1422" s="15">
        <f t="shared" si="312"/>
        <v>20</v>
      </c>
      <c r="D1422" s="14">
        <f t="shared" si="313"/>
        <v>17</v>
      </c>
      <c r="E1422" t="s">
        <v>2777</v>
      </c>
      <c r="F1422" t="s">
        <v>2837</v>
      </c>
      <c r="G1422" t="s">
        <v>2779</v>
      </c>
      <c r="H1422" t="s">
        <v>2779</v>
      </c>
      <c r="I1422" t="s">
        <v>2780</v>
      </c>
      <c r="J1422" s="4" t="s">
        <v>2844</v>
      </c>
      <c r="K1422" t="s">
        <v>174</v>
      </c>
      <c r="L1422" t="s">
        <v>163</v>
      </c>
      <c r="M1422" t="s">
        <v>163</v>
      </c>
      <c r="N1422" t="s">
        <v>163</v>
      </c>
      <c r="O1422" s="4" t="s">
        <v>2189</v>
      </c>
      <c r="P1422">
        <v>0</v>
      </c>
      <c r="Q1422" s="24">
        <v>100.5</v>
      </c>
      <c r="R1422" s="25">
        <v>142.5</v>
      </c>
      <c r="S1422" s="26">
        <v>86</v>
      </c>
    </row>
    <row r="1423" spans="1:19" ht="14.25" x14ac:dyDescent="0.2">
      <c r="A1423" s="12">
        <v>30340</v>
      </c>
      <c r="B1423" s="13">
        <f t="shared" si="311"/>
        <v>28</v>
      </c>
      <c r="C1423" s="15">
        <f t="shared" si="312"/>
        <v>20</v>
      </c>
      <c r="D1423" s="14">
        <f t="shared" si="313"/>
        <v>17</v>
      </c>
      <c r="E1423" t="s">
        <v>2785</v>
      </c>
      <c r="F1423" t="s">
        <v>2786</v>
      </c>
      <c r="G1423" t="s">
        <v>2832</v>
      </c>
      <c r="H1423" t="s">
        <v>2829</v>
      </c>
      <c r="I1423" t="s">
        <v>2697</v>
      </c>
      <c r="J1423" s="4" t="s">
        <v>2864</v>
      </c>
      <c r="K1423" t="s">
        <v>166</v>
      </c>
      <c r="L1423" t="s">
        <v>163</v>
      </c>
      <c r="M1423" t="s">
        <v>163</v>
      </c>
      <c r="N1423" t="s">
        <v>163</v>
      </c>
      <c r="O1423" s="4" t="s">
        <v>2189</v>
      </c>
      <c r="P1423">
        <v>0</v>
      </c>
      <c r="Q1423" s="24">
        <v>100.5</v>
      </c>
      <c r="R1423" s="25">
        <v>142.5</v>
      </c>
      <c r="S1423" s="26">
        <v>86</v>
      </c>
    </row>
    <row r="1424" spans="1:19" ht="14.25" x14ac:dyDescent="0.2">
      <c r="A1424" s="12">
        <v>30341</v>
      </c>
      <c r="B1424" s="13">
        <f t="shared" si="311"/>
        <v>28</v>
      </c>
      <c r="C1424" s="15">
        <f t="shared" si="312"/>
        <v>20</v>
      </c>
      <c r="D1424" s="14">
        <f t="shared" si="313"/>
        <v>17</v>
      </c>
      <c r="E1424" t="s">
        <v>2777</v>
      </c>
      <c r="F1424" t="s">
        <v>2834</v>
      </c>
      <c r="G1424" t="s">
        <v>2779</v>
      </c>
      <c r="H1424" t="s">
        <v>2779</v>
      </c>
      <c r="I1424" t="s">
        <v>2780</v>
      </c>
      <c r="J1424" s="4" t="s">
        <v>2844</v>
      </c>
      <c r="K1424" t="s">
        <v>168</v>
      </c>
      <c r="L1424" t="s">
        <v>163</v>
      </c>
      <c r="M1424" t="s">
        <v>163</v>
      </c>
      <c r="N1424" t="s">
        <v>163</v>
      </c>
      <c r="O1424" s="4" t="s">
        <v>2191</v>
      </c>
      <c r="P1424">
        <v>0</v>
      </c>
      <c r="Q1424" s="24">
        <v>100.8</v>
      </c>
      <c r="R1424" s="25">
        <v>143</v>
      </c>
      <c r="S1424" s="26">
        <v>86.3</v>
      </c>
    </row>
    <row r="1425" spans="1:19" ht="14.25" x14ac:dyDescent="0.2">
      <c r="A1425" s="12">
        <v>30342</v>
      </c>
      <c r="B1425" s="13">
        <f t="shared" si="311"/>
        <v>28</v>
      </c>
      <c r="C1425" s="15">
        <f t="shared" si="312"/>
        <v>20</v>
      </c>
      <c r="D1425" s="14">
        <f t="shared" si="313"/>
        <v>17</v>
      </c>
      <c r="E1425" t="s">
        <v>2777</v>
      </c>
      <c r="F1425" t="s">
        <v>2835</v>
      </c>
      <c r="G1425" t="s">
        <v>2779</v>
      </c>
      <c r="H1425" t="s">
        <v>2779</v>
      </c>
      <c r="I1425" t="s">
        <v>2780</v>
      </c>
      <c r="J1425" s="4" t="s">
        <v>2844</v>
      </c>
      <c r="K1425" t="s">
        <v>175</v>
      </c>
      <c r="L1425" t="s">
        <v>164</v>
      </c>
      <c r="M1425" t="s">
        <v>163</v>
      </c>
      <c r="N1425" t="s">
        <v>167</v>
      </c>
      <c r="O1425" s="4" t="s">
        <v>2193</v>
      </c>
      <c r="P1425">
        <v>0</v>
      </c>
      <c r="Q1425" s="24">
        <v>100.8</v>
      </c>
      <c r="R1425" s="25">
        <v>143</v>
      </c>
      <c r="S1425" s="26">
        <v>86.3</v>
      </c>
    </row>
    <row r="1426" spans="1:19" ht="14.25" x14ac:dyDescent="0.2">
      <c r="A1426" s="12">
        <v>30343</v>
      </c>
      <c r="B1426" s="13">
        <f t="shared" si="311"/>
        <v>28</v>
      </c>
      <c r="C1426" s="15">
        <f t="shared" si="312"/>
        <v>20</v>
      </c>
      <c r="D1426" s="14">
        <f t="shared" si="313"/>
        <v>17</v>
      </c>
      <c r="E1426" t="s">
        <v>2777</v>
      </c>
      <c r="F1426" t="s">
        <v>2836</v>
      </c>
      <c r="G1426" t="s">
        <v>2779</v>
      </c>
      <c r="H1426" t="s">
        <v>2779</v>
      </c>
      <c r="I1426" t="s">
        <v>2780</v>
      </c>
      <c r="J1426" s="4" t="s">
        <v>2844</v>
      </c>
      <c r="K1426" t="s">
        <v>179</v>
      </c>
      <c r="L1426" t="s">
        <v>163</v>
      </c>
      <c r="M1426" t="s">
        <v>163</v>
      </c>
      <c r="N1426" t="s">
        <v>163</v>
      </c>
      <c r="O1426" s="4" t="s">
        <v>2195</v>
      </c>
      <c r="P1426">
        <v>0</v>
      </c>
      <c r="Q1426" s="24">
        <v>100.8</v>
      </c>
      <c r="R1426" s="25">
        <v>143</v>
      </c>
      <c r="S1426" s="26">
        <v>86.3</v>
      </c>
    </row>
    <row r="1427" spans="1:19" ht="14.25" x14ac:dyDescent="0.2">
      <c r="A1427" s="12">
        <v>30344</v>
      </c>
      <c r="B1427" s="13">
        <f t="shared" si="311"/>
        <v>28</v>
      </c>
      <c r="C1427" s="15">
        <f t="shared" si="312"/>
        <v>20</v>
      </c>
      <c r="D1427" s="14">
        <f t="shared" si="313"/>
        <v>17</v>
      </c>
      <c r="E1427" t="s">
        <v>2777</v>
      </c>
      <c r="F1427" t="s">
        <v>2837</v>
      </c>
      <c r="G1427" t="s">
        <v>2779</v>
      </c>
      <c r="H1427" t="s">
        <v>2779</v>
      </c>
      <c r="I1427" t="s">
        <v>2780</v>
      </c>
      <c r="J1427" s="4" t="s">
        <v>2844</v>
      </c>
      <c r="K1427" t="s">
        <v>177</v>
      </c>
      <c r="L1427" t="s">
        <v>163</v>
      </c>
      <c r="M1427" t="s">
        <v>163</v>
      </c>
      <c r="N1427" t="s">
        <v>163</v>
      </c>
      <c r="O1427" s="4" t="s">
        <v>2195</v>
      </c>
      <c r="P1427">
        <v>0</v>
      </c>
      <c r="Q1427" s="24">
        <v>100.8</v>
      </c>
      <c r="R1427" s="25">
        <v>143</v>
      </c>
      <c r="S1427" s="26">
        <v>86.3</v>
      </c>
    </row>
    <row r="1428" spans="1:19" ht="14.25" x14ac:dyDescent="0.2">
      <c r="A1428" s="12">
        <v>30345</v>
      </c>
      <c r="B1428" s="13">
        <f t="shared" si="311"/>
        <v>28</v>
      </c>
      <c r="C1428" s="15">
        <f t="shared" si="312"/>
        <v>20</v>
      </c>
      <c r="D1428" s="14">
        <f t="shared" si="313"/>
        <v>17</v>
      </c>
      <c r="E1428" t="s">
        <v>2785</v>
      </c>
      <c r="F1428" t="s">
        <v>2786</v>
      </c>
      <c r="G1428" t="s">
        <v>2833</v>
      </c>
      <c r="H1428" t="s">
        <v>2829</v>
      </c>
      <c r="I1428" t="s">
        <v>2697</v>
      </c>
      <c r="J1428" s="4" t="s">
        <v>2882</v>
      </c>
      <c r="K1428" t="s">
        <v>174</v>
      </c>
      <c r="L1428" t="s">
        <v>163</v>
      </c>
      <c r="M1428" t="s">
        <v>163</v>
      </c>
      <c r="N1428" t="s">
        <v>163</v>
      </c>
      <c r="O1428" s="4" t="s">
        <v>2197</v>
      </c>
      <c r="P1428">
        <v>0</v>
      </c>
      <c r="Q1428" s="24">
        <v>100.8</v>
      </c>
      <c r="R1428" s="25">
        <v>143</v>
      </c>
      <c r="S1428" s="26">
        <v>86.3</v>
      </c>
    </row>
    <row r="1429" spans="1:19" ht="14.25" x14ac:dyDescent="0.2">
      <c r="A1429" s="12">
        <v>30346</v>
      </c>
      <c r="B1429" s="13">
        <f t="shared" si="311"/>
        <v>28</v>
      </c>
      <c r="C1429" s="15">
        <f t="shared" si="312"/>
        <v>20</v>
      </c>
      <c r="D1429" s="14">
        <f t="shared" si="313"/>
        <v>17</v>
      </c>
      <c r="E1429" t="s">
        <v>2777</v>
      </c>
      <c r="F1429" t="s">
        <v>2834</v>
      </c>
      <c r="G1429" t="s">
        <v>2779</v>
      </c>
      <c r="H1429" t="s">
        <v>2779</v>
      </c>
      <c r="I1429" t="s">
        <v>2780</v>
      </c>
      <c r="J1429" s="4" t="s">
        <v>2844</v>
      </c>
      <c r="K1429" t="s">
        <v>182</v>
      </c>
      <c r="L1429" t="s">
        <v>163</v>
      </c>
      <c r="M1429" t="s">
        <v>163</v>
      </c>
      <c r="N1429" t="s">
        <v>163</v>
      </c>
      <c r="O1429" s="4" t="s">
        <v>2199</v>
      </c>
      <c r="P1429">
        <v>0</v>
      </c>
      <c r="Q1429" s="24">
        <v>101.2</v>
      </c>
      <c r="R1429" s="25">
        <v>143.5</v>
      </c>
      <c r="S1429" s="26">
        <v>86.5</v>
      </c>
    </row>
    <row r="1430" spans="1:19" ht="14.25" x14ac:dyDescent="0.2">
      <c r="A1430" s="12">
        <v>30347</v>
      </c>
      <c r="B1430" s="13">
        <f t="shared" si="311"/>
        <v>28</v>
      </c>
      <c r="C1430" s="15">
        <f t="shared" si="312"/>
        <v>20</v>
      </c>
      <c r="D1430" s="14">
        <f t="shared" si="313"/>
        <v>17</v>
      </c>
      <c r="E1430" t="s">
        <v>2777</v>
      </c>
      <c r="F1430" t="s">
        <v>2835</v>
      </c>
      <c r="G1430" t="s">
        <v>2779</v>
      </c>
      <c r="H1430" t="s">
        <v>2779</v>
      </c>
      <c r="I1430" t="s">
        <v>2780</v>
      </c>
      <c r="J1430" s="4" t="s">
        <v>2844</v>
      </c>
      <c r="K1430" t="s">
        <v>162</v>
      </c>
      <c r="L1430" t="s">
        <v>163</v>
      </c>
      <c r="M1430" t="s">
        <v>163</v>
      </c>
      <c r="N1430" t="s">
        <v>163</v>
      </c>
      <c r="O1430" s="4" t="s">
        <v>2199</v>
      </c>
      <c r="P1430">
        <v>0</v>
      </c>
      <c r="Q1430" s="24">
        <v>101.2</v>
      </c>
      <c r="R1430" s="25">
        <v>143.5</v>
      </c>
      <c r="S1430" s="26">
        <v>86.5</v>
      </c>
    </row>
    <row r="1431" spans="1:19" ht="14.25" x14ac:dyDescent="0.2">
      <c r="A1431" s="12">
        <v>30348</v>
      </c>
      <c r="B1431" s="13">
        <f t="shared" si="311"/>
        <v>28</v>
      </c>
      <c r="C1431" s="15">
        <f t="shared" si="312"/>
        <v>20</v>
      </c>
      <c r="D1431" s="14">
        <f t="shared" si="313"/>
        <v>17</v>
      </c>
      <c r="E1431" t="s">
        <v>2777</v>
      </c>
      <c r="F1431" t="s">
        <v>2836</v>
      </c>
      <c r="G1431" t="s">
        <v>2779</v>
      </c>
      <c r="H1431" t="s">
        <v>2779</v>
      </c>
      <c r="I1431" t="s">
        <v>2780</v>
      </c>
      <c r="J1431" s="4" t="s">
        <v>2844</v>
      </c>
      <c r="K1431" t="s">
        <v>177</v>
      </c>
      <c r="L1431" t="s">
        <v>163</v>
      </c>
      <c r="M1431" t="s">
        <v>163</v>
      </c>
      <c r="N1431" t="s">
        <v>163</v>
      </c>
      <c r="O1431" s="4" t="s">
        <v>2201</v>
      </c>
      <c r="P1431">
        <v>0</v>
      </c>
      <c r="Q1431" s="24">
        <v>101.2</v>
      </c>
      <c r="R1431" s="25">
        <v>143.5</v>
      </c>
      <c r="S1431" s="26">
        <v>86.5</v>
      </c>
    </row>
    <row r="1432" spans="1:19" ht="14.25" x14ac:dyDescent="0.2">
      <c r="A1432" s="12">
        <v>30349</v>
      </c>
      <c r="B1432" s="13">
        <f t="shared" si="311"/>
        <v>28</v>
      </c>
      <c r="C1432" s="15">
        <f t="shared" si="312"/>
        <v>20</v>
      </c>
      <c r="D1432" s="14">
        <f t="shared" si="313"/>
        <v>17</v>
      </c>
      <c r="E1432" t="s">
        <v>2777</v>
      </c>
      <c r="F1432" t="s">
        <v>2837</v>
      </c>
      <c r="G1432" t="s">
        <v>2779</v>
      </c>
      <c r="H1432" t="s">
        <v>2779</v>
      </c>
      <c r="I1432" t="s">
        <v>2780</v>
      </c>
      <c r="J1432" s="4" t="s">
        <v>2844</v>
      </c>
      <c r="K1432" t="s">
        <v>174</v>
      </c>
      <c r="L1432" t="s">
        <v>163</v>
      </c>
      <c r="M1432" t="s">
        <v>163</v>
      </c>
      <c r="N1432" t="s">
        <v>163</v>
      </c>
      <c r="O1432" s="4" t="s">
        <v>2203</v>
      </c>
      <c r="P1432">
        <v>0</v>
      </c>
      <c r="Q1432" s="24">
        <v>101.2</v>
      </c>
      <c r="R1432" s="25">
        <v>143.5</v>
      </c>
      <c r="S1432" s="26">
        <v>86.5</v>
      </c>
    </row>
    <row r="1433" spans="1:19" ht="14.25" x14ac:dyDescent="0.2">
      <c r="A1433" s="12">
        <v>30350</v>
      </c>
      <c r="B1433" s="13">
        <f t="shared" si="311"/>
        <v>28</v>
      </c>
      <c r="C1433" s="15">
        <f t="shared" si="312"/>
        <v>20</v>
      </c>
      <c r="D1433" s="14">
        <f t="shared" si="313"/>
        <v>17</v>
      </c>
      <c r="E1433" t="s">
        <v>2785</v>
      </c>
      <c r="F1433" t="s">
        <v>2786</v>
      </c>
      <c r="G1433" t="s">
        <v>2828</v>
      </c>
      <c r="H1433" t="s">
        <v>2829</v>
      </c>
      <c r="I1433" t="s">
        <v>2697</v>
      </c>
      <c r="J1433" s="4" t="s">
        <v>2882</v>
      </c>
      <c r="K1433" t="s">
        <v>166</v>
      </c>
      <c r="L1433" t="s">
        <v>163</v>
      </c>
      <c r="M1433" t="s">
        <v>163</v>
      </c>
      <c r="N1433" t="s">
        <v>163</v>
      </c>
      <c r="O1433" s="4" t="s">
        <v>2203</v>
      </c>
      <c r="P1433">
        <v>0</v>
      </c>
      <c r="Q1433" s="24">
        <v>101.2</v>
      </c>
      <c r="R1433" s="25">
        <v>143.5</v>
      </c>
      <c r="S1433" s="26">
        <v>86.5</v>
      </c>
    </row>
    <row r="1434" spans="1:19" ht="14.25" x14ac:dyDescent="0.2">
      <c r="A1434" s="12">
        <v>30401</v>
      </c>
      <c r="B1434" s="13">
        <f t="shared" si="311"/>
        <v>28</v>
      </c>
      <c r="C1434" s="15">
        <f t="shared" si="312"/>
        <v>20</v>
      </c>
      <c r="D1434" s="14">
        <f t="shared" si="313"/>
        <v>17</v>
      </c>
      <c r="E1434" t="s">
        <v>2777</v>
      </c>
      <c r="F1434" t="s">
        <v>2834</v>
      </c>
      <c r="G1434" t="s">
        <v>2779</v>
      </c>
      <c r="H1434" t="s">
        <v>2779</v>
      </c>
      <c r="I1434" t="s">
        <v>2780</v>
      </c>
      <c r="J1434" s="4" t="s">
        <v>2844</v>
      </c>
      <c r="K1434" t="s">
        <v>168</v>
      </c>
      <c r="L1434" t="s">
        <v>163</v>
      </c>
      <c r="M1434" t="s">
        <v>163</v>
      </c>
      <c r="N1434" t="s">
        <v>163</v>
      </c>
      <c r="O1434" s="4" t="s">
        <v>2205</v>
      </c>
      <c r="P1434">
        <v>0</v>
      </c>
      <c r="Q1434" s="24">
        <v>101.5</v>
      </c>
      <c r="R1434" s="25">
        <v>144</v>
      </c>
      <c r="S1434" s="26">
        <v>86.8</v>
      </c>
    </row>
    <row r="1435" spans="1:19" ht="14.25" x14ac:dyDescent="0.2">
      <c r="A1435" s="12">
        <v>30402</v>
      </c>
      <c r="B1435" s="13">
        <f t="shared" si="311"/>
        <v>28</v>
      </c>
      <c r="C1435" s="15">
        <f t="shared" si="312"/>
        <v>20</v>
      </c>
      <c r="D1435" s="14">
        <f t="shared" si="313"/>
        <v>17</v>
      </c>
      <c r="E1435" t="s">
        <v>2777</v>
      </c>
      <c r="F1435" t="s">
        <v>2835</v>
      </c>
      <c r="G1435" t="s">
        <v>2779</v>
      </c>
      <c r="H1435" t="s">
        <v>2779</v>
      </c>
      <c r="I1435" t="s">
        <v>2780</v>
      </c>
      <c r="J1435" s="4" t="s">
        <v>2844</v>
      </c>
      <c r="K1435" t="s">
        <v>175</v>
      </c>
      <c r="L1435" t="s">
        <v>164</v>
      </c>
      <c r="M1435" t="s">
        <v>163</v>
      </c>
      <c r="N1435" t="s">
        <v>167</v>
      </c>
      <c r="O1435" s="4" t="s">
        <v>2207</v>
      </c>
      <c r="P1435">
        <v>0</v>
      </c>
      <c r="Q1435" s="24">
        <v>101.5</v>
      </c>
      <c r="R1435" s="25">
        <v>144</v>
      </c>
      <c r="S1435" s="26">
        <v>86.8</v>
      </c>
    </row>
    <row r="1436" spans="1:19" ht="14.25" x14ac:dyDescent="0.2">
      <c r="A1436" s="12">
        <v>30403</v>
      </c>
      <c r="B1436" s="13">
        <f t="shared" si="311"/>
        <v>28</v>
      </c>
      <c r="C1436" s="15">
        <f t="shared" si="312"/>
        <v>20</v>
      </c>
      <c r="D1436" s="14">
        <f t="shared" si="313"/>
        <v>17</v>
      </c>
      <c r="E1436" t="s">
        <v>2777</v>
      </c>
      <c r="F1436" t="s">
        <v>2836</v>
      </c>
      <c r="G1436" t="s">
        <v>2779</v>
      </c>
      <c r="H1436" t="s">
        <v>2779</v>
      </c>
      <c r="I1436" t="s">
        <v>2780</v>
      </c>
      <c r="J1436" s="4" t="s">
        <v>2844</v>
      </c>
      <c r="K1436" t="s">
        <v>179</v>
      </c>
      <c r="L1436" t="s">
        <v>163</v>
      </c>
      <c r="M1436" t="s">
        <v>163</v>
      </c>
      <c r="N1436" t="s">
        <v>163</v>
      </c>
      <c r="O1436" s="4" t="s">
        <v>2209</v>
      </c>
      <c r="P1436">
        <v>0</v>
      </c>
      <c r="Q1436" s="24">
        <v>101.5</v>
      </c>
      <c r="R1436" s="25">
        <v>144</v>
      </c>
      <c r="S1436" s="26">
        <v>86.8</v>
      </c>
    </row>
    <row r="1437" spans="1:19" ht="14.25" x14ac:dyDescent="0.2">
      <c r="A1437" s="12">
        <v>30404</v>
      </c>
      <c r="B1437" s="13">
        <f t="shared" si="311"/>
        <v>28</v>
      </c>
      <c r="C1437" s="15">
        <f t="shared" si="312"/>
        <v>20</v>
      </c>
      <c r="D1437" s="14">
        <f t="shared" si="313"/>
        <v>17</v>
      </c>
      <c r="E1437" t="s">
        <v>2777</v>
      </c>
      <c r="F1437" t="s">
        <v>2837</v>
      </c>
      <c r="G1437" t="s">
        <v>2779</v>
      </c>
      <c r="H1437" t="s">
        <v>2779</v>
      </c>
      <c r="I1437" t="s">
        <v>2780</v>
      </c>
      <c r="J1437" s="4" t="s">
        <v>2844</v>
      </c>
      <c r="K1437" t="s">
        <v>177</v>
      </c>
      <c r="L1437" t="s">
        <v>163</v>
      </c>
      <c r="M1437" t="s">
        <v>163</v>
      </c>
      <c r="N1437" t="s">
        <v>163</v>
      </c>
      <c r="O1437" s="4" t="s">
        <v>2209</v>
      </c>
      <c r="P1437">
        <v>0</v>
      </c>
      <c r="Q1437" s="24">
        <v>101.5</v>
      </c>
      <c r="R1437" s="25">
        <v>144</v>
      </c>
      <c r="S1437" s="26">
        <v>86.8</v>
      </c>
    </row>
    <row r="1438" spans="1:19" ht="14.25" x14ac:dyDescent="0.2">
      <c r="A1438" s="12">
        <v>30405</v>
      </c>
      <c r="B1438" s="13">
        <f t="shared" si="311"/>
        <v>28</v>
      </c>
      <c r="C1438" s="15">
        <f t="shared" si="312"/>
        <v>20</v>
      </c>
      <c r="D1438" s="14">
        <f t="shared" si="313"/>
        <v>17</v>
      </c>
      <c r="E1438" t="s">
        <v>2785</v>
      </c>
      <c r="F1438" t="s">
        <v>2786</v>
      </c>
      <c r="G1438" t="s">
        <v>2830</v>
      </c>
      <c r="H1438" t="s">
        <v>2829</v>
      </c>
      <c r="I1438" t="s">
        <v>2697</v>
      </c>
      <c r="J1438" s="4" t="s">
        <v>2864</v>
      </c>
      <c r="K1438" t="s">
        <v>174</v>
      </c>
      <c r="L1438" t="s">
        <v>163</v>
      </c>
      <c r="M1438" t="s">
        <v>163</v>
      </c>
      <c r="N1438" t="s">
        <v>163</v>
      </c>
      <c r="O1438" s="4" t="s">
        <v>2211</v>
      </c>
      <c r="P1438">
        <v>0</v>
      </c>
      <c r="Q1438" s="24">
        <v>101.5</v>
      </c>
      <c r="R1438" s="25">
        <v>144</v>
      </c>
      <c r="S1438" s="26">
        <v>86.8</v>
      </c>
    </row>
    <row r="1439" spans="1:19" ht="14.25" x14ac:dyDescent="0.2">
      <c r="A1439" s="12">
        <v>30406</v>
      </c>
      <c r="B1439" s="13">
        <f t="shared" si="311"/>
        <v>28</v>
      </c>
      <c r="C1439" s="15">
        <f t="shared" si="312"/>
        <v>20</v>
      </c>
      <c r="D1439" s="14">
        <f t="shared" si="313"/>
        <v>17</v>
      </c>
      <c r="E1439" t="s">
        <v>2777</v>
      </c>
      <c r="F1439" t="s">
        <v>2834</v>
      </c>
      <c r="G1439" t="s">
        <v>2779</v>
      </c>
      <c r="H1439" t="s">
        <v>2779</v>
      </c>
      <c r="I1439" t="s">
        <v>2780</v>
      </c>
      <c r="J1439" s="4" t="s">
        <v>2844</v>
      </c>
      <c r="K1439" t="s">
        <v>182</v>
      </c>
      <c r="L1439" t="s">
        <v>163</v>
      </c>
      <c r="M1439" t="s">
        <v>163</v>
      </c>
      <c r="N1439" t="s">
        <v>163</v>
      </c>
      <c r="O1439" s="4" t="s">
        <v>2213</v>
      </c>
      <c r="P1439">
        <v>0</v>
      </c>
      <c r="Q1439" s="24">
        <v>101.8</v>
      </c>
      <c r="R1439" s="25">
        <v>144.5</v>
      </c>
      <c r="S1439" s="26">
        <v>87</v>
      </c>
    </row>
    <row r="1440" spans="1:19" ht="14.25" x14ac:dyDescent="0.2">
      <c r="A1440" s="12">
        <v>30407</v>
      </c>
      <c r="B1440" s="13">
        <f t="shared" si="311"/>
        <v>28</v>
      </c>
      <c r="C1440" s="15">
        <f t="shared" si="312"/>
        <v>20</v>
      </c>
      <c r="D1440" s="14">
        <f t="shared" si="313"/>
        <v>17</v>
      </c>
      <c r="E1440" t="s">
        <v>2777</v>
      </c>
      <c r="F1440" t="s">
        <v>2835</v>
      </c>
      <c r="G1440" t="s">
        <v>2779</v>
      </c>
      <c r="H1440" t="s">
        <v>2779</v>
      </c>
      <c r="I1440" t="s">
        <v>2780</v>
      </c>
      <c r="J1440" s="4" t="s">
        <v>2844</v>
      </c>
      <c r="K1440" t="s">
        <v>162</v>
      </c>
      <c r="L1440" t="s">
        <v>163</v>
      </c>
      <c r="M1440" t="s">
        <v>163</v>
      </c>
      <c r="N1440" t="s">
        <v>163</v>
      </c>
      <c r="O1440" s="4" t="s">
        <v>2213</v>
      </c>
      <c r="P1440">
        <v>0</v>
      </c>
      <c r="Q1440" s="24">
        <v>101.8</v>
      </c>
      <c r="R1440" s="25">
        <v>144.5</v>
      </c>
      <c r="S1440" s="26">
        <v>87</v>
      </c>
    </row>
    <row r="1441" spans="1:19" ht="14.25" x14ac:dyDescent="0.2">
      <c r="A1441" s="12">
        <v>30408</v>
      </c>
      <c r="B1441" s="13">
        <f t="shared" si="311"/>
        <v>28</v>
      </c>
      <c r="C1441" s="15">
        <f t="shared" si="312"/>
        <v>20</v>
      </c>
      <c r="D1441" s="14">
        <f t="shared" si="313"/>
        <v>17</v>
      </c>
      <c r="E1441" t="s">
        <v>2777</v>
      </c>
      <c r="F1441" t="s">
        <v>2836</v>
      </c>
      <c r="G1441" t="s">
        <v>2779</v>
      </c>
      <c r="H1441" t="s">
        <v>2779</v>
      </c>
      <c r="I1441" t="s">
        <v>2780</v>
      </c>
      <c r="J1441" s="4" t="s">
        <v>2844</v>
      </c>
      <c r="K1441" t="s">
        <v>177</v>
      </c>
      <c r="L1441" t="s">
        <v>163</v>
      </c>
      <c r="M1441" t="s">
        <v>163</v>
      </c>
      <c r="N1441" t="s">
        <v>163</v>
      </c>
      <c r="O1441" s="4" t="s">
        <v>2215</v>
      </c>
      <c r="P1441">
        <v>0</v>
      </c>
      <c r="Q1441" s="24">
        <v>101.8</v>
      </c>
      <c r="R1441" s="25">
        <v>144.5</v>
      </c>
      <c r="S1441" s="26">
        <v>87</v>
      </c>
    </row>
    <row r="1442" spans="1:19" ht="14.25" x14ac:dyDescent="0.2">
      <c r="A1442" s="12">
        <v>30409</v>
      </c>
      <c r="B1442" s="13">
        <f t="shared" si="311"/>
        <v>28</v>
      </c>
      <c r="C1442" s="15">
        <f t="shared" si="312"/>
        <v>20</v>
      </c>
      <c r="D1442" s="14">
        <f t="shared" si="313"/>
        <v>17</v>
      </c>
      <c r="E1442" t="s">
        <v>2777</v>
      </c>
      <c r="F1442" t="s">
        <v>2837</v>
      </c>
      <c r="G1442" t="s">
        <v>2779</v>
      </c>
      <c r="H1442" t="s">
        <v>2779</v>
      </c>
      <c r="I1442" t="s">
        <v>2780</v>
      </c>
      <c r="J1442" s="4" t="s">
        <v>2844</v>
      </c>
      <c r="K1442" t="s">
        <v>174</v>
      </c>
      <c r="L1442" t="s">
        <v>163</v>
      </c>
      <c r="M1442" t="s">
        <v>163</v>
      </c>
      <c r="N1442" t="s">
        <v>163</v>
      </c>
      <c r="O1442" s="4" t="s">
        <v>2217</v>
      </c>
      <c r="P1442">
        <v>0</v>
      </c>
      <c r="Q1442" s="24">
        <v>101.8</v>
      </c>
      <c r="R1442" s="25">
        <v>144.5</v>
      </c>
      <c r="S1442" s="26">
        <v>87</v>
      </c>
    </row>
    <row r="1443" spans="1:19" ht="14.25" x14ac:dyDescent="0.2">
      <c r="A1443" s="12">
        <v>30410</v>
      </c>
      <c r="B1443" s="13">
        <f t="shared" si="311"/>
        <v>28</v>
      </c>
      <c r="C1443" s="15">
        <f t="shared" si="312"/>
        <v>20</v>
      </c>
      <c r="D1443" s="14">
        <f t="shared" si="313"/>
        <v>17</v>
      </c>
      <c r="E1443" t="s">
        <v>2785</v>
      </c>
      <c r="F1443" t="s">
        <v>2786</v>
      </c>
      <c r="G1443" t="s">
        <v>2831</v>
      </c>
      <c r="H1443" t="s">
        <v>2829</v>
      </c>
      <c r="I1443" t="s">
        <v>2697</v>
      </c>
      <c r="J1443" s="4" t="s">
        <v>2864</v>
      </c>
      <c r="K1443" t="s">
        <v>166</v>
      </c>
      <c r="L1443" t="s">
        <v>163</v>
      </c>
      <c r="M1443" t="s">
        <v>163</v>
      </c>
      <c r="N1443" t="s">
        <v>163</v>
      </c>
      <c r="O1443" s="4" t="s">
        <v>2217</v>
      </c>
      <c r="P1443">
        <v>0</v>
      </c>
      <c r="Q1443" s="24">
        <v>101.8</v>
      </c>
      <c r="R1443" s="25">
        <v>144.5</v>
      </c>
      <c r="S1443" s="26">
        <v>87</v>
      </c>
    </row>
    <row r="1444" spans="1:19" ht="14.25" x14ac:dyDescent="0.2">
      <c r="A1444" s="12">
        <v>30411</v>
      </c>
      <c r="B1444" s="13">
        <f t="shared" si="311"/>
        <v>28</v>
      </c>
      <c r="C1444" s="15">
        <f t="shared" si="312"/>
        <v>20</v>
      </c>
      <c r="D1444" s="14">
        <f t="shared" si="313"/>
        <v>17</v>
      </c>
      <c r="E1444" t="s">
        <v>2777</v>
      </c>
      <c r="F1444" t="s">
        <v>2834</v>
      </c>
      <c r="G1444" t="s">
        <v>2779</v>
      </c>
      <c r="H1444" t="s">
        <v>2779</v>
      </c>
      <c r="I1444" t="s">
        <v>2780</v>
      </c>
      <c r="J1444" s="4" t="s">
        <v>2844</v>
      </c>
      <c r="K1444" t="s">
        <v>168</v>
      </c>
      <c r="L1444" t="s">
        <v>163</v>
      </c>
      <c r="M1444" t="s">
        <v>163</v>
      </c>
      <c r="N1444" t="s">
        <v>163</v>
      </c>
      <c r="O1444" s="4" t="s">
        <v>2219</v>
      </c>
      <c r="P1444">
        <v>0</v>
      </c>
      <c r="Q1444" s="24">
        <v>102.2</v>
      </c>
      <c r="R1444" s="25">
        <v>145</v>
      </c>
      <c r="S1444" s="26">
        <v>87.3</v>
      </c>
    </row>
    <row r="1445" spans="1:19" ht="14.25" x14ac:dyDescent="0.2">
      <c r="A1445" s="12">
        <v>30412</v>
      </c>
      <c r="B1445" s="13">
        <f t="shared" si="311"/>
        <v>28</v>
      </c>
      <c r="C1445" s="15">
        <f t="shared" si="312"/>
        <v>20</v>
      </c>
      <c r="D1445" s="14">
        <f t="shared" si="313"/>
        <v>17</v>
      </c>
      <c r="E1445" t="s">
        <v>2777</v>
      </c>
      <c r="F1445" t="s">
        <v>2835</v>
      </c>
      <c r="G1445" t="s">
        <v>2779</v>
      </c>
      <c r="H1445" t="s">
        <v>2779</v>
      </c>
      <c r="I1445" t="s">
        <v>2780</v>
      </c>
      <c r="J1445" s="4" t="s">
        <v>2844</v>
      </c>
      <c r="K1445" t="s">
        <v>175</v>
      </c>
      <c r="L1445" t="s">
        <v>164</v>
      </c>
      <c r="M1445" t="s">
        <v>163</v>
      </c>
      <c r="N1445" t="s">
        <v>167</v>
      </c>
      <c r="O1445" s="4" t="s">
        <v>2221</v>
      </c>
      <c r="P1445">
        <v>0</v>
      </c>
      <c r="Q1445" s="24">
        <v>102.2</v>
      </c>
      <c r="R1445" s="25">
        <v>145</v>
      </c>
      <c r="S1445" s="26">
        <v>87.3</v>
      </c>
    </row>
    <row r="1446" spans="1:19" ht="14.25" x14ac:dyDescent="0.2">
      <c r="A1446" s="12">
        <v>30413</v>
      </c>
      <c r="B1446" s="13">
        <f t="shared" si="311"/>
        <v>29</v>
      </c>
      <c r="C1446" s="15">
        <f t="shared" si="312"/>
        <v>20</v>
      </c>
      <c r="D1446" s="14">
        <f t="shared" si="313"/>
        <v>17</v>
      </c>
      <c r="E1446" t="s">
        <v>2777</v>
      </c>
      <c r="F1446" t="s">
        <v>2836</v>
      </c>
      <c r="G1446" t="s">
        <v>2779</v>
      </c>
      <c r="H1446" t="s">
        <v>2779</v>
      </c>
      <c r="I1446" t="s">
        <v>2780</v>
      </c>
      <c r="J1446" s="4" t="s">
        <v>2844</v>
      </c>
      <c r="K1446" t="s">
        <v>179</v>
      </c>
      <c r="L1446" t="s">
        <v>163</v>
      </c>
      <c r="M1446" t="s">
        <v>163</v>
      </c>
      <c r="N1446" t="s">
        <v>163</v>
      </c>
      <c r="O1446" s="4" t="s">
        <v>2223</v>
      </c>
      <c r="P1446">
        <v>0</v>
      </c>
      <c r="Q1446" s="24">
        <v>102.2</v>
      </c>
      <c r="R1446" s="25">
        <v>145</v>
      </c>
      <c r="S1446" s="26">
        <v>87.3</v>
      </c>
    </row>
    <row r="1447" spans="1:19" ht="14.25" x14ac:dyDescent="0.2">
      <c r="A1447" s="12">
        <v>30414</v>
      </c>
      <c r="B1447" s="13">
        <f t="shared" si="311"/>
        <v>29</v>
      </c>
      <c r="C1447" s="15">
        <f t="shared" si="312"/>
        <v>20</v>
      </c>
      <c r="D1447" s="14">
        <f t="shared" si="313"/>
        <v>17</v>
      </c>
      <c r="E1447" t="s">
        <v>2777</v>
      </c>
      <c r="F1447" t="s">
        <v>2837</v>
      </c>
      <c r="G1447" t="s">
        <v>2779</v>
      </c>
      <c r="H1447" t="s">
        <v>2779</v>
      </c>
      <c r="I1447" t="s">
        <v>2780</v>
      </c>
      <c r="J1447" s="4" t="s">
        <v>2844</v>
      </c>
      <c r="K1447" t="s">
        <v>177</v>
      </c>
      <c r="L1447" t="s">
        <v>163</v>
      </c>
      <c r="M1447" t="s">
        <v>163</v>
      </c>
      <c r="N1447" t="s">
        <v>163</v>
      </c>
      <c r="O1447" s="4" t="s">
        <v>2223</v>
      </c>
      <c r="P1447">
        <v>0</v>
      </c>
      <c r="Q1447" s="24">
        <v>102.2</v>
      </c>
      <c r="R1447" s="25">
        <v>145</v>
      </c>
      <c r="S1447" s="26">
        <v>87.3</v>
      </c>
    </row>
    <row r="1448" spans="1:19" ht="14.25" x14ac:dyDescent="0.2">
      <c r="A1448" s="12">
        <v>30415</v>
      </c>
      <c r="B1448" s="13">
        <f t="shared" si="311"/>
        <v>29</v>
      </c>
      <c r="C1448" s="15">
        <f t="shared" si="312"/>
        <v>20</v>
      </c>
      <c r="D1448" s="14">
        <f t="shared" si="313"/>
        <v>17</v>
      </c>
      <c r="E1448" t="s">
        <v>2785</v>
      </c>
      <c r="F1448" t="s">
        <v>2786</v>
      </c>
      <c r="G1448" t="s">
        <v>2832</v>
      </c>
      <c r="H1448" t="s">
        <v>2829</v>
      </c>
      <c r="I1448" t="s">
        <v>2697</v>
      </c>
      <c r="J1448" s="4" t="s">
        <v>2864</v>
      </c>
      <c r="K1448" t="s">
        <v>174</v>
      </c>
      <c r="L1448" t="s">
        <v>163</v>
      </c>
      <c r="M1448" t="s">
        <v>163</v>
      </c>
      <c r="N1448" t="s">
        <v>163</v>
      </c>
      <c r="O1448" s="4" t="s">
        <v>2225</v>
      </c>
      <c r="P1448">
        <v>0</v>
      </c>
      <c r="Q1448" s="24">
        <v>102.2</v>
      </c>
      <c r="R1448" s="25">
        <v>145</v>
      </c>
      <c r="S1448" s="26">
        <v>87.3</v>
      </c>
    </row>
    <row r="1449" spans="1:19" ht="14.25" x14ac:dyDescent="0.2">
      <c r="A1449" s="12">
        <v>30416</v>
      </c>
      <c r="B1449" s="13">
        <f t="shared" si="311"/>
        <v>29</v>
      </c>
      <c r="C1449" s="15">
        <f t="shared" si="312"/>
        <v>20</v>
      </c>
      <c r="D1449" s="14">
        <f t="shared" si="313"/>
        <v>17</v>
      </c>
      <c r="E1449" t="s">
        <v>2777</v>
      </c>
      <c r="F1449" t="s">
        <v>2834</v>
      </c>
      <c r="G1449" t="s">
        <v>2779</v>
      </c>
      <c r="H1449" t="s">
        <v>2779</v>
      </c>
      <c r="I1449" t="s">
        <v>2780</v>
      </c>
      <c r="J1449" s="4" t="s">
        <v>2844</v>
      </c>
      <c r="K1449" t="s">
        <v>182</v>
      </c>
      <c r="L1449" t="s">
        <v>163</v>
      </c>
      <c r="M1449" t="s">
        <v>163</v>
      </c>
      <c r="N1449" t="s">
        <v>163</v>
      </c>
      <c r="O1449" s="4" t="s">
        <v>2227</v>
      </c>
      <c r="P1449">
        <v>0</v>
      </c>
      <c r="Q1449" s="24">
        <v>102.5</v>
      </c>
      <c r="R1449" s="25">
        <v>145.5</v>
      </c>
      <c r="S1449" s="26">
        <v>87.5</v>
      </c>
    </row>
    <row r="1450" spans="1:19" ht="14.25" x14ac:dyDescent="0.2">
      <c r="A1450" s="12">
        <v>30417</v>
      </c>
      <c r="B1450" s="13">
        <f t="shared" si="311"/>
        <v>29</v>
      </c>
      <c r="C1450" s="15">
        <f t="shared" si="312"/>
        <v>20</v>
      </c>
      <c r="D1450" s="14">
        <f t="shared" si="313"/>
        <v>17</v>
      </c>
      <c r="E1450" t="s">
        <v>2777</v>
      </c>
      <c r="F1450" t="s">
        <v>2835</v>
      </c>
      <c r="G1450" t="s">
        <v>2779</v>
      </c>
      <c r="H1450" t="s">
        <v>2779</v>
      </c>
      <c r="I1450" t="s">
        <v>2780</v>
      </c>
      <c r="J1450" s="4" t="s">
        <v>2844</v>
      </c>
      <c r="K1450" t="s">
        <v>162</v>
      </c>
      <c r="L1450" t="s">
        <v>163</v>
      </c>
      <c r="M1450" t="s">
        <v>163</v>
      </c>
      <c r="N1450" t="s">
        <v>163</v>
      </c>
      <c r="O1450" s="4" t="s">
        <v>2227</v>
      </c>
      <c r="P1450">
        <v>0</v>
      </c>
      <c r="Q1450" s="24">
        <v>102.5</v>
      </c>
      <c r="R1450" s="25">
        <v>145.5</v>
      </c>
      <c r="S1450" s="26">
        <v>87.5</v>
      </c>
    </row>
    <row r="1451" spans="1:19" ht="14.25" x14ac:dyDescent="0.2">
      <c r="A1451" s="12">
        <v>30418</v>
      </c>
      <c r="B1451" s="13">
        <f t="shared" si="311"/>
        <v>29</v>
      </c>
      <c r="C1451" s="15">
        <f t="shared" si="312"/>
        <v>20</v>
      </c>
      <c r="D1451" s="14">
        <f t="shared" si="313"/>
        <v>17</v>
      </c>
      <c r="E1451" t="s">
        <v>2777</v>
      </c>
      <c r="F1451" t="s">
        <v>2836</v>
      </c>
      <c r="G1451" t="s">
        <v>2779</v>
      </c>
      <c r="H1451" t="s">
        <v>2779</v>
      </c>
      <c r="I1451" t="s">
        <v>2780</v>
      </c>
      <c r="J1451" s="4" t="s">
        <v>2844</v>
      </c>
      <c r="K1451" t="s">
        <v>177</v>
      </c>
      <c r="L1451" t="s">
        <v>163</v>
      </c>
      <c r="M1451" t="s">
        <v>163</v>
      </c>
      <c r="N1451" t="s">
        <v>163</v>
      </c>
      <c r="O1451" s="4" t="s">
        <v>2229</v>
      </c>
      <c r="P1451">
        <v>0</v>
      </c>
      <c r="Q1451" s="24">
        <v>102.5</v>
      </c>
      <c r="R1451" s="25">
        <v>145.5</v>
      </c>
      <c r="S1451" s="26">
        <v>87.5</v>
      </c>
    </row>
    <row r="1452" spans="1:19" ht="14.25" x14ac:dyDescent="0.2">
      <c r="A1452" s="12">
        <v>30419</v>
      </c>
      <c r="B1452" s="13">
        <f t="shared" si="311"/>
        <v>29</v>
      </c>
      <c r="C1452" s="15">
        <f t="shared" si="312"/>
        <v>20</v>
      </c>
      <c r="D1452" s="14">
        <f t="shared" si="313"/>
        <v>17</v>
      </c>
      <c r="E1452" t="s">
        <v>2777</v>
      </c>
      <c r="F1452" t="s">
        <v>2837</v>
      </c>
      <c r="G1452" t="s">
        <v>2779</v>
      </c>
      <c r="H1452" t="s">
        <v>2779</v>
      </c>
      <c r="I1452" t="s">
        <v>2780</v>
      </c>
      <c r="J1452" s="4" t="s">
        <v>2844</v>
      </c>
      <c r="K1452" t="s">
        <v>174</v>
      </c>
      <c r="L1452" t="s">
        <v>163</v>
      </c>
      <c r="M1452" t="s">
        <v>163</v>
      </c>
      <c r="N1452" t="s">
        <v>163</v>
      </c>
      <c r="O1452" s="4" t="s">
        <v>2231</v>
      </c>
      <c r="P1452">
        <v>0</v>
      </c>
      <c r="Q1452" s="24">
        <v>102.5</v>
      </c>
      <c r="R1452" s="25">
        <v>145.5</v>
      </c>
      <c r="S1452" s="26">
        <v>87.5</v>
      </c>
    </row>
    <row r="1453" spans="1:19" ht="14.25" x14ac:dyDescent="0.2">
      <c r="A1453" s="12">
        <v>30420</v>
      </c>
      <c r="B1453" s="13">
        <f t="shared" si="311"/>
        <v>29</v>
      </c>
      <c r="C1453" s="15">
        <f t="shared" si="312"/>
        <v>20</v>
      </c>
      <c r="D1453" s="14">
        <f t="shared" si="313"/>
        <v>17</v>
      </c>
      <c r="E1453" t="s">
        <v>2785</v>
      </c>
      <c r="F1453" t="s">
        <v>2786</v>
      </c>
      <c r="G1453" t="s">
        <v>2833</v>
      </c>
      <c r="H1453" t="s">
        <v>2829</v>
      </c>
      <c r="I1453" t="s">
        <v>2697</v>
      </c>
      <c r="J1453" s="4" t="s">
        <v>2882</v>
      </c>
      <c r="K1453" t="s">
        <v>166</v>
      </c>
      <c r="L1453" t="s">
        <v>163</v>
      </c>
      <c r="M1453" t="s">
        <v>163</v>
      </c>
      <c r="N1453" t="s">
        <v>163</v>
      </c>
      <c r="O1453" s="4" t="s">
        <v>2231</v>
      </c>
      <c r="P1453">
        <v>0</v>
      </c>
      <c r="Q1453" s="24">
        <v>102.5</v>
      </c>
      <c r="R1453" s="25">
        <v>145.5</v>
      </c>
      <c r="S1453" s="26">
        <v>87.5</v>
      </c>
    </row>
    <row r="1454" spans="1:19" ht="14.25" x14ac:dyDescent="0.2">
      <c r="A1454" s="12">
        <v>30421</v>
      </c>
      <c r="B1454" s="13">
        <f t="shared" si="311"/>
        <v>29</v>
      </c>
      <c r="C1454" s="15">
        <f t="shared" si="312"/>
        <v>20</v>
      </c>
      <c r="D1454" s="14">
        <f t="shared" si="313"/>
        <v>17</v>
      </c>
      <c r="E1454" t="s">
        <v>2777</v>
      </c>
      <c r="F1454" t="s">
        <v>2834</v>
      </c>
      <c r="G1454" t="s">
        <v>2779</v>
      </c>
      <c r="H1454" t="s">
        <v>2779</v>
      </c>
      <c r="I1454" t="s">
        <v>2780</v>
      </c>
      <c r="J1454" s="4" t="s">
        <v>2844</v>
      </c>
      <c r="K1454" t="s">
        <v>168</v>
      </c>
      <c r="L1454" t="s">
        <v>163</v>
      </c>
      <c r="M1454" t="s">
        <v>163</v>
      </c>
      <c r="N1454" t="s">
        <v>163</v>
      </c>
      <c r="O1454" s="4" t="s">
        <v>2233</v>
      </c>
      <c r="P1454">
        <v>0</v>
      </c>
      <c r="Q1454" s="24">
        <v>102.8</v>
      </c>
      <c r="R1454" s="25">
        <v>146</v>
      </c>
      <c r="S1454" s="26">
        <v>87.8</v>
      </c>
    </row>
    <row r="1455" spans="1:19" ht="14.25" x14ac:dyDescent="0.2">
      <c r="A1455" s="12">
        <v>30422</v>
      </c>
      <c r="B1455" s="13">
        <f t="shared" si="311"/>
        <v>29</v>
      </c>
      <c r="C1455" s="15">
        <f t="shared" si="312"/>
        <v>20</v>
      </c>
      <c r="D1455" s="14">
        <f t="shared" si="313"/>
        <v>17</v>
      </c>
      <c r="E1455" t="s">
        <v>2777</v>
      </c>
      <c r="F1455" t="s">
        <v>2835</v>
      </c>
      <c r="G1455" t="s">
        <v>2779</v>
      </c>
      <c r="H1455" t="s">
        <v>2779</v>
      </c>
      <c r="I1455" t="s">
        <v>2780</v>
      </c>
      <c r="J1455" s="4" t="s">
        <v>2844</v>
      </c>
      <c r="K1455" t="s">
        <v>175</v>
      </c>
      <c r="L1455" t="s">
        <v>164</v>
      </c>
      <c r="M1455" t="s">
        <v>163</v>
      </c>
      <c r="N1455" t="s">
        <v>167</v>
      </c>
      <c r="O1455" s="4" t="s">
        <v>2235</v>
      </c>
      <c r="P1455">
        <v>0</v>
      </c>
      <c r="Q1455" s="24">
        <v>102.8</v>
      </c>
      <c r="R1455" s="25">
        <v>146</v>
      </c>
      <c r="S1455" s="26">
        <v>87.8</v>
      </c>
    </row>
    <row r="1456" spans="1:19" ht="14.25" x14ac:dyDescent="0.2">
      <c r="A1456" s="12">
        <v>30423</v>
      </c>
      <c r="B1456" s="13">
        <f t="shared" si="311"/>
        <v>29</v>
      </c>
      <c r="C1456" s="15">
        <f t="shared" si="312"/>
        <v>20</v>
      </c>
      <c r="D1456" s="14">
        <f t="shared" si="313"/>
        <v>17</v>
      </c>
      <c r="E1456" t="s">
        <v>2777</v>
      </c>
      <c r="F1456" t="s">
        <v>2836</v>
      </c>
      <c r="G1456" t="s">
        <v>2779</v>
      </c>
      <c r="H1456" t="s">
        <v>2779</v>
      </c>
      <c r="I1456" t="s">
        <v>2780</v>
      </c>
      <c r="J1456" s="4" t="s">
        <v>2844</v>
      </c>
      <c r="K1456" t="s">
        <v>179</v>
      </c>
      <c r="L1456" t="s">
        <v>163</v>
      </c>
      <c r="M1456" t="s">
        <v>163</v>
      </c>
      <c r="N1456" t="s">
        <v>163</v>
      </c>
      <c r="O1456" s="4" t="s">
        <v>2237</v>
      </c>
      <c r="P1456">
        <v>0</v>
      </c>
      <c r="Q1456" s="24">
        <v>102.8</v>
      </c>
      <c r="R1456" s="25">
        <v>146</v>
      </c>
      <c r="S1456" s="26">
        <v>87.8</v>
      </c>
    </row>
    <row r="1457" spans="1:19" ht="14.25" x14ac:dyDescent="0.2">
      <c r="A1457" s="12">
        <v>30424</v>
      </c>
      <c r="B1457" s="13">
        <f t="shared" si="311"/>
        <v>29</v>
      </c>
      <c r="C1457" s="15">
        <f t="shared" si="312"/>
        <v>20</v>
      </c>
      <c r="D1457" s="14">
        <f t="shared" si="313"/>
        <v>17</v>
      </c>
      <c r="E1457" t="s">
        <v>2777</v>
      </c>
      <c r="F1457" t="s">
        <v>2837</v>
      </c>
      <c r="G1457" t="s">
        <v>2779</v>
      </c>
      <c r="H1457" t="s">
        <v>2779</v>
      </c>
      <c r="I1457" t="s">
        <v>2780</v>
      </c>
      <c r="J1457" s="4" t="s">
        <v>2844</v>
      </c>
      <c r="K1457" t="s">
        <v>177</v>
      </c>
      <c r="L1457" t="s">
        <v>163</v>
      </c>
      <c r="M1457" t="s">
        <v>163</v>
      </c>
      <c r="N1457" t="s">
        <v>163</v>
      </c>
      <c r="O1457" s="4" t="s">
        <v>2237</v>
      </c>
      <c r="P1457">
        <v>0</v>
      </c>
      <c r="Q1457" s="24">
        <v>102.8</v>
      </c>
      <c r="R1457" s="25">
        <v>146</v>
      </c>
      <c r="S1457" s="26">
        <v>87.8</v>
      </c>
    </row>
    <row r="1458" spans="1:19" ht="14.25" x14ac:dyDescent="0.2">
      <c r="A1458" s="12">
        <v>30425</v>
      </c>
      <c r="B1458" s="13">
        <f t="shared" si="311"/>
        <v>29</v>
      </c>
      <c r="C1458" s="15">
        <f t="shared" si="312"/>
        <v>20</v>
      </c>
      <c r="D1458" s="14">
        <f t="shared" si="313"/>
        <v>17</v>
      </c>
      <c r="E1458" t="s">
        <v>2785</v>
      </c>
      <c r="F1458" t="s">
        <v>2786</v>
      </c>
      <c r="G1458" t="s">
        <v>2828</v>
      </c>
      <c r="H1458" t="s">
        <v>2829</v>
      </c>
      <c r="I1458" t="s">
        <v>2697</v>
      </c>
      <c r="J1458" s="4" t="s">
        <v>2882</v>
      </c>
      <c r="K1458" t="s">
        <v>174</v>
      </c>
      <c r="L1458" t="s">
        <v>163</v>
      </c>
      <c r="M1458" t="s">
        <v>163</v>
      </c>
      <c r="N1458" t="s">
        <v>163</v>
      </c>
      <c r="O1458" s="4" t="s">
        <v>2239</v>
      </c>
      <c r="P1458">
        <v>0</v>
      </c>
      <c r="Q1458" s="24">
        <v>102.8</v>
      </c>
      <c r="R1458" s="25">
        <v>146</v>
      </c>
      <c r="S1458" s="26">
        <v>87.8</v>
      </c>
    </row>
    <row r="1459" spans="1:19" ht="14.25" x14ac:dyDescent="0.2">
      <c r="A1459" s="12">
        <v>30426</v>
      </c>
      <c r="B1459" s="13">
        <f t="shared" si="311"/>
        <v>29</v>
      </c>
      <c r="C1459" s="15">
        <f t="shared" si="312"/>
        <v>20</v>
      </c>
      <c r="D1459" s="14">
        <f t="shared" si="313"/>
        <v>17</v>
      </c>
      <c r="E1459" t="s">
        <v>2777</v>
      </c>
      <c r="F1459" t="s">
        <v>2834</v>
      </c>
      <c r="G1459" t="s">
        <v>2779</v>
      </c>
      <c r="H1459" t="s">
        <v>2779</v>
      </c>
      <c r="I1459" t="s">
        <v>2780</v>
      </c>
      <c r="J1459" s="4" t="s">
        <v>2844</v>
      </c>
      <c r="K1459" t="s">
        <v>182</v>
      </c>
      <c r="L1459" t="s">
        <v>163</v>
      </c>
      <c r="M1459" t="s">
        <v>163</v>
      </c>
      <c r="N1459" t="s">
        <v>163</v>
      </c>
      <c r="O1459" s="4" t="s">
        <v>2241</v>
      </c>
      <c r="P1459">
        <v>0</v>
      </c>
      <c r="Q1459" s="24">
        <v>103.2</v>
      </c>
      <c r="R1459" s="25">
        <v>146.5</v>
      </c>
      <c r="S1459" s="26">
        <v>88</v>
      </c>
    </row>
    <row r="1460" spans="1:19" ht="14.25" x14ac:dyDescent="0.2">
      <c r="A1460" s="12">
        <v>30427</v>
      </c>
      <c r="B1460" s="13">
        <f t="shared" si="311"/>
        <v>29</v>
      </c>
      <c r="C1460" s="15">
        <f t="shared" si="312"/>
        <v>20</v>
      </c>
      <c r="D1460" s="14">
        <f t="shared" si="313"/>
        <v>17</v>
      </c>
      <c r="E1460" t="s">
        <v>2777</v>
      </c>
      <c r="F1460" t="s">
        <v>2835</v>
      </c>
      <c r="G1460" t="s">
        <v>2779</v>
      </c>
      <c r="H1460" t="s">
        <v>2779</v>
      </c>
      <c r="I1460" t="s">
        <v>2780</v>
      </c>
      <c r="J1460" s="4" t="s">
        <v>2844</v>
      </c>
      <c r="K1460" t="s">
        <v>162</v>
      </c>
      <c r="L1460" t="s">
        <v>163</v>
      </c>
      <c r="M1460" t="s">
        <v>163</v>
      </c>
      <c r="N1460" t="s">
        <v>163</v>
      </c>
      <c r="O1460" s="4" t="s">
        <v>2241</v>
      </c>
      <c r="P1460">
        <v>0</v>
      </c>
      <c r="Q1460" s="24">
        <v>103.2</v>
      </c>
      <c r="R1460" s="25">
        <v>146.5</v>
      </c>
      <c r="S1460" s="26">
        <v>88</v>
      </c>
    </row>
    <row r="1461" spans="1:19" ht="14.25" x14ac:dyDescent="0.2">
      <c r="A1461" s="12">
        <v>30428</v>
      </c>
      <c r="B1461" s="13">
        <f t="shared" si="311"/>
        <v>29</v>
      </c>
      <c r="C1461" s="15">
        <f t="shared" si="312"/>
        <v>20</v>
      </c>
      <c r="D1461" s="14">
        <f t="shared" si="313"/>
        <v>17</v>
      </c>
      <c r="E1461" t="s">
        <v>2777</v>
      </c>
      <c r="F1461" t="s">
        <v>2836</v>
      </c>
      <c r="G1461" t="s">
        <v>2779</v>
      </c>
      <c r="H1461" t="s">
        <v>2779</v>
      </c>
      <c r="I1461" t="s">
        <v>2780</v>
      </c>
      <c r="J1461" s="4" t="s">
        <v>2844</v>
      </c>
      <c r="K1461" t="s">
        <v>177</v>
      </c>
      <c r="L1461" t="s">
        <v>163</v>
      </c>
      <c r="M1461" t="s">
        <v>163</v>
      </c>
      <c r="N1461" t="s">
        <v>163</v>
      </c>
      <c r="O1461" s="4" t="s">
        <v>2243</v>
      </c>
      <c r="P1461">
        <v>0</v>
      </c>
      <c r="Q1461" s="24">
        <v>103.2</v>
      </c>
      <c r="R1461" s="25">
        <v>146.5</v>
      </c>
      <c r="S1461" s="26">
        <v>88</v>
      </c>
    </row>
    <row r="1462" spans="1:19" ht="14.25" x14ac:dyDescent="0.2">
      <c r="A1462" s="12">
        <v>30429</v>
      </c>
      <c r="B1462" s="13">
        <f t="shared" si="311"/>
        <v>29</v>
      </c>
      <c r="C1462" s="15">
        <f t="shared" si="312"/>
        <v>20</v>
      </c>
      <c r="D1462" s="14">
        <f t="shared" si="313"/>
        <v>17</v>
      </c>
      <c r="E1462" t="s">
        <v>2777</v>
      </c>
      <c r="F1462" t="s">
        <v>2837</v>
      </c>
      <c r="G1462" t="s">
        <v>2779</v>
      </c>
      <c r="H1462" t="s">
        <v>2779</v>
      </c>
      <c r="I1462" t="s">
        <v>2780</v>
      </c>
      <c r="J1462" s="4" t="s">
        <v>2844</v>
      </c>
      <c r="K1462" t="s">
        <v>174</v>
      </c>
      <c r="L1462" t="s">
        <v>163</v>
      </c>
      <c r="M1462" t="s">
        <v>163</v>
      </c>
      <c r="N1462" t="s">
        <v>163</v>
      </c>
      <c r="O1462" s="4" t="s">
        <v>2245</v>
      </c>
      <c r="P1462">
        <v>0</v>
      </c>
      <c r="Q1462" s="24">
        <v>103.2</v>
      </c>
      <c r="R1462" s="25">
        <v>146.5</v>
      </c>
      <c r="S1462" s="26">
        <v>88</v>
      </c>
    </row>
    <row r="1463" spans="1:19" ht="14.25" x14ac:dyDescent="0.2">
      <c r="A1463" s="12">
        <v>30430</v>
      </c>
      <c r="B1463" s="13">
        <f t="shared" si="311"/>
        <v>29</v>
      </c>
      <c r="C1463" s="15">
        <f t="shared" si="312"/>
        <v>20</v>
      </c>
      <c r="D1463" s="14">
        <f t="shared" si="313"/>
        <v>17</v>
      </c>
      <c r="E1463" t="s">
        <v>2785</v>
      </c>
      <c r="F1463" t="s">
        <v>2786</v>
      </c>
      <c r="G1463" t="s">
        <v>2830</v>
      </c>
      <c r="H1463" t="s">
        <v>2829</v>
      </c>
      <c r="I1463" t="s">
        <v>2697</v>
      </c>
      <c r="J1463" s="4" t="s">
        <v>2864</v>
      </c>
      <c r="K1463" t="s">
        <v>166</v>
      </c>
      <c r="L1463" t="s">
        <v>163</v>
      </c>
      <c r="M1463" t="s">
        <v>163</v>
      </c>
      <c r="N1463" t="s">
        <v>163</v>
      </c>
      <c r="O1463" s="4" t="s">
        <v>2245</v>
      </c>
      <c r="P1463">
        <v>0</v>
      </c>
      <c r="Q1463" s="24">
        <v>103.2</v>
      </c>
      <c r="R1463" s="25">
        <v>146.5</v>
      </c>
      <c r="S1463" s="26">
        <v>88</v>
      </c>
    </row>
    <row r="1464" spans="1:19" ht="14.25" x14ac:dyDescent="0.2">
      <c r="A1464" s="12">
        <v>30431</v>
      </c>
      <c r="B1464" s="13">
        <f t="shared" si="311"/>
        <v>29</v>
      </c>
      <c r="C1464" s="15">
        <f t="shared" si="312"/>
        <v>20</v>
      </c>
      <c r="D1464" s="14">
        <f t="shared" si="313"/>
        <v>17</v>
      </c>
      <c r="E1464" t="s">
        <v>2777</v>
      </c>
      <c r="F1464" t="s">
        <v>2834</v>
      </c>
      <c r="G1464" t="s">
        <v>2779</v>
      </c>
      <c r="H1464" t="s">
        <v>2779</v>
      </c>
      <c r="I1464" t="s">
        <v>2780</v>
      </c>
      <c r="J1464" s="4" t="s">
        <v>2844</v>
      </c>
      <c r="K1464" t="s">
        <v>168</v>
      </c>
      <c r="L1464" t="s">
        <v>163</v>
      </c>
      <c r="M1464" t="s">
        <v>163</v>
      </c>
      <c r="N1464" t="s">
        <v>163</v>
      </c>
      <c r="O1464" s="4" t="s">
        <v>2247</v>
      </c>
      <c r="P1464">
        <v>0</v>
      </c>
      <c r="Q1464" s="24">
        <v>103.5</v>
      </c>
      <c r="R1464" s="25">
        <v>147</v>
      </c>
      <c r="S1464" s="26">
        <v>88.3</v>
      </c>
    </row>
    <row r="1465" spans="1:19" ht="14.25" x14ac:dyDescent="0.2">
      <c r="A1465" s="12">
        <v>30432</v>
      </c>
      <c r="B1465" s="13">
        <f t="shared" si="311"/>
        <v>29</v>
      </c>
      <c r="C1465" s="15">
        <f t="shared" si="312"/>
        <v>20</v>
      </c>
      <c r="D1465" s="14">
        <f t="shared" si="313"/>
        <v>17</v>
      </c>
      <c r="E1465" t="s">
        <v>2777</v>
      </c>
      <c r="F1465" t="s">
        <v>2835</v>
      </c>
      <c r="G1465" t="s">
        <v>2779</v>
      </c>
      <c r="H1465" t="s">
        <v>2779</v>
      </c>
      <c r="I1465" t="s">
        <v>2780</v>
      </c>
      <c r="J1465" s="4" t="s">
        <v>2844</v>
      </c>
      <c r="K1465" t="s">
        <v>175</v>
      </c>
      <c r="L1465" t="s">
        <v>164</v>
      </c>
      <c r="M1465" t="s">
        <v>163</v>
      </c>
      <c r="N1465" t="s">
        <v>167</v>
      </c>
      <c r="O1465" s="4" t="s">
        <v>2249</v>
      </c>
      <c r="P1465">
        <v>0</v>
      </c>
      <c r="Q1465" s="24">
        <v>103.5</v>
      </c>
      <c r="R1465" s="25">
        <v>147</v>
      </c>
      <c r="S1465" s="26">
        <v>88.3</v>
      </c>
    </row>
    <row r="1466" spans="1:19" ht="14.25" x14ac:dyDescent="0.2">
      <c r="A1466" s="12">
        <v>30433</v>
      </c>
      <c r="B1466" s="13">
        <f t="shared" si="311"/>
        <v>29</v>
      </c>
      <c r="C1466" s="15">
        <f t="shared" si="312"/>
        <v>20</v>
      </c>
      <c r="D1466" s="14">
        <f t="shared" si="313"/>
        <v>17</v>
      </c>
      <c r="E1466" t="s">
        <v>2777</v>
      </c>
      <c r="F1466" t="s">
        <v>2836</v>
      </c>
      <c r="G1466" t="s">
        <v>2779</v>
      </c>
      <c r="H1466" t="s">
        <v>2779</v>
      </c>
      <c r="I1466" t="s">
        <v>2780</v>
      </c>
      <c r="J1466" s="4" t="s">
        <v>2844</v>
      </c>
      <c r="K1466" t="s">
        <v>179</v>
      </c>
      <c r="L1466" t="s">
        <v>163</v>
      </c>
      <c r="M1466" t="s">
        <v>163</v>
      </c>
      <c r="N1466" t="s">
        <v>163</v>
      </c>
      <c r="O1466" s="4" t="s">
        <v>2251</v>
      </c>
      <c r="P1466">
        <v>0</v>
      </c>
      <c r="Q1466" s="24">
        <v>103.5</v>
      </c>
      <c r="R1466" s="25">
        <v>147</v>
      </c>
      <c r="S1466" s="26">
        <v>88.3</v>
      </c>
    </row>
    <row r="1467" spans="1:19" ht="14.25" x14ac:dyDescent="0.2">
      <c r="A1467" s="12">
        <v>30434</v>
      </c>
      <c r="B1467" s="13">
        <f t="shared" si="311"/>
        <v>29</v>
      </c>
      <c r="C1467" s="15">
        <f t="shared" si="312"/>
        <v>20</v>
      </c>
      <c r="D1467" s="14">
        <f t="shared" si="313"/>
        <v>17</v>
      </c>
      <c r="E1467" t="s">
        <v>2777</v>
      </c>
      <c r="F1467" t="s">
        <v>2837</v>
      </c>
      <c r="G1467" t="s">
        <v>2779</v>
      </c>
      <c r="H1467" t="s">
        <v>2779</v>
      </c>
      <c r="I1467" t="s">
        <v>2780</v>
      </c>
      <c r="J1467" s="4" t="s">
        <v>2844</v>
      </c>
      <c r="K1467" t="s">
        <v>177</v>
      </c>
      <c r="L1467" t="s">
        <v>163</v>
      </c>
      <c r="M1467" t="s">
        <v>163</v>
      </c>
      <c r="N1467" t="s">
        <v>163</v>
      </c>
      <c r="O1467" s="4" t="s">
        <v>2251</v>
      </c>
      <c r="P1467">
        <v>0</v>
      </c>
      <c r="Q1467" s="24">
        <v>103.5</v>
      </c>
      <c r="R1467" s="25">
        <v>147</v>
      </c>
      <c r="S1467" s="26">
        <v>88.3</v>
      </c>
    </row>
    <row r="1468" spans="1:19" ht="14.25" x14ac:dyDescent="0.2">
      <c r="A1468" s="12">
        <v>30435</v>
      </c>
      <c r="B1468" s="13">
        <f t="shared" si="311"/>
        <v>29</v>
      </c>
      <c r="C1468" s="15">
        <f t="shared" si="312"/>
        <v>20</v>
      </c>
      <c r="D1468" s="14">
        <f t="shared" si="313"/>
        <v>17</v>
      </c>
      <c r="E1468" t="s">
        <v>2785</v>
      </c>
      <c r="F1468" t="s">
        <v>2786</v>
      </c>
      <c r="G1468" t="s">
        <v>2831</v>
      </c>
      <c r="H1468" t="s">
        <v>2829</v>
      </c>
      <c r="I1468" t="s">
        <v>2697</v>
      </c>
      <c r="J1468" s="4" t="s">
        <v>2864</v>
      </c>
      <c r="K1468" t="s">
        <v>174</v>
      </c>
      <c r="L1468" t="s">
        <v>163</v>
      </c>
      <c r="M1468" t="s">
        <v>163</v>
      </c>
      <c r="N1468" t="s">
        <v>163</v>
      </c>
      <c r="O1468" s="4" t="s">
        <v>2253</v>
      </c>
      <c r="P1468">
        <v>0</v>
      </c>
      <c r="Q1468" s="24">
        <v>103.5</v>
      </c>
      <c r="R1468" s="25">
        <v>147</v>
      </c>
      <c r="S1468" s="26">
        <v>88.3</v>
      </c>
    </row>
    <row r="1469" spans="1:19" ht="14.25" x14ac:dyDescent="0.2">
      <c r="A1469" s="12">
        <v>30436</v>
      </c>
      <c r="B1469" s="13">
        <f t="shared" si="311"/>
        <v>29</v>
      </c>
      <c r="C1469" s="15">
        <f t="shared" si="312"/>
        <v>20</v>
      </c>
      <c r="D1469" s="14">
        <f t="shared" si="313"/>
        <v>17</v>
      </c>
      <c r="E1469" t="s">
        <v>2777</v>
      </c>
      <c r="F1469" t="s">
        <v>2834</v>
      </c>
      <c r="G1469" t="s">
        <v>2779</v>
      </c>
      <c r="H1469" t="s">
        <v>2779</v>
      </c>
      <c r="I1469" t="s">
        <v>2780</v>
      </c>
      <c r="J1469" s="4" t="s">
        <v>2844</v>
      </c>
      <c r="K1469" t="s">
        <v>182</v>
      </c>
      <c r="L1469" t="s">
        <v>163</v>
      </c>
      <c r="M1469" t="s">
        <v>163</v>
      </c>
      <c r="N1469" t="s">
        <v>163</v>
      </c>
      <c r="O1469" s="4" t="s">
        <v>2255</v>
      </c>
      <c r="P1469">
        <v>0</v>
      </c>
      <c r="Q1469" s="24">
        <v>103.8</v>
      </c>
      <c r="R1469" s="25">
        <v>147.5</v>
      </c>
      <c r="S1469" s="26">
        <v>88.5</v>
      </c>
    </row>
    <row r="1470" spans="1:19" ht="14.25" x14ac:dyDescent="0.2">
      <c r="A1470" s="12">
        <v>30437</v>
      </c>
      <c r="B1470" s="13">
        <f t="shared" si="311"/>
        <v>29</v>
      </c>
      <c r="C1470" s="15">
        <f t="shared" si="312"/>
        <v>20</v>
      </c>
      <c r="D1470" s="14">
        <f t="shared" si="313"/>
        <v>17</v>
      </c>
      <c r="E1470" t="s">
        <v>2777</v>
      </c>
      <c r="F1470" t="s">
        <v>2835</v>
      </c>
      <c r="G1470" t="s">
        <v>2779</v>
      </c>
      <c r="H1470" t="s">
        <v>2779</v>
      </c>
      <c r="I1470" t="s">
        <v>2780</v>
      </c>
      <c r="J1470" s="4" t="s">
        <v>2844</v>
      </c>
      <c r="K1470" t="s">
        <v>162</v>
      </c>
      <c r="L1470" t="s">
        <v>163</v>
      </c>
      <c r="M1470" t="s">
        <v>163</v>
      </c>
      <c r="N1470" t="s">
        <v>163</v>
      </c>
      <c r="O1470" s="4" t="s">
        <v>2255</v>
      </c>
      <c r="P1470">
        <v>0</v>
      </c>
      <c r="Q1470" s="24">
        <v>103.8</v>
      </c>
      <c r="R1470" s="25">
        <v>147.5</v>
      </c>
      <c r="S1470" s="26">
        <v>88.5</v>
      </c>
    </row>
    <row r="1471" spans="1:19" ht="14.25" x14ac:dyDescent="0.2">
      <c r="A1471" s="12">
        <v>30438</v>
      </c>
      <c r="B1471" s="13">
        <f t="shared" si="311"/>
        <v>29</v>
      </c>
      <c r="C1471" s="15">
        <f t="shared" si="312"/>
        <v>20</v>
      </c>
      <c r="D1471" s="14">
        <f t="shared" si="313"/>
        <v>17</v>
      </c>
      <c r="E1471" t="s">
        <v>2777</v>
      </c>
      <c r="F1471" t="s">
        <v>2836</v>
      </c>
      <c r="G1471" t="s">
        <v>2779</v>
      </c>
      <c r="H1471" t="s">
        <v>2779</v>
      </c>
      <c r="I1471" t="s">
        <v>2780</v>
      </c>
      <c r="J1471" s="4" t="s">
        <v>2844</v>
      </c>
      <c r="K1471" t="s">
        <v>177</v>
      </c>
      <c r="L1471" t="s">
        <v>163</v>
      </c>
      <c r="M1471" t="s">
        <v>163</v>
      </c>
      <c r="N1471" t="s">
        <v>163</v>
      </c>
      <c r="O1471" s="4" t="s">
        <v>2257</v>
      </c>
      <c r="P1471">
        <v>0</v>
      </c>
      <c r="Q1471" s="24">
        <v>103.8</v>
      </c>
      <c r="R1471" s="25">
        <v>147.5</v>
      </c>
      <c r="S1471" s="26">
        <v>88.5</v>
      </c>
    </row>
    <row r="1472" spans="1:19" ht="14.25" x14ac:dyDescent="0.2">
      <c r="A1472" s="12">
        <v>30439</v>
      </c>
      <c r="B1472" s="13">
        <f t="shared" si="311"/>
        <v>29</v>
      </c>
      <c r="C1472" s="15">
        <f t="shared" si="312"/>
        <v>20</v>
      </c>
      <c r="D1472" s="14">
        <f t="shared" si="313"/>
        <v>17</v>
      </c>
      <c r="E1472" t="s">
        <v>2777</v>
      </c>
      <c r="F1472" t="s">
        <v>2837</v>
      </c>
      <c r="G1472" t="s">
        <v>2779</v>
      </c>
      <c r="H1472" t="s">
        <v>2779</v>
      </c>
      <c r="I1472" t="s">
        <v>2780</v>
      </c>
      <c r="J1472" s="4" t="s">
        <v>2844</v>
      </c>
      <c r="K1472" t="s">
        <v>174</v>
      </c>
      <c r="L1472" t="s">
        <v>163</v>
      </c>
      <c r="M1472" t="s">
        <v>163</v>
      </c>
      <c r="N1472" t="s">
        <v>163</v>
      </c>
      <c r="O1472" s="4" t="s">
        <v>2259</v>
      </c>
      <c r="P1472">
        <v>0</v>
      </c>
      <c r="Q1472" s="24">
        <v>103.8</v>
      </c>
      <c r="R1472" s="25">
        <v>147.5</v>
      </c>
      <c r="S1472" s="26">
        <v>88.5</v>
      </c>
    </row>
    <row r="1473" spans="1:19" ht="14.25" x14ac:dyDescent="0.2">
      <c r="A1473" s="12">
        <v>30440</v>
      </c>
      <c r="B1473" s="13">
        <f t="shared" si="311"/>
        <v>29</v>
      </c>
      <c r="C1473" s="15">
        <f t="shared" si="312"/>
        <v>20</v>
      </c>
      <c r="D1473" s="14">
        <f t="shared" si="313"/>
        <v>17</v>
      </c>
      <c r="E1473" t="s">
        <v>2785</v>
      </c>
      <c r="F1473" t="s">
        <v>2786</v>
      </c>
      <c r="G1473" t="s">
        <v>2832</v>
      </c>
      <c r="H1473" t="s">
        <v>2829</v>
      </c>
      <c r="I1473" t="s">
        <v>2697</v>
      </c>
      <c r="J1473" s="4" t="s">
        <v>2864</v>
      </c>
      <c r="K1473" t="s">
        <v>166</v>
      </c>
      <c r="L1473" t="s">
        <v>163</v>
      </c>
      <c r="M1473" t="s">
        <v>163</v>
      </c>
      <c r="N1473" t="s">
        <v>163</v>
      </c>
      <c r="O1473" s="4" t="s">
        <v>2259</v>
      </c>
      <c r="P1473">
        <v>0</v>
      </c>
      <c r="Q1473" s="24">
        <v>103.8</v>
      </c>
      <c r="R1473" s="25">
        <v>147.5</v>
      </c>
      <c r="S1473" s="26">
        <v>88.5</v>
      </c>
    </row>
    <row r="1474" spans="1:19" ht="14.25" x14ac:dyDescent="0.2">
      <c r="A1474" s="12">
        <v>30441</v>
      </c>
      <c r="B1474" s="13">
        <f t="shared" si="311"/>
        <v>29</v>
      </c>
      <c r="C1474" s="15">
        <f t="shared" si="312"/>
        <v>20</v>
      </c>
      <c r="D1474" s="14">
        <f t="shared" si="313"/>
        <v>17</v>
      </c>
      <c r="E1474" t="s">
        <v>2777</v>
      </c>
      <c r="F1474" t="s">
        <v>2834</v>
      </c>
      <c r="G1474" t="s">
        <v>2779</v>
      </c>
      <c r="H1474" t="s">
        <v>2779</v>
      </c>
      <c r="I1474" t="s">
        <v>2780</v>
      </c>
      <c r="J1474" s="4" t="s">
        <v>2844</v>
      </c>
      <c r="K1474" t="s">
        <v>168</v>
      </c>
      <c r="L1474" t="s">
        <v>163</v>
      </c>
      <c r="M1474" t="s">
        <v>163</v>
      </c>
      <c r="N1474" t="s">
        <v>163</v>
      </c>
      <c r="O1474" s="4" t="s">
        <v>2261</v>
      </c>
      <c r="P1474">
        <v>0</v>
      </c>
      <c r="Q1474" s="24">
        <v>104.2</v>
      </c>
      <c r="R1474" s="25">
        <v>148</v>
      </c>
      <c r="S1474" s="26">
        <v>88.8</v>
      </c>
    </row>
    <row r="1475" spans="1:19" ht="14.25" x14ac:dyDescent="0.2">
      <c r="A1475" s="12">
        <v>30442</v>
      </c>
      <c r="B1475" s="13">
        <f t="shared" si="311"/>
        <v>29</v>
      </c>
      <c r="C1475" s="15">
        <f t="shared" si="312"/>
        <v>20</v>
      </c>
      <c r="D1475" s="14">
        <f t="shared" si="313"/>
        <v>17</v>
      </c>
      <c r="E1475" t="s">
        <v>2777</v>
      </c>
      <c r="F1475" t="s">
        <v>2835</v>
      </c>
      <c r="G1475" t="s">
        <v>2779</v>
      </c>
      <c r="H1475" t="s">
        <v>2779</v>
      </c>
      <c r="I1475" t="s">
        <v>2780</v>
      </c>
      <c r="J1475" s="4" t="s">
        <v>2844</v>
      </c>
      <c r="K1475" t="s">
        <v>175</v>
      </c>
      <c r="L1475" t="s">
        <v>164</v>
      </c>
      <c r="M1475" t="s">
        <v>163</v>
      </c>
      <c r="N1475" t="s">
        <v>167</v>
      </c>
      <c r="O1475" s="4" t="s">
        <v>2263</v>
      </c>
      <c r="P1475">
        <v>0</v>
      </c>
      <c r="Q1475" s="24">
        <v>104.2</v>
      </c>
      <c r="R1475" s="25">
        <v>148</v>
      </c>
      <c r="S1475" s="26">
        <v>88.8</v>
      </c>
    </row>
    <row r="1476" spans="1:19" ht="14.25" x14ac:dyDescent="0.2">
      <c r="A1476" s="12">
        <v>30443</v>
      </c>
      <c r="B1476" s="13">
        <f t="shared" si="311"/>
        <v>29</v>
      </c>
      <c r="C1476" s="15">
        <f t="shared" si="312"/>
        <v>20</v>
      </c>
      <c r="D1476" s="14">
        <f t="shared" si="313"/>
        <v>17</v>
      </c>
      <c r="E1476" t="s">
        <v>2777</v>
      </c>
      <c r="F1476" t="s">
        <v>2836</v>
      </c>
      <c r="G1476" t="s">
        <v>2779</v>
      </c>
      <c r="H1476" t="s">
        <v>2779</v>
      </c>
      <c r="I1476" t="s">
        <v>2780</v>
      </c>
      <c r="J1476" s="4" t="s">
        <v>2844</v>
      </c>
      <c r="K1476" t="s">
        <v>179</v>
      </c>
      <c r="L1476" t="s">
        <v>163</v>
      </c>
      <c r="M1476" t="s">
        <v>163</v>
      </c>
      <c r="N1476" t="s">
        <v>163</v>
      </c>
      <c r="O1476" s="4" t="s">
        <v>2265</v>
      </c>
      <c r="P1476">
        <v>0</v>
      </c>
      <c r="Q1476" s="24">
        <v>104.2</v>
      </c>
      <c r="R1476" s="25">
        <v>148</v>
      </c>
      <c r="S1476" s="26">
        <v>88.8</v>
      </c>
    </row>
    <row r="1477" spans="1:19" ht="14.25" x14ac:dyDescent="0.2">
      <c r="A1477" s="12">
        <v>30444</v>
      </c>
      <c r="B1477" s="13">
        <f t="shared" ref="B1477:B1540" si="314">FLOOR(R1475/5,1)</f>
        <v>29</v>
      </c>
      <c r="C1477" s="15">
        <f t="shared" ref="C1477:C1540" si="315">FLOOR(Q1475/5,1)</f>
        <v>20</v>
      </c>
      <c r="D1477" s="14">
        <f t="shared" ref="D1477:D1540" si="316">FLOOR(S1475/5,1)</f>
        <v>17</v>
      </c>
      <c r="E1477" t="s">
        <v>2777</v>
      </c>
      <c r="F1477" t="s">
        <v>2837</v>
      </c>
      <c r="G1477" t="s">
        <v>2779</v>
      </c>
      <c r="H1477" t="s">
        <v>2779</v>
      </c>
      <c r="I1477" t="s">
        <v>2780</v>
      </c>
      <c r="J1477" s="4" t="s">
        <v>2844</v>
      </c>
      <c r="K1477" t="s">
        <v>177</v>
      </c>
      <c r="L1477" t="s">
        <v>163</v>
      </c>
      <c r="M1477" t="s">
        <v>163</v>
      </c>
      <c r="N1477" t="s">
        <v>163</v>
      </c>
      <c r="O1477" s="4" t="s">
        <v>2265</v>
      </c>
      <c r="P1477">
        <v>0</v>
      </c>
      <c r="Q1477" s="24">
        <v>104.2</v>
      </c>
      <c r="R1477" s="25">
        <v>148</v>
      </c>
      <c r="S1477" s="26">
        <v>88.8</v>
      </c>
    </row>
    <row r="1478" spans="1:19" ht="14.25" x14ac:dyDescent="0.2">
      <c r="A1478" s="12">
        <v>30445</v>
      </c>
      <c r="B1478" s="13">
        <f t="shared" si="314"/>
        <v>29</v>
      </c>
      <c r="C1478" s="15">
        <f t="shared" si="315"/>
        <v>20</v>
      </c>
      <c r="D1478" s="14">
        <f t="shared" si="316"/>
        <v>17</v>
      </c>
      <c r="E1478" t="s">
        <v>2785</v>
      </c>
      <c r="F1478" t="s">
        <v>2786</v>
      </c>
      <c r="G1478" t="s">
        <v>2833</v>
      </c>
      <c r="H1478" t="s">
        <v>2829</v>
      </c>
      <c r="I1478" t="s">
        <v>2697</v>
      </c>
      <c r="J1478" s="4" t="s">
        <v>2882</v>
      </c>
      <c r="K1478" t="s">
        <v>174</v>
      </c>
      <c r="L1478" t="s">
        <v>163</v>
      </c>
      <c r="M1478" t="s">
        <v>163</v>
      </c>
      <c r="N1478" t="s">
        <v>163</v>
      </c>
      <c r="O1478" s="4" t="s">
        <v>2267</v>
      </c>
      <c r="P1478">
        <v>0</v>
      </c>
      <c r="Q1478" s="24">
        <v>104.2</v>
      </c>
      <c r="R1478" s="25">
        <v>148</v>
      </c>
      <c r="S1478" s="26">
        <v>88.8</v>
      </c>
    </row>
    <row r="1479" spans="1:19" ht="14.25" x14ac:dyDescent="0.2">
      <c r="A1479" s="12">
        <v>30446</v>
      </c>
      <c r="B1479" s="13">
        <f t="shared" si="314"/>
        <v>29</v>
      </c>
      <c r="C1479" s="15">
        <f t="shared" si="315"/>
        <v>20</v>
      </c>
      <c r="D1479" s="14">
        <f t="shared" si="316"/>
        <v>17</v>
      </c>
      <c r="E1479" t="s">
        <v>2777</v>
      </c>
      <c r="F1479" t="s">
        <v>2834</v>
      </c>
      <c r="G1479" t="s">
        <v>2779</v>
      </c>
      <c r="H1479" t="s">
        <v>2779</v>
      </c>
      <c r="I1479" t="s">
        <v>2780</v>
      </c>
      <c r="J1479" s="4" t="s">
        <v>2844</v>
      </c>
      <c r="K1479" t="s">
        <v>182</v>
      </c>
      <c r="L1479" t="s">
        <v>163</v>
      </c>
      <c r="M1479" t="s">
        <v>163</v>
      </c>
      <c r="N1479" t="s">
        <v>163</v>
      </c>
      <c r="O1479" s="4" t="s">
        <v>2269</v>
      </c>
      <c r="P1479">
        <v>0</v>
      </c>
      <c r="Q1479" s="24">
        <v>104.5</v>
      </c>
      <c r="R1479" s="25">
        <v>148.5</v>
      </c>
      <c r="S1479" s="26">
        <v>89</v>
      </c>
    </row>
    <row r="1480" spans="1:19" ht="14.25" x14ac:dyDescent="0.2">
      <c r="A1480" s="12">
        <v>30447</v>
      </c>
      <c r="B1480" s="13">
        <f t="shared" si="314"/>
        <v>29</v>
      </c>
      <c r="C1480" s="15">
        <f t="shared" si="315"/>
        <v>20</v>
      </c>
      <c r="D1480" s="14">
        <f t="shared" si="316"/>
        <v>17</v>
      </c>
      <c r="E1480" t="s">
        <v>2777</v>
      </c>
      <c r="F1480" t="s">
        <v>2835</v>
      </c>
      <c r="G1480" t="s">
        <v>2779</v>
      </c>
      <c r="H1480" t="s">
        <v>2779</v>
      </c>
      <c r="I1480" t="s">
        <v>2780</v>
      </c>
      <c r="J1480" s="4" t="s">
        <v>2844</v>
      </c>
      <c r="K1480" t="s">
        <v>162</v>
      </c>
      <c r="L1480" t="s">
        <v>163</v>
      </c>
      <c r="M1480" t="s">
        <v>163</v>
      </c>
      <c r="N1480" t="s">
        <v>163</v>
      </c>
      <c r="O1480" s="4" t="s">
        <v>2269</v>
      </c>
      <c r="P1480">
        <v>0</v>
      </c>
      <c r="Q1480" s="24">
        <v>104.5</v>
      </c>
      <c r="R1480" s="25">
        <v>148.5</v>
      </c>
      <c r="S1480" s="26">
        <v>89</v>
      </c>
    </row>
    <row r="1481" spans="1:19" ht="14.25" x14ac:dyDescent="0.2">
      <c r="A1481" s="12">
        <v>30448</v>
      </c>
      <c r="B1481" s="13">
        <f t="shared" si="314"/>
        <v>29</v>
      </c>
      <c r="C1481" s="15">
        <f t="shared" si="315"/>
        <v>20</v>
      </c>
      <c r="D1481" s="14">
        <f t="shared" si="316"/>
        <v>17</v>
      </c>
      <c r="E1481" t="s">
        <v>2777</v>
      </c>
      <c r="F1481" t="s">
        <v>2836</v>
      </c>
      <c r="G1481" t="s">
        <v>2779</v>
      </c>
      <c r="H1481" t="s">
        <v>2779</v>
      </c>
      <c r="I1481" t="s">
        <v>2780</v>
      </c>
      <c r="J1481" s="4" t="s">
        <v>2844</v>
      </c>
      <c r="K1481" t="s">
        <v>177</v>
      </c>
      <c r="L1481" t="s">
        <v>163</v>
      </c>
      <c r="M1481" t="s">
        <v>163</v>
      </c>
      <c r="N1481" t="s">
        <v>163</v>
      </c>
      <c r="O1481" s="4" t="s">
        <v>2271</v>
      </c>
      <c r="P1481">
        <v>0</v>
      </c>
      <c r="Q1481" s="24">
        <v>104.5</v>
      </c>
      <c r="R1481" s="25">
        <v>148.5</v>
      </c>
      <c r="S1481" s="26">
        <v>89</v>
      </c>
    </row>
    <row r="1482" spans="1:19" ht="14.25" x14ac:dyDescent="0.2">
      <c r="A1482" s="12">
        <v>30449</v>
      </c>
      <c r="B1482" s="13">
        <f t="shared" si="314"/>
        <v>29</v>
      </c>
      <c r="C1482" s="15">
        <f t="shared" si="315"/>
        <v>20</v>
      </c>
      <c r="D1482" s="14">
        <f t="shared" si="316"/>
        <v>17</v>
      </c>
      <c r="E1482" t="s">
        <v>2777</v>
      </c>
      <c r="F1482" t="s">
        <v>2837</v>
      </c>
      <c r="G1482" t="s">
        <v>2779</v>
      </c>
      <c r="H1482" t="s">
        <v>2779</v>
      </c>
      <c r="I1482" t="s">
        <v>2780</v>
      </c>
      <c r="J1482" s="4" t="s">
        <v>2844</v>
      </c>
      <c r="K1482" t="s">
        <v>174</v>
      </c>
      <c r="L1482" t="s">
        <v>163</v>
      </c>
      <c r="M1482" t="s">
        <v>163</v>
      </c>
      <c r="N1482" t="s">
        <v>163</v>
      </c>
      <c r="O1482" s="4" t="s">
        <v>2273</v>
      </c>
      <c r="P1482">
        <v>0</v>
      </c>
      <c r="Q1482" s="24">
        <v>104.5</v>
      </c>
      <c r="R1482" s="25">
        <v>148.5</v>
      </c>
      <c r="S1482" s="26">
        <v>89</v>
      </c>
    </row>
    <row r="1483" spans="1:19" ht="14.25" x14ac:dyDescent="0.2">
      <c r="A1483" s="12">
        <v>30450</v>
      </c>
      <c r="B1483" s="13">
        <f t="shared" si="314"/>
        <v>29</v>
      </c>
      <c r="C1483" s="15">
        <f t="shared" si="315"/>
        <v>20</v>
      </c>
      <c r="D1483" s="14">
        <f t="shared" si="316"/>
        <v>17</v>
      </c>
      <c r="E1483" t="s">
        <v>2785</v>
      </c>
      <c r="F1483" t="s">
        <v>2786</v>
      </c>
      <c r="G1483" t="s">
        <v>2828</v>
      </c>
      <c r="H1483" t="s">
        <v>2829</v>
      </c>
      <c r="I1483" t="s">
        <v>2697</v>
      </c>
      <c r="J1483" s="4" t="s">
        <v>2882</v>
      </c>
      <c r="K1483" t="s">
        <v>166</v>
      </c>
      <c r="L1483" t="s">
        <v>163</v>
      </c>
      <c r="M1483" t="s">
        <v>163</v>
      </c>
      <c r="N1483" t="s">
        <v>163</v>
      </c>
      <c r="O1483" s="4" t="s">
        <v>2273</v>
      </c>
      <c r="P1483">
        <v>0</v>
      </c>
      <c r="Q1483" s="24">
        <v>104.5</v>
      </c>
      <c r="R1483" s="25">
        <v>148.5</v>
      </c>
      <c r="S1483" s="26">
        <v>89</v>
      </c>
    </row>
    <row r="1484" spans="1:19" ht="14.25" x14ac:dyDescent="0.2">
      <c r="A1484" s="12">
        <v>30501</v>
      </c>
      <c r="B1484" s="13">
        <f t="shared" si="314"/>
        <v>29</v>
      </c>
      <c r="C1484" s="15">
        <f t="shared" si="315"/>
        <v>20</v>
      </c>
      <c r="D1484" s="14">
        <f t="shared" si="316"/>
        <v>17</v>
      </c>
      <c r="E1484" t="s">
        <v>2777</v>
      </c>
      <c r="F1484" t="s">
        <v>2834</v>
      </c>
      <c r="G1484" t="s">
        <v>2779</v>
      </c>
      <c r="H1484" t="s">
        <v>2779</v>
      </c>
      <c r="I1484" t="s">
        <v>2780</v>
      </c>
      <c r="J1484" s="4" t="s">
        <v>2845</v>
      </c>
      <c r="K1484" t="s">
        <v>168</v>
      </c>
      <c r="L1484" t="s">
        <v>163</v>
      </c>
      <c r="M1484" t="s">
        <v>163</v>
      </c>
      <c r="N1484" t="s">
        <v>163</v>
      </c>
      <c r="O1484" s="4" t="s">
        <v>2275</v>
      </c>
      <c r="P1484">
        <v>0</v>
      </c>
      <c r="Q1484" s="24">
        <v>104.8</v>
      </c>
      <c r="R1484" s="25">
        <v>149</v>
      </c>
      <c r="S1484" s="26">
        <v>89.3</v>
      </c>
    </row>
    <row r="1485" spans="1:19" ht="14.25" x14ac:dyDescent="0.2">
      <c r="A1485" s="12">
        <v>30502</v>
      </c>
      <c r="B1485" s="13">
        <f t="shared" si="314"/>
        <v>29</v>
      </c>
      <c r="C1485" s="15">
        <f t="shared" si="315"/>
        <v>20</v>
      </c>
      <c r="D1485" s="14">
        <f t="shared" si="316"/>
        <v>17</v>
      </c>
      <c r="E1485" t="s">
        <v>2777</v>
      </c>
      <c r="F1485" t="s">
        <v>2835</v>
      </c>
      <c r="G1485" t="s">
        <v>2779</v>
      </c>
      <c r="H1485" t="s">
        <v>2779</v>
      </c>
      <c r="I1485" t="s">
        <v>2780</v>
      </c>
      <c r="J1485" s="4" t="s">
        <v>2845</v>
      </c>
      <c r="K1485" t="s">
        <v>175</v>
      </c>
      <c r="L1485" t="s">
        <v>164</v>
      </c>
      <c r="M1485" t="s">
        <v>163</v>
      </c>
      <c r="N1485" t="s">
        <v>167</v>
      </c>
      <c r="O1485" s="4" t="s">
        <v>2277</v>
      </c>
      <c r="P1485">
        <v>0</v>
      </c>
      <c r="Q1485" s="24">
        <v>104.8</v>
      </c>
      <c r="R1485" s="25">
        <v>149</v>
      </c>
      <c r="S1485" s="26">
        <v>89.3</v>
      </c>
    </row>
    <row r="1486" spans="1:19" ht="14.25" x14ac:dyDescent="0.2">
      <c r="A1486" s="12">
        <v>30503</v>
      </c>
      <c r="B1486" s="13">
        <f t="shared" si="314"/>
        <v>29</v>
      </c>
      <c r="C1486" s="15">
        <f t="shared" si="315"/>
        <v>20</v>
      </c>
      <c r="D1486" s="14">
        <f t="shared" si="316"/>
        <v>17</v>
      </c>
      <c r="E1486" t="s">
        <v>2777</v>
      </c>
      <c r="F1486" t="s">
        <v>2836</v>
      </c>
      <c r="G1486" t="s">
        <v>2779</v>
      </c>
      <c r="H1486" t="s">
        <v>2779</v>
      </c>
      <c r="I1486" t="s">
        <v>2780</v>
      </c>
      <c r="J1486" s="4" t="s">
        <v>2845</v>
      </c>
      <c r="K1486" t="s">
        <v>179</v>
      </c>
      <c r="L1486" t="s">
        <v>163</v>
      </c>
      <c r="M1486" t="s">
        <v>163</v>
      </c>
      <c r="N1486" t="s">
        <v>163</v>
      </c>
      <c r="O1486" s="4" t="s">
        <v>2279</v>
      </c>
      <c r="P1486">
        <v>0</v>
      </c>
      <c r="Q1486" s="24">
        <v>104.8</v>
      </c>
      <c r="R1486" s="25">
        <v>149</v>
      </c>
      <c r="S1486" s="26">
        <v>89.3</v>
      </c>
    </row>
    <row r="1487" spans="1:19" ht="14.25" x14ac:dyDescent="0.2">
      <c r="A1487" s="12">
        <v>30504</v>
      </c>
      <c r="B1487" s="13">
        <f t="shared" si="314"/>
        <v>29</v>
      </c>
      <c r="C1487" s="15">
        <f t="shared" si="315"/>
        <v>20</v>
      </c>
      <c r="D1487" s="14">
        <f t="shared" si="316"/>
        <v>17</v>
      </c>
      <c r="E1487" t="s">
        <v>2777</v>
      </c>
      <c r="F1487" t="s">
        <v>2837</v>
      </c>
      <c r="G1487" t="s">
        <v>2779</v>
      </c>
      <c r="H1487" t="s">
        <v>2779</v>
      </c>
      <c r="I1487" t="s">
        <v>2780</v>
      </c>
      <c r="J1487" s="4" t="s">
        <v>2845</v>
      </c>
      <c r="K1487" t="s">
        <v>177</v>
      </c>
      <c r="L1487" t="s">
        <v>163</v>
      </c>
      <c r="M1487" t="s">
        <v>163</v>
      </c>
      <c r="N1487" t="s">
        <v>163</v>
      </c>
      <c r="O1487" s="4" t="s">
        <v>2279</v>
      </c>
      <c r="P1487">
        <v>0</v>
      </c>
      <c r="Q1487" s="24">
        <v>104.8</v>
      </c>
      <c r="R1487" s="25">
        <v>149</v>
      </c>
      <c r="S1487" s="26">
        <v>89.3</v>
      </c>
    </row>
    <row r="1488" spans="1:19" ht="14.25" x14ac:dyDescent="0.2">
      <c r="A1488" s="12">
        <v>30505</v>
      </c>
      <c r="B1488" s="13">
        <f t="shared" si="314"/>
        <v>29</v>
      </c>
      <c r="C1488" s="15">
        <f t="shared" si="315"/>
        <v>20</v>
      </c>
      <c r="D1488" s="14">
        <f t="shared" si="316"/>
        <v>17</v>
      </c>
      <c r="E1488" t="s">
        <v>2785</v>
      </c>
      <c r="F1488" t="s">
        <v>2786</v>
      </c>
      <c r="G1488" t="s">
        <v>2830</v>
      </c>
      <c r="H1488" t="s">
        <v>2829</v>
      </c>
      <c r="I1488" t="s">
        <v>2697</v>
      </c>
      <c r="J1488" s="4" t="s">
        <v>2865</v>
      </c>
      <c r="K1488" t="s">
        <v>174</v>
      </c>
      <c r="L1488" t="s">
        <v>163</v>
      </c>
      <c r="M1488" t="s">
        <v>163</v>
      </c>
      <c r="N1488" t="s">
        <v>163</v>
      </c>
      <c r="O1488" s="4" t="s">
        <v>2281</v>
      </c>
      <c r="P1488">
        <v>0</v>
      </c>
      <c r="Q1488" s="24">
        <v>104.8</v>
      </c>
      <c r="R1488" s="25">
        <v>149</v>
      </c>
      <c r="S1488" s="26">
        <v>89.3</v>
      </c>
    </row>
    <row r="1489" spans="1:19" ht="14.25" x14ac:dyDescent="0.2">
      <c r="A1489" s="12">
        <v>30506</v>
      </c>
      <c r="B1489" s="13">
        <f t="shared" si="314"/>
        <v>29</v>
      </c>
      <c r="C1489" s="15">
        <f t="shared" si="315"/>
        <v>20</v>
      </c>
      <c r="D1489" s="14">
        <f t="shared" si="316"/>
        <v>17</v>
      </c>
      <c r="E1489" t="s">
        <v>2777</v>
      </c>
      <c r="F1489" t="s">
        <v>2834</v>
      </c>
      <c r="G1489" t="s">
        <v>2779</v>
      </c>
      <c r="H1489" t="s">
        <v>2779</v>
      </c>
      <c r="I1489" t="s">
        <v>2780</v>
      </c>
      <c r="J1489" s="4" t="s">
        <v>2845</v>
      </c>
      <c r="K1489" t="s">
        <v>182</v>
      </c>
      <c r="L1489" t="s">
        <v>163</v>
      </c>
      <c r="M1489" t="s">
        <v>163</v>
      </c>
      <c r="N1489" t="s">
        <v>163</v>
      </c>
      <c r="O1489" s="4" t="s">
        <v>2283</v>
      </c>
      <c r="P1489">
        <v>0</v>
      </c>
      <c r="Q1489" s="24">
        <v>105.2</v>
      </c>
      <c r="R1489" s="25">
        <v>149.5</v>
      </c>
      <c r="S1489" s="26">
        <v>89.5</v>
      </c>
    </row>
    <row r="1490" spans="1:19" ht="14.25" x14ac:dyDescent="0.2">
      <c r="A1490" s="12">
        <v>30507</v>
      </c>
      <c r="B1490" s="13">
        <f t="shared" si="314"/>
        <v>29</v>
      </c>
      <c r="C1490" s="15">
        <f t="shared" si="315"/>
        <v>20</v>
      </c>
      <c r="D1490" s="14">
        <f t="shared" si="316"/>
        <v>17</v>
      </c>
      <c r="E1490" t="s">
        <v>2777</v>
      </c>
      <c r="F1490" t="s">
        <v>2835</v>
      </c>
      <c r="G1490" t="s">
        <v>2779</v>
      </c>
      <c r="H1490" t="s">
        <v>2779</v>
      </c>
      <c r="I1490" t="s">
        <v>2780</v>
      </c>
      <c r="J1490" s="4" t="s">
        <v>2845</v>
      </c>
      <c r="K1490" t="s">
        <v>162</v>
      </c>
      <c r="L1490" t="s">
        <v>163</v>
      </c>
      <c r="M1490" t="s">
        <v>163</v>
      </c>
      <c r="N1490" t="s">
        <v>163</v>
      </c>
      <c r="O1490" s="4" t="s">
        <v>2283</v>
      </c>
      <c r="P1490">
        <v>0</v>
      </c>
      <c r="Q1490" s="24">
        <v>105.2</v>
      </c>
      <c r="R1490" s="25">
        <v>149.5</v>
      </c>
      <c r="S1490" s="26">
        <v>89.5</v>
      </c>
    </row>
    <row r="1491" spans="1:19" ht="14.25" x14ac:dyDescent="0.2">
      <c r="A1491" s="12">
        <v>30508</v>
      </c>
      <c r="B1491" s="13">
        <f t="shared" si="314"/>
        <v>29</v>
      </c>
      <c r="C1491" s="15">
        <f t="shared" si="315"/>
        <v>21</v>
      </c>
      <c r="D1491" s="14">
        <f t="shared" si="316"/>
        <v>17</v>
      </c>
      <c r="E1491" t="s">
        <v>2777</v>
      </c>
      <c r="F1491" t="s">
        <v>2836</v>
      </c>
      <c r="G1491" t="s">
        <v>2779</v>
      </c>
      <c r="H1491" t="s">
        <v>2779</v>
      </c>
      <c r="I1491" t="s">
        <v>2780</v>
      </c>
      <c r="J1491" s="4" t="s">
        <v>2845</v>
      </c>
      <c r="K1491" t="s">
        <v>177</v>
      </c>
      <c r="L1491" t="s">
        <v>163</v>
      </c>
      <c r="M1491" t="s">
        <v>163</v>
      </c>
      <c r="N1491" t="s">
        <v>163</v>
      </c>
      <c r="O1491" s="4" t="s">
        <v>2285</v>
      </c>
      <c r="P1491">
        <v>0</v>
      </c>
      <c r="Q1491" s="24">
        <v>105.2</v>
      </c>
      <c r="R1491" s="25">
        <v>149.5</v>
      </c>
      <c r="S1491" s="26">
        <v>89.5</v>
      </c>
    </row>
    <row r="1492" spans="1:19" ht="14.25" x14ac:dyDescent="0.2">
      <c r="A1492" s="12">
        <v>30509</v>
      </c>
      <c r="B1492" s="13">
        <f t="shared" si="314"/>
        <v>29</v>
      </c>
      <c r="C1492" s="15">
        <f t="shared" si="315"/>
        <v>21</v>
      </c>
      <c r="D1492" s="14">
        <f t="shared" si="316"/>
        <v>17</v>
      </c>
      <c r="E1492" t="s">
        <v>2777</v>
      </c>
      <c r="F1492" t="s">
        <v>2837</v>
      </c>
      <c r="G1492" t="s">
        <v>2779</v>
      </c>
      <c r="H1492" t="s">
        <v>2779</v>
      </c>
      <c r="I1492" t="s">
        <v>2780</v>
      </c>
      <c r="J1492" s="4" t="s">
        <v>2845</v>
      </c>
      <c r="K1492" t="s">
        <v>174</v>
      </c>
      <c r="L1492" t="s">
        <v>163</v>
      </c>
      <c r="M1492" t="s">
        <v>163</v>
      </c>
      <c r="N1492" t="s">
        <v>163</v>
      </c>
      <c r="O1492" s="4" t="s">
        <v>2287</v>
      </c>
      <c r="P1492">
        <v>0</v>
      </c>
      <c r="Q1492" s="24">
        <v>105.2</v>
      </c>
      <c r="R1492" s="25">
        <v>149.5</v>
      </c>
      <c r="S1492" s="26">
        <v>89.5</v>
      </c>
    </row>
    <row r="1493" spans="1:19" ht="14.25" x14ac:dyDescent="0.2">
      <c r="A1493" s="12">
        <v>30510</v>
      </c>
      <c r="B1493" s="13">
        <f t="shared" si="314"/>
        <v>29</v>
      </c>
      <c r="C1493" s="15">
        <f t="shared" si="315"/>
        <v>21</v>
      </c>
      <c r="D1493" s="14">
        <f t="shared" si="316"/>
        <v>17</v>
      </c>
      <c r="E1493" t="s">
        <v>2785</v>
      </c>
      <c r="F1493" t="s">
        <v>2786</v>
      </c>
      <c r="G1493" t="s">
        <v>2831</v>
      </c>
      <c r="H1493" t="s">
        <v>2829</v>
      </c>
      <c r="I1493" t="s">
        <v>2697</v>
      </c>
      <c r="J1493" s="4" t="s">
        <v>2865</v>
      </c>
      <c r="K1493" t="s">
        <v>166</v>
      </c>
      <c r="L1493" t="s">
        <v>163</v>
      </c>
      <c r="M1493" t="s">
        <v>163</v>
      </c>
      <c r="N1493" t="s">
        <v>163</v>
      </c>
      <c r="O1493" s="4" t="s">
        <v>2287</v>
      </c>
      <c r="P1493">
        <v>0</v>
      </c>
      <c r="Q1493" s="24">
        <v>105.2</v>
      </c>
      <c r="R1493" s="25">
        <v>149.5</v>
      </c>
      <c r="S1493" s="26">
        <v>89.5</v>
      </c>
    </row>
    <row r="1494" spans="1:19" ht="14.25" x14ac:dyDescent="0.2">
      <c r="A1494" s="12">
        <v>30511</v>
      </c>
      <c r="B1494" s="13">
        <f t="shared" si="314"/>
        <v>29</v>
      </c>
      <c r="C1494" s="15">
        <f t="shared" si="315"/>
        <v>21</v>
      </c>
      <c r="D1494" s="14">
        <f t="shared" si="316"/>
        <v>17</v>
      </c>
      <c r="E1494" t="s">
        <v>2777</v>
      </c>
      <c r="F1494" t="s">
        <v>2834</v>
      </c>
      <c r="G1494" t="s">
        <v>2779</v>
      </c>
      <c r="H1494" t="s">
        <v>2779</v>
      </c>
      <c r="I1494" t="s">
        <v>2780</v>
      </c>
      <c r="J1494" s="4" t="s">
        <v>2845</v>
      </c>
      <c r="K1494" t="s">
        <v>168</v>
      </c>
      <c r="L1494" t="s">
        <v>163</v>
      </c>
      <c r="M1494" t="s">
        <v>163</v>
      </c>
      <c r="N1494" t="s">
        <v>163</v>
      </c>
      <c r="O1494" s="4" t="s">
        <v>2289</v>
      </c>
      <c r="P1494">
        <v>0</v>
      </c>
      <c r="Q1494" s="24">
        <v>105.5</v>
      </c>
      <c r="R1494" s="25">
        <v>150</v>
      </c>
      <c r="S1494" s="26">
        <v>89.8</v>
      </c>
    </row>
    <row r="1495" spans="1:19" ht="14.25" x14ac:dyDescent="0.2">
      <c r="A1495" s="12">
        <v>30512</v>
      </c>
      <c r="B1495" s="13">
        <f t="shared" si="314"/>
        <v>29</v>
      </c>
      <c r="C1495" s="15">
        <f t="shared" si="315"/>
        <v>21</v>
      </c>
      <c r="D1495" s="14">
        <f t="shared" si="316"/>
        <v>17</v>
      </c>
      <c r="E1495" t="s">
        <v>2777</v>
      </c>
      <c r="F1495" t="s">
        <v>2835</v>
      </c>
      <c r="G1495" t="s">
        <v>2779</v>
      </c>
      <c r="H1495" t="s">
        <v>2779</v>
      </c>
      <c r="I1495" t="s">
        <v>2780</v>
      </c>
      <c r="J1495" s="4" t="s">
        <v>2845</v>
      </c>
      <c r="K1495" t="s">
        <v>175</v>
      </c>
      <c r="L1495" t="s">
        <v>164</v>
      </c>
      <c r="M1495" t="s">
        <v>163</v>
      </c>
      <c r="N1495" t="s">
        <v>167</v>
      </c>
      <c r="O1495" s="4" t="s">
        <v>2291</v>
      </c>
      <c r="P1495">
        <v>0</v>
      </c>
      <c r="Q1495" s="24">
        <v>105.5</v>
      </c>
      <c r="R1495" s="25">
        <v>150</v>
      </c>
      <c r="S1495" s="26">
        <v>89.8</v>
      </c>
    </row>
    <row r="1496" spans="1:19" ht="14.25" x14ac:dyDescent="0.2">
      <c r="A1496" s="12">
        <v>30513</v>
      </c>
      <c r="B1496" s="13">
        <f t="shared" si="314"/>
        <v>30</v>
      </c>
      <c r="C1496" s="15">
        <f t="shared" si="315"/>
        <v>21</v>
      </c>
      <c r="D1496" s="14">
        <f t="shared" si="316"/>
        <v>17</v>
      </c>
      <c r="E1496" t="s">
        <v>2777</v>
      </c>
      <c r="F1496" t="s">
        <v>2836</v>
      </c>
      <c r="G1496" t="s">
        <v>2779</v>
      </c>
      <c r="H1496" t="s">
        <v>2779</v>
      </c>
      <c r="I1496" t="s">
        <v>2780</v>
      </c>
      <c r="J1496" s="4" t="s">
        <v>2845</v>
      </c>
      <c r="K1496" t="s">
        <v>179</v>
      </c>
      <c r="L1496" t="s">
        <v>163</v>
      </c>
      <c r="M1496" t="s">
        <v>163</v>
      </c>
      <c r="N1496" t="s">
        <v>163</v>
      </c>
      <c r="O1496" s="4" t="s">
        <v>2293</v>
      </c>
      <c r="P1496">
        <v>0</v>
      </c>
      <c r="Q1496" s="24">
        <v>105.5</v>
      </c>
      <c r="R1496" s="25">
        <v>150</v>
      </c>
      <c r="S1496" s="26">
        <v>89.8</v>
      </c>
    </row>
    <row r="1497" spans="1:19" ht="14.25" x14ac:dyDescent="0.2">
      <c r="A1497" s="12">
        <v>30514</v>
      </c>
      <c r="B1497" s="13">
        <f t="shared" si="314"/>
        <v>30</v>
      </c>
      <c r="C1497" s="15">
        <f t="shared" si="315"/>
        <v>21</v>
      </c>
      <c r="D1497" s="14">
        <f t="shared" si="316"/>
        <v>17</v>
      </c>
      <c r="E1497" t="s">
        <v>2777</v>
      </c>
      <c r="F1497" t="s">
        <v>2837</v>
      </c>
      <c r="G1497" t="s">
        <v>2779</v>
      </c>
      <c r="H1497" t="s">
        <v>2779</v>
      </c>
      <c r="I1497" t="s">
        <v>2780</v>
      </c>
      <c r="J1497" s="4" t="s">
        <v>2845</v>
      </c>
      <c r="K1497" t="s">
        <v>177</v>
      </c>
      <c r="L1497" t="s">
        <v>163</v>
      </c>
      <c r="M1497" t="s">
        <v>163</v>
      </c>
      <c r="N1497" t="s">
        <v>163</v>
      </c>
      <c r="O1497" s="4" t="s">
        <v>2293</v>
      </c>
      <c r="P1497">
        <v>0</v>
      </c>
      <c r="Q1497" s="24">
        <v>105.5</v>
      </c>
      <c r="R1497" s="25">
        <v>150</v>
      </c>
      <c r="S1497" s="26">
        <v>89.8</v>
      </c>
    </row>
    <row r="1498" spans="1:19" ht="14.25" x14ac:dyDescent="0.2">
      <c r="A1498" s="12">
        <v>30515</v>
      </c>
      <c r="B1498" s="13">
        <f t="shared" si="314"/>
        <v>30</v>
      </c>
      <c r="C1498" s="15">
        <f t="shared" si="315"/>
        <v>21</v>
      </c>
      <c r="D1498" s="14">
        <f t="shared" si="316"/>
        <v>17</v>
      </c>
      <c r="E1498" t="s">
        <v>2785</v>
      </c>
      <c r="F1498" t="s">
        <v>2786</v>
      </c>
      <c r="G1498" t="s">
        <v>2832</v>
      </c>
      <c r="H1498" t="s">
        <v>2829</v>
      </c>
      <c r="I1498" t="s">
        <v>2697</v>
      </c>
      <c r="J1498" s="4" t="s">
        <v>2865</v>
      </c>
      <c r="K1498" t="s">
        <v>174</v>
      </c>
      <c r="L1498" t="s">
        <v>163</v>
      </c>
      <c r="M1498" t="s">
        <v>163</v>
      </c>
      <c r="N1498" t="s">
        <v>163</v>
      </c>
      <c r="O1498" s="4" t="s">
        <v>2295</v>
      </c>
      <c r="P1498">
        <v>0</v>
      </c>
      <c r="Q1498" s="24">
        <v>105.5</v>
      </c>
      <c r="R1498" s="25">
        <v>150</v>
      </c>
      <c r="S1498" s="26">
        <v>89.8</v>
      </c>
    </row>
    <row r="1499" spans="1:19" ht="14.25" x14ac:dyDescent="0.2">
      <c r="A1499" s="12">
        <v>30516</v>
      </c>
      <c r="B1499" s="13">
        <f t="shared" si="314"/>
        <v>30</v>
      </c>
      <c r="C1499" s="15">
        <f t="shared" si="315"/>
        <v>21</v>
      </c>
      <c r="D1499" s="14">
        <f t="shared" si="316"/>
        <v>17</v>
      </c>
      <c r="E1499" t="s">
        <v>2777</v>
      </c>
      <c r="F1499" t="s">
        <v>2834</v>
      </c>
      <c r="G1499" t="s">
        <v>2779</v>
      </c>
      <c r="H1499" t="s">
        <v>2779</v>
      </c>
      <c r="I1499" t="s">
        <v>2780</v>
      </c>
      <c r="J1499" s="4" t="s">
        <v>2845</v>
      </c>
      <c r="K1499" t="s">
        <v>182</v>
      </c>
      <c r="L1499" t="s">
        <v>163</v>
      </c>
      <c r="M1499" t="s">
        <v>163</v>
      </c>
      <c r="N1499" t="s">
        <v>163</v>
      </c>
      <c r="O1499" s="4" t="s">
        <v>2297</v>
      </c>
      <c r="P1499">
        <v>0</v>
      </c>
      <c r="Q1499" s="24">
        <v>105.8</v>
      </c>
      <c r="R1499" s="25">
        <v>150.5</v>
      </c>
      <c r="S1499" s="26">
        <v>90</v>
      </c>
    </row>
    <row r="1500" spans="1:19" ht="14.25" x14ac:dyDescent="0.2">
      <c r="A1500" s="12">
        <v>30517</v>
      </c>
      <c r="B1500" s="13">
        <f t="shared" si="314"/>
        <v>30</v>
      </c>
      <c r="C1500" s="15">
        <f t="shared" si="315"/>
        <v>21</v>
      </c>
      <c r="D1500" s="14">
        <f t="shared" si="316"/>
        <v>17</v>
      </c>
      <c r="E1500" t="s">
        <v>2777</v>
      </c>
      <c r="F1500" t="s">
        <v>2835</v>
      </c>
      <c r="G1500" t="s">
        <v>2779</v>
      </c>
      <c r="H1500" t="s">
        <v>2779</v>
      </c>
      <c r="I1500" t="s">
        <v>2780</v>
      </c>
      <c r="J1500" s="4" t="s">
        <v>2845</v>
      </c>
      <c r="K1500" t="s">
        <v>162</v>
      </c>
      <c r="L1500" t="s">
        <v>163</v>
      </c>
      <c r="M1500" t="s">
        <v>163</v>
      </c>
      <c r="N1500" t="s">
        <v>163</v>
      </c>
      <c r="O1500" s="4" t="s">
        <v>2297</v>
      </c>
      <c r="P1500">
        <v>0</v>
      </c>
      <c r="Q1500" s="24">
        <v>105.8</v>
      </c>
      <c r="R1500" s="25">
        <v>150.5</v>
      </c>
      <c r="S1500" s="26">
        <v>90</v>
      </c>
    </row>
    <row r="1501" spans="1:19" ht="14.25" x14ac:dyDescent="0.2">
      <c r="A1501" s="12">
        <v>30518</v>
      </c>
      <c r="B1501" s="13">
        <f t="shared" si="314"/>
        <v>30</v>
      </c>
      <c r="C1501" s="15">
        <f t="shared" si="315"/>
        <v>21</v>
      </c>
      <c r="D1501" s="14">
        <f t="shared" si="316"/>
        <v>18</v>
      </c>
      <c r="E1501" t="s">
        <v>2777</v>
      </c>
      <c r="F1501" t="s">
        <v>2836</v>
      </c>
      <c r="G1501" t="s">
        <v>2779</v>
      </c>
      <c r="H1501" t="s">
        <v>2779</v>
      </c>
      <c r="I1501" t="s">
        <v>2780</v>
      </c>
      <c r="J1501" s="4" t="s">
        <v>2845</v>
      </c>
      <c r="K1501" t="s">
        <v>177</v>
      </c>
      <c r="L1501" t="s">
        <v>163</v>
      </c>
      <c r="M1501" t="s">
        <v>163</v>
      </c>
      <c r="N1501" t="s">
        <v>163</v>
      </c>
      <c r="O1501" s="4" t="s">
        <v>2299</v>
      </c>
      <c r="P1501">
        <v>0</v>
      </c>
      <c r="Q1501" s="24">
        <v>105.8</v>
      </c>
      <c r="R1501" s="25">
        <v>150.5</v>
      </c>
      <c r="S1501" s="26">
        <v>90</v>
      </c>
    </row>
    <row r="1502" spans="1:19" ht="14.25" x14ac:dyDescent="0.2">
      <c r="A1502" s="12">
        <v>30519</v>
      </c>
      <c r="B1502" s="13">
        <f t="shared" si="314"/>
        <v>30</v>
      </c>
      <c r="C1502" s="15">
        <f t="shared" si="315"/>
        <v>21</v>
      </c>
      <c r="D1502" s="14">
        <f t="shared" si="316"/>
        <v>18</v>
      </c>
      <c r="E1502" t="s">
        <v>2777</v>
      </c>
      <c r="F1502" t="s">
        <v>2837</v>
      </c>
      <c r="G1502" t="s">
        <v>2779</v>
      </c>
      <c r="H1502" t="s">
        <v>2779</v>
      </c>
      <c r="I1502" t="s">
        <v>2780</v>
      </c>
      <c r="J1502" s="4" t="s">
        <v>2845</v>
      </c>
      <c r="K1502" t="s">
        <v>174</v>
      </c>
      <c r="L1502" t="s">
        <v>163</v>
      </c>
      <c r="M1502" t="s">
        <v>163</v>
      </c>
      <c r="N1502" t="s">
        <v>163</v>
      </c>
      <c r="O1502" s="4" t="s">
        <v>2301</v>
      </c>
      <c r="P1502">
        <v>0</v>
      </c>
      <c r="Q1502" s="24">
        <v>105.8</v>
      </c>
      <c r="R1502" s="25">
        <v>150.5</v>
      </c>
      <c r="S1502" s="26">
        <v>90</v>
      </c>
    </row>
    <row r="1503" spans="1:19" ht="14.25" x14ac:dyDescent="0.2">
      <c r="A1503" s="12">
        <v>30520</v>
      </c>
      <c r="B1503" s="13">
        <f t="shared" si="314"/>
        <v>30</v>
      </c>
      <c r="C1503" s="15">
        <f t="shared" si="315"/>
        <v>21</v>
      </c>
      <c r="D1503" s="14">
        <f t="shared" si="316"/>
        <v>18</v>
      </c>
      <c r="E1503" t="s">
        <v>2785</v>
      </c>
      <c r="F1503" t="s">
        <v>2786</v>
      </c>
      <c r="G1503" t="s">
        <v>2833</v>
      </c>
      <c r="H1503" t="s">
        <v>2829</v>
      </c>
      <c r="I1503" t="s">
        <v>2697</v>
      </c>
      <c r="J1503" s="4" t="s">
        <v>2883</v>
      </c>
      <c r="K1503" t="s">
        <v>166</v>
      </c>
      <c r="L1503" t="s">
        <v>163</v>
      </c>
      <c r="M1503" t="s">
        <v>163</v>
      </c>
      <c r="N1503" t="s">
        <v>163</v>
      </c>
      <c r="O1503" s="4" t="s">
        <v>2301</v>
      </c>
      <c r="P1503">
        <v>0</v>
      </c>
      <c r="Q1503" s="24">
        <v>105.8</v>
      </c>
      <c r="R1503" s="25">
        <v>150.5</v>
      </c>
      <c r="S1503" s="26">
        <v>90</v>
      </c>
    </row>
    <row r="1504" spans="1:19" ht="14.25" x14ac:dyDescent="0.2">
      <c r="A1504" s="12">
        <v>30521</v>
      </c>
      <c r="B1504" s="13">
        <f t="shared" si="314"/>
        <v>30</v>
      </c>
      <c r="C1504" s="15">
        <f t="shared" si="315"/>
        <v>21</v>
      </c>
      <c r="D1504" s="14">
        <f t="shared" si="316"/>
        <v>18</v>
      </c>
      <c r="E1504" t="s">
        <v>2777</v>
      </c>
      <c r="F1504" t="s">
        <v>2834</v>
      </c>
      <c r="G1504" t="s">
        <v>2779</v>
      </c>
      <c r="H1504" t="s">
        <v>2779</v>
      </c>
      <c r="I1504" t="s">
        <v>2780</v>
      </c>
      <c r="J1504" s="4" t="s">
        <v>2845</v>
      </c>
      <c r="K1504" t="s">
        <v>168</v>
      </c>
      <c r="L1504" t="s">
        <v>163</v>
      </c>
      <c r="M1504" t="s">
        <v>163</v>
      </c>
      <c r="N1504" t="s">
        <v>163</v>
      </c>
      <c r="O1504" s="4" t="s">
        <v>2303</v>
      </c>
      <c r="P1504">
        <v>0</v>
      </c>
      <c r="Q1504" s="24">
        <v>106.2</v>
      </c>
      <c r="R1504" s="25">
        <v>151</v>
      </c>
      <c r="S1504" s="26">
        <v>90.3</v>
      </c>
    </row>
    <row r="1505" spans="1:19" ht="14.25" x14ac:dyDescent="0.2">
      <c r="A1505" s="12">
        <v>30522</v>
      </c>
      <c r="B1505" s="13">
        <f t="shared" si="314"/>
        <v>30</v>
      </c>
      <c r="C1505" s="15">
        <f t="shared" si="315"/>
        <v>21</v>
      </c>
      <c r="D1505" s="14">
        <f t="shared" si="316"/>
        <v>18</v>
      </c>
      <c r="E1505" t="s">
        <v>2777</v>
      </c>
      <c r="F1505" t="s">
        <v>2835</v>
      </c>
      <c r="G1505" t="s">
        <v>2779</v>
      </c>
      <c r="H1505" t="s">
        <v>2779</v>
      </c>
      <c r="I1505" t="s">
        <v>2780</v>
      </c>
      <c r="J1505" s="4" t="s">
        <v>2845</v>
      </c>
      <c r="K1505" t="s">
        <v>175</v>
      </c>
      <c r="L1505" t="s">
        <v>164</v>
      </c>
      <c r="M1505" t="s">
        <v>163</v>
      </c>
      <c r="N1505" t="s">
        <v>167</v>
      </c>
      <c r="O1505" s="4" t="s">
        <v>2305</v>
      </c>
      <c r="P1505">
        <v>0</v>
      </c>
      <c r="Q1505" s="24">
        <v>106.2</v>
      </c>
      <c r="R1505" s="25">
        <v>151</v>
      </c>
      <c r="S1505" s="26">
        <v>90.3</v>
      </c>
    </row>
    <row r="1506" spans="1:19" ht="14.25" x14ac:dyDescent="0.2">
      <c r="A1506" s="12">
        <v>30523</v>
      </c>
      <c r="B1506" s="13">
        <f t="shared" si="314"/>
        <v>30</v>
      </c>
      <c r="C1506" s="15">
        <f t="shared" si="315"/>
        <v>21</v>
      </c>
      <c r="D1506" s="14">
        <f t="shared" si="316"/>
        <v>18</v>
      </c>
      <c r="E1506" t="s">
        <v>2777</v>
      </c>
      <c r="F1506" t="s">
        <v>2836</v>
      </c>
      <c r="G1506" t="s">
        <v>2779</v>
      </c>
      <c r="H1506" t="s">
        <v>2779</v>
      </c>
      <c r="I1506" t="s">
        <v>2780</v>
      </c>
      <c r="J1506" s="4" t="s">
        <v>2845</v>
      </c>
      <c r="K1506" t="s">
        <v>179</v>
      </c>
      <c r="L1506" t="s">
        <v>163</v>
      </c>
      <c r="M1506" t="s">
        <v>163</v>
      </c>
      <c r="N1506" t="s">
        <v>163</v>
      </c>
      <c r="O1506" s="4" t="s">
        <v>2307</v>
      </c>
      <c r="P1506">
        <v>0</v>
      </c>
      <c r="Q1506" s="24">
        <v>106.2</v>
      </c>
      <c r="R1506" s="25">
        <v>151</v>
      </c>
      <c r="S1506" s="26">
        <v>90.3</v>
      </c>
    </row>
    <row r="1507" spans="1:19" ht="14.25" x14ac:dyDescent="0.2">
      <c r="A1507" s="12">
        <v>30524</v>
      </c>
      <c r="B1507" s="13">
        <f t="shared" si="314"/>
        <v>30</v>
      </c>
      <c r="C1507" s="15">
        <f t="shared" si="315"/>
        <v>21</v>
      </c>
      <c r="D1507" s="14">
        <f t="shared" si="316"/>
        <v>18</v>
      </c>
      <c r="E1507" t="s">
        <v>2777</v>
      </c>
      <c r="F1507" t="s">
        <v>2837</v>
      </c>
      <c r="G1507" t="s">
        <v>2779</v>
      </c>
      <c r="H1507" t="s">
        <v>2779</v>
      </c>
      <c r="I1507" t="s">
        <v>2780</v>
      </c>
      <c r="J1507" s="4" t="s">
        <v>2845</v>
      </c>
      <c r="K1507" t="s">
        <v>177</v>
      </c>
      <c r="L1507" t="s">
        <v>163</v>
      </c>
      <c r="M1507" t="s">
        <v>163</v>
      </c>
      <c r="N1507" t="s">
        <v>163</v>
      </c>
      <c r="O1507" s="4" t="s">
        <v>2307</v>
      </c>
      <c r="P1507">
        <v>0</v>
      </c>
      <c r="Q1507" s="24">
        <v>106.2</v>
      </c>
      <c r="R1507" s="25">
        <v>151</v>
      </c>
      <c r="S1507" s="26">
        <v>90.3</v>
      </c>
    </row>
    <row r="1508" spans="1:19" ht="14.25" x14ac:dyDescent="0.2">
      <c r="A1508" s="12">
        <v>30525</v>
      </c>
      <c r="B1508" s="13">
        <f t="shared" si="314"/>
        <v>30</v>
      </c>
      <c r="C1508" s="15">
        <f t="shared" si="315"/>
        <v>21</v>
      </c>
      <c r="D1508" s="14">
        <f t="shared" si="316"/>
        <v>18</v>
      </c>
      <c r="E1508" t="s">
        <v>2785</v>
      </c>
      <c r="F1508" t="s">
        <v>2786</v>
      </c>
      <c r="G1508" t="s">
        <v>2828</v>
      </c>
      <c r="H1508" t="s">
        <v>2829</v>
      </c>
      <c r="I1508" t="s">
        <v>2697</v>
      </c>
      <c r="J1508" s="4" t="s">
        <v>2883</v>
      </c>
      <c r="K1508" t="s">
        <v>174</v>
      </c>
      <c r="L1508" t="s">
        <v>163</v>
      </c>
      <c r="M1508" t="s">
        <v>163</v>
      </c>
      <c r="N1508" t="s">
        <v>163</v>
      </c>
      <c r="O1508" s="4" t="s">
        <v>2309</v>
      </c>
      <c r="P1508">
        <v>0</v>
      </c>
      <c r="Q1508" s="24">
        <v>106.2</v>
      </c>
      <c r="R1508" s="25">
        <v>151</v>
      </c>
      <c r="S1508" s="26">
        <v>90.3</v>
      </c>
    </row>
    <row r="1509" spans="1:19" ht="14.25" x14ac:dyDescent="0.2">
      <c r="A1509" s="12">
        <v>30526</v>
      </c>
      <c r="B1509" s="13">
        <f t="shared" si="314"/>
        <v>30</v>
      </c>
      <c r="C1509" s="15">
        <f t="shared" si="315"/>
        <v>21</v>
      </c>
      <c r="D1509" s="14">
        <f t="shared" si="316"/>
        <v>18</v>
      </c>
      <c r="E1509" t="s">
        <v>2777</v>
      </c>
      <c r="F1509" t="s">
        <v>2834</v>
      </c>
      <c r="G1509" t="s">
        <v>2779</v>
      </c>
      <c r="H1509" t="s">
        <v>2779</v>
      </c>
      <c r="I1509" t="s">
        <v>2780</v>
      </c>
      <c r="J1509" s="4" t="s">
        <v>2845</v>
      </c>
      <c r="K1509" t="s">
        <v>182</v>
      </c>
      <c r="L1509" t="s">
        <v>163</v>
      </c>
      <c r="M1509" t="s">
        <v>163</v>
      </c>
      <c r="N1509" t="s">
        <v>163</v>
      </c>
      <c r="O1509" s="4" t="s">
        <v>2311</v>
      </c>
      <c r="P1509">
        <v>0</v>
      </c>
      <c r="Q1509" s="24">
        <v>106.5</v>
      </c>
      <c r="R1509" s="25">
        <v>151.5</v>
      </c>
      <c r="S1509" s="26">
        <v>90.5</v>
      </c>
    </row>
    <row r="1510" spans="1:19" ht="14.25" x14ac:dyDescent="0.2">
      <c r="A1510" s="12">
        <v>30527</v>
      </c>
      <c r="B1510" s="13">
        <f t="shared" si="314"/>
        <v>30</v>
      </c>
      <c r="C1510" s="15">
        <f t="shared" si="315"/>
        <v>21</v>
      </c>
      <c r="D1510" s="14">
        <f t="shared" si="316"/>
        <v>18</v>
      </c>
      <c r="E1510" t="s">
        <v>2777</v>
      </c>
      <c r="F1510" t="s">
        <v>2835</v>
      </c>
      <c r="G1510" t="s">
        <v>2779</v>
      </c>
      <c r="H1510" t="s">
        <v>2779</v>
      </c>
      <c r="I1510" t="s">
        <v>2780</v>
      </c>
      <c r="J1510" s="4" t="s">
        <v>2845</v>
      </c>
      <c r="K1510" t="s">
        <v>162</v>
      </c>
      <c r="L1510" t="s">
        <v>163</v>
      </c>
      <c r="M1510" t="s">
        <v>163</v>
      </c>
      <c r="N1510" t="s">
        <v>163</v>
      </c>
      <c r="O1510" s="4" t="s">
        <v>2311</v>
      </c>
      <c r="P1510">
        <v>0</v>
      </c>
      <c r="Q1510" s="24">
        <v>106.5</v>
      </c>
      <c r="R1510" s="25">
        <v>151.5</v>
      </c>
      <c r="S1510" s="26">
        <v>90.5</v>
      </c>
    </row>
    <row r="1511" spans="1:19" ht="14.25" x14ac:dyDescent="0.2">
      <c r="A1511" s="12">
        <v>30528</v>
      </c>
      <c r="B1511" s="13">
        <f t="shared" si="314"/>
        <v>30</v>
      </c>
      <c r="C1511" s="15">
        <f t="shared" si="315"/>
        <v>21</v>
      </c>
      <c r="D1511" s="14">
        <f t="shared" si="316"/>
        <v>18</v>
      </c>
      <c r="E1511" t="s">
        <v>2777</v>
      </c>
      <c r="F1511" t="s">
        <v>2836</v>
      </c>
      <c r="G1511" t="s">
        <v>2779</v>
      </c>
      <c r="H1511" t="s">
        <v>2779</v>
      </c>
      <c r="I1511" t="s">
        <v>2780</v>
      </c>
      <c r="J1511" s="4" t="s">
        <v>2845</v>
      </c>
      <c r="K1511" t="s">
        <v>177</v>
      </c>
      <c r="L1511" t="s">
        <v>163</v>
      </c>
      <c r="M1511" t="s">
        <v>163</v>
      </c>
      <c r="N1511" t="s">
        <v>163</v>
      </c>
      <c r="O1511" s="4" t="s">
        <v>2313</v>
      </c>
      <c r="P1511">
        <v>0</v>
      </c>
      <c r="Q1511" s="24">
        <v>106.5</v>
      </c>
      <c r="R1511" s="25">
        <v>151.5</v>
      </c>
      <c r="S1511" s="26">
        <v>90.5</v>
      </c>
    </row>
    <row r="1512" spans="1:19" ht="14.25" x14ac:dyDescent="0.2">
      <c r="A1512" s="12">
        <v>30529</v>
      </c>
      <c r="B1512" s="13">
        <f t="shared" si="314"/>
        <v>30</v>
      </c>
      <c r="C1512" s="15">
        <f t="shared" si="315"/>
        <v>21</v>
      </c>
      <c r="D1512" s="14">
        <f t="shared" si="316"/>
        <v>18</v>
      </c>
      <c r="E1512" t="s">
        <v>2777</v>
      </c>
      <c r="F1512" t="s">
        <v>2837</v>
      </c>
      <c r="G1512" t="s">
        <v>2779</v>
      </c>
      <c r="H1512" t="s">
        <v>2779</v>
      </c>
      <c r="I1512" t="s">
        <v>2780</v>
      </c>
      <c r="J1512" s="4" t="s">
        <v>2845</v>
      </c>
      <c r="K1512" t="s">
        <v>174</v>
      </c>
      <c r="L1512" t="s">
        <v>163</v>
      </c>
      <c r="M1512" t="s">
        <v>163</v>
      </c>
      <c r="N1512" t="s">
        <v>163</v>
      </c>
      <c r="O1512" s="4" t="s">
        <v>2315</v>
      </c>
      <c r="P1512">
        <v>0</v>
      </c>
      <c r="Q1512" s="24">
        <v>106.5</v>
      </c>
      <c r="R1512" s="25">
        <v>151.5</v>
      </c>
      <c r="S1512" s="26">
        <v>90.5</v>
      </c>
    </row>
    <row r="1513" spans="1:19" ht="14.25" x14ac:dyDescent="0.2">
      <c r="A1513" s="12">
        <v>30530</v>
      </c>
      <c r="B1513" s="13">
        <f t="shared" si="314"/>
        <v>30</v>
      </c>
      <c r="C1513" s="15">
        <f t="shared" si="315"/>
        <v>21</v>
      </c>
      <c r="D1513" s="14">
        <f t="shared" si="316"/>
        <v>18</v>
      </c>
      <c r="E1513" t="s">
        <v>2785</v>
      </c>
      <c r="F1513" t="s">
        <v>2786</v>
      </c>
      <c r="G1513" t="s">
        <v>2830</v>
      </c>
      <c r="H1513" t="s">
        <v>2829</v>
      </c>
      <c r="I1513" t="s">
        <v>2697</v>
      </c>
      <c r="J1513" s="4" t="s">
        <v>2865</v>
      </c>
      <c r="K1513" t="s">
        <v>166</v>
      </c>
      <c r="L1513" t="s">
        <v>163</v>
      </c>
      <c r="M1513" t="s">
        <v>163</v>
      </c>
      <c r="N1513" t="s">
        <v>163</v>
      </c>
      <c r="O1513" s="4" t="s">
        <v>2315</v>
      </c>
      <c r="P1513">
        <v>0</v>
      </c>
      <c r="Q1513" s="24">
        <v>106.5</v>
      </c>
      <c r="R1513" s="25">
        <v>151.5</v>
      </c>
      <c r="S1513" s="26">
        <v>90.5</v>
      </c>
    </row>
    <row r="1514" spans="1:19" ht="14.25" x14ac:dyDescent="0.2">
      <c r="A1514" s="12">
        <v>30531</v>
      </c>
      <c r="B1514" s="13">
        <f t="shared" si="314"/>
        <v>30</v>
      </c>
      <c r="C1514" s="15">
        <f t="shared" si="315"/>
        <v>21</v>
      </c>
      <c r="D1514" s="14">
        <f t="shared" si="316"/>
        <v>18</v>
      </c>
      <c r="E1514" t="s">
        <v>2777</v>
      </c>
      <c r="F1514" t="s">
        <v>2834</v>
      </c>
      <c r="G1514" t="s">
        <v>2779</v>
      </c>
      <c r="H1514" t="s">
        <v>2779</v>
      </c>
      <c r="I1514" t="s">
        <v>2780</v>
      </c>
      <c r="J1514" s="4" t="s">
        <v>2845</v>
      </c>
      <c r="K1514" t="s">
        <v>168</v>
      </c>
      <c r="L1514" t="s">
        <v>163</v>
      </c>
      <c r="M1514" t="s">
        <v>163</v>
      </c>
      <c r="N1514" t="s">
        <v>163</v>
      </c>
      <c r="O1514" s="4" t="s">
        <v>2317</v>
      </c>
      <c r="P1514">
        <v>0</v>
      </c>
      <c r="Q1514" s="24">
        <v>106.8</v>
      </c>
      <c r="R1514" s="25">
        <v>152</v>
      </c>
      <c r="S1514" s="26">
        <v>90.8</v>
      </c>
    </row>
    <row r="1515" spans="1:19" ht="14.25" x14ac:dyDescent="0.2">
      <c r="A1515" s="12">
        <v>30532</v>
      </c>
      <c r="B1515" s="13">
        <f t="shared" si="314"/>
        <v>30</v>
      </c>
      <c r="C1515" s="15">
        <f t="shared" si="315"/>
        <v>21</v>
      </c>
      <c r="D1515" s="14">
        <f t="shared" si="316"/>
        <v>18</v>
      </c>
      <c r="E1515" t="s">
        <v>2777</v>
      </c>
      <c r="F1515" t="s">
        <v>2835</v>
      </c>
      <c r="G1515" t="s">
        <v>2779</v>
      </c>
      <c r="H1515" t="s">
        <v>2779</v>
      </c>
      <c r="I1515" t="s">
        <v>2780</v>
      </c>
      <c r="J1515" s="4" t="s">
        <v>2845</v>
      </c>
      <c r="K1515" t="s">
        <v>175</v>
      </c>
      <c r="L1515" t="s">
        <v>164</v>
      </c>
      <c r="M1515" t="s">
        <v>163</v>
      </c>
      <c r="N1515" t="s">
        <v>167</v>
      </c>
      <c r="O1515" s="4" t="s">
        <v>2319</v>
      </c>
      <c r="P1515">
        <v>0</v>
      </c>
      <c r="Q1515" s="24">
        <v>106.8</v>
      </c>
      <c r="R1515" s="25">
        <v>152</v>
      </c>
      <c r="S1515" s="26">
        <v>90.8</v>
      </c>
    </row>
    <row r="1516" spans="1:19" ht="14.25" x14ac:dyDescent="0.2">
      <c r="A1516" s="12">
        <v>30533</v>
      </c>
      <c r="B1516" s="13">
        <f t="shared" si="314"/>
        <v>30</v>
      </c>
      <c r="C1516" s="15">
        <f t="shared" si="315"/>
        <v>21</v>
      </c>
      <c r="D1516" s="14">
        <f t="shared" si="316"/>
        <v>18</v>
      </c>
      <c r="E1516" t="s">
        <v>2777</v>
      </c>
      <c r="F1516" t="s">
        <v>2836</v>
      </c>
      <c r="G1516" t="s">
        <v>2779</v>
      </c>
      <c r="H1516" t="s">
        <v>2779</v>
      </c>
      <c r="I1516" t="s">
        <v>2780</v>
      </c>
      <c r="J1516" s="4" t="s">
        <v>2845</v>
      </c>
      <c r="K1516" t="s">
        <v>179</v>
      </c>
      <c r="L1516" t="s">
        <v>163</v>
      </c>
      <c r="M1516" t="s">
        <v>163</v>
      </c>
      <c r="N1516" t="s">
        <v>163</v>
      </c>
      <c r="O1516" s="4" t="s">
        <v>2321</v>
      </c>
      <c r="P1516">
        <v>0</v>
      </c>
      <c r="Q1516" s="24">
        <v>106.8</v>
      </c>
      <c r="R1516" s="25">
        <v>152</v>
      </c>
      <c r="S1516" s="26">
        <v>90.8</v>
      </c>
    </row>
    <row r="1517" spans="1:19" ht="14.25" x14ac:dyDescent="0.2">
      <c r="A1517" s="12">
        <v>30534</v>
      </c>
      <c r="B1517" s="13">
        <f t="shared" si="314"/>
        <v>30</v>
      </c>
      <c r="C1517" s="15">
        <f t="shared" si="315"/>
        <v>21</v>
      </c>
      <c r="D1517" s="14">
        <f t="shared" si="316"/>
        <v>18</v>
      </c>
      <c r="E1517" t="s">
        <v>2777</v>
      </c>
      <c r="F1517" t="s">
        <v>2837</v>
      </c>
      <c r="G1517" t="s">
        <v>2779</v>
      </c>
      <c r="H1517" t="s">
        <v>2779</v>
      </c>
      <c r="I1517" t="s">
        <v>2780</v>
      </c>
      <c r="J1517" s="4" t="s">
        <v>2845</v>
      </c>
      <c r="K1517" t="s">
        <v>177</v>
      </c>
      <c r="L1517" t="s">
        <v>163</v>
      </c>
      <c r="M1517" t="s">
        <v>163</v>
      </c>
      <c r="N1517" t="s">
        <v>163</v>
      </c>
      <c r="O1517" s="4" t="s">
        <v>2321</v>
      </c>
      <c r="P1517">
        <v>0</v>
      </c>
      <c r="Q1517" s="24">
        <v>106.8</v>
      </c>
      <c r="R1517" s="25">
        <v>152</v>
      </c>
      <c r="S1517" s="26">
        <v>90.8</v>
      </c>
    </row>
    <row r="1518" spans="1:19" ht="14.25" x14ac:dyDescent="0.2">
      <c r="A1518" s="12">
        <v>30535</v>
      </c>
      <c r="B1518" s="13">
        <f t="shared" si="314"/>
        <v>30</v>
      </c>
      <c r="C1518" s="15">
        <f t="shared" si="315"/>
        <v>21</v>
      </c>
      <c r="D1518" s="14">
        <f t="shared" si="316"/>
        <v>18</v>
      </c>
      <c r="E1518" t="s">
        <v>2785</v>
      </c>
      <c r="F1518" t="s">
        <v>2786</v>
      </c>
      <c r="G1518" t="s">
        <v>2831</v>
      </c>
      <c r="H1518" t="s">
        <v>2829</v>
      </c>
      <c r="I1518" t="s">
        <v>2697</v>
      </c>
      <c r="J1518" s="4" t="s">
        <v>2865</v>
      </c>
      <c r="K1518" t="s">
        <v>174</v>
      </c>
      <c r="L1518" t="s">
        <v>163</v>
      </c>
      <c r="M1518" t="s">
        <v>163</v>
      </c>
      <c r="N1518" t="s">
        <v>163</v>
      </c>
      <c r="O1518" s="4" t="s">
        <v>2323</v>
      </c>
      <c r="P1518">
        <v>0</v>
      </c>
      <c r="Q1518" s="24">
        <v>106.8</v>
      </c>
      <c r="R1518" s="25">
        <v>152</v>
      </c>
      <c r="S1518" s="26">
        <v>90.8</v>
      </c>
    </row>
    <row r="1519" spans="1:19" ht="14.25" x14ac:dyDescent="0.2">
      <c r="A1519" s="12">
        <v>30536</v>
      </c>
      <c r="B1519" s="13">
        <f t="shared" si="314"/>
        <v>30</v>
      </c>
      <c r="C1519" s="15">
        <f t="shared" si="315"/>
        <v>21</v>
      </c>
      <c r="D1519" s="14">
        <f t="shared" si="316"/>
        <v>18</v>
      </c>
      <c r="E1519" t="s">
        <v>2777</v>
      </c>
      <c r="F1519" t="s">
        <v>2834</v>
      </c>
      <c r="G1519" t="s">
        <v>2779</v>
      </c>
      <c r="H1519" t="s">
        <v>2779</v>
      </c>
      <c r="I1519" t="s">
        <v>2780</v>
      </c>
      <c r="J1519" s="4" t="s">
        <v>2845</v>
      </c>
      <c r="K1519" t="s">
        <v>182</v>
      </c>
      <c r="L1519" t="s">
        <v>163</v>
      </c>
      <c r="M1519" t="s">
        <v>163</v>
      </c>
      <c r="N1519" t="s">
        <v>163</v>
      </c>
      <c r="O1519" s="4" t="s">
        <v>2325</v>
      </c>
      <c r="P1519">
        <v>0</v>
      </c>
      <c r="Q1519" s="24">
        <v>107.2</v>
      </c>
      <c r="R1519" s="25">
        <v>152.5</v>
      </c>
      <c r="S1519" s="26">
        <v>91</v>
      </c>
    </row>
    <row r="1520" spans="1:19" ht="14.25" x14ac:dyDescent="0.2">
      <c r="A1520" s="12">
        <v>30537</v>
      </c>
      <c r="B1520" s="13">
        <f t="shared" si="314"/>
        <v>30</v>
      </c>
      <c r="C1520" s="15">
        <f t="shared" si="315"/>
        <v>21</v>
      </c>
      <c r="D1520" s="14">
        <f t="shared" si="316"/>
        <v>18</v>
      </c>
      <c r="E1520" t="s">
        <v>2777</v>
      </c>
      <c r="F1520" t="s">
        <v>2835</v>
      </c>
      <c r="G1520" t="s">
        <v>2779</v>
      </c>
      <c r="H1520" t="s">
        <v>2779</v>
      </c>
      <c r="I1520" t="s">
        <v>2780</v>
      </c>
      <c r="J1520" s="4" t="s">
        <v>2845</v>
      </c>
      <c r="K1520" t="s">
        <v>162</v>
      </c>
      <c r="L1520" t="s">
        <v>163</v>
      </c>
      <c r="M1520" t="s">
        <v>163</v>
      </c>
      <c r="N1520" t="s">
        <v>163</v>
      </c>
      <c r="O1520" s="4" t="s">
        <v>2325</v>
      </c>
      <c r="P1520">
        <v>0</v>
      </c>
      <c r="Q1520" s="24">
        <v>107.2</v>
      </c>
      <c r="R1520" s="25">
        <v>152.5</v>
      </c>
      <c r="S1520" s="26">
        <v>91</v>
      </c>
    </row>
    <row r="1521" spans="1:19" ht="14.25" x14ac:dyDescent="0.2">
      <c r="A1521" s="12">
        <v>30538</v>
      </c>
      <c r="B1521" s="13">
        <f t="shared" si="314"/>
        <v>30</v>
      </c>
      <c r="C1521" s="15">
        <f t="shared" si="315"/>
        <v>21</v>
      </c>
      <c r="D1521" s="14">
        <f t="shared" si="316"/>
        <v>18</v>
      </c>
      <c r="E1521" t="s">
        <v>2777</v>
      </c>
      <c r="F1521" t="s">
        <v>2836</v>
      </c>
      <c r="G1521" t="s">
        <v>2779</v>
      </c>
      <c r="H1521" t="s">
        <v>2779</v>
      </c>
      <c r="I1521" t="s">
        <v>2780</v>
      </c>
      <c r="J1521" s="4" t="s">
        <v>2845</v>
      </c>
      <c r="K1521" t="s">
        <v>177</v>
      </c>
      <c r="L1521" t="s">
        <v>163</v>
      </c>
      <c r="M1521" t="s">
        <v>163</v>
      </c>
      <c r="N1521" t="s">
        <v>163</v>
      </c>
      <c r="O1521" s="4" t="s">
        <v>2327</v>
      </c>
      <c r="P1521">
        <v>0</v>
      </c>
      <c r="Q1521" s="24">
        <v>107.2</v>
      </c>
      <c r="R1521" s="25">
        <v>152.5</v>
      </c>
      <c r="S1521" s="26">
        <v>91</v>
      </c>
    </row>
    <row r="1522" spans="1:19" ht="14.25" x14ac:dyDescent="0.2">
      <c r="A1522" s="12">
        <v>30539</v>
      </c>
      <c r="B1522" s="13">
        <f t="shared" si="314"/>
        <v>30</v>
      </c>
      <c r="C1522" s="15">
        <f t="shared" si="315"/>
        <v>21</v>
      </c>
      <c r="D1522" s="14">
        <f t="shared" si="316"/>
        <v>18</v>
      </c>
      <c r="E1522" t="s">
        <v>2777</v>
      </c>
      <c r="F1522" t="s">
        <v>2837</v>
      </c>
      <c r="G1522" t="s">
        <v>2779</v>
      </c>
      <c r="H1522" t="s">
        <v>2779</v>
      </c>
      <c r="I1522" t="s">
        <v>2780</v>
      </c>
      <c r="J1522" s="4" t="s">
        <v>2845</v>
      </c>
      <c r="K1522" t="s">
        <v>174</v>
      </c>
      <c r="L1522" t="s">
        <v>163</v>
      </c>
      <c r="M1522" t="s">
        <v>163</v>
      </c>
      <c r="N1522" t="s">
        <v>163</v>
      </c>
      <c r="O1522" s="4" t="s">
        <v>2329</v>
      </c>
      <c r="P1522">
        <v>0</v>
      </c>
      <c r="Q1522" s="24">
        <v>107.2</v>
      </c>
      <c r="R1522" s="25">
        <v>152.5</v>
      </c>
      <c r="S1522" s="26">
        <v>91</v>
      </c>
    </row>
    <row r="1523" spans="1:19" ht="14.25" x14ac:dyDescent="0.2">
      <c r="A1523" s="12">
        <v>30540</v>
      </c>
      <c r="B1523" s="13">
        <f t="shared" si="314"/>
        <v>30</v>
      </c>
      <c r="C1523" s="15">
        <f t="shared" si="315"/>
        <v>21</v>
      </c>
      <c r="D1523" s="14">
        <f t="shared" si="316"/>
        <v>18</v>
      </c>
      <c r="E1523" t="s">
        <v>2785</v>
      </c>
      <c r="F1523" t="s">
        <v>2786</v>
      </c>
      <c r="G1523" t="s">
        <v>2832</v>
      </c>
      <c r="H1523" t="s">
        <v>2829</v>
      </c>
      <c r="I1523" t="s">
        <v>2697</v>
      </c>
      <c r="J1523" s="4" t="s">
        <v>2865</v>
      </c>
      <c r="K1523" t="s">
        <v>166</v>
      </c>
      <c r="L1523" t="s">
        <v>163</v>
      </c>
      <c r="M1523" t="s">
        <v>163</v>
      </c>
      <c r="N1523" t="s">
        <v>163</v>
      </c>
      <c r="O1523" s="4" t="s">
        <v>2329</v>
      </c>
      <c r="P1523">
        <v>0</v>
      </c>
      <c r="Q1523" s="24">
        <v>107.2</v>
      </c>
      <c r="R1523" s="25">
        <v>152.5</v>
      </c>
      <c r="S1523" s="26">
        <v>91</v>
      </c>
    </row>
    <row r="1524" spans="1:19" ht="14.25" x14ac:dyDescent="0.2">
      <c r="A1524" s="12">
        <v>30541</v>
      </c>
      <c r="B1524" s="13">
        <f t="shared" si="314"/>
        <v>30</v>
      </c>
      <c r="C1524" s="15">
        <f t="shared" si="315"/>
        <v>21</v>
      </c>
      <c r="D1524" s="14">
        <f t="shared" si="316"/>
        <v>18</v>
      </c>
      <c r="E1524" t="s">
        <v>2777</v>
      </c>
      <c r="F1524" t="s">
        <v>2834</v>
      </c>
      <c r="G1524" t="s">
        <v>2779</v>
      </c>
      <c r="H1524" t="s">
        <v>2779</v>
      </c>
      <c r="I1524" t="s">
        <v>2780</v>
      </c>
      <c r="J1524" s="4" t="s">
        <v>2845</v>
      </c>
      <c r="K1524" t="s">
        <v>168</v>
      </c>
      <c r="L1524" t="s">
        <v>163</v>
      </c>
      <c r="M1524" t="s">
        <v>163</v>
      </c>
      <c r="N1524" t="s">
        <v>163</v>
      </c>
      <c r="O1524" s="4" t="s">
        <v>2331</v>
      </c>
      <c r="P1524">
        <v>0</v>
      </c>
      <c r="Q1524" s="24">
        <v>107.5</v>
      </c>
      <c r="R1524" s="25">
        <v>153</v>
      </c>
      <c r="S1524" s="26">
        <v>91.3</v>
      </c>
    </row>
    <row r="1525" spans="1:19" ht="14.25" x14ac:dyDescent="0.2">
      <c r="A1525" s="12">
        <v>30542</v>
      </c>
      <c r="B1525" s="13">
        <f t="shared" si="314"/>
        <v>30</v>
      </c>
      <c r="C1525" s="15">
        <f t="shared" si="315"/>
        <v>21</v>
      </c>
      <c r="D1525" s="14">
        <f t="shared" si="316"/>
        <v>18</v>
      </c>
      <c r="E1525" t="s">
        <v>2777</v>
      </c>
      <c r="F1525" t="s">
        <v>2835</v>
      </c>
      <c r="G1525" t="s">
        <v>2779</v>
      </c>
      <c r="H1525" t="s">
        <v>2779</v>
      </c>
      <c r="I1525" t="s">
        <v>2780</v>
      </c>
      <c r="J1525" s="4" t="s">
        <v>2845</v>
      </c>
      <c r="K1525" t="s">
        <v>175</v>
      </c>
      <c r="L1525" t="s">
        <v>164</v>
      </c>
      <c r="M1525" t="s">
        <v>163</v>
      </c>
      <c r="N1525" t="s">
        <v>167</v>
      </c>
      <c r="O1525" s="4" t="s">
        <v>2333</v>
      </c>
      <c r="P1525">
        <v>0</v>
      </c>
      <c r="Q1525" s="24">
        <v>107.5</v>
      </c>
      <c r="R1525" s="25">
        <v>153</v>
      </c>
      <c r="S1525" s="26">
        <v>91.3</v>
      </c>
    </row>
    <row r="1526" spans="1:19" ht="14.25" x14ac:dyDescent="0.2">
      <c r="A1526" s="12">
        <v>30543</v>
      </c>
      <c r="B1526" s="13">
        <f t="shared" si="314"/>
        <v>30</v>
      </c>
      <c r="C1526" s="15">
        <f t="shared" si="315"/>
        <v>21</v>
      </c>
      <c r="D1526" s="14">
        <f t="shared" si="316"/>
        <v>18</v>
      </c>
      <c r="E1526" t="s">
        <v>2777</v>
      </c>
      <c r="F1526" t="s">
        <v>2836</v>
      </c>
      <c r="G1526" t="s">
        <v>2779</v>
      </c>
      <c r="H1526" t="s">
        <v>2779</v>
      </c>
      <c r="I1526" t="s">
        <v>2780</v>
      </c>
      <c r="J1526" s="4" t="s">
        <v>2845</v>
      </c>
      <c r="K1526" t="s">
        <v>179</v>
      </c>
      <c r="L1526" t="s">
        <v>163</v>
      </c>
      <c r="M1526" t="s">
        <v>163</v>
      </c>
      <c r="N1526" t="s">
        <v>163</v>
      </c>
      <c r="O1526" s="4" t="s">
        <v>2335</v>
      </c>
      <c r="P1526">
        <v>0</v>
      </c>
      <c r="Q1526" s="24">
        <v>107.5</v>
      </c>
      <c r="R1526" s="25">
        <v>153</v>
      </c>
      <c r="S1526" s="26">
        <v>91.3</v>
      </c>
    </row>
    <row r="1527" spans="1:19" ht="14.25" x14ac:dyDescent="0.2">
      <c r="A1527" s="12">
        <v>30544</v>
      </c>
      <c r="B1527" s="13">
        <f t="shared" si="314"/>
        <v>30</v>
      </c>
      <c r="C1527" s="15">
        <f t="shared" si="315"/>
        <v>21</v>
      </c>
      <c r="D1527" s="14">
        <f t="shared" si="316"/>
        <v>18</v>
      </c>
      <c r="E1527" t="s">
        <v>2777</v>
      </c>
      <c r="F1527" t="s">
        <v>2837</v>
      </c>
      <c r="G1527" t="s">
        <v>2779</v>
      </c>
      <c r="H1527" t="s">
        <v>2779</v>
      </c>
      <c r="I1527" t="s">
        <v>2780</v>
      </c>
      <c r="J1527" s="4" t="s">
        <v>2845</v>
      </c>
      <c r="K1527" t="s">
        <v>177</v>
      </c>
      <c r="L1527" t="s">
        <v>163</v>
      </c>
      <c r="M1527" t="s">
        <v>163</v>
      </c>
      <c r="N1527" t="s">
        <v>163</v>
      </c>
      <c r="O1527" s="4" t="s">
        <v>2335</v>
      </c>
      <c r="P1527">
        <v>0</v>
      </c>
      <c r="Q1527" s="24">
        <v>107.5</v>
      </c>
      <c r="R1527" s="25">
        <v>153</v>
      </c>
      <c r="S1527" s="26">
        <v>91.3</v>
      </c>
    </row>
    <row r="1528" spans="1:19" ht="14.25" x14ac:dyDescent="0.2">
      <c r="A1528" s="12">
        <v>30545</v>
      </c>
      <c r="B1528" s="13">
        <f t="shared" si="314"/>
        <v>30</v>
      </c>
      <c r="C1528" s="15">
        <f t="shared" si="315"/>
        <v>21</v>
      </c>
      <c r="D1528" s="14">
        <f t="shared" si="316"/>
        <v>18</v>
      </c>
      <c r="E1528" t="s">
        <v>2785</v>
      </c>
      <c r="F1528" t="s">
        <v>2786</v>
      </c>
      <c r="G1528" t="s">
        <v>2833</v>
      </c>
      <c r="H1528" t="s">
        <v>2829</v>
      </c>
      <c r="I1528" t="s">
        <v>2697</v>
      </c>
      <c r="J1528" s="4" t="s">
        <v>2883</v>
      </c>
      <c r="K1528" t="s">
        <v>174</v>
      </c>
      <c r="L1528" t="s">
        <v>163</v>
      </c>
      <c r="M1528" t="s">
        <v>163</v>
      </c>
      <c r="N1528" t="s">
        <v>163</v>
      </c>
      <c r="O1528" s="4" t="s">
        <v>2337</v>
      </c>
      <c r="P1528">
        <v>0</v>
      </c>
      <c r="Q1528" s="24">
        <v>107.5</v>
      </c>
      <c r="R1528" s="25">
        <v>153</v>
      </c>
      <c r="S1528" s="26">
        <v>91.3</v>
      </c>
    </row>
    <row r="1529" spans="1:19" ht="14.25" x14ac:dyDescent="0.2">
      <c r="A1529" s="12">
        <v>30546</v>
      </c>
      <c r="B1529" s="13">
        <f t="shared" si="314"/>
        <v>30</v>
      </c>
      <c r="C1529" s="15">
        <f t="shared" si="315"/>
        <v>21</v>
      </c>
      <c r="D1529" s="14">
        <f t="shared" si="316"/>
        <v>18</v>
      </c>
      <c r="E1529" t="s">
        <v>2777</v>
      </c>
      <c r="F1529" t="s">
        <v>2834</v>
      </c>
      <c r="G1529" t="s">
        <v>2779</v>
      </c>
      <c r="H1529" t="s">
        <v>2779</v>
      </c>
      <c r="I1529" t="s">
        <v>2780</v>
      </c>
      <c r="J1529" s="4" t="s">
        <v>2845</v>
      </c>
      <c r="K1529" t="s">
        <v>182</v>
      </c>
      <c r="L1529" t="s">
        <v>163</v>
      </c>
      <c r="M1529" t="s">
        <v>163</v>
      </c>
      <c r="N1529" t="s">
        <v>163</v>
      </c>
      <c r="O1529" s="4" t="s">
        <v>2339</v>
      </c>
      <c r="P1529">
        <v>0</v>
      </c>
      <c r="Q1529" s="24">
        <v>107.8</v>
      </c>
      <c r="R1529" s="25">
        <v>153.5</v>
      </c>
      <c r="S1529" s="26">
        <v>91.5</v>
      </c>
    </row>
    <row r="1530" spans="1:19" ht="14.25" x14ac:dyDescent="0.2">
      <c r="A1530" s="12">
        <v>30547</v>
      </c>
      <c r="B1530" s="13">
        <f t="shared" si="314"/>
        <v>30</v>
      </c>
      <c r="C1530" s="15">
        <f t="shared" si="315"/>
        <v>21</v>
      </c>
      <c r="D1530" s="14">
        <f t="shared" si="316"/>
        <v>18</v>
      </c>
      <c r="E1530" t="s">
        <v>2777</v>
      </c>
      <c r="F1530" t="s">
        <v>2835</v>
      </c>
      <c r="G1530" t="s">
        <v>2779</v>
      </c>
      <c r="H1530" t="s">
        <v>2779</v>
      </c>
      <c r="I1530" t="s">
        <v>2780</v>
      </c>
      <c r="J1530" s="4" t="s">
        <v>2845</v>
      </c>
      <c r="K1530" t="s">
        <v>162</v>
      </c>
      <c r="L1530" t="s">
        <v>163</v>
      </c>
      <c r="M1530" t="s">
        <v>163</v>
      </c>
      <c r="N1530" t="s">
        <v>163</v>
      </c>
      <c r="O1530" s="4" t="s">
        <v>2339</v>
      </c>
      <c r="P1530">
        <v>0</v>
      </c>
      <c r="Q1530" s="24">
        <v>107.8</v>
      </c>
      <c r="R1530" s="25">
        <v>153.5</v>
      </c>
      <c r="S1530" s="26">
        <v>91.5</v>
      </c>
    </row>
    <row r="1531" spans="1:19" ht="14.25" x14ac:dyDescent="0.2">
      <c r="A1531" s="12">
        <v>30548</v>
      </c>
      <c r="B1531" s="13">
        <f t="shared" si="314"/>
        <v>30</v>
      </c>
      <c r="C1531" s="15">
        <f t="shared" si="315"/>
        <v>21</v>
      </c>
      <c r="D1531" s="14">
        <f t="shared" si="316"/>
        <v>18</v>
      </c>
      <c r="E1531" t="s">
        <v>2777</v>
      </c>
      <c r="F1531" t="s">
        <v>2836</v>
      </c>
      <c r="G1531" t="s">
        <v>2779</v>
      </c>
      <c r="H1531" t="s">
        <v>2779</v>
      </c>
      <c r="I1531" t="s">
        <v>2780</v>
      </c>
      <c r="J1531" s="4" t="s">
        <v>2845</v>
      </c>
      <c r="K1531" t="s">
        <v>177</v>
      </c>
      <c r="L1531" t="s">
        <v>163</v>
      </c>
      <c r="M1531" t="s">
        <v>163</v>
      </c>
      <c r="N1531" t="s">
        <v>163</v>
      </c>
      <c r="O1531" s="4" t="s">
        <v>2341</v>
      </c>
      <c r="P1531">
        <v>0</v>
      </c>
      <c r="Q1531" s="24">
        <v>107.8</v>
      </c>
      <c r="R1531" s="25">
        <v>153.5</v>
      </c>
      <c r="S1531" s="26">
        <v>91.5</v>
      </c>
    </row>
    <row r="1532" spans="1:19" ht="14.25" x14ac:dyDescent="0.2">
      <c r="A1532" s="12">
        <v>30549</v>
      </c>
      <c r="B1532" s="13">
        <f t="shared" si="314"/>
        <v>30</v>
      </c>
      <c r="C1532" s="15">
        <f t="shared" si="315"/>
        <v>21</v>
      </c>
      <c r="D1532" s="14">
        <f t="shared" si="316"/>
        <v>18</v>
      </c>
      <c r="E1532" t="s">
        <v>2777</v>
      </c>
      <c r="F1532" t="s">
        <v>2837</v>
      </c>
      <c r="G1532" t="s">
        <v>2779</v>
      </c>
      <c r="H1532" t="s">
        <v>2779</v>
      </c>
      <c r="I1532" t="s">
        <v>2780</v>
      </c>
      <c r="J1532" s="4" t="s">
        <v>2845</v>
      </c>
      <c r="K1532" t="s">
        <v>174</v>
      </c>
      <c r="L1532" t="s">
        <v>163</v>
      </c>
      <c r="M1532" t="s">
        <v>163</v>
      </c>
      <c r="N1532" t="s">
        <v>163</v>
      </c>
      <c r="O1532" s="4" t="s">
        <v>2343</v>
      </c>
      <c r="P1532">
        <v>0</v>
      </c>
      <c r="Q1532" s="24">
        <v>107.8</v>
      </c>
      <c r="R1532" s="25">
        <v>153.5</v>
      </c>
      <c r="S1532" s="26">
        <v>91.5</v>
      </c>
    </row>
    <row r="1533" spans="1:19" ht="14.25" x14ac:dyDescent="0.2">
      <c r="A1533" s="12">
        <v>30550</v>
      </c>
      <c r="B1533" s="13">
        <f t="shared" si="314"/>
        <v>30</v>
      </c>
      <c r="C1533" s="15">
        <f t="shared" si="315"/>
        <v>21</v>
      </c>
      <c r="D1533" s="14">
        <f t="shared" si="316"/>
        <v>18</v>
      </c>
      <c r="E1533" t="s">
        <v>2785</v>
      </c>
      <c r="F1533" t="s">
        <v>2786</v>
      </c>
      <c r="G1533" t="s">
        <v>2828</v>
      </c>
      <c r="H1533" t="s">
        <v>2829</v>
      </c>
      <c r="I1533" t="s">
        <v>2697</v>
      </c>
      <c r="J1533" s="4" t="s">
        <v>2883</v>
      </c>
      <c r="K1533" t="s">
        <v>166</v>
      </c>
      <c r="L1533" t="s">
        <v>163</v>
      </c>
      <c r="M1533" t="s">
        <v>163</v>
      </c>
      <c r="N1533" t="s">
        <v>163</v>
      </c>
      <c r="O1533" s="4" t="s">
        <v>2343</v>
      </c>
      <c r="P1533">
        <v>0</v>
      </c>
      <c r="Q1533" s="24">
        <v>107.8</v>
      </c>
      <c r="R1533" s="25">
        <v>153.5</v>
      </c>
      <c r="S1533" s="26">
        <v>91.5</v>
      </c>
    </row>
    <row r="1534" spans="1:19" ht="14.25" x14ac:dyDescent="0.2">
      <c r="A1534" s="12">
        <v>30601</v>
      </c>
      <c r="B1534" s="13">
        <f t="shared" si="314"/>
        <v>30</v>
      </c>
      <c r="C1534" s="15">
        <f t="shared" si="315"/>
        <v>21</v>
      </c>
      <c r="D1534" s="14">
        <f t="shared" si="316"/>
        <v>18</v>
      </c>
      <c r="E1534" t="s">
        <v>2777</v>
      </c>
      <c r="F1534" t="s">
        <v>2834</v>
      </c>
      <c r="G1534" t="s">
        <v>2779</v>
      </c>
      <c r="H1534" t="s">
        <v>2779</v>
      </c>
      <c r="I1534" t="s">
        <v>2780</v>
      </c>
      <c r="J1534" s="4" t="s">
        <v>2845</v>
      </c>
      <c r="K1534" t="s">
        <v>168</v>
      </c>
      <c r="L1534" t="s">
        <v>163</v>
      </c>
      <c r="M1534" t="s">
        <v>163</v>
      </c>
      <c r="N1534" t="s">
        <v>163</v>
      </c>
      <c r="O1534" s="4" t="s">
        <v>2345</v>
      </c>
      <c r="P1534">
        <v>0</v>
      </c>
      <c r="Q1534" s="24">
        <v>108.2</v>
      </c>
      <c r="R1534" s="25">
        <v>154</v>
      </c>
      <c r="S1534" s="26">
        <v>91.8</v>
      </c>
    </row>
    <row r="1535" spans="1:19" ht="14.25" x14ac:dyDescent="0.2">
      <c r="A1535" s="12">
        <v>30602</v>
      </c>
      <c r="B1535" s="13">
        <f t="shared" si="314"/>
        <v>30</v>
      </c>
      <c r="C1535" s="15">
        <f t="shared" si="315"/>
        <v>21</v>
      </c>
      <c r="D1535" s="14">
        <f t="shared" si="316"/>
        <v>18</v>
      </c>
      <c r="E1535" t="s">
        <v>2777</v>
      </c>
      <c r="F1535" t="s">
        <v>2835</v>
      </c>
      <c r="G1535" t="s">
        <v>2779</v>
      </c>
      <c r="H1535" t="s">
        <v>2779</v>
      </c>
      <c r="I1535" t="s">
        <v>2780</v>
      </c>
      <c r="J1535" s="4" t="s">
        <v>2845</v>
      </c>
      <c r="K1535" t="s">
        <v>175</v>
      </c>
      <c r="L1535" t="s">
        <v>164</v>
      </c>
      <c r="M1535" t="s">
        <v>163</v>
      </c>
      <c r="N1535" t="s">
        <v>167</v>
      </c>
      <c r="O1535" s="4" t="s">
        <v>2347</v>
      </c>
      <c r="P1535">
        <v>0</v>
      </c>
      <c r="Q1535" s="24">
        <v>108.2</v>
      </c>
      <c r="R1535" s="25">
        <v>154</v>
      </c>
      <c r="S1535" s="26">
        <v>91.8</v>
      </c>
    </row>
    <row r="1536" spans="1:19" ht="14.25" x14ac:dyDescent="0.2">
      <c r="A1536" s="12">
        <v>30603</v>
      </c>
      <c r="B1536" s="13">
        <f t="shared" si="314"/>
        <v>30</v>
      </c>
      <c r="C1536" s="15">
        <f t="shared" si="315"/>
        <v>21</v>
      </c>
      <c r="D1536" s="14">
        <f t="shared" si="316"/>
        <v>18</v>
      </c>
      <c r="E1536" t="s">
        <v>2777</v>
      </c>
      <c r="F1536" t="s">
        <v>2836</v>
      </c>
      <c r="G1536" t="s">
        <v>2779</v>
      </c>
      <c r="H1536" t="s">
        <v>2779</v>
      </c>
      <c r="I1536" t="s">
        <v>2780</v>
      </c>
      <c r="J1536" s="4" t="s">
        <v>2845</v>
      </c>
      <c r="K1536" t="s">
        <v>179</v>
      </c>
      <c r="L1536" t="s">
        <v>163</v>
      </c>
      <c r="M1536" t="s">
        <v>163</v>
      </c>
      <c r="N1536" t="s">
        <v>163</v>
      </c>
      <c r="O1536" s="4" t="s">
        <v>2349</v>
      </c>
      <c r="P1536">
        <v>0</v>
      </c>
      <c r="Q1536" s="24">
        <v>108.2</v>
      </c>
      <c r="R1536" s="25">
        <v>154</v>
      </c>
      <c r="S1536" s="26">
        <v>91.8</v>
      </c>
    </row>
    <row r="1537" spans="1:19" ht="14.25" x14ac:dyDescent="0.2">
      <c r="A1537" s="12">
        <v>30604</v>
      </c>
      <c r="B1537" s="13">
        <f t="shared" si="314"/>
        <v>30</v>
      </c>
      <c r="C1537" s="15">
        <f t="shared" si="315"/>
        <v>21</v>
      </c>
      <c r="D1537" s="14">
        <f t="shared" si="316"/>
        <v>18</v>
      </c>
      <c r="E1537" t="s">
        <v>2777</v>
      </c>
      <c r="F1537" t="s">
        <v>2837</v>
      </c>
      <c r="G1537" t="s">
        <v>2779</v>
      </c>
      <c r="H1537" t="s">
        <v>2779</v>
      </c>
      <c r="I1537" t="s">
        <v>2780</v>
      </c>
      <c r="J1537" s="4" t="s">
        <v>2845</v>
      </c>
      <c r="K1537" t="s">
        <v>177</v>
      </c>
      <c r="L1537" t="s">
        <v>163</v>
      </c>
      <c r="M1537" t="s">
        <v>163</v>
      </c>
      <c r="N1537" t="s">
        <v>163</v>
      </c>
      <c r="O1537" s="4" t="s">
        <v>2349</v>
      </c>
      <c r="P1537">
        <v>0</v>
      </c>
      <c r="Q1537" s="24">
        <v>108.2</v>
      </c>
      <c r="R1537" s="25">
        <v>154</v>
      </c>
      <c r="S1537" s="26">
        <v>91.8</v>
      </c>
    </row>
    <row r="1538" spans="1:19" ht="14.25" x14ac:dyDescent="0.2">
      <c r="A1538" s="12">
        <v>30605</v>
      </c>
      <c r="B1538" s="13">
        <f t="shared" si="314"/>
        <v>30</v>
      </c>
      <c r="C1538" s="15">
        <f t="shared" si="315"/>
        <v>21</v>
      </c>
      <c r="D1538" s="14">
        <f t="shared" si="316"/>
        <v>18</v>
      </c>
      <c r="E1538" t="s">
        <v>2785</v>
      </c>
      <c r="F1538" t="s">
        <v>2786</v>
      </c>
      <c r="G1538" t="s">
        <v>2830</v>
      </c>
      <c r="H1538" t="s">
        <v>2829</v>
      </c>
      <c r="I1538" t="s">
        <v>2697</v>
      </c>
      <c r="J1538" s="4" t="s">
        <v>2865</v>
      </c>
      <c r="K1538" t="s">
        <v>174</v>
      </c>
      <c r="L1538" t="s">
        <v>163</v>
      </c>
      <c r="M1538" t="s">
        <v>163</v>
      </c>
      <c r="N1538" t="s">
        <v>163</v>
      </c>
      <c r="O1538" s="4" t="s">
        <v>2351</v>
      </c>
      <c r="P1538">
        <v>0</v>
      </c>
      <c r="Q1538" s="24">
        <v>108.2</v>
      </c>
      <c r="R1538" s="25">
        <v>154</v>
      </c>
      <c r="S1538" s="26">
        <v>91.8</v>
      </c>
    </row>
    <row r="1539" spans="1:19" ht="14.25" x14ac:dyDescent="0.2">
      <c r="A1539" s="12">
        <v>30606</v>
      </c>
      <c r="B1539" s="13">
        <f t="shared" si="314"/>
        <v>30</v>
      </c>
      <c r="C1539" s="15">
        <f t="shared" si="315"/>
        <v>21</v>
      </c>
      <c r="D1539" s="14">
        <f t="shared" si="316"/>
        <v>18</v>
      </c>
      <c r="E1539" t="s">
        <v>2777</v>
      </c>
      <c r="F1539" t="s">
        <v>2834</v>
      </c>
      <c r="G1539" t="s">
        <v>2779</v>
      </c>
      <c r="H1539" t="s">
        <v>2779</v>
      </c>
      <c r="I1539" t="s">
        <v>2780</v>
      </c>
      <c r="J1539" s="4" t="s">
        <v>2845</v>
      </c>
      <c r="K1539" t="s">
        <v>182</v>
      </c>
      <c r="L1539" t="s">
        <v>163</v>
      </c>
      <c r="M1539" t="s">
        <v>163</v>
      </c>
      <c r="N1539" t="s">
        <v>163</v>
      </c>
      <c r="O1539" s="4" t="s">
        <v>2353</v>
      </c>
      <c r="P1539">
        <v>0</v>
      </c>
      <c r="Q1539" s="24">
        <v>108.5</v>
      </c>
      <c r="R1539" s="25">
        <v>154.5</v>
      </c>
      <c r="S1539" s="26">
        <v>92</v>
      </c>
    </row>
    <row r="1540" spans="1:19" ht="14.25" x14ac:dyDescent="0.2">
      <c r="A1540" s="12">
        <v>30607</v>
      </c>
      <c r="B1540" s="13">
        <f t="shared" si="314"/>
        <v>30</v>
      </c>
      <c r="C1540" s="15">
        <f t="shared" si="315"/>
        <v>21</v>
      </c>
      <c r="D1540" s="14">
        <f t="shared" si="316"/>
        <v>18</v>
      </c>
      <c r="E1540" t="s">
        <v>2777</v>
      </c>
      <c r="F1540" t="s">
        <v>2835</v>
      </c>
      <c r="G1540" t="s">
        <v>2779</v>
      </c>
      <c r="H1540" t="s">
        <v>2779</v>
      </c>
      <c r="I1540" t="s">
        <v>2780</v>
      </c>
      <c r="J1540" s="4" t="s">
        <v>2845</v>
      </c>
      <c r="K1540" t="s">
        <v>162</v>
      </c>
      <c r="L1540" t="s">
        <v>163</v>
      </c>
      <c r="M1540" t="s">
        <v>163</v>
      </c>
      <c r="N1540" t="s">
        <v>163</v>
      </c>
      <c r="O1540" s="4" t="s">
        <v>2353</v>
      </c>
      <c r="P1540">
        <v>0</v>
      </c>
      <c r="Q1540" s="24">
        <v>108.5</v>
      </c>
      <c r="R1540" s="25">
        <v>154.5</v>
      </c>
      <c r="S1540" s="26">
        <v>92</v>
      </c>
    </row>
    <row r="1541" spans="1:19" ht="14.25" x14ac:dyDescent="0.2">
      <c r="A1541" s="12">
        <v>30608</v>
      </c>
      <c r="B1541" s="13">
        <f t="shared" ref="B1541:B1604" si="317">FLOOR(R1539/5,1)</f>
        <v>30</v>
      </c>
      <c r="C1541" s="15">
        <f t="shared" ref="C1541:C1604" si="318">FLOOR(Q1539/5,1)</f>
        <v>21</v>
      </c>
      <c r="D1541" s="14">
        <f t="shared" ref="D1541:D1604" si="319">FLOOR(S1539/5,1)</f>
        <v>18</v>
      </c>
      <c r="E1541" t="s">
        <v>2777</v>
      </c>
      <c r="F1541" t="s">
        <v>2836</v>
      </c>
      <c r="G1541" t="s">
        <v>2779</v>
      </c>
      <c r="H1541" t="s">
        <v>2779</v>
      </c>
      <c r="I1541" t="s">
        <v>2780</v>
      </c>
      <c r="J1541" s="4" t="s">
        <v>2845</v>
      </c>
      <c r="K1541" t="s">
        <v>177</v>
      </c>
      <c r="L1541" t="s">
        <v>163</v>
      </c>
      <c r="M1541" t="s">
        <v>163</v>
      </c>
      <c r="N1541" t="s">
        <v>163</v>
      </c>
      <c r="O1541" s="4" t="s">
        <v>2355</v>
      </c>
      <c r="P1541">
        <v>0</v>
      </c>
      <c r="Q1541" s="24">
        <v>108.5</v>
      </c>
      <c r="R1541" s="25">
        <v>154.5</v>
      </c>
      <c r="S1541" s="26">
        <v>92</v>
      </c>
    </row>
    <row r="1542" spans="1:19" ht="14.25" x14ac:dyDescent="0.2">
      <c r="A1542" s="12">
        <v>30609</v>
      </c>
      <c r="B1542" s="13">
        <f t="shared" si="317"/>
        <v>30</v>
      </c>
      <c r="C1542" s="15">
        <f t="shared" si="318"/>
        <v>21</v>
      </c>
      <c r="D1542" s="14">
        <f t="shared" si="319"/>
        <v>18</v>
      </c>
      <c r="E1542" t="s">
        <v>2777</v>
      </c>
      <c r="F1542" t="s">
        <v>2837</v>
      </c>
      <c r="G1542" t="s">
        <v>2779</v>
      </c>
      <c r="H1542" t="s">
        <v>2779</v>
      </c>
      <c r="I1542" t="s">
        <v>2780</v>
      </c>
      <c r="J1542" s="4" t="s">
        <v>2845</v>
      </c>
      <c r="K1542" t="s">
        <v>174</v>
      </c>
      <c r="L1542" t="s">
        <v>163</v>
      </c>
      <c r="M1542" t="s">
        <v>163</v>
      </c>
      <c r="N1542" t="s">
        <v>163</v>
      </c>
      <c r="O1542" s="4" t="s">
        <v>2357</v>
      </c>
      <c r="P1542">
        <v>0</v>
      </c>
      <c r="Q1542" s="24">
        <v>108.5</v>
      </c>
      <c r="R1542" s="25">
        <v>154.5</v>
      </c>
      <c r="S1542" s="26">
        <v>92</v>
      </c>
    </row>
    <row r="1543" spans="1:19" ht="14.25" x14ac:dyDescent="0.2">
      <c r="A1543" s="12">
        <v>30610</v>
      </c>
      <c r="B1543" s="13">
        <f t="shared" si="317"/>
        <v>30</v>
      </c>
      <c r="C1543" s="15">
        <f t="shared" si="318"/>
        <v>21</v>
      </c>
      <c r="D1543" s="14">
        <f t="shared" si="319"/>
        <v>18</v>
      </c>
      <c r="E1543" t="s">
        <v>2785</v>
      </c>
      <c r="F1543" t="s">
        <v>2786</v>
      </c>
      <c r="G1543" t="s">
        <v>2831</v>
      </c>
      <c r="H1543" t="s">
        <v>2829</v>
      </c>
      <c r="I1543" t="s">
        <v>2697</v>
      </c>
      <c r="J1543" s="4" t="s">
        <v>2865</v>
      </c>
      <c r="K1543" t="s">
        <v>166</v>
      </c>
      <c r="L1543" t="s">
        <v>163</v>
      </c>
      <c r="M1543" t="s">
        <v>163</v>
      </c>
      <c r="N1543" t="s">
        <v>163</v>
      </c>
      <c r="O1543" s="4" t="s">
        <v>2357</v>
      </c>
      <c r="P1543">
        <v>0</v>
      </c>
      <c r="Q1543" s="24">
        <v>108.5</v>
      </c>
      <c r="R1543" s="25">
        <v>154.5</v>
      </c>
      <c r="S1543" s="26">
        <v>92</v>
      </c>
    </row>
    <row r="1544" spans="1:19" ht="14.25" x14ac:dyDescent="0.2">
      <c r="A1544" s="12">
        <v>30611</v>
      </c>
      <c r="B1544" s="13">
        <f t="shared" si="317"/>
        <v>30</v>
      </c>
      <c r="C1544" s="15">
        <f t="shared" si="318"/>
        <v>21</v>
      </c>
      <c r="D1544" s="14">
        <f t="shared" si="319"/>
        <v>18</v>
      </c>
      <c r="E1544" t="s">
        <v>2777</v>
      </c>
      <c r="F1544" t="s">
        <v>2834</v>
      </c>
      <c r="G1544" t="s">
        <v>2779</v>
      </c>
      <c r="H1544" t="s">
        <v>2779</v>
      </c>
      <c r="I1544" t="s">
        <v>2780</v>
      </c>
      <c r="J1544" s="4" t="s">
        <v>2845</v>
      </c>
      <c r="K1544" t="s">
        <v>168</v>
      </c>
      <c r="L1544" t="s">
        <v>163</v>
      </c>
      <c r="M1544" t="s">
        <v>163</v>
      </c>
      <c r="N1544" t="s">
        <v>163</v>
      </c>
      <c r="O1544" s="4" t="s">
        <v>2359</v>
      </c>
      <c r="P1544">
        <v>0</v>
      </c>
      <c r="Q1544" s="24">
        <v>108.8</v>
      </c>
      <c r="R1544" s="25">
        <v>155</v>
      </c>
      <c r="S1544" s="26">
        <v>92.3</v>
      </c>
    </row>
    <row r="1545" spans="1:19" ht="14.25" x14ac:dyDescent="0.2">
      <c r="A1545" s="12">
        <v>30612</v>
      </c>
      <c r="B1545" s="13">
        <f t="shared" si="317"/>
        <v>30</v>
      </c>
      <c r="C1545" s="15">
        <f t="shared" si="318"/>
        <v>21</v>
      </c>
      <c r="D1545" s="14">
        <f t="shared" si="319"/>
        <v>18</v>
      </c>
      <c r="E1545" t="s">
        <v>2777</v>
      </c>
      <c r="F1545" t="s">
        <v>2835</v>
      </c>
      <c r="G1545" t="s">
        <v>2779</v>
      </c>
      <c r="H1545" t="s">
        <v>2779</v>
      </c>
      <c r="I1545" t="s">
        <v>2780</v>
      </c>
      <c r="J1545" s="4" t="s">
        <v>2845</v>
      </c>
      <c r="K1545" t="s">
        <v>175</v>
      </c>
      <c r="L1545" t="s">
        <v>164</v>
      </c>
      <c r="M1545" t="s">
        <v>163</v>
      </c>
      <c r="N1545" t="s">
        <v>167</v>
      </c>
      <c r="O1545" s="4" t="s">
        <v>2361</v>
      </c>
      <c r="P1545">
        <v>0</v>
      </c>
      <c r="Q1545" s="24">
        <v>108.8</v>
      </c>
      <c r="R1545" s="25">
        <v>155</v>
      </c>
      <c r="S1545" s="26">
        <v>92.3</v>
      </c>
    </row>
    <row r="1546" spans="1:19" ht="14.25" x14ac:dyDescent="0.2">
      <c r="A1546" s="12">
        <v>30613</v>
      </c>
      <c r="B1546" s="13">
        <f t="shared" si="317"/>
        <v>31</v>
      </c>
      <c r="C1546" s="15">
        <f t="shared" si="318"/>
        <v>21</v>
      </c>
      <c r="D1546" s="14">
        <f t="shared" si="319"/>
        <v>18</v>
      </c>
      <c r="E1546" t="s">
        <v>2777</v>
      </c>
      <c r="F1546" t="s">
        <v>2836</v>
      </c>
      <c r="G1546" t="s">
        <v>2779</v>
      </c>
      <c r="H1546" t="s">
        <v>2779</v>
      </c>
      <c r="I1546" t="s">
        <v>2780</v>
      </c>
      <c r="J1546" s="4" t="s">
        <v>2845</v>
      </c>
      <c r="K1546" t="s">
        <v>179</v>
      </c>
      <c r="L1546" t="s">
        <v>163</v>
      </c>
      <c r="M1546" t="s">
        <v>163</v>
      </c>
      <c r="N1546" t="s">
        <v>163</v>
      </c>
      <c r="O1546" s="4" t="s">
        <v>2363</v>
      </c>
      <c r="P1546">
        <v>0</v>
      </c>
      <c r="Q1546" s="24">
        <v>108.8</v>
      </c>
      <c r="R1546" s="25">
        <v>155</v>
      </c>
      <c r="S1546" s="26">
        <v>92.3</v>
      </c>
    </row>
    <row r="1547" spans="1:19" ht="14.25" x14ac:dyDescent="0.2">
      <c r="A1547" s="12">
        <v>30614</v>
      </c>
      <c r="B1547" s="13">
        <f t="shared" si="317"/>
        <v>31</v>
      </c>
      <c r="C1547" s="15">
        <f t="shared" si="318"/>
        <v>21</v>
      </c>
      <c r="D1547" s="14">
        <f t="shared" si="319"/>
        <v>18</v>
      </c>
      <c r="E1547" t="s">
        <v>2777</v>
      </c>
      <c r="F1547" t="s">
        <v>2837</v>
      </c>
      <c r="G1547" t="s">
        <v>2779</v>
      </c>
      <c r="H1547" t="s">
        <v>2779</v>
      </c>
      <c r="I1547" t="s">
        <v>2780</v>
      </c>
      <c r="J1547" s="4" t="s">
        <v>2845</v>
      </c>
      <c r="K1547" t="s">
        <v>177</v>
      </c>
      <c r="L1547" t="s">
        <v>163</v>
      </c>
      <c r="M1547" t="s">
        <v>163</v>
      </c>
      <c r="N1547" t="s">
        <v>163</v>
      </c>
      <c r="O1547" s="4" t="s">
        <v>2363</v>
      </c>
      <c r="P1547">
        <v>0</v>
      </c>
      <c r="Q1547" s="24">
        <v>108.8</v>
      </c>
      <c r="R1547" s="25">
        <v>155</v>
      </c>
      <c r="S1547" s="26">
        <v>92.3</v>
      </c>
    </row>
    <row r="1548" spans="1:19" ht="14.25" x14ac:dyDescent="0.2">
      <c r="A1548" s="12">
        <v>30615</v>
      </c>
      <c r="B1548" s="13">
        <f t="shared" si="317"/>
        <v>31</v>
      </c>
      <c r="C1548" s="15">
        <f t="shared" si="318"/>
        <v>21</v>
      </c>
      <c r="D1548" s="14">
        <f t="shared" si="319"/>
        <v>18</v>
      </c>
      <c r="E1548" t="s">
        <v>2785</v>
      </c>
      <c r="F1548" t="s">
        <v>2786</v>
      </c>
      <c r="G1548" t="s">
        <v>2832</v>
      </c>
      <c r="H1548" t="s">
        <v>2829</v>
      </c>
      <c r="I1548" t="s">
        <v>2697</v>
      </c>
      <c r="J1548" s="4" t="s">
        <v>2865</v>
      </c>
      <c r="K1548" t="s">
        <v>174</v>
      </c>
      <c r="L1548" t="s">
        <v>163</v>
      </c>
      <c r="M1548" t="s">
        <v>163</v>
      </c>
      <c r="N1548" t="s">
        <v>163</v>
      </c>
      <c r="O1548" s="4" t="s">
        <v>2365</v>
      </c>
      <c r="P1548">
        <v>0</v>
      </c>
      <c r="Q1548" s="24">
        <v>108.8</v>
      </c>
      <c r="R1548" s="25">
        <v>155</v>
      </c>
      <c r="S1548" s="26">
        <v>92.3</v>
      </c>
    </row>
    <row r="1549" spans="1:19" ht="14.25" x14ac:dyDescent="0.2">
      <c r="A1549" s="12">
        <v>30616</v>
      </c>
      <c r="B1549" s="13">
        <f t="shared" si="317"/>
        <v>31</v>
      </c>
      <c r="C1549" s="15">
        <f t="shared" si="318"/>
        <v>21</v>
      </c>
      <c r="D1549" s="14">
        <f t="shared" si="319"/>
        <v>18</v>
      </c>
      <c r="E1549" t="s">
        <v>2777</v>
      </c>
      <c r="F1549" t="s">
        <v>2834</v>
      </c>
      <c r="G1549" t="s">
        <v>2779</v>
      </c>
      <c r="H1549" t="s">
        <v>2779</v>
      </c>
      <c r="I1549" t="s">
        <v>2780</v>
      </c>
      <c r="J1549" s="4" t="s">
        <v>2845</v>
      </c>
      <c r="K1549" t="s">
        <v>182</v>
      </c>
      <c r="L1549" t="s">
        <v>163</v>
      </c>
      <c r="M1549" t="s">
        <v>163</v>
      </c>
      <c r="N1549" t="s">
        <v>163</v>
      </c>
      <c r="O1549" s="4" t="s">
        <v>2367</v>
      </c>
      <c r="P1549">
        <v>0</v>
      </c>
      <c r="Q1549" s="24">
        <v>109.2</v>
      </c>
      <c r="R1549" s="25">
        <v>155.5</v>
      </c>
      <c r="S1549" s="26">
        <v>92.5</v>
      </c>
    </row>
    <row r="1550" spans="1:19" ht="14.25" x14ac:dyDescent="0.2">
      <c r="A1550" s="12">
        <v>30617</v>
      </c>
      <c r="B1550" s="13">
        <f t="shared" si="317"/>
        <v>31</v>
      </c>
      <c r="C1550" s="15">
        <f t="shared" si="318"/>
        <v>21</v>
      </c>
      <c r="D1550" s="14">
        <f t="shared" si="319"/>
        <v>18</v>
      </c>
      <c r="E1550" t="s">
        <v>2777</v>
      </c>
      <c r="F1550" t="s">
        <v>2835</v>
      </c>
      <c r="G1550" t="s">
        <v>2779</v>
      </c>
      <c r="H1550" t="s">
        <v>2779</v>
      </c>
      <c r="I1550" t="s">
        <v>2780</v>
      </c>
      <c r="J1550" s="4" t="s">
        <v>2845</v>
      </c>
      <c r="K1550" t="s">
        <v>162</v>
      </c>
      <c r="L1550" t="s">
        <v>163</v>
      </c>
      <c r="M1550" t="s">
        <v>163</v>
      </c>
      <c r="N1550" t="s">
        <v>163</v>
      </c>
      <c r="O1550" s="4" t="s">
        <v>2367</v>
      </c>
      <c r="P1550">
        <v>0</v>
      </c>
      <c r="Q1550" s="24">
        <v>109.2</v>
      </c>
      <c r="R1550" s="25">
        <v>155.5</v>
      </c>
      <c r="S1550" s="26">
        <v>92.5</v>
      </c>
    </row>
    <row r="1551" spans="1:19" ht="14.25" x14ac:dyDescent="0.2">
      <c r="A1551" s="12">
        <v>30618</v>
      </c>
      <c r="B1551" s="13">
        <f t="shared" si="317"/>
        <v>31</v>
      </c>
      <c r="C1551" s="15">
        <f t="shared" si="318"/>
        <v>21</v>
      </c>
      <c r="D1551" s="14">
        <f t="shared" si="319"/>
        <v>18</v>
      </c>
      <c r="E1551" t="s">
        <v>2777</v>
      </c>
      <c r="F1551" t="s">
        <v>2836</v>
      </c>
      <c r="G1551" t="s">
        <v>2779</v>
      </c>
      <c r="H1551" t="s">
        <v>2779</v>
      </c>
      <c r="I1551" t="s">
        <v>2780</v>
      </c>
      <c r="J1551" s="4" t="s">
        <v>2845</v>
      </c>
      <c r="K1551" t="s">
        <v>177</v>
      </c>
      <c r="L1551" t="s">
        <v>163</v>
      </c>
      <c r="M1551" t="s">
        <v>163</v>
      </c>
      <c r="N1551" t="s">
        <v>163</v>
      </c>
      <c r="O1551" s="4" t="s">
        <v>2369</v>
      </c>
      <c r="P1551">
        <v>0</v>
      </c>
      <c r="Q1551" s="24">
        <v>109.2</v>
      </c>
      <c r="R1551" s="25">
        <v>155.5</v>
      </c>
      <c r="S1551" s="26">
        <v>92.5</v>
      </c>
    </row>
    <row r="1552" spans="1:19" ht="14.25" x14ac:dyDescent="0.2">
      <c r="A1552" s="12">
        <v>30619</v>
      </c>
      <c r="B1552" s="13">
        <f t="shared" si="317"/>
        <v>31</v>
      </c>
      <c r="C1552" s="15">
        <f t="shared" si="318"/>
        <v>21</v>
      </c>
      <c r="D1552" s="14">
        <f t="shared" si="319"/>
        <v>18</v>
      </c>
      <c r="E1552" t="s">
        <v>2777</v>
      </c>
      <c r="F1552" t="s">
        <v>2837</v>
      </c>
      <c r="G1552" t="s">
        <v>2779</v>
      </c>
      <c r="H1552" t="s">
        <v>2779</v>
      </c>
      <c r="I1552" t="s">
        <v>2780</v>
      </c>
      <c r="J1552" s="4" t="s">
        <v>2845</v>
      </c>
      <c r="K1552" t="s">
        <v>174</v>
      </c>
      <c r="L1552" t="s">
        <v>163</v>
      </c>
      <c r="M1552" t="s">
        <v>163</v>
      </c>
      <c r="N1552" t="s">
        <v>163</v>
      </c>
      <c r="O1552" s="4" t="s">
        <v>2371</v>
      </c>
      <c r="P1552">
        <v>0</v>
      </c>
      <c r="Q1552" s="24">
        <v>109.2</v>
      </c>
      <c r="R1552" s="25">
        <v>155.5</v>
      </c>
      <c r="S1552" s="26">
        <v>92.5</v>
      </c>
    </row>
    <row r="1553" spans="1:19" ht="14.25" x14ac:dyDescent="0.2">
      <c r="A1553" s="12">
        <v>30620</v>
      </c>
      <c r="B1553" s="13">
        <f t="shared" si="317"/>
        <v>31</v>
      </c>
      <c r="C1553" s="15">
        <f t="shared" si="318"/>
        <v>21</v>
      </c>
      <c r="D1553" s="14">
        <f t="shared" si="319"/>
        <v>18</v>
      </c>
      <c r="E1553" t="s">
        <v>2785</v>
      </c>
      <c r="F1553" t="s">
        <v>2786</v>
      </c>
      <c r="G1553" t="s">
        <v>2833</v>
      </c>
      <c r="H1553" t="s">
        <v>2829</v>
      </c>
      <c r="I1553" t="s">
        <v>2697</v>
      </c>
      <c r="J1553" s="4" t="s">
        <v>2883</v>
      </c>
      <c r="K1553" t="s">
        <v>166</v>
      </c>
      <c r="L1553" t="s">
        <v>163</v>
      </c>
      <c r="M1553" t="s">
        <v>163</v>
      </c>
      <c r="N1553" t="s">
        <v>163</v>
      </c>
      <c r="O1553" s="4" t="s">
        <v>2371</v>
      </c>
      <c r="P1553">
        <v>0</v>
      </c>
      <c r="Q1553" s="24">
        <v>109.2</v>
      </c>
      <c r="R1553" s="25">
        <v>155.5</v>
      </c>
      <c r="S1553" s="26">
        <v>92.5</v>
      </c>
    </row>
    <row r="1554" spans="1:19" ht="14.25" x14ac:dyDescent="0.2">
      <c r="A1554" s="12">
        <v>30621</v>
      </c>
      <c r="B1554" s="13">
        <f t="shared" si="317"/>
        <v>31</v>
      </c>
      <c r="C1554" s="15">
        <f t="shared" si="318"/>
        <v>21</v>
      </c>
      <c r="D1554" s="14">
        <f t="shared" si="319"/>
        <v>18</v>
      </c>
      <c r="E1554" t="s">
        <v>2777</v>
      </c>
      <c r="F1554" t="s">
        <v>2834</v>
      </c>
      <c r="G1554" t="s">
        <v>2779</v>
      </c>
      <c r="H1554" t="s">
        <v>2779</v>
      </c>
      <c r="I1554" t="s">
        <v>2780</v>
      </c>
      <c r="J1554" s="4" t="s">
        <v>2845</v>
      </c>
      <c r="K1554" t="s">
        <v>168</v>
      </c>
      <c r="L1554" t="s">
        <v>163</v>
      </c>
      <c r="M1554" t="s">
        <v>163</v>
      </c>
      <c r="N1554" t="s">
        <v>163</v>
      </c>
      <c r="O1554" s="4" t="s">
        <v>2373</v>
      </c>
      <c r="P1554">
        <v>0</v>
      </c>
      <c r="Q1554" s="24">
        <v>109.5</v>
      </c>
      <c r="R1554" s="25">
        <v>156</v>
      </c>
      <c r="S1554" s="26">
        <v>92.8</v>
      </c>
    </row>
    <row r="1555" spans="1:19" ht="14.25" x14ac:dyDescent="0.2">
      <c r="A1555" s="12">
        <v>30622</v>
      </c>
      <c r="B1555" s="13">
        <f t="shared" si="317"/>
        <v>31</v>
      </c>
      <c r="C1555" s="15">
        <f t="shared" si="318"/>
        <v>21</v>
      </c>
      <c r="D1555" s="14">
        <f t="shared" si="319"/>
        <v>18</v>
      </c>
      <c r="E1555" t="s">
        <v>2777</v>
      </c>
      <c r="F1555" t="s">
        <v>2835</v>
      </c>
      <c r="G1555" t="s">
        <v>2779</v>
      </c>
      <c r="H1555" t="s">
        <v>2779</v>
      </c>
      <c r="I1555" t="s">
        <v>2780</v>
      </c>
      <c r="J1555" s="4" t="s">
        <v>2845</v>
      </c>
      <c r="K1555" t="s">
        <v>175</v>
      </c>
      <c r="L1555" t="s">
        <v>164</v>
      </c>
      <c r="M1555" t="s">
        <v>163</v>
      </c>
      <c r="N1555" t="s">
        <v>167</v>
      </c>
      <c r="O1555" s="4" t="s">
        <v>2375</v>
      </c>
      <c r="P1555">
        <v>0</v>
      </c>
      <c r="Q1555" s="24">
        <v>109.5</v>
      </c>
      <c r="R1555" s="25">
        <v>156</v>
      </c>
      <c r="S1555" s="26">
        <v>92.8</v>
      </c>
    </row>
    <row r="1556" spans="1:19" ht="14.25" x14ac:dyDescent="0.2">
      <c r="A1556" s="12">
        <v>30623</v>
      </c>
      <c r="B1556" s="13">
        <f t="shared" si="317"/>
        <v>31</v>
      </c>
      <c r="C1556" s="15">
        <f t="shared" si="318"/>
        <v>21</v>
      </c>
      <c r="D1556" s="14">
        <f t="shared" si="319"/>
        <v>18</v>
      </c>
      <c r="E1556" t="s">
        <v>2777</v>
      </c>
      <c r="F1556" t="s">
        <v>2836</v>
      </c>
      <c r="G1556" t="s">
        <v>2779</v>
      </c>
      <c r="H1556" t="s">
        <v>2779</v>
      </c>
      <c r="I1556" t="s">
        <v>2780</v>
      </c>
      <c r="J1556" s="4" t="s">
        <v>2845</v>
      </c>
      <c r="K1556" t="s">
        <v>179</v>
      </c>
      <c r="L1556" t="s">
        <v>163</v>
      </c>
      <c r="M1556" t="s">
        <v>163</v>
      </c>
      <c r="N1556" t="s">
        <v>163</v>
      </c>
      <c r="O1556" s="4" t="s">
        <v>2377</v>
      </c>
      <c r="P1556">
        <v>0</v>
      </c>
      <c r="Q1556" s="24">
        <v>109.5</v>
      </c>
      <c r="R1556" s="25">
        <v>156</v>
      </c>
      <c r="S1556" s="26">
        <v>92.8</v>
      </c>
    </row>
    <row r="1557" spans="1:19" ht="14.25" x14ac:dyDescent="0.2">
      <c r="A1557" s="12">
        <v>30624</v>
      </c>
      <c r="B1557" s="13">
        <f t="shared" si="317"/>
        <v>31</v>
      </c>
      <c r="C1557" s="15">
        <f t="shared" si="318"/>
        <v>21</v>
      </c>
      <c r="D1557" s="14">
        <f t="shared" si="319"/>
        <v>18</v>
      </c>
      <c r="E1557" t="s">
        <v>2777</v>
      </c>
      <c r="F1557" t="s">
        <v>2837</v>
      </c>
      <c r="G1557" t="s">
        <v>2779</v>
      </c>
      <c r="H1557" t="s">
        <v>2779</v>
      </c>
      <c r="I1557" t="s">
        <v>2780</v>
      </c>
      <c r="J1557" s="4" t="s">
        <v>2845</v>
      </c>
      <c r="K1557" t="s">
        <v>177</v>
      </c>
      <c r="L1557" t="s">
        <v>163</v>
      </c>
      <c r="M1557" t="s">
        <v>163</v>
      </c>
      <c r="N1557" t="s">
        <v>163</v>
      </c>
      <c r="O1557" s="4" t="s">
        <v>2377</v>
      </c>
      <c r="P1557">
        <v>0</v>
      </c>
      <c r="Q1557" s="24">
        <v>109.5</v>
      </c>
      <c r="R1557" s="25">
        <v>156</v>
      </c>
      <c r="S1557" s="26">
        <v>92.8</v>
      </c>
    </row>
    <row r="1558" spans="1:19" ht="14.25" x14ac:dyDescent="0.2">
      <c r="A1558" s="12">
        <v>30625</v>
      </c>
      <c r="B1558" s="13">
        <f t="shared" si="317"/>
        <v>31</v>
      </c>
      <c r="C1558" s="15">
        <f t="shared" si="318"/>
        <v>21</v>
      </c>
      <c r="D1558" s="14">
        <f t="shared" si="319"/>
        <v>18</v>
      </c>
      <c r="E1558" t="s">
        <v>2785</v>
      </c>
      <c r="F1558" t="s">
        <v>2786</v>
      </c>
      <c r="G1558" t="s">
        <v>2828</v>
      </c>
      <c r="H1558" t="s">
        <v>2829</v>
      </c>
      <c r="I1558" t="s">
        <v>2697</v>
      </c>
      <c r="J1558" s="4" t="s">
        <v>2883</v>
      </c>
      <c r="K1558" t="s">
        <v>174</v>
      </c>
      <c r="L1558" t="s">
        <v>163</v>
      </c>
      <c r="M1558" t="s">
        <v>163</v>
      </c>
      <c r="N1558" t="s">
        <v>163</v>
      </c>
      <c r="O1558" s="4" t="s">
        <v>2379</v>
      </c>
      <c r="P1558">
        <v>0</v>
      </c>
      <c r="Q1558" s="24">
        <v>109.5</v>
      </c>
      <c r="R1558" s="25">
        <v>156</v>
      </c>
      <c r="S1558" s="26">
        <v>92.8</v>
      </c>
    </row>
    <row r="1559" spans="1:19" ht="14.25" x14ac:dyDescent="0.2">
      <c r="A1559" s="12">
        <v>30626</v>
      </c>
      <c r="B1559" s="13">
        <f t="shared" si="317"/>
        <v>31</v>
      </c>
      <c r="C1559" s="15">
        <f t="shared" si="318"/>
        <v>21</v>
      </c>
      <c r="D1559" s="14">
        <f t="shared" si="319"/>
        <v>18</v>
      </c>
      <c r="E1559" t="s">
        <v>2777</v>
      </c>
      <c r="F1559" t="s">
        <v>2834</v>
      </c>
      <c r="G1559" t="s">
        <v>2779</v>
      </c>
      <c r="H1559" t="s">
        <v>2779</v>
      </c>
      <c r="I1559" t="s">
        <v>2780</v>
      </c>
      <c r="J1559" s="4" t="s">
        <v>2845</v>
      </c>
      <c r="K1559" t="s">
        <v>182</v>
      </c>
      <c r="L1559" t="s">
        <v>163</v>
      </c>
      <c r="M1559" t="s">
        <v>163</v>
      </c>
      <c r="N1559" t="s">
        <v>163</v>
      </c>
      <c r="O1559" s="4" t="s">
        <v>2381</v>
      </c>
      <c r="P1559">
        <v>0</v>
      </c>
      <c r="Q1559" s="24">
        <v>109.8</v>
      </c>
      <c r="R1559" s="25">
        <v>156.5</v>
      </c>
      <c r="S1559" s="26">
        <v>93</v>
      </c>
    </row>
    <row r="1560" spans="1:19" ht="14.25" x14ac:dyDescent="0.2">
      <c r="A1560" s="12">
        <v>30627</v>
      </c>
      <c r="B1560" s="13">
        <f t="shared" si="317"/>
        <v>31</v>
      </c>
      <c r="C1560" s="15">
        <f t="shared" si="318"/>
        <v>21</v>
      </c>
      <c r="D1560" s="14">
        <f t="shared" si="319"/>
        <v>18</v>
      </c>
      <c r="E1560" t="s">
        <v>2777</v>
      </c>
      <c r="F1560" t="s">
        <v>2835</v>
      </c>
      <c r="G1560" t="s">
        <v>2779</v>
      </c>
      <c r="H1560" t="s">
        <v>2779</v>
      </c>
      <c r="I1560" t="s">
        <v>2780</v>
      </c>
      <c r="J1560" s="4" t="s">
        <v>2845</v>
      </c>
      <c r="K1560" t="s">
        <v>162</v>
      </c>
      <c r="L1560" t="s">
        <v>163</v>
      </c>
      <c r="M1560" t="s">
        <v>163</v>
      </c>
      <c r="N1560" t="s">
        <v>163</v>
      </c>
      <c r="O1560" s="4" t="s">
        <v>2381</v>
      </c>
      <c r="P1560">
        <v>0</v>
      </c>
      <c r="Q1560" s="24">
        <v>109.8</v>
      </c>
      <c r="R1560" s="25">
        <v>156.5</v>
      </c>
      <c r="S1560" s="26">
        <v>93</v>
      </c>
    </row>
    <row r="1561" spans="1:19" ht="14.25" x14ac:dyDescent="0.2">
      <c r="A1561" s="12">
        <v>30628</v>
      </c>
      <c r="B1561" s="13">
        <f t="shared" si="317"/>
        <v>31</v>
      </c>
      <c r="C1561" s="15">
        <f t="shared" si="318"/>
        <v>21</v>
      </c>
      <c r="D1561" s="14">
        <f t="shared" si="319"/>
        <v>18</v>
      </c>
      <c r="E1561" t="s">
        <v>2777</v>
      </c>
      <c r="F1561" t="s">
        <v>2836</v>
      </c>
      <c r="G1561" t="s">
        <v>2779</v>
      </c>
      <c r="H1561" t="s">
        <v>2779</v>
      </c>
      <c r="I1561" t="s">
        <v>2780</v>
      </c>
      <c r="J1561" s="4" t="s">
        <v>2845</v>
      </c>
      <c r="K1561" t="s">
        <v>177</v>
      </c>
      <c r="L1561" t="s">
        <v>163</v>
      </c>
      <c r="M1561" t="s">
        <v>163</v>
      </c>
      <c r="N1561" t="s">
        <v>163</v>
      </c>
      <c r="O1561" s="4" t="s">
        <v>2383</v>
      </c>
      <c r="P1561">
        <v>0</v>
      </c>
      <c r="Q1561" s="24">
        <v>109.8</v>
      </c>
      <c r="R1561" s="25">
        <v>156.5</v>
      </c>
      <c r="S1561" s="26">
        <v>93</v>
      </c>
    </row>
    <row r="1562" spans="1:19" ht="14.25" x14ac:dyDescent="0.2">
      <c r="A1562" s="12">
        <v>30629</v>
      </c>
      <c r="B1562" s="13">
        <f t="shared" si="317"/>
        <v>31</v>
      </c>
      <c r="C1562" s="15">
        <f t="shared" si="318"/>
        <v>21</v>
      </c>
      <c r="D1562" s="14">
        <f t="shared" si="319"/>
        <v>18</v>
      </c>
      <c r="E1562" t="s">
        <v>2777</v>
      </c>
      <c r="F1562" t="s">
        <v>2837</v>
      </c>
      <c r="G1562" t="s">
        <v>2779</v>
      </c>
      <c r="H1562" t="s">
        <v>2779</v>
      </c>
      <c r="I1562" t="s">
        <v>2780</v>
      </c>
      <c r="J1562" s="4" t="s">
        <v>2845</v>
      </c>
      <c r="K1562" t="s">
        <v>174</v>
      </c>
      <c r="L1562" t="s">
        <v>163</v>
      </c>
      <c r="M1562" t="s">
        <v>163</v>
      </c>
      <c r="N1562" t="s">
        <v>163</v>
      </c>
      <c r="O1562" s="4" t="s">
        <v>2385</v>
      </c>
      <c r="P1562">
        <v>0</v>
      </c>
      <c r="Q1562" s="24">
        <v>109.8</v>
      </c>
      <c r="R1562" s="25">
        <v>156.5</v>
      </c>
      <c r="S1562" s="26">
        <v>93</v>
      </c>
    </row>
    <row r="1563" spans="1:19" ht="14.25" x14ac:dyDescent="0.2">
      <c r="A1563" s="12">
        <v>30630</v>
      </c>
      <c r="B1563" s="13">
        <f t="shared" si="317"/>
        <v>31</v>
      </c>
      <c r="C1563" s="15">
        <f t="shared" si="318"/>
        <v>21</v>
      </c>
      <c r="D1563" s="14">
        <f t="shared" si="319"/>
        <v>18</v>
      </c>
      <c r="E1563" t="s">
        <v>2785</v>
      </c>
      <c r="F1563" t="s">
        <v>2786</v>
      </c>
      <c r="G1563" t="s">
        <v>2830</v>
      </c>
      <c r="H1563" t="s">
        <v>2829</v>
      </c>
      <c r="I1563" t="s">
        <v>2697</v>
      </c>
      <c r="J1563" s="4" t="s">
        <v>2865</v>
      </c>
      <c r="K1563" t="s">
        <v>166</v>
      </c>
      <c r="L1563" t="s">
        <v>163</v>
      </c>
      <c r="M1563" t="s">
        <v>163</v>
      </c>
      <c r="N1563" t="s">
        <v>163</v>
      </c>
      <c r="O1563" s="4" t="s">
        <v>2385</v>
      </c>
      <c r="P1563">
        <v>0</v>
      </c>
      <c r="Q1563" s="24">
        <v>109.8</v>
      </c>
      <c r="R1563" s="25">
        <v>156.5</v>
      </c>
      <c r="S1563" s="26">
        <v>93</v>
      </c>
    </row>
    <row r="1564" spans="1:19" ht="14.25" x14ac:dyDescent="0.2">
      <c r="A1564" s="12">
        <v>30631</v>
      </c>
      <c r="B1564" s="13">
        <f t="shared" si="317"/>
        <v>31</v>
      </c>
      <c r="C1564" s="15">
        <f t="shared" si="318"/>
        <v>21</v>
      </c>
      <c r="D1564" s="14">
        <f t="shared" si="319"/>
        <v>18</v>
      </c>
      <c r="E1564" t="s">
        <v>2777</v>
      </c>
      <c r="F1564" t="s">
        <v>2834</v>
      </c>
      <c r="G1564" t="s">
        <v>2779</v>
      </c>
      <c r="H1564" t="s">
        <v>2779</v>
      </c>
      <c r="I1564" t="s">
        <v>2780</v>
      </c>
      <c r="J1564" s="4" t="s">
        <v>2845</v>
      </c>
      <c r="K1564" t="s">
        <v>168</v>
      </c>
      <c r="L1564" t="s">
        <v>163</v>
      </c>
      <c r="M1564" t="s">
        <v>163</v>
      </c>
      <c r="N1564" t="s">
        <v>163</v>
      </c>
      <c r="O1564" s="4" t="s">
        <v>2387</v>
      </c>
      <c r="P1564">
        <v>0</v>
      </c>
      <c r="Q1564" s="24">
        <v>110.2</v>
      </c>
      <c r="R1564" s="25">
        <v>157</v>
      </c>
      <c r="S1564" s="26">
        <v>93.3</v>
      </c>
    </row>
    <row r="1565" spans="1:19" ht="14.25" x14ac:dyDescent="0.2">
      <c r="A1565" s="12">
        <v>30632</v>
      </c>
      <c r="B1565" s="13">
        <f t="shared" si="317"/>
        <v>31</v>
      </c>
      <c r="C1565" s="15">
        <f t="shared" si="318"/>
        <v>21</v>
      </c>
      <c r="D1565" s="14">
        <f t="shared" si="319"/>
        <v>18</v>
      </c>
      <c r="E1565" t="s">
        <v>2777</v>
      </c>
      <c r="F1565" t="s">
        <v>2835</v>
      </c>
      <c r="G1565" t="s">
        <v>2779</v>
      </c>
      <c r="H1565" t="s">
        <v>2779</v>
      </c>
      <c r="I1565" t="s">
        <v>2780</v>
      </c>
      <c r="J1565" s="4" t="s">
        <v>2845</v>
      </c>
      <c r="K1565" t="s">
        <v>175</v>
      </c>
      <c r="L1565" t="s">
        <v>164</v>
      </c>
      <c r="M1565" t="s">
        <v>163</v>
      </c>
      <c r="N1565" t="s">
        <v>167</v>
      </c>
      <c r="O1565" s="4" t="s">
        <v>2389</v>
      </c>
      <c r="P1565">
        <v>0</v>
      </c>
      <c r="Q1565" s="24">
        <v>110.2</v>
      </c>
      <c r="R1565" s="25">
        <v>157</v>
      </c>
      <c r="S1565" s="26">
        <v>93.3</v>
      </c>
    </row>
    <row r="1566" spans="1:19" ht="14.25" x14ac:dyDescent="0.2">
      <c r="A1566" s="12">
        <v>30633</v>
      </c>
      <c r="B1566" s="13">
        <f t="shared" si="317"/>
        <v>31</v>
      </c>
      <c r="C1566" s="15">
        <f t="shared" si="318"/>
        <v>22</v>
      </c>
      <c r="D1566" s="14">
        <f t="shared" si="319"/>
        <v>18</v>
      </c>
      <c r="E1566" t="s">
        <v>2777</v>
      </c>
      <c r="F1566" t="s">
        <v>2836</v>
      </c>
      <c r="G1566" t="s">
        <v>2779</v>
      </c>
      <c r="H1566" t="s">
        <v>2779</v>
      </c>
      <c r="I1566" t="s">
        <v>2780</v>
      </c>
      <c r="J1566" s="4" t="s">
        <v>2845</v>
      </c>
      <c r="K1566" t="s">
        <v>179</v>
      </c>
      <c r="L1566" t="s">
        <v>163</v>
      </c>
      <c r="M1566" t="s">
        <v>163</v>
      </c>
      <c r="N1566" t="s">
        <v>163</v>
      </c>
      <c r="O1566" s="4" t="s">
        <v>2391</v>
      </c>
      <c r="P1566">
        <v>0</v>
      </c>
      <c r="Q1566" s="24">
        <v>110.2</v>
      </c>
      <c r="R1566" s="25">
        <v>157</v>
      </c>
      <c r="S1566" s="26">
        <v>93.3</v>
      </c>
    </row>
    <row r="1567" spans="1:19" ht="14.25" x14ac:dyDescent="0.2">
      <c r="A1567" s="12">
        <v>30634</v>
      </c>
      <c r="B1567" s="13">
        <f t="shared" si="317"/>
        <v>31</v>
      </c>
      <c r="C1567" s="15">
        <f t="shared" si="318"/>
        <v>22</v>
      </c>
      <c r="D1567" s="14">
        <f t="shared" si="319"/>
        <v>18</v>
      </c>
      <c r="E1567" t="s">
        <v>2777</v>
      </c>
      <c r="F1567" t="s">
        <v>2837</v>
      </c>
      <c r="G1567" t="s">
        <v>2779</v>
      </c>
      <c r="H1567" t="s">
        <v>2779</v>
      </c>
      <c r="I1567" t="s">
        <v>2780</v>
      </c>
      <c r="J1567" s="4" t="s">
        <v>2845</v>
      </c>
      <c r="K1567" t="s">
        <v>177</v>
      </c>
      <c r="L1567" t="s">
        <v>163</v>
      </c>
      <c r="M1567" t="s">
        <v>163</v>
      </c>
      <c r="N1567" t="s">
        <v>163</v>
      </c>
      <c r="O1567" s="4" t="s">
        <v>2391</v>
      </c>
      <c r="P1567">
        <v>0</v>
      </c>
      <c r="Q1567" s="24">
        <v>110.2</v>
      </c>
      <c r="R1567" s="25">
        <v>157</v>
      </c>
      <c r="S1567" s="26">
        <v>93.3</v>
      </c>
    </row>
    <row r="1568" spans="1:19" ht="14.25" x14ac:dyDescent="0.2">
      <c r="A1568" s="12">
        <v>30635</v>
      </c>
      <c r="B1568" s="13">
        <f t="shared" si="317"/>
        <v>31</v>
      </c>
      <c r="C1568" s="15">
        <f t="shared" si="318"/>
        <v>22</v>
      </c>
      <c r="D1568" s="14">
        <f t="shared" si="319"/>
        <v>18</v>
      </c>
      <c r="E1568" t="s">
        <v>2785</v>
      </c>
      <c r="F1568" t="s">
        <v>2786</v>
      </c>
      <c r="G1568" t="s">
        <v>2831</v>
      </c>
      <c r="H1568" t="s">
        <v>2829</v>
      </c>
      <c r="I1568" t="s">
        <v>2697</v>
      </c>
      <c r="J1568" s="4" t="s">
        <v>2865</v>
      </c>
      <c r="K1568" t="s">
        <v>174</v>
      </c>
      <c r="L1568" t="s">
        <v>163</v>
      </c>
      <c r="M1568" t="s">
        <v>163</v>
      </c>
      <c r="N1568" t="s">
        <v>163</v>
      </c>
      <c r="O1568" s="4" t="s">
        <v>2393</v>
      </c>
      <c r="P1568">
        <v>0</v>
      </c>
      <c r="Q1568" s="24">
        <v>110.2</v>
      </c>
      <c r="R1568" s="25">
        <v>157</v>
      </c>
      <c r="S1568" s="26">
        <v>93.3</v>
      </c>
    </row>
    <row r="1569" spans="1:19" ht="14.25" x14ac:dyDescent="0.2">
      <c r="A1569" s="12">
        <v>30636</v>
      </c>
      <c r="B1569" s="13">
        <f t="shared" si="317"/>
        <v>31</v>
      </c>
      <c r="C1569" s="15">
        <f t="shared" si="318"/>
        <v>22</v>
      </c>
      <c r="D1569" s="14">
        <f t="shared" si="319"/>
        <v>18</v>
      </c>
      <c r="E1569" t="s">
        <v>2777</v>
      </c>
      <c r="F1569" t="s">
        <v>2834</v>
      </c>
      <c r="G1569" t="s">
        <v>2779</v>
      </c>
      <c r="H1569" t="s">
        <v>2779</v>
      </c>
      <c r="I1569" t="s">
        <v>2780</v>
      </c>
      <c r="J1569" s="4" t="s">
        <v>2845</v>
      </c>
      <c r="K1569" t="s">
        <v>182</v>
      </c>
      <c r="L1569" t="s">
        <v>163</v>
      </c>
      <c r="M1569" t="s">
        <v>163</v>
      </c>
      <c r="N1569" t="s">
        <v>163</v>
      </c>
      <c r="O1569" s="4" t="s">
        <v>2395</v>
      </c>
      <c r="P1569">
        <v>0</v>
      </c>
      <c r="Q1569" s="24">
        <v>110.5</v>
      </c>
      <c r="R1569" s="25">
        <v>157.5</v>
      </c>
      <c r="S1569" s="26">
        <v>93.5</v>
      </c>
    </row>
    <row r="1570" spans="1:19" ht="14.25" x14ac:dyDescent="0.2">
      <c r="A1570" s="12">
        <v>30637</v>
      </c>
      <c r="B1570" s="13">
        <f t="shared" si="317"/>
        <v>31</v>
      </c>
      <c r="C1570" s="15">
        <f t="shared" si="318"/>
        <v>22</v>
      </c>
      <c r="D1570" s="14">
        <f t="shared" si="319"/>
        <v>18</v>
      </c>
      <c r="E1570" t="s">
        <v>2777</v>
      </c>
      <c r="F1570" t="s">
        <v>2835</v>
      </c>
      <c r="G1570" t="s">
        <v>2779</v>
      </c>
      <c r="H1570" t="s">
        <v>2779</v>
      </c>
      <c r="I1570" t="s">
        <v>2780</v>
      </c>
      <c r="J1570" s="4" t="s">
        <v>2845</v>
      </c>
      <c r="K1570" t="s">
        <v>162</v>
      </c>
      <c r="L1570" t="s">
        <v>163</v>
      </c>
      <c r="M1570" t="s">
        <v>163</v>
      </c>
      <c r="N1570" t="s">
        <v>163</v>
      </c>
      <c r="O1570" s="4" t="s">
        <v>2395</v>
      </c>
      <c r="P1570">
        <v>0</v>
      </c>
      <c r="Q1570" s="24">
        <v>110.5</v>
      </c>
      <c r="R1570" s="25">
        <v>157.5</v>
      </c>
      <c r="S1570" s="26">
        <v>93.5</v>
      </c>
    </row>
    <row r="1571" spans="1:19" ht="14.25" x14ac:dyDescent="0.2">
      <c r="A1571" s="12">
        <v>30638</v>
      </c>
      <c r="B1571" s="13">
        <f t="shared" si="317"/>
        <v>31</v>
      </c>
      <c r="C1571" s="15">
        <f t="shared" si="318"/>
        <v>22</v>
      </c>
      <c r="D1571" s="14">
        <f t="shared" si="319"/>
        <v>18</v>
      </c>
      <c r="E1571" t="s">
        <v>2777</v>
      </c>
      <c r="F1571" t="s">
        <v>2836</v>
      </c>
      <c r="G1571" t="s">
        <v>2779</v>
      </c>
      <c r="H1571" t="s">
        <v>2779</v>
      </c>
      <c r="I1571" t="s">
        <v>2780</v>
      </c>
      <c r="J1571" s="4" t="s">
        <v>2845</v>
      </c>
      <c r="K1571" t="s">
        <v>177</v>
      </c>
      <c r="L1571" t="s">
        <v>163</v>
      </c>
      <c r="M1571" t="s">
        <v>163</v>
      </c>
      <c r="N1571" t="s">
        <v>163</v>
      </c>
      <c r="O1571" s="4" t="s">
        <v>2397</v>
      </c>
      <c r="P1571">
        <v>0</v>
      </c>
      <c r="Q1571" s="24">
        <v>110.5</v>
      </c>
      <c r="R1571" s="25">
        <v>157.5</v>
      </c>
      <c r="S1571" s="26">
        <v>93.5</v>
      </c>
    </row>
    <row r="1572" spans="1:19" ht="14.25" x14ac:dyDescent="0.2">
      <c r="A1572" s="12">
        <v>30639</v>
      </c>
      <c r="B1572" s="13">
        <f t="shared" si="317"/>
        <v>31</v>
      </c>
      <c r="C1572" s="15">
        <f t="shared" si="318"/>
        <v>22</v>
      </c>
      <c r="D1572" s="14">
        <f t="shared" si="319"/>
        <v>18</v>
      </c>
      <c r="E1572" t="s">
        <v>2777</v>
      </c>
      <c r="F1572" t="s">
        <v>2837</v>
      </c>
      <c r="G1572" t="s">
        <v>2779</v>
      </c>
      <c r="H1572" t="s">
        <v>2779</v>
      </c>
      <c r="I1572" t="s">
        <v>2780</v>
      </c>
      <c r="J1572" s="4" t="s">
        <v>2845</v>
      </c>
      <c r="K1572" t="s">
        <v>174</v>
      </c>
      <c r="L1572" t="s">
        <v>163</v>
      </c>
      <c r="M1572" t="s">
        <v>163</v>
      </c>
      <c r="N1572" t="s">
        <v>163</v>
      </c>
      <c r="O1572" s="4" t="s">
        <v>2399</v>
      </c>
      <c r="P1572">
        <v>0</v>
      </c>
      <c r="Q1572" s="24">
        <v>110.5</v>
      </c>
      <c r="R1572" s="25">
        <v>157.5</v>
      </c>
      <c r="S1572" s="26">
        <v>93.5</v>
      </c>
    </row>
    <row r="1573" spans="1:19" ht="14.25" x14ac:dyDescent="0.2">
      <c r="A1573" s="12">
        <v>30640</v>
      </c>
      <c r="B1573" s="13">
        <f t="shared" si="317"/>
        <v>31</v>
      </c>
      <c r="C1573" s="15">
        <f t="shared" si="318"/>
        <v>22</v>
      </c>
      <c r="D1573" s="14">
        <f t="shared" si="319"/>
        <v>18</v>
      </c>
      <c r="E1573" t="s">
        <v>2785</v>
      </c>
      <c r="F1573" t="s">
        <v>2786</v>
      </c>
      <c r="G1573" t="s">
        <v>2832</v>
      </c>
      <c r="H1573" t="s">
        <v>2829</v>
      </c>
      <c r="I1573" t="s">
        <v>2697</v>
      </c>
      <c r="J1573" s="4" t="s">
        <v>2865</v>
      </c>
      <c r="K1573" t="s">
        <v>166</v>
      </c>
      <c r="L1573" t="s">
        <v>163</v>
      </c>
      <c r="M1573" t="s">
        <v>163</v>
      </c>
      <c r="N1573" t="s">
        <v>163</v>
      </c>
      <c r="O1573" s="4" t="s">
        <v>2399</v>
      </c>
      <c r="P1573">
        <v>0</v>
      </c>
      <c r="Q1573" s="24">
        <v>110.5</v>
      </c>
      <c r="R1573" s="25">
        <v>157.5</v>
      </c>
      <c r="S1573" s="26">
        <v>93.5</v>
      </c>
    </row>
    <row r="1574" spans="1:19" ht="14.25" x14ac:dyDescent="0.2">
      <c r="A1574" s="12">
        <v>30641</v>
      </c>
      <c r="B1574" s="13">
        <f t="shared" si="317"/>
        <v>31</v>
      </c>
      <c r="C1574" s="15">
        <f t="shared" si="318"/>
        <v>22</v>
      </c>
      <c r="D1574" s="14">
        <f t="shared" si="319"/>
        <v>18</v>
      </c>
      <c r="E1574" t="s">
        <v>2777</v>
      </c>
      <c r="F1574" t="s">
        <v>2834</v>
      </c>
      <c r="G1574" t="s">
        <v>2779</v>
      </c>
      <c r="H1574" t="s">
        <v>2779</v>
      </c>
      <c r="I1574" t="s">
        <v>2780</v>
      </c>
      <c r="J1574" s="4" t="s">
        <v>2845</v>
      </c>
      <c r="K1574" t="s">
        <v>168</v>
      </c>
      <c r="L1574" t="s">
        <v>163</v>
      </c>
      <c r="M1574" t="s">
        <v>163</v>
      </c>
      <c r="N1574" t="s">
        <v>163</v>
      </c>
      <c r="O1574" s="4" t="s">
        <v>2401</v>
      </c>
      <c r="P1574">
        <v>0</v>
      </c>
      <c r="Q1574" s="24">
        <v>110.8</v>
      </c>
      <c r="R1574" s="25">
        <v>158</v>
      </c>
      <c r="S1574" s="26">
        <v>93.8</v>
      </c>
    </row>
    <row r="1575" spans="1:19" ht="14.25" x14ac:dyDescent="0.2">
      <c r="A1575" s="12">
        <v>30642</v>
      </c>
      <c r="B1575" s="13">
        <f t="shared" si="317"/>
        <v>31</v>
      </c>
      <c r="C1575" s="15">
        <f t="shared" si="318"/>
        <v>22</v>
      </c>
      <c r="D1575" s="14">
        <f t="shared" si="319"/>
        <v>18</v>
      </c>
      <c r="E1575" t="s">
        <v>2777</v>
      </c>
      <c r="F1575" t="s">
        <v>2835</v>
      </c>
      <c r="G1575" t="s">
        <v>2779</v>
      </c>
      <c r="H1575" t="s">
        <v>2779</v>
      </c>
      <c r="I1575" t="s">
        <v>2780</v>
      </c>
      <c r="J1575" s="4" t="s">
        <v>2845</v>
      </c>
      <c r="K1575" t="s">
        <v>175</v>
      </c>
      <c r="L1575" t="s">
        <v>164</v>
      </c>
      <c r="M1575" t="s">
        <v>163</v>
      </c>
      <c r="N1575" t="s">
        <v>167</v>
      </c>
      <c r="O1575" s="4" t="s">
        <v>2403</v>
      </c>
      <c r="P1575">
        <v>0</v>
      </c>
      <c r="Q1575" s="24">
        <v>110.8</v>
      </c>
      <c r="R1575" s="25">
        <v>158</v>
      </c>
      <c r="S1575" s="26">
        <v>93.8</v>
      </c>
    </row>
    <row r="1576" spans="1:19" ht="14.25" x14ac:dyDescent="0.2">
      <c r="A1576" s="12">
        <v>30643</v>
      </c>
      <c r="B1576" s="13">
        <f t="shared" si="317"/>
        <v>31</v>
      </c>
      <c r="C1576" s="15">
        <f t="shared" si="318"/>
        <v>22</v>
      </c>
      <c r="D1576" s="14">
        <f t="shared" si="319"/>
        <v>18</v>
      </c>
      <c r="E1576" t="s">
        <v>2777</v>
      </c>
      <c r="F1576" t="s">
        <v>2836</v>
      </c>
      <c r="G1576" t="s">
        <v>2779</v>
      </c>
      <c r="H1576" t="s">
        <v>2779</v>
      </c>
      <c r="I1576" t="s">
        <v>2780</v>
      </c>
      <c r="J1576" s="4" t="s">
        <v>2845</v>
      </c>
      <c r="K1576" t="s">
        <v>179</v>
      </c>
      <c r="L1576" t="s">
        <v>163</v>
      </c>
      <c r="M1576" t="s">
        <v>163</v>
      </c>
      <c r="N1576" t="s">
        <v>163</v>
      </c>
      <c r="O1576" s="4" t="s">
        <v>2405</v>
      </c>
      <c r="P1576">
        <v>0</v>
      </c>
      <c r="Q1576" s="24">
        <v>110.8</v>
      </c>
      <c r="R1576" s="25">
        <v>158</v>
      </c>
      <c r="S1576" s="26">
        <v>93.8</v>
      </c>
    </row>
    <row r="1577" spans="1:19" ht="14.25" x14ac:dyDescent="0.2">
      <c r="A1577" s="12">
        <v>30644</v>
      </c>
      <c r="B1577" s="13">
        <f t="shared" si="317"/>
        <v>31</v>
      </c>
      <c r="C1577" s="15">
        <f t="shared" si="318"/>
        <v>22</v>
      </c>
      <c r="D1577" s="14">
        <f t="shared" si="319"/>
        <v>18</v>
      </c>
      <c r="E1577" t="s">
        <v>2777</v>
      </c>
      <c r="F1577" t="s">
        <v>2837</v>
      </c>
      <c r="G1577" t="s">
        <v>2779</v>
      </c>
      <c r="H1577" t="s">
        <v>2779</v>
      </c>
      <c r="I1577" t="s">
        <v>2780</v>
      </c>
      <c r="J1577" s="4" t="s">
        <v>2845</v>
      </c>
      <c r="K1577" t="s">
        <v>177</v>
      </c>
      <c r="L1577" t="s">
        <v>163</v>
      </c>
      <c r="M1577" t="s">
        <v>163</v>
      </c>
      <c r="N1577" t="s">
        <v>163</v>
      </c>
      <c r="O1577" s="4" t="s">
        <v>2405</v>
      </c>
      <c r="P1577">
        <v>0</v>
      </c>
      <c r="Q1577" s="24">
        <v>110.8</v>
      </c>
      <c r="R1577" s="25">
        <v>158</v>
      </c>
      <c r="S1577" s="26">
        <v>93.8</v>
      </c>
    </row>
    <row r="1578" spans="1:19" ht="14.25" x14ac:dyDescent="0.2">
      <c r="A1578" s="12">
        <v>30645</v>
      </c>
      <c r="B1578" s="13">
        <f t="shared" si="317"/>
        <v>31</v>
      </c>
      <c r="C1578" s="15">
        <f t="shared" si="318"/>
        <v>22</v>
      </c>
      <c r="D1578" s="14">
        <f t="shared" si="319"/>
        <v>18</v>
      </c>
      <c r="E1578" t="s">
        <v>2785</v>
      </c>
      <c r="F1578" t="s">
        <v>2786</v>
      </c>
      <c r="G1578" t="s">
        <v>2833</v>
      </c>
      <c r="H1578" t="s">
        <v>2829</v>
      </c>
      <c r="I1578" t="s">
        <v>2697</v>
      </c>
      <c r="J1578" s="4" t="s">
        <v>2883</v>
      </c>
      <c r="K1578" t="s">
        <v>174</v>
      </c>
      <c r="L1578" t="s">
        <v>163</v>
      </c>
      <c r="M1578" t="s">
        <v>163</v>
      </c>
      <c r="N1578" t="s">
        <v>163</v>
      </c>
      <c r="O1578" s="4" t="s">
        <v>2407</v>
      </c>
      <c r="P1578">
        <v>0</v>
      </c>
      <c r="Q1578" s="24">
        <v>110.8</v>
      </c>
      <c r="R1578" s="25">
        <v>158</v>
      </c>
      <c r="S1578" s="26">
        <v>93.8</v>
      </c>
    </row>
    <row r="1579" spans="1:19" ht="14.25" x14ac:dyDescent="0.2">
      <c r="A1579" s="12">
        <v>30646</v>
      </c>
      <c r="B1579" s="13">
        <f t="shared" si="317"/>
        <v>31</v>
      </c>
      <c r="C1579" s="15">
        <f t="shared" si="318"/>
        <v>22</v>
      </c>
      <c r="D1579" s="14">
        <f t="shared" si="319"/>
        <v>18</v>
      </c>
      <c r="E1579" t="s">
        <v>2777</v>
      </c>
      <c r="F1579" t="s">
        <v>2834</v>
      </c>
      <c r="G1579" t="s">
        <v>2779</v>
      </c>
      <c r="H1579" t="s">
        <v>2779</v>
      </c>
      <c r="I1579" t="s">
        <v>2780</v>
      </c>
      <c r="J1579" s="4" t="s">
        <v>2845</v>
      </c>
      <c r="K1579" t="s">
        <v>182</v>
      </c>
      <c r="L1579" t="s">
        <v>163</v>
      </c>
      <c r="M1579" t="s">
        <v>163</v>
      </c>
      <c r="N1579" t="s">
        <v>163</v>
      </c>
      <c r="O1579" s="4" t="s">
        <v>2409</v>
      </c>
      <c r="P1579">
        <v>0</v>
      </c>
      <c r="Q1579" s="24">
        <v>111.2</v>
      </c>
      <c r="R1579" s="25">
        <v>158.5</v>
      </c>
      <c r="S1579" s="26">
        <v>94</v>
      </c>
    </row>
    <row r="1580" spans="1:19" ht="14.25" x14ac:dyDescent="0.2">
      <c r="A1580" s="12">
        <v>30647</v>
      </c>
      <c r="B1580" s="13">
        <f t="shared" si="317"/>
        <v>31</v>
      </c>
      <c r="C1580" s="15">
        <f t="shared" si="318"/>
        <v>22</v>
      </c>
      <c r="D1580" s="14">
        <f t="shared" si="319"/>
        <v>18</v>
      </c>
      <c r="E1580" t="s">
        <v>2777</v>
      </c>
      <c r="F1580" t="s">
        <v>2835</v>
      </c>
      <c r="G1580" t="s">
        <v>2779</v>
      </c>
      <c r="H1580" t="s">
        <v>2779</v>
      </c>
      <c r="I1580" t="s">
        <v>2780</v>
      </c>
      <c r="J1580" s="4" t="s">
        <v>2845</v>
      </c>
      <c r="K1580" t="s">
        <v>162</v>
      </c>
      <c r="L1580" t="s">
        <v>163</v>
      </c>
      <c r="M1580" t="s">
        <v>163</v>
      </c>
      <c r="N1580" t="s">
        <v>163</v>
      </c>
      <c r="O1580" s="4" t="s">
        <v>2409</v>
      </c>
      <c r="P1580">
        <v>0</v>
      </c>
      <c r="Q1580" s="24">
        <v>111.2</v>
      </c>
      <c r="R1580" s="25">
        <v>158.5</v>
      </c>
      <c r="S1580" s="26">
        <v>94</v>
      </c>
    </row>
    <row r="1581" spans="1:19" ht="14.25" x14ac:dyDescent="0.2">
      <c r="A1581" s="12">
        <v>30648</v>
      </c>
      <c r="B1581" s="13">
        <f t="shared" si="317"/>
        <v>31</v>
      </c>
      <c r="C1581" s="15">
        <f t="shared" si="318"/>
        <v>22</v>
      </c>
      <c r="D1581" s="14">
        <f t="shared" si="319"/>
        <v>18</v>
      </c>
      <c r="E1581" t="s">
        <v>2777</v>
      </c>
      <c r="F1581" t="s">
        <v>2836</v>
      </c>
      <c r="G1581" t="s">
        <v>2779</v>
      </c>
      <c r="H1581" t="s">
        <v>2779</v>
      </c>
      <c r="I1581" t="s">
        <v>2780</v>
      </c>
      <c r="J1581" s="4" t="s">
        <v>2845</v>
      </c>
      <c r="K1581" t="s">
        <v>177</v>
      </c>
      <c r="L1581" t="s">
        <v>163</v>
      </c>
      <c r="M1581" t="s">
        <v>163</v>
      </c>
      <c r="N1581" t="s">
        <v>163</v>
      </c>
      <c r="O1581" s="4" t="s">
        <v>2411</v>
      </c>
      <c r="P1581">
        <v>0</v>
      </c>
      <c r="Q1581" s="24">
        <v>111.2</v>
      </c>
      <c r="R1581" s="25">
        <v>158.5</v>
      </c>
      <c r="S1581" s="26">
        <v>94</v>
      </c>
    </row>
    <row r="1582" spans="1:19" ht="14.25" x14ac:dyDescent="0.2">
      <c r="A1582" s="12">
        <v>30649</v>
      </c>
      <c r="B1582" s="13">
        <f t="shared" si="317"/>
        <v>31</v>
      </c>
      <c r="C1582" s="15">
        <f t="shared" si="318"/>
        <v>22</v>
      </c>
      <c r="D1582" s="14">
        <f t="shared" si="319"/>
        <v>18</v>
      </c>
      <c r="E1582" t="s">
        <v>2777</v>
      </c>
      <c r="F1582" t="s">
        <v>2837</v>
      </c>
      <c r="G1582" t="s">
        <v>2779</v>
      </c>
      <c r="H1582" t="s">
        <v>2779</v>
      </c>
      <c r="I1582" t="s">
        <v>2780</v>
      </c>
      <c r="J1582" s="4" t="s">
        <v>2845</v>
      </c>
      <c r="K1582" t="s">
        <v>174</v>
      </c>
      <c r="L1582" t="s">
        <v>163</v>
      </c>
      <c r="M1582" t="s">
        <v>163</v>
      </c>
      <c r="N1582" t="s">
        <v>163</v>
      </c>
      <c r="O1582" s="4" t="s">
        <v>2413</v>
      </c>
      <c r="P1582">
        <v>0</v>
      </c>
      <c r="Q1582" s="24">
        <v>111.2</v>
      </c>
      <c r="R1582" s="25">
        <v>158.5</v>
      </c>
      <c r="S1582" s="26">
        <v>94</v>
      </c>
    </row>
    <row r="1583" spans="1:19" ht="14.25" x14ac:dyDescent="0.2">
      <c r="A1583" s="12">
        <v>30650</v>
      </c>
      <c r="B1583" s="13">
        <f t="shared" si="317"/>
        <v>31</v>
      </c>
      <c r="C1583" s="15">
        <f t="shared" si="318"/>
        <v>22</v>
      </c>
      <c r="D1583" s="14">
        <f t="shared" si="319"/>
        <v>18</v>
      </c>
      <c r="E1583" t="s">
        <v>2785</v>
      </c>
      <c r="F1583" t="s">
        <v>2786</v>
      </c>
      <c r="G1583" t="s">
        <v>2828</v>
      </c>
      <c r="H1583" t="s">
        <v>2829</v>
      </c>
      <c r="I1583" t="s">
        <v>2697</v>
      </c>
      <c r="J1583" s="4" t="s">
        <v>2883</v>
      </c>
      <c r="K1583" t="s">
        <v>166</v>
      </c>
      <c r="L1583" t="s">
        <v>163</v>
      </c>
      <c r="M1583" t="s">
        <v>163</v>
      </c>
      <c r="N1583" t="s">
        <v>163</v>
      </c>
      <c r="O1583" s="4" t="s">
        <v>2413</v>
      </c>
      <c r="P1583">
        <v>0</v>
      </c>
      <c r="Q1583" s="24">
        <v>111.2</v>
      </c>
      <c r="R1583" s="25">
        <v>158.5</v>
      </c>
      <c r="S1583" s="26">
        <v>94</v>
      </c>
    </row>
    <row r="1584" spans="1:19" ht="14.25" x14ac:dyDescent="0.2">
      <c r="A1584" s="12">
        <v>30701</v>
      </c>
      <c r="B1584" s="13">
        <f t="shared" si="317"/>
        <v>31</v>
      </c>
      <c r="C1584" s="15">
        <f t="shared" si="318"/>
        <v>22</v>
      </c>
      <c r="D1584" s="14">
        <f t="shared" si="319"/>
        <v>18</v>
      </c>
      <c r="E1584" t="s">
        <v>2777</v>
      </c>
      <c r="F1584" t="s">
        <v>2834</v>
      </c>
      <c r="G1584" t="s">
        <v>2779</v>
      </c>
      <c r="H1584" t="s">
        <v>2779</v>
      </c>
      <c r="I1584" t="s">
        <v>2780</v>
      </c>
      <c r="J1584" s="4" t="s">
        <v>2845</v>
      </c>
      <c r="K1584" t="s">
        <v>168</v>
      </c>
      <c r="L1584" t="s">
        <v>163</v>
      </c>
      <c r="M1584" t="s">
        <v>163</v>
      </c>
      <c r="N1584" t="s">
        <v>163</v>
      </c>
      <c r="O1584" s="4" t="s">
        <v>2415</v>
      </c>
      <c r="P1584">
        <v>0</v>
      </c>
      <c r="Q1584" s="24">
        <v>111.5</v>
      </c>
      <c r="R1584" s="25">
        <v>159</v>
      </c>
      <c r="S1584" s="26">
        <v>94.3</v>
      </c>
    </row>
    <row r="1585" spans="1:19" ht="14.25" x14ac:dyDescent="0.2">
      <c r="A1585" s="12">
        <v>30702</v>
      </c>
      <c r="B1585" s="13">
        <f t="shared" si="317"/>
        <v>31</v>
      </c>
      <c r="C1585" s="15">
        <f t="shared" si="318"/>
        <v>22</v>
      </c>
      <c r="D1585" s="14">
        <f t="shared" si="319"/>
        <v>18</v>
      </c>
      <c r="E1585" t="s">
        <v>2777</v>
      </c>
      <c r="F1585" t="s">
        <v>2835</v>
      </c>
      <c r="G1585" t="s">
        <v>2779</v>
      </c>
      <c r="H1585" t="s">
        <v>2779</v>
      </c>
      <c r="I1585" t="s">
        <v>2780</v>
      </c>
      <c r="J1585" s="4" t="s">
        <v>2845</v>
      </c>
      <c r="K1585" t="s">
        <v>175</v>
      </c>
      <c r="L1585" t="s">
        <v>164</v>
      </c>
      <c r="M1585" t="s">
        <v>163</v>
      </c>
      <c r="N1585" t="s">
        <v>167</v>
      </c>
      <c r="O1585" s="4" t="s">
        <v>2417</v>
      </c>
      <c r="P1585">
        <v>0</v>
      </c>
      <c r="Q1585" s="24">
        <v>111.5</v>
      </c>
      <c r="R1585" s="25">
        <v>159</v>
      </c>
      <c r="S1585" s="26">
        <v>94.3</v>
      </c>
    </row>
    <row r="1586" spans="1:19" ht="14.25" x14ac:dyDescent="0.2">
      <c r="A1586" s="12">
        <v>30703</v>
      </c>
      <c r="B1586" s="13">
        <f t="shared" si="317"/>
        <v>31</v>
      </c>
      <c r="C1586" s="15">
        <f t="shared" si="318"/>
        <v>22</v>
      </c>
      <c r="D1586" s="14">
        <f t="shared" si="319"/>
        <v>18</v>
      </c>
      <c r="E1586" t="s">
        <v>2777</v>
      </c>
      <c r="F1586" t="s">
        <v>2836</v>
      </c>
      <c r="G1586" t="s">
        <v>2779</v>
      </c>
      <c r="H1586" t="s">
        <v>2779</v>
      </c>
      <c r="I1586" t="s">
        <v>2780</v>
      </c>
      <c r="J1586" s="4" t="s">
        <v>2845</v>
      </c>
      <c r="K1586" t="s">
        <v>179</v>
      </c>
      <c r="L1586" t="s">
        <v>163</v>
      </c>
      <c r="M1586" t="s">
        <v>163</v>
      </c>
      <c r="N1586" t="s">
        <v>163</v>
      </c>
      <c r="O1586" s="4" t="s">
        <v>2419</v>
      </c>
      <c r="P1586">
        <v>0</v>
      </c>
      <c r="Q1586" s="24">
        <v>111.5</v>
      </c>
      <c r="R1586" s="25">
        <v>159</v>
      </c>
      <c r="S1586" s="26">
        <v>94.3</v>
      </c>
    </row>
    <row r="1587" spans="1:19" ht="14.25" x14ac:dyDescent="0.2">
      <c r="A1587" s="12">
        <v>30704</v>
      </c>
      <c r="B1587" s="13">
        <f t="shared" si="317"/>
        <v>31</v>
      </c>
      <c r="C1587" s="15">
        <f t="shared" si="318"/>
        <v>22</v>
      </c>
      <c r="D1587" s="14">
        <f t="shared" si="319"/>
        <v>18</v>
      </c>
      <c r="E1587" t="s">
        <v>2777</v>
      </c>
      <c r="F1587" t="s">
        <v>2837</v>
      </c>
      <c r="G1587" t="s">
        <v>2779</v>
      </c>
      <c r="H1587" t="s">
        <v>2779</v>
      </c>
      <c r="I1587" t="s">
        <v>2780</v>
      </c>
      <c r="J1587" s="4" t="s">
        <v>2845</v>
      </c>
      <c r="K1587" t="s">
        <v>177</v>
      </c>
      <c r="L1587" t="s">
        <v>163</v>
      </c>
      <c r="M1587" t="s">
        <v>163</v>
      </c>
      <c r="N1587" t="s">
        <v>163</v>
      </c>
      <c r="O1587" s="4" t="s">
        <v>2419</v>
      </c>
      <c r="P1587">
        <v>0</v>
      </c>
      <c r="Q1587" s="24">
        <v>111.5</v>
      </c>
      <c r="R1587" s="25">
        <v>159</v>
      </c>
      <c r="S1587" s="26">
        <v>94.3</v>
      </c>
    </row>
    <row r="1588" spans="1:19" ht="14.25" x14ac:dyDescent="0.2">
      <c r="A1588" s="12">
        <v>30705</v>
      </c>
      <c r="B1588" s="13">
        <f t="shared" si="317"/>
        <v>31</v>
      </c>
      <c r="C1588" s="15">
        <f t="shared" si="318"/>
        <v>22</v>
      </c>
      <c r="D1588" s="14">
        <f t="shared" si="319"/>
        <v>18</v>
      </c>
      <c r="E1588" t="s">
        <v>2785</v>
      </c>
      <c r="F1588" t="s">
        <v>2786</v>
      </c>
      <c r="G1588" t="s">
        <v>2830</v>
      </c>
      <c r="H1588" t="s">
        <v>2829</v>
      </c>
      <c r="I1588" t="s">
        <v>2697</v>
      </c>
      <c r="J1588" s="4" t="s">
        <v>2865</v>
      </c>
      <c r="K1588" t="s">
        <v>174</v>
      </c>
      <c r="L1588" t="s">
        <v>163</v>
      </c>
      <c r="M1588" t="s">
        <v>163</v>
      </c>
      <c r="N1588" t="s">
        <v>163</v>
      </c>
      <c r="O1588" s="4" t="s">
        <v>2421</v>
      </c>
      <c r="P1588">
        <v>0</v>
      </c>
      <c r="Q1588" s="24">
        <v>111.5</v>
      </c>
      <c r="R1588" s="25">
        <v>159</v>
      </c>
      <c r="S1588" s="26">
        <v>94.3</v>
      </c>
    </row>
    <row r="1589" spans="1:19" ht="14.25" x14ac:dyDescent="0.2">
      <c r="A1589" s="12">
        <v>30706</v>
      </c>
      <c r="B1589" s="13">
        <f t="shared" si="317"/>
        <v>31</v>
      </c>
      <c r="C1589" s="15">
        <f t="shared" si="318"/>
        <v>22</v>
      </c>
      <c r="D1589" s="14">
        <f t="shared" si="319"/>
        <v>18</v>
      </c>
      <c r="E1589" t="s">
        <v>2777</v>
      </c>
      <c r="F1589" t="s">
        <v>2834</v>
      </c>
      <c r="G1589" t="s">
        <v>2779</v>
      </c>
      <c r="H1589" t="s">
        <v>2779</v>
      </c>
      <c r="I1589" t="s">
        <v>2780</v>
      </c>
      <c r="J1589" s="4" t="s">
        <v>2845</v>
      </c>
      <c r="K1589" t="s">
        <v>182</v>
      </c>
      <c r="L1589" t="s">
        <v>163</v>
      </c>
      <c r="M1589" t="s">
        <v>163</v>
      </c>
      <c r="N1589" t="s">
        <v>163</v>
      </c>
      <c r="O1589" s="4" t="s">
        <v>2423</v>
      </c>
      <c r="P1589">
        <v>0</v>
      </c>
      <c r="Q1589" s="24">
        <v>111.8</v>
      </c>
      <c r="R1589" s="25">
        <v>159.5</v>
      </c>
      <c r="S1589" s="26">
        <v>94.5</v>
      </c>
    </row>
    <row r="1590" spans="1:19" ht="14.25" x14ac:dyDescent="0.2">
      <c r="A1590" s="12">
        <v>30707</v>
      </c>
      <c r="B1590" s="13">
        <f t="shared" si="317"/>
        <v>31</v>
      </c>
      <c r="C1590" s="15">
        <f t="shared" si="318"/>
        <v>22</v>
      </c>
      <c r="D1590" s="14">
        <f t="shared" si="319"/>
        <v>18</v>
      </c>
      <c r="E1590" t="s">
        <v>2777</v>
      </c>
      <c r="F1590" t="s">
        <v>2835</v>
      </c>
      <c r="G1590" t="s">
        <v>2779</v>
      </c>
      <c r="H1590" t="s">
        <v>2779</v>
      </c>
      <c r="I1590" t="s">
        <v>2780</v>
      </c>
      <c r="J1590" s="4" t="s">
        <v>2845</v>
      </c>
      <c r="K1590" t="s">
        <v>162</v>
      </c>
      <c r="L1590" t="s">
        <v>163</v>
      </c>
      <c r="M1590" t="s">
        <v>163</v>
      </c>
      <c r="N1590" t="s">
        <v>163</v>
      </c>
      <c r="O1590" s="4" t="s">
        <v>2423</v>
      </c>
      <c r="P1590">
        <v>0</v>
      </c>
      <c r="Q1590" s="24">
        <v>111.8</v>
      </c>
      <c r="R1590" s="25">
        <v>159.5</v>
      </c>
      <c r="S1590" s="26">
        <v>94.5</v>
      </c>
    </row>
    <row r="1591" spans="1:19" ht="14.25" x14ac:dyDescent="0.2">
      <c r="A1591" s="12">
        <v>30708</v>
      </c>
      <c r="B1591" s="13">
        <f t="shared" si="317"/>
        <v>31</v>
      </c>
      <c r="C1591" s="15">
        <f t="shared" si="318"/>
        <v>22</v>
      </c>
      <c r="D1591" s="14">
        <f t="shared" si="319"/>
        <v>18</v>
      </c>
      <c r="E1591" t="s">
        <v>2777</v>
      </c>
      <c r="F1591" t="s">
        <v>2836</v>
      </c>
      <c r="G1591" t="s">
        <v>2779</v>
      </c>
      <c r="H1591" t="s">
        <v>2779</v>
      </c>
      <c r="I1591" t="s">
        <v>2780</v>
      </c>
      <c r="J1591" s="4" t="s">
        <v>2845</v>
      </c>
      <c r="K1591" t="s">
        <v>177</v>
      </c>
      <c r="L1591" t="s">
        <v>163</v>
      </c>
      <c r="M1591" t="s">
        <v>163</v>
      </c>
      <c r="N1591" t="s">
        <v>163</v>
      </c>
      <c r="O1591" s="4" t="s">
        <v>2425</v>
      </c>
      <c r="P1591">
        <v>0</v>
      </c>
      <c r="Q1591" s="24">
        <v>111.8</v>
      </c>
      <c r="R1591" s="25">
        <v>159.5</v>
      </c>
      <c r="S1591" s="26">
        <v>94.5</v>
      </c>
    </row>
    <row r="1592" spans="1:19" ht="14.25" x14ac:dyDescent="0.2">
      <c r="A1592" s="12">
        <v>30709</v>
      </c>
      <c r="B1592" s="13">
        <f t="shared" si="317"/>
        <v>31</v>
      </c>
      <c r="C1592" s="15">
        <f t="shared" si="318"/>
        <v>22</v>
      </c>
      <c r="D1592" s="14">
        <f t="shared" si="319"/>
        <v>18</v>
      </c>
      <c r="E1592" t="s">
        <v>2777</v>
      </c>
      <c r="F1592" t="s">
        <v>2837</v>
      </c>
      <c r="G1592" t="s">
        <v>2779</v>
      </c>
      <c r="H1592" t="s">
        <v>2779</v>
      </c>
      <c r="I1592" t="s">
        <v>2780</v>
      </c>
      <c r="J1592" s="4" t="s">
        <v>2845</v>
      </c>
      <c r="K1592" t="s">
        <v>174</v>
      </c>
      <c r="L1592" t="s">
        <v>163</v>
      </c>
      <c r="M1592" t="s">
        <v>163</v>
      </c>
      <c r="N1592" t="s">
        <v>163</v>
      </c>
      <c r="O1592" s="4" t="s">
        <v>2427</v>
      </c>
      <c r="P1592">
        <v>0</v>
      </c>
      <c r="Q1592" s="24">
        <v>111.8</v>
      </c>
      <c r="R1592" s="25">
        <v>159.5</v>
      </c>
      <c r="S1592" s="26">
        <v>94.5</v>
      </c>
    </row>
    <row r="1593" spans="1:19" ht="14.25" x14ac:dyDescent="0.2">
      <c r="A1593" s="12">
        <v>30710</v>
      </c>
      <c r="B1593" s="13">
        <f t="shared" si="317"/>
        <v>31</v>
      </c>
      <c r="C1593" s="15">
        <f t="shared" si="318"/>
        <v>22</v>
      </c>
      <c r="D1593" s="14">
        <f t="shared" si="319"/>
        <v>18</v>
      </c>
      <c r="E1593" t="s">
        <v>2785</v>
      </c>
      <c r="F1593" t="s">
        <v>2786</v>
      </c>
      <c r="G1593" t="s">
        <v>2831</v>
      </c>
      <c r="H1593" t="s">
        <v>2829</v>
      </c>
      <c r="I1593" t="s">
        <v>2697</v>
      </c>
      <c r="J1593" s="4" t="s">
        <v>2865</v>
      </c>
      <c r="K1593" t="s">
        <v>166</v>
      </c>
      <c r="L1593" t="s">
        <v>163</v>
      </c>
      <c r="M1593" t="s">
        <v>163</v>
      </c>
      <c r="N1593" t="s">
        <v>163</v>
      </c>
      <c r="O1593" s="4" t="s">
        <v>2427</v>
      </c>
      <c r="P1593">
        <v>0</v>
      </c>
      <c r="Q1593" s="24">
        <v>111.8</v>
      </c>
      <c r="R1593" s="25">
        <v>159.5</v>
      </c>
      <c r="S1593" s="26">
        <v>94.5</v>
      </c>
    </row>
    <row r="1594" spans="1:19" ht="14.25" x14ac:dyDescent="0.2">
      <c r="A1594" s="12">
        <v>30711</v>
      </c>
      <c r="B1594" s="13">
        <f t="shared" si="317"/>
        <v>31</v>
      </c>
      <c r="C1594" s="15">
        <f t="shared" si="318"/>
        <v>22</v>
      </c>
      <c r="D1594" s="14">
        <f t="shared" si="319"/>
        <v>18</v>
      </c>
      <c r="E1594" t="s">
        <v>2777</v>
      </c>
      <c r="F1594" t="s">
        <v>2834</v>
      </c>
      <c r="G1594" t="s">
        <v>2779</v>
      </c>
      <c r="H1594" t="s">
        <v>2779</v>
      </c>
      <c r="I1594" t="s">
        <v>2780</v>
      </c>
      <c r="J1594" s="4" t="s">
        <v>2845</v>
      </c>
      <c r="K1594" t="s">
        <v>168</v>
      </c>
      <c r="L1594" t="s">
        <v>163</v>
      </c>
      <c r="M1594" t="s">
        <v>163</v>
      </c>
      <c r="N1594" t="s">
        <v>163</v>
      </c>
      <c r="O1594" s="4" t="s">
        <v>2429</v>
      </c>
      <c r="P1594">
        <v>0</v>
      </c>
      <c r="Q1594" s="24">
        <v>112.2</v>
      </c>
      <c r="R1594" s="25">
        <v>160</v>
      </c>
      <c r="S1594" s="26">
        <v>94.8</v>
      </c>
    </row>
    <row r="1595" spans="1:19" ht="14.25" x14ac:dyDescent="0.2">
      <c r="A1595" s="12">
        <v>30712</v>
      </c>
      <c r="B1595" s="13">
        <f t="shared" si="317"/>
        <v>31</v>
      </c>
      <c r="C1595" s="15">
        <f t="shared" si="318"/>
        <v>22</v>
      </c>
      <c r="D1595" s="14">
        <f t="shared" si="319"/>
        <v>18</v>
      </c>
      <c r="E1595" t="s">
        <v>2777</v>
      </c>
      <c r="F1595" t="s">
        <v>2835</v>
      </c>
      <c r="G1595" t="s">
        <v>2779</v>
      </c>
      <c r="H1595" t="s">
        <v>2779</v>
      </c>
      <c r="I1595" t="s">
        <v>2780</v>
      </c>
      <c r="J1595" s="4" t="s">
        <v>2845</v>
      </c>
      <c r="K1595" t="s">
        <v>175</v>
      </c>
      <c r="L1595" t="s">
        <v>164</v>
      </c>
      <c r="M1595" t="s">
        <v>163</v>
      </c>
      <c r="N1595" t="s">
        <v>167</v>
      </c>
      <c r="O1595" s="4" t="s">
        <v>2431</v>
      </c>
      <c r="P1595">
        <v>0</v>
      </c>
      <c r="Q1595" s="24">
        <v>112.2</v>
      </c>
      <c r="R1595" s="25">
        <v>160</v>
      </c>
      <c r="S1595" s="26">
        <v>94.8</v>
      </c>
    </row>
    <row r="1596" spans="1:19" ht="14.25" x14ac:dyDescent="0.2">
      <c r="A1596" s="12">
        <v>30713</v>
      </c>
      <c r="B1596" s="13">
        <f t="shared" si="317"/>
        <v>32</v>
      </c>
      <c r="C1596" s="15">
        <f t="shared" si="318"/>
        <v>22</v>
      </c>
      <c r="D1596" s="14">
        <f t="shared" si="319"/>
        <v>18</v>
      </c>
      <c r="E1596" t="s">
        <v>2777</v>
      </c>
      <c r="F1596" t="s">
        <v>2836</v>
      </c>
      <c r="G1596" t="s">
        <v>2779</v>
      </c>
      <c r="H1596" t="s">
        <v>2779</v>
      </c>
      <c r="I1596" t="s">
        <v>2780</v>
      </c>
      <c r="J1596" s="4" t="s">
        <v>2845</v>
      </c>
      <c r="K1596" t="s">
        <v>179</v>
      </c>
      <c r="L1596" t="s">
        <v>163</v>
      </c>
      <c r="M1596" t="s">
        <v>163</v>
      </c>
      <c r="N1596" t="s">
        <v>163</v>
      </c>
      <c r="O1596" s="4" t="s">
        <v>2433</v>
      </c>
      <c r="P1596">
        <v>0</v>
      </c>
      <c r="Q1596" s="24">
        <v>112.2</v>
      </c>
      <c r="R1596" s="25">
        <v>160</v>
      </c>
      <c r="S1596" s="26">
        <v>94.8</v>
      </c>
    </row>
    <row r="1597" spans="1:19" ht="14.25" x14ac:dyDescent="0.2">
      <c r="A1597" s="12">
        <v>30714</v>
      </c>
      <c r="B1597" s="13">
        <f t="shared" si="317"/>
        <v>32</v>
      </c>
      <c r="C1597" s="15">
        <f t="shared" si="318"/>
        <v>22</v>
      </c>
      <c r="D1597" s="14">
        <f t="shared" si="319"/>
        <v>18</v>
      </c>
      <c r="E1597" t="s">
        <v>2777</v>
      </c>
      <c r="F1597" t="s">
        <v>2837</v>
      </c>
      <c r="G1597" t="s">
        <v>2779</v>
      </c>
      <c r="H1597" t="s">
        <v>2779</v>
      </c>
      <c r="I1597" t="s">
        <v>2780</v>
      </c>
      <c r="J1597" s="4" t="s">
        <v>2845</v>
      </c>
      <c r="K1597" t="s">
        <v>177</v>
      </c>
      <c r="L1597" t="s">
        <v>163</v>
      </c>
      <c r="M1597" t="s">
        <v>163</v>
      </c>
      <c r="N1597" t="s">
        <v>163</v>
      </c>
      <c r="O1597" s="4" t="s">
        <v>2433</v>
      </c>
      <c r="P1597">
        <v>0</v>
      </c>
      <c r="Q1597" s="24">
        <v>112.2</v>
      </c>
      <c r="R1597" s="25">
        <v>160</v>
      </c>
      <c r="S1597" s="26">
        <v>94.8</v>
      </c>
    </row>
    <row r="1598" spans="1:19" ht="14.25" x14ac:dyDescent="0.2">
      <c r="A1598" s="12">
        <v>30715</v>
      </c>
      <c r="B1598" s="13">
        <f t="shared" si="317"/>
        <v>32</v>
      </c>
      <c r="C1598" s="15">
        <f t="shared" si="318"/>
        <v>22</v>
      </c>
      <c r="D1598" s="14">
        <f t="shared" si="319"/>
        <v>18</v>
      </c>
      <c r="E1598" t="s">
        <v>2785</v>
      </c>
      <c r="F1598" t="s">
        <v>2786</v>
      </c>
      <c r="G1598" t="s">
        <v>2832</v>
      </c>
      <c r="H1598" t="s">
        <v>2829</v>
      </c>
      <c r="I1598" t="s">
        <v>2697</v>
      </c>
      <c r="J1598" s="4" t="s">
        <v>2865</v>
      </c>
      <c r="K1598" t="s">
        <v>174</v>
      </c>
      <c r="L1598" t="s">
        <v>163</v>
      </c>
      <c r="M1598" t="s">
        <v>163</v>
      </c>
      <c r="N1598" t="s">
        <v>163</v>
      </c>
      <c r="O1598" s="4" t="s">
        <v>2435</v>
      </c>
      <c r="P1598">
        <v>0</v>
      </c>
      <c r="Q1598" s="24">
        <v>112.2</v>
      </c>
      <c r="R1598" s="25">
        <v>160</v>
      </c>
      <c r="S1598" s="26">
        <v>94.8</v>
      </c>
    </row>
    <row r="1599" spans="1:19" ht="14.25" x14ac:dyDescent="0.2">
      <c r="A1599" s="12">
        <v>30716</v>
      </c>
      <c r="B1599" s="13">
        <f t="shared" si="317"/>
        <v>32</v>
      </c>
      <c r="C1599" s="15">
        <f t="shared" si="318"/>
        <v>22</v>
      </c>
      <c r="D1599" s="14">
        <f t="shared" si="319"/>
        <v>18</v>
      </c>
      <c r="E1599" t="s">
        <v>2777</v>
      </c>
      <c r="F1599" t="s">
        <v>2834</v>
      </c>
      <c r="G1599" t="s">
        <v>2779</v>
      </c>
      <c r="H1599" t="s">
        <v>2779</v>
      </c>
      <c r="I1599" t="s">
        <v>2780</v>
      </c>
      <c r="J1599" s="4" t="s">
        <v>2845</v>
      </c>
      <c r="K1599" t="s">
        <v>182</v>
      </c>
      <c r="L1599" t="s">
        <v>163</v>
      </c>
      <c r="M1599" t="s">
        <v>163</v>
      </c>
      <c r="N1599" t="s">
        <v>163</v>
      </c>
      <c r="O1599" s="4" t="s">
        <v>2437</v>
      </c>
      <c r="P1599">
        <v>0</v>
      </c>
      <c r="Q1599" s="24">
        <v>112.5</v>
      </c>
      <c r="R1599" s="25">
        <v>160.5</v>
      </c>
      <c r="S1599" s="26">
        <v>95</v>
      </c>
    </row>
    <row r="1600" spans="1:19" ht="14.25" x14ac:dyDescent="0.2">
      <c r="A1600" s="12">
        <v>30717</v>
      </c>
      <c r="B1600" s="13">
        <f t="shared" si="317"/>
        <v>32</v>
      </c>
      <c r="C1600" s="15">
        <f t="shared" si="318"/>
        <v>22</v>
      </c>
      <c r="D1600" s="14">
        <f t="shared" si="319"/>
        <v>18</v>
      </c>
      <c r="E1600" t="s">
        <v>2777</v>
      </c>
      <c r="F1600" t="s">
        <v>2835</v>
      </c>
      <c r="G1600" t="s">
        <v>2779</v>
      </c>
      <c r="H1600" t="s">
        <v>2779</v>
      </c>
      <c r="I1600" t="s">
        <v>2780</v>
      </c>
      <c r="J1600" s="4" t="s">
        <v>2845</v>
      </c>
      <c r="K1600" t="s">
        <v>162</v>
      </c>
      <c r="L1600" t="s">
        <v>163</v>
      </c>
      <c r="M1600" t="s">
        <v>163</v>
      </c>
      <c r="N1600" t="s">
        <v>163</v>
      </c>
      <c r="O1600" s="4" t="s">
        <v>2437</v>
      </c>
      <c r="P1600">
        <v>0</v>
      </c>
      <c r="Q1600" s="24">
        <v>112.5</v>
      </c>
      <c r="R1600" s="25">
        <v>160.5</v>
      </c>
      <c r="S1600" s="26">
        <v>95</v>
      </c>
    </row>
    <row r="1601" spans="1:19" ht="14.25" x14ac:dyDescent="0.2">
      <c r="A1601" s="12">
        <v>30718</v>
      </c>
      <c r="B1601" s="13">
        <f t="shared" si="317"/>
        <v>32</v>
      </c>
      <c r="C1601" s="15">
        <f t="shared" si="318"/>
        <v>22</v>
      </c>
      <c r="D1601" s="14">
        <f t="shared" si="319"/>
        <v>19</v>
      </c>
      <c r="E1601" t="s">
        <v>2777</v>
      </c>
      <c r="F1601" t="s">
        <v>2836</v>
      </c>
      <c r="G1601" t="s">
        <v>2779</v>
      </c>
      <c r="H1601" t="s">
        <v>2779</v>
      </c>
      <c r="I1601" t="s">
        <v>2780</v>
      </c>
      <c r="J1601" s="4" t="s">
        <v>2845</v>
      </c>
      <c r="K1601" t="s">
        <v>177</v>
      </c>
      <c r="L1601" t="s">
        <v>163</v>
      </c>
      <c r="M1601" t="s">
        <v>163</v>
      </c>
      <c r="N1601" t="s">
        <v>163</v>
      </c>
      <c r="O1601" s="4" t="s">
        <v>2439</v>
      </c>
      <c r="P1601">
        <v>0</v>
      </c>
      <c r="Q1601" s="24">
        <v>112.5</v>
      </c>
      <c r="R1601" s="25">
        <v>160.5</v>
      </c>
      <c r="S1601" s="26">
        <v>95</v>
      </c>
    </row>
    <row r="1602" spans="1:19" ht="14.25" x14ac:dyDescent="0.2">
      <c r="A1602" s="12">
        <v>30719</v>
      </c>
      <c r="B1602" s="13">
        <f t="shared" si="317"/>
        <v>32</v>
      </c>
      <c r="C1602" s="15">
        <f t="shared" si="318"/>
        <v>22</v>
      </c>
      <c r="D1602" s="14">
        <f t="shared" si="319"/>
        <v>19</v>
      </c>
      <c r="E1602" t="s">
        <v>2777</v>
      </c>
      <c r="F1602" t="s">
        <v>2837</v>
      </c>
      <c r="G1602" t="s">
        <v>2779</v>
      </c>
      <c r="H1602" t="s">
        <v>2779</v>
      </c>
      <c r="I1602" t="s">
        <v>2780</v>
      </c>
      <c r="J1602" s="4" t="s">
        <v>2845</v>
      </c>
      <c r="K1602" t="s">
        <v>174</v>
      </c>
      <c r="L1602" t="s">
        <v>163</v>
      </c>
      <c r="M1602" t="s">
        <v>163</v>
      </c>
      <c r="N1602" t="s">
        <v>163</v>
      </c>
      <c r="O1602" s="4" t="s">
        <v>2441</v>
      </c>
      <c r="P1602">
        <v>0</v>
      </c>
      <c r="Q1602" s="24">
        <v>112.5</v>
      </c>
      <c r="R1602" s="25">
        <v>160.5</v>
      </c>
      <c r="S1602" s="26">
        <v>95</v>
      </c>
    </row>
    <row r="1603" spans="1:19" ht="14.25" x14ac:dyDescent="0.2">
      <c r="A1603" s="12">
        <v>30720</v>
      </c>
      <c r="B1603" s="13">
        <f t="shared" si="317"/>
        <v>32</v>
      </c>
      <c r="C1603" s="15">
        <f t="shared" si="318"/>
        <v>22</v>
      </c>
      <c r="D1603" s="14">
        <f t="shared" si="319"/>
        <v>19</v>
      </c>
      <c r="E1603" t="s">
        <v>2785</v>
      </c>
      <c r="F1603" t="s">
        <v>2786</v>
      </c>
      <c r="G1603" t="s">
        <v>2833</v>
      </c>
      <c r="H1603" t="s">
        <v>2829</v>
      </c>
      <c r="I1603" t="s">
        <v>2697</v>
      </c>
      <c r="J1603" s="4" t="s">
        <v>2883</v>
      </c>
      <c r="K1603" t="s">
        <v>166</v>
      </c>
      <c r="L1603" t="s">
        <v>163</v>
      </c>
      <c r="M1603" t="s">
        <v>163</v>
      </c>
      <c r="N1603" t="s">
        <v>163</v>
      </c>
      <c r="O1603" s="4" t="s">
        <v>2441</v>
      </c>
      <c r="P1603">
        <v>0</v>
      </c>
      <c r="Q1603" s="24">
        <v>112.5</v>
      </c>
      <c r="R1603" s="25">
        <v>160.5</v>
      </c>
      <c r="S1603" s="26">
        <v>95</v>
      </c>
    </row>
    <row r="1604" spans="1:19" ht="14.25" x14ac:dyDescent="0.2">
      <c r="A1604" s="12">
        <v>30721</v>
      </c>
      <c r="B1604" s="13">
        <f t="shared" si="317"/>
        <v>32</v>
      </c>
      <c r="C1604" s="15">
        <f t="shared" si="318"/>
        <v>22</v>
      </c>
      <c r="D1604" s="14">
        <f t="shared" si="319"/>
        <v>19</v>
      </c>
      <c r="E1604" t="s">
        <v>2777</v>
      </c>
      <c r="F1604" t="s">
        <v>2834</v>
      </c>
      <c r="G1604" t="s">
        <v>2779</v>
      </c>
      <c r="H1604" t="s">
        <v>2779</v>
      </c>
      <c r="I1604" t="s">
        <v>2780</v>
      </c>
      <c r="J1604" s="4" t="s">
        <v>2845</v>
      </c>
      <c r="K1604" t="s">
        <v>168</v>
      </c>
      <c r="L1604" t="s">
        <v>163</v>
      </c>
      <c r="M1604" t="s">
        <v>163</v>
      </c>
      <c r="N1604" t="s">
        <v>163</v>
      </c>
      <c r="O1604" s="4" t="s">
        <v>2443</v>
      </c>
      <c r="P1604">
        <v>0</v>
      </c>
      <c r="Q1604" s="24">
        <v>112.8</v>
      </c>
      <c r="R1604" s="25">
        <v>161</v>
      </c>
      <c r="S1604" s="26">
        <v>95.3</v>
      </c>
    </row>
    <row r="1605" spans="1:19" ht="14.25" x14ac:dyDescent="0.2">
      <c r="A1605" s="12">
        <v>30722</v>
      </c>
      <c r="B1605" s="13">
        <f t="shared" ref="B1605:B1668" si="320">FLOOR(R1603/5,1)</f>
        <v>32</v>
      </c>
      <c r="C1605" s="15">
        <f t="shared" ref="C1605:C1668" si="321">FLOOR(Q1603/5,1)</f>
        <v>22</v>
      </c>
      <c r="D1605" s="14">
        <f t="shared" ref="D1605:D1668" si="322">FLOOR(S1603/5,1)</f>
        <v>19</v>
      </c>
      <c r="E1605" t="s">
        <v>2777</v>
      </c>
      <c r="F1605" t="s">
        <v>2835</v>
      </c>
      <c r="G1605" t="s">
        <v>2779</v>
      </c>
      <c r="H1605" t="s">
        <v>2779</v>
      </c>
      <c r="I1605" t="s">
        <v>2780</v>
      </c>
      <c r="J1605" s="4" t="s">
        <v>2845</v>
      </c>
      <c r="K1605" t="s">
        <v>175</v>
      </c>
      <c r="L1605" t="s">
        <v>164</v>
      </c>
      <c r="M1605" t="s">
        <v>163</v>
      </c>
      <c r="N1605" t="s">
        <v>167</v>
      </c>
      <c r="O1605" s="4" t="s">
        <v>2445</v>
      </c>
      <c r="P1605">
        <v>0</v>
      </c>
      <c r="Q1605" s="24">
        <v>112.8</v>
      </c>
      <c r="R1605" s="25">
        <v>161</v>
      </c>
      <c r="S1605" s="26">
        <v>95.3</v>
      </c>
    </row>
    <row r="1606" spans="1:19" ht="14.25" x14ac:dyDescent="0.2">
      <c r="A1606" s="12">
        <v>30723</v>
      </c>
      <c r="B1606" s="13">
        <f t="shared" si="320"/>
        <v>32</v>
      </c>
      <c r="C1606" s="15">
        <f t="shared" si="321"/>
        <v>22</v>
      </c>
      <c r="D1606" s="14">
        <f t="shared" si="322"/>
        <v>19</v>
      </c>
      <c r="E1606" t="s">
        <v>2777</v>
      </c>
      <c r="F1606" t="s">
        <v>2836</v>
      </c>
      <c r="G1606" t="s">
        <v>2779</v>
      </c>
      <c r="H1606" t="s">
        <v>2779</v>
      </c>
      <c r="I1606" t="s">
        <v>2780</v>
      </c>
      <c r="J1606" s="4" t="s">
        <v>2845</v>
      </c>
      <c r="K1606" t="s">
        <v>179</v>
      </c>
      <c r="L1606" t="s">
        <v>163</v>
      </c>
      <c r="M1606" t="s">
        <v>163</v>
      </c>
      <c r="N1606" t="s">
        <v>163</v>
      </c>
      <c r="O1606" s="4" t="s">
        <v>2447</v>
      </c>
      <c r="P1606">
        <v>0</v>
      </c>
      <c r="Q1606" s="24">
        <v>112.8</v>
      </c>
      <c r="R1606" s="25">
        <v>161</v>
      </c>
      <c r="S1606" s="26">
        <v>95.3</v>
      </c>
    </row>
    <row r="1607" spans="1:19" ht="14.25" x14ac:dyDescent="0.2">
      <c r="A1607" s="12">
        <v>30724</v>
      </c>
      <c r="B1607" s="13">
        <f t="shared" si="320"/>
        <v>32</v>
      </c>
      <c r="C1607" s="15">
        <f t="shared" si="321"/>
        <v>22</v>
      </c>
      <c r="D1607" s="14">
        <f t="shared" si="322"/>
        <v>19</v>
      </c>
      <c r="E1607" t="s">
        <v>2777</v>
      </c>
      <c r="F1607" t="s">
        <v>2837</v>
      </c>
      <c r="G1607" t="s">
        <v>2779</v>
      </c>
      <c r="H1607" t="s">
        <v>2779</v>
      </c>
      <c r="I1607" t="s">
        <v>2780</v>
      </c>
      <c r="J1607" s="4" t="s">
        <v>2845</v>
      </c>
      <c r="K1607" t="s">
        <v>177</v>
      </c>
      <c r="L1607" t="s">
        <v>163</v>
      </c>
      <c r="M1607" t="s">
        <v>163</v>
      </c>
      <c r="N1607" t="s">
        <v>163</v>
      </c>
      <c r="O1607" s="4" t="s">
        <v>2447</v>
      </c>
      <c r="P1607">
        <v>0</v>
      </c>
      <c r="Q1607" s="24">
        <v>112.8</v>
      </c>
      <c r="R1607" s="25">
        <v>161</v>
      </c>
      <c r="S1607" s="26">
        <v>95.3</v>
      </c>
    </row>
    <row r="1608" spans="1:19" ht="14.25" x14ac:dyDescent="0.2">
      <c r="A1608" s="12">
        <v>30725</v>
      </c>
      <c r="B1608" s="13">
        <f t="shared" si="320"/>
        <v>32</v>
      </c>
      <c r="C1608" s="15">
        <f t="shared" si="321"/>
        <v>22</v>
      </c>
      <c r="D1608" s="14">
        <f t="shared" si="322"/>
        <v>19</v>
      </c>
      <c r="E1608" t="s">
        <v>2785</v>
      </c>
      <c r="F1608" t="s">
        <v>2786</v>
      </c>
      <c r="G1608" t="s">
        <v>2828</v>
      </c>
      <c r="H1608" t="s">
        <v>2829</v>
      </c>
      <c r="I1608" t="s">
        <v>2697</v>
      </c>
      <c r="J1608" s="4" t="s">
        <v>2883</v>
      </c>
      <c r="K1608" t="s">
        <v>174</v>
      </c>
      <c r="L1608" t="s">
        <v>163</v>
      </c>
      <c r="M1608" t="s">
        <v>163</v>
      </c>
      <c r="N1608" t="s">
        <v>163</v>
      </c>
      <c r="O1608" s="4" t="s">
        <v>2449</v>
      </c>
      <c r="P1608">
        <v>0</v>
      </c>
      <c r="Q1608" s="24">
        <v>112.8</v>
      </c>
      <c r="R1608" s="25">
        <v>161</v>
      </c>
      <c r="S1608" s="26">
        <v>95.3</v>
      </c>
    </row>
    <row r="1609" spans="1:19" ht="14.25" x14ac:dyDescent="0.2">
      <c r="A1609" s="12">
        <v>30726</v>
      </c>
      <c r="B1609" s="13">
        <f t="shared" si="320"/>
        <v>32</v>
      </c>
      <c r="C1609" s="15">
        <f t="shared" si="321"/>
        <v>22</v>
      </c>
      <c r="D1609" s="14">
        <f t="shared" si="322"/>
        <v>19</v>
      </c>
      <c r="E1609" t="s">
        <v>2777</v>
      </c>
      <c r="F1609" t="s">
        <v>2834</v>
      </c>
      <c r="G1609" t="s">
        <v>2779</v>
      </c>
      <c r="H1609" t="s">
        <v>2779</v>
      </c>
      <c r="I1609" t="s">
        <v>2780</v>
      </c>
      <c r="J1609" s="4" t="s">
        <v>2845</v>
      </c>
      <c r="K1609" t="s">
        <v>182</v>
      </c>
      <c r="L1609" t="s">
        <v>163</v>
      </c>
      <c r="M1609" t="s">
        <v>163</v>
      </c>
      <c r="N1609" t="s">
        <v>163</v>
      </c>
      <c r="O1609" s="4" t="s">
        <v>2451</v>
      </c>
      <c r="P1609">
        <v>0</v>
      </c>
      <c r="Q1609" s="24">
        <v>113.2</v>
      </c>
      <c r="R1609" s="25">
        <v>161.5</v>
      </c>
      <c r="S1609" s="26">
        <v>95.5</v>
      </c>
    </row>
    <row r="1610" spans="1:19" ht="14.25" x14ac:dyDescent="0.2">
      <c r="A1610" s="12">
        <v>30727</v>
      </c>
      <c r="B1610" s="13">
        <f t="shared" si="320"/>
        <v>32</v>
      </c>
      <c r="C1610" s="15">
        <f t="shared" si="321"/>
        <v>22</v>
      </c>
      <c r="D1610" s="14">
        <f t="shared" si="322"/>
        <v>19</v>
      </c>
      <c r="E1610" t="s">
        <v>2777</v>
      </c>
      <c r="F1610" t="s">
        <v>2835</v>
      </c>
      <c r="G1610" t="s">
        <v>2779</v>
      </c>
      <c r="H1610" t="s">
        <v>2779</v>
      </c>
      <c r="I1610" t="s">
        <v>2780</v>
      </c>
      <c r="J1610" s="4" t="s">
        <v>2845</v>
      </c>
      <c r="K1610" t="s">
        <v>162</v>
      </c>
      <c r="L1610" t="s">
        <v>163</v>
      </c>
      <c r="M1610" t="s">
        <v>163</v>
      </c>
      <c r="N1610" t="s">
        <v>163</v>
      </c>
      <c r="O1610" s="4" t="s">
        <v>2451</v>
      </c>
      <c r="P1610">
        <v>0</v>
      </c>
      <c r="Q1610" s="24">
        <v>113.2</v>
      </c>
      <c r="R1610" s="25">
        <v>161.5</v>
      </c>
      <c r="S1610" s="26">
        <v>95.5</v>
      </c>
    </row>
    <row r="1611" spans="1:19" ht="14.25" x14ac:dyDescent="0.2">
      <c r="A1611" s="12">
        <v>30728</v>
      </c>
      <c r="B1611" s="13">
        <f t="shared" si="320"/>
        <v>32</v>
      </c>
      <c r="C1611" s="15">
        <f t="shared" si="321"/>
        <v>22</v>
      </c>
      <c r="D1611" s="14">
        <f t="shared" si="322"/>
        <v>19</v>
      </c>
      <c r="E1611" t="s">
        <v>2777</v>
      </c>
      <c r="F1611" t="s">
        <v>2836</v>
      </c>
      <c r="G1611" t="s">
        <v>2779</v>
      </c>
      <c r="H1611" t="s">
        <v>2779</v>
      </c>
      <c r="I1611" t="s">
        <v>2780</v>
      </c>
      <c r="J1611" s="4" t="s">
        <v>2845</v>
      </c>
      <c r="K1611" t="s">
        <v>177</v>
      </c>
      <c r="L1611" t="s">
        <v>163</v>
      </c>
      <c r="M1611" t="s">
        <v>163</v>
      </c>
      <c r="N1611" t="s">
        <v>163</v>
      </c>
      <c r="O1611" s="4" t="s">
        <v>2453</v>
      </c>
      <c r="P1611">
        <v>0</v>
      </c>
      <c r="Q1611" s="24">
        <v>113.2</v>
      </c>
      <c r="R1611" s="25">
        <v>161.5</v>
      </c>
      <c r="S1611" s="26">
        <v>95.5</v>
      </c>
    </row>
    <row r="1612" spans="1:19" ht="14.25" x14ac:dyDescent="0.2">
      <c r="A1612" s="12">
        <v>30729</v>
      </c>
      <c r="B1612" s="13">
        <f t="shared" si="320"/>
        <v>32</v>
      </c>
      <c r="C1612" s="15">
        <f t="shared" si="321"/>
        <v>22</v>
      </c>
      <c r="D1612" s="14">
        <f t="shared" si="322"/>
        <v>19</v>
      </c>
      <c r="E1612" t="s">
        <v>2777</v>
      </c>
      <c r="F1612" t="s">
        <v>2837</v>
      </c>
      <c r="G1612" t="s">
        <v>2779</v>
      </c>
      <c r="H1612" t="s">
        <v>2779</v>
      </c>
      <c r="I1612" t="s">
        <v>2780</v>
      </c>
      <c r="J1612" s="4" t="s">
        <v>2845</v>
      </c>
      <c r="K1612" t="s">
        <v>174</v>
      </c>
      <c r="L1612" t="s">
        <v>163</v>
      </c>
      <c r="M1612" t="s">
        <v>163</v>
      </c>
      <c r="N1612" t="s">
        <v>163</v>
      </c>
      <c r="O1612" s="4" t="s">
        <v>2455</v>
      </c>
      <c r="P1612">
        <v>0</v>
      </c>
      <c r="Q1612" s="24">
        <v>113.2</v>
      </c>
      <c r="R1612" s="25">
        <v>161.5</v>
      </c>
      <c r="S1612" s="26">
        <v>95.5</v>
      </c>
    </row>
    <row r="1613" spans="1:19" ht="14.25" x14ac:dyDescent="0.2">
      <c r="A1613" s="12">
        <v>30730</v>
      </c>
      <c r="B1613" s="13">
        <f t="shared" si="320"/>
        <v>32</v>
      </c>
      <c r="C1613" s="15">
        <f t="shared" si="321"/>
        <v>22</v>
      </c>
      <c r="D1613" s="14">
        <f t="shared" si="322"/>
        <v>19</v>
      </c>
      <c r="E1613" t="s">
        <v>2785</v>
      </c>
      <c r="F1613" t="s">
        <v>2786</v>
      </c>
      <c r="G1613" t="s">
        <v>2830</v>
      </c>
      <c r="H1613" t="s">
        <v>2829</v>
      </c>
      <c r="I1613" t="s">
        <v>2697</v>
      </c>
      <c r="J1613" s="4" t="s">
        <v>2865</v>
      </c>
      <c r="K1613" t="s">
        <v>166</v>
      </c>
      <c r="L1613" t="s">
        <v>163</v>
      </c>
      <c r="M1613" t="s">
        <v>163</v>
      </c>
      <c r="N1613" t="s">
        <v>163</v>
      </c>
      <c r="O1613" s="4" t="s">
        <v>2455</v>
      </c>
      <c r="P1613">
        <v>0</v>
      </c>
      <c r="Q1613" s="24">
        <v>113.2</v>
      </c>
      <c r="R1613" s="25">
        <v>161.5</v>
      </c>
      <c r="S1613" s="26">
        <v>95.5</v>
      </c>
    </row>
    <row r="1614" spans="1:19" ht="14.25" x14ac:dyDescent="0.2">
      <c r="A1614" s="12">
        <v>30731</v>
      </c>
      <c r="B1614" s="13">
        <f t="shared" si="320"/>
        <v>32</v>
      </c>
      <c r="C1614" s="15">
        <f t="shared" si="321"/>
        <v>22</v>
      </c>
      <c r="D1614" s="14">
        <f t="shared" si="322"/>
        <v>19</v>
      </c>
      <c r="E1614" t="s">
        <v>2777</v>
      </c>
      <c r="F1614" t="s">
        <v>2834</v>
      </c>
      <c r="G1614" t="s">
        <v>2779</v>
      </c>
      <c r="H1614" t="s">
        <v>2779</v>
      </c>
      <c r="I1614" t="s">
        <v>2780</v>
      </c>
      <c r="J1614" s="4" t="s">
        <v>2845</v>
      </c>
      <c r="K1614" t="s">
        <v>168</v>
      </c>
      <c r="L1614" t="s">
        <v>163</v>
      </c>
      <c r="M1614" t="s">
        <v>163</v>
      </c>
      <c r="N1614" t="s">
        <v>163</v>
      </c>
      <c r="O1614" s="4" t="s">
        <v>2457</v>
      </c>
      <c r="P1614">
        <v>0</v>
      </c>
      <c r="Q1614" s="24">
        <v>113.5</v>
      </c>
      <c r="R1614" s="25">
        <v>162</v>
      </c>
      <c r="S1614" s="26">
        <v>95.8</v>
      </c>
    </row>
    <row r="1615" spans="1:19" ht="14.25" x14ac:dyDescent="0.2">
      <c r="A1615" s="12">
        <v>30732</v>
      </c>
      <c r="B1615" s="13">
        <f t="shared" si="320"/>
        <v>32</v>
      </c>
      <c r="C1615" s="15">
        <f t="shared" si="321"/>
        <v>22</v>
      </c>
      <c r="D1615" s="14">
        <f t="shared" si="322"/>
        <v>19</v>
      </c>
      <c r="E1615" t="s">
        <v>2777</v>
      </c>
      <c r="F1615" t="s">
        <v>2835</v>
      </c>
      <c r="G1615" t="s">
        <v>2779</v>
      </c>
      <c r="H1615" t="s">
        <v>2779</v>
      </c>
      <c r="I1615" t="s">
        <v>2780</v>
      </c>
      <c r="J1615" s="4" t="s">
        <v>2845</v>
      </c>
      <c r="K1615" t="s">
        <v>175</v>
      </c>
      <c r="L1615" t="s">
        <v>164</v>
      </c>
      <c r="M1615" t="s">
        <v>163</v>
      </c>
      <c r="N1615" t="s">
        <v>167</v>
      </c>
      <c r="O1615" s="4" t="s">
        <v>2459</v>
      </c>
      <c r="P1615">
        <v>0</v>
      </c>
      <c r="Q1615" s="24">
        <v>113.5</v>
      </c>
      <c r="R1615" s="25">
        <v>162</v>
      </c>
      <c r="S1615" s="26">
        <v>95.8</v>
      </c>
    </row>
    <row r="1616" spans="1:19" ht="14.25" x14ac:dyDescent="0.2">
      <c r="A1616" s="12">
        <v>30733</v>
      </c>
      <c r="B1616" s="13">
        <f t="shared" si="320"/>
        <v>32</v>
      </c>
      <c r="C1616" s="15">
        <f t="shared" si="321"/>
        <v>22</v>
      </c>
      <c r="D1616" s="14">
        <f t="shared" si="322"/>
        <v>19</v>
      </c>
      <c r="E1616" t="s">
        <v>2777</v>
      </c>
      <c r="F1616" t="s">
        <v>2836</v>
      </c>
      <c r="G1616" t="s">
        <v>2779</v>
      </c>
      <c r="H1616" t="s">
        <v>2779</v>
      </c>
      <c r="I1616" t="s">
        <v>2780</v>
      </c>
      <c r="J1616" s="4" t="s">
        <v>2845</v>
      </c>
      <c r="K1616" t="s">
        <v>179</v>
      </c>
      <c r="L1616" t="s">
        <v>163</v>
      </c>
      <c r="M1616" t="s">
        <v>163</v>
      </c>
      <c r="N1616" t="s">
        <v>163</v>
      </c>
      <c r="O1616" s="4" t="s">
        <v>2461</v>
      </c>
      <c r="P1616">
        <v>0</v>
      </c>
      <c r="Q1616" s="24">
        <v>113.5</v>
      </c>
      <c r="R1616" s="25">
        <v>162</v>
      </c>
      <c r="S1616" s="26">
        <v>95.8</v>
      </c>
    </row>
    <row r="1617" spans="1:19" ht="14.25" x14ac:dyDescent="0.2">
      <c r="A1617" s="12">
        <v>30734</v>
      </c>
      <c r="B1617" s="13">
        <f t="shared" si="320"/>
        <v>32</v>
      </c>
      <c r="C1617" s="15">
        <f t="shared" si="321"/>
        <v>22</v>
      </c>
      <c r="D1617" s="14">
        <f t="shared" si="322"/>
        <v>19</v>
      </c>
      <c r="E1617" t="s">
        <v>2777</v>
      </c>
      <c r="F1617" t="s">
        <v>2837</v>
      </c>
      <c r="G1617" t="s">
        <v>2779</v>
      </c>
      <c r="H1617" t="s">
        <v>2779</v>
      </c>
      <c r="I1617" t="s">
        <v>2780</v>
      </c>
      <c r="J1617" s="4" t="s">
        <v>2845</v>
      </c>
      <c r="K1617" t="s">
        <v>177</v>
      </c>
      <c r="L1617" t="s">
        <v>163</v>
      </c>
      <c r="M1617" t="s">
        <v>163</v>
      </c>
      <c r="N1617" t="s">
        <v>163</v>
      </c>
      <c r="O1617" s="4" t="s">
        <v>2461</v>
      </c>
      <c r="P1617">
        <v>0</v>
      </c>
      <c r="Q1617" s="24">
        <v>113.5</v>
      </c>
      <c r="R1617" s="25">
        <v>162</v>
      </c>
      <c r="S1617" s="26">
        <v>95.8</v>
      </c>
    </row>
    <row r="1618" spans="1:19" ht="14.25" x14ac:dyDescent="0.2">
      <c r="A1618" s="12">
        <v>30735</v>
      </c>
      <c r="B1618" s="13">
        <f t="shared" si="320"/>
        <v>32</v>
      </c>
      <c r="C1618" s="15">
        <f t="shared" si="321"/>
        <v>22</v>
      </c>
      <c r="D1618" s="14">
        <f t="shared" si="322"/>
        <v>19</v>
      </c>
      <c r="E1618" t="s">
        <v>2785</v>
      </c>
      <c r="F1618" t="s">
        <v>2786</v>
      </c>
      <c r="G1618" t="s">
        <v>2831</v>
      </c>
      <c r="H1618" t="s">
        <v>2829</v>
      </c>
      <c r="I1618" t="s">
        <v>2697</v>
      </c>
      <c r="J1618" s="4" t="s">
        <v>2865</v>
      </c>
      <c r="K1618" t="s">
        <v>174</v>
      </c>
      <c r="L1618" t="s">
        <v>163</v>
      </c>
      <c r="M1618" t="s">
        <v>163</v>
      </c>
      <c r="N1618" t="s">
        <v>163</v>
      </c>
      <c r="O1618" s="4" t="s">
        <v>2463</v>
      </c>
      <c r="P1618">
        <v>0</v>
      </c>
      <c r="Q1618" s="24">
        <v>113.5</v>
      </c>
      <c r="R1618" s="25">
        <v>162</v>
      </c>
      <c r="S1618" s="26">
        <v>95.8</v>
      </c>
    </row>
    <row r="1619" spans="1:19" ht="14.25" x14ac:dyDescent="0.2">
      <c r="A1619" s="12">
        <v>30736</v>
      </c>
      <c r="B1619" s="13">
        <f t="shared" si="320"/>
        <v>32</v>
      </c>
      <c r="C1619" s="15">
        <f t="shared" si="321"/>
        <v>22</v>
      </c>
      <c r="D1619" s="14">
        <f t="shared" si="322"/>
        <v>19</v>
      </c>
      <c r="E1619" t="s">
        <v>2777</v>
      </c>
      <c r="F1619" t="s">
        <v>2834</v>
      </c>
      <c r="G1619" t="s">
        <v>2779</v>
      </c>
      <c r="H1619" t="s">
        <v>2779</v>
      </c>
      <c r="I1619" t="s">
        <v>2780</v>
      </c>
      <c r="J1619" s="4" t="s">
        <v>2845</v>
      </c>
      <c r="K1619" t="s">
        <v>182</v>
      </c>
      <c r="L1619" t="s">
        <v>163</v>
      </c>
      <c r="M1619" t="s">
        <v>163</v>
      </c>
      <c r="N1619" t="s">
        <v>163</v>
      </c>
      <c r="O1619" s="4" t="s">
        <v>2465</v>
      </c>
      <c r="P1619">
        <v>0</v>
      </c>
      <c r="Q1619" s="24">
        <v>113.8</v>
      </c>
      <c r="R1619" s="25">
        <v>162.5</v>
      </c>
      <c r="S1619" s="26">
        <v>96</v>
      </c>
    </row>
    <row r="1620" spans="1:19" ht="14.25" x14ac:dyDescent="0.2">
      <c r="A1620" s="12">
        <v>30737</v>
      </c>
      <c r="B1620" s="13">
        <f t="shared" si="320"/>
        <v>32</v>
      </c>
      <c r="C1620" s="15">
        <f t="shared" si="321"/>
        <v>22</v>
      </c>
      <c r="D1620" s="14">
        <f t="shared" si="322"/>
        <v>19</v>
      </c>
      <c r="E1620" t="s">
        <v>2777</v>
      </c>
      <c r="F1620" t="s">
        <v>2835</v>
      </c>
      <c r="G1620" t="s">
        <v>2779</v>
      </c>
      <c r="H1620" t="s">
        <v>2779</v>
      </c>
      <c r="I1620" t="s">
        <v>2780</v>
      </c>
      <c r="J1620" s="4" t="s">
        <v>2845</v>
      </c>
      <c r="K1620" t="s">
        <v>162</v>
      </c>
      <c r="L1620" t="s">
        <v>163</v>
      </c>
      <c r="M1620" t="s">
        <v>163</v>
      </c>
      <c r="N1620" t="s">
        <v>163</v>
      </c>
      <c r="O1620" s="4" t="s">
        <v>2465</v>
      </c>
      <c r="P1620">
        <v>0</v>
      </c>
      <c r="Q1620" s="24">
        <v>113.8</v>
      </c>
      <c r="R1620" s="25">
        <v>162.5</v>
      </c>
      <c r="S1620" s="26">
        <v>96</v>
      </c>
    </row>
    <row r="1621" spans="1:19" ht="14.25" x14ac:dyDescent="0.2">
      <c r="A1621" s="12">
        <v>30738</v>
      </c>
      <c r="B1621" s="13">
        <f t="shared" si="320"/>
        <v>32</v>
      </c>
      <c r="C1621" s="15">
        <f t="shared" si="321"/>
        <v>22</v>
      </c>
      <c r="D1621" s="14">
        <f t="shared" si="322"/>
        <v>19</v>
      </c>
      <c r="E1621" t="s">
        <v>2777</v>
      </c>
      <c r="F1621" t="s">
        <v>2836</v>
      </c>
      <c r="G1621" t="s">
        <v>2779</v>
      </c>
      <c r="H1621" t="s">
        <v>2779</v>
      </c>
      <c r="I1621" t="s">
        <v>2780</v>
      </c>
      <c r="J1621" s="4" t="s">
        <v>2845</v>
      </c>
      <c r="K1621" t="s">
        <v>177</v>
      </c>
      <c r="L1621" t="s">
        <v>163</v>
      </c>
      <c r="M1621" t="s">
        <v>163</v>
      </c>
      <c r="N1621" t="s">
        <v>163</v>
      </c>
      <c r="O1621" s="4" t="s">
        <v>2467</v>
      </c>
      <c r="P1621">
        <v>0</v>
      </c>
      <c r="Q1621" s="24">
        <v>113.8</v>
      </c>
      <c r="R1621" s="25">
        <v>162.5</v>
      </c>
      <c r="S1621" s="26">
        <v>96</v>
      </c>
    </row>
    <row r="1622" spans="1:19" ht="14.25" x14ac:dyDescent="0.2">
      <c r="A1622" s="12">
        <v>30739</v>
      </c>
      <c r="B1622" s="13">
        <f t="shared" si="320"/>
        <v>32</v>
      </c>
      <c r="C1622" s="15">
        <f t="shared" si="321"/>
        <v>22</v>
      </c>
      <c r="D1622" s="14">
        <f t="shared" si="322"/>
        <v>19</v>
      </c>
      <c r="E1622" t="s">
        <v>2777</v>
      </c>
      <c r="F1622" t="s">
        <v>2837</v>
      </c>
      <c r="G1622" t="s">
        <v>2779</v>
      </c>
      <c r="H1622" t="s">
        <v>2779</v>
      </c>
      <c r="I1622" t="s">
        <v>2780</v>
      </c>
      <c r="J1622" s="4" t="s">
        <v>2845</v>
      </c>
      <c r="K1622" t="s">
        <v>174</v>
      </c>
      <c r="L1622" t="s">
        <v>163</v>
      </c>
      <c r="M1622" t="s">
        <v>163</v>
      </c>
      <c r="N1622" t="s">
        <v>163</v>
      </c>
      <c r="O1622" s="4" t="s">
        <v>2469</v>
      </c>
      <c r="P1622">
        <v>0</v>
      </c>
      <c r="Q1622" s="24">
        <v>113.8</v>
      </c>
      <c r="R1622" s="25">
        <v>162.5</v>
      </c>
      <c r="S1622" s="26">
        <v>96</v>
      </c>
    </row>
    <row r="1623" spans="1:19" ht="14.25" x14ac:dyDescent="0.2">
      <c r="A1623" s="12">
        <v>30740</v>
      </c>
      <c r="B1623" s="13">
        <f t="shared" si="320"/>
        <v>32</v>
      </c>
      <c r="C1623" s="15">
        <f t="shared" si="321"/>
        <v>22</v>
      </c>
      <c r="D1623" s="14">
        <f t="shared" si="322"/>
        <v>19</v>
      </c>
      <c r="E1623" t="s">
        <v>2785</v>
      </c>
      <c r="F1623" t="s">
        <v>2786</v>
      </c>
      <c r="G1623" t="s">
        <v>2832</v>
      </c>
      <c r="H1623" t="s">
        <v>2829</v>
      </c>
      <c r="I1623" t="s">
        <v>2697</v>
      </c>
      <c r="J1623" s="4" t="s">
        <v>2865</v>
      </c>
      <c r="K1623" t="s">
        <v>166</v>
      </c>
      <c r="L1623" t="s">
        <v>163</v>
      </c>
      <c r="M1623" t="s">
        <v>163</v>
      </c>
      <c r="N1623" t="s">
        <v>163</v>
      </c>
      <c r="O1623" s="4" t="s">
        <v>2469</v>
      </c>
      <c r="P1623">
        <v>0</v>
      </c>
      <c r="Q1623" s="24">
        <v>113.8</v>
      </c>
      <c r="R1623" s="25">
        <v>162.5</v>
      </c>
      <c r="S1623" s="26">
        <v>96</v>
      </c>
    </row>
    <row r="1624" spans="1:19" ht="14.25" x14ac:dyDescent="0.2">
      <c r="A1624" s="12">
        <v>30741</v>
      </c>
      <c r="B1624" s="13">
        <f t="shared" si="320"/>
        <v>32</v>
      </c>
      <c r="C1624" s="15">
        <f t="shared" si="321"/>
        <v>22</v>
      </c>
      <c r="D1624" s="14">
        <f t="shared" si="322"/>
        <v>19</v>
      </c>
      <c r="E1624" t="s">
        <v>2777</v>
      </c>
      <c r="F1624" t="s">
        <v>2834</v>
      </c>
      <c r="G1624" t="s">
        <v>2779</v>
      </c>
      <c r="H1624" t="s">
        <v>2779</v>
      </c>
      <c r="I1624" t="s">
        <v>2780</v>
      </c>
      <c r="J1624" s="4" t="s">
        <v>2845</v>
      </c>
      <c r="K1624" t="s">
        <v>168</v>
      </c>
      <c r="L1624" t="s">
        <v>163</v>
      </c>
      <c r="M1624" t="s">
        <v>163</v>
      </c>
      <c r="N1624" t="s">
        <v>163</v>
      </c>
      <c r="O1624" s="4" t="s">
        <v>2471</v>
      </c>
      <c r="P1624">
        <v>0</v>
      </c>
      <c r="Q1624" s="24">
        <v>114.2</v>
      </c>
      <c r="R1624" s="25">
        <v>163</v>
      </c>
      <c r="S1624" s="26">
        <v>96.3</v>
      </c>
    </row>
    <row r="1625" spans="1:19" ht="14.25" x14ac:dyDescent="0.2">
      <c r="A1625" s="12">
        <v>30742</v>
      </c>
      <c r="B1625" s="13">
        <f t="shared" si="320"/>
        <v>32</v>
      </c>
      <c r="C1625" s="15">
        <f t="shared" si="321"/>
        <v>22</v>
      </c>
      <c r="D1625" s="14">
        <f t="shared" si="322"/>
        <v>19</v>
      </c>
      <c r="E1625" t="s">
        <v>2777</v>
      </c>
      <c r="F1625" t="s">
        <v>2835</v>
      </c>
      <c r="G1625" t="s">
        <v>2779</v>
      </c>
      <c r="H1625" t="s">
        <v>2779</v>
      </c>
      <c r="I1625" t="s">
        <v>2780</v>
      </c>
      <c r="J1625" s="4" t="s">
        <v>2845</v>
      </c>
      <c r="K1625" t="s">
        <v>175</v>
      </c>
      <c r="L1625" t="s">
        <v>164</v>
      </c>
      <c r="M1625" t="s">
        <v>163</v>
      </c>
      <c r="N1625" t="s">
        <v>167</v>
      </c>
      <c r="O1625" s="4" t="s">
        <v>2473</v>
      </c>
      <c r="P1625">
        <v>0</v>
      </c>
      <c r="Q1625" s="24">
        <v>114.2</v>
      </c>
      <c r="R1625" s="25">
        <v>163</v>
      </c>
      <c r="S1625" s="26">
        <v>96.3</v>
      </c>
    </row>
    <row r="1626" spans="1:19" ht="14.25" x14ac:dyDescent="0.2">
      <c r="A1626" s="12">
        <v>30743</v>
      </c>
      <c r="B1626" s="13">
        <f t="shared" si="320"/>
        <v>32</v>
      </c>
      <c r="C1626" s="15">
        <f t="shared" si="321"/>
        <v>22</v>
      </c>
      <c r="D1626" s="14">
        <f t="shared" si="322"/>
        <v>19</v>
      </c>
      <c r="E1626" t="s">
        <v>2777</v>
      </c>
      <c r="F1626" t="s">
        <v>2836</v>
      </c>
      <c r="G1626" t="s">
        <v>2779</v>
      </c>
      <c r="H1626" t="s">
        <v>2779</v>
      </c>
      <c r="I1626" t="s">
        <v>2780</v>
      </c>
      <c r="J1626" s="4" t="s">
        <v>2845</v>
      </c>
      <c r="K1626" t="s">
        <v>179</v>
      </c>
      <c r="L1626" t="s">
        <v>163</v>
      </c>
      <c r="M1626" t="s">
        <v>163</v>
      </c>
      <c r="N1626" t="s">
        <v>163</v>
      </c>
      <c r="O1626" s="4" t="s">
        <v>2475</v>
      </c>
      <c r="P1626">
        <v>0</v>
      </c>
      <c r="Q1626" s="24">
        <v>114.2</v>
      </c>
      <c r="R1626" s="25">
        <v>163</v>
      </c>
      <c r="S1626" s="26">
        <v>96.3</v>
      </c>
    </row>
    <row r="1627" spans="1:19" ht="14.25" x14ac:dyDescent="0.2">
      <c r="A1627" s="12">
        <v>30744</v>
      </c>
      <c r="B1627" s="13">
        <f t="shared" si="320"/>
        <v>32</v>
      </c>
      <c r="C1627" s="15">
        <f t="shared" si="321"/>
        <v>22</v>
      </c>
      <c r="D1627" s="14">
        <f t="shared" si="322"/>
        <v>19</v>
      </c>
      <c r="E1627" t="s">
        <v>2777</v>
      </c>
      <c r="F1627" t="s">
        <v>2837</v>
      </c>
      <c r="G1627" t="s">
        <v>2779</v>
      </c>
      <c r="H1627" t="s">
        <v>2779</v>
      </c>
      <c r="I1627" t="s">
        <v>2780</v>
      </c>
      <c r="J1627" s="4" t="s">
        <v>2845</v>
      </c>
      <c r="K1627" t="s">
        <v>177</v>
      </c>
      <c r="L1627" t="s">
        <v>163</v>
      </c>
      <c r="M1627" t="s">
        <v>163</v>
      </c>
      <c r="N1627" t="s">
        <v>163</v>
      </c>
      <c r="O1627" s="4" t="s">
        <v>2475</v>
      </c>
      <c r="P1627">
        <v>0</v>
      </c>
      <c r="Q1627" s="24">
        <v>114.2</v>
      </c>
      <c r="R1627" s="25">
        <v>163</v>
      </c>
      <c r="S1627" s="26">
        <v>96.3</v>
      </c>
    </row>
    <row r="1628" spans="1:19" ht="14.25" x14ac:dyDescent="0.2">
      <c r="A1628" s="12">
        <v>30745</v>
      </c>
      <c r="B1628" s="13">
        <f t="shared" si="320"/>
        <v>32</v>
      </c>
      <c r="C1628" s="15">
        <f t="shared" si="321"/>
        <v>22</v>
      </c>
      <c r="D1628" s="14">
        <f t="shared" si="322"/>
        <v>19</v>
      </c>
      <c r="E1628" t="s">
        <v>2785</v>
      </c>
      <c r="F1628" t="s">
        <v>2786</v>
      </c>
      <c r="G1628" t="s">
        <v>2833</v>
      </c>
      <c r="H1628" t="s">
        <v>2829</v>
      </c>
      <c r="I1628" t="s">
        <v>2697</v>
      </c>
      <c r="J1628" s="4" t="s">
        <v>2883</v>
      </c>
      <c r="K1628" t="s">
        <v>174</v>
      </c>
      <c r="L1628" t="s">
        <v>163</v>
      </c>
      <c r="M1628" t="s">
        <v>163</v>
      </c>
      <c r="N1628" t="s">
        <v>163</v>
      </c>
      <c r="O1628" s="4" t="s">
        <v>2477</v>
      </c>
      <c r="P1628">
        <v>0</v>
      </c>
      <c r="Q1628" s="24">
        <v>114.2</v>
      </c>
      <c r="R1628" s="25">
        <v>163</v>
      </c>
      <c r="S1628" s="26">
        <v>96.3</v>
      </c>
    </row>
    <row r="1629" spans="1:19" ht="14.25" x14ac:dyDescent="0.2">
      <c r="A1629" s="12">
        <v>30746</v>
      </c>
      <c r="B1629" s="13">
        <f t="shared" si="320"/>
        <v>32</v>
      </c>
      <c r="C1629" s="15">
        <f t="shared" si="321"/>
        <v>22</v>
      </c>
      <c r="D1629" s="14">
        <f t="shared" si="322"/>
        <v>19</v>
      </c>
      <c r="E1629" t="s">
        <v>2777</v>
      </c>
      <c r="F1629" t="s">
        <v>2834</v>
      </c>
      <c r="G1629" t="s">
        <v>2779</v>
      </c>
      <c r="H1629" t="s">
        <v>2779</v>
      </c>
      <c r="I1629" t="s">
        <v>2780</v>
      </c>
      <c r="J1629" s="4" t="s">
        <v>2845</v>
      </c>
      <c r="K1629" t="s">
        <v>182</v>
      </c>
      <c r="L1629" t="s">
        <v>163</v>
      </c>
      <c r="M1629" t="s">
        <v>163</v>
      </c>
      <c r="N1629" t="s">
        <v>163</v>
      </c>
      <c r="O1629" s="4" t="s">
        <v>2479</v>
      </c>
      <c r="P1629">
        <v>0</v>
      </c>
      <c r="Q1629" s="24">
        <v>114.5</v>
      </c>
      <c r="R1629" s="25">
        <v>163.5</v>
      </c>
      <c r="S1629" s="26">
        <v>96.5</v>
      </c>
    </row>
    <row r="1630" spans="1:19" ht="14.25" x14ac:dyDescent="0.2">
      <c r="A1630" s="12">
        <v>30747</v>
      </c>
      <c r="B1630" s="13">
        <f t="shared" si="320"/>
        <v>32</v>
      </c>
      <c r="C1630" s="15">
        <f t="shared" si="321"/>
        <v>22</v>
      </c>
      <c r="D1630" s="14">
        <f t="shared" si="322"/>
        <v>19</v>
      </c>
      <c r="E1630" t="s">
        <v>2777</v>
      </c>
      <c r="F1630" t="s">
        <v>2835</v>
      </c>
      <c r="G1630" t="s">
        <v>2779</v>
      </c>
      <c r="H1630" t="s">
        <v>2779</v>
      </c>
      <c r="I1630" t="s">
        <v>2780</v>
      </c>
      <c r="J1630" s="4" t="s">
        <v>2845</v>
      </c>
      <c r="K1630" t="s">
        <v>162</v>
      </c>
      <c r="L1630" t="s">
        <v>163</v>
      </c>
      <c r="M1630" t="s">
        <v>163</v>
      </c>
      <c r="N1630" t="s">
        <v>163</v>
      </c>
      <c r="O1630" s="4" t="s">
        <v>2479</v>
      </c>
      <c r="P1630">
        <v>0</v>
      </c>
      <c r="Q1630" s="24">
        <v>114.5</v>
      </c>
      <c r="R1630" s="25">
        <v>163.5</v>
      </c>
      <c r="S1630" s="26">
        <v>96.5</v>
      </c>
    </row>
    <row r="1631" spans="1:19" ht="14.25" x14ac:dyDescent="0.2">
      <c r="A1631" s="12">
        <v>30748</v>
      </c>
      <c r="B1631" s="13">
        <f t="shared" si="320"/>
        <v>32</v>
      </c>
      <c r="C1631" s="15">
        <f t="shared" si="321"/>
        <v>22</v>
      </c>
      <c r="D1631" s="14">
        <f t="shared" si="322"/>
        <v>19</v>
      </c>
      <c r="E1631" t="s">
        <v>2777</v>
      </c>
      <c r="F1631" t="s">
        <v>2836</v>
      </c>
      <c r="G1631" t="s">
        <v>2779</v>
      </c>
      <c r="H1631" t="s">
        <v>2779</v>
      </c>
      <c r="I1631" t="s">
        <v>2780</v>
      </c>
      <c r="J1631" s="4" t="s">
        <v>2845</v>
      </c>
      <c r="K1631" t="s">
        <v>177</v>
      </c>
      <c r="L1631" t="s">
        <v>163</v>
      </c>
      <c r="M1631" t="s">
        <v>163</v>
      </c>
      <c r="N1631" t="s">
        <v>163</v>
      </c>
      <c r="O1631" s="4" t="s">
        <v>2481</v>
      </c>
      <c r="P1631">
        <v>0</v>
      </c>
      <c r="Q1631" s="24">
        <v>114.5</v>
      </c>
      <c r="R1631" s="25">
        <v>163.5</v>
      </c>
      <c r="S1631" s="26">
        <v>96.5</v>
      </c>
    </row>
    <row r="1632" spans="1:19" ht="14.25" x14ac:dyDescent="0.2">
      <c r="A1632" s="12">
        <v>30749</v>
      </c>
      <c r="B1632" s="13">
        <f t="shared" si="320"/>
        <v>32</v>
      </c>
      <c r="C1632" s="15">
        <f t="shared" si="321"/>
        <v>22</v>
      </c>
      <c r="D1632" s="14">
        <f t="shared" si="322"/>
        <v>19</v>
      </c>
      <c r="E1632" t="s">
        <v>2777</v>
      </c>
      <c r="F1632" t="s">
        <v>2837</v>
      </c>
      <c r="G1632" t="s">
        <v>2779</v>
      </c>
      <c r="H1632" t="s">
        <v>2779</v>
      </c>
      <c r="I1632" t="s">
        <v>2780</v>
      </c>
      <c r="J1632" s="4" t="s">
        <v>2845</v>
      </c>
      <c r="K1632" t="s">
        <v>174</v>
      </c>
      <c r="L1632" t="s">
        <v>163</v>
      </c>
      <c r="M1632" t="s">
        <v>163</v>
      </c>
      <c r="N1632" t="s">
        <v>163</v>
      </c>
      <c r="O1632" s="4" t="s">
        <v>2483</v>
      </c>
      <c r="P1632">
        <v>0</v>
      </c>
      <c r="Q1632" s="24">
        <v>114.5</v>
      </c>
      <c r="R1632" s="25">
        <v>163.5</v>
      </c>
      <c r="S1632" s="26">
        <v>96.5</v>
      </c>
    </row>
    <row r="1633" spans="1:19" ht="14.25" x14ac:dyDescent="0.2">
      <c r="A1633" s="12">
        <v>30750</v>
      </c>
      <c r="B1633" s="13">
        <f t="shared" si="320"/>
        <v>32</v>
      </c>
      <c r="C1633" s="15">
        <f t="shared" si="321"/>
        <v>22</v>
      </c>
      <c r="D1633" s="14">
        <f t="shared" si="322"/>
        <v>19</v>
      </c>
      <c r="E1633" t="s">
        <v>2785</v>
      </c>
      <c r="F1633" t="s">
        <v>2786</v>
      </c>
      <c r="G1633" t="s">
        <v>2828</v>
      </c>
      <c r="H1633" t="s">
        <v>2829</v>
      </c>
      <c r="I1633" t="s">
        <v>2697</v>
      </c>
      <c r="J1633" s="4" t="s">
        <v>2883</v>
      </c>
      <c r="K1633" t="s">
        <v>166</v>
      </c>
      <c r="L1633" t="s">
        <v>163</v>
      </c>
      <c r="M1633" t="s">
        <v>163</v>
      </c>
      <c r="N1633" t="s">
        <v>163</v>
      </c>
      <c r="O1633" s="4" t="s">
        <v>2483</v>
      </c>
      <c r="P1633">
        <v>0</v>
      </c>
      <c r="Q1633" s="24">
        <v>114.5</v>
      </c>
      <c r="R1633" s="25">
        <v>163.5</v>
      </c>
      <c r="S1633" s="26">
        <v>96.5</v>
      </c>
    </row>
    <row r="1634" spans="1:19" ht="14.25" x14ac:dyDescent="0.2">
      <c r="A1634" s="12">
        <v>30801</v>
      </c>
      <c r="B1634" s="13">
        <f t="shared" si="320"/>
        <v>32</v>
      </c>
      <c r="C1634" s="15">
        <f t="shared" si="321"/>
        <v>22</v>
      </c>
      <c r="D1634" s="14">
        <f t="shared" si="322"/>
        <v>19</v>
      </c>
      <c r="E1634" t="s">
        <v>2777</v>
      </c>
      <c r="F1634" t="s">
        <v>2834</v>
      </c>
      <c r="G1634" t="s">
        <v>2779</v>
      </c>
      <c r="H1634" t="s">
        <v>2779</v>
      </c>
      <c r="I1634" t="s">
        <v>2780</v>
      </c>
      <c r="J1634" s="4" t="s">
        <v>2845</v>
      </c>
      <c r="K1634" t="s">
        <v>168</v>
      </c>
      <c r="L1634" t="s">
        <v>163</v>
      </c>
      <c r="M1634" t="s">
        <v>163</v>
      </c>
      <c r="N1634" t="s">
        <v>163</v>
      </c>
      <c r="O1634" s="4" t="s">
        <v>2485</v>
      </c>
      <c r="P1634">
        <v>0</v>
      </c>
      <c r="Q1634" s="24">
        <v>114.8</v>
      </c>
      <c r="R1634" s="25">
        <v>164</v>
      </c>
      <c r="S1634" s="26">
        <v>96.8</v>
      </c>
    </row>
    <row r="1635" spans="1:19" ht="14.25" x14ac:dyDescent="0.2">
      <c r="A1635" s="12">
        <v>30802</v>
      </c>
      <c r="B1635" s="13">
        <f t="shared" si="320"/>
        <v>32</v>
      </c>
      <c r="C1635" s="15">
        <f t="shared" si="321"/>
        <v>22</v>
      </c>
      <c r="D1635" s="14">
        <f t="shared" si="322"/>
        <v>19</v>
      </c>
      <c r="E1635" t="s">
        <v>2777</v>
      </c>
      <c r="F1635" t="s">
        <v>2835</v>
      </c>
      <c r="G1635" t="s">
        <v>2779</v>
      </c>
      <c r="H1635" t="s">
        <v>2779</v>
      </c>
      <c r="I1635" t="s">
        <v>2780</v>
      </c>
      <c r="J1635" s="4" t="s">
        <v>2845</v>
      </c>
      <c r="K1635" t="s">
        <v>175</v>
      </c>
      <c r="L1635" t="s">
        <v>164</v>
      </c>
      <c r="M1635" t="s">
        <v>163</v>
      </c>
      <c r="N1635" t="s">
        <v>167</v>
      </c>
      <c r="O1635" s="4" t="s">
        <v>2487</v>
      </c>
      <c r="P1635">
        <v>0</v>
      </c>
      <c r="Q1635" s="24">
        <v>114.8</v>
      </c>
      <c r="R1635" s="25">
        <v>164</v>
      </c>
      <c r="S1635" s="26">
        <v>96.8</v>
      </c>
    </row>
    <row r="1636" spans="1:19" ht="14.25" x14ac:dyDescent="0.2">
      <c r="A1636" s="12">
        <v>30803</v>
      </c>
      <c r="B1636" s="13">
        <f t="shared" si="320"/>
        <v>32</v>
      </c>
      <c r="C1636" s="15">
        <f t="shared" si="321"/>
        <v>22</v>
      </c>
      <c r="D1636" s="14">
        <f t="shared" si="322"/>
        <v>19</v>
      </c>
      <c r="E1636" t="s">
        <v>2777</v>
      </c>
      <c r="F1636" t="s">
        <v>2836</v>
      </c>
      <c r="G1636" t="s">
        <v>2779</v>
      </c>
      <c r="H1636" t="s">
        <v>2779</v>
      </c>
      <c r="I1636" t="s">
        <v>2780</v>
      </c>
      <c r="J1636" s="4" t="s">
        <v>2845</v>
      </c>
      <c r="K1636" t="s">
        <v>179</v>
      </c>
      <c r="L1636" t="s">
        <v>163</v>
      </c>
      <c r="M1636" t="s">
        <v>163</v>
      </c>
      <c r="N1636" t="s">
        <v>163</v>
      </c>
      <c r="O1636" s="4" t="s">
        <v>2489</v>
      </c>
      <c r="P1636">
        <v>0</v>
      </c>
      <c r="Q1636" s="24">
        <v>114.8</v>
      </c>
      <c r="R1636" s="25">
        <v>164</v>
      </c>
      <c r="S1636" s="26">
        <v>96.8</v>
      </c>
    </row>
    <row r="1637" spans="1:19" ht="14.25" x14ac:dyDescent="0.2">
      <c r="A1637" s="12">
        <v>30804</v>
      </c>
      <c r="B1637" s="13">
        <f t="shared" si="320"/>
        <v>32</v>
      </c>
      <c r="C1637" s="15">
        <f t="shared" si="321"/>
        <v>22</v>
      </c>
      <c r="D1637" s="14">
        <f t="shared" si="322"/>
        <v>19</v>
      </c>
      <c r="E1637" t="s">
        <v>2777</v>
      </c>
      <c r="F1637" t="s">
        <v>2837</v>
      </c>
      <c r="G1637" t="s">
        <v>2779</v>
      </c>
      <c r="H1637" t="s">
        <v>2779</v>
      </c>
      <c r="I1637" t="s">
        <v>2780</v>
      </c>
      <c r="J1637" s="4" t="s">
        <v>2845</v>
      </c>
      <c r="K1637" t="s">
        <v>177</v>
      </c>
      <c r="L1637" t="s">
        <v>163</v>
      </c>
      <c r="M1637" t="s">
        <v>163</v>
      </c>
      <c r="N1637" t="s">
        <v>163</v>
      </c>
      <c r="O1637" s="4" t="s">
        <v>2489</v>
      </c>
      <c r="P1637">
        <v>0</v>
      </c>
      <c r="Q1637" s="24">
        <v>114.8</v>
      </c>
      <c r="R1637" s="25">
        <v>164</v>
      </c>
      <c r="S1637" s="26">
        <v>96.8</v>
      </c>
    </row>
    <row r="1638" spans="1:19" ht="14.25" x14ac:dyDescent="0.2">
      <c r="A1638" s="12">
        <v>30805</v>
      </c>
      <c r="B1638" s="13">
        <f t="shared" si="320"/>
        <v>32</v>
      </c>
      <c r="C1638" s="15">
        <f t="shared" si="321"/>
        <v>22</v>
      </c>
      <c r="D1638" s="14">
        <f t="shared" si="322"/>
        <v>19</v>
      </c>
      <c r="E1638" t="s">
        <v>2785</v>
      </c>
      <c r="F1638" t="s">
        <v>2786</v>
      </c>
      <c r="G1638" t="s">
        <v>2830</v>
      </c>
      <c r="H1638" t="s">
        <v>2829</v>
      </c>
      <c r="I1638" t="s">
        <v>2697</v>
      </c>
      <c r="J1638" s="4" t="s">
        <v>2865</v>
      </c>
      <c r="K1638" t="s">
        <v>174</v>
      </c>
      <c r="L1638" t="s">
        <v>163</v>
      </c>
      <c r="M1638" t="s">
        <v>163</v>
      </c>
      <c r="N1638" t="s">
        <v>163</v>
      </c>
      <c r="O1638" s="4" t="s">
        <v>2491</v>
      </c>
      <c r="P1638">
        <v>0</v>
      </c>
      <c r="Q1638" s="24">
        <v>114.8</v>
      </c>
      <c r="R1638" s="25">
        <v>164</v>
      </c>
      <c r="S1638" s="26">
        <v>96.8</v>
      </c>
    </row>
    <row r="1639" spans="1:19" ht="14.25" x14ac:dyDescent="0.2">
      <c r="A1639" s="12">
        <v>30806</v>
      </c>
      <c r="B1639" s="13">
        <f t="shared" si="320"/>
        <v>32</v>
      </c>
      <c r="C1639" s="15">
        <f t="shared" si="321"/>
        <v>22</v>
      </c>
      <c r="D1639" s="14">
        <f t="shared" si="322"/>
        <v>19</v>
      </c>
      <c r="E1639" t="s">
        <v>2777</v>
      </c>
      <c r="F1639" t="s">
        <v>2834</v>
      </c>
      <c r="G1639" t="s">
        <v>2779</v>
      </c>
      <c r="H1639" t="s">
        <v>2779</v>
      </c>
      <c r="I1639" t="s">
        <v>2780</v>
      </c>
      <c r="J1639" s="4" t="s">
        <v>2845</v>
      </c>
      <c r="K1639" t="s">
        <v>182</v>
      </c>
      <c r="L1639" t="s">
        <v>163</v>
      </c>
      <c r="M1639" t="s">
        <v>163</v>
      </c>
      <c r="N1639" t="s">
        <v>163</v>
      </c>
      <c r="O1639" s="4" t="s">
        <v>2493</v>
      </c>
      <c r="P1639">
        <v>0</v>
      </c>
      <c r="Q1639" s="24">
        <v>115.2</v>
      </c>
      <c r="R1639" s="25">
        <v>164.5</v>
      </c>
      <c r="S1639" s="26">
        <v>97</v>
      </c>
    </row>
    <row r="1640" spans="1:19" ht="14.25" x14ac:dyDescent="0.2">
      <c r="A1640" s="12">
        <v>30807</v>
      </c>
      <c r="B1640" s="13">
        <f t="shared" si="320"/>
        <v>32</v>
      </c>
      <c r="C1640" s="15">
        <f t="shared" si="321"/>
        <v>22</v>
      </c>
      <c r="D1640" s="14">
        <f t="shared" si="322"/>
        <v>19</v>
      </c>
      <c r="E1640" t="s">
        <v>2777</v>
      </c>
      <c r="F1640" t="s">
        <v>2835</v>
      </c>
      <c r="G1640" t="s">
        <v>2779</v>
      </c>
      <c r="H1640" t="s">
        <v>2779</v>
      </c>
      <c r="I1640" t="s">
        <v>2780</v>
      </c>
      <c r="J1640" s="4" t="s">
        <v>2845</v>
      </c>
      <c r="K1640" t="s">
        <v>162</v>
      </c>
      <c r="L1640" t="s">
        <v>163</v>
      </c>
      <c r="M1640" t="s">
        <v>163</v>
      </c>
      <c r="N1640" t="s">
        <v>163</v>
      </c>
      <c r="O1640" s="4" t="s">
        <v>2493</v>
      </c>
      <c r="P1640">
        <v>0</v>
      </c>
      <c r="Q1640" s="24">
        <v>115.2</v>
      </c>
      <c r="R1640" s="25">
        <v>164.5</v>
      </c>
      <c r="S1640" s="26">
        <v>97</v>
      </c>
    </row>
    <row r="1641" spans="1:19" ht="14.25" x14ac:dyDescent="0.2">
      <c r="A1641" s="12">
        <v>30808</v>
      </c>
      <c r="B1641" s="13">
        <f t="shared" si="320"/>
        <v>32</v>
      </c>
      <c r="C1641" s="15">
        <f t="shared" si="321"/>
        <v>23</v>
      </c>
      <c r="D1641" s="14">
        <f t="shared" si="322"/>
        <v>19</v>
      </c>
      <c r="E1641" t="s">
        <v>2777</v>
      </c>
      <c r="F1641" t="s">
        <v>2836</v>
      </c>
      <c r="G1641" t="s">
        <v>2779</v>
      </c>
      <c r="H1641" t="s">
        <v>2779</v>
      </c>
      <c r="I1641" t="s">
        <v>2780</v>
      </c>
      <c r="J1641" s="4" t="s">
        <v>2845</v>
      </c>
      <c r="K1641" t="s">
        <v>177</v>
      </c>
      <c r="L1641" t="s">
        <v>163</v>
      </c>
      <c r="M1641" t="s">
        <v>163</v>
      </c>
      <c r="N1641" t="s">
        <v>163</v>
      </c>
      <c r="O1641" s="4" t="s">
        <v>2495</v>
      </c>
      <c r="P1641">
        <v>0</v>
      </c>
      <c r="Q1641" s="24">
        <v>115.2</v>
      </c>
      <c r="R1641" s="25">
        <v>164.5</v>
      </c>
      <c r="S1641" s="26">
        <v>97</v>
      </c>
    </row>
    <row r="1642" spans="1:19" ht="14.25" x14ac:dyDescent="0.2">
      <c r="A1642" s="12">
        <v>30809</v>
      </c>
      <c r="B1642" s="13">
        <f t="shared" si="320"/>
        <v>32</v>
      </c>
      <c r="C1642" s="15">
        <f t="shared" si="321"/>
        <v>23</v>
      </c>
      <c r="D1642" s="14">
        <f t="shared" si="322"/>
        <v>19</v>
      </c>
      <c r="E1642" t="s">
        <v>2777</v>
      </c>
      <c r="F1642" t="s">
        <v>2837</v>
      </c>
      <c r="G1642" t="s">
        <v>2779</v>
      </c>
      <c r="H1642" t="s">
        <v>2779</v>
      </c>
      <c r="I1642" t="s">
        <v>2780</v>
      </c>
      <c r="J1642" s="4" t="s">
        <v>2845</v>
      </c>
      <c r="K1642" t="s">
        <v>174</v>
      </c>
      <c r="L1642" t="s">
        <v>163</v>
      </c>
      <c r="M1642" t="s">
        <v>163</v>
      </c>
      <c r="N1642" t="s">
        <v>163</v>
      </c>
      <c r="O1642" s="4" t="s">
        <v>2497</v>
      </c>
      <c r="P1642">
        <v>0</v>
      </c>
      <c r="Q1642" s="24">
        <v>115.2</v>
      </c>
      <c r="R1642" s="25">
        <v>164.5</v>
      </c>
      <c r="S1642" s="26">
        <v>97</v>
      </c>
    </row>
    <row r="1643" spans="1:19" ht="14.25" x14ac:dyDescent="0.2">
      <c r="A1643" s="12">
        <v>30810</v>
      </c>
      <c r="B1643" s="13">
        <f t="shared" si="320"/>
        <v>32</v>
      </c>
      <c r="C1643" s="15">
        <f t="shared" si="321"/>
        <v>23</v>
      </c>
      <c r="D1643" s="14">
        <f t="shared" si="322"/>
        <v>19</v>
      </c>
      <c r="E1643" t="s">
        <v>2785</v>
      </c>
      <c r="F1643" t="s">
        <v>2786</v>
      </c>
      <c r="G1643" t="s">
        <v>2831</v>
      </c>
      <c r="H1643" t="s">
        <v>2829</v>
      </c>
      <c r="I1643" t="s">
        <v>2697</v>
      </c>
      <c r="J1643" s="4" t="s">
        <v>2865</v>
      </c>
      <c r="K1643" t="s">
        <v>166</v>
      </c>
      <c r="L1643" t="s">
        <v>163</v>
      </c>
      <c r="M1643" t="s">
        <v>163</v>
      </c>
      <c r="N1643" t="s">
        <v>163</v>
      </c>
      <c r="O1643" s="4" t="s">
        <v>2497</v>
      </c>
      <c r="P1643">
        <v>0</v>
      </c>
      <c r="Q1643" s="24">
        <v>115.2</v>
      </c>
      <c r="R1643" s="25">
        <v>164.5</v>
      </c>
      <c r="S1643" s="26">
        <v>97</v>
      </c>
    </row>
    <row r="1644" spans="1:19" ht="14.25" x14ac:dyDescent="0.2">
      <c r="A1644" s="12">
        <v>30811</v>
      </c>
      <c r="B1644" s="13">
        <f t="shared" si="320"/>
        <v>32</v>
      </c>
      <c r="C1644" s="15">
        <f t="shared" si="321"/>
        <v>23</v>
      </c>
      <c r="D1644" s="14">
        <f t="shared" si="322"/>
        <v>19</v>
      </c>
      <c r="E1644" t="s">
        <v>2777</v>
      </c>
      <c r="F1644" t="s">
        <v>2834</v>
      </c>
      <c r="G1644" t="s">
        <v>2779</v>
      </c>
      <c r="H1644" t="s">
        <v>2779</v>
      </c>
      <c r="I1644" t="s">
        <v>2780</v>
      </c>
      <c r="J1644" s="4" t="s">
        <v>2845</v>
      </c>
      <c r="K1644" t="s">
        <v>168</v>
      </c>
      <c r="L1644" t="s">
        <v>163</v>
      </c>
      <c r="M1644" t="s">
        <v>163</v>
      </c>
      <c r="N1644" t="s">
        <v>163</v>
      </c>
      <c r="O1644" s="4" t="s">
        <v>2499</v>
      </c>
      <c r="P1644">
        <v>0</v>
      </c>
      <c r="Q1644" s="24">
        <v>115.5</v>
      </c>
      <c r="R1644" s="25">
        <v>165</v>
      </c>
      <c r="S1644" s="26">
        <v>97.3</v>
      </c>
    </row>
    <row r="1645" spans="1:19" ht="14.25" x14ac:dyDescent="0.2">
      <c r="A1645" s="12">
        <v>30812</v>
      </c>
      <c r="B1645" s="13">
        <f t="shared" si="320"/>
        <v>32</v>
      </c>
      <c r="C1645" s="15">
        <f t="shared" si="321"/>
        <v>23</v>
      </c>
      <c r="D1645" s="14">
        <f t="shared" si="322"/>
        <v>19</v>
      </c>
      <c r="E1645" t="s">
        <v>2777</v>
      </c>
      <c r="F1645" t="s">
        <v>2835</v>
      </c>
      <c r="G1645" t="s">
        <v>2779</v>
      </c>
      <c r="H1645" t="s">
        <v>2779</v>
      </c>
      <c r="I1645" t="s">
        <v>2780</v>
      </c>
      <c r="J1645" s="4" t="s">
        <v>2845</v>
      </c>
      <c r="K1645" t="s">
        <v>175</v>
      </c>
      <c r="L1645" t="s">
        <v>164</v>
      </c>
      <c r="M1645" t="s">
        <v>163</v>
      </c>
      <c r="N1645" t="s">
        <v>167</v>
      </c>
      <c r="O1645" s="4" t="s">
        <v>2501</v>
      </c>
      <c r="P1645">
        <v>0</v>
      </c>
      <c r="Q1645" s="24">
        <v>115.5</v>
      </c>
      <c r="R1645" s="25">
        <v>165</v>
      </c>
      <c r="S1645" s="26">
        <v>97.3</v>
      </c>
    </row>
    <row r="1646" spans="1:19" ht="14.25" x14ac:dyDescent="0.2">
      <c r="A1646" s="12">
        <v>30813</v>
      </c>
      <c r="B1646" s="13">
        <f t="shared" si="320"/>
        <v>33</v>
      </c>
      <c r="C1646" s="15">
        <f t="shared" si="321"/>
        <v>23</v>
      </c>
      <c r="D1646" s="14">
        <f t="shared" si="322"/>
        <v>19</v>
      </c>
      <c r="E1646" t="s">
        <v>2777</v>
      </c>
      <c r="F1646" t="s">
        <v>2836</v>
      </c>
      <c r="G1646" t="s">
        <v>2779</v>
      </c>
      <c r="H1646" t="s">
        <v>2779</v>
      </c>
      <c r="I1646" t="s">
        <v>2780</v>
      </c>
      <c r="J1646" s="4" t="s">
        <v>2845</v>
      </c>
      <c r="K1646" t="s">
        <v>179</v>
      </c>
      <c r="L1646" t="s">
        <v>163</v>
      </c>
      <c r="M1646" t="s">
        <v>163</v>
      </c>
      <c r="N1646" t="s">
        <v>163</v>
      </c>
      <c r="O1646" s="4" t="s">
        <v>2503</v>
      </c>
      <c r="P1646">
        <v>0</v>
      </c>
      <c r="Q1646" s="24">
        <v>115.5</v>
      </c>
      <c r="R1646" s="25">
        <v>165</v>
      </c>
      <c r="S1646" s="26">
        <v>97.3</v>
      </c>
    </row>
    <row r="1647" spans="1:19" ht="14.25" x14ac:dyDescent="0.2">
      <c r="A1647" s="12">
        <v>30814</v>
      </c>
      <c r="B1647" s="13">
        <f t="shared" si="320"/>
        <v>33</v>
      </c>
      <c r="C1647" s="15">
        <f t="shared" si="321"/>
        <v>23</v>
      </c>
      <c r="D1647" s="14">
        <f t="shared" si="322"/>
        <v>19</v>
      </c>
      <c r="E1647" t="s">
        <v>2777</v>
      </c>
      <c r="F1647" t="s">
        <v>2837</v>
      </c>
      <c r="G1647" t="s">
        <v>2779</v>
      </c>
      <c r="H1647" t="s">
        <v>2779</v>
      </c>
      <c r="I1647" t="s">
        <v>2780</v>
      </c>
      <c r="J1647" s="4" t="s">
        <v>2845</v>
      </c>
      <c r="K1647" t="s">
        <v>177</v>
      </c>
      <c r="L1647" t="s">
        <v>163</v>
      </c>
      <c r="M1647" t="s">
        <v>163</v>
      </c>
      <c r="N1647" t="s">
        <v>163</v>
      </c>
      <c r="O1647" s="4" t="s">
        <v>2503</v>
      </c>
      <c r="P1647">
        <v>0</v>
      </c>
      <c r="Q1647" s="24">
        <v>115.5</v>
      </c>
      <c r="R1647" s="25">
        <v>165</v>
      </c>
      <c r="S1647" s="26">
        <v>97.3</v>
      </c>
    </row>
    <row r="1648" spans="1:19" ht="14.25" x14ac:dyDescent="0.2">
      <c r="A1648" s="12">
        <v>30815</v>
      </c>
      <c r="B1648" s="13">
        <f t="shared" si="320"/>
        <v>33</v>
      </c>
      <c r="C1648" s="15">
        <f t="shared" si="321"/>
        <v>23</v>
      </c>
      <c r="D1648" s="14">
        <f t="shared" si="322"/>
        <v>19</v>
      </c>
      <c r="E1648" t="s">
        <v>2785</v>
      </c>
      <c r="F1648" t="s">
        <v>2786</v>
      </c>
      <c r="G1648" t="s">
        <v>2832</v>
      </c>
      <c r="H1648" t="s">
        <v>2829</v>
      </c>
      <c r="I1648" t="s">
        <v>2697</v>
      </c>
      <c r="J1648" s="4" t="s">
        <v>2865</v>
      </c>
      <c r="K1648" t="s">
        <v>174</v>
      </c>
      <c r="L1648" t="s">
        <v>163</v>
      </c>
      <c r="M1648" t="s">
        <v>163</v>
      </c>
      <c r="N1648" t="s">
        <v>163</v>
      </c>
      <c r="O1648" s="4" t="s">
        <v>2505</v>
      </c>
      <c r="P1648">
        <v>0</v>
      </c>
      <c r="Q1648" s="24">
        <v>115.5</v>
      </c>
      <c r="R1648" s="25">
        <v>165</v>
      </c>
      <c r="S1648" s="26">
        <v>97.3</v>
      </c>
    </row>
    <row r="1649" spans="1:19" ht="14.25" x14ac:dyDescent="0.2">
      <c r="A1649" s="12">
        <v>30816</v>
      </c>
      <c r="B1649" s="13">
        <f t="shared" si="320"/>
        <v>33</v>
      </c>
      <c r="C1649" s="15">
        <f t="shared" si="321"/>
        <v>23</v>
      </c>
      <c r="D1649" s="14">
        <f t="shared" si="322"/>
        <v>19</v>
      </c>
      <c r="E1649" t="s">
        <v>2777</v>
      </c>
      <c r="F1649" t="s">
        <v>2834</v>
      </c>
      <c r="G1649" t="s">
        <v>2779</v>
      </c>
      <c r="H1649" t="s">
        <v>2779</v>
      </c>
      <c r="I1649" t="s">
        <v>2780</v>
      </c>
      <c r="J1649" s="4" t="s">
        <v>2845</v>
      </c>
      <c r="K1649" t="s">
        <v>182</v>
      </c>
      <c r="L1649" t="s">
        <v>163</v>
      </c>
      <c r="M1649" t="s">
        <v>163</v>
      </c>
      <c r="N1649" t="s">
        <v>163</v>
      </c>
      <c r="O1649" s="4" t="s">
        <v>2507</v>
      </c>
      <c r="P1649">
        <v>0</v>
      </c>
      <c r="Q1649" s="24">
        <v>115.8</v>
      </c>
      <c r="R1649" s="25">
        <v>165.5</v>
      </c>
      <c r="S1649" s="26">
        <v>97.5</v>
      </c>
    </row>
    <row r="1650" spans="1:19" ht="14.25" x14ac:dyDescent="0.2">
      <c r="A1650" s="12">
        <v>30817</v>
      </c>
      <c r="B1650" s="13">
        <f t="shared" si="320"/>
        <v>33</v>
      </c>
      <c r="C1650" s="15">
        <f t="shared" si="321"/>
        <v>23</v>
      </c>
      <c r="D1650" s="14">
        <f t="shared" si="322"/>
        <v>19</v>
      </c>
      <c r="E1650" t="s">
        <v>2777</v>
      </c>
      <c r="F1650" t="s">
        <v>2835</v>
      </c>
      <c r="G1650" t="s">
        <v>2779</v>
      </c>
      <c r="H1650" t="s">
        <v>2779</v>
      </c>
      <c r="I1650" t="s">
        <v>2780</v>
      </c>
      <c r="J1650" s="4" t="s">
        <v>2845</v>
      </c>
      <c r="K1650" t="s">
        <v>162</v>
      </c>
      <c r="L1650" t="s">
        <v>163</v>
      </c>
      <c r="M1650" t="s">
        <v>163</v>
      </c>
      <c r="N1650" t="s">
        <v>163</v>
      </c>
      <c r="O1650" s="4" t="s">
        <v>2507</v>
      </c>
      <c r="P1650">
        <v>0</v>
      </c>
      <c r="Q1650" s="24">
        <v>115.8</v>
      </c>
      <c r="R1650" s="25">
        <v>165.5</v>
      </c>
      <c r="S1650" s="26">
        <v>97.5</v>
      </c>
    </row>
    <row r="1651" spans="1:19" ht="14.25" x14ac:dyDescent="0.2">
      <c r="A1651" s="12">
        <v>30818</v>
      </c>
      <c r="B1651" s="13">
        <f t="shared" si="320"/>
        <v>33</v>
      </c>
      <c r="C1651" s="15">
        <f t="shared" si="321"/>
        <v>23</v>
      </c>
      <c r="D1651" s="14">
        <f t="shared" si="322"/>
        <v>19</v>
      </c>
      <c r="E1651" t="s">
        <v>2777</v>
      </c>
      <c r="F1651" t="s">
        <v>2836</v>
      </c>
      <c r="G1651" t="s">
        <v>2779</v>
      </c>
      <c r="H1651" t="s">
        <v>2779</v>
      </c>
      <c r="I1651" t="s">
        <v>2780</v>
      </c>
      <c r="J1651" s="4" t="s">
        <v>2845</v>
      </c>
      <c r="K1651" t="s">
        <v>177</v>
      </c>
      <c r="L1651" t="s">
        <v>163</v>
      </c>
      <c r="M1651" t="s">
        <v>163</v>
      </c>
      <c r="N1651" t="s">
        <v>163</v>
      </c>
      <c r="O1651" s="4" t="s">
        <v>2509</v>
      </c>
      <c r="P1651">
        <v>0</v>
      </c>
      <c r="Q1651" s="24">
        <v>115.8</v>
      </c>
      <c r="R1651" s="25">
        <v>165.5</v>
      </c>
      <c r="S1651" s="26">
        <v>97.5</v>
      </c>
    </row>
    <row r="1652" spans="1:19" ht="14.25" x14ac:dyDescent="0.2">
      <c r="A1652" s="12">
        <v>30819</v>
      </c>
      <c r="B1652" s="13">
        <f t="shared" si="320"/>
        <v>33</v>
      </c>
      <c r="C1652" s="15">
        <f t="shared" si="321"/>
        <v>23</v>
      </c>
      <c r="D1652" s="14">
        <f t="shared" si="322"/>
        <v>19</v>
      </c>
      <c r="E1652" t="s">
        <v>2777</v>
      </c>
      <c r="F1652" t="s">
        <v>2837</v>
      </c>
      <c r="G1652" t="s">
        <v>2779</v>
      </c>
      <c r="H1652" t="s">
        <v>2779</v>
      </c>
      <c r="I1652" t="s">
        <v>2780</v>
      </c>
      <c r="J1652" s="4" t="s">
        <v>2845</v>
      </c>
      <c r="K1652" t="s">
        <v>174</v>
      </c>
      <c r="L1652" t="s">
        <v>163</v>
      </c>
      <c r="M1652" t="s">
        <v>163</v>
      </c>
      <c r="N1652" t="s">
        <v>163</v>
      </c>
      <c r="O1652" s="4" t="s">
        <v>2511</v>
      </c>
      <c r="P1652">
        <v>0</v>
      </c>
      <c r="Q1652" s="24">
        <v>115.8</v>
      </c>
      <c r="R1652" s="25">
        <v>165.5</v>
      </c>
      <c r="S1652" s="26">
        <v>97.5</v>
      </c>
    </row>
    <row r="1653" spans="1:19" ht="14.25" x14ac:dyDescent="0.2">
      <c r="A1653" s="12">
        <v>30820</v>
      </c>
      <c r="B1653" s="13">
        <f t="shared" si="320"/>
        <v>33</v>
      </c>
      <c r="C1653" s="15">
        <f t="shared" si="321"/>
        <v>23</v>
      </c>
      <c r="D1653" s="14">
        <f t="shared" si="322"/>
        <v>19</v>
      </c>
      <c r="E1653" t="s">
        <v>2785</v>
      </c>
      <c r="F1653" t="s">
        <v>2786</v>
      </c>
      <c r="G1653" t="s">
        <v>2833</v>
      </c>
      <c r="H1653" t="s">
        <v>2829</v>
      </c>
      <c r="I1653" t="s">
        <v>2697</v>
      </c>
      <c r="J1653" s="4" t="s">
        <v>2883</v>
      </c>
      <c r="K1653" t="s">
        <v>166</v>
      </c>
      <c r="L1653" t="s">
        <v>163</v>
      </c>
      <c r="M1653" t="s">
        <v>163</v>
      </c>
      <c r="N1653" t="s">
        <v>163</v>
      </c>
      <c r="O1653" s="4" t="s">
        <v>2511</v>
      </c>
      <c r="P1653">
        <v>0</v>
      </c>
      <c r="Q1653" s="24">
        <v>115.8</v>
      </c>
      <c r="R1653" s="25">
        <v>165.5</v>
      </c>
      <c r="S1653" s="26">
        <v>97.5</v>
      </c>
    </row>
    <row r="1654" spans="1:19" ht="14.25" x14ac:dyDescent="0.2">
      <c r="A1654" s="12">
        <v>30821</v>
      </c>
      <c r="B1654" s="13">
        <f t="shared" si="320"/>
        <v>33</v>
      </c>
      <c r="C1654" s="15">
        <f t="shared" si="321"/>
        <v>23</v>
      </c>
      <c r="D1654" s="14">
        <f t="shared" si="322"/>
        <v>19</v>
      </c>
      <c r="E1654" t="s">
        <v>2777</v>
      </c>
      <c r="F1654" t="s">
        <v>2834</v>
      </c>
      <c r="G1654" t="s">
        <v>2779</v>
      </c>
      <c r="H1654" t="s">
        <v>2779</v>
      </c>
      <c r="I1654" t="s">
        <v>2780</v>
      </c>
      <c r="J1654" s="4" t="s">
        <v>2845</v>
      </c>
      <c r="K1654" t="s">
        <v>168</v>
      </c>
      <c r="L1654" t="s">
        <v>163</v>
      </c>
      <c r="M1654" t="s">
        <v>163</v>
      </c>
      <c r="N1654" t="s">
        <v>163</v>
      </c>
      <c r="O1654" s="4" t="s">
        <v>2513</v>
      </c>
      <c r="P1654">
        <v>0</v>
      </c>
      <c r="Q1654" s="24">
        <v>116.2</v>
      </c>
      <c r="R1654" s="25">
        <v>166</v>
      </c>
      <c r="S1654" s="26">
        <v>97.8</v>
      </c>
    </row>
    <row r="1655" spans="1:19" ht="14.25" x14ac:dyDescent="0.2">
      <c r="A1655" s="12">
        <v>30822</v>
      </c>
      <c r="B1655" s="13">
        <f t="shared" si="320"/>
        <v>33</v>
      </c>
      <c r="C1655" s="15">
        <f t="shared" si="321"/>
        <v>23</v>
      </c>
      <c r="D1655" s="14">
        <f t="shared" si="322"/>
        <v>19</v>
      </c>
      <c r="E1655" t="s">
        <v>2777</v>
      </c>
      <c r="F1655" t="s">
        <v>2835</v>
      </c>
      <c r="G1655" t="s">
        <v>2779</v>
      </c>
      <c r="H1655" t="s">
        <v>2779</v>
      </c>
      <c r="I1655" t="s">
        <v>2780</v>
      </c>
      <c r="J1655" s="4" t="s">
        <v>2845</v>
      </c>
      <c r="K1655" t="s">
        <v>175</v>
      </c>
      <c r="L1655" t="s">
        <v>164</v>
      </c>
      <c r="M1655" t="s">
        <v>163</v>
      </c>
      <c r="N1655" t="s">
        <v>167</v>
      </c>
      <c r="O1655" s="4" t="s">
        <v>2515</v>
      </c>
      <c r="P1655">
        <v>0</v>
      </c>
      <c r="Q1655" s="24">
        <v>116.2</v>
      </c>
      <c r="R1655" s="25">
        <v>166</v>
      </c>
      <c r="S1655" s="26">
        <v>97.8</v>
      </c>
    </row>
    <row r="1656" spans="1:19" ht="14.25" x14ac:dyDescent="0.2">
      <c r="A1656" s="12">
        <v>30823</v>
      </c>
      <c r="B1656" s="13">
        <f t="shared" si="320"/>
        <v>33</v>
      </c>
      <c r="C1656" s="15">
        <f t="shared" si="321"/>
        <v>23</v>
      </c>
      <c r="D1656" s="14">
        <f t="shared" si="322"/>
        <v>19</v>
      </c>
      <c r="E1656" t="s">
        <v>2777</v>
      </c>
      <c r="F1656" t="s">
        <v>2836</v>
      </c>
      <c r="G1656" t="s">
        <v>2779</v>
      </c>
      <c r="H1656" t="s">
        <v>2779</v>
      </c>
      <c r="I1656" t="s">
        <v>2780</v>
      </c>
      <c r="J1656" s="4" t="s">
        <v>2845</v>
      </c>
      <c r="K1656" t="s">
        <v>179</v>
      </c>
      <c r="L1656" t="s">
        <v>163</v>
      </c>
      <c r="M1656" t="s">
        <v>163</v>
      </c>
      <c r="N1656" t="s">
        <v>163</v>
      </c>
      <c r="O1656" s="4" t="s">
        <v>2517</v>
      </c>
      <c r="P1656">
        <v>0</v>
      </c>
      <c r="Q1656" s="24">
        <v>116.2</v>
      </c>
      <c r="R1656" s="25">
        <v>166</v>
      </c>
      <c r="S1656" s="26">
        <v>97.8</v>
      </c>
    </row>
    <row r="1657" spans="1:19" ht="14.25" x14ac:dyDescent="0.2">
      <c r="A1657" s="12">
        <v>30824</v>
      </c>
      <c r="B1657" s="13">
        <f t="shared" si="320"/>
        <v>33</v>
      </c>
      <c r="C1657" s="15">
        <f t="shared" si="321"/>
        <v>23</v>
      </c>
      <c r="D1657" s="14">
        <f t="shared" si="322"/>
        <v>19</v>
      </c>
      <c r="E1657" t="s">
        <v>2777</v>
      </c>
      <c r="F1657" t="s">
        <v>2837</v>
      </c>
      <c r="G1657" t="s">
        <v>2779</v>
      </c>
      <c r="H1657" t="s">
        <v>2779</v>
      </c>
      <c r="I1657" t="s">
        <v>2780</v>
      </c>
      <c r="J1657" s="4" t="s">
        <v>2845</v>
      </c>
      <c r="K1657" t="s">
        <v>177</v>
      </c>
      <c r="L1657" t="s">
        <v>163</v>
      </c>
      <c r="M1657" t="s">
        <v>163</v>
      </c>
      <c r="N1657" t="s">
        <v>163</v>
      </c>
      <c r="O1657" s="4" t="s">
        <v>2517</v>
      </c>
      <c r="P1657">
        <v>0</v>
      </c>
      <c r="Q1657" s="24">
        <v>116.2</v>
      </c>
      <c r="R1657" s="25">
        <v>166</v>
      </c>
      <c r="S1657" s="26">
        <v>97.8</v>
      </c>
    </row>
    <row r="1658" spans="1:19" ht="14.25" x14ac:dyDescent="0.2">
      <c r="A1658" s="12">
        <v>30825</v>
      </c>
      <c r="B1658" s="13">
        <f t="shared" si="320"/>
        <v>33</v>
      </c>
      <c r="C1658" s="15">
        <f t="shared" si="321"/>
        <v>23</v>
      </c>
      <c r="D1658" s="14">
        <f t="shared" si="322"/>
        <v>19</v>
      </c>
      <c r="E1658" t="s">
        <v>2785</v>
      </c>
      <c r="F1658" t="s">
        <v>2786</v>
      </c>
      <c r="G1658" t="s">
        <v>2828</v>
      </c>
      <c r="H1658" t="s">
        <v>2829</v>
      </c>
      <c r="I1658" t="s">
        <v>2697</v>
      </c>
      <c r="J1658" s="4" t="s">
        <v>2883</v>
      </c>
      <c r="K1658" t="s">
        <v>174</v>
      </c>
      <c r="L1658" t="s">
        <v>163</v>
      </c>
      <c r="M1658" t="s">
        <v>163</v>
      </c>
      <c r="N1658" t="s">
        <v>163</v>
      </c>
      <c r="O1658" s="4" t="s">
        <v>2519</v>
      </c>
      <c r="P1658">
        <v>0</v>
      </c>
      <c r="Q1658" s="24">
        <v>116.2</v>
      </c>
      <c r="R1658" s="25">
        <v>166</v>
      </c>
      <c r="S1658" s="26">
        <v>97.8</v>
      </c>
    </row>
    <row r="1659" spans="1:19" ht="14.25" x14ac:dyDescent="0.2">
      <c r="A1659" s="12">
        <v>30826</v>
      </c>
      <c r="B1659" s="13">
        <f t="shared" si="320"/>
        <v>33</v>
      </c>
      <c r="C1659" s="15">
        <f t="shared" si="321"/>
        <v>23</v>
      </c>
      <c r="D1659" s="14">
        <f t="shared" si="322"/>
        <v>19</v>
      </c>
      <c r="E1659" t="s">
        <v>2777</v>
      </c>
      <c r="F1659" t="s">
        <v>2834</v>
      </c>
      <c r="G1659" t="s">
        <v>2779</v>
      </c>
      <c r="H1659" t="s">
        <v>2779</v>
      </c>
      <c r="I1659" t="s">
        <v>2780</v>
      </c>
      <c r="J1659" s="4" t="s">
        <v>2845</v>
      </c>
      <c r="K1659" t="s">
        <v>182</v>
      </c>
      <c r="L1659" t="s">
        <v>163</v>
      </c>
      <c r="M1659" t="s">
        <v>163</v>
      </c>
      <c r="N1659" t="s">
        <v>163</v>
      </c>
      <c r="O1659" s="4" t="s">
        <v>2521</v>
      </c>
      <c r="P1659">
        <v>0</v>
      </c>
      <c r="Q1659" s="24">
        <v>116.5</v>
      </c>
      <c r="R1659" s="25">
        <v>166.5</v>
      </c>
      <c r="S1659" s="26">
        <v>98</v>
      </c>
    </row>
    <row r="1660" spans="1:19" ht="14.25" x14ac:dyDescent="0.2">
      <c r="A1660" s="12">
        <v>30827</v>
      </c>
      <c r="B1660" s="13">
        <f t="shared" si="320"/>
        <v>33</v>
      </c>
      <c r="C1660" s="15">
        <f t="shared" si="321"/>
        <v>23</v>
      </c>
      <c r="D1660" s="14">
        <f t="shared" si="322"/>
        <v>19</v>
      </c>
      <c r="E1660" t="s">
        <v>2777</v>
      </c>
      <c r="F1660" t="s">
        <v>2835</v>
      </c>
      <c r="G1660" t="s">
        <v>2779</v>
      </c>
      <c r="H1660" t="s">
        <v>2779</v>
      </c>
      <c r="I1660" t="s">
        <v>2780</v>
      </c>
      <c r="J1660" s="4" t="s">
        <v>2845</v>
      </c>
      <c r="K1660" t="s">
        <v>162</v>
      </c>
      <c r="L1660" t="s">
        <v>163</v>
      </c>
      <c r="M1660" t="s">
        <v>163</v>
      </c>
      <c r="N1660" t="s">
        <v>163</v>
      </c>
      <c r="O1660" s="4" t="s">
        <v>2521</v>
      </c>
      <c r="P1660">
        <v>0</v>
      </c>
      <c r="Q1660" s="24">
        <v>116.5</v>
      </c>
      <c r="R1660" s="25">
        <v>166.5</v>
      </c>
      <c r="S1660" s="26">
        <v>98</v>
      </c>
    </row>
    <row r="1661" spans="1:19" ht="14.25" x14ac:dyDescent="0.2">
      <c r="A1661" s="12">
        <v>30828</v>
      </c>
      <c r="B1661" s="13">
        <f t="shared" si="320"/>
        <v>33</v>
      </c>
      <c r="C1661" s="15">
        <f t="shared" si="321"/>
        <v>23</v>
      </c>
      <c r="D1661" s="14">
        <f t="shared" si="322"/>
        <v>19</v>
      </c>
      <c r="E1661" t="s">
        <v>2777</v>
      </c>
      <c r="F1661" t="s">
        <v>2836</v>
      </c>
      <c r="G1661" t="s">
        <v>2779</v>
      </c>
      <c r="H1661" t="s">
        <v>2779</v>
      </c>
      <c r="I1661" t="s">
        <v>2780</v>
      </c>
      <c r="J1661" s="4" t="s">
        <v>2845</v>
      </c>
      <c r="K1661" t="s">
        <v>177</v>
      </c>
      <c r="L1661" t="s">
        <v>163</v>
      </c>
      <c r="M1661" t="s">
        <v>163</v>
      </c>
      <c r="N1661" t="s">
        <v>163</v>
      </c>
      <c r="O1661" s="4" t="s">
        <v>2523</v>
      </c>
      <c r="P1661">
        <v>0</v>
      </c>
      <c r="Q1661" s="24">
        <v>116.5</v>
      </c>
      <c r="R1661" s="25">
        <v>166.5</v>
      </c>
      <c r="S1661" s="26">
        <v>98</v>
      </c>
    </row>
    <row r="1662" spans="1:19" ht="14.25" x14ac:dyDescent="0.2">
      <c r="A1662" s="12">
        <v>30829</v>
      </c>
      <c r="B1662" s="13">
        <f t="shared" si="320"/>
        <v>33</v>
      </c>
      <c r="C1662" s="15">
        <f t="shared" si="321"/>
        <v>23</v>
      </c>
      <c r="D1662" s="14">
        <f t="shared" si="322"/>
        <v>19</v>
      </c>
      <c r="E1662" t="s">
        <v>2777</v>
      </c>
      <c r="F1662" t="s">
        <v>2837</v>
      </c>
      <c r="G1662" t="s">
        <v>2779</v>
      </c>
      <c r="H1662" t="s">
        <v>2779</v>
      </c>
      <c r="I1662" t="s">
        <v>2780</v>
      </c>
      <c r="J1662" s="4" t="s">
        <v>2845</v>
      </c>
      <c r="K1662" t="s">
        <v>174</v>
      </c>
      <c r="L1662" t="s">
        <v>163</v>
      </c>
      <c r="M1662" t="s">
        <v>163</v>
      </c>
      <c r="N1662" t="s">
        <v>163</v>
      </c>
      <c r="O1662" s="4" t="s">
        <v>2525</v>
      </c>
      <c r="P1662">
        <v>0</v>
      </c>
      <c r="Q1662" s="24">
        <v>116.5</v>
      </c>
      <c r="R1662" s="25">
        <v>166.5</v>
      </c>
      <c r="S1662" s="26">
        <v>98</v>
      </c>
    </row>
    <row r="1663" spans="1:19" ht="14.25" x14ac:dyDescent="0.2">
      <c r="A1663" s="12">
        <v>30830</v>
      </c>
      <c r="B1663" s="13">
        <f t="shared" si="320"/>
        <v>33</v>
      </c>
      <c r="C1663" s="15">
        <f t="shared" si="321"/>
        <v>23</v>
      </c>
      <c r="D1663" s="14">
        <f t="shared" si="322"/>
        <v>19</v>
      </c>
      <c r="E1663" t="s">
        <v>2785</v>
      </c>
      <c r="F1663" t="s">
        <v>2786</v>
      </c>
      <c r="G1663" t="s">
        <v>2830</v>
      </c>
      <c r="H1663" t="s">
        <v>2829</v>
      </c>
      <c r="I1663" t="s">
        <v>2697</v>
      </c>
      <c r="J1663" s="4" t="s">
        <v>2865</v>
      </c>
      <c r="K1663" t="s">
        <v>166</v>
      </c>
      <c r="L1663" t="s">
        <v>163</v>
      </c>
      <c r="M1663" t="s">
        <v>163</v>
      </c>
      <c r="N1663" t="s">
        <v>163</v>
      </c>
      <c r="O1663" s="4" t="s">
        <v>2525</v>
      </c>
      <c r="P1663">
        <v>0</v>
      </c>
      <c r="Q1663" s="24">
        <v>116.5</v>
      </c>
      <c r="R1663" s="25">
        <v>166.5</v>
      </c>
      <c r="S1663" s="26">
        <v>98</v>
      </c>
    </row>
    <row r="1664" spans="1:19" ht="14.25" x14ac:dyDescent="0.2">
      <c r="A1664" s="12">
        <v>30831</v>
      </c>
      <c r="B1664" s="13">
        <f t="shared" si="320"/>
        <v>33</v>
      </c>
      <c r="C1664" s="15">
        <f t="shared" si="321"/>
        <v>23</v>
      </c>
      <c r="D1664" s="14">
        <f t="shared" si="322"/>
        <v>19</v>
      </c>
      <c r="E1664" t="s">
        <v>2777</v>
      </c>
      <c r="F1664" t="s">
        <v>2834</v>
      </c>
      <c r="G1664" t="s">
        <v>2779</v>
      </c>
      <c r="H1664" t="s">
        <v>2779</v>
      </c>
      <c r="I1664" t="s">
        <v>2780</v>
      </c>
      <c r="J1664" s="4" t="s">
        <v>2845</v>
      </c>
      <c r="K1664" t="s">
        <v>168</v>
      </c>
      <c r="L1664" t="s">
        <v>163</v>
      </c>
      <c r="M1664" t="s">
        <v>163</v>
      </c>
      <c r="N1664" t="s">
        <v>163</v>
      </c>
      <c r="O1664" s="4" t="s">
        <v>2527</v>
      </c>
      <c r="P1664">
        <v>0</v>
      </c>
      <c r="Q1664" s="24">
        <v>116.8</v>
      </c>
      <c r="R1664" s="25">
        <v>167</v>
      </c>
      <c r="S1664" s="26">
        <v>98.3</v>
      </c>
    </row>
    <row r="1665" spans="1:19" ht="14.25" x14ac:dyDescent="0.2">
      <c r="A1665" s="12">
        <v>30832</v>
      </c>
      <c r="B1665" s="13">
        <f t="shared" si="320"/>
        <v>33</v>
      </c>
      <c r="C1665" s="15">
        <f t="shared" si="321"/>
        <v>23</v>
      </c>
      <c r="D1665" s="14">
        <f t="shared" si="322"/>
        <v>19</v>
      </c>
      <c r="E1665" t="s">
        <v>2777</v>
      </c>
      <c r="F1665" t="s">
        <v>2835</v>
      </c>
      <c r="G1665" t="s">
        <v>2779</v>
      </c>
      <c r="H1665" t="s">
        <v>2779</v>
      </c>
      <c r="I1665" t="s">
        <v>2780</v>
      </c>
      <c r="J1665" s="4" t="s">
        <v>2845</v>
      </c>
      <c r="K1665" t="s">
        <v>175</v>
      </c>
      <c r="L1665" t="s">
        <v>164</v>
      </c>
      <c r="M1665" t="s">
        <v>163</v>
      </c>
      <c r="N1665" t="s">
        <v>167</v>
      </c>
      <c r="O1665" s="4" t="s">
        <v>2529</v>
      </c>
      <c r="P1665">
        <v>0</v>
      </c>
      <c r="Q1665" s="24">
        <v>116.8</v>
      </c>
      <c r="R1665" s="25">
        <v>167</v>
      </c>
      <c r="S1665" s="26">
        <v>98.3</v>
      </c>
    </row>
    <row r="1666" spans="1:19" ht="14.25" x14ac:dyDescent="0.2">
      <c r="A1666" s="12">
        <v>30833</v>
      </c>
      <c r="B1666" s="13">
        <f t="shared" si="320"/>
        <v>33</v>
      </c>
      <c r="C1666" s="15">
        <f t="shared" si="321"/>
        <v>23</v>
      </c>
      <c r="D1666" s="14">
        <f t="shared" si="322"/>
        <v>19</v>
      </c>
      <c r="E1666" t="s">
        <v>2777</v>
      </c>
      <c r="F1666" t="s">
        <v>2836</v>
      </c>
      <c r="G1666" t="s">
        <v>2779</v>
      </c>
      <c r="H1666" t="s">
        <v>2779</v>
      </c>
      <c r="I1666" t="s">
        <v>2780</v>
      </c>
      <c r="J1666" s="4" t="s">
        <v>2845</v>
      </c>
      <c r="K1666" t="s">
        <v>179</v>
      </c>
      <c r="L1666" t="s">
        <v>163</v>
      </c>
      <c r="M1666" t="s">
        <v>163</v>
      </c>
      <c r="N1666" t="s">
        <v>163</v>
      </c>
      <c r="O1666" s="4" t="s">
        <v>2531</v>
      </c>
      <c r="P1666">
        <v>0</v>
      </c>
      <c r="Q1666" s="24">
        <v>116.8</v>
      </c>
      <c r="R1666" s="25">
        <v>167</v>
      </c>
      <c r="S1666" s="26">
        <v>98.3</v>
      </c>
    </row>
    <row r="1667" spans="1:19" ht="14.25" x14ac:dyDescent="0.2">
      <c r="A1667" s="12">
        <v>30834</v>
      </c>
      <c r="B1667" s="13">
        <f t="shared" si="320"/>
        <v>33</v>
      </c>
      <c r="C1667" s="15">
        <f t="shared" si="321"/>
        <v>23</v>
      </c>
      <c r="D1667" s="14">
        <f t="shared" si="322"/>
        <v>19</v>
      </c>
      <c r="E1667" t="s">
        <v>2777</v>
      </c>
      <c r="F1667" t="s">
        <v>2837</v>
      </c>
      <c r="G1667" t="s">
        <v>2779</v>
      </c>
      <c r="H1667" t="s">
        <v>2779</v>
      </c>
      <c r="I1667" t="s">
        <v>2780</v>
      </c>
      <c r="J1667" s="4" t="s">
        <v>2845</v>
      </c>
      <c r="K1667" t="s">
        <v>177</v>
      </c>
      <c r="L1667" t="s">
        <v>163</v>
      </c>
      <c r="M1667" t="s">
        <v>163</v>
      </c>
      <c r="N1667" t="s">
        <v>163</v>
      </c>
      <c r="O1667" s="4" t="s">
        <v>2531</v>
      </c>
      <c r="P1667">
        <v>0</v>
      </c>
      <c r="Q1667" s="24">
        <v>116.8</v>
      </c>
      <c r="R1667" s="25">
        <v>167</v>
      </c>
      <c r="S1667" s="26">
        <v>98.3</v>
      </c>
    </row>
    <row r="1668" spans="1:19" ht="14.25" x14ac:dyDescent="0.2">
      <c r="A1668" s="12">
        <v>30835</v>
      </c>
      <c r="B1668" s="13">
        <f t="shared" si="320"/>
        <v>33</v>
      </c>
      <c r="C1668" s="15">
        <f t="shared" si="321"/>
        <v>23</v>
      </c>
      <c r="D1668" s="14">
        <f t="shared" si="322"/>
        <v>19</v>
      </c>
      <c r="E1668" t="s">
        <v>2785</v>
      </c>
      <c r="F1668" t="s">
        <v>2786</v>
      </c>
      <c r="G1668" t="s">
        <v>2831</v>
      </c>
      <c r="H1668" t="s">
        <v>2829</v>
      </c>
      <c r="I1668" t="s">
        <v>2697</v>
      </c>
      <c r="J1668" s="4" t="s">
        <v>2865</v>
      </c>
      <c r="K1668" t="s">
        <v>174</v>
      </c>
      <c r="L1668" t="s">
        <v>163</v>
      </c>
      <c r="M1668" t="s">
        <v>163</v>
      </c>
      <c r="N1668" t="s">
        <v>163</v>
      </c>
      <c r="O1668" s="4" t="s">
        <v>2533</v>
      </c>
      <c r="P1668">
        <v>0</v>
      </c>
      <c r="Q1668" s="24">
        <v>116.8</v>
      </c>
      <c r="R1668" s="25">
        <v>167</v>
      </c>
      <c r="S1668" s="26">
        <v>98.3</v>
      </c>
    </row>
    <row r="1669" spans="1:19" ht="14.25" x14ac:dyDescent="0.2">
      <c r="A1669" s="12">
        <v>30836</v>
      </c>
      <c r="B1669" s="13">
        <f t="shared" ref="B1669:B1732" si="323">FLOOR(R1667/5,1)</f>
        <v>33</v>
      </c>
      <c r="C1669" s="15">
        <f t="shared" ref="C1669:C1732" si="324">FLOOR(Q1667/5,1)</f>
        <v>23</v>
      </c>
      <c r="D1669" s="14">
        <f t="shared" ref="D1669:D1732" si="325">FLOOR(S1667/5,1)</f>
        <v>19</v>
      </c>
      <c r="E1669" t="s">
        <v>2777</v>
      </c>
      <c r="F1669" t="s">
        <v>2834</v>
      </c>
      <c r="G1669" t="s">
        <v>2779</v>
      </c>
      <c r="H1669" t="s">
        <v>2779</v>
      </c>
      <c r="I1669" t="s">
        <v>2780</v>
      </c>
      <c r="J1669" s="4" t="s">
        <v>2845</v>
      </c>
      <c r="K1669" t="s">
        <v>182</v>
      </c>
      <c r="L1669" t="s">
        <v>163</v>
      </c>
      <c r="M1669" t="s">
        <v>163</v>
      </c>
      <c r="N1669" t="s">
        <v>163</v>
      </c>
      <c r="O1669" s="4" t="s">
        <v>2535</v>
      </c>
      <c r="P1669">
        <v>0</v>
      </c>
      <c r="Q1669" s="24">
        <v>117.2</v>
      </c>
      <c r="R1669" s="25">
        <v>167.5</v>
      </c>
      <c r="S1669" s="26">
        <v>98.5</v>
      </c>
    </row>
    <row r="1670" spans="1:19" ht="14.25" x14ac:dyDescent="0.2">
      <c r="A1670" s="12">
        <v>30837</v>
      </c>
      <c r="B1670" s="13">
        <f t="shared" si="323"/>
        <v>33</v>
      </c>
      <c r="C1670" s="15">
        <f t="shared" si="324"/>
        <v>23</v>
      </c>
      <c r="D1670" s="14">
        <f t="shared" si="325"/>
        <v>19</v>
      </c>
      <c r="E1670" t="s">
        <v>2777</v>
      </c>
      <c r="F1670" t="s">
        <v>2835</v>
      </c>
      <c r="G1670" t="s">
        <v>2779</v>
      </c>
      <c r="H1670" t="s">
        <v>2779</v>
      </c>
      <c r="I1670" t="s">
        <v>2780</v>
      </c>
      <c r="J1670" s="4" t="s">
        <v>2845</v>
      </c>
      <c r="K1670" t="s">
        <v>162</v>
      </c>
      <c r="L1670" t="s">
        <v>163</v>
      </c>
      <c r="M1670" t="s">
        <v>163</v>
      </c>
      <c r="N1670" t="s">
        <v>163</v>
      </c>
      <c r="O1670" s="4" t="s">
        <v>2535</v>
      </c>
      <c r="P1670">
        <v>0</v>
      </c>
      <c r="Q1670" s="24">
        <v>117.2</v>
      </c>
      <c r="R1670" s="25">
        <v>167.5</v>
      </c>
      <c r="S1670" s="26">
        <v>98.5</v>
      </c>
    </row>
    <row r="1671" spans="1:19" ht="14.25" x14ac:dyDescent="0.2">
      <c r="A1671" s="12">
        <v>30838</v>
      </c>
      <c r="B1671" s="13">
        <f t="shared" si="323"/>
        <v>33</v>
      </c>
      <c r="C1671" s="15">
        <f t="shared" si="324"/>
        <v>23</v>
      </c>
      <c r="D1671" s="14">
        <f t="shared" si="325"/>
        <v>19</v>
      </c>
      <c r="E1671" t="s">
        <v>2777</v>
      </c>
      <c r="F1671" t="s">
        <v>2836</v>
      </c>
      <c r="G1671" t="s">
        <v>2779</v>
      </c>
      <c r="H1671" t="s">
        <v>2779</v>
      </c>
      <c r="I1671" t="s">
        <v>2780</v>
      </c>
      <c r="J1671" s="4" t="s">
        <v>2845</v>
      </c>
      <c r="K1671" t="s">
        <v>177</v>
      </c>
      <c r="L1671" t="s">
        <v>163</v>
      </c>
      <c r="M1671" t="s">
        <v>163</v>
      </c>
      <c r="N1671" t="s">
        <v>163</v>
      </c>
      <c r="O1671" s="4" t="s">
        <v>2537</v>
      </c>
      <c r="P1671">
        <v>0</v>
      </c>
      <c r="Q1671" s="24">
        <v>117.2</v>
      </c>
      <c r="R1671" s="25">
        <v>167.5</v>
      </c>
      <c r="S1671" s="26">
        <v>98.5</v>
      </c>
    </row>
    <row r="1672" spans="1:19" ht="14.25" x14ac:dyDescent="0.2">
      <c r="A1672" s="12">
        <v>30839</v>
      </c>
      <c r="B1672" s="13">
        <f t="shared" si="323"/>
        <v>33</v>
      </c>
      <c r="C1672" s="15">
        <f t="shared" si="324"/>
        <v>23</v>
      </c>
      <c r="D1672" s="14">
        <f t="shared" si="325"/>
        <v>19</v>
      </c>
      <c r="E1672" t="s">
        <v>2777</v>
      </c>
      <c r="F1672" t="s">
        <v>2837</v>
      </c>
      <c r="G1672" t="s">
        <v>2779</v>
      </c>
      <c r="H1672" t="s">
        <v>2779</v>
      </c>
      <c r="I1672" t="s">
        <v>2780</v>
      </c>
      <c r="J1672" s="4" t="s">
        <v>2845</v>
      </c>
      <c r="K1672" t="s">
        <v>174</v>
      </c>
      <c r="L1672" t="s">
        <v>163</v>
      </c>
      <c r="M1672" t="s">
        <v>163</v>
      </c>
      <c r="N1672" t="s">
        <v>163</v>
      </c>
      <c r="O1672" s="4" t="s">
        <v>2539</v>
      </c>
      <c r="P1672">
        <v>0</v>
      </c>
      <c r="Q1672" s="24">
        <v>117.2</v>
      </c>
      <c r="R1672" s="25">
        <v>167.5</v>
      </c>
      <c r="S1672" s="26">
        <v>98.5</v>
      </c>
    </row>
    <row r="1673" spans="1:19" ht="14.25" x14ac:dyDescent="0.2">
      <c r="A1673" s="12">
        <v>30840</v>
      </c>
      <c r="B1673" s="13">
        <f t="shared" si="323"/>
        <v>33</v>
      </c>
      <c r="C1673" s="15">
        <f t="shared" si="324"/>
        <v>23</v>
      </c>
      <c r="D1673" s="14">
        <f t="shared" si="325"/>
        <v>19</v>
      </c>
      <c r="E1673" t="s">
        <v>2785</v>
      </c>
      <c r="F1673" t="s">
        <v>2786</v>
      </c>
      <c r="G1673" t="s">
        <v>2832</v>
      </c>
      <c r="H1673" t="s">
        <v>2829</v>
      </c>
      <c r="I1673" t="s">
        <v>2697</v>
      </c>
      <c r="J1673" s="4" t="s">
        <v>2865</v>
      </c>
      <c r="K1673" t="s">
        <v>166</v>
      </c>
      <c r="L1673" t="s">
        <v>163</v>
      </c>
      <c r="M1673" t="s">
        <v>163</v>
      </c>
      <c r="N1673" t="s">
        <v>163</v>
      </c>
      <c r="O1673" s="4" t="s">
        <v>2539</v>
      </c>
      <c r="P1673">
        <v>0</v>
      </c>
      <c r="Q1673" s="24">
        <v>117.2</v>
      </c>
      <c r="R1673" s="25">
        <v>167.5</v>
      </c>
      <c r="S1673" s="26">
        <v>98.5</v>
      </c>
    </row>
    <row r="1674" spans="1:19" ht="14.25" x14ac:dyDescent="0.2">
      <c r="A1674" s="12">
        <v>30841</v>
      </c>
      <c r="B1674" s="13">
        <f t="shared" si="323"/>
        <v>33</v>
      </c>
      <c r="C1674" s="15">
        <f t="shared" si="324"/>
        <v>23</v>
      </c>
      <c r="D1674" s="14">
        <f t="shared" si="325"/>
        <v>19</v>
      </c>
      <c r="E1674" t="s">
        <v>2777</v>
      </c>
      <c r="F1674" t="s">
        <v>2834</v>
      </c>
      <c r="G1674" t="s">
        <v>2779</v>
      </c>
      <c r="H1674" t="s">
        <v>2779</v>
      </c>
      <c r="I1674" t="s">
        <v>2780</v>
      </c>
      <c r="J1674" s="4" t="s">
        <v>2845</v>
      </c>
      <c r="K1674" t="s">
        <v>168</v>
      </c>
      <c r="L1674" t="s">
        <v>163</v>
      </c>
      <c r="M1674" t="s">
        <v>163</v>
      </c>
      <c r="N1674" t="s">
        <v>163</v>
      </c>
      <c r="O1674" s="4" t="s">
        <v>2541</v>
      </c>
      <c r="P1674">
        <v>0</v>
      </c>
      <c r="Q1674" s="24">
        <v>117.5</v>
      </c>
      <c r="R1674" s="25">
        <v>168</v>
      </c>
      <c r="S1674" s="26">
        <v>98.8</v>
      </c>
    </row>
    <row r="1675" spans="1:19" ht="14.25" x14ac:dyDescent="0.2">
      <c r="A1675" s="12">
        <v>30842</v>
      </c>
      <c r="B1675" s="13">
        <f t="shared" si="323"/>
        <v>33</v>
      </c>
      <c r="C1675" s="15">
        <f t="shared" si="324"/>
        <v>23</v>
      </c>
      <c r="D1675" s="14">
        <f t="shared" si="325"/>
        <v>19</v>
      </c>
      <c r="E1675" t="s">
        <v>2777</v>
      </c>
      <c r="F1675" t="s">
        <v>2835</v>
      </c>
      <c r="G1675" t="s">
        <v>2779</v>
      </c>
      <c r="H1675" t="s">
        <v>2779</v>
      </c>
      <c r="I1675" t="s">
        <v>2780</v>
      </c>
      <c r="J1675" s="4" t="s">
        <v>2845</v>
      </c>
      <c r="K1675" t="s">
        <v>175</v>
      </c>
      <c r="L1675" t="s">
        <v>164</v>
      </c>
      <c r="M1675" t="s">
        <v>163</v>
      </c>
      <c r="N1675" t="s">
        <v>167</v>
      </c>
      <c r="O1675" s="4" t="s">
        <v>2543</v>
      </c>
      <c r="P1675">
        <v>0</v>
      </c>
      <c r="Q1675" s="24">
        <v>117.5</v>
      </c>
      <c r="R1675" s="25">
        <v>168</v>
      </c>
      <c r="S1675" s="26">
        <v>98.8</v>
      </c>
    </row>
    <row r="1676" spans="1:19" ht="14.25" x14ac:dyDescent="0.2">
      <c r="A1676" s="12">
        <v>30843</v>
      </c>
      <c r="B1676" s="13">
        <f t="shared" si="323"/>
        <v>33</v>
      </c>
      <c r="C1676" s="15">
        <f t="shared" si="324"/>
        <v>23</v>
      </c>
      <c r="D1676" s="14">
        <f t="shared" si="325"/>
        <v>19</v>
      </c>
      <c r="E1676" t="s">
        <v>2777</v>
      </c>
      <c r="F1676" t="s">
        <v>2836</v>
      </c>
      <c r="G1676" t="s">
        <v>2779</v>
      </c>
      <c r="H1676" t="s">
        <v>2779</v>
      </c>
      <c r="I1676" t="s">
        <v>2780</v>
      </c>
      <c r="J1676" s="4" t="s">
        <v>2845</v>
      </c>
      <c r="K1676" t="s">
        <v>179</v>
      </c>
      <c r="L1676" t="s">
        <v>163</v>
      </c>
      <c r="M1676" t="s">
        <v>163</v>
      </c>
      <c r="N1676" t="s">
        <v>163</v>
      </c>
      <c r="O1676" s="4" t="s">
        <v>2545</v>
      </c>
      <c r="P1676">
        <v>0</v>
      </c>
      <c r="Q1676" s="24">
        <v>117.5</v>
      </c>
      <c r="R1676" s="25">
        <v>168</v>
      </c>
      <c r="S1676" s="26">
        <v>98.8</v>
      </c>
    </row>
    <row r="1677" spans="1:19" ht="14.25" x14ac:dyDescent="0.2">
      <c r="A1677" s="12">
        <v>30844</v>
      </c>
      <c r="B1677" s="13">
        <f t="shared" si="323"/>
        <v>33</v>
      </c>
      <c r="C1677" s="15">
        <f t="shared" si="324"/>
        <v>23</v>
      </c>
      <c r="D1677" s="14">
        <f t="shared" si="325"/>
        <v>19</v>
      </c>
      <c r="E1677" t="s">
        <v>2777</v>
      </c>
      <c r="F1677" t="s">
        <v>2837</v>
      </c>
      <c r="G1677" t="s">
        <v>2779</v>
      </c>
      <c r="H1677" t="s">
        <v>2779</v>
      </c>
      <c r="I1677" t="s">
        <v>2780</v>
      </c>
      <c r="J1677" s="4" t="s">
        <v>2845</v>
      </c>
      <c r="K1677" t="s">
        <v>177</v>
      </c>
      <c r="L1677" t="s">
        <v>163</v>
      </c>
      <c r="M1677" t="s">
        <v>163</v>
      </c>
      <c r="N1677" t="s">
        <v>163</v>
      </c>
      <c r="O1677" s="4" t="s">
        <v>2545</v>
      </c>
      <c r="P1677">
        <v>0</v>
      </c>
      <c r="Q1677" s="24">
        <v>117.5</v>
      </c>
      <c r="R1677" s="25">
        <v>168</v>
      </c>
      <c r="S1677" s="26">
        <v>98.8</v>
      </c>
    </row>
    <row r="1678" spans="1:19" ht="14.25" x14ac:dyDescent="0.2">
      <c r="A1678" s="12">
        <v>30845</v>
      </c>
      <c r="B1678" s="13">
        <f t="shared" si="323"/>
        <v>33</v>
      </c>
      <c r="C1678" s="15">
        <f t="shared" si="324"/>
        <v>23</v>
      </c>
      <c r="D1678" s="14">
        <f t="shared" si="325"/>
        <v>19</v>
      </c>
      <c r="E1678" t="s">
        <v>2785</v>
      </c>
      <c r="F1678" t="s">
        <v>2786</v>
      </c>
      <c r="G1678" t="s">
        <v>2833</v>
      </c>
      <c r="H1678" t="s">
        <v>2829</v>
      </c>
      <c r="I1678" t="s">
        <v>2697</v>
      </c>
      <c r="J1678" s="4" t="s">
        <v>2883</v>
      </c>
      <c r="K1678" t="s">
        <v>174</v>
      </c>
      <c r="L1678" t="s">
        <v>163</v>
      </c>
      <c r="M1678" t="s">
        <v>163</v>
      </c>
      <c r="N1678" t="s">
        <v>163</v>
      </c>
      <c r="O1678" s="4" t="s">
        <v>2547</v>
      </c>
      <c r="P1678">
        <v>0</v>
      </c>
      <c r="Q1678" s="24">
        <v>117.5</v>
      </c>
      <c r="R1678" s="25">
        <v>168</v>
      </c>
      <c r="S1678" s="26">
        <v>98.8</v>
      </c>
    </row>
    <row r="1679" spans="1:19" ht="14.25" x14ac:dyDescent="0.2">
      <c r="A1679" s="12">
        <v>30846</v>
      </c>
      <c r="B1679" s="13">
        <f t="shared" si="323"/>
        <v>33</v>
      </c>
      <c r="C1679" s="15">
        <f t="shared" si="324"/>
        <v>23</v>
      </c>
      <c r="D1679" s="14">
        <f t="shared" si="325"/>
        <v>19</v>
      </c>
      <c r="E1679" t="s">
        <v>2777</v>
      </c>
      <c r="F1679" t="s">
        <v>2834</v>
      </c>
      <c r="G1679" t="s">
        <v>2779</v>
      </c>
      <c r="H1679" t="s">
        <v>2779</v>
      </c>
      <c r="I1679" t="s">
        <v>2780</v>
      </c>
      <c r="J1679" s="4" t="s">
        <v>2845</v>
      </c>
      <c r="K1679" t="s">
        <v>182</v>
      </c>
      <c r="L1679" t="s">
        <v>163</v>
      </c>
      <c r="M1679" t="s">
        <v>163</v>
      </c>
      <c r="N1679" t="s">
        <v>163</v>
      </c>
      <c r="O1679" s="4" t="s">
        <v>2549</v>
      </c>
      <c r="P1679">
        <v>0</v>
      </c>
      <c r="Q1679" s="24">
        <v>117.8</v>
      </c>
      <c r="R1679" s="25">
        <v>168.5</v>
      </c>
      <c r="S1679" s="26">
        <v>99</v>
      </c>
    </row>
    <row r="1680" spans="1:19" ht="14.25" x14ac:dyDescent="0.2">
      <c r="A1680" s="12">
        <v>30847</v>
      </c>
      <c r="B1680" s="13">
        <f t="shared" si="323"/>
        <v>33</v>
      </c>
      <c r="C1680" s="15">
        <f t="shared" si="324"/>
        <v>23</v>
      </c>
      <c r="D1680" s="14">
        <f t="shared" si="325"/>
        <v>19</v>
      </c>
      <c r="E1680" t="s">
        <v>2777</v>
      </c>
      <c r="F1680" t="s">
        <v>2835</v>
      </c>
      <c r="G1680" t="s">
        <v>2779</v>
      </c>
      <c r="H1680" t="s">
        <v>2779</v>
      </c>
      <c r="I1680" t="s">
        <v>2780</v>
      </c>
      <c r="J1680" s="4" t="s">
        <v>2845</v>
      </c>
      <c r="K1680" t="s">
        <v>162</v>
      </c>
      <c r="L1680" t="s">
        <v>163</v>
      </c>
      <c r="M1680" t="s">
        <v>163</v>
      </c>
      <c r="N1680" t="s">
        <v>163</v>
      </c>
      <c r="O1680" s="4" t="s">
        <v>2549</v>
      </c>
      <c r="P1680">
        <v>0</v>
      </c>
      <c r="Q1680" s="24">
        <v>117.8</v>
      </c>
      <c r="R1680" s="25">
        <v>168.5</v>
      </c>
      <c r="S1680" s="26">
        <v>99</v>
      </c>
    </row>
    <row r="1681" spans="1:19" ht="14.25" x14ac:dyDescent="0.2">
      <c r="A1681" s="12">
        <v>30848</v>
      </c>
      <c r="B1681" s="13">
        <f t="shared" si="323"/>
        <v>33</v>
      </c>
      <c r="C1681" s="15">
        <f t="shared" si="324"/>
        <v>23</v>
      </c>
      <c r="D1681" s="14">
        <f t="shared" si="325"/>
        <v>19</v>
      </c>
      <c r="E1681" t="s">
        <v>2777</v>
      </c>
      <c r="F1681" t="s">
        <v>2836</v>
      </c>
      <c r="G1681" t="s">
        <v>2779</v>
      </c>
      <c r="H1681" t="s">
        <v>2779</v>
      </c>
      <c r="I1681" t="s">
        <v>2780</v>
      </c>
      <c r="J1681" s="4" t="s">
        <v>2845</v>
      </c>
      <c r="K1681" t="s">
        <v>177</v>
      </c>
      <c r="L1681" t="s">
        <v>163</v>
      </c>
      <c r="M1681" t="s">
        <v>163</v>
      </c>
      <c r="N1681" t="s">
        <v>163</v>
      </c>
      <c r="O1681" s="4" t="s">
        <v>2551</v>
      </c>
      <c r="P1681">
        <v>0</v>
      </c>
      <c r="Q1681" s="24">
        <v>117.8</v>
      </c>
      <c r="R1681" s="25">
        <v>168.5</v>
      </c>
      <c r="S1681" s="26">
        <v>99</v>
      </c>
    </row>
    <row r="1682" spans="1:19" ht="14.25" x14ac:dyDescent="0.2">
      <c r="A1682" s="12">
        <v>30849</v>
      </c>
      <c r="B1682" s="13">
        <f t="shared" si="323"/>
        <v>33</v>
      </c>
      <c r="C1682" s="15">
        <f t="shared" si="324"/>
        <v>23</v>
      </c>
      <c r="D1682" s="14">
        <f t="shared" si="325"/>
        <v>19</v>
      </c>
      <c r="E1682" t="s">
        <v>2777</v>
      </c>
      <c r="F1682" t="s">
        <v>2837</v>
      </c>
      <c r="G1682" t="s">
        <v>2779</v>
      </c>
      <c r="H1682" t="s">
        <v>2779</v>
      </c>
      <c r="I1682" t="s">
        <v>2780</v>
      </c>
      <c r="J1682" s="4" t="s">
        <v>2845</v>
      </c>
      <c r="K1682" t="s">
        <v>174</v>
      </c>
      <c r="L1682" t="s">
        <v>163</v>
      </c>
      <c r="M1682" t="s">
        <v>163</v>
      </c>
      <c r="N1682" t="s">
        <v>163</v>
      </c>
      <c r="O1682" s="4" t="s">
        <v>2553</v>
      </c>
      <c r="P1682">
        <v>0</v>
      </c>
      <c r="Q1682" s="24">
        <v>117.8</v>
      </c>
      <c r="R1682" s="25">
        <v>168.5</v>
      </c>
      <c r="S1682" s="26">
        <v>99</v>
      </c>
    </row>
    <row r="1683" spans="1:19" ht="14.25" x14ac:dyDescent="0.2">
      <c r="A1683" s="12">
        <v>30850</v>
      </c>
      <c r="B1683" s="13">
        <f t="shared" si="323"/>
        <v>33</v>
      </c>
      <c r="C1683" s="15">
        <f t="shared" si="324"/>
        <v>23</v>
      </c>
      <c r="D1683" s="14">
        <f t="shared" si="325"/>
        <v>19</v>
      </c>
      <c r="E1683" t="s">
        <v>2785</v>
      </c>
      <c r="F1683" t="s">
        <v>2786</v>
      </c>
      <c r="G1683" t="s">
        <v>2828</v>
      </c>
      <c r="H1683" t="s">
        <v>2829</v>
      </c>
      <c r="I1683" t="s">
        <v>2697</v>
      </c>
      <c r="J1683" s="4" t="s">
        <v>2883</v>
      </c>
      <c r="K1683" t="s">
        <v>166</v>
      </c>
      <c r="L1683" t="s">
        <v>163</v>
      </c>
      <c r="M1683" t="s">
        <v>163</v>
      </c>
      <c r="N1683" t="s">
        <v>163</v>
      </c>
      <c r="O1683" s="4" t="s">
        <v>2553</v>
      </c>
      <c r="P1683">
        <v>0</v>
      </c>
      <c r="Q1683" s="24">
        <v>117.8</v>
      </c>
      <c r="R1683" s="25">
        <v>168.5</v>
      </c>
      <c r="S1683" s="26">
        <v>99</v>
      </c>
    </row>
    <row r="1684" spans="1:19" ht="14.25" x14ac:dyDescent="0.2">
      <c r="A1684" s="12">
        <v>30901</v>
      </c>
      <c r="B1684" s="13">
        <f t="shared" si="323"/>
        <v>33</v>
      </c>
      <c r="C1684" s="15">
        <f t="shared" si="324"/>
        <v>23</v>
      </c>
      <c r="D1684" s="14">
        <f t="shared" si="325"/>
        <v>19</v>
      </c>
      <c r="E1684" t="s">
        <v>2777</v>
      </c>
      <c r="F1684" t="s">
        <v>2834</v>
      </c>
      <c r="G1684" t="s">
        <v>2779</v>
      </c>
      <c r="H1684" t="s">
        <v>2779</v>
      </c>
      <c r="I1684" t="s">
        <v>2780</v>
      </c>
      <c r="J1684" s="4" t="s">
        <v>2846</v>
      </c>
      <c r="K1684" t="s">
        <v>168</v>
      </c>
      <c r="L1684" t="s">
        <v>163</v>
      </c>
      <c r="M1684" t="s">
        <v>163</v>
      </c>
      <c r="N1684" t="s">
        <v>163</v>
      </c>
      <c r="O1684" s="4" t="s">
        <v>2555</v>
      </c>
      <c r="P1684">
        <v>0</v>
      </c>
      <c r="Q1684" s="24">
        <v>118.2</v>
      </c>
      <c r="R1684" s="25">
        <v>169</v>
      </c>
      <c r="S1684" s="26">
        <v>99.3</v>
      </c>
    </row>
    <row r="1685" spans="1:19" ht="14.25" x14ac:dyDescent="0.2">
      <c r="A1685" s="12">
        <v>30902</v>
      </c>
      <c r="B1685" s="13">
        <f t="shared" si="323"/>
        <v>33</v>
      </c>
      <c r="C1685" s="15">
        <f t="shared" si="324"/>
        <v>23</v>
      </c>
      <c r="D1685" s="14">
        <f t="shared" si="325"/>
        <v>19</v>
      </c>
      <c r="E1685" t="s">
        <v>2777</v>
      </c>
      <c r="F1685" t="s">
        <v>2835</v>
      </c>
      <c r="G1685" t="s">
        <v>2779</v>
      </c>
      <c r="H1685" t="s">
        <v>2779</v>
      </c>
      <c r="I1685" t="s">
        <v>2780</v>
      </c>
      <c r="J1685" s="4" t="s">
        <v>2846</v>
      </c>
      <c r="K1685" t="s">
        <v>175</v>
      </c>
      <c r="L1685" t="s">
        <v>164</v>
      </c>
      <c r="M1685" t="s">
        <v>163</v>
      </c>
      <c r="N1685" t="s">
        <v>167</v>
      </c>
      <c r="O1685" s="4" t="s">
        <v>2557</v>
      </c>
      <c r="P1685">
        <v>0</v>
      </c>
      <c r="Q1685" s="24">
        <v>118.2</v>
      </c>
      <c r="R1685" s="25">
        <v>169</v>
      </c>
      <c r="S1685" s="26">
        <v>99.3</v>
      </c>
    </row>
    <row r="1686" spans="1:19" ht="14.25" x14ac:dyDescent="0.2">
      <c r="A1686" s="12">
        <v>30903</v>
      </c>
      <c r="B1686" s="13">
        <f t="shared" si="323"/>
        <v>33</v>
      </c>
      <c r="C1686" s="15">
        <f t="shared" si="324"/>
        <v>23</v>
      </c>
      <c r="D1686" s="14">
        <f t="shared" si="325"/>
        <v>19</v>
      </c>
      <c r="E1686" t="s">
        <v>2777</v>
      </c>
      <c r="F1686" t="s">
        <v>2836</v>
      </c>
      <c r="G1686" t="s">
        <v>2779</v>
      </c>
      <c r="H1686" t="s">
        <v>2779</v>
      </c>
      <c r="I1686" t="s">
        <v>2780</v>
      </c>
      <c r="J1686" s="4" t="s">
        <v>2846</v>
      </c>
      <c r="K1686" t="s">
        <v>179</v>
      </c>
      <c r="L1686" t="s">
        <v>163</v>
      </c>
      <c r="M1686" t="s">
        <v>163</v>
      </c>
      <c r="N1686" t="s">
        <v>163</v>
      </c>
      <c r="O1686" s="4" t="s">
        <v>2559</v>
      </c>
      <c r="P1686">
        <v>0</v>
      </c>
      <c r="Q1686" s="24">
        <v>118.2</v>
      </c>
      <c r="R1686" s="25">
        <v>169</v>
      </c>
      <c r="S1686" s="26">
        <v>99.3</v>
      </c>
    </row>
    <row r="1687" spans="1:19" ht="14.25" x14ac:dyDescent="0.2">
      <c r="A1687" s="12">
        <v>30904</v>
      </c>
      <c r="B1687" s="13">
        <f t="shared" si="323"/>
        <v>33</v>
      </c>
      <c r="C1687" s="15">
        <f t="shared" si="324"/>
        <v>23</v>
      </c>
      <c r="D1687" s="14">
        <f t="shared" si="325"/>
        <v>19</v>
      </c>
      <c r="E1687" t="s">
        <v>2777</v>
      </c>
      <c r="F1687" t="s">
        <v>2837</v>
      </c>
      <c r="G1687" t="s">
        <v>2779</v>
      </c>
      <c r="H1687" t="s">
        <v>2779</v>
      </c>
      <c r="I1687" t="s">
        <v>2780</v>
      </c>
      <c r="J1687" s="4" t="s">
        <v>2846</v>
      </c>
      <c r="K1687" t="s">
        <v>177</v>
      </c>
      <c r="L1687" t="s">
        <v>163</v>
      </c>
      <c r="M1687" t="s">
        <v>163</v>
      </c>
      <c r="N1687" t="s">
        <v>163</v>
      </c>
      <c r="O1687" s="4" t="s">
        <v>2559</v>
      </c>
      <c r="P1687">
        <v>0</v>
      </c>
      <c r="Q1687" s="24">
        <v>118.2</v>
      </c>
      <c r="R1687" s="25">
        <v>169</v>
      </c>
      <c r="S1687" s="26">
        <v>99.3</v>
      </c>
    </row>
    <row r="1688" spans="1:19" ht="14.25" x14ac:dyDescent="0.2">
      <c r="A1688" s="12">
        <v>30905</v>
      </c>
      <c r="B1688" s="13">
        <f t="shared" si="323"/>
        <v>33</v>
      </c>
      <c r="C1688" s="15">
        <f t="shared" si="324"/>
        <v>23</v>
      </c>
      <c r="D1688" s="14">
        <f t="shared" si="325"/>
        <v>19</v>
      </c>
      <c r="E1688" t="s">
        <v>2785</v>
      </c>
      <c r="F1688" t="s">
        <v>2786</v>
      </c>
      <c r="G1688" t="s">
        <v>2830</v>
      </c>
      <c r="H1688" t="s">
        <v>2829</v>
      </c>
      <c r="I1688" t="s">
        <v>2697</v>
      </c>
      <c r="J1688" s="4" t="s">
        <v>2866</v>
      </c>
      <c r="K1688" t="s">
        <v>174</v>
      </c>
      <c r="L1688" t="s">
        <v>163</v>
      </c>
      <c r="M1688" t="s">
        <v>163</v>
      </c>
      <c r="N1688" t="s">
        <v>163</v>
      </c>
      <c r="O1688" s="4" t="s">
        <v>2561</v>
      </c>
      <c r="P1688">
        <v>0</v>
      </c>
      <c r="Q1688" s="24">
        <v>118.2</v>
      </c>
      <c r="R1688" s="25">
        <v>169</v>
      </c>
      <c r="S1688" s="26">
        <v>99.3</v>
      </c>
    </row>
    <row r="1689" spans="1:19" ht="14.25" x14ac:dyDescent="0.2">
      <c r="A1689" s="12">
        <v>30906</v>
      </c>
      <c r="B1689" s="13">
        <f t="shared" si="323"/>
        <v>33</v>
      </c>
      <c r="C1689" s="15">
        <f t="shared" si="324"/>
        <v>23</v>
      </c>
      <c r="D1689" s="14">
        <f t="shared" si="325"/>
        <v>19</v>
      </c>
      <c r="E1689" t="s">
        <v>2777</v>
      </c>
      <c r="F1689" t="s">
        <v>2834</v>
      </c>
      <c r="G1689" t="s">
        <v>2779</v>
      </c>
      <c r="H1689" t="s">
        <v>2779</v>
      </c>
      <c r="I1689" t="s">
        <v>2780</v>
      </c>
      <c r="J1689" s="4" t="s">
        <v>2846</v>
      </c>
      <c r="K1689" t="s">
        <v>182</v>
      </c>
      <c r="L1689" t="s">
        <v>163</v>
      </c>
      <c r="M1689" t="s">
        <v>163</v>
      </c>
      <c r="N1689" t="s">
        <v>163</v>
      </c>
      <c r="O1689" s="4" t="s">
        <v>2563</v>
      </c>
      <c r="P1689">
        <v>0</v>
      </c>
      <c r="Q1689" s="24">
        <v>118.5</v>
      </c>
      <c r="R1689" s="25">
        <v>169.5</v>
      </c>
      <c r="S1689" s="26">
        <v>99.5</v>
      </c>
    </row>
    <row r="1690" spans="1:19" ht="14.25" x14ac:dyDescent="0.2">
      <c r="A1690" s="12">
        <v>30907</v>
      </c>
      <c r="B1690" s="13">
        <f t="shared" si="323"/>
        <v>33</v>
      </c>
      <c r="C1690" s="15">
        <f t="shared" si="324"/>
        <v>23</v>
      </c>
      <c r="D1690" s="14">
        <f t="shared" si="325"/>
        <v>19</v>
      </c>
      <c r="E1690" t="s">
        <v>2777</v>
      </c>
      <c r="F1690" t="s">
        <v>2835</v>
      </c>
      <c r="G1690" t="s">
        <v>2779</v>
      </c>
      <c r="H1690" t="s">
        <v>2779</v>
      </c>
      <c r="I1690" t="s">
        <v>2780</v>
      </c>
      <c r="J1690" s="4" t="s">
        <v>2846</v>
      </c>
      <c r="K1690" t="s">
        <v>162</v>
      </c>
      <c r="L1690" t="s">
        <v>163</v>
      </c>
      <c r="M1690" t="s">
        <v>163</v>
      </c>
      <c r="N1690" t="s">
        <v>163</v>
      </c>
      <c r="O1690" s="4" t="s">
        <v>2563</v>
      </c>
      <c r="P1690">
        <v>0</v>
      </c>
      <c r="Q1690" s="24">
        <v>118.5</v>
      </c>
      <c r="R1690" s="25">
        <v>169.5</v>
      </c>
      <c r="S1690" s="26">
        <v>99.5</v>
      </c>
    </row>
    <row r="1691" spans="1:19" ht="14.25" x14ac:dyDescent="0.2">
      <c r="A1691" s="12">
        <v>30908</v>
      </c>
      <c r="B1691" s="13">
        <f t="shared" si="323"/>
        <v>33</v>
      </c>
      <c r="C1691" s="15">
        <f t="shared" si="324"/>
        <v>23</v>
      </c>
      <c r="D1691" s="14">
        <f t="shared" si="325"/>
        <v>19</v>
      </c>
      <c r="E1691" t="s">
        <v>2777</v>
      </c>
      <c r="F1691" t="s">
        <v>2836</v>
      </c>
      <c r="G1691" t="s">
        <v>2779</v>
      </c>
      <c r="H1691" t="s">
        <v>2779</v>
      </c>
      <c r="I1691" t="s">
        <v>2780</v>
      </c>
      <c r="J1691" s="4" t="s">
        <v>2846</v>
      </c>
      <c r="K1691" t="s">
        <v>177</v>
      </c>
      <c r="L1691" t="s">
        <v>163</v>
      </c>
      <c r="M1691" t="s">
        <v>163</v>
      </c>
      <c r="N1691" t="s">
        <v>163</v>
      </c>
      <c r="O1691" s="4" t="s">
        <v>2565</v>
      </c>
      <c r="P1691">
        <v>0</v>
      </c>
      <c r="Q1691" s="24">
        <v>118.5</v>
      </c>
      <c r="R1691" s="25">
        <v>169.5</v>
      </c>
      <c r="S1691" s="26">
        <v>99.5</v>
      </c>
    </row>
    <row r="1692" spans="1:19" ht="14.25" x14ac:dyDescent="0.2">
      <c r="A1692" s="12">
        <v>30909</v>
      </c>
      <c r="B1692" s="13">
        <f t="shared" si="323"/>
        <v>33</v>
      </c>
      <c r="C1692" s="15">
        <f t="shared" si="324"/>
        <v>23</v>
      </c>
      <c r="D1692" s="14">
        <f t="shared" si="325"/>
        <v>19</v>
      </c>
      <c r="E1692" t="s">
        <v>2777</v>
      </c>
      <c r="F1692" t="s">
        <v>2837</v>
      </c>
      <c r="G1692" t="s">
        <v>2779</v>
      </c>
      <c r="H1692" t="s">
        <v>2779</v>
      </c>
      <c r="I1692" t="s">
        <v>2780</v>
      </c>
      <c r="J1692" s="4" t="s">
        <v>2846</v>
      </c>
      <c r="K1692" t="s">
        <v>174</v>
      </c>
      <c r="L1692" t="s">
        <v>163</v>
      </c>
      <c r="M1692" t="s">
        <v>163</v>
      </c>
      <c r="N1692" t="s">
        <v>163</v>
      </c>
      <c r="O1692" s="4" t="s">
        <v>2567</v>
      </c>
      <c r="P1692">
        <v>0</v>
      </c>
      <c r="Q1692" s="24">
        <v>118.5</v>
      </c>
      <c r="R1692" s="25">
        <v>169.5</v>
      </c>
      <c r="S1692" s="26">
        <v>99.5</v>
      </c>
    </row>
    <row r="1693" spans="1:19" ht="14.25" x14ac:dyDescent="0.2">
      <c r="A1693" s="12">
        <v>30910</v>
      </c>
      <c r="B1693" s="13">
        <f t="shared" si="323"/>
        <v>33</v>
      </c>
      <c r="C1693" s="15">
        <f t="shared" si="324"/>
        <v>23</v>
      </c>
      <c r="D1693" s="14">
        <f t="shared" si="325"/>
        <v>19</v>
      </c>
      <c r="E1693" t="s">
        <v>2785</v>
      </c>
      <c r="F1693" t="s">
        <v>2786</v>
      </c>
      <c r="G1693" t="s">
        <v>2831</v>
      </c>
      <c r="H1693" t="s">
        <v>2829</v>
      </c>
      <c r="I1693" t="s">
        <v>2697</v>
      </c>
      <c r="J1693" s="4" t="s">
        <v>2866</v>
      </c>
      <c r="K1693" t="s">
        <v>166</v>
      </c>
      <c r="L1693" t="s">
        <v>163</v>
      </c>
      <c r="M1693" t="s">
        <v>163</v>
      </c>
      <c r="N1693" t="s">
        <v>163</v>
      </c>
      <c r="O1693" s="4" t="s">
        <v>2567</v>
      </c>
      <c r="P1693">
        <v>0</v>
      </c>
      <c r="Q1693" s="24">
        <v>118.5</v>
      </c>
      <c r="R1693" s="25">
        <v>169.5</v>
      </c>
      <c r="S1693" s="26">
        <v>99.5</v>
      </c>
    </row>
    <row r="1694" spans="1:19" ht="14.25" x14ac:dyDescent="0.2">
      <c r="A1694" s="12">
        <v>30911</v>
      </c>
      <c r="B1694" s="13">
        <f t="shared" si="323"/>
        <v>33</v>
      </c>
      <c r="C1694" s="15">
        <f t="shared" si="324"/>
        <v>23</v>
      </c>
      <c r="D1694" s="14">
        <f t="shared" si="325"/>
        <v>19</v>
      </c>
      <c r="E1694" t="s">
        <v>2777</v>
      </c>
      <c r="F1694" t="s">
        <v>2834</v>
      </c>
      <c r="G1694" t="s">
        <v>2779</v>
      </c>
      <c r="H1694" t="s">
        <v>2779</v>
      </c>
      <c r="I1694" t="s">
        <v>2780</v>
      </c>
      <c r="J1694" s="4" t="s">
        <v>2846</v>
      </c>
      <c r="K1694" t="s">
        <v>168</v>
      </c>
      <c r="L1694" t="s">
        <v>163</v>
      </c>
      <c r="M1694" t="s">
        <v>163</v>
      </c>
      <c r="N1694" t="s">
        <v>163</v>
      </c>
      <c r="O1694" s="4" t="s">
        <v>2569</v>
      </c>
      <c r="P1694">
        <v>0</v>
      </c>
      <c r="Q1694" s="24">
        <v>118.8</v>
      </c>
      <c r="R1694" s="25">
        <v>170</v>
      </c>
      <c r="S1694" s="26">
        <v>99.8</v>
      </c>
    </row>
    <row r="1695" spans="1:19" ht="14.25" x14ac:dyDescent="0.2">
      <c r="A1695" s="12">
        <v>30912</v>
      </c>
      <c r="B1695" s="13">
        <f t="shared" si="323"/>
        <v>33</v>
      </c>
      <c r="C1695" s="15">
        <f t="shared" si="324"/>
        <v>23</v>
      </c>
      <c r="D1695" s="14">
        <f t="shared" si="325"/>
        <v>19</v>
      </c>
      <c r="E1695" t="s">
        <v>2777</v>
      </c>
      <c r="F1695" t="s">
        <v>2835</v>
      </c>
      <c r="G1695" t="s">
        <v>2779</v>
      </c>
      <c r="H1695" t="s">
        <v>2779</v>
      </c>
      <c r="I1695" t="s">
        <v>2780</v>
      </c>
      <c r="J1695" s="4" t="s">
        <v>2846</v>
      </c>
      <c r="K1695" t="s">
        <v>175</v>
      </c>
      <c r="L1695" t="s">
        <v>164</v>
      </c>
      <c r="M1695" t="s">
        <v>163</v>
      </c>
      <c r="N1695" t="s">
        <v>167</v>
      </c>
      <c r="O1695" s="4" t="s">
        <v>2571</v>
      </c>
      <c r="P1695">
        <v>0</v>
      </c>
      <c r="Q1695" s="24">
        <v>118.8</v>
      </c>
      <c r="R1695" s="25">
        <v>170</v>
      </c>
      <c r="S1695" s="26">
        <v>99.8</v>
      </c>
    </row>
    <row r="1696" spans="1:19" ht="14.25" x14ac:dyDescent="0.2">
      <c r="A1696" s="12">
        <v>30913</v>
      </c>
      <c r="B1696" s="13">
        <f t="shared" si="323"/>
        <v>34</v>
      </c>
      <c r="C1696" s="15">
        <f t="shared" si="324"/>
        <v>23</v>
      </c>
      <c r="D1696" s="14">
        <f t="shared" si="325"/>
        <v>19</v>
      </c>
      <c r="E1696" t="s">
        <v>2777</v>
      </c>
      <c r="F1696" t="s">
        <v>2836</v>
      </c>
      <c r="G1696" t="s">
        <v>2779</v>
      </c>
      <c r="H1696" t="s">
        <v>2779</v>
      </c>
      <c r="I1696" t="s">
        <v>2780</v>
      </c>
      <c r="J1696" s="4" t="s">
        <v>2846</v>
      </c>
      <c r="K1696" t="s">
        <v>179</v>
      </c>
      <c r="L1696" t="s">
        <v>163</v>
      </c>
      <c r="M1696" t="s">
        <v>163</v>
      </c>
      <c r="N1696" t="s">
        <v>163</v>
      </c>
      <c r="O1696" s="4" t="s">
        <v>2573</v>
      </c>
      <c r="P1696">
        <v>0</v>
      </c>
      <c r="Q1696" s="24">
        <v>118.8</v>
      </c>
      <c r="R1696" s="25">
        <v>170</v>
      </c>
      <c r="S1696" s="26">
        <v>99.8</v>
      </c>
    </row>
    <row r="1697" spans="1:19" ht="14.25" x14ac:dyDescent="0.2">
      <c r="A1697" s="12">
        <v>30914</v>
      </c>
      <c r="B1697" s="13">
        <f t="shared" si="323"/>
        <v>34</v>
      </c>
      <c r="C1697" s="15">
        <f t="shared" si="324"/>
        <v>23</v>
      </c>
      <c r="D1697" s="14">
        <f t="shared" si="325"/>
        <v>19</v>
      </c>
      <c r="E1697" t="s">
        <v>2777</v>
      </c>
      <c r="F1697" t="s">
        <v>2837</v>
      </c>
      <c r="G1697" t="s">
        <v>2779</v>
      </c>
      <c r="H1697" t="s">
        <v>2779</v>
      </c>
      <c r="I1697" t="s">
        <v>2780</v>
      </c>
      <c r="J1697" s="4" t="s">
        <v>2846</v>
      </c>
      <c r="K1697" t="s">
        <v>177</v>
      </c>
      <c r="L1697" t="s">
        <v>163</v>
      </c>
      <c r="M1697" t="s">
        <v>163</v>
      </c>
      <c r="N1697" t="s">
        <v>163</v>
      </c>
      <c r="O1697" s="4" t="s">
        <v>2573</v>
      </c>
      <c r="P1697">
        <v>0</v>
      </c>
      <c r="Q1697" s="24">
        <v>118.8</v>
      </c>
      <c r="R1697" s="25">
        <v>170</v>
      </c>
      <c r="S1697" s="26">
        <v>99.8</v>
      </c>
    </row>
    <row r="1698" spans="1:19" ht="14.25" x14ac:dyDescent="0.2">
      <c r="A1698" s="12">
        <v>30915</v>
      </c>
      <c r="B1698" s="13">
        <f t="shared" si="323"/>
        <v>34</v>
      </c>
      <c r="C1698" s="15">
        <f t="shared" si="324"/>
        <v>23</v>
      </c>
      <c r="D1698" s="14">
        <f t="shared" si="325"/>
        <v>19</v>
      </c>
      <c r="E1698" t="s">
        <v>2785</v>
      </c>
      <c r="F1698" t="s">
        <v>2786</v>
      </c>
      <c r="G1698" t="s">
        <v>2832</v>
      </c>
      <c r="H1698" t="s">
        <v>2829</v>
      </c>
      <c r="I1698" t="s">
        <v>2697</v>
      </c>
      <c r="J1698" s="4" t="s">
        <v>2866</v>
      </c>
      <c r="K1698" t="s">
        <v>174</v>
      </c>
      <c r="L1698" t="s">
        <v>163</v>
      </c>
      <c r="M1698" t="s">
        <v>163</v>
      </c>
      <c r="N1698" t="s">
        <v>163</v>
      </c>
      <c r="O1698" s="4" t="s">
        <v>2575</v>
      </c>
      <c r="P1698">
        <v>0</v>
      </c>
      <c r="Q1698" s="24">
        <v>118.8</v>
      </c>
      <c r="R1698" s="25">
        <v>170</v>
      </c>
      <c r="S1698" s="26">
        <v>99.8</v>
      </c>
    </row>
    <row r="1699" spans="1:19" ht="14.25" x14ac:dyDescent="0.2">
      <c r="A1699" s="12">
        <v>30916</v>
      </c>
      <c r="B1699" s="13">
        <f t="shared" si="323"/>
        <v>34</v>
      </c>
      <c r="C1699" s="15">
        <f t="shared" si="324"/>
        <v>23</v>
      </c>
      <c r="D1699" s="14">
        <f t="shared" si="325"/>
        <v>19</v>
      </c>
      <c r="E1699" t="s">
        <v>2777</v>
      </c>
      <c r="F1699" t="s">
        <v>2834</v>
      </c>
      <c r="G1699" t="s">
        <v>2779</v>
      </c>
      <c r="H1699" t="s">
        <v>2779</v>
      </c>
      <c r="I1699" t="s">
        <v>2780</v>
      </c>
      <c r="J1699" s="4" t="s">
        <v>2846</v>
      </c>
      <c r="K1699" t="s">
        <v>182</v>
      </c>
      <c r="L1699" t="s">
        <v>163</v>
      </c>
      <c r="M1699" t="s">
        <v>163</v>
      </c>
      <c r="N1699" t="s">
        <v>163</v>
      </c>
      <c r="O1699" s="4" t="s">
        <v>2577</v>
      </c>
      <c r="P1699">
        <v>0</v>
      </c>
      <c r="Q1699" s="24">
        <v>119.2</v>
      </c>
      <c r="R1699" s="25">
        <v>170.5</v>
      </c>
      <c r="S1699" s="26">
        <v>100</v>
      </c>
    </row>
    <row r="1700" spans="1:19" ht="14.25" x14ac:dyDescent="0.2">
      <c r="A1700" s="12">
        <v>30917</v>
      </c>
      <c r="B1700" s="13">
        <f t="shared" si="323"/>
        <v>34</v>
      </c>
      <c r="C1700" s="15">
        <f t="shared" si="324"/>
        <v>23</v>
      </c>
      <c r="D1700" s="14">
        <f t="shared" si="325"/>
        <v>19</v>
      </c>
      <c r="E1700" t="s">
        <v>2777</v>
      </c>
      <c r="F1700" t="s">
        <v>2835</v>
      </c>
      <c r="G1700" t="s">
        <v>2779</v>
      </c>
      <c r="H1700" t="s">
        <v>2779</v>
      </c>
      <c r="I1700" t="s">
        <v>2780</v>
      </c>
      <c r="J1700" s="4" t="s">
        <v>2846</v>
      </c>
      <c r="K1700" t="s">
        <v>162</v>
      </c>
      <c r="L1700" t="s">
        <v>163</v>
      </c>
      <c r="M1700" t="s">
        <v>163</v>
      </c>
      <c r="N1700" t="s">
        <v>163</v>
      </c>
      <c r="O1700" s="4" t="s">
        <v>2577</v>
      </c>
      <c r="P1700">
        <v>0</v>
      </c>
      <c r="Q1700" s="24">
        <v>119.2</v>
      </c>
      <c r="R1700" s="25">
        <v>170.5</v>
      </c>
      <c r="S1700" s="26">
        <v>100</v>
      </c>
    </row>
    <row r="1701" spans="1:19" ht="14.25" x14ac:dyDescent="0.2">
      <c r="A1701" s="12">
        <v>30918</v>
      </c>
      <c r="B1701" s="13">
        <f t="shared" si="323"/>
        <v>34</v>
      </c>
      <c r="C1701" s="15">
        <f t="shared" si="324"/>
        <v>23</v>
      </c>
      <c r="D1701" s="14">
        <f t="shared" si="325"/>
        <v>20</v>
      </c>
      <c r="E1701" t="s">
        <v>2777</v>
      </c>
      <c r="F1701" t="s">
        <v>2836</v>
      </c>
      <c r="G1701" t="s">
        <v>2779</v>
      </c>
      <c r="H1701" t="s">
        <v>2779</v>
      </c>
      <c r="I1701" t="s">
        <v>2780</v>
      </c>
      <c r="J1701" s="4" t="s">
        <v>2846</v>
      </c>
      <c r="K1701" t="s">
        <v>177</v>
      </c>
      <c r="L1701" t="s">
        <v>163</v>
      </c>
      <c r="M1701" t="s">
        <v>163</v>
      </c>
      <c r="N1701" t="s">
        <v>163</v>
      </c>
      <c r="O1701" s="4" t="s">
        <v>2579</v>
      </c>
      <c r="P1701">
        <v>0</v>
      </c>
      <c r="Q1701" s="24">
        <v>119.2</v>
      </c>
      <c r="R1701" s="25">
        <v>170.5</v>
      </c>
      <c r="S1701" s="26">
        <v>100</v>
      </c>
    </row>
    <row r="1702" spans="1:19" ht="14.25" x14ac:dyDescent="0.2">
      <c r="A1702" s="12">
        <v>30919</v>
      </c>
      <c r="B1702" s="13">
        <f t="shared" si="323"/>
        <v>34</v>
      </c>
      <c r="C1702" s="15">
        <f t="shared" si="324"/>
        <v>23</v>
      </c>
      <c r="D1702" s="14">
        <f t="shared" si="325"/>
        <v>20</v>
      </c>
      <c r="E1702" t="s">
        <v>2777</v>
      </c>
      <c r="F1702" t="s">
        <v>2837</v>
      </c>
      <c r="G1702" t="s">
        <v>2779</v>
      </c>
      <c r="H1702" t="s">
        <v>2779</v>
      </c>
      <c r="I1702" t="s">
        <v>2780</v>
      </c>
      <c r="J1702" s="4" t="s">
        <v>2846</v>
      </c>
      <c r="K1702" t="s">
        <v>174</v>
      </c>
      <c r="L1702" t="s">
        <v>163</v>
      </c>
      <c r="M1702" t="s">
        <v>163</v>
      </c>
      <c r="N1702" t="s">
        <v>163</v>
      </c>
      <c r="O1702" s="4" t="s">
        <v>2581</v>
      </c>
      <c r="P1702">
        <v>0</v>
      </c>
      <c r="Q1702" s="24">
        <v>119.2</v>
      </c>
      <c r="R1702" s="25">
        <v>170.5</v>
      </c>
      <c r="S1702" s="26">
        <v>100</v>
      </c>
    </row>
    <row r="1703" spans="1:19" ht="14.25" x14ac:dyDescent="0.2">
      <c r="A1703" s="12">
        <v>30920</v>
      </c>
      <c r="B1703" s="13">
        <f t="shared" si="323"/>
        <v>34</v>
      </c>
      <c r="C1703" s="15">
        <f t="shared" si="324"/>
        <v>23</v>
      </c>
      <c r="D1703" s="14">
        <f t="shared" si="325"/>
        <v>20</v>
      </c>
      <c r="E1703" t="s">
        <v>2785</v>
      </c>
      <c r="F1703" t="s">
        <v>2786</v>
      </c>
      <c r="G1703" t="s">
        <v>2833</v>
      </c>
      <c r="H1703" t="s">
        <v>2829</v>
      </c>
      <c r="I1703" t="s">
        <v>2697</v>
      </c>
      <c r="J1703" s="4" t="s">
        <v>2884</v>
      </c>
      <c r="K1703" t="s">
        <v>166</v>
      </c>
      <c r="L1703" t="s">
        <v>163</v>
      </c>
      <c r="M1703" t="s">
        <v>163</v>
      </c>
      <c r="N1703" t="s">
        <v>163</v>
      </c>
      <c r="O1703" s="4" t="s">
        <v>2581</v>
      </c>
      <c r="P1703">
        <v>0</v>
      </c>
      <c r="Q1703" s="24">
        <v>119.2</v>
      </c>
      <c r="R1703" s="25">
        <v>170.5</v>
      </c>
      <c r="S1703" s="26">
        <v>100</v>
      </c>
    </row>
    <row r="1704" spans="1:19" ht="14.25" x14ac:dyDescent="0.2">
      <c r="A1704" s="12">
        <v>30921</v>
      </c>
      <c r="B1704" s="13">
        <f t="shared" si="323"/>
        <v>34</v>
      </c>
      <c r="C1704" s="15">
        <f t="shared" si="324"/>
        <v>23</v>
      </c>
      <c r="D1704" s="14">
        <f t="shared" si="325"/>
        <v>20</v>
      </c>
      <c r="E1704" t="s">
        <v>2777</v>
      </c>
      <c r="F1704" t="s">
        <v>2834</v>
      </c>
      <c r="G1704" t="s">
        <v>2779</v>
      </c>
      <c r="H1704" t="s">
        <v>2779</v>
      </c>
      <c r="I1704" t="s">
        <v>2780</v>
      </c>
      <c r="J1704" s="4" t="s">
        <v>2846</v>
      </c>
      <c r="K1704" t="s">
        <v>168</v>
      </c>
      <c r="L1704" t="s">
        <v>163</v>
      </c>
      <c r="M1704" t="s">
        <v>163</v>
      </c>
      <c r="N1704" t="s">
        <v>163</v>
      </c>
      <c r="O1704" s="4" t="s">
        <v>2583</v>
      </c>
      <c r="P1704">
        <v>0</v>
      </c>
      <c r="Q1704" s="24">
        <v>119.5</v>
      </c>
      <c r="R1704" s="25">
        <v>171</v>
      </c>
      <c r="S1704" s="26">
        <v>100.3</v>
      </c>
    </row>
    <row r="1705" spans="1:19" ht="14.25" x14ac:dyDescent="0.2">
      <c r="A1705" s="12">
        <v>30922</v>
      </c>
      <c r="B1705" s="13">
        <f t="shared" si="323"/>
        <v>34</v>
      </c>
      <c r="C1705" s="15">
        <f t="shared" si="324"/>
        <v>23</v>
      </c>
      <c r="D1705" s="14">
        <f t="shared" si="325"/>
        <v>20</v>
      </c>
      <c r="E1705" t="s">
        <v>2777</v>
      </c>
      <c r="F1705" t="s">
        <v>2835</v>
      </c>
      <c r="G1705" t="s">
        <v>2779</v>
      </c>
      <c r="H1705" t="s">
        <v>2779</v>
      </c>
      <c r="I1705" t="s">
        <v>2780</v>
      </c>
      <c r="J1705" s="4" t="s">
        <v>2846</v>
      </c>
      <c r="K1705" t="s">
        <v>175</v>
      </c>
      <c r="L1705" t="s">
        <v>164</v>
      </c>
      <c r="M1705" t="s">
        <v>163</v>
      </c>
      <c r="N1705" t="s">
        <v>167</v>
      </c>
      <c r="O1705" s="4" t="s">
        <v>2585</v>
      </c>
      <c r="P1705">
        <v>0</v>
      </c>
      <c r="Q1705" s="24">
        <v>119.5</v>
      </c>
      <c r="R1705" s="25">
        <v>171</v>
      </c>
      <c r="S1705" s="26">
        <v>100.3</v>
      </c>
    </row>
    <row r="1706" spans="1:19" ht="14.25" x14ac:dyDescent="0.2">
      <c r="A1706" s="12">
        <v>30923</v>
      </c>
      <c r="B1706" s="13">
        <f t="shared" si="323"/>
        <v>34</v>
      </c>
      <c r="C1706" s="15">
        <f t="shared" si="324"/>
        <v>23</v>
      </c>
      <c r="D1706" s="14">
        <f t="shared" si="325"/>
        <v>20</v>
      </c>
      <c r="E1706" t="s">
        <v>2777</v>
      </c>
      <c r="F1706" t="s">
        <v>2836</v>
      </c>
      <c r="G1706" t="s">
        <v>2779</v>
      </c>
      <c r="H1706" t="s">
        <v>2779</v>
      </c>
      <c r="I1706" t="s">
        <v>2780</v>
      </c>
      <c r="J1706" s="4" t="s">
        <v>2846</v>
      </c>
      <c r="K1706" t="s">
        <v>179</v>
      </c>
      <c r="L1706" t="s">
        <v>163</v>
      </c>
      <c r="M1706" t="s">
        <v>163</v>
      </c>
      <c r="N1706" t="s">
        <v>163</v>
      </c>
      <c r="O1706" s="4" t="s">
        <v>2587</v>
      </c>
      <c r="P1706">
        <v>0</v>
      </c>
      <c r="Q1706" s="24">
        <v>119.5</v>
      </c>
      <c r="R1706" s="25">
        <v>171</v>
      </c>
      <c r="S1706" s="26">
        <v>100.3</v>
      </c>
    </row>
    <row r="1707" spans="1:19" ht="14.25" x14ac:dyDescent="0.2">
      <c r="A1707" s="12">
        <v>30924</v>
      </c>
      <c r="B1707" s="13">
        <f t="shared" si="323"/>
        <v>34</v>
      </c>
      <c r="C1707" s="15">
        <f t="shared" si="324"/>
        <v>23</v>
      </c>
      <c r="D1707" s="14">
        <f t="shared" si="325"/>
        <v>20</v>
      </c>
      <c r="E1707" t="s">
        <v>2777</v>
      </c>
      <c r="F1707" t="s">
        <v>2837</v>
      </c>
      <c r="G1707" t="s">
        <v>2779</v>
      </c>
      <c r="H1707" t="s">
        <v>2779</v>
      </c>
      <c r="I1707" t="s">
        <v>2780</v>
      </c>
      <c r="J1707" s="4" t="s">
        <v>2846</v>
      </c>
      <c r="K1707" t="s">
        <v>177</v>
      </c>
      <c r="L1707" t="s">
        <v>163</v>
      </c>
      <c r="M1707" t="s">
        <v>163</v>
      </c>
      <c r="N1707" t="s">
        <v>163</v>
      </c>
      <c r="O1707" s="4" t="s">
        <v>2587</v>
      </c>
      <c r="P1707">
        <v>0</v>
      </c>
      <c r="Q1707" s="24">
        <v>119.5</v>
      </c>
      <c r="R1707" s="25">
        <v>171</v>
      </c>
      <c r="S1707" s="26">
        <v>100.3</v>
      </c>
    </row>
    <row r="1708" spans="1:19" ht="14.25" x14ac:dyDescent="0.2">
      <c r="A1708" s="12">
        <v>30925</v>
      </c>
      <c r="B1708" s="13">
        <f t="shared" si="323"/>
        <v>34</v>
      </c>
      <c r="C1708" s="15">
        <f t="shared" si="324"/>
        <v>23</v>
      </c>
      <c r="D1708" s="14">
        <f t="shared" si="325"/>
        <v>20</v>
      </c>
      <c r="E1708" t="s">
        <v>2785</v>
      </c>
      <c r="F1708" t="s">
        <v>2786</v>
      </c>
      <c r="G1708" t="s">
        <v>2828</v>
      </c>
      <c r="H1708" t="s">
        <v>2829</v>
      </c>
      <c r="I1708" t="s">
        <v>2697</v>
      </c>
      <c r="J1708" s="4" t="s">
        <v>2884</v>
      </c>
      <c r="K1708" t="s">
        <v>174</v>
      </c>
      <c r="L1708" t="s">
        <v>163</v>
      </c>
      <c r="M1708" t="s">
        <v>163</v>
      </c>
      <c r="N1708" t="s">
        <v>163</v>
      </c>
      <c r="O1708" s="4" t="s">
        <v>2589</v>
      </c>
      <c r="P1708">
        <v>0</v>
      </c>
      <c r="Q1708" s="24">
        <v>119.5</v>
      </c>
      <c r="R1708" s="25">
        <v>171</v>
      </c>
      <c r="S1708" s="26">
        <v>100.3</v>
      </c>
    </row>
    <row r="1709" spans="1:19" ht="14.25" x14ac:dyDescent="0.2">
      <c r="A1709" s="12">
        <v>30926</v>
      </c>
      <c r="B1709" s="13">
        <f t="shared" si="323"/>
        <v>34</v>
      </c>
      <c r="C1709" s="15">
        <f t="shared" si="324"/>
        <v>23</v>
      </c>
      <c r="D1709" s="14">
        <f t="shared" si="325"/>
        <v>20</v>
      </c>
      <c r="E1709" t="s">
        <v>2777</v>
      </c>
      <c r="F1709" t="s">
        <v>2834</v>
      </c>
      <c r="G1709" t="s">
        <v>2779</v>
      </c>
      <c r="H1709" t="s">
        <v>2779</v>
      </c>
      <c r="I1709" t="s">
        <v>2780</v>
      </c>
      <c r="J1709" s="4" t="s">
        <v>2846</v>
      </c>
      <c r="K1709" t="s">
        <v>182</v>
      </c>
      <c r="L1709" t="s">
        <v>163</v>
      </c>
      <c r="M1709" t="s">
        <v>163</v>
      </c>
      <c r="N1709" t="s">
        <v>163</v>
      </c>
      <c r="O1709" s="4" t="s">
        <v>2591</v>
      </c>
      <c r="P1709">
        <v>0</v>
      </c>
      <c r="Q1709" s="24">
        <v>119.8</v>
      </c>
      <c r="R1709" s="25">
        <v>171.5</v>
      </c>
      <c r="S1709" s="26">
        <v>100.5</v>
      </c>
    </row>
    <row r="1710" spans="1:19" ht="14.25" x14ac:dyDescent="0.2">
      <c r="A1710" s="12">
        <v>30927</v>
      </c>
      <c r="B1710" s="13">
        <f t="shared" si="323"/>
        <v>34</v>
      </c>
      <c r="C1710" s="15">
        <f t="shared" si="324"/>
        <v>23</v>
      </c>
      <c r="D1710" s="14">
        <f t="shared" si="325"/>
        <v>20</v>
      </c>
      <c r="E1710" t="s">
        <v>2777</v>
      </c>
      <c r="F1710" t="s">
        <v>2835</v>
      </c>
      <c r="G1710" t="s">
        <v>2779</v>
      </c>
      <c r="H1710" t="s">
        <v>2779</v>
      </c>
      <c r="I1710" t="s">
        <v>2780</v>
      </c>
      <c r="J1710" s="4" t="s">
        <v>2846</v>
      </c>
      <c r="K1710" t="s">
        <v>162</v>
      </c>
      <c r="L1710" t="s">
        <v>163</v>
      </c>
      <c r="M1710" t="s">
        <v>163</v>
      </c>
      <c r="N1710" t="s">
        <v>163</v>
      </c>
      <c r="O1710" s="4" t="s">
        <v>2591</v>
      </c>
      <c r="P1710">
        <v>0</v>
      </c>
      <c r="Q1710" s="24">
        <v>119.8</v>
      </c>
      <c r="R1710" s="25">
        <v>171.5</v>
      </c>
      <c r="S1710" s="26">
        <v>100.5</v>
      </c>
    </row>
    <row r="1711" spans="1:19" ht="14.25" x14ac:dyDescent="0.2">
      <c r="A1711" s="12">
        <v>30928</v>
      </c>
      <c r="B1711" s="13">
        <f t="shared" si="323"/>
        <v>34</v>
      </c>
      <c r="C1711" s="15">
        <f t="shared" si="324"/>
        <v>23</v>
      </c>
      <c r="D1711" s="14">
        <f t="shared" si="325"/>
        <v>20</v>
      </c>
      <c r="E1711" t="s">
        <v>2777</v>
      </c>
      <c r="F1711" t="s">
        <v>2836</v>
      </c>
      <c r="G1711" t="s">
        <v>2779</v>
      </c>
      <c r="H1711" t="s">
        <v>2779</v>
      </c>
      <c r="I1711" t="s">
        <v>2780</v>
      </c>
      <c r="J1711" s="4" t="s">
        <v>2846</v>
      </c>
      <c r="K1711" t="s">
        <v>177</v>
      </c>
      <c r="L1711" t="s">
        <v>163</v>
      </c>
      <c r="M1711" t="s">
        <v>163</v>
      </c>
      <c r="N1711" t="s">
        <v>163</v>
      </c>
      <c r="O1711" s="4" t="s">
        <v>2593</v>
      </c>
      <c r="P1711">
        <v>0</v>
      </c>
      <c r="Q1711" s="24">
        <v>119.8</v>
      </c>
      <c r="R1711" s="25">
        <v>171.5</v>
      </c>
      <c r="S1711" s="26">
        <v>100.5</v>
      </c>
    </row>
    <row r="1712" spans="1:19" ht="14.25" x14ac:dyDescent="0.2">
      <c r="A1712" s="12">
        <v>30929</v>
      </c>
      <c r="B1712" s="13">
        <f t="shared" si="323"/>
        <v>34</v>
      </c>
      <c r="C1712" s="15">
        <f t="shared" si="324"/>
        <v>23</v>
      </c>
      <c r="D1712" s="14">
        <f t="shared" si="325"/>
        <v>20</v>
      </c>
      <c r="E1712" t="s">
        <v>2777</v>
      </c>
      <c r="F1712" t="s">
        <v>2837</v>
      </c>
      <c r="G1712" t="s">
        <v>2779</v>
      </c>
      <c r="H1712" t="s">
        <v>2779</v>
      </c>
      <c r="I1712" t="s">
        <v>2780</v>
      </c>
      <c r="J1712" s="4" t="s">
        <v>2846</v>
      </c>
      <c r="K1712" t="s">
        <v>174</v>
      </c>
      <c r="L1712" t="s">
        <v>163</v>
      </c>
      <c r="M1712" t="s">
        <v>163</v>
      </c>
      <c r="N1712" t="s">
        <v>163</v>
      </c>
      <c r="O1712" s="4" t="s">
        <v>2595</v>
      </c>
      <c r="P1712">
        <v>0</v>
      </c>
      <c r="Q1712" s="24">
        <v>119.8</v>
      </c>
      <c r="R1712" s="25">
        <v>171.5</v>
      </c>
      <c r="S1712" s="26">
        <v>100.5</v>
      </c>
    </row>
    <row r="1713" spans="1:19" ht="14.25" x14ac:dyDescent="0.2">
      <c r="A1713" s="12">
        <v>30930</v>
      </c>
      <c r="B1713" s="13">
        <f t="shared" si="323"/>
        <v>34</v>
      </c>
      <c r="C1713" s="15">
        <f t="shared" si="324"/>
        <v>23</v>
      </c>
      <c r="D1713" s="14">
        <f t="shared" si="325"/>
        <v>20</v>
      </c>
      <c r="E1713" t="s">
        <v>2785</v>
      </c>
      <c r="F1713" t="s">
        <v>2786</v>
      </c>
      <c r="G1713" t="s">
        <v>2830</v>
      </c>
      <c r="H1713" t="s">
        <v>2829</v>
      </c>
      <c r="I1713" t="s">
        <v>2697</v>
      </c>
      <c r="J1713" s="4" t="s">
        <v>2866</v>
      </c>
      <c r="K1713" t="s">
        <v>166</v>
      </c>
      <c r="L1713" t="s">
        <v>163</v>
      </c>
      <c r="M1713" t="s">
        <v>163</v>
      </c>
      <c r="N1713" t="s">
        <v>163</v>
      </c>
      <c r="O1713" s="4" t="s">
        <v>2595</v>
      </c>
      <c r="P1713">
        <v>0</v>
      </c>
      <c r="Q1713" s="24">
        <v>119.8</v>
      </c>
      <c r="R1713" s="25">
        <v>171.5</v>
      </c>
      <c r="S1713" s="26">
        <v>100.5</v>
      </c>
    </row>
    <row r="1714" spans="1:19" ht="14.25" x14ac:dyDescent="0.2">
      <c r="A1714" s="12">
        <v>30931</v>
      </c>
      <c r="B1714" s="13">
        <f t="shared" si="323"/>
        <v>34</v>
      </c>
      <c r="C1714" s="15">
        <f t="shared" si="324"/>
        <v>23</v>
      </c>
      <c r="D1714" s="14">
        <f t="shared" si="325"/>
        <v>20</v>
      </c>
      <c r="E1714" t="s">
        <v>2777</v>
      </c>
      <c r="F1714" t="s">
        <v>2834</v>
      </c>
      <c r="G1714" t="s">
        <v>2779</v>
      </c>
      <c r="H1714" t="s">
        <v>2779</v>
      </c>
      <c r="I1714" t="s">
        <v>2780</v>
      </c>
      <c r="J1714" s="4" t="s">
        <v>2846</v>
      </c>
      <c r="K1714" t="s">
        <v>168</v>
      </c>
      <c r="L1714" t="s">
        <v>163</v>
      </c>
      <c r="M1714" t="s">
        <v>163</v>
      </c>
      <c r="N1714" t="s">
        <v>163</v>
      </c>
      <c r="O1714" s="4" t="s">
        <v>2597</v>
      </c>
      <c r="P1714">
        <v>0</v>
      </c>
      <c r="Q1714" s="24">
        <v>120.2</v>
      </c>
      <c r="R1714" s="25">
        <v>172</v>
      </c>
      <c r="S1714" s="26">
        <v>100.8</v>
      </c>
    </row>
    <row r="1715" spans="1:19" ht="14.25" x14ac:dyDescent="0.2">
      <c r="A1715" s="12">
        <v>30932</v>
      </c>
      <c r="B1715" s="13">
        <f t="shared" si="323"/>
        <v>34</v>
      </c>
      <c r="C1715" s="15">
        <f t="shared" si="324"/>
        <v>23</v>
      </c>
      <c r="D1715" s="14">
        <f t="shared" si="325"/>
        <v>20</v>
      </c>
      <c r="E1715" t="s">
        <v>2777</v>
      </c>
      <c r="F1715" t="s">
        <v>2835</v>
      </c>
      <c r="G1715" t="s">
        <v>2779</v>
      </c>
      <c r="H1715" t="s">
        <v>2779</v>
      </c>
      <c r="I1715" t="s">
        <v>2780</v>
      </c>
      <c r="J1715" s="4" t="s">
        <v>2846</v>
      </c>
      <c r="K1715" t="s">
        <v>175</v>
      </c>
      <c r="L1715" t="s">
        <v>164</v>
      </c>
      <c r="M1715" t="s">
        <v>163</v>
      </c>
      <c r="N1715" t="s">
        <v>167</v>
      </c>
      <c r="O1715" s="4" t="s">
        <v>2599</v>
      </c>
      <c r="P1715">
        <v>0</v>
      </c>
      <c r="Q1715" s="24">
        <v>120.2</v>
      </c>
      <c r="R1715" s="25">
        <v>172</v>
      </c>
      <c r="S1715" s="26">
        <v>100.8</v>
      </c>
    </row>
    <row r="1716" spans="1:19" ht="14.25" x14ac:dyDescent="0.2">
      <c r="A1716" s="12">
        <v>30933</v>
      </c>
      <c r="B1716" s="13">
        <f t="shared" si="323"/>
        <v>34</v>
      </c>
      <c r="C1716" s="15">
        <f t="shared" si="324"/>
        <v>24</v>
      </c>
      <c r="D1716" s="14">
        <f t="shared" si="325"/>
        <v>20</v>
      </c>
      <c r="E1716" t="s">
        <v>2777</v>
      </c>
      <c r="F1716" t="s">
        <v>2836</v>
      </c>
      <c r="G1716" t="s">
        <v>2779</v>
      </c>
      <c r="H1716" t="s">
        <v>2779</v>
      </c>
      <c r="I1716" t="s">
        <v>2780</v>
      </c>
      <c r="J1716" s="4" t="s">
        <v>2846</v>
      </c>
      <c r="K1716" t="s">
        <v>179</v>
      </c>
      <c r="L1716" t="s">
        <v>163</v>
      </c>
      <c r="M1716" t="s">
        <v>163</v>
      </c>
      <c r="N1716" t="s">
        <v>163</v>
      </c>
      <c r="O1716" s="4" t="s">
        <v>2601</v>
      </c>
      <c r="P1716">
        <v>0</v>
      </c>
      <c r="Q1716" s="24">
        <v>120.2</v>
      </c>
      <c r="R1716" s="25">
        <v>172</v>
      </c>
      <c r="S1716" s="26">
        <v>100.8</v>
      </c>
    </row>
    <row r="1717" spans="1:19" ht="14.25" x14ac:dyDescent="0.2">
      <c r="A1717" s="12">
        <v>30934</v>
      </c>
      <c r="B1717" s="13">
        <f t="shared" si="323"/>
        <v>34</v>
      </c>
      <c r="C1717" s="15">
        <f t="shared" si="324"/>
        <v>24</v>
      </c>
      <c r="D1717" s="14">
        <f t="shared" si="325"/>
        <v>20</v>
      </c>
      <c r="E1717" t="s">
        <v>2777</v>
      </c>
      <c r="F1717" t="s">
        <v>2837</v>
      </c>
      <c r="G1717" t="s">
        <v>2779</v>
      </c>
      <c r="H1717" t="s">
        <v>2779</v>
      </c>
      <c r="I1717" t="s">
        <v>2780</v>
      </c>
      <c r="J1717" s="4" t="s">
        <v>2846</v>
      </c>
      <c r="K1717" t="s">
        <v>177</v>
      </c>
      <c r="L1717" t="s">
        <v>163</v>
      </c>
      <c r="M1717" t="s">
        <v>163</v>
      </c>
      <c r="N1717" t="s">
        <v>163</v>
      </c>
      <c r="O1717" s="4" t="s">
        <v>2601</v>
      </c>
      <c r="P1717">
        <v>0</v>
      </c>
      <c r="Q1717" s="24">
        <v>120.2</v>
      </c>
      <c r="R1717" s="25">
        <v>172</v>
      </c>
      <c r="S1717" s="26">
        <v>100.8</v>
      </c>
    </row>
    <row r="1718" spans="1:19" ht="14.25" x14ac:dyDescent="0.2">
      <c r="A1718" s="12">
        <v>30935</v>
      </c>
      <c r="B1718" s="13">
        <f t="shared" si="323"/>
        <v>34</v>
      </c>
      <c r="C1718" s="15">
        <f t="shared" si="324"/>
        <v>24</v>
      </c>
      <c r="D1718" s="14">
        <f t="shared" si="325"/>
        <v>20</v>
      </c>
      <c r="E1718" t="s">
        <v>2785</v>
      </c>
      <c r="F1718" t="s">
        <v>2786</v>
      </c>
      <c r="G1718" t="s">
        <v>2831</v>
      </c>
      <c r="H1718" t="s">
        <v>2829</v>
      </c>
      <c r="I1718" t="s">
        <v>2697</v>
      </c>
      <c r="J1718" s="4" t="s">
        <v>2866</v>
      </c>
      <c r="K1718" t="s">
        <v>174</v>
      </c>
      <c r="L1718" t="s">
        <v>163</v>
      </c>
      <c r="M1718" t="s">
        <v>163</v>
      </c>
      <c r="N1718" t="s">
        <v>163</v>
      </c>
      <c r="O1718" s="4" t="s">
        <v>2603</v>
      </c>
      <c r="P1718">
        <v>0</v>
      </c>
      <c r="Q1718" s="24">
        <v>120.2</v>
      </c>
      <c r="R1718" s="25">
        <v>172</v>
      </c>
      <c r="S1718" s="26">
        <v>100.8</v>
      </c>
    </row>
    <row r="1719" spans="1:19" ht="14.25" x14ac:dyDescent="0.2">
      <c r="A1719" s="12">
        <v>30936</v>
      </c>
      <c r="B1719" s="13">
        <f t="shared" si="323"/>
        <v>34</v>
      </c>
      <c r="C1719" s="15">
        <f t="shared" si="324"/>
        <v>24</v>
      </c>
      <c r="D1719" s="14">
        <f t="shared" si="325"/>
        <v>20</v>
      </c>
      <c r="E1719" t="s">
        <v>2777</v>
      </c>
      <c r="F1719" t="s">
        <v>2834</v>
      </c>
      <c r="G1719" t="s">
        <v>2779</v>
      </c>
      <c r="H1719" t="s">
        <v>2779</v>
      </c>
      <c r="I1719" t="s">
        <v>2780</v>
      </c>
      <c r="J1719" s="4" t="s">
        <v>2846</v>
      </c>
      <c r="K1719" t="s">
        <v>182</v>
      </c>
      <c r="L1719" t="s">
        <v>163</v>
      </c>
      <c r="M1719" t="s">
        <v>163</v>
      </c>
      <c r="N1719" t="s">
        <v>163</v>
      </c>
      <c r="O1719" s="4" t="s">
        <v>2605</v>
      </c>
      <c r="P1719">
        <v>0</v>
      </c>
      <c r="Q1719" s="24">
        <v>120.5</v>
      </c>
      <c r="R1719" s="25">
        <v>172.5</v>
      </c>
      <c r="S1719" s="26">
        <v>101</v>
      </c>
    </row>
    <row r="1720" spans="1:19" ht="14.25" x14ac:dyDescent="0.2">
      <c r="A1720" s="12">
        <v>30937</v>
      </c>
      <c r="B1720" s="13">
        <f t="shared" si="323"/>
        <v>34</v>
      </c>
      <c r="C1720" s="15">
        <f t="shared" si="324"/>
        <v>24</v>
      </c>
      <c r="D1720" s="14">
        <f t="shared" si="325"/>
        <v>20</v>
      </c>
      <c r="E1720" t="s">
        <v>2777</v>
      </c>
      <c r="F1720" t="s">
        <v>2835</v>
      </c>
      <c r="G1720" t="s">
        <v>2779</v>
      </c>
      <c r="H1720" t="s">
        <v>2779</v>
      </c>
      <c r="I1720" t="s">
        <v>2780</v>
      </c>
      <c r="J1720" s="4" t="s">
        <v>2846</v>
      </c>
      <c r="K1720" t="s">
        <v>162</v>
      </c>
      <c r="L1720" t="s">
        <v>163</v>
      </c>
      <c r="M1720" t="s">
        <v>163</v>
      </c>
      <c r="N1720" t="s">
        <v>163</v>
      </c>
      <c r="O1720" s="4" t="s">
        <v>2605</v>
      </c>
      <c r="P1720">
        <v>0</v>
      </c>
      <c r="Q1720" s="24">
        <v>120.5</v>
      </c>
      <c r="R1720" s="25">
        <v>172.5</v>
      </c>
      <c r="S1720" s="26">
        <v>101</v>
      </c>
    </row>
    <row r="1721" spans="1:19" ht="14.25" x14ac:dyDescent="0.2">
      <c r="A1721" s="12">
        <v>30938</v>
      </c>
      <c r="B1721" s="13">
        <f t="shared" si="323"/>
        <v>34</v>
      </c>
      <c r="C1721" s="15">
        <f t="shared" si="324"/>
        <v>24</v>
      </c>
      <c r="D1721" s="14">
        <f t="shared" si="325"/>
        <v>20</v>
      </c>
      <c r="E1721" t="s">
        <v>2777</v>
      </c>
      <c r="F1721" t="s">
        <v>2836</v>
      </c>
      <c r="G1721" t="s">
        <v>2779</v>
      </c>
      <c r="H1721" t="s">
        <v>2779</v>
      </c>
      <c r="I1721" t="s">
        <v>2780</v>
      </c>
      <c r="J1721" s="4" t="s">
        <v>2846</v>
      </c>
      <c r="K1721" t="s">
        <v>177</v>
      </c>
      <c r="L1721" t="s">
        <v>163</v>
      </c>
      <c r="M1721" t="s">
        <v>163</v>
      </c>
      <c r="N1721" t="s">
        <v>163</v>
      </c>
      <c r="O1721" s="4" t="s">
        <v>2607</v>
      </c>
      <c r="P1721">
        <v>0</v>
      </c>
      <c r="Q1721" s="24">
        <v>120.5</v>
      </c>
      <c r="R1721" s="25">
        <v>172.5</v>
      </c>
      <c r="S1721" s="26">
        <v>101</v>
      </c>
    </row>
    <row r="1722" spans="1:19" ht="14.25" x14ac:dyDescent="0.2">
      <c r="A1722" s="12">
        <v>30939</v>
      </c>
      <c r="B1722" s="13">
        <f t="shared" si="323"/>
        <v>34</v>
      </c>
      <c r="C1722" s="15">
        <f t="shared" si="324"/>
        <v>24</v>
      </c>
      <c r="D1722" s="14">
        <f t="shared" si="325"/>
        <v>20</v>
      </c>
      <c r="E1722" t="s">
        <v>2777</v>
      </c>
      <c r="F1722" t="s">
        <v>2837</v>
      </c>
      <c r="G1722" t="s">
        <v>2779</v>
      </c>
      <c r="H1722" t="s">
        <v>2779</v>
      </c>
      <c r="I1722" t="s">
        <v>2780</v>
      </c>
      <c r="J1722" s="4" t="s">
        <v>2846</v>
      </c>
      <c r="K1722" t="s">
        <v>174</v>
      </c>
      <c r="L1722" t="s">
        <v>163</v>
      </c>
      <c r="M1722" t="s">
        <v>163</v>
      </c>
      <c r="N1722" t="s">
        <v>163</v>
      </c>
      <c r="O1722" s="4" t="s">
        <v>2609</v>
      </c>
      <c r="P1722">
        <v>0</v>
      </c>
      <c r="Q1722" s="24">
        <v>120.5</v>
      </c>
      <c r="R1722" s="25">
        <v>172.5</v>
      </c>
      <c r="S1722" s="26">
        <v>101</v>
      </c>
    </row>
    <row r="1723" spans="1:19" ht="14.25" x14ac:dyDescent="0.2">
      <c r="A1723" s="12">
        <v>30940</v>
      </c>
      <c r="B1723" s="13">
        <f t="shared" si="323"/>
        <v>34</v>
      </c>
      <c r="C1723" s="15">
        <f t="shared" si="324"/>
        <v>24</v>
      </c>
      <c r="D1723" s="14">
        <f t="shared" si="325"/>
        <v>20</v>
      </c>
      <c r="E1723" t="s">
        <v>2785</v>
      </c>
      <c r="F1723" t="s">
        <v>2786</v>
      </c>
      <c r="G1723" t="s">
        <v>2832</v>
      </c>
      <c r="H1723" t="s">
        <v>2829</v>
      </c>
      <c r="I1723" t="s">
        <v>2697</v>
      </c>
      <c r="J1723" s="4" t="s">
        <v>2866</v>
      </c>
      <c r="K1723" t="s">
        <v>166</v>
      </c>
      <c r="L1723" t="s">
        <v>163</v>
      </c>
      <c r="M1723" t="s">
        <v>163</v>
      </c>
      <c r="N1723" t="s">
        <v>163</v>
      </c>
      <c r="O1723" s="4" t="s">
        <v>2609</v>
      </c>
      <c r="P1723">
        <v>0</v>
      </c>
      <c r="Q1723" s="24">
        <v>120.5</v>
      </c>
      <c r="R1723" s="25">
        <v>172.5</v>
      </c>
      <c r="S1723" s="26">
        <v>101</v>
      </c>
    </row>
    <row r="1724" spans="1:19" ht="14.25" x14ac:dyDescent="0.2">
      <c r="A1724" s="12">
        <v>30941</v>
      </c>
      <c r="B1724" s="13">
        <f t="shared" si="323"/>
        <v>34</v>
      </c>
      <c r="C1724" s="15">
        <f t="shared" si="324"/>
        <v>24</v>
      </c>
      <c r="D1724" s="14">
        <f t="shared" si="325"/>
        <v>20</v>
      </c>
      <c r="E1724" t="s">
        <v>2777</v>
      </c>
      <c r="F1724" t="s">
        <v>2834</v>
      </c>
      <c r="G1724" t="s">
        <v>2779</v>
      </c>
      <c r="H1724" t="s">
        <v>2779</v>
      </c>
      <c r="I1724" t="s">
        <v>2780</v>
      </c>
      <c r="J1724" s="4" t="s">
        <v>2846</v>
      </c>
      <c r="K1724" t="s">
        <v>168</v>
      </c>
      <c r="L1724" t="s">
        <v>163</v>
      </c>
      <c r="M1724" t="s">
        <v>163</v>
      </c>
      <c r="N1724" t="s">
        <v>163</v>
      </c>
      <c r="O1724" s="4" t="s">
        <v>2611</v>
      </c>
      <c r="P1724">
        <v>0</v>
      </c>
      <c r="Q1724" s="24">
        <v>120.8</v>
      </c>
      <c r="R1724" s="25">
        <v>173</v>
      </c>
      <c r="S1724" s="26">
        <v>101.3</v>
      </c>
    </row>
    <row r="1725" spans="1:19" ht="14.25" x14ac:dyDescent="0.2">
      <c r="A1725" s="12">
        <v>30942</v>
      </c>
      <c r="B1725" s="13">
        <f t="shared" si="323"/>
        <v>34</v>
      </c>
      <c r="C1725" s="15">
        <f t="shared" si="324"/>
        <v>24</v>
      </c>
      <c r="D1725" s="14">
        <f t="shared" si="325"/>
        <v>20</v>
      </c>
      <c r="E1725" t="s">
        <v>2777</v>
      </c>
      <c r="F1725" t="s">
        <v>2835</v>
      </c>
      <c r="G1725" t="s">
        <v>2779</v>
      </c>
      <c r="H1725" t="s">
        <v>2779</v>
      </c>
      <c r="I1725" t="s">
        <v>2780</v>
      </c>
      <c r="J1725" s="4" t="s">
        <v>2846</v>
      </c>
      <c r="K1725" t="s">
        <v>175</v>
      </c>
      <c r="L1725" t="s">
        <v>164</v>
      </c>
      <c r="M1725" t="s">
        <v>163</v>
      </c>
      <c r="N1725" t="s">
        <v>167</v>
      </c>
      <c r="O1725" s="4" t="s">
        <v>2613</v>
      </c>
      <c r="P1725">
        <v>0</v>
      </c>
      <c r="Q1725" s="24">
        <v>120.8</v>
      </c>
      <c r="R1725" s="25">
        <v>173</v>
      </c>
      <c r="S1725" s="26">
        <v>101.3</v>
      </c>
    </row>
    <row r="1726" spans="1:19" ht="14.25" x14ac:dyDescent="0.2">
      <c r="A1726" s="12">
        <v>30943</v>
      </c>
      <c r="B1726" s="13">
        <f t="shared" si="323"/>
        <v>34</v>
      </c>
      <c r="C1726" s="15">
        <f t="shared" si="324"/>
        <v>24</v>
      </c>
      <c r="D1726" s="14">
        <f t="shared" si="325"/>
        <v>20</v>
      </c>
      <c r="E1726" t="s">
        <v>2777</v>
      </c>
      <c r="F1726" t="s">
        <v>2836</v>
      </c>
      <c r="G1726" t="s">
        <v>2779</v>
      </c>
      <c r="H1726" t="s">
        <v>2779</v>
      </c>
      <c r="I1726" t="s">
        <v>2780</v>
      </c>
      <c r="J1726" s="4" t="s">
        <v>2846</v>
      </c>
      <c r="K1726" t="s">
        <v>179</v>
      </c>
      <c r="L1726" t="s">
        <v>163</v>
      </c>
      <c r="M1726" t="s">
        <v>163</v>
      </c>
      <c r="N1726" t="s">
        <v>163</v>
      </c>
      <c r="O1726" s="4" t="s">
        <v>2615</v>
      </c>
      <c r="P1726">
        <v>0</v>
      </c>
      <c r="Q1726" s="24">
        <v>120.8</v>
      </c>
      <c r="R1726" s="25">
        <v>173</v>
      </c>
      <c r="S1726" s="26">
        <v>101.3</v>
      </c>
    </row>
    <row r="1727" spans="1:19" ht="14.25" x14ac:dyDescent="0.2">
      <c r="A1727" s="12">
        <v>30944</v>
      </c>
      <c r="B1727" s="13">
        <f t="shared" si="323"/>
        <v>34</v>
      </c>
      <c r="C1727" s="15">
        <f t="shared" si="324"/>
        <v>24</v>
      </c>
      <c r="D1727" s="14">
        <f t="shared" si="325"/>
        <v>20</v>
      </c>
      <c r="E1727" t="s">
        <v>2777</v>
      </c>
      <c r="F1727" t="s">
        <v>2837</v>
      </c>
      <c r="G1727" t="s">
        <v>2779</v>
      </c>
      <c r="H1727" t="s">
        <v>2779</v>
      </c>
      <c r="I1727" t="s">
        <v>2780</v>
      </c>
      <c r="J1727" s="4" t="s">
        <v>2846</v>
      </c>
      <c r="K1727" t="s">
        <v>177</v>
      </c>
      <c r="L1727" t="s">
        <v>163</v>
      </c>
      <c r="M1727" t="s">
        <v>163</v>
      </c>
      <c r="N1727" t="s">
        <v>163</v>
      </c>
      <c r="O1727" s="4" t="s">
        <v>2615</v>
      </c>
      <c r="P1727">
        <v>0</v>
      </c>
      <c r="Q1727" s="24">
        <v>120.8</v>
      </c>
      <c r="R1727" s="25">
        <v>173</v>
      </c>
      <c r="S1727" s="26">
        <v>101.3</v>
      </c>
    </row>
    <row r="1728" spans="1:19" ht="14.25" x14ac:dyDescent="0.2">
      <c r="A1728" s="12">
        <v>30945</v>
      </c>
      <c r="B1728" s="13">
        <f t="shared" si="323"/>
        <v>34</v>
      </c>
      <c r="C1728" s="15">
        <f t="shared" si="324"/>
        <v>24</v>
      </c>
      <c r="D1728" s="14">
        <f t="shared" si="325"/>
        <v>20</v>
      </c>
      <c r="E1728" t="s">
        <v>2785</v>
      </c>
      <c r="F1728" t="s">
        <v>2786</v>
      </c>
      <c r="G1728" t="s">
        <v>2833</v>
      </c>
      <c r="H1728" t="s">
        <v>2829</v>
      </c>
      <c r="I1728" t="s">
        <v>2697</v>
      </c>
      <c r="J1728" s="4" t="s">
        <v>2884</v>
      </c>
      <c r="K1728" t="s">
        <v>174</v>
      </c>
      <c r="L1728" t="s">
        <v>163</v>
      </c>
      <c r="M1728" t="s">
        <v>163</v>
      </c>
      <c r="N1728" t="s">
        <v>163</v>
      </c>
      <c r="O1728" s="4" t="s">
        <v>2617</v>
      </c>
      <c r="P1728">
        <v>0</v>
      </c>
      <c r="Q1728" s="24">
        <v>120.8</v>
      </c>
      <c r="R1728" s="25">
        <v>173</v>
      </c>
      <c r="S1728" s="26">
        <v>101.3</v>
      </c>
    </row>
    <row r="1729" spans="1:19" ht="14.25" x14ac:dyDescent="0.2">
      <c r="A1729" s="12">
        <v>30946</v>
      </c>
      <c r="B1729" s="13">
        <f t="shared" si="323"/>
        <v>34</v>
      </c>
      <c r="C1729" s="15">
        <f t="shared" si="324"/>
        <v>24</v>
      </c>
      <c r="D1729" s="14">
        <f t="shared" si="325"/>
        <v>20</v>
      </c>
      <c r="E1729" t="s">
        <v>2777</v>
      </c>
      <c r="F1729" t="s">
        <v>2834</v>
      </c>
      <c r="G1729" t="s">
        <v>2779</v>
      </c>
      <c r="H1729" t="s">
        <v>2779</v>
      </c>
      <c r="I1729" t="s">
        <v>2780</v>
      </c>
      <c r="J1729" s="4" t="s">
        <v>2846</v>
      </c>
      <c r="K1729" t="s">
        <v>182</v>
      </c>
      <c r="L1729" t="s">
        <v>163</v>
      </c>
      <c r="M1729" t="s">
        <v>163</v>
      </c>
      <c r="N1729" t="s">
        <v>163</v>
      </c>
      <c r="O1729" s="4" t="s">
        <v>2619</v>
      </c>
      <c r="P1729">
        <v>0</v>
      </c>
      <c r="Q1729" s="24">
        <v>121.2</v>
      </c>
      <c r="R1729" s="25">
        <v>173.5</v>
      </c>
      <c r="S1729" s="26">
        <v>101.5</v>
      </c>
    </row>
    <row r="1730" spans="1:19" ht="14.25" x14ac:dyDescent="0.2">
      <c r="A1730" s="12">
        <v>30947</v>
      </c>
      <c r="B1730" s="13">
        <f t="shared" si="323"/>
        <v>34</v>
      </c>
      <c r="C1730" s="15">
        <f t="shared" si="324"/>
        <v>24</v>
      </c>
      <c r="D1730" s="14">
        <f t="shared" si="325"/>
        <v>20</v>
      </c>
      <c r="E1730" t="s">
        <v>2777</v>
      </c>
      <c r="F1730" t="s">
        <v>2835</v>
      </c>
      <c r="G1730" t="s">
        <v>2779</v>
      </c>
      <c r="H1730" t="s">
        <v>2779</v>
      </c>
      <c r="I1730" t="s">
        <v>2780</v>
      </c>
      <c r="J1730" s="4" t="s">
        <v>2846</v>
      </c>
      <c r="K1730" t="s">
        <v>162</v>
      </c>
      <c r="L1730" t="s">
        <v>163</v>
      </c>
      <c r="M1730" t="s">
        <v>163</v>
      </c>
      <c r="N1730" t="s">
        <v>163</v>
      </c>
      <c r="O1730" s="4" t="s">
        <v>2619</v>
      </c>
      <c r="P1730">
        <v>0</v>
      </c>
      <c r="Q1730" s="24">
        <v>121.2</v>
      </c>
      <c r="R1730" s="25">
        <v>173.5</v>
      </c>
      <c r="S1730" s="26">
        <v>101.5</v>
      </c>
    </row>
    <row r="1731" spans="1:19" ht="14.25" x14ac:dyDescent="0.2">
      <c r="A1731" s="12">
        <v>30948</v>
      </c>
      <c r="B1731" s="13">
        <f t="shared" si="323"/>
        <v>34</v>
      </c>
      <c r="C1731" s="15">
        <f t="shared" si="324"/>
        <v>24</v>
      </c>
      <c r="D1731" s="14">
        <f t="shared" si="325"/>
        <v>20</v>
      </c>
      <c r="E1731" t="s">
        <v>2777</v>
      </c>
      <c r="F1731" t="s">
        <v>2836</v>
      </c>
      <c r="G1731" t="s">
        <v>2779</v>
      </c>
      <c r="H1731" t="s">
        <v>2779</v>
      </c>
      <c r="I1731" t="s">
        <v>2780</v>
      </c>
      <c r="J1731" s="4" t="s">
        <v>2846</v>
      </c>
      <c r="K1731" t="s">
        <v>177</v>
      </c>
      <c r="L1731" t="s">
        <v>163</v>
      </c>
      <c r="M1731" t="s">
        <v>163</v>
      </c>
      <c r="N1731" t="s">
        <v>163</v>
      </c>
      <c r="O1731" s="4" t="s">
        <v>2621</v>
      </c>
      <c r="P1731">
        <v>0</v>
      </c>
      <c r="Q1731" s="24">
        <v>121.2</v>
      </c>
      <c r="R1731" s="25">
        <v>173.5</v>
      </c>
      <c r="S1731" s="26">
        <v>101.5</v>
      </c>
    </row>
    <row r="1732" spans="1:19" ht="14.25" x14ac:dyDescent="0.2">
      <c r="A1732" s="12">
        <v>30949</v>
      </c>
      <c r="B1732" s="13">
        <f t="shared" si="323"/>
        <v>34</v>
      </c>
      <c r="C1732" s="15">
        <f t="shared" si="324"/>
        <v>24</v>
      </c>
      <c r="D1732" s="14">
        <f t="shared" si="325"/>
        <v>20</v>
      </c>
      <c r="E1732" t="s">
        <v>2777</v>
      </c>
      <c r="F1732" t="s">
        <v>2837</v>
      </c>
      <c r="G1732" t="s">
        <v>2779</v>
      </c>
      <c r="H1732" t="s">
        <v>2779</v>
      </c>
      <c r="I1732" t="s">
        <v>2780</v>
      </c>
      <c r="J1732" s="4" t="s">
        <v>2846</v>
      </c>
      <c r="K1732" t="s">
        <v>174</v>
      </c>
      <c r="L1732" t="s">
        <v>163</v>
      </c>
      <c r="M1732" t="s">
        <v>163</v>
      </c>
      <c r="N1732" t="s">
        <v>163</v>
      </c>
      <c r="O1732" s="4" t="s">
        <v>2623</v>
      </c>
      <c r="P1732">
        <v>0</v>
      </c>
      <c r="Q1732" s="24">
        <v>121.2</v>
      </c>
      <c r="R1732" s="25">
        <v>173.5</v>
      </c>
      <c r="S1732" s="26">
        <v>101.5</v>
      </c>
    </row>
    <row r="1733" spans="1:19" ht="14.25" x14ac:dyDescent="0.2">
      <c r="A1733" s="12">
        <v>30950</v>
      </c>
      <c r="B1733" s="13">
        <f t="shared" ref="B1733:B1783" si="326">FLOOR(R1731/5,1)</f>
        <v>34</v>
      </c>
      <c r="C1733" s="15">
        <f t="shared" ref="C1733:C1783" si="327">FLOOR(Q1731/5,1)</f>
        <v>24</v>
      </c>
      <c r="D1733" s="14">
        <f t="shared" ref="D1733:D1783" si="328">FLOOR(S1731/5,1)</f>
        <v>20</v>
      </c>
      <c r="E1733" t="s">
        <v>2785</v>
      </c>
      <c r="F1733" t="s">
        <v>2786</v>
      </c>
      <c r="G1733" t="s">
        <v>2828</v>
      </c>
      <c r="H1733" t="s">
        <v>2829</v>
      </c>
      <c r="I1733" t="s">
        <v>2697</v>
      </c>
      <c r="J1733" s="4" t="s">
        <v>2884</v>
      </c>
      <c r="K1733" t="s">
        <v>166</v>
      </c>
      <c r="L1733" t="s">
        <v>163</v>
      </c>
      <c r="M1733" t="s">
        <v>163</v>
      </c>
      <c r="N1733" t="s">
        <v>163</v>
      </c>
      <c r="O1733" s="4" t="s">
        <v>2623</v>
      </c>
      <c r="P1733">
        <v>0</v>
      </c>
      <c r="Q1733" s="24">
        <v>121.2</v>
      </c>
      <c r="R1733" s="25">
        <v>173.5</v>
      </c>
      <c r="S1733" s="26">
        <v>101.5</v>
      </c>
    </row>
    <row r="1734" spans="1:19" ht="14.25" x14ac:dyDescent="0.2">
      <c r="A1734" s="12">
        <v>31001</v>
      </c>
      <c r="B1734" s="13">
        <f t="shared" si="326"/>
        <v>34</v>
      </c>
      <c r="C1734" s="15">
        <f t="shared" si="327"/>
        <v>24</v>
      </c>
      <c r="D1734" s="14">
        <f t="shared" si="328"/>
        <v>20</v>
      </c>
      <c r="E1734" t="s">
        <v>2777</v>
      </c>
      <c r="F1734" t="s">
        <v>2834</v>
      </c>
      <c r="G1734" t="s">
        <v>2779</v>
      </c>
      <c r="H1734" t="s">
        <v>2779</v>
      </c>
      <c r="I1734" t="s">
        <v>2780</v>
      </c>
      <c r="J1734" s="4" t="s">
        <v>2846</v>
      </c>
      <c r="K1734" t="s">
        <v>168</v>
      </c>
      <c r="L1734" t="s">
        <v>163</v>
      </c>
      <c r="M1734" t="s">
        <v>163</v>
      </c>
      <c r="N1734" t="s">
        <v>163</v>
      </c>
      <c r="O1734" s="4" t="s">
        <v>2625</v>
      </c>
      <c r="P1734">
        <v>0</v>
      </c>
      <c r="Q1734" s="24">
        <v>121.5</v>
      </c>
      <c r="R1734" s="25">
        <v>174</v>
      </c>
      <c r="S1734" s="26">
        <v>101.8</v>
      </c>
    </row>
    <row r="1735" spans="1:19" ht="14.25" x14ac:dyDescent="0.2">
      <c r="A1735" s="12">
        <v>31002</v>
      </c>
      <c r="B1735" s="13">
        <f t="shared" si="326"/>
        <v>34</v>
      </c>
      <c r="C1735" s="15">
        <f t="shared" si="327"/>
        <v>24</v>
      </c>
      <c r="D1735" s="14">
        <f t="shared" si="328"/>
        <v>20</v>
      </c>
      <c r="E1735" t="s">
        <v>2777</v>
      </c>
      <c r="F1735" t="s">
        <v>2835</v>
      </c>
      <c r="G1735" t="s">
        <v>2779</v>
      </c>
      <c r="H1735" t="s">
        <v>2779</v>
      </c>
      <c r="I1735" t="s">
        <v>2780</v>
      </c>
      <c r="J1735" s="4" t="s">
        <v>2846</v>
      </c>
      <c r="K1735" t="s">
        <v>175</v>
      </c>
      <c r="L1735" t="s">
        <v>164</v>
      </c>
      <c r="M1735" t="s">
        <v>163</v>
      </c>
      <c r="N1735" t="s">
        <v>167</v>
      </c>
      <c r="O1735" s="4" t="s">
        <v>2627</v>
      </c>
      <c r="P1735">
        <v>0</v>
      </c>
      <c r="Q1735" s="24">
        <v>121.5</v>
      </c>
      <c r="R1735" s="25">
        <v>174</v>
      </c>
      <c r="S1735" s="26">
        <v>101.8</v>
      </c>
    </row>
    <row r="1736" spans="1:19" ht="14.25" x14ac:dyDescent="0.2">
      <c r="A1736" s="12">
        <v>31003</v>
      </c>
      <c r="B1736" s="13">
        <f t="shared" si="326"/>
        <v>34</v>
      </c>
      <c r="C1736" s="15">
        <f t="shared" si="327"/>
        <v>24</v>
      </c>
      <c r="D1736" s="14">
        <f t="shared" si="328"/>
        <v>20</v>
      </c>
      <c r="E1736" t="s">
        <v>2777</v>
      </c>
      <c r="F1736" t="s">
        <v>2836</v>
      </c>
      <c r="G1736" t="s">
        <v>2779</v>
      </c>
      <c r="H1736" t="s">
        <v>2779</v>
      </c>
      <c r="I1736" t="s">
        <v>2780</v>
      </c>
      <c r="J1736" s="4" t="s">
        <v>2846</v>
      </c>
      <c r="K1736" t="s">
        <v>179</v>
      </c>
      <c r="L1736" t="s">
        <v>163</v>
      </c>
      <c r="M1736" t="s">
        <v>163</v>
      </c>
      <c r="N1736" t="s">
        <v>163</v>
      </c>
      <c r="O1736" s="4" t="s">
        <v>2629</v>
      </c>
      <c r="P1736">
        <v>0</v>
      </c>
      <c r="Q1736" s="24">
        <v>121.5</v>
      </c>
      <c r="R1736" s="25">
        <v>174</v>
      </c>
      <c r="S1736" s="26">
        <v>101.8</v>
      </c>
    </row>
    <row r="1737" spans="1:19" ht="14.25" x14ac:dyDescent="0.2">
      <c r="A1737" s="12">
        <v>31004</v>
      </c>
      <c r="B1737" s="13">
        <f t="shared" si="326"/>
        <v>34</v>
      </c>
      <c r="C1737" s="15">
        <f t="shared" si="327"/>
        <v>24</v>
      </c>
      <c r="D1737" s="14">
        <f t="shared" si="328"/>
        <v>20</v>
      </c>
      <c r="E1737" t="s">
        <v>2777</v>
      </c>
      <c r="F1737" t="s">
        <v>2837</v>
      </c>
      <c r="G1737" t="s">
        <v>2779</v>
      </c>
      <c r="H1737" t="s">
        <v>2779</v>
      </c>
      <c r="I1737" t="s">
        <v>2780</v>
      </c>
      <c r="J1737" s="4" t="s">
        <v>2846</v>
      </c>
      <c r="K1737" t="s">
        <v>177</v>
      </c>
      <c r="L1737" t="s">
        <v>163</v>
      </c>
      <c r="M1737" t="s">
        <v>163</v>
      </c>
      <c r="N1737" t="s">
        <v>163</v>
      </c>
      <c r="O1737" s="4" t="s">
        <v>2629</v>
      </c>
      <c r="P1737">
        <v>0</v>
      </c>
      <c r="Q1737" s="24">
        <v>121.5</v>
      </c>
      <c r="R1737" s="25">
        <v>174</v>
      </c>
      <c r="S1737" s="26">
        <v>101.8</v>
      </c>
    </row>
    <row r="1738" spans="1:19" ht="14.25" x14ac:dyDescent="0.2">
      <c r="A1738" s="12">
        <v>31005</v>
      </c>
      <c r="B1738" s="13">
        <f t="shared" si="326"/>
        <v>34</v>
      </c>
      <c r="C1738" s="15">
        <f t="shared" si="327"/>
        <v>24</v>
      </c>
      <c r="D1738" s="14">
        <f t="shared" si="328"/>
        <v>20</v>
      </c>
      <c r="E1738" t="s">
        <v>2785</v>
      </c>
      <c r="F1738" t="s">
        <v>2786</v>
      </c>
      <c r="G1738" t="s">
        <v>2830</v>
      </c>
      <c r="H1738" t="s">
        <v>2829</v>
      </c>
      <c r="I1738" t="s">
        <v>2697</v>
      </c>
      <c r="J1738" s="4" t="s">
        <v>2866</v>
      </c>
      <c r="K1738" t="s">
        <v>174</v>
      </c>
      <c r="L1738" t="s">
        <v>163</v>
      </c>
      <c r="M1738" t="s">
        <v>163</v>
      </c>
      <c r="N1738" t="s">
        <v>163</v>
      </c>
      <c r="O1738" s="4" t="s">
        <v>2631</v>
      </c>
      <c r="P1738">
        <v>0</v>
      </c>
      <c r="Q1738" s="24">
        <v>121.5</v>
      </c>
      <c r="R1738" s="25">
        <v>174</v>
      </c>
      <c r="S1738" s="26">
        <v>101.8</v>
      </c>
    </row>
    <row r="1739" spans="1:19" ht="14.25" x14ac:dyDescent="0.2">
      <c r="A1739" s="12">
        <v>31006</v>
      </c>
      <c r="B1739" s="13">
        <f t="shared" si="326"/>
        <v>34</v>
      </c>
      <c r="C1739" s="15">
        <f t="shared" si="327"/>
        <v>24</v>
      </c>
      <c r="D1739" s="14">
        <f t="shared" si="328"/>
        <v>20</v>
      </c>
      <c r="E1739" t="s">
        <v>2777</v>
      </c>
      <c r="F1739" t="s">
        <v>2834</v>
      </c>
      <c r="G1739" t="s">
        <v>2779</v>
      </c>
      <c r="H1739" t="s">
        <v>2779</v>
      </c>
      <c r="I1739" t="s">
        <v>2780</v>
      </c>
      <c r="J1739" s="4" t="s">
        <v>2846</v>
      </c>
      <c r="K1739" t="s">
        <v>182</v>
      </c>
      <c r="L1739" t="s">
        <v>163</v>
      </c>
      <c r="M1739" t="s">
        <v>163</v>
      </c>
      <c r="N1739" t="s">
        <v>163</v>
      </c>
      <c r="O1739" s="4" t="s">
        <v>2633</v>
      </c>
      <c r="P1739">
        <v>0</v>
      </c>
      <c r="Q1739" s="24">
        <v>121.8</v>
      </c>
      <c r="R1739" s="25">
        <v>174.5</v>
      </c>
      <c r="S1739" s="26">
        <v>102</v>
      </c>
    </row>
    <row r="1740" spans="1:19" ht="14.25" x14ac:dyDescent="0.2">
      <c r="A1740" s="12">
        <v>31007</v>
      </c>
      <c r="B1740" s="13">
        <f t="shared" si="326"/>
        <v>34</v>
      </c>
      <c r="C1740" s="15">
        <f t="shared" si="327"/>
        <v>24</v>
      </c>
      <c r="D1740" s="14">
        <f t="shared" si="328"/>
        <v>20</v>
      </c>
      <c r="E1740" t="s">
        <v>2777</v>
      </c>
      <c r="F1740" t="s">
        <v>2835</v>
      </c>
      <c r="G1740" t="s">
        <v>2779</v>
      </c>
      <c r="H1740" t="s">
        <v>2779</v>
      </c>
      <c r="I1740" t="s">
        <v>2780</v>
      </c>
      <c r="J1740" s="4" t="s">
        <v>2846</v>
      </c>
      <c r="K1740" t="s">
        <v>162</v>
      </c>
      <c r="L1740" t="s">
        <v>163</v>
      </c>
      <c r="M1740" t="s">
        <v>163</v>
      </c>
      <c r="N1740" t="s">
        <v>163</v>
      </c>
      <c r="O1740" s="4" t="s">
        <v>2633</v>
      </c>
      <c r="P1740">
        <v>0</v>
      </c>
      <c r="Q1740" s="24">
        <v>121.8</v>
      </c>
      <c r="R1740" s="25">
        <v>174.5</v>
      </c>
      <c r="S1740" s="26">
        <v>102</v>
      </c>
    </row>
    <row r="1741" spans="1:19" ht="14.25" x14ac:dyDescent="0.2">
      <c r="A1741" s="12">
        <v>31008</v>
      </c>
      <c r="B1741" s="13">
        <f t="shared" si="326"/>
        <v>34</v>
      </c>
      <c r="C1741" s="15">
        <f t="shared" si="327"/>
        <v>24</v>
      </c>
      <c r="D1741" s="14">
        <f t="shared" si="328"/>
        <v>20</v>
      </c>
      <c r="E1741" t="s">
        <v>2777</v>
      </c>
      <c r="F1741" t="s">
        <v>2836</v>
      </c>
      <c r="G1741" t="s">
        <v>2779</v>
      </c>
      <c r="H1741" t="s">
        <v>2779</v>
      </c>
      <c r="I1741" t="s">
        <v>2780</v>
      </c>
      <c r="J1741" s="4" t="s">
        <v>2846</v>
      </c>
      <c r="K1741" t="s">
        <v>177</v>
      </c>
      <c r="L1741" t="s">
        <v>163</v>
      </c>
      <c r="M1741" t="s">
        <v>163</v>
      </c>
      <c r="N1741" t="s">
        <v>163</v>
      </c>
      <c r="O1741" s="4" t="s">
        <v>2635</v>
      </c>
      <c r="P1741">
        <v>0</v>
      </c>
      <c r="Q1741" s="24">
        <v>121.8</v>
      </c>
      <c r="R1741" s="25">
        <v>174.5</v>
      </c>
      <c r="S1741" s="26">
        <v>102</v>
      </c>
    </row>
    <row r="1742" spans="1:19" ht="14.25" x14ac:dyDescent="0.2">
      <c r="A1742" s="12">
        <v>31009</v>
      </c>
      <c r="B1742" s="13">
        <f t="shared" si="326"/>
        <v>34</v>
      </c>
      <c r="C1742" s="15">
        <f t="shared" si="327"/>
        <v>24</v>
      </c>
      <c r="D1742" s="14">
        <f t="shared" si="328"/>
        <v>20</v>
      </c>
      <c r="E1742" t="s">
        <v>2777</v>
      </c>
      <c r="F1742" t="s">
        <v>2837</v>
      </c>
      <c r="G1742" t="s">
        <v>2779</v>
      </c>
      <c r="H1742" t="s">
        <v>2779</v>
      </c>
      <c r="I1742" t="s">
        <v>2780</v>
      </c>
      <c r="J1742" s="4" t="s">
        <v>2846</v>
      </c>
      <c r="K1742" t="s">
        <v>174</v>
      </c>
      <c r="L1742" t="s">
        <v>163</v>
      </c>
      <c r="M1742" t="s">
        <v>163</v>
      </c>
      <c r="N1742" t="s">
        <v>163</v>
      </c>
      <c r="O1742" s="4" t="s">
        <v>2637</v>
      </c>
      <c r="P1742">
        <v>0</v>
      </c>
      <c r="Q1742" s="24">
        <v>121.8</v>
      </c>
      <c r="R1742" s="25">
        <v>174.5</v>
      </c>
      <c r="S1742" s="26">
        <v>102</v>
      </c>
    </row>
    <row r="1743" spans="1:19" ht="14.25" x14ac:dyDescent="0.2">
      <c r="A1743" s="12">
        <v>31010</v>
      </c>
      <c r="B1743" s="13">
        <f t="shared" si="326"/>
        <v>34</v>
      </c>
      <c r="C1743" s="15">
        <f t="shared" si="327"/>
        <v>24</v>
      </c>
      <c r="D1743" s="14">
        <f t="shared" si="328"/>
        <v>20</v>
      </c>
      <c r="E1743" t="s">
        <v>2785</v>
      </c>
      <c r="F1743" t="s">
        <v>2786</v>
      </c>
      <c r="G1743" t="s">
        <v>2831</v>
      </c>
      <c r="H1743" t="s">
        <v>2829</v>
      </c>
      <c r="I1743" t="s">
        <v>2697</v>
      </c>
      <c r="J1743" s="4" t="s">
        <v>2866</v>
      </c>
      <c r="K1743" t="s">
        <v>166</v>
      </c>
      <c r="L1743" t="s">
        <v>163</v>
      </c>
      <c r="M1743" t="s">
        <v>163</v>
      </c>
      <c r="N1743" t="s">
        <v>163</v>
      </c>
      <c r="O1743" s="4" t="s">
        <v>2637</v>
      </c>
      <c r="P1743">
        <v>0</v>
      </c>
      <c r="Q1743" s="24">
        <v>121.8</v>
      </c>
      <c r="R1743" s="25">
        <v>174.5</v>
      </c>
      <c r="S1743" s="26">
        <v>102</v>
      </c>
    </row>
    <row r="1744" spans="1:19" ht="14.25" x14ac:dyDescent="0.2">
      <c r="A1744" s="12">
        <v>31011</v>
      </c>
      <c r="B1744" s="13">
        <f t="shared" si="326"/>
        <v>34</v>
      </c>
      <c r="C1744" s="15">
        <f t="shared" si="327"/>
        <v>24</v>
      </c>
      <c r="D1744" s="14">
        <f t="shared" si="328"/>
        <v>20</v>
      </c>
      <c r="E1744" t="s">
        <v>2777</v>
      </c>
      <c r="F1744" t="s">
        <v>2834</v>
      </c>
      <c r="G1744" t="s">
        <v>2779</v>
      </c>
      <c r="H1744" t="s">
        <v>2779</v>
      </c>
      <c r="I1744" t="s">
        <v>2780</v>
      </c>
      <c r="J1744" s="4" t="s">
        <v>2846</v>
      </c>
      <c r="K1744" t="s">
        <v>168</v>
      </c>
      <c r="L1744" t="s">
        <v>163</v>
      </c>
      <c r="M1744" t="s">
        <v>163</v>
      </c>
      <c r="N1744" t="s">
        <v>163</v>
      </c>
      <c r="O1744" s="4" t="s">
        <v>2639</v>
      </c>
      <c r="P1744">
        <v>0</v>
      </c>
      <c r="Q1744" s="24">
        <v>122.2</v>
      </c>
      <c r="R1744" s="25">
        <v>175</v>
      </c>
      <c r="S1744" s="26">
        <v>102.3</v>
      </c>
    </row>
    <row r="1745" spans="1:19" ht="14.25" x14ac:dyDescent="0.2">
      <c r="A1745" s="12">
        <v>31012</v>
      </c>
      <c r="B1745" s="13">
        <f t="shared" si="326"/>
        <v>34</v>
      </c>
      <c r="C1745" s="15">
        <f t="shared" si="327"/>
        <v>24</v>
      </c>
      <c r="D1745" s="14">
        <f t="shared" si="328"/>
        <v>20</v>
      </c>
      <c r="E1745" t="s">
        <v>2777</v>
      </c>
      <c r="F1745" t="s">
        <v>2835</v>
      </c>
      <c r="G1745" t="s">
        <v>2779</v>
      </c>
      <c r="H1745" t="s">
        <v>2779</v>
      </c>
      <c r="I1745" t="s">
        <v>2780</v>
      </c>
      <c r="J1745" s="4" t="s">
        <v>2846</v>
      </c>
      <c r="K1745" t="s">
        <v>175</v>
      </c>
      <c r="L1745" t="s">
        <v>164</v>
      </c>
      <c r="M1745" t="s">
        <v>163</v>
      </c>
      <c r="N1745" t="s">
        <v>167</v>
      </c>
      <c r="O1745" s="4" t="s">
        <v>2641</v>
      </c>
      <c r="P1745">
        <v>0</v>
      </c>
      <c r="Q1745" s="24">
        <v>122.2</v>
      </c>
      <c r="R1745" s="25">
        <v>175</v>
      </c>
      <c r="S1745" s="26">
        <v>102.3</v>
      </c>
    </row>
    <row r="1746" spans="1:19" ht="14.25" x14ac:dyDescent="0.2">
      <c r="A1746" s="12">
        <v>31013</v>
      </c>
      <c r="B1746" s="13">
        <f t="shared" si="326"/>
        <v>35</v>
      </c>
      <c r="C1746" s="15">
        <f t="shared" si="327"/>
        <v>24</v>
      </c>
      <c r="D1746" s="14">
        <f t="shared" si="328"/>
        <v>20</v>
      </c>
      <c r="E1746" t="s">
        <v>2777</v>
      </c>
      <c r="F1746" t="s">
        <v>2836</v>
      </c>
      <c r="G1746" t="s">
        <v>2779</v>
      </c>
      <c r="H1746" t="s">
        <v>2779</v>
      </c>
      <c r="I1746" t="s">
        <v>2780</v>
      </c>
      <c r="J1746" s="4" t="s">
        <v>2846</v>
      </c>
      <c r="K1746" t="s">
        <v>179</v>
      </c>
      <c r="L1746" t="s">
        <v>163</v>
      </c>
      <c r="M1746" t="s">
        <v>163</v>
      </c>
      <c r="N1746" t="s">
        <v>163</v>
      </c>
      <c r="O1746" s="4" t="s">
        <v>2643</v>
      </c>
      <c r="P1746">
        <v>0</v>
      </c>
      <c r="Q1746" s="24">
        <v>122.2</v>
      </c>
      <c r="R1746" s="25">
        <v>175</v>
      </c>
      <c r="S1746" s="26">
        <v>102.3</v>
      </c>
    </row>
    <row r="1747" spans="1:19" ht="14.25" x14ac:dyDescent="0.2">
      <c r="A1747" s="12">
        <v>31014</v>
      </c>
      <c r="B1747" s="13">
        <f t="shared" si="326"/>
        <v>35</v>
      </c>
      <c r="C1747" s="15">
        <f t="shared" si="327"/>
        <v>24</v>
      </c>
      <c r="D1747" s="14">
        <f t="shared" si="328"/>
        <v>20</v>
      </c>
      <c r="E1747" t="s">
        <v>2777</v>
      </c>
      <c r="F1747" t="s">
        <v>2837</v>
      </c>
      <c r="G1747" t="s">
        <v>2779</v>
      </c>
      <c r="H1747" t="s">
        <v>2779</v>
      </c>
      <c r="I1747" t="s">
        <v>2780</v>
      </c>
      <c r="J1747" s="4" t="s">
        <v>2846</v>
      </c>
      <c r="K1747" t="s">
        <v>177</v>
      </c>
      <c r="L1747" t="s">
        <v>163</v>
      </c>
      <c r="M1747" t="s">
        <v>163</v>
      </c>
      <c r="N1747" t="s">
        <v>163</v>
      </c>
      <c r="O1747" s="4" t="s">
        <v>2643</v>
      </c>
      <c r="P1747">
        <v>0</v>
      </c>
      <c r="Q1747" s="24">
        <v>122.2</v>
      </c>
      <c r="R1747" s="25">
        <v>175</v>
      </c>
      <c r="S1747" s="26">
        <v>102.3</v>
      </c>
    </row>
    <row r="1748" spans="1:19" ht="14.25" x14ac:dyDescent="0.2">
      <c r="A1748" s="12">
        <v>31015</v>
      </c>
      <c r="B1748" s="13">
        <f t="shared" si="326"/>
        <v>35</v>
      </c>
      <c r="C1748" s="15">
        <f t="shared" si="327"/>
        <v>24</v>
      </c>
      <c r="D1748" s="14">
        <f t="shared" si="328"/>
        <v>20</v>
      </c>
      <c r="E1748" t="s">
        <v>2785</v>
      </c>
      <c r="F1748" t="s">
        <v>2786</v>
      </c>
      <c r="G1748" t="s">
        <v>2832</v>
      </c>
      <c r="H1748" t="s">
        <v>2829</v>
      </c>
      <c r="I1748" t="s">
        <v>2697</v>
      </c>
      <c r="J1748" s="4" t="s">
        <v>2866</v>
      </c>
      <c r="K1748" t="s">
        <v>174</v>
      </c>
      <c r="L1748" t="s">
        <v>163</v>
      </c>
      <c r="M1748" t="s">
        <v>163</v>
      </c>
      <c r="N1748" t="s">
        <v>163</v>
      </c>
      <c r="O1748" s="4" t="s">
        <v>2645</v>
      </c>
      <c r="P1748">
        <v>0</v>
      </c>
      <c r="Q1748" s="24">
        <v>122.2</v>
      </c>
      <c r="R1748" s="25">
        <v>175</v>
      </c>
      <c r="S1748" s="26">
        <v>102.3</v>
      </c>
    </row>
    <row r="1749" spans="1:19" ht="14.25" x14ac:dyDescent="0.2">
      <c r="A1749" s="12">
        <v>31016</v>
      </c>
      <c r="B1749" s="13">
        <f t="shared" si="326"/>
        <v>35</v>
      </c>
      <c r="C1749" s="15">
        <f t="shared" si="327"/>
        <v>24</v>
      </c>
      <c r="D1749" s="14">
        <f t="shared" si="328"/>
        <v>20</v>
      </c>
      <c r="E1749" t="s">
        <v>2777</v>
      </c>
      <c r="F1749" t="s">
        <v>2834</v>
      </c>
      <c r="G1749" t="s">
        <v>2779</v>
      </c>
      <c r="H1749" t="s">
        <v>2779</v>
      </c>
      <c r="I1749" t="s">
        <v>2780</v>
      </c>
      <c r="J1749" s="4" t="s">
        <v>2846</v>
      </c>
      <c r="K1749" t="s">
        <v>182</v>
      </c>
      <c r="L1749" t="s">
        <v>163</v>
      </c>
      <c r="M1749" t="s">
        <v>163</v>
      </c>
      <c r="N1749" t="s">
        <v>163</v>
      </c>
      <c r="O1749" s="4" t="s">
        <v>2647</v>
      </c>
      <c r="P1749">
        <v>0</v>
      </c>
      <c r="Q1749" s="24">
        <v>122.5</v>
      </c>
      <c r="R1749" s="25">
        <v>175.5</v>
      </c>
      <c r="S1749" s="26">
        <v>102.5</v>
      </c>
    </row>
    <row r="1750" spans="1:19" ht="14.25" x14ac:dyDescent="0.2">
      <c r="A1750" s="12">
        <v>31017</v>
      </c>
      <c r="B1750" s="13">
        <f t="shared" si="326"/>
        <v>35</v>
      </c>
      <c r="C1750" s="15">
        <f t="shared" si="327"/>
        <v>24</v>
      </c>
      <c r="D1750" s="14">
        <f t="shared" si="328"/>
        <v>20</v>
      </c>
      <c r="E1750" t="s">
        <v>2777</v>
      </c>
      <c r="F1750" t="s">
        <v>2835</v>
      </c>
      <c r="G1750" t="s">
        <v>2779</v>
      </c>
      <c r="H1750" t="s">
        <v>2779</v>
      </c>
      <c r="I1750" t="s">
        <v>2780</v>
      </c>
      <c r="J1750" s="4" t="s">
        <v>2846</v>
      </c>
      <c r="K1750" t="s">
        <v>162</v>
      </c>
      <c r="L1750" t="s">
        <v>163</v>
      </c>
      <c r="M1750" t="s">
        <v>163</v>
      </c>
      <c r="N1750" t="s">
        <v>163</v>
      </c>
      <c r="O1750" s="4" t="s">
        <v>2647</v>
      </c>
      <c r="P1750">
        <v>0</v>
      </c>
      <c r="Q1750" s="24">
        <v>122.5</v>
      </c>
      <c r="R1750" s="25">
        <v>175.5</v>
      </c>
      <c r="S1750" s="26">
        <v>102.5</v>
      </c>
    </row>
    <row r="1751" spans="1:19" ht="14.25" x14ac:dyDescent="0.2">
      <c r="A1751" s="12">
        <v>31018</v>
      </c>
      <c r="B1751" s="13">
        <f t="shared" si="326"/>
        <v>35</v>
      </c>
      <c r="C1751" s="15">
        <f t="shared" si="327"/>
        <v>24</v>
      </c>
      <c r="D1751" s="14">
        <f t="shared" si="328"/>
        <v>20</v>
      </c>
      <c r="E1751" t="s">
        <v>2777</v>
      </c>
      <c r="F1751" t="s">
        <v>2836</v>
      </c>
      <c r="G1751" t="s">
        <v>2779</v>
      </c>
      <c r="H1751" t="s">
        <v>2779</v>
      </c>
      <c r="I1751" t="s">
        <v>2780</v>
      </c>
      <c r="J1751" s="4" t="s">
        <v>2846</v>
      </c>
      <c r="K1751" t="s">
        <v>177</v>
      </c>
      <c r="L1751" t="s">
        <v>163</v>
      </c>
      <c r="M1751" t="s">
        <v>163</v>
      </c>
      <c r="N1751" t="s">
        <v>163</v>
      </c>
      <c r="O1751" s="4" t="s">
        <v>2649</v>
      </c>
      <c r="P1751">
        <v>0</v>
      </c>
      <c r="Q1751" s="24">
        <v>122.5</v>
      </c>
      <c r="R1751" s="25">
        <v>175.5</v>
      </c>
      <c r="S1751" s="26">
        <v>102.5</v>
      </c>
    </row>
    <row r="1752" spans="1:19" ht="14.25" x14ac:dyDescent="0.2">
      <c r="A1752" s="12">
        <v>31019</v>
      </c>
      <c r="B1752" s="13">
        <f t="shared" si="326"/>
        <v>35</v>
      </c>
      <c r="C1752" s="15">
        <f t="shared" si="327"/>
        <v>24</v>
      </c>
      <c r="D1752" s="14">
        <f t="shared" si="328"/>
        <v>20</v>
      </c>
      <c r="E1752" t="s">
        <v>2777</v>
      </c>
      <c r="F1752" t="s">
        <v>2837</v>
      </c>
      <c r="G1752" t="s">
        <v>2779</v>
      </c>
      <c r="H1752" t="s">
        <v>2779</v>
      </c>
      <c r="I1752" t="s">
        <v>2780</v>
      </c>
      <c r="J1752" s="4" t="s">
        <v>2846</v>
      </c>
      <c r="K1752" t="s">
        <v>174</v>
      </c>
      <c r="L1752" t="s">
        <v>163</v>
      </c>
      <c r="M1752" t="s">
        <v>163</v>
      </c>
      <c r="N1752" t="s">
        <v>163</v>
      </c>
      <c r="O1752" s="4" t="s">
        <v>2651</v>
      </c>
      <c r="P1752">
        <v>0</v>
      </c>
      <c r="Q1752" s="24">
        <v>122.5</v>
      </c>
      <c r="R1752" s="25">
        <v>175.5</v>
      </c>
      <c r="S1752" s="26">
        <v>102.5</v>
      </c>
    </row>
    <row r="1753" spans="1:19" ht="14.25" x14ac:dyDescent="0.2">
      <c r="A1753" s="12">
        <v>31020</v>
      </c>
      <c r="B1753" s="13">
        <f t="shared" si="326"/>
        <v>35</v>
      </c>
      <c r="C1753" s="15">
        <f t="shared" si="327"/>
        <v>24</v>
      </c>
      <c r="D1753" s="14">
        <f t="shared" si="328"/>
        <v>20</v>
      </c>
      <c r="E1753" t="s">
        <v>2785</v>
      </c>
      <c r="F1753" t="s">
        <v>2786</v>
      </c>
      <c r="G1753" t="s">
        <v>2833</v>
      </c>
      <c r="H1753" t="s">
        <v>2829</v>
      </c>
      <c r="I1753" t="s">
        <v>2697</v>
      </c>
      <c r="J1753" s="4" t="s">
        <v>2884</v>
      </c>
      <c r="K1753" t="s">
        <v>166</v>
      </c>
      <c r="L1753" t="s">
        <v>163</v>
      </c>
      <c r="M1753" t="s">
        <v>163</v>
      </c>
      <c r="N1753" t="s">
        <v>163</v>
      </c>
      <c r="O1753" s="4" t="s">
        <v>2651</v>
      </c>
      <c r="P1753">
        <v>0</v>
      </c>
      <c r="Q1753" s="24">
        <v>122.5</v>
      </c>
      <c r="R1753" s="25">
        <v>175.5</v>
      </c>
      <c r="S1753" s="26">
        <v>102.5</v>
      </c>
    </row>
    <row r="1754" spans="1:19" ht="14.25" x14ac:dyDescent="0.2">
      <c r="A1754" s="12">
        <v>31021</v>
      </c>
      <c r="B1754" s="13">
        <f t="shared" si="326"/>
        <v>35</v>
      </c>
      <c r="C1754" s="15">
        <f t="shared" si="327"/>
        <v>24</v>
      </c>
      <c r="D1754" s="14">
        <f t="shared" si="328"/>
        <v>20</v>
      </c>
      <c r="E1754" t="s">
        <v>2777</v>
      </c>
      <c r="F1754" t="s">
        <v>2834</v>
      </c>
      <c r="G1754" t="s">
        <v>2779</v>
      </c>
      <c r="H1754" t="s">
        <v>2779</v>
      </c>
      <c r="I1754" t="s">
        <v>2780</v>
      </c>
      <c r="J1754" s="4" t="s">
        <v>2846</v>
      </c>
      <c r="K1754" t="s">
        <v>168</v>
      </c>
      <c r="L1754" t="s">
        <v>163</v>
      </c>
      <c r="M1754" t="s">
        <v>163</v>
      </c>
      <c r="N1754" t="s">
        <v>163</v>
      </c>
      <c r="O1754" s="4" t="s">
        <v>2653</v>
      </c>
      <c r="P1754">
        <v>0</v>
      </c>
      <c r="Q1754" s="24">
        <v>122.8</v>
      </c>
      <c r="R1754" s="25">
        <v>176</v>
      </c>
      <c r="S1754" s="26">
        <v>102.8</v>
      </c>
    </row>
    <row r="1755" spans="1:19" ht="14.25" x14ac:dyDescent="0.2">
      <c r="A1755" s="12">
        <v>31022</v>
      </c>
      <c r="B1755" s="13">
        <f t="shared" si="326"/>
        <v>35</v>
      </c>
      <c r="C1755" s="15">
        <f t="shared" si="327"/>
        <v>24</v>
      </c>
      <c r="D1755" s="14">
        <f t="shared" si="328"/>
        <v>20</v>
      </c>
      <c r="E1755" t="s">
        <v>2777</v>
      </c>
      <c r="F1755" t="s">
        <v>2835</v>
      </c>
      <c r="G1755" t="s">
        <v>2779</v>
      </c>
      <c r="H1755" t="s">
        <v>2779</v>
      </c>
      <c r="I1755" t="s">
        <v>2780</v>
      </c>
      <c r="J1755" s="4" t="s">
        <v>2846</v>
      </c>
      <c r="K1755" t="s">
        <v>175</v>
      </c>
      <c r="L1755" t="s">
        <v>164</v>
      </c>
      <c r="M1755" t="s">
        <v>163</v>
      </c>
      <c r="N1755" t="s">
        <v>167</v>
      </c>
      <c r="O1755" s="4" t="s">
        <v>2655</v>
      </c>
      <c r="P1755">
        <v>0</v>
      </c>
      <c r="Q1755" s="24">
        <v>122.8</v>
      </c>
      <c r="R1755" s="25">
        <v>176</v>
      </c>
      <c r="S1755" s="26">
        <v>102.8</v>
      </c>
    </row>
    <row r="1756" spans="1:19" ht="14.25" x14ac:dyDescent="0.2">
      <c r="A1756" s="12">
        <v>31023</v>
      </c>
      <c r="B1756" s="13">
        <f t="shared" si="326"/>
        <v>35</v>
      </c>
      <c r="C1756" s="15">
        <f t="shared" si="327"/>
        <v>24</v>
      </c>
      <c r="D1756" s="14">
        <f t="shared" si="328"/>
        <v>20</v>
      </c>
      <c r="E1756" t="s">
        <v>2777</v>
      </c>
      <c r="F1756" t="s">
        <v>2836</v>
      </c>
      <c r="G1756" t="s">
        <v>2779</v>
      </c>
      <c r="H1756" t="s">
        <v>2779</v>
      </c>
      <c r="I1756" t="s">
        <v>2780</v>
      </c>
      <c r="J1756" s="4" t="s">
        <v>2846</v>
      </c>
      <c r="K1756" t="s">
        <v>179</v>
      </c>
      <c r="L1756" t="s">
        <v>163</v>
      </c>
      <c r="M1756" t="s">
        <v>163</v>
      </c>
      <c r="N1756" t="s">
        <v>163</v>
      </c>
      <c r="O1756" s="4" t="s">
        <v>2657</v>
      </c>
      <c r="P1756">
        <v>0</v>
      </c>
      <c r="Q1756" s="24">
        <v>122.8</v>
      </c>
      <c r="R1756" s="25">
        <v>176</v>
      </c>
      <c r="S1756" s="26">
        <v>102.8</v>
      </c>
    </row>
    <row r="1757" spans="1:19" ht="14.25" x14ac:dyDescent="0.2">
      <c r="A1757" s="12">
        <v>31024</v>
      </c>
      <c r="B1757" s="13">
        <f t="shared" si="326"/>
        <v>35</v>
      </c>
      <c r="C1757" s="15">
        <f t="shared" si="327"/>
        <v>24</v>
      </c>
      <c r="D1757" s="14">
        <f t="shared" si="328"/>
        <v>20</v>
      </c>
      <c r="E1757" t="s">
        <v>2777</v>
      </c>
      <c r="F1757" t="s">
        <v>2837</v>
      </c>
      <c r="G1757" t="s">
        <v>2779</v>
      </c>
      <c r="H1757" t="s">
        <v>2779</v>
      </c>
      <c r="I1757" t="s">
        <v>2780</v>
      </c>
      <c r="J1757" s="4" t="s">
        <v>2846</v>
      </c>
      <c r="K1757" t="s">
        <v>177</v>
      </c>
      <c r="L1757" t="s">
        <v>163</v>
      </c>
      <c r="M1757" t="s">
        <v>163</v>
      </c>
      <c r="N1757" t="s">
        <v>163</v>
      </c>
      <c r="O1757" s="4" t="s">
        <v>2657</v>
      </c>
      <c r="P1757">
        <v>0</v>
      </c>
      <c r="Q1757" s="24">
        <v>122.8</v>
      </c>
      <c r="R1757" s="25">
        <v>176</v>
      </c>
      <c r="S1757" s="26">
        <v>102.8</v>
      </c>
    </row>
    <row r="1758" spans="1:19" ht="14.25" x14ac:dyDescent="0.2">
      <c r="A1758" s="12">
        <v>31025</v>
      </c>
      <c r="B1758" s="13">
        <f t="shared" si="326"/>
        <v>35</v>
      </c>
      <c r="C1758" s="15">
        <f t="shared" si="327"/>
        <v>24</v>
      </c>
      <c r="D1758" s="14">
        <f t="shared" si="328"/>
        <v>20</v>
      </c>
      <c r="E1758" t="s">
        <v>2785</v>
      </c>
      <c r="F1758" t="s">
        <v>2786</v>
      </c>
      <c r="G1758" t="s">
        <v>2828</v>
      </c>
      <c r="H1758" t="s">
        <v>2829</v>
      </c>
      <c r="I1758" t="s">
        <v>2697</v>
      </c>
      <c r="J1758" s="4" t="s">
        <v>2884</v>
      </c>
      <c r="K1758" t="s">
        <v>174</v>
      </c>
      <c r="L1758" t="s">
        <v>163</v>
      </c>
      <c r="M1758" t="s">
        <v>163</v>
      </c>
      <c r="N1758" t="s">
        <v>163</v>
      </c>
      <c r="O1758" s="4" t="s">
        <v>2659</v>
      </c>
      <c r="P1758">
        <v>0</v>
      </c>
      <c r="Q1758" s="24">
        <v>122.8</v>
      </c>
      <c r="R1758" s="25">
        <v>176</v>
      </c>
      <c r="S1758" s="26">
        <v>102.8</v>
      </c>
    </row>
    <row r="1759" spans="1:19" ht="14.25" x14ac:dyDescent="0.2">
      <c r="A1759" s="12">
        <v>31026</v>
      </c>
      <c r="B1759" s="13">
        <f t="shared" si="326"/>
        <v>35</v>
      </c>
      <c r="C1759" s="15">
        <f t="shared" si="327"/>
        <v>24</v>
      </c>
      <c r="D1759" s="14">
        <f t="shared" si="328"/>
        <v>20</v>
      </c>
      <c r="E1759" t="s">
        <v>2777</v>
      </c>
      <c r="F1759" t="s">
        <v>2834</v>
      </c>
      <c r="G1759" t="s">
        <v>2779</v>
      </c>
      <c r="H1759" t="s">
        <v>2779</v>
      </c>
      <c r="I1759" t="s">
        <v>2780</v>
      </c>
      <c r="J1759" s="4" t="s">
        <v>2846</v>
      </c>
      <c r="K1759" t="s">
        <v>182</v>
      </c>
      <c r="L1759" t="s">
        <v>163</v>
      </c>
      <c r="M1759" t="s">
        <v>163</v>
      </c>
      <c r="N1759" t="s">
        <v>163</v>
      </c>
      <c r="O1759" s="4" t="s">
        <v>2661</v>
      </c>
      <c r="P1759">
        <v>0</v>
      </c>
      <c r="Q1759" s="24">
        <v>123.2</v>
      </c>
      <c r="R1759" s="25">
        <v>176.5</v>
      </c>
      <c r="S1759" s="26">
        <v>103</v>
      </c>
    </row>
    <row r="1760" spans="1:19" ht="14.25" x14ac:dyDescent="0.2">
      <c r="A1760" s="12">
        <v>31027</v>
      </c>
      <c r="B1760" s="13">
        <f t="shared" si="326"/>
        <v>35</v>
      </c>
      <c r="C1760" s="15">
        <f t="shared" si="327"/>
        <v>24</v>
      </c>
      <c r="D1760" s="14">
        <f t="shared" si="328"/>
        <v>20</v>
      </c>
      <c r="E1760" t="s">
        <v>2777</v>
      </c>
      <c r="F1760" t="s">
        <v>2835</v>
      </c>
      <c r="G1760" t="s">
        <v>2779</v>
      </c>
      <c r="H1760" t="s">
        <v>2779</v>
      </c>
      <c r="I1760" t="s">
        <v>2780</v>
      </c>
      <c r="J1760" s="4" t="s">
        <v>2846</v>
      </c>
      <c r="K1760" t="s">
        <v>162</v>
      </c>
      <c r="L1760" t="s">
        <v>163</v>
      </c>
      <c r="M1760" t="s">
        <v>163</v>
      </c>
      <c r="N1760" t="s">
        <v>163</v>
      </c>
      <c r="O1760" s="4" t="s">
        <v>2661</v>
      </c>
      <c r="P1760">
        <v>0</v>
      </c>
      <c r="Q1760" s="24">
        <v>123.2</v>
      </c>
      <c r="R1760" s="25">
        <v>176.5</v>
      </c>
      <c r="S1760" s="26">
        <v>103</v>
      </c>
    </row>
    <row r="1761" spans="1:19" ht="14.25" x14ac:dyDescent="0.2">
      <c r="A1761" s="12">
        <v>31028</v>
      </c>
      <c r="B1761" s="13">
        <f t="shared" si="326"/>
        <v>35</v>
      </c>
      <c r="C1761" s="15">
        <f t="shared" si="327"/>
        <v>24</v>
      </c>
      <c r="D1761" s="14">
        <f t="shared" si="328"/>
        <v>20</v>
      </c>
      <c r="E1761" t="s">
        <v>2777</v>
      </c>
      <c r="F1761" t="s">
        <v>2836</v>
      </c>
      <c r="G1761" t="s">
        <v>2779</v>
      </c>
      <c r="H1761" t="s">
        <v>2779</v>
      </c>
      <c r="I1761" t="s">
        <v>2780</v>
      </c>
      <c r="J1761" s="4" t="s">
        <v>2846</v>
      </c>
      <c r="K1761" t="s">
        <v>177</v>
      </c>
      <c r="L1761" t="s">
        <v>163</v>
      </c>
      <c r="M1761" t="s">
        <v>163</v>
      </c>
      <c r="N1761" t="s">
        <v>163</v>
      </c>
      <c r="O1761" s="4" t="s">
        <v>2663</v>
      </c>
      <c r="P1761">
        <v>0</v>
      </c>
      <c r="Q1761" s="24">
        <v>123.2</v>
      </c>
      <c r="R1761" s="25">
        <v>176.5</v>
      </c>
      <c r="S1761" s="26">
        <v>103</v>
      </c>
    </row>
    <row r="1762" spans="1:19" ht="14.25" x14ac:dyDescent="0.2">
      <c r="A1762" s="12">
        <v>31029</v>
      </c>
      <c r="B1762" s="13">
        <f t="shared" si="326"/>
        <v>35</v>
      </c>
      <c r="C1762" s="15">
        <f t="shared" si="327"/>
        <v>24</v>
      </c>
      <c r="D1762" s="14">
        <f t="shared" si="328"/>
        <v>20</v>
      </c>
      <c r="E1762" t="s">
        <v>2777</v>
      </c>
      <c r="F1762" t="s">
        <v>2837</v>
      </c>
      <c r="G1762" t="s">
        <v>2779</v>
      </c>
      <c r="H1762" t="s">
        <v>2779</v>
      </c>
      <c r="I1762" t="s">
        <v>2780</v>
      </c>
      <c r="J1762" s="4" t="s">
        <v>2846</v>
      </c>
      <c r="K1762" t="s">
        <v>174</v>
      </c>
      <c r="L1762" t="s">
        <v>163</v>
      </c>
      <c r="M1762" t="s">
        <v>163</v>
      </c>
      <c r="N1762" t="s">
        <v>163</v>
      </c>
      <c r="O1762" s="4" t="s">
        <v>2665</v>
      </c>
      <c r="P1762">
        <v>0</v>
      </c>
      <c r="Q1762" s="24">
        <v>123.2</v>
      </c>
      <c r="R1762" s="25">
        <v>176.5</v>
      </c>
      <c r="S1762" s="26">
        <v>103</v>
      </c>
    </row>
    <row r="1763" spans="1:19" ht="14.25" x14ac:dyDescent="0.2">
      <c r="A1763" s="12">
        <v>31030</v>
      </c>
      <c r="B1763" s="13">
        <f t="shared" si="326"/>
        <v>35</v>
      </c>
      <c r="C1763" s="15">
        <f t="shared" si="327"/>
        <v>24</v>
      </c>
      <c r="D1763" s="14">
        <f t="shared" si="328"/>
        <v>20</v>
      </c>
      <c r="E1763" t="s">
        <v>2785</v>
      </c>
      <c r="F1763" t="s">
        <v>2786</v>
      </c>
      <c r="G1763" t="s">
        <v>2830</v>
      </c>
      <c r="H1763" t="s">
        <v>2829</v>
      </c>
      <c r="I1763" t="s">
        <v>2697</v>
      </c>
      <c r="J1763" s="4" t="s">
        <v>2866</v>
      </c>
      <c r="K1763" t="s">
        <v>166</v>
      </c>
      <c r="L1763" t="s">
        <v>163</v>
      </c>
      <c r="M1763" t="s">
        <v>163</v>
      </c>
      <c r="N1763" t="s">
        <v>163</v>
      </c>
      <c r="O1763" s="4" t="s">
        <v>2665</v>
      </c>
      <c r="P1763">
        <v>0</v>
      </c>
      <c r="Q1763" s="24">
        <v>123.2</v>
      </c>
      <c r="R1763" s="25">
        <v>176.5</v>
      </c>
      <c r="S1763" s="26">
        <v>103</v>
      </c>
    </row>
    <row r="1764" spans="1:19" ht="14.25" x14ac:dyDescent="0.2">
      <c r="A1764" s="12">
        <v>31031</v>
      </c>
      <c r="B1764" s="13">
        <f t="shared" si="326"/>
        <v>35</v>
      </c>
      <c r="C1764" s="15">
        <f t="shared" si="327"/>
        <v>24</v>
      </c>
      <c r="D1764" s="14">
        <f t="shared" si="328"/>
        <v>20</v>
      </c>
      <c r="E1764" t="s">
        <v>2777</v>
      </c>
      <c r="F1764" t="s">
        <v>2834</v>
      </c>
      <c r="G1764" t="s">
        <v>2779</v>
      </c>
      <c r="H1764" t="s">
        <v>2779</v>
      </c>
      <c r="I1764" t="s">
        <v>2780</v>
      </c>
      <c r="J1764" s="4" t="s">
        <v>2846</v>
      </c>
      <c r="K1764" t="s">
        <v>168</v>
      </c>
      <c r="L1764" t="s">
        <v>163</v>
      </c>
      <c r="M1764" t="s">
        <v>163</v>
      </c>
      <c r="N1764" t="s">
        <v>163</v>
      </c>
      <c r="O1764" s="4" t="s">
        <v>2667</v>
      </c>
      <c r="P1764">
        <v>0</v>
      </c>
      <c r="Q1764" s="24">
        <v>123.5</v>
      </c>
      <c r="R1764" s="25">
        <v>177</v>
      </c>
      <c r="S1764" s="26">
        <v>103.3</v>
      </c>
    </row>
    <row r="1765" spans="1:19" ht="14.25" x14ac:dyDescent="0.2">
      <c r="A1765" s="12">
        <v>31032</v>
      </c>
      <c r="B1765" s="13">
        <f t="shared" si="326"/>
        <v>35</v>
      </c>
      <c r="C1765" s="15">
        <f t="shared" si="327"/>
        <v>24</v>
      </c>
      <c r="D1765" s="14">
        <f t="shared" si="328"/>
        <v>20</v>
      </c>
      <c r="E1765" t="s">
        <v>2777</v>
      </c>
      <c r="F1765" t="s">
        <v>2835</v>
      </c>
      <c r="G1765" t="s">
        <v>2779</v>
      </c>
      <c r="H1765" t="s">
        <v>2779</v>
      </c>
      <c r="I1765" t="s">
        <v>2780</v>
      </c>
      <c r="J1765" s="4" t="s">
        <v>2846</v>
      </c>
      <c r="K1765" t="s">
        <v>175</v>
      </c>
      <c r="L1765" t="s">
        <v>164</v>
      </c>
      <c r="M1765" t="s">
        <v>163</v>
      </c>
      <c r="N1765" t="s">
        <v>167</v>
      </c>
      <c r="O1765" s="4" t="s">
        <v>2669</v>
      </c>
      <c r="P1765">
        <v>0</v>
      </c>
      <c r="Q1765" s="24">
        <v>123.5</v>
      </c>
      <c r="R1765" s="25">
        <v>177</v>
      </c>
      <c r="S1765" s="26">
        <v>103.3</v>
      </c>
    </row>
    <row r="1766" spans="1:19" ht="14.25" x14ac:dyDescent="0.2">
      <c r="A1766" s="12">
        <v>31033</v>
      </c>
      <c r="B1766" s="13">
        <f t="shared" si="326"/>
        <v>35</v>
      </c>
      <c r="C1766" s="15">
        <f t="shared" si="327"/>
        <v>24</v>
      </c>
      <c r="D1766" s="14">
        <f t="shared" si="328"/>
        <v>20</v>
      </c>
      <c r="E1766" t="s">
        <v>2777</v>
      </c>
      <c r="F1766" t="s">
        <v>2836</v>
      </c>
      <c r="G1766" t="s">
        <v>2779</v>
      </c>
      <c r="H1766" t="s">
        <v>2779</v>
      </c>
      <c r="I1766" t="s">
        <v>2780</v>
      </c>
      <c r="J1766" s="4" t="s">
        <v>2846</v>
      </c>
      <c r="K1766" t="s">
        <v>179</v>
      </c>
      <c r="L1766" t="s">
        <v>163</v>
      </c>
      <c r="M1766" t="s">
        <v>163</v>
      </c>
      <c r="N1766" t="s">
        <v>163</v>
      </c>
      <c r="O1766" s="4" t="s">
        <v>2671</v>
      </c>
      <c r="P1766">
        <v>0</v>
      </c>
      <c r="Q1766" s="24">
        <v>123.5</v>
      </c>
      <c r="R1766" s="25">
        <v>177</v>
      </c>
      <c r="S1766" s="26">
        <v>103.3</v>
      </c>
    </row>
    <row r="1767" spans="1:19" ht="14.25" x14ac:dyDescent="0.2">
      <c r="A1767" s="12">
        <v>31034</v>
      </c>
      <c r="B1767" s="13">
        <f t="shared" si="326"/>
        <v>35</v>
      </c>
      <c r="C1767" s="15">
        <f t="shared" si="327"/>
        <v>24</v>
      </c>
      <c r="D1767" s="14">
        <f t="shared" si="328"/>
        <v>20</v>
      </c>
      <c r="E1767" t="s">
        <v>2777</v>
      </c>
      <c r="F1767" t="s">
        <v>2837</v>
      </c>
      <c r="G1767" t="s">
        <v>2779</v>
      </c>
      <c r="H1767" t="s">
        <v>2779</v>
      </c>
      <c r="I1767" t="s">
        <v>2780</v>
      </c>
      <c r="J1767" s="4" t="s">
        <v>2846</v>
      </c>
      <c r="K1767" t="s">
        <v>177</v>
      </c>
      <c r="L1767" t="s">
        <v>163</v>
      </c>
      <c r="M1767" t="s">
        <v>163</v>
      </c>
      <c r="N1767" t="s">
        <v>163</v>
      </c>
      <c r="O1767" s="4" t="s">
        <v>2671</v>
      </c>
      <c r="P1767">
        <v>0</v>
      </c>
      <c r="Q1767" s="24">
        <v>123.5</v>
      </c>
      <c r="R1767" s="25">
        <v>177</v>
      </c>
      <c r="S1767" s="26">
        <v>103.3</v>
      </c>
    </row>
    <row r="1768" spans="1:19" ht="14.25" x14ac:dyDescent="0.2">
      <c r="A1768" s="12">
        <v>31035</v>
      </c>
      <c r="B1768" s="13">
        <f t="shared" si="326"/>
        <v>35</v>
      </c>
      <c r="C1768" s="15">
        <f t="shared" si="327"/>
        <v>24</v>
      </c>
      <c r="D1768" s="14">
        <f t="shared" si="328"/>
        <v>20</v>
      </c>
      <c r="E1768" t="s">
        <v>2785</v>
      </c>
      <c r="F1768" t="s">
        <v>2786</v>
      </c>
      <c r="G1768" t="s">
        <v>2831</v>
      </c>
      <c r="H1768" t="s">
        <v>2829</v>
      </c>
      <c r="I1768" t="s">
        <v>2697</v>
      </c>
      <c r="J1768" s="4" t="s">
        <v>2866</v>
      </c>
      <c r="K1768" t="s">
        <v>174</v>
      </c>
      <c r="L1768" t="s">
        <v>163</v>
      </c>
      <c r="M1768" t="s">
        <v>163</v>
      </c>
      <c r="N1768" t="s">
        <v>163</v>
      </c>
      <c r="O1768" s="4" t="s">
        <v>2673</v>
      </c>
      <c r="P1768">
        <v>0</v>
      </c>
      <c r="Q1768" s="24">
        <v>123.5</v>
      </c>
      <c r="R1768" s="25">
        <v>177</v>
      </c>
      <c r="S1768" s="26">
        <v>103.3</v>
      </c>
    </row>
    <row r="1769" spans="1:19" ht="14.25" x14ac:dyDescent="0.2">
      <c r="A1769" s="12">
        <v>31036</v>
      </c>
      <c r="B1769" s="13">
        <f t="shared" si="326"/>
        <v>35</v>
      </c>
      <c r="C1769" s="15">
        <f t="shared" si="327"/>
        <v>24</v>
      </c>
      <c r="D1769" s="14">
        <f t="shared" si="328"/>
        <v>20</v>
      </c>
      <c r="E1769" t="s">
        <v>2777</v>
      </c>
      <c r="F1769" t="s">
        <v>2834</v>
      </c>
      <c r="G1769" t="s">
        <v>2779</v>
      </c>
      <c r="H1769" t="s">
        <v>2779</v>
      </c>
      <c r="I1769" t="s">
        <v>2780</v>
      </c>
      <c r="J1769" s="4" t="s">
        <v>2846</v>
      </c>
      <c r="K1769" t="s">
        <v>182</v>
      </c>
      <c r="L1769" t="s">
        <v>163</v>
      </c>
      <c r="M1769" t="s">
        <v>163</v>
      </c>
      <c r="N1769" t="s">
        <v>163</v>
      </c>
      <c r="O1769" s="4" t="s">
        <v>2675</v>
      </c>
      <c r="P1769">
        <v>0</v>
      </c>
      <c r="Q1769" s="24">
        <v>123.8</v>
      </c>
      <c r="R1769" s="25">
        <v>177.5</v>
      </c>
      <c r="S1769" s="26">
        <v>103.5</v>
      </c>
    </row>
    <row r="1770" spans="1:19" ht="14.25" x14ac:dyDescent="0.2">
      <c r="A1770" s="12">
        <v>31037</v>
      </c>
      <c r="B1770" s="13">
        <f t="shared" si="326"/>
        <v>35</v>
      </c>
      <c r="C1770" s="15">
        <f t="shared" si="327"/>
        <v>24</v>
      </c>
      <c r="D1770" s="14">
        <f t="shared" si="328"/>
        <v>20</v>
      </c>
      <c r="E1770" t="s">
        <v>2777</v>
      </c>
      <c r="F1770" t="s">
        <v>2835</v>
      </c>
      <c r="G1770" t="s">
        <v>2779</v>
      </c>
      <c r="H1770" t="s">
        <v>2779</v>
      </c>
      <c r="I1770" t="s">
        <v>2780</v>
      </c>
      <c r="J1770" s="4" t="s">
        <v>2846</v>
      </c>
      <c r="K1770" t="s">
        <v>162</v>
      </c>
      <c r="L1770" t="s">
        <v>163</v>
      </c>
      <c r="M1770" t="s">
        <v>163</v>
      </c>
      <c r="N1770" t="s">
        <v>163</v>
      </c>
      <c r="O1770" s="4" t="s">
        <v>2675</v>
      </c>
      <c r="P1770">
        <v>0</v>
      </c>
      <c r="Q1770" s="24">
        <v>123.8</v>
      </c>
      <c r="R1770" s="25">
        <v>177.5</v>
      </c>
      <c r="S1770" s="26">
        <v>103.5</v>
      </c>
    </row>
    <row r="1771" spans="1:19" ht="14.25" x14ac:dyDescent="0.2">
      <c r="A1771" s="12">
        <v>31038</v>
      </c>
      <c r="B1771" s="13">
        <f t="shared" si="326"/>
        <v>35</v>
      </c>
      <c r="C1771" s="15">
        <f t="shared" si="327"/>
        <v>24</v>
      </c>
      <c r="D1771" s="14">
        <f t="shared" si="328"/>
        <v>20</v>
      </c>
      <c r="E1771" t="s">
        <v>2777</v>
      </c>
      <c r="F1771" t="s">
        <v>2836</v>
      </c>
      <c r="G1771" t="s">
        <v>2779</v>
      </c>
      <c r="H1771" t="s">
        <v>2779</v>
      </c>
      <c r="I1771" t="s">
        <v>2780</v>
      </c>
      <c r="J1771" s="4" t="s">
        <v>2846</v>
      </c>
      <c r="K1771" t="s">
        <v>177</v>
      </c>
      <c r="L1771" t="s">
        <v>163</v>
      </c>
      <c r="M1771" t="s">
        <v>163</v>
      </c>
      <c r="N1771" t="s">
        <v>163</v>
      </c>
      <c r="O1771" s="4" t="s">
        <v>2677</v>
      </c>
      <c r="P1771">
        <v>0</v>
      </c>
      <c r="Q1771" s="24">
        <v>123.8</v>
      </c>
      <c r="R1771" s="25">
        <v>177.5</v>
      </c>
      <c r="S1771" s="26">
        <v>103.5</v>
      </c>
    </row>
    <row r="1772" spans="1:19" ht="14.25" x14ac:dyDescent="0.2">
      <c r="A1772" s="12">
        <v>31039</v>
      </c>
      <c r="B1772" s="13">
        <f t="shared" si="326"/>
        <v>35</v>
      </c>
      <c r="C1772" s="15">
        <f t="shared" si="327"/>
        <v>24</v>
      </c>
      <c r="D1772" s="14">
        <f t="shared" si="328"/>
        <v>20</v>
      </c>
      <c r="E1772" t="s">
        <v>2777</v>
      </c>
      <c r="F1772" t="s">
        <v>2837</v>
      </c>
      <c r="G1772" t="s">
        <v>2779</v>
      </c>
      <c r="H1772" t="s">
        <v>2779</v>
      </c>
      <c r="I1772" t="s">
        <v>2780</v>
      </c>
      <c r="J1772" s="4" t="s">
        <v>2846</v>
      </c>
      <c r="K1772" t="s">
        <v>174</v>
      </c>
      <c r="L1772" t="s">
        <v>163</v>
      </c>
      <c r="M1772" t="s">
        <v>163</v>
      </c>
      <c r="N1772" t="s">
        <v>163</v>
      </c>
      <c r="O1772" s="4" t="s">
        <v>2679</v>
      </c>
      <c r="P1772">
        <v>0</v>
      </c>
      <c r="Q1772" s="24">
        <v>123.8</v>
      </c>
      <c r="R1772" s="25">
        <v>177.5</v>
      </c>
      <c r="S1772" s="26">
        <v>103.5</v>
      </c>
    </row>
    <row r="1773" spans="1:19" ht="14.25" x14ac:dyDescent="0.2">
      <c r="A1773" s="12">
        <v>31040</v>
      </c>
      <c r="B1773" s="13">
        <f t="shared" si="326"/>
        <v>35</v>
      </c>
      <c r="C1773" s="15">
        <f t="shared" si="327"/>
        <v>24</v>
      </c>
      <c r="D1773" s="14">
        <f t="shared" si="328"/>
        <v>20</v>
      </c>
      <c r="E1773" t="s">
        <v>2785</v>
      </c>
      <c r="F1773" t="s">
        <v>2786</v>
      </c>
      <c r="G1773" t="s">
        <v>2832</v>
      </c>
      <c r="H1773" t="s">
        <v>2829</v>
      </c>
      <c r="I1773" t="s">
        <v>2697</v>
      </c>
      <c r="J1773" s="4" t="s">
        <v>2866</v>
      </c>
      <c r="K1773" t="s">
        <v>166</v>
      </c>
      <c r="L1773" t="s">
        <v>163</v>
      </c>
      <c r="M1773" t="s">
        <v>163</v>
      </c>
      <c r="N1773" t="s">
        <v>163</v>
      </c>
      <c r="O1773" s="4" t="s">
        <v>2679</v>
      </c>
      <c r="P1773">
        <v>0</v>
      </c>
      <c r="Q1773" s="24">
        <v>123.8</v>
      </c>
      <c r="R1773" s="25">
        <v>177.5</v>
      </c>
      <c r="S1773" s="26">
        <v>103.5</v>
      </c>
    </row>
    <row r="1774" spans="1:19" ht="14.25" x14ac:dyDescent="0.2">
      <c r="A1774" s="12">
        <v>31041</v>
      </c>
      <c r="B1774" s="13">
        <f t="shared" si="326"/>
        <v>35</v>
      </c>
      <c r="C1774" s="15">
        <f t="shared" si="327"/>
        <v>24</v>
      </c>
      <c r="D1774" s="14">
        <f t="shared" si="328"/>
        <v>20</v>
      </c>
      <c r="E1774" t="s">
        <v>2777</v>
      </c>
      <c r="F1774" t="s">
        <v>2834</v>
      </c>
      <c r="G1774" t="s">
        <v>2779</v>
      </c>
      <c r="H1774" t="s">
        <v>2779</v>
      </c>
      <c r="I1774" t="s">
        <v>2780</v>
      </c>
      <c r="J1774" s="4" t="s">
        <v>2846</v>
      </c>
      <c r="K1774" t="s">
        <v>168</v>
      </c>
      <c r="L1774" t="s">
        <v>163</v>
      </c>
      <c r="M1774" t="s">
        <v>163</v>
      </c>
      <c r="N1774" t="s">
        <v>163</v>
      </c>
      <c r="O1774" s="4" t="s">
        <v>2681</v>
      </c>
      <c r="P1774">
        <v>0</v>
      </c>
      <c r="Q1774" s="24">
        <v>124.2</v>
      </c>
      <c r="R1774" s="25">
        <v>178</v>
      </c>
      <c r="S1774" s="26">
        <v>103.8</v>
      </c>
    </row>
    <row r="1775" spans="1:19" ht="14.25" x14ac:dyDescent="0.2">
      <c r="A1775" s="12">
        <v>31042</v>
      </c>
      <c r="B1775" s="13">
        <f t="shared" si="326"/>
        <v>35</v>
      </c>
      <c r="C1775" s="15">
        <f t="shared" si="327"/>
        <v>24</v>
      </c>
      <c r="D1775" s="14">
        <f t="shared" si="328"/>
        <v>20</v>
      </c>
      <c r="E1775" t="s">
        <v>2777</v>
      </c>
      <c r="F1775" t="s">
        <v>2835</v>
      </c>
      <c r="G1775" t="s">
        <v>2779</v>
      </c>
      <c r="H1775" t="s">
        <v>2779</v>
      </c>
      <c r="I1775" t="s">
        <v>2780</v>
      </c>
      <c r="J1775" s="4" t="s">
        <v>2846</v>
      </c>
      <c r="K1775" t="s">
        <v>175</v>
      </c>
      <c r="L1775" t="s">
        <v>164</v>
      </c>
      <c r="M1775" t="s">
        <v>163</v>
      </c>
      <c r="N1775" t="s">
        <v>167</v>
      </c>
      <c r="O1775" s="4" t="s">
        <v>2683</v>
      </c>
      <c r="P1775">
        <v>0</v>
      </c>
      <c r="Q1775" s="24">
        <v>124.2</v>
      </c>
      <c r="R1775" s="25">
        <v>178</v>
      </c>
      <c r="S1775" s="26">
        <v>103.8</v>
      </c>
    </row>
    <row r="1776" spans="1:19" ht="14.25" x14ac:dyDescent="0.2">
      <c r="A1776" s="12">
        <v>31043</v>
      </c>
      <c r="B1776" s="13">
        <f t="shared" si="326"/>
        <v>35</v>
      </c>
      <c r="C1776" s="15">
        <f t="shared" si="327"/>
        <v>24</v>
      </c>
      <c r="D1776" s="14">
        <f t="shared" si="328"/>
        <v>20</v>
      </c>
      <c r="E1776" t="s">
        <v>2777</v>
      </c>
      <c r="F1776" t="s">
        <v>2836</v>
      </c>
      <c r="G1776" t="s">
        <v>2779</v>
      </c>
      <c r="H1776" t="s">
        <v>2779</v>
      </c>
      <c r="I1776" t="s">
        <v>2780</v>
      </c>
      <c r="J1776" s="4" t="s">
        <v>2846</v>
      </c>
      <c r="K1776" t="s">
        <v>179</v>
      </c>
      <c r="L1776" t="s">
        <v>163</v>
      </c>
      <c r="M1776" t="s">
        <v>163</v>
      </c>
      <c r="N1776" t="s">
        <v>163</v>
      </c>
      <c r="O1776" s="4" t="s">
        <v>2685</v>
      </c>
      <c r="P1776">
        <v>0</v>
      </c>
      <c r="Q1776" s="24">
        <v>124.2</v>
      </c>
      <c r="R1776" s="25">
        <v>178</v>
      </c>
      <c r="S1776" s="26">
        <v>103.8</v>
      </c>
    </row>
    <row r="1777" spans="1:19" ht="14.25" x14ac:dyDescent="0.2">
      <c r="A1777" s="12">
        <v>31044</v>
      </c>
      <c r="B1777" s="13">
        <f t="shared" si="326"/>
        <v>35</v>
      </c>
      <c r="C1777" s="15">
        <f t="shared" si="327"/>
        <v>24</v>
      </c>
      <c r="D1777" s="14">
        <f t="shared" si="328"/>
        <v>20</v>
      </c>
      <c r="E1777" t="s">
        <v>2777</v>
      </c>
      <c r="F1777" t="s">
        <v>2837</v>
      </c>
      <c r="G1777" t="s">
        <v>2779</v>
      </c>
      <c r="H1777" t="s">
        <v>2779</v>
      </c>
      <c r="I1777" t="s">
        <v>2780</v>
      </c>
      <c r="J1777" s="4" t="s">
        <v>2846</v>
      </c>
      <c r="K1777" t="s">
        <v>177</v>
      </c>
      <c r="L1777" t="s">
        <v>163</v>
      </c>
      <c r="M1777" t="s">
        <v>163</v>
      </c>
      <c r="N1777" t="s">
        <v>163</v>
      </c>
      <c r="O1777" s="4" t="s">
        <v>2685</v>
      </c>
      <c r="P1777">
        <v>0</v>
      </c>
      <c r="Q1777" s="24">
        <v>124.2</v>
      </c>
      <c r="R1777" s="25">
        <v>178</v>
      </c>
      <c r="S1777" s="26">
        <v>103.8</v>
      </c>
    </row>
    <row r="1778" spans="1:19" ht="14.25" x14ac:dyDescent="0.2">
      <c r="A1778" s="12">
        <v>31045</v>
      </c>
      <c r="B1778" s="13">
        <f t="shared" si="326"/>
        <v>35</v>
      </c>
      <c r="C1778" s="15">
        <f t="shared" si="327"/>
        <v>24</v>
      </c>
      <c r="D1778" s="14">
        <f t="shared" si="328"/>
        <v>20</v>
      </c>
      <c r="E1778" t="s">
        <v>2785</v>
      </c>
      <c r="F1778" t="s">
        <v>2786</v>
      </c>
      <c r="G1778" t="s">
        <v>2833</v>
      </c>
      <c r="H1778" t="s">
        <v>2829</v>
      </c>
      <c r="I1778" t="s">
        <v>2697</v>
      </c>
      <c r="J1778" s="4" t="s">
        <v>2884</v>
      </c>
      <c r="K1778" t="s">
        <v>174</v>
      </c>
      <c r="L1778" t="s">
        <v>163</v>
      </c>
      <c r="M1778" t="s">
        <v>163</v>
      </c>
      <c r="N1778" t="s">
        <v>163</v>
      </c>
      <c r="O1778" s="4" t="s">
        <v>2687</v>
      </c>
      <c r="P1778">
        <v>0</v>
      </c>
      <c r="Q1778" s="24">
        <v>124.2</v>
      </c>
      <c r="R1778" s="25">
        <v>178</v>
      </c>
      <c r="S1778" s="26">
        <v>103.8</v>
      </c>
    </row>
    <row r="1779" spans="1:19" ht="14.25" x14ac:dyDescent="0.2">
      <c r="A1779" s="12">
        <v>31046</v>
      </c>
      <c r="B1779" s="13">
        <f t="shared" si="326"/>
        <v>35</v>
      </c>
      <c r="C1779" s="15">
        <f t="shared" si="327"/>
        <v>24</v>
      </c>
      <c r="D1779" s="14">
        <f t="shared" si="328"/>
        <v>20</v>
      </c>
      <c r="E1779" t="s">
        <v>2777</v>
      </c>
      <c r="F1779" t="s">
        <v>2834</v>
      </c>
      <c r="G1779" t="s">
        <v>2779</v>
      </c>
      <c r="H1779" t="s">
        <v>2779</v>
      </c>
      <c r="I1779" t="s">
        <v>2780</v>
      </c>
      <c r="J1779" s="4" t="s">
        <v>2846</v>
      </c>
      <c r="K1779" t="s">
        <v>182</v>
      </c>
      <c r="L1779" t="s">
        <v>163</v>
      </c>
      <c r="M1779" t="s">
        <v>163</v>
      </c>
      <c r="N1779" t="s">
        <v>163</v>
      </c>
      <c r="O1779" s="4" t="s">
        <v>2689</v>
      </c>
      <c r="P1779">
        <v>0</v>
      </c>
      <c r="Q1779" s="24">
        <v>124.5</v>
      </c>
      <c r="R1779" s="25">
        <v>178.5</v>
      </c>
      <c r="S1779" s="26">
        <v>104</v>
      </c>
    </row>
    <row r="1780" spans="1:19" ht="14.25" x14ac:dyDescent="0.2">
      <c r="A1780" s="12">
        <v>31047</v>
      </c>
      <c r="B1780" s="13">
        <f t="shared" si="326"/>
        <v>35</v>
      </c>
      <c r="C1780" s="15">
        <f t="shared" si="327"/>
        <v>24</v>
      </c>
      <c r="D1780" s="14">
        <f t="shared" si="328"/>
        <v>20</v>
      </c>
      <c r="E1780" t="s">
        <v>2777</v>
      </c>
      <c r="F1780" t="s">
        <v>2835</v>
      </c>
      <c r="G1780" t="s">
        <v>2779</v>
      </c>
      <c r="H1780" t="s">
        <v>2779</v>
      </c>
      <c r="I1780" t="s">
        <v>2780</v>
      </c>
      <c r="J1780" s="4" t="s">
        <v>2846</v>
      </c>
      <c r="K1780" t="s">
        <v>162</v>
      </c>
      <c r="L1780" t="s">
        <v>163</v>
      </c>
      <c r="M1780" t="s">
        <v>163</v>
      </c>
      <c r="N1780" t="s">
        <v>163</v>
      </c>
      <c r="O1780" s="4" t="s">
        <v>2689</v>
      </c>
      <c r="P1780">
        <v>0</v>
      </c>
      <c r="Q1780" s="24">
        <v>124.5</v>
      </c>
      <c r="R1780" s="25">
        <v>178.5</v>
      </c>
      <c r="S1780" s="26">
        <v>104</v>
      </c>
    </row>
    <row r="1781" spans="1:19" ht="14.25" x14ac:dyDescent="0.2">
      <c r="A1781" s="12">
        <v>31048</v>
      </c>
      <c r="B1781" s="13">
        <f t="shared" si="326"/>
        <v>35</v>
      </c>
      <c r="C1781" s="15">
        <f t="shared" si="327"/>
        <v>24</v>
      </c>
      <c r="D1781" s="14">
        <f t="shared" si="328"/>
        <v>20</v>
      </c>
      <c r="E1781" t="s">
        <v>2777</v>
      </c>
      <c r="F1781" t="s">
        <v>2836</v>
      </c>
      <c r="G1781" t="s">
        <v>2779</v>
      </c>
      <c r="H1781" t="s">
        <v>2779</v>
      </c>
      <c r="I1781" t="s">
        <v>2780</v>
      </c>
      <c r="J1781" s="4" t="s">
        <v>2846</v>
      </c>
      <c r="K1781" t="s">
        <v>177</v>
      </c>
      <c r="L1781" t="s">
        <v>163</v>
      </c>
      <c r="M1781" t="s">
        <v>163</v>
      </c>
      <c r="N1781" t="s">
        <v>163</v>
      </c>
      <c r="O1781" s="4" t="s">
        <v>2691</v>
      </c>
      <c r="P1781">
        <v>0</v>
      </c>
      <c r="Q1781" s="24">
        <v>124.5</v>
      </c>
      <c r="R1781" s="25">
        <v>178.5</v>
      </c>
      <c r="S1781" s="26">
        <v>104</v>
      </c>
    </row>
    <row r="1782" spans="1:19" ht="14.25" x14ac:dyDescent="0.2">
      <c r="A1782" s="12">
        <v>31049</v>
      </c>
      <c r="B1782" s="13">
        <f t="shared" si="326"/>
        <v>35</v>
      </c>
      <c r="C1782" s="15">
        <f t="shared" si="327"/>
        <v>24</v>
      </c>
      <c r="D1782" s="14">
        <f t="shared" si="328"/>
        <v>20</v>
      </c>
      <c r="E1782" t="s">
        <v>2777</v>
      </c>
      <c r="F1782" t="s">
        <v>2837</v>
      </c>
      <c r="G1782" t="s">
        <v>2779</v>
      </c>
      <c r="H1782" t="s">
        <v>2779</v>
      </c>
      <c r="I1782" t="s">
        <v>2780</v>
      </c>
      <c r="J1782" s="4" t="s">
        <v>2846</v>
      </c>
      <c r="K1782" t="s">
        <v>174</v>
      </c>
      <c r="L1782" t="s">
        <v>163</v>
      </c>
      <c r="M1782" t="s">
        <v>163</v>
      </c>
      <c r="N1782" t="s">
        <v>163</v>
      </c>
      <c r="O1782" s="4" t="s">
        <v>2693</v>
      </c>
      <c r="P1782">
        <v>0</v>
      </c>
      <c r="Q1782" s="24">
        <v>124.5</v>
      </c>
      <c r="R1782" s="25">
        <v>178.5</v>
      </c>
      <c r="S1782" s="26">
        <v>104</v>
      </c>
    </row>
    <row r="1783" spans="1:19" ht="14.25" x14ac:dyDescent="0.2">
      <c r="A1783" s="12">
        <v>31050</v>
      </c>
      <c r="B1783" s="13">
        <f t="shared" si="326"/>
        <v>35</v>
      </c>
      <c r="C1783" s="15">
        <f t="shared" si="327"/>
        <v>24</v>
      </c>
      <c r="D1783" s="14">
        <f t="shared" si="328"/>
        <v>20</v>
      </c>
      <c r="E1783" t="s">
        <v>2785</v>
      </c>
      <c r="F1783" t="s">
        <v>2786</v>
      </c>
      <c r="G1783" t="s">
        <v>2828</v>
      </c>
      <c r="H1783" s="5" t="s">
        <v>2829</v>
      </c>
      <c r="I1783" t="s">
        <v>2697</v>
      </c>
      <c r="J1783" s="4" t="s">
        <v>2884</v>
      </c>
      <c r="K1783" t="s">
        <v>2885</v>
      </c>
      <c r="L1783" t="s">
        <v>132</v>
      </c>
      <c r="M1783" t="s">
        <v>132</v>
      </c>
      <c r="N1783" t="s">
        <v>132</v>
      </c>
      <c r="O1783" s="4" t="s">
        <v>2886</v>
      </c>
      <c r="P1783">
        <v>0</v>
      </c>
      <c r="Q1783" s="24">
        <v>124.5</v>
      </c>
      <c r="R1783" s="25">
        <v>178.5</v>
      </c>
      <c r="S1783" s="26">
        <v>104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1803"/>
  <sheetViews>
    <sheetView workbookViewId="0">
      <pane xSplit="1" ySplit="1" topLeftCell="AH2" activePane="bottomRight" state="frozenSplit"/>
      <selection pane="topRight"/>
      <selection pane="bottomLeft"/>
      <selection pane="bottomRight" activeCell="AT148" sqref="AT148"/>
    </sheetView>
  </sheetViews>
  <sheetFormatPr defaultColWidth="9" defaultRowHeight="13.5" x14ac:dyDescent="0.15"/>
  <cols>
    <col min="7" max="7" width="9" style="7"/>
    <col min="18" max="18" width="12.75" customWidth="1"/>
  </cols>
  <sheetData>
    <row r="1" spans="1:19" x14ac:dyDescent="0.15">
      <c r="A1" s="2" t="s">
        <v>68</v>
      </c>
      <c r="B1">
        <v>0</v>
      </c>
      <c r="C1" s="2" t="s">
        <v>69</v>
      </c>
      <c r="D1" s="2" t="s">
        <v>70</v>
      </c>
      <c r="E1" s="2" t="s">
        <v>71</v>
      </c>
      <c r="F1" s="2" t="s">
        <v>72</v>
      </c>
      <c r="G1" s="19" t="s">
        <v>73</v>
      </c>
      <c r="H1">
        <v>1</v>
      </c>
      <c r="I1" s="2" t="s">
        <v>74</v>
      </c>
    </row>
    <row r="2" spans="1:19" x14ac:dyDescent="0.15">
      <c r="B2">
        <v>1</v>
      </c>
      <c r="C2" s="2" t="s">
        <v>59</v>
      </c>
      <c r="H2">
        <v>2</v>
      </c>
      <c r="I2" s="2" t="s">
        <v>75</v>
      </c>
      <c r="J2" s="2" t="s">
        <v>76</v>
      </c>
      <c r="K2" s="2" t="s">
        <v>77</v>
      </c>
      <c r="M2" t="s">
        <v>78</v>
      </c>
    </row>
    <row r="3" spans="1:19" x14ac:dyDescent="0.15">
      <c r="B3">
        <v>2</v>
      </c>
      <c r="C3" s="2" t="s">
        <v>60</v>
      </c>
      <c r="H3">
        <v>3</v>
      </c>
      <c r="I3" s="2" t="s">
        <v>79</v>
      </c>
      <c r="J3" s="2" t="s">
        <v>80</v>
      </c>
      <c r="K3" s="2" t="s">
        <v>81</v>
      </c>
      <c r="M3">
        <v>15</v>
      </c>
      <c r="N3">
        <f>21*60*60/15</f>
        <v>5040</v>
      </c>
      <c r="O3">
        <f>N3*0.02/100</f>
        <v>1.008</v>
      </c>
      <c r="R3">
        <f>1+1+1+1+1+1+2+4+1+1+9+5</f>
        <v>28</v>
      </c>
      <c r="S3">
        <f>R3*4</f>
        <v>112</v>
      </c>
    </row>
    <row r="4" spans="1:19" x14ac:dyDescent="0.15">
      <c r="B4">
        <v>3</v>
      </c>
      <c r="C4" s="2" t="s">
        <v>61</v>
      </c>
    </row>
    <row r="5" spans="1:19" x14ac:dyDescent="0.15">
      <c r="B5">
        <v>4</v>
      </c>
      <c r="C5" s="2" t="s">
        <v>82</v>
      </c>
    </row>
    <row r="6" spans="1:19" x14ac:dyDescent="0.15">
      <c r="B6">
        <v>5</v>
      </c>
      <c r="C6" s="2" t="s">
        <v>83</v>
      </c>
      <c r="D6" s="2" t="s">
        <v>84</v>
      </c>
      <c r="E6" s="5" t="s">
        <v>43</v>
      </c>
      <c r="F6" s="5" t="s">
        <v>85</v>
      </c>
    </row>
    <row r="7" spans="1:19" x14ac:dyDescent="0.15">
      <c r="B7">
        <v>6</v>
      </c>
      <c r="C7" s="2" t="s">
        <v>86</v>
      </c>
      <c r="D7" s="2" t="s">
        <v>73</v>
      </c>
      <c r="E7" s="2" t="s">
        <v>87</v>
      </c>
      <c r="F7" s="2" t="s">
        <v>88</v>
      </c>
    </row>
    <row r="8" spans="1:19" x14ac:dyDescent="0.15">
      <c r="B8">
        <v>7</v>
      </c>
      <c r="C8" s="2" t="s">
        <v>89</v>
      </c>
      <c r="D8" s="2" t="s">
        <v>84</v>
      </c>
    </row>
    <row r="9" spans="1:19" x14ac:dyDescent="0.15">
      <c r="B9">
        <v>8</v>
      </c>
      <c r="C9" s="2" t="s">
        <v>90</v>
      </c>
      <c r="D9" s="2" t="s">
        <v>24</v>
      </c>
    </row>
    <row r="10" spans="1:19" x14ac:dyDescent="0.15">
      <c r="B10">
        <v>9</v>
      </c>
      <c r="C10" s="2" t="s">
        <v>91</v>
      </c>
      <c r="D10" s="2"/>
    </row>
    <row r="11" spans="1:19" x14ac:dyDescent="0.15">
      <c r="B11">
        <v>10</v>
      </c>
      <c r="C11" s="2" t="s">
        <v>92</v>
      </c>
      <c r="D11" s="2" t="s">
        <v>80</v>
      </c>
    </row>
    <row r="12" spans="1:19" x14ac:dyDescent="0.15">
      <c r="B12">
        <v>11</v>
      </c>
      <c r="C12" s="2" t="s">
        <v>93</v>
      </c>
      <c r="D12" s="2" t="s">
        <v>76</v>
      </c>
    </row>
    <row r="13" spans="1:19" x14ac:dyDescent="0.15">
      <c r="B13">
        <v>12</v>
      </c>
      <c r="C13" s="2" t="s">
        <v>94</v>
      </c>
      <c r="D13" s="2"/>
    </row>
    <row r="14" spans="1:19" x14ac:dyDescent="0.15">
      <c r="B14">
        <v>13</v>
      </c>
      <c r="C14" s="2" t="s">
        <v>95</v>
      </c>
      <c r="D14" s="2"/>
    </row>
    <row r="15" spans="1:19" x14ac:dyDescent="0.15">
      <c r="B15">
        <v>14</v>
      </c>
      <c r="C15" s="2" t="s">
        <v>96</v>
      </c>
      <c r="D15" s="2"/>
    </row>
    <row r="16" spans="1:19" x14ac:dyDescent="0.15">
      <c r="B16" s="2">
        <v>15</v>
      </c>
      <c r="C16" s="2" t="s">
        <v>97</v>
      </c>
      <c r="D16" s="2"/>
    </row>
    <row r="17" spans="1:79" x14ac:dyDescent="0.15">
      <c r="B17" s="2">
        <v>16</v>
      </c>
      <c r="C17" s="2" t="s">
        <v>98</v>
      </c>
      <c r="D17" s="2"/>
    </row>
    <row r="18" spans="1:79" x14ac:dyDescent="0.15">
      <c r="B18" s="2"/>
      <c r="C18" s="2"/>
      <c r="D18" s="2"/>
    </row>
    <row r="19" spans="1:79" x14ac:dyDescent="0.15">
      <c r="B19" s="2"/>
      <c r="C19" s="2"/>
      <c r="D19" s="2"/>
    </row>
    <row r="20" spans="1:79" x14ac:dyDescent="0.15">
      <c r="B20" s="2"/>
      <c r="C20" s="2"/>
      <c r="D20" s="2"/>
    </row>
    <row r="21" spans="1:79" x14ac:dyDescent="0.15">
      <c r="B21" s="2"/>
      <c r="C21" s="2"/>
      <c r="D21" s="2"/>
    </row>
    <row r="22" spans="1:79" x14ac:dyDescent="0.15">
      <c r="B22" s="2"/>
      <c r="C22" s="2"/>
      <c r="D22" s="2"/>
    </row>
    <row r="23" spans="1:79" x14ac:dyDescent="0.15">
      <c r="B23" t="s">
        <v>99</v>
      </c>
      <c r="C23" t="s">
        <v>70</v>
      </c>
      <c r="D23" t="s">
        <v>71</v>
      </c>
      <c r="E23" t="s">
        <v>72</v>
      </c>
      <c r="F23" t="s">
        <v>100</v>
      </c>
      <c r="G23" s="7" t="s">
        <v>101</v>
      </c>
      <c r="H23" t="s">
        <v>99</v>
      </c>
      <c r="I23" t="s">
        <v>70</v>
      </c>
      <c r="J23" t="s">
        <v>71</v>
      </c>
      <c r="K23" t="s">
        <v>72</v>
      </c>
      <c r="L23" t="s">
        <v>100</v>
      </c>
      <c r="M23" t="s">
        <v>101</v>
      </c>
      <c r="N23" t="s">
        <v>99</v>
      </c>
      <c r="O23" t="s">
        <v>70</v>
      </c>
      <c r="P23" t="s">
        <v>71</v>
      </c>
      <c r="Q23" t="s">
        <v>72</v>
      </c>
      <c r="R23" t="s">
        <v>100</v>
      </c>
      <c r="S23" t="s">
        <v>101</v>
      </c>
      <c r="T23" t="s">
        <v>99</v>
      </c>
      <c r="U23" t="s">
        <v>70</v>
      </c>
      <c r="V23" t="s">
        <v>71</v>
      </c>
      <c r="W23" t="s">
        <v>72</v>
      </c>
      <c r="X23" t="s">
        <v>100</v>
      </c>
      <c r="Y23" t="s">
        <v>101</v>
      </c>
      <c r="Z23" t="s">
        <v>99</v>
      </c>
      <c r="AA23" t="s">
        <v>70</v>
      </c>
      <c r="AB23" t="s">
        <v>71</v>
      </c>
      <c r="AC23" t="s">
        <v>72</v>
      </c>
      <c r="AD23" t="s">
        <v>100</v>
      </c>
      <c r="AE23" t="s">
        <v>101</v>
      </c>
      <c r="AF23" t="s">
        <v>99</v>
      </c>
      <c r="AG23" t="s">
        <v>70</v>
      </c>
      <c r="AH23" t="s">
        <v>71</v>
      </c>
      <c r="AI23" t="s">
        <v>72</v>
      </c>
      <c r="AJ23" t="s">
        <v>100</v>
      </c>
      <c r="AK23" t="s">
        <v>101</v>
      </c>
      <c r="AL23" t="s">
        <v>99</v>
      </c>
      <c r="AM23" t="s">
        <v>70</v>
      </c>
      <c r="AN23" t="s">
        <v>71</v>
      </c>
      <c r="AO23" t="s">
        <v>72</v>
      </c>
      <c r="AP23" t="s">
        <v>100</v>
      </c>
      <c r="AQ23" t="s">
        <v>101</v>
      </c>
      <c r="AR23" t="s">
        <v>99</v>
      </c>
      <c r="AS23" t="s">
        <v>102</v>
      </c>
      <c r="AT23" t="s">
        <v>103</v>
      </c>
      <c r="AU23" t="s">
        <v>104</v>
      </c>
      <c r="AV23" t="s">
        <v>100</v>
      </c>
      <c r="AW23" t="s">
        <v>101</v>
      </c>
      <c r="AX23" t="s">
        <v>99</v>
      </c>
      <c r="AY23" t="s">
        <v>102</v>
      </c>
      <c r="AZ23" t="s">
        <v>103</v>
      </c>
      <c r="BA23" t="s">
        <v>104</v>
      </c>
      <c r="BB23" t="s">
        <v>100</v>
      </c>
      <c r="BC23" t="s">
        <v>101</v>
      </c>
      <c r="BD23" t="s">
        <v>99</v>
      </c>
      <c r="BE23" t="s">
        <v>102</v>
      </c>
      <c r="BF23" t="s">
        <v>103</v>
      </c>
      <c r="BG23" t="s">
        <v>104</v>
      </c>
      <c r="BH23" t="s">
        <v>100</v>
      </c>
      <c r="BI23" t="s">
        <v>101</v>
      </c>
      <c r="BJ23" t="s">
        <v>99</v>
      </c>
      <c r="BK23" t="s">
        <v>102</v>
      </c>
      <c r="BL23" t="s">
        <v>103</v>
      </c>
      <c r="BM23" t="s">
        <v>104</v>
      </c>
      <c r="BN23" t="s">
        <v>100</v>
      </c>
      <c r="BO23" t="s">
        <v>101</v>
      </c>
      <c r="BP23" t="s">
        <v>99</v>
      </c>
      <c r="BQ23" t="s">
        <v>102</v>
      </c>
      <c r="BR23" t="s">
        <v>103</v>
      </c>
      <c r="BS23" t="s">
        <v>104</v>
      </c>
      <c r="BT23" t="s">
        <v>100</v>
      </c>
      <c r="BU23" t="s">
        <v>101</v>
      </c>
      <c r="BV23" t="s">
        <v>99</v>
      </c>
      <c r="BW23" t="s">
        <v>102</v>
      </c>
      <c r="BX23" t="s">
        <v>103</v>
      </c>
      <c r="BY23" t="s">
        <v>104</v>
      </c>
      <c r="BZ23" t="s">
        <v>100</v>
      </c>
      <c r="CA23" t="s">
        <v>101</v>
      </c>
    </row>
    <row r="24" spans="1:79" x14ac:dyDescent="0.15">
      <c r="A24" s="10">
        <v>101</v>
      </c>
      <c r="B24">
        <v>12</v>
      </c>
      <c r="C24">
        <v>0</v>
      </c>
      <c r="D24">
        <v>0</v>
      </c>
      <c r="E24">
        <v>0</v>
      </c>
      <c r="F24">
        <v>1</v>
      </c>
      <c r="G24" s="7">
        <v>0.5</v>
      </c>
    </row>
    <row r="25" spans="1:79" x14ac:dyDescent="0.15">
      <c r="A25" s="10">
        <v>102</v>
      </c>
      <c r="B25">
        <v>12</v>
      </c>
      <c r="C25">
        <v>0</v>
      </c>
      <c r="D25">
        <v>0</v>
      </c>
      <c r="E25">
        <v>0</v>
      </c>
      <c r="F25">
        <v>1</v>
      </c>
      <c r="G25" s="7">
        <v>0.5</v>
      </c>
    </row>
    <row r="26" spans="1:79" x14ac:dyDescent="0.15">
      <c r="A26" s="10">
        <v>103</v>
      </c>
      <c r="B26">
        <v>12</v>
      </c>
      <c r="C26">
        <v>0</v>
      </c>
      <c r="D26">
        <v>0</v>
      </c>
      <c r="E26">
        <v>0</v>
      </c>
      <c r="F26">
        <v>1</v>
      </c>
      <c r="G26" s="7">
        <v>0.5</v>
      </c>
      <c r="N26" s="7"/>
      <c r="O26" s="7"/>
      <c r="P26" s="7"/>
      <c r="Q26" s="7"/>
      <c r="R26" s="7"/>
    </row>
    <row r="27" spans="1:79" x14ac:dyDescent="0.15">
      <c r="A27" s="10">
        <v>104</v>
      </c>
      <c r="B27">
        <v>12</v>
      </c>
      <c r="C27">
        <v>0</v>
      </c>
      <c r="D27">
        <v>0</v>
      </c>
      <c r="E27">
        <v>0</v>
      </c>
      <c r="F27">
        <v>1</v>
      </c>
      <c r="G27" s="7">
        <v>0.5</v>
      </c>
    </row>
    <row r="28" spans="1:79" x14ac:dyDescent="0.15">
      <c r="A28" s="10">
        <v>105</v>
      </c>
      <c r="B28">
        <v>12</v>
      </c>
      <c r="C28">
        <v>0</v>
      </c>
      <c r="D28">
        <v>0</v>
      </c>
      <c r="E28">
        <v>0</v>
      </c>
      <c r="F28">
        <v>1</v>
      </c>
      <c r="G28" s="7">
        <v>0.5</v>
      </c>
      <c r="T28" s="7"/>
      <c r="U28" s="7"/>
      <c r="V28" s="7"/>
      <c r="W28" s="7"/>
      <c r="X28" s="7"/>
      <c r="Y28" s="7"/>
    </row>
    <row r="29" spans="1:79" x14ac:dyDescent="0.15">
      <c r="A29" s="10">
        <v>106</v>
      </c>
      <c r="B29">
        <v>12</v>
      </c>
      <c r="C29">
        <v>0</v>
      </c>
      <c r="D29">
        <v>0</v>
      </c>
      <c r="E29">
        <v>0</v>
      </c>
      <c r="F29">
        <v>1</v>
      </c>
      <c r="G29" s="7">
        <v>0.5</v>
      </c>
      <c r="N29" s="7"/>
      <c r="O29" s="7"/>
      <c r="P29" s="7"/>
      <c r="Q29" s="7"/>
      <c r="R29" s="7"/>
      <c r="Z29">
        <v>23</v>
      </c>
      <c r="AA29">
        <v>0</v>
      </c>
      <c r="AB29">
        <v>0</v>
      </c>
      <c r="AC29">
        <v>0</v>
      </c>
      <c r="AD29">
        <v>1</v>
      </c>
      <c r="AE29">
        <v>0.01</v>
      </c>
    </row>
    <row r="30" spans="1:79" x14ac:dyDescent="0.15">
      <c r="A30" s="10">
        <v>107</v>
      </c>
      <c r="B30">
        <v>12</v>
      </c>
      <c r="C30">
        <v>0</v>
      </c>
      <c r="D30">
        <v>0</v>
      </c>
      <c r="E30">
        <v>0</v>
      </c>
      <c r="F30">
        <v>1</v>
      </c>
      <c r="G30" s="7">
        <v>0.5</v>
      </c>
      <c r="T30" s="7"/>
      <c r="U30" s="7"/>
      <c r="V30" s="7"/>
      <c r="W30" s="7"/>
      <c r="X30" s="7"/>
      <c r="Y30" s="7"/>
      <c r="Z30">
        <v>23</v>
      </c>
      <c r="AA30">
        <v>0</v>
      </c>
      <c r="AB30">
        <v>0</v>
      </c>
      <c r="AC30">
        <v>0</v>
      </c>
      <c r="AD30">
        <v>1</v>
      </c>
      <c r="AE30">
        <v>0.01</v>
      </c>
    </row>
    <row r="31" spans="1:79" x14ac:dyDescent="0.15">
      <c r="A31" s="10">
        <v>108</v>
      </c>
      <c r="B31">
        <v>12</v>
      </c>
      <c r="C31">
        <v>0</v>
      </c>
      <c r="D31">
        <v>0</v>
      </c>
      <c r="E31">
        <v>0</v>
      </c>
      <c r="F31">
        <v>1</v>
      </c>
      <c r="G31" s="7">
        <v>0.5</v>
      </c>
      <c r="Z31">
        <v>23</v>
      </c>
      <c r="AA31">
        <v>0</v>
      </c>
      <c r="AB31">
        <v>0</v>
      </c>
      <c r="AC31">
        <v>0</v>
      </c>
      <c r="AD31">
        <v>1</v>
      </c>
      <c r="AE31">
        <v>0.01</v>
      </c>
    </row>
    <row r="32" spans="1:79" x14ac:dyDescent="0.15">
      <c r="A32" s="10">
        <v>201</v>
      </c>
      <c r="B32">
        <v>12</v>
      </c>
      <c r="C32">
        <v>0</v>
      </c>
      <c r="D32">
        <v>0</v>
      </c>
      <c r="E32">
        <v>0</v>
      </c>
      <c r="F32">
        <v>1</v>
      </c>
      <c r="G32" s="7">
        <v>0.5</v>
      </c>
      <c r="Z32">
        <v>23</v>
      </c>
      <c r="AA32">
        <v>0</v>
      </c>
      <c r="AB32">
        <v>0</v>
      </c>
      <c r="AC32">
        <v>0</v>
      </c>
      <c r="AD32">
        <v>1</v>
      </c>
      <c r="AE32">
        <v>0.01</v>
      </c>
    </row>
    <row r="33" spans="1:37" x14ac:dyDescent="0.15">
      <c r="A33" s="10">
        <v>202</v>
      </c>
      <c r="B33">
        <v>12</v>
      </c>
      <c r="C33">
        <v>0</v>
      </c>
      <c r="D33">
        <v>0</v>
      </c>
      <c r="E33">
        <v>0</v>
      </c>
      <c r="F33">
        <v>1</v>
      </c>
      <c r="G33" s="7">
        <v>0.5</v>
      </c>
      <c r="O33" s="1"/>
      <c r="Z33">
        <v>23</v>
      </c>
      <c r="AA33">
        <v>0</v>
      </c>
      <c r="AB33">
        <v>0</v>
      </c>
      <c r="AC33">
        <v>0</v>
      </c>
      <c r="AD33">
        <v>1</v>
      </c>
      <c r="AE33">
        <v>0.01</v>
      </c>
    </row>
    <row r="34" spans="1:37" x14ac:dyDescent="0.15">
      <c r="A34" s="10">
        <v>203</v>
      </c>
      <c r="B34">
        <v>12</v>
      </c>
      <c r="C34">
        <v>0</v>
      </c>
      <c r="D34">
        <v>0</v>
      </c>
      <c r="E34">
        <v>0</v>
      </c>
      <c r="F34">
        <v>1</v>
      </c>
      <c r="G34" s="7">
        <v>0.5</v>
      </c>
      <c r="Z34">
        <v>23</v>
      </c>
      <c r="AA34">
        <v>0</v>
      </c>
      <c r="AB34">
        <v>0</v>
      </c>
      <c r="AC34">
        <v>0</v>
      </c>
      <c r="AD34">
        <v>1</v>
      </c>
      <c r="AE34">
        <v>0.01</v>
      </c>
      <c r="AG34" s="1"/>
      <c r="AK34" s="7"/>
    </row>
    <row r="35" spans="1:37" x14ac:dyDescent="0.15">
      <c r="A35" s="10">
        <v>204</v>
      </c>
      <c r="B35" s="3">
        <v>12</v>
      </c>
      <c r="C35">
        <v>0</v>
      </c>
      <c r="D35">
        <v>0</v>
      </c>
      <c r="E35">
        <v>0</v>
      </c>
      <c r="F35">
        <v>1</v>
      </c>
      <c r="G35" s="7">
        <v>0.5</v>
      </c>
      <c r="Z35">
        <v>23</v>
      </c>
      <c r="AA35">
        <v>0</v>
      </c>
      <c r="AB35">
        <v>0</v>
      </c>
      <c r="AC35">
        <v>0</v>
      </c>
      <c r="AD35">
        <v>1</v>
      </c>
      <c r="AE35">
        <v>0.01</v>
      </c>
    </row>
    <row r="36" spans="1:37" x14ac:dyDescent="0.15">
      <c r="A36" s="10">
        <v>205</v>
      </c>
      <c r="B36">
        <v>12</v>
      </c>
      <c r="C36">
        <v>0</v>
      </c>
      <c r="D36">
        <v>0</v>
      </c>
      <c r="E36">
        <v>0</v>
      </c>
      <c r="F36">
        <v>1</v>
      </c>
      <c r="G36" s="7">
        <v>0.5</v>
      </c>
      <c r="O36" s="1"/>
      <c r="Z36">
        <v>23</v>
      </c>
      <c r="AA36">
        <v>0</v>
      </c>
      <c r="AB36">
        <v>0</v>
      </c>
      <c r="AC36">
        <v>0</v>
      </c>
      <c r="AD36">
        <v>1</v>
      </c>
      <c r="AE36">
        <v>0.01</v>
      </c>
    </row>
    <row r="37" spans="1:37" x14ac:dyDescent="0.15">
      <c r="A37" s="10">
        <v>206</v>
      </c>
      <c r="B37">
        <v>7</v>
      </c>
      <c r="C37" s="1">
        <v>1</v>
      </c>
      <c r="D37">
        <v>0</v>
      </c>
      <c r="E37">
        <v>0</v>
      </c>
      <c r="F37">
        <v>1</v>
      </c>
      <c r="G37" s="7">
        <v>0.64</v>
      </c>
      <c r="H37">
        <v>12</v>
      </c>
      <c r="I37">
        <v>0</v>
      </c>
      <c r="J37">
        <v>0</v>
      </c>
      <c r="K37">
        <v>0</v>
      </c>
      <c r="L37">
        <v>1</v>
      </c>
      <c r="M37">
        <v>0.5</v>
      </c>
      <c r="U37" s="1"/>
      <c r="Z37">
        <v>23</v>
      </c>
      <c r="AA37">
        <v>0</v>
      </c>
      <c r="AB37">
        <v>0</v>
      </c>
      <c r="AC37">
        <v>0</v>
      </c>
      <c r="AD37">
        <v>1</v>
      </c>
      <c r="AE37">
        <v>0.01</v>
      </c>
    </row>
    <row r="38" spans="1:37" x14ac:dyDescent="0.15">
      <c r="A38" s="10">
        <v>207</v>
      </c>
      <c r="B38">
        <v>7</v>
      </c>
      <c r="C38" s="1">
        <v>2</v>
      </c>
      <c r="D38">
        <v>0</v>
      </c>
      <c r="E38">
        <v>0</v>
      </c>
      <c r="F38">
        <v>1</v>
      </c>
      <c r="G38" s="7">
        <v>0.64</v>
      </c>
      <c r="H38">
        <v>12</v>
      </c>
      <c r="I38">
        <v>0</v>
      </c>
      <c r="J38">
        <v>0</v>
      </c>
      <c r="K38">
        <v>0</v>
      </c>
      <c r="L38">
        <v>1</v>
      </c>
      <c r="M38">
        <v>0.5</v>
      </c>
      <c r="U38" s="1"/>
      <c r="Z38">
        <v>23</v>
      </c>
      <c r="AA38">
        <v>0</v>
      </c>
      <c r="AB38">
        <v>0</v>
      </c>
      <c r="AC38">
        <v>0</v>
      </c>
      <c r="AD38">
        <v>1</v>
      </c>
      <c r="AE38">
        <v>0.01</v>
      </c>
    </row>
    <row r="39" spans="1:37" x14ac:dyDescent="0.15">
      <c r="A39" s="10">
        <v>208</v>
      </c>
      <c r="B39">
        <v>7</v>
      </c>
      <c r="C39" s="1">
        <v>3</v>
      </c>
      <c r="D39">
        <v>0</v>
      </c>
      <c r="E39">
        <v>0</v>
      </c>
      <c r="F39">
        <v>1</v>
      </c>
      <c r="G39" s="7">
        <v>0.64</v>
      </c>
      <c r="H39">
        <v>12</v>
      </c>
      <c r="I39">
        <v>0</v>
      </c>
      <c r="J39">
        <v>0</v>
      </c>
      <c r="K39">
        <v>0</v>
      </c>
      <c r="L39">
        <v>1</v>
      </c>
      <c r="M39">
        <v>0.5</v>
      </c>
      <c r="O39" s="1"/>
      <c r="U39" s="1"/>
      <c r="Z39">
        <v>23</v>
      </c>
      <c r="AA39">
        <v>0</v>
      </c>
      <c r="AB39">
        <v>0</v>
      </c>
      <c r="AC39">
        <v>0</v>
      </c>
      <c r="AD39">
        <v>1</v>
      </c>
      <c r="AE39">
        <v>0.01</v>
      </c>
    </row>
    <row r="40" spans="1:37" x14ac:dyDescent="0.15">
      <c r="A40" s="10">
        <v>209</v>
      </c>
      <c r="B40">
        <v>7</v>
      </c>
      <c r="C40" s="1">
        <v>4</v>
      </c>
      <c r="D40">
        <v>0</v>
      </c>
      <c r="E40">
        <v>0</v>
      </c>
      <c r="F40">
        <v>1</v>
      </c>
      <c r="G40" s="7">
        <v>0.64</v>
      </c>
      <c r="H40">
        <v>12</v>
      </c>
      <c r="I40">
        <v>0</v>
      </c>
      <c r="J40">
        <v>0</v>
      </c>
      <c r="K40">
        <v>0</v>
      </c>
      <c r="L40">
        <v>1</v>
      </c>
      <c r="M40">
        <v>0.5</v>
      </c>
      <c r="U40" s="1"/>
      <c r="Z40">
        <v>23</v>
      </c>
      <c r="AA40">
        <v>0</v>
      </c>
      <c r="AB40">
        <v>0</v>
      </c>
      <c r="AC40">
        <v>0</v>
      </c>
      <c r="AD40">
        <v>1</v>
      </c>
      <c r="AE40">
        <v>0.01</v>
      </c>
    </row>
    <row r="41" spans="1:37" x14ac:dyDescent="0.15">
      <c r="A41" s="10">
        <v>210</v>
      </c>
      <c r="B41">
        <v>7</v>
      </c>
      <c r="C41" s="1">
        <v>0</v>
      </c>
      <c r="D41">
        <v>1</v>
      </c>
      <c r="E41">
        <v>1</v>
      </c>
      <c r="F41">
        <v>1</v>
      </c>
      <c r="G41" s="7">
        <v>0.64</v>
      </c>
      <c r="H41">
        <v>12</v>
      </c>
      <c r="I41">
        <v>0</v>
      </c>
      <c r="J41">
        <v>0</v>
      </c>
      <c r="K41">
        <v>0</v>
      </c>
      <c r="L41">
        <v>1</v>
      </c>
      <c r="M41">
        <v>0.5</v>
      </c>
      <c r="U41" s="1"/>
      <c r="Z41">
        <v>23</v>
      </c>
      <c r="AA41">
        <v>0</v>
      </c>
      <c r="AB41">
        <v>0</v>
      </c>
      <c r="AC41">
        <v>0</v>
      </c>
      <c r="AD41">
        <v>1</v>
      </c>
      <c r="AE41">
        <v>0.01</v>
      </c>
    </row>
    <row r="42" spans="1:37" x14ac:dyDescent="0.15">
      <c r="A42" s="10">
        <v>211</v>
      </c>
      <c r="B42">
        <v>7</v>
      </c>
      <c r="C42" s="1">
        <v>0</v>
      </c>
      <c r="D42">
        <v>1</v>
      </c>
      <c r="E42">
        <v>1</v>
      </c>
      <c r="F42">
        <v>1</v>
      </c>
      <c r="G42" s="7">
        <v>0.64</v>
      </c>
      <c r="H42">
        <v>12</v>
      </c>
      <c r="I42">
        <v>0</v>
      </c>
      <c r="J42">
        <v>0</v>
      </c>
      <c r="K42">
        <v>0</v>
      </c>
      <c r="L42">
        <v>1</v>
      </c>
      <c r="M42">
        <v>0.5</v>
      </c>
      <c r="U42" s="1"/>
      <c r="Z42">
        <v>23</v>
      </c>
      <c r="AA42">
        <v>0</v>
      </c>
      <c r="AB42">
        <v>0</v>
      </c>
      <c r="AC42">
        <v>0</v>
      </c>
      <c r="AD42">
        <v>1</v>
      </c>
      <c r="AE42">
        <v>0.01</v>
      </c>
    </row>
    <row r="43" spans="1:37" x14ac:dyDescent="0.15">
      <c r="A43" s="10">
        <v>212</v>
      </c>
      <c r="B43">
        <v>7</v>
      </c>
      <c r="C43" s="1">
        <v>0</v>
      </c>
      <c r="D43">
        <v>1</v>
      </c>
      <c r="E43">
        <v>1</v>
      </c>
      <c r="F43">
        <v>1</v>
      </c>
      <c r="G43" s="7">
        <v>0.64</v>
      </c>
      <c r="H43">
        <v>12</v>
      </c>
      <c r="I43">
        <v>0</v>
      </c>
      <c r="J43">
        <v>0</v>
      </c>
      <c r="K43">
        <v>0</v>
      </c>
      <c r="L43">
        <v>1</v>
      </c>
      <c r="M43">
        <v>0.5</v>
      </c>
      <c r="U43" s="1"/>
      <c r="Z43">
        <v>23</v>
      </c>
      <c r="AA43">
        <v>0</v>
      </c>
      <c r="AB43">
        <v>0</v>
      </c>
      <c r="AC43">
        <v>0</v>
      </c>
      <c r="AD43">
        <v>1</v>
      </c>
      <c r="AE43">
        <v>0.01</v>
      </c>
    </row>
    <row r="44" spans="1:37" x14ac:dyDescent="0.15">
      <c r="A44" s="10">
        <v>301</v>
      </c>
      <c r="B44">
        <v>7</v>
      </c>
      <c r="C44" s="1">
        <v>1</v>
      </c>
      <c r="D44">
        <v>0</v>
      </c>
      <c r="E44">
        <v>0</v>
      </c>
      <c r="F44">
        <v>1</v>
      </c>
      <c r="G44" s="7">
        <v>0.64</v>
      </c>
      <c r="H44">
        <v>12</v>
      </c>
      <c r="I44">
        <v>0</v>
      </c>
      <c r="J44">
        <v>0</v>
      </c>
      <c r="K44">
        <v>0</v>
      </c>
      <c r="L44">
        <v>1</v>
      </c>
      <c r="M44">
        <v>0.8</v>
      </c>
      <c r="O44" s="1"/>
      <c r="U44" s="1"/>
      <c r="Z44">
        <v>23</v>
      </c>
      <c r="AA44">
        <v>0</v>
      </c>
      <c r="AB44">
        <v>0</v>
      </c>
      <c r="AC44">
        <v>0</v>
      </c>
      <c r="AD44">
        <v>1</v>
      </c>
      <c r="AE44">
        <v>0.01</v>
      </c>
    </row>
    <row r="45" spans="1:37" x14ac:dyDescent="0.15">
      <c r="A45" s="10">
        <v>302</v>
      </c>
      <c r="B45">
        <v>7</v>
      </c>
      <c r="C45" s="1">
        <v>2</v>
      </c>
      <c r="D45">
        <v>0</v>
      </c>
      <c r="E45">
        <v>0</v>
      </c>
      <c r="F45">
        <v>1</v>
      </c>
      <c r="G45" s="7">
        <v>0.64</v>
      </c>
      <c r="H45">
        <v>12</v>
      </c>
      <c r="I45">
        <v>0</v>
      </c>
      <c r="J45">
        <v>0</v>
      </c>
      <c r="K45">
        <v>0</v>
      </c>
      <c r="L45">
        <v>1</v>
      </c>
      <c r="M45">
        <v>0.8</v>
      </c>
      <c r="O45" s="1"/>
      <c r="U45" s="1"/>
      <c r="Z45">
        <v>23</v>
      </c>
      <c r="AA45">
        <v>0</v>
      </c>
      <c r="AB45">
        <v>0</v>
      </c>
      <c r="AC45">
        <v>0</v>
      </c>
      <c r="AD45">
        <v>1</v>
      </c>
      <c r="AE45">
        <v>0.01</v>
      </c>
    </row>
    <row r="46" spans="1:37" x14ac:dyDescent="0.15">
      <c r="A46" s="10">
        <v>303</v>
      </c>
      <c r="B46">
        <v>7</v>
      </c>
      <c r="C46" s="1">
        <v>3</v>
      </c>
      <c r="D46">
        <v>0</v>
      </c>
      <c r="E46">
        <v>0</v>
      </c>
      <c r="F46">
        <v>1</v>
      </c>
      <c r="G46" s="7">
        <v>0.64</v>
      </c>
      <c r="H46">
        <v>12</v>
      </c>
      <c r="I46">
        <v>0</v>
      </c>
      <c r="J46">
        <v>0</v>
      </c>
      <c r="K46">
        <v>0</v>
      </c>
      <c r="L46">
        <v>1</v>
      </c>
      <c r="M46">
        <v>0.8</v>
      </c>
      <c r="O46" s="1"/>
      <c r="U46" s="1"/>
      <c r="Z46">
        <v>23</v>
      </c>
      <c r="AA46">
        <v>0</v>
      </c>
      <c r="AB46">
        <v>0</v>
      </c>
      <c r="AC46">
        <v>0</v>
      </c>
      <c r="AD46">
        <v>1</v>
      </c>
      <c r="AE46">
        <v>0.01</v>
      </c>
    </row>
    <row r="47" spans="1:37" x14ac:dyDescent="0.15">
      <c r="A47" s="10">
        <v>304</v>
      </c>
      <c r="B47">
        <v>7</v>
      </c>
      <c r="C47" s="1">
        <v>4</v>
      </c>
      <c r="D47">
        <v>0</v>
      </c>
      <c r="E47">
        <v>0</v>
      </c>
      <c r="F47">
        <v>1</v>
      </c>
      <c r="G47" s="7">
        <v>0.64</v>
      </c>
      <c r="H47">
        <v>12</v>
      </c>
      <c r="I47">
        <v>0</v>
      </c>
      <c r="J47">
        <v>0</v>
      </c>
      <c r="K47">
        <v>0</v>
      </c>
      <c r="L47">
        <v>1</v>
      </c>
      <c r="M47">
        <v>0.8</v>
      </c>
      <c r="O47" s="1"/>
      <c r="U47" s="1"/>
      <c r="Z47">
        <v>23</v>
      </c>
      <c r="AA47">
        <v>0</v>
      </c>
      <c r="AB47">
        <v>0</v>
      </c>
      <c r="AC47">
        <v>0</v>
      </c>
      <c r="AD47">
        <v>1</v>
      </c>
      <c r="AE47">
        <v>0.01</v>
      </c>
    </row>
    <row r="48" spans="1:37" x14ac:dyDescent="0.15">
      <c r="A48" s="10">
        <v>305</v>
      </c>
      <c r="B48">
        <v>7</v>
      </c>
      <c r="C48" s="1">
        <v>0</v>
      </c>
      <c r="D48">
        <v>1</v>
      </c>
      <c r="E48">
        <v>1</v>
      </c>
      <c r="F48">
        <v>1</v>
      </c>
      <c r="G48" s="7">
        <v>0.64</v>
      </c>
      <c r="H48">
        <v>12</v>
      </c>
      <c r="I48">
        <v>0</v>
      </c>
      <c r="J48">
        <v>0</v>
      </c>
      <c r="K48">
        <v>0</v>
      </c>
      <c r="L48">
        <v>1</v>
      </c>
      <c r="M48">
        <v>0.8</v>
      </c>
      <c r="O48" s="1"/>
      <c r="U48" s="1"/>
      <c r="Z48">
        <v>23</v>
      </c>
      <c r="AA48">
        <v>0</v>
      </c>
      <c r="AB48">
        <v>0</v>
      </c>
      <c r="AC48">
        <v>0</v>
      </c>
      <c r="AD48">
        <v>1</v>
      </c>
      <c r="AE48">
        <v>0.01</v>
      </c>
    </row>
    <row r="49" spans="1:43" x14ac:dyDescent="0.15">
      <c r="A49" s="10">
        <v>306</v>
      </c>
      <c r="B49">
        <v>7</v>
      </c>
      <c r="C49" s="1">
        <v>5</v>
      </c>
      <c r="D49">
        <v>0</v>
      </c>
      <c r="E49">
        <v>0</v>
      </c>
      <c r="F49">
        <v>1</v>
      </c>
      <c r="G49" s="7">
        <v>0.48</v>
      </c>
      <c r="H49">
        <v>12</v>
      </c>
      <c r="I49">
        <v>0</v>
      </c>
      <c r="J49">
        <v>0</v>
      </c>
      <c r="K49">
        <v>0</v>
      </c>
      <c r="L49">
        <v>1</v>
      </c>
      <c r="M49">
        <v>0.8</v>
      </c>
      <c r="O49" s="1"/>
      <c r="T49">
        <v>7</v>
      </c>
      <c r="U49" s="1">
        <v>1</v>
      </c>
      <c r="V49">
        <v>0</v>
      </c>
      <c r="W49">
        <v>0</v>
      </c>
      <c r="X49">
        <v>1</v>
      </c>
      <c r="Y49">
        <v>0.64</v>
      </c>
      <c r="Z49">
        <v>23</v>
      </c>
      <c r="AA49">
        <v>0</v>
      </c>
      <c r="AB49">
        <v>0</v>
      </c>
      <c r="AC49">
        <v>0</v>
      </c>
      <c r="AD49">
        <v>1</v>
      </c>
      <c r="AE49">
        <v>0.01</v>
      </c>
    </row>
    <row r="50" spans="1:43" x14ac:dyDescent="0.15">
      <c r="A50" s="10">
        <v>307</v>
      </c>
      <c r="B50">
        <v>7</v>
      </c>
      <c r="C50" s="1">
        <v>6</v>
      </c>
      <c r="D50">
        <v>0</v>
      </c>
      <c r="E50">
        <v>0</v>
      </c>
      <c r="F50">
        <v>1</v>
      </c>
      <c r="G50" s="7">
        <v>0.48</v>
      </c>
      <c r="H50">
        <v>12</v>
      </c>
      <c r="I50">
        <v>0</v>
      </c>
      <c r="J50">
        <v>0</v>
      </c>
      <c r="K50">
        <v>0</v>
      </c>
      <c r="L50">
        <v>1</v>
      </c>
      <c r="M50">
        <v>0.8</v>
      </c>
      <c r="O50" s="1"/>
      <c r="T50">
        <v>7</v>
      </c>
      <c r="U50" s="1">
        <v>2</v>
      </c>
      <c r="V50">
        <v>0</v>
      </c>
      <c r="W50">
        <v>0</v>
      </c>
      <c r="X50">
        <v>1</v>
      </c>
      <c r="Y50">
        <v>0.64</v>
      </c>
      <c r="Z50">
        <v>23</v>
      </c>
      <c r="AA50">
        <v>0</v>
      </c>
      <c r="AB50">
        <v>0</v>
      </c>
      <c r="AC50">
        <v>0</v>
      </c>
      <c r="AD50">
        <v>1</v>
      </c>
      <c r="AE50">
        <v>0.01</v>
      </c>
    </row>
    <row r="51" spans="1:43" x14ac:dyDescent="0.15">
      <c r="A51" s="10">
        <v>308</v>
      </c>
      <c r="B51">
        <v>7</v>
      </c>
      <c r="C51" s="1">
        <v>7</v>
      </c>
      <c r="D51">
        <v>0</v>
      </c>
      <c r="E51">
        <v>0</v>
      </c>
      <c r="F51">
        <v>1</v>
      </c>
      <c r="G51" s="7">
        <v>0.48</v>
      </c>
      <c r="H51">
        <v>12</v>
      </c>
      <c r="I51">
        <v>0</v>
      </c>
      <c r="J51">
        <v>0</v>
      </c>
      <c r="K51">
        <v>0</v>
      </c>
      <c r="L51">
        <v>1</v>
      </c>
      <c r="M51">
        <v>0.8</v>
      </c>
      <c r="O51" s="1"/>
      <c r="T51">
        <v>7</v>
      </c>
      <c r="U51" s="1">
        <v>3</v>
      </c>
      <c r="V51">
        <v>0</v>
      </c>
      <c r="W51">
        <v>0</v>
      </c>
      <c r="X51">
        <v>1</v>
      </c>
      <c r="Y51">
        <v>0.64</v>
      </c>
      <c r="Z51">
        <v>23</v>
      </c>
      <c r="AA51">
        <v>0</v>
      </c>
      <c r="AB51">
        <v>0</v>
      </c>
      <c r="AC51">
        <v>0</v>
      </c>
      <c r="AD51">
        <v>1</v>
      </c>
      <c r="AE51">
        <v>0.01</v>
      </c>
    </row>
    <row r="52" spans="1:43" x14ac:dyDescent="0.15">
      <c r="A52" s="10">
        <v>309</v>
      </c>
      <c r="B52">
        <v>7</v>
      </c>
      <c r="C52" s="1">
        <v>8</v>
      </c>
      <c r="D52">
        <v>0</v>
      </c>
      <c r="E52">
        <v>0</v>
      </c>
      <c r="F52">
        <v>1</v>
      </c>
      <c r="G52" s="7">
        <v>0.48</v>
      </c>
      <c r="H52">
        <v>12</v>
      </c>
      <c r="I52">
        <v>0</v>
      </c>
      <c r="J52">
        <v>0</v>
      </c>
      <c r="K52">
        <v>0</v>
      </c>
      <c r="L52">
        <v>1</v>
      </c>
      <c r="M52">
        <v>0.8</v>
      </c>
      <c r="O52" s="1"/>
      <c r="T52">
        <v>7</v>
      </c>
      <c r="U52" s="1">
        <v>4</v>
      </c>
      <c r="V52">
        <v>0</v>
      </c>
      <c r="W52">
        <v>0</v>
      </c>
      <c r="X52">
        <v>1</v>
      </c>
      <c r="Y52">
        <v>0.64</v>
      </c>
      <c r="Z52">
        <v>23</v>
      </c>
      <c r="AA52">
        <v>0</v>
      </c>
      <c r="AB52">
        <v>0</v>
      </c>
      <c r="AC52">
        <v>0</v>
      </c>
      <c r="AD52">
        <v>1</v>
      </c>
      <c r="AE52">
        <v>0.01</v>
      </c>
    </row>
    <row r="53" spans="1:43" x14ac:dyDescent="0.15">
      <c r="A53" s="10">
        <v>310</v>
      </c>
      <c r="B53">
        <v>7</v>
      </c>
      <c r="C53" s="1">
        <v>0</v>
      </c>
      <c r="D53">
        <v>1</v>
      </c>
      <c r="E53">
        <v>2</v>
      </c>
      <c r="F53">
        <v>1</v>
      </c>
      <c r="G53" s="7">
        <v>0.48</v>
      </c>
      <c r="H53">
        <v>12</v>
      </c>
      <c r="I53">
        <v>0</v>
      </c>
      <c r="J53">
        <v>0</v>
      </c>
      <c r="K53">
        <v>0</v>
      </c>
      <c r="L53">
        <v>1</v>
      </c>
      <c r="M53">
        <v>0.8</v>
      </c>
      <c r="O53" s="1"/>
      <c r="T53">
        <v>7</v>
      </c>
      <c r="U53" s="1">
        <v>0</v>
      </c>
      <c r="V53">
        <v>1</v>
      </c>
      <c r="W53">
        <v>1</v>
      </c>
      <c r="X53">
        <v>1</v>
      </c>
      <c r="Y53">
        <v>0.64</v>
      </c>
      <c r="Z53">
        <v>23</v>
      </c>
      <c r="AA53">
        <v>0</v>
      </c>
      <c r="AB53">
        <v>0</v>
      </c>
      <c r="AC53">
        <v>0</v>
      </c>
      <c r="AD53">
        <v>1</v>
      </c>
      <c r="AE53">
        <v>0.01</v>
      </c>
    </row>
    <row r="54" spans="1:43" x14ac:dyDescent="0.15">
      <c r="A54" s="10">
        <v>311</v>
      </c>
      <c r="B54">
        <v>7</v>
      </c>
      <c r="C54" s="1">
        <v>5</v>
      </c>
      <c r="D54">
        <v>0</v>
      </c>
      <c r="E54">
        <v>0</v>
      </c>
      <c r="F54">
        <v>1</v>
      </c>
      <c r="G54" s="7">
        <v>0.48</v>
      </c>
      <c r="H54">
        <v>12</v>
      </c>
      <c r="I54">
        <v>0</v>
      </c>
      <c r="J54">
        <v>0</v>
      </c>
      <c r="K54">
        <v>0</v>
      </c>
      <c r="L54">
        <v>1</v>
      </c>
      <c r="M54">
        <v>0.8</v>
      </c>
      <c r="N54" s="7"/>
      <c r="O54" s="7"/>
      <c r="P54" s="7"/>
      <c r="Q54" s="7"/>
      <c r="T54">
        <v>7</v>
      </c>
      <c r="U54" s="1">
        <v>1</v>
      </c>
      <c r="V54">
        <v>0</v>
      </c>
      <c r="W54">
        <v>0</v>
      </c>
      <c r="X54">
        <v>1</v>
      </c>
      <c r="Y54">
        <v>0.64</v>
      </c>
      <c r="Z54">
        <v>23</v>
      </c>
      <c r="AA54">
        <v>0</v>
      </c>
      <c r="AB54">
        <v>0</v>
      </c>
      <c r="AC54">
        <v>0</v>
      </c>
      <c r="AD54">
        <v>1</v>
      </c>
      <c r="AE54">
        <v>0.01</v>
      </c>
    </row>
    <row r="55" spans="1:43" x14ac:dyDescent="0.15">
      <c r="A55" s="10">
        <v>312</v>
      </c>
      <c r="B55">
        <v>7</v>
      </c>
      <c r="C55" s="1">
        <v>6</v>
      </c>
      <c r="D55">
        <v>0</v>
      </c>
      <c r="E55">
        <v>0</v>
      </c>
      <c r="F55">
        <v>1</v>
      </c>
      <c r="G55" s="7">
        <v>0.48</v>
      </c>
      <c r="H55">
        <v>12</v>
      </c>
      <c r="I55">
        <v>0</v>
      </c>
      <c r="J55">
        <v>0</v>
      </c>
      <c r="K55">
        <v>0</v>
      </c>
      <c r="L55">
        <v>1</v>
      </c>
      <c r="M55">
        <v>0.8</v>
      </c>
      <c r="N55" s="7"/>
      <c r="O55" s="7"/>
      <c r="P55" s="7"/>
      <c r="Q55" s="7"/>
      <c r="T55">
        <v>7</v>
      </c>
      <c r="U55" s="1">
        <v>2</v>
      </c>
      <c r="V55">
        <v>0</v>
      </c>
      <c r="W55">
        <v>0</v>
      </c>
      <c r="X55">
        <v>1</v>
      </c>
      <c r="Y55">
        <v>0.64</v>
      </c>
      <c r="Z55">
        <v>23</v>
      </c>
      <c r="AA55">
        <v>0</v>
      </c>
      <c r="AB55">
        <v>0</v>
      </c>
      <c r="AC55">
        <v>0</v>
      </c>
      <c r="AD55">
        <v>1</v>
      </c>
      <c r="AE55">
        <v>0.01</v>
      </c>
    </row>
    <row r="56" spans="1:43" x14ac:dyDescent="0.15">
      <c r="A56" s="10">
        <v>313</v>
      </c>
      <c r="B56">
        <v>7</v>
      </c>
      <c r="C56" s="1">
        <v>7</v>
      </c>
      <c r="D56">
        <v>0</v>
      </c>
      <c r="E56">
        <v>0</v>
      </c>
      <c r="F56">
        <v>1</v>
      </c>
      <c r="G56" s="7">
        <v>0.48</v>
      </c>
      <c r="H56">
        <v>12</v>
      </c>
      <c r="I56">
        <v>0</v>
      </c>
      <c r="J56">
        <v>0</v>
      </c>
      <c r="K56">
        <v>0</v>
      </c>
      <c r="L56">
        <v>1</v>
      </c>
      <c r="M56">
        <v>0.8</v>
      </c>
      <c r="N56" s="7"/>
      <c r="O56" s="7"/>
      <c r="P56" s="7"/>
      <c r="Q56" s="7"/>
      <c r="T56">
        <v>7</v>
      </c>
      <c r="U56" s="1">
        <v>3</v>
      </c>
      <c r="V56">
        <v>0</v>
      </c>
      <c r="W56">
        <v>0</v>
      </c>
      <c r="X56">
        <v>1</v>
      </c>
      <c r="Y56">
        <v>0.64</v>
      </c>
      <c r="Z56">
        <v>23</v>
      </c>
      <c r="AA56">
        <v>0</v>
      </c>
      <c r="AB56">
        <v>0</v>
      </c>
      <c r="AC56">
        <v>0</v>
      </c>
      <c r="AD56">
        <v>1</v>
      </c>
      <c r="AE56">
        <v>0.01</v>
      </c>
    </row>
    <row r="57" spans="1:43" x14ac:dyDescent="0.15">
      <c r="A57" s="10">
        <v>314</v>
      </c>
      <c r="B57">
        <v>7</v>
      </c>
      <c r="C57" s="1">
        <v>8</v>
      </c>
      <c r="D57">
        <v>0</v>
      </c>
      <c r="E57">
        <v>0</v>
      </c>
      <c r="F57">
        <v>1</v>
      </c>
      <c r="G57" s="7">
        <v>0.48</v>
      </c>
      <c r="H57">
        <v>12</v>
      </c>
      <c r="I57">
        <v>0</v>
      </c>
      <c r="J57">
        <v>0</v>
      </c>
      <c r="K57">
        <v>0</v>
      </c>
      <c r="L57">
        <v>1</v>
      </c>
      <c r="M57">
        <v>0.8</v>
      </c>
      <c r="N57" s="7"/>
      <c r="O57" s="7"/>
      <c r="P57" s="7"/>
      <c r="Q57" s="7"/>
      <c r="T57">
        <v>7</v>
      </c>
      <c r="U57" s="1">
        <v>4</v>
      </c>
      <c r="V57">
        <v>0</v>
      </c>
      <c r="W57">
        <v>0</v>
      </c>
      <c r="X57">
        <v>1</v>
      </c>
      <c r="Y57">
        <v>0.64</v>
      </c>
      <c r="Z57">
        <v>23</v>
      </c>
      <c r="AA57">
        <v>0</v>
      </c>
      <c r="AB57">
        <v>0</v>
      </c>
      <c r="AC57">
        <v>0</v>
      </c>
      <c r="AD57">
        <v>1</v>
      </c>
      <c r="AE57">
        <v>0.01</v>
      </c>
    </row>
    <row r="58" spans="1:43" x14ac:dyDescent="0.15">
      <c r="A58" s="10">
        <v>315</v>
      </c>
      <c r="B58">
        <v>7</v>
      </c>
      <c r="C58" s="1">
        <v>0</v>
      </c>
      <c r="D58">
        <v>1</v>
      </c>
      <c r="E58">
        <v>2</v>
      </c>
      <c r="F58">
        <v>1</v>
      </c>
      <c r="G58" s="7">
        <v>0.48</v>
      </c>
      <c r="H58">
        <v>12</v>
      </c>
      <c r="I58">
        <v>0</v>
      </c>
      <c r="J58">
        <v>0</v>
      </c>
      <c r="K58">
        <v>0</v>
      </c>
      <c r="L58">
        <v>1</v>
      </c>
      <c r="M58">
        <v>0.8</v>
      </c>
      <c r="N58" s="7"/>
      <c r="O58" s="7"/>
      <c r="P58" s="7"/>
      <c r="Q58" s="7"/>
      <c r="T58">
        <v>7</v>
      </c>
      <c r="U58" s="1">
        <v>0</v>
      </c>
      <c r="V58">
        <v>1</v>
      </c>
      <c r="W58">
        <v>1</v>
      </c>
      <c r="X58">
        <v>1</v>
      </c>
      <c r="Y58">
        <v>0.64</v>
      </c>
      <c r="Z58">
        <v>23</v>
      </c>
      <c r="AA58">
        <v>0</v>
      </c>
      <c r="AB58">
        <v>0</v>
      </c>
      <c r="AC58">
        <v>0</v>
      </c>
      <c r="AD58">
        <v>1</v>
      </c>
      <c r="AE58">
        <v>0.01</v>
      </c>
    </row>
    <row r="59" spans="1:43" x14ac:dyDescent="0.15">
      <c r="A59" s="10">
        <v>401</v>
      </c>
      <c r="B59">
        <v>7</v>
      </c>
      <c r="C59" s="1">
        <v>5</v>
      </c>
      <c r="D59">
        <v>0</v>
      </c>
      <c r="E59">
        <v>0</v>
      </c>
      <c r="F59">
        <v>1</v>
      </c>
      <c r="G59" s="7">
        <v>0.48</v>
      </c>
      <c r="H59">
        <v>12</v>
      </c>
      <c r="I59">
        <v>0</v>
      </c>
      <c r="J59">
        <v>0</v>
      </c>
      <c r="K59">
        <v>0</v>
      </c>
      <c r="L59">
        <v>1</v>
      </c>
      <c r="M59">
        <v>0.8</v>
      </c>
      <c r="N59" s="7"/>
      <c r="O59" s="7"/>
      <c r="P59" s="7"/>
      <c r="Q59" s="7"/>
      <c r="T59">
        <v>7</v>
      </c>
      <c r="U59" s="1">
        <v>1</v>
      </c>
      <c r="V59">
        <v>0</v>
      </c>
      <c r="W59">
        <v>0</v>
      </c>
      <c r="X59">
        <v>1</v>
      </c>
      <c r="Y59">
        <v>0.64</v>
      </c>
      <c r="Z59">
        <v>23</v>
      </c>
      <c r="AA59">
        <v>0</v>
      </c>
      <c r="AB59">
        <v>0</v>
      </c>
      <c r="AC59">
        <v>0</v>
      </c>
      <c r="AD59">
        <v>1</v>
      </c>
      <c r="AE59">
        <v>0.01</v>
      </c>
    </row>
    <row r="60" spans="1:43" x14ac:dyDescent="0.15">
      <c r="A60" s="10">
        <v>402</v>
      </c>
      <c r="B60">
        <v>7</v>
      </c>
      <c r="C60" s="1">
        <v>6</v>
      </c>
      <c r="D60">
        <v>0</v>
      </c>
      <c r="E60">
        <v>0</v>
      </c>
      <c r="F60">
        <v>1</v>
      </c>
      <c r="G60" s="7">
        <v>0.48</v>
      </c>
      <c r="H60">
        <v>12</v>
      </c>
      <c r="I60">
        <v>0</v>
      </c>
      <c r="J60">
        <v>0</v>
      </c>
      <c r="K60">
        <v>0</v>
      </c>
      <c r="L60">
        <v>1</v>
      </c>
      <c r="M60">
        <v>0.8</v>
      </c>
      <c r="N60" s="7"/>
      <c r="O60" s="7"/>
      <c r="P60" s="7"/>
      <c r="Q60" s="7"/>
      <c r="T60">
        <v>7</v>
      </c>
      <c r="U60" s="1">
        <v>2</v>
      </c>
      <c r="V60">
        <v>0</v>
      </c>
      <c r="W60">
        <v>0</v>
      </c>
      <c r="X60">
        <v>1</v>
      </c>
      <c r="Y60">
        <v>0.64</v>
      </c>
      <c r="Z60">
        <v>23</v>
      </c>
      <c r="AA60">
        <v>0</v>
      </c>
      <c r="AB60">
        <v>0</v>
      </c>
      <c r="AC60">
        <v>0</v>
      </c>
      <c r="AD60">
        <v>1</v>
      </c>
      <c r="AE60">
        <v>0.01</v>
      </c>
    </row>
    <row r="61" spans="1:43" x14ac:dyDescent="0.15">
      <c r="A61" s="10">
        <v>403</v>
      </c>
      <c r="B61">
        <v>7</v>
      </c>
      <c r="C61" s="1">
        <v>7</v>
      </c>
      <c r="D61">
        <v>0</v>
      </c>
      <c r="E61">
        <v>0</v>
      </c>
      <c r="F61">
        <v>1</v>
      </c>
      <c r="G61" s="7">
        <v>0.48</v>
      </c>
      <c r="H61">
        <v>12</v>
      </c>
      <c r="I61">
        <v>0</v>
      </c>
      <c r="J61">
        <v>0</v>
      </c>
      <c r="K61">
        <v>0</v>
      </c>
      <c r="L61">
        <v>1</v>
      </c>
      <c r="M61">
        <v>0.8</v>
      </c>
      <c r="N61" s="7"/>
      <c r="O61" s="7"/>
      <c r="P61" s="7"/>
      <c r="Q61" s="7"/>
      <c r="T61">
        <v>7</v>
      </c>
      <c r="U61" s="1">
        <v>3</v>
      </c>
      <c r="V61">
        <v>0</v>
      </c>
      <c r="W61">
        <v>0</v>
      </c>
      <c r="X61">
        <v>1</v>
      </c>
      <c r="Y61">
        <v>0.64</v>
      </c>
      <c r="Z61">
        <v>23</v>
      </c>
      <c r="AA61">
        <v>0</v>
      </c>
      <c r="AB61">
        <v>0</v>
      </c>
      <c r="AC61">
        <v>0</v>
      </c>
      <c r="AD61">
        <v>1</v>
      </c>
      <c r="AE61">
        <v>0.01</v>
      </c>
    </row>
    <row r="62" spans="1:43" x14ac:dyDescent="0.15">
      <c r="A62" s="10">
        <v>404</v>
      </c>
      <c r="B62">
        <v>7</v>
      </c>
      <c r="C62" s="1">
        <v>8</v>
      </c>
      <c r="D62">
        <v>0</v>
      </c>
      <c r="E62">
        <v>0</v>
      </c>
      <c r="F62">
        <v>1</v>
      </c>
      <c r="G62" s="7">
        <v>0.48</v>
      </c>
      <c r="H62">
        <v>12</v>
      </c>
      <c r="I62">
        <v>0</v>
      </c>
      <c r="J62">
        <v>0</v>
      </c>
      <c r="K62">
        <v>0</v>
      </c>
      <c r="L62">
        <v>1</v>
      </c>
      <c r="M62">
        <v>0.8</v>
      </c>
      <c r="N62" s="7"/>
      <c r="O62" s="7"/>
      <c r="P62" s="7"/>
      <c r="Q62" s="7"/>
      <c r="T62">
        <v>7</v>
      </c>
      <c r="U62" s="1">
        <v>4</v>
      </c>
      <c r="V62">
        <v>0</v>
      </c>
      <c r="W62">
        <v>0</v>
      </c>
      <c r="X62">
        <v>1</v>
      </c>
      <c r="Y62">
        <v>0.64</v>
      </c>
      <c r="Z62">
        <v>23</v>
      </c>
      <c r="AA62">
        <v>0</v>
      </c>
      <c r="AB62">
        <v>0</v>
      </c>
      <c r="AC62">
        <v>0</v>
      </c>
      <c r="AD62">
        <v>1</v>
      </c>
      <c r="AE62">
        <v>0.01</v>
      </c>
    </row>
    <row r="63" spans="1:43" x14ac:dyDescent="0.15">
      <c r="A63" s="10">
        <v>405</v>
      </c>
      <c r="B63">
        <v>7</v>
      </c>
      <c r="C63" s="1">
        <v>0</v>
      </c>
      <c r="D63">
        <v>1</v>
      </c>
      <c r="E63">
        <v>2</v>
      </c>
      <c r="F63">
        <v>1</v>
      </c>
      <c r="G63" s="7">
        <v>0.48</v>
      </c>
      <c r="H63">
        <v>12</v>
      </c>
      <c r="I63">
        <v>0</v>
      </c>
      <c r="J63">
        <v>0</v>
      </c>
      <c r="K63">
        <v>0</v>
      </c>
      <c r="L63">
        <v>1</v>
      </c>
      <c r="M63">
        <v>0.8</v>
      </c>
      <c r="N63" s="7"/>
      <c r="O63" s="7"/>
      <c r="P63" s="7"/>
      <c r="Q63" s="7"/>
      <c r="T63">
        <v>7</v>
      </c>
      <c r="U63" s="1">
        <v>0</v>
      </c>
      <c r="V63">
        <v>1</v>
      </c>
      <c r="W63">
        <v>1</v>
      </c>
      <c r="X63">
        <v>1</v>
      </c>
      <c r="Y63">
        <v>0.64</v>
      </c>
      <c r="Z63">
        <v>23</v>
      </c>
      <c r="AA63">
        <v>0</v>
      </c>
      <c r="AB63">
        <v>0</v>
      </c>
      <c r="AC63">
        <v>0</v>
      </c>
      <c r="AD63">
        <v>1</v>
      </c>
      <c r="AE63">
        <v>0.01</v>
      </c>
    </row>
    <row r="64" spans="1:43" x14ac:dyDescent="0.15">
      <c r="A64" s="10">
        <v>406</v>
      </c>
      <c r="B64">
        <v>7</v>
      </c>
      <c r="C64" s="1">
        <v>9</v>
      </c>
      <c r="D64">
        <v>0</v>
      </c>
      <c r="E64">
        <v>0</v>
      </c>
      <c r="F64">
        <v>1</v>
      </c>
      <c r="G64" s="7">
        <v>0.48</v>
      </c>
      <c r="H64">
        <v>12</v>
      </c>
      <c r="I64">
        <v>0</v>
      </c>
      <c r="J64">
        <v>0</v>
      </c>
      <c r="K64">
        <v>0</v>
      </c>
      <c r="L64">
        <v>1</v>
      </c>
      <c r="M64">
        <v>0.8</v>
      </c>
      <c r="N64" s="7">
        <v>9</v>
      </c>
      <c r="O64" s="7">
        <v>0</v>
      </c>
      <c r="P64" s="7">
        <v>0</v>
      </c>
      <c r="Q64" s="7">
        <v>0</v>
      </c>
      <c r="R64">
        <v>1</v>
      </c>
      <c r="S64">
        <v>0.5</v>
      </c>
      <c r="T64">
        <v>7</v>
      </c>
      <c r="U64" s="1">
        <v>1</v>
      </c>
      <c r="V64">
        <v>0</v>
      </c>
      <c r="W64">
        <v>0</v>
      </c>
      <c r="X64">
        <v>1</v>
      </c>
      <c r="Y64">
        <v>0.64</v>
      </c>
      <c r="Z64">
        <v>23</v>
      </c>
      <c r="AA64">
        <v>0</v>
      </c>
      <c r="AB64">
        <v>0</v>
      </c>
      <c r="AC64">
        <v>0</v>
      </c>
      <c r="AD64">
        <v>1</v>
      </c>
      <c r="AE64">
        <v>0.01</v>
      </c>
      <c r="AF64">
        <v>15</v>
      </c>
      <c r="AG64">
        <v>0</v>
      </c>
      <c r="AH64">
        <v>0</v>
      </c>
      <c r="AI64">
        <v>0</v>
      </c>
      <c r="AJ64">
        <v>1</v>
      </c>
      <c r="AK64">
        <v>0.01</v>
      </c>
      <c r="AL64">
        <v>16</v>
      </c>
      <c r="AM64">
        <v>0</v>
      </c>
      <c r="AN64">
        <v>0</v>
      </c>
      <c r="AO64">
        <v>0</v>
      </c>
      <c r="AP64">
        <v>1</v>
      </c>
      <c r="AQ64">
        <v>5.0000000000000001E-3</v>
      </c>
    </row>
    <row r="65" spans="1:49" x14ac:dyDescent="0.15">
      <c r="A65" s="10">
        <v>407</v>
      </c>
      <c r="B65">
        <v>7</v>
      </c>
      <c r="C65" s="1">
        <v>10</v>
      </c>
      <c r="D65">
        <v>0</v>
      </c>
      <c r="E65">
        <v>0</v>
      </c>
      <c r="F65">
        <v>1</v>
      </c>
      <c r="G65" s="7">
        <v>0.48</v>
      </c>
      <c r="H65">
        <v>12</v>
      </c>
      <c r="I65">
        <v>0</v>
      </c>
      <c r="J65">
        <v>0</v>
      </c>
      <c r="K65">
        <v>0</v>
      </c>
      <c r="L65">
        <v>1</v>
      </c>
      <c r="M65">
        <v>0.8</v>
      </c>
      <c r="N65" s="7">
        <v>9</v>
      </c>
      <c r="O65" s="7">
        <v>0</v>
      </c>
      <c r="P65" s="7">
        <v>0</v>
      </c>
      <c r="Q65" s="7">
        <v>0</v>
      </c>
      <c r="R65">
        <v>1</v>
      </c>
      <c r="S65">
        <v>0.5</v>
      </c>
      <c r="T65">
        <v>7</v>
      </c>
      <c r="U65" s="1">
        <v>2</v>
      </c>
      <c r="V65">
        <v>0</v>
      </c>
      <c r="W65">
        <v>0</v>
      </c>
      <c r="X65">
        <v>1</v>
      </c>
      <c r="Y65">
        <v>0.64</v>
      </c>
      <c r="Z65">
        <v>23</v>
      </c>
      <c r="AA65">
        <v>0</v>
      </c>
      <c r="AB65">
        <v>0</v>
      </c>
      <c r="AC65">
        <v>0</v>
      </c>
      <c r="AD65">
        <v>1</v>
      </c>
      <c r="AE65">
        <v>0.01</v>
      </c>
      <c r="AF65">
        <v>15</v>
      </c>
      <c r="AG65">
        <v>0</v>
      </c>
      <c r="AH65">
        <v>0</v>
      </c>
      <c r="AI65">
        <v>0</v>
      </c>
      <c r="AJ65">
        <v>1</v>
      </c>
      <c r="AK65">
        <v>0.01</v>
      </c>
      <c r="AL65">
        <v>16</v>
      </c>
      <c r="AM65">
        <v>0</v>
      </c>
      <c r="AN65">
        <v>0</v>
      </c>
      <c r="AO65">
        <v>0</v>
      </c>
      <c r="AP65">
        <v>1</v>
      </c>
      <c r="AQ65">
        <v>5.0000000000000001E-3</v>
      </c>
    </row>
    <row r="66" spans="1:49" x14ac:dyDescent="0.15">
      <c r="A66" s="10">
        <v>408</v>
      </c>
      <c r="B66">
        <v>7</v>
      </c>
      <c r="C66" s="1">
        <v>11</v>
      </c>
      <c r="D66">
        <v>0</v>
      </c>
      <c r="E66">
        <v>0</v>
      </c>
      <c r="F66">
        <v>1</v>
      </c>
      <c r="G66" s="7">
        <v>0.48</v>
      </c>
      <c r="H66">
        <v>12</v>
      </c>
      <c r="I66">
        <v>0</v>
      </c>
      <c r="J66">
        <v>0</v>
      </c>
      <c r="K66">
        <v>0</v>
      </c>
      <c r="L66">
        <v>1</v>
      </c>
      <c r="M66">
        <v>0.8</v>
      </c>
      <c r="N66" s="7">
        <v>9</v>
      </c>
      <c r="O66" s="7">
        <v>0</v>
      </c>
      <c r="P66" s="7">
        <v>0</v>
      </c>
      <c r="Q66" s="7">
        <v>0</v>
      </c>
      <c r="R66">
        <v>1</v>
      </c>
      <c r="S66">
        <v>0.5</v>
      </c>
      <c r="T66">
        <v>7</v>
      </c>
      <c r="U66" s="1">
        <v>3</v>
      </c>
      <c r="V66">
        <v>0</v>
      </c>
      <c r="W66">
        <v>0</v>
      </c>
      <c r="X66">
        <v>1</v>
      </c>
      <c r="Y66">
        <v>0.64</v>
      </c>
      <c r="Z66">
        <v>23</v>
      </c>
      <c r="AA66">
        <v>0</v>
      </c>
      <c r="AB66">
        <v>0</v>
      </c>
      <c r="AC66">
        <v>0</v>
      </c>
      <c r="AD66">
        <v>1</v>
      </c>
      <c r="AE66">
        <v>0.01</v>
      </c>
      <c r="AF66">
        <v>15</v>
      </c>
      <c r="AG66">
        <v>0</v>
      </c>
      <c r="AH66">
        <v>0</v>
      </c>
      <c r="AI66">
        <v>0</v>
      </c>
      <c r="AJ66">
        <v>1</v>
      </c>
      <c r="AK66">
        <v>0.01</v>
      </c>
      <c r="AL66">
        <v>16</v>
      </c>
      <c r="AM66">
        <v>0</v>
      </c>
      <c r="AN66">
        <v>0</v>
      </c>
      <c r="AO66">
        <v>0</v>
      </c>
      <c r="AP66">
        <v>1</v>
      </c>
      <c r="AQ66">
        <v>5.0000000000000001E-3</v>
      </c>
    </row>
    <row r="67" spans="1:49" x14ac:dyDescent="0.15">
      <c r="A67" s="10">
        <v>409</v>
      </c>
      <c r="B67">
        <v>7</v>
      </c>
      <c r="C67" s="1">
        <v>12</v>
      </c>
      <c r="D67">
        <v>0</v>
      </c>
      <c r="E67">
        <v>0</v>
      </c>
      <c r="F67">
        <v>1</v>
      </c>
      <c r="G67" s="7">
        <v>0.48</v>
      </c>
      <c r="H67">
        <v>12</v>
      </c>
      <c r="I67">
        <v>0</v>
      </c>
      <c r="J67">
        <v>0</v>
      </c>
      <c r="K67">
        <v>0</v>
      </c>
      <c r="L67">
        <v>1</v>
      </c>
      <c r="M67">
        <v>0.8</v>
      </c>
      <c r="N67" s="7">
        <v>9</v>
      </c>
      <c r="O67" s="7">
        <v>0</v>
      </c>
      <c r="P67" s="7">
        <v>0</v>
      </c>
      <c r="Q67" s="7">
        <v>0</v>
      </c>
      <c r="R67">
        <v>1</v>
      </c>
      <c r="S67">
        <v>0.5</v>
      </c>
      <c r="T67">
        <v>7</v>
      </c>
      <c r="U67" s="1">
        <v>4</v>
      </c>
      <c r="V67">
        <v>0</v>
      </c>
      <c r="W67">
        <v>0</v>
      </c>
      <c r="X67">
        <v>1</v>
      </c>
      <c r="Y67">
        <v>0.64</v>
      </c>
      <c r="Z67">
        <v>23</v>
      </c>
      <c r="AA67">
        <v>0</v>
      </c>
      <c r="AB67">
        <v>0</v>
      </c>
      <c r="AC67">
        <v>0</v>
      </c>
      <c r="AD67">
        <v>1</v>
      </c>
      <c r="AE67">
        <v>0.01</v>
      </c>
      <c r="AF67">
        <v>15</v>
      </c>
      <c r="AG67">
        <v>0</v>
      </c>
      <c r="AH67">
        <v>0</v>
      </c>
      <c r="AI67">
        <v>0</v>
      </c>
      <c r="AJ67">
        <v>1</v>
      </c>
      <c r="AK67">
        <v>0.01</v>
      </c>
      <c r="AL67">
        <v>16</v>
      </c>
      <c r="AM67">
        <v>0</v>
      </c>
      <c r="AN67">
        <v>0</v>
      </c>
      <c r="AO67">
        <v>0</v>
      </c>
      <c r="AP67">
        <v>1</v>
      </c>
      <c r="AQ67">
        <v>5.0000000000000001E-3</v>
      </c>
    </row>
    <row r="68" spans="1:49" x14ac:dyDescent="0.15">
      <c r="A68" s="10">
        <v>410</v>
      </c>
      <c r="B68">
        <v>7</v>
      </c>
      <c r="C68" s="1">
        <v>0</v>
      </c>
      <c r="D68">
        <v>2</v>
      </c>
      <c r="E68">
        <v>1</v>
      </c>
      <c r="F68">
        <v>1</v>
      </c>
      <c r="G68" s="7">
        <v>0.48</v>
      </c>
      <c r="H68">
        <v>12</v>
      </c>
      <c r="I68">
        <v>0</v>
      </c>
      <c r="J68">
        <v>0</v>
      </c>
      <c r="K68">
        <v>0</v>
      </c>
      <c r="L68">
        <v>1</v>
      </c>
      <c r="M68">
        <v>0.8</v>
      </c>
      <c r="N68" s="7">
        <v>9</v>
      </c>
      <c r="O68" s="7">
        <v>0</v>
      </c>
      <c r="P68" s="7">
        <v>0</v>
      </c>
      <c r="Q68" s="7">
        <v>0</v>
      </c>
      <c r="R68">
        <v>1</v>
      </c>
      <c r="S68">
        <v>0.5</v>
      </c>
      <c r="T68">
        <v>7</v>
      </c>
      <c r="U68" s="1">
        <v>0</v>
      </c>
      <c r="V68">
        <v>1</v>
      </c>
      <c r="W68">
        <v>1</v>
      </c>
      <c r="X68">
        <v>1</v>
      </c>
      <c r="Y68">
        <v>0.64</v>
      </c>
      <c r="Z68">
        <v>23</v>
      </c>
      <c r="AA68">
        <v>0</v>
      </c>
      <c r="AB68">
        <v>0</v>
      </c>
      <c r="AC68">
        <v>0</v>
      </c>
      <c r="AD68">
        <v>1</v>
      </c>
      <c r="AE68">
        <v>0.01</v>
      </c>
      <c r="AF68">
        <v>15</v>
      </c>
      <c r="AG68">
        <v>0</v>
      </c>
      <c r="AH68">
        <v>0</v>
      </c>
      <c r="AI68">
        <v>0</v>
      </c>
      <c r="AJ68">
        <v>1</v>
      </c>
      <c r="AK68">
        <v>0.01</v>
      </c>
      <c r="AL68">
        <v>16</v>
      </c>
      <c r="AM68">
        <v>0</v>
      </c>
      <c r="AN68">
        <v>0</v>
      </c>
      <c r="AO68">
        <v>0</v>
      </c>
      <c r="AP68">
        <v>1</v>
      </c>
      <c r="AQ68">
        <v>5.0000000000000001E-3</v>
      </c>
      <c r="AR68">
        <v>6</v>
      </c>
      <c r="AS68">
        <v>1</v>
      </c>
      <c r="AT68">
        <v>0</v>
      </c>
      <c r="AU68">
        <v>4</v>
      </c>
      <c r="AV68">
        <v>1</v>
      </c>
      <c r="AW68">
        <v>0.2</v>
      </c>
    </row>
    <row r="69" spans="1:49" x14ac:dyDescent="0.15">
      <c r="A69" s="10">
        <v>411</v>
      </c>
      <c r="B69">
        <v>7</v>
      </c>
      <c r="C69" s="1">
        <v>9</v>
      </c>
      <c r="D69">
        <v>0</v>
      </c>
      <c r="E69">
        <v>0</v>
      </c>
      <c r="F69">
        <v>1</v>
      </c>
      <c r="G69" s="7">
        <v>0.48</v>
      </c>
      <c r="H69">
        <v>12</v>
      </c>
      <c r="I69">
        <v>0</v>
      </c>
      <c r="J69">
        <v>0</v>
      </c>
      <c r="K69">
        <v>0</v>
      </c>
      <c r="L69">
        <v>1</v>
      </c>
      <c r="M69">
        <v>0.8</v>
      </c>
      <c r="N69" s="7">
        <v>9</v>
      </c>
      <c r="O69" s="7">
        <v>0</v>
      </c>
      <c r="P69" s="7">
        <v>0</v>
      </c>
      <c r="Q69" s="7">
        <v>0</v>
      </c>
      <c r="R69">
        <v>1</v>
      </c>
      <c r="S69">
        <v>0.5</v>
      </c>
      <c r="T69">
        <v>7</v>
      </c>
      <c r="U69" s="1">
        <v>1</v>
      </c>
      <c r="V69">
        <v>0</v>
      </c>
      <c r="W69">
        <v>0</v>
      </c>
      <c r="X69">
        <v>1</v>
      </c>
      <c r="Y69">
        <v>0.64</v>
      </c>
      <c r="Z69">
        <v>23</v>
      </c>
      <c r="AA69">
        <v>0</v>
      </c>
      <c r="AB69">
        <v>0</v>
      </c>
      <c r="AC69">
        <v>0</v>
      </c>
      <c r="AD69">
        <v>1</v>
      </c>
      <c r="AE69">
        <v>0.01</v>
      </c>
      <c r="AF69">
        <v>15</v>
      </c>
      <c r="AG69">
        <v>0</v>
      </c>
      <c r="AH69">
        <v>0</v>
      </c>
      <c r="AI69">
        <v>0</v>
      </c>
      <c r="AJ69">
        <v>1</v>
      </c>
      <c r="AK69">
        <v>0.01</v>
      </c>
      <c r="AL69">
        <v>16</v>
      </c>
      <c r="AM69">
        <v>0</v>
      </c>
      <c r="AN69">
        <v>0</v>
      </c>
      <c r="AO69">
        <v>0</v>
      </c>
      <c r="AP69">
        <v>1</v>
      </c>
      <c r="AQ69">
        <v>5.0000000000000001E-3</v>
      </c>
    </row>
    <row r="70" spans="1:49" x14ac:dyDescent="0.15">
      <c r="A70" s="10">
        <v>412</v>
      </c>
      <c r="B70">
        <v>7</v>
      </c>
      <c r="C70" s="1">
        <v>10</v>
      </c>
      <c r="D70">
        <v>0</v>
      </c>
      <c r="E70">
        <v>0</v>
      </c>
      <c r="F70">
        <v>1</v>
      </c>
      <c r="G70" s="7">
        <v>0.48</v>
      </c>
      <c r="H70">
        <v>12</v>
      </c>
      <c r="I70">
        <v>0</v>
      </c>
      <c r="J70">
        <v>0</v>
      </c>
      <c r="K70">
        <v>0</v>
      </c>
      <c r="L70">
        <v>1</v>
      </c>
      <c r="M70">
        <v>0.8</v>
      </c>
      <c r="N70" s="7">
        <v>9</v>
      </c>
      <c r="O70" s="7">
        <v>0</v>
      </c>
      <c r="P70" s="7">
        <v>0</v>
      </c>
      <c r="Q70" s="7">
        <v>0</v>
      </c>
      <c r="R70">
        <v>1</v>
      </c>
      <c r="S70">
        <v>0.5</v>
      </c>
      <c r="T70">
        <v>7</v>
      </c>
      <c r="U70" s="1">
        <v>2</v>
      </c>
      <c r="V70">
        <v>0</v>
      </c>
      <c r="W70">
        <v>0</v>
      </c>
      <c r="X70">
        <v>1</v>
      </c>
      <c r="Y70">
        <v>0.64</v>
      </c>
      <c r="Z70">
        <v>23</v>
      </c>
      <c r="AA70">
        <v>0</v>
      </c>
      <c r="AB70">
        <v>0</v>
      </c>
      <c r="AC70">
        <v>0</v>
      </c>
      <c r="AD70">
        <v>1</v>
      </c>
      <c r="AE70">
        <v>0.01</v>
      </c>
      <c r="AF70">
        <v>15</v>
      </c>
      <c r="AG70">
        <v>0</v>
      </c>
      <c r="AH70">
        <v>0</v>
      </c>
      <c r="AI70">
        <v>0</v>
      </c>
      <c r="AJ70">
        <v>1</v>
      </c>
      <c r="AK70">
        <v>0.01</v>
      </c>
      <c r="AL70">
        <v>16</v>
      </c>
      <c r="AM70">
        <v>0</v>
      </c>
      <c r="AN70">
        <v>0</v>
      </c>
      <c r="AO70">
        <v>0</v>
      </c>
      <c r="AP70">
        <v>1</v>
      </c>
      <c r="AQ70">
        <v>5.0000000000000001E-3</v>
      </c>
    </row>
    <row r="71" spans="1:49" x14ac:dyDescent="0.15">
      <c r="A71" s="10">
        <v>413</v>
      </c>
      <c r="B71">
        <v>7</v>
      </c>
      <c r="C71" s="1">
        <v>11</v>
      </c>
      <c r="D71">
        <v>0</v>
      </c>
      <c r="E71">
        <v>0</v>
      </c>
      <c r="F71">
        <v>1</v>
      </c>
      <c r="G71" s="7">
        <v>0.48</v>
      </c>
      <c r="H71">
        <v>12</v>
      </c>
      <c r="I71">
        <v>0</v>
      </c>
      <c r="J71">
        <v>0</v>
      </c>
      <c r="K71">
        <v>0</v>
      </c>
      <c r="L71">
        <v>1</v>
      </c>
      <c r="M71">
        <v>0.8</v>
      </c>
      <c r="N71" s="7">
        <v>9</v>
      </c>
      <c r="O71" s="7">
        <v>0</v>
      </c>
      <c r="P71" s="7">
        <v>0</v>
      </c>
      <c r="Q71" s="7">
        <v>0</v>
      </c>
      <c r="R71">
        <v>1</v>
      </c>
      <c r="S71">
        <v>0.5</v>
      </c>
      <c r="T71">
        <v>7</v>
      </c>
      <c r="U71" s="1">
        <v>3</v>
      </c>
      <c r="V71">
        <v>0</v>
      </c>
      <c r="W71">
        <v>0</v>
      </c>
      <c r="X71">
        <v>1</v>
      </c>
      <c r="Y71">
        <v>0.64</v>
      </c>
      <c r="Z71">
        <v>23</v>
      </c>
      <c r="AA71">
        <v>0</v>
      </c>
      <c r="AB71">
        <v>0</v>
      </c>
      <c r="AC71">
        <v>0</v>
      </c>
      <c r="AD71">
        <v>1</v>
      </c>
      <c r="AE71">
        <v>0.01</v>
      </c>
      <c r="AF71">
        <v>15</v>
      </c>
      <c r="AG71">
        <v>0</v>
      </c>
      <c r="AH71">
        <v>0</v>
      </c>
      <c r="AI71">
        <v>0</v>
      </c>
      <c r="AJ71">
        <v>1</v>
      </c>
      <c r="AK71">
        <v>0.01</v>
      </c>
      <c r="AL71">
        <v>16</v>
      </c>
      <c r="AM71">
        <v>0</v>
      </c>
      <c r="AN71">
        <v>0</v>
      </c>
      <c r="AO71">
        <v>0</v>
      </c>
      <c r="AP71">
        <v>1</v>
      </c>
      <c r="AQ71">
        <v>5.0000000000000001E-3</v>
      </c>
    </row>
    <row r="72" spans="1:49" x14ac:dyDescent="0.15">
      <c r="A72" s="10">
        <v>414</v>
      </c>
      <c r="B72">
        <v>7</v>
      </c>
      <c r="C72" s="1">
        <v>12</v>
      </c>
      <c r="D72">
        <v>0</v>
      </c>
      <c r="E72">
        <v>0</v>
      </c>
      <c r="F72">
        <v>1</v>
      </c>
      <c r="G72" s="7">
        <v>0.48</v>
      </c>
      <c r="H72">
        <v>12</v>
      </c>
      <c r="I72">
        <v>0</v>
      </c>
      <c r="J72">
        <v>0</v>
      </c>
      <c r="K72">
        <v>0</v>
      </c>
      <c r="L72">
        <v>1</v>
      </c>
      <c r="M72">
        <v>0.8</v>
      </c>
      <c r="N72" s="7">
        <v>9</v>
      </c>
      <c r="O72" s="7">
        <v>0</v>
      </c>
      <c r="P72" s="7">
        <v>0</v>
      </c>
      <c r="Q72" s="7">
        <v>0</v>
      </c>
      <c r="R72">
        <v>1</v>
      </c>
      <c r="S72">
        <v>0.5</v>
      </c>
      <c r="T72">
        <v>7</v>
      </c>
      <c r="U72" s="1">
        <v>4</v>
      </c>
      <c r="V72">
        <v>0</v>
      </c>
      <c r="W72">
        <v>0</v>
      </c>
      <c r="X72">
        <v>1</v>
      </c>
      <c r="Y72">
        <v>0.64</v>
      </c>
      <c r="Z72">
        <v>23</v>
      </c>
      <c r="AA72">
        <v>0</v>
      </c>
      <c r="AB72">
        <v>0</v>
      </c>
      <c r="AC72">
        <v>0</v>
      </c>
      <c r="AD72">
        <v>1</v>
      </c>
      <c r="AE72">
        <v>0.01</v>
      </c>
      <c r="AF72">
        <v>15</v>
      </c>
      <c r="AG72">
        <v>0</v>
      </c>
      <c r="AH72">
        <v>0</v>
      </c>
      <c r="AI72">
        <v>0</v>
      </c>
      <c r="AJ72">
        <v>1</v>
      </c>
      <c r="AK72">
        <v>0.01</v>
      </c>
      <c r="AL72">
        <v>16</v>
      </c>
      <c r="AM72">
        <v>0</v>
      </c>
      <c r="AN72">
        <v>0</v>
      </c>
      <c r="AO72">
        <v>0</v>
      </c>
      <c r="AP72">
        <v>1</v>
      </c>
      <c r="AQ72">
        <v>5.0000000000000001E-3</v>
      </c>
    </row>
    <row r="73" spans="1:49" x14ac:dyDescent="0.15">
      <c r="A73" s="10">
        <v>415</v>
      </c>
      <c r="B73">
        <v>7</v>
      </c>
      <c r="C73" s="1">
        <v>0</v>
      </c>
      <c r="D73">
        <v>2</v>
      </c>
      <c r="E73">
        <v>1</v>
      </c>
      <c r="F73">
        <v>1</v>
      </c>
      <c r="G73" s="7">
        <v>0.48</v>
      </c>
      <c r="H73">
        <v>12</v>
      </c>
      <c r="I73">
        <v>0</v>
      </c>
      <c r="J73">
        <v>0</v>
      </c>
      <c r="K73">
        <v>0</v>
      </c>
      <c r="L73">
        <v>1</v>
      </c>
      <c r="M73">
        <v>0.8</v>
      </c>
      <c r="N73" s="7">
        <v>9</v>
      </c>
      <c r="O73" s="7">
        <v>0</v>
      </c>
      <c r="P73" s="7">
        <v>0</v>
      </c>
      <c r="Q73" s="7">
        <v>0</v>
      </c>
      <c r="R73">
        <v>1</v>
      </c>
      <c r="S73">
        <v>0.5</v>
      </c>
      <c r="T73">
        <v>7</v>
      </c>
      <c r="U73" s="1">
        <v>0</v>
      </c>
      <c r="V73">
        <v>1</v>
      </c>
      <c r="W73">
        <v>1</v>
      </c>
      <c r="X73">
        <v>1</v>
      </c>
      <c r="Y73">
        <v>0.64</v>
      </c>
      <c r="Z73">
        <v>23</v>
      </c>
      <c r="AA73">
        <v>0</v>
      </c>
      <c r="AB73">
        <v>0</v>
      </c>
      <c r="AC73">
        <v>0</v>
      </c>
      <c r="AD73">
        <v>1</v>
      </c>
      <c r="AE73">
        <v>0.01</v>
      </c>
      <c r="AF73">
        <v>15</v>
      </c>
      <c r="AG73">
        <v>0</v>
      </c>
      <c r="AH73">
        <v>0</v>
      </c>
      <c r="AI73">
        <v>0</v>
      </c>
      <c r="AJ73">
        <v>1</v>
      </c>
      <c r="AK73">
        <v>0.01</v>
      </c>
      <c r="AL73">
        <v>16</v>
      </c>
      <c r="AM73">
        <v>0</v>
      </c>
      <c r="AN73">
        <v>0</v>
      </c>
      <c r="AO73">
        <v>0</v>
      </c>
      <c r="AP73">
        <v>1</v>
      </c>
      <c r="AQ73">
        <v>5.0000000000000001E-3</v>
      </c>
      <c r="AR73">
        <v>6</v>
      </c>
      <c r="AS73">
        <v>1</v>
      </c>
      <c r="AT73">
        <v>0</v>
      </c>
      <c r="AU73">
        <v>4</v>
      </c>
      <c r="AV73">
        <v>1</v>
      </c>
      <c r="AW73">
        <v>0.2</v>
      </c>
    </row>
    <row r="74" spans="1:49" x14ac:dyDescent="0.15">
      <c r="A74" s="10">
        <v>416</v>
      </c>
      <c r="B74">
        <v>7</v>
      </c>
      <c r="C74" s="1">
        <v>13</v>
      </c>
      <c r="D74">
        <v>0</v>
      </c>
      <c r="E74">
        <v>0</v>
      </c>
      <c r="F74">
        <v>1</v>
      </c>
      <c r="G74" s="7">
        <v>0.48</v>
      </c>
      <c r="H74">
        <v>12</v>
      </c>
      <c r="I74">
        <v>0</v>
      </c>
      <c r="J74">
        <v>0</v>
      </c>
      <c r="K74">
        <v>0</v>
      </c>
      <c r="L74">
        <v>1</v>
      </c>
      <c r="M74">
        <v>1</v>
      </c>
      <c r="N74" s="7">
        <v>9</v>
      </c>
      <c r="O74" s="7">
        <v>0</v>
      </c>
      <c r="P74" s="7">
        <v>0</v>
      </c>
      <c r="Q74" s="7">
        <v>0</v>
      </c>
      <c r="R74">
        <v>1</v>
      </c>
      <c r="S74" s="7">
        <v>1</v>
      </c>
      <c r="T74">
        <v>7</v>
      </c>
      <c r="U74" s="1">
        <v>5</v>
      </c>
      <c r="V74">
        <v>0</v>
      </c>
      <c r="W74">
        <v>0</v>
      </c>
      <c r="X74">
        <v>1</v>
      </c>
      <c r="Y74">
        <v>0.56000000000000005</v>
      </c>
      <c r="Z74">
        <v>23</v>
      </c>
      <c r="AA74">
        <v>0</v>
      </c>
      <c r="AB74">
        <v>0</v>
      </c>
      <c r="AC74">
        <v>0</v>
      </c>
      <c r="AD74">
        <v>1</v>
      </c>
      <c r="AE74">
        <v>0.01</v>
      </c>
      <c r="AF74">
        <v>15</v>
      </c>
      <c r="AG74">
        <v>0</v>
      </c>
      <c r="AH74">
        <v>0</v>
      </c>
      <c r="AI74">
        <v>0</v>
      </c>
      <c r="AJ74">
        <v>1</v>
      </c>
      <c r="AK74">
        <v>0.01</v>
      </c>
      <c r="AL74">
        <v>16</v>
      </c>
      <c r="AM74">
        <v>0</v>
      </c>
      <c r="AN74">
        <v>0</v>
      </c>
      <c r="AO74">
        <v>0</v>
      </c>
      <c r="AP74">
        <v>1</v>
      </c>
      <c r="AQ74">
        <v>5.0000000000000001E-3</v>
      </c>
    </row>
    <row r="75" spans="1:49" x14ac:dyDescent="0.15">
      <c r="A75" s="10">
        <v>417</v>
      </c>
      <c r="B75">
        <v>7</v>
      </c>
      <c r="C75" s="1">
        <v>14</v>
      </c>
      <c r="D75">
        <v>0</v>
      </c>
      <c r="E75">
        <v>0</v>
      </c>
      <c r="F75">
        <v>1</v>
      </c>
      <c r="G75" s="7">
        <v>0.48</v>
      </c>
      <c r="H75">
        <v>12</v>
      </c>
      <c r="I75">
        <v>0</v>
      </c>
      <c r="J75">
        <v>0</v>
      </c>
      <c r="K75">
        <v>0</v>
      </c>
      <c r="L75">
        <v>1</v>
      </c>
      <c r="M75">
        <v>1</v>
      </c>
      <c r="N75" s="7">
        <v>9</v>
      </c>
      <c r="O75" s="7">
        <v>0</v>
      </c>
      <c r="P75" s="7">
        <v>0</v>
      </c>
      <c r="Q75" s="7">
        <v>0</v>
      </c>
      <c r="R75">
        <v>1</v>
      </c>
      <c r="S75" s="7">
        <v>1</v>
      </c>
      <c r="T75">
        <v>7</v>
      </c>
      <c r="U75" s="1">
        <v>6</v>
      </c>
      <c r="V75">
        <v>0</v>
      </c>
      <c r="W75">
        <v>0</v>
      </c>
      <c r="X75">
        <v>1</v>
      </c>
      <c r="Y75">
        <v>0.56000000000000005</v>
      </c>
      <c r="Z75">
        <v>23</v>
      </c>
      <c r="AA75">
        <v>0</v>
      </c>
      <c r="AB75">
        <v>0</v>
      </c>
      <c r="AC75">
        <v>0</v>
      </c>
      <c r="AD75">
        <v>1</v>
      </c>
      <c r="AE75">
        <v>0.01</v>
      </c>
      <c r="AF75">
        <v>15</v>
      </c>
      <c r="AG75">
        <v>0</v>
      </c>
      <c r="AH75">
        <v>0</v>
      </c>
      <c r="AI75">
        <v>0</v>
      </c>
      <c r="AJ75">
        <v>1</v>
      </c>
      <c r="AK75">
        <v>0.01</v>
      </c>
      <c r="AL75">
        <v>16</v>
      </c>
      <c r="AM75">
        <v>0</v>
      </c>
      <c r="AN75">
        <v>0</v>
      </c>
      <c r="AO75">
        <v>0</v>
      </c>
      <c r="AP75">
        <v>1</v>
      </c>
      <c r="AQ75">
        <v>5.0000000000000001E-3</v>
      </c>
    </row>
    <row r="76" spans="1:49" x14ac:dyDescent="0.15">
      <c r="A76" s="10">
        <v>418</v>
      </c>
      <c r="B76">
        <v>7</v>
      </c>
      <c r="C76" s="1">
        <v>15</v>
      </c>
      <c r="D76">
        <v>0</v>
      </c>
      <c r="E76">
        <v>0</v>
      </c>
      <c r="F76">
        <v>1</v>
      </c>
      <c r="G76" s="7">
        <v>0.48</v>
      </c>
      <c r="H76">
        <v>12</v>
      </c>
      <c r="I76">
        <v>0</v>
      </c>
      <c r="J76">
        <v>0</v>
      </c>
      <c r="K76">
        <v>0</v>
      </c>
      <c r="L76">
        <v>1</v>
      </c>
      <c r="M76">
        <v>1</v>
      </c>
      <c r="N76" s="7">
        <v>9</v>
      </c>
      <c r="O76" s="7">
        <v>0</v>
      </c>
      <c r="P76" s="7">
        <v>0</v>
      </c>
      <c r="Q76" s="7">
        <v>0</v>
      </c>
      <c r="R76">
        <v>1</v>
      </c>
      <c r="S76" s="7">
        <v>1</v>
      </c>
      <c r="T76">
        <v>7</v>
      </c>
      <c r="U76" s="1">
        <v>7</v>
      </c>
      <c r="V76">
        <v>0</v>
      </c>
      <c r="W76">
        <v>0</v>
      </c>
      <c r="X76">
        <v>1</v>
      </c>
      <c r="Y76">
        <v>0.56000000000000005</v>
      </c>
      <c r="Z76">
        <v>23</v>
      </c>
      <c r="AA76">
        <v>0</v>
      </c>
      <c r="AB76">
        <v>0</v>
      </c>
      <c r="AC76">
        <v>0</v>
      </c>
      <c r="AD76">
        <v>1</v>
      </c>
      <c r="AE76">
        <v>0.01</v>
      </c>
      <c r="AF76">
        <v>15</v>
      </c>
      <c r="AG76">
        <v>0</v>
      </c>
      <c r="AH76">
        <v>0</v>
      </c>
      <c r="AI76">
        <v>0</v>
      </c>
      <c r="AJ76">
        <v>1</v>
      </c>
      <c r="AK76">
        <v>0.01</v>
      </c>
      <c r="AL76">
        <v>16</v>
      </c>
      <c r="AM76">
        <v>0</v>
      </c>
      <c r="AN76">
        <v>0</v>
      </c>
      <c r="AO76">
        <v>0</v>
      </c>
      <c r="AP76">
        <v>1</v>
      </c>
      <c r="AQ76">
        <v>5.0000000000000001E-3</v>
      </c>
    </row>
    <row r="77" spans="1:49" x14ac:dyDescent="0.15">
      <c r="A77" s="10">
        <v>419</v>
      </c>
      <c r="B77">
        <v>7</v>
      </c>
      <c r="C77" s="1">
        <v>16</v>
      </c>
      <c r="D77">
        <v>0</v>
      </c>
      <c r="E77">
        <v>0</v>
      </c>
      <c r="F77">
        <v>1</v>
      </c>
      <c r="G77" s="7">
        <v>0.48</v>
      </c>
      <c r="H77">
        <v>12</v>
      </c>
      <c r="I77">
        <v>0</v>
      </c>
      <c r="J77">
        <v>0</v>
      </c>
      <c r="K77">
        <v>0</v>
      </c>
      <c r="L77">
        <v>1</v>
      </c>
      <c r="M77">
        <v>1</v>
      </c>
      <c r="N77" s="7">
        <v>9</v>
      </c>
      <c r="O77" s="7">
        <v>0</v>
      </c>
      <c r="P77" s="7">
        <v>0</v>
      </c>
      <c r="Q77" s="7">
        <v>0</v>
      </c>
      <c r="R77">
        <v>1</v>
      </c>
      <c r="S77" s="7">
        <v>1</v>
      </c>
      <c r="T77">
        <v>7</v>
      </c>
      <c r="U77" s="1">
        <v>8</v>
      </c>
      <c r="V77">
        <v>0</v>
      </c>
      <c r="W77">
        <v>0</v>
      </c>
      <c r="X77">
        <v>1</v>
      </c>
      <c r="Y77">
        <v>0.56000000000000005</v>
      </c>
      <c r="Z77">
        <v>23</v>
      </c>
      <c r="AA77">
        <v>0</v>
      </c>
      <c r="AB77">
        <v>0</v>
      </c>
      <c r="AC77">
        <v>0</v>
      </c>
      <c r="AD77">
        <v>1</v>
      </c>
      <c r="AE77">
        <v>0.01</v>
      </c>
      <c r="AF77">
        <v>15</v>
      </c>
      <c r="AG77">
        <v>0</v>
      </c>
      <c r="AH77">
        <v>0</v>
      </c>
      <c r="AI77">
        <v>0</v>
      </c>
      <c r="AJ77">
        <v>1</v>
      </c>
      <c r="AK77">
        <v>0.01</v>
      </c>
      <c r="AL77">
        <v>16</v>
      </c>
      <c r="AM77">
        <v>0</v>
      </c>
      <c r="AN77">
        <v>0</v>
      </c>
      <c r="AO77">
        <v>0</v>
      </c>
      <c r="AP77">
        <v>1</v>
      </c>
      <c r="AQ77">
        <v>5.0000000000000001E-3</v>
      </c>
    </row>
    <row r="78" spans="1:49" x14ac:dyDescent="0.15">
      <c r="A78" s="10">
        <v>420</v>
      </c>
      <c r="B78">
        <v>7</v>
      </c>
      <c r="C78" s="1">
        <v>0</v>
      </c>
      <c r="D78">
        <v>2</v>
      </c>
      <c r="E78">
        <v>2</v>
      </c>
      <c r="F78">
        <v>1</v>
      </c>
      <c r="G78" s="7">
        <v>0.4</v>
      </c>
      <c r="H78">
        <v>12</v>
      </c>
      <c r="I78">
        <v>0</v>
      </c>
      <c r="J78">
        <v>0</v>
      </c>
      <c r="K78">
        <v>0</v>
      </c>
      <c r="L78">
        <v>1</v>
      </c>
      <c r="M78">
        <v>1</v>
      </c>
      <c r="N78" s="7">
        <v>9</v>
      </c>
      <c r="O78" s="7">
        <v>0</v>
      </c>
      <c r="P78" s="7">
        <v>0</v>
      </c>
      <c r="Q78" s="7">
        <v>0</v>
      </c>
      <c r="R78">
        <v>1</v>
      </c>
      <c r="S78" s="7">
        <v>1</v>
      </c>
      <c r="T78">
        <v>7</v>
      </c>
      <c r="U78" s="1">
        <v>0</v>
      </c>
      <c r="V78">
        <v>1</v>
      </c>
      <c r="W78">
        <v>2</v>
      </c>
      <c r="X78">
        <v>1</v>
      </c>
      <c r="Y78">
        <v>0.56000000000000005</v>
      </c>
      <c r="Z78">
        <v>23</v>
      </c>
      <c r="AA78">
        <v>0</v>
      </c>
      <c r="AB78">
        <v>0</v>
      </c>
      <c r="AC78">
        <v>0</v>
      </c>
      <c r="AD78">
        <v>1</v>
      </c>
      <c r="AE78">
        <v>0.01</v>
      </c>
      <c r="AF78">
        <v>15</v>
      </c>
      <c r="AG78">
        <v>0</v>
      </c>
      <c r="AH78">
        <v>0</v>
      </c>
      <c r="AI78">
        <v>0</v>
      </c>
      <c r="AJ78">
        <v>1</v>
      </c>
      <c r="AK78">
        <v>0.01</v>
      </c>
      <c r="AL78">
        <v>16</v>
      </c>
      <c r="AM78">
        <v>0</v>
      </c>
      <c r="AN78">
        <v>0</v>
      </c>
      <c r="AO78">
        <v>0</v>
      </c>
      <c r="AP78">
        <v>1</v>
      </c>
      <c r="AQ78">
        <v>5.0000000000000001E-3</v>
      </c>
      <c r="AR78">
        <v>6</v>
      </c>
      <c r="AS78">
        <v>1</v>
      </c>
      <c r="AT78">
        <v>0</v>
      </c>
      <c r="AU78">
        <v>4</v>
      </c>
      <c r="AV78">
        <v>1</v>
      </c>
      <c r="AW78">
        <v>0.2</v>
      </c>
    </row>
    <row r="79" spans="1:49" x14ac:dyDescent="0.15">
      <c r="A79" s="10">
        <v>501</v>
      </c>
      <c r="B79">
        <v>7</v>
      </c>
      <c r="C79" s="1">
        <v>13</v>
      </c>
      <c r="D79">
        <v>0</v>
      </c>
      <c r="E79">
        <v>0</v>
      </c>
      <c r="F79">
        <v>1</v>
      </c>
      <c r="G79" s="7">
        <v>0.4</v>
      </c>
      <c r="H79">
        <v>12</v>
      </c>
      <c r="I79">
        <v>0</v>
      </c>
      <c r="J79">
        <v>0</v>
      </c>
      <c r="K79">
        <v>0</v>
      </c>
      <c r="L79">
        <v>1</v>
      </c>
      <c r="M79">
        <v>1</v>
      </c>
      <c r="N79" s="7">
        <v>9</v>
      </c>
      <c r="O79" s="7">
        <v>0</v>
      </c>
      <c r="P79" s="7">
        <v>0</v>
      </c>
      <c r="Q79" s="7">
        <v>0</v>
      </c>
      <c r="R79">
        <v>1</v>
      </c>
      <c r="S79" s="7">
        <v>1</v>
      </c>
      <c r="T79">
        <v>7</v>
      </c>
      <c r="U79" s="1">
        <v>5</v>
      </c>
      <c r="V79">
        <v>0</v>
      </c>
      <c r="W79">
        <v>0</v>
      </c>
      <c r="X79">
        <v>1</v>
      </c>
      <c r="Y79">
        <v>0.56000000000000005</v>
      </c>
      <c r="Z79">
        <v>23</v>
      </c>
      <c r="AA79">
        <v>0</v>
      </c>
      <c r="AB79">
        <v>0</v>
      </c>
      <c r="AC79">
        <v>0</v>
      </c>
      <c r="AD79">
        <v>1</v>
      </c>
      <c r="AE79">
        <v>0.01</v>
      </c>
      <c r="AF79">
        <v>15</v>
      </c>
      <c r="AG79">
        <v>0</v>
      </c>
      <c r="AH79">
        <v>0</v>
      </c>
      <c r="AI79">
        <v>0</v>
      </c>
      <c r="AJ79">
        <v>1</v>
      </c>
      <c r="AK79">
        <v>0.01</v>
      </c>
      <c r="AL79">
        <v>16</v>
      </c>
      <c r="AM79">
        <v>0</v>
      </c>
      <c r="AN79">
        <v>0</v>
      </c>
      <c r="AO79">
        <v>0</v>
      </c>
      <c r="AP79">
        <v>1</v>
      </c>
      <c r="AQ79">
        <v>5.0000000000000001E-3</v>
      </c>
    </row>
    <row r="80" spans="1:49" x14ac:dyDescent="0.15">
      <c r="A80" s="10">
        <v>502</v>
      </c>
      <c r="B80">
        <v>7</v>
      </c>
      <c r="C80" s="1">
        <v>14</v>
      </c>
      <c r="D80">
        <v>0</v>
      </c>
      <c r="E80">
        <v>0</v>
      </c>
      <c r="F80">
        <v>1</v>
      </c>
      <c r="G80" s="7">
        <v>0.4</v>
      </c>
      <c r="H80">
        <v>12</v>
      </c>
      <c r="I80">
        <v>0</v>
      </c>
      <c r="J80">
        <v>0</v>
      </c>
      <c r="K80">
        <v>0</v>
      </c>
      <c r="L80">
        <v>1</v>
      </c>
      <c r="M80">
        <v>1</v>
      </c>
      <c r="N80" s="7">
        <v>9</v>
      </c>
      <c r="O80" s="7">
        <v>0</v>
      </c>
      <c r="P80" s="7">
        <v>0</v>
      </c>
      <c r="Q80" s="7">
        <v>0</v>
      </c>
      <c r="R80">
        <v>1</v>
      </c>
      <c r="S80" s="7">
        <v>1</v>
      </c>
      <c r="T80">
        <v>7</v>
      </c>
      <c r="U80" s="1">
        <v>6</v>
      </c>
      <c r="V80">
        <v>0</v>
      </c>
      <c r="W80">
        <v>0</v>
      </c>
      <c r="X80">
        <v>1</v>
      </c>
      <c r="Y80">
        <v>0.56000000000000005</v>
      </c>
      <c r="Z80">
        <v>23</v>
      </c>
      <c r="AA80">
        <v>0</v>
      </c>
      <c r="AB80">
        <v>0</v>
      </c>
      <c r="AC80">
        <v>0</v>
      </c>
      <c r="AD80">
        <v>1</v>
      </c>
      <c r="AE80">
        <v>0.01</v>
      </c>
      <c r="AF80">
        <v>15</v>
      </c>
      <c r="AG80">
        <v>0</v>
      </c>
      <c r="AH80">
        <v>0</v>
      </c>
      <c r="AI80">
        <v>0</v>
      </c>
      <c r="AJ80">
        <v>1</v>
      </c>
      <c r="AK80">
        <v>0.01</v>
      </c>
      <c r="AL80">
        <v>16</v>
      </c>
      <c r="AM80">
        <v>0</v>
      </c>
      <c r="AN80">
        <v>0</v>
      </c>
      <c r="AO80">
        <v>0</v>
      </c>
      <c r="AP80">
        <v>1</v>
      </c>
      <c r="AQ80">
        <v>5.0000000000000001E-3</v>
      </c>
    </row>
    <row r="81" spans="1:55" x14ac:dyDescent="0.15">
      <c r="A81" s="10">
        <v>503</v>
      </c>
      <c r="B81">
        <v>7</v>
      </c>
      <c r="C81" s="1">
        <v>15</v>
      </c>
      <c r="D81">
        <v>0</v>
      </c>
      <c r="E81">
        <v>0</v>
      </c>
      <c r="F81">
        <v>1</v>
      </c>
      <c r="G81" s="7">
        <v>0.4</v>
      </c>
      <c r="H81">
        <v>12</v>
      </c>
      <c r="I81">
        <v>0</v>
      </c>
      <c r="J81">
        <v>0</v>
      </c>
      <c r="K81">
        <v>0</v>
      </c>
      <c r="L81">
        <v>1</v>
      </c>
      <c r="M81">
        <v>1</v>
      </c>
      <c r="N81" s="7">
        <v>9</v>
      </c>
      <c r="O81" s="7">
        <v>0</v>
      </c>
      <c r="P81" s="7">
        <v>0</v>
      </c>
      <c r="Q81" s="7">
        <v>0</v>
      </c>
      <c r="R81">
        <v>1</v>
      </c>
      <c r="S81" s="7">
        <v>1</v>
      </c>
      <c r="T81">
        <v>7</v>
      </c>
      <c r="U81" s="1">
        <v>7</v>
      </c>
      <c r="V81">
        <v>0</v>
      </c>
      <c r="W81">
        <v>0</v>
      </c>
      <c r="X81">
        <v>1</v>
      </c>
      <c r="Y81">
        <v>0.56000000000000005</v>
      </c>
      <c r="Z81">
        <v>23</v>
      </c>
      <c r="AA81">
        <v>0</v>
      </c>
      <c r="AB81">
        <v>0</v>
      </c>
      <c r="AC81">
        <v>0</v>
      </c>
      <c r="AD81">
        <v>1</v>
      </c>
      <c r="AE81">
        <v>0.01</v>
      </c>
      <c r="AF81">
        <v>15</v>
      </c>
      <c r="AG81">
        <v>0</v>
      </c>
      <c r="AH81">
        <v>0</v>
      </c>
      <c r="AI81">
        <v>0</v>
      </c>
      <c r="AJ81">
        <v>1</v>
      </c>
      <c r="AK81">
        <v>0.01</v>
      </c>
      <c r="AL81">
        <v>16</v>
      </c>
      <c r="AM81">
        <v>0</v>
      </c>
      <c r="AN81">
        <v>0</v>
      </c>
      <c r="AO81">
        <v>0</v>
      </c>
      <c r="AP81">
        <v>1</v>
      </c>
      <c r="AQ81">
        <v>5.0000000000000001E-3</v>
      </c>
    </row>
    <row r="82" spans="1:55" x14ac:dyDescent="0.15">
      <c r="A82" s="10">
        <v>504</v>
      </c>
      <c r="B82">
        <v>7</v>
      </c>
      <c r="C82" s="1">
        <v>16</v>
      </c>
      <c r="D82">
        <v>0</v>
      </c>
      <c r="E82">
        <v>0</v>
      </c>
      <c r="F82">
        <v>1</v>
      </c>
      <c r="G82" s="7">
        <v>0.4</v>
      </c>
      <c r="H82">
        <v>12</v>
      </c>
      <c r="I82">
        <v>0</v>
      </c>
      <c r="J82">
        <v>0</v>
      </c>
      <c r="K82">
        <v>0</v>
      </c>
      <c r="L82">
        <v>1</v>
      </c>
      <c r="M82">
        <v>1</v>
      </c>
      <c r="N82" s="7">
        <v>9</v>
      </c>
      <c r="O82" s="7">
        <v>0</v>
      </c>
      <c r="P82" s="7">
        <v>0</v>
      </c>
      <c r="Q82" s="7">
        <v>0</v>
      </c>
      <c r="R82">
        <v>1</v>
      </c>
      <c r="S82" s="7">
        <v>1</v>
      </c>
      <c r="T82">
        <v>7</v>
      </c>
      <c r="U82" s="1">
        <v>8</v>
      </c>
      <c r="V82">
        <v>0</v>
      </c>
      <c r="W82">
        <v>0</v>
      </c>
      <c r="X82">
        <v>1</v>
      </c>
      <c r="Y82">
        <v>0.56000000000000005</v>
      </c>
      <c r="Z82">
        <v>23</v>
      </c>
      <c r="AA82">
        <v>0</v>
      </c>
      <c r="AB82">
        <v>0</v>
      </c>
      <c r="AC82">
        <v>0</v>
      </c>
      <c r="AD82">
        <v>1</v>
      </c>
      <c r="AE82">
        <v>0.01</v>
      </c>
      <c r="AF82">
        <v>15</v>
      </c>
      <c r="AG82">
        <v>0</v>
      </c>
      <c r="AH82">
        <v>0</v>
      </c>
      <c r="AI82">
        <v>0</v>
      </c>
      <c r="AJ82">
        <v>1</v>
      </c>
      <c r="AK82">
        <v>0.01</v>
      </c>
      <c r="AL82">
        <v>16</v>
      </c>
      <c r="AM82">
        <v>0</v>
      </c>
      <c r="AN82">
        <v>0</v>
      </c>
      <c r="AO82">
        <v>0</v>
      </c>
      <c r="AP82">
        <v>1</v>
      </c>
      <c r="AQ82">
        <v>5.0000000000000001E-3</v>
      </c>
    </row>
    <row r="83" spans="1:55" x14ac:dyDescent="0.15">
      <c r="A83" s="10">
        <v>505</v>
      </c>
      <c r="B83">
        <v>7</v>
      </c>
      <c r="C83" s="1">
        <v>0</v>
      </c>
      <c r="D83">
        <v>2</v>
      </c>
      <c r="E83">
        <v>2</v>
      </c>
      <c r="F83">
        <v>1</v>
      </c>
      <c r="G83" s="7">
        <v>0.4</v>
      </c>
      <c r="H83">
        <v>12</v>
      </c>
      <c r="I83">
        <v>0</v>
      </c>
      <c r="J83">
        <v>0</v>
      </c>
      <c r="K83">
        <v>0</v>
      </c>
      <c r="L83">
        <v>1</v>
      </c>
      <c r="M83">
        <v>1</v>
      </c>
      <c r="N83" s="7">
        <v>9</v>
      </c>
      <c r="O83" s="7">
        <v>0</v>
      </c>
      <c r="P83" s="7">
        <v>0</v>
      </c>
      <c r="Q83" s="7">
        <v>0</v>
      </c>
      <c r="R83">
        <v>1</v>
      </c>
      <c r="S83" s="7">
        <v>1</v>
      </c>
      <c r="T83">
        <v>7</v>
      </c>
      <c r="U83" s="1">
        <v>0</v>
      </c>
      <c r="V83">
        <v>1</v>
      </c>
      <c r="W83">
        <v>2</v>
      </c>
      <c r="X83">
        <v>1</v>
      </c>
      <c r="Y83">
        <v>0.56000000000000005</v>
      </c>
      <c r="Z83">
        <v>23</v>
      </c>
      <c r="AA83">
        <v>0</v>
      </c>
      <c r="AB83">
        <v>0</v>
      </c>
      <c r="AC83">
        <v>0</v>
      </c>
      <c r="AD83">
        <v>1</v>
      </c>
      <c r="AE83">
        <v>0.01</v>
      </c>
      <c r="AF83">
        <v>15</v>
      </c>
      <c r="AG83">
        <v>0</v>
      </c>
      <c r="AH83">
        <v>0</v>
      </c>
      <c r="AI83">
        <v>0</v>
      </c>
      <c r="AJ83">
        <v>1</v>
      </c>
      <c r="AK83">
        <v>0.01</v>
      </c>
      <c r="AL83">
        <v>16</v>
      </c>
      <c r="AM83">
        <v>0</v>
      </c>
      <c r="AN83">
        <v>0</v>
      </c>
      <c r="AO83">
        <v>0</v>
      </c>
      <c r="AP83">
        <v>1</v>
      </c>
      <c r="AQ83">
        <v>5.0000000000000001E-3</v>
      </c>
      <c r="AR83">
        <v>6</v>
      </c>
      <c r="AS83">
        <v>1</v>
      </c>
      <c r="AT83">
        <v>0</v>
      </c>
      <c r="AU83">
        <v>4</v>
      </c>
      <c r="AV83">
        <v>1</v>
      </c>
      <c r="AW83">
        <v>0.2</v>
      </c>
    </row>
    <row r="84" spans="1:55" x14ac:dyDescent="0.15">
      <c r="A84" s="10">
        <v>506</v>
      </c>
      <c r="B84">
        <v>7</v>
      </c>
      <c r="C84" s="1">
        <v>13</v>
      </c>
      <c r="D84">
        <v>0</v>
      </c>
      <c r="E84">
        <v>0</v>
      </c>
      <c r="F84">
        <v>1</v>
      </c>
      <c r="G84" s="7">
        <v>0.4</v>
      </c>
      <c r="H84">
        <v>12</v>
      </c>
      <c r="I84">
        <v>0</v>
      </c>
      <c r="J84">
        <v>0</v>
      </c>
      <c r="K84">
        <v>0</v>
      </c>
      <c r="L84">
        <v>1</v>
      </c>
      <c r="M84">
        <v>1</v>
      </c>
      <c r="N84" s="7">
        <v>9</v>
      </c>
      <c r="O84" s="7">
        <v>0</v>
      </c>
      <c r="P84" s="7">
        <v>0</v>
      </c>
      <c r="Q84" s="7">
        <v>0</v>
      </c>
      <c r="R84">
        <v>1</v>
      </c>
      <c r="S84" s="7">
        <v>1</v>
      </c>
      <c r="T84">
        <v>7</v>
      </c>
      <c r="U84" s="1">
        <v>5</v>
      </c>
      <c r="V84">
        <v>0</v>
      </c>
      <c r="W84">
        <v>0</v>
      </c>
      <c r="X84">
        <v>1</v>
      </c>
      <c r="Y84">
        <v>0.56000000000000005</v>
      </c>
      <c r="Z84">
        <v>23</v>
      </c>
      <c r="AA84">
        <v>0</v>
      </c>
      <c r="AB84">
        <v>0</v>
      </c>
      <c r="AC84">
        <v>0</v>
      </c>
      <c r="AD84">
        <v>1</v>
      </c>
      <c r="AE84">
        <v>0.01</v>
      </c>
      <c r="AF84">
        <v>15</v>
      </c>
      <c r="AG84">
        <v>0</v>
      </c>
      <c r="AH84">
        <v>0</v>
      </c>
      <c r="AI84">
        <v>0</v>
      </c>
      <c r="AJ84">
        <v>1</v>
      </c>
      <c r="AK84">
        <v>0.01</v>
      </c>
      <c r="AL84">
        <v>16</v>
      </c>
      <c r="AM84">
        <v>0</v>
      </c>
      <c r="AN84">
        <v>0</v>
      </c>
      <c r="AO84">
        <v>0</v>
      </c>
      <c r="AP84">
        <v>1</v>
      </c>
      <c r="AQ84">
        <v>5.0000000000000001E-3</v>
      </c>
    </row>
    <row r="85" spans="1:55" x14ac:dyDescent="0.15">
      <c r="A85" s="10">
        <v>507</v>
      </c>
      <c r="B85">
        <v>7</v>
      </c>
      <c r="C85" s="1">
        <v>14</v>
      </c>
      <c r="D85">
        <v>0</v>
      </c>
      <c r="E85">
        <v>0</v>
      </c>
      <c r="F85">
        <v>1</v>
      </c>
      <c r="G85" s="7">
        <v>0.4</v>
      </c>
      <c r="H85">
        <v>12</v>
      </c>
      <c r="I85">
        <v>0</v>
      </c>
      <c r="J85">
        <v>0</v>
      </c>
      <c r="K85">
        <v>0</v>
      </c>
      <c r="L85">
        <v>1</v>
      </c>
      <c r="M85">
        <v>1</v>
      </c>
      <c r="N85" s="7">
        <v>9</v>
      </c>
      <c r="O85" s="7">
        <v>0</v>
      </c>
      <c r="P85" s="7">
        <v>0</v>
      </c>
      <c r="Q85" s="7">
        <v>0</v>
      </c>
      <c r="R85">
        <v>1</v>
      </c>
      <c r="S85" s="7">
        <v>1</v>
      </c>
      <c r="T85">
        <v>7</v>
      </c>
      <c r="U85" s="1">
        <v>6</v>
      </c>
      <c r="V85">
        <v>0</v>
      </c>
      <c r="W85">
        <v>0</v>
      </c>
      <c r="X85">
        <v>1</v>
      </c>
      <c r="Y85">
        <v>0.56000000000000005</v>
      </c>
      <c r="Z85">
        <v>23</v>
      </c>
      <c r="AA85">
        <v>0</v>
      </c>
      <c r="AB85">
        <v>0</v>
      </c>
      <c r="AC85">
        <v>0</v>
      </c>
      <c r="AD85">
        <v>1</v>
      </c>
      <c r="AE85">
        <v>0.01</v>
      </c>
      <c r="AF85">
        <v>15</v>
      </c>
      <c r="AG85">
        <v>0</v>
      </c>
      <c r="AH85">
        <v>0</v>
      </c>
      <c r="AI85">
        <v>0</v>
      </c>
      <c r="AJ85">
        <v>1</v>
      </c>
      <c r="AK85">
        <v>0.01</v>
      </c>
      <c r="AL85">
        <v>16</v>
      </c>
      <c r="AM85">
        <v>0</v>
      </c>
      <c r="AN85">
        <v>0</v>
      </c>
      <c r="AO85">
        <v>0</v>
      </c>
      <c r="AP85">
        <v>1</v>
      </c>
      <c r="AQ85">
        <v>5.0000000000000001E-3</v>
      </c>
    </row>
    <row r="86" spans="1:55" x14ac:dyDescent="0.15">
      <c r="A86" s="10">
        <v>508</v>
      </c>
      <c r="B86">
        <v>7</v>
      </c>
      <c r="C86" s="1">
        <v>15</v>
      </c>
      <c r="D86">
        <v>0</v>
      </c>
      <c r="E86">
        <v>0</v>
      </c>
      <c r="F86">
        <v>1</v>
      </c>
      <c r="G86" s="7">
        <v>0.4</v>
      </c>
      <c r="H86">
        <v>12</v>
      </c>
      <c r="I86">
        <v>0</v>
      </c>
      <c r="J86">
        <v>0</v>
      </c>
      <c r="K86">
        <v>0</v>
      </c>
      <c r="L86">
        <v>1</v>
      </c>
      <c r="M86">
        <v>1</v>
      </c>
      <c r="N86" s="7">
        <v>9</v>
      </c>
      <c r="O86" s="7">
        <v>0</v>
      </c>
      <c r="P86" s="7">
        <v>0</v>
      </c>
      <c r="Q86" s="7">
        <v>0</v>
      </c>
      <c r="R86">
        <v>1</v>
      </c>
      <c r="S86" s="7">
        <v>1</v>
      </c>
      <c r="T86">
        <v>7</v>
      </c>
      <c r="U86" s="1">
        <v>7</v>
      </c>
      <c r="V86">
        <v>0</v>
      </c>
      <c r="W86">
        <v>0</v>
      </c>
      <c r="X86">
        <v>1</v>
      </c>
      <c r="Y86">
        <v>0.56000000000000005</v>
      </c>
      <c r="Z86">
        <v>23</v>
      </c>
      <c r="AA86">
        <v>0</v>
      </c>
      <c r="AB86">
        <v>0</v>
      </c>
      <c r="AC86">
        <v>0</v>
      </c>
      <c r="AD86">
        <v>1</v>
      </c>
      <c r="AE86">
        <v>0.01</v>
      </c>
      <c r="AF86">
        <v>15</v>
      </c>
      <c r="AG86">
        <v>0</v>
      </c>
      <c r="AH86">
        <v>0</v>
      </c>
      <c r="AI86">
        <v>0</v>
      </c>
      <c r="AJ86">
        <v>1</v>
      </c>
      <c r="AK86">
        <v>0.01</v>
      </c>
      <c r="AL86">
        <v>16</v>
      </c>
      <c r="AM86">
        <v>0</v>
      </c>
      <c r="AN86">
        <v>0</v>
      </c>
      <c r="AO86">
        <v>0</v>
      </c>
      <c r="AP86">
        <v>1</v>
      </c>
      <c r="AQ86">
        <v>5.0000000000000001E-3</v>
      </c>
    </row>
    <row r="87" spans="1:55" x14ac:dyDescent="0.15">
      <c r="A87" s="11">
        <v>509</v>
      </c>
      <c r="B87">
        <v>7</v>
      </c>
      <c r="C87" s="1">
        <v>16</v>
      </c>
      <c r="D87">
        <v>0</v>
      </c>
      <c r="E87">
        <v>0</v>
      </c>
      <c r="F87">
        <v>1</v>
      </c>
      <c r="G87" s="7">
        <v>0.4</v>
      </c>
      <c r="H87">
        <v>12</v>
      </c>
      <c r="I87">
        <v>0</v>
      </c>
      <c r="J87">
        <v>0</v>
      </c>
      <c r="K87">
        <v>0</v>
      </c>
      <c r="L87">
        <v>1</v>
      </c>
      <c r="M87">
        <v>1</v>
      </c>
      <c r="N87" s="7">
        <v>9</v>
      </c>
      <c r="O87" s="7">
        <v>0</v>
      </c>
      <c r="P87" s="7">
        <v>0</v>
      </c>
      <c r="Q87" s="7">
        <v>0</v>
      </c>
      <c r="R87">
        <v>1</v>
      </c>
      <c r="S87" s="7">
        <v>1</v>
      </c>
      <c r="T87">
        <v>7</v>
      </c>
      <c r="U87" s="1">
        <v>8</v>
      </c>
      <c r="V87">
        <v>0</v>
      </c>
      <c r="W87">
        <v>0</v>
      </c>
      <c r="X87">
        <v>1</v>
      </c>
      <c r="Y87">
        <v>0.56000000000000005</v>
      </c>
      <c r="Z87">
        <v>23</v>
      </c>
      <c r="AA87">
        <v>0</v>
      </c>
      <c r="AB87">
        <v>0</v>
      </c>
      <c r="AC87">
        <v>0</v>
      </c>
      <c r="AD87">
        <v>1</v>
      </c>
      <c r="AE87">
        <v>0.01</v>
      </c>
      <c r="AF87">
        <v>15</v>
      </c>
      <c r="AG87">
        <v>0</v>
      </c>
      <c r="AH87">
        <v>0</v>
      </c>
      <c r="AI87">
        <v>0</v>
      </c>
      <c r="AJ87">
        <v>1</v>
      </c>
      <c r="AK87">
        <v>0.01</v>
      </c>
      <c r="AL87">
        <v>16</v>
      </c>
      <c r="AM87">
        <v>0</v>
      </c>
      <c r="AN87">
        <v>0</v>
      </c>
      <c r="AO87">
        <v>0</v>
      </c>
      <c r="AP87">
        <v>1</v>
      </c>
      <c r="AQ87">
        <v>5.0000000000000001E-3</v>
      </c>
    </row>
    <row r="88" spans="1:55" x14ac:dyDescent="0.15">
      <c r="A88" s="11">
        <v>510</v>
      </c>
      <c r="B88">
        <v>7</v>
      </c>
      <c r="C88" s="1">
        <v>0</v>
      </c>
      <c r="D88">
        <v>2</v>
      </c>
      <c r="E88">
        <v>2</v>
      </c>
      <c r="F88">
        <v>1</v>
      </c>
      <c r="G88" s="7">
        <v>0.4</v>
      </c>
      <c r="H88">
        <v>12</v>
      </c>
      <c r="I88">
        <v>0</v>
      </c>
      <c r="J88">
        <v>0</v>
      </c>
      <c r="K88">
        <v>0</v>
      </c>
      <c r="L88">
        <v>1</v>
      </c>
      <c r="M88">
        <v>1</v>
      </c>
      <c r="N88" s="7">
        <v>9</v>
      </c>
      <c r="O88" s="7">
        <v>0</v>
      </c>
      <c r="P88" s="7">
        <v>0</v>
      </c>
      <c r="Q88" s="7">
        <v>0</v>
      </c>
      <c r="R88">
        <v>1</v>
      </c>
      <c r="S88" s="7">
        <v>1</v>
      </c>
      <c r="T88">
        <v>7</v>
      </c>
      <c r="U88" s="1">
        <v>0</v>
      </c>
      <c r="V88">
        <v>1</v>
      </c>
      <c r="W88">
        <v>2</v>
      </c>
      <c r="X88">
        <v>1</v>
      </c>
      <c r="Y88">
        <v>0.56000000000000005</v>
      </c>
      <c r="Z88">
        <v>23</v>
      </c>
      <c r="AA88">
        <v>0</v>
      </c>
      <c r="AB88">
        <v>0</v>
      </c>
      <c r="AC88">
        <v>0</v>
      </c>
      <c r="AD88">
        <v>1</v>
      </c>
      <c r="AE88">
        <v>0.01</v>
      </c>
      <c r="AF88">
        <v>15</v>
      </c>
      <c r="AG88">
        <v>0</v>
      </c>
      <c r="AH88">
        <v>0</v>
      </c>
      <c r="AI88">
        <v>0</v>
      </c>
      <c r="AJ88">
        <v>1</v>
      </c>
      <c r="AK88">
        <v>0.01</v>
      </c>
      <c r="AL88">
        <v>16</v>
      </c>
      <c r="AM88">
        <v>0</v>
      </c>
      <c r="AN88">
        <v>0</v>
      </c>
      <c r="AO88">
        <v>0</v>
      </c>
      <c r="AP88">
        <v>1</v>
      </c>
      <c r="AQ88">
        <v>5.0000000000000001E-3</v>
      </c>
      <c r="AR88">
        <v>6</v>
      </c>
      <c r="AS88">
        <v>1</v>
      </c>
      <c r="AT88">
        <v>0</v>
      </c>
      <c r="AU88">
        <v>4</v>
      </c>
      <c r="AV88">
        <v>1</v>
      </c>
      <c r="AW88">
        <v>0.2</v>
      </c>
    </row>
    <row r="89" spans="1:55" x14ac:dyDescent="0.15">
      <c r="A89" s="11">
        <v>511</v>
      </c>
      <c r="B89">
        <v>7</v>
      </c>
      <c r="C89" s="1">
        <v>13</v>
      </c>
      <c r="D89">
        <v>0</v>
      </c>
      <c r="E89">
        <v>0</v>
      </c>
      <c r="F89">
        <v>1</v>
      </c>
      <c r="G89" s="7">
        <v>0.4</v>
      </c>
      <c r="H89">
        <v>12</v>
      </c>
      <c r="I89">
        <v>0</v>
      </c>
      <c r="J89">
        <v>0</v>
      </c>
      <c r="K89">
        <v>0</v>
      </c>
      <c r="L89">
        <v>1</v>
      </c>
      <c r="M89">
        <v>1</v>
      </c>
      <c r="N89" s="7">
        <v>9</v>
      </c>
      <c r="O89" s="7">
        <v>0</v>
      </c>
      <c r="P89" s="7">
        <v>0</v>
      </c>
      <c r="Q89" s="7">
        <v>0</v>
      </c>
      <c r="R89">
        <v>1</v>
      </c>
      <c r="S89" s="7">
        <v>1</v>
      </c>
      <c r="T89">
        <v>7</v>
      </c>
      <c r="U89" s="1">
        <v>5</v>
      </c>
      <c r="V89">
        <v>0</v>
      </c>
      <c r="W89">
        <v>0</v>
      </c>
      <c r="X89">
        <v>1</v>
      </c>
      <c r="Y89">
        <v>0.56000000000000005</v>
      </c>
      <c r="Z89">
        <v>23</v>
      </c>
      <c r="AA89">
        <v>0</v>
      </c>
      <c r="AB89">
        <v>0</v>
      </c>
      <c r="AC89">
        <v>0</v>
      </c>
      <c r="AD89">
        <v>1</v>
      </c>
      <c r="AE89">
        <v>0.01</v>
      </c>
      <c r="AF89">
        <v>15</v>
      </c>
      <c r="AG89">
        <v>0</v>
      </c>
      <c r="AH89">
        <v>0</v>
      </c>
      <c r="AI89">
        <v>0</v>
      </c>
      <c r="AJ89">
        <v>1</v>
      </c>
      <c r="AK89">
        <v>0.01</v>
      </c>
      <c r="AL89">
        <v>16</v>
      </c>
      <c r="AM89">
        <v>0</v>
      </c>
      <c r="AN89">
        <v>0</v>
      </c>
      <c r="AO89">
        <v>0</v>
      </c>
      <c r="AP89">
        <v>1</v>
      </c>
      <c r="AQ89">
        <v>5.0000000000000001E-3</v>
      </c>
    </row>
    <row r="90" spans="1:55" x14ac:dyDescent="0.15">
      <c r="A90" s="11">
        <v>512</v>
      </c>
      <c r="B90">
        <v>7</v>
      </c>
      <c r="C90" s="1">
        <v>14</v>
      </c>
      <c r="D90">
        <v>0</v>
      </c>
      <c r="E90">
        <v>0</v>
      </c>
      <c r="F90">
        <v>1</v>
      </c>
      <c r="G90" s="7">
        <v>0.4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 s="7">
        <v>9</v>
      </c>
      <c r="O90" s="7">
        <v>0</v>
      </c>
      <c r="P90" s="7">
        <v>0</v>
      </c>
      <c r="Q90" s="7">
        <v>0</v>
      </c>
      <c r="R90">
        <v>1</v>
      </c>
      <c r="S90" s="7">
        <v>1</v>
      </c>
      <c r="T90">
        <v>7</v>
      </c>
      <c r="U90" s="1">
        <v>6</v>
      </c>
      <c r="V90">
        <v>0</v>
      </c>
      <c r="W90">
        <v>0</v>
      </c>
      <c r="X90">
        <v>1</v>
      </c>
      <c r="Y90">
        <v>0.56000000000000005</v>
      </c>
      <c r="Z90">
        <v>23</v>
      </c>
      <c r="AA90">
        <v>0</v>
      </c>
      <c r="AB90">
        <v>0</v>
      </c>
      <c r="AC90">
        <v>0</v>
      </c>
      <c r="AD90">
        <v>1</v>
      </c>
      <c r="AE90">
        <v>0.01</v>
      </c>
      <c r="AF90">
        <v>15</v>
      </c>
      <c r="AG90">
        <v>0</v>
      </c>
      <c r="AH90">
        <v>0</v>
      </c>
      <c r="AI90">
        <v>0</v>
      </c>
      <c r="AJ90">
        <v>1</v>
      </c>
      <c r="AK90">
        <v>0.01</v>
      </c>
      <c r="AL90">
        <v>16</v>
      </c>
      <c r="AM90">
        <v>0</v>
      </c>
      <c r="AN90">
        <v>0</v>
      </c>
      <c r="AO90">
        <v>0</v>
      </c>
      <c r="AP90">
        <v>1</v>
      </c>
      <c r="AQ90">
        <v>5.0000000000000001E-3</v>
      </c>
    </row>
    <row r="91" spans="1:55" x14ac:dyDescent="0.15">
      <c r="A91" s="11">
        <v>513</v>
      </c>
      <c r="B91">
        <v>7</v>
      </c>
      <c r="C91" s="1">
        <v>15</v>
      </c>
      <c r="D91">
        <v>0</v>
      </c>
      <c r="E91">
        <v>0</v>
      </c>
      <c r="F91">
        <v>1</v>
      </c>
      <c r="G91" s="7">
        <v>0.4</v>
      </c>
      <c r="H91">
        <v>12</v>
      </c>
      <c r="I91">
        <v>0</v>
      </c>
      <c r="J91">
        <v>0</v>
      </c>
      <c r="K91">
        <v>0</v>
      </c>
      <c r="L91">
        <v>1</v>
      </c>
      <c r="M91">
        <v>1</v>
      </c>
      <c r="N91" s="7">
        <v>9</v>
      </c>
      <c r="O91" s="7">
        <v>0</v>
      </c>
      <c r="P91" s="7">
        <v>0</v>
      </c>
      <c r="Q91" s="7">
        <v>0</v>
      </c>
      <c r="R91">
        <v>1</v>
      </c>
      <c r="S91" s="7">
        <v>1</v>
      </c>
      <c r="T91">
        <v>7</v>
      </c>
      <c r="U91" s="1">
        <v>7</v>
      </c>
      <c r="V91">
        <v>0</v>
      </c>
      <c r="W91">
        <v>0</v>
      </c>
      <c r="X91">
        <v>1</v>
      </c>
      <c r="Y91">
        <v>0.56000000000000005</v>
      </c>
      <c r="Z91">
        <v>23</v>
      </c>
      <c r="AA91">
        <v>0</v>
      </c>
      <c r="AB91">
        <v>0</v>
      </c>
      <c r="AC91">
        <v>0</v>
      </c>
      <c r="AD91">
        <v>1</v>
      </c>
      <c r="AE91">
        <v>0.01</v>
      </c>
      <c r="AF91">
        <v>15</v>
      </c>
      <c r="AG91">
        <v>0</v>
      </c>
      <c r="AH91">
        <v>0</v>
      </c>
      <c r="AI91">
        <v>0</v>
      </c>
      <c r="AJ91">
        <v>1</v>
      </c>
      <c r="AK91">
        <v>0.01</v>
      </c>
      <c r="AL91">
        <v>16</v>
      </c>
      <c r="AM91">
        <v>0</v>
      </c>
      <c r="AN91">
        <v>0</v>
      </c>
      <c r="AO91">
        <v>0</v>
      </c>
      <c r="AP91">
        <v>1</v>
      </c>
      <c r="AQ91">
        <v>5.0000000000000001E-3</v>
      </c>
    </row>
    <row r="92" spans="1:55" x14ac:dyDescent="0.15">
      <c r="A92" s="11">
        <v>514</v>
      </c>
      <c r="B92">
        <v>7</v>
      </c>
      <c r="C92" s="1">
        <v>16</v>
      </c>
      <c r="D92">
        <v>0</v>
      </c>
      <c r="E92">
        <v>0</v>
      </c>
      <c r="F92">
        <v>1</v>
      </c>
      <c r="G92" s="7">
        <v>0.4</v>
      </c>
      <c r="H92">
        <v>12</v>
      </c>
      <c r="I92">
        <v>0</v>
      </c>
      <c r="J92">
        <v>0</v>
      </c>
      <c r="K92">
        <v>0</v>
      </c>
      <c r="L92">
        <v>1</v>
      </c>
      <c r="M92">
        <v>1</v>
      </c>
      <c r="N92" s="7">
        <v>9</v>
      </c>
      <c r="O92" s="7">
        <v>0</v>
      </c>
      <c r="P92" s="7">
        <v>0</v>
      </c>
      <c r="Q92" s="7">
        <v>0</v>
      </c>
      <c r="R92">
        <v>1</v>
      </c>
      <c r="S92" s="7">
        <v>1</v>
      </c>
      <c r="T92">
        <v>7</v>
      </c>
      <c r="U92" s="1">
        <v>8</v>
      </c>
      <c r="V92">
        <v>0</v>
      </c>
      <c r="W92">
        <v>0</v>
      </c>
      <c r="X92">
        <v>1</v>
      </c>
      <c r="Y92">
        <v>0.56000000000000005</v>
      </c>
      <c r="Z92">
        <v>23</v>
      </c>
      <c r="AA92">
        <v>0</v>
      </c>
      <c r="AB92">
        <v>0</v>
      </c>
      <c r="AC92">
        <v>0</v>
      </c>
      <c r="AD92">
        <v>1</v>
      </c>
      <c r="AE92">
        <v>0.01</v>
      </c>
      <c r="AF92">
        <v>15</v>
      </c>
      <c r="AG92">
        <v>0</v>
      </c>
      <c r="AH92">
        <v>0</v>
      </c>
      <c r="AI92">
        <v>0</v>
      </c>
      <c r="AJ92">
        <v>1</v>
      </c>
      <c r="AK92">
        <v>0.01</v>
      </c>
      <c r="AL92">
        <v>16</v>
      </c>
      <c r="AM92">
        <v>0</v>
      </c>
      <c r="AN92">
        <v>0</v>
      </c>
      <c r="AO92">
        <v>0</v>
      </c>
      <c r="AP92">
        <v>1</v>
      </c>
      <c r="AQ92">
        <v>5.0000000000000001E-3</v>
      </c>
    </row>
    <row r="93" spans="1:55" x14ac:dyDescent="0.15">
      <c r="A93" s="11">
        <v>515</v>
      </c>
      <c r="B93">
        <v>7</v>
      </c>
      <c r="C93" s="1">
        <v>0</v>
      </c>
      <c r="D93">
        <v>2</v>
      </c>
      <c r="E93">
        <v>2</v>
      </c>
      <c r="F93">
        <v>1</v>
      </c>
      <c r="G93" s="7">
        <v>0.4</v>
      </c>
      <c r="H93">
        <v>12</v>
      </c>
      <c r="I93">
        <v>0</v>
      </c>
      <c r="J93">
        <v>0</v>
      </c>
      <c r="K93">
        <v>0</v>
      </c>
      <c r="L93">
        <v>1</v>
      </c>
      <c r="M93">
        <v>1</v>
      </c>
      <c r="N93" s="7">
        <v>9</v>
      </c>
      <c r="O93" s="7">
        <v>0</v>
      </c>
      <c r="P93" s="7">
        <v>0</v>
      </c>
      <c r="Q93" s="7">
        <v>0</v>
      </c>
      <c r="R93">
        <v>1</v>
      </c>
      <c r="S93" s="7">
        <v>1</v>
      </c>
      <c r="T93">
        <v>7</v>
      </c>
      <c r="U93" s="1">
        <v>0</v>
      </c>
      <c r="V93">
        <v>1</v>
      </c>
      <c r="W93">
        <v>2</v>
      </c>
      <c r="X93">
        <v>1</v>
      </c>
      <c r="Y93">
        <v>0.56000000000000005</v>
      </c>
      <c r="Z93">
        <v>23</v>
      </c>
      <c r="AA93">
        <v>0</v>
      </c>
      <c r="AB93">
        <v>0</v>
      </c>
      <c r="AC93">
        <v>0</v>
      </c>
      <c r="AD93">
        <v>1</v>
      </c>
      <c r="AE93">
        <v>0.01</v>
      </c>
      <c r="AF93">
        <v>15</v>
      </c>
      <c r="AG93">
        <v>0</v>
      </c>
      <c r="AH93">
        <v>0</v>
      </c>
      <c r="AI93">
        <v>0</v>
      </c>
      <c r="AJ93">
        <v>1</v>
      </c>
      <c r="AK93">
        <v>0.01</v>
      </c>
      <c r="AL93">
        <v>16</v>
      </c>
      <c r="AM93">
        <v>0</v>
      </c>
      <c r="AN93">
        <v>0</v>
      </c>
      <c r="AO93">
        <v>0</v>
      </c>
      <c r="AP93">
        <v>1</v>
      </c>
      <c r="AQ93">
        <v>5.0000000000000001E-3</v>
      </c>
      <c r="AR93">
        <v>6</v>
      </c>
      <c r="AS93">
        <v>1</v>
      </c>
      <c r="AT93">
        <v>0</v>
      </c>
      <c r="AU93">
        <v>4</v>
      </c>
      <c r="AV93">
        <v>1</v>
      </c>
      <c r="AW93">
        <v>0.2</v>
      </c>
    </row>
    <row r="94" spans="1:55" x14ac:dyDescent="0.15">
      <c r="A94" s="11">
        <v>516</v>
      </c>
      <c r="B94">
        <v>7</v>
      </c>
      <c r="C94" s="1">
        <v>17</v>
      </c>
      <c r="D94">
        <v>0</v>
      </c>
      <c r="E94">
        <v>0</v>
      </c>
      <c r="F94">
        <v>1</v>
      </c>
      <c r="G94" s="7">
        <v>0.32</v>
      </c>
      <c r="H94">
        <v>12</v>
      </c>
      <c r="I94">
        <v>0</v>
      </c>
      <c r="J94">
        <v>0</v>
      </c>
      <c r="K94">
        <v>0</v>
      </c>
      <c r="L94">
        <v>1</v>
      </c>
      <c r="M94">
        <v>1.2</v>
      </c>
      <c r="N94" s="7">
        <v>9</v>
      </c>
      <c r="O94" s="7">
        <v>0</v>
      </c>
      <c r="P94" s="7">
        <v>0</v>
      </c>
      <c r="Q94" s="7">
        <v>0</v>
      </c>
      <c r="R94" s="7">
        <v>1</v>
      </c>
      <c r="S94" s="7">
        <v>1</v>
      </c>
      <c r="T94">
        <v>7</v>
      </c>
      <c r="U94" s="1">
        <v>9</v>
      </c>
      <c r="V94">
        <v>0</v>
      </c>
      <c r="W94">
        <v>0</v>
      </c>
      <c r="X94">
        <v>1</v>
      </c>
      <c r="Y94">
        <v>0.48</v>
      </c>
      <c r="Z94">
        <v>23</v>
      </c>
      <c r="AA94">
        <v>0</v>
      </c>
      <c r="AB94">
        <v>0</v>
      </c>
      <c r="AC94">
        <v>0</v>
      </c>
      <c r="AD94">
        <v>1</v>
      </c>
      <c r="AE94">
        <v>0.01</v>
      </c>
      <c r="AF94">
        <v>15</v>
      </c>
      <c r="AG94">
        <v>0</v>
      </c>
      <c r="AH94">
        <v>0</v>
      </c>
      <c r="AI94">
        <v>0</v>
      </c>
      <c r="AJ94">
        <v>1</v>
      </c>
      <c r="AK94">
        <v>0.01</v>
      </c>
      <c r="AL94">
        <v>16</v>
      </c>
      <c r="AM94">
        <v>0</v>
      </c>
      <c r="AN94">
        <v>0</v>
      </c>
      <c r="AO94">
        <v>0</v>
      </c>
      <c r="AP94">
        <v>1</v>
      </c>
      <c r="AQ94">
        <v>5.0000000000000001E-3</v>
      </c>
      <c r="AX94">
        <v>7</v>
      </c>
      <c r="AY94" s="1">
        <v>1</v>
      </c>
      <c r="AZ94">
        <v>0</v>
      </c>
      <c r="BA94">
        <v>0</v>
      </c>
      <c r="BB94">
        <v>1</v>
      </c>
      <c r="BC94" s="7">
        <v>0.64</v>
      </c>
    </row>
    <row r="95" spans="1:55" x14ac:dyDescent="0.15">
      <c r="A95" s="11">
        <v>517</v>
      </c>
      <c r="B95">
        <v>7</v>
      </c>
      <c r="C95" s="1">
        <v>18</v>
      </c>
      <c r="D95">
        <v>0</v>
      </c>
      <c r="E95">
        <v>0</v>
      </c>
      <c r="F95">
        <v>1</v>
      </c>
      <c r="G95" s="7">
        <v>0.32</v>
      </c>
      <c r="H95">
        <v>12</v>
      </c>
      <c r="I95">
        <v>0</v>
      </c>
      <c r="J95">
        <v>0</v>
      </c>
      <c r="K95">
        <v>0</v>
      </c>
      <c r="L95">
        <v>1</v>
      </c>
      <c r="M95">
        <v>1.2</v>
      </c>
      <c r="N95" s="7">
        <v>9</v>
      </c>
      <c r="O95" s="7">
        <v>0</v>
      </c>
      <c r="P95" s="7">
        <v>0</v>
      </c>
      <c r="Q95" s="7">
        <v>0</v>
      </c>
      <c r="R95" s="7">
        <v>1</v>
      </c>
      <c r="S95" s="7">
        <v>1</v>
      </c>
      <c r="T95">
        <v>7</v>
      </c>
      <c r="U95" s="1">
        <v>10</v>
      </c>
      <c r="V95">
        <v>0</v>
      </c>
      <c r="W95">
        <v>0</v>
      </c>
      <c r="X95">
        <v>1</v>
      </c>
      <c r="Y95">
        <v>0.48</v>
      </c>
      <c r="Z95">
        <v>23</v>
      </c>
      <c r="AA95">
        <v>0</v>
      </c>
      <c r="AB95">
        <v>0</v>
      </c>
      <c r="AC95">
        <v>0</v>
      </c>
      <c r="AD95">
        <v>1</v>
      </c>
      <c r="AE95">
        <v>0.01</v>
      </c>
      <c r="AF95">
        <v>15</v>
      </c>
      <c r="AG95">
        <v>0</v>
      </c>
      <c r="AH95">
        <v>0</v>
      </c>
      <c r="AI95">
        <v>0</v>
      </c>
      <c r="AJ95">
        <v>1</v>
      </c>
      <c r="AK95">
        <v>0.01</v>
      </c>
      <c r="AL95">
        <v>16</v>
      </c>
      <c r="AM95">
        <v>0</v>
      </c>
      <c r="AN95">
        <v>0</v>
      </c>
      <c r="AO95">
        <v>0</v>
      </c>
      <c r="AP95">
        <v>1</v>
      </c>
      <c r="AQ95">
        <v>5.0000000000000001E-3</v>
      </c>
      <c r="AX95">
        <v>7</v>
      </c>
      <c r="AY95" s="1">
        <v>2</v>
      </c>
      <c r="AZ95">
        <v>0</v>
      </c>
      <c r="BA95">
        <v>0</v>
      </c>
      <c r="BB95">
        <v>1</v>
      </c>
      <c r="BC95" s="7">
        <v>0.64</v>
      </c>
    </row>
    <row r="96" spans="1:55" x14ac:dyDescent="0.15">
      <c r="A96" s="11">
        <v>518</v>
      </c>
      <c r="B96">
        <v>7</v>
      </c>
      <c r="C96" s="1">
        <v>19</v>
      </c>
      <c r="D96">
        <v>0</v>
      </c>
      <c r="E96">
        <v>0</v>
      </c>
      <c r="F96">
        <v>1</v>
      </c>
      <c r="G96" s="7">
        <v>0.32</v>
      </c>
      <c r="H96">
        <v>12</v>
      </c>
      <c r="I96">
        <v>0</v>
      </c>
      <c r="J96">
        <v>0</v>
      </c>
      <c r="K96">
        <v>0</v>
      </c>
      <c r="L96">
        <v>1</v>
      </c>
      <c r="M96">
        <v>1.2</v>
      </c>
      <c r="N96" s="7">
        <v>9</v>
      </c>
      <c r="O96" s="7">
        <v>0</v>
      </c>
      <c r="P96" s="7">
        <v>0</v>
      </c>
      <c r="Q96" s="7">
        <v>0</v>
      </c>
      <c r="R96" s="7">
        <v>1</v>
      </c>
      <c r="S96" s="7">
        <v>1</v>
      </c>
      <c r="T96">
        <v>7</v>
      </c>
      <c r="U96" s="1">
        <v>11</v>
      </c>
      <c r="V96">
        <v>0</v>
      </c>
      <c r="W96">
        <v>0</v>
      </c>
      <c r="X96">
        <v>1</v>
      </c>
      <c r="Y96">
        <v>0.48</v>
      </c>
      <c r="Z96">
        <v>23</v>
      </c>
      <c r="AA96">
        <v>0</v>
      </c>
      <c r="AB96">
        <v>0</v>
      </c>
      <c r="AC96">
        <v>0</v>
      </c>
      <c r="AD96">
        <v>1</v>
      </c>
      <c r="AE96">
        <v>0.01</v>
      </c>
      <c r="AF96">
        <v>15</v>
      </c>
      <c r="AG96">
        <v>0</v>
      </c>
      <c r="AH96">
        <v>0</v>
      </c>
      <c r="AI96">
        <v>0</v>
      </c>
      <c r="AJ96">
        <v>1</v>
      </c>
      <c r="AK96">
        <v>0.01</v>
      </c>
      <c r="AL96">
        <v>16</v>
      </c>
      <c r="AM96">
        <v>0</v>
      </c>
      <c r="AN96">
        <v>0</v>
      </c>
      <c r="AO96">
        <v>0</v>
      </c>
      <c r="AP96">
        <v>1</v>
      </c>
      <c r="AQ96">
        <v>5.0000000000000001E-3</v>
      </c>
      <c r="AX96">
        <v>7</v>
      </c>
      <c r="AY96" s="1">
        <v>3</v>
      </c>
      <c r="AZ96">
        <v>0</v>
      </c>
      <c r="BA96">
        <v>0</v>
      </c>
      <c r="BB96">
        <v>1</v>
      </c>
      <c r="BC96" s="7">
        <v>0.64</v>
      </c>
    </row>
    <row r="97" spans="1:55" x14ac:dyDescent="0.15">
      <c r="A97" s="11">
        <v>519</v>
      </c>
      <c r="B97">
        <v>7</v>
      </c>
      <c r="C97" s="1">
        <v>20</v>
      </c>
      <c r="D97">
        <v>0</v>
      </c>
      <c r="E97">
        <v>0</v>
      </c>
      <c r="F97">
        <v>1</v>
      </c>
      <c r="G97" s="7">
        <v>0.32</v>
      </c>
      <c r="H97">
        <v>12</v>
      </c>
      <c r="I97">
        <v>0</v>
      </c>
      <c r="J97">
        <v>0</v>
      </c>
      <c r="K97">
        <v>0</v>
      </c>
      <c r="L97">
        <v>1</v>
      </c>
      <c r="M97">
        <v>1.2</v>
      </c>
      <c r="N97" s="7">
        <v>9</v>
      </c>
      <c r="O97" s="7">
        <v>0</v>
      </c>
      <c r="P97" s="7">
        <v>0</v>
      </c>
      <c r="Q97" s="7">
        <v>0</v>
      </c>
      <c r="R97" s="7">
        <v>1</v>
      </c>
      <c r="S97" s="7">
        <v>1</v>
      </c>
      <c r="T97">
        <v>7</v>
      </c>
      <c r="U97" s="1">
        <v>12</v>
      </c>
      <c r="V97">
        <v>0</v>
      </c>
      <c r="W97">
        <v>0</v>
      </c>
      <c r="X97">
        <v>1</v>
      </c>
      <c r="Y97">
        <v>0.48</v>
      </c>
      <c r="Z97">
        <v>23</v>
      </c>
      <c r="AA97">
        <v>0</v>
      </c>
      <c r="AB97">
        <v>0</v>
      </c>
      <c r="AC97">
        <v>0</v>
      </c>
      <c r="AD97">
        <v>1</v>
      </c>
      <c r="AE97">
        <v>0.01</v>
      </c>
      <c r="AF97">
        <v>15</v>
      </c>
      <c r="AG97">
        <v>0</v>
      </c>
      <c r="AH97">
        <v>0</v>
      </c>
      <c r="AI97">
        <v>0</v>
      </c>
      <c r="AJ97">
        <v>1</v>
      </c>
      <c r="AK97">
        <v>0.01</v>
      </c>
      <c r="AL97">
        <v>16</v>
      </c>
      <c r="AM97">
        <v>0</v>
      </c>
      <c r="AN97">
        <v>0</v>
      </c>
      <c r="AO97">
        <v>0</v>
      </c>
      <c r="AP97">
        <v>1</v>
      </c>
      <c r="AQ97">
        <v>5.0000000000000001E-3</v>
      </c>
      <c r="AX97">
        <v>7</v>
      </c>
      <c r="AY97" s="1">
        <v>4</v>
      </c>
      <c r="AZ97">
        <v>0</v>
      </c>
      <c r="BA97">
        <v>0</v>
      </c>
      <c r="BB97">
        <v>1</v>
      </c>
      <c r="BC97" s="7">
        <v>0.64</v>
      </c>
    </row>
    <row r="98" spans="1:55" x14ac:dyDescent="0.15">
      <c r="A98" s="11">
        <v>520</v>
      </c>
      <c r="B98">
        <v>7</v>
      </c>
      <c r="C98" s="1">
        <v>0</v>
      </c>
      <c r="D98">
        <v>3</v>
      </c>
      <c r="E98">
        <v>1</v>
      </c>
      <c r="F98">
        <v>1</v>
      </c>
      <c r="G98" s="7">
        <v>0.32</v>
      </c>
      <c r="H98">
        <v>12</v>
      </c>
      <c r="I98">
        <v>0</v>
      </c>
      <c r="J98">
        <v>0</v>
      </c>
      <c r="K98">
        <v>0</v>
      </c>
      <c r="L98">
        <v>1</v>
      </c>
      <c r="M98">
        <v>1.2</v>
      </c>
      <c r="N98" s="7">
        <v>9</v>
      </c>
      <c r="O98" s="7">
        <v>0</v>
      </c>
      <c r="P98" s="7">
        <v>0</v>
      </c>
      <c r="Q98" s="7">
        <v>0</v>
      </c>
      <c r="R98" s="7">
        <v>1</v>
      </c>
      <c r="S98" s="7">
        <v>1</v>
      </c>
      <c r="T98">
        <v>7</v>
      </c>
      <c r="U98" s="1">
        <v>0</v>
      </c>
      <c r="V98">
        <v>2</v>
      </c>
      <c r="W98">
        <v>1</v>
      </c>
      <c r="X98">
        <v>1</v>
      </c>
      <c r="Y98">
        <v>0.48</v>
      </c>
      <c r="Z98">
        <v>23</v>
      </c>
      <c r="AA98">
        <v>0</v>
      </c>
      <c r="AB98">
        <v>0</v>
      </c>
      <c r="AC98">
        <v>0</v>
      </c>
      <c r="AD98">
        <v>1</v>
      </c>
      <c r="AE98">
        <v>0.01</v>
      </c>
      <c r="AF98">
        <v>15</v>
      </c>
      <c r="AG98">
        <v>0</v>
      </c>
      <c r="AH98">
        <v>0</v>
      </c>
      <c r="AI98">
        <v>0</v>
      </c>
      <c r="AJ98">
        <v>1</v>
      </c>
      <c r="AK98">
        <v>0.01</v>
      </c>
      <c r="AL98">
        <v>16</v>
      </c>
      <c r="AM98">
        <v>0</v>
      </c>
      <c r="AN98">
        <v>0</v>
      </c>
      <c r="AO98">
        <v>0</v>
      </c>
      <c r="AP98">
        <v>1</v>
      </c>
      <c r="AQ98">
        <v>5.0000000000000001E-3</v>
      </c>
      <c r="AR98">
        <v>6</v>
      </c>
      <c r="AS98">
        <v>1</v>
      </c>
      <c r="AT98">
        <v>0</v>
      </c>
      <c r="AU98">
        <v>4</v>
      </c>
      <c r="AV98">
        <v>1</v>
      </c>
      <c r="AW98">
        <v>0.2</v>
      </c>
      <c r="AX98">
        <v>7</v>
      </c>
      <c r="AY98" s="1">
        <v>0</v>
      </c>
      <c r="AZ98">
        <v>1</v>
      </c>
      <c r="BA98">
        <v>1</v>
      </c>
      <c r="BB98">
        <v>1</v>
      </c>
      <c r="BC98" s="7">
        <v>0.64</v>
      </c>
    </row>
    <row r="99" spans="1:55" x14ac:dyDescent="0.15">
      <c r="A99" s="11">
        <v>521</v>
      </c>
      <c r="B99">
        <v>7</v>
      </c>
      <c r="C99" s="1">
        <v>17</v>
      </c>
      <c r="D99">
        <v>0</v>
      </c>
      <c r="E99">
        <v>0</v>
      </c>
      <c r="F99">
        <v>1</v>
      </c>
      <c r="G99" s="7">
        <v>0.32</v>
      </c>
      <c r="H99">
        <v>12</v>
      </c>
      <c r="I99">
        <v>0</v>
      </c>
      <c r="J99">
        <v>0</v>
      </c>
      <c r="K99">
        <v>0</v>
      </c>
      <c r="L99">
        <v>1</v>
      </c>
      <c r="M99">
        <v>1.2</v>
      </c>
      <c r="N99" s="7">
        <v>9</v>
      </c>
      <c r="O99" s="7">
        <v>0</v>
      </c>
      <c r="P99" s="7">
        <v>0</v>
      </c>
      <c r="Q99" s="7">
        <v>0</v>
      </c>
      <c r="R99" s="7">
        <v>1</v>
      </c>
      <c r="S99" s="7">
        <v>1</v>
      </c>
      <c r="T99">
        <v>7</v>
      </c>
      <c r="U99" s="1">
        <v>9</v>
      </c>
      <c r="V99">
        <v>0</v>
      </c>
      <c r="W99">
        <v>0</v>
      </c>
      <c r="X99">
        <v>1</v>
      </c>
      <c r="Y99">
        <v>0.48</v>
      </c>
      <c r="Z99">
        <v>23</v>
      </c>
      <c r="AA99">
        <v>0</v>
      </c>
      <c r="AB99">
        <v>0</v>
      </c>
      <c r="AC99">
        <v>0</v>
      </c>
      <c r="AD99">
        <v>1</v>
      </c>
      <c r="AE99">
        <v>0.01</v>
      </c>
      <c r="AF99">
        <v>15</v>
      </c>
      <c r="AG99">
        <v>0</v>
      </c>
      <c r="AH99">
        <v>0</v>
      </c>
      <c r="AI99">
        <v>0</v>
      </c>
      <c r="AJ99">
        <v>1</v>
      </c>
      <c r="AK99">
        <v>0.01</v>
      </c>
      <c r="AL99">
        <v>16</v>
      </c>
      <c r="AM99">
        <v>0</v>
      </c>
      <c r="AN99">
        <v>0</v>
      </c>
      <c r="AO99">
        <v>0</v>
      </c>
      <c r="AP99">
        <v>1</v>
      </c>
      <c r="AQ99">
        <v>5.0000000000000001E-3</v>
      </c>
      <c r="AX99">
        <v>7</v>
      </c>
      <c r="AY99" s="1">
        <v>1</v>
      </c>
      <c r="AZ99">
        <v>0</v>
      </c>
      <c r="BA99">
        <v>0</v>
      </c>
      <c r="BB99">
        <v>1</v>
      </c>
      <c r="BC99" s="7">
        <v>0.64</v>
      </c>
    </row>
    <row r="100" spans="1:55" x14ac:dyDescent="0.15">
      <c r="A100" s="11">
        <v>522</v>
      </c>
      <c r="B100">
        <v>7</v>
      </c>
      <c r="C100" s="1">
        <v>18</v>
      </c>
      <c r="D100">
        <v>0</v>
      </c>
      <c r="E100">
        <v>0</v>
      </c>
      <c r="F100">
        <v>1</v>
      </c>
      <c r="G100" s="7">
        <v>0.32</v>
      </c>
      <c r="H100">
        <v>12</v>
      </c>
      <c r="I100">
        <v>0</v>
      </c>
      <c r="J100">
        <v>0</v>
      </c>
      <c r="K100">
        <v>0</v>
      </c>
      <c r="L100">
        <v>1</v>
      </c>
      <c r="M100">
        <v>1.2</v>
      </c>
      <c r="N100" s="7">
        <v>9</v>
      </c>
      <c r="O100" s="7">
        <v>0</v>
      </c>
      <c r="P100" s="7">
        <v>0</v>
      </c>
      <c r="Q100" s="7">
        <v>0</v>
      </c>
      <c r="R100" s="7">
        <v>1</v>
      </c>
      <c r="S100" s="7">
        <v>1</v>
      </c>
      <c r="T100">
        <v>7</v>
      </c>
      <c r="U100" s="1">
        <v>10</v>
      </c>
      <c r="V100">
        <v>0</v>
      </c>
      <c r="W100">
        <v>0</v>
      </c>
      <c r="X100">
        <v>1</v>
      </c>
      <c r="Y100">
        <v>0.48</v>
      </c>
      <c r="Z100">
        <v>23</v>
      </c>
      <c r="AA100">
        <v>0</v>
      </c>
      <c r="AB100">
        <v>0</v>
      </c>
      <c r="AC100">
        <v>0</v>
      </c>
      <c r="AD100">
        <v>1</v>
      </c>
      <c r="AE100">
        <v>0.01</v>
      </c>
      <c r="AF100">
        <v>15</v>
      </c>
      <c r="AG100">
        <v>0</v>
      </c>
      <c r="AH100">
        <v>0</v>
      </c>
      <c r="AI100">
        <v>0</v>
      </c>
      <c r="AJ100">
        <v>1</v>
      </c>
      <c r="AK100">
        <v>0.01</v>
      </c>
      <c r="AL100">
        <v>16</v>
      </c>
      <c r="AM100">
        <v>0</v>
      </c>
      <c r="AN100">
        <v>0</v>
      </c>
      <c r="AO100">
        <v>0</v>
      </c>
      <c r="AP100">
        <v>1</v>
      </c>
      <c r="AQ100">
        <v>5.0000000000000001E-3</v>
      </c>
      <c r="AX100">
        <v>7</v>
      </c>
      <c r="AY100" s="1">
        <v>2</v>
      </c>
      <c r="AZ100">
        <v>0</v>
      </c>
      <c r="BA100">
        <v>0</v>
      </c>
      <c r="BB100">
        <v>1</v>
      </c>
      <c r="BC100" s="7">
        <v>0.64</v>
      </c>
    </row>
    <row r="101" spans="1:55" x14ac:dyDescent="0.15">
      <c r="A101" s="11">
        <v>523</v>
      </c>
      <c r="B101">
        <v>7</v>
      </c>
      <c r="C101" s="1">
        <v>19</v>
      </c>
      <c r="D101">
        <v>0</v>
      </c>
      <c r="E101">
        <v>0</v>
      </c>
      <c r="F101">
        <v>1</v>
      </c>
      <c r="G101" s="7">
        <v>0.32</v>
      </c>
      <c r="H101">
        <v>12</v>
      </c>
      <c r="I101">
        <v>0</v>
      </c>
      <c r="J101">
        <v>0</v>
      </c>
      <c r="K101">
        <v>0</v>
      </c>
      <c r="L101">
        <v>1</v>
      </c>
      <c r="M101">
        <v>1.2</v>
      </c>
      <c r="N101" s="7">
        <v>9</v>
      </c>
      <c r="O101" s="7">
        <v>0</v>
      </c>
      <c r="P101" s="7">
        <v>0</v>
      </c>
      <c r="Q101" s="7">
        <v>0</v>
      </c>
      <c r="R101" s="7">
        <v>1</v>
      </c>
      <c r="S101" s="7">
        <v>1</v>
      </c>
      <c r="T101">
        <v>7</v>
      </c>
      <c r="U101" s="1">
        <v>11</v>
      </c>
      <c r="V101">
        <v>0</v>
      </c>
      <c r="W101">
        <v>0</v>
      </c>
      <c r="X101">
        <v>1</v>
      </c>
      <c r="Y101">
        <v>0.48</v>
      </c>
      <c r="Z101">
        <v>23</v>
      </c>
      <c r="AA101">
        <v>0</v>
      </c>
      <c r="AB101">
        <v>0</v>
      </c>
      <c r="AC101">
        <v>0</v>
      </c>
      <c r="AD101">
        <v>1</v>
      </c>
      <c r="AE101">
        <v>0.01</v>
      </c>
      <c r="AF101">
        <v>15</v>
      </c>
      <c r="AG101">
        <v>0</v>
      </c>
      <c r="AH101">
        <v>0</v>
      </c>
      <c r="AI101">
        <v>0</v>
      </c>
      <c r="AJ101">
        <v>1</v>
      </c>
      <c r="AK101">
        <v>0.01</v>
      </c>
      <c r="AL101">
        <v>16</v>
      </c>
      <c r="AM101">
        <v>0</v>
      </c>
      <c r="AN101">
        <v>0</v>
      </c>
      <c r="AO101">
        <v>0</v>
      </c>
      <c r="AP101">
        <v>1</v>
      </c>
      <c r="AQ101">
        <v>5.0000000000000001E-3</v>
      </c>
      <c r="AX101">
        <v>7</v>
      </c>
      <c r="AY101" s="1">
        <v>3</v>
      </c>
      <c r="AZ101">
        <v>0</v>
      </c>
      <c r="BA101">
        <v>0</v>
      </c>
      <c r="BB101">
        <v>1</v>
      </c>
      <c r="BC101" s="7">
        <v>0.64</v>
      </c>
    </row>
    <row r="102" spans="1:55" x14ac:dyDescent="0.15">
      <c r="A102" s="11">
        <v>524</v>
      </c>
      <c r="B102">
        <v>7</v>
      </c>
      <c r="C102" s="1">
        <v>20</v>
      </c>
      <c r="D102">
        <v>0</v>
      </c>
      <c r="E102">
        <v>0</v>
      </c>
      <c r="F102">
        <v>1</v>
      </c>
      <c r="G102" s="7">
        <v>0.32</v>
      </c>
      <c r="H102">
        <v>12</v>
      </c>
      <c r="I102">
        <v>0</v>
      </c>
      <c r="J102">
        <v>0</v>
      </c>
      <c r="K102">
        <v>0</v>
      </c>
      <c r="L102">
        <v>1</v>
      </c>
      <c r="M102">
        <v>1.2</v>
      </c>
      <c r="N102" s="7">
        <v>9</v>
      </c>
      <c r="O102" s="7">
        <v>0</v>
      </c>
      <c r="P102" s="7">
        <v>0</v>
      </c>
      <c r="Q102" s="7">
        <v>0</v>
      </c>
      <c r="R102" s="7">
        <v>1</v>
      </c>
      <c r="S102" s="7">
        <v>1</v>
      </c>
      <c r="T102">
        <v>7</v>
      </c>
      <c r="U102" s="1">
        <v>12</v>
      </c>
      <c r="V102">
        <v>0</v>
      </c>
      <c r="W102">
        <v>0</v>
      </c>
      <c r="X102">
        <v>1</v>
      </c>
      <c r="Y102">
        <v>0.48</v>
      </c>
      <c r="Z102">
        <v>23</v>
      </c>
      <c r="AA102">
        <v>0</v>
      </c>
      <c r="AB102">
        <v>0</v>
      </c>
      <c r="AC102">
        <v>0</v>
      </c>
      <c r="AD102">
        <v>1</v>
      </c>
      <c r="AE102">
        <v>0.01</v>
      </c>
      <c r="AF102">
        <v>15</v>
      </c>
      <c r="AG102">
        <v>0</v>
      </c>
      <c r="AH102">
        <v>0</v>
      </c>
      <c r="AI102">
        <v>0</v>
      </c>
      <c r="AJ102">
        <v>1</v>
      </c>
      <c r="AK102">
        <v>0.01</v>
      </c>
      <c r="AL102">
        <v>16</v>
      </c>
      <c r="AM102">
        <v>0</v>
      </c>
      <c r="AN102">
        <v>0</v>
      </c>
      <c r="AO102">
        <v>0</v>
      </c>
      <c r="AP102">
        <v>1</v>
      </c>
      <c r="AQ102">
        <v>5.0000000000000001E-3</v>
      </c>
      <c r="AX102">
        <v>7</v>
      </c>
      <c r="AY102" s="1">
        <v>4</v>
      </c>
      <c r="AZ102">
        <v>0</v>
      </c>
      <c r="BA102">
        <v>0</v>
      </c>
      <c r="BB102">
        <v>1</v>
      </c>
      <c r="BC102" s="7">
        <v>0.64</v>
      </c>
    </row>
    <row r="103" spans="1:55" x14ac:dyDescent="0.15">
      <c r="A103" s="11">
        <v>525</v>
      </c>
      <c r="B103">
        <v>7</v>
      </c>
      <c r="C103" s="1">
        <v>0</v>
      </c>
      <c r="D103">
        <v>3</v>
      </c>
      <c r="E103">
        <v>1</v>
      </c>
      <c r="F103">
        <v>1</v>
      </c>
      <c r="G103" s="7">
        <v>0.32</v>
      </c>
      <c r="H103">
        <v>12</v>
      </c>
      <c r="I103">
        <v>0</v>
      </c>
      <c r="J103">
        <v>0</v>
      </c>
      <c r="K103">
        <v>0</v>
      </c>
      <c r="L103">
        <v>1</v>
      </c>
      <c r="M103">
        <v>1.2</v>
      </c>
      <c r="N103" s="7">
        <v>9</v>
      </c>
      <c r="O103" s="7">
        <v>0</v>
      </c>
      <c r="P103" s="7">
        <v>0</v>
      </c>
      <c r="Q103" s="7">
        <v>0</v>
      </c>
      <c r="R103" s="7">
        <v>1</v>
      </c>
      <c r="S103" s="7">
        <v>1</v>
      </c>
      <c r="T103">
        <v>7</v>
      </c>
      <c r="U103" s="1">
        <v>0</v>
      </c>
      <c r="V103">
        <v>2</v>
      </c>
      <c r="W103">
        <v>1</v>
      </c>
      <c r="X103">
        <v>1</v>
      </c>
      <c r="Y103">
        <v>0.48</v>
      </c>
      <c r="Z103">
        <v>23</v>
      </c>
      <c r="AA103">
        <v>0</v>
      </c>
      <c r="AB103">
        <v>0</v>
      </c>
      <c r="AC103">
        <v>0</v>
      </c>
      <c r="AD103">
        <v>1</v>
      </c>
      <c r="AE103">
        <v>0.01</v>
      </c>
      <c r="AF103">
        <v>15</v>
      </c>
      <c r="AG103">
        <v>0</v>
      </c>
      <c r="AH103">
        <v>0</v>
      </c>
      <c r="AI103">
        <v>0</v>
      </c>
      <c r="AJ103">
        <v>1</v>
      </c>
      <c r="AK103">
        <v>0.01</v>
      </c>
      <c r="AL103">
        <v>16</v>
      </c>
      <c r="AM103">
        <v>0</v>
      </c>
      <c r="AN103">
        <v>0</v>
      </c>
      <c r="AO103">
        <v>0</v>
      </c>
      <c r="AP103">
        <v>1</v>
      </c>
      <c r="AQ103">
        <v>5.0000000000000001E-3</v>
      </c>
      <c r="AR103">
        <v>6</v>
      </c>
      <c r="AS103">
        <v>1</v>
      </c>
      <c r="AT103">
        <v>0</v>
      </c>
      <c r="AU103">
        <v>4</v>
      </c>
      <c r="AV103">
        <v>1</v>
      </c>
      <c r="AW103">
        <v>0.2</v>
      </c>
      <c r="AX103">
        <v>7</v>
      </c>
      <c r="AY103" s="1">
        <v>0</v>
      </c>
      <c r="AZ103">
        <v>1</v>
      </c>
      <c r="BA103">
        <v>1</v>
      </c>
      <c r="BB103">
        <v>1</v>
      </c>
      <c r="BC103" s="7">
        <v>0.64</v>
      </c>
    </row>
    <row r="104" spans="1:55" x14ac:dyDescent="0.15">
      <c r="A104" s="11">
        <v>601</v>
      </c>
      <c r="B104">
        <v>7</v>
      </c>
      <c r="C104" s="1">
        <v>17</v>
      </c>
      <c r="D104">
        <v>0</v>
      </c>
      <c r="E104">
        <v>0</v>
      </c>
      <c r="F104">
        <v>1</v>
      </c>
      <c r="G104" s="7">
        <v>0.32</v>
      </c>
      <c r="H104">
        <v>12</v>
      </c>
      <c r="I104">
        <v>0</v>
      </c>
      <c r="J104">
        <v>0</v>
      </c>
      <c r="K104">
        <v>0</v>
      </c>
      <c r="L104">
        <v>1</v>
      </c>
      <c r="M104">
        <v>1.2</v>
      </c>
      <c r="N104" s="7">
        <v>9</v>
      </c>
      <c r="O104" s="7">
        <v>0</v>
      </c>
      <c r="P104" s="7">
        <v>0</v>
      </c>
      <c r="Q104" s="7">
        <v>0</v>
      </c>
      <c r="R104" s="7">
        <v>1</v>
      </c>
      <c r="S104" s="7">
        <v>1</v>
      </c>
      <c r="T104">
        <v>7</v>
      </c>
      <c r="U104" s="1">
        <v>9</v>
      </c>
      <c r="V104">
        <v>0</v>
      </c>
      <c r="W104">
        <v>0</v>
      </c>
      <c r="X104">
        <v>1</v>
      </c>
      <c r="Y104">
        <v>0.48</v>
      </c>
      <c r="Z104">
        <v>23</v>
      </c>
      <c r="AA104">
        <v>0</v>
      </c>
      <c r="AB104">
        <v>0</v>
      </c>
      <c r="AC104">
        <v>0</v>
      </c>
      <c r="AD104">
        <v>1</v>
      </c>
      <c r="AE104">
        <v>0.01</v>
      </c>
      <c r="AF104">
        <v>15</v>
      </c>
      <c r="AG104">
        <v>0</v>
      </c>
      <c r="AH104">
        <v>0</v>
      </c>
      <c r="AI104">
        <v>0</v>
      </c>
      <c r="AJ104">
        <v>1</v>
      </c>
      <c r="AK104">
        <v>0.01</v>
      </c>
      <c r="AL104">
        <v>16</v>
      </c>
      <c r="AM104">
        <v>0</v>
      </c>
      <c r="AN104">
        <v>0</v>
      </c>
      <c r="AO104">
        <v>0</v>
      </c>
      <c r="AP104">
        <v>1</v>
      </c>
      <c r="AQ104">
        <v>5.0000000000000001E-3</v>
      </c>
      <c r="AX104">
        <v>7</v>
      </c>
      <c r="AY104" s="1">
        <v>1</v>
      </c>
      <c r="AZ104">
        <v>0</v>
      </c>
      <c r="BA104">
        <v>0</v>
      </c>
      <c r="BB104">
        <v>1</v>
      </c>
      <c r="BC104" s="7">
        <v>0.64</v>
      </c>
    </row>
    <row r="105" spans="1:55" x14ac:dyDescent="0.15">
      <c r="A105" s="11">
        <v>602</v>
      </c>
      <c r="B105">
        <v>7</v>
      </c>
      <c r="C105" s="1">
        <v>18</v>
      </c>
      <c r="D105">
        <v>0</v>
      </c>
      <c r="E105">
        <v>0</v>
      </c>
      <c r="F105">
        <v>1</v>
      </c>
      <c r="G105" s="7">
        <v>0.32</v>
      </c>
      <c r="H105">
        <v>12</v>
      </c>
      <c r="I105">
        <v>0</v>
      </c>
      <c r="J105">
        <v>0</v>
      </c>
      <c r="K105">
        <v>0</v>
      </c>
      <c r="L105">
        <v>1</v>
      </c>
      <c r="M105">
        <v>1.2</v>
      </c>
      <c r="N105" s="7">
        <v>9</v>
      </c>
      <c r="O105" s="7">
        <v>0</v>
      </c>
      <c r="P105" s="7">
        <v>0</v>
      </c>
      <c r="Q105" s="7">
        <v>0</v>
      </c>
      <c r="R105" s="7">
        <v>1</v>
      </c>
      <c r="S105" s="7">
        <v>1</v>
      </c>
      <c r="T105">
        <v>7</v>
      </c>
      <c r="U105" s="1">
        <v>10</v>
      </c>
      <c r="V105">
        <v>0</v>
      </c>
      <c r="W105">
        <v>0</v>
      </c>
      <c r="X105">
        <v>1</v>
      </c>
      <c r="Y105">
        <v>0.48</v>
      </c>
      <c r="Z105">
        <v>23</v>
      </c>
      <c r="AA105">
        <v>0</v>
      </c>
      <c r="AB105">
        <v>0</v>
      </c>
      <c r="AC105">
        <v>0</v>
      </c>
      <c r="AD105">
        <v>1</v>
      </c>
      <c r="AE105">
        <v>0.01</v>
      </c>
      <c r="AF105">
        <v>15</v>
      </c>
      <c r="AG105">
        <v>0</v>
      </c>
      <c r="AH105">
        <v>0</v>
      </c>
      <c r="AI105">
        <v>0</v>
      </c>
      <c r="AJ105">
        <v>1</v>
      </c>
      <c r="AK105">
        <v>0.01</v>
      </c>
      <c r="AL105">
        <v>16</v>
      </c>
      <c r="AM105">
        <v>0</v>
      </c>
      <c r="AN105">
        <v>0</v>
      </c>
      <c r="AO105">
        <v>0</v>
      </c>
      <c r="AP105">
        <v>1</v>
      </c>
      <c r="AQ105">
        <v>5.0000000000000001E-3</v>
      </c>
      <c r="AX105">
        <v>7</v>
      </c>
      <c r="AY105" s="1">
        <v>2</v>
      </c>
      <c r="AZ105">
        <v>0</v>
      </c>
      <c r="BA105">
        <v>0</v>
      </c>
      <c r="BB105">
        <v>1</v>
      </c>
      <c r="BC105" s="7">
        <v>0.64</v>
      </c>
    </row>
    <row r="106" spans="1:55" x14ac:dyDescent="0.15">
      <c r="A106" s="11">
        <v>603</v>
      </c>
      <c r="B106">
        <v>7</v>
      </c>
      <c r="C106" s="1">
        <v>19</v>
      </c>
      <c r="D106">
        <v>0</v>
      </c>
      <c r="E106">
        <v>0</v>
      </c>
      <c r="F106">
        <v>1</v>
      </c>
      <c r="G106" s="7">
        <v>0.32</v>
      </c>
      <c r="H106">
        <v>12</v>
      </c>
      <c r="I106">
        <v>0</v>
      </c>
      <c r="J106">
        <v>0</v>
      </c>
      <c r="K106">
        <v>0</v>
      </c>
      <c r="L106">
        <v>1</v>
      </c>
      <c r="M106">
        <v>1.2</v>
      </c>
      <c r="N106" s="7">
        <v>9</v>
      </c>
      <c r="O106" s="7">
        <v>0</v>
      </c>
      <c r="P106" s="7">
        <v>0</v>
      </c>
      <c r="Q106" s="7">
        <v>0</v>
      </c>
      <c r="R106" s="7">
        <v>1</v>
      </c>
      <c r="S106" s="7">
        <v>1</v>
      </c>
      <c r="T106">
        <v>7</v>
      </c>
      <c r="U106" s="1">
        <v>11</v>
      </c>
      <c r="V106">
        <v>0</v>
      </c>
      <c r="W106">
        <v>0</v>
      </c>
      <c r="X106">
        <v>1</v>
      </c>
      <c r="Y106">
        <v>0.48</v>
      </c>
      <c r="Z106">
        <v>23</v>
      </c>
      <c r="AA106">
        <v>0</v>
      </c>
      <c r="AB106">
        <v>0</v>
      </c>
      <c r="AC106">
        <v>0</v>
      </c>
      <c r="AD106">
        <v>1</v>
      </c>
      <c r="AE106">
        <v>0.01</v>
      </c>
      <c r="AF106">
        <v>15</v>
      </c>
      <c r="AG106">
        <v>0</v>
      </c>
      <c r="AH106">
        <v>0</v>
      </c>
      <c r="AI106">
        <v>0</v>
      </c>
      <c r="AJ106">
        <v>1</v>
      </c>
      <c r="AK106">
        <v>0.01</v>
      </c>
      <c r="AL106">
        <v>16</v>
      </c>
      <c r="AM106">
        <v>0</v>
      </c>
      <c r="AN106">
        <v>0</v>
      </c>
      <c r="AO106">
        <v>0</v>
      </c>
      <c r="AP106">
        <v>1</v>
      </c>
      <c r="AQ106">
        <v>5.0000000000000001E-3</v>
      </c>
      <c r="AX106">
        <v>7</v>
      </c>
      <c r="AY106" s="1">
        <v>3</v>
      </c>
      <c r="AZ106">
        <v>0</v>
      </c>
      <c r="BA106">
        <v>0</v>
      </c>
      <c r="BB106">
        <v>1</v>
      </c>
      <c r="BC106" s="7">
        <v>0.64</v>
      </c>
    </row>
    <row r="107" spans="1:55" x14ac:dyDescent="0.15">
      <c r="A107" s="11">
        <v>604</v>
      </c>
      <c r="B107">
        <v>7</v>
      </c>
      <c r="C107" s="1">
        <v>20</v>
      </c>
      <c r="D107">
        <v>0</v>
      </c>
      <c r="E107">
        <v>0</v>
      </c>
      <c r="F107">
        <v>1</v>
      </c>
      <c r="G107" s="7">
        <v>0.32</v>
      </c>
      <c r="H107">
        <v>12</v>
      </c>
      <c r="I107">
        <v>0</v>
      </c>
      <c r="J107">
        <v>0</v>
      </c>
      <c r="K107">
        <v>0</v>
      </c>
      <c r="L107">
        <v>1</v>
      </c>
      <c r="M107">
        <v>1.2</v>
      </c>
      <c r="N107" s="7">
        <v>9</v>
      </c>
      <c r="O107" s="7">
        <v>0</v>
      </c>
      <c r="P107" s="7">
        <v>0</v>
      </c>
      <c r="Q107" s="7">
        <v>0</v>
      </c>
      <c r="R107" s="7">
        <v>1</v>
      </c>
      <c r="S107" s="7">
        <v>1</v>
      </c>
      <c r="T107">
        <v>7</v>
      </c>
      <c r="U107" s="1">
        <v>12</v>
      </c>
      <c r="V107">
        <v>0</v>
      </c>
      <c r="W107">
        <v>0</v>
      </c>
      <c r="X107">
        <v>1</v>
      </c>
      <c r="Y107">
        <v>0.48</v>
      </c>
      <c r="Z107">
        <v>23</v>
      </c>
      <c r="AA107">
        <v>0</v>
      </c>
      <c r="AB107">
        <v>0</v>
      </c>
      <c r="AC107">
        <v>0</v>
      </c>
      <c r="AD107">
        <v>1</v>
      </c>
      <c r="AE107">
        <v>0.01</v>
      </c>
      <c r="AF107">
        <v>15</v>
      </c>
      <c r="AG107">
        <v>0</v>
      </c>
      <c r="AH107">
        <v>0</v>
      </c>
      <c r="AI107">
        <v>0</v>
      </c>
      <c r="AJ107">
        <v>1</v>
      </c>
      <c r="AK107">
        <v>0.01</v>
      </c>
      <c r="AL107">
        <v>16</v>
      </c>
      <c r="AM107">
        <v>0</v>
      </c>
      <c r="AN107">
        <v>0</v>
      </c>
      <c r="AO107">
        <v>0</v>
      </c>
      <c r="AP107">
        <v>1</v>
      </c>
      <c r="AQ107">
        <v>5.0000000000000001E-3</v>
      </c>
      <c r="AX107">
        <v>7</v>
      </c>
      <c r="AY107" s="1">
        <v>4</v>
      </c>
      <c r="AZ107">
        <v>0</v>
      </c>
      <c r="BA107">
        <v>0</v>
      </c>
      <c r="BB107">
        <v>1</v>
      </c>
      <c r="BC107" s="7">
        <v>0.64</v>
      </c>
    </row>
    <row r="108" spans="1:55" x14ac:dyDescent="0.15">
      <c r="A108" s="11">
        <v>605</v>
      </c>
      <c r="B108">
        <v>7</v>
      </c>
      <c r="C108" s="1">
        <v>0</v>
      </c>
      <c r="D108">
        <v>3</v>
      </c>
      <c r="E108">
        <v>1</v>
      </c>
      <c r="F108">
        <v>1</v>
      </c>
      <c r="G108" s="7">
        <v>0.32</v>
      </c>
      <c r="H108">
        <v>12</v>
      </c>
      <c r="I108">
        <v>0</v>
      </c>
      <c r="J108">
        <v>0</v>
      </c>
      <c r="K108">
        <v>0</v>
      </c>
      <c r="L108">
        <v>1</v>
      </c>
      <c r="M108">
        <v>1.2</v>
      </c>
      <c r="N108" s="7">
        <v>9</v>
      </c>
      <c r="O108" s="7">
        <v>0</v>
      </c>
      <c r="P108" s="7">
        <v>0</v>
      </c>
      <c r="Q108" s="7">
        <v>0</v>
      </c>
      <c r="R108" s="7">
        <v>1</v>
      </c>
      <c r="S108" s="7">
        <v>1</v>
      </c>
      <c r="T108">
        <v>7</v>
      </c>
      <c r="U108" s="1">
        <v>0</v>
      </c>
      <c r="V108">
        <v>2</v>
      </c>
      <c r="W108">
        <v>1</v>
      </c>
      <c r="X108">
        <v>1</v>
      </c>
      <c r="Y108">
        <v>0.48</v>
      </c>
      <c r="Z108">
        <v>23</v>
      </c>
      <c r="AA108">
        <v>0</v>
      </c>
      <c r="AB108">
        <v>0</v>
      </c>
      <c r="AC108">
        <v>0</v>
      </c>
      <c r="AD108">
        <v>1</v>
      </c>
      <c r="AE108">
        <v>0.01</v>
      </c>
      <c r="AF108">
        <v>15</v>
      </c>
      <c r="AG108">
        <v>0</v>
      </c>
      <c r="AH108">
        <v>0</v>
      </c>
      <c r="AI108">
        <v>0</v>
      </c>
      <c r="AJ108">
        <v>1</v>
      </c>
      <c r="AK108">
        <v>0.01</v>
      </c>
      <c r="AL108">
        <v>16</v>
      </c>
      <c r="AM108">
        <v>0</v>
      </c>
      <c r="AN108">
        <v>0</v>
      </c>
      <c r="AO108">
        <v>0</v>
      </c>
      <c r="AP108">
        <v>1</v>
      </c>
      <c r="AQ108">
        <v>5.0000000000000001E-3</v>
      </c>
      <c r="AR108">
        <v>6</v>
      </c>
      <c r="AS108">
        <v>1</v>
      </c>
      <c r="AT108">
        <v>0</v>
      </c>
      <c r="AU108">
        <v>4</v>
      </c>
      <c r="AV108">
        <v>1</v>
      </c>
      <c r="AW108">
        <v>0.2</v>
      </c>
      <c r="AX108">
        <v>7</v>
      </c>
      <c r="AY108" s="1">
        <v>0</v>
      </c>
      <c r="AZ108">
        <v>1</v>
      </c>
      <c r="BA108">
        <v>1</v>
      </c>
      <c r="BB108">
        <v>1</v>
      </c>
      <c r="BC108" s="7">
        <v>0.64</v>
      </c>
    </row>
    <row r="109" spans="1:55" x14ac:dyDescent="0.15">
      <c r="A109" s="11">
        <v>606</v>
      </c>
      <c r="B109">
        <v>7</v>
      </c>
      <c r="C109" s="1">
        <v>17</v>
      </c>
      <c r="D109">
        <v>0</v>
      </c>
      <c r="E109">
        <v>0</v>
      </c>
      <c r="F109">
        <v>1</v>
      </c>
      <c r="G109" s="7">
        <v>0.32</v>
      </c>
      <c r="H109">
        <v>12</v>
      </c>
      <c r="I109">
        <v>0</v>
      </c>
      <c r="J109">
        <v>0</v>
      </c>
      <c r="K109">
        <v>0</v>
      </c>
      <c r="L109">
        <v>1</v>
      </c>
      <c r="M109">
        <v>1.2</v>
      </c>
      <c r="N109" s="7">
        <v>9</v>
      </c>
      <c r="O109" s="7">
        <v>0</v>
      </c>
      <c r="P109" s="7">
        <v>0</v>
      </c>
      <c r="Q109" s="7">
        <v>0</v>
      </c>
      <c r="R109" s="7">
        <v>1</v>
      </c>
      <c r="S109" s="7">
        <v>1</v>
      </c>
      <c r="T109">
        <v>7</v>
      </c>
      <c r="U109" s="1">
        <v>9</v>
      </c>
      <c r="V109">
        <v>0</v>
      </c>
      <c r="W109">
        <v>0</v>
      </c>
      <c r="X109">
        <v>1</v>
      </c>
      <c r="Y109">
        <v>0.48</v>
      </c>
      <c r="Z109">
        <v>23</v>
      </c>
      <c r="AA109">
        <v>0</v>
      </c>
      <c r="AB109">
        <v>0</v>
      </c>
      <c r="AC109">
        <v>0</v>
      </c>
      <c r="AD109">
        <v>1</v>
      </c>
      <c r="AE109">
        <v>0.01</v>
      </c>
      <c r="AF109">
        <v>15</v>
      </c>
      <c r="AG109">
        <v>0</v>
      </c>
      <c r="AH109">
        <v>0</v>
      </c>
      <c r="AI109">
        <v>0</v>
      </c>
      <c r="AJ109">
        <v>1</v>
      </c>
      <c r="AK109">
        <v>0.01</v>
      </c>
      <c r="AL109">
        <v>16</v>
      </c>
      <c r="AM109">
        <v>0</v>
      </c>
      <c r="AN109">
        <v>0</v>
      </c>
      <c r="AO109">
        <v>0</v>
      </c>
      <c r="AP109">
        <v>1</v>
      </c>
      <c r="AQ109">
        <v>5.0000000000000001E-3</v>
      </c>
      <c r="AX109">
        <v>7</v>
      </c>
      <c r="AY109" s="1">
        <v>1</v>
      </c>
      <c r="AZ109">
        <v>0</v>
      </c>
      <c r="BA109">
        <v>0</v>
      </c>
      <c r="BB109">
        <v>1</v>
      </c>
      <c r="BC109" s="7">
        <v>0.64</v>
      </c>
    </row>
    <row r="110" spans="1:55" x14ac:dyDescent="0.15">
      <c r="A110" s="11">
        <v>607</v>
      </c>
      <c r="B110">
        <v>7</v>
      </c>
      <c r="C110" s="1">
        <v>18</v>
      </c>
      <c r="D110">
        <v>0</v>
      </c>
      <c r="E110">
        <v>0</v>
      </c>
      <c r="F110">
        <v>1</v>
      </c>
      <c r="G110" s="7">
        <v>0.32</v>
      </c>
      <c r="H110">
        <v>12</v>
      </c>
      <c r="I110">
        <v>0</v>
      </c>
      <c r="J110">
        <v>0</v>
      </c>
      <c r="K110">
        <v>0</v>
      </c>
      <c r="L110">
        <v>1</v>
      </c>
      <c r="M110">
        <v>1.2</v>
      </c>
      <c r="N110" s="7">
        <v>9</v>
      </c>
      <c r="O110" s="7">
        <v>0</v>
      </c>
      <c r="P110" s="7">
        <v>0</v>
      </c>
      <c r="Q110" s="7">
        <v>0</v>
      </c>
      <c r="R110" s="7">
        <v>1</v>
      </c>
      <c r="S110" s="7">
        <v>1</v>
      </c>
      <c r="T110">
        <v>7</v>
      </c>
      <c r="U110" s="1">
        <v>10</v>
      </c>
      <c r="V110">
        <v>0</v>
      </c>
      <c r="W110">
        <v>0</v>
      </c>
      <c r="X110">
        <v>1</v>
      </c>
      <c r="Y110">
        <v>0.48</v>
      </c>
      <c r="Z110">
        <v>23</v>
      </c>
      <c r="AA110">
        <v>0</v>
      </c>
      <c r="AB110">
        <v>0</v>
      </c>
      <c r="AC110">
        <v>0</v>
      </c>
      <c r="AD110">
        <v>1</v>
      </c>
      <c r="AE110">
        <v>0.01</v>
      </c>
      <c r="AF110">
        <v>15</v>
      </c>
      <c r="AG110">
        <v>0</v>
      </c>
      <c r="AH110">
        <v>0</v>
      </c>
      <c r="AI110">
        <v>0</v>
      </c>
      <c r="AJ110">
        <v>1</v>
      </c>
      <c r="AK110">
        <v>0.01</v>
      </c>
      <c r="AL110">
        <v>16</v>
      </c>
      <c r="AM110">
        <v>0</v>
      </c>
      <c r="AN110">
        <v>0</v>
      </c>
      <c r="AO110">
        <v>0</v>
      </c>
      <c r="AP110">
        <v>1</v>
      </c>
      <c r="AQ110">
        <v>5.0000000000000001E-3</v>
      </c>
      <c r="AX110">
        <v>7</v>
      </c>
      <c r="AY110" s="1">
        <v>2</v>
      </c>
      <c r="AZ110">
        <v>0</v>
      </c>
      <c r="BA110">
        <v>0</v>
      </c>
      <c r="BB110">
        <v>1</v>
      </c>
      <c r="BC110" s="7">
        <v>0.64</v>
      </c>
    </row>
    <row r="111" spans="1:55" x14ac:dyDescent="0.15">
      <c r="A111" s="11">
        <v>608</v>
      </c>
      <c r="B111">
        <v>7</v>
      </c>
      <c r="C111" s="1">
        <v>19</v>
      </c>
      <c r="D111">
        <v>0</v>
      </c>
      <c r="E111">
        <v>0</v>
      </c>
      <c r="F111">
        <v>1</v>
      </c>
      <c r="G111" s="7">
        <v>0.32</v>
      </c>
      <c r="H111">
        <v>12</v>
      </c>
      <c r="I111">
        <v>0</v>
      </c>
      <c r="J111">
        <v>0</v>
      </c>
      <c r="K111">
        <v>0</v>
      </c>
      <c r="L111">
        <v>1</v>
      </c>
      <c r="M111">
        <v>1.2</v>
      </c>
      <c r="N111" s="7">
        <v>9</v>
      </c>
      <c r="O111" s="7">
        <v>0</v>
      </c>
      <c r="P111" s="7">
        <v>0</v>
      </c>
      <c r="Q111" s="7">
        <v>0</v>
      </c>
      <c r="R111" s="7">
        <v>1</v>
      </c>
      <c r="S111" s="7">
        <v>1</v>
      </c>
      <c r="T111">
        <v>7</v>
      </c>
      <c r="U111" s="1">
        <v>11</v>
      </c>
      <c r="V111">
        <v>0</v>
      </c>
      <c r="W111">
        <v>0</v>
      </c>
      <c r="X111">
        <v>1</v>
      </c>
      <c r="Y111">
        <v>0.48</v>
      </c>
      <c r="Z111">
        <v>23</v>
      </c>
      <c r="AA111">
        <v>0</v>
      </c>
      <c r="AB111">
        <v>0</v>
      </c>
      <c r="AC111">
        <v>0</v>
      </c>
      <c r="AD111">
        <v>1</v>
      </c>
      <c r="AE111">
        <v>0.01</v>
      </c>
      <c r="AF111">
        <v>15</v>
      </c>
      <c r="AG111">
        <v>0</v>
      </c>
      <c r="AH111">
        <v>0</v>
      </c>
      <c r="AI111">
        <v>0</v>
      </c>
      <c r="AJ111">
        <v>1</v>
      </c>
      <c r="AK111">
        <v>0.01</v>
      </c>
      <c r="AL111">
        <v>16</v>
      </c>
      <c r="AM111">
        <v>0</v>
      </c>
      <c r="AN111">
        <v>0</v>
      </c>
      <c r="AO111">
        <v>0</v>
      </c>
      <c r="AP111">
        <v>1</v>
      </c>
      <c r="AQ111">
        <v>5.0000000000000001E-3</v>
      </c>
      <c r="AX111">
        <v>7</v>
      </c>
      <c r="AY111" s="1">
        <v>3</v>
      </c>
      <c r="AZ111">
        <v>0</v>
      </c>
      <c r="BA111">
        <v>0</v>
      </c>
      <c r="BB111">
        <v>1</v>
      </c>
      <c r="BC111" s="7">
        <v>0.64</v>
      </c>
    </row>
    <row r="112" spans="1:55" x14ac:dyDescent="0.15">
      <c r="A112" s="11">
        <v>609</v>
      </c>
      <c r="B112">
        <v>7</v>
      </c>
      <c r="C112" s="1">
        <v>20</v>
      </c>
      <c r="D112">
        <v>0</v>
      </c>
      <c r="E112">
        <v>0</v>
      </c>
      <c r="F112">
        <v>1</v>
      </c>
      <c r="G112" s="7">
        <v>0.32</v>
      </c>
      <c r="H112">
        <v>12</v>
      </c>
      <c r="I112">
        <v>0</v>
      </c>
      <c r="J112">
        <v>0</v>
      </c>
      <c r="K112">
        <v>0</v>
      </c>
      <c r="L112">
        <v>1</v>
      </c>
      <c r="M112">
        <v>1.2</v>
      </c>
      <c r="N112" s="7">
        <v>9</v>
      </c>
      <c r="O112" s="7">
        <v>0</v>
      </c>
      <c r="P112" s="7">
        <v>0</v>
      </c>
      <c r="Q112" s="7">
        <v>0</v>
      </c>
      <c r="R112" s="7">
        <v>1</v>
      </c>
      <c r="S112" s="7">
        <v>1</v>
      </c>
      <c r="T112">
        <v>7</v>
      </c>
      <c r="U112" s="1">
        <v>12</v>
      </c>
      <c r="V112">
        <v>0</v>
      </c>
      <c r="W112">
        <v>0</v>
      </c>
      <c r="X112">
        <v>1</v>
      </c>
      <c r="Y112">
        <v>0.48</v>
      </c>
      <c r="Z112">
        <v>23</v>
      </c>
      <c r="AA112">
        <v>0</v>
      </c>
      <c r="AB112">
        <v>0</v>
      </c>
      <c r="AC112">
        <v>0</v>
      </c>
      <c r="AD112">
        <v>1</v>
      </c>
      <c r="AE112">
        <v>0.01</v>
      </c>
      <c r="AF112">
        <v>15</v>
      </c>
      <c r="AG112">
        <v>0</v>
      </c>
      <c r="AH112">
        <v>0</v>
      </c>
      <c r="AI112">
        <v>0</v>
      </c>
      <c r="AJ112">
        <v>1</v>
      </c>
      <c r="AK112">
        <v>0.01</v>
      </c>
      <c r="AL112">
        <v>16</v>
      </c>
      <c r="AM112">
        <v>0</v>
      </c>
      <c r="AN112">
        <v>0</v>
      </c>
      <c r="AO112">
        <v>0</v>
      </c>
      <c r="AP112">
        <v>1</v>
      </c>
      <c r="AQ112">
        <v>5.0000000000000001E-3</v>
      </c>
      <c r="AX112">
        <v>7</v>
      </c>
      <c r="AY112" s="1">
        <v>4</v>
      </c>
      <c r="AZ112">
        <v>0</v>
      </c>
      <c r="BA112">
        <v>0</v>
      </c>
      <c r="BB112">
        <v>1</v>
      </c>
      <c r="BC112" s="7">
        <v>0.64</v>
      </c>
    </row>
    <row r="113" spans="1:73" x14ac:dyDescent="0.15">
      <c r="A113" s="11">
        <v>610</v>
      </c>
      <c r="B113">
        <v>7</v>
      </c>
      <c r="C113" s="1">
        <v>0</v>
      </c>
      <c r="D113">
        <v>3</v>
      </c>
      <c r="E113">
        <v>1</v>
      </c>
      <c r="F113">
        <v>1</v>
      </c>
      <c r="G113" s="7">
        <v>0.32</v>
      </c>
      <c r="H113">
        <v>12</v>
      </c>
      <c r="I113">
        <v>0</v>
      </c>
      <c r="J113">
        <v>0</v>
      </c>
      <c r="K113">
        <v>0</v>
      </c>
      <c r="L113">
        <v>1</v>
      </c>
      <c r="M113">
        <v>1.2</v>
      </c>
      <c r="N113" s="7">
        <v>9</v>
      </c>
      <c r="O113" s="7">
        <v>0</v>
      </c>
      <c r="P113" s="7">
        <v>0</v>
      </c>
      <c r="Q113" s="7">
        <v>0</v>
      </c>
      <c r="R113" s="7">
        <v>1</v>
      </c>
      <c r="S113" s="7">
        <v>1</v>
      </c>
      <c r="T113">
        <v>7</v>
      </c>
      <c r="U113" s="1">
        <v>0</v>
      </c>
      <c r="V113">
        <v>2</v>
      </c>
      <c r="W113">
        <v>1</v>
      </c>
      <c r="X113">
        <v>1</v>
      </c>
      <c r="Y113">
        <v>0.48</v>
      </c>
      <c r="Z113">
        <v>23</v>
      </c>
      <c r="AA113">
        <v>0</v>
      </c>
      <c r="AB113">
        <v>0</v>
      </c>
      <c r="AC113">
        <v>0</v>
      </c>
      <c r="AD113">
        <v>1</v>
      </c>
      <c r="AE113">
        <v>0.01</v>
      </c>
      <c r="AF113">
        <v>15</v>
      </c>
      <c r="AG113">
        <v>0</v>
      </c>
      <c r="AH113">
        <v>0</v>
      </c>
      <c r="AI113">
        <v>0</v>
      </c>
      <c r="AJ113">
        <v>1</v>
      </c>
      <c r="AK113">
        <v>0.01</v>
      </c>
      <c r="AL113">
        <v>16</v>
      </c>
      <c r="AM113">
        <v>0</v>
      </c>
      <c r="AN113">
        <v>0</v>
      </c>
      <c r="AO113">
        <v>0</v>
      </c>
      <c r="AP113">
        <v>1</v>
      </c>
      <c r="AQ113">
        <v>5.0000000000000001E-3</v>
      </c>
      <c r="AR113">
        <v>6</v>
      </c>
      <c r="AS113">
        <v>1</v>
      </c>
      <c r="AT113">
        <v>0</v>
      </c>
      <c r="AU113">
        <v>4</v>
      </c>
      <c r="AV113">
        <v>1</v>
      </c>
      <c r="AW113">
        <v>0.2</v>
      </c>
      <c r="AX113">
        <v>7</v>
      </c>
      <c r="AY113" s="1">
        <v>0</v>
      </c>
      <c r="AZ113">
        <v>1</v>
      </c>
      <c r="BA113">
        <v>1</v>
      </c>
      <c r="BB113">
        <v>1</v>
      </c>
      <c r="BC113" s="7">
        <v>0.64</v>
      </c>
      <c r="BP113">
        <v>36</v>
      </c>
      <c r="BQ113">
        <v>0</v>
      </c>
      <c r="BR113">
        <v>0</v>
      </c>
      <c r="BS113">
        <v>0</v>
      </c>
      <c r="BT113">
        <v>5</v>
      </c>
      <c r="BU113">
        <v>1.6</v>
      </c>
    </row>
    <row r="114" spans="1:73" x14ac:dyDescent="0.15">
      <c r="A114" s="11">
        <v>611</v>
      </c>
      <c r="B114">
        <v>7</v>
      </c>
      <c r="C114" s="1">
        <v>21</v>
      </c>
      <c r="D114">
        <v>0</v>
      </c>
      <c r="E114">
        <v>0</v>
      </c>
      <c r="F114">
        <v>1</v>
      </c>
      <c r="G114" s="7">
        <v>0.24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1.4</v>
      </c>
      <c r="N114" s="7">
        <v>9</v>
      </c>
      <c r="O114" s="7">
        <v>0</v>
      </c>
      <c r="P114" s="7">
        <v>0</v>
      </c>
      <c r="Q114" s="7">
        <v>0</v>
      </c>
      <c r="R114" s="7">
        <v>1</v>
      </c>
      <c r="S114" s="7">
        <v>1.5</v>
      </c>
      <c r="T114">
        <v>7</v>
      </c>
      <c r="U114" s="1">
        <v>13</v>
      </c>
      <c r="V114">
        <v>0</v>
      </c>
      <c r="W114">
        <v>0</v>
      </c>
      <c r="X114">
        <v>1</v>
      </c>
      <c r="Y114">
        <v>0.4</v>
      </c>
      <c r="Z114">
        <v>23</v>
      </c>
      <c r="AA114">
        <v>0</v>
      </c>
      <c r="AB114">
        <v>0</v>
      </c>
      <c r="AC114">
        <v>0</v>
      </c>
      <c r="AD114">
        <v>1</v>
      </c>
      <c r="AE114">
        <v>0.02</v>
      </c>
      <c r="AF114">
        <v>15</v>
      </c>
      <c r="AG114">
        <v>0</v>
      </c>
      <c r="AH114">
        <v>0</v>
      </c>
      <c r="AI114">
        <v>0</v>
      </c>
      <c r="AJ114">
        <v>1</v>
      </c>
      <c r="AK114">
        <v>0.01</v>
      </c>
      <c r="AL114">
        <v>16</v>
      </c>
      <c r="AM114">
        <v>0</v>
      </c>
      <c r="AN114">
        <v>0</v>
      </c>
      <c r="AO114">
        <v>0</v>
      </c>
      <c r="AP114">
        <v>1</v>
      </c>
      <c r="AQ114">
        <v>5.0000000000000001E-3</v>
      </c>
      <c r="AX114">
        <v>7</v>
      </c>
      <c r="AY114" s="1">
        <v>5</v>
      </c>
      <c r="AZ114">
        <v>0</v>
      </c>
      <c r="BA114">
        <v>0</v>
      </c>
      <c r="BB114">
        <v>1</v>
      </c>
      <c r="BC114" s="7">
        <v>0.56000000000000005</v>
      </c>
      <c r="BP114">
        <v>36</v>
      </c>
      <c r="BQ114">
        <v>0</v>
      </c>
      <c r="BR114">
        <v>0</v>
      </c>
      <c r="BS114">
        <v>0</v>
      </c>
      <c r="BT114">
        <v>5</v>
      </c>
      <c r="BU114">
        <v>1.6</v>
      </c>
    </row>
    <row r="115" spans="1:73" x14ac:dyDescent="0.15">
      <c r="A115" s="11">
        <v>612</v>
      </c>
      <c r="B115">
        <v>7</v>
      </c>
      <c r="C115" s="1">
        <v>22</v>
      </c>
      <c r="D115">
        <v>0</v>
      </c>
      <c r="E115">
        <v>0</v>
      </c>
      <c r="F115">
        <v>1</v>
      </c>
      <c r="G115" s="7">
        <v>0.24</v>
      </c>
      <c r="H115">
        <v>12</v>
      </c>
      <c r="I115">
        <v>0</v>
      </c>
      <c r="J115">
        <v>0</v>
      </c>
      <c r="K115">
        <v>0</v>
      </c>
      <c r="L115">
        <v>1</v>
      </c>
      <c r="M115">
        <v>1.4</v>
      </c>
      <c r="N115" s="7">
        <v>9</v>
      </c>
      <c r="O115" s="7">
        <v>0</v>
      </c>
      <c r="P115" s="7">
        <v>0</v>
      </c>
      <c r="Q115" s="7">
        <v>0</v>
      </c>
      <c r="R115" s="7">
        <v>1</v>
      </c>
      <c r="S115" s="7">
        <v>1.5</v>
      </c>
      <c r="T115">
        <v>7</v>
      </c>
      <c r="U115" s="1">
        <v>14</v>
      </c>
      <c r="V115">
        <v>0</v>
      </c>
      <c r="W115">
        <v>0</v>
      </c>
      <c r="X115">
        <v>1</v>
      </c>
      <c r="Y115">
        <v>0.4</v>
      </c>
      <c r="Z115">
        <v>23</v>
      </c>
      <c r="AA115">
        <v>0</v>
      </c>
      <c r="AB115">
        <v>0</v>
      </c>
      <c r="AC115">
        <v>0</v>
      </c>
      <c r="AD115">
        <v>1</v>
      </c>
      <c r="AE115">
        <v>0.02</v>
      </c>
      <c r="AF115">
        <v>15</v>
      </c>
      <c r="AG115">
        <v>0</v>
      </c>
      <c r="AH115">
        <v>0</v>
      </c>
      <c r="AI115">
        <v>0</v>
      </c>
      <c r="AJ115">
        <v>1</v>
      </c>
      <c r="AK115">
        <v>0.01</v>
      </c>
      <c r="AL115">
        <v>16</v>
      </c>
      <c r="AM115">
        <v>0</v>
      </c>
      <c r="AN115">
        <v>0</v>
      </c>
      <c r="AO115">
        <v>0</v>
      </c>
      <c r="AP115">
        <v>1</v>
      </c>
      <c r="AQ115">
        <v>5.0000000000000001E-3</v>
      </c>
      <c r="AX115">
        <v>7</v>
      </c>
      <c r="AY115" s="1">
        <v>6</v>
      </c>
      <c r="AZ115">
        <v>0</v>
      </c>
      <c r="BA115">
        <v>0</v>
      </c>
      <c r="BB115">
        <v>1</v>
      </c>
      <c r="BC115" s="7">
        <v>0.56000000000000005</v>
      </c>
      <c r="BP115">
        <v>36</v>
      </c>
      <c r="BQ115">
        <v>0</v>
      </c>
      <c r="BR115">
        <v>0</v>
      </c>
      <c r="BS115">
        <v>0</v>
      </c>
      <c r="BT115">
        <v>5</v>
      </c>
      <c r="BU115">
        <v>1.6</v>
      </c>
    </row>
    <row r="116" spans="1:73" x14ac:dyDescent="0.15">
      <c r="A116" s="11">
        <v>613</v>
      </c>
      <c r="B116">
        <v>7</v>
      </c>
      <c r="C116" s="1">
        <v>23</v>
      </c>
      <c r="D116">
        <v>0</v>
      </c>
      <c r="E116">
        <v>0</v>
      </c>
      <c r="F116">
        <v>1</v>
      </c>
      <c r="G116" s="7">
        <v>0.24</v>
      </c>
      <c r="H116">
        <v>12</v>
      </c>
      <c r="I116">
        <v>0</v>
      </c>
      <c r="J116">
        <v>0</v>
      </c>
      <c r="K116">
        <v>0</v>
      </c>
      <c r="L116">
        <v>1</v>
      </c>
      <c r="M116">
        <v>1.4</v>
      </c>
      <c r="N116" s="7">
        <v>9</v>
      </c>
      <c r="O116" s="7">
        <v>0</v>
      </c>
      <c r="P116" s="7">
        <v>0</v>
      </c>
      <c r="Q116" s="7">
        <v>0</v>
      </c>
      <c r="R116" s="7">
        <v>1</v>
      </c>
      <c r="S116" s="7">
        <v>1.5</v>
      </c>
      <c r="T116">
        <v>7</v>
      </c>
      <c r="U116" s="1">
        <v>15</v>
      </c>
      <c r="V116">
        <v>0</v>
      </c>
      <c r="W116">
        <v>0</v>
      </c>
      <c r="X116">
        <v>1</v>
      </c>
      <c r="Y116">
        <v>0.4</v>
      </c>
      <c r="Z116">
        <v>23</v>
      </c>
      <c r="AA116">
        <v>0</v>
      </c>
      <c r="AB116">
        <v>0</v>
      </c>
      <c r="AC116">
        <v>0</v>
      </c>
      <c r="AD116">
        <v>1</v>
      </c>
      <c r="AE116">
        <v>0.02</v>
      </c>
      <c r="AF116">
        <v>15</v>
      </c>
      <c r="AG116">
        <v>0</v>
      </c>
      <c r="AH116">
        <v>0</v>
      </c>
      <c r="AI116">
        <v>0</v>
      </c>
      <c r="AJ116">
        <v>1</v>
      </c>
      <c r="AK116">
        <v>0.01</v>
      </c>
      <c r="AL116">
        <v>16</v>
      </c>
      <c r="AM116">
        <v>0</v>
      </c>
      <c r="AN116">
        <v>0</v>
      </c>
      <c r="AO116">
        <v>0</v>
      </c>
      <c r="AP116">
        <v>1</v>
      </c>
      <c r="AQ116">
        <v>5.0000000000000001E-3</v>
      </c>
      <c r="AX116">
        <v>7</v>
      </c>
      <c r="AY116" s="1">
        <v>7</v>
      </c>
      <c r="AZ116">
        <v>0</v>
      </c>
      <c r="BA116">
        <v>0</v>
      </c>
      <c r="BB116">
        <v>1</v>
      </c>
      <c r="BC116" s="7">
        <v>0.56000000000000005</v>
      </c>
      <c r="BP116">
        <v>36</v>
      </c>
      <c r="BQ116">
        <v>0</v>
      </c>
      <c r="BR116">
        <v>0</v>
      </c>
      <c r="BS116">
        <v>0</v>
      </c>
      <c r="BT116">
        <v>5</v>
      </c>
      <c r="BU116">
        <v>1.6</v>
      </c>
    </row>
    <row r="117" spans="1:73" x14ac:dyDescent="0.15">
      <c r="A117" s="11">
        <v>614</v>
      </c>
      <c r="B117">
        <v>7</v>
      </c>
      <c r="C117" s="1">
        <v>24</v>
      </c>
      <c r="D117">
        <v>0</v>
      </c>
      <c r="E117">
        <v>0</v>
      </c>
      <c r="F117">
        <v>1</v>
      </c>
      <c r="G117" s="7">
        <v>0.24</v>
      </c>
      <c r="H117">
        <v>12</v>
      </c>
      <c r="I117">
        <v>0</v>
      </c>
      <c r="J117">
        <v>0</v>
      </c>
      <c r="K117">
        <v>0</v>
      </c>
      <c r="L117">
        <v>1</v>
      </c>
      <c r="M117">
        <v>1.4</v>
      </c>
      <c r="N117" s="7">
        <v>9</v>
      </c>
      <c r="O117" s="7">
        <v>0</v>
      </c>
      <c r="P117" s="7">
        <v>0</v>
      </c>
      <c r="Q117" s="7">
        <v>0</v>
      </c>
      <c r="R117" s="7">
        <v>1</v>
      </c>
      <c r="S117" s="7">
        <v>1.5</v>
      </c>
      <c r="T117">
        <v>7</v>
      </c>
      <c r="U117" s="1">
        <v>16</v>
      </c>
      <c r="V117">
        <v>0</v>
      </c>
      <c r="W117">
        <v>0</v>
      </c>
      <c r="X117">
        <v>1</v>
      </c>
      <c r="Y117">
        <v>0.4</v>
      </c>
      <c r="Z117">
        <v>23</v>
      </c>
      <c r="AA117">
        <v>0</v>
      </c>
      <c r="AB117">
        <v>0</v>
      </c>
      <c r="AC117">
        <v>0</v>
      </c>
      <c r="AD117">
        <v>1</v>
      </c>
      <c r="AE117">
        <v>0.02</v>
      </c>
      <c r="AF117">
        <v>15</v>
      </c>
      <c r="AG117">
        <v>0</v>
      </c>
      <c r="AH117">
        <v>0</v>
      </c>
      <c r="AI117">
        <v>0</v>
      </c>
      <c r="AJ117">
        <v>1</v>
      </c>
      <c r="AK117">
        <v>0.01</v>
      </c>
      <c r="AL117">
        <v>16</v>
      </c>
      <c r="AM117">
        <v>0</v>
      </c>
      <c r="AN117">
        <v>0</v>
      </c>
      <c r="AO117">
        <v>0</v>
      </c>
      <c r="AP117">
        <v>1</v>
      </c>
      <c r="AQ117">
        <v>5.0000000000000001E-3</v>
      </c>
      <c r="AX117">
        <v>7</v>
      </c>
      <c r="AY117" s="1">
        <v>8</v>
      </c>
      <c r="AZ117">
        <v>0</v>
      </c>
      <c r="BA117">
        <v>0</v>
      </c>
      <c r="BB117">
        <v>1</v>
      </c>
      <c r="BC117" s="7">
        <v>0.56000000000000005</v>
      </c>
      <c r="BP117">
        <v>36</v>
      </c>
      <c r="BQ117">
        <v>0</v>
      </c>
      <c r="BR117">
        <v>0</v>
      </c>
      <c r="BS117">
        <v>0</v>
      </c>
      <c r="BT117">
        <v>5</v>
      </c>
      <c r="BU117">
        <v>1.6</v>
      </c>
    </row>
    <row r="118" spans="1:73" x14ac:dyDescent="0.15">
      <c r="A118" s="11">
        <v>615</v>
      </c>
      <c r="B118">
        <v>7</v>
      </c>
      <c r="C118" s="1">
        <v>0</v>
      </c>
      <c r="D118">
        <v>3</v>
      </c>
      <c r="E118">
        <v>2</v>
      </c>
      <c r="F118">
        <v>1</v>
      </c>
      <c r="G118" s="7">
        <v>0.24</v>
      </c>
      <c r="H118">
        <v>12</v>
      </c>
      <c r="I118">
        <v>0</v>
      </c>
      <c r="J118">
        <v>0</v>
      </c>
      <c r="K118">
        <v>0</v>
      </c>
      <c r="L118">
        <v>1</v>
      </c>
      <c r="M118">
        <v>1.4</v>
      </c>
      <c r="N118" s="7">
        <v>9</v>
      </c>
      <c r="O118" s="7">
        <v>0</v>
      </c>
      <c r="P118" s="7">
        <v>0</v>
      </c>
      <c r="Q118" s="7">
        <v>0</v>
      </c>
      <c r="R118" s="7">
        <v>1</v>
      </c>
      <c r="S118" s="7">
        <v>1.5</v>
      </c>
      <c r="T118">
        <v>7</v>
      </c>
      <c r="U118" s="1">
        <v>0</v>
      </c>
      <c r="V118">
        <v>2</v>
      </c>
      <c r="W118">
        <v>2</v>
      </c>
      <c r="X118">
        <v>1</v>
      </c>
      <c r="Y118">
        <v>0.4</v>
      </c>
      <c r="Z118">
        <v>23</v>
      </c>
      <c r="AA118">
        <v>0</v>
      </c>
      <c r="AB118">
        <v>0</v>
      </c>
      <c r="AC118">
        <v>0</v>
      </c>
      <c r="AD118">
        <v>1</v>
      </c>
      <c r="AE118">
        <v>0.02</v>
      </c>
      <c r="AF118">
        <v>15</v>
      </c>
      <c r="AG118">
        <v>0</v>
      </c>
      <c r="AH118">
        <v>0</v>
      </c>
      <c r="AI118">
        <v>0</v>
      </c>
      <c r="AJ118">
        <v>1</v>
      </c>
      <c r="AK118">
        <v>0.01</v>
      </c>
      <c r="AL118">
        <v>16</v>
      </c>
      <c r="AM118">
        <v>0</v>
      </c>
      <c r="AN118">
        <v>0</v>
      </c>
      <c r="AO118">
        <v>0</v>
      </c>
      <c r="AP118">
        <v>1</v>
      </c>
      <c r="AQ118">
        <v>5.0000000000000001E-3</v>
      </c>
      <c r="AR118">
        <v>6</v>
      </c>
      <c r="AS118">
        <v>1</v>
      </c>
      <c r="AT118">
        <v>0</v>
      </c>
      <c r="AU118">
        <v>4</v>
      </c>
      <c r="AV118">
        <v>1</v>
      </c>
      <c r="AW118">
        <v>0.2</v>
      </c>
      <c r="AX118">
        <v>7</v>
      </c>
      <c r="AY118" s="1">
        <v>0</v>
      </c>
      <c r="AZ118">
        <v>1</v>
      </c>
      <c r="BA118">
        <v>2</v>
      </c>
      <c r="BB118">
        <v>1</v>
      </c>
      <c r="BC118" s="7">
        <v>0.56000000000000005</v>
      </c>
      <c r="BP118">
        <v>36</v>
      </c>
      <c r="BQ118">
        <v>0</v>
      </c>
      <c r="BR118">
        <v>0</v>
      </c>
      <c r="BS118">
        <v>0</v>
      </c>
      <c r="BT118">
        <v>5</v>
      </c>
      <c r="BU118">
        <v>1.6</v>
      </c>
    </row>
    <row r="119" spans="1:73" x14ac:dyDescent="0.15">
      <c r="A119" s="11">
        <v>616</v>
      </c>
      <c r="B119">
        <v>7</v>
      </c>
      <c r="C119" s="1">
        <v>21</v>
      </c>
      <c r="D119">
        <v>0</v>
      </c>
      <c r="E119">
        <v>0</v>
      </c>
      <c r="F119">
        <v>1</v>
      </c>
      <c r="G119" s="7">
        <v>0.24</v>
      </c>
      <c r="H119">
        <v>12</v>
      </c>
      <c r="I119">
        <v>0</v>
      </c>
      <c r="J119">
        <v>0</v>
      </c>
      <c r="K119">
        <v>0</v>
      </c>
      <c r="L119">
        <v>1</v>
      </c>
      <c r="M119">
        <v>1.4</v>
      </c>
      <c r="N119" s="7">
        <v>9</v>
      </c>
      <c r="O119" s="7">
        <v>0</v>
      </c>
      <c r="P119" s="7">
        <v>0</v>
      </c>
      <c r="Q119" s="7">
        <v>0</v>
      </c>
      <c r="R119" s="7">
        <v>1</v>
      </c>
      <c r="S119" s="7">
        <v>1.5</v>
      </c>
      <c r="T119">
        <v>7</v>
      </c>
      <c r="U119" s="1">
        <v>13</v>
      </c>
      <c r="V119">
        <v>0</v>
      </c>
      <c r="W119">
        <v>0</v>
      </c>
      <c r="X119">
        <v>1</v>
      </c>
      <c r="Y119">
        <v>0.4</v>
      </c>
      <c r="Z119">
        <v>23</v>
      </c>
      <c r="AA119">
        <v>0</v>
      </c>
      <c r="AB119">
        <v>0</v>
      </c>
      <c r="AC119">
        <v>0</v>
      </c>
      <c r="AD119">
        <v>1</v>
      </c>
      <c r="AE119">
        <v>0.02</v>
      </c>
      <c r="AF119">
        <v>15</v>
      </c>
      <c r="AG119">
        <v>0</v>
      </c>
      <c r="AH119">
        <v>0</v>
      </c>
      <c r="AI119">
        <v>0</v>
      </c>
      <c r="AJ119">
        <v>1</v>
      </c>
      <c r="AK119">
        <v>0.01</v>
      </c>
      <c r="AL119">
        <v>16</v>
      </c>
      <c r="AM119">
        <v>0</v>
      </c>
      <c r="AN119">
        <v>0</v>
      </c>
      <c r="AO119">
        <v>0</v>
      </c>
      <c r="AP119">
        <v>1</v>
      </c>
      <c r="AQ119">
        <v>5.0000000000000001E-3</v>
      </c>
      <c r="AX119">
        <v>7</v>
      </c>
      <c r="AY119" s="1">
        <v>5</v>
      </c>
      <c r="AZ119">
        <v>0</v>
      </c>
      <c r="BA119">
        <v>0</v>
      </c>
      <c r="BB119">
        <v>1</v>
      </c>
      <c r="BC119" s="7">
        <v>0.56000000000000005</v>
      </c>
      <c r="BP119">
        <v>36</v>
      </c>
      <c r="BQ119">
        <v>0</v>
      </c>
      <c r="BR119">
        <v>0</v>
      </c>
      <c r="BS119">
        <v>0</v>
      </c>
      <c r="BT119">
        <v>5</v>
      </c>
      <c r="BU119">
        <v>1.6</v>
      </c>
    </row>
    <row r="120" spans="1:73" x14ac:dyDescent="0.15">
      <c r="A120" s="11">
        <v>617</v>
      </c>
      <c r="B120">
        <v>7</v>
      </c>
      <c r="C120" s="1">
        <v>22</v>
      </c>
      <c r="D120">
        <v>0</v>
      </c>
      <c r="E120">
        <v>0</v>
      </c>
      <c r="F120">
        <v>1</v>
      </c>
      <c r="G120" s="7">
        <v>0.24</v>
      </c>
      <c r="H120">
        <v>12</v>
      </c>
      <c r="I120">
        <v>0</v>
      </c>
      <c r="J120">
        <v>0</v>
      </c>
      <c r="K120">
        <v>0</v>
      </c>
      <c r="L120">
        <v>1</v>
      </c>
      <c r="M120">
        <v>1.4</v>
      </c>
      <c r="N120" s="7">
        <v>9</v>
      </c>
      <c r="O120" s="7">
        <v>0</v>
      </c>
      <c r="P120" s="7">
        <v>0</v>
      </c>
      <c r="Q120" s="7">
        <v>0</v>
      </c>
      <c r="R120" s="7">
        <v>1</v>
      </c>
      <c r="S120" s="7">
        <v>1.5</v>
      </c>
      <c r="T120">
        <v>7</v>
      </c>
      <c r="U120" s="1">
        <v>14</v>
      </c>
      <c r="V120">
        <v>0</v>
      </c>
      <c r="W120">
        <v>0</v>
      </c>
      <c r="X120">
        <v>1</v>
      </c>
      <c r="Y120">
        <v>0.4</v>
      </c>
      <c r="Z120">
        <v>23</v>
      </c>
      <c r="AA120">
        <v>0</v>
      </c>
      <c r="AB120">
        <v>0</v>
      </c>
      <c r="AC120">
        <v>0</v>
      </c>
      <c r="AD120">
        <v>1</v>
      </c>
      <c r="AE120">
        <v>0.02</v>
      </c>
      <c r="AF120">
        <v>15</v>
      </c>
      <c r="AG120">
        <v>0</v>
      </c>
      <c r="AH120">
        <v>0</v>
      </c>
      <c r="AI120">
        <v>0</v>
      </c>
      <c r="AJ120">
        <v>1</v>
      </c>
      <c r="AK120">
        <v>0.01</v>
      </c>
      <c r="AL120">
        <v>16</v>
      </c>
      <c r="AM120">
        <v>0</v>
      </c>
      <c r="AN120">
        <v>0</v>
      </c>
      <c r="AO120">
        <v>0</v>
      </c>
      <c r="AP120">
        <v>1</v>
      </c>
      <c r="AQ120">
        <v>5.0000000000000001E-3</v>
      </c>
      <c r="AX120">
        <v>7</v>
      </c>
      <c r="AY120" s="1">
        <v>6</v>
      </c>
      <c r="AZ120">
        <v>0</v>
      </c>
      <c r="BA120">
        <v>0</v>
      </c>
      <c r="BB120">
        <v>1</v>
      </c>
      <c r="BC120" s="7">
        <v>0.56000000000000005</v>
      </c>
      <c r="BP120">
        <v>36</v>
      </c>
      <c r="BQ120">
        <v>0</v>
      </c>
      <c r="BR120">
        <v>0</v>
      </c>
      <c r="BS120">
        <v>0</v>
      </c>
      <c r="BT120">
        <v>5</v>
      </c>
      <c r="BU120">
        <v>1.6</v>
      </c>
    </row>
    <row r="121" spans="1:73" x14ac:dyDescent="0.15">
      <c r="A121" s="11">
        <v>618</v>
      </c>
      <c r="B121">
        <v>7</v>
      </c>
      <c r="C121" s="1">
        <v>23</v>
      </c>
      <c r="D121">
        <v>0</v>
      </c>
      <c r="E121">
        <v>0</v>
      </c>
      <c r="F121">
        <v>1</v>
      </c>
      <c r="G121" s="7">
        <v>0.24</v>
      </c>
      <c r="H121">
        <v>12</v>
      </c>
      <c r="I121">
        <v>0</v>
      </c>
      <c r="J121">
        <v>0</v>
      </c>
      <c r="K121">
        <v>0</v>
      </c>
      <c r="L121">
        <v>1</v>
      </c>
      <c r="M121">
        <v>1.4</v>
      </c>
      <c r="N121" s="7">
        <v>9</v>
      </c>
      <c r="O121" s="7">
        <v>0</v>
      </c>
      <c r="P121" s="7">
        <v>0</v>
      </c>
      <c r="Q121" s="7">
        <v>0</v>
      </c>
      <c r="R121" s="7">
        <v>1</v>
      </c>
      <c r="S121" s="7">
        <v>1.5</v>
      </c>
      <c r="T121">
        <v>7</v>
      </c>
      <c r="U121" s="1">
        <v>15</v>
      </c>
      <c r="V121">
        <v>0</v>
      </c>
      <c r="W121">
        <v>0</v>
      </c>
      <c r="X121">
        <v>1</v>
      </c>
      <c r="Y121">
        <v>0.4</v>
      </c>
      <c r="Z121">
        <v>23</v>
      </c>
      <c r="AA121">
        <v>0</v>
      </c>
      <c r="AB121">
        <v>0</v>
      </c>
      <c r="AC121">
        <v>0</v>
      </c>
      <c r="AD121">
        <v>1</v>
      </c>
      <c r="AE121">
        <v>0.02</v>
      </c>
      <c r="AF121">
        <v>15</v>
      </c>
      <c r="AG121">
        <v>0</v>
      </c>
      <c r="AH121">
        <v>0</v>
      </c>
      <c r="AI121">
        <v>0</v>
      </c>
      <c r="AJ121">
        <v>1</v>
      </c>
      <c r="AK121">
        <v>0.01</v>
      </c>
      <c r="AL121">
        <v>16</v>
      </c>
      <c r="AM121">
        <v>0</v>
      </c>
      <c r="AN121">
        <v>0</v>
      </c>
      <c r="AO121">
        <v>0</v>
      </c>
      <c r="AP121">
        <v>1</v>
      </c>
      <c r="AQ121">
        <v>5.0000000000000001E-3</v>
      </c>
      <c r="AX121">
        <v>7</v>
      </c>
      <c r="AY121" s="1">
        <v>7</v>
      </c>
      <c r="AZ121">
        <v>0</v>
      </c>
      <c r="BA121">
        <v>0</v>
      </c>
      <c r="BB121">
        <v>1</v>
      </c>
      <c r="BC121" s="7">
        <v>0.56000000000000005</v>
      </c>
      <c r="BP121">
        <v>36</v>
      </c>
      <c r="BQ121">
        <v>0</v>
      </c>
      <c r="BR121">
        <v>0</v>
      </c>
      <c r="BS121">
        <v>0</v>
      </c>
      <c r="BT121">
        <v>5</v>
      </c>
      <c r="BU121">
        <v>1.6</v>
      </c>
    </row>
    <row r="122" spans="1:73" x14ac:dyDescent="0.15">
      <c r="A122" s="11">
        <v>619</v>
      </c>
      <c r="B122">
        <v>7</v>
      </c>
      <c r="C122" s="1">
        <v>24</v>
      </c>
      <c r="D122">
        <v>0</v>
      </c>
      <c r="E122">
        <v>0</v>
      </c>
      <c r="F122">
        <v>1</v>
      </c>
      <c r="G122" s="7">
        <v>0.24</v>
      </c>
      <c r="H122">
        <v>12</v>
      </c>
      <c r="I122">
        <v>0</v>
      </c>
      <c r="J122">
        <v>0</v>
      </c>
      <c r="K122">
        <v>0</v>
      </c>
      <c r="L122">
        <v>1</v>
      </c>
      <c r="M122">
        <v>1.4</v>
      </c>
      <c r="N122" s="7">
        <v>9</v>
      </c>
      <c r="O122" s="7">
        <v>0</v>
      </c>
      <c r="P122" s="7">
        <v>0</v>
      </c>
      <c r="Q122" s="7">
        <v>0</v>
      </c>
      <c r="R122" s="7">
        <v>1</v>
      </c>
      <c r="S122" s="7">
        <v>1.5</v>
      </c>
      <c r="T122">
        <v>7</v>
      </c>
      <c r="U122" s="1">
        <v>16</v>
      </c>
      <c r="V122">
        <v>0</v>
      </c>
      <c r="W122">
        <v>0</v>
      </c>
      <c r="X122">
        <v>1</v>
      </c>
      <c r="Y122">
        <v>0.4</v>
      </c>
      <c r="Z122">
        <v>23</v>
      </c>
      <c r="AA122">
        <v>0</v>
      </c>
      <c r="AB122">
        <v>0</v>
      </c>
      <c r="AC122">
        <v>0</v>
      </c>
      <c r="AD122">
        <v>1</v>
      </c>
      <c r="AE122">
        <v>0.02</v>
      </c>
      <c r="AF122">
        <v>15</v>
      </c>
      <c r="AG122">
        <v>0</v>
      </c>
      <c r="AH122">
        <v>0</v>
      </c>
      <c r="AI122">
        <v>0</v>
      </c>
      <c r="AJ122">
        <v>1</v>
      </c>
      <c r="AK122">
        <v>0.01</v>
      </c>
      <c r="AL122">
        <v>16</v>
      </c>
      <c r="AM122">
        <v>0</v>
      </c>
      <c r="AN122">
        <v>0</v>
      </c>
      <c r="AO122">
        <v>0</v>
      </c>
      <c r="AP122">
        <v>1</v>
      </c>
      <c r="AQ122">
        <v>5.0000000000000001E-3</v>
      </c>
      <c r="AX122">
        <v>7</v>
      </c>
      <c r="AY122" s="1">
        <v>8</v>
      </c>
      <c r="AZ122">
        <v>0</v>
      </c>
      <c r="BA122">
        <v>0</v>
      </c>
      <c r="BB122">
        <v>1</v>
      </c>
      <c r="BC122" s="7">
        <v>0.56000000000000005</v>
      </c>
      <c r="BP122">
        <v>36</v>
      </c>
      <c r="BQ122">
        <v>0</v>
      </c>
      <c r="BR122">
        <v>0</v>
      </c>
      <c r="BS122">
        <v>0</v>
      </c>
      <c r="BT122">
        <v>5</v>
      </c>
      <c r="BU122">
        <v>1.6</v>
      </c>
    </row>
    <row r="123" spans="1:73" x14ac:dyDescent="0.15">
      <c r="A123" s="11">
        <v>620</v>
      </c>
      <c r="B123">
        <v>7</v>
      </c>
      <c r="C123" s="1">
        <v>0</v>
      </c>
      <c r="D123">
        <v>3</v>
      </c>
      <c r="E123">
        <v>2</v>
      </c>
      <c r="F123">
        <v>1</v>
      </c>
      <c r="G123" s="7">
        <v>0.24</v>
      </c>
      <c r="H123">
        <v>12</v>
      </c>
      <c r="I123">
        <v>0</v>
      </c>
      <c r="J123">
        <v>0</v>
      </c>
      <c r="K123">
        <v>0</v>
      </c>
      <c r="L123">
        <v>1</v>
      </c>
      <c r="M123">
        <v>1.4</v>
      </c>
      <c r="N123" s="7">
        <v>9</v>
      </c>
      <c r="O123" s="7">
        <v>0</v>
      </c>
      <c r="P123" s="7">
        <v>0</v>
      </c>
      <c r="Q123" s="7">
        <v>0</v>
      </c>
      <c r="R123" s="7">
        <v>1</v>
      </c>
      <c r="S123" s="7">
        <v>1.5</v>
      </c>
      <c r="T123">
        <v>7</v>
      </c>
      <c r="U123" s="1">
        <v>0</v>
      </c>
      <c r="V123">
        <v>2</v>
      </c>
      <c r="W123">
        <v>2</v>
      </c>
      <c r="X123">
        <v>1</v>
      </c>
      <c r="Y123">
        <v>0.4</v>
      </c>
      <c r="Z123">
        <v>23</v>
      </c>
      <c r="AA123">
        <v>0</v>
      </c>
      <c r="AB123">
        <v>0</v>
      </c>
      <c r="AC123">
        <v>0</v>
      </c>
      <c r="AD123">
        <v>1</v>
      </c>
      <c r="AE123">
        <v>0.02</v>
      </c>
      <c r="AF123">
        <v>15</v>
      </c>
      <c r="AG123">
        <v>0</v>
      </c>
      <c r="AH123">
        <v>0</v>
      </c>
      <c r="AI123">
        <v>0</v>
      </c>
      <c r="AJ123">
        <v>1</v>
      </c>
      <c r="AK123">
        <v>0.01</v>
      </c>
      <c r="AL123">
        <v>16</v>
      </c>
      <c r="AM123">
        <v>0</v>
      </c>
      <c r="AN123">
        <v>0</v>
      </c>
      <c r="AO123">
        <v>0</v>
      </c>
      <c r="AP123">
        <v>1</v>
      </c>
      <c r="AQ123">
        <v>5.0000000000000001E-3</v>
      </c>
      <c r="AR123">
        <v>6</v>
      </c>
      <c r="AS123">
        <v>1</v>
      </c>
      <c r="AT123">
        <v>0</v>
      </c>
      <c r="AU123">
        <v>4</v>
      </c>
      <c r="AV123">
        <v>1</v>
      </c>
      <c r="AW123">
        <v>0.2</v>
      </c>
      <c r="AX123">
        <v>7</v>
      </c>
      <c r="AY123" s="1">
        <v>0</v>
      </c>
      <c r="AZ123">
        <v>1</v>
      </c>
      <c r="BA123">
        <v>2</v>
      </c>
      <c r="BB123">
        <v>1</v>
      </c>
      <c r="BC123" s="7">
        <v>0.56000000000000005</v>
      </c>
      <c r="BP123">
        <v>36</v>
      </c>
      <c r="BQ123">
        <v>0</v>
      </c>
      <c r="BR123">
        <v>0</v>
      </c>
      <c r="BS123">
        <v>0</v>
      </c>
      <c r="BT123">
        <v>5</v>
      </c>
      <c r="BU123">
        <v>1.6</v>
      </c>
    </row>
    <row r="124" spans="1:73" x14ac:dyDescent="0.15">
      <c r="A124" s="11">
        <v>621</v>
      </c>
      <c r="B124">
        <v>7</v>
      </c>
      <c r="C124" s="1">
        <v>21</v>
      </c>
      <c r="D124">
        <v>0</v>
      </c>
      <c r="E124">
        <v>0</v>
      </c>
      <c r="F124">
        <v>1</v>
      </c>
      <c r="G124" s="7">
        <v>0.24</v>
      </c>
      <c r="H124">
        <v>12</v>
      </c>
      <c r="I124">
        <v>0</v>
      </c>
      <c r="J124">
        <v>0</v>
      </c>
      <c r="K124">
        <v>0</v>
      </c>
      <c r="L124">
        <v>1</v>
      </c>
      <c r="M124">
        <v>1.4</v>
      </c>
      <c r="N124" s="7">
        <v>9</v>
      </c>
      <c r="O124" s="7">
        <v>0</v>
      </c>
      <c r="P124" s="7">
        <v>0</v>
      </c>
      <c r="Q124" s="7">
        <v>0</v>
      </c>
      <c r="R124" s="7">
        <v>1</v>
      </c>
      <c r="S124" s="7">
        <v>1.5</v>
      </c>
      <c r="T124">
        <v>7</v>
      </c>
      <c r="U124" s="1">
        <v>13</v>
      </c>
      <c r="V124">
        <v>0</v>
      </c>
      <c r="W124">
        <v>0</v>
      </c>
      <c r="X124">
        <v>1</v>
      </c>
      <c r="Y124">
        <v>0.4</v>
      </c>
      <c r="Z124">
        <v>23</v>
      </c>
      <c r="AA124">
        <v>0</v>
      </c>
      <c r="AB124">
        <v>0</v>
      </c>
      <c r="AC124">
        <v>0</v>
      </c>
      <c r="AD124">
        <v>1</v>
      </c>
      <c r="AE124">
        <v>0.02</v>
      </c>
      <c r="AF124">
        <v>15</v>
      </c>
      <c r="AG124">
        <v>0</v>
      </c>
      <c r="AH124">
        <v>0</v>
      </c>
      <c r="AI124">
        <v>0</v>
      </c>
      <c r="AJ124">
        <v>1</v>
      </c>
      <c r="AK124">
        <v>0.01</v>
      </c>
      <c r="AL124">
        <v>16</v>
      </c>
      <c r="AM124">
        <v>0</v>
      </c>
      <c r="AN124">
        <v>0</v>
      </c>
      <c r="AO124">
        <v>0</v>
      </c>
      <c r="AP124">
        <v>1</v>
      </c>
      <c r="AQ124">
        <v>5.0000000000000001E-3</v>
      </c>
      <c r="AX124">
        <v>7</v>
      </c>
      <c r="AY124" s="1">
        <v>5</v>
      </c>
      <c r="AZ124">
        <v>0</v>
      </c>
      <c r="BA124">
        <v>0</v>
      </c>
      <c r="BB124">
        <v>1</v>
      </c>
      <c r="BC124" s="7">
        <v>0.56000000000000005</v>
      </c>
      <c r="BP124">
        <v>36</v>
      </c>
      <c r="BQ124">
        <v>0</v>
      </c>
      <c r="BR124">
        <v>0</v>
      </c>
      <c r="BS124">
        <v>0</v>
      </c>
      <c r="BT124">
        <v>5</v>
      </c>
      <c r="BU124">
        <v>1.6</v>
      </c>
    </row>
    <row r="125" spans="1:73" x14ac:dyDescent="0.15">
      <c r="A125" s="11">
        <v>622</v>
      </c>
      <c r="B125">
        <v>7</v>
      </c>
      <c r="C125" s="1">
        <v>22</v>
      </c>
      <c r="D125">
        <v>0</v>
      </c>
      <c r="E125">
        <v>0</v>
      </c>
      <c r="F125">
        <v>1</v>
      </c>
      <c r="G125" s="7">
        <v>0.24</v>
      </c>
      <c r="H125">
        <v>12</v>
      </c>
      <c r="I125">
        <v>0</v>
      </c>
      <c r="J125">
        <v>0</v>
      </c>
      <c r="K125">
        <v>0</v>
      </c>
      <c r="L125">
        <v>1</v>
      </c>
      <c r="M125">
        <v>1.4</v>
      </c>
      <c r="N125" s="7">
        <v>9</v>
      </c>
      <c r="O125" s="7">
        <v>0</v>
      </c>
      <c r="P125" s="7">
        <v>0</v>
      </c>
      <c r="Q125" s="7">
        <v>0</v>
      </c>
      <c r="R125" s="7">
        <v>1</v>
      </c>
      <c r="S125" s="7">
        <v>1.5</v>
      </c>
      <c r="T125">
        <v>7</v>
      </c>
      <c r="U125" s="1">
        <v>14</v>
      </c>
      <c r="V125">
        <v>0</v>
      </c>
      <c r="W125">
        <v>0</v>
      </c>
      <c r="X125">
        <v>1</v>
      </c>
      <c r="Y125">
        <v>0.4</v>
      </c>
      <c r="Z125">
        <v>23</v>
      </c>
      <c r="AA125">
        <v>0</v>
      </c>
      <c r="AB125">
        <v>0</v>
      </c>
      <c r="AC125">
        <v>0</v>
      </c>
      <c r="AD125">
        <v>1</v>
      </c>
      <c r="AE125">
        <v>0.02</v>
      </c>
      <c r="AF125">
        <v>15</v>
      </c>
      <c r="AG125">
        <v>0</v>
      </c>
      <c r="AH125">
        <v>0</v>
      </c>
      <c r="AI125">
        <v>0</v>
      </c>
      <c r="AJ125">
        <v>1</v>
      </c>
      <c r="AK125">
        <v>0.01</v>
      </c>
      <c r="AL125">
        <v>16</v>
      </c>
      <c r="AM125">
        <v>0</v>
      </c>
      <c r="AN125">
        <v>0</v>
      </c>
      <c r="AO125">
        <v>0</v>
      </c>
      <c r="AP125">
        <v>1</v>
      </c>
      <c r="AQ125">
        <v>5.0000000000000001E-3</v>
      </c>
      <c r="AX125">
        <v>7</v>
      </c>
      <c r="AY125" s="1">
        <v>6</v>
      </c>
      <c r="AZ125">
        <v>0</v>
      </c>
      <c r="BA125">
        <v>0</v>
      </c>
      <c r="BB125">
        <v>1</v>
      </c>
      <c r="BC125" s="7">
        <v>0.56000000000000005</v>
      </c>
      <c r="BP125">
        <v>36</v>
      </c>
      <c r="BQ125">
        <v>0</v>
      </c>
      <c r="BR125">
        <v>0</v>
      </c>
      <c r="BS125">
        <v>0</v>
      </c>
      <c r="BT125">
        <v>5</v>
      </c>
      <c r="BU125">
        <v>1.6</v>
      </c>
    </row>
    <row r="126" spans="1:73" x14ac:dyDescent="0.15">
      <c r="A126" s="11">
        <v>623</v>
      </c>
      <c r="B126">
        <v>7</v>
      </c>
      <c r="C126" s="1">
        <v>23</v>
      </c>
      <c r="D126">
        <v>0</v>
      </c>
      <c r="E126">
        <v>0</v>
      </c>
      <c r="F126">
        <v>1</v>
      </c>
      <c r="G126" s="7">
        <v>0.24</v>
      </c>
      <c r="H126">
        <v>12</v>
      </c>
      <c r="I126">
        <v>0</v>
      </c>
      <c r="J126">
        <v>0</v>
      </c>
      <c r="K126">
        <v>0</v>
      </c>
      <c r="L126">
        <v>1</v>
      </c>
      <c r="M126">
        <v>1.4</v>
      </c>
      <c r="N126" s="7">
        <v>9</v>
      </c>
      <c r="O126" s="7">
        <v>0</v>
      </c>
      <c r="P126" s="7">
        <v>0</v>
      </c>
      <c r="Q126" s="7">
        <v>0</v>
      </c>
      <c r="R126" s="7">
        <v>1</v>
      </c>
      <c r="S126" s="7">
        <v>1.5</v>
      </c>
      <c r="T126">
        <v>7</v>
      </c>
      <c r="U126" s="1">
        <v>15</v>
      </c>
      <c r="V126">
        <v>0</v>
      </c>
      <c r="W126">
        <v>0</v>
      </c>
      <c r="X126">
        <v>1</v>
      </c>
      <c r="Y126">
        <v>0.4</v>
      </c>
      <c r="Z126">
        <v>23</v>
      </c>
      <c r="AA126">
        <v>0</v>
      </c>
      <c r="AB126">
        <v>0</v>
      </c>
      <c r="AC126">
        <v>0</v>
      </c>
      <c r="AD126">
        <v>1</v>
      </c>
      <c r="AE126">
        <v>0.02</v>
      </c>
      <c r="AF126">
        <v>15</v>
      </c>
      <c r="AG126">
        <v>0</v>
      </c>
      <c r="AH126">
        <v>0</v>
      </c>
      <c r="AI126">
        <v>0</v>
      </c>
      <c r="AJ126">
        <v>1</v>
      </c>
      <c r="AK126">
        <v>0.01</v>
      </c>
      <c r="AL126">
        <v>16</v>
      </c>
      <c r="AM126">
        <v>0</v>
      </c>
      <c r="AN126">
        <v>0</v>
      </c>
      <c r="AO126">
        <v>0</v>
      </c>
      <c r="AP126">
        <v>1</v>
      </c>
      <c r="AQ126">
        <v>5.0000000000000001E-3</v>
      </c>
      <c r="AX126">
        <v>7</v>
      </c>
      <c r="AY126" s="1">
        <v>7</v>
      </c>
      <c r="AZ126">
        <v>0</v>
      </c>
      <c r="BA126">
        <v>0</v>
      </c>
      <c r="BB126">
        <v>1</v>
      </c>
      <c r="BC126" s="7">
        <v>0.56000000000000005</v>
      </c>
      <c r="BP126">
        <v>36</v>
      </c>
      <c r="BQ126">
        <v>0</v>
      </c>
      <c r="BR126">
        <v>0</v>
      </c>
      <c r="BS126">
        <v>0</v>
      </c>
      <c r="BT126">
        <v>5</v>
      </c>
      <c r="BU126">
        <v>1.6</v>
      </c>
    </row>
    <row r="127" spans="1:73" x14ac:dyDescent="0.15">
      <c r="A127" s="11">
        <v>624</v>
      </c>
      <c r="B127">
        <v>7</v>
      </c>
      <c r="C127" s="1">
        <v>24</v>
      </c>
      <c r="D127">
        <v>0</v>
      </c>
      <c r="E127">
        <v>0</v>
      </c>
      <c r="F127">
        <v>1</v>
      </c>
      <c r="G127" s="7">
        <v>0.24</v>
      </c>
      <c r="H127">
        <v>12</v>
      </c>
      <c r="I127">
        <v>0</v>
      </c>
      <c r="J127">
        <v>0</v>
      </c>
      <c r="K127">
        <v>0</v>
      </c>
      <c r="L127">
        <v>1</v>
      </c>
      <c r="M127">
        <v>1.4</v>
      </c>
      <c r="N127" s="7">
        <v>9</v>
      </c>
      <c r="O127" s="7">
        <v>0</v>
      </c>
      <c r="P127" s="7">
        <v>0</v>
      </c>
      <c r="Q127" s="7">
        <v>0</v>
      </c>
      <c r="R127" s="7">
        <v>1</v>
      </c>
      <c r="S127" s="7">
        <v>1.5</v>
      </c>
      <c r="T127">
        <v>7</v>
      </c>
      <c r="U127" s="1">
        <v>16</v>
      </c>
      <c r="V127">
        <v>0</v>
      </c>
      <c r="W127">
        <v>0</v>
      </c>
      <c r="X127">
        <v>1</v>
      </c>
      <c r="Y127">
        <v>0.4</v>
      </c>
      <c r="Z127">
        <v>23</v>
      </c>
      <c r="AA127">
        <v>0</v>
      </c>
      <c r="AB127">
        <v>0</v>
      </c>
      <c r="AC127">
        <v>0</v>
      </c>
      <c r="AD127">
        <v>1</v>
      </c>
      <c r="AE127">
        <v>0.02</v>
      </c>
      <c r="AF127">
        <v>15</v>
      </c>
      <c r="AG127">
        <v>0</v>
      </c>
      <c r="AH127">
        <v>0</v>
      </c>
      <c r="AI127">
        <v>0</v>
      </c>
      <c r="AJ127">
        <v>1</v>
      </c>
      <c r="AK127">
        <v>0.01</v>
      </c>
      <c r="AL127">
        <v>16</v>
      </c>
      <c r="AM127">
        <v>0</v>
      </c>
      <c r="AN127">
        <v>0</v>
      </c>
      <c r="AO127">
        <v>0</v>
      </c>
      <c r="AP127">
        <v>1</v>
      </c>
      <c r="AQ127">
        <v>5.0000000000000001E-3</v>
      </c>
      <c r="AX127">
        <v>7</v>
      </c>
      <c r="AY127" s="1">
        <v>8</v>
      </c>
      <c r="AZ127">
        <v>0</v>
      </c>
      <c r="BA127">
        <v>0</v>
      </c>
      <c r="BB127">
        <v>1</v>
      </c>
      <c r="BC127" s="7">
        <v>0.56000000000000005</v>
      </c>
      <c r="BP127">
        <v>36</v>
      </c>
      <c r="BQ127">
        <v>0</v>
      </c>
      <c r="BR127">
        <v>0</v>
      </c>
      <c r="BS127">
        <v>0</v>
      </c>
      <c r="BT127">
        <v>5</v>
      </c>
      <c r="BU127">
        <v>1.6</v>
      </c>
    </row>
    <row r="128" spans="1:73" x14ac:dyDescent="0.15">
      <c r="A128" s="11">
        <v>625</v>
      </c>
      <c r="B128">
        <v>7</v>
      </c>
      <c r="C128" s="1">
        <v>0</v>
      </c>
      <c r="D128">
        <v>3</v>
      </c>
      <c r="E128">
        <v>2</v>
      </c>
      <c r="F128">
        <v>1</v>
      </c>
      <c r="G128" s="7">
        <v>0.24</v>
      </c>
      <c r="H128">
        <v>12</v>
      </c>
      <c r="I128">
        <v>0</v>
      </c>
      <c r="J128">
        <v>0</v>
      </c>
      <c r="K128">
        <v>0</v>
      </c>
      <c r="L128">
        <v>1</v>
      </c>
      <c r="M128">
        <v>1.4</v>
      </c>
      <c r="N128" s="7">
        <v>9</v>
      </c>
      <c r="O128" s="7">
        <v>0</v>
      </c>
      <c r="P128" s="7">
        <v>0</v>
      </c>
      <c r="Q128" s="7">
        <v>0</v>
      </c>
      <c r="R128" s="7">
        <v>1</v>
      </c>
      <c r="S128" s="7">
        <v>1.5</v>
      </c>
      <c r="T128">
        <v>7</v>
      </c>
      <c r="U128" s="1">
        <v>0</v>
      </c>
      <c r="V128">
        <v>2</v>
      </c>
      <c r="W128">
        <v>2</v>
      </c>
      <c r="X128">
        <v>1</v>
      </c>
      <c r="Y128">
        <v>0.4</v>
      </c>
      <c r="Z128">
        <v>23</v>
      </c>
      <c r="AA128">
        <v>0</v>
      </c>
      <c r="AB128">
        <v>0</v>
      </c>
      <c r="AC128">
        <v>0</v>
      </c>
      <c r="AD128">
        <v>1</v>
      </c>
      <c r="AE128">
        <v>0.02</v>
      </c>
      <c r="AF128">
        <v>15</v>
      </c>
      <c r="AG128">
        <v>0</v>
      </c>
      <c r="AH128">
        <v>0</v>
      </c>
      <c r="AI128">
        <v>0</v>
      </c>
      <c r="AJ128">
        <v>1</v>
      </c>
      <c r="AK128">
        <v>0.01</v>
      </c>
      <c r="AL128">
        <v>16</v>
      </c>
      <c r="AM128">
        <v>0</v>
      </c>
      <c r="AN128">
        <v>0</v>
      </c>
      <c r="AO128">
        <v>0</v>
      </c>
      <c r="AP128">
        <v>1</v>
      </c>
      <c r="AQ128">
        <v>5.0000000000000001E-3</v>
      </c>
      <c r="AR128">
        <v>6</v>
      </c>
      <c r="AS128">
        <v>1</v>
      </c>
      <c r="AT128">
        <v>0</v>
      </c>
      <c r="AU128">
        <v>4</v>
      </c>
      <c r="AV128">
        <v>1</v>
      </c>
      <c r="AW128">
        <v>0.2</v>
      </c>
      <c r="AX128">
        <v>7</v>
      </c>
      <c r="AY128" s="1">
        <v>0</v>
      </c>
      <c r="AZ128">
        <v>1</v>
      </c>
      <c r="BA128">
        <v>2</v>
      </c>
      <c r="BB128">
        <v>1</v>
      </c>
      <c r="BC128" s="7">
        <v>0.56000000000000005</v>
      </c>
      <c r="BP128">
        <v>36</v>
      </c>
      <c r="BQ128">
        <v>0</v>
      </c>
      <c r="BR128">
        <v>0</v>
      </c>
      <c r="BS128">
        <v>0</v>
      </c>
      <c r="BT128">
        <v>5</v>
      </c>
      <c r="BU128">
        <v>1.6</v>
      </c>
    </row>
    <row r="129" spans="1:73" x14ac:dyDescent="0.15">
      <c r="A129" s="11">
        <v>626</v>
      </c>
      <c r="B129">
        <v>7</v>
      </c>
      <c r="C129" s="1">
        <v>21</v>
      </c>
      <c r="D129">
        <v>0</v>
      </c>
      <c r="E129">
        <v>0</v>
      </c>
      <c r="F129">
        <v>1</v>
      </c>
      <c r="G129" s="7">
        <v>0.24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1.4</v>
      </c>
      <c r="N129" s="7">
        <v>9</v>
      </c>
      <c r="O129" s="7">
        <v>0</v>
      </c>
      <c r="P129" s="7">
        <v>0</v>
      </c>
      <c r="Q129" s="7">
        <v>0</v>
      </c>
      <c r="R129" s="7">
        <v>1</v>
      </c>
      <c r="S129" s="7">
        <v>1.5</v>
      </c>
      <c r="T129">
        <v>7</v>
      </c>
      <c r="U129" s="1">
        <v>13</v>
      </c>
      <c r="V129">
        <v>0</v>
      </c>
      <c r="W129">
        <v>0</v>
      </c>
      <c r="X129">
        <v>1</v>
      </c>
      <c r="Y129">
        <v>0.4</v>
      </c>
      <c r="Z129">
        <v>23</v>
      </c>
      <c r="AA129">
        <v>0</v>
      </c>
      <c r="AB129">
        <v>0</v>
      </c>
      <c r="AC129">
        <v>0</v>
      </c>
      <c r="AD129">
        <v>1</v>
      </c>
      <c r="AE129">
        <v>0.02</v>
      </c>
      <c r="AF129">
        <v>15</v>
      </c>
      <c r="AG129">
        <v>0</v>
      </c>
      <c r="AH129">
        <v>0</v>
      </c>
      <c r="AI129">
        <v>0</v>
      </c>
      <c r="AJ129">
        <v>1</v>
      </c>
      <c r="AK129">
        <v>0.01</v>
      </c>
      <c r="AL129">
        <v>16</v>
      </c>
      <c r="AM129">
        <v>0</v>
      </c>
      <c r="AN129">
        <v>0</v>
      </c>
      <c r="AO129">
        <v>0</v>
      </c>
      <c r="AP129">
        <v>1</v>
      </c>
      <c r="AQ129">
        <v>5.0000000000000001E-3</v>
      </c>
      <c r="AX129">
        <v>7</v>
      </c>
      <c r="AY129" s="1">
        <v>5</v>
      </c>
      <c r="AZ129">
        <v>0</v>
      </c>
      <c r="BA129">
        <v>0</v>
      </c>
      <c r="BB129">
        <v>1</v>
      </c>
      <c r="BC129" s="7">
        <v>0.56000000000000005</v>
      </c>
      <c r="BP129">
        <v>36</v>
      </c>
      <c r="BQ129">
        <v>0</v>
      </c>
      <c r="BR129">
        <v>0</v>
      </c>
      <c r="BS129">
        <v>0</v>
      </c>
      <c r="BT129">
        <v>5</v>
      </c>
      <c r="BU129">
        <v>1.6</v>
      </c>
    </row>
    <row r="130" spans="1:73" x14ac:dyDescent="0.15">
      <c r="A130" s="11">
        <v>627</v>
      </c>
      <c r="B130">
        <v>7</v>
      </c>
      <c r="C130" s="1">
        <v>22</v>
      </c>
      <c r="D130">
        <v>0</v>
      </c>
      <c r="E130">
        <v>0</v>
      </c>
      <c r="F130">
        <v>1</v>
      </c>
      <c r="G130" s="7">
        <v>0.24</v>
      </c>
      <c r="H130">
        <v>12</v>
      </c>
      <c r="I130">
        <v>0</v>
      </c>
      <c r="J130">
        <v>0</v>
      </c>
      <c r="K130">
        <v>0</v>
      </c>
      <c r="L130">
        <v>1</v>
      </c>
      <c r="M130">
        <v>1.4</v>
      </c>
      <c r="N130" s="7">
        <v>9</v>
      </c>
      <c r="O130" s="7">
        <v>0</v>
      </c>
      <c r="P130" s="7">
        <v>0</v>
      </c>
      <c r="Q130" s="7">
        <v>0</v>
      </c>
      <c r="R130" s="7">
        <v>1</v>
      </c>
      <c r="S130" s="7">
        <v>1.5</v>
      </c>
      <c r="T130">
        <v>7</v>
      </c>
      <c r="U130" s="1">
        <v>14</v>
      </c>
      <c r="V130">
        <v>0</v>
      </c>
      <c r="W130">
        <v>0</v>
      </c>
      <c r="X130">
        <v>1</v>
      </c>
      <c r="Y130">
        <v>0.4</v>
      </c>
      <c r="Z130">
        <v>23</v>
      </c>
      <c r="AA130">
        <v>0</v>
      </c>
      <c r="AB130">
        <v>0</v>
      </c>
      <c r="AC130">
        <v>0</v>
      </c>
      <c r="AD130">
        <v>1</v>
      </c>
      <c r="AE130">
        <v>0.02</v>
      </c>
      <c r="AF130">
        <v>15</v>
      </c>
      <c r="AG130">
        <v>0</v>
      </c>
      <c r="AH130">
        <v>0</v>
      </c>
      <c r="AI130">
        <v>0</v>
      </c>
      <c r="AJ130">
        <v>1</v>
      </c>
      <c r="AK130">
        <v>0.01</v>
      </c>
      <c r="AL130">
        <v>16</v>
      </c>
      <c r="AM130">
        <v>0</v>
      </c>
      <c r="AN130">
        <v>0</v>
      </c>
      <c r="AO130">
        <v>0</v>
      </c>
      <c r="AP130">
        <v>1</v>
      </c>
      <c r="AQ130">
        <v>5.0000000000000001E-3</v>
      </c>
      <c r="AX130">
        <v>7</v>
      </c>
      <c r="AY130" s="1">
        <v>6</v>
      </c>
      <c r="AZ130">
        <v>0</v>
      </c>
      <c r="BA130">
        <v>0</v>
      </c>
      <c r="BB130">
        <v>1</v>
      </c>
      <c r="BC130" s="7">
        <v>0.56000000000000005</v>
      </c>
      <c r="BP130">
        <v>36</v>
      </c>
      <c r="BQ130">
        <v>0</v>
      </c>
      <c r="BR130">
        <v>0</v>
      </c>
      <c r="BS130">
        <v>0</v>
      </c>
      <c r="BT130">
        <v>5</v>
      </c>
      <c r="BU130">
        <v>1.6</v>
      </c>
    </row>
    <row r="131" spans="1:73" x14ac:dyDescent="0.15">
      <c r="A131" s="11">
        <v>628</v>
      </c>
      <c r="B131">
        <v>7</v>
      </c>
      <c r="C131" s="1">
        <v>23</v>
      </c>
      <c r="D131">
        <v>0</v>
      </c>
      <c r="E131">
        <v>0</v>
      </c>
      <c r="F131">
        <v>1</v>
      </c>
      <c r="G131" s="7">
        <v>0.24</v>
      </c>
      <c r="H131">
        <v>12</v>
      </c>
      <c r="I131">
        <v>0</v>
      </c>
      <c r="J131">
        <v>0</v>
      </c>
      <c r="K131">
        <v>0</v>
      </c>
      <c r="L131">
        <v>1</v>
      </c>
      <c r="M131">
        <v>1.4</v>
      </c>
      <c r="N131" s="7">
        <v>9</v>
      </c>
      <c r="O131" s="7">
        <v>0</v>
      </c>
      <c r="P131" s="7">
        <v>0</v>
      </c>
      <c r="Q131" s="7">
        <v>0</v>
      </c>
      <c r="R131" s="7">
        <v>1</v>
      </c>
      <c r="S131" s="7">
        <v>1.5</v>
      </c>
      <c r="T131">
        <v>7</v>
      </c>
      <c r="U131" s="1">
        <v>15</v>
      </c>
      <c r="V131">
        <v>0</v>
      </c>
      <c r="W131">
        <v>0</v>
      </c>
      <c r="X131">
        <v>1</v>
      </c>
      <c r="Y131">
        <v>0.4</v>
      </c>
      <c r="Z131">
        <v>23</v>
      </c>
      <c r="AA131">
        <v>0</v>
      </c>
      <c r="AB131">
        <v>0</v>
      </c>
      <c r="AC131">
        <v>0</v>
      </c>
      <c r="AD131">
        <v>1</v>
      </c>
      <c r="AE131">
        <v>0.02</v>
      </c>
      <c r="AF131">
        <v>15</v>
      </c>
      <c r="AG131">
        <v>0</v>
      </c>
      <c r="AH131">
        <v>0</v>
      </c>
      <c r="AI131">
        <v>0</v>
      </c>
      <c r="AJ131">
        <v>1</v>
      </c>
      <c r="AK131">
        <v>0.01</v>
      </c>
      <c r="AL131">
        <v>16</v>
      </c>
      <c r="AM131">
        <v>0</v>
      </c>
      <c r="AN131">
        <v>0</v>
      </c>
      <c r="AO131">
        <v>0</v>
      </c>
      <c r="AP131">
        <v>1</v>
      </c>
      <c r="AQ131">
        <v>5.0000000000000001E-3</v>
      </c>
      <c r="AX131">
        <v>7</v>
      </c>
      <c r="AY131" s="1">
        <v>7</v>
      </c>
      <c r="AZ131">
        <v>0</v>
      </c>
      <c r="BA131">
        <v>0</v>
      </c>
      <c r="BB131">
        <v>1</v>
      </c>
      <c r="BC131" s="7">
        <v>0.56000000000000005</v>
      </c>
      <c r="BP131">
        <v>36</v>
      </c>
      <c r="BQ131">
        <v>0</v>
      </c>
      <c r="BR131">
        <v>0</v>
      </c>
      <c r="BS131">
        <v>0</v>
      </c>
      <c r="BT131">
        <v>5</v>
      </c>
      <c r="BU131">
        <v>1.6</v>
      </c>
    </row>
    <row r="132" spans="1:73" x14ac:dyDescent="0.15">
      <c r="A132" s="11">
        <v>629</v>
      </c>
      <c r="B132">
        <v>7</v>
      </c>
      <c r="C132" s="1">
        <v>24</v>
      </c>
      <c r="D132">
        <v>0</v>
      </c>
      <c r="E132">
        <v>0</v>
      </c>
      <c r="F132">
        <v>1</v>
      </c>
      <c r="G132" s="7">
        <v>0.24</v>
      </c>
      <c r="H132">
        <v>12</v>
      </c>
      <c r="I132">
        <v>0</v>
      </c>
      <c r="J132">
        <v>0</v>
      </c>
      <c r="K132">
        <v>0</v>
      </c>
      <c r="L132">
        <v>1</v>
      </c>
      <c r="M132">
        <v>1.4</v>
      </c>
      <c r="N132" s="7">
        <v>9</v>
      </c>
      <c r="O132" s="7">
        <v>0</v>
      </c>
      <c r="P132" s="7">
        <v>0</v>
      </c>
      <c r="Q132" s="7">
        <v>0</v>
      </c>
      <c r="R132" s="7">
        <v>1</v>
      </c>
      <c r="S132" s="7">
        <v>1.5</v>
      </c>
      <c r="T132">
        <v>7</v>
      </c>
      <c r="U132" s="1">
        <v>16</v>
      </c>
      <c r="V132">
        <v>0</v>
      </c>
      <c r="W132">
        <v>0</v>
      </c>
      <c r="X132">
        <v>1</v>
      </c>
      <c r="Y132">
        <v>0.4</v>
      </c>
      <c r="Z132">
        <v>23</v>
      </c>
      <c r="AA132">
        <v>0</v>
      </c>
      <c r="AB132">
        <v>0</v>
      </c>
      <c r="AC132">
        <v>0</v>
      </c>
      <c r="AD132">
        <v>1</v>
      </c>
      <c r="AE132">
        <v>0.02</v>
      </c>
      <c r="AF132">
        <v>15</v>
      </c>
      <c r="AG132">
        <v>0</v>
      </c>
      <c r="AH132">
        <v>0</v>
      </c>
      <c r="AI132">
        <v>0</v>
      </c>
      <c r="AJ132">
        <v>1</v>
      </c>
      <c r="AK132">
        <v>0.01</v>
      </c>
      <c r="AL132">
        <v>16</v>
      </c>
      <c r="AM132">
        <v>0</v>
      </c>
      <c r="AN132">
        <v>0</v>
      </c>
      <c r="AO132">
        <v>0</v>
      </c>
      <c r="AP132">
        <v>1</v>
      </c>
      <c r="AQ132">
        <v>5.0000000000000001E-3</v>
      </c>
      <c r="AX132">
        <v>7</v>
      </c>
      <c r="AY132" s="1">
        <v>8</v>
      </c>
      <c r="AZ132">
        <v>0</v>
      </c>
      <c r="BA132">
        <v>0</v>
      </c>
      <c r="BB132">
        <v>1</v>
      </c>
      <c r="BC132" s="7">
        <v>0.56000000000000005</v>
      </c>
      <c r="BP132">
        <v>36</v>
      </c>
      <c r="BQ132">
        <v>0</v>
      </c>
      <c r="BR132">
        <v>0</v>
      </c>
      <c r="BS132">
        <v>0</v>
      </c>
      <c r="BT132">
        <v>5</v>
      </c>
      <c r="BU132">
        <v>1.6</v>
      </c>
    </row>
    <row r="133" spans="1:73" x14ac:dyDescent="0.15">
      <c r="A133" s="11">
        <v>630</v>
      </c>
      <c r="B133">
        <v>7</v>
      </c>
      <c r="C133" s="1">
        <v>0</v>
      </c>
      <c r="D133">
        <v>3</v>
      </c>
      <c r="E133">
        <v>2</v>
      </c>
      <c r="F133">
        <v>1</v>
      </c>
      <c r="G133" s="7">
        <v>0.24</v>
      </c>
      <c r="H133">
        <v>12</v>
      </c>
      <c r="I133">
        <v>0</v>
      </c>
      <c r="J133">
        <v>0</v>
      </c>
      <c r="K133">
        <v>0</v>
      </c>
      <c r="L133">
        <v>1</v>
      </c>
      <c r="M133">
        <v>1.4</v>
      </c>
      <c r="N133" s="7">
        <v>9</v>
      </c>
      <c r="O133" s="7">
        <v>0</v>
      </c>
      <c r="P133" s="7">
        <v>0</v>
      </c>
      <c r="Q133" s="7">
        <v>0</v>
      </c>
      <c r="R133" s="7">
        <v>1</v>
      </c>
      <c r="S133" s="7">
        <v>1.5</v>
      </c>
      <c r="T133">
        <v>7</v>
      </c>
      <c r="U133" s="1">
        <v>0</v>
      </c>
      <c r="V133">
        <v>2</v>
      </c>
      <c r="W133">
        <v>2</v>
      </c>
      <c r="X133">
        <v>1</v>
      </c>
      <c r="Y133">
        <v>0.4</v>
      </c>
      <c r="Z133">
        <v>23</v>
      </c>
      <c r="AA133">
        <v>0</v>
      </c>
      <c r="AB133">
        <v>0</v>
      </c>
      <c r="AC133">
        <v>0</v>
      </c>
      <c r="AD133">
        <v>1</v>
      </c>
      <c r="AE133">
        <v>0.02</v>
      </c>
      <c r="AF133">
        <v>15</v>
      </c>
      <c r="AG133">
        <v>0</v>
      </c>
      <c r="AH133">
        <v>0</v>
      </c>
      <c r="AI133">
        <v>0</v>
      </c>
      <c r="AJ133">
        <v>1</v>
      </c>
      <c r="AK133">
        <v>0.01</v>
      </c>
      <c r="AL133">
        <v>16</v>
      </c>
      <c r="AM133">
        <v>0</v>
      </c>
      <c r="AN133">
        <v>0</v>
      </c>
      <c r="AO133">
        <v>0</v>
      </c>
      <c r="AP133">
        <v>1</v>
      </c>
      <c r="AQ133">
        <v>5.0000000000000001E-3</v>
      </c>
      <c r="AR133">
        <v>6</v>
      </c>
      <c r="AS133">
        <v>2</v>
      </c>
      <c r="AT133">
        <v>1</v>
      </c>
      <c r="AU133">
        <v>5</v>
      </c>
      <c r="AV133">
        <v>1</v>
      </c>
      <c r="AW133">
        <v>0.05</v>
      </c>
      <c r="AX133">
        <v>7</v>
      </c>
      <c r="AY133" s="1">
        <v>0</v>
      </c>
      <c r="AZ133">
        <v>1</v>
      </c>
      <c r="BA133">
        <v>2</v>
      </c>
      <c r="BB133">
        <v>1</v>
      </c>
      <c r="BC133" s="7">
        <v>0.56000000000000005</v>
      </c>
      <c r="BP133">
        <v>36</v>
      </c>
      <c r="BQ133">
        <v>0</v>
      </c>
      <c r="BR133">
        <v>0</v>
      </c>
      <c r="BS133">
        <v>0</v>
      </c>
      <c r="BT133">
        <v>5</v>
      </c>
      <c r="BU133">
        <v>1.6</v>
      </c>
    </row>
    <row r="134" spans="1:73" x14ac:dyDescent="0.15">
      <c r="A134" s="11">
        <v>701</v>
      </c>
      <c r="B134">
        <v>7</v>
      </c>
      <c r="C134" s="1">
        <v>21</v>
      </c>
      <c r="D134">
        <v>0</v>
      </c>
      <c r="E134">
        <v>0</v>
      </c>
      <c r="F134">
        <v>1</v>
      </c>
      <c r="G134" s="7">
        <v>0.16</v>
      </c>
      <c r="H134">
        <v>12</v>
      </c>
      <c r="I134">
        <v>0</v>
      </c>
      <c r="J134">
        <v>0</v>
      </c>
      <c r="K134">
        <v>0</v>
      </c>
      <c r="L134">
        <v>1</v>
      </c>
      <c r="M134">
        <v>1.6</v>
      </c>
      <c r="N134" s="7">
        <v>9</v>
      </c>
      <c r="O134" s="7">
        <v>0</v>
      </c>
      <c r="P134" s="7">
        <v>0</v>
      </c>
      <c r="Q134" s="7">
        <v>0</v>
      </c>
      <c r="R134" s="7">
        <v>1</v>
      </c>
      <c r="S134" s="7">
        <v>2</v>
      </c>
      <c r="T134">
        <v>7</v>
      </c>
      <c r="U134" s="1">
        <v>13</v>
      </c>
      <c r="V134">
        <v>0</v>
      </c>
      <c r="W134">
        <v>0</v>
      </c>
      <c r="X134">
        <v>1</v>
      </c>
      <c r="Y134">
        <v>0.4</v>
      </c>
      <c r="Z134">
        <v>23</v>
      </c>
      <c r="AA134">
        <v>0</v>
      </c>
      <c r="AB134">
        <v>0</v>
      </c>
      <c r="AC134">
        <v>0</v>
      </c>
      <c r="AD134">
        <v>1</v>
      </c>
      <c r="AE134">
        <v>0.02</v>
      </c>
      <c r="AF134">
        <v>15</v>
      </c>
      <c r="AG134">
        <v>0</v>
      </c>
      <c r="AH134">
        <v>0</v>
      </c>
      <c r="AI134">
        <v>0</v>
      </c>
      <c r="AJ134">
        <v>1</v>
      </c>
      <c r="AK134">
        <v>0.01</v>
      </c>
      <c r="AL134">
        <v>16</v>
      </c>
      <c r="AM134">
        <v>0</v>
      </c>
      <c r="AN134">
        <v>0</v>
      </c>
      <c r="AO134">
        <v>0</v>
      </c>
      <c r="AP134">
        <v>1</v>
      </c>
      <c r="AQ134">
        <v>5.0000000000000001E-3</v>
      </c>
      <c r="AX134">
        <v>7</v>
      </c>
      <c r="AY134" s="1">
        <v>5</v>
      </c>
      <c r="AZ134">
        <v>0</v>
      </c>
      <c r="BA134">
        <v>0</v>
      </c>
      <c r="BB134">
        <v>1</v>
      </c>
      <c r="BC134" s="7">
        <v>0.56000000000000005</v>
      </c>
      <c r="BP134">
        <v>36</v>
      </c>
      <c r="BQ134">
        <v>0</v>
      </c>
      <c r="BR134">
        <v>0</v>
      </c>
      <c r="BS134">
        <v>0</v>
      </c>
      <c r="BT134">
        <v>5</v>
      </c>
      <c r="BU134">
        <v>1.8</v>
      </c>
    </row>
    <row r="135" spans="1:73" x14ac:dyDescent="0.15">
      <c r="A135" s="11">
        <v>702</v>
      </c>
      <c r="B135">
        <v>7</v>
      </c>
      <c r="C135" s="1">
        <v>22</v>
      </c>
      <c r="D135">
        <v>0</v>
      </c>
      <c r="E135">
        <v>0</v>
      </c>
      <c r="F135">
        <v>1</v>
      </c>
      <c r="G135" s="7">
        <v>0.16</v>
      </c>
      <c r="H135">
        <v>12</v>
      </c>
      <c r="I135">
        <v>0</v>
      </c>
      <c r="J135">
        <v>0</v>
      </c>
      <c r="K135">
        <v>0</v>
      </c>
      <c r="L135">
        <v>1</v>
      </c>
      <c r="M135">
        <v>1.6</v>
      </c>
      <c r="N135" s="7">
        <v>9</v>
      </c>
      <c r="O135" s="7">
        <v>0</v>
      </c>
      <c r="P135" s="7">
        <v>0</v>
      </c>
      <c r="Q135" s="7">
        <v>0</v>
      </c>
      <c r="R135" s="7">
        <v>1</v>
      </c>
      <c r="S135" s="7">
        <v>2</v>
      </c>
      <c r="T135">
        <v>7</v>
      </c>
      <c r="U135" s="1">
        <v>14</v>
      </c>
      <c r="V135">
        <v>0</v>
      </c>
      <c r="W135">
        <v>0</v>
      </c>
      <c r="X135">
        <v>1</v>
      </c>
      <c r="Y135">
        <v>0.4</v>
      </c>
      <c r="Z135">
        <v>23</v>
      </c>
      <c r="AA135">
        <v>0</v>
      </c>
      <c r="AB135">
        <v>0</v>
      </c>
      <c r="AC135">
        <v>0</v>
      </c>
      <c r="AD135">
        <v>1</v>
      </c>
      <c r="AE135">
        <v>0.02</v>
      </c>
      <c r="AF135">
        <v>15</v>
      </c>
      <c r="AG135">
        <v>0</v>
      </c>
      <c r="AH135">
        <v>0</v>
      </c>
      <c r="AI135">
        <v>0</v>
      </c>
      <c r="AJ135">
        <v>1</v>
      </c>
      <c r="AK135">
        <v>0.01</v>
      </c>
      <c r="AL135">
        <v>16</v>
      </c>
      <c r="AM135">
        <v>0</v>
      </c>
      <c r="AN135">
        <v>0</v>
      </c>
      <c r="AO135">
        <v>0</v>
      </c>
      <c r="AP135">
        <v>1</v>
      </c>
      <c r="AQ135">
        <v>5.0000000000000001E-3</v>
      </c>
      <c r="AX135">
        <v>7</v>
      </c>
      <c r="AY135" s="1">
        <v>6</v>
      </c>
      <c r="AZ135">
        <v>0</v>
      </c>
      <c r="BA135">
        <v>0</v>
      </c>
      <c r="BB135">
        <v>1</v>
      </c>
      <c r="BC135" s="7">
        <v>0.56000000000000005</v>
      </c>
      <c r="BP135">
        <v>36</v>
      </c>
      <c r="BQ135">
        <v>0</v>
      </c>
      <c r="BR135">
        <v>0</v>
      </c>
      <c r="BS135">
        <v>0</v>
      </c>
      <c r="BT135">
        <v>5</v>
      </c>
      <c r="BU135">
        <v>1.8</v>
      </c>
    </row>
    <row r="136" spans="1:73" x14ac:dyDescent="0.15">
      <c r="A136" s="11">
        <v>703</v>
      </c>
      <c r="B136">
        <v>7</v>
      </c>
      <c r="C136" s="1">
        <v>23</v>
      </c>
      <c r="D136">
        <v>0</v>
      </c>
      <c r="E136">
        <v>0</v>
      </c>
      <c r="F136">
        <v>1</v>
      </c>
      <c r="G136" s="7">
        <v>0.16</v>
      </c>
      <c r="H136">
        <v>12</v>
      </c>
      <c r="I136">
        <v>0</v>
      </c>
      <c r="J136">
        <v>0</v>
      </c>
      <c r="K136">
        <v>0</v>
      </c>
      <c r="L136">
        <v>1</v>
      </c>
      <c r="M136">
        <v>1.6</v>
      </c>
      <c r="N136" s="7">
        <v>9</v>
      </c>
      <c r="O136" s="7">
        <v>0</v>
      </c>
      <c r="P136" s="7">
        <v>0</v>
      </c>
      <c r="Q136" s="7">
        <v>0</v>
      </c>
      <c r="R136" s="7">
        <v>1</v>
      </c>
      <c r="S136" s="7">
        <v>2</v>
      </c>
      <c r="T136">
        <v>7</v>
      </c>
      <c r="U136" s="1">
        <v>15</v>
      </c>
      <c r="V136">
        <v>0</v>
      </c>
      <c r="W136">
        <v>0</v>
      </c>
      <c r="X136">
        <v>1</v>
      </c>
      <c r="Y136">
        <v>0.4</v>
      </c>
      <c r="Z136">
        <v>23</v>
      </c>
      <c r="AA136">
        <v>0</v>
      </c>
      <c r="AB136">
        <v>0</v>
      </c>
      <c r="AC136">
        <v>0</v>
      </c>
      <c r="AD136">
        <v>1</v>
      </c>
      <c r="AE136">
        <v>0.02</v>
      </c>
      <c r="AF136">
        <v>15</v>
      </c>
      <c r="AG136">
        <v>0</v>
      </c>
      <c r="AH136">
        <v>0</v>
      </c>
      <c r="AI136">
        <v>0</v>
      </c>
      <c r="AJ136">
        <v>1</v>
      </c>
      <c r="AK136">
        <v>0.01</v>
      </c>
      <c r="AL136">
        <v>16</v>
      </c>
      <c r="AM136">
        <v>0</v>
      </c>
      <c r="AN136">
        <v>0</v>
      </c>
      <c r="AO136">
        <v>0</v>
      </c>
      <c r="AP136">
        <v>1</v>
      </c>
      <c r="AQ136">
        <v>5.0000000000000001E-3</v>
      </c>
      <c r="AX136">
        <v>7</v>
      </c>
      <c r="AY136" s="1">
        <v>7</v>
      </c>
      <c r="AZ136">
        <v>0</v>
      </c>
      <c r="BA136">
        <v>0</v>
      </c>
      <c r="BB136">
        <v>1</v>
      </c>
      <c r="BC136" s="7">
        <v>0.56000000000000005</v>
      </c>
      <c r="BP136">
        <v>36</v>
      </c>
      <c r="BQ136">
        <v>0</v>
      </c>
      <c r="BR136">
        <v>0</v>
      </c>
      <c r="BS136">
        <v>0</v>
      </c>
      <c r="BT136">
        <v>5</v>
      </c>
      <c r="BU136">
        <v>1.8</v>
      </c>
    </row>
    <row r="137" spans="1:73" x14ac:dyDescent="0.15">
      <c r="A137" s="11">
        <v>704</v>
      </c>
      <c r="B137">
        <v>7</v>
      </c>
      <c r="C137" s="1">
        <v>24</v>
      </c>
      <c r="D137">
        <v>0</v>
      </c>
      <c r="E137">
        <v>0</v>
      </c>
      <c r="F137">
        <v>1</v>
      </c>
      <c r="G137" s="7">
        <v>0.16</v>
      </c>
      <c r="H137">
        <v>12</v>
      </c>
      <c r="I137">
        <v>0</v>
      </c>
      <c r="J137">
        <v>0</v>
      </c>
      <c r="K137">
        <v>0</v>
      </c>
      <c r="L137">
        <v>1</v>
      </c>
      <c r="M137">
        <v>1.6</v>
      </c>
      <c r="N137" s="7">
        <v>9</v>
      </c>
      <c r="O137" s="7">
        <v>0</v>
      </c>
      <c r="P137" s="7">
        <v>0</v>
      </c>
      <c r="Q137" s="7">
        <v>0</v>
      </c>
      <c r="R137" s="7">
        <v>1</v>
      </c>
      <c r="S137" s="7">
        <v>2</v>
      </c>
      <c r="T137">
        <v>7</v>
      </c>
      <c r="U137" s="1">
        <v>16</v>
      </c>
      <c r="V137">
        <v>0</v>
      </c>
      <c r="W137">
        <v>0</v>
      </c>
      <c r="X137">
        <v>1</v>
      </c>
      <c r="Y137">
        <v>0.4</v>
      </c>
      <c r="Z137">
        <v>23</v>
      </c>
      <c r="AA137">
        <v>0</v>
      </c>
      <c r="AB137">
        <v>0</v>
      </c>
      <c r="AC137">
        <v>0</v>
      </c>
      <c r="AD137">
        <v>1</v>
      </c>
      <c r="AE137">
        <v>0.02</v>
      </c>
      <c r="AF137">
        <v>15</v>
      </c>
      <c r="AG137">
        <v>0</v>
      </c>
      <c r="AH137">
        <v>0</v>
      </c>
      <c r="AI137">
        <v>0</v>
      </c>
      <c r="AJ137">
        <v>1</v>
      </c>
      <c r="AK137">
        <v>0.01</v>
      </c>
      <c r="AL137">
        <v>16</v>
      </c>
      <c r="AM137">
        <v>0</v>
      </c>
      <c r="AN137">
        <v>0</v>
      </c>
      <c r="AO137">
        <v>0</v>
      </c>
      <c r="AP137">
        <v>1</v>
      </c>
      <c r="AQ137">
        <v>5.0000000000000001E-3</v>
      </c>
      <c r="AX137">
        <v>7</v>
      </c>
      <c r="AY137" s="1">
        <v>8</v>
      </c>
      <c r="AZ137">
        <v>0</v>
      </c>
      <c r="BA137">
        <v>0</v>
      </c>
      <c r="BB137">
        <v>1</v>
      </c>
      <c r="BC137" s="7">
        <v>0.56000000000000005</v>
      </c>
      <c r="BP137">
        <v>36</v>
      </c>
      <c r="BQ137">
        <v>0</v>
      </c>
      <c r="BR137">
        <v>0</v>
      </c>
      <c r="BS137">
        <v>0</v>
      </c>
      <c r="BT137">
        <v>5</v>
      </c>
      <c r="BU137">
        <v>1.8</v>
      </c>
    </row>
    <row r="138" spans="1:73" x14ac:dyDescent="0.15">
      <c r="A138" s="11">
        <v>705</v>
      </c>
      <c r="B138">
        <v>7</v>
      </c>
      <c r="C138" s="1">
        <v>0</v>
      </c>
      <c r="D138">
        <v>3</v>
      </c>
      <c r="E138">
        <v>3</v>
      </c>
      <c r="F138">
        <v>1</v>
      </c>
      <c r="G138" s="7">
        <v>0.16</v>
      </c>
      <c r="H138">
        <v>12</v>
      </c>
      <c r="I138">
        <v>0</v>
      </c>
      <c r="J138">
        <v>0</v>
      </c>
      <c r="K138">
        <v>0</v>
      </c>
      <c r="L138">
        <v>1</v>
      </c>
      <c r="M138">
        <v>1.6</v>
      </c>
      <c r="N138" s="7">
        <v>9</v>
      </c>
      <c r="O138" s="7">
        <v>0</v>
      </c>
      <c r="P138" s="7">
        <v>0</v>
      </c>
      <c r="Q138" s="7">
        <v>0</v>
      </c>
      <c r="R138" s="7">
        <v>1</v>
      </c>
      <c r="S138" s="7">
        <v>2</v>
      </c>
      <c r="T138">
        <v>7</v>
      </c>
      <c r="U138" s="1">
        <v>0</v>
      </c>
      <c r="V138">
        <v>2</v>
      </c>
      <c r="W138">
        <v>2</v>
      </c>
      <c r="X138">
        <v>1</v>
      </c>
      <c r="Y138">
        <v>0.4</v>
      </c>
      <c r="Z138">
        <v>23</v>
      </c>
      <c r="AA138">
        <v>0</v>
      </c>
      <c r="AB138">
        <v>0</v>
      </c>
      <c r="AC138">
        <v>0</v>
      </c>
      <c r="AD138">
        <v>1</v>
      </c>
      <c r="AE138">
        <v>0.02</v>
      </c>
      <c r="AF138">
        <v>15</v>
      </c>
      <c r="AG138">
        <v>0</v>
      </c>
      <c r="AH138">
        <v>0</v>
      </c>
      <c r="AI138">
        <v>0</v>
      </c>
      <c r="AJ138">
        <v>1</v>
      </c>
      <c r="AK138">
        <v>0.01</v>
      </c>
      <c r="AL138">
        <v>16</v>
      </c>
      <c r="AM138">
        <v>0</v>
      </c>
      <c r="AN138">
        <v>0</v>
      </c>
      <c r="AO138">
        <v>0</v>
      </c>
      <c r="AP138">
        <v>1</v>
      </c>
      <c r="AQ138">
        <v>5.0000000000000001E-3</v>
      </c>
      <c r="AR138">
        <v>6</v>
      </c>
      <c r="AS138">
        <v>2</v>
      </c>
      <c r="AT138">
        <v>2</v>
      </c>
      <c r="AU138">
        <v>5</v>
      </c>
      <c r="AV138">
        <v>1</v>
      </c>
      <c r="AW138">
        <v>0.05</v>
      </c>
      <c r="AX138">
        <v>7</v>
      </c>
      <c r="AY138" s="1">
        <v>0</v>
      </c>
      <c r="AZ138">
        <v>1</v>
      </c>
      <c r="BA138">
        <v>2</v>
      </c>
      <c r="BB138">
        <v>1</v>
      </c>
      <c r="BC138" s="7">
        <v>0.56000000000000005</v>
      </c>
      <c r="BP138">
        <v>36</v>
      </c>
      <c r="BQ138">
        <v>0</v>
      </c>
      <c r="BR138">
        <v>0</v>
      </c>
      <c r="BS138">
        <v>0</v>
      </c>
      <c r="BT138">
        <v>5</v>
      </c>
      <c r="BU138">
        <v>1.8</v>
      </c>
    </row>
    <row r="139" spans="1:73" x14ac:dyDescent="0.15">
      <c r="A139" s="11">
        <v>706</v>
      </c>
      <c r="B139">
        <v>7</v>
      </c>
      <c r="C139" s="1">
        <v>21</v>
      </c>
      <c r="D139">
        <v>0</v>
      </c>
      <c r="E139">
        <v>0</v>
      </c>
      <c r="F139">
        <v>1</v>
      </c>
      <c r="G139" s="7">
        <v>0.16</v>
      </c>
      <c r="H139">
        <v>12</v>
      </c>
      <c r="I139">
        <v>0</v>
      </c>
      <c r="J139">
        <v>0</v>
      </c>
      <c r="K139">
        <v>0</v>
      </c>
      <c r="L139">
        <v>1</v>
      </c>
      <c r="M139">
        <v>1.6</v>
      </c>
      <c r="N139" s="7">
        <v>9</v>
      </c>
      <c r="O139" s="7">
        <v>0</v>
      </c>
      <c r="P139" s="7">
        <v>0</v>
      </c>
      <c r="Q139" s="7">
        <v>0</v>
      </c>
      <c r="R139" s="7">
        <v>1</v>
      </c>
      <c r="S139" s="7">
        <v>2</v>
      </c>
      <c r="T139">
        <v>7</v>
      </c>
      <c r="U139" s="1">
        <v>13</v>
      </c>
      <c r="V139">
        <v>0</v>
      </c>
      <c r="W139">
        <v>0</v>
      </c>
      <c r="X139">
        <v>1</v>
      </c>
      <c r="Y139">
        <v>0.4</v>
      </c>
      <c r="Z139">
        <v>23</v>
      </c>
      <c r="AA139">
        <v>0</v>
      </c>
      <c r="AB139">
        <v>0</v>
      </c>
      <c r="AC139">
        <v>0</v>
      </c>
      <c r="AD139">
        <v>1</v>
      </c>
      <c r="AE139">
        <v>0.02</v>
      </c>
      <c r="AF139">
        <v>15</v>
      </c>
      <c r="AG139">
        <v>0</v>
      </c>
      <c r="AH139">
        <v>0</v>
      </c>
      <c r="AI139">
        <v>0</v>
      </c>
      <c r="AJ139">
        <v>1</v>
      </c>
      <c r="AK139">
        <v>0.01</v>
      </c>
      <c r="AL139">
        <v>16</v>
      </c>
      <c r="AM139">
        <v>0</v>
      </c>
      <c r="AN139">
        <v>0</v>
      </c>
      <c r="AO139">
        <v>0</v>
      </c>
      <c r="AP139">
        <v>1</v>
      </c>
      <c r="AQ139">
        <v>5.0000000000000001E-3</v>
      </c>
      <c r="AX139">
        <v>7</v>
      </c>
      <c r="AY139" s="1">
        <v>5</v>
      </c>
      <c r="AZ139">
        <v>0</v>
      </c>
      <c r="BA139">
        <v>0</v>
      </c>
      <c r="BB139">
        <v>1</v>
      </c>
      <c r="BC139" s="7">
        <v>0.56000000000000005</v>
      </c>
      <c r="BP139">
        <v>36</v>
      </c>
      <c r="BQ139">
        <v>0</v>
      </c>
      <c r="BR139">
        <v>0</v>
      </c>
      <c r="BS139">
        <v>0</v>
      </c>
      <c r="BT139">
        <v>5</v>
      </c>
      <c r="BU139">
        <v>1.8</v>
      </c>
    </row>
    <row r="140" spans="1:73" x14ac:dyDescent="0.15">
      <c r="A140" s="11">
        <v>707</v>
      </c>
      <c r="B140">
        <v>7</v>
      </c>
      <c r="C140" s="1">
        <v>22</v>
      </c>
      <c r="D140">
        <v>0</v>
      </c>
      <c r="E140">
        <v>0</v>
      </c>
      <c r="F140">
        <v>1</v>
      </c>
      <c r="G140" s="7">
        <v>0.16</v>
      </c>
      <c r="H140">
        <v>12</v>
      </c>
      <c r="I140">
        <v>0</v>
      </c>
      <c r="J140">
        <v>0</v>
      </c>
      <c r="K140">
        <v>0</v>
      </c>
      <c r="L140">
        <v>1</v>
      </c>
      <c r="M140">
        <v>1.6</v>
      </c>
      <c r="N140" s="7">
        <v>9</v>
      </c>
      <c r="O140" s="7">
        <v>0</v>
      </c>
      <c r="P140" s="7">
        <v>0</v>
      </c>
      <c r="Q140" s="7">
        <v>0</v>
      </c>
      <c r="R140" s="7">
        <v>1</v>
      </c>
      <c r="S140" s="7">
        <v>2</v>
      </c>
      <c r="T140">
        <v>7</v>
      </c>
      <c r="U140" s="1">
        <v>14</v>
      </c>
      <c r="V140">
        <v>0</v>
      </c>
      <c r="W140">
        <v>0</v>
      </c>
      <c r="X140">
        <v>1</v>
      </c>
      <c r="Y140">
        <v>0.4</v>
      </c>
      <c r="Z140">
        <v>23</v>
      </c>
      <c r="AA140">
        <v>0</v>
      </c>
      <c r="AB140">
        <v>0</v>
      </c>
      <c r="AC140">
        <v>0</v>
      </c>
      <c r="AD140">
        <v>1</v>
      </c>
      <c r="AE140">
        <v>0.02</v>
      </c>
      <c r="AF140">
        <v>15</v>
      </c>
      <c r="AG140">
        <v>0</v>
      </c>
      <c r="AH140">
        <v>0</v>
      </c>
      <c r="AI140">
        <v>0</v>
      </c>
      <c r="AJ140">
        <v>1</v>
      </c>
      <c r="AK140">
        <v>0.01</v>
      </c>
      <c r="AL140">
        <v>16</v>
      </c>
      <c r="AM140">
        <v>0</v>
      </c>
      <c r="AN140">
        <v>0</v>
      </c>
      <c r="AO140">
        <v>0</v>
      </c>
      <c r="AP140">
        <v>1</v>
      </c>
      <c r="AQ140">
        <v>5.0000000000000001E-3</v>
      </c>
      <c r="AX140">
        <v>7</v>
      </c>
      <c r="AY140" s="1">
        <v>6</v>
      </c>
      <c r="AZ140">
        <v>0</v>
      </c>
      <c r="BA140">
        <v>0</v>
      </c>
      <c r="BB140">
        <v>1</v>
      </c>
      <c r="BC140" s="7">
        <v>0.56000000000000005</v>
      </c>
      <c r="BP140">
        <v>36</v>
      </c>
      <c r="BQ140">
        <v>0</v>
      </c>
      <c r="BR140">
        <v>0</v>
      </c>
      <c r="BS140">
        <v>0</v>
      </c>
      <c r="BT140">
        <v>5</v>
      </c>
      <c r="BU140">
        <v>1.8</v>
      </c>
    </row>
    <row r="141" spans="1:73" x14ac:dyDescent="0.15">
      <c r="A141" s="11">
        <v>708</v>
      </c>
      <c r="B141">
        <v>7</v>
      </c>
      <c r="C141" s="1">
        <v>23</v>
      </c>
      <c r="D141">
        <v>0</v>
      </c>
      <c r="E141">
        <v>0</v>
      </c>
      <c r="F141">
        <v>1</v>
      </c>
      <c r="G141" s="7">
        <v>0.16</v>
      </c>
      <c r="H141">
        <v>12</v>
      </c>
      <c r="I141">
        <v>0</v>
      </c>
      <c r="J141">
        <v>0</v>
      </c>
      <c r="K141">
        <v>0</v>
      </c>
      <c r="L141">
        <v>1</v>
      </c>
      <c r="M141">
        <v>1.6</v>
      </c>
      <c r="N141" s="7">
        <v>9</v>
      </c>
      <c r="O141" s="7">
        <v>0</v>
      </c>
      <c r="P141" s="7">
        <v>0</v>
      </c>
      <c r="Q141" s="7">
        <v>0</v>
      </c>
      <c r="R141" s="7">
        <v>1</v>
      </c>
      <c r="S141" s="7">
        <v>2</v>
      </c>
      <c r="T141">
        <v>7</v>
      </c>
      <c r="U141" s="1">
        <v>15</v>
      </c>
      <c r="V141">
        <v>0</v>
      </c>
      <c r="W141">
        <v>0</v>
      </c>
      <c r="X141">
        <v>1</v>
      </c>
      <c r="Y141">
        <v>0.4</v>
      </c>
      <c r="Z141">
        <v>23</v>
      </c>
      <c r="AA141">
        <v>0</v>
      </c>
      <c r="AB141">
        <v>0</v>
      </c>
      <c r="AC141">
        <v>0</v>
      </c>
      <c r="AD141">
        <v>1</v>
      </c>
      <c r="AE141">
        <v>0.02</v>
      </c>
      <c r="AF141">
        <v>15</v>
      </c>
      <c r="AG141">
        <v>0</v>
      </c>
      <c r="AH141">
        <v>0</v>
      </c>
      <c r="AI141">
        <v>0</v>
      </c>
      <c r="AJ141">
        <v>1</v>
      </c>
      <c r="AK141">
        <v>0.01</v>
      </c>
      <c r="AL141">
        <v>16</v>
      </c>
      <c r="AM141">
        <v>0</v>
      </c>
      <c r="AN141">
        <v>0</v>
      </c>
      <c r="AO141">
        <v>0</v>
      </c>
      <c r="AP141">
        <v>1</v>
      </c>
      <c r="AQ141">
        <v>5.0000000000000001E-3</v>
      </c>
      <c r="AX141">
        <v>7</v>
      </c>
      <c r="AY141" s="1">
        <v>7</v>
      </c>
      <c r="AZ141">
        <v>0</v>
      </c>
      <c r="BA141">
        <v>0</v>
      </c>
      <c r="BB141">
        <v>1</v>
      </c>
      <c r="BC141" s="7">
        <v>0.56000000000000005</v>
      </c>
      <c r="BP141">
        <v>36</v>
      </c>
      <c r="BQ141">
        <v>0</v>
      </c>
      <c r="BR141">
        <v>0</v>
      </c>
      <c r="BS141">
        <v>0</v>
      </c>
      <c r="BT141">
        <v>5</v>
      </c>
      <c r="BU141">
        <v>1.8</v>
      </c>
    </row>
    <row r="142" spans="1:73" x14ac:dyDescent="0.15">
      <c r="A142" s="11">
        <v>709</v>
      </c>
      <c r="B142">
        <v>7</v>
      </c>
      <c r="C142" s="1">
        <v>24</v>
      </c>
      <c r="D142">
        <v>0</v>
      </c>
      <c r="E142">
        <v>0</v>
      </c>
      <c r="F142">
        <v>1</v>
      </c>
      <c r="G142" s="7">
        <v>0.16</v>
      </c>
      <c r="H142">
        <v>12</v>
      </c>
      <c r="I142">
        <v>0</v>
      </c>
      <c r="J142">
        <v>0</v>
      </c>
      <c r="K142">
        <v>0</v>
      </c>
      <c r="L142">
        <v>1</v>
      </c>
      <c r="M142">
        <v>1.6</v>
      </c>
      <c r="N142" s="7">
        <v>9</v>
      </c>
      <c r="O142" s="7">
        <v>0</v>
      </c>
      <c r="P142" s="7">
        <v>0</v>
      </c>
      <c r="Q142" s="7">
        <v>0</v>
      </c>
      <c r="R142" s="7">
        <v>1</v>
      </c>
      <c r="S142" s="7">
        <v>2</v>
      </c>
      <c r="T142">
        <v>7</v>
      </c>
      <c r="U142" s="1">
        <v>16</v>
      </c>
      <c r="V142">
        <v>0</v>
      </c>
      <c r="W142">
        <v>0</v>
      </c>
      <c r="X142">
        <v>1</v>
      </c>
      <c r="Y142">
        <v>0.4</v>
      </c>
      <c r="Z142">
        <v>23</v>
      </c>
      <c r="AA142">
        <v>0</v>
      </c>
      <c r="AB142">
        <v>0</v>
      </c>
      <c r="AC142">
        <v>0</v>
      </c>
      <c r="AD142">
        <v>1</v>
      </c>
      <c r="AE142">
        <v>0.02</v>
      </c>
      <c r="AF142">
        <v>15</v>
      </c>
      <c r="AG142">
        <v>0</v>
      </c>
      <c r="AH142">
        <v>0</v>
      </c>
      <c r="AI142">
        <v>0</v>
      </c>
      <c r="AJ142">
        <v>1</v>
      </c>
      <c r="AK142">
        <v>0.01</v>
      </c>
      <c r="AL142">
        <v>16</v>
      </c>
      <c r="AM142">
        <v>0</v>
      </c>
      <c r="AN142">
        <v>0</v>
      </c>
      <c r="AO142">
        <v>0</v>
      </c>
      <c r="AP142">
        <v>1</v>
      </c>
      <c r="AQ142">
        <v>5.0000000000000001E-3</v>
      </c>
      <c r="AX142">
        <v>7</v>
      </c>
      <c r="AY142" s="1">
        <v>8</v>
      </c>
      <c r="AZ142">
        <v>0</v>
      </c>
      <c r="BA142">
        <v>0</v>
      </c>
      <c r="BB142">
        <v>1</v>
      </c>
      <c r="BC142" s="7">
        <v>0.56000000000000005</v>
      </c>
      <c r="BP142">
        <v>36</v>
      </c>
      <c r="BQ142">
        <v>0</v>
      </c>
      <c r="BR142">
        <v>0</v>
      </c>
      <c r="BS142">
        <v>0</v>
      </c>
      <c r="BT142">
        <v>5</v>
      </c>
      <c r="BU142">
        <v>1.8</v>
      </c>
    </row>
    <row r="143" spans="1:73" x14ac:dyDescent="0.15">
      <c r="A143" s="11">
        <v>710</v>
      </c>
      <c r="B143">
        <v>7</v>
      </c>
      <c r="C143" s="1">
        <v>0</v>
      </c>
      <c r="D143">
        <v>3</v>
      </c>
      <c r="E143">
        <v>3</v>
      </c>
      <c r="F143">
        <v>1</v>
      </c>
      <c r="G143" s="7">
        <v>0.16</v>
      </c>
      <c r="H143">
        <v>12</v>
      </c>
      <c r="I143">
        <v>0</v>
      </c>
      <c r="J143">
        <v>0</v>
      </c>
      <c r="K143">
        <v>0</v>
      </c>
      <c r="L143">
        <v>1</v>
      </c>
      <c r="M143">
        <v>1.6</v>
      </c>
      <c r="N143" s="7">
        <v>9</v>
      </c>
      <c r="O143" s="7">
        <v>0</v>
      </c>
      <c r="P143" s="7">
        <v>0</v>
      </c>
      <c r="Q143" s="7">
        <v>0</v>
      </c>
      <c r="R143" s="7">
        <v>1</v>
      </c>
      <c r="S143" s="7">
        <v>2</v>
      </c>
      <c r="T143">
        <v>7</v>
      </c>
      <c r="U143" s="1">
        <v>0</v>
      </c>
      <c r="V143">
        <v>2</v>
      </c>
      <c r="W143">
        <v>2</v>
      </c>
      <c r="X143">
        <v>1</v>
      </c>
      <c r="Y143">
        <v>0.4</v>
      </c>
      <c r="Z143">
        <v>23</v>
      </c>
      <c r="AA143">
        <v>0</v>
      </c>
      <c r="AB143">
        <v>0</v>
      </c>
      <c r="AC143">
        <v>0</v>
      </c>
      <c r="AD143">
        <v>1</v>
      </c>
      <c r="AE143">
        <v>0.02</v>
      </c>
      <c r="AF143">
        <v>15</v>
      </c>
      <c r="AG143">
        <v>0</v>
      </c>
      <c r="AH143">
        <v>0</v>
      </c>
      <c r="AI143">
        <v>0</v>
      </c>
      <c r="AJ143">
        <v>1</v>
      </c>
      <c r="AK143">
        <v>0.01</v>
      </c>
      <c r="AL143">
        <v>16</v>
      </c>
      <c r="AM143">
        <v>0</v>
      </c>
      <c r="AN143">
        <v>0</v>
      </c>
      <c r="AO143">
        <v>0</v>
      </c>
      <c r="AP143">
        <v>1</v>
      </c>
      <c r="AQ143">
        <v>5.0000000000000001E-3</v>
      </c>
      <c r="AR143">
        <v>6</v>
      </c>
      <c r="AS143">
        <v>2</v>
      </c>
      <c r="AT143">
        <v>3</v>
      </c>
      <c r="AU143">
        <v>5</v>
      </c>
      <c r="AV143">
        <v>1</v>
      </c>
      <c r="AW143">
        <v>0.05</v>
      </c>
      <c r="AX143">
        <v>7</v>
      </c>
      <c r="AY143" s="1">
        <v>0</v>
      </c>
      <c r="AZ143">
        <v>1</v>
      </c>
      <c r="BA143">
        <v>2</v>
      </c>
      <c r="BB143">
        <v>1</v>
      </c>
      <c r="BC143" s="7">
        <v>0.56000000000000005</v>
      </c>
      <c r="BP143">
        <v>36</v>
      </c>
      <c r="BQ143">
        <v>0</v>
      </c>
      <c r="BR143">
        <v>0</v>
      </c>
      <c r="BS143">
        <v>0</v>
      </c>
      <c r="BT143">
        <v>5</v>
      </c>
      <c r="BU143">
        <v>1.8</v>
      </c>
    </row>
    <row r="144" spans="1:73" x14ac:dyDescent="0.15">
      <c r="A144" s="11">
        <v>711</v>
      </c>
      <c r="B144">
        <v>7</v>
      </c>
      <c r="C144" s="1">
        <v>21</v>
      </c>
      <c r="D144">
        <v>0</v>
      </c>
      <c r="E144">
        <v>0</v>
      </c>
      <c r="F144">
        <v>1</v>
      </c>
      <c r="G144" s="7">
        <v>0.16</v>
      </c>
      <c r="H144">
        <v>12</v>
      </c>
      <c r="I144">
        <v>0</v>
      </c>
      <c r="J144">
        <v>0</v>
      </c>
      <c r="K144">
        <v>0</v>
      </c>
      <c r="L144">
        <v>1</v>
      </c>
      <c r="M144">
        <v>1.6</v>
      </c>
      <c r="N144" s="7">
        <v>9</v>
      </c>
      <c r="O144" s="7">
        <v>0</v>
      </c>
      <c r="P144" s="7">
        <v>0</v>
      </c>
      <c r="Q144" s="7">
        <v>0</v>
      </c>
      <c r="R144" s="7">
        <v>1</v>
      </c>
      <c r="S144" s="7">
        <v>2</v>
      </c>
      <c r="T144">
        <v>7</v>
      </c>
      <c r="U144" s="1">
        <v>13</v>
      </c>
      <c r="V144">
        <v>0</v>
      </c>
      <c r="W144">
        <v>0</v>
      </c>
      <c r="X144">
        <v>1</v>
      </c>
      <c r="Y144">
        <v>0.4</v>
      </c>
      <c r="Z144">
        <v>23</v>
      </c>
      <c r="AA144">
        <v>0</v>
      </c>
      <c r="AB144">
        <v>0</v>
      </c>
      <c r="AC144">
        <v>0</v>
      </c>
      <c r="AD144">
        <v>1</v>
      </c>
      <c r="AE144">
        <v>0.02</v>
      </c>
      <c r="AF144">
        <v>15</v>
      </c>
      <c r="AG144">
        <v>0</v>
      </c>
      <c r="AH144">
        <v>0</v>
      </c>
      <c r="AI144">
        <v>0</v>
      </c>
      <c r="AJ144">
        <v>1</v>
      </c>
      <c r="AK144">
        <v>0.01</v>
      </c>
      <c r="AL144">
        <v>16</v>
      </c>
      <c r="AM144">
        <v>0</v>
      </c>
      <c r="AN144">
        <v>0</v>
      </c>
      <c r="AO144">
        <v>0</v>
      </c>
      <c r="AP144">
        <v>1</v>
      </c>
      <c r="AQ144">
        <v>5.0000000000000001E-3</v>
      </c>
      <c r="AX144">
        <v>7</v>
      </c>
      <c r="AY144" s="1">
        <v>5</v>
      </c>
      <c r="AZ144">
        <v>0</v>
      </c>
      <c r="BA144">
        <v>0</v>
      </c>
      <c r="BB144">
        <v>1</v>
      </c>
      <c r="BC144" s="7">
        <v>0.56000000000000005</v>
      </c>
      <c r="BP144">
        <v>36</v>
      </c>
      <c r="BQ144">
        <v>0</v>
      </c>
      <c r="BR144">
        <v>0</v>
      </c>
      <c r="BS144">
        <v>0</v>
      </c>
      <c r="BT144">
        <v>5</v>
      </c>
      <c r="BU144">
        <v>1.8</v>
      </c>
    </row>
    <row r="145" spans="1:73" x14ac:dyDescent="0.15">
      <c r="A145" s="11">
        <v>712</v>
      </c>
      <c r="B145">
        <v>7</v>
      </c>
      <c r="C145" s="1">
        <v>22</v>
      </c>
      <c r="D145">
        <v>0</v>
      </c>
      <c r="E145">
        <v>0</v>
      </c>
      <c r="F145">
        <v>1</v>
      </c>
      <c r="G145" s="7">
        <v>0.16</v>
      </c>
      <c r="H145">
        <v>12</v>
      </c>
      <c r="I145">
        <v>0</v>
      </c>
      <c r="J145">
        <v>0</v>
      </c>
      <c r="K145">
        <v>0</v>
      </c>
      <c r="L145">
        <v>1</v>
      </c>
      <c r="M145">
        <v>1.6</v>
      </c>
      <c r="N145" s="7">
        <v>9</v>
      </c>
      <c r="O145" s="7">
        <v>0</v>
      </c>
      <c r="P145" s="7">
        <v>0</v>
      </c>
      <c r="Q145" s="7">
        <v>0</v>
      </c>
      <c r="R145" s="7">
        <v>1</v>
      </c>
      <c r="S145" s="7">
        <v>2</v>
      </c>
      <c r="T145">
        <v>7</v>
      </c>
      <c r="U145" s="1">
        <v>14</v>
      </c>
      <c r="V145">
        <v>0</v>
      </c>
      <c r="W145">
        <v>0</v>
      </c>
      <c r="X145">
        <v>1</v>
      </c>
      <c r="Y145">
        <v>0.4</v>
      </c>
      <c r="Z145">
        <v>23</v>
      </c>
      <c r="AA145">
        <v>0</v>
      </c>
      <c r="AB145">
        <v>0</v>
      </c>
      <c r="AC145">
        <v>0</v>
      </c>
      <c r="AD145">
        <v>1</v>
      </c>
      <c r="AE145">
        <v>0.02</v>
      </c>
      <c r="AF145">
        <v>15</v>
      </c>
      <c r="AG145">
        <v>0</v>
      </c>
      <c r="AH145">
        <v>0</v>
      </c>
      <c r="AI145">
        <v>0</v>
      </c>
      <c r="AJ145">
        <v>1</v>
      </c>
      <c r="AK145">
        <v>0.01</v>
      </c>
      <c r="AL145">
        <v>16</v>
      </c>
      <c r="AM145">
        <v>0</v>
      </c>
      <c r="AN145">
        <v>0</v>
      </c>
      <c r="AO145">
        <v>0</v>
      </c>
      <c r="AP145">
        <v>1</v>
      </c>
      <c r="AQ145">
        <v>5.0000000000000001E-3</v>
      </c>
      <c r="AX145">
        <v>7</v>
      </c>
      <c r="AY145" s="1">
        <v>6</v>
      </c>
      <c r="AZ145">
        <v>0</v>
      </c>
      <c r="BA145">
        <v>0</v>
      </c>
      <c r="BB145">
        <v>1</v>
      </c>
      <c r="BC145" s="7">
        <v>0.56000000000000005</v>
      </c>
      <c r="BP145">
        <v>36</v>
      </c>
      <c r="BQ145">
        <v>0</v>
      </c>
      <c r="BR145">
        <v>0</v>
      </c>
      <c r="BS145">
        <v>0</v>
      </c>
      <c r="BT145">
        <v>5</v>
      </c>
      <c r="BU145">
        <v>1.8</v>
      </c>
    </row>
    <row r="146" spans="1:73" x14ac:dyDescent="0.15">
      <c r="A146" s="11">
        <v>713</v>
      </c>
      <c r="B146">
        <v>7</v>
      </c>
      <c r="C146" s="1">
        <v>23</v>
      </c>
      <c r="D146">
        <v>0</v>
      </c>
      <c r="E146">
        <v>0</v>
      </c>
      <c r="F146">
        <v>1</v>
      </c>
      <c r="G146" s="7">
        <v>0.16</v>
      </c>
      <c r="H146">
        <v>12</v>
      </c>
      <c r="I146">
        <v>0</v>
      </c>
      <c r="J146">
        <v>0</v>
      </c>
      <c r="K146">
        <v>0</v>
      </c>
      <c r="L146">
        <v>1</v>
      </c>
      <c r="M146">
        <v>1.6</v>
      </c>
      <c r="N146" s="7">
        <v>9</v>
      </c>
      <c r="O146" s="7">
        <v>0</v>
      </c>
      <c r="P146" s="7">
        <v>0</v>
      </c>
      <c r="Q146" s="7">
        <v>0</v>
      </c>
      <c r="R146" s="7">
        <v>1</v>
      </c>
      <c r="S146" s="7">
        <v>2</v>
      </c>
      <c r="T146">
        <v>7</v>
      </c>
      <c r="U146" s="1">
        <v>15</v>
      </c>
      <c r="V146">
        <v>0</v>
      </c>
      <c r="W146">
        <v>0</v>
      </c>
      <c r="X146">
        <v>1</v>
      </c>
      <c r="Y146">
        <v>0.4</v>
      </c>
      <c r="Z146">
        <v>23</v>
      </c>
      <c r="AA146">
        <v>0</v>
      </c>
      <c r="AB146">
        <v>0</v>
      </c>
      <c r="AC146">
        <v>0</v>
      </c>
      <c r="AD146">
        <v>1</v>
      </c>
      <c r="AE146">
        <v>0.02</v>
      </c>
      <c r="AF146">
        <v>15</v>
      </c>
      <c r="AG146">
        <v>0</v>
      </c>
      <c r="AH146">
        <v>0</v>
      </c>
      <c r="AI146">
        <v>0</v>
      </c>
      <c r="AJ146">
        <v>1</v>
      </c>
      <c r="AK146">
        <v>0.01</v>
      </c>
      <c r="AL146">
        <v>16</v>
      </c>
      <c r="AM146">
        <v>0</v>
      </c>
      <c r="AN146">
        <v>0</v>
      </c>
      <c r="AO146">
        <v>0</v>
      </c>
      <c r="AP146">
        <v>1</v>
      </c>
      <c r="AQ146">
        <v>5.0000000000000001E-3</v>
      </c>
      <c r="AX146">
        <v>7</v>
      </c>
      <c r="AY146" s="1">
        <v>7</v>
      </c>
      <c r="AZ146">
        <v>0</v>
      </c>
      <c r="BA146">
        <v>0</v>
      </c>
      <c r="BB146">
        <v>1</v>
      </c>
      <c r="BC146" s="7">
        <v>0.56000000000000005</v>
      </c>
      <c r="BP146">
        <v>36</v>
      </c>
      <c r="BQ146">
        <v>0</v>
      </c>
      <c r="BR146">
        <v>0</v>
      </c>
      <c r="BS146">
        <v>0</v>
      </c>
      <c r="BT146">
        <v>5</v>
      </c>
      <c r="BU146">
        <v>1.8</v>
      </c>
    </row>
    <row r="147" spans="1:73" x14ac:dyDescent="0.15">
      <c r="A147" s="11">
        <v>714</v>
      </c>
      <c r="B147">
        <v>7</v>
      </c>
      <c r="C147" s="1">
        <v>24</v>
      </c>
      <c r="D147">
        <v>0</v>
      </c>
      <c r="E147">
        <v>0</v>
      </c>
      <c r="F147">
        <v>1</v>
      </c>
      <c r="G147" s="7">
        <v>0.16</v>
      </c>
      <c r="H147">
        <v>12</v>
      </c>
      <c r="I147">
        <v>0</v>
      </c>
      <c r="J147">
        <v>0</v>
      </c>
      <c r="K147">
        <v>0</v>
      </c>
      <c r="L147">
        <v>1</v>
      </c>
      <c r="M147">
        <v>1.6</v>
      </c>
      <c r="N147" s="7">
        <v>9</v>
      </c>
      <c r="O147" s="7">
        <v>0</v>
      </c>
      <c r="P147" s="7">
        <v>0</v>
      </c>
      <c r="Q147" s="7">
        <v>0</v>
      </c>
      <c r="R147" s="7">
        <v>1</v>
      </c>
      <c r="S147" s="7">
        <v>2</v>
      </c>
      <c r="T147">
        <v>7</v>
      </c>
      <c r="U147" s="1">
        <v>16</v>
      </c>
      <c r="V147">
        <v>0</v>
      </c>
      <c r="W147">
        <v>0</v>
      </c>
      <c r="X147">
        <v>1</v>
      </c>
      <c r="Y147">
        <v>0.4</v>
      </c>
      <c r="Z147">
        <v>23</v>
      </c>
      <c r="AA147">
        <v>0</v>
      </c>
      <c r="AB147">
        <v>0</v>
      </c>
      <c r="AC147">
        <v>0</v>
      </c>
      <c r="AD147">
        <v>1</v>
      </c>
      <c r="AE147">
        <v>0.02</v>
      </c>
      <c r="AF147">
        <v>15</v>
      </c>
      <c r="AG147">
        <v>0</v>
      </c>
      <c r="AH147">
        <v>0</v>
      </c>
      <c r="AI147">
        <v>0</v>
      </c>
      <c r="AJ147">
        <v>1</v>
      </c>
      <c r="AK147">
        <v>0.01</v>
      </c>
      <c r="AL147">
        <v>16</v>
      </c>
      <c r="AM147">
        <v>0</v>
      </c>
      <c r="AN147">
        <v>0</v>
      </c>
      <c r="AO147">
        <v>0</v>
      </c>
      <c r="AP147">
        <v>1</v>
      </c>
      <c r="AQ147">
        <v>5.0000000000000001E-3</v>
      </c>
      <c r="AX147">
        <v>7</v>
      </c>
      <c r="AY147" s="1">
        <v>8</v>
      </c>
      <c r="AZ147">
        <v>0</v>
      </c>
      <c r="BA147">
        <v>0</v>
      </c>
      <c r="BB147">
        <v>1</v>
      </c>
      <c r="BC147" s="7">
        <v>0.56000000000000005</v>
      </c>
      <c r="BP147">
        <v>36</v>
      </c>
      <c r="BQ147">
        <v>0</v>
      </c>
      <c r="BR147">
        <v>0</v>
      </c>
      <c r="BS147">
        <v>0</v>
      </c>
      <c r="BT147">
        <v>5</v>
      </c>
      <c r="BU147">
        <v>1.8</v>
      </c>
    </row>
    <row r="148" spans="1:73" x14ac:dyDescent="0.15">
      <c r="A148" s="11">
        <v>715</v>
      </c>
      <c r="B148">
        <v>7</v>
      </c>
      <c r="C148" s="1">
        <v>0</v>
      </c>
      <c r="D148">
        <v>3</v>
      </c>
      <c r="E148">
        <v>3</v>
      </c>
      <c r="F148">
        <v>1</v>
      </c>
      <c r="G148" s="7">
        <v>0.16</v>
      </c>
      <c r="H148">
        <v>12</v>
      </c>
      <c r="I148">
        <v>0</v>
      </c>
      <c r="J148">
        <v>0</v>
      </c>
      <c r="K148">
        <v>0</v>
      </c>
      <c r="L148">
        <v>1</v>
      </c>
      <c r="M148">
        <v>1.6</v>
      </c>
      <c r="N148" s="7">
        <v>9</v>
      </c>
      <c r="O148" s="7">
        <v>0</v>
      </c>
      <c r="P148" s="7">
        <v>0</v>
      </c>
      <c r="Q148" s="7">
        <v>0</v>
      </c>
      <c r="R148" s="7">
        <v>1</v>
      </c>
      <c r="S148" s="7">
        <v>2</v>
      </c>
      <c r="T148">
        <v>7</v>
      </c>
      <c r="U148" s="1">
        <v>0</v>
      </c>
      <c r="V148">
        <v>2</v>
      </c>
      <c r="W148">
        <v>2</v>
      </c>
      <c r="X148">
        <v>1</v>
      </c>
      <c r="Y148">
        <v>0.4</v>
      </c>
      <c r="Z148">
        <v>23</v>
      </c>
      <c r="AA148">
        <v>0</v>
      </c>
      <c r="AB148">
        <v>0</v>
      </c>
      <c r="AC148">
        <v>0</v>
      </c>
      <c r="AD148">
        <v>1</v>
      </c>
      <c r="AE148">
        <v>0.02</v>
      </c>
      <c r="AF148">
        <v>15</v>
      </c>
      <c r="AG148">
        <v>0</v>
      </c>
      <c r="AH148">
        <v>0</v>
      </c>
      <c r="AI148">
        <v>0</v>
      </c>
      <c r="AJ148">
        <v>1</v>
      </c>
      <c r="AK148">
        <v>0.01</v>
      </c>
      <c r="AL148">
        <v>16</v>
      </c>
      <c r="AM148">
        <v>0</v>
      </c>
      <c r="AN148">
        <v>0</v>
      </c>
      <c r="AO148">
        <v>0</v>
      </c>
      <c r="AP148">
        <v>1</v>
      </c>
      <c r="AQ148">
        <v>5.0000000000000001E-3</v>
      </c>
      <c r="AR148">
        <v>6</v>
      </c>
      <c r="AS148">
        <v>2</v>
      </c>
      <c r="AT148">
        <v>4</v>
      </c>
      <c r="AU148">
        <v>5</v>
      </c>
      <c r="AV148">
        <v>1</v>
      </c>
      <c r="AW148">
        <v>0.01</v>
      </c>
      <c r="AX148">
        <v>7</v>
      </c>
      <c r="AY148" s="1">
        <v>0</v>
      </c>
      <c r="AZ148">
        <v>1</v>
      </c>
      <c r="BA148">
        <v>2</v>
      </c>
      <c r="BB148">
        <v>1</v>
      </c>
      <c r="BC148" s="7">
        <v>0.56000000000000005</v>
      </c>
      <c r="BP148">
        <v>36</v>
      </c>
      <c r="BQ148">
        <v>0</v>
      </c>
      <c r="BR148">
        <v>0</v>
      </c>
      <c r="BS148">
        <v>0</v>
      </c>
      <c r="BT148">
        <v>5</v>
      </c>
      <c r="BU148">
        <v>1.8</v>
      </c>
    </row>
    <row r="149" spans="1:73" x14ac:dyDescent="0.15">
      <c r="A149" s="11">
        <v>716</v>
      </c>
      <c r="B149">
        <v>7</v>
      </c>
      <c r="C149" s="1">
        <v>21</v>
      </c>
      <c r="D149">
        <v>0</v>
      </c>
      <c r="E149">
        <v>0</v>
      </c>
      <c r="F149">
        <v>1</v>
      </c>
      <c r="G149" s="7">
        <v>0.16</v>
      </c>
      <c r="H149">
        <v>12</v>
      </c>
      <c r="I149">
        <v>0</v>
      </c>
      <c r="J149">
        <v>0</v>
      </c>
      <c r="K149">
        <v>0</v>
      </c>
      <c r="L149">
        <v>1</v>
      </c>
      <c r="M149">
        <v>1.6</v>
      </c>
      <c r="N149" s="7">
        <v>9</v>
      </c>
      <c r="O149" s="7">
        <v>0</v>
      </c>
      <c r="P149" s="7">
        <v>0</v>
      </c>
      <c r="Q149" s="7">
        <v>0</v>
      </c>
      <c r="R149" s="7">
        <v>1</v>
      </c>
      <c r="S149" s="7">
        <v>2</v>
      </c>
      <c r="T149">
        <v>7</v>
      </c>
      <c r="U149" s="1">
        <v>13</v>
      </c>
      <c r="V149">
        <v>0</v>
      </c>
      <c r="W149">
        <v>0</v>
      </c>
      <c r="X149">
        <v>1</v>
      </c>
      <c r="Y149">
        <v>0.4</v>
      </c>
      <c r="Z149">
        <v>23</v>
      </c>
      <c r="AA149">
        <v>0</v>
      </c>
      <c r="AB149">
        <v>0</v>
      </c>
      <c r="AC149">
        <v>0</v>
      </c>
      <c r="AD149">
        <v>1</v>
      </c>
      <c r="AE149">
        <v>0.02</v>
      </c>
      <c r="AF149">
        <v>15</v>
      </c>
      <c r="AG149">
        <v>0</v>
      </c>
      <c r="AH149">
        <v>0</v>
      </c>
      <c r="AI149">
        <v>0</v>
      </c>
      <c r="AJ149">
        <v>1</v>
      </c>
      <c r="AK149">
        <v>0.01</v>
      </c>
      <c r="AL149">
        <v>16</v>
      </c>
      <c r="AM149">
        <v>0</v>
      </c>
      <c r="AN149">
        <v>0</v>
      </c>
      <c r="AO149">
        <v>0</v>
      </c>
      <c r="AP149">
        <v>1</v>
      </c>
      <c r="AQ149">
        <v>5.0000000000000001E-3</v>
      </c>
      <c r="AX149">
        <v>7</v>
      </c>
      <c r="AY149" s="1">
        <v>5</v>
      </c>
      <c r="AZ149">
        <v>0</v>
      </c>
      <c r="BA149">
        <v>0</v>
      </c>
      <c r="BB149">
        <v>1</v>
      </c>
      <c r="BC149" s="7">
        <v>0.56000000000000005</v>
      </c>
      <c r="BP149">
        <v>36</v>
      </c>
      <c r="BQ149">
        <v>0</v>
      </c>
      <c r="BR149">
        <v>0</v>
      </c>
      <c r="BS149">
        <v>0</v>
      </c>
      <c r="BT149">
        <v>5</v>
      </c>
      <c r="BU149">
        <v>1.8</v>
      </c>
    </row>
    <row r="150" spans="1:73" x14ac:dyDescent="0.15">
      <c r="A150" s="11">
        <v>717</v>
      </c>
      <c r="B150">
        <v>7</v>
      </c>
      <c r="C150" s="1">
        <v>22</v>
      </c>
      <c r="D150">
        <v>0</v>
      </c>
      <c r="E150">
        <v>0</v>
      </c>
      <c r="F150">
        <v>1</v>
      </c>
      <c r="G150" s="7">
        <v>0.16</v>
      </c>
      <c r="H150">
        <v>12</v>
      </c>
      <c r="I150">
        <v>0</v>
      </c>
      <c r="J150">
        <v>0</v>
      </c>
      <c r="K150">
        <v>0</v>
      </c>
      <c r="L150">
        <v>1</v>
      </c>
      <c r="M150">
        <v>1.6</v>
      </c>
      <c r="N150" s="7">
        <v>9</v>
      </c>
      <c r="O150" s="7">
        <v>0</v>
      </c>
      <c r="P150" s="7">
        <v>0</v>
      </c>
      <c r="Q150" s="7">
        <v>0</v>
      </c>
      <c r="R150" s="7">
        <v>1</v>
      </c>
      <c r="S150" s="7">
        <v>2</v>
      </c>
      <c r="T150">
        <v>7</v>
      </c>
      <c r="U150" s="1">
        <v>14</v>
      </c>
      <c r="V150">
        <v>0</v>
      </c>
      <c r="W150">
        <v>0</v>
      </c>
      <c r="X150">
        <v>1</v>
      </c>
      <c r="Y150">
        <v>0.4</v>
      </c>
      <c r="Z150">
        <v>23</v>
      </c>
      <c r="AA150">
        <v>0</v>
      </c>
      <c r="AB150">
        <v>0</v>
      </c>
      <c r="AC150">
        <v>0</v>
      </c>
      <c r="AD150">
        <v>1</v>
      </c>
      <c r="AE150">
        <v>0.02</v>
      </c>
      <c r="AF150">
        <v>15</v>
      </c>
      <c r="AG150">
        <v>0</v>
      </c>
      <c r="AH150">
        <v>0</v>
      </c>
      <c r="AI150">
        <v>0</v>
      </c>
      <c r="AJ150">
        <v>1</v>
      </c>
      <c r="AK150">
        <v>0.01</v>
      </c>
      <c r="AL150">
        <v>16</v>
      </c>
      <c r="AM150">
        <v>0</v>
      </c>
      <c r="AN150">
        <v>0</v>
      </c>
      <c r="AO150">
        <v>0</v>
      </c>
      <c r="AP150">
        <v>1</v>
      </c>
      <c r="AQ150">
        <v>5.0000000000000001E-3</v>
      </c>
      <c r="AX150">
        <v>7</v>
      </c>
      <c r="AY150" s="1">
        <v>6</v>
      </c>
      <c r="AZ150">
        <v>0</v>
      </c>
      <c r="BA150">
        <v>0</v>
      </c>
      <c r="BB150">
        <v>1</v>
      </c>
      <c r="BC150" s="7">
        <v>0.56000000000000005</v>
      </c>
      <c r="BP150">
        <v>36</v>
      </c>
      <c r="BQ150">
        <v>0</v>
      </c>
      <c r="BR150">
        <v>0</v>
      </c>
      <c r="BS150">
        <v>0</v>
      </c>
      <c r="BT150">
        <v>5</v>
      </c>
      <c r="BU150">
        <v>1.8</v>
      </c>
    </row>
    <row r="151" spans="1:73" x14ac:dyDescent="0.15">
      <c r="A151" s="11">
        <v>718</v>
      </c>
      <c r="B151">
        <v>7</v>
      </c>
      <c r="C151" s="1">
        <v>23</v>
      </c>
      <c r="D151">
        <v>0</v>
      </c>
      <c r="E151">
        <v>0</v>
      </c>
      <c r="F151">
        <v>1</v>
      </c>
      <c r="G151" s="7">
        <v>0.16</v>
      </c>
      <c r="H151">
        <v>12</v>
      </c>
      <c r="I151">
        <v>0</v>
      </c>
      <c r="J151">
        <v>0</v>
      </c>
      <c r="K151">
        <v>0</v>
      </c>
      <c r="L151">
        <v>1</v>
      </c>
      <c r="M151">
        <v>1.6</v>
      </c>
      <c r="N151" s="7">
        <v>9</v>
      </c>
      <c r="O151" s="7">
        <v>0</v>
      </c>
      <c r="P151" s="7">
        <v>0</v>
      </c>
      <c r="Q151" s="7">
        <v>0</v>
      </c>
      <c r="R151" s="7">
        <v>1</v>
      </c>
      <c r="S151" s="7">
        <v>2</v>
      </c>
      <c r="T151">
        <v>7</v>
      </c>
      <c r="U151" s="1">
        <v>15</v>
      </c>
      <c r="V151">
        <v>0</v>
      </c>
      <c r="W151">
        <v>0</v>
      </c>
      <c r="X151">
        <v>1</v>
      </c>
      <c r="Y151">
        <v>0.4</v>
      </c>
      <c r="Z151">
        <v>23</v>
      </c>
      <c r="AA151">
        <v>0</v>
      </c>
      <c r="AB151">
        <v>0</v>
      </c>
      <c r="AC151">
        <v>0</v>
      </c>
      <c r="AD151">
        <v>1</v>
      </c>
      <c r="AE151">
        <v>0.02</v>
      </c>
      <c r="AF151">
        <v>15</v>
      </c>
      <c r="AG151">
        <v>0</v>
      </c>
      <c r="AH151">
        <v>0</v>
      </c>
      <c r="AI151">
        <v>0</v>
      </c>
      <c r="AJ151">
        <v>1</v>
      </c>
      <c r="AK151">
        <v>0.01</v>
      </c>
      <c r="AL151">
        <v>16</v>
      </c>
      <c r="AM151">
        <v>0</v>
      </c>
      <c r="AN151">
        <v>0</v>
      </c>
      <c r="AO151">
        <v>0</v>
      </c>
      <c r="AP151">
        <v>1</v>
      </c>
      <c r="AQ151">
        <v>5.0000000000000001E-3</v>
      </c>
      <c r="AX151">
        <v>7</v>
      </c>
      <c r="AY151" s="1">
        <v>7</v>
      </c>
      <c r="AZ151">
        <v>0</v>
      </c>
      <c r="BA151">
        <v>0</v>
      </c>
      <c r="BB151">
        <v>1</v>
      </c>
      <c r="BC151" s="7">
        <v>0.56000000000000005</v>
      </c>
      <c r="BP151">
        <v>36</v>
      </c>
      <c r="BQ151">
        <v>0</v>
      </c>
      <c r="BR151">
        <v>0</v>
      </c>
      <c r="BS151">
        <v>0</v>
      </c>
      <c r="BT151">
        <v>5</v>
      </c>
      <c r="BU151">
        <v>1.8</v>
      </c>
    </row>
    <row r="152" spans="1:73" x14ac:dyDescent="0.15">
      <c r="A152" s="11">
        <v>719</v>
      </c>
      <c r="B152">
        <v>7</v>
      </c>
      <c r="C152" s="1">
        <v>24</v>
      </c>
      <c r="D152">
        <v>0</v>
      </c>
      <c r="E152">
        <v>0</v>
      </c>
      <c r="F152">
        <v>1</v>
      </c>
      <c r="G152" s="7">
        <v>0.16</v>
      </c>
      <c r="H152">
        <v>12</v>
      </c>
      <c r="I152">
        <v>0</v>
      </c>
      <c r="J152">
        <v>0</v>
      </c>
      <c r="K152">
        <v>0</v>
      </c>
      <c r="L152">
        <v>1</v>
      </c>
      <c r="M152">
        <v>1.6</v>
      </c>
      <c r="N152" s="7">
        <v>9</v>
      </c>
      <c r="O152" s="7">
        <v>0</v>
      </c>
      <c r="P152" s="7">
        <v>0</v>
      </c>
      <c r="Q152" s="7">
        <v>0</v>
      </c>
      <c r="R152" s="7">
        <v>1</v>
      </c>
      <c r="S152" s="7">
        <v>2</v>
      </c>
      <c r="T152">
        <v>7</v>
      </c>
      <c r="U152" s="1">
        <v>16</v>
      </c>
      <c r="V152">
        <v>0</v>
      </c>
      <c r="W152">
        <v>0</v>
      </c>
      <c r="X152">
        <v>1</v>
      </c>
      <c r="Y152">
        <v>0.4</v>
      </c>
      <c r="Z152">
        <v>23</v>
      </c>
      <c r="AA152">
        <v>0</v>
      </c>
      <c r="AB152">
        <v>0</v>
      </c>
      <c r="AC152">
        <v>0</v>
      </c>
      <c r="AD152">
        <v>1</v>
      </c>
      <c r="AE152">
        <v>0.02</v>
      </c>
      <c r="AF152">
        <v>15</v>
      </c>
      <c r="AG152">
        <v>0</v>
      </c>
      <c r="AH152">
        <v>0</v>
      </c>
      <c r="AI152">
        <v>0</v>
      </c>
      <c r="AJ152">
        <v>1</v>
      </c>
      <c r="AK152">
        <v>0.01</v>
      </c>
      <c r="AL152">
        <v>16</v>
      </c>
      <c r="AM152">
        <v>0</v>
      </c>
      <c r="AN152">
        <v>0</v>
      </c>
      <c r="AO152">
        <v>0</v>
      </c>
      <c r="AP152">
        <v>1</v>
      </c>
      <c r="AQ152">
        <v>5.0000000000000001E-3</v>
      </c>
      <c r="AX152">
        <v>7</v>
      </c>
      <c r="AY152" s="1">
        <v>8</v>
      </c>
      <c r="AZ152">
        <v>0</v>
      </c>
      <c r="BA152">
        <v>0</v>
      </c>
      <c r="BB152">
        <v>1</v>
      </c>
      <c r="BC152" s="7">
        <v>0.56000000000000005</v>
      </c>
      <c r="BP152">
        <v>36</v>
      </c>
      <c r="BQ152">
        <v>0</v>
      </c>
      <c r="BR152">
        <v>0</v>
      </c>
      <c r="BS152">
        <v>0</v>
      </c>
      <c r="BT152">
        <v>5</v>
      </c>
      <c r="BU152">
        <v>1.8</v>
      </c>
    </row>
    <row r="153" spans="1:73" x14ac:dyDescent="0.15">
      <c r="A153" s="11">
        <v>720</v>
      </c>
      <c r="B153">
        <v>7</v>
      </c>
      <c r="C153" s="1">
        <v>0</v>
      </c>
      <c r="D153">
        <v>3</v>
      </c>
      <c r="E153">
        <v>3</v>
      </c>
      <c r="F153">
        <v>1</v>
      </c>
      <c r="G153" s="7">
        <v>0.16</v>
      </c>
      <c r="H153">
        <v>12</v>
      </c>
      <c r="I153">
        <v>0</v>
      </c>
      <c r="J153">
        <v>0</v>
      </c>
      <c r="K153">
        <v>0</v>
      </c>
      <c r="L153">
        <v>1</v>
      </c>
      <c r="M153">
        <v>1.6</v>
      </c>
      <c r="N153" s="7">
        <v>9</v>
      </c>
      <c r="O153" s="7">
        <v>0</v>
      </c>
      <c r="P153" s="7">
        <v>0</v>
      </c>
      <c r="Q153" s="7">
        <v>0</v>
      </c>
      <c r="R153" s="7">
        <v>1</v>
      </c>
      <c r="S153" s="7">
        <v>2</v>
      </c>
      <c r="T153">
        <v>7</v>
      </c>
      <c r="U153" s="1">
        <v>0</v>
      </c>
      <c r="V153">
        <v>2</v>
      </c>
      <c r="W153">
        <v>2</v>
      </c>
      <c r="X153">
        <v>1</v>
      </c>
      <c r="Y153">
        <v>0.4</v>
      </c>
      <c r="Z153">
        <v>23</v>
      </c>
      <c r="AA153">
        <v>0</v>
      </c>
      <c r="AB153">
        <v>0</v>
      </c>
      <c r="AC153">
        <v>0</v>
      </c>
      <c r="AD153">
        <v>1</v>
      </c>
      <c r="AE153">
        <v>0.02</v>
      </c>
      <c r="AF153">
        <v>15</v>
      </c>
      <c r="AG153">
        <v>0</v>
      </c>
      <c r="AH153">
        <v>0</v>
      </c>
      <c r="AI153">
        <v>0</v>
      </c>
      <c r="AJ153">
        <v>1</v>
      </c>
      <c r="AK153">
        <v>0.01</v>
      </c>
      <c r="AL153">
        <v>16</v>
      </c>
      <c r="AM153">
        <v>0</v>
      </c>
      <c r="AN153">
        <v>0</v>
      </c>
      <c r="AO153">
        <v>0</v>
      </c>
      <c r="AP153">
        <v>1</v>
      </c>
      <c r="AQ153">
        <v>5.0000000000000001E-3</v>
      </c>
      <c r="AR153">
        <v>6</v>
      </c>
      <c r="AS153">
        <v>2</v>
      </c>
      <c r="AT153">
        <v>5</v>
      </c>
      <c r="AU153">
        <v>5</v>
      </c>
      <c r="AV153">
        <v>1</v>
      </c>
      <c r="AW153">
        <v>0.01</v>
      </c>
      <c r="AX153">
        <v>7</v>
      </c>
      <c r="AY153" s="1">
        <v>0</v>
      </c>
      <c r="AZ153">
        <v>1</v>
      </c>
      <c r="BA153">
        <v>2</v>
      </c>
      <c r="BB153">
        <v>1</v>
      </c>
      <c r="BC153" s="7">
        <v>0.56000000000000005</v>
      </c>
      <c r="BP153">
        <v>36</v>
      </c>
      <c r="BQ153">
        <v>0</v>
      </c>
      <c r="BR153">
        <v>0</v>
      </c>
      <c r="BS153">
        <v>0</v>
      </c>
      <c r="BT153">
        <v>5</v>
      </c>
      <c r="BU153">
        <v>1.8</v>
      </c>
    </row>
    <row r="154" spans="1:73" x14ac:dyDescent="0.15">
      <c r="A154" s="11">
        <v>721</v>
      </c>
      <c r="B154">
        <v>7</v>
      </c>
      <c r="C154" s="1">
        <v>21</v>
      </c>
      <c r="D154">
        <v>0</v>
      </c>
      <c r="E154">
        <v>0</v>
      </c>
      <c r="F154">
        <v>1</v>
      </c>
      <c r="G154" s="7">
        <v>0.16</v>
      </c>
      <c r="H154">
        <v>12</v>
      </c>
      <c r="I154">
        <v>0</v>
      </c>
      <c r="J154">
        <v>0</v>
      </c>
      <c r="K154">
        <v>0</v>
      </c>
      <c r="L154">
        <v>1</v>
      </c>
      <c r="M154">
        <v>1.6</v>
      </c>
      <c r="N154" s="7">
        <v>9</v>
      </c>
      <c r="O154" s="7">
        <v>0</v>
      </c>
      <c r="P154" s="7">
        <v>0</v>
      </c>
      <c r="Q154" s="7">
        <v>0</v>
      </c>
      <c r="R154" s="7">
        <v>1</v>
      </c>
      <c r="S154" s="7">
        <v>2</v>
      </c>
      <c r="T154">
        <v>7</v>
      </c>
      <c r="U154" s="1">
        <v>13</v>
      </c>
      <c r="V154">
        <v>0</v>
      </c>
      <c r="W154">
        <v>0</v>
      </c>
      <c r="X154">
        <v>1</v>
      </c>
      <c r="Y154">
        <v>0.4</v>
      </c>
      <c r="Z154">
        <v>23</v>
      </c>
      <c r="AA154">
        <v>0</v>
      </c>
      <c r="AB154">
        <v>0</v>
      </c>
      <c r="AC154">
        <v>0</v>
      </c>
      <c r="AD154">
        <v>1</v>
      </c>
      <c r="AE154">
        <v>0.02</v>
      </c>
      <c r="AF154">
        <v>15</v>
      </c>
      <c r="AG154">
        <v>0</v>
      </c>
      <c r="AH154">
        <v>0</v>
      </c>
      <c r="AI154">
        <v>0</v>
      </c>
      <c r="AJ154">
        <v>1</v>
      </c>
      <c r="AK154">
        <v>0.01</v>
      </c>
      <c r="AL154">
        <v>16</v>
      </c>
      <c r="AM154">
        <v>0</v>
      </c>
      <c r="AN154">
        <v>0</v>
      </c>
      <c r="AO154">
        <v>0</v>
      </c>
      <c r="AP154">
        <v>1</v>
      </c>
      <c r="AQ154">
        <v>5.0000000000000001E-3</v>
      </c>
      <c r="AX154">
        <v>7</v>
      </c>
      <c r="AY154" s="1">
        <v>5</v>
      </c>
      <c r="AZ154">
        <v>0</v>
      </c>
      <c r="BA154">
        <v>0</v>
      </c>
      <c r="BB154">
        <v>1</v>
      </c>
      <c r="BC154" s="7">
        <v>0.56000000000000005</v>
      </c>
      <c r="BP154">
        <v>36</v>
      </c>
      <c r="BQ154">
        <v>0</v>
      </c>
      <c r="BR154">
        <v>0</v>
      </c>
      <c r="BS154">
        <v>0</v>
      </c>
      <c r="BT154">
        <v>5</v>
      </c>
      <c r="BU154">
        <v>1.8</v>
      </c>
    </row>
    <row r="155" spans="1:73" x14ac:dyDescent="0.15">
      <c r="A155" s="11">
        <v>722</v>
      </c>
      <c r="B155">
        <v>7</v>
      </c>
      <c r="C155" s="1">
        <v>22</v>
      </c>
      <c r="D155">
        <v>3</v>
      </c>
      <c r="E155">
        <v>3</v>
      </c>
      <c r="F155">
        <v>1</v>
      </c>
      <c r="G155" s="7">
        <v>0.16</v>
      </c>
      <c r="H155">
        <v>12</v>
      </c>
      <c r="I155">
        <v>0</v>
      </c>
      <c r="J155">
        <v>0</v>
      </c>
      <c r="K155">
        <v>0</v>
      </c>
      <c r="L155">
        <v>1</v>
      </c>
      <c r="M155">
        <v>1.6</v>
      </c>
      <c r="N155" s="7">
        <v>9</v>
      </c>
      <c r="O155" s="7">
        <v>0</v>
      </c>
      <c r="P155" s="7">
        <v>0</v>
      </c>
      <c r="Q155" s="7">
        <v>0</v>
      </c>
      <c r="R155" s="7">
        <v>1</v>
      </c>
      <c r="S155" s="7">
        <v>2</v>
      </c>
      <c r="T155">
        <v>7</v>
      </c>
      <c r="U155" s="1">
        <v>14</v>
      </c>
      <c r="V155">
        <v>0</v>
      </c>
      <c r="W155">
        <v>0</v>
      </c>
      <c r="X155">
        <v>1</v>
      </c>
      <c r="Y155">
        <v>0.4</v>
      </c>
      <c r="Z155">
        <v>23</v>
      </c>
      <c r="AA155">
        <v>0</v>
      </c>
      <c r="AB155">
        <v>0</v>
      </c>
      <c r="AC155">
        <v>0</v>
      </c>
      <c r="AD155">
        <v>1</v>
      </c>
      <c r="AE155">
        <v>0.02</v>
      </c>
      <c r="AF155">
        <v>15</v>
      </c>
      <c r="AG155">
        <v>0</v>
      </c>
      <c r="AH155">
        <v>0</v>
      </c>
      <c r="AI155">
        <v>0</v>
      </c>
      <c r="AJ155">
        <v>1</v>
      </c>
      <c r="AK155">
        <v>0.01</v>
      </c>
      <c r="AL155">
        <v>16</v>
      </c>
      <c r="AM155">
        <v>0</v>
      </c>
      <c r="AN155">
        <v>0</v>
      </c>
      <c r="AO155">
        <v>0</v>
      </c>
      <c r="AP155">
        <v>1</v>
      </c>
      <c r="AQ155">
        <v>5.0000000000000001E-3</v>
      </c>
      <c r="AX155">
        <v>7</v>
      </c>
      <c r="AY155" s="1">
        <v>6</v>
      </c>
      <c r="AZ155">
        <v>0</v>
      </c>
      <c r="BA155">
        <v>0</v>
      </c>
      <c r="BB155">
        <v>1</v>
      </c>
      <c r="BC155" s="7">
        <v>0.56000000000000005</v>
      </c>
      <c r="BP155">
        <v>36</v>
      </c>
      <c r="BQ155">
        <v>0</v>
      </c>
      <c r="BR155">
        <v>0</v>
      </c>
      <c r="BS155">
        <v>0</v>
      </c>
      <c r="BT155">
        <v>5</v>
      </c>
      <c r="BU155">
        <v>1.8</v>
      </c>
    </row>
    <row r="156" spans="1:73" x14ac:dyDescent="0.15">
      <c r="A156" s="11">
        <v>723</v>
      </c>
      <c r="B156">
        <v>7</v>
      </c>
      <c r="C156" s="1">
        <v>23</v>
      </c>
      <c r="D156">
        <v>0</v>
      </c>
      <c r="E156">
        <v>0</v>
      </c>
      <c r="F156">
        <v>1</v>
      </c>
      <c r="G156" s="7">
        <v>0.16</v>
      </c>
      <c r="H156">
        <v>12</v>
      </c>
      <c r="I156">
        <v>0</v>
      </c>
      <c r="J156">
        <v>0</v>
      </c>
      <c r="K156">
        <v>0</v>
      </c>
      <c r="L156">
        <v>1</v>
      </c>
      <c r="M156">
        <v>1.6</v>
      </c>
      <c r="N156" s="7">
        <v>9</v>
      </c>
      <c r="O156" s="7">
        <v>0</v>
      </c>
      <c r="P156" s="7">
        <v>0</v>
      </c>
      <c r="Q156" s="7">
        <v>0</v>
      </c>
      <c r="R156" s="7">
        <v>1</v>
      </c>
      <c r="S156" s="7">
        <v>2</v>
      </c>
      <c r="T156">
        <v>7</v>
      </c>
      <c r="U156" s="1">
        <v>15</v>
      </c>
      <c r="V156">
        <v>0</v>
      </c>
      <c r="W156">
        <v>0</v>
      </c>
      <c r="X156">
        <v>1</v>
      </c>
      <c r="Y156">
        <v>0.4</v>
      </c>
      <c r="Z156">
        <v>23</v>
      </c>
      <c r="AA156">
        <v>0</v>
      </c>
      <c r="AB156">
        <v>0</v>
      </c>
      <c r="AC156">
        <v>0</v>
      </c>
      <c r="AD156">
        <v>1</v>
      </c>
      <c r="AE156">
        <v>0.02</v>
      </c>
      <c r="AF156">
        <v>15</v>
      </c>
      <c r="AG156">
        <v>0</v>
      </c>
      <c r="AH156">
        <v>0</v>
      </c>
      <c r="AI156">
        <v>0</v>
      </c>
      <c r="AJ156">
        <v>1</v>
      </c>
      <c r="AK156">
        <v>0.01</v>
      </c>
      <c r="AL156">
        <v>16</v>
      </c>
      <c r="AM156">
        <v>0</v>
      </c>
      <c r="AN156">
        <v>0</v>
      </c>
      <c r="AO156">
        <v>0</v>
      </c>
      <c r="AP156">
        <v>1</v>
      </c>
      <c r="AQ156">
        <v>5.0000000000000001E-3</v>
      </c>
      <c r="AX156">
        <v>7</v>
      </c>
      <c r="AY156" s="1">
        <v>7</v>
      </c>
      <c r="AZ156">
        <v>0</v>
      </c>
      <c r="BA156">
        <v>0</v>
      </c>
      <c r="BB156">
        <v>1</v>
      </c>
      <c r="BC156" s="7">
        <v>0.56000000000000005</v>
      </c>
      <c r="BP156">
        <v>36</v>
      </c>
      <c r="BQ156">
        <v>0</v>
      </c>
      <c r="BR156">
        <v>0</v>
      </c>
      <c r="BS156">
        <v>0</v>
      </c>
      <c r="BT156">
        <v>5</v>
      </c>
      <c r="BU156">
        <v>1.8</v>
      </c>
    </row>
    <row r="157" spans="1:73" x14ac:dyDescent="0.15">
      <c r="A157" s="11">
        <v>724</v>
      </c>
      <c r="B157">
        <v>7</v>
      </c>
      <c r="C157" s="1">
        <v>24</v>
      </c>
      <c r="D157">
        <v>0</v>
      </c>
      <c r="E157">
        <v>0</v>
      </c>
      <c r="F157">
        <v>1</v>
      </c>
      <c r="G157" s="7">
        <v>0.16</v>
      </c>
      <c r="H157">
        <v>12</v>
      </c>
      <c r="I157">
        <v>0</v>
      </c>
      <c r="J157">
        <v>0</v>
      </c>
      <c r="K157">
        <v>0</v>
      </c>
      <c r="L157">
        <v>1</v>
      </c>
      <c r="M157">
        <v>1.6</v>
      </c>
      <c r="N157" s="7">
        <v>9</v>
      </c>
      <c r="O157" s="7">
        <v>0</v>
      </c>
      <c r="P157" s="7">
        <v>0</v>
      </c>
      <c r="Q157" s="7">
        <v>0</v>
      </c>
      <c r="R157" s="7">
        <v>1</v>
      </c>
      <c r="S157" s="7">
        <v>2</v>
      </c>
      <c r="T157">
        <v>7</v>
      </c>
      <c r="U157" s="1">
        <v>16</v>
      </c>
      <c r="V157">
        <v>0</v>
      </c>
      <c r="W157">
        <v>0</v>
      </c>
      <c r="X157">
        <v>1</v>
      </c>
      <c r="Y157">
        <v>0.4</v>
      </c>
      <c r="Z157">
        <v>23</v>
      </c>
      <c r="AA157">
        <v>0</v>
      </c>
      <c r="AB157">
        <v>0</v>
      </c>
      <c r="AC157">
        <v>0</v>
      </c>
      <c r="AD157">
        <v>1</v>
      </c>
      <c r="AE157">
        <v>0.02</v>
      </c>
      <c r="AF157">
        <v>15</v>
      </c>
      <c r="AG157">
        <v>0</v>
      </c>
      <c r="AH157">
        <v>0</v>
      </c>
      <c r="AI157">
        <v>0</v>
      </c>
      <c r="AJ157">
        <v>1</v>
      </c>
      <c r="AK157">
        <v>0.01</v>
      </c>
      <c r="AL157">
        <v>16</v>
      </c>
      <c r="AM157">
        <v>0</v>
      </c>
      <c r="AN157">
        <v>0</v>
      </c>
      <c r="AO157">
        <v>0</v>
      </c>
      <c r="AP157">
        <v>1</v>
      </c>
      <c r="AQ157">
        <v>5.0000000000000001E-3</v>
      </c>
      <c r="AX157">
        <v>7</v>
      </c>
      <c r="AY157" s="1">
        <v>8</v>
      </c>
      <c r="AZ157">
        <v>0</v>
      </c>
      <c r="BA157">
        <v>0</v>
      </c>
      <c r="BB157">
        <v>1</v>
      </c>
      <c r="BC157" s="7">
        <v>0.56000000000000005</v>
      </c>
      <c r="BP157">
        <v>36</v>
      </c>
      <c r="BQ157">
        <v>0</v>
      </c>
      <c r="BR157">
        <v>0</v>
      </c>
      <c r="BS157">
        <v>0</v>
      </c>
      <c r="BT157">
        <v>5</v>
      </c>
      <c r="BU157">
        <v>1.8</v>
      </c>
    </row>
    <row r="158" spans="1:73" x14ac:dyDescent="0.15">
      <c r="A158" s="11">
        <v>725</v>
      </c>
      <c r="B158">
        <v>7</v>
      </c>
      <c r="C158" s="1">
        <v>0</v>
      </c>
      <c r="D158">
        <v>3</v>
      </c>
      <c r="E158">
        <v>3</v>
      </c>
      <c r="F158">
        <v>1</v>
      </c>
      <c r="G158" s="7">
        <v>0.16</v>
      </c>
      <c r="H158">
        <v>12</v>
      </c>
      <c r="I158">
        <v>0</v>
      </c>
      <c r="J158">
        <v>0</v>
      </c>
      <c r="K158">
        <v>0</v>
      </c>
      <c r="L158">
        <v>1</v>
      </c>
      <c r="M158">
        <v>1.6</v>
      </c>
      <c r="N158" s="7">
        <v>9</v>
      </c>
      <c r="O158" s="7">
        <v>0</v>
      </c>
      <c r="P158" s="7">
        <v>0</v>
      </c>
      <c r="Q158" s="7">
        <v>0</v>
      </c>
      <c r="R158" s="7">
        <v>1</v>
      </c>
      <c r="S158" s="7">
        <v>2</v>
      </c>
      <c r="T158">
        <v>7</v>
      </c>
      <c r="U158" s="1">
        <v>0</v>
      </c>
      <c r="V158">
        <v>2</v>
      </c>
      <c r="W158">
        <v>2</v>
      </c>
      <c r="X158">
        <v>1</v>
      </c>
      <c r="Y158">
        <v>0.4</v>
      </c>
      <c r="Z158">
        <v>23</v>
      </c>
      <c r="AA158">
        <v>0</v>
      </c>
      <c r="AB158">
        <v>0</v>
      </c>
      <c r="AC158">
        <v>0</v>
      </c>
      <c r="AD158">
        <v>1</v>
      </c>
      <c r="AE158">
        <v>0.02</v>
      </c>
      <c r="AF158">
        <v>15</v>
      </c>
      <c r="AG158">
        <v>0</v>
      </c>
      <c r="AH158">
        <v>0</v>
      </c>
      <c r="AI158">
        <v>0</v>
      </c>
      <c r="AJ158">
        <v>1</v>
      </c>
      <c r="AK158">
        <v>0.01</v>
      </c>
      <c r="AL158">
        <v>16</v>
      </c>
      <c r="AM158">
        <v>0</v>
      </c>
      <c r="AN158">
        <v>0</v>
      </c>
      <c r="AO158">
        <v>0</v>
      </c>
      <c r="AP158">
        <v>1</v>
      </c>
      <c r="AQ158">
        <v>5.0000000000000001E-3</v>
      </c>
      <c r="AR158">
        <v>6</v>
      </c>
      <c r="AS158">
        <v>2</v>
      </c>
      <c r="AT158">
        <v>1</v>
      </c>
      <c r="AU158">
        <v>5</v>
      </c>
      <c r="AV158">
        <v>1</v>
      </c>
      <c r="AW158">
        <v>0.05</v>
      </c>
      <c r="AX158">
        <v>7</v>
      </c>
      <c r="AY158" s="1">
        <v>0</v>
      </c>
      <c r="AZ158">
        <v>1</v>
      </c>
      <c r="BA158">
        <v>2</v>
      </c>
      <c r="BB158">
        <v>1</v>
      </c>
      <c r="BC158" s="7">
        <v>0.56000000000000005</v>
      </c>
      <c r="BP158">
        <v>36</v>
      </c>
      <c r="BQ158">
        <v>0</v>
      </c>
      <c r="BR158">
        <v>0</v>
      </c>
      <c r="BS158">
        <v>0</v>
      </c>
      <c r="BT158">
        <v>5</v>
      </c>
      <c r="BU158">
        <v>1.8</v>
      </c>
    </row>
    <row r="159" spans="1:73" x14ac:dyDescent="0.15">
      <c r="A159" s="11">
        <v>726</v>
      </c>
      <c r="B159">
        <v>7</v>
      </c>
      <c r="C159" s="1">
        <v>25</v>
      </c>
      <c r="D159">
        <v>0</v>
      </c>
      <c r="E159">
        <v>0</v>
      </c>
      <c r="F159">
        <v>1</v>
      </c>
      <c r="G159" s="7">
        <v>0.08</v>
      </c>
      <c r="H159">
        <v>12</v>
      </c>
      <c r="I159">
        <v>0</v>
      </c>
      <c r="J159">
        <v>0</v>
      </c>
      <c r="K159">
        <v>0</v>
      </c>
      <c r="L159">
        <v>1</v>
      </c>
      <c r="M159">
        <v>1.8</v>
      </c>
      <c r="N159" s="7">
        <v>9</v>
      </c>
      <c r="O159" s="7">
        <v>0</v>
      </c>
      <c r="P159" s="7">
        <v>0</v>
      </c>
      <c r="Q159" s="7">
        <v>0</v>
      </c>
      <c r="R159" s="7">
        <v>1</v>
      </c>
      <c r="S159" s="7">
        <v>2.5</v>
      </c>
      <c r="T159">
        <v>7</v>
      </c>
      <c r="U159" s="1">
        <v>17</v>
      </c>
      <c r="V159">
        <v>0</v>
      </c>
      <c r="W159">
        <v>0</v>
      </c>
      <c r="X159">
        <v>1</v>
      </c>
      <c r="Y159">
        <v>0.32</v>
      </c>
      <c r="Z159">
        <v>23</v>
      </c>
      <c r="AA159">
        <v>0</v>
      </c>
      <c r="AB159">
        <v>0</v>
      </c>
      <c r="AC159">
        <v>0</v>
      </c>
      <c r="AD159">
        <v>1</v>
      </c>
      <c r="AE159">
        <v>0.02</v>
      </c>
      <c r="AF159">
        <v>15</v>
      </c>
      <c r="AG159">
        <v>0</v>
      </c>
      <c r="AH159">
        <v>0</v>
      </c>
      <c r="AI159">
        <v>0</v>
      </c>
      <c r="AJ159">
        <v>1</v>
      </c>
      <c r="AK159">
        <v>0.01</v>
      </c>
      <c r="AL159">
        <v>16</v>
      </c>
      <c r="AM159">
        <v>0</v>
      </c>
      <c r="AN159">
        <v>0</v>
      </c>
      <c r="AO159">
        <v>0</v>
      </c>
      <c r="AP159">
        <v>1</v>
      </c>
      <c r="AQ159">
        <v>5.0000000000000001E-3</v>
      </c>
      <c r="AX159">
        <v>7</v>
      </c>
      <c r="AY159" s="1">
        <v>9</v>
      </c>
      <c r="AZ159">
        <v>0</v>
      </c>
      <c r="BA159">
        <v>0</v>
      </c>
      <c r="BB159">
        <v>1</v>
      </c>
      <c r="BC159" s="7">
        <v>0.48</v>
      </c>
      <c r="BP159">
        <v>36</v>
      </c>
      <c r="BQ159">
        <v>0</v>
      </c>
      <c r="BR159">
        <v>0</v>
      </c>
      <c r="BS159">
        <v>0</v>
      </c>
      <c r="BT159">
        <v>5</v>
      </c>
      <c r="BU159">
        <v>1.8</v>
      </c>
    </row>
    <row r="160" spans="1:73" x14ac:dyDescent="0.15">
      <c r="A160" s="11">
        <v>727</v>
      </c>
      <c r="B160">
        <v>7</v>
      </c>
      <c r="C160" s="1">
        <v>26</v>
      </c>
      <c r="D160">
        <v>0</v>
      </c>
      <c r="E160">
        <v>0</v>
      </c>
      <c r="F160">
        <v>1</v>
      </c>
      <c r="G160" s="7">
        <v>0.08</v>
      </c>
      <c r="H160">
        <v>12</v>
      </c>
      <c r="I160">
        <v>0</v>
      </c>
      <c r="J160">
        <v>0</v>
      </c>
      <c r="K160">
        <v>0</v>
      </c>
      <c r="L160">
        <v>1</v>
      </c>
      <c r="M160">
        <v>1.8</v>
      </c>
      <c r="N160" s="7">
        <v>9</v>
      </c>
      <c r="O160" s="7">
        <v>0</v>
      </c>
      <c r="P160" s="7">
        <v>0</v>
      </c>
      <c r="Q160" s="7">
        <v>0</v>
      </c>
      <c r="R160" s="7">
        <v>1</v>
      </c>
      <c r="S160" s="7">
        <v>2.5</v>
      </c>
      <c r="T160">
        <v>7</v>
      </c>
      <c r="U160" s="1">
        <v>18</v>
      </c>
      <c r="V160">
        <v>0</v>
      </c>
      <c r="W160">
        <v>0</v>
      </c>
      <c r="X160">
        <v>1</v>
      </c>
      <c r="Y160">
        <v>0.32</v>
      </c>
      <c r="Z160">
        <v>23</v>
      </c>
      <c r="AA160">
        <v>0</v>
      </c>
      <c r="AB160">
        <v>0</v>
      </c>
      <c r="AC160">
        <v>0</v>
      </c>
      <c r="AD160">
        <v>1</v>
      </c>
      <c r="AE160">
        <v>0.02</v>
      </c>
      <c r="AF160">
        <v>15</v>
      </c>
      <c r="AG160">
        <v>0</v>
      </c>
      <c r="AH160">
        <v>0</v>
      </c>
      <c r="AI160">
        <v>0</v>
      </c>
      <c r="AJ160">
        <v>1</v>
      </c>
      <c r="AK160">
        <v>0.01</v>
      </c>
      <c r="AL160">
        <v>16</v>
      </c>
      <c r="AM160">
        <v>0</v>
      </c>
      <c r="AN160">
        <v>0</v>
      </c>
      <c r="AO160">
        <v>0</v>
      </c>
      <c r="AP160">
        <v>1</v>
      </c>
      <c r="AQ160">
        <v>5.0000000000000001E-3</v>
      </c>
      <c r="AX160">
        <v>7</v>
      </c>
      <c r="AY160" s="1">
        <v>10</v>
      </c>
      <c r="AZ160">
        <v>0</v>
      </c>
      <c r="BA160">
        <v>0</v>
      </c>
      <c r="BB160">
        <v>1</v>
      </c>
      <c r="BC160" s="7">
        <v>0.48</v>
      </c>
      <c r="BP160">
        <v>36</v>
      </c>
      <c r="BQ160">
        <v>0</v>
      </c>
      <c r="BR160">
        <v>0</v>
      </c>
      <c r="BS160">
        <v>0</v>
      </c>
      <c r="BT160">
        <v>5</v>
      </c>
      <c r="BU160">
        <v>1.8</v>
      </c>
    </row>
    <row r="161" spans="1:73" x14ac:dyDescent="0.15">
      <c r="A161" s="11">
        <v>728</v>
      </c>
      <c r="B161">
        <v>7</v>
      </c>
      <c r="C161" s="1">
        <v>27</v>
      </c>
      <c r="D161">
        <v>0</v>
      </c>
      <c r="E161">
        <v>0</v>
      </c>
      <c r="F161">
        <v>1</v>
      </c>
      <c r="G161" s="7">
        <v>0.08</v>
      </c>
      <c r="H161">
        <v>12</v>
      </c>
      <c r="I161">
        <v>0</v>
      </c>
      <c r="J161">
        <v>0</v>
      </c>
      <c r="K161">
        <v>0</v>
      </c>
      <c r="L161">
        <v>1</v>
      </c>
      <c r="M161">
        <v>1.8</v>
      </c>
      <c r="N161" s="7">
        <v>9</v>
      </c>
      <c r="O161" s="7">
        <v>0</v>
      </c>
      <c r="P161" s="7">
        <v>0</v>
      </c>
      <c r="Q161" s="7">
        <v>0</v>
      </c>
      <c r="R161" s="7">
        <v>1</v>
      </c>
      <c r="S161" s="7">
        <v>2.5</v>
      </c>
      <c r="T161">
        <v>7</v>
      </c>
      <c r="U161" s="1">
        <v>19</v>
      </c>
      <c r="V161">
        <v>0</v>
      </c>
      <c r="W161">
        <v>0</v>
      </c>
      <c r="X161">
        <v>1</v>
      </c>
      <c r="Y161">
        <v>0.32</v>
      </c>
      <c r="Z161">
        <v>23</v>
      </c>
      <c r="AA161">
        <v>0</v>
      </c>
      <c r="AB161">
        <v>0</v>
      </c>
      <c r="AC161">
        <v>0</v>
      </c>
      <c r="AD161">
        <v>1</v>
      </c>
      <c r="AE161">
        <v>0.02</v>
      </c>
      <c r="AF161">
        <v>15</v>
      </c>
      <c r="AG161">
        <v>0</v>
      </c>
      <c r="AH161">
        <v>0</v>
      </c>
      <c r="AI161">
        <v>0</v>
      </c>
      <c r="AJ161">
        <v>1</v>
      </c>
      <c r="AK161">
        <v>0.01</v>
      </c>
      <c r="AL161">
        <v>16</v>
      </c>
      <c r="AM161">
        <v>0</v>
      </c>
      <c r="AN161">
        <v>0</v>
      </c>
      <c r="AO161">
        <v>0</v>
      </c>
      <c r="AP161">
        <v>1</v>
      </c>
      <c r="AQ161">
        <v>5.0000000000000001E-3</v>
      </c>
      <c r="AX161">
        <v>7</v>
      </c>
      <c r="AY161" s="1">
        <v>11</v>
      </c>
      <c r="AZ161">
        <v>0</v>
      </c>
      <c r="BA161">
        <v>0</v>
      </c>
      <c r="BB161">
        <v>1</v>
      </c>
      <c r="BC161" s="7">
        <v>0.48</v>
      </c>
      <c r="BP161">
        <v>36</v>
      </c>
      <c r="BQ161">
        <v>0</v>
      </c>
      <c r="BR161">
        <v>0</v>
      </c>
      <c r="BS161">
        <v>0</v>
      </c>
      <c r="BT161">
        <v>5</v>
      </c>
      <c r="BU161">
        <v>1.8</v>
      </c>
    </row>
    <row r="162" spans="1:73" x14ac:dyDescent="0.15">
      <c r="A162" s="11">
        <v>729</v>
      </c>
      <c r="B162">
        <v>7</v>
      </c>
      <c r="C162" s="1">
        <v>28</v>
      </c>
      <c r="D162">
        <v>0</v>
      </c>
      <c r="E162">
        <v>0</v>
      </c>
      <c r="F162">
        <v>1</v>
      </c>
      <c r="G162" s="7">
        <v>0.08</v>
      </c>
      <c r="H162">
        <v>12</v>
      </c>
      <c r="I162">
        <v>0</v>
      </c>
      <c r="J162">
        <v>0</v>
      </c>
      <c r="K162">
        <v>0</v>
      </c>
      <c r="L162">
        <v>1</v>
      </c>
      <c r="M162">
        <v>1.8</v>
      </c>
      <c r="N162" s="7">
        <v>9</v>
      </c>
      <c r="O162" s="7">
        <v>0</v>
      </c>
      <c r="P162" s="7">
        <v>0</v>
      </c>
      <c r="Q162" s="7">
        <v>0</v>
      </c>
      <c r="R162" s="7">
        <v>1</v>
      </c>
      <c r="S162" s="7">
        <v>2.5</v>
      </c>
      <c r="T162">
        <v>7</v>
      </c>
      <c r="U162" s="1">
        <v>20</v>
      </c>
      <c r="V162">
        <v>0</v>
      </c>
      <c r="W162">
        <v>0</v>
      </c>
      <c r="X162">
        <v>1</v>
      </c>
      <c r="Y162">
        <v>0.32</v>
      </c>
      <c r="Z162">
        <v>23</v>
      </c>
      <c r="AA162">
        <v>0</v>
      </c>
      <c r="AB162">
        <v>0</v>
      </c>
      <c r="AC162">
        <v>0</v>
      </c>
      <c r="AD162">
        <v>1</v>
      </c>
      <c r="AE162">
        <v>0.02</v>
      </c>
      <c r="AF162">
        <v>15</v>
      </c>
      <c r="AG162">
        <v>0</v>
      </c>
      <c r="AH162">
        <v>0</v>
      </c>
      <c r="AI162">
        <v>0</v>
      </c>
      <c r="AJ162">
        <v>1</v>
      </c>
      <c r="AK162">
        <v>0.01</v>
      </c>
      <c r="AL162">
        <v>16</v>
      </c>
      <c r="AM162">
        <v>0</v>
      </c>
      <c r="AN162">
        <v>0</v>
      </c>
      <c r="AO162">
        <v>0</v>
      </c>
      <c r="AP162">
        <v>1</v>
      </c>
      <c r="AQ162">
        <v>5.0000000000000001E-3</v>
      </c>
      <c r="AX162">
        <v>7</v>
      </c>
      <c r="AY162" s="1">
        <v>12</v>
      </c>
      <c r="AZ162">
        <v>0</v>
      </c>
      <c r="BA162">
        <v>0</v>
      </c>
      <c r="BB162">
        <v>1</v>
      </c>
      <c r="BC162" s="7">
        <v>0.48</v>
      </c>
      <c r="BP162">
        <v>36</v>
      </c>
      <c r="BQ162">
        <v>0</v>
      </c>
      <c r="BR162">
        <v>0</v>
      </c>
      <c r="BS162">
        <v>0</v>
      </c>
      <c r="BT162">
        <v>5</v>
      </c>
      <c r="BU162">
        <v>1.8</v>
      </c>
    </row>
    <row r="163" spans="1:73" x14ac:dyDescent="0.15">
      <c r="A163" s="11">
        <v>730</v>
      </c>
      <c r="B163">
        <v>7</v>
      </c>
      <c r="C163" s="1">
        <v>0</v>
      </c>
      <c r="D163">
        <v>3</v>
      </c>
      <c r="E163">
        <v>3</v>
      </c>
      <c r="F163">
        <v>1</v>
      </c>
      <c r="G163" s="7">
        <v>0.08</v>
      </c>
      <c r="H163">
        <v>12</v>
      </c>
      <c r="I163">
        <v>0</v>
      </c>
      <c r="J163">
        <v>0</v>
      </c>
      <c r="K163">
        <v>0</v>
      </c>
      <c r="L163">
        <v>1</v>
      </c>
      <c r="M163">
        <v>1.8</v>
      </c>
      <c r="N163" s="7">
        <v>9</v>
      </c>
      <c r="O163" s="7">
        <v>0</v>
      </c>
      <c r="P163" s="7">
        <v>0</v>
      </c>
      <c r="Q163" s="7">
        <v>0</v>
      </c>
      <c r="R163" s="7">
        <v>1</v>
      </c>
      <c r="S163" s="7">
        <v>2.5</v>
      </c>
      <c r="T163">
        <v>7</v>
      </c>
      <c r="U163" s="1">
        <v>0</v>
      </c>
      <c r="V163">
        <v>3</v>
      </c>
      <c r="W163">
        <v>1</v>
      </c>
      <c r="X163">
        <v>1</v>
      </c>
      <c r="Y163">
        <v>0.32</v>
      </c>
      <c r="Z163">
        <v>23</v>
      </c>
      <c r="AA163">
        <v>0</v>
      </c>
      <c r="AB163">
        <v>0</v>
      </c>
      <c r="AC163">
        <v>0</v>
      </c>
      <c r="AD163">
        <v>1</v>
      </c>
      <c r="AE163">
        <v>0.02</v>
      </c>
      <c r="AF163">
        <v>15</v>
      </c>
      <c r="AG163">
        <v>0</v>
      </c>
      <c r="AH163">
        <v>0</v>
      </c>
      <c r="AI163">
        <v>0</v>
      </c>
      <c r="AJ163">
        <v>1</v>
      </c>
      <c r="AK163">
        <v>0.01</v>
      </c>
      <c r="AL163">
        <v>16</v>
      </c>
      <c r="AM163">
        <v>0</v>
      </c>
      <c r="AN163">
        <v>0</v>
      </c>
      <c r="AO163">
        <v>0</v>
      </c>
      <c r="AP163">
        <v>1</v>
      </c>
      <c r="AQ163">
        <v>5.0000000000000001E-3</v>
      </c>
      <c r="AR163">
        <v>6</v>
      </c>
      <c r="AS163">
        <v>2</v>
      </c>
      <c r="AT163">
        <v>2</v>
      </c>
      <c r="AU163">
        <v>5</v>
      </c>
      <c r="AV163">
        <v>1</v>
      </c>
      <c r="AW163">
        <v>0.05</v>
      </c>
      <c r="AX163">
        <v>7</v>
      </c>
      <c r="AY163" s="1">
        <v>0</v>
      </c>
      <c r="AZ163">
        <v>2</v>
      </c>
      <c r="BA163">
        <v>1</v>
      </c>
      <c r="BB163">
        <v>1</v>
      </c>
      <c r="BC163" s="7">
        <v>0.48</v>
      </c>
      <c r="BP163">
        <v>36</v>
      </c>
      <c r="BQ163">
        <v>0</v>
      </c>
      <c r="BR163">
        <v>0</v>
      </c>
      <c r="BS163">
        <v>0</v>
      </c>
      <c r="BT163">
        <v>5</v>
      </c>
      <c r="BU163">
        <v>1.8</v>
      </c>
    </row>
    <row r="164" spans="1:73" x14ac:dyDescent="0.15">
      <c r="A164" s="11">
        <v>731</v>
      </c>
      <c r="B164">
        <v>7</v>
      </c>
      <c r="C164" s="1">
        <v>25</v>
      </c>
      <c r="D164">
        <v>0</v>
      </c>
      <c r="E164">
        <v>0</v>
      </c>
      <c r="F164">
        <v>1</v>
      </c>
      <c r="G164" s="7">
        <v>0.08</v>
      </c>
      <c r="H164">
        <v>12</v>
      </c>
      <c r="I164">
        <v>0</v>
      </c>
      <c r="J164">
        <v>0</v>
      </c>
      <c r="K164">
        <v>0</v>
      </c>
      <c r="L164">
        <v>1</v>
      </c>
      <c r="M164">
        <v>1.8</v>
      </c>
      <c r="N164" s="7">
        <v>9</v>
      </c>
      <c r="O164" s="7">
        <v>0</v>
      </c>
      <c r="P164" s="7">
        <v>0</v>
      </c>
      <c r="Q164" s="7">
        <v>0</v>
      </c>
      <c r="R164" s="7">
        <v>1</v>
      </c>
      <c r="S164" s="7">
        <v>2.5</v>
      </c>
      <c r="T164">
        <v>7</v>
      </c>
      <c r="U164" s="1">
        <v>17</v>
      </c>
      <c r="V164">
        <v>0</v>
      </c>
      <c r="W164">
        <v>0</v>
      </c>
      <c r="X164">
        <v>1</v>
      </c>
      <c r="Y164">
        <v>0.32</v>
      </c>
      <c r="Z164">
        <v>23</v>
      </c>
      <c r="AA164">
        <v>0</v>
      </c>
      <c r="AB164">
        <v>0</v>
      </c>
      <c r="AC164">
        <v>0</v>
      </c>
      <c r="AD164">
        <v>1</v>
      </c>
      <c r="AE164">
        <v>0.02</v>
      </c>
      <c r="AF164">
        <v>15</v>
      </c>
      <c r="AG164">
        <v>0</v>
      </c>
      <c r="AH164">
        <v>0</v>
      </c>
      <c r="AI164">
        <v>0</v>
      </c>
      <c r="AJ164">
        <v>1</v>
      </c>
      <c r="AK164">
        <v>0.01</v>
      </c>
      <c r="AL164">
        <v>16</v>
      </c>
      <c r="AM164">
        <v>0</v>
      </c>
      <c r="AN164">
        <v>0</v>
      </c>
      <c r="AO164">
        <v>0</v>
      </c>
      <c r="AP164">
        <v>1</v>
      </c>
      <c r="AQ164">
        <v>5.0000000000000001E-3</v>
      </c>
      <c r="AX164">
        <v>7</v>
      </c>
      <c r="AY164" s="1">
        <v>9</v>
      </c>
      <c r="AZ164">
        <v>0</v>
      </c>
      <c r="BA164">
        <v>0</v>
      </c>
      <c r="BB164">
        <v>1</v>
      </c>
      <c r="BC164" s="7">
        <v>0.48</v>
      </c>
      <c r="BP164">
        <v>36</v>
      </c>
      <c r="BQ164">
        <v>0</v>
      </c>
      <c r="BR164">
        <v>0</v>
      </c>
      <c r="BS164">
        <v>0</v>
      </c>
      <c r="BT164">
        <v>5</v>
      </c>
      <c r="BU164">
        <v>1.8</v>
      </c>
    </row>
    <row r="165" spans="1:73" x14ac:dyDescent="0.15">
      <c r="A165" s="11">
        <v>732</v>
      </c>
      <c r="B165">
        <v>7</v>
      </c>
      <c r="C165" s="1">
        <v>26</v>
      </c>
      <c r="D165">
        <v>0</v>
      </c>
      <c r="E165">
        <v>0</v>
      </c>
      <c r="F165">
        <v>1</v>
      </c>
      <c r="G165" s="7">
        <v>0.08</v>
      </c>
      <c r="H165">
        <v>12</v>
      </c>
      <c r="I165">
        <v>0</v>
      </c>
      <c r="J165">
        <v>0</v>
      </c>
      <c r="K165">
        <v>0</v>
      </c>
      <c r="L165">
        <v>1</v>
      </c>
      <c r="M165">
        <v>1.8</v>
      </c>
      <c r="N165" s="7">
        <v>9</v>
      </c>
      <c r="O165" s="7">
        <v>0</v>
      </c>
      <c r="P165" s="7">
        <v>0</v>
      </c>
      <c r="Q165" s="7">
        <v>0</v>
      </c>
      <c r="R165" s="7">
        <v>1</v>
      </c>
      <c r="S165" s="7">
        <v>2.5</v>
      </c>
      <c r="T165">
        <v>7</v>
      </c>
      <c r="U165" s="1">
        <v>18</v>
      </c>
      <c r="V165">
        <v>0</v>
      </c>
      <c r="W165">
        <v>0</v>
      </c>
      <c r="X165">
        <v>1</v>
      </c>
      <c r="Y165">
        <v>0.32</v>
      </c>
      <c r="Z165">
        <v>23</v>
      </c>
      <c r="AA165">
        <v>0</v>
      </c>
      <c r="AB165">
        <v>0</v>
      </c>
      <c r="AC165">
        <v>0</v>
      </c>
      <c r="AD165">
        <v>1</v>
      </c>
      <c r="AE165">
        <v>0.02</v>
      </c>
      <c r="AF165">
        <v>15</v>
      </c>
      <c r="AG165">
        <v>0</v>
      </c>
      <c r="AH165">
        <v>0</v>
      </c>
      <c r="AI165">
        <v>0</v>
      </c>
      <c r="AJ165">
        <v>1</v>
      </c>
      <c r="AK165">
        <v>0.01</v>
      </c>
      <c r="AL165">
        <v>16</v>
      </c>
      <c r="AM165">
        <v>0</v>
      </c>
      <c r="AN165">
        <v>0</v>
      </c>
      <c r="AO165">
        <v>0</v>
      </c>
      <c r="AP165">
        <v>1</v>
      </c>
      <c r="AQ165">
        <v>5.0000000000000001E-3</v>
      </c>
      <c r="AX165">
        <v>7</v>
      </c>
      <c r="AY165" s="1">
        <v>10</v>
      </c>
      <c r="AZ165">
        <v>0</v>
      </c>
      <c r="BA165">
        <v>0</v>
      </c>
      <c r="BB165">
        <v>1</v>
      </c>
      <c r="BC165" s="7">
        <v>0.48</v>
      </c>
      <c r="BP165">
        <v>36</v>
      </c>
      <c r="BQ165">
        <v>0</v>
      </c>
      <c r="BR165">
        <v>0</v>
      </c>
      <c r="BS165">
        <v>0</v>
      </c>
      <c r="BT165">
        <v>5</v>
      </c>
      <c r="BU165">
        <v>1.8</v>
      </c>
    </row>
    <row r="166" spans="1:73" x14ac:dyDescent="0.15">
      <c r="A166" s="11">
        <v>733</v>
      </c>
      <c r="B166">
        <v>7</v>
      </c>
      <c r="C166" s="1">
        <v>27</v>
      </c>
      <c r="D166">
        <v>0</v>
      </c>
      <c r="E166">
        <v>0</v>
      </c>
      <c r="F166">
        <v>1</v>
      </c>
      <c r="G166" s="7">
        <v>0.08</v>
      </c>
      <c r="H166">
        <v>12</v>
      </c>
      <c r="I166">
        <v>0</v>
      </c>
      <c r="J166">
        <v>0</v>
      </c>
      <c r="K166">
        <v>0</v>
      </c>
      <c r="L166">
        <v>1</v>
      </c>
      <c r="M166">
        <v>1.8</v>
      </c>
      <c r="N166" s="7">
        <v>9</v>
      </c>
      <c r="O166" s="7">
        <v>0</v>
      </c>
      <c r="P166" s="7">
        <v>0</v>
      </c>
      <c r="Q166" s="7">
        <v>0</v>
      </c>
      <c r="R166" s="7">
        <v>1</v>
      </c>
      <c r="S166" s="7">
        <v>2.5</v>
      </c>
      <c r="T166">
        <v>7</v>
      </c>
      <c r="U166" s="1">
        <v>19</v>
      </c>
      <c r="V166">
        <v>0</v>
      </c>
      <c r="W166">
        <v>0</v>
      </c>
      <c r="X166">
        <v>1</v>
      </c>
      <c r="Y166">
        <v>0.32</v>
      </c>
      <c r="Z166">
        <v>23</v>
      </c>
      <c r="AA166">
        <v>0</v>
      </c>
      <c r="AB166">
        <v>0</v>
      </c>
      <c r="AC166">
        <v>0</v>
      </c>
      <c r="AD166">
        <v>1</v>
      </c>
      <c r="AE166">
        <v>0.02</v>
      </c>
      <c r="AF166">
        <v>15</v>
      </c>
      <c r="AG166">
        <v>0</v>
      </c>
      <c r="AH166">
        <v>0</v>
      </c>
      <c r="AI166">
        <v>0</v>
      </c>
      <c r="AJ166">
        <v>1</v>
      </c>
      <c r="AK166">
        <v>0.01</v>
      </c>
      <c r="AL166">
        <v>16</v>
      </c>
      <c r="AM166">
        <v>0</v>
      </c>
      <c r="AN166">
        <v>0</v>
      </c>
      <c r="AO166">
        <v>0</v>
      </c>
      <c r="AP166">
        <v>1</v>
      </c>
      <c r="AQ166">
        <v>5.0000000000000001E-3</v>
      </c>
      <c r="AX166">
        <v>7</v>
      </c>
      <c r="AY166" s="1">
        <v>11</v>
      </c>
      <c r="AZ166">
        <v>0</v>
      </c>
      <c r="BA166">
        <v>0</v>
      </c>
      <c r="BB166">
        <v>1</v>
      </c>
      <c r="BC166" s="7">
        <v>0.48</v>
      </c>
      <c r="BP166">
        <v>36</v>
      </c>
      <c r="BQ166">
        <v>0</v>
      </c>
      <c r="BR166">
        <v>0</v>
      </c>
      <c r="BS166">
        <v>0</v>
      </c>
      <c r="BT166">
        <v>5</v>
      </c>
      <c r="BU166">
        <v>1.8</v>
      </c>
    </row>
    <row r="167" spans="1:73" x14ac:dyDescent="0.15">
      <c r="A167" s="11">
        <v>734</v>
      </c>
      <c r="B167">
        <v>7</v>
      </c>
      <c r="C167" s="1">
        <v>28</v>
      </c>
      <c r="D167">
        <v>0</v>
      </c>
      <c r="E167">
        <v>0</v>
      </c>
      <c r="F167">
        <v>1</v>
      </c>
      <c r="G167" s="7">
        <v>0.08</v>
      </c>
      <c r="H167">
        <v>12</v>
      </c>
      <c r="I167">
        <v>0</v>
      </c>
      <c r="J167">
        <v>0</v>
      </c>
      <c r="K167">
        <v>0</v>
      </c>
      <c r="L167">
        <v>1</v>
      </c>
      <c r="M167">
        <v>1.8</v>
      </c>
      <c r="N167" s="7">
        <v>9</v>
      </c>
      <c r="O167" s="7">
        <v>0</v>
      </c>
      <c r="P167" s="7">
        <v>0</v>
      </c>
      <c r="Q167" s="7">
        <v>0</v>
      </c>
      <c r="R167" s="7">
        <v>1</v>
      </c>
      <c r="S167" s="7">
        <v>2.5</v>
      </c>
      <c r="T167">
        <v>7</v>
      </c>
      <c r="U167" s="1">
        <v>20</v>
      </c>
      <c r="V167">
        <v>0</v>
      </c>
      <c r="W167">
        <v>0</v>
      </c>
      <c r="X167">
        <v>1</v>
      </c>
      <c r="Y167">
        <v>0.32</v>
      </c>
      <c r="Z167">
        <v>23</v>
      </c>
      <c r="AA167">
        <v>0</v>
      </c>
      <c r="AB167">
        <v>0</v>
      </c>
      <c r="AC167">
        <v>0</v>
      </c>
      <c r="AD167">
        <v>1</v>
      </c>
      <c r="AE167">
        <v>0.02</v>
      </c>
      <c r="AF167">
        <v>15</v>
      </c>
      <c r="AG167">
        <v>0</v>
      </c>
      <c r="AH167">
        <v>0</v>
      </c>
      <c r="AI167">
        <v>0</v>
      </c>
      <c r="AJ167">
        <v>1</v>
      </c>
      <c r="AK167">
        <v>0.01</v>
      </c>
      <c r="AL167">
        <v>16</v>
      </c>
      <c r="AM167">
        <v>0</v>
      </c>
      <c r="AN167">
        <v>0</v>
      </c>
      <c r="AO167">
        <v>0</v>
      </c>
      <c r="AP167">
        <v>1</v>
      </c>
      <c r="AQ167">
        <v>5.0000000000000001E-3</v>
      </c>
      <c r="AX167">
        <v>7</v>
      </c>
      <c r="AY167" s="1">
        <v>12</v>
      </c>
      <c r="AZ167">
        <v>0</v>
      </c>
      <c r="BA167">
        <v>0</v>
      </c>
      <c r="BB167">
        <v>1</v>
      </c>
      <c r="BC167" s="7">
        <v>0.48</v>
      </c>
      <c r="BP167">
        <v>36</v>
      </c>
      <c r="BQ167">
        <v>0</v>
      </c>
      <c r="BR167">
        <v>0</v>
      </c>
      <c r="BS167">
        <v>0</v>
      </c>
      <c r="BT167">
        <v>5</v>
      </c>
      <c r="BU167">
        <v>1.8</v>
      </c>
    </row>
    <row r="168" spans="1:73" x14ac:dyDescent="0.15">
      <c r="A168" s="11">
        <v>735</v>
      </c>
      <c r="B168">
        <v>7</v>
      </c>
      <c r="C168" s="1">
        <v>0</v>
      </c>
      <c r="D168">
        <v>4</v>
      </c>
      <c r="E168">
        <v>1</v>
      </c>
      <c r="F168">
        <v>1</v>
      </c>
      <c r="G168" s="7">
        <v>0.08</v>
      </c>
      <c r="H168">
        <v>12</v>
      </c>
      <c r="I168">
        <v>0</v>
      </c>
      <c r="J168">
        <v>0</v>
      </c>
      <c r="K168">
        <v>0</v>
      </c>
      <c r="L168">
        <v>1</v>
      </c>
      <c r="M168">
        <v>1.8</v>
      </c>
      <c r="N168" s="7">
        <v>9</v>
      </c>
      <c r="O168" s="7">
        <v>0</v>
      </c>
      <c r="P168" s="7">
        <v>0</v>
      </c>
      <c r="Q168" s="7">
        <v>0</v>
      </c>
      <c r="R168" s="7">
        <v>1</v>
      </c>
      <c r="S168" s="7">
        <v>2.5</v>
      </c>
      <c r="T168">
        <v>7</v>
      </c>
      <c r="U168" s="1">
        <v>0</v>
      </c>
      <c r="V168">
        <v>3</v>
      </c>
      <c r="W168">
        <v>1</v>
      </c>
      <c r="X168">
        <v>1</v>
      </c>
      <c r="Y168">
        <v>0.32</v>
      </c>
      <c r="Z168">
        <v>23</v>
      </c>
      <c r="AA168">
        <v>0</v>
      </c>
      <c r="AB168">
        <v>0</v>
      </c>
      <c r="AC168">
        <v>0</v>
      </c>
      <c r="AD168">
        <v>1</v>
      </c>
      <c r="AE168">
        <v>0.02</v>
      </c>
      <c r="AF168">
        <v>15</v>
      </c>
      <c r="AG168">
        <v>0</v>
      </c>
      <c r="AH168">
        <v>0</v>
      </c>
      <c r="AI168">
        <v>0</v>
      </c>
      <c r="AJ168">
        <v>1</v>
      </c>
      <c r="AK168">
        <v>0.01</v>
      </c>
      <c r="AL168">
        <v>16</v>
      </c>
      <c r="AM168">
        <v>0</v>
      </c>
      <c r="AN168">
        <v>0</v>
      </c>
      <c r="AO168">
        <v>0</v>
      </c>
      <c r="AP168">
        <v>1</v>
      </c>
      <c r="AQ168">
        <v>5.0000000000000001E-3</v>
      </c>
      <c r="AR168">
        <v>6</v>
      </c>
      <c r="AS168">
        <v>2</v>
      </c>
      <c r="AT168">
        <v>3</v>
      </c>
      <c r="AU168">
        <v>5</v>
      </c>
      <c r="AV168">
        <v>1</v>
      </c>
      <c r="AW168">
        <v>0.05</v>
      </c>
      <c r="AX168">
        <v>7</v>
      </c>
      <c r="AY168" s="1">
        <v>0</v>
      </c>
      <c r="AZ168">
        <v>2</v>
      </c>
      <c r="BA168">
        <v>1</v>
      </c>
      <c r="BB168">
        <v>1</v>
      </c>
      <c r="BC168" s="7">
        <v>0.48</v>
      </c>
      <c r="BP168">
        <v>36</v>
      </c>
      <c r="BQ168">
        <v>0</v>
      </c>
      <c r="BR168">
        <v>0</v>
      </c>
      <c r="BS168">
        <v>0</v>
      </c>
      <c r="BT168">
        <v>5</v>
      </c>
      <c r="BU168">
        <v>1.8</v>
      </c>
    </row>
    <row r="169" spans="1:73" x14ac:dyDescent="0.15">
      <c r="A169" s="11">
        <v>801</v>
      </c>
      <c r="B169">
        <v>7</v>
      </c>
      <c r="C169" s="1">
        <v>25</v>
      </c>
      <c r="D169">
        <v>0</v>
      </c>
      <c r="E169">
        <v>0</v>
      </c>
      <c r="F169">
        <v>1</v>
      </c>
      <c r="G169" s="7">
        <v>0.08</v>
      </c>
      <c r="H169">
        <v>12</v>
      </c>
      <c r="I169">
        <v>0</v>
      </c>
      <c r="J169">
        <v>0</v>
      </c>
      <c r="K169">
        <v>0</v>
      </c>
      <c r="L169">
        <v>1</v>
      </c>
      <c r="M169">
        <v>1.8</v>
      </c>
      <c r="N169" s="7">
        <v>9</v>
      </c>
      <c r="O169" s="7">
        <v>0</v>
      </c>
      <c r="P169" s="7">
        <v>0</v>
      </c>
      <c r="Q169" s="7">
        <v>0</v>
      </c>
      <c r="R169" s="7">
        <v>1</v>
      </c>
      <c r="S169" s="7">
        <v>2.5</v>
      </c>
      <c r="T169">
        <v>7</v>
      </c>
      <c r="U169" s="1">
        <v>17</v>
      </c>
      <c r="V169">
        <v>0</v>
      </c>
      <c r="W169">
        <v>0</v>
      </c>
      <c r="X169">
        <v>1</v>
      </c>
      <c r="Y169">
        <v>0.32</v>
      </c>
      <c r="Z169">
        <v>23</v>
      </c>
      <c r="AA169">
        <v>0</v>
      </c>
      <c r="AB169">
        <v>0</v>
      </c>
      <c r="AC169">
        <v>0</v>
      </c>
      <c r="AD169">
        <v>1</v>
      </c>
      <c r="AE169">
        <v>0.02</v>
      </c>
      <c r="AF169">
        <v>15</v>
      </c>
      <c r="AG169">
        <v>0</v>
      </c>
      <c r="AH169">
        <v>0</v>
      </c>
      <c r="AI169">
        <v>0</v>
      </c>
      <c r="AJ169">
        <v>1</v>
      </c>
      <c r="AK169">
        <v>0.01</v>
      </c>
      <c r="AL169">
        <v>16</v>
      </c>
      <c r="AM169">
        <v>0</v>
      </c>
      <c r="AN169">
        <v>0</v>
      </c>
      <c r="AO169">
        <v>0</v>
      </c>
      <c r="AP169">
        <v>1</v>
      </c>
      <c r="AQ169">
        <v>5.0000000000000001E-3</v>
      </c>
      <c r="AX169">
        <v>7</v>
      </c>
      <c r="AY169" s="1">
        <v>9</v>
      </c>
      <c r="AZ169">
        <v>0</v>
      </c>
      <c r="BA169">
        <v>0</v>
      </c>
      <c r="BB169">
        <v>1</v>
      </c>
      <c r="BC169" s="7">
        <v>0.48</v>
      </c>
      <c r="BP169">
        <v>36</v>
      </c>
      <c r="BQ169">
        <v>0</v>
      </c>
      <c r="BR169">
        <v>0</v>
      </c>
      <c r="BS169">
        <v>0</v>
      </c>
      <c r="BT169">
        <v>5</v>
      </c>
      <c r="BU169">
        <v>2</v>
      </c>
    </row>
    <row r="170" spans="1:73" x14ac:dyDescent="0.15">
      <c r="A170" s="11">
        <v>802</v>
      </c>
      <c r="B170">
        <v>7</v>
      </c>
      <c r="C170" s="1">
        <v>26</v>
      </c>
      <c r="D170">
        <v>0</v>
      </c>
      <c r="E170">
        <v>0</v>
      </c>
      <c r="F170">
        <v>1</v>
      </c>
      <c r="G170" s="7">
        <v>0.08</v>
      </c>
      <c r="H170">
        <v>12</v>
      </c>
      <c r="I170">
        <v>0</v>
      </c>
      <c r="J170">
        <v>0</v>
      </c>
      <c r="K170">
        <v>0</v>
      </c>
      <c r="L170">
        <v>1</v>
      </c>
      <c r="M170">
        <v>1.8</v>
      </c>
      <c r="N170" s="7">
        <v>9</v>
      </c>
      <c r="O170" s="7">
        <v>0</v>
      </c>
      <c r="P170" s="7">
        <v>0</v>
      </c>
      <c r="Q170" s="7">
        <v>0</v>
      </c>
      <c r="R170" s="7">
        <v>1</v>
      </c>
      <c r="S170" s="7">
        <v>2.5</v>
      </c>
      <c r="T170">
        <v>7</v>
      </c>
      <c r="U170" s="1">
        <v>18</v>
      </c>
      <c r="V170">
        <v>0</v>
      </c>
      <c r="W170">
        <v>0</v>
      </c>
      <c r="X170">
        <v>1</v>
      </c>
      <c r="Y170">
        <v>0.32</v>
      </c>
      <c r="Z170">
        <v>23</v>
      </c>
      <c r="AA170">
        <v>0</v>
      </c>
      <c r="AB170">
        <v>0</v>
      </c>
      <c r="AC170">
        <v>0</v>
      </c>
      <c r="AD170">
        <v>1</v>
      </c>
      <c r="AE170">
        <v>0.02</v>
      </c>
      <c r="AF170">
        <v>15</v>
      </c>
      <c r="AG170">
        <v>0</v>
      </c>
      <c r="AH170">
        <v>0</v>
      </c>
      <c r="AI170">
        <v>0</v>
      </c>
      <c r="AJ170">
        <v>1</v>
      </c>
      <c r="AK170">
        <v>0.01</v>
      </c>
      <c r="AL170">
        <v>16</v>
      </c>
      <c r="AM170">
        <v>0</v>
      </c>
      <c r="AN170">
        <v>0</v>
      </c>
      <c r="AO170">
        <v>0</v>
      </c>
      <c r="AP170">
        <v>1</v>
      </c>
      <c r="AQ170">
        <v>5.0000000000000001E-3</v>
      </c>
      <c r="AX170">
        <v>7</v>
      </c>
      <c r="AY170" s="1">
        <v>10</v>
      </c>
      <c r="AZ170">
        <v>0</v>
      </c>
      <c r="BA170">
        <v>0</v>
      </c>
      <c r="BB170">
        <v>1</v>
      </c>
      <c r="BC170" s="7">
        <v>0.48</v>
      </c>
      <c r="BP170">
        <v>36</v>
      </c>
      <c r="BQ170">
        <v>0</v>
      </c>
      <c r="BR170">
        <v>0</v>
      </c>
      <c r="BS170">
        <v>0</v>
      </c>
      <c r="BT170">
        <v>5</v>
      </c>
      <c r="BU170">
        <v>2</v>
      </c>
    </row>
    <row r="171" spans="1:73" x14ac:dyDescent="0.15">
      <c r="A171" s="11">
        <v>803</v>
      </c>
      <c r="B171">
        <v>7</v>
      </c>
      <c r="C171" s="1">
        <v>27</v>
      </c>
      <c r="D171">
        <v>0</v>
      </c>
      <c r="E171">
        <v>0</v>
      </c>
      <c r="F171">
        <v>1</v>
      </c>
      <c r="G171" s="7">
        <v>0.08</v>
      </c>
      <c r="H171">
        <v>12</v>
      </c>
      <c r="I171">
        <v>0</v>
      </c>
      <c r="J171">
        <v>0</v>
      </c>
      <c r="K171">
        <v>0</v>
      </c>
      <c r="L171">
        <v>1</v>
      </c>
      <c r="M171">
        <v>1.8</v>
      </c>
      <c r="N171" s="7">
        <v>9</v>
      </c>
      <c r="O171" s="7">
        <v>0</v>
      </c>
      <c r="P171" s="7">
        <v>0</v>
      </c>
      <c r="Q171" s="7">
        <v>0</v>
      </c>
      <c r="R171" s="7">
        <v>1</v>
      </c>
      <c r="S171" s="7">
        <v>2.5</v>
      </c>
      <c r="T171">
        <v>7</v>
      </c>
      <c r="U171" s="1">
        <v>19</v>
      </c>
      <c r="V171">
        <v>0</v>
      </c>
      <c r="W171">
        <v>0</v>
      </c>
      <c r="X171">
        <v>1</v>
      </c>
      <c r="Y171">
        <v>0.32</v>
      </c>
      <c r="Z171">
        <v>23</v>
      </c>
      <c r="AA171">
        <v>0</v>
      </c>
      <c r="AB171">
        <v>0</v>
      </c>
      <c r="AC171">
        <v>0</v>
      </c>
      <c r="AD171">
        <v>1</v>
      </c>
      <c r="AE171">
        <v>0.02</v>
      </c>
      <c r="AF171">
        <v>15</v>
      </c>
      <c r="AG171">
        <v>0</v>
      </c>
      <c r="AH171">
        <v>0</v>
      </c>
      <c r="AI171">
        <v>0</v>
      </c>
      <c r="AJ171">
        <v>1</v>
      </c>
      <c r="AK171">
        <v>0.01</v>
      </c>
      <c r="AL171">
        <v>16</v>
      </c>
      <c r="AM171">
        <v>0</v>
      </c>
      <c r="AN171">
        <v>0</v>
      </c>
      <c r="AO171">
        <v>0</v>
      </c>
      <c r="AP171">
        <v>1</v>
      </c>
      <c r="AQ171">
        <v>5.0000000000000001E-3</v>
      </c>
      <c r="AX171">
        <v>7</v>
      </c>
      <c r="AY171" s="1">
        <v>11</v>
      </c>
      <c r="AZ171">
        <v>0</v>
      </c>
      <c r="BA171">
        <v>0</v>
      </c>
      <c r="BB171">
        <v>1</v>
      </c>
      <c r="BC171" s="7">
        <v>0.48</v>
      </c>
      <c r="BP171">
        <v>36</v>
      </c>
      <c r="BQ171">
        <v>0</v>
      </c>
      <c r="BR171">
        <v>0</v>
      </c>
      <c r="BS171">
        <v>0</v>
      </c>
      <c r="BT171">
        <v>5</v>
      </c>
      <c r="BU171">
        <v>2</v>
      </c>
    </row>
    <row r="172" spans="1:73" x14ac:dyDescent="0.15">
      <c r="A172" s="11">
        <v>804</v>
      </c>
      <c r="B172">
        <v>7</v>
      </c>
      <c r="C172" s="1">
        <v>28</v>
      </c>
      <c r="D172">
        <v>0</v>
      </c>
      <c r="E172">
        <v>0</v>
      </c>
      <c r="F172">
        <v>1</v>
      </c>
      <c r="G172" s="7">
        <v>0.08</v>
      </c>
      <c r="H172">
        <v>12</v>
      </c>
      <c r="I172">
        <v>0</v>
      </c>
      <c r="J172">
        <v>0</v>
      </c>
      <c r="K172">
        <v>0</v>
      </c>
      <c r="L172">
        <v>1</v>
      </c>
      <c r="M172">
        <v>1.8</v>
      </c>
      <c r="N172" s="7">
        <v>9</v>
      </c>
      <c r="O172" s="7">
        <v>0</v>
      </c>
      <c r="P172" s="7">
        <v>0</v>
      </c>
      <c r="Q172" s="7">
        <v>0</v>
      </c>
      <c r="R172" s="7">
        <v>1</v>
      </c>
      <c r="S172" s="7">
        <v>2.5</v>
      </c>
      <c r="T172">
        <v>7</v>
      </c>
      <c r="U172" s="1">
        <v>20</v>
      </c>
      <c r="V172">
        <v>0</v>
      </c>
      <c r="W172">
        <v>0</v>
      </c>
      <c r="X172">
        <v>1</v>
      </c>
      <c r="Y172">
        <v>0.32</v>
      </c>
      <c r="Z172">
        <v>23</v>
      </c>
      <c r="AA172">
        <v>0</v>
      </c>
      <c r="AB172">
        <v>0</v>
      </c>
      <c r="AC172">
        <v>0</v>
      </c>
      <c r="AD172">
        <v>1</v>
      </c>
      <c r="AE172">
        <v>0.02</v>
      </c>
      <c r="AF172">
        <v>15</v>
      </c>
      <c r="AG172">
        <v>0</v>
      </c>
      <c r="AH172">
        <v>0</v>
      </c>
      <c r="AI172">
        <v>0</v>
      </c>
      <c r="AJ172">
        <v>1</v>
      </c>
      <c r="AK172">
        <v>0.01</v>
      </c>
      <c r="AL172">
        <v>16</v>
      </c>
      <c r="AM172">
        <v>0</v>
      </c>
      <c r="AN172">
        <v>0</v>
      </c>
      <c r="AO172">
        <v>0</v>
      </c>
      <c r="AP172">
        <v>1</v>
      </c>
      <c r="AQ172">
        <v>5.0000000000000001E-3</v>
      </c>
      <c r="AX172">
        <v>7</v>
      </c>
      <c r="AY172" s="1">
        <v>12</v>
      </c>
      <c r="AZ172">
        <v>0</v>
      </c>
      <c r="BA172">
        <v>0</v>
      </c>
      <c r="BB172">
        <v>1</v>
      </c>
      <c r="BC172" s="7">
        <v>0.48</v>
      </c>
      <c r="BP172">
        <v>36</v>
      </c>
      <c r="BQ172">
        <v>0</v>
      </c>
      <c r="BR172">
        <v>0</v>
      </c>
      <c r="BS172">
        <v>0</v>
      </c>
      <c r="BT172">
        <v>5</v>
      </c>
      <c r="BU172">
        <v>2</v>
      </c>
    </row>
    <row r="173" spans="1:73" x14ac:dyDescent="0.15">
      <c r="A173" s="11">
        <v>805</v>
      </c>
      <c r="B173">
        <v>7</v>
      </c>
      <c r="C173" s="1">
        <v>0</v>
      </c>
      <c r="D173">
        <v>4</v>
      </c>
      <c r="E173">
        <v>1</v>
      </c>
      <c r="F173">
        <v>1</v>
      </c>
      <c r="G173" s="7">
        <v>0.08</v>
      </c>
      <c r="H173">
        <v>12</v>
      </c>
      <c r="I173">
        <v>0</v>
      </c>
      <c r="J173">
        <v>0</v>
      </c>
      <c r="K173">
        <v>0</v>
      </c>
      <c r="L173">
        <v>1</v>
      </c>
      <c r="M173">
        <v>1.8</v>
      </c>
      <c r="N173" s="7">
        <v>9</v>
      </c>
      <c r="O173" s="7">
        <v>0</v>
      </c>
      <c r="P173" s="7">
        <v>0</v>
      </c>
      <c r="Q173" s="7">
        <v>0</v>
      </c>
      <c r="R173" s="7">
        <v>1</v>
      </c>
      <c r="S173" s="7">
        <v>2.5</v>
      </c>
      <c r="T173">
        <v>7</v>
      </c>
      <c r="U173" s="1">
        <v>0</v>
      </c>
      <c r="V173">
        <v>3</v>
      </c>
      <c r="W173">
        <v>1</v>
      </c>
      <c r="X173">
        <v>1</v>
      </c>
      <c r="Y173">
        <v>0.32</v>
      </c>
      <c r="Z173">
        <v>23</v>
      </c>
      <c r="AA173">
        <v>0</v>
      </c>
      <c r="AB173">
        <v>0</v>
      </c>
      <c r="AC173">
        <v>0</v>
      </c>
      <c r="AD173">
        <v>1</v>
      </c>
      <c r="AE173">
        <v>0.02</v>
      </c>
      <c r="AF173">
        <v>15</v>
      </c>
      <c r="AG173">
        <v>0</v>
      </c>
      <c r="AH173">
        <v>0</v>
      </c>
      <c r="AI173">
        <v>0</v>
      </c>
      <c r="AJ173">
        <v>1</v>
      </c>
      <c r="AK173">
        <v>0.01</v>
      </c>
      <c r="AL173">
        <v>16</v>
      </c>
      <c r="AM173">
        <v>0</v>
      </c>
      <c r="AN173">
        <v>0</v>
      </c>
      <c r="AO173">
        <v>0</v>
      </c>
      <c r="AP173">
        <v>1</v>
      </c>
      <c r="AQ173">
        <v>5.0000000000000001E-3</v>
      </c>
      <c r="AR173">
        <v>6</v>
      </c>
      <c r="AS173">
        <v>2</v>
      </c>
      <c r="AT173">
        <v>4</v>
      </c>
      <c r="AU173">
        <v>5</v>
      </c>
      <c r="AV173">
        <v>1</v>
      </c>
      <c r="AW173">
        <v>0.01</v>
      </c>
      <c r="AX173">
        <v>7</v>
      </c>
      <c r="AY173" s="1">
        <v>0</v>
      </c>
      <c r="AZ173">
        <v>2</v>
      </c>
      <c r="BA173">
        <v>1</v>
      </c>
      <c r="BB173">
        <v>1</v>
      </c>
      <c r="BC173" s="7">
        <v>0.48</v>
      </c>
      <c r="BP173">
        <v>36</v>
      </c>
      <c r="BQ173">
        <v>0</v>
      </c>
      <c r="BR173">
        <v>0</v>
      </c>
      <c r="BS173">
        <v>0</v>
      </c>
      <c r="BT173">
        <v>5</v>
      </c>
      <c r="BU173">
        <v>2</v>
      </c>
    </row>
    <row r="174" spans="1:73" x14ac:dyDescent="0.15">
      <c r="A174" s="11">
        <v>806</v>
      </c>
      <c r="B174">
        <v>7</v>
      </c>
      <c r="C174" s="1">
        <v>25</v>
      </c>
      <c r="D174">
        <v>0</v>
      </c>
      <c r="E174">
        <v>0</v>
      </c>
      <c r="F174">
        <v>1</v>
      </c>
      <c r="G174" s="7">
        <v>0.08</v>
      </c>
      <c r="H174">
        <v>12</v>
      </c>
      <c r="I174">
        <v>0</v>
      </c>
      <c r="J174">
        <v>0</v>
      </c>
      <c r="K174">
        <v>0</v>
      </c>
      <c r="L174">
        <v>1</v>
      </c>
      <c r="M174">
        <v>1.8</v>
      </c>
      <c r="N174" s="7">
        <v>9</v>
      </c>
      <c r="O174" s="7">
        <v>0</v>
      </c>
      <c r="P174" s="7">
        <v>0</v>
      </c>
      <c r="Q174" s="7">
        <v>0</v>
      </c>
      <c r="R174" s="7">
        <v>1</v>
      </c>
      <c r="S174" s="7">
        <v>2.5</v>
      </c>
      <c r="T174">
        <v>7</v>
      </c>
      <c r="U174" s="1">
        <v>17</v>
      </c>
      <c r="V174">
        <v>0</v>
      </c>
      <c r="W174">
        <v>0</v>
      </c>
      <c r="X174">
        <v>1</v>
      </c>
      <c r="Y174">
        <v>0.32</v>
      </c>
      <c r="Z174">
        <v>23</v>
      </c>
      <c r="AA174">
        <v>0</v>
      </c>
      <c r="AB174">
        <v>0</v>
      </c>
      <c r="AC174">
        <v>0</v>
      </c>
      <c r="AD174">
        <v>1</v>
      </c>
      <c r="AE174">
        <v>0.02</v>
      </c>
      <c r="AF174">
        <v>15</v>
      </c>
      <c r="AG174">
        <v>0</v>
      </c>
      <c r="AH174">
        <v>0</v>
      </c>
      <c r="AI174">
        <v>0</v>
      </c>
      <c r="AJ174">
        <v>1</v>
      </c>
      <c r="AK174">
        <v>0.01</v>
      </c>
      <c r="AL174">
        <v>16</v>
      </c>
      <c r="AM174">
        <v>0</v>
      </c>
      <c r="AN174">
        <v>0</v>
      </c>
      <c r="AO174">
        <v>0</v>
      </c>
      <c r="AP174">
        <v>1</v>
      </c>
      <c r="AQ174">
        <v>5.0000000000000001E-3</v>
      </c>
      <c r="AX174">
        <v>7</v>
      </c>
      <c r="AY174" s="1">
        <v>9</v>
      </c>
      <c r="AZ174">
        <v>0</v>
      </c>
      <c r="BA174">
        <v>0</v>
      </c>
      <c r="BB174">
        <v>1</v>
      </c>
      <c r="BC174" s="7">
        <v>0.48</v>
      </c>
      <c r="BP174">
        <v>36</v>
      </c>
      <c r="BQ174">
        <v>0</v>
      </c>
      <c r="BR174">
        <v>0</v>
      </c>
      <c r="BS174">
        <v>0</v>
      </c>
      <c r="BT174">
        <v>5</v>
      </c>
      <c r="BU174">
        <v>2</v>
      </c>
    </row>
    <row r="175" spans="1:73" x14ac:dyDescent="0.15">
      <c r="A175" s="11">
        <v>807</v>
      </c>
      <c r="B175">
        <v>7</v>
      </c>
      <c r="C175" s="1">
        <v>26</v>
      </c>
      <c r="D175">
        <v>0</v>
      </c>
      <c r="E175">
        <v>0</v>
      </c>
      <c r="F175">
        <v>1</v>
      </c>
      <c r="G175" s="7">
        <v>0.08</v>
      </c>
      <c r="H175">
        <v>12</v>
      </c>
      <c r="I175">
        <v>0</v>
      </c>
      <c r="J175">
        <v>0</v>
      </c>
      <c r="K175">
        <v>0</v>
      </c>
      <c r="L175">
        <v>1</v>
      </c>
      <c r="M175">
        <v>1.8</v>
      </c>
      <c r="N175" s="7">
        <v>9</v>
      </c>
      <c r="O175" s="7">
        <v>0</v>
      </c>
      <c r="P175" s="7">
        <v>0</v>
      </c>
      <c r="Q175" s="7">
        <v>0</v>
      </c>
      <c r="R175" s="7">
        <v>1</v>
      </c>
      <c r="S175" s="7">
        <v>2.5</v>
      </c>
      <c r="T175">
        <v>7</v>
      </c>
      <c r="U175" s="1">
        <v>18</v>
      </c>
      <c r="V175">
        <v>0</v>
      </c>
      <c r="W175">
        <v>0</v>
      </c>
      <c r="X175">
        <v>1</v>
      </c>
      <c r="Y175">
        <v>0.32</v>
      </c>
      <c r="Z175">
        <v>23</v>
      </c>
      <c r="AA175">
        <v>0</v>
      </c>
      <c r="AB175">
        <v>0</v>
      </c>
      <c r="AC175">
        <v>0</v>
      </c>
      <c r="AD175">
        <v>1</v>
      </c>
      <c r="AE175">
        <v>0.02</v>
      </c>
      <c r="AF175">
        <v>15</v>
      </c>
      <c r="AG175">
        <v>0</v>
      </c>
      <c r="AH175">
        <v>0</v>
      </c>
      <c r="AI175">
        <v>0</v>
      </c>
      <c r="AJ175">
        <v>1</v>
      </c>
      <c r="AK175">
        <v>0.01</v>
      </c>
      <c r="AL175">
        <v>16</v>
      </c>
      <c r="AM175">
        <v>0</v>
      </c>
      <c r="AN175">
        <v>0</v>
      </c>
      <c r="AO175">
        <v>0</v>
      </c>
      <c r="AP175">
        <v>1</v>
      </c>
      <c r="AQ175">
        <v>5.0000000000000001E-3</v>
      </c>
      <c r="AX175">
        <v>7</v>
      </c>
      <c r="AY175" s="1">
        <v>10</v>
      </c>
      <c r="AZ175">
        <v>0</v>
      </c>
      <c r="BA175">
        <v>0</v>
      </c>
      <c r="BB175">
        <v>1</v>
      </c>
      <c r="BC175" s="7">
        <v>0.48</v>
      </c>
      <c r="BP175">
        <v>36</v>
      </c>
      <c r="BQ175">
        <v>0</v>
      </c>
      <c r="BR175">
        <v>0</v>
      </c>
      <c r="BS175">
        <v>0</v>
      </c>
      <c r="BT175">
        <v>5</v>
      </c>
      <c r="BU175">
        <v>2</v>
      </c>
    </row>
    <row r="176" spans="1:73" x14ac:dyDescent="0.15">
      <c r="A176" s="11">
        <v>808</v>
      </c>
      <c r="B176">
        <v>7</v>
      </c>
      <c r="C176" s="1">
        <v>27</v>
      </c>
      <c r="D176">
        <v>0</v>
      </c>
      <c r="E176">
        <v>0</v>
      </c>
      <c r="F176">
        <v>1</v>
      </c>
      <c r="G176" s="7">
        <v>0.08</v>
      </c>
      <c r="H176">
        <v>12</v>
      </c>
      <c r="I176">
        <v>0</v>
      </c>
      <c r="J176">
        <v>0</v>
      </c>
      <c r="K176">
        <v>0</v>
      </c>
      <c r="L176">
        <v>1</v>
      </c>
      <c r="M176">
        <v>1.8</v>
      </c>
      <c r="N176" s="7">
        <v>9</v>
      </c>
      <c r="O176" s="7">
        <v>0</v>
      </c>
      <c r="P176" s="7">
        <v>0</v>
      </c>
      <c r="Q176" s="7">
        <v>0</v>
      </c>
      <c r="R176" s="7">
        <v>1</v>
      </c>
      <c r="S176" s="7">
        <v>2.5</v>
      </c>
      <c r="T176">
        <v>7</v>
      </c>
      <c r="U176" s="1">
        <v>19</v>
      </c>
      <c r="V176">
        <v>0</v>
      </c>
      <c r="W176">
        <v>0</v>
      </c>
      <c r="X176">
        <v>1</v>
      </c>
      <c r="Y176">
        <v>0.32</v>
      </c>
      <c r="Z176">
        <v>23</v>
      </c>
      <c r="AA176">
        <v>0</v>
      </c>
      <c r="AB176">
        <v>0</v>
      </c>
      <c r="AC176">
        <v>0</v>
      </c>
      <c r="AD176">
        <v>1</v>
      </c>
      <c r="AE176">
        <v>0.02</v>
      </c>
      <c r="AF176">
        <v>15</v>
      </c>
      <c r="AG176">
        <v>0</v>
      </c>
      <c r="AH176">
        <v>0</v>
      </c>
      <c r="AI176">
        <v>0</v>
      </c>
      <c r="AJ176">
        <v>1</v>
      </c>
      <c r="AK176">
        <v>0.01</v>
      </c>
      <c r="AL176">
        <v>16</v>
      </c>
      <c r="AM176">
        <v>0</v>
      </c>
      <c r="AN176">
        <v>0</v>
      </c>
      <c r="AO176">
        <v>0</v>
      </c>
      <c r="AP176">
        <v>1</v>
      </c>
      <c r="AQ176">
        <v>5.0000000000000001E-3</v>
      </c>
      <c r="AX176">
        <v>7</v>
      </c>
      <c r="AY176" s="1">
        <v>11</v>
      </c>
      <c r="AZ176">
        <v>0</v>
      </c>
      <c r="BA176">
        <v>0</v>
      </c>
      <c r="BB176">
        <v>1</v>
      </c>
      <c r="BC176" s="7">
        <v>0.48</v>
      </c>
      <c r="BP176">
        <v>36</v>
      </c>
      <c r="BQ176">
        <v>0</v>
      </c>
      <c r="BR176">
        <v>0</v>
      </c>
      <c r="BS176">
        <v>0</v>
      </c>
      <c r="BT176">
        <v>5</v>
      </c>
      <c r="BU176">
        <v>2</v>
      </c>
    </row>
    <row r="177" spans="1:73" x14ac:dyDescent="0.15">
      <c r="A177" s="11">
        <v>809</v>
      </c>
      <c r="B177">
        <v>7</v>
      </c>
      <c r="C177" s="1">
        <v>28</v>
      </c>
      <c r="D177">
        <v>0</v>
      </c>
      <c r="E177">
        <v>0</v>
      </c>
      <c r="F177">
        <v>1</v>
      </c>
      <c r="G177" s="7">
        <v>0.08</v>
      </c>
      <c r="H177">
        <v>12</v>
      </c>
      <c r="I177">
        <v>0</v>
      </c>
      <c r="J177">
        <v>0</v>
      </c>
      <c r="K177">
        <v>0</v>
      </c>
      <c r="L177">
        <v>1</v>
      </c>
      <c r="M177">
        <v>1.8</v>
      </c>
      <c r="N177" s="7">
        <v>9</v>
      </c>
      <c r="O177" s="7">
        <v>0</v>
      </c>
      <c r="P177" s="7">
        <v>0</v>
      </c>
      <c r="Q177" s="7">
        <v>0</v>
      </c>
      <c r="R177" s="7">
        <v>1</v>
      </c>
      <c r="S177" s="7">
        <v>2.5</v>
      </c>
      <c r="T177">
        <v>7</v>
      </c>
      <c r="U177" s="1">
        <v>20</v>
      </c>
      <c r="V177">
        <v>0</v>
      </c>
      <c r="W177">
        <v>0</v>
      </c>
      <c r="X177">
        <v>1</v>
      </c>
      <c r="Y177">
        <v>0.32</v>
      </c>
      <c r="Z177">
        <v>23</v>
      </c>
      <c r="AA177">
        <v>0</v>
      </c>
      <c r="AB177">
        <v>0</v>
      </c>
      <c r="AC177">
        <v>0</v>
      </c>
      <c r="AD177">
        <v>1</v>
      </c>
      <c r="AE177">
        <v>0.02</v>
      </c>
      <c r="AF177">
        <v>15</v>
      </c>
      <c r="AG177">
        <v>0</v>
      </c>
      <c r="AH177">
        <v>0</v>
      </c>
      <c r="AI177">
        <v>0</v>
      </c>
      <c r="AJ177">
        <v>1</v>
      </c>
      <c r="AK177">
        <v>0.01</v>
      </c>
      <c r="AL177">
        <v>16</v>
      </c>
      <c r="AM177">
        <v>0</v>
      </c>
      <c r="AN177">
        <v>0</v>
      </c>
      <c r="AO177">
        <v>0</v>
      </c>
      <c r="AP177">
        <v>1</v>
      </c>
      <c r="AQ177">
        <v>5.0000000000000001E-3</v>
      </c>
      <c r="AX177">
        <v>7</v>
      </c>
      <c r="AY177" s="1">
        <v>12</v>
      </c>
      <c r="AZ177">
        <v>0</v>
      </c>
      <c r="BA177">
        <v>0</v>
      </c>
      <c r="BB177">
        <v>1</v>
      </c>
      <c r="BC177" s="7">
        <v>0.48</v>
      </c>
      <c r="BP177">
        <v>36</v>
      </c>
      <c r="BQ177">
        <v>0</v>
      </c>
      <c r="BR177">
        <v>0</v>
      </c>
      <c r="BS177">
        <v>0</v>
      </c>
      <c r="BT177">
        <v>5</v>
      </c>
      <c r="BU177">
        <v>2</v>
      </c>
    </row>
    <row r="178" spans="1:73" x14ac:dyDescent="0.15">
      <c r="A178" s="11">
        <v>810</v>
      </c>
      <c r="B178">
        <v>7</v>
      </c>
      <c r="C178" s="1">
        <v>0</v>
      </c>
      <c r="D178">
        <v>4</v>
      </c>
      <c r="E178">
        <v>1</v>
      </c>
      <c r="F178">
        <v>1</v>
      </c>
      <c r="G178" s="7">
        <v>0.08</v>
      </c>
      <c r="H178">
        <v>12</v>
      </c>
      <c r="I178">
        <v>0</v>
      </c>
      <c r="J178">
        <v>0</v>
      </c>
      <c r="K178">
        <v>0</v>
      </c>
      <c r="L178">
        <v>1</v>
      </c>
      <c r="M178">
        <v>1.8</v>
      </c>
      <c r="N178" s="7">
        <v>9</v>
      </c>
      <c r="O178" s="7">
        <v>0</v>
      </c>
      <c r="P178" s="7">
        <v>0</v>
      </c>
      <c r="Q178" s="7">
        <v>0</v>
      </c>
      <c r="R178" s="7">
        <v>1</v>
      </c>
      <c r="S178" s="7">
        <v>2.5</v>
      </c>
      <c r="T178">
        <v>7</v>
      </c>
      <c r="U178" s="1">
        <v>0</v>
      </c>
      <c r="V178">
        <v>3</v>
      </c>
      <c r="W178">
        <v>1</v>
      </c>
      <c r="X178">
        <v>1</v>
      </c>
      <c r="Y178">
        <v>0.32</v>
      </c>
      <c r="Z178">
        <v>23</v>
      </c>
      <c r="AA178">
        <v>0</v>
      </c>
      <c r="AB178">
        <v>0</v>
      </c>
      <c r="AC178">
        <v>0</v>
      </c>
      <c r="AD178">
        <v>1</v>
      </c>
      <c r="AE178">
        <v>0.02</v>
      </c>
      <c r="AF178">
        <v>15</v>
      </c>
      <c r="AG178">
        <v>0</v>
      </c>
      <c r="AH178">
        <v>0</v>
      </c>
      <c r="AI178">
        <v>0</v>
      </c>
      <c r="AJ178">
        <v>1</v>
      </c>
      <c r="AK178">
        <v>0.01</v>
      </c>
      <c r="AL178">
        <v>16</v>
      </c>
      <c r="AM178">
        <v>0</v>
      </c>
      <c r="AN178">
        <v>0</v>
      </c>
      <c r="AO178">
        <v>0</v>
      </c>
      <c r="AP178">
        <v>1</v>
      </c>
      <c r="AQ178">
        <v>5.0000000000000001E-3</v>
      </c>
      <c r="AR178">
        <v>6</v>
      </c>
      <c r="AS178">
        <v>2</v>
      </c>
      <c r="AT178">
        <v>5</v>
      </c>
      <c r="AU178">
        <v>5</v>
      </c>
      <c r="AV178">
        <v>1</v>
      </c>
      <c r="AW178">
        <v>0.01</v>
      </c>
      <c r="AX178">
        <v>7</v>
      </c>
      <c r="AY178" s="1">
        <v>0</v>
      </c>
      <c r="AZ178">
        <v>2</v>
      </c>
      <c r="BA178">
        <v>1</v>
      </c>
      <c r="BB178">
        <v>1</v>
      </c>
      <c r="BC178" s="7">
        <v>0.48</v>
      </c>
      <c r="BP178">
        <v>36</v>
      </c>
      <c r="BQ178">
        <v>0</v>
      </c>
      <c r="BR178">
        <v>0</v>
      </c>
      <c r="BS178">
        <v>0</v>
      </c>
      <c r="BT178">
        <v>5</v>
      </c>
      <c r="BU178">
        <v>2</v>
      </c>
    </row>
    <row r="179" spans="1:73" x14ac:dyDescent="0.15">
      <c r="A179" s="11">
        <v>811</v>
      </c>
      <c r="B179">
        <v>7</v>
      </c>
      <c r="C179" s="1">
        <v>25</v>
      </c>
      <c r="D179">
        <v>0</v>
      </c>
      <c r="E179">
        <v>0</v>
      </c>
      <c r="F179">
        <v>1</v>
      </c>
      <c r="G179" s="7">
        <v>0.08</v>
      </c>
      <c r="H179">
        <v>12</v>
      </c>
      <c r="I179">
        <v>0</v>
      </c>
      <c r="J179">
        <v>0</v>
      </c>
      <c r="K179">
        <v>0</v>
      </c>
      <c r="L179">
        <v>1</v>
      </c>
      <c r="M179">
        <v>1.8</v>
      </c>
      <c r="N179" s="7">
        <v>9</v>
      </c>
      <c r="O179" s="7">
        <v>0</v>
      </c>
      <c r="P179" s="7">
        <v>0</v>
      </c>
      <c r="Q179" s="7">
        <v>0</v>
      </c>
      <c r="R179" s="7">
        <v>1</v>
      </c>
      <c r="S179" s="7">
        <v>2.5</v>
      </c>
      <c r="T179">
        <v>7</v>
      </c>
      <c r="U179" s="1">
        <v>17</v>
      </c>
      <c r="V179">
        <v>0</v>
      </c>
      <c r="W179">
        <v>0</v>
      </c>
      <c r="X179">
        <v>1</v>
      </c>
      <c r="Y179">
        <v>0.32</v>
      </c>
      <c r="Z179">
        <v>23</v>
      </c>
      <c r="AA179">
        <v>0</v>
      </c>
      <c r="AB179">
        <v>0</v>
      </c>
      <c r="AC179">
        <v>0</v>
      </c>
      <c r="AD179">
        <v>1</v>
      </c>
      <c r="AE179">
        <v>0.02</v>
      </c>
      <c r="AF179">
        <v>15</v>
      </c>
      <c r="AG179">
        <v>0</v>
      </c>
      <c r="AH179">
        <v>0</v>
      </c>
      <c r="AI179">
        <v>0</v>
      </c>
      <c r="AJ179">
        <v>1</v>
      </c>
      <c r="AK179">
        <v>0.01</v>
      </c>
      <c r="AL179">
        <v>16</v>
      </c>
      <c r="AM179">
        <v>0</v>
      </c>
      <c r="AN179">
        <v>0</v>
      </c>
      <c r="AO179">
        <v>0</v>
      </c>
      <c r="AP179">
        <v>1</v>
      </c>
      <c r="AQ179">
        <v>5.0000000000000001E-3</v>
      </c>
      <c r="AX179">
        <v>7</v>
      </c>
      <c r="AY179" s="1">
        <v>9</v>
      </c>
      <c r="AZ179">
        <v>0</v>
      </c>
      <c r="BA179">
        <v>0</v>
      </c>
      <c r="BB179">
        <v>1</v>
      </c>
      <c r="BC179" s="7">
        <v>0.48</v>
      </c>
      <c r="BP179">
        <v>36</v>
      </c>
      <c r="BQ179">
        <v>0</v>
      </c>
      <c r="BR179">
        <v>0</v>
      </c>
      <c r="BS179">
        <v>0</v>
      </c>
      <c r="BT179">
        <v>5</v>
      </c>
      <c r="BU179">
        <v>2</v>
      </c>
    </row>
    <row r="180" spans="1:73" x14ac:dyDescent="0.15">
      <c r="A180" s="11">
        <v>812</v>
      </c>
      <c r="B180">
        <v>7</v>
      </c>
      <c r="C180" s="1">
        <v>26</v>
      </c>
      <c r="D180">
        <v>0</v>
      </c>
      <c r="E180">
        <v>0</v>
      </c>
      <c r="F180">
        <v>1</v>
      </c>
      <c r="G180" s="7">
        <v>0.08</v>
      </c>
      <c r="H180">
        <v>12</v>
      </c>
      <c r="I180">
        <v>0</v>
      </c>
      <c r="J180">
        <v>0</v>
      </c>
      <c r="K180">
        <v>0</v>
      </c>
      <c r="L180">
        <v>1</v>
      </c>
      <c r="M180">
        <v>1.8</v>
      </c>
      <c r="N180" s="7">
        <v>9</v>
      </c>
      <c r="O180" s="7">
        <v>0</v>
      </c>
      <c r="P180" s="7">
        <v>0</v>
      </c>
      <c r="Q180" s="7">
        <v>0</v>
      </c>
      <c r="R180" s="7">
        <v>1</v>
      </c>
      <c r="S180" s="7">
        <v>2.5</v>
      </c>
      <c r="T180">
        <v>7</v>
      </c>
      <c r="U180" s="1">
        <v>18</v>
      </c>
      <c r="V180">
        <v>0</v>
      </c>
      <c r="W180">
        <v>0</v>
      </c>
      <c r="X180">
        <v>1</v>
      </c>
      <c r="Y180">
        <v>0.32</v>
      </c>
      <c r="Z180">
        <v>23</v>
      </c>
      <c r="AA180">
        <v>0</v>
      </c>
      <c r="AB180">
        <v>0</v>
      </c>
      <c r="AC180">
        <v>0</v>
      </c>
      <c r="AD180">
        <v>1</v>
      </c>
      <c r="AE180">
        <v>0.02</v>
      </c>
      <c r="AF180">
        <v>15</v>
      </c>
      <c r="AG180">
        <v>0</v>
      </c>
      <c r="AH180">
        <v>0</v>
      </c>
      <c r="AI180">
        <v>0</v>
      </c>
      <c r="AJ180">
        <v>1</v>
      </c>
      <c r="AK180">
        <v>0.01</v>
      </c>
      <c r="AL180">
        <v>16</v>
      </c>
      <c r="AM180">
        <v>0</v>
      </c>
      <c r="AN180">
        <v>0</v>
      </c>
      <c r="AO180">
        <v>0</v>
      </c>
      <c r="AP180">
        <v>1</v>
      </c>
      <c r="AQ180">
        <v>5.0000000000000001E-3</v>
      </c>
      <c r="AX180">
        <v>7</v>
      </c>
      <c r="AY180" s="1">
        <v>10</v>
      </c>
      <c r="AZ180">
        <v>0</v>
      </c>
      <c r="BA180">
        <v>0</v>
      </c>
      <c r="BB180">
        <v>1</v>
      </c>
      <c r="BC180" s="7">
        <v>0.48</v>
      </c>
      <c r="BP180">
        <v>36</v>
      </c>
      <c r="BQ180">
        <v>0</v>
      </c>
      <c r="BR180">
        <v>0</v>
      </c>
      <c r="BS180">
        <v>0</v>
      </c>
      <c r="BT180">
        <v>5</v>
      </c>
      <c r="BU180">
        <v>2</v>
      </c>
    </row>
    <row r="181" spans="1:73" x14ac:dyDescent="0.15">
      <c r="A181" s="11">
        <v>813</v>
      </c>
      <c r="B181">
        <v>7</v>
      </c>
      <c r="C181" s="1">
        <v>27</v>
      </c>
      <c r="D181">
        <v>0</v>
      </c>
      <c r="E181">
        <v>0</v>
      </c>
      <c r="F181">
        <v>1</v>
      </c>
      <c r="G181" s="7">
        <v>0.08</v>
      </c>
      <c r="H181">
        <v>12</v>
      </c>
      <c r="I181">
        <v>0</v>
      </c>
      <c r="J181">
        <v>0</v>
      </c>
      <c r="K181">
        <v>0</v>
      </c>
      <c r="L181">
        <v>1</v>
      </c>
      <c r="M181">
        <v>1.8</v>
      </c>
      <c r="N181" s="7">
        <v>9</v>
      </c>
      <c r="O181" s="7">
        <v>0</v>
      </c>
      <c r="P181" s="7">
        <v>0</v>
      </c>
      <c r="Q181" s="7">
        <v>0</v>
      </c>
      <c r="R181" s="7">
        <v>1</v>
      </c>
      <c r="S181" s="7">
        <v>2.5</v>
      </c>
      <c r="T181">
        <v>7</v>
      </c>
      <c r="U181" s="1">
        <v>19</v>
      </c>
      <c r="V181">
        <v>0</v>
      </c>
      <c r="W181">
        <v>0</v>
      </c>
      <c r="X181">
        <v>1</v>
      </c>
      <c r="Y181">
        <v>0.32</v>
      </c>
      <c r="Z181">
        <v>23</v>
      </c>
      <c r="AA181">
        <v>0</v>
      </c>
      <c r="AB181">
        <v>0</v>
      </c>
      <c r="AC181">
        <v>0</v>
      </c>
      <c r="AD181">
        <v>1</v>
      </c>
      <c r="AE181">
        <v>0.02</v>
      </c>
      <c r="AF181">
        <v>15</v>
      </c>
      <c r="AG181">
        <v>0</v>
      </c>
      <c r="AH181">
        <v>0</v>
      </c>
      <c r="AI181">
        <v>0</v>
      </c>
      <c r="AJ181">
        <v>1</v>
      </c>
      <c r="AK181">
        <v>0.01</v>
      </c>
      <c r="AL181">
        <v>16</v>
      </c>
      <c r="AM181">
        <v>0</v>
      </c>
      <c r="AN181">
        <v>0</v>
      </c>
      <c r="AO181">
        <v>0</v>
      </c>
      <c r="AP181">
        <v>1</v>
      </c>
      <c r="AQ181">
        <v>5.0000000000000001E-3</v>
      </c>
      <c r="AX181">
        <v>7</v>
      </c>
      <c r="AY181" s="1">
        <v>11</v>
      </c>
      <c r="AZ181">
        <v>0</v>
      </c>
      <c r="BA181">
        <v>0</v>
      </c>
      <c r="BB181">
        <v>1</v>
      </c>
      <c r="BC181" s="7">
        <v>0.48</v>
      </c>
      <c r="BP181">
        <v>36</v>
      </c>
      <c r="BQ181">
        <v>0</v>
      </c>
      <c r="BR181">
        <v>0</v>
      </c>
      <c r="BS181">
        <v>0</v>
      </c>
      <c r="BT181">
        <v>5</v>
      </c>
      <c r="BU181">
        <v>2</v>
      </c>
    </row>
    <row r="182" spans="1:73" x14ac:dyDescent="0.15">
      <c r="A182" s="11">
        <v>814</v>
      </c>
      <c r="B182">
        <v>7</v>
      </c>
      <c r="C182" s="1">
        <v>28</v>
      </c>
      <c r="D182">
        <v>0</v>
      </c>
      <c r="E182">
        <v>0</v>
      </c>
      <c r="F182">
        <v>1</v>
      </c>
      <c r="G182" s="7">
        <v>0.08</v>
      </c>
      <c r="H182">
        <v>12</v>
      </c>
      <c r="I182">
        <v>0</v>
      </c>
      <c r="J182">
        <v>0</v>
      </c>
      <c r="K182">
        <v>0</v>
      </c>
      <c r="L182">
        <v>1</v>
      </c>
      <c r="M182">
        <v>1.8</v>
      </c>
      <c r="N182" s="7">
        <v>9</v>
      </c>
      <c r="O182" s="7">
        <v>0</v>
      </c>
      <c r="P182" s="7">
        <v>0</v>
      </c>
      <c r="Q182" s="7">
        <v>0</v>
      </c>
      <c r="R182" s="7">
        <v>1</v>
      </c>
      <c r="S182" s="7">
        <v>2.5</v>
      </c>
      <c r="T182">
        <v>7</v>
      </c>
      <c r="U182" s="1">
        <v>20</v>
      </c>
      <c r="V182">
        <v>0</v>
      </c>
      <c r="W182">
        <v>0</v>
      </c>
      <c r="X182">
        <v>1</v>
      </c>
      <c r="Y182">
        <v>0.32</v>
      </c>
      <c r="Z182">
        <v>23</v>
      </c>
      <c r="AA182">
        <v>0</v>
      </c>
      <c r="AB182">
        <v>0</v>
      </c>
      <c r="AC182">
        <v>0</v>
      </c>
      <c r="AD182">
        <v>1</v>
      </c>
      <c r="AE182">
        <v>0.02</v>
      </c>
      <c r="AF182">
        <v>15</v>
      </c>
      <c r="AG182">
        <v>0</v>
      </c>
      <c r="AH182">
        <v>0</v>
      </c>
      <c r="AI182">
        <v>0</v>
      </c>
      <c r="AJ182">
        <v>1</v>
      </c>
      <c r="AK182">
        <v>0.01</v>
      </c>
      <c r="AL182">
        <v>16</v>
      </c>
      <c r="AM182">
        <v>0</v>
      </c>
      <c r="AN182">
        <v>0</v>
      </c>
      <c r="AO182">
        <v>0</v>
      </c>
      <c r="AP182">
        <v>1</v>
      </c>
      <c r="AQ182">
        <v>5.0000000000000001E-3</v>
      </c>
      <c r="AX182">
        <v>7</v>
      </c>
      <c r="AY182" s="1">
        <v>12</v>
      </c>
      <c r="AZ182">
        <v>0</v>
      </c>
      <c r="BA182">
        <v>0</v>
      </c>
      <c r="BB182">
        <v>1</v>
      </c>
      <c r="BC182" s="7">
        <v>0.48</v>
      </c>
      <c r="BP182">
        <v>36</v>
      </c>
      <c r="BQ182">
        <v>0</v>
      </c>
      <c r="BR182">
        <v>0</v>
      </c>
      <c r="BS182">
        <v>0</v>
      </c>
      <c r="BT182">
        <v>5</v>
      </c>
      <c r="BU182">
        <v>2</v>
      </c>
    </row>
    <row r="183" spans="1:73" x14ac:dyDescent="0.15">
      <c r="A183" s="11">
        <v>815</v>
      </c>
      <c r="B183">
        <v>7</v>
      </c>
      <c r="C183" s="1">
        <v>0</v>
      </c>
      <c r="D183">
        <v>4</v>
      </c>
      <c r="E183">
        <v>1</v>
      </c>
      <c r="F183">
        <v>1</v>
      </c>
      <c r="G183" s="7">
        <v>0.08</v>
      </c>
      <c r="H183">
        <v>12</v>
      </c>
      <c r="I183">
        <v>0</v>
      </c>
      <c r="J183">
        <v>0</v>
      </c>
      <c r="K183">
        <v>0</v>
      </c>
      <c r="L183">
        <v>1</v>
      </c>
      <c r="M183">
        <v>1.8</v>
      </c>
      <c r="N183" s="7">
        <v>9</v>
      </c>
      <c r="O183" s="7">
        <v>0</v>
      </c>
      <c r="P183" s="7">
        <v>0</v>
      </c>
      <c r="Q183" s="7">
        <v>0</v>
      </c>
      <c r="R183" s="7">
        <v>1</v>
      </c>
      <c r="S183" s="7">
        <v>2.5</v>
      </c>
      <c r="T183">
        <v>7</v>
      </c>
      <c r="U183" s="1">
        <v>0</v>
      </c>
      <c r="V183">
        <v>3</v>
      </c>
      <c r="W183">
        <v>1</v>
      </c>
      <c r="X183">
        <v>1</v>
      </c>
      <c r="Y183">
        <v>0.32</v>
      </c>
      <c r="Z183">
        <v>23</v>
      </c>
      <c r="AA183">
        <v>0</v>
      </c>
      <c r="AB183">
        <v>0</v>
      </c>
      <c r="AC183">
        <v>0</v>
      </c>
      <c r="AD183">
        <v>1</v>
      </c>
      <c r="AE183">
        <v>0.02</v>
      </c>
      <c r="AF183">
        <v>15</v>
      </c>
      <c r="AG183">
        <v>0</v>
      </c>
      <c r="AH183">
        <v>0</v>
      </c>
      <c r="AI183">
        <v>0</v>
      </c>
      <c r="AJ183">
        <v>1</v>
      </c>
      <c r="AK183">
        <v>0.01</v>
      </c>
      <c r="AL183">
        <v>16</v>
      </c>
      <c r="AM183">
        <v>0</v>
      </c>
      <c r="AN183">
        <v>0</v>
      </c>
      <c r="AO183">
        <v>0</v>
      </c>
      <c r="AP183">
        <v>1</v>
      </c>
      <c r="AQ183">
        <v>5.0000000000000001E-3</v>
      </c>
      <c r="AR183">
        <v>6</v>
      </c>
      <c r="AS183">
        <v>2</v>
      </c>
      <c r="AT183">
        <v>1</v>
      </c>
      <c r="AU183">
        <v>5</v>
      </c>
      <c r="AV183">
        <v>1</v>
      </c>
      <c r="AW183">
        <v>0.05</v>
      </c>
      <c r="AX183">
        <v>7</v>
      </c>
      <c r="AY183" s="1">
        <v>0</v>
      </c>
      <c r="AZ183">
        <v>2</v>
      </c>
      <c r="BA183">
        <v>1</v>
      </c>
      <c r="BB183">
        <v>1</v>
      </c>
      <c r="BC183" s="7">
        <v>0.48</v>
      </c>
      <c r="BP183">
        <v>36</v>
      </c>
      <c r="BQ183">
        <v>0</v>
      </c>
      <c r="BR183">
        <v>0</v>
      </c>
      <c r="BS183">
        <v>0</v>
      </c>
      <c r="BT183">
        <v>5</v>
      </c>
      <c r="BU183">
        <v>2</v>
      </c>
    </row>
    <row r="184" spans="1:73" x14ac:dyDescent="0.15">
      <c r="A184" s="11">
        <v>816</v>
      </c>
      <c r="B184">
        <v>7</v>
      </c>
      <c r="C184" s="1">
        <v>25</v>
      </c>
      <c r="D184">
        <v>0</v>
      </c>
      <c r="E184">
        <v>0</v>
      </c>
      <c r="F184">
        <v>1</v>
      </c>
      <c r="G184" s="7">
        <v>0.08</v>
      </c>
      <c r="H184">
        <v>12</v>
      </c>
      <c r="I184">
        <v>0</v>
      </c>
      <c r="J184">
        <v>0</v>
      </c>
      <c r="K184">
        <v>0</v>
      </c>
      <c r="L184">
        <v>1</v>
      </c>
      <c r="M184">
        <v>2</v>
      </c>
      <c r="N184" s="7">
        <v>9</v>
      </c>
      <c r="O184" s="7">
        <v>0</v>
      </c>
      <c r="P184" s="7">
        <v>0</v>
      </c>
      <c r="Q184" s="7">
        <v>0</v>
      </c>
      <c r="R184" s="7">
        <v>1</v>
      </c>
      <c r="S184" s="7">
        <v>3</v>
      </c>
      <c r="T184">
        <v>7</v>
      </c>
      <c r="U184" s="1">
        <v>21</v>
      </c>
      <c r="V184">
        <v>0</v>
      </c>
      <c r="W184">
        <v>0</v>
      </c>
      <c r="X184">
        <v>1</v>
      </c>
      <c r="Y184">
        <v>0.24</v>
      </c>
      <c r="Z184">
        <v>23</v>
      </c>
      <c r="AA184">
        <v>0</v>
      </c>
      <c r="AB184">
        <v>0</v>
      </c>
      <c r="AC184">
        <v>0</v>
      </c>
      <c r="AD184">
        <v>1</v>
      </c>
      <c r="AE184">
        <v>0.02</v>
      </c>
      <c r="AF184">
        <v>15</v>
      </c>
      <c r="AG184">
        <v>0</v>
      </c>
      <c r="AH184">
        <v>0</v>
      </c>
      <c r="AI184">
        <v>0</v>
      </c>
      <c r="AJ184">
        <v>1</v>
      </c>
      <c r="AK184">
        <v>0.01</v>
      </c>
      <c r="AL184">
        <v>16</v>
      </c>
      <c r="AM184">
        <v>0</v>
      </c>
      <c r="AN184">
        <v>0</v>
      </c>
      <c r="AO184">
        <v>0</v>
      </c>
      <c r="AP184">
        <v>1</v>
      </c>
      <c r="AQ184">
        <v>5.0000000000000001E-3</v>
      </c>
      <c r="AX184">
        <v>7</v>
      </c>
      <c r="AY184" s="1">
        <v>13</v>
      </c>
      <c r="AZ184">
        <v>0</v>
      </c>
      <c r="BA184">
        <v>0</v>
      </c>
      <c r="BB184">
        <v>1</v>
      </c>
      <c r="BC184" s="7">
        <v>0.4</v>
      </c>
      <c r="BP184">
        <v>36</v>
      </c>
      <c r="BQ184">
        <v>0</v>
      </c>
      <c r="BR184">
        <v>0</v>
      </c>
      <c r="BS184">
        <v>0</v>
      </c>
      <c r="BT184">
        <v>5</v>
      </c>
      <c r="BU184">
        <v>2</v>
      </c>
    </row>
    <row r="185" spans="1:73" x14ac:dyDescent="0.15">
      <c r="A185" s="11">
        <v>817</v>
      </c>
      <c r="B185">
        <v>7</v>
      </c>
      <c r="C185" s="1">
        <v>26</v>
      </c>
      <c r="D185">
        <v>0</v>
      </c>
      <c r="E185">
        <v>0</v>
      </c>
      <c r="F185">
        <v>1</v>
      </c>
      <c r="G185" s="7">
        <v>0.08</v>
      </c>
      <c r="H185">
        <v>12</v>
      </c>
      <c r="I185">
        <v>0</v>
      </c>
      <c r="J185">
        <v>0</v>
      </c>
      <c r="K185">
        <v>0</v>
      </c>
      <c r="L185">
        <v>1</v>
      </c>
      <c r="M185">
        <v>2</v>
      </c>
      <c r="N185" s="7">
        <v>9</v>
      </c>
      <c r="O185" s="7">
        <v>0</v>
      </c>
      <c r="P185" s="7">
        <v>0</v>
      </c>
      <c r="Q185" s="7">
        <v>0</v>
      </c>
      <c r="R185" s="7">
        <v>1</v>
      </c>
      <c r="S185" s="7">
        <v>3</v>
      </c>
      <c r="T185">
        <v>7</v>
      </c>
      <c r="U185" s="1">
        <v>22</v>
      </c>
      <c r="V185">
        <v>0</v>
      </c>
      <c r="W185">
        <v>0</v>
      </c>
      <c r="X185">
        <v>1</v>
      </c>
      <c r="Y185">
        <v>0.24</v>
      </c>
      <c r="Z185">
        <v>23</v>
      </c>
      <c r="AA185">
        <v>0</v>
      </c>
      <c r="AB185">
        <v>0</v>
      </c>
      <c r="AC185">
        <v>0</v>
      </c>
      <c r="AD185">
        <v>1</v>
      </c>
      <c r="AE185">
        <v>0.02</v>
      </c>
      <c r="AF185">
        <v>15</v>
      </c>
      <c r="AG185">
        <v>0</v>
      </c>
      <c r="AH185">
        <v>0</v>
      </c>
      <c r="AI185">
        <v>0</v>
      </c>
      <c r="AJ185">
        <v>1</v>
      </c>
      <c r="AK185">
        <v>0.01</v>
      </c>
      <c r="AL185">
        <v>16</v>
      </c>
      <c r="AM185">
        <v>0</v>
      </c>
      <c r="AN185">
        <v>0</v>
      </c>
      <c r="AO185">
        <v>0</v>
      </c>
      <c r="AP185">
        <v>1</v>
      </c>
      <c r="AQ185">
        <v>5.0000000000000001E-3</v>
      </c>
      <c r="AX185">
        <v>7</v>
      </c>
      <c r="AY185" s="1">
        <v>14</v>
      </c>
      <c r="AZ185">
        <v>0</v>
      </c>
      <c r="BA185">
        <v>0</v>
      </c>
      <c r="BB185">
        <v>1</v>
      </c>
      <c r="BC185" s="7">
        <v>0.4</v>
      </c>
      <c r="BP185">
        <v>36</v>
      </c>
      <c r="BQ185">
        <v>0</v>
      </c>
      <c r="BR185">
        <v>0</v>
      </c>
      <c r="BS185">
        <v>0</v>
      </c>
      <c r="BT185">
        <v>5</v>
      </c>
      <c r="BU185">
        <v>2</v>
      </c>
    </row>
    <row r="186" spans="1:73" x14ac:dyDescent="0.15">
      <c r="A186" s="11">
        <v>818</v>
      </c>
      <c r="B186">
        <v>7</v>
      </c>
      <c r="C186" s="1">
        <v>27</v>
      </c>
      <c r="D186">
        <v>0</v>
      </c>
      <c r="E186">
        <v>0</v>
      </c>
      <c r="F186">
        <v>1</v>
      </c>
      <c r="G186" s="7">
        <v>0.08</v>
      </c>
      <c r="H186">
        <v>12</v>
      </c>
      <c r="I186">
        <v>0</v>
      </c>
      <c r="J186">
        <v>0</v>
      </c>
      <c r="K186">
        <v>0</v>
      </c>
      <c r="L186">
        <v>1</v>
      </c>
      <c r="M186">
        <v>2</v>
      </c>
      <c r="N186" s="7">
        <v>9</v>
      </c>
      <c r="O186" s="7">
        <v>0</v>
      </c>
      <c r="P186" s="7">
        <v>0</v>
      </c>
      <c r="Q186" s="7">
        <v>0</v>
      </c>
      <c r="R186" s="7">
        <v>1</v>
      </c>
      <c r="S186" s="7">
        <v>3</v>
      </c>
      <c r="T186">
        <v>7</v>
      </c>
      <c r="U186" s="1">
        <v>23</v>
      </c>
      <c r="V186">
        <v>0</v>
      </c>
      <c r="W186">
        <v>0</v>
      </c>
      <c r="X186">
        <v>1</v>
      </c>
      <c r="Y186">
        <v>0.24</v>
      </c>
      <c r="Z186">
        <v>23</v>
      </c>
      <c r="AA186">
        <v>0</v>
      </c>
      <c r="AB186">
        <v>0</v>
      </c>
      <c r="AC186">
        <v>0</v>
      </c>
      <c r="AD186">
        <v>1</v>
      </c>
      <c r="AE186">
        <v>0.02</v>
      </c>
      <c r="AF186">
        <v>15</v>
      </c>
      <c r="AG186">
        <v>0</v>
      </c>
      <c r="AH186">
        <v>0</v>
      </c>
      <c r="AI186">
        <v>0</v>
      </c>
      <c r="AJ186">
        <v>1</v>
      </c>
      <c r="AK186">
        <v>0.01</v>
      </c>
      <c r="AL186">
        <v>16</v>
      </c>
      <c r="AM186">
        <v>0</v>
      </c>
      <c r="AN186">
        <v>0</v>
      </c>
      <c r="AO186">
        <v>0</v>
      </c>
      <c r="AP186">
        <v>1</v>
      </c>
      <c r="AQ186">
        <v>5.0000000000000001E-3</v>
      </c>
      <c r="AX186">
        <v>7</v>
      </c>
      <c r="AY186" s="1">
        <v>15</v>
      </c>
      <c r="AZ186">
        <v>0</v>
      </c>
      <c r="BA186">
        <v>0</v>
      </c>
      <c r="BB186">
        <v>1</v>
      </c>
      <c r="BC186" s="7">
        <v>0.4</v>
      </c>
      <c r="BP186">
        <v>36</v>
      </c>
      <c r="BQ186">
        <v>0</v>
      </c>
      <c r="BR186">
        <v>0</v>
      </c>
      <c r="BS186">
        <v>0</v>
      </c>
      <c r="BT186">
        <v>5</v>
      </c>
      <c r="BU186">
        <v>2</v>
      </c>
    </row>
    <row r="187" spans="1:73" x14ac:dyDescent="0.15">
      <c r="A187" s="11">
        <v>819</v>
      </c>
      <c r="B187">
        <v>7</v>
      </c>
      <c r="C187" s="1">
        <v>28</v>
      </c>
      <c r="D187">
        <v>0</v>
      </c>
      <c r="E187">
        <v>0</v>
      </c>
      <c r="F187">
        <v>1</v>
      </c>
      <c r="G187" s="7">
        <v>0.08</v>
      </c>
      <c r="H187">
        <v>12</v>
      </c>
      <c r="I187">
        <v>0</v>
      </c>
      <c r="J187">
        <v>0</v>
      </c>
      <c r="K187">
        <v>0</v>
      </c>
      <c r="L187">
        <v>1</v>
      </c>
      <c r="M187">
        <v>2</v>
      </c>
      <c r="N187" s="7">
        <v>9</v>
      </c>
      <c r="O187" s="7">
        <v>0</v>
      </c>
      <c r="P187" s="7">
        <v>0</v>
      </c>
      <c r="Q187" s="7">
        <v>0</v>
      </c>
      <c r="R187" s="7">
        <v>1</v>
      </c>
      <c r="S187" s="7">
        <v>3</v>
      </c>
      <c r="T187">
        <v>7</v>
      </c>
      <c r="U187" s="1">
        <v>24</v>
      </c>
      <c r="V187">
        <v>0</v>
      </c>
      <c r="W187">
        <v>0</v>
      </c>
      <c r="X187">
        <v>1</v>
      </c>
      <c r="Y187">
        <v>0.24</v>
      </c>
      <c r="Z187">
        <v>23</v>
      </c>
      <c r="AA187">
        <v>0</v>
      </c>
      <c r="AB187">
        <v>0</v>
      </c>
      <c r="AC187">
        <v>0</v>
      </c>
      <c r="AD187">
        <v>1</v>
      </c>
      <c r="AE187">
        <v>0.02</v>
      </c>
      <c r="AF187">
        <v>15</v>
      </c>
      <c r="AG187">
        <v>0</v>
      </c>
      <c r="AH187">
        <v>0</v>
      </c>
      <c r="AI187">
        <v>0</v>
      </c>
      <c r="AJ187">
        <v>1</v>
      </c>
      <c r="AK187">
        <v>0.01</v>
      </c>
      <c r="AL187">
        <v>16</v>
      </c>
      <c r="AM187">
        <v>0</v>
      </c>
      <c r="AN187">
        <v>0</v>
      </c>
      <c r="AO187">
        <v>0</v>
      </c>
      <c r="AP187">
        <v>1</v>
      </c>
      <c r="AQ187">
        <v>5.0000000000000001E-3</v>
      </c>
      <c r="AX187">
        <v>7</v>
      </c>
      <c r="AY187" s="1">
        <v>16</v>
      </c>
      <c r="AZ187">
        <v>0</v>
      </c>
      <c r="BA187">
        <v>0</v>
      </c>
      <c r="BB187">
        <v>1</v>
      </c>
      <c r="BC187" s="7">
        <v>0.4</v>
      </c>
      <c r="BP187">
        <v>36</v>
      </c>
      <c r="BQ187">
        <v>0</v>
      </c>
      <c r="BR187">
        <v>0</v>
      </c>
      <c r="BS187">
        <v>0</v>
      </c>
      <c r="BT187">
        <v>5</v>
      </c>
      <c r="BU187">
        <v>2</v>
      </c>
    </row>
    <row r="188" spans="1:73" x14ac:dyDescent="0.15">
      <c r="A188" s="11">
        <v>820</v>
      </c>
      <c r="B188">
        <v>7</v>
      </c>
      <c r="C188" s="1">
        <v>0</v>
      </c>
      <c r="D188">
        <v>4</v>
      </c>
      <c r="E188">
        <v>1</v>
      </c>
      <c r="F188">
        <v>1</v>
      </c>
      <c r="G188" s="7">
        <v>0.08</v>
      </c>
      <c r="H188">
        <v>12</v>
      </c>
      <c r="I188">
        <v>0</v>
      </c>
      <c r="J188">
        <v>0</v>
      </c>
      <c r="K188">
        <v>0</v>
      </c>
      <c r="L188">
        <v>1</v>
      </c>
      <c r="M188">
        <v>2</v>
      </c>
      <c r="N188" s="7">
        <v>9</v>
      </c>
      <c r="O188" s="7">
        <v>0</v>
      </c>
      <c r="P188" s="7">
        <v>0</v>
      </c>
      <c r="Q188" s="7">
        <v>0</v>
      </c>
      <c r="R188" s="7">
        <v>1</v>
      </c>
      <c r="S188" s="7">
        <v>3</v>
      </c>
      <c r="T188">
        <v>7</v>
      </c>
      <c r="U188" s="1">
        <v>0</v>
      </c>
      <c r="V188">
        <v>3</v>
      </c>
      <c r="W188">
        <v>2</v>
      </c>
      <c r="X188">
        <v>1</v>
      </c>
      <c r="Y188">
        <v>0.24</v>
      </c>
      <c r="Z188">
        <v>23</v>
      </c>
      <c r="AA188">
        <v>0</v>
      </c>
      <c r="AB188">
        <v>0</v>
      </c>
      <c r="AC188">
        <v>0</v>
      </c>
      <c r="AD188">
        <v>1</v>
      </c>
      <c r="AE188">
        <v>0.02</v>
      </c>
      <c r="AF188">
        <v>15</v>
      </c>
      <c r="AG188">
        <v>0</v>
      </c>
      <c r="AH188">
        <v>0</v>
      </c>
      <c r="AI188">
        <v>0</v>
      </c>
      <c r="AJ188">
        <v>1</v>
      </c>
      <c r="AK188">
        <v>0.01</v>
      </c>
      <c r="AL188">
        <v>16</v>
      </c>
      <c r="AM188">
        <v>0</v>
      </c>
      <c r="AN188">
        <v>0</v>
      </c>
      <c r="AO188">
        <v>0</v>
      </c>
      <c r="AP188">
        <v>1</v>
      </c>
      <c r="AQ188">
        <v>5.0000000000000001E-3</v>
      </c>
      <c r="AR188">
        <v>6</v>
      </c>
      <c r="AS188">
        <v>2</v>
      </c>
      <c r="AT188">
        <v>2</v>
      </c>
      <c r="AU188">
        <v>5</v>
      </c>
      <c r="AV188">
        <v>1</v>
      </c>
      <c r="AW188">
        <v>0.05</v>
      </c>
      <c r="AX188">
        <v>7</v>
      </c>
      <c r="AY188" s="1">
        <v>0</v>
      </c>
      <c r="AZ188">
        <v>2</v>
      </c>
      <c r="BA188">
        <v>2</v>
      </c>
      <c r="BB188">
        <v>1</v>
      </c>
      <c r="BC188" s="7">
        <v>0.4</v>
      </c>
      <c r="BP188">
        <v>36</v>
      </c>
      <c r="BQ188">
        <v>0</v>
      </c>
      <c r="BR188">
        <v>0</v>
      </c>
      <c r="BS188">
        <v>0</v>
      </c>
      <c r="BT188">
        <v>5</v>
      </c>
      <c r="BU188">
        <v>2</v>
      </c>
    </row>
    <row r="189" spans="1:73" x14ac:dyDescent="0.15">
      <c r="A189" s="11">
        <v>821</v>
      </c>
      <c r="B189">
        <v>7</v>
      </c>
      <c r="C189" s="1">
        <v>25</v>
      </c>
      <c r="D189">
        <v>0</v>
      </c>
      <c r="E189">
        <v>0</v>
      </c>
      <c r="F189">
        <v>1</v>
      </c>
      <c r="G189" s="7">
        <v>0.08</v>
      </c>
      <c r="H189">
        <v>12</v>
      </c>
      <c r="I189">
        <v>0</v>
      </c>
      <c r="J189">
        <v>0</v>
      </c>
      <c r="K189">
        <v>0</v>
      </c>
      <c r="L189">
        <v>1</v>
      </c>
      <c r="M189">
        <v>2</v>
      </c>
      <c r="N189" s="7">
        <v>9</v>
      </c>
      <c r="O189" s="7">
        <v>0</v>
      </c>
      <c r="P189" s="7">
        <v>0</v>
      </c>
      <c r="Q189" s="7">
        <v>0</v>
      </c>
      <c r="R189" s="7">
        <v>1</v>
      </c>
      <c r="S189" s="7">
        <v>3</v>
      </c>
      <c r="T189">
        <v>7</v>
      </c>
      <c r="U189" s="1">
        <v>21</v>
      </c>
      <c r="V189">
        <v>0</v>
      </c>
      <c r="W189">
        <v>0</v>
      </c>
      <c r="X189">
        <v>1</v>
      </c>
      <c r="Y189">
        <v>0.24</v>
      </c>
      <c r="Z189">
        <v>23</v>
      </c>
      <c r="AA189">
        <v>0</v>
      </c>
      <c r="AB189">
        <v>0</v>
      </c>
      <c r="AC189">
        <v>0</v>
      </c>
      <c r="AD189">
        <v>1</v>
      </c>
      <c r="AE189">
        <v>0.02</v>
      </c>
      <c r="AF189">
        <v>15</v>
      </c>
      <c r="AG189">
        <v>0</v>
      </c>
      <c r="AH189">
        <v>0</v>
      </c>
      <c r="AI189">
        <v>0</v>
      </c>
      <c r="AJ189">
        <v>1</v>
      </c>
      <c r="AK189">
        <v>0.01</v>
      </c>
      <c r="AL189">
        <v>16</v>
      </c>
      <c r="AM189">
        <v>0</v>
      </c>
      <c r="AN189">
        <v>0</v>
      </c>
      <c r="AO189">
        <v>0</v>
      </c>
      <c r="AP189">
        <v>1</v>
      </c>
      <c r="AQ189">
        <v>5.0000000000000001E-3</v>
      </c>
      <c r="AX189">
        <v>7</v>
      </c>
      <c r="AY189" s="1">
        <v>13</v>
      </c>
      <c r="AZ189">
        <v>0</v>
      </c>
      <c r="BA189">
        <v>0</v>
      </c>
      <c r="BB189">
        <v>1</v>
      </c>
      <c r="BC189" s="7">
        <v>0.4</v>
      </c>
      <c r="BP189">
        <v>36</v>
      </c>
      <c r="BQ189">
        <v>0</v>
      </c>
      <c r="BR189">
        <v>0</v>
      </c>
      <c r="BS189">
        <v>0</v>
      </c>
      <c r="BT189">
        <v>5</v>
      </c>
      <c r="BU189">
        <v>2</v>
      </c>
    </row>
    <row r="190" spans="1:73" x14ac:dyDescent="0.15">
      <c r="A190" s="11">
        <v>822</v>
      </c>
      <c r="B190">
        <v>7</v>
      </c>
      <c r="C190" s="1">
        <v>26</v>
      </c>
      <c r="D190">
        <v>0</v>
      </c>
      <c r="E190">
        <v>0</v>
      </c>
      <c r="F190">
        <v>1</v>
      </c>
      <c r="G190" s="7">
        <v>0.08</v>
      </c>
      <c r="H190">
        <v>12</v>
      </c>
      <c r="I190">
        <v>0</v>
      </c>
      <c r="J190">
        <v>0</v>
      </c>
      <c r="K190">
        <v>0</v>
      </c>
      <c r="L190">
        <v>1</v>
      </c>
      <c r="M190">
        <v>2</v>
      </c>
      <c r="N190" s="7">
        <v>9</v>
      </c>
      <c r="O190" s="7">
        <v>0</v>
      </c>
      <c r="P190" s="7">
        <v>0</v>
      </c>
      <c r="Q190" s="7">
        <v>0</v>
      </c>
      <c r="R190" s="7">
        <v>1</v>
      </c>
      <c r="S190" s="7">
        <v>3</v>
      </c>
      <c r="T190">
        <v>7</v>
      </c>
      <c r="U190" s="1">
        <v>22</v>
      </c>
      <c r="V190">
        <v>0</v>
      </c>
      <c r="W190">
        <v>0</v>
      </c>
      <c r="X190">
        <v>1</v>
      </c>
      <c r="Y190">
        <v>0.24</v>
      </c>
      <c r="Z190">
        <v>23</v>
      </c>
      <c r="AA190">
        <v>0</v>
      </c>
      <c r="AB190">
        <v>0</v>
      </c>
      <c r="AC190">
        <v>0</v>
      </c>
      <c r="AD190">
        <v>1</v>
      </c>
      <c r="AE190">
        <v>0.02</v>
      </c>
      <c r="AF190">
        <v>15</v>
      </c>
      <c r="AG190">
        <v>0</v>
      </c>
      <c r="AH190">
        <v>0</v>
      </c>
      <c r="AI190">
        <v>0</v>
      </c>
      <c r="AJ190">
        <v>1</v>
      </c>
      <c r="AK190">
        <v>0.01</v>
      </c>
      <c r="AL190">
        <v>16</v>
      </c>
      <c r="AM190">
        <v>0</v>
      </c>
      <c r="AN190">
        <v>0</v>
      </c>
      <c r="AO190">
        <v>0</v>
      </c>
      <c r="AP190">
        <v>1</v>
      </c>
      <c r="AQ190">
        <v>5.0000000000000001E-3</v>
      </c>
      <c r="AX190">
        <v>7</v>
      </c>
      <c r="AY190" s="1">
        <v>14</v>
      </c>
      <c r="AZ190">
        <v>0</v>
      </c>
      <c r="BA190">
        <v>0</v>
      </c>
      <c r="BB190">
        <v>1</v>
      </c>
      <c r="BC190" s="7">
        <v>0.4</v>
      </c>
      <c r="BP190">
        <v>36</v>
      </c>
      <c r="BQ190">
        <v>0</v>
      </c>
      <c r="BR190">
        <v>0</v>
      </c>
      <c r="BS190">
        <v>0</v>
      </c>
      <c r="BT190">
        <v>5</v>
      </c>
      <c r="BU190">
        <v>2</v>
      </c>
    </row>
    <row r="191" spans="1:73" x14ac:dyDescent="0.15">
      <c r="A191" s="11">
        <v>823</v>
      </c>
      <c r="B191">
        <v>7</v>
      </c>
      <c r="C191" s="1">
        <v>27</v>
      </c>
      <c r="D191">
        <v>0</v>
      </c>
      <c r="E191">
        <v>0</v>
      </c>
      <c r="F191">
        <v>1</v>
      </c>
      <c r="G191" s="7">
        <v>0.08</v>
      </c>
      <c r="H191">
        <v>12</v>
      </c>
      <c r="I191">
        <v>0</v>
      </c>
      <c r="J191">
        <v>0</v>
      </c>
      <c r="K191">
        <v>0</v>
      </c>
      <c r="L191">
        <v>1</v>
      </c>
      <c r="M191">
        <v>2</v>
      </c>
      <c r="N191" s="7">
        <v>9</v>
      </c>
      <c r="O191" s="7">
        <v>0</v>
      </c>
      <c r="P191" s="7">
        <v>0</v>
      </c>
      <c r="Q191" s="7">
        <v>0</v>
      </c>
      <c r="R191" s="7">
        <v>1</v>
      </c>
      <c r="S191" s="7">
        <v>3</v>
      </c>
      <c r="T191">
        <v>7</v>
      </c>
      <c r="U191" s="1">
        <v>23</v>
      </c>
      <c r="V191">
        <v>0</v>
      </c>
      <c r="W191">
        <v>0</v>
      </c>
      <c r="X191">
        <v>1</v>
      </c>
      <c r="Y191">
        <v>0.24</v>
      </c>
      <c r="Z191">
        <v>23</v>
      </c>
      <c r="AA191">
        <v>0</v>
      </c>
      <c r="AB191">
        <v>0</v>
      </c>
      <c r="AC191">
        <v>0</v>
      </c>
      <c r="AD191">
        <v>1</v>
      </c>
      <c r="AE191">
        <v>0.02</v>
      </c>
      <c r="AF191">
        <v>15</v>
      </c>
      <c r="AG191">
        <v>0</v>
      </c>
      <c r="AH191">
        <v>0</v>
      </c>
      <c r="AI191">
        <v>0</v>
      </c>
      <c r="AJ191">
        <v>1</v>
      </c>
      <c r="AK191">
        <v>0.01</v>
      </c>
      <c r="AL191">
        <v>16</v>
      </c>
      <c r="AM191">
        <v>0</v>
      </c>
      <c r="AN191">
        <v>0</v>
      </c>
      <c r="AO191">
        <v>0</v>
      </c>
      <c r="AP191">
        <v>1</v>
      </c>
      <c r="AQ191">
        <v>5.0000000000000001E-3</v>
      </c>
      <c r="AX191">
        <v>7</v>
      </c>
      <c r="AY191" s="1">
        <v>15</v>
      </c>
      <c r="AZ191">
        <v>0</v>
      </c>
      <c r="BA191">
        <v>0</v>
      </c>
      <c r="BB191">
        <v>1</v>
      </c>
      <c r="BC191" s="7">
        <v>0.4</v>
      </c>
      <c r="BP191">
        <v>36</v>
      </c>
      <c r="BQ191">
        <v>0</v>
      </c>
      <c r="BR191">
        <v>0</v>
      </c>
      <c r="BS191">
        <v>0</v>
      </c>
      <c r="BT191">
        <v>5</v>
      </c>
      <c r="BU191">
        <v>2</v>
      </c>
    </row>
    <row r="192" spans="1:73" x14ac:dyDescent="0.15">
      <c r="A192" s="11">
        <v>824</v>
      </c>
      <c r="B192">
        <v>7</v>
      </c>
      <c r="C192" s="1">
        <v>28</v>
      </c>
      <c r="D192">
        <v>0</v>
      </c>
      <c r="E192">
        <v>0</v>
      </c>
      <c r="F192">
        <v>1</v>
      </c>
      <c r="G192" s="7">
        <v>0.08</v>
      </c>
      <c r="H192">
        <v>12</v>
      </c>
      <c r="I192">
        <v>0</v>
      </c>
      <c r="J192">
        <v>0</v>
      </c>
      <c r="K192">
        <v>0</v>
      </c>
      <c r="L192">
        <v>1</v>
      </c>
      <c r="M192">
        <v>2</v>
      </c>
      <c r="N192" s="7">
        <v>9</v>
      </c>
      <c r="O192" s="7">
        <v>0</v>
      </c>
      <c r="P192" s="7">
        <v>0</v>
      </c>
      <c r="Q192" s="7">
        <v>0</v>
      </c>
      <c r="R192" s="7">
        <v>1</v>
      </c>
      <c r="S192" s="7">
        <v>3</v>
      </c>
      <c r="T192">
        <v>7</v>
      </c>
      <c r="U192" s="1">
        <v>24</v>
      </c>
      <c r="V192">
        <v>0</v>
      </c>
      <c r="W192">
        <v>0</v>
      </c>
      <c r="X192">
        <v>1</v>
      </c>
      <c r="Y192">
        <v>0.24</v>
      </c>
      <c r="Z192">
        <v>23</v>
      </c>
      <c r="AA192">
        <v>0</v>
      </c>
      <c r="AB192">
        <v>0</v>
      </c>
      <c r="AC192">
        <v>0</v>
      </c>
      <c r="AD192">
        <v>1</v>
      </c>
      <c r="AE192">
        <v>0.02</v>
      </c>
      <c r="AF192">
        <v>15</v>
      </c>
      <c r="AG192">
        <v>0</v>
      </c>
      <c r="AH192">
        <v>0</v>
      </c>
      <c r="AI192">
        <v>0</v>
      </c>
      <c r="AJ192">
        <v>1</v>
      </c>
      <c r="AK192">
        <v>0.01</v>
      </c>
      <c r="AL192">
        <v>16</v>
      </c>
      <c r="AM192">
        <v>0</v>
      </c>
      <c r="AN192">
        <v>0</v>
      </c>
      <c r="AO192">
        <v>0</v>
      </c>
      <c r="AP192">
        <v>1</v>
      </c>
      <c r="AQ192">
        <v>5.0000000000000001E-3</v>
      </c>
      <c r="AX192">
        <v>7</v>
      </c>
      <c r="AY192" s="1">
        <v>16</v>
      </c>
      <c r="AZ192">
        <v>0</v>
      </c>
      <c r="BA192">
        <v>0</v>
      </c>
      <c r="BB192">
        <v>1</v>
      </c>
      <c r="BC192" s="7">
        <v>0.4</v>
      </c>
      <c r="BP192">
        <v>36</v>
      </c>
      <c r="BQ192">
        <v>0</v>
      </c>
      <c r="BR192">
        <v>0</v>
      </c>
      <c r="BS192">
        <v>0</v>
      </c>
      <c r="BT192">
        <v>5</v>
      </c>
      <c r="BU192">
        <v>2</v>
      </c>
    </row>
    <row r="193" spans="1:73" x14ac:dyDescent="0.15">
      <c r="A193" s="11">
        <v>825</v>
      </c>
      <c r="B193">
        <v>7</v>
      </c>
      <c r="C193" s="1">
        <v>0</v>
      </c>
      <c r="D193">
        <v>4</v>
      </c>
      <c r="E193">
        <v>1</v>
      </c>
      <c r="F193">
        <v>1</v>
      </c>
      <c r="G193" s="7">
        <v>0.08</v>
      </c>
      <c r="H193">
        <v>12</v>
      </c>
      <c r="I193">
        <v>0</v>
      </c>
      <c r="J193">
        <v>0</v>
      </c>
      <c r="K193">
        <v>0</v>
      </c>
      <c r="L193">
        <v>1</v>
      </c>
      <c r="M193">
        <v>2</v>
      </c>
      <c r="N193" s="7">
        <v>9</v>
      </c>
      <c r="O193" s="7">
        <v>0</v>
      </c>
      <c r="P193" s="7">
        <v>0</v>
      </c>
      <c r="Q193" s="7">
        <v>0</v>
      </c>
      <c r="R193" s="7">
        <v>1</v>
      </c>
      <c r="S193" s="7">
        <v>3</v>
      </c>
      <c r="T193">
        <v>7</v>
      </c>
      <c r="U193" s="1">
        <v>0</v>
      </c>
      <c r="V193">
        <v>3</v>
      </c>
      <c r="W193">
        <v>2</v>
      </c>
      <c r="X193">
        <v>1</v>
      </c>
      <c r="Y193">
        <v>0.24</v>
      </c>
      <c r="Z193">
        <v>23</v>
      </c>
      <c r="AA193">
        <v>0</v>
      </c>
      <c r="AB193">
        <v>0</v>
      </c>
      <c r="AC193">
        <v>0</v>
      </c>
      <c r="AD193">
        <v>1</v>
      </c>
      <c r="AE193">
        <v>0.02</v>
      </c>
      <c r="AF193">
        <v>15</v>
      </c>
      <c r="AG193">
        <v>0</v>
      </c>
      <c r="AH193">
        <v>0</v>
      </c>
      <c r="AI193">
        <v>0</v>
      </c>
      <c r="AJ193">
        <v>1</v>
      </c>
      <c r="AK193">
        <v>0.01</v>
      </c>
      <c r="AL193">
        <v>16</v>
      </c>
      <c r="AM193">
        <v>0</v>
      </c>
      <c r="AN193">
        <v>0</v>
      </c>
      <c r="AO193">
        <v>0</v>
      </c>
      <c r="AP193">
        <v>1</v>
      </c>
      <c r="AQ193">
        <v>5.0000000000000001E-3</v>
      </c>
      <c r="AR193">
        <v>6</v>
      </c>
      <c r="AS193">
        <v>2</v>
      </c>
      <c r="AT193">
        <v>3</v>
      </c>
      <c r="AU193">
        <v>5</v>
      </c>
      <c r="AV193">
        <v>1</v>
      </c>
      <c r="AW193">
        <v>0.05</v>
      </c>
      <c r="AX193">
        <v>7</v>
      </c>
      <c r="AY193" s="1">
        <v>0</v>
      </c>
      <c r="AZ193">
        <v>2</v>
      </c>
      <c r="BA193">
        <v>2</v>
      </c>
      <c r="BB193">
        <v>1</v>
      </c>
      <c r="BC193" s="7">
        <v>0.4</v>
      </c>
      <c r="BP193">
        <v>36</v>
      </c>
      <c r="BQ193">
        <v>0</v>
      </c>
      <c r="BR193">
        <v>0</v>
      </c>
      <c r="BS193">
        <v>0</v>
      </c>
      <c r="BT193">
        <v>5</v>
      </c>
      <c r="BU193">
        <v>2</v>
      </c>
    </row>
    <row r="194" spans="1:73" x14ac:dyDescent="0.15">
      <c r="A194" s="11">
        <v>826</v>
      </c>
      <c r="B194">
        <v>7</v>
      </c>
      <c r="C194" s="1">
        <v>25</v>
      </c>
      <c r="D194">
        <v>0</v>
      </c>
      <c r="E194">
        <v>0</v>
      </c>
      <c r="F194">
        <v>1</v>
      </c>
      <c r="G194" s="7">
        <v>0.08</v>
      </c>
      <c r="H194">
        <v>12</v>
      </c>
      <c r="I194">
        <v>0</v>
      </c>
      <c r="J194">
        <v>0</v>
      </c>
      <c r="K194">
        <v>0</v>
      </c>
      <c r="L194">
        <v>1</v>
      </c>
      <c r="M194">
        <v>2</v>
      </c>
      <c r="N194" s="7">
        <v>9</v>
      </c>
      <c r="O194" s="7">
        <v>0</v>
      </c>
      <c r="P194" s="7">
        <v>0</v>
      </c>
      <c r="Q194" s="7">
        <v>0</v>
      </c>
      <c r="R194" s="7">
        <v>1</v>
      </c>
      <c r="S194" s="7">
        <v>3</v>
      </c>
      <c r="T194">
        <v>7</v>
      </c>
      <c r="U194" s="1">
        <v>21</v>
      </c>
      <c r="V194">
        <v>0</v>
      </c>
      <c r="W194">
        <v>0</v>
      </c>
      <c r="X194">
        <v>1</v>
      </c>
      <c r="Y194">
        <v>0.24</v>
      </c>
      <c r="Z194">
        <v>23</v>
      </c>
      <c r="AA194">
        <v>0</v>
      </c>
      <c r="AB194">
        <v>0</v>
      </c>
      <c r="AC194">
        <v>0</v>
      </c>
      <c r="AD194">
        <v>1</v>
      </c>
      <c r="AE194">
        <v>0.02</v>
      </c>
      <c r="AF194">
        <v>15</v>
      </c>
      <c r="AG194">
        <v>0</v>
      </c>
      <c r="AH194">
        <v>0</v>
      </c>
      <c r="AI194">
        <v>0</v>
      </c>
      <c r="AJ194">
        <v>1</v>
      </c>
      <c r="AK194">
        <v>0.01</v>
      </c>
      <c r="AL194">
        <v>16</v>
      </c>
      <c r="AM194">
        <v>0</v>
      </c>
      <c r="AN194">
        <v>0</v>
      </c>
      <c r="AO194">
        <v>0</v>
      </c>
      <c r="AP194">
        <v>1</v>
      </c>
      <c r="AQ194">
        <v>5.0000000000000001E-3</v>
      </c>
      <c r="AX194">
        <v>7</v>
      </c>
      <c r="AY194" s="1">
        <v>13</v>
      </c>
      <c r="AZ194">
        <v>0</v>
      </c>
      <c r="BA194">
        <v>0</v>
      </c>
      <c r="BB194">
        <v>1</v>
      </c>
      <c r="BC194" s="7">
        <v>0.4</v>
      </c>
      <c r="BP194">
        <v>36</v>
      </c>
      <c r="BQ194">
        <v>0</v>
      </c>
      <c r="BR194">
        <v>0</v>
      </c>
      <c r="BS194">
        <v>0</v>
      </c>
      <c r="BT194">
        <v>5</v>
      </c>
      <c r="BU194">
        <v>2</v>
      </c>
    </row>
    <row r="195" spans="1:73" x14ac:dyDescent="0.15">
      <c r="A195" s="11">
        <v>827</v>
      </c>
      <c r="B195">
        <v>7</v>
      </c>
      <c r="C195" s="1">
        <v>26</v>
      </c>
      <c r="D195">
        <v>0</v>
      </c>
      <c r="E195">
        <v>0</v>
      </c>
      <c r="F195">
        <v>1</v>
      </c>
      <c r="G195" s="7">
        <v>0.08</v>
      </c>
      <c r="H195">
        <v>12</v>
      </c>
      <c r="I195">
        <v>0</v>
      </c>
      <c r="J195">
        <v>0</v>
      </c>
      <c r="K195">
        <v>0</v>
      </c>
      <c r="L195">
        <v>1</v>
      </c>
      <c r="M195">
        <v>2</v>
      </c>
      <c r="N195" s="7">
        <v>9</v>
      </c>
      <c r="O195" s="7">
        <v>0</v>
      </c>
      <c r="P195" s="7">
        <v>0</v>
      </c>
      <c r="Q195" s="7">
        <v>0</v>
      </c>
      <c r="R195" s="7">
        <v>1</v>
      </c>
      <c r="S195" s="7">
        <v>3</v>
      </c>
      <c r="T195">
        <v>7</v>
      </c>
      <c r="U195" s="1">
        <v>22</v>
      </c>
      <c r="V195">
        <v>0</v>
      </c>
      <c r="W195">
        <v>0</v>
      </c>
      <c r="X195">
        <v>1</v>
      </c>
      <c r="Y195">
        <v>0.24</v>
      </c>
      <c r="Z195">
        <v>23</v>
      </c>
      <c r="AA195">
        <v>0</v>
      </c>
      <c r="AB195">
        <v>0</v>
      </c>
      <c r="AC195">
        <v>0</v>
      </c>
      <c r="AD195">
        <v>1</v>
      </c>
      <c r="AE195">
        <v>0.02</v>
      </c>
      <c r="AF195">
        <v>15</v>
      </c>
      <c r="AG195">
        <v>0</v>
      </c>
      <c r="AH195">
        <v>0</v>
      </c>
      <c r="AI195">
        <v>0</v>
      </c>
      <c r="AJ195">
        <v>1</v>
      </c>
      <c r="AK195">
        <v>0.01</v>
      </c>
      <c r="AL195">
        <v>16</v>
      </c>
      <c r="AM195">
        <v>0</v>
      </c>
      <c r="AN195">
        <v>0</v>
      </c>
      <c r="AO195">
        <v>0</v>
      </c>
      <c r="AP195">
        <v>1</v>
      </c>
      <c r="AQ195">
        <v>5.0000000000000001E-3</v>
      </c>
      <c r="AX195">
        <v>7</v>
      </c>
      <c r="AY195" s="1">
        <v>14</v>
      </c>
      <c r="AZ195">
        <v>0</v>
      </c>
      <c r="BA195">
        <v>0</v>
      </c>
      <c r="BB195">
        <v>1</v>
      </c>
      <c r="BC195" s="7">
        <v>0.4</v>
      </c>
      <c r="BP195">
        <v>36</v>
      </c>
      <c r="BQ195">
        <v>0</v>
      </c>
      <c r="BR195">
        <v>0</v>
      </c>
      <c r="BS195">
        <v>0</v>
      </c>
      <c r="BT195">
        <v>5</v>
      </c>
      <c r="BU195">
        <v>2</v>
      </c>
    </row>
    <row r="196" spans="1:73" x14ac:dyDescent="0.15">
      <c r="A196" s="11">
        <v>828</v>
      </c>
      <c r="B196">
        <v>7</v>
      </c>
      <c r="C196" s="1">
        <v>27</v>
      </c>
      <c r="D196">
        <v>0</v>
      </c>
      <c r="E196">
        <v>0</v>
      </c>
      <c r="F196">
        <v>1</v>
      </c>
      <c r="G196" s="7">
        <v>0.08</v>
      </c>
      <c r="H196">
        <v>12</v>
      </c>
      <c r="I196">
        <v>0</v>
      </c>
      <c r="J196">
        <v>0</v>
      </c>
      <c r="K196">
        <v>0</v>
      </c>
      <c r="L196">
        <v>1</v>
      </c>
      <c r="M196">
        <v>2</v>
      </c>
      <c r="N196" s="7">
        <v>9</v>
      </c>
      <c r="O196" s="7">
        <v>0</v>
      </c>
      <c r="P196" s="7">
        <v>0</v>
      </c>
      <c r="Q196" s="7">
        <v>0</v>
      </c>
      <c r="R196" s="7">
        <v>1</v>
      </c>
      <c r="S196" s="7">
        <v>3</v>
      </c>
      <c r="T196">
        <v>7</v>
      </c>
      <c r="U196" s="1">
        <v>23</v>
      </c>
      <c r="V196">
        <v>0</v>
      </c>
      <c r="W196">
        <v>0</v>
      </c>
      <c r="X196">
        <v>1</v>
      </c>
      <c r="Y196">
        <v>0.24</v>
      </c>
      <c r="Z196">
        <v>23</v>
      </c>
      <c r="AA196">
        <v>0</v>
      </c>
      <c r="AB196">
        <v>0</v>
      </c>
      <c r="AC196">
        <v>0</v>
      </c>
      <c r="AD196">
        <v>1</v>
      </c>
      <c r="AE196">
        <v>0.02</v>
      </c>
      <c r="AF196">
        <v>15</v>
      </c>
      <c r="AG196">
        <v>0</v>
      </c>
      <c r="AH196">
        <v>0</v>
      </c>
      <c r="AI196">
        <v>0</v>
      </c>
      <c r="AJ196">
        <v>1</v>
      </c>
      <c r="AK196">
        <v>0.01</v>
      </c>
      <c r="AL196">
        <v>16</v>
      </c>
      <c r="AM196">
        <v>0</v>
      </c>
      <c r="AN196">
        <v>0</v>
      </c>
      <c r="AO196">
        <v>0</v>
      </c>
      <c r="AP196">
        <v>1</v>
      </c>
      <c r="AQ196">
        <v>5.0000000000000001E-3</v>
      </c>
      <c r="AX196">
        <v>7</v>
      </c>
      <c r="AY196" s="1">
        <v>15</v>
      </c>
      <c r="AZ196">
        <v>0</v>
      </c>
      <c r="BA196">
        <v>0</v>
      </c>
      <c r="BB196">
        <v>1</v>
      </c>
      <c r="BC196" s="7">
        <v>0.4</v>
      </c>
      <c r="BP196">
        <v>36</v>
      </c>
      <c r="BQ196">
        <v>0</v>
      </c>
      <c r="BR196">
        <v>0</v>
      </c>
      <c r="BS196">
        <v>0</v>
      </c>
      <c r="BT196">
        <v>5</v>
      </c>
      <c r="BU196">
        <v>2</v>
      </c>
    </row>
    <row r="197" spans="1:73" x14ac:dyDescent="0.15">
      <c r="A197" s="11">
        <v>829</v>
      </c>
      <c r="B197">
        <v>7</v>
      </c>
      <c r="C197" s="1">
        <v>28</v>
      </c>
      <c r="D197">
        <v>0</v>
      </c>
      <c r="E197">
        <v>0</v>
      </c>
      <c r="F197">
        <v>1</v>
      </c>
      <c r="G197" s="7">
        <v>0.08</v>
      </c>
      <c r="H197">
        <v>12</v>
      </c>
      <c r="I197">
        <v>0</v>
      </c>
      <c r="J197">
        <v>0</v>
      </c>
      <c r="K197">
        <v>0</v>
      </c>
      <c r="L197">
        <v>1</v>
      </c>
      <c r="M197">
        <v>2</v>
      </c>
      <c r="N197" s="7">
        <v>9</v>
      </c>
      <c r="O197" s="7">
        <v>0</v>
      </c>
      <c r="P197" s="7">
        <v>0</v>
      </c>
      <c r="Q197" s="7">
        <v>0</v>
      </c>
      <c r="R197" s="7">
        <v>1</v>
      </c>
      <c r="S197" s="7">
        <v>3</v>
      </c>
      <c r="T197">
        <v>7</v>
      </c>
      <c r="U197" s="1">
        <v>24</v>
      </c>
      <c r="V197">
        <v>0</v>
      </c>
      <c r="W197">
        <v>0</v>
      </c>
      <c r="X197">
        <v>1</v>
      </c>
      <c r="Y197">
        <v>0.24</v>
      </c>
      <c r="Z197">
        <v>23</v>
      </c>
      <c r="AA197">
        <v>0</v>
      </c>
      <c r="AB197">
        <v>0</v>
      </c>
      <c r="AC197">
        <v>0</v>
      </c>
      <c r="AD197">
        <v>1</v>
      </c>
      <c r="AE197">
        <v>0.02</v>
      </c>
      <c r="AF197">
        <v>15</v>
      </c>
      <c r="AG197">
        <v>0</v>
      </c>
      <c r="AH197">
        <v>0</v>
      </c>
      <c r="AI197">
        <v>0</v>
      </c>
      <c r="AJ197">
        <v>1</v>
      </c>
      <c r="AK197">
        <v>0.01</v>
      </c>
      <c r="AL197">
        <v>16</v>
      </c>
      <c r="AM197">
        <v>0</v>
      </c>
      <c r="AN197">
        <v>0</v>
      </c>
      <c r="AO197">
        <v>0</v>
      </c>
      <c r="AP197">
        <v>1</v>
      </c>
      <c r="AQ197">
        <v>5.0000000000000001E-3</v>
      </c>
      <c r="AX197">
        <v>7</v>
      </c>
      <c r="AY197" s="1">
        <v>16</v>
      </c>
      <c r="AZ197">
        <v>0</v>
      </c>
      <c r="BA197">
        <v>0</v>
      </c>
      <c r="BB197">
        <v>1</v>
      </c>
      <c r="BC197" s="7">
        <v>0.4</v>
      </c>
      <c r="BP197">
        <v>36</v>
      </c>
      <c r="BQ197">
        <v>0</v>
      </c>
      <c r="BR197">
        <v>0</v>
      </c>
      <c r="BS197">
        <v>0</v>
      </c>
      <c r="BT197">
        <v>5</v>
      </c>
      <c r="BU197">
        <v>2</v>
      </c>
    </row>
    <row r="198" spans="1:73" x14ac:dyDescent="0.15">
      <c r="A198" s="11">
        <v>830</v>
      </c>
      <c r="B198">
        <v>7</v>
      </c>
      <c r="C198" s="1">
        <v>0</v>
      </c>
      <c r="D198">
        <v>4</v>
      </c>
      <c r="E198">
        <v>1</v>
      </c>
      <c r="F198">
        <v>1</v>
      </c>
      <c r="G198" s="7">
        <v>0.08</v>
      </c>
      <c r="H198">
        <v>12</v>
      </c>
      <c r="I198">
        <v>0</v>
      </c>
      <c r="J198">
        <v>0</v>
      </c>
      <c r="K198">
        <v>0</v>
      </c>
      <c r="L198">
        <v>1</v>
      </c>
      <c r="M198">
        <v>2</v>
      </c>
      <c r="N198" s="7">
        <v>9</v>
      </c>
      <c r="O198" s="7">
        <v>0</v>
      </c>
      <c r="P198" s="7">
        <v>0</v>
      </c>
      <c r="Q198" s="7">
        <v>0</v>
      </c>
      <c r="R198" s="7">
        <v>1</v>
      </c>
      <c r="S198" s="7">
        <v>3</v>
      </c>
      <c r="T198">
        <v>7</v>
      </c>
      <c r="U198" s="1">
        <v>0</v>
      </c>
      <c r="V198">
        <v>3</v>
      </c>
      <c r="W198">
        <v>2</v>
      </c>
      <c r="X198">
        <v>1</v>
      </c>
      <c r="Y198">
        <v>0.24</v>
      </c>
      <c r="Z198">
        <v>23</v>
      </c>
      <c r="AA198">
        <v>0</v>
      </c>
      <c r="AB198">
        <v>0</v>
      </c>
      <c r="AC198">
        <v>0</v>
      </c>
      <c r="AD198">
        <v>1</v>
      </c>
      <c r="AE198">
        <v>0.02</v>
      </c>
      <c r="AF198">
        <v>15</v>
      </c>
      <c r="AG198">
        <v>0</v>
      </c>
      <c r="AH198">
        <v>0</v>
      </c>
      <c r="AI198">
        <v>0</v>
      </c>
      <c r="AJ198">
        <v>1</v>
      </c>
      <c r="AK198">
        <v>0.01</v>
      </c>
      <c r="AL198">
        <v>16</v>
      </c>
      <c r="AM198">
        <v>0</v>
      </c>
      <c r="AN198">
        <v>0</v>
      </c>
      <c r="AO198">
        <v>0</v>
      </c>
      <c r="AP198">
        <v>1</v>
      </c>
      <c r="AQ198">
        <v>5.0000000000000001E-3</v>
      </c>
      <c r="AR198">
        <v>6</v>
      </c>
      <c r="AS198">
        <v>2</v>
      </c>
      <c r="AT198">
        <v>4</v>
      </c>
      <c r="AU198">
        <v>5</v>
      </c>
      <c r="AV198">
        <v>1</v>
      </c>
      <c r="AW198">
        <v>0.01</v>
      </c>
      <c r="AX198">
        <v>7</v>
      </c>
      <c r="AY198" s="1">
        <v>0</v>
      </c>
      <c r="AZ198">
        <v>2</v>
      </c>
      <c r="BA198">
        <v>2</v>
      </c>
      <c r="BB198">
        <v>1</v>
      </c>
      <c r="BC198" s="7">
        <v>0.4</v>
      </c>
      <c r="BP198">
        <v>36</v>
      </c>
      <c r="BQ198">
        <v>0</v>
      </c>
      <c r="BR198">
        <v>0</v>
      </c>
      <c r="BS198">
        <v>0</v>
      </c>
      <c r="BT198">
        <v>5</v>
      </c>
      <c r="BU198">
        <v>2</v>
      </c>
    </row>
    <row r="199" spans="1:73" x14ac:dyDescent="0.15">
      <c r="A199" s="11">
        <v>831</v>
      </c>
      <c r="B199">
        <v>7</v>
      </c>
      <c r="C199" s="1">
        <v>25</v>
      </c>
      <c r="D199">
        <v>0</v>
      </c>
      <c r="E199">
        <v>0</v>
      </c>
      <c r="F199">
        <v>1</v>
      </c>
      <c r="G199" s="7">
        <v>0.08</v>
      </c>
      <c r="H199">
        <v>12</v>
      </c>
      <c r="I199">
        <v>0</v>
      </c>
      <c r="J199">
        <v>0</v>
      </c>
      <c r="K199">
        <v>0</v>
      </c>
      <c r="L199">
        <v>1</v>
      </c>
      <c r="M199">
        <v>2</v>
      </c>
      <c r="N199" s="7">
        <v>9</v>
      </c>
      <c r="O199" s="7">
        <v>0</v>
      </c>
      <c r="P199" s="7">
        <v>0</v>
      </c>
      <c r="Q199" s="7">
        <v>0</v>
      </c>
      <c r="R199" s="7">
        <v>1</v>
      </c>
      <c r="S199" s="7">
        <v>3</v>
      </c>
      <c r="T199">
        <v>7</v>
      </c>
      <c r="U199" s="1">
        <v>21</v>
      </c>
      <c r="V199">
        <v>0</v>
      </c>
      <c r="W199">
        <v>0</v>
      </c>
      <c r="X199">
        <v>1</v>
      </c>
      <c r="Y199">
        <v>0.24</v>
      </c>
      <c r="Z199">
        <v>23</v>
      </c>
      <c r="AA199">
        <v>0</v>
      </c>
      <c r="AB199">
        <v>0</v>
      </c>
      <c r="AC199">
        <v>0</v>
      </c>
      <c r="AD199">
        <v>1</v>
      </c>
      <c r="AE199">
        <v>0.02</v>
      </c>
      <c r="AF199">
        <v>15</v>
      </c>
      <c r="AG199">
        <v>0</v>
      </c>
      <c r="AH199">
        <v>0</v>
      </c>
      <c r="AI199">
        <v>0</v>
      </c>
      <c r="AJ199">
        <v>1</v>
      </c>
      <c r="AK199">
        <v>0.01</v>
      </c>
      <c r="AL199">
        <v>16</v>
      </c>
      <c r="AM199">
        <v>0</v>
      </c>
      <c r="AN199">
        <v>0</v>
      </c>
      <c r="AO199">
        <v>0</v>
      </c>
      <c r="AP199">
        <v>1</v>
      </c>
      <c r="AQ199">
        <v>5.0000000000000001E-3</v>
      </c>
      <c r="AX199">
        <v>7</v>
      </c>
      <c r="AY199" s="1">
        <v>13</v>
      </c>
      <c r="AZ199">
        <v>0</v>
      </c>
      <c r="BA199">
        <v>0</v>
      </c>
      <c r="BB199">
        <v>1</v>
      </c>
      <c r="BC199" s="7">
        <v>0.4</v>
      </c>
      <c r="BP199">
        <v>36</v>
      </c>
      <c r="BQ199">
        <v>0</v>
      </c>
      <c r="BR199">
        <v>0</v>
      </c>
      <c r="BS199">
        <v>0</v>
      </c>
      <c r="BT199">
        <v>5</v>
      </c>
      <c r="BU199">
        <v>2</v>
      </c>
    </row>
    <row r="200" spans="1:73" x14ac:dyDescent="0.15">
      <c r="A200" s="11">
        <v>832</v>
      </c>
      <c r="B200">
        <v>7</v>
      </c>
      <c r="C200" s="1">
        <v>26</v>
      </c>
      <c r="D200">
        <v>0</v>
      </c>
      <c r="E200">
        <v>0</v>
      </c>
      <c r="F200">
        <v>1</v>
      </c>
      <c r="G200" s="7">
        <v>0.08</v>
      </c>
      <c r="H200">
        <v>12</v>
      </c>
      <c r="I200">
        <v>0</v>
      </c>
      <c r="J200">
        <v>0</v>
      </c>
      <c r="K200">
        <v>0</v>
      </c>
      <c r="L200">
        <v>1</v>
      </c>
      <c r="M200">
        <v>2</v>
      </c>
      <c r="N200" s="7">
        <v>9</v>
      </c>
      <c r="O200" s="7">
        <v>0</v>
      </c>
      <c r="P200" s="7">
        <v>0</v>
      </c>
      <c r="Q200" s="7">
        <v>0</v>
      </c>
      <c r="R200" s="7">
        <v>1</v>
      </c>
      <c r="S200" s="7">
        <v>3</v>
      </c>
      <c r="T200">
        <v>7</v>
      </c>
      <c r="U200" s="1">
        <v>22</v>
      </c>
      <c r="V200">
        <v>0</v>
      </c>
      <c r="W200">
        <v>0</v>
      </c>
      <c r="X200">
        <v>1</v>
      </c>
      <c r="Y200">
        <v>0.24</v>
      </c>
      <c r="Z200">
        <v>23</v>
      </c>
      <c r="AA200">
        <v>0</v>
      </c>
      <c r="AB200">
        <v>0</v>
      </c>
      <c r="AC200">
        <v>0</v>
      </c>
      <c r="AD200">
        <v>1</v>
      </c>
      <c r="AE200">
        <v>0.02</v>
      </c>
      <c r="AF200">
        <v>15</v>
      </c>
      <c r="AG200">
        <v>0</v>
      </c>
      <c r="AH200">
        <v>0</v>
      </c>
      <c r="AI200">
        <v>0</v>
      </c>
      <c r="AJ200">
        <v>1</v>
      </c>
      <c r="AK200">
        <v>0.01</v>
      </c>
      <c r="AL200">
        <v>16</v>
      </c>
      <c r="AM200">
        <v>0</v>
      </c>
      <c r="AN200">
        <v>0</v>
      </c>
      <c r="AO200">
        <v>0</v>
      </c>
      <c r="AP200">
        <v>1</v>
      </c>
      <c r="AQ200">
        <v>5.0000000000000001E-3</v>
      </c>
      <c r="AX200">
        <v>7</v>
      </c>
      <c r="AY200" s="1">
        <v>14</v>
      </c>
      <c r="AZ200">
        <v>0</v>
      </c>
      <c r="BA200">
        <v>0</v>
      </c>
      <c r="BB200">
        <v>1</v>
      </c>
      <c r="BC200" s="7">
        <v>0.4</v>
      </c>
      <c r="BP200">
        <v>36</v>
      </c>
      <c r="BQ200">
        <v>0</v>
      </c>
      <c r="BR200">
        <v>0</v>
      </c>
      <c r="BS200">
        <v>0</v>
      </c>
      <c r="BT200">
        <v>5</v>
      </c>
      <c r="BU200">
        <v>2</v>
      </c>
    </row>
    <row r="201" spans="1:73" x14ac:dyDescent="0.15">
      <c r="A201" s="11">
        <v>833</v>
      </c>
      <c r="B201">
        <v>7</v>
      </c>
      <c r="C201" s="1">
        <v>27</v>
      </c>
      <c r="D201">
        <v>0</v>
      </c>
      <c r="E201">
        <v>0</v>
      </c>
      <c r="F201">
        <v>1</v>
      </c>
      <c r="G201" s="7">
        <v>0.08</v>
      </c>
      <c r="H201">
        <v>12</v>
      </c>
      <c r="I201">
        <v>0</v>
      </c>
      <c r="J201">
        <v>0</v>
      </c>
      <c r="K201">
        <v>0</v>
      </c>
      <c r="L201">
        <v>1</v>
      </c>
      <c r="M201">
        <v>2</v>
      </c>
      <c r="N201" s="7">
        <v>9</v>
      </c>
      <c r="O201" s="7">
        <v>0</v>
      </c>
      <c r="P201" s="7">
        <v>0</v>
      </c>
      <c r="Q201" s="7">
        <v>0</v>
      </c>
      <c r="R201" s="7">
        <v>1</v>
      </c>
      <c r="S201" s="7">
        <v>3</v>
      </c>
      <c r="T201">
        <v>7</v>
      </c>
      <c r="U201" s="1">
        <v>23</v>
      </c>
      <c r="V201">
        <v>0</v>
      </c>
      <c r="W201">
        <v>0</v>
      </c>
      <c r="X201">
        <v>1</v>
      </c>
      <c r="Y201">
        <v>0.24</v>
      </c>
      <c r="Z201">
        <v>23</v>
      </c>
      <c r="AA201">
        <v>0</v>
      </c>
      <c r="AB201">
        <v>0</v>
      </c>
      <c r="AC201">
        <v>0</v>
      </c>
      <c r="AD201">
        <v>1</v>
      </c>
      <c r="AE201">
        <v>0.02</v>
      </c>
      <c r="AF201">
        <v>15</v>
      </c>
      <c r="AG201">
        <v>0</v>
      </c>
      <c r="AH201">
        <v>0</v>
      </c>
      <c r="AI201">
        <v>0</v>
      </c>
      <c r="AJ201">
        <v>1</v>
      </c>
      <c r="AK201">
        <v>0.01</v>
      </c>
      <c r="AL201">
        <v>16</v>
      </c>
      <c r="AM201">
        <v>0</v>
      </c>
      <c r="AN201">
        <v>0</v>
      </c>
      <c r="AO201">
        <v>0</v>
      </c>
      <c r="AP201">
        <v>1</v>
      </c>
      <c r="AQ201">
        <v>5.0000000000000001E-3</v>
      </c>
      <c r="AX201">
        <v>7</v>
      </c>
      <c r="AY201" s="1">
        <v>15</v>
      </c>
      <c r="AZ201">
        <v>0</v>
      </c>
      <c r="BA201">
        <v>0</v>
      </c>
      <c r="BB201">
        <v>1</v>
      </c>
      <c r="BC201" s="7">
        <v>0.4</v>
      </c>
      <c r="BP201">
        <v>36</v>
      </c>
      <c r="BQ201">
        <v>0</v>
      </c>
      <c r="BR201">
        <v>0</v>
      </c>
      <c r="BS201">
        <v>0</v>
      </c>
      <c r="BT201">
        <v>5</v>
      </c>
      <c r="BU201">
        <v>2</v>
      </c>
    </row>
    <row r="202" spans="1:73" x14ac:dyDescent="0.15">
      <c r="A202" s="11">
        <v>834</v>
      </c>
      <c r="B202">
        <v>7</v>
      </c>
      <c r="C202" s="1">
        <v>28</v>
      </c>
      <c r="D202">
        <v>0</v>
      </c>
      <c r="E202">
        <v>0</v>
      </c>
      <c r="F202">
        <v>1</v>
      </c>
      <c r="G202" s="7">
        <v>0.08</v>
      </c>
      <c r="H202">
        <v>12</v>
      </c>
      <c r="I202">
        <v>0</v>
      </c>
      <c r="J202">
        <v>0</v>
      </c>
      <c r="K202">
        <v>0</v>
      </c>
      <c r="L202">
        <v>1</v>
      </c>
      <c r="M202">
        <v>2</v>
      </c>
      <c r="N202" s="7">
        <v>9</v>
      </c>
      <c r="O202" s="7">
        <v>0</v>
      </c>
      <c r="P202" s="7">
        <v>0</v>
      </c>
      <c r="Q202" s="7">
        <v>0</v>
      </c>
      <c r="R202" s="7">
        <v>1</v>
      </c>
      <c r="S202" s="7">
        <v>3</v>
      </c>
      <c r="T202">
        <v>7</v>
      </c>
      <c r="U202" s="1">
        <v>24</v>
      </c>
      <c r="V202">
        <v>0</v>
      </c>
      <c r="W202">
        <v>0</v>
      </c>
      <c r="X202">
        <v>1</v>
      </c>
      <c r="Y202">
        <v>0.24</v>
      </c>
      <c r="Z202">
        <v>23</v>
      </c>
      <c r="AA202">
        <v>0</v>
      </c>
      <c r="AB202">
        <v>0</v>
      </c>
      <c r="AC202">
        <v>0</v>
      </c>
      <c r="AD202">
        <v>1</v>
      </c>
      <c r="AE202">
        <v>0.02</v>
      </c>
      <c r="AF202">
        <v>15</v>
      </c>
      <c r="AG202">
        <v>0</v>
      </c>
      <c r="AH202">
        <v>0</v>
      </c>
      <c r="AI202">
        <v>0</v>
      </c>
      <c r="AJ202">
        <v>1</v>
      </c>
      <c r="AK202">
        <v>0.01</v>
      </c>
      <c r="AL202">
        <v>16</v>
      </c>
      <c r="AM202">
        <v>0</v>
      </c>
      <c r="AN202">
        <v>0</v>
      </c>
      <c r="AO202">
        <v>0</v>
      </c>
      <c r="AP202">
        <v>1</v>
      </c>
      <c r="AQ202">
        <v>5.0000000000000001E-3</v>
      </c>
      <c r="AX202">
        <v>7</v>
      </c>
      <c r="AY202" s="1">
        <v>16</v>
      </c>
      <c r="AZ202">
        <v>0</v>
      </c>
      <c r="BA202">
        <v>0</v>
      </c>
      <c r="BB202">
        <v>1</v>
      </c>
      <c r="BC202" s="7">
        <v>0.4</v>
      </c>
      <c r="BP202">
        <v>36</v>
      </c>
      <c r="BQ202">
        <v>0</v>
      </c>
      <c r="BR202">
        <v>0</v>
      </c>
      <c r="BS202">
        <v>0</v>
      </c>
      <c r="BT202">
        <v>5</v>
      </c>
      <c r="BU202">
        <v>2</v>
      </c>
    </row>
    <row r="203" spans="1:73" x14ac:dyDescent="0.15">
      <c r="A203" s="11">
        <v>835</v>
      </c>
      <c r="B203">
        <v>7</v>
      </c>
      <c r="C203" s="1">
        <v>0</v>
      </c>
      <c r="D203">
        <v>4</v>
      </c>
      <c r="E203">
        <v>1</v>
      </c>
      <c r="F203">
        <v>1</v>
      </c>
      <c r="G203" s="7">
        <v>0.08</v>
      </c>
      <c r="H203">
        <v>12</v>
      </c>
      <c r="I203">
        <v>0</v>
      </c>
      <c r="J203">
        <v>0</v>
      </c>
      <c r="K203">
        <v>0</v>
      </c>
      <c r="L203">
        <v>1</v>
      </c>
      <c r="M203">
        <v>2</v>
      </c>
      <c r="N203" s="7">
        <v>9</v>
      </c>
      <c r="O203" s="7">
        <v>0</v>
      </c>
      <c r="P203" s="7">
        <v>0</v>
      </c>
      <c r="Q203" s="7">
        <v>0</v>
      </c>
      <c r="R203" s="7">
        <v>1</v>
      </c>
      <c r="S203" s="7">
        <v>3</v>
      </c>
      <c r="T203">
        <v>7</v>
      </c>
      <c r="U203" s="1">
        <v>0</v>
      </c>
      <c r="V203">
        <v>3</v>
      </c>
      <c r="W203">
        <v>2</v>
      </c>
      <c r="X203">
        <v>1</v>
      </c>
      <c r="Y203">
        <v>0.24</v>
      </c>
      <c r="Z203">
        <v>23</v>
      </c>
      <c r="AA203">
        <v>0</v>
      </c>
      <c r="AB203">
        <v>0</v>
      </c>
      <c r="AC203">
        <v>0</v>
      </c>
      <c r="AD203">
        <v>1</v>
      </c>
      <c r="AE203">
        <v>0.02</v>
      </c>
      <c r="AF203">
        <v>15</v>
      </c>
      <c r="AG203">
        <v>0</v>
      </c>
      <c r="AH203">
        <v>0</v>
      </c>
      <c r="AI203">
        <v>0</v>
      </c>
      <c r="AJ203">
        <v>1</v>
      </c>
      <c r="AK203">
        <v>0.01</v>
      </c>
      <c r="AL203">
        <v>16</v>
      </c>
      <c r="AM203">
        <v>0</v>
      </c>
      <c r="AN203">
        <v>0</v>
      </c>
      <c r="AO203">
        <v>0</v>
      </c>
      <c r="AP203">
        <v>1</v>
      </c>
      <c r="AQ203">
        <v>5.0000000000000001E-3</v>
      </c>
      <c r="AR203">
        <v>6</v>
      </c>
      <c r="AS203">
        <v>2</v>
      </c>
      <c r="AT203">
        <v>5</v>
      </c>
      <c r="AU203">
        <v>5</v>
      </c>
      <c r="AV203">
        <v>1</v>
      </c>
      <c r="AW203">
        <v>0.01</v>
      </c>
      <c r="AX203">
        <v>7</v>
      </c>
      <c r="AY203" s="1">
        <v>0</v>
      </c>
      <c r="AZ203">
        <v>2</v>
      </c>
      <c r="BA203">
        <v>2</v>
      </c>
      <c r="BB203">
        <v>1</v>
      </c>
      <c r="BC203" s="7">
        <v>0.4</v>
      </c>
      <c r="BP203">
        <v>36</v>
      </c>
      <c r="BQ203">
        <v>0</v>
      </c>
      <c r="BR203">
        <v>0</v>
      </c>
      <c r="BS203">
        <v>0</v>
      </c>
      <c r="BT203">
        <v>5</v>
      </c>
      <c r="BU203">
        <v>2</v>
      </c>
    </row>
    <row r="204" spans="1:73" x14ac:dyDescent="0.15">
      <c r="A204" s="11">
        <v>836</v>
      </c>
      <c r="B204">
        <v>7</v>
      </c>
      <c r="C204" s="1">
        <v>25</v>
      </c>
      <c r="D204">
        <v>0</v>
      </c>
      <c r="E204">
        <v>0</v>
      </c>
      <c r="F204">
        <v>1</v>
      </c>
      <c r="G204" s="7">
        <v>0.08</v>
      </c>
      <c r="H204">
        <v>12</v>
      </c>
      <c r="I204">
        <v>0</v>
      </c>
      <c r="J204">
        <v>0</v>
      </c>
      <c r="K204">
        <v>0</v>
      </c>
      <c r="L204">
        <v>1</v>
      </c>
      <c r="M204">
        <v>2</v>
      </c>
      <c r="N204" s="7">
        <v>9</v>
      </c>
      <c r="O204" s="7">
        <v>0</v>
      </c>
      <c r="P204" s="7">
        <v>0</v>
      </c>
      <c r="Q204" s="7">
        <v>0</v>
      </c>
      <c r="R204" s="7">
        <v>1</v>
      </c>
      <c r="S204" s="7">
        <v>3</v>
      </c>
      <c r="T204">
        <v>7</v>
      </c>
      <c r="U204" s="1">
        <v>25</v>
      </c>
      <c r="V204">
        <v>0</v>
      </c>
      <c r="W204">
        <v>0</v>
      </c>
      <c r="X204">
        <v>1</v>
      </c>
      <c r="Y204">
        <v>0.24</v>
      </c>
      <c r="Z204">
        <v>23</v>
      </c>
      <c r="AA204">
        <v>0</v>
      </c>
      <c r="AB204">
        <v>0</v>
      </c>
      <c r="AC204">
        <v>0</v>
      </c>
      <c r="AD204">
        <v>1</v>
      </c>
      <c r="AE204">
        <v>0.02</v>
      </c>
      <c r="AF204">
        <v>15</v>
      </c>
      <c r="AG204">
        <v>0</v>
      </c>
      <c r="AH204">
        <v>0</v>
      </c>
      <c r="AI204">
        <v>0</v>
      </c>
      <c r="AJ204">
        <v>1</v>
      </c>
      <c r="AK204">
        <v>0.01</v>
      </c>
      <c r="AL204">
        <v>16</v>
      </c>
      <c r="AM204">
        <v>0</v>
      </c>
      <c r="AN204">
        <v>0</v>
      </c>
      <c r="AO204">
        <v>0</v>
      </c>
      <c r="AP204">
        <v>1</v>
      </c>
      <c r="AQ204">
        <v>5.0000000000000001E-3</v>
      </c>
      <c r="AX204">
        <v>7</v>
      </c>
      <c r="AY204" s="1">
        <v>13</v>
      </c>
      <c r="AZ204">
        <v>0</v>
      </c>
      <c r="BA204">
        <v>0</v>
      </c>
      <c r="BB204">
        <v>1</v>
      </c>
      <c r="BC204" s="7">
        <v>0.4</v>
      </c>
      <c r="BP204">
        <v>36</v>
      </c>
      <c r="BQ204">
        <v>0</v>
      </c>
      <c r="BR204">
        <v>0</v>
      </c>
      <c r="BS204">
        <v>0</v>
      </c>
      <c r="BT204">
        <v>5</v>
      </c>
      <c r="BU204">
        <v>2</v>
      </c>
    </row>
    <row r="205" spans="1:73" x14ac:dyDescent="0.15">
      <c r="A205" s="11">
        <v>837</v>
      </c>
      <c r="B205">
        <v>7</v>
      </c>
      <c r="C205" s="1">
        <v>26</v>
      </c>
      <c r="D205">
        <v>0</v>
      </c>
      <c r="E205">
        <v>0</v>
      </c>
      <c r="F205">
        <v>1</v>
      </c>
      <c r="G205" s="7">
        <v>0.08</v>
      </c>
      <c r="H205">
        <v>12</v>
      </c>
      <c r="I205">
        <v>0</v>
      </c>
      <c r="J205">
        <v>0</v>
      </c>
      <c r="K205">
        <v>0</v>
      </c>
      <c r="L205">
        <v>1</v>
      </c>
      <c r="M205">
        <v>2</v>
      </c>
      <c r="N205" s="7">
        <v>9</v>
      </c>
      <c r="O205" s="7">
        <v>0</v>
      </c>
      <c r="P205" s="7">
        <v>0</v>
      </c>
      <c r="Q205" s="7">
        <v>0</v>
      </c>
      <c r="R205" s="7">
        <v>1</v>
      </c>
      <c r="S205" s="7">
        <v>3</v>
      </c>
      <c r="T205">
        <v>7</v>
      </c>
      <c r="U205" s="1">
        <v>26</v>
      </c>
      <c r="V205">
        <v>0</v>
      </c>
      <c r="W205">
        <v>0</v>
      </c>
      <c r="X205">
        <v>1</v>
      </c>
      <c r="Y205">
        <v>0.24</v>
      </c>
      <c r="Z205">
        <v>23</v>
      </c>
      <c r="AA205">
        <v>0</v>
      </c>
      <c r="AB205">
        <v>0</v>
      </c>
      <c r="AC205">
        <v>0</v>
      </c>
      <c r="AD205">
        <v>1</v>
      </c>
      <c r="AE205">
        <v>0.02</v>
      </c>
      <c r="AF205">
        <v>15</v>
      </c>
      <c r="AG205">
        <v>0</v>
      </c>
      <c r="AH205">
        <v>0</v>
      </c>
      <c r="AI205">
        <v>0</v>
      </c>
      <c r="AJ205">
        <v>1</v>
      </c>
      <c r="AK205">
        <v>0.01</v>
      </c>
      <c r="AL205">
        <v>16</v>
      </c>
      <c r="AM205">
        <v>0</v>
      </c>
      <c r="AN205">
        <v>0</v>
      </c>
      <c r="AO205">
        <v>0</v>
      </c>
      <c r="AP205">
        <v>1</v>
      </c>
      <c r="AQ205">
        <v>5.0000000000000001E-3</v>
      </c>
      <c r="AX205">
        <v>7</v>
      </c>
      <c r="AY205" s="1">
        <v>14</v>
      </c>
      <c r="AZ205">
        <v>0</v>
      </c>
      <c r="BA205">
        <v>0</v>
      </c>
      <c r="BB205">
        <v>1</v>
      </c>
      <c r="BC205" s="7">
        <v>0.4</v>
      </c>
      <c r="BP205">
        <v>36</v>
      </c>
      <c r="BQ205">
        <v>0</v>
      </c>
      <c r="BR205">
        <v>0</v>
      </c>
      <c r="BS205">
        <v>0</v>
      </c>
      <c r="BT205">
        <v>5</v>
      </c>
      <c r="BU205">
        <v>2</v>
      </c>
    </row>
    <row r="206" spans="1:73" x14ac:dyDescent="0.15">
      <c r="A206" s="11">
        <v>838</v>
      </c>
      <c r="B206">
        <v>7</v>
      </c>
      <c r="C206" s="1">
        <v>27</v>
      </c>
      <c r="D206">
        <v>0</v>
      </c>
      <c r="E206">
        <v>0</v>
      </c>
      <c r="F206">
        <v>1</v>
      </c>
      <c r="G206" s="7">
        <v>0.08</v>
      </c>
      <c r="H206">
        <v>12</v>
      </c>
      <c r="I206">
        <v>0</v>
      </c>
      <c r="J206">
        <v>0</v>
      </c>
      <c r="K206">
        <v>0</v>
      </c>
      <c r="L206">
        <v>1</v>
      </c>
      <c r="M206">
        <v>2</v>
      </c>
      <c r="N206" s="7">
        <v>9</v>
      </c>
      <c r="O206" s="7">
        <v>0</v>
      </c>
      <c r="P206" s="7">
        <v>0</v>
      </c>
      <c r="Q206" s="7">
        <v>0</v>
      </c>
      <c r="R206" s="7">
        <v>1</v>
      </c>
      <c r="S206" s="7">
        <v>3</v>
      </c>
      <c r="T206">
        <v>7</v>
      </c>
      <c r="U206" s="1">
        <v>27</v>
      </c>
      <c r="V206">
        <v>0</v>
      </c>
      <c r="W206">
        <v>0</v>
      </c>
      <c r="X206">
        <v>1</v>
      </c>
      <c r="Y206">
        <v>0.24</v>
      </c>
      <c r="Z206">
        <v>23</v>
      </c>
      <c r="AA206">
        <v>0</v>
      </c>
      <c r="AB206">
        <v>0</v>
      </c>
      <c r="AC206">
        <v>0</v>
      </c>
      <c r="AD206">
        <v>1</v>
      </c>
      <c r="AE206">
        <v>0.02</v>
      </c>
      <c r="AF206">
        <v>15</v>
      </c>
      <c r="AG206">
        <v>0</v>
      </c>
      <c r="AH206">
        <v>0</v>
      </c>
      <c r="AI206">
        <v>0</v>
      </c>
      <c r="AJ206">
        <v>1</v>
      </c>
      <c r="AK206">
        <v>0.01</v>
      </c>
      <c r="AL206">
        <v>16</v>
      </c>
      <c r="AM206">
        <v>0</v>
      </c>
      <c r="AN206">
        <v>0</v>
      </c>
      <c r="AO206">
        <v>0</v>
      </c>
      <c r="AP206">
        <v>1</v>
      </c>
      <c r="AQ206">
        <v>5.0000000000000001E-3</v>
      </c>
      <c r="AX206">
        <v>7</v>
      </c>
      <c r="AY206" s="1">
        <v>15</v>
      </c>
      <c r="AZ206">
        <v>0</v>
      </c>
      <c r="BA206">
        <v>0</v>
      </c>
      <c r="BB206">
        <v>1</v>
      </c>
      <c r="BC206" s="7">
        <v>0.4</v>
      </c>
      <c r="BP206">
        <v>36</v>
      </c>
      <c r="BQ206">
        <v>0</v>
      </c>
      <c r="BR206">
        <v>0</v>
      </c>
      <c r="BS206">
        <v>0</v>
      </c>
      <c r="BT206">
        <v>5</v>
      </c>
      <c r="BU206">
        <v>2</v>
      </c>
    </row>
    <row r="207" spans="1:73" x14ac:dyDescent="0.15">
      <c r="A207" s="11">
        <v>839</v>
      </c>
      <c r="B207">
        <v>7</v>
      </c>
      <c r="C207" s="1">
        <v>28</v>
      </c>
      <c r="D207">
        <v>0</v>
      </c>
      <c r="E207">
        <v>0</v>
      </c>
      <c r="F207">
        <v>1</v>
      </c>
      <c r="G207" s="7">
        <v>0.08</v>
      </c>
      <c r="H207">
        <v>12</v>
      </c>
      <c r="I207">
        <v>0</v>
      </c>
      <c r="J207">
        <v>0</v>
      </c>
      <c r="K207">
        <v>0</v>
      </c>
      <c r="L207">
        <v>1</v>
      </c>
      <c r="M207">
        <v>2</v>
      </c>
      <c r="N207" s="7">
        <v>9</v>
      </c>
      <c r="O207" s="7">
        <v>0</v>
      </c>
      <c r="P207" s="7">
        <v>0</v>
      </c>
      <c r="Q207" s="7">
        <v>0</v>
      </c>
      <c r="R207" s="7">
        <v>1</v>
      </c>
      <c r="S207" s="7">
        <v>3</v>
      </c>
      <c r="T207">
        <v>7</v>
      </c>
      <c r="U207" s="1">
        <v>28</v>
      </c>
      <c r="V207">
        <v>0</v>
      </c>
      <c r="W207">
        <v>0</v>
      </c>
      <c r="X207">
        <v>1</v>
      </c>
      <c r="Y207">
        <v>0.24</v>
      </c>
      <c r="Z207">
        <v>23</v>
      </c>
      <c r="AA207">
        <v>0</v>
      </c>
      <c r="AB207">
        <v>0</v>
      </c>
      <c r="AC207">
        <v>0</v>
      </c>
      <c r="AD207">
        <v>1</v>
      </c>
      <c r="AE207">
        <v>0.02</v>
      </c>
      <c r="AF207">
        <v>15</v>
      </c>
      <c r="AG207">
        <v>0</v>
      </c>
      <c r="AH207">
        <v>0</v>
      </c>
      <c r="AI207">
        <v>0</v>
      </c>
      <c r="AJ207">
        <v>1</v>
      </c>
      <c r="AK207">
        <v>0.01</v>
      </c>
      <c r="AL207">
        <v>16</v>
      </c>
      <c r="AM207">
        <v>0</v>
      </c>
      <c r="AN207">
        <v>0</v>
      </c>
      <c r="AO207">
        <v>0</v>
      </c>
      <c r="AP207">
        <v>1</v>
      </c>
      <c r="AQ207">
        <v>5.0000000000000001E-3</v>
      </c>
      <c r="AX207">
        <v>7</v>
      </c>
      <c r="AY207" s="1">
        <v>16</v>
      </c>
      <c r="AZ207">
        <v>0</v>
      </c>
      <c r="BA207">
        <v>0</v>
      </c>
      <c r="BB207">
        <v>1</v>
      </c>
      <c r="BC207" s="7">
        <v>0.4</v>
      </c>
      <c r="BP207">
        <v>36</v>
      </c>
      <c r="BQ207">
        <v>0</v>
      </c>
      <c r="BR207">
        <v>0</v>
      </c>
      <c r="BS207">
        <v>0</v>
      </c>
      <c r="BT207">
        <v>5</v>
      </c>
      <c r="BU207">
        <v>2</v>
      </c>
    </row>
    <row r="208" spans="1:73" x14ac:dyDescent="0.15">
      <c r="A208" s="11">
        <v>840</v>
      </c>
      <c r="B208">
        <v>7</v>
      </c>
      <c r="C208" s="1">
        <v>0</v>
      </c>
      <c r="D208">
        <v>4</v>
      </c>
      <c r="E208">
        <v>2</v>
      </c>
      <c r="F208">
        <v>1</v>
      </c>
      <c r="G208" s="7">
        <v>0.08</v>
      </c>
      <c r="H208">
        <v>12</v>
      </c>
      <c r="I208">
        <v>0</v>
      </c>
      <c r="J208">
        <v>0</v>
      </c>
      <c r="K208">
        <v>0</v>
      </c>
      <c r="L208">
        <v>1</v>
      </c>
      <c r="M208">
        <v>2</v>
      </c>
      <c r="N208" s="7">
        <v>9</v>
      </c>
      <c r="O208" s="7">
        <v>0</v>
      </c>
      <c r="P208" s="7">
        <v>0</v>
      </c>
      <c r="Q208" s="7">
        <v>0</v>
      </c>
      <c r="R208" s="7">
        <v>1</v>
      </c>
      <c r="S208" s="7">
        <v>3</v>
      </c>
      <c r="T208">
        <v>7</v>
      </c>
      <c r="U208" s="1">
        <v>0</v>
      </c>
      <c r="V208">
        <v>3</v>
      </c>
      <c r="W208">
        <v>3</v>
      </c>
      <c r="X208">
        <v>1</v>
      </c>
      <c r="Y208">
        <v>0.24</v>
      </c>
      <c r="Z208">
        <v>23</v>
      </c>
      <c r="AA208">
        <v>0</v>
      </c>
      <c r="AB208">
        <v>0</v>
      </c>
      <c r="AC208">
        <v>0</v>
      </c>
      <c r="AD208">
        <v>1</v>
      </c>
      <c r="AE208">
        <v>0.02</v>
      </c>
      <c r="AF208">
        <v>15</v>
      </c>
      <c r="AG208">
        <v>0</v>
      </c>
      <c r="AH208">
        <v>0</v>
      </c>
      <c r="AI208">
        <v>0</v>
      </c>
      <c r="AJ208">
        <v>1</v>
      </c>
      <c r="AK208">
        <v>0.01</v>
      </c>
      <c r="AL208">
        <v>16</v>
      </c>
      <c r="AM208">
        <v>0</v>
      </c>
      <c r="AN208">
        <v>0</v>
      </c>
      <c r="AO208">
        <v>0</v>
      </c>
      <c r="AP208">
        <v>1</v>
      </c>
      <c r="AQ208">
        <v>5.0000000000000001E-3</v>
      </c>
      <c r="AR208">
        <v>6</v>
      </c>
      <c r="AS208">
        <v>2</v>
      </c>
      <c r="AT208">
        <v>1</v>
      </c>
      <c r="AU208">
        <v>5</v>
      </c>
      <c r="AV208">
        <v>1</v>
      </c>
      <c r="AW208">
        <v>0.05</v>
      </c>
      <c r="AX208">
        <v>7</v>
      </c>
      <c r="AY208" s="1">
        <v>0</v>
      </c>
      <c r="AZ208">
        <v>2</v>
      </c>
      <c r="BA208">
        <v>2</v>
      </c>
      <c r="BB208">
        <v>1</v>
      </c>
      <c r="BC208" s="7">
        <v>0.4</v>
      </c>
      <c r="BP208">
        <v>36</v>
      </c>
      <c r="BQ208">
        <v>0</v>
      </c>
      <c r="BR208">
        <v>0</v>
      </c>
      <c r="BS208">
        <v>0</v>
      </c>
      <c r="BT208">
        <v>5</v>
      </c>
      <c r="BU208">
        <v>2</v>
      </c>
    </row>
    <row r="209" spans="1:73" x14ac:dyDescent="0.15">
      <c r="A209" s="11">
        <v>901</v>
      </c>
      <c r="B209">
        <v>7</v>
      </c>
      <c r="C209" s="1">
        <v>25</v>
      </c>
      <c r="D209">
        <v>0</v>
      </c>
      <c r="E209">
        <v>0</v>
      </c>
      <c r="F209">
        <v>1</v>
      </c>
      <c r="G209" s="7">
        <v>0.08</v>
      </c>
      <c r="H209">
        <v>12</v>
      </c>
      <c r="I209">
        <v>0</v>
      </c>
      <c r="J209">
        <v>0</v>
      </c>
      <c r="K209">
        <v>0</v>
      </c>
      <c r="L209">
        <v>1</v>
      </c>
      <c r="M209">
        <v>2</v>
      </c>
      <c r="N209" s="7">
        <v>9</v>
      </c>
      <c r="O209" s="7">
        <v>0</v>
      </c>
      <c r="P209" s="7">
        <v>0</v>
      </c>
      <c r="Q209" s="7">
        <v>0</v>
      </c>
      <c r="R209" s="7">
        <v>1</v>
      </c>
      <c r="S209" s="7">
        <v>3</v>
      </c>
      <c r="T209">
        <v>7</v>
      </c>
      <c r="U209" s="1">
        <v>25</v>
      </c>
      <c r="V209">
        <v>0</v>
      </c>
      <c r="W209">
        <v>0</v>
      </c>
      <c r="X209">
        <v>1</v>
      </c>
      <c r="Y209">
        <v>0.24</v>
      </c>
      <c r="Z209">
        <v>23</v>
      </c>
      <c r="AA209">
        <v>0</v>
      </c>
      <c r="AB209">
        <v>0</v>
      </c>
      <c r="AC209">
        <v>0</v>
      </c>
      <c r="AD209">
        <v>1</v>
      </c>
      <c r="AE209">
        <v>0.02</v>
      </c>
      <c r="AF209">
        <v>15</v>
      </c>
      <c r="AG209">
        <v>0</v>
      </c>
      <c r="AH209">
        <v>0</v>
      </c>
      <c r="AI209">
        <v>0</v>
      </c>
      <c r="AJ209">
        <v>1</v>
      </c>
      <c r="AK209">
        <v>0.01</v>
      </c>
      <c r="AL209">
        <v>16</v>
      </c>
      <c r="AM209">
        <v>0</v>
      </c>
      <c r="AN209">
        <v>0</v>
      </c>
      <c r="AO209">
        <v>0</v>
      </c>
      <c r="AP209">
        <v>1</v>
      </c>
      <c r="AQ209">
        <v>5.0000000000000001E-3</v>
      </c>
      <c r="AX209">
        <v>7</v>
      </c>
      <c r="AY209" s="1">
        <v>13</v>
      </c>
      <c r="AZ209">
        <v>0</v>
      </c>
      <c r="BA209">
        <v>0</v>
      </c>
      <c r="BB209">
        <v>1</v>
      </c>
      <c r="BC209" s="7">
        <v>0.4</v>
      </c>
      <c r="BD209" s="7">
        <v>30</v>
      </c>
      <c r="BE209" s="7">
        <v>0</v>
      </c>
      <c r="BF209" s="7">
        <v>0</v>
      </c>
      <c r="BG209" s="7">
        <v>0</v>
      </c>
      <c r="BH209" s="7">
        <v>5</v>
      </c>
      <c r="BI209" s="7">
        <v>2.4</v>
      </c>
      <c r="BJ209" s="7">
        <v>31</v>
      </c>
      <c r="BK209" s="7">
        <v>0</v>
      </c>
      <c r="BL209" s="7">
        <v>0</v>
      </c>
      <c r="BM209" s="7">
        <v>0</v>
      </c>
      <c r="BN209" s="7">
        <v>5</v>
      </c>
      <c r="BO209" s="7">
        <v>2.4</v>
      </c>
      <c r="BP209">
        <v>36</v>
      </c>
      <c r="BQ209">
        <v>0</v>
      </c>
      <c r="BR209">
        <v>0</v>
      </c>
      <c r="BS209">
        <v>0</v>
      </c>
      <c r="BT209">
        <v>5</v>
      </c>
      <c r="BU209">
        <v>2.6</v>
      </c>
    </row>
    <row r="210" spans="1:73" x14ac:dyDescent="0.15">
      <c r="A210" s="11">
        <v>902</v>
      </c>
      <c r="B210">
        <v>7</v>
      </c>
      <c r="C210" s="1">
        <v>26</v>
      </c>
      <c r="D210">
        <v>0</v>
      </c>
      <c r="E210">
        <v>0</v>
      </c>
      <c r="F210">
        <v>1</v>
      </c>
      <c r="G210" s="7">
        <v>0.08</v>
      </c>
      <c r="H210">
        <v>12</v>
      </c>
      <c r="I210">
        <v>0</v>
      </c>
      <c r="J210">
        <v>0</v>
      </c>
      <c r="K210">
        <v>0</v>
      </c>
      <c r="L210">
        <v>1</v>
      </c>
      <c r="M210">
        <v>2</v>
      </c>
      <c r="N210" s="7">
        <v>9</v>
      </c>
      <c r="O210" s="7">
        <v>0</v>
      </c>
      <c r="P210" s="7">
        <v>0</v>
      </c>
      <c r="Q210" s="7">
        <v>0</v>
      </c>
      <c r="R210" s="7">
        <v>1</v>
      </c>
      <c r="S210" s="7">
        <v>3</v>
      </c>
      <c r="T210">
        <v>7</v>
      </c>
      <c r="U210" s="1">
        <v>26</v>
      </c>
      <c r="V210">
        <v>0</v>
      </c>
      <c r="W210">
        <v>0</v>
      </c>
      <c r="X210">
        <v>1</v>
      </c>
      <c r="Y210">
        <v>0.24</v>
      </c>
      <c r="Z210">
        <v>23</v>
      </c>
      <c r="AA210">
        <v>0</v>
      </c>
      <c r="AB210">
        <v>0</v>
      </c>
      <c r="AC210">
        <v>0</v>
      </c>
      <c r="AD210">
        <v>1</v>
      </c>
      <c r="AE210">
        <v>0.02</v>
      </c>
      <c r="AF210">
        <v>15</v>
      </c>
      <c r="AG210">
        <v>0</v>
      </c>
      <c r="AH210">
        <v>0</v>
      </c>
      <c r="AI210">
        <v>0</v>
      </c>
      <c r="AJ210">
        <v>1</v>
      </c>
      <c r="AK210">
        <v>0.01</v>
      </c>
      <c r="AL210">
        <v>16</v>
      </c>
      <c r="AM210">
        <v>0</v>
      </c>
      <c r="AN210">
        <v>0</v>
      </c>
      <c r="AO210">
        <v>0</v>
      </c>
      <c r="AP210">
        <v>1</v>
      </c>
      <c r="AQ210">
        <v>5.0000000000000001E-3</v>
      </c>
      <c r="AX210">
        <v>7</v>
      </c>
      <c r="AY210" s="1">
        <v>14</v>
      </c>
      <c r="AZ210">
        <v>0</v>
      </c>
      <c r="BA210">
        <v>0</v>
      </c>
      <c r="BB210">
        <v>1</v>
      </c>
      <c r="BC210" s="7">
        <v>0.4</v>
      </c>
      <c r="BD210">
        <v>30</v>
      </c>
      <c r="BE210">
        <v>0</v>
      </c>
      <c r="BF210">
        <v>0</v>
      </c>
      <c r="BG210">
        <v>0</v>
      </c>
      <c r="BH210">
        <v>5</v>
      </c>
      <c r="BI210">
        <v>2.4</v>
      </c>
      <c r="BJ210">
        <v>31</v>
      </c>
      <c r="BK210">
        <v>0</v>
      </c>
      <c r="BL210">
        <v>0</v>
      </c>
      <c r="BM210">
        <v>0</v>
      </c>
      <c r="BN210">
        <v>5</v>
      </c>
      <c r="BO210">
        <v>2.4</v>
      </c>
      <c r="BP210">
        <v>36</v>
      </c>
      <c r="BQ210">
        <v>0</v>
      </c>
      <c r="BR210">
        <v>0</v>
      </c>
      <c r="BS210">
        <v>0</v>
      </c>
      <c r="BT210">
        <v>5</v>
      </c>
      <c r="BU210">
        <v>2.6</v>
      </c>
    </row>
    <row r="211" spans="1:73" x14ac:dyDescent="0.15">
      <c r="A211" s="11">
        <v>903</v>
      </c>
      <c r="B211">
        <v>7</v>
      </c>
      <c r="C211" s="1">
        <v>27</v>
      </c>
      <c r="D211">
        <v>0</v>
      </c>
      <c r="E211">
        <v>0</v>
      </c>
      <c r="F211">
        <v>1</v>
      </c>
      <c r="G211" s="7">
        <v>0.08</v>
      </c>
      <c r="H211">
        <v>12</v>
      </c>
      <c r="I211">
        <v>0</v>
      </c>
      <c r="J211">
        <v>0</v>
      </c>
      <c r="K211">
        <v>0</v>
      </c>
      <c r="L211">
        <v>1</v>
      </c>
      <c r="M211">
        <v>2</v>
      </c>
      <c r="N211" s="7">
        <v>9</v>
      </c>
      <c r="O211" s="7">
        <v>0</v>
      </c>
      <c r="P211" s="7">
        <v>0</v>
      </c>
      <c r="Q211" s="7">
        <v>0</v>
      </c>
      <c r="R211" s="7">
        <v>1</v>
      </c>
      <c r="S211" s="7">
        <v>3</v>
      </c>
      <c r="T211">
        <v>7</v>
      </c>
      <c r="U211" s="1">
        <v>27</v>
      </c>
      <c r="V211">
        <v>0</v>
      </c>
      <c r="W211">
        <v>0</v>
      </c>
      <c r="X211">
        <v>1</v>
      </c>
      <c r="Y211">
        <v>0.24</v>
      </c>
      <c r="Z211">
        <v>23</v>
      </c>
      <c r="AA211">
        <v>0</v>
      </c>
      <c r="AB211">
        <v>0</v>
      </c>
      <c r="AC211">
        <v>0</v>
      </c>
      <c r="AD211">
        <v>1</v>
      </c>
      <c r="AE211">
        <v>0.02</v>
      </c>
      <c r="AF211">
        <v>15</v>
      </c>
      <c r="AG211">
        <v>0</v>
      </c>
      <c r="AH211">
        <v>0</v>
      </c>
      <c r="AI211">
        <v>0</v>
      </c>
      <c r="AJ211">
        <v>1</v>
      </c>
      <c r="AK211">
        <v>0.01</v>
      </c>
      <c r="AL211">
        <v>16</v>
      </c>
      <c r="AM211">
        <v>0</v>
      </c>
      <c r="AN211">
        <v>0</v>
      </c>
      <c r="AO211">
        <v>0</v>
      </c>
      <c r="AP211">
        <v>1</v>
      </c>
      <c r="AQ211">
        <v>5.0000000000000001E-3</v>
      </c>
      <c r="AX211">
        <v>7</v>
      </c>
      <c r="AY211" s="1">
        <v>15</v>
      </c>
      <c r="AZ211">
        <v>0</v>
      </c>
      <c r="BA211">
        <v>0</v>
      </c>
      <c r="BB211">
        <v>1</v>
      </c>
      <c r="BC211" s="7">
        <v>0.4</v>
      </c>
      <c r="BD211">
        <v>30</v>
      </c>
      <c r="BE211">
        <v>0</v>
      </c>
      <c r="BF211">
        <v>0</v>
      </c>
      <c r="BG211">
        <v>0</v>
      </c>
      <c r="BH211">
        <v>5</v>
      </c>
      <c r="BI211">
        <v>2.4</v>
      </c>
      <c r="BJ211">
        <v>31</v>
      </c>
      <c r="BK211">
        <v>0</v>
      </c>
      <c r="BL211">
        <v>0</v>
      </c>
      <c r="BM211">
        <v>0</v>
      </c>
      <c r="BN211">
        <v>5</v>
      </c>
      <c r="BO211">
        <v>2.4</v>
      </c>
      <c r="BP211">
        <v>36</v>
      </c>
      <c r="BQ211">
        <v>0</v>
      </c>
      <c r="BR211">
        <v>0</v>
      </c>
      <c r="BS211">
        <v>0</v>
      </c>
      <c r="BT211">
        <v>5</v>
      </c>
      <c r="BU211">
        <v>2.6</v>
      </c>
    </row>
    <row r="212" spans="1:73" x14ac:dyDescent="0.15">
      <c r="A212" s="11">
        <v>904</v>
      </c>
      <c r="B212">
        <v>7</v>
      </c>
      <c r="C212" s="1">
        <v>28</v>
      </c>
      <c r="D212">
        <v>0</v>
      </c>
      <c r="E212">
        <v>0</v>
      </c>
      <c r="F212">
        <v>1</v>
      </c>
      <c r="G212" s="7">
        <v>0.08</v>
      </c>
      <c r="H212">
        <v>12</v>
      </c>
      <c r="I212">
        <v>0</v>
      </c>
      <c r="J212">
        <v>0</v>
      </c>
      <c r="K212">
        <v>0</v>
      </c>
      <c r="L212">
        <v>1</v>
      </c>
      <c r="M212">
        <v>2</v>
      </c>
      <c r="N212" s="7">
        <v>9</v>
      </c>
      <c r="O212" s="7">
        <v>0</v>
      </c>
      <c r="P212" s="7">
        <v>0</v>
      </c>
      <c r="Q212" s="7">
        <v>0</v>
      </c>
      <c r="R212" s="7">
        <v>1</v>
      </c>
      <c r="S212" s="7">
        <v>3</v>
      </c>
      <c r="T212">
        <v>7</v>
      </c>
      <c r="U212" s="1">
        <v>28</v>
      </c>
      <c r="V212">
        <v>0</v>
      </c>
      <c r="W212">
        <v>0</v>
      </c>
      <c r="X212">
        <v>1</v>
      </c>
      <c r="Y212">
        <v>0.24</v>
      </c>
      <c r="Z212">
        <v>23</v>
      </c>
      <c r="AA212">
        <v>0</v>
      </c>
      <c r="AB212">
        <v>0</v>
      </c>
      <c r="AC212">
        <v>0</v>
      </c>
      <c r="AD212">
        <v>1</v>
      </c>
      <c r="AE212">
        <v>0.02</v>
      </c>
      <c r="AF212">
        <v>15</v>
      </c>
      <c r="AG212">
        <v>0</v>
      </c>
      <c r="AH212">
        <v>0</v>
      </c>
      <c r="AI212">
        <v>0</v>
      </c>
      <c r="AJ212">
        <v>1</v>
      </c>
      <c r="AK212">
        <v>0.01</v>
      </c>
      <c r="AL212">
        <v>16</v>
      </c>
      <c r="AM212">
        <v>0</v>
      </c>
      <c r="AN212">
        <v>0</v>
      </c>
      <c r="AO212">
        <v>0</v>
      </c>
      <c r="AP212">
        <v>1</v>
      </c>
      <c r="AQ212">
        <v>5.0000000000000001E-3</v>
      </c>
      <c r="AX212">
        <v>7</v>
      </c>
      <c r="AY212" s="1">
        <v>16</v>
      </c>
      <c r="AZ212">
        <v>0</v>
      </c>
      <c r="BA212">
        <v>0</v>
      </c>
      <c r="BB212">
        <v>1</v>
      </c>
      <c r="BC212" s="7">
        <v>0.4</v>
      </c>
      <c r="BD212">
        <v>30</v>
      </c>
      <c r="BE212">
        <v>0</v>
      </c>
      <c r="BF212">
        <v>0</v>
      </c>
      <c r="BG212">
        <v>0</v>
      </c>
      <c r="BH212">
        <v>5</v>
      </c>
      <c r="BI212">
        <v>2.4</v>
      </c>
      <c r="BJ212">
        <v>31</v>
      </c>
      <c r="BK212">
        <v>0</v>
      </c>
      <c r="BL212">
        <v>0</v>
      </c>
      <c r="BM212">
        <v>0</v>
      </c>
      <c r="BN212">
        <v>5</v>
      </c>
      <c r="BO212">
        <v>2.4</v>
      </c>
      <c r="BP212">
        <v>36</v>
      </c>
      <c r="BQ212">
        <v>0</v>
      </c>
      <c r="BR212">
        <v>0</v>
      </c>
      <c r="BS212">
        <v>0</v>
      </c>
      <c r="BT212">
        <v>5</v>
      </c>
      <c r="BU212">
        <v>2.6</v>
      </c>
    </row>
    <row r="213" spans="1:73" x14ac:dyDescent="0.15">
      <c r="A213" s="11">
        <v>905</v>
      </c>
      <c r="B213">
        <v>7</v>
      </c>
      <c r="C213" s="1">
        <v>0</v>
      </c>
      <c r="D213">
        <v>4</v>
      </c>
      <c r="E213">
        <v>2</v>
      </c>
      <c r="F213">
        <v>1</v>
      </c>
      <c r="G213" s="7">
        <v>0.08</v>
      </c>
      <c r="H213">
        <v>12</v>
      </c>
      <c r="I213">
        <v>0</v>
      </c>
      <c r="J213">
        <v>0</v>
      </c>
      <c r="K213">
        <v>0</v>
      </c>
      <c r="L213">
        <v>1</v>
      </c>
      <c r="M213">
        <v>2</v>
      </c>
      <c r="N213" s="7">
        <v>9</v>
      </c>
      <c r="O213" s="7">
        <v>0</v>
      </c>
      <c r="P213" s="7">
        <v>0</v>
      </c>
      <c r="Q213" s="7">
        <v>0</v>
      </c>
      <c r="R213" s="7">
        <v>1</v>
      </c>
      <c r="S213" s="7">
        <v>3</v>
      </c>
      <c r="T213">
        <v>7</v>
      </c>
      <c r="U213" s="1">
        <v>0</v>
      </c>
      <c r="V213">
        <v>3</v>
      </c>
      <c r="W213">
        <v>3</v>
      </c>
      <c r="X213">
        <v>1</v>
      </c>
      <c r="Y213">
        <v>0.24</v>
      </c>
      <c r="Z213">
        <v>23</v>
      </c>
      <c r="AA213">
        <v>0</v>
      </c>
      <c r="AB213">
        <v>0</v>
      </c>
      <c r="AC213">
        <v>0</v>
      </c>
      <c r="AD213">
        <v>1</v>
      </c>
      <c r="AE213">
        <v>0.02</v>
      </c>
      <c r="AF213">
        <v>15</v>
      </c>
      <c r="AG213">
        <v>0</v>
      </c>
      <c r="AH213">
        <v>0</v>
      </c>
      <c r="AI213">
        <v>0</v>
      </c>
      <c r="AJ213">
        <v>1</v>
      </c>
      <c r="AK213">
        <v>0.01</v>
      </c>
      <c r="AL213">
        <v>16</v>
      </c>
      <c r="AM213">
        <v>0</v>
      </c>
      <c r="AN213">
        <v>0</v>
      </c>
      <c r="AO213">
        <v>0</v>
      </c>
      <c r="AP213">
        <v>1</v>
      </c>
      <c r="AQ213">
        <v>5.0000000000000001E-3</v>
      </c>
      <c r="AR213">
        <v>6</v>
      </c>
      <c r="AS213">
        <v>2</v>
      </c>
      <c r="AT213">
        <v>2</v>
      </c>
      <c r="AU213">
        <v>5</v>
      </c>
      <c r="AV213">
        <v>1</v>
      </c>
      <c r="AW213">
        <v>0.05</v>
      </c>
      <c r="AX213">
        <v>7</v>
      </c>
      <c r="AY213" s="1">
        <v>0</v>
      </c>
      <c r="AZ213">
        <v>2</v>
      </c>
      <c r="BA213">
        <v>2</v>
      </c>
      <c r="BB213">
        <v>1</v>
      </c>
      <c r="BC213" s="7">
        <v>0.4</v>
      </c>
      <c r="BD213">
        <v>30</v>
      </c>
      <c r="BE213">
        <v>0</v>
      </c>
      <c r="BF213">
        <v>0</v>
      </c>
      <c r="BG213">
        <v>0</v>
      </c>
      <c r="BH213">
        <v>5</v>
      </c>
      <c r="BI213">
        <v>2.4</v>
      </c>
      <c r="BJ213">
        <v>31</v>
      </c>
      <c r="BK213">
        <v>0</v>
      </c>
      <c r="BL213">
        <v>0</v>
      </c>
      <c r="BM213">
        <v>0</v>
      </c>
      <c r="BN213">
        <v>5</v>
      </c>
      <c r="BO213">
        <v>2.4</v>
      </c>
      <c r="BP213">
        <v>36</v>
      </c>
      <c r="BQ213">
        <v>0</v>
      </c>
      <c r="BR213">
        <v>0</v>
      </c>
      <c r="BS213">
        <v>0</v>
      </c>
      <c r="BT213">
        <v>5</v>
      </c>
      <c r="BU213">
        <v>2.6</v>
      </c>
    </row>
    <row r="214" spans="1:73" x14ac:dyDescent="0.15">
      <c r="A214" s="11">
        <v>906</v>
      </c>
      <c r="B214">
        <v>7</v>
      </c>
      <c r="C214" s="1">
        <v>29</v>
      </c>
      <c r="D214">
        <v>0</v>
      </c>
      <c r="E214">
        <v>0</v>
      </c>
      <c r="F214">
        <v>1</v>
      </c>
      <c r="G214" s="7">
        <v>0.08</v>
      </c>
      <c r="H214">
        <v>12</v>
      </c>
      <c r="I214">
        <v>0</v>
      </c>
      <c r="J214">
        <v>0</v>
      </c>
      <c r="K214">
        <v>0</v>
      </c>
      <c r="L214">
        <v>1</v>
      </c>
      <c r="M214">
        <v>2</v>
      </c>
      <c r="N214" s="7">
        <v>9</v>
      </c>
      <c r="O214" s="7">
        <v>0</v>
      </c>
      <c r="P214" s="7">
        <v>0</v>
      </c>
      <c r="Q214" s="7">
        <v>0</v>
      </c>
      <c r="R214" s="7">
        <v>1</v>
      </c>
      <c r="S214" s="7">
        <v>3.5</v>
      </c>
      <c r="T214">
        <v>7</v>
      </c>
      <c r="U214" s="1">
        <v>25</v>
      </c>
      <c r="V214">
        <v>0</v>
      </c>
      <c r="W214">
        <v>0</v>
      </c>
      <c r="X214">
        <v>1</v>
      </c>
      <c r="Y214">
        <v>0.24</v>
      </c>
      <c r="Z214">
        <v>23</v>
      </c>
      <c r="AA214">
        <v>0</v>
      </c>
      <c r="AB214">
        <v>0</v>
      </c>
      <c r="AC214">
        <v>0</v>
      </c>
      <c r="AD214">
        <v>1</v>
      </c>
      <c r="AE214">
        <v>0.03</v>
      </c>
      <c r="AF214">
        <v>15</v>
      </c>
      <c r="AG214">
        <v>0</v>
      </c>
      <c r="AH214">
        <v>0</v>
      </c>
      <c r="AI214">
        <v>0</v>
      </c>
      <c r="AJ214">
        <v>1</v>
      </c>
      <c r="AK214">
        <v>0.01</v>
      </c>
      <c r="AL214">
        <v>16</v>
      </c>
      <c r="AM214">
        <v>0</v>
      </c>
      <c r="AN214">
        <v>0</v>
      </c>
      <c r="AO214">
        <v>0</v>
      </c>
      <c r="AP214">
        <v>1</v>
      </c>
      <c r="AQ214">
        <v>5.0000000000000001E-3</v>
      </c>
      <c r="AX214">
        <v>7</v>
      </c>
      <c r="AY214" s="1">
        <v>13</v>
      </c>
      <c r="AZ214">
        <v>0</v>
      </c>
      <c r="BA214">
        <v>0</v>
      </c>
      <c r="BB214">
        <v>1</v>
      </c>
      <c r="BC214" s="7">
        <v>0.4</v>
      </c>
      <c r="BD214">
        <v>30</v>
      </c>
      <c r="BE214">
        <v>0</v>
      </c>
      <c r="BF214">
        <v>0</v>
      </c>
      <c r="BG214">
        <v>0</v>
      </c>
      <c r="BH214">
        <v>5</v>
      </c>
      <c r="BI214">
        <v>2.4</v>
      </c>
      <c r="BJ214">
        <v>31</v>
      </c>
      <c r="BK214">
        <v>0</v>
      </c>
      <c r="BL214">
        <v>0</v>
      </c>
      <c r="BM214">
        <v>0</v>
      </c>
      <c r="BN214">
        <v>5</v>
      </c>
      <c r="BO214">
        <v>2.4</v>
      </c>
      <c r="BP214">
        <v>36</v>
      </c>
      <c r="BQ214">
        <v>0</v>
      </c>
      <c r="BR214">
        <v>0</v>
      </c>
      <c r="BS214">
        <v>0</v>
      </c>
      <c r="BT214">
        <v>5</v>
      </c>
      <c r="BU214">
        <v>2.6</v>
      </c>
    </row>
    <row r="215" spans="1:73" x14ac:dyDescent="0.15">
      <c r="A215" s="11">
        <v>907</v>
      </c>
      <c r="B215">
        <v>7</v>
      </c>
      <c r="C215" s="1">
        <v>30</v>
      </c>
      <c r="D215">
        <v>0</v>
      </c>
      <c r="E215">
        <v>0</v>
      </c>
      <c r="F215">
        <v>1</v>
      </c>
      <c r="G215" s="7">
        <v>0.08</v>
      </c>
      <c r="H215">
        <v>12</v>
      </c>
      <c r="I215">
        <v>0</v>
      </c>
      <c r="J215">
        <v>0</v>
      </c>
      <c r="K215">
        <v>0</v>
      </c>
      <c r="L215">
        <v>1</v>
      </c>
      <c r="M215">
        <v>2</v>
      </c>
      <c r="N215" s="7">
        <v>9</v>
      </c>
      <c r="O215" s="7">
        <v>0</v>
      </c>
      <c r="P215" s="7">
        <v>0</v>
      </c>
      <c r="Q215" s="7">
        <v>0</v>
      </c>
      <c r="R215" s="7">
        <v>1</v>
      </c>
      <c r="S215" s="7">
        <v>3.5</v>
      </c>
      <c r="T215">
        <v>7</v>
      </c>
      <c r="U215" s="1">
        <v>26</v>
      </c>
      <c r="V215">
        <v>0</v>
      </c>
      <c r="W215">
        <v>0</v>
      </c>
      <c r="X215">
        <v>1</v>
      </c>
      <c r="Y215">
        <v>0.24</v>
      </c>
      <c r="Z215">
        <v>23</v>
      </c>
      <c r="AA215">
        <v>0</v>
      </c>
      <c r="AB215">
        <v>0</v>
      </c>
      <c r="AC215">
        <v>0</v>
      </c>
      <c r="AD215">
        <v>1</v>
      </c>
      <c r="AE215">
        <v>0.03</v>
      </c>
      <c r="AF215">
        <v>15</v>
      </c>
      <c r="AG215">
        <v>0</v>
      </c>
      <c r="AH215">
        <v>0</v>
      </c>
      <c r="AI215">
        <v>0</v>
      </c>
      <c r="AJ215">
        <v>1</v>
      </c>
      <c r="AK215">
        <v>0.01</v>
      </c>
      <c r="AL215">
        <v>16</v>
      </c>
      <c r="AM215">
        <v>0</v>
      </c>
      <c r="AN215">
        <v>0</v>
      </c>
      <c r="AO215">
        <v>0</v>
      </c>
      <c r="AP215">
        <v>1</v>
      </c>
      <c r="AQ215">
        <v>5.0000000000000001E-3</v>
      </c>
      <c r="AX215">
        <v>7</v>
      </c>
      <c r="AY215" s="1">
        <v>14</v>
      </c>
      <c r="AZ215">
        <v>0</v>
      </c>
      <c r="BA215">
        <v>0</v>
      </c>
      <c r="BB215">
        <v>1</v>
      </c>
      <c r="BC215" s="7">
        <v>0.4</v>
      </c>
      <c r="BD215">
        <v>30</v>
      </c>
      <c r="BE215">
        <v>0</v>
      </c>
      <c r="BF215">
        <v>0</v>
      </c>
      <c r="BG215">
        <v>0</v>
      </c>
      <c r="BH215">
        <v>5</v>
      </c>
      <c r="BI215">
        <v>2.4</v>
      </c>
      <c r="BJ215">
        <v>31</v>
      </c>
      <c r="BK215">
        <v>0</v>
      </c>
      <c r="BL215">
        <v>0</v>
      </c>
      <c r="BM215">
        <v>0</v>
      </c>
      <c r="BN215">
        <v>5</v>
      </c>
      <c r="BO215">
        <v>2.4</v>
      </c>
      <c r="BP215">
        <v>36</v>
      </c>
      <c r="BQ215">
        <v>0</v>
      </c>
      <c r="BR215">
        <v>0</v>
      </c>
      <c r="BS215">
        <v>0</v>
      </c>
      <c r="BT215">
        <v>5</v>
      </c>
      <c r="BU215">
        <v>2.6</v>
      </c>
    </row>
    <row r="216" spans="1:73" x14ac:dyDescent="0.15">
      <c r="A216" s="11">
        <v>908</v>
      </c>
      <c r="B216">
        <v>7</v>
      </c>
      <c r="C216" s="1">
        <v>31</v>
      </c>
      <c r="D216">
        <v>0</v>
      </c>
      <c r="E216">
        <v>0</v>
      </c>
      <c r="F216">
        <v>1</v>
      </c>
      <c r="G216" s="7">
        <v>0.08</v>
      </c>
      <c r="H216">
        <v>12</v>
      </c>
      <c r="I216">
        <v>0</v>
      </c>
      <c r="J216">
        <v>0</v>
      </c>
      <c r="K216">
        <v>0</v>
      </c>
      <c r="L216">
        <v>1</v>
      </c>
      <c r="M216">
        <v>2</v>
      </c>
      <c r="N216" s="7">
        <v>9</v>
      </c>
      <c r="O216" s="7">
        <v>0</v>
      </c>
      <c r="P216" s="7">
        <v>0</v>
      </c>
      <c r="Q216" s="7">
        <v>0</v>
      </c>
      <c r="R216" s="7">
        <v>1</v>
      </c>
      <c r="S216" s="7">
        <v>3.5</v>
      </c>
      <c r="T216">
        <v>7</v>
      </c>
      <c r="U216" s="1">
        <v>27</v>
      </c>
      <c r="V216">
        <v>0</v>
      </c>
      <c r="W216">
        <v>0</v>
      </c>
      <c r="X216">
        <v>1</v>
      </c>
      <c r="Y216">
        <v>0.24</v>
      </c>
      <c r="Z216">
        <v>23</v>
      </c>
      <c r="AA216">
        <v>0</v>
      </c>
      <c r="AB216">
        <v>0</v>
      </c>
      <c r="AC216">
        <v>0</v>
      </c>
      <c r="AD216">
        <v>1</v>
      </c>
      <c r="AE216">
        <v>0.03</v>
      </c>
      <c r="AF216">
        <v>15</v>
      </c>
      <c r="AG216">
        <v>0</v>
      </c>
      <c r="AH216">
        <v>0</v>
      </c>
      <c r="AI216">
        <v>0</v>
      </c>
      <c r="AJ216">
        <v>1</v>
      </c>
      <c r="AK216">
        <v>0.01</v>
      </c>
      <c r="AL216">
        <v>16</v>
      </c>
      <c r="AM216">
        <v>0</v>
      </c>
      <c r="AN216">
        <v>0</v>
      </c>
      <c r="AO216">
        <v>0</v>
      </c>
      <c r="AP216">
        <v>1</v>
      </c>
      <c r="AQ216">
        <v>5.0000000000000001E-3</v>
      </c>
      <c r="AX216">
        <v>7</v>
      </c>
      <c r="AY216" s="1">
        <v>15</v>
      </c>
      <c r="AZ216">
        <v>0</v>
      </c>
      <c r="BA216">
        <v>0</v>
      </c>
      <c r="BB216">
        <v>1</v>
      </c>
      <c r="BC216" s="7">
        <v>0.4</v>
      </c>
      <c r="BD216">
        <v>30</v>
      </c>
      <c r="BE216">
        <v>0</v>
      </c>
      <c r="BF216">
        <v>0</v>
      </c>
      <c r="BG216">
        <v>0</v>
      </c>
      <c r="BH216">
        <v>5</v>
      </c>
      <c r="BI216">
        <v>2.4</v>
      </c>
      <c r="BJ216">
        <v>31</v>
      </c>
      <c r="BK216">
        <v>0</v>
      </c>
      <c r="BL216">
        <v>0</v>
      </c>
      <c r="BM216">
        <v>0</v>
      </c>
      <c r="BN216">
        <v>5</v>
      </c>
      <c r="BO216">
        <v>2.4</v>
      </c>
      <c r="BP216">
        <v>36</v>
      </c>
      <c r="BQ216">
        <v>0</v>
      </c>
      <c r="BR216">
        <v>0</v>
      </c>
      <c r="BS216">
        <v>0</v>
      </c>
      <c r="BT216">
        <v>5</v>
      </c>
      <c r="BU216">
        <v>2.6</v>
      </c>
    </row>
    <row r="217" spans="1:73" x14ac:dyDescent="0.15">
      <c r="A217" s="11">
        <v>909</v>
      </c>
      <c r="B217">
        <v>7</v>
      </c>
      <c r="C217" s="1">
        <v>32</v>
      </c>
      <c r="D217">
        <v>0</v>
      </c>
      <c r="E217">
        <v>0</v>
      </c>
      <c r="F217">
        <v>1</v>
      </c>
      <c r="G217" s="7">
        <v>0.08</v>
      </c>
      <c r="H217">
        <v>12</v>
      </c>
      <c r="I217">
        <v>0</v>
      </c>
      <c r="J217">
        <v>0</v>
      </c>
      <c r="K217">
        <v>0</v>
      </c>
      <c r="L217">
        <v>1</v>
      </c>
      <c r="M217">
        <v>2</v>
      </c>
      <c r="N217" s="7">
        <v>9</v>
      </c>
      <c r="O217" s="7">
        <v>0</v>
      </c>
      <c r="P217" s="7">
        <v>0</v>
      </c>
      <c r="Q217" s="7">
        <v>0</v>
      </c>
      <c r="R217" s="7">
        <v>1</v>
      </c>
      <c r="S217" s="7">
        <v>3.5</v>
      </c>
      <c r="T217">
        <v>7</v>
      </c>
      <c r="U217" s="1">
        <v>28</v>
      </c>
      <c r="V217">
        <v>0</v>
      </c>
      <c r="W217">
        <v>0</v>
      </c>
      <c r="X217">
        <v>1</v>
      </c>
      <c r="Y217">
        <v>0.24</v>
      </c>
      <c r="Z217">
        <v>23</v>
      </c>
      <c r="AA217">
        <v>0</v>
      </c>
      <c r="AB217">
        <v>0</v>
      </c>
      <c r="AC217">
        <v>0</v>
      </c>
      <c r="AD217">
        <v>1</v>
      </c>
      <c r="AE217">
        <v>0.03</v>
      </c>
      <c r="AF217">
        <v>15</v>
      </c>
      <c r="AG217">
        <v>0</v>
      </c>
      <c r="AH217">
        <v>0</v>
      </c>
      <c r="AI217">
        <v>0</v>
      </c>
      <c r="AJ217">
        <v>1</v>
      </c>
      <c r="AK217">
        <v>0.01</v>
      </c>
      <c r="AL217">
        <v>16</v>
      </c>
      <c r="AM217">
        <v>0</v>
      </c>
      <c r="AN217">
        <v>0</v>
      </c>
      <c r="AO217">
        <v>0</v>
      </c>
      <c r="AP217">
        <v>1</v>
      </c>
      <c r="AQ217">
        <v>5.0000000000000001E-3</v>
      </c>
      <c r="AX217">
        <v>7</v>
      </c>
      <c r="AY217" s="1">
        <v>16</v>
      </c>
      <c r="AZ217">
        <v>0</v>
      </c>
      <c r="BA217">
        <v>0</v>
      </c>
      <c r="BB217">
        <v>1</v>
      </c>
      <c r="BC217" s="7">
        <v>0.4</v>
      </c>
      <c r="BD217">
        <v>30</v>
      </c>
      <c r="BE217">
        <v>0</v>
      </c>
      <c r="BF217">
        <v>0</v>
      </c>
      <c r="BG217">
        <v>0</v>
      </c>
      <c r="BH217">
        <v>5</v>
      </c>
      <c r="BI217">
        <v>2.4</v>
      </c>
      <c r="BJ217">
        <v>31</v>
      </c>
      <c r="BK217">
        <v>0</v>
      </c>
      <c r="BL217">
        <v>0</v>
      </c>
      <c r="BM217">
        <v>0</v>
      </c>
      <c r="BN217">
        <v>5</v>
      </c>
      <c r="BO217">
        <v>2.4</v>
      </c>
      <c r="BP217">
        <v>36</v>
      </c>
      <c r="BQ217">
        <v>0</v>
      </c>
      <c r="BR217">
        <v>0</v>
      </c>
      <c r="BS217">
        <v>0</v>
      </c>
      <c r="BT217">
        <v>5</v>
      </c>
      <c r="BU217">
        <v>2.6</v>
      </c>
    </row>
    <row r="218" spans="1:73" x14ac:dyDescent="0.15">
      <c r="A218" s="11">
        <v>910</v>
      </c>
      <c r="B218">
        <v>7</v>
      </c>
      <c r="C218" s="1">
        <v>0</v>
      </c>
      <c r="D218">
        <v>4</v>
      </c>
      <c r="E218">
        <v>2</v>
      </c>
      <c r="F218">
        <v>1</v>
      </c>
      <c r="G218" s="7">
        <v>0.08</v>
      </c>
      <c r="H218">
        <v>12</v>
      </c>
      <c r="I218">
        <v>0</v>
      </c>
      <c r="J218">
        <v>0</v>
      </c>
      <c r="K218">
        <v>0</v>
      </c>
      <c r="L218">
        <v>1</v>
      </c>
      <c r="M218">
        <v>2</v>
      </c>
      <c r="N218" s="7">
        <v>9</v>
      </c>
      <c r="O218" s="7">
        <v>0</v>
      </c>
      <c r="P218" s="7">
        <v>0</v>
      </c>
      <c r="Q218" s="7">
        <v>0</v>
      </c>
      <c r="R218" s="7">
        <v>1</v>
      </c>
      <c r="S218" s="7">
        <v>3.5</v>
      </c>
      <c r="T218">
        <v>7</v>
      </c>
      <c r="U218" s="1">
        <v>0</v>
      </c>
      <c r="V218">
        <v>3</v>
      </c>
      <c r="W218">
        <v>3</v>
      </c>
      <c r="X218">
        <v>1</v>
      </c>
      <c r="Y218">
        <v>0.24</v>
      </c>
      <c r="Z218">
        <v>23</v>
      </c>
      <c r="AA218">
        <v>0</v>
      </c>
      <c r="AB218">
        <v>0</v>
      </c>
      <c r="AC218">
        <v>0</v>
      </c>
      <c r="AD218">
        <v>1</v>
      </c>
      <c r="AE218">
        <v>0.03</v>
      </c>
      <c r="AF218">
        <v>15</v>
      </c>
      <c r="AG218">
        <v>0</v>
      </c>
      <c r="AH218">
        <v>0</v>
      </c>
      <c r="AI218">
        <v>0</v>
      </c>
      <c r="AJ218">
        <v>1</v>
      </c>
      <c r="AK218">
        <v>0.01</v>
      </c>
      <c r="AL218">
        <v>16</v>
      </c>
      <c r="AM218">
        <v>0</v>
      </c>
      <c r="AN218">
        <v>0</v>
      </c>
      <c r="AO218">
        <v>0</v>
      </c>
      <c r="AP218">
        <v>1</v>
      </c>
      <c r="AQ218">
        <v>5.0000000000000001E-3</v>
      </c>
      <c r="AR218">
        <v>6</v>
      </c>
      <c r="AS218">
        <v>2</v>
      </c>
      <c r="AT218">
        <v>3</v>
      </c>
      <c r="AU218">
        <v>5</v>
      </c>
      <c r="AV218">
        <v>1</v>
      </c>
      <c r="AW218">
        <v>0.05</v>
      </c>
      <c r="AX218">
        <v>7</v>
      </c>
      <c r="AY218" s="1">
        <v>0</v>
      </c>
      <c r="AZ218">
        <v>2</v>
      </c>
      <c r="BA218">
        <v>2</v>
      </c>
      <c r="BB218">
        <v>1</v>
      </c>
      <c r="BC218" s="7">
        <v>0.4</v>
      </c>
      <c r="BD218">
        <v>30</v>
      </c>
      <c r="BE218">
        <v>0</v>
      </c>
      <c r="BF218">
        <v>0</v>
      </c>
      <c r="BG218">
        <v>0</v>
      </c>
      <c r="BH218">
        <v>5</v>
      </c>
      <c r="BI218">
        <v>2.4</v>
      </c>
      <c r="BJ218">
        <v>31</v>
      </c>
      <c r="BK218">
        <v>0</v>
      </c>
      <c r="BL218">
        <v>0</v>
      </c>
      <c r="BM218">
        <v>0</v>
      </c>
      <c r="BN218">
        <v>5</v>
      </c>
      <c r="BO218">
        <v>2.4</v>
      </c>
      <c r="BP218">
        <v>36</v>
      </c>
      <c r="BQ218">
        <v>0</v>
      </c>
      <c r="BR218">
        <v>0</v>
      </c>
      <c r="BS218">
        <v>0</v>
      </c>
      <c r="BT218">
        <v>5</v>
      </c>
      <c r="BU218">
        <v>2.6</v>
      </c>
    </row>
    <row r="219" spans="1:73" x14ac:dyDescent="0.15">
      <c r="A219" s="11">
        <v>911</v>
      </c>
      <c r="B219">
        <v>7</v>
      </c>
      <c r="C219" s="1">
        <v>29</v>
      </c>
      <c r="D219">
        <v>0</v>
      </c>
      <c r="E219">
        <v>0</v>
      </c>
      <c r="F219">
        <v>1</v>
      </c>
      <c r="G219" s="7">
        <v>0.08</v>
      </c>
      <c r="H219">
        <v>12</v>
      </c>
      <c r="I219">
        <v>0</v>
      </c>
      <c r="J219">
        <v>0</v>
      </c>
      <c r="K219">
        <v>0</v>
      </c>
      <c r="L219">
        <v>1</v>
      </c>
      <c r="M219">
        <v>2</v>
      </c>
      <c r="N219" s="7">
        <v>9</v>
      </c>
      <c r="O219" s="7">
        <v>0</v>
      </c>
      <c r="P219" s="7">
        <v>0</v>
      </c>
      <c r="Q219" s="7">
        <v>0</v>
      </c>
      <c r="R219" s="7">
        <v>1</v>
      </c>
      <c r="S219" s="7">
        <v>3.5</v>
      </c>
      <c r="T219">
        <v>7</v>
      </c>
      <c r="U219" s="1">
        <v>25</v>
      </c>
      <c r="V219">
        <v>0</v>
      </c>
      <c r="W219">
        <v>0</v>
      </c>
      <c r="X219">
        <v>1</v>
      </c>
      <c r="Y219">
        <v>0.24</v>
      </c>
      <c r="Z219">
        <v>23</v>
      </c>
      <c r="AA219">
        <v>0</v>
      </c>
      <c r="AB219">
        <v>0</v>
      </c>
      <c r="AC219">
        <v>0</v>
      </c>
      <c r="AD219">
        <v>1</v>
      </c>
      <c r="AE219">
        <v>0.03</v>
      </c>
      <c r="AF219">
        <v>15</v>
      </c>
      <c r="AG219">
        <v>0</v>
      </c>
      <c r="AH219">
        <v>0</v>
      </c>
      <c r="AI219">
        <v>0</v>
      </c>
      <c r="AJ219">
        <v>1</v>
      </c>
      <c r="AK219">
        <v>0.01</v>
      </c>
      <c r="AL219">
        <v>16</v>
      </c>
      <c r="AM219">
        <v>0</v>
      </c>
      <c r="AN219">
        <v>0</v>
      </c>
      <c r="AO219">
        <v>0</v>
      </c>
      <c r="AP219">
        <v>1</v>
      </c>
      <c r="AQ219">
        <v>5.0000000000000001E-3</v>
      </c>
      <c r="AX219">
        <v>7</v>
      </c>
      <c r="AY219" s="1">
        <v>13</v>
      </c>
      <c r="AZ219">
        <v>0</v>
      </c>
      <c r="BA219">
        <v>0</v>
      </c>
      <c r="BB219">
        <v>1</v>
      </c>
      <c r="BC219" s="7">
        <v>0.4</v>
      </c>
      <c r="BD219">
        <v>30</v>
      </c>
      <c r="BE219">
        <v>0</v>
      </c>
      <c r="BF219">
        <v>0</v>
      </c>
      <c r="BG219">
        <v>0</v>
      </c>
      <c r="BH219">
        <v>5</v>
      </c>
      <c r="BI219">
        <v>2.4</v>
      </c>
      <c r="BJ219">
        <v>31</v>
      </c>
      <c r="BK219">
        <v>0</v>
      </c>
      <c r="BL219">
        <v>0</v>
      </c>
      <c r="BM219">
        <v>0</v>
      </c>
      <c r="BN219">
        <v>5</v>
      </c>
      <c r="BO219">
        <v>2.4</v>
      </c>
      <c r="BP219">
        <v>36</v>
      </c>
      <c r="BQ219">
        <v>0</v>
      </c>
      <c r="BR219">
        <v>0</v>
      </c>
      <c r="BS219">
        <v>0</v>
      </c>
      <c r="BT219">
        <v>5</v>
      </c>
      <c r="BU219">
        <v>2.6</v>
      </c>
    </row>
    <row r="220" spans="1:73" x14ac:dyDescent="0.15">
      <c r="A220" s="11">
        <v>912</v>
      </c>
      <c r="B220">
        <v>7</v>
      </c>
      <c r="C220" s="1">
        <v>30</v>
      </c>
      <c r="D220">
        <v>0</v>
      </c>
      <c r="E220">
        <v>0</v>
      </c>
      <c r="F220">
        <v>1</v>
      </c>
      <c r="G220" s="7">
        <v>0.08</v>
      </c>
      <c r="H220">
        <v>12</v>
      </c>
      <c r="I220">
        <v>0</v>
      </c>
      <c r="J220">
        <v>0</v>
      </c>
      <c r="K220">
        <v>0</v>
      </c>
      <c r="L220">
        <v>1</v>
      </c>
      <c r="M220">
        <v>2</v>
      </c>
      <c r="N220" s="7">
        <v>9</v>
      </c>
      <c r="O220" s="7">
        <v>0</v>
      </c>
      <c r="P220" s="7">
        <v>0</v>
      </c>
      <c r="Q220" s="7">
        <v>0</v>
      </c>
      <c r="R220" s="7">
        <v>1</v>
      </c>
      <c r="S220" s="7">
        <v>3.5</v>
      </c>
      <c r="T220">
        <v>7</v>
      </c>
      <c r="U220" s="1">
        <v>26</v>
      </c>
      <c r="V220">
        <v>0</v>
      </c>
      <c r="W220">
        <v>0</v>
      </c>
      <c r="X220">
        <v>1</v>
      </c>
      <c r="Y220">
        <v>0.24</v>
      </c>
      <c r="Z220">
        <v>23</v>
      </c>
      <c r="AA220">
        <v>0</v>
      </c>
      <c r="AB220">
        <v>0</v>
      </c>
      <c r="AC220">
        <v>0</v>
      </c>
      <c r="AD220">
        <v>1</v>
      </c>
      <c r="AE220">
        <v>0.03</v>
      </c>
      <c r="AF220">
        <v>15</v>
      </c>
      <c r="AG220">
        <v>0</v>
      </c>
      <c r="AH220">
        <v>0</v>
      </c>
      <c r="AI220">
        <v>0</v>
      </c>
      <c r="AJ220">
        <v>1</v>
      </c>
      <c r="AK220">
        <v>0.01</v>
      </c>
      <c r="AL220">
        <v>16</v>
      </c>
      <c r="AM220">
        <v>0</v>
      </c>
      <c r="AN220">
        <v>0</v>
      </c>
      <c r="AO220">
        <v>0</v>
      </c>
      <c r="AP220">
        <v>1</v>
      </c>
      <c r="AQ220">
        <v>5.0000000000000001E-3</v>
      </c>
      <c r="AX220">
        <v>7</v>
      </c>
      <c r="AY220" s="1">
        <v>14</v>
      </c>
      <c r="AZ220">
        <v>0</v>
      </c>
      <c r="BA220">
        <v>0</v>
      </c>
      <c r="BB220">
        <v>1</v>
      </c>
      <c r="BC220" s="7">
        <v>0.4</v>
      </c>
      <c r="BD220">
        <v>30</v>
      </c>
      <c r="BE220">
        <v>0</v>
      </c>
      <c r="BF220">
        <v>0</v>
      </c>
      <c r="BG220">
        <v>0</v>
      </c>
      <c r="BH220">
        <v>5</v>
      </c>
      <c r="BI220">
        <v>2.4</v>
      </c>
      <c r="BJ220">
        <v>31</v>
      </c>
      <c r="BK220">
        <v>0</v>
      </c>
      <c r="BL220">
        <v>0</v>
      </c>
      <c r="BM220">
        <v>0</v>
      </c>
      <c r="BN220">
        <v>5</v>
      </c>
      <c r="BO220">
        <v>2.4</v>
      </c>
      <c r="BP220">
        <v>36</v>
      </c>
      <c r="BQ220">
        <v>0</v>
      </c>
      <c r="BR220">
        <v>0</v>
      </c>
      <c r="BS220">
        <v>0</v>
      </c>
      <c r="BT220">
        <v>5</v>
      </c>
      <c r="BU220">
        <v>2.6</v>
      </c>
    </row>
    <row r="221" spans="1:73" x14ac:dyDescent="0.15">
      <c r="A221" s="11">
        <v>913</v>
      </c>
      <c r="B221">
        <v>7</v>
      </c>
      <c r="C221" s="1">
        <v>31</v>
      </c>
      <c r="D221">
        <v>0</v>
      </c>
      <c r="E221">
        <v>0</v>
      </c>
      <c r="F221">
        <v>1</v>
      </c>
      <c r="G221" s="7">
        <v>0.08</v>
      </c>
      <c r="H221">
        <v>12</v>
      </c>
      <c r="I221">
        <v>0</v>
      </c>
      <c r="J221">
        <v>0</v>
      </c>
      <c r="K221">
        <v>0</v>
      </c>
      <c r="L221">
        <v>1</v>
      </c>
      <c r="M221">
        <v>2</v>
      </c>
      <c r="N221" s="7">
        <v>9</v>
      </c>
      <c r="O221" s="7">
        <v>0</v>
      </c>
      <c r="P221" s="7">
        <v>0</v>
      </c>
      <c r="Q221" s="7">
        <v>0</v>
      </c>
      <c r="R221" s="7">
        <v>1</v>
      </c>
      <c r="S221" s="7">
        <v>3.5</v>
      </c>
      <c r="T221">
        <v>7</v>
      </c>
      <c r="U221" s="1">
        <v>27</v>
      </c>
      <c r="V221">
        <v>0</v>
      </c>
      <c r="W221">
        <v>0</v>
      </c>
      <c r="X221">
        <v>1</v>
      </c>
      <c r="Y221">
        <v>0.24</v>
      </c>
      <c r="Z221">
        <v>23</v>
      </c>
      <c r="AA221">
        <v>0</v>
      </c>
      <c r="AB221">
        <v>0</v>
      </c>
      <c r="AC221">
        <v>0</v>
      </c>
      <c r="AD221">
        <v>1</v>
      </c>
      <c r="AE221">
        <v>0.03</v>
      </c>
      <c r="AF221">
        <v>15</v>
      </c>
      <c r="AG221">
        <v>0</v>
      </c>
      <c r="AH221">
        <v>0</v>
      </c>
      <c r="AI221">
        <v>0</v>
      </c>
      <c r="AJ221">
        <v>1</v>
      </c>
      <c r="AK221">
        <v>0.01</v>
      </c>
      <c r="AL221">
        <v>16</v>
      </c>
      <c r="AM221">
        <v>0</v>
      </c>
      <c r="AN221">
        <v>0</v>
      </c>
      <c r="AO221">
        <v>0</v>
      </c>
      <c r="AP221">
        <v>1</v>
      </c>
      <c r="AQ221">
        <v>5.0000000000000001E-3</v>
      </c>
      <c r="AX221">
        <v>7</v>
      </c>
      <c r="AY221" s="1">
        <v>15</v>
      </c>
      <c r="AZ221">
        <v>0</v>
      </c>
      <c r="BA221">
        <v>0</v>
      </c>
      <c r="BB221">
        <v>1</v>
      </c>
      <c r="BC221" s="7">
        <v>0.4</v>
      </c>
      <c r="BD221">
        <v>30</v>
      </c>
      <c r="BE221">
        <v>0</v>
      </c>
      <c r="BF221">
        <v>0</v>
      </c>
      <c r="BG221">
        <v>0</v>
      </c>
      <c r="BH221">
        <v>5</v>
      </c>
      <c r="BI221">
        <v>2.4</v>
      </c>
      <c r="BJ221">
        <v>31</v>
      </c>
      <c r="BK221">
        <v>0</v>
      </c>
      <c r="BL221">
        <v>0</v>
      </c>
      <c r="BM221">
        <v>0</v>
      </c>
      <c r="BN221">
        <v>5</v>
      </c>
      <c r="BO221">
        <v>2.4</v>
      </c>
      <c r="BP221">
        <v>36</v>
      </c>
      <c r="BQ221">
        <v>0</v>
      </c>
      <c r="BR221">
        <v>0</v>
      </c>
      <c r="BS221">
        <v>0</v>
      </c>
      <c r="BT221">
        <v>5</v>
      </c>
      <c r="BU221">
        <v>2.6</v>
      </c>
    </row>
    <row r="222" spans="1:73" x14ac:dyDescent="0.15">
      <c r="A222" s="11">
        <v>914</v>
      </c>
      <c r="B222">
        <v>7</v>
      </c>
      <c r="C222" s="1">
        <v>32</v>
      </c>
      <c r="D222">
        <v>0</v>
      </c>
      <c r="E222">
        <v>0</v>
      </c>
      <c r="F222">
        <v>1</v>
      </c>
      <c r="G222" s="7">
        <v>0.08</v>
      </c>
      <c r="H222">
        <v>12</v>
      </c>
      <c r="I222">
        <v>0</v>
      </c>
      <c r="J222">
        <v>0</v>
      </c>
      <c r="K222">
        <v>0</v>
      </c>
      <c r="L222">
        <v>1</v>
      </c>
      <c r="M222">
        <v>2</v>
      </c>
      <c r="N222" s="7">
        <v>9</v>
      </c>
      <c r="O222" s="7">
        <v>0</v>
      </c>
      <c r="P222" s="7">
        <v>0</v>
      </c>
      <c r="Q222" s="7">
        <v>0</v>
      </c>
      <c r="R222" s="7">
        <v>1</v>
      </c>
      <c r="S222" s="7">
        <v>3.5</v>
      </c>
      <c r="T222">
        <v>7</v>
      </c>
      <c r="U222" s="1">
        <v>28</v>
      </c>
      <c r="V222">
        <v>0</v>
      </c>
      <c r="W222">
        <v>0</v>
      </c>
      <c r="X222">
        <v>1</v>
      </c>
      <c r="Y222">
        <v>0.24</v>
      </c>
      <c r="Z222">
        <v>23</v>
      </c>
      <c r="AA222">
        <v>0</v>
      </c>
      <c r="AB222">
        <v>0</v>
      </c>
      <c r="AC222">
        <v>0</v>
      </c>
      <c r="AD222">
        <v>1</v>
      </c>
      <c r="AE222">
        <v>0.03</v>
      </c>
      <c r="AF222">
        <v>15</v>
      </c>
      <c r="AG222">
        <v>0</v>
      </c>
      <c r="AH222">
        <v>0</v>
      </c>
      <c r="AI222">
        <v>0</v>
      </c>
      <c r="AJ222">
        <v>1</v>
      </c>
      <c r="AK222">
        <v>0.01</v>
      </c>
      <c r="AL222">
        <v>16</v>
      </c>
      <c r="AM222">
        <v>0</v>
      </c>
      <c r="AN222">
        <v>0</v>
      </c>
      <c r="AO222">
        <v>0</v>
      </c>
      <c r="AP222">
        <v>1</v>
      </c>
      <c r="AQ222">
        <v>5.0000000000000001E-3</v>
      </c>
      <c r="AX222">
        <v>7</v>
      </c>
      <c r="AY222" s="1">
        <v>16</v>
      </c>
      <c r="AZ222">
        <v>0</v>
      </c>
      <c r="BA222">
        <v>0</v>
      </c>
      <c r="BB222">
        <v>1</v>
      </c>
      <c r="BC222" s="7">
        <v>0.4</v>
      </c>
      <c r="BD222">
        <v>30</v>
      </c>
      <c r="BE222">
        <v>0</v>
      </c>
      <c r="BF222">
        <v>0</v>
      </c>
      <c r="BG222">
        <v>0</v>
      </c>
      <c r="BH222">
        <v>5</v>
      </c>
      <c r="BI222">
        <v>2.4</v>
      </c>
      <c r="BJ222">
        <v>31</v>
      </c>
      <c r="BK222">
        <v>0</v>
      </c>
      <c r="BL222">
        <v>0</v>
      </c>
      <c r="BM222">
        <v>0</v>
      </c>
      <c r="BN222">
        <v>5</v>
      </c>
      <c r="BO222">
        <v>2.4</v>
      </c>
      <c r="BP222">
        <v>36</v>
      </c>
      <c r="BQ222">
        <v>0</v>
      </c>
      <c r="BR222">
        <v>0</v>
      </c>
      <c r="BS222">
        <v>0</v>
      </c>
      <c r="BT222">
        <v>5</v>
      </c>
      <c r="BU222">
        <v>2.6</v>
      </c>
    </row>
    <row r="223" spans="1:73" x14ac:dyDescent="0.15">
      <c r="A223" s="11">
        <v>915</v>
      </c>
      <c r="B223">
        <v>7</v>
      </c>
      <c r="C223" s="1">
        <v>0</v>
      </c>
      <c r="D223">
        <v>4</v>
      </c>
      <c r="E223">
        <v>2</v>
      </c>
      <c r="F223">
        <v>1</v>
      </c>
      <c r="G223" s="7">
        <v>0.08</v>
      </c>
      <c r="H223">
        <v>12</v>
      </c>
      <c r="I223">
        <v>0</v>
      </c>
      <c r="J223">
        <v>0</v>
      </c>
      <c r="K223">
        <v>0</v>
      </c>
      <c r="L223">
        <v>1</v>
      </c>
      <c r="M223">
        <v>2</v>
      </c>
      <c r="N223" s="7">
        <v>9</v>
      </c>
      <c r="O223" s="7">
        <v>0</v>
      </c>
      <c r="P223" s="7">
        <v>0</v>
      </c>
      <c r="Q223" s="7">
        <v>0</v>
      </c>
      <c r="R223" s="7">
        <v>1</v>
      </c>
      <c r="S223" s="7">
        <v>3.5</v>
      </c>
      <c r="T223">
        <v>7</v>
      </c>
      <c r="U223" s="1">
        <v>0</v>
      </c>
      <c r="V223">
        <v>3</v>
      </c>
      <c r="W223">
        <v>3</v>
      </c>
      <c r="X223">
        <v>1</v>
      </c>
      <c r="Y223">
        <v>0.24</v>
      </c>
      <c r="Z223">
        <v>23</v>
      </c>
      <c r="AA223">
        <v>0</v>
      </c>
      <c r="AB223">
        <v>0</v>
      </c>
      <c r="AC223">
        <v>0</v>
      </c>
      <c r="AD223">
        <v>1</v>
      </c>
      <c r="AE223">
        <v>0.03</v>
      </c>
      <c r="AF223">
        <v>15</v>
      </c>
      <c r="AG223">
        <v>0</v>
      </c>
      <c r="AH223">
        <v>0</v>
      </c>
      <c r="AI223">
        <v>0</v>
      </c>
      <c r="AJ223">
        <v>1</v>
      </c>
      <c r="AK223">
        <v>0.01</v>
      </c>
      <c r="AL223">
        <v>16</v>
      </c>
      <c r="AM223">
        <v>0</v>
      </c>
      <c r="AN223">
        <v>0</v>
      </c>
      <c r="AO223">
        <v>0</v>
      </c>
      <c r="AP223">
        <v>1</v>
      </c>
      <c r="AQ223">
        <v>5.0000000000000001E-3</v>
      </c>
      <c r="AR223">
        <v>6</v>
      </c>
      <c r="AS223">
        <v>2</v>
      </c>
      <c r="AT223">
        <v>4</v>
      </c>
      <c r="AU223">
        <v>5</v>
      </c>
      <c r="AV223">
        <v>1</v>
      </c>
      <c r="AW223">
        <v>0.01</v>
      </c>
      <c r="AX223">
        <v>7</v>
      </c>
      <c r="AY223" s="1">
        <v>0</v>
      </c>
      <c r="AZ223">
        <v>2</v>
      </c>
      <c r="BA223">
        <v>2</v>
      </c>
      <c r="BB223">
        <v>1</v>
      </c>
      <c r="BC223" s="7">
        <v>0.4</v>
      </c>
      <c r="BD223">
        <v>30</v>
      </c>
      <c r="BE223">
        <v>0</v>
      </c>
      <c r="BF223">
        <v>0</v>
      </c>
      <c r="BG223">
        <v>0</v>
      </c>
      <c r="BH223">
        <v>5</v>
      </c>
      <c r="BI223">
        <v>2.4</v>
      </c>
      <c r="BJ223">
        <v>31</v>
      </c>
      <c r="BK223">
        <v>0</v>
      </c>
      <c r="BL223">
        <v>0</v>
      </c>
      <c r="BM223">
        <v>0</v>
      </c>
      <c r="BN223">
        <v>5</v>
      </c>
      <c r="BO223">
        <v>2.4</v>
      </c>
      <c r="BP223">
        <v>36</v>
      </c>
      <c r="BQ223">
        <v>0</v>
      </c>
      <c r="BR223">
        <v>0</v>
      </c>
      <c r="BS223">
        <v>0</v>
      </c>
      <c r="BT223">
        <v>5</v>
      </c>
      <c r="BU223">
        <v>2.6</v>
      </c>
    </row>
    <row r="224" spans="1:73" x14ac:dyDescent="0.15">
      <c r="A224" s="11">
        <v>916</v>
      </c>
      <c r="B224">
        <v>7</v>
      </c>
      <c r="C224" s="1">
        <v>29</v>
      </c>
      <c r="D224">
        <v>0</v>
      </c>
      <c r="E224">
        <v>0</v>
      </c>
      <c r="F224">
        <v>1</v>
      </c>
      <c r="G224" s="7">
        <v>0.08</v>
      </c>
      <c r="H224">
        <v>12</v>
      </c>
      <c r="I224">
        <v>0</v>
      </c>
      <c r="J224">
        <v>0</v>
      </c>
      <c r="K224">
        <v>0</v>
      </c>
      <c r="L224">
        <v>1</v>
      </c>
      <c r="M224">
        <v>2</v>
      </c>
      <c r="N224" s="7">
        <v>9</v>
      </c>
      <c r="O224" s="7">
        <v>0</v>
      </c>
      <c r="P224" s="7">
        <v>0</v>
      </c>
      <c r="Q224" s="7">
        <v>0</v>
      </c>
      <c r="R224" s="7">
        <v>1</v>
      </c>
      <c r="S224" s="7">
        <v>3.5</v>
      </c>
      <c r="T224">
        <v>7</v>
      </c>
      <c r="U224" s="1">
        <v>25</v>
      </c>
      <c r="V224">
        <v>0</v>
      </c>
      <c r="W224">
        <v>0</v>
      </c>
      <c r="X224">
        <v>1</v>
      </c>
      <c r="Y224">
        <v>0.24</v>
      </c>
      <c r="Z224">
        <v>23</v>
      </c>
      <c r="AA224">
        <v>0</v>
      </c>
      <c r="AB224">
        <v>0</v>
      </c>
      <c r="AC224">
        <v>0</v>
      </c>
      <c r="AD224">
        <v>1</v>
      </c>
      <c r="AE224">
        <v>0.03</v>
      </c>
      <c r="AF224">
        <v>15</v>
      </c>
      <c r="AG224">
        <v>0</v>
      </c>
      <c r="AH224">
        <v>0</v>
      </c>
      <c r="AI224">
        <v>0</v>
      </c>
      <c r="AJ224">
        <v>1</v>
      </c>
      <c r="AK224">
        <v>0.01</v>
      </c>
      <c r="AL224">
        <v>16</v>
      </c>
      <c r="AM224">
        <v>0</v>
      </c>
      <c r="AN224">
        <v>0</v>
      </c>
      <c r="AO224">
        <v>0</v>
      </c>
      <c r="AP224">
        <v>1</v>
      </c>
      <c r="AQ224">
        <v>5.0000000000000001E-3</v>
      </c>
      <c r="AX224">
        <v>7</v>
      </c>
      <c r="AY224" s="1">
        <v>13</v>
      </c>
      <c r="AZ224">
        <v>0</v>
      </c>
      <c r="BA224">
        <v>0</v>
      </c>
      <c r="BB224">
        <v>1</v>
      </c>
      <c r="BC224" s="7">
        <v>0.4</v>
      </c>
      <c r="BD224">
        <v>30</v>
      </c>
      <c r="BE224">
        <v>0</v>
      </c>
      <c r="BF224">
        <v>0</v>
      </c>
      <c r="BG224">
        <v>0</v>
      </c>
      <c r="BH224">
        <v>5</v>
      </c>
      <c r="BI224">
        <v>2.4</v>
      </c>
      <c r="BJ224">
        <v>31</v>
      </c>
      <c r="BK224">
        <v>0</v>
      </c>
      <c r="BL224">
        <v>0</v>
      </c>
      <c r="BM224">
        <v>0</v>
      </c>
      <c r="BN224">
        <v>5</v>
      </c>
      <c r="BO224">
        <v>2.4</v>
      </c>
      <c r="BP224">
        <v>36</v>
      </c>
      <c r="BQ224">
        <v>0</v>
      </c>
      <c r="BR224">
        <v>0</v>
      </c>
      <c r="BS224">
        <v>0</v>
      </c>
      <c r="BT224">
        <v>5</v>
      </c>
      <c r="BU224">
        <v>2.6</v>
      </c>
    </row>
    <row r="225" spans="1:73" x14ac:dyDescent="0.15">
      <c r="A225" s="11">
        <v>917</v>
      </c>
      <c r="B225">
        <v>7</v>
      </c>
      <c r="C225" s="1">
        <v>30</v>
      </c>
      <c r="D225">
        <v>0</v>
      </c>
      <c r="E225">
        <v>0</v>
      </c>
      <c r="F225">
        <v>1</v>
      </c>
      <c r="G225" s="7">
        <v>0.08</v>
      </c>
      <c r="H225">
        <v>12</v>
      </c>
      <c r="I225">
        <v>0</v>
      </c>
      <c r="J225">
        <v>0</v>
      </c>
      <c r="K225">
        <v>0</v>
      </c>
      <c r="L225">
        <v>1</v>
      </c>
      <c r="M225">
        <v>2</v>
      </c>
      <c r="N225" s="7">
        <v>9</v>
      </c>
      <c r="O225" s="7">
        <v>0</v>
      </c>
      <c r="P225" s="7">
        <v>0</v>
      </c>
      <c r="Q225" s="7">
        <v>0</v>
      </c>
      <c r="R225" s="7">
        <v>1</v>
      </c>
      <c r="S225" s="7">
        <v>3.5</v>
      </c>
      <c r="T225">
        <v>7</v>
      </c>
      <c r="U225" s="1">
        <v>26</v>
      </c>
      <c r="V225">
        <v>0</v>
      </c>
      <c r="W225">
        <v>0</v>
      </c>
      <c r="X225">
        <v>1</v>
      </c>
      <c r="Y225">
        <v>0.24</v>
      </c>
      <c r="Z225">
        <v>23</v>
      </c>
      <c r="AA225">
        <v>0</v>
      </c>
      <c r="AB225">
        <v>0</v>
      </c>
      <c r="AC225">
        <v>0</v>
      </c>
      <c r="AD225">
        <v>1</v>
      </c>
      <c r="AE225">
        <v>0.03</v>
      </c>
      <c r="AF225">
        <v>15</v>
      </c>
      <c r="AG225">
        <v>0</v>
      </c>
      <c r="AH225">
        <v>0</v>
      </c>
      <c r="AI225">
        <v>0</v>
      </c>
      <c r="AJ225">
        <v>1</v>
      </c>
      <c r="AK225">
        <v>0.01</v>
      </c>
      <c r="AL225">
        <v>16</v>
      </c>
      <c r="AM225">
        <v>0</v>
      </c>
      <c r="AN225">
        <v>0</v>
      </c>
      <c r="AO225">
        <v>0</v>
      </c>
      <c r="AP225">
        <v>1</v>
      </c>
      <c r="AQ225">
        <v>5.0000000000000001E-3</v>
      </c>
      <c r="AX225">
        <v>7</v>
      </c>
      <c r="AY225" s="1">
        <v>14</v>
      </c>
      <c r="AZ225">
        <v>0</v>
      </c>
      <c r="BA225">
        <v>0</v>
      </c>
      <c r="BB225">
        <v>1</v>
      </c>
      <c r="BC225" s="7">
        <v>0.4</v>
      </c>
      <c r="BD225">
        <v>30</v>
      </c>
      <c r="BE225">
        <v>0</v>
      </c>
      <c r="BF225">
        <v>0</v>
      </c>
      <c r="BG225">
        <v>0</v>
      </c>
      <c r="BH225">
        <v>5</v>
      </c>
      <c r="BI225">
        <v>2.4</v>
      </c>
      <c r="BJ225">
        <v>31</v>
      </c>
      <c r="BK225">
        <v>0</v>
      </c>
      <c r="BL225">
        <v>0</v>
      </c>
      <c r="BM225">
        <v>0</v>
      </c>
      <c r="BN225">
        <v>5</v>
      </c>
      <c r="BO225">
        <v>2.4</v>
      </c>
      <c r="BP225">
        <v>36</v>
      </c>
      <c r="BQ225">
        <v>0</v>
      </c>
      <c r="BR225">
        <v>0</v>
      </c>
      <c r="BS225">
        <v>0</v>
      </c>
      <c r="BT225">
        <v>5</v>
      </c>
      <c r="BU225">
        <v>2.6</v>
      </c>
    </row>
    <row r="226" spans="1:73" x14ac:dyDescent="0.15">
      <c r="A226" s="11">
        <v>918</v>
      </c>
      <c r="B226">
        <v>7</v>
      </c>
      <c r="C226" s="1">
        <v>31</v>
      </c>
      <c r="D226">
        <v>0</v>
      </c>
      <c r="E226">
        <v>0</v>
      </c>
      <c r="F226">
        <v>1</v>
      </c>
      <c r="G226" s="7">
        <v>0.08</v>
      </c>
      <c r="H226">
        <v>12</v>
      </c>
      <c r="I226">
        <v>0</v>
      </c>
      <c r="J226">
        <v>0</v>
      </c>
      <c r="K226">
        <v>0</v>
      </c>
      <c r="L226">
        <v>1</v>
      </c>
      <c r="M226">
        <v>2</v>
      </c>
      <c r="N226" s="7">
        <v>9</v>
      </c>
      <c r="O226" s="7">
        <v>0</v>
      </c>
      <c r="P226" s="7">
        <v>0</v>
      </c>
      <c r="Q226" s="7">
        <v>0</v>
      </c>
      <c r="R226" s="7">
        <v>1</v>
      </c>
      <c r="S226" s="7">
        <v>3.5</v>
      </c>
      <c r="T226">
        <v>7</v>
      </c>
      <c r="U226" s="1">
        <v>27</v>
      </c>
      <c r="V226">
        <v>0</v>
      </c>
      <c r="W226">
        <v>0</v>
      </c>
      <c r="X226">
        <v>1</v>
      </c>
      <c r="Y226">
        <v>0.24</v>
      </c>
      <c r="Z226">
        <v>23</v>
      </c>
      <c r="AA226">
        <v>0</v>
      </c>
      <c r="AB226">
        <v>0</v>
      </c>
      <c r="AC226">
        <v>0</v>
      </c>
      <c r="AD226">
        <v>1</v>
      </c>
      <c r="AE226">
        <v>0.03</v>
      </c>
      <c r="AF226">
        <v>15</v>
      </c>
      <c r="AG226">
        <v>0</v>
      </c>
      <c r="AH226">
        <v>0</v>
      </c>
      <c r="AI226">
        <v>0</v>
      </c>
      <c r="AJ226">
        <v>1</v>
      </c>
      <c r="AK226">
        <v>0.01</v>
      </c>
      <c r="AL226">
        <v>16</v>
      </c>
      <c r="AM226">
        <v>0</v>
      </c>
      <c r="AN226">
        <v>0</v>
      </c>
      <c r="AO226">
        <v>0</v>
      </c>
      <c r="AP226">
        <v>1</v>
      </c>
      <c r="AQ226">
        <v>5.0000000000000001E-3</v>
      </c>
      <c r="AX226">
        <v>7</v>
      </c>
      <c r="AY226" s="1">
        <v>15</v>
      </c>
      <c r="AZ226">
        <v>0</v>
      </c>
      <c r="BA226">
        <v>0</v>
      </c>
      <c r="BB226">
        <v>1</v>
      </c>
      <c r="BC226" s="7">
        <v>0.4</v>
      </c>
      <c r="BD226">
        <v>30</v>
      </c>
      <c r="BE226">
        <v>0</v>
      </c>
      <c r="BF226">
        <v>0</v>
      </c>
      <c r="BG226">
        <v>0</v>
      </c>
      <c r="BH226">
        <v>5</v>
      </c>
      <c r="BI226">
        <v>2.4</v>
      </c>
      <c r="BJ226">
        <v>31</v>
      </c>
      <c r="BK226">
        <v>0</v>
      </c>
      <c r="BL226">
        <v>0</v>
      </c>
      <c r="BM226">
        <v>0</v>
      </c>
      <c r="BN226">
        <v>5</v>
      </c>
      <c r="BO226">
        <v>2.4</v>
      </c>
      <c r="BP226">
        <v>36</v>
      </c>
      <c r="BQ226">
        <v>0</v>
      </c>
      <c r="BR226">
        <v>0</v>
      </c>
      <c r="BS226">
        <v>0</v>
      </c>
      <c r="BT226">
        <v>5</v>
      </c>
      <c r="BU226">
        <v>2.6</v>
      </c>
    </row>
    <row r="227" spans="1:73" x14ac:dyDescent="0.15">
      <c r="A227" s="11">
        <v>919</v>
      </c>
      <c r="B227">
        <v>7</v>
      </c>
      <c r="C227" s="1">
        <v>32</v>
      </c>
      <c r="D227">
        <v>0</v>
      </c>
      <c r="E227">
        <v>0</v>
      </c>
      <c r="F227">
        <v>1</v>
      </c>
      <c r="G227" s="7">
        <v>0.08</v>
      </c>
      <c r="H227">
        <v>12</v>
      </c>
      <c r="I227">
        <v>0</v>
      </c>
      <c r="J227">
        <v>0</v>
      </c>
      <c r="K227">
        <v>0</v>
      </c>
      <c r="L227">
        <v>1</v>
      </c>
      <c r="M227">
        <v>2</v>
      </c>
      <c r="N227" s="7">
        <v>9</v>
      </c>
      <c r="O227" s="7">
        <v>0</v>
      </c>
      <c r="P227" s="7">
        <v>0</v>
      </c>
      <c r="Q227" s="7">
        <v>0</v>
      </c>
      <c r="R227" s="7">
        <v>1</v>
      </c>
      <c r="S227" s="7">
        <v>3.5</v>
      </c>
      <c r="T227">
        <v>7</v>
      </c>
      <c r="U227" s="1">
        <v>28</v>
      </c>
      <c r="V227">
        <v>0</v>
      </c>
      <c r="W227">
        <v>0</v>
      </c>
      <c r="X227">
        <v>1</v>
      </c>
      <c r="Y227">
        <v>0.24</v>
      </c>
      <c r="Z227">
        <v>23</v>
      </c>
      <c r="AA227">
        <v>0</v>
      </c>
      <c r="AB227">
        <v>0</v>
      </c>
      <c r="AC227">
        <v>0</v>
      </c>
      <c r="AD227">
        <v>1</v>
      </c>
      <c r="AE227">
        <v>0.03</v>
      </c>
      <c r="AF227">
        <v>15</v>
      </c>
      <c r="AG227">
        <v>0</v>
      </c>
      <c r="AH227">
        <v>0</v>
      </c>
      <c r="AI227">
        <v>0</v>
      </c>
      <c r="AJ227">
        <v>1</v>
      </c>
      <c r="AK227">
        <v>0.01</v>
      </c>
      <c r="AL227">
        <v>16</v>
      </c>
      <c r="AM227">
        <v>0</v>
      </c>
      <c r="AN227">
        <v>0</v>
      </c>
      <c r="AO227">
        <v>0</v>
      </c>
      <c r="AP227">
        <v>1</v>
      </c>
      <c r="AQ227">
        <v>5.0000000000000001E-3</v>
      </c>
      <c r="AX227">
        <v>7</v>
      </c>
      <c r="AY227" s="1">
        <v>16</v>
      </c>
      <c r="AZ227">
        <v>0</v>
      </c>
      <c r="BA227">
        <v>0</v>
      </c>
      <c r="BB227">
        <v>1</v>
      </c>
      <c r="BC227" s="7">
        <v>0.4</v>
      </c>
      <c r="BD227">
        <v>30</v>
      </c>
      <c r="BE227">
        <v>0</v>
      </c>
      <c r="BF227">
        <v>0</v>
      </c>
      <c r="BG227">
        <v>0</v>
      </c>
      <c r="BH227">
        <v>5</v>
      </c>
      <c r="BI227">
        <v>2.4</v>
      </c>
      <c r="BJ227">
        <v>31</v>
      </c>
      <c r="BK227">
        <v>0</v>
      </c>
      <c r="BL227">
        <v>0</v>
      </c>
      <c r="BM227">
        <v>0</v>
      </c>
      <c r="BN227">
        <v>5</v>
      </c>
      <c r="BO227">
        <v>2.4</v>
      </c>
      <c r="BP227">
        <v>36</v>
      </c>
      <c r="BQ227">
        <v>0</v>
      </c>
      <c r="BR227">
        <v>0</v>
      </c>
      <c r="BS227">
        <v>0</v>
      </c>
      <c r="BT227">
        <v>5</v>
      </c>
      <c r="BU227">
        <v>2.6</v>
      </c>
    </row>
    <row r="228" spans="1:73" x14ac:dyDescent="0.15">
      <c r="A228" s="11">
        <v>920</v>
      </c>
      <c r="B228">
        <v>7</v>
      </c>
      <c r="C228" s="1">
        <v>0</v>
      </c>
      <c r="D228">
        <v>4</v>
      </c>
      <c r="E228">
        <v>2</v>
      </c>
      <c r="F228">
        <v>1</v>
      </c>
      <c r="G228" s="7">
        <v>0.08</v>
      </c>
      <c r="H228">
        <v>12</v>
      </c>
      <c r="I228">
        <v>0</v>
      </c>
      <c r="J228">
        <v>0</v>
      </c>
      <c r="K228">
        <v>0</v>
      </c>
      <c r="L228">
        <v>1</v>
      </c>
      <c r="M228">
        <v>2</v>
      </c>
      <c r="N228" s="7">
        <v>9</v>
      </c>
      <c r="O228" s="7">
        <v>0</v>
      </c>
      <c r="P228" s="7">
        <v>0</v>
      </c>
      <c r="Q228" s="7">
        <v>0</v>
      </c>
      <c r="R228" s="7">
        <v>1</v>
      </c>
      <c r="S228" s="7">
        <v>3.5</v>
      </c>
      <c r="T228">
        <v>7</v>
      </c>
      <c r="U228" s="1">
        <v>0</v>
      </c>
      <c r="V228">
        <v>3</v>
      </c>
      <c r="W228">
        <v>3</v>
      </c>
      <c r="X228">
        <v>1</v>
      </c>
      <c r="Y228">
        <v>0.24</v>
      </c>
      <c r="Z228">
        <v>23</v>
      </c>
      <c r="AA228">
        <v>0</v>
      </c>
      <c r="AB228">
        <v>0</v>
      </c>
      <c r="AC228">
        <v>0</v>
      </c>
      <c r="AD228">
        <v>1</v>
      </c>
      <c r="AE228">
        <v>0.03</v>
      </c>
      <c r="AF228">
        <v>15</v>
      </c>
      <c r="AG228">
        <v>0</v>
      </c>
      <c r="AH228">
        <v>0</v>
      </c>
      <c r="AI228">
        <v>0</v>
      </c>
      <c r="AJ228">
        <v>1</v>
      </c>
      <c r="AK228">
        <v>0.01</v>
      </c>
      <c r="AL228">
        <v>16</v>
      </c>
      <c r="AM228">
        <v>0</v>
      </c>
      <c r="AN228">
        <v>0</v>
      </c>
      <c r="AO228">
        <v>0</v>
      </c>
      <c r="AP228">
        <v>1</v>
      </c>
      <c r="AQ228">
        <v>5.0000000000000001E-3</v>
      </c>
      <c r="AR228">
        <v>6</v>
      </c>
      <c r="AS228">
        <v>2</v>
      </c>
      <c r="AT228">
        <v>5</v>
      </c>
      <c r="AU228">
        <v>5</v>
      </c>
      <c r="AV228">
        <v>1</v>
      </c>
      <c r="AW228">
        <v>0.01</v>
      </c>
      <c r="AX228">
        <v>7</v>
      </c>
      <c r="AY228" s="1">
        <v>0</v>
      </c>
      <c r="AZ228">
        <v>2</v>
      </c>
      <c r="BA228">
        <v>2</v>
      </c>
      <c r="BB228">
        <v>1</v>
      </c>
      <c r="BC228" s="7">
        <v>0.4</v>
      </c>
      <c r="BD228">
        <v>30</v>
      </c>
      <c r="BE228">
        <v>0</v>
      </c>
      <c r="BF228">
        <v>0</v>
      </c>
      <c r="BG228">
        <v>0</v>
      </c>
      <c r="BH228">
        <v>5</v>
      </c>
      <c r="BI228">
        <v>2.4</v>
      </c>
      <c r="BJ228">
        <v>31</v>
      </c>
      <c r="BK228">
        <v>0</v>
      </c>
      <c r="BL228">
        <v>0</v>
      </c>
      <c r="BM228">
        <v>0</v>
      </c>
      <c r="BN228">
        <v>5</v>
      </c>
      <c r="BO228">
        <v>2.4</v>
      </c>
      <c r="BP228">
        <v>36</v>
      </c>
      <c r="BQ228">
        <v>0</v>
      </c>
      <c r="BR228">
        <v>0</v>
      </c>
      <c r="BS228">
        <v>0</v>
      </c>
      <c r="BT228">
        <v>5</v>
      </c>
      <c r="BU228">
        <v>2.6</v>
      </c>
    </row>
    <row r="229" spans="1:73" x14ac:dyDescent="0.15">
      <c r="A229" s="11">
        <v>921</v>
      </c>
      <c r="B229">
        <v>7</v>
      </c>
      <c r="C229" s="1">
        <v>29</v>
      </c>
      <c r="D229">
        <v>0</v>
      </c>
      <c r="E229">
        <v>0</v>
      </c>
      <c r="F229">
        <v>1</v>
      </c>
      <c r="G229" s="7">
        <v>0.08</v>
      </c>
      <c r="H229">
        <v>12</v>
      </c>
      <c r="I229">
        <v>0</v>
      </c>
      <c r="J229">
        <v>0</v>
      </c>
      <c r="K229">
        <v>0</v>
      </c>
      <c r="L229">
        <v>1</v>
      </c>
      <c r="M229">
        <v>2</v>
      </c>
      <c r="N229" s="7">
        <v>9</v>
      </c>
      <c r="O229" s="7">
        <v>0</v>
      </c>
      <c r="P229" s="7">
        <v>0</v>
      </c>
      <c r="Q229" s="7">
        <v>0</v>
      </c>
      <c r="R229" s="7">
        <v>1</v>
      </c>
      <c r="S229" s="7">
        <v>3.5</v>
      </c>
      <c r="T229">
        <v>7</v>
      </c>
      <c r="U229" s="1">
        <v>25</v>
      </c>
      <c r="V229">
        <v>0</v>
      </c>
      <c r="W229">
        <v>0</v>
      </c>
      <c r="X229">
        <v>1</v>
      </c>
      <c r="Y229">
        <v>0.24</v>
      </c>
      <c r="Z229">
        <v>23</v>
      </c>
      <c r="AA229">
        <v>0</v>
      </c>
      <c r="AB229">
        <v>0</v>
      </c>
      <c r="AC229">
        <v>0</v>
      </c>
      <c r="AD229">
        <v>1</v>
      </c>
      <c r="AE229">
        <v>0.03</v>
      </c>
      <c r="AF229">
        <v>15</v>
      </c>
      <c r="AG229">
        <v>0</v>
      </c>
      <c r="AH229">
        <v>0</v>
      </c>
      <c r="AI229">
        <v>0</v>
      </c>
      <c r="AJ229">
        <v>1</v>
      </c>
      <c r="AK229">
        <v>0.01</v>
      </c>
      <c r="AL229">
        <v>16</v>
      </c>
      <c r="AM229">
        <v>0</v>
      </c>
      <c r="AN229">
        <v>0</v>
      </c>
      <c r="AO229">
        <v>0</v>
      </c>
      <c r="AP229">
        <v>1</v>
      </c>
      <c r="AQ229">
        <v>5.0000000000000001E-3</v>
      </c>
      <c r="AX229">
        <v>7</v>
      </c>
      <c r="AY229" s="1">
        <v>13</v>
      </c>
      <c r="AZ229">
        <v>0</v>
      </c>
      <c r="BA229">
        <v>0</v>
      </c>
      <c r="BB229">
        <v>1</v>
      </c>
      <c r="BC229" s="7">
        <v>0.4</v>
      </c>
      <c r="BD229">
        <v>30</v>
      </c>
      <c r="BE229">
        <v>0</v>
      </c>
      <c r="BF229">
        <v>0</v>
      </c>
      <c r="BG229">
        <v>0</v>
      </c>
      <c r="BH229">
        <v>5</v>
      </c>
      <c r="BI229">
        <v>2.4</v>
      </c>
      <c r="BJ229">
        <v>31</v>
      </c>
      <c r="BK229">
        <v>0</v>
      </c>
      <c r="BL229">
        <v>0</v>
      </c>
      <c r="BM229">
        <v>0</v>
      </c>
      <c r="BN229">
        <v>5</v>
      </c>
      <c r="BO229">
        <v>2.4</v>
      </c>
      <c r="BP229">
        <v>36</v>
      </c>
      <c r="BQ229">
        <v>0</v>
      </c>
      <c r="BR229">
        <v>0</v>
      </c>
      <c r="BS229">
        <v>0</v>
      </c>
      <c r="BT229">
        <v>5</v>
      </c>
      <c r="BU229">
        <v>2.6</v>
      </c>
    </row>
    <row r="230" spans="1:73" x14ac:dyDescent="0.15">
      <c r="A230" s="11">
        <v>922</v>
      </c>
      <c r="B230">
        <v>7</v>
      </c>
      <c r="C230" s="1">
        <v>30</v>
      </c>
      <c r="D230">
        <v>0</v>
      </c>
      <c r="E230">
        <v>0</v>
      </c>
      <c r="F230">
        <v>1</v>
      </c>
      <c r="G230" s="7">
        <v>0.08</v>
      </c>
      <c r="H230">
        <v>12</v>
      </c>
      <c r="I230">
        <v>0</v>
      </c>
      <c r="J230">
        <v>0</v>
      </c>
      <c r="K230">
        <v>0</v>
      </c>
      <c r="L230">
        <v>1</v>
      </c>
      <c r="M230">
        <v>2</v>
      </c>
      <c r="N230" s="7">
        <v>9</v>
      </c>
      <c r="O230" s="7">
        <v>0</v>
      </c>
      <c r="P230" s="7">
        <v>0</v>
      </c>
      <c r="Q230" s="7">
        <v>0</v>
      </c>
      <c r="R230" s="7">
        <v>1</v>
      </c>
      <c r="S230" s="7">
        <v>3.5</v>
      </c>
      <c r="T230">
        <v>7</v>
      </c>
      <c r="U230" s="1">
        <v>26</v>
      </c>
      <c r="V230">
        <v>0</v>
      </c>
      <c r="W230">
        <v>0</v>
      </c>
      <c r="X230">
        <v>1</v>
      </c>
      <c r="Y230">
        <v>0.24</v>
      </c>
      <c r="Z230">
        <v>23</v>
      </c>
      <c r="AA230">
        <v>0</v>
      </c>
      <c r="AB230">
        <v>0</v>
      </c>
      <c r="AC230">
        <v>0</v>
      </c>
      <c r="AD230">
        <v>1</v>
      </c>
      <c r="AE230">
        <v>0.03</v>
      </c>
      <c r="AF230">
        <v>15</v>
      </c>
      <c r="AG230">
        <v>0</v>
      </c>
      <c r="AH230">
        <v>0</v>
      </c>
      <c r="AI230">
        <v>0</v>
      </c>
      <c r="AJ230">
        <v>1</v>
      </c>
      <c r="AK230">
        <v>0.01</v>
      </c>
      <c r="AL230">
        <v>16</v>
      </c>
      <c r="AM230">
        <v>0</v>
      </c>
      <c r="AN230">
        <v>0</v>
      </c>
      <c r="AO230">
        <v>0</v>
      </c>
      <c r="AP230">
        <v>1</v>
      </c>
      <c r="AQ230">
        <v>5.0000000000000001E-3</v>
      </c>
      <c r="AX230">
        <v>7</v>
      </c>
      <c r="AY230" s="1">
        <v>14</v>
      </c>
      <c r="AZ230">
        <v>0</v>
      </c>
      <c r="BA230">
        <v>0</v>
      </c>
      <c r="BB230">
        <v>1</v>
      </c>
      <c r="BC230" s="7">
        <v>0.4</v>
      </c>
      <c r="BD230">
        <v>30</v>
      </c>
      <c r="BE230">
        <v>0</v>
      </c>
      <c r="BF230">
        <v>0</v>
      </c>
      <c r="BG230">
        <v>0</v>
      </c>
      <c r="BH230">
        <v>5</v>
      </c>
      <c r="BI230">
        <v>2.4</v>
      </c>
      <c r="BJ230">
        <v>31</v>
      </c>
      <c r="BK230">
        <v>0</v>
      </c>
      <c r="BL230">
        <v>0</v>
      </c>
      <c r="BM230">
        <v>0</v>
      </c>
      <c r="BN230">
        <v>5</v>
      </c>
      <c r="BO230">
        <v>2.4</v>
      </c>
      <c r="BP230">
        <v>36</v>
      </c>
      <c r="BQ230">
        <v>0</v>
      </c>
      <c r="BR230">
        <v>0</v>
      </c>
      <c r="BS230">
        <v>0</v>
      </c>
      <c r="BT230">
        <v>5</v>
      </c>
      <c r="BU230">
        <v>2.6</v>
      </c>
    </row>
    <row r="231" spans="1:73" x14ac:dyDescent="0.15">
      <c r="A231" s="11">
        <v>923</v>
      </c>
      <c r="B231">
        <v>7</v>
      </c>
      <c r="C231" s="1">
        <v>31</v>
      </c>
      <c r="D231">
        <v>0</v>
      </c>
      <c r="E231">
        <v>0</v>
      </c>
      <c r="F231">
        <v>1</v>
      </c>
      <c r="G231" s="7">
        <v>0.08</v>
      </c>
      <c r="H231">
        <v>12</v>
      </c>
      <c r="I231">
        <v>0</v>
      </c>
      <c r="J231">
        <v>0</v>
      </c>
      <c r="K231">
        <v>0</v>
      </c>
      <c r="L231">
        <v>1</v>
      </c>
      <c r="M231">
        <v>2</v>
      </c>
      <c r="N231" s="7">
        <v>9</v>
      </c>
      <c r="O231" s="7">
        <v>0</v>
      </c>
      <c r="P231" s="7">
        <v>0</v>
      </c>
      <c r="Q231" s="7">
        <v>0</v>
      </c>
      <c r="R231" s="7">
        <v>1</v>
      </c>
      <c r="S231" s="7">
        <v>3.5</v>
      </c>
      <c r="T231">
        <v>7</v>
      </c>
      <c r="U231" s="1">
        <v>27</v>
      </c>
      <c r="V231">
        <v>0</v>
      </c>
      <c r="W231">
        <v>0</v>
      </c>
      <c r="X231">
        <v>1</v>
      </c>
      <c r="Y231">
        <v>0.24</v>
      </c>
      <c r="Z231">
        <v>23</v>
      </c>
      <c r="AA231">
        <v>0</v>
      </c>
      <c r="AB231">
        <v>0</v>
      </c>
      <c r="AC231">
        <v>0</v>
      </c>
      <c r="AD231">
        <v>1</v>
      </c>
      <c r="AE231">
        <v>0.03</v>
      </c>
      <c r="AF231">
        <v>15</v>
      </c>
      <c r="AG231">
        <v>0</v>
      </c>
      <c r="AH231">
        <v>0</v>
      </c>
      <c r="AI231">
        <v>0</v>
      </c>
      <c r="AJ231">
        <v>1</v>
      </c>
      <c r="AK231">
        <v>0.01</v>
      </c>
      <c r="AL231">
        <v>16</v>
      </c>
      <c r="AM231">
        <v>0</v>
      </c>
      <c r="AN231">
        <v>0</v>
      </c>
      <c r="AO231">
        <v>0</v>
      </c>
      <c r="AP231">
        <v>1</v>
      </c>
      <c r="AQ231">
        <v>5.0000000000000001E-3</v>
      </c>
      <c r="AX231">
        <v>7</v>
      </c>
      <c r="AY231" s="1">
        <v>15</v>
      </c>
      <c r="AZ231">
        <v>0</v>
      </c>
      <c r="BA231">
        <v>0</v>
      </c>
      <c r="BB231">
        <v>1</v>
      </c>
      <c r="BC231" s="7">
        <v>0.4</v>
      </c>
      <c r="BD231">
        <v>30</v>
      </c>
      <c r="BE231">
        <v>0</v>
      </c>
      <c r="BF231">
        <v>0</v>
      </c>
      <c r="BG231">
        <v>0</v>
      </c>
      <c r="BH231">
        <v>5</v>
      </c>
      <c r="BI231">
        <v>2.4</v>
      </c>
      <c r="BJ231">
        <v>31</v>
      </c>
      <c r="BK231">
        <v>0</v>
      </c>
      <c r="BL231">
        <v>0</v>
      </c>
      <c r="BM231">
        <v>0</v>
      </c>
      <c r="BN231">
        <v>5</v>
      </c>
      <c r="BO231">
        <v>2.4</v>
      </c>
      <c r="BP231">
        <v>36</v>
      </c>
      <c r="BQ231">
        <v>0</v>
      </c>
      <c r="BR231">
        <v>0</v>
      </c>
      <c r="BS231">
        <v>0</v>
      </c>
      <c r="BT231">
        <v>5</v>
      </c>
      <c r="BU231">
        <v>2.6</v>
      </c>
    </row>
    <row r="232" spans="1:73" x14ac:dyDescent="0.15">
      <c r="A232" s="11">
        <v>924</v>
      </c>
      <c r="B232">
        <v>7</v>
      </c>
      <c r="C232" s="1">
        <v>32</v>
      </c>
      <c r="D232">
        <v>0</v>
      </c>
      <c r="E232">
        <v>0</v>
      </c>
      <c r="F232">
        <v>1</v>
      </c>
      <c r="G232" s="7">
        <v>0.08</v>
      </c>
      <c r="H232">
        <v>12</v>
      </c>
      <c r="I232">
        <v>0</v>
      </c>
      <c r="J232">
        <v>0</v>
      </c>
      <c r="K232">
        <v>0</v>
      </c>
      <c r="L232">
        <v>1</v>
      </c>
      <c r="M232">
        <v>2</v>
      </c>
      <c r="N232" s="7">
        <v>9</v>
      </c>
      <c r="O232" s="7">
        <v>0</v>
      </c>
      <c r="P232" s="7">
        <v>0</v>
      </c>
      <c r="Q232" s="7">
        <v>0</v>
      </c>
      <c r="R232" s="7">
        <v>1</v>
      </c>
      <c r="S232" s="7">
        <v>3.5</v>
      </c>
      <c r="T232">
        <v>7</v>
      </c>
      <c r="U232" s="1">
        <v>28</v>
      </c>
      <c r="V232">
        <v>0</v>
      </c>
      <c r="W232">
        <v>0</v>
      </c>
      <c r="X232">
        <v>1</v>
      </c>
      <c r="Y232">
        <v>0.24</v>
      </c>
      <c r="Z232">
        <v>23</v>
      </c>
      <c r="AA232">
        <v>0</v>
      </c>
      <c r="AB232">
        <v>0</v>
      </c>
      <c r="AC232">
        <v>0</v>
      </c>
      <c r="AD232">
        <v>1</v>
      </c>
      <c r="AE232">
        <v>0.03</v>
      </c>
      <c r="AF232">
        <v>15</v>
      </c>
      <c r="AG232">
        <v>0</v>
      </c>
      <c r="AH232">
        <v>0</v>
      </c>
      <c r="AI232">
        <v>0</v>
      </c>
      <c r="AJ232">
        <v>1</v>
      </c>
      <c r="AK232">
        <v>0.01</v>
      </c>
      <c r="AL232">
        <v>16</v>
      </c>
      <c r="AM232">
        <v>0</v>
      </c>
      <c r="AN232">
        <v>0</v>
      </c>
      <c r="AO232">
        <v>0</v>
      </c>
      <c r="AP232">
        <v>1</v>
      </c>
      <c r="AQ232">
        <v>5.0000000000000001E-3</v>
      </c>
      <c r="AX232">
        <v>7</v>
      </c>
      <c r="AY232" s="1">
        <v>16</v>
      </c>
      <c r="AZ232">
        <v>0</v>
      </c>
      <c r="BA232">
        <v>0</v>
      </c>
      <c r="BB232">
        <v>1</v>
      </c>
      <c r="BC232" s="7">
        <v>0.4</v>
      </c>
      <c r="BD232">
        <v>30</v>
      </c>
      <c r="BE232">
        <v>0</v>
      </c>
      <c r="BF232">
        <v>0</v>
      </c>
      <c r="BG232">
        <v>0</v>
      </c>
      <c r="BH232">
        <v>5</v>
      </c>
      <c r="BI232">
        <v>2.4</v>
      </c>
      <c r="BJ232">
        <v>31</v>
      </c>
      <c r="BK232">
        <v>0</v>
      </c>
      <c r="BL232">
        <v>0</v>
      </c>
      <c r="BM232">
        <v>0</v>
      </c>
      <c r="BN232">
        <v>5</v>
      </c>
      <c r="BO232">
        <v>2.4</v>
      </c>
      <c r="BP232">
        <v>36</v>
      </c>
      <c r="BQ232">
        <v>0</v>
      </c>
      <c r="BR232">
        <v>0</v>
      </c>
      <c r="BS232">
        <v>0</v>
      </c>
      <c r="BT232">
        <v>5</v>
      </c>
      <c r="BU232">
        <v>2.6</v>
      </c>
    </row>
    <row r="233" spans="1:73" x14ac:dyDescent="0.15">
      <c r="A233" s="11">
        <v>925</v>
      </c>
      <c r="B233">
        <v>7</v>
      </c>
      <c r="C233" s="1">
        <v>0</v>
      </c>
      <c r="D233">
        <v>4</v>
      </c>
      <c r="E233">
        <v>2</v>
      </c>
      <c r="F233">
        <v>1</v>
      </c>
      <c r="G233" s="7">
        <v>0.08</v>
      </c>
      <c r="H233">
        <v>12</v>
      </c>
      <c r="I233">
        <v>0</v>
      </c>
      <c r="J233">
        <v>0</v>
      </c>
      <c r="K233">
        <v>0</v>
      </c>
      <c r="L233">
        <v>1</v>
      </c>
      <c r="M233">
        <v>2</v>
      </c>
      <c r="N233" s="7">
        <v>9</v>
      </c>
      <c r="O233" s="7">
        <v>0</v>
      </c>
      <c r="P233" s="7">
        <v>0</v>
      </c>
      <c r="Q233" s="7">
        <v>0</v>
      </c>
      <c r="R233" s="7">
        <v>1</v>
      </c>
      <c r="S233" s="7">
        <v>3.5</v>
      </c>
      <c r="T233">
        <v>7</v>
      </c>
      <c r="U233" s="1">
        <v>0</v>
      </c>
      <c r="V233">
        <v>3</v>
      </c>
      <c r="W233">
        <v>3</v>
      </c>
      <c r="X233">
        <v>1</v>
      </c>
      <c r="Y233">
        <v>0.24</v>
      </c>
      <c r="Z233">
        <v>23</v>
      </c>
      <c r="AA233">
        <v>0</v>
      </c>
      <c r="AB233">
        <v>0</v>
      </c>
      <c r="AC233">
        <v>0</v>
      </c>
      <c r="AD233">
        <v>1</v>
      </c>
      <c r="AE233">
        <v>0.03</v>
      </c>
      <c r="AF233">
        <v>15</v>
      </c>
      <c r="AG233">
        <v>0</v>
      </c>
      <c r="AH233">
        <v>0</v>
      </c>
      <c r="AI233">
        <v>0</v>
      </c>
      <c r="AJ233">
        <v>1</v>
      </c>
      <c r="AK233">
        <v>0.01</v>
      </c>
      <c r="AL233">
        <v>16</v>
      </c>
      <c r="AM233">
        <v>0</v>
      </c>
      <c r="AN233">
        <v>0</v>
      </c>
      <c r="AO233">
        <v>0</v>
      </c>
      <c r="AP233">
        <v>1</v>
      </c>
      <c r="AQ233">
        <v>5.0000000000000001E-3</v>
      </c>
      <c r="AR233">
        <v>6</v>
      </c>
      <c r="AS233">
        <v>2</v>
      </c>
      <c r="AT233">
        <v>1</v>
      </c>
      <c r="AU233">
        <v>5</v>
      </c>
      <c r="AV233">
        <v>1</v>
      </c>
      <c r="AW233">
        <v>0.05</v>
      </c>
      <c r="AX233">
        <v>7</v>
      </c>
      <c r="AY233" s="1">
        <v>0</v>
      </c>
      <c r="AZ233">
        <v>2</v>
      </c>
      <c r="BA233">
        <v>2</v>
      </c>
      <c r="BB233">
        <v>1</v>
      </c>
      <c r="BC233" s="7">
        <v>0.4</v>
      </c>
      <c r="BD233">
        <v>30</v>
      </c>
      <c r="BE233">
        <v>0</v>
      </c>
      <c r="BF233">
        <v>0</v>
      </c>
      <c r="BG233">
        <v>0</v>
      </c>
      <c r="BH233">
        <v>5</v>
      </c>
      <c r="BI233">
        <v>2.4</v>
      </c>
      <c r="BJ233">
        <v>31</v>
      </c>
      <c r="BK233">
        <v>0</v>
      </c>
      <c r="BL233">
        <v>0</v>
      </c>
      <c r="BM233">
        <v>0</v>
      </c>
      <c r="BN233">
        <v>5</v>
      </c>
      <c r="BO233">
        <v>2.4</v>
      </c>
      <c r="BP233">
        <v>36</v>
      </c>
      <c r="BQ233">
        <v>0</v>
      </c>
      <c r="BR233">
        <v>0</v>
      </c>
      <c r="BS233">
        <v>0</v>
      </c>
      <c r="BT233">
        <v>5</v>
      </c>
      <c r="BU233">
        <v>2.6</v>
      </c>
    </row>
    <row r="234" spans="1:73" x14ac:dyDescent="0.15">
      <c r="A234" s="11">
        <v>926</v>
      </c>
      <c r="B234">
        <v>7</v>
      </c>
      <c r="C234" s="1">
        <v>33</v>
      </c>
      <c r="D234">
        <v>0</v>
      </c>
      <c r="E234">
        <v>0</v>
      </c>
      <c r="F234">
        <v>1</v>
      </c>
      <c r="G234" s="7">
        <v>0.08</v>
      </c>
      <c r="H234">
        <v>12</v>
      </c>
      <c r="I234">
        <v>0</v>
      </c>
      <c r="J234">
        <v>0</v>
      </c>
      <c r="K234">
        <v>0</v>
      </c>
      <c r="L234">
        <v>1</v>
      </c>
      <c r="M234">
        <v>2</v>
      </c>
      <c r="N234" s="7">
        <v>9</v>
      </c>
      <c r="O234" s="7">
        <v>0</v>
      </c>
      <c r="P234" s="7">
        <v>0</v>
      </c>
      <c r="Q234" s="7">
        <v>0</v>
      </c>
      <c r="R234" s="7">
        <v>1</v>
      </c>
      <c r="S234" s="7">
        <v>3.5</v>
      </c>
      <c r="T234">
        <v>7</v>
      </c>
      <c r="U234" s="1">
        <v>29</v>
      </c>
      <c r="V234">
        <v>0</v>
      </c>
      <c r="W234">
        <v>0</v>
      </c>
      <c r="X234">
        <v>1</v>
      </c>
      <c r="Y234">
        <v>0.16</v>
      </c>
      <c r="Z234">
        <v>23</v>
      </c>
      <c r="AA234">
        <v>0</v>
      </c>
      <c r="AB234">
        <v>0</v>
      </c>
      <c r="AC234">
        <v>0</v>
      </c>
      <c r="AD234">
        <v>1</v>
      </c>
      <c r="AE234">
        <v>0.03</v>
      </c>
      <c r="AF234">
        <v>15</v>
      </c>
      <c r="AG234">
        <v>0</v>
      </c>
      <c r="AH234">
        <v>0</v>
      </c>
      <c r="AI234">
        <v>0</v>
      </c>
      <c r="AJ234">
        <v>1</v>
      </c>
      <c r="AK234">
        <v>0.01</v>
      </c>
      <c r="AL234">
        <v>16</v>
      </c>
      <c r="AM234">
        <v>0</v>
      </c>
      <c r="AN234">
        <v>0</v>
      </c>
      <c r="AO234">
        <v>0</v>
      </c>
      <c r="AP234">
        <v>1</v>
      </c>
      <c r="AQ234">
        <v>5.0000000000000001E-3</v>
      </c>
      <c r="AX234">
        <v>7</v>
      </c>
      <c r="AY234" s="1">
        <v>13</v>
      </c>
      <c r="AZ234">
        <v>0</v>
      </c>
      <c r="BA234">
        <v>0</v>
      </c>
      <c r="BB234">
        <v>1</v>
      </c>
      <c r="BC234" s="7">
        <v>0.4</v>
      </c>
      <c r="BD234">
        <v>30</v>
      </c>
      <c r="BE234">
        <v>0</v>
      </c>
      <c r="BF234">
        <v>0</v>
      </c>
      <c r="BG234">
        <v>0</v>
      </c>
      <c r="BH234">
        <v>5</v>
      </c>
      <c r="BI234">
        <v>2.4</v>
      </c>
      <c r="BJ234">
        <v>31</v>
      </c>
      <c r="BK234">
        <v>0</v>
      </c>
      <c r="BL234">
        <v>0</v>
      </c>
      <c r="BM234">
        <v>0</v>
      </c>
      <c r="BN234">
        <v>5</v>
      </c>
      <c r="BO234">
        <v>2.4</v>
      </c>
      <c r="BP234">
        <v>36</v>
      </c>
      <c r="BQ234">
        <v>0</v>
      </c>
      <c r="BR234">
        <v>0</v>
      </c>
      <c r="BS234">
        <v>0</v>
      </c>
      <c r="BT234">
        <v>5</v>
      </c>
      <c r="BU234">
        <v>2.6</v>
      </c>
    </row>
    <row r="235" spans="1:73" x14ac:dyDescent="0.15">
      <c r="A235" s="11">
        <v>927</v>
      </c>
      <c r="B235">
        <v>7</v>
      </c>
      <c r="C235" s="1">
        <v>34</v>
      </c>
      <c r="D235">
        <v>0</v>
      </c>
      <c r="E235">
        <v>0</v>
      </c>
      <c r="F235">
        <v>1</v>
      </c>
      <c r="G235" s="7">
        <v>0.08</v>
      </c>
      <c r="H235">
        <v>12</v>
      </c>
      <c r="I235">
        <v>0</v>
      </c>
      <c r="J235">
        <v>0</v>
      </c>
      <c r="K235">
        <v>0</v>
      </c>
      <c r="L235">
        <v>1</v>
      </c>
      <c r="M235">
        <v>2</v>
      </c>
      <c r="N235" s="7">
        <v>9</v>
      </c>
      <c r="O235" s="7">
        <v>0</v>
      </c>
      <c r="P235" s="7">
        <v>0</v>
      </c>
      <c r="Q235" s="7">
        <v>0</v>
      </c>
      <c r="R235" s="7">
        <v>1</v>
      </c>
      <c r="S235" s="7">
        <v>3.5</v>
      </c>
      <c r="T235">
        <v>7</v>
      </c>
      <c r="U235" s="1">
        <v>30</v>
      </c>
      <c r="V235">
        <v>0</v>
      </c>
      <c r="W235">
        <v>0</v>
      </c>
      <c r="X235">
        <v>1</v>
      </c>
      <c r="Y235">
        <v>0.16</v>
      </c>
      <c r="Z235">
        <v>23</v>
      </c>
      <c r="AA235">
        <v>0</v>
      </c>
      <c r="AB235">
        <v>0</v>
      </c>
      <c r="AC235">
        <v>0</v>
      </c>
      <c r="AD235">
        <v>1</v>
      </c>
      <c r="AE235">
        <v>0.03</v>
      </c>
      <c r="AF235">
        <v>15</v>
      </c>
      <c r="AG235">
        <v>0</v>
      </c>
      <c r="AH235">
        <v>0</v>
      </c>
      <c r="AI235">
        <v>0</v>
      </c>
      <c r="AJ235">
        <v>1</v>
      </c>
      <c r="AK235">
        <v>0.01</v>
      </c>
      <c r="AL235">
        <v>16</v>
      </c>
      <c r="AM235">
        <v>0</v>
      </c>
      <c r="AN235">
        <v>0</v>
      </c>
      <c r="AO235">
        <v>0</v>
      </c>
      <c r="AP235">
        <v>1</v>
      </c>
      <c r="AQ235">
        <v>5.0000000000000001E-3</v>
      </c>
      <c r="AX235">
        <v>7</v>
      </c>
      <c r="AY235" s="1">
        <v>13</v>
      </c>
      <c r="AZ235">
        <v>0</v>
      </c>
      <c r="BA235">
        <v>0</v>
      </c>
      <c r="BB235">
        <v>1</v>
      </c>
      <c r="BC235" s="7">
        <v>0.4</v>
      </c>
      <c r="BD235">
        <v>30</v>
      </c>
      <c r="BE235">
        <v>0</v>
      </c>
      <c r="BF235">
        <v>0</v>
      </c>
      <c r="BG235">
        <v>0</v>
      </c>
      <c r="BH235">
        <v>5</v>
      </c>
      <c r="BI235">
        <v>2.4</v>
      </c>
      <c r="BJ235">
        <v>31</v>
      </c>
      <c r="BK235">
        <v>0</v>
      </c>
      <c r="BL235">
        <v>0</v>
      </c>
      <c r="BM235">
        <v>0</v>
      </c>
      <c r="BN235">
        <v>5</v>
      </c>
      <c r="BO235">
        <v>2.4</v>
      </c>
      <c r="BP235">
        <v>36</v>
      </c>
      <c r="BQ235">
        <v>0</v>
      </c>
      <c r="BR235">
        <v>0</v>
      </c>
      <c r="BS235">
        <v>0</v>
      </c>
      <c r="BT235">
        <v>5</v>
      </c>
      <c r="BU235">
        <v>2.6</v>
      </c>
    </row>
    <row r="236" spans="1:73" x14ac:dyDescent="0.15">
      <c r="A236" s="11">
        <v>928</v>
      </c>
      <c r="B236">
        <v>7</v>
      </c>
      <c r="C236" s="1">
        <v>35</v>
      </c>
      <c r="D236">
        <v>0</v>
      </c>
      <c r="E236">
        <v>0</v>
      </c>
      <c r="F236">
        <v>1</v>
      </c>
      <c r="G236" s="7">
        <v>0.08</v>
      </c>
      <c r="H236">
        <v>12</v>
      </c>
      <c r="I236">
        <v>0</v>
      </c>
      <c r="J236">
        <v>0</v>
      </c>
      <c r="K236">
        <v>0</v>
      </c>
      <c r="L236">
        <v>1</v>
      </c>
      <c r="M236">
        <v>2</v>
      </c>
      <c r="N236" s="7">
        <v>9</v>
      </c>
      <c r="O236" s="7">
        <v>0</v>
      </c>
      <c r="P236" s="7">
        <v>0</v>
      </c>
      <c r="Q236" s="7">
        <v>0</v>
      </c>
      <c r="R236" s="7">
        <v>1</v>
      </c>
      <c r="S236" s="7">
        <v>3.5</v>
      </c>
      <c r="T236">
        <v>7</v>
      </c>
      <c r="U236" s="1">
        <v>31</v>
      </c>
      <c r="V236">
        <v>0</v>
      </c>
      <c r="W236">
        <v>0</v>
      </c>
      <c r="X236">
        <v>1</v>
      </c>
      <c r="Y236">
        <v>0.16</v>
      </c>
      <c r="Z236">
        <v>23</v>
      </c>
      <c r="AA236">
        <v>0</v>
      </c>
      <c r="AB236">
        <v>0</v>
      </c>
      <c r="AC236">
        <v>0</v>
      </c>
      <c r="AD236">
        <v>1</v>
      </c>
      <c r="AE236">
        <v>0.03</v>
      </c>
      <c r="AF236">
        <v>15</v>
      </c>
      <c r="AG236">
        <v>0</v>
      </c>
      <c r="AH236">
        <v>0</v>
      </c>
      <c r="AI236">
        <v>0</v>
      </c>
      <c r="AJ236">
        <v>1</v>
      </c>
      <c r="AK236">
        <v>0.01</v>
      </c>
      <c r="AL236">
        <v>16</v>
      </c>
      <c r="AM236">
        <v>0</v>
      </c>
      <c r="AN236">
        <v>0</v>
      </c>
      <c r="AO236">
        <v>0</v>
      </c>
      <c r="AP236">
        <v>1</v>
      </c>
      <c r="AQ236">
        <v>5.0000000000000001E-3</v>
      </c>
      <c r="AX236">
        <v>7</v>
      </c>
      <c r="AY236" s="1">
        <v>15</v>
      </c>
      <c r="AZ236">
        <v>0</v>
      </c>
      <c r="BA236">
        <v>0</v>
      </c>
      <c r="BB236">
        <v>1</v>
      </c>
      <c r="BC236" s="7">
        <v>0.4</v>
      </c>
      <c r="BD236">
        <v>30</v>
      </c>
      <c r="BE236">
        <v>0</v>
      </c>
      <c r="BF236">
        <v>0</v>
      </c>
      <c r="BG236">
        <v>0</v>
      </c>
      <c r="BH236">
        <v>5</v>
      </c>
      <c r="BI236">
        <v>2.4</v>
      </c>
      <c r="BJ236">
        <v>31</v>
      </c>
      <c r="BK236">
        <v>0</v>
      </c>
      <c r="BL236">
        <v>0</v>
      </c>
      <c r="BM236">
        <v>0</v>
      </c>
      <c r="BN236">
        <v>5</v>
      </c>
      <c r="BO236">
        <v>2.4</v>
      </c>
      <c r="BP236">
        <v>36</v>
      </c>
      <c r="BQ236">
        <v>0</v>
      </c>
      <c r="BR236">
        <v>0</v>
      </c>
      <c r="BS236">
        <v>0</v>
      </c>
      <c r="BT236">
        <v>5</v>
      </c>
      <c r="BU236">
        <v>2.6</v>
      </c>
    </row>
    <row r="237" spans="1:73" x14ac:dyDescent="0.15">
      <c r="A237" s="11">
        <v>929</v>
      </c>
      <c r="B237">
        <v>7</v>
      </c>
      <c r="C237" s="1">
        <v>36</v>
      </c>
      <c r="D237">
        <v>0</v>
      </c>
      <c r="E237">
        <v>0</v>
      </c>
      <c r="F237">
        <v>1</v>
      </c>
      <c r="G237" s="7">
        <v>0.08</v>
      </c>
      <c r="H237">
        <v>12</v>
      </c>
      <c r="I237">
        <v>0</v>
      </c>
      <c r="J237">
        <v>0</v>
      </c>
      <c r="K237">
        <v>0</v>
      </c>
      <c r="L237">
        <v>1</v>
      </c>
      <c r="M237">
        <v>2</v>
      </c>
      <c r="N237" s="7">
        <v>9</v>
      </c>
      <c r="O237" s="7">
        <v>0</v>
      </c>
      <c r="P237" s="7">
        <v>0</v>
      </c>
      <c r="Q237" s="7">
        <v>0</v>
      </c>
      <c r="R237" s="7">
        <v>1</v>
      </c>
      <c r="S237" s="7">
        <v>3.5</v>
      </c>
      <c r="T237">
        <v>7</v>
      </c>
      <c r="U237" s="1">
        <v>32</v>
      </c>
      <c r="V237">
        <v>0</v>
      </c>
      <c r="W237">
        <v>0</v>
      </c>
      <c r="X237">
        <v>1</v>
      </c>
      <c r="Y237">
        <v>0.16</v>
      </c>
      <c r="Z237">
        <v>23</v>
      </c>
      <c r="AA237">
        <v>0</v>
      </c>
      <c r="AB237">
        <v>0</v>
      </c>
      <c r="AC237">
        <v>0</v>
      </c>
      <c r="AD237">
        <v>1</v>
      </c>
      <c r="AE237">
        <v>0.03</v>
      </c>
      <c r="AF237">
        <v>15</v>
      </c>
      <c r="AG237">
        <v>0</v>
      </c>
      <c r="AH237">
        <v>0</v>
      </c>
      <c r="AI237">
        <v>0</v>
      </c>
      <c r="AJ237">
        <v>1</v>
      </c>
      <c r="AK237">
        <v>0.01</v>
      </c>
      <c r="AL237">
        <v>16</v>
      </c>
      <c r="AM237">
        <v>0</v>
      </c>
      <c r="AN237">
        <v>0</v>
      </c>
      <c r="AO237">
        <v>0</v>
      </c>
      <c r="AP237">
        <v>1</v>
      </c>
      <c r="AQ237">
        <v>5.0000000000000001E-3</v>
      </c>
      <c r="AX237">
        <v>7</v>
      </c>
      <c r="AY237" s="1">
        <v>16</v>
      </c>
      <c r="AZ237">
        <v>0</v>
      </c>
      <c r="BA237">
        <v>0</v>
      </c>
      <c r="BB237">
        <v>1</v>
      </c>
      <c r="BC237" s="7">
        <v>0.4</v>
      </c>
      <c r="BD237">
        <v>30</v>
      </c>
      <c r="BE237">
        <v>0</v>
      </c>
      <c r="BF237">
        <v>0</v>
      </c>
      <c r="BG237">
        <v>0</v>
      </c>
      <c r="BH237">
        <v>5</v>
      </c>
      <c r="BI237">
        <v>2.4</v>
      </c>
      <c r="BJ237">
        <v>31</v>
      </c>
      <c r="BK237">
        <v>0</v>
      </c>
      <c r="BL237">
        <v>0</v>
      </c>
      <c r="BM237">
        <v>0</v>
      </c>
      <c r="BN237">
        <v>5</v>
      </c>
      <c r="BO237">
        <v>2.4</v>
      </c>
      <c r="BP237">
        <v>36</v>
      </c>
      <c r="BQ237">
        <v>0</v>
      </c>
      <c r="BR237">
        <v>0</v>
      </c>
      <c r="BS237">
        <v>0</v>
      </c>
      <c r="BT237">
        <v>5</v>
      </c>
      <c r="BU237">
        <v>2.6</v>
      </c>
    </row>
    <row r="238" spans="1:73" x14ac:dyDescent="0.15">
      <c r="A238" s="11">
        <v>930</v>
      </c>
      <c r="B238">
        <v>7</v>
      </c>
      <c r="C238" s="1">
        <v>0</v>
      </c>
      <c r="D238">
        <v>4</v>
      </c>
      <c r="E238">
        <v>3</v>
      </c>
      <c r="F238">
        <v>1</v>
      </c>
      <c r="G238" s="7">
        <v>0.08</v>
      </c>
      <c r="H238">
        <v>12</v>
      </c>
      <c r="I238">
        <v>0</v>
      </c>
      <c r="J238">
        <v>0</v>
      </c>
      <c r="K238">
        <v>0</v>
      </c>
      <c r="L238">
        <v>1</v>
      </c>
      <c r="M238">
        <v>2</v>
      </c>
      <c r="N238" s="7">
        <v>9</v>
      </c>
      <c r="O238" s="7">
        <v>0</v>
      </c>
      <c r="P238" s="7">
        <v>0</v>
      </c>
      <c r="Q238" s="7">
        <v>0</v>
      </c>
      <c r="R238" s="7">
        <v>1</v>
      </c>
      <c r="S238" s="7">
        <v>3.5</v>
      </c>
      <c r="T238">
        <v>7</v>
      </c>
      <c r="U238" s="1">
        <v>0</v>
      </c>
      <c r="V238">
        <v>4</v>
      </c>
      <c r="W238">
        <v>1</v>
      </c>
      <c r="X238">
        <v>1</v>
      </c>
      <c r="Y238">
        <v>0.16</v>
      </c>
      <c r="Z238">
        <v>23</v>
      </c>
      <c r="AA238">
        <v>0</v>
      </c>
      <c r="AB238">
        <v>0</v>
      </c>
      <c r="AC238">
        <v>0</v>
      </c>
      <c r="AD238">
        <v>1</v>
      </c>
      <c r="AE238">
        <v>0.03</v>
      </c>
      <c r="AF238">
        <v>15</v>
      </c>
      <c r="AG238">
        <v>0</v>
      </c>
      <c r="AH238">
        <v>0</v>
      </c>
      <c r="AI238">
        <v>0</v>
      </c>
      <c r="AJ238">
        <v>1</v>
      </c>
      <c r="AK238">
        <v>0.01</v>
      </c>
      <c r="AL238">
        <v>16</v>
      </c>
      <c r="AM238">
        <v>0</v>
      </c>
      <c r="AN238">
        <v>0</v>
      </c>
      <c r="AO238">
        <v>0</v>
      </c>
      <c r="AP238">
        <v>1</v>
      </c>
      <c r="AQ238">
        <v>5.0000000000000001E-3</v>
      </c>
      <c r="AR238">
        <v>6</v>
      </c>
      <c r="AS238">
        <v>2</v>
      </c>
      <c r="AT238">
        <v>2</v>
      </c>
      <c r="AU238">
        <v>5</v>
      </c>
      <c r="AV238">
        <v>1</v>
      </c>
      <c r="AW238">
        <v>0.05</v>
      </c>
      <c r="AX238">
        <v>7</v>
      </c>
      <c r="AY238" s="1">
        <v>0</v>
      </c>
      <c r="AZ238">
        <v>2</v>
      </c>
      <c r="BA238">
        <v>2</v>
      </c>
      <c r="BB238">
        <v>1</v>
      </c>
      <c r="BC238" s="7">
        <v>0.4</v>
      </c>
      <c r="BD238">
        <v>30</v>
      </c>
      <c r="BE238">
        <v>0</v>
      </c>
      <c r="BF238">
        <v>0</v>
      </c>
      <c r="BG238">
        <v>0</v>
      </c>
      <c r="BH238">
        <v>5</v>
      </c>
      <c r="BI238">
        <v>2.4</v>
      </c>
      <c r="BJ238">
        <v>31</v>
      </c>
      <c r="BK238">
        <v>0</v>
      </c>
      <c r="BL238">
        <v>0</v>
      </c>
      <c r="BM238">
        <v>0</v>
      </c>
      <c r="BN238">
        <v>5</v>
      </c>
      <c r="BO238">
        <v>2.4</v>
      </c>
      <c r="BP238">
        <v>36</v>
      </c>
      <c r="BQ238">
        <v>0</v>
      </c>
      <c r="BR238">
        <v>0</v>
      </c>
      <c r="BS238">
        <v>0</v>
      </c>
      <c r="BT238">
        <v>5</v>
      </c>
      <c r="BU238">
        <v>2.6</v>
      </c>
    </row>
    <row r="239" spans="1:73" x14ac:dyDescent="0.15">
      <c r="A239" s="11">
        <v>931</v>
      </c>
      <c r="B239">
        <v>7</v>
      </c>
      <c r="C239" s="1">
        <v>33</v>
      </c>
      <c r="D239">
        <v>0</v>
      </c>
      <c r="E239">
        <v>0</v>
      </c>
      <c r="F239">
        <v>1</v>
      </c>
      <c r="G239" s="7">
        <v>0.08</v>
      </c>
      <c r="H239">
        <v>12</v>
      </c>
      <c r="I239">
        <v>0</v>
      </c>
      <c r="J239">
        <v>0</v>
      </c>
      <c r="K239">
        <v>0</v>
      </c>
      <c r="L239">
        <v>1</v>
      </c>
      <c r="M239">
        <v>2</v>
      </c>
      <c r="N239" s="7">
        <v>9</v>
      </c>
      <c r="O239" s="7">
        <v>0</v>
      </c>
      <c r="P239" s="7">
        <v>0</v>
      </c>
      <c r="Q239" s="7">
        <v>0</v>
      </c>
      <c r="R239" s="7">
        <v>1</v>
      </c>
      <c r="S239" s="7">
        <v>3.5</v>
      </c>
      <c r="T239">
        <v>7</v>
      </c>
      <c r="U239" s="1">
        <v>29</v>
      </c>
      <c r="V239">
        <v>0</v>
      </c>
      <c r="W239">
        <v>0</v>
      </c>
      <c r="X239">
        <v>1</v>
      </c>
      <c r="Y239">
        <v>0.16</v>
      </c>
      <c r="Z239">
        <v>23</v>
      </c>
      <c r="AA239">
        <v>0</v>
      </c>
      <c r="AB239">
        <v>0</v>
      </c>
      <c r="AC239">
        <v>0</v>
      </c>
      <c r="AD239">
        <v>1</v>
      </c>
      <c r="AE239">
        <v>0.03</v>
      </c>
      <c r="AF239">
        <v>15</v>
      </c>
      <c r="AG239">
        <v>0</v>
      </c>
      <c r="AH239">
        <v>0</v>
      </c>
      <c r="AI239">
        <v>0</v>
      </c>
      <c r="AJ239">
        <v>1</v>
      </c>
      <c r="AK239">
        <v>0.01</v>
      </c>
      <c r="AL239">
        <v>16</v>
      </c>
      <c r="AM239">
        <v>0</v>
      </c>
      <c r="AN239">
        <v>0</v>
      </c>
      <c r="AO239">
        <v>0</v>
      </c>
      <c r="AP239">
        <v>1</v>
      </c>
      <c r="AQ239">
        <v>5.0000000000000001E-3</v>
      </c>
      <c r="AX239">
        <v>7</v>
      </c>
      <c r="AY239" s="1">
        <v>13</v>
      </c>
      <c r="AZ239">
        <v>0</v>
      </c>
      <c r="BA239">
        <v>0</v>
      </c>
      <c r="BB239">
        <v>1</v>
      </c>
      <c r="BC239" s="7">
        <v>0.4</v>
      </c>
      <c r="BD239">
        <v>30</v>
      </c>
      <c r="BE239">
        <v>0</v>
      </c>
      <c r="BF239">
        <v>0</v>
      </c>
      <c r="BG239">
        <v>0</v>
      </c>
      <c r="BH239">
        <v>5</v>
      </c>
      <c r="BI239">
        <v>2.4</v>
      </c>
      <c r="BJ239">
        <v>31</v>
      </c>
      <c r="BK239">
        <v>0</v>
      </c>
      <c r="BL239">
        <v>0</v>
      </c>
      <c r="BM239">
        <v>0</v>
      </c>
      <c r="BN239">
        <v>5</v>
      </c>
      <c r="BO239">
        <v>2.4</v>
      </c>
      <c r="BP239">
        <v>36</v>
      </c>
      <c r="BQ239">
        <v>0</v>
      </c>
      <c r="BR239">
        <v>0</v>
      </c>
      <c r="BS239">
        <v>0</v>
      </c>
      <c r="BT239">
        <v>5</v>
      </c>
      <c r="BU239">
        <v>2.6</v>
      </c>
    </row>
    <row r="240" spans="1:73" x14ac:dyDescent="0.15">
      <c r="A240" s="11">
        <v>932</v>
      </c>
      <c r="B240">
        <v>7</v>
      </c>
      <c r="C240" s="1">
        <v>34</v>
      </c>
      <c r="D240">
        <v>0</v>
      </c>
      <c r="E240">
        <v>0</v>
      </c>
      <c r="F240">
        <v>1</v>
      </c>
      <c r="G240" s="7">
        <v>0.08</v>
      </c>
      <c r="H240">
        <v>12</v>
      </c>
      <c r="I240">
        <v>0</v>
      </c>
      <c r="J240">
        <v>0</v>
      </c>
      <c r="K240">
        <v>0</v>
      </c>
      <c r="L240">
        <v>1</v>
      </c>
      <c r="M240">
        <v>2</v>
      </c>
      <c r="N240" s="7">
        <v>9</v>
      </c>
      <c r="O240" s="7">
        <v>0</v>
      </c>
      <c r="P240" s="7">
        <v>0</v>
      </c>
      <c r="Q240" s="7">
        <v>0</v>
      </c>
      <c r="R240" s="7">
        <v>1</v>
      </c>
      <c r="S240" s="7">
        <v>3.5</v>
      </c>
      <c r="T240">
        <v>7</v>
      </c>
      <c r="U240" s="1">
        <v>30</v>
      </c>
      <c r="V240">
        <v>0</v>
      </c>
      <c r="W240">
        <v>0</v>
      </c>
      <c r="X240">
        <v>1</v>
      </c>
      <c r="Y240">
        <v>0.16</v>
      </c>
      <c r="Z240">
        <v>23</v>
      </c>
      <c r="AA240">
        <v>0</v>
      </c>
      <c r="AB240">
        <v>0</v>
      </c>
      <c r="AC240">
        <v>0</v>
      </c>
      <c r="AD240">
        <v>1</v>
      </c>
      <c r="AE240">
        <v>0.03</v>
      </c>
      <c r="AF240">
        <v>15</v>
      </c>
      <c r="AG240">
        <v>0</v>
      </c>
      <c r="AH240">
        <v>0</v>
      </c>
      <c r="AI240">
        <v>0</v>
      </c>
      <c r="AJ240">
        <v>1</v>
      </c>
      <c r="AK240">
        <v>0.01</v>
      </c>
      <c r="AL240">
        <v>16</v>
      </c>
      <c r="AM240">
        <v>0</v>
      </c>
      <c r="AN240">
        <v>0</v>
      </c>
      <c r="AO240">
        <v>0</v>
      </c>
      <c r="AP240">
        <v>1</v>
      </c>
      <c r="AQ240">
        <v>5.0000000000000001E-3</v>
      </c>
      <c r="AX240">
        <v>7</v>
      </c>
      <c r="AY240" s="1">
        <v>14</v>
      </c>
      <c r="AZ240">
        <v>0</v>
      </c>
      <c r="BA240">
        <v>0</v>
      </c>
      <c r="BB240">
        <v>1</v>
      </c>
      <c r="BC240" s="7">
        <v>0.4</v>
      </c>
      <c r="BD240">
        <v>30</v>
      </c>
      <c r="BE240">
        <v>0</v>
      </c>
      <c r="BF240">
        <v>0</v>
      </c>
      <c r="BG240">
        <v>0</v>
      </c>
      <c r="BH240">
        <v>5</v>
      </c>
      <c r="BI240">
        <v>2.4</v>
      </c>
      <c r="BJ240">
        <v>31</v>
      </c>
      <c r="BK240">
        <v>0</v>
      </c>
      <c r="BL240">
        <v>0</v>
      </c>
      <c r="BM240">
        <v>0</v>
      </c>
      <c r="BN240">
        <v>5</v>
      </c>
      <c r="BO240">
        <v>2.4</v>
      </c>
      <c r="BP240">
        <v>36</v>
      </c>
      <c r="BQ240">
        <v>0</v>
      </c>
      <c r="BR240">
        <v>0</v>
      </c>
      <c r="BS240">
        <v>0</v>
      </c>
      <c r="BT240">
        <v>5</v>
      </c>
      <c r="BU240">
        <v>2.6</v>
      </c>
    </row>
    <row r="241" spans="1:73" x14ac:dyDescent="0.15">
      <c r="A241" s="11">
        <v>933</v>
      </c>
      <c r="B241">
        <v>7</v>
      </c>
      <c r="C241" s="1">
        <v>35</v>
      </c>
      <c r="D241">
        <v>0</v>
      </c>
      <c r="E241">
        <v>0</v>
      </c>
      <c r="F241">
        <v>1</v>
      </c>
      <c r="G241" s="7">
        <v>0.08</v>
      </c>
      <c r="H241">
        <v>12</v>
      </c>
      <c r="I241">
        <v>0</v>
      </c>
      <c r="J241">
        <v>0</v>
      </c>
      <c r="K241">
        <v>0</v>
      </c>
      <c r="L241">
        <v>1</v>
      </c>
      <c r="M241">
        <v>2</v>
      </c>
      <c r="N241" s="7">
        <v>9</v>
      </c>
      <c r="O241" s="7">
        <v>0</v>
      </c>
      <c r="P241" s="7">
        <v>0</v>
      </c>
      <c r="Q241" s="7">
        <v>0</v>
      </c>
      <c r="R241" s="7">
        <v>1</v>
      </c>
      <c r="S241" s="7">
        <v>3.5</v>
      </c>
      <c r="T241">
        <v>7</v>
      </c>
      <c r="U241" s="1">
        <v>31</v>
      </c>
      <c r="V241">
        <v>0</v>
      </c>
      <c r="W241">
        <v>0</v>
      </c>
      <c r="X241">
        <v>1</v>
      </c>
      <c r="Y241">
        <v>0.16</v>
      </c>
      <c r="Z241">
        <v>23</v>
      </c>
      <c r="AA241">
        <v>0</v>
      </c>
      <c r="AB241">
        <v>0</v>
      </c>
      <c r="AC241">
        <v>0</v>
      </c>
      <c r="AD241">
        <v>1</v>
      </c>
      <c r="AE241">
        <v>0.03</v>
      </c>
      <c r="AF241">
        <v>15</v>
      </c>
      <c r="AG241">
        <v>0</v>
      </c>
      <c r="AH241">
        <v>0</v>
      </c>
      <c r="AI241">
        <v>0</v>
      </c>
      <c r="AJ241">
        <v>1</v>
      </c>
      <c r="AK241">
        <v>0.01</v>
      </c>
      <c r="AL241">
        <v>16</v>
      </c>
      <c r="AM241">
        <v>0</v>
      </c>
      <c r="AN241">
        <v>0</v>
      </c>
      <c r="AO241">
        <v>0</v>
      </c>
      <c r="AP241">
        <v>1</v>
      </c>
      <c r="AQ241">
        <v>5.0000000000000001E-3</v>
      </c>
      <c r="AX241">
        <v>7</v>
      </c>
      <c r="AY241" s="1">
        <v>15</v>
      </c>
      <c r="AZ241">
        <v>0</v>
      </c>
      <c r="BA241">
        <v>0</v>
      </c>
      <c r="BB241">
        <v>1</v>
      </c>
      <c r="BC241" s="7">
        <v>0.4</v>
      </c>
      <c r="BD241">
        <v>30</v>
      </c>
      <c r="BE241">
        <v>0</v>
      </c>
      <c r="BF241">
        <v>0</v>
      </c>
      <c r="BG241">
        <v>0</v>
      </c>
      <c r="BH241">
        <v>5</v>
      </c>
      <c r="BI241">
        <v>2.4</v>
      </c>
      <c r="BJ241">
        <v>31</v>
      </c>
      <c r="BK241">
        <v>0</v>
      </c>
      <c r="BL241">
        <v>0</v>
      </c>
      <c r="BM241">
        <v>0</v>
      </c>
      <c r="BN241">
        <v>5</v>
      </c>
      <c r="BO241">
        <v>2.4</v>
      </c>
      <c r="BP241">
        <v>36</v>
      </c>
      <c r="BQ241">
        <v>0</v>
      </c>
      <c r="BR241">
        <v>0</v>
      </c>
      <c r="BS241">
        <v>0</v>
      </c>
      <c r="BT241">
        <v>5</v>
      </c>
      <c r="BU241">
        <v>2.6</v>
      </c>
    </row>
    <row r="242" spans="1:73" x14ac:dyDescent="0.15">
      <c r="A242" s="11">
        <v>934</v>
      </c>
      <c r="B242">
        <v>7</v>
      </c>
      <c r="C242" s="1">
        <v>36</v>
      </c>
      <c r="D242">
        <v>0</v>
      </c>
      <c r="E242">
        <v>0</v>
      </c>
      <c r="F242">
        <v>1</v>
      </c>
      <c r="G242" s="7">
        <v>0.08</v>
      </c>
      <c r="H242">
        <v>12</v>
      </c>
      <c r="I242">
        <v>0</v>
      </c>
      <c r="J242">
        <v>0</v>
      </c>
      <c r="K242">
        <v>0</v>
      </c>
      <c r="L242">
        <v>1</v>
      </c>
      <c r="M242">
        <v>2</v>
      </c>
      <c r="N242" s="7">
        <v>9</v>
      </c>
      <c r="O242" s="7">
        <v>0</v>
      </c>
      <c r="P242" s="7">
        <v>0</v>
      </c>
      <c r="Q242" s="7">
        <v>0</v>
      </c>
      <c r="R242" s="7">
        <v>1</v>
      </c>
      <c r="S242" s="7">
        <v>3.5</v>
      </c>
      <c r="T242">
        <v>7</v>
      </c>
      <c r="U242" s="1">
        <v>32</v>
      </c>
      <c r="V242">
        <v>0</v>
      </c>
      <c r="W242">
        <v>0</v>
      </c>
      <c r="X242">
        <v>1</v>
      </c>
      <c r="Y242">
        <v>0.16</v>
      </c>
      <c r="Z242">
        <v>23</v>
      </c>
      <c r="AA242">
        <v>0</v>
      </c>
      <c r="AB242">
        <v>0</v>
      </c>
      <c r="AC242">
        <v>0</v>
      </c>
      <c r="AD242">
        <v>1</v>
      </c>
      <c r="AE242">
        <v>0.03</v>
      </c>
      <c r="AF242">
        <v>15</v>
      </c>
      <c r="AG242">
        <v>0</v>
      </c>
      <c r="AH242">
        <v>0</v>
      </c>
      <c r="AI242">
        <v>0</v>
      </c>
      <c r="AJ242">
        <v>1</v>
      </c>
      <c r="AK242">
        <v>0.01</v>
      </c>
      <c r="AL242">
        <v>16</v>
      </c>
      <c r="AM242">
        <v>0</v>
      </c>
      <c r="AN242">
        <v>0</v>
      </c>
      <c r="AO242">
        <v>0</v>
      </c>
      <c r="AP242">
        <v>1</v>
      </c>
      <c r="AQ242">
        <v>5.0000000000000001E-3</v>
      </c>
      <c r="AX242">
        <v>7</v>
      </c>
      <c r="AY242" s="1">
        <v>16</v>
      </c>
      <c r="AZ242">
        <v>0</v>
      </c>
      <c r="BA242">
        <v>0</v>
      </c>
      <c r="BB242">
        <v>1</v>
      </c>
      <c r="BC242" s="7">
        <v>0.4</v>
      </c>
      <c r="BD242">
        <v>30</v>
      </c>
      <c r="BE242">
        <v>0</v>
      </c>
      <c r="BF242">
        <v>0</v>
      </c>
      <c r="BG242">
        <v>0</v>
      </c>
      <c r="BH242">
        <v>5</v>
      </c>
      <c r="BI242">
        <v>2.4</v>
      </c>
      <c r="BJ242">
        <v>31</v>
      </c>
      <c r="BK242">
        <v>0</v>
      </c>
      <c r="BL242">
        <v>0</v>
      </c>
      <c r="BM242">
        <v>0</v>
      </c>
      <c r="BN242">
        <v>5</v>
      </c>
      <c r="BO242">
        <v>2.4</v>
      </c>
      <c r="BP242">
        <v>36</v>
      </c>
      <c r="BQ242">
        <v>0</v>
      </c>
      <c r="BR242">
        <v>0</v>
      </c>
      <c r="BS242">
        <v>0</v>
      </c>
      <c r="BT242">
        <v>5</v>
      </c>
      <c r="BU242">
        <v>2.6</v>
      </c>
    </row>
    <row r="243" spans="1:73" x14ac:dyDescent="0.15">
      <c r="A243" s="11">
        <v>935</v>
      </c>
      <c r="B243">
        <v>7</v>
      </c>
      <c r="C243" s="1">
        <v>0</v>
      </c>
      <c r="D243">
        <v>4</v>
      </c>
      <c r="E243">
        <v>3</v>
      </c>
      <c r="F243">
        <v>1</v>
      </c>
      <c r="G243" s="7">
        <v>0.08</v>
      </c>
      <c r="H243">
        <v>12</v>
      </c>
      <c r="I243">
        <v>0</v>
      </c>
      <c r="J243">
        <v>0</v>
      </c>
      <c r="K243">
        <v>0</v>
      </c>
      <c r="L243">
        <v>1</v>
      </c>
      <c r="M243">
        <v>2</v>
      </c>
      <c r="N243" s="7">
        <v>9</v>
      </c>
      <c r="O243" s="7">
        <v>0</v>
      </c>
      <c r="P243" s="7">
        <v>0</v>
      </c>
      <c r="Q243" s="7">
        <v>0</v>
      </c>
      <c r="R243" s="7">
        <v>1</v>
      </c>
      <c r="S243" s="7">
        <v>3.5</v>
      </c>
      <c r="T243">
        <v>7</v>
      </c>
      <c r="U243" s="1">
        <v>0</v>
      </c>
      <c r="V243">
        <v>4</v>
      </c>
      <c r="W243">
        <v>1</v>
      </c>
      <c r="X243">
        <v>1</v>
      </c>
      <c r="Y243">
        <v>0.16</v>
      </c>
      <c r="Z243">
        <v>23</v>
      </c>
      <c r="AA243">
        <v>0</v>
      </c>
      <c r="AB243">
        <v>0</v>
      </c>
      <c r="AC243">
        <v>0</v>
      </c>
      <c r="AD243">
        <v>1</v>
      </c>
      <c r="AE243">
        <v>0.03</v>
      </c>
      <c r="AF243">
        <v>15</v>
      </c>
      <c r="AG243">
        <v>0</v>
      </c>
      <c r="AH243">
        <v>0</v>
      </c>
      <c r="AI243">
        <v>0</v>
      </c>
      <c r="AJ243">
        <v>1</v>
      </c>
      <c r="AK243">
        <v>0.01</v>
      </c>
      <c r="AL243">
        <v>16</v>
      </c>
      <c r="AM243">
        <v>0</v>
      </c>
      <c r="AN243">
        <v>0</v>
      </c>
      <c r="AO243">
        <v>0</v>
      </c>
      <c r="AP243">
        <v>1</v>
      </c>
      <c r="AQ243">
        <v>5.0000000000000001E-3</v>
      </c>
      <c r="AR243">
        <v>6</v>
      </c>
      <c r="AS243">
        <v>2</v>
      </c>
      <c r="AT243">
        <v>3</v>
      </c>
      <c r="AU243">
        <v>5</v>
      </c>
      <c r="AV243">
        <v>1</v>
      </c>
      <c r="AW243">
        <v>0.05</v>
      </c>
      <c r="AX243">
        <v>7</v>
      </c>
      <c r="AY243" s="1">
        <v>0</v>
      </c>
      <c r="AZ243">
        <v>2</v>
      </c>
      <c r="BA243">
        <v>2</v>
      </c>
      <c r="BB243">
        <v>1</v>
      </c>
      <c r="BC243" s="7">
        <v>0.4</v>
      </c>
      <c r="BD243">
        <v>30</v>
      </c>
      <c r="BE243">
        <v>0</v>
      </c>
      <c r="BF243">
        <v>0</v>
      </c>
      <c r="BG243">
        <v>0</v>
      </c>
      <c r="BH243">
        <v>5</v>
      </c>
      <c r="BI243">
        <v>2.4</v>
      </c>
      <c r="BJ243">
        <v>31</v>
      </c>
      <c r="BK243">
        <v>0</v>
      </c>
      <c r="BL243">
        <v>0</v>
      </c>
      <c r="BM243">
        <v>0</v>
      </c>
      <c r="BN243">
        <v>5</v>
      </c>
      <c r="BO243">
        <v>2.4</v>
      </c>
      <c r="BP243">
        <v>36</v>
      </c>
      <c r="BQ243">
        <v>0</v>
      </c>
      <c r="BR243">
        <v>0</v>
      </c>
      <c r="BS243">
        <v>0</v>
      </c>
      <c r="BT243">
        <v>5</v>
      </c>
      <c r="BU243">
        <v>2.6</v>
      </c>
    </row>
    <row r="244" spans="1:73" x14ac:dyDescent="0.15">
      <c r="A244" s="11">
        <v>936</v>
      </c>
      <c r="B244">
        <v>7</v>
      </c>
      <c r="C244" s="1">
        <v>33</v>
      </c>
      <c r="D244">
        <v>0</v>
      </c>
      <c r="E244">
        <v>0</v>
      </c>
      <c r="F244">
        <v>1</v>
      </c>
      <c r="G244" s="7">
        <v>0.08</v>
      </c>
      <c r="H244">
        <v>12</v>
      </c>
      <c r="I244">
        <v>0</v>
      </c>
      <c r="J244">
        <v>0</v>
      </c>
      <c r="K244">
        <v>0</v>
      </c>
      <c r="L244">
        <v>1</v>
      </c>
      <c r="M244">
        <v>2</v>
      </c>
      <c r="N244" s="7">
        <v>9</v>
      </c>
      <c r="O244" s="7">
        <v>0</v>
      </c>
      <c r="P244" s="7">
        <v>0</v>
      </c>
      <c r="Q244" s="7">
        <v>0</v>
      </c>
      <c r="R244" s="7">
        <v>1</v>
      </c>
      <c r="S244" s="7">
        <v>3.5</v>
      </c>
      <c r="T244">
        <v>7</v>
      </c>
      <c r="U244" s="1">
        <v>29</v>
      </c>
      <c r="V244">
        <v>0</v>
      </c>
      <c r="W244">
        <v>0</v>
      </c>
      <c r="X244">
        <v>1</v>
      </c>
      <c r="Y244">
        <v>0.16</v>
      </c>
      <c r="Z244">
        <v>23</v>
      </c>
      <c r="AA244">
        <v>0</v>
      </c>
      <c r="AB244">
        <v>0</v>
      </c>
      <c r="AC244">
        <v>0</v>
      </c>
      <c r="AD244">
        <v>1</v>
      </c>
      <c r="AE244">
        <v>0.03</v>
      </c>
      <c r="AF244">
        <v>15</v>
      </c>
      <c r="AG244">
        <v>0</v>
      </c>
      <c r="AH244">
        <v>0</v>
      </c>
      <c r="AI244">
        <v>0</v>
      </c>
      <c r="AJ244">
        <v>1</v>
      </c>
      <c r="AK244">
        <v>0.01</v>
      </c>
      <c r="AL244">
        <v>16</v>
      </c>
      <c r="AM244">
        <v>0</v>
      </c>
      <c r="AN244">
        <v>0</v>
      </c>
      <c r="AO244">
        <v>0</v>
      </c>
      <c r="AP244">
        <v>1</v>
      </c>
      <c r="AQ244">
        <v>5.0000000000000001E-3</v>
      </c>
      <c r="AX244">
        <v>7</v>
      </c>
      <c r="AY244" s="1">
        <v>13</v>
      </c>
      <c r="AZ244">
        <v>0</v>
      </c>
      <c r="BA244">
        <v>0</v>
      </c>
      <c r="BB244">
        <v>1</v>
      </c>
      <c r="BC244" s="7">
        <v>0.4</v>
      </c>
      <c r="BD244">
        <v>30</v>
      </c>
      <c r="BE244">
        <v>0</v>
      </c>
      <c r="BF244">
        <v>0</v>
      </c>
      <c r="BG244">
        <v>0</v>
      </c>
      <c r="BH244">
        <v>5</v>
      </c>
      <c r="BI244">
        <v>2.4</v>
      </c>
      <c r="BJ244">
        <v>31</v>
      </c>
      <c r="BK244">
        <v>0</v>
      </c>
      <c r="BL244">
        <v>0</v>
      </c>
      <c r="BM244">
        <v>0</v>
      </c>
      <c r="BN244">
        <v>5</v>
      </c>
      <c r="BO244">
        <v>2.4</v>
      </c>
      <c r="BP244">
        <v>36</v>
      </c>
      <c r="BQ244">
        <v>0</v>
      </c>
      <c r="BR244">
        <v>0</v>
      </c>
      <c r="BS244">
        <v>0</v>
      </c>
      <c r="BT244">
        <v>5</v>
      </c>
      <c r="BU244">
        <v>2.6</v>
      </c>
    </row>
    <row r="245" spans="1:73" x14ac:dyDescent="0.15">
      <c r="A245" s="11">
        <v>937</v>
      </c>
      <c r="B245">
        <v>7</v>
      </c>
      <c r="C245" s="1">
        <v>34</v>
      </c>
      <c r="D245">
        <v>0</v>
      </c>
      <c r="E245">
        <v>0</v>
      </c>
      <c r="F245">
        <v>1</v>
      </c>
      <c r="G245" s="7">
        <v>0.08</v>
      </c>
      <c r="H245">
        <v>12</v>
      </c>
      <c r="I245">
        <v>0</v>
      </c>
      <c r="J245">
        <v>0</v>
      </c>
      <c r="K245">
        <v>0</v>
      </c>
      <c r="L245">
        <v>1</v>
      </c>
      <c r="M245">
        <v>2</v>
      </c>
      <c r="N245" s="7">
        <v>9</v>
      </c>
      <c r="O245" s="7">
        <v>0</v>
      </c>
      <c r="P245" s="7">
        <v>0</v>
      </c>
      <c r="Q245" s="7">
        <v>0</v>
      </c>
      <c r="R245" s="7">
        <v>1</v>
      </c>
      <c r="S245" s="7">
        <v>3.5</v>
      </c>
      <c r="T245">
        <v>7</v>
      </c>
      <c r="U245" s="1">
        <v>30</v>
      </c>
      <c r="V245">
        <v>0</v>
      </c>
      <c r="W245">
        <v>0</v>
      </c>
      <c r="X245">
        <v>1</v>
      </c>
      <c r="Y245">
        <v>0.16</v>
      </c>
      <c r="Z245">
        <v>23</v>
      </c>
      <c r="AA245">
        <v>0</v>
      </c>
      <c r="AB245">
        <v>0</v>
      </c>
      <c r="AC245">
        <v>0</v>
      </c>
      <c r="AD245">
        <v>1</v>
      </c>
      <c r="AE245">
        <v>0.03</v>
      </c>
      <c r="AF245">
        <v>15</v>
      </c>
      <c r="AG245">
        <v>0</v>
      </c>
      <c r="AH245">
        <v>0</v>
      </c>
      <c r="AI245">
        <v>0</v>
      </c>
      <c r="AJ245">
        <v>1</v>
      </c>
      <c r="AK245">
        <v>0.01</v>
      </c>
      <c r="AL245">
        <v>16</v>
      </c>
      <c r="AM245">
        <v>0</v>
      </c>
      <c r="AN245">
        <v>0</v>
      </c>
      <c r="AO245">
        <v>0</v>
      </c>
      <c r="AP245">
        <v>1</v>
      </c>
      <c r="AQ245">
        <v>5.0000000000000001E-3</v>
      </c>
      <c r="AX245">
        <v>7</v>
      </c>
      <c r="AY245" s="1">
        <v>14</v>
      </c>
      <c r="AZ245">
        <v>0</v>
      </c>
      <c r="BA245">
        <v>0</v>
      </c>
      <c r="BB245">
        <v>1</v>
      </c>
      <c r="BC245" s="7">
        <v>0.4</v>
      </c>
      <c r="BD245">
        <v>30</v>
      </c>
      <c r="BE245">
        <v>0</v>
      </c>
      <c r="BF245">
        <v>0</v>
      </c>
      <c r="BG245">
        <v>0</v>
      </c>
      <c r="BH245">
        <v>5</v>
      </c>
      <c r="BI245">
        <v>2.4</v>
      </c>
      <c r="BJ245">
        <v>31</v>
      </c>
      <c r="BK245">
        <v>0</v>
      </c>
      <c r="BL245">
        <v>0</v>
      </c>
      <c r="BM245">
        <v>0</v>
      </c>
      <c r="BN245">
        <v>5</v>
      </c>
      <c r="BO245">
        <v>2.4</v>
      </c>
      <c r="BP245">
        <v>36</v>
      </c>
      <c r="BQ245">
        <v>0</v>
      </c>
      <c r="BR245">
        <v>0</v>
      </c>
      <c r="BS245">
        <v>0</v>
      </c>
      <c r="BT245">
        <v>5</v>
      </c>
      <c r="BU245">
        <v>2.6</v>
      </c>
    </row>
    <row r="246" spans="1:73" x14ac:dyDescent="0.15">
      <c r="A246" s="11">
        <v>938</v>
      </c>
      <c r="B246">
        <v>7</v>
      </c>
      <c r="C246" s="1">
        <v>35</v>
      </c>
      <c r="D246">
        <v>0</v>
      </c>
      <c r="E246">
        <v>0</v>
      </c>
      <c r="F246">
        <v>1</v>
      </c>
      <c r="G246" s="7">
        <v>0.08</v>
      </c>
      <c r="H246">
        <v>12</v>
      </c>
      <c r="I246">
        <v>0</v>
      </c>
      <c r="J246">
        <v>0</v>
      </c>
      <c r="K246">
        <v>0</v>
      </c>
      <c r="L246">
        <v>1</v>
      </c>
      <c r="M246">
        <v>2</v>
      </c>
      <c r="N246" s="7">
        <v>9</v>
      </c>
      <c r="O246" s="7">
        <v>0</v>
      </c>
      <c r="P246" s="7">
        <v>0</v>
      </c>
      <c r="Q246" s="7">
        <v>0</v>
      </c>
      <c r="R246" s="7">
        <v>1</v>
      </c>
      <c r="S246" s="7">
        <v>3.5</v>
      </c>
      <c r="T246">
        <v>7</v>
      </c>
      <c r="U246" s="1">
        <v>31</v>
      </c>
      <c r="V246">
        <v>0</v>
      </c>
      <c r="W246">
        <v>0</v>
      </c>
      <c r="X246">
        <v>1</v>
      </c>
      <c r="Y246">
        <v>0.16</v>
      </c>
      <c r="Z246">
        <v>23</v>
      </c>
      <c r="AA246">
        <v>0</v>
      </c>
      <c r="AB246">
        <v>0</v>
      </c>
      <c r="AC246">
        <v>0</v>
      </c>
      <c r="AD246">
        <v>1</v>
      </c>
      <c r="AE246">
        <v>0.03</v>
      </c>
      <c r="AF246">
        <v>15</v>
      </c>
      <c r="AG246">
        <v>0</v>
      </c>
      <c r="AH246">
        <v>0</v>
      </c>
      <c r="AI246">
        <v>0</v>
      </c>
      <c r="AJ246">
        <v>1</v>
      </c>
      <c r="AK246">
        <v>0.01</v>
      </c>
      <c r="AL246">
        <v>16</v>
      </c>
      <c r="AM246">
        <v>0</v>
      </c>
      <c r="AN246">
        <v>0</v>
      </c>
      <c r="AO246">
        <v>0</v>
      </c>
      <c r="AP246">
        <v>1</v>
      </c>
      <c r="AQ246">
        <v>5.0000000000000001E-3</v>
      </c>
      <c r="AX246">
        <v>7</v>
      </c>
      <c r="AY246" s="1">
        <v>15</v>
      </c>
      <c r="AZ246">
        <v>0</v>
      </c>
      <c r="BA246">
        <v>0</v>
      </c>
      <c r="BB246">
        <v>1</v>
      </c>
      <c r="BC246" s="7">
        <v>0.4</v>
      </c>
      <c r="BD246">
        <v>30</v>
      </c>
      <c r="BE246">
        <v>0</v>
      </c>
      <c r="BF246">
        <v>0</v>
      </c>
      <c r="BG246">
        <v>0</v>
      </c>
      <c r="BH246">
        <v>5</v>
      </c>
      <c r="BI246">
        <v>2.4</v>
      </c>
      <c r="BJ246">
        <v>31</v>
      </c>
      <c r="BK246">
        <v>0</v>
      </c>
      <c r="BL246">
        <v>0</v>
      </c>
      <c r="BM246">
        <v>0</v>
      </c>
      <c r="BN246">
        <v>5</v>
      </c>
      <c r="BO246">
        <v>2.4</v>
      </c>
      <c r="BP246">
        <v>36</v>
      </c>
      <c r="BQ246">
        <v>0</v>
      </c>
      <c r="BR246">
        <v>0</v>
      </c>
      <c r="BS246">
        <v>0</v>
      </c>
      <c r="BT246">
        <v>5</v>
      </c>
      <c r="BU246">
        <v>2.6</v>
      </c>
    </row>
    <row r="247" spans="1:73" x14ac:dyDescent="0.15">
      <c r="A247" s="11">
        <v>939</v>
      </c>
      <c r="B247">
        <v>7</v>
      </c>
      <c r="C247" s="1">
        <v>36</v>
      </c>
      <c r="D247">
        <v>0</v>
      </c>
      <c r="E247">
        <v>0</v>
      </c>
      <c r="F247">
        <v>1</v>
      </c>
      <c r="G247" s="7">
        <v>0.08</v>
      </c>
      <c r="H247">
        <v>12</v>
      </c>
      <c r="I247">
        <v>0</v>
      </c>
      <c r="J247">
        <v>0</v>
      </c>
      <c r="K247">
        <v>0</v>
      </c>
      <c r="L247">
        <v>1</v>
      </c>
      <c r="M247">
        <v>2</v>
      </c>
      <c r="N247" s="7">
        <v>9</v>
      </c>
      <c r="O247" s="7">
        <v>0</v>
      </c>
      <c r="P247" s="7">
        <v>0</v>
      </c>
      <c r="Q247" s="7">
        <v>0</v>
      </c>
      <c r="R247" s="7">
        <v>1</v>
      </c>
      <c r="S247" s="7">
        <v>3.5</v>
      </c>
      <c r="T247">
        <v>7</v>
      </c>
      <c r="U247" s="1">
        <v>32</v>
      </c>
      <c r="V247">
        <v>0</v>
      </c>
      <c r="W247">
        <v>0</v>
      </c>
      <c r="X247">
        <v>1</v>
      </c>
      <c r="Y247">
        <v>0.16</v>
      </c>
      <c r="Z247">
        <v>23</v>
      </c>
      <c r="AA247">
        <v>0</v>
      </c>
      <c r="AB247">
        <v>0</v>
      </c>
      <c r="AC247">
        <v>0</v>
      </c>
      <c r="AD247">
        <v>1</v>
      </c>
      <c r="AE247">
        <v>0.03</v>
      </c>
      <c r="AF247">
        <v>15</v>
      </c>
      <c r="AG247">
        <v>0</v>
      </c>
      <c r="AH247">
        <v>0</v>
      </c>
      <c r="AI247">
        <v>0</v>
      </c>
      <c r="AJ247">
        <v>1</v>
      </c>
      <c r="AK247">
        <v>0.01</v>
      </c>
      <c r="AL247">
        <v>16</v>
      </c>
      <c r="AM247">
        <v>0</v>
      </c>
      <c r="AN247">
        <v>0</v>
      </c>
      <c r="AO247">
        <v>0</v>
      </c>
      <c r="AP247">
        <v>1</v>
      </c>
      <c r="AQ247">
        <v>5.0000000000000001E-3</v>
      </c>
      <c r="AX247">
        <v>7</v>
      </c>
      <c r="AY247" s="1">
        <v>16</v>
      </c>
      <c r="AZ247">
        <v>0</v>
      </c>
      <c r="BA247">
        <v>0</v>
      </c>
      <c r="BB247">
        <v>1</v>
      </c>
      <c r="BC247" s="7">
        <v>0.4</v>
      </c>
      <c r="BD247">
        <v>30</v>
      </c>
      <c r="BE247">
        <v>0</v>
      </c>
      <c r="BF247">
        <v>0</v>
      </c>
      <c r="BG247">
        <v>0</v>
      </c>
      <c r="BH247">
        <v>5</v>
      </c>
      <c r="BI247">
        <v>2.4</v>
      </c>
      <c r="BJ247">
        <v>31</v>
      </c>
      <c r="BK247">
        <v>0</v>
      </c>
      <c r="BL247">
        <v>0</v>
      </c>
      <c r="BM247">
        <v>0</v>
      </c>
      <c r="BN247">
        <v>5</v>
      </c>
      <c r="BO247">
        <v>2.4</v>
      </c>
      <c r="BP247">
        <v>36</v>
      </c>
      <c r="BQ247">
        <v>0</v>
      </c>
      <c r="BR247">
        <v>0</v>
      </c>
      <c r="BS247">
        <v>0</v>
      </c>
      <c r="BT247">
        <v>5</v>
      </c>
      <c r="BU247">
        <v>2.6</v>
      </c>
    </row>
    <row r="248" spans="1:73" x14ac:dyDescent="0.15">
      <c r="A248" s="11">
        <v>940</v>
      </c>
      <c r="B248">
        <v>7</v>
      </c>
      <c r="C248" s="1">
        <v>0</v>
      </c>
      <c r="D248">
        <v>4</v>
      </c>
      <c r="E248">
        <v>3</v>
      </c>
      <c r="F248">
        <v>1</v>
      </c>
      <c r="G248" s="7">
        <v>0.08</v>
      </c>
      <c r="H248">
        <v>12</v>
      </c>
      <c r="I248">
        <v>0</v>
      </c>
      <c r="J248">
        <v>0</v>
      </c>
      <c r="K248">
        <v>0</v>
      </c>
      <c r="L248">
        <v>1</v>
      </c>
      <c r="M248">
        <v>2</v>
      </c>
      <c r="N248" s="7">
        <v>9</v>
      </c>
      <c r="O248" s="7">
        <v>0</v>
      </c>
      <c r="P248" s="7">
        <v>0</v>
      </c>
      <c r="Q248" s="7">
        <v>0</v>
      </c>
      <c r="R248" s="7">
        <v>1</v>
      </c>
      <c r="S248" s="7">
        <v>3.5</v>
      </c>
      <c r="T248">
        <v>7</v>
      </c>
      <c r="U248" s="1">
        <v>0</v>
      </c>
      <c r="V248">
        <v>4</v>
      </c>
      <c r="W248">
        <v>1</v>
      </c>
      <c r="X248">
        <v>1</v>
      </c>
      <c r="Y248">
        <v>0.16</v>
      </c>
      <c r="Z248">
        <v>23</v>
      </c>
      <c r="AA248">
        <v>0</v>
      </c>
      <c r="AB248">
        <v>0</v>
      </c>
      <c r="AC248">
        <v>0</v>
      </c>
      <c r="AD248">
        <v>1</v>
      </c>
      <c r="AE248">
        <v>0.03</v>
      </c>
      <c r="AF248">
        <v>15</v>
      </c>
      <c r="AG248">
        <v>0</v>
      </c>
      <c r="AH248">
        <v>0</v>
      </c>
      <c r="AI248">
        <v>0</v>
      </c>
      <c r="AJ248">
        <v>1</v>
      </c>
      <c r="AK248">
        <v>0.01</v>
      </c>
      <c r="AL248">
        <v>16</v>
      </c>
      <c r="AM248">
        <v>0</v>
      </c>
      <c r="AN248">
        <v>0</v>
      </c>
      <c r="AO248">
        <v>0</v>
      </c>
      <c r="AP248">
        <v>1</v>
      </c>
      <c r="AQ248">
        <v>5.0000000000000001E-3</v>
      </c>
      <c r="AR248">
        <v>6</v>
      </c>
      <c r="AS248">
        <v>2</v>
      </c>
      <c r="AT248">
        <v>4</v>
      </c>
      <c r="AU248">
        <v>5</v>
      </c>
      <c r="AV248">
        <v>1</v>
      </c>
      <c r="AW248">
        <v>0.01</v>
      </c>
      <c r="AX248">
        <v>7</v>
      </c>
      <c r="AY248" s="1">
        <v>0</v>
      </c>
      <c r="AZ248">
        <v>2</v>
      </c>
      <c r="BA248">
        <v>2</v>
      </c>
      <c r="BB248">
        <v>1</v>
      </c>
      <c r="BC248" s="7">
        <v>0.4</v>
      </c>
      <c r="BD248">
        <v>30</v>
      </c>
      <c r="BE248">
        <v>0</v>
      </c>
      <c r="BF248">
        <v>0</v>
      </c>
      <c r="BG248">
        <v>0</v>
      </c>
      <c r="BH248">
        <v>5</v>
      </c>
      <c r="BI248">
        <v>2.4</v>
      </c>
      <c r="BJ248">
        <v>31</v>
      </c>
      <c r="BK248">
        <v>0</v>
      </c>
      <c r="BL248">
        <v>0</v>
      </c>
      <c r="BM248">
        <v>0</v>
      </c>
      <c r="BN248">
        <v>5</v>
      </c>
      <c r="BO248">
        <v>2.4</v>
      </c>
      <c r="BP248">
        <v>36</v>
      </c>
      <c r="BQ248">
        <v>0</v>
      </c>
      <c r="BR248">
        <v>0</v>
      </c>
      <c r="BS248">
        <v>0</v>
      </c>
      <c r="BT248">
        <v>5</v>
      </c>
      <c r="BU248">
        <v>2.6</v>
      </c>
    </row>
    <row r="249" spans="1:73" x14ac:dyDescent="0.15">
      <c r="A249" s="11">
        <v>941</v>
      </c>
      <c r="B249">
        <v>7</v>
      </c>
      <c r="C249" s="1">
        <v>33</v>
      </c>
      <c r="D249">
        <v>0</v>
      </c>
      <c r="E249">
        <v>0</v>
      </c>
      <c r="F249">
        <v>1</v>
      </c>
      <c r="G249" s="7">
        <v>0.08</v>
      </c>
      <c r="H249">
        <v>12</v>
      </c>
      <c r="I249">
        <v>0</v>
      </c>
      <c r="J249">
        <v>0</v>
      </c>
      <c r="K249">
        <v>0</v>
      </c>
      <c r="L249">
        <v>1</v>
      </c>
      <c r="M249">
        <v>2</v>
      </c>
      <c r="N249" s="7">
        <v>9</v>
      </c>
      <c r="O249" s="7">
        <v>0</v>
      </c>
      <c r="P249" s="7">
        <v>0</v>
      </c>
      <c r="Q249" s="7">
        <v>0</v>
      </c>
      <c r="R249" s="7">
        <v>1</v>
      </c>
      <c r="S249" s="7">
        <v>4</v>
      </c>
      <c r="T249">
        <v>7</v>
      </c>
      <c r="U249" s="1">
        <v>29</v>
      </c>
      <c r="V249">
        <v>0</v>
      </c>
      <c r="W249">
        <v>0</v>
      </c>
      <c r="X249">
        <v>1</v>
      </c>
      <c r="Y249">
        <v>0.16</v>
      </c>
      <c r="Z249">
        <v>23</v>
      </c>
      <c r="AA249">
        <v>0</v>
      </c>
      <c r="AB249">
        <v>0</v>
      </c>
      <c r="AC249">
        <v>0</v>
      </c>
      <c r="AD249">
        <v>1</v>
      </c>
      <c r="AE249">
        <v>0.03</v>
      </c>
      <c r="AF249">
        <v>15</v>
      </c>
      <c r="AG249">
        <v>0</v>
      </c>
      <c r="AH249">
        <v>0</v>
      </c>
      <c r="AI249">
        <v>0</v>
      </c>
      <c r="AJ249">
        <v>1</v>
      </c>
      <c r="AK249">
        <v>0.01</v>
      </c>
      <c r="AL249">
        <v>16</v>
      </c>
      <c r="AM249">
        <v>0</v>
      </c>
      <c r="AN249">
        <v>0</v>
      </c>
      <c r="AO249">
        <v>0</v>
      </c>
      <c r="AP249">
        <v>1</v>
      </c>
      <c r="AQ249">
        <v>5.0000000000000001E-3</v>
      </c>
      <c r="AX249">
        <v>7</v>
      </c>
      <c r="AY249" s="1">
        <v>13</v>
      </c>
      <c r="AZ249">
        <v>0</v>
      </c>
      <c r="BA249">
        <v>0</v>
      </c>
      <c r="BB249">
        <v>1</v>
      </c>
      <c r="BC249" s="7">
        <v>0.4</v>
      </c>
      <c r="BD249">
        <v>30</v>
      </c>
      <c r="BE249">
        <v>0</v>
      </c>
      <c r="BF249">
        <v>0</v>
      </c>
      <c r="BG249">
        <v>0</v>
      </c>
      <c r="BH249">
        <v>5</v>
      </c>
      <c r="BI249">
        <v>2.4</v>
      </c>
      <c r="BJ249">
        <v>31</v>
      </c>
      <c r="BK249">
        <v>0</v>
      </c>
      <c r="BL249">
        <v>0</v>
      </c>
      <c r="BM249">
        <v>0</v>
      </c>
      <c r="BN249">
        <v>5</v>
      </c>
      <c r="BO249">
        <v>2.4</v>
      </c>
      <c r="BP249">
        <v>36</v>
      </c>
      <c r="BQ249">
        <v>0</v>
      </c>
      <c r="BR249">
        <v>0</v>
      </c>
      <c r="BS249">
        <v>0</v>
      </c>
      <c r="BT249">
        <v>5</v>
      </c>
      <c r="BU249">
        <v>2.6</v>
      </c>
    </row>
    <row r="250" spans="1:73" x14ac:dyDescent="0.15">
      <c r="A250" s="11">
        <v>942</v>
      </c>
      <c r="B250">
        <v>7</v>
      </c>
      <c r="C250" s="1">
        <v>34</v>
      </c>
      <c r="D250">
        <v>0</v>
      </c>
      <c r="E250">
        <v>0</v>
      </c>
      <c r="F250">
        <v>1</v>
      </c>
      <c r="G250" s="7">
        <v>0.08</v>
      </c>
      <c r="H250">
        <v>12</v>
      </c>
      <c r="I250">
        <v>0</v>
      </c>
      <c r="J250">
        <v>0</v>
      </c>
      <c r="K250">
        <v>0</v>
      </c>
      <c r="L250">
        <v>1</v>
      </c>
      <c r="M250">
        <v>2</v>
      </c>
      <c r="N250" s="7">
        <v>9</v>
      </c>
      <c r="O250" s="7">
        <v>0</v>
      </c>
      <c r="P250" s="7">
        <v>0</v>
      </c>
      <c r="Q250" s="7">
        <v>0</v>
      </c>
      <c r="R250" s="7">
        <v>1</v>
      </c>
      <c r="S250" s="7">
        <v>4</v>
      </c>
      <c r="T250">
        <v>7</v>
      </c>
      <c r="U250" s="1">
        <v>30</v>
      </c>
      <c r="V250">
        <v>0</v>
      </c>
      <c r="W250">
        <v>0</v>
      </c>
      <c r="X250">
        <v>1</v>
      </c>
      <c r="Y250">
        <v>0.16</v>
      </c>
      <c r="Z250">
        <v>23</v>
      </c>
      <c r="AA250">
        <v>0</v>
      </c>
      <c r="AB250">
        <v>0</v>
      </c>
      <c r="AC250">
        <v>0</v>
      </c>
      <c r="AD250">
        <v>1</v>
      </c>
      <c r="AE250">
        <v>0.03</v>
      </c>
      <c r="AF250">
        <v>15</v>
      </c>
      <c r="AG250">
        <v>0</v>
      </c>
      <c r="AH250">
        <v>0</v>
      </c>
      <c r="AI250">
        <v>0</v>
      </c>
      <c r="AJ250">
        <v>1</v>
      </c>
      <c r="AK250">
        <v>0.01</v>
      </c>
      <c r="AL250">
        <v>16</v>
      </c>
      <c r="AM250">
        <v>0</v>
      </c>
      <c r="AN250">
        <v>0</v>
      </c>
      <c r="AO250">
        <v>0</v>
      </c>
      <c r="AP250">
        <v>1</v>
      </c>
      <c r="AQ250">
        <v>5.0000000000000001E-3</v>
      </c>
      <c r="AX250">
        <v>7</v>
      </c>
      <c r="AY250" s="1">
        <v>14</v>
      </c>
      <c r="AZ250">
        <v>0</v>
      </c>
      <c r="BA250">
        <v>0</v>
      </c>
      <c r="BB250">
        <v>1</v>
      </c>
      <c r="BC250" s="7">
        <v>0.4</v>
      </c>
      <c r="BD250">
        <v>30</v>
      </c>
      <c r="BE250">
        <v>0</v>
      </c>
      <c r="BF250">
        <v>0</v>
      </c>
      <c r="BG250">
        <v>0</v>
      </c>
      <c r="BH250">
        <v>5</v>
      </c>
      <c r="BI250">
        <v>2.4</v>
      </c>
      <c r="BJ250">
        <v>31</v>
      </c>
      <c r="BK250">
        <v>0</v>
      </c>
      <c r="BL250">
        <v>0</v>
      </c>
      <c r="BM250">
        <v>0</v>
      </c>
      <c r="BN250">
        <v>5</v>
      </c>
      <c r="BO250">
        <v>2.4</v>
      </c>
      <c r="BP250">
        <v>36</v>
      </c>
      <c r="BQ250">
        <v>0</v>
      </c>
      <c r="BR250">
        <v>0</v>
      </c>
      <c r="BS250">
        <v>0</v>
      </c>
      <c r="BT250">
        <v>5</v>
      </c>
      <c r="BU250">
        <v>2.6</v>
      </c>
    </row>
    <row r="251" spans="1:73" x14ac:dyDescent="0.15">
      <c r="A251" s="11">
        <v>943</v>
      </c>
      <c r="B251">
        <v>7</v>
      </c>
      <c r="C251" s="1">
        <v>35</v>
      </c>
      <c r="D251">
        <v>0</v>
      </c>
      <c r="E251">
        <v>0</v>
      </c>
      <c r="F251">
        <v>1</v>
      </c>
      <c r="G251" s="7">
        <v>0.08</v>
      </c>
      <c r="H251">
        <v>12</v>
      </c>
      <c r="I251">
        <v>0</v>
      </c>
      <c r="J251">
        <v>0</v>
      </c>
      <c r="K251">
        <v>0</v>
      </c>
      <c r="L251">
        <v>1</v>
      </c>
      <c r="M251">
        <v>2</v>
      </c>
      <c r="N251" s="7">
        <v>9</v>
      </c>
      <c r="O251" s="7">
        <v>0</v>
      </c>
      <c r="P251" s="7">
        <v>0</v>
      </c>
      <c r="Q251" s="7">
        <v>0</v>
      </c>
      <c r="R251" s="7">
        <v>1</v>
      </c>
      <c r="S251" s="7">
        <v>4</v>
      </c>
      <c r="T251">
        <v>7</v>
      </c>
      <c r="U251" s="1">
        <v>31</v>
      </c>
      <c r="V251">
        <v>0</v>
      </c>
      <c r="W251">
        <v>0</v>
      </c>
      <c r="X251">
        <v>1</v>
      </c>
      <c r="Y251">
        <v>0.16</v>
      </c>
      <c r="Z251">
        <v>23</v>
      </c>
      <c r="AA251">
        <v>0</v>
      </c>
      <c r="AB251">
        <v>0</v>
      </c>
      <c r="AC251">
        <v>0</v>
      </c>
      <c r="AD251">
        <v>1</v>
      </c>
      <c r="AE251">
        <v>0.03</v>
      </c>
      <c r="AF251">
        <v>15</v>
      </c>
      <c r="AG251">
        <v>0</v>
      </c>
      <c r="AH251">
        <v>0</v>
      </c>
      <c r="AI251">
        <v>0</v>
      </c>
      <c r="AJ251">
        <v>1</v>
      </c>
      <c r="AK251">
        <v>0.01</v>
      </c>
      <c r="AL251">
        <v>16</v>
      </c>
      <c r="AM251">
        <v>0</v>
      </c>
      <c r="AN251">
        <v>0</v>
      </c>
      <c r="AO251">
        <v>0</v>
      </c>
      <c r="AP251">
        <v>1</v>
      </c>
      <c r="AQ251">
        <v>5.0000000000000001E-3</v>
      </c>
      <c r="AX251">
        <v>7</v>
      </c>
      <c r="AY251" s="1">
        <v>15</v>
      </c>
      <c r="AZ251">
        <v>0</v>
      </c>
      <c r="BA251">
        <v>0</v>
      </c>
      <c r="BB251">
        <v>1</v>
      </c>
      <c r="BC251" s="7">
        <v>0.4</v>
      </c>
      <c r="BD251">
        <v>30</v>
      </c>
      <c r="BE251">
        <v>0</v>
      </c>
      <c r="BF251">
        <v>0</v>
      </c>
      <c r="BG251">
        <v>0</v>
      </c>
      <c r="BH251">
        <v>5</v>
      </c>
      <c r="BI251">
        <v>2.4</v>
      </c>
      <c r="BJ251">
        <v>31</v>
      </c>
      <c r="BK251">
        <v>0</v>
      </c>
      <c r="BL251">
        <v>0</v>
      </c>
      <c r="BM251">
        <v>0</v>
      </c>
      <c r="BN251">
        <v>5</v>
      </c>
      <c r="BO251">
        <v>2.4</v>
      </c>
      <c r="BP251">
        <v>36</v>
      </c>
      <c r="BQ251">
        <v>0</v>
      </c>
      <c r="BR251">
        <v>0</v>
      </c>
      <c r="BS251">
        <v>0</v>
      </c>
      <c r="BT251">
        <v>5</v>
      </c>
      <c r="BU251">
        <v>2.6</v>
      </c>
    </row>
    <row r="252" spans="1:73" x14ac:dyDescent="0.15">
      <c r="A252" s="11">
        <v>944</v>
      </c>
      <c r="B252">
        <v>7</v>
      </c>
      <c r="C252" s="1">
        <v>36</v>
      </c>
      <c r="D252">
        <v>0</v>
      </c>
      <c r="E252">
        <v>0</v>
      </c>
      <c r="F252">
        <v>1</v>
      </c>
      <c r="G252" s="7">
        <v>0.08</v>
      </c>
      <c r="H252">
        <v>12</v>
      </c>
      <c r="I252">
        <v>0</v>
      </c>
      <c r="J252">
        <v>0</v>
      </c>
      <c r="K252">
        <v>0</v>
      </c>
      <c r="L252">
        <v>1</v>
      </c>
      <c r="M252">
        <v>2</v>
      </c>
      <c r="N252" s="7">
        <v>9</v>
      </c>
      <c r="O252" s="7">
        <v>0</v>
      </c>
      <c r="P252" s="7">
        <v>0</v>
      </c>
      <c r="Q252" s="7">
        <v>0</v>
      </c>
      <c r="R252" s="7">
        <v>1</v>
      </c>
      <c r="S252" s="7">
        <v>4</v>
      </c>
      <c r="T252">
        <v>7</v>
      </c>
      <c r="U252" s="1">
        <v>32</v>
      </c>
      <c r="V252">
        <v>0</v>
      </c>
      <c r="W252">
        <v>0</v>
      </c>
      <c r="X252">
        <v>1</v>
      </c>
      <c r="Y252">
        <v>0.16</v>
      </c>
      <c r="Z252">
        <v>23</v>
      </c>
      <c r="AA252">
        <v>0</v>
      </c>
      <c r="AB252">
        <v>0</v>
      </c>
      <c r="AC252">
        <v>0</v>
      </c>
      <c r="AD252">
        <v>1</v>
      </c>
      <c r="AE252">
        <v>0.03</v>
      </c>
      <c r="AF252">
        <v>15</v>
      </c>
      <c r="AG252">
        <v>0</v>
      </c>
      <c r="AH252">
        <v>0</v>
      </c>
      <c r="AI252">
        <v>0</v>
      </c>
      <c r="AJ252">
        <v>1</v>
      </c>
      <c r="AK252">
        <v>0.01</v>
      </c>
      <c r="AL252">
        <v>16</v>
      </c>
      <c r="AM252">
        <v>0</v>
      </c>
      <c r="AN252">
        <v>0</v>
      </c>
      <c r="AO252">
        <v>0</v>
      </c>
      <c r="AP252">
        <v>1</v>
      </c>
      <c r="AQ252">
        <v>5.0000000000000001E-3</v>
      </c>
      <c r="AX252">
        <v>7</v>
      </c>
      <c r="AY252" s="1">
        <v>16</v>
      </c>
      <c r="AZ252">
        <v>0</v>
      </c>
      <c r="BA252">
        <v>0</v>
      </c>
      <c r="BB252">
        <v>1</v>
      </c>
      <c r="BC252" s="7">
        <v>0.4</v>
      </c>
      <c r="BD252">
        <v>30</v>
      </c>
      <c r="BE252">
        <v>0</v>
      </c>
      <c r="BF252">
        <v>0</v>
      </c>
      <c r="BG252">
        <v>0</v>
      </c>
      <c r="BH252">
        <v>5</v>
      </c>
      <c r="BI252">
        <v>2.4</v>
      </c>
      <c r="BJ252">
        <v>31</v>
      </c>
      <c r="BK252">
        <v>0</v>
      </c>
      <c r="BL252">
        <v>0</v>
      </c>
      <c r="BM252">
        <v>0</v>
      </c>
      <c r="BN252">
        <v>5</v>
      </c>
      <c r="BO252">
        <v>2.4</v>
      </c>
      <c r="BP252">
        <v>36</v>
      </c>
      <c r="BQ252">
        <v>0</v>
      </c>
      <c r="BR252">
        <v>0</v>
      </c>
      <c r="BS252">
        <v>0</v>
      </c>
      <c r="BT252">
        <v>5</v>
      </c>
      <c r="BU252">
        <v>2.6</v>
      </c>
    </row>
    <row r="253" spans="1:73" x14ac:dyDescent="0.15">
      <c r="A253" s="11">
        <v>945</v>
      </c>
      <c r="B253">
        <v>7</v>
      </c>
      <c r="C253" s="1">
        <v>0</v>
      </c>
      <c r="D253">
        <v>4</v>
      </c>
      <c r="E253">
        <v>3</v>
      </c>
      <c r="F253">
        <v>1</v>
      </c>
      <c r="G253" s="7">
        <v>0.08</v>
      </c>
      <c r="H253">
        <v>12</v>
      </c>
      <c r="I253">
        <v>0</v>
      </c>
      <c r="J253">
        <v>0</v>
      </c>
      <c r="K253">
        <v>0</v>
      </c>
      <c r="L253">
        <v>1</v>
      </c>
      <c r="M253">
        <v>2</v>
      </c>
      <c r="N253" s="7">
        <v>9</v>
      </c>
      <c r="O253" s="7">
        <v>0</v>
      </c>
      <c r="P253" s="7">
        <v>0</v>
      </c>
      <c r="Q253" s="7">
        <v>0</v>
      </c>
      <c r="R253" s="7">
        <v>1</v>
      </c>
      <c r="S253" s="7">
        <v>4</v>
      </c>
      <c r="T253">
        <v>7</v>
      </c>
      <c r="U253" s="1">
        <v>0</v>
      </c>
      <c r="V253">
        <v>4</v>
      </c>
      <c r="W253">
        <v>1</v>
      </c>
      <c r="X253">
        <v>1</v>
      </c>
      <c r="Y253">
        <v>0.16</v>
      </c>
      <c r="Z253">
        <v>23</v>
      </c>
      <c r="AA253">
        <v>0</v>
      </c>
      <c r="AB253">
        <v>0</v>
      </c>
      <c r="AC253">
        <v>0</v>
      </c>
      <c r="AD253">
        <v>1</v>
      </c>
      <c r="AE253">
        <v>0.03</v>
      </c>
      <c r="AF253">
        <v>15</v>
      </c>
      <c r="AG253">
        <v>0</v>
      </c>
      <c r="AH253">
        <v>0</v>
      </c>
      <c r="AI253">
        <v>0</v>
      </c>
      <c r="AJ253">
        <v>1</v>
      </c>
      <c r="AK253">
        <v>0.01</v>
      </c>
      <c r="AL253">
        <v>16</v>
      </c>
      <c r="AM253">
        <v>0</v>
      </c>
      <c r="AN253">
        <v>0</v>
      </c>
      <c r="AO253">
        <v>0</v>
      </c>
      <c r="AP253">
        <v>1</v>
      </c>
      <c r="AQ253">
        <v>5.0000000000000001E-3</v>
      </c>
      <c r="AR253">
        <v>6</v>
      </c>
      <c r="AS253">
        <v>2</v>
      </c>
      <c r="AT253">
        <v>5</v>
      </c>
      <c r="AU253">
        <v>5</v>
      </c>
      <c r="AV253">
        <v>1</v>
      </c>
      <c r="AW253">
        <v>0.01</v>
      </c>
      <c r="AX253">
        <v>7</v>
      </c>
      <c r="AY253" s="1">
        <v>0</v>
      </c>
      <c r="AZ253">
        <v>2</v>
      </c>
      <c r="BA253">
        <v>2</v>
      </c>
      <c r="BB253">
        <v>1</v>
      </c>
      <c r="BC253" s="7">
        <v>0.4</v>
      </c>
      <c r="BD253">
        <v>30</v>
      </c>
      <c r="BE253">
        <v>0</v>
      </c>
      <c r="BF253">
        <v>0</v>
      </c>
      <c r="BG253">
        <v>0</v>
      </c>
      <c r="BH253">
        <v>5</v>
      </c>
      <c r="BI253">
        <v>2.4</v>
      </c>
      <c r="BJ253">
        <v>31</v>
      </c>
      <c r="BK253">
        <v>0</v>
      </c>
      <c r="BL253">
        <v>0</v>
      </c>
      <c r="BM253">
        <v>0</v>
      </c>
      <c r="BN253">
        <v>5</v>
      </c>
      <c r="BO253">
        <v>2.4</v>
      </c>
      <c r="BP253">
        <v>36</v>
      </c>
      <c r="BQ253">
        <v>0</v>
      </c>
      <c r="BR253">
        <v>0</v>
      </c>
      <c r="BS253">
        <v>0</v>
      </c>
      <c r="BT253">
        <v>5</v>
      </c>
      <c r="BU253">
        <v>2.6</v>
      </c>
    </row>
    <row r="254" spans="1:73" x14ac:dyDescent="0.15">
      <c r="A254" s="11">
        <v>1001</v>
      </c>
      <c r="B254">
        <v>7</v>
      </c>
      <c r="C254" s="1">
        <v>33</v>
      </c>
      <c r="D254">
        <v>0</v>
      </c>
      <c r="E254">
        <v>0</v>
      </c>
      <c r="F254">
        <v>1</v>
      </c>
      <c r="G254" s="7">
        <v>0.08</v>
      </c>
      <c r="H254">
        <v>12</v>
      </c>
      <c r="I254">
        <v>0</v>
      </c>
      <c r="J254">
        <v>0</v>
      </c>
      <c r="K254">
        <v>0</v>
      </c>
      <c r="L254">
        <v>1</v>
      </c>
      <c r="M254">
        <v>2</v>
      </c>
      <c r="N254" s="7">
        <v>9</v>
      </c>
      <c r="O254" s="7">
        <v>0</v>
      </c>
      <c r="P254" s="7">
        <v>0</v>
      </c>
      <c r="Q254" s="7">
        <v>0</v>
      </c>
      <c r="R254" s="7">
        <v>1</v>
      </c>
      <c r="S254" s="7">
        <v>4</v>
      </c>
      <c r="T254">
        <v>7</v>
      </c>
      <c r="U254" s="1">
        <v>29</v>
      </c>
      <c r="V254">
        <v>0</v>
      </c>
      <c r="W254">
        <v>0</v>
      </c>
      <c r="X254">
        <v>1</v>
      </c>
      <c r="Y254">
        <v>0.16</v>
      </c>
      <c r="Z254">
        <v>23</v>
      </c>
      <c r="AA254">
        <v>0</v>
      </c>
      <c r="AB254">
        <v>0</v>
      </c>
      <c r="AC254">
        <v>0</v>
      </c>
      <c r="AD254">
        <v>1</v>
      </c>
      <c r="AE254">
        <v>0.03</v>
      </c>
      <c r="AF254">
        <v>15</v>
      </c>
      <c r="AG254">
        <v>0</v>
      </c>
      <c r="AH254">
        <v>0</v>
      </c>
      <c r="AI254">
        <v>0</v>
      </c>
      <c r="AJ254">
        <v>1</v>
      </c>
      <c r="AK254">
        <v>0.01</v>
      </c>
      <c r="AL254">
        <v>16</v>
      </c>
      <c r="AM254">
        <v>0</v>
      </c>
      <c r="AN254">
        <v>0</v>
      </c>
      <c r="AO254">
        <v>0</v>
      </c>
      <c r="AP254">
        <v>1</v>
      </c>
      <c r="AQ254">
        <v>5.0000000000000001E-3</v>
      </c>
      <c r="AX254">
        <v>7</v>
      </c>
      <c r="AY254" s="1">
        <v>13</v>
      </c>
      <c r="AZ254">
        <v>0</v>
      </c>
      <c r="BA254">
        <v>0</v>
      </c>
      <c r="BB254">
        <v>1</v>
      </c>
      <c r="BC254" s="7">
        <v>0.4</v>
      </c>
      <c r="BD254">
        <v>30</v>
      </c>
      <c r="BE254">
        <v>0</v>
      </c>
      <c r="BF254">
        <v>0</v>
      </c>
      <c r="BG254">
        <v>0</v>
      </c>
      <c r="BH254">
        <v>5</v>
      </c>
      <c r="BI254">
        <v>2.4</v>
      </c>
      <c r="BJ254">
        <v>31</v>
      </c>
      <c r="BK254">
        <v>0</v>
      </c>
      <c r="BL254">
        <v>0</v>
      </c>
      <c r="BM254">
        <v>0</v>
      </c>
      <c r="BN254">
        <v>5</v>
      </c>
      <c r="BO254">
        <v>2.4</v>
      </c>
      <c r="BP254">
        <v>36</v>
      </c>
      <c r="BQ254">
        <v>0</v>
      </c>
      <c r="BR254">
        <v>0</v>
      </c>
      <c r="BS254">
        <v>0</v>
      </c>
      <c r="BT254">
        <v>5</v>
      </c>
      <c r="BU254">
        <v>2.2999999999999998</v>
      </c>
    </row>
    <row r="255" spans="1:73" x14ac:dyDescent="0.15">
      <c r="A255" s="11">
        <v>1002</v>
      </c>
      <c r="B255">
        <v>7</v>
      </c>
      <c r="C255" s="1">
        <v>34</v>
      </c>
      <c r="D255">
        <v>0</v>
      </c>
      <c r="E255">
        <v>0</v>
      </c>
      <c r="F255">
        <v>1</v>
      </c>
      <c r="G255" s="7">
        <v>0.08</v>
      </c>
      <c r="H255">
        <v>12</v>
      </c>
      <c r="I255">
        <v>0</v>
      </c>
      <c r="J255">
        <v>0</v>
      </c>
      <c r="K255">
        <v>0</v>
      </c>
      <c r="L255">
        <v>1</v>
      </c>
      <c r="M255">
        <v>2</v>
      </c>
      <c r="N255" s="7">
        <v>9</v>
      </c>
      <c r="O255" s="7">
        <v>0</v>
      </c>
      <c r="P255" s="7">
        <v>0</v>
      </c>
      <c r="Q255" s="7">
        <v>0</v>
      </c>
      <c r="R255" s="7">
        <v>1</v>
      </c>
      <c r="S255" s="7">
        <v>4</v>
      </c>
      <c r="T255">
        <v>7</v>
      </c>
      <c r="U255" s="1">
        <v>30</v>
      </c>
      <c r="V255">
        <v>0</v>
      </c>
      <c r="W255">
        <v>0</v>
      </c>
      <c r="X255">
        <v>1</v>
      </c>
      <c r="Y255">
        <v>0.16</v>
      </c>
      <c r="Z255">
        <v>23</v>
      </c>
      <c r="AA255">
        <v>0</v>
      </c>
      <c r="AB255">
        <v>0</v>
      </c>
      <c r="AC255">
        <v>0</v>
      </c>
      <c r="AD255">
        <v>1</v>
      </c>
      <c r="AE255">
        <v>0.03</v>
      </c>
      <c r="AF255">
        <v>15</v>
      </c>
      <c r="AG255">
        <v>0</v>
      </c>
      <c r="AH255">
        <v>0</v>
      </c>
      <c r="AI255">
        <v>0</v>
      </c>
      <c r="AJ255">
        <v>1</v>
      </c>
      <c r="AK255">
        <v>0.01</v>
      </c>
      <c r="AL255">
        <v>16</v>
      </c>
      <c r="AM255">
        <v>0</v>
      </c>
      <c r="AN255">
        <v>0</v>
      </c>
      <c r="AO255">
        <v>0</v>
      </c>
      <c r="AP255">
        <v>1</v>
      </c>
      <c r="AQ255">
        <v>5.0000000000000001E-3</v>
      </c>
      <c r="AX255">
        <v>7</v>
      </c>
      <c r="AY255" s="1">
        <v>14</v>
      </c>
      <c r="AZ255">
        <v>0</v>
      </c>
      <c r="BA255">
        <v>0</v>
      </c>
      <c r="BB255">
        <v>1</v>
      </c>
      <c r="BC255" s="7">
        <v>0.4</v>
      </c>
      <c r="BD255">
        <v>30</v>
      </c>
      <c r="BE255">
        <v>0</v>
      </c>
      <c r="BF255">
        <v>0</v>
      </c>
      <c r="BG255">
        <v>0</v>
      </c>
      <c r="BH255">
        <v>5</v>
      </c>
      <c r="BI255">
        <v>2.4</v>
      </c>
      <c r="BJ255">
        <v>31</v>
      </c>
      <c r="BK255">
        <v>0</v>
      </c>
      <c r="BL255">
        <v>0</v>
      </c>
      <c r="BM255">
        <v>0</v>
      </c>
      <c r="BN255">
        <v>5</v>
      </c>
      <c r="BO255">
        <v>2.4</v>
      </c>
      <c r="BP255">
        <v>36</v>
      </c>
      <c r="BQ255">
        <v>0</v>
      </c>
      <c r="BR255">
        <v>0</v>
      </c>
      <c r="BS255">
        <v>0</v>
      </c>
      <c r="BT255">
        <v>5</v>
      </c>
      <c r="BU255">
        <v>2.2999999999999998</v>
      </c>
    </row>
    <row r="256" spans="1:73" x14ac:dyDescent="0.15">
      <c r="A256" s="11">
        <v>1003</v>
      </c>
      <c r="B256">
        <v>7</v>
      </c>
      <c r="C256" s="1">
        <v>35</v>
      </c>
      <c r="D256">
        <v>0</v>
      </c>
      <c r="E256">
        <v>0</v>
      </c>
      <c r="F256">
        <v>1</v>
      </c>
      <c r="G256" s="7">
        <v>0.08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2</v>
      </c>
      <c r="N256" s="7">
        <v>9</v>
      </c>
      <c r="O256" s="7">
        <v>0</v>
      </c>
      <c r="P256" s="7">
        <v>0</v>
      </c>
      <c r="Q256" s="7">
        <v>0</v>
      </c>
      <c r="R256" s="7">
        <v>1</v>
      </c>
      <c r="S256" s="7">
        <v>4</v>
      </c>
      <c r="T256">
        <v>7</v>
      </c>
      <c r="U256" s="1">
        <v>31</v>
      </c>
      <c r="V256">
        <v>0</v>
      </c>
      <c r="W256">
        <v>0</v>
      </c>
      <c r="X256">
        <v>1</v>
      </c>
      <c r="Y256">
        <v>0.16</v>
      </c>
      <c r="Z256">
        <v>23</v>
      </c>
      <c r="AA256">
        <v>0</v>
      </c>
      <c r="AB256">
        <v>0</v>
      </c>
      <c r="AC256">
        <v>0</v>
      </c>
      <c r="AD256">
        <v>1</v>
      </c>
      <c r="AE256">
        <v>0.03</v>
      </c>
      <c r="AF256">
        <v>15</v>
      </c>
      <c r="AG256">
        <v>0</v>
      </c>
      <c r="AH256">
        <v>0</v>
      </c>
      <c r="AI256">
        <v>0</v>
      </c>
      <c r="AJ256">
        <v>1</v>
      </c>
      <c r="AK256">
        <v>0.01</v>
      </c>
      <c r="AL256">
        <v>16</v>
      </c>
      <c r="AM256">
        <v>0</v>
      </c>
      <c r="AN256">
        <v>0</v>
      </c>
      <c r="AO256">
        <v>0</v>
      </c>
      <c r="AP256">
        <v>1</v>
      </c>
      <c r="AQ256">
        <v>5.0000000000000001E-3</v>
      </c>
      <c r="AX256">
        <v>7</v>
      </c>
      <c r="AY256" s="1">
        <v>15</v>
      </c>
      <c r="AZ256">
        <v>0</v>
      </c>
      <c r="BA256">
        <v>0</v>
      </c>
      <c r="BB256">
        <v>1</v>
      </c>
      <c r="BC256" s="7">
        <v>0.4</v>
      </c>
      <c r="BD256">
        <v>30</v>
      </c>
      <c r="BE256">
        <v>0</v>
      </c>
      <c r="BF256">
        <v>0</v>
      </c>
      <c r="BG256">
        <v>0</v>
      </c>
      <c r="BH256">
        <v>5</v>
      </c>
      <c r="BI256">
        <v>2.4</v>
      </c>
      <c r="BJ256">
        <v>31</v>
      </c>
      <c r="BK256">
        <v>0</v>
      </c>
      <c r="BL256">
        <v>0</v>
      </c>
      <c r="BM256">
        <v>0</v>
      </c>
      <c r="BN256">
        <v>5</v>
      </c>
      <c r="BO256">
        <v>2.4</v>
      </c>
      <c r="BP256">
        <v>36</v>
      </c>
      <c r="BQ256">
        <v>0</v>
      </c>
      <c r="BR256">
        <v>0</v>
      </c>
      <c r="BS256">
        <v>0</v>
      </c>
      <c r="BT256">
        <v>5</v>
      </c>
      <c r="BU256">
        <v>2.2999999999999998</v>
      </c>
    </row>
    <row r="257" spans="1:73" x14ac:dyDescent="0.15">
      <c r="A257" s="11">
        <v>1004</v>
      </c>
      <c r="B257">
        <v>7</v>
      </c>
      <c r="C257" s="1">
        <v>36</v>
      </c>
      <c r="D257">
        <v>0</v>
      </c>
      <c r="E257">
        <v>0</v>
      </c>
      <c r="F257">
        <v>1</v>
      </c>
      <c r="G257" s="7">
        <v>0.08</v>
      </c>
      <c r="H257">
        <v>12</v>
      </c>
      <c r="I257">
        <v>0</v>
      </c>
      <c r="J257">
        <v>0</v>
      </c>
      <c r="K257">
        <v>0</v>
      </c>
      <c r="L257">
        <v>1</v>
      </c>
      <c r="M257">
        <v>2</v>
      </c>
      <c r="N257" s="7">
        <v>9</v>
      </c>
      <c r="O257" s="7">
        <v>0</v>
      </c>
      <c r="P257" s="7">
        <v>0</v>
      </c>
      <c r="Q257" s="7">
        <v>0</v>
      </c>
      <c r="R257" s="7">
        <v>1</v>
      </c>
      <c r="S257" s="7">
        <v>4</v>
      </c>
      <c r="T257">
        <v>7</v>
      </c>
      <c r="U257" s="1">
        <v>32</v>
      </c>
      <c r="V257">
        <v>0</v>
      </c>
      <c r="W257">
        <v>0</v>
      </c>
      <c r="X257">
        <v>1</v>
      </c>
      <c r="Y257">
        <v>0.16</v>
      </c>
      <c r="Z257">
        <v>23</v>
      </c>
      <c r="AA257">
        <v>0</v>
      </c>
      <c r="AB257">
        <v>0</v>
      </c>
      <c r="AC257">
        <v>0</v>
      </c>
      <c r="AD257">
        <v>1</v>
      </c>
      <c r="AE257">
        <v>0.03</v>
      </c>
      <c r="AF257">
        <v>15</v>
      </c>
      <c r="AG257">
        <v>0</v>
      </c>
      <c r="AH257">
        <v>0</v>
      </c>
      <c r="AI257">
        <v>0</v>
      </c>
      <c r="AJ257">
        <v>1</v>
      </c>
      <c r="AK257">
        <v>0.01</v>
      </c>
      <c r="AL257">
        <v>16</v>
      </c>
      <c r="AM257">
        <v>0</v>
      </c>
      <c r="AN257">
        <v>0</v>
      </c>
      <c r="AO257">
        <v>0</v>
      </c>
      <c r="AP257">
        <v>1</v>
      </c>
      <c r="AQ257">
        <v>5.0000000000000001E-3</v>
      </c>
      <c r="AX257">
        <v>7</v>
      </c>
      <c r="AY257" s="1">
        <v>16</v>
      </c>
      <c r="AZ257">
        <v>0</v>
      </c>
      <c r="BA257">
        <v>0</v>
      </c>
      <c r="BB257">
        <v>1</v>
      </c>
      <c r="BC257" s="7">
        <v>0.4</v>
      </c>
      <c r="BD257">
        <v>30</v>
      </c>
      <c r="BE257">
        <v>0</v>
      </c>
      <c r="BF257">
        <v>0</v>
      </c>
      <c r="BG257">
        <v>0</v>
      </c>
      <c r="BH257">
        <v>5</v>
      </c>
      <c r="BI257">
        <v>2.4</v>
      </c>
      <c r="BJ257">
        <v>31</v>
      </c>
      <c r="BK257">
        <v>0</v>
      </c>
      <c r="BL257">
        <v>0</v>
      </c>
      <c r="BM257">
        <v>0</v>
      </c>
      <c r="BN257">
        <v>5</v>
      </c>
      <c r="BO257">
        <v>2.4</v>
      </c>
      <c r="BP257">
        <v>36</v>
      </c>
      <c r="BQ257">
        <v>0</v>
      </c>
      <c r="BR257">
        <v>0</v>
      </c>
      <c r="BS257">
        <v>0</v>
      </c>
      <c r="BT257">
        <v>5</v>
      </c>
      <c r="BU257">
        <v>2.2999999999999998</v>
      </c>
    </row>
    <row r="258" spans="1:73" x14ac:dyDescent="0.15">
      <c r="A258" s="11">
        <v>1005</v>
      </c>
      <c r="B258">
        <v>7</v>
      </c>
      <c r="C258" s="1">
        <v>0</v>
      </c>
      <c r="D258">
        <v>4</v>
      </c>
      <c r="E258">
        <v>3</v>
      </c>
      <c r="F258">
        <v>1</v>
      </c>
      <c r="G258" s="7">
        <v>0.08</v>
      </c>
      <c r="H258">
        <v>12</v>
      </c>
      <c r="I258">
        <v>0</v>
      </c>
      <c r="J258">
        <v>0</v>
      </c>
      <c r="K258">
        <v>0</v>
      </c>
      <c r="L258">
        <v>1</v>
      </c>
      <c r="M258">
        <v>2</v>
      </c>
      <c r="N258" s="7">
        <v>9</v>
      </c>
      <c r="O258" s="7">
        <v>0</v>
      </c>
      <c r="P258" s="7">
        <v>0</v>
      </c>
      <c r="Q258" s="7">
        <v>0</v>
      </c>
      <c r="R258" s="7">
        <v>1</v>
      </c>
      <c r="S258" s="7">
        <v>4</v>
      </c>
      <c r="T258">
        <v>7</v>
      </c>
      <c r="U258" s="1">
        <v>0</v>
      </c>
      <c r="V258">
        <v>4</v>
      </c>
      <c r="W258">
        <v>1</v>
      </c>
      <c r="X258">
        <v>1</v>
      </c>
      <c r="Y258">
        <v>0.16</v>
      </c>
      <c r="Z258">
        <v>23</v>
      </c>
      <c r="AA258">
        <v>0</v>
      </c>
      <c r="AB258">
        <v>0</v>
      </c>
      <c r="AC258">
        <v>0</v>
      </c>
      <c r="AD258">
        <v>1</v>
      </c>
      <c r="AE258">
        <v>0.03</v>
      </c>
      <c r="AF258">
        <v>15</v>
      </c>
      <c r="AG258">
        <v>0</v>
      </c>
      <c r="AH258">
        <v>0</v>
      </c>
      <c r="AI258">
        <v>0</v>
      </c>
      <c r="AJ258">
        <v>1</v>
      </c>
      <c r="AK258">
        <v>0.01</v>
      </c>
      <c r="AL258">
        <v>16</v>
      </c>
      <c r="AM258">
        <v>0</v>
      </c>
      <c r="AN258">
        <v>0</v>
      </c>
      <c r="AO258">
        <v>0</v>
      </c>
      <c r="AP258">
        <v>1</v>
      </c>
      <c r="AQ258">
        <v>5.0000000000000001E-3</v>
      </c>
      <c r="AR258">
        <v>6</v>
      </c>
      <c r="AS258">
        <v>2</v>
      </c>
      <c r="AT258">
        <v>1</v>
      </c>
      <c r="AU258">
        <v>5</v>
      </c>
      <c r="AV258">
        <v>1</v>
      </c>
      <c r="AW258">
        <v>0.05</v>
      </c>
      <c r="AX258">
        <v>7</v>
      </c>
      <c r="AY258" s="1">
        <v>0</v>
      </c>
      <c r="AZ258">
        <v>2</v>
      </c>
      <c r="BA258">
        <v>2</v>
      </c>
      <c r="BB258">
        <v>1</v>
      </c>
      <c r="BC258" s="7">
        <v>0.4</v>
      </c>
      <c r="BD258">
        <v>30</v>
      </c>
      <c r="BE258">
        <v>0</v>
      </c>
      <c r="BF258">
        <v>0</v>
      </c>
      <c r="BG258">
        <v>0</v>
      </c>
      <c r="BH258">
        <v>5</v>
      </c>
      <c r="BI258">
        <v>2.4</v>
      </c>
      <c r="BJ258">
        <v>31</v>
      </c>
      <c r="BK258">
        <v>0</v>
      </c>
      <c r="BL258">
        <v>0</v>
      </c>
      <c r="BM258">
        <v>0</v>
      </c>
      <c r="BN258">
        <v>5</v>
      </c>
      <c r="BO258">
        <v>2.4</v>
      </c>
      <c r="BP258">
        <v>36</v>
      </c>
      <c r="BQ258">
        <v>0</v>
      </c>
      <c r="BR258">
        <v>0</v>
      </c>
      <c r="BS258">
        <v>0</v>
      </c>
      <c r="BT258">
        <v>5</v>
      </c>
      <c r="BU258">
        <v>2.2999999999999998</v>
      </c>
    </row>
    <row r="259" spans="1:73" x14ac:dyDescent="0.15">
      <c r="A259" s="11">
        <v>1006</v>
      </c>
      <c r="B259">
        <v>7</v>
      </c>
      <c r="C259" s="1">
        <v>33</v>
      </c>
      <c r="D259">
        <v>0</v>
      </c>
      <c r="E259">
        <v>0</v>
      </c>
      <c r="F259">
        <v>1</v>
      </c>
      <c r="G259" s="7">
        <v>0.08</v>
      </c>
      <c r="H259">
        <v>12</v>
      </c>
      <c r="I259">
        <v>0</v>
      </c>
      <c r="J259">
        <v>0</v>
      </c>
      <c r="K259">
        <v>0</v>
      </c>
      <c r="L259">
        <v>1</v>
      </c>
      <c r="M259">
        <v>2</v>
      </c>
      <c r="N259" s="7">
        <v>9</v>
      </c>
      <c r="O259" s="7">
        <v>0</v>
      </c>
      <c r="P259" s="7">
        <v>0</v>
      </c>
      <c r="Q259" s="7">
        <v>0</v>
      </c>
      <c r="R259" s="7">
        <v>1</v>
      </c>
      <c r="S259" s="7">
        <v>4</v>
      </c>
      <c r="T259">
        <v>7</v>
      </c>
      <c r="U259" s="1">
        <v>29</v>
      </c>
      <c r="V259">
        <v>0</v>
      </c>
      <c r="W259">
        <v>0</v>
      </c>
      <c r="X259">
        <v>1</v>
      </c>
      <c r="Y259">
        <v>0.16</v>
      </c>
      <c r="Z259">
        <v>23</v>
      </c>
      <c r="AA259">
        <v>0</v>
      </c>
      <c r="AB259">
        <v>0</v>
      </c>
      <c r="AC259">
        <v>0</v>
      </c>
      <c r="AD259">
        <v>1</v>
      </c>
      <c r="AE259">
        <v>0.03</v>
      </c>
      <c r="AF259">
        <v>15</v>
      </c>
      <c r="AG259">
        <v>0</v>
      </c>
      <c r="AH259">
        <v>0</v>
      </c>
      <c r="AI259">
        <v>0</v>
      </c>
      <c r="AJ259">
        <v>1</v>
      </c>
      <c r="AK259">
        <v>0.01</v>
      </c>
      <c r="AL259">
        <v>16</v>
      </c>
      <c r="AM259">
        <v>0</v>
      </c>
      <c r="AN259">
        <v>0</v>
      </c>
      <c r="AO259">
        <v>0</v>
      </c>
      <c r="AP259">
        <v>1</v>
      </c>
      <c r="AQ259">
        <v>5.0000000000000001E-3</v>
      </c>
      <c r="AX259">
        <v>7</v>
      </c>
      <c r="AY259" s="1">
        <v>13</v>
      </c>
      <c r="AZ259">
        <v>0</v>
      </c>
      <c r="BA259">
        <v>0</v>
      </c>
      <c r="BB259">
        <v>1</v>
      </c>
      <c r="BC259" s="7">
        <v>0.4</v>
      </c>
      <c r="BD259">
        <v>30</v>
      </c>
      <c r="BE259">
        <v>0</v>
      </c>
      <c r="BF259">
        <v>0</v>
      </c>
      <c r="BG259">
        <v>0</v>
      </c>
      <c r="BH259">
        <v>5</v>
      </c>
      <c r="BI259">
        <v>2.4</v>
      </c>
      <c r="BJ259">
        <v>31</v>
      </c>
      <c r="BK259">
        <v>0</v>
      </c>
      <c r="BL259">
        <v>0</v>
      </c>
      <c r="BM259">
        <v>0</v>
      </c>
      <c r="BN259">
        <v>5</v>
      </c>
      <c r="BO259">
        <v>2.4</v>
      </c>
      <c r="BP259">
        <v>36</v>
      </c>
      <c r="BQ259">
        <v>0</v>
      </c>
      <c r="BR259">
        <v>0</v>
      </c>
      <c r="BS259">
        <v>0</v>
      </c>
      <c r="BT259">
        <v>5</v>
      </c>
      <c r="BU259">
        <v>2.2999999999999998</v>
      </c>
    </row>
    <row r="260" spans="1:73" x14ac:dyDescent="0.15">
      <c r="A260" s="11">
        <v>1007</v>
      </c>
      <c r="B260">
        <v>7</v>
      </c>
      <c r="C260" s="1">
        <v>34</v>
      </c>
      <c r="D260">
        <v>0</v>
      </c>
      <c r="E260">
        <v>0</v>
      </c>
      <c r="F260">
        <v>1</v>
      </c>
      <c r="G260" s="7">
        <v>0.08</v>
      </c>
      <c r="H260">
        <v>12</v>
      </c>
      <c r="I260">
        <v>0</v>
      </c>
      <c r="J260">
        <v>0</v>
      </c>
      <c r="K260">
        <v>0</v>
      </c>
      <c r="L260">
        <v>1</v>
      </c>
      <c r="M260">
        <v>2</v>
      </c>
      <c r="N260" s="7">
        <v>9</v>
      </c>
      <c r="O260" s="7">
        <v>0</v>
      </c>
      <c r="P260" s="7">
        <v>0</v>
      </c>
      <c r="Q260" s="7">
        <v>0</v>
      </c>
      <c r="R260" s="7">
        <v>1</v>
      </c>
      <c r="S260" s="7">
        <v>4</v>
      </c>
      <c r="T260">
        <v>7</v>
      </c>
      <c r="U260" s="1">
        <v>30</v>
      </c>
      <c r="V260">
        <v>0</v>
      </c>
      <c r="W260">
        <v>0</v>
      </c>
      <c r="X260">
        <v>1</v>
      </c>
      <c r="Y260">
        <v>0.16</v>
      </c>
      <c r="Z260">
        <v>23</v>
      </c>
      <c r="AA260">
        <v>0</v>
      </c>
      <c r="AB260">
        <v>0</v>
      </c>
      <c r="AC260">
        <v>0</v>
      </c>
      <c r="AD260">
        <v>1</v>
      </c>
      <c r="AE260">
        <v>0.03</v>
      </c>
      <c r="AF260">
        <v>15</v>
      </c>
      <c r="AG260">
        <v>0</v>
      </c>
      <c r="AH260">
        <v>0</v>
      </c>
      <c r="AI260">
        <v>0</v>
      </c>
      <c r="AJ260">
        <v>1</v>
      </c>
      <c r="AK260">
        <v>0.01</v>
      </c>
      <c r="AL260">
        <v>16</v>
      </c>
      <c r="AM260">
        <v>0</v>
      </c>
      <c r="AN260">
        <v>0</v>
      </c>
      <c r="AO260">
        <v>0</v>
      </c>
      <c r="AP260">
        <v>1</v>
      </c>
      <c r="AQ260">
        <v>5.0000000000000001E-3</v>
      </c>
      <c r="AX260">
        <v>7</v>
      </c>
      <c r="AY260" s="1">
        <v>14</v>
      </c>
      <c r="AZ260">
        <v>0</v>
      </c>
      <c r="BA260">
        <v>0</v>
      </c>
      <c r="BB260">
        <v>1</v>
      </c>
      <c r="BC260" s="7">
        <v>0.4</v>
      </c>
      <c r="BD260">
        <v>30</v>
      </c>
      <c r="BE260">
        <v>0</v>
      </c>
      <c r="BF260">
        <v>0</v>
      </c>
      <c r="BG260">
        <v>0</v>
      </c>
      <c r="BH260">
        <v>5</v>
      </c>
      <c r="BI260">
        <v>2.4</v>
      </c>
      <c r="BJ260">
        <v>31</v>
      </c>
      <c r="BK260">
        <v>0</v>
      </c>
      <c r="BL260">
        <v>0</v>
      </c>
      <c r="BM260">
        <v>0</v>
      </c>
      <c r="BN260">
        <v>5</v>
      </c>
      <c r="BO260">
        <v>2.4</v>
      </c>
      <c r="BP260">
        <v>36</v>
      </c>
      <c r="BQ260">
        <v>0</v>
      </c>
      <c r="BR260">
        <v>0</v>
      </c>
      <c r="BS260">
        <v>0</v>
      </c>
      <c r="BT260">
        <v>5</v>
      </c>
      <c r="BU260">
        <v>2.2999999999999998</v>
      </c>
    </row>
    <row r="261" spans="1:73" x14ac:dyDescent="0.15">
      <c r="A261" s="11">
        <v>1008</v>
      </c>
      <c r="B261">
        <v>7</v>
      </c>
      <c r="C261" s="1">
        <v>35</v>
      </c>
      <c r="D261">
        <v>0</v>
      </c>
      <c r="E261">
        <v>0</v>
      </c>
      <c r="F261">
        <v>1</v>
      </c>
      <c r="G261" s="7">
        <v>0.08</v>
      </c>
      <c r="H261">
        <v>12</v>
      </c>
      <c r="I261">
        <v>0</v>
      </c>
      <c r="J261">
        <v>0</v>
      </c>
      <c r="K261">
        <v>0</v>
      </c>
      <c r="L261">
        <v>1</v>
      </c>
      <c r="M261">
        <v>2</v>
      </c>
      <c r="N261" s="7">
        <v>9</v>
      </c>
      <c r="O261" s="7">
        <v>0</v>
      </c>
      <c r="P261" s="7">
        <v>0</v>
      </c>
      <c r="Q261" s="7">
        <v>0</v>
      </c>
      <c r="R261" s="7">
        <v>1</v>
      </c>
      <c r="S261" s="7">
        <v>4</v>
      </c>
      <c r="T261">
        <v>7</v>
      </c>
      <c r="U261" s="1">
        <v>31</v>
      </c>
      <c r="V261">
        <v>0</v>
      </c>
      <c r="W261">
        <v>0</v>
      </c>
      <c r="X261">
        <v>1</v>
      </c>
      <c r="Y261">
        <v>0.16</v>
      </c>
      <c r="Z261">
        <v>23</v>
      </c>
      <c r="AA261">
        <v>0</v>
      </c>
      <c r="AB261">
        <v>0</v>
      </c>
      <c r="AC261">
        <v>0</v>
      </c>
      <c r="AD261">
        <v>1</v>
      </c>
      <c r="AE261">
        <v>0.03</v>
      </c>
      <c r="AF261">
        <v>15</v>
      </c>
      <c r="AG261">
        <v>0</v>
      </c>
      <c r="AH261">
        <v>0</v>
      </c>
      <c r="AI261">
        <v>0</v>
      </c>
      <c r="AJ261">
        <v>1</v>
      </c>
      <c r="AK261">
        <v>0.01</v>
      </c>
      <c r="AL261">
        <v>16</v>
      </c>
      <c r="AM261">
        <v>0</v>
      </c>
      <c r="AN261">
        <v>0</v>
      </c>
      <c r="AO261">
        <v>0</v>
      </c>
      <c r="AP261">
        <v>1</v>
      </c>
      <c r="AQ261">
        <v>5.0000000000000001E-3</v>
      </c>
      <c r="AX261">
        <v>7</v>
      </c>
      <c r="AY261" s="1">
        <v>15</v>
      </c>
      <c r="AZ261">
        <v>0</v>
      </c>
      <c r="BA261">
        <v>0</v>
      </c>
      <c r="BB261">
        <v>1</v>
      </c>
      <c r="BC261" s="7">
        <v>0.4</v>
      </c>
      <c r="BD261">
        <v>30</v>
      </c>
      <c r="BE261">
        <v>0</v>
      </c>
      <c r="BF261">
        <v>0</v>
      </c>
      <c r="BG261">
        <v>0</v>
      </c>
      <c r="BH261">
        <v>5</v>
      </c>
      <c r="BI261">
        <v>2.4</v>
      </c>
      <c r="BJ261">
        <v>31</v>
      </c>
      <c r="BK261">
        <v>0</v>
      </c>
      <c r="BL261">
        <v>0</v>
      </c>
      <c r="BM261">
        <v>0</v>
      </c>
      <c r="BN261">
        <v>5</v>
      </c>
      <c r="BO261">
        <v>2.4</v>
      </c>
      <c r="BP261">
        <v>36</v>
      </c>
      <c r="BQ261">
        <v>0</v>
      </c>
      <c r="BR261">
        <v>0</v>
      </c>
      <c r="BS261">
        <v>0</v>
      </c>
      <c r="BT261">
        <v>5</v>
      </c>
      <c r="BU261">
        <v>2.2999999999999998</v>
      </c>
    </row>
    <row r="262" spans="1:73" x14ac:dyDescent="0.15">
      <c r="A262" s="11">
        <v>1009</v>
      </c>
      <c r="B262">
        <v>7</v>
      </c>
      <c r="C262" s="1">
        <v>36</v>
      </c>
      <c r="D262">
        <v>0</v>
      </c>
      <c r="E262">
        <v>0</v>
      </c>
      <c r="F262">
        <v>1</v>
      </c>
      <c r="G262" s="7">
        <v>0.08</v>
      </c>
      <c r="H262">
        <v>12</v>
      </c>
      <c r="I262">
        <v>0</v>
      </c>
      <c r="J262">
        <v>0</v>
      </c>
      <c r="K262">
        <v>0</v>
      </c>
      <c r="L262">
        <v>1</v>
      </c>
      <c r="M262">
        <v>2</v>
      </c>
      <c r="N262" s="7">
        <v>9</v>
      </c>
      <c r="O262" s="7">
        <v>0</v>
      </c>
      <c r="P262" s="7">
        <v>0</v>
      </c>
      <c r="Q262" s="7">
        <v>0</v>
      </c>
      <c r="R262" s="7">
        <v>1</v>
      </c>
      <c r="S262" s="7">
        <v>4</v>
      </c>
      <c r="T262">
        <v>7</v>
      </c>
      <c r="U262" s="1">
        <v>32</v>
      </c>
      <c r="V262">
        <v>0</v>
      </c>
      <c r="W262">
        <v>0</v>
      </c>
      <c r="X262">
        <v>1</v>
      </c>
      <c r="Y262">
        <v>0.16</v>
      </c>
      <c r="Z262">
        <v>23</v>
      </c>
      <c r="AA262">
        <v>0</v>
      </c>
      <c r="AB262">
        <v>0</v>
      </c>
      <c r="AC262">
        <v>0</v>
      </c>
      <c r="AD262">
        <v>1</v>
      </c>
      <c r="AE262">
        <v>0.03</v>
      </c>
      <c r="AF262">
        <v>15</v>
      </c>
      <c r="AG262">
        <v>0</v>
      </c>
      <c r="AH262">
        <v>0</v>
      </c>
      <c r="AI262">
        <v>0</v>
      </c>
      <c r="AJ262">
        <v>1</v>
      </c>
      <c r="AK262">
        <v>0.01</v>
      </c>
      <c r="AL262">
        <v>16</v>
      </c>
      <c r="AM262">
        <v>0</v>
      </c>
      <c r="AN262">
        <v>0</v>
      </c>
      <c r="AO262">
        <v>0</v>
      </c>
      <c r="AP262">
        <v>1</v>
      </c>
      <c r="AQ262">
        <v>5.0000000000000001E-3</v>
      </c>
      <c r="AX262">
        <v>7</v>
      </c>
      <c r="AY262" s="1">
        <v>16</v>
      </c>
      <c r="AZ262">
        <v>0</v>
      </c>
      <c r="BA262">
        <v>0</v>
      </c>
      <c r="BB262">
        <v>1</v>
      </c>
      <c r="BC262" s="7">
        <v>0.4</v>
      </c>
      <c r="BD262">
        <v>30</v>
      </c>
      <c r="BE262">
        <v>0</v>
      </c>
      <c r="BF262">
        <v>0</v>
      </c>
      <c r="BG262">
        <v>0</v>
      </c>
      <c r="BH262">
        <v>5</v>
      </c>
      <c r="BI262">
        <v>2.4</v>
      </c>
      <c r="BJ262">
        <v>31</v>
      </c>
      <c r="BK262">
        <v>0</v>
      </c>
      <c r="BL262">
        <v>0</v>
      </c>
      <c r="BM262">
        <v>0</v>
      </c>
      <c r="BN262">
        <v>5</v>
      </c>
      <c r="BO262">
        <v>2.4</v>
      </c>
      <c r="BP262">
        <v>36</v>
      </c>
      <c r="BQ262">
        <v>0</v>
      </c>
      <c r="BR262">
        <v>0</v>
      </c>
      <c r="BS262">
        <v>0</v>
      </c>
      <c r="BT262">
        <v>5</v>
      </c>
      <c r="BU262">
        <v>2.2999999999999998</v>
      </c>
    </row>
    <row r="263" spans="1:73" x14ac:dyDescent="0.15">
      <c r="A263" s="11">
        <v>1010</v>
      </c>
      <c r="B263">
        <v>7</v>
      </c>
      <c r="C263" s="1">
        <v>0</v>
      </c>
      <c r="D263">
        <v>4</v>
      </c>
      <c r="E263">
        <v>3</v>
      </c>
      <c r="F263">
        <v>1</v>
      </c>
      <c r="G263" s="7">
        <v>0.08</v>
      </c>
      <c r="H263">
        <v>12</v>
      </c>
      <c r="I263">
        <v>0</v>
      </c>
      <c r="J263">
        <v>0</v>
      </c>
      <c r="K263">
        <v>0</v>
      </c>
      <c r="L263">
        <v>1</v>
      </c>
      <c r="M263">
        <v>2</v>
      </c>
      <c r="N263" s="7">
        <v>9</v>
      </c>
      <c r="O263" s="7">
        <v>0</v>
      </c>
      <c r="P263" s="7">
        <v>0</v>
      </c>
      <c r="Q263" s="7">
        <v>0</v>
      </c>
      <c r="R263" s="7">
        <v>1</v>
      </c>
      <c r="S263" s="7">
        <v>4</v>
      </c>
      <c r="T263">
        <v>7</v>
      </c>
      <c r="U263" s="1">
        <v>0</v>
      </c>
      <c r="V263">
        <v>4</v>
      </c>
      <c r="W263">
        <v>1</v>
      </c>
      <c r="X263">
        <v>1</v>
      </c>
      <c r="Y263">
        <v>0.16</v>
      </c>
      <c r="Z263">
        <v>23</v>
      </c>
      <c r="AA263">
        <v>0</v>
      </c>
      <c r="AB263">
        <v>0</v>
      </c>
      <c r="AC263">
        <v>0</v>
      </c>
      <c r="AD263">
        <v>1</v>
      </c>
      <c r="AE263">
        <v>0.03</v>
      </c>
      <c r="AF263">
        <v>15</v>
      </c>
      <c r="AG263">
        <v>0</v>
      </c>
      <c r="AH263">
        <v>0</v>
      </c>
      <c r="AI263">
        <v>0</v>
      </c>
      <c r="AJ263">
        <v>1</v>
      </c>
      <c r="AK263">
        <v>0.01</v>
      </c>
      <c r="AL263">
        <v>16</v>
      </c>
      <c r="AM263">
        <v>0</v>
      </c>
      <c r="AN263">
        <v>0</v>
      </c>
      <c r="AO263">
        <v>0</v>
      </c>
      <c r="AP263">
        <v>1</v>
      </c>
      <c r="AQ263">
        <v>5.0000000000000001E-3</v>
      </c>
      <c r="AR263">
        <v>6</v>
      </c>
      <c r="AS263">
        <v>2</v>
      </c>
      <c r="AT263">
        <v>2</v>
      </c>
      <c r="AU263">
        <v>5</v>
      </c>
      <c r="AV263">
        <v>1</v>
      </c>
      <c r="AW263">
        <v>0.05</v>
      </c>
      <c r="AX263">
        <v>7</v>
      </c>
      <c r="AY263" s="1">
        <v>0</v>
      </c>
      <c r="AZ263">
        <v>2</v>
      </c>
      <c r="BA263">
        <v>2</v>
      </c>
      <c r="BB263">
        <v>1</v>
      </c>
      <c r="BC263" s="7">
        <v>0.4</v>
      </c>
      <c r="BD263">
        <v>30</v>
      </c>
      <c r="BE263">
        <v>0</v>
      </c>
      <c r="BF263">
        <v>0</v>
      </c>
      <c r="BG263">
        <v>0</v>
      </c>
      <c r="BH263">
        <v>5</v>
      </c>
      <c r="BI263">
        <v>2.4</v>
      </c>
      <c r="BJ263">
        <v>31</v>
      </c>
      <c r="BK263">
        <v>0</v>
      </c>
      <c r="BL263">
        <v>0</v>
      </c>
      <c r="BM263">
        <v>0</v>
      </c>
      <c r="BN263">
        <v>5</v>
      </c>
      <c r="BO263">
        <v>2.4</v>
      </c>
      <c r="BP263">
        <v>36</v>
      </c>
      <c r="BQ263">
        <v>0</v>
      </c>
      <c r="BR263">
        <v>0</v>
      </c>
      <c r="BS263">
        <v>0</v>
      </c>
      <c r="BT263">
        <v>5</v>
      </c>
      <c r="BU263">
        <v>2.2999999999999998</v>
      </c>
    </row>
    <row r="264" spans="1:73" x14ac:dyDescent="0.15">
      <c r="A264" s="11">
        <v>1011</v>
      </c>
      <c r="B264">
        <v>7</v>
      </c>
      <c r="C264" s="1">
        <v>37</v>
      </c>
      <c r="D264">
        <v>0</v>
      </c>
      <c r="E264">
        <v>0</v>
      </c>
      <c r="F264">
        <v>1</v>
      </c>
      <c r="G264" s="7">
        <v>0.08</v>
      </c>
      <c r="H264">
        <v>12</v>
      </c>
      <c r="I264">
        <v>0</v>
      </c>
      <c r="J264">
        <v>0</v>
      </c>
      <c r="K264">
        <v>0</v>
      </c>
      <c r="L264">
        <v>1</v>
      </c>
      <c r="M264">
        <v>2</v>
      </c>
      <c r="N264" s="7">
        <v>9</v>
      </c>
      <c r="O264" s="7">
        <v>0</v>
      </c>
      <c r="P264" s="7">
        <v>0</v>
      </c>
      <c r="Q264" s="7">
        <v>0</v>
      </c>
      <c r="R264" s="7">
        <v>1</v>
      </c>
      <c r="S264" s="7">
        <v>4</v>
      </c>
      <c r="T264">
        <v>7</v>
      </c>
      <c r="U264" s="1">
        <v>29</v>
      </c>
      <c r="V264">
        <v>0</v>
      </c>
      <c r="W264">
        <v>0</v>
      </c>
      <c r="X264">
        <v>1</v>
      </c>
      <c r="Y264">
        <v>0.16</v>
      </c>
      <c r="Z264">
        <v>23</v>
      </c>
      <c r="AA264">
        <v>0</v>
      </c>
      <c r="AB264">
        <v>0</v>
      </c>
      <c r="AC264">
        <v>0</v>
      </c>
      <c r="AD264">
        <v>1</v>
      </c>
      <c r="AE264">
        <v>0.03</v>
      </c>
      <c r="AF264">
        <v>15</v>
      </c>
      <c r="AG264">
        <v>0</v>
      </c>
      <c r="AH264">
        <v>0</v>
      </c>
      <c r="AI264">
        <v>0</v>
      </c>
      <c r="AJ264">
        <v>1</v>
      </c>
      <c r="AK264">
        <v>0.01</v>
      </c>
      <c r="AL264">
        <v>16</v>
      </c>
      <c r="AM264">
        <v>0</v>
      </c>
      <c r="AN264">
        <v>0</v>
      </c>
      <c r="AO264">
        <v>0</v>
      </c>
      <c r="AP264">
        <v>1</v>
      </c>
      <c r="AQ264">
        <v>5.0000000000000001E-3</v>
      </c>
      <c r="AX264">
        <v>7</v>
      </c>
      <c r="AY264" s="1">
        <v>13</v>
      </c>
      <c r="AZ264">
        <v>0</v>
      </c>
      <c r="BA264">
        <v>0</v>
      </c>
      <c r="BB264">
        <v>1</v>
      </c>
      <c r="BC264" s="7">
        <v>0.4</v>
      </c>
      <c r="BD264">
        <v>30</v>
      </c>
      <c r="BE264">
        <v>0</v>
      </c>
      <c r="BF264">
        <v>0</v>
      </c>
      <c r="BG264">
        <v>0</v>
      </c>
      <c r="BH264">
        <v>5</v>
      </c>
      <c r="BI264">
        <v>2.4</v>
      </c>
      <c r="BJ264">
        <v>31</v>
      </c>
      <c r="BK264">
        <v>0</v>
      </c>
      <c r="BL264">
        <v>0</v>
      </c>
      <c r="BM264">
        <v>0</v>
      </c>
      <c r="BN264">
        <v>5</v>
      </c>
      <c r="BO264">
        <v>2.4</v>
      </c>
      <c r="BP264">
        <v>36</v>
      </c>
      <c r="BQ264">
        <v>0</v>
      </c>
      <c r="BR264">
        <v>0</v>
      </c>
      <c r="BS264">
        <v>0</v>
      </c>
      <c r="BT264">
        <v>5</v>
      </c>
      <c r="BU264">
        <v>2.2999999999999998</v>
      </c>
    </row>
    <row r="265" spans="1:73" x14ac:dyDescent="0.15">
      <c r="A265" s="11">
        <v>1012</v>
      </c>
      <c r="B265">
        <v>7</v>
      </c>
      <c r="C265" s="1">
        <v>38</v>
      </c>
      <c r="D265">
        <v>0</v>
      </c>
      <c r="E265">
        <v>0</v>
      </c>
      <c r="F265">
        <v>1</v>
      </c>
      <c r="G265" s="7">
        <v>0.08</v>
      </c>
      <c r="H265">
        <v>12</v>
      </c>
      <c r="I265">
        <v>0</v>
      </c>
      <c r="J265">
        <v>0</v>
      </c>
      <c r="K265">
        <v>0</v>
      </c>
      <c r="L265">
        <v>1</v>
      </c>
      <c r="M265">
        <v>2</v>
      </c>
      <c r="N265" s="7">
        <v>9</v>
      </c>
      <c r="O265" s="7">
        <v>0</v>
      </c>
      <c r="P265" s="7">
        <v>0</v>
      </c>
      <c r="Q265" s="7">
        <v>0</v>
      </c>
      <c r="R265" s="7">
        <v>1</v>
      </c>
      <c r="S265" s="7">
        <v>4</v>
      </c>
      <c r="T265">
        <v>7</v>
      </c>
      <c r="U265" s="1">
        <v>30</v>
      </c>
      <c r="V265">
        <v>0</v>
      </c>
      <c r="W265">
        <v>0</v>
      </c>
      <c r="X265">
        <v>1</v>
      </c>
      <c r="Y265">
        <v>0.16</v>
      </c>
      <c r="Z265">
        <v>23</v>
      </c>
      <c r="AA265">
        <v>0</v>
      </c>
      <c r="AB265">
        <v>0</v>
      </c>
      <c r="AC265">
        <v>0</v>
      </c>
      <c r="AD265">
        <v>1</v>
      </c>
      <c r="AE265">
        <v>0.03</v>
      </c>
      <c r="AF265">
        <v>15</v>
      </c>
      <c r="AG265">
        <v>0</v>
      </c>
      <c r="AH265">
        <v>0</v>
      </c>
      <c r="AI265">
        <v>0</v>
      </c>
      <c r="AJ265">
        <v>1</v>
      </c>
      <c r="AK265">
        <v>0.01</v>
      </c>
      <c r="AL265">
        <v>16</v>
      </c>
      <c r="AM265">
        <v>0</v>
      </c>
      <c r="AN265">
        <v>0</v>
      </c>
      <c r="AO265">
        <v>0</v>
      </c>
      <c r="AP265">
        <v>1</v>
      </c>
      <c r="AQ265">
        <v>5.0000000000000001E-3</v>
      </c>
      <c r="AX265">
        <v>7</v>
      </c>
      <c r="AY265" s="1">
        <v>14</v>
      </c>
      <c r="AZ265">
        <v>0</v>
      </c>
      <c r="BA265">
        <v>0</v>
      </c>
      <c r="BB265">
        <v>1</v>
      </c>
      <c r="BC265" s="7">
        <v>0.4</v>
      </c>
      <c r="BD265">
        <v>30</v>
      </c>
      <c r="BE265">
        <v>0</v>
      </c>
      <c r="BF265">
        <v>0</v>
      </c>
      <c r="BG265">
        <v>0</v>
      </c>
      <c r="BH265">
        <v>5</v>
      </c>
      <c r="BI265">
        <v>2.4</v>
      </c>
      <c r="BJ265">
        <v>31</v>
      </c>
      <c r="BK265">
        <v>0</v>
      </c>
      <c r="BL265">
        <v>0</v>
      </c>
      <c r="BM265">
        <v>0</v>
      </c>
      <c r="BN265">
        <v>5</v>
      </c>
      <c r="BO265">
        <v>2.4</v>
      </c>
      <c r="BP265">
        <v>36</v>
      </c>
      <c r="BQ265">
        <v>0</v>
      </c>
      <c r="BR265">
        <v>0</v>
      </c>
      <c r="BS265">
        <v>0</v>
      </c>
      <c r="BT265">
        <v>5</v>
      </c>
      <c r="BU265">
        <v>2.2999999999999998</v>
      </c>
    </row>
    <row r="266" spans="1:73" x14ac:dyDescent="0.15">
      <c r="A266" s="11">
        <v>1013</v>
      </c>
      <c r="B266">
        <v>7</v>
      </c>
      <c r="C266" s="1">
        <v>39</v>
      </c>
      <c r="D266">
        <v>0</v>
      </c>
      <c r="E266">
        <v>0</v>
      </c>
      <c r="F266">
        <v>1</v>
      </c>
      <c r="G266" s="7">
        <v>0.08</v>
      </c>
      <c r="H266">
        <v>12</v>
      </c>
      <c r="I266">
        <v>0</v>
      </c>
      <c r="J266">
        <v>0</v>
      </c>
      <c r="K266">
        <v>0</v>
      </c>
      <c r="L266">
        <v>1</v>
      </c>
      <c r="M266">
        <v>2</v>
      </c>
      <c r="N266" s="7">
        <v>9</v>
      </c>
      <c r="O266" s="7">
        <v>0</v>
      </c>
      <c r="P266" s="7">
        <v>0</v>
      </c>
      <c r="Q266" s="7">
        <v>0</v>
      </c>
      <c r="R266" s="7">
        <v>1</v>
      </c>
      <c r="S266" s="7">
        <v>4</v>
      </c>
      <c r="T266">
        <v>7</v>
      </c>
      <c r="U266" s="1">
        <v>31</v>
      </c>
      <c r="V266">
        <v>0</v>
      </c>
      <c r="W266">
        <v>0</v>
      </c>
      <c r="X266">
        <v>1</v>
      </c>
      <c r="Y266">
        <v>0.16</v>
      </c>
      <c r="Z266">
        <v>23</v>
      </c>
      <c r="AA266">
        <v>0</v>
      </c>
      <c r="AB266">
        <v>0</v>
      </c>
      <c r="AC266">
        <v>0</v>
      </c>
      <c r="AD266">
        <v>1</v>
      </c>
      <c r="AE266">
        <v>0.03</v>
      </c>
      <c r="AF266">
        <v>15</v>
      </c>
      <c r="AG266">
        <v>0</v>
      </c>
      <c r="AH266">
        <v>0</v>
      </c>
      <c r="AI266">
        <v>0</v>
      </c>
      <c r="AJ266">
        <v>1</v>
      </c>
      <c r="AK266">
        <v>0.01</v>
      </c>
      <c r="AL266">
        <v>16</v>
      </c>
      <c r="AM266">
        <v>0</v>
      </c>
      <c r="AN266">
        <v>0</v>
      </c>
      <c r="AO266">
        <v>0</v>
      </c>
      <c r="AP266">
        <v>1</v>
      </c>
      <c r="AQ266">
        <v>5.0000000000000001E-3</v>
      </c>
      <c r="AX266">
        <v>7</v>
      </c>
      <c r="AY266" s="1">
        <v>15</v>
      </c>
      <c r="AZ266">
        <v>0</v>
      </c>
      <c r="BA266">
        <v>0</v>
      </c>
      <c r="BB266">
        <v>1</v>
      </c>
      <c r="BC266" s="7">
        <v>0.4</v>
      </c>
      <c r="BD266">
        <v>30</v>
      </c>
      <c r="BE266">
        <v>0</v>
      </c>
      <c r="BF266">
        <v>0</v>
      </c>
      <c r="BG266">
        <v>0</v>
      </c>
      <c r="BH266">
        <v>5</v>
      </c>
      <c r="BI266">
        <v>2.4</v>
      </c>
      <c r="BJ266">
        <v>31</v>
      </c>
      <c r="BK266">
        <v>0</v>
      </c>
      <c r="BL266">
        <v>0</v>
      </c>
      <c r="BM266">
        <v>0</v>
      </c>
      <c r="BN266">
        <v>5</v>
      </c>
      <c r="BO266">
        <v>2.4</v>
      </c>
      <c r="BP266">
        <v>36</v>
      </c>
      <c r="BQ266">
        <v>0</v>
      </c>
      <c r="BR266">
        <v>0</v>
      </c>
      <c r="BS266">
        <v>0</v>
      </c>
      <c r="BT266">
        <v>5</v>
      </c>
      <c r="BU266">
        <v>2.2999999999999998</v>
      </c>
    </row>
    <row r="267" spans="1:73" x14ac:dyDescent="0.15">
      <c r="A267" s="11">
        <v>1014</v>
      </c>
      <c r="B267">
        <v>7</v>
      </c>
      <c r="C267" s="1">
        <v>40</v>
      </c>
      <c r="D267">
        <v>0</v>
      </c>
      <c r="E267">
        <v>0</v>
      </c>
      <c r="F267">
        <v>1</v>
      </c>
      <c r="G267" s="7">
        <v>0.08</v>
      </c>
      <c r="H267">
        <v>12</v>
      </c>
      <c r="I267">
        <v>0</v>
      </c>
      <c r="J267">
        <v>0</v>
      </c>
      <c r="K267">
        <v>0</v>
      </c>
      <c r="L267">
        <v>1</v>
      </c>
      <c r="M267">
        <v>2</v>
      </c>
      <c r="N267" s="7">
        <v>9</v>
      </c>
      <c r="O267" s="7">
        <v>0</v>
      </c>
      <c r="P267" s="7">
        <v>0</v>
      </c>
      <c r="Q267" s="7">
        <v>0</v>
      </c>
      <c r="R267" s="7">
        <v>1</v>
      </c>
      <c r="S267" s="7">
        <v>4</v>
      </c>
      <c r="T267">
        <v>7</v>
      </c>
      <c r="U267" s="1">
        <v>32</v>
      </c>
      <c r="V267">
        <v>0</v>
      </c>
      <c r="W267">
        <v>0</v>
      </c>
      <c r="X267">
        <v>1</v>
      </c>
      <c r="Y267">
        <v>0.16</v>
      </c>
      <c r="Z267">
        <v>23</v>
      </c>
      <c r="AA267">
        <v>0</v>
      </c>
      <c r="AB267">
        <v>0</v>
      </c>
      <c r="AC267">
        <v>0</v>
      </c>
      <c r="AD267">
        <v>1</v>
      </c>
      <c r="AE267">
        <v>0.03</v>
      </c>
      <c r="AF267">
        <v>15</v>
      </c>
      <c r="AG267">
        <v>0</v>
      </c>
      <c r="AH267">
        <v>0</v>
      </c>
      <c r="AI267">
        <v>0</v>
      </c>
      <c r="AJ267">
        <v>1</v>
      </c>
      <c r="AK267">
        <v>0.01</v>
      </c>
      <c r="AL267">
        <v>16</v>
      </c>
      <c r="AM267">
        <v>0</v>
      </c>
      <c r="AN267">
        <v>0</v>
      </c>
      <c r="AO267">
        <v>0</v>
      </c>
      <c r="AP267">
        <v>1</v>
      </c>
      <c r="AQ267">
        <v>5.0000000000000001E-3</v>
      </c>
      <c r="AX267">
        <v>7</v>
      </c>
      <c r="AY267" s="1">
        <v>16</v>
      </c>
      <c r="AZ267">
        <v>0</v>
      </c>
      <c r="BA267">
        <v>0</v>
      </c>
      <c r="BB267">
        <v>1</v>
      </c>
      <c r="BC267" s="7">
        <v>0.4</v>
      </c>
      <c r="BD267">
        <v>30</v>
      </c>
      <c r="BE267">
        <v>0</v>
      </c>
      <c r="BF267">
        <v>0</v>
      </c>
      <c r="BG267">
        <v>0</v>
      </c>
      <c r="BH267">
        <v>5</v>
      </c>
      <c r="BI267">
        <v>2.4</v>
      </c>
      <c r="BJ267">
        <v>31</v>
      </c>
      <c r="BK267">
        <v>0</v>
      </c>
      <c r="BL267">
        <v>0</v>
      </c>
      <c r="BM267">
        <v>0</v>
      </c>
      <c r="BN267">
        <v>5</v>
      </c>
      <c r="BO267">
        <v>2.4</v>
      </c>
      <c r="BP267">
        <v>36</v>
      </c>
      <c r="BQ267">
        <v>0</v>
      </c>
      <c r="BR267">
        <v>0</v>
      </c>
      <c r="BS267">
        <v>0</v>
      </c>
      <c r="BT267">
        <v>5</v>
      </c>
      <c r="BU267">
        <v>2.2999999999999998</v>
      </c>
    </row>
    <row r="268" spans="1:73" x14ac:dyDescent="0.15">
      <c r="A268" s="11">
        <v>1015</v>
      </c>
      <c r="B268">
        <v>7</v>
      </c>
      <c r="C268" s="1">
        <v>0</v>
      </c>
      <c r="D268">
        <v>4</v>
      </c>
      <c r="E268">
        <v>3</v>
      </c>
      <c r="F268">
        <v>1</v>
      </c>
      <c r="G268" s="7">
        <v>0.08</v>
      </c>
      <c r="H268">
        <v>12</v>
      </c>
      <c r="I268">
        <v>0</v>
      </c>
      <c r="J268">
        <v>0</v>
      </c>
      <c r="K268">
        <v>0</v>
      </c>
      <c r="L268">
        <v>1</v>
      </c>
      <c r="M268">
        <v>2</v>
      </c>
      <c r="N268" s="7">
        <v>9</v>
      </c>
      <c r="O268" s="7">
        <v>0</v>
      </c>
      <c r="P268" s="7">
        <v>0</v>
      </c>
      <c r="Q268" s="7">
        <v>0</v>
      </c>
      <c r="R268" s="7">
        <v>1</v>
      </c>
      <c r="S268" s="7">
        <v>4</v>
      </c>
      <c r="T268">
        <v>7</v>
      </c>
      <c r="U268" s="1">
        <v>0</v>
      </c>
      <c r="V268">
        <v>4</v>
      </c>
      <c r="W268">
        <v>1</v>
      </c>
      <c r="X268">
        <v>1</v>
      </c>
      <c r="Y268">
        <v>0.16</v>
      </c>
      <c r="Z268">
        <v>23</v>
      </c>
      <c r="AA268">
        <v>0</v>
      </c>
      <c r="AB268">
        <v>0</v>
      </c>
      <c r="AC268">
        <v>0</v>
      </c>
      <c r="AD268">
        <v>1</v>
      </c>
      <c r="AE268">
        <v>0.03</v>
      </c>
      <c r="AF268">
        <v>15</v>
      </c>
      <c r="AG268">
        <v>0</v>
      </c>
      <c r="AH268">
        <v>0</v>
      </c>
      <c r="AI268">
        <v>0</v>
      </c>
      <c r="AJ268">
        <v>1</v>
      </c>
      <c r="AK268">
        <v>0.01</v>
      </c>
      <c r="AL268">
        <v>16</v>
      </c>
      <c r="AM268">
        <v>0</v>
      </c>
      <c r="AN268">
        <v>0</v>
      </c>
      <c r="AO268">
        <v>0</v>
      </c>
      <c r="AP268">
        <v>1</v>
      </c>
      <c r="AQ268">
        <v>5.0000000000000001E-3</v>
      </c>
      <c r="AR268">
        <v>6</v>
      </c>
      <c r="AS268">
        <v>2</v>
      </c>
      <c r="AT268">
        <v>3</v>
      </c>
      <c r="AU268">
        <v>5</v>
      </c>
      <c r="AV268">
        <v>1</v>
      </c>
      <c r="AW268">
        <v>0.05</v>
      </c>
      <c r="AX268">
        <v>7</v>
      </c>
      <c r="AY268" s="1">
        <v>0</v>
      </c>
      <c r="AZ268">
        <v>2</v>
      </c>
      <c r="BA268">
        <v>2</v>
      </c>
      <c r="BB268">
        <v>1</v>
      </c>
      <c r="BC268" s="7">
        <v>0.4</v>
      </c>
      <c r="BD268">
        <v>30</v>
      </c>
      <c r="BE268">
        <v>0</v>
      </c>
      <c r="BF268">
        <v>0</v>
      </c>
      <c r="BG268">
        <v>0</v>
      </c>
      <c r="BH268">
        <v>5</v>
      </c>
      <c r="BI268">
        <v>2.4</v>
      </c>
      <c r="BJ268">
        <v>31</v>
      </c>
      <c r="BK268">
        <v>0</v>
      </c>
      <c r="BL268">
        <v>0</v>
      </c>
      <c r="BM268">
        <v>0</v>
      </c>
      <c r="BN268">
        <v>5</v>
      </c>
      <c r="BO268">
        <v>2.4</v>
      </c>
      <c r="BP268">
        <v>36</v>
      </c>
      <c r="BQ268">
        <v>0</v>
      </c>
      <c r="BR268">
        <v>0</v>
      </c>
      <c r="BS268">
        <v>0</v>
      </c>
      <c r="BT268">
        <v>5</v>
      </c>
      <c r="BU268">
        <v>2.2999999999999998</v>
      </c>
    </row>
    <row r="269" spans="1:73" x14ac:dyDescent="0.15">
      <c r="A269" s="11">
        <v>1016</v>
      </c>
      <c r="B269">
        <v>7</v>
      </c>
      <c r="C269" s="1">
        <v>37</v>
      </c>
      <c r="D269">
        <v>0</v>
      </c>
      <c r="E269">
        <v>0</v>
      </c>
      <c r="F269">
        <v>1</v>
      </c>
      <c r="G269" s="7">
        <v>0.08</v>
      </c>
      <c r="H269">
        <v>12</v>
      </c>
      <c r="I269">
        <v>0</v>
      </c>
      <c r="J269">
        <v>0</v>
      </c>
      <c r="K269">
        <v>0</v>
      </c>
      <c r="L269">
        <v>1</v>
      </c>
      <c r="M269">
        <v>2</v>
      </c>
      <c r="N269" s="7">
        <v>9</v>
      </c>
      <c r="O269" s="7">
        <v>0</v>
      </c>
      <c r="P269" s="7">
        <v>0</v>
      </c>
      <c r="Q269" s="7">
        <v>0</v>
      </c>
      <c r="R269" s="7">
        <v>1</v>
      </c>
      <c r="S269" s="7">
        <v>4</v>
      </c>
      <c r="T269">
        <v>7</v>
      </c>
      <c r="U269" s="1">
        <v>29</v>
      </c>
      <c r="V269">
        <v>0</v>
      </c>
      <c r="W269">
        <v>0</v>
      </c>
      <c r="X269">
        <v>1</v>
      </c>
      <c r="Y269">
        <v>0.16</v>
      </c>
      <c r="Z269">
        <v>23</v>
      </c>
      <c r="AA269">
        <v>0</v>
      </c>
      <c r="AB269">
        <v>0</v>
      </c>
      <c r="AC269">
        <v>0</v>
      </c>
      <c r="AD269">
        <v>1</v>
      </c>
      <c r="AE269">
        <v>0.03</v>
      </c>
      <c r="AF269">
        <v>15</v>
      </c>
      <c r="AG269">
        <v>0</v>
      </c>
      <c r="AH269">
        <v>0</v>
      </c>
      <c r="AI269">
        <v>0</v>
      </c>
      <c r="AJ269">
        <v>1</v>
      </c>
      <c r="AK269">
        <v>0.01</v>
      </c>
      <c r="AL269">
        <v>16</v>
      </c>
      <c r="AM269">
        <v>0</v>
      </c>
      <c r="AN269">
        <v>0</v>
      </c>
      <c r="AO269">
        <v>0</v>
      </c>
      <c r="AP269">
        <v>1</v>
      </c>
      <c r="AQ269">
        <v>5.0000000000000001E-3</v>
      </c>
      <c r="AX269">
        <v>7</v>
      </c>
      <c r="AY269" s="1">
        <v>13</v>
      </c>
      <c r="AZ269">
        <v>0</v>
      </c>
      <c r="BA269">
        <v>0</v>
      </c>
      <c r="BB269">
        <v>1</v>
      </c>
      <c r="BC269" s="7">
        <v>0.4</v>
      </c>
      <c r="BD269">
        <v>30</v>
      </c>
      <c r="BE269">
        <v>0</v>
      </c>
      <c r="BF269">
        <v>0</v>
      </c>
      <c r="BG269">
        <v>0</v>
      </c>
      <c r="BH269">
        <v>5</v>
      </c>
      <c r="BI269">
        <v>2.4</v>
      </c>
      <c r="BJ269">
        <v>31</v>
      </c>
      <c r="BK269">
        <v>0</v>
      </c>
      <c r="BL269">
        <v>0</v>
      </c>
      <c r="BM269">
        <v>0</v>
      </c>
      <c r="BN269">
        <v>5</v>
      </c>
      <c r="BO269">
        <v>2.4</v>
      </c>
      <c r="BP269">
        <v>36</v>
      </c>
      <c r="BQ269">
        <v>0</v>
      </c>
      <c r="BR269">
        <v>0</v>
      </c>
      <c r="BS269">
        <v>0</v>
      </c>
      <c r="BT269">
        <v>5</v>
      </c>
      <c r="BU269">
        <v>2.2999999999999998</v>
      </c>
    </row>
    <row r="270" spans="1:73" x14ac:dyDescent="0.15">
      <c r="A270" s="11">
        <v>1017</v>
      </c>
      <c r="B270">
        <v>7</v>
      </c>
      <c r="C270" s="1">
        <v>38</v>
      </c>
      <c r="D270">
        <v>0</v>
      </c>
      <c r="E270">
        <v>0</v>
      </c>
      <c r="F270">
        <v>1</v>
      </c>
      <c r="G270" s="7">
        <v>0.08</v>
      </c>
      <c r="H270">
        <v>12</v>
      </c>
      <c r="I270">
        <v>0</v>
      </c>
      <c r="J270">
        <v>0</v>
      </c>
      <c r="K270">
        <v>0</v>
      </c>
      <c r="L270">
        <v>1</v>
      </c>
      <c r="M270">
        <v>2</v>
      </c>
      <c r="N270" s="7">
        <v>9</v>
      </c>
      <c r="O270" s="7">
        <v>0</v>
      </c>
      <c r="P270" s="7">
        <v>0</v>
      </c>
      <c r="Q270" s="7">
        <v>0</v>
      </c>
      <c r="R270" s="7">
        <v>1</v>
      </c>
      <c r="S270" s="7">
        <v>4</v>
      </c>
      <c r="T270">
        <v>7</v>
      </c>
      <c r="U270" s="1">
        <v>30</v>
      </c>
      <c r="V270">
        <v>0</v>
      </c>
      <c r="W270">
        <v>0</v>
      </c>
      <c r="X270">
        <v>1</v>
      </c>
      <c r="Y270">
        <v>0.16</v>
      </c>
      <c r="Z270">
        <v>23</v>
      </c>
      <c r="AA270">
        <v>0</v>
      </c>
      <c r="AB270">
        <v>0</v>
      </c>
      <c r="AC270">
        <v>0</v>
      </c>
      <c r="AD270">
        <v>1</v>
      </c>
      <c r="AE270">
        <v>0.03</v>
      </c>
      <c r="AF270">
        <v>15</v>
      </c>
      <c r="AG270">
        <v>0</v>
      </c>
      <c r="AH270">
        <v>0</v>
      </c>
      <c r="AI270">
        <v>0</v>
      </c>
      <c r="AJ270">
        <v>1</v>
      </c>
      <c r="AK270">
        <v>0.01</v>
      </c>
      <c r="AL270">
        <v>16</v>
      </c>
      <c r="AM270">
        <v>0</v>
      </c>
      <c r="AN270">
        <v>0</v>
      </c>
      <c r="AO270">
        <v>0</v>
      </c>
      <c r="AP270">
        <v>1</v>
      </c>
      <c r="AQ270">
        <v>5.0000000000000001E-3</v>
      </c>
      <c r="AX270">
        <v>7</v>
      </c>
      <c r="AY270" s="1">
        <v>14</v>
      </c>
      <c r="AZ270">
        <v>0</v>
      </c>
      <c r="BA270">
        <v>0</v>
      </c>
      <c r="BB270">
        <v>1</v>
      </c>
      <c r="BC270" s="7">
        <v>0.4</v>
      </c>
      <c r="BD270">
        <v>30</v>
      </c>
      <c r="BE270">
        <v>0</v>
      </c>
      <c r="BF270">
        <v>0</v>
      </c>
      <c r="BG270">
        <v>0</v>
      </c>
      <c r="BH270">
        <v>5</v>
      </c>
      <c r="BI270">
        <v>2.4</v>
      </c>
      <c r="BJ270">
        <v>31</v>
      </c>
      <c r="BK270">
        <v>0</v>
      </c>
      <c r="BL270">
        <v>0</v>
      </c>
      <c r="BM270">
        <v>0</v>
      </c>
      <c r="BN270">
        <v>5</v>
      </c>
      <c r="BO270">
        <v>2.4</v>
      </c>
      <c r="BP270">
        <v>36</v>
      </c>
      <c r="BQ270">
        <v>0</v>
      </c>
      <c r="BR270">
        <v>0</v>
      </c>
      <c r="BS270">
        <v>0</v>
      </c>
      <c r="BT270">
        <v>5</v>
      </c>
      <c r="BU270">
        <v>2.2999999999999998</v>
      </c>
    </row>
    <row r="271" spans="1:73" x14ac:dyDescent="0.15">
      <c r="A271" s="11">
        <v>1018</v>
      </c>
      <c r="B271">
        <v>7</v>
      </c>
      <c r="C271" s="1">
        <v>39</v>
      </c>
      <c r="D271">
        <v>0</v>
      </c>
      <c r="E271">
        <v>0</v>
      </c>
      <c r="F271">
        <v>1</v>
      </c>
      <c r="G271" s="7">
        <v>0.08</v>
      </c>
      <c r="H271">
        <v>12</v>
      </c>
      <c r="I271">
        <v>0</v>
      </c>
      <c r="J271">
        <v>0</v>
      </c>
      <c r="K271">
        <v>0</v>
      </c>
      <c r="L271">
        <v>1</v>
      </c>
      <c r="M271">
        <v>2</v>
      </c>
      <c r="N271" s="7">
        <v>9</v>
      </c>
      <c r="O271" s="7">
        <v>0</v>
      </c>
      <c r="P271" s="7">
        <v>0</v>
      </c>
      <c r="Q271" s="7">
        <v>0</v>
      </c>
      <c r="R271" s="7">
        <v>1</v>
      </c>
      <c r="S271" s="7">
        <v>4</v>
      </c>
      <c r="T271">
        <v>7</v>
      </c>
      <c r="U271" s="1">
        <v>31</v>
      </c>
      <c r="V271">
        <v>0</v>
      </c>
      <c r="W271">
        <v>0</v>
      </c>
      <c r="X271">
        <v>1</v>
      </c>
      <c r="Y271">
        <v>0.16</v>
      </c>
      <c r="Z271">
        <v>23</v>
      </c>
      <c r="AA271">
        <v>0</v>
      </c>
      <c r="AB271">
        <v>0</v>
      </c>
      <c r="AC271">
        <v>0</v>
      </c>
      <c r="AD271">
        <v>1</v>
      </c>
      <c r="AE271">
        <v>0.03</v>
      </c>
      <c r="AF271">
        <v>15</v>
      </c>
      <c r="AG271">
        <v>0</v>
      </c>
      <c r="AH271">
        <v>0</v>
      </c>
      <c r="AI271">
        <v>0</v>
      </c>
      <c r="AJ271">
        <v>1</v>
      </c>
      <c r="AK271">
        <v>0.01</v>
      </c>
      <c r="AL271">
        <v>16</v>
      </c>
      <c r="AM271">
        <v>0</v>
      </c>
      <c r="AN271">
        <v>0</v>
      </c>
      <c r="AO271">
        <v>0</v>
      </c>
      <c r="AP271">
        <v>1</v>
      </c>
      <c r="AQ271">
        <v>5.0000000000000001E-3</v>
      </c>
      <c r="AX271">
        <v>7</v>
      </c>
      <c r="AY271" s="1">
        <v>15</v>
      </c>
      <c r="AZ271">
        <v>0</v>
      </c>
      <c r="BA271">
        <v>0</v>
      </c>
      <c r="BB271">
        <v>1</v>
      </c>
      <c r="BC271" s="7">
        <v>0.4</v>
      </c>
      <c r="BD271">
        <v>30</v>
      </c>
      <c r="BE271">
        <v>0</v>
      </c>
      <c r="BF271">
        <v>0</v>
      </c>
      <c r="BG271">
        <v>0</v>
      </c>
      <c r="BH271">
        <v>5</v>
      </c>
      <c r="BI271">
        <v>2.4</v>
      </c>
      <c r="BJ271">
        <v>31</v>
      </c>
      <c r="BK271">
        <v>0</v>
      </c>
      <c r="BL271">
        <v>0</v>
      </c>
      <c r="BM271">
        <v>0</v>
      </c>
      <c r="BN271">
        <v>5</v>
      </c>
      <c r="BO271">
        <v>2.4</v>
      </c>
      <c r="BP271">
        <v>36</v>
      </c>
      <c r="BQ271">
        <v>0</v>
      </c>
      <c r="BR271">
        <v>0</v>
      </c>
      <c r="BS271">
        <v>0</v>
      </c>
      <c r="BT271">
        <v>5</v>
      </c>
      <c r="BU271">
        <v>2.2999999999999998</v>
      </c>
    </row>
    <row r="272" spans="1:73" x14ac:dyDescent="0.15">
      <c r="A272" s="11">
        <v>1019</v>
      </c>
      <c r="B272">
        <v>7</v>
      </c>
      <c r="C272" s="1">
        <v>40</v>
      </c>
      <c r="D272">
        <v>0</v>
      </c>
      <c r="E272">
        <v>0</v>
      </c>
      <c r="F272">
        <v>1</v>
      </c>
      <c r="G272" s="7">
        <v>0.08</v>
      </c>
      <c r="H272">
        <v>12</v>
      </c>
      <c r="I272">
        <v>0</v>
      </c>
      <c r="J272">
        <v>0</v>
      </c>
      <c r="K272">
        <v>0</v>
      </c>
      <c r="L272">
        <v>1</v>
      </c>
      <c r="M272">
        <v>2</v>
      </c>
      <c r="N272" s="7">
        <v>9</v>
      </c>
      <c r="O272" s="7">
        <v>0</v>
      </c>
      <c r="P272" s="7">
        <v>0</v>
      </c>
      <c r="Q272" s="7">
        <v>0</v>
      </c>
      <c r="R272" s="7">
        <v>1</v>
      </c>
      <c r="S272" s="7">
        <v>4</v>
      </c>
      <c r="T272">
        <v>7</v>
      </c>
      <c r="U272" s="1">
        <v>32</v>
      </c>
      <c r="V272">
        <v>0</v>
      </c>
      <c r="W272">
        <v>0</v>
      </c>
      <c r="X272">
        <v>1</v>
      </c>
      <c r="Y272">
        <v>0.16</v>
      </c>
      <c r="Z272">
        <v>23</v>
      </c>
      <c r="AA272">
        <v>0</v>
      </c>
      <c r="AB272">
        <v>0</v>
      </c>
      <c r="AC272">
        <v>0</v>
      </c>
      <c r="AD272">
        <v>1</v>
      </c>
      <c r="AE272">
        <v>0.03</v>
      </c>
      <c r="AF272">
        <v>15</v>
      </c>
      <c r="AG272">
        <v>0</v>
      </c>
      <c r="AH272">
        <v>0</v>
      </c>
      <c r="AI272">
        <v>0</v>
      </c>
      <c r="AJ272">
        <v>1</v>
      </c>
      <c r="AK272">
        <v>0.01</v>
      </c>
      <c r="AL272">
        <v>16</v>
      </c>
      <c r="AM272">
        <v>0</v>
      </c>
      <c r="AN272">
        <v>0</v>
      </c>
      <c r="AO272">
        <v>0</v>
      </c>
      <c r="AP272">
        <v>1</v>
      </c>
      <c r="AQ272">
        <v>5.0000000000000001E-3</v>
      </c>
      <c r="AX272">
        <v>7</v>
      </c>
      <c r="AY272" s="1">
        <v>16</v>
      </c>
      <c r="AZ272">
        <v>0</v>
      </c>
      <c r="BA272">
        <v>0</v>
      </c>
      <c r="BB272">
        <v>1</v>
      </c>
      <c r="BC272" s="7">
        <v>0.4</v>
      </c>
      <c r="BD272">
        <v>30</v>
      </c>
      <c r="BE272">
        <v>0</v>
      </c>
      <c r="BF272">
        <v>0</v>
      </c>
      <c r="BG272">
        <v>0</v>
      </c>
      <c r="BH272">
        <v>5</v>
      </c>
      <c r="BI272">
        <v>2.4</v>
      </c>
      <c r="BJ272">
        <v>31</v>
      </c>
      <c r="BK272">
        <v>0</v>
      </c>
      <c r="BL272">
        <v>0</v>
      </c>
      <c r="BM272">
        <v>0</v>
      </c>
      <c r="BN272">
        <v>5</v>
      </c>
      <c r="BO272">
        <v>2.4</v>
      </c>
      <c r="BP272">
        <v>36</v>
      </c>
      <c r="BQ272">
        <v>0</v>
      </c>
      <c r="BR272">
        <v>0</v>
      </c>
      <c r="BS272">
        <v>0</v>
      </c>
      <c r="BT272">
        <v>5</v>
      </c>
      <c r="BU272">
        <v>2.2999999999999998</v>
      </c>
    </row>
    <row r="273" spans="1:73" x14ac:dyDescent="0.15">
      <c r="A273" s="11">
        <v>1020</v>
      </c>
      <c r="B273">
        <v>7</v>
      </c>
      <c r="C273" s="1">
        <v>0</v>
      </c>
      <c r="D273">
        <v>4</v>
      </c>
      <c r="E273">
        <v>3</v>
      </c>
      <c r="F273">
        <v>1</v>
      </c>
      <c r="G273" s="7">
        <v>0.08</v>
      </c>
      <c r="H273">
        <v>12</v>
      </c>
      <c r="I273">
        <v>0</v>
      </c>
      <c r="J273">
        <v>0</v>
      </c>
      <c r="K273">
        <v>0</v>
      </c>
      <c r="L273">
        <v>1</v>
      </c>
      <c r="M273">
        <v>2</v>
      </c>
      <c r="N273" s="7">
        <v>9</v>
      </c>
      <c r="O273" s="7">
        <v>0</v>
      </c>
      <c r="P273" s="7">
        <v>0</v>
      </c>
      <c r="Q273" s="7">
        <v>0</v>
      </c>
      <c r="R273" s="7">
        <v>1</v>
      </c>
      <c r="S273" s="7">
        <v>4</v>
      </c>
      <c r="T273">
        <v>7</v>
      </c>
      <c r="U273" s="1">
        <v>0</v>
      </c>
      <c r="V273">
        <v>4</v>
      </c>
      <c r="W273">
        <v>1</v>
      </c>
      <c r="X273">
        <v>1</v>
      </c>
      <c r="Y273">
        <v>0.16</v>
      </c>
      <c r="Z273">
        <v>23</v>
      </c>
      <c r="AA273">
        <v>0</v>
      </c>
      <c r="AB273">
        <v>0</v>
      </c>
      <c r="AC273">
        <v>0</v>
      </c>
      <c r="AD273">
        <v>1</v>
      </c>
      <c r="AE273">
        <v>0.03</v>
      </c>
      <c r="AF273">
        <v>15</v>
      </c>
      <c r="AG273">
        <v>0</v>
      </c>
      <c r="AH273">
        <v>0</v>
      </c>
      <c r="AI273">
        <v>0</v>
      </c>
      <c r="AJ273">
        <v>1</v>
      </c>
      <c r="AK273">
        <v>0.01</v>
      </c>
      <c r="AL273">
        <v>16</v>
      </c>
      <c r="AM273">
        <v>0</v>
      </c>
      <c r="AN273">
        <v>0</v>
      </c>
      <c r="AO273">
        <v>0</v>
      </c>
      <c r="AP273">
        <v>1</v>
      </c>
      <c r="AQ273">
        <v>5.0000000000000001E-3</v>
      </c>
      <c r="AR273">
        <v>6</v>
      </c>
      <c r="AS273">
        <v>2</v>
      </c>
      <c r="AT273">
        <v>4</v>
      </c>
      <c r="AU273">
        <v>5</v>
      </c>
      <c r="AV273">
        <v>1</v>
      </c>
      <c r="AW273">
        <v>0.01</v>
      </c>
      <c r="AX273">
        <v>7</v>
      </c>
      <c r="AY273" s="1">
        <v>0</v>
      </c>
      <c r="AZ273">
        <v>2</v>
      </c>
      <c r="BA273">
        <v>2</v>
      </c>
      <c r="BB273">
        <v>1</v>
      </c>
      <c r="BC273" s="7">
        <v>0.4</v>
      </c>
      <c r="BD273">
        <v>30</v>
      </c>
      <c r="BE273">
        <v>0</v>
      </c>
      <c r="BF273">
        <v>0</v>
      </c>
      <c r="BG273">
        <v>0</v>
      </c>
      <c r="BH273">
        <v>5</v>
      </c>
      <c r="BI273">
        <v>2.4</v>
      </c>
      <c r="BJ273">
        <v>31</v>
      </c>
      <c r="BK273">
        <v>0</v>
      </c>
      <c r="BL273">
        <v>0</v>
      </c>
      <c r="BM273">
        <v>0</v>
      </c>
      <c r="BN273">
        <v>5</v>
      </c>
      <c r="BO273">
        <v>2.4</v>
      </c>
      <c r="BP273">
        <v>36</v>
      </c>
      <c r="BQ273">
        <v>0</v>
      </c>
      <c r="BR273">
        <v>0</v>
      </c>
      <c r="BS273">
        <v>0</v>
      </c>
      <c r="BT273">
        <v>5</v>
      </c>
      <c r="BU273">
        <v>2.2999999999999998</v>
      </c>
    </row>
    <row r="274" spans="1:73" x14ac:dyDescent="0.15">
      <c r="A274" s="11">
        <v>1021</v>
      </c>
      <c r="B274">
        <v>7</v>
      </c>
      <c r="C274" s="1">
        <v>37</v>
      </c>
      <c r="D274">
        <v>0</v>
      </c>
      <c r="E274">
        <v>0</v>
      </c>
      <c r="F274">
        <v>1</v>
      </c>
      <c r="G274" s="7">
        <v>0.08</v>
      </c>
      <c r="H274">
        <v>12</v>
      </c>
      <c r="I274">
        <v>0</v>
      </c>
      <c r="J274">
        <v>0</v>
      </c>
      <c r="K274">
        <v>0</v>
      </c>
      <c r="L274">
        <v>1</v>
      </c>
      <c r="M274">
        <v>2</v>
      </c>
      <c r="N274" s="7">
        <v>9</v>
      </c>
      <c r="O274" s="7">
        <v>0</v>
      </c>
      <c r="P274" s="7">
        <v>0</v>
      </c>
      <c r="Q274" s="7">
        <v>0</v>
      </c>
      <c r="R274" s="7">
        <v>1</v>
      </c>
      <c r="S274" s="7">
        <v>4</v>
      </c>
      <c r="T274">
        <v>7</v>
      </c>
      <c r="U274" s="1">
        <v>29</v>
      </c>
      <c r="V274">
        <v>0</v>
      </c>
      <c r="W274">
        <v>0</v>
      </c>
      <c r="X274">
        <v>1</v>
      </c>
      <c r="Y274">
        <v>0.16</v>
      </c>
      <c r="Z274">
        <v>23</v>
      </c>
      <c r="AA274">
        <v>0</v>
      </c>
      <c r="AB274">
        <v>0</v>
      </c>
      <c r="AC274">
        <v>0</v>
      </c>
      <c r="AD274">
        <v>1</v>
      </c>
      <c r="AE274">
        <v>0.03</v>
      </c>
      <c r="AF274">
        <v>15</v>
      </c>
      <c r="AG274">
        <v>0</v>
      </c>
      <c r="AH274">
        <v>0</v>
      </c>
      <c r="AI274">
        <v>0</v>
      </c>
      <c r="AJ274">
        <v>1</v>
      </c>
      <c r="AK274">
        <v>0.01</v>
      </c>
      <c r="AL274">
        <v>16</v>
      </c>
      <c r="AM274">
        <v>0</v>
      </c>
      <c r="AN274">
        <v>0</v>
      </c>
      <c r="AO274">
        <v>0</v>
      </c>
      <c r="AP274">
        <v>1</v>
      </c>
      <c r="AQ274">
        <v>5.0000000000000001E-3</v>
      </c>
      <c r="AX274">
        <v>7</v>
      </c>
      <c r="AY274" s="1">
        <v>13</v>
      </c>
      <c r="AZ274">
        <v>0</v>
      </c>
      <c r="BA274">
        <v>0</v>
      </c>
      <c r="BB274">
        <v>1</v>
      </c>
      <c r="BC274" s="7">
        <v>0.4</v>
      </c>
      <c r="BD274">
        <v>30</v>
      </c>
      <c r="BE274">
        <v>0</v>
      </c>
      <c r="BF274">
        <v>0</v>
      </c>
      <c r="BG274">
        <v>0</v>
      </c>
      <c r="BH274">
        <v>5</v>
      </c>
      <c r="BI274">
        <v>2.4</v>
      </c>
      <c r="BJ274">
        <v>31</v>
      </c>
      <c r="BK274">
        <v>0</v>
      </c>
      <c r="BL274">
        <v>0</v>
      </c>
      <c r="BM274">
        <v>0</v>
      </c>
      <c r="BN274">
        <v>5</v>
      </c>
      <c r="BO274">
        <v>2.4</v>
      </c>
      <c r="BP274">
        <v>36</v>
      </c>
      <c r="BQ274">
        <v>0</v>
      </c>
      <c r="BR274">
        <v>0</v>
      </c>
      <c r="BS274">
        <v>0</v>
      </c>
      <c r="BT274">
        <v>5</v>
      </c>
      <c r="BU274">
        <v>2.2999999999999998</v>
      </c>
    </row>
    <row r="275" spans="1:73" x14ac:dyDescent="0.15">
      <c r="A275" s="11">
        <v>1022</v>
      </c>
      <c r="B275">
        <v>7</v>
      </c>
      <c r="C275" s="1">
        <v>38</v>
      </c>
      <c r="D275">
        <v>0</v>
      </c>
      <c r="E275">
        <v>0</v>
      </c>
      <c r="F275">
        <v>1</v>
      </c>
      <c r="G275" s="7">
        <v>0.08</v>
      </c>
      <c r="H275">
        <v>12</v>
      </c>
      <c r="I275">
        <v>0</v>
      </c>
      <c r="J275">
        <v>0</v>
      </c>
      <c r="K275">
        <v>0</v>
      </c>
      <c r="L275">
        <v>1</v>
      </c>
      <c r="M275">
        <v>2</v>
      </c>
      <c r="N275" s="7">
        <v>9</v>
      </c>
      <c r="O275" s="7">
        <v>0</v>
      </c>
      <c r="P275" s="7">
        <v>0</v>
      </c>
      <c r="Q275" s="7">
        <v>0</v>
      </c>
      <c r="R275" s="7">
        <v>1</v>
      </c>
      <c r="S275" s="7">
        <v>4</v>
      </c>
      <c r="T275">
        <v>7</v>
      </c>
      <c r="U275" s="1">
        <v>30</v>
      </c>
      <c r="V275">
        <v>0</v>
      </c>
      <c r="W275">
        <v>0</v>
      </c>
      <c r="X275">
        <v>1</v>
      </c>
      <c r="Y275">
        <v>0.16</v>
      </c>
      <c r="Z275">
        <v>23</v>
      </c>
      <c r="AA275">
        <v>0</v>
      </c>
      <c r="AB275">
        <v>0</v>
      </c>
      <c r="AC275">
        <v>0</v>
      </c>
      <c r="AD275">
        <v>1</v>
      </c>
      <c r="AE275">
        <v>0.03</v>
      </c>
      <c r="AF275">
        <v>15</v>
      </c>
      <c r="AG275">
        <v>0</v>
      </c>
      <c r="AH275">
        <v>0</v>
      </c>
      <c r="AI275">
        <v>0</v>
      </c>
      <c r="AJ275">
        <v>1</v>
      </c>
      <c r="AK275">
        <v>0.01</v>
      </c>
      <c r="AL275">
        <v>16</v>
      </c>
      <c r="AM275">
        <v>0</v>
      </c>
      <c r="AN275">
        <v>0</v>
      </c>
      <c r="AO275">
        <v>0</v>
      </c>
      <c r="AP275">
        <v>1</v>
      </c>
      <c r="AQ275">
        <v>5.0000000000000001E-3</v>
      </c>
      <c r="AX275">
        <v>7</v>
      </c>
      <c r="AY275" s="1">
        <v>14</v>
      </c>
      <c r="AZ275">
        <v>0</v>
      </c>
      <c r="BA275">
        <v>0</v>
      </c>
      <c r="BB275">
        <v>1</v>
      </c>
      <c r="BC275" s="7">
        <v>0.4</v>
      </c>
      <c r="BD275">
        <v>30</v>
      </c>
      <c r="BE275">
        <v>0</v>
      </c>
      <c r="BF275">
        <v>0</v>
      </c>
      <c r="BG275">
        <v>0</v>
      </c>
      <c r="BH275">
        <v>5</v>
      </c>
      <c r="BI275">
        <v>2.4</v>
      </c>
      <c r="BJ275">
        <v>31</v>
      </c>
      <c r="BK275">
        <v>0</v>
      </c>
      <c r="BL275">
        <v>0</v>
      </c>
      <c r="BM275">
        <v>0</v>
      </c>
      <c r="BN275">
        <v>5</v>
      </c>
      <c r="BO275">
        <v>2.4</v>
      </c>
      <c r="BP275">
        <v>36</v>
      </c>
      <c r="BQ275">
        <v>0</v>
      </c>
      <c r="BR275">
        <v>0</v>
      </c>
      <c r="BS275">
        <v>0</v>
      </c>
      <c r="BT275">
        <v>5</v>
      </c>
      <c r="BU275">
        <v>2.2999999999999998</v>
      </c>
    </row>
    <row r="276" spans="1:73" x14ac:dyDescent="0.15">
      <c r="A276" s="11">
        <v>1023</v>
      </c>
      <c r="B276">
        <v>7</v>
      </c>
      <c r="C276" s="1">
        <v>39</v>
      </c>
      <c r="D276">
        <v>0</v>
      </c>
      <c r="E276">
        <v>0</v>
      </c>
      <c r="F276">
        <v>1</v>
      </c>
      <c r="G276" s="7">
        <v>0.08</v>
      </c>
      <c r="H276">
        <v>12</v>
      </c>
      <c r="I276">
        <v>0</v>
      </c>
      <c r="J276">
        <v>0</v>
      </c>
      <c r="K276">
        <v>0</v>
      </c>
      <c r="L276">
        <v>1</v>
      </c>
      <c r="M276">
        <v>2</v>
      </c>
      <c r="N276" s="7">
        <v>9</v>
      </c>
      <c r="O276" s="7">
        <v>0</v>
      </c>
      <c r="P276" s="7">
        <v>0</v>
      </c>
      <c r="Q276" s="7">
        <v>0</v>
      </c>
      <c r="R276" s="7">
        <v>1</v>
      </c>
      <c r="S276" s="7">
        <v>4</v>
      </c>
      <c r="T276">
        <v>7</v>
      </c>
      <c r="U276" s="1">
        <v>31</v>
      </c>
      <c r="V276">
        <v>0</v>
      </c>
      <c r="W276">
        <v>0</v>
      </c>
      <c r="X276">
        <v>1</v>
      </c>
      <c r="Y276">
        <v>0.16</v>
      </c>
      <c r="Z276">
        <v>23</v>
      </c>
      <c r="AA276">
        <v>0</v>
      </c>
      <c r="AB276">
        <v>0</v>
      </c>
      <c r="AC276">
        <v>0</v>
      </c>
      <c r="AD276">
        <v>1</v>
      </c>
      <c r="AE276">
        <v>0.03</v>
      </c>
      <c r="AF276">
        <v>15</v>
      </c>
      <c r="AG276">
        <v>0</v>
      </c>
      <c r="AH276">
        <v>0</v>
      </c>
      <c r="AI276">
        <v>0</v>
      </c>
      <c r="AJ276">
        <v>1</v>
      </c>
      <c r="AK276">
        <v>0.01</v>
      </c>
      <c r="AL276">
        <v>16</v>
      </c>
      <c r="AM276">
        <v>0</v>
      </c>
      <c r="AN276">
        <v>0</v>
      </c>
      <c r="AO276">
        <v>0</v>
      </c>
      <c r="AP276">
        <v>1</v>
      </c>
      <c r="AQ276">
        <v>5.0000000000000001E-3</v>
      </c>
      <c r="AX276">
        <v>7</v>
      </c>
      <c r="AY276" s="1">
        <v>15</v>
      </c>
      <c r="AZ276">
        <v>0</v>
      </c>
      <c r="BA276">
        <v>0</v>
      </c>
      <c r="BB276">
        <v>1</v>
      </c>
      <c r="BC276" s="7">
        <v>0.4</v>
      </c>
      <c r="BD276">
        <v>30</v>
      </c>
      <c r="BE276">
        <v>0</v>
      </c>
      <c r="BF276">
        <v>0</v>
      </c>
      <c r="BG276">
        <v>0</v>
      </c>
      <c r="BH276">
        <v>5</v>
      </c>
      <c r="BI276">
        <v>2.4</v>
      </c>
      <c r="BJ276">
        <v>31</v>
      </c>
      <c r="BK276">
        <v>0</v>
      </c>
      <c r="BL276">
        <v>0</v>
      </c>
      <c r="BM276">
        <v>0</v>
      </c>
      <c r="BN276">
        <v>5</v>
      </c>
      <c r="BO276">
        <v>2.4</v>
      </c>
      <c r="BP276">
        <v>36</v>
      </c>
      <c r="BQ276">
        <v>0</v>
      </c>
      <c r="BR276">
        <v>0</v>
      </c>
      <c r="BS276">
        <v>0</v>
      </c>
      <c r="BT276">
        <v>5</v>
      </c>
      <c r="BU276">
        <v>2.2999999999999998</v>
      </c>
    </row>
    <row r="277" spans="1:73" x14ac:dyDescent="0.15">
      <c r="A277" s="11">
        <v>1024</v>
      </c>
      <c r="B277">
        <v>7</v>
      </c>
      <c r="C277" s="1">
        <v>40</v>
      </c>
      <c r="D277">
        <v>0</v>
      </c>
      <c r="E277">
        <v>0</v>
      </c>
      <c r="F277">
        <v>1</v>
      </c>
      <c r="G277" s="7">
        <v>0.08</v>
      </c>
      <c r="H277">
        <v>12</v>
      </c>
      <c r="I277">
        <v>0</v>
      </c>
      <c r="J277">
        <v>0</v>
      </c>
      <c r="K277">
        <v>0</v>
      </c>
      <c r="L277">
        <v>1</v>
      </c>
      <c r="M277">
        <v>2</v>
      </c>
      <c r="N277" s="7">
        <v>9</v>
      </c>
      <c r="O277" s="7">
        <v>0</v>
      </c>
      <c r="P277" s="7">
        <v>0</v>
      </c>
      <c r="Q277" s="7">
        <v>0</v>
      </c>
      <c r="R277" s="7">
        <v>1</v>
      </c>
      <c r="S277" s="7">
        <v>4</v>
      </c>
      <c r="T277">
        <v>7</v>
      </c>
      <c r="U277" s="1">
        <v>32</v>
      </c>
      <c r="V277">
        <v>0</v>
      </c>
      <c r="W277">
        <v>0</v>
      </c>
      <c r="X277">
        <v>1</v>
      </c>
      <c r="Y277">
        <v>0.16</v>
      </c>
      <c r="Z277">
        <v>23</v>
      </c>
      <c r="AA277">
        <v>0</v>
      </c>
      <c r="AB277">
        <v>0</v>
      </c>
      <c r="AC277">
        <v>0</v>
      </c>
      <c r="AD277">
        <v>1</v>
      </c>
      <c r="AE277">
        <v>0.03</v>
      </c>
      <c r="AF277">
        <v>15</v>
      </c>
      <c r="AG277">
        <v>0</v>
      </c>
      <c r="AH277">
        <v>0</v>
      </c>
      <c r="AI277">
        <v>0</v>
      </c>
      <c r="AJ277">
        <v>1</v>
      </c>
      <c r="AK277">
        <v>0.01</v>
      </c>
      <c r="AL277">
        <v>16</v>
      </c>
      <c r="AM277">
        <v>0</v>
      </c>
      <c r="AN277">
        <v>0</v>
      </c>
      <c r="AO277">
        <v>0</v>
      </c>
      <c r="AP277">
        <v>1</v>
      </c>
      <c r="AQ277">
        <v>5.0000000000000001E-3</v>
      </c>
      <c r="AX277">
        <v>7</v>
      </c>
      <c r="AY277" s="1">
        <v>16</v>
      </c>
      <c r="AZ277">
        <v>0</v>
      </c>
      <c r="BA277">
        <v>0</v>
      </c>
      <c r="BB277">
        <v>1</v>
      </c>
      <c r="BC277" s="7">
        <v>0.4</v>
      </c>
      <c r="BD277">
        <v>30</v>
      </c>
      <c r="BE277">
        <v>0</v>
      </c>
      <c r="BF277">
        <v>0</v>
      </c>
      <c r="BG277">
        <v>0</v>
      </c>
      <c r="BH277">
        <v>5</v>
      </c>
      <c r="BI277">
        <v>2.4</v>
      </c>
      <c r="BJ277">
        <v>31</v>
      </c>
      <c r="BK277">
        <v>0</v>
      </c>
      <c r="BL277">
        <v>0</v>
      </c>
      <c r="BM277">
        <v>0</v>
      </c>
      <c r="BN277">
        <v>5</v>
      </c>
      <c r="BO277">
        <v>2.4</v>
      </c>
      <c r="BP277">
        <v>36</v>
      </c>
      <c r="BQ277">
        <v>0</v>
      </c>
      <c r="BR277">
        <v>0</v>
      </c>
      <c r="BS277">
        <v>0</v>
      </c>
      <c r="BT277">
        <v>5</v>
      </c>
      <c r="BU277">
        <v>2.2999999999999998</v>
      </c>
    </row>
    <row r="278" spans="1:73" x14ac:dyDescent="0.15">
      <c r="A278" s="11">
        <v>1025</v>
      </c>
      <c r="B278">
        <v>7</v>
      </c>
      <c r="C278" s="1">
        <v>0</v>
      </c>
      <c r="D278">
        <v>4</v>
      </c>
      <c r="E278">
        <v>3</v>
      </c>
      <c r="F278">
        <v>1</v>
      </c>
      <c r="G278" s="7">
        <v>0.08</v>
      </c>
      <c r="H278">
        <v>12</v>
      </c>
      <c r="I278">
        <v>0</v>
      </c>
      <c r="J278">
        <v>0</v>
      </c>
      <c r="K278">
        <v>0</v>
      </c>
      <c r="L278">
        <v>1</v>
      </c>
      <c r="M278">
        <v>2</v>
      </c>
      <c r="N278" s="7">
        <v>9</v>
      </c>
      <c r="O278" s="7">
        <v>0</v>
      </c>
      <c r="P278" s="7">
        <v>0</v>
      </c>
      <c r="Q278" s="7">
        <v>0</v>
      </c>
      <c r="R278" s="7">
        <v>1</v>
      </c>
      <c r="S278" s="7">
        <v>4</v>
      </c>
      <c r="T278">
        <v>7</v>
      </c>
      <c r="U278" s="1">
        <v>0</v>
      </c>
      <c r="V278">
        <v>4</v>
      </c>
      <c r="W278">
        <v>1</v>
      </c>
      <c r="X278">
        <v>1</v>
      </c>
      <c r="Y278">
        <v>0.16</v>
      </c>
      <c r="Z278">
        <v>23</v>
      </c>
      <c r="AA278">
        <v>0</v>
      </c>
      <c r="AB278">
        <v>0</v>
      </c>
      <c r="AC278">
        <v>0</v>
      </c>
      <c r="AD278">
        <v>1</v>
      </c>
      <c r="AE278">
        <v>0.03</v>
      </c>
      <c r="AF278">
        <v>15</v>
      </c>
      <c r="AG278">
        <v>0</v>
      </c>
      <c r="AH278">
        <v>0</v>
      </c>
      <c r="AI278">
        <v>0</v>
      </c>
      <c r="AJ278">
        <v>1</v>
      </c>
      <c r="AK278">
        <v>0.01</v>
      </c>
      <c r="AL278">
        <v>16</v>
      </c>
      <c r="AM278">
        <v>0</v>
      </c>
      <c r="AN278">
        <v>0</v>
      </c>
      <c r="AO278">
        <v>0</v>
      </c>
      <c r="AP278">
        <v>1</v>
      </c>
      <c r="AQ278">
        <v>5.0000000000000001E-3</v>
      </c>
      <c r="AR278">
        <v>6</v>
      </c>
      <c r="AS278">
        <v>2</v>
      </c>
      <c r="AT278">
        <v>5</v>
      </c>
      <c r="AU278">
        <v>5</v>
      </c>
      <c r="AV278">
        <v>1</v>
      </c>
      <c r="AW278">
        <v>0.01</v>
      </c>
      <c r="AX278">
        <v>7</v>
      </c>
      <c r="AY278" s="1">
        <v>0</v>
      </c>
      <c r="AZ278">
        <v>2</v>
      </c>
      <c r="BA278">
        <v>2</v>
      </c>
      <c r="BB278">
        <v>1</v>
      </c>
      <c r="BC278" s="7">
        <v>0.4</v>
      </c>
      <c r="BD278">
        <v>30</v>
      </c>
      <c r="BE278">
        <v>0</v>
      </c>
      <c r="BF278">
        <v>0</v>
      </c>
      <c r="BG278">
        <v>0</v>
      </c>
      <c r="BH278">
        <v>5</v>
      </c>
      <c r="BI278">
        <v>2.4</v>
      </c>
      <c r="BJ278">
        <v>31</v>
      </c>
      <c r="BK278">
        <v>0</v>
      </c>
      <c r="BL278">
        <v>0</v>
      </c>
      <c r="BM278">
        <v>0</v>
      </c>
      <c r="BN278">
        <v>5</v>
      </c>
      <c r="BO278">
        <v>2.4</v>
      </c>
      <c r="BP278">
        <v>36</v>
      </c>
      <c r="BQ278">
        <v>0</v>
      </c>
      <c r="BR278">
        <v>0</v>
      </c>
      <c r="BS278">
        <v>0</v>
      </c>
      <c r="BT278">
        <v>5</v>
      </c>
      <c r="BU278">
        <v>2.2999999999999998</v>
      </c>
    </row>
    <row r="279" spans="1:73" x14ac:dyDescent="0.15">
      <c r="A279" s="11">
        <v>1026</v>
      </c>
      <c r="B279">
        <v>7</v>
      </c>
      <c r="C279" s="1">
        <v>37</v>
      </c>
      <c r="D279">
        <v>0</v>
      </c>
      <c r="E279">
        <v>0</v>
      </c>
      <c r="F279">
        <v>1</v>
      </c>
      <c r="G279" s="7">
        <v>0.08</v>
      </c>
      <c r="H279">
        <v>12</v>
      </c>
      <c r="I279">
        <v>0</v>
      </c>
      <c r="J279">
        <v>0</v>
      </c>
      <c r="K279">
        <v>0</v>
      </c>
      <c r="L279">
        <v>1</v>
      </c>
      <c r="M279">
        <v>2</v>
      </c>
      <c r="N279" s="7">
        <v>9</v>
      </c>
      <c r="O279" s="7">
        <v>0</v>
      </c>
      <c r="P279" s="7">
        <v>0</v>
      </c>
      <c r="Q279" s="7">
        <v>0</v>
      </c>
      <c r="R279" s="7">
        <v>1</v>
      </c>
      <c r="S279" s="7">
        <v>4</v>
      </c>
      <c r="T279">
        <v>7</v>
      </c>
      <c r="U279" s="1">
        <v>29</v>
      </c>
      <c r="V279">
        <v>0</v>
      </c>
      <c r="W279">
        <v>0</v>
      </c>
      <c r="X279">
        <v>1</v>
      </c>
      <c r="Y279">
        <v>0.16</v>
      </c>
      <c r="Z279">
        <v>23</v>
      </c>
      <c r="AA279">
        <v>0</v>
      </c>
      <c r="AB279">
        <v>0</v>
      </c>
      <c r="AC279">
        <v>0</v>
      </c>
      <c r="AD279">
        <v>1</v>
      </c>
      <c r="AE279">
        <v>0.03</v>
      </c>
      <c r="AF279">
        <v>15</v>
      </c>
      <c r="AG279">
        <v>0</v>
      </c>
      <c r="AH279">
        <v>0</v>
      </c>
      <c r="AI279">
        <v>0</v>
      </c>
      <c r="AJ279">
        <v>1</v>
      </c>
      <c r="AK279">
        <v>0.01</v>
      </c>
      <c r="AL279">
        <v>16</v>
      </c>
      <c r="AM279">
        <v>0</v>
      </c>
      <c r="AN279">
        <v>0</v>
      </c>
      <c r="AO279">
        <v>0</v>
      </c>
      <c r="AP279">
        <v>1</v>
      </c>
      <c r="AQ279">
        <v>5.0000000000000001E-3</v>
      </c>
      <c r="AX279">
        <v>7</v>
      </c>
      <c r="AY279" s="1">
        <v>13</v>
      </c>
      <c r="AZ279">
        <v>0</v>
      </c>
      <c r="BA279">
        <v>0</v>
      </c>
      <c r="BB279">
        <v>1</v>
      </c>
      <c r="BC279" s="7">
        <v>0.4</v>
      </c>
      <c r="BD279">
        <v>30</v>
      </c>
      <c r="BE279">
        <v>0</v>
      </c>
      <c r="BF279">
        <v>0</v>
      </c>
      <c r="BG279">
        <v>0</v>
      </c>
      <c r="BH279">
        <v>5</v>
      </c>
      <c r="BI279">
        <v>2.4</v>
      </c>
      <c r="BJ279">
        <v>31</v>
      </c>
      <c r="BK279">
        <v>0</v>
      </c>
      <c r="BL279">
        <v>0</v>
      </c>
      <c r="BM279">
        <v>0</v>
      </c>
      <c r="BN279">
        <v>5</v>
      </c>
      <c r="BO279">
        <v>2.4</v>
      </c>
      <c r="BP279">
        <v>36</v>
      </c>
      <c r="BQ279">
        <v>0</v>
      </c>
      <c r="BR279">
        <v>0</v>
      </c>
      <c r="BS279">
        <v>0</v>
      </c>
      <c r="BT279">
        <v>5</v>
      </c>
      <c r="BU279">
        <v>2.2999999999999998</v>
      </c>
    </row>
    <row r="280" spans="1:73" x14ac:dyDescent="0.15">
      <c r="A280" s="11">
        <v>1027</v>
      </c>
      <c r="B280">
        <v>7</v>
      </c>
      <c r="C280" s="1">
        <v>38</v>
      </c>
      <c r="D280">
        <v>0</v>
      </c>
      <c r="E280">
        <v>0</v>
      </c>
      <c r="F280">
        <v>1</v>
      </c>
      <c r="G280" s="7">
        <v>0.08</v>
      </c>
      <c r="H280">
        <v>12</v>
      </c>
      <c r="I280">
        <v>0</v>
      </c>
      <c r="J280">
        <v>0</v>
      </c>
      <c r="K280">
        <v>0</v>
      </c>
      <c r="L280">
        <v>1</v>
      </c>
      <c r="M280">
        <v>2</v>
      </c>
      <c r="N280" s="7">
        <v>9</v>
      </c>
      <c r="O280" s="7">
        <v>0</v>
      </c>
      <c r="P280" s="7">
        <v>0</v>
      </c>
      <c r="Q280" s="7">
        <v>0</v>
      </c>
      <c r="R280" s="7">
        <v>1</v>
      </c>
      <c r="S280" s="7">
        <v>4</v>
      </c>
      <c r="T280">
        <v>7</v>
      </c>
      <c r="U280" s="1">
        <v>30</v>
      </c>
      <c r="V280">
        <v>0</v>
      </c>
      <c r="W280">
        <v>0</v>
      </c>
      <c r="X280">
        <v>1</v>
      </c>
      <c r="Y280">
        <v>0.16</v>
      </c>
      <c r="Z280">
        <v>23</v>
      </c>
      <c r="AA280">
        <v>0</v>
      </c>
      <c r="AB280">
        <v>0</v>
      </c>
      <c r="AC280">
        <v>0</v>
      </c>
      <c r="AD280">
        <v>1</v>
      </c>
      <c r="AE280">
        <v>0.03</v>
      </c>
      <c r="AF280">
        <v>15</v>
      </c>
      <c r="AG280">
        <v>0</v>
      </c>
      <c r="AH280">
        <v>0</v>
      </c>
      <c r="AI280">
        <v>0</v>
      </c>
      <c r="AJ280">
        <v>1</v>
      </c>
      <c r="AK280">
        <v>0.01</v>
      </c>
      <c r="AL280">
        <v>16</v>
      </c>
      <c r="AM280">
        <v>0</v>
      </c>
      <c r="AN280">
        <v>0</v>
      </c>
      <c r="AO280">
        <v>0</v>
      </c>
      <c r="AP280">
        <v>1</v>
      </c>
      <c r="AQ280">
        <v>5.0000000000000001E-3</v>
      </c>
      <c r="AX280">
        <v>7</v>
      </c>
      <c r="AY280" s="1">
        <v>14</v>
      </c>
      <c r="AZ280">
        <v>0</v>
      </c>
      <c r="BA280">
        <v>0</v>
      </c>
      <c r="BB280">
        <v>1</v>
      </c>
      <c r="BC280" s="7">
        <v>0.4</v>
      </c>
      <c r="BD280">
        <v>30</v>
      </c>
      <c r="BE280">
        <v>0</v>
      </c>
      <c r="BF280">
        <v>0</v>
      </c>
      <c r="BG280">
        <v>0</v>
      </c>
      <c r="BH280">
        <v>5</v>
      </c>
      <c r="BI280">
        <v>2.4</v>
      </c>
      <c r="BJ280">
        <v>31</v>
      </c>
      <c r="BK280">
        <v>0</v>
      </c>
      <c r="BL280">
        <v>0</v>
      </c>
      <c r="BM280">
        <v>0</v>
      </c>
      <c r="BN280">
        <v>5</v>
      </c>
      <c r="BO280">
        <v>2.4</v>
      </c>
      <c r="BP280">
        <v>36</v>
      </c>
      <c r="BQ280">
        <v>0</v>
      </c>
      <c r="BR280">
        <v>0</v>
      </c>
      <c r="BS280">
        <v>0</v>
      </c>
      <c r="BT280">
        <v>5</v>
      </c>
      <c r="BU280">
        <v>2.2999999999999998</v>
      </c>
    </row>
    <row r="281" spans="1:73" x14ac:dyDescent="0.15">
      <c r="A281" s="11">
        <v>1028</v>
      </c>
      <c r="B281">
        <v>7</v>
      </c>
      <c r="C281" s="1">
        <v>39</v>
      </c>
      <c r="D281">
        <v>0</v>
      </c>
      <c r="E281">
        <v>0</v>
      </c>
      <c r="F281">
        <v>1</v>
      </c>
      <c r="G281" s="7">
        <v>0.08</v>
      </c>
      <c r="H281">
        <v>12</v>
      </c>
      <c r="I281">
        <v>0</v>
      </c>
      <c r="J281">
        <v>0</v>
      </c>
      <c r="K281">
        <v>0</v>
      </c>
      <c r="L281">
        <v>1</v>
      </c>
      <c r="M281">
        <v>2</v>
      </c>
      <c r="N281" s="7">
        <v>9</v>
      </c>
      <c r="O281" s="7">
        <v>0</v>
      </c>
      <c r="P281" s="7">
        <v>0</v>
      </c>
      <c r="Q281" s="7">
        <v>0</v>
      </c>
      <c r="R281" s="7">
        <v>1</v>
      </c>
      <c r="S281" s="7">
        <v>4</v>
      </c>
      <c r="T281">
        <v>7</v>
      </c>
      <c r="U281" s="1">
        <v>31</v>
      </c>
      <c r="V281">
        <v>0</v>
      </c>
      <c r="W281">
        <v>0</v>
      </c>
      <c r="X281">
        <v>1</v>
      </c>
      <c r="Y281">
        <v>0.16</v>
      </c>
      <c r="Z281">
        <v>23</v>
      </c>
      <c r="AA281">
        <v>0</v>
      </c>
      <c r="AB281">
        <v>0</v>
      </c>
      <c r="AC281">
        <v>0</v>
      </c>
      <c r="AD281">
        <v>1</v>
      </c>
      <c r="AE281">
        <v>0.03</v>
      </c>
      <c r="AF281">
        <v>15</v>
      </c>
      <c r="AG281">
        <v>0</v>
      </c>
      <c r="AH281">
        <v>0</v>
      </c>
      <c r="AI281">
        <v>0</v>
      </c>
      <c r="AJ281">
        <v>1</v>
      </c>
      <c r="AK281">
        <v>0.01</v>
      </c>
      <c r="AL281">
        <v>16</v>
      </c>
      <c r="AM281">
        <v>0</v>
      </c>
      <c r="AN281">
        <v>0</v>
      </c>
      <c r="AO281">
        <v>0</v>
      </c>
      <c r="AP281">
        <v>1</v>
      </c>
      <c r="AQ281">
        <v>5.0000000000000001E-3</v>
      </c>
      <c r="AX281">
        <v>7</v>
      </c>
      <c r="AY281" s="1">
        <v>15</v>
      </c>
      <c r="AZ281">
        <v>0</v>
      </c>
      <c r="BA281">
        <v>0</v>
      </c>
      <c r="BB281">
        <v>1</v>
      </c>
      <c r="BC281" s="7">
        <v>0.4</v>
      </c>
      <c r="BD281">
        <v>30</v>
      </c>
      <c r="BE281">
        <v>0</v>
      </c>
      <c r="BF281">
        <v>0</v>
      </c>
      <c r="BG281">
        <v>0</v>
      </c>
      <c r="BH281">
        <v>5</v>
      </c>
      <c r="BI281">
        <v>2.4</v>
      </c>
      <c r="BJ281">
        <v>31</v>
      </c>
      <c r="BK281">
        <v>0</v>
      </c>
      <c r="BL281">
        <v>0</v>
      </c>
      <c r="BM281">
        <v>0</v>
      </c>
      <c r="BN281">
        <v>5</v>
      </c>
      <c r="BO281">
        <v>2.4</v>
      </c>
      <c r="BP281">
        <v>36</v>
      </c>
      <c r="BQ281">
        <v>0</v>
      </c>
      <c r="BR281">
        <v>0</v>
      </c>
      <c r="BS281">
        <v>0</v>
      </c>
      <c r="BT281">
        <v>5</v>
      </c>
      <c r="BU281">
        <v>2.2999999999999998</v>
      </c>
    </row>
    <row r="282" spans="1:73" x14ac:dyDescent="0.15">
      <c r="A282" s="11">
        <v>1029</v>
      </c>
      <c r="B282">
        <v>7</v>
      </c>
      <c r="C282" s="1">
        <v>40</v>
      </c>
      <c r="D282">
        <v>0</v>
      </c>
      <c r="E282">
        <v>0</v>
      </c>
      <c r="F282">
        <v>1</v>
      </c>
      <c r="G282" s="7">
        <v>0.08</v>
      </c>
      <c r="H282">
        <v>12</v>
      </c>
      <c r="I282">
        <v>0</v>
      </c>
      <c r="J282">
        <v>0</v>
      </c>
      <c r="K282">
        <v>0</v>
      </c>
      <c r="L282">
        <v>1</v>
      </c>
      <c r="M282">
        <v>2</v>
      </c>
      <c r="N282" s="7">
        <v>9</v>
      </c>
      <c r="O282" s="7">
        <v>0</v>
      </c>
      <c r="P282" s="7">
        <v>0</v>
      </c>
      <c r="Q282" s="7">
        <v>0</v>
      </c>
      <c r="R282" s="7">
        <v>1</v>
      </c>
      <c r="S282" s="7">
        <v>4</v>
      </c>
      <c r="T282">
        <v>7</v>
      </c>
      <c r="U282" s="1">
        <v>32</v>
      </c>
      <c r="V282">
        <v>0</v>
      </c>
      <c r="W282">
        <v>0</v>
      </c>
      <c r="X282">
        <v>1</v>
      </c>
      <c r="Y282">
        <v>0.16</v>
      </c>
      <c r="Z282">
        <v>23</v>
      </c>
      <c r="AA282">
        <v>0</v>
      </c>
      <c r="AB282">
        <v>0</v>
      </c>
      <c r="AC282">
        <v>0</v>
      </c>
      <c r="AD282">
        <v>1</v>
      </c>
      <c r="AE282">
        <v>0.03</v>
      </c>
      <c r="AF282">
        <v>15</v>
      </c>
      <c r="AG282">
        <v>0</v>
      </c>
      <c r="AH282">
        <v>0</v>
      </c>
      <c r="AI282">
        <v>0</v>
      </c>
      <c r="AJ282">
        <v>1</v>
      </c>
      <c r="AK282">
        <v>0.01</v>
      </c>
      <c r="AL282">
        <v>16</v>
      </c>
      <c r="AM282">
        <v>0</v>
      </c>
      <c r="AN282">
        <v>0</v>
      </c>
      <c r="AO282">
        <v>0</v>
      </c>
      <c r="AP282">
        <v>1</v>
      </c>
      <c r="AQ282">
        <v>5.0000000000000001E-3</v>
      </c>
      <c r="AX282">
        <v>7</v>
      </c>
      <c r="AY282" s="1">
        <v>16</v>
      </c>
      <c r="AZ282">
        <v>0</v>
      </c>
      <c r="BA282">
        <v>0</v>
      </c>
      <c r="BB282">
        <v>1</v>
      </c>
      <c r="BC282" s="7">
        <v>0.4</v>
      </c>
      <c r="BD282">
        <v>30</v>
      </c>
      <c r="BE282">
        <v>0</v>
      </c>
      <c r="BF282">
        <v>0</v>
      </c>
      <c r="BG282">
        <v>0</v>
      </c>
      <c r="BH282">
        <v>5</v>
      </c>
      <c r="BI282">
        <v>2.4</v>
      </c>
      <c r="BJ282">
        <v>31</v>
      </c>
      <c r="BK282">
        <v>0</v>
      </c>
      <c r="BL282">
        <v>0</v>
      </c>
      <c r="BM282">
        <v>0</v>
      </c>
      <c r="BN282">
        <v>5</v>
      </c>
      <c r="BO282">
        <v>2.4</v>
      </c>
      <c r="BP282">
        <v>36</v>
      </c>
      <c r="BQ282">
        <v>0</v>
      </c>
      <c r="BR282">
        <v>0</v>
      </c>
      <c r="BS282">
        <v>0</v>
      </c>
      <c r="BT282">
        <v>5</v>
      </c>
      <c r="BU282">
        <v>2.2999999999999998</v>
      </c>
    </row>
    <row r="283" spans="1:73" x14ac:dyDescent="0.15">
      <c r="A283" s="11">
        <v>1030</v>
      </c>
      <c r="B283">
        <v>7</v>
      </c>
      <c r="C283" s="1">
        <v>0</v>
      </c>
      <c r="D283">
        <v>4</v>
      </c>
      <c r="E283">
        <v>3</v>
      </c>
      <c r="F283">
        <v>1</v>
      </c>
      <c r="G283" s="7">
        <v>0.08</v>
      </c>
      <c r="H283">
        <v>12</v>
      </c>
      <c r="I283">
        <v>0</v>
      </c>
      <c r="J283">
        <v>0</v>
      </c>
      <c r="K283">
        <v>0</v>
      </c>
      <c r="L283">
        <v>1</v>
      </c>
      <c r="M283">
        <v>2</v>
      </c>
      <c r="N283" s="7">
        <v>9</v>
      </c>
      <c r="O283" s="7">
        <v>0</v>
      </c>
      <c r="P283" s="7">
        <v>0</v>
      </c>
      <c r="Q283" s="7">
        <v>0</v>
      </c>
      <c r="R283" s="7">
        <v>1</v>
      </c>
      <c r="S283" s="7">
        <v>4</v>
      </c>
      <c r="T283">
        <v>7</v>
      </c>
      <c r="U283" s="1">
        <v>0</v>
      </c>
      <c r="V283">
        <v>4</v>
      </c>
      <c r="W283">
        <v>1</v>
      </c>
      <c r="X283">
        <v>1</v>
      </c>
      <c r="Y283">
        <v>0.16</v>
      </c>
      <c r="Z283">
        <v>23</v>
      </c>
      <c r="AA283">
        <v>0</v>
      </c>
      <c r="AB283">
        <v>0</v>
      </c>
      <c r="AC283">
        <v>0</v>
      </c>
      <c r="AD283">
        <v>1</v>
      </c>
      <c r="AE283">
        <v>0.03</v>
      </c>
      <c r="AF283">
        <v>15</v>
      </c>
      <c r="AG283">
        <v>0</v>
      </c>
      <c r="AH283">
        <v>0</v>
      </c>
      <c r="AI283">
        <v>0</v>
      </c>
      <c r="AJ283">
        <v>1</v>
      </c>
      <c r="AK283">
        <v>0.01</v>
      </c>
      <c r="AL283">
        <v>16</v>
      </c>
      <c r="AM283">
        <v>0</v>
      </c>
      <c r="AN283">
        <v>0</v>
      </c>
      <c r="AO283">
        <v>0</v>
      </c>
      <c r="AP283">
        <v>1</v>
      </c>
      <c r="AQ283">
        <v>5.0000000000000001E-3</v>
      </c>
      <c r="AR283">
        <v>6</v>
      </c>
      <c r="AS283">
        <v>2</v>
      </c>
      <c r="AT283">
        <v>1</v>
      </c>
      <c r="AU283">
        <v>5</v>
      </c>
      <c r="AV283">
        <v>1</v>
      </c>
      <c r="AW283">
        <v>0.05</v>
      </c>
      <c r="AX283">
        <v>7</v>
      </c>
      <c r="AY283" s="1">
        <v>0</v>
      </c>
      <c r="AZ283">
        <v>2</v>
      </c>
      <c r="BA283">
        <v>2</v>
      </c>
      <c r="BB283">
        <v>1</v>
      </c>
      <c r="BC283" s="7">
        <v>0.4</v>
      </c>
      <c r="BD283">
        <v>30</v>
      </c>
      <c r="BE283">
        <v>0</v>
      </c>
      <c r="BF283">
        <v>0</v>
      </c>
      <c r="BG283">
        <v>0</v>
      </c>
      <c r="BH283">
        <v>5</v>
      </c>
      <c r="BI283">
        <v>2.4</v>
      </c>
      <c r="BJ283">
        <v>31</v>
      </c>
      <c r="BK283">
        <v>0</v>
      </c>
      <c r="BL283">
        <v>0</v>
      </c>
      <c r="BM283">
        <v>0</v>
      </c>
      <c r="BN283">
        <v>5</v>
      </c>
      <c r="BO283">
        <v>2.4</v>
      </c>
      <c r="BP283">
        <v>36</v>
      </c>
      <c r="BQ283">
        <v>0</v>
      </c>
      <c r="BR283">
        <v>0</v>
      </c>
      <c r="BS283">
        <v>0</v>
      </c>
      <c r="BT283">
        <v>5</v>
      </c>
      <c r="BU283">
        <v>2.2999999999999998</v>
      </c>
    </row>
    <row r="284" spans="1:73" x14ac:dyDescent="0.15">
      <c r="A284" s="11">
        <v>1031</v>
      </c>
      <c r="B284">
        <v>7</v>
      </c>
      <c r="C284" s="1">
        <v>37</v>
      </c>
      <c r="D284">
        <v>0</v>
      </c>
      <c r="E284">
        <v>0</v>
      </c>
      <c r="F284">
        <v>1</v>
      </c>
      <c r="G284" s="7">
        <v>0.08</v>
      </c>
      <c r="H284">
        <v>12</v>
      </c>
      <c r="I284">
        <v>0</v>
      </c>
      <c r="J284">
        <v>0</v>
      </c>
      <c r="K284">
        <v>0</v>
      </c>
      <c r="L284">
        <v>1</v>
      </c>
      <c r="M284">
        <v>2</v>
      </c>
      <c r="N284" s="7">
        <v>9</v>
      </c>
      <c r="O284" s="7">
        <v>0</v>
      </c>
      <c r="P284" s="7">
        <v>0</v>
      </c>
      <c r="Q284" s="7">
        <v>0</v>
      </c>
      <c r="R284" s="7">
        <v>1</v>
      </c>
      <c r="S284" s="7">
        <v>4</v>
      </c>
      <c r="T284">
        <v>7</v>
      </c>
      <c r="U284" s="1">
        <v>29</v>
      </c>
      <c r="V284">
        <v>0</v>
      </c>
      <c r="W284">
        <v>0</v>
      </c>
      <c r="X284">
        <v>1</v>
      </c>
      <c r="Y284">
        <v>0.16</v>
      </c>
      <c r="Z284">
        <v>23</v>
      </c>
      <c r="AA284">
        <v>0</v>
      </c>
      <c r="AB284">
        <v>0</v>
      </c>
      <c r="AC284">
        <v>0</v>
      </c>
      <c r="AD284">
        <v>1</v>
      </c>
      <c r="AE284">
        <v>0.03</v>
      </c>
      <c r="AF284">
        <v>15</v>
      </c>
      <c r="AG284">
        <v>0</v>
      </c>
      <c r="AH284">
        <v>0</v>
      </c>
      <c r="AI284">
        <v>0</v>
      </c>
      <c r="AJ284">
        <v>1</v>
      </c>
      <c r="AK284">
        <v>0.01</v>
      </c>
      <c r="AL284">
        <v>16</v>
      </c>
      <c r="AM284">
        <v>0</v>
      </c>
      <c r="AN284">
        <v>0</v>
      </c>
      <c r="AO284">
        <v>0</v>
      </c>
      <c r="AP284">
        <v>1</v>
      </c>
      <c r="AQ284">
        <v>5.0000000000000001E-3</v>
      </c>
      <c r="AX284">
        <v>7</v>
      </c>
      <c r="AY284" s="1">
        <v>13</v>
      </c>
      <c r="AZ284">
        <v>0</v>
      </c>
      <c r="BA284">
        <v>0</v>
      </c>
      <c r="BB284">
        <v>1</v>
      </c>
      <c r="BC284" s="7">
        <v>0.4</v>
      </c>
      <c r="BD284">
        <v>30</v>
      </c>
      <c r="BE284">
        <v>0</v>
      </c>
      <c r="BF284">
        <v>0</v>
      </c>
      <c r="BG284">
        <v>0</v>
      </c>
      <c r="BH284">
        <v>5</v>
      </c>
      <c r="BI284">
        <v>2.4</v>
      </c>
      <c r="BJ284">
        <v>31</v>
      </c>
      <c r="BK284">
        <v>0</v>
      </c>
      <c r="BL284">
        <v>0</v>
      </c>
      <c r="BM284">
        <v>0</v>
      </c>
      <c r="BN284">
        <v>5</v>
      </c>
      <c r="BO284">
        <v>2.4</v>
      </c>
      <c r="BP284">
        <v>36</v>
      </c>
      <c r="BQ284">
        <v>0</v>
      </c>
      <c r="BR284">
        <v>0</v>
      </c>
      <c r="BS284">
        <v>0</v>
      </c>
      <c r="BT284">
        <v>5</v>
      </c>
      <c r="BU284">
        <v>2.2999999999999998</v>
      </c>
    </row>
    <row r="285" spans="1:73" x14ac:dyDescent="0.15">
      <c r="A285" s="11">
        <v>1032</v>
      </c>
      <c r="B285">
        <v>7</v>
      </c>
      <c r="C285" s="1">
        <v>38</v>
      </c>
      <c r="D285">
        <v>0</v>
      </c>
      <c r="E285">
        <v>0</v>
      </c>
      <c r="F285">
        <v>1</v>
      </c>
      <c r="G285" s="7">
        <v>0.08</v>
      </c>
      <c r="H285">
        <v>12</v>
      </c>
      <c r="I285">
        <v>0</v>
      </c>
      <c r="J285">
        <v>0</v>
      </c>
      <c r="K285">
        <v>0</v>
      </c>
      <c r="L285">
        <v>1</v>
      </c>
      <c r="M285">
        <v>2</v>
      </c>
      <c r="N285" s="7">
        <v>9</v>
      </c>
      <c r="O285" s="7">
        <v>0</v>
      </c>
      <c r="P285" s="7">
        <v>0</v>
      </c>
      <c r="Q285" s="7">
        <v>0</v>
      </c>
      <c r="R285" s="7">
        <v>1</v>
      </c>
      <c r="S285" s="7">
        <v>4</v>
      </c>
      <c r="T285">
        <v>7</v>
      </c>
      <c r="U285" s="1">
        <v>30</v>
      </c>
      <c r="V285">
        <v>0</v>
      </c>
      <c r="W285">
        <v>0</v>
      </c>
      <c r="X285">
        <v>1</v>
      </c>
      <c r="Y285">
        <v>0.16</v>
      </c>
      <c r="Z285">
        <v>23</v>
      </c>
      <c r="AA285">
        <v>0</v>
      </c>
      <c r="AB285">
        <v>0</v>
      </c>
      <c r="AC285">
        <v>0</v>
      </c>
      <c r="AD285">
        <v>1</v>
      </c>
      <c r="AE285">
        <v>0.03</v>
      </c>
      <c r="AF285">
        <v>15</v>
      </c>
      <c r="AG285">
        <v>0</v>
      </c>
      <c r="AH285">
        <v>0</v>
      </c>
      <c r="AI285">
        <v>0</v>
      </c>
      <c r="AJ285">
        <v>1</v>
      </c>
      <c r="AK285">
        <v>0.01</v>
      </c>
      <c r="AL285">
        <v>16</v>
      </c>
      <c r="AM285">
        <v>0</v>
      </c>
      <c r="AN285">
        <v>0</v>
      </c>
      <c r="AO285">
        <v>0</v>
      </c>
      <c r="AP285">
        <v>1</v>
      </c>
      <c r="AQ285">
        <v>5.0000000000000001E-3</v>
      </c>
      <c r="AX285">
        <v>7</v>
      </c>
      <c r="AY285" s="1">
        <v>14</v>
      </c>
      <c r="AZ285">
        <v>0</v>
      </c>
      <c r="BA285">
        <v>0</v>
      </c>
      <c r="BB285">
        <v>1</v>
      </c>
      <c r="BC285" s="7">
        <v>0.4</v>
      </c>
      <c r="BD285">
        <v>30</v>
      </c>
      <c r="BE285">
        <v>0</v>
      </c>
      <c r="BF285">
        <v>0</v>
      </c>
      <c r="BG285">
        <v>0</v>
      </c>
      <c r="BH285">
        <v>5</v>
      </c>
      <c r="BI285">
        <v>2.4</v>
      </c>
      <c r="BJ285">
        <v>31</v>
      </c>
      <c r="BK285">
        <v>0</v>
      </c>
      <c r="BL285">
        <v>0</v>
      </c>
      <c r="BM285">
        <v>0</v>
      </c>
      <c r="BN285">
        <v>5</v>
      </c>
      <c r="BO285">
        <v>2.4</v>
      </c>
      <c r="BP285">
        <v>36</v>
      </c>
      <c r="BQ285">
        <v>0</v>
      </c>
      <c r="BR285">
        <v>0</v>
      </c>
      <c r="BS285">
        <v>0</v>
      </c>
      <c r="BT285">
        <v>5</v>
      </c>
      <c r="BU285">
        <v>2.2999999999999998</v>
      </c>
    </row>
    <row r="286" spans="1:73" x14ac:dyDescent="0.15">
      <c r="A286" s="11">
        <v>1033</v>
      </c>
      <c r="B286">
        <v>7</v>
      </c>
      <c r="C286" s="1">
        <v>39</v>
      </c>
      <c r="D286">
        <v>0</v>
      </c>
      <c r="E286">
        <v>0</v>
      </c>
      <c r="F286">
        <v>1</v>
      </c>
      <c r="G286" s="7">
        <v>0.08</v>
      </c>
      <c r="H286">
        <v>12</v>
      </c>
      <c r="I286">
        <v>0</v>
      </c>
      <c r="J286">
        <v>0</v>
      </c>
      <c r="K286">
        <v>0</v>
      </c>
      <c r="L286">
        <v>1</v>
      </c>
      <c r="M286">
        <v>2</v>
      </c>
      <c r="N286" s="7">
        <v>9</v>
      </c>
      <c r="O286" s="7">
        <v>0</v>
      </c>
      <c r="P286" s="7">
        <v>0</v>
      </c>
      <c r="Q286" s="7">
        <v>0</v>
      </c>
      <c r="R286" s="7">
        <v>1</v>
      </c>
      <c r="S286" s="7">
        <v>4</v>
      </c>
      <c r="T286">
        <v>7</v>
      </c>
      <c r="U286" s="1">
        <v>31</v>
      </c>
      <c r="V286">
        <v>0</v>
      </c>
      <c r="W286">
        <v>0</v>
      </c>
      <c r="X286">
        <v>1</v>
      </c>
      <c r="Y286">
        <v>0.16</v>
      </c>
      <c r="Z286">
        <v>23</v>
      </c>
      <c r="AA286">
        <v>0</v>
      </c>
      <c r="AB286">
        <v>0</v>
      </c>
      <c r="AC286">
        <v>0</v>
      </c>
      <c r="AD286">
        <v>1</v>
      </c>
      <c r="AE286">
        <v>0.03</v>
      </c>
      <c r="AF286">
        <v>15</v>
      </c>
      <c r="AG286">
        <v>0</v>
      </c>
      <c r="AH286">
        <v>0</v>
      </c>
      <c r="AI286">
        <v>0</v>
      </c>
      <c r="AJ286">
        <v>1</v>
      </c>
      <c r="AK286">
        <v>0.01</v>
      </c>
      <c r="AL286">
        <v>16</v>
      </c>
      <c r="AM286">
        <v>0</v>
      </c>
      <c r="AN286">
        <v>0</v>
      </c>
      <c r="AO286">
        <v>0</v>
      </c>
      <c r="AP286">
        <v>1</v>
      </c>
      <c r="AQ286">
        <v>5.0000000000000001E-3</v>
      </c>
      <c r="AX286">
        <v>7</v>
      </c>
      <c r="AY286" s="1">
        <v>15</v>
      </c>
      <c r="AZ286">
        <v>0</v>
      </c>
      <c r="BA286">
        <v>0</v>
      </c>
      <c r="BB286">
        <v>1</v>
      </c>
      <c r="BC286" s="7">
        <v>0.4</v>
      </c>
      <c r="BD286">
        <v>30</v>
      </c>
      <c r="BE286">
        <v>0</v>
      </c>
      <c r="BF286">
        <v>0</v>
      </c>
      <c r="BG286">
        <v>0</v>
      </c>
      <c r="BH286">
        <v>5</v>
      </c>
      <c r="BI286">
        <v>2.4</v>
      </c>
      <c r="BJ286">
        <v>31</v>
      </c>
      <c r="BK286">
        <v>0</v>
      </c>
      <c r="BL286">
        <v>0</v>
      </c>
      <c r="BM286">
        <v>0</v>
      </c>
      <c r="BN286">
        <v>5</v>
      </c>
      <c r="BO286">
        <v>2.4</v>
      </c>
      <c r="BP286">
        <v>36</v>
      </c>
      <c r="BQ286">
        <v>0</v>
      </c>
      <c r="BR286">
        <v>0</v>
      </c>
      <c r="BS286">
        <v>0</v>
      </c>
      <c r="BT286">
        <v>5</v>
      </c>
      <c r="BU286">
        <v>2.2999999999999998</v>
      </c>
    </row>
    <row r="287" spans="1:73" x14ac:dyDescent="0.15">
      <c r="A287" s="11">
        <v>1034</v>
      </c>
      <c r="B287">
        <v>7</v>
      </c>
      <c r="C287" s="1">
        <v>40</v>
      </c>
      <c r="D287">
        <v>0</v>
      </c>
      <c r="E287">
        <v>0</v>
      </c>
      <c r="F287">
        <v>1</v>
      </c>
      <c r="G287" s="7">
        <v>0.08</v>
      </c>
      <c r="H287">
        <v>12</v>
      </c>
      <c r="I287">
        <v>0</v>
      </c>
      <c r="J287">
        <v>0</v>
      </c>
      <c r="K287">
        <v>0</v>
      </c>
      <c r="L287">
        <v>1</v>
      </c>
      <c r="M287">
        <v>2</v>
      </c>
      <c r="N287" s="7">
        <v>9</v>
      </c>
      <c r="O287" s="7">
        <v>0</v>
      </c>
      <c r="P287" s="7">
        <v>0</v>
      </c>
      <c r="Q287" s="7">
        <v>0</v>
      </c>
      <c r="R287" s="7">
        <v>1</v>
      </c>
      <c r="S287" s="7">
        <v>4</v>
      </c>
      <c r="T287">
        <v>7</v>
      </c>
      <c r="U287" s="1">
        <v>32</v>
      </c>
      <c r="V287">
        <v>0</v>
      </c>
      <c r="W287">
        <v>0</v>
      </c>
      <c r="X287">
        <v>1</v>
      </c>
      <c r="Y287">
        <v>0.16</v>
      </c>
      <c r="Z287">
        <v>23</v>
      </c>
      <c r="AA287">
        <v>0</v>
      </c>
      <c r="AB287">
        <v>0</v>
      </c>
      <c r="AC287">
        <v>0</v>
      </c>
      <c r="AD287">
        <v>1</v>
      </c>
      <c r="AE287">
        <v>0.03</v>
      </c>
      <c r="AF287">
        <v>15</v>
      </c>
      <c r="AG287">
        <v>0</v>
      </c>
      <c r="AH287">
        <v>0</v>
      </c>
      <c r="AI287">
        <v>0</v>
      </c>
      <c r="AJ287">
        <v>1</v>
      </c>
      <c r="AK287">
        <v>0.01</v>
      </c>
      <c r="AL287">
        <v>16</v>
      </c>
      <c r="AM287">
        <v>0</v>
      </c>
      <c r="AN287">
        <v>0</v>
      </c>
      <c r="AO287">
        <v>0</v>
      </c>
      <c r="AP287">
        <v>1</v>
      </c>
      <c r="AQ287">
        <v>5.0000000000000001E-3</v>
      </c>
      <c r="AX287">
        <v>7</v>
      </c>
      <c r="AY287" s="1">
        <v>16</v>
      </c>
      <c r="AZ287">
        <v>0</v>
      </c>
      <c r="BA287">
        <v>0</v>
      </c>
      <c r="BB287">
        <v>1</v>
      </c>
      <c r="BC287" s="7">
        <v>0.4</v>
      </c>
      <c r="BD287">
        <v>30</v>
      </c>
      <c r="BE287">
        <v>0</v>
      </c>
      <c r="BF287">
        <v>0</v>
      </c>
      <c r="BG287">
        <v>0</v>
      </c>
      <c r="BH287">
        <v>5</v>
      </c>
      <c r="BI287">
        <v>2.4</v>
      </c>
      <c r="BJ287">
        <v>31</v>
      </c>
      <c r="BK287">
        <v>0</v>
      </c>
      <c r="BL287">
        <v>0</v>
      </c>
      <c r="BM287">
        <v>0</v>
      </c>
      <c r="BN287">
        <v>5</v>
      </c>
      <c r="BO287">
        <v>2.4</v>
      </c>
      <c r="BP287">
        <v>36</v>
      </c>
      <c r="BQ287">
        <v>0</v>
      </c>
      <c r="BR287">
        <v>0</v>
      </c>
      <c r="BS287">
        <v>0</v>
      </c>
      <c r="BT287">
        <v>5</v>
      </c>
      <c r="BU287">
        <v>2.2999999999999998</v>
      </c>
    </row>
    <row r="288" spans="1:73" x14ac:dyDescent="0.15">
      <c r="A288" s="11">
        <v>1035</v>
      </c>
      <c r="B288">
        <v>7</v>
      </c>
      <c r="C288" s="1">
        <v>0</v>
      </c>
      <c r="D288">
        <v>4</v>
      </c>
      <c r="E288">
        <v>4</v>
      </c>
      <c r="F288">
        <v>1</v>
      </c>
      <c r="G288" s="7">
        <v>0.08</v>
      </c>
      <c r="H288">
        <v>12</v>
      </c>
      <c r="I288">
        <v>0</v>
      </c>
      <c r="J288">
        <v>0</v>
      </c>
      <c r="K288">
        <v>0</v>
      </c>
      <c r="L288">
        <v>1</v>
      </c>
      <c r="M288">
        <v>2</v>
      </c>
      <c r="N288" s="7">
        <v>9</v>
      </c>
      <c r="O288" s="7">
        <v>0</v>
      </c>
      <c r="P288" s="7">
        <v>0</v>
      </c>
      <c r="Q288" s="7">
        <v>0</v>
      </c>
      <c r="R288" s="7">
        <v>1</v>
      </c>
      <c r="S288" s="7">
        <v>4</v>
      </c>
      <c r="T288">
        <v>7</v>
      </c>
      <c r="U288" s="1">
        <v>0</v>
      </c>
      <c r="V288">
        <v>4</v>
      </c>
      <c r="W288">
        <v>1</v>
      </c>
      <c r="X288">
        <v>1</v>
      </c>
      <c r="Y288">
        <v>0.16</v>
      </c>
      <c r="Z288">
        <v>23</v>
      </c>
      <c r="AA288">
        <v>0</v>
      </c>
      <c r="AB288">
        <v>0</v>
      </c>
      <c r="AC288">
        <v>0</v>
      </c>
      <c r="AD288">
        <v>1</v>
      </c>
      <c r="AE288">
        <v>0.03</v>
      </c>
      <c r="AF288">
        <v>15</v>
      </c>
      <c r="AG288">
        <v>0</v>
      </c>
      <c r="AH288">
        <v>0</v>
      </c>
      <c r="AI288">
        <v>0</v>
      </c>
      <c r="AJ288">
        <v>1</v>
      </c>
      <c r="AK288">
        <v>0.01</v>
      </c>
      <c r="AL288">
        <v>16</v>
      </c>
      <c r="AM288">
        <v>0</v>
      </c>
      <c r="AN288">
        <v>0</v>
      </c>
      <c r="AO288">
        <v>0</v>
      </c>
      <c r="AP288">
        <v>1</v>
      </c>
      <c r="AQ288">
        <v>5.0000000000000001E-3</v>
      </c>
      <c r="AR288">
        <v>6</v>
      </c>
      <c r="AS288">
        <v>2</v>
      </c>
      <c r="AT288">
        <v>2</v>
      </c>
      <c r="AU288">
        <v>5</v>
      </c>
      <c r="AV288">
        <v>1</v>
      </c>
      <c r="AW288">
        <v>0.05</v>
      </c>
      <c r="AX288">
        <v>7</v>
      </c>
      <c r="AY288" s="1">
        <v>0</v>
      </c>
      <c r="AZ288">
        <v>2</v>
      </c>
      <c r="BA288">
        <v>2</v>
      </c>
      <c r="BB288">
        <v>1</v>
      </c>
      <c r="BC288" s="7">
        <v>0.4</v>
      </c>
      <c r="BD288">
        <v>30</v>
      </c>
      <c r="BE288">
        <v>0</v>
      </c>
      <c r="BF288">
        <v>0</v>
      </c>
      <c r="BG288">
        <v>0</v>
      </c>
      <c r="BH288">
        <v>5</v>
      </c>
      <c r="BI288">
        <v>2.4</v>
      </c>
      <c r="BJ288">
        <v>31</v>
      </c>
      <c r="BK288">
        <v>0</v>
      </c>
      <c r="BL288">
        <v>0</v>
      </c>
      <c r="BM288">
        <v>0</v>
      </c>
      <c r="BN288">
        <v>5</v>
      </c>
      <c r="BO288">
        <v>2.4</v>
      </c>
      <c r="BP288">
        <v>36</v>
      </c>
      <c r="BQ288">
        <v>0</v>
      </c>
      <c r="BR288">
        <v>0</v>
      </c>
      <c r="BS288">
        <v>0</v>
      </c>
      <c r="BT288">
        <v>5</v>
      </c>
      <c r="BU288">
        <v>2.2999999999999998</v>
      </c>
    </row>
    <row r="289" spans="1:73" x14ac:dyDescent="0.15">
      <c r="A289" s="11">
        <v>1036</v>
      </c>
      <c r="B289">
        <v>7</v>
      </c>
      <c r="C289" s="1">
        <v>37</v>
      </c>
      <c r="D289">
        <v>0</v>
      </c>
      <c r="E289">
        <v>0</v>
      </c>
      <c r="F289">
        <v>1</v>
      </c>
      <c r="G289" s="7">
        <v>0.08</v>
      </c>
      <c r="H289">
        <v>12</v>
      </c>
      <c r="I289">
        <v>0</v>
      </c>
      <c r="J289">
        <v>0</v>
      </c>
      <c r="K289">
        <v>0</v>
      </c>
      <c r="L289">
        <v>1</v>
      </c>
      <c r="M289">
        <v>2</v>
      </c>
      <c r="N289" s="7">
        <v>9</v>
      </c>
      <c r="O289" s="7">
        <v>0</v>
      </c>
      <c r="P289" s="7">
        <v>0</v>
      </c>
      <c r="Q289" s="7">
        <v>0</v>
      </c>
      <c r="R289" s="7">
        <v>1</v>
      </c>
      <c r="S289" s="7">
        <v>4</v>
      </c>
      <c r="T289">
        <v>7</v>
      </c>
      <c r="U289" s="1">
        <v>29</v>
      </c>
      <c r="V289">
        <v>0</v>
      </c>
      <c r="W289">
        <v>0</v>
      </c>
      <c r="X289">
        <v>1</v>
      </c>
      <c r="Y289">
        <v>0.16</v>
      </c>
      <c r="Z289">
        <v>23</v>
      </c>
      <c r="AA289">
        <v>0</v>
      </c>
      <c r="AB289">
        <v>0</v>
      </c>
      <c r="AC289">
        <v>0</v>
      </c>
      <c r="AD289">
        <v>1</v>
      </c>
      <c r="AE289">
        <v>0.03</v>
      </c>
      <c r="AF289">
        <v>15</v>
      </c>
      <c r="AG289">
        <v>0</v>
      </c>
      <c r="AH289">
        <v>0</v>
      </c>
      <c r="AI289">
        <v>0</v>
      </c>
      <c r="AJ289">
        <v>1</v>
      </c>
      <c r="AK289">
        <v>0.01</v>
      </c>
      <c r="AL289">
        <v>16</v>
      </c>
      <c r="AM289">
        <v>0</v>
      </c>
      <c r="AN289">
        <v>0</v>
      </c>
      <c r="AO289">
        <v>0</v>
      </c>
      <c r="AP289">
        <v>1</v>
      </c>
      <c r="AQ289">
        <v>5.0000000000000001E-3</v>
      </c>
      <c r="AX289">
        <v>7</v>
      </c>
      <c r="AY289" s="1">
        <v>13</v>
      </c>
      <c r="AZ289">
        <v>0</v>
      </c>
      <c r="BA289">
        <v>0</v>
      </c>
      <c r="BB289">
        <v>1</v>
      </c>
      <c r="BC289" s="7">
        <v>0.4</v>
      </c>
      <c r="BD289">
        <v>30</v>
      </c>
      <c r="BE289">
        <v>0</v>
      </c>
      <c r="BF289">
        <v>0</v>
      </c>
      <c r="BG289">
        <v>0</v>
      </c>
      <c r="BH289">
        <v>5</v>
      </c>
      <c r="BI289">
        <v>2.4</v>
      </c>
      <c r="BJ289">
        <v>31</v>
      </c>
      <c r="BK289">
        <v>0</v>
      </c>
      <c r="BL289">
        <v>0</v>
      </c>
      <c r="BM289">
        <v>0</v>
      </c>
      <c r="BN289">
        <v>5</v>
      </c>
      <c r="BO289">
        <v>2.4</v>
      </c>
      <c r="BP289">
        <v>36</v>
      </c>
      <c r="BQ289">
        <v>0</v>
      </c>
      <c r="BR289">
        <v>0</v>
      </c>
      <c r="BS289">
        <v>0</v>
      </c>
      <c r="BT289">
        <v>5</v>
      </c>
      <c r="BU289">
        <v>2.2999999999999998</v>
      </c>
    </row>
    <row r="290" spans="1:73" x14ac:dyDescent="0.15">
      <c r="A290" s="11">
        <v>1037</v>
      </c>
      <c r="B290">
        <v>7</v>
      </c>
      <c r="C290" s="1">
        <v>38</v>
      </c>
      <c r="D290">
        <v>0</v>
      </c>
      <c r="E290">
        <v>0</v>
      </c>
      <c r="F290">
        <v>1</v>
      </c>
      <c r="G290" s="7">
        <v>0.08</v>
      </c>
      <c r="H290">
        <v>12</v>
      </c>
      <c r="I290">
        <v>0</v>
      </c>
      <c r="J290">
        <v>0</v>
      </c>
      <c r="K290">
        <v>0</v>
      </c>
      <c r="L290">
        <v>1</v>
      </c>
      <c r="M290">
        <v>2</v>
      </c>
      <c r="N290" s="7">
        <v>9</v>
      </c>
      <c r="O290" s="7">
        <v>0</v>
      </c>
      <c r="P290" s="7">
        <v>0</v>
      </c>
      <c r="Q290" s="7">
        <v>0</v>
      </c>
      <c r="R290" s="7">
        <v>1</v>
      </c>
      <c r="S290" s="7">
        <v>4</v>
      </c>
      <c r="T290">
        <v>7</v>
      </c>
      <c r="U290" s="1">
        <v>30</v>
      </c>
      <c r="V290">
        <v>0</v>
      </c>
      <c r="W290">
        <v>0</v>
      </c>
      <c r="X290">
        <v>1</v>
      </c>
      <c r="Y290">
        <v>0.16</v>
      </c>
      <c r="Z290">
        <v>23</v>
      </c>
      <c r="AA290">
        <v>0</v>
      </c>
      <c r="AB290">
        <v>0</v>
      </c>
      <c r="AC290">
        <v>0</v>
      </c>
      <c r="AD290">
        <v>1</v>
      </c>
      <c r="AE290">
        <v>0.03</v>
      </c>
      <c r="AF290">
        <v>15</v>
      </c>
      <c r="AG290">
        <v>0</v>
      </c>
      <c r="AH290">
        <v>0</v>
      </c>
      <c r="AI290">
        <v>0</v>
      </c>
      <c r="AJ290">
        <v>1</v>
      </c>
      <c r="AK290">
        <v>0.01</v>
      </c>
      <c r="AL290">
        <v>16</v>
      </c>
      <c r="AM290">
        <v>0</v>
      </c>
      <c r="AN290">
        <v>0</v>
      </c>
      <c r="AO290">
        <v>0</v>
      </c>
      <c r="AP290">
        <v>1</v>
      </c>
      <c r="AQ290">
        <v>5.0000000000000001E-3</v>
      </c>
      <c r="AX290">
        <v>7</v>
      </c>
      <c r="AY290" s="1">
        <v>14</v>
      </c>
      <c r="AZ290">
        <v>0</v>
      </c>
      <c r="BA290">
        <v>0</v>
      </c>
      <c r="BB290">
        <v>1</v>
      </c>
      <c r="BC290" s="7">
        <v>0.4</v>
      </c>
      <c r="BD290">
        <v>30</v>
      </c>
      <c r="BE290">
        <v>0</v>
      </c>
      <c r="BF290">
        <v>0</v>
      </c>
      <c r="BG290">
        <v>0</v>
      </c>
      <c r="BH290">
        <v>5</v>
      </c>
      <c r="BI290">
        <v>2.4</v>
      </c>
      <c r="BJ290">
        <v>31</v>
      </c>
      <c r="BK290">
        <v>0</v>
      </c>
      <c r="BL290">
        <v>0</v>
      </c>
      <c r="BM290">
        <v>0</v>
      </c>
      <c r="BN290">
        <v>5</v>
      </c>
      <c r="BO290">
        <v>2.4</v>
      </c>
      <c r="BP290">
        <v>36</v>
      </c>
      <c r="BQ290">
        <v>0</v>
      </c>
      <c r="BR290">
        <v>0</v>
      </c>
      <c r="BS290">
        <v>0</v>
      </c>
      <c r="BT290">
        <v>5</v>
      </c>
      <c r="BU290">
        <v>2.2999999999999998</v>
      </c>
    </row>
    <row r="291" spans="1:73" x14ac:dyDescent="0.15">
      <c r="A291" s="11">
        <v>1038</v>
      </c>
      <c r="B291">
        <v>7</v>
      </c>
      <c r="C291" s="1">
        <v>39</v>
      </c>
      <c r="D291">
        <v>0</v>
      </c>
      <c r="E291">
        <v>0</v>
      </c>
      <c r="F291">
        <v>1</v>
      </c>
      <c r="G291" s="7">
        <v>0.08</v>
      </c>
      <c r="H291">
        <v>12</v>
      </c>
      <c r="I291">
        <v>0</v>
      </c>
      <c r="J291">
        <v>0</v>
      </c>
      <c r="K291">
        <v>0</v>
      </c>
      <c r="L291">
        <v>1</v>
      </c>
      <c r="M291">
        <v>2</v>
      </c>
      <c r="N291" s="7">
        <v>9</v>
      </c>
      <c r="O291" s="7">
        <v>0</v>
      </c>
      <c r="P291" s="7">
        <v>0</v>
      </c>
      <c r="Q291" s="7">
        <v>0</v>
      </c>
      <c r="R291" s="7">
        <v>1</v>
      </c>
      <c r="S291" s="7">
        <v>4</v>
      </c>
      <c r="T291">
        <v>7</v>
      </c>
      <c r="U291" s="1">
        <v>31</v>
      </c>
      <c r="V291">
        <v>0</v>
      </c>
      <c r="W291">
        <v>0</v>
      </c>
      <c r="X291">
        <v>1</v>
      </c>
      <c r="Y291">
        <v>0.16</v>
      </c>
      <c r="Z291">
        <v>23</v>
      </c>
      <c r="AA291">
        <v>0</v>
      </c>
      <c r="AB291">
        <v>0</v>
      </c>
      <c r="AC291">
        <v>0</v>
      </c>
      <c r="AD291">
        <v>1</v>
      </c>
      <c r="AE291">
        <v>0.03</v>
      </c>
      <c r="AF291">
        <v>15</v>
      </c>
      <c r="AG291">
        <v>0</v>
      </c>
      <c r="AH291">
        <v>0</v>
      </c>
      <c r="AI291">
        <v>0</v>
      </c>
      <c r="AJ291">
        <v>1</v>
      </c>
      <c r="AK291">
        <v>0.01</v>
      </c>
      <c r="AL291">
        <v>16</v>
      </c>
      <c r="AM291">
        <v>0</v>
      </c>
      <c r="AN291">
        <v>0</v>
      </c>
      <c r="AO291">
        <v>0</v>
      </c>
      <c r="AP291">
        <v>1</v>
      </c>
      <c r="AQ291">
        <v>5.0000000000000001E-3</v>
      </c>
      <c r="AX291">
        <v>7</v>
      </c>
      <c r="AY291" s="1">
        <v>15</v>
      </c>
      <c r="AZ291">
        <v>0</v>
      </c>
      <c r="BA291">
        <v>0</v>
      </c>
      <c r="BB291">
        <v>1</v>
      </c>
      <c r="BC291" s="7">
        <v>0.4</v>
      </c>
      <c r="BD291">
        <v>30</v>
      </c>
      <c r="BE291">
        <v>0</v>
      </c>
      <c r="BF291">
        <v>0</v>
      </c>
      <c r="BG291">
        <v>0</v>
      </c>
      <c r="BH291">
        <v>5</v>
      </c>
      <c r="BI291">
        <v>2.4</v>
      </c>
      <c r="BJ291">
        <v>31</v>
      </c>
      <c r="BK291">
        <v>0</v>
      </c>
      <c r="BL291">
        <v>0</v>
      </c>
      <c r="BM291">
        <v>0</v>
      </c>
      <c r="BN291">
        <v>5</v>
      </c>
      <c r="BO291">
        <v>2.4</v>
      </c>
      <c r="BP291">
        <v>36</v>
      </c>
      <c r="BQ291">
        <v>0</v>
      </c>
      <c r="BR291">
        <v>0</v>
      </c>
      <c r="BS291">
        <v>0</v>
      </c>
      <c r="BT291">
        <v>5</v>
      </c>
      <c r="BU291">
        <v>2.2999999999999998</v>
      </c>
    </row>
    <row r="292" spans="1:73" x14ac:dyDescent="0.15">
      <c r="A292" s="11">
        <v>1039</v>
      </c>
      <c r="B292">
        <v>7</v>
      </c>
      <c r="C292" s="1">
        <v>40</v>
      </c>
      <c r="D292">
        <v>0</v>
      </c>
      <c r="E292">
        <v>0</v>
      </c>
      <c r="F292">
        <v>1</v>
      </c>
      <c r="G292" s="7">
        <v>0.08</v>
      </c>
      <c r="H292">
        <v>12</v>
      </c>
      <c r="I292">
        <v>0</v>
      </c>
      <c r="J292">
        <v>0</v>
      </c>
      <c r="K292">
        <v>0</v>
      </c>
      <c r="L292">
        <v>1</v>
      </c>
      <c r="M292">
        <v>2</v>
      </c>
      <c r="N292" s="7">
        <v>9</v>
      </c>
      <c r="O292" s="7">
        <v>0</v>
      </c>
      <c r="P292" s="7">
        <v>0</v>
      </c>
      <c r="Q292" s="7">
        <v>0</v>
      </c>
      <c r="R292" s="7">
        <v>1</v>
      </c>
      <c r="S292" s="7">
        <v>4</v>
      </c>
      <c r="T292">
        <v>7</v>
      </c>
      <c r="U292" s="1">
        <v>32</v>
      </c>
      <c r="V292">
        <v>0</v>
      </c>
      <c r="W292">
        <v>0</v>
      </c>
      <c r="X292">
        <v>1</v>
      </c>
      <c r="Y292">
        <v>0.16</v>
      </c>
      <c r="Z292">
        <v>23</v>
      </c>
      <c r="AA292">
        <v>0</v>
      </c>
      <c r="AB292">
        <v>0</v>
      </c>
      <c r="AC292">
        <v>0</v>
      </c>
      <c r="AD292">
        <v>1</v>
      </c>
      <c r="AE292">
        <v>0.03</v>
      </c>
      <c r="AF292">
        <v>15</v>
      </c>
      <c r="AG292">
        <v>0</v>
      </c>
      <c r="AH292">
        <v>0</v>
      </c>
      <c r="AI292">
        <v>0</v>
      </c>
      <c r="AJ292">
        <v>1</v>
      </c>
      <c r="AK292">
        <v>0.01</v>
      </c>
      <c r="AL292">
        <v>16</v>
      </c>
      <c r="AM292">
        <v>0</v>
      </c>
      <c r="AN292">
        <v>0</v>
      </c>
      <c r="AO292">
        <v>0</v>
      </c>
      <c r="AP292">
        <v>1</v>
      </c>
      <c r="AQ292">
        <v>5.0000000000000001E-3</v>
      </c>
      <c r="AX292">
        <v>7</v>
      </c>
      <c r="AY292" s="1">
        <v>16</v>
      </c>
      <c r="AZ292">
        <v>0</v>
      </c>
      <c r="BA292">
        <v>0</v>
      </c>
      <c r="BB292">
        <v>1</v>
      </c>
      <c r="BC292" s="7">
        <v>0.4</v>
      </c>
      <c r="BD292">
        <v>30</v>
      </c>
      <c r="BE292">
        <v>0</v>
      </c>
      <c r="BF292">
        <v>0</v>
      </c>
      <c r="BG292">
        <v>0</v>
      </c>
      <c r="BH292">
        <v>5</v>
      </c>
      <c r="BI292">
        <v>2.4</v>
      </c>
      <c r="BJ292">
        <v>31</v>
      </c>
      <c r="BK292">
        <v>0</v>
      </c>
      <c r="BL292">
        <v>0</v>
      </c>
      <c r="BM292">
        <v>0</v>
      </c>
      <c r="BN292">
        <v>5</v>
      </c>
      <c r="BO292">
        <v>2.4</v>
      </c>
      <c r="BP292">
        <v>36</v>
      </c>
      <c r="BQ292">
        <v>0</v>
      </c>
      <c r="BR292">
        <v>0</v>
      </c>
      <c r="BS292">
        <v>0</v>
      </c>
      <c r="BT292">
        <v>5</v>
      </c>
      <c r="BU292">
        <v>2.2999999999999998</v>
      </c>
    </row>
    <row r="293" spans="1:73" x14ac:dyDescent="0.15">
      <c r="A293" s="11">
        <v>1040</v>
      </c>
      <c r="B293">
        <v>7</v>
      </c>
      <c r="C293" s="1">
        <v>0</v>
      </c>
      <c r="D293">
        <v>4</v>
      </c>
      <c r="E293">
        <v>4</v>
      </c>
      <c r="F293">
        <v>1</v>
      </c>
      <c r="G293" s="7">
        <v>0.08</v>
      </c>
      <c r="H293">
        <v>12</v>
      </c>
      <c r="I293">
        <v>0</v>
      </c>
      <c r="J293">
        <v>0</v>
      </c>
      <c r="K293">
        <v>0</v>
      </c>
      <c r="L293">
        <v>1</v>
      </c>
      <c r="M293">
        <v>2</v>
      </c>
      <c r="N293" s="7">
        <v>9</v>
      </c>
      <c r="O293" s="7">
        <v>0</v>
      </c>
      <c r="P293" s="7">
        <v>0</v>
      </c>
      <c r="Q293" s="7">
        <v>0</v>
      </c>
      <c r="R293" s="7">
        <v>1</v>
      </c>
      <c r="S293" s="7">
        <v>4</v>
      </c>
      <c r="T293">
        <v>7</v>
      </c>
      <c r="U293" s="1">
        <v>0</v>
      </c>
      <c r="V293">
        <v>4</v>
      </c>
      <c r="W293">
        <v>1</v>
      </c>
      <c r="X293">
        <v>1</v>
      </c>
      <c r="Y293">
        <v>0.16</v>
      </c>
      <c r="Z293">
        <v>23</v>
      </c>
      <c r="AA293">
        <v>0</v>
      </c>
      <c r="AB293">
        <v>0</v>
      </c>
      <c r="AC293">
        <v>0</v>
      </c>
      <c r="AD293">
        <v>1</v>
      </c>
      <c r="AE293">
        <v>0.03</v>
      </c>
      <c r="AF293">
        <v>15</v>
      </c>
      <c r="AG293">
        <v>0</v>
      </c>
      <c r="AH293">
        <v>0</v>
      </c>
      <c r="AI293">
        <v>0</v>
      </c>
      <c r="AJ293">
        <v>1</v>
      </c>
      <c r="AK293">
        <v>0.01</v>
      </c>
      <c r="AL293">
        <v>16</v>
      </c>
      <c r="AM293">
        <v>0</v>
      </c>
      <c r="AN293">
        <v>0</v>
      </c>
      <c r="AO293">
        <v>0</v>
      </c>
      <c r="AP293">
        <v>1</v>
      </c>
      <c r="AQ293">
        <v>5.0000000000000001E-3</v>
      </c>
      <c r="AR293">
        <v>6</v>
      </c>
      <c r="AS293">
        <v>2</v>
      </c>
      <c r="AT293">
        <v>3</v>
      </c>
      <c r="AU293">
        <v>5</v>
      </c>
      <c r="AV293">
        <v>1</v>
      </c>
      <c r="AW293">
        <v>0.05</v>
      </c>
      <c r="AX293">
        <v>7</v>
      </c>
      <c r="AY293" s="1">
        <v>0</v>
      </c>
      <c r="AZ293">
        <v>2</v>
      </c>
      <c r="BA293">
        <v>2</v>
      </c>
      <c r="BB293">
        <v>1</v>
      </c>
      <c r="BC293" s="7">
        <v>0.4</v>
      </c>
      <c r="BD293">
        <v>30</v>
      </c>
      <c r="BE293">
        <v>0</v>
      </c>
      <c r="BF293">
        <v>0</v>
      </c>
      <c r="BG293">
        <v>0</v>
      </c>
      <c r="BH293">
        <v>5</v>
      </c>
      <c r="BI293">
        <v>2.4</v>
      </c>
      <c r="BJ293">
        <v>31</v>
      </c>
      <c r="BK293">
        <v>0</v>
      </c>
      <c r="BL293">
        <v>0</v>
      </c>
      <c r="BM293">
        <v>0</v>
      </c>
      <c r="BN293">
        <v>5</v>
      </c>
      <c r="BO293">
        <v>2.4</v>
      </c>
      <c r="BP293">
        <v>36</v>
      </c>
      <c r="BQ293">
        <v>0</v>
      </c>
      <c r="BR293">
        <v>0</v>
      </c>
      <c r="BS293">
        <v>0</v>
      </c>
      <c r="BT293">
        <v>5</v>
      </c>
      <c r="BU293">
        <v>2.2999999999999998</v>
      </c>
    </row>
    <row r="294" spans="1:73" x14ac:dyDescent="0.15">
      <c r="A294" s="11">
        <v>1041</v>
      </c>
      <c r="B294">
        <v>7</v>
      </c>
      <c r="C294" s="1">
        <v>37</v>
      </c>
      <c r="D294">
        <v>0</v>
      </c>
      <c r="E294">
        <v>0</v>
      </c>
      <c r="F294">
        <v>1</v>
      </c>
      <c r="G294" s="7">
        <v>0.08</v>
      </c>
      <c r="H294">
        <v>12</v>
      </c>
      <c r="I294">
        <v>0</v>
      </c>
      <c r="J294">
        <v>0</v>
      </c>
      <c r="K294">
        <v>0</v>
      </c>
      <c r="L294">
        <v>1</v>
      </c>
      <c r="M294">
        <v>2</v>
      </c>
      <c r="N294" s="7">
        <v>9</v>
      </c>
      <c r="O294" s="7">
        <v>0</v>
      </c>
      <c r="P294" s="7">
        <v>0</v>
      </c>
      <c r="Q294" s="7">
        <v>0</v>
      </c>
      <c r="R294" s="7">
        <v>1</v>
      </c>
      <c r="S294" s="7">
        <v>4</v>
      </c>
      <c r="T294">
        <v>7</v>
      </c>
      <c r="U294" s="1">
        <v>29</v>
      </c>
      <c r="V294">
        <v>0</v>
      </c>
      <c r="W294">
        <v>0</v>
      </c>
      <c r="X294">
        <v>1</v>
      </c>
      <c r="Y294">
        <v>0.16</v>
      </c>
      <c r="Z294">
        <v>23</v>
      </c>
      <c r="AA294">
        <v>0</v>
      </c>
      <c r="AB294">
        <v>0</v>
      </c>
      <c r="AC294">
        <v>0</v>
      </c>
      <c r="AD294">
        <v>1</v>
      </c>
      <c r="AE294">
        <v>0.03</v>
      </c>
      <c r="AF294">
        <v>15</v>
      </c>
      <c r="AG294">
        <v>0</v>
      </c>
      <c r="AH294">
        <v>0</v>
      </c>
      <c r="AI294">
        <v>0</v>
      </c>
      <c r="AJ294">
        <v>1</v>
      </c>
      <c r="AK294">
        <v>0.01</v>
      </c>
      <c r="AL294">
        <v>16</v>
      </c>
      <c r="AM294">
        <v>0</v>
      </c>
      <c r="AN294">
        <v>0</v>
      </c>
      <c r="AO294">
        <v>0</v>
      </c>
      <c r="AP294">
        <v>1</v>
      </c>
      <c r="AQ294">
        <v>5.0000000000000001E-3</v>
      </c>
      <c r="AX294">
        <v>7</v>
      </c>
      <c r="AY294" s="1">
        <v>13</v>
      </c>
      <c r="AZ294">
        <v>0</v>
      </c>
      <c r="BA294">
        <v>0</v>
      </c>
      <c r="BB294">
        <v>1</v>
      </c>
      <c r="BC294" s="7">
        <v>0.4</v>
      </c>
      <c r="BD294">
        <v>30</v>
      </c>
      <c r="BE294">
        <v>0</v>
      </c>
      <c r="BF294">
        <v>0</v>
      </c>
      <c r="BG294">
        <v>0</v>
      </c>
      <c r="BH294">
        <v>5</v>
      </c>
      <c r="BI294">
        <v>2.4</v>
      </c>
      <c r="BJ294">
        <v>31</v>
      </c>
      <c r="BK294">
        <v>0</v>
      </c>
      <c r="BL294">
        <v>0</v>
      </c>
      <c r="BM294">
        <v>0</v>
      </c>
      <c r="BN294">
        <v>5</v>
      </c>
      <c r="BO294">
        <v>2.4</v>
      </c>
      <c r="BP294">
        <v>36</v>
      </c>
      <c r="BQ294">
        <v>0</v>
      </c>
      <c r="BR294">
        <v>0</v>
      </c>
      <c r="BS294">
        <v>0</v>
      </c>
      <c r="BT294">
        <v>5</v>
      </c>
      <c r="BU294">
        <v>2.2999999999999998</v>
      </c>
    </row>
    <row r="295" spans="1:73" x14ac:dyDescent="0.15">
      <c r="A295" s="11">
        <v>1042</v>
      </c>
      <c r="B295">
        <v>7</v>
      </c>
      <c r="C295" s="1">
        <v>38</v>
      </c>
      <c r="D295">
        <v>0</v>
      </c>
      <c r="E295">
        <v>0</v>
      </c>
      <c r="F295">
        <v>1</v>
      </c>
      <c r="G295" s="7">
        <v>0.08</v>
      </c>
      <c r="H295">
        <v>12</v>
      </c>
      <c r="I295">
        <v>0</v>
      </c>
      <c r="J295">
        <v>0</v>
      </c>
      <c r="K295">
        <v>0</v>
      </c>
      <c r="L295">
        <v>1</v>
      </c>
      <c r="M295">
        <v>2</v>
      </c>
      <c r="N295" s="7">
        <v>9</v>
      </c>
      <c r="O295" s="7">
        <v>0</v>
      </c>
      <c r="P295" s="7">
        <v>0</v>
      </c>
      <c r="Q295" s="7">
        <v>0</v>
      </c>
      <c r="R295" s="7">
        <v>1</v>
      </c>
      <c r="S295" s="7">
        <v>4</v>
      </c>
      <c r="T295">
        <v>7</v>
      </c>
      <c r="U295" s="1">
        <v>30</v>
      </c>
      <c r="V295">
        <v>0</v>
      </c>
      <c r="W295">
        <v>0</v>
      </c>
      <c r="X295">
        <v>1</v>
      </c>
      <c r="Y295">
        <v>0.16</v>
      </c>
      <c r="Z295">
        <v>23</v>
      </c>
      <c r="AA295">
        <v>0</v>
      </c>
      <c r="AB295">
        <v>0</v>
      </c>
      <c r="AC295">
        <v>0</v>
      </c>
      <c r="AD295">
        <v>1</v>
      </c>
      <c r="AE295">
        <v>0.03</v>
      </c>
      <c r="AF295">
        <v>15</v>
      </c>
      <c r="AG295">
        <v>0</v>
      </c>
      <c r="AH295">
        <v>0</v>
      </c>
      <c r="AI295">
        <v>0</v>
      </c>
      <c r="AJ295">
        <v>1</v>
      </c>
      <c r="AK295">
        <v>0.01</v>
      </c>
      <c r="AL295">
        <v>16</v>
      </c>
      <c r="AM295">
        <v>0</v>
      </c>
      <c r="AN295">
        <v>0</v>
      </c>
      <c r="AO295">
        <v>0</v>
      </c>
      <c r="AP295">
        <v>1</v>
      </c>
      <c r="AQ295">
        <v>5.0000000000000001E-3</v>
      </c>
      <c r="AX295">
        <v>7</v>
      </c>
      <c r="AY295" s="1">
        <v>14</v>
      </c>
      <c r="AZ295">
        <v>0</v>
      </c>
      <c r="BA295">
        <v>0</v>
      </c>
      <c r="BB295">
        <v>1</v>
      </c>
      <c r="BC295" s="7">
        <v>0.4</v>
      </c>
      <c r="BD295">
        <v>30</v>
      </c>
      <c r="BE295">
        <v>0</v>
      </c>
      <c r="BF295">
        <v>0</v>
      </c>
      <c r="BG295">
        <v>0</v>
      </c>
      <c r="BH295">
        <v>5</v>
      </c>
      <c r="BI295">
        <v>2.4</v>
      </c>
      <c r="BJ295">
        <v>31</v>
      </c>
      <c r="BK295">
        <v>0</v>
      </c>
      <c r="BL295">
        <v>0</v>
      </c>
      <c r="BM295">
        <v>0</v>
      </c>
      <c r="BN295">
        <v>5</v>
      </c>
      <c r="BO295">
        <v>2.4</v>
      </c>
      <c r="BP295">
        <v>36</v>
      </c>
      <c r="BQ295">
        <v>0</v>
      </c>
      <c r="BR295">
        <v>0</v>
      </c>
      <c r="BS295">
        <v>0</v>
      </c>
      <c r="BT295">
        <v>5</v>
      </c>
      <c r="BU295">
        <v>2.2999999999999998</v>
      </c>
    </row>
    <row r="296" spans="1:73" x14ac:dyDescent="0.15">
      <c r="A296" s="11">
        <v>1043</v>
      </c>
      <c r="B296">
        <v>7</v>
      </c>
      <c r="C296" s="1">
        <v>39</v>
      </c>
      <c r="D296">
        <v>0</v>
      </c>
      <c r="E296">
        <v>0</v>
      </c>
      <c r="F296">
        <v>1</v>
      </c>
      <c r="G296" s="7">
        <v>0.08</v>
      </c>
      <c r="H296">
        <v>12</v>
      </c>
      <c r="I296">
        <v>0</v>
      </c>
      <c r="J296">
        <v>0</v>
      </c>
      <c r="K296">
        <v>0</v>
      </c>
      <c r="L296">
        <v>1</v>
      </c>
      <c r="M296">
        <v>2</v>
      </c>
      <c r="N296" s="7">
        <v>9</v>
      </c>
      <c r="O296" s="7">
        <v>0</v>
      </c>
      <c r="P296" s="7">
        <v>0</v>
      </c>
      <c r="Q296" s="7">
        <v>0</v>
      </c>
      <c r="R296" s="7">
        <v>1</v>
      </c>
      <c r="S296" s="7">
        <v>4</v>
      </c>
      <c r="T296">
        <v>7</v>
      </c>
      <c r="U296" s="1">
        <v>31</v>
      </c>
      <c r="V296">
        <v>0</v>
      </c>
      <c r="W296">
        <v>0</v>
      </c>
      <c r="X296">
        <v>1</v>
      </c>
      <c r="Y296">
        <v>0.16</v>
      </c>
      <c r="Z296">
        <v>23</v>
      </c>
      <c r="AA296">
        <v>0</v>
      </c>
      <c r="AB296">
        <v>0</v>
      </c>
      <c r="AC296">
        <v>0</v>
      </c>
      <c r="AD296">
        <v>1</v>
      </c>
      <c r="AE296">
        <v>0.03</v>
      </c>
      <c r="AF296">
        <v>15</v>
      </c>
      <c r="AG296">
        <v>0</v>
      </c>
      <c r="AH296">
        <v>0</v>
      </c>
      <c r="AI296">
        <v>0</v>
      </c>
      <c r="AJ296">
        <v>1</v>
      </c>
      <c r="AK296">
        <v>0.01</v>
      </c>
      <c r="AL296">
        <v>16</v>
      </c>
      <c r="AM296">
        <v>0</v>
      </c>
      <c r="AN296">
        <v>0</v>
      </c>
      <c r="AO296">
        <v>0</v>
      </c>
      <c r="AP296">
        <v>1</v>
      </c>
      <c r="AQ296">
        <v>5.0000000000000001E-3</v>
      </c>
      <c r="AX296">
        <v>7</v>
      </c>
      <c r="AY296" s="1">
        <v>15</v>
      </c>
      <c r="AZ296">
        <v>0</v>
      </c>
      <c r="BA296">
        <v>0</v>
      </c>
      <c r="BB296">
        <v>1</v>
      </c>
      <c r="BC296" s="7">
        <v>0.4</v>
      </c>
      <c r="BD296">
        <v>30</v>
      </c>
      <c r="BE296">
        <v>0</v>
      </c>
      <c r="BF296">
        <v>0</v>
      </c>
      <c r="BG296">
        <v>0</v>
      </c>
      <c r="BH296">
        <v>5</v>
      </c>
      <c r="BI296">
        <v>2.4</v>
      </c>
      <c r="BJ296">
        <v>31</v>
      </c>
      <c r="BK296">
        <v>0</v>
      </c>
      <c r="BL296">
        <v>0</v>
      </c>
      <c r="BM296">
        <v>0</v>
      </c>
      <c r="BN296">
        <v>5</v>
      </c>
      <c r="BO296">
        <v>2.4</v>
      </c>
      <c r="BP296">
        <v>36</v>
      </c>
      <c r="BQ296">
        <v>0</v>
      </c>
      <c r="BR296">
        <v>0</v>
      </c>
      <c r="BS296">
        <v>0</v>
      </c>
      <c r="BT296">
        <v>5</v>
      </c>
      <c r="BU296">
        <v>2.2999999999999998</v>
      </c>
    </row>
    <row r="297" spans="1:73" x14ac:dyDescent="0.15">
      <c r="A297" s="11">
        <v>1044</v>
      </c>
      <c r="B297">
        <v>7</v>
      </c>
      <c r="C297" s="1">
        <v>40</v>
      </c>
      <c r="D297">
        <v>0</v>
      </c>
      <c r="E297">
        <v>0</v>
      </c>
      <c r="F297">
        <v>1</v>
      </c>
      <c r="G297" s="7">
        <v>0.08</v>
      </c>
      <c r="H297">
        <v>12</v>
      </c>
      <c r="I297">
        <v>0</v>
      </c>
      <c r="J297">
        <v>0</v>
      </c>
      <c r="K297">
        <v>0</v>
      </c>
      <c r="L297">
        <v>1</v>
      </c>
      <c r="M297">
        <v>2</v>
      </c>
      <c r="N297" s="7">
        <v>9</v>
      </c>
      <c r="O297" s="7">
        <v>0</v>
      </c>
      <c r="P297" s="7">
        <v>0</v>
      </c>
      <c r="Q297" s="7">
        <v>0</v>
      </c>
      <c r="R297" s="7">
        <v>1</v>
      </c>
      <c r="S297" s="7">
        <v>4</v>
      </c>
      <c r="T297">
        <v>7</v>
      </c>
      <c r="U297" s="1">
        <v>32</v>
      </c>
      <c r="V297">
        <v>0</v>
      </c>
      <c r="W297">
        <v>0</v>
      </c>
      <c r="X297">
        <v>1</v>
      </c>
      <c r="Y297">
        <v>0.16</v>
      </c>
      <c r="Z297">
        <v>23</v>
      </c>
      <c r="AA297">
        <v>0</v>
      </c>
      <c r="AB297">
        <v>0</v>
      </c>
      <c r="AC297">
        <v>0</v>
      </c>
      <c r="AD297">
        <v>1</v>
      </c>
      <c r="AE297">
        <v>0.03</v>
      </c>
      <c r="AF297">
        <v>15</v>
      </c>
      <c r="AG297">
        <v>0</v>
      </c>
      <c r="AH297">
        <v>0</v>
      </c>
      <c r="AI297">
        <v>0</v>
      </c>
      <c r="AJ297">
        <v>1</v>
      </c>
      <c r="AK297">
        <v>0.01</v>
      </c>
      <c r="AL297">
        <v>16</v>
      </c>
      <c r="AM297">
        <v>0</v>
      </c>
      <c r="AN297">
        <v>0</v>
      </c>
      <c r="AO297">
        <v>0</v>
      </c>
      <c r="AP297">
        <v>1</v>
      </c>
      <c r="AQ297">
        <v>5.0000000000000001E-3</v>
      </c>
      <c r="AX297">
        <v>7</v>
      </c>
      <c r="AY297" s="1">
        <v>16</v>
      </c>
      <c r="AZ297">
        <v>0</v>
      </c>
      <c r="BA297">
        <v>0</v>
      </c>
      <c r="BB297">
        <v>1</v>
      </c>
      <c r="BC297" s="7">
        <v>0.4</v>
      </c>
      <c r="BD297">
        <v>30</v>
      </c>
      <c r="BE297">
        <v>0</v>
      </c>
      <c r="BF297">
        <v>0</v>
      </c>
      <c r="BG297">
        <v>0</v>
      </c>
      <c r="BH297">
        <v>5</v>
      </c>
      <c r="BI297">
        <v>2.4</v>
      </c>
      <c r="BJ297">
        <v>31</v>
      </c>
      <c r="BK297">
        <v>0</v>
      </c>
      <c r="BL297">
        <v>0</v>
      </c>
      <c r="BM297">
        <v>0</v>
      </c>
      <c r="BN297">
        <v>5</v>
      </c>
      <c r="BO297">
        <v>2.4</v>
      </c>
      <c r="BP297">
        <v>36</v>
      </c>
      <c r="BQ297">
        <v>0</v>
      </c>
      <c r="BR297">
        <v>0</v>
      </c>
      <c r="BS297">
        <v>0</v>
      </c>
      <c r="BT297">
        <v>5</v>
      </c>
      <c r="BU297">
        <v>2.2999999999999998</v>
      </c>
    </row>
    <row r="298" spans="1:73" x14ac:dyDescent="0.15">
      <c r="A298" s="11">
        <v>1045</v>
      </c>
      <c r="B298">
        <v>7</v>
      </c>
      <c r="C298" s="1">
        <v>0</v>
      </c>
      <c r="D298">
        <v>4</v>
      </c>
      <c r="E298">
        <v>4</v>
      </c>
      <c r="F298">
        <v>1</v>
      </c>
      <c r="G298" s="7">
        <v>0.08</v>
      </c>
      <c r="H298">
        <v>12</v>
      </c>
      <c r="I298">
        <v>0</v>
      </c>
      <c r="J298">
        <v>0</v>
      </c>
      <c r="K298">
        <v>0</v>
      </c>
      <c r="L298">
        <v>1</v>
      </c>
      <c r="M298">
        <v>2</v>
      </c>
      <c r="N298" s="7">
        <v>9</v>
      </c>
      <c r="O298" s="7">
        <v>0</v>
      </c>
      <c r="P298" s="7">
        <v>0</v>
      </c>
      <c r="Q298" s="7">
        <v>0</v>
      </c>
      <c r="R298" s="7">
        <v>1</v>
      </c>
      <c r="S298" s="7">
        <v>4</v>
      </c>
      <c r="T298">
        <v>7</v>
      </c>
      <c r="U298" s="1">
        <v>0</v>
      </c>
      <c r="V298">
        <v>4</v>
      </c>
      <c r="W298">
        <v>1</v>
      </c>
      <c r="X298">
        <v>1</v>
      </c>
      <c r="Y298">
        <v>0.16</v>
      </c>
      <c r="Z298">
        <v>23</v>
      </c>
      <c r="AA298">
        <v>0</v>
      </c>
      <c r="AB298">
        <v>0</v>
      </c>
      <c r="AC298">
        <v>0</v>
      </c>
      <c r="AD298">
        <v>1</v>
      </c>
      <c r="AE298">
        <v>0.03</v>
      </c>
      <c r="AF298">
        <v>15</v>
      </c>
      <c r="AG298">
        <v>0</v>
      </c>
      <c r="AH298">
        <v>0</v>
      </c>
      <c r="AI298">
        <v>0</v>
      </c>
      <c r="AJ298">
        <v>1</v>
      </c>
      <c r="AK298">
        <v>0.01</v>
      </c>
      <c r="AL298">
        <v>16</v>
      </c>
      <c r="AM298">
        <v>0</v>
      </c>
      <c r="AN298">
        <v>0</v>
      </c>
      <c r="AO298">
        <v>0</v>
      </c>
      <c r="AP298">
        <v>1</v>
      </c>
      <c r="AQ298">
        <v>5.0000000000000001E-3</v>
      </c>
      <c r="AR298">
        <v>6</v>
      </c>
      <c r="AS298">
        <v>2</v>
      </c>
      <c r="AT298">
        <v>4</v>
      </c>
      <c r="AU298">
        <v>5</v>
      </c>
      <c r="AV298">
        <v>1</v>
      </c>
      <c r="AW298">
        <v>0.01</v>
      </c>
      <c r="AX298">
        <v>7</v>
      </c>
      <c r="AY298" s="1">
        <v>0</v>
      </c>
      <c r="AZ298">
        <v>2</v>
      </c>
      <c r="BA298">
        <v>2</v>
      </c>
      <c r="BB298">
        <v>1</v>
      </c>
      <c r="BC298" s="7">
        <v>0.4</v>
      </c>
      <c r="BD298">
        <v>30</v>
      </c>
      <c r="BE298">
        <v>0</v>
      </c>
      <c r="BF298">
        <v>0</v>
      </c>
      <c r="BG298">
        <v>0</v>
      </c>
      <c r="BH298">
        <v>5</v>
      </c>
      <c r="BI298">
        <v>2.4</v>
      </c>
      <c r="BJ298">
        <v>31</v>
      </c>
      <c r="BK298">
        <v>0</v>
      </c>
      <c r="BL298">
        <v>0</v>
      </c>
      <c r="BM298">
        <v>0</v>
      </c>
      <c r="BN298">
        <v>5</v>
      </c>
      <c r="BO298">
        <v>2.4</v>
      </c>
      <c r="BP298">
        <v>36</v>
      </c>
      <c r="BQ298">
        <v>0</v>
      </c>
      <c r="BR298">
        <v>0</v>
      </c>
      <c r="BS298">
        <v>0</v>
      </c>
      <c r="BT298">
        <v>5</v>
      </c>
      <c r="BU298">
        <v>2.2999999999999998</v>
      </c>
    </row>
    <row r="299" spans="1:73" x14ac:dyDescent="0.15">
      <c r="A299" s="11">
        <v>1046</v>
      </c>
      <c r="B299">
        <v>7</v>
      </c>
      <c r="C299" s="1">
        <v>37</v>
      </c>
      <c r="D299">
        <v>0</v>
      </c>
      <c r="E299">
        <v>0</v>
      </c>
      <c r="F299">
        <v>1</v>
      </c>
      <c r="G299" s="7">
        <v>0.08</v>
      </c>
      <c r="H299">
        <v>12</v>
      </c>
      <c r="I299">
        <v>0</v>
      </c>
      <c r="J299">
        <v>0</v>
      </c>
      <c r="K299">
        <v>0</v>
      </c>
      <c r="L299">
        <v>1</v>
      </c>
      <c r="M299">
        <v>2</v>
      </c>
      <c r="N299" s="7">
        <v>9</v>
      </c>
      <c r="O299" s="7">
        <v>0</v>
      </c>
      <c r="P299" s="7">
        <v>0</v>
      </c>
      <c r="Q299" s="7">
        <v>0</v>
      </c>
      <c r="R299" s="7">
        <v>1</v>
      </c>
      <c r="S299" s="7">
        <v>4</v>
      </c>
      <c r="T299">
        <v>7</v>
      </c>
      <c r="U299" s="1">
        <v>29</v>
      </c>
      <c r="V299">
        <v>0</v>
      </c>
      <c r="W299">
        <v>0</v>
      </c>
      <c r="X299">
        <v>1</v>
      </c>
      <c r="Y299">
        <v>0.16</v>
      </c>
      <c r="Z299">
        <v>23</v>
      </c>
      <c r="AA299">
        <v>0</v>
      </c>
      <c r="AB299">
        <v>0</v>
      </c>
      <c r="AC299">
        <v>0</v>
      </c>
      <c r="AD299">
        <v>1</v>
      </c>
      <c r="AE299">
        <v>0.03</v>
      </c>
      <c r="AF299">
        <v>15</v>
      </c>
      <c r="AG299">
        <v>0</v>
      </c>
      <c r="AH299">
        <v>0</v>
      </c>
      <c r="AI299">
        <v>0</v>
      </c>
      <c r="AJ299">
        <v>1</v>
      </c>
      <c r="AK299">
        <v>0.01</v>
      </c>
      <c r="AL299">
        <v>16</v>
      </c>
      <c r="AM299">
        <v>0</v>
      </c>
      <c r="AN299">
        <v>0</v>
      </c>
      <c r="AO299">
        <v>0</v>
      </c>
      <c r="AP299">
        <v>1</v>
      </c>
      <c r="AQ299">
        <v>5.0000000000000001E-3</v>
      </c>
      <c r="AX299">
        <v>7</v>
      </c>
      <c r="AY299" s="1">
        <v>13</v>
      </c>
      <c r="AZ299">
        <v>0</v>
      </c>
      <c r="BA299">
        <v>0</v>
      </c>
      <c r="BB299">
        <v>1</v>
      </c>
      <c r="BC299" s="7">
        <v>0.4</v>
      </c>
      <c r="BD299">
        <v>30</v>
      </c>
      <c r="BE299">
        <v>0</v>
      </c>
      <c r="BF299">
        <v>0</v>
      </c>
      <c r="BG299">
        <v>0</v>
      </c>
      <c r="BH299">
        <v>5</v>
      </c>
      <c r="BI299">
        <v>2.4</v>
      </c>
      <c r="BJ299">
        <v>31</v>
      </c>
      <c r="BK299">
        <v>0</v>
      </c>
      <c r="BL299">
        <v>0</v>
      </c>
      <c r="BM299">
        <v>0</v>
      </c>
      <c r="BN299">
        <v>5</v>
      </c>
      <c r="BO299">
        <v>2.4</v>
      </c>
      <c r="BP299">
        <v>36</v>
      </c>
      <c r="BQ299">
        <v>0</v>
      </c>
      <c r="BR299">
        <v>0</v>
      </c>
      <c r="BS299">
        <v>0</v>
      </c>
      <c r="BT299">
        <v>5</v>
      </c>
      <c r="BU299">
        <v>2.2999999999999998</v>
      </c>
    </row>
    <row r="300" spans="1:73" x14ac:dyDescent="0.15">
      <c r="A300" s="11">
        <v>1047</v>
      </c>
      <c r="B300">
        <v>7</v>
      </c>
      <c r="C300" s="1">
        <v>38</v>
      </c>
      <c r="D300">
        <v>0</v>
      </c>
      <c r="E300">
        <v>0</v>
      </c>
      <c r="F300">
        <v>1</v>
      </c>
      <c r="G300" s="7">
        <v>0.08</v>
      </c>
      <c r="H300">
        <v>12</v>
      </c>
      <c r="I300">
        <v>0</v>
      </c>
      <c r="J300">
        <v>0</v>
      </c>
      <c r="K300">
        <v>0</v>
      </c>
      <c r="L300">
        <v>1</v>
      </c>
      <c r="M300">
        <v>2</v>
      </c>
      <c r="N300" s="7">
        <v>9</v>
      </c>
      <c r="O300" s="7">
        <v>0</v>
      </c>
      <c r="P300" s="7">
        <v>0</v>
      </c>
      <c r="Q300" s="7">
        <v>0</v>
      </c>
      <c r="R300" s="7">
        <v>1</v>
      </c>
      <c r="S300" s="7">
        <v>4</v>
      </c>
      <c r="T300">
        <v>7</v>
      </c>
      <c r="U300" s="1">
        <v>30</v>
      </c>
      <c r="V300">
        <v>0</v>
      </c>
      <c r="W300">
        <v>0</v>
      </c>
      <c r="X300">
        <v>1</v>
      </c>
      <c r="Y300">
        <v>0.16</v>
      </c>
      <c r="Z300">
        <v>23</v>
      </c>
      <c r="AA300">
        <v>0</v>
      </c>
      <c r="AB300">
        <v>0</v>
      </c>
      <c r="AC300">
        <v>0</v>
      </c>
      <c r="AD300">
        <v>1</v>
      </c>
      <c r="AE300">
        <v>0.03</v>
      </c>
      <c r="AF300">
        <v>15</v>
      </c>
      <c r="AG300">
        <v>0</v>
      </c>
      <c r="AH300">
        <v>0</v>
      </c>
      <c r="AI300">
        <v>0</v>
      </c>
      <c r="AJ300">
        <v>1</v>
      </c>
      <c r="AK300">
        <v>0.01</v>
      </c>
      <c r="AL300">
        <v>16</v>
      </c>
      <c r="AM300">
        <v>0</v>
      </c>
      <c r="AN300">
        <v>0</v>
      </c>
      <c r="AO300">
        <v>0</v>
      </c>
      <c r="AP300">
        <v>1</v>
      </c>
      <c r="AQ300">
        <v>5.0000000000000001E-3</v>
      </c>
      <c r="AX300">
        <v>7</v>
      </c>
      <c r="AY300" s="1">
        <v>14</v>
      </c>
      <c r="AZ300">
        <v>0</v>
      </c>
      <c r="BA300">
        <v>0</v>
      </c>
      <c r="BB300">
        <v>1</v>
      </c>
      <c r="BC300" s="7">
        <v>0.4</v>
      </c>
      <c r="BD300">
        <v>30</v>
      </c>
      <c r="BE300">
        <v>0</v>
      </c>
      <c r="BF300">
        <v>0</v>
      </c>
      <c r="BG300">
        <v>0</v>
      </c>
      <c r="BH300">
        <v>5</v>
      </c>
      <c r="BI300">
        <v>2.4</v>
      </c>
      <c r="BJ300">
        <v>31</v>
      </c>
      <c r="BK300">
        <v>0</v>
      </c>
      <c r="BL300">
        <v>0</v>
      </c>
      <c r="BM300">
        <v>0</v>
      </c>
      <c r="BN300">
        <v>5</v>
      </c>
      <c r="BO300">
        <v>2.4</v>
      </c>
      <c r="BP300">
        <v>36</v>
      </c>
      <c r="BQ300">
        <v>0</v>
      </c>
      <c r="BR300">
        <v>0</v>
      </c>
      <c r="BS300">
        <v>0</v>
      </c>
      <c r="BT300">
        <v>5</v>
      </c>
      <c r="BU300">
        <v>2.2999999999999998</v>
      </c>
    </row>
    <row r="301" spans="1:73" x14ac:dyDescent="0.15">
      <c r="A301" s="11">
        <v>1048</v>
      </c>
      <c r="B301">
        <v>7</v>
      </c>
      <c r="C301" s="1">
        <v>39</v>
      </c>
      <c r="D301">
        <v>0</v>
      </c>
      <c r="E301">
        <v>0</v>
      </c>
      <c r="F301">
        <v>1</v>
      </c>
      <c r="G301" s="7">
        <v>0.08</v>
      </c>
      <c r="H301">
        <v>12</v>
      </c>
      <c r="I301">
        <v>0</v>
      </c>
      <c r="J301">
        <v>0</v>
      </c>
      <c r="K301">
        <v>0</v>
      </c>
      <c r="L301">
        <v>1</v>
      </c>
      <c r="M301">
        <v>2</v>
      </c>
      <c r="N301" s="7">
        <v>9</v>
      </c>
      <c r="O301" s="7">
        <v>0</v>
      </c>
      <c r="P301" s="7">
        <v>0</v>
      </c>
      <c r="Q301" s="7">
        <v>0</v>
      </c>
      <c r="R301" s="7">
        <v>1</v>
      </c>
      <c r="S301" s="7">
        <v>4</v>
      </c>
      <c r="T301">
        <v>7</v>
      </c>
      <c r="U301" s="1">
        <v>31</v>
      </c>
      <c r="V301">
        <v>0</v>
      </c>
      <c r="W301">
        <v>0</v>
      </c>
      <c r="X301">
        <v>1</v>
      </c>
      <c r="Y301">
        <v>0.16</v>
      </c>
      <c r="Z301">
        <v>23</v>
      </c>
      <c r="AA301">
        <v>0</v>
      </c>
      <c r="AB301">
        <v>0</v>
      </c>
      <c r="AC301">
        <v>0</v>
      </c>
      <c r="AD301">
        <v>1</v>
      </c>
      <c r="AE301">
        <v>0.03</v>
      </c>
      <c r="AF301">
        <v>15</v>
      </c>
      <c r="AG301">
        <v>0</v>
      </c>
      <c r="AH301">
        <v>0</v>
      </c>
      <c r="AI301">
        <v>0</v>
      </c>
      <c r="AJ301">
        <v>1</v>
      </c>
      <c r="AK301">
        <v>0.01</v>
      </c>
      <c r="AL301">
        <v>16</v>
      </c>
      <c r="AM301">
        <v>0</v>
      </c>
      <c r="AN301">
        <v>0</v>
      </c>
      <c r="AO301">
        <v>0</v>
      </c>
      <c r="AP301">
        <v>1</v>
      </c>
      <c r="AQ301">
        <v>5.0000000000000001E-3</v>
      </c>
      <c r="AX301">
        <v>7</v>
      </c>
      <c r="AY301" s="1">
        <v>15</v>
      </c>
      <c r="AZ301">
        <v>0</v>
      </c>
      <c r="BA301">
        <v>0</v>
      </c>
      <c r="BB301">
        <v>1</v>
      </c>
      <c r="BC301" s="7">
        <v>0.4</v>
      </c>
      <c r="BD301">
        <v>30</v>
      </c>
      <c r="BE301">
        <v>0</v>
      </c>
      <c r="BF301">
        <v>0</v>
      </c>
      <c r="BG301">
        <v>0</v>
      </c>
      <c r="BH301">
        <v>5</v>
      </c>
      <c r="BI301">
        <v>2.4</v>
      </c>
      <c r="BJ301">
        <v>31</v>
      </c>
      <c r="BK301">
        <v>0</v>
      </c>
      <c r="BL301">
        <v>0</v>
      </c>
      <c r="BM301">
        <v>0</v>
      </c>
      <c r="BN301">
        <v>5</v>
      </c>
      <c r="BO301">
        <v>2.4</v>
      </c>
      <c r="BP301">
        <v>36</v>
      </c>
      <c r="BQ301">
        <v>0</v>
      </c>
      <c r="BR301">
        <v>0</v>
      </c>
      <c r="BS301">
        <v>0</v>
      </c>
      <c r="BT301">
        <v>5</v>
      </c>
      <c r="BU301">
        <v>2.2999999999999998</v>
      </c>
    </row>
    <row r="302" spans="1:73" x14ac:dyDescent="0.15">
      <c r="A302" s="11">
        <v>1049</v>
      </c>
      <c r="B302">
        <v>7</v>
      </c>
      <c r="C302" s="1">
        <v>40</v>
      </c>
      <c r="D302">
        <v>0</v>
      </c>
      <c r="E302">
        <v>0</v>
      </c>
      <c r="F302">
        <v>1</v>
      </c>
      <c r="G302" s="7">
        <v>0.08</v>
      </c>
      <c r="H302">
        <v>12</v>
      </c>
      <c r="I302">
        <v>0</v>
      </c>
      <c r="J302">
        <v>0</v>
      </c>
      <c r="K302">
        <v>0</v>
      </c>
      <c r="L302">
        <v>1</v>
      </c>
      <c r="M302">
        <v>2</v>
      </c>
      <c r="N302" s="7">
        <v>9</v>
      </c>
      <c r="O302" s="7">
        <v>0</v>
      </c>
      <c r="P302" s="7">
        <v>0</v>
      </c>
      <c r="Q302" s="7">
        <v>0</v>
      </c>
      <c r="R302" s="7">
        <v>1</v>
      </c>
      <c r="S302" s="7">
        <v>4</v>
      </c>
      <c r="T302">
        <v>7</v>
      </c>
      <c r="U302" s="1">
        <v>32</v>
      </c>
      <c r="V302">
        <v>0</v>
      </c>
      <c r="W302">
        <v>0</v>
      </c>
      <c r="X302">
        <v>1</v>
      </c>
      <c r="Y302">
        <v>0.16</v>
      </c>
      <c r="Z302">
        <v>23</v>
      </c>
      <c r="AA302">
        <v>0</v>
      </c>
      <c r="AB302">
        <v>0</v>
      </c>
      <c r="AC302">
        <v>0</v>
      </c>
      <c r="AD302">
        <v>1</v>
      </c>
      <c r="AE302">
        <v>0.03</v>
      </c>
      <c r="AF302">
        <v>15</v>
      </c>
      <c r="AG302">
        <v>0</v>
      </c>
      <c r="AH302">
        <v>0</v>
      </c>
      <c r="AI302">
        <v>0</v>
      </c>
      <c r="AJ302">
        <v>1</v>
      </c>
      <c r="AK302">
        <v>0.01</v>
      </c>
      <c r="AL302">
        <v>16</v>
      </c>
      <c r="AM302">
        <v>0</v>
      </c>
      <c r="AN302">
        <v>0</v>
      </c>
      <c r="AO302">
        <v>0</v>
      </c>
      <c r="AP302">
        <v>1</v>
      </c>
      <c r="AQ302">
        <v>5.0000000000000001E-3</v>
      </c>
      <c r="AX302">
        <v>7</v>
      </c>
      <c r="AY302" s="1">
        <v>16</v>
      </c>
      <c r="AZ302">
        <v>0</v>
      </c>
      <c r="BA302">
        <v>0</v>
      </c>
      <c r="BB302">
        <v>1</v>
      </c>
      <c r="BC302" s="7">
        <v>0.4</v>
      </c>
      <c r="BD302">
        <v>30</v>
      </c>
      <c r="BE302">
        <v>0</v>
      </c>
      <c r="BF302">
        <v>0</v>
      </c>
      <c r="BG302">
        <v>0</v>
      </c>
      <c r="BH302">
        <v>5</v>
      </c>
      <c r="BI302">
        <v>2.4</v>
      </c>
      <c r="BJ302">
        <v>31</v>
      </c>
      <c r="BK302">
        <v>0</v>
      </c>
      <c r="BL302">
        <v>0</v>
      </c>
      <c r="BM302">
        <v>0</v>
      </c>
      <c r="BN302">
        <v>5</v>
      </c>
      <c r="BO302">
        <v>2.4</v>
      </c>
      <c r="BP302">
        <v>36</v>
      </c>
      <c r="BQ302">
        <v>0</v>
      </c>
      <c r="BR302">
        <v>0</v>
      </c>
      <c r="BS302">
        <v>0</v>
      </c>
      <c r="BT302">
        <v>5</v>
      </c>
      <c r="BU302">
        <v>2.2999999999999998</v>
      </c>
    </row>
    <row r="303" spans="1:73" x14ac:dyDescent="0.15">
      <c r="A303" s="11">
        <v>1050</v>
      </c>
      <c r="B303">
        <v>7</v>
      </c>
      <c r="C303" s="1">
        <v>0</v>
      </c>
      <c r="D303">
        <v>4</v>
      </c>
      <c r="E303">
        <v>4</v>
      </c>
      <c r="F303">
        <v>1</v>
      </c>
      <c r="G303" s="7">
        <v>0.08</v>
      </c>
      <c r="H303">
        <v>12</v>
      </c>
      <c r="I303">
        <v>0</v>
      </c>
      <c r="J303">
        <v>0</v>
      </c>
      <c r="K303">
        <v>0</v>
      </c>
      <c r="L303">
        <v>1</v>
      </c>
      <c r="M303">
        <v>2</v>
      </c>
      <c r="N303" s="7">
        <v>9</v>
      </c>
      <c r="O303" s="7">
        <v>0</v>
      </c>
      <c r="P303" s="7">
        <v>0</v>
      </c>
      <c r="Q303" s="7">
        <v>0</v>
      </c>
      <c r="R303" s="7">
        <v>1</v>
      </c>
      <c r="S303" s="7">
        <v>4</v>
      </c>
      <c r="T303">
        <v>7</v>
      </c>
      <c r="U303" s="1">
        <v>0</v>
      </c>
      <c r="V303">
        <v>4</v>
      </c>
      <c r="W303">
        <v>1</v>
      </c>
      <c r="X303">
        <v>1</v>
      </c>
      <c r="Y303">
        <v>0.16</v>
      </c>
      <c r="Z303">
        <v>23</v>
      </c>
      <c r="AA303">
        <v>0</v>
      </c>
      <c r="AB303">
        <v>0</v>
      </c>
      <c r="AC303">
        <v>0</v>
      </c>
      <c r="AD303">
        <v>1</v>
      </c>
      <c r="AE303">
        <v>0.03</v>
      </c>
      <c r="AF303">
        <v>15</v>
      </c>
      <c r="AG303">
        <v>0</v>
      </c>
      <c r="AH303">
        <v>0</v>
      </c>
      <c r="AI303">
        <v>0</v>
      </c>
      <c r="AJ303">
        <v>1</v>
      </c>
      <c r="AK303">
        <v>0.01</v>
      </c>
      <c r="AL303">
        <v>16</v>
      </c>
      <c r="AM303">
        <v>0</v>
      </c>
      <c r="AN303">
        <v>0</v>
      </c>
      <c r="AO303">
        <v>0</v>
      </c>
      <c r="AP303">
        <v>1</v>
      </c>
      <c r="AQ303">
        <v>5.0000000000000001E-3</v>
      </c>
      <c r="AR303">
        <v>6</v>
      </c>
      <c r="AS303">
        <v>2</v>
      </c>
      <c r="AT303">
        <v>5</v>
      </c>
      <c r="AU303">
        <v>5</v>
      </c>
      <c r="AV303">
        <v>1</v>
      </c>
      <c r="AW303">
        <v>0.01</v>
      </c>
      <c r="AX303">
        <v>7</v>
      </c>
      <c r="AY303" s="1">
        <v>0</v>
      </c>
      <c r="AZ303">
        <v>2</v>
      </c>
      <c r="BA303">
        <v>2</v>
      </c>
      <c r="BB303">
        <v>1</v>
      </c>
      <c r="BC303" s="7">
        <v>0.4</v>
      </c>
      <c r="BD303">
        <v>30</v>
      </c>
      <c r="BE303">
        <v>0</v>
      </c>
      <c r="BF303">
        <v>0</v>
      </c>
      <c r="BG303">
        <v>0</v>
      </c>
      <c r="BH303">
        <v>5</v>
      </c>
      <c r="BI303">
        <v>2.4</v>
      </c>
      <c r="BJ303">
        <v>31</v>
      </c>
      <c r="BK303">
        <v>0</v>
      </c>
      <c r="BL303">
        <v>0</v>
      </c>
      <c r="BM303">
        <v>0</v>
      </c>
      <c r="BN303">
        <v>5</v>
      </c>
      <c r="BO303">
        <v>2.4</v>
      </c>
      <c r="BP303">
        <v>36</v>
      </c>
      <c r="BQ303">
        <v>0</v>
      </c>
      <c r="BR303">
        <v>0</v>
      </c>
      <c r="BS303">
        <v>0</v>
      </c>
      <c r="BT303">
        <v>5</v>
      </c>
      <c r="BU303">
        <v>2.2999999999999998</v>
      </c>
    </row>
    <row r="304" spans="1:73" x14ac:dyDescent="0.15">
      <c r="A304" s="11">
        <v>10101</v>
      </c>
      <c r="B304">
        <v>7</v>
      </c>
      <c r="C304" s="1">
        <v>41</v>
      </c>
      <c r="D304">
        <v>0</v>
      </c>
      <c r="E304">
        <v>0</v>
      </c>
      <c r="F304">
        <v>1</v>
      </c>
      <c r="G304" s="7">
        <v>0.08</v>
      </c>
      <c r="H304">
        <v>12</v>
      </c>
      <c r="I304">
        <v>0</v>
      </c>
      <c r="J304">
        <v>0</v>
      </c>
      <c r="K304">
        <v>0</v>
      </c>
      <c r="L304">
        <v>1</v>
      </c>
      <c r="M304">
        <v>2</v>
      </c>
      <c r="N304" s="7">
        <v>9</v>
      </c>
      <c r="O304" s="7">
        <v>0</v>
      </c>
      <c r="P304" s="7">
        <v>0</v>
      </c>
      <c r="Q304" s="7">
        <v>0</v>
      </c>
      <c r="R304" s="7">
        <v>1</v>
      </c>
      <c r="S304" s="7">
        <v>4.5</v>
      </c>
      <c r="T304">
        <v>7</v>
      </c>
      <c r="U304" s="1">
        <v>33</v>
      </c>
      <c r="V304">
        <v>0</v>
      </c>
      <c r="W304">
        <v>0</v>
      </c>
      <c r="X304">
        <v>1</v>
      </c>
      <c r="Y304">
        <v>0.16</v>
      </c>
      <c r="Z304">
        <v>23</v>
      </c>
      <c r="AA304">
        <v>0</v>
      </c>
      <c r="AB304">
        <v>0</v>
      </c>
      <c r="AC304">
        <v>0</v>
      </c>
      <c r="AD304">
        <v>1</v>
      </c>
      <c r="AE304">
        <v>0.05</v>
      </c>
      <c r="AF304">
        <v>15</v>
      </c>
      <c r="AG304">
        <v>0</v>
      </c>
      <c r="AH304">
        <v>0</v>
      </c>
      <c r="AI304">
        <v>0</v>
      </c>
      <c r="AJ304">
        <v>1</v>
      </c>
      <c r="AK304">
        <v>0.01</v>
      </c>
      <c r="AL304">
        <v>16</v>
      </c>
      <c r="AM304">
        <v>0</v>
      </c>
      <c r="AN304">
        <v>0</v>
      </c>
      <c r="AO304">
        <v>0</v>
      </c>
      <c r="AP304">
        <v>1</v>
      </c>
      <c r="AQ304">
        <v>5.0000000000000001E-3</v>
      </c>
      <c r="AX304">
        <v>7</v>
      </c>
      <c r="AY304" s="1">
        <v>17</v>
      </c>
      <c r="AZ304">
        <v>0</v>
      </c>
      <c r="BA304">
        <v>0</v>
      </c>
      <c r="BB304">
        <v>1</v>
      </c>
      <c r="BC304" s="7">
        <v>0.32</v>
      </c>
      <c r="BD304">
        <v>30</v>
      </c>
      <c r="BE304">
        <v>0</v>
      </c>
      <c r="BF304">
        <v>0</v>
      </c>
      <c r="BG304">
        <v>0</v>
      </c>
      <c r="BH304">
        <v>5</v>
      </c>
      <c r="BI304">
        <v>2.4</v>
      </c>
      <c r="BJ304">
        <v>31</v>
      </c>
      <c r="BK304">
        <v>0</v>
      </c>
      <c r="BL304">
        <v>0</v>
      </c>
      <c r="BM304">
        <v>0</v>
      </c>
      <c r="BN304">
        <v>5</v>
      </c>
      <c r="BO304">
        <v>2.4</v>
      </c>
      <c r="BP304">
        <v>36</v>
      </c>
      <c r="BQ304">
        <v>0</v>
      </c>
      <c r="BR304">
        <v>0</v>
      </c>
      <c r="BS304">
        <v>0</v>
      </c>
      <c r="BT304">
        <v>5</v>
      </c>
      <c r="BU304">
        <v>2.2999999999999998</v>
      </c>
    </row>
    <row r="305" spans="1:73" x14ac:dyDescent="0.15">
      <c r="A305" s="11">
        <v>10102</v>
      </c>
      <c r="B305">
        <v>7</v>
      </c>
      <c r="C305" s="1">
        <v>42</v>
      </c>
      <c r="D305">
        <v>0</v>
      </c>
      <c r="E305">
        <v>0</v>
      </c>
      <c r="F305">
        <v>1</v>
      </c>
      <c r="G305" s="7">
        <v>0.08</v>
      </c>
      <c r="H305">
        <v>12</v>
      </c>
      <c r="I305">
        <v>0</v>
      </c>
      <c r="J305">
        <v>0</v>
      </c>
      <c r="K305">
        <v>0</v>
      </c>
      <c r="L305">
        <v>1</v>
      </c>
      <c r="M305">
        <v>2</v>
      </c>
      <c r="N305" s="7">
        <v>9</v>
      </c>
      <c r="O305" s="7">
        <v>0</v>
      </c>
      <c r="P305" s="7">
        <v>0</v>
      </c>
      <c r="Q305" s="7">
        <v>0</v>
      </c>
      <c r="R305" s="7">
        <v>1</v>
      </c>
      <c r="S305" s="7">
        <v>4.5</v>
      </c>
      <c r="T305">
        <v>7</v>
      </c>
      <c r="U305" s="1">
        <v>34</v>
      </c>
      <c r="V305">
        <v>0</v>
      </c>
      <c r="W305">
        <v>0</v>
      </c>
      <c r="X305">
        <v>1</v>
      </c>
      <c r="Y305">
        <v>0.16</v>
      </c>
      <c r="Z305">
        <v>23</v>
      </c>
      <c r="AA305">
        <v>0</v>
      </c>
      <c r="AB305">
        <v>0</v>
      </c>
      <c r="AC305">
        <v>0</v>
      </c>
      <c r="AD305">
        <v>1</v>
      </c>
      <c r="AE305">
        <v>0.05</v>
      </c>
      <c r="AF305">
        <v>15</v>
      </c>
      <c r="AG305">
        <v>0</v>
      </c>
      <c r="AH305">
        <v>0</v>
      </c>
      <c r="AI305">
        <v>0</v>
      </c>
      <c r="AJ305">
        <v>1</v>
      </c>
      <c r="AK305">
        <v>0.01</v>
      </c>
      <c r="AL305">
        <v>16</v>
      </c>
      <c r="AM305">
        <v>0</v>
      </c>
      <c r="AN305">
        <v>0</v>
      </c>
      <c r="AO305">
        <v>0</v>
      </c>
      <c r="AP305">
        <v>1</v>
      </c>
      <c r="AQ305">
        <v>5.0000000000000001E-3</v>
      </c>
      <c r="AX305">
        <v>7</v>
      </c>
      <c r="AY305" s="1">
        <v>18</v>
      </c>
      <c r="AZ305">
        <v>0</v>
      </c>
      <c r="BA305">
        <v>0</v>
      </c>
      <c r="BB305">
        <v>1</v>
      </c>
      <c r="BC305" s="7">
        <v>0.32</v>
      </c>
      <c r="BD305">
        <v>30</v>
      </c>
      <c r="BE305">
        <v>0</v>
      </c>
      <c r="BF305">
        <v>0</v>
      </c>
      <c r="BG305">
        <v>0</v>
      </c>
      <c r="BH305">
        <v>5</v>
      </c>
      <c r="BI305">
        <v>2.4</v>
      </c>
      <c r="BJ305">
        <v>31</v>
      </c>
      <c r="BK305">
        <v>0</v>
      </c>
      <c r="BL305">
        <v>0</v>
      </c>
      <c r="BM305">
        <v>0</v>
      </c>
      <c r="BN305">
        <v>5</v>
      </c>
      <c r="BO305">
        <v>2.4</v>
      </c>
      <c r="BP305">
        <v>36</v>
      </c>
      <c r="BQ305">
        <v>0</v>
      </c>
      <c r="BR305">
        <v>0</v>
      </c>
      <c r="BS305">
        <v>0</v>
      </c>
      <c r="BT305">
        <v>5</v>
      </c>
      <c r="BU305">
        <v>2.2999999999999998</v>
      </c>
    </row>
    <row r="306" spans="1:73" x14ac:dyDescent="0.15">
      <c r="A306" s="11">
        <v>10103</v>
      </c>
      <c r="B306">
        <v>7</v>
      </c>
      <c r="C306" s="1">
        <v>43</v>
      </c>
      <c r="D306">
        <v>0</v>
      </c>
      <c r="E306">
        <v>0</v>
      </c>
      <c r="F306">
        <v>1</v>
      </c>
      <c r="G306" s="7">
        <v>0.08</v>
      </c>
      <c r="H306">
        <v>12</v>
      </c>
      <c r="I306">
        <v>0</v>
      </c>
      <c r="J306">
        <v>0</v>
      </c>
      <c r="K306">
        <v>0</v>
      </c>
      <c r="L306">
        <v>1</v>
      </c>
      <c r="M306">
        <v>2</v>
      </c>
      <c r="N306" s="7">
        <v>9</v>
      </c>
      <c r="O306" s="7">
        <v>0</v>
      </c>
      <c r="P306" s="7">
        <v>0</v>
      </c>
      <c r="Q306" s="7">
        <v>0</v>
      </c>
      <c r="R306" s="7">
        <v>1</v>
      </c>
      <c r="S306" s="7">
        <v>4.5</v>
      </c>
      <c r="T306">
        <v>7</v>
      </c>
      <c r="U306" s="1">
        <v>35</v>
      </c>
      <c r="V306">
        <v>0</v>
      </c>
      <c r="W306">
        <v>0</v>
      </c>
      <c r="X306">
        <v>1</v>
      </c>
      <c r="Y306">
        <v>0.16</v>
      </c>
      <c r="Z306">
        <v>23</v>
      </c>
      <c r="AA306">
        <v>0</v>
      </c>
      <c r="AB306">
        <v>0</v>
      </c>
      <c r="AC306">
        <v>0</v>
      </c>
      <c r="AD306">
        <v>1</v>
      </c>
      <c r="AE306">
        <v>0.05</v>
      </c>
      <c r="AF306">
        <v>15</v>
      </c>
      <c r="AG306">
        <v>0</v>
      </c>
      <c r="AH306">
        <v>0</v>
      </c>
      <c r="AI306">
        <v>0</v>
      </c>
      <c r="AJ306">
        <v>1</v>
      </c>
      <c r="AK306">
        <v>0.01</v>
      </c>
      <c r="AL306">
        <v>16</v>
      </c>
      <c r="AM306">
        <v>0</v>
      </c>
      <c r="AN306">
        <v>0</v>
      </c>
      <c r="AO306">
        <v>0</v>
      </c>
      <c r="AP306">
        <v>1</v>
      </c>
      <c r="AQ306">
        <v>5.0000000000000001E-3</v>
      </c>
      <c r="AX306">
        <v>7</v>
      </c>
      <c r="AY306" s="1">
        <v>19</v>
      </c>
      <c r="AZ306">
        <v>0</v>
      </c>
      <c r="BA306">
        <v>0</v>
      </c>
      <c r="BB306">
        <v>1</v>
      </c>
      <c r="BC306" s="7">
        <v>0.32</v>
      </c>
      <c r="BD306">
        <v>30</v>
      </c>
      <c r="BE306">
        <v>0</v>
      </c>
      <c r="BF306">
        <v>0</v>
      </c>
      <c r="BG306">
        <v>0</v>
      </c>
      <c r="BH306">
        <v>5</v>
      </c>
      <c r="BI306">
        <v>2.4</v>
      </c>
      <c r="BJ306">
        <v>31</v>
      </c>
      <c r="BK306">
        <v>0</v>
      </c>
      <c r="BL306">
        <v>0</v>
      </c>
      <c r="BM306">
        <v>0</v>
      </c>
      <c r="BN306">
        <v>5</v>
      </c>
      <c r="BO306">
        <v>2.4</v>
      </c>
      <c r="BP306">
        <v>36</v>
      </c>
      <c r="BQ306">
        <v>0</v>
      </c>
      <c r="BR306">
        <v>0</v>
      </c>
      <c r="BS306">
        <v>0</v>
      </c>
      <c r="BT306">
        <v>5</v>
      </c>
      <c r="BU306">
        <v>2.2999999999999998</v>
      </c>
    </row>
    <row r="307" spans="1:73" x14ac:dyDescent="0.15">
      <c r="A307" s="11">
        <v>10104</v>
      </c>
      <c r="B307">
        <v>7</v>
      </c>
      <c r="C307" s="1">
        <v>44</v>
      </c>
      <c r="D307">
        <v>0</v>
      </c>
      <c r="E307">
        <v>0</v>
      </c>
      <c r="F307">
        <v>1</v>
      </c>
      <c r="G307" s="7">
        <v>0.08</v>
      </c>
      <c r="H307">
        <v>12</v>
      </c>
      <c r="I307">
        <v>0</v>
      </c>
      <c r="J307">
        <v>0</v>
      </c>
      <c r="K307">
        <v>0</v>
      </c>
      <c r="L307">
        <v>1</v>
      </c>
      <c r="M307">
        <v>2</v>
      </c>
      <c r="N307" s="7">
        <v>9</v>
      </c>
      <c r="O307" s="7">
        <v>0</v>
      </c>
      <c r="P307" s="7">
        <v>0</v>
      </c>
      <c r="Q307" s="7">
        <v>0</v>
      </c>
      <c r="R307" s="7">
        <v>1</v>
      </c>
      <c r="S307" s="7">
        <v>4.5</v>
      </c>
      <c r="T307">
        <v>7</v>
      </c>
      <c r="U307" s="1">
        <v>36</v>
      </c>
      <c r="V307">
        <v>0</v>
      </c>
      <c r="W307">
        <v>0</v>
      </c>
      <c r="X307">
        <v>1</v>
      </c>
      <c r="Y307">
        <v>0.16</v>
      </c>
      <c r="Z307">
        <v>23</v>
      </c>
      <c r="AA307">
        <v>0</v>
      </c>
      <c r="AB307">
        <v>0</v>
      </c>
      <c r="AC307">
        <v>0</v>
      </c>
      <c r="AD307">
        <v>1</v>
      </c>
      <c r="AE307">
        <v>0.05</v>
      </c>
      <c r="AF307">
        <v>15</v>
      </c>
      <c r="AG307">
        <v>0</v>
      </c>
      <c r="AH307">
        <v>0</v>
      </c>
      <c r="AI307">
        <v>0</v>
      </c>
      <c r="AJ307">
        <v>1</v>
      </c>
      <c r="AK307">
        <v>0.01</v>
      </c>
      <c r="AL307">
        <v>16</v>
      </c>
      <c r="AM307">
        <v>0</v>
      </c>
      <c r="AN307">
        <v>0</v>
      </c>
      <c r="AO307">
        <v>0</v>
      </c>
      <c r="AP307">
        <v>1</v>
      </c>
      <c r="AQ307">
        <v>5.0000000000000001E-3</v>
      </c>
      <c r="AX307">
        <v>7</v>
      </c>
      <c r="AY307" s="1">
        <v>20</v>
      </c>
      <c r="AZ307">
        <v>0</v>
      </c>
      <c r="BA307">
        <v>0</v>
      </c>
      <c r="BB307">
        <v>1</v>
      </c>
      <c r="BC307" s="7">
        <v>0.32</v>
      </c>
      <c r="BD307">
        <v>30</v>
      </c>
      <c r="BE307">
        <v>0</v>
      </c>
      <c r="BF307">
        <v>0</v>
      </c>
      <c r="BG307">
        <v>0</v>
      </c>
      <c r="BH307">
        <v>5</v>
      </c>
      <c r="BI307">
        <v>2.4</v>
      </c>
      <c r="BJ307">
        <v>31</v>
      </c>
      <c r="BK307">
        <v>0</v>
      </c>
      <c r="BL307">
        <v>0</v>
      </c>
      <c r="BM307">
        <v>0</v>
      </c>
      <c r="BN307">
        <v>5</v>
      </c>
      <c r="BO307">
        <v>2.4</v>
      </c>
      <c r="BP307">
        <v>36</v>
      </c>
      <c r="BQ307">
        <v>0</v>
      </c>
      <c r="BR307">
        <v>0</v>
      </c>
      <c r="BS307">
        <v>0</v>
      </c>
      <c r="BT307">
        <v>5</v>
      </c>
      <c r="BU307">
        <v>2.2999999999999998</v>
      </c>
    </row>
    <row r="308" spans="1:73" x14ac:dyDescent="0.15">
      <c r="A308" s="11">
        <v>10105</v>
      </c>
      <c r="B308">
        <v>7</v>
      </c>
      <c r="C308" s="1">
        <v>0</v>
      </c>
      <c r="D308">
        <v>4</v>
      </c>
      <c r="E308">
        <v>4</v>
      </c>
      <c r="F308">
        <v>1</v>
      </c>
      <c r="G308" s="7">
        <v>0.08</v>
      </c>
      <c r="H308">
        <v>12</v>
      </c>
      <c r="I308">
        <v>0</v>
      </c>
      <c r="J308">
        <v>0</v>
      </c>
      <c r="K308">
        <v>0</v>
      </c>
      <c r="L308">
        <v>1</v>
      </c>
      <c r="M308">
        <v>2</v>
      </c>
      <c r="N308" s="7">
        <v>9</v>
      </c>
      <c r="O308" s="7">
        <v>0</v>
      </c>
      <c r="P308" s="7">
        <v>0</v>
      </c>
      <c r="Q308" s="7">
        <v>0</v>
      </c>
      <c r="R308" s="7">
        <v>1</v>
      </c>
      <c r="S308" s="7">
        <v>4.5</v>
      </c>
      <c r="T308">
        <v>7</v>
      </c>
      <c r="U308" s="1">
        <v>0</v>
      </c>
      <c r="V308">
        <v>4</v>
      </c>
      <c r="W308">
        <v>2</v>
      </c>
      <c r="X308">
        <v>1</v>
      </c>
      <c r="Y308">
        <v>0.16</v>
      </c>
      <c r="Z308">
        <v>23</v>
      </c>
      <c r="AA308">
        <v>0</v>
      </c>
      <c r="AB308">
        <v>0</v>
      </c>
      <c r="AC308">
        <v>0</v>
      </c>
      <c r="AD308">
        <v>1</v>
      </c>
      <c r="AE308">
        <v>0.05</v>
      </c>
      <c r="AF308">
        <v>15</v>
      </c>
      <c r="AG308">
        <v>0</v>
      </c>
      <c r="AH308">
        <v>0</v>
      </c>
      <c r="AI308">
        <v>0</v>
      </c>
      <c r="AJ308">
        <v>1</v>
      </c>
      <c r="AK308">
        <v>0.01</v>
      </c>
      <c r="AL308">
        <v>16</v>
      </c>
      <c r="AM308">
        <v>0</v>
      </c>
      <c r="AN308">
        <v>0</v>
      </c>
      <c r="AO308">
        <v>0</v>
      </c>
      <c r="AP308">
        <v>1</v>
      </c>
      <c r="AQ308">
        <v>5.0000000000000001E-3</v>
      </c>
      <c r="AR308">
        <v>6</v>
      </c>
      <c r="AS308">
        <v>2</v>
      </c>
      <c r="AT308">
        <v>1</v>
      </c>
      <c r="AU308">
        <v>5</v>
      </c>
      <c r="AV308">
        <v>1</v>
      </c>
      <c r="AW308">
        <v>0.05</v>
      </c>
      <c r="AX308">
        <v>7</v>
      </c>
      <c r="AY308" s="1">
        <v>0</v>
      </c>
      <c r="AZ308">
        <v>3</v>
      </c>
      <c r="BA308">
        <v>1</v>
      </c>
      <c r="BB308">
        <v>1</v>
      </c>
      <c r="BC308" s="7">
        <v>0.32</v>
      </c>
      <c r="BD308">
        <v>30</v>
      </c>
      <c r="BE308">
        <v>0</v>
      </c>
      <c r="BF308">
        <v>0</v>
      </c>
      <c r="BG308">
        <v>0</v>
      </c>
      <c r="BH308">
        <v>5</v>
      </c>
      <c r="BI308">
        <v>2.4</v>
      </c>
      <c r="BJ308">
        <v>31</v>
      </c>
      <c r="BK308">
        <v>0</v>
      </c>
      <c r="BL308">
        <v>0</v>
      </c>
      <c r="BM308">
        <v>0</v>
      </c>
      <c r="BN308">
        <v>5</v>
      </c>
      <c r="BO308">
        <v>2.4</v>
      </c>
      <c r="BP308">
        <v>36</v>
      </c>
      <c r="BQ308">
        <v>0</v>
      </c>
      <c r="BR308">
        <v>0</v>
      </c>
      <c r="BS308">
        <v>0</v>
      </c>
      <c r="BT308">
        <v>5</v>
      </c>
      <c r="BU308">
        <v>2.2999999999999998</v>
      </c>
    </row>
    <row r="309" spans="1:73" x14ac:dyDescent="0.15">
      <c r="A309" s="11">
        <v>10106</v>
      </c>
      <c r="B309">
        <v>7</v>
      </c>
      <c r="C309" s="1">
        <v>41</v>
      </c>
      <c r="D309">
        <v>0</v>
      </c>
      <c r="E309">
        <v>0</v>
      </c>
      <c r="F309">
        <v>1</v>
      </c>
      <c r="G309" s="7">
        <v>0.08</v>
      </c>
      <c r="H309">
        <v>12</v>
      </c>
      <c r="I309">
        <v>0</v>
      </c>
      <c r="J309">
        <v>0</v>
      </c>
      <c r="K309">
        <v>0</v>
      </c>
      <c r="L309">
        <v>1</v>
      </c>
      <c r="M309">
        <v>2</v>
      </c>
      <c r="N309" s="7">
        <v>9</v>
      </c>
      <c r="O309" s="7">
        <v>0</v>
      </c>
      <c r="P309" s="7">
        <v>0</v>
      </c>
      <c r="Q309" s="7">
        <v>0</v>
      </c>
      <c r="R309" s="7">
        <v>1</v>
      </c>
      <c r="S309" s="7">
        <v>4.5</v>
      </c>
      <c r="T309">
        <v>7</v>
      </c>
      <c r="U309" s="1">
        <v>33</v>
      </c>
      <c r="V309">
        <v>0</v>
      </c>
      <c r="W309">
        <v>0</v>
      </c>
      <c r="X309">
        <v>1</v>
      </c>
      <c r="Y309">
        <v>0.16</v>
      </c>
      <c r="Z309">
        <v>23</v>
      </c>
      <c r="AA309">
        <v>0</v>
      </c>
      <c r="AB309">
        <v>0</v>
      </c>
      <c r="AC309">
        <v>0</v>
      </c>
      <c r="AD309">
        <v>1</v>
      </c>
      <c r="AE309">
        <v>0.05</v>
      </c>
      <c r="AF309">
        <v>15</v>
      </c>
      <c r="AG309">
        <v>0</v>
      </c>
      <c r="AH309">
        <v>0</v>
      </c>
      <c r="AI309">
        <v>0</v>
      </c>
      <c r="AJ309">
        <v>1</v>
      </c>
      <c r="AK309">
        <v>0.01</v>
      </c>
      <c r="AL309">
        <v>16</v>
      </c>
      <c r="AM309">
        <v>0</v>
      </c>
      <c r="AN309">
        <v>0</v>
      </c>
      <c r="AO309">
        <v>0</v>
      </c>
      <c r="AP309">
        <v>1</v>
      </c>
      <c r="AQ309">
        <v>5.0000000000000001E-3</v>
      </c>
      <c r="AX309">
        <v>7</v>
      </c>
      <c r="AY309" s="1">
        <v>17</v>
      </c>
      <c r="AZ309">
        <v>0</v>
      </c>
      <c r="BA309">
        <v>0</v>
      </c>
      <c r="BB309">
        <v>1</v>
      </c>
      <c r="BC309" s="7">
        <v>0.32</v>
      </c>
      <c r="BD309">
        <v>30</v>
      </c>
      <c r="BE309">
        <v>0</v>
      </c>
      <c r="BF309">
        <v>0</v>
      </c>
      <c r="BG309">
        <v>0</v>
      </c>
      <c r="BH309">
        <v>5</v>
      </c>
      <c r="BI309">
        <v>2.4</v>
      </c>
      <c r="BJ309">
        <v>31</v>
      </c>
      <c r="BK309">
        <v>0</v>
      </c>
      <c r="BL309">
        <v>0</v>
      </c>
      <c r="BM309">
        <v>0</v>
      </c>
      <c r="BN309">
        <v>5</v>
      </c>
      <c r="BO309">
        <v>2.4</v>
      </c>
      <c r="BP309">
        <v>36</v>
      </c>
      <c r="BQ309">
        <v>0</v>
      </c>
      <c r="BR309">
        <v>0</v>
      </c>
      <c r="BS309">
        <v>0</v>
      </c>
      <c r="BT309">
        <v>5</v>
      </c>
      <c r="BU309">
        <v>2.2999999999999998</v>
      </c>
    </row>
    <row r="310" spans="1:73" x14ac:dyDescent="0.15">
      <c r="A310" s="11">
        <v>10107</v>
      </c>
      <c r="B310">
        <v>7</v>
      </c>
      <c r="C310" s="1">
        <v>42</v>
      </c>
      <c r="D310">
        <v>0</v>
      </c>
      <c r="E310">
        <v>0</v>
      </c>
      <c r="F310">
        <v>1</v>
      </c>
      <c r="G310" s="7">
        <v>0.08</v>
      </c>
      <c r="H310">
        <v>12</v>
      </c>
      <c r="I310">
        <v>0</v>
      </c>
      <c r="J310">
        <v>0</v>
      </c>
      <c r="K310">
        <v>0</v>
      </c>
      <c r="L310">
        <v>1</v>
      </c>
      <c r="M310">
        <v>2</v>
      </c>
      <c r="N310" s="7">
        <v>9</v>
      </c>
      <c r="O310" s="7">
        <v>0</v>
      </c>
      <c r="P310" s="7">
        <v>0</v>
      </c>
      <c r="Q310" s="7">
        <v>0</v>
      </c>
      <c r="R310" s="7">
        <v>1</v>
      </c>
      <c r="S310" s="7">
        <v>4.5</v>
      </c>
      <c r="T310">
        <v>7</v>
      </c>
      <c r="U310" s="1">
        <v>34</v>
      </c>
      <c r="V310">
        <v>0</v>
      </c>
      <c r="W310">
        <v>0</v>
      </c>
      <c r="X310">
        <v>1</v>
      </c>
      <c r="Y310">
        <v>0.16</v>
      </c>
      <c r="Z310">
        <v>23</v>
      </c>
      <c r="AA310">
        <v>0</v>
      </c>
      <c r="AB310">
        <v>0</v>
      </c>
      <c r="AC310">
        <v>0</v>
      </c>
      <c r="AD310">
        <v>1</v>
      </c>
      <c r="AE310">
        <v>0.05</v>
      </c>
      <c r="AF310">
        <v>15</v>
      </c>
      <c r="AG310">
        <v>0</v>
      </c>
      <c r="AH310">
        <v>0</v>
      </c>
      <c r="AI310">
        <v>0</v>
      </c>
      <c r="AJ310">
        <v>1</v>
      </c>
      <c r="AK310">
        <v>0.01</v>
      </c>
      <c r="AL310">
        <v>16</v>
      </c>
      <c r="AM310">
        <v>0</v>
      </c>
      <c r="AN310">
        <v>0</v>
      </c>
      <c r="AO310">
        <v>0</v>
      </c>
      <c r="AP310">
        <v>1</v>
      </c>
      <c r="AQ310">
        <v>5.0000000000000001E-3</v>
      </c>
      <c r="AX310">
        <v>7</v>
      </c>
      <c r="AY310" s="1">
        <v>18</v>
      </c>
      <c r="AZ310">
        <v>0</v>
      </c>
      <c r="BA310">
        <v>0</v>
      </c>
      <c r="BB310">
        <v>1</v>
      </c>
      <c r="BC310" s="7">
        <v>0.32</v>
      </c>
      <c r="BD310">
        <v>30</v>
      </c>
      <c r="BE310">
        <v>0</v>
      </c>
      <c r="BF310">
        <v>0</v>
      </c>
      <c r="BG310">
        <v>0</v>
      </c>
      <c r="BH310">
        <v>5</v>
      </c>
      <c r="BI310">
        <v>2.4</v>
      </c>
      <c r="BJ310">
        <v>31</v>
      </c>
      <c r="BK310">
        <v>0</v>
      </c>
      <c r="BL310">
        <v>0</v>
      </c>
      <c r="BM310">
        <v>0</v>
      </c>
      <c r="BN310">
        <v>5</v>
      </c>
      <c r="BO310">
        <v>2.4</v>
      </c>
      <c r="BP310">
        <v>36</v>
      </c>
      <c r="BQ310">
        <v>0</v>
      </c>
      <c r="BR310">
        <v>0</v>
      </c>
      <c r="BS310">
        <v>0</v>
      </c>
      <c r="BT310">
        <v>5</v>
      </c>
      <c r="BU310">
        <v>2.2999999999999998</v>
      </c>
    </row>
    <row r="311" spans="1:73" x14ac:dyDescent="0.15">
      <c r="A311" s="11">
        <v>10108</v>
      </c>
      <c r="B311">
        <v>7</v>
      </c>
      <c r="C311" s="1">
        <v>43</v>
      </c>
      <c r="D311">
        <v>0</v>
      </c>
      <c r="E311">
        <v>0</v>
      </c>
      <c r="F311">
        <v>1</v>
      </c>
      <c r="G311" s="7">
        <v>0.08</v>
      </c>
      <c r="H311">
        <v>12</v>
      </c>
      <c r="I311">
        <v>0</v>
      </c>
      <c r="J311">
        <v>0</v>
      </c>
      <c r="K311">
        <v>0</v>
      </c>
      <c r="L311">
        <v>1</v>
      </c>
      <c r="M311">
        <v>2</v>
      </c>
      <c r="N311" s="7">
        <v>9</v>
      </c>
      <c r="O311" s="7">
        <v>0</v>
      </c>
      <c r="P311" s="7">
        <v>0</v>
      </c>
      <c r="Q311" s="7">
        <v>0</v>
      </c>
      <c r="R311" s="7">
        <v>1</v>
      </c>
      <c r="S311" s="7">
        <v>4.5</v>
      </c>
      <c r="T311">
        <v>7</v>
      </c>
      <c r="U311" s="1">
        <v>35</v>
      </c>
      <c r="V311">
        <v>0</v>
      </c>
      <c r="W311">
        <v>0</v>
      </c>
      <c r="X311">
        <v>1</v>
      </c>
      <c r="Y311">
        <v>0.16</v>
      </c>
      <c r="Z311">
        <v>23</v>
      </c>
      <c r="AA311">
        <v>0</v>
      </c>
      <c r="AB311">
        <v>0</v>
      </c>
      <c r="AC311">
        <v>0</v>
      </c>
      <c r="AD311">
        <v>1</v>
      </c>
      <c r="AE311">
        <v>0.05</v>
      </c>
      <c r="AF311">
        <v>15</v>
      </c>
      <c r="AG311">
        <v>0</v>
      </c>
      <c r="AH311">
        <v>0</v>
      </c>
      <c r="AI311">
        <v>0</v>
      </c>
      <c r="AJ311">
        <v>1</v>
      </c>
      <c r="AK311">
        <v>0.01</v>
      </c>
      <c r="AL311">
        <v>16</v>
      </c>
      <c r="AM311">
        <v>0</v>
      </c>
      <c r="AN311">
        <v>0</v>
      </c>
      <c r="AO311">
        <v>0</v>
      </c>
      <c r="AP311">
        <v>1</v>
      </c>
      <c r="AQ311">
        <v>5.0000000000000001E-3</v>
      </c>
      <c r="AX311">
        <v>7</v>
      </c>
      <c r="AY311" s="1">
        <v>19</v>
      </c>
      <c r="AZ311">
        <v>0</v>
      </c>
      <c r="BA311">
        <v>0</v>
      </c>
      <c r="BB311">
        <v>1</v>
      </c>
      <c r="BC311" s="7">
        <v>0.32</v>
      </c>
      <c r="BD311">
        <v>30</v>
      </c>
      <c r="BE311">
        <v>0</v>
      </c>
      <c r="BF311">
        <v>0</v>
      </c>
      <c r="BG311">
        <v>0</v>
      </c>
      <c r="BH311">
        <v>5</v>
      </c>
      <c r="BI311">
        <v>2.4</v>
      </c>
      <c r="BJ311">
        <v>31</v>
      </c>
      <c r="BK311">
        <v>0</v>
      </c>
      <c r="BL311">
        <v>0</v>
      </c>
      <c r="BM311">
        <v>0</v>
      </c>
      <c r="BN311">
        <v>5</v>
      </c>
      <c r="BO311">
        <v>2.4</v>
      </c>
      <c r="BP311">
        <v>36</v>
      </c>
      <c r="BQ311">
        <v>0</v>
      </c>
      <c r="BR311">
        <v>0</v>
      </c>
      <c r="BS311">
        <v>0</v>
      </c>
      <c r="BT311">
        <v>5</v>
      </c>
      <c r="BU311">
        <v>2.2999999999999998</v>
      </c>
    </row>
    <row r="312" spans="1:73" x14ac:dyDescent="0.15">
      <c r="A312" s="11">
        <v>10109</v>
      </c>
      <c r="B312">
        <v>7</v>
      </c>
      <c r="C312" s="1">
        <v>44</v>
      </c>
      <c r="D312">
        <v>0</v>
      </c>
      <c r="E312">
        <v>0</v>
      </c>
      <c r="F312">
        <v>1</v>
      </c>
      <c r="G312" s="7">
        <v>0.08</v>
      </c>
      <c r="H312">
        <v>12</v>
      </c>
      <c r="I312">
        <v>0</v>
      </c>
      <c r="J312">
        <v>0</v>
      </c>
      <c r="K312">
        <v>0</v>
      </c>
      <c r="L312">
        <v>1</v>
      </c>
      <c r="M312">
        <v>2</v>
      </c>
      <c r="N312" s="7">
        <v>9</v>
      </c>
      <c r="O312" s="7">
        <v>0</v>
      </c>
      <c r="P312" s="7">
        <v>0</v>
      </c>
      <c r="Q312" s="7">
        <v>0</v>
      </c>
      <c r="R312" s="7">
        <v>1</v>
      </c>
      <c r="S312" s="7">
        <v>4.5</v>
      </c>
      <c r="T312">
        <v>7</v>
      </c>
      <c r="U312" s="1">
        <v>36</v>
      </c>
      <c r="V312">
        <v>0</v>
      </c>
      <c r="W312">
        <v>0</v>
      </c>
      <c r="X312">
        <v>1</v>
      </c>
      <c r="Y312">
        <v>0.16</v>
      </c>
      <c r="Z312">
        <v>23</v>
      </c>
      <c r="AA312">
        <v>0</v>
      </c>
      <c r="AB312">
        <v>0</v>
      </c>
      <c r="AC312">
        <v>0</v>
      </c>
      <c r="AD312">
        <v>1</v>
      </c>
      <c r="AE312">
        <v>0.05</v>
      </c>
      <c r="AF312">
        <v>15</v>
      </c>
      <c r="AG312">
        <v>0</v>
      </c>
      <c r="AH312">
        <v>0</v>
      </c>
      <c r="AI312">
        <v>0</v>
      </c>
      <c r="AJ312">
        <v>1</v>
      </c>
      <c r="AK312">
        <v>0.01</v>
      </c>
      <c r="AL312">
        <v>16</v>
      </c>
      <c r="AM312">
        <v>0</v>
      </c>
      <c r="AN312">
        <v>0</v>
      </c>
      <c r="AO312">
        <v>0</v>
      </c>
      <c r="AP312">
        <v>1</v>
      </c>
      <c r="AQ312">
        <v>5.0000000000000001E-3</v>
      </c>
      <c r="AX312">
        <v>7</v>
      </c>
      <c r="AY312" s="1">
        <v>20</v>
      </c>
      <c r="AZ312">
        <v>0</v>
      </c>
      <c r="BA312">
        <v>0</v>
      </c>
      <c r="BB312">
        <v>1</v>
      </c>
      <c r="BC312" s="7">
        <v>0.32</v>
      </c>
      <c r="BD312">
        <v>30</v>
      </c>
      <c r="BE312">
        <v>0</v>
      </c>
      <c r="BF312">
        <v>0</v>
      </c>
      <c r="BG312">
        <v>0</v>
      </c>
      <c r="BH312">
        <v>5</v>
      </c>
      <c r="BI312">
        <v>2.4</v>
      </c>
      <c r="BJ312">
        <v>31</v>
      </c>
      <c r="BK312">
        <v>0</v>
      </c>
      <c r="BL312">
        <v>0</v>
      </c>
      <c r="BM312">
        <v>0</v>
      </c>
      <c r="BN312">
        <v>5</v>
      </c>
      <c r="BO312">
        <v>2.4</v>
      </c>
      <c r="BP312">
        <v>36</v>
      </c>
      <c r="BQ312">
        <v>0</v>
      </c>
      <c r="BR312">
        <v>0</v>
      </c>
      <c r="BS312">
        <v>0</v>
      </c>
      <c r="BT312">
        <v>5</v>
      </c>
      <c r="BU312">
        <v>2.2999999999999998</v>
      </c>
    </row>
    <row r="313" spans="1:73" x14ac:dyDescent="0.15">
      <c r="A313" s="11">
        <v>10110</v>
      </c>
      <c r="B313">
        <v>7</v>
      </c>
      <c r="C313" s="1">
        <v>0</v>
      </c>
      <c r="D313">
        <v>4</v>
      </c>
      <c r="E313">
        <v>4</v>
      </c>
      <c r="F313">
        <v>1</v>
      </c>
      <c r="G313" s="7">
        <v>0.08</v>
      </c>
      <c r="H313">
        <v>12</v>
      </c>
      <c r="I313">
        <v>0</v>
      </c>
      <c r="J313">
        <v>0</v>
      </c>
      <c r="K313">
        <v>0</v>
      </c>
      <c r="L313">
        <v>1</v>
      </c>
      <c r="M313">
        <v>2</v>
      </c>
      <c r="N313" s="7">
        <v>9</v>
      </c>
      <c r="O313" s="7">
        <v>0</v>
      </c>
      <c r="P313" s="7">
        <v>0</v>
      </c>
      <c r="Q313" s="7">
        <v>0</v>
      </c>
      <c r="R313" s="7">
        <v>1</v>
      </c>
      <c r="S313" s="7">
        <v>4.5</v>
      </c>
      <c r="T313">
        <v>7</v>
      </c>
      <c r="U313" s="1">
        <v>0</v>
      </c>
      <c r="V313">
        <v>4</v>
      </c>
      <c r="W313">
        <v>2</v>
      </c>
      <c r="X313">
        <v>1</v>
      </c>
      <c r="Y313">
        <v>0.16</v>
      </c>
      <c r="Z313">
        <v>23</v>
      </c>
      <c r="AA313">
        <v>0</v>
      </c>
      <c r="AB313">
        <v>0</v>
      </c>
      <c r="AC313">
        <v>0</v>
      </c>
      <c r="AD313">
        <v>1</v>
      </c>
      <c r="AE313">
        <v>0.05</v>
      </c>
      <c r="AF313">
        <v>15</v>
      </c>
      <c r="AG313">
        <v>0</v>
      </c>
      <c r="AH313">
        <v>0</v>
      </c>
      <c r="AI313">
        <v>0</v>
      </c>
      <c r="AJ313">
        <v>1</v>
      </c>
      <c r="AK313">
        <v>0.01</v>
      </c>
      <c r="AL313">
        <v>16</v>
      </c>
      <c r="AM313">
        <v>0</v>
      </c>
      <c r="AN313">
        <v>0</v>
      </c>
      <c r="AO313">
        <v>0</v>
      </c>
      <c r="AP313">
        <v>1</v>
      </c>
      <c r="AQ313">
        <v>5.0000000000000001E-3</v>
      </c>
      <c r="AR313">
        <v>6</v>
      </c>
      <c r="AS313">
        <v>2</v>
      </c>
      <c r="AT313">
        <v>2</v>
      </c>
      <c r="AU313">
        <v>5</v>
      </c>
      <c r="AV313">
        <v>1</v>
      </c>
      <c r="AW313">
        <v>0.05</v>
      </c>
      <c r="AX313">
        <v>7</v>
      </c>
      <c r="AY313" s="1">
        <v>0</v>
      </c>
      <c r="AZ313">
        <v>3</v>
      </c>
      <c r="BA313">
        <v>1</v>
      </c>
      <c r="BB313">
        <v>1</v>
      </c>
      <c r="BC313" s="7">
        <v>0.32</v>
      </c>
      <c r="BD313">
        <v>30</v>
      </c>
      <c r="BE313">
        <v>0</v>
      </c>
      <c r="BF313">
        <v>0</v>
      </c>
      <c r="BG313">
        <v>0</v>
      </c>
      <c r="BH313">
        <v>5</v>
      </c>
      <c r="BI313">
        <v>2.4</v>
      </c>
      <c r="BJ313">
        <v>31</v>
      </c>
      <c r="BK313">
        <v>0</v>
      </c>
      <c r="BL313">
        <v>0</v>
      </c>
      <c r="BM313">
        <v>0</v>
      </c>
      <c r="BN313">
        <v>5</v>
      </c>
      <c r="BO313">
        <v>2.4</v>
      </c>
      <c r="BP313">
        <v>36</v>
      </c>
      <c r="BQ313">
        <v>0</v>
      </c>
      <c r="BR313">
        <v>0</v>
      </c>
      <c r="BS313">
        <v>0</v>
      </c>
      <c r="BT313">
        <v>5</v>
      </c>
      <c r="BU313">
        <v>2.2999999999999998</v>
      </c>
    </row>
    <row r="314" spans="1:73" x14ac:dyDescent="0.15">
      <c r="A314" s="11">
        <v>10111</v>
      </c>
      <c r="B314">
        <v>7</v>
      </c>
      <c r="C314" s="1">
        <v>41</v>
      </c>
      <c r="D314">
        <v>0</v>
      </c>
      <c r="E314">
        <v>0</v>
      </c>
      <c r="F314">
        <v>1</v>
      </c>
      <c r="G314" s="7">
        <v>0.08</v>
      </c>
      <c r="H314">
        <v>12</v>
      </c>
      <c r="I314">
        <v>0</v>
      </c>
      <c r="J314">
        <v>0</v>
      </c>
      <c r="K314">
        <v>0</v>
      </c>
      <c r="L314">
        <v>1</v>
      </c>
      <c r="M314">
        <v>2</v>
      </c>
      <c r="N314" s="7">
        <v>9</v>
      </c>
      <c r="O314" s="7">
        <v>0</v>
      </c>
      <c r="P314" s="7">
        <v>0</v>
      </c>
      <c r="Q314" s="7">
        <v>0</v>
      </c>
      <c r="R314" s="7">
        <v>1</v>
      </c>
      <c r="S314" s="7">
        <v>4.5</v>
      </c>
      <c r="T314">
        <v>7</v>
      </c>
      <c r="U314" s="1">
        <v>33</v>
      </c>
      <c r="V314">
        <v>0</v>
      </c>
      <c r="W314">
        <v>0</v>
      </c>
      <c r="X314">
        <v>1</v>
      </c>
      <c r="Y314">
        <v>0.16</v>
      </c>
      <c r="Z314">
        <v>23</v>
      </c>
      <c r="AA314">
        <v>0</v>
      </c>
      <c r="AB314">
        <v>0</v>
      </c>
      <c r="AC314">
        <v>0</v>
      </c>
      <c r="AD314">
        <v>1</v>
      </c>
      <c r="AE314">
        <v>0.05</v>
      </c>
      <c r="AF314">
        <v>15</v>
      </c>
      <c r="AG314">
        <v>0</v>
      </c>
      <c r="AH314">
        <v>0</v>
      </c>
      <c r="AI314">
        <v>0</v>
      </c>
      <c r="AJ314">
        <v>1</v>
      </c>
      <c r="AK314">
        <v>0.01</v>
      </c>
      <c r="AL314">
        <v>16</v>
      </c>
      <c r="AM314">
        <v>0</v>
      </c>
      <c r="AN314">
        <v>0</v>
      </c>
      <c r="AO314">
        <v>0</v>
      </c>
      <c r="AP314">
        <v>1</v>
      </c>
      <c r="AQ314">
        <v>5.0000000000000001E-3</v>
      </c>
      <c r="AX314">
        <v>7</v>
      </c>
      <c r="AY314" s="1">
        <v>17</v>
      </c>
      <c r="AZ314">
        <v>0</v>
      </c>
      <c r="BA314">
        <v>0</v>
      </c>
      <c r="BB314">
        <v>1</v>
      </c>
      <c r="BC314" s="7">
        <v>0.32</v>
      </c>
      <c r="BD314">
        <v>30</v>
      </c>
      <c r="BE314">
        <v>0</v>
      </c>
      <c r="BF314">
        <v>0</v>
      </c>
      <c r="BG314">
        <v>0</v>
      </c>
      <c r="BH314">
        <v>5</v>
      </c>
      <c r="BI314">
        <v>2.4</v>
      </c>
      <c r="BJ314">
        <v>31</v>
      </c>
      <c r="BK314">
        <v>0</v>
      </c>
      <c r="BL314">
        <v>0</v>
      </c>
      <c r="BM314">
        <v>0</v>
      </c>
      <c r="BN314">
        <v>5</v>
      </c>
      <c r="BO314">
        <v>2.4</v>
      </c>
      <c r="BP314">
        <v>36</v>
      </c>
      <c r="BQ314">
        <v>0</v>
      </c>
      <c r="BR314">
        <v>0</v>
      </c>
      <c r="BS314">
        <v>0</v>
      </c>
      <c r="BT314">
        <v>5</v>
      </c>
      <c r="BU314">
        <v>2.2999999999999998</v>
      </c>
    </row>
    <row r="315" spans="1:73" x14ac:dyDescent="0.15">
      <c r="A315" s="11">
        <v>10112</v>
      </c>
      <c r="B315">
        <v>7</v>
      </c>
      <c r="C315" s="1">
        <v>42</v>
      </c>
      <c r="D315">
        <v>0</v>
      </c>
      <c r="E315">
        <v>0</v>
      </c>
      <c r="F315">
        <v>1</v>
      </c>
      <c r="G315" s="7">
        <v>0.08</v>
      </c>
      <c r="H315">
        <v>12</v>
      </c>
      <c r="I315">
        <v>0</v>
      </c>
      <c r="J315">
        <v>0</v>
      </c>
      <c r="K315">
        <v>0</v>
      </c>
      <c r="L315">
        <v>1</v>
      </c>
      <c r="M315">
        <v>2</v>
      </c>
      <c r="N315" s="7">
        <v>9</v>
      </c>
      <c r="O315" s="7">
        <v>0</v>
      </c>
      <c r="P315" s="7">
        <v>0</v>
      </c>
      <c r="Q315" s="7">
        <v>0</v>
      </c>
      <c r="R315" s="7">
        <v>1</v>
      </c>
      <c r="S315" s="7">
        <v>4.5</v>
      </c>
      <c r="T315">
        <v>7</v>
      </c>
      <c r="U315" s="1">
        <v>34</v>
      </c>
      <c r="V315">
        <v>0</v>
      </c>
      <c r="W315">
        <v>0</v>
      </c>
      <c r="X315">
        <v>1</v>
      </c>
      <c r="Y315">
        <v>0.16</v>
      </c>
      <c r="Z315">
        <v>23</v>
      </c>
      <c r="AA315">
        <v>0</v>
      </c>
      <c r="AB315">
        <v>0</v>
      </c>
      <c r="AC315">
        <v>0</v>
      </c>
      <c r="AD315">
        <v>1</v>
      </c>
      <c r="AE315">
        <v>0.05</v>
      </c>
      <c r="AF315">
        <v>15</v>
      </c>
      <c r="AG315">
        <v>0</v>
      </c>
      <c r="AH315">
        <v>0</v>
      </c>
      <c r="AI315">
        <v>0</v>
      </c>
      <c r="AJ315">
        <v>1</v>
      </c>
      <c r="AK315">
        <v>0.01</v>
      </c>
      <c r="AL315">
        <v>16</v>
      </c>
      <c r="AM315">
        <v>0</v>
      </c>
      <c r="AN315">
        <v>0</v>
      </c>
      <c r="AO315">
        <v>0</v>
      </c>
      <c r="AP315">
        <v>1</v>
      </c>
      <c r="AQ315">
        <v>5.0000000000000001E-3</v>
      </c>
      <c r="AX315">
        <v>7</v>
      </c>
      <c r="AY315" s="1">
        <v>18</v>
      </c>
      <c r="AZ315">
        <v>0</v>
      </c>
      <c r="BA315">
        <v>0</v>
      </c>
      <c r="BB315">
        <v>1</v>
      </c>
      <c r="BC315" s="7">
        <v>0.32</v>
      </c>
      <c r="BD315">
        <v>30</v>
      </c>
      <c r="BE315">
        <v>0</v>
      </c>
      <c r="BF315">
        <v>0</v>
      </c>
      <c r="BG315">
        <v>0</v>
      </c>
      <c r="BH315">
        <v>5</v>
      </c>
      <c r="BI315">
        <v>2.4</v>
      </c>
      <c r="BJ315">
        <v>31</v>
      </c>
      <c r="BK315">
        <v>0</v>
      </c>
      <c r="BL315">
        <v>0</v>
      </c>
      <c r="BM315">
        <v>0</v>
      </c>
      <c r="BN315">
        <v>5</v>
      </c>
      <c r="BO315">
        <v>2.4</v>
      </c>
      <c r="BP315">
        <v>36</v>
      </c>
      <c r="BQ315">
        <v>0</v>
      </c>
      <c r="BR315">
        <v>0</v>
      </c>
      <c r="BS315">
        <v>0</v>
      </c>
      <c r="BT315">
        <v>5</v>
      </c>
      <c r="BU315">
        <v>2.2999999999999998</v>
      </c>
    </row>
    <row r="316" spans="1:73" x14ac:dyDescent="0.15">
      <c r="A316" s="11">
        <v>10113</v>
      </c>
      <c r="B316">
        <v>7</v>
      </c>
      <c r="C316" s="1">
        <v>43</v>
      </c>
      <c r="D316">
        <v>0</v>
      </c>
      <c r="E316">
        <v>0</v>
      </c>
      <c r="F316">
        <v>1</v>
      </c>
      <c r="G316" s="7">
        <v>0.08</v>
      </c>
      <c r="H316">
        <v>12</v>
      </c>
      <c r="I316">
        <v>0</v>
      </c>
      <c r="J316">
        <v>0</v>
      </c>
      <c r="K316">
        <v>0</v>
      </c>
      <c r="L316">
        <v>1</v>
      </c>
      <c r="M316">
        <v>2</v>
      </c>
      <c r="N316" s="7">
        <v>9</v>
      </c>
      <c r="O316" s="7">
        <v>0</v>
      </c>
      <c r="P316" s="7">
        <v>0</v>
      </c>
      <c r="Q316" s="7">
        <v>0</v>
      </c>
      <c r="R316" s="7">
        <v>1</v>
      </c>
      <c r="S316" s="7">
        <v>4.5</v>
      </c>
      <c r="T316">
        <v>7</v>
      </c>
      <c r="U316" s="1">
        <v>35</v>
      </c>
      <c r="V316">
        <v>0</v>
      </c>
      <c r="W316">
        <v>0</v>
      </c>
      <c r="X316">
        <v>1</v>
      </c>
      <c r="Y316">
        <v>0.16</v>
      </c>
      <c r="Z316">
        <v>23</v>
      </c>
      <c r="AA316">
        <v>0</v>
      </c>
      <c r="AB316">
        <v>0</v>
      </c>
      <c r="AC316">
        <v>0</v>
      </c>
      <c r="AD316">
        <v>1</v>
      </c>
      <c r="AE316">
        <v>0.05</v>
      </c>
      <c r="AF316">
        <v>15</v>
      </c>
      <c r="AG316">
        <v>0</v>
      </c>
      <c r="AH316">
        <v>0</v>
      </c>
      <c r="AI316">
        <v>0</v>
      </c>
      <c r="AJ316">
        <v>1</v>
      </c>
      <c r="AK316">
        <v>0.01</v>
      </c>
      <c r="AL316">
        <v>16</v>
      </c>
      <c r="AM316">
        <v>0</v>
      </c>
      <c r="AN316">
        <v>0</v>
      </c>
      <c r="AO316">
        <v>0</v>
      </c>
      <c r="AP316">
        <v>1</v>
      </c>
      <c r="AQ316">
        <v>5.0000000000000001E-3</v>
      </c>
      <c r="AX316">
        <v>7</v>
      </c>
      <c r="AY316" s="1">
        <v>19</v>
      </c>
      <c r="AZ316">
        <v>0</v>
      </c>
      <c r="BA316">
        <v>0</v>
      </c>
      <c r="BB316">
        <v>1</v>
      </c>
      <c r="BC316" s="7">
        <v>0.32</v>
      </c>
      <c r="BD316">
        <v>30</v>
      </c>
      <c r="BE316">
        <v>0</v>
      </c>
      <c r="BF316">
        <v>0</v>
      </c>
      <c r="BG316">
        <v>0</v>
      </c>
      <c r="BH316">
        <v>5</v>
      </c>
      <c r="BI316">
        <v>2.4</v>
      </c>
      <c r="BJ316">
        <v>31</v>
      </c>
      <c r="BK316">
        <v>0</v>
      </c>
      <c r="BL316">
        <v>0</v>
      </c>
      <c r="BM316">
        <v>0</v>
      </c>
      <c r="BN316">
        <v>5</v>
      </c>
      <c r="BO316">
        <v>2.4</v>
      </c>
      <c r="BP316">
        <v>36</v>
      </c>
      <c r="BQ316">
        <v>0</v>
      </c>
      <c r="BR316">
        <v>0</v>
      </c>
      <c r="BS316">
        <v>0</v>
      </c>
      <c r="BT316">
        <v>5</v>
      </c>
      <c r="BU316">
        <v>2.2999999999999998</v>
      </c>
    </row>
    <row r="317" spans="1:73" x14ac:dyDescent="0.15">
      <c r="A317" s="11">
        <v>10114</v>
      </c>
      <c r="B317">
        <v>7</v>
      </c>
      <c r="C317" s="1">
        <v>44</v>
      </c>
      <c r="D317">
        <v>0</v>
      </c>
      <c r="E317">
        <v>0</v>
      </c>
      <c r="F317">
        <v>1</v>
      </c>
      <c r="G317" s="7">
        <v>0.08</v>
      </c>
      <c r="H317">
        <v>12</v>
      </c>
      <c r="I317">
        <v>0</v>
      </c>
      <c r="J317">
        <v>0</v>
      </c>
      <c r="K317">
        <v>0</v>
      </c>
      <c r="L317">
        <v>1</v>
      </c>
      <c r="M317">
        <v>2</v>
      </c>
      <c r="N317" s="7">
        <v>9</v>
      </c>
      <c r="O317" s="7">
        <v>0</v>
      </c>
      <c r="P317" s="7">
        <v>0</v>
      </c>
      <c r="Q317" s="7">
        <v>0</v>
      </c>
      <c r="R317" s="7">
        <v>1</v>
      </c>
      <c r="S317" s="7">
        <v>4.5</v>
      </c>
      <c r="T317">
        <v>7</v>
      </c>
      <c r="U317" s="1">
        <v>36</v>
      </c>
      <c r="V317">
        <v>0</v>
      </c>
      <c r="W317">
        <v>0</v>
      </c>
      <c r="X317">
        <v>1</v>
      </c>
      <c r="Y317">
        <v>0.16</v>
      </c>
      <c r="Z317">
        <v>23</v>
      </c>
      <c r="AA317">
        <v>0</v>
      </c>
      <c r="AB317">
        <v>0</v>
      </c>
      <c r="AC317">
        <v>0</v>
      </c>
      <c r="AD317">
        <v>1</v>
      </c>
      <c r="AE317">
        <v>0.05</v>
      </c>
      <c r="AF317">
        <v>15</v>
      </c>
      <c r="AG317">
        <v>0</v>
      </c>
      <c r="AH317">
        <v>0</v>
      </c>
      <c r="AI317">
        <v>0</v>
      </c>
      <c r="AJ317">
        <v>1</v>
      </c>
      <c r="AK317">
        <v>0.01</v>
      </c>
      <c r="AL317">
        <v>16</v>
      </c>
      <c r="AM317">
        <v>0</v>
      </c>
      <c r="AN317">
        <v>0</v>
      </c>
      <c r="AO317">
        <v>0</v>
      </c>
      <c r="AP317">
        <v>1</v>
      </c>
      <c r="AQ317">
        <v>5.0000000000000001E-3</v>
      </c>
      <c r="AX317">
        <v>7</v>
      </c>
      <c r="AY317" s="1">
        <v>20</v>
      </c>
      <c r="AZ317">
        <v>0</v>
      </c>
      <c r="BA317">
        <v>0</v>
      </c>
      <c r="BB317">
        <v>1</v>
      </c>
      <c r="BC317" s="7">
        <v>0.32</v>
      </c>
      <c r="BD317">
        <v>30</v>
      </c>
      <c r="BE317">
        <v>0</v>
      </c>
      <c r="BF317">
        <v>0</v>
      </c>
      <c r="BG317">
        <v>0</v>
      </c>
      <c r="BH317">
        <v>5</v>
      </c>
      <c r="BI317">
        <v>2.4</v>
      </c>
      <c r="BJ317">
        <v>31</v>
      </c>
      <c r="BK317">
        <v>0</v>
      </c>
      <c r="BL317">
        <v>0</v>
      </c>
      <c r="BM317">
        <v>0</v>
      </c>
      <c r="BN317">
        <v>5</v>
      </c>
      <c r="BO317">
        <v>2.4</v>
      </c>
      <c r="BP317">
        <v>36</v>
      </c>
      <c r="BQ317">
        <v>0</v>
      </c>
      <c r="BR317">
        <v>0</v>
      </c>
      <c r="BS317">
        <v>0</v>
      </c>
      <c r="BT317">
        <v>5</v>
      </c>
      <c r="BU317">
        <v>2.2999999999999998</v>
      </c>
    </row>
    <row r="318" spans="1:73" x14ac:dyDescent="0.15">
      <c r="A318" s="11">
        <v>10115</v>
      </c>
      <c r="B318">
        <v>7</v>
      </c>
      <c r="C318" s="1">
        <v>0</v>
      </c>
      <c r="D318">
        <v>4</v>
      </c>
      <c r="E318">
        <v>4</v>
      </c>
      <c r="F318">
        <v>1</v>
      </c>
      <c r="G318" s="7">
        <v>0.08</v>
      </c>
      <c r="H318">
        <v>12</v>
      </c>
      <c r="I318">
        <v>0</v>
      </c>
      <c r="J318">
        <v>0</v>
      </c>
      <c r="K318">
        <v>0</v>
      </c>
      <c r="L318">
        <v>1</v>
      </c>
      <c r="M318">
        <v>2</v>
      </c>
      <c r="N318" s="7">
        <v>9</v>
      </c>
      <c r="O318" s="7">
        <v>0</v>
      </c>
      <c r="P318" s="7">
        <v>0</v>
      </c>
      <c r="Q318" s="7">
        <v>0</v>
      </c>
      <c r="R318" s="7">
        <v>1</v>
      </c>
      <c r="S318" s="7">
        <v>4.5</v>
      </c>
      <c r="T318">
        <v>7</v>
      </c>
      <c r="U318" s="1">
        <v>0</v>
      </c>
      <c r="V318">
        <v>4</v>
      </c>
      <c r="W318">
        <v>2</v>
      </c>
      <c r="X318">
        <v>1</v>
      </c>
      <c r="Y318">
        <v>0.16</v>
      </c>
      <c r="Z318">
        <v>23</v>
      </c>
      <c r="AA318">
        <v>0</v>
      </c>
      <c r="AB318">
        <v>0</v>
      </c>
      <c r="AC318">
        <v>0</v>
      </c>
      <c r="AD318">
        <v>1</v>
      </c>
      <c r="AE318">
        <v>0.05</v>
      </c>
      <c r="AF318">
        <v>15</v>
      </c>
      <c r="AG318">
        <v>0</v>
      </c>
      <c r="AH318">
        <v>0</v>
      </c>
      <c r="AI318">
        <v>0</v>
      </c>
      <c r="AJ318">
        <v>1</v>
      </c>
      <c r="AK318">
        <v>0.01</v>
      </c>
      <c r="AL318">
        <v>16</v>
      </c>
      <c r="AM318">
        <v>0</v>
      </c>
      <c r="AN318">
        <v>0</v>
      </c>
      <c r="AO318">
        <v>0</v>
      </c>
      <c r="AP318">
        <v>1</v>
      </c>
      <c r="AQ318">
        <v>5.0000000000000001E-3</v>
      </c>
      <c r="AR318">
        <v>6</v>
      </c>
      <c r="AS318">
        <v>2</v>
      </c>
      <c r="AT318">
        <v>3</v>
      </c>
      <c r="AU318">
        <v>5</v>
      </c>
      <c r="AV318">
        <v>1</v>
      </c>
      <c r="AW318">
        <v>0.05</v>
      </c>
      <c r="AX318">
        <v>7</v>
      </c>
      <c r="AY318" s="1">
        <v>0</v>
      </c>
      <c r="AZ318">
        <v>3</v>
      </c>
      <c r="BA318">
        <v>1</v>
      </c>
      <c r="BB318">
        <v>1</v>
      </c>
      <c r="BC318" s="7">
        <v>0.32</v>
      </c>
      <c r="BD318">
        <v>30</v>
      </c>
      <c r="BE318">
        <v>0</v>
      </c>
      <c r="BF318">
        <v>0</v>
      </c>
      <c r="BG318">
        <v>0</v>
      </c>
      <c r="BH318">
        <v>5</v>
      </c>
      <c r="BI318">
        <v>2.4</v>
      </c>
      <c r="BJ318">
        <v>31</v>
      </c>
      <c r="BK318">
        <v>0</v>
      </c>
      <c r="BL318">
        <v>0</v>
      </c>
      <c r="BM318">
        <v>0</v>
      </c>
      <c r="BN318">
        <v>5</v>
      </c>
      <c r="BO318">
        <v>2.4</v>
      </c>
      <c r="BP318">
        <v>36</v>
      </c>
      <c r="BQ318">
        <v>0</v>
      </c>
      <c r="BR318">
        <v>0</v>
      </c>
      <c r="BS318">
        <v>0</v>
      </c>
      <c r="BT318">
        <v>5</v>
      </c>
      <c r="BU318">
        <v>2.2999999999999998</v>
      </c>
    </row>
    <row r="319" spans="1:73" x14ac:dyDescent="0.15">
      <c r="A319" s="11">
        <v>10116</v>
      </c>
      <c r="B319">
        <v>7</v>
      </c>
      <c r="C319" s="1">
        <v>41</v>
      </c>
      <c r="D319">
        <v>0</v>
      </c>
      <c r="E319">
        <v>0</v>
      </c>
      <c r="F319">
        <v>1</v>
      </c>
      <c r="G319" s="7">
        <v>0.08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2</v>
      </c>
      <c r="N319" s="7">
        <v>9</v>
      </c>
      <c r="O319" s="7">
        <v>0</v>
      </c>
      <c r="P319" s="7">
        <v>0</v>
      </c>
      <c r="Q319" s="7">
        <v>0</v>
      </c>
      <c r="R319" s="7">
        <v>1</v>
      </c>
      <c r="S319" s="7">
        <v>4.5</v>
      </c>
      <c r="T319">
        <v>7</v>
      </c>
      <c r="U319" s="1">
        <v>33</v>
      </c>
      <c r="V319">
        <v>0</v>
      </c>
      <c r="W319">
        <v>0</v>
      </c>
      <c r="X319">
        <v>1</v>
      </c>
      <c r="Y319">
        <v>0.16</v>
      </c>
      <c r="Z319">
        <v>23</v>
      </c>
      <c r="AA319">
        <v>0</v>
      </c>
      <c r="AB319">
        <v>0</v>
      </c>
      <c r="AC319">
        <v>0</v>
      </c>
      <c r="AD319">
        <v>1</v>
      </c>
      <c r="AE319">
        <v>0.05</v>
      </c>
      <c r="AF319">
        <v>15</v>
      </c>
      <c r="AG319">
        <v>0</v>
      </c>
      <c r="AH319">
        <v>0</v>
      </c>
      <c r="AI319">
        <v>0</v>
      </c>
      <c r="AJ319">
        <v>1</v>
      </c>
      <c r="AK319">
        <v>0.01</v>
      </c>
      <c r="AL319">
        <v>16</v>
      </c>
      <c r="AM319">
        <v>0</v>
      </c>
      <c r="AN319">
        <v>0</v>
      </c>
      <c r="AO319">
        <v>0</v>
      </c>
      <c r="AP319">
        <v>1</v>
      </c>
      <c r="AQ319">
        <v>5.0000000000000001E-3</v>
      </c>
      <c r="AX319">
        <v>7</v>
      </c>
      <c r="AY319" s="1">
        <v>17</v>
      </c>
      <c r="AZ319">
        <v>0</v>
      </c>
      <c r="BA319">
        <v>0</v>
      </c>
      <c r="BB319">
        <v>1</v>
      </c>
      <c r="BC319" s="7">
        <v>0.32</v>
      </c>
      <c r="BD319">
        <v>30</v>
      </c>
      <c r="BE319">
        <v>0</v>
      </c>
      <c r="BF319">
        <v>0</v>
      </c>
      <c r="BG319">
        <v>0</v>
      </c>
      <c r="BH319">
        <v>5</v>
      </c>
      <c r="BI319">
        <v>2.4</v>
      </c>
      <c r="BJ319">
        <v>31</v>
      </c>
      <c r="BK319">
        <v>0</v>
      </c>
      <c r="BL319">
        <v>0</v>
      </c>
      <c r="BM319">
        <v>0</v>
      </c>
      <c r="BN319">
        <v>5</v>
      </c>
      <c r="BO319">
        <v>2.4</v>
      </c>
      <c r="BP319">
        <v>36</v>
      </c>
      <c r="BQ319">
        <v>0</v>
      </c>
      <c r="BR319">
        <v>0</v>
      </c>
      <c r="BS319">
        <v>0</v>
      </c>
      <c r="BT319">
        <v>5</v>
      </c>
      <c r="BU319">
        <v>2.2999999999999998</v>
      </c>
    </row>
    <row r="320" spans="1:73" x14ac:dyDescent="0.15">
      <c r="A320" s="11">
        <v>10117</v>
      </c>
      <c r="B320">
        <v>7</v>
      </c>
      <c r="C320" s="1">
        <v>42</v>
      </c>
      <c r="D320">
        <v>0</v>
      </c>
      <c r="E320">
        <v>0</v>
      </c>
      <c r="F320">
        <v>1</v>
      </c>
      <c r="G320" s="7">
        <v>0.08</v>
      </c>
      <c r="H320">
        <v>12</v>
      </c>
      <c r="I320">
        <v>0</v>
      </c>
      <c r="J320">
        <v>0</v>
      </c>
      <c r="K320">
        <v>0</v>
      </c>
      <c r="L320">
        <v>1</v>
      </c>
      <c r="M320">
        <v>2</v>
      </c>
      <c r="N320" s="7">
        <v>9</v>
      </c>
      <c r="O320" s="7">
        <v>0</v>
      </c>
      <c r="P320" s="7">
        <v>0</v>
      </c>
      <c r="Q320" s="7">
        <v>0</v>
      </c>
      <c r="R320" s="7">
        <v>1</v>
      </c>
      <c r="S320" s="7">
        <v>4.5</v>
      </c>
      <c r="T320">
        <v>7</v>
      </c>
      <c r="U320" s="1">
        <v>34</v>
      </c>
      <c r="V320">
        <v>0</v>
      </c>
      <c r="W320">
        <v>0</v>
      </c>
      <c r="X320">
        <v>1</v>
      </c>
      <c r="Y320">
        <v>0.16</v>
      </c>
      <c r="Z320">
        <v>23</v>
      </c>
      <c r="AA320">
        <v>0</v>
      </c>
      <c r="AB320">
        <v>0</v>
      </c>
      <c r="AC320">
        <v>0</v>
      </c>
      <c r="AD320">
        <v>1</v>
      </c>
      <c r="AE320">
        <v>0.05</v>
      </c>
      <c r="AF320">
        <v>15</v>
      </c>
      <c r="AG320">
        <v>0</v>
      </c>
      <c r="AH320">
        <v>0</v>
      </c>
      <c r="AI320">
        <v>0</v>
      </c>
      <c r="AJ320">
        <v>1</v>
      </c>
      <c r="AK320">
        <v>0.01</v>
      </c>
      <c r="AL320">
        <v>16</v>
      </c>
      <c r="AM320">
        <v>0</v>
      </c>
      <c r="AN320">
        <v>0</v>
      </c>
      <c r="AO320">
        <v>0</v>
      </c>
      <c r="AP320">
        <v>1</v>
      </c>
      <c r="AQ320">
        <v>5.0000000000000001E-3</v>
      </c>
      <c r="AX320">
        <v>7</v>
      </c>
      <c r="AY320" s="1">
        <v>18</v>
      </c>
      <c r="AZ320">
        <v>0</v>
      </c>
      <c r="BA320">
        <v>0</v>
      </c>
      <c r="BB320">
        <v>1</v>
      </c>
      <c r="BC320" s="7">
        <v>0.32</v>
      </c>
      <c r="BD320">
        <v>30</v>
      </c>
      <c r="BE320">
        <v>0</v>
      </c>
      <c r="BF320">
        <v>0</v>
      </c>
      <c r="BG320">
        <v>0</v>
      </c>
      <c r="BH320">
        <v>5</v>
      </c>
      <c r="BI320">
        <v>2.4</v>
      </c>
      <c r="BJ320">
        <v>31</v>
      </c>
      <c r="BK320">
        <v>0</v>
      </c>
      <c r="BL320">
        <v>0</v>
      </c>
      <c r="BM320">
        <v>0</v>
      </c>
      <c r="BN320">
        <v>5</v>
      </c>
      <c r="BO320">
        <v>2.4</v>
      </c>
      <c r="BP320">
        <v>36</v>
      </c>
      <c r="BQ320">
        <v>0</v>
      </c>
      <c r="BR320">
        <v>0</v>
      </c>
      <c r="BS320">
        <v>0</v>
      </c>
      <c r="BT320">
        <v>5</v>
      </c>
      <c r="BU320">
        <v>2.2999999999999998</v>
      </c>
    </row>
    <row r="321" spans="1:73" x14ac:dyDescent="0.15">
      <c r="A321" s="11">
        <v>10118</v>
      </c>
      <c r="B321">
        <v>7</v>
      </c>
      <c r="C321" s="1">
        <v>43</v>
      </c>
      <c r="D321">
        <v>0</v>
      </c>
      <c r="E321">
        <v>0</v>
      </c>
      <c r="F321">
        <v>1</v>
      </c>
      <c r="G321" s="7">
        <v>0.08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2</v>
      </c>
      <c r="N321" s="7">
        <v>9</v>
      </c>
      <c r="O321" s="7">
        <v>0</v>
      </c>
      <c r="P321" s="7">
        <v>0</v>
      </c>
      <c r="Q321" s="7">
        <v>0</v>
      </c>
      <c r="R321" s="7">
        <v>1</v>
      </c>
      <c r="S321" s="7">
        <v>4.5</v>
      </c>
      <c r="T321">
        <v>7</v>
      </c>
      <c r="U321" s="1">
        <v>35</v>
      </c>
      <c r="V321">
        <v>0</v>
      </c>
      <c r="W321">
        <v>0</v>
      </c>
      <c r="X321">
        <v>1</v>
      </c>
      <c r="Y321">
        <v>0.16</v>
      </c>
      <c r="Z321">
        <v>23</v>
      </c>
      <c r="AA321">
        <v>0</v>
      </c>
      <c r="AB321">
        <v>0</v>
      </c>
      <c r="AC321">
        <v>0</v>
      </c>
      <c r="AD321">
        <v>1</v>
      </c>
      <c r="AE321">
        <v>0.05</v>
      </c>
      <c r="AF321">
        <v>15</v>
      </c>
      <c r="AG321">
        <v>0</v>
      </c>
      <c r="AH321">
        <v>0</v>
      </c>
      <c r="AI321">
        <v>0</v>
      </c>
      <c r="AJ321">
        <v>1</v>
      </c>
      <c r="AK321">
        <v>0.01</v>
      </c>
      <c r="AL321">
        <v>16</v>
      </c>
      <c r="AM321">
        <v>0</v>
      </c>
      <c r="AN321">
        <v>0</v>
      </c>
      <c r="AO321">
        <v>0</v>
      </c>
      <c r="AP321">
        <v>1</v>
      </c>
      <c r="AQ321">
        <v>5.0000000000000001E-3</v>
      </c>
      <c r="AX321">
        <v>7</v>
      </c>
      <c r="AY321" s="1">
        <v>19</v>
      </c>
      <c r="AZ321">
        <v>0</v>
      </c>
      <c r="BA321">
        <v>0</v>
      </c>
      <c r="BB321">
        <v>1</v>
      </c>
      <c r="BC321" s="7">
        <v>0.32</v>
      </c>
      <c r="BD321">
        <v>30</v>
      </c>
      <c r="BE321">
        <v>0</v>
      </c>
      <c r="BF321">
        <v>0</v>
      </c>
      <c r="BG321">
        <v>0</v>
      </c>
      <c r="BH321">
        <v>5</v>
      </c>
      <c r="BI321">
        <v>2.4</v>
      </c>
      <c r="BJ321">
        <v>31</v>
      </c>
      <c r="BK321">
        <v>0</v>
      </c>
      <c r="BL321">
        <v>0</v>
      </c>
      <c r="BM321">
        <v>0</v>
      </c>
      <c r="BN321">
        <v>5</v>
      </c>
      <c r="BO321">
        <v>2.4</v>
      </c>
      <c r="BP321">
        <v>36</v>
      </c>
      <c r="BQ321">
        <v>0</v>
      </c>
      <c r="BR321">
        <v>0</v>
      </c>
      <c r="BS321">
        <v>0</v>
      </c>
      <c r="BT321">
        <v>5</v>
      </c>
      <c r="BU321">
        <v>2.2999999999999998</v>
      </c>
    </row>
    <row r="322" spans="1:73" x14ac:dyDescent="0.15">
      <c r="A322" s="11">
        <v>10119</v>
      </c>
      <c r="B322">
        <v>7</v>
      </c>
      <c r="C322" s="1">
        <v>44</v>
      </c>
      <c r="D322">
        <v>0</v>
      </c>
      <c r="E322">
        <v>0</v>
      </c>
      <c r="F322">
        <v>1</v>
      </c>
      <c r="G322" s="7">
        <v>0.08</v>
      </c>
      <c r="H322">
        <v>12</v>
      </c>
      <c r="I322">
        <v>0</v>
      </c>
      <c r="J322">
        <v>0</v>
      </c>
      <c r="K322">
        <v>0</v>
      </c>
      <c r="L322">
        <v>1</v>
      </c>
      <c r="M322">
        <v>2</v>
      </c>
      <c r="N322" s="7">
        <v>9</v>
      </c>
      <c r="O322" s="7">
        <v>0</v>
      </c>
      <c r="P322" s="7">
        <v>0</v>
      </c>
      <c r="Q322" s="7">
        <v>0</v>
      </c>
      <c r="R322" s="7">
        <v>1</v>
      </c>
      <c r="S322" s="7">
        <v>4.5</v>
      </c>
      <c r="T322">
        <v>7</v>
      </c>
      <c r="U322" s="1">
        <v>36</v>
      </c>
      <c r="V322">
        <v>0</v>
      </c>
      <c r="W322">
        <v>0</v>
      </c>
      <c r="X322">
        <v>1</v>
      </c>
      <c r="Y322">
        <v>0.16</v>
      </c>
      <c r="Z322">
        <v>23</v>
      </c>
      <c r="AA322">
        <v>0</v>
      </c>
      <c r="AB322">
        <v>0</v>
      </c>
      <c r="AC322">
        <v>0</v>
      </c>
      <c r="AD322">
        <v>1</v>
      </c>
      <c r="AE322">
        <v>0.05</v>
      </c>
      <c r="AF322">
        <v>15</v>
      </c>
      <c r="AG322">
        <v>0</v>
      </c>
      <c r="AH322">
        <v>0</v>
      </c>
      <c r="AI322">
        <v>0</v>
      </c>
      <c r="AJ322">
        <v>1</v>
      </c>
      <c r="AK322">
        <v>0.01</v>
      </c>
      <c r="AL322">
        <v>16</v>
      </c>
      <c r="AM322">
        <v>0</v>
      </c>
      <c r="AN322">
        <v>0</v>
      </c>
      <c r="AO322">
        <v>0</v>
      </c>
      <c r="AP322">
        <v>1</v>
      </c>
      <c r="AQ322">
        <v>5.0000000000000001E-3</v>
      </c>
      <c r="AX322">
        <v>7</v>
      </c>
      <c r="AY322" s="1">
        <v>20</v>
      </c>
      <c r="AZ322">
        <v>0</v>
      </c>
      <c r="BA322">
        <v>0</v>
      </c>
      <c r="BB322">
        <v>1</v>
      </c>
      <c r="BC322" s="7">
        <v>0.32</v>
      </c>
      <c r="BD322">
        <v>30</v>
      </c>
      <c r="BE322">
        <v>0</v>
      </c>
      <c r="BF322">
        <v>0</v>
      </c>
      <c r="BG322">
        <v>0</v>
      </c>
      <c r="BH322">
        <v>5</v>
      </c>
      <c r="BI322">
        <v>2.4</v>
      </c>
      <c r="BJ322">
        <v>31</v>
      </c>
      <c r="BK322">
        <v>0</v>
      </c>
      <c r="BL322">
        <v>0</v>
      </c>
      <c r="BM322">
        <v>0</v>
      </c>
      <c r="BN322">
        <v>5</v>
      </c>
      <c r="BO322">
        <v>2.4</v>
      </c>
      <c r="BP322">
        <v>36</v>
      </c>
      <c r="BQ322">
        <v>0</v>
      </c>
      <c r="BR322">
        <v>0</v>
      </c>
      <c r="BS322">
        <v>0</v>
      </c>
      <c r="BT322">
        <v>5</v>
      </c>
      <c r="BU322">
        <v>2.2999999999999998</v>
      </c>
    </row>
    <row r="323" spans="1:73" x14ac:dyDescent="0.15">
      <c r="A323" s="11">
        <v>10120</v>
      </c>
      <c r="B323">
        <v>7</v>
      </c>
      <c r="C323" s="1">
        <v>0</v>
      </c>
      <c r="D323">
        <v>4</v>
      </c>
      <c r="E323">
        <v>4</v>
      </c>
      <c r="F323">
        <v>1</v>
      </c>
      <c r="G323" s="7">
        <v>0.08</v>
      </c>
      <c r="H323">
        <v>12</v>
      </c>
      <c r="I323">
        <v>0</v>
      </c>
      <c r="J323">
        <v>0</v>
      </c>
      <c r="K323">
        <v>0</v>
      </c>
      <c r="L323">
        <v>1</v>
      </c>
      <c r="M323">
        <v>2</v>
      </c>
      <c r="N323" s="7">
        <v>9</v>
      </c>
      <c r="O323" s="7">
        <v>0</v>
      </c>
      <c r="P323" s="7">
        <v>0</v>
      </c>
      <c r="Q323" s="7">
        <v>0</v>
      </c>
      <c r="R323" s="7">
        <v>1</v>
      </c>
      <c r="S323" s="7">
        <v>4.5</v>
      </c>
      <c r="T323">
        <v>7</v>
      </c>
      <c r="U323" s="1">
        <v>0</v>
      </c>
      <c r="V323">
        <v>4</v>
      </c>
      <c r="W323">
        <v>2</v>
      </c>
      <c r="X323">
        <v>1</v>
      </c>
      <c r="Y323">
        <v>0.16</v>
      </c>
      <c r="Z323">
        <v>23</v>
      </c>
      <c r="AA323">
        <v>0</v>
      </c>
      <c r="AB323">
        <v>0</v>
      </c>
      <c r="AC323">
        <v>0</v>
      </c>
      <c r="AD323">
        <v>1</v>
      </c>
      <c r="AE323">
        <v>0.05</v>
      </c>
      <c r="AF323">
        <v>15</v>
      </c>
      <c r="AG323">
        <v>0</v>
      </c>
      <c r="AH323">
        <v>0</v>
      </c>
      <c r="AI323">
        <v>0</v>
      </c>
      <c r="AJ323">
        <v>1</v>
      </c>
      <c r="AK323">
        <v>0.01</v>
      </c>
      <c r="AL323">
        <v>16</v>
      </c>
      <c r="AM323">
        <v>0</v>
      </c>
      <c r="AN323">
        <v>0</v>
      </c>
      <c r="AO323">
        <v>0</v>
      </c>
      <c r="AP323">
        <v>1</v>
      </c>
      <c r="AQ323">
        <v>5.0000000000000001E-3</v>
      </c>
      <c r="AR323">
        <v>6</v>
      </c>
      <c r="AS323">
        <v>2</v>
      </c>
      <c r="AT323">
        <v>4</v>
      </c>
      <c r="AU323">
        <v>5</v>
      </c>
      <c r="AV323">
        <v>1</v>
      </c>
      <c r="AW323">
        <v>0.01</v>
      </c>
      <c r="AX323">
        <v>7</v>
      </c>
      <c r="AY323" s="1">
        <v>0</v>
      </c>
      <c r="AZ323">
        <v>3</v>
      </c>
      <c r="BA323">
        <v>1</v>
      </c>
      <c r="BB323">
        <v>1</v>
      </c>
      <c r="BC323" s="7">
        <v>0.32</v>
      </c>
      <c r="BD323">
        <v>30</v>
      </c>
      <c r="BE323">
        <v>0</v>
      </c>
      <c r="BF323">
        <v>0</v>
      </c>
      <c r="BG323">
        <v>0</v>
      </c>
      <c r="BH323">
        <v>5</v>
      </c>
      <c r="BI323">
        <v>2.4</v>
      </c>
      <c r="BJ323">
        <v>31</v>
      </c>
      <c r="BK323">
        <v>0</v>
      </c>
      <c r="BL323">
        <v>0</v>
      </c>
      <c r="BM323">
        <v>0</v>
      </c>
      <c r="BN323">
        <v>5</v>
      </c>
      <c r="BO323">
        <v>2.4</v>
      </c>
      <c r="BP323">
        <v>36</v>
      </c>
      <c r="BQ323">
        <v>0</v>
      </c>
      <c r="BR323">
        <v>0</v>
      </c>
      <c r="BS323">
        <v>0</v>
      </c>
      <c r="BT323">
        <v>5</v>
      </c>
      <c r="BU323">
        <v>2.2999999999999998</v>
      </c>
    </row>
    <row r="324" spans="1:73" x14ac:dyDescent="0.15">
      <c r="A324" s="11">
        <v>10121</v>
      </c>
      <c r="B324">
        <v>7</v>
      </c>
      <c r="C324" s="1">
        <v>41</v>
      </c>
      <c r="D324">
        <v>0</v>
      </c>
      <c r="E324">
        <v>0</v>
      </c>
      <c r="F324">
        <v>1</v>
      </c>
      <c r="G324" s="7">
        <v>0.05</v>
      </c>
      <c r="H324">
        <v>12</v>
      </c>
      <c r="I324">
        <v>0</v>
      </c>
      <c r="J324">
        <v>0</v>
      </c>
      <c r="K324">
        <v>0</v>
      </c>
      <c r="L324">
        <v>1</v>
      </c>
      <c r="M324">
        <v>2</v>
      </c>
      <c r="N324" s="7">
        <v>9</v>
      </c>
      <c r="O324" s="7">
        <v>0</v>
      </c>
      <c r="P324" s="7">
        <v>0</v>
      </c>
      <c r="Q324" s="7">
        <v>0</v>
      </c>
      <c r="R324" s="7">
        <v>1</v>
      </c>
      <c r="S324" s="7">
        <v>4.5</v>
      </c>
      <c r="T324">
        <v>7</v>
      </c>
      <c r="U324" s="1">
        <v>33</v>
      </c>
      <c r="V324">
        <v>0</v>
      </c>
      <c r="W324">
        <v>0</v>
      </c>
      <c r="X324">
        <v>1</v>
      </c>
      <c r="Y324">
        <v>0.16</v>
      </c>
      <c r="Z324">
        <v>23</v>
      </c>
      <c r="AA324">
        <v>0</v>
      </c>
      <c r="AB324">
        <v>0</v>
      </c>
      <c r="AC324">
        <v>0</v>
      </c>
      <c r="AD324">
        <v>1</v>
      </c>
      <c r="AE324">
        <v>0.05</v>
      </c>
      <c r="AF324">
        <v>15</v>
      </c>
      <c r="AG324">
        <v>0</v>
      </c>
      <c r="AH324">
        <v>0</v>
      </c>
      <c r="AI324">
        <v>0</v>
      </c>
      <c r="AJ324">
        <v>1</v>
      </c>
      <c r="AK324">
        <v>0.01</v>
      </c>
      <c r="AL324">
        <v>16</v>
      </c>
      <c r="AM324">
        <v>0</v>
      </c>
      <c r="AN324">
        <v>0</v>
      </c>
      <c r="AO324">
        <v>0</v>
      </c>
      <c r="AP324">
        <v>1</v>
      </c>
      <c r="AQ324">
        <v>5.0000000000000001E-3</v>
      </c>
      <c r="AX324">
        <v>7</v>
      </c>
      <c r="AY324" s="1">
        <v>17</v>
      </c>
      <c r="AZ324">
        <v>0</v>
      </c>
      <c r="BA324">
        <v>0</v>
      </c>
      <c r="BB324">
        <v>1</v>
      </c>
      <c r="BC324" s="7">
        <v>0.32</v>
      </c>
      <c r="BD324">
        <v>30</v>
      </c>
      <c r="BE324">
        <v>0</v>
      </c>
      <c r="BF324">
        <v>0</v>
      </c>
      <c r="BG324">
        <v>0</v>
      </c>
      <c r="BH324">
        <v>5</v>
      </c>
      <c r="BI324">
        <v>2.4</v>
      </c>
      <c r="BJ324">
        <v>31</v>
      </c>
      <c r="BK324">
        <v>0</v>
      </c>
      <c r="BL324">
        <v>0</v>
      </c>
      <c r="BM324">
        <v>0</v>
      </c>
      <c r="BN324">
        <v>5</v>
      </c>
      <c r="BO324">
        <v>2.4</v>
      </c>
      <c r="BP324">
        <v>36</v>
      </c>
      <c r="BQ324">
        <v>0</v>
      </c>
      <c r="BR324">
        <v>0</v>
      </c>
      <c r="BS324">
        <v>0</v>
      </c>
      <c r="BT324">
        <v>5</v>
      </c>
      <c r="BU324">
        <v>2.2999999999999998</v>
      </c>
    </row>
    <row r="325" spans="1:73" x14ac:dyDescent="0.15">
      <c r="A325" s="11">
        <v>10122</v>
      </c>
      <c r="B325">
        <v>7</v>
      </c>
      <c r="C325" s="1">
        <v>42</v>
      </c>
      <c r="D325">
        <v>0</v>
      </c>
      <c r="E325">
        <v>0</v>
      </c>
      <c r="F325">
        <v>1</v>
      </c>
      <c r="G325" s="7">
        <v>0.05</v>
      </c>
      <c r="H325">
        <v>12</v>
      </c>
      <c r="I325">
        <v>0</v>
      </c>
      <c r="J325">
        <v>0</v>
      </c>
      <c r="K325">
        <v>0</v>
      </c>
      <c r="L325">
        <v>1</v>
      </c>
      <c r="M325">
        <v>2</v>
      </c>
      <c r="N325" s="7">
        <v>9</v>
      </c>
      <c r="O325" s="7">
        <v>0</v>
      </c>
      <c r="P325" s="7">
        <v>0</v>
      </c>
      <c r="Q325" s="7">
        <v>0</v>
      </c>
      <c r="R325" s="7">
        <v>1</v>
      </c>
      <c r="S325" s="7">
        <v>4.5</v>
      </c>
      <c r="T325">
        <v>7</v>
      </c>
      <c r="U325" s="1">
        <v>34</v>
      </c>
      <c r="V325">
        <v>0</v>
      </c>
      <c r="W325">
        <v>0</v>
      </c>
      <c r="X325">
        <v>1</v>
      </c>
      <c r="Y325">
        <v>0.16</v>
      </c>
      <c r="Z325">
        <v>23</v>
      </c>
      <c r="AA325">
        <v>0</v>
      </c>
      <c r="AB325">
        <v>0</v>
      </c>
      <c r="AC325">
        <v>0</v>
      </c>
      <c r="AD325">
        <v>1</v>
      </c>
      <c r="AE325">
        <v>0.05</v>
      </c>
      <c r="AF325">
        <v>15</v>
      </c>
      <c r="AG325">
        <v>0</v>
      </c>
      <c r="AH325">
        <v>0</v>
      </c>
      <c r="AI325">
        <v>0</v>
      </c>
      <c r="AJ325">
        <v>1</v>
      </c>
      <c r="AK325">
        <v>0.01</v>
      </c>
      <c r="AL325">
        <v>16</v>
      </c>
      <c r="AM325">
        <v>0</v>
      </c>
      <c r="AN325">
        <v>0</v>
      </c>
      <c r="AO325">
        <v>0</v>
      </c>
      <c r="AP325">
        <v>1</v>
      </c>
      <c r="AQ325">
        <v>5.0000000000000001E-3</v>
      </c>
      <c r="AX325">
        <v>7</v>
      </c>
      <c r="AY325" s="1">
        <v>18</v>
      </c>
      <c r="AZ325">
        <v>0</v>
      </c>
      <c r="BA325">
        <v>0</v>
      </c>
      <c r="BB325">
        <v>1</v>
      </c>
      <c r="BC325" s="7">
        <v>0.32</v>
      </c>
      <c r="BD325">
        <v>30</v>
      </c>
      <c r="BE325">
        <v>0</v>
      </c>
      <c r="BF325">
        <v>0</v>
      </c>
      <c r="BG325">
        <v>0</v>
      </c>
      <c r="BH325">
        <v>5</v>
      </c>
      <c r="BI325">
        <v>2.4</v>
      </c>
      <c r="BJ325">
        <v>31</v>
      </c>
      <c r="BK325">
        <v>0</v>
      </c>
      <c r="BL325">
        <v>0</v>
      </c>
      <c r="BM325">
        <v>0</v>
      </c>
      <c r="BN325">
        <v>5</v>
      </c>
      <c r="BO325">
        <v>2.4</v>
      </c>
      <c r="BP325">
        <v>36</v>
      </c>
      <c r="BQ325">
        <v>0</v>
      </c>
      <c r="BR325">
        <v>0</v>
      </c>
      <c r="BS325">
        <v>0</v>
      </c>
      <c r="BT325">
        <v>5</v>
      </c>
      <c r="BU325">
        <v>2.2999999999999998</v>
      </c>
    </row>
    <row r="326" spans="1:73" x14ac:dyDescent="0.15">
      <c r="A326" s="11">
        <v>10123</v>
      </c>
      <c r="B326">
        <v>7</v>
      </c>
      <c r="C326" s="1">
        <v>43</v>
      </c>
      <c r="D326">
        <v>0</v>
      </c>
      <c r="E326">
        <v>0</v>
      </c>
      <c r="F326">
        <v>1</v>
      </c>
      <c r="G326" s="7">
        <v>0.05</v>
      </c>
      <c r="H326">
        <v>12</v>
      </c>
      <c r="I326">
        <v>0</v>
      </c>
      <c r="J326">
        <v>0</v>
      </c>
      <c r="K326">
        <v>0</v>
      </c>
      <c r="L326">
        <v>1</v>
      </c>
      <c r="M326">
        <v>2</v>
      </c>
      <c r="N326" s="7">
        <v>9</v>
      </c>
      <c r="O326" s="7">
        <v>0</v>
      </c>
      <c r="P326" s="7">
        <v>0</v>
      </c>
      <c r="Q326" s="7">
        <v>0</v>
      </c>
      <c r="R326" s="7">
        <v>1</v>
      </c>
      <c r="S326" s="7">
        <v>4.5</v>
      </c>
      <c r="T326">
        <v>7</v>
      </c>
      <c r="U326" s="1">
        <v>35</v>
      </c>
      <c r="V326">
        <v>0</v>
      </c>
      <c r="W326">
        <v>0</v>
      </c>
      <c r="X326">
        <v>1</v>
      </c>
      <c r="Y326">
        <v>0.16</v>
      </c>
      <c r="Z326">
        <v>23</v>
      </c>
      <c r="AA326">
        <v>0</v>
      </c>
      <c r="AB326">
        <v>0</v>
      </c>
      <c r="AC326">
        <v>0</v>
      </c>
      <c r="AD326">
        <v>1</v>
      </c>
      <c r="AE326">
        <v>0.05</v>
      </c>
      <c r="AF326">
        <v>15</v>
      </c>
      <c r="AG326">
        <v>0</v>
      </c>
      <c r="AH326">
        <v>0</v>
      </c>
      <c r="AI326">
        <v>0</v>
      </c>
      <c r="AJ326">
        <v>1</v>
      </c>
      <c r="AK326">
        <v>0.01</v>
      </c>
      <c r="AL326">
        <v>16</v>
      </c>
      <c r="AM326">
        <v>0</v>
      </c>
      <c r="AN326">
        <v>0</v>
      </c>
      <c r="AO326">
        <v>0</v>
      </c>
      <c r="AP326">
        <v>1</v>
      </c>
      <c r="AQ326">
        <v>5.0000000000000001E-3</v>
      </c>
      <c r="AX326">
        <v>7</v>
      </c>
      <c r="AY326" s="1">
        <v>19</v>
      </c>
      <c r="AZ326">
        <v>0</v>
      </c>
      <c r="BA326">
        <v>0</v>
      </c>
      <c r="BB326">
        <v>1</v>
      </c>
      <c r="BC326" s="7">
        <v>0.32</v>
      </c>
      <c r="BD326">
        <v>30</v>
      </c>
      <c r="BE326">
        <v>0</v>
      </c>
      <c r="BF326">
        <v>0</v>
      </c>
      <c r="BG326">
        <v>0</v>
      </c>
      <c r="BH326">
        <v>5</v>
      </c>
      <c r="BI326">
        <v>2.4</v>
      </c>
      <c r="BJ326">
        <v>31</v>
      </c>
      <c r="BK326">
        <v>0</v>
      </c>
      <c r="BL326">
        <v>0</v>
      </c>
      <c r="BM326">
        <v>0</v>
      </c>
      <c r="BN326">
        <v>5</v>
      </c>
      <c r="BO326">
        <v>2.4</v>
      </c>
      <c r="BP326">
        <v>36</v>
      </c>
      <c r="BQ326">
        <v>0</v>
      </c>
      <c r="BR326">
        <v>0</v>
      </c>
      <c r="BS326">
        <v>0</v>
      </c>
      <c r="BT326">
        <v>5</v>
      </c>
      <c r="BU326">
        <v>2.2999999999999998</v>
      </c>
    </row>
    <row r="327" spans="1:73" x14ac:dyDescent="0.15">
      <c r="A327" s="11">
        <v>10124</v>
      </c>
      <c r="B327">
        <v>7</v>
      </c>
      <c r="C327" s="1">
        <v>44</v>
      </c>
      <c r="D327">
        <v>0</v>
      </c>
      <c r="E327">
        <v>0</v>
      </c>
      <c r="F327">
        <v>1</v>
      </c>
      <c r="G327" s="7">
        <v>0.05</v>
      </c>
      <c r="H327">
        <v>12</v>
      </c>
      <c r="I327">
        <v>0</v>
      </c>
      <c r="J327">
        <v>0</v>
      </c>
      <c r="K327">
        <v>0</v>
      </c>
      <c r="L327">
        <v>1</v>
      </c>
      <c r="M327">
        <v>2</v>
      </c>
      <c r="N327" s="7">
        <v>9</v>
      </c>
      <c r="O327" s="7">
        <v>0</v>
      </c>
      <c r="P327" s="7">
        <v>0</v>
      </c>
      <c r="Q327" s="7">
        <v>0</v>
      </c>
      <c r="R327" s="7">
        <v>1</v>
      </c>
      <c r="S327" s="7">
        <v>4.5</v>
      </c>
      <c r="T327">
        <v>7</v>
      </c>
      <c r="U327" s="1">
        <v>36</v>
      </c>
      <c r="V327">
        <v>0</v>
      </c>
      <c r="W327">
        <v>0</v>
      </c>
      <c r="X327">
        <v>1</v>
      </c>
      <c r="Y327">
        <v>0.16</v>
      </c>
      <c r="Z327">
        <v>23</v>
      </c>
      <c r="AA327">
        <v>0</v>
      </c>
      <c r="AB327">
        <v>0</v>
      </c>
      <c r="AC327">
        <v>0</v>
      </c>
      <c r="AD327">
        <v>1</v>
      </c>
      <c r="AE327">
        <v>0.05</v>
      </c>
      <c r="AF327">
        <v>15</v>
      </c>
      <c r="AG327">
        <v>0</v>
      </c>
      <c r="AH327">
        <v>0</v>
      </c>
      <c r="AI327">
        <v>0</v>
      </c>
      <c r="AJ327">
        <v>1</v>
      </c>
      <c r="AK327">
        <v>0.01</v>
      </c>
      <c r="AL327">
        <v>16</v>
      </c>
      <c r="AM327">
        <v>0</v>
      </c>
      <c r="AN327">
        <v>0</v>
      </c>
      <c r="AO327">
        <v>0</v>
      </c>
      <c r="AP327">
        <v>1</v>
      </c>
      <c r="AQ327">
        <v>5.0000000000000001E-3</v>
      </c>
      <c r="AX327">
        <v>7</v>
      </c>
      <c r="AY327" s="1">
        <v>20</v>
      </c>
      <c r="AZ327">
        <v>0</v>
      </c>
      <c r="BA327">
        <v>0</v>
      </c>
      <c r="BB327">
        <v>1</v>
      </c>
      <c r="BC327" s="7">
        <v>0.32</v>
      </c>
      <c r="BD327">
        <v>30</v>
      </c>
      <c r="BE327">
        <v>0</v>
      </c>
      <c r="BF327">
        <v>0</v>
      </c>
      <c r="BG327">
        <v>0</v>
      </c>
      <c r="BH327">
        <v>5</v>
      </c>
      <c r="BI327">
        <v>2.4</v>
      </c>
      <c r="BJ327">
        <v>31</v>
      </c>
      <c r="BK327">
        <v>0</v>
      </c>
      <c r="BL327">
        <v>0</v>
      </c>
      <c r="BM327">
        <v>0</v>
      </c>
      <c r="BN327">
        <v>5</v>
      </c>
      <c r="BO327">
        <v>2.4</v>
      </c>
      <c r="BP327">
        <v>36</v>
      </c>
      <c r="BQ327">
        <v>0</v>
      </c>
      <c r="BR327">
        <v>0</v>
      </c>
      <c r="BS327">
        <v>0</v>
      </c>
      <c r="BT327">
        <v>5</v>
      </c>
      <c r="BU327">
        <v>2.2999999999999998</v>
      </c>
    </row>
    <row r="328" spans="1:73" x14ac:dyDescent="0.15">
      <c r="A328" s="11">
        <v>10125</v>
      </c>
      <c r="B328">
        <v>7</v>
      </c>
      <c r="C328" s="1">
        <v>0</v>
      </c>
      <c r="D328">
        <v>5</v>
      </c>
      <c r="E328">
        <v>1</v>
      </c>
      <c r="F328">
        <v>1</v>
      </c>
      <c r="G328" s="7">
        <v>0.05</v>
      </c>
      <c r="H328">
        <v>12</v>
      </c>
      <c r="I328">
        <v>0</v>
      </c>
      <c r="J328">
        <v>0</v>
      </c>
      <c r="K328">
        <v>0</v>
      </c>
      <c r="L328">
        <v>1</v>
      </c>
      <c r="M328">
        <v>2</v>
      </c>
      <c r="N328" s="7">
        <v>9</v>
      </c>
      <c r="O328" s="7">
        <v>0</v>
      </c>
      <c r="P328" s="7">
        <v>0</v>
      </c>
      <c r="Q328" s="7">
        <v>0</v>
      </c>
      <c r="R328" s="7">
        <v>1</v>
      </c>
      <c r="S328" s="7">
        <v>4.5</v>
      </c>
      <c r="T328">
        <v>7</v>
      </c>
      <c r="U328" s="1">
        <v>0</v>
      </c>
      <c r="V328">
        <v>4</v>
      </c>
      <c r="W328">
        <v>2</v>
      </c>
      <c r="X328">
        <v>1</v>
      </c>
      <c r="Y328">
        <v>0.16</v>
      </c>
      <c r="Z328">
        <v>23</v>
      </c>
      <c r="AA328">
        <v>0</v>
      </c>
      <c r="AB328">
        <v>0</v>
      </c>
      <c r="AC328">
        <v>0</v>
      </c>
      <c r="AD328">
        <v>1</v>
      </c>
      <c r="AE328">
        <v>0.05</v>
      </c>
      <c r="AF328">
        <v>15</v>
      </c>
      <c r="AG328">
        <v>0</v>
      </c>
      <c r="AH328">
        <v>0</v>
      </c>
      <c r="AI328">
        <v>0</v>
      </c>
      <c r="AJ328">
        <v>1</v>
      </c>
      <c r="AK328">
        <v>0.01</v>
      </c>
      <c r="AL328">
        <v>16</v>
      </c>
      <c r="AM328">
        <v>0</v>
      </c>
      <c r="AN328">
        <v>0</v>
      </c>
      <c r="AO328">
        <v>0</v>
      </c>
      <c r="AP328">
        <v>1</v>
      </c>
      <c r="AQ328">
        <v>5.0000000000000001E-3</v>
      </c>
      <c r="AR328">
        <v>6</v>
      </c>
      <c r="AS328">
        <v>2</v>
      </c>
      <c r="AT328">
        <v>5</v>
      </c>
      <c r="AU328">
        <v>5</v>
      </c>
      <c r="AV328">
        <v>1</v>
      </c>
      <c r="AW328">
        <v>0.01</v>
      </c>
      <c r="AX328">
        <v>7</v>
      </c>
      <c r="AY328" s="1">
        <v>0</v>
      </c>
      <c r="AZ328">
        <v>3</v>
      </c>
      <c r="BA328">
        <v>1</v>
      </c>
      <c r="BB328">
        <v>1</v>
      </c>
      <c r="BC328" s="7">
        <v>0.32</v>
      </c>
      <c r="BD328">
        <v>30</v>
      </c>
      <c r="BE328">
        <v>0</v>
      </c>
      <c r="BF328">
        <v>0</v>
      </c>
      <c r="BG328">
        <v>0</v>
      </c>
      <c r="BH328">
        <v>5</v>
      </c>
      <c r="BI328">
        <v>2.4</v>
      </c>
      <c r="BJ328">
        <v>31</v>
      </c>
      <c r="BK328">
        <v>0</v>
      </c>
      <c r="BL328">
        <v>0</v>
      </c>
      <c r="BM328">
        <v>0</v>
      </c>
      <c r="BN328">
        <v>5</v>
      </c>
      <c r="BO328">
        <v>2.4</v>
      </c>
      <c r="BP328">
        <v>36</v>
      </c>
      <c r="BQ328">
        <v>0</v>
      </c>
      <c r="BR328">
        <v>0</v>
      </c>
      <c r="BS328">
        <v>0</v>
      </c>
      <c r="BT328">
        <v>5</v>
      </c>
      <c r="BU328">
        <v>2.2999999999999998</v>
      </c>
    </row>
    <row r="329" spans="1:73" x14ac:dyDescent="0.15">
      <c r="A329" s="11">
        <v>10126</v>
      </c>
      <c r="B329">
        <v>7</v>
      </c>
      <c r="C329" s="1">
        <v>41</v>
      </c>
      <c r="D329">
        <v>0</v>
      </c>
      <c r="E329">
        <v>0</v>
      </c>
      <c r="F329">
        <v>1</v>
      </c>
      <c r="G329" s="7">
        <v>0.05</v>
      </c>
      <c r="H329">
        <v>12</v>
      </c>
      <c r="I329">
        <v>0</v>
      </c>
      <c r="J329">
        <v>0</v>
      </c>
      <c r="K329">
        <v>0</v>
      </c>
      <c r="L329">
        <v>1</v>
      </c>
      <c r="M329">
        <v>2</v>
      </c>
      <c r="N329" s="7">
        <v>9</v>
      </c>
      <c r="O329" s="7">
        <v>0</v>
      </c>
      <c r="P329" s="7">
        <v>0</v>
      </c>
      <c r="Q329" s="7">
        <v>0</v>
      </c>
      <c r="R329" s="7">
        <v>1</v>
      </c>
      <c r="S329" s="7">
        <v>4.5</v>
      </c>
      <c r="T329">
        <v>7</v>
      </c>
      <c r="U329" s="1">
        <v>33</v>
      </c>
      <c r="V329">
        <v>0</v>
      </c>
      <c r="W329">
        <v>0</v>
      </c>
      <c r="X329">
        <v>1</v>
      </c>
      <c r="Y329">
        <v>0.16</v>
      </c>
      <c r="Z329">
        <v>23</v>
      </c>
      <c r="AA329">
        <v>0</v>
      </c>
      <c r="AB329">
        <v>0</v>
      </c>
      <c r="AC329">
        <v>0</v>
      </c>
      <c r="AD329">
        <v>1</v>
      </c>
      <c r="AE329">
        <v>0.05</v>
      </c>
      <c r="AF329">
        <v>15</v>
      </c>
      <c r="AG329">
        <v>0</v>
      </c>
      <c r="AH329">
        <v>0</v>
      </c>
      <c r="AI329">
        <v>0</v>
      </c>
      <c r="AJ329">
        <v>1</v>
      </c>
      <c r="AK329">
        <v>0.01</v>
      </c>
      <c r="AL329">
        <v>16</v>
      </c>
      <c r="AM329">
        <v>0</v>
      </c>
      <c r="AN329">
        <v>0</v>
      </c>
      <c r="AO329">
        <v>0</v>
      </c>
      <c r="AP329">
        <v>1</v>
      </c>
      <c r="AQ329">
        <v>5.0000000000000001E-3</v>
      </c>
      <c r="AX329">
        <v>7</v>
      </c>
      <c r="AY329" s="1">
        <v>17</v>
      </c>
      <c r="AZ329">
        <v>0</v>
      </c>
      <c r="BA329">
        <v>0</v>
      </c>
      <c r="BB329">
        <v>1</v>
      </c>
      <c r="BC329" s="7">
        <v>0.32</v>
      </c>
      <c r="BD329">
        <v>30</v>
      </c>
      <c r="BE329">
        <v>0</v>
      </c>
      <c r="BF329">
        <v>0</v>
      </c>
      <c r="BG329">
        <v>0</v>
      </c>
      <c r="BH329">
        <v>5</v>
      </c>
      <c r="BI329">
        <v>2.4</v>
      </c>
      <c r="BJ329">
        <v>31</v>
      </c>
      <c r="BK329">
        <v>0</v>
      </c>
      <c r="BL329">
        <v>0</v>
      </c>
      <c r="BM329">
        <v>0</v>
      </c>
      <c r="BN329">
        <v>5</v>
      </c>
      <c r="BO329">
        <v>2.4</v>
      </c>
      <c r="BP329">
        <v>36</v>
      </c>
      <c r="BQ329">
        <v>0</v>
      </c>
      <c r="BR329">
        <v>0</v>
      </c>
      <c r="BS329">
        <v>0</v>
      </c>
      <c r="BT329">
        <v>5</v>
      </c>
      <c r="BU329">
        <v>2.2999999999999998</v>
      </c>
    </row>
    <row r="330" spans="1:73" x14ac:dyDescent="0.15">
      <c r="A330" s="11">
        <v>10127</v>
      </c>
      <c r="B330">
        <v>7</v>
      </c>
      <c r="C330" s="1">
        <v>42</v>
      </c>
      <c r="D330">
        <v>0</v>
      </c>
      <c r="E330">
        <v>0</v>
      </c>
      <c r="F330">
        <v>1</v>
      </c>
      <c r="G330" s="7">
        <v>0.05</v>
      </c>
      <c r="H330">
        <v>12</v>
      </c>
      <c r="I330">
        <v>0</v>
      </c>
      <c r="J330">
        <v>0</v>
      </c>
      <c r="K330">
        <v>0</v>
      </c>
      <c r="L330">
        <v>1</v>
      </c>
      <c r="M330">
        <v>2</v>
      </c>
      <c r="N330" s="7">
        <v>9</v>
      </c>
      <c r="O330" s="7">
        <v>0</v>
      </c>
      <c r="P330" s="7">
        <v>0</v>
      </c>
      <c r="Q330" s="7">
        <v>0</v>
      </c>
      <c r="R330" s="7">
        <v>1</v>
      </c>
      <c r="S330" s="7">
        <v>4.5</v>
      </c>
      <c r="T330">
        <v>7</v>
      </c>
      <c r="U330" s="1">
        <v>34</v>
      </c>
      <c r="V330">
        <v>0</v>
      </c>
      <c r="W330">
        <v>0</v>
      </c>
      <c r="X330">
        <v>1</v>
      </c>
      <c r="Y330">
        <v>0.16</v>
      </c>
      <c r="Z330">
        <v>23</v>
      </c>
      <c r="AA330">
        <v>0</v>
      </c>
      <c r="AB330">
        <v>0</v>
      </c>
      <c r="AC330">
        <v>0</v>
      </c>
      <c r="AD330">
        <v>1</v>
      </c>
      <c r="AE330">
        <v>0.05</v>
      </c>
      <c r="AF330">
        <v>15</v>
      </c>
      <c r="AG330">
        <v>0</v>
      </c>
      <c r="AH330">
        <v>0</v>
      </c>
      <c r="AI330">
        <v>0</v>
      </c>
      <c r="AJ330">
        <v>1</v>
      </c>
      <c r="AK330">
        <v>0.01</v>
      </c>
      <c r="AL330">
        <v>16</v>
      </c>
      <c r="AM330">
        <v>0</v>
      </c>
      <c r="AN330">
        <v>0</v>
      </c>
      <c r="AO330">
        <v>0</v>
      </c>
      <c r="AP330">
        <v>1</v>
      </c>
      <c r="AQ330">
        <v>5.0000000000000001E-3</v>
      </c>
      <c r="AX330">
        <v>7</v>
      </c>
      <c r="AY330" s="1">
        <v>18</v>
      </c>
      <c r="AZ330">
        <v>0</v>
      </c>
      <c r="BA330">
        <v>0</v>
      </c>
      <c r="BB330">
        <v>1</v>
      </c>
      <c r="BC330" s="7">
        <v>0.32</v>
      </c>
      <c r="BD330">
        <v>30</v>
      </c>
      <c r="BE330">
        <v>0</v>
      </c>
      <c r="BF330">
        <v>0</v>
      </c>
      <c r="BG330">
        <v>0</v>
      </c>
      <c r="BH330">
        <v>5</v>
      </c>
      <c r="BI330">
        <v>2.4</v>
      </c>
      <c r="BJ330">
        <v>31</v>
      </c>
      <c r="BK330">
        <v>0</v>
      </c>
      <c r="BL330">
        <v>0</v>
      </c>
      <c r="BM330">
        <v>0</v>
      </c>
      <c r="BN330">
        <v>5</v>
      </c>
      <c r="BO330">
        <v>2.4</v>
      </c>
      <c r="BP330">
        <v>36</v>
      </c>
      <c r="BQ330">
        <v>0</v>
      </c>
      <c r="BR330">
        <v>0</v>
      </c>
      <c r="BS330">
        <v>0</v>
      </c>
      <c r="BT330">
        <v>5</v>
      </c>
      <c r="BU330">
        <v>2.2999999999999998</v>
      </c>
    </row>
    <row r="331" spans="1:73" x14ac:dyDescent="0.15">
      <c r="A331" s="11">
        <v>10128</v>
      </c>
      <c r="B331">
        <v>7</v>
      </c>
      <c r="C331" s="1">
        <v>43</v>
      </c>
      <c r="D331">
        <v>0</v>
      </c>
      <c r="E331">
        <v>0</v>
      </c>
      <c r="F331">
        <v>1</v>
      </c>
      <c r="G331" s="7">
        <v>0.05</v>
      </c>
      <c r="H331">
        <v>12</v>
      </c>
      <c r="I331">
        <v>0</v>
      </c>
      <c r="J331">
        <v>0</v>
      </c>
      <c r="K331">
        <v>0</v>
      </c>
      <c r="L331">
        <v>1</v>
      </c>
      <c r="M331">
        <v>2</v>
      </c>
      <c r="N331" s="7">
        <v>9</v>
      </c>
      <c r="O331" s="7">
        <v>0</v>
      </c>
      <c r="P331" s="7">
        <v>0</v>
      </c>
      <c r="Q331" s="7">
        <v>0</v>
      </c>
      <c r="R331" s="7">
        <v>1</v>
      </c>
      <c r="S331" s="7">
        <v>4.5</v>
      </c>
      <c r="T331">
        <v>7</v>
      </c>
      <c r="U331" s="1">
        <v>35</v>
      </c>
      <c r="V331">
        <v>0</v>
      </c>
      <c r="W331">
        <v>0</v>
      </c>
      <c r="X331">
        <v>1</v>
      </c>
      <c r="Y331">
        <v>0.16</v>
      </c>
      <c r="Z331">
        <v>23</v>
      </c>
      <c r="AA331">
        <v>0</v>
      </c>
      <c r="AB331">
        <v>0</v>
      </c>
      <c r="AC331">
        <v>0</v>
      </c>
      <c r="AD331">
        <v>1</v>
      </c>
      <c r="AE331">
        <v>0.05</v>
      </c>
      <c r="AF331">
        <v>15</v>
      </c>
      <c r="AG331">
        <v>0</v>
      </c>
      <c r="AH331">
        <v>0</v>
      </c>
      <c r="AI331">
        <v>0</v>
      </c>
      <c r="AJ331">
        <v>1</v>
      </c>
      <c r="AK331">
        <v>0.01</v>
      </c>
      <c r="AL331">
        <v>16</v>
      </c>
      <c r="AM331">
        <v>0</v>
      </c>
      <c r="AN331">
        <v>0</v>
      </c>
      <c r="AO331">
        <v>0</v>
      </c>
      <c r="AP331">
        <v>1</v>
      </c>
      <c r="AQ331">
        <v>5.0000000000000001E-3</v>
      </c>
      <c r="AX331">
        <v>7</v>
      </c>
      <c r="AY331" s="1">
        <v>19</v>
      </c>
      <c r="AZ331">
        <v>0</v>
      </c>
      <c r="BA331">
        <v>0</v>
      </c>
      <c r="BB331">
        <v>1</v>
      </c>
      <c r="BC331" s="7">
        <v>0.32</v>
      </c>
      <c r="BD331">
        <v>30</v>
      </c>
      <c r="BE331">
        <v>0</v>
      </c>
      <c r="BF331">
        <v>0</v>
      </c>
      <c r="BG331">
        <v>0</v>
      </c>
      <c r="BH331">
        <v>5</v>
      </c>
      <c r="BI331">
        <v>2.4</v>
      </c>
      <c r="BJ331">
        <v>31</v>
      </c>
      <c r="BK331">
        <v>0</v>
      </c>
      <c r="BL331">
        <v>0</v>
      </c>
      <c r="BM331">
        <v>0</v>
      </c>
      <c r="BN331">
        <v>5</v>
      </c>
      <c r="BO331">
        <v>2.4</v>
      </c>
      <c r="BP331">
        <v>36</v>
      </c>
      <c r="BQ331">
        <v>0</v>
      </c>
      <c r="BR331">
        <v>0</v>
      </c>
      <c r="BS331">
        <v>0</v>
      </c>
      <c r="BT331">
        <v>5</v>
      </c>
      <c r="BU331">
        <v>2.2999999999999998</v>
      </c>
    </row>
    <row r="332" spans="1:73" x14ac:dyDescent="0.15">
      <c r="A332" s="11">
        <v>10129</v>
      </c>
      <c r="B332">
        <v>7</v>
      </c>
      <c r="C332" s="1">
        <v>44</v>
      </c>
      <c r="D332">
        <v>0</v>
      </c>
      <c r="E332">
        <v>0</v>
      </c>
      <c r="F332">
        <v>1</v>
      </c>
      <c r="G332" s="7">
        <v>0.05</v>
      </c>
      <c r="H332">
        <v>12</v>
      </c>
      <c r="I332">
        <v>0</v>
      </c>
      <c r="J332">
        <v>0</v>
      </c>
      <c r="K332">
        <v>0</v>
      </c>
      <c r="L332">
        <v>1</v>
      </c>
      <c r="M332">
        <v>2</v>
      </c>
      <c r="N332" s="7">
        <v>9</v>
      </c>
      <c r="O332" s="7">
        <v>0</v>
      </c>
      <c r="P332" s="7">
        <v>0</v>
      </c>
      <c r="Q332" s="7">
        <v>0</v>
      </c>
      <c r="R332" s="7">
        <v>1</v>
      </c>
      <c r="S332" s="7">
        <v>4.5</v>
      </c>
      <c r="T332">
        <v>7</v>
      </c>
      <c r="U332" s="1">
        <v>36</v>
      </c>
      <c r="V332">
        <v>0</v>
      </c>
      <c r="W332">
        <v>0</v>
      </c>
      <c r="X332">
        <v>1</v>
      </c>
      <c r="Y332">
        <v>0.16</v>
      </c>
      <c r="Z332">
        <v>23</v>
      </c>
      <c r="AA332">
        <v>0</v>
      </c>
      <c r="AB332">
        <v>0</v>
      </c>
      <c r="AC332">
        <v>0</v>
      </c>
      <c r="AD332">
        <v>1</v>
      </c>
      <c r="AE332">
        <v>0.05</v>
      </c>
      <c r="AF332">
        <v>15</v>
      </c>
      <c r="AG332">
        <v>0</v>
      </c>
      <c r="AH332">
        <v>0</v>
      </c>
      <c r="AI332">
        <v>0</v>
      </c>
      <c r="AJ332">
        <v>1</v>
      </c>
      <c r="AK332">
        <v>0.01</v>
      </c>
      <c r="AL332">
        <v>16</v>
      </c>
      <c r="AM332">
        <v>0</v>
      </c>
      <c r="AN332">
        <v>0</v>
      </c>
      <c r="AO332">
        <v>0</v>
      </c>
      <c r="AP332">
        <v>1</v>
      </c>
      <c r="AQ332">
        <v>5.0000000000000001E-3</v>
      </c>
      <c r="AX332">
        <v>7</v>
      </c>
      <c r="AY332" s="1">
        <v>20</v>
      </c>
      <c r="AZ332">
        <v>0</v>
      </c>
      <c r="BA332">
        <v>0</v>
      </c>
      <c r="BB332">
        <v>1</v>
      </c>
      <c r="BC332" s="7">
        <v>0.32</v>
      </c>
      <c r="BD332">
        <v>30</v>
      </c>
      <c r="BE332">
        <v>0</v>
      </c>
      <c r="BF332">
        <v>0</v>
      </c>
      <c r="BG332">
        <v>0</v>
      </c>
      <c r="BH332">
        <v>5</v>
      </c>
      <c r="BI332">
        <v>2.4</v>
      </c>
      <c r="BJ332">
        <v>31</v>
      </c>
      <c r="BK332">
        <v>0</v>
      </c>
      <c r="BL332">
        <v>0</v>
      </c>
      <c r="BM332">
        <v>0</v>
      </c>
      <c r="BN332">
        <v>5</v>
      </c>
      <c r="BO332">
        <v>2.4</v>
      </c>
      <c r="BP332">
        <v>36</v>
      </c>
      <c r="BQ332">
        <v>0</v>
      </c>
      <c r="BR332">
        <v>0</v>
      </c>
      <c r="BS332">
        <v>0</v>
      </c>
      <c r="BT332">
        <v>5</v>
      </c>
      <c r="BU332">
        <v>2.2999999999999998</v>
      </c>
    </row>
    <row r="333" spans="1:73" x14ac:dyDescent="0.15">
      <c r="A333" s="11">
        <v>10130</v>
      </c>
      <c r="B333">
        <v>7</v>
      </c>
      <c r="C333" s="1">
        <v>0</v>
      </c>
      <c r="D333">
        <v>5</v>
      </c>
      <c r="E333">
        <v>1</v>
      </c>
      <c r="F333">
        <v>1</v>
      </c>
      <c r="G333" s="7">
        <v>0.05</v>
      </c>
      <c r="H333">
        <v>12</v>
      </c>
      <c r="I333">
        <v>0</v>
      </c>
      <c r="J333">
        <v>0</v>
      </c>
      <c r="K333">
        <v>0</v>
      </c>
      <c r="L333">
        <v>1</v>
      </c>
      <c r="M333">
        <v>2</v>
      </c>
      <c r="N333" s="7">
        <v>9</v>
      </c>
      <c r="O333" s="7">
        <v>0</v>
      </c>
      <c r="P333" s="7">
        <v>0</v>
      </c>
      <c r="Q333" s="7">
        <v>0</v>
      </c>
      <c r="R333" s="7">
        <v>1</v>
      </c>
      <c r="S333" s="7">
        <v>4.5</v>
      </c>
      <c r="T333">
        <v>7</v>
      </c>
      <c r="U333" s="1">
        <v>0</v>
      </c>
      <c r="V333">
        <v>4</v>
      </c>
      <c r="W333">
        <v>2</v>
      </c>
      <c r="X333">
        <v>1</v>
      </c>
      <c r="Y333">
        <v>0.16</v>
      </c>
      <c r="Z333">
        <v>23</v>
      </c>
      <c r="AA333">
        <v>0</v>
      </c>
      <c r="AB333">
        <v>0</v>
      </c>
      <c r="AC333">
        <v>0</v>
      </c>
      <c r="AD333">
        <v>1</v>
      </c>
      <c r="AE333">
        <v>0.05</v>
      </c>
      <c r="AF333">
        <v>15</v>
      </c>
      <c r="AG333">
        <v>0</v>
      </c>
      <c r="AH333">
        <v>0</v>
      </c>
      <c r="AI333">
        <v>0</v>
      </c>
      <c r="AJ333">
        <v>1</v>
      </c>
      <c r="AK333">
        <v>0.01</v>
      </c>
      <c r="AL333">
        <v>16</v>
      </c>
      <c r="AM333">
        <v>0</v>
      </c>
      <c r="AN333">
        <v>0</v>
      </c>
      <c r="AO333">
        <v>0</v>
      </c>
      <c r="AP333">
        <v>1</v>
      </c>
      <c r="AQ333">
        <v>5.0000000000000001E-3</v>
      </c>
      <c r="AR333">
        <v>6</v>
      </c>
      <c r="AS333">
        <v>2</v>
      </c>
      <c r="AT333">
        <v>1</v>
      </c>
      <c r="AU333">
        <v>5</v>
      </c>
      <c r="AV333">
        <v>1</v>
      </c>
      <c r="AW333">
        <v>0.05</v>
      </c>
      <c r="AX333">
        <v>7</v>
      </c>
      <c r="AY333" s="1">
        <v>0</v>
      </c>
      <c r="AZ333">
        <v>3</v>
      </c>
      <c r="BA333">
        <v>1</v>
      </c>
      <c r="BB333">
        <v>1</v>
      </c>
      <c r="BC333" s="7">
        <v>0.32</v>
      </c>
      <c r="BD333">
        <v>30</v>
      </c>
      <c r="BE333">
        <v>0</v>
      </c>
      <c r="BF333">
        <v>0</v>
      </c>
      <c r="BG333">
        <v>0</v>
      </c>
      <c r="BH333">
        <v>5</v>
      </c>
      <c r="BI333">
        <v>2.4</v>
      </c>
      <c r="BJ333">
        <v>31</v>
      </c>
      <c r="BK333">
        <v>0</v>
      </c>
      <c r="BL333">
        <v>0</v>
      </c>
      <c r="BM333">
        <v>0</v>
      </c>
      <c r="BN333">
        <v>5</v>
      </c>
      <c r="BO333">
        <v>2.4</v>
      </c>
      <c r="BP333">
        <v>36</v>
      </c>
      <c r="BQ333">
        <v>0</v>
      </c>
      <c r="BR333">
        <v>0</v>
      </c>
      <c r="BS333">
        <v>0</v>
      </c>
      <c r="BT333">
        <v>5</v>
      </c>
      <c r="BU333">
        <v>2.2999999999999998</v>
      </c>
    </row>
    <row r="334" spans="1:73" x14ac:dyDescent="0.15">
      <c r="A334" s="11">
        <v>10131</v>
      </c>
      <c r="B334">
        <v>7</v>
      </c>
      <c r="C334" s="1">
        <v>41</v>
      </c>
      <c r="D334">
        <v>0</v>
      </c>
      <c r="E334">
        <v>0</v>
      </c>
      <c r="F334">
        <v>1</v>
      </c>
      <c r="G334" s="7">
        <v>0.05</v>
      </c>
      <c r="H334">
        <v>12</v>
      </c>
      <c r="I334">
        <v>0</v>
      </c>
      <c r="J334">
        <v>0</v>
      </c>
      <c r="K334">
        <v>0</v>
      </c>
      <c r="L334">
        <v>1</v>
      </c>
      <c r="M334">
        <v>2</v>
      </c>
      <c r="N334" s="7">
        <v>9</v>
      </c>
      <c r="O334" s="7">
        <v>0</v>
      </c>
      <c r="P334" s="7">
        <v>0</v>
      </c>
      <c r="Q334" s="7">
        <v>0</v>
      </c>
      <c r="R334" s="7">
        <v>1</v>
      </c>
      <c r="S334" s="7">
        <v>4.5</v>
      </c>
      <c r="T334">
        <v>7</v>
      </c>
      <c r="U334" s="1">
        <v>33</v>
      </c>
      <c r="V334">
        <v>0</v>
      </c>
      <c r="W334">
        <v>0</v>
      </c>
      <c r="X334">
        <v>1</v>
      </c>
      <c r="Y334">
        <v>0.16</v>
      </c>
      <c r="Z334">
        <v>23</v>
      </c>
      <c r="AA334">
        <v>0</v>
      </c>
      <c r="AB334">
        <v>0</v>
      </c>
      <c r="AC334">
        <v>0</v>
      </c>
      <c r="AD334">
        <v>1</v>
      </c>
      <c r="AE334">
        <v>0.05</v>
      </c>
      <c r="AF334">
        <v>15</v>
      </c>
      <c r="AG334">
        <v>0</v>
      </c>
      <c r="AH334">
        <v>0</v>
      </c>
      <c r="AI334">
        <v>0</v>
      </c>
      <c r="AJ334">
        <v>1</v>
      </c>
      <c r="AK334">
        <v>0.01</v>
      </c>
      <c r="AL334">
        <v>16</v>
      </c>
      <c r="AM334">
        <v>0</v>
      </c>
      <c r="AN334">
        <v>0</v>
      </c>
      <c r="AO334">
        <v>0</v>
      </c>
      <c r="AP334">
        <v>1</v>
      </c>
      <c r="AQ334">
        <v>5.0000000000000001E-3</v>
      </c>
      <c r="AX334">
        <v>7</v>
      </c>
      <c r="AY334" s="1">
        <v>17</v>
      </c>
      <c r="AZ334">
        <v>0</v>
      </c>
      <c r="BA334">
        <v>0</v>
      </c>
      <c r="BB334">
        <v>1</v>
      </c>
      <c r="BC334" s="7">
        <v>0.32</v>
      </c>
      <c r="BD334">
        <v>30</v>
      </c>
      <c r="BE334">
        <v>0</v>
      </c>
      <c r="BF334">
        <v>0</v>
      </c>
      <c r="BG334">
        <v>0</v>
      </c>
      <c r="BH334">
        <v>5</v>
      </c>
      <c r="BI334">
        <v>2.4</v>
      </c>
      <c r="BJ334">
        <v>31</v>
      </c>
      <c r="BK334">
        <v>0</v>
      </c>
      <c r="BL334">
        <v>0</v>
      </c>
      <c r="BM334">
        <v>0</v>
      </c>
      <c r="BN334">
        <v>5</v>
      </c>
      <c r="BO334">
        <v>2.4</v>
      </c>
      <c r="BP334">
        <v>36</v>
      </c>
      <c r="BQ334">
        <v>0</v>
      </c>
      <c r="BR334">
        <v>0</v>
      </c>
      <c r="BS334">
        <v>0</v>
      </c>
      <c r="BT334">
        <v>5</v>
      </c>
      <c r="BU334">
        <v>2.2999999999999998</v>
      </c>
    </row>
    <row r="335" spans="1:73" x14ac:dyDescent="0.15">
      <c r="A335" s="11">
        <v>10132</v>
      </c>
      <c r="B335">
        <v>7</v>
      </c>
      <c r="C335" s="1">
        <v>42</v>
      </c>
      <c r="D335">
        <v>0</v>
      </c>
      <c r="E335">
        <v>0</v>
      </c>
      <c r="F335">
        <v>1</v>
      </c>
      <c r="G335" s="7">
        <v>0.05</v>
      </c>
      <c r="H335">
        <v>12</v>
      </c>
      <c r="I335">
        <v>0</v>
      </c>
      <c r="J335">
        <v>0</v>
      </c>
      <c r="K335">
        <v>0</v>
      </c>
      <c r="L335">
        <v>1</v>
      </c>
      <c r="M335">
        <v>2</v>
      </c>
      <c r="N335" s="7">
        <v>9</v>
      </c>
      <c r="O335" s="7">
        <v>0</v>
      </c>
      <c r="P335" s="7">
        <v>0</v>
      </c>
      <c r="Q335" s="7">
        <v>0</v>
      </c>
      <c r="R335" s="7">
        <v>1</v>
      </c>
      <c r="S335" s="7">
        <v>4.5</v>
      </c>
      <c r="T335">
        <v>7</v>
      </c>
      <c r="U335" s="1">
        <v>34</v>
      </c>
      <c r="V335">
        <v>0</v>
      </c>
      <c r="W335">
        <v>0</v>
      </c>
      <c r="X335">
        <v>1</v>
      </c>
      <c r="Y335">
        <v>0.16</v>
      </c>
      <c r="Z335">
        <v>23</v>
      </c>
      <c r="AA335">
        <v>0</v>
      </c>
      <c r="AB335">
        <v>0</v>
      </c>
      <c r="AC335">
        <v>0</v>
      </c>
      <c r="AD335">
        <v>1</v>
      </c>
      <c r="AE335">
        <v>0.05</v>
      </c>
      <c r="AF335">
        <v>15</v>
      </c>
      <c r="AG335">
        <v>0</v>
      </c>
      <c r="AH335">
        <v>0</v>
      </c>
      <c r="AI335">
        <v>0</v>
      </c>
      <c r="AJ335">
        <v>1</v>
      </c>
      <c r="AK335">
        <v>0.01</v>
      </c>
      <c r="AL335">
        <v>16</v>
      </c>
      <c r="AM335">
        <v>0</v>
      </c>
      <c r="AN335">
        <v>0</v>
      </c>
      <c r="AO335">
        <v>0</v>
      </c>
      <c r="AP335">
        <v>1</v>
      </c>
      <c r="AQ335">
        <v>5.0000000000000001E-3</v>
      </c>
      <c r="AX335">
        <v>7</v>
      </c>
      <c r="AY335" s="1">
        <v>18</v>
      </c>
      <c r="AZ335">
        <v>0</v>
      </c>
      <c r="BA335">
        <v>0</v>
      </c>
      <c r="BB335">
        <v>1</v>
      </c>
      <c r="BC335" s="7">
        <v>0.32</v>
      </c>
      <c r="BD335">
        <v>30</v>
      </c>
      <c r="BE335">
        <v>0</v>
      </c>
      <c r="BF335">
        <v>0</v>
      </c>
      <c r="BG335">
        <v>0</v>
      </c>
      <c r="BH335">
        <v>5</v>
      </c>
      <c r="BI335">
        <v>2.4</v>
      </c>
      <c r="BJ335">
        <v>31</v>
      </c>
      <c r="BK335">
        <v>0</v>
      </c>
      <c r="BL335">
        <v>0</v>
      </c>
      <c r="BM335">
        <v>0</v>
      </c>
      <c r="BN335">
        <v>5</v>
      </c>
      <c r="BO335">
        <v>2.4</v>
      </c>
      <c r="BP335">
        <v>36</v>
      </c>
      <c r="BQ335">
        <v>0</v>
      </c>
      <c r="BR335">
        <v>0</v>
      </c>
      <c r="BS335">
        <v>0</v>
      </c>
      <c r="BT335">
        <v>5</v>
      </c>
      <c r="BU335">
        <v>2.2999999999999998</v>
      </c>
    </row>
    <row r="336" spans="1:73" x14ac:dyDescent="0.15">
      <c r="A336" s="11">
        <v>10133</v>
      </c>
      <c r="B336">
        <v>7</v>
      </c>
      <c r="C336" s="1">
        <v>43</v>
      </c>
      <c r="D336">
        <v>0</v>
      </c>
      <c r="E336">
        <v>0</v>
      </c>
      <c r="F336">
        <v>1</v>
      </c>
      <c r="G336" s="7">
        <v>0.05</v>
      </c>
      <c r="H336">
        <v>12</v>
      </c>
      <c r="I336">
        <v>0</v>
      </c>
      <c r="J336">
        <v>0</v>
      </c>
      <c r="K336">
        <v>0</v>
      </c>
      <c r="L336">
        <v>1</v>
      </c>
      <c r="M336">
        <v>2</v>
      </c>
      <c r="N336" s="7">
        <v>9</v>
      </c>
      <c r="O336" s="7">
        <v>0</v>
      </c>
      <c r="P336" s="7">
        <v>0</v>
      </c>
      <c r="Q336" s="7">
        <v>0</v>
      </c>
      <c r="R336" s="7">
        <v>1</v>
      </c>
      <c r="S336" s="7">
        <v>4.5</v>
      </c>
      <c r="T336">
        <v>7</v>
      </c>
      <c r="U336" s="1">
        <v>35</v>
      </c>
      <c r="V336">
        <v>0</v>
      </c>
      <c r="W336">
        <v>0</v>
      </c>
      <c r="X336">
        <v>1</v>
      </c>
      <c r="Y336">
        <v>0.16</v>
      </c>
      <c r="Z336">
        <v>23</v>
      </c>
      <c r="AA336">
        <v>0</v>
      </c>
      <c r="AB336">
        <v>0</v>
      </c>
      <c r="AC336">
        <v>0</v>
      </c>
      <c r="AD336">
        <v>1</v>
      </c>
      <c r="AE336">
        <v>0.05</v>
      </c>
      <c r="AF336">
        <v>15</v>
      </c>
      <c r="AG336">
        <v>0</v>
      </c>
      <c r="AH336">
        <v>0</v>
      </c>
      <c r="AI336">
        <v>0</v>
      </c>
      <c r="AJ336">
        <v>1</v>
      </c>
      <c r="AK336">
        <v>0.01</v>
      </c>
      <c r="AL336">
        <v>16</v>
      </c>
      <c r="AM336">
        <v>0</v>
      </c>
      <c r="AN336">
        <v>0</v>
      </c>
      <c r="AO336">
        <v>0</v>
      </c>
      <c r="AP336">
        <v>1</v>
      </c>
      <c r="AQ336">
        <v>5.0000000000000001E-3</v>
      </c>
      <c r="AX336">
        <v>7</v>
      </c>
      <c r="AY336" s="1">
        <v>19</v>
      </c>
      <c r="AZ336">
        <v>0</v>
      </c>
      <c r="BA336">
        <v>0</v>
      </c>
      <c r="BB336">
        <v>1</v>
      </c>
      <c r="BC336" s="7">
        <v>0.32</v>
      </c>
      <c r="BD336">
        <v>30</v>
      </c>
      <c r="BE336">
        <v>0</v>
      </c>
      <c r="BF336">
        <v>0</v>
      </c>
      <c r="BG336">
        <v>0</v>
      </c>
      <c r="BH336">
        <v>5</v>
      </c>
      <c r="BI336">
        <v>2.4</v>
      </c>
      <c r="BJ336">
        <v>31</v>
      </c>
      <c r="BK336">
        <v>0</v>
      </c>
      <c r="BL336">
        <v>0</v>
      </c>
      <c r="BM336">
        <v>0</v>
      </c>
      <c r="BN336">
        <v>5</v>
      </c>
      <c r="BO336">
        <v>2.4</v>
      </c>
      <c r="BP336">
        <v>36</v>
      </c>
      <c r="BQ336">
        <v>0</v>
      </c>
      <c r="BR336">
        <v>0</v>
      </c>
      <c r="BS336">
        <v>0</v>
      </c>
      <c r="BT336">
        <v>5</v>
      </c>
      <c r="BU336">
        <v>2.2999999999999998</v>
      </c>
    </row>
    <row r="337" spans="1:73" x14ac:dyDescent="0.15">
      <c r="A337" s="11">
        <v>10134</v>
      </c>
      <c r="B337">
        <v>7</v>
      </c>
      <c r="C337" s="1">
        <v>44</v>
      </c>
      <c r="D337">
        <v>0</v>
      </c>
      <c r="E337">
        <v>0</v>
      </c>
      <c r="F337">
        <v>1</v>
      </c>
      <c r="G337" s="7">
        <v>0.05</v>
      </c>
      <c r="H337">
        <v>12</v>
      </c>
      <c r="I337">
        <v>0</v>
      </c>
      <c r="J337">
        <v>0</v>
      </c>
      <c r="K337">
        <v>0</v>
      </c>
      <c r="L337">
        <v>1</v>
      </c>
      <c r="M337">
        <v>2</v>
      </c>
      <c r="N337" s="7">
        <v>9</v>
      </c>
      <c r="O337" s="7">
        <v>0</v>
      </c>
      <c r="P337" s="7">
        <v>0</v>
      </c>
      <c r="Q337" s="7">
        <v>0</v>
      </c>
      <c r="R337" s="7">
        <v>1</v>
      </c>
      <c r="S337" s="7">
        <v>4.5</v>
      </c>
      <c r="T337">
        <v>7</v>
      </c>
      <c r="U337" s="1">
        <v>36</v>
      </c>
      <c r="V337">
        <v>0</v>
      </c>
      <c r="W337">
        <v>0</v>
      </c>
      <c r="X337">
        <v>1</v>
      </c>
      <c r="Y337">
        <v>0.16</v>
      </c>
      <c r="Z337">
        <v>23</v>
      </c>
      <c r="AA337">
        <v>0</v>
      </c>
      <c r="AB337">
        <v>0</v>
      </c>
      <c r="AC337">
        <v>0</v>
      </c>
      <c r="AD337">
        <v>1</v>
      </c>
      <c r="AE337">
        <v>0.05</v>
      </c>
      <c r="AF337">
        <v>15</v>
      </c>
      <c r="AG337">
        <v>0</v>
      </c>
      <c r="AH337">
        <v>0</v>
      </c>
      <c r="AI337">
        <v>0</v>
      </c>
      <c r="AJ337">
        <v>1</v>
      </c>
      <c r="AK337">
        <v>0.01</v>
      </c>
      <c r="AL337">
        <v>16</v>
      </c>
      <c r="AM337">
        <v>0</v>
      </c>
      <c r="AN337">
        <v>0</v>
      </c>
      <c r="AO337">
        <v>0</v>
      </c>
      <c r="AP337">
        <v>1</v>
      </c>
      <c r="AQ337">
        <v>5.0000000000000001E-3</v>
      </c>
      <c r="AX337">
        <v>7</v>
      </c>
      <c r="AY337" s="1">
        <v>20</v>
      </c>
      <c r="AZ337">
        <v>0</v>
      </c>
      <c r="BA337">
        <v>0</v>
      </c>
      <c r="BB337">
        <v>1</v>
      </c>
      <c r="BC337" s="7">
        <v>0.32</v>
      </c>
      <c r="BD337">
        <v>30</v>
      </c>
      <c r="BE337">
        <v>0</v>
      </c>
      <c r="BF337">
        <v>0</v>
      </c>
      <c r="BG337">
        <v>0</v>
      </c>
      <c r="BH337">
        <v>5</v>
      </c>
      <c r="BI337">
        <v>2.4</v>
      </c>
      <c r="BJ337">
        <v>31</v>
      </c>
      <c r="BK337">
        <v>0</v>
      </c>
      <c r="BL337">
        <v>0</v>
      </c>
      <c r="BM337">
        <v>0</v>
      </c>
      <c r="BN337">
        <v>5</v>
      </c>
      <c r="BO337">
        <v>2.4</v>
      </c>
      <c r="BP337">
        <v>36</v>
      </c>
      <c r="BQ337">
        <v>0</v>
      </c>
      <c r="BR337">
        <v>0</v>
      </c>
      <c r="BS337">
        <v>0</v>
      </c>
      <c r="BT337">
        <v>5</v>
      </c>
      <c r="BU337">
        <v>2.2999999999999998</v>
      </c>
    </row>
    <row r="338" spans="1:73" x14ac:dyDescent="0.15">
      <c r="A338" s="11">
        <v>10135</v>
      </c>
      <c r="B338">
        <v>7</v>
      </c>
      <c r="C338" s="1">
        <v>0</v>
      </c>
      <c r="D338">
        <v>5</v>
      </c>
      <c r="E338">
        <v>1</v>
      </c>
      <c r="F338">
        <v>1</v>
      </c>
      <c r="G338" s="7">
        <v>0.05</v>
      </c>
      <c r="H338">
        <v>12</v>
      </c>
      <c r="I338">
        <v>0</v>
      </c>
      <c r="J338">
        <v>0</v>
      </c>
      <c r="K338">
        <v>0</v>
      </c>
      <c r="L338">
        <v>1</v>
      </c>
      <c r="M338">
        <v>2</v>
      </c>
      <c r="N338" s="7">
        <v>9</v>
      </c>
      <c r="O338" s="7">
        <v>0</v>
      </c>
      <c r="P338" s="7">
        <v>0</v>
      </c>
      <c r="Q338" s="7">
        <v>0</v>
      </c>
      <c r="R338" s="7">
        <v>1</v>
      </c>
      <c r="S338" s="7">
        <v>4.5</v>
      </c>
      <c r="T338">
        <v>7</v>
      </c>
      <c r="U338" s="1">
        <v>0</v>
      </c>
      <c r="V338">
        <v>4</v>
      </c>
      <c r="W338">
        <v>2</v>
      </c>
      <c r="X338">
        <v>1</v>
      </c>
      <c r="Y338">
        <v>0.16</v>
      </c>
      <c r="Z338">
        <v>23</v>
      </c>
      <c r="AA338">
        <v>0</v>
      </c>
      <c r="AB338">
        <v>0</v>
      </c>
      <c r="AC338">
        <v>0</v>
      </c>
      <c r="AD338">
        <v>1</v>
      </c>
      <c r="AE338">
        <v>0.05</v>
      </c>
      <c r="AF338">
        <v>15</v>
      </c>
      <c r="AG338">
        <v>0</v>
      </c>
      <c r="AH338">
        <v>0</v>
      </c>
      <c r="AI338">
        <v>0</v>
      </c>
      <c r="AJ338">
        <v>1</v>
      </c>
      <c r="AK338">
        <v>0.01</v>
      </c>
      <c r="AL338">
        <v>16</v>
      </c>
      <c r="AM338">
        <v>0</v>
      </c>
      <c r="AN338">
        <v>0</v>
      </c>
      <c r="AO338">
        <v>0</v>
      </c>
      <c r="AP338">
        <v>1</v>
      </c>
      <c r="AQ338">
        <v>5.0000000000000001E-3</v>
      </c>
      <c r="AR338">
        <v>6</v>
      </c>
      <c r="AS338">
        <v>2</v>
      </c>
      <c r="AT338">
        <v>2</v>
      </c>
      <c r="AU338">
        <v>5</v>
      </c>
      <c r="AV338">
        <v>1</v>
      </c>
      <c r="AW338">
        <v>0.05</v>
      </c>
      <c r="AX338">
        <v>7</v>
      </c>
      <c r="AY338" s="1">
        <v>0</v>
      </c>
      <c r="AZ338">
        <v>3</v>
      </c>
      <c r="BA338">
        <v>1</v>
      </c>
      <c r="BB338">
        <v>1</v>
      </c>
      <c r="BC338" s="7">
        <v>0.32</v>
      </c>
      <c r="BD338">
        <v>30</v>
      </c>
      <c r="BE338">
        <v>0</v>
      </c>
      <c r="BF338">
        <v>0</v>
      </c>
      <c r="BG338">
        <v>0</v>
      </c>
      <c r="BH338">
        <v>5</v>
      </c>
      <c r="BI338">
        <v>2.4</v>
      </c>
      <c r="BJ338">
        <v>31</v>
      </c>
      <c r="BK338">
        <v>0</v>
      </c>
      <c r="BL338">
        <v>0</v>
      </c>
      <c r="BM338">
        <v>0</v>
      </c>
      <c r="BN338">
        <v>5</v>
      </c>
      <c r="BO338">
        <v>2.4</v>
      </c>
      <c r="BP338">
        <v>36</v>
      </c>
      <c r="BQ338">
        <v>0</v>
      </c>
      <c r="BR338">
        <v>0</v>
      </c>
      <c r="BS338">
        <v>0</v>
      </c>
      <c r="BT338">
        <v>5</v>
      </c>
      <c r="BU338">
        <v>2.2999999999999998</v>
      </c>
    </row>
    <row r="339" spans="1:73" x14ac:dyDescent="0.15">
      <c r="A339" s="11">
        <v>10136</v>
      </c>
      <c r="B339">
        <v>7</v>
      </c>
      <c r="C339" s="1">
        <v>41</v>
      </c>
      <c r="D339">
        <v>0</v>
      </c>
      <c r="E339">
        <v>0</v>
      </c>
      <c r="F339">
        <v>1</v>
      </c>
      <c r="G339" s="7">
        <v>0.05</v>
      </c>
      <c r="H339">
        <v>12</v>
      </c>
      <c r="I339">
        <v>0</v>
      </c>
      <c r="J339">
        <v>0</v>
      </c>
      <c r="K339">
        <v>0</v>
      </c>
      <c r="L339">
        <v>1</v>
      </c>
      <c r="M339">
        <v>2</v>
      </c>
      <c r="N339" s="7">
        <v>9</v>
      </c>
      <c r="O339" s="7">
        <v>0</v>
      </c>
      <c r="P339" s="7">
        <v>0</v>
      </c>
      <c r="Q339" s="7">
        <v>0</v>
      </c>
      <c r="R339" s="7">
        <v>1</v>
      </c>
      <c r="S339" s="7">
        <v>4.5</v>
      </c>
      <c r="T339">
        <v>7</v>
      </c>
      <c r="U339" s="1">
        <v>33</v>
      </c>
      <c r="V339">
        <v>0</v>
      </c>
      <c r="W339">
        <v>0</v>
      </c>
      <c r="X339">
        <v>1</v>
      </c>
      <c r="Y339">
        <v>0.16</v>
      </c>
      <c r="Z339">
        <v>23</v>
      </c>
      <c r="AA339">
        <v>0</v>
      </c>
      <c r="AB339">
        <v>0</v>
      </c>
      <c r="AC339">
        <v>0</v>
      </c>
      <c r="AD339">
        <v>1</v>
      </c>
      <c r="AE339">
        <v>0.05</v>
      </c>
      <c r="AF339">
        <v>15</v>
      </c>
      <c r="AG339">
        <v>0</v>
      </c>
      <c r="AH339">
        <v>0</v>
      </c>
      <c r="AI339">
        <v>0</v>
      </c>
      <c r="AJ339">
        <v>1</v>
      </c>
      <c r="AK339">
        <v>0.01</v>
      </c>
      <c r="AL339">
        <v>16</v>
      </c>
      <c r="AM339">
        <v>0</v>
      </c>
      <c r="AN339">
        <v>0</v>
      </c>
      <c r="AO339">
        <v>0</v>
      </c>
      <c r="AP339">
        <v>1</v>
      </c>
      <c r="AQ339">
        <v>5.0000000000000001E-3</v>
      </c>
      <c r="AX339">
        <v>7</v>
      </c>
      <c r="AY339" s="1">
        <v>17</v>
      </c>
      <c r="AZ339">
        <v>0</v>
      </c>
      <c r="BA339">
        <v>0</v>
      </c>
      <c r="BB339">
        <v>1</v>
      </c>
      <c r="BC339" s="7">
        <v>0.32</v>
      </c>
      <c r="BD339">
        <v>30</v>
      </c>
      <c r="BE339">
        <v>0</v>
      </c>
      <c r="BF339">
        <v>0</v>
      </c>
      <c r="BG339">
        <v>0</v>
      </c>
      <c r="BH339">
        <v>5</v>
      </c>
      <c r="BI339">
        <v>2.4</v>
      </c>
      <c r="BJ339">
        <v>31</v>
      </c>
      <c r="BK339">
        <v>0</v>
      </c>
      <c r="BL339">
        <v>0</v>
      </c>
      <c r="BM339">
        <v>0</v>
      </c>
      <c r="BN339">
        <v>5</v>
      </c>
      <c r="BO339">
        <v>2.4</v>
      </c>
      <c r="BP339">
        <v>36</v>
      </c>
      <c r="BQ339">
        <v>0</v>
      </c>
      <c r="BR339">
        <v>0</v>
      </c>
      <c r="BS339">
        <v>0</v>
      </c>
      <c r="BT339">
        <v>5</v>
      </c>
      <c r="BU339">
        <v>2.2999999999999998</v>
      </c>
    </row>
    <row r="340" spans="1:73" x14ac:dyDescent="0.15">
      <c r="A340" s="11">
        <v>10137</v>
      </c>
      <c r="B340">
        <v>7</v>
      </c>
      <c r="C340" s="1">
        <v>42</v>
      </c>
      <c r="D340">
        <v>0</v>
      </c>
      <c r="E340">
        <v>0</v>
      </c>
      <c r="F340">
        <v>1</v>
      </c>
      <c r="G340" s="7">
        <v>0.05</v>
      </c>
      <c r="H340">
        <v>12</v>
      </c>
      <c r="I340">
        <v>0</v>
      </c>
      <c r="J340">
        <v>0</v>
      </c>
      <c r="K340">
        <v>0</v>
      </c>
      <c r="L340">
        <v>1</v>
      </c>
      <c r="M340">
        <v>2</v>
      </c>
      <c r="N340" s="7">
        <v>9</v>
      </c>
      <c r="O340" s="7">
        <v>0</v>
      </c>
      <c r="P340" s="7">
        <v>0</v>
      </c>
      <c r="Q340" s="7">
        <v>0</v>
      </c>
      <c r="R340" s="7">
        <v>1</v>
      </c>
      <c r="S340" s="7">
        <v>4.5</v>
      </c>
      <c r="T340">
        <v>7</v>
      </c>
      <c r="U340" s="1">
        <v>34</v>
      </c>
      <c r="V340">
        <v>0</v>
      </c>
      <c r="W340">
        <v>0</v>
      </c>
      <c r="X340">
        <v>1</v>
      </c>
      <c r="Y340">
        <v>0.16</v>
      </c>
      <c r="Z340">
        <v>23</v>
      </c>
      <c r="AA340">
        <v>0</v>
      </c>
      <c r="AB340">
        <v>0</v>
      </c>
      <c r="AC340">
        <v>0</v>
      </c>
      <c r="AD340">
        <v>1</v>
      </c>
      <c r="AE340">
        <v>0.05</v>
      </c>
      <c r="AF340">
        <v>15</v>
      </c>
      <c r="AG340">
        <v>0</v>
      </c>
      <c r="AH340">
        <v>0</v>
      </c>
      <c r="AI340">
        <v>0</v>
      </c>
      <c r="AJ340">
        <v>1</v>
      </c>
      <c r="AK340">
        <v>0.01</v>
      </c>
      <c r="AL340">
        <v>16</v>
      </c>
      <c r="AM340">
        <v>0</v>
      </c>
      <c r="AN340">
        <v>0</v>
      </c>
      <c r="AO340">
        <v>0</v>
      </c>
      <c r="AP340">
        <v>1</v>
      </c>
      <c r="AQ340">
        <v>5.0000000000000001E-3</v>
      </c>
      <c r="AX340">
        <v>7</v>
      </c>
      <c r="AY340" s="1">
        <v>18</v>
      </c>
      <c r="AZ340">
        <v>0</v>
      </c>
      <c r="BA340">
        <v>0</v>
      </c>
      <c r="BB340">
        <v>1</v>
      </c>
      <c r="BC340" s="7">
        <v>0.32</v>
      </c>
      <c r="BD340">
        <v>30</v>
      </c>
      <c r="BE340">
        <v>0</v>
      </c>
      <c r="BF340">
        <v>0</v>
      </c>
      <c r="BG340">
        <v>0</v>
      </c>
      <c r="BH340">
        <v>5</v>
      </c>
      <c r="BI340">
        <v>2.4</v>
      </c>
      <c r="BJ340">
        <v>31</v>
      </c>
      <c r="BK340">
        <v>0</v>
      </c>
      <c r="BL340">
        <v>0</v>
      </c>
      <c r="BM340">
        <v>0</v>
      </c>
      <c r="BN340">
        <v>5</v>
      </c>
      <c r="BO340">
        <v>2.4</v>
      </c>
      <c r="BP340">
        <v>36</v>
      </c>
      <c r="BQ340">
        <v>0</v>
      </c>
      <c r="BR340">
        <v>0</v>
      </c>
      <c r="BS340">
        <v>0</v>
      </c>
      <c r="BT340">
        <v>5</v>
      </c>
      <c r="BU340">
        <v>2.2999999999999998</v>
      </c>
    </row>
    <row r="341" spans="1:73" x14ac:dyDescent="0.15">
      <c r="A341" s="11">
        <v>10138</v>
      </c>
      <c r="B341">
        <v>7</v>
      </c>
      <c r="C341" s="1">
        <v>43</v>
      </c>
      <c r="D341">
        <v>0</v>
      </c>
      <c r="E341">
        <v>0</v>
      </c>
      <c r="F341">
        <v>1</v>
      </c>
      <c r="G341" s="7">
        <v>0.05</v>
      </c>
      <c r="H341">
        <v>12</v>
      </c>
      <c r="I341">
        <v>0</v>
      </c>
      <c r="J341">
        <v>0</v>
      </c>
      <c r="K341">
        <v>0</v>
      </c>
      <c r="L341">
        <v>1</v>
      </c>
      <c r="M341">
        <v>2</v>
      </c>
      <c r="N341" s="7">
        <v>9</v>
      </c>
      <c r="O341" s="7">
        <v>0</v>
      </c>
      <c r="P341" s="7">
        <v>0</v>
      </c>
      <c r="Q341" s="7">
        <v>0</v>
      </c>
      <c r="R341" s="7">
        <v>1</v>
      </c>
      <c r="S341" s="7">
        <v>4.5</v>
      </c>
      <c r="T341">
        <v>7</v>
      </c>
      <c r="U341" s="1">
        <v>35</v>
      </c>
      <c r="V341">
        <v>0</v>
      </c>
      <c r="W341">
        <v>0</v>
      </c>
      <c r="X341">
        <v>1</v>
      </c>
      <c r="Y341">
        <v>0.16</v>
      </c>
      <c r="Z341">
        <v>23</v>
      </c>
      <c r="AA341">
        <v>0</v>
      </c>
      <c r="AB341">
        <v>0</v>
      </c>
      <c r="AC341">
        <v>0</v>
      </c>
      <c r="AD341">
        <v>1</v>
      </c>
      <c r="AE341">
        <v>0.05</v>
      </c>
      <c r="AF341">
        <v>15</v>
      </c>
      <c r="AG341">
        <v>0</v>
      </c>
      <c r="AH341">
        <v>0</v>
      </c>
      <c r="AI341">
        <v>0</v>
      </c>
      <c r="AJ341">
        <v>1</v>
      </c>
      <c r="AK341">
        <v>0.01</v>
      </c>
      <c r="AL341">
        <v>16</v>
      </c>
      <c r="AM341">
        <v>0</v>
      </c>
      <c r="AN341">
        <v>0</v>
      </c>
      <c r="AO341">
        <v>0</v>
      </c>
      <c r="AP341">
        <v>1</v>
      </c>
      <c r="AQ341">
        <v>5.0000000000000001E-3</v>
      </c>
      <c r="AX341">
        <v>7</v>
      </c>
      <c r="AY341" s="1">
        <v>19</v>
      </c>
      <c r="AZ341">
        <v>0</v>
      </c>
      <c r="BA341">
        <v>0</v>
      </c>
      <c r="BB341">
        <v>1</v>
      </c>
      <c r="BC341" s="7">
        <v>0.32</v>
      </c>
      <c r="BD341">
        <v>30</v>
      </c>
      <c r="BE341">
        <v>0</v>
      </c>
      <c r="BF341">
        <v>0</v>
      </c>
      <c r="BG341">
        <v>0</v>
      </c>
      <c r="BH341">
        <v>5</v>
      </c>
      <c r="BI341">
        <v>2.4</v>
      </c>
      <c r="BJ341">
        <v>31</v>
      </c>
      <c r="BK341">
        <v>0</v>
      </c>
      <c r="BL341">
        <v>0</v>
      </c>
      <c r="BM341">
        <v>0</v>
      </c>
      <c r="BN341">
        <v>5</v>
      </c>
      <c r="BO341">
        <v>2.4</v>
      </c>
      <c r="BP341">
        <v>36</v>
      </c>
      <c r="BQ341">
        <v>0</v>
      </c>
      <c r="BR341">
        <v>0</v>
      </c>
      <c r="BS341">
        <v>0</v>
      </c>
      <c r="BT341">
        <v>5</v>
      </c>
      <c r="BU341">
        <v>2.2999999999999998</v>
      </c>
    </row>
    <row r="342" spans="1:73" x14ac:dyDescent="0.15">
      <c r="A342" s="11">
        <v>10139</v>
      </c>
      <c r="B342">
        <v>7</v>
      </c>
      <c r="C342" s="1">
        <v>44</v>
      </c>
      <c r="D342">
        <v>0</v>
      </c>
      <c r="E342">
        <v>0</v>
      </c>
      <c r="F342">
        <v>1</v>
      </c>
      <c r="G342" s="7">
        <v>0.05</v>
      </c>
      <c r="H342">
        <v>12</v>
      </c>
      <c r="I342">
        <v>0</v>
      </c>
      <c r="J342">
        <v>0</v>
      </c>
      <c r="K342">
        <v>0</v>
      </c>
      <c r="L342">
        <v>1</v>
      </c>
      <c r="M342">
        <v>2</v>
      </c>
      <c r="N342" s="7">
        <v>9</v>
      </c>
      <c r="O342" s="7">
        <v>0</v>
      </c>
      <c r="P342" s="7">
        <v>0</v>
      </c>
      <c r="Q342" s="7">
        <v>0</v>
      </c>
      <c r="R342" s="7">
        <v>1</v>
      </c>
      <c r="S342" s="7">
        <v>4.5</v>
      </c>
      <c r="T342">
        <v>7</v>
      </c>
      <c r="U342" s="1">
        <v>36</v>
      </c>
      <c r="V342">
        <v>0</v>
      </c>
      <c r="W342">
        <v>0</v>
      </c>
      <c r="X342">
        <v>1</v>
      </c>
      <c r="Y342">
        <v>0.16</v>
      </c>
      <c r="Z342">
        <v>23</v>
      </c>
      <c r="AA342">
        <v>0</v>
      </c>
      <c r="AB342">
        <v>0</v>
      </c>
      <c r="AC342">
        <v>0</v>
      </c>
      <c r="AD342">
        <v>1</v>
      </c>
      <c r="AE342">
        <v>0.05</v>
      </c>
      <c r="AF342">
        <v>15</v>
      </c>
      <c r="AG342">
        <v>0</v>
      </c>
      <c r="AH342">
        <v>0</v>
      </c>
      <c r="AI342">
        <v>0</v>
      </c>
      <c r="AJ342">
        <v>1</v>
      </c>
      <c r="AK342">
        <v>0.01</v>
      </c>
      <c r="AL342">
        <v>16</v>
      </c>
      <c r="AM342">
        <v>0</v>
      </c>
      <c r="AN342">
        <v>0</v>
      </c>
      <c r="AO342">
        <v>0</v>
      </c>
      <c r="AP342">
        <v>1</v>
      </c>
      <c r="AQ342">
        <v>5.0000000000000001E-3</v>
      </c>
      <c r="AX342">
        <v>7</v>
      </c>
      <c r="AY342" s="1">
        <v>20</v>
      </c>
      <c r="AZ342">
        <v>0</v>
      </c>
      <c r="BA342">
        <v>0</v>
      </c>
      <c r="BB342">
        <v>1</v>
      </c>
      <c r="BC342" s="7">
        <v>0.32</v>
      </c>
      <c r="BD342">
        <v>30</v>
      </c>
      <c r="BE342">
        <v>0</v>
      </c>
      <c r="BF342">
        <v>0</v>
      </c>
      <c r="BG342">
        <v>0</v>
      </c>
      <c r="BH342">
        <v>5</v>
      </c>
      <c r="BI342">
        <v>2.4</v>
      </c>
      <c r="BJ342">
        <v>31</v>
      </c>
      <c r="BK342">
        <v>0</v>
      </c>
      <c r="BL342">
        <v>0</v>
      </c>
      <c r="BM342">
        <v>0</v>
      </c>
      <c r="BN342">
        <v>5</v>
      </c>
      <c r="BO342">
        <v>2.4</v>
      </c>
      <c r="BP342">
        <v>36</v>
      </c>
      <c r="BQ342">
        <v>0</v>
      </c>
      <c r="BR342">
        <v>0</v>
      </c>
      <c r="BS342">
        <v>0</v>
      </c>
      <c r="BT342">
        <v>5</v>
      </c>
      <c r="BU342">
        <v>2.2999999999999998</v>
      </c>
    </row>
    <row r="343" spans="1:73" x14ac:dyDescent="0.15">
      <c r="A343" s="11">
        <v>10140</v>
      </c>
      <c r="B343">
        <v>7</v>
      </c>
      <c r="C343" s="1">
        <v>0</v>
      </c>
      <c r="D343">
        <v>5</v>
      </c>
      <c r="E343">
        <v>1</v>
      </c>
      <c r="F343">
        <v>1</v>
      </c>
      <c r="G343" s="7">
        <v>0.05</v>
      </c>
      <c r="H343">
        <v>12</v>
      </c>
      <c r="I343">
        <v>0</v>
      </c>
      <c r="J343">
        <v>0</v>
      </c>
      <c r="K343">
        <v>0</v>
      </c>
      <c r="L343">
        <v>1</v>
      </c>
      <c r="M343">
        <v>2</v>
      </c>
      <c r="N343" s="7">
        <v>9</v>
      </c>
      <c r="O343" s="7">
        <v>0</v>
      </c>
      <c r="P343" s="7">
        <v>0</v>
      </c>
      <c r="Q343" s="7">
        <v>0</v>
      </c>
      <c r="R343" s="7">
        <v>1</v>
      </c>
      <c r="S343" s="7">
        <v>4.5</v>
      </c>
      <c r="T343">
        <v>7</v>
      </c>
      <c r="U343" s="1">
        <v>0</v>
      </c>
      <c r="V343">
        <v>4</v>
      </c>
      <c r="W343">
        <v>2</v>
      </c>
      <c r="X343">
        <v>1</v>
      </c>
      <c r="Y343">
        <v>0.16</v>
      </c>
      <c r="Z343">
        <v>23</v>
      </c>
      <c r="AA343">
        <v>0</v>
      </c>
      <c r="AB343">
        <v>0</v>
      </c>
      <c r="AC343">
        <v>0</v>
      </c>
      <c r="AD343">
        <v>1</v>
      </c>
      <c r="AE343">
        <v>0.05</v>
      </c>
      <c r="AF343">
        <v>15</v>
      </c>
      <c r="AG343">
        <v>0</v>
      </c>
      <c r="AH343">
        <v>0</v>
      </c>
      <c r="AI343">
        <v>0</v>
      </c>
      <c r="AJ343">
        <v>1</v>
      </c>
      <c r="AK343">
        <v>0.01</v>
      </c>
      <c r="AL343">
        <v>16</v>
      </c>
      <c r="AM343">
        <v>0</v>
      </c>
      <c r="AN343">
        <v>0</v>
      </c>
      <c r="AO343">
        <v>0</v>
      </c>
      <c r="AP343">
        <v>1</v>
      </c>
      <c r="AQ343">
        <v>5.0000000000000001E-3</v>
      </c>
      <c r="AR343">
        <v>6</v>
      </c>
      <c r="AS343">
        <v>2</v>
      </c>
      <c r="AT343">
        <v>3</v>
      </c>
      <c r="AU343">
        <v>5</v>
      </c>
      <c r="AV343">
        <v>1</v>
      </c>
      <c r="AW343">
        <v>0.05</v>
      </c>
      <c r="AX343">
        <v>7</v>
      </c>
      <c r="AY343" s="1">
        <v>0</v>
      </c>
      <c r="AZ343">
        <v>3</v>
      </c>
      <c r="BA343">
        <v>1</v>
      </c>
      <c r="BB343">
        <v>1</v>
      </c>
      <c r="BC343" s="7">
        <v>0.32</v>
      </c>
      <c r="BD343">
        <v>30</v>
      </c>
      <c r="BE343">
        <v>0</v>
      </c>
      <c r="BF343">
        <v>0</v>
      </c>
      <c r="BG343">
        <v>0</v>
      </c>
      <c r="BH343">
        <v>5</v>
      </c>
      <c r="BI343">
        <v>2.4</v>
      </c>
      <c r="BJ343">
        <v>31</v>
      </c>
      <c r="BK343">
        <v>0</v>
      </c>
      <c r="BL343">
        <v>0</v>
      </c>
      <c r="BM343">
        <v>0</v>
      </c>
      <c r="BN343">
        <v>5</v>
      </c>
      <c r="BO343">
        <v>2.4</v>
      </c>
      <c r="BP343">
        <v>36</v>
      </c>
      <c r="BQ343">
        <v>0</v>
      </c>
      <c r="BR343">
        <v>0</v>
      </c>
      <c r="BS343">
        <v>0</v>
      </c>
      <c r="BT343">
        <v>5</v>
      </c>
      <c r="BU343">
        <v>2.2999999999999998</v>
      </c>
    </row>
    <row r="344" spans="1:73" x14ac:dyDescent="0.15">
      <c r="A344" s="11">
        <v>10141</v>
      </c>
      <c r="B344">
        <v>7</v>
      </c>
      <c r="C344" s="1">
        <v>41</v>
      </c>
      <c r="D344">
        <v>0</v>
      </c>
      <c r="E344">
        <v>0</v>
      </c>
      <c r="F344">
        <v>1</v>
      </c>
      <c r="G344" s="7">
        <v>0.05</v>
      </c>
      <c r="H344">
        <v>12</v>
      </c>
      <c r="I344">
        <v>0</v>
      </c>
      <c r="J344">
        <v>0</v>
      </c>
      <c r="K344">
        <v>0</v>
      </c>
      <c r="L344">
        <v>1</v>
      </c>
      <c r="M344">
        <v>2</v>
      </c>
      <c r="N344" s="7">
        <v>9</v>
      </c>
      <c r="O344" s="7">
        <v>0</v>
      </c>
      <c r="P344" s="7">
        <v>0</v>
      </c>
      <c r="Q344" s="7">
        <v>0</v>
      </c>
      <c r="R344" s="7">
        <v>1</v>
      </c>
      <c r="S344" s="7">
        <v>4.5</v>
      </c>
      <c r="T344">
        <v>7</v>
      </c>
      <c r="U344" s="1">
        <v>33</v>
      </c>
      <c r="V344">
        <v>0</v>
      </c>
      <c r="W344">
        <v>0</v>
      </c>
      <c r="X344">
        <v>1</v>
      </c>
      <c r="Y344">
        <v>0.16</v>
      </c>
      <c r="Z344">
        <v>23</v>
      </c>
      <c r="AA344">
        <v>0</v>
      </c>
      <c r="AB344">
        <v>0</v>
      </c>
      <c r="AC344">
        <v>0</v>
      </c>
      <c r="AD344">
        <v>1</v>
      </c>
      <c r="AE344">
        <v>0.05</v>
      </c>
      <c r="AF344">
        <v>15</v>
      </c>
      <c r="AG344">
        <v>0</v>
      </c>
      <c r="AH344">
        <v>0</v>
      </c>
      <c r="AI344">
        <v>0</v>
      </c>
      <c r="AJ344">
        <v>1</v>
      </c>
      <c r="AK344">
        <v>0.01</v>
      </c>
      <c r="AL344">
        <v>16</v>
      </c>
      <c r="AM344">
        <v>0</v>
      </c>
      <c r="AN344">
        <v>0</v>
      </c>
      <c r="AO344">
        <v>0</v>
      </c>
      <c r="AP344">
        <v>1</v>
      </c>
      <c r="AQ344">
        <v>5.0000000000000001E-3</v>
      </c>
      <c r="AX344">
        <v>7</v>
      </c>
      <c r="AY344" s="1">
        <v>17</v>
      </c>
      <c r="AZ344">
        <v>0</v>
      </c>
      <c r="BA344">
        <v>0</v>
      </c>
      <c r="BB344">
        <v>1</v>
      </c>
      <c r="BC344" s="7">
        <v>0.32</v>
      </c>
      <c r="BD344">
        <v>30</v>
      </c>
      <c r="BE344">
        <v>0</v>
      </c>
      <c r="BF344">
        <v>0</v>
      </c>
      <c r="BG344">
        <v>0</v>
      </c>
      <c r="BH344">
        <v>5</v>
      </c>
      <c r="BI344">
        <v>2.4</v>
      </c>
      <c r="BJ344">
        <v>31</v>
      </c>
      <c r="BK344">
        <v>0</v>
      </c>
      <c r="BL344">
        <v>0</v>
      </c>
      <c r="BM344">
        <v>0</v>
      </c>
      <c r="BN344">
        <v>5</v>
      </c>
      <c r="BO344">
        <v>2.4</v>
      </c>
      <c r="BP344">
        <v>36</v>
      </c>
      <c r="BQ344">
        <v>0</v>
      </c>
      <c r="BR344">
        <v>0</v>
      </c>
      <c r="BS344">
        <v>0</v>
      </c>
      <c r="BT344">
        <v>5</v>
      </c>
      <c r="BU344">
        <v>2.2999999999999998</v>
      </c>
    </row>
    <row r="345" spans="1:73" x14ac:dyDescent="0.15">
      <c r="A345" s="11">
        <v>10142</v>
      </c>
      <c r="B345">
        <v>7</v>
      </c>
      <c r="C345" s="1">
        <v>42</v>
      </c>
      <c r="D345">
        <v>0</v>
      </c>
      <c r="E345">
        <v>0</v>
      </c>
      <c r="F345">
        <v>1</v>
      </c>
      <c r="G345" s="7">
        <v>0.05</v>
      </c>
      <c r="H345">
        <v>12</v>
      </c>
      <c r="I345">
        <v>0</v>
      </c>
      <c r="J345">
        <v>0</v>
      </c>
      <c r="K345">
        <v>0</v>
      </c>
      <c r="L345">
        <v>1</v>
      </c>
      <c r="M345">
        <v>2</v>
      </c>
      <c r="N345" s="7">
        <v>9</v>
      </c>
      <c r="O345" s="7">
        <v>0</v>
      </c>
      <c r="P345" s="7">
        <v>0</v>
      </c>
      <c r="Q345" s="7">
        <v>0</v>
      </c>
      <c r="R345" s="7">
        <v>1</v>
      </c>
      <c r="S345" s="7">
        <v>4.5</v>
      </c>
      <c r="T345">
        <v>7</v>
      </c>
      <c r="U345" s="1">
        <v>34</v>
      </c>
      <c r="V345">
        <v>0</v>
      </c>
      <c r="W345">
        <v>0</v>
      </c>
      <c r="X345">
        <v>1</v>
      </c>
      <c r="Y345">
        <v>0.16</v>
      </c>
      <c r="Z345">
        <v>23</v>
      </c>
      <c r="AA345">
        <v>0</v>
      </c>
      <c r="AB345">
        <v>0</v>
      </c>
      <c r="AC345">
        <v>0</v>
      </c>
      <c r="AD345">
        <v>1</v>
      </c>
      <c r="AE345">
        <v>0.05</v>
      </c>
      <c r="AF345">
        <v>15</v>
      </c>
      <c r="AG345">
        <v>0</v>
      </c>
      <c r="AH345">
        <v>0</v>
      </c>
      <c r="AI345">
        <v>0</v>
      </c>
      <c r="AJ345">
        <v>1</v>
      </c>
      <c r="AK345">
        <v>0.01</v>
      </c>
      <c r="AL345">
        <v>16</v>
      </c>
      <c r="AM345">
        <v>0</v>
      </c>
      <c r="AN345">
        <v>0</v>
      </c>
      <c r="AO345">
        <v>0</v>
      </c>
      <c r="AP345">
        <v>1</v>
      </c>
      <c r="AQ345">
        <v>5.0000000000000001E-3</v>
      </c>
      <c r="AX345">
        <v>7</v>
      </c>
      <c r="AY345" s="1">
        <v>18</v>
      </c>
      <c r="AZ345">
        <v>0</v>
      </c>
      <c r="BA345">
        <v>0</v>
      </c>
      <c r="BB345">
        <v>1</v>
      </c>
      <c r="BC345" s="7">
        <v>0.32</v>
      </c>
      <c r="BD345">
        <v>30</v>
      </c>
      <c r="BE345">
        <v>0</v>
      </c>
      <c r="BF345">
        <v>0</v>
      </c>
      <c r="BG345">
        <v>0</v>
      </c>
      <c r="BH345">
        <v>5</v>
      </c>
      <c r="BI345">
        <v>2.4</v>
      </c>
      <c r="BJ345">
        <v>31</v>
      </c>
      <c r="BK345">
        <v>0</v>
      </c>
      <c r="BL345">
        <v>0</v>
      </c>
      <c r="BM345">
        <v>0</v>
      </c>
      <c r="BN345">
        <v>5</v>
      </c>
      <c r="BO345">
        <v>2.4</v>
      </c>
      <c r="BP345">
        <v>36</v>
      </c>
      <c r="BQ345">
        <v>0</v>
      </c>
      <c r="BR345">
        <v>0</v>
      </c>
      <c r="BS345">
        <v>0</v>
      </c>
      <c r="BT345">
        <v>5</v>
      </c>
      <c r="BU345">
        <v>2.2999999999999998</v>
      </c>
    </row>
    <row r="346" spans="1:73" x14ac:dyDescent="0.15">
      <c r="A346" s="11">
        <v>10143</v>
      </c>
      <c r="B346">
        <v>7</v>
      </c>
      <c r="C346" s="1">
        <v>43</v>
      </c>
      <c r="D346">
        <v>0</v>
      </c>
      <c r="E346">
        <v>0</v>
      </c>
      <c r="F346">
        <v>1</v>
      </c>
      <c r="G346" s="7">
        <v>0.05</v>
      </c>
      <c r="H346">
        <v>12</v>
      </c>
      <c r="I346">
        <v>0</v>
      </c>
      <c r="J346">
        <v>0</v>
      </c>
      <c r="K346">
        <v>0</v>
      </c>
      <c r="L346">
        <v>1</v>
      </c>
      <c r="M346">
        <v>2</v>
      </c>
      <c r="N346" s="7">
        <v>9</v>
      </c>
      <c r="O346" s="7">
        <v>0</v>
      </c>
      <c r="P346" s="7">
        <v>0</v>
      </c>
      <c r="Q346" s="7">
        <v>0</v>
      </c>
      <c r="R346" s="7">
        <v>1</v>
      </c>
      <c r="S346" s="7">
        <v>4.5</v>
      </c>
      <c r="T346">
        <v>7</v>
      </c>
      <c r="U346" s="1">
        <v>35</v>
      </c>
      <c r="V346">
        <v>0</v>
      </c>
      <c r="W346">
        <v>0</v>
      </c>
      <c r="X346">
        <v>1</v>
      </c>
      <c r="Y346">
        <v>0.16</v>
      </c>
      <c r="Z346">
        <v>23</v>
      </c>
      <c r="AA346">
        <v>0</v>
      </c>
      <c r="AB346">
        <v>0</v>
      </c>
      <c r="AC346">
        <v>0</v>
      </c>
      <c r="AD346">
        <v>1</v>
      </c>
      <c r="AE346">
        <v>0.05</v>
      </c>
      <c r="AF346">
        <v>15</v>
      </c>
      <c r="AG346">
        <v>0</v>
      </c>
      <c r="AH346">
        <v>0</v>
      </c>
      <c r="AI346">
        <v>0</v>
      </c>
      <c r="AJ346">
        <v>1</v>
      </c>
      <c r="AK346">
        <v>0.01</v>
      </c>
      <c r="AL346">
        <v>16</v>
      </c>
      <c r="AM346">
        <v>0</v>
      </c>
      <c r="AN346">
        <v>0</v>
      </c>
      <c r="AO346">
        <v>0</v>
      </c>
      <c r="AP346">
        <v>1</v>
      </c>
      <c r="AQ346">
        <v>5.0000000000000001E-3</v>
      </c>
      <c r="AX346">
        <v>7</v>
      </c>
      <c r="AY346" s="1">
        <v>19</v>
      </c>
      <c r="AZ346">
        <v>0</v>
      </c>
      <c r="BA346">
        <v>0</v>
      </c>
      <c r="BB346">
        <v>1</v>
      </c>
      <c r="BC346" s="7">
        <v>0.32</v>
      </c>
      <c r="BD346">
        <v>30</v>
      </c>
      <c r="BE346">
        <v>0</v>
      </c>
      <c r="BF346">
        <v>0</v>
      </c>
      <c r="BG346">
        <v>0</v>
      </c>
      <c r="BH346">
        <v>5</v>
      </c>
      <c r="BI346">
        <v>2.4</v>
      </c>
      <c r="BJ346">
        <v>31</v>
      </c>
      <c r="BK346">
        <v>0</v>
      </c>
      <c r="BL346">
        <v>0</v>
      </c>
      <c r="BM346">
        <v>0</v>
      </c>
      <c r="BN346">
        <v>5</v>
      </c>
      <c r="BO346">
        <v>2.4</v>
      </c>
      <c r="BP346">
        <v>36</v>
      </c>
      <c r="BQ346">
        <v>0</v>
      </c>
      <c r="BR346">
        <v>0</v>
      </c>
      <c r="BS346">
        <v>0</v>
      </c>
      <c r="BT346">
        <v>5</v>
      </c>
      <c r="BU346">
        <v>2.2999999999999998</v>
      </c>
    </row>
    <row r="347" spans="1:73" x14ac:dyDescent="0.15">
      <c r="A347" s="11">
        <v>10144</v>
      </c>
      <c r="B347">
        <v>7</v>
      </c>
      <c r="C347" s="1">
        <v>44</v>
      </c>
      <c r="D347">
        <v>0</v>
      </c>
      <c r="E347">
        <v>0</v>
      </c>
      <c r="F347">
        <v>1</v>
      </c>
      <c r="G347" s="7">
        <v>0.05</v>
      </c>
      <c r="H347">
        <v>12</v>
      </c>
      <c r="I347">
        <v>0</v>
      </c>
      <c r="J347">
        <v>0</v>
      </c>
      <c r="K347">
        <v>0</v>
      </c>
      <c r="L347">
        <v>1</v>
      </c>
      <c r="M347">
        <v>2</v>
      </c>
      <c r="N347" s="7">
        <v>9</v>
      </c>
      <c r="O347" s="7">
        <v>0</v>
      </c>
      <c r="P347" s="7">
        <v>0</v>
      </c>
      <c r="Q347" s="7">
        <v>0</v>
      </c>
      <c r="R347" s="7">
        <v>1</v>
      </c>
      <c r="S347" s="7">
        <v>4.5</v>
      </c>
      <c r="T347">
        <v>7</v>
      </c>
      <c r="U347" s="1">
        <v>36</v>
      </c>
      <c r="V347">
        <v>0</v>
      </c>
      <c r="W347">
        <v>0</v>
      </c>
      <c r="X347">
        <v>1</v>
      </c>
      <c r="Y347">
        <v>0.16</v>
      </c>
      <c r="Z347">
        <v>23</v>
      </c>
      <c r="AA347">
        <v>0</v>
      </c>
      <c r="AB347">
        <v>0</v>
      </c>
      <c r="AC347">
        <v>0</v>
      </c>
      <c r="AD347">
        <v>1</v>
      </c>
      <c r="AE347">
        <v>0.05</v>
      </c>
      <c r="AF347">
        <v>15</v>
      </c>
      <c r="AG347">
        <v>0</v>
      </c>
      <c r="AH347">
        <v>0</v>
      </c>
      <c r="AI347">
        <v>0</v>
      </c>
      <c r="AJ347">
        <v>1</v>
      </c>
      <c r="AK347">
        <v>0.01</v>
      </c>
      <c r="AL347">
        <v>16</v>
      </c>
      <c r="AM347">
        <v>0</v>
      </c>
      <c r="AN347">
        <v>0</v>
      </c>
      <c r="AO347">
        <v>0</v>
      </c>
      <c r="AP347">
        <v>1</v>
      </c>
      <c r="AQ347">
        <v>5.0000000000000001E-3</v>
      </c>
      <c r="AX347">
        <v>7</v>
      </c>
      <c r="AY347" s="1">
        <v>20</v>
      </c>
      <c r="AZ347">
        <v>0</v>
      </c>
      <c r="BA347">
        <v>0</v>
      </c>
      <c r="BB347">
        <v>1</v>
      </c>
      <c r="BC347" s="7">
        <v>0.32</v>
      </c>
      <c r="BD347">
        <v>30</v>
      </c>
      <c r="BE347">
        <v>0</v>
      </c>
      <c r="BF347">
        <v>0</v>
      </c>
      <c r="BG347">
        <v>0</v>
      </c>
      <c r="BH347">
        <v>5</v>
      </c>
      <c r="BI347">
        <v>2.4</v>
      </c>
      <c r="BJ347">
        <v>31</v>
      </c>
      <c r="BK347">
        <v>0</v>
      </c>
      <c r="BL347">
        <v>0</v>
      </c>
      <c r="BM347">
        <v>0</v>
      </c>
      <c r="BN347">
        <v>5</v>
      </c>
      <c r="BO347">
        <v>2.4</v>
      </c>
      <c r="BP347">
        <v>36</v>
      </c>
      <c r="BQ347">
        <v>0</v>
      </c>
      <c r="BR347">
        <v>0</v>
      </c>
      <c r="BS347">
        <v>0</v>
      </c>
      <c r="BT347">
        <v>5</v>
      </c>
      <c r="BU347">
        <v>2.2999999999999998</v>
      </c>
    </row>
    <row r="348" spans="1:73" x14ac:dyDescent="0.15">
      <c r="A348" s="11">
        <v>10145</v>
      </c>
      <c r="B348">
        <v>7</v>
      </c>
      <c r="C348" s="1">
        <v>0</v>
      </c>
      <c r="D348">
        <v>5</v>
      </c>
      <c r="E348">
        <v>1</v>
      </c>
      <c r="F348">
        <v>1</v>
      </c>
      <c r="G348" s="7">
        <v>0.05</v>
      </c>
      <c r="H348">
        <v>12</v>
      </c>
      <c r="I348">
        <v>0</v>
      </c>
      <c r="J348">
        <v>0</v>
      </c>
      <c r="K348">
        <v>0</v>
      </c>
      <c r="L348">
        <v>1</v>
      </c>
      <c r="M348">
        <v>2</v>
      </c>
      <c r="N348" s="7">
        <v>9</v>
      </c>
      <c r="O348" s="7">
        <v>0</v>
      </c>
      <c r="P348" s="7">
        <v>0</v>
      </c>
      <c r="Q348" s="7">
        <v>0</v>
      </c>
      <c r="R348" s="7">
        <v>1</v>
      </c>
      <c r="S348" s="7">
        <v>4.5</v>
      </c>
      <c r="T348">
        <v>7</v>
      </c>
      <c r="U348" s="1">
        <v>0</v>
      </c>
      <c r="V348">
        <v>4</v>
      </c>
      <c r="W348">
        <v>2</v>
      </c>
      <c r="X348">
        <v>1</v>
      </c>
      <c r="Y348">
        <v>0.16</v>
      </c>
      <c r="Z348">
        <v>23</v>
      </c>
      <c r="AA348">
        <v>0</v>
      </c>
      <c r="AB348">
        <v>0</v>
      </c>
      <c r="AC348">
        <v>0</v>
      </c>
      <c r="AD348">
        <v>1</v>
      </c>
      <c r="AE348">
        <v>0.05</v>
      </c>
      <c r="AF348">
        <v>15</v>
      </c>
      <c r="AG348">
        <v>0</v>
      </c>
      <c r="AH348">
        <v>0</v>
      </c>
      <c r="AI348">
        <v>0</v>
      </c>
      <c r="AJ348">
        <v>1</v>
      </c>
      <c r="AK348">
        <v>0.01</v>
      </c>
      <c r="AL348">
        <v>16</v>
      </c>
      <c r="AM348">
        <v>0</v>
      </c>
      <c r="AN348">
        <v>0</v>
      </c>
      <c r="AO348">
        <v>0</v>
      </c>
      <c r="AP348">
        <v>1</v>
      </c>
      <c r="AQ348">
        <v>5.0000000000000001E-3</v>
      </c>
      <c r="AR348">
        <v>6</v>
      </c>
      <c r="AS348">
        <v>2</v>
      </c>
      <c r="AT348">
        <v>4</v>
      </c>
      <c r="AU348">
        <v>5</v>
      </c>
      <c r="AV348">
        <v>1</v>
      </c>
      <c r="AW348">
        <v>0.01</v>
      </c>
      <c r="AX348">
        <v>7</v>
      </c>
      <c r="AY348" s="1">
        <v>0</v>
      </c>
      <c r="AZ348">
        <v>3</v>
      </c>
      <c r="BA348">
        <v>1</v>
      </c>
      <c r="BB348">
        <v>1</v>
      </c>
      <c r="BC348" s="7">
        <v>0.32</v>
      </c>
      <c r="BD348">
        <v>30</v>
      </c>
      <c r="BE348">
        <v>0</v>
      </c>
      <c r="BF348">
        <v>0</v>
      </c>
      <c r="BG348">
        <v>0</v>
      </c>
      <c r="BH348">
        <v>5</v>
      </c>
      <c r="BI348">
        <v>2.4</v>
      </c>
      <c r="BJ348">
        <v>31</v>
      </c>
      <c r="BK348">
        <v>0</v>
      </c>
      <c r="BL348">
        <v>0</v>
      </c>
      <c r="BM348">
        <v>0</v>
      </c>
      <c r="BN348">
        <v>5</v>
      </c>
      <c r="BO348">
        <v>2.4</v>
      </c>
      <c r="BP348">
        <v>36</v>
      </c>
      <c r="BQ348">
        <v>0</v>
      </c>
      <c r="BR348">
        <v>0</v>
      </c>
      <c r="BS348">
        <v>0</v>
      </c>
      <c r="BT348">
        <v>5</v>
      </c>
      <c r="BU348">
        <v>2.2999999999999998</v>
      </c>
    </row>
    <row r="349" spans="1:73" x14ac:dyDescent="0.15">
      <c r="A349" s="11">
        <v>10146</v>
      </c>
      <c r="B349">
        <v>7</v>
      </c>
      <c r="C349" s="1">
        <v>45</v>
      </c>
      <c r="D349">
        <v>0</v>
      </c>
      <c r="E349">
        <v>0</v>
      </c>
      <c r="F349">
        <v>1</v>
      </c>
      <c r="G349" s="7">
        <v>0.05</v>
      </c>
      <c r="H349">
        <v>12</v>
      </c>
      <c r="I349">
        <v>0</v>
      </c>
      <c r="J349">
        <v>0</v>
      </c>
      <c r="K349">
        <v>0</v>
      </c>
      <c r="L349">
        <v>1</v>
      </c>
      <c r="M349">
        <v>2</v>
      </c>
      <c r="N349" s="7">
        <v>9</v>
      </c>
      <c r="O349" s="7">
        <v>0</v>
      </c>
      <c r="P349" s="7">
        <v>0</v>
      </c>
      <c r="Q349" s="7">
        <v>0</v>
      </c>
      <c r="R349" s="7">
        <v>1</v>
      </c>
      <c r="S349" s="7">
        <v>4.5</v>
      </c>
      <c r="T349">
        <v>7</v>
      </c>
      <c r="U349" s="1">
        <v>33</v>
      </c>
      <c r="V349">
        <v>0</v>
      </c>
      <c r="W349">
        <v>0</v>
      </c>
      <c r="X349">
        <v>1</v>
      </c>
      <c r="Y349">
        <v>0.16</v>
      </c>
      <c r="Z349">
        <v>23</v>
      </c>
      <c r="AA349">
        <v>0</v>
      </c>
      <c r="AB349">
        <v>0</v>
      </c>
      <c r="AC349">
        <v>0</v>
      </c>
      <c r="AD349">
        <v>1</v>
      </c>
      <c r="AE349">
        <v>0.05</v>
      </c>
      <c r="AF349">
        <v>15</v>
      </c>
      <c r="AG349">
        <v>0</v>
      </c>
      <c r="AH349">
        <v>0</v>
      </c>
      <c r="AI349">
        <v>0</v>
      </c>
      <c r="AJ349">
        <v>1</v>
      </c>
      <c r="AK349">
        <v>0.01</v>
      </c>
      <c r="AL349">
        <v>16</v>
      </c>
      <c r="AM349">
        <v>0</v>
      </c>
      <c r="AN349">
        <v>0</v>
      </c>
      <c r="AO349">
        <v>0</v>
      </c>
      <c r="AP349">
        <v>1</v>
      </c>
      <c r="AQ349">
        <v>5.0000000000000001E-3</v>
      </c>
      <c r="AX349">
        <v>7</v>
      </c>
      <c r="AY349" s="1">
        <v>17</v>
      </c>
      <c r="AZ349">
        <v>0</v>
      </c>
      <c r="BA349">
        <v>0</v>
      </c>
      <c r="BB349">
        <v>1</v>
      </c>
      <c r="BC349" s="7">
        <v>0.32</v>
      </c>
      <c r="BD349">
        <v>30</v>
      </c>
      <c r="BE349">
        <v>0</v>
      </c>
      <c r="BF349">
        <v>0</v>
      </c>
      <c r="BG349">
        <v>0</v>
      </c>
      <c r="BH349">
        <v>5</v>
      </c>
      <c r="BI349">
        <v>2.4</v>
      </c>
      <c r="BJ349">
        <v>31</v>
      </c>
      <c r="BK349">
        <v>0</v>
      </c>
      <c r="BL349">
        <v>0</v>
      </c>
      <c r="BM349">
        <v>0</v>
      </c>
      <c r="BN349">
        <v>5</v>
      </c>
      <c r="BO349">
        <v>2.4</v>
      </c>
      <c r="BP349">
        <v>36</v>
      </c>
      <c r="BQ349">
        <v>0</v>
      </c>
      <c r="BR349">
        <v>0</v>
      </c>
      <c r="BS349">
        <v>0</v>
      </c>
      <c r="BT349">
        <v>5</v>
      </c>
      <c r="BU349">
        <v>2.2999999999999998</v>
      </c>
    </row>
    <row r="350" spans="1:73" x14ac:dyDescent="0.15">
      <c r="A350" s="11">
        <v>10147</v>
      </c>
      <c r="B350">
        <v>7</v>
      </c>
      <c r="C350" s="1">
        <v>46</v>
      </c>
      <c r="D350">
        <v>0</v>
      </c>
      <c r="E350">
        <v>0</v>
      </c>
      <c r="F350">
        <v>1</v>
      </c>
      <c r="G350" s="7">
        <v>0.05</v>
      </c>
      <c r="H350">
        <v>12</v>
      </c>
      <c r="I350">
        <v>0</v>
      </c>
      <c r="J350">
        <v>0</v>
      </c>
      <c r="K350">
        <v>0</v>
      </c>
      <c r="L350">
        <v>1</v>
      </c>
      <c r="M350">
        <v>2</v>
      </c>
      <c r="N350" s="7">
        <v>9</v>
      </c>
      <c r="O350" s="7">
        <v>0</v>
      </c>
      <c r="P350" s="7">
        <v>0</v>
      </c>
      <c r="Q350" s="7">
        <v>0</v>
      </c>
      <c r="R350" s="7">
        <v>1</v>
      </c>
      <c r="S350" s="7">
        <v>4.5</v>
      </c>
      <c r="T350">
        <v>7</v>
      </c>
      <c r="U350" s="1">
        <v>34</v>
      </c>
      <c r="V350">
        <v>0</v>
      </c>
      <c r="W350">
        <v>0</v>
      </c>
      <c r="X350">
        <v>1</v>
      </c>
      <c r="Y350">
        <v>0.16</v>
      </c>
      <c r="Z350">
        <v>23</v>
      </c>
      <c r="AA350">
        <v>0</v>
      </c>
      <c r="AB350">
        <v>0</v>
      </c>
      <c r="AC350">
        <v>0</v>
      </c>
      <c r="AD350">
        <v>1</v>
      </c>
      <c r="AE350">
        <v>0.05</v>
      </c>
      <c r="AF350">
        <v>15</v>
      </c>
      <c r="AG350">
        <v>0</v>
      </c>
      <c r="AH350">
        <v>0</v>
      </c>
      <c r="AI350">
        <v>0</v>
      </c>
      <c r="AJ350">
        <v>1</v>
      </c>
      <c r="AK350">
        <v>0.01</v>
      </c>
      <c r="AL350">
        <v>16</v>
      </c>
      <c r="AM350">
        <v>0</v>
      </c>
      <c r="AN350">
        <v>0</v>
      </c>
      <c r="AO350">
        <v>0</v>
      </c>
      <c r="AP350">
        <v>1</v>
      </c>
      <c r="AQ350">
        <v>5.0000000000000001E-3</v>
      </c>
      <c r="AX350">
        <v>7</v>
      </c>
      <c r="AY350" s="1">
        <v>18</v>
      </c>
      <c r="AZ350">
        <v>0</v>
      </c>
      <c r="BA350">
        <v>0</v>
      </c>
      <c r="BB350">
        <v>1</v>
      </c>
      <c r="BC350" s="7">
        <v>0.32</v>
      </c>
      <c r="BD350">
        <v>30</v>
      </c>
      <c r="BE350">
        <v>0</v>
      </c>
      <c r="BF350">
        <v>0</v>
      </c>
      <c r="BG350">
        <v>0</v>
      </c>
      <c r="BH350">
        <v>5</v>
      </c>
      <c r="BI350">
        <v>2.4</v>
      </c>
      <c r="BJ350">
        <v>31</v>
      </c>
      <c r="BK350">
        <v>0</v>
      </c>
      <c r="BL350">
        <v>0</v>
      </c>
      <c r="BM350">
        <v>0</v>
      </c>
      <c r="BN350">
        <v>5</v>
      </c>
      <c r="BO350">
        <v>2.4</v>
      </c>
      <c r="BP350">
        <v>36</v>
      </c>
      <c r="BQ350">
        <v>0</v>
      </c>
      <c r="BR350">
        <v>0</v>
      </c>
      <c r="BS350">
        <v>0</v>
      </c>
      <c r="BT350">
        <v>5</v>
      </c>
      <c r="BU350">
        <v>2.2999999999999998</v>
      </c>
    </row>
    <row r="351" spans="1:73" x14ac:dyDescent="0.15">
      <c r="A351" s="11">
        <v>10148</v>
      </c>
      <c r="B351">
        <v>7</v>
      </c>
      <c r="C351" s="1">
        <v>47</v>
      </c>
      <c r="D351">
        <v>0</v>
      </c>
      <c r="E351">
        <v>0</v>
      </c>
      <c r="F351">
        <v>1</v>
      </c>
      <c r="G351" s="7">
        <v>0.05</v>
      </c>
      <c r="H351">
        <v>12</v>
      </c>
      <c r="I351">
        <v>0</v>
      </c>
      <c r="J351">
        <v>0</v>
      </c>
      <c r="K351">
        <v>0</v>
      </c>
      <c r="L351">
        <v>1</v>
      </c>
      <c r="M351">
        <v>2</v>
      </c>
      <c r="N351" s="7">
        <v>9</v>
      </c>
      <c r="O351" s="7">
        <v>0</v>
      </c>
      <c r="P351" s="7">
        <v>0</v>
      </c>
      <c r="Q351" s="7">
        <v>0</v>
      </c>
      <c r="R351" s="7">
        <v>1</v>
      </c>
      <c r="S351" s="7">
        <v>4.5</v>
      </c>
      <c r="T351">
        <v>7</v>
      </c>
      <c r="U351" s="1">
        <v>35</v>
      </c>
      <c r="V351">
        <v>0</v>
      </c>
      <c r="W351">
        <v>0</v>
      </c>
      <c r="X351">
        <v>1</v>
      </c>
      <c r="Y351">
        <v>0.16</v>
      </c>
      <c r="Z351">
        <v>23</v>
      </c>
      <c r="AA351">
        <v>0</v>
      </c>
      <c r="AB351">
        <v>0</v>
      </c>
      <c r="AC351">
        <v>0</v>
      </c>
      <c r="AD351">
        <v>1</v>
      </c>
      <c r="AE351">
        <v>0.05</v>
      </c>
      <c r="AF351">
        <v>15</v>
      </c>
      <c r="AG351">
        <v>0</v>
      </c>
      <c r="AH351">
        <v>0</v>
      </c>
      <c r="AI351">
        <v>0</v>
      </c>
      <c r="AJ351">
        <v>1</v>
      </c>
      <c r="AK351">
        <v>0.01</v>
      </c>
      <c r="AL351">
        <v>16</v>
      </c>
      <c r="AM351">
        <v>0</v>
      </c>
      <c r="AN351">
        <v>0</v>
      </c>
      <c r="AO351">
        <v>0</v>
      </c>
      <c r="AP351">
        <v>1</v>
      </c>
      <c r="AQ351">
        <v>5.0000000000000001E-3</v>
      </c>
      <c r="AX351">
        <v>7</v>
      </c>
      <c r="AY351" s="1">
        <v>19</v>
      </c>
      <c r="AZ351">
        <v>0</v>
      </c>
      <c r="BA351">
        <v>0</v>
      </c>
      <c r="BB351">
        <v>1</v>
      </c>
      <c r="BC351" s="7">
        <v>0.32</v>
      </c>
      <c r="BD351">
        <v>30</v>
      </c>
      <c r="BE351">
        <v>0</v>
      </c>
      <c r="BF351">
        <v>0</v>
      </c>
      <c r="BG351">
        <v>0</v>
      </c>
      <c r="BH351">
        <v>5</v>
      </c>
      <c r="BI351">
        <v>2.4</v>
      </c>
      <c r="BJ351">
        <v>31</v>
      </c>
      <c r="BK351">
        <v>0</v>
      </c>
      <c r="BL351">
        <v>0</v>
      </c>
      <c r="BM351">
        <v>0</v>
      </c>
      <c r="BN351">
        <v>5</v>
      </c>
      <c r="BO351">
        <v>2.4</v>
      </c>
      <c r="BP351">
        <v>36</v>
      </c>
      <c r="BQ351">
        <v>0</v>
      </c>
      <c r="BR351">
        <v>0</v>
      </c>
      <c r="BS351">
        <v>0</v>
      </c>
      <c r="BT351">
        <v>5</v>
      </c>
      <c r="BU351">
        <v>2.2999999999999998</v>
      </c>
    </row>
    <row r="352" spans="1:73" x14ac:dyDescent="0.15">
      <c r="A352" s="11">
        <v>10149</v>
      </c>
      <c r="B352">
        <v>7</v>
      </c>
      <c r="C352" s="1">
        <v>48</v>
      </c>
      <c r="D352">
        <v>0</v>
      </c>
      <c r="E352">
        <v>0</v>
      </c>
      <c r="F352">
        <v>1</v>
      </c>
      <c r="G352" s="7">
        <v>0.05</v>
      </c>
      <c r="H352">
        <v>12</v>
      </c>
      <c r="I352">
        <v>0</v>
      </c>
      <c r="J352">
        <v>0</v>
      </c>
      <c r="K352">
        <v>0</v>
      </c>
      <c r="L352">
        <v>1</v>
      </c>
      <c r="M352">
        <v>2</v>
      </c>
      <c r="N352" s="7">
        <v>9</v>
      </c>
      <c r="O352" s="7">
        <v>0</v>
      </c>
      <c r="P352" s="7">
        <v>0</v>
      </c>
      <c r="Q352" s="7">
        <v>0</v>
      </c>
      <c r="R352" s="7">
        <v>1</v>
      </c>
      <c r="S352" s="7">
        <v>4.5</v>
      </c>
      <c r="T352">
        <v>7</v>
      </c>
      <c r="U352" s="1">
        <v>36</v>
      </c>
      <c r="V352">
        <v>0</v>
      </c>
      <c r="W352">
        <v>0</v>
      </c>
      <c r="X352">
        <v>1</v>
      </c>
      <c r="Y352">
        <v>0.16</v>
      </c>
      <c r="Z352">
        <v>23</v>
      </c>
      <c r="AA352">
        <v>0</v>
      </c>
      <c r="AB352">
        <v>0</v>
      </c>
      <c r="AC352">
        <v>0</v>
      </c>
      <c r="AD352">
        <v>1</v>
      </c>
      <c r="AE352">
        <v>0.05</v>
      </c>
      <c r="AF352">
        <v>15</v>
      </c>
      <c r="AG352">
        <v>0</v>
      </c>
      <c r="AH352">
        <v>0</v>
      </c>
      <c r="AI352">
        <v>0</v>
      </c>
      <c r="AJ352">
        <v>1</v>
      </c>
      <c r="AK352">
        <v>0.01</v>
      </c>
      <c r="AL352">
        <v>16</v>
      </c>
      <c r="AM352">
        <v>0</v>
      </c>
      <c r="AN352">
        <v>0</v>
      </c>
      <c r="AO352">
        <v>0</v>
      </c>
      <c r="AP352">
        <v>1</v>
      </c>
      <c r="AQ352">
        <v>5.0000000000000001E-3</v>
      </c>
      <c r="AX352">
        <v>7</v>
      </c>
      <c r="AY352" s="1">
        <v>20</v>
      </c>
      <c r="AZ352">
        <v>0</v>
      </c>
      <c r="BA352">
        <v>0</v>
      </c>
      <c r="BB352">
        <v>1</v>
      </c>
      <c r="BC352" s="7">
        <v>0.32</v>
      </c>
      <c r="BD352">
        <v>30</v>
      </c>
      <c r="BE352">
        <v>0</v>
      </c>
      <c r="BF352">
        <v>0</v>
      </c>
      <c r="BG352">
        <v>0</v>
      </c>
      <c r="BH352">
        <v>5</v>
      </c>
      <c r="BI352">
        <v>2.4</v>
      </c>
      <c r="BJ352">
        <v>31</v>
      </c>
      <c r="BK352">
        <v>0</v>
      </c>
      <c r="BL352">
        <v>0</v>
      </c>
      <c r="BM352">
        <v>0</v>
      </c>
      <c r="BN352">
        <v>5</v>
      </c>
      <c r="BO352">
        <v>2.4</v>
      </c>
      <c r="BP352">
        <v>36</v>
      </c>
      <c r="BQ352">
        <v>0</v>
      </c>
      <c r="BR352">
        <v>0</v>
      </c>
      <c r="BS352">
        <v>0</v>
      </c>
      <c r="BT352">
        <v>5</v>
      </c>
      <c r="BU352">
        <v>2.2999999999999998</v>
      </c>
    </row>
    <row r="353" spans="1:73" x14ac:dyDescent="0.15">
      <c r="A353" s="11">
        <v>10150</v>
      </c>
      <c r="B353">
        <v>7</v>
      </c>
      <c r="C353" s="1">
        <v>0</v>
      </c>
      <c r="D353">
        <v>5</v>
      </c>
      <c r="E353">
        <v>1</v>
      </c>
      <c r="F353">
        <v>1</v>
      </c>
      <c r="G353" s="7">
        <v>0.05</v>
      </c>
      <c r="H353">
        <v>12</v>
      </c>
      <c r="I353">
        <v>0</v>
      </c>
      <c r="J353">
        <v>0</v>
      </c>
      <c r="K353">
        <v>0</v>
      </c>
      <c r="L353">
        <v>1</v>
      </c>
      <c r="M353">
        <v>2</v>
      </c>
      <c r="N353" s="7">
        <v>9</v>
      </c>
      <c r="O353" s="7">
        <v>0</v>
      </c>
      <c r="P353" s="7">
        <v>0</v>
      </c>
      <c r="Q353" s="7">
        <v>0</v>
      </c>
      <c r="R353" s="7">
        <v>1</v>
      </c>
      <c r="S353" s="7">
        <v>4.5</v>
      </c>
      <c r="T353">
        <v>7</v>
      </c>
      <c r="U353" s="1">
        <v>0</v>
      </c>
      <c r="V353">
        <v>4</v>
      </c>
      <c r="W353">
        <v>2</v>
      </c>
      <c r="X353">
        <v>1</v>
      </c>
      <c r="Y353">
        <v>0.16</v>
      </c>
      <c r="Z353">
        <v>23</v>
      </c>
      <c r="AA353">
        <v>0</v>
      </c>
      <c r="AB353">
        <v>0</v>
      </c>
      <c r="AC353">
        <v>0</v>
      </c>
      <c r="AD353">
        <v>1</v>
      </c>
      <c r="AE353">
        <v>0.05</v>
      </c>
      <c r="AF353">
        <v>15</v>
      </c>
      <c r="AG353">
        <v>0</v>
      </c>
      <c r="AH353">
        <v>0</v>
      </c>
      <c r="AI353">
        <v>0</v>
      </c>
      <c r="AJ353">
        <v>1</v>
      </c>
      <c r="AK353">
        <v>0.01</v>
      </c>
      <c r="AL353">
        <v>16</v>
      </c>
      <c r="AM353">
        <v>0</v>
      </c>
      <c r="AN353">
        <v>0</v>
      </c>
      <c r="AO353">
        <v>0</v>
      </c>
      <c r="AP353">
        <v>1</v>
      </c>
      <c r="AQ353">
        <v>5.0000000000000001E-3</v>
      </c>
      <c r="AR353">
        <v>6</v>
      </c>
      <c r="AS353">
        <v>2</v>
      </c>
      <c r="AT353">
        <v>5</v>
      </c>
      <c r="AU353">
        <v>5</v>
      </c>
      <c r="AV353">
        <v>1</v>
      </c>
      <c r="AW353">
        <v>0.01</v>
      </c>
      <c r="AX353">
        <v>7</v>
      </c>
      <c r="AY353" s="1">
        <v>0</v>
      </c>
      <c r="AZ353">
        <v>3</v>
      </c>
      <c r="BA353">
        <v>1</v>
      </c>
      <c r="BB353">
        <v>1</v>
      </c>
      <c r="BC353" s="7">
        <v>0.32</v>
      </c>
      <c r="BD353">
        <v>30</v>
      </c>
      <c r="BE353">
        <v>0</v>
      </c>
      <c r="BF353">
        <v>0</v>
      </c>
      <c r="BG353">
        <v>0</v>
      </c>
      <c r="BH353">
        <v>5</v>
      </c>
      <c r="BI353">
        <v>2.4</v>
      </c>
      <c r="BJ353">
        <v>31</v>
      </c>
      <c r="BK353">
        <v>0</v>
      </c>
      <c r="BL353">
        <v>0</v>
      </c>
      <c r="BM353">
        <v>0</v>
      </c>
      <c r="BN353">
        <v>5</v>
      </c>
      <c r="BO353">
        <v>2.4</v>
      </c>
      <c r="BP353">
        <v>36</v>
      </c>
      <c r="BQ353">
        <v>0</v>
      </c>
      <c r="BR353">
        <v>0</v>
      </c>
      <c r="BS353">
        <v>0</v>
      </c>
      <c r="BT353">
        <v>5</v>
      </c>
      <c r="BU353">
        <v>2.2999999999999998</v>
      </c>
    </row>
    <row r="354" spans="1:73" x14ac:dyDescent="0.15">
      <c r="A354" s="11">
        <v>10201</v>
      </c>
      <c r="B354">
        <v>7</v>
      </c>
      <c r="C354" s="1">
        <v>45</v>
      </c>
      <c r="D354">
        <v>0</v>
      </c>
      <c r="E354">
        <v>0</v>
      </c>
      <c r="F354">
        <v>1</v>
      </c>
      <c r="G354" s="7">
        <v>0.05</v>
      </c>
      <c r="H354">
        <v>12</v>
      </c>
      <c r="I354">
        <v>0</v>
      </c>
      <c r="J354">
        <v>0</v>
      </c>
      <c r="K354">
        <v>0</v>
      </c>
      <c r="L354">
        <v>1</v>
      </c>
      <c r="M354">
        <v>2</v>
      </c>
      <c r="N354" s="7">
        <v>9</v>
      </c>
      <c r="O354" s="7">
        <v>0</v>
      </c>
      <c r="P354" s="7">
        <v>0</v>
      </c>
      <c r="Q354" s="7">
        <v>0</v>
      </c>
      <c r="R354" s="7">
        <v>1</v>
      </c>
      <c r="S354" s="7">
        <v>4.5</v>
      </c>
      <c r="T354">
        <v>7</v>
      </c>
      <c r="U354" s="1">
        <v>33</v>
      </c>
      <c r="V354">
        <v>0</v>
      </c>
      <c r="W354">
        <v>0</v>
      </c>
      <c r="X354">
        <v>1</v>
      </c>
      <c r="Y354">
        <v>0.16</v>
      </c>
      <c r="Z354">
        <v>23</v>
      </c>
      <c r="AA354">
        <v>0</v>
      </c>
      <c r="AB354">
        <v>0</v>
      </c>
      <c r="AC354">
        <v>0</v>
      </c>
      <c r="AD354">
        <v>1</v>
      </c>
      <c r="AE354">
        <v>0.05</v>
      </c>
      <c r="AF354">
        <v>15</v>
      </c>
      <c r="AG354">
        <v>0</v>
      </c>
      <c r="AH354">
        <v>0</v>
      </c>
      <c r="AI354">
        <v>0</v>
      </c>
      <c r="AJ354">
        <v>1</v>
      </c>
      <c r="AK354">
        <v>0.01</v>
      </c>
      <c r="AL354">
        <v>16</v>
      </c>
      <c r="AM354">
        <v>0</v>
      </c>
      <c r="AN354">
        <v>0</v>
      </c>
      <c r="AO354">
        <v>0</v>
      </c>
      <c r="AP354">
        <v>1</v>
      </c>
      <c r="AQ354">
        <v>5.0000000000000001E-3</v>
      </c>
      <c r="AX354">
        <v>7</v>
      </c>
      <c r="AY354" s="1">
        <v>17</v>
      </c>
      <c r="AZ354">
        <v>0</v>
      </c>
      <c r="BA354">
        <v>0</v>
      </c>
      <c r="BB354">
        <v>1</v>
      </c>
      <c r="BC354" s="7">
        <v>0.32</v>
      </c>
      <c r="BD354">
        <v>30</v>
      </c>
      <c r="BE354">
        <v>0</v>
      </c>
      <c r="BF354">
        <v>0</v>
      </c>
      <c r="BG354">
        <v>0</v>
      </c>
      <c r="BH354">
        <v>5</v>
      </c>
      <c r="BI354">
        <v>2.4</v>
      </c>
      <c r="BJ354">
        <v>31</v>
      </c>
      <c r="BK354">
        <v>0</v>
      </c>
      <c r="BL354">
        <v>0</v>
      </c>
      <c r="BM354">
        <v>0</v>
      </c>
      <c r="BN354">
        <v>5</v>
      </c>
      <c r="BO354">
        <v>2.4</v>
      </c>
      <c r="BP354">
        <v>36</v>
      </c>
      <c r="BQ354">
        <v>0</v>
      </c>
      <c r="BR354">
        <v>0</v>
      </c>
      <c r="BS354">
        <v>0</v>
      </c>
      <c r="BT354">
        <v>5</v>
      </c>
      <c r="BU354">
        <v>2.2999999999999998</v>
      </c>
    </row>
    <row r="355" spans="1:73" x14ac:dyDescent="0.15">
      <c r="A355" s="11">
        <v>10202</v>
      </c>
      <c r="B355">
        <v>7</v>
      </c>
      <c r="C355" s="1">
        <v>46</v>
      </c>
      <c r="D355">
        <v>0</v>
      </c>
      <c r="E355">
        <v>0</v>
      </c>
      <c r="F355">
        <v>1</v>
      </c>
      <c r="G355" s="7">
        <v>0.05</v>
      </c>
      <c r="H355">
        <v>12</v>
      </c>
      <c r="I355">
        <v>0</v>
      </c>
      <c r="J355">
        <v>0</v>
      </c>
      <c r="K355">
        <v>0</v>
      </c>
      <c r="L355">
        <v>1</v>
      </c>
      <c r="M355">
        <v>2</v>
      </c>
      <c r="N355" s="7">
        <v>9</v>
      </c>
      <c r="O355" s="7">
        <v>0</v>
      </c>
      <c r="P355" s="7">
        <v>0</v>
      </c>
      <c r="Q355" s="7">
        <v>0</v>
      </c>
      <c r="R355" s="7">
        <v>1</v>
      </c>
      <c r="S355" s="7">
        <v>4.5</v>
      </c>
      <c r="T355">
        <v>7</v>
      </c>
      <c r="U355" s="1">
        <v>34</v>
      </c>
      <c r="V355">
        <v>0</v>
      </c>
      <c r="W355">
        <v>0</v>
      </c>
      <c r="X355">
        <v>1</v>
      </c>
      <c r="Y355">
        <v>0.16</v>
      </c>
      <c r="Z355">
        <v>23</v>
      </c>
      <c r="AA355">
        <v>0</v>
      </c>
      <c r="AB355">
        <v>0</v>
      </c>
      <c r="AC355">
        <v>0</v>
      </c>
      <c r="AD355">
        <v>1</v>
      </c>
      <c r="AE355">
        <v>0.05</v>
      </c>
      <c r="AF355">
        <v>15</v>
      </c>
      <c r="AG355">
        <v>0</v>
      </c>
      <c r="AH355">
        <v>0</v>
      </c>
      <c r="AI355">
        <v>0</v>
      </c>
      <c r="AJ355">
        <v>1</v>
      </c>
      <c r="AK355">
        <v>0.01</v>
      </c>
      <c r="AL355">
        <v>16</v>
      </c>
      <c r="AM355">
        <v>0</v>
      </c>
      <c r="AN355">
        <v>0</v>
      </c>
      <c r="AO355">
        <v>0</v>
      </c>
      <c r="AP355">
        <v>1</v>
      </c>
      <c r="AQ355">
        <v>5.0000000000000001E-3</v>
      </c>
      <c r="AX355">
        <v>7</v>
      </c>
      <c r="AY355" s="1">
        <v>18</v>
      </c>
      <c r="AZ355">
        <v>0</v>
      </c>
      <c r="BA355">
        <v>0</v>
      </c>
      <c r="BB355">
        <v>1</v>
      </c>
      <c r="BC355" s="7">
        <v>0.32</v>
      </c>
      <c r="BD355">
        <v>30</v>
      </c>
      <c r="BE355">
        <v>0</v>
      </c>
      <c r="BF355">
        <v>0</v>
      </c>
      <c r="BG355">
        <v>0</v>
      </c>
      <c r="BH355">
        <v>5</v>
      </c>
      <c r="BI355">
        <v>2.4</v>
      </c>
      <c r="BJ355">
        <v>31</v>
      </c>
      <c r="BK355">
        <v>0</v>
      </c>
      <c r="BL355">
        <v>0</v>
      </c>
      <c r="BM355">
        <v>0</v>
      </c>
      <c r="BN355">
        <v>5</v>
      </c>
      <c r="BO355">
        <v>2.4</v>
      </c>
      <c r="BP355">
        <v>36</v>
      </c>
      <c r="BQ355">
        <v>0</v>
      </c>
      <c r="BR355">
        <v>0</v>
      </c>
      <c r="BS355">
        <v>0</v>
      </c>
      <c r="BT355">
        <v>5</v>
      </c>
      <c r="BU355">
        <v>2.2999999999999998</v>
      </c>
    </row>
    <row r="356" spans="1:73" x14ac:dyDescent="0.15">
      <c r="A356" s="11">
        <v>10203</v>
      </c>
      <c r="B356">
        <v>7</v>
      </c>
      <c r="C356" s="1">
        <v>47</v>
      </c>
      <c r="D356">
        <v>0</v>
      </c>
      <c r="E356">
        <v>0</v>
      </c>
      <c r="F356">
        <v>1</v>
      </c>
      <c r="G356" s="7">
        <v>0.05</v>
      </c>
      <c r="H356">
        <v>12</v>
      </c>
      <c r="I356">
        <v>0</v>
      </c>
      <c r="J356">
        <v>0</v>
      </c>
      <c r="K356">
        <v>0</v>
      </c>
      <c r="L356">
        <v>1</v>
      </c>
      <c r="M356">
        <v>2</v>
      </c>
      <c r="N356" s="7">
        <v>9</v>
      </c>
      <c r="O356" s="7">
        <v>0</v>
      </c>
      <c r="P356" s="7">
        <v>0</v>
      </c>
      <c r="Q356" s="7">
        <v>0</v>
      </c>
      <c r="R356" s="7">
        <v>1</v>
      </c>
      <c r="S356" s="7">
        <v>4.5</v>
      </c>
      <c r="T356">
        <v>7</v>
      </c>
      <c r="U356" s="1">
        <v>35</v>
      </c>
      <c r="V356">
        <v>0</v>
      </c>
      <c r="W356">
        <v>0</v>
      </c>
      <c r="X356">
        <v>1</v>
      </c>
      <c r="Y356">
        <v>0.16</v>
      </c>
      <c r="Z356">
        <v>23</v>
      </c>
      <c r="AA356">
        <v>0</v>
      </c>
      <c r="AB356">
        <v>0</v>
      </c>
      <c r="AC356">
        <v>0</v>
      </c>
      <c r="AD356">
        <v>1</v>
      </c>
      <c r="AE356">
        <v>0.05</v>
      </c>
      <c r="AF356">
        <v>15</v>
      </c>
      <c r="AG356">
        <v>0</v>
      </c>
      <c r="AH356">
        <v>0</v>
      </c>
      <c r="AI356">
        <v>0</v>
      </c>
      <c r="AJ356">
        <v>1</v>
      </c>
      <c r="AK356">
        <v>0.01</v>
      </c>
      <c r="AL356">
        <v>16</v>
      </c>
      <c r="AM356">
        <v>0</v>
      </c>
      <c r="AN356">
        <v>0</v>
      </c>
      <c r="AO356">
        <v>0</v>
      </c>
      <c r="AP356">
        <v>1</v>
      </c>
      <c r="AQ356">
        <v>5.0000000000000001E-3</v>
      </c>
      <c r="AX356">
        <v>7</v>
      </c>
      <c r="AY356" s="1">
        <v>19</v>
      </c>
      <c r="AZ356">
        <v>0</v>
      </c>
      <c r="BA356">
        <v>0</v>
      </c>
      <c r="BB356">
        <v>1</v>
      </c>
      <c r="BC356" s="7">
        <v>0.32</v>
      </c>
      <c r="BD356">
        <v>30</v>
      </c>
      <c r="BE356">
        <v>0</v>
      </c>
      <c r="BF356">
        <v>0</v>
      </c>
      <c r="BG356">
        <v>0</v>
      </c>
      <c r="BH356">
        <v>5</v>
      </c>
      <c r="BI356">
        <v>2.4</v>
      </c>
      <c r="BJ356">
        <v>31</v>
      </c>
      <c r="BK356">
        <v>0</v>
      </c>
      <c r="BL356">
        <v>0</v>
      </c>
      <c r="BM356">
        <v>0</v>
      </c>
      <c r="BN356">
        <v>5</v>
      </c>
      <c r="BO356">
        <v>2.4</v>
      </c>
      <c r="BP356">
        <v>36</v>
      </c>
      <c r="BQ356">
        <v>0</v>
      </c>
      <c r="BR356">
        <v>0</v>
      </c>
      <c r="BS356">
        <v>0</v>
      </c>
      <c r="BT356">
        <v>5</v>
      </c>
      <c r="BU356">
        <v>2.2999999999999998</v>
      </c>
    </row>
    <row r="357" spans="1:73" x14ac:dyDescent="0.15">
      <c r="A357" s="11">
        <v>10204</v>
      </c>
      <c r="B357">
        <v>7</v>
      </c>
      <c r="C357" s="1">
        <v>48</v>
      </c>
      <c r="D357">
        <v>0</v>
      </c>
      <c r="E357">
        <v>0</v>
      </c>
      <c r="F357">
        <v>1</v>
      </c>
      <c r="G357" s="7">
        <v>0.05</v>
      </c>
      <c r="H357">
        <v>12</v>
      </c>
      <c r="I357">
        <v>0</v>
      </c>
      <c r="J357">
        <v>0</v>
      </c>
      <c r="K357">
        <v>0</v>
      </c>
      <c r="L357">
        <v>1</v>
      </c>
      <c r="M357">
        <v>2</v>
      </c>
      <c r="N357" s="7">
        <v>9</v>
      </c>
      <c r="O357" s="7">
        <v>0</v>
      </c>
      <c r="P357" s="7">
        <v>0</v>
      </c>
      <c r="Q357" s="7">
        <v>0</v>
      </c>
      <c r="R357" s="7">
        <v>1</v>
      </c>
      <c r="S357" s="7">
        <v>4.5</v>
      </c>
      <c r="T357">
        <v>7</v>
      </c>
      <c r="U357" s="1">
        <v>36</v>
      </c>
      <c r="V357">
        <v>0</v>
      </c>
      <c r="W357">
        <v>0</v>
      </c>
      <c r="X357">
        <v>1</v>
      </c>
      <c r="Y357">
        <v>0.16</v>
      </c>
      <c r="Z357">
        <v>23</v>
      </c>
      <c r="AA357">
        <v>0</v>
      </c>
      <c r="AB357">
        <v>0</v>
      </c>
      <c r="AC357">
        <v>0</v>
      </c>
      <c r="AD357">
        <v>1</v>
      </c>
      <c r="AE357">
        <v>0.05</v>
      </c>
      <c r="AF357">
        <v>15</v>
      </c>
      <c r="AG357">
        <v>0</v>
      </c>
      <c r="AH357">
        <v>0</v>
      </c>
      <c r="AI357">
        <v>0</v>
      </c>
      <c r="AJ357">
        <v>1</v>
      </c>
      <c r="AK357">
        <v>0.01</v>
      </c>
      <c r="AL357">
        <v>16</v>
      </c>
      <c r="AM357">
        <v>0</v>
      </c>
      <c r="AN357">
        <v>0</v>
      </c>
      <c r="AO357">
        <v>0</v>
      </c>
      <c r="AP357">
        <v>1</v>
      </c>
      <c r="AQ357">
        <v>5.0000000000000001E-3</v>
      </c>
      <c r="AX357">
        <v>7</v>
      </c>
      <c r="AY357" s="1">
        <v>20</v>
      </c>
      <c r="AZ357">
        <v>0</v>
      </c>
      <c r="BA357">
        <v>0</v>
      </c>
      <c r="BB357">
        <v>1</v>
      </c>
      <c r="BC357" s="7">
        <v>0.32</v>
      </c>
      <c r="BD357">
        <v>30</v>
      </c>
      <c r="BE357">
        <v>0</v>
      </c>
      <c r="BF357">
        <v>0</v>
      </c>
      <c r="BG357">
        <v>0</v>
      </c>
      <c r="BH357">
        <v>5</v>
      </c>
      <c r="BI357">
        <v>2.4</v>
      </c>
      <c r="BJ357">
        <v>31</v>
      </c>
      <c r="BK357">
        <v>0</v>
      </c>
      <c r="BL357">
        <v>0</v>
      </c>
      <c r="BM357">
        <v>0</v>
      </c>
      <c r="BN357">
        <v>5</v>
      </c>
      <c r="BO357">
        <v>2.4</v>
      </c>
      <c r="BP357">
        <v>36</v>
      </c>
      <c r="BQ357">
        <v>0</v>
      </c>
      <c r="BR357">
        <v>0</v>
      </c>
      <c r="BS357">
        <v>0</v>
      </c>
      <c r="BT357">
        <v>5</v>
      </c>
      <c r="BU357">
        <v>2.2999999999999998</v>
      </c>
    </row>
    <row r="358" spans="1:73" x14ac:dyDescent="0.15">
      <c r="A358" s="11">
        <v>10205</v>
      </c>
      <c r="B358">
        <v>7</v>
      </c>
      <c r="C358" s="1">
        <v>0</v>
      </c>
      <c r="D358">
        <v>5</v>
      </c>
      <c r="E358">
        <v>1</v>
      </c>
      <c r="F358">
        <v>1</v>
      </c>
      <c r="G358" s="7">
        <v>0.05</v>
      </c>
      <c r="H358">
        <v>12</v>
      </c>
      <c r="I358">
        <v>0</v>
      </c>
      <c r="J358">
        <v>0</v>
      </c>
      <c r="K358">
        <v>0</v>
      </c>
      <c r="L358">
        <v>1</v>
      </c>
      <c r="M358">
        <v>2</v>
      </c>
      <c r="N358" s="7">
        <v>9</v>
      </c>
      <c r="O358" s="7">
        <v>0</v>
      </c>
      <c r="P358" s="7">
        <v>0</v>
      </c>
      <c r="Q358" s="7">
        <v>0</v>
      </c>
      <c r="R358" s="7">
        <v>1</v>
      </c>
      <c r="S358" s="7">
        <v>4.5</v>
      </c>
      <c r="T358">
        <v>7</v>
      </c>
      <c r="U358" s="1">
        <v>0</v>
      </c>
      <c r="V358">
        <v>4</v>
      </c>
      <c r="W358">
        <v>2</v>
      </c>
      <c r="X358">
        <v>1</v>
      </c>
      <c r="Y358">
        <v>0.16</v>
      </c>
      <c r="Z358">
        <v>23</v>
      </c>
      <c r="AA358">
        <v>0</v>
      </c>
      <c r="AB358">
        <v>0</v>
      </c>
      <c r="AC358">
        <v>0</v>
      </c>
      <c r="AD358">
        <v>1</v>
      </c>
      <c r="AE358">
        <v>0.05</v>
      </c>
      <c r="AF358">
        <v>15</v>
      </c>
      <c r="AG358">
        <v>0</v>
      </c>
      <c r="AH358">
        <v>0</v>
      </c>
      <c r="AI358">
        <v>0</v>
      </c>
      <c r="AJ358">
        <v>1</v>
      </c>
      <c r="AK358">
        <v>0.01</v>
      </c>
      <c r="AL358">
        <v>16</v>
      </c>
      <c r="AM358">
        <v>0</v>
      </c>
      <c r="AN358">
        <v>0</v>
      </c>
      <c r="AO358">
        <v>0</v>
      </c>
      <c r="AP358">
        <v>1</v>
      </c>
      <c r="AQ358">
        <v>5.0000000000000001E-3</v>
      </c>
      <c r="AR358">
        <v>6</v>
      </c>
      <c r="AS358">
        <v>2</v>
      </c>
      <c r="AT358">
        <v>1</v>
      </c>
      <c r="AU358">
        <v>5</v>
      </c>
      <c r="AV358">
        <v>1</v>
      </c>
      <c r="AW358">
        <v>0.05</v>
      </c>
      <c r="AX358">
        <v>7</v>
      </c>
      <c r="AY358" s="1">
        <v>0</v>
      </c>
      <c r="AZ358">
        <v>3</v>
      </c>
      <c r="BA358">
        <v>1</v>
      </c>
      <c r="BB358">
        <v>1</v>
      </c>
      <c r="BC358" s="7">
        <v>0.32</v>
      </c>
      <c r="BD358">
        <v>30</v>
      </c>
      <c r="BE358">
        <v>0</v>
      </c>
      <c r="BF358">
        <v>0</v>
      </c>
      <c r="BG358">
        <v>0</v>
      </c>
      <c r="BH358">
        <v>5</v>
      </c>
      <c r="BI358">
        <v>2.4</v>
      </c>
      <c r="BJ358">
        <v>31</v>
      </c>
      <c r="BK358">
        <v>0</v>
      </c>
      <c r="BL358">
        <v>0</v>
      </c>
      <c r="BM358">
        <v>0</v>
      </c>
      <c r="BN358">
        <v>5</v>
      </c>
      <c r="BO358">
        <v>2.4</v>
      </c>
      <c r="BP358">
        <v>36</v>
      </c>
      <c r="BQ358">
        <v>0</v>
      </c>
      <c r="BR358">
        <v>0</v>
      </c>
      <c r="BS358">
        <v>0</v>
      </c>
      <c r="BT358">
        <v>5</v>
      </c>
      <c r="BU358">
        <v>2.2999999999999998</v>
      </c>
    </row>
    <row r="359" spans="1:73" x14ac:dyDescent="0.15">
      <c r="A359" s="11">
        <v>10206</v>
      </c>
      <c r="B359">
        <v>7</v>
      </c>
      <c r="C359" s="1">
        <v>45</v>
      </c>
      <c r="D359">
        <v>0</v>
      </c>
      <c r="E359">
        <v>0</v>
      </c>
      <c r="F359">
        <v>1</v>
      </c>
      <c r="G359" s="7">
        <v>0.05</v>
      </c>
      <c r="H359">
        <v>12</v>
      </c>
      <c r="I359">
        <v>0</v>
      </c>
      <c r="J359">
        <v>0</v>
      </c>
      <c r="K359">
        <v>0</v>
      </c>
      <c r="L359">
        <v>1</v>
      </c>
      <c r="M359">
        <v>2</v>
      </c>
      <c r="N359" s="7">
        <v>9</v>
      </c>
      <c r="O359" s="7">
        <v>0</v>
      </c>
      <c r="P359" s="7">
        <v>0</v>
      </c>
      <c r="Q359" s="7">
        <v>0</v>
      </c>
      <c r="R359" s="7">
        <v>1</v>
      </c>
      <c r="S359" s="7">
        <v>4.5</v>
      </c>
      <c r="T359">
        <v>7</v>
      </c>
      <c r="U359" s="1">
        <v>33</v>
      </c>
      <c r="V359">
        <v>0</v>
      </c>
      <c r="W359">
        <v>0</v>
      </c>
      <c r="X359">
        <v>1</v>
      </c>
      <c r="Y359">
        <v>0.16</v>
      </c>
      <c r="Z359">
        <v>23</v>
      </c>
      <c r="AA359">
        <v>0</v>
      </c>
      <c r="AB359">
        <v>0</v>
      </c>
      <c r="AC359">
        <v>0</v>
      </c>
      <c r="AD359">
        <v>1</v>
      </c>
      <c r="AE359">
        <v>0.05</v>
      </c>
      <c r="AF359">
        <v>15</v>
      </c>
      <c r="AG359">
        <v>0</v>
      </c>
      <c r="AH359">
        <v>0</v>
      </c>
      <c r="AI359">
        <v>0</v>
      </c>
      <c r="AJ359">
        <v>1</v>
      </c>
      <c r="AK359">
        <v>0.01</v>
      </c>
      <c r="AL359">
        <v>16</v>
      </c>
      <c r="AM359">
        <v>0</v>
      </c>
      <c r="AN359">
        <v>0</v>
      </c>
      <c r="AO359">
        <v>0</v>
      </c>
      <c r="AP359">
        <v>1</v>
      </c>
      <c r="AQ359">
        <v>5.0000000000000001E-3</v>
      </c>
      <c r="AX359">
        <v>7</v>
      </c>
      <c r="AY359" s="1">
        <v>17</v>
      </c>
      <c r="AZ359">
        <v>0</v>
      </c>
      <c r="BA359">
        <v>0</v>
      </c>
      <c r="BB359">
        <v>1</v>
      </c>
      <c r="BC359" s="7">
        <v>0.32</v>
      </c>
      <c r="BD359">
        <v>30</v>
      </c>
      <c r="BE359">
        <v>0</v>
      </c>
      <c r="BF359">
        <v>0</v>
      </c>
      <c r="BG359">
        <v>0</v>
      </c>
      <c r="BH359">
        <v>5</v>
      </c>
      <c r="BI359">
        <v>2.4</v>
      </c>
      <c r="BJ359">
        <v>31</v>
      </c>
      <c r="BK359">
        <v>0</v>
      </c>
      <c r="BL359">
        <v>0</v>
      </c>
      <c r="BM359">
        <v>0</v>
      </c>
      <c r="BN359">
        <v>5</v>
      </c>
      <c r="BO359">
        <v>2.4</v>
      </c>
      <c r="BP359">
        <v>36</v>
      </c>
      <c r="BQ359">
        <v>0</v>
      </c>
      <c r="BR359">
        <v>0</v>
      </c>
      <c r="BS359">
        <v>0</v>
      </c>
      <c r="BT359">
        <v>5</v>
      </c>
      <c r="BU359">
        <v>2.2999999999999998</v>
      </c>
    </row>
    <row r="360" spans="1:73" x14ac:dyDescent="0.15">
      <c r="A360" s="11">
        <v>10207</v>
      </c>
      <c r="B360">
        <v>7</v>
      </c>
      <c r="C360" s="1">
        <v>46</v>
      </c>
      <c r="D360">
        <v>0</v>
      </c>
      <c r="E360">
        <v>0</v>
      </c>
      <c r="F360">
        <v>1</v>
      </c>
      <c r="G360" s="7">
        <v>0.05</v>
      </c>
      <c r="H360">
        <v>12</v>
      </c>
      <c r="I360">
        <v>0</v>
      </c>
      <c r="J360">
        <v>0</v>
      </c>
      <c r="K360">
        <v>0</v>
      </c>
      <c r="L360">
        <v>1</v>
      </c>
      <c r="M360">
        <v>2</v>
      </c>
      <c r="N360" s="7">
        <v>9</v>
      </c>
      <c r="O360" s="7">
        <v>0</v>
      </c>
      <c r="P360" s="7">
        <v>0</v>
      </c>
      <c r="Q360" s="7">
        <v>0</v>
      </c>
      <c r="R360" s="7">
        <v>1</v>
      </c>
      <c r="S360" s="7">
        <v>4.5</v>
      </c>
      <c r="T360">
        <v>7</v>
      </c>
      <c r="U360" s="1">
        <v>34</v>
      </c>
      <c r="V360">
        <v>0</v>
      </c>
      <c r="W360">
        <v>0</v>
      </c>
      <c r="X360">
        <v>1</v>
      </c>
      <c r="Y360">
        <v>0.16</v>
      </c>
      <c r="Z360">
        <v>23</v>
      </c>
      <c r="AA360">
        <v>0</v>
      </c>
      <c r="AB360">
        <v>0</v>
      </c>
      <c r="AC360">
        <v>0</v>
      </c>
      <c r="AD360">
        <v>1</v>
      </c>
      <c r="AE360">
        <v>0.05</v>
      </c>
      <c r="AF360">
        <v>15</v>
      </c>
      <c r="AG360">
        <v>0</v>
      </c>
      <c r="AH360">
        <v>0</v>
      </c>
      <c r="AI360">
        <v>0</v>
      </c>
      <c r="AJ360">
        <v>1</v>
      </c>
      <c r="AK360">
        <v>0.01</v>
      </c>
      <c r="AL360">
        <v>16</v>
      </c>
      <c r="AM360">
        <v>0</v>
      </c>
      <c r="AN360">
        <v>0</v>
      </c>
      <c r="AO360">
        <v>0</v>
      </c>
      <c r="AP360">
        <v>1</v>
      </c>
      <c r="AQ360">
        <v>5.0000000000000001E-3</v>
      </c>
      <c r="AX360">
        <v>7</v>
      </c>
      <c r="AY360" s="1">
        <v>18</v>
      </c>
      <c r="AZ360">
        <v>0</v>
      </c>
      <c r="BA360">
        <v>0</v>
      </c>
      <c r="BB360">
        <v>1</v>
      </c>
      <c r="BC360" s="7">
        <v>0.32</v>
      </c>
      <c r="BD360">
        <v>30</v>
      </c>
      <c r="BE360">
        <v>0</v>
      </c>
      <c r="BF360">
        <v>0</v>
      </c>
      <c r="BG360">
        <v>0</v>
      </c>
      <c r="BH360">
        <v>5</v>
      </c>
      <c r="BI360">
        <v>2.4</v>
      </c>
      <c r="BJ360">
        <v>31</v>
      </c>
      <c r="BK360">
        <v>0</v>
      </c>
      <c r="BL360">
        <v>0</v>
      </c>
      <c r="BM360">
        <v>0</v>
      </c>
      <c r="BN360">
        <v>5</v>
      </c>
      <c r="BO360">
        <v>2.4</v>
      </c>
      <c r="BP360">
        <v>36</v>
      </c>
      <c r="BQ360">
        <v>0</v>
      </c>
      <c r="BR360">
        <v>0</v>
      </c>
      <c r="BS360">
        <v>0</v>
      </c>
      <c r="BT360">
        <v>5</v>
      </c>
      <c r="BU360">
        <v>2.2999999999999998</v>
      </c>
    </row>
    <row r="361" spans="1:73" x14ac:dyDescent="0.15">
      <c r="A361" s="11">
        <v>10208</v>
      </c>
      <c r="B361">
        <v>7</v>
      </c>
      <c r="C361" s="1">
        <v>47</v>
      </c>
      <c r="D361">
        <v>0</v>
      </c>
      <c r="E361">
        <v>0</v>
      </c>
      <c r="F361">
        <v>1</v>
      </c>
      <c r="G361" s="7">
        <v>0.05</v>
      </c>
      <c r="H361">
        <v>12</v>
      </c>
      <c r="I361">
        <v>0</v>
      </c>
      <c r="J361">
        <v>0</v>
      </c>
      <c r="K361">
        <v>0</v>
      </c>
      <c r="L361">
        <v>1</v>
      </c>
      <c r="M361">
        <v>2</v>
      </c>
      <c r="N361" s="7">
        <v>9</v>
      </c>
      <c r="O361" s="7">
        <v>0</v>
      </c>
      <c r="P361" s="7">
        <v>0</v>
      </c>
      <c r="Q361" s="7">
        <v>0</v>
      </c>
      <c r="R361" s="7">
        <v>1</v>
      </c>
      <c r="S361" s="7">
        <v>4.5</v>
      </c>
      <c r="T361">
        <v>7</v>
      </c>
      <c r="U361" s="1">
        <v>35</v>
      </c>
      <c r="V361">
        <v>0</v>
      </c>
      <c r="W361">
        <v>0</v>
      </c>
      <c r="X361">
        <v>1</v>
      </c>
      <c r="Y361">
        <v>0.16</v>
      </c>
      <c r="Z361">
        <v>23</v>
      </c>
      <c r="AA361">
        <v>0</v>
      </c>
      <c r="AB361">
        <v>0</v>
      </c>
      <c r="AC361">
        <v>0</v>
      </c>
      <c r="AD361">
        <v>1</v>
      </c>
      <c r="AE361">
        <v>0.05</v>
      </c>
      <c r="AF361">
        <v>15</v>
      </c>
      <c r="AG361">
        <v>0</v>
      </c>
      <c r="AH361">
        <v>0</v>
      </c>
      <c r="AI361">
        <v>0</v>
      </c>
      <c r="AJ361">
        <v>1</v>
      </c>
      <c r="AK361">
        <v>0.01</v>
      </c>
      <c r="AL361">
        <v>16</v>
      </c>
      <c r="AM361">
        <v>0</v>
      </c>
      <c r="AN361">
        <v>0</v>
      </c>
      <c r="AO361">
        <v>0</v>
      </c>
      <c r="AP361">
        <v>1</v>
      </c>
      <c r="AQ361">
        <v>5.0000000000000001E-3</v>
      </c>
      <c r="AX361">
        <v>7</v>
      </c>
      <c r="AY361" s="1">
        <v>19</v>
      </c>
      <c r="AZ361">
        <v>0</v>
      </c>
      <c r="BA361">
        <v>0</v>
      </c>
      <c r="BB361">
        <v>1</v>
      </c>
      <c r="BC361" s="7">
        <v>0.32</v>
      </c>
      <c r="BD361">
        <v>30</v>
      </c>
      <c r="BE361">
        <v>0</v>
      </c>
      <c r="BF361">
        <v>0</v>
      </c>
      <c r="BG361">
        <v>0</v>
      </c>
      <c r="BH361">
        <v>5</v>
      </c>
      <c r="BI361">
        <v>2.4</v>
      </c>
      <c r="BJ361">
        <v>31</v>
      </c>
      <c r="BK361">
        <v>0</v>
      </c>
      <c r="BL361">
        <v>0</v>
      </c>
      <c r="BM361">
        <v>0</v>
      </c>
      <c r="BN361">
        <v>5</v>
      </c>
      <c r="BO361">
        <v>2.4</v>
      </c>
      <c r="BP361">
        <v>36</v>
      </c>
      <c r="BQ361">
        <v>0</v>
      </c>
      <c r="BR361">
        <v>0</v>
      </c>
      <c r="BS361">
        <v>0</v>
      </c>
      <c r="BT361">
        <v>5</v>
      </c>
      <c r="BU361">
        <v>2.2999999999999998</v>
      </c>
    </row>
    <row r="362" spans="1:73" x14ac:dyDescent="0.15">
      <c r="A362" s="11">
        <v>10209</v>
      </c>
      <c r="B362">
        <v>7</v>
      </c>
      <c r="C362" s="1">
        <v>48</v>
      </c>
      <c r="D362">
        <v>0</v>
      </c>
      <c r="E362">
        <v>0</v>
      </c>
      <c r="F362">
        <v>1</v>
      </c>
      <c r="G362" s="7">
        <v>0.05</v>
      </c>
      <c r="H362">
        <v>12</v>
      </c>
      <c r="I362">
        <v>0</v>
      </c>
      <c r="J362">
        <v>0</v>
      </c>
      <c r="K362">
        <v>0</v>
      </c>
      <c r="L362">
        <v>1</v>
      </c>
      <c r="M362">
        <v>2</v>
      </c>
      <c r="N362" s="7">
        <v>9</v>
      </c>
      <c r="O362" s="7">
        <v>0</v>
      </c>
      <c r="P362" s="7">
        <v>0</v>
      </c>
      <c r="Q362" s="7">
        <v>0</v>
      </c>
      <c r="R362" s="7">
        <v>1</v>
      </c>
      <c r="S362" s="7">
        <v>4.5</v>
      </c>
      <c r="T362">
        <v>7</v>
      </c>
      <c r="U362" s="1">
        <v>36</v>
      </c>
      <c r="V362">
        <v>0</v>
      </c>
      <c r="W362">
        <v>0</v>
      </c>
      <c r="X362">
        <v>1</v>
      </c>
      <c r="Y362">
        <v>0.16</v>
      </c>
      <c r="Z362">
        <v>23</v>
      </c>
      <c r="AA362">
        <v>0</v>
      </c>
      <c r="AB362">
        <v>0</v>
      </c>
      <c r="AC362">
        <v>0</v>
      </c>
      <c r="AD362">
        <v>1</v>
      </c>
      <c r="AE362">
        <v>0.05</v>
      </c>
      <c r="AF362">
        <v>15</v>
      </c>
      <c r="AG362">
        <v>0</v>
      </c>
      <c r="AH362">
        <v>0</v>
      </c>
      <c r="AI362">
        <v>0</v>
      </c>
      <c r="AJ362">
        <v>1</v>
      </c>
      <c r="AK362">
        <v>0.01</v>
      </c>
      <c r="AL362">
        <v>16</v>
      </c>
      <c r="AM362">
        <v>0</v>
      </c>
      <c r="AN362">
        <v>0</v>
      </c>
      <c r="AO362">
        <v>0</v>
      </c>
      <c r="AP362">
        <v>1</v>
      </c>
      <c r="AQ362">
        <v>5.0000000000000001E-3</v>
      </c>
      <c r="AX362">
        <v>7</v>
      </c>
      <c r="AY362" s="1">
        <v>20</v>
      </c>
      <c r="AZ362">
        <v>0</v>
      </c>
      <c r="BA362">
        <v>0</v>
      </c>
      <c r="BB362">
        <v>1</v>
      </c>
      <c r="BC362" s="7">
        <v>0.32</v>
      </c>
      <c r="BD362">
        <v>30</v>
      </c>
      <c r="BE362">
        <v>0</v>
      </c>
      <c r="BF362">
        <v>0</v>
      </c>
      <c r="BG362">
        <v>0</v>
      </c>
      <c r="BH362">
        <v>5</v>
      </c>
      <c r="BI362">
        <v>2.4</v>
      </c>
      <c r="BJ362">
        <v>31</v>
      </c>
      <c r="BK362">
        <v>0</v>
      </c>
      <c r="BL362">
        <v>0</v>
      </c>
      <c r="BM362">
        <v>0</v>
      </c>
      <c r="BN362">
        <v>5</v>
      </c>
      <c r="BO362">
        <v>2.4</v>
      </c>
      <c r="BP362">
        <v>36</v>
      </c>
      <c r="BQ362">
        <v>0</v>
      </c>
      <c r="BR362">
        <v>0</v>
      </c>
      <c r="BS362">
        <v>0</v>
      </c>
      <c r="BT362">
        <v>5</v>
      </c>
      <c r="BU362">
        <v>2.2999999999999998</v>
      </c>
    </row>
    <row r="363" spans="1:73" x14ac:dyDescent="0.15">
      <c r="A363" s="11">
        <v>10210</v>
      </c>
      <c r="B363">
        <v>7</v>
      </c>
      <c r="C363" s="1">
        <v>0</v>
      </c>
      <c r="D363">
        <v>5</v>
      </c>
      <c r="E363">
        <v>1</v>
      </c>
      <c r="F363">
        <v>1</v>
      </c>
      <c r="G363" s="7">
        <v>0.05</v>
      </c>
      <c r="H363">
        <v>12</v>
      </c>
      <c r="I363">
        <v>0</v>
      </c>
      <c r="J363">
        <v>0</v>
      </c>
      <c r="K363">
        <v>0</v>
      </c>
      <c r="L363">
        <v>1</v>
      </c>
      <c r="M363">
        <v>2</v>
      </c>
      <c r="N363" s="7">
        <v>9</v>
      </c>
      <c r="O363" s="7">
        <v>0</v>
      </c>
      <c r="P363" s="7">
        <v>0</v>
      </c>
      <c r="Q363" s="7">
        <v>0</v>
      </c>
      <c r="R363" s="7">
        <v>1</v>
      </c>
      <c r="S363" s="7">
        <v>4.5</v>
      </c>
      <c r="T363">
        <v>7</v>
      </c>
      <c r="U363" s="1">
        <v>0</v>
      </c>
      <c r="V363">
        <v>4</v>
      </c>
      <c r="W363">
        <v>2</v>
      </c>
      <c r="X363">
        <v>1</v>
      </c>
      <c r="Y363">
        <v>0.16</v>
      </c>
      <c r="Z363">
        <v>23</v>
      </c>
      <c r="AA363">
        <v>0</v>
      </c>
      <c r="AB363">
        <v>0</v>
      </c>
      <c r="AC363">
        <v>0</v>
      </c>
      <c r="AD363">
        <v>1</v>
      </c>
      <c r="AE363">
        <v>0.05</v>
      </c>
      <c r="AF363">
        <v>15</v>
      </c>
      <c r="AG363">
        <v>0</v>
      </c>
      <c r="AH363">
        <v>0</v>
      </c>
      <c r="AI363">
        <v>0</v>
      </c>
      <c r="AJ363">
        <v>1</v>
      </c>
      <c r="AK363">
        <v>0.01</v>
      </c>
      <c r="AL363">
        <v>16</v>
      </c>
      <c r="AM363">
        <v>0</v>
      </c>
      <c r="AN363">
        <v>0</v>
      </c>
      <c r="AO363">
        <v>0</v>
      </c>
      <c r="AP363">
        <v>1</v>
      </c>
      <c r="AQ363">
        <v>5.0000000000000001E-3</v>
      </c>
      <c r="AR363">
        <v>6</v>
      </c>
      <c r="AS363">
        <v>2</v>
      </c>
      <c r="AT363">
        <v>2</v>
      </c>
      <c r="AU363">
        <v>5</v>
      </c>
      <c r="AV363">
        <v>1</v>
      </c>
      <c r="AW363">
        <v>0.05</v>
      </c>
      <c r="AX363">
        <v>7</v>
      </c>
      <c r="AY363" s="1">
        <v>0</v>
      </c>
      <c r="AZ363">
        <v>3</v>
      </c>
      <c r="BA363">
        <v>1</v>
      </c>
      <c r="BB363">
        <v>1</v>
      </c>
      <c r="BC363" s="7">
        <v>0.32</v>
      </c>
      <c r="BD363">
        <v>30</v>
      </c>
      <c r="BE363">
        <v>0</v>
      </c>
      <c r="BF363">
        <v>0</v>
      </c>
      <c r="BG363">
        <v>0</v>
      </c>
      <c r="BH363">
        <v>5</v>
      </c>
      <c r="BI363">
        <v>2.4</v>
      </c>
      <c r="BJ363">
        <v>31</v>
      </c>
      <c r="BK363">
        <v>0</v>
      </c>
      <c r="BL363">
        <v>0</v>
      </c>
      <c r="BM363">
        <v>0</v>
      </c>
      <c r="BN363">
        <v>5</v>
      </c>
      <c r="BO363">
        <v>2.4</v>
      </c>
      <c r="BP363">
        <v>36</v>
      </c>
      <c r="BQ363">
        <v>0</v>
      </c>
      <c r="BR363">
        <v>0</v>
      </c>
      <c r="BS363">
        <v>0</v>
      </c>
      <c r="BT363">
        <v>5</v>
      </c>
      <c r="BU363">
        <v>2.2999999999999998</v>
      </c>
    </row>
    <row r="364" spans="1:73" x14ac:dyDescent="0.15">
      <c r="A364" s="11">
        <v>10211</v>
      </c>
      <c r="B364">
        <v>7</v>
      </c>
      <c r="C364" s="1">
        <v>45</v>
      </c>
      <c r="D364">
        <v>0</v>
      </c>
      <c r="E364">
        <v>0</v>
      </c>
      <c r="F364">
        <v>1</v>
      </c>
      <c r="G364" s="7">
        <v>0.05</v>
      </c>
      <c r="H364">
        <v>12</v>
      </c>
      <c r="I364">
        <v>0</v>
      </c>
      <c r="J364">
        <v>0</v>
      </c>
      <c r="K364">
        <v>0</v>
      </c>
      <c r="L364">
        <v>1</v>
      </c>
      <c r="M364">
        <v>2</v>
      </c>
      <c r="N364" s="7">
        <v>9</v>
      </c>
      <c r="O364" s="7">
        <v>0</v>
      </c>
      <c r="P364" s="7">
        <v>0</v>
      </c>
      <c r="Q364" s="7">
        <v>0</v>
      </c>
      <c r="R364" s="7">
        <v>1</v>
      </c>
      <c r="S364" s="7">
        <v>4.5</v>
      </c>
      <c r="T364">
        <v>7</v>
      </c>
      <c r="U364" s="1">
        <v>33</v>
      </c>
      <c r="V364">
        <v>0</v>
      </c>
      <c r="W364">
        <v>0</v>
      </c>
      <c r="X364">
        <v>1</v>
      </c>
      <c r="Y364">
        <v>0.16</v>
      </c>
      <c r="Z364">
        <v>23</v>
      </c>
      <c r="AA364">
        <v>0</v>
      </c>
      <c r="AB364">
        <v>0</v>
      </c>
      <c r="AC364">
        <v>0</v>
      </c>
      <c r="AD364">
        <v>1</v>
      </c>
      <c r="AE364">
        <v>0.05</v>
      </c>
      <c r="AF364">
        <v>15</v>
      </c>
      <c r="AG364">
        <v>0</v>
      </c>
      <c r="AH364">
        <v>0</v>
      </c>
      <c r="AI364">
        <v>0</v>
      </c>
      <c r="AJ364">
        <v>1</v>
      </c>
      <c r="AK364">
        <v>0.01</v>
      </c>
      <c r="AL364">
        <v>16</v>
      </c>
      <c r="AM364">
        <v>0</v>
      </c>
      <c r="AN364">
        <v>0</v>
      </c>
      <c r="AO364">
        <v>0</v>
      </c>
      <c r="AP364">
        <v>1</v>
      </c>
      <c r="AQ364">
        <v>5.0000000000000001E-3</v>
      </c>
      <c r="AX364">
        <v>7</v>
      </c>
      <c r="AY364" s="1">
        <v>17</v>
      </c>
      <c r="AZ364">
        <v>0</v>
      </c>
      <c r="BA364">
        <v>0</v>
      </c>
      <c r="BB364">
        <v>1</v>
      </c>
      <c r="BC364" s="7">
        <v>0.32</v>
      </c>
      <c r="BD364">
        <v>30</v>
      </c>
      <c r="BE364">
        <v>0</v>
      </c>
      <c r="BF364">
        <v>0</v>
      </c>
      <c r="BG364">
        <v>0</v>
      </c>
      <c r="BH364">
        <v>5</v>
      </c>
      <c r="BI364">
        <v>2.4</v>
      </c>
      <c r="BJ364">
        <v>31</v>
      </c>
      <c r="BK364">
        <v>0</v>
      </c>
      <c r="BL364">
        <v>0</v>
      </c>
      <c r="BM364">
        <v>0</v>
      </c>
      <c r="BN364">
        <v>5</v>
      </c>
      <c r="BO364">
        <v>2.4</v>
      </c>
      <c r="BP364">
        <v>36</v>
      </c>
      <c r="BQ364">
        <v>0</v>
      </c>
      <c r="BR364">
        <v>0</v>
      </c>
      <c r="BS364">
        <v>0</v>
      </c>
      <c r="BT364">
        <v>5</v>
      </c>
      <c r="BU364">
        <v>2.2999999999999998</v>
      </c>
    </row>
    <row r="365" spans="1:73" x14ac:dyDescent="0.15">
      <c r="A365" s="11">
        <v>10212</v>
      </c>
      <c r="B365">
        <v>7</v>
      </c>
      <c r="C365" s="1">
        <v>46</v>
      </c>
      <c r="D365">
        <v>0</v>
      </c>
      <c r="E365">
        <v>0</v>
      </c>
      <c r="F365">
        <v>1</v>
      </c>
      <c r="G365" s="7">
        <v>0.05</v>
      </c>
      <c r="H365">
        <v>12</v>
      </c>
      <c r="I365">
        <v>0</v>
      </c>
      <c r="J365">
        <v>0</v>
      </c>
      <c r="K365">
        <v>0</v>
      </c>
      <c r="L365">
        <v>1</v>
      </c>
      <c r="M365">
        <v>2</v>
      </c>
      <c r="N365" s="7">
        <v>9</v>
      </c>
      <c r="O365" s="7">
        <v>0</v>
      </c>
      <c r="P365" s="7">
        <v>0</v>
      </c>
      <c r="Q365" s="7">
        <v>0</v>
      </c>
      <c r="R365" s="7">
        <v>1</v>
      </c>
      <c r="S365" s="7">
        <v>4.5</v>
      </c>
      <c r="T365">
        <v>7</v>
      </c>
      <c r="U365" s="1">
        <v>34</v>
      </c>
      <c r="V365">
        <v>0</v>
      </c>
      <c r="W365">
        <v>0</v>
      </c>
      <c r="X365">
        <v>1</v>
      </c>
      <c r="Y365">
        <v>0.16</v>
      </c>
      <c r="Z365">
        <v>23</v>
      </c>
      <c r="AA365">
        <v>0</v>
      </c>
      <c r="AB365">
        <v>0</v>
      </c>
      <c r="AC365">
        <v>0</v>
      </c>
      <c r="AD365">
        <v>1</v>
      </c>
      <c r="AE365">
        <v>0.05</v>
      </c>
      <c r="AF365">
        <v>15</v>
      </c>
      <c r="AG365">
        <v>0</v>
      </c>
      <c r="AH365">
        <v>0</v>
      </c>
      <c r="AI365">
        <v>0</v>
      </c>
      <c r="AJ365">
        <v>1</v>
      </c>
      <c r="AK365">
        <v>0.01</v>
      </c>
      <c r="AL365">
        <v>16</v>
      </c>
      <c r="AM365">
        <v>0</v>
      </c>
      <c r="AN365">
        <v>0</v>
      </c>
      <c r="AO365">
        <v>0</v>
      </c>
      <c r="AP365">
        <v>1</v>
      </c>
      <c r="AQ365">
        <v>5.0000000000000001E-3</v>
      </c>
      <c r="AX365">
        <v>7</v>
      </c>
      <c r="AY365" s="1">
        <v>18</v>
      </c>
      <c r="AZ365">
        <v>0</v>
      </c>
      <c r="BA365">
        <v>0</v>
      </c>
      <c r="BB365">
        <v>1</v>
      </c>
      <c r="BC365" s="7">
        <v>0.32</v>
      </c>
      <c r="BD365">
        <v>30</v>
      </c>
      <c r="BE365">
        <v>0</v>
      </c>
      <c r="BF365">
        <v>0</v>
      </c>
      <c r="BG365">
        <v>0</v>
      </c>
      <c r="BH365">
        <v>5</v>
      </c>
      <c r="BI365">
        <v>2.4</v>
      </c>
      <c r="BJ365">
        <v>31</v>
      </c>
      <c r="BK365">
        <v>0</v>
      </c>
      <c r="BL365">
        <v>0</v>
      </c>
      <c r="BM365">
        <v>0</v>
      </c>
      <c r="BN365">
        <v>5</v>
      </c>
      <c r="BO365">
        <v>2.4</v>
      </c>
      <c r="BP365">
        <v>36</v>
      </c>
      <c r="BQ365">
        <v>0</v>
      </c>
      <c r="BR365">
        <v>0</v>
      </c>
      <c r="BS365">
        <v>0</v>
      </c>
      <c r="BT365">
        <v>5</v>
      </c>
      <c r="BU365">
        <v>2.2999999999999998</v>
      </c>
    </row>
    <row r="366" spans="1:73" x14ac:dyDescent="0.15">
      <c r="A366" s="11">
        <v>10213</v>
      </c>
      <c r="B366">
        <v>7</v>
      </c>
      <c r="C366" s="1">
        <v>47</v>
      </c>
      <c r="D366">
        <v>0</v>
      </c>
      <c r="E366">
        <v>0</v>
      </c>
      <c r="F366">
        <v>1</v>
      </c>
      <c r="G366" s="7">
        <v>0.05</v>
      </c>
      <c r="H366">
        <v>12</v>
      </c>
      <c r="I366">
        <v>0</v>
      </c>
      <c r="J366">
        <v>0</v>
      </c>
      <c r="K366">
        <v>0</v>
      </c>
      <c r="L366">
        <v>1</v>
      </c>
      <c r="M366">
        <v>2</v>
      </c>
      <c r="N366" s="7">
        <v>9</v>
      </c>
      <c r="O366" s="7">
        <v>0</v>
      </c>
      <c r="P366" s="7">
        <v>0</v>
      </c>
      <c r="Q366" s="7">
        <v>0</v>
      </c>
      <c r="R366" s="7">
        <v>1</v>
      </c>
      <c r="S366" s="7">
        <v>4.5</v>
      </c>
      <c r="T366">
        <v>7</v>
      </c>
      <c r="U366" s="1">
        <v>35</v>
      </c>
      <c r="V366">
        <v>0</v>
      </c>
      <c r="W366">
        <v>0</v>
      </c>
      <c r="X366">
        <v>1</v>
      </c>
      <c r="Y366">
        <v>0.16</v>
      </c>
      <c r="Z366">
        <v>23</v>
      </c>
      <c r="AA366">
        <v>0</v>
      </c>
      <c r="AB366">
        <v>0</v>
      </c>
      <c r="AC366">
        <v>0</v>
      </c>
      <c r="AD366">
        <v>1</v>
      </c>
      <c r="AE366">
        <v>0.05</v>
      </c>
      <c r="AF366">
        <v>15</v>
      </c>
      <c r="AG366">
        <v>0</v>
      </c>
      <c r="AH366">
        <v>0</v>
      </c>
      <c r="AI366">
        <v>0</v>
      </c>
      <c r="AJ366">
        <v>1</v>
      </c>
      <c r="AK366">
        <v>0.01</v>
      </c>
      <c r="AL366">
        <v>16</v>
      </c>
      <c r="AM366">
        <v>0</v>
      </c>
      <c r="AN366">
        <v>0</v>
      </c>
      <c r="AO366">
        <v>0</v>
      </c>
      <c r="AP366">
        <v>1</v>
      </c>
      <c r="AQ366">
        <v>5.0000000000000001E-3</v>
      </c>
      <c r="AX366">
        <v>7</v>
      </c>
      <c r="AY366" s="1">
        <v>19</v>
      </c>
      <c r="AZ366">
        <v>0</v>
      </c>
      <c r="BA366">
        <v>0</v>
      </c>
      <c r="BB366">
        <v>1</v>
      </c>
      <c r="BC366" s="7">
        <v>0.32</v>
      </c>
      <c r="BD366">
        <v>30</v>
      </c>
      <c r="BE366">
        <v>0</v>
      </c>
      <c r="BF366">
        <v>0</v>
      </c>
      <c r="BG366">
        <v>0</v>
      </c>
      <c r="BH366">
        <v>5</v>
      </c>
      <c r="BI366">
        <v>2.4</v>
      </c>
      <c r="BJ366">
        <v>31</v>
      </c>
      <c r="BK366">
        <v>0</v>
      </c>
      <c r="BL366">
        <v>0</v>
      </c>
      <c r="BM366">
        <v>0</v>
      </c>
      <c r="BN366">
        <v>5</v>
      </c>
      <c r="BO366">
        <v>2.4</v>
      </c>
      <c r="BP366">
        <v>36</v>
      </c>
      <c r="BQ366">
        <v>0</v>
      </c>
      <c r="BR366">
        <v>0</v>
      </c>
      <c r="BS366">
        <v>0</v>
      </c>
      <c r="BT366">
        <v>5</v>
      </c>
      <c r="BU366">
        <v>2.2999999999999998</v>
      </c>
    </row>
    <row r="367" spans="1:73" x14ac:dyDescent="0.15">
      <c r="A367" s="11">
        <v>10214</v>
      </c>
      <c r="B367">
        <v>7</v>
      </c>
      <c r="C367" s="1">
        <v>48</v>
      </c>
      <c r="D367">
        <v>0</v>
      </c>
      <c r="E367">
        <v>0</v>
      </c>
      <c r="F367">
        <v>1</v>
      </c>
      <c r="G367" s="7">
        <v>0.05</v>
      </c>
      <c r="H367">
        <v>12</v>
      </c>
      <c r="I367">
        <v>0</v>
      </c>
      <c r="J367">
        <v>0</v>
      </c>
      <c r="K367">
        <v>0</v>
      </c>
      <c r="L367">
        <v>1</v>
      </c>
      <c r="M367">
        <v>2</v>
      </c>
      <c r="N367" s="7">
        <v>9</v>
      </c>
      <c r="O367" s="7">
        <v>0</v>
      </c>
      <c r="P367" s="7">
        <v>0</v>
      </c>
      <c r="Q367" s="7">
        <v>0</v>
      </c>
      <c r="R367" s="7">
        <v>1</v>
      </c>
      <c r="S367" s="7">
        <v>4.5</v>
      </c>
      <c r="T367">
        <v>7</v>
      </c>
      <c r="U367" s="1">
        <v>36</v>
      </c>
      <c r="V367">
        <v>0</v>
      </c>
      <c r="W367">
        <v>0</v>
      </c>
      <c r="X367">
        <v>1</v>
      </c>
      <c r="Y367">
        <v>0.16</v>
      </c>
      <c r="Z367">
        <v>23</v>
      </c>
      <c r="AA367">
        <v>0</v>
      </c>
      <c r="AB367">
        <v>0</v>
      </c>
      <c r="AC367">
        <v>0</v>
      </c>
      <c r="AD367">
        <v>1</v>
      </c>
      <c r="AE367">
        <v>0.05</v>
      </c>
      <c r="AF367">
        <v>15</v>
      </c>
      <c r="AG367">
        <v>0</v>
      </c>
      <c r="AH367">
        <v>0</v>
      </c>
      <c r="AI367">
        <v>0</v>
      </c>
      <c r="AJ367">
        <v>1</v>
      </c>
      <c r="AK367">
        <v>0.01</v>
      </c>
      <c r="AL367">
        <v>16</v>
      </c>
      <c r="AM367">
        <v>0</v>
      </c>
      <c r="AN367">
        <v>0</v>
      </c>
      <c r="AO367">
        <v>0</v>
      </c>
      <c r="AP367">
        <v>1</v>
      </c>
      <c r="AQ367">
        <v>5.0000000000000001E-3</v>
      </c>
      <c r="AX367">
        <v>7</v>
      </c>
      <c r="AY367" s="1">
        <v>20</v>
      </c>
      <c r="AZ367">
        <v>0</v>
      </c>
      <c r="BA367">
        <v>0</v>
      </c>
      <c r="BB367">
        <v>1</v>
      </c>
      <c r="BC367" s="7">
        <v>0.32</v>
      </c>
      <c r="BD367">
        <v>30</v>
      </c>
      <c r="BE367">
        <v>0</v>
      </c>
      <c r="BF367">
        <v>0</v>
      </c>
      <c r="BG367">
        <v>0</v>
      </c>
      <c r="BH367">
        <v>5</v>
      </c>
      <c r="BI367">
        <v>2.4</v>
      </c>
      <c r="BJ367">
        <v>31</v>
      </c>
      <c r="BK367">
        <v>0</v>
      </c>
      <c r="BL367">
        <v>0</v>
      </c>
      <c r="BM367">
        <v>0</v>
      </c>
      <c r="BN367">
        <v>5</v>
      </c>
      <c r="BO367">
        <v>2.4</v>
      </c>
      <c r="BP367">
        <v>36</v>
      </c>
      <c r="BQ367">
        <v>0</v>
      </c>
      <c r="BR367">
        <v>0</v>
      </c>
      <c r="BS367">
        <v>0</v>
      </c>
      <c r="BT367">
        <v>5</v>
      </c>
      <c r="BU367">
        <v>2.2999999999999998</v>
      </c>
    </row>
    <row r="368" spans="1:73" x14ac:dyDescent="0.15">
      <c r="A368" s="11">
        <v>10215</v>
      </c>
      <c r="B368">
        <v>7</v>
      </c>
      <c r="C368" s="1">
        <v>0</v>
      </c>
      <c r="D368">
        <v>5</v>
      </c>
      <c r="E368">
        <v>1</v>
      </c>
      <c r="F368">
        <v>1</v>
      </c>
      <c r="G368" s="7">
        <v>0.05</v>
      </c>
      <c r="H368">
        <v>12</v>
      </c>
      <c r="I368">
        <v>0</v>
      </c>
      <c r="J368">
        <v>0</v>
      </c>
      <c r="K368">
        <v>0</v>
      </c>
      <c r="L368">
        <v>1</v>
      </c>
      <c r="M368">
        <v>2</v>
      </c>
      <c r="N368" s="7">
        <v>9</v>
      </c>
      <c r="O368" s="7">
        <v>0</v>
      </c>
      <c r="P368" s="7">
        <v>0</v>
      </c>
      <c r="Q368" s="7">
        <v>0</v>
      </c>
      <c r="R368" s="7">
        <v>1</v>
      </c>
      <c r="S368" s="7">
        <v>4.5</v>
      </c>
      <c r="T368">
        <v>7</v>
      </c>
      <c r="U368" s="1">
        <v>0</v>
      </c>
      <c r="V368">
        <v>4</v>
      </c>
      <c r="W368">
        <v>2</v>
      </c>
      <c r="X368">
        <v>1</v>
      </c>
      <c r="Y368">
        <v>0.16</v>
      </c>
      <c r="Z368">
        <v>23</v>
      </c>
      <c r="AA368">
        <v>0</v>
      </c>
      <c r="AB368">
        <v>0</v>
      </c>
      <c r="AC368">
        <v>0</v>
      </c>
      <c r="AD368">
        <v>1</v>
      </c>
      <c r="AE368">
        <v>0.05</v>
      </c>
      <c r="AF368">
        <v>15</v>
      </c>
      <c r="AG368">
        <v>0</v>
      </c>
      <c r="AH368">
        <v>0</v>
      </c>
      <c r="AI368">
        <v>0</v>
      </c>
      <c r="AJ368">
        <v>1</v>
      </c>
      <c r="AK368">
        <v>0.01</v>
      </c>
      <c r="AL368">
        <v>16</v>
      </c>
      <c r="AM368">
        <v>0</v>
      </c>
      <c r="AN368">
        <v>0</v>
      </c>
      <c r="AO368">
        <v>0</v>
      </c>
      <c r="AP368">
        <v>1</v>
      </c>
      <c r="AQ368">
        <v>5.0000000000000001E-3</v>
      </c>
      <c r="AR368">
        <v>6</v>
      </c>
      <c r="AS368">
        <v>2</v>
      </c>
      <c r="AT368">
        <v>3</v>
      </c>
      <c r="AU368">
        <v>5</v>
      </c>
      <c r="AV368">
        <v>1</v>
      </c>
      <c r="AW368">
        <v>0.05</v>
      </c>
      <c r="AX368">
        <v>7</v>
      </c>
      <c r="AY368" s="1">
        <v>0</v>
      </c>
      <c r="AZ368">
        <v>3</v>
      </c>
      <c r="BA368">
        <v>1</v>
      </c>
      <c r="BB368">
        <v>1</v>
      </c>
      <c r="BC368" s="7">
        <v>0.32</v>
      </c>
      <c r="BD368">
        <v>30</v>
      </c>
      <c r="BE368">
        <v>0</v>
      </c>
      <c r="BF368">
        <v>0</v>
      </c>
      <c r="BG368">
        <v>0</v>
      </c>
      <c r="BH368">
        <v>5</v>
      </c>
      <c r="BI368">
        <v>2.4</v>
      </c>
      <c r="BJ368">
        <v>31</v>
      </c>
      <c r="BK368">
        <v>0</v>
      </c>
      <c r="BL368">
        <v>0</v>
      </c>
      <c r="BM368">
        <v>0</v>
      </c>
      <c r="BN368">
        <v>5</v>
      </c>
      <c r="BO368">
        <v>2.4</v>
      </c>
      <c r="BP368">
        <v>36</v>
      </c>
      <c r="BQ368">
        <v>0</v>
      </c>
      <c r="BR368">
        <v>0</v>
      </c>
      <c r="BS368">
        <v>0</v>
      </c>
      <c r="BT368">
        <v>5</v>
      </c>
      <c r="BU368">
        <v>2.2999999999999998</v>
      </c>
    </row>
    <row r="369" spans="1:73" x14ac:dyDescent="0.15">
      <c r="A369" s="11">
        <v>10216</v>
      </c>
      <c r="B369">
        <v>7</v>
      </c>
      <c r="C369" s="1">
        <v>45</v>
      </c>
      <c r="D369">
        <v>0</v>
      </c>
      <c r="E369">
        <v>0</v>
      </c>
      <c r="F369">
        <v>1</v>
      </c>
      <c r="G369" s="7">
        <v>0.05</v>
      </c>
      <c r="H369">
        <v>12</v>
      </c>
      <c r="I369">
        <v>0</v>
      </c>
      <c r="J369">
        <v>0</v>
      </c>
      <c r="K369">
        <v>0</v>
      </c>
      <c r="L369">
        <v>1</v>
      </c>
      <c r="M369">
        <v>2</v>
      </c>
      <c r="N369" s="7">
        <v>9</v>
      </c>
      <c r="O369" s="7">
        <v>0</v>
      </c>
      <c r="P369" s="7">
        <v>0</v>
      </c>
      <c r="Q369" s="7">
        <v>0</v>
      </c>
      <c r="R369" s="7">
        <v>1</v>
      </c>
      <c r="S369" s="7">
        <v>4.5</v>
      </c>
      <c r="T369">
        <v>7</v>
      </c>
      <c r="U369" s="1">
        <v>33</v>
      </c>
      <c r="V369">
        <v>0</v>
      </c>
      <c r="W369">
        <v>0</v>
      </c>
      <c r="X369">
        <v>1</v>
      </c>
      <c r="Y369">
        <v>0.16</v>
      </c>
      <c r="Z369">
        <v>23</v>
      </c>
      <c r="AA369">
        <v>0</v>
      </c>
      <c r="AB369">
        <v>0</v>
      </c>
      <c r="AC369">
        <v>0</v>
      </c>
      <c r="AD369">
        <v>1</v>
      </c>
      <c r="AE369">
        <v>0.05</v>
      </c>
      <c r="AF369">
        <v>15</v>
      </c>
      <c r="AG369">
        <v>0</v>
      </c>
      <c r="AH369">
        <v>0</v>
      </c>
      <c r="AI369">
        <v>0</v>
      </c>
      <c r="AJ369">
        <v>1</v>
      </c>
      <c r="AK369">
        <v>0.01</v>
      </c>
      <c r="AL369">
        <v>16</v>
      </c>
      <c r="AM369">
        <v>0</v>
      </c>
      <c r="AN369">
        <v>0</v>
      </c>
      <c r="AO369">
        <v>0</v>
      </c>
      <c r="AP369">
        <v>1</v>
      </c>
      <c r="AQ369">
        <v>5.0000000000000001E-3</v>
      </c>
      <c r="AX369">
        <v>7</v>
      </c>
      <c r="AY369" s="1">
        <v>17</v>
      </c>
      <c r="AZ369">
        <v>0</v>
      </c>
      <c r="BA369">
        <v>0</v>
      </c>
      <c r="BB369">
        <v>1</v>
      </c>
      <c r="BC369" s="7">
        <v>0.32</v>
      </c>
      <c r="BD369">
        <v>30</v>
      </c>
      <c r="BE369">
        <v>0</v>
      </c>
      <c r="BF369">
        <v>0</v>
      </c>
      <c r="BG369">
        <v>0</v>
      </c>
      <c r="BH369">
        <v>5</v>
      </c>
      <c r="BI369">
        <v>2.4</v>
      </c>
      <c r="BJ369">
        <v>31</v>
      </c>
      <c r="BK369">
        <v>0</v>
      </c>
      <c r="BL369">
        <v>0</v>
      </c>
      <c r="BM369">
        <v>0</v>
      </c>
      <c r="BN369">
        <v>5</v>
      </c>
      <c r="BO369">
        <v>2.4</v>
      </c>
      <c r="BP369">
        <v>36</v>
      </c>
      <c r="BQ369">
        <v>0</v>
      </c>
      <c r="BR369">
        <v>0</v>
      </c>
      <c r="BS369">
        <v>0</v>
      </c>
      <c r="BT369">
        <v>5</v>
      </c>
      <c r="BU369">
        <v>2.2999999999999998</v>
      </c>
    </row>
    <row r="370" spans="1:73" x14ac:dyDescent="0.15">
      <c r="A370" s="11">
        <v>10217</v>
      </c>
      <c r="B370">
        <v>7</v>
      </c>
      <c r="C370" s="1">
        <v>46</v>
      </c>
      <c r="D370">
        <v>0</v>
      </c>
      <c r="E370">
        <v>0</v>
      </c>
      <c r="F370">
        <v>1</v>
      </c>
      <c r="G370" s="7">
        <v>0.05</v>
      </c>
      <c r="H370">
        <v>12</v>
      </c>
      <c r="I370">
        <v>0</v>
      </c>
      <c r="J370">
        <v>0</v>
      </c>
      <c r="K370">
        <v>0</v>
      </c>
      <c r="L370">
        <v>1</v>
      </c>
      <c r="M370">
        <v>2</v>
      </c>
      <c r="N370" s="7">
        <v>9</v>
      </c>
      <c r="O370" s="7">
        <v>0</v>
      </c>
      <c r="P370" s="7">
        <v>0</v>
      </c>
      <c r="Q370" s="7">
        <v>0</v>
      </c>
      <c r="R370" s="7">
        <v>1</v>
      </c>
      <c r="S370" s="7">
        <v>4.5</v>
      </c>
      <c r="T370">
        <v>7</v>
      </c>
      <c r="U370" s="1">
        <v>34</v>
      </c>
      <c r="V370">
        <v>0</v>
      </c>
      <c r="W370">
        <v>0</v>
      </c>
      <c r="X370">
        <v>1</v>
      </c>
      <c r="Y370">
        <v>0.16</v>
      </c>
      <c r="Z370">
        <v>23</v>
      </c>
      <c r="AA370">
        <v>0</v>
      </c>
      <c r="AB370">
        <v>0</v>
      </c>
      <c r="AC370">
        <v>0</v>
      </c>
      <c r="AD370">
        <v>1</v>
      </c>
      <c r="AE370">
        <v>0.05</v>
      </c>
      <c r="AF370">
        <v>15</v>
      </c>
      <c r="AG370">
        <v>0</v>
      </c>
      <c r="AH370">
        <v>0</v>
      </c>
      <c r="AI370">
        <v>0</v>
      </c>
      <c r="AJ370">
        <v>1</v>
      </c>
      <c r="AK370">
        <v>0.01</v>
      </c>
      <c r="AL370">
        <v>16</v>
      </c>
      <c r="AM370">
        <v>0</v>
      </c>
      <c r="AN370">
        <v>0</v>
      </c>
      <c r="AO370">
        <v>0</v>
      </c>
      <c r="AP370">
        <v>1</v>
      </c>
      <c r="AQ370">
        <v>5.0000000000000001E-3</v>
      </c>
      <c r="AX370">
        <v>7</v>
      </c>
      <c r="AY370" s="1">
        <v>18</v>
      </c>
      <c r="AZ370">
        <v>0</v>
      </c>
      <c r="BA370">
        <v>0</v>
      </c>
      <c r="BB370">
        <v>1</v>
      </c>
      <c r="BC370" s="7">
        <v>0.32</v>
      </c>
      <c r="BD370">
        <v>30</v>
      </c>
      <c r="BE370">
        <v>0</v>
      </c>
      <c r="BF370">
        <v>0</v>
      </c>
      <c r="BG370">
        <v>0</v>
      </c>
      <c r="BH370">
        <v>5</v>
      </c>
      <c r="BI370">
        <v>2.4</v>
      </c>
      <c r="BJ370">
        <v>31</v>
      </c>
      <c r="BK370">
        <v>0</v>
      </c>
      <c r="BL370">
        <v>0</v>
      </c>
      <c r="BM370">
        <v>0</v>
      </c>
      <c r="BN370">
        <v>5</v>
      </c>
      <c r="BO370">
        <v>2.4</v>
      </c>
      <c r="BP370">
        <v>36</v>
      </c>
      <c r="BQ370">
        <v>0</v>
      </c>
      <c r="BR370">
        <v>0</v>
      </c>
      <c r="BS370">
        <v>0</v>
      </c>
      <c r="BT370">
        <v>5</v>
      </c>
      <c r="BU370">
        <v>2.2999999999999998</v>
      </c>
    </row>
    <row r="371" spans="1:73" x14ac:dyDescent="0.15">
      <c r="A371" s="11">
        <v>10218</v>
      </c>
      <c r="B371">
        <v>7</v>
      </c>
      <c r="C371" s="1">
        <v>47</v>
      </c>
      <c r="D371">
        <v>0</v>
      </c>
      <c r="E371">
        <v>0</v>
      </c>
      <c r="F371">
        <v>1</v>
      </c>
      <c r="G371" s="7">
        <v>0.05</v>
      </c>
      <c r="H371">
        <v>12</v>
      </c>
      <c r="I371">
        <v>0</v>
      </c>
      <c r="J371">
        <v>0</v>
      </c>
      <c r="K371">
        <v>0</v>
      </c>
      <c r="L371">
        <v>1</v>
      </c>
      <c r="M371">
        <v>2</v>
      </c>
      <c r="N371" s="7">
        <v>9</v>
      </c>
      <c r="O371" s="7">
        <v>0</v>
      </c>
      <c r="P371" s="7">
        <v>0</v>
      </c>
      <c r="Q371" s="7">
        <v>0</v>
      </c>
      <c r="R371" s="7">
        <v>1</v>
      </c>
      <c r="S371" s="7">
        <v>4.5</v>
      </c>
      <c r="T371">
        <v>7</v>
      </c>
      <c r="U371" s="1">
        <v>35</v>
      </c>
      <c r="V371">
        <v>0</v>
      </c>
      <c r="W371">
        <v>0</v>
      </c>
      <c r="X371">
        <v>1</v>
      </c>
      <c r="Y371">
        <v>0.16</v>
      </c>
      <c r="Z371">
        <v>23</v>
      </c>
      <c r="AA371">
        <v>0</v>
      </c>
      <c r="AB371">
        <v>0</v>
      </c>
      <c r="AC371">
        <v>0</v>
      </c>
      <c r="AD371">
        <v>1</v>
      </c>
      <c r="AE371">
        <v>0.05</v>
      </c>
      <c r="AF371">
        <v>15</v>
      </c>
      <c r="AG371">
        <v>0</v>
      </c>
      <c r="AH371">
        <v>0</v>
      </c>
      <c r="AI371">
        <v>0</v>
      </c>
      <c r="AJ371">
        <v>1</v>
      </c>
      <c r="AK371">
        <v>0.01</v>
      </c>
      <c r="AL371">
        <v>16</v>
      </c>
      <c r="AM371">
        <v>0</v>
      </c>
      <c r="AN371">
        <v>0</v>
      </c>
      <c r="AO371">
        <v>0</v>
      </c>
      <c r="AP371">
        <v>1</v>
      </c>
      <c r="AQ371">
        <v>5.0000000000000001E-3</v>
      </c>
      <c r="AX371">
        <v>7</v>
      </c>
      <c r="AY371" s="1">
        <v>19</v>
      </c>
      <c r="AZ371">
        <v>0</v>
      </c>
      <c r="BA371">
        <v>0</v>
      </c>
      <c r="BB371">
        <v>1</v>
      </c>
      <c r="BC371" s="7">
        <v>0.32</v>
      </c>
      <c r="BD371">
        <v>30</v>
      </c>
      <c r="BE371">
        <v>0</v>
      </c>
      <c r="BF371">
        <v>0</v>
      </c>
      <c r="BG371">
        <v>0</v>
      </c>
      <c r="BH371">
        <v>5</v>
      </c>
      <c r="BI371">
        <v>2.4</v>
      </c>
      <c r="BJ371">
        <v>31</v>
      </c>
      <c r="BK371">
        <v>0</v>
      </c>
      <c r="BL371">
        <v>0</v>
      </c>
      <c r="BM371">
        <v>0</v>
      </c>
      <c r="BN371">
        <v>5</v>
      </c>
      <c r="BO371">
        <v>2.4</v>
      </c>
      <c r="BP371">
        <v>36</v>
      </c>
      <c r="BQ371">
        <v>0</v>
      </c>
      <c r="BR371">
        <v>0</v>
      </c>
      <c r="BS371">
        <v>0</v>
      </c>
      <c r="BT371">
        <v>5</v>
      </c>
      <c r="BU371">
        <v>2.2999999999999998</v>
      </c>
    </row>
    <row r="372" spans="1:73" x14ac:dyDescent="0.15">
      <c r="A372" s="11">
        <v>10219</v>
      </c>
      <c r="B372">
        <v>7</v>
      </c>
      <c r="C372" s="1">
        <v>48</v>
      </c>
      <c r="D372">
        <v>0</v>
      </c>
      <c r="E372">
        <v>0</v>
      </c>
      <c r="F372">
        <v>1</v>
      </c>
      <c r="G372" s="7">
        <v>0.05</v>
      </c>
      <c r="H372">
        <v>12</v>
      </c>
      <c r="I372">
        <v>0</v>
      </c>
      <c r="J372">
        <v>0</v>
      </c>
      <c r="K372">
        <v>0</v>
      </c>
      <c r="L372">
        <v>1</v>
      </c>
      <c r="M372">
        <v>2</v>
      </c>
      <c r="N372" s="7">
        <v>9</v>
      </c>
      <c r="O372" s="7">
        <v>0</v>
      </c>
      <c r="P372" s="7">
        <v>0</v>
      </c>
      <c r="Q372" s="7">
        <v>0</v>
      </c>
      <c r="R372" s="7">
        <v>1</v>
      </c>
      <c r="S372" s="7">
        <v>4.5</v>
      </c>
      <c r="T372">
        <v>7</v>
      </c>
      <c r="U372" s="1">
        <v>36</v>
      </c>
      <c r="V372">
        <v>0</v>
      </c>
      <c r="W372">
        <v>0</v>
      </c>
      <c r="X372">
        <v>1</v>
      </c>
      <c r="Y372">
        <v>0.16</v>
      </c>
      <c r="Z372">
        <v>23</v>
      </c>
      <c r="AA372">
        <v>0</v>
      </c>
      <c r="AB372">
        <v>0</v>
      </c>
      <c r="AC372">
        <v>0</v>
      </c>
      <c r="AD372">
        <v>1</v>
      </c>
      <c r="AE372">
        <v>0.05</v>
      </c>
      <c r="AF372">
        <v>15</v>
      </c>
      <c r="AG372">
        <v>0</v>
      </c>
      <c r="AH372">
        <v>0</v>
      </c>
      <c r="AI372">
        <v>0</v>
      </c>
      <c r="AJ372">
        <v>1</v>
      </c>
      <c r="AK372">
        <v>0.01</v>
      </c>
      <c r="AL372">
        <v>16</v>
      </c>
      <c r="AM372">
        <v>0</v>
      </c>
      <c r="AN372">
        <v>0</v>
      </c>
      <c r="AO372">
        <v>0</v>
      </c>
      <c r="AP372">
        <v>1</v>
      </c>
      <c r="AQ372">
        <v>5.0000000000000001E-3</v>
      </c>
      <c r="AX372">
        <v>7</v>
      </c>
      <c r="AY372" s="1">
        <v>20</v>
      </c>
      <c r="AZ372">
        <v>0</v>
      </c>
      <c r="BA372">
        <v>0</v>
      </c>
      <c r="BB372">
        <v>1</v>
      </c>
      <c r="BC372" s="7">
        <v>0.32</v>
      </c>
      <c r="BD372">
        <v>30</v>
      </c>
      <c r="BE372">
        <v>0</v>
      </c>
      <c r="BF372">
        <v>0</v>
      </c>
      <c r="BG372">
        <v>0</v>
      </c>
      <c r="BH372">
        <v>5</v>
      </c>
      <c r="BI372">
        <v>2.4</v>
      </c>
      <c r="BJ372">
        <v>31</v>
      </c>
      <c r="BK372">
        <v>0</v>
      </c>
      <c r="BL372">
        <v>0</v>
      </c>
      <c r="BM372">
        <v>0</v>
      </c>
      <c r="BN372">
        <v>5</v>
      </c>
      <c r="BO372">
        <v>2.4</v>
      </c>
      <c r="BP372">
        <v>36</v>
      </c>
      <c r="BQ372">
        <v>0</v>
      </c>
      <c r="BR372">
        <v>0</v>
      </c>
      <c r="BS372">
        <v>0</v>
      </c>
      <c r="BT372">
        <v>5</v>
      </c>
      <c r="BU372">
        <v>2.2999999999999998</v>
      </c>
    </row>
    <row r="373" spans="1:73" x14ac:dyDescent="0.15">
      <c r="A373" s="11">
        <v>10220</v>
      </c>
      <c r="B373">
        <v>7</v>
      </c>
      <c r="C373" s="1">
        <v>0</v>
      </c>
      <c r="D373">
        <v>5</v>
      </c>
      <c r="E373">
        <v>1</v>
      </c>
      <c r="F373">
        <v>1</v>
      </c>
      <c r="G373" s="7">
        <v>0.05</v>
      </c>
      <c r="H373">
        <v>12</v>
      </c>
      <c r="I373">
        <v>0</v>
      </c>
      <c r="J373">
        <v>0</v>
      </c>
      <c r="K373">
        <v>0</v>
      </c>
      <c r="L373">
        <v>1</v>
      </c>
      <c r="M373">
        <v>2</v>
      </c>
      <c r="N373" s="7">
        <v>9</v>
      </c>
      <c r="O373" s="7">
        <v>0</v>
      </c>
      <c r="P373" s="7">
        <v>0</v>
      </c>
      <c r="Q373" s="7">
        <v>0</v>
      </c>
      <c r="R373" s="7">
        <v>1</v>
      </c>
      <c r="S373" s="7">
        <v>4.5</v>
      </c>
      <c r="T373">
        <v>7</v>
      </c>
      <c r="U373" s="1">
        <v>0</v>
      </c>
      <c r="V373">
        <v>4</v>
      </c>
      <c r="W373">
        <v>2</v>
      </c>
      <c r="X373">
        <v>1</v>
      </c>
      <c r="Y373">
        <v>0.16</v>
      </c>
      <c r="Z373">
        <v>23</v>
      </c>
      <c r="AA373">
        <v>0</v>
      </c>
      <c r="AB373">
        <v>0</v>
      </c>
      <c r="AC373">
        <v>0</v>
      </c>
      <c r="AD373">
        <v>1</v>
      </c>
      <c r="AE373">
        <v>0.05</v>
      </c>
      <c r="AF373">
        <v>15</v>
      </c>
      <c r="AG373">
        <v>0</v>
      </c>
      <c r="AH373">
        <v>0</v>
      </c>
      <c r="AI373">
        <v>0</v>
      </c>
      <c r="AJ373">
        <v>1</v>
      </c>
      <c r="AK373">
        <v>0.01</v>
      </c>
      <c r="AL373">
        <v>16</v>
      </c>
      <c r="AM373">
        <v>0</v>
      </c>
      <c r="AN373">
        <v>0</v>
      </c>
      <c r="AO373">
        <v>0</v>
      </c>
      <c r="AP373">
        <v>1</v>
      </c>
      <c r="AQ373">
        <v>5.0000000000000001E-3</v>
      </c>
      <c r="AR373">
        <v>6</v>
      </c>
      <c r="AS373">
        <v>2</v>
      </c>
      <c r="AT373">
        <v>4</v>
      </c>
      <c r="AU373">
        <v>5</v>
      </c>
      <c r="AV373">
        <v>1</v>
      </c>
      <c r="AW373">
        <v>0.01</v>
      </c>
      <c r="AX373">
        <v>7</v>
      </c>
      <c r="AY373" s="1">
        <v>0</v>
      </c>
      <c r="AZ373">
        <v>3</v>
      </c>
      <c r="BA373">
        <v>1</v>
      </c>
      <c r="BB373">
        <v>1</v>
      </c>
      <c r="BC373" s="7">
        <v>0.32</v>
      </c>
      <c r="BD373">
        <v>30</v>
      </c>
      <c r="BE373">
        <v>0</v>
      </c>
      <c r="BF373">
        <v>0</v>
      </c>
      <c r="BG373">
        <v>0</v>
      </c>
      <c r="BH373">
        <v>5</v>
      </c>
      <c r="BI373">
        <v>2.4</v>
      </c>
      <c r="BJ373">
        <v>31</v>
      </c>
      <c r="BK373">
        <v>0</v>
      </c>
      <c r="BL373">
        <v>0</v>
      </c>
      <c r="BM373">
        <v>0</v>
      </c>
      <c r="BN373">
        <v>5</v>
      </c>
      <c r="BO373">
        <v>2.4</v>
      </c>
      <c r="BP373">
        <v>36</v>
      </c>
      <c r="BQ373">
        <v>0</v>
      </c>
      <c r="BR373">
        <v>0</v>
      </c>
      <c r="BS373">
        <v>0</v>
      </c>
      <c r="BT373">
        <v>5</v>
      </c>
      <c r="BU373">
        <v>2.2999999999999998</v>
      </c>
    </row>
    <row r="374" spans="1:73" x14ac:dyDescent="0.15">
      <c r="A374" s="11">
        <v>10221</v>
      </c>
      <c r="B374">
        <v>7</v>
      </c>
      <c r="C374" s="1">
        <v>45</v>
      </c>
      <c r="D374">
        <v>0</v>
      </c>
      <c r="E374">
        <v>0</v>
      </c>
      <c r="F374">
        <v>1</v>
      </c>
      <c r="G374" s="7">
        <v>0.05</v>
      </c>
      <c r="H374">
        <v>12</v>
      </c>
      <c r="I374">
        <v>0</v>
      </c>
      <c r="J374">
        <v>0</v>
      </c>
      <c r="K374">
        <v>0</v>
      </c>
      <c r="L374">
        <v>1</v>
      </c>
      <c r="M374">
        <v>2</v>
      </c>
      <c r="N374" s="7">
        <v>9</v>
      </c>
      <c r="O374" s="7">
        <v>0</v>
      </c>
      <c r="P374" s="7">
        <v>0</v>
      </c>
      <c r="Q374" s="7">
        <v>0</v>
      </c>
      <c r="R374" s="7">
        <v>1</v>
      </c>
      <c r="S374" s="7">
        <v>4.5</v>
      </c>
      <c r="T374">
        <v>7</v>
      </c>
      <c r="U374" s="1">
        <v>33</v>
      </c>
      <c r="V374">
        <v>0</v>
      </c>
      <c r="W374">
        <v>0</v>
      </c>
      <c r="X374">
        <v>1</v>
      </c>
      <c r="Y374">
        <v>0.16</v>
      </c>
      <c r="Z374">
        <v>23</v>
      </c>
      <c r="AA374">
        <v>0</v>
      </c>
      <c r="AB374">
        <v>0</v>
      </c>
      <c r="AC374">
        <v>0</v>
      </c>
      <c r="AD374">
        <v>1</v>
      </c>
      <c r="AE374">
        <v>0.05</v>
      </c>
      <c r="AF374">
        <v>15</v>
      </c>
      <c r="AG374">
        <v>0</v>
      </c>
      <c r="AH374">
        <v>0</v>
      </c>
      <c r="AI374">
        <v>0</v>
      </c>
      <c r="AJ374">
        <v>1</v>
      </c>
      <c r="AK374">
        <v>0.01</v>
      </c>
      <c r="AL374">
        <v>16</v>
      </c>
      <c r="AM374">
        <v>0</v>
      </c>
      <c r="AN374">
        <v>0</v>
      </c>
      <c r="AO374">
        <v>0</v>
      </c>
      <c r="AP374">
        <v>1</v>
      </c>
      <c r="AQ374">
        <v>5.0000000000000001E-3</v>
      </c>
      <c r="AX374">
        <v>7</v>
      </c>
      <c r="AY374" s="1">
        <v>17</v>
      </c>
      <c r="AZ374">
        <v>0</v>
      </c>
      <c r="BA374">
        <v>0</v>
      </c>
      <c r="BB374">
        <v>1</v>
      </c>
      <c r="BC374" s="7">
        <v>0.32</v>
      </c>
      <c r="BD374">
        <v>30</v>
      </c>
      <c r="BE374">
        <v>0</v>
      </c>
      <c r="BF374">
        <v>0</v>
      </c>
      <c r="BG374">
        <v>0</v>
      </c>
      <c r="BH374">
        <v>5</v>
      </c>
      <c r="BI374">
        <v>2.4</v>
      </c>
      <c r="BJ374">
        <v>31</v>
      </c>
      <c r="BK374">
        <v>0</v>
      </c>
      <c r="BL374">
        <v>0</v>
      </c>
      <c r="BM374">
        <v>0</v>
      </c>
      <c r="BN374">
        <v>5</v>
      </c>
      <c r="BO374">
        <v>2.4</v>
      </c>
      <c r="BP374">
        <v>36</v>
      </c>
      <c r="BQ374">
        <v>0</v>
      </c>
      <c r="BR374">
        <v>0</v>
      </c>
      <c r="BS374">
        <v>0</v>
      </c>
      <c r="BT374">
        <v>5</v>
      </c>
      <c r="BU374">
        <v>2.2999999999999998</v>
      </c>
    </row>
    <row r="375" spans="1:73" x14ac:dyDescent="0.15">
      <c r="A375" s="11">
        <v>10222</v>
      </c>
      <c r="B375">
        <v>7</v>
      </c>
      <c r="C375" s="1">
        <v>46</v>
      </c>
      <c r="D375">
        <v>0</v>
      </c>
      <c r="E375">
        <v>0</v>
      </c>
      <c r="F375">
        <v>1</v>
      </c>
      <c r="G375" s="7">
        <v>0.05</v>
      </c>
      <c r="H375">
        <v>12</v>
      </c>
      <c r="I375">
        <v>0</v>
      </c>
      <c r="J375">
        <v>0</v>
      </c>
      <c r="K375">
        <v>0</v>
      </c>
      <c r="L375">
        <v>1</v>
      </c>
      <c r="M375">
        <v>2</v>
      </c>
      <c r="N375" s="7">
        <v>9</v>
      </c>
      <c r="O375" s="7">
        <v>0</v>
      </c>
      <c r="P375" s="7">
        <v>0</v>
      </c>
      <c r="Q375" s="7">
        <v>0</v>
      </c>
      <c r="R375" s="7">
        <v>1</v>
      </c>
      <c r="S375" s="7">
        <v>4.5</v>
      </c>
      <c r="T375">
        <v>7</v>
      </c>
      <c r="U375" s="1">
        <v>34</v>
      </c>
      <c r="V375">
        <v>0</v>
      </c>
      <c r="W375">
        <v>0</v>
      </c>
      <c r="X375">
        <v>1</v>
      </c>
      <c r="Y375">
        <v>0.16</v>
      </c>
      <c r="Z375">
        <v>23</v>
      </c>
      <c r="AA375">
        <v>0</v>
      </c>
      <c r="AB375">
        <v>0</v>
      </c>
      <c r="AC375">
        <v>0</v>
      </c>
      <c r="AD375">
        <v>1</v>
      </c>
      <c r="AE375">
        <v>0.05</v>
      </c>
      <c r="AF375">
        <v>15</v>
      </c>
      <c r="AG375">
        <v>0</v>
      </c>
      <c r="AH375">
        <v>0</v>
      </c>
      <c r="AI375">
        <v>0</v>
      </c>
      <c r="AJ375">
        <v>1</v>
      </c>
      <c r="AK375">
        <v>0.01</v>
      </c>
      <c r="AL375">
        <v>16</v>
      </c>
      <c r="AM375">
        <v>0</v>
      </c>
      <c r="AN375">
        <v>0</v>
      </c>
      <c r="AO375">
        <v>0</v>
      </c>
      <c r="AP375">
        <v>1</v>
      </c>
      <c r="AQ375">
        <v>5.0000000000000001E-3</v>
      </c>
      <c r="AX375">
        <v>7</v>
      </c>
      <c r="AY375" s="1">
        <v>18</v>
      </c>
      <c r="AZ375">
        <v>0</v>
      </c>
      <c r="BA375">
        <v>0</v>
      </c>
      <c r="BB375">
        <v>1</v>
      </c>
      <c r="BC375" s="7">
        <v>0.32</v>
      </c>
      <c r="BD375">
        <v>30</v>
      </c>
      <c r="BE375">
        <v>0</v>
      </c>
      <c r="BF375">
        <v>0</v>
      </c>
      <c r="BG375">
        <v>0</v>
      </c>
      <c r="BH375">
        <v>5</v>
      </c>
      <c r="BI375">
        <v>2.4</v>
      </c>
      <c r="BJ375">
        <v>31</v>
      </c>
      <c r="BK375">
        <v>0</v>
      </c>
      <c r="BL375">
        <v>0</v>
      </c>
      <c r="BM375">
        <v>0</v>
      </c>
      <c r="BN375">
        <v>5</v>
      </c>
      <c r="BO375">
        <v>2.4</v>
      </c>
      <c r="BP375">
        <v>36</v>
      </c>
      <c r="BQ375">
        <v>0</v>
      </c>
      <c r="BR375">
        <v>0</v>
      </c>
      <c r="BS375">
        <v>0</v>
      </c>
      <c r="BT375">
        <v>5</v>
      </c>
      <c r="BU375">
        <v>2.2999999999999998</v>
      </c>
    </row>
    <row r="376" spans="1:73" x14ac:dyDescent="0.15">
      <c r="A376" s="11">
        <v>10223</v>
      </c>
      <c r="B376">
        <v>7</v>
      </c>
      <c r="C376" s="1">
        <v>47</v>
      </c>
      <c r="D376">
        <v>0</v>
      </c>
      <c r="E376">
        <v>0</v>
      </c>
      <c r="F376">
        <v>1</v>
      </c>
      <c r="G376" s="7">
        <v>0.05</v>
      </c>
      <c r="H376">
        <v>12</v>
      </c>
      <c r="I376">
        <v>0</v>
      </c>
      <c r="J376">
        <v>0</v>
      </c>
      <c r="K376">
        <v>0</v>
      </c>
      <c r="L376">
        <v>1</v>
      </c>
      <c r="M376">
        <v>2</v>
      </c>
      <c r="N376" s="7">
        <v>9</v>
      </c>
      <c r="O376" s="7">
        <v>0</v>
      </c>
      <c r="P376" s="7">
        <v>0</v>
      </c>
      <c r="Q376" s="7">
        <v>0</v>
      </c>
      <c r="R376" s="7">
        <v>1</v>
      </c>
      <c r="S376" s="7">
        <v>4.5</v>
      </c>
      <c r="T376">
        <v>7</v>
      </c>
      <c r="U376" s="1">
        <v>35</v>
      </c>
      <c r="V376">
        <v>0</v>
      </c>
      <c r="W376">
        <v>0</v>
      </c>
      <c r="X376">
        <v>1</v>
      </c>
      <c r="Y376">
        <v>0.16</v>
      </c>
      <c r="Z376">
        <v>23</v>
      </c>
      <c r="AA376">
        <v>0</v>
      </c>
      <c r="AB376">
        <v>0</v>
      </c>
      <c r="AC376">
        <v>0</v>
      </c>
      <c r="AD376">
        <v>1</v>
      </c>
      <c r="AE376">
        <v>0.05</v>
      </c>
      <c r="AF376">
        <v>15</v>
      </c>
      <c r="AG376">
        <v>0</v>
      </c>
      <c r="AH376">
        <v>0</v>
      </c>
      <c r="AI376">
        <v>0</v>
      </c>
      <c r="AJ376">
        <v>1</v>
      </c>
      <c r="AK376">
        <v>0.01</v>
      </c>
      <c r="AL376">
        <v>16</v>
      </c>
      <c r="AM376">
        <v>0</v>
      </c>
      <c r="AN376">
        <v>0</v>
      </c>
      <c r="AO376">
        <v>0</v>
      </c>
      <c r="AP376">
        <v>1</v>
      </c>
      <c r="AQ376">
        <v>5.0000000000000001E-3</v>
      </c>
      <c r="AX376">
        <v>7</v>
      </c>
      <c r="AY376" s="1">
        <v>19</v>
      </c>
      <c r="AZ376">
        <v>0</v>
      </c>
      <c r="BA376">
        <v>0</v>
      </c>
      <c r="BB376">
        <v>1</v>
      </c>
      <c r="BC376" s="7">
        <v>0.32</v>
      </c>
      <c r="BD376">
        <v>30</v>
      </c>
      <c r="BE376">
        <v>0</v>
      </c>
      <c r="BF376">
        <v>0</v>
      </c>
      <c r="BG376">
        <v>0</v>
      </c>
      <c r="BH376">
        <v>5</v>
      </c>
      <c r="BI376">
        <v>2.4</v>
      </c>
      <c r="BJ376">
        <v>31</v>
      </c>
      <c r="BK376">
        <v>0</v>
      </c>
      <c r="BL376">
        <v>0</v>
      </c>
      <c r="BM376">
        <v>0</v>
      </c>
      <c r="BN376">
        <v>5</v>
      </c>
      <c r="BO376">
        <v>2.4</v>
      </c>
      <c r="BP376">
        <v>36</v>
      </c>
      <c r="BQ376">
        <v>0</v>
      </c>
      <c r="BR376">
        <v>0</v>
      </c>
      <c r="BS376">
        <v>0</v>
      </c>
      <c r="BT376">
        <v>5</v>
      </c>
      <c r="BU376">
        <v>2.2999999999999998</v>
      </c>
    </row>
    <row r="377" spans="1:73" x14ac:dyDescent="0.15">
      <c r="A377" s="11">
        <v>10224</v>
      </c>
      <c r="B377">
        <v>7</v>
      </c>
      <c r="C377" s="1">
        <v>48</v>
      </c>
      <c r="D377">
        <v>0</v>
      </c>
      <c r="E377">
        <v>0</v>
      </c>
      <c r="F377">
        <v>1</v>
      </c>
      <c r="G377" s="7">
        <v>0.05</v>
      </c>
      <c r="H377">
        <v>12</v>
      </c>
      <c r="I377">
        <v>0</v>
      </c>
      <c r="J377">
        <v>0</v>
      </c>
      <c r="K377">
        <v>0</v>
      </c>
      <c r="L377">
        <v>1</v>
      </c>
      <c r="M377">
        <v>2</v>
      </c>
      <c r="N377" s="7">
        <v>9</v>
      </c>
      <c r="O377" s="7">
        <v>0</v>
      </c>
      <c r="P377" s="7">
        <v>0</v>
      </c>
      <c r="Q377" s="7">
        <v>0</v>
      </c>
      <c r="R377" s="7">
        <v>1</v>
      </c>
      <c r="S377" s="7">
        <v>4.5</v>
      </c>
      <c r="T377">
        <v>7</v>
      </c>
      <c r="U377" s="1">
        <v>36</v>
      </c>
      <c r="V377">
        <v>0</v>
      </c>
      <c r="W377">
        <v>0</v>
      </c>
      <c r="X377">
        <v>1</v>
      </c>
      <c r="Y377">
        <v>0.16</v>
      </c>
      <c r="Z377">
        <v>23</v>
      </c>
      <c r="AA377">
        <v>0</v>
      </c>
      <c r="AB377">
        <v>0</v>
      </c>
      <c r="AC377">
        <v>0</v>
      </c>
      <c r="AD377">
        <v>1</v>
      </c>
      <c r="AE377">
        <v>0.05</v>
      </c>
      <c r="AF377">
        <v>15</v>
      </c>
      <c r="AG377">
        <v>0</v>
      </c>
      <c r="AH377">
        <v>0</v>
      </c>
      <c r="AI377">
        <v>0</v>
      </c>
      <c r="AJ377">
        <v>1</v>
      </c>
      <c r="AK377">
        <v>0.01</v>
      </c>
      <c r="AL377">
        <v>16</v>
      </c>
      <c r="AM377">
        <v>0</v>
      </c>
      <c r="AN377">
        <v>0</v>
      </c>
      <c r="AO377">
        <v>0</v>
      </c>
      <c r="AP377">
        <v>1</v>
      </c>
      <c r="AQ377">
        <v>5.0000000000000001E-3</v>
      </c>
      <c r="AX377">
        <v>7</v>
      </c>
      <c r="AY377" s="1">
        <v>20</v>
      </c>
      <c r="AZ377">
        <v>0</v>
      </c>
      <c r="BA377">
        <v>0</v>
      </c>
      <c r="BB377">
        <v>1</v>
      </c>
      <c r="BC377" s="7">
        <v>0.32</v>
      </c>
      <c r="BD377">
        <v>30</v>
      </c>
      <c r="BE377">
        <v>0</v>
      </c>
      <c r="BF377">
        <v>0</v>
      </c>
      <c r="BG377">
        <v>0</v>
      </c>
      <c r="BH377">
        <v>5</v>
      </c>
      <c r="BI377">
        <v>2.4</v>
      </c>
      <c r="BJ377">
        <v>31</v>
      </c>
      <c r="BK377">
        <v>0</v>
      </c>
      <c r="BL377">
        <v>0</v>
      </c>
      <c r="BM377">
        <v>0</v>
      </c>
      <c r="BN377">
        <v>5</v>
      </c>
      <c r="BO377">
        <v>2.4</v>
      </c>
      <c r="BP377">
        <v>36</v>
      </c>
      <c r="BQ377">
        <v>0</v>
      </c>
      <c r="BR377">
        <v>0</v>
      </c>
      <c r="BS377">
        <v>0</v>
      </c>
      <c r="BT377">
        <v>5</v>
      </c>
      <c r="BU377">
        <v>2.2999999999999998</v>
      </c>
    </row>
    <row r="378" spans="1:73" x14ac:dyDescent="0.15">
      <c r="A378" s="11">
        <v>10225</v>
      </c>
      <c r="B378">
        <v>7</v>
      </c>
      <c r="C378" s="1">
        <v>0</v>
      </c>
      <c r="D378">
        <v>5</v>
      </c>
      <c r="E378">
        <v>1</v>
      </c>
      <c r="F378">
        <v>1</v>
      </c>
      <c r="G378" s="7">
        <v>0.05</v>
      </c>
      <c r="H378">
        <v>12</v>
      </c>
      <c r="I378">
        <v>0</v>
      </c>
      <c r="J378">
        <v>0</v>
      </c>
      <c r="K378">
        <v>0</v>
      </c>
      <c r="L378">
        <v>1</v>
      </c>
      <c r="M378">
        <v>2</v>
      </c>
      <c r="N378" s="7">
        <v>9</v>
      </c>
      <c r="O378" s="7">
        <v>0</v>
      </c>
      <c r="P378" s="7">
        <v>0</v>
      </c>
      <c r="Q378" s="7">
        <v>0</v>
      </c>
      <c r="R378" s="7">
        <v>1</v>
      </c>
      <c r="S378" s="7">
        <v>4.5</v>
      </c>
      <c r="T378">
        <v>7</v>
      </c>
      <c r="U378" s="1">
        <v>0</v>
      </c>
      <c r="V378">
        <v>4</v>
      </c>
      <c r="W378">
        <v>2</v>
      </c>
      <c r="X378">
        <v>1</v>
      </c>
      <c r="Y378">
        <v>0.16</v>
      </c>
      <c r="Z378">
        <v>23</v>
      </c>
      <c r="AA378">
        <v>0</v>
      </c>
      <c r="AB378">
        <v>0</v>
      </c>
      <c r="AC378">
        <v>0</v>
      </c>
      <c r="AD378">
        <v>1</v>
      </c>
      <c r="AE378">
        <v>0.05</v>
      </c>
      <c r="AF378">
        <v>15</v>
      </c>
      <c r="AG378">
        <v>0</v>
      </c>
      <c r="AH378">
        <v>0</v>
      </c>
      <c r="AI378">
        <v>0</v>
      </c>
      <c r="AJ378">
        <v>1</v>
      </c>
      <c r="AK378">
        <v>0.01</v>
      </c>
      <c r="AL378">
        <v>16</v>
      </c>
      <c r="AM378">
        <v>0</v>
      </c>
      <c r="AN378">
        <v>0</v>
      </c>
      <c r="AO378">
        <v>0</v>
      </c>
      <c r="AP378">
        <v>1</v>
      </c>
      <c r="AQ378">
        <v>5.0000000000000001E-3</v>
      </c>
      <c r="AR378">
        <v>6</v>
      </c>
      <c r="AS378">
        <v>2</v>
      </c>
      <c r="AT378">
        <v>5</v>
      </c>
      <c r="AU378">
        <v>5</v>
      </c>
      <c r="AV378">
        <v>1</v>
      </c>
      <c r="AW378">
        <v>0.01</v>
      </c>
      <c r="AX378">
        <v>7</v>
      </c>
      <c r="AY378" s="1">
        <v>0</v>
      </c>
      <c r="AZ378">
        <v>3</v>
      </c>
      <c r="BA378">
        <v>1</v>
      </c>
      <c r="BB378">
        <v>1</v>
      </c>
      <c r="BC378" s="7">
        <v>0.32</v>
      </c>
      <c r="BD378">
        <v>30</v>
      </c>
      <c r="BE378">
        <v>0</v>
      </c>
      <c r="BF378">
        <v>0</v>
      </c>
      <c r="BG378">
        <v>0</v>
      </c>
      <c r="BH378">
        <v>5</v>
      </c>
      <c r="BI378">
        <v>2.4</v>
      </c>
      <c r="BJ378">
        <v>31</v>
      </c>
      <c r="BK378">
        <v>0</v>
      </c>
      <c r="BL378">
        <v>0</v>
      </c>
      <c r="BM378">
        <v>0</v>
      </c>
      <c r="BN378">
        <v>5</v>
      </c>
      <c r="BO378">
        <v>2.4</v>
      </c>
      <c r="BP378">
        <v>36</v>
      </c>
      <c r="BQ378">
        <v>0</v>
      </c>
      <c r="BR378">
        <v>0</v>
      </c>
      <c r="BS378">
        <v>0</v>
      </c>
      <c r="BT378">
        <v>5</v>
      </c>
      <c r="BU378">
        <v>2.2999999999999998</v>
      </c>
    </row>
    <row r="379" spans="1:73" x14ac:dyDescent="0.15">
      <c r="A379" s="11">
        <v>10226</v>
      </c>
      <c r="B379">
        <v>7</v>
      </c>
      <c r="C379" s="1">
        <v>45</v>
      </c>
      <c r="D379">
        <v>0</v>
      </c>
      <c r="E379">
        <v>0</v>
      </c>
      <c r="F379">
        <v>1</v>
      </c>
      <c r="G379" s="7">
        <v>0.05</v>
      </c>
      <c r="H379">
        <v>12</v>
      </c>
      <c r="I379">
        <v>0</v>
      </c>
      <c r="J379">
        <v>0</v>
      </c>
      <c r="K379">
        <v>0</v>
      </c>
      <c r="L379">
        <v>1</v>
      </c>
      <c r="M379">
        <v>2</v>
      </c>
      <c r="N379" s="7">
        <v>9</v>
      </c>
      <c r="O379" s="7">
        <v>0</v>
      </c>
      <c r="P379" s="7">
        <v>0</v>
      </c>
      <c r="Q379" s="7">
        <v>0</v>
      </c>
      <c r="R379" s="7">
        <v>1</v>
      </c>
      <c r="S379" s="7">
        <v>4.5</v>
      </c>
      <c r="T379">
        <v>7</v>
      </c>
      <c r="U379" s="1">
        <v>33</v>
      </c>
      <c r="V379">
        <v>0</v>
      </c>
      <c r="W379">
        <v>0</v>
      </c>
      <c r="X379">
        <v>1</v>
      </c>
      <c r="Y379">
        <v>0.16</v>
      </c>
      <c r="Z379">
        <v>23</v>
      </c>
      <c r="AA379">
        <v>0</v>
      </c>
      <c r="AB379">
        <v>0</v>
      </c>
      <c r="AC379">
        <v>0</v>
      </c>
      <c r="AD379">
        <v>1</v>
      </c>
      <c r="AE379">
        <v>0.05</v>
      </c>
      <c r="AF379">
        <v>15</v>
      </c>
      <c r="AG379">
        <v>0</v>
      </c>
      <c r="AH379">
        <v>0</v>
      </c>
      <c r="AI379">
        <v>0</v>
      </c>
      <c r="AJ379">
        <v>1</v>
      </c>
      <c r="AK379">
        <v>0.01</v>
      </c>
      <c r="AL379">
        <v>16</v>
      </c>
      <c r="AM379">
        <v>0</v>
      </c>
      <c r="AN379">
        <v>0</v>
      </c>
      <c r="AO379">
        <v>0</v>
      </c>
      <c r="AP379">
        <v>1</v>
      </c>
      <c r="AQ379">
        <v>5.0000000000000001E-3</v>
      </c>
      <c r="AX379">
        <v>7</v>
      </c>
      <c r="AY379" s="1">
        <v>17</v>
      </c>
      <c r="AZ379">
        <v>0</v>
      </c>
      <c r="BA379">
        <v>0</v>
      </c>
      <c r="BB379">
        <v>1</v>
      </c>
      <c r="BC379" s="7">
        <v>0.32</v>
      </c>
      <c r="BD379">
        <v>30</v>
      </c>
      <c r="BE379">
        <v>0</v>
      </c>
      <c r="BF379">
        <v>0</v>
      </c>
      <c r="BG379">
        <v>0</v>
      </c>
      <c r="BH379">
        <v>5</v>
      </c>
      <c r="BI379">
        <v>2.4</v>
      </c>
      <c r="BJ379">
        <v>31</v>
      </c>
      <c r="BK379">
        <v>0</v>
      </c>
      <c r="BL379">
        <v>0</v>
      </c>
      <c r="BM379">
        <v>0</v>
      </c>
      <c r="BN379">
        <v>5</v>
      </c>
      <c r="BO379">
        <v>2.4</v>
      </c>
      <c r="BP379">
        <v>36</v>
      </c>
      <c r="BQ379">
        <v>0</v>
      </c>
      <c r="BR379">
        <v>0</v>
      </c>
      <c r="BS379">
        <v>0</v>
      </c>
      <c r="BT379">
        <v>5</v>
      </c>
      <c r="BU379">
        <v>2.2999999999999998</v>
      </c>
    </row>
    <row r="380" spans="1:73" x14ac:dyDescent="0.15">
      <c r="A380" s="11">
        <v>10227</v>
      </c>
      <c r="B380">
        <v>7</v>
      </c>
      <c r="C380" s="1">
        <v>46</v>
      </c>
      <c r="D380">
        <v>0</v>
      </c>
      <c r="E380">
        <v>0</v>
      </c>
      <c r="F380">
        <v>1</v>
      </c>
      <c r="G380" s="7">
        <v>0.05</v>
      </c>
      <c r="H380">
        <v>12</v>
      </c>
      <c r="I380">
        <v>0</v>
      </c>
      <c r="J380">
        <v>0</v>
      </c>
      <c r="K380">
        <v>0</v>
      </c>
      <c r="L380">
        <v>1</v>
      </c>
      <c r="M380">
        <v>2</v>
      </c>
      <c r="N380" s="7">
        <v>9</v>
      </c>
      <c r="O380" s="7">
        <v>0</v>
      </c>
      <c r="P380" s="7">
        <v>0</v>
      </c>
      <c r="Q380" s="7">
        <v>0</v>
      </c>
      <c r="R380" s="7">
        <v>1</v>
      </c>
      <c r="S380" s="7">
        <v>4.5</v>
      </c>
      <c r="T380">
        <v>7</v>
      </c>
      <c r="U380" s="1">
        <v>34</v>
      </c>
      <c r="V380">
        <v>0</v>
      </c>
      <c r="W380">
        <v>0</v>
      </c>
      <c r="X380">
        <v>1</v>
      </c>
      <c r="Y380">
        <v>0.16</v>
      </c>
      <c r="Z380">
        <v>23</v>
      </c>
      <c r="AA380">
        <v>0</v>
      </c>
      <c r="AB380">
        <v>0</v>
      </c>
      <c r="AC380">
        <v>0</v>
      </c>
      <c r="AD380">
        <v>1</v>
      </c>
      <c r="AE380">
        <v>0.05</v>
      </c>
      <c r="AF380">
        <v>15</v>
      </c>
      <c r="AG380">
        <v>0</v>
      </c>
      <c r="AH380">
        <v>0</v>
      </c>
      <c r="AI380">
        <v>0</v>
      </c>
      <c r="AJ380">
        <v>1</v>
      </c>
      <c r="AK380">
        <v>0.01</v>
      </c>
      <c r="AL380">
        <v>16</v>
      </c>
      <c r="AM380">
        <v>0</v>
      </c>
      <c r="AN380">
        <v>0</v>
      </c>
      <c r="AO380">
        <v>0</v>
      </c>
      <c r="AP380">
        <v>1</v>
      </c>
      <c r="AQ380">
        <v>5.0000000000000001E-3</v>
      </c>
      <c r="AX380">
        <v>7</v>
      </c>
      <c r="AY380" s="1">
        <v>18</v>
      </c>
      <c r="AZ380">
        <v>0</v>
      </c>
      <c r="BA380">
        <v>0</v>
      </c>
      <c r="BB380">
        <v>1</v>
      </c>
      <c r="BC380" s="7">
        <v>0.32</v>
      </c>
      <c r="BD380">
        <v>30</v>
      </c>
      <c r="BE380">
        <v>0</v>
      </c>
      <c r="BF380">
        <v>0</v>
      </c>
      <c r="BG380">
        <v>0</v>
      </c>
      <c r="BH380">
        <v>5</v>
      </c>
      <c r="BI380">
        <v>2.4</v>
      </c>
      <c r="BJ380">
        <v>31</v>
      </c>
      <c r="BK380">
        <v>0</v>
      </c>
      <c r="BL380">
        <v>0</v>
      </c>
      <c r="BM380">
        <v>0</v>
      </c>
      <c r="BN380">
        <v>5</v>
      </c>
      <c r="BO380">
        <v>2.4</v>
      </c>
      <c r="BP380">
        <v>36</v>
      </c>
      <c r="BQ380">
        <v>0</v>
      </c>
      <c r="BR380">
        <v>0</v>
      </c>
      <c r="BS380">
        <v>0</v>
      </c>
      <c r="BT380">
        <v>5</v>
      </c>
      <c r="BU380">
        <v>2.2999999999999998</v>
      </c>
    </row>
    <row r="381" spans="1:73" x14ac:dyDescent="0.15">
      <c r="A381" s="11">
        <v>10228</v>
      </c>
      <c r="B381">
        <v>7</v>
      </c>
      <c r="C381" s="1">
        <v>47</v>
      </c>
      <c r="D381">
        <v>0</v>
      </c>
      <c r="E381">
        <v>0</v>
      </c>
      <c r="F381">
        <v>1</v>
      </c>
      <c r="G381" s="7">
        <v>0.05</v>
      </c>
      <c r="H381">
        <v>12</v>
      </c>
      <c r="I381">
        <v>0</v>
      </c>
      <c r="J381">
        <v>0</v>
      </c>
      <c r="K381">
        <v>0</v>
      </c>
      <c r="L381">
        <v>1</v>
      </c>
      <c r="M381">
        <v>2</v>
      </c>
      <c r="N381" s="7">
        <v>9</v>
      </c>
      <c r="O381" s="7">
        <v>0</v>
      </c>
      <c r="P381" s="7">
        <v>0</v>
      </c>
      <c r="Q381" s="7">
        <v>0</v>
      </c>
      <c r="R381" s="7">
        <v>1</v>
      </c>
      <c r="S381" s="7">
        <v>4.5</v>
      </c>
      <c r="T381">
        <v>7</v>
      </c>
      <c r="U381" s="1">
        <v>35</v>
      </c>
      <c r="V381">
        <v>0</v>
      </c>
      <c r="W381">
        <v>0</v>
      </c>
      <c r="X381">
        <v>1</v>
      </c>
      <c r="Y381">
        <v>0.16</v>
      </c>
      <c r="Z381">
        <v>23</v>
      </c>
      <c r="AA381">
        <v>0</v>
      </c>
      <c r="AB381">
        <v>0</v>
      </c>
      <c r="AC381">
        <v>0</v>
      </c>
      <c r="AD381">
        <v>1</v>
      </c>
      <c r="AE381">
        <v>0.05</v>
      </c>
      <c r="AF381">
        <v>15</v>
      </c>
      <c r="AG381">
        <v>0</v>
      </c>
      <c r="AH381">
        <v>0</v>
      </c>
      <c r="AI381">
        <v>0</v>
      </c>
      <c r="AJ381">
        <v>1</v>
      </c>
      <c r="AK381">
        <v>0.01</v>
      </c>
      <c r="AL381">
        <v>16</v>
      </c>
      <c r="AM381">
        <v>0</v>
      </c>
      <c r="AN381">
        <v>0</v>
      </c>
      <c r="AO381">
        <v>0</v>
      </c>
      <c r="AP381">
        <v>1</v>
      </c>
      <c r="AQ381">
        <v>5.0000000000000001E-3</v>
      </c>
      <c r="AX381">
        <v>7</v>
      </c>
      <c r="AY381" s="1">
        <v>19</v>
      </c>
      <c r="AZ381">
        <v>0</v>
      </c>
      <c r="BA381">
        <v>0</v>
      </c>
      <c r="BB381">
        <v>1</v>
      </c>
      <c r="BC381" s="7">
        <v>0.32</v>
      </c>
      <c r="BD381">
        <v>30</v>
      </c>
      <c r="BE381">
        <v>0</v>
      </c>
      <c r="BF381">
        <v>0</v>
      </c>
      <c r="BG381">
        <v>0</v>
      </c>
      <c r="BH381">
        <v>5</v>
      </c>
      <c r="BI381">
        <v>2.4</v>
      </c>
      <c r="BJ381">
        <v>31</v>
      </c>
      <c r="BK381">
        <v>0</v>
      </c>
      <c r="BL381">
        <v>0</v>
      </c>
      <c r="BM381">
        <v>0</v>
      </c>
      <c r="BN381">
        <v>5</v>
      </c>
      <c r="BO381">
        <v>2.4</v>
      </c>
      <c r="BP381">
        <v>36</v>
      </c>
      <c r="BQ381">
        <v>0</v>
      </c>
      <c r="BR381">
        <v>0</v>
      </c>
      <c r="BS381">
        <v>0</v>
      </c>
      <c r="BT381">
        <v>5</v>
      </c>
      <c r="BU381">
        <v>2.2999999999999998</v>
      </c>
    </row>
    <row r="382" spans="1:73" x14ac:dyDescent="0.15">
      <c r="A382" s="11">
        <v>10229</v>
      </c>
      <c r="B382">
        <v>7</v>
      </c>
      <c r="C382" s="1">
        <v>48</v>
      </c>
      <c r="D382">
        <v>0</v>
      </c>
      <c r="E382">
        <v>0</v>
      </c>
      <c r="F382">
        <v>1</v>
      </c>
      <c r="G382" s="7">
        <v>0.05</v>
      </c>
      <c r="H382">
        <v>12</v>
      </c>
      <c r="I382">
        <v>0</v>
      </c>
      <c r="J382">
        <v>0</v>
      </c>
      <c r="K382">
        <v>0</v>
      </c>
      <c r="L382">
        <v>1</v>
      </c>
      <c r="M382">
        <v>2</v>
      </c>
      <c r="N382" s="7">
        <v>9</v>
      </c>
      <c r="O382" s="7">
        <v>0</v>
      </c>
      <c r="P382" s="7">
        <v>0</v>
      </c>
      <c r="Q382" s="7">
        <v>0</v>
      </c>
      <c r="R382" s="7">
        <v>1</v>
      </c>
      <c r="S382" s="7">
        <v>4.5</v>
      </c>
      <c r="T382">
        <v>7</v>
      </c>
      <c r="U382" s="1">
        <v>36</v>
      </c>
      <c r="V382">
        <v>0</v>
      </c>
      <c r="W382">
        <v>0</v>
      </c>
      <c r="X382">
        <v>1</v>
      </c>
      <c r="Y382">
        <v>0.16</v>
      </c>
      <c r="Z382">
        <v>23</v>
      </c>
      <c r="AA382">
        <v>0</v>
      </c>
      <c r="AB382">
        <v>0</v>
      </c>
      <c r="AC382">
        <v>0</v>
      </c>
      <c r="AD382">
        <v>1</v>
      </c>
      <c r="AE382">
        <v>0.05</v>
      </c>
      <c r="AF382">
        <v>15</v>
      </c>
      <c r="AG382">
        <v>0</v>
      </c>
      <c r="AH382">
        <v>0</v>
      </c>
      <c r="AI382">
        <v>0</v>
      </c>
      <c r="AJ382">
        <v>1</v>
      </c>
      <c r="AK382">
        <v>0.01</v>
      </c>
      <c r="AL382">
        <v>16</v>
      </c>
      <c r="AM382">
        <v>0</v>
      </c>
      <c r="AN382">
        <v>0</v>
      </c>
      <c r="AO382">
        <v>0</v>
      </c>
      <c r="AP382">
        <v>1</v>
      </c>
      <c r="AQ382">
        <v>5.0000000000000001E-3</v>
      </c>
      <c r="AX382">
        <v>7</v>
      </c>
      <c r="AY382" s="1">
        <v>20</v>
      </c>
      <c r="AZ382">
        <v>0</v>
      </c>
      <c r="BA382">
        <v>0</v>
      </c>
      <c r="BB382">
        <v>1</v>
      </c>
      <c r="BC382" s="7">
        <v>0.32</v>
      </c>
      <c r="BD382">
        <v>30</v>
      </c>
      <c r="BE382">
        <v>0</v>
      </c>
      <c r="BF382">
        <v>0</v>
      </c>
      <c r="BG382">
        <v>0</v>
      </c>
      <c r="BH382">
        <v>5</v>
      </c>
      <c r="BI382">
        <v>2.4</v>
      </c>
      <c r="BJ382">
        <v>31</v>
      </c>
      <c r="BK382">
        <v>0</v>
      </c>
      <c r="BL382">
        <v>0</v>
      </c>
      <c r="BM382">
        <v>0</v>
      </c>
      <c r="BN382">
        <v>5</v>
      </c>
      <c r="BO382">
        <v>2.4</v>
      </c>
      <c r="BP382">
        <v>36</v>
      </c>
      <c r="BQ382">
        <v>0</v>
      </c>
      <c r="BR382">
        <v>0</v>
      </c>
      <c r="BS382">
        <v>0</v>
      </c>
      <c r="BT382">
        <v>5</v>
      </c>
      <c r="BU382">
        <v>2.2999999999999998</v>
      </c>
    </row>
    <row r="383" spans="1:73" x14ac:dyDescent="0.15">
      <c r="A383" s="11">
        <v>10230</v>
      </c>
      <c r="B383">
        <v>7</v>
      </c>
      <c r="C383" s="1">
        <v>0</v>
      </c>
      <c r="D383">
        <v>5</v>
      </c>
      <c r="E383">
        <v>1</v>
      </c>
      <c r="F383">
        <v>1</v>
      </c>
      <c r="G383" s="7">
        <v>0.05</v>
      </c>
      <c r="H383">
        <v>12</v>
      </c>
      <c r="I383">
        <v>0</v>
      </c>
      <c r="J383">
        <v>0</v>
      </c>
      <c r="K383">
        <v>0</v>
      </c>
      <c r="L383">
        <v>1</v>
      </c>
      <c r="M383">
        <v>2</v>
      </c>
      <c r="N383" s="7">
        <v>9</v>
      </c>
      <c r="O383" s="7">
        <v>0</v>
      </c>
      <c r="P383" s="7">
        <v>0</v>
      </c>
      <c r="Q383" s="7">
        <v>0</v>
      </c>
      <c r="R383" s="7">
        <v>1</v>
      </c>
      <c r="S383" s="7">
        <v>4.5</v>
      </c>
      <c r="T383">
        <v>7</v>
      </c>
      <c r="U383" s="1">
        <v>0</v>
      </c>
      <c r="V383">
        <v>4</v>
      </c>
      <c r="W383">
        <v>2</v>
      </c>
      <c r="X383">
        <v>1</v>
      </c>
      <c r="Y383">
        <v>0.16</v>
      </c>
      <c r="Z383">
        <v>23</v>
      </c>
      <c r="AA383">
        <v>0</v>
      </c>
      <c r="AB383">
        <v>0</v>
      </c>
      <c r="AC383">
        <v>0</v>
      </c>
      <c r="AD383">
        <v>1</v>
      </c>
      <c r="AE383">
        <v>0.05</v>
      </c>
      <c r="AF383">
        <v>15</v>
      </c>
      <c r="AG383">
        <v>0</v>
      </c>
      <c r="AH383">
        <v>0</v>
      </c>
      <c r="AI383">
        <v>0</v>
      </c>
      <c r="AJ383">
        <v>1</v>
      </c>
      <c r="AK383">
        <v>0.01</v>
      </c>
      <c r="AL383">
        <v>16</v>
      </c>
      <c r="AM383">
        <v>0</v>
      </c>
      <c r="AN383">
        <v>0</v>
      </c>
      <c r="AO383">
        <v>0</v>
      </c>
      <c r="AP383">
        <v>1</v>
      </c>
      <c r="AQ383">
        <v>5.0000000000000001E-3</v>
      </c>
      <c r="AR383">
        <v>6</v>
      </c>
      <c r="AS383">
        <v>2</v>
      </c>
      <c r="AT383">
        <v>1</v>
      </c>
      <c r="AU383">
        <v>5</v>
      </c>
      <c r="AV383">
        <v>1</v>
      </c>
      <c r="AW383">
        <v>0.05</v>
      </c>
      <c r="AX383">
        <v>7</v>
      </c>
      <c r="AY383" s="1">
        <v>0</v>
      </c>
      <c r="AZ383">
        <v>3</v>
      </c>
      <c r="BA383">
        <v>1</v>
      </c>
      <c r="BB383">
        <v>1</v>
      </c>
      <c r="BC383" s="7">
        <v>0.32</v>
      </c>
      <c r="BD383">
        <v>30</v>
      </c>
      <c r="BE383">
        <v>0</v>
      </c>
      <c r="BF383">
        <v>0</v>
      </c>
      <c r="BG383">
        <v>0</v>
      </c>
      <c r="BH383">
        <v>5</v>
      </c>
      <c r="BI383">
        <v>2.4</v>
      </c>
      <c r="BJ383">
        <v>31</v>
      </c>
      <c r="BK383">
        <v>0</v>
      </c>
      <c r="BL383">
        <v>0</v>
      </c>
      <c r="BM383">
        <v>0</v>
      </c>
      <c r="BN383">
        <v>5</v>
      </c>
      <c r="BO383">
        <v>2.4</v>
      </c>
      <c r="BP383">
        <v>36</v>
      </c>
      <c r="BQ383">
        <v>0</v>
      </c>
      <c r="BR383">
        <v>0</v>
      </c>
      <c r="BS383">
        <v>0</v>
      </c>
      <c r="BT383">
        <v>5</v>
      </c>
      <c r="BU383">
        <v>2.2999999999999998</v>
      </c>
    </row>
    <row r="384" spans="1:73" x14ac:dyDescent="0.15">
      <c r="A384" s="11">
        <v>10231</v>
      </c>
      <c r="B384">
        <v>7</v>
      </c>
      <c r="C384" s="1">
        <v>45</v>
      </c>
      <c r="D384">
        <v>0</v>
      </c>
      <c r="E384">
        <v>0</v>
      </c>
      <c r="F384">
        <v>1</v>
      </c>
      <c r="G384" s="7">
        <v>0.05</v>
      </c>
      <c r="H384">
        <v>12</v>
      </c>
      <c r="I384">
        <v>0</v>
      </c>
      <c r="J384">
        <v>0</v>
      </c>
      <c r="K384">
        <v>0</v>
      </c>
      <c r="L384">
        <v>1</v>
      </c>
      <c r="M384">
        <v>2</v>
      </c>
      <c r="N384" s="7">
        <v>9</v>
      </c>
      <c r="O384" s="7">
        <v>0</v>
      </c>
      <c r="P384" s="7">
        <v>0</v>
      </c>
      <c r="Q384" s="7">
        <v>0</v>
      </c>
      <c r="R384" s="7">
        <v>1</v>
      </c>
      <c r="S384" s="7">
        <v>4.5</v>
      </c>
      <c r="T384">
        <v>7</v>
      </c>
      <c r="U384" s="1">
        <v>33</v>
      </c>
      <c r="V384">
        <v>0</v>
      </c>
      <c r="W384">
        <v>0</v>
      </c>
      <c r="X384">
        <v>1</v>
      </c>
      <c r="Y384">
        <v>0.16</v>
      </c>
      <c r="Z384">
        <v>23</v>
      </c>
      <c r="AA384">
        <v>0</v>
      </c>
      <c r="AB384">
        <v>0</v>
      </c>
      <c r="AC384">
        <v>0</v>
      </c>
      <c r="AD384">
        <v>1</v>
      </c>
      <c r="AE384">
        <v>0.05</v>
      </c>
      <c r="AF384">
        <v>15</v>
      </c>
      <c r="AG384">
        <v>0</v>
      </c>
      <c r="AH384">
        <v>0</v>
      </c>
      <c r="AI384">
        <v>0</v>
      </c>
      <c r="AJ384">
        <v>1</v>
      </c>
      <c r="AK384">
        <v>0.01</v>
      </c>
      <c r="AL384">
        <v>16</v>
      </c>
      <c r="AM384">
        <v>0</v>
      </c>
      <c r="AN384">
        <v>0</v>
      </c>
      <c r="AO384">
        <v>0</v>
      </c>
      <c r="AP384">
        <v>1</v>
      </c>
      <c r="AQ384">
        <v>5.0000000000000001E-3</v>
      </c>
      <c r="AX384">
        <v>7</v>
      </c>
      <c r="AY384" s="1">
        <v>17</v>
      </c>
      <c r="AZ384">
        <v>0</v>
      </c>
      <c r="BA384">
        <v>0</v>
      </c>
      <c r="BB384">
        <v>1</v>
      </c>
      <c r="BC384" s="7">
        <v>0.32</v>
      </c>
      <c r="BD384">
        <v>30</v>
      </c>
      <c r="BE384">
        <v>0</v>
      </c>
      <c r="BF384">
        <v>0</v>
      </c>
      <c r="BG384">
        <v>0</v>
      </c>
      <c r="BH384">
        <v>5</v>
      </c>
      <c r="BI384">
        <v>2.4</v>
      </c>
      <c r="BJ384">
        <v>31</v>
      </c>
      <c r="BK384">
        <v>0</v>
      </c>
      <c r="BL384">
        <v>0</v>
      </c>
      <c r="BM384">
        <v>0</v>
      </c>
      <c r="BN384">
        <v>5</v>
      </c>
      <c r="BO384">
        <v>2.4</v>
      </c>
      <c r="BP384">
        <v>36</v>
      </c>
      <c r="BQ384">
        <v>0</v>
      </c>
      <c r="BR384">
        <v>0</v>
      </c>
      <c r="BS384">
        <v>0</v>
      </c>
      <c r="BT384">
        <v>5</v>
      </c>
      <c r="BU384">
        <v>2.2999999999999998</v>
      </c>
    </row>
    <row r="385" spans="1:73" x14ac:dyDescent="0.15">
      <c r="A385" s="11">
        <v>10232</v>
      </c>
      <c r="B385">
        <v>7</v>
      </c>
      <c r="C385" s="1">
        <v>46</v>
      </c>
      <c r="D385">
        <v>0</v>
      </c>
      <c r="E385">
        <v>0</v>
      </c>
      <c r="F385">
        <v>1</v>
      </c>
      <c r="G385" s="7">
        <v>0.05</v>
      </c>
      <c r="H385">
        <v>12</v>
      </c>
      <c r="I385">
        <v>0</v>
      </c>
      <c r="J385">
        <v>0</v>
      </c>
      <c r="K385">
        <v>0</v>
      </c>
      <c r="L385">
        <v>1</v>
      </c>
      <c r="M385">
        <v>2</v>
      </c>
      <c r="N385" s="7">
        <v>9</v>
      </c>
      <c r="O385" s="7">
        <v>0</v>
      </c>
      <c r="P385" s="7">
        <v>0</v>
      </c>
      <c r="Q385" s="7">
        <v>0</v>
      </c>
      <c r="R385" s="7">
        <v>1</v>
      </c>
      <c r="S385" s="7">
        <v>4.5</v>
      </c>
      <c r="T385">
        <v>7</v>
      </c>
      <c r="U385" s="1">
        <v>34</v>
      </c>
      <c r="V385">
        <v>0</v>
      </c>
      <c r="W385">
        <v>0</v>
      </c>
      <c r="X385">
        <v>1</v>
      </c>
      <c r="Y385">
        <v>0.16</v>
      </c>
      <c r="Z385">
        <v>23</v>
      </c>
      <c r="AA385">
        <v>0</v>
      </c>
      <c r="AB385">
        <v>0</v>
      </c>
      <c r="AC385">
        <v>0</v>
      </c>
      <c r="AD385">
        <v>1</v>
      </c>
      <c r="AE385">
        <v>0.05</v>
      </c>
      <c r="AF385">
        <v>15</v>
      </c>
      <c r="AG385">
        <v>0</v>
      </c>
      <c r="AH385">
        <v>0</v>
      </c>
      <c r="AI385">
        <v>0</v>
      </c>
      <c r="AJ385">
        <v>1</v>
      </c>
      <c r="AK385">
        <v>0.01</v>
      </c>
      <c r="AL385">
        <v>16</v>
      </c>
      <c r="AM385">
        <v>0</v>
      </c>
      <c r="AN385">
        <v>0</v>
      </c>
      <c r="AO385">
        <v>0</v>
      </c>
      <c r="AP385">
        <v>1</v>
      </c>
      <c r="AQ385">
        <v>5.0000000000000001E-3</v>
      </c>
      <c r="AX385">
        <v>7</v>
      </c>
      <c r="AY385" s="1">
        <v>18</v>
      </c>
      <c r="AZ385">
        <v>0</v>
      </c>
      <c r="BA385">
        <v>0</v>
      </c>
      <c r="BB385">
        <v>1</v>
      </c>
      <c r="BC385" s="7">
        <v>0.32</v>
      </c>
      <c r="BD385">
        <v>30</v>
      </c>
      <c r="BE385">
        <v>0</v>
      </c>
      <c r="BF385">
        <v>0</v>
      </c>
      <c r="BG385">
        <v>0</v>
      </c>
      <c r="BH385">
        <v>5</v>
      </c>
      <c r="BI385">
        <v>2.4</v>
      </c>
      <c r="BJ385">
        <v>31</v>
      </c>
      <c r="BK385">
        <v>0</v>
      </c>
      <c r="BL385">
        <v>0</v>
      </c>
      <c r="BM385">
        <v>0</v>
      </c>
      <c r="BN385">
        <v>5</v>
      </c>
      <c r="BO385">
        <v>2.4</v>
      </c>
      <c r="BP385">
        <v>36</v>
      </c>
      <c r="BQ385">
        <v>0</v>
      </c>
      <c r="BR385">
        <v>0</v>
      </c>
      <c r="BS385">
        <v>0</v>
      </c>
      <c r="BT385">
        <v>5</v>
      </c>
      <c r="BU385">
        <v>2.2999999999999998</v>
      </c>
    </row>
    <row r="386" spans="1:73" x14ac:dyDescent="0.15">
      <c r="A386" s="11">
        <v>10233</v>
      </c>
      <c r="B386">
        <v>7</v>
      </c>
      <c r="C386" s="1">
        <v>47</v>
      </c>
      <c r="D386">
        <v>0</v>
      </c>
      <c r="E386">
        <v>0</v>
      </c>
      <c r="F386">
        <v>1</v>
      </c>
      <c r="G386" s="7">
        <v>0.05</v>
      </c>
      <c r="H386">
        <v>12</v>
      </c>
      <c r="I386">
        <v>0</v>
      </c>
      <c r="J386">
        <v>0</v>
      </c>
      <c r="K386">
        <v>0</v>
      </c>
      <c r="L386">
        <v>1</v>
      </c>
      <c r="M386">
        <v>2</v>
      </c>
      <c r="N386" s="7">
        <v>9</v>
      </c>
      <c r="O386" s="7">
        <v>0</v>
      </c>
      <c r="P386" s="7">
        <v>0</v>
      </c>
      <c r="Q386" s="7">
        <v>0</v>
      </c>
      <c r="R386" s="7">
        <v>1</v>
      </c>
      <c r="S386" s="7">
        <v>4.5</v>
      </c>
      <c r="T386">
        <v>7</v>
      </c>
      <c r="U386" s="1">
        <v>35</v>
      </c>
      <c r="V386">
        <v>0</v>
      </c>
      <c r="W386">
        <v>0</v>
      </c>
      <c r="X386">
        <v>1</v>
      </c>
      <c r="Y386">
        <v>0.16</v>
      </c>
      <c r="Z386">
        <v>23</v>
      </c>
      <c r="AA386">
        <v>0</v>
      </c>
      <c r="AB386">
        <v>0</v>
      </c>
      <c r="AC386">
        <v>0</v>
      </c>
      <c r="AD386">
        <v>1</v>
      </c>
      <c r="AE386">
        <v>0.05</v>
      </c>
      <c r="AF386">
        <v>15</v>
      </c>
      <c r="AG386">
        <v>0</v>
      </c>
      <c r="AH386">
        <v>0</v>
      </c>
      <c r="AI386">
        <v>0</v>
      </c>
      <c r="AJ386">
        <v>1</v>
      </c>
      <c r="AK386">
        <v>0.01</v>
      </c>
      <c r="AL386">
        <v>16</v>
      </c>
      <c r="AM386">
        <v>0</v>
      </c>
      <c r="AN386">
        <v>0</v>
      </c>
      <c r="AO386">
        <v>0</v>
      </c>
      <c r="AP386">
        <v>1</v>
      </c>
      <c r="AQ386">
        <v>5.0000000000000001E-3</v>
      </c>
      <c r="AX386">
        <v>7</v>
      </c>
      <c r="AY386" s="1">
        <v>19</v>
      </c>
      <c r="AZ386">
        <v>0</v>
      </c>
      <c r="BA386">
        <v>0</v>
      </c>
      <c r="BB386">
        <v>1</v>
      </c>
      <c r="BC386" s="7">
        <v>0.32</v>
      </c>
      <c r="BD386">
        <v>30</v>
      </c>
      <c r="BE386">
        <v>0</v>
      </c>
      <c r="BF386">
        <v>0</v>
      </c>
      <c r="BG386">
        <v>0</v>
      </c>
      <c r="BH386">
        <v>5</v>
      </c>
      <c r="BI386">
        <v>2.4</v>
      </c>
      <c r="BJ386">
        <v>31</v>
      </c>
      <c r="BK386">
        <v>0</v>
      </c>
      <c r="BL386">
        <v>0</v>
      </c>
      <c r="BM386">
        <v>0</v>
      </c>
      <c r="BN386">
        <v>5</v>
      </c>
      <c r="BO386">
        <v>2.4</v>
      </c>
      <c r="BP386">
        <v>36</v>
      </c>
      <c r="BQ386">
        <v>0</v>
      </c>
      <c r="BR386">
        <v>0</v>
      </c>
      <c r="BS386">
        <v>0</v>
      </c>
      <c r="BT386">
        <v>5</v>
      </c>
      <c r="BU386">
        <v>2.2999999999999998</v>
      </c>
    </row>
    <row r="387" spans="1:73" x14ac:dyDescent="0.15">
      <c r="A387" s="11">
        <v>10234</v>
      </c>
      <c r="B387">
        <v>7</v>
      </c>
      <c r="C387" s="1">
        <v>48</v>
      </c>
      <c r="D387">
        <v>0</v>
      </c>
      <c r="E387">
        <v>0</v>
      </c>
      <c r="F387">
        <v>1</v>
      </c>
      <c r="G387" s="7">
        <v>0.05</v>
      </c>
      <c r="H387">
        <v>12</v>
      </c>
      <c r="I387">
        <v>0</v>
      </c>
      <c r="J387">
        <v>0</v>
      </c>
      <c r="K387">
        <v>0</v>
      </c>
      <c r="L387">
        <v>1</v>
      </c>
      <c r="M387">
        <v>2</v>
      </c>
      <c r="N387" s="7">
        <v>9</v>
      </c>
      <c r="O387" s="7">
        <v>0</v>
      </c>
      <c r="P387" s="7">
        <v>0</v>
      </c>
      <c r="Q387" s="7">
        <v>0</v>
      </c>
      <c r="R387" s="7">
        <v>1</v>
      </c>
      <c r="S387" s="7">
        <v>4.5</v>
      </c>
      <c r="T387">
        <v>7</v>
      </c>
      <c r="U387" s="1">
        <v>36</v>
      </c>
      <c r="V387">
        <v>0</v>
      </c>
      <c r="W387">
        <v>0</v>
      </c>
      <c r="X387">
        <v>1</v>
      </c>
      <c r="Y387">
        <v>0.16</v>
      </c>
      <c r="Z387">
        <v>23</v>
      </c>
      <c r="AA387">
        <v>0</v>
      </c>
      <c r="AB387">
        <v>0</v>
      </c>
      <c r="AC387">
        <v>0</v>
      </c>
      <c r="AD387">
        <v>1</v>
      </c>
      <c r="AE387">
        <v>0.05</v>
      </c>
      <c r="AF387">
        <v>15</v>
      </c>
      <c r="AG387">
        <v>0</v>
      </c>
      <c r="AH387">
        <v>0</v>
      </c>
      <c r="AI387">
        <v>0</v>
      </c>
      <c r="AJ387">
        <v>1</v>
      </c>
      <c r="AK387">
        <v>0.01</v>
      </c>
      <c r="AL387">
        <v>16</v>
      </c>
      <c r="AM387">
        <v>0</v>
      </c>
      <c r="AN387">
        <v>0</v>
      </c>
      <c r="AO387">
        <v>0</v>
      </c>
      <c r="AP387">
        <v>1</v>
      </c>
      <c r="AQ387">
        <v>5.0000000000000001E-3</v>
      </c>
      <c r="AX387">
        <v>7</v>
      </c>
      <c r="AY387" s="1">
        <v>20</v>
      </c>
      <c r="AZ387">
        <v>0</v>
      </c>
      <c r="BA387">
        <v>0</v>
      </c>
      <c r="BB387">
        <v>1</v>
      </c>
      <c r="BC387" s="7">
        <v>0.32</v>
      </c>
      <c r="BD387">
        <v>30</v>
      </c>
      <c r="BE387">
        <v>0</v>
      </c>
      <c r="BF387">
        <v>0</v>
      </c>
      <c r="BG387">
        <v>0</v>
      </c>
      <c r="BH387">
        <v>5</v>
      </c>
      <c r="BI387">
        <v>2.4</v>
      </c>
      <c r="BJ387">
        <v>31</v>
      </c>
      <c r="BK387">
        <v>0</v>
      </c>
      <c r="BL387">
        <v>0</v>
      </c>
      <c r="BM387">
        <v>0</v>
      </c>
      <c r="BN387">
        <v>5</v>
      </c>
      <c r="BO387">
        <v>2.4</v>
      </c>
      <c r="BP387">
        <v>36</v>
      </c>
      <c r="BQ387">
        <v>0</v>
      </c>
      <c r="BR387">
        <v>0</v>
      </c>
      <c r="BS387">
        <v>0</v>
      </c>
      <c r="BT387">
        <v>5</v>
      </c>
      <c r="BU387">
        <v>2.2999999999999998</v>
      </c>
    </row>
    <row r="388" spans="1:73" x14ac:dyDescent="0.15">
      <c r="A388" s="11">
        <v>10235</v>
      </c>
      <c r="B388">
        <v>7</v>
      </c>
      <c r="C388" s="1">
        <v>0</v>
      </c>
      <c r="D388">
        <v>5</v>
      </c>
      <c r="E388">
        <v>1</v>
      </c>
      <c r="F388">
        <v>1</v>
      </c>
      <c r="G388" s="7">
        <v>0.05</v>
      </c>
      <c r="H388">
        <v>12</v>
      </c>
      <c r="I388">
        <v>0</v>
      </c>
      <c r="J388">
        <v>0</v>
      </c>
      <c r="K388">
        <v>0</v>
      </c>
      <c r="L388">
        <v>1</v>
      </c>
      <c r="M388">
        <v>2</v>
      </c>
      <c r="N388" s="7">
        <v>9</v>
      </c>
      <c r="O388" s="7">
        <v>0</v>
      </c>
      <c r="P388" s="7">
        <v>0</v>
      </c>
      <c r="Q388" s="7">
        <v>0</v>
      </c>
      <c r="R388" s="7">
        <v>1</v>
      </c>
      <c r="S388" s="7">
        <v>4.5</v>
      </c>
      <c r="T388">
        <v>7</v>
      </c>
      <c r="U388" s="1">
        <v>0</v>
      </c>
      <c r="V388">
        <v>4</v>
      </c>
      <c r="W388">
        <v>2</v>
      </c>
      <c r="X388">
        <v>1</v>
      </c>
      <c r="Y388">
        <v>0.16</v>
      </c>
      <c r="Z388">
        <v>23</v>
      </c>
      <c r="AA388">
        <v>0</v>
      </c>
      <c r="AB388">
        <v>0</v>
      </c>
      <c r="AC388">
        <v>0</v>
      </c>
      <c r="AD388">
        <v>1</v>
      </c>
      <c r="AE388">
        <v>0.05</v>
      </c>
      <c r="AF388">
        <v>15</v>
      </c>
      <c r="AG388">
        <v>0</v>
      </c>
      <c r="AH388">
        <v>0</v>
      </c>
      <c r="AI388">
        <v>0</v>
      </c>
      <c r="AJ388">
        <v>1</v>
      </c>
      <c r="AK388">
        <v>0.01</v>
      </c>
      <c r="AL388">
        <v>16</v>
      </c>
      <c r="AM388">
        <v>0</v>
      </c>
      <c r="AN388">
        <v>0</v>
      </c>
      <c r="AO388">
        <v>0</v>
      </c>
      <c r="AP388">
        <v>1</v>
      </c>
      <c r="AQ388">
        <v>5.0000000000000001E-3</v>
      </c>
      <c r="AR388">
        <v>6</v>
      </c>
      <c r="AS388">
        <v>2</v>
      </c>
      <c r="AT388">
        <v>2</v>
      </c>
      <c r="AU388">
        <v>5</v>
      </c>
      <c r="AV388">
        <v>1</v>
      </c>
      <c r="AW388">
        <v>0.05</v>
      </c>
      <c r="AX388">
        <v>7</v>
      </c>
      <c r="AY388" s="1">
        <v>0</v>
      </c>
      <c r="AZ388">
        <v>3</v>
      </c>
      <c r="BA388">
        <v>1</v>
      </c>
      <c r="BB388">
        <v>1</v>
      </c>
      <c r="BC388" s="7">
        <v>0.32</v>
      </c>
      <c r="BD388">
        <v>30</v>
      </c>
      <c r="BE388">
        <v>0</v>
      </c>
      <c r="BF388">
        <v>0</v>
      </c>
      <c r="BG388">
        <v>0</v>
      </c>
      <c r="BH388">
        <v>5</v>
      </c>
      <c r="BI388">
        <v>2.4</v>
      </c>
      <c r="BJ388">
        <v>31</v>
      </c>
      <c r="BK388">
        <v>0</v>
      </c>
      <c r="BL388">
        <v>0</v>
      </c>
      <c r="BM388">
        <v>0</v>
      </c>
      <c r="BN388">
        <v>5</v>
      </c>
      <c r="BO388">
        <v>2.4</v>
      </c>
      <c r="BP388">
        <v>36</v>
      </c>
      <c r="BQ388">
        <v>0</v>
      </c>
      <c r="BR388">
        <v>0</v>
      </c>
      <c r="BS388">
        <v>0</v>
      </c>
      <c r="BT388">
        <v>5</v>
      </c>
      <c r="BU388">
        <v>2.2999999999999998</v>
      </c>
    </row>
    <row r="389" spans="1:73" x14ac:dyDescent="0.15">
      <c r="A389" s="11">
        <v>10236</v>
      </c>
      <c r="B389">
        <v>7</v>
      </c>
      <c r="C389" s="1">
        <v>45</v>
      </c>
      <c r="D389">
        <v>0</v>
      </c>
      <c r="E389">
        <v>0</v>
      </c>
      <c r="F389">
        <v>1</v>
      </c>
      <c r="G389" s="7">
        <v>0.05</v>
      </c>
      <c r="H389">
        <v>12</v>
      </c>
      <c r="I389">
        <v>0</v>
      </c>
      <c r="J389">
        <v>0</v>
      </c>
      <c r="K389">
        <v>0</v>
      </c>
      <c r="L389">
        <v>1</v>
      </c>
      <c r="M389">
        <v>2</v>
      </c>
      <c r="N389" s="7">
        <v>9</v>
      </c>
      <c r="O389" s="7">
        <v>0</v>
      </c>
      <c r="P389" s="7">
        <v>0</v>
      </c>
      <c r="Q389" s="7">
        <v>0</v>
      </c>
      <c r="R389" s="7">
        <v>1</v>
      </c>
      <c r="S389" s="7">
        <v>4.5</v>
      </c>
      <c r="T389">
        <v>7</v>
      </c>
      <c r="U389" s="1">
        <v>33</v>
      </c>
      <c r="V389">
        <v>0</v>
      </c>
      <c r="W389">
        <v>0</v>
      </c>
      <c r="X389">
        <v>1</v>
      </c>
      <c r="Y389">
        <v>0.16</v>
      </c>
      <c r="Z389">
        <v>23</v>
      </c>
      <c r="AA389">
        <v>0</v>
      </c>
      <c r="AB389">
        <v>0</v>
      </c>
      <c r="AC389">
        <v>0</v>
      </c>
      <c r="AD389">
        <v>1</v>
      </c>
      <c r="AE389">
        <v>0.05</v>
      </c>
      <c r="AF389">
        <v>15</v>
      </c>
      <c r="AG389">
        <v>0</v>
      </c>
      <c r="AH389">
        <v>0</v>
      </c>
      <c r="AI389">
        <v>0</v>
      </c>
      <c r="AJ389">
        <v>1</v>
      </c>
      <c r="AK389">
        <v>0.01</v>
      </c>
      <c r="AL389">
        <v>16</v>
      </c>
      <c r="AM389">
        <v>0</v>
      </c>
      <c r="AN389">
        <v>0</v>
      </c>
      <c r="AO389">
        <v>0</v>
      </c>
      <c r="AP389">
        <v>1</v>
      </c>
      <c r="AQ389">
        <v>5.0000000000000001E-3</v>
      </c>
      <c r="AX389">
        <v>7</v>
      </c>
      <c r="AY389" s="1">
        <v>17</v>
      </c>
      <c r="AZ389">
        <v>0</v>
      </c>
      <c r="BA389">
        <v>0</v>
      </c>
      <c r="BB389">
        <v>1</v>
      </c>
      <c r="BC389" s="7">
        <v>0.32</v>
      </c>
      <c r="BD389">
        <v>30</v>
      </c>
      <c r="BE389">
        <v>0</v>
      </c>
      <c r="BF389">
        <v>0</v>
      </c>
      <c r="BG389">
        <v>0</v>
      </c>
      <c r="BH389">
        <v>5</v>
      </c>
      <c r="BI389">
        <v>2.4</v>
      </c>
      <c r="BJ389">
        <v>31</v>
      </c>
      <c r="BK389">
        <v>0</v>
      </c>
      <c r="BL389">
        <v>0</v>
      </c>
      <c r="BM389">
        <v>0</v>
      </c>
      <c r="BN389">
        <v>5</v>
      </c>
      <c r="BO389">
        <v>2.4</v>
      </c>
      <c r="BP389">
        <v>36</v>
      </c>
      <c r="BQ389">
        <v>0</v>
      </c>
      <c r="BR389">
        <v>0</v>
      </c>
      <c r="BS389">
        <v>0</v>
      </c>
      <c r="BT389">
        <v>5</v>
      </c>
      <c r="BU389">
        <v>2.2999999999999998</v>
      </c>
    </row>
    <row r="390" spans="1:73" x14ac:dyDescent="0.15">
      <c r="A390" s="11">
        <v>10237</v>
      </c>
      <c r="B390">
        <v>7</v>
      </c>
      <c r="C390" s="1">
        <v>46</v>
      </c>
      <c r="D390">
        <v>0</v>
      </c>
      <c r="E390">
        <v>0</v>
      </c>
      <c r="F390">
        <v>1</v>
      </c>
      <c r="G390" s="7">
        <v>0.05</v>
      </c>
      <c r="H390">
        <v>12</v>
      </c>
      <c r="I390">
        <v>0</v>
      </c>
      <c r="J390">
        <v>0</v>
      </c>
      <c r="K390">
        <v>0</v>
      </c>
      <c r="L390">
        <v>1</v>
      </c>
      <c r="M390">
        <v>2</v>
      </c>
      <c r="N390" s="7">
        <v>9</v>
      </c>
      <c r="O390" s="7">
        <v>0</v>
      </c>
      <c r="P390" s="7">
        <v>0</v>
      </c>
      <c r="Q390" s="7">
        <v>0</v>
      </c>
      <c r="R390" s="7">
        <v>1</v>
      </c>
      <c r="S390" s="7">
        <v>4.5</v>
      </c>
      <c r="T390">
        <v>7</v>
      </c>
      <c r="U390" s="1">
        <v>34</v>
      </c>
      <c r="V390">
        <v>0</v>
      </c>
      <c r="W390">
        <v>0</v>
      </c>
      <c r="X390">
        <v>1</v>
      </c>
      <c r="Y390">
        <v>0.16</v>
      </c>
      <c r="Z390">
        <v>23</v>
      </c>
      <c r="AA390">
        <v>0</v>
      </c>
      <c r="AB390">
        <v>0</v>
      </c>
      <c r="AC390">
        <v>0</v>
      </c>
      <c r="AD390">
        <v>1</v>
      </c>
      <c r="AE390">
        <v>0.05</v>
      </c>
      <c r="AF390">
        <v>15</v>
      </c>
      <c r="AG390">
        <v>0</v>
      </c>
      <c r="AH390">
        <v>0</v>
      </c>
      <c r="AI390">
        <v>0</v>
      </c>
      <c r="AJ390">
        <v>1</v>
      </c>
      <c r="AK390">
        <v>0.01</v>
      </c>
      <c r="AL390">
        <v>16</v>
      </c>
      <c r="AM390">
        <v>0</v>
      </c>
      <c r="AN390">
        <v>0</v>
      </c>
      <c r="AO390">
        <v>0</v>
      </c>
      <c r="AP390">
        <v>1</v>
      </c>
      <c r="AQ390">
        <v>5.0000000000000001E-3</v>
      </c>
      <c r="AX390">
        <v>7</v>
      </c>
      <c r="AY390" s="1">
        <v>18</v>
      </c>
      <c r="AZ390">
        <v>0</v>
      </c>
      <c r="BA390">
        <v>0</v>
      </c>
      <c r="BB390">
        <v>1</v>
      </c>
      <c r="BC390" s="7">
        <v>0.32</v>
      </c>
      <c r="BD390">
        <v>30</v>
      </c>
      <c r="BE390">
        <v>0</v>
      </c>
      <c r="BF390">
        <v>0</v>
      </c>
      <c r="BG390">
        <v>0</v>
      </c>
      <c r="BH390">
        <v>5</v>
      </c>
      <c r="BI390">
        <v>2.4</v>
      </c>
      <c r="BJ390">
        <v>31</v>
      </c>
      <c r="BK390">
        <v>0</v>
      </c>
      <c r="BL390">
        <v>0</v>
      </c>
      <c r="BM390">
        <v>0</v>
      </c>
      <c r="BN390">
        <v>5</v>
      </c>
      <c r="BO390">
        <v>2.4</v>
      </c>
      <c r="BP390">
        <v>36</v>
      </c>
      <c r="BQ390">
        <v>0</v>
      </c>
      <c r="BR390">
        <v>0</v>
      </c>
      <c r="BS390">
        <v>0</v>
      </c>
      <c r="BT390">
        <v>5</v>
      </c>
      <c r="BU390">
        <v>2.2999999999999998</v>
      </c>
    </row>
    <row r="391" spans="1:73" x14ac:dyDescent="0.15">
      <c r="A391" s="11">
        <v>10238</v>
      </c>
      <c r="B391">
        <v>7</v>
      </c>
      <c r="C391" s="1">
        <v>47</v>
      </c>
      <c r="D391">
        <v>0</v>
      </c>
      <c r="E391">
        <v>0</v>
      </c>
      <c r="F391">
        <v>1</v>
      </c>
      <c r="G391" s="7">
        <v>0.05</v>
      </c>
      <c r="H391">
        <v>12</v>
      </c>
      <c r="I391">
        <v>0</v>
      </c>
      <c r="J391">
        <v>0</v>
      </c>
      <c r="K391">
        <v>0</v>
      </c>
      <c r="L391">
        <v>1</v>
      </c>
      <c r="M391">
        <v>2</v>
      </c>
      <c r="N391" s="7">
        <v>9</v>
      </c>
      <c r="O391" s="7">
        <v>0</v>
      </c>
      <c r="P391" s="7">
        <v>0</v>
      </c>
      <c r="Q391" s="7">
        <v>0</v>
      </c>
      <c r="R391" s="7">
        <v>1</v>
      </c>
      <c r="S391" s="7">
        <v>4.5</v>
      </c>
      <c r="T391">
        <v>7</v>
      </c>
      <c r="U391" s="1">
        <v>35</v>
      </c>
      <c r="V391">
        <v>0</v>
      </c>
      <c r="W391">
        <v>0</v>
      </c>
      <c r="X391">
        <v>1</v>
      </c>
      <c r="Y391">
        <v>0.16</v>
      </c>
      <c r="Z391">
        <v>23</v>
      </c>
      <c r="AA391">
        <v>0</v>
      </c>
      <c r="AB391">
        <v>0</v>
      </c>
      <c r="AC391">
        <v>0</v>
      </c>
      <c r="AD391">
        <v>1</v>
      </c>
      <c r="AE391">
        <v>0.05</v>
      </c>
      <c r="AF391">
        <v>15</v>
      </c>
      <c r="AG391">
        <v>0</v>
      </c>
      <c r="AH391">
        <v>0</v>
      </c>
      <c r="AI391">
        <v>0</v>
      </c>
      <c r="AJ391">
        <v>1</v>
      </c>
      <c r="AK391">
        <v>0.01</v>
      </c>
      <c r="AL391">
        <v>16</v>
      </c>
      <c r="AM391">
        <v>0</v>
      </c>
      <c r="AN391">
        <v>0</v>
      </c>
      <c r="AO391">
        <v>0</v>
      </c>
      <c r="AP391">
        <v>1</v>
      </c>
      <c r="AQ391">
        <v>5.0000000000000001E-3</v>
      </c>
      <c r="AX391">
        <v>7</v>
      </c>
      <c r="AY391" s="1">
        <v>19</v>
      </c>
      <c r="AZ391">
        <v>0</v>
      </c>
      <c r="BA391">
        <v>0</v>
      </c>
      <c r="BB391">
        <v>1</v>
      </c>
      <c r="BC391" s="7">
        <v>0.32</v>
      </c>
      <c r="BD391">
        <v>30</v>
      </c>
      <c r="BE391">
        <v>0</v>
      </c>
      <c r="BF391">
        <v>0</v>
      </c>
      <c r="BG391">
        <v>0</v>
      </c>
      <c r="BH391">
        <v>5</v>
      </c>
      <c r="BI391">
        <v>2.4</v>
      </c>
      <c r="BJ391">
        <v>31</v>
      </c>
      <c r="BK391">
        <v>0</v>
      </c>
      <c r="BL391">
        <v>0</v>
      </c>
      <c r="BM391">
        <v>0</v>
      </c>
      <c r="BN391">
        <v>5</v>
      </c>
      <c r="BO391">
        <v>2.4</v>
      </c>
      <c r="BP391">
        <v>36</v>
      </c>
      <c r="BQ391">
        <v>0</v>
      </c>
      <c r="BR391">
        <v>0</v>
      </c>
      <c r="BS391">
        <v>0</v>
      </c>
      <c r="BT391">
        <v>5</v>
      </c>
      <c r="BU391">
        <v>2.2999999999999998</v>
      </c>
    </row>
    <row r="392" spans="1:73" x14ac:dyDescent="0.15">
      <c r="A392" s="11">
        <v>10239</v>
      </c>
      <c r="B392">
        <v>7</v>
      </c>
      <c r="C392" s="1">
        <v>48</v>
      </c>
      <c r="D392">
        <v>0</v>
      </c>
      <c r="E392">
        <v>0</v>
      </c>
      <c r="F392">
        <v>1</v>
      </c>
      <c r="G392" s="7">
        <v>0.05</v>
      </c>
      <c r="H392">
        <v>12</v>
      </c>
      <c r="I392">
        <v>0</v>
      </c>
      <c r="J392">
        <v>0</v>
      </c>
      <c r="K392">
        <v>0</v>
      </c>
      <c r="L392">
        <v>1</v>
      </c>
      <c r="M392">
        <v>2</v>
      </c>
      <c r="N392" s="7">
        <v>9</v>
      </c>
      <c r="O392" s="7">
        <v>0</v>
      </c>
      <c r="P392" s="7">
        <v>0</v>
      </c>
      <c r="Q392" s="7">
        <v>0</v>
      </c>
      <c r="R392" s="7">
        <v>1</v>
      </c>
      <c r="S392" s="7">
        <v>4.5</v>
      </c>
      <c r="T392">
        <v>7</v>
      </c>
      <c r="U392" s="1">
        <v>36</v>
      </c>
      <c r="V392">
        <v>0</v>
      </c>
      <c r="W392">
        <v>0</v>
      </c>
      <c r="X392">
        <v>1</v>
      </c>
      <c r="Y392">
        <v>0.16</v>
      </c>
      <c r="Z392">
        <v>23</v>
      </c>
      <c r="AA392">
        <v>0</v>
      </c>
      <c r="AB392">
        <v>0</v>
      </c>
      <c r="AC392">
        <v>0</v>
      </c>
      <c r="AD392">
        <v>1</v>
      </c>
      <c r="AE392">
        <v>0.05</v>
      </c>
      <c r="AF392">
        <v>15</v>
      </c>
      <c r="AG392">
        <v>0</v>
      </c>
      <c r="AH392">
        <v>0</v>
      </c>
      <c r="AI392">
        <v>0</v>
      </c>
      <c r="AJ392">
        <v>1</v>
      </c>
      <c r="AK392">
        <v>0.01</v>
      </c>
      <c r="AL392">
        <v>16</v>
      </c>
      <c r="AM392">
        <v>0</v>
      </c>
      <c r="AN392">
        <v>0</v>
      </c>
      <c r="AO392">
        <v>0</v>
      </c>
      <c r="AP392">
        <v>1</v>
      </c>
      <c r="AQ392">
        <v>5.0000000000000001E-3</v>
      </c>
      <c r="AX392">
        <v>7</v>
      </c>
      <c r="AY392" s="1">
        <v>20</v>
      </c>
      <c r="AZ392">
        <v>0</v>
      </c>
      <c r="BA392">
        <v>0</v>
      </c>
      <c r="BB392">
        <v>1</v>
      </c>
      <c r="BC392" s="7">
        <v>0.32</v>
      </c>
      <c r="BD392">
        <v>30</v>
      </c>
      <c r="BE392">
        <v>0</v>
      </c>
      <c r="BF392">
        <v>0</v>
      </c>
      <c r="BG392">
        <v>0</v>
      </c>
      <c r="BH392">
        <v>5</v>
      </c>
      <c r="BI392">
        <v>2.4</v>
      </c>
      <c r="BJ392">
        <v>31</v>
      </c>
      <c r="BK392">
        <v>0</v>
      </c>
      <c r="BL392">
        <v>0</v>
      </c>
      <c r="BM392">
        <v>0</v>
      </c>
      <c r="BN392">
        <v>5</v>
      </c>
      <c r="BO392">
        <v>2.4</v>
      </c>
      <c r="BP392">
        <v>36</v>
      </c>
      <c r="BQ392">
        <v>0</v>
      </c>
      <c r="BR392">
        <v>0</v>
      </c>
      <c r="BS392">
        <v>0</v>
      </c>
      <c r="BT392">
        <v>5</v>
      </c>
      <c r="BU392">
        <v>2.2999999999999998</v>
      </c>
    </row>
    <row r="393" spans="1:73" x14ac:dyDescent="0.15">
      <c r="A393" s="11">
        <v>10240</v>
      </c>
      <c r="B393">
        <v>7</v>
      </c>
      <c r="C393" s="1">
        <v>0</v>
      </c>
      <c r="D393">
        <v>5</v>
      </c>
      <c r="E393">
        <v>1</v>
      </c>
      <c r="F393">
        <v>1</v>
      </c>
      <c r="G393" s="7">
        <v>0.05</v>
      </c>
      <c r="H393">
        <v>12</v>
      </c>
      <c r="I393">
        <v>0</v>
      </c>
      <c r="J393">
        <v>0</v>
      </c>
      <c r="K393">
        <v>0</v>
      </c>
      <c r="L393">
        <v>1</v>
      </c>
      <c r="M393">
        <v>2</v>
      </c>
      <c r="N393" s="7">
        <v>9</v>
      </c>
      <c r="O393" s="7">
        <v>0</v>
      </c>
      <c r="P393" s="7">
        <v>0</v>
      </c>
      <c r="Q393" s="7">
        <v>0</v>
      </c>
      <c r="R393" s="7">
        <v>1</v>
      </c>
      <c r="S393" s="7">
        <v>4.5</v>
      </c>
      <c r="T393">
        <v>7</v>
      </c>
      <c r="U393" s="1">
        <v>0</v>
      </c>
      <c r="V393">
        <v>4</v>
      </c>
      <c r="W393">
        <v>2</v>
      </c>
      <c r="X393">
        <v>1</v>
      </c>
      <c r="Y393">
        <v>0.16</v>
      </c>
      <c r="Z393">
        <v>23</v>
      </c>
      <c r="AA393">
        <v>0</v>
      </c>
      <c r="AB393">
        <v>0</v>
      </c>
      <c r="AC393">
        <v>0</v>
      </c>
      <c r="AD393">
        <v>1</v>
      </c>
      <c r="AE393">
        <v>0.05</v>
      </c>
      <c r="AF393">
        <v>15</v>
      </c>
      <c r="AG393">
        <v>0</v>
      </c>
      <c r="AH393">
        <v>0</v>
      </c>
      <c r="AI393">
        <v>0</v>
      </c>
      <c r="AJ393">
        <v>1</v>
      </c>
      <c r="AK393">
        <v>0.01</v>
      </c>
      <c r="AL393">
        <v>16</v>
      </c>
      <c r="AM393">
        <v>0</v>
      </c>
      <c r="AN393">
        <v>0</v>
      </c>
      <c r="AO393">
        <v>0</v>
      </c>
      <c r="AP393">
        <v>1</v>
      </c>
      <c r="AQ393">
        <v>5.0000000000000001E-3</v>
      </c>
      <c r="AR393">
        <v>6</v>
      </c>
      <c r="AS393">
        <v>2</v>
      </c>
      <c r="AT393">
        <v>3</v>
      </c>
      <c r="AU393">
        <v>5</v>
      </c>
      <c r="AV393">
        <v>1</v>
      </c>
      <c r="AW393">
        <v>0.05</v>
      </c>
      <c r="AX393">
        <v>7</v>
      </c>
      <c r="AY393" s="1">
        <v>0</v>
      </c>
      <c r="AZ393">
        <v>3</v>
      </c>
      <c r="BA393">
        <v>1</v>
      </c>
      <c r="BB393">
        <v>1</v>
      </c>
      <c r="BC393" s="7">
        <v>0.32</v>
      </c>
      <c r="BD393">
        <v>30</v>
      </c>
      <c r="BE393">
        <v>0</v>
      </c>
      <c r="BF393">
        <v>0</v>
      </c>
      <c r="BG393">
        <v>0</v>
      </c>
      <c r="BH393">
        <v>5</v>
      </c>
      <c r="BI393">
        <v>2.4</v>
      </c>
      <c r="BJ393">
        <v>31</v>
      </c>
      <c r="BK393">
        <v>0</v>
      </c>
      <c r="BL393">
        <v>0</v>
      </c>
      <c r="BM393">
        <v>0</v>
      </c>
      <c r="BN393">
        <v>5</v>
      </c>
      <c r="BO393">
        <v>2.4</v>
      </c>
      <c r="BP393">
        <v>36</v>
      </c>
      <c r="BQ393">
        <v>0</v>
      </c>
      <c r="BR393">
        <v>0</v>
      </c>
      <c r="BS393">
        <v>0</v>
      </c>
      <c r="BT393">
        <v>5</v>
      </c>
      <c r="BU393">
        <v>2.2999999999999998</v>
      </c>
    </row>
    <row r="394" spans="1:73" x14ac:dyDescent="0.15">
      <c r="A394" s="11">
        <v>10241</v>
      </c>
      <c r="B394">
        <v>7</v>
      </c>
      <c r="C394" s="1">
        <v>45</v>
      </c>
      <c r="D394">
        <v>0</v>
      </c>
      <c r="E394">
        <v>0</v>
      </c>
      <c r="F394">
        <v>1</v>
      </c>
      <c r="G394" s="7">
        <v>0.05</v>
      </c>
      <c r="H394">
        <v>12</v>
      </c>
      <c r="I394">
        <v>0</v>
      </c>
      <c r="J394">
        <v>0</v>
      </c>
      <c r="K394">
        <v>0</v>
      </c>
      <c r="L394">
        <v>1</v>
      </c>
      <c r="M394">
        <v>2</v>
      </c>
      <c r="N394" s="7">
        <v>9</v>
      </c>
      <c r="O394" s="7">
        <v>0</v>
      </c>
      <c r="P394" s="7">
        <v>0</v>
      </c>
      <c r="Q394" s="7">
        <v>0</v>
      </c>
      <c r="R394" s="7">
        <v>1</v>
      </c>
      <c r="S394" s="7">
        <v>4.5</v>
      </c>
      <c r="T394">
        <v>7</v>
      </c>
      <c r="U394" s="1">
        <v>33</v>
      </c>
      <c r="V394">
        <v>0</v>
      </c>
      <c r="W394">
        <v>0</v>
      </c>
      <c r="X394">
        <v>1</v>
      </c>
      <c r="Y394">
        <v>0.16</v>
      </c>
      <c r="Z394">
        <v>23</v>
      </c>
      <c r="AA394">
        <v>0</v>
      </c>
      <c r="AB394">
        <v>0</v>
      </c>
      <c r="AC394">
        <v>0</v>
      </c>
      <c r="AD394">
        <v>1</v>
      </c>
      <c r="AE394">
        <v>0.05</v>
      </c>
      <c r="AF394">
        <v>15</v>
      </c>
      <c r="AG394">
        <v>0</v>
      </c>
      <c r="AH394">
        <v>0</v>
      </c>
      <c r="AI394">
        <v>0</v>
      </c>
      <c r="AJ394">
        <v>1</v>
      </c>
      <c r="AK394">
        <v>0.01</v>
      </c>
      <c r="AL394">
        <v>16</v>
      </c>
      <c r="AM394">
        <v>0</v>
      </c>
      <c r="AN394">
        <v>0</v>
      </c>
      <c r="AO394">
        <v>0</v>
      </c>
      <c r="AP394">
        <v>1</v>
      </c>
      <c r="AQ394">
        <v>5.0000000000000001E-3</v>
      </c>
      <c r="AX394">
        <v>7</v>
      </c>
      <c r="AY394" s="1">
        <v>17</v>
      </c>
      <c r="AZ394">
        <v>0</v>
      </c>
      <c r="BA394">
        <v>0</v>
      </c>
      <c r="BB394">
        <v>1</v>
      </c>
      <c r="BC394" s="7">
        <v>0.32</v>
      </c>
      <c r="BD394">
        <v>30</v>
      </c>
      <c r="BE394">
        <v>0</v>
      </c>
      <c r="BF394">
        <v>0</v>
      </c>
      <c r="BG394">
        <v>0</v>
      </c>
      <c r="BH394">
        <v>5</v>
      </c>
      <c r="BI394">
        <v>2.4</v>
      </c>
      <c r="BJ394">
        <v>31</v>
      </c>
      <c r="BK394">
        <v>0</v>
      </c>
      <c r="BL394">
        <v>0</v>
      </c>
      <c r="BM394">
        <v>0</v>
      </c>
      <c r="BN394">
        <v>5</v>
      </c>
      <c r="BO394">
        <v>2.4</v>
      </c>
      <c r="BP394">
        <v>36</v>
      </c>
      <c r="BQ394">
        <v>0</v>
      </c>
      <c r="BR394">
        <v>0</v>
      </c>
      <c r="BS394">
        <v>0</v>
      </c>
      <c r="BT394">
        <v>5</v>
      </c>
      <c r="BU394">
        <v>2.2999999999999998</v>
      </c>
    </row>
    <row r="395" spans="1:73" x14ac:dyDescent="0.15">
      <c r="A395" s="11">
        <v>10242</v>
      </c>
      <c r="B395">
        <v>7</v>
      </c>
      <c r="C395" s="1">
        <v>46</v>
      </c>
      <c r="D395">
        <v>0</v>
      </c>
      <c r="E395">
        <v>0</v>
      </c>
      <c r="F395">
        <v>1</v>
      </c>
      <c r="G395" s="7">
        <v>0.05</v>
      </c>
      <c r="H395">
        <v>12</v>
      </c>
      <c r="I395">
        <v>0</v>
      </c>
      <c r="J395">
        <v>0</v>
      </c>
      <c r="K395">
        <v>0</v>
      </c>
      <c r="L395">
        <v>1</v>
      </c>
      <c r="M395">
        <v>2</v>
      </c>
      <c r="N395" s="7">
        <v>9</v>
      </c>
      <c r="O395" s="7">
        <v>0</v>
      </c>
      <c r="P395" s="7">
        <v>0</v>
      </c>
      <c r="Q395" s="7">
        <v>0</v>
      </c>
      <c r="R395" s="7">
        <v>1</v>
      </c>
      <c r="S395" s="7">
        <v>4.5</v>
      </c>
      <c r="T395">
        <v>7</v>
      </c>
      <c r="U395" s="1">
        <v>34</v>
      </c>
      <c r="V395">
        <v>0</v>
      </c>
      <c r="W395">
        <v>0</v>
      </c>
      <c r="X395">
        <v>1</v>
      </c>
      <c r="Y395">
        <v>0.16</v>
      </c>
      <c r="Z395">
        <v>23</v>
      </c>
      <c r="AA395">
        <v>0</v>
      </c>
      <c r="AB395">
        <v>0</v>
      </c>
      <c r="AC395">
        <v>0</v>
      </c>
      <c r="AD395">
        <v>1</v>
      </c>
      <c r="AE395">
        <v>0.05</v>
      </c>
      <c r="AF395">
        <v>15</v>
      </c>
      <c r="AG395">
        <v>0</v>
      </c>
      <c r="AH395">
        <v>0</v>
      </c>
      <c r="AI395">
        <v>0</v>
      </c>
      <c r="AJ395">
        <v>1</v>
      </c>
      <c r="AK395">
        <v>0.01</v>
      </c>
      <c r="AL395">
        <v>16</v>
      </c>
      <c r="AM395">
        <v>0</v>
      </c>
      <c r="AN395">
        <v>0</v>
      </c>
      <c r="AO395">
        <v>0</v>
      </c>
      <c r="AP395">
        <v>1</v>
      </c>
      <c r="AQ395">
        <v>5.0000000000000001E-3</v>
      </c>
      <c r="AX395">
        <v>7</v>
      </c>
      <c r="AY395" s="1">
        <v>18</v>
      </c>
      <c r="AZ395">
        <v>0</v>
      </c>
      <c r="BA395">
        <v>0</v>
      </c>
      <c r="BB395">
        <v>1</v>
      </c>
      <c r="BC395" s="7">
        <v>0.32</v>
      </c>
      <c r="BD395">
        <v>30</v>
      </c>
      <c r="BE395">
        <v>0</v>
      </c>
      <c r="BF395">
        <v>0</v>
      </c>
      <c r="BG395">
        <v>0</v>
      </c>
      <c r="BH395">
        <v>5</v>
      </c>
      <c r="BI395">
        <v>2.4</v>
      </c>
      <c r="BJ395">
        <v>31</v>
      </c>
      <c r="BK395">
        <v>0</v>
      </c>
      <c r="BL395">
        <v>0</v>
      </c>
      <c r="BM395">
        <v>0</v>
      </c>
      <c r="BN395">
        <v>5</v>
      </c>
      <c r="BO395">
        <v>2.4</v>
      </c>
      <c r="BP395">
        <v>36</v>
      </c>
      <c r="BQ395">
        <v>0</v>
      </c>
      <c r="BR395">
        <v>0</v>
      </c>
      <c r="BS395">
        <v>0</v>
      </c>
      <c r="BT395">
        <v>5</v>
      </c>
      <c r="BU395">
        <v>2.2999999999999998</v>
      </c>
    </row>
    <row r="396" spans="1:73" x14ac:dyDescent="0.15">
      <c r="A396" s="11">
        <v>10243</v>
      </c>
      <c r="B396">
        <v>7</v>
      </c>
      <c r="C396" s="1">
        <v>47</v>
      </c>
      <c r="D396">
        <v>0</v>
      </c>
      <c r="E396">
        <v>0</v>
      </c>
      <c r="F396">
        <v>1</v>
      </c>
      <c r="G396" s="7">
        <v>0.05</v>
      </c>
      <c r="H396">
        <v>12</v>
      </c>
      <c r="I396">
        <v>0</v>
      </c>
      <c r="J396">
        <v>0</v>
      </c>
      <c r="K396">
        <v>0</v>
      </c>
      <c r="L396">
        <v>1</v>
      </c>
      <c r="M396">
        <v>2</v>
      </c>
      <c r="N396" s="7">
        <v>9</v>
      </c>
      <c r="O396" s="7">
        <v>0</v>
      </c>
      <c r="P396" s="7">
        <v>0</v>
      </c>
      <c r="Q396" s="7">
        <v>0</v>
      </c>
      <c r="R396" s="7">
        <v>1</v>
      </c>
      <c r="S396" s="7">
        <v>4.5</v>
      </c>
      <c r="T396">
        <v>7</v>
      </c>
      <c r="U396" s="1">
        <v>35</v>
      </c>
      <c r="V396">
        <v>0</v>
      </c>
      <c r="W396">
        <v>0</v>
      </c>
      <c r="X396">
        <v>1</v>
      </c>
      <c r="Y396">
        <v>0.16</v>
      </c>
      <c r="Z396">
        <v>23</v>
      </c>
      <c r="AA396">
        <v>0</v>
      </c>
      <c r="AB396">
        <v>0</v>
      </c>
      <c r="AC396">
        <v>0</v>
      </c>
      <c r="AD396">
        <v>1</v>
      </c>
      <c r="AE396">
        <v>0.05</v>
      </c>
      <c r="AF396">
        <v>15</v>
      </c>
      <c r="AG396">
        <v>0</v>
      </c>
      <c r="AH396">
        <v>0</v>
      </c>
      <c r="AI396">
        <v>0</v>
      </c>
      <c r="AJ396">
        <v>1</v>
      </c>
      <c r="AK396">
        <v>0.01</v>
      </c>
      <c r="AL396">
        <v>16</v>
      </c>
      <c r="AM396">
        <v>0</v>
      </c>
      <c r="AN396">
        <v>0</v>
      </c>
      <c r="AO396">
        <v>0</v>
      </c>
      <c r="AP396">
        <v>1</v>
      </c>
      <c r="AQ396">
        <v>5.0000000000000001E-3</v>
      </c>
      <c r="AX396">
        <v>7</v>
      </c>
      <c r="AY396" s="1">
        <v>19</v>
      </c>
      <c r="AZ396">
        <v>0</v>
      </c>
      <c r="BA396">
        <v>0</v>
      </c>
      <c r="BB396">
        <v>1</v>
      </c>
      <c r="BC396" s="7">
        <v>0.32</v>
      </c>
      <c r="BD396">
        <v>30</v>
      </c>
      <c r="BE396">
        <v>0</v>
      </c>
      <c r="BF396">
        <v>0</v>
      </c>
      <c r="BG396">
        <v>0</v>
      </c>
      <c r="BH396">
        <v>5</v>
      </c>
      <c r="BI396">
        <v>2.4</v>
      </c>
      <c r="BJ396">
        <v>31</v>
      </c>
      <c r="BK396">
        <v>0</v>
      </c>
      <c r="BL396">
        <v>0</v>
      </c>
      <c r="BM396">
        <v>0</v>
      </c>
      <c r="BN396">
        <v>5</v>
      </c>
      <c r="BO396">
        <v>2.4</v>
      </c>
      <c r="BP396">
        <v>36</v>
      </c>
      <c r="BQ396">
        <v>0</v>
      </c>
      <c r="BR396">
        <v>0</v>
      </c>
      <c r="BS396">
        <v>0</v>
      </c>
      <c r="BT396">
        <v>5</v>
      </c>
      <c r="BU396">
        <v>2.2999999999999998</v>
      </c>
    </row>
    <row r="397" spans="1:73" x14ac:dyDescent="0.15">
      <c r="A397" s="11">
        <v>10244</v>
      </c>
      <c r="B397">
        <v>7</v>
      </c>
      <c r="C397" s="1">
        <v>48</v>
      </c>
      <c r="D397">
        <v>0</v>
      </c>
      <c r="E397">
        <v>0</v>
      </c>
      <c r="F397">
        <v>1</v>
      </c>
      <c r="G397" s="7">
        <v>0.05</v>
      </c>
      <c r="H397">
        <v>12</v>
      </c>
      <c r="I397">
        <v>0</v>
      </c>
      <c r="J397">
        <v>0</v>
      </c>
      <c r="K397">
        <v>0</v>
      </c>
      <c r="L397">
        <v>1</v>
      </c>
      <c r="M397">
        <v>2</v>
      </c>
      <c r="N397" s="7">
        <v>9</v>
      </c>
      <c r="O397" s="7">
        <v>0</v>
      </c>
      <c r="P397" s="7">
        <v>0</v>
      </c>
      <c r="Q397" s="7">
        <v>0</v>
      </c>
      <c r="R397" s="7">
        <v>1</v>
      </c>
      <c r="S397" s="7">
        <v>4.5</v>
      </c>
      <c r="T397">
        <v>7</v>
      </c>
      <c r="U397" s="1">
        <v>36</v>
      </c>
      <c r="V397">
        <v>0</v>
      </c>
      <c r="W397">
        <v>0</v>
      </c>
      <c r="X397">
        <v>1</v>
      </c>
      <c r="Y397">
        <v>0.16</v>
      </c>
      <c r="Z397">
        <v>23</v>
      </c>
      <c r="AA397">
        <v>0</v>
      </c>
      <c r="AB397">
        <v>0</v>
      </c>
      <c r="AC397">
        <v>0</v>
      </c>
      <c r="AD397">
        <v>1</v>
      </c>
      <c r="AE397">
        <v>0.05</v>
      </c>
      <c r="AF397">
        <v>15</v>
      </c>
      <c r="AG397">
        <v>0</v>
      </c>
      <c r="AH397">
        <v>0</v>
      </c>
      <c r="AI397">
        <v>0</v>
      </c>
      <c r="AJ397">
        <v>1</v>
      </c>
      <c r="AK397">
        <v>0.01</v>
      </c>
      <c r="AL397">
        <v>16</v>
      </c>
      <c r="AM397">
        <v>0</v>
      </c>
      <c r="AN397">
        <v>0</v>
      </c>
      <c r="AO397">
        <v>0</v>
      </c>
      <c r="AP397">
        <v>1</v>
      </c>
      <c r="AQ397">
        <v>5.0000000000000001E-3</v>
      </c>
      <c r="AX397">
        <v>7</v>
      </c>
      <c r="AY397" s="1">
        <v>20</v>
      </c>
      <c r="AZ397">
        <v>0</v>
      </c>
      <c r="BA397">
        <v>0</v>
      </c>
      <c r="BB397">
        <v>1</v>
      </c>
      <c r="BC397" s="7">
        <v>0.32</v>
      </c>
      <c r="BD397">
        <v>30</v>
      </c>
      <c r="BE397">
        <v>0</v>
      </c>
      <c r="BF397">
        <v>0</v>
      </c>
      <c r="BG397">
        <v>0</v>
      </c>
      <c r="BH397">
        <v>5</v>
      </c>
      <c r="BI397">
        <v>2.4</v>
      </c>
      <c r="BJ397">
        <v>31</v>
      </c>
      <c r="BK397">
        <v>0</v>
      </c>
      <c r="BL397">
        <v>0</v>
      </c>
      <c r="BM397">
        <v>0</v>
      </c>
      <c r="BN397">
        <v>5</v>
      </c>
      <c r="BO397">
        <v>2.4</v>
      </c>
      <c r="BP397">
        <v>36</v>
      </c>
      <c r="BQ397">
        <v>0</v>
      </c>
      <c r="BR397">
        <v>0</v>
      </c>
      <c r="BS397">
        <v>0</v>
      </c>
      <c r="BT397">
        <v>5</v>
      </c>
      <c r="BU397">
        <v>2.2999999999999998</v>
      </c>
    </row>
    <row r="398" spans="1:73" x14ac:dyDescent="0.15">
      <c r="A398" s="11">
        <v>10245</v>
      </c>
      <c r="B398">
        <v>7</v>
      </c>
      <c r="C398" s="1">
        <v>0</v>
      </c>
      <c r="D398">
        <v>5</v>
      </c>
      <c r="E398">
        <v>1</v>
      </c>
      <c r="F398">
        <v>1</v>
      </c>
      <c r="G398" s="7">
        <v>0.05</v>
      </c>
      <c r="H398">
        <v>12</v>
      </c>
      <c r="I398">
        <v>0</v>
      </c>
      <c r="J398">
        <v>0</v>
      </c>
      <c r="K398">
        <v>0</v>
      </c>
      <c r="L398">
        <v>1</v>
      </c>
      <c r="M398">
        <v>2</v>
      </c>
      <c r="N398" s="7">
        <v>9</v>
      </c>
      <c r="O398" s="7">
        <v>0</v>
      </c>
      <c r="P398" s="7">
        <v>0</v>
      </c>
      <c r="Q398" s="7">
        <v>0</v>
      </c>
      <c r="R398" s="7">
        <v>1</v>
      </c>
      <c r="S398" s="7">
        <v>4.5</v>
      </c>
      <c r="T398">
        <v>7</v>
      </c>
      <c r="U398" s="1">
        <v>0</v>
      </c>
      <c r="V398">
        <v>4</v>
      </c>
      <c r="W398">
        <v>2</v>
      </c>
      <c r="X398">
        <v>1</v>
      </c>
      <c r="Y398">
        <v>0.16</v>
      </c>
      <c r="Z398">
        <v>23</v>
      </c>
      <c r="AA398">
        <v>0</v>
      </c>
      <c r="AB398">
        <v>0</v>
      </c>
      <c r="AC398">
        <v>0</v>
      </c>
      <c r="AD398">
        <v>1</v>
      </c>
      <c r="AE398">
        <v>0.05</v>
      </c>
      <c r="AF398">
        <v>15</v>
      </c>
      <c r="AG398">
        <v>0</v>
      </c>
      <c r="AH398">
        <v>0</v>
      </c>
      <c r="AI398">
        <v>0</v>
      </c>
      <c r="AJ398">
        <v>1</v>
      </c>
      <c r="AK398">
        <v>0.01</v>
      </c>
      <c r="AL398">
        <v>16</v>
      </c>
      <c r="AM398">
        <v>0</v>
      </c>
      <c r="AN398">
        <v>0</v>
      </c>
      <c r="AO398">
        <v>0</v>
      </c>
      <c r="AP398">
        <v>1</v>
      </c>
      <c r="AQ398">
        <v>5.0000000000000001E-3</v>
      </c>
      <c r="AR398">
        <v>6</v>
      </c>
      <c r="AS398">
        <v>2</v>
      </c>
      <c r="AT398">
        <v>4</v>
      </c>
      <c r="AU398">
        <v>5</v>
      </c>
      <c r="AV398">
        <v>1</v>
      </c>
      <c r="AW398">
        <v>0.01</v>
      </c>
      <c r="AX398">
        <v>7</v>
      </c>
      <c r="AY398" s="1">
        <v>0</v>
      </c>
      <c r="AZ398">
        <v>3</v>
      </c>
      <c r="BA398">
        <v>1</v>
      </c>
      <c r="BB398">
        <v>1</v>
      </c>
      <c r="BC398" s="7">
        <v>0.32</v>
      </c>
      <c r="BD398">
        <v>30</v>
      </c>
      <c r="BE398">
        <v>0</v>
      </c>
      <c r="BF398">
        <v>0</v>
      </c>
      <c r="BG398">
        <v>0</v>
      </c>
      <c r="BH398">
        <v>5</v>
      </c>
      <c r="BI398">
        <v>2.4</v>
      </c>
      <c r="BJ398">
        <v>31</v>
      </c>
      <c r="BK398">
        <v>0</v>
      </c>
      <c r="BL398">
        <v>0</v>
      </c>
      <c r="BM398">
        <v>0</v>
      </c>
      <c r="BN398">
        <v>5</v>
      </c>
      <c r="BO398">
        <v>2.4</v>
      </c>
      <c r="BP398">
        <v>36</v>
      </c>
      <c r="BQ398">
        <v>0</v>
      </c>
      <c r="BR398">
        <v>0</v>
      </c>
      <c r="BS398">
        <v>0</v>
      </c>
      <c r="BT398">
        <v>5</v>
      </c>
      <c r="BU398">
        <v>2.2999999999999998</v>
      </c>
    </row>
    <row r="399" spans="1:73" x14ac:dyDescent="0.15">
      <c r="A399" s="11">
        <v>10246</v>
      </c>
      <c r="B399">
        <v>7</v>
      </c>
      <c r="C399" s="1">
        <v>45</v>
      </c>
      <c r="D399">
        <v>0</v>
      </c>
      <c r="E399">
        <v>0</v>
      </c>
      <c r="F399">
        <v>1</v>
      </c>
      <c r="G399" s="7">
        <v>0.05</v>
      </c>
      <c r="H399">
        <v>12</v>
      </c>
      <c r="I399">
        <v>0</v>
      </c>
      <c r="J399">
        <v>0</v>
      </c>
      <c r="K399">
        <v>0</v>
      </c>
      <c r="L399">
        <v>1</v>
      </c>
      <c r="M399">
        <v>2</v>
      </c>
      <c r="N399" s="7">
        <v>9</v>
      </c>
      <c r="O399" s="7">
        <v>0</v>
      </c>
      <c r="P399" s="7">
        <v>0</v>
      </c>
      <c r="Q399" s="7">
        <v>0</v>
      </c>
      <c r="R399" s="7">
        <v>1</v>
      </c>
      <c r="S399" s="7">
        <v>4.5</v>
      </c>
      <c r="T399">
        <v>7</v>
      </c>
      <c r="U399" s="1">
        <v>33</v>
      </c>
      <c r="V399">
        <v>0</v>
      </c>
      <c r="W399">
        <v>0</v>
      </c>
      <c r="X399">
        <v>1</v>
      </c>
      <c r="Y399">
        <v>0.16</v>
      </c>
      <c r="Z399">
        <v>23</v>
      </c>
      <c r="AA399">
        <v>0</v>
      </c>
      <c r="AB399">
        <v>0</v>
      </c>
      <c r="AC399">
        <v>0</v>
      </c>
      <c r="AD399">
        <v>1</v>
      </c>
      <c r="AE399">
        <v>0.05</v>
      </c>
      <c r="AF399">
        <v>15</v>
      </c>
      <c r="AG399">
        <v>0</v>
      </c>
      <c r="AH399">
        <v>0</v>
      </c>
      <c r="AI399">
        <v>0</v>
      </c>
      <c r="AJ399">
        <v>1</v>
      </c>
      <c r="AK399">
        <v>0.01</v>
      </c>
      <c r="AL399">
        <v>16</v>
      </c>
      <c r="AM399">
        <v>0</v>
      </c>
      <c r="AN399">
        <v>0</v>
      </c>
      <c r="AO399">
        <v>0</v>
      </c>
      <c r="AP399">
        <v>1</v>
      </c>
      <c r="AQ399">
        <v>5.0000000000000001E-3</v>
      </c>
      <c r="AX399">
        <v>7</v>
      </c>
      <c r="AY399" s="1">
        <v>17</v>
      </c>
      <c r="AZ399">
        <v>0</v>
      </c>
      <c r="BA399">
        <v>0</v>
      </c>
      <c r="BB399">
        <v>1</v>
      </c>
      <c r="BC399" s="7">
        <v>0.32</v>
      </c>
      <c r="BD399">
        <v>30</v>
      </c>
      <c r="BE399">
        <v>0</v>
      </c>
      <c r="BF399">
        <v>0</v>
      </c>
      <c r="BG399">
        <v>0</v>
      </c>
      <c r="BH399">
        <v>5</v>
      </c>
      <c r="BI399">
        <v>2.4</v>
      </c>
      <c r="BJ399">
        <v>31</v>
      </c>
      <c r="BK399">
        <v>0</v>
      </c>
      <c r="BL399">
        <v>0</v>
      </c>
      <c r="BM399">
        <v>0</v>
      </c>
      <c r="BN399">
        <v>5</v>
      </c>
      <c r="BO399">
        <v>2.4</v>
      </c>
      <c r="BP399">
        <v>36</v>
      </c>
      <c r="BQ399">
        <v>0</v>
      </c>
      <c r="BR399">
        <v>0</v>
      </c>
      <c r="BS399">
        <v>0</v>
      </c>
      <c r="BT399">
        <v>5</v>
      </c>
      <c r="BU399">
        <v>2.2999999999999998</v>
      </c>
    </row>
    <row r="400" spans="1:73" x14ac:dyDescent="0.15">
      <c r="A400" s="11">
        <v>10247</v>
      </c>
      <c r="B400">
        <v>7</v>
      </c>
      <c r="C400" s="1">
        <v>46</v>
      </c>
      <c r="D400">
        <v>0</v>
      </c>
      <c r="E400">
        <v>0</v>
      </c>
      <c r="F400">
        <v>1</v>
      </c>
      <c r="G400" s="7">
        <v>0.05</v>
      </c>
      <c r="H400">
        <v>12</v>
      </c>
      <c r="I400">
        <v>0</v>
      </c>
      <c r="J400">
        <v>0</v>
      </c>
      <c r="K400">
        <v>0</v>
      </c>
      <c r="L400">
        <v>1</v>
      </c>
      <c r="M400">
        <v>2</v>
      </c>
      <c r="N400" s="7">
        <v>9</v>
      </c>
      <c r="O400" s="7">
        <v>0</v>
      </c>
      <c r="P400" s="7">
        <v>0</v>
      </c>
      <c r="Q400" s="7">
        <v>0</v>
      </c>
      <c r="R400" s="7">
        <v>1</v>
      </c>
      <c r="S400" s="7">
        <v>4.5</v>
      </c>
      <c r="T400">
        <v>7</v>
      </c>
      <c r="U400" s="1">
        <v>34</v>
      </c>
      <c r="V400">
        <v>0</v>
      </c>
      <c r="W400">
        <v>0</v>
      </c>
      <c r="X400">
        <v>1</v>
      </c>
      <c r="Y400">
        <v>0.16</v>
      </c>
      <c r="Z400">
        <v>23</v>
      </c>
      <c r="AA400">
        <v>0</v>
      </c>
      <c r="AB400">
        <v>0</v>
      </c>
      <c r="AC400">
        <v>0</v>
      </c>
      <c r="AD400">
        <v>1</v>
      </c>
      <c r="AE400">
        <v>0.05</v>
      </c>
      <c r="AF400">
        <v>15</v>
      </c>
      <c r="AG400">
        <v>0</v>
      </c>
      <c r="AH400">
        <v>0</v>
      </c>
      <c r="AI400">
        <v>0</v>
      </c>
      <c r="AJ400">
        <v>1</v>
      </c>
      <c r="AK400">
        <v>0.01</v>
      </c>
      <c r="AL400">
        <v>16</v>
      </c>
      <c r="AM400">
        <v>0</v>
      </c>
      <c r="AN400">
        <v>0</v>
      </c>
      <c r="AO400">
        <v>0</v>
      </c>
      <c r="AP400">
        <v>1</v>
      </c>
      <c r="AQ400">
        <v>5.0000000000000001E-3</v>
      </c>
      <c r="AX400">
        <v>7</v>
      </c>
      <c r="AY400" s="1">
        <v>18</v>
      </c>
      <c r="AZ400">
        <v>0</v>
      </c>
      <c r="BA400">
        <v>0</v>
      </c>
      <c r="BB400">
        <v>1</v>
      </c>
      <c r="BC400" s="7">
        <v>0.32</v>
      </c>
      <c r="BD400">
        <v>30</v>
      </c>
      <c r="BE400">
        <v>0</v>
      </c>
      <c r="BF400">
        <v>0</v>
      </c>
      <c r="BG400">
        <v>0</v>
      </c>
      <c r="BH400">
        <v>5</v>
      </c>
      <c r="BI400">
        <v>2.4</v>
      </c>
      <c r="BJ400">
        <v>31</v>
      </c>
      <c r="BK400">
        <v>0</v>
      </c>
      <c r="BL400">
        <v>0</v>
      </c>
      <c r="BM400">
        <v>0</v>
      </c>
      <c r="BN400">
        <v>5</v>
      </c>
      <c r="BO400">
        <v>2.4</v>
      </c>
      <c r="BP400">
        <v>36</v>
      </c>
      <c r="BQ400">
        <v>0</v>
      </c>
      <c r="BR400">
        <v>0</v>
      </c>
      <c r="BS400">
        <v>0</v>
      </c>
      <c r="BT400">
        <v>5</v>
      </c>
      <c r="BU400">
        <v>2.2999999999999998</v>
      </c>
    </row>
    <row r="401" spans="1:73" x14ac:dyDescent="0.15">
      <c r="A401" s="11">
        <v>10248</v>
      </c>
      <c r="B401">
        <v>7</v>
      </c>
      <c r="C401" s="1">
        <v>47</v>
      </c>
      <c r="D401">
        <v>0</v>
      </c>
      <c r="E401">
        <v>0</v>
      </c>
      <c r="F401">
        <v>1</v>
      </c>
      <c r="G401" s="7">
        <v>0.05</v>
      </c>
      <c r="H401">
        <v>12</v>
      </c>
      <c r="I401">
        <v>0</v>
      </c>
      <c r="J401">
        <v>0</v>
      </c>
      <c r="K401">
        <v>0</v>
      </c>
      <c r="L401">
        <v>1</v>
      </c>
      <c r="M401">
        <v>2</v>
      </c>
      <c r="N401" s="7">
        <v>9</v>
      </c>
      <c r="O401" s="7">
        <v>0</v>
      </c>
      <c r="P401" s="7">
        <v>0</v>
      </c>
      <c r="Q401" s="7">
        <v>0</v>
      </c>
      <c r="R401" s="7">
        <v>1</v>
      </c>
      <c r="S401" s="7">
        <v>4.5</v>
      </c>
      <c r="T401">
        <v>7</v>
      </c>
      <c r="U401" s="1">
        <v>35</v>
      </c>
      <c r="V401">
        <v>0</v>
      </c>
      <c r="W401">
        <v>0</v>
      </c>
      <c r="X401">
        <v>1</v>
      </c>
      <c r="Y401">
        <v>0.16</v>
      </c>
      <c r="Z401">
        <v>23</v>
      </c>
      <c r="AA401">
        <v>0</v>
      </c>
      <c r="AB401">
        <v>0</v>
      </c>
      <c r="AC401">
        <v>0</v>
      </c>
      <c r="AD401">
        <v>1</v>
      </c>
      <c r="AE401">
        <v>0.05</v>
      </c>
      <c r="AF401">
        <v>15</v>
      </c>
      <c r="AG401">
        <v>0</v>
      </c>
      <c r="AH401">
        <v>0</v>
      </c>
      <c r="AI401">
        <v>0</v>
      </c>
      <c r="AJ401">
        <v>1</v>
      </c>
      <c r="AK401">
        <v>0.01</v>
      </c>
      <c r="AL401">
        <v>16</v>
      </c>
      <c r="AM401">
        <v>0</v>
      </c>
      <c r="AN401">
        <v>0</v>
      </c>
      <c r="AO401">
        <v>0</v>
      </c>
      <c r="AP401">
        <v>1</v>
      </c>
      <c r="AQ401">
        <v>5.0000000000000001E-3</v>
      </c>
      <c r="AX401">
        <v>7</v>
      </c>
      <c r="AY401" s="1">
        <v>19</v>
      </c>
      <c r="AZ401">
        <v>0</v>
      </c>
      <c r="BA401">
        <v>0</v>
      </c>
      <c r="BB401">
        <v>1</v>
      </c>
      <c r="BC401" s="7">
        <v>0.32</v>
      </c>
      <c r="BD401">
        <v>30</v>
      </c>
      <c r="BE401">
        <v>0</v>
      </c>
      <c r="BF401">
        <v>0</v>
      </c>
      <c r="BG401">
        <v>0</v>
      </c>
      <c r="BH401">
        <v>5</v>
      </c>
      <c r="BI401">
        <v>2.4</v>
      </c>
      <c r="BJ401">
        <v>31</v>
      </c>
      <c r="BK401">
        <v>0</v>
      </c>
      <c r="BL401">
        <v>0</v>
      </c>
      <c r="BM401">
        <v>0</v>
      </c>
      <c r="BN401">
        <v>5</v>
      </c>
      <c r="BO401">
        <v>2.4</v>
      </c>
      <c r="BP401">
        <v>36</v>
      </c>
      <c r="BQ401">
        <v>0</v>
      </c>
      <c r="BR401">
        <v>0</v>
      </c>
      <c r="BS401">
        <v>0</v>
      </c>
      <c r="BT401">
        <v>5</v>
      </c>
      <c r="BU401">
        <v>2.2999999999999998</v>
      </c>
    </row>
    <row r="402" spans="1:73" x14ac:dyDescent="0.15">
      <c r="A402" s="11">
        <v>10249</v>
      </c>
      <c r="B402">
        <v>7</v>
      </c>
      <c r="C402" s="1">
        <v>48</v>
      </c>
      <c r="D402">
        <v>0</v>
      </c>
      <c r="E402">
        <v>0</v>
      </c>
      <c r="F402">
        <v>1</v>
      </c>
      <c r="G402" s="7">
        <v>0.05</v>
      </c>
      <c r="H402">
        <v>12</v>
      </c>
      <c r="I402">
        <v>0</v>
      </c>
      <c r="J402">
        <v>0</v>
      </c>
      <c r="K402">
        <v>0</v>
      </c>
      <c r="L402">
        <v>1</v>
      </c>
      <c r="M402">
        <v>2</v>
      </c>
      <c r="N402" s="7">
        <v>9</v>
      </c>
      <c r="O402" s="7">
        <v>0</v>
      </c>
      <c r="P402" s="7">
        <v>0</v>
      </c>
      <c r="Q402" s="7">
        <v>0</v>
      </c>
      <c r="R402" s="7">
        <v>1</v>
      </c>
      <c r="S402" s="7">
        <v>4.5</v>
      </c>
      <c r="T402">
        <v>7</v>
      </c>
      <c r="U402" s="1">
        <v>36</v>
      </c>
      <c r="V402">
        <v>0</v>
      </c>
      <c r="W402">
        <v>0</v>
      </c>
      <c r="X402">
        <v>1</v>
      </c>
      <c r="Y402">
        <v>0.16</v>
      </c>
      <c r="Z402">
        <v>23</v>
      </c>
      <c r="AA402">
        <v>0</v>
      </c>
      <c r="AB402">
        <v>0</v>
      </c>
      <c r="AC402">
        <v>0</v>
      </c>
      <c r="AD402">
        <v>1</v>
      </c>
      <c r="AE402">
        <v>0.05</v>
      </c>
      <c r="AF402">
        <v>15</v>
      </c>
      <c r="AG402">
        <v>0</v>
      </c>
      <c r="AH402">
        <v>0</v>
      </c>
      <c r="AI402">
        <v>0</v>
      </c>
      <c r="AJ402">
        <v>1</v>
      </c>
      <c r="AK402">
        <v>0.01</v>
      </c>
      <c r="AL402">
        <v>16</v>
      </c>
      <c r="AM402">
        <v>0</v>
      </c>
      <c r="AN402">
        <v>0</v>
      </c>
      <c r="AO402">
        <v>0</v>
      </c>
      <c r="AP402">
        <v>1</v>
      </c>
      <c r="AQ402">
        <v>5.0000000000000001E-3</v>
      </c>
      <c r="AX402">
        <v>7</v>
      </c>
      <c r="AY402" s="1">
        <v>20</v>
      </c>
      <c r="AZ402">
        <v>0</v>
      </c>
      <c r="BA402">
        <v>0</v>
      </c>
      <c r="BB402">
        <v>1</v>
      </c>
      <c r="BC402" s="7">
        <v>0.32</v>
      </c>
      <c r="BD402">
        <v>30</v>
      </c>
      <c r="BE402">
        <v>0</v>
      </c>
      <c r="BF402">
        <v>0</v>
      </c>
      <c r="BG402">
        <v>0</v>
      </c>
      <c r="BH402">
        <v>5</v>
      </c>
      <c r="BI402">
        <v>2.4</v>
      </c>
      <c r="BJ402">
        <v>31</v>
      </c>
      <c r="BK402">
        <v>0</v>
      </c>
      <c r="BL402">
        <v>0</v>
      </c>
      <c r="BM402">
        <v>0</v>
      </c>
      <c r="BN402">
        <v>5</v>
      </c>
      <c r="BO402">
        <v>2.4</v>
      </c>
      <c r="BP402">
        <v>36</v>
      </c>
      <c r="BQ402">
        <v>0</v>
      </c>
      <c r="BR402">
        <v>0</v>
      </c>
      <c r="BS402">
        <v>0</v>
      </c>
      <c r="BT402">
        <v>5</v>
      </c>
      <c r="BU402">
        <v>2.2999999999999998</v>
      </c>
    </row>
    <row r="403" spans="1:73" x14ac:dyDescent="0.15">
      <c r="A403" s="11">
        <v>10250</v>
      </c>
      <c r="B403">
        <v>7</v>
      </c>
      <c r="C403" s="1">
        <v>0</v>
      </c>
      <c r="D403">
        <v>5</v>
      </c>
      <c r="E403">
        <v>1</v>
      </c>
      <c r="F403">
        <v>1</v>
      </c>
      <c r="G403" s="7">
        <v>0.05</v>
      </c>
      <c r="H403">
        <v>12</v>
      </c>
      <c r="I403">
        <v>0</v>
      </c>
      <c r="J403">
        <v>0</v>
      </c>
      <c r="K403">
        <v>0</v>
      </c>
      <c r="L403">
        <v>1</v>
      </c>
      <c r="M403">
        <v>2</v>
      </c>
      <c r="N403" s="7">
        <v>9</v>
      </c>
      <c r="O403" s="7">
        <v>0</v>
      </c>
      <c r="P403" s="7">
        <v>0</v>
      </c>
      <c r="Q403" s="7">
        <v>0</v>
      </c>
      <c r="R403" s="7">
        <v>1</v>
      </c>
      <c r="S403" s="7">
        <v>4.5</v>
      </c>
      <c r="T403">
        <v>7</v>
      </c>
      <c r="U403" s="1">
        <v>0</v>
      </c>
      <c r="V403">
        <v>4</v>
      </c>
      <c r="W403">
        <v>2</v>
      </c>
      <c r="X403">
        <v>1</v>
      </c>
      <c r="Y403">
        <v>0.16</v>
      </c>
      <c r="Z403">
        <v>23</v>
      </c>
      <c r="AA403">
        <v>0</v>
      </c>
      <c r="AB403">
        <v>0</v>
      </c>
      <c r="AC403">
        <v>0</v>
      </c>
      <c r="AD403">
        <v>1</v>
      </c>
      <c r="AE403">
        <v>0.05</v>
      </c>
      <c r="AF403">
        <v>15</v>
      </c>
      <c r="AG403">
        <v>0</v>
      </c>
      <c r="AH403">
        <v>0</v>
      </c>
      <c r="AI403">
        <v>0</v>
      </c>
      <c r="AJ403">
        <v>1</v>
      </c>
      <c r="AK403">
        <v>0.01</v>
      </c>
      <c r="AL403">
        <v>16</v>
      </c>
      <c r="AM403">
        <v>0</v>
      </c>
      <c r="AN403">
        <v>0</v>
      </c>
      <c r="AO403">
        <v>0</v>
      </c>
      <c r="AP403">
        <v>1</v>
      </c>
      <c r="AQ403">
        <v>5.0000000000000001E-3</v>
      </c>
      <c r="AR403">
        <v>6</v>
      </c>
      <c r="AS403">
        <v>2</v>
      </c>
      <c r="AT403">
        <v>5</v>
      </c>
      <c r="AU403">
        <v>5</v>
      </c>
      <c r="AV403">
        <v>1</v>
      </c>
      <c r="AW403">
        <v>0.01</v>
      </c>
      <c r="AX403">
        <v>7</v>
      </c>
      <c r="AY403" s="1">
        <v>0</v>
      </c>
      <c r="AZ403">
        <v>3</v>
      </c>
      <c r="BA403">
        <v>1</v>
      </c>
      <c r="BB403">
        <v>1</v>
      </c>
      <c r="BC403" s="7">
        <v>0.32</v>
      </c>
      <c r="BD403">
        <v>30</v>
      </c>
      <c r="BE403">
        <v>0</v>
      </c>
      <c r="BF403">
        <v>0</v>
      </c>
      <c r="BG403">
        <v>0</v>
      </c>
      <c r="BH403">
        <v>5</v>
      </c>
      <c r="BI403">
        <v>2.4</v>
      </c>
      <c r="BJ403">
        <v>31</v>
      </c>
      <c r="BK403">
        <v>0</v>
      </c>
      <c r="BL403">
        <v>0</v>
      </c>
      <c r="BM403">
        <v>0</v>
      </c>
      <c r="BN403">
        <v>5</v>
      </c>
      <c r="BO403">
        <v>2.4</v>
      </c>
      <c r="BP403">
        <v>36</v>
      </c>
      <c r="BQ403">
        <v>0</v>
      </c>
      <c r="BR403">
        <v>0</v>
      </c>
      <c r="BS403">
        <v>0</v>
      </c>
      <c r="BT403">
        <v>5</v>
      </c>
      <c r="BU403">
        <v>2.2999999999999998</v>
      </c>
    </row>
    <row r="404" spans="1:73" x14ac:dyDescent="0.15">
      <c r="A404" s="11">
        <v>10301</v>
      </c>
      <c r="B404">
        <v>7</v>
      </c>
      <c r="C404" s="1">
        <v>45</v>
      </c>
      <c r="D404">
        <v>0</v>
      </c>
      <c r="E404">
        <v>0</v>
      </c>
      <c r="F404">
        <v>1</v>
      </c>
      <c r="G404" s="7">
        <v>0.05</v>
      </c>
      <c r="H404">
        <v>12</v>
      </c>
      <c r="I404">
        <v>0</v>
      </c>
      <c r="J404">
        <v>0</v>
      </c>
      <c r="K404">
        <v>0</v>
      </c>
      <c r="L404">
        <v>1</v>
      </c>
      <c r="M404">
        <v>2</v>
      </c>
      <c r="N404" s="7">
        <v>9</v>
      </c>
      <c r="O404" s="7">
        <v>0</v>
      </c>
      <c r="P404" s="7">
        <v>0</v>
      </c>
      <c r="Q404" s="7">
        <v>0</v>
      </c>
      <c r="R404" s="7">
        <v>1</v>
      </c>
      <c r="S404" s="7">
        <v>4.5</v>
      </c>
      <c r="T404">
        <v>7</v>
      </c>
      <c r="U404" s="1">
        <v>33</v>
      </c>
      <c r="V404">
        <v>0</v>
      </c>
      <c r="W404">
        <v>0</v>
      </c>
      <c r="X404">
        <v>1</v>
      </c>
      <c r="Y404">
        <v>0.16</v>
      </c>
      <c r="Z404">
        <v>23</v>
      </c>
      <c r="AA404">
        <v>0</v>
      </c>
      <c r="AB404">
        <v>0</v>
      </c>
      <c r="AC404">
        <v>0</v>
      </c>
      <c r="AD404">
        <v>1</v>
      </c>
      <c r="AE404">
        <v>0.05</v>
      </c>
      <c r="AF404">
        <v>15</v>
      </c>
      <c r="AG404">
        <v>0</v>
      </c>
      <c r="AH404">
        <v>0</v>
      </c>
      <c r="AI404">
        <v>0</v>
      </c>
      <c r="AJ404">
        <v>1</v>
      </c>
      <c r="AK404">
        <v>0.02</v>
      </c>
      <c r="AL404">
        <v>16</v>
      </c>
      <c r="AM404">
        <v>0</v>
      </c>
      <c r="AN404">
        <v>0</v>
      </c>
      <c r="AO404">
        <v>0</v>
      </c>
      <c r="AP404">
        <v>1</v>
      </c>
      <c r="AQ404">
        <v>0.01</v>
      </c>
      <c r="AX404">
        <v>7</v>
      </c>
      <c r="AY404" s="1">
        <v>17</v>
      </c>
      <c r="AZ404">
        <v>0</v>
      </c>
      <c r="BA404">
        <v>0</v>
      </c>
      <c r="BB404">
        <v>1</v>
      </c>
      <c r="BC404" s="7">
        <v>0.32</v>
      </c>
      <c r="BD404">
        <v>30</v>
      </c>
      <c r="BE404">
        <v>0</v>
      </c>
      <c r="BF404">
        <v>0</v>
      </c>
      <c r="BG404">
        <v>0</v>
      </c>
      <c r="BH404">
        <v>5</v>
      </c>
      <c r="BI404">
        <v>2.4</v>
      </c>
      <c r="BJ404">
        <v>31</v>
      </c>
      <c r="BK404">
        <v>0</v>
      </c>
      <c r="BL404">
        <v>0</v>
      </c>
      <c r="BM404">
        <v>0</v>
      </c>
      <c r="BN404">
        <v>5</v>
      </c>
      <c r="BO404">
        <v>2.4</v>
      </c>
      <c r="BP404">
        <v>36</v>
      </c>
      <c r="BQ404">
        <v>0</v>
      </c>
      <c r="BR404">
        <v>0</v>
      </c>
      <c r="BS404">
        <v>0</v>
      </c>
      <c r="BT404">
        <v>5</v>
      </c>
      <c r="BU404">
        <v>2.2999999999999998</v>
      </c>
    </row>
    <row r="405" spans="1:73" x14ac:dyDescent="0.15">
      <c r="A405" s="11">
        <v>10302</v>
      </c>
      <c r="B405">
        <v>7</v>
      </c>
      <c r="C405" s="1">
        <v>46</v>
      </c>
      <c r="D405">
        <v>0</v>
      </c>
      <c r="E405">
        <v>0</v>
      </c>
      <c r="F405">
        <v>1</v>
      </c>
      <c r="G405" s="7">
        <v>0.05</v>
      </c>
      <c r="H405">
        <v>12</v>
      </c>
      <c r="I405">
        <v>0</v>
      </c>
      <c r="J405">
        <v>0</v>
      </c>
      <c r="K405">
        <v>0</v>
      </c>
      <c r="L405">
        <v>1</v>
      </c>
      <c r="M405">
        <v>2</v>
      </c>
      <c r="N405" s="7">
        <v>9</v>
      </c>
      <c r="O405" s="7">
        <v>0</v>
      </c>
      <c r="P405" s="7">
        <v>0</v>
      </c>
      <c r="Q405" s="7">
        <v>0</v>
      </c>
      <c r="R405" s="7">
        <v>1</v>
      </c>
      <c r="S405" s="7">
        <v>4.5</v>
      </c>
      <c r="T405">
        <v>7</v>
      </c>
      <c r="U405" s="1">
        <v>34</v>
      </c>
      <c r="V405">
        <v>0</v>
      </c>
      <c r="W405">
        <v>0</v>
      </c>
      <c r="X405">
        <v>1</v>
      </c>
      <c r="Y405">
        <v>0.16</v>
      </c>
      <c r="Z405">
        <v>23</v>
      </c>
      <c r="AA405">
        <v>0</v>
      </c>
      <c r="AB405">
        <v>0</v>
      </c>
      <c r="AC405">
        <v>0</v>
      </c>
      <c r="AD405">
        <v>1</v>
      </c>
      <c r="AE405">
        <v>0.05</v>
      </c>
      <c r="AF405">
        <v>15</v>
      </c>
      <c r="AG405">
        <v>0</v>
      </c>
      <c r="AH405">
        <v>0</v>
      </c>
      <c r="AI405">
        <v>0</v>
      </c>
      <c r="AJ405">
        <v>1</v>
      </c>
      <c r="AK405">
        <v>0.02</v>
      </c>
      <c r="AL405">
        <v>16</v>
      </c>
      <c r="AM405">
        <v>0</v>
      </c>
      <c r="AN405">
        <v>0</v>
      </c>
      <c r="AO405">
        <v>0</v>
      </c>
      <c r="AP405">
        <v>1</v>
      </c>
      <c r="AQ405">
        <v>0.01</v>
      </c>
      <c r="AX405">
        <v>7</v>
      </c>
      <c r="AY405" s="1">
        <v>18</v>
      </c>
      <c r="AZ405">
        <v>0</v>
      </c>
      <c r="BA405">
        <v>0</v>
      </c>
      <c r="BB405">
        <v>1</v>
      </c>
      <c r="BC405" s="7">
        <v>0.32</v>
      </c>
      <c r="BD405">
        <v>30</v>
      </c>
      <c r="BE405">
        <v>0</v>
      </c>
      <c r="BF405">
        <v>0</v>
      </c>
      <c r="BG405">
        <v>0</v>
      </c>
      <c r="BH405">
        <v>5</v>
      </c>
      <c r="BI405">
        <v>2.4</v>
      </c>
      <c r="BJ405">
        <v>31</v>
      </c>
      <c r="BK405">
        <v>0</v>
      </c>
      <c r="BL405">
        <v>0</v>
      </c>
      <c r="BM405">
        <v>0</v>
      </c>
      <c r="BN405">
        <v>5</v>
      </c>
      <c r="BO405">
        <v>2.4</v>
      </c>
      <c r="BP405">
        <v>36</v>
      </c>
      <c r="BQ405">
        <v>0</v>
      </c>
      <c r="BR405">
        <v>0</v>
      </c>
      <c r="BS405">
        <v>0</v>
      </c>
      <c r="BT405">
        <v>5</v>
      </c>
      <c r="BU405">
        <v>2.2999999999999998</v>
      </c>
    </row>
    <row r="406" spans="1:73" x14ac:dyDescent="0.15">
      <c r="A406" s="11">
        <v>10303</v>
      </c>
      <c r="B406">
        <v>7</v>
      </c>
      <c r="C406" s="1">
        <v>47</v>
      </c>
      <c r="D406">
        <v>0</v>
      </c>
      <c r="E406">
        <v>0</v>
      </c>
      <c r="F406">
        <v>1</v>
      </c>
      <c r="G406" s="7">
        <v>0.05</v>
      </c>
      <c r="H406">
        <v>12</v>
      </c>
      <c r="I406">
        <v>0</v>
      </c>
      <c r="J406">
        <v>0</v>
      </c>
      <c r="K406">
        <v>0</v>
      </c>
      <c r="L406">
        <v>1</v>
      </c>
      <c r="M406">
        <v>2</v>
      </c>
      <c r="N406" s="7">
        <v>9</v>
      </c>
      <c r="O406" s="7">
        <v>0</v>
      </c>
      <c r="P406" s="7">
        <v>0</v>
      </c>
      <c r="Q406" s="7">
        <v>0</v>
      </c>
      <c r="R406" s="7">
        <v>1</v>
      </c>
      <c r="S406" s="7">
        <v>4.5</v>
      </c>
      <c r="T406">
        <v>7</v>
      </c>
      <c r="U406" s="1">
        <v>35</v>
      </c>
      <c r="V406">
        <v>0</v>
      </c>
      <c r="W406">
        <v>0</v>
      </c>
      <c r="X406">
        <v>1</v>
      </c>
      <c r="Y406">
        <v>0.16</v>
      </c>
      <c r="Z406">
        <v>23</v>
      </c>
      <c r="AA406">
        <v>0</v>
      </c>
      <c r="AB406">
        <v>0</v>
      </c>
      <c r="AC406">
        <v>0</v>
      </c>
      <c r="AD406">
        <v>1</v>
      </c>
      <c r="AE406">
        <v>0.05</v>
      </c>
      <c r="AF406">
        <v>15</v>
      </c>
      <c r="AG406">
        <v>0</v>
      </c>
      <c r="AH406">
        <v>0</v>
      </c>
      <c r="AI406">
        <v>0</v>
      </c>
      <c r="AJ406">
        <v>1</v>
      </c>
      <c r="AK406">
        <v>0.02</v>
      </c>
      <c r="AL406">
        <v>16</v>
      </c>
      <c r="AM406">
        <v>0</v>
      </c>
      <c r="AN406">
        <v>0</v>
      </c>
      <c r="AO406">
        <v>0</v>
      </c>
      <c r="AP406">
        <v>1</v>
      </c>
      <c r="AQ406">
        <v>0.01</v>
      </c>
      <c r="AX406">
        <v>7</v>
      </c>
      <c r="AY406" s="1">
        <v>19</v>
      </c>
      <c r="AZ406">
        <v>0</v>
      </c>
      <c r="BA406">
        <v>0</v>
      </c>
      <c r="BB406">
        <v>1</v>
      </c>
      <c r="BC406" s="7">
        <v>0.32</v>
      </c>
      <c r="BD406">
        <v>30</v>
      </c>
      <c r="BE406">
        <v>0</v>
      </c>
      <c r="BF406">
        <v>0</v>
      </c>
      <c r="BG406">
        <v>0</v>
      </c>
      <c r="BH406">
        <v>5</v>
      </c>
      <c r="BI406">
        <v>2.4</v>
      </c>
      <c r="BJ406">
        <v>31</v>
      </c>
      <c r="BK406">
        <v>0</v>
      </c>
      <c r="BL406">
        <v>0</v>
      </c>
      <c r="BM406">
        <v>0</v>
      </c>
      <c r="BN406">
        <v>5</v>
      </c>
      <c r="BO406">
        <v>2.4</v>
      </c>
      <c r="BP406">
        <v>36</v>
      </c>
      <c r="BQ406">
        <v>0</v>
      </c>
      <c r="BR406">
        <v>0</v>
      </c>
      <c r="BS406">
        <v>0</v>
      </c>
      <c r="BT406">
        <v>5</v>
      </c>
      <c r="BU406">
        <v>2.2999999999999998</v>
      </c>
    </row>
    <row r="407" spans="1:73" x14ac:dyDescent="0.15">
      <c r="A407" s="11">
        <v>10304</v>
      </c>
      <c r="B407">
        <v>7</v>
      </c>
      <c r="C407" s="1">
        <v>48</v>
      </c>
      <c r="D407">
        <v>0</v>
      </c>
      <c r="E407">
        <v>0</v>
      </c>
      <c r="F407">
        <v>1</v>
      </c>
      <c r="G407" s="7">
        <v>0.05</v>
      </c>
      <c r="H407">
        <v>12</v>
      </c>
      <c r="I407">
        <v>0</v>
      </c>
      <c r="J407">
        <v>0</v>
      </c>
      <c r="K407">
        <v>0</v>
      </c>
      <c r="L407">
        <v>1</v>
      </c>
      <c r="M407">
        <v>2</v>
      </c>
      <c r="N407" s="7">
        <v>9</v>
      </c>
      <c r="O407" s="7">
        <v>0</v>
      </c>
      <c r="P407" s="7">
        <v>0</v>
      </c>
      <c r="Q407" s="7">
        <v>0</v>
      </c>
      <c r="R407" s="7">
        <v>1</v>
      </c>
      <c r="S407" s="7">
        <v>4.5</v>
      </c>
      <c r="T407">
        <v>7</v>
      </c>
      <c r="U407" s="1">
        <v>36</v>
      </c>
      <c r="V407">
        <v>0</v>
      </c>
      <c r="W407">
        <v>0</v>
      </c>
      <c r="X407">
        <v>1</v>
      </c>
      <c r="Y407">
        <v>0.16</v>
      </c>
      <c r="Z407">
        <v>23</v>
      </c>
      <c r="AA407">
        <v>0</v>
      </c>
      <c r="AB407">
        <v>0</v>
      </c>
      <c r="AC407">
        <v>0</v>
      </c>
      <c r="AD407">
        <v>1</v>
      </c>
      <c r="AE407">
        <v>0.05</v>
      </c>
      <c r="AF407">
        <v>15</v>
      </c>
      <c r="AG407">
        <v>0</v>
      </c>
      <c r="AH407">
        <v>0</v>
      </c>
      <c r="AI407">
        <v>0</v>
      </c>
      <c r="AJ407">
        <v>1</v>
      </c>
      <c r="AK407">
        <v>0.02</v>
      </c>
      <c r="AL407">
        <v>16</v>
      </c>
      <c r="AM407">
        <v>0</v>
      </c>
      <c r="AN407">
        <v>0</v>
      </c>
      <c r="AO407">
        <v>0</v>
      </c>
      <c r="AP407">
        <v>1</v>
      </c>
      <c r="AQ407">
        <v>0.01</v>
      </c>
      <c r="AX407">
        <v>7</v>
      </c>
      <c r="AY407" s="1">
        <v>20</v>
      </c>
      <c r="AZ407">
        <v>0</v>
      </c>
      <c r="BA407">
        <v>0</v>
      </c>
      <c r="BB407">
        <v>1</v>
      </c>
      <c r="BC407" s="7">
        <v>0.32</v>
      </c>
      <c r="BD407">
        <v>30</v>
      </c>
      <c r="BE407">
        <v>0</v>
      </c>
      <c r="BF407">
        <v>0</v>
      </c>
      <c r="BG407">
        <v>0</v>
      </c>
      <c r="BH407">
        <v>5</v>
      </c>
      <c r="BI407">
        <v>2.4</v>
      </c>
      <c r="BJ407">
        <v>31</v>
      </c>
      <c r="BK407">
        <v>0</v>
      </c>
      <c r="BL407">
        <v>0</v>
      </c>
      <c r="BM407">
        <v>0</v>
      </c>
      <c r="BN407">
        <v>5</v>
      </c>
      <c r="BO407">
        <v>2.4</v>
      </c>
      <c r="BP407">
        <v>36</v>
      </c>
      <c r="BQ407">
        <v>0</v>
      </c>
      <c r="BR407">
        <v>0</v>
      </c>
      <c r="BS407">
        <v>0</v>
      </c>
      <c r="BT407">
        <v>5</v>
      </c>
      <c r="BU407">
        <v>2.2999999999999998</v>
      </c>
    </row>
    <row r="408" spans="1:73" x14ac:dyDescent="0.15">
      <c r="A408" s="11">
        <v>10305</v>
      </c>
      <c r="B408">
        <v>7</v>
      </c>
      <c r="C408" s="1">
        <v>0</v>
      </c>
      <c r="D408">
        <v>5</v>
      </c>
      <c r="E408">
        <v>1</v>
      </c>
      <c r="F408">
        <v>1</v>
      </c>
      <c r="G408" s="7">
        <v>0.05</v>
      </c>
      <c r="H408">
        <v>12</v>
      </c>
      <c r="I408">
        <v>0</v>
      </c>
      <c r="J408">
        <v>0</v>
      </c>
      <c r="K408">
        <v>0</v>
      </c>
      <c r="L408">
        <v>1</v>
      </c>
      <c r="M408">
        <v>2</v>
      </c>
      <c r="N408" s="7">
        <v>9</v>
      </c>
      <c r="O408" s="7">
        <v>0</v>
      </c>
      <c r="P408" s="7">
        <v>0</v>
      </c>
      <c r="Q408" s="7">
        <v>0</v>
      </c>
      <c r="R408" s="7">
        <v>1</v>
      </c>
      <c r="S408" s="7">
        <v>4.5</v>
      </c>
      <c r="T408">
        <v>7</v>
      </c>
      <c r="U408" s="1">
        <v>0</v>
      </c>
      <c r="V408">
        <v>4</v>
      </c>
      <c r="W408">
        <v>2</v>
      </c>
      <c r="X408">
        <v>1</v>
      </c>
      <c r="Y408">
        <v>0.16</v>
      </c>
      <c r="Z408">
        <v>23</v>
      </c>
      <c r="AA408">
        <v>0</v>
      </c>
      <c r="AB408">
        <v>0</v>
      </c>
      <c r="AC408">
        <v>0</v>
      </c>
      <c r="AD408">
        <v>1</v>
      </c>
      <c r="AE408">
        <v>0.05</v>
      </c>
      <c r="AF408">
        <v>15</v>
      </c>
      <c r="AG408">
        <v>0</v>
      </c>
      <c r="AH408">
        <v>0</v>
      </c>
      <c r="AI408">
        <v>0</v>
      </c>
      <c r="AJ408">
        <v>1</v>
      </c>
      <c r="AK408">
        <v>0.02</v>
      </c>
      <c r="AL408">
        <v>16</v>
      </c>
      <c r="AM408">
        <v>0</v>
      </c>
      <c r="AN408">
        <v>0</v>
      </c>
      <c r="AO408">
        <v>0</v>
      </c>
      <c r="AP408">
        <v>1</v>
      </c>
      <c r="AQ408">
        <v>0.01</v>
      </c>
      <c r="AR408">
        <v>6</v>
      </c>
      <c r="AS408">
        <v>2</v>
      </c>
      <c r="AT408">
        <v>1</v>
      </c>
      <c r="AU408">
        <v>5</v>
      </c>
      <c r="AV408">
        <v>1</v>
      </c>
      <c r="AW408">
        <v>0.05</v>
      </c>
      <c r="AX408">
        <v>7</v>
      </c>
      <c r="AY408" s="1">
        <v>0</v>
      </c>
      <c r="AZ408">
        <v>3</v>
      </c>
      <c r="BA408">
        <v>1</v>
      </c>
      <c r="BB408">
        <v>1</v>
      </c>
      <c r="BC408" s="7">
        <v>0.32</v>
      </c>
      <c r="BD408">
        <v>30</v>
      </c>
      <c r="BE408">
        <v>0</v>
      </c>
      <c r="BF408">
        <v>0</v>
      </c>
      <c r="BG408">
        <v>0</v>
      </c>
      <c r="BH408">
        <v>5</v>
      </c>
      <c r="BI408">
        <v>2.4</v>
      </c>
      <c r="BJ408">
        <v>31</v>
      </c>
      <c r="BK408">
        <v>0</v>
      </c>
      <c r="BL408">
        <v>0</v>
      </c>
      <c r="BM408">
        <v>0</v>
      </c>
      <c r="BN408">
        <v>5</v>
      </c>
      <c r="BO408">
        <v>2.4</v>
      </c>
      <c r="BP408">
        <v>36</v>
      </c>
      <c r="BQ408">
        <v>0</v>
      </c>
      <c r="BR408">
        <v>0</v>
      </c>
      <c r="BS408">
        <v>0</v>
      </c>
      <c r="BT408">
        <v>5</v>
      </c>
      <c r="BU408">
        <v>2.2999999999999998</v>
      </c>
    </row>
    <row r="409" spans="1:73" x14ac:dyDescent="0.15">
      <c r="A409" s="11">
        <v>10306</v>
      </c>
      <c r="B409">
        <v>7</v>
      </c>
      <c r="C409" s="1">
        <v>45</v>
      </c>
      <c r="D409">
        <v>0</v>
      </c>
      <c r="E409">
        <v>0</v>
      </c>
      <c r="F409">
        <v>1</v>
      </c>
      <c r="G409" s="7">
        <v>0.05</v>
      </c>
      <c r="H409">
        <v>12</v>
      </c>
      <c r="I409">
        <v>0</v>
      </c>
      <c r="J409">
        <v>0</v>
      </c>
      <c r="K409">
        <v>0</v>
      </c>
      <c r="L409">
        <v>1</v>
      </c>
      <c r="M409">
        <v>2</v>
      </c>
      <c r="N409" s="7">
        <v>9</v>
      </c>
      <c r="O409" s="7">
        <v>0</v>
      </c>
      <c r="P409" s="7">
        <v>0</v>
      </c>
      <c r="Q409" s="7">
        <v>0</v>
      </c>
      <c r="R409" s="7">
        <v>1</v>
      </c>
      <c r="S409" s="7">
        <v>4.5</v>
      </c>
      <c r="T409">
        <v>7</v>
      </c>
      <c r="U409" s="1">
        <v>33</v>
      </c>
      <c r="V409">
        <v>0</v>
      </c>
      <c r="W409">
        <v>0</v>
      </c>
      <c r="X409">
        <v>1</v>
      </c>
      <c r="Y409">
        <v>0.16</v>
      </c>
      <c r="Z409">
        <v>23</v>
      </c>
      <c r="AA409">
        <v>0</v>
      </c>
      <c r="AB409">
        <v>0</v>
      </c>
      <c r="AC409">
        <v>0</v>
      </c>
      <c r="AD409">
        <v>1</v>
      </c>
      <c r="AE409">
        <v>0.05</v>
      </c>
      <c r="AF409">
        <v>15</v>
      </c>
      <c r="AG409">
        <v>0</v>
      </c>
      <c r="AH409">
        <v>0</v>
      </c>
      <c r="AI409">
        <v>0</v>
      </c>
      <c r="AJ409">
        <v>1</v>
      </c>
      <c r="AK409">
        <v>0.02</v>
      </c>
      <c r="AL409">
        <v>16</v>
      </c>
      <c r="AM409">
        <v>0</v>
      </c>
      <c r="AN409">
        <v>0</v>
      </c>
      <c r="AO409">
        <v>0</v>
      </c>
      <c r="AP409">
        <v>1</v>
      </c>
      <c r="AQ409">
        <v>0.01</v>
      </c>
      <c r="AX409">
        <v>7</v>
      </c>
      <c r="AY409" s="1">
        <v>17</v>
      </c>
      <c r="AZ409">
        <v>0</v>
      </c>
      <c r="BA409">
        <v>0</v>
      </c>
      <c r="BB409">
        <v>1</v>
      </c>
      <c r="BC409" s="7">
        <v>0.32</v>
      </c>
      <c r="BD409">
        <v>30</v>
      </c>
      <c r="BE409">
        <v>0</v>
      </c>
      <c r="BF409">
        <v>0</v>
      </c>
      <c r="BG409">
        <v>0</v>
      </c>
      <c r="BH409">
        <v>5</v>
      </c>
      <c r="BI409">
        <v>2.4</v>
      </c>
      <c r="BJ409">
        <v>31</v>
      </c>
      <c r="BK409">
        <v>0</v>
      </c>
      <c r="BL409">
        <v>0</v>
      </c>
      <c r="BM409">
        <v>0</v>
      </c>
      <c r="BN409">
        <v>5</v>
      </c>
      <c r="BO409">
        <v>2.4</v>
      </c>
      <c r="BP409">
        <v>36</v>
      </c>
      <c r="BQ409">
        <v>0</v>
      </c>
      <c r="BR409">
        <v>0</v>
      </c>
      <c r="BS409">
        <v>0</v>
      </c>
      <c r="BT409">
        <v>5</v>
      </c>
      <c r="BU409">
        <v>2.2999999999999998</v>
      </c>
    </row>
    <row r="410" spans="1:73" x14ac:dyDescent="0.15">
      <c r="A410" s="11">
        <v>10307</v>
      </c>
      <c r="B410">
        <v>7</v>
      </c>
      <c r="C410" s="1">
        <v>46</v>
      </c>
      <c r="D410">
        <v>0</v>
      </c>
      <c r="E410">
        <v>0</v>
      </c>
      <c r="F410">
        <v>1</v>
      </c>
      <c r="G410" s="7">
        <v>0.05</v>
      </c>
      <c r="H410">
        <v>12</v>
      </c>
      <c r="I410">
        <v>0</v>
      </c>
      <c r="J410">
        <v>0</v>
      </c>
      <c r="K410">
        <v>0</v>
      </c>
      <c r="L410">
        <v>1</v>
      </c>
      <c r="M410">
        <v>2</v>
      </c>
      <c r="N410" s="7">
        <v>9</v>
      </c>
      <c r="O410" s="7">
        <v>0</v>
      </c>
      <c r="P410" s="7">
        <v>0</v>
      </c>
      <c r="Q410" s="7">
        <v>0</v>
      </c>
      <c r="R410" s="7">
        <v>1</v>
      </c>
      <c r="S410" s="7">
        <v>4.5</v>
      </c>
      <c r="T410">
        <v>7</v>
      </c>
      <c r="U410" s="1">
        <v>34</v>
      </c>
      <c r="V410">
        <v>0</v>
      </c>
      <c r="W410">
        <v>0</v>
      </c>
      <c r="X410">
        <v>1</v>
      </c>
      <c r="Y410">
        <v>0.16</v>
      </c>
      <c r="Z410">
        <v>23</v>
      </c>
      <c r="AA410">
        <v>0</v>
      </c>
      <c r="AB410">
        <v>0</v>
      </c>
      <c r="AC410">
        <v>0</v>
      </c>
      <c r="AD410">
        <v>1</v>
      </c>
      <c r="AE410">
        <v>0.05</v>
      </c>
      <c r="AF410">
        <v>15</v>
      </c>
      <c r="AG410">
        <v>0</v>
      </c>
      <c r="AH410">
        <v>0</v>
      </c>
      <c r="AI410">
        <v>0</v>
      </c>
      <c r="AJ410">
        <v>1</v>
      </c>
      <c r="AK410">
        <v>0.02</v>
      </c>
      <c r="AL410">
        <v>16</v>
      </c>
      <c r="AM410">
        <v>0</v>
      </c>
      <c r="AN410">
        <v>0</v>
      </c>
      <c r="AO410">
        <v>0</v>
      </c>
      <c r="AP410">
        <v>1</v>
      </c>
      <c r="AQ410">
        <v>0.01</v>
      </c>
      <c r="AX410">
        <v>7</v>
      </c>
      <c r="AY410" s="1">
        <v>18</v>
      </c>
      <c r="AZ410">
        <v>0</v>
      </c>
      <c r="BA410">
        <v>0</v>
      </c>
      <c r="BB410">
        <v>1</v>
      </c>
      <c r="BC410" s="7">
        <v>0.32</v>
      </c>
      <c r="BD410">
        <v>30</v>
      </c>
      <c r="BE410">
        <v>0</v>
      </c>
      <c r="BF410">
        <v>0</v>
      </c>
      <c r="BG410">
        <v>0</v>
      </c>
      <c r="BH410">
        <v>5</v>
      </c>
      <c r="BI410">
        <v>2.4</v>
      </c>
      <c r="BJ410">
        <v>31</v>
      </c>
      <c r="BK410">
        <v>0</v>
      </c>
      <c r="BL410">
        <v>0</v>
      </c>
      <c r="BM410">
        <v>0</v>
      </c>
      <c r="BN410">
        <v>5</v>
      </c>
      <c r="BO410">
        <v>2.4</v>
      </c>
      <c r="BP410">
        <v>36</v>
      </c>
      <c r="BQ410">
        <v>0</v>
      </c>
      <c r="BR410">
        <v>0</v>
      </c>
      <c r="BS410">
        <v>0</v>
      </c>
      <c r="BT410">
        <v>5</v>
      </c>
      <c r="BU410">
        <v>2.2999999999999998</v>
      </c>
    </row>
    <row r="411" spans="1:73" x14ac:dyDescent="0.15">
      <c r="A411" s="11">
        <v>10308</v>
      </c>
      <c r="B411">
        <v>7</v>
      </c>
      <c r="C411" s="1">
        <v>47</v>
      </c>
      <c r="D411">
        <v>0</v>
      </c>
      <c r="E411">
        <v>0</v>
      </c>
      <c r="F411">
        <v>1</v>
      </c>
      <c r="G411" s="7">
        <v>0.05</v>
      </c>
      <c r="H411">
        <v>12</v>
      </c>
      <c r="I411">
        <v>0</v>
      </c>
      <c r="J411">
        <v>0</v>
      </c>
      <c r="K411">
        <v>0</v>
      </c>
      <c r="L411">
        <v>1</v>
      </c>
      <c r="M411">
        <v>2</v>
      </c>
      <c r="N411" s="7">
        <v>9</v>
      </c>
      <c r="O411" s="7">
        <v>0</v>
      </c>
      <c r="P411" s="7">
        <v>0</v>
      </c>
      <c r="Q411" s="7">
        <v>0</v>
      </c>
      <c r="R411" s="7">
        <v>1</v>
      </c>
      <c r="S411" s="7">
        <v>4.5</v>
      </c>
      <c r="T411">
        <v>7</v>
      </c>
      <c r="U411" s="1">
        <v>35</v>
      </c>
      <c r="V411">
        <v>0</v>
      </c>
      <c r="W411">
        <v>0</v>
      </c>
      <c r="X411">
        <v>1</v>
      </c>
      <c r="Y411">
        <v>0.16</v>
      </c>
      <c r="Z411">
        <v>23</v>
      </c>
      <c r="AA411">
        <v>0</v>
      </c>
      <c r="AB411">
        <v>0</v>
      </c>
      <c r="AC411">
        <v>0</v>
      </c>
      <c r="AD411">
        <v>1</v>
      </c>
      <c r="AE411">
        <v>0.05</v>
      </c>
      <c r="AF411">
        <v>15</v>
      </c>
      <c r="AG411">
        <v>0</v>
      </c>
      <c r="AH411">
        <v>0</v>
      </c>
      <c r="AI411">
        <v>0</v>
      </c>
      <c r="AJ411">
        <v>1</v>
      </c>
      <c r="AK411">
        <v>0.02</v>
      </c>
      <c r="AL411">
        <v>16</v>
      </c>
      <c r="AM411">
        <v>0</v>
      </c>
      <c r="AN411">
        <v>0</v>
      </c>
      <c r="AO411">
        <v>0</v>
      </c>
      <c r="AP411">
        <v>1</v>
      </c>
      <c r="AQ411">
        <v>0.01</v>
      </c>
      <c r="AX411">
        <v>7</v>
      </c>
      <c r="AY411" s="1">
        <v>19</v>
      </c>
      <c r="AZ411">
        <v>0</v>
      </c>
      <c r="BA411">
        <v>0</v>
      </c>
      <c r="BB411">
        <v>1</v>
      </c>
      <c r="BC411" s="7">
        <v>0.32</v>
      </c>
      <c r="BD411">
        <v>30</v>
      </c>
      <c r="BE411">
        <v>0</v>
      </c>
      <c r="BF411">
        <v>0</v>
      </c>
      <c r="BG411">
        <v>0</v>
      </c>
      <c r="BH411">
        <v>5</v>
      </c>
      <c r="BI411">
        <v>2.4</v>
      </c>
      <c r="BJ411">
        <v>31</v>
      </c>
      <c r="BK411">
        <v>0</v>
      </c>
      <c r="BL411">
        <v>0</v>
      </c>
      <c r="BM411">
        <v>0</v>
      </c>
      <c r="BN411">
        <v>5</v>
      </c>
      <c r="BO411">
        <v>2.4</v>
      </c>
      <c r="BP411">
        <v>36</v>
      </c>
      <c r="BQ411">
        <v>0</v>
      </c>
      <c r="BR411">
        <v>0</v>
      </c>
      <c r="BS411">
        <v>0</v>
      </c>
      <c r="BT411">
        <v>5</v>
      </c>
      <c r="BU411">
        <v>2.2999999999999998</v>
      </c>
    </row>
    <row r="412" spans="1:73" x14ac:dyDescent="0.15">
      <c r="A412" s="11">
        <v>10309</v>
      </c>
      <c r="B412">
        <v>7</v>
      </c>
      <c r="C412" s="1">
        <v>48</v>
      </c>
      <c r="D412">
        <v>0</v>
      </c>
      <c r="E412">
        <v>0</v>
      </c>
      <c r="F412">
        <v>1</v>
      </c>
      <c r="G412" s="7">
        <v>0.05</v>
      </c>
      <c r="H412">
        <v>12</v>
      </c>
      <c r="I412">
        <v>0</v>
      </c>
      <c r="J412">
        <v>0</v>
      </c>
      <c r="K412">
        <v>0</v>
      </c>
      <c r="L412">
        <v>1</v>
      </c>
      <c r="M412">
        <v>2</v>
      </c>
      <c r="N412" s="7">
        <v>9</v>
      </c>
      <c r="O412" s="7">
        <v>0</v>
      </c>
      <c r="P412" s="7">
        <v>0</v>
      </c>
      <c r="Q412" s="7">
        <v>0</v>
      </c>
      <c r="R412" s="7">
        <v>1</v>
      </c>
      <c r="S412" s="7">
        <v>4.5</v>
      </c>
      <c r="T412">
        <v>7</v>
      </c>
      <c r="U412" s="1">
        <v>36</v>
      </c>
      <c r="V412">
        <v>0</v>
      </c>
      <c r="W412">
        <v>0</v>
      </c>
      <c r="X412">
        <v>1</v>
      </c>
      <c r="Y412">
        <v>0.16</v>
      </c>
      <c r="Z412">
        <v>23</v>
      </c>
      <c r="AA412">
        <v>0</v>
      </c>
      <c r="AB412">
        <v>0</v>
      </c>
      <c r="AC412">
        <v>0</v>
      </c>
      <c r="AD412">
        <v>1</v>
      </c>
      <c r="AE412">
        <v>0.05</v>
      </c>
      <c r="AF412">
        <v>15</v>
      </c>
      <c r="AG412">
        <v>0</v>
      </c>
      <c r="AH412">
        <v>0</v>
      </c>
      <c r="AI412">
        <v>0</v>
      </c>
      <c r="AJ412">
        <v>1</v>
      </c>
      <c r="AK412">
        <v>0.02</v>
      </c>
      <c r="AL412">
        <v>16</v>
      </c>
      <c r="AM412">
        <v>0</v>
      </c>
      <c r="AN412">
        <v>0</v>
      </c>
      <c r="AO412">
        <v>0</v>
      </c>
      <c r="AP412">
        <v>1</v>
      </c>
      <c r="AQ412">
        <v>0.01</v>
      </c>
      <c r="AX412">
        <v>7</v>
      </c>
      <c r="AY412" s="1">
        <v>20</v>
      </c>
      <c r="AZ412">
        <v>0</v>
      </c>
      <c r="BA412">
        <v>0</v>
      </c>
      <c r="BB412">
        <v>1</v>
      </c>
      <c r="BC412" s="7">
        <v>0.32</v>
      </c>
      <c r="BD412">
        <v>30</v>
      </c>
      <c r="BE412">
        <v>0</v>
      </c>
      <c r="BF412">
        <v>0</v>
      </c>
      <c r="BG412">
        <v>0</v>
      </c>
      <c r="BH412">
        <v>5</v>
      </c>
      <c r="BI412">
        <v>2.4</v>
      </c>
      <c r="BJ412">
        <v>31</v>
      </c>
      <c r="BK412">
        <v>0</v>
      </c>
      <c r="BL412">
        <v>0</v>
      </c>
      <c r="BM412">
        <v>0</v>
      </c>
      <c r="BN412">
        <v>5</v>
      </c>
      <c r="BO412">
        <v>2.4</v>
      </c>
      <c r="BP412">
        <v>36</v>
      </c>
      <c r="BQ412">
        <v>0</v>
      </c>
      <c r="BR412">
        <v>0</v>
      </c>
      <c r="BS412">
        <v>0</v>
      </c>
      <c r="BT412">
        <v>5</v>
      </c>
      <c r="BU412">
        <v>2.2999999999999998</v>
      </c>
    </row>
    <row r="413" spans="1:73" x14ac:dyDescent="0.15">
      <c r="A413" s="11">
        <v>10310</v>
      </c>
      <c r="B413">
        <v>7</v>
      </c>
      <c r="C413" s="1">
        <v>0</v>
      </c>
      <c r="D413">
        <v>5</v>
      </c>
      <c r="E413">
        <v>1</v>
      </c>
      <c r="F413">
        <v>1</v>
      </c>
      <c r="G413" s="7">
        <v>0.05</v>
      </c>
      <c r="H413">
        <v>12</v>
      </c>
      <c r="I413">
        <v>0</v>
      </c>
      <c r="J413">
        <v>0</v>
      </c>
      <c r="K413">
        <v>0</v>
      </c>
      <c r="L413">
        <v>1</v>
      </c>
      <c r="M413">
        <v>2</v>
      </c>
      <c r="N413" s="7">
        <v>9</v>
      </c>
      <c r="O413" s="7">
        <v>0</v>
      </c>
      <c r="P413" s="7">
        <v>0</v>
      </c>
      <c r="Q413" s="7">
        <v>0</v>
      </c>
      <c r="R413" s="7">
        <v>1</v>
      </c>
      <c r="S413" s="7">
        <v>4.5</v>
      </c>
      <c r="T413">
        <v>7</v>
      </c>
      <c r="U413" s="1">
        <v>0</v>
      </c>
      <c r="V413">
        <v>4</v>
      </c>
      <c r="W413">
        <v>2</v>
      </c>
      <c r="X413">
        <v>1</v>
      </c>
      <c r="Y413">
        <v>0.16</v>
      </c>
      <c r="Z413">
        <v>23</v>
      </c>
      <c r="AA413">
        <v>0</v>
      </c>
      <c r="AB413">
        <v>0</v>
      </c>
      <c r="AC413">
        <v>0</v>
      </c>
      <c r="AD413">
        <v>1</v>
      </c>
      <c r="AE413">
        <v>0.05</v>
      </c>
      <c r="AF413">
        <v>15</v>
      </c>
      <c r="AG413">
        <v>0</v>
      </c>
      <c r="AH413">
        <v>0</v>
      </c>
      <c r="AI413">
        <v>0</v>
      </c>
      <c r="AJ413">
        <v>1</v>
      </c>
      <c r="AK413">
        <v>0.02</v>
      </c>
      <c r="AL413">
        <v>16</v>
      </c>
      <c r="AM413">
        <v>0</v>
      </c>
      <c r="AN413">
        <v>0</v>
      </c>
      <c r="AO413">
        <v>0</v>
      </c>
      <c r="AP413">
        <v>1</v>
      </c>
      <c r="AQ413">
        <v>0.01</v>
      </c>
      <c r="AR413">
        <v>6</v>
      </c>
      <c r="AS413">
        <v>2</v>
      </c>
      <c r="AT413">
        <v>2</v>
      </c>
      <c r="AU413">
        <v>5</v>
      </c>
      <c r="AV413">
        <v>1</v>
      </c>
      <c r="AW413">
        <v>0.05</v>
      </c>
      <c r="AX413">
        <v>7</v>
      </c>
      <c r="AY413" s="1">
        <v>0</v>
      </c>
      <c r="AZ413">
        <v>3</v>
      </c>
      <c r="BA413">
        <v>1</v>
      </c>
      <c r="BB413">
        <v>1</v>
      </c>
      <c r="BC413" s="7">
        <v>0.32</v>
      </c>
      <c r="BD413">
        <v>30</v>
      </c>
      <c r="BE413">
        <v>0</v>
      </c>
      <c r="BF413">
        <v>0</v>
      </c>
      <c r="BG413">
        <v>0</v>
      </c>
      <c r="BH413">
        <v>5</v>
      </c>
      <c r="BI413">
        <v>2.4</v>
      </c>
      <c r="BJ413">
        <v>31</v>
      </c>
      <c r="BK413">
        <v>0</v>
      </c>
      <c r="BL413">
        <v>0</v>
      </c>
      <c r="BM413">
        <v>0</v>
      </c>
      <c r="BN413">
        <v>5</v>
      </c>
      <c r="BO413">
        <v>2.4</v>
      </c>
      <c r="BP413">
        <v>36</v>
      </c>
      <c r="BQ413">
        <v>0</v>
      </c>
      <c r="BR413">
        <v>0</v>
      </c>
      <c r="BS413">
        <v>0</v>
      </c>
      <c r="BT413">
        <v>5</v>
      </c>
      <c r="BU413">
        <v>2.2999999999999998</v>
      </c>
    </row>
    <row r="414" spans="1:73" x14ac:dyDescent="0.15">
      <c r="A414" s="11">
        <v>10311</v>
      </c>
      <c r="B414">
        <v>7</v>
      </c>
      <c r="C414" s="1">
        <v>45</v>
      </c>
      <c r="D414">
        <v>0</v>
      </c>
      <c r="E414">
        <v>0</v>
      </c>
      <c r="F414">
        <v>1</v>
      </c>
      <c r="G414" s="7">
        <v>0.05</v>
      </c>
      <c r="H414">
        <v>12</v>
      </c>
      <c r="I414">
        <v>0</v>
      </c>
      <c r="J414">
        <v>0</v>
      </c>
      <c r="K414">
        <v>0</v>
      </c>
      <c r="L414">
        <v>1</v>
      </c>
      <c r="M414">
        <v>2</v>
      </c>
      <c r="N414" s="7">
        <v>9</v>
      </c>
      <c r="O414" s="7">
        <v>0</v>
      </c>
      <c r="P414" s="7">
        <v>0</v>
      </c>
      <c r="Q414" s="7">
        <v>0</v>
      </c>
      <c r="R414" s="7">
        <v>1</v>
      </c>
      <c r="S414" s="7">
        <v>4.5</v>
      </c>
      <c r="T414">
        <v>7</v>
      </c>
      <c r="U414" s="1">
        <v>33</v>
      </c>
      <c r="V414">
        <v>0</v>
      </c>
      <c r="W414">
        <v>0</v>
      </c>
      <c r="X414">
        <v>1</v>
      </c>
      <c r="Y414">
        <v>0.16</v>
      </c>
      <c r="Z414">
        <v>23</v>
      </c>
      <c r="AA414">
        <v>0</v>
      </c>
      <c r="AB414">
        <v>0</v>
      </c>
      <c r="AC414">
        <v>0</v>
      </c>
      <c r="AD414">
        <v>1</v>
      </c>
      <c r="AE414">
        <v>0.05</v>
      </c>
      <c r="AF414">
        <v>15</v>
      </c>
      <c r="AG414">
        <v>0</v>
      </c>
      <c r="AH414">
        <v>0</v>
      </c>
      <c r="AI414">
        <v>0</v>
      </c>
      <c r="AJ414">
        <v>1</v>
      </c>
      <c r="AK414">
        <v>0.02</v>
      </c>
      <c r="AL414">
        <v>16</v>
      </c>
      <c r="AM414">
        <v>0</v>
      </c>
      <c r="AN414">
        <v>0</v>
      </c>
      <c r="AO414">
        <v>0</v>
      </c>
      <c r="AP414">
        <v>1</v>
      </c>
      <c r="AQ414">
        <v>0.01</v>
      </c>
      <c r="AX414">
        <v>7</v>
      </c>
      <c r="AY414" s="1">
        <v>17</v>
      </c>
      <c r="AZ414">
        <v>0</v>
      </c>
      <c r="BA414">
        <v>0</v>
      </c>
      <c r="BB414">
        <v>1</v>
      </c>
      <c r="BC414" s="7">
        <v>0.32</v>
      </c>
      <c r="BD414">
        <v>30</v>
      </c>
      <c r="BE414">
        <v>0</v>
      </c>
      <c r="BF414">
        <v>0</v>
      </c>
      <c r="BG414">
        <v>0</v>
      </c>
      <c r="BH414">
        <v>5</v>
      </c>
      <c r="BI414">
        <v>2.4</v>
      </c>
      <c r="BJ414">
        <v>31</v>
      </c>
      <c r="BK414">
        <v>0</v>
      </c>
      <c r="BL414">
        <v>0</v>
      </c>
      <c r="BM414">
        <v>0</v>
      </c>
      <c r="BN414">
        <v>5</v>
      </c>
      <c r="BO414">
        <v>2.4</v>
      </c>
      <c r="BP414">
        <v>36</v>
      </c>
      <c r="BQ414">
        <v>0</v>
      </c>
      <c r="BR414">
        <v>0</v>
      </c>
      <c r="BS414">
        <v>0</v>
      </c>
      <c r="BT414">
        <v>5</v>
      </c>
      <c r="BU414">
        <v>2.2999999999999998</v>
      </c>
    </row>
    <row r="415" spans="1:73" x14ac:dyDescent="0.15">
      <c r="A415" s="11">
        <v>10312</v>
      </c>
      <c r="B415">
        <v>7</v>
      </c>
      <c r="C415" s="1">
        <v>46</v>
      </c>
      <c r="D415">
        <v>0</v>
      </c>
      <c r="E415">
        <v>0</v>
      </c>
      <c r="F415">
        <v>1</v>
      </c>
      <c r="G415" s="7">
        <v>0.05</v>
      </c>
      <c r="H415">
        <v>12</v>
      </c>
      <c r="I415">
        <v>0</v>
      </c>
      <c r="J415">
        <v>0</v>
      </c>
      <c r="K415">
        <v>0</v>
      </c>
      <c r="L415">
        <v>1</v>
      </c>
      <c r="M415">
        <v>2</v>
      </c>
      <c r="N415" s="7">
        <v>9</v>
      </c>
      <c r="O415" s="7">
        <v>0</v>
      </c>
      <c r="P415" s="7">
        <v>0</v>
      </c>
      <c r="Q415" s="7">
        <v>0</v>
      </c>
      <c r="R415" s="7">
        <v>1</v>
      </c>
      <c r="S415" s="7">
        <v>4.5</v>
      </c>
      <c r="T415">
        <v>7</v>
      </c>
      <c r="U415" s="1">
        <v>34</v>
      </c>
      <c r="V415">
        <v>0</v>
      </c>
      <c r="W415">
        <v>0</v>
      </c>
      <c r="X415">
        <v>1</v>
      </c>
      <c r="Y415">
        <v>0.16</v>
      </c>
      <c r="Z415">
        <v>23</v>
      </c>
      <c r="AA415">
        <v>0</v>
      </c>
      <c r="AB415">
        <v>0</v>
      </c>
      <c r="AC415">
        <v>0</v>
      </c>
      <c r="AD415">
        <v>1</v>
      </c>
      <c r="AE415">
        <v>0.05</v>
      </c>
      <c r="AF415">
        <v>15</v>
      </c>
      <c r="AG415">
        <v>0</v>
      </c>
      <c r="AH415">
        <v>0</v>
      </c>
      <c r="AI415">
        <v>0</v>
      </c>
      <c r="AJ415">
        <v>1</v>
      </c>
      <c r="AK415">
        <v>0.02</v>
      </c>
      <c r="AL415">
        <v>16</v>
      </c>
      <c r="AM415">
        <v>0</v>
      </c>
      <c r="AN415">
        <v>0</v>
      </c>
      <c r="AO415">
        <v>0</v>
      </c>
      <c r="AP415">
        <v>1</v>
      </c>
      <c r="AQ415">
        <v>0.01</v>
      </c>
      <c r="AX415">
        <v>7</v>
      </c>
      <c r="AY415" s="1">
        <v>18</v>
      </c>
      <c r="AZ415">
        <v>0</v>
      </c>
      <c r="BA415">
        <v>0</v>
      </c>
      <c r="BB415">
        <v>1</v>
      </c>
      <c r="BC415" s="7">
        <v>0.32</v>
      </c>
      <c r="BD415">
        <v>30</v>
      </c>
      <c r="BE415">
        <v>0</v>
      </c>
      <c r="BF415">
        <v>0</v>
      </c>
      <c r="BG415">
        <v>0</v>
      </c>
      <c r="BH415">
        <v>5</v>
      </c>
      <c r="BI415">
        <v>2.4</v>
      </c>
      <c r="BJ415">
        <v>31</v>
      </c>
      <c r="BK415">
        <v>0</v>
      </c>
      <c r="BL415">
        <v>0</v>
      </c>
      <c r="BM415">
        <v>0</v>
      </c>
      <c r="BN415">
        <v>5</v>
      </c>
      <c r="BO415">
        <v>2.4</v>
      </c>
      <c r="BP415">
        <v>36</v>
      </c>
      <c r="BQ415">
        <v>0</v>
      </c>
      <c r="BR415">
        <v>0</v>
      </c>
      <c r="BS415">
        <v>0</v>
      </c>
      <c r="BT415">
        <v>5</v>
      </c>
      <c r="BU415">
        <v>2.2999999999999998</v>
      </c>
    </row>
    <row r="416" spans="1:73" x14ac:dyDescent="0.15">
      <c r="A416" s="11">
        <v>10313</v>
      </c>
      <c r="B416">
        <v>7</v>
      </c>
      <c r="C416" s="1">
        <v>47</v>
      </c>
      <c r="D416">
        <v>0</v>
      </c>
      <c r="E416">
        <v>0</v>
      </c>
      <c r="F416">
        <v>1</v>
      </c>
      <c r="G416" s="7">
        <v>0.05</v>
      </c>
      <c r="H416">
        <v>12</v>
      </c>
      <c r="I416">
        <v>0</v>
      </c>
      <c r="J416">
        <v>0</v>
      </c>
      <c r="K416">
        <v>0</v>
      </c>
      <c r="L416">
        <v>1</v>
      </c>
      <c r="M416">
        <v>2</v>
      </c>
      <c r="N416" s="7">
        <v>9</v>
      </c>
      <c r="O416" s="7">
        <v>0</v>
      </c>
      <c r="P416" s="7">
        <v>0</v>
      </c>
      <c r="Q416" s="7">
        <v>0</v>
      </c>
      <c r="R416" s="7">
        <v>1</v>
      </c>
      <c r="S416" s="7">
        <v>4.5</v>
      </c>
      <c r="T416">
        <v>7</v>
      </c>
      <c r="U416" s="1">
        <v>35</v>
      </c>
      <c r="V416">
        <v>0</v>
      </c>
      <c r="W416">
        <v>0</v>
      </c>
      <c r="X416">
        <v>1</v>
      </c>
      <c r="Y416">
        <v>0.16</v>
      </c>
      <c r="Z416">
        <v>23</v>
      </c>
      <c r="AA416">
        <v>0</v>
      </c>
      <c r="AB416">
        <v>0</v>
      </c>
      <c r="AC416">
        <v>0</v>
      </c>
      <c r="AD416">
        <v>1</v>
      </c>
      <c r="AE416">
        <v>0.05</v>
      </c>
      <c r="AF416">
        <v>15</v>
      </c>
      <c r="AG416">
        <v>0</v>
      </c>
      <c r="AH416">
        <v>0</v>
      </c>
      <c r="AI416">
        <v>0</v>
      </c>
      <c r="AJ416">
        <v>1</v>
      </c>
      <c r="AK416">
        <v>0.02</v>
      </c>
      <c r="AL416">
        <v>16</v>
      </c>
      <c r="AM416">
        <v>0</v>
      </c>
      <c r="AN416">
        <v>0</v>
      </c>
      <c r="AO416">
        <v>0</v>
      </c>
      <c r="AP416">
        <v>1</v>
      </c>
      <c r="AQ416">
        <v>0.01</v>
      </c>
      <c r="AX416">
        <v>7</v>
      </c>
      <c r="AY416" s="1">
        <v>19</v>
      </c>
      <c r="AZ416">
        <v>0</v>
      </c>
      <c r="BA416">
        <v>0</v>
      </c>
      <c r="BB416">
        <v>1</v>
      </c>
      <c r="BC416" s="7">
        <v>0.32</v>
      </c>
      <c r="BD416">
        <v>30</v>
      </c>
      <c r="BE416">
        <v>0</v>
      </c>
      <c r="BF416">
        <v>0</v>
      </c>
      <c r="BG416">
        <v>0</v>
      </c>
      <c r="BH416">
        <v>5</v>
      </c>
      <c r="BI416">
        <v>2.4</v>
      </c>
      <c r="BJ416">
        <v>31</v>
      </c>
      <c r="BK416">
        <v>0</v>
      </c>
      <c r="BL416">
        <v>0</v>
      </c>
      <c r="BM416">
        <v>0</v>
      </c>
      <c r="BN416">
        <v>5</v>
      </c>
      <c r="BO416">
        <v>2.4</v>
      </c>
      <c r="BP416">
        <v>36</v>
      </c>
      <c r="BQ416">
        <v>0</v>
      </c>
      <c r="BR416">
        <v>0</v>
      </c>
      <c r="BS416">
        <v>0</v>
      </c>
      <c r="BT416">
        <v>5</v>
      </c>
      <c r="BU416">
        <v>2.2999999999999998</v>
      </c>
    </row>
    <row r="417" spans="1:73" x14ac:dyDescent="0.15">
      <c r="A417" s="11">
        <v>10314</v>
      </c>
      <c r="B417">
        <v>7</v>
      </c>
      <c r="C417" s="1">
        <v>48</v>
      </c>
      <c r="D417">
        <v>0</v>
      </c>
      <c r="E417">
        <v>0</v>
      </c>
      <c r="F417">
        <v>1</v>
      </c>
      <c r="G417" s="7">
        <v>0.05</v>
      </c>
      <c r="H417">
        <v>12</v>
      </c>
      <c r="I417">
        <v>0</v>
      </c>
      <c r="J417">
        <v>0</v>
      </c>
      <c r="K417">
        <v>0</v>
      </c>
      <c r="L417">
        <v>1</v>
      </c>
      <c r="M417">
        <v>2</v>
      </c>
      <c r="N417" s="7">
        <v>9</v>
      </c>
      <c r="O417" s="7">
        <v>0</v>
      </c>
      <c r="P417" s="7">
        <v>0</v>
      </c>
      <c r="Q417" s="7">
        <v>0</v>
      </c>
      <c r="R417" s="7">
        <v>1</v>
      </c>
      <c r="S417" s="7">
        <v>4.5</v>
      </c>
      <c r="T417">
        <v>7</v>
      </c>
      <c r="U417" s="1">
        <v>36</v>
      </c>
      <c r="V417">
        <v>0</v>
      </c>
      <c r="W417">
        <v>0</v>
      </c>
      <c r="X417">
        <v>1</v>
      </c>
      <c r="Y417">
        <v>0.16</v>
      </c>
      <c r="Z417">
        <v>23</v>
      </c>
      <c r="AA417">
        <v>0</v>
      </c>
      <c r="AB417">
        <v>0</v>
      </c>
      <c r="AC417">
        <v>0</v>
      </c>
      <c r="AD417">
        <v>1</v>
      </c>
      <c r="AE417">
        <v>0.05</v>
      </c>
      <c r="AF417">
        <v>15</v>
      </c>
      <c r="AG417">
        <v>0</v>
      </c>
      <c r="AH417">
        <v>0</v>
      </c>
      <c r="AI417">
        <v>0</v>
      </c>
      <c r="AJ417">
        <v>1</v>
      </c>
      <c r="AK417">
        <v>0.02</v>
      </c>
      <c r="AL417">
        <v>16</v>
      </c>
      <c r="AM417">
        <v>0</v>
      </c>
      <c r="AN417">
        <v>0</v>
      </c>
      <c r="AO417">
        <v>0</v>
      </c>
      <c r="AP417">
        <v>1</v>
      </c>
      <c r="AQ417">
        <v>0.01</v>
      </c>
      <c r="AX417">
        <v>7</v>
      </c>
      <c r="AY417" s="1">
        <v>20</v>
      </c>
      <c r="AZ417">
        <v>0</v>
      </c>
      <c r="BA417">
        <v>0</v>
      </c>
      <c r="BB417">
        <v>1</v>
      </c>
      <c r="BC417" s="7">
        <v>0.32</v>
      </c>
      <c r="BD417">
        <v>30</v>
      </c>
      <c r="BE417">
        <v>0</v>
      </c>
      <c r="BF417">
        <v>0</v>
      </c>
      <c r="BG417">
        <v>0</v>
      </c>
      <c r="BH417">
        <v>5</v>
      </c>
      <c r="BI417">
        <v>2.4</v>
      </c>
      <c r="BJ417">
        <v>31</v>
      </c>
      <c r="BK417">
        <v>0</v>
      </c>
      <c r="BL417">
        <v>0</v>
      </c>
      <c r="BM417">
        <v>0</v>
      </c>
      <c r="BN417">
        <v>5</v>
      </c>
      <c r="BO417">
        <v>2.4</v>
      </c>
      <c r="BP417">
        <v>36</v>
      </c>
      <c r="BQ417">
        <v>0</v>
      </c>
      <c r="BR417">
        <v>0</v>
      </c>
      <c r="BS417">
        <v>0</v>
      </c>
      <c r="BT417">
        <v>5</v>
      </c>
      <c r="BU417">
        <v>2.2999999999999998</v>
      </c>
    </row>
    <row r="418" spans="1:73" x14ac:dyDescent="0.15">
      <c r="A418" s="11">
        <v>10315</v>
      </c>
      <c r="B418">
        <v>7</v>
      </c>
      <c r="C418" s="1">
        <v>0</v>
      </c>
      <c r="D418">
        <v>5</v>
      </c>
      <c r="E418">
        <v>1</v>
      </c>
      <c r="F418">
        <v>1</v>
      </c>
      <c r="G418" s="7">
        <v>0.05</v>
      </c>
      <c r="H418">
        <v>12</v>
      </c>
      <c r="I418">
        <v>0</v>
      </c>
      <c r="J418">
        <v>0</v>
      </c>
      <c r="K418">
        <v>0</v>
      </c>
      <c r="L418">
        <v>1</v>
      </c>
      <c r="M418">
        <v>2</v>
      </c>
      <c r="N418" s="7">
        <v>9</v>
      </c>
      <c r="O418" s="7">
        <v>0</v>
      </c>
      <c r="P418" s="7">
        <v>0</v>
      </c>
      <c r="Q418" s="7">
        <v>0</v>
      </c>
      <c r="R418" s="7">
        <v>1</v>
      </c>
      <c r="S418" s="7">
        <v>4.5</v>
      </c>
      <c r="T418">
        <v>7</v>
      </c>
      <c r="U418" s="1">
        <v>0</v>
      </c>
      <c r="V418">
        <v>4</v>
      </c>
      <c r="W418">
        <v>2</v>
      </c>
      <c r="X418">
        <v>1</v>
      </c>
      <c r="Y418">
        <v>0.16</v>
      </c>
      <c r="Z418">
        <v>23</v>
      </c>
      <c r="AA418">
        <v>0</v>
      </c>
      <c r="AB418">
        <v>0</v>
      </c>
      <c r="AC418">
        <v>0</v>
      </c>
      <c r="AD418">
        <v>1</v>
      </c>
      <c r="AE418">
        <v>0.05</v>
      </c>
      <c r="AF418">
        <v>15</v>
      </c>
      <c r="AG418">
        <v>0</v>
      </c>
      <c r="AH418">
        <v>0</v>
      </c>
      <c r="AI418">
        <v>0</v>
      </c>
      <c r="AJ418">
        <v>1</v>
      </c>
      <c r="AK418">
        <v>0.02</v>
      </c>
      <c r="AL418">
        <v>16</v>
      </c>
      <c r="AM418">
        <v>0</v>
      </c>
      <c r="AN418">
        <v>0</v>
      </c>
      <c r="AO418">
        <v>0</v>
      </c>
      <c r="AP418">
        <v>1</v>
      </c>
      <c r="AQ418">
        <v>0.01</v>
      </c>
      <c r="AR418">
        <v>6</v>
      </c>
      <c r="AS418">
        <v>2</v>
      </c>
      <c r="AT418">
        <v>3</v>
      </c>
      <c r="AU418">
        <v>5</v>
      </c>
      <c r="AV418">
        <v>1</v>
      </c>
      <c r="AW418">
        <v>0.05</v>
      </c>
      <c r="AX418">
        <v>7</v>
      </c>
      <c r="AY418" s="1">
        <v>0</v>
      </c>
      <c r="AZ418">
        <v>3</v>
      </c>
      <c r="BA418">
        <v>1</v>
      </c>
      <c r="BB418">
        <v>1</v>
      </c>
      <c r="BC418" s="7">
        <v>0.32</v>
      </c>
      <c r="BD418">
        <v>30</v>
      </c>
      <c r="BE418">
        <v>0</v>
      </c>
      <c r="BF418">
        <v>0</v>
      </c>
      <c r="BG418">
        <v>0</v>
      </c>
      <c r="BH418">
        <v>5</v>
      </c>
      <c r="BI418">
        <v>2.4</v>
      </c>
      <c r="BJ418">
        <v>31</v>
      </c>
      <c r="BK418">
        <v>0</v>
      </c>
      <c r="BL418">
        <v>0</v>
      </c>
      <c r="BM418">
        <v>0</v>
      </c>
      <c r="BN418">
        <v>5</v>
      </c>
      <c r="BO418">
        <v>2.4</v>
      </c>
      <c r="BP418">
        <v>36</v>
      </c>
      <c r="BQ418">
        <v>0</v>
      </c>
      <c r="BR418">
        <v>0</v>
      </c>
      <c r="BS418">
        <v>0</v>
      </c>
      <c r="BT418">
        <v>5</v>
      </c>
      <c r="BU418">
        <v>2.2999999999999998</v>
      </c>
    </row>
    <row r="419" spans="1:73" x14ac:dyDescent="0.15">
      <c r="A419" s="11">
        <v>10316</v>
      </c>
      <c r="B419">
        <v>7</v>
      </c>
      <c r="C419" s="1">
        <v>45</v>
      </c>
      <c r="D419">
        <v>0</v>
      </c>
      <c r="E419">
        <v>0</v>
      </c>
      <c r="F419">
        <v>1</v>
      </c>
      <c r="G419" s="7">
        <v>0.05</v>
      </c>
      <c r="H419">
        <v>12</v>
      </c>
      <c r="I419">
        <v>0</v>
      </c>
      <c r="J419">
        <v>0</v>
      </c>
      <c r="K419">
        <v>0</v>
      </c>
      <c r="L419">
        <v>1</v>
      </c>
      <c r="M419">
        <v>2</v>
      </c>
      <c r="N419" s="7">
        <v>9</v>
      </c>
      <c r="O419" s="7">
        <v>0</v>
      </c>
      <c r="P419" s="7">
        <v>0</v>
      </c>
      <c r="Q419" s="7">
        <v>0</v>
      </c>
      <c r="R419" s="7">
        <v>1</v>
      </c>
      <c r="S419" s="7">
        <v>4.5</v>
      </c>
      <c r="T419">
        <v>7</v>
      </c>
      <c r="U419" s="1">
        <v>33</v>
      </c>
      <c r="V419">
        <v>0</v>
      </c>
      <c r="W419">
        <v>0</v>
      </c>
      <c r="X419">
        <v>1</v>
      </c>
      <c r="Y419">
        <v>0.16</v>
      </c>
      <c r="Z419">
        <v>23</v>
      </c>
      <c r="AA419">
        <v>0</v>
      </c>
      <c r="AB419">
        <v>0</v>
      </c>
      <c r="AC419">
        <v>0</v>
      </c>
      <c r="AD419">
        <v>1</v>
      </c>
      <c r="AE419">
        <v>0.05</v>
      </c>
      <c r="AF419">
        <v>15</v>
      </c>
      <c r="AG419">
        <v>0</v>
      </c>
      <c r="AH419">
        <v>0</v>
      </c>
      <c r="AI419">
        <v>0</v>
      </c>
      <c r="AJ419">
        <v>1</v>
      </c>
      <c r="AK419">
        <v>0.02</v>
      </c>
      <c r="AL419">
        <v>16</v>
      </c>
      <c r="AM419">
        <v>0</v>
      </c>
      <c r="AN419">
        <v>0</v>
      </c>
      <c r="AO419">
        <v>0</v>
      </c>
      <c r="AP419">
        <v>1</v>
      </c>
      <c r="AQ419">
        <v>0.01</v>
      </c>
      <c r="AX419">
        <v>7</v>
      </c>
      <c r="AY419" s="1">
        <v>17</v>
      </c>
      <c r="AZ419">
        <v>0</v>
      </c>
      <c r="BA419">
        <v>0</v>
      </c>
      <c r="BB419">
        <v>1</v>
      </c>
      <c r="BC419" s="7">
        <v>0.32</v>
      </c>
      <c r="BD419">
        <v>30</v>
      </c>
      <c r="BE419">
        <v>0</v>
      </c>
      <c r="BF419">
        <v>0</v>
      </c>
      <c r="BG419">
        <v>0</v>
      </c>
      <c r="BH419">
        <v>5</v>
      </c>
      <c r="BI419">
        <v>2.4</v>
      </c>
      <c r="BJ419">
        <v>31</v>
      </c>
      <c r="BK419">
        <v>0</v>
      </c>
      <c r="BL419">
        <v>0</v>
      </c>
      <c r="BM419">
        <v>0</v>
      </c>
      <c r="BN419">
        <v>5</v>
      </c>
      <c r="BO419">
        <v>2.4</v>
      </c>
      <c r="BP419">
        <v>36</v>
      </c>
      <c r="BQ419">
        <v>0</v>
      </c>
      <c r="BR419">
        <v>0</v>
      </c>
      <c r="BS419">
        <v>0</v>
      </c>
      <c r="BT419">
        <v>5</v>
      </c>
      <c r="BU419">
        <v>2.2999999999999998</v>
      </c>
    </row>
    <row r="420" spans="1:73" x14ac:dyDescent="0.15">
      <c r="A420" s="11">
        <v>10317</v>
      </c>
      <c r="B420">
        <v>7</v>
      </c>
      <c r="C420" s="1">
        <v>46</v>
      </c>
      <c r="D420">
        <v>0</v>
      </c>
      <c r="E420">
        <v>0</v>
      </c>
      <c r="F420">
        <v>1</v>
      </c>
      <c r="G420" s="7">
        <v>0.05</v>
      </c>
      <c r="H420">
        <v>12</v>
      </c>
      <c r="I420">
        <v>0</v>
      </c>
      <c r="J420">
        <v>0</v>
      </c>
      <c r="K420">
        <v>0</v>
      </c>
      <c r="L420">
        <v>1</v>
      </c>
      <c r="M420">
        <v>2</v>
      </c>
      <c r="N420" s="7">
        <v>9</v>
      </c>
      <c r="O420" s="7">
        <v>0</v>
      </c>
      <c r="P420" s="7">
        <v>0</v>
      </c>
      <c r="Q420" s="7">
        <v>0</v>
      </c>
      <c r="R420" s="7">
        <v>1</v>
      </c>
      <c r="S420" s="7">
        <v>4.5</v>
      </c>
      <c r="T420">
        <v>7</v>
      </c>
      <c r="U420" s="1">
        <v>34</v>
      </c>
      <c r="V420">
        <v>0</v>
      </c>
      <c r="W420">
        <v>0</v>
      </c>
      <c r="X420">
        <v>1</v>
      </c>
      <c r="Y420">
        <v>0.16</v>
      </c>
      <c r="Z420">
        <v>23</v>
      </c>
      <c r="AA420">
        <v>0</v>
      </c>
      <c r="AB420">
        <v>0</v>
      </c>
      <c r="AC420">
        <v>0</v>
      </c>
      <c r="AD420">
        <v>1</v>
      </c>
      <c r="AE420">
        <v>0.05</v>
      </c>
      <c r="AF420">
        <v>15</v>
      </c>
      <c r="AG420">
        <v>0</v>
      </c>
      <c r="AH420">
        <v>0</v>
      </c>
      <c r="AI420">
        <v>0</v>
      </c>
      <c r="AJ420">
        <v>1</v>
      </c>
      <c r="AK420">
        <v>0.02</v>
      </c>
      <c r="AL420">
        <v>16</v>
      </c>
      <c r="AM420">
        <v>0</v>
      </c>
      <c r="AN420">
        <v>0</v>
      </c>
      <c r="AO420">
        <v>0</v>
      </c>
      <c r="AP420">
        <v>1</v>
      </c>
      <c r="AQ420">
        <v>0.01</v>
      </c>
      <c r="AX420">
        <v>7</v>
      </c>
      <c r="AY420" s="1">
        <v>18</v>
      </c>
      <c r="AZ420">
        <v>0</v>
      </c>
      <c r="BA420">
        <v>0</v>
      </c>
      <c r="BB420">
        <v>1</v>
      </c>
      <c r="BC420" s="7">
        <v>0.32</v>
      </c>
      <c r="BD420">
        <v>30</v>
      </c>
      <c r="BE420">
        <v>0</v>
      </c>
      <c r="BF420">
        <v>0</v>
      </c>
      <c r="BG420">
        <v>0</v>
      </c>
      <c r="BH420">
        <v>5</v>
      </c>
      <c r="BI420">
        <v>2.4</v>
      </c>
      <c r="BJ420">
        <v>31</v>
      </c>
      <c r="BK420">
        <v>0</v>
      </c>
      <c r="BL420">
        <v>0</v>
      </c>
      <c r="BM420">
        <v>0</v>
      </c>
      <c r="BN420">
        <v>5</v>
      </c>
      <c r="BO420">
        <v>2.4</v>
      </c>
      <c r="BP420">
        <v>36</v>
      </c>
      <c r="BQ420">
        <v>0</v>
      </c>
      <c r="BR420">
        <v>0</v>
      </c>
      <c r="BS420">
        <v>0</v>
      </c>
      <c r="BT420">
        <v>5</v>
      </c>
      <c r="BU420">
        <v>2.2999999999999998</v>
      </c>
    </row>
    <row r="421" spans="1:73" x14ac:dyDescent="0.15">
      <c r="A421" s="11">
        <v>10318</v>
      </c>
      <c r="B421">
        <v>7</v>
      </c>
      <c r="C421" s="1">
        <v>47</v>
      </c>
      <c r="D421">
        <v>0</v>
      </c>
      <c r="E421">
        <v>0</v>
      </c>
      <c r="F421">
        <v>1</v>
      </c>
      <c r="G421" s="7">
        <v>0.05</v>
      </c>
      <c r="H421">
        <v>12</v>
      </c>
      <c r="I421">
        <v>0</v>
      </c>
      <c r="J421">
        <v>0</v>
      </c>
      <c r="K421">
        <v>0</v>
      </c>
      <c r="L421">
        <v>1</v>
      </c>
      <c r="M421">
        <v>2</v>
      </c>
      <c r="N421" s="7">
        <v>9</v>
      </c>
      <c r="O421" s="7">
        <v>0</v>
      </c>
      <c r="P421" s="7">
        <v>0</v>
      </c>
      <c r="Q421" s="7">
        <v>0</v>
      </c>
      <c r="R421" s="7">
        <v>1</v>
      </c>
      <c r="S421" s="7">
        <v>4.5</v>
      </c>
      <c r="T421">
        <v>7</v>
      </c>
      <c r="U421" s="1">
        <v>35</v>
      </c>
      <c r="V421">
        <v>0</v>
      </c>
      <c r="W421">
        <v>0</v>
      </c>
      <c r="X421">
        <v>1</v>
      </c>
      <c r="Y421">
        <v>0.16</v>
      </c>
      <c r="Z421">
        <v>23</v>
      </c>
      <c r="AA421">
        <v>0</v>
      </c>
      <c r="AB421">
        <v>0</v>
      </c>
      <c r="AC421">
        <v>0</v>
      </c>
      <c r="AD421">
        <v>1</v>
      </c>
      <c r="AE421">
        <v>0.05</v>
      </c>
      <c r="AF421">
        <v>15</v>
      </c>
      <c r="AG421">
        <v>0</v>
      </c>
      <c r="AH421">
        <v>0</v>
      </c>
      <c r="AI421">
        <v>0</v>
      </c>
      <c r="AJ421">
        <v>1</v>
      </c>
      <c r="AK421">
        <v>0.02</v>
      </c>
      <c r="AL421">
        <v>16</v>
      </c>
      <c r="AM421">
        <v>0</v>
      </c>
      <c r="AN421">
        <v>0</v>
      </c>
      <c r="AO421">
        <v>0</v>
      </c>
      <c r="AP421">
        <v>1</v>
      </c>
      <c r="AQ421">
        <v>0.01</v>
      </c>
      <c r="AX421">
        <v>7</v>
      </c>
      <c r="AY421" s="1">
        <v>19</v>
      </c>
      <c r="AZ421">
        <v>0</v>
      </c>
      <c r="BA421">
        <v>0</v>
      </c>
      <c r="BB421">
        <v>1</v>
      </c>
      <c r="BC421" s="7">
        <v>0.32</v>
      </c>
      <c r="BD421">
        <v>30</v>
      </c>
      <c r="BE421">
        <v>0</v>
      </c>
      <c r="BF421">
        <v>0</v>
      </c>
      <c r="BG421">
        <v>0</v>
      </c>
      <c r="BH421">
        <v>5</v>
      </c>
      <c r="BI421">
        <v>2.4</v>
      </c>
      <c r="BJ421">
        <v>31</v>
      </c>
      <c r="BK421">
        <v>0</v>
      </c>
      <c r="BL421">
        <v>0</v>
      </c>
      <c r="BM421">
        <v>0</v>
      </c>
      <c r="BN421">
        <v>5</v>
      </c>
      <c r="BO421">
        <v>2.4</v>
      </c>
      <c r="BP421">
        <v>36</v>
      </c>
      <c r="BQ421">
        <v>0</v>
      </c>
      <c r="BR421">
        <v>0</v>
      </c>
      <c r="BS421">
        <v>0</v>
      </c>
      <c r="BT421">
        <v>5</v>
      </c>
      <c r="BU421">
        <v>2.2999999999999998</v>
      </c>
    </row>
    <row r="422" spans="1:73" x14ac:dyDescent="0.15">
      <c r="A422" s="11">
        <v>10319</v>
      </c>
      <c r="B422">
        <v>7</v>
      </c>
      <c r="C422" s="1">
        <v>48</v>
      </c>
      <c r="D422">
        <v>0</v>
      </c>
      <c r="E422">
        <v>0</v>
      </c>
      <c r="F422">
        <v>1</v>
      </c>
      <c r="G422" s="7">
        <v>0.05</v>
      </c>
      <c r="H422">
        <v>12</v>
      </c>
      <c r="I422">
        <v>0</v>
      </c>
      <c r="J422">
        <v>0</v>
      </c>
      <c r="K422">
        <v>0</v>
      </c>
      <c r="L422">
        <v>1</v>
      </c>
      <c r="M422">
        <v>2</v>
      </c>
      <c r="N422" s="7">
        <v>9</v>
      </c>
      <c r="O422" s="7">
        <v>0</v>
      </c>
      <c r="P422" s="7">
        <v>0</v>
      </c>
      <c r="Q422" s="7">
        <v>0</v>
      </c>
      <c r="R422" s="7">
        <v>1</v>
      </c>
      <c r="S422" s="7">
        <v>4.5</v>
      </c>
      <c r="T422">
        <v>7</v>
      </c>
      <c r="U422" s="1">
        <v>36</v>
      </c>
      <c r="V422">
        <v>0</v>
      </c>
      <c r="W422">
        <v>0</v>
      </c>
      <c r="X422">
        <v>1</v>
      </c>
      <c r="Y422">
        <v>0.16</v>
      </c>
      <c r="Z422">
        <v>23</v>
      </c>
      <c r="AA422">
        <v>0</v>
      </c>
      <c r="AB422">
        <v>0</v>
      </c>
      <c r="AC422">
        <v>0</v>
      </c>
      <c r="AD422">
        <v>1</v>
      </c>
      <c r="AE422">
        <v>0.05</v>
      </c>
      <c r="AF422">
        <v>15</v>
      </c>
      <c r="AG422">
        <v>0</v>
      </c>
      <c r="AH422">
        <v>0</v>
      </c>
      <c r="AI422">
        <v>0</v>
      </c>
      <c r="AJ422">
        <v>1</v>
      </c>
      <c r="AK422">
        <v>0.02</v>
      </c>
      <c r="AL422">
        <v>16</v>
      </c>
      <c r="AM422">
        <v>0</v>
      </c>
      <c r="AN422">
        <v>0</v>
      </c>
      <c r="AO422">
        <v>0</v>
      </c>
      <c r="AP422">
        <v>1</v>
      </c>
      <c r="AQ422">
        <v>0.01</v>
      </c>
      <c r="AX422">
        <v>7</v>
      </c>
      <c r="AY422" s="1">
        <v>20</v>
      </c>
      <c r="AZ422">
        <v>0</v>
      </c>
      <c r="BA422">
        <v>0</v>
      </c>
      <c r="BB422">
        <v>1</v>
      </c>
      <c r="BC422" s="7">
        <v>0.32</v>
      </c>
      <c r="BD422">
        <v>30</v>
      </c>
      <c r="BE422">
        <v>0</v>
      </c>
      <c r="BF422">
        <v>0</v>
      </c>
      <c r="BG422">
        <v>0</v>
      </c>
      <c r="BH422">
        <v>5</v>
      </c>
      <c r="BI422">
        <v>2.4</v>
      </c>
      <c r="BJ422">
        <v>31</v>
      </c>
      <c r="BK422">
        <v>0</v>
      </c>
      <c r="BL422">
        <v>0</v>
      </c>
      <c r="BM422">
        <v>0</v>
      </c>
      <c r="BN422">
        <v>5</v>
      </c>
      <c r="BO422">
        <v>2.4</v>
      </c>
      <c r="BP422">
        <v>36</v>
      </c>
      <c r="BQ422">
        <v>0</v>
      </c>
      <c r="BR422">
        <v>0</v>
      </c>
      <c r="BS422">
        <v>0</v>
      </c>
      <c r="BT422">
        <v>5</v>
      </c>
      <c r="BU422">
        <v>2.2999999999999998</v>
      </c>
    </row>
    <row r="423" spans="1:73" x14ac:dyDescent="0.15">
      <c r="A423" s="11">
        <v>10320</v>
      </c>
      <c r="B423">
        <v>7</v>
      </c>
      <c r="C423" s="1">
        <v>0</v>
      </c>
      <c r="D423">
        <v>5</v>
      </c>
      <c r="E423">
        <v>1</v>
      </c>
      <c r="F423">
        <v>1</v>
      </c>
      <c r="G423" s="7">
        <v>0.05</v>
      </c>
      <c r="H423">
        <v>12</v>
      </c>
      <c r="I423">
        <v>0</v>
      </c>
      <c r="J423">
        <v>0</v>
      </c>
      <c r="K423">
        <v>0</v>
      </c>
      <c r="L423">
        <v>1</v>
      </c>
      <c r="M423">
        <v>2</v>
      </c>
      <c r="N423" s="7">
        <v>9</v>
      </c>
      <c r="O423" s="7">
        <v>0</v>
      </c>
      <c r="P423" s="7">
        <v>0</v>
      </c>
      <c r="Q423" s="7">
        <v>0</v>
      </c>
      <c r="R423" s="7">
        <v>1</v>
      </c>
      <c r="S423" s="7">
        <v>4.5</v>
      </c>
      <c r="T423">
        <v>7</v>
      </c>
      <c r="U423" s="1">
        <v>0</v>
      </c>
      <c r="V423">
        <v>4</v>
      </c>
      <c r="W423">
        <v>2</v>
      </c>
      <c r="X423">
        <v>1</v>
      </c>
      <c r="Y423">
        <v>0.16</v>
      </c>
      <c r="Z423">
        <v>23</v>
      </c>
      <c r="AA423">
        <v>0</v>
      </c>
      <c r="AB423">
        <v>0</v>
      </c>
      <c r="AC423">
        <v>0</v>
      </c>
      <c r="AD423">
        <v>1</v>
      </c>
      <c r="AE423">
        <v>0.05</v>
      </c>
      <c r="AF423">
        <v>15</v>
      </c>
      <c r="AG423">
        <v>0</v>
      </c>
      <c r="AH423">
        <v>0</v>
      </c>
      <c r="AI423">
        <v>0</v>
      </c>
      <c r="AJ423">
        <v>1</v>
      </c>
      <c r="AK423">
        <v>0.02</v>
      </c>
      <c r="AL423">
        <v>16</v>
      </c>
      <c r="AM423">
        <v>0</v>
      </c>
      <c r="AN423">
        <v>0</v>
      </c>
      <c r="AO423">
        <v>0</v>
      </c>
      <c r="AP423">
        <v>1</v>
      </c>
      <c r="AQ423">
        <v>0.01</v>
      </c>
      <c r="AR423">
        <v>6</v>
      </c>
      <c r="AS423">
        <v>2</v>
      </c>
      <c r="AT423">
        <v>4</v>
      </c>
      <c r="AU423">
        <v>5</v>
      </c>
      <c r="AV423">
        <v>1</v>
      </c>
      <c r="AW423">
        <v>0.01</v>
      </c>
      <c r="AX423">
        <v>7</v>
      </c>
      <c r="AY423" s="1">
        <v>0</v>
      </c>
      <c r="AZ423">
        <v>3</v>
      </c>
      <c r="BA423">
        <v>1</v>
      </c>
      <c r="BB423">
        <v>1</v>
      </c>
      <c r="BC423" s="7">
        <v>0.32</v>
      </c>
      <c r="BD423">
        <v>30</v>
      </c>
      <c r="BE423">
        <v>0</v>
      </c>
      <c r="BF423">
        <v>0</v>
      </c>
      <c r="BG423">
        <v>0</v>
      </c>
      <c r="BH423">
        <v>5</v>
      </c>
      <c r="BI423">
        <v>2.4</v>
      </c>
      <c r="BJ423">
        <v>31</v>
      </c>
      <c r="BK423">
        <v>0</v>
      </c>
      <c r="BL423">
        <v>0</v>
      </c>
      <c r="BM423">
        <v>0</v>
      </c>
      <c r="BN423">
        <v>5</v>
      </c>
      <c r="BO423">
        <v>2.4</v>
      </c>
      <c r="BP423">
        <v>36</v>
      </c>
      <c r="BQ423">
        <v>0</v>
      </c>
      <c r="BR423">
        <v>0</v>
      </c>
      <c r="BS423">
        <v>0</v>
      </c>
      <c r="BT423">
        <v>5</v>
      </c>
      <c r="BU423">
        <v>2.2999999999999998</v>
      </c>
    </row>
    <row r="424" spans="1:73" x14ac:dyDescent="0.15">
      <c r="A424" s="11">
        <v>10321</v>
      </c>
      <c r="B424">
        <v>7</v>
      </c>
      <c r="C424" s="1">
        <v>45</v>
      </c>
      <c r="D424">
        <v>0</v>
      </c>
      <c r="E424">
        <v>0</v>
      </c>
      <c r="F424">
        <v>1</v>
      </c>
      <c r="G424" s="7">
        <v>0.05</v>
      </c>
      <c r="H424">
        <v>12</v>
      </c>
      <c r="I424">
        <v>0</v>
      </c>
      <c r="J424">
        <v>0</v>
      </c>
      <c r="K424">
        <v>0</v>
      </c>
      <c r="L424">
        <v>1</v>
      </c>
      <c r="M424">
        <v>2</v>
      </c>
      <c r="N424" s="7">
        <v>9</v>
      </c>
      <c r="O424" s="7">
        <v>0</v>
      </c>
      <c r="P424" s="7">
        <v>0</v>
      </c>
      <c r="Q424" s="7">
        <v>0</v>
      </c>
      <c r="R424" s="7">
        <v>1</v>
      </c>
      <c r="S424" s="7">
        <v>4.5</v>
      </c>
      <c r="T424">
        <v>7</v>
      </c>
      <c r="U424" s="1">
        <v>33</v>
      </c>
      <c r="V424">
        <v>0</v>
      </c>
      <c r="W424">
        <v>0</v>
      </c>
      <c r="X424">
        <v>1</v>
      </c>
      <c r="Y424">
        <v>0.16</v>
      </c>
      <c r="Z424">
        <v>23</v>
      </c>
      <c r="AA424">
        <v>0</v>
      </c>
      <c r="AB424">
        <v>0</v>
      </c>
      <c r="AC424">
        <v>0</v>
      </c>
      <c r="AD424">
        <v>1</v>
      </c>
      <c r="AE424">
        <v>0.05</v>
      </c>
      <c r="AF424">
        <v>15</v>
      </c>
      <c r="AG424">
        <v>0</v>
      </c>
      <c r="AH424">
        <v>0</v>
      </c>
      <c r="AI424">
        <v>0</v>
      </c>
      <c r="AJ424">
        <v>1</v>
      </c>
      <c r="AK424">
        <v>0.02</v>
      </c>
      <c r="AL424">
        <v>16</v>
      </c>
      <c r="AM424">
        <v>0</v>
      </c>
      <c r="AN424">
        <v>0</v>
      </c>
      <c r="AO424">
        <v>0</v>
      </c>
      <c r="AP424">
        <v>1</v>
      </c>
      <c r="AQ424">
        <v>0.01</v>
      </c>
      <c r="AX424">
        <v>7</v>
      </c>
      <c r="AY424" s="1">
        <v>17</v>
      </c>
      <c r="AZ424">
        <v>0</v>
      </c>
      <c r="BA424">
        <v>0</v>
      </c>
      <c r="BB424">
        <v>1</v>
      </c>
      <c r="BC424" s="7">
        <v>0.32</v>
      </c>
      <c r="BD424">
        <v>30</v>
      </c>
      <c r="BE424">
        <v>0</v>
      </c>
      <c r="BF424">
        <v>0</v>
      </c>
      <c r="BG424">
        <v>0</v>
      </c>
      <c r="BH424">
        <v>5</v>
      </c>
      <c r="BI424">
        <v>2.4</v>
      </c>
      <c r="BJ424">
        <v>31</v>
      </c>
      <c r="BK424">
        <v>0</v>
      </c>
      <c r="BL424">
        <v>0</v>
      </c>
      <c r="BM424">
        <v>0</v>
      </c>
      <c r="BN424">
        <v>5</v>
      </c>
      <c r="BO424">
        <v>2.4</v>
      </c>
      <c r="BP424">
        <v>36</v>
      </c>
      <c r="BQ424">
        <v>0</v>
      </c>
      <c r="BR424">
        <v>0</v>
      </c>
      <c r="BS424">
        <v>0</v>
      </c>
      <c r="BT424">
        <v>5</v>
      </c>
      <c r="BU424">
        <v>2.2999999999999998</v>
      </c>
    </row>
    <row r="425" spans="1:73" x14ac:dyDescent="0.15">
      <c r="A425" s="11">
        <v>10322</v>
      </c>
      <c r="B425">
        <v>7</v>
      </c>
      <c r="C425" s="1">
        <v>46</v>
      </c>
      <c r="D425">
        <v>0</v>
      </c>
      <c r="E425">
        <v>0</v>
      </c>
      <c r="F425">
        <v>1</v>
      </c>
      <c r="G425" s="7">
        <v>0.05</v>
      </c>
      <c r="H425">
        <v>12</v>
      </c>
      <c r="I425">
        <v>0</v>
      </c>
      <c r="J425">
        <v>0</v>
      </c>
      <c r="K425">
        <v>0</v>
      </c>
      <c r="L425">
        <v>1</v>
      </c>
      <c r="M425">
        <v>2</v>
      </c>
      <c r="N425" s="7">
        <v>9</v>
      </c>
      <c r="O425" s="7">
        <v>0</v>
      </c>
      <c r="P425" s="7">
        <v>0</v>
      </c>
      <c r="Q425" s="7">
        <v>0</v>
      </c>
      <c r="R425" s="7">
        <v>1</v>
      </c>
      <c r="S425" s="7">
        <v>4.5</v>
      </c>
      <c r="T425">
        <v>7</v>
      </c>
      <c r="U425" s="1">
        <v>34</v>
      </c>
      <c r="V425">
        <v>0</v>
      </c>
      <c r="W425">
        <v>0</v>
      </c>
      <c r="X425">
        <v>1</v>
      </c>
      <c r="Y425">
        <v>0.16</v>
      </c>
      <c r="Z425">
        <v>23</v>
      </c>
      <c r="AA425">
        <v>0</v>
      </c>
      <c r="AB425">
        <v>0</v>
      </c>
      <c r="AC425">
        <v>0</v>
      </c>
      <c r="AD425">
        <v>1</v>
      </c>
      <c r="AE425">
        <v>0.05</v>
      </c>
      <c r="AF425">
        <v>15</v>
      </c>
      <c r="AG425">
        <v>0</v>
      </c>
      <c r="AH425">
        <v>0</v>
      </c>
      <c r="AI425">
        <v>0</v>
      </c>
      <c r="AJ425">
        <v>1</v>
      </c>
      <c r="AK425">
        <v>0.02</v>
      </c>
      <c r="AL425">
        <v>16</v>
      </c>
      <c r="AM425">
        <v>0</v>
      </c>
      <c r="AN425">
        <v>0</v>
      </c>
      <c r="AO425">
        <v>0</v>
      </c>
      <c r="AP425">
        <v>1</v>
      </c>
      <c r="AQ425">
        <v>0.01</v>
      </c>
      <c r="AX425">
        <v>7</v>
      </c>
      <c r="AY425" s="1">
        <v>18</v>
      </c>
      <c r="AZ425">
        <v>0</v>
      </c>
      <c r="BA425">
        <v>0</v>
      </c>
      <c r="BB425">
        <v>1</v>
      </c>
      <c r="BC425" s="7">
        <v>0.32</v>
      </c>
      <c r="BD425">
        <v>30</v>
      </c>
      <c r="BE425">
        <v>0</v>
      </c>
      <c r="BF425">
        <v>0</v>
      </c>
      <c r="BG425">
        <v>0</v>
      </c>
      <c r="BH425">
        <v>5</v>
      </c>
      <c r="BI425">
        <v>2.4</v>
      </c>
      <c r="BJ425">
        <v>31</v>
      </c>
      <c r="BK425">
        <v>0</v>
      </c>
      <c r="BL425">
        <v>0</v>
      </c>
      <c r="BM425">
        <v>0</v>
      </c>
      <c r="BN425">
        <v>5</v>
      </c>
      <c r="BO425">
        <v>2.4</v>
      </c>
      <c r="BP425">
        <v>36</v>
      </c>
      <c r="BQ425">
        <v>0</v>
      </c>
      <c r="BR425">
        <v>0</v>
      </c>
      <c r="BS425">
        <v>0</v>
      </c>
      <c r="BT425">
        <v>5</v>
      </c>
      <c r="BU425">
        <v>2.2999999999999998</v>
      </c>
    </row>
    <row r="426" spans="1:73" x14ac:dyDescent="0.15">
      <c r="A426" s="11">
        <v>10323</v>
      </c>
      <c r="B426">
        <v>7</v>
      </c>
      <c r="C426" s="1">
        <v>47</v>
      </c>
      <c r="D426">
        <v>0</v>
      </c>
      <c r="E426">
        <v>0</v>
      </c>
      <c r="F426">
        <v>1</v>
      </c>
      <c r="G426" s="7">
        <v>0.05</v>
      </c>
      <c r="H426">
        <v>12</v>
      </c>
      <c r="I426">
        <v>0</v>
      </c>
      <c r="J426">
        <v>0</v>
      </c>
      <c r="K426">
        <v>0</v>
      </c>
      <c r="L426">
        <v>1</v>
      </c>
      <c r="M426">
        <v>2</v>
      </c>
      <c r="N426" s="7">
        <v>9</v>
      </c>
      <c r="O426" s="7">
        <v>0</v>
      </c>
      <c r="P426" s="7">
        <v>0</v>
      </c>
      <c r="Q426" s="7">
        <v>0</v>
      </c>
      <c r="R426" s="7">
        <v>1</v>
      </c>
      <c r="S426" s="7">
        <v>4.5</v>
      </c>
      <c r="T426">
        <v>7</v>
      </c>
      <c r="U426" s="1">
        <v>35</v>
      </c>
      <c r="V426">
        <v>0</v>
      </c>
      <c r="W426">
        <v>0</v>
      </c>
      <c r="X426">
        <v>1</v>
      </c>
      <c r="Y426">
        <v>0.16</v>
      </c>
      <c r="Z426">
        <v>23</v>
      </c>
      <c r="AA426">
        <v>0</v>
      </c>
      <c r="AB426">
        <v>0</v>
      </c>
      <c r="AC426">
        <v>0</v>
      </c>
      <c r="AD426">
        <v>1</v>
      </c>
      <c r="AE426">
        <v>0.05</v>
      </c>
      <c r="AF426">
        <v>15</v>
      </c>
      <c r="AG426">
        <v>0</v>
      </c>
      <c r="AH426">
        <v>0</v>
      </c>
      <c r="AI426">
        <v>0</v>
      </c>
      <c r="AJ426">
        <v>1</v>
      </c>
      <c r="AK426">
        <v>0.02</v>
      </c>
      <c r="AL426">
        <v>16</v>
      </c>
      <c r="AM426">
        <v>0</v>
      </c>
      <c r="AN426">
        <v>0</v>
      </c>
      <c r="AO426">
        <v>0</v>
      </c>
      <c r="AP426">
        <v>1</v>
      </c>
      <c r="AQ426">
        <v>0.01</v>
      </c>
      <c r="AX426">
        <v>7</v>
      </c>
      <c r="AY426" s="1">
        <v>19</v>
      </c>
      <c r="AZ426">
        <v>0</v>
      </c>
      <c r="BA426">
        <v>0</v>
      </c>
      <c r="BB426">
        <v>1</v>
      </c>
      <c r="BC426" s="7">
        <v>0.32</v>
      </c>
      <c r="BD426">
        <v>30</v>
      </c>
      <c r="BE426">
        <v>0</v>
      </c>
      <c r="BF426">
        <v>0</v>
      </c>
      <c r="BG426">
        <v>0</v>
      </c>
      <c r="BH426">
        <v>5</v>
      </c>
      <c r="BI426">
        <v>2.4</v>
      </c>
      <c r="BJ426">
        <v>31</v>
      </c>
      <c r="BK426">
        <v>0</v>
      </c>
      <c r="BL426">
        <v>0</v>
      </c>
      <c r="BM426">
        <v>0</v>
      </c>
      <c r="BN426">
        <v>5</v>
      </c>
      <c r="BO426">
        <v>2.4</v>
      </c>
      <c r="BP426">
        <v>36</v>
      </c>
      <c r="BQ426">
        <v>0</v>
      </c>
      <c r="BR426">
        <v>0</v>
      </c>
      <c r="BS426">
        <v>0</v>
      </c>
      <c r="BT426">
        <v>5</v>
      </c>
      <c r="BU426">
        <v>2.2999999999999998</v>
      </c>
    </row>
    <row r="427" spans="1:73" x14ac:dyDescent="0.15">
      <c r="A427" s="11">
        <v>10324</v>
      </c>
      <c r="B427">
        <v>7</v>
      </c>
      <c r="C427" s="1">
        <v>48</v>
      </c>
      <c r="D427">
        <v>0</v>
      </c>
      <c r="E427">
        <v>0</v>
      </c>
      <c r="F427">
        <v>1</v>
      </c>
      <c r="G427" s="7">
        <v>0.05</v>
      </c>
      <c r="H427">
        <v>12</v>
      </c>
      <c r="I427">
        <v>0</v>
      </c>
      <c r="J427">
        <v>0</v>
      </c>
      <c r="K427">
        <v>0</v>
      </c>
      <c r="L427">
        <v>1</v>
      </c>
      <c r="M427">
        <v>2</v>
      </c>
      <c r="N427" s="7">
        <v>9</v>
      </c>
      <c r="O427" s="7">
        <v>0</v>
      </c>
      <c r="P427" s="7">
        <v>0</v>
      </c>
      <c r="Q427" s="7">
        <v>0</v>
      </c>
      <c r="R427" s="7">
        <v>1</v>
      </c>
      <c r="S427" s="7">
        <v>4.5</v>
      </c>
      <c r="T427">
        <v>7</v>
      </c>
      <c r="U427" s="1">
        <v>36</v>
      </c>
      <c r="V427">
        <v>0</v>
      </c>
      <c r="W427">
        <v>0</v>
      </c>
      <c r="X427">
        <v>1</v>
      </c>
      <c r="Y427">
        <v>0.16</v>
      </c>
      <c r="Z427">
        <v>23</v>
      </c>
      <c r="AA427">
        <v>0</v>
      </c>
      <c r="AB427">
        <v>0</v>
      </c>
      <c r="AC427">
        <v>0</v>
      </c>
      <c r="AD427">
        <v>1</v>
      </c>
      <c r="AE427">
        <v>0.05</v>
      </c>
      <c r="AF427">
        <v>15</v>
      </c>
      <c r="AG427">
        <v>0</v>
      </c>
      <c r="AH427">
        <v>0</v>
      </c>
      <c r="AI427">
        <v>0</v>
      </c>
      <c r="AJ427">
        <v>1</v>
      </c>
      <c r="AK427">
        <v>0.02</v>
      </c>
      <c r="AL427">
        <v>16</v>
      </c>
      <c r="AM427">
        <v>0</v>
      </c>
      <c r="AN427">
        <v>0</v>
      </c>
      <c r="AO427">
        <v>0</v>
      </c>
      <c r="AP427">
        <v>1</v>
      </c>
      <c r="AQ427">
        <v>0.01</v>
      </c>
      <c r="AX427">
        <v>7</v>
      </c>
      <c r="AY427" s="1">
        <v>20</v>
      </c>
      <c r="AZ427">
        <v>0</v>
      </c>
      <c r="BA427">
        <v>0</v>
      </c>
      <c r="BB427">
        <v>1</v>
      </c>
      <c r="BC427" s="7">
        <v>0.32</v>
      </c>
      <c r="BD427">
        <v>30</v>
      </c>
      <c r="BE427">
        <v>0</v>
      </c>
      <c r="BF427">
        <v>0</v>
      </c>
      <c r="BG427">
        <v>0</v>
      </c>
      <c r="BH427">
        <v>5</v>
      </c>
      <c r="BI427">
        <v>2.4</v>
      </c>
      <c r="BJ427">
        <v>31</v>
      </c>
      <c r="BK427">
        <v>0</v>
      </c>
      <c r="BL427">
        <v>0</v>
      </c>
      <c r="BM427">
        <v>0</v>
      </c>
      <c r="BN427">
        <v>5</v>
      </c>
      <c r="BO427">
        <v>2.4</v>
      </c>
      <c r="BP427">
        <v>36</v>
      </c>
      <c r="BQ427">
        <v>0</v>
      </c>
      <c r="BR427">
        <v>0</v>
      </c>
      <c r="BS427">
        <v>0</v>
      </c>
      <c r="BT427">
        <v>5</v>
      </c>
      <c r="BU427">
        <v>2.2999999999999998</v>
      </c>
    </row>
    <row r="428" spans="1:73" x14ac:dyDescent="0.15">
      <c r="A428" s="11">
        <v>10325</v>
      </c>
      <c r="B428">
        <v>7</v>
      </c>
      <c r="C428" s="1">
        <v>0</v>
      </c>
      <c r="D428">
        <v>5</v>
      </c>
      <c r="E428">
        <v>1</v>
      </c>
      <c r="F428">
        <v>1</v>
      </c>
      <c r="G428" s="7">
        <v>0.05</v>
      </c>
      <c r="H428">
        <v>12</v>
      </c>
      <c r="I428">
        <v>0</v>
      </c>
      <c r="J428">
        <v>0</v>
      </c>
      <c r="K428">
        <v>0</v>
      </c>
      <c r="L428">
        <v>1</v>
      </c>
      <c r="M428">
        <v>2</v>
      </c>
      <c r="N428" s="7">
        <v>9</v>
      </c>
      <c r="O428" s="7">
        <v>0</v>
      </c>
      <c r="P428" s="7">
        <v>0</v>
      </c>
      <c r="Q428" s="7">
        <v>0</v>
      </c>
      <c r="R428" s="7">
        <v>1</v>
      </c>
      <c r="S428" s="7">
        <v>4.5</v>
      </c>
      <c r="T428">
        <v>7</v>
      </c>
      <c r="U428" s="1">
        <v>0</v>
      </c>
      <c r="V428">
        <v>4</v>
      </c>
      <c r="W428">
        <v>2</v>
      </c>
      <c r="X428">
        <v>1</v>
      </c>
      <c r="Y428">
        <v>0.16</v>
      </c>
      <c r="Z428">
        <v>23</v>
      </c>
      <c r="AA428">
        <v>0</v>
      </c>
      <c r="AB428">
        <v>0</v>
      </c>
      <c r="AC428">
        <v>0</v>
      </c>
      <c r="AD428">
        <v>1</v>
      </c>
      <c r="AE428">
        <v>0.05</v>
      </c>
      <c r="AF428">
        <v>15</v>
      </c>
      <c r="AG428">
        <v>0</v>
      </c>
      <c r="AH428">
        <v>0</v>
      </c>
      <c r="AI428">
        <v>0</v>
      </c>
      <c r="AJ428">
        <v>1</v>
      </c>
      <c r="AK428">
        <v>0.02</v>
      </c>
      <c r="AL428">
        <v>16</v>
      </c>
      <c r="AM428">
        <v>0</v>
      </c>
      <c r="AN428">
        <v>0</v>
      </c>
      <c r="AO428">
        <v>0</v>
      </c>
      <c r="AP428">
        <v>1</v>
      </c>
      <c r="AQ428">
        <v>0.01</v>
      </c>
      <c r="AR428">
        <v>6</v>
      </c>
      <c r="AS428">
        <v>2</v>
      </c>
      <c r="AT428">
        <v>5</v>
      </c>
      <c r="AU428">
        <v>5</v>
      </c>
      <c r="AV428">
        <v>1</v>
      </c>
      <c r="AW428">
        <v>0.01</v>
      </c>
      <c r="AX428">
        <v>7</v>
      </c>
      <c r="AY428" s="1">
        <v>0</v>
      </c>
      <c r="AZ428">
        <v>3</v>
      </c>
      <c r="BA428">
        <v>1</v>
      </c>
      <c r="BB428">
        <v>1</v>
      </c>
      <c r="BC428" s="7">
        <v>0.32</v>
      </c>
      <c r="BD428">
        <v>30</v>
      </c>
      <c r="BE428">
        <v>0</v>
      </c>
      <c r="BF428">
        <v>0</v>
      </c>
      <c r="BG428">
        <v>0</v>
      </c>
      <c r="BH428">
        <v>5</v>
      </c>
      <c r="BI428">
        <v>2.4</v>
      </c>
      <c r="BJ428">
        <v>31</v>
      </c>
      <c r="BK428">
        <v>0</v>
      </c>
      <c r="BL428">
        <v>0</v>
      </c>
      <c r="BM428">
        <v>0</v>
      </c>
      <c r="BN428">
        <v>5</v>
      </c>
      <c r="BO428">
        <v>2.4</v>
      </c>
      <c r="BP428">
        <v>36</v>
      </c>
      <c r="BQ428">
        <v>0</v>
      </c>
      <c r="BR428">
        <v>0</v>
      </c>
      <c r="BS428">
        <v>0</v>
      </c>
      <c r="BT428">
        <v>5</v>
      </c>
      <c r="BU428">
        <v>2.2999999999999998</v>
      </c>
    </row>
    <row r="429" spans="1:73" x14ac:dyDescent="0.15">
      <c r="A429" s="11">
        <v>10326</v>
      </c>
      <c r="B429">
        <v>7</v>
      </c>
      <c r="C429" s="1">
        <v>45</v>
      </c>
      <c r="D429">
        <v>0</v>
      </c>
      <c r="E429">
        <v>0</v>
      </c>
      <c r="F429">
        <v>1</v>
      </c>
      <c r="G429" s="7">
        <v>0.05</v>
      </c>
      <c r="H429">
        <v>12</v>
      </c>
      <c r="I429">
        <v>0</v>
      </c>
      <c r="J429">
        <v>0</v>
      </c>
      <c r="K429">
        <v>0</v>
      </c>
      <c r="L429">
        <v>1</v>
      </c>
      <c r="M429">
        <v>2</v>
      </c>
      <c r="N429" s="7">
        <v>9</v>
      </c>
      <c r="O429" s="7">
        <v>0</v>
      </c>
      <c r="P429" s="7">
        <v>0</v>
      </c>
      <c r="Q429" s="7">
        <v>0</v>
      </c>
      <c r="R429" s="7">
        <v>1</v>
      </c>
      <c r="S429" s="7">
        <v>4.5</v>
      </c>
      <c r="T429">
        <v>7</v>
      </c>
      <c r="U429" s="1">
        <v>33</v>
      </c>
      <c r="V429">
        <v>0</v>
      </c>
      <c r="W429">
        <v>0</v>
      </c>
      <c r="X429">
        <v>1</v>
      </c>
      <c r="Y429">
        <v>0.16</v>
      </c>
      <c r="Z429">
        <v>23</v>
      </c>
      <c r="AA429">
        <v>0</v>
      </c>
      <c r="AB429">
        <v>0</v>
      </c>
      <c r="AC429">
        <v>0</v>
      </c>
      <c r="AD429">
        <v>1</v>
      </c>
      <c r="AE429">
        <v>0.05</v>
      </c>
      <c r="AF429">
        <v>15</v>
      </c>
      <c r="AG429">
        <v>0</v>
      </c>
      <c r="AH429">
        <v>0</v>
      </c>
      <c r="AI429">
        <v>0</v>
      </c>
      <c r="AJ429">
        <v>1</v>
      </c>
      <c r="AK429">
        <v>0.02</v>
      </c>
      <c r="AL429">
        <v>16</v>
      </c>
      <c r="AM429">
        <v>0</v>
      </c>
      <c r="AN429">
        <v>0</v>
      </c>
      <c r="AO429">
        <v>0</v>
      </c>
      <c r="AP429">
        <v>1</v>
      </c>
      <c r="AQ429">
        <v>0.01</v>
      </c>
      <c r="AX429">
        <v>7</v>
      </c>
      <c r="AY429" s="1">
        <v>17</v>
      </c>
      <c r="AZ429">
        <v>0</v>
      </c>
      <c r="BA429">
        <v>0</v>
      </c>
      <c r="BB429">
        <v>1</v>
      </c>
      <c r="BC429" s="7">
        <v>0.32</v>
      </c>
      <c r="BD429">
        <v>30</v>
      </c>
      <c r="BE429">
        <v>0</v>
      </c>
      <c r="BF429">
        <v>0</v>
      </c>
      <c r="BG429">
        <v>0</v>
      </c>
      <c r="BH429">
        <v>5</v>
      </c>
      <c r="BI429">
        <v>2.4</v>
      </c>
      <c r="BJ429">
        <v>31</v>
      </c>
      <c r="BK429">
        <v>0</v>
      </c>
      <c r="BL429">
        <v>0</v>
      </c>
      <c r="BM429">
        <v>0</v>
      </c>
      <c r="BN429">
        <v>5</v>
      </c>
      <c r="BO429">
        <v>2.4</v>
      </c>
      <c r="BP429">
        <v>36</v>
      </c>
      <c r="BQ429">
        <v>0</v>
      </c>
      <c r="BR429">
        <v>0</v>
      </c>
      <c r="BS429">
        <v>0</v>
      </c>
      <c r="BT429">
        <v>5</v>
      </c>
      <c r="BU429">
        <v>2.2999999999999998</v>
      </c>
    </row>
    <row r="430" spans="1:73" x14ac:dyDescent="0.15">
      <c r="A430" s="11">
        <v>10327</v>
      </c>
      <c r="B430">
        <v>7</v>
      </c>
      <c r="C430" s="1">
        <v>46</v>
      </c>
      <c r="D430">
        <v>0</v>
      </c>
      <c r="E430">
        <v>0</v>
      </c>
      <c r="F430">
        <v>1</v>
      </c>
      <c r="G430" s="7">
        <v>0.05</v>
      </c>
      <c r="H430">
        <v>12</v>
      </c>
      <c r="I430">
        <v>0</v>
      </c>
      <c r="J430">
        <v>0</v>
      </c>
      <c r="K430">
        <v>0</v>
      </c>
      <c r="L430">
        <v>1</v>
      </c>
      <c r="M430">
        <v>2</v>
      </c>
      <c r="N430" s="7">
        <v>9</v>
      </c>
      <c r="O430" s="7">
        <v>0</v>
      </c>
      <c r="P430" s="7">
        <v>0</v>
      </c>
      <c r="Q430" s="7">
        <v>0</v>
      </c>
      <c r="R430" s="7">
        <v>1</v>
      </c>
      <c r="S430" s="7">
        <v>4.5</v>
      </c>
      <c r="T430">
        <v>7</v>
      </c>
      <c r="U430" s="1">
        <v>34</v>
      </c>
      <c r="V430">
        <v>0</v>
      </c>
      <c r="W430">
        <v>0</v>
      </c>
      <c r="X430">
        <v>1</v>
      </c>
      <c r="Y430">
        <v>0.16</v>
      </c>
      <c r="Z430">
        <v>23</v>
      </c>
      <c r="AA430">
        <v>0</v>
      </c>
      <c r="AB430">
        <v>0</v>
      </c>
      <c r="AC430">
        <v>0</v>
      </c>
      <c r="AD430">
        <v>1</v>
      </c>
      <c r="AE430">
        <v>0.05</v>
      </c>
      <c r="AF430">
        <v>15</v>
      </c>
      <c r="AG430">
        <v>0</v>
      </c>
      <c r="AH430">
        <v>0</v>
      </c>
      <c r="AI430">
        <v>0</v>
      </c>
      <c r="AJ430">
        <v>1</v>
      </c>
      <c r="AK430">
        <v>0.02</v>
      </c>
      <c r="AL430">
        <v>16</v>
      </c>
      <c r="AM430">
        <v>0</v>
      </c>
      <c r="AN430">
        <v>0</v>
      </c>
      <c r="AO430">
        <v>0</v>
      </c>
      <c r="AP430">
        <v>1</v>
      </c>
      <c r="AQ430">
        <v>0.01</v>
      </c>
      <c r="AX430">
        <v>7</v>
      </c>
      <c r="AY430" s="1">
        <v>18</v>
      </c>
      <c r="AZ430">
        <v>0</v>
      </c>
      <c r="BA430">
        <v>0</v>
      </c>
      <c r="BB430">
        <v>1</v>
      </c>
      <c r="BC430" s="7">
        <v>0.32</v>
      </c>
      <c r="BD430">
        <v>30</v>
      </c>
      <c r="BE430">
        <v>0</v>
      </c>
      <c r="BF430">
        <v>0</v>
      </c>
      <c r="BG430">
        <v>0</v>
      </c>
      <c r="BH430">
        <v>5</v>
      </c>
      <c r="BI430">
        <v>2.4</v>
      </c>
      <c r="BJ430">
        <v>31</v>
      </c>
      <c r="BK430">
        <v>0</v>
      </c>
      <c r="BL430">
        <v>0</v>
      </c>
      <c r="BM430">
        <v>0</v>
      </c>
      <c r="BN430">
        <v>5</v>
      </c>
      <c r="BO430">
        <v>2.4</v>
      </c>
      <c r="BP430">
        <v>36</v>
      </c>
      <c r="BQ430">
        <v>0</v>
      </c>
      <c r="BR430">
        <v>0</v>
      </c>
      <c r="BS430">
        <v>0</v>
      </c>
      <c r="BT430">
        <v>5</v>
      </c>
      <c r="BU430">
        <v>2.2999999999999998</v>
      </c>
    </row>
    <row r="431" spans="1:73" x14ac:dyDescent="0.15">
      <c r="A431" s="11">
        <v>10328</v>
      </c>
      <c r="B431">
        <v>7</v>
      </c>
      <c r="C431" s="1">
        <v>47</v>
      </c>
      <c r="D431">
        <v>0</v>
      </c>
      <c r="E431">
        <v>0</v>
      </c>
      <c r="F431">
        <v>1</v>
      </c>
      <c r="G431" s="7">
        <v>0.05</v>
      </c>
      <c r="H431">
        <v>12</v>
      </c>
      <c r="I431">
        <v>0</v>
      </c>
      <c r="J431">
        <v>0</v>
      </c>
      <c r="K431">
        <v>0</v>
      </c>
      <c r="L431">
        <v>1</v>
      </c>
      <c r="M431">
        <v>2</v>
      </c>
      <c r="N431" s="7">
        <v>9</v>
      </c>
      <c r="O431" s="7">
        <v>0</v>
      </c>
      <c r="P431" s="7">
        <v>0</v>
      </c>
      <c r="Q431" s="7">
        <v>0</v>
      </c>
      <c r="R431" s="7">
        <v>1</v>
      </c>
      <c r="S431" s="7">
        <v>4.5</v>
      </c>
      <c r="T431">
        <v>7</v>
      </c>
      <c r="U431" s="1">
        <v>35</v>
      </c>
      <c r="V431">
        <v>0</v>
      </c>
      <c r="W431">
        <v>0</v>
      </c>
      <c r="X431">
        <v>1</v>
      </c>
      <c r="Y431">
        <v>0.16</v>
      </c>
      <c r="Z431">
        <v>23</v>
      </c>
      <c r="AA431">
        <v>0</v>
      </c>
      <c r="AB431">
        <v>0</v>
      </c>
      <c r="AC431">
        <v>0</v>
      </c>
      <c r="AD431">
        <v>1</v>
      </c>
      <c r="AE431">
        <v>0.05</v>
      </c>
      <c r="AF431">
        <v>15</v>
      </c>
      <c r="AG431">
        <v>0</v>
      </c>
      <c r="AH431">
        <v>0</v>
      </c>
      <c r="AI431">
        <v>0</v>
      </c>
      <c r="AJ431">
        <v>1</v>
      </c>
      <c r="AK431">
        <v>0.02</v>
      </c>
      <c r="AL431">
        <v>16</v>
      </c>
      <c r="AM431">
        <v>0</v>
      </c>
      <c r="AN431">
        <v>0</v>
      </c>
      <c r="AO431">
        <v>0</v>
      </c>
      <c r="AP431">
        <v>1</v>
      </c>
      <c r="AQ431">
        <v>0.01</v>
      </c>
      <c r="AX431">
        <v>7</v>
      </c>
      <c r="AY431" s="1">
        <v>19</v>
      </c>
      <c r="AZ431">
        <v>0</v>
      </c>
      <c r="BA431">
        <v>0</v>
      </c>
      <c r="BB431">
        <v>1</v>
      </c>
      <c r="BC431" s="7">
        <v>0.32</v>
      </c>
      <c r="BD431">
        <v>30</v>
      </c>
      <c r="BE431">
        <v>0</v>
      </c>
      <c r="BF431">
        <v>0</v>
      </c>
      <c r="BG431">
        <v>0</v>
      </c>
      <c r="BH431">
        <v>5</v>
      </c>
      <c r="BI431">
        <v>2.4</v>
      </c>
      <c r="BJ431">
        <v>31</v>
      </c>
      <c r="BK431">
        <v>0</v>
      </c>
      <c r="BL431">
        <v>0</v>
      </c>
      <c r="BM431">
        <v>0</v>
      </c>
      <c r="BN431">
        <v>5</v>
      </c>
      <c r="BO431">
        <v>2.4</v>
      </c>
      <c r="BP431">
        <v>36</v>
      </c>
      <c r="BQ431">
        <v>0</v>
      </c>
      <c r="BR431">
        <v>0</v>
      </c>
      <c r="BS431">
        <v>0</v>
      </c>
      <c r="BT431">
        <v>5</v>
      </c>
      <c r="BU431">
        <v>2.2999999999999998</v>
      </c>
    </row>
    <row r="432" spans="1:73" x14ac:dyDescent="0.15">
      <c r="A432" s="11">
        <v>10329</v>
      </c>
      <c r="B432">
        <v>7</v>
      </c>
      <c r="C432" s="1">
        <v>48</v>
      </c>
      <c r="D432">
        <v>0</v>
      </c>
      <c r="E432">
        <v>0</v>
      </c>
      <c r="F432">
        <v>1</v>
      </c>
      <c r="G432" s="7">
        <v>0.05</v>
      </c>
      <c r="H432">
        <v>12</v>
      </c>
      <c r="I432">
        <v>0</v>
      </c>
      <c r="J432">
        <v>0</v>
      </c>
      <c r="K432">
        <v>0</v>
      </c>
      <c r="L432">
        <v>1</v>
      </c>
      <c r="M432">
        <v>2</v>
      </c>
      <c r="N432" s="7">
        <v>9</v>
      </c>
      <c r="O432" s="7">
        <v>0</v>
      </c>
      <c r="P432" s="7">
        <v>0</v>
      </c>
      <c r="Q432" s="7">
        <v>0</v>
      </c>
      <c r="R432" s="7">
        <v>1</v>
      </c>
      <c r="S432" s="7">
        <v>4.5</v>
      </c>
      <c r="T432">
        <v>7</v>
      </c>
      <c r="U432" s="1">
        <v>36</v>
      </c>
      <c r="V432">
        <v>0</v>
      </c>
      <c r="W432">
        <v>0</v>
      </c>
      <c r="X432">
        <v>1</v>
      </c>
      <c r="Y432">
        <v>0.16</v>
      </c>
      <c r="Z432">
        <v>23</v>
      </c>
      <c r="AA432">
        <v>0</v>
      </c>
      <c r="AB432">
        <v>0</v>
      </c>
      <c r="AC432">
        <v>0</v>
      </c>
      <c r="AD432">
        <v>1</v>
      </c>
      <c r="AE432">
        <v>0.05</v>
      </c>
      <c r="AF432">
        <v>15</v>
      </c>
      <c r="AG432">
        <v>0</v>
      </c>
      <c r="AH432">
        <v>0</v>
      </c>
      <c r="AI432">
        <v>0</v>
      </c>
      <c r="AJ432">
        <v>1</v>
      </c>
      <c r="AK432">
        <v>0.02</v>
      </c>
      <c r="AL432">
        <v>16</v>
      </c>
      <c r="AM432">
        <v>0</v>
      </c>
      <c r="AN432">
        <v>0</v>
      </c>
      <c r="AO432">
        <v>0</v>
      </c>
      <c r="AP432">
        <v>1</v>
      </c>
      <c r="AQ432">
        <v>0.01</v>
      </c>
      <c r="AX432">
        <v>7</v>
      </c>
      <c r="AY432" s="1">
        <v>20</v>
      </c>
      <c r="AZ432">
        <v>0</v>
      </c>
      <c r="BA432">
        <v>0</v>
      </c>
      <c r="BB432">
        <v>1</v>
      </c>
      <c r="BC432" s="7">
        <v>0.32</v>
      </c>
      <c r="BD432">
        <v>30</v>
      </c>
      <c r="BE432">
        <v>0</v>
      </c>
      <c r="BF432">
        <v>0</v>
      </c>
      <c r="BG432">
        <v>0</v>
      </c>
      <c r="BH432">
        <v>5</v>
      </c>
      <c r="BI432">
        <v>2.4</v>
      </c>
      <c r="BJ432">
        <v>31</v>
      </c>
      <c r="BK432">
        <v>0</v>
      </c>
      <c r="BL432">
        <v>0</v>
      </c>
      <c r="BM432">
        <v>0</v>
      </c>
      <c r="BN432">
        <v>5</v>
      </c>
      <c r="BO432">
        <v>2.4</v>
      </c>
      <c r="BP432">
        <v>36</v>
      </c>
      <c r="BQ432">
        <v>0</v>
      </c>
      <c r="BR432">
        <v>0</v>
      </c>
      <c r="BS432">
        <v>0</v>
      </c>
      <c r="BT432">
        <v>5</v>
      </c>
      <c r="BU432">
        <v>2.2999999999999998</v>
      </c>
    </row>
    <row r="433" spans="1:73" x14ac:dyDescent="0.15">
      <c r="A433" s="11">
        <v>10330</v>
      </c>
      <c r="B433">
        <v>7</v>
      </c>
      <c r="C433" s="1">
        <v>0</v>
      </c>
      <c r="D433">
        <v>5</v>
      </c>
      <c r="E433">
        <v>1</v>
      </c>
      <c r="F433">
        <v>1</v>
      </c>
      <c r="G433" s="7">
        <v>0.05</v>
      </c>
      <c r="H433">
        <v>12</v>
      </c>
      <c r="I433">
        <v>0</v>
      </c>
      <c r="J433">
        <v>0</v>
      </c>
      <c r="K433">
        <v>0</v>
      </c>
      <c r="L433">
        <v>1</v>
      </c>
      <c r="M433">
        <v>2</v>
      </c>
      <c r="N433" s="7">
        <v>9</v>
      </c>
      <c r="O433" s="7">
        <v>0</v>
      </c>
      <c r="P433" s="7">
        <v>0</v>
      </c>
      <c r="Q433" s="7">
        <v>0</v>
      </c>
      <c r="R433" s="7">
        <v>1</v>
      </c>
      <c r="S433" s="7">
        <v>4.5</v>
      </c>
      <c r="T433">
        <v>7</v>
      </c>
      <c r="U433" s="1">
        <v>0</v>
      </c>
      <c r="V433">
        <v>4</v>
      </c>
      <c r="W433">
        <v>2</v>
      </c>
      <c r="X433">
        <v>1</v>
      </c>
      <c r="Y433">
        <v>0.16</v>
      </c>
      <c r="Z433">
        <v>23</v>
      </c>
      <c r="AA433">
        <v>0</v>
      </c>
      <c r="AB433">
        <v>0</v>
      </c>
      <c r="AC433">
        <v>0</v>
      </c>
      <c r="AD433">
        <v>1</v>
      </c>
      <c r="AE433">
        <v>0.05</v>
      </c>
      <c r="AF433">
        <v>15</v>
      </c>
      <c r="AG433">
        <v>0</v>
      </c>
      <c r="AH433">
        <v>0</v>
      </c>
      <c r="AI433">
        <v>0</v>
      </c>
      <c r="AJ433">
        <v>1</v>
      </c>
      <c r="AK433">
        <v>0.02</v>
      </c>
      <c r="AL433">
        <v>16</v>
      </c>
      <c r="AM433">
        <v>0</v>
      </c>
      <c r="AN433">
        <v>0</v>
      </c>
      <c r="AO433">
        <v>0</v>
      </c>
      <c r="AP433">
        <v>1</v>
      </c>
      <c r="AQ433">
        <v>0.01</v>
      </c>
      <c r="AR433">
        <v>6</v>
      </c>
      <c r="AS433">
        <v>2</v>
      </c>
      <c r="AT433">
        <v>1</v>
      </c>
      <c r="AU433">
        <v>5</v>
      </c>
      <c r="AV433">
        <v>1</v>
      </c>
      <c r="AW433">
        <v>0.05</v>
      </c>
      <c r="AX433">
        <v>7</v>
      </c>
      <c r="AY433" s="1">
        <v>0</v>
      </c>
      <c r="AZ433">
        <v>3</v>
      </c>
      <c r="BA433">
        <v>1</v>
      </c>
      <c r="BB433">
        <v>1</v>
      </c>
      <c r="BC433" s="7">
        <v>0.32</v>
      </c>
      <c r="BD433">
        <v>30</v>
      </c>
      <c r="BE433">
        <v>0</v>
      </c>
      <c r="BF433">
        <v>0</v>
      </c>
      <c r="BG433">
        <v>0</v>
      </c>
      <c r="BH433">
        <v>5</v>
      </c>
      <c r="BI433">
        <v>2.4</v>
      </c>
      <c r="BJ433">
        <v>31</v>
      </c>
      <c r="BK433">
        <v>0</v>
      </c>
      <c r="BL433">
        <v>0</v>
      </c>
      <c r="BM433">
        <v>0</v>
      </c>
      <c r="BN433">
        <v>5</v>
      </c>
      <c r="BO433">
        <v>2.4</v>
      </c>
      <c r="BP433">
        <v>36</v>
      </c>
      <c r="BQ433">
        <v>0</v>
      </c>
      <c r="BR433">
        <v>0</v>
      </c>
      <c r="BS433">
        <v>0</v>
      </c>
      <c r="BT433">
        <v>5</v>
      </c>
      <c r="BU433">
        <v>2.2999999999999998</v>
      </c>
    </row>
    <row r="434" spans="1:73" x14ac:dyDescent="0.15">
      <c r="A434" s="11">
        <v>10331</v>
      </c>
      <c r="B434">
        <v>7</v>
      </c>
      <c r="C434" s="1">
        <v>45</v>
      </c>
      <c r="D434">
        <v>0</v>
      </c>
      <c r="E434">
        <v>0</v>
      </c>
      <c r="F434">
        <v>1</v>
      </c>
      <c r="G434" s="7">
        <v>0.05</v>
      </c>
      <c r="H434">
        <v>12</v>
      </c>
      <c r="I434">
        <v>0</v>
      </c>
      <c r="J434">
        <v>0</v>
      </c>
      <c r="K434">
        <v>0</v>
      </c>
      <c r="L434">
        <v>1</v>
      </c>
      <c r="M434">
        <v>2</v>
      </c>
      <c r="N434" s="7">
        <v>9</v>
      </c>
      <c r="O434" s="7">
        <v>0</v>
      </c>
      <c r="P434" s="7">
        <v>0</v>
      </c>
      <c r="Q434" s="7">
        <v>0</v>
      </c>
      <c r="R434" s="7">
        <v>1</v>
      </c>
      <c r="S434" s="7">
        <v>4.5</v>
      </c>
      <c r="T434">
        <v>7</v>
      </c>
      <c r="U434" s="1">
        <v>33</v>
      </c>
      <c r="V434">
        <v>0</v>
      </c>
      <c r="W434">
        <v>0</v>
      </c>
      <c r="X434">
        <v>1</v>
      </c>
      <c r="Y434">
        <v>0.16</v>
      </c>
      <c r="Z434">
        <v>23</v>
      </c>
      <c r="AA434">
        <v>0</v>
      </c>
      <c r="AB434">
        <v>0</v>
      </c>
      <c r="AC434">
        <v>0</v>
      </c>
      <c r="AD434">
        <v>1</v>
      </c>
      <c r="AE434">
        <v>0.05</v>
      </c>
      <c r="AF434">
        <v>15</v>
      </c>
      <c r="AG434">
        <v>0</v>
      </c>
      <c r="AH434">
        <v>0</v>
      </c>
      <c r="AI434">
        <v>0</v>
      </c>
      <c r="AJ434">
        <v>1</v>
      </c>
      <c r="AK434">
        <v>0.02</v>
      </c>
      <c r="AL434">
        <v>16</v>
      </c>
      <c r="AM434">
        <v>0</v>
      </c>
      <c r="AN434">
        <v>0</v>
      </c>
      <c r="AO434">
        <v>0</v>
      </c>
      <c r="AP434">
        <v>1</v>
      </c>
      <c r="AQ434">
        <v>0.01</v>
      </c>
      <c r="AX434">
        <v>7</v>
      </c>
      <c r="AY434" s="1">
        <v>17</v>
      </c>
      <c r="AZ434">
        <v>0</v>
      </c>
      <c r="BA434">
        <v>0</v>
      </c>
      <c r="BB434">
        <v>1</v>
      </c>
      <c r="BC434" s="7">
        <v>0.32</v>
      </c>
      <c r="BD434">
        <v>30</v>
      </c>
      <c r="BE434">
        <v>0</v>
      </c>
      <c r="BF434">
        <v>0</v>
      </c>
      <c r="BG434">
        <v>0</v>
      </c>
      <c r="BH434">
        <v>5</v>
      </c>
      <c r="BI434">
        <v>2.4</v>
      </c>
      <c r="BJ434">
        <v>31</v>
      </c>
      <c r="BK434">
        <v>0</v>
      </c>
      <c r="BL434">
        <v>0</v>
      </c>
      <c r="BM434">
        <v>0</v>
      </c>
      <c r="BN434">
        <v>5</v>
      </c>
      <c r="BO434">
        <v>2.4</v>
      </c>
      <c r="BP434">
        <v>36</v>
      </c>
      <c r="BQ434">
        <v>0</v>
      </c>
      <c r="BR434">
        <v>0</v>
      </c>
      <c r="BS434">
        <v>0</v>
      </c>
      <c r="BT434">
        <v>5</v>
      </c>
      <c r="BU434">
        <v>2.2999999999999998</v>
      </c>
    </row>
    <row r="435" spans="1:73" x14ac:dyDescent="0.15">
      <c r="A435" s="11">
        <v>10332</v>
      </c>
      <c r="B435">
        <v>7</v>
      </c>
      <c r="C435" s="1">
        <v>46</v>
      </c>
      <c r="D435">
        <v>0</v>
      </c>
      <c r="E435">
        <v>0</v>
      </c>
      <c r="F435">
        <v>1</v>
      </c>
      <c r="G435" s="7">
        <v>0.05</v>
      </c>
      <c r="H435">
        <v>12</v>
      </c>
      <c r="I435">
        <v>0</v>
      </c>
      <c r="J435">
        <v>0</v>
      </c>
      <c r="K435">
        <v>0</v>
      </c>
      <c r="L435">
        <v>1</v>
      </c>
      <c r="M435">
        <v>2</v>
      </c>
      <c r="N435" s="7">
        <v>9</v>
      </c>
      <c r="O435" s="7">
        <v>0</v>
      </c>
      <c r="P435" s="7">
        <v>0</v>
      </c>
      <c r="Q435" s="7">
        <v>0</v>
      </c>
      <c r="R435" s="7">
        <v>1</v>
      </c>
      <c r="S435" s="7">
        <v>4.5</v>
      </c>
      <c r="T435">
        <v>7</v>
      </c>
      <c r="U435" s="1">
        <v>34</v>
      </c>
      <c r="V435">
        <v>0</v>
      </c>
      <c r="W435">
        <v>0</v>
      </c>
      <c r="X435">
        <v>1</v>
      </c>
      <c r="Y435">
        <v>0.16</v>
      </c>
      <c r="Z435">
        <v>23</v>
      </c>
      <c r="AA435">
        <v>0</v>
      </c>
      <c r="AB435">
        <v>0</v>
      </c>
      <c r="AC435">
        <v>0</v>
      </c>
      <c r="AD435">
        <v>1</v>
      </c>
      <c r="AE435">
        <v>0.05</v>
      </c>
      <c r="AF435">
        <v>15</v>
      </c>
      <c r="AG435">
        <v>0</v>
      </c>
      <c r="AH435">
        <v>0</v>
      </c>
      <c r="AI435">
        <v>0</v>
      </c>
      <c r="AJ435">
        <v>1</v>
      </c>
      <c r="AK435">
        <v>0.02</v>
      </c>
      <c r="AL435">
        <v>16</v>
      </c>
      <c r="AM435">
        <v>0</v>
      </c>
      <c r="AN435">
        <v>0</v>
      </c>
      <c r="AO435">
        <v>0</v>
      </c>
      <c r="AP435">
        <v>1</v>
      </c>
      <c r="AQ435">
        <v>0.01</v>
      </c>
      <c r="AX435">
        <v>7</v>
      </c>
      <c r="AY435" s="1">
        <v>18</v>
      </c>
      <c r="AZ435">
        <v>0</v>
      </c>
      <c r="BA435">
        <v>0</v>
      </c>
      <c r="BB435">
        <v>1</v>
      </c>
      <c r="BC435" s="7">
        <v>0.32</v>
      </c>
      <c r="BD435">
        <v>30</v>
      </c>
      <c r="BE435">
        <v>0</v>
      </c>
      <c r="BF435">
        <v>0</v>
      </c>
      <c r="BG435">
        <v>0</v>
      </c>
      <c r="BH435">
        <v>5</v>
      </c>
      <c r="BI435">
        <v>2.4</v>
      </c>
      <c r="BJ435">
        <v>31</v>
      </c>
      <c r="BK435">
        <v>0</v>
      </c>
      <c r="BL435">
        <v>0</v>
      </c>
      <c r="BM435">
        <v>0</v>
      </c>
      <c r="BN435">
        <v>5</v>
      </c>
      <c r="BO435">
        <v>2.4</v>
      </c>
      <c r="BP435">
        <v>36</v>
      </c>
      <c r="BQ435">
        <v>0</v>
      </c>
      <c r="BR435">
        <v>0</v>
      </c>
      <c r="BS435">
        <v>0</v>
      </c>
      <c r="BT435">
        <v>5</v>
      </c>
      <c r="BU435">
        <v>2.2999999999999998</v>
      </c>
    </row>
    <row r="436" spans="1:73" x14ac:dyDescent="0.15">
      <c r="A436" s="11">
        <v>10333</v>
      </c>
      <c r="B436">
        <v>7</v>
      </c>
      <c r="C436" s="1">
        <v>47</v>
      </c>
      <c r="D436">
        <v>0</v>
      </c>
      <c r="E436">
        <v>0</v>
      </c>
      <c r="F436">
        <v>1</v>
      </c>
      <c r="G436" s="7">
        <v>0.05</v>
      </c>
      <c r="H436">
        <v>12</v>
      </c>
      <c r="I436">
        <v>0</v>
      </c>
      <c r="J436">
        <v>0</v>
      </c>
      <c r="K436">
        <v>0</v>
      </c>
      <c r="L436">
        <v>1</v>
      </c>
      <c r="M436">
        <v>2</v>
      </c>
      <c r="N436" s="7">
        <v>9</v>
      </c>
      <c r="O436" s="7">
        <v>0</v>
      </c>
      <c r="P436" s="7">
        <v>0</v>
      </c>
      <c r="Q436" s="7">
        <v>0</v>
      </c>
      <c r="R436" s="7">
        <v>1</v>
      </c>
      <c r="S436" s="7">
        <v>4.5</v>
      </c>
      <c r="T436">
        <v>7</v>
      </c>
      <c r="U436" s="1">
        <v>35</v>
      </c>
      <c r="V436">
        <v>0</v>
      </c>
      <c r="W436">
        <v>0</v>
      </c>
      <c r="X436">
        <v>1</v>
      </c>
      <c r="Y436">
        <v>0.16</v>
      </c>
      <c r="Z436">
        <v>23</v>
      </c>
      <c r="AA436">
        <v>0</v>
      </c>
      <c r="AB436">
        <v>0</v>
      </c>
      <c r="AC436">
        <v>0</v>
      </c>
      <c r="AD436">
        <v>1</v>
      </c>
      <c r="AE436">
        <v>0.05</v>
      </c>
      <c r="AF436">
        <v>15</v>
      </c>
      <c r="AG436">
        <v>0</v>
      </c>
      <c r="AH436">
        <v>0</v>
      </c>
      <c r="AI436">
        <v>0</v>
      </c>
      <c r="AJ436">
        <v>1</v>
      </c>
      <c r="AK436">
        <v>0.02</v>
      </c>
      <c r="AL436">
        <v>16</v>
      </c>
      <c r="AM436">
        <v>0</v>
      </c>
      <c r="AN436">
        <v>0</v>
      </c>
      <c r="AO436">
        <v>0</v>
      </c>
      <c r="AP436">
        <v>1</v>
      </c>
      <c r="AQ436">
        <v>0.01</v>
      </c>
      <c r="AX436">
        <v>7</v>
      </c>
      <c r="AY436" s="1">
        <v>19</v>
      </c>
      <c r="AZ436">
        <v>0</v>
      </c>
      <c r="BA436">
        <v>0</v>
      </c>
      <c r="BB436">
        <v>1</v>
      </c>
      <c r="BC436" s="7">
        <v>0.32</v>
      </c>
      <c r="BD436">
        <v>30</v>
      </c>
      <c r="BE436">
        <v>0</v>
      </c>
      <c r="BF436">
        <v>0</v>
      </c>
      <c r="BG436">
        <v>0</v>
      </c>
      <c r="BH436">
        <v>5</v>
      </c>
      <c r="BI436">
        <v>2.4</v>
      </c>
      <c r="BJ436">
        <v>31</v>
      </c>
      <c r="BK436">
        <v>0</v>
      </c>
      <c r="BL436">
        <v>0</v>
      </c>
      <c r="BM436">
        <v>0</v>
      </c>
      <c r="BN436">
        <v>5</v>
      </c>
      <c r="BO436">
        <v>2.4</v>
      </c>
      <c r="BP436">
        <v>36</v>
      </c>
      <c r="BQ436">
        <v>0</v>
      </c>
      <c r="BR436">
        <v>0</v>
      </c>
      <c r="BS436">
        <v>0</v>
      </c>
      <c r="BT436">
        <v>5</v>
      </c>
      <c r="BU436">
        <v>2.2999999999999998</v>
      </c>
    </row>
    <row r="437" spans="1:73" x14ac:dyDescent="0.15">
      <c r="A437" s="11">
        <v>10334</v>
      </c>
      <c r="B437">
        <v>7</v>
      </c>
      <c r="C437" s="1">
        <v>48</v>
      </c>
      <c r="D437">
        <v>0</v>
      </c>
      <c r="E437">
        <v>0</v>
      </c>
      <c r="F437">
        <v>1</v>
      </c>
      <c r="G437" s="7">
        <v>0.05</v>
      </c>
      <c r="H437">
        <v>12</v>
      </c>
      <c r="I437">
        <v>0</v>
      </c>
      <c r="J437">
        <v>0</v>
      </c>
      <c r="K437">
        <v>0</v>
      </c>
      <c r="L437">
        <v>1</v>
      </c>
      <c r="M437">
        <v>2</v>
      </c>
      <c r="N437" s="7">
        <v>9</v>
      </c>
      <c r="O437" s="7">
        <v>0</v>
      </c>
      <c r="P437" s="7">
        <v>0</v>
      </c>
      <c r="Q437" s="7">
        <v>0</v>
      </c>
      <c r="R437" s="7">
        <v>1</v>
      </c>
      <c r="S437" s="7">
        <v>4.5</v>
      </c>
      <c r="T437">
        <v>7</v>
      </c>
      <c r="U437" s="1">
        <v>36</v>
      </c>
      <c r="V437">
        <v>0</v>
      </c>
      <c r="W437">
        <v>0</v>
      </c>
      <c r="X437">
        <v>1</v>
      </c>
      <c r="Y437">
        <v>0.16</v>
      </c>
      <c r="Z437">
        <v>23</v>
      </c>
      <c r="AA437">
        <v>0</v>
      </c>
      <c r="AB437">
        <v>0</v>
      </c>
      <c r="AC437">
        <v>0</v>
      </c>
      <c r="AD437">
        <v>1</v>
      </c>
      <c r="AE437">
        <v>0.05</v>
      </c>
      <c r="AF437">
        <v>15</v>
      </c>
      <c r="AG437">
        <v>0</v>
      </c>
      <c r="AH437">
        <v>0</v>
      </c>
      <c r="AI437">
        <v>0</v>
      </c>
      <c r="AJ437">
        <v>1</v>
      </c>
      <c r="AK437">
        <v>0.02</v>
      </c>
      <c r="AL437">
        <v>16</v>
      </c>
      <c r="AM437">
        <v>0</v>
      </c>
      <c r="AN437">
        <v>0</v>
      </c>
      <c r="AO437">
        <v>0</v>
      </c>
      <c r="AP437">
        <v>1</v>
      </c>
      <c r="AQ437">
        <v>0.01</v>
      </c>
      <c r="AX437">
        <v>7</v>
      </c>
      <c r="AY437" s="1">
        <v>20</v>
      </c>
      <c r="AZ437">
        <v>0</v>
      </c>
      <c r="BA437">
        <v>0</v>
      </c>
      <c r="BB437">
        <v>1</v>
      </c>
      <c r="BC437" s="7">
        <v>0.32</v>
      </c>
      <c r="BD437">
        <v>30</v>
      </c>
      <c r="BE437">
        <v>0</v>
      </c>
      <c r="BF437">
        <v>0</v>
      </c>
      <c r="BG437">
        <v>0</v>
      </c>
      <c r="BH437">
        <v>5</v>
      </c>
      <c r="BI437">
        <v>2.4</v>
      </c>
      <c r="BJ437">
        <v>31</v>
      </c>
      <c r="BK437">
        <v>0</v>
      </c>
      <c r="BL437">
        <v>0</v>
      </c>
      <c r="BM437">
        <v>0</v>
      </c>
      <c r="BN437">
        <v>5</v>
      </c>
      <c r="BO437">
        <v>2.4</v>
      </c>
      <c r="BP437">
        <v>36</v>
      </c>
      <c r="BQ437">
        <v>0</v>
      </c>
      <c r="BR437">
        <v>0</v>
      </c>
      <c r="BS437">
        <v>0</v>
      </c>
      <c r="BT437">
        <v>5</v>
      </c>
      <c r="BU437">
        <v>2.2999999999999998</v>
      </c>
    </row>
    <row r="438" spans="1:73" x14ac:dyDescent="0.15">
      <c r="A438" s="11">
        <v>10335</v>
      </c>
      <c r="B438">
        <v>7</v>
      </c>
      <c r="C438" s="1">
        <v>0</v>
      </c>
      <c r="D438">
        <v>5</v>
      </c>
      <c r="E438">
        <v>1</v>
      </c>
      <c r="F438">
        <v>1</v>
      </c>
      <c r="G438" s="7">
        <v>0.05</v>
      </c>
      <c r="H438">
        <v>12</v>
      </c>
      <c r="I438">
        <v>0</v>
      </c>
      <c r="J438">
        <v>0</v>
      </c>
      <c r="K438">
        <v>0</v>
      </c>
      <c r="L438">
        <v>1</v>
      </c>
      <c r="M438">
        <v>2</v>
      </c>
      <c r="N438" s="7">
        <v>9</v>
      </c>
      <c r="O438" s="7">
        <v>0</v>
      </c>
      <c r="P438" s="7">
        <v>0</v>
      </c>
      <c r="Q438" s="7">
        <v>0</v>
      </c>
      <c r="R438" s="7">
        <v>1</v>
      </c>
      <c r="S438" s="7">
        <v>4.5</v>
      </c>
      <c r="T438">
        <v>7</v>
      </c>
      <c r="U438" s="1">
        <v>0</v>
      </c>
      <c r="V438">
        <v>4</v>
      </c>
      <c r="W438">
        <v>2</v>
      </c>
      <c r="X438">
        <v>1</v>
      </c>
      <c r="Y438">
        <v>0.16</v>
      </c>
      <c r="Z438">
        <v>23</v>
      </c>
      <c r="AA438">
        <v>0</v>
      </c>
      <c r="AB438">
        <v>0</v>
      </c>
      <c r="AC438">
        <v>0</v>
      </c>
      <c r="AD438">
        <v>1</v>
      </c>
      <c r="AE438">
        <v>0.05</v>
      </c>
      <c r="AF438">
        <v>15</v>
      </c>
      <c r="AG438">
        <v>0</v>
      </c>
      <c r="AH438">
        <v>0</v>
      </c>
      <c r="AI438">
        <v>0</v>
      </c>
      <c r="AJ438">
        <v>1</v>
      </c>
      <c r="AK438">
        <v>0.02</v>
      </c>
      <c r="AL438">
        <v>16</v>
      </c>
      <c r="AM438">
        <v>0</v>
      </c>
      <c r="AN438">
        <v>0</v>
      </c>
      <c r="AO438">
        <v>0</v>
      </c>
      <c r="AP438">
        <v>1</v>
      </c>
      <c r="AQ438">
        <v>0.01</v>
      </c>
      <c r="AR438">
        <v>6</v>
      </c>
      <c r="AS438">
        <v>2</v>
      </c>
      <c r="AT438">
        <v>2</v>
      </c>
      <c r="AU438">
        <v>5</v>
      </c>
      <c r="AV438">
        <v>1</v>
      </c>
      <c r="AW438">
        <v>0.05</v>
      </c>
      <c r="AX438">
        <v>7</v>
      </c>
      <c r="AY438" s="1">
        <v>0</v>
      </c>
      <c r="AZ438">
        <v>3</v>
      </c>
      <c r="BA438">
        <v>1</v>
      </c>
      <c r="BB438">
        <v>1</v>
      </c>
      <c r="BC438" s="7">
        <v>0.32</v>
      </c>
      <c r="BD438">
        <v>30</v>
      </c>
      <c r="BE438">
        <v>0</v>
      </c>
      <c r="BF438">
        <v>0</v>
      </c>
      <c r="BG438">
        <v>0</v>
      </c>
      <c r="BH438">
        <v>5</v>
      </c>
      <c r="BI438">
        <v>2.4</v>
      </c>
      <c r="BJ438">
        <v>31</v>
      </c>
      <c r="BK438">
        <v>0</v>
      </c>
      <c r="BL438">
        <v>0</v>
      </c>
      <c r="BM438">
        <v>0</v>
      </c>
      <c r="BN438">
        <v>5</v>
      </c>
      <c r="BO438">
        <v>2.4</v>
      </c>
      <c r="BP438">
        <v>36</v>
      </c>
      <c r="BQ438">
        <v>0</v>
      </c>
      <c r="BR438">
        <v>0</v>
      </c>
      <c r="BS438">
        <v>0</v>
      </c>
      <c r="BT438">
        <v>5</v>
      </c>
      <c r="BU438">
        <v>2.2999999999999998</v>
      </c>
    </row>
    <row r="439" spans="1:73" x14ac:dyDescent="0.15">
      <c r="A439" s="11">
        <v>10336</v>
      </c>
      <c r="B439">
        <v>7</v>
      </c>
      <c r="C439" s="1">
        <v>45</v>
      </c>
      <c r="D439">
        <v>0</v>
      </c>
      <c r="E439">
        <v>0</v>
      </c>
      <c r="F439">
        <v>1</v>
      </c>
      <c r="G439" s="7">
        <v>0.05</v>
      </c>
      <c r="H439">
        <v>12</v>
      </c>
      <c r="I439">
        <v>0</v>
      </c>
      <c r="J439">
        <v>0</v>
      </c>
      <c r="K439">
        <v>0</v>
      </c>
      <c r="L439">
        <v>1</v>
      </c>
      <c r="M439">
        <v>2</v>
      </c>
      <c r="N439" s="7">
        <v>9</v>
      </c>
      <c r="O439" s="7">
        <v>0</v>
      </c>
      <c r="P439" s="7">
        <v>0</v>
      </c>
      <c r="Q439" s="7">
        <v>0</v>
      </c>
      <c r="R439" s="7">
        <v>1</v>
      </c>
      <c r="S439" s="7">
        <v>4.5</v>
      </c>
      <c r="T439">
        <v>7</v>
      </c>
      <c r="U439" s="1">
        <v>33</v>
      </c>
      <c r="V439">
        <v>0</v>
      </c>
      <c r="W439">
        <v>0</v>
      </c>
      <c r="X439">
        <v>1</v>
      </c>
      <c r="Y439">
        <v>0.16</v>
      </c>
      <c r="Z439">
        <v>23</v>
      </c>
      <c r="AA439">
        <v>0</v>
      </c>
      <c r="AB439">
        <v>0</v>
      </c>
      <c r="AC439">
        <v>0</v>
      </c>
      <c r="AD439">
        <v>1</v>
      </c>
      <c r="AE439">
        <v>0.05</v>
      </c>
      <c r="AF439">
        <v>15</v>
      </c>
      <c r="AG439">
        <v>0</v>
      </c>
      <c r="AH439">
        <v>0</v>
      </c>
      <c r="AI439">
        <v>0</v>
      </c>
      <c r="AJ439">
        <v>1</v>
      </c>
      <c r="AK439">
        <v>0.02</v>
      </c>
      <c r="AL439">
        <v>16</v>
      </c>
      <c r="AM439">
        <v>0</v>
      </c>
      <c r="AN439">
        <v>0</v>
      </c>
      <c r="AO439">
        <v>0</v>
      </c>
      <c r="AP439">
        <v>1</v>
      </c>
      <c r="AQ439">
        <v>0.01</v>
      </c>
      <c r="AX439">
        <v>7</v>
      </c>
      <c r="AY439" s="1">
        <v>17</v>
      </c>
      <c r="AZ439">
        <v>0</v>
      </c>
      <c r="BA439">
        <v>0</v>
      </c>
      <c r="BB439">
        <v>1</v>
      </c>
      <c r="BC439" s="7">
        <v>0.32</v>
      </c>
      <c r="BD439">
        <v>30</v>
      </c>
      <c r="BE439">
        <v>0</v>
      </c>
      <c r="BF439">
        <v>0</v>
      </c>
      <c r="BG439">
        <v>0</v>
      </c>
      <c r="BH439">
        <v>5</v>
      </c>
      <c r="BI439">
        <v>2.4</v>
      </c>
      <c r="BJ439">
        <v>31</v>
      </c>
      <c r="BK439">
        <v>0</v>
      </c>
      <c r="BL439">
        <v>0</v>
      </c>
      <c r="BM439">
        <v>0</v>
      </c>
      <c r="BN439">
        <v>5</v>
      </c>
      <c r="BO439">
        <v>2.4</v>
      </c>
      <c r="BP439">
        <v>36</v>
      </c>
      <c r="BQ439">
        <v>0</v>
      </c>
      <c r="BR439">
        <v>0</v>
      </c>
      <c r="BS439">
        <v>0</v>
      </c>
      <c r="BT439">
        <v>5</v>
      </c>
      <c r="BU439">
        <v>2.2999999999999998</v>
      </c>
    </row>
    <row r="440" spans="1:73" x14ac:dyDescent="0.15">
      <c r="A440" s="11">
        <v>10337</v>
      </c>
      <c r="B440">
        <v>7</v>
      </c>
      <c r="C440" s="1">
        <v>46</v>
      </c>
      <c r="D440">
        <v>0</v>
      </c>
      <c r="E440">
        <v>0</v>
      </c>
      <c r="F440">
        <v>1</v>
      </c>
      <c r="G440" s="7">
        <v>0.05</v>
      </c>
      <c r="H440">
        <v>12</v>
      </c>
      <c r="I440">
        <v>0</v>
      </c>
      <c r="J440">
        <v>0</v>
      </c>
      <c r="K440">
        <v>0</v>
      </c>
      <c r="L440">
        <v>1</v>
      </c>
      <c r="M440">
        <v>2</v>
      </c>
      <c r="N440" s="7">
        <v>9</v>
      </c>
      <c r="O440" s="7">
        <v>0</v>
      </c>
      <c r="P440" s="7">
        <v>0</v>
      </c>
      <c r="Q440" s="7">
        <v>0</v>
      </c>
      <c r="R440" s="7">
        <v>1</v>
      </c>
      <c r="S440" s="7">
        <v>4.5</v>
      </c>
      <c r="T440">
        <v>7</v>
      </c>
      <c r="U440" s="1">
        <v>34</v>
      </c>
      <c r="V440">
        <v>0</v>
      </c>
      <c r="W440">
        <v>0</v>
      </c>
      <c r="X440">
        <v>1</v>
      </c>
      <c r="Y440">
        <v>0.16</v>
      </c>
      <c r="Z440">
        <v>23</v>
      </c>
      <c r="AA440">
        <v>0</v>
      </c>
      <c r="AB440">
        <v>0</v>
      </c>
      <c r="AC440">
        <v>0</v>
      </c>
      <c r="AD440">
        <v>1</v>
      </c>
      <c r="AE440">
        <v>0.05</v>
      </c>
      <c r="AF440">
        <v>15</v>
      </c>
      <c r="AG440">
        <v>0</v>
      </c>
      <c r="AH440">
        <v>0</v>
      </c>
      <c r="AI440">
        <v>0</v>
      </c>
      <c r="AJ440">
        <v>1</v>
      </c>
      <c r="AK440">
        <v>0.02</v>
      </c>
      <c r="AL440">
        <v>16</v>
      </c>
      <c r="AM440">
        <v>0</v>
      </c>
      <c r="AN440">
        <v>0</v>
      </c>
      <c r="AO440">
        <v>0</v>
      </c>
      <c r="AP440">
        <v>1</v>
      </c>
      <c r="AQ440">
        <v>0.01</v>
      </c>
      <c r="AX440">
        <v>7</v>
      </c>
      <c r="AY440" s="1">
        <v>18</v>
      </c>
      <c r="AZ440">
        <v>0</v>
      </c>
      <c r="BA440">
        <v>0</v>
      </c>
      <c r="BB440">
        <v>1</v>
      </c>
      <c r="BC440" s="7">
        <v>0.32</v>
      </c>
      <c r="BD440">
        <v>30</v>
      </c>
      <c r="BE440">
        <v>0</v>
      </c>
      <c r="BF440">
        <v>0</v>
      </c>
      <c r="BG440">
        <v>0</v>
      </c>
      <c r="BH440">
        <v>5</v>
      </c>
      <c r="BI440">
        <v>2.4</v>
      </c>
      <c r="BJ440">
        <v>31</v>
      </c>
      <c r="BK440">
        <v>0</v>
      </c>
      <c r="BL440">
        <v>0</v>
      </c>
      <c r="BM440">
        <v>0</v>
      </c>
      <c r="BN440">
        <v>5</v>
      </c>
      <c r="BO440">
        <v>2.4</v>
      </c>
      <c r="BP440">
        <v>36</v>
      </c>
      <c r="BQ440">
        <v>0</v>
      </c>
      <c r="BR440">
        <v>0</v>
      </c>
      <c r="BS440">
        <v>0</v>
      </c>
      <c r="BT440">
        <v>5</v>
      </c>
      <c r="BU440">
        <v>2.2999999999999998</v>
      </c>
    </row>
    <row r="441" spans="1:73" x14ac:dyDescent="0.15">
      <c r="A441" s="11">
        <v>10338</v>
      </c>
      <c r="B441">
        <v>7</v>
      </c>
      <c r="C441" s="1">
        <v>47</v>
      </c>
      <c r="D441">
        <v>0</v>
      </c>
      <c r="E441">
        <v>0</v>
      </c>
      <c r="F441">
        <v>1</v>
      </c>
      <c r="G441" s="7">
        <v>0.05</v>
      </c>
      <c r="H441">
        <v>12</v>
      </c>
      <c r="I441">
        <v>0</v>
      </c>
      <c r="J441">
        <v>0</v>
      </c>
      <c r="K441">
        <v>0</v>
      </c>
      <c r="L441">
        <v>1</v>
      </c>
      <c r="M441">
        <v>2</v>
      </c>
      <c r="N441" s="7">
        <v>9</v>
      </c>
      <c r="O441" s="7">
        <v>0</v>
      </c>
      <c r="P441" s="7">
        <v>0</v>
      </c>
      <c r="Q441" s="7">
        <v>0</v>
      </c>
      <c r="R441" s="7">
        <v>1</v>
      </c>
      <c r="S441" s="7">
        <v>4.5</v>
      </c>
      <c r="T441">
        <v>7</v>
      </c>
      <c r="U441" s="1">
        <v>35</v>
      </c>
      <c r="V441">
        <v>0</v>
      </c>
      <c r="W441">
        <v>0</v>
      </c>
      <c r="X441">
        <v>1</v>
      </c>
      <c r="Y441">
        <v>0.16</v>
      </c>
      <c r="Z441">
        <v>23</v>
      </c>
      <c r="AA441">
        <v>0</v>
      </c>
      <c r="AB441">
        <v>0</v>
      </c>
      <c r="AC441">
        <v>0</v>
      </c>
      <c r="AD441">
        <v>1</v>
      </c>
      <c r="AE441">
        <v>0.05</v>
      </c>
      <c r="AF441">
        <v>15</v>
      </c>
      <c r="AG441">
        <v>0</v>
      </c>
      <c r="AH441">
        <v>0</v>
      </c>
      <c r="AI441">
        <v>0</v>
      </c>
      <c r="AJ441">
        <v>1</v>
      </c>
      <c r="AK441">
        <v>0.02</v>
      </c>
      <c r="AL441">
        <v>16</v>
      </c>
      <c r="AM441">
        <v>0</v>
      </c>
      <c r="AN441">
        <v>0</v>
      </c>
      <c r="AO441">
        <v>0</v>
      </c>
      <c r="AP441">
        <v>1</v>
      </c>
      <c r="AQ441">
        <v>0.01</v>
      </c>
      <c r="AX441">
        <v>7</v>
      </c>
      <c r="AY441" s="1">
        <v>19</v>
      </c>
      <c r="AZ441">
        <v>0</v>
      </c>
      <c r="BA441">
        <v>0</v>
      </c>
      <c r="BB441">
        <v>1</v>
      </c>
      <c r="BC441" s="7">
        <v>0.32</v>
      </c>
      <c r="BD441">
        <v>30</v>
      </c>
      <c r="BE441">
        <v>0</v>
      </c>
      <c r="BF441">
        <v>0</v>
      </c>
      <c r="BG441">
        <v>0</v>
      </c>
      <c r="BH441">
        <v>5</v>
      </c>
      <c r="BI441">
        <v>2.4</v>
      </c>
      <c r="BJ441">
        <v>31</v>
      </c>
      <c r="BK441">
        <v>0</v>
      </c>
      <c r="BL441">
        <v>0</v>
      </c>
      <c r="BM441">
        <v>0</v>
      </c>
      <c r="BN441">
        <v>5</v>
      </c>
      <c r="BO441">
        <v>2.4</v>
      </c>
      <c r="BP441">
        <v>36</v>
      </c>
      <c r="BQ441">
        <v>0</v>
      </c>
      <c r="BR441">
        <v>0</v>
      </c>
      <c r="BS441">
        <v>0</v>
      </c>
      <c r="BT441">
        <v>5</v>
      </c>
      <c r="BU441">
        <v>2.2999999999999998</v>
      </c>
    </row>
    <row r="442" spans="1:73" x14ac:dyDescent="0.15">
      <c r="A442" s="11">
        <v>10339</v>
      </c>
      <c r="B442">
        <v>7</v>
      </c>
      <c r="C442" s="1">
        <v>48</v>
      </c>
      <c r="D442">
        <v>0</v>
      </c>
      <c r="E442">
        <v>0</v>
      </c>
      <c r="F442">
        <v>1</v>
      </c>
      <c r="G442" s="7">
        <v>0.05</v>
      </c>
      <c r="H442">
        <v>12</v>
      </c>
      <c r="I442">
        <v>0</v>
      </c>
      <c r="J442">
        <v>0</v>
      </c>
      <c r="K442">
        <v>0</v>
      </c>
      <c r="L442">
        <v>1</v>
      </c>
      <c r="M442">
        <v>2</v>
      </c>
      <c r="N442" s="7">
        <v>9</v>
      </c>
      <c r="O442" s="7">
        <v>0</v>
      </c>
      <c r="P442" s="7">
        <v>0</v>
      </c>
      <c r="Q442" s="7">
        <v>0</v>
      </c>
      <c r="R442" s="7">
        <v>1</v>
      </c>
      <c r="S442" s="7">
        <v>4.5</v>
      </c>
      <c r="T442">
        <v>7</v>
      </c>
      <c r="U442" s="1">
        <v>36</v>
      </c>
      <c r="V442">
        <v>0</v>
      </c>
      <c r="W442">
        <v>0</v>
      </c>
      <c r="X442">
        <v>1</v>
      </c>
      <c r="Y442">
        <v>0.16</v>
      </c>
      <c r="Z442">
        <v>23</v>
      </c>
      <c r="AA442">
        <v>0</v>
      </c>
      <c r="AB442">
        <v>0</v>
      </c>
      <c r="AC442">
        <v>0</v>
      </c>
      <c r="AD442">
        <v>1</v>
      </c>
      <c r="AE442">
        <v>0.05</v>
      </c>
      <c r="AF442">
        <v>15</v>
      </c>
      <c r="AG442">
        <v>0</v>
      </c>
      <c r="AH442">
        <v>0</v>
      </c>
      <c r="AI442">
        <v>0</v>
      </c>
      <c r="AJ442">
        <v>1</v>
      </c>
      <c r="AK442">
        <v>0.02</v>
      </c>
      <c r="AL442">
        <v>16</v>
      </c>
      <c r="AM442">
        <v>0</v>
      </c>
      <c r="AN442">
        <v>0</v>
      </c>
      <c r="AO442">
        <v>0</v>
      </c>
      <c r="AP442">
        <v>1</v>
      </c>
      <c r="AQ442">
        <v>0.01</v>
      </c>
      <c r="AX442">
        <v>7</v>
      </c>
      <c r="AY442" s="1">
        <v>20</v>
      </c>
      <c r="AZ442">
        <v>0</v>
      </c>
      <c r="BA442">
        <v>0</v>
      </c>
      <c r="BB442">
        <v>1</v>
      </c>
      <c r="BC442" s="7">
        <v>0.32</v>
      </c>
      <c r="BD442">
        <v>30</v>
      </c>
      <c r="BE442">
        <v>0</v>
      </c>
      <c r="BF442">
        <v>0</v>
      </c>
      <c r="BG442">
        <v>0</v>
      </c>
      <c r="BH442">
        <v>5</v>
      </c>
      <c r="BI442">
        <v>2.4</v>
      </c>
      <c r="BJ442">
        <v>31</v>
      </c>
      <c r="BK442">
        <v>0</v>
      </c>
      <c r="BL442">
        <v>0</v>
      </c>
      <c r="BM442">
        <v>0</v>
      </c>
      <c r="BN442">
        <v>5</v>
      </c>
      <c r="BO442">
        <v>2.4</v>
      </c>
      <c r="BP442">
        <v>36</v>
      </c>
      <c r="BQ442">
        <v>0</v>
      </c>
      <c r="BR442">
        <v>0</v>
      </c>
      <c r="BS442">
        <v>0</v>
      </c>
      <c r="BT442">
        <v>5</v>
      </c>
      <c r="BU442">
        <v>2.2999999999999998</v>
      </c>
    </row>
    <row r="443" spans="1:73" x14ac:dyDescent="0.15">
      <c r="A443" s="11">
        <v>10340</v>
      </c>
      <c r="B443">
        <v>7</v>
      </c>
      <c r="C443" s="1">
        <v>0</v>
      </c>
      <c r="D443">
        <v>5</v>
      </c>
      <c r="E443">
        <v>1</v>
      </c>
      <c r="F443">
        <v>1</v>
      </c>
      <c r="G443" s="7">
        <v>0.05</v>
      </c>
      <c r="H443">
        <v>12</v>
      </c>
      <c r="I443">
        <v>0</v>
      </c>
      <c r="J443">
        <v>0</v>
      </c>
      <c r="K443">
        <v>0</v>
      </c>
      <c r="L443">
        <v>1</v>
      </c>
      <c r="M443">
        <v>2</v>
      </c>
      <c r="N443" s="7">
        <v>9</v>
      </c>
      <c r="O443" s="7">
        <v>0</v>
      </c>
      <c r="P443" s="7">
        <v>0</v>
      </c>
      <c r="Q443" s="7">
        <v>0</v>
      </c>
      <c r="R443" s="7">
        <v>1</v>
      </c>
      <c r="S443" s="7">
        <v>4.5</v>
      </c>
      <c r="T443">
        <v>7</v>
      </c>
      <c r="U443" s="1">
        <v>0</v>
      </c>
      <c r="V443">
        <v>4</v>
      </c>
      <c r="W443">
        <v>2</v>
      </c>
      <c r="X443">
        <v>1</v>
      </c>
      <c r="Y443">
        <v>0.16</v>
      </c>
      <c r="Z443">
        <v>23</v>
      </c>
      <c r="AA443">
        <v>0</v>
      </c>
      <c r="AB443">
        <v>0</v>
      </c>
      <c r="AC443">
        <v>0</v>
      </c>
      <c r="AD443">
        <v>1</v>
      </c>
      <c r="AE443">
        <v>0.05</v>
      </c>
      <c r="AF443">
        <v>15</v>
      </c>
      <c r="AG443">
        <v>0</v>
      </c>
      <c r="AH443">
        <v>0</v>
      </c>
      <c r="AI443">
        <v>0</v>
      </c>
      <c r="AJ443">
        <v>1</v>
      </c>
      <c r="AK443">
        <v>0.02</v>
      </c>
      <c r="AL443">
        <v>16</v>
      </c>
      <c r="AM443">
        <v>0</v>
      </c>
      <c r="AN443">
        <v>0</v>
      </c>
      <c r="AO443">
        <v>0</v>
      </c>
      <c r="AP443">
        <v>1</v>
      </c>
      <c r="AQ443">
        <v>0.01</v>
      </c>
      <c r="AR443">
        <v>6</v>
      </c>
      <c r="AS443">
        <v>2</v>
      </c>
      <c r="AT443">
        <v>3</v>
      </c>
      <c r="AU443">
        <v>5</v>
      </c>
      <c r="AV443">
        <v>1</v>
      </c>
      <c r="AW443">
        <v>0.05</v>
      </c>
      <c r="AX443">
        <v>7</v>
      </c>
      <c r="AY443" s="1">
        <v>0</v>
      </c>
      <c r="AZ443">
        <v>3</v>
      </c>
      <c r="BA443">
        <v>1</v>
      </c>
      <c r="BB443">
        <v>1</v>
      </c>
      <c r="BC443" s="7">
        <v>0.32</v>
      </c>
      <c r="BD443">
        <v>30</v>
      </c>
      <c r="BE443">
        <v>0</v>
      </c>
      <c r="BF443">
        <v>0</v>
      </c>
      <c r="BG443">
        <v>0</v>
      </c>
      <c r="BH443">
        <v>5</v>
      </c>
      <c r="BI443">
        <v>2.4</v>
      </c>
      <c r="BJ443">
        <v>31</v>
      </c>
      <c r="BK443">
        <v>0</v>
      </c>
      <c r="BL443">
        <v>0</v>
      </c>
      <c r="BM443">
        <v>0</v>
      </c>
      <c r="BN443">
        <v>5</v>
      </c>
      <c r="BO443">
        <v>2.4</v>
      </c>
      <c r="BP443">
        <v>36</v>
      </c>
      <c r="BQ443">
        <v>0</v>
      </c>
      <c r="BR443">
        <v>0</v>
      </c>
      <c r="BS443">
        <v>0</v>
      </c>
      <c r="BT443">
        <v>5</v>
      </c>
      <c r="BU443">
        <v>2.2999999999999998</v>
      </c>
    </row>
    <row r="444" spans="1:73" x14ac:dyDescent="0.15">
      <c r="A444" s="11">
        <v>10341</v>
      </c>
      <c r="B444">
        <v>7</v>
      </c>
      <c r="C444" s="1">
        <v>45</v>
      </c>
      <c r="D444">
        <v>0</v>
      </c>
      <c r="E444">
        <v>0</v>
      </c>
      <c r="F444">
        <v>1</v>
      </c>
      <c r="G444" s="7">
        <v>0.05</v>
      </c>
      <c r="H444">
        <v>12</v>
      </c>
      <c r="I444">
        <v>0</v>
      </c>
      <c r="J444">
        <v>0</v>
      </c>
      <c r="K444">
        <v>0</v>
      </c>
      <c r="L444">
        <v>1</v>
      </c>
      <c r="M444">
        <v>2</v>
      </c>
      <c r="N444" s="7">
        <v>9</v>
      </c>
      <c r="O444" s="7">
        <v>0</v>
      </c>
      <c r="P444" s="7">
        <v>0</v>
      </c>
      <c r="Q444" s="7">
        <v>0</v>
      </c>
      <c r="R444" s="7">
        <v>1</v>
      </c>
      <c r="S444" s="7">
        <v>4.5</v>
      </c>
      <c r="T444">
        <v>7</v>
      </c>
      <c r="U444" s="1">
        <v>33</v>
      </c>
      <c r="V444">
        <v>0</v>
      </c>
      <c r="W444">
        <v>0</v>
      </c>
      <c r="X444">
        <v>1</v>
      </c>
      <c r="Y444">
        <v>0.16</v>
      </c>
      <c r="Z444">
        <v>23</v>
      </c>
      <c r="AA444">
        <v>0</v>
      </c>
      <c r="AB444">
        <v>0</v>
      </c>
      <c r="AC444">
        <v>0</v>
      </c>
      <c r="AD444">
        <v>1</v>
      </c>
      <c r="AE444">
        <v>0.05</v>
      </c>
      <c r="AF444">
        <v>15</v>
      </c>
      <c r="AG444">
        <v>0</v>
      </c>
      <c r="AH444">
        <v>0</v>
      </c>
      <c r="AI444">
        <v>0</v>
      </c>
      <c r="AJ444">
        <v>1</v>
      </c>
      <c r="AK444">
        <v>0.02</v>
      </c>
      <c r="AL444">
        <v>16</v>
      </c>
      <c r="AM444">
        <v>0</v>
      </c>
      <c r="AN444">
        <v>0</v>
      </c>
      <c r="AO444">
        <v>0</v>
      </c>
      <c r="AP444">
        <v>1</v>
      </c>
      <c r="AQ444">
        <v>0.01</v>
      </c>
      <c r="AX444">
        <v>7</v>
      </c>
      <c r="AY444" s="1">
        <v>17</v>
      </c>
      <c r="AZ444">
        <v>0</v>
      </c>
      <c r="BA444">
        <v>0</v>
      </c>
      <c r="BB444">
        <v>1</v>
      </c>
      <c r="BC444" s="7">
        <v>0.32</v>
      </c>
      <c r="BD444">
        <v>30</v>
      </c>
      <c r="BE444">
        <v>0</v>
      </c>
      <c r="BF444">
        <v>0</v>
      </c>
      <c r="BG444">
        <v>0</v>
      </c>
      <c r="BH444">
        <v>5</v>
      </c>
      <c r="BI444">
        <v>2.4</v>
      </c>
      <c r="BJ444">
        <v>31</v>
      </c>
      <c r="BK444">
        <v>0</v>
      </c>
      <c r="BL444">
        <v>0</v>
      </c>
      <c r="BM444">
        <v>0</v>
      </c>
      <c r="BN444">
        <v>5</v>
      </c>
      <c r="BO444">
        <v>2.4</v>
      </c>
      <c r="BP444">
        <v>36</v>
      </c>
      <c r="BQ444">
        <v>0</v>
      </c>
      <c r="BR444">
        <v>0</v>
      </c>
      <c r="BS444">
        <v>0</v>
      </c>
      <c r="BT444">
        <v>5</v>
      </c>
      <c r="BU444">
        <v>2.2999999999999998</v>
      </c>
    </row>
    <row r="445" spans="1:73" x14ac:dyDescent="0.15">
      <c r="A445" s="11">
        <v>10342</v>
      </c>
      <c r="B445">
        <v>7</v>
      </c>
      <c r="C445" s="1">
        <v>46</v>
      </c>
      <c r="D445">
        <v>0</v>
      </c>
      <c r="E445">
        <v>0</v>
      </c>
      <c r="F445">
        <v>1</v>
      </c>
      <c r="G445" s="7">
        <v>0.05</v>
      </c>
      <c r="H445">
        <v>12</v>
      </c>
      <c r="I445">
        <v>0</v>
      </c>
      <c r="J445">
        <v>0</v>
      </c>
      <c r="K445">
        <v>0</v>
      </c>
      <c r="L445">
        <v>1</v>
      </c>
      <c r="M445">
        <v>2</v>
      </c>
      <c r="N445" s="7">
        <v>9</v>
      </c>
      <c r="O445" s="7">
        <v>0</v>
      </c>
      <c r="P445" s="7">
        <v>0</v>
      </c>
      <c r="Q445" s="7">
        <v>0</v>
      </c>
      <c r="R445" s="7">
        <v>1</v>
      </c>
      <c r="S445" s="7">
        <v>4.5</v>
      </c>
      <c r="T445">
        <v>7</v>
      </c>
      <c r="U445" s="1">
        <v>34</v>
      </c>
      <c r="V445">
        <v>0</v>
      </c>
      <c r="W445">
        <v>0</v>
      </c>
      <c r="X445">
        <v>1</v>
      </c>
      <c r="Y445">
        <v>0.16</v>
      </c>
      <c r="Z445">
        <v>23</v>
      </c>
      <c r="AA445">
        <v>0</v>
      </c>
      <c r="AB445">
        <v>0</v>
      </c>
      <c r="AC445">
        <v>0</v>
      </c>
      <c r="AD445">
        <v>1</v>
      </c>
      <c r="AE445">
        <v>0.05</v>
      </c>
      <c r="AF445">
        <v>15</v>
      </c>
      <c r="AG445">
        <v>0</v>
      </c>
      <c r="AH445">
        <v>0</v>
      </c>
      <c r="AI445">
        <v>0</v>
      </c>
      <c r="AJ445">
        <v>1</v>
      </c>
      <c r="AK445">
        <v>0.02</v>
      </c>
      <c r="AL445">
        <v>16</v>
      </c>
      <c r="AM445">
        <v>0</v>
      </c>
      <c r="AN445">
        <v>0</v>
      </c>
      <c r="AO445">
        <v>0</v>
      </c>
      <c r="AP445">
        <v>1</v>
      </c>
      <c r="AQ445">
        <v>0.01</v>
      </c>
      <c r="AX445">
        <v>7</v>
      </c>
      <c r="AY445" s="1">
        <v>18</v>
      </c>
      <c r="AZ445">
        <v>0</v>
      </c>
      <c r="BA445">
        <v>0</v>
      </c>
      <c r="BB445">
        <v>1</v>
      </c>
      <c r="BC445" s="7">
        <v>0.32</v>
      </c>
      <c r="BD445">
        <v>30</v>
      </c>
      <c r="BE445">
        <v>0</v>
      </c>
      <c r="BF445">
        <v>0</v>
      </c>
      <c r="BG445">
        <v>0</v>
      </c>
      <c r="BH445">
        <v>5</v>
      </c>
      <c r="BI445">
        <v>2.4</v>
      </c>
      <c r="BJ445">
        <v>31</v>
      </c>
      <c r="BK445">
        <v>0</v>
      </c>
      <c r="BL445">
        <v>0</v>
      </c>
      <c r="BM445">
        <v>0</v>
      </c>
      <c r="BN445">
        <v>5</v>
      </c>
      <c r="BO445">
        <v>2.4</v>
      </c>
      <c r="BP445">
        <v>36</v>
      </c>
      <c r="BQ445">
        <v>0</v>
      </c>
      <c r="BR445">
        <v>0</v>
      </c>
      <c r="BS445">
        <v>0</v>
      </c>
      <c r="BT445">
        <v>5</v>
      </c>
      <c r="BU445">
        <v>2.2999999999999998</v>
      </c>
    </row>
    <row r="446" spans="1:73" x14ac:dyDescent="0.15">
      <c r="A446" s="11">
        <v>10343</v>
      </c>
      <c r="B446">
        <v>7</v>
      </c>
      <c r="C446" s="1">
        <v>47</v>
      </c>
      <c r="D446">
        <v>0</v>
      </c>
      <c r="E446">
        <v>0</v>
      </c>
      <c r="F446">
        <v>1</v>
      </c>
      <c r="G446" s="7">
        <v>0.05</v>
      </c>
      <c r="H446">
        <v>12</v>
      </c>
      <c r="I446">
        <v>0</v>
      </c>
      <c r="J446">
        <v>0</v>
      </c>
      <c r="K446">
        <v>0</v>
      </c>
      <c r="L446">
        <v>1</v>
      </c>
      <c r="M446">
        <v>2</v>
      </c>
      <c r="N446" s="7">
        <v>9</v>
      </c>
      <c r="O446" s="7">
        <v>0</v>
      </c>
      <c r="P446" s="7">
        <v>0</v>
      </c>
      <c r="Q446" s="7">
        <v>0</v>
      </c>
      <c r="R446" s="7">
        <v>1</v>
      </c>
      <c r="S446" s="7">
        <v>4.5</v>
      </c>
      <c r="T446">
        <v>7</v>
      </c>
      <c r="U446" s="1">
        <v>35</v>
      </c>
      <c r="V446">
        <v>0</v>
      </c>
      <c r="W446">
        <v>0</v>
      </c>
      <c r="X446">
        <v>1</v>
      </c>
      <c r="Y446">
        <v>0.16</v>
      </c>
      <c r="Z446">
        <v>23</v>
      </c>
      <c r="AA446">
        <v>0</v>
      </c>
      <c r="AB446">
        <v>0</v>
      </c>
      <c r="AC446">
        <v>0</v>
      </c>
      <c r="AD446">
        <v>1</v>
      </c>
      <c r="AE446">
        <v>0.05</v>
      </c>
      <c r="AF446">
        <v>15</v>
      </c>
      <c r="AG446">
        <v>0</v>
      </c>
      <c r="AH446">
        <v>0</v>
      </c>
      <c r="AI446">
        <v>0</v>
      </c>
      <c r="AJ446">
        <v>1</v>
      </c>
      <c r="AK446">
        <v>0.02</v>
      </c>
      <c r="AL446">
        <v>16</v>
      </c>
      <c r="AM446">
        <v>0</v>
      </c>
      <c r="AN446">
        <v>0</v>
      </c>
      <c r="AO446">
        <v>0</v>
      </c>
      <c r="AP446">
        <v>1</v>
      </c>
      <c r="AQ446">
        <v>0.01</v>
      </c>
      <c r="AX446">
        <v>7</v>
      </c>
      <c r="AY446" s="1">
        <v>19</v>
      </c>
      <c r="AZ446">
        <v>0</v>
      </c>
      <c r="BA446">
        <v>0</v>
      </c>
      <c r="BB446">
        <v>1</v>
      </c>
      <c r="BC446" s="7">
        <v>0.32</v>
      </c>
      <c r="BD446">
        <v>30</v>
      </c>
      <c r="BE446">
        <v>0</v>
      </c>
      <c r="BF446">
        <v>0</v>
      </c>
      <c r="BG446">
        <v>0</v>
      </c>
      <c r="BH446">
        <v>5</v>
      </c>
      <c r="BI446">
        <v>2.4</v>
      </c>
      <c r="BJ446">
        <v>31</v>
      </c>
      <c r="BK446">
        <v>0</v>
      </c>
      <c r="BL446">
        <v>0</v>
      </c>
      <c r="BM446">
        <v>0</v>
      </c>
      <c r="BN446">
        <v>5</v>
      </c>
      <c r="BO446">
        <v>2.4</v>
      </c>
      <c r="BP446">
        <v>36</v>
      </c>
      <c r="BQ446">
        <v>0</v>
      </c>
      <c r="BR446">
        <v>0</v>
      </c>
      <c r="BS446">
        <v>0</v>
      </c>
      <c r="BT446">
        <v>5</v>
      </c>
      <c r="BU446">
        <v>2.2999999999999998</v>
      </c>
    </row>
    <row r="447" spans="1:73" x14ac:dyDescent="0.15">
      <c r="A447" s="11">
        <v>10344</v>
      </c>
      <c r="B447">
        <v>7</v>
      </c>
      <c r="C447" s="1">
        <v>48</v>
      </c>
      <c r="D447">
        <v>0</v>
      </c>
      <c r="E447">
        <v>0</v>
      </c>
      <c r="F447">
        <v>1</v>
      </c>
      <c r="G447" s="7">
        <v>0.05</v>
      </c>
      <c r="H447">
        <v>12</v>
      </c>
      <c r="I447">
        <v>0</v>
      </c>
      <c r="J447">
        <v>0</v>
      </c>
      <c r="K447">
        <v>0</v>
      </c>
      <c r="L447">
        <v>1</v>
      </c>
      <c r="M447">
        <v>2</v>
      </c>
      <c r="N447" s="7">
        <v>9</v>
      </c>
      <c r="O447" s="7">
        <v>0</v>
      </c>
      <c r="P447" s="7">
        <v>0</v>
      </c>
      <c r="Q447" s="7">
        <v>0</v>
      </c>
      <c r="R447" s="7">
        <v>1</v>
      </c>
      <c r="S447" s="7">
        <v>4.5</v>
      </c>
      <c r="T447">
        <v>7</v>
      </c>
      <c r="U447" s="1">
        <v>36</v>
      </c>
      <c r="V447">
        <v>0</v>
      </c>
      <c r="W447">
        <v>0</v>
      </c>
      <c r="X447">
        <v>1</v>
      </c>
      <c r="Y447">
        <v>0.16</v>
      </c>
      <c r="Z447">
        <v>23</v>
      </c>
      <c r="AA447">
        <v>0</v>
      </c>
      <c r="AB447">
        <v>0</v>
      </c>
      <c r="AC447">
        <v>0</v>
      </c>
      <c r="AD447">
        <v>1</v>
      </c>
      <c r="AE447">
        <v>0.05</v>
      </c>
      <c r="AF447">
        <v>15</v>
      </c>
      <c r="AG447">
        <v>0</v>
      </c>
      <c r="AH447">
        <v>0</v>
      </c>
      <c r="AI447">
        <v>0</v>
      </c>
      <c r="AJ447">
        <v>1</v>
      </c>
      <c r="AK447">
        <v>0.02</v>
      </c>
      <c r="AL447">
        <v>16</v>
      </c>
      <c r="AM447">
        <v>0</v>
      </c>
      <c r="AN447">
        <v>0</v>
      </c>
      <c r="AO447">
        <v>0</v>
      </c>
      <c r="AP447">
        <v>1</v>
      </c>
      <c r="AQ447">
        <v>0.01</v>
      </c>
      <c r="AX447">
        <v>7</v>
      </c>
      <c r="AY447" s="1">
        <v>20</v>
      </c>
      <c r="AZ447">
        <v>0</v>
      </c>
      <c r="BA447">
        <v>0</v>
      </c>
      <c r="BB447">
        <v>1</v>
      </c>
      <c r="BC447" s="7">
        <v>0.32</v>
      </c>
      <c r="BD447">
        <v>30</v>
      </c>
      <c r="BE447">
        <v>0</v>
      </c>
      <c r="BF447">
        <v>0</v>
      </c>
      <c r="BG447">
        <v>0</v>
      </c>
      <c r="BH447">
        <v>5</v>
      </c>
      <c r="BI447">
        <v>2.4</v>
      </c>
      <c r="BJ447">
        <v>31</v>
      </c>
      <c r="BK447">
        <v>0</v>
      </c>
      <c r="BL447">
        <v>0</v>
      </c>
      <c r="BM447">
        <v>0</v>
      </c>
      <c r="BN447">
        <v>5</v>
      </c>
      <c r="BO447">
        <v>2.4</v>
      </c>
      <c r="BP447">
        <v>36</v>
      </c>
      <c r="BQ447">
        <v>0</v>
      </c>
      <c r="BR447">
        <v>0</v>
      </c>
      <c r="BS447">
        <v>0</v>
      </c>
      <c r="BT447">
        <v>5</v>
      </c>
      <c r="BU447">
        <v>2.2999999999999998</v>
      </c>
    </row>
    <row r="448" spans="1:73" x14ac:dyDescent="0.15">
      <c r="A448" s="11">
        <v>10345</v>
      </c>
      <c r="B448">
        <v>7</v>
      </c>
      <c r="C448" s="1">
        <v>0</v>
      </c>
      <c r="D448">
        <v>5</v>
      </c>
      <c r="E448">
        <v>1</v>
      </c>
      <c r="F448">
        <v>1</v>
      </c>
      <c r="G448" s="7">
        <v>0.05</v>
      </c>
      <c r="H448">
        <v>12</v>
      </c>
      <c r="I448">
        <v>0</v>
      </c>
      <c r="J448">
        <v>0</v>
      </c>
      <c r="K448">
        <v>0</v>
      </c>
      <c r="L448">
        <v>1</v>
      </c>
      <c r="M448">
        <v>2</v>
      </c>
      <c r="N448" s="7">
        <v>9</v>
      </c>
      <c r="O448" s="7">
        <v>0</v>
      </c>
      <c r="P448" s="7">
        <v>0</v>
      </c>
      <c r="Q448" s="7">
        <v>0</v>
      </c>
      <c r="R448" s="7">
        <v>1</v>
      </c>
      <c r="S448" s="7">
        <v>4.5</v>
      </c>
      <c r="T448">
        <v>7</v>
      </c>
      <c r="U448" s="1">
        <v>0</v>
      </c>
      <c r="V448">
        <v>4</v>
      </c>
      <c r="W448">
        <v>2</v>
      </c>
      <c r="X448">
        <v>1</v>
      </c>
      <c r="Y448">
        <v>0.16</v>
      </c>
      <c r="Z448">
        <v>23</v>
      </c>
      <c r="AA448">
        <v>0</v>
      </c>
      <c r="AB448">
        <v>0</v>
      </c>
      <c r="AC448">
        <v>0</v>
      </c>
      <c r="AD448">
        <v>1</v>
      </c>
      <c r="AE448">
        <v>0.05</v>
      </c>
      <c r="AF448">
        <v>15</v>
      </c>
      <c r="AG448">
        <v>0</v>
      </c>
      <c r="AH448">
        <v>0</v>
      </c>
      <c r="AI448">
        <v>0</v>
      </c>
      <c r="AJ448">
        <v>1</v>
      </c>
      <c r="AK448">
        <v>0.02</v>
      </c>
      <c r="AL448">
        <v>16</v>
      </c>
      <c r="AM448">
        <v>0</v>
      </c>
      <c r="AN448">
        <v>0</v>
      </c>
      <c r="AO448">
        <v>0</v>
      </c>
      <c r="AP448">
        <v>1</v>
      </c>
      <c r="AQ448">
        <v>0.01</v>
      </c>
      <c r="AR448">
        <v>6</v>
      </c>
      <c r="AS448">
        <v>2</v>
      </c>
      <c r="AT448">
        <v>4</v>
      </c>
      <c r="AU448">
        <v>5</v>
      </c>
      <c r="AV448">
        <v>1</v>
      </c>
      <c r="AW448">
        <v>0.01</v>
      </c>
      <c r="AX448">
        <v>7</v>
      </c>
      <c r="AY448" s="1">
        <v>0</v>
      </c>
      <c r="AZ448">
        <v>3</v>
      </c>
      <c r="BA448">
        <v>1</v>
      </c>
      <c r="BB448">
        <v>1</v>
      </c>
      <c r="BC448" s="7">
        <v>0.32</v>
      </c>
      <c r="BD448">
        <v>30</v>
      </c>
      <c r="BE448">
        <v>0</v>
      </c>
      <c r="BF448">
        <v>0</v>
      </c>
      <c r="BG448">
        <v>0</v>
      </c>
      <c r="BH448">
        <v>5</v>
      </c>
      <c r="BI448">
        <v>2.4</v>
      </c>
      <c r="BJ448">
        <v>31</v>
      </c>
      <c r="BK448">
        <v>0</v>
      </c>
      <c r="BL448">
        <v>0</v>
      </c>
      <c r="BM448">
        <v>0</v>
      </c>
      <c r="BN448">
        <v>5</v>
      </c>
      <c r="BO448">
        <v>2.4</v>
      </c>
      <c r="BP448">
        <v>36</v>
      </c>
      <c r="BQ448">
        <v>0</v>
      </c>
      <c r="BR448">
        <v>0</v>
      </c>
      <c r="BS448">
        <v>0</v>
      </c>
      <c r="BT448">
        <v>5</v>
      </c>
      <c r="BU448">
        <v>2.2999999999999998</v>
      </c>
    </row>
    <row r="449" spans="1:73" x14ac:dyDescent="0.15">
      <c r="A449" s="11">
        <v>10346</v>
      </c>
      <c r="B449">
        <v>7</v>
      </c>
      <c r="C449" s="1">
        <v>45</v>
      </c>
      <c r="D449">
        <v>0</v>
      </c>
      <c r="E449">
        <v>0</v>
      </c>
      <c r="F449">
        <v>1</v>
      </c>
      <c r="G449" s="7">
        <v>0.05</v>
      </c>
      <c r="H449">
        <v>12</v>
      </c>
      <c r="I449">
        <v>0</v>
      </c>
      <c r="J449">
        <v>0</v>
      </c>
      <c r="K449">
        <v>0</v>
      </c>
      <c r="L449">
        <v>1</v>
      </c>
      <c r="M449">
        <v>2</v>
      </c>
      <c r="N449" s="7">
        <v>9</v>
      </c>
      <c r="O449" s="7">
        <v>0</v>
      </c>
      <c r="P449" s="7">
        <v>0</v>
      </c>
      <c r="Q449" s="7">
        <v>0</v>
      </c>
      <c r="R449" s="7">
        <v>1</v>
      </c>
      <c r="S449" s="7">
        <v>4.5</v>
      </c>
      <c r="T449">
        <v>7</v>
      </c>
      <c r="U449" s="1">
        <v>33</v>
      </c>
      <c r="V449">
        <v>0</v>
      </c>
      <c r="W449">
        <v>0</v>
      </c>
      <c r="X449">
        <v>1</v>
      </c>
      <c r="Y449">
        <v>0.16</v>
      </c>
      <c r="Z449">
        <v>23</v>
      </c>
      <c r="AA449">
        <v>0</v>
      </c>
      <c r="AB449">
        <v>0</v>
      </c>
      <c r="AC449">
        <v>0</v>
      </c>
      <c r="AD449">
        <v>1</v>
      </c>
      <c r="AE449">
        <v>0.05</v>
      </c>
      <c r="AF449">
        <v>15</v>
      </c>
      <c r="AG449">
        <v>0</v>
      </c>
      <c r="AH449">
        <v>0</v>
      </c>
      <c r="AI449">
        <v>0</v>
      </c>
      <c r="AJ449">
        <v>1</v>
      </c>
      <c r="AK449">
        <v>0.02</v>
      </c>
      <c r="AL449">
        <v>16</v>
      </c>
      <c r="AM449">
        <v>0</v>
      </c>
      <c r="AN449">
        <v>0</v>
      </c>
      <c r="AO449">
        <v>0</v>
      </c>
      <c r="AP449">
        <v>1</v>
      </c>
      <c r="AQ449">
        <v>0.01</v>
      </c>
      <c r="AX449">
        <v>7</v>
      </c>
      <c r="AY449" s="1">
        <v>17</v>
      </c>
      <c r="AZ449">
        <v>0</v>
      </c>
      <c r="BA449">
        <v>0</v>
      </c>
      <c r="BB449">
        <v>1</v>
      </c>
      <c r="BC449" s="7">
        <v>0.32</v>
      </c>
      <c r="BD449">
        <v>30</v>
      </c>
      <c r="BE449">
        <v>0</v>
      </c>
      <c r="BF449">
        <v>0</v>
      </c>
      <c r="BG449">
        <v>0</v>
      </c>
      <c r="BH449">
        <v>5</v>
      </c>
      <c r="BI449">
        <v>2.4</v>
      </c>
      <c r="BJ449">
        <v>31</v>
      </c>
      <c r="BK449">
        <v>0</v>
      </c>
      <c r="BL449">
        <v>0</v>
      </c>
      <c r="BM449">
        <v>0</v>
      </c>
      <c r="BN449">
        <v>5</v>
      </c>
      <c r="BO449">
        <v>2.4</v>
      </c>
      <c r="BP449">
        <v>36</v>
      </c>
      <c r="BQ449">
        <v>0</v>
      </c>
      <c r="BR449">
        <v>0</v>
      </c>
      <c r="BS449">
        <v>0</v>
      </c>
      <c r="BT449">
        <v>5</v>
      </c>
      <c r="BU449">
        <v>2.2999999999999998</v>
      </c>
    </row>
    <row r="450" spans="1:73" x14ac:dyDescent="0.15">
      <c r="A450" s="11">
        <v>10347</v>
      </c>
      <c r="B450">
        <v>7</v>
      </c>
      <c r="C450" s="1">
        <v>46</v>
      </c>
      <c r="D450">
        <v>0</v>
      </c>
      <c r="E450">
        <v>0</v>
      </c>
      <c r="F450">
        <v>1</v>
      </c>
      <c r="G450" s="7">
        <v>0.05</v>
      </c>
      <c r="H450">
        <v>12</v>
      </c>
      <c r="I450">
        <v>0</v>
      </c>
      <c r="J450">
        <v>0</v>
      </c>
      <c r="K450">
        <v>0</v>
      </c>
      <c r="L450">
        <v>1</v>
      </c>
      <c r="M450">
        <v>2</v>
      </c>
      <c r="N450" s="7">
        <v>9</v>
      </c>
      <c r="O450" s="7">
        <v>0</v>
      </c>
      <c r="P450" s="7">
        <v>0</v>
      </c>
      <c r="Q450" s="7">
        <v>0</v>
      </c>
      <c r="R450" s="7">
        <v>1</v>
      </c>
      <c r="S450" s="7">
        <v>4.5</v>
      </c>
      <c r="T450">
        <v>7</v>
      </c>
      <c r="U450" s="1">
        <v>34</v>
      </c>
      <c r="V450">
        <v>0</v>
      </c>
      <c r="W450">
        <v>0</v>
      </c>
      <c r="X450">
        <v>1</v>
      </c>
      <c r="Y450">
        <v>0.16</v>
      </c>
      <c r="Z450">
        <v>23</v>
      </c>
      <c r="AA450">
        <v>0</v>
      </c>
      <c r="AB450">
        <v>0</v>
      </c>
      <c r="AC450">
        <v>0</v>
      </c>
      <c r="AD450">
        <v>1</v>
      </c>
      <c r="AE450">
        <v>0.05</v>
      </c>
      <c r="AF450">
        <v>15</v>
      </c>
      <c r="AG450">
        <v>0</v>
      </c>
      <c r="AH450">
        <v>0</v>
      </c>
      <c r="AI450">
        <v>0</v>
      </c>
      <c r="AJ450">
        <v>1</v>
      </c>
      <c r="AK450">
        <v>0.02</v>
      </c>
      <c r="AL450">
        <v>16</v>
      </c>
      <c r="AM450">
        <v>0</v>
      </c>
      <c r="AN450">
        <v>0</v>
      </c>
      <c r="AO450">
        <v>0</v>
      </c>
      <c r="AP450">
        <v>1</v>
      </c>
      <c r="AQ450">
        <v>0.01</v>
      </c>
      <c r="AX450">
        <v>7</v>
      </c>
      <c r="AY450" s="1">
        <v>18</v>
      </c>
      <c r="AZ450">
        <v>0</v>
      </c>
      <c r="BA450">
        <v>0</v>
      </c>
      <c r="BB450">
        <v>1</v>
      </c>
      <c r="BC450" s="7">
        <v>0.32</v>
      </c>
      <c r="BD450">
        <v>30</v>
      </c>
      <c r="BE450">
        <v>0</v>
      </c>
      <c r="BF450">
        <v>0</v>
      </c>
      <c r="BG450">
        <v>0</v>
      </c>
      <c r="BH450">
        <v>5</v>
      </c>
      <c r="BI450">
        <v>2.4</v>
      </c>
      <c r="BJ450">
        <v>31</v>
      </c>
      <c r="BK450">
        <v>0</v>
      </c>
      <c r="BL450">
        <v>0</v>
      </c>
      <c r="BM450">
        <v>0</v>
      </c>
      <c r="BN450">
        <v>5</v>
      </c>
      <c r="BO450">
        <v>2.4</v>
      </c>
      <c r="BP450">
        <v>36</v>
      </c>
      <c r="BQ450">
        <v>0</v>
      </c>
      <c r="BR450">
        <v>0</v>
      </c>
      <c r="BS450">
        <v>0</v>
      </c>
      <c r="BT450">
        <v>5</v>
      </c>
      <c r="BU450">
        <v>2.2999999999999998</v>
      </c>
    </row>
    <row r="451" spans="1:73" x14ac:dyDescent="0.15">
      <c r="A451" s="11">
        <v>10348</v>
      </c>
      <c r="B451">
        <v>7</v>
      </c>
      <c r="C451" s="1">
        <v>47</v>
      </c>
      <c r="D451">
        <v>0</v>
      </c>
      <c r="E451">
        <v>0</v>
      </c>
      <c r="F451">
        <v>1</v>
      </c>
      <c r="G451" s="7">
        <v>0.05</v>
      </c>
      <c r="H451">
        <v>12</v>
      </c>
      <c r="I451">
        <v>0</v>
      </c>
      <c r="J451">
        <v>0</v>
      </c>
      <c r="K451">
        <v>0</v>
      </c>
      <c r="L451">
        <v>1</v>
      </c>
      <c r="M451">
        <v>2</v>
      </c>
      <c r="N451" s="7">
        <v>9</v>
      </c>
      <c r="O451" s="7">
        <v>0</v>
      </c>
      <c r="P451" s="7">
        <v>0</v>
      </c>
      <c r="Q451" s="7">
        <v>0</v>
      </c>
      <c r="R451" s="7">
        <v>1</v>
      </c>
      <c r="S451" s="7">
        <v>4.5</v>
      </c>
      <c r="T451">
        <v>7</v>
      </c>
      <c r="U451" s="1">
        <v>35</v>
      </c>
      <c r="V451">
        <v>0</v>
      </c>
      <c r="W451">
        <v>0</v>
      </c>
      <c r="X451">
        <v>1</v>
      </c>
      <c r="Y451">
        <v>0.16</v>
      </c>
      <c r="Z451">
        <v>23</v>
      </c>
      <c r="AA451">
        <v>0</v>
      </c>
      <c r="AB451">
        <v>0</v>
      </c>
      <c r="AC451">
        <v>0</v>
      </c>
      <c r="AD451">
        <v>1</v>
      </c>
      <c r="AE451">
        <v>0.05</v>
      </c>
      <c r="AF451">
        <v>15</v>
      </c>
      <c r="AG451">
        <v>0</v>
      </c>
      <c r="AH451">
        <v>0</v>
      </c>
      <c r="AI451">
        <v>0</v>
      </c>
      <c r="AJ451">
        <v>1</v>
      </c>
      <c r="AK451">
        <v>0.02</v>
      </c>
      <c r="AL451">
        <v>16</v>
      </c>
      <c r="AM451">
        <v>0</v>
      </c>
      <c r="AN451">
        <v>0</v>
      </c>
      <c r="AO451">
        <v>0</v>
      </c>
      <c r="AP451">
        <v>1</v>
      </c>
      <c r="AQ451">
        <v>0.01</v>
      </c>
      <c r="AX451">
        <v>7</v>
      </c>
      <c r="AY451" s="1">
        <v>19</v>
      </c>
      <c r="AZ451">
        <v>0</v>
      </c>
      <c r="BA451">
        <v>0</v>
      </c>
      <c r="BB451">
        <v>1</v>
      </c>
      <c r="BC451" s="7">
        <v>0.32</v>
      </c>
      <c r="BD451">
        <v>30</v>
      </c>
      <c r="BE451">
        <v>0</v>
      </c>
      <c r="BF451">
        <v>0</v>
      </c>
      <c r="BG451">
        <v>0</v>
      </c>
      <c r="BH451">
        <v>5</v>
      </c>
      <c r="BI451">
        <v>2.4</v>
      </c>
      <c r="BJ451">
        <v>31</v>
      </c>
      <c r="BK451">
        <v>0</v>
      </c>
      <c r="BL451">
        <v>0</v>
      </c>
      <c r="BM451">
        <v>0</v>
      </c>
      <c r="BN451">
        <v>5</v>
      </c>
      <c r="BO451">
        <v>2.4</v>
      </c>
      <c r="BP451">
        <v>36</v>
      </c>
      <c r="BQ451">
        <v>0</v>
      </c>
      <c r="BR451">
        <v>0</v>
      </c>
      <c r="BS451">
        <v>0</v>
      </c>
      <c r="BT451">
        <v>5</v>
      </c>
      <c r="BU451">
        <v>2.2999999999999998</v>
      </c>
    </row>
    <row r="452" spans="1:73" x14ac:dyDescent="0.15">
      <c r="A452" s="11">
        <v>10349</v>
      </c>
      <c r="B452">
        <v>7</v>
      </c>
      <c r="C452" s="1">
        <v>48</v>
      </c>
      <c r="D452">
        <v>0</v>
      </c>
      <c r="E452">
        <v>0</v>
      </c>
      <c r="F452">
        <v>1</v>
      </c>
      <c r="G452" s="7">
        <v>0.05</v>
      </c>
      <c r="H452">
        <v>12</v>
      </c>
      <c r="I452">
        <v>0</v>
      </c>
      <c r="J452">
        <v>0</v>
      </c>
      <c r="K452">
        <v>0</v>
      </c>
      <c r="L452">
        <v>1</v>
      </c>
      <c r="M452">
        <v>2</v>
      </c>
      <c r="N452" s="7">
        <v>9</v>
      </c>
      <c r="O452" s="7">
        <v>0</v>
      </c>
      <c r="P452" s="7">
        <v>0</v>
      </c>
      <c r="Q452" s="7">
        <v>0</v>
      </c>
      <c r="R452" s="7">
        <v>1</v>
      </c>
      <c r="S452" s="7">
        <v>4.5</v>
      </c>
      <c r="T452">
        <v>7</v>
      </c>
      <c r="U452" s="1">
        <v>36</v>
      </c>
      <c r="V452">
        <v>0</v>
      </c>
      <c r="W452">
        <v>0</v>
      </c>
      <c r="X452">
        <v>1</v>
      </c>
      <c r="Y452">
        <v>0.16</v>
      </c>
      <c r="Z452">
        <v>23</v>
      </c>
      <c r="AA452">
        <v>0</v>
      </c>
      <c r="AB452">
        <v>0</v>
      </c>
      <c r="AC452">
        <v>0</v>
      </c>
      <c r="AD452">
        <v>1</v>
      </c>
      <c r="AE452">
        <v>0.05</v>
      </c>
      <c r="AF452">
        <v>15</v>
      </c>
      <c r="AG452">
        <v>0</v>
      </c>
      <c r="AH452">
        <v>0</v>
      </c>
      <c r="AI452">
        <v>0</v>
      </c>
      <c r="AJ452">
        <v>1</v>
      </c>
      <c r="AK452">
        <v>0.02</v>
      </c>
      <c r="AL452">
        <v>16</v>
      </c>
      <c r="AM452">
        <v>0</v>
      </c>
      <c r="AN452">
        <v>0</v>
      </c>
      <c r="AO452">
        <v>0</v>
      </c>
      <c r="AP452">
        <v>1</v>
      </c>
      <c r="AQ452">
        <v>0.01</v>
      </c>
      <c r="AX452">
        <v>7</v>
      </c>
      <c r="AY452" s="1">
        <v>20</v>
      </c>
      <c r="AZ452">
        <v>0</v>
      </c>
      <c r="BA452">
        <v>0</v>
      </c>
      <c r="BB452">
        <v>1</v>
      </c>
      <c r="BC452" s="7">
        <v>0.32</v>
      </c>
      <c r="BD452">
        <v>30</v>
      </c>
      <c r="BE452">
        <v>0</v>
      </c>
      <c r="BF452">
        <v>0</v>
      </c>
      <c r="BG452">
        <v>0</v>
      </c>
      <c r="BH452">
        <v>5</v>
      </c>
      <c r="BI452">
        <v>2.4</v>
      </c>
      <c r="BJ452">
        <v>31</v>
      </c>
      <c r="BK452">
        <v>0</v>
      </c>
      <c r="BL452">
        <v>0</v>
      </c>
      <c r="BM452">
        <v>0</v>
      </c>
      <c r="BN452">
        <v>5</v>
      </c>
      <c r="BO452">
        <v>2.4</v>
      </c>
      <c r="BP452">
        <v>36</v>
      </c>
      <c r="BQ452">
        <v>0</v>
      </c>
      <c r="BR452">
        <v>0</v>
      </c>
      <c r="BS452">
        <v>0</v>
      </c>
      <c r="BT452">
        <v>5</v>
      </c>
      <c r="BU452">
        <v>2.2999999999999998</v>
      </c>
    </row>
    <row r="453" spans="1:73" x14ac:dyDescent="0.15">
      <c r="A453" s="11">
        <v>10350</v>
      </c>
      <c r="B453">
        <v>7</v>
      </c>
      <c r="C453" s="1">
        <v>0</v>
      </c>
      <c r="D453">
        <v>5</v>
      </c>
      <c r="E453">
        <v>1</v>
      </c>
      <c r="F453">
        <v>1</v>
      </c>
      <c r="G453" s="7">
        <v>0.05</v>
      </c>
      <c r="H453">
        <v>12</v>
      </c>
      <c r="I453">
        <v>0</v>
      </c>
      <c r="J453">
        <v>0</v>
      </c>
      <c r="K453">
        <v>0</v>
      </c>
      <c r="L453">
        <v>1</v>
      </c>
      <c r="M453">
        <v>2</v>
      </c>
      <c r="N453" s="7">
        <v>9</v>
      </c>
      <c r="O453" s="7">
        <v>0</v>
      </c>
      <c r="P453" s="7">
        <v>0</v>
      </c>
      <c r="Q453" s="7">
        <v>0</v>
      </c>
      <c r="R453" s="7">
        <v>1</v>
      </c>
      <c r="S453" s="7">
        <v>4.5</v>
      </c>
      <c r="T453">
        <v>7</v>
      </c>
      <c r="U453" s="1">
        <v>0</v>
      </c>
      <c r="V453">
        <v>4</v>
      </c>
      <c r="W453">
        <v>2</v>
      </c>
      <c r="X453">
        <v>1</v>
      </c>
      <c r="Y453">
        <v>0.16</v>
      </c>
      <c r="Z453">
        <v>23</v>
      </c>
      <c r="AA453">
        <v>0</v>
      </c>
      <c r="AB453">
        <v>0</v>
      </c>
      <c r="AC453">
        <v>0</v>
      </c>
      <c r="AD453">
        <v>1</v>
      </c>
      <c r="AE453">
        <v>0.05</v>
      </c>
      <c r="AF453">
        <v>15</v>
      </c>
      <c r="AG453">
        <v>0</v>
      </c>
      <c r="AH453">
        <v>0</v>
      </c>
      <c r="AI453">
        <v>0</v>
      </c>
      <c r="AJ453">
        <v>1</v>
      </c>
      <c r="AK453">
        <v>0.02</v>
      </c>
      <c r="AL453">
        <v>16</v>
      </c>
      <c r="AM453">
        <v>0</v>
      </c>
      <c r="AN453">
        <v>0</v>
      </c>
      <c r="AO453">
        <v>0</v>
      </c>
      <c r="AP453">
        <v>1</v>
      </c>
      <c r="AQ453">
        <v>0.01</v>
      </c>
      <c r="AR453">
        <v>6</v>
      </c>
      <c r="AS453">
        <v>2</v>
      </c>
      <c r="AT453">
        <v>5</v>
      </c>
      <c r="AU453">
        <v>5</v>
      </c>
      <c r="AV453">
        <v>1</v>
      </c>
      <c r="AW453">
        <v>0.01</v>
      </c>
      <c r="AX453">
        <v>7</v>
      </c>
      <c r="AY453" s="1">
        <v>0</v>
      </c>
      <c r="AZ453">
        <v>3</v>
      </c>
      <c r="BA453">
        <v>1</v>
      </c>
      <c r="BB453">
        <v>1</v>
      </c>
      <c r="BC453" s="7">
        <v>0.32</v>
      </c>
      <c r="BD453">
        <v>30</v>
      </c>
      <c r="BE453">
        <v>0</v>
      </c>
      <c r="BF453">
        <v>0</v>
      </c>
      <c r="BG453">
        <v>0</v>
      </c>
      <c r="BH453">
        <v>5</v>
      </c>
      <c r="BI453">
        <v>2.4</v>
      </c>
      <c r="BJ453">
        <v>31</v>
      </c>
      <c r="BK453">
        <v>0</v>
      </c>
      <c r="BL453">
        <v>0</v>
      </c>
      <c r="BM453">
        <v>0</v>
      </c>
      <c r="BN453">
        <v>5</v>
      </c>
      <c r="BO453">
        <v>2.4</v>
      </c>
      <c r="BP453">
        <v>36</v>
      </c>
      <c r="BQ453">
        <v>0</v>
      </c>
      <c r="BR453">
        <v>0</v>
      </c>
      <c r="BS453">
        <v>0</v>
      </c>
      <c r="BT453">
        <v>5</v>
      </c>
      <c r="BU453">
        <v>2.2999999999999998</v>
      </c>
    </row>
    <row r="454" spans="1:73" x14ac:dyDescent="0.15">
      <c r="A454" s="11">
        <v>10401</v>
      </c>
      <c r="B454">
        <v>7</v>
      </c>
      <c r="C454" s="1">
        <v>45</v>
      </c>
      <c r="D454">
        <v>0</v>
      </c>
      <c r="E454">
        <v>0</v>
      </c>
      <c r="F454">
        <v>1</v>
      </c>
      <c r="G454" s="7">
        <v>0.05</v>
      </c>
      <c r="H454">
        <v>12</v>
      </c>
      <c r="I454">
        <v>0</v>
      </c>
      <c r="J454">
        <v>0</v>
      </c>
      <c r="K454">
        <v>0</v>
      </c>
      <c r="L454">
        <v>1</v>
      </c>
      <c r="M454">
        <v>2</v>
      </c>
      <c r="N454" s="7">
        <v>9</v>
      </c>
      <c r="O454" s="7">
        <v>0</v>
      </c>
      <c r="P454" s="7">
        <v>0</v>
      </c>
      <c r="Q454" s="7">
        <v>0</v>
      </c>
      <c r="R454" s="7">
        <v>1</v>
      </c>
      <c r="S454" s="7">
        <v>4.5</v>
      </c>
      <c r="T454">
        <v>7</v>
      </c>
      <c r="U454" s="1">
        <v>33</v>
      </c>
      <c r="V454">
        <v>0</v>
      </c>
      <c r="W454">
        <v>0</v>
      </c>
      <c r="X454">
        <v>1</v>
      </c>
      <c r="Y454">
        <v>0.16</v>
      </c>
      <c r="Z454">
        <v>23</v>
      </c>
      <c r="AA454">
        <v>0</v>
      </c>
      <c r="AB454">
        <v>0</v>
      </c>
      <c r="AC454">
        <v>0</v>
      </c>
      <c r="AD454">
        <v>1</v>
      </c>
      <c r="AE454">
        <v>0.05</v>
      </c>
      <c r="AF454">
        <v>15</v>
      </c>
      <c r="AG454">
        <v>0</v>
      </c>
      <c r="AH454">
        <v>0</v>
      </c>
      <c r="AI454">
        <v>0</v>
      </c>
      <c r="AJ454">
        <v>1</v>
      </c>
      <c r="AK454">
        <v>0.02</v>
      </c>
      <c r="AL454">
        <v>16</v>
      </c>
      <c r="AM454">
        <v>0</v>
      </c>
      <c r="AN454">
        <v>0</v>
      </c>
      <c r="AO454">
        <v>0</v>
      </c>
      <c r="AP454">
        <v>1</v>
      </c>
      <c r="AQ454">
        <v>0.01</v>
      </c>
      <c r="AX454">
        <v>7</v>
      </c>
      <c r="AY454" s="1">
        <v>17</v>
      </c>
      <c r="AZ454">
        <v>0</v>
      </c>
      <c r="BA454">
        <v>0</v>
      </c>
      <c r="BB454">
        <v>1</v>
      </c>
      <c r="BC454" s="7">
        <v>0.32</v>
      </c>
      <c r="BD454">
        <v>30</v>
      </c>
      <c r="BE454">
        <v>0</v>
      </c>
      <c r="BF454">
        <v>0</v>
      </c>
      <c r="BG454">
        <v>0</v>
      </c>
      <c r="BH454">
        <v>5</v>
      </c>
      <c r="BI454">
        <v>2.4</v>
      </c>
      <c r="BJ454">
        <v>31</v>
      </c>
      <c r="BK454">
        <v>0</v>
      </c>
      <c r="BL454">
        <v>0</v>
      </c>
      <c r="BM454">
        <v>0</v>
      </c>
      <c r="BN454">
        <v>5</v>
      </c>
      <c r="BO454">
        <v>2.4</v>
      </c>
      <c r="BP454">
        <v>36</v>
      </c>
      <c r="BQ454">
        <v>0</v>
      </c>
      <c r="BR454">
        <v>0</v>
      </c>
      <c r="BS454">
        <v>0</v>
      </c>
      <c r="BT454">
        <v>5</v>
      </c>
      <c r="BU454">
        <v>2.2999999999999998</v>
      </c>
    </row>
    <row r="455" spans="1:73" x14ac:dyDescent="0.15">
      <c r="A455" s="11">
        <v>10402</v>
      </c>
      <c r="B455">
        <v>7</v>
      </c>
      <c r="C455" s="1">
        <v>46</v>
      </c>
      <c r="D455">
        <v>0</v>
      </c>
      <c r="E455">
        <v>0</v>
      </c>
      <c r="F455">
        <v>1</v>
      </c>
      <c r="G455" s="7">
        <v>0.05</v>
      </c>
      <c r="H455">
        <v>12</v>
      </c>
      <c r="I455">
        <v>0</v>
      </c>
      <c r="J455">
        <v>0</v>
      </c>
      <c r="K455">
        <v>0</v>
      </c>
      <c r="L455">
        <v>1</v>
      </c>
      <c r="M455">
        <v>2</v>
      </c>
      <c r="N455" s="7">
        <v>9</v>
      </c>
      <c r="O455" s="7">
        <v>0</v>
      </c>
      <c r="P455" s="7">
        <v>0</v>
      </c>
      <c r="Q455" s="7">
        <v>0</v>
      </c>
      <c r="R455" s="7">
        <v>1</v>
      </c>
      <c r="S455" s="7">
        <v>4.5</v>
      </c>
      <c r="T455">
        <v>7</v>
      </c>
      <c r="U455" s="1">
        <v>34</v>
      </c>
      <c r="V455">
        <v>0</v>
      </c>
      <c r="W455">
        <v>0</v>
      </c>
      <c r="X455">
        <v>1</v>
      </c>
      <c r="Y455">
        <v>0.16</v>
      </c>
      <c r="Z455">
        <v>23</v>
      </c>
      <c r="AA455">
        <v>0</v>
      </c>
      <c r="AB455">
        <v>0</v>
      </c>
      <c r="AC455">
        <v>0</v>
      </c>
      <c r="AD455">
        <v>1</v>
      </c>
      <c r="AE455">
        <v>0.05</v>
      </c>
      <c r="AF455">
        <v>15</v>
      </c>
      <c r="AG455">
        <v>0</v>
      </c>
      <c r="AH455">
        <v>0</v>
      </c>
      <c r="AI455">
        <v>0</v>
      </c>
      <c r="AJ455">
        <v>1</v>
      </c>
      <c r="AK455">
        <v>0.02</v>
      </c>
      <c r="AL455">
        <v>16</v>
      </c>
      <c r="AM455">
        <v>0</v>
      </c>
      <c r="AN455">
        <v>0</v>
      </c>
      <c r="AO455">
        <v>0</v>
      </c>
      <c r="AP455">
        <v>1</v>
      </c>
      <c r="AQ455">
        <v>0.01</v>
      </c>
      <c r="AX455">
        <v>7</v>
      </c>
      <c r="AY455" s="1">
        <v>18</v>
      </c>
      <c r="AZ455">
        <v>0</v>
      </c>
      <c r="BA455">
        <v>0</v>
      </c>
      <c r="BB455">
        <v>1</v>
      </c>
      <c r="BC455" s="7">
        <v>0.32</v>
      </c>
      <c r="BD455">
        <v>30</v>
      </c>
      <c r="BE455">
        <v>0</v>
      </c>
      <c r="BF455">
        <v>0</v>
      </c>
      <c r="BG455">
        <v>0</v>
      </c>
      <c r="BH455">
        <v>5</v>
      </c>
      <c r="BI455">
        <v>2.4</v>
      </c>
      <c r="BJ455">
        <v>31</v>
      </c>
      <c r="BK455">
        <v>0</v>
      </c>
      <c r="BL455">
        <v>0</v>
      </c>
      <c r="BM455">
        <v>0</v>
      </c>
      <c r="BN455">
        <v>5</v>
      </c>
      <c r="BO455">
        <v>2.4</v>
      </c>
      <c r="BP455">
        <v>36</v>
      </c>
      <c r="BQ455">
        <v>0</v>
      </c>
      <c r="BR455">
        <v>0</v>
      </c>
      <c r="BS455">
        <v>0</v>
      </c>
      <c r="BT455">
        <v>5</v>
      </c>
      <c r="BU455">
        <v>2.2999999999999998</v>
      </c>
    </row>
    <row r="456" spans="1:73" x14ac:dyDescent="0.15">
      <c r="A456" s="11">
        <v>10403</v>
      </c>
      <c r="B456">
        <v>7</v>
      </c>
      <c r="C456" s="1">
        <v>47</v>
      </c>
      <c r="D456">
        <v>0</v>
      </c>
      <c r="E456">
        <v>0</v>
      </c>
      <c r="F456">
        <v>1</v>
      </c>
      <c r="G456" s="7">
        <v>0.05</v>
      </c>
      <c r="H456">
        <v>12</v>
      </c>
      <c r="I456">
        <v>0</v>
      </c>
      <c r="J456">
        <v>0</v>
      </c>
      <c r="K456">
        <v>0</v>
      </c>
      <c r="L456">
        <v>1</v>
      </c>
      <c r="M456">
        <v>2</v>
      </c>
      <c r="N456" s="7">
        <v>9</v>
      </c>
      <c r="O456" s="7">
        <v>0</v>
      </c>
      <c r="P456" s="7">
        <v>0</v>
      </c>
      <c r="Q456" s="7">
        <v>0</v>
      </c>
      <c r="R456" s="7">
        <v>1</v>
      </c>
      <c r="S456" s="7">
        <v>4.5</v>
      </c>
      <c r="T456">
        <v>7</v>
      </c>
      <c r="U456" s="1">
        <v>35</v>
      </c>
      <c r="V456">
        <v>0</v>
      </c>
      <c r="W456">
        <v>0</v>
      </c>
      <c r="X456">
        <v>1</v>
      </c>
      <c r="Y456">
        <v>0.16</v>
      </c>
      <c r="Z456">
        <v>23</v>
      </c>
      <c r="AA456">
        <v>0</v>
      </c>
      <c r="AB456">
        <v>0</v>
      </c>
      <c r="AC456">
        <v>0</v>
      </c>
      <c r="AD456">
        <v>1</v>
      </c>
      <c r="AE456">
        <v>0.05</v>
      </c>
      <c r="AF456">
        <v>15</v>
      </c>
      <c r="AG456">
        <v>0</v>
      </c>
      <c r="AH456">
        <v>0</v>
      </c>
      <c r="AI456">
        <v>0</v>
      </c>
      <c r="AJ456">
        <v>1</v>
      </c>
      <c r="AK456">
        <v>0.02</v>
      </c>
      <c r="AL456">
        <v>16</v>
      </c>
      <c r="AM456">
        <v>0</v>
      </c>
      <c r="AN456">
        <v>0</v>
      </c>
      <c r="AO456">
        <v>0</v>
      </c>
      <c r="AP456">
        <v>1</v>
      </c>
      <c r="AQ456">
        <v>0.01</v>
      </c>
      <c r="AX456">
        <v>7</v>
      </c>
      <c r="AY456" s="1">
        <v>19</v>
      </c>
      <c r="AZ456">
        <v>0</v>
      </c>
      <c r="BA456">
        <v>0</v>
      </c>
      <c r="BB456">
        <v>1</v>
      </c>
      <c r="BC456" s="7">
        <v>0.32</v>
      </c>
      <c r="BD456">
        <v>30</v>
      </c>
      <c r="BE456">
        <v>0</v>
      </c>
      <c r="BF456">
        <v>0</v>
      </c>
      <c r="BG456">
        <v>0</v>
      </c>
      <c r="BH456">
        <v>5</v>
      </c>
      <c r="BI456">
        <v>2.4</v>
      </c>
      <c r="BJ456">
        <v>31</v>
      </c>
      <c r="BK456">
        <v>0</v>
      </c>
      <c r="BL456">
        <v>0</v>
      </c>
      <c r="BM456">
        <v>0</v>
      </c>
      <c r="BN456">
        <v>5</v>
      </c>
      <c r="BO456">
        <v>2.4</v>
      </c>
      <c r="BP456">
        <v>36</v>
      </c>
      <c r="BQ456">
        <v>0</v>
      </c>
      <c r="BR456">
        <v>0</v>
      </c>
      <c r="BS456">
        <v>0</v>
      </c>
      <c r="BT456">
        <v>5</v>
      </c>
      <c r="BU456">
        <v>2.2999999999999998</v>
      </c>
    </row>
    <row r="457" spans="1:73" x14ac:dyDescent="0.15">
      <c r="A457" s="11">
        <v>10404</v>
      </c>
      <c r="B457">
        <v>7</v>
      </c>
      <c r="C457" s="1">
        <v>48</v>
      </c>
      <c r="D457">
        <v>0</v>
      </c>
      <c r="E457">
        <v>0</v>
      </c>
      <c r="F457">
        <v>1</v>
      </c>
      <c r="G457" s="7">
        <v>0.05</v>
      </c>
      <c r="H457">
        <v>12</v>
      </c>
      <c r="I457">
        <v>0</v>
      </c>
      <c r="J457">
        <v>0</v>
      </c>
      <c r="K457">
        <v>0</v>
      </c>
      <c r="L457">
        <v>1</v>
      </c>
      <c r="M457">
        <v>2</v>
      </c>
      <c r="N457" s="7">
        <v>9</v>
      </c>
      <c r="O457" s="7">
        <v>0</v>
      </c>
      <c r="P457" s="7">
        <v>0</v>
      </c>
      <c r="Q457" s="7">
        <v>0</v>
      </c>
      <c r="R457" s="7">
        <v>1</v>
      </c>
      <c r="S457" s="7">
        <v>4.5</v>
      </c>
      <c r="T457">
        <v>7</v>
      </c>
      <c r="U457" s="1">
        <v>36</v>
      </c>
      <c r="V457">
        <v>0</v>
      </c>
      <c r="W457">
        <v>0</v>
      </c>
      <c r="X457">
        <v>1</v>
      </c>
      <c r="Y457">
        <v>0.16</v>
      </c>
      <c r="Z457">
        <v>23</v>
      </c>
      <c r="AA457">
        <v>0</v>
      </c>
      <c r="AB457">
        <v>0</v>
      </c>
      <c r="AC457">
        <v>0</v>
      </c>
      <c r="AD457">
        <v>1</v>
      </c>
      <c r="AE457">
        <v>0.05</v>
      </c>
      <c r="AF457">
        <v>15</v>
      </c>
      <c r="AG457">
        <v>0</v>
      </c>
      <c r="AH457">
        <v>0</v>
      </c>
      <c r="AI457">
        <v>0</v>
      </c>
      <c r="AJ457">
        <v>1</v>
      </c>
      <c r="AK457">
        <v>0.02</v>
      </c>
      <c r="AL457">
        <v>16</v>
      </c>
      <c r="AM457">
        <v>0</v>
      </c>
      <c r="AN457">
        <v>0</v>
      </c>
      <c r="AO457">
        <v>0</v>
      </c>
      <c r="AP457">
        <v>1</v>
      </c>
      <c r="AQ457">
        <v>0.01</v>
      </c>
      <c r="AX457">
        <v>7</v>
      </c>
      <c r="AY457" s="1">
        <v>20</v>
      </c>
      <c r="AZ457">
        <v>0</v>
      </c>
      <c r="BA457">
        <v>0</v>
      </c>
      <c r="BB457">
        <v>1</v>
      </c>
      <c r="BC457" s="7">
        <v>0.32</v>
      </c>
      <c r="BD457">
        <v>30</v>
      </c>
      <c r="BE457">
        <v>0</v>
      </c>
      <c r="BF457">
        <v>0</v>
      </c>
      <c r="BG457">
        <v>0</v>
      </c>
      <c r="BH457">
        <v>5</v>
      </c>
      <c r="BI457">
        <v>2.4</v>
      </c>
      <c r="BJ457">
        <v>31</v>
      </c>
      <c r="BK457">
        <v>0</v>
      </c>
      <c r="BL457">
        <v>0</v>
      </c>
      <c r="BM457">
        <v>0</v>
      </c>
      <c r="BN457">
        <v>5</v>
      </c>
      <c r="BO457">
        <v>2.4</v>
      </c>
      <c r="BP457">
        <v>36</v>
      </c>
      <c r="BQ457">
        <v>0</v>
      </c>
      <c r="BR457">
        <v>0</v>
      </c>
      <c r="BS457">
        <v>0</v>
      </c>
      <c r="BT457">
        <v>5</v>
      </c>
      <c r="BU457">
        <v>2.2999999999999998</v>
      </c>
    </row>
    <row r="458" spans="1:73" x14ac:dyDescent="0.15">
      <c r="A458" s="11">
        <v>10405</v>
      </c>
      <c r="B458">
        <v>7</v>
      </c>
      <c r="C458" s="1">
        <v>0</v>
      </c>
      <c r="D458">
        <v>5</v>
      </c>
      <c r="E458">
        <v>1</v>
      </c>
      <c r="F458">
        <v>1</v>
      </c>
      <c r="G458" s="7">
        <v>0.05</v>
      </c>
      <c r="H458">
        <v>12</v>
      </c>
      <c r="I458">
        <v>0</v>
      </c>
      <c r="J458">
        <v>0</v>
      </c>
      <c r="K458">
        <v>0</v>
      </c>
      <c r="L458">
        <v>1</v>
      </c>
      <c r="M458">
        <v>2</v>
      </c>
      <c r="N458" s="7">
        <v>9</v>
      </c>
      <c r="O458" s="7">
        <v>0</v>
      </c>
      <c r="P458" s="7">
        <v>0</v>
      </c>
      <c r="Q458" s="7">
        <v>0</v>
      </c>
      <c r="R458" s="7">
        <v>1</v>
      </c>
      <c r="S458" s="7">
        <v>4.5</v>
      </c>
      <c r="T458">
        <v>7</v>
      </c>
      <c r="U458" s="1">
        <v>0</v>
      </c>
      <c r="V458">
        <v>4</v>
      </c>
      <c r="W458">
        <v>2</v>
      </c>
      <c r="X458">
        <v>1</v>
      </c>
      <c r="Y458">
        <v>0.16</v>
      </c>
      <c r="Z458">
        <v>23</v>
      </c>
      <c r="AA458">
        <v>0</v>
      </c>
      <c r="AB458">
        <v>0</v>
      </c>
      <c r="AC458">
        <v>0</v>
      </c>
      <c r="AD458">
        <v>1</v>
      </c>
      <c r="AE458">
        <v>0.05</v>
      </c>
      <c r="AF458">
        <v>15</v>
      </c>
      <c r="AG458">
        <v>0</v>
      </c>
      <c r="AH458">
        <v>0</v>
      </c>
      <c r="AI458">
        <v>0</v>
      </c>
      <c r="AJ458">
        <v>1</v>
      </c>
      <c r="AK458">
        <v>0.02</v>
      </c>
      <c r="AL458">
        <v>16</v>
      </c>
      <c r="AM458">
        <v>0</v>
      </c>
      <c r="AN458">
        <v>0</v>
      </c>
      <c r="AO458">
        <v>0</v>
      </c>
      <c r="AP458">
        <v>1</v>
      </c>
      <c r="AQ458">
        <v>0.01</v>
      </c>
      <c r="AR458">
        <v>6</v>
      </c>
      <c r="AS458">
        <v>2</v>
      </c>
      <c r="AT458">
        <v>1</v>
      </c>
      <c r="AU458">
        <v>5</v>
      </c>
      <c r="AV458">
        <v>1</v>
      </c>
      <c r="AW458">
        <v>0.05</v>
      </c>
      <c r="AX458">
        <v>7</v>
      </c>
      <c r="AY458" s="1">
        <v>0</v>
      </c>
      <c r="AZ458">
        <v>3</v>
      </c>
      <c r="BA458">
        <v>1</v>
      </c>
      <c r="BB458">
        <v>1</v>
      </c>
      <c r="BC458" s="7">
        <v>0.32</v>
      </c>
      <c r="BD458">
        <v>30</v>
      </c>
      <c r="BE458">
        <v>0</v>
      </c>
      <c r="BF458">
        <v>0</v>
      </c>
      <c r="BG458">
        <v>0</v>
      </c>
      <c r="BH458">
        <v>5</v>
      </c>
      <c r="BI458">
        <v>2.4</v>
      </c>
      <c r="BJ458">
        <v>31</v>
      </c>
      <c r="BK458">
        <v>0</v>
      </c>
      <c r="BL458">
        <v>0</v>
      </c>
      <c r="BM458">
        <v>0</v>
      </c>
      <c r="BN458">
        <v>5</v>
      </c>
      <c r="BO458">
        <v>2.4</v>
      </c>
      <c r="BP458">
        <v>36</v>
      </c>
      <c r="BQ458">
        <v>0</v>
      </c>
      <c r="BR458">
        <v>0</v>
      </c>
      <c r="BS458">
        <v>0</v>
      </c>
      <c r="BT458">
        <v>5</v>
      </c>
      <c r="BU458">
        <v>2.2999999999999998</v>
      </c>
    </row>
    <row r="459" spans="1:73" x14ac:dyDescent="0.15">
      <c r="A459" s="11">
        <v>10406</v>
      </c>
      <c r="B459">
        <v>7</v>
      </c>
      <c r="C459" s="1">
        <v>45</v>
      </c>
      <c r="D459">
        <v>0</v>
      </c>
      <c r="E459">
        <v>0</v>
      </c>
      <c r="F459">
        <v>1</v>
      </c>
      <c r="G459" s="7">
        <v>0.05</v>
      </c>
      <c r="H459">
        <v>12</v>
      </c>
      <c r="I459">
        <v>0</v>
      </c>
      <c r="J459">
        <v>0</v>
      </c>
      <c r="K459">
        <v>0</v>
      </c>
      <c r="L459">
        <v>1</v>
      </c>
      <c r="M459">
        <v>2</v>
      </c>
      <c r="N459" s="7">
        <v>9</v>
      </c>
      <c r="O459" s="7">
        <v>0</v>
      </c>
      <c r="P459" s="7">
        <v>0</v>
      </c>
      <c r="Q459" s="7">
        <v>0</v>
      </c>
      <c r="R459" s="7">
        <v>1</v>
      </c>
      <c r="S459" s="7">
        <v>4.5</v>
      </c>
      <c r="T459">
        <v>7</v>
      </c>
      <c r="U459" s="1">
        <v>33</v>
      </c>
      <c r="V459">
        <v>0</v>
      </c>
      <c r="W459">
        <v>0</v>
      </c>
      <c r="X459">
        <v>1</v>
      </c>
      <c r="Y459">
        <v>0.16</v>
      </c>
      <c r="Z459">
        <v>23</v>
      </c>
      <c r="AA459">
        <v>0</v>
      </c>
      <c r="AB459">
        <v>0</v>
      </c>
      <c r="AC459">
        <v>0</v>
      </c>
      <c r="AD459">
        <v>1</v>
      </c>
      <c r="AE459">
        <v>0.05</v>
      </c>
      <c r="AF459">
        <v>15</v>
      </c>
      <c r="AG459">
        <v>0</v>
      </c>
      <c r="AH459">
        <v>0</v>
      </c>
      <c r="AI459">
        <v>0</v>
      </c>
      <c r="AJ459">
        <v>1</v>
      </c>
      <c r="AK459">
        <v>0.02</v>
      </c>
      <c r="AL459">
        <v>16</v>
      </c>
      <c r="AM459">
        <v>0</v>
      </c>
      <c r="AN459">
        <v>0</v>
      </c>
      <c r="AO459">
        <v>0</v>
      </c>
      <c r="AP459">
        <v>1</v>
      </c>
      <c r="AQ459">
        <v>0.01</v>
      </c>
      <c r="AX459">
        <v>7</v>
      </c>
      <c r="AY459" s="1">
        <v>17</v>
      </c>
      <c r="AZ459">
        <v>0</v>
      </c>
      <c r="BA459">
        <v>0</v>
      </c>
      <c r="BB459">
        <v>1</v>
      </c>
      <c r="BC459" s="7">
        <v>0.32</v>
      </c>
      <c r="BD459">
        <v>30</v>
      </c>
      <c r="BE459">
        <v>0</v>
      </c>
      <c r="BF459">
        <v>0</v>
      </c>
      <c r="BG459">
        <v>0</v>
      </c>
      <c r="BH459">
        <v>5</v>
      </c>
      <c r="BI459">
        <v>2.4</v>
      </c>
      <c r="BJ459">
        <v>31</v>
      </c>
      <c r="BK459">
        <v>0</v>
      </c>
      <c r="BL459">
        <v>0</v>
      </c>
      <c r="BM459">
        <v>0</v>
      </c>
      <c r="BN459">
        <v>5</v>
      </c>
      <c r="BO459">
        <v>2.4</v>
      </c>
      <c r="BP459">
        <v>36</v>
      </c>
      <c r="BQ459">
        <v>0</v>
      </c>
      <c r="BR459">
        <v>0</v>
      </c>
      <c r="BS459">
        <v>0</v>
      </c>
      <c r="BT459">
        <v>5</v>
      </c>
      <c r="BU459">
        <v>2.2999999999999998</v>
      </c>
    </row>
    <row r="460" spans="1:73" x14ac:dyDescent="0.15">
      <c r="A460" s="11">
        <v>10407</v>
      </c>
      <c r="B460">
        <v>7</v>
      </c>
      <c r="C460" s="1">
        <v>46</v>
      </c>
      <c r="D460">
        <v>0</v>
      </c>
      <c r="E460">
        <v>0</v>
      </c>
      <c r="F460">
        <v>1</v>
      </c>
      <c r="G460" s="7">
        <v>0.05</v>
      </c>
      <c r="H460">
        <v>12</v>
      </c>
      <c r="I460">
        <v>0</v>
      </c>
      <c r="J460">
        <v>0</v>
      </c>
      <c r="K460">
        <v>0</v>
      </c>
      <c r="L460">
        <v>1</v>
      </c>
      <c r="M460">
        <v>2</v>
      </c>
      <c r="N460" s="7">
        <v>9</v>
      </c>
      <c r="O460" s="7">
        <v>0</v>
      </c>
      <c r="P460" s="7">
        <v>0</v>
      </c>
      <c r="Q460" s="7">
        <v>0</v>
      </c>
      <c r="R460" s="7">
        <v>1</v>
      </c>
      <c r="S460" s="7">
        <v>4.5</v>
      </c>
      <c r="T460">
        <v>7</v>
      </c>
      <c r="U460" s="1">
        <v>34</v>
      </c>
      <c r="V460">
        <v>0</v>
      </c>
      <c r="W460">
        <v>0</v>
      </c>
      <c r="X460">
        <v>1</v>
      </c>
      <c r="Y460">
        <v>0.16</v>
      </c>
      <c r="Z460">
        <v>23</v>
      </c>
      <c r="AA460">
        <v>0</v>
      </c>
      <c r="AB460">
        <v>0</v>
      </c>
      <c r="AC460">
        <v>0</v>
      </c>
      <c r="AD460">
        <v>1</v>
      </c>
      <c r="AE460">
        <v>0.05</v>
      </c>
      <c r="AF460">
        <v>15</v>
      </c>
      <c r="AG460">
        <v>0</v>
      </c>
      <c r="AH460">
        <v>0</v>
      </c>
      <c r="AI460">
        <v>0</v>
      </c>
      <c r="AJ460">
        <v>1</v>
      </c>
      <c r="AK460">
        <v>0.02</v>
      </c>
      <c r="AL460">
        <v>16</v>
      </c>
      <c r="AM460">
        <v>0</v>
      </c>
      <c r="AN460">
        <v>0</v>
      </c>
      <c r="AO460">
        <v>0</v>
      </c>
      <c r="AP460">
        <v>1</v>
      </c>
      <c r="AQ460">
        <v>0.01</v>
      </c>
      <c r="AX460">
        <v>7</v>
      </c>
      <c r="AY460" s="1">
        <v>18</v>
      </c>
      <c r="AZ460">
        <v>0</v>
      </c>
      <c r="BA460">
        <v>0</v>
      </c>
      <c r="BB460">
        <v>1</v>
      </c>
      <c r="BC460" s="7">
        <v>0.32</v>
      </c>
      <c r="BD460">
        <v>30</v>
      </c>
      <c r="BE460">
        <v>0</v>
      </c>
      <c r="BF460">
        <v>0</v>
      </c>
      <c r="BG460">
        <v>0</v>
      </c>
      <c r="BH460">
        <v>5</v>
      </c>
      <c r="BI460">
        <v>2.4</v>
      </c>
      <c r="BJ460">
        <v>31</v>
      </c>
      <c r="BK460">
        <v>0</v>
      </c>
      <c r="BL460">
        <v>0</v>
      </c>
      <c r="BM460">
        <v>0</v>
      </c>
      <c r="BN460">
        <v>5</v>
      </c>
      <c r="BO460">
        <v>2.4</v>
      </c>
      <c r="BP460">
        <v>36</v>
      </c>
      <c r="BQ460">
        <v>0</v>
      </c>
      <c r="BR460">
        <v>0</v>
      </c>
      <c r="BS460">
        <v>0</v>
      </c>
      <c r="BT460">
        <v>5</v>
      </c>
      <c r="BU460">
        <v>2.2999999999999998</v>
      </c>
    </row>
    <row r="461" spans="1:73" x14ac:dyDescent="0.15">
      <c r="A461" s="11">
        <v>10408</v>
      </c>
      <c r="B461">
        <v>7</v>
      </c>
      <c r="C461" s="1">
        <v>47</v>
      </c>
      <c r="D461">
        <v>0</v>
      </c>
      <c r="E461">
        <v>0</v>
      </c>
      <c r="F461">
        <v>1</v>
      </c>
      <c r="G461" s="7">
        <v>0.05</v>
      </c>
      <c r="H461">
        <v>12</v>
      </c>
      <c r="I461">
        <v>0</v>
      </c>
      <c r="J461">
        <v>0</v>
      </c>
      <c r="K461">
        <v>0</v>
      </c>
      <c r="L461">
        <v>1</v>
      </c>
      <c r="M461">
        <v>2</v>
      </c>
      <c r="N461" s="7">
        <v>9</v>
      </c>
      <c r="O461" s="7">
        <v>0</v>
      </c>
      <c r="P461" s="7">
        <v>0</v>
      </c>
      <c r="Q461" s="7">
        <v>0</v>
      </c>
      <c r="R461" s="7">
        <v>1</v>
      </c>
      <c r="S461" s="7">
        <v>4.5</v>
      </c>
      <c r="T461">
        <v>7</v>
      </c>
      <c r="U461" s="1">
        <v>35</v>
      </c>
      <c r="V461">
        <v>0</v>
      </c>
      <c r="W461">
        <v>0</v>
      </c>
      <c r="X461">
        <v>1</v>
      </c>
      <c r="Y461">
        <v>0.16</v>
      </c>
      <c r="Z461">
        <v>23</v>
      </c>
      <c r="AA461">
        <v>0</v>
      </c>
      <c r="AB461">
        <v>0</v>
      </c>
      <c r="AC461">
        <v>0</v>
      </c>
      <c r="AD461">
        <v>1</v>
      </c>
      <c r="AE461">
        <v>0.05</v>
      </c>
      <c r="AF461">
        <v>15</v>
      </c>
      <c r="AG461">
        <v>0</v>
      </c>
      <c r="AH461">
        <v>0</v>
      </c>
      <c r="AI461">
        <v>0</v>
      </c>
      <c r="AJ461">
        <v>1</v>
      </c>
      <c r="AK461">
        <v>0.02</v>
      </c>
      <c r="AL461">
        <v>16</v>
      </c>
      <c r="AM461">
        <v>0</v>
      </c>
      <c r="AN461">
        <v>0</v>
      </c>
      <c r="AO461">
        <v>0</v>
      </c>
      <c r="AP461">
        <v>1</v>
      </c>
      <c r="AQ461">
        <v>0.01</v>
      </c>
      <c r="AX461">
        <v>7</v>
      </c>
      <c r="AY461" s="1">
        <v>19</v>
      </c>
      <c r="AZ461">
        <v>0</v>
      </c>
      <c r="BA461">
        <v>0</v>
      </c>
      <c r="BB461">
        <v>1</v>
      </c>
      <c r="BC461" s="7">
        <v>0.32</v>
      </c>
      <c r="BD461">
        <v>30</v>
      </c>
      <c r="BE461">
        <v>0</v>
      </c>
      <c r="BF461">
        <v>0</v>
      </c>
      <c r="BG461">
        <v>0</v>
      </c>
      <c r="BH461">
        <v>5</v>
      </c>
      <c r="BI461">
        <v>2.4</v>
      </c>
      <c r="BJ461">
        <v>31</v>
      </c>
      <c r="BK461">
        <v>0</v>
      </c>
      <c r="BL461">
        <v>0</v>
      </c>
      <c r="BM461">
        <v>0</v>
      </c>
      <c r="BN461">
        <v>5</v>
      </c>
      <c r="BO461">
        <v>2.4</v>
      </c>
      <c r="BP461">
        <v>36</v>
      </c>
      <c r="BQ461">
        <v>0</v>
      </c>
      <c r="BR461">
        <v>0</v>
      </c>
      <c r="BS461">
        <v>0</v>
      </c>
      <c r="BT461">
        <v>5</v>
      </c>
      <c r="BU461">
        <v>2.2999999999999998</v>
      </c>
    </row>
    <row r="462" spans="1:73" x14ac:dyDescent="0.15">
      <c r="A462" s="11">
        <v>10409</v>
      </c>
      <c r="B462">
        <v>7</v>
      </c>
      <c r="C462" s="1">
        <v>48</v>
      </c>
      <c r="D462">
        <v>0</v>
      </c>
      <c r="E462">
        <v>0</v>
      </c>
      <c r="F462">
        <v>1</v>
      </c>
      <c r="G462" s="7">
        <v>0.05</v>
      </c>
      <c r="H462">
        <v>12</v>
      </c>
      <c r="I462">
        <v>0</v>
      </c>
      <c r="J462">
        <v>0</v>
      </c>
      <c r="K462">
        <v>0</v>
      </c>
      <c r="L462">
        <v>1</v>
      </c>
      <c r="M462">
        <v>2</v>
      </c>
      <c r="N462" s="7">
        <v>9</v>
      </c>
      <c r="O462" s="7">
        <v>0</v>
      </c>
      <c r="P462" s="7">
        <v>0</v>
      </c>
      <c r="Q462" s="7">
        <v>0</v>
      </c>
      <c r="R462" s="7">
        <v>1</v>
      </c>
      <c r="S462" s="7">
        <v>4.5</v>
      </c>
      <c r="T462">
        <v>7</v>
      </c>
      <c r="U462" s="1">
        <v>36</v>
      </c>
      <c r="V462">
        <v>0</v>
      </c>
      <c r="W462">
        <v>0</v>
      </c>
      <c r="X462">
        <v>1</v>
      </c>
      <c r="Y462">
        <v>0.16</v>
      </c>
      <c r="Z462">
        <v>23</v>
      </c>
      <c r="AA462">
        <v>0</v>
      </c>
      <c r="AB462">
        <v>0</v>
      </c>
      <c r="AC462">
        <v>0</v>
      </c>
      <c r="AD462">
        <v>1</v>
      </c>
      <c r="AE462">
        <v>0.05</v>
      </c>
      <c r="AF462">
        <v>15</v>
      </c>
      <c r="AG462">
        <v>0</v>
      </c>
      <c r="AH462">
        <v>0</v>
      </c>
      <c r="AI462">
        <v>0</v>
      </c>
      <c r="AJ462">
        <v>1</v>
      </c>
      <c r="AK462">
        <v>0.02</v>
      </c>
      <c r="AL462">
        <v>16</v>
      </c>
      <c r="AM462">
        <v>0</v>
      </c>
      <c r="AN462">
        <v>0</v>
      </c>
      <c r="AO462">
        <v>0</v>
      </c>
      <c r="AP462">
        <v>1</v>
      </c>
      <c r="AQ462">
        <v>0.01</v>
      </c>
      <c r="AX462">
        <v>7</v>
      </c>
      <c r="AY462" s="1">
        <v>20</v>
      </c>
      <c r="AZ462">
        <v>0</v>
      </c>
      <c r="BA462">
        <v>0</v>
      </c>
      <c r="BB462">
        <v>1</v>
      </c>
      <c r="BC462" s="7">
        <v>0.32</v>
      </c>
      <c r="BD462">
        <v>30</v>
      </c>
      <c r="BE462">
        <v>0</v>
      </c>
      <c r="BF462">
        <v>0</v>
      </c>
      <c r="BG462">
        <v>0</v>
      </c>
      <c r="BH462">
        <v>5</v>
      </c>
      <c r="BI462">
        <v>2.4</v>
      </c>
      <c r="BJ462">
        <v>31</v>
      </c>
      <c r="BK462">
        <v>0</v>
      </c>
      <c r="BL462">
        <v>0</v>
      </c>
      <c r="BM462">
        <v>0</v>
      </c>
      <c r="BN462">
        <v>5</v>
      </c>
      <c r="BO462">
        <v>2.4</v>
      </c>
      <c r="BP462">
        <v>36</v>
      </c>
      <c r="BQ462">
        <v>0</v>
      </c>
      <c r="BR462">
        <v>0</v>
      </c>
      <c r="BS462">
        <v>0</v>
      </c>
      <c r="BT462">
        <v>5</v>
      </c>
      <c r="BU462">
        <v>2.2999999999999998</v>
      </c>
    </row>
    <row r="463" spans="1:73" x14ac:dyDescent="0.15">
      <c r="A463" s="11">
        <v>10410</v>
      </c>
      <c r="B463">
        <v>7</v>
      </c>
      <c r="C463" s="1">
        <v>0</v>
      </c>
      <c r="D463">
        <v>5</v>
      </c>
      <c r="E463">
        <v>1</v>
      </c>
      <c r="F463">
        <v>1</v>
      </c>
      <c r="G463" s="7">
        <v>0.05</v>
      </c>
      <c r="H463">
        <v>12</v>
      </c>
      <c r="I463">
        <v>0</v>
      </c>
      <c r="J463">
        <v>0</v>
      </c>
      <c r="K463">
        <v>0</v>
      </c>
      <c r="L463">
        <v>1</v>
      </c>
      <c r="M463">
        <v>2</v>
      </c>
      <c r="N463" s="7">
        <v>9</v>
      </c>
      <c r="O463" s="7">
        <v>0</v>
      </c>
      <c r="P463" s="7">
        <v>0</v>
      </c>
      <c r="Q463" s="7">
        <v>0</v>
      </c>
      <c r="R463" s="7">
        <v>1</v>
      </c>
      <c r="S463" s="7">
        <v>4.5</v>
      </c>
      <c r="T463">
        <v>7</v>
      </c>
      <c r="U463" s="1">
        <v>0</v>
      </c>
      <c r="V463">
        <v>4</v>
      </c>
      <c r="W463">
        <v>2</v>
      </c>
      <c r="X463">
        <v>1</v>
      </c>
      <c r="Y463">
        <v>0.16</v>
      </c>
      <c r="Z463">
        <v>23</v>
      </c>
      <c r="AA463">
        <v>0</v>
      </c>
      <c r="AB463">
        <v>0</v>
      </c>
      <c r="AC463">
        <v>0</v>
      </c>
      <c r="AD463">
        <v>1</v>
      </c>
      <c r="AE463">
        <v>0.05</v>
      </c>
      <c r="AF463">
        <v>15</v>
      </c>
      <c r="AG463">
        <v>0</v>
      </c>
      <c r="AH463">
        <v>0</v>
      </c>
      <c r="AI463">
        <v>0</v>
      </c>
      <c r="AJ463">
        <v>1</v>
      </c>
      <c r="AK463">
        <v>0.02</v>
      </c>
      <c r="AL463">
        <v>16</v>
      </c>
      <c r="AM463">
        <v>0</v>
      </c>
      <c r="AN463">
        <v>0</v>
      </c>
      <c r="AO463">
        <v>0</v>
      </c>
      <c r="AP463">
        <v>1</v>
      </c>
      <c r="AQ463">
        <v>0.01</v>
      </c>
      <c r="AR463">
        <v>6</v>
      </c>
      <c r="AS463">
        <v>2</v>
      </c>
      <c r="AT463">
        <v>2</v>
      </c>
      <c r="AU463">
        <v>5</v>
      </c>
      <c r="AV463">
        <v>1</v>
      </c>
      <c r="AW463">
        <v>0.05</v>
      </c>
      <c r="AX463">
        <v>7</v>
      </c>
      <c r="AY463" s="1">
        <v>0</v>
      </c>
      <c r="AZ463">
        <v>3</v>
      </c>
      <c r="BA463">
        <v>1</v>
      </c>
      <c r="BB463">
        <v>1</v>
      </c>
      <c r="BC463" s="7">
        <v>0.32</v>
      </c>
      <c r="BD463">
        <v>30</v>
      </c>
      <c r="BE463">
        <v>0</v>
      </c>
      <c r="BF463">
        <v>0</v>
      </c>
      <c r="BG463">
        <v>0</v>
      </c>
      <c r="BH463">
        <v>5</v>
      </c>
      <c r="BI463">
        <v>2.4</v>
      </c>
      <c r="BJ463">
        <v>31</v>
      </c>
      <c r="BK463">
        <v>0</v>
      </c>
      <c r="BL463">
        <v>0</v>
      </c>
      <c r="BM463">
        <v>0</v>
      </c>
      <c r="BN463">
        <v>5</v>
      </c>
      <c r="BO463">
        <v>2.4</v>
      </c>
      <c r="BP463">
        <v>36</v>
      </c>
      <c r="BQ463">
        <v>0</v>
      </c>
      <c r="BR463">
        <v>0</v>
      </c>
      <c r="BS463">
        <v>0</v>
      </c>
      <c r="BT463">
        <v>5</v>
      </c>
      <c r="BU463">
        <v>2.2999999999999998</v>
      </c>
    </row>
    <row r="464" spans="1:73" x14ac:dyDescent="0.15">
      <c r="A464" s="11">
        <v>10411</v>
      </c>
      <c r="B464">
        <v>7</v>
      </c>
      <c r="C464" s="1">
        <v>45</v>
      </c>
      <c r="D464">
        <v>0</v>
      </c>
      <c r="E464">
        <v>0</v>
      </c>
      <c r="F464">
        <v>1</v>
      </c>
      <c r="G464" s="7">
        <v>0.05</v>
      </c>
      <c r="H464">
        <v>12</v>
      </c>
      <c r="I464">
        <v>0</v>
      </c>
      <c r="J464">
        <v>0</v>
      </c>
      <c r="K464">
        <v>0</v>
      </c>
      <c r="L464">
        <v>1</v>
      </c>
      <c r="M464">
        <v>2</v>
      </c>
      <c r="N464" s="7">
        <v>9</v>
      </c>
      <c r="O464" s="7">
        <v>0</v>
      </c>
      <c r="P464" s="7">
        <v>0</v>
      </c>
      <c r="Q464" s="7">
        <v>0</v>
      </c>
      <c r="R464" s="7">
        <v>1</v>
      </c>
      <c r="S464" s="7">
        <v>4.5</v>
      </c>
      <c r="T464">
        <v>7</v>
      </c>
      <c r="U464" s="1">
        <v>33</v>
      </c>
      <c r="V464">
        <v>0</v>
      </c>
      <c r="W464">
        <v>0</v>
      </c>
      <c r="X464">
        <v>1</v>
      </c>
      <c r="Y464">
        <v>0.16</v>
      </c>
      <c r="Z464">
        <v>23</v>
      </c>
      <c r="AA464">
        <v>0</v>
      </c>
      <c r="AB464">
        <v>0</v>
      </c>
      <c r="AC464">
        <v>0</v>
      </c>
      <c r="AD464">
        <v>1</v>
      </c>
      <c r="AE464">
        <v>0.05</v>
      </c>
      <c r="AF464">
        <v>15</v>
      </c>
      <c r="AG464">
        <v>0</v>
      </c>
      <c r="AH464">
        <v>0</v>
      </c>
      <c r="AI464">
        <v>0</v>
      </c>
      <c r="AJ464">
        <v>1</v>
      </c>
      <c r="AK464">
        <v>0.02</v>
      </c>
      <c r="AL464">
        <v>16</v>
      </c>
      <c r="AM464">
        <v>0</v>
      </c>
      <c r="AN464">
        <v>0</v>
      </c>
      <c r="AO464">
        <v>0</v>
      </c>
      <c r="AP464">
        <v>1</v>
      </c>
      <c r="AQ464">
        <v>0.01</v>
      </c>
      <c r="AX464">
        <v>7</v>
      </c>
      <c r="AY464" s="1">
        <v>17</v>
      </c>
      <c r="AZ464">
        <v>0</v>
      </c>
      <c r="BA464">
        <v>0</v>
      </c>
      <c r="BB464">
        <v>1</v>
      </c>
      <c r="BC464" s="7">
        <v>0.32</v>
      </c>
      <c r="BD464">
        <v>30</v>
      </c>
      <c r="BE464">
        <v>0</v>
      </c>
      <c r="BF464">
        <v>0</v>
      </c>
      <c r="BG464">
        <v>0</v>
      </c>
      <c r="BH464">
        <v>5</v>
      </c>
      <c r="BI464">
        <v>2.4</v>
      </c>
      <c r="BJ464">
        <v>31</v>
      </c>
      <c r="BK464">
        <v>0</v>
      </c>
      <c r="BL464">
        <v>0</v>
      </c>
      <c r="BM464">
        <v>0</v>
      </c>
      <c r="BN464">
        <v>5</v>
      </c>
      <c r="BO464">
        <v>2.4</v>
      </c>
      <c r="BP464">
        <v>36</v>
      </c>
      <c r="BQ464">
        <v>0</v>
      </c>
      <c r="BR464">
        <v>0</v>
      </c>
      <c r="BS464">
        <v>0</v>
      </c>
      <c r="BT464">
        <v>5</v>
      </c>
      <c r="BU464">
        <v>2.2999999999999998</v>
      </c>
    </row>
    <row r="465" spans="1:73" x14ac:dyDescent="0.15">
      <c r="A465" s="11">
        <v>10412</v>
      </c>
      <c r="B465">
        <v>7</v>
      </c>
      <c r="C465" s="1">
        <v>46</v>
      </c>
      <c r="D465">
        <v>0</v>
      </c>
      <c r="E465">
        <v>0</v>
      </c>
      <c r="F465">
        <v>1</v>
      </c>
      <c r="G465" s="7">
        <v>0.05</v>
      </c>
      <c r="H465">
        <v>12</v>
      </c>
      <c r="I465">
        <v>0</v>
      </c>
      <c r="J465">
        <v>0</v>
      </c>
      <c r="K465">
        <v>0</v>
      </c>
      <c r="L465">
        <v>1</v>
      </c>
      <c r="M465">
        <v>2</v>
      </c>
      <c r="N465" s="7">
        <v>9</v>
      </c>
      <c r="O465" s="7">
        <v>0</v>
      </c>
      <c r="P465" s="7">
        <v>0</v>
      </c>
      <c r="Q465" s="7">
        <v>0</v>
      </c>
      <c r="R465" s="7">
        <v>1</v>
      </c>
      <c r="S465" s="7">
        <v>4.5</v>
      </c>
      <c r="T465">
        <v>7</v>
      </c>
      <c r="U465" s="1">
        <v>34</v>
      </c>
      <c r="V465">
        <v>0</v>
      </c>
      <c r="W465">
        <v>0</v>
      </c>
      <c r="X465">
        <v>1</v>
      </c>
      <c r="Y465">
        <v>0.16</v>
      </c>
      <c r="Z465">
        <v>23</v>
      </c>
      <c r="AA465">
        <v>0</v>
      </c>
      <c r="AB465">
        <v>0</v>
      </c>
      <c r="AC465">
        <v>0</v>
      </c>
      <c r="AD465">
        <v>1</v>
      </c>
      <c r="AE465">
        <v>0.05</v>
      </c>
      <c r="AF465">
        <v>15</v>
      </c>
      <c r="AG465">
        <v>0</v>
      </c>
      <c r="AH465">
        <v>0</v>
      </c>
      <c r="AI465">
        <v>0</v>
      </c>
      <c r="AJ465">
        <v>1</v>
      </c>
      <c r="AK465">
        <v>0.02</v>
      </c>
      <c r="AL465">
        <v>16</v>
      </c>
      <c r="AM465">
        <v>0</v>
      </c>
      <c r="AN465">
        <v>0</v>
      </c>
      <c r="AO465">
        <v>0</v>
      </c>
      <c r="AP465">
        <v>1</v>
      </c>
      <c r="AQ465">
        <v>0.01</v>
      </c>
      <c r="AX465">
        <v>7</v>
      </c>
      <c r="AY465" s="1">
        <v>18</v>
      </c>
      <c r="AZ465">
        <v>0</v>
      </c>
      <c r="BA465">
        <v>0</v>
      </c>
      <c r="BB465">
        <v>1</v>
      </c>
      <c r="BC465" s="7">
        <v>0.32</v>
      </c>
      <c r="BD465">
        <v>30</v>
      </c>
      <c r="BE465">
        <v>0</v>
      </c>
      <c r="BF465">
        <v>0</v>
      </c>
      <c r="BG465">
        <v>0</v>
      </c>
      <c r="BH465">
        <v>5</v>
      </c>
      <c r="BI465">
        <v>2.4</v>
      </c>
      <c r="BJ465">
        <v>31</v>
      </c>
      <c r="BK465">
        <v>0</v>
      </c>
      <c r="BL465">
        <v>0</v>
      </c>
      <c r="BM465">
        <v>0</v>
      </c>
      <c r="BN465">
        <v>5</v>
      </c>
      <c r="BO465">
        <v>2.4</v>
      </c>
      <c r="BP465">
        <v>36</v>
      </c>
      <c r="BQ465">
        <v>0</v>
      </c>
      <c r="BR465">
        <v>0</v>
      </c>
      <c r="BS465">
        <v>0</v>
      </c>
      <c r="BT465">
        <v>5</v>
      </c>
      <c r="BU465">
        <v>2.2999999999999998</v>
      </c>
    </row>
    <row r="466" spans="1:73" x14ac:dyDescent="0.15">
      <c r="A466" s="11">
        <v>10413</v>
      </c>
      <c r="B466">
        <v>7</v>
      </c>
      <c r="C466" s="1">
        <v>47</v>
      </c>
      <c r="D466">
        <v>0</v>
      </c>
      <c r="E466">
        <v>0</v>
      </c>
      <c r="F466">
        <v>1</v>
      </c>
      <c r="G466" s="7">
        <v>0.05</v>
      </c>
      <c r="H466">
        <v>12</v>
      </c>
      <c r="I466">
        <v>0</v>
      </c>
      <c r="J466">
        <v>0</v>
      </c>
      <c r="K466">
        <v>0</v>
      </c>
      <c r="L466">
        <v>1</v>
      </c>
      <c r="M466">
        <v>2</v>
      </c>
      <c r="N466" s="7">
        <v>9</v>
      </c>
      <c r="O466" s="7">
        <v>0</v>
      </c>
      <c r="P466" s="7">
        <v>0</v>
      </c>
      <c r="Q466" s="7">
        <v>0</v>
      </c>
      <c r="R466" s="7">
        <v>1</v>
      </c>
      <c r="S466" s="7">
        <v>4.5</v>
      </c>
      <c r="T466">
        <v>7</v>
      </c>
      <c r="U466" s="1">
        <v>35</v>
      </c>
      <c r="V466">
        <v>0</v>
      </c>
      <c r="W466">
        <v>0</v>
      </c>
      <c r="X466">
        <v>1</v>
      </c>
      <c r="Y466">
        <v>0.16</v>
      </c>
      <c r="Z466">
        <v>23</v>
      </c>
      <c r="AA466">
        <v>0</v>
      </c>
      <c r="AB466">
        <v>0</v>
      </c>
      <c r="AC466">
        <v>0</v>
      </c>
      <c r="AD466">
        <v>1</v>
      </c>
      <c r="AE466">
        <v>0.05</v>
      </c>
      <c r="AF466">
        <v>15</v>
      </c>
      <c r="AG466">
        <v>0</v>
      </c>
      <c r="AH466">
        <v>0</v>
      </c>
      <c r="AI466">
        <v>0</v>
      </c>
      <c r="AJ466">
        <v>1</v>
      </c>
      <c r="AK466">
        <v>0.02</v>
      </c>
      <c r="AL466">
        <v>16</v>
      </c>
      <c r="AM466">
        <v>0</v>
      </c>
      <c r="AN466">
        <v>0</v>
      </c>
      <c r="AO466">
        <v>0</v>
      </c>
      <c r="AP466">
        <v>1</v>
      </c>
      <c r="AQ466">
        <v>0.01</v>
      </c>
      <c r="AX466">
        <v>7</v>
      </c>
      <c r="AY466" s="1">
        <v>19</v>
      </c>
      <c r="AZ466">
        <v>0</v>
      </c>
      <c r="BA466">
        <v>0</v>
      </c>
      <c r="BB466">
        <v>1</v>
      </c>
      <c r="BC466" s="7">
        <v>0.32</v>
      </c>
      <c r="BD466">
        <v>30</v>
      </c>
      <c r="BE466">
        <v>0</v>
      </c>
      <c r="BF466">
        <v>0</v>
      </c>
      <c r="BG466">
        <v>0</v>
      </c>
      <c r="BH466">
        <v>5</v>
      </c>
      <c r="BI466">
        <v>2.4</v>
      </c>
      <c r="BJ466">
        <v>31</v>
      </c>
      <c r="BK466">
        <v>0</v>
      </c>
      <c r="BL466">
        <v>0</v>
      </c>
      <c r="BM466">
        <v>0</v>
      </c>
      <c r="BN466">
        <v>5</v>
      </c>
      <c r="BO466">
        <v>2.4</v>
      </c>
      <c r="BP466">
        <v>36</v>
      </c>
      <c r="BQ466">
        <v>0</v>
      </c>
      <c r="BR466">
        <v>0</v>
      </c>
      <c r="BS466">
        <v>0</v>
      </c>
      <c r="BT466">
        <v>5</v>
      </c>
      <c r="BU466">
        <v>2.2999999999999998</v>
      </c>
    </row>
    <row r="467" spans="1:73" x14ac:dyDescent="0.15">
      <c r="A467" s="11">
        <v>10414</v>
      </c>
      <c r="B467">
        <v>7</v>
      </c>
      <c r="C467" s="1">
        <v>48</v>
      </c>
      <c r="D467">
        <v>0</v>
      </c>
      <c r="E467">
        <v>0</v>
      </c>
      <c r="F467">
        <v>1</v>
      </c>
      <c r="G467" s="7">
        <v>0.05</v>
      </c>
      <c r="H467">
        <v>12</v>
      </c>
      <c r="I467">
        <v>0</v>
      </c>
      <c r="J467">
        <v>0</v>
      </c>
      <c r="K467">
        <v>0</v>
      </c>
      <c r="L467">
        <v>1</v>
      </c>
      <c r="M467">
        <v>2</v>
      </c>
      <c r="N467" s="7">
        <v>9</v>
      </c>
      <c r="O467" s="7">
        <v>0</v>
      </c>
      <c r="P467" s="7">
        <v>0</v>
      </c>
      <c r="Q467" s="7">
        <v>0</v>
      </c>
      <c r="R467" s="7">
        <v>1</v>
      </c>
      <c r="S467" s="7">
        <v>4.5</v>
      </c>
      <c r="T467">
        <v>7</v>
      </c>
      <c r="U467" s="1">
        <v>36</v>
      </c>
      <c r="V467">
        <v>0</v>
      </c>
      <c r="W467">
        <v>0</v>
      </c>
      <c r="X467">
        <v>1</v>
      </c>
      <c r="Y467">
        <v>0.16</v>
      </c>
      <c r="Z467">
        <v>23</v>
      </c>
      <c r="AA467">
        <v>0</v>
      </c>
      <c r="AB467">
        <v>0</v>
      </c>
      <c r="AC467">
        <v>0</v>
      </c>
      <c r="AD467">
        <v>1</v>
      </c>
      <c r="AE467">
        <v>0.05</v>
      </c>
      <c r="AF467">
        <v>15</v>
      </c>
      <c r="AG467">
        <v>0</v>
      </c>
      <c r="AH467">
        <v>0</v>
      </c>
      <c r="AI467">
        <v>0</v>
      </c>
      <c r="AJ467">
        <v>1</v>
      </c>
      <c r="AK467">
        <v>0.02</v>
      </c>
      <c r="AL467">
        <v>16</v>
      </c>
      <c r="AM467">
        <v>0</v>
      </c>
      <c r="AN467">
        <v>0</v>
      </c>
      <c r="AO467">
        <v>0</v>
      </c>
      <c r="AP467">
        <v>1</v>
      </c>
      <c r="AQ467">
        <v>0.01</v>
      </c>
      <c r="AX467">
        <v>7</v>
      </c>
      <c r="AY467" s="1">
        <v>20</v>
      </c>
      <c r="AZ467">
        <v>0</v>
      </c>
      <c r="BA467">
        <v>0</v>
      </c>
      <c r="BB467">
        <v>1</v>
      </c>
      <c r="BC467" s="7">
        <v>0.32</v>
      </c>
      <c r="BD467">
        <v>30</v>
      </c>
      <c r="BE467">
        <v>0</v>
      </c>
      <c r="BF467">
        <v>0</v>
      </c>
      <c r="BG467">
        <v>0</v>
      </c>
      <c r="BH467">
        <v>5</v>
      </c>
      <c r="BI467">
        <v>2.4</v>
      </c>
      <c r="BJ467">
        <v>31</v>
      </c>
      <c r="BK467">
        <v>0</v>
      </c>
      <c r="BL467">
        <v>0</v>
      </c>
      <c r="BM467">
        <v>0</v>
      </c>
      <c r="BN467">
        <v>5</v>
      </c>
      <c r="BO467">
        <v>2.4</v>
      </c>
      <c r="BP467">
        <v>36</v>
      </c>
      <c r="BQ467">
        <v>0</v>
      </c>
      <c r="BR467">
        <v>0</v>
      </c>
      <c r="BS467">
        <v>0</v>
      </c>
      <c r="BT467">
        <v>5</v>
      </c>
      <c r="BU467">
        <v>2.2999999999999998</v>
      </c>
    </row>
    <row r="468" spans="1:73" x14ac:dyDescent="0.15">
      <c r="A468" s="11">
        <v>10415</v>
      </c>
      <c r="B468">
        <v>7</v>
      </c>
      <c r="C468" s="1">
        <v>0</v>
      </c>
      <c r="D468">
        <v>5</v>
      </c>
      <c r="E468">
        <v>1</v>
      </c>
      <c r="F468">
        <v>1</v>
      </c>
      <c r="G468" s="7">
        <v>0.05</v>
      </c>
      <c r="H468">
        <v>12</v>
      </c>
      <c r="I468">
        <v>0</v>
      </c>
      <c r="J468">
        <v>0</v>
      </c>
      <c r="K468">
        <v>0</v>
      </c>
      <c r="L468">
        <v>1</v>
      </c>
      <c r="M468">
        <v>2</v>
      </c>
      <c r="N468" s="7">
        <v>9</v>
      </c>
      <c r="O468" s="7">
        <v>0</v>
      </c>
      <c r="P468" s="7">
        <v>0</v>
      </c>
      <c r="Q468" s="7">
        <v>0</v>
      </c>
      <c r="R468" s="7">
        <v>1</v>
      </c>
      <c r="S468" s="7">
        <v>4.5</v>
      </c>
      <c r="T468">
        <v>7</v>
      </c>
      <c r="U468" s="1">
        <v>0</v>
      </c>
      <c r="V468">
        <v>4</v>
      </c>
      <c r="W468">
        <v>2</v>
      </c>
      <c r="X468">
        <v>1</v>
      </c>
      <c r="Y468">
        <v>0.16</v>
      </c>
      <c r="Z468">
        <v>23</v>
      </c>
      <c r="AA468">
        <v>0</v>
      </c>
      <c r="AB468">
        <v>0</v>
      </c>
      <c r="AC468">
        <v>0</v>
      </c>
      <c r="AD468">
        <v>1</v>
      </c>
      <c r="AE468">
        <v>0.05</v>
      </c>
      <c r="AF468">
        <v>15</v>
      </c>
      <c r="AG468">
        <v>0</v>
      </c>
      <c r="AH468">
        <v>0</v>
      </c>
      <c r="AI468">
        <v>0</v>
      </c>
      <c r="AJ468">
        <v>1</v>
      </c>
      <c r="AK468">
        <v>0.02</v>
      </c>
      <c r="AL468">
        <v>16</v>
      </c>
      <c r="AM468">
        <v>0</v>
      </c>
      <c r="AN468">
        <v>0</v>
      </c>
      <c r="AO468">
        <v>0</v>
      </c>
      <c r="AP468">
        <v>1</v>
      </c>
      <c r="AQ468">
        <v>0.01</v>
      </c>
      <c r="AR468">
        <v>6</v>
      </c>
      <c r="AS468">
        <v>2</v>
      </c>
      <c r="AT468">
        <v>3</v>
      </c>
      <c r="AU468">
        <v>5</v>
      </c>
      <c r="AV468">
        <v>1</v>
      </c>
      <c r="AW468">
        <v>0.05</v>
      </c>
      <c r="AX468">
        <v>7</v>
      </c>
      <c r="AY468" s="1">
        <v>0</v>
      </c>
      <c r="AZ468">
        <v>3</v>
      </c>
      <c r="BA468">
        <v>1</v>
      </c>
      <c r="BB468">
        <v>1</v>
      </c>
      <c r="BC468" s="7">
        <v>0.32</v>
      </c>
      <c r="BD468">
        <v>30</v>
      </c>
      <c r="BE468">
        <v>0</v>
      </c>
      <c r="BF468">
        <v>0</v>
      </c>
      <c r="BG468">
        <v>0</v>
      </c>
      <c r="BH468">
        <v>5</v>
      </c>
      <c r="BI468">
        <v>2.4</v>
      </c>
      <c r="BJ468">
        <v>31</v>
      </c>
      <c r="BK468">
        <v>0</v>
      </c>
      <c r="BL468">
        <v>0</v>
      </c>
      <c r="BM468">
        <v>0</v>
      </c>
      <c r="BN468">
        <v>5</v>
      </c>
      <c r="BO468">
        <v>2.4</v>
      </c>
      <c r="BP468">
        <v>36</v>
      </c>
      <c r="BQ468">
        <v>0</v>
      </c>
      <c r="BR468">
        <v>0</v>
      </c>
      <c r="BS468">
        <v>0</v>
      </c>
      <c r="BT468">
        <v>5</v>
      </c>
      <c r="BU468">
        <v>2.2999999999999998</v>
      </c>
    </row>
    <row r="469" spans="1:73" x14ac:dyDescent="0.15">
      <c r="A469" s="11">
        <v>10416</v>
      </c>
      <c r="B469">
        <v>7</v>
      </c>
      <c r="C469" s="1">
        <v>45</v>
      </c>
      <c r="D469">
        <v>0</v>
      </c>
      <c r="E469">
        <v>0</v>
      </c>
      <c r="F469">
        <v>1</v>
      </c>
      <c r="G469" s="7">
        <v>0.05</v>
      </c>
      <c r="H469">
        <v>12</v>
      </c>
      <c r="I469">
        <v>0</v>
      </c>
      <c r="J469">
        <v>0</v>
      </c>
      <c r="K469">
        <v>0</v>
      </c>
      <c r="L469">
        <v>1</v>
      </c>
      <c r="M469">
        <v>2</v>
      </c>
      <c r="N469" s="7">
        <v>9</v>
      </c>
      <c r="O469" s="7">
        <v>0</v>
      </c>
      <c r="P469" s="7">
        <v>0</v>
      </c>
      <c r="Q469" s="7">
        <v>0</v>
      </c>
      <c r="R469" s="7">
        <v>1</v>
      </c>
      <c r="S469" s="7">
        <v>4.5</v>
      </c>
      <c r="T469">
        <v>7</v>
      </c>
      <c r="U469" s="1">
        <v>33</v>
      </c>
      <c r="V469">
        <v>0</v>
      </c>
      <c r="W469">
        <v>0</v>
      </c>
      <c r="X469">
        <v>1</v>
      </c>
      <c r="Y469">
        <v>0.16</v>
      </c>
      <c r="Z469">
        <v>23</v>
      </c>
      <c r="AA469">
        <v>0</v>
      </c>
      <c r="AB469">
        <v>0</v>
      </c>
      <c r="AC469">
        <v>0</v>
      </c>
      <c r="AD469">
        <v>1</v>
      </c>
      <c r="AE469">
        <v>0.05</v>
      </c>
      <c r="AF469">
        <v>15</v>
      </c>
      <c r="AG469">
        <v>0</v>
      </c>
      <c r="AH469">
        <v>0</v>
      </c>
      <c r="AI469">
        <v>0</v>
      </c>
      <c r="AJ469">
        <v>1</v>
      </c>
      <c r="AK469">
        <v>0.02</v>
      </c>
      <c r="AL469">
        <v>16</v>
      </c>
      <c r="AM469">
        <v>0</v>
      </c>
      <c r="AN469">
        <v>0</v>
      </c>
      <c r="AO469">
        <v>0</v>
      </c>
      <c r="AP469">
        <v>1</v>
      </c>
      <c r="AQ469">
        <v>0.01</v>
      </c>
      <c r="AX469">
        <v>7</v>
      </c>
      <c r="AY469" s="1">
        <v>17</v>
      </c>
      <c r="AZ469">
        <v>0</v>
      </c>
      <c r="BA469">
        <v>0</v>
      </c>
      <c r="BB469">
        <v>1</v>
      </c>
      <c r="BC469" s="7">
        <v>0.32</v>
      </c>
      <c r="BD469">
        <v>30</v>
      </c>
      <c r="BE469">
        <v>0</v>
      </c>
      <c r="BF469">
        <v>0</v>
      </c>
      <c r="BG469">
        <v>0</v>
      </c>
      <c r="BH469">
        <v>5</v>
      </c>
      <c r="BI469">
        <v>2.4</v>
      </c>
      <c r="BJ469">
        <v>31</v>
      </c>
      <c r="BK469">
        <v>0</v>
      </c>
      <c r="BL469">
        <v>0</v>
      </c>
      <c r="BM469">
        <v>0</v>
      </c>
      <c r="BN469">
        <v>5</v>
      </c>
      <c r="BO469">
        <v>2.4</v>
      </c>
      <c r="BP469">
        <v>36</v>
      </c>
      <c r="BQ469">
        <v>0</v>
      </c>
      <c r="BR469">
        <v>0</v>
      </c>
      <c r="BS469">
        <v>0</v>
      </c>
      <c r="BT469">
        <v>5</v>
      </c>
      <c r="BU469">
        <v>2.2999999999999998</v>
      </c>
    </row>
    <row r="470" spans="1:73" x14ac:dyDescent="0.15">
      <c r="A470" s="11">
        <v>10417</v>
      </c>
      <c r="B470">
        <v>7</v>
      </c>
      <c r="C470" s="1">
        <v>46</v>
      </c>
      <c r="D470">
        <v>0</v>
      </c>
      <c r="E470">
        <v>0</v>
      </c>
      <c r="F470">
        <v>1</v>
      </c>
      <c r="G470" s="7">
        <v>0.05</v>
      </c>
      <c r="H470">
        <v>12</v>
      </c>
      <c r="I470">
        <v>0</v>
      </c>
      <c r="J470">
        <v>0</v>
      </c>
      <c r="K470">
        <v>0</v>
      </c>
      <c r="L470">
        <v>1</v>
      </c>
      <c r="M470">
        <v>2</v>
      </c>
      <c r="N470" s="7">
        <v>9</v>
      </c>
      <c r="O470" s="7">
        <v>0</v>
      </c>
      <c r="P470" s="7">
        <v>0</v>
      </c>
      <c r="Q470" s="7">
        <v>0</v>
      </c>
      <c r="R470" s="7">
        <v>1</v>
      </c>
      <c r="S470" s="7">
        <v>4.5</v>
      </c>
      <c r="T470">
        <v>7</v>
      </c>
      <c r="U470" s="1">
        <v>34</v>
      </c>
      <c r="V470">
        <v>0</v>
      </c>
      <c r="W470">
        <v>0</v>
      </c>
      <c r="X470">
        <v>1</v>
      </c>
      <c r="Y470">
        <v>0.16</v>
      </c>
      <c r="Z470">
        <v>23</v>
      </c>
      <c r="AA470">
        <v>0</v>
      </c>
      <c r="AB470">
        <v>0</v>
      </c>
      <c r="AC470">
        <v>0</v>
      </c>
      <c r="AD470">
        <v>1</v>
      </c>
      <c r="AE470">
        <v>0.05</v>
      </c>
      <c r="AF470">
        <v>15</v>
      </c>
      <c r="AG470">
        <v>0</v>
      </c>
      <c r="AH470">
        <v>0</v>
      </c>
      <c r="AI470">
        <v>0</v>
      </c>
      <c r="AJ470">
        <v>1</v>
      </c>
      <c r="AK470">
        <v>0.02</v>
      </c>
      <c r="AL470">
        <v>16</v>
      </c>
      <c r="AM470">
        <v>0</v>
      </c>
      <c r="AN470">
        <v>0</v>
      </c>
      <c r="AO470">
        <v>0</v>
      </c>
      <c r="AP470">
        <v>1</v>
      </c>
      <c r="AQ470">
        <v>0.01</v>
      </c>
      <c r="AX470">
        <v>7</v>
      </c>
      <c r="AY470" s="1">
        <v>18</v>
      </c>
      <c r="AZ470">
        <v>0</v>
      </c>
      <c r="BA470">
        <v>0</v>
      </c>
      <c r="BB470">
        <v>1</v>
      </c>
      <c r="BC470" s="7">
        <v>0.32</v>
      </c>
      <c r="BD470">
        <v>30</v>
      </c>
      <c r="BE470">
        <v>0</v>
      </c>
      <c r="BF470">
        <v>0</v>
      </c>
      <c r="BG470">
        <v>0</v>
      </c>
      <c r="BH470">
        <v>5</v>
      </c>
      <c r="BI470">
        <v>2.4</v>
      </c>
      <c r="BJ470">
        <v>31</v>
      </c>
      <c r="BK470">
        <v>0</v>
      </c>
      <c r="BL470">
        <v>0</v>
      </c>
      <c r="BM470">
        <v>0</v>
      </c>
      <c r="BN470">
        <v>5</v>
      </c>
      <c r="BO470">
        <v>2.4</v>
      </c>
      <c r="BP470">
        <v>36</v>
      </c>
      <c r="BQ470">
        <v>0</v>
      </c>
      <c r="BR470">
        <v>0</v>
      </c>
      <c r="BS470">
        <v>0</v>
      </c>
      <c r="BT470">
        <v>5</v>
      </c>
      <c r="BU470">
        <v>2.2999999999999998</v>
      </c>
    </row>
    <row r="471" spans="1:73" x14ac:dyDescent="0.15">
      <c r="A471" s="11">
        <v>10418</v>
      </c>
      <c r="B471">
        <v>7</v>
      </c>
      <c r="C471" s="1">
        <v>47</v>
      </c>
      <c r="D471">
        <v>0</v>
      </c>
      <c r="E471">
        <v>0</v>
      </c>
      <c r="F471">
        <v>1</v>
      </c>
      <c r="G471" s="7">
        <v>0.05</v>
      </c>
      <c r="H471">
        <v>12</v>
      </c>
      <c r="I471">
        <v>0</v>
      </c>
      <c r="J471">
        <v>0</v>
      </c>
      <c r="K471">
        <v>0</v>
      </c>
      <c r="L471">
        <v>1</v>
      </c>
      <c r="M471">
        <v>2</v>
      </c>
      <c r="N471" s="7">
        <v>9</v>
      </c>
      <c r="O471" s="7">
        <v>0</v>
      </c>
      <c r="P471" s="7">
        <v>0</v>
      </c>
      <c r="Q471" s="7">
        <v>0</v>
      </c>
      <c r="R471" s="7">
        <v>1</v>
      </c>
      <c r="S471" s="7">
        <v>4.5</v>
      </c>
      <c r="T471">
        <v>7</v>
      </c>
      <c r="U471" s="1">
        <v>35</v>
      </c>
      <c r="V471">
        <v>0</v>
      </c>
      <c r="W471">
        <v>0</v>
      </c>
      <c r="X471">
        <v>1</v>
      </c>
      <c r="Y471">
        <v>0.16</v>
      </c>
      <c r="Z471">
        <v>23</v>
      </c>
      <c r="AA471">
        <v>0</v>
      </c>
      <c r="AB471">
        <v>0</v>
      </c>
      <c r="AC471">
        <v>0</v>
      </c>
      <c r="AD471">
        <v>1</v>
      </c>
      <c r="AE471">
        <v>0.05</v>
      </c>
      <c r="AF471">
        <v>15</v>
      </c>
      <c r="AG471">
        <v>0</v>
      </c>
      <c r="AH471">
        <v>0</v>
      </c>
      <c r="AI471">
        <v>0</v>
      </c>
      <c r="AJ471">
        <v>1</v>
      </c>
      <c r="AK471">
        <v>0.02</v>
      </c>
      <c r="AL471">
        <v>16</v>
      </c>
      <c r="AM471">
        <v>0</v>
      </c>
      <c r="AN471">
        <v>0</v>
      </c>
      <c r="AO471">
        <v>0</v>
      </c>
      <c r="AP471">
        <v>1</v>
      </c>
      <c r="AQ471">
        <v>0.01</v>
      </c>
      <c r="AX471">
        <v>7</v>
      </c>
      <c r="AY471" s="1">
        <v>19</v>
      </c>
      <c r="AZ471">
        <v>0</v>
      </c>
      <c r="BA471">
        <v>0</v>
      </c>
      <c r="BB471">
        <v>1</v>
      </c>
      <c r="BC471" s="7">
        <v>0.32</v>
      </c>
      <c r="BD471">
        <v>30</v>
      </c>
      <c r="BE471">
        <v>0</v>
      </c>
      <c r="BF471">
        <v>0</v>
      </c>
      <c r="BG471">
        <v>0</v>
      </c>
      <c r="BH471">
        <v>5</v>
      </c>
      <c r="BI471">
        <v>2.4</v>
      </c>
      <c r="BJ471">
        <v>31</v>
      </c>
      <c r="BK471">
        <v>0</v>
      </c>
      <c r="BL471">
        <v>0</v>
      </c>
      <c r="BM471">
        <v>0</v>
      </c>
      <c r="BN471">
        <v>5</v>
      </c>
      <c r="BO471">
        <v>2.4</v>
      </c>
      <c r="BP471">
        <v>36</v>
      </c>
      <c r="BQ471">
        <v>0</v>
      </c>
      <c r="BR471">
        <v>0</v>
      </c>
      <c r="BS471">
        <v>0</v>
      </c>
      <c r="BT471">
        <v>5</v>
      </c>
      <c r="BU471">
        <v>2.2999999999999998</v>
      </c>
    </row>
    <row r="472" spans="1:73" x14ac:dyDescent="0.15">
      <c r="A472" s="11">
        <v>10419</v>
      </c>
      <c r="B472">
        <v>7</v>
      </c>
      <c r="C472" s="1">
        <v>48</v>
      </c>
      <c r="D472">
        <v>0</v>
      </c>
      <c r="E472">
        <v>0</v>
      </c>
      <c r="F472">
        <v>1</v>
      </c>
      <c r="G472" s="7">
        <v>0.05</v>
      </c>
      <c r="H472">
        <v>12</v>
      </c>
      <c r="I472">
        <v>0</v>
      </c>
      <c r="J472">
        <v>0</v>
      </c>
      <c r="K472">
        <v>0</v>
      </c>
      <c r="L472">
        <v>1</v>
      </c>
      <c r="M472">
        <v>2</v>
      </c>
      <c r="N472" s="7">
        <v>9</v>
      </c>
      <c r="O472" s="7">
        <v>0</v>
      </c>
      <c r="P472" s="7">
        <v>0</v>
      </c>
      <c r="Q472" s="7">
        <v>0</v>
      </c>
      <c r="R472" s="7">
        <v>1</v>
      </c>
      <c r="S472" s="7">
        <v>4.5</v>
      </c>
      <c r="T472">
        <v>7</v>
      </c>
      <c r="U472" s="1">
        <v>36</v>
      </c>
      <c r="V472">
        <v>0</v>
      </c>
      <c r="W472">
        <v>0</v>
      </c>
      <c r="X472">
        <v>1</v>
      </c>
      <c r="Y472">
        <v>0.16</v>
      </c>
      <c r="Z472">
        <v>23</v>
      </c>
      <c r="AA472">
        <v>0</v>
      </c>
      <c r="AB472">
        <v>0</v>
      </c>
      <c r="AC472">
        <v>0</v>
      </c>
      <c r="AD472">
        <v>1</v>
      </c>
      <c r="AE472">
        <v>0.05</v>
      </c>
      <c r="AF472">
        <v>15</v>
      </c>
      <c r="AG472">
        <v>0</v>
      </c>
      <c r="AH472">
        <v>0</v>
      </c>
      <c r="AI472">
        <v>0</v>
      </c>
      <c r="AJ472">
        <v>1</v>
      </c>
      <c r="AK472">
        <v>0.02</v>
      </c>
      <c r="AL472">
        <v>16</v>
      </c>
      <c r="AM472">
        <v>0</v>
      </c>
      <c r="AN472">
        <v>0</v>
      </c>
      <c r="AO472">
        <v>0</v>
      </c>
      <c r="AP472">
        <v>1</v>
      </c>
      <c r="AQ472">
        <v>0.01</v>
      </c>
      <c r="AX472">
        <v>7</v>
      </c>
      <c r="AY472" s="1">
        <v>20</v>
      </c>
      <c r="AZ472">
        <v>0</v>
      </c>
      <c r="BA472">
        <v>0</v>
      </c>
      <c r="BB472">
        <v>1</v>
      </c>
      <c r="BC472" s="7">
        <v>0.32</v>
      </c>
      <c r="BD472">
        <v>30</v>
      </c>
      <c r="BE472">
        <v>0</v>
      </c>
      <c r="BF472">
        <v>0</v>
      </c>
      <c r="BG472">
        <v>0</v>
      </c>
      <c r="BH472">
        <v>5</v>
      </c>
      <c r="BI472">
        <v>2.4</v>
      </c>
      <c r="BJ472">
        <v>31</v>
      </c>
      <c r="BK472">
        <v>0</v>
      </c>
      <c r="BL472">
        <v>0</v>
      </c>
      <c r="BM472">
        <v>0</v>
      </c>
      <c r="BN472">
        <v>5</v>
      </c>
      <c r="BO472">
        <v>2.4</v>
      </c>
      <c r="BP472">
        <v>36</v>
      </c>
      <c r="BQ472">
        <v>0</v>
      </c>
      <c r="BR472">
        <v>0</v>
      </c>
      <c r="BS472">
        <v>0</v>
      </c>
      <c r="BT472">
        <v>5</v>
      </c>
      <c r="BU472">
        <v>2.2999999999999998</v>
      </c>
    </row>
    <row r="473" spans="1:73" x14ac:dyDescent="0.15">
      <c r="A473" s="11">
        <v>10420</v>
      </c>
      <c r="B473">
        <v>7</v>
      </c>
      <c r="C473" s="1">
        <v>0</v>
      </c>
      <c r="D473">
        <v>5</v>
      </c>
      <c r="E473">
        <v>1</v>
      </c>
      <c r="F473">
        <v>1</v>
      </c>
      <c r="G473" s="7">
        <v>0.05</v>
      </c>
      <c r="H473">
        <v>12</v>
      </c>
      <c r="I473">
        <v>0</v>
      </c>
      <c r="J473">
        <v>0</v>
      </c>
      <c r="K473">
        <v>0</v>
      </c>
      <c r="L473">
        <v>1</v>
      </c>
      <c r="M473">
        <v>2</v>
      </c>
      <c r="N473" s="7">
        <v>9</v>
      </c>
      <c r="O473" s="7">
        <v>0</v>
      </c>
      <c r="P473" s="7">
        <v>0</v>
      </c>
      <c r="Q473" s="7">
        <v>0</v>
      </c>
      <c r="R473" s="7">
        <v>1</v>
      </c>
      <c r="S473" s="7">
        <v>4.5</v>
      </c>
      <c r="T473">
        <v>7</v>
      </c>
      <c r="U473" s="1">
        <v>0</v>
      </c>
      <c r="V473">
        <v>4</v>
      </c>
      <c r="W473">
        <v>2</v>
      </c>
      <c r="X473">
        <v>1</v>
      </c>
      <c r="Y473">
        <v>0.16</v>
      </c>
      <c r="Z473">
        <v>23</v>
      </c>
      <c r="AA473">
        <v>0</v>
      </c>
      <c r="AB473">
        <v>0</v>
      </c>
      <c r="AC473">
        <v>0</v>
      </c>
      <c r="AD473">
        <v>1</v>
      </c>
      <c r="AE473">
        <v>0.05</v>
      </c>
      <c r="AF473">
        <v>15</v>
      </c>
      <c r="AG473">
        <v>0</v>
      </c>
      <c r="AH473">
        <v>0</v>
      </c>
      <c r="AI473">
        <v>0</v>
      </c>
      <c r="AJ473">
        <v>1</v>
      </c>
      <c r="AK473">
        <v>0.02</v>
      </c>
      <c r="AL473">
        <v>16</v>
      </c>
      <c r="AM473">
        <v>0</v>
      </c>
      <c r="AN473">
        <v>0</v>
      </c>
      <c r="AO473">
        <v>0</v>
      </c>
      <c r="AP473">
        <v>1</v>
      </c>
      <c r="AQ473">
        <v>0.01</v>
      </c>
      <c r="AR473">
        <v>6</v>
      </c>
      <c r="AS473">
        <v>2</v>
      </c>
      <c r="AT473">
        <v>4</v>
      </c>
      <c r="AU473">
        <v>5</v>
      </c>
      <c r="AV473">
        <v>1</v>
      </c>
      <c r="AW473">
        <v>0.01</v>
      </c>
      <c r="AX473">
        <v>7</v>
      </c>
      <c r="AY473" s="1">
        <v>0</v>
      </c>
      <c r="AZ473">
        <v>3</v>
      </c>
      <c r="BA473">
        <v>1</v>
      </c>
      <c r="BB473">
        <v>1</v>
      </c>
      <c r="BC473" s="7">
        <v>0.32</v>
      </c>
      <c r="BD473">
        <v>30</v>
      </c>
      <c r="BE473">
        <v>0</v>
      </c>
      <c r="BF473">
        <v>0</v>
      </c>
      <c r="BG473">
        <v>0</v>
      </c>
      <c r="BH473">
        <v>5</v>
      </c>
      <c r="BI473">
        <v>2.4</v>
      </c>
      <c r="BJ473">
        <v>31</v>
      </c>
      <c r="BK473">
        <v>0</v>
      </c>
      <c r="BL473">
        <v>0</v>
      </c>
      <c r="BM473">
        <v>0</v>
      </c>
      <c r="BN473">
        <v>5</v>
      </c>
      <c r="BO473">
        <v>2.4</v>
      </c>
      <c r="BP473">
        <v>36</v>
      </c>
      <c r="BQ473">
        <v>0</v>
      </c>
      <c r="BR473">
        <v>0</v>
      </c>
      <c r="BS473">
        <v>0</v>
      </c>
      <c r="BT473">
        <v>5</v>
      </c>
      <c r="BU473">
        <v>2.2999999999999998</v>
      </c>
    </row>
    <row r="474" spans="1:73" x14ac:dyDescent="0.15">
      <c r="A474" s="11">
        <v>10421</v>
      </c>
      <c r="B474">
        <v>7</v>
      </c>
      <c r="C474" s="1">
        <v>45</v>
      </c>
      <c r="D474">
        <v>0</v>
      </c>
      <c r="E474">
        <v>0</v>
      </c>
      <c r="F474">
        <v>1</v>
      </c>
      <c r="G474" s="7">
        <v>0.05</v>
      </c>
      <c r="H474">
        <v>12</v>
      </c>
      <c r="I474">
        <v>0</v>
      </c>
      <c r="J474">
        <v>0</v>
      </c>
      <c r="K474">
        <v>0</v>
      </c>
      <c r="L474">
        <v>1</v>
      </c>
      <c r="M474">
        <v>2</v>
      </c>
      <c r="N474" s="7">
        <v>9</v>
      </c>
      <c r="O474" s="7">
        <v>0</v>
      </c>
      <c r="P474" s="7">
        <v>0</v>
      </c>
      <c r="Q474" s="7">
        <v>0</v>
      </c>
      <c r="R474" s="7">
        <v>1</v>
      </c>
      <c r="S474" s="7">
        <v>4.5</v>
      </c>
      <c r="T474">
        <v>7</v>
      </c>
      <c r="U474" s="1">
        <v>33</v>
      </c>
      <c r="V474">
        <v>0</v>
      </c>
      <c r="W474">
        <v>0</v>
      </c>
      <c r="X474">
        <v>1</v>
      </c>
      <c r="Y474">
        <v>0.16</v>
      </c>
      <c r="Z474">
        <v>23</v>
      </c>
      <c r="AA474">
        <v>0</v>
      </c>
      <c r="AB474">
        <v>0</v>
      </c>
      <c r="AC474">
        <v>0</v>
      </c>
      <c r="AD474">
        <v>1</v>
      </c>
      <c r="AE474">
        <v>0.05</v>
      </c>
      <c r="AF474">
        <v>15</v>
      </c>
      <c r="AG474">
        <v>0</v>
      </c>
      <c r="AH474">
        <v>0</v>
      </c>
      <c r="AI474">
        <v>0</v>
      </c>
      <c r="AJ474">
        <v>1</v>
      </c>
      <c r="AK474">
        <v>0.02</v>
      </c>
      <c r="AL474">
        <v>16</v>
      </c>
      <c r="AM474">
        <v>0</v>
      </c>
      <c r="AN474">
        <v>0</v>
      </c>
      <c r="AO474">
        <v>0</v>
      </c>
      <c r="AP474">
        <v>1</v>
      </c>
      <c r="AQ474">
        <v>0.01</v>
      </c>
      <c r="AX474">
        <v>7</v>
      </c>
      <c r="AY474" s="1">
        <v>17</v>
      </c>
      <c r="AZ474">
        <v>0</v>
      </c>
      <c r="BA474">
        <v>0</v>
      </c>
      <c r="BB474">
        <v>1</v>
      </c>
      <c r="BC474" s="7">
        <v>0.32</v>
      </c>
      <c r="BD474">
        <v>30</v>
      </c>
      <c r="BE474">
        <v>0</v>
      </c>
      <c r="BF474">
        <v>0</v>
      </c>
      <c r="BG474">
        <v>0</v>
      </c>
      <c r="BH474">
        <v>5</v>
      </c>
      <c r="BI474">
        <v>2.4</v>
      </c>
      <c r="BJ474">
        <v>31</v>
      </c>
      <c r="BK474">
        <v>0</v>
      </c>
      <c r="BL474">
        <v>0</v>
      </c>
      <c r="BM474">
        <v>0</v>
      </c>
      <c r="BN474">
        <v>5</v>
      </c>
      <c r="BO474">
        <v>2.4</v>
      </c>
      <c r="BP474">
        <v>36</v>
      </c>
      <c r="BQ474">
        <v>0</v>
      </c>
      <c r="BR474">
        <v>0</v>
      </c>
      <c r="BS474">
        <v>0</v>
      </c>
      <c r="BT474">
        <v>5</v>
      </c>
      <c r="BU474">
        <v>2.2999999999999998</v>
      </c>
    </row>
    <row r="475" spans="1:73" x14ac:dyDescent="0.15">
      <c r="A475" s="11">
        <v>10422</v>
      </c>
      <c r="B475">
        <v>7</v>
      </c>
      <c r="C475" s="1">
        <v>46</v>
      </c>
      <c r="D475">
        <v>0</v>
      </c>
      <c r="E475">
        <v>0</v>
      </c>
      <c r="F475">
        <v>1</v>
      </c>
      <c r="G475" s="7">
        <v>0.05</v>
      </c>
      <c r="H475">
        <v>12</v>
      </c>
      <c r="I475">
        <v>0</v>
      </c>
      <c r="J475">
        <v>0</v>
      </c>
      <c r="K475">
        <v>0</v>
      </c>
      <c r="L475">
        <v>1</v>
      </c>
      <c r="M475">
        <v>2</v>
      </c>
      <c r="N475" s="7">
        <v>9</v>
      </c>
      <c r="O475" s="7">
        <v>0</v>
      </c>
      <c r="P475" s="7">
        <v>0</v>
      </c>
      <c r="Q475" s="7">
        <v>0</v>
      </c>
      <c r="R475" s="7">
        <v>1</v>
      </c>
      <c r="S475" s="7">
        <v>4.5</v>
      </c>
      <c r="T475">
        <v>7</v>
      </c>
      <c r="U475" s="1">
        <v>34</v>
      </c>
      <c r="V475">
        <v>0</v>
      </c>
      <c r="W475">
        <v>0</v>
      </c>
      <c r="X475">
        <v>1</v>
      </c>
      <c r="Y475">
        <v>0.16</v>
      </c>
      <c r="Z475">
        <v>23</v>
      </c>
      <c r="AA475">
        <v>0</v>
      </c>
      <c r="AB475">
        <v>0</v>
      </c>
      <c r="AC475">
        <v>0</v>
      </c>
      <c r="AD475">
        <v>1</v>
      </c>
      <c r="AE475">
        <v>0.05</v>
      </c>
      <c r="AF475">
        <v>15</v>
      </c>
      <c r="AG475">
        <v>0</v>
      </c>
      <c r="AH475">
        <v>0</v>
      </c>
      <c r="AI475">
        <v>0</v>
      </c>
      <c r="AJ475">
        <v>1</v>
      </c>
      <c r="AK475">
        <v>0.02</v>
      </c>
      <c r="AL475">
        <v>16</v>
      </c>
      <c r="AM475">
        <v>0</v>
      </c>
      <c r="AN475">
        <v>0</v>
      </c>
      <c r="AO475">
        <v>0</v>
      </c>
      <c r="AP475">
        <v>1</v>
      </c>
      <c r="AQ475">
        <v>0.01</v>
      </c>
      <c r="AX475">
        <v>7</v>
      </c>
      <c r="AY475" s="1">
        <v>18</v>
      </c>
      <c r="AZ475">
        <v>0</v>
      </c>
      <c r="BA475">
        <v>0</v>
      </c>
      <c r="BB475">
        <v>1</v>
      </c>
      <c r="BC475" s="7">
        <v>0.32</v>
      </c>
      <c r="BD475">
        <v>30</v>
      </c>
      <c r="BE475">
        <v>0</v>
      </c>
      <c r="BF475">
        <v>0</v>
      </c>
      <c r="BG475">
        <v>0</v>
      </c>
      <c r="BH475">
        <v>5</v>
      </c>
      <c r="BI475">
        <v>2.4</v>
      </c>
      <c r="BJ475">
        <v>31</v>
      </c>
      <c r="BK475">
        <v>0</v>
      </c>
      <c r="BL475">
        <v>0</v>
      </c>
      <c r="BM475">
        <v>0</v>
      </c>
      <c r="BN475">
        <v>5</v>
      </c>
      <c r="BO475">
        <v>2.4</v>
      </c>
      <c r="BP475">
        <v>36</v>
      </c>
      <c r="BQ475">
        <v>0</v>
      </c>
      <c r="BR475">
        <v>0</v>
      </c>
      <c r="BS475">
        <v>0</v>
      </c>
      <c r="BT475">
        <v>5</v>
      </c>
      <c r="BU475">
        <v>2.2999999999999998</v>
      </c>
    </row>
    <row r="476" spans="1:73" x14ac:dyDescent="0.15">
      <c r="A476" s="11">
        <v>10423</v>
      </c>
      <c r="B476">
        <v>7</v>
      </c>
      <c r="C476" s="1">
        <v>47</v>
      </c>
      <c r="D476">
        <v>0</v>
      </c>
      <c r="E476">
        <v>0</v>
      </c>
      <c r="F476">
        <v>1</v>
      </c>
      <c r="G476" s="7">
        <v>0.05</v>
      </c>
      <c r="H476">
        <v>12</v>
      </c>
      <c r="I476">
        <v>0</v>
      </c>
      <c r="J476">
        <v>0</v>
      </c>
      <c r="K476">
        <v>0</v>
      </c>
      <c r="L476">
        <v>1</v>
      </c>
      <c r="M476">
        <v>2</v>
      </c>
      <c r="N476" s="7">
        <v>9</v>
      </c>
      <c r="O476" s="7">
        <v>0</v>
      </c>
      <c r="P476" s="7">
        <v>0</v>
      </c>
      <c r="Q476" s="7">
        <v>0</v>
      </c>
      <c r="R476" s="7">
        <v>1</v>
      </c>
      <c r="S476" s="7">
        <v>4.5</v>
      </c>
      <c r="T476">
        <v>7</v>
      </c>
      <c r="U476" s="1">
        <v>35</v>
      </c>
      <c r="V476">
        <v>0</v>
      </c>
      <c r="W476">
        <v>0</v>
      </c>
      <c r="X476">
        <v>1</v>
      </c>
      <c r="Y476">
        <v>0.16</v>
      </c>
      <c r="Z476">
        <v>23</v>
      </c>
      <c r="AA476">
        <v>0</v>
      </c>
      <c r="AB476">
        <v>0</v>
      </c>
      <c r="AC476">
        <v>0</v>
      </c>
      <c r="AD476">
        <v>1</v>
      </c>
      <c r="AE476">
        <v>0.05</v>
      </c>
      <c r="AF476">
        <v>15</v>
      </c>
      <c r="AG476">
        <v>0</v>
      </c>
      <c r="AH476">
        <v>0</v>
      </c>
      <c r="AI476">
        <v>0</v>
      </c>
      <c r="AJ476">
        <v>1</v>
      </c>
      <c r="AK476">
        <v>0.02</v>
      </c>
      <c r="AL476">
        <v>16</v>
      </c>
      <c r="AM476">
        <v>0</v>
      </c>
      <c r="AN476">
        <v>0</v>
      </c>
      <c r="AO476">
        <v>0</v>
      </c>
      <c r="AP476">
        <v>1</v>
      </c>
      <c r="AQ476">
        <v>0.01</v>
      </c>
      <c r="AX476">
        <v>7</v>
      </c>
      <c r="AY476" s="1">
        <v>19</v>
      </c>
      <c r="AZ476">
        <v>0</v>
      </c>
      <c r="BA476">
        <v>0</v>
      </c>
      <c r="BB476">
        <v>1</v>
      </c>
      <c r="BC476" s="7">
        <v>0.32</v>
      </c>
      <c r="BD476">
        <v>30</v>
      </c>
      <c r="BE476">
        <v>0</v>
      </c>
      <c r="BF476">
        <v>0</v>
      </c>
      <c r="BG476">
        <v>0</v>
      </c>
      <c r="BH476">
        <v>5</v>
      </c>
      <c r="BI476">
        <v>2.4</v>
      </c>
      <c r="BJ476">
        <v>31</v>
      </c>
      <c r="BK476">
        <v>0</v>
      </c>
      <c r="BL476">
        <v>0</v>
      </c>
      <c r="BM476">
        <v>0</v>
      </c>
      <c r="BN476">
        <v>5</v>
      </c>
      <c r="BO476">
        <v>2.4</v>
      </c>
      <c r="BP476">
        <v>36</v>
      </c>
      <c r="BQ476">
        <v>0</v>
      </c>
      <c r="BR476">
        <v>0</v>
      </c>
      <c r="BS476">
        <v>0</v>
      </c>
      <c r="BT476">
        <v>5</v>
      </c>
      <c r="BU476">
        <v>2.2999999999999998</v>
      </c>
    </row>
    <row r="477" spans="1:73" x14ac:dyDescent="0.15">
      <c r="A477" s="11">
        <v>10424</v>
      </c>
      <c r="B477">
        <v>7</v>
      </c>
      <c r="C477" s="1">
        <v>48</v>
      </c>
      <c r="D477">
        <v>0</v>
      </c>
      <c r="E477">
        <v>0</v>
      </c>
      <c r="F477">
        <v>1</v>
      </c>
      <c r="G477" s="7">
        <v>0.05</v>
      </c>
      <c r="H477">
        <v>12</v>
      </c>
      <c r="I477">
        <v>0</v>
      </c>
      <c r="J477">
        <v>0</v>
      </c>
      <c r="K477">
        <v>0</v>
      </c>
      <c r="L477">
        <v>1</v>
      </c>
      <c r="M477">
        <v>2</v>
      </c>
      <c r="N477" s="7">
        <v>9</v>
      </c>
      <c r="O477" s="7">
        <v>0</v>
      </c>
      <c r="P477" s="7">
        <v>0</v>
      </c>
      <c r="Q477" s="7">
        <v>0</v>
      </c>
      <c r="R477" s="7">
        <v>1</v>
      </c>
      <c r="S477" s="7">
        <v>4.5</v>
      </c>
      <c r="T477">
        <v>7</v>
      </c>
      <c r="U477" s="1">
        <v>36</v>
      </c>
      <c r="V477">
        <v>0</v>
      </c>
      <c r="W477">
        <v>0</v>
      </c>
      <c r="X477">
        <v>1</v>
      </c>
      <c r="Y477">
        <v>0.16</v>
      </c>
      <c r="Z477">
        <v>23</v>
      </c>
      <c r="AA477">
        <v>0</v>
      </c>
      <c r="AB477">
        <v>0</v>
      </c>
      <c r="AC477">
        <v>0</v>
      </c>
      <c r="AD477">
        <v>1</v>
      </c>
      <c r="AE477">
        <v>0.05</v>
      </c>
      <c r="AF477">
        <v>15</v>
      </c>
      <c r="AG477">
        <v>0</v>
      </c>
      <c r="AH477">
        <v>0</v>
      </c>
      <c r="AI477">
        <v>0</v>
      </c>
      <c r="AJ477">
        <v>1</v>
      </c>
      <c r="AK477">
        <v>0.02</v>
      </c>
      <c r="AL477">
        <v>16</v>
      </c>
      <c r="AM477">
        <v>0</v>
      </c>
      <c r="AN477">
        <v>0</v>
      </c>
      <c r="AO477">
        <v>0</v>
      </c>
      <c r="AP477">
        <v>1</v>
      </c>
      <c r="AQ477">
        <v>0.01</v>
      </c>
      <c r="AX477">
        <v>7</v>
      </c>
      <c r="AY477" s="1">
        <v>20</v>
      </c>
      <c r="AZ477">
        <v>0</v>
      </c>
      <c r="BA477">
        <v>0</v>
      </c>
      <c r="BB477">
        <v>1</v>
      </c>
      <c r="BC477" s="7">
        <v>0.32</v>
      </c>
      <c r="BD477">
        <v>30</v>
      </c>
      <c r="BE477">
        <v>0</v>
      </c>
      <c r="BF477">
        <v>0</v>
      </c>
      <c r="BG477">
        <v>0</v>
      </c>
      <c r="BH477">
        <v>5</v>
      </c>
      <c r="BI477">
        <v>2.4</v>
      </c>
      <c r="BJ477">
        <v>31</v>
      </c>
      <c r="BK477">
        <v>0</v>
      </c>
      <c r="BL477">
        <v>0</v>
      </c>
      <c r="BM477">
        <v>0</v>
      </c>
      <c r="BN477">
        <v>5</v>
      </c>
      <c r="BO477">
        <v>2.4</v>
      </c>
      <c r="BP477">
        <v>36</v>
      </c>
      <c r="BQ477">
        <v>0</v>
      </c>
      <c r="BR477">
        <v>0</v>
      </c>
      <c r="BS477">
        <v>0</v>
      </c>
      <c r="BT477">
        <v>5</v>
      </c>
      <c r="BU477">
        <v>2.2999999999999998</v>
      </c>
    </row>
    <row r="478" spans="1:73" x14ac:dyDescent="0.15">
      <c r="A478" s="11">
        <v>10425</v>
      </c>
      <c r="B478">
        <v>7</v>
      </c>
      <c r="C478" s="1">
        <v>0</v>
      </c>
      <c r="D478">
        <v>5</v>
      </c>
      <c r="E478">
        <v>1</v>
      </c>
      <c r="F478">
        <v>1</v>
      </c>
      <c r="G478" s="7">
        <v>0.05</v>
      </c>
      <c r="H478">
        <v>12</v>
      </c>
      <c r="I478">
        <v>0</v>
      </c>
      <c r="J478">
        <v>0</v>
      </c>
      <c r="K478">
        <v>0</v>
      </c>
      <c r="L478">
        <v>1</v>
      </c>
      <c r="M478">
        <v>2</v>
      </c>
      <c r="N478" s="7">
        <v>9</v>
      </c>
      <c r="O478" s="7">
        <v>0</v>
      </c>
      <c r="P478" s="7">
        <v>0</v>
      </c>
      <c r="Q478" s="7">
        <v>0</v>
      </c>
      <c r="R478" s="7">
        <v>1</v>
      </c>
      <c r="S478" s="7">
        <v>4.5</v>
      </c>
      <c r="T478">
        <v>7</v>
      </c>
      <c r="U478" s="1">
        <v>0</v>
      </c>
      <c r="V478">
        <v>4</v>
      </c>
      <c r="W478">
        <v>2</v>
      </c>
      <c r="X478">
        <v>1</v>
      </c>
      <c r="Y478">
        <v>0.16</v>
      </c>
      <c r="Z478">
        <v>23</v>
      </c>
      <c r="AA478">
        <v>0</v>
      </c>
      <c r="AB478">
        <v>0</v>
      </c>
      <c r="AC478">
        <v>0</v>
      </c>
      <c r="AD478">
        <v>1</v>
      </c>
      <c r="AE478">
        <v>0.05</v>
      </c>
      <c r="AF478">
        <v>15</v>
      </c>
      <c r="AG478">
        <v>0</v>
      </c>
      <c r="AH478">
        <v>0</v>
      </c>
      <c r="AI478">
        <v>0</v>
      </c>
      <c r="AJ478">
        <v>1</v>
      </c>
      <c r="AK478">
        <v>0.02</v>
      </c>
      <c r="AL478">
        <v>16</v>
      </c>
      <c r="AM478">
        <v>0</v>
      </c>
      <c r="AN478">
        <v>0</v>
      </c>
      <c r="AO478">
        <v>0</v>
      </c>
      <c r="AP478">
        <v>1</v>
      </c>
      <c r="AQ478">
        <v>0.01</v>
      </c>
      <c r="AR478">
        <v>6</v>
      </c>
      <c r="AS478">
        <v>2</v>
      </c>
      <c r="AT478">
        <v>5</v>
      </c>
      <c r="AU478">
        <v>5</v>
      </c>
      <c r="AV478">
        <v>1</v>
      </c>
      <c r="AW478">
        <v>0.01</v>
      </c>
      <c r="AX478">
        <v>7</v>
      </c>
      <c r="AY478" s="1">
        <v>0</v>
      </c>
      <c r="AZ478">
        <v>3</v>
      </c>
      <c r="BA478">
        <v>1</v>
      </c>
      <c r="BB478">
        <v>1</v>
      </c>
      <c r="BC478" s="7">
        <v>0.32</v>
      </c>
      <c r="BD478">
        <v>30</v>
      </c>
      <c r="BE478">
        <v>0</v>
      </c>
      <c r="BF478">
        <v>0</v>
      </c>
      <c r="BG478">
        <v>0</v>
      </c>
      <c r="BH478">
        <v>5</v>
      </c>
      <c r="BI478">
        <v>2.4</v>
      </c>
      <c r="BJ478">
        <v>31</v>
      </c>
      <c r="BK478">
        <v>0</v>
      </c>
      <c r="BL478">
        <v>0</v>
      </c>
      <c r="BM478">
        <v>0</v>
      </c>
      <c r="BN478">
        <v>5</v>
      </c>
      <c r="BO478">
        <v>2.4</v>
      </c>
      <c r="BP478">
        <v>36</v>
      </c>
      <c r="BQ478">
        <v>0</v>
      </c>
      <c r="BR478">
        <v>0</v>
      </c>
      <c r="BS478">
        <v>0</v>
      </c>
      <c r="BT478">
        <v>5</v>
      </c>
      <c r="BU478">
        <v>2.2999999999999998</v>
      </c>
    </row>
    <row r="479" spans="1:73" x14ac:dyDescent="0.15">
      <c r="A479" s="11">
        <v>10426</v>
      </c>
      <c r="B479">
        <v>7</v>
      </c>
      <c r="C479" s="1">
        <v>45</v>
      </c>
      <c r="D479">
        <v>0</v>
      </c>
      <c r="E479">
        <v>0</v>
      </c>
      <c r="F479">
        <v>1</v>
      </c>
      <c r="G479" s="7">
        <v>0.05</v>
      </c>
      <c r="H479">
        <v>12</v>
      </c>
      <c r="I479">
        <v>0</v>
      </c>
      <c r="J479">
        <v>0</v>
      </c>
      <c r="K479">
        <v>0</v>
      </c>
      <c r="L479">
        <v>1</v>
      </c>
      <c r="M479">
        <v>2</v>
      </c>
      <c r="N479" s="7">
        <v>9</v>
      </c>
      <c r="O479" s="7">
        <v>0</v>
      </c>
      <c r="P479" s="7">
        <v>0</v>
      </c>
      <c r="Q479" s="7">
        <v>0</v>
      </c>
      <c r="R479" s="7">
        <v>1</v>
      </c>
      <c r="S479" s="7">
        <v>4.5</v>
      </c>
      <c r="T479">
        <v>7</v>
      </c>
      <c r="U479" s="1">
        <v>33</v>
      </c>
      <c r="V479">
        <v>0</v>
      </c>
      <c r="W479">
        <v>0</v>
      </c>
      <c r="X479">
        <v>1</v>
      </c>
      <c r="Y479">
        <v>0.16</v>
      </c>
      <c r="Z479">
        <v>23</v>
      </c>
      <c r="AA479">
        <v>0</v>
      </c>
      <c r="AB479">
        <v>0</v>
      </c>
      <c r="AC479">
        <v>0</v>
      </c>
      <c r="AD479">
        <v>1</v>
      </c>
      <c r="AE479">
        <v>0.05</v>
      </c>
      <c r="AF479">
        <v>15</v>
      </c>
      <c r="AG479">
        <v>0</v>
      </c>
      <c r="AH479">
        <v>0</v>
      </c>
      <c r="AI479">
        <v>0</v>
      </c>
      <c r="AJ479">
        <v>1</v>
      </c>
      <c r="AK479">
        <v>0.02</v>
      </c>
      <c r="AL479">
        <v>16</v>
      </c>
      <c r="AM479">
        <v>0</v>
      </c>
      <c r="AN479">
        <v>0</v>
      </c>
      <c r="AO479">
        <v>0</v>
      </c>
      <c r="AP479">
        <v>1</v>
      </c>
      <c r="AQ479">
        <v>0.01</v>
      </c>
      <c r="AX479">
        <v>7</v>
      </c>
      <c r="AY479" s="1">
        <v>17</v>
      </c>
      <c r="AZ479">
        <v>0</v>
      </c>
      <c r="BA479">
        <v>0</v>
      </c>
      <c r="BB479">
        <v>1</v>
      </c>
      <c r="BC479" s="7">
        <v>0.32</v>
      </c>
      <c r="BD479">
        <v>30</v>
      </c>
      <c r="BE479">
        <v>0</v>
      </c>
      <c r="BF479">
        <v>0</v>
      </c>
      <c r="BG479">
        <v>0</v>
      </c>
      <c r="BH479">
        <v>5</v>
      </c>
      <c r="BI479">
        <v>2.4</v>
      </c>
      <c r="BJ479">
        <v>31</v>
      </c>
      <c r="BK479">
        <v>0</v>
      </c>
      <c r="BL479">
        <v>0</v>
      </c>
      <c r="BM479">
        <v>0</v>
      </c>
      <c r="BN479">
        <v>5</v>
      </c>
      <c r="BO479">
        <v>2.4</v>
      </c>
      <c r="BP479">
        <v>36</v>
      </c>
      <c r="BQ479">
        <v>0</v>
      </c>
      <c r="BR479">
        <v>0</v>
      </c>
      <c r="BS479">
        <v>0</v>
      </c>
      <c r="BT479">
        <v>5</v>
      </c>
      <c r="BU479">
        <v>2.2999999999999998</v>
      </c>
    </row>
    <row r="480" spans="1:73" x14ac:dyDescent="0.15">
      <c r="A480" s="11">
        <v>10427</v>
      </c>
      <c r="B480">
        <v>7</v>
      </c>
      <c r="C480" s="1">
        <v>46</v>
      </c>
      <c r="D480">
        <v>0</v>
      </c>
      <c r="E480">
        <v>0</v>
      </c>
      <c r="F480">
        <v>1</v>
      </c>
      <c r="G480" s="7">
        <v>0.05</v>
      </c>
      <c r="H480">
        <v>12</v>
      </c>
      <c r="I480">
        <v>0</v>
      </c>
      <c r="J480">
        <v>0</v>
      </c>
      <c r="K480">
        <v>0</v>
      </c>
      <c r="L480">
        <v>1</v>
      </c>
      <c r="M480">
        <v>2</v>
      </c>
      <c r="N480" s="7">
        <v>9</v>
      </c>
      <c r="O480" s="7">
        <v>0</v>
      </c>
      <c r="P480" s="7">
        <v>0</v>
      </c>
      <c r="Q480" s="7">
        <v>0</v>
      </c>
      <c r="R480" s="7">
        <v>1</v>
      </c>
      <c r="S480" s="7">
        <v>4.5</v>
      </c>
      <c r="T480">
        <v>7</v>
      </c>
      <c r="U480" s="1">
        <v>34</v>
      </c>
      <c r="V480">
        <v>0</v>
      </c>
      <c r="W480">
        <v>0</v>
      </c>
      <c r="X480">
        <v>1</v>
      </c>
      <c r="Y480">
        <v>0.16</v>
      </c>
      <c r="Z480">
        <v>23</v>
      </c>
      <c r="AA480">
        <v>0</v>
      </c>
      <c r="AB480">
        <v>0</v>
      </c>
      <c r="AC480">
        <v>0</v>
      </c>
      <c r="AD480">
        <v>1</v>
      </c>
      <c r="AE480">
        <v>0.05</v>
      </c>
      <c r="AF480">
        <v>15</v>
      </c>
      <c r="AG480">
        <v>0</v>
      </c>
      <c r="AH480">
        <v>0</v>
      </c>
      <c r="AI480">
        <v>0</v>
      </c>
      <c r="AJ480">
        <v>1</v>
      </c>
      <c r="AK480">
        <v>0.02</v>
      </c>
      <c r="AL480">
        <v>16</v>
      </c>
      <c r="AM480">
        <v>0</v>
      </c>
      <c r="AN480">
        <v>0</v>
      </c>
      <c r="AO480">
        <v>0</v>
      </c>
      <c r="AP480">
        <v>1</v>
      </c>
      <c r="AQ480">
        <v>0.01</v>
      </c>
      <c r="AX480">
        <v>7</v>
      </c>
      <c r="AY480" s="1">
        <v>18</v>
      </c>
      <c r="AZ480">
        <v>0</v>
      </c>
      <c r="BA480">
        <v>0</v>
      </c>
      <c r="BB480">
        <v>1</v>
      </c>
      <c r="BC480" s="7">
        <v>0.32</v>
      </c>
      <c r="BD480">
        <v>30</v>
      </c>
      <c r="BE480">
        <v>0</v>
      </c>
      <c r="BF480">
        <v>0</v>
      </c>
      <c r="BG480">
        <v>0</v>
      </c>
      <c r="BH480">
        <v>5</v>
      </c>
      <c r="BI480">
        <v>2.4</v>
      </c>
      <c r="BJ480">
        <v>31</v>
      </c>
      <c r="BK480">
        <v>0</v>
      </c>
      <c r="BL480">
        <v>0</v>
      </c>
      <c r="BM480">
        <v>0</v>
      </c>
      <c r="BN480">
        <v>5</v>
      </c>
      <c r="BO480">
        <v>2.4</v>
      </c>
      <c r="BP480">
        <v>36</v>
      </c>
      <c r="BQ480">
        <v>0</v>
      </c>
      <c r="BR480">
        <v>0</v>
      </c>
      <c r="BS480">
        <v>0</v>
      </c>
      <c r="BT480">
        <v>5</v>
      </c>
      <c r="BU480">
        <v>2.2999999999999998</v>
      </c>
    </row>
    <row r="481" spans="1:73" x14ac:dyDescent="0.15">
      <c r="A481" s="11">
        <v>10428</v>
      </c>
      <c r="B481">
        <v>7</v>
      </c>
      <c r="C481" s="1">
        <v>47</v>
      </c>
      <c r="D481">
        <v>0</v>
      </c>
      <c r="E481">
        <v>0</v>
      </c>
      <c r="F481">
        <v>1</v>
      </c>
      <c r="G481" s="7">
        <v>0.05</v>
      </c>
      <c r="H481">
        <v>12</v>
      </c>
      <c r="I481">
        <v>0</v>
      </c>
      <c r="J481">
        <v>0</v>
      </c>
      <c r="K481">
        <v>0</v>
      </c>
      <c r="L481">
        <v>1</v>
      </c>
      <c r="M481">
        <v>2</v>
      </c>
      <c r="N481" s="7">
        <v>9</v>
      </c>
      <c r="O481" s="7">
        <v>0</v>
      </c>
      <c r="P481" s="7">
        <v>0</v>
      </c>
      <c r="Q481" s="7">
        <v>0</v>
      </c>
      <c r="R481" s="7">
        <v>1</v>
      </c>
      <c r="S481" s="7">
        <v>4.5</v>
      </c>
      <c r="T481">
        <v>7</v>
      </c>
      <c r="U481" s="1">
        <v>35</v>
      </c>
      <c r="V481">
        <v>0</v>
      </c>
      <c r="W481">
        <v>0</v>
      </c>
      <c r="X481">
        <v>1</v>
      </c>
      <c r="Y481">
        <v>0.16</v>
      </c>
      <c r="Z481">
        <v>23</v>
      </c>
      <c r="AA481">
        <v>0</v>
      </c>
      <c r="AB481">
        <v>0</v>
      </c>
      <c r="AC481">
        <v>0</v>
      </c>
      <c r="AD481">
        <v>1</v>
      </c>
      <c r="AE481">
        <v>0.05</v>
      </c>
      <c r="AF481">
        <v>15</v>
      </c>
      <c r="AG481">
        <v>0</v>
      </c>
      <c r="AH481">
        <v>0</v>
      </c>
      <c r="AI481">
        <v>0</v>
      </c>
      <c r="AJ481">
        <v>1</v>
      </c>
      <c r="AK481">
        <v>0.02</v>
      </c>
      <c r="AL481">
        <v>16</v>
      </c>
      <c r="AM481">
        <v>0</v>
      </c>
      <c r="AN481">
        <v>0</v>
      </c>
      <c r="AO481">
        <v>0</v>
      </c>
      <c r="AP481">
        <v>1</v>
      </c>
      <c r="AQ481">
        <v>0.01</v>
      </c>
      <c r="AX481">
        <v>7</v>
      </c>
      <c r="AY481" s="1">
        <v>19</v>
      </c>
      <c r="AZ481">
        <v>0</v>
      </c>
      <c r="BA481">
        <v>0</v>
      </c>
      <c r="BB481">
        <v>1</v>
      </c>
      <c r="BC481" s="7">
        <v>0.32</v>
      </c>
      <c r="BD481">
        <v>30</v>
      </c>
      <c r="BE481">
        <v>0</v>
      </c>
      <c r="BF481">
        <v>0</v>
      </c>
      <c r="BG481">
        <v>0</v>
      </c>
      <c r="BH481">
        <v>5</v>
      </c>
      <c r="BI481">
        <v>2.4</v>
      </c>
      <c r="BJ481">
        <v>31</v>
      </c>
      <c r="BK481">
        <v>0</v>
      </c>
      <c r="BL481">
        <v>0</v>
      </c>
      <c r="BM481">
        <v>0</v>
      </c>
      <c r="BN481">
        <v>5</v>
      </c>
      <c r="BO481">
        <v>2.4</v>
      </c>
      <c r="BP481">
        <v>36</v>
      </c>
      <c r="BQ481">
        <v>0</v>
      </c>
      <c r="BR481">
        <v>0</v>
      </c>
      <c r="BS481">
        <v>0</v>
      </c>
      <c r="BT481">
        <v>5</v>
      </c>
      <c r="BU481">
        <v>2.2999999999999998</v>
      </c>
    </row>
    <row r="482" spans="1:73" x14ac:dyDescent="0.15">
      <c r="A482" s="11">
        <v>10429</v>
      </c>
      <c r="B482">
        <v>7</v>
      </c>
      <c r="C482" s="1">
        <v>48</v>
      </c>
      <c r="D482">
        <v>0</v>
      </c>
      <c r="E482">
        <v>0</v>
      </c>
      <c r="F482">
        <v>1</v>
      </c>
      <c r="G482" s="7">
        <v>0.05</v>
      </c>
      <c r="H482">
        <v>12</v>
      </c>
      <c r="I482">
        <v>0</v>
      </c>
      <c r="J482">
        <v>0</v>
      </c>
      <c r="K482">
        <v>0</v>
      </c>
      <c r="L482">
        <v>1</v>
      </c>
      <c r="M482">
        <v>2</v>
      </c>
      <c r="N482" s="7">
        <v>9</v>
      </c>
      <c r="O482" s="7">
        <v>0</v>
      </c>
      <c r="P482" s="7">
        <v>0</v>
      </c>
      <c r="Q482" s="7">
        <v>0</v>
      </c>
      <c r="R482" s="7">
        <v>1</v>
      </c>
      <c r="S482" s="7">
        <v>4.5</v>
      </c>
      <c r="T482">
        <v>7</v>
      </c>
      <c r="U482" s="1">
        <v>36</v>
      </c>
      <c r="V482">
        <v>0</v>
      </c>
      <c r="W482">
        <v>0</v>
      </c>
      <c r="X482">
        <v>1</v>
      </c>
      <c r="Y482">
        <v>0.16</v>
      </c>
      <c r="Z482">
        <v>23</v>
      </c>
      <c r="AA482">
        <v>0</v>
      </c>
      <c r="AB482">
        <v>0</v>
      </c>
      <c r="AC482">
        <v>0</v>
      </c>
      <c r="AD482">
        <v>1</v>
      </c>
      <c r="AE482">
        <v>0.05</v>
      </c>
      <c r="AF482">
        <v>15</v>
      </c>
      <c r="AG482">
        <v>0</v>
      </c>
      <c r="AH482">
        <v>0</v>
      </c>
      <c r="AI482">
        <v>0</v>
      </c>
      <c r="AJ482">
        <v>1</v>
      </c>
      <c r="AK482">
        <v>0.02</v>
      </c>
      <c r="AL482">
        <v>16</v>
      </c>
      <c r="AM482">
        <v>0</v>
      </c>
      <c r="AN482">
        <v>0</v>
      </c>
      <c r="AO482">
        <v>0</v>
      </c>
      <c r="AP482">
        <v>1</v>
      </c>
      <c r="AQ482">
        <v>0.01</v>
      </c>
      <c r="AX482">
        <v>7</v>
      </c>
      <c r="AY482" s="1">
        <v>20</v>
      </c>
      <c r="AZ482">
        <v>0</v>
      </c>
      <c r="BA482">
        <v>0</v>
      </c>
      <c r="BB482">
        <v>1</v>
      </c>
      <c r="BC482" s="7">
        <v>0.32</v>
      </c>
      <c r="BD482">
        <v>30</v>
      </c>
      <c r="BE482">
        <v>0</v>
      </c>
      <c r="BF482">
        <v>0</v>
      </c>
      <c r="BG482">
        <v>0</v>
      </c>
      <c r="BH482">
        <v>5</v>
      </c>
      <c r="BI482">
        <v>2.4</v>
      </c>
      <c r="BJ482">
        <v>31</v>
      </c>
      <c r="BK482">
        <v>0</v>
      </c>
      <c r="BL482">
        <v>0</v>
      </c>
      <c r="BM482">
        <v>0</v>
      </c>
      <c r="BN482">
        <v>5</v>
      </c>
      <c r="BO482">
        <v>2.4</v>
      </c>
      <c r="BP482">
        <v>36</v>
      </c>
      <c r="BQ482">
        <v>0</v>
      </c>
      <c r="BR482">
        <v>0</v>
      </c>
      <c r="BS482">
        <v>0</v>
      </c>
      <c r="BT482">
        <v>5</v>
      </c>
      <c r="BU482">
        <v>2.2999999999999998</v>
      </c>
    </row>
    <row r="483" spans="1:73" x14ac:dyDescent="0.15">
      <c r="A483" s="11">
        <v>10430</v>
      </c>
      <c r="B483">
        <v>7</v>
      </c>
      <c r="C483" s="1">
        <v>0</v>
      </c>
      <c r="D483">
        <v>5</v>
      </c>
      <c r="E483">
        <v>1</v>
      </c>
      <c r="F483">
        <v>1</v>
      </c>
      <c r="G483" s="7">
        <v>0.05</v>
      </c>
      <c r="H483">
        <v>12</v>
      </c>
      <c r="I483">
        <v>0</v>
      </c>
      <c r="J483">
        <v>0</v>
      </c>
      <c r="K483">
        <v>0</v>
      </c>
      <c r="L483">
        <v>1</v>
      </c>
      <c r="M483">
        <v>2</v>
      </c>
      <c r="N483" s="7">
        <v>9</v>
      </c>
      <c r="O483" s="7">
        <v>0</v>
      </c>
      <c r="P483" s="7">
        <v>0</v>
      </c>
      <c r="Q483" s="7">
        <v>0</v>
      </c>
      <c r="R483" s="7">
        <v>1</v>
      </c>
      <c r="S483" s="7">
        <v>4.5</v>
      </c>
      <c r="T483">
        <v>7</v>
      </c>
      <c r="U483" s="1">
        <v>0</v>
      </c>
      <c r="V483">
        <v>4</v>
      </c>
      <c r="W483">
        <v>2</v>
      </c>
      <c r="X483">
        <v>1</v>
      </c>
      <c r="Y483">
        <v>0.16</v>
      </c>
      <c r="Z483">
        <v>23</v>
      </c>
      <c r="AA483">
        <v>0</v>
      </c>
      <c r="AB483">
        <v>0</v>
      </c>
      <c r="AC483">
        <v>0</v>
      </c>
      <c r="AD483">
        <v>1</v>
      </c>
      <c r="AE483">
        <v>0.05</v>
      </c>
      <c r="AF483">
        <v>15</v>
      </c>
      <c r="AG483">
        <v>0</v>
      </c>
      <c r="AH483">
        <v>0</v>
      </c>
      <c r="AI483">
        <v>0</v>
      </c>
      <c r="AJ483">
        <v>1</v>
      </c>
      <c r="AK483">
        <v>0.02</v>
      </c>
      <c r="AL483">
        <v>16</v>
      </c>
      <c r="AM483">
        <v>0</v>
      </c>
      <c r="AN483">
        <v>0</v>
      </c>
      <c r="AO483">
        <v>0</v>
      </c>
      <c r="AP483">
        <v>1</v>
      </c>
      <c r="AQ483">
        <v>0.01</v>
      </c>
      <c r="AR483">
        <v>6</v>
      </c>
      <c r="AS483">
        <v>2</v>
      </c>
      <c r="AT483">
        <v>1</v>
      </c>
      <c r="AU483">
        <v>5</v>
      </c>
      <c r="AV483">
        <v>1</v>
      </c>
      <c r="AW483">
        <v>0.05</v>
      </c>
      <c r="AX483">
        <v>7</v>
      </c>
      <c r="AY483" s="1">
        <v>0</v>
      </c>
      <c r="AZ483">
        <v>3</v>
      </c>
      <c r="BA483">
        <v>1</v>
      </c>
      <c r="BB483">
        <v>1</v>
      </c>
      <c r="BC483" s="7">
        <v>0.32</v>
      </c>
      <c r="BD483">
        <v>30</v>
      </c>
      <c r="BE483">
        <v>0</v>
      </c>
      <c r="BF483">
        <v>0</v>
      </c>
      <c r="BG483">
        <v>0</v>
      </c>
      <c r="BH483">
        <v>5</v>
      </c>
      <c r="BI483">
        <v>2.4</v>
      </c>
      <c r="BJ483">
        <v>31</v>
      </c>
      <c r="BK483">
        <v>0</v>
      </c>
      <c r="BL483">
        <v>0</v>
      </c>
      <c r="BM483">
        <v>0</v>
      </c>
      <c r="BN483">
        <v>5</v>
      </c>
      <c r="BO483">
        <v>2.4</v>
      </c>
      <c r="BP483">
        <v>36</v>
      </c>
      <c r="BQ483">
        <v>0</v>
      </c>
      <c r="BR483">
        <v>0</v>
      </c>
      <c r="BS483">
        <v>0</v>
      </c>
      <c r="BT483">
        <v>5</v>
      </c>
      <c r="BU483">
        <v>2.2999999999999998</v>
      </c>
    </row>
    <row r="484" spans="1:73" x14ac:dyDescent="0.15">
      <c r="A484" s="11">
        <v>10431</v>
      </c>
      <c r="B484">
        <v>7</v>
      </c>
      <c r="C484" s="1">
        <v>45</v>
      </c>
      <c r="D484">
        <v>0</v>
      </c>
      <c r="E484">
        <v>0</v>
      </c>
      <c r="F484">
        <v>1</v>
      </c>
      <c r="G484" s="7">
        <v>0.05</v>
      </c>
      <c r="H484">
        <v>12</v>
      </c>
      <c r="I484">
        <v>0</v>
      </c>
      <c r="J484">
        <v>0</v>
      </c>
      <c r="K484">
        <v>0</v>
      </c>
      <c r="L484">
        <v>1</v>
      </c>
      <c r="M484">
        <v>2</v>
      </c>
      <c r="N484" s="7">
        <v>9</v>
      </c>
      <c r="O484" s="7">
        <v>0</v>
      </c>
      <c r="P484" s="7">
        <v>0</v>
      </c>
      <c r="Q484" s="7">
        <v>0</v>
      </c>
      <c r="R484" s="7">
        <v>1</v>
      </c>
      <c r="S484" s="7">
        <v>4.5</v>
      </c>
      <c r="T484">
        <v>7</v>
      </c>
      <c r="U484" s="1">
        <v>33</v>
      </c>
      <c r="V484">
        <v>0</v>
      </c>
      <c r="W484">
        <v>0</v>
      </c>
      <c r="X484">
        <v>1</v>
      </c>
      <c r="Y484">
        <v>0.16</v>
      </c>
      <c r="Z484">
        <v>23</v>
      </c>
      <c r="AA484">
        <v>0</v>
      </c>
      <c r="AB484">
        <v>0</v>
      </c>
      <c r="AC484">
        <v>0</v>
      </c>
      <c r="AD484">
        <v>1</v>
      </c>
      <c r="AE484">
        <v>0.05</v>
      </c>
      <c r="AF484">
        <v>15</v>
      </c>
      <c r="AG484">
        <v>0</v>
      </c>
      <c r="AH484">
        <v>0</v>
      </c>
      <c r="AI484">
        <v>0</v>
      </c>
      <c r="AJ484">
        <v>1</v>
      </c>
      <c r="AK484">
        <v>0.02</v>
      </c>
      <c r="AL484">
        <v>16</v>
      </c>
      <c r="AM484">
        <v>0</v>
      </c>
      <c r="AN484">
        <v>0</v>
      </c>
      <c r="AO484">
        <v>0</v>
      </c>
      <c r="AP484">
        <v>1</v>
      </c>
      <c r="AQ484">
        <v>0.01</v>
      </c>
      <c r="AX484">
        <v>7</v>
      </c>
      <c r="AY484" s="1">
        <v>17</v>
      </c>
      <c r="AZ484">
        <v>0</v>
      </c>
      <c r="BA484">
        <v>0</v>
      </c>
      <c r="BB484">
        <v>1</v>
      </c>
      <c r="BC484" s="7">
        <v>0.32</v>
      </c>
      <c r="BD484">
        <v>30</v>
      </c>
      <c r="BE484">
        <v>0</v>
      </c>
      <c r="BF484">
        <v>0</v>
      </c>
      <c r="BG484">
        <v>0</v>
      </c>
      <c r="BH484">
        <v>5</v>
      </c>
      <c r="BI484">
        <v>2.4</v>
      </c>
      <c r="BJ484">
        <v>31</v>
      </c>
      <c r="BK484">
        <v>0</v>
      </c>
      <c r="BL484">
        <v>0</v>
      </c>
      <c r="BM484">
        <v>0</v>
      </c>
      <c r="BN484">
        <v>5</v>
      </c>
      <c r="BO484">
        <v>2.4</v>
      </c>
      <c r="BP484">
        <v>36</v>
      </c>
      <c r="BQ484">
        <v>0</v>
      </c>
      <c r="BR484">
        <v>0</v>
      </c>
      <c r="BS484">
        <v>0</v>
      </c>
      <c r="BT484">
        <v>5</v>
      </c>
      <c r="BU484">
        <v>2.2999999999999998</v>
      </c>
    </row>
    <row r="485" spans="1:73" x14ac:dyDescent="0.15">
      <c r="A485" s="11">
        <v>10432</v>
      </c>
      <c r="B485">
        <v>7</v>
      </c>
      <c r="C485" s="1">
        <v>46</v>
      </c>
      <c r="D485">
        <v>0</v>
      </c>
      <c r="E485">
        <v>0</v>
      </c>
      <c r="F485">
        <v>1</v>
      </c>
      <c r="G485" s="7">
        <v>0.05</v>
      </c>
      <c r="H485">
        <v>12</v>
      </c>
      <c r="I485">
        <v>0</v>
      </c>
      <c r="J485">
        <v>0</v>
      </c>
      <c r="K485">
        <v>0</v>
      </c>
      <c r="L485">
        <v>1</v>
      </c>
      <c r="M485">
        <v>2</v>
      </c>
      <c r="N485" s="7">
        <v>9</v>
      </c>
      <c r="O485" s="7">
        <v>0</v>
      </c>
      <c r="P485" s="7">
        <v>0</v>
      </c>
      <c r="Q485" s="7">
        <v>0</v>
      </c>
      <c r="R485" s="7">
        <v>1</v>
      </c>
      <c r="S485" s="7">
        <v>4.5</v>
      </c>
      <c r="T485">
        <v>7</v>
      </c>
      <c r="U485" s="1">
        <v>34</v>
      </c>
      <c r="V485">
        <v>0</v>
      </c>
      <c r="W485">
        <v>0</v>
      </c>
      <c r="X485">
        <v>1</v>
      </c>
      <c r="Y485">
        <v>0.16</v>
      </c>
      <c r="Z485">
        <v>23</v>
      </c>
      <c r="AA485">
        <v>0</v>
      </c>
      <c r="AB485">
        <v>0</v>
      </c>
      <c r="AC485">
        <v>0</v>
      </c>
      <c r="AD485">
        <v>1</v>
      </c>
      <c r="AE485">
        <v>0.05</v>
      </c>
      <c r="AF485">
        <v>15</v>
      </c>
      <c r="AG485">
        <v>0</v>
      </c>
      <c r="AH485">
        <v>0</v>
      </c>
      <c r="AI485">
        <v>0</v>
      </c>
      <c r="AJ485">
        <v>1</v>
      </c>
      <c r="AK485">
        <v>0.02</v>
      </c>
      <c r="AL485">
        <v>16</v>
      </c>
      <c r="AM485">
        <v>0</v>
      </c>
      <c r="AN485">
        <v>0</v>
      </c>
      <c r="AO485">
        <v>0</v>
      </c>
      <c r="AP485">
        <v>1</v>
      </c>
      <c r="AQ485">
        <v>0.01</v>
      </c>
      <c r="AX485">
        <v>7</v>
      </c>
      <c r="AY485" s="1">
        <v>18</v>
      </c>
      <c r="AZ485">
        <v>0</v>
      </c>
      <c r="BA485">
        <v>0</v>
      </c>
      <c r="BB485">
        <v>1</v>
      </c>
      <c r="BC485" s="7">
        <v>0.32</v>
      </c>
      <c r="BD485">
        <v>30</v>
      </c>
      <c r="BE485">
        <v>0</v>
      </c>
      <c r="BF485">
        <v>0</v>
      </c>
      <c r="BG485">
        <v>0</v>
      </c>
      <c r="BH485">
        <v>5</v>
      </c>
      <c r="BI485">
        <v>2.4</v>
      </c>
      <c r="BJ485">
        <v>31</v>
      </c>
      <c r="BK485">
        <v>0</v>
      </c>
      <c r="BL485">
        <v>0</v>
      </c>
      <c r="BM485">
        <v>0</v>
      </c>
      <c r="BN485">
        <v>5</v>
      </c>
      <c r="BO485">
        <v>2.4</v>
      </c>
      <c r="BP485">
        <v>36</v>
      </c>
      <c r="BQ485">
        <v>0</v>
      </c>
      <c r="BR485">
        <v>0</v>
      </c>
      <c r="BS485">
        <v>0</v>
      </c>
      <c r="BT485">
        <v>5</v>
      </c>
      <c r="BU485">
        <v>2.2999999999999998</v>
      </c>
    </row>
    <row r="486" spans="1:73" x14ac:dyDescent="0.15">
      <c r="A486" s="11">
        <v>10433</v>
      </c>
      <c r="B486">
        <v>7</v>
      </c>
      <c r="C486" s="1">
        <v>47</v>
      </c>
      <c r="D486">
        <v>0</v>
      </c>
      <c r="E486">
        <v>0</v>
      </c>
      <c r="F486">
        <v>1</v>
      </c>
      <c r="G486" s="7">
        <v>0.05</v>
      </c>
      <c r="H486">
        <v>12</v>
      </c>
      <c r="I486">
        <v>0</v>
      </c>
      <c r="J486">
        <v>0</v>
      </c>
      <c r="K486">
        <v>0</v>
      </c>
      <c r="L486">
        <v>1</v>
      </c>
      <c r="M486">
        <v>2</v>
      </c>
      <c r="N486" s="7">
        <v>9</v>
      </c>
      <c r="O486" s="7">
        <v>0</v>
      </c>
      <c r="P486" s="7">
        <v>0</v>
      </c>
      <c r="Q486" s="7">
        <v>0</v>
      </c>
      <c r="R486" s="7">
        <v>1</v>
      </c>
      <c r="S486" s="7">
        <v>4.5</v>
      </c>
      <c r="T486">
        <v>7</v>
      </c>
      <c r="U486" s="1">
        <v>35</v>
      </c>
      <c r="V486">
        <v>0</v>
      </c>
      <c r="W486">
        <v>0</v>
      </c>
      <c r="X486">
        <v>1</v>
      </c>
      <c r="Y486">
        <v>0.16</v>
      </c>
      <c r="Z486">
        <v>23</v>
      </c>
      <c r="AA486">
        <v>0</v>
      </c>
      <c r="AB486">
        <v>0</v>
      </c>
      <c r="AC486">
        <v>0</v>
      </c>
      <c r="AD486">
        <v>1</v>
      </c>
      <c r="AE486">
        <v>0.05</v>
      </c>
      <c r="AF486">
        <v>15</v>
      </c>
      <c r="AG486">
        <v>0</v>
      </c>
      <c r="AH486">
        <v>0</v>
      </c>
      <c r="AI486">
        <v>0</v>
      </c>
      <c r="AJ486">
        <v>1</v>
      </c>
      <c r="AK486">
        <v>0.02</v>
      </c>
      <c r="AL486">
        <v>16</v>
      </c>
      <c r="AM486">
        <v>0</v>
      </c>
      <c r="AN486">
        <v>0</v>
      </c>
      <c r="AO486">
        <v>0</v>
      </c>
      <c r="AP486">
        <v>1</v>
      </c>
      <c r="AQ486">
        <v>0.01</v>
      </c>
      <c r="AX486">
        <v>7</v>
      </c>
      <c r="AY486" s="1">
        <v>19</v>
      </c>
      <c r="AZ486">
        <v>0</v>
      </c>
      <c r="BA486">
        <v>0</v>
      </c>
      <c r="BB486">
        <v>1</v>
      </c>
      <c r="BC486" s="7">
        <v>0.32</v>
      </c>
      <c r="BD486">
        <v>30</v>
      </c>
      <c r="BE486">
        <v>0</v>
      </c>
      <c r="BF486">
        <v>0</v>
      </c>
      <c r="BG486">
        <v>0</v>
      </c>
      <c r="BH486">
        <v>5</v>
      </c>
      <c r="BI486">
        <v>2.4</v>
      </c>
      <c r="BJ486">
        <v>31</v>
      </c>
      <c r="BK486">
        <v>0</v>
      </c>
      <c r="BL486">
        <v>0</v>
      </c>
      <c r="BM486">
        <v>0</v>
      </c>
      <c r="BN486">
        <v>5</v>
      </c>
      <c r="BO486">
        <v>2.4</v>
      </c>
      <c r="BP486">
        <v>36</v>
      </c>
      <c r="BQ486">
        <v>0</v>
      </c>
      <c r="BR486">
        <v>0</v>
      </c>
      <c r="BS486">
        <v>0</v>
      </c>
      <c r="BT486">
        <v>5</v>
      </c>
      <c r="BU486">
        <v>2.2999999999999998</v>
      </c>
    </row>
    <row r="487" spans="1:73" x14ac:dyDescent="0.15">
      <c r="A487" s="11">
        <v>10434</v>
      </c>
      <c r="B487">
        <v>7</v>
      </c>
      <c r="C487" s="1">
        <v>48</v>
      </c>
      <c r="D487">
        <v>0</v>
      </c>
      <c r="E487">
        <v>0</v>
      </c>
      <c r="F487">
        <v>1</v>
      </c>
      <c r="G487" s="7">
        <v>0.05</v>
      </c>
      <c r="H487">
        <v>12</v>
      </c>
      <c r="I487">
        <v>0</v>
      </c>
      <c r="J487">
        <v>0</v>
      </c>
      <c r="K487">
        <v>0</v>
      </c>
      <c r="L487">
        <v>1</v>
      </c>
      <c r="M487">
        <v>2</v>
      </c>
      <c r="N487" s="7">
        <v>9</v>
      </c>
      <c r="O487" s="7">
        <v>0</v>
      </c>
      <c r="P487" s="7">
        <v>0</v>
      </c>
      <c r="Q487" s="7">
        <v>0</v>
      </c>
      <c r="R487" s="7">
        <v>1</v>
      </c>
      <c r="S487" s="7">
        <v>4.5</v>
      </c>
      <c r="T487">
        <v>7</v>
      </c>
      <c r="U487" s="1">
        <v>36</v>
      </c>
      <c r="V487">
        <v>0</v>
      </c>
      <c r="W487">
        <v>0</v>
      </c>
      <c r="X487">
        <v>1</v>
      </c>
      <c r="Y487">
        <v>0.16</v>
      </c>
      <c r="Z487">
        <v>23</v>
      </c>
      <c r="AA487">
        <v>0</v>
      </c>
      <c r="AB487">
        <v>0</v>
      </c>
      <c r="AC487">
        <v>0</v>
      </c>
      <c r="AD487">
        <v>1</v>
      </c>
      <c r="AE487">
        <v>0.05</v>
      </c>
      <c r="AF487">
        <v>15</v>
      </c>
      <c r="AG487">
        <v>0</v>
      </c>
      <c r="AH487">
        <v>0</v>
      </c>
      <c r="AI487">
        <v>0</v>
      </c>
      <c r="AJ487">
        <v>1</v>
      </c>
      <c r="AK487">
        <v>0.02</v>
      </c>
      <c r="AL487">
        <v>16</v>
      </c>
      <c r="AM487">
        <v>0</v>
      </c>
      <c r="AN487">
        <v>0</v>
      </c>
      <c r="AO487">
        <v>0</v>
      </c>
      <c r="AP487">
        <v>1</v>
      </c>
      <c r="AQ487">
        <v>0.01</v>
      </c>
      <c r="AX487">
        <v>7</v>
      </c>
      <c r="AY487" s="1">
        <v>20</v>
      </c>
      <c r="AZ487">
        <v>0</v>
      </c>
      <c r="BA487">
        <v>0</v>
      </c>
      <c r="BB487">
        <v>1</v>
      </c>
      <c r="BC487" s="7">
        <v>0.32</v>
      </c>
      <c r="BD487">
        <v>30</v>
      </c>
      <c r="BE487">
        <v>0</v>
      </c>
      <c r="BF487">
        <v>0</v>
      </c>
      <c r="BG487">
        <v>0</v>
      </c>
      <c r="BH487">
        <v>5</v>
      </c>
      <c r="BI487">
        <v>2.4</v>
      </c>
      <c r="BJ487">
        <v>31</v>
      </c>
      <c r="BK487">
        <v>0</v>
      </c>
      <c r="BL487">
        <v>0</v>
      </c>
      <c r="BM487">
        <v>0</v>
      </c>
      <c r="BN487">
        <v>5</v>
      </c>
      <c r="BO487">
        <v>2.4</v>
      </c>
      <c r="BP487">
        <v>36</v>
      </c>
      <c r="BQ487">
        <v>0</v>
      </c>
      <c r="BR487">
        <v>0</v>
      </c>
      <c r="BS487">
        <v>0</v>
      </c>
      <c r="BT487">
        <v>5</v>
      </c>
      <c r="BU487">
        <v>2.2999999999999998</v>
      </c>
    </row>
    <row r="488" spans="1:73" x14ac:dyDescent="0.15">
      <c r="A488" s="11">
        <v>10435</v>
      </c>
      <c r="B488">
        <v>7</v>
      </c>
      <c r="C488" s="1">
        <v>0</v>
      </c>
      <c r="D488">
        <v>5</v>
      </c>
      <c r="E488">
        <v>1</v>
      </c>
      <c r="F488">
        <v>1</v>
      </c>
      <c r="G488" s="7">
        <v>0.05</v>
      </c>
      <c r="H488">
        <v>12</v>
      </c>
      <c r="I488">
        <v>0</v>
      </c>
      <c r="J488">
        <v>0</v>
      </c>
      <c r="K488">
        <v>0</v>
      </c>
      <c r="L488">
        <v>1</v>
      </c>
      <c r="M488">
        <v>2</v>
      </c>
      <c r="N488" s="7">
        <v>9</v>
      </c>
      <c r="O488" s="7">
        <v>0</v>
      </c>
      <c r="P488" s="7">
        <v>0</v>
      </c>
      <c r="Q488" s="7">
        <v>0</v>
      </c>
      <c r="R488" s="7">
        <v>1</v>
      </c>
      <c r="S488" s="7">
        <v>4.5</v>
      </c>
      <c r="T488">
        <v>7</v>
      </c>
      <c r="U488" s="1">
        <v>0</v>
      </c>
      <c r="V488">
        <v>4</v>
      </c>
      <c r="W488">
        <v>2</v>
      </c>
      <c r="X488">
        <v>1</v>
      </c>
      <c r="Y488">
        <v>0.16</v>
      </c>
      <c r="Z488">
        <v>23</v>
      </c>
      <c r="AA488">
        <v>0</v>
      </c>
      <c r="AB488">
        <v>0</v>
      </c>
      <c r="AC488">
        <v>0</v>
      </c>
      <c r="AD488">
        <v>1</v>
      </c>
      <c r="AE488">
        <v>0.05</v>
      </c>
      <c r="AF488">
        <v>15</v>
      </c>
      <c r="AG488">
        <v>0</v>
      </c>
      <c r="AH488">
        <v>0</v>
      </c>
      <c r="AI488">
        <v>0</v>
      </c>
      <c r="AJ488">
        <v>1</v>
      </c>
      <c r="AK488">
        <v>0.02</v>
      </c>
      <c r="AL488">
        <v>16</v>
      </c>
      <c r="AM488">
        <v>0</v>
      </c>
      <c r="AN488">
        <v>0</v>
      </c>
      <c r="AO488">
        <v>0</v>
      </c>
      <c r="AP488">
        <v>1</v>
      </c>
      <c r="AQ488">
        <v>0.01</v>
      </c>
      <c r="AR488">
        <v>6</v>
      </c>
      <c r="AS488">
        <v>2</v>
      </c>
      <c r="AT488">
        <v>2</v>
      </c>
      <c r="AU488">
        <v>5</v>
      </c>
      <c r="AV488">
        <v>1</v>
      </c>
      <c r="AW488">
        <v>0.05</v>
      </c>
      <c r="AX488">
        <v>7</v>
      </c>
      <c r="AY488" s="1">
        <v>0</v>
      </c>
      <c r="AZ488">
        <v>3</v>
      </c>
      <c r="BA488">
        <v>1</v>
      </c>
      <c r="BB488">
        <v>1</v>
      </c>
      <c r="BC488" s="7">
        <v>0.32</v>
      </c>
      <c r="BD488">
        <v>30</v>
      </c>
      <c r="BE488">
        <v>0</v>
      </c>
      <c r="BF488">
        <v>0</v>
      </c>
      <c r="BG488">
        <v>0</v>
      </c>
      <c r="BH488">
        <v>5</v>
      </c>
      <c r="BI488">
        <v>2.4</v>
      </c>
      <c r="BJ488">
        <v>31</v>
      </c>
      <c r="BK488">
        <v>0</v>
      </c>
      <c r="BL488">
        <v>0</v>
      </c>
      <c r="BM488">
        <v>0</v>
      </c>
      <c r="BN488">
        <v>5</v>
      </c>
      <c r="BO488">
        <v>2.4</v>
      </c>
      <c r="BP488">
        <v>36</v>
      </c>
      <c r="BQ488">
        <v>0</v>
      </c>
      <c r="BR488">
        <v>0</v>
      </c>
      <c r="BS488">
        <v>0</v>
      </c>
      <c r="BT488">
        <v>5</v>
      </c>
      <c r="BU488">
        <v>2.2999999999999998</v>
      </c>
    </row>
    <row r="489" spans="1:73" x14ac:dyDescent="0.15">
      <c r="A489" s="11">
        <v>10436</v>
      </c>
      <c r="B489">
        <v>7</v>
      </c>
      <c r="C489" s="1">
        <v>45</v>
      </c>
      <c r="D489">
        <v>0</v>
      </c>
      <c r="E489">
        <v>0</v>
      </c>
      <c r="F489">
        <v>1</v>
      </c>
      <c r="G489" s="7">
        <v>0.05</v>
      </c>
      <c r="H489">
        <v>12</v>
      </c>
      <c r="I489">
        <v>0</v>
      </c>
      <c r="J489">
        <v>0</v>
      </c>
      <c r="K489">
        <v>0</v>
      </c>
      <c r="L489">
        <v>1</v>
      </c>
      <c r="M489">
        <v>2</v>
      </c>
      <c r="N489" s="7">
        <v>9</v>
      </c>
      <c r="O489" s="7">
        <v>0</v>
      </c>
      <c r="P489" s="7">
        <v>0</v>
      </c>
      <c r="Q489" s="7">
        <v>0</v>
      </c>
      <c r="R489" s="7">
        <v>1</v>
      </c>
      <c r="S489" s="7">
        <v>4.5</v>
      </c>
      <c r="T489">
        <v>7</v>
      </c>
      <c r="U489" s="1">
        <v>33</v>
      </c>
      <c r="V489">
        <v>0</v>
      </c>
      <c r="W489">
        <v>0</v>
      </c>
      <c r="X489">
        <v>1</v>
      </c>
      <c r="Y489">
        <v>0.16</v>
      </c>
      <c r="Z489">
        <v>23</v>
      </c>
      <c r="AA489">
        <v>0</v>
      </c>
      <c r="AB489">
        <v>0</v>
      </c>
      <c r="AC489">
        <v>0</v>
      </c>
      <c r="AD489">
        <v>1</v>
      </c>
      <c r="AE489">
        <v>0.05</v>
      </c>
      <c r="AF489">
        <v>15</v>
      </c>
      <c r="AG489">
        <v>0</v>
      </c>
      <c r="AH489">
        <v>0</v>
      </c>
      <c r="AI489">
        <v>0</v>
      </c>
      <c r="AJ489">
        <v>1</v>
      </c>
      <c r="AK489">
        <v>0.02</v>
      </c>
      <c r="AL489">
        <v>16</v>
      </c>
      <c r="AM489">
        <v>0</v>
      </c>
      <c r="AN489">
        <v>0</v>
      </c>
      <c r="AO489">
        <v>0</v>
      </c>
      <c r="AP489">
        <v>1</v>
      </c>
      <c r="AQ489">
        <v>0.01</v>
      </c>
      <c r="AX489">
        <v>7</v>
      </c>
      <c r="AY489" s="1">
        <v>17</v>
      </c>
      <c r="AZ489">
        <v>0</v>
      </c>
      <c r="BA489">
        <v>0</v>
      </c>
      <c r="BB489">
        <v>1</v>
      </c>
      <c r="BC489" s="7">
        <v>0.32</v>
      </c>
      <c r="BD489">
        <v>30</v>
      </c>
      <c r="BE489">
        <v>0</v>
      </c>
      <c r="BF489">
        <v>0</v>
      </c>
      <c r="BG489">
        <v>0</v>
      </c>
      <c r="BH489">
        <v>5</v>
      </c>
      <c r="BI489">
        <v>2.4</v>
      </c>
      <c r="BJ489">
        <v>31</v>
      </c>
      <c r="BK489">
        <v>0</v>
      </c>
      <c r="BL489">
        <v>0</v>
      </c>
      <c r="BM489">
        <v>0</v>
      </c>
      <c r="BN489">
        <v>5</v>
      </c>
      <c r="BO489">
        <v>2.4</v>
      </c>
      <c r="BP489">
        <v>36</v>
      </c>
      <c r="BQ489">
        <v>0</v>
      </c>
      <c r="BR489">
        <v>0</v>
      </c>
      <c r="BS489">
        <v>0</v>
      </c>
      <c r="BT489">
        <v>5</v>
      </c>
      <c r="BU489">
        <v>2.2999999999999998</v>
      </c>
    </row>
    <row r="490" spans="1:73" x14ac:dyDescent="0.15">
      <c r="A490" s="11">
        <v>10437</v>
      </c>
      <c r="B490">
        <v>7</v>
      </c>
      <c r="C490" s="1">
        <v>46</v>
      </c>
      <c r="D490">
        <v>0</v>
      </c>
      <c r="E490">
        <v>0</v>
      </c>
      <c r="F490">
        <v>1</v>
      </c>
      <c r="G490" s="7">
        <v>0.05</v>
      </c>
      <c r="H490">
        <v>12</v>
      </c>
      <c r="I490">
        <v>0</v>
      </c>
      <c r="J490">
        <v>0</v>
      </c>
      <c r="K490">
        <v>0</v>
      </c>
      <c r="L490">
        <v>1</v>
      </c>
      <c r="M490">
        <v>2</v>
      </c>
      <c r="N490" s="7">
        <v>9</v>
      </c>
      <c r="O490" s="7">
        <v>0</v>
      </c>
      <c r="P490" s="7">
        <v>0</v>
      </c>
      <c r="Q490" s="7">
        <v>0</v>
      </c>
      <c r="R490" s="7">
        <v>1</v>
      </c>
      <c r="S490" s="7">
        <v>4.5</v>
      </c>
      <c r="T490">
        <v>7</v>
      </c>
      <c r="U490" s="1">
        <v>34</v>
      </c>
      <c r="V490">
        <v>0</v>
      </c>
      <c r="W490">
        <v>0</v>
      </c>
      <c r="X490">
        <v>1</v>
      </c>
      <c r="Y490">
        <v>0.16</v>
      </c>
      <c r="Z490">
        <v>23</v>
      </c>
      <c r="AA490">
        <v>0</v>
      </c>
      <c r="AB490">
        <v>0</v>
      </c>
      <c r="AC490">
        <v>0</v>
      </c>
      <c r="AD490">
        <v>1</v>
      </c>
      <c r="AE490">
        <v>0.05</v>
      </c>
      <c r="AF490">
        <v>15</v>
      </c>
      <c r="AG490">
        <v>0</v>
      </c>
      <c r="AH490">
        <v>0</v>
      </c>
      <c r="AI490">
        <v>0</v>
      </c>
      <c r="AJ490">
        <v>1</v>
      </c>
      <c r="AK490">
        <v>0.02</v>
      </c>
      <c r="AL490">
        <v>16</v>
      </c>
      <c r="AM490">
        <v>0</v>
      </c>
      <c r="AN490">
        <v>0</v>
      </c>
      <c r="AO490">
        <v>0</v>
      </c>
      <c r="AP490">
        <v>1</v>
      </c>
      <c r="AQ490">
        <v>0.01</v>
      </c>
      <c r="AX490">
        <v>7</v>
      </c>
      <c r="AY490" s="1">
        <v>18</v>
      </c>
      <c r="AZ490">
        <v>0</v>
      </c>
      <c r="BA490">
        <v>0</v>
      </c>
      <c r="BB490">
        <v>1</v>
      </c>
      <c r="BC490" s="7">
        <v>0.32</v>
      </c>
      <c r="BD490">
        <v>30</v>
      </c>
      <c r="BE490">
        <v>0</v>
      </c>
      <c r="BF490">
        <v>0</v>
      </c>
      <c r="BG490">
        <v>0</v>
      </c>
      <c r="BH490">
        <v>5</v>
      </c>
      <c r="BI490">
        <v>2.4</v>
      </c>
      <c r="BJ490">
        <v>31</v>
      </c>
      <c r="BK490">
        <v>0</v>
      </c>
      <c r="BL490">
        <v>0</v>
      </c>
      <c r="BM490">
        <v>0</v>
      </c>
      <c r="BN490">
        <v>5</v>
      </c>
      <c r="BO490">
        <v>2.4</v>
      </c>
      <c r="BP490">
        <v>36</v>
      </c>
      <c r="BQ490">
        <v>0</v>
      </c>
      <c r="BR490">
        <v>0</v>
      </c>
      <c r="BS490">
        <v>0</v>
      </c>
      <c r="BT490">
        <v>5</v>
      </c>
      <c r="BU490">
        <v>2.2999999999999998</v>
      </c>
    </row>
    <row r="491" spans="1:73" x14ac:dyDescent="0.15">
      <c r="A491" s="11">
        <v>10438</v>
      </c>
      <c r="B491">
        <v>7</v>
      </c>
      <c r="C491" s="1">
        <v>47</v>
      </c>
      <c r="D491">
        <v>0</v>
      </c>
      <c r="E491">
        <v>0</v>
      </c>
      <c r="F491">
        <v>1</v>
      </c>
      <c r="G491" s="7">
        <v>0.05</v>
      </c>
      <c r="H491">
        <v>12</v>
      </c>
      <c r="I491">
        <v>0</v>
      </c>
      <c r="J491">
        <v>0</v>
      </c>
      <c r="K491">
        <v>0</v>
      </c>
      <c r="L491">
        <v>1</v>
      </c>
      <c r="M491">
        <v>2</v>
      </c>
      <c r="N491" s="7">
        <v>9</v>
      </c>
      <c r="O491" s="7">
        <v>0</v>
      </c>
      <c r="P491" s="7">
        <v>0</v>
      </c>
      <c r="Q491" s="7">
        <v>0</v>
      </c>
      <c r="R491" s="7">
        <v>1</v>
      </c>
      <c r="S491" s="7">
        <v>4.5</v>
      </c>
      <c r="T491">
        <v>7</v>
      </c>
      <c r="U491" s="1">
        <v>35</v>
      </c>
      <c r="V491">
        <v>0</v>
      </c>
      <c r="W491">
        <v>0</v>
      </c>
      <c r="X491">
        <v>1</v>
      </c>
      <c r="Y491">
        <v>0.16</v>
      </c>
      <c r="Z491">
        <v>23</v>
      </c>
      <c r="AA491">
        <v>0</v>
      </c>
      <c r="AB491">
        <v>0</v>
      </c>
      <c r="AC491">
        <v>0</v>
      </c>
      <c r="AD491">
        <v>1</v>
      </c>
      <c r="AE491">
        <v>0.05</v>
      </c>
      <c r="AF491">
        <v>15</v>
      </c>
      <c r="AG491">
        <v>0</v>
      </c>
      <c r="AH491">
        <v>0</v>
      </c>
      <c r="AI491">
        <v>0</v>
      </c>
      <c r="AJ491">
        <v>1</v>
      </c>
      <c r="AK491">
        <v>0.02</v>
      </c>
      <c r="AL491">
        <v>16</v>
      </c>
      <c r="AM491">
        <v>0</v>
      </c>
      <c r="AN491">
        <v>0</v>
      </c>
      <c r="AO491">
        <v>0</v>
      </c>
      <c r="AP491">
        <v>1</v>
      </c>
      <c r="AQ491">
        <v>0.01</v>
      </c>
      <c r="AX491">
        <v>7</v>
      </c>
      <c r="AY491" s="1">
        <v>19</v>
      </c>
      <c r="AZ491">
        <v>0</v>
      </c>
      <c r="BA491">
        <v>0</v>
      </c>
      <c r="BB491">
        <v>1</v>
      </c>
      <c r="BC491" s="7">
        <v>0.32</v>
      </c>
      <c r="BD491">
        <v>30</v>
      </c>
      <c r="BE491">
        <v>0</v>
      </c>
      <c r="BF491">
        <v>0</v>
      </c>
      <c r="BG491">
        <v>0</v>
      </c>
      <c r="BH491">
        <v>5</v>
      </c>
      <c r="BI491">
        <v>2.4</v>
      </c>
      <c r="BJ491">
        <v>31</v>
      </c>
      <c r="BK491">
        <v>0</v>
      </c>
      <c r="BL491">
        <v>0</v>
      </c>
      <c r="BM491">
        <v>0</v>
      </c>
      <c r="BN491">
        <v>5</v>
      </c>
      <c r="BO491">
        <v>2.4</v>
      </c>
      <c r="BP491">
        <v>36</v>
      </c>
      <c r="BQ491">
        <v>0</v>
      </c>
      <c r="BR491">
        <v>0</v>
      </c>
      <c r="BS491">
        <v>0</v>
      </c>
      <c r="BT491">
        <v>5</v>
      </c>
      <c r="BU491">
        <v>2.2999999999999998</v>
      </c>
    </row>
    <row r="492" spans="1:73" x14ac:dyDescent="0.15">
      <c r="A492" s="11">
        <v>10439</v>
      </c>
      <c r="B492">
        <v>7</v>
      </c>
      <c r="C492" s="1">
        <v>48</v>
      </c>
      <c r="D492">
        <v>0</v>
      </c>
      <c r="E492">
        <v>0</v>
      </c>
      <c r="F492">
        <v>1</v>
      </c>
      <c r="G492" s="7">
        <v>0.05</v>
      </c>
      <c r="H492">
        <v>12</v>
      </c>
      <c r="I492">
        <v>0</v>
      </c>
      <c r="J492">
        <v>0</v>
      </c>
      <c r="K492">
        <v>0</v>
      </c>
      <c r="L492">
        <v>1</v>
      </c>
      <c r="M492">
        <v>2</v>
      </c>
      <c r="N492" s="7">
        <v>9</v>
      </c>
      <c r="O492" s="7">
        <v>0</v>
      </c>
      <c r="P492" s="7">
        <v>0</v>
      </c>
      <c r="Q492" s="7">
        <v>0</v>
      </c>
      <c r="R492" s="7">
        <v>1</v>
      </c>
      <c r="S492" s="7">
        <v>4.5</v>
      </c>
      <c r="T492">
        <v>7</v>
      </c>
      <c r="U492" s="1">
        <v>36</v>
      </c>
      <c r="V492">
        <v>0</v>
      </c>
      <c r="W492">
        <v>0</v>
      </c>
      <c r="X492">
        <v>1</v>
      </c>
      <c r="Y492">
        <v>0.16</v>
      </c>
      <c r="Z492">
        <v>23</v>
      </c>
      <c r="AA492">
        <v>0</v>
      </c>
      <c r="AB492">
        <v>0</v>
      </c>
      <c r="AC492">
        <v>0</v>
      </c>
      <c r="AD492">
        <v>1</v>
      </c>
      <c r="AE492">
        <v>0.05</v>
      </c>
      <c r="AF492">
        <v>15</v>
      </c>
      <c r="AG492">
        <v>0</v>
      </c>
      <c r="AH492">
        <v>0</v>
      </c>
      <c r="AI492">
        <v>0</v>
      </c>
      <c r="AJ492">
        <v>1</v>
      </c>
      <c r="AK492">
        <v>0.02</v>
      </c>
      <c r="AL492">
        <v>16</v>
      </c>
      <c r="AM492">
        <v>0</v>
      </c>
      <c r="AN492">
        <v>0</v>
      </c>
      <c r="AO492">
        <v>0</v>
      </c>
      <c r="AP492">
        <v>1</v>
      </c>
      <c r="AQ492">
        <v>0.01</v>
      </c>
      <c r="AX492">
        <v>7</v>
      </c>
      <c r="AY492" s="1">
        <v>20</v>
      </c>
      <c r="AZ492">
        <v>0</v>
      </c>
      <c r="BA492">
        <v>0</v>
      </c>
      <c r="BB492">
        <v>1</v>
      </c>
      <c r="BC492" s="7">
        <v>0.32</v>
      </c>
      <c r="BD492">
        <v>30</v>
      </c>
      <c r="BE492">
        <v>0</v>
      </c>
      <c r="BF492">
        <v>0</v>
      </c>
      <c r="BG492">
        <v>0</v>
      </c>
      <c r="BH492">
        <v>5</v>
      </c>
      <c r="BI492">
        <v>2.4</v>
      </c>
      <c r="BJ492">
        <v>31</v>
      </c>
      <c r="BK492">
        <v>0</v>
      </c>
      <c r="BL492">
        <v>0</v>
      </c>
      <c r="BM492">
        <v>0</v>
      </c>
      <c r="BN492">
        <v>5</v>
      </c>
      <c r="BO492">
        <v>2.4</v>
      </c>
      <c r="BP492">
        <v>36</v>
      </c>
      <c r="BQ492">
        <v>0</v>
      </c>
      <c r="BR492">
        <v>0</v>
      </c>
      <c r="BS492">
        <v>0</v>
      </c>
      <c r="BT492">
        <v>5</v>
      </c>
      <c r="BU492">
        <v>2.2999999999999998</v>
      </c>
    </row>
    <row r="493" spans="1:73" x14ac:dyDescent="0.15">
      <c r="A493" s="11">
        <v>10440</v>
      </c>
      <c r="B493">
        <v>7</v>
      </c>
      <c r="C493" s="1">
        <v>0</v>
      </c>
      <c r="D493">
        <v>5</v>
      </c>
      <c r="E493">
        <v>1</v>
      </c>
      <c r="F493">
        <v>1</v>
      </c>
      <c r="G493" s="7">
        <v>0.05</v>
      </c>
      <c r="H493">
        <v>12</v>
      </c>
      <c r="I493">
        <v>0</v>
      </c>
      <c r="J493">
        <v>0</v>
      </c>
      <c r="K493">
        <v>0</v>
      </c>
      <c r="L493">
        <v>1</v>
      </c>
      <c r="M493">
        <v>2</v>
      </c>
      <c r="N493" s="7">
        <v>9</v>
      </c>
      <c r="O493" s="7">
        <v>0</v>
      </c>
      <c r="P493" s="7">
        <v>0</v>
      </c>
      <c r="Q493" s="7">
        <v>0</v>
      </c>
      <c r="R493" s="7">
        <v>1</v>
      </c>
      <c r="S493" s="7">
        <v>4.5</v>
      </c>
      <c r="T493">
        <v>7</v>
      </c>
      <c r="U493" s="1">
        <v>0</v>
      </c>
      <c r="V493">
        <v>4</v>
      </c>
      <c r="W493">
        <v>2</v>
      </c>
      <c r="X493">
        <v>1</v>
      </c>
      <c r="Y493">
        <v>0.16</v>
      </c>
      <c r="Z493">
        <v>23</v>
      </c>
      <c r="AA493">
        <v>0</v>
      </c>
      <c r="AB493">
        <v>0</v>
      </c>
      <c r="AC493">
        <v>0</v>
      </c>
      <c r="AD493">
        <v>1</v>
      </c>
      <c r="AE493">
        <v>0.05</v>
      </c>
      <c r="AF493">
        <v>15</v>
      </c>
      <c r="AG493">
        <v>0</v>
      </c>
      <c r="AH493">
        <v>0</v>
      </c>
      <c r="AI493">
        <v>0</v>
      </c>
      <c r="AJ493">
        <v>1</v>
      </c>
      <c r="AK493">
        <v>0.02</v>
      </c>
      <c r="AL493">
        <v>16</v>
      </c>
      <c r="AM493">
        <v>0</v>
      </c>
      <c r="AN493">
        <v>0</v>
      </c>
      <c r="AO493">
        <v>0</v>
      </c>
      <c r="AP493">
        <v>1</v>
      </c>
      <c r="AQ493">
        <v>0.01</v>
      </c>
      <c r="AR493">
        <v>6</v>
      </c>
      <c r="AS493">
        <v>2</v>
      </c>
      <c r="AT493">
        <v>3</v>
      </c>
      <c r="AU493">
        <v>5</v>
      </c>
      <c r="AV493">
        <v>1</v>
      </c>
      <c r="AW493">
        <v>0.05</v>
      </c>
      <c r="AX493">
        <v>7</v>
      </c>
      <c r="AY493" s="1">
        <v>0</v>
      </c>
      <c r="AZ493">
        <v>3</v>
      </c>
      <c r="BA493">
        <v>1</v>
      </c>
      <c r="BB493">
        <v>1</v>
      </c>
      <c r="BC493" s="7">
        <v>0.32</v>
      </c>
      <c r="BD493">
        <v>30</v>
      </c>
      <c r="BE493">
        <v>0</v>
      </c>
      <c r="BF493">
        <v>0</v>
      </c>
      <c r="BG493">
        <v>0</v>
      </c>
      <c r="BH493">
        <v>5</v>
      </c>
      <c r="BI493">
        <v>2.4</v>
      </c>
      <c r="BJ493">
        <v>31</v>
      </c>
      <c r="BK493">
        <v>0</v>
      </c>
      <c r="BL493">
        <v>0</v>
      </c>
      <c r="BM493">
        <v>0</v>
      </c>
      <c r="BN493">
        <v>5</v>
      </c>
      <c r="BO493">
        <v>2.4</v>
      </c>
      <c r="BP493">
        <v>36</v>
      </c>
      <c r="BQ493">
        <v>0</v>
      </c>
      <c r="BR493">
        <v>0</v>
      </c>
      <c r="BS493">
        <v>0</v>
      </c>
      <c r="BT493">
        <v>5</v>
      </c>
      <c r="BU493">
        <v>2.2999999999999998</v>
      </c>
    </row>
    <row r="494" spans="1:73" x14ac:dyDescent="0.15">
      <c r="A494" s="11">
        <v>10441</v>
      </c>
      <c r="B494">
        <v>7</v>
      </c>
      <c r="C494" s="1">
        <v>45</v>
      </c>
      <c r="D494">
        <v>0</v>
      </c>
      <c r="E494">
        <v>0</v>
      </c>
      <c r="F494">
        <v>1</v>
      </c>
      <c r="G494" s="7">
        <v>0.05</v>
      </c>
      <c r="H494">
        <v>12</v>
      </c>
      <c r="I494">
        <v>0</v>
      </c>
      <c r="J494">
        <v>0</v>
      </c>
      <c r="K494">
        <v>0</v>
      </c>
      <c r="L494">
        <v>1</v>
      </c>
      <c r="M494">
        <v>2</v>
      </c>
      <c r="N494" s="7">
        <v>9</v>
      </c>
      <c r="O494" s="7">
        <v>0</v>
      </c>
      <c r="P494" s="7">
        <v>0</v>
      </c>
      <c r="Q494" s="7">
        <v>0</v>
      </c>
      <c r="R494" s="7">
        <v>1</v>
      </c>
      <c r="S494" s="7">
        <v>4.5</v>
      </c>
      <c r="T494">
        <v>7</v>
      </c>
      <c r="U494" s="1">
        <v>33</v>
      </c>
      <c r="V494">
        <v>0</v>
      </c>
      <c r="W494">
        <v>0</v>
      </c>
      <c r="X494">
        <v>1</v>
      </c>
      <c r="Y494">
        <v>0.16</v>
      </c>
      <c r="Z494">
        <v>23</v>
      </c>
      <c r="AA494">
        <v>0</v>
      </c>
      <c r="AB494">
        <v>0</v>
      </c>
      <c r="AC494">
        <v>0</v>
      </c>
      <c r="AD494">
        <v>1</v>
      </c>
      <c r="AE494">
        <v>0.05</v>
      </c>
      <c r="AF494">
        <v>15</v>
      </c>
      <c r="AG494">
        <v>0</v>
      </c>
      <c r="AH494">
        <v>0</v>
      </c>
      <c r="AI494">
        <v>0</v>
      </c>
      <c r="AJ494">
        <v>1</v>
      </c>
      <c r="AK494">
        <v>0.02</v>
      </c>
      <c r="AL494">
        <v>16</v>
      </c>
      <c r="AM494">
        <v>0</v>
      </c>
      <c r="AN494">
        <v>0</v>
      </c>
      <c r="AO494">
        <v>0</v>
      </c>
      <c r="AP494">
        <v>1</v>
      </c>
      <c r="AQ494">
        <v>0.01</v>
      </c>
      <c r="AX494">
        <v>7</v>
      </c>
      <c r="AY494" s="1">
        <v>17</v>
      </c>
      <c r="AZ494">
        <v>0</v>
      </c>
      <c r="BA494">
        <v>0</v>
      </c>
      <c r="BB494">
        <v>1</v>
      </c>
      <c r="BC494" s="7">
        <v>0.32</v>
      </c>
      <c r="BD494">
        <v>30</v>
      </c>
      <c r="BE494">
        <v>0</v>
      </c>
      <c r="BF494">
        <v>0</v>
      </c>
      <c r="BG494">
        <v>0</v>
      </c>
      <c r="BH494">
        <v>5</v>
      </c>
      <c r="BI494">
        <v>2.4</v>
      </c>
      <c r="BJ494">
        <v>31</v>
      </c>
      <c r="BK494">
        <v>0</v>
      </c>
      <c r="BL494">
        <v>0</v>
      </c>
      <c r="BM494">
        <v>0</v>
      </c>
      <c r="BN494">
        <v>5</v>
      </c>
      <c r="BO494">
        <v>2.4</v>
      </c>
      <c r="BP494">
        <v>36</v>
      </c>
      <c r="BQ494">
        <v>0</v>
      </c>
      <c r="BR494">
        <v>0</v>
      </c>
      <c r="BS494">
        <v>0</v>
      </c>
      <c r="BT494">
        <v>5</v>
      </c>
      <c r="BU494">
        <v>2.2999999999999998</v>
      </c>
    </row>
    <row r="495" spans="1:73" x14ac:dyDescent="0.15">
      <c r="A495" s="11">
        <v>10442</v>
      </c>
      <c r="B495">
        <v>7</v>
      </c>
      <c r="C495" s="1">
        <v>46</v>
      </c>
      <c r="D495">
        <v>0</v>
      </c>
      <c r="E495">
        <v>0</v>
      </c>
      <c r="F495">
        <v>1</v>
      </c>
      <c r="G495" s="7">
        <v>0.05</v>
      </c>
      <c r="H495">
        <v>12</v>
      </c>
      <c r="I495">
        <v>0</v>
      </c>
      <c r="J495">
        <v>0</v>
      </c>
      <c r="K495">
        <v>0</v>
      </c>
      <c r="L495">
        <v>1</v>
      </c>
      <c r="M495">
        <v>2</v>
      </c>
      <c r="N495" s="7">
        <v>9</v>
      </c>
      <c r="O495" s="7">
        <v>0</v>
      </c>
      <c r="P495" s="7">
        <v>0</v>
      </c>
      <c r="Q495" s="7">
        <v>0</v>
      </c>
      <c r="R495" s="7">
        <v>1</v>
      </c>
      <c r="S495" s="7">
        <v>4.5</v>
      </c>
      <c r="T495">
        <v>7</v>
      </c>
      <c r="U495" s="1">
        <v>34</v>
      </c>
      <c r="V495">
        <v>0</v>
      </c>
      <c r="W495">
        <v>0</v>
      </c>
      <c r="X495">
        <v>1</v>
      </c>
      <c r="Y495">
        <v>0.16</v>
      </c>
      <c r="Z495">
        <v>23</v>
      </c>
      <c r="AA495">
        <v>0</v>
      </c>
      <c r="AB495">
        <v>0</v>
      </c>
      <c r="AC495">
        <v>0</v>
      </c>
      <c r="AD495">
        <v>1</v>
      </c>
      <c r="AE495">
        <v>0.05</v>
      </c>
      <c r="AF495">
        <v>15</v>
      </c>
      <c r="AG495">
        <v>0</v>
      </c>
      <c r="AH495">
        <v>0</v>
      </c>
      <c r="AI495">
        <v>0</v>
      </c>
      <c r="AJ495">
        <v>1</v>
      </c>
      <c r="AK495">
        <v>0.02</v>
      </c>
      <c r="AL495">
        <v>16</v>
      </c>
      <c r="AM495">
        <v>0</v>
      </c>
      <c r="AN495">
        <v>0</v>
      </c>
      <c r="AO495">
        <v>0</v>
      </c>
      <c r="AP495">
        <v>1</v>
      </c>
      <c r="AQ495">
        <v>0.01</v>
      </c>
      <c r="AX495">
        <v>7</v>
      </c>
      <c r="AY495" s="1">
        <v>18</v>
      </c>
      <c r="AZ495">
        <v>0</v>
      </c>
      <c r="BA495">
        <v>0</v>
      </c>
      <c r="BB495">
        <v>1</v>
      </c>
      <c r="BC495" s="7">
        <v>0.32</v>
      </c>
      <c r="BD495">
        <v>30</v>
      </c>
      <c r="BE495">
        <v>0</v>
      </c>
      <c r="BF495">
        <v>0</v>
      </c>
      <c r="BG495">
        <v>0</v>
      </c>
      <c r="BH495">
        <v>5</v>
      </c>
      <c r="BI495">
        <v>2.4</v>
      </c>
      <c r="BJ495">
        <v>31</v>
      </c>
      <c r="BK495">
        <v>0</v>
      </c>
      <c r="BL495">
        <v>0</v>
      </c>
      <c r="BM495">
        <v>0</v>
      </c>
      <c r="BN495">
        <v>5</v>
      </c>
      <c r="BO495">
        <v>2.4</v>
      </c>
      <c r="BP495">
        <v>36</v>
      </c>
      <c r="BQ495">
        <v>0</v>
      </c>
      <c r="BR495">
        <v>0</v>
      </c>
      <c r="BS495">
        <v>0</v>
      </c>
      <c r="BT495">
        <v>5</v>
      </c>
      <c r="BU495">
        <v>2.2999999999999998</v>
      </c>
    </row>
    <row r="496" spans="1:73" x14ac:dyDescent="0.15">
      <c r="A496" s="11">
        <v>10443</v>
      </c>
      <c r="B496">
        <v>7</v>
      </c>
      <c r="C496" s="1">
        <v>47</v>
      </c>
      <c r="D496">
        <v>0</v>
      </c>
      <c r="E496">
        <v>0</v>
      </c>
      <c r="F496">
        <v>1</v>
      </c>
      <c r="G496" s="7">
        <v>0.05</v>
      </c>
      <c r="H496">
        <v>12</v>
      </c>
      <c r="I496">
        <v>0</v>
      </c>
      <c r="J496">
        <v>0</v>
      </c>
      <c r="K496">
        <v>0</v>
      </c>
      <c r="L496">
        <v>1</v>
      </c>
      <c r="M496">
        <v>2</v>
      </c>
      <c r="N496" s="7">
        <v>9</v>
      </c>
      <c r="O496" s="7">
        <v>0</v>
      </c>
      <c r="P496" s="7">
        <v>0</v>
      </c>
      <c r="Q496" s="7">
        <v>0</v>
      </c>
      <c r="R496" s="7">
        <v>1</v>
      </c>
      <c r="S496" s="7">
        <v>4.5</v>
      </c>
      <c r="T496">
        <v>7</v>
      </c>
      <c r="U496" s="1">
        <v>35</v>
      </c>
      <c r="V496">
        <v>0</v>
      </c>
      <c r="W496">
        <v>0</v>
      </c>
      <c r="X496">
        <v>1</v>
      </c>
      <c r="Y496">
        <v>0.16</v>
      </c>
      <c r="Z496">
        <v>23</v>
      </c>
      <c r="AA496">
        <v>0</v>
      </c>
      <c r="AB496">
        <v>0</v>
      </c>
      <c r="AC496">
        <v>0</v>
      </c>
      <c r="AD496">
        <v>1</v>
      </c>
      <c r="AE496">
        <v>0.05</v>
      </c>
      <c r="AF496">
        <v>15</v>
      </c>
      <c r="AG496">
        <v>0</v>
      </c>
      <c r="AH496">
        <v>0</v>
      </c>
      <c r="AI496">
        <v>0</v>
      </c>
      <c r="AJ496">
        <v>1</v>
      </c>
      <c r="AK496">
        <v>0.02</v>
      </c>
      <c r="AL496">
        <v>16</v>
      </c>
      <c r="AM496">
        <v>0</v>
      </c>
      <c r="AN496">
        <v>0</v>
      </c>
      <c r="AO496">
        <v>0</v>
      </c>
      <c r="AP496">
        <v>1</v>
      </c>
      <c r="AQ496">
        <v>0.01</v>
      </c>
      <c r="AX496">
        <v>7</v>
      </c>
      <c r="AY496" s="1">
        <v>19</v>
      </c>
      <c r="AZ496">
        <v>0</v>
      </c>
      <c r="BA496">
        <v>0</v>
      </c>
      <c r="BB496">
        <v>1</v>
      </c>
      <c r="BC496" s="7">
        <v>0.32</v>
      </c>
      <c r="BD496">
        <v>30</v>
      </c>
      <c r="BE496">
        <v>0</v>
      </c>
      <c r="BF496">
        <v>0</v>
      </c>
      <c r="BG496">
        <v>0</v>
      </c>
      <c r="BH496">
        <v>5</v>
      </c>
      <c r="BI496">
        <v>2.4</v>
      </c>
      <c r="BJ496">
        <v>31</v>
      </c>
      <c r="BK496">
        <v>0</v>
      </c>
      <c r="BL496">
        <v>0</v>
      </c>
      <c r="BM496">
        <v>0</v>
      </c>
      <c r="BN496">
        <v>5</v>
      </c>
      <c r="BO496">
        <v>2.4</v>
      </c>
      <c r="BP496">
        <v>36</v>
      </c>
      <c r="BQ496">
        <v>0</v>
      </c>
      <c r="BR496">
        <v>0</v>
      </c>
      <c r="BS496">
        <v>0</v>
      </c>
      <c r="BT496">
        <v>5</v>
      </c>
      <c r="BU496">
        <v>2.2999999999999998</v>
      </c>
    </row>
    <row r="497" spans="1:73" x14ac:dyDescent="0.15">
      <c r="A497" s="11">
        <v>10444</v>
      </c>
      <c r="B497">
        <v>7</v>
      </c>
      <c r="C497" s="1">
        <v>48</v>
      </c>
      <c r="D497">
        <v>0</v>
      </c>
      <c r="E497">
        <v>0</v>
      </c>
      <c r="F497">
        <v>1</v>
      </c>
      <c r="G497" s="7">
        <v>0.05</v>
      </c>
      <c r="H497">
        <v>12</v>
      </c>
      <c r="I497">
        <v>0</v>
      </c>
      <c r="J497">
        <v>0</v>
      </c>
      <c r="K497">
        <v>0</v>
      </c>
      <c r="L497">
        <v>1</v>
      </c>
      <c r="M497">
        <v>2</v>
      </c>
      <c r="N497" s="7">
        <v>9</v>
      </c>
      <c r="O497" s="7">
        <v>0</v>
      </c>
      <c r="P497" s="7">
        <v>0</v>
      </c>
      <c r="Q497" s="7">
        <v>0</v>
      </c>
      <c r="R497" s="7">
        <v>1</v>
      </c>
      <c r="S497" s="7">
        <v>4.5</v>
      </c>
      <c r="T497">
        <v>7</v>
      </c>
      <c r="U497" s="1">
        <v>36</v>
      </c>
      <c r="V497">
        <v>0</v>
      </c>
      <c r="W497">
        <v>0</v>
      </c>
      <c r="X497">
        <v>1</v>
      </c>
      <c r="Y497">
        <v>0.16</v>
      </c>
      <c r="Z497">
        <v>23</v>
      </c>
      <c r="AA497">
        <v>0</v>
      </c>
      <c r="AB497">
        <v>0</v>
      </c>
      <c r="AC497">
        <v>0</v>
      </c>
      <c r="AD497">
        <v>1</v>
      </c>
      <c r="AE497">
        <v>0.05</v>
      </c>
      <c r="AF497">
        <v>15</v>
      </c>
      <c r="AG497">
        <v>0</v>
      </c>
      <c r="AH497">
        <v>0</v>
      </c>
      <c r="AI497">
        <v>0</v>
      </c>
      <c r="AJ497">
        <v>1</v>
      </c>
      <c r="AK497">
        <v>0.02</v>
      </c>
      <c r="AL497">
        <v>16</v>
      </c>
      <c r="AM497">
        <v>0</v>
      </c>
      <c r="AN497">
        <v>0</v>
      </c>
      <c r="AO497">
        <v>0</v>
      </c>
      <c r="AP497">
        <v>1</v>
      </c>
      <c r="AQ497">
        <v>0.01</v>
      </c>
      <c r="AX497">
        <v>7</v>
      </c>
      <c r="AY497" s="1">
        <v>20</v>
      </c>
      <c r="AZ497">
        <v>0</v>
      </c>
      <c r="BA497">
        <v>0</v>
      </c>
      <c r="BB497">
        <v>1</v>
      </c>
      <c r="BC497" s="7">
        <v>0.32</v>
      </c>
      <c r="BD497">
        <v>30</v>
      </c>
      <c r="BE497">
        <v>0</v>
      </c>
      <c r="BF497">
        <v>0</v>
      </c>
      <c r="BG497">
        <v>0</v>
      </c>
      <c r="BH497">
        <v>5</v>
      </c>
      <c r="BI497">
        <v>2.4</v>
      </c>
      <c r="BJ497">
        <v>31</v>
      </c>
      <c r="BK497">
        <v>0</v>
      </c>
      <c r="BL497">
        <v>0</v>
      </c>
      <c r="BM497">
        <v>0</v>
      </c>
      <c r="BN497">
        <v>5</v>
      </c>
      <c r="BO497">
        <v>2.4</v>
      </c>
      <c r="BP497">
        <v>36</v>
      </c>
      <c r="BQ497">
        <v>0</v>
      </c>
      <c r="BR497">
        <v>0</v>
      </c>
      <c r="BS497">
        <v>0</v>
      </c>
      <c r="BT497">
        <v>5</v>
      </c>
      <c r="BU497">
        <v>2.2999999999999998</v>
      </c>
    </row>
    <row r="498" spans="1:73" x14ac:dyDescent="0.15">
      <c r="A498" s="11">
        <v>10445</v>
      </c>
      <c r="B498">
        <v>7</v>
      </c>
      <c r="C498" s="1">
        <v>0</v>
      </c>
      <c r="D498">
        <v>5</v>
      </c>
      <c r="E498">
        <v>1</v>
      </c>
      <c r="F498">
        <v>1</v>
      </c>
      <c r="G498" s="7">
        <v>0.05</v>
      </c>
      <c r="H498">
        <v>12</v>
      </c>
      <c r="I498">
        <v>0</v>
      </c>
      <c r="J498">
        <v>0</v>
      </c>
      <c r="K498">
        <v>0</v>
      </c>
      <c r="L498">
        <v>1</v>
      </c>
      <c r="M498">
        <v>2</v>
      </c>
      <c r="N498" s="7">
        <v>9</v>
      </c>
      <c r="O498" s="7">
        <v>0</v>
      </c>
      <c r="P498" s="7">
        <v>0</v>
      </c>
      <c r="Q498" s="7">
        <v>0</v>
      </c>
      <c r="R498" s="7">
        <v>1</v>
      </c>
      <c r="S498" s="7">
        <v>4.5</v>
      </c>
      <c r="T498">
        <v>7</v>
      </c>
      <c r="U498" s="1">
        <v>0</v>
      </c>
      <c r="V498">
        <v>4</v>
      </c>
      <c r="W498">
        <v>2</v>
      </c>
      <c r="X498">
        <v>1</v>
      </c>
      <c r="Y498">
        <v>0.16</v>
      </c>
      <c r="Z498">
        <v>23</v>
      </c>
      <c r="AA498">
        <v>0</v>
      </c>
      <c r="AB498">
        <v>0</v>
      </c>
      <c r="AC498">
        <v>0</v>
      </c>
      <c r="AD498">
        <v>1</v>
      </c>
      <c r="AE498">
        <v>0.05</v>
      </c>
      <c r="AF498">
        <v>15</v>
      </c>
      <c r="AG498">
        <v>0</v>
      </c>
      <c r="AH498">
        <v>0</v>
      </c>
      <c r="AI498">
        <v>0</v>
      </c>
      <c r="AJ498">
        <v>1</v>
      </c>
      <c r="AK498">
        <v>0.02</v>
      </c>
      <c r="AL498">
        <v>16</v>
      </c>
      <c r="AM498">
        <v>0</v>
      </c>
      <c r="AN498">
        <v>0</v>
      </c>
      <c r="AO498">
        <v>0</v>
      </c>
      <c r="AP498">
        <v>1</v>
      </c>
      <c r="AQ498">
        <v>0.01</v>
      </c>
      <c r="AR498">
        <v>6</v>
      </c>
      <c r="AS498">
        <v>2</v>
      </c>
      <c r="AT498">
        <v>4</v>
      </c>
      <c r="AU498">
        <v>5</v>
      </c>
      <c r="AV498">
        <v>1</v>
      </c>
      <c r="AW498">
        <v>0.01</v>
      </c>
      <c r="AX498">
        <v>7</v>
      </c>
      <c r="AY498" s="1">
        <v>0</v>
      </c>
      <c r="AZ498">
        <v>3</v>
      </c>
      <c r="BA498">
        <v>1</v>
      </c>
      <c r="BB498">
        <v>1</v>
      </c>
      <c r="BC498" s="7">
        <v>0.32</v>
      </c>
      <c r="BD498">
        <v>30</v>
      </c>
      <c r="BE498">
        <v>0</v>
      </c>
      <c r="BF498">
        <v>0</v>
      </c>
      <c r="BG498">
        <v>0</v>
      </c>
      <c r="BH498">
        <v>5</v>
      </c>
      <c r="BI498">
        <v>2.4</v>
      </c>
      <c r="BJ498">
        <v>31</v>
      </c>
      <c r="BK498">
        <v>0</v>
      </c>
      <c r="BL498">
        <v>0</v>
      </c>
      <c r="BM498">
        <v>0</v>
      </c>
      <c r="BN498">
        <v>5</v>
      </c>
      <c r="BO498">
        <v>2.4</v>
      </c>
      <c r="BP498">
        <v>36</v>
      </c>
      <c r="BQ498">
        <v>0</v>
      </c>
      <c r="BR498">
        <v>0</v>
      </c>
      <c r="BS498">
        <v>0</v>
      </c>
      <c r="BT498">
        <v>5</v>
      </c>
      <c r="BU498">
        <v>2.2999999999999998</v>
      </c>
    </row>
    <row r="499" spans="1:73" x14ac:dyDescent="0.15">
      <c r="A499" s="11">
        <v>10446</v>
      </c>
      <c r="B499">
        <v>7</v>
      </c>
      <c r="C499" s="1">
        <v>45</v>
      </c>
      <c r="D499">
        <v>0</v>
      </c>
      <c r="E499">
        <v>0</v>
      </c>
      <c r="F499">
        <v>1</v>
      </c>
      <c r="G499" s="7">
        <v>0.05</v>
      </c>
      <c r="H499">
        <v>12</v>
      </c>
      <c r="I499">
        <v>0</v>
      </c>
      <c r="J499">
        <v>0</v>
      </c>
      <c r="K499">
        <v>0</v>
      </c>
      <c r="L499">
        <v>1</v>
      </c>
      <c r="M499">
        <v>2</v>
      </c>
      <c r="N499" s="7">
        <v>9</v>
      </c>
      <c r="O499" s="7">
        <v>0</v>
      </c>
      <c r="P499" s="7">
        <v>0</v>
      </c>
      <c r="Q499" s="7">
        <v>0</v>
      </c>
      <c r="R499" s="7">
        <v>1</v>
      </c>
      <c r="S499" s="7">
        <v>4.5</v>
      </c>
      <c r="T499">
        <v>7</v>
      </c>
      <c r="U499" s="1">
        <v>33</v>
      </c>
      <c r="V499">
        <v>0</v>
      </c>
      <c r="W499">
        <v>0</v>
      </c>
      <c r="X499">
        <v>1</v>
      </c>
      <c r="Y499">
        <v>0.16</v>
      </c>
      <c r="Z499">
        <v>23</v>
      </c>
      <c r="AA499">
        <v>0</v>
      </c>
      <c r="AB499">
        <v>0</v>
      </c>
      <c r="AC499">
        <v>0</v>
      </c>
      <c r="AD499">
        <v>1</v>
      </c>
      <c r="AE499">
        <v>0.05</v>
      </c>
      <c r="AF499">
        <v>15</v>
      </c>
      <c r="AG499">
        <v>0</v>
      </c>
      <c r="AH499">
        <v>0</v>
      </c>
      <c r="AI499">
        <v>0</v>
      </c>
      <c r="AJ499">
        <v>1</v>
      </c>
      <c r="AK499">
        <v>0.02</v>
      </c>
      <c r="AL499">
        <v>16</v>
      </c>
      <c r="AM499">
        <v>0</v>
      </c>
      <c r="AN499">
        <v>0</v>
      </c>
      <c r="AO499">
        <v>0</v>
      </c>
      <c r="AP499">
        <v>1</v>
      </c>
      <c r="AQ499">
        <v>0.01</v>
      </c>
      <c r="AX499">
        <v>7</v>
      </c>
      <c r="AY499" s="1">
        <v>17</v>
      </c>
      <c r="AZ499">
        <v>0</v>
      </c>
      <c r="BA499">
        <v>0</v>
      </c>
      <c r="BB499">
        <v>1</v>
      </c>
      <c r="BC499" s="7">
        <v>0.32</v>
      </c>
      <c r="BD499">
        <v>30</v>
      </c>
      <c r="BE499">
        <v>0</v>
      </c>
      <c r="BF499">
        <v>0</v>
      </c>
      <c r="BG499">
        <v>0</v>
      </c>
      <c r="BH499">
        <v>5</v>
      </c>
      <c r="BI499">
        <v>2.4</v>
      </c>
      <c r="BJ499">
        <v>31</v>
      </c>
      <c r="BK499">
        <v>0</v>
      </c>
      <c r="BL499">
        <v>0</v>
      </c>
      <c r="BM499">
        <v>0</v>
      </c>
      <c r="BN499">
        <v>5</v>
      </c>
      <c r="BO499">
        <v>2.4</v>
      </c>
      <c r="BP499">
        <v>36</v>
      </c>
      <c r="BQ499">
        <v>0</v>
      </c>
      <c r="BR499">
        <v>0</v>
      </c>
      <c r="BS499">
        <v>0</v>
      </c>
      <c r="BT499">
        <v>5</v>
      </c>
      <c r="BU499">
        <v>2.2999999999999998</v>
      </c>
    </row>
    <row r="500" spans="1:73" x14ac:dyDescent="0.15">
      <c r="A500" s="11">
        <v>10447</v>
      </c>
      <c r="B500">
        <v>7</v>
      </c>
      <c r="C500" s="1">
        <v>46</v>
      </c>
      <c r="D500">
        <v>0</v>
      </c>
      <c r="E500">
        <v>0</v>
      </c>
      <c r="F500">
        <v>1</v>
      </c>
      <c r="G500" s="7">
        <v>0.05</v>
      </c>
      <c r="H500">
        <v>12</v>
      </c>
      <c r="I500">
        <v>0</v>
      </c>
      <c r="J500">
        <v>0</v>
      </c>
      <c r="K500">
        <v>0</v>
      </c>
      <c r="L500">
        <v>1</v>
      </c>
      <c r="M500">
        <v>2</v>
      </c>
      <c r="N500" s="7">
        <v>9</v>
      </c>
      <c r="O500" s="7">
        <v>0</v>
      </c>
      <c r="P500" s="7">
        <v>0</v>
      </c>
      <c r="Q500" s="7">
        <v>0</v>
      </c>
      <c r="R500" s="7">
        <v>1</v>
      </c>
      <c r="S500" s="7">
        <v>4.5</v>
      </c>
      <c r="T500">
        <v>7</v>
      </c>
      <c r="U500" s="1">
        <v>34</v>
      </c>
      <c r="V500">
        <v>0</v>
      </c>
      <c r="W500">
        <v>0</v>
      </c>
      <c r="X500">
        <v>1</v>
      </c>
      <c r="Y500">
        <v>0.16</v>
      </c>
      <c r="Z500">
        <v>23</v>
      </c>
      <c r="AA500">
        <v>0</v>
      </c>
      <c r="AB500">
        <v>0</v>
      </c>
      <c r="AC500">
        <v>0</v>
      </c>
      <c r="AD500">
        <v>1</v>
      </c>
      <c r="AE500">
        <v>0.05</v>
      </c>
      <c r="AF500">
        <v>15</v>
      </c>
      <c r="AG500">
        <v>0</v>
      </c>
      <c r="AH500">
        <v>0</v>
      </c>
      <c r="AI500">
        <v>0</v>
      </c>
      <c r="AJ500">
        <v>1</v>
      </c>
      <c r="AK500">
        <v>0.02</v>
      </c>
      <c r="AL500">
        <v>16</v>
      </c>
      <c r="AM500">
        <v>0</v>
      </c>
      <c r="AN500">
        <v>0</v>
      </c>
      <c r="AO500">
        <v>0</v>
      </c>
      <c r="AP500">
        <v>1</v>
      </c>
      <c r="AQ500">
        <v>0.01</v>
      </c>
      <c r="AX500">
        <v>7</v>
      </c>
      <c r="AY500" s="1">
        <v>18</v>
      </c>
      <c r="AZ500">
        <v>0</v>
      </c>
      <c r="BA500">
        <v>0</v>
      </c>
      <c r="BB500">
        <v>1</v>
      </c>
      <c r="BC500" s="7">
        <v>0.32</v>
      </c>
      <c r="BD500">
        <v>30</v>
      </c>
      <c r="BE500">
        <v>0</v>
      </c>
      <c r="BF500">
        <v>0</v>
      </c>
      <c r="BG500">
        <v>0</v>
      </c>
      <c r="BH500">
        <v>5</v>
      </c>
      <c r="BI500">
        <v>2.4</v>
      </c>
      <c r="BJ500">
        <v>31</v>
      </c>
      <c r="BK500">
        <v>0</v>
      </c>
      <c r="BL500">
        <v>0</v>
      </c>
      <c r="BM500">
        <v>0</v>
      </c>
      <c r="BN500">
        <v>5</v>
      </c>
      <c r="BO500">
        <v>2.4</v>
      </c>
      <c r="BP500">
        <v>36</v>
      </c>
      <c r="BQ500">
        <v>0</v>
      </c>
      <c r="BR500">
        <v>0</v>
      </c>
      <c r="BS500">
        <v>0</v>
      </c>
      <c r="BT500">
        <v>5</v>
      </c>
      <c r="BU500">
        <v>2.2999999999999998</v>
      </c>
    </row>
    <row r="501" spans="1:73" x14ac:dyDescent="0.15">
      <c r="A501" s="11">
        <v>10448</v>
      </c>
      <c r="B501">
        <v>7</v>
      </c>
      <c r="C501" s="1">
        <v>47</v>
      </c>
      <c r="D501">
        <v>0</v>
      </c>
      <c r="E501">
        <v>0</v>
      </c>
      <c r="F501">
        <v>1</v>
      </c>
      <c r="G501" s="7">
        <v>0.05</v>
      </c>
      <c r="H501">
        <v>12</v>
      </c>
      <c r="I501">
        <v>0</v>
      </c>
      <c r="J501">
        <v>0</v>
      </c>
      <c r="K501">
        <v>0</v>
      </c>
      <c r="L501">
        <v>1</v>
      </c>
      <c r="M501">
        <v>2</v>
      </c>
      <c r="N501" s="7">
        <v>9</v>
      </c>
      <c r="O501" s="7">
        <v>0</v>
      </c>
      <c r="P501" s="7">
        <v>0</v>
      </c>
      <c r="Q501" s="7">
        <v>0</v>
      </c>
      <c r="R501" s="7">
        <v>1</v>
      </c>
      <c r="S501" s="7">
        <v>4.5</v>
      </c>
      <c r="T501">
        <v>7</v>
      </c>
      <c r="U501" s="1">
        <v>35</v>
      </c>
      <c r="V501">
        <v>0</v>
      </c>
      <c r="W501">
        <v>0</v>
      </c>
      <c r="X501">
        <v>1</v>
      </c>
      <c r="Y501">
        <v>0.16</v>
      </c>
      <c r="Z501">
        <v>23</v>
      </c>
      <c r="AA501">
        <v>0</v>
      </c>
      <c r="AB501">
        <v>0</v>
      </c>
      <c r="AC501">
        <v>0</v>
      </c>
      <c r="AD501">
        <v>1</v>
      </c>
      <c r="AE501">
        <v>0.05</v>
      </c>
      <c r="AF501">
        <v>15</v>
      </c>
      <c r="AG501">
        <v>0</v>
      </c>
      <c r="AH501">
        <v>0</v>
      </c>
      <c r="AI501">
        <v>0</v>
      </c>
      <c r="AJ501">
        <v>1</v>
      </c>
      <c r="AK501">
        <v>0.02</v>
      </c>
      <c r="AL501">
        <v>16</v>
      </c>
      <c r="AM501">
        <v>0</v>
      </c>
      <c r="AN501">
        <v>0</v>
      </c>
      <c r="AO501">
        <v>0</v>
      </c>
      <c r="AP501">
        <v>1</v>
      </c>
      <c r="AQ501">
        <v>0.01</v>
      </c>
      <c r="AX501">
        <v>7</v>
      </c>
      <c r="AY501" s="1">
        <v>19</v>
      </c>
      <c r="AZ501">
        <v>0</v>
      </c>
      <c r="BA501">
        <v>0</v>
      </c>
      <c r="BB501">
        <v>1</v>
      </c>
      <c r="BC501" s="7">
        <v>0.32</v>
      </c>
      <c r="BD501">
        <v>30</v>
      </c>
      <c r="BE501">
        <v>0</v>
      </c>
      <c r="BF501">
        <v>0</v>
      </c>
      <c r="BG501">
        <v>0</v>
      </c>
      <c r="BH501">
        <v>5</v>
      </c>
      <c r="BI501">
        <v>2.4</v>
      </c>
      <c r="BJ501">
        <v>31</v>
      </c>
      <c r="BK501">
        <v>0</v>
      </c>
      <c r="BL501">
        <v>0</v>
      </c>
      <c r="BM501">
        <v>0</v>
      </c>
      <c r="BN501">
        <v>5</v>
      </c>
      <c r="BO501">
        <v>2.4</v>
      </c>
      <c r="BP501">
        <v>36</v>
      </c>
      <c r="BQ501">
        <v>0</v>
      </c>
      <c r="BR501">
        <v>0</v>
      </c>
      <c r="BS501">
        <v>0</v>
      </c>
      <c r="BT501">
        <v>5</v>
      </c>
      <c r="BU501">
        <v>2.2999999999999998</v>
      </c>
    </row>
    <row r="502" spans="1:73" x14ac:dyDescent="0.15">
      <c r="A502" s="11">
        <v>10449</v>
      </c>
      <c r="B502">
        <v>7</v>
      </c>
      <c r="C502" s="1">
        <v>48</v>
      </c>
      <c r="D502">
        <v>0</v>
      </c>
      <c r="E502">
        <v>0</v>
      </c>
      <c r="F502">
        <v>1</v>
      </c>
      <c r="G502" s="7">
        <v>0.05</v>
      </c>
      <c r="H502">
        <v>12</v>
      </c>
      <c r="I502">
        <v>0</v>
      </c>
      <c r="J502">
        <v>0</v>
      </c>
      <c r="K502">
        <v>0</v>
      </c>
      <c r="L502">
        <v>1</v>
      </c>
      <c r="M502">
        <v>2</v>
      </c>
      <c r="N502" s="7">
        <v>9</v>
      </c>
      <c r="O502" s="7">
        <v>0</v>
      </c>
      <c r="P502" s="7">
        <v>0</v>
      </c>
      <c r="Q502" s="7">
        <v>0</v>
      </c>
      <c r="R502" s="7">
        <v>1</v>
      </c>
      <c r="S502" s="7">
        <v>4.5</v>
      </c>
      <c r="T502">
        <v>7</v>
      </c>
      <c r="U502" s="1">
        <v>36</v>
      </c>
      <c r="V502">
        <v>0</v>
      </c>
      <c r="W502">
        <v>0</v>
      </c>
      <c r="X502">
        <v>1</v>
      </c>
      <c r="Y502">
        <v>0.16</v>
      </c>
      <c r="Z502">
        <v>23</v>
      </c>
      <c r="AA502">
        <v>0</v>
      </c>
      <c r="AB502">
        <v>0</v>
      </c>
      <c r="AC502">
        <v>0</v>
      </c>
      <c r="AD502">
        <v>1</v>
      </c>
      <c r="AE502">
        <v>0.05</v>
      </c>
      <c r="AF502">
        <v>15</v>
      </c>
      <c r="AG502">
        <v>0</v>
      </c>
      <c r="AH502">
        <v>0</v>
      </c>
      <c r="AI502">
        <v>0</v>
      </c>
      <c r="AJ502">
        <v>1</v>
      </c>
      <c r="AK502">
        <v>0.02</v>
      </c>
      <c r="AL502">
        <v>16</v>
      </c>
      <c r="AM502">
        <v>0</v>
      </c>
      <c r="AN502">
        <v>0</v>
      </c>
      <c r="AO502">
        <v>0</v>
      </c>
      <c r="AP502">
        <v>1</v>
      </c>
      <c r="AQ502">
        <v>0.01</v>
      </c>
      <c r="AX502">
        <v>7</v>
      </c>
      <c r="AY502" s="1">
        <v>20</v>
      </c>
      <c r="AZ502">
        <v>0</v>
      </c>
      <c r="BA502">
        <v>0</v>
      </c>
      <c r="BB502">
        <v>1</v>
      </c>
      <c r="BC502" s="7">
        <v>0.32</v>
      </c>
      <c r="BD502">
        <v>30</v>
      </c>
      <c r="BE502">
        <v>0</v>
      </c>
      <c r="BF502">
        <v>0</v>
      </c>
      <c r="BG502">
        <v>0</v>
      </c>
      <c r="BH502">
        <v>5</v>
      </c>
      <c r="BI502">
        <v>2.4</v>
      </c>
      <c r="BJ502">
        <v>31</v>
      </c>
      <c r="BK502">
        <v>0</v>
      </c>
      <c r="BL502">
        <v>0</v>
      </c>
      <c r="BM502">
        <v>0</v>
      </c>
      <c r="BN502">
        <v>5</v>
      </c>
      <c r="BO502">
        <v>2.4</v>
      </c>
      <c r="BP502">
        <v>36</v>
      </c>
      <c r="BQ502">
        <v>0</v>
      </c>
      <c r="BR502">
        <v>0</v>
      </c>
      <c r="BS502">
        <v>0</v>
      </c>
      <c r="BT502">
        <v>5</v>
      </c>
      <c r="BU502">
        <v>2.2999999999999998</v>
      </c>
    </row>
    <row r="503" spans="1:73" x14ac:dyDescent="0.15">
      <c r="A503" s="11">
        <v>10450</v>
      </c>
      <c r="B503">
        <v>7</v>
      </c>
      <c r="C503" s="1">
        <v>0</v>
      </c>
      <c r="D503">
        <v>5</v>
      </c>
      <c r="E503">
        <v>1</v>
      </c>
      <c r="F503">
        <v>1</v>
      </c>
      <c r="G503" s="7">
        <v>0.05</v>
      </c>
      <c r="H503">
        <v>12</v>
      </c>
      <c r="I503">
        <v>0</v>
      </c>
      <c r="J503">
        <v>0</v>
      </c>
      <c r="K503">
        <v>0</v>
      </c>
      <c r="L503">
        <v>1</v>
      </c>
      <c r="M503">
        <v>2</v>
      </c>
      <c r="N503" s="7">
        <v>9</v>
      </c>
      <c r="O503" s="7">
        <v>0</v>
      </c>
      <c r="P503" s="7">
        <v>0</v>
      </c>
      <c r="Q503" s="7">
        <v>0</v>
      </c>
      <c r="R503" s="7">
        <v>1</v>
      </c>
      <c r="S503" s="7">
        <v>4.5</v>
      </c>
      <c r="T503">
        <v>7</v>
      </c>
      <c r="U503" s="1">
        <v>0</v>
      </c>
      <c r="V503">
        <v>4</v>
      </c>
      <c r="W503">
        <v>2</v>
      </c>
      <c r="X503">
        <v>1</v>
      </c>
      <c r="Y503">
        <v>0.16</v>
      </c>
      <c r="Z503">
        <v>23</v>
      </c>
      <c r="AA503">
        <v>0</v>
      </c>
      <c r="AB503">
        <v>0</v>
      </c>
      <c r="AC503">
        <v>0</v>
      </c>
      <c r="AD503">
        <v>1</v>
      </c>
      <c r="AE503">
        <v>0.05</v>
      </c>
      <c r="AF503">
        <v>15</v>
      </c>
      <c r="AG503">
        <v>0</v>
      </c>
      <c r="AH503">
        <v>0</v>
      </c>
      <c r="AI503">
        <v>0</v>
      </c>
      <c r="AJ503">
        <v>1</v>
      </c>
      <c r="AK503">
        <v>0.02</v>
      </c>
      <c r="AL503">
        <v>16</v>
      </c>
      <c r="AM503">
        <v>0</v>
      </c>
      <c r="AN503">
        <v>0</v>
      </c>
      <c r="AO503">
        <v>0</v>
      </c>
      <c r="AP503">
        <v>1</v>
      </c>
      <c r="AQ503">
        <v>0.01</v>
      </c>
      <c r="AR503">
        <v>6</v>
      </c>
      <c r="AS503">
        <v>2</v>
      </c>
      <c r="AT503">
        <v>5</v>
      </c>
      <c r="AU503">
        <v>5</v>
      </c>
      <c r="AV503">
        <v>1</v>
      </c>
      <c r="AW503">
        <v>0.01</v>
      </c>
      <c r="AX503">
        <v>7</v>
      </c>
      <c r="AY503" s="1">
        <v>0</v>
      </c>
      <c r="AZ503">
        <v>3</v>
      </c>
      <c r="BA503">
        <v>1</v>
      </c>
      <c r="BB503">
        <v>1</v>
      </c>
      <c r="BC503" s="7">
        <v>0.32</v>
      </c>
      <c r="BD503">
        <v>30</v>
      </c>
      <c r="BE503">
        <v>0</v>
      </c>
      <c r="BF503">
        <v>0</v>
      </c>
      <c r="BG503">
        <v>0</v>
      </c>
      <c r="BH503">
        <v>5</v>
      </c>
      <c r="BI503">
        <v>2.4</v>
      </c>
      <c r="BJ503">
        <v>31</v>
      </c>
      <c r="BK503">
        <v>0</v>
      </c>
      <c r="BL503">
        <v>0</v>
      </c>
      <c r="BM503">
        <v>0</v>
      </c>
      <c r="BN503">
        <v>5</v>
      </c>
      <c r="BO503">
        <v>2.4</v>
      </c>
      <c r="BP503">
        <v>36</v>
      </c>
      <c r="BQ503">
        <v>0</v>
      </c>
      <c r="BR503">
        <v>0</v>
      </c>
      <c r="BS503">
        <v>0</v>
      </c>
      <c r="BT503">
        <v>5</v>
      </c>
      <c r="BU503">
        <v>2.2999999999999998</v>
      </c>
    </row>
    <row r="504" spans="1:73" x14ac:dyDescent="0.15">
      <c r="A504" s="11">
        <v>10501</v>
      </c>
      <c r="B504">
        <v>7</v>
      </c>
      <c r="C504" s="1">
        <v>45</v>
      </c>
      <c r="D504">
        <v>0</v>
      </c>
      <c r="E504">
        <v>0</v>
      </c>
      <c r="F504">
        <v>1</v>
      </c>
      <c r="G504" s="7">
        <v>0.05</v>
      </c>
      <c r="H504">
        <v>12</v>
      </c>
      <c r="I504">
        <v>0</v>
      </c>
      <c r="J504">
        <v>0</v>
      </c>
      <c r="K504">
        <v>0</v>
      </c>
      <c r="L504">
        <v>1</v>
      </c>
      <c r="M504">
        <v>2</v>
      </c>
      <c r="N504" s="7">
        <v>9</v>
      </c>
      <c r="O504" s="7">
        <v>0</v>
      </c>
      <c r="P504" s="7">
        <v>0</v>
      </c>
      <c r="Q504" s="7">
        <v>0</v>
      </c>
      <c r="R504" s="7">
        <v>1</v>
      </c>
      <c r="S504" s="7">
        <v>4.5</v>
      </c>
      <c r="T504">
        <v>7</v>
      </c>
      <c r="U504" s="1">
        <v>33</v>
      </c>
      <c r="V504">
        <v>0</v>
      </c>
      <c r="W504">
        <v>0</v>
      </c>
      <c r="X504">
        <v>1</v>
      </c>
      <c r="Y504">
        <v>0.16</v>
      </c>
      <c r="Z504">
        <v>23</v>
      </c>
      <c r="AA504">
        <v>0</v>
      </c>
      <c r="AB504">
        <v>0</v>
      </c>
      <c r="AC504">
        <v>0</v>
      </c>
      <c r="AD504">
        <v>1</v>
      </c>
      <c r="AE504">
        <v>0.05</v>
      </c>
      <c r="AF504">
        <v>15</v>
      </c>
      <c r="AG504">
        <v>0</v>
      </c>
      <c r="AH504">
        <v>0</v>
      </c>
      <c r="AI504">
        <v>0</v>
      </c>
      <c r="AJ504">
        <v>1</v>
      </c>
      <c r="AK504">
        <v>0.02</v>
      </c>
      <c r="AL504">
        <v>16</v>
      </c>
      <c r="AM504">
        <v>0</v>
      </c>
      <c r="AN504">
        <v>0</v>
      </c>
      <c r="AO504">
        <v>0</v>
      </c>
      <c r="AP504">
        <v>1</v>
      </c>
      <c r="AQ504">
        <v>0.01</v>
      </c>
      <c r="AX504">
        <v>7</v>
      </c>
      <c r="AY504" s="1">
        <v>17</v>
      </c>
      <c r="AZ504">
        <v>0</v>
      </c>
      <c r="BA504">
        <v>0</v>
      </c>
      <c r="BB504">
        <v>1</v>
      </c>
      <c r="BC504" s="7">
        <v>0.32</v>
      </c>
      <c r="BD504">
        <v>30</v>
      </c>
      <c r="BE504">
        <v>0</v>
      </c>
      <c r="BF504">
        <v>0</v>
      </c>
      <c r="BG504">
        <v>0</v>
      </c>
      <c r="BH504">
        <v>5</v>
      </c>
      <c r="BI504">
        <v>2.4</v>
      </c>
      <c r="BJ504">
        <v>31</v>
      </c>
      <c r="BK504">
        <v>0</v>
      </c>
      <c r="BL504">
        <v>0</v>
      </c>
      <c r="BM504">
        <v>0</v>
      </c>
      <c r="BN504">
        <v>5</v>
      </c>
      <c r="BO504">
        <v>2.4</v>
      </c>
      <c r="BP504">
        <v>36</v>
      </c>
      <c r="BQ504">
        <v>0</v>
      </c>
      <c r="BR504">
        <v>0</v>
      </c>
      <c r="BS504">
        <v>0</v>
      </c>
      <c r="BT504">
        <v>5</v>
      </c>
      <c r="BU504">
        <v>2.2999999999999998</v>
      </c>
    </row>
    <row r="505" spans="1:73" x14ac:dyDescent="0.15">
      <c r="A505" s="11">
        <v>10502</v>
      </c>
      <c r="B505">
        <v>7</v>
      </c>
      <c r="C505" s="1">
        <v>46</v>
      </c>
      <c r="D505">
        <v>0</v>
      </c>
      <c r="E505">
        <v>0</v>
      </c>
      <c r="F505">
        <v>1</v>
      </c>
      <c r="G505" s="7">
        <v>0.05</v>
      </c>
      <c r="H505">
        <v>12</v>
      </c>
      <c r="I505">
        <v>0</v>
      </c>
      <c r="J505">
        <v>0</v>
      </c>
      <c r="K505">
        <v>0</v>
      </c>
      <c r="L505">
        <v>1</v>
      </c>
      <c r="M505">
        <v>2</v>
      </c>
      <c r="N505" s="7">
        <v>9</v>
      </c>
      <c r="O505" s="7">
        <v>0</v>
      </c>
      <c r="P505" s="7">
        <v>0</v>
      </c>
      <c r="Q505" s="7">
        <v>0</v>
      </c>
      <c r="R505" s="7">
        <v>1</v>
      </c>
      <c r="S505" s="7">
        <v>4.5</v>
      </c>
      <c r="T505">
        <v>7</v>
      </c>
      <c r="U505" s="1">
        <v>34</v>
      </c>
      <c r="V505">
        <v>0</v>
      </c>
      <c r="W505">
        <v>0</v>
      </c>
      <c r="X505">
        <v>1</v>
      </c>
      <c r="Y505">
        <v>0.16</v>
      </c>
      <c r="Z505">
        <v>23</v>
      </c>
      <c r="AA505">
        <v>0</v>
      </c>
      <c r="AB505">
        <v>0</v>
      </c>
      <c r="AC505">
        <v>0</v>
      </c>
      <c r="AD505">
        <v>1</v>
      </c>
      <c r="AE505">
        <v>0.05</v>
      </c>
      <c r="AF505">
        <v>15</v>
      </c>
      <c r="AG505">
        <v>0</v>
      </c>
      <c r="AH505">
        <v>0</v>
      </c>
      <c r="AI505">
        <v>0</v>
      </c>
      <c r="AJ505">
        <v>1</v>
      </c>
      <c r="AK505">
        <v>0.02</v>
      </c>
      <c r="AL505">
        <v>16</v>
      </c>
      <c r="AM505">
        <v>0</v>
      </c>
      <c r="AN505">
        <v>0</v>
      </c>
      <c r="AO505">
        <v>0</v>
      </c>
      <c r="AP505">
        <v>1</v>
      </c>
      <c r="AQ505">
        <v>0.01</v>
      </c>
      <c r="AX505">
        <v>7</v>
      </c>
      <c r="AY505" s="1">
        <v>18</v>
      </c>
      <c r="AZ505">
        <v>0</v>
      </c>
      <c r="BA505">
        <v>0</v>
      </c>
      <c r="BB505">
        <v>1</v>
      </c>
      <c r="BC505" s="7">
        <v>0.32</v>
      </c>
      <c r="BD505">
        <v>30</v>
      </c>
      <c r="BE505">
        <v>0</v>
      </c>
      <c r="BF505">
        <v>0</v>
      </c>
      <c r="BG505">
        <v>0</v>
      </c>
      <c r="BH505">
        <v>5</v>
      </c>
      <c r="BI505">
        <v>2.4</v>
      </c>
      <c r="BJ505">
        <v>31</v>
      </c>
      <c r="BK505">
        <v>0</v>
      </c>
      <c r="BL505">
        <v>0</v>
      </c>
      <c r="BM505">
        <v>0</v>
      </c>
      <c r="BN505">
        <v>5</v>
      </c>
      <c r="BO505">
        <v>2.4</v>
      </c>
      <c r="BP505">
        <v>36</v>
      </c>
      <c r="BQ505">
        <v>0</v>
      </c>
      <c r="BR505">
        <v>0</v>
      </c>
      <c r="BS505">
        <v>0</v>
      </c>
      <c r="BT505">
        <v>5</v>
      </c>
      <c r="BU505">
        <v>2.2999999999999998</v>
      </c>
    </row>
    <row r="506" spans="1:73" x14ac:dyDescent="0.15">
      <c r="A506" s="11">
        <v>10503</v>
      </c>
      <c r="B506">
        <v>7</v>
      </c>
      <c r="C506" s="1">
        <v>47</v>
      </c>
      <c r="D506">
        <v>0</v>
      </c>
      <c r="E506">
        <v>0</v>
      </c>
      <c r="F506">
        <v>1</v>
      </c>
      <c r="G506" s="7">
        <v>0.05</v>
      </c>
      <c r="H506">
        <v>12</v>
      </c>
      <c r="I506">
        <v>0</v>
      </c>
      <c r="J506">
        <v>0</v>
      </c>
      <c r="K506">
        <v>0</v>
      </c>
      <c r="L506">
        <v>1</v>
      </c>
      <c r="M506">
        <v>2</v>
      </c>
      <c r="N506" s="7">
        <v>9</v>
      </c>
      <c r="O506" s="7">
        <v>0</v>
      </c>
      <c r="P506" s="7">
        <v>0</v>
      </c>
      <c r="Q506" s="7">
        <v>0</v>
      </c>
      <c r="R506" s="7">
        <v>1</v>
      </c>
      <c r="S506" s="7">
        <v>4.5</v>
      </c>
      <c r="T506">
        <v>7</v>
      </c>
      <c r="U506" s="1">
        <v>35</v>
      </c>
      <c r="V506">
        <v>0</v>
      </c>
      <c r="W506">
        <v>0</v>
      </c>
      <c r="X506">
        <v>1</v>
      </c>
      <c r="Y506">
        <v>0.16</v>
      </c>
      <c r="Z506">
        <v>23</v>
      </c>
      <c r="AA506">
        <v>0</v>
      </c>
      <c r="AB506">
        <v>0</v>
      </c>
      <c r="AC506">
        <v>0</v>
      </c>
      <c r="AD506">
        <v>1</v>
      </c>
      <c r="AE506">
        <v>0.05</v>
      </c>
      <c r="AF506">
        <v>15</v>
      </c>
      <c r="AG506">
        <v>0</v>
      </c>
      <c r="AH506">
        <v>0</v>
      </c>
      <c r="AI506">
        <v>0</v>
      </c>
      <c r="AJ506">
        <v>1</v>
      </c>
      <c r="AK506">
        <v>0.02</v>
      </c>
      <c r="AL506">
        <v>16</v>
      </c>
      <c r="AM506">
        <v>0</v>
      </c>
      <c r="AN506">
        <v>0</v>
      </c>
      <c r="AO506">
        <v>0</v>
      </c>
      <c r="AP506">
        <v>1</v>
      </c>
      <c r="AQ506">
        <v>0.01</v>
      </c>
      <c r="AX506">
        <v>7</v>
      </c>
      <c r="AY506" s="1">
        <v>19</v>
      </c>
      <c r="AZ506">
        <v>0</v>
      </c>
      <c r="BA506">
        <v>0</v>
      </c>
      <c r="BB506">
        <v>1</v>
      </c>
      <c r="BC506" s="7">
        <v>0.32</v>
      </c>
      <c r="BD506">
        <v>30</v>
      </c>
      <c r="BE506">
        <v>0</v>
      </c>
      <c r="BF506">
        <v>0</v>
      </c>
      <c r="BG506">
        <v>0</v>
      </c>
      <c r="BH506">
        <v>5</v>
      </c>
      <c r="BI506">
        <v>2.4</v>
      </c>
      <c r="BJ506">
        <v>31</v>
      </c>
      <c r="BK506">
        <v>0</v>
      </c>
      <c r="BL506">
        <v>0</v>
      </c>
      <c r="BM506">
        <v>0</v>
      </c>
      <c r="BN506">
        <v>5</v>
      </c>
      <c r="BO506">
        <v>2.4</v>
      </c>
      <c r="BP506">
        <v>36</v>
      </c>
      <c r="BQ506">
        <v>0</v>
      </c>
      <c r="BR506">
        <v>0</v>
      </c>
      <c r="BS506">
        <v>0</v>
      </c>
      <c r="BT506">
        <v>5</v>
      </c>
      <c r="BU506">
        <v>2.2999999999999998</v>
      </c>
    </row>
    <row r="507" spans="1:73" x14ac:dyDescent="0.15">
      <c r="A507" s="11">
        <v>10504</v>
      </c>
      <c r="B507">
        <v>7</v>
      </c>
      <c r="C507" s="1">
        <v>48</v>
      </c>
      <c r="D507">
        <v>0</v>
      </c>
      <c r="E507">
        <v>0</v>
      </c>
      <c r="F507">
        <v>1</v>
      </c>
      <c r="G507" s="7">
        <v>0.05</v>
      </c>
      <c r="H507">
        <v>12</v>
      </c>
      <c r="I507">
        <v>0</v>
      </c>
      <c r="J507">
        <v>0</v>
      </c>
      <c r="K507">
        <v>0</v>
      </c>
      <c r="L507">
        <v>1</v>
      </c>
      <c r="M507">
        <v>2</v>
      </c>
      <c r="N507" s="7">
        <v>9</v>
      </c>
      <c r="O507" s="7">
        <v>0</v>
      </c>
      <c r="P507" s="7">
        <v>0</v>
      </c>
      <c r="Q507" s="7">
        <v>0</v>
      </c>
      <c r="R507" s="7">
        <v>1</v>
      </c>
      <c r="S507" s="7">
        <v>4.5</v>
      </c>
      <c r="T507">
        <v>7</v>
      </c>
      <c r="U507" s="1">
        <v>36</v>
      </c>
      <c r="V507">
        <v>0</v>
      </c>
      <c r="W507">
        <v>0</v>
      </c>
      <c r="X507">
        <v>1</v>
      </c>
      <c r="Y507">
        <v>0.16</v>
      </c>
      <c r="Z507">
        <v>23</v>
      </c>
      <c r="AA507">
        <v>0</v>
      </c>
      <c r="AB507">
        <v>0</v>
      </c>
      <c r="AC507">
        <v>0</v>
      </c>
      <c r="AD507">
        <v>1</v>
      </c>
      <c r="AE507">
        <v>0.05</v>
      </c>
      <c r="AF507">
        <v>15</v>
      </c>
      <c r="AG507">
        <v>0</v>
      </c>
      <c r="AH507">
        <v>0</v>
      </c>
      <c r="AI507">
        <v>0</v>
      </c>
      <c r="AJ507">
        <v>1</v>
      </c>
      <c r="AK507">
        <v>0.02</v>
      </c>
      <c r="AL507">
        <v>16</v>
      </c>
      <c r="AM507">
        <v>0</v>
      </c>
      <c r="AN507">
        <v>0</v>
      </c>
      <c r="AO507">
        <v>0</v>
      </c>
      <c r="AP507">
        <v>1</v>
      </c>
      <c r="AQ507">
        <v>0.01</v>
      </c>
      <c r="AX507">
        <v>7</v>
      </c>
      <c r="AY507" s="1">
        <v>20</v>
      </c>
      <c r="AZ507">
        <v>0</v>
      </c>
      <c r="BA507">
        <v>0</v>
      </c>
      <c r="BB507">
        <v>1</v>
      </c>
      <c r="BC507" s="7">
        <v>0.32</v>
      </c>
      <c r="BD507">
        <v>30</v>
      </c>
      <c r="BE507">
        <v>0</v>
      </c>
      <c r="BF507">
        <v>0</v>
      </c>
      <c r="BG507">
        <v>0</v>
      </c>
      <c r="BH507">
        <v>5</v>
      </c>
      <c r="BI507">
        <v>2.4</v>
      </c>
      <c r="BJ507">
        <v>31</v>
      </c>
      <c r="BK507">
        <v>0</v>
      </c>
      <c r="BL507">
        <v>0</v>
      </c>
      <c r="BM507">
        <v>0</v>
      </c>
      <c r="BN507">
        <v>5</v>
      </c>
      <c r="BO507">
        <v>2.4</v>
      </c>
      <c r="BP507">
        <v>36</v>
      </c>
      <c r="BQ507">
        <v>0</v>
      </c>
      <c r="BR507">
        <v>0</v>
      </c>
      <c r="BS507">
        <v>0</v>
      </c>
      <c r="BT507">
        <v>5</v>
      </c>
      <c r="BU507">
        <v>2.2999999999999998</v>
      </c>
    </row>
    <row r="508" spans="1:73" x14ac:dyDescent="0.15">
      <c r="A508" s="11">
        <v>10505</v>
      </c>
      <c r="B508">
        <v>7</v>
      </c>
      <c r="C508" s="1">
        <v>0</v>
      </c>
      <c r="D508">
        <v>5</v>
      </c>
      <c r="E508">
        <v>1</v>
      </c>
      <c r="F508">
        <v>1</v>
      </c>
      <c r="G508" s="7">
        <v>0.05</v>
      </c>
      <c r="H508">
        <v>12</v>
      </c>
      <c r="I508">
        <v>0</v>
      </c>
      <c r="J508">
        <v>0</v>
      </c>
      <c r="K508">
        <v>0</v>
      </c>
      <c r="L508">
        <v>1</v>
      </c>
      <c r="M508">
        <v>2</v>
      </c>
      <c r="N508" s="7">
        <v>9</v>
      </c>
      <c r="O508" s="7">
        <v>0</v>
      </c>
      <c r="P508" s="7">
        <v>0</v>
      </c>
      <c r="Q508" s="7">
        <v>0</v>
      </c>
      <c r="R508" s="7">
        <v>1</v>
      </c>
      <c r="S508" s="7">
        <v>4.5</v>
      </c>
      <c r="T508">
        <v>7</v>
      </c>
      <c r="U508" s="1">
        <v>0</v>
      </c>
      <c r="V508">
        <v>4</v>
      </c>
      <c r="W508">
        <v>2</v>
      </c>
      <c r="X508">
        <v>1</v>
      </c>
      <c r="Y508">
        <v>0.16</v>
      </c>
      <c r="Z508">
        <v>23</v>
      </c>
      <c r="AA508">
        <v>0</v>
      </c>
      <c r="AB508">
        <v>0</v>
      </c>
      <c r="AC508">
        <v>0</v>
      </c>
      <c r="AD508">
        <v>1</v>
      </c>
      <c r="AE508">
        <v>0.05</v>
      </c>
      <c r="AF508">
        <v>15</v>
      </c>
      <c r="AG508">
        <v>0</v>
      </c>
      <c r="AH508">
        <v>0</v>
      </c>
      <c r="AI508">
        <v>0</v>
      </c>
      <c r="AJ508">
        <v>1</v>
      </c>
      <c r="AK508">
        <v>0.02</v>
      </c>
      <c r="AL508">
        <v>16</v>
      </c>
      <c r="AM508">
        <v>0</v>
      </c>
      <c r="AN508">
        <v>0</v>
      </c>
      <c r="AO508">
        <v>0</v>
      </c>
      <c r="AP508">
        <v>1</v>
      </c>
      <c r="AQ508">
        <v>0.01</v>
      </c>
      <c r="AR508">
        <v>6</v>
      </c>
      <c r="AS508">
        <v>2</v>
      </c>
      <c r="AT508">
        <v>1</v>
      </c>
      <c r="AU508">
        <v>5</v>
      </c>
      <c r="AV508">
        <v>1</v>
      </c>
      <c r="AW508">
        <v>0.05</v>
      </c>
      <c r="AX508">
        <v>7</v>
      </c>
      <c r="AY508" s="1">
        <v>0</v>
      </c>
      <c r="AZ508">
        <v>3</v>
      </c>
      <c r="BA508">
        <v>1</v>
      </c>
      <c r="BB508">
        <v>1</v>
      </c>
      <c r="BC508" s="7">
        <v>0.32</v>
      </c>
      <c r="BD508">
        <v>30</v>
      </c>
      <c r="BE508">
        <v>0</v>
      </c>
      <c r="BF508">
        <v>0</v>
      </c>
      <c r="BG508">
        <v>0</v>
      </c>
      <c r="BH508">
        <v>5</v>
      </c>
      <c r="BI508">
        <v>2.4</v>
      </c>
      <c r="BJ508">
        <v>31</v>
      </c>
      <c r="BK508">
        <v>0</v>
      </c>
      <c r="BL508">
        <v>0</v>
      </c>
      <c r="BM508">
        <v>0</v>
      </c>
      <c r="BN508">
        <v>5</v>
      </c>
      <c r="BO508">
        <v>2.4</v>
      </c>
      <c r="BP508">
        <v>36</v>
      </c>
      <c r="BQ508">
        <v>0</v>
      </c>
      <c r="BR508">
        <v>0</v>
      </c>
      <c r="BS508">
        <v>0</v>
      </c>
      <c r="BT508">
        <v>5</v>
      </c>
      <c r="BU508">
        <v>2.2999999999999998</v>
      </c>
    </row>
    <row r="509" spans="1:73" x14ac:dyDescent="0.15">
      <c r="A509" s="11">
        <v>10506</v>
      </c>
      <c r="B509">
        <v>7</v>
      </c>
      <c r="C509" s="1">
        <v>45</v>
      </c>
      <c r="D509">
        <v>0</v>
      </c>
      <c r="E509">
        <v>0</v>
      </c>
      <c r="F509">
        <v>1</v>
      </c>
      <c r="G509" s="7">
        <v>0.05</v>
      </c>
      <c r="H509">
        <v>12</v>
      </c>
      <c r="I509">
        <v>0</v>
      </c>
      <c r="J509">
        <v>0</v>
      </c>
      <c r="K509">
        <v>0</v>
      </c>
      <c r="L509">
        <v>1</v>
      </c>
      <c r="M509">
        <v>2</v>
      </c>
      <c r="N509" s="7">
        <v>9</v>
      </c>
      <c r="O509" s="7">
        <v>0</v>
      </c>
      <c r="P509" s="7">
        <v>0</v>
      </c>
      <c r="Q509" s="7">
        <v>0</v>
      </c>
      <c r="R509" s="7">
        <v>1</v>
      </c>
      <c r="S509" s="7">
        <v>4.5</v>
      </c>
      <c r="T509">
        <v>7</v>
      </c>
      <c r="U509" s="1">
        <v>33</v>
      </c>
      <c r="V509">
        <v>0</v>
      </c>
      <c r="W509">
        <v>0</v>
      </c>
      <c r="X509">
        <v>1</v>
      </c>
      <c r="Y509">
        <v>0.16</v>
      </c>
      <c r="Z509">
        <v>23</v>
      </c>
      <c r="AA509">
        <v>0</v>
      </c>
      <c r="AB509">
        <v>0</v>
      </c>
      <c r="AC509">
        <v>0</v>
      </c>
      <c r="AD509">
        <v>1</v>
      </c>
      <c r="AE509">
        <v>0.05</v>
      </c>
      <c r="AF509">
        <v>15</v>
      </c>
      <c r="AG509">
        <v>0</v>
      </c>
      <c r="AH509">
        <v>0</v>
      </c>
      <c r="AI509">
        <v>0</v>
      </c>
      <c r="AJ509">
        <v>1</v>
      </c>
      <c r="AK509">
        <v>0.02</v>
      </c>
      <c r="AL509">
        <v>16</v>
      </c>
      <c r="AM509">
        <v>0</v>
      </c>
      <c r="AN509">
        <v>0</v>
      </c>
      <c r="AO509">
        <v>0</v>
      </c>
      <c r="AP509">
        <v>1</v>
      </c>
      <c r="AQ509">
        <v>0.01</v>
      </c>
      <c r="AX509">
        <v>7</v>
      </c>
      <c r="AY509" s="1">
        <v>17</v>
      </c>
      <c r="AZ509">
        <v>0</v>
      </c>
      <c r="BA509">
        <v>0</v>
      </c>
      <c r="BB509">
        <v>1</v>
      </c>
      <c r="BC509" s="7">
        <v>0.32</v>
      </c>
      <c r="BD509">
        <v>30</v>
      </c>
      <c r="BE509">
        <v>0</v>
      </c>
      <c r="BF509">
        <v>0</v>
      </c>
      <c r="BG509">
        <v>0</v>
      </c>
      <c r="BH509">
        <v>5</v>
      </c>
      <c r="BI509">
        <v>2.4</v>
      </c>
      <c r="BJ509">
        <v>31</v>
      </c>
      <c r="BK509">
        <v>0</v>
      </c>
      <c r="BL509">
        <v>0</v>
      </c>
      <c r="BM509">
        <v>0</v>
      </c>
      <c r="BN509">
        <v>5</v>
      </c>
      <c r="BO509">
        <v>2.4</v>
      </c>
      <c r="BP509">
        <v>36</v>
      </c>
      <c r="BQ509">
        <v>0</v>
      </c>
      <c r="BR509">
        <v>0</v>
      </c>
      <c r="BS509">
        <v>0</v>
      </c>
      <c r="BT509">
        <v>5</v>
      </c>
      <c r="BU509">
        <v>2.2999999999999998</v>
      </c>
    </row>
    <row r="510" spans="1:73" x14ac:dyDescent="0.15">
      <c r="A510" s="11">
        <v>10507</v>
      </c>
      <c r="B510">
        <v>7</v>
      </c>
      <c r="C510" s="1">
        <v>46</v>
      </c>
      <c r="D510">
        <v>0</v>
      </c>
      <c r="E510">
        <v>0</v>
      </c>
      <c r="F510">
        <v>1</v>
      </c>
      <c r="G510" s="7">
        <v>0.05</v>
      </c>
      <c r="H510">
        <v>12</v>
      </c>
      <c r="I510">
        <v>0</v>
      </c>
      <c r="J510">
        <v>0</v>
      </c>
      <c r="K510">
        <v>0</v>
      </c>
      <c r="L510">
        <v>1</v>
      </c>
      <c r="M510">
        <v>2</v>
      </c>
      <c r="N510" s="7">
        <v>9</v>
      </c>
      <c r="O510" s="7">
        <v>0</v>
      </c>
      <c r="P510" s="7">
        <v>0</v>
      </c>
      <c r="Q510" s="7">
        <v>0</v>
      </c>
      <c r="R510" s="7">
        <v>1</v>
      </c>
      <c r="S510" s="7">
        <v>4.5</v>
      </c>
      <c r="T510">
        <v>7</v>
      </c>
      <c r="U510" s="1">
        <v>34</v>
      </c>
      <c r="V510">
        <v>0</v>
      </c>
      <c r="W510">
        <v>0</v>
      </c>
      <c r="X510">
        <v>1</v>
      </c>
      <c r="Y510">
        <v>0.16</v>
      </c>
      <c r="Z510">
        <v>23</v>
      </c>
      <c r="AA510">
        <v>0</v>
      </c>
      <c r="AB510">
        <v>0</v>
      </c>
      <c r="AC510">
        <v>0</v>
      </c>
      <c r="AD510">
        <v>1</v>
      </c>
      <c r="AE510">
        <v>0.05</v>
      </c>
      <c r="AF510">
        <v>15</v>
      </c>
      <c r="AG510">
        <v>0</v>
      </c>
      <c r="AH510">
        <v>0</v>
      </c>
      <c r="AI510">
        <v>0</v>
      </c>
      <c r="AJ510">
        <v>1</v>
      </c>
      <c r="AK510">
        <v>0.02</v>
      </c>
      <c r="AL510">
        <v>16</v>
      </c>
      <c r="AM510">
        <v>0</v>
      </c>
      <c r="AN510">
        <v>0</v>
      </c>
      <c r="AO510">
        <v>0</v>
      </c>
      <c r="AP510">
        <v>1</v>
      </c>
      <c r="AQ510">
        <v>0.01</v>
      </c>
      <c r="AX510">
        <v>7</v>
      </c>
      <c r="AY510" s="1">
        <v>18</v>
      </c>
      <c r="AZ510">
        <v>0</v>
      </c>
      <c r="BA510">
        <v>0</v>
      </c>
      <c r="BB510">
        <v>1</v>
      </c>
      <c r="BC510" s="7">
        <v>0.32</v>
      </c>
      <c r="BD510">
        <v>30</v>
      </c>
      <c r="BE510">
        <v>0</v>
      </c>
      <c r="BF510">
        <v>0</v>
      </c>
      <c r="BG510">
        <v>0</v>
      </c>
      <c r="BH510">
        <v>5</v>
      </c>
      <c r="BI510">
        <v>2.4</v>
      </c>
      <c r="BJ510">
        <v>31</v>
      </c>
      <c r="BK510">
        <v>0</v>
      </c>
      <c r="BL510">
        <v>0</v>
      </c>
      <c r="BM510">
        <v>0</v>
      </c>
      <c r="BN510">
        <v>5</v>
      </c>
      <c r="BO510">
        <v>2.4</v>
      </c>
      <c r="BP510">
        <v>36</v>
      </c>
      <c r="BQ510">
        <v>0</v>
      </c>
      <c r="BR510">
        <v>0</v>
      </c>
      <c r="BS510">
        <v>0</v>
      </c>
      <c r="BT510">
        <v>5</v>
      </c>
      <c r="BU510">
        <v>2.2999999999999998</v>
      </c>
    </row>
    <row r="511" spans="1:73" x14ac:dyDescent="0.15">
      <c r="A511" s="11">
        <v>10508</v>
      </c>
      <c r="B511">
        <v>7</v>
      </c>
      <c r="C511" s="1">
        <v>47</v>
      </c>
      <c r="D511">
        <v>0</v>
      </c>
      <c r="E511">
        <v>0</v>
      </c>
      <c r="F511">
        <v>1</v>
      </c>
      <c r="G511" s="7">
        <v>0.05</v>
      </c>
      <c r="H511">
        <v>12</v>
      </c>
      <c r="I511">
        <v>0</v>
      </c>
      <c r="J511">
        <v>0</v>
      </c>
      <c r="K511">
        <v>0</v>
      </c>
      <c r="L511">
        <v>1</v>
      </c>
      <c r="M511">
        <v>2</v>
      </c>
      <c r="N511" s="7">
        <v>9</v>
      </c>
      <c r="O511" s="7">
        <v>0</v>
      </c>
      <c r="P511" s="7">
        <v>0</v>
      </c>
      <c r="Q511" s="7">
        <v>0</v>
      </c>
      <c r="R511" s="7">
        <v>1</v>
      </c>
      <c r="S511" s="7">
        <v>4.5</v>
      </c>
      <c r="T511">
        <v>7</v>
      </c>
      <c r="U511" s="1">
        <v>35</v>
      </c>
      <c r="V511">
        <v>0</v>
      </c>
      <c r="W511">
        <v>0</v>
      </c>
      <c r="X511">
        <v>1</v>
      </c>
      <c r="Y511">
        <v>0.16</v>
      </c>
      <c r="Z511">
        <v>23</v>
      </c>
      <c r="AA511">
        <v>0</v>
      </c>
      <c r="AB511">
        <v>0</v>
      </c>
      <c r="AC511">
        <v>0</v>
      </c>
      <c r="AD511">
        <v>1</v>
      </c>
      <c r="AE511">
        <v>0.05</v>
      </c>
      <c r="AF511">
        <v>15</v>
      </c>
      <c r="AG511">
        <v>0</v>
      </c>
      <c r="AH511">
        <v>0</v>
      </c>
      <c r="AI511">
        <v>0</v>
      </c>
      <c r="AJ511">
        <v>1</v>
      </c>
      <c r="AK511">
        <v>0.02</v>
      </c>
      <c r="AL511">
        <v>16</v>
      </c>
      <c r="AM511">
        <v>0</v>
      </c>
      <c r="AN511">
        <v>0</v>
      </c>
      <c r="AO511">
        <v>0</v>
      </c>
      <c r="AP511">
        <v>1</v>
      </c>
      <c r="AQ511">
        <v>0.01</v>
      </c>
      <c r="AX511">
        <v>7</v>
      </c>
      <c r="AY511" s="1">
        <v>19</v>
      </c>
      <c r="AZ511">
        <v>0</v>
      </c>
      <c r="BA511">
        <v>0</v>
      </c>
      <c r="BB511">
        <v>1</v>
      </c>
      <c r="BC511" s="7">
        <v>0.32</v>
      </c>
      <c r="BD511">
        <v>30</v>
      </c>
      <c r="BE511">
        <v>0</v>
      </c>
      <c r="BF511">
        <v>0</v>
      </c>
      <c r="BG511">
        <v>0</v>
      </c>
      <c r="BH511">
        <v>5</v>
      </c>
      <c r="BI511">
        <v>2.4</v>
      </c>
      <c r="BJ511">
        <v>31</v>
      </c>
      <c r="BK511">
        <v>0</v>
      </c>
      <c r="BL511">
        <v>0</v>
      </c>
      <c r="BM511">
        <v>0</v>
      </c>
      <c r="BN511">
        <v>5</v>
      </c>
      <c r="BO511">
        <v>2.4</v>
      </c>
      <c r="BP511">
        <v>36</v>
      </c>
      <c r="BQ511">
        <v>0</v>
      </c>
      <c r="BR511">
        <v>0</v>
      </c>
      <c r="BS511">
        <v>0</v>
      </c>
      <c r="BT511">
        <v>5</v>
      </c>
      <c r="BU511">
        <v>2.2999999999999998</v>
      </c>
    </row>
    <row r="512" spans="1:73" x14ac:dyDescent="0.15">
      <c r="A512" s="11">
        <v>10509</v>
      </c>
      <c r="B512">
        <v>7</v>
      </c>
      <c r="C512" s="1">
        <v>48</v>
      </c>
      <c r="D512">
        <v>0</v>
      </c>
      <c r="E512">
        <v>0</v>
      </c>
      <c r="F512">
        <v>1</v>
      </c>
      <c r="G512" s="7">
        <v>0.05</v>
      </c>
      <c r="H512">
        <v>12</v>
      </c>
      <c r="I512">
        <v>0</v>
      </c>
      <c r="J512">
        <v>0</v>
      </c>
      <c r="K512">
        <v>0</v>
      </c>
      <c r="L512">
        <v>1</v>
      </c>
      <c r="M512">
        <v>2</v>
      </c>
      <c r="N512" s="7">
        <v>9</v>
      </c>
      <c r="O512" s="7">
        <v>0</v>
      </c>
      <c r="P512" s="7">
        <v>0</v>
      </c>
      <c r="Q512" s="7">
        <v>0</v>
      </c>
      <c r="R512" s="7">
        <v>1</v>
      </c>
      <c r="S512" s="7">
        <v>4.5</v>
      </c>
      <c r="T512">
        <v>7</v>
      </c>
      <c r="U512" s="1">
        <v>36</v>
      </c>
      <c r="V512">
        <v>0</v>
      </c>
      <c r="W512">
        <v>0</v>
      </c>
      <c r="X512">
        <v>1</v>
      </c>
      <c r="Y512">
        <v>0.16</v>
      </c>
      <c r="Z512">
        <v>23</v>
      </c>
      <c r="AA512">
        <v>0</v>
      </c>
      <c r="AB512">
        <v>0</v>
      </c>
      <c r="AC512">
        <v>0</v>
      </c>
      <c r="AD512">
        <v>1</v>
      </c>
      <c r="AE512">
        <v>0.05</v>
      </c>
      <c r="AF512">
        <v>15</v>
      </c>
      <c r="AG512">
        <v>0</v>
      </c>
      <c r="AH512">
        <v>0</v>
      </c>
      <c r="AI512">
        <v>0</v>
      </c>
      <c r="AJ512">
        <v>1</v>
      </c>
      <c r="AK512">
        <v>0.02</v>
      </c>
      <c r="AL512">
        <v>16</v>
      </c>
      <c r="AM512">
        <v>0</v>
      </c>
      <c r="AN512">
        <v>0</v>
      </c>
      <c r="AO512">
        <v>0</v>
      </c>
      <c r="AP512">
        <v>1</v>
      </c>
      <c r="AQ512">
        <v>0.01</v>
      </c>
      <c r="AX512">
        <v>7</v>
      </c>
      <c r="AY512" s="1">
        <v>20</v>
      </c>
      <c r="AZ512">
        <v>0</v>
      </c>
      <c r="BA512">
        <v>0</v>
      </c>
      <c r="BB512">
        <v>1</v>
      </c>
      <c r="BC512" s="7">
        <v>0.32</v>
      </c>
      <c r="BD512">
        <v>30</v>
      </c>
      <c r="BE512">
        <v>0</v>
      </c>
      <c r="BF512">
        <v>0</v>
      </c>
      <c r="BG512">
        <v>0</v>
      </c>
      <c r="BH512">
        <v>5</v>
      </c>
      <c r="BI512">
        <v>2.4</v>
      </c>
      <c r="BJ512">
        <v>31</v>
      </c>
      <c r="BK512">
        <v>0</v>
      </c>
      <c r="BL512">
        <v>0</v>
      </c>
      <c r="BM512">
        <v>0</v>
      </c>
      <c r="BN512">
        <v>5</v>
      </c>
      <c r="BO512">
        <v>2.4</v>
      </c>
      <c r="BP512">
        <v>36</v>
      </c>
      <c r="BQ512">
        <v>0</v>
      </c>
      <c r="BR512">
        <v>0</v>
      </c>
      <c r="BS512">
        <v>0</v>
      </c>
      <c r="BT512">
        <v>5</v>
      </c>
      <c r="BU512">
        <v>2.2999999999999998</v>
      </c>
    </row>
    <row r="513" spans="1:73" x14ac:dyDescent="0.15">
      <c r="A513" s="11">
        <v>10510</v>
      </c>
      <c r="B513">
        <v>7</v>
      </c>
      <c r="C513" s="1">
        <v>0</v>
      </c>
      <c r="D513">
        <v>5</v>
      </c>
      <c r="E513">
        <v>1</v>
      </c>
      <c r="F513">
        <v>1</v>
      </c>
      <c r="G513" s="7">
        <v>0.05</v>
      </c>
      <c r="H513">
        <v>12</v>
      </c>
      <c r="I513">
        <v>0</v>
      </c>
      <c r="J513">
        <v>0</v>
      </c>
      <c r="K513">
        <v>0</v>
      </c>
      <c r="L513">
        <v>1</v>
      </c>
      <c r="M513">
        <v>2</v>
      </c>
      <c r="N513" s="7">
        <v>9</v>
      </c>
      <c r="O513" s="7">
        <v>0</v>
      </c>
      <c r="P513" s="7">
        <v>0</v>
      </c>
      <c r="Q513" s="7">
        <v>0</v>
      </c>
      <c r="R513" s="7">
        <v>1</v>
      </c>
      <c r="S513" s="7">
        <v>4.5</v>
      </c>
      <c r="T513">
        <v>7</v>
      </c>
      <c r="U513" s="1">
        <v>0</v>
      </c>
      <c r="V513">
        <v>4</v>
      </c>
      <c r="W513">
        <v>2</v>
      </c>
      <c r="X513">
        <v>1</v>
      </c>
      <c r="Y513">
        <v>0.16</v>
      </c>
      <c r="Z513">
        <v>23</v>
      </c>
      <c r="AA513">
        <v>0</v>
      </c>
      <c r="AB513">
        <v>0</v>
      </c>
      <c r="AC513">
        <v>0</v>
      </c>
      <c r="AD513">
        <v>1</v>
      </c>
      <c r="AE513">
        <v>0.05</v>
      </c>
      <c r="AF513">
        <v>15</v>
      </c>
      <c r="AG513">
        <v>0</v>
      </c>
      <c r="AH513">
        <v>0</v>
      </c>
      <c r="AI513">
        <v>0</v>
      </c>
      <c r="AJ513">
        <v>1</v>
      </c>
      <c r="AK513">
        <v>0.02</v>
      </c>
      <c r="AL513">
        <v>16</v>
      </c>
      <c r="AM513">
        <v>0</v>
      </c>
      <c r="AN513">
        <v>0</v>
      </c>
      <c r="AO513">
        <v>0</v>
      </c>
      <c r="AP513">
        <v>1</v>
      </c>
      <c r="AQ513">
        <v>0.01</v>
      </c>
      <c r="AR513">
        <v>6</v>
      </c>
      <c r="AS513">
        <v>2</v>
      </c>
      <c r="AT513">
        <v>2</v>
      </c>
      <c r="AU513">
        <v>5</v>
      </c>
      <c r="AV513">
        <v>1</v>
      </c>
      <c r="AW513">
        <v>0.05</v>
      </c>
      <c r="AX513">
        <v>7</v>
      </c>
      <c r="AY513" s="1">
        <v>0</v>
      </c>
      <c r="AZ513">
        <v>3</v>
      </c>
      <c r="BA513">
        <v>1</v>
      </c>
      <c r="BB513">
        <v>1</v>
      </c>
      <c r="BC513" s="7">
        <v>0.32</v>
      </c>
      <c r="BD513">
        <v>30</v>
      </c>
      <c r="BE513">
        <v>0</v>
      </c>
      <c r="BF513">
        <v>0</v>
      </c>
      <c r="BG513">
        <v>0</v>
      </c>
      <c r="BH513">
        <v>5</v>
      </c>
      <c r="BI513">
        <v>2.4</v>
      </c>
      <c r="BJ513">
        <v>31</v>
      </c>
      <c r="BK513">
        <v>0</v>
      </c>
      <c r="BL513">
        <v>0</v>
      </c>
      <c r="BM513">
        <v>0</v>
      </c>
      <c r="BN513">
        <v>5</v>
      </c>
      <c r="BO513">
        <v>2.4</v>
      </c>
      <c r="BP513">
        <v>36</v>
      </c>
      <c r="BQ513">
        <v>0</v>
      </c>
      <c r="BR513">
        <v>0</v>
      </c>
      <c r="BS513">
        <v>0</v>
      </c>
      <c r="BT513">
        <v>5</v>
      </c>
      <c r="BU513">
        <v>2.2999999999999998</v>
      </c>
    </row>
    <row r="514" spans="1:73" x14ac:dyDescent="0.15">
      <c r="A514" s="11">
        <v>10511</v>
      </c>
      <c r="B514">
        <v>7</v>
      </c>
      <c r="C514" s="1">
        <v>45</v>
      </c>
      <c r="D514">
        <v>0</v>
      </c>
      <c r="E514">
        <v>0</v>
      </c>
      <c r="F514">
        <v>1</v>
      </c>
      <c r="G514" s="7">
        <v>0.05</v>
      </c>
      <c r="H514">
        <v>12</v>
      </c>
      <c r="I514">
        <v>0</v>
      </c>
      <c r="J514">
        <v>0</v>
      </c>
      <c r="K514">
        <v>0</v>
      </c>
      <c r="L514">
        <v>1</v>
      </c>
      <c r="M514">
        <v>2</v>
      </c>
      <c r="N514" s="7">
        <v>9</v>
      </c>
      <c r="O514" s="7">
        <v>0</v>
      </c>
      <c r="P514" s="7">
        <v>0</v>
      </c>
      <c r="Q514" s="7">
        <v>0</v>
      </c>
      <c r="R514" s="7">
        <v>1</v>
      </c>
      <c r="S514" s="7">
        <v>4.5</v>
      </c>
      <c r="T514">
        <v>7</v>
      </c>
      <c r="U514" s="1">
        <v>33</v>
      </c>
      <c r="V514">
        <v>0</v>
      </c>
      <c r="W514">
        <v>0</v>
      </c>
      <c r="X514">
        <v>1</v>
      </c>
      <c r="Y514">
        <v>0.16</v>
      </c>
      <c r="Z514">
        <v>23</v>
      </c>
      <c r="AA514">
        <v>0</v>
      </c>
      <c r="AB514">
        <v>0</v>
      </c>
      <c r="AC514">
        <v>0</v>
      </c>
      <c r="AD514">
        <v>1</v>
      </c>
      <c r="AE514">
        <v>0.05</v>
      </c>
      <c r="AF514">
        <v>15</v>
      </c>
      <c r="AG514">
        <v>0</v>
      </c>
      <c r="AH514">
        <v>0</v>
      </c>
      <c r="AI514">
        <v>0</v>
      </c>
      <c r="AJ514">
        <v>1</v>
      </c>
      <c r="AK514">
        <v>0.02</v>
      </c>
      <c r="AL514">
        <v>16</v>
      </c>
      <c r="AM514">
        <v>0</v>
      </c>
      <c r="AN514">
        <v>0</v>
      </c>
      <c r="AO514">
        <v>0</v>
      </c>
      <c r="AP514">
        <v>1</v>
      </c>
      <c r="AQ514">
        <v>0.01</v>
      </c>
      <c r="AX514">
        <v>7</v>
      </c>
      <c r="AY514" s="1">
        <v>17</v>
      </c>
      <c r="AZ514">
        <v>0</v>
      </c>
      <c r="BA514">
        <v>0</v>
      </c>
      <c r="BB514">
        <v>1</v>
      </c>
      <c r="BC514" s="7">
        <v>0.32</v>
      </c>
      <c r="BD514">
        <v>30</v>
      </c>
      <c r="BE514">
        <v>0</v>
      </c>
      <c r="BF514">
        <v>0</v>
      </c>
      <c r="BG514">
        <v>0</v>
      </c>
      <c r="BH514">
        <v>5</v>
      </c>
      <c r="BI514">
        <v>2.4</v>
      </c>
      <c r="BJ514">
        <v>31</v>
      </c>
      <c r="BK514">
        <v>0</v>
      </c>
      <c r="BL514">
        <v>0</v>
      </c>
      <c r="BM514">
        <v>0</v>
      </c>
      <c r="BN514">
        <v>5</v>
      </c>
      <c r="BO514">
        <v>2.4</v>
      </c>
      <c r="BP514">
        <v>36</v>
      </c>
      <c r="BQ514">
        <v>0</v>
      </c>
      <c r="BR514">
        <v>0</v>
      </c>
      <c r="BS514">
        <v>0</v>
      </c>
      <c r="BT514">
        <v>5</v>
      </c>
      <c r="BU514">
        <v>2.2999999999999998</v>
      </c>
    </row>
    <row r="515" spans="1:73" x14ac:dyDescent="0.15">
      <c r="A515" s="11">
        <v>10512</v>
      </c>
      <c r="B515">
        <v>7</v>
      </c>
      <c r="C515" s="1">
        <v>46</v>
      </c>
      <c r="D515">
        <v>0</v>
      </c>
      <c r="E515">
        <v>0</v>
      </c>
      <c r="F515">
        <v>1</v>
      </c>
      <c r="G515" s="7">
        <v>0.05</v>
      </c>
      <c r="H515">
        <v>12</v>
      </c>
      <c r="I515">
        <v>0</v>
      </c>
      <c r="J515">
        <v>0</v>
      </c>
      <c r="K515">
        <v>0</v>
      </c>
      <c r="L515">
        <v>1</v>
      </c>
      <c r="M515">
        <v>2</v>
      </c>
      <c r="N515" s="7">
        <v>9</v>
      </c>
      <c r="O515" s="7">
        <v>0</v>
      </c>
      <c r="P515" s="7">
        <v>0</v>
      </c>
      <c r="Q515" s="7">
        <v>0</v>
      </c>
      <c r="R515" s="7">
        <v>1</v>
      </c>
      <c r="S515" s="7">
        <v>4.5</v>
      </c>
      <c r="T515">
        <v>7</v>
      </c>
      <c r="U515" s="1">
        <v>34</v>
      </c>
      <c r="V515">
        <v>0</v>
      </c>
      <c r="W515">
        <v>0</v>
      </c>
      <c r="X515">
        <v>1</v>
      </c>
      <c r="Y515">
        <v>0.16</v>
      </c>
      <c r="Z515">
        <v>23</v>
      </c>
      <c r="AA515">
        <v>0</v>
      </c>
      <c r="AB515">
        <v>0</v>
      </c>
      <c r="AC515">
        <v>0</v>
      </c>
      <c r="AD515">
        <v>1</v>
      </c>
      <c r="AE515">
        <v>0.05</v>
      </c>
      <c r="AF515">
        <v>15</v>
      </c>
      <c r="AG515">
        <v>0</v>
      </c>
      <c r="AH515">
        <v>0</v>
      </c>
      <c r="AI515">
        <v>0</v>
      </c>
      <c r="AJ515">
        <v>1</v>
      </c>
      <c r="AK515">
        <v>0.02</v>
      </c>
      <c r="AL515">
        <v>16</v>
      </c>
      <c r="AM515">
        <v>0</v>
      </c>
      <c r="AN515">
        <v>0</v>
      </c>
      <c r="AO515">
        <v>0</v>
      </c>
      <c r="AP515">
        <v>1</v>
      </c>
      <c r="AQ515">
        <v>0.01</v>
      </c>
      <c r="AX515">
        <v>7</v>
      </c>
      <c r="AY515" s="1">
        <v>18</v>
      </c>
      <c r="AZ515">
        <v>0</v>
      </c>
      <c r="BA515">
        <v>0</v>
      </c>
      <c r="BB515">
        <v>1</v>
      </c>
      <c r="BC515" s="7">
        <v>0.32</v>
      </c>
      <c r="BD515">
        <v>30</v>
      </c>
      <c r="BE515">
        <v>0</v>
      </c>
      <c r="BF515">
        <v>0</v>
      </c>
      <c r="BG515">
        <v>0</v>
      </c>
      <c r="BH515">
        <v>5</v>
      </c>
      <c r="BI515">
        <v>2.4</v>
      </c>
      <c r="BJ515">
        <v>31</v>
      </c>
      <c r="BK515">
        <v>0</v>
      </c>
      <c r="BL515">
        <v>0</v>
      </c>
      <c r="BM515">
        <v>0</v>
      </c>
      <c r="BN515">
        <v>5</v>
      </c>
      <c r="BO515">
        <v>2.4</v>
      </c>
      <c r="BP515">
        <v>36</v>
      </c>
      <c r="BQ515">
        <v>0</v>
      </c>
      <c r="BR515">
        <v>0</v>
      </c>
      <c r="BS515">
        <v>0</v>
      </c>
      <c r="BT515">
        <v>5</v>
      </c>
      <c r="BU515">
        <v>2.2999999999999998</v>
      </c>
    </row>
    <row r="516" spans="1:73" x14ac:dyDescent="0.15">
      <c r="A516" s="11">
        <v>10513</v>
      </c>
      <c r="B516">
        <v>7</v>
      </c>
      <c r="C516" s="1">
        <v>47</v>
      </c>
      <c r="D516">
        <v>0</v>
      </c>
      <c r="E516">
        <v>0</v>
      </c>
      <c r="F516">
        <v>1</v>
      </c>
      <c r="G516" s="7">
        <v>0.05</v>
      </c>
      <c r="H516">
        <v>12</v>
      </c>
      <c r="I516">
        <v>0</v>
      </c>
      <c r="J516">
        <v>0</v>
      </c>
      <c r="K516">
        <v>0</v>
      </c>
      <c r="L516">
        <v>1</v>
      </c>
      <c r="M516">
        <v>2</v>
      </c>
      <c r="N516" s="7">
        <v>9</v>
      </c>
      <c r="O516" s="7">
        <v>0</v>
      </c>
      <c r="P516" s="7">
        <v>0</v>
      </c>
      <c r="Q516" s="7">
        <v>0</v>
      </c>
      <c r="R516" s="7">
        <v>1</v>
      </c>
      <c r="S516" s="7">
        <v>4.5</v>
      </c>
      <c r="T516">
        <v>7</v>
      </c>
      <c r="U516" s="1">
        <v>35</v>
      </c>
      <c r="V516">
        <v>0</v>
      </c>
      <c r="W516">
        <v>0</v>
      </c>
      <c r="X516">
        <v>1</v>
      </c>
      <c r="Y516">
        <v>0.16</v>
      </c>
      <c r="Z516">
        <v>23</v>
      </c>
      <c r="AA516">
        <v>0</v>
      </c>
      <c r="AB516">
        <v>0</v>
      </c>
      <c r="AC516">
        <v>0</v>
      </c>
      <c r="AD516">
        <v>1</v>
      </c>
      <c r="AE516">
        <v>0.05</v>
      </c>
      <c r="AF516">
        <v>15</v>
      </c>
      <c r="AG516">
        <v>0</v>
      </c>
      <c r="AH516">
        <v>0</v>
      </c>
      <c r="AI516">
        <v>0</v>
      </c>
      <c r="AJ516">
        <v>1</v>
      </c>
      <c r="AK516">
        <v>0.02</v>
      </c>
      <c r="AL516">
        <v>16</v>
      </c>
      <c r="AM516">
        <v>0</v>
      </c>
      <c r="AN516">
        <v>0</v>
      </c>
      <c r="AO516">
        <v>0</v>
      </c>
      <c r="AP516">
        <v>1</v>
      </c>
      <c r="AQ516">
        <v>0.01</v>
      </c>
      <c r="AX516">
        <v>7</v>
      </c>
      <c r="AY516" s="1">
        <v>19</v>
      </c>
      <c r="AZ516">
        <v>0</v>
      </c>
      <c r="BA516">
        <v>0</v>
      </c>
      <c r="BB516">
        <v>1</v>
      </c>
      <c r="BC516" s="7">
        <v>0.32</v>
      </c>
      <c r="BD516">
        <v>30</v>
      </c>
      <c r="BE516">
        <v>0</v>
      </c>
      <c r="BF516">
        <v>0</v>
      </c>
      <c r="BG516">
        <v>0</v>
      </c>
      <c r="BH516">
        <v>5</v>
      </c>
      <c r="BI516">
        <v>2.4</v>
      </c>
      <c r="BJ516">
        <v>31</v>
      </c>
      <c r="BK516">
        <v>0</v>
      </c>
      <c r="BL516">
        <v>0</v>
      </c>
      <c r="BM516">
        <v>0</v>
      </c>
      <c r="BN516">
        <v>5</v>
      </c>
      <c r="BO516">
        <v>2.4</v>
      </c>
      <c r="BP516">
        <v>36</v>
      </c>
      <c r="BQ516">
        <v>0</v>
      </c>
      <c r="BR516">
        <v>0</v>
      </c>
      <c r="BS516">
        <v>0</v>
      </c>
      <c r="BT516">
        <v>5</v>
      </c>
      <c r="BU516">
        <v>2.2999999999999998</v>
      </c>
    </row>
    <row r="517" spans="1:73" x14ac:dyDescent="0.15">
      <c r="A517" s="11">
        <v>10514</v>
      </c>
      <c r="B517">
        <v>7</v>
      </c>
      <c r="C517" s="1">
        <v>48</v>
      </c>
      <c r="D517">
        <v>0</v>
      </c>
      <c r="E517">
        <v>0</v>
      </c>
      <c r="F517">
        <v>1</v>
      </c>
      <c r="G517" s="7">
        <v>0.05</v>
      </c>
      <c r="H517">
        <v>12</v>
      </c>
      <c r="I517">
        <v>0</v>
      </c>
      <c r="J517">
        <v>0</v>
      </c>
      <c r="K517">
        <v>0</v>
      </c>
      <c r="L517">
        <v>1</v>
      </c>
      <c r="M517">
        <v>2</v>
      </c>
      <c r="N517" s="7">
        <v>9</v>
      </c>
      <c r="O517" s="7">
        <v>0</v>
      </c>
      <c r="P517" s="7">
        <v>0</v>
      </c>
      <c r="Q517" s="7">
        <v>0</v>
      </c>
      <c r="R517" s="7">
        <v>1</v>
      </c>
      <c r="S517" s="7">
        <v>4.5</v>
      </c>
      <c r="T517">
        <v>7</v>
      </c>
      <c r="U517" s="1">
        <v>36</v>
      </c>
      <c r="V517">
        <v>0</v>
      </c>
      <c r="W517">
        <v>0</v>
      </c>
      <c r="X517">
        <v>1</v>
      </c>
      <c r="Y517">
        <v>0.16</v>
      </c>
      <c r="Z517">
        <v>23</v>
      </c>
      <c r="AA517">
        <v>0</v>
      </c>
      <c r="AB517">
        <v>0</v>
      </c>
      <c r="AC517">
        <v>0</v>
      </c>
      <c r="AD517">
        <v>1</v>
      </c>
      <c r="AE517">
        <v>0.05</v>
      </c>
      <c r="AF517">
        <v>15</v>
      </c>
      <c r="AG517">
        <v>0</v>
      </c>
      <c r="AH517">
        <v>0</v>
      </c>
      <c r="AI517">
        <v>0</v>
      </c>
      <c r="AJ517">
        <v>1</v>
      </c>
      <c r="AK517">
        <v>0.02</v>
      </c>
      <c r="AL517">
        <v>16</v>
      </c>
      <c r="AM517">
        <v>0</v>
      </c>
      <c r="AN517">
        <v>0</v>
      </c>
      <c r="AO517">
        <v>0</v>
      </c>
      <c r="AP517">
        <v>1</v>
      </c>
      <c r="AQ517">
        <v>0.01</v>
      </c>
      <c r="AX517">
        <v>7</v>
      </c>
      <c r="AY517" s="1">
        <v>20</v>
      </c>
      <c r="AZ517">
        <v>0</v>
      </c>
      <c r="BA517">
        <v>0</v>
      </c>
      <c r="BB517">
        <v>1</v>
      </c>
      <c r="BC517" s="7">
        <v>0.32</v>
      </c>
      <c r="BD517">
        <v>30</v>
      </c>
      <c r="BE517">
        <v>0</v>
      </c>
      <c r="BF517">
        <v>0</v>
      </c>
      <c r="BG517">
        <v>0</v>
      </c>
      <c r="BH517">
        <v>5</v>
      </c>
      <c r="BI517">
        <v>2.4</v>
      </c>
      <c r="BJ517">
        <v>31</v>
      </c>
      <c r="BK517">
        <v>0</v>
      </c>
      <c r="BL517">
        <v>0</v>
      </c>
      <c r="BM517">
        <v>0</v>
      </c>
      <c r="BN517">
        <v>5</v>
      </c>
      <c r="BO517">
        <v>2.4</v>
      </c>
      <c r="BP517">
        <v>36</v>
      </c>
      <c r="BQ517">
        <v>0</v>
      </c>
      <c r="BR517">
        <v>0</v>
      </c>
      <c r="BS517">
        <v>0</v>
      </c>
      <c r="BT517">
        <v>5</v>
      </c>
      <c r="BU517">
        <v>2.2999999999999998</v>
      </c>
    </row>
    <row r="518" spans="1:73" x14ac:dyDescent="0.15">
      <c r="A518" s="11">
        <v>10515</v>
      </c>
      <c r="B518">
        <v>7</v>
      </c>
      <c r="C518" s="1">
        <v>0</v>
      </c>
      <c r="D518">
        <v>5</v>
      </c>
      <c r="E518">
        <v>1</v>
      </c>
      <c r="F518">
        <v>1</v>
      </c>
      <c r="G518" s="7">
        <v>0.05</v>
      </c>
      <c r="H518">
        <v>12</v>
      </c>
      <c r="I518">
        <v>0</v>
      </c>
      <c r="J518">
        <v>0</v>
      </c>
      <c r="K518">
        <v>0</v>
      </c>
      <c r="L518">
        <v>1</v>
      </c>
      <c r="M518">
        <v>2</v>
      </c>
      <c r="N518" s="7">
        <v>9</v>
      </c>
      <c r="O518" s="7">
        <v>0</v>
      </c>
      <c r="P518" s="7">
        <v>0</v>
      </c>
      <c r="Q518" s="7">
        <v>0</v>
      </c>
      <c r="R518" s="7">
        <v>1</v>
      </c>
      <c r="S518" s="7">
        <v>4.5</v>
      </c>
      <c r="T518">
        <v>7</v>
      </c>
      <c r="U518" s="1">
        <v>0</v>
      </c>
      <c r="V518">
        <v>4</v>
      </c>
      <c r="W518">
        <v>2</v>
      </c>
      <c r="X518">
        <v>1</v>
      </c>
      <c r="Y518">
        <v>0.16</v>
      </c>
      <c r="Z518">
        <v>23</v>
      </c>
      <c r="AA518">
        <v>0</v>
      </c>
      <c r="AB518">
        <v>0</v>
      </c>
      <c r="AC518">
        <v>0</v>
      </c>
      <c r="AD518">
        <v>1</v>
      </c>
      <c r="AE518">
        <v>0.05</v>
      </c>
      <c r="AF518">
        <v>15</v>
      </c>
      <c r="AG518">
        <v>0</v>
      </c>
      <c r="AH518">
        <v>0</v>
      </c>
      <c r="AI518">
        <v>0</v>
      </c>
      <c r="AJ518">
        <v>1</v>
      </c>
      <c r="AK518">
        <v>0.02</v>
      </c>
      <c r="AL518">
        <v>16</v>
      </c>
      <c r="AM518">
        <v>0</v>
      </c>
      <c r="AN518">
        <v>0</v>
      </c>
      <c r="AO518">
        <v>0</v>
      </c>
      <c r="AP518">
        <v>1</v>
      </c>
      <c r="AQ518">
        <v>0.01</v>
      </c>
      <c r="AR518">
        <v>6</v>
      </c>
      <c r="AS518">
        <v>2</v>
      </c>
      <c r="AT518">
        <v>3</v>
      </c>
      <c r="AU518">
        <v>5</v>
      </c>
      <c r="AV518">
        <v>1</v>
      </c>
      <c r="AW518">
        <v>0.05</v>
      </c>
      <c r="AX518">
        <v>7</v>
      </c>
      <c r="AY518" s="1">
        <v>0</v>
      </c>
      <c r="AZ518">
        <v>3</v>
      </c>
      <c r="BA518">
        <v>1</v>
      </c>
      <c r="BB518">
        <v>1</v>
      </c>
      <c r="BC518" s="7">
        <v>0.32</v>
      </c>
      <c r="BD518">
        <v>30</v>
      </c>
      <c r="BE518">
        <v>0</v>
      </c>
      <c r="BF518">
        <v>0</v>
      </c>
      <c r="BG518">
        <v>0</v>
      </c>
      <c r="BH518">
        <v>5</v>
      </c>
      <c r="BI518">
        <v>2.4</v>
      </c>
      <c r="BJ518">
        <v>31</v>
      </c>
      <c r="BK518">
        <v>0</v>
      </c>
      <c r="BL518">
        <v>0</v>
      </c>
      <c r="BM518">
        <v>0</v>
      </c>
      <c r="BN518">
        <v>5</v>
      </c>
      <c r="BO518">
        <v>2.4</v>
      </c>
      <c r="BP518">
        <v>36</v>
      </c>
      <c r="BQ518">
        <v>0</v>
      </c>
      <c r="BR518">
        <v>0</v>
      </c>
      <c r="BS518">
        <v>0</v>
      </c>
      <c r="BT518">
        <v>5</v>
      </c>
      <c r="BU518">
        <v>2.2999999999999998</v>
      </c>
    </row>
    <row r="519" spans="1:73" x14ac:dyDescent="0.15">
      <c r="A519" s="11">
        <v>10516</v>
      </c>
      <c r="B519">
        <v>7</v>
      </c>
      <c r="C519" s="1">
        <v>45</v>
      </c>
      <c r="D519">
        <v>0</v>
      </c>
      <c r="E519">
        <v>0</v>
      </c>
      <c r="F519">
        <v>1</v>
      </c>
      <c r="G519" s="7">
        <v>0.05</v>
      </c>
      <c r="H519">
        <v>12</v>
      </c>
      <c r="I519">
        <v>0</v>
      </c>
      <c r="J519">
        <v>0</v>
      </c>
      <c r="K519">
        <v>0</v>
      </c>
      <c r="L519">
        <v>1</v>
      </c>
      <c r="M519">
        <v>2</v>
      </c>
      <c r="N519" s="7">
        <v>9</v>
      </c>
      <c r="O519" s="7">
        <v>0</v>
      </c>
      <c r="P519" s="7">
        <v>0</v>
      </c>
      <c r="Q519" s="7">
        <v>0</v>
      </c>
      <c r="R519" s="7">
        <v>1</v>
      </c>
      <c r="S519" s="7">
        <v>4.5</v>
      </c>
      <c r="T519">
        <v>7</v>
      </c>
      <c r="U519" s="1">
        <v>33</v>
      </c>
      <c r="V519">
        <v>0</v>
      </c>
      <c r="W519">
        <v>0</v>
      </c>
      <c r="X519">
        <v>1</v>
      </c>
      <c r="Y519">
        <v>0.16</v>
      </c>
      <c r="Z519">
        <v>23</v>
      </c>
      <c r="AA519">
        <v>0</v>
      </c>
      <c r="AB519">
        <v>0</v>
      </c>
      <c r="AC519">
        <v>0</v>
      </c>
      <c r="AD519">
        <v>1</v>
      </c>
      <c r="AE519">
        <v>0.05</v>
      </c>
      <c r="AF519">
        <v>15</v>
      </c>
      <c r="AG519">
        <v>0</v>
      </c>
      <c r="AH519">
        <v>0</v>
      </c>
      <c r="AI519">
        <v>0</v>
      </c>
      <c r="AJ519">
        <v>1</v>
      </c>
      <c r="AK519">
        <v>0.02</v>
      </c>
      <c r="AL519">
        <v>16</v>
      </c>
      <c r="AM519">
        <v>0</v>
      </c>
      <c r="AN519">
        <v>0</v>
      </c>
      <c r="AO519">
        <v>0</v>
      </c>
      <c r="AP519">
        <v>1</v>
      </c>
      <c r="AQ519">
        <v>0.01</v>
      </c>
      <c r="AX519">
        <v>7</v>
      </c>
      <c r="AY519" s="1">
        <v>17</v>
      </c>
      <c r="AZ519">
        <v>0</v>
      </c>
      <c r="BA519">
        <v>0</v>
      </c>
      <c r="BB519">
        <v>1</v>
      </c>
      <c r="BC519" s="7">
        <v>0.32</v>
      </c>
      <c r="BD519">
        <v>30</v>
      </c>
      <c r="BE519">
        <v>0</v>
      </c>
      <c r="BF519">
        <v>0</v>
      </c>
      <c r="BG519">
        <v>0</v>
      </c>
      <c r="BH519">
        <v>5</v>
      </c>
      <c r="BI519">
        <v>2.4</v>
      </c>
      <c r="BJ519">
        <v>31</v>
      </c>
      <c r="BK519">
        <v>0</v>
      </c>
      <c r="BL519">
        <v>0</v>
      </c>
      <c r="BM519">
        <v>0</v>
      </c>
      <c r="BN519">
        <v>5</v>
      </c>
      <c r="BO519">
        <v>2.4</v>
      </c>
      <c r="BP519">
        <v>36</v>
      </c>
      <c r="BQ519">
        <v>0</v>
      </c>
      <c r="BR519">
        <v>0</v>
      </c>
      <c r="BS519">
        <v>0</v>
      </c>
      <c r="BT519">
        <v>5</v>
      </c>
      <c r="BU519">
        <v>2.2999999999999998</v>
      </c>
    </row>
    <row r="520" spans="1:73" x14ac:dyDescent="0.15">
      <c r="A520" s="11">
        <v>10517</v>
      </c>
      <c r="B520">
        <v>7</v>
      </c>
      <c r="C520" s="1">
        <v>46</v>
      </c>
      <c r="D520">
        <v>0</v>
      </c>
      <c r="E520">
        <v>0</v>
      </c>
      <c r="F520">
        <v>1</v>
      </c>
      <c r="G520" s="7">
        <v>0.05</v>
      </c>
      <c r="H520">
        <v>12</v>
      </c>
      <c r="I520">
        <v>0</v>
      </c>
      <c r="J520">
        <v>0</v>
      </c>
      <c r="K520">
        <v>0</v>
      </c>
      <c r="L520">
        <v>1</v>
      </c>
      <c r="M520">
        <v>2</v>
      </c>
      <c r="N520" s="7">
        <v>9</v>
      </c>
      <c r="O520" s="7">
        <v>0</v>
      </c>
      <c r="P520" s="7">
        <v>0</v>
      </c>
      <c r="Q520" s="7">
        <v>0</v>
      </c>
      <c r="R520" s="7">
        <v>1</v>
      </c>
      <c r="S520" s="7">
        <v>4.5</v>
      </c>
      <c r="T520">
        <v>7</v>
      </c>
      <c r="U520" s="1">
        <v>34</v>
      </c>
      <c r="V520">
        <v>0</v>
      </c>
      <c r="W520">
        <v>0</v>
      </c>
      <c r="X520">
        <v>1</v>
      </c>
      <c r="Y520">
        <v>0.16</v>
      </c>
      <c r="Z520">
        <v>23</v>
      </c>
      <c r="AA520">
        <v>0</v>
      </c>
      <c r="AB520">
        <v>0</v>
      </c>
      <c r="AC520">
        <v>0</v>
      </c>
      <c r="AD520">
        <v>1</v>
      </c>
      <c r="AE520">
        <v>0.05</v>
      </c>
      <c r="AF520">
        <v>15</v>
      </c>
      <c r="AG520">
        <v>0</v>
      </c>
      <c r="AH520">
        <v>0</v>
      </c>
      <c r="AI520">
        <v>0</v>
      </c>
      <c r="AJ520">
        <v>1</v>
      </c>
      <c r="AK520">
        <v>0.02</v>
      </c>
      <c r="AL520">
        <v>16</v>
      </c>
      <c r="AM520">
        <v>0</v>
      </c>
      <c r="AN520">
        <v>0</v>
      </c>
      <c r="AO520">
        <v>0</v>
      </c>
      <c r="AP520">
        <v>1</v>
      </c>
      <c r="AQ520">
        <v>0.01</v>
      </c>
      <c r="AX520">
        <v>7</v>
      </c>
      <c r="AY520" s="1">
        <v>18</v>
      </c>
      <c r="AZ520">
        <v>0</v>
      </c>
      <c r="BA520">
        <v>0</v>
      </c>
      <c r="BB520">
        <v>1</v>
      </c>
      <c r="BC520" s="7">
        <v>0.32</v>
      </c>
      <c r="BD520">
        <v>30</v>
      </c>
      <c r="BE520">
        <v>0</v>
      </c>
      <c r="BF520">
        <v>0</v>
      </c>
      <c r="BG520">
        <v>0</v>
      </c>
      <c r="BH520">
        <v>5</v>
      </c>
      <c r="BI520">
        <v>2.4</v>
      </c>
      <c r="BJ520">
        <v>31</v>
      </c>
      <c r="BK520">
        <v>0</v>
      </c>
      <c r="BL520">
        <v>0</v>
      </c>
      <c r="BM520">
        <v>0</v>
      </c>
      <c r="BN520">
        <v>5</v>
      </c>
      <c r="BO520">
        <v>2.4</v>
      </c>
      <c r="BP520">
        <v>36</v>
      </c>
      <c r="BQ520">
        <v>0</v>
      </c>
      <c r="BR520">
        <v>0</v>
      </c>
      <c r="BS520">
        <v>0</v>
      </c>
      <c r="BT520">
        <v>5</v>
      </c>
      <c r="BU520">
        <v>2.2999999999999998</v>
      </c>
    </row>
    <row r="521" spans="1:73" x14ac:dyDescent="0.15">
      <c r="A521" s="11">
        <v>10518</v>
      </c>
      <c r="B521">
        <v>7</v>
      </c>
      <c r="C521" s="1">
        <v>47</v>
      </c>
      <c r="D521">
        <v>0</v>
      </c>
      <c r="E521">
        <v>0</v>
      </c>
      <c r="F521">
        <v>1</v>
      </c>
      <c r="G521" s="7">
        <v>0.05</v>
      </c>
      <c r="H521">
        <v>12</v>
      </c>
      <c r="I521">
        <v>0</v>
      </c>
      <c r="J521">
        <v>0</v>
      </c>
      <c r="K521">
        <v>0</v>
      </c>
      <c r="L521">
        <v>1</v>
      </c>
      <c r="M521">
        <v>2</v>
      </c>
      <c r="N521" s="7">
        <v>9</v>
      </c>
      <c r="O521" s="7">
        <v>0</v>
      </c>
      <c r="P521" s="7">
        <v>0</v>
      </c>
      <c r="Q521" s="7">
        <v>0</v>
      </c>
      <c r="R521" s="7">
        <v>1</v>
      </c>
      <c r="S521" s="7">
        <v>4.5</v>
      </c>
      <c r="T521">
        <v>7</v>
      </c>
      <c r="U521" s="1">
        <v>35</v>
      </c>
      <c r="V521">
        <v>0</v>
      </c>
      <c r="W521">
        <v>0</v>
      </c>
      <c r="X521">
        <v>1</v>
      </c>
      <c r="Y521">
        <v>0.16</v>
      </c>
      <c r="Z521">
        <v>23</v>
      </c>
      <c r="AA521">
        <v>0</v>
      </c>
      <c r="AB521">
        <v>0</v>
      </c>
      <c r="AC521">
        <v>0</v>
      </c>
      <c r="AD521">
        <v>1</v>
      </c>
      <c r="AE521">
        <v>0.05</v>
      </c>
      <c r="AF521">
        <v>15</v>
      </c>
      <c r="AG521">
        <v>0</v>
      </c>
      <c r="AH521">
        <v>0</v>
      </c>
      <c r="AI521">
        <v>0</v>
      </c>
      <c r="AJ521">
        <v>1</v>
      </c>
      <c r="AK521">
        <v>0.02</v>
      </c>
      <c r="AL521">
        <v>16</v>
      </c>
      <c r="AM521">
        <v>0</v>
      </c>
      <c r="AN521">
        <v>0</v>
      </c>
      <c r="AO521">
        <v>0</v>
      </c>
      <c r="AP521">
        <v>1</v>
      </c>
      <c r="AQ521">
        <v>0.01</v>
      </c>
      <c r="AX521">
        <v>7</v>
      </c>
      <c r="AY521" s="1">
        <v>19</v>
      </c>
      <c r="AZ521">
        <v>0</v>
      </c>
      <c r="BA521">
        <v>0</v>
      </c>
      <c r="BB521">
        <v>1</v>
      </c>
      <c r="BC521" s="7">
        <v>0.32</v>
      </c>
      <c r="BD521">
        <v>30</v>
      </c>
      <c r="BE521">
        <v>0</v>
      </c>
      <c r="BF521">
        <v>0</v>
      </c>
      <c r="BG521">
        <v>0</v>
      </c>
      <c r="BH521">
        <v>5</v>
      </c>
      <c r="BI521">
        <v>2.4</v>
      </c>
      <c r="BJ521">
        <v>31</v>
      </c>
      <c r="BK521">
        <v>0</v>
      </c>
      <c r="BL521">
        <v>0</v>
      </c>
      <c r="BM521">
        <v>0</v>
      </c>
      <c r="BN521">
        <v>5</v>
      </c>
      <c r="BO521">
        <v>2.4</v>
      </c>
      <c r="BP521">
        <v>36</v>
      </c>
      <c r="BQ521">
        <v>0</v>
      </c>
      <c r="BR521">
        <v>0</v>
      </c>
      <c r="BS521">
        <v>0</v>
      </c>
      <c r="BT521">
        <v>5</v>
      </c>
      <c r="BU521">
        <v>2.2999999999999998</v>
      </c>
    </row>
    <row r="522" spans="1:73" x14ac:dyDescent="0.15">
      <c r="A522" s="11">
        <v>10519</v>
      </c>
      <c r="B522">
        <v>7</v>
      </c>
      <c r="C522" s="1">
        <v>48</v>
      </c>
      <c r="D522">
        <v>0</v>
      </c>
      <c r="E522">
        <v>0</v>
      </c>
      <c r="F522">
        <v>1</v>
      </c>
      <c r="G522" s="7">
        <v>0.05</v>
      </c>
      <c r="H522">
        <v>12</v>
      </c>
      <c r="I522">
        <v>0</v>
      </c>
      <c r="J522">
        <v>0</v>
      </c>
      <c r="K522">
        <v>0</v>
      </c>
      <c r="L522">
        <v>1</v>
      </c>
      <c r="M522">
        <v>2</v>
      </c>
      <c r="N522" s="7">
        <v>9</v>
      </c>
      <c r="O522" s="7">
        <v>0</v>
      </c>
      <c r="P522" s="7">
        <v>0</v>
      </c>
      <c r="Q522" s="7">
        <v>0</v>
      </c>
      <c r="R522" s="7">
        <v>1</v>
      </c>
      <c r="S522" s="7">
        <v>4.5</v>
      </c>
      <c r="T522">
        <v>7</v>
      </c>
      <c r="U522" s="1">
        <v>36</v>
      </c>
      <c r="V522">
        <v>0</v>
      </c>
      <c r="W522">
        <v>0</v>
      </c>
      <c r="X522">
        <v>1</v>
      </c>
      <c r="Y522">
        <v>0.16</v>
      </c>
      <c r="Z522">
        <v>23</v>
      </c>
      <c r="AA522">
        <v>0</v>
      </c>
      <c r="AB522">
        <v>0</v>
      </c>
      <c r="AC522">
        <v>0</v>
      </c>
      <c r="AD522">
        <v>1</v>
      </c>
      <c r="AE522">
        <v>0.05</v>
      </c>
      <c r="AF522">
        <v>15</v>
      </c>
      <c r="AG522">
        <v>0</v>
      </c>
      <c r="AH522">
        <v>0</v>
      </c>
      <c r="AI522">
        <v>0</v>
      </c>
      <c r="AJ522">
        <v>1</v>
      </c>
      <c r="AK522">
        <v>0.02</v>
      </c>
      <c r="AL522">
        <v>16</v>
      </c>
      <c r="AM522">
        <v>0</v>
      </c>
      <c r="AN522">
        <v>0</v>
      </c>
      <c r="AO522">
        <v>0</v>
      </c>
      <c r="AP522">
        <v>1</v>
      </c>
      <c r="AQ522">
        <v>0.01</v>
      </c>
      <c r="AX522">
        <v>7</v>
      </c>
      <c r="AY522" s="1">
        <v>20</v>
      </c>
      <c r="AZ522">
        <v>0</v>
      </c>
      <c r="BA522">
        <v>0</v>
      </c>
      <c r="BB522">
        <v>1</v>
      </c>
      <c r="BC522" s="7">
        <v>0.32</v>
      </c>
      <c r="BD522">
        <v>30</v>
      </c>
      <c r="BE522">
        <v>0</v>
      </c>
      <c r="BF522">
        <v>0</v>
      </c>
      <c r="BG522">
        <v>0</v>
      </c>
      <c r="BH522">
        <v>5</v>
      </c>
      <c r="BI522">
        <v>2.4</v>
      </c>
      <c r="BJ522">
        <v>31</v>
      </c>
      <c r="BK522">
        <v>0</v>
      </c>
      <c r="BL522">
        <v>0</v>
      </c>
      <c r="BM522">
        <v>0</v>
      </c>
      <c r="BN522">
        <v>5</v>
      </c>
      <c r="BO522">
        <v>2.4</v>
      </c>
      <c r="BP522">
        <v>36</v>
      </c>
      <c r="BQ522">
        <v>0</v>
      </c>
      <c r="BR522">
        <v>0</v>
      </c>
      <c r="BS522">
        <v>0</v>
      </c>
      <c r="BT522">
        <v>5</v>
      </c>
      <c r="BU522">
        <v>2.2999999999999998</v>
      </c>
    </row>
    <row r="523" spans="1:73" x14ac:dyDescent="0.15">
      <c r="A523" s="11">
        <v>10520</v>
      </c>
      <c r="B523">
        <v>7</v>
      </c>
      <c r="C523" s="1">
        <v>0</v>
      </c>
      <c r="D523">
        <v>5</v>
      </c>
      <c r="E523">
        <v>1</v>
      </c>
      <c r="F523">
        <v>1</v>
      </c>
      <c r="G523" s="7">
        <v>0.05</v>
      </c>
      <c r="H523">
        <v>12</v>
      </c>
      <c r="I523">
        <v>0</v>
      </c>
      <c r="J523">
        <v>0</v>
      </c>
      <c r="K523">
        <v>0</v>
      </c>
      <c r="L523">
        <v>1</v>
      </c>
      <c r="M523">
        <v>2</v>
      </c>
      <c r="N523" s="7">
        <v>9</v>
      </c>
      <c r="O523" s="7">
        <v>0</v>
      </c>
      <c r="P523" s="7">
        <v>0</v>
      </c>
      <c r="Q523" s="7">
        <v>0</v>
      </c>
      <c r="R523" s="7">
        <v>1</v>
      </c>
      <c r="S523" s="7">
        <v>4.5</v>
      </c>
      <c r="T523">
        <v>7</v>
      </c>
      <c r="U523" s="1">
        <v>0</v>
      </c>
      <c r="V523">
        <v>4</v>
      </c>
      <c r="W523">
        <v>2</v>
      </c>
      <c r="X523">
        <v>1</v>
      </c>
      <c r="Y523">
        <v>0.16</v>
      </c>
      <c r="Z523">
        <v>23</v>
      </c>
      <c r="AA523">
        <v>0</v>
      </c>
      <c r="AB523">
        <v>0</v>
      </c>
      <c r="AC523">
        <v>0</v>
      </c>
      <c r="AD523">
        <v>1</v>
      </c>
      <c r="AE523">
        <v>0.05</v>
      </c>
      <c r="AF523">
        <v>15</v>
      </c>
      <c r="AG523">
        <v>0</v>
      </c>
      <c r="AH523">
        <v>0</v>
      </c>
      <c r="AI523">
        <v>0</v>
      </c>
      <c r="AJ523">
        <v>1</v>
      </c>
      <c r="AK523">
        <v>0.02</v>
      </c>
      <c r="AL523">
        <v>16</v>
      </c>
      <c r="AM523">
        <v>0</v>
      </c>
      <c r="AN523">
        <v>0</v>
      </c>
      <c r="AO523">
        <v>0</v>
      </c>
      <c r="AP523">
        <v>1</v>
      </c>
      <c r="AQ523">
        <v>0.01</v>
      </c>
      <c r="AR523">
        <v>6</v>
      </c>
      <c r="AS523">
        <v>2</v>
      </c>
      <c r="AT523">
        <v>4</v>
      </c>
      <c r="AU523">
        <v>5</v>
      </c>
      <c r="AV523">
        <v>1</v>
      </c>
      <c r="AW523">
        <v>0.01</v>
      </c>
      <c r="AX523">
        <v>7</v>
      </c>
      <c r="AY523" s="1">
        <v>0</v>
      </c>
      <c r="AZ523">
        <v>3</v>
      </c>
      <c r="BA523">
        <v>1</v>
      </c>
      <c r="BB523">
        <v>1</v>
      </c>
      <c r="BC523" s="7">
        <v>0.32</v>
      </c>
      <c r="BD523">
        <v>30</v>
      </c>
      <c r="BE523">
        <v>0</v>
      </c>
      <c r="BF523">
        <v>0</v>
      </c>
      <c r="BG523">
        <v>0</v>
      </c>
      <c r="BH523">
        <v>5</v>
      </c>
      <c r="BI523">
        <v>2.4</v>
      </c>
      <c r="BJ523">
        <v>31</v>
      </c>
      <c r="BK523">
        <v>0</v>
      </c>
      <c r="BL523">
        <v>0</v>
      </c>
      <c r="BM523">
        <v>0</v>
      </c>
      <c r="BN523">
        <v>5</v>
      </c>
      <c r="BO523">
        <v>2.4</v>
      </c>
      <c r="BP523">
        <v>36</v>
      </c>
      <c r="BQ523">
        <v>0</v>
      </c>
      <c r="BR523">
        <v>0</v>
      </c>
      <c r="BS523">
        <v>0</v>
      </c>
      <c r="BT523">
        <v>5</v>
      </c>
      <c r="BU523">
        <v>2.2999999999999998</v>
      </c>
    </row>
    <row r="524" spans="1:73" x14ac:dyDescent="0.15">
      <c r="A524" s="11">
        <v>10521</v>
      </c>
      <c r="B524">
        <v>7</v>
      </c>
      <c r="C524" s="1">
        <v>45</v>
      </c>
      <c r="D524">
        <v>0</v>
      </c>
      <c r="E524">
        <v>0</v>
      </c>
      <c r="F524">
        <v>1</v>
      </c>
      <c r="G524" s="7">
        <v>0.05</v>
      </c>
      <c r="H524">
        <v>12</v>
      </c>
      <c r="I524">
        <v>0</v>
      </c>
      <c r="J524">
        <v>0</v>
      </c>
      <c r="K524">
        <v>0</v>
      </c>
      <c r="L524">
        <v>1</v>
      </c>
      <c r="M524">
        <v>2</v>
      </c>
      <c r="N524" s="7">
        <v>9</v>
      </c>
      <c r="O524" s="7">
        <v>0</v>
      </c>
      <c r="P524" s="7">
        <v>0</v>
      </c>
      <c r="Q524" s="7">
        <v>0</v>
      </c>
      <c r="R524" s="7">
        <v>1</v>
      </c>
      <c r="S524" s="7">
        <v>4.5</v>
      </c>
      <c r="T524">
        <v>7</v>
      </c>
      <c r="U524" s="1">
        <v>33</v>
      </c>
      <c r="V524">
        <v>0</v>
      </c>
      <c r="W524">
        <v>0</v>
      </c>
      <c r="X524">
        <v>1</v>
      </c>
      <c r="Y524">
        <v>0.16</v>
      </c>
      <c r="Z524">
        <v>23</v>
      </c>
      <c r="AA524">
        <v>0</v>
      </c>
      <c r="AB524">
        <v>0</v>
      </c>
      <c r="AC524">
        <v>0</v>
      </c>
      <c r="AD524">
        <v>1</v>
      </c>
      <c r="AE524">
        <v>0.05</v>
      </c>
      <c r="AF524">
        <v>15</v>
      </c>
      <c r="AG524">
        <v>0</v>
      </c>
      <c r="AH524">
        <v>0</v>
      </c>
      <c r="AI524">
        <v>0</v>
      </c>
      <c r="AJ524">
        <v>1</v>
      </c>
      <c r="AK524">
        <v>0.02</v>
      </c>
      <c r="AL524">
        <v>16</v>
      </c>
      <c r="AM524">
        <v>0</v>
      </c>
      <c r="AN524">
        <v>0</v>
      </c>
      <c r="AO524">
        <v>0</v>
      </c>
      <c r="AP524">
        <v>1</v>
      </c>
      <c r="AQ524">
        <v>0.01</v>
      </c>
      <c r="AX524">
        <v>7</v>
      </c>
      <c r="AY524" s="1">
        <v>17</v>
      </c>
      <c r="AZ524">
        <v>0</v>
      </c>
      <c r="BA524">
        <v>0</v>
      </c>
      <c r="BB524">
        <v>1</v>
      </c>
      <c r="BC524" s="7">
        <v>0.32</v>
      </c>
      <c r="BD524">
        <v>30</v>
      </c>
      <c r="BE524">
        <v>0</v>
      </c>
      <c r="BF524">
        <v>0</v>
      </c>
      <c r="BG524">
        <v>0</v>
      </c>
      <c r="BH524">
        <v>5</v>
      </c>
      <c r="BI524">
        <v>2.4</v>
      </c>
      <c r="BJ524">
        <v>31</v>
      </c>
      <c r="BK524">
        <v>0</v>
      </c>
      <c r="BL524">
        <v>0</v>
      </c>
      <c r="BM524">
        <v>0</v>
      </c>
      <c r="BN524">
        <v>5</v>
      </c>
      <c r="BO524">
        <v>2.4</v>
      </c>
      <c r="BP524">
        <v>36</v>
      </c>
      <c r="BQ524">
        <v>0</v>
      </c>
      <c r="BR524">
        <v>0</v>
      </c>
      <c r="BS524">
        <v>0</v>
      </c>
      <c r="BT524">
        <v>5</v>
      </c>
      <c r="BU524">
        <v>2.2999999999999998</v>
      </c>
    </row>
    <row r="525" spans="1:73" x14ac:dyDescent="0.15">
      <c r="A525" s="11">
        <v>10522</v>
      </c>
      <c r="B525">
        <v>7</v>
      </c>
      <c r="C525" s="1">
        <v>46</v>
      </c>
      <c r="D525">
        <v>0</v>
      </c>
      <c r="E525">
        <v>0</v>
      </c>
      <c r="F525">
        <v>1</v>
      </c>
      <c r="G525" s="7">
        <v>0.05</v>
      </c>
      <c r="H525">
        <v>12</v>
      </c>
      <c r="I525">
        <v>0</v>
      </c>
      <c r="J525">
        <v>0</v>
      </c>
      <c r="K525">
        <v>0</v>
      </c>
      <c r="L525">
        <v>1</v>
      </c>
      <c r="M525">
        <v>2</v>
      </c>
      <c r="N525" s="7">
        <v>9</v>
      </c>
      <c r="O525" s="7">
        <v>0</v>
      </c>
      <c r="P525" s="7">
        <v>0</v>
      </c>
      <c r="Q525" s="7">
        <v>0</v>
      </c>
      <c r="R525" s="7">
        <v>1</v>
      </c>
      <c r="S525" s="7">
        <v>4.5</v>
      </c>
      <c r="T525">
        <v>7</v>
      </c>
      <c r="U525" s="1">
        <v>34</v>
      </c>
      <c r="V525">
        <v>0</v>
      </c>
      <c r="W525">
        <v>0</v>
      </c>
      <c r="X525">
        <v>1</v>
      </c>
      <c r="Y525">
        <v>0.16</v>
      </c>
      <c r="Z525">
        <v>23</v>
      </c>
      <c r="AA525">
        <v>0</v>
      </c>
      <c r="AB525">
        <v>0</v>
      </c>
      <c r="AC525">
        <v>0</v>
      </c>
      <c r="AD525">
        <v>1</v>
      </c>
      <c r="AE525">
        <v>0.05</v>
      </c>
      <c r="AF525">
        <v>15</v>
      </c>
      <c r="AG525">
        <v>0</v>
      </c>
      <c r="AH525">
        <v>0</v>
      </c>
      <c r="AI525">
        <v>0</v>
      </c>
      <c r="AJ525">
        <v>1</v>
      </c>
      <c r="AK525">
        <v>0.02</v>
      </c>
      <c r="AL525">
        <v>16</v>
      </c>
      <c r="AM525">
        <v>0</v>
      </c>
      <c r="AN525">
        <v>0</v>
      </c>
      <c r="AO525">
        <v>0</v>
      </c>
      <c r="AP525">
        <v>1</v>
      </c>
      <c r="AQ525">
        <v>0.01</v>
      </c>
      <c r="AX525">
        <v>7</v>
      </c>
      <c r="AY525" s="1">
        <v>18</v>
      </c>
      <c r="AZ525">
        <v>0</v>
      </c>
      <c r="BA525">
        <v>0</v>
      </c>
      <c r="BB525">
        <v>1</v>
      </c>
      <c r="BC525" s="7">
        <v>0.32</v>
      </c>
      <c r="BD525">
        <v>30</v>
      </c>
      <c r="BE525">
        <v>0</v>
      </c>
      <c r="BF525">
        <v>0</v>
      </c>
      <c r="BG525">
        <v>0</v>
      </c>
      <c r="BH525">
        <v>5</v>
      </c>
      <c r="BI525">
        <v>2.4</v>
      </c>
      <c r="BJ525">
        <v>31</v>
      </c>
      <c r="BK525">
        <v>0</v>
      </c>
      <c r="BL525">
        <v>0</v>
      </c>
      <c r="BM525">
        <v>0</v>
      </c>
      <c r="BN525">
        <v>5</v>
      </c>
      <c r="BO525">
        <v>2.4</v>
      </c>
      <c r="BP525">
        <v>36</v>
      </c>
      <c r="BQ525">
        <v>0</v>
      </c>
      <c r="BR525">
        <v>0</v>
      </c>
      <c r="BS525">
        <v>0</v>
      </c>
      <c r="BT525">
        <v>5</v>
      </c>
      <c r="BU525">
        <v>2.2999999999999998</v>
      </c>
    </row>
    <row r="526" spans="1:73" x14ac:dyDescent="0.15">
      <c r="A526" s="11">
        <v>10523</v>
      </c>
      <c r="B526">
        <v>7</v>
      </c>
      <c r="C526" s="1">
        <v>47</v>
      </c>
      <c r="D526">
        <v>0</v>
      </c>
      <c r="E526">
        <v>0</v>
      </c>
      <c r="F526">
        <v>1</v>
      </c>
      <c r="G526" s="7">
        <v>0.05</v>
      </c>
      <c r="H526">
        <v>12</v>
      </c>
      <c r="I526">
        <v>0</v>
      </c>
      <c r="J526">
        <v>0</v>
      </c>
      <c r="K526">
        <v>0</v>
      </c>
      <c r="L526">
        <v>1</v>
      </c>
      <c r="M526">
        <v>2</v>
      </c>
      <c r="N526" s="7">
        <v>9</v>
      </c>
      <c r="O526" s="7">
        <v>0</v>
      </c>
      <c r="P526" s="7">
        <v>0</v>
      </c>
      <c r="Q526" s="7">
        <v>0</v>
      </c>
      <c r="R526" s="7">
        <v>1</v>
      </c>
      <c r="S526" s="7">
        <v>4.5</v>
      </c>
      <c r="T526">
        <v>7</v>
      </c>
      <c r="U526" s="1">
        <v>35</v>
      </c>
      <c r="V526">
        <v>0</v>
      </c>
      <c r="W526">
        <v>0</v>
      </c>
      <c r="X526">
        <v>1</v>
      </c>
      <c r="Y526">
        <v>0.16</v>
      </c>
      <c r="Z526">
        <v>23</v>
      </c>
      <c r="AA526">
        <v>0</v>
      </c>
      <c r="AB526">
        <v>0</v>
      </c>
      <c r="AC526">
        <v>0</v>
      </c>
      <c r="AD526">
        <v>1</v>
      </c>
      <c r="AE526">
        <v>0.05</v>
      </c>
      <c r="AF526">
        <v>15</v>
      </c>
      <c r="AG526">
        <v>0</v>
      </c>
      <c r="AH526">
        <v>0</v>
      </c>
      <c r="AI526">
        <v>0</v>
      </c>
      <c r="AJ526">
        <v>1</v>
      </c>
      <c r="AK526">
        <v>0.02</v>
      </c>
      <c r="AL526">
        <v>16</v>
      </c>
      <c r="AM526">
        <v>0</v>
      </c>
      <c r="AN526">
        <v>0</v>
      </c>
      <c r="AO526">
        <v>0</v>
      </c>
      <c r="AP526">
        <v>1</v>
      </c>
      <c r="AQ526">
        <v>0.01</v>
      </c>
      <c r="AX526">
        <v>7</v>
      </c>
      <c r="AY526" s="1">
        <v>19</v>
      </c>
      <c r="AZ526">
        <v>0</v>
      </c>
      <c r="BA526">
        <v>0</v>
      </c>
      <c r="BB526">
        <v>1</v>
      </c>
      <c r="BC526" s="7">
        <v>0.32</v>
      </c>
      <c r="BD526">
        <v>30</v>
      </c>
      <c r="BE526">
        <v>0</v>
      </c>
      <c r="BF526">
        <v>0</v>
      </c>
      <c r="BG526">
        <v>0</v>
      </c>
      <c r="BH526">
        <v>5</v>
      </c>
      <c r="BI526">
        <v>2.4</v>
      </c>
      <c r="BJ526">
        <v>31</v>
      </c>
      <c r="BK526">
        <v>0</v>
      </c>
      <c r="BL526">
        <v>0</v>
      </c>
      <c r="BM526">
        <v>0</v>
      </c>
      <c r="BN526">
        <v>5</v>
      </c>
      <c r="BO526">
        <v>2.4</v>
      </c>
      <c r="BP526">
        <v>36</v>
      </c>
      <c r="BQ526">
        <v>0</v>
      </c>
      <c r="BR526">
        <v>0</v>
      </c>
      <c r="BS526">
        <v>0</v>
      </c>
      <c r="BT526">
        <v>5</v>
      </c>
      <c r="BU526">
        <v>2.2999999999999998</v>
      </c>
    </row>
    <row r="527" spans="1:73" x14ac:dyDescent="0.15">
      <c r="A527" s="11">
        <v>10524</v>
      </c>
      <c r="B527">
        <v>7</v>
      </c>
      <c r="C527" s="1">
        <v>48</v>
      </c>
      <c r="D527">
        <v>0</v>
      </c>
      <c r="E527">
        <v>0</v>
      </c>
      <c r="F527">
        <v>1</v>
      </c>
      <c r="G527" s="7">
        <v>0.05</v>
      </c>
      <c r="H527">
        <v>12</v>
      </c>
      <c r="I527">
        <v>0</v>
      </c>
      <c r="J527">
        <v>0</v>
      </c>
      <c r="K527">
        <v>0</v>
      </c>
      <c r="L527">
        <v>1</v>
      </c>
      <c r="M527">
        <v>2</v>
      </c>
      <c r="N527" s="7">
        <v>9</v>
      </c>
      <c r="O527" s="7">
        <v>0</v>
      </c>
      <c r="P527" s="7">
        <v>0</v>
      </c>
      <c r="Q527" s="7">
        <v>0</v>
      </c>
      <c r="R527" s="7">
        <v>1</v>
      </c>
      <c r="S527" s="7">
        <v>4.5</v>
      </c>
      <c r="T527">
        <v>7</v>
      </c>
      <c r="U527" s="1">
        <v>36</v>
      </c>
      <c r="V527">
        <v>0</v>
      </c>
      <c r="W527">
        <v>0</v>
      </c>
      <c r="X527">
        <v>1</v>
      </c>
      <c r="Y527">
        <v>0.16</v>
      </c>
      <c r="Z527">
        <v>23</v>
      </c>
      <c r="AA527">
        <v>0</v>
      </c>
      <c r="AB527">
        <v>0</v>
      </c>
      <c r="AC527">
        <v>0</v>
      </c>
      <c r="AD527">
        <v>1</v>
      </c>
      <c r="AE527">
        <v>0.05</v>
      </c>
      <c r="AF527">
        <v>15</v>
      </c>
      <c r="AG527">
        <v>0</v>
      </c>
      <c r="AH527">
        <v>0</v>
      </c>
      <c r="AI527">
        <v>0</v>
      </c>
      <c r="AJ527">
        <v>1</v>
      </c>
      <c r="AK527">
        <v>0.02</v>
      </c>
      <c r="AL527">
        <v>16</v>
      </c>
      <c r="AM527">
        <v>0</v>
      </c>
      <c r="AN527">
        <v>0</v>
      </c>
      <c r="AO527">
        <v>0</v>
      </c>
      <c r="AP527">
        <v>1</v>
      </c>
      <c r="AQ527">
        <v>0.01</v>
      </c>
      <c r="AX527">
        <v>7</v>
      </c>
      <c r="AY527" s="1">
        <v>20</v>
      </c>
      <c r="AZ527">
        <v>0</v>
      </c>
      <c r="BA527">
        <v>0</v>
      </c>
      <c r="BB527">
        <v>1</v>
      </c>
      <c r="BC527" s="7">
        <v>0.32</v>
      </c>
      <c r="BD527">
        <v>30</v>
      </c>
      <c r="BE527">
        <v>0</v>
      </c>
      <c r="BF527">
        <v>0</v>
      </c>
      <c r="BG527">
        <v>0</v>
      </c>
      <c r="BH527">
        <v>5</v>
      </c>
      <c r="BI527">
        <v>2.4</v>
      </c>
      <c r="BJ527">
        <v>31</v>
      </c>
      <c r="BK527">
        <v>0</v>
      </c>
      <c r="BL527">
        <v>0</v>
      </c>
      <c r="BM527">
        <v>0</v>
      </c>
      <c r="BN527">
        <v>5</v>
      </c>
      <c r="BO527">
        <v>2.4</v>
      </c>
      <c r="BP527">
        <v>36</v>
      </c>
      <c r="BQ527">
        <v>0</v>
      </c>
      <c r="BR527">
        <v>0</v>
      </c>
      <c r="BS527">
        <v>0</v>
      </c>
      <c r="BT527">
        <v>5</v>
      </c>
      <c r="BU527">
        <v>2.2999999999999998</v>
      </c>
    </row>
    <row r="528" spans="1:73" x14ac:dyDescent="0.15">
      <c r="A528" s="11">
        <v>10525</v>
      </c>
      <c r="B528">
        <v>7</v>
      </c>
      <c r="C528" s="1">
        <v>0</v>
      </c>
      <c r="D528">
        <v>5</v>
      </c>
      <c r="E528">
        <v>1</v>
      </c>
      <c r="F528">
        <v>1</v>
      </c>
      <c r="G528" s="7">
        <v>0.05</v>
      </c>
      <c r="H528">
        <v>12</v>
      </c>
      <c r="I528">
        <v>0</v>
      </c>
      <c r="J528">
        <v>0</v>
      </c>
      <c r="K528">
        <v>0</v>
      </c>
      <c r="L528">
        <v>1</v>
      </c>
      <c r="M528">
        <v>2</v>
      </c>
      <c r="N528" s="7">
        <v>9</v>
      </c>
      <c r="O528" s="7">
        <v>0</v>
      </c>
      <c r="P528" s="7">
        <v>0</v>
      </c>
      <c r="Q528" s="7">
        <v>0</v>
      </c>
      <c r="R528" s="7">
        <v>1</v>
      </c>
      <c r="S528" s="7">
        <v>4.5</v>
      </c>
      <c r="T528">
        <v>7</v>
      </c>
      <c r="U528" s="1">
        <v>0</v>
      </c>
      <c r="V528">
        <v>4</v>
      </c>
      <c r="W528">
        <v>2</v>
      </c>
      <c r="X528">
        <v>1</v>
      </c>
      <c r="Y528">
        <v>0.16</v>
      </c>
      <c r="Z528">
        <v>23</v>
      </c>
      <c r="AA528">
        <v>0</v>
      </c>
      <c r="AB528">
        <v>0</v>
      </c>
      <c r="AC528">
        <v>0</v>
      </c>
      <c r="AD528">
        <v>1</v>
      </c>
      <c r="AE528">
        <v>0.05</v>
      </c>
      <c r="AF528">
        <v>15</v>
      </c>
      <c r="AG528">
        <v>0</v>
      </c>
      <c r="AH528">
        <v>0</v>
      </c>
      <c r="AI528">
        <v>0</v>
      </c>
      <c r="AJ528">
        <v>1</v>
      </c>
      <c r="AK528">
        <v>0.02</v>
      </c>
      <c r="AL528">
        <v>16</v>
      </c>
      <c r="AM528">
        <v>0</v>
      </c>
      <c r="AN528">
        <v>0</v>
      </c>
      <c r="AO528">
        <v>0</v>
      </c>
      <c r="AP528">
        <v>1</v>
      </c>
      <c r="AQ528">
        <v>0.01</v>
      </c>
      <c r="AR528">
        <v>6</v>
      </c>
      <c r="AS528">
        <v>2</v>
      </c>
      <c r="AT528">
        <v>5</v>
      </c>
      <c r="AU528">
        <v>5</v>
      </c>
      <c r="AV528">
        <v>1</v>
      </c>
      <c r="AW528">
        <v>0.01</v>
      </c>
      <c r="AX528">
        <v>7</v>
      </c>
      <c r="AY528" s="1">
        <v>0</v>
      </c>
      <c r="AZ528">
        <v>3</v>
      </c>
      <c r="BA528">
        <v>1</v>
      </c>
      <c r="BB528">
        <v>1</v>
      </c>
      <c r="BC528" s="7">
        <v>0.32</v>
      </c>
      <c r="BD528">
        <v>30</v>
      </c>
      <c r="BE528">
        <v>0</v>
      </c>
      <c r="BF528">
        <v>0</v>
      </c>
      <c r="BG528">
        <v>0</v>
      </c>
      <c r="BH528">
        <v>5</v>
      </c>
      <c r="BI528">
        <v>2.4</v>
      </c>
      <c r="BJ528">
        <v>31</v>
      </c>
      <c r="BK528">
        <v>0</v>
      </c>
      <c r="BL528">
        <v>0</v>
      </c>
      <c r="BM528">
        <v>0</v>
      </c>
      <c r="BN528">
        <v>5</v>
      </c>
      <c r="BO528">
        <v>2.4</v>
      </c>
      <c r="BP528">
        <v>36</v>
      </c>
      <c r="BQ528">
        <v>0</v>
      </c>
      <c r="BR528">
        <v>0</v>
      </c>
      <c r="BS528">
        <v>0</v>
      </c>
      <c r="BT528">
        <v>5</v>
      </c>
      <c r="BU528">
        <v>2.2999999999999998</v>
      </c>
    </row>
    <row r="529" spans="1:73" x14ac:dyDescent="0.15">
      <c r="A529" s="11">
        <v>10526</v>
      </c>
      <c r="B529">
        <v>7</v>
      </c>
      <c r="C529" s="1">
        <v>45</v>
      </c>
      <c r="D529">
        <v>0</v>
      </c>
      <c r="E529">
        <v>0</v>
      </c>
      <c r="F529">
        <v>1</v>
      </c>
      <c r="G529" s="7">
        <v>0.05</v>
      </c>
      <c r="H529">
        <v>12</v>
      </c>
      <c r="I529">
        <v>0</v>
      </c>
      <c r="J529">
        <v>0</v>
      </c>
      <c r="K529">
        <v>0</v>
      </c>
      <c r="L529">
        <v>1</v>
      </c>
      <c r="M529">
        <v>2</v>
      </c>
      <c r="N529" s="7">
        <v>9</v>
      </c>
      <c r="O529" s="7">
        <v>0</v>
      </c>
      <c r="P529" s="7">
        <v>0</v>
      </c>
      <c r="Q529" s="7">
        <v>0</v>
      </c>
      <c r="R529" s="7">
        <v>1</v>
      </c>
      <c r="S529" s="7">
        <v>4.5</v>
      </c>
      <c r="T529">
        <v>7</v>
      </c>
      <c r="U529" s="1">
        <v>33</v>
      </c>
      <c r="V529">
        <v>0</v>
      </c>
      <c r="W529">
        <v>0</v>
      </c>
      <c r="X529">
        <v>1</v>
      </c>
      <c r="Y529">
        <v>0.16</v>
      </c>
      <c r="Z529">
        <v>23</v>
      </c>
      <c r="AA529">
        <v>0</v>
      </c>
      <c r="AB529">
        <v>0</v>
      </c>
      <c r="AC529">
        <v>0</v>
      </c>
      <c r="AD529">
        <v>1</v>
      </c>
      <c r="AE529">
        <v>0.05</v>
      </c>
      <c r="AF529">
        <v>15</v>
      </c>
      <c r="AG529">
        <v>0</v>
      </c>
      <c r="AH529">
        <v>0</v>
      </c>
      <c r="AI529">
        <v>0</v>
      </c>
      <c r="AJ529">
        <v>1</v>
      </c>
      <c r="AK529">
        <v>0.02</v>
      </c>
      <c r="AL529">
        <v>16</v>
      </c>
      <c r="AM529">
        <v>0</v>
      </c>
      <c r="AN529">
        <v>0</v>
      </c>
      <c r="AO529">
        <v>0</v>
      </c>
      <c r="AP529">
        <v>1</v>
      </c>
      <c r="AQ529">
        <v>0.01</v>
      </c>
      <c r="AX529">
        <v>7</v>
      </c>
      <c r="AY529" s="1">
        <v>17</v>
      </c>
      <c r="AZ529">
        <v>0</v>
      </c>
      <c r="BA529">
        <v>0</v>
      </c>
      <c r="BB529">
        <v>1</v>
      </c>
      <c r="BC529" s="7">
        <v>0.32</v>
      </c>
      <c r="BD529">
        <v>30</v>
      </c>
      <c r="BE529">
        <v>0</v>
      </c>
      <c r="BF529">
        <v>0</v>
      </c>
      <c r="BG529">
        <v>0</v>
      </c>
      <c r="BH529">
        <v>5</v>
      </c>
      <c r="BI529">
        <v>2.4</v>
      </c>
      <c r="BJ529">
        <v>31</v>
      </c>
      <c r="BK529">
        <v>0</v>
      </c>
      <c r="BL529">
        <v>0</v>
      </c>
      <c r="BM529">
        <v>0</v>
      </c>
      <c r="BN529">
        <v>5</v>
      </c>
      <c r="BO529">
        <v>2.4</v>
      </c>
      <c r="BP529">
        <v>36</v>
      </c>
      <c r="BQ529">
        <v>0</v>
      </c>
      <c r="BR529">
        <v>0</v>
      </c>
      <c r="BS529">
        <v>0</v>
      </c>
      <c r="BT529">
        <v>5</v>
      </c>
      <c r="BU529">
        <v>2.2999999999999998</v>
      </c>
    </row>
    <row r="530" spans="1:73" x14ac:dyDescent="0.15">
      <c r="A530" s="11">
        <v>10527</v>
      </c>
      <c r="B530">
        <v>7</v>
      </c>
      <c r="C530" s="1">
        <v>46</v>
      </c>
      <c r="D530">
        <v>0</v>
      </c>
      <c r="E530">
        <v>0</v>
      </c>
      <c r="F530">
        <v>1</v>
      </c>
      <c r="G530" s="7">
        <v>0.05</v>
      </c>
      <c r="H530">
        <v>12</v>
      </c>
      <c r="I530">
        <v>0</v>
      </c>
      <c r="J530">
        <v>0</v>
      </c>
      <c r="K530">
        <v>0</v>
      </c>
      <c r="L530">
        <v>1</v>
      </c>
      <c r="M530">
        <v>2</v>
      </c>
      <c r="N530" s="7">
        <v>9</v>
      </c>
      <c r="O530" s="7">
        <v>0</v>
      </c>
      <c r="P530" s="7">
        <v>0</v>
      </c>
      <c r="Q530" s="7">
        <v>0</v>
      </c>
      <c r="R530" s="7">
        <v>1</v>
      </c>
      <c r="S530" s="7">
        <v>4.5</v>
      </c>
      <c r="T530">
        <v>7</v>
      </c>
      <c r="U530" s="1">
        <v>34</v>
      </c>
      <c r="V530">
        <v>0</v>
      </c>
      <c r="W530">
        <v>0</v>
      </c>
      <c r="X530">
        <v>1</v>
      </c>
      <c r="Y530">
        <v>0.16</v>
      </c>
      <c r="Z530">
        <v>23</v>
      </c>
      <c r="AA530">
        <v>0</v>
      </c>
      <c r="AB530">
        <v>0</v>
      </c>
      <c r="AC530">
        <v>0</v>
      </c>
      <c r="AD530">
        <v>1</v>
      </c>
      <c r="AE530">
        <v>0.05</v>
      </c>
      <c r="AF530">
        <v>15</v>
      </c>
      <c r="AG530">
        <v>0</v>
      </c>
      <c r="AH530">
        <v>0</v>
      </c>
      <c r="AI530">
        <v>0</v>
      </c>
      <c r="AJ530">
        <v>1</v>
      </c>
      <c r="AK530">
        <v>0.02</v>
      </c>
      <c r="AL530">
        <v>16</v>
      </c>
      <c r="AM530">
        <v>0</v>
      </c>
      <c r="AN530">
        <v>0</v>
      </c>
      <c r="AO530">
        <v>0</v>
      </c>
      <c r="AP530">
        <v>1</v>
      </c>
      <c r="AQ530">
        <v>0.01</v>
      </c>
      <c r="AX530">
        <v>7</v>
      </c>
      <c r="AY530" s="1">
        <v>18</v>
      </c>
      <c r="AZ530">
        <v>0</v>
      </c>
      <c r="BA530">
        <v>0</v>
      </c>
      <c r="BB530">
        <v>1</v>
      </c>
      <c r="BC530" s="7">
        <v>0.32</v>
      </c>
      <c r="BD530">
        <v>30</v>
      </c>
      <c r="BE530">
        <v>0</v>
      </c>
      <c r="BF530">
        <v>0</v>
      </c>
      <c r="BG530">
        <v>0</v>
      </c>
      <c r="BH530">
        <v>5</v>
      </c>
      <c r="BI530">
        <v>2.4</v>
      </c>
      <c r="BJ530">
        <v>31</v>
      </c>
      <c r="BK530">
        <v>0</v>
      </c>
      <c r="BL530">
        <v>0</v>
      </c>
      <c r="BM530">
        <v>0</v>
      </c>
      <c r="BN530">
        <v>5</v>
      </c>
      <c r="BO530">
        <v>2.4</v>
      </c>
      <c r="BP530">
        <v>36</v>
      </c>
      <c r="BQ530">
        <v>0</v>
      </c>
      <c r="BR530">
        <v>0</v>
      </c>
      <c r="BS530">
        <v>0</v>
      </c>
      <c r="BT530">
        <v>5</v>
      </c>
      <c r="BU530">
        <v>2.2999999999999998</v>
      </c>
    </row>
    <row r="531" spans="1:73" x14ac:dyDescent="0.15">
      <c r="A531" s="11">
        <v>10528</v>
      </c>
      <c r="B531">
        <v>7</v>
      </c>
      <c r="C531" s="1">
        <v>47</v>
      </c>
      <c r="D531">
        <v>0</v>
      </c>
      <c r="E531">
        <v>0</v>
      </c>
      <c r="F531">
        <v>1</v>
      </c>
      <c r="G531" s="7">
        <v>0.05</v>
      </c>
      <c r="H531">
        <v>12</v>
      </c>
      <c r="I531">
        <v>0</v>
      </c>
      <c r="J531">
        <v>0</v>
      </c>
      <c r="K531">
        <v>0</v>
      </c>
      <c r="L531">
        <v>1</v>
      </c>
      <c r="M531">
        <v>2</v>
      </c>
      <c r="N531" s="7">
        <v>9</v>
      </c>
      <c r="O531" s="7">
        <v>0</v>
      </c>
      <c r="P531" s="7">
        <v>0</v>
      </c>
      <c r="Q531" s="7">
        <v>0</v>
      </c>
      <c r="R531" s="7">
        <v>1</v>
      </c>
      <c r="S531" s="7">
        <v>4.5</v>
      </c>
      <c r="T531">
        <v>7</v>
      </c>
      <c r="U531" s="1">
        <v>35</v>
      </c>
      <c r="V531">
        <v>0</v>
      </c>
      <c r="W531">
        <v>0</v>
      </c>
      <c r="X531">
        <v>1</v>
      </c>
      <c r="Y531">
        <v>0.16</v>
      </c>
      <c r="Z531">
        <v>23</v>
      </c>
      <c r="AA531">
        <v>0</v>
      </c>
      <c r="AB531">
        <v>0</v>
      </c>
      <c r="AC531">
        <v>0</v>
      </c>
      <c r="AD531">
        <v>1</v>
      </c>
      <c r="AE531">
        <v>0.05</v>
      </c>
      <c r="AF531">
        <v>15</v>
      </c>
      <c r="AG531">
        <v>0</v>
      </c>
      <c r="AH531">
        <v>0</v>
      </c>
      <c r="AI531">
        <v>0</v>
      </c>
      <c r="AJ531">
        <v>1</v>
      </c>
      <c r="AK531">
        <v>0.02</v>
      </c>
      <c r="AL531">
        <v>16</v>
      </c>
      <c r="AM531">
        <v>0</v>
      </c>
      <c r="AN531">
        <v>0</v>
      </c>
      <c r="AO531">
        <v>0</v>
      </c>
      <c r="AP531">
        <v>1</v>
      </c>
      <c r="AQ531">
        <v>0.01</v>
      </c>
      <c r="AX531">
        <v>7</v>
      </c>
      <c r="AY531" s="1">
        <v>19</v>
      </c>
      <c r="AZ531">
        <v>0</v>
      </c>
      <c r="BA531">
        <v>0</v>
      </c>
      <c r="BB531">
        <v>1</v>
      </c>
      <c r="BC531" s="7">
        <v>0.32</v>
      </c>
      <c r="BD531">
        <v>30</v>
      </c>
      <c r="BE531">
        <v>0</v>
      </c>
      <c r="BF531">
        <v>0</v>
      </c>
      <c r="BG531">
        <v>0</v>
      </c>
      <c r="BH531">
        <v>5</v>
      </c>
      <c r="BI531">
        <v>2.4</v>
      </c>
      <c r="BJ531">
        <v>31</v>
      </c>
      <c r="BK531">
        <v>0</v>
      </c>
      <c r="BL531">
        <v>0</v>
      </c>
      <c r="BM531">
        <v>0</v>
      </c>
      <c r="BN531">
        <v>5</v>
      </c>
      <c r="BO531">
        <v>2.4</v>
      </c>
      <c r="BP531">
        <v>36</v>
      </c>
      <c r="BQ531">
        <v>0</v>
      </c>
      <c r="BR531">
        <v>0</v>
      </c>
      <c r="BS531">
        <v>0</v>
      </c>
      <c r="BT531">
        <v>5</v>
      </c>
      <c r="BU531">
        <v>2.2999999999999998</v>
      </c>
    </row>
    <row r="532" spans="1:73" x14ac:dyDescent="0.15">
      <c r="A532" s="11">
        <v>10529</v>
      </c>
      <c r="B532">
        <v>7</v>
      </c>
      <c r="C532" s="1">
        <v>48</v>
      </c>
      <c r="D532">
        <v>0</v>
      </c>
      <c r="E532">
        <v>0</v>
      </c>
      <c r="F532">
        <v>1</v>
      </c>
      <c r="G532" s="7">
        <v>0.05</v>
      </c>
      <c r="H532">
        <v>12</v>
      </c>
      <c r="I532">
        <v>0</v>
      </c>
      <c r="J532">
        <v>0</v>
      </c>
      <c r="K532">
        <v>0</v>
      </c>
      <c r="L532">
        <v>1</v>
      </c>
      <c r="M532">
        <v>2</v>
      </c>
      <c r="N532" s="7">
        <v>9</v>
      </c>
      <c r="O532" s="7">
        <v>0</v>
      </c>
      <c r="P532" s="7">
        <v>0</v>
      </c>
      <c r="Q532" s="7">
        <v>0</v>
      </c>
      <c r="R532" s="7">
        <v>1</v>
      </c>
      <c r="S532" s="7">
        <v>4.5</v>
      </c>
      <c r="T532">
        <v>7</v>
      </c>
      <c r="U532" s="1">
        <v>36</v>
      </c>
      <c r="V532">
        <v>0</v>
      </c>
      <c r="W532">
        <v>0</v>
      </c>
      <c r="X532">
        <v>1</v>
      </c>
      <c r="Y532">
        <v>0.16</v>
      </c>
      <c r="Z532">
        <v>23</v>
      </c>
      <c r="AA532">
        <v>0</v>
      </c>
      <c r="AB532">
        <v>0</v>
      </c>
      <c r="AC532">
        <v>0</v>
      </c>
      <c r="AD532">
        <v>1</v>
      </c>
      <c r="AE532">
        <v>0.05</v>
      </c>
      <c r="AF532">
        <v>15</v>
      </c>
      <c r="AG532">
        <v>0</v>
      </c>
      <c r="AH532">
        <v>0</v>
      </c>
      <c r="AI532">
        <v>0</v>
      </c>
      <c r="AJ532">
        <v>1</v>
      </c>
      <c r="AK532">
        <v>0.02</v>
      </c>
      <c r="AL532">
        <v>16</v>
      </c>
      <c r="AM532">
        <v>0</v>
      </c>
      <c r="AN532">
        <v>0</v>
      </c>
      <c r="AO532">
        <v>0</v>
      </c>
      <c r="AP532">
        <v>1</v>
      </c>
      <c r="AQ532">
        <v>0.01</v>
      </c>
      <c r="AX532">
        <v>7</v>
      </c>
      <c r="AY532" s="1">
        <v>20</v>
      </c>
      <c r="AZ532">
        <v>0</v>
      </c>
      <c r="BA532">
        <v>0</v>
      </c>
      <c r="BB532">
        <v>1</v>
      </c>
      <c r="BC532" s="7">
        <v>0.32</v>
      </c>
      <c r="BD532">
        <v>30</v>
      </c>
      <c r="BE532">
        <v>0</v>
      </c>
      <c r="BF532">
        <v>0</v>
      </c>
      <c r="BG532">
        <v>0</v>
      </c>
      <c r="BH532">
        <v>5</v>
      </c>
      <c r="BI532">
        <v>2.4</v>
      </c>
      <c r="BJ532">
        <v>31</v>
      </c>
      <c r="BK532">
        <v>0</v>
      </c>
      <c r="BL532">
        <v>0</v>
      </c>
      <c r="BM532">
        <v>0</v>
      </c>
      <c r="BN532">
        <v>5</v>
      </c>
      <c r="BO532">
        <v>2.4</v>
      </c>
      <c r="BP532">
        <v>36</v>
      </c>
      <c r="BQ532">
        <v>0</v>
      </c>
      <c r="BR532">
        <v>0</v>
      </c>
      <c r="BS532">
        <v>0</v>
      </c>
      <c r="BT532">
        <v>5</v>
      </c>
      <c r="BU532">
        <v>2.2999999999999998</v>
      </c>
    </row>
    <row r="533" spans="1:73" x14ac:dyDescent="0.15">
      <c r="A533" s="11">
        <v>10530</v>
      </c>
      <c r="B533">
        <v>7</v>
      </c>
      <c r="C533" s="1">
        <v>0</v>
      </c>
      <c r="D533">
        <v>5</v>
      </c>
      <c r="E533">
        <v>1</v>
      </c>
      <c r="F533">
        <v>1</v>
      </c>
      <c r="G533" s="7">
        <v>0.05</v>
      </c>
      <c r="H533">
        <v>12</v>
      </c>
      <c r="I533">
        <v>0</v>
      </c>
      <c r="J533">
        <v>0</v>
      </c>
      <c r="K533">
        <v>0</v>
      </c>
      <c r="L533">
        <v>1</v>
      </c>
      <c r="M533">
        <v>2</v>
      </c>
      <c r="N533" s="7">
        <v>9</v>
      </c>
      <c r="O533" s="7">
        <v>0</v>
      </c>
      <c r="P533" s="7">
        <v>0</v>
      </c>
      <c r="Q533" s="7">
        <v>0</v>
      </c>
      <c r="R533" s="7">
        <v>1</v>
      </c>
      <c r="S533" s="7">
        <v>4.5</v>
      </c>
      <c r="T533">
        <v>7</v>
      </c>
      <c r="U533" s="1">
        <v>0</v>
      </c>
      <c r="V533">
        <v>4</v>
      </c>
      <c r="W533">
        <v>2</v>
      </c>
      <c r="X533">
        <v>1</v>
      </c>
      <c r="Y533">
        <v>0.16</v>
      </c>
      <c r="Z533">
        <v>23</v>
      </c>
      <c r="AA533">
        <v>0</v>
      </c>
      <c r="AB533">
        <v>0</v>
      </c>
      <c r="AC533">
        <v>0</v>
      </c>
      <c r="AD533">
        <v>1</v>
      </c>
      <c r="AE533">
        <v>0.05</v>
      </c>
      <c r="AF533">
        <v>15</v>
      </c>
      <c r="AG533">
        <v>0</v>
      </c>
      <c r="AH533">
        <v>0</v>
      </c>
      <c r="AI533">
        <v>0</v>
      </c>
      <c r="AJ533">
        <v>1</v>
      </c>
      <c r="AK533">
        <v>0.02</v>
      </c>
      <c r="AL533">
        <v>16</v>
      </c>
      <c r="AM533">
        <v>0</v>
      </c>
      <c r="AN533">
        <v>0</v>
      </c>
      <c r="AO533">
        <v>0</v>
      </c>
      <c r="AP533">
        <v>1</v>
      </c>
      <c r="AQ533">
        <v>0.01</v>
      </c>
      <c r="AR533">
        <v>6</v>
      </c>
      <c r="AS533">
        <v>2</v>
      </c>
      <c r="AT533">
        <v>1</v>
      </c>
      <c r="AU533">
        <v>5</v>
      </c>
      <c r="AV533">
        <v>1</v>
      </c>
      <c r="AW533">
        <v>0.05</v>
      </c>
      <c r="AX533">
        <v>7</v>
      </c>
      <c r="AY533" s="1">
        <v>0</v>
      </c>
      <c r="AZ533">
        <v>3</v>
      </c>
      <c r="BA533">
        <v>1</v>
      </c>
      <c r="BB533">
        <v>1</v>
      </c>
      <c r="BC533" s="7">
        <v>0.32</v>
      </c>
      <c r="BD533">
        <v>30</v>
      </c>
      <c r="BE533">
        <v>0</v>
      </c>
      <c r="BF533">
        <v>0</v>
      </c>
      <c r="BG533">
        <v>0</v>
      </c>
      <c r="BH533">
        <v>5</v>
      </c>
      <c r="BI533">
        <v>2.4</v>
      </c>
      <c r="BJ533">
        <v>31</v>
      </c>
      <c r="BK533">
        <v>0</v>
      </c>
      <c r="BL533">
        <v>0</v>
      </c>
      <c r="BM533">
        <v>0</v>
      </c>
      <c r="BN533">
        <v>5</v>
      </c>
      <c r="BO533">
        <v>2.4</v>
      </c>
      <c r="BP533">
        <v>36</v>
      </c>
      <c r="BQ533">
        <v>0</v>
      </c>
      <c r="BR533">
        <v>0</v>
      </c>
      <c r="BS533">
        <v>0</v>
      </c>
      <c r="BT533">
        <v>5</v>
      </c>
      <c r="BU533">
        <v>2.2999999999999998</v>
      </c>
    </row>
    <row r="534" spans="1:73" x14ac:dyDescent="0.15">
      <c r="A534" s="11">
        <v>10531</v>
      </c>
      <c r="B534">
        <v>7</v>
      </c>
      <c r="C534" s="1">
        <v>45</v>
      </c>
      <c r="D534">
        <v>0</v>
      </c>
      <c r="E534">
        <v>0</v>
      </c>
      <c r="F534">
        <v>1</v>
      </c>
      <c r="G534" s="7">
        <v>0.05</v>
      </c>
      <c r="H534">
        <v>12</v>
      </c>
      <c r="I534">
        <v>0</v>
      </c>
      <c r="J534">
        <v>0</v>
      </c>
      <c r="K534">
        <v>0</v>
      </c>
      <c r="L534">
        <v>1</v>
      </c>
      <c r="M534">
        <v>2</v>
      </c>
      <c r="N534" s="7">
        <v>9</v>
      </c>
      <c r="O534" s="7">
        <v>0</v>
      </c>
      <c r="P534" s="7">
        <v>0</v>
      </c>
      <c r="Q534" s="7">
        <v>0</v>
      </c>
      <c r="R534" s="7">
        <v>1</v>
      </c>
      <c r="S534" s="7">
        <v>4.5</v>
      </c>
      <c r="T534">
        <v>7</v>
      </c>
      <c r="U534" s="1">
        <v>33</v>
      </c>
      <c r="V534">
        <v>0</v>
      </c>
      <c r="W534">
        <v>0</v>
      </c>
      <c r="X534">
        <v>1</v>
      </c>
      <c r="Y534">
        <v>0.16</v>
      </c>
      <c r="Z534">
        <v>23</v>
      </c>
      <c r="AA534">
        <v>0</v>
      </c>
      <c r="AB534">
        <v>0</v>
      </c>
      <c r="AC534">
        <v>0</v>
      </c>
      <c r="AD534">
        <v>1</v>
      </c>
      <c r="AE534">
        <v>0.05</v>
      </c>
      <c r="AF534">
        <v>15</v>
      </c>
      <c r="AG534">
        <v>0</v>
      </c>
      <c r="AH534">
        <v>0</v>
      </c>
      <c r="AI534">
        <v>0</v>
      </c>
      <c r="AJ534">
        <v>1</v>
      </c>
      <c r="AK534">
        <v>0.02</v>
      </c>
      <c r="AL534">
        <v>16</v>
      </c>
      <c r="AM534">
        <v>0</v>
      </c>
      <c r="AN534">
        <v>0</v>
      </c>
      <c r="AO534">
        <v>0</v>
      </c>
      <c r="AP534">
        <v>1</v>
      </c>
      <c r="AQ534">
        <v>0.01</v>
      </c>
      <c r="AX534">
        <v>7</v>
      </c>
      <c r="AY534" s="1">
        <v>17</v>
      </c>
      <c r="AZ534">
        <v>0</v>
      </c>
      <c r="BA534">
        <v>0</v>
      </c>
      <c r="BB534">
        <v>1</v>
      </c>
      <c r="BC534" s="7">
        <v>0.32</v>
      </c>
      <c r="BD534">
        <v>30</v>
      </c>
      <c r="BE534">
        <v>0</v>
      </c>
      <c r="BF534">
        <v>0</v>
      </c>
      <c r="BG534">
        <v>0</v>
      </c>
      <c r="BH534">
        <v>5</v>
      </c>
      <c r="BI534">
        <v>2.4</v>
      </c>
      <c r="BJ534">
        <v>31</v>
      </c>
      <c r="BK534">
        <v>0</v>
      </c>
      <c r="BL534">
        <v>0</v>
      </c>
      <c r="BM534">
        <v>0</v>
      </c>
      <c r="BN534">
        <v>5</v>
      </c>
      <c r="BO534">
        <v>2.4</v>
      </c>
      <c r="BP534">
        <v>36</v>
      </c>
      <c r="BQ534">
        <v>0</v>
      </c>
      <c r="BR534">
        <v>0</v>
      </c>
      <c r="BS534">
        <v>0</v>
      </c>
      <c r="BT534">
        <v>5</v>
      </c>
      <c r="BU534">
        <v>2.2999999999999998</v>
      </c>
    </row>
    <row r="535" spans="1:73" x14ac:dyDescent="0.15">
      <c r="A535" s="11">
        <v>10532</v>
      </c>
      <c r="B535">
        <v>7</v>
      </c>
      <c r="C535" s="1">
        <v>46</v>
      </c>
      <c r="D535">
        <v>0</v>
      </c>
      <c r="E535">
        <v>0</v>
      </c>
      <c r="F535">
        <v>1</v>
      </c>
      <c r="G535" s="7">
        <v>0.05</v>
      </c>
      <c r="H535">
        <v>12</v>
      </c>
      <c r="I535">
        <v>0</v>
      </c>
      <c r="J535">
        <v>0</v>
      </c>
      <c r="K535">
        <v>0</v>
      </c>
      <c r="L535">
        <v>1</v>
      </c>
      <c r="M535">
        <v>2</v>
      </c>
      <c r="N535" s="7">
        <v>9</v>
      </c>
      <c r="O535" s="7">
        <v>0</v>
      </c>
      <c r="P535" s="7">
        <v>0</v>
      </c>
      <c r="Q535" s="7">
        <v>0</v>
      </c>
      <c r="R535" s="7">
        <v>1</v>
      </c>
      <c r="S535" s="7">
        <v>4.5</v>
      </c>
      <c r="T535">
        <v>7</v>
      </c>
      <c r="U535" s="1">
        <v>34</v>
      </c>
      <c r="V535">
        <v>0</v>
      </c>
      <c r="W535">
        <v>0</v>
      </c>
      <c r="X535">
        <v>1</v>
      </c>
      <c r="Y535">
        <v>0.16</v>
      </c>
      <c r="Z535">
        <v>23</v>
      </c>
      <c r="AA535">
        <v>0</v>
      </c>
      <c r="AB535">
        <v>0</v>
      </c>
      <c r="AC535">
        <v>0</v>
      </c>
      <c r="AD535">
        <v>1</v>
      </c>
      <c r="AE535">
        <v>0.05</v>
      </c>
      <c r="AF535">
        <v>15</v>
      </c>
      <c r="AG535">
        <v>0</v>
      </c>
      <c r="AH535">
        <v>0</v>
      </c>
      <c r="AI535">
        <v>0</v>
      </c>
      <c r="AJ535">
        <v>1</v>
      </c>
      <c r="AK535">
        <v>0.02</v>
      </c>
      <c r="AL535">
        <v>16</v>
      </c>
      <c r="AM535">
        <v>0</v>
      </c>
      <c r="AN535">
        <v>0</v>
      </c>
      <c r="AO535">
        <v>0</v>
      </c>
      <c r="AP535">
        <v>1</v>
      </c>
      <c r="AQ535">
        <v>0.01</v>
      </c>
      <c r="AX535">
        <v>7</v>
      </c>
      <c r="AY535" s="1">
        <v>18</v>
      </c>
      <c r="AZ535">
        <v>0</v>
      </c>
      <c r="BA535">
        <v>0</v>
      </c>
      <c r="BB535">
        <v>1</v>
      </c>
      <c r="BC535" s="7">
        <v>0.32</v>
      </c>
      <c r="BD535">
        <v>30</v>
      </c>
      <c r="BE535">
        <v>0</v>
      </c>
      <c r="BF535">
        <v>0</v>
      </c>
      <c r="BG535">
        <v>0</v>
      </c>
      <c r="BH535">
        <v>5</v>
      </c>
      <c r="BI535">
        <v>2.4</v>
      </c>
      <c r="BJ535">
        <v>31</v>
      </c>
      <c r="BK535">
        <v>0</v>
      </c>
      <c r="BL535">
        <v>0</v>
      </c>
      <c r="BM535">
        <v>0</v>
      </c>
      <c r="BN535">
        <v>5</v>
      </c>
      <c r="BO535">
        <v>2.4</v>
      </c>
      <c r="BP535">
        <v>36</v>
      </c>
      <c r="BQ535">
        <v>0</v>
      </c>
      <c r="BR535">
        <v>0</v>
      </c>
      <c r="BS535">
        <v>0</v>
      </c>
      <c r="BT535">
        <v>5</v>
      </c>
      <c r="BU535">
        <v>2.2999999999999998</v>
      </c>
    </row>
    <row r="536" spans="1:73" x14ac:dyDescent="0.15">
      <c r="A536" s="11">
        <v>10533</v>
      </c>
      <c r="B536">
        <v>7</v>
      </c>
      <c r="C536" s="1">
        <v>47</v>
      </c>
      <c r="D536">
        <v>0</v>
      </c>
      <c r="E536">
        <v>0</v>
      </c>
      <c r="F536">
        <v>1</v>
      </c>
      <c r="G536" s="7">
        <v>0.05</v>
      </c>
      <c r="H536">
        <v>12</v>
      </c>
      <c r="I536">
        <v>0</v>
      </c>
      <c r="J536">
        <v>0</v>
      </c>
      <c r="K536">
        <v>0</v>
      </c>
      <c r="L536">
        <v>1</v>
      </c>
      <c r="M536">
        <v>2</v>
      </c>
      <c r="N536" s="7">
        <v>9</v>
      </c>
      <c r="O536" s="7">
        <v>0</v>
      </c>
      <c r="P536" s="7">
        <v>0</v>
      </c>
      <c r="Q536" s="7">
        <v>0</v>
      </c>
      <c r="R536" s="7">
        <v>1</v>
      </c>
      <c r="S536" s="7">
        <v>4.5</v>
      </c>
      <c r="T536">
        <v>7</v>
      </c>
      <c r="U536" s="1">
        <v>35</v>
      </c>
      <c r="V536">
        <v>0</v>
      </c>
      <c r="W536">
        <v>0</v>
      </c>
      <c r="X536">
        <v>1</v>
      </c>
      <c r="Y536">
        <v>0.16</v>
      </c>
      <c r="Z536">
        <v>23</v>
      </c>
      <c r="AA536">
        <v>0</v>
      </c>
      <c r="AB536">
        <v>0</v>
      </c>
      <c r="AC536">
        <v>0</v>
      </c>
      <c r="AD536">
        <v>1</v>
      </c>
      <c r="AE536">
        <v>0.05</v>
      </c>
      <c r="AF536">
        <v>15</v>
      </c>
      <c r="AG536">
        <v>0</v>
      </c>
      <c r="AH536">
        <v>0</v>
      </c>
      <c r="AI536">
        <v>0</v>
      </c>
      <c r="AJ536">
        <v>1</v>
      </c>
      <c r="AK536">
        <v>0.02</v>
      </c>
      <c r="AL536">
        <v>16</v>
      </c>
      <c r="AM536">
        <v>0</v>
      </c>
      <c r="AN536">
        <v>0</v>
      </c>
      <c r="AO536">
        <v>0</v>
      </c>
      <c r="AP536">
        <v>1</v>
      </c>
      <c r="AQ536">
        <v>0.01</v>
      </c>
      <c r="AX536">
        <v>7</v>
      </c>
      <c r="AY536" s="1">
        <v>19</v>
      </c>
      <c r="AZ536">
        <v>0</v>
      </c>
      <c r="BA536">
        <v>0</v>
      </c>
      <c r="BB536">
        <v>1</v>
      </c>
      <c r="BC536" s="7">
        <v>0.32</v>
      </c>
      <c r="BD536">
        <v>30</v>
      </c>
      <c r="BE536">
        <v>0</v>
      </c>
      <c r="BF536">
        <v>0</v>
      </c>
      <c r="BG536">
        <v>0</v>
      </c>
      <c r="BH536">
        <v>5</v>
      </c>
      <c r="BI536">
        <v>2.4</v>
      </c>
      <c r="BJ536">
        <v>31</v>
      </c>
      <c r="BK536">
        <v>0</v>
      </c>
      <c r="BL536">
        <v>0</v>
      </c>
      <c r="BM536">
        <v>0</v>
      </c>
      <c r="BN536">
        <v>5</v>
      </c>
      <c r="BO536">
        <v>2.4</v>
      </c>
      <c r="BP536">
        <v>36</v>
      </c>
      <c r="BQ536">
        <v>0</v>
      </c>
      <c r="BR536">
        <v>0</v>
      </c>
      <c r="BS536">
        <v>0</v>
      </c>
      <c r="BT536">
        <v>5</v>
      </c>
      <c r="BU536">
        <v>2.2999999999999998</v>
      </c>
    </row>
    <row r="537" spans="1:73" x14ac:dyDescent="0.15">
      <c r="A537" s="11">
        <v>10534</v>
      </c>
      <c r="B537">
        <v>7</v>
      </c>
      <c r="C537" s="1">
        <v>48</v>
      </c>
      <c r="D537">
        <v>0</v>
      </c>
      <c r="E537">
        <v>0</v>
      </c>
      <c r="F537">
        <v>1</v>
      </c>
      <c r="G537" s="7">
        <v>0.05</v>
      </c>
      <c r="H537">
        <v>12</v>
      </c>
      <c r="I537">
        <v>0</v>
      </c>
      <c r="J537">
        <v>0</v>
      </c>
      <c r="K537">
        <v>0</v>
      </c>
      <c r="L537">
        <v>1</v>
      </c>
      <c r="M537">
        <v>2</v>
      </c>
      <c r="N537" s="7">
        <v>9</v>
      </c>
      <c r="O537" s="7">
        <v>0</v>
      </c>
      <c r="P537" s="7">
        <v>0</v>
      </c>
      <c r="Q537" s="7">
        <v>0</v>
      </c>
      <c r="R537" s="7">
        <v>1</v>
      </c>
      <c r="S537" s="7">
        <v>4.5</v>
      </c>
      <c r="T537">
        <v>7</v>
      </c>
      <c r="U537" s="1">
        <v>36</v>
      </c>
      <c r="V537">
        <v>0</v>
      </c>
      <c r="W537">
        <v>0</v>
      </c>
      <c r="X537">
        <v>1</v>
      </c>
      <c r="Y537">
        <v>0.16</v>
      </c>
      <c r="Z537">
        <v>23</v>
      </c>
      <c r="AA537">
        <v>0</v>
      </c>
      <c r="AB537">
        <v>0</v>
      </c>
      <c r="AC537">
        <v>0</v>
      </c>
      <c r="AD537">
        <v>1</v>
      </c>
      <c r="AE537">
        <v>0.05</v>
      </c>
      <c r="AF537">
        <v>15</v>
      </c>
      <c r="AG537">
        <v>0</v>
      </c>
      <c r="AH537">
        <v>0</v>
      </c>
      <c r="AI537">
        <v>0</v>
      </c>
      <c r="AJ537">
        <v>1</v>
      </c>
      <c r="AK537">
        <v>0.02</v>
      </c>
      <c r="AL537">
        <v>16</v>
      </c>
      <c r="AM537">
        <v>0</v>
      </c>
      <c r="AN537">
        <v>0</v>
      </c>
      <c r="AO537">
        <v>0</v>
      </c>
      <c r="AP537">
        <v>1</v>
      </c>
      <c r="AQ537">
        <v>0.01</v>
      </c>
      <c r="AX537">
        <v>7</v>
      </c>
      <c r="AY537" s="1">
        <v>20</v>
      </c>
      <c r="AZ537">
        <v>0</v>
      </c>
      <c r="BA537">
        <v>0</v>
      </c>
      <c r="BB537">
        <v>1</v>
      </c>
      <c r="BC537" s="7">
        <v>0.32</v>
      </c>
      <c r="BD537">
        <v>30</v>
      </c>
      <c r="BE537">
        <v>0</v>
      </c>
      <c r="BF537">
        <v>0</v>
      </c>
      <c r="BG537">
        <v>0</v>
      </c>
      <c r="BH537">
        <v>5</v>
      </c>
      <c r="BI537">
        <v>2.4</v>
      </c>
      <c r="BJ537">
        <v>31</v>
      </c>
      <c r="BK537">
        <v>0</v>
      </c>
      <c r="BL537">
        <v>0</v>
      </c>
      <c r="BM537">
        <v>0</v>
      </c>
      <c r="BN537">
        <v>5</v>
      </c>
      <c r="BO537">
        <v>2.4</v>
      </c>
      <c r="BP537">
        <v>36</v>
      </c>
      <c r="BQ537">
        <v>0</v>
      </c>
      <c r="BR537">
        <v>0</v>
      </c>
      <c r="BS537">
        <v>0</v>
      </c>
      <c r="BT537">
        <v>5</v>
      </c>
      <c r="BU537">
        <v>2.2999999999999998</v>
      </c>
    </row>
    <row r="538" spans="1:73" x14ac:dyDescent="0.15">
      <c r="A538" s="11">
        <v>10535</v>
      </c>
      <c r="B538">
        <v>7</v>
      </c>
      <c r="C538" s="1">
        <v>0</v>
      </c>
      <c r="D538">
        <v>5</v>
      </c>
      <c r="E538">
        <v>1</v>
      </c>
      <c r="F538">
        <v>1</v>
      </c>
      <c r="G538" s="7">
        <v>0.05</v>
      </c>
      <c r="H538">
        <v>12</v>
      </c>
      <c r="I538">
        <v>0</v>
      </c>
      <c r="J538">
        <v>0</v>
      </c>
      <c r="K538">
        <v>0</v>
      </c>
      <c r="L538">
        <v>1</v>
      </c>
      <c r="M538">
        <v>2</v>
      </c>
      <c r="N538" s="7">
        <v>9</v>
      </c>
      <c r="O538" s="7">
        <v>0</v>
      </c>
      <c r="P538" s="7">
        <v>0</v>
      </c>
      <c r="Q538" s="7">
        <v>0</v>
      </c>
      <c r="R538" s="7">
        <v>1</v>
      </c>
      <c r="S538" s="7">
        <v>4.5</v>
      </c>
      <c r="T538">
        <v>7</v>
      </c>
      <c r="U538" s="1">
        <v>0</v>
      </c>
      <c r="V538">
        <v>4</v>
      </c>
      <c r="W538">
        <v>2</v>
      </c>
      <c r="X538">
        <v>1</v>
      </c>
      <c r="Y538">
        <v>0.16</v>
      </c>
      <c r="Z538">
        <v>23</v>
      </c>
      <c r="AA538">
        <v>0</v>
      </c>
      <c r="AB538">
        <v>0</v>
      </c>
      <c r="AC538">
        <v>0</v>
      </c>
      <c r="AD538">
        <v>1</v>
      </c>
      <c r="AE538">
        <v>0.05</v>
      </c>
      <c r="AF538">
        <v>15</v>
      </c>
      <c r="AG538">
        <v>0</v>
      </c>
      <c r="AH538">
        <v>0</v>
      </c>
      <c r="AI538">
        <v>0</v>
      </c>
      <c r="AJ538">
        <v>1</v>
      </c>
      <c r="AK538">
        <v>0.02</v>
      </c>
      <c r="AL538">
        <v>16</v>
      </c>
      <c r="AM538">
        <v>0</v>
      </c>
      <c r="AN538">
        <v>0</v>
      </c>
      <c r="AO538">
        <v>0</v>
      </c>
      <c r="AP538">
        <v>1</v>
      </c>
      <c r="AQ538">
        <v>0.01</v>
      </c>
      <c r="AR538">
        <v>6</v>
      </c>
      <c r="AS538">
        <v>2</v>
      </c>
      <c r="AT538">
        <v>2</v>
      </c>
      <c r="AU538">
        <v>5</v>
      </c>
      <c r="AV538">
        <v>1</v>
      </c>
      <c r="AW538">
        <v>0.05</v>
      </c>
      <c r="AX538">
        <v>7</v>
      </c>
      <c r="AY538" s="1">
        <v>0</v>
      </c>
      <c r="AZ538">
        <v>3</v>
      </c>
      <c r="BA538">
        <v>1</v>
      </c>
      <c r="BB538">
        <v>1</v>
      </c>
      <c r="BC538" s="7">
        <v>0.32</v>
      </c>
      <c r="BD538">
        <v>30</v>
      </c>
      <c r="BE538">
        <v>0</v>
      </c>
      <c r="BF538">
        <v>0</v>
      </c>
      <c r="BG538">
        <v>0</v>
      </c>
      <c r="BH538">
        <v>5</v>
      </c>
      <c r="BI538">
        <v>2.4</v>
      </c>
      <c r="BJ538">
        <v>31</v>
      </c>
      <c r="BK538">
        <v>0</v>
      </c>
      <c r="BL538">
        <v>0</v>
      </c>
      <c r="BM538">
        <v>0</v>
      </c>
      <c r="BN538">
        <v>5</v>
      </c>
      <c r="BO538">
        <v>2.4</v>
      </c>
      <c r="BP538">
        <v>36</v>
      </c>
      <c r="BQ538">
        <v>0</v>
      </c>
      <c r="BR538">
        <v>0</v>
      </c>
      <c r="BS538">
        <v>0</v>
      </c>
      <c r="BT538">
        <v>5</v>
      </c>
      <c r="BU538">
        <v>2.2999999999999998</v>
      </c>
    </row>
    <row r="539" spans="1:73" x14ac:dyDescent="0.15">
      <c r="A539" s="11">
        <v>10536</v>
      </c>
      <c r="B539">
        <v>7</v>
      </c>
      <c r="C539" s="1">
        <v>45</v>
      </c>
      <c r="D539">
        <v>0</v>
      </c>
      <c r="E539">
        <v>0</v>
      </c>
      <c r="F539">
        <v>1</v>
      </c>
      <c r="G539" s="7">
        <v>0.05</v>
      </c>
      <c r="H539">
        <v>12</v>
      </c>
      <c r="I539">
        <v>0</v>
      </c>
      <c r="J539">
        <v>0</v>
      </c>
      <c r="K539">
        <v>0</v>
      </c>
      <c r="L539">
        <v>1</v>
      </c>
      <c r="M539">
        <v>2</v>
      </c>
      <c r="N539" s="7">
        <v>9</v>
      </c>
      <c r="O539" s="7">
        <v>0</v>
      </c>
      <c r="P539" s="7">
        <v>0</v>
      </c>
      <c r="Q539" s="7">
        <v>0</v>
      </c>
      <c r="R539" s="7">
        <v>1</v>
      </c>
      <c r="S539" s="7">
        <v>4.5</v>
      </c>
      <c r="T539">
        <v>7</v>
      </c>
      <c r="U539" s="1">
        <v>33</v>
      </c>
      <c r="V539">
        <v>0</v>
      </c>
      <c r="W539">
        <v>0</v>
      </c>
      <c r="X539">
        <v>1</v>
      </c>
      <c r="Y539">
        <v>0.16</v>
      </c>
      <c r="Z539">
        <v>23</v>
      </c>
      <c r="AA539">
        <v>0</v>
      </c>
      <c r="AB539">
        <v>0</v>
      </c>
      <c r="AC539">
        <v>0</v>
      </c>
      <c r="AD539">
        <v>1</v>
      </c>
      <c r="AE539">
        <v>0.05</v>
      </c>
      <c r="AF539">
        <v>15</v>
      </c>
      <c r="AG539">
        <v>0</v>
      </c>
      <c r="AH539">
        <v>0</v>
      </c>
      <c r="AI539">
        <v>0</v>
      </c>
      <c r="AJ539">
        <v>1</v>
      </c>
      <c r="AK539">
        <v>0.02</v>
      </c>
      <c r="AL539">
        <v>16</v>
      </c>
      <c r="AM539">
        <v>0</v>
      </c>
      <c r="AN539">
        <v>0</v>
      </c>
      <c r="AO539">
        <v>0</v>
      </c>
      <c r="AP539">
        <v>1</v>
      </c>
      <c r="AQ539">
        <v>0.01</v>
      </c>
      <c r="AX539">
        <v>7</v>
      </c>
      <c r="AY539" s="1">
        <v>17</v>
      </c>
      <c r="AZ539">
        <v>0</v>
      </c>
      <c r="BA539">
        <v>0</v>
      </c>
      <c r="BB539">
        <v>1</v>
      </c>
      <c r="BC539" s="7">
        <v>0.32</v>
      </c>
      <c r="BD539">
        <v>30</v>
      </c>
      <c r="BE539">
        <v>0</v>
      </c>
      <c r="BF539">
        <v>0</v>
      </c>
      <c r="BG539">
        <v>0</v>
      </c>
      <c r="BH539">
        <v>5</v>
      </c>
      <c r="BI539">
        <v>2.4</v>
      </c>
      <c r="BJ539">
        <v>31</v>
      </c>
      <c r="BK539">
        <v>0</v>
      </c>
      <c r="BL539">
        <v>0</v>
      </c>
      <c r="BM539">
        <v>0</v>
      </c>
      <c r="BN539">
        <v>5</v>
      </c>
      <c r="BO539">
        <v>2.4</v>
      </c>
      <c r="BP539">
        <v>36</v>
      </c>
      <c r="BQ539">
        <v>0</v>
      </c>
      <c r="BR539">
        <v>0</v>
      </c>
      <c r="BS539">
        <v>0</v>
      </c>
      <c r="BT539">
        <v>5</v>
      </c>
      <c r="BU539">
        <v>2.2999999999999998</v>
      </c>
    </row>
    <row r="540" spans="1:73" x14ac:dyDescent="0.15">
      <c r="A540" s="11">
        <v>10537</v>
      </c>
      <c r="B540">
        <v>7</v>
      </c>
      <c r="C540" s="1">
        <v>46</v>
      </c>
      <c r="D540">
        <v>0</v>
      </c>
      <c r="E540">
        <v>0</v>
      </c>
      <c r="F540">
        <v>1</v>
      </c>
      <c r="G540" s="7">
        <v>0.05</v>
      </c>
      <c r="H540">
        <v>12</v>
      </c>
      <c r="I540">
        <v>0</v>
      </c>
      <c r="J540">
        <v>0</v>
      </c>
      <c r="K540">
        <v>0</v>
      </c>
      <c r="L540">
        <v>1</v>
      </c>
      <c r="M540">
        <v>2</v>
      </c>
      <c r="N540" s="7">
        <v>9</v>
      </c>
      <c r="O540" s="7">
        <v>0</v>
      </c>
      <c r="P540" s="7">
        <v>0</v>
      </c>
      <c r="Q540" s="7">
        <v>0</v>
      </c>
      <c r="R540" s="7">
        <v>1</v>
      </c>
      <c r="S540" s="7">
        <v>4.5</v>
      </c>
      <c r="T540">
        <v>7</v>
      </c>
      <c r="U540" s="1">
        <v>34</v>
      </c>
      <c r="V540">
        <v>0</v>
      </c>
      <c r="W540">
        <v>0</v>
      </c>
      <c r="X540">
        <v>1</v>
      </c>
      <c r="Y540">
        <v>0.16</v>
      </c>
      <c r="Z540">
        <v>23</v>
      </c>
      <c r="AA540">
        <v>0</v>
      </c>
      <c r="AB540">
        <v>0</v>
      </c>
      <c r="AC540">
        <v>0</v>
      </c>
      <c r="AD540">
        <v>1</v>
      </c>
      <c r="AE540">
        <v>0.05</v>
      </c>
      <c r="AF540">
        <v>15</v>
      </c>
      <c r="AG540">
        <v>0</v>
      </c>
      <c r="AH540">
        <v>0</v>
      </c>
      <c r="AI540">
        <v>0</v>
      </c>
      <c r="AJ540">
        <v>1</v>
      </c>
      <c r="AK540">
        <v>0.02</v>
      </c>
      <c r="AL540">
        <v>16</v>
      </c>
      <c r="AM540">
        <v>0</v>
      </c>
      <c r="AN540">
        <v>0</v>
      </c>
      <c r="AO540">
        <v>0</v>
      </c>
      <c r="AP540">
        <v>1</v>
      </c>
      <c r="AQ540">
        <v>0.01</v>
      </c>
      <c r="AX540">
        <v>7</v>
      </c>
      <c r="AY540" s="1">
        <v>18</v>
      </c>
      <c r="AZ540">
        <v>0</v>
      </c>
      <c r="BA540">
        <v>0</v>
      </c>
      <c r="BB540">
        <v>1</v>
      </c>
      <c r="BC540" s="7">
        <v>0.32</v>
      </c>
      <c r="BD540">
        <v>30</v>
      </c>
      <c r="BE540">
        <v>0</v>
      </c>
      <c r="BF540">
        <v>0</v>
      </c>
      <c r="BG540">
        <v>0</v>
      </c>
      <c r="BH540">
        <v>5</v>
      </c>
      <c r="BI540">
        <v>2.4</v>
      </c>
      <c r="BJ540">
        <v>31</v>
      </c>
      <c r="BK540">
        <v>0</v>
      </c>
      <c r="BL540">
        <v>0</v>
      </c>
      <c r="BM540">
        <v>0</v>
      </c>
      <c r="BN540">
        <v>5</v>
      </c>
      <c r="BO540">
        <v>2.4</v>
      </c>
      <c r="BP540">
        <v>36</v>
      </c>
      <c r="BQ540">
        <v>0</v>
      </c>
      <c r="BR540">
        <v>0</v>
      </c>
      <c r="BS540">
        <v>0</v>
      </c>
      <c r="BT540">
        <v>5</v>
      </c>
      <c r="BU540">
        <v>2.2999999999999998</v>
      </c>
    </row>
    <row r="541" spans="1:73" x14ac:dyDescent="0.15">
      <c r="A541" s="11">
        <v>10538</v>
      </c>
      <c r="B541">
        <v>7</v>
      </c>
      <c r="C541" s="1">
        <v>47</v>
      </c>
      <c r="D541">
        <v>0</v>
      </c>
      <c r="E541">
        <v>0</v>
      </c>
      <c r="F541">
        <v>1</v>
      </c>
      <c r="G541" s="7">
        <v>0.05</v>
      </c>
      <c r="H541">
        <v>12</v>
      </c>
      <c r="I541">
        <v>0</v>
      </c>
      <c r="J541">
        <v>0</v>
      </c>
      <c r="K541">
        <v>0</v>
      </c>
      <c r="L541">
        <v>1</v>
      </c>
      <c r="M541">
        <v>2</v>
      </c>
      <c r="N541" s="7">
        <v>9</v>
      </c>
      <c r="O541" s="7">
        <v>0</v>
      </c>
      <c r="P541" s="7">
        <v>0</v>
      </c>
      <c r="Q541" s="7">
        <v>0</v>
      </c>
      <c r="R541" s="7">
        <v>1</v>
      </c>
      <c r="S541" s="7">
        <v>4.5</v>
      </c>
      <c r="T541">
        <v>7</v>
      </c>
      <c r="U541" s="1">
        <v>35</v>
      </c>
      <c r="V541">
        <v>0</v>
      </c>
      <c r="W541">
        <v>0</v>
      </c>
      <c r="X541">
        <v>1</v>
      </c>
      <c r="Y541">
        <v>0.16</v>
      </c>
      <c r="Z541">
        <v>23</v>
      </c>
      <c r="AA541">
        <v>0</v>
      </c>
      <c r="AB541">
        <v>0</v>
      </c>
      <c r="AC541">
        <v>0</v>
      </c>
      <c r="AD541">
        <v>1</v>
      </c>
      <c r="AE541">
        <v>0.05</v>
      </c>
      <c r="AF541">
        <v>15</v>
      </c>
      <c r="AG541">
        <v>0</v>
      </c>
      <c r="AH541">
        <v>0</v>
      </c>
      <c r="AI541">
        <v>0</v>
      </c>
      <c r="AJ541">
        <v>1</v>
      </c>
      <c r="AK541">
        <v>0.02</v>
      </c>
      <c r="AL541">
        <v>16</v>
      </c>
      <c r="AM541">
        <v>0</v>
      </c>
      <c r="AN541">
        <v>0</v>
      </c>
      <c r="AO541">
        <v>0</v>
      </c>
      <c r="AP541">
        <v>1</v>
      </c>
      <c r="AQ541">
        <v>0.01</v>
      </c>
      <c r="AX541">
        <v>7</v>
      </c>
      <c r="AY541" s="1">
        <v>19</v>
      </c>
      <c r="AZ541">
        <v>0</v>
      </c>
      <c r="BA541">
        <v>0</v>
      </c>
      <c r="BB541">
        <v>1</v>
      </c>
      <c r="BC541" s="7">
        <v>0.32</v>
      </c>
      <c r="BD541">
        <v>30</v>
      </c>
      <c r="BE541">
        <v>0</v>
      </c>
      <c r="BF541">
        <v>0</v>
      </c>
      <c r="BG541">
        <v>0</v>
      </c>
      <c r="BH541">
        <v>5</v>
      </c>
      <c r="BI541">
        <v>2.4</v>
      </c>
      <c r="BJ541">
        <v>31</v>
      </c>
      <c r="BK541">
        <v>0</v>
      </c>
      <c r="BL541">
        <v>0</v>
      </c>
      <c r="BM541">
        <v>0</v>
      </c>
      <c r="BN541">
        <v>5</v>
      </c>
      <c r="BO541">
        <v>2.4</v>
      </c>
      <c r="BP541">
        <v>36</v>
      </c>
      <c r="BQ541">
        <v>0</v>
      </c>
      <c r="BR541">
        <v>0</v>
      </c>
      <c r="BS541">
        <v>0</v>
      </c>
      <c r="BT541">
        <v>5</v>
      </c>
      <c r="BU541">
        <v>2.2999999999999998</v>
      </c>
    </row>
    <row r="542" spans="1:73" x14ac:dyDescent="0.15">
      <c r="A542" s="11">
        <v>10539</v>
      </c>
      <c r="B542">
        <v>7</v>
      </c>
      <c r="C542" s="1">
        <v>48</v>
      </c>
      <c r="D542">
        <v>0</v>
      </c>
      <c r="E542">
        <v>0</v>
      </c>
      <c r="F542">
        <v>1</v>
      </c>
      <c r="G542" s="7">
        <v>0.05</v>
      </c>
      <c r="H542">
        <v>12</v>
      </c>
      <c r="I542">
        <v>0</v>
      </c>
      <c r="J542">
        <v>0</v>
      </c>
      <c r="K542">
        <v>0</v>
      </c>
      <c r="L542">
        <v>1</v>
      </c>
      <c r="M542">
        <v>2</v>
      </c>
      <c r="N542" s="7">
        <v>9</v>
      </c>
      <c r="O542" s="7">
        <v>0</v>
      </c>
      <c r="P542" s="7">
        <v>0</v>
      </c>
      <c r="Q542" s="7">
        <v>0</v>
      </c>
      <c r="R542" s="7">
        <v>1</v>
      </c>
      <c r="S542" s="7">
        <v>4.5</v>
      </c>
      <c r="T542">
        <v>7</v>
      </c>
      <c r="U542" s="1">
        <v>36</v>
      </c>
      <c r="V542">
        <v>0</v>
      </c>
      <c r="W542">
        <v>0</v>
      </c>
      <c r="X542">
        <v>1</v>
      </c>
      <c r="Y542">
        <v>0.16</v>
      </c>
      <c r="Z542">
        <v>23</v>
      </c>
      <c r="AA542">
        <v>0</v>
      </c>
      <c r="AB542">
        <v>0</v>
      </c>
      <c r="AC542">
        <v>0</v>
      </c>
      <c r="AD542">
        <v>1</v>
      </c>
      <c r="AE542">
        <v>0.05</v>
      </c>
      <c r="AF542">
        <v>15</v>
      </c>
      <c r="AG542">
        <v>0</v>
      </c>
      <c r="AH542">
        <v>0</v>
      </c>
      <c r="AI542">
        <v>0</v>
      </c>
      <c r="AJ542">
        <v>1</v>
      </c>
      <c r="AK542">
        <v>0.02</v>
      </c>
      <c r="AL542">
        <v>16</v>
      </c>
      <c r="AM542">
        <v>0</v>
      </c>
      <c r="AN542">
        <v>0</v>
      </c>
      <c r="AO542">
        <v>0</v>
      </c>
      <c r="AP542">
        <v>1</v>
      </c>
      <c r="AQ542">
        <v>0.01</v>
      </c>
      <c r="AX542">
        <v>7</v>
      </c>
      <c r="AY542" s="1">
        <v>20</v>
      </c>
      <c r="AZ542">
        <v>0</v>
      </c>
      <c r="BA542">
        <v>0</v>
      </c>
      <c r="BB542">
        <v>1</v>
      </c>
      <c r="BC542" s="7">
        <v>0.32</v>
      </c>
      <c r="BD542">
        <v>30</v>
      </c>
      <c r="BE542">
        <v>0</v>
      </c>
      <c r="BF542">
        <v>0</v>
      </c>
      <c r="BG542">
        <v>0</v>
      </c>
      <c r="BH542">
        <v>5</v>
      </c>
      <c r="BI542">
        <v>2.4</v>
      </c>
      <c r="BJ542">
        <v>31</v>
      </c>
      <c r="BK542">
        <v>0</v>
      </c>
      <c r="BL542">
        <v>0</v>
      </c>
      <c r="BM542">
        <v>0</v>
      </c>
      <c r="BN542">
        <v>5</v>
      </c>
      <c r="BO542">
        <v>2.4</v>
      </c>
      <c r="BP542">
        <v>36</v>
      </c>
      <c r="BQ542">
        <v>0</v>
      </c>
      <c r="BR542">
        <v>0</v>
      </c>
      <c r="BS542">
        <v>0</v>
      </c>
      <c r="BT542">
        <v>5</v>
      </c>
      <c r="BU542">
        <v>2.2999999999999998</v>
      </c>
    </row>
    <row r="543" spans="1:73" x14ac:dyDescent="0.15">
      <c r="A543" s="11">
        <v>10540</v>
      </c>
      <c r="B543">
        <v>7</v>
      </c>
      <c r="C543" s="1">
        <v>0</v>
      </c>
      <c r="D543">
        <v>5</v>
      </c>
      <c r="E543">
        <v>1</v>
      </c>
      <c r="F543">
        <v>1</v>
      </c>
      <c r="G543" s="7">
        <v>0.05</v>
      </c>
      <c r="H543">
        <v>12</v>
      </c>
      <c r="I543">
        <v>0</v>
      </c>
      <c r="J543">
        <v>0</v>
      </c>
      <c r="K543">
        <v>0</v>
      </c>
      <c r="L543">
        <v>1</v>
      </c>
      <c r="M543">
        <v>2</v>
      </c>
      <c r="N543" s="7">
        <v>9</v>
      </c>
      <c r="O543" s="7">
        <v>0</v>
      </c>
      <c r="P543" s="7">
        <v>0</v>
      </c>
      <c r="Q543" s="7">
        <v>0</v>
      </c>
      <c r="R543" s="7">
        <v>1</v>
      </c>
      <c r="S543" s="7">
        <v>4.5</v>
      </c>
      <c r="T543">
        <v>7</v>
      </c>
      <c r="U543" s="1">
        <v>0</v>
      </c>
      <c r="V543">
        <v>4</v>
      </c>
      <c r="W543">
        <v>2</v>
      </c>
      <c r="X543">
        <v>1</v>
      </c>
      <c r="Y543">
        <v>0.16</v>
      </c>
      <c r="Z543">
        <v>23</v>
      </c>
      <c r="AA543">
        <v>0</v>
      </c>
      <c r="AB543">
        <v>0</v>
      </c>
      <c r="AC543">
        <v>0</v>
      </c>
      <c r="AD543">
        <v>1</v>
      </c>
      <c r="AE543">
        <v>0.05</v>
      </c>
      <c r="AF543">
        <v>15</v>
      </c>
      <c r="AG543">
        <v>0</v>
      </c>
      <c r="AH543">
        <v>0</v>
      </c>
      <c r="AI543">
        <v>0</v>
      </c>
      <c r="AJ543">
        <v>1</v>
      </c>
      <c r="AK543">
        <v>0.02</v>
      </c>
      <c r="AL543">
        <v>16</v>
      </c>
      <c r="AM543">
        <v>0</v>
      </c>
      <c r="AN543">
        <v>0</v>
      </c>
      <c r="AO543">
        <v>0</v>
      </c>
      <c r="AP543">
        <v>1</v>
      </c>
      <c r="AQ543">
        <v>0.01</v>
      </c>
      <c r="AR543">
        <v>6</v>
      </c>
      <c r="AS543">
        <v>2</v>
      </c>
      <c r="AT543">
        <v>3</v>
      </c>
      <c r="AU543">
        <v>5</v>
      </c>
      <c r="AV543">
        <v>1</v>
      </c>
      <c r="AW543">
        <v>0.05</v>
      </c>
      <c r="AX543">
        <v>7</v>
      </c>
      <c r="AY543" s="1">
        <v>0</v>
      </c>
      <c r="AZ543">
        <v>3</v>
      </c>
      <c r="BA543">
        <v>1</v>
      </c>
      <c r="BB543">
        <v>1</v>
      </c>
      <c r="BC543" s="7">
        <v>0.32</v>
      </c>
      <c r="BD543">
        <v>30</v>
      </c>
      <c r="BE543">
        <v>0</v>
      </c>
      <c r="BF543">
        <v>0</v>
      </c>
      <c r="BG543">
        <v>0</v>
      </c>
      <c r="BH543">
        <v>5</v>
      </c>
      <c r="BI543">
        <v>2.4</v>
      </c>
      <c r="BJ543">
        <v>31</v>
      </c>
      <c r="BK543">
        <v>0</v>
      </c>
      <c r="BL543">
        <v>0</v>
      </c>
      <c r="BM543">
        <v>0</v>
      </c>
      <c r="BN543">
        <v>5</v>
      </c>
      <c r="BO543">
        <v>2.4</v>
      </c>
      <c r="BP543">
        <v>36</v>
      </c>
      <c r="BQ543">
        <v>0</v>
      </c>
      <c r="BR543">
        <v>0</v>
      </c>
      <c r="BS543">
        <v>0</v>
      </c>
      <c r="BT543">
        <v>5</v>
      </c>
      <c r="BU543">
        <v>2.2999999999999998</v>
      </c>
    </row>
    <row r="544" spans="1:73" x14ac:dyDescent="0.15">
      <c r="A544" s="11">
        <v>10541</v>
      </c>
      <c r="B544">
        <v>7</v>
      </c>
      <c r="C544" s="1">
        <v>45</v>
      </c>
      <c r="D544">
        <v>0</v>
      </c>
      <c r="E544">
        <v>0</v>
      </c>
      <c r="F544">
        <v>1</v>
      </c>
      <c r="G544" s="7">
        <v>0.05</v>
      </c>
      <c r="H544">
        <v>12</v>
      </c>
      <c r="I544">
        <v>0</v>
      </c>
      <c r="J544">
        <v>0</v>
      </c>
      <c r="K544">
        <v>0</v>
      </c>
      <c r="L544">
        <v>1</v>
      </c>
      <c r="M544">
        <v>2</v>
      </c>
      <c r="N544" s="7">
        <v>9</v>
      </c>
      <c r="O544" s="7">
        <v>0</v>
      </c>
      <c r="P544" s="7">
        <v>0</v>
      </c>
      <c r="Q544" s="7">
        <v>0</v>
      </c>
      <c r="R544" s="7">
        <v>1</v>
      </c>
      <c r="S544" s="7">
        <v>4.5</v>
      </c>
      <c r="T544">
        <v>7</v>
      </c>
      <c r="U544" s="1">
        <v>33</v>
      </c>
      <c r="V544">
        <v>0</v>
      </c>
      <c r="W544">
        <v>0</v>
      </c>
      <c r="X544">
        <v>1</v>
      </c>
      <c r="Y544">
        <v>0.16</v>
      </c>
      <c r="Z544">
        <v>23</v>
      </c>
      <c r="AA544">
        <v>0</v>
      </c>
      <c r="AB544">
        <v>0</v>
      </c>
      <c r="AC544">
        <v>0</v>
      </c>
      <c r="AD544">
        <v>1</v>
      </c>
      <c r="AE544">
        <v>0.05</v>
      </c>
      <c r="AF544">
        <v>15</v>
      </c>
      <c r="AG544">
        <v>0</v>
      </c>
      <c r="AH544">
        <v>0</v>
      </c>
      <c r="AI544">
        <v>0</v>
      </c>
      <c r="AJ544">
        <v>1</v>
      </c>
      <c r="AK544">
        <v>0.02</v>
      </c>
      <c r="AL544">
        <v>16</v>
      </c>
      <c r="AM544">
        <v>0</v>
      </c>
      <c r="AN544">
        <v>0</v>
      </c>
      <c r="AO544">
        <v>0</v>
      </c>
      <c r="AP544">
        <v>1</v>
      </c>
      <c r="AQ544">
        <v>0.01</v>
      </c>
      <c r="AX544">
        <v>7</v>
      </c>
      <c r="AY544" s="1">
        <v>17</v>
      </c>
      <c r="AZ544">
        <v>0</v>
      </c>
      <c r="BA544">
        <v>0</v>
      </c>
      <c r="BB544">
        <v>1</v>
      </c>
      <c r="BC544" s="7">
        <v>0.32</v>
      </c>
      <c r="BD544">
        <v>30</v>
      </c>
      <c r="BE544">
        <v>0</v>
      </c>
      <c r="BF544">
        <v>0</v>
      </c>
      <c r="BG544">
        <v>0</v>
      </c>
      <c r="BH544">
        <v>5</v>
      </c>
      <c r="BI544">
        <v>2.4</v>
      </c>
      <c r="BJ544">
        <v>31</v>
      </c>
      <c r="BK544">
        <v>0</v>
      </c>
      <c r="BL544">
        <v>0</v>
      </c>
      <c r="BM544">
        <v>0</v>
      </c>
      <c r="BN544">
        <v>5</v>
      </c>
      <c r="BO544">
        <v>2.4</v>
      </c>
      <c r="BP544">
        <v>36</v>
      </c>
      <c r="BQ544">
        <v>0</v>
      </c>
      <c r="BR544">
        <v>0</v>
      </c>
      <c r="BS544">
        <v>0</v>
      </c>
      <c r="BT544">
        <v>5</v>
      </c>
      <c r="BU544">
        <v>2.2999999999999998</v>
      </c>
    </row>
    <row r="545" spans="1:73" x14ac:dyDescent="0.15">
      <c r="A545" s="11">
        <v>10542</v>
      </c>
      <c r="B545">
        <v>7</v>
      </c>
      <c r="C545" s="1">
        <v>46</v>
      </c>
      <c r="D545">
        <v>0</v>
      </c>
      <c r="E545">
        <v>0</v>
      </c>
      <c r="F545">
        <v>1</v>
      </c>
      <c r="G545" s="7">
        <v>0.05</v>
      </c>
      <c r="H545">
        <v>12</v>
      </c>
      <c r="I545">
        <v>0</v>
      </c>
      <c r="J545">
        <v>0</v>
      </c>
      <c r="K545">
        <v>0</v>
      </c>
      <c r="L545">
        <v>1</v>
      </c>
      <c r="M545">
        <v>2</v>
      </c>
      <c r="N545" s="7">
        <v>9</v>
      </c>
      <c r="O545" s="7">
        <v>0</v>
      </c>
      <c r="P545" s="7">
        <v>0</v>
      </c>
      <c r="Q545" s="7">
        <v>0</v>
      </c>
      <c r="R545" s="7">
        <v>1</v>
      </c>
      <c r="S545" s="7">
        <v>4.5</v>
      </c>
      <c r="T545">
        <v>7</v>
      </c>
      <c r="U545" s="1">
        <v>34</v>
      </c>
      <c r="V545">
        <v>0</v>
      </c>
      <c r="W545">
        <v>0</v>
      </c>
      <c r="X545">
        <v>1</v>
      </c>
      <c r="Y545">
        <v>0.16</v>
      </c>
      <c r="Z545">
        <v>23</v>
      </c>
      <c r="AA545">
        <v>0</v>
      </c>
      <c r="AB545">
        <v>0</v>
      </c>
      <c r="AC545">
        <v>0</v>
      </c>
      <c r="AD545">
        <v>1</v>
      </c>
      <c r="AE545">
        <v>0.05</v>
      </c>
      <c r="AF545">
        <v>15</v>
      </c>
      <c r="AG545">
        <v>0</v>
      </c>
      <c r="AH545">
        <v>0</v>
      </c>
      <c r="AI545">
        <v>0</v>
      </c>
      <c r="AJ545">
        <v>1</v>
      </c>
      <c r="AK545">
        <v>0.02</v>
      </c>
      <c r="AL545">
        <v>16</v>
      </c>
      <c r="AM545">
        <v>0</v>
      </c>
      <c r="AN545">
        <v>0</v>
      </c>
      <c r="AO545">
        <v>0</v>
      </c>
      <c r="AP545">
        <v>1</v>
      </c>
      <c r="AQ545">
        <v>0.01</v>
      </c>
      <c r="AX545">
        <v>7</v>
      </c>
      <c r="AY545" s="1">
        <v>18</v>
      </c>
      <c r="AZ545">
        <v>0</v>
      </c>
      <c r="BA545">
        <v>0</v>
      </c>
      <c r="BB545">
        <v>1</v>
      </c>
      <c r="BC545" s="7">
        <v>0.32</v>
      </c>
      <c r="BD545">
        <v>30</v>
      </c>
      <c r="BE545">
        <v>0</v>
      </c>
      <c r="BF545">
        <v>0</v>
      </c>
      <c r="BG545">
        <v>0</v>
      </c>
      <c r="BH545">
        <v>5</v>
      </c>
      <c r="BI545">
        <v>2.4</v>
      </c>
      <c r="BJ545">
        <v>31</v>
      </c>
      <c r="BK545">
        <v>0</v>
      </c>
      <c r="BL545">
        <v>0</v>
      </c>
      <c r="BM545">
        <v>0</v>
      </c>
      <c r="BN545">
        <v>5</v>
      </c>
      <c r="BO545">
        <v>2.4</v>
      </c>
      <c r="BP545">
        <v>36</v>
      </c>
      <c r="BQ545">
        <v>0</v>
      </c>
      <c r="BR545">
        <v>0</v>
      </c>
      <c r="BS545">
        <v>0</v>
      </c>
      <c r="BT545">
        <v>5</v>
      </c>
      <c r="BU545">
        <v>2.2999999999999998</v>
      </c>
    </row>
    <row r="546" spans="1:73" x14ac:dyDescent="0.15">
      <c r="A546" s="11">
        <v>10543</v>
      </c>
      <c r="B546">
        <v>7</v>
      </c>
      <c r="C546" s="1">
        <v>47</v>
      </c>
      <c r="D546">
        <v>0</v>
      </c>
      <c r="E546">
        <v>0</v>
      </c>
      <c r="F546">
        <v>1</v>
      </c>
      <c r="G546" s="7">
        <v>0.05</v>
      </c>
      <c r="H546">
        <v>12</v>
      </c>
      <c r="I546">
        <v>0</v>
      </c>
      <c r="J546">
        <v>0</v>
      </c>
      <c r="K546">
        <v>0</v>
      </c>
      <c r="L546">
        <v>1</v>
      </c>
      <c r="M546">
        <v>2</v>
      </c>
      <c r="N546" s="7">
        <v>9</v>
      </c>
      <c r="O546" s="7">
        <v>0</v>
      </c>
      <c r="P546" s="7">
        <v>0</v>
      </c>
      <c r="Q546" s="7">
        <v>0</v>
      </c>
      <c r="R546" s="7">
        <v>1</v>
      </c>
      <c r="S546" s="7">
        <v>4.5</v>
      </c>
      <c r="T546">
        <v>7</v>
      </c>
      <c r="U546" s="1">
        <v>35</v>
      </c>
      <c r="V546">
        <v>0</v>
      </c>
      <c r="W546">
        <v>0</v>
      </c>
      <c r="X546">
        <v>1</v>
      </c>
      <c r="Y546">
        <v>0.16</v>
      </c>
      <c r="Z546">
        <v>23</v>
      </c>
      <c r="AA546">
        <v>0</v>
      </c>
      <c r="AB546">
        <v>0</v>
      </c>
      <c r="AC546">
        <v>0</v>
      </c>
      <c r="AD546">
        <v>1</v>
      </c>
      <c r="AE546">
        <v>0.05</v>
      </c>
      <c r="AF546">
        <v>15</v>
      </c>
      <c r="AG546">
        <v>0</v>
      </c>
      <c r="AH546">
        <v>0</v>
      </c>
      <c r="AI546">
        <v>0</v>
      </c>
      <c r="AJ546">
        <v>1</v>
      </c>
      <c r="AK546">
        <v>0.02</v>
      </c>
      <c r="AL546">
        <v>16</v>
      </c>
      <c r="AM546">
        <v>0</v>
      </c>
      <c r="AN546">
        <v>0</v>
      </c>
      <c r="AO546">
        <v>0</v>
      </c>
      <c r="AP546">
        <v>1</v>
      </c>
      <c r="AQ546">
        <v>0.01</v>
      </c>
      <c r="AX546">
        <v>7</v>
      </c>
      <c r="AY546" s="1">
        <v>19</v>
      </c>
      <c r="AZ546">
        <v>0</v>
      </c>
      <c r="BA546">
        <v>0</v>
      </c>
      <c r="BB546">
        <v>1</v>
      </c>
      <c r="BC546" s="7">
        <v>0.32</v>
      </c>
      <c r="BD546">
        <v>30</v>
      </c>
      <c r="BE546">
        <v>0</v>
      </c>
      <c r="BF546">
        <v>0</v>
      </c>
      <c r="BG546">
        <v>0</v>
      </c>
      <c r="BH546">
        <v>5</v>
      </c>
      <c r="BI546">
        <v>2.4</v>
      </c>
      <c r="BJ546">
        <v>31</v>
      </c>
      <c r="BK546">
        <v>0</v>
      </c>
      <c r="BL546">
        <v>0</v>
      </c>
      <c r="BM546">
        <v>0</v>
      </c>
      <c r="BN546">
        <v>5</v>
      </c>
      <c r="BO546">
        <v>2.4</v>
      </c>
      <c r="BP546">
        <v>36</v>
      </c>
      <c r="BQ546">
        <v>0</v>
      </c>
      <c r="BR546">
        <v>0</v>
      </c>
      <c r="BS546">
        <v>0</v>
      </c>
      <c r="BT546">
        <v>5</v>
      </c>
      <c r="BU546">
        <v>2.2999999999999998</v>
      </c>
    </row>
    <row r="547" spans="1:73" x14ac:dyDescent="0.15">
      <c r="A547" s="11">
        <v>10544</v>
      </c>
      <c r="B547">
        <v>7</v>
      </c>
      <c r="C547" s="1">
        <v>48</v>
      </c>
      <c r="D547">
        <v>0</v>
      </c>
      <c r="E547">
        <v>0</v>
      </c>
      <c r="F547">
        <v>1</v>
      </c>
      <c r="G547" s="7">
        <v>0.05</v>
      </c>
      <c r="H547">
        <v>12</v>
      </c>
      <c r="I547">
        <v>0</v>
      </c>
      <c r="J547">
        <v>0</v>
      </c>
      <c r="K547">
        <v>0</v>
      </c>
      <c r="L547">
        <v>1</v>
      </c>
      <c r="M547">
        <v>2</v>
      </c>
      <c r="N547" s="7">
        <v>9</v>
      </c>
      <c r="O547" s="7">
        <v>0</v>
      </c>
      <c r="P547" s="7">
        <v>0</v>
      </c>
      <c r="Q547" s="7">
        <v>0</v>
      </c>
      <c r="R547" s="7">
        <v>1</v>
      </c>
      <c r="S547" s="7">
        <v>4.5</v>
      </c>
      <c r="T547">
        <v>7</v>
      </c>
      <c r="U547" s="1">
        <v>36</v>
      </c>
      <c r="V547">
        <v>0</v>
      </c>
      <c r="W547">
        <v>0</v>
      </c>
      <c r="X547">
        <v>1</v>
      </c>
      <c r="Y547">
        <v>0.16</v>
      </c>
      <c r="Z547">
        <v>23</v>
      </c>
      <c r="AA547">
        <v>0</v>
      </c>
      <c r="AB547">
        <v>0</v>
      </c>
      <c r="AC547">
        <v>0</v>
      </c>
      <c r="AD547">
        <v>1</v>
      </c>
      <c r="AE547">
        <v>0.05</v>
      </c>
      <c r="AF547">
        <v>15</v>
      </c>
      <c r="AG547">
        <v>0</v>
      </c>
      <c r="AH547">
        <v>0</v>
      </c>
      <c r="AI547">
        <v>0</v>
      </c>
      <c r="AJ547">
        <v>1</v>
      </c>
      <c r="AK547">
        <v>0.02</v>
      </c>
      <c r="AL547">
        <v>16</v>
      </c>
      <c r="AM547">
        <v>0</v>
      </c>
      <c r="AN547">
        <v>0</v>
      </c>
      <c r="AO547">
        <v>0</v>
      </c>
      <c r="AP547">
        <v>1</v>
      </c>
      <c r="AQ547">
        <v>0.01</v>
      </c>
      <c r="AX547">
        <v>7</v>
      </c>
      <c r="AY547" s="1">
        <v>20</v>
      </c>
      <c r="AZ547">
        <v>0</v>
      </c>
      <c r="BA547">
        <v>0</v>
      </c>
      <c r="BB547">
        <v>1</v>
      </c>
      <c r="BC547" s="7">
        <v>0.32</v>
      </c>
      <c r="BD547">
        <v>30</v>
      </c>
      <c r="BE547">
        <v>0</v>
      </c>
      <c r="BF547">
        <v>0</v>
      </c>
      <c r="BG547">
        <v>0</v>
      </c>
      <c r="BH547">
        <v>5</v>
      </c>
      <c r="BI547">
        <v>2.4</v>
      </c>
      <c r="BJ547">
        <v>31</v>
      </c>
      <c r="BK547">
        <v>0</v>
      </c>
      <c r="BL547">
        <v>0</v>
      </c>
      <c r="BM547">
        <v>0</v>
      </c>
      <c r="BN547">
        <v>5</v>
      </c>
      <c r="BO547">
        <v>2.4</v>
      </c>
      <c r="BP547">
        <v>36</v>
      </c>
      <c r="BQ547">
        <v>0</v>
      </c>
      <c r="BR547">
        <v>0</v>
      </c>
      <c r="BS547">
        <v>0</v>
      </c>
      <c r="BT547">
        <v>5</v>
      </c>
      <c r="BU547">
        <v>2.2999999999999998</v>
      </c>
    </row>
    <row r="548" spans="1:73" x14ac:dyDescent="0.15">
      <c r="A548" s="11">
        <v>10545</v>
      </c>
      <c r="B548">
        <v>7</v>
      </c>
      <c r="C548" s="1">
        <v>0</v>
      </c>
      <c r="D548">
        <v>5</v>
      </c>
      <c r="E548">
        <v>1</v>
      </c>
      <c r="F548">
        <v>1</v>
      </c>
      <c r="G548" s="7">
        <v>0.05</v>
      </c>
      <c r="H548">
        <v>12</v>
      </c>
      <c r="I548">
        <v>0</v>
      </c>
      <c r="J548">
        <v>0</v>
      </c>
      <c r="K548">
        <v>0</v>
      </c>
      <c r="L548">
        <v>1</v>
      </c>
      <c r="M548">
        <v>2</v>
      </c>
      <c r="N548" s="7">
        <v>9</v>
      </c>
      <c r="O548" s="7">
        <v>0</v>
      </c>
      <c r="P548" s="7">
        <v>0</v>
      </c>
      <c r="Q548" s="7">
        <v>0</v>
      </c>
      <c r="R548" s="7">
        <v>1</v>
      </c>
      <c r="S548" s="7">
        <v>4.5</v>
      </c>
      <c r="T548">
        <v>7</v>
      </c>
      <c r="U548" s="1">
        <v>0</v>
      </c>
      <c r="V548">
        <v>4</v>
      </c>
      <c r="W548">
        <v>2</v>
      </c>
      <c r="X548">
        <v>1</v>
      </c>
      <c r="Y548">
        <v>0.16</v>
      </c>
      <c r="Z548">
        <v>23</v>
      </c>
      <c r="AA548">
        <v>0</v>
      </c>
      <c r="AB548">
        <v>0</v>
      </c>
      <c r="AC548">
        <v>0</v>
      </c>
      <c r="AD548">
        <v>1</v>
      </c>
      <c r="AE548">
        <v>0.05</v>
      </c>
      <c r="AF548">
        <v>15</v>
      </c>
      <c r="AG548">
        <v>0</v>
      </c>
      <c r="AH548">
        <v>0</v>
      </c>
      <c r="AI548">
        <v>0</v>
      </c>
      <c r="AJ548">
        <v>1</v>
      </c>
      <c r="AK548">
        <v>0.02</v>
      </c>
      <c r="AL548">
        <v>16</v>
      </c>
      <c r="AM548">
        <v>0</v>
      </c>
      <c r="AN548">
        <v>0</v>
      </c>
      <c r="AO548">
        <v>0</v>
      </c>
      <c r="AP548">
        <v>1</v>
      </c>
      <c r="AQ548">
        <v>0.01</v>
      </c>
      <c r="AR548">
        <v>6</v>
      </c>
      <c r="AS548">
        <v>2</v>
      </c>
      <c r="AT548">
        <v>4</v>
      </c>
      <c r="AU548">
        <v>5</v>
      </c>
      <c r="AV548">
        <v>1</v>
      </c>
      <c r="AW548">
        <v>0.01</v>
      </c>
      <c r="AX548">
        <v>7</v>
      </c>
      <c r="AY548" s="1">
        <v>0</v>
      </c>
      <c r="AZ548">
        <v>3</v>
      </c>
      <c r="BA548">
        <v>1</v>
      </c>
      <c r="BB548">
        <v>1</v>
      </c>
      <c r="BC548" s="7">
        <v>0.32</v>
      </c>
      <c r="BD548">
        <v>30</v>
      </c>
      <c r="BE548">
        <v>0</v>
      </c>
      <c r="BF548">
        <v>0</v>
      </c>
      <c r="BG548">
        <v>0</v>
      </c>
      <c r="BH548">
        <v>5</v>
      </c>
      <c r="BI548">
        <v>2.4</v>
      </c>
      <c r="BJ548">
        <v>31</v>
      </c>
      <c r="BK548">
        <v>0</v>
      </c>
      <c r="BL548">
        <v>0</v>
      </c>
      <c r="BM548">
        <v>0</v>
      </c>
      <c r="BN548">
        <v>5</v>
      </c>
      <c r="BO548">
        <v>2.4</v>
      </c>
      <c r="BP548">
        <v>36</v>
      </c>
      <c r="BQ548">
        <v>0</v>
      </c>
      <c r="BR548">
        <v>0</v>
      </c>
      <c r="BS548">
        <v>0</v>
      </c>
      <c r="BT548">
        <v>5</v>
      </c>
      <c r="BU548">
        <v>2.2999999999999998</v>
      </c>
    </row>
    <row r="549" spans="1:73" x14ac:dyDescent="0.15">
      <c r="A549" s="11">
        <v>10546</v>
      </c>
      <c r="B549">
        <v>7</v>
      </c>
      <c r="C549" s="1">
        <v>45</v>
      </c>
      <c r="D549">
        <v>0</v>
      </c>
      <c r="E549">
        <v>0</v>
      </c>
      <c r="F549">
        <v>1</v>
      </c>
      <c r="G549" s="7">
        <v>0.05</v>
      </c>
      <c r="H549">
        <v>12</v>
      </c>
      <c r="I549">
        <v>0</v>
      </c>
      <c r="J549">
        <v>0</v>
      </c>
      <c r="K549">
        <v>0</v>
      </c>
      <c r="L549">
        <v>1</v>
      </c>
      <c r="M549">
        <v>2</v>
      </c>
      <c r="N549" s="7">
        <v>9</v>
      </c>
      <c r="O549" s="7">
        <v>0</v>
      </c>
      <c r="P549" s="7">
        <v>0</v>
      </c>
      <c r="Q549" s="7">
        <v>0</v>
      </c>
      <c r="R549" s="7">
        <v>1</v>
      </c>
      <c r="S549" s="7">
        <v>4.5</v>
      </c>
      <c r="T549">
        <v>7</v>
      </c>
      <c r="U549" s="1">
        <v>33</v>
      </c>
      <c r="V549">
        <v>0</v>
      </c>
      <c r="W549">
        <v>0</v>
      </c>
      <c r="X549">
        <v>1</v>
      </c>
      <c r="Y549">
        <v>0.16</v>
      </c>
      <c r="Z549">
        <v>23</v>
      </c>
      <c r="AA549">
        <v>0</v>
      </c>
      <c r="AB549">
        <v>0</v>
      </c>
      <c r="AC549">
        <v>0</v>
      </c>
      <c r="AD549">
        <v>1</v>
      </c>
      <c r="AE549">
        <v>0.05</v>
      </c>
      <c r="AF549">
        <v>15</v>
      </c>
      <c r="AG549">
        <v>0</v>
      </c>
      <c r="AH549">
        <v>0</v>
      </c>
      <c r="AI549">
        <v>0</v>
      </c>
      <c r="AJ549">
        <v>1</v>
      </c>
      <c r="AK549">
        <v>0.02</v>
      </c>
      <c r="AL549">
        <v>16</v>
      </c>
      <c r="AM549">
        <v>0</v>
      </c>
      <c r="AN549">
        <v>0</v>
      </c>
      <c r="AO549">
        <v>0</v>
      </c>
      <c r="AP549">
        <v>1</v>
      </c>
      <c r="AQ549">
        <v>0.01</v>
      </c>
      <c r="AX549">
        <v>7</v>
      </c>
      <c r="AY549" s="1">
        <v>17</v>
      </c>
      <c r="AZ549">
        <v>0</v>
      </c>
      <c r="BA549">
        <v>0</v>
      </c>
      <c r="BB549">
        <v>1</v>
      </c>
      <c r="BC549" s="7">
        <v>0.32</v>
      </c>
      <c r="BD549">
        <v>30</v>
      </c>
      <c r="BE549">
        <v>0</v>
      </c>
      <c r="BF549">
        <v>0</v>
      </c>
      <c r="BG549">
        <v>0</v>
      </c>
      <c r="BH549">
        <v>5</v>
      </c>
      <c r="BI549">
        <v>2.4</v>
      </c>
      <c r="BJ549">
        <v>31</v>
      </c>
      <c r="BK549">
        <v>0</v>
      </c>
      <c r="BL549">
        <v>0</v>
      </c>
      <c r="BM549">
        <v>0</v>
      </c>
      <c r="BN549">
        <v>5</v>
      </c>
      <c r="BO549">
        <v>2.4</v>
      </c>
      <c r="BP549">
        <v>36</v>
      </c>
      <c r="BQ549">
        <v>0</v>
      </c>
      <c r="BR549">
        <v>0</v>
      </c>
      <c r="BS549">
        <v>0</v>
      </c>
      <c r="BT549">
        <v>5</v>
      </c>
      <c r="BU549">
        <v>2.2999999999999998</v>
      </c>
    </row>
    <row r="550" spans="1:73" x14ac:dyDescent="0.15">
      <c r="A550" s="11">
        <v>10547</v>
      </c>
      <c r="B550">
        <v>7</v>
      </c>
      <c r="C550" s="1">
        <v>46</v>
      </c>
      <c r="D550">
        <v>0</v>
      </c>
      <c r="E550">
        <v>0</v>
      </c>
      <c r="F550">
        <v>1</v>
      </c>
      <c r="G550" s="7">
        <v>0.05</v>
      </c>
      <c r="H550">
        <v>12</v>
      </c>
      <c r="I550">
        <v>0</v>
      </c>
      <c r="J550">
        <v>0</v>
      </c>
      <c r="K550">
        <v>0</v>
      </c>
      <c r="L550">
        <v>1</v>
      </c>
      <c r="M550">
        <v>2</v>
      </c>
      <c r="N550" s="7">
        <v>9</v>
      </c>
      <c r="O550" s="7">
        <v>0</v>
      </c>
      <c r="P550" s="7">
        <v>0</v>
      </c>
      <c r="Q550" s="7">
        <v>0</v>
      </c>
      <c r="R550" s="7">
        <v>1</v>
      </c>
      <c r="S550" s="7">
        <v>4.5</v>
      </c>
      <c r="T550">
        <v>7</v>
      </c>
      <c r="U550" s="1">
        <v>34</v>
      </c>
      <c r="V550">
        <v>0</v>
      </c>
      <c r="W550">
        <v>0</v>
      </c>
      <c r="X550">
        <v>1</v>
      </c>
      <c r="Y550">
        <v>0.16</v>
      </c>
      <c r="Z550">
        <v>23</v>
      </c>
      <c r="AA550">
        <v>0</v>
      </c>
      <c r="AB550">
        <v>0</v>
      </c>
      <c r="AC550">
        <v>0</v>
      </c>
      <c r="AD550">
        <v>1</v>
      </c>
      <c r="AE550">
        <v>0.05</v>
      </c>
      <c r="AF550">
        <v>15</v>
      </c>
      <c r="AG550">
        <v>0</v>
      </c>
      <c r="AH550">
        <v>0</v>
      </c>
      <c r="AI550">
        <v>0</v>
      </c>
      <c r="AJ550">
        <v>1</v>
      </c>
      <c r="AK550">
        <v>0.02</v>
      </c>
      <c r="AL550">
        <v>16</v>
      </c>
      <c r="AM550">
        <v>0</v>
      </c>
      <c r="AN550">
        <v>0</v>
      </c>
      <c r="AO550">
        <v>0</v>
      </c>
      <c r="AP550">
        <v>1</v>
      </c>
      <c r="AQ550">
        <v>0.01</v>
      </c>
      <c r="AX550">
        <v>7</v>
      </c>
      <c r="AY550" s="1">
        <v>18</v>
      </c>
      <c r="AZ550">
        <v>0</v>
      </c>
      <c r="BA550">
        <v>0</v>
      </c>
      <c r="BB550">
        <v>1</v>
      </c>
      <c r="BC550" s="7">
        <v>0.32</v>
      </c>
      <c r="BD550">
        <v>30</v>
      </c>
      <c r="BE550">
        <v>0</v>
      </c>
      <c r="BF550">
        <v>0</v>
      </c>
      <c r="BG550">
        <v>0</v>
      </c>
      <c r="BH550">
        <v>5</v>
      </c>
      <c r="BI550">
        <v>2.4</v>
      </c>
      <c r="BJ550">
        <v>31</v>
      </c>
      <c r="BK550">
        <v>0</v>
      </c>
      <c r="BL550">
        <v>0</v>
      </c>
      <c r="BM550">
        <v>0</v>
      </c>
      <c r="BN550">
        <v>5</v>
      </c>
      <c r="BO550">
        <v>2.4</v>
      </c>
      <c r="BP550">
        <v>36</v>
      </c>
      <c r="BQ550">
        <v>0</v>
      </c>
      <c r="BR550">
        <v>0</v>
      </c>
      <c r="BS550">
        <v>0</v>
      </c>
      <c r="BT550">
        <v>5</v>
      </c>
      <c r="BU550">
        <v>2.2999999999999998</v>
      </c>
    </row>
    <row r="551" spans="1:73" x14ac:dyDescent="0.15">
      <c r="A551" s="11">
        <v>10548</v>
      </c>
      <c r="B551">
        <v>7</v>
      </c>
      <c r="C551" s="1">
        <v>47</v>
      </c>
      <c r="D551">
        <v>0</v>
      </c>
      <c r="E551">
        <v>0</v>
      </c>
      <c r="F551">
        <v>1</v>
      </c>
      <c r="G551" s="7">
        <v>0.05</v>
      </c>
      <c r="H551">
        <v>12</v>
      </c>
      <c r="I551">
        <v>0</v>
      </c>
      <c r="J551">
        <v>0</v>
      </c>
      <c r="K551">
        <v>0</v>
      </c>
      <c r="L551">
        <v>1</v>
      </c>
      <c r="M551">
        <v>2</v>
      </c>
      <c r="N551" s="7">
        <v>9</v>
      </c>
      <c r="O551" s="7">
        <v>0</v>
      </c>
      <c r="P551" s="7">
        <v>0</v>
      </c>
      <c r="Q551" s="7">
        <v>0</v>
      </c>
      <c r="R551" s="7">
        <v>1</v>
      </c>
      <c r="S551" s="7">
        <v>4.5</v>
      </c>
      <c r="T551">
        <v>7</v>
      </c>
      <c r="U551" s="1">
        <v>35</v>
      </c>
      <c r="V551">
        <v>0</v>
      </c>
      <c r="W551">
        <v>0</v>
      </c>
      <c r="X551">
        <v>1</v>
      </c>
      <c r="Y551">
        <v>0.16</v>
      </c>
      <c r="Z551">
        <v>23</v>
      </c>
      <c r="AA551">
        <v>0</v>
      </c>
      <c r="AB551">
        <v>0</v>
      </c>
      <c r="AC551">
        <v>0</v>
      </c>
      <c r="AD551">
        <v>1</v>
      </c>
      <c r="AE551">
        <v>0.05</v>
      </c>
      <c r="AF551">
        <v>15</v>
      </c>
      <c r="AG551">
        <v>0</v>
      </c>
      <c r="AH551">
        <v>0</v>
      </c>
      <c r="AI551">
        <v>0</v>
      </c>
      <c r="AJ551">
        <v>1</v>
      </c>
      <c r="AK551">
        <v>0.02</v>
      </c>
      <c r="AL551">
        <v>16</v>
      </c>
      <c r="AM551">
        <v>0</v>
      </c>
      <c r="AN551">
        <v>0</v>
      </c>
      <c r="AO551">
        <v>0</v>
      </c>
      <c r="AP551">
        <v>1</v>
      </c>
      <c r="AQ551">
        <v>0.01</v>
      </c>
      <c r="AX551">
        <v>7</v>
      </c>
      <c r="AY551" s="1">
        <v>19</v>
      </c>
      <c r="AZ551">
        <v>0</v>
      </c>
      <c r="BA551">
        <v>0</v>
      </c>
      <c r="BB551">
        <v>1</v>
      </c>
      <c r="BC551" s="7">
        <v>0.32</v>
      </c>
      <c r="BD551">
        <v>30</v>
      </c>
      <c r="BE551">
        <v>0</v>
      </c>
      <c r="BF551">
        <v>0</v>
      </c>
      <c r="BG551">
        <v>0</v>
      </c>
      <c r="BH551">
        <v>5</v>
      </c>
      <c r="BI551">
        <v>2.4</v>
      </c>
      <c r="BJ551">
        <v>31</v>
      </c>
      <c r="BK551">
        <v>0</v>
      </c>
      <c r="BL551">
        <v>0</v>
      </c>
      <c r="BM551">
        <v>0</v>
      </c>
      <c r="BN551">
        <v>5</v>
      </c>
      <c r="BO551">
        <v>2.4</v>
      </c>
      <c r="BP551">
        <v>36</v>
      </c>
      <c r="BQ551">
        <v>0</v>
      </c>
      <c r="BR551">
        <v>0</v>
      </c>
      <c r="BS551">
        <v>0</v>
      </c>
      <c r="BT551">
        <v>5</v>
      </c>
      <c r="BU551">
        <v>2.2999999999999998</v>
      </c>
    </row>
    <row r="552" spans="1:73" x14ac:dyDescent="0.15">
      <c r="A552" s="11">
        <v>10549</v>
      </c>
      <c r="B552">
        <v>7</v>
      </c>
      <c r="C552" s="1">
        <v>48</v>
      </c>
      <c r="D552">
        <v>0</v>
      </c>
      <c r="E552">
        <v>0</v>
      </c>
      <c r="F552">
        <v>1</v>
      </c>
      <c r="G552" s="7">
        <v>0.05</v>
      </c>
      <c r="H552">
        <v>12</v>
      </c>
      <c r="I552">
        <v>0</v>
      </c>
      <c r="J552">
        <v>0</v>
      </c>
      <c r="K552">
        <v>0</v>
      </c>
      <c r="L552">
        <v>1</v>
      </c>
      <c r="M552">
        <v>2</v>
      </c>
      <c r="N552" s="7">
        <v>9</v>
      </c>
      <c r="O552" s="7">
        <v>0</v>
      </c>
      <c r="P552" s="7">
        <v>0</v>
      </c>
      <c r="Q552" s="7">
        <v>0</v>
      </c>
      <c r="R552" s="7">
        <v>1</v>
      </c>
      <c r="S552" s="7">
        <v>4.5</v>
      </c>
      <c r="T552">
        <v>7</v>
      </c>
      <c r="U552" s="1">
        <v>36</v>
      </c>
      <c r="V552">
        <v>0</v>
      </c>
      <c r="W552">
        <v>0</v>
      </c>
      <c r="X552">
        <v>1</v>
      </c>
      <c r="Y552">
        <v>0.16</v>
      </c>
      <c r="Z552">
        <v>23</v>
      </c>
      <c r="AA552">
        <v>0</v>
      </c>
      <c r="AB552">
        <v>0</v>
      </c>
      <c r="AC552">
        <v>0</v>
      </c>
      <c r="AD552">
        <v>1</v>
      </c>
      <c r="AE552">
        <v>0.05</v>
      </c>
      <c r="AF552">
        <v>15</v>
      </c>
      <c r="AG552">
        <v>0</v>
      </c>
      <c r="AH552">
        <v>0</v>
      </c>
      <c r="AI552">
        <v>0</v>
      </c>
      <c r="AJ552">
        <v>1</v>
      </c>
      <c r="AK552">
        <v>0.02</v>
      </c>
      <c r="AL552">
        <v>16</v>
      </c>
      <c r="AM552">
        <v>0</v>
      </c>
      <c r="AN552">
        <v>0</v>
      </c>
      <c r="AO552">
        <v>0</v>
      </c>
      <c r="AP552">
        <v>1</v>
      </c>
      <c r="AQ552">
        <v>0.01</v>
      </c>
      <c r="AX552">
        <v>7</v>
      </c>
      <c r="AY552" s="1">
        <v>20</v>
      </c>
      <c r="AZ552">
        <v>0</v>
      </c>
      <c r="BA552">
        <v>0</v>
      </c>
      <c r="BB552">
        <v>1</v>
      </c>
      <c r="BC552" s="7">
        <v>0.32</v>
      </c>
      <c r="BD552">
        <v>30</v>
      </c>
      <c r="BE552">
        <v>0</v>
      </c>
      <c r="BF552">
        <v>0</v>
      </c>
      <c r="BG552">
        <v>0</v>
      </c>
      <c r="BH552">
        <v>5</v>
      </c>
      <c r="BI552">
        <v>2.4</v>
      </c>
      <c r="BJ552">
        <v>31</v>
      </c>
      <c r="BK552">
        <v>0</v>
      </c>
      <c r="BL552">
        <v>0</v>
      </c>
      <c r="BM552">
        <v>0</v>
      </c>
      <c r="BN552">
        <v>5</v>
      </c>
      <c r="BO552">
        <v>2.4</v>
      </c>
      <c r="BP552">
        <v>36</v>
      </c>
      <c r="BQ552">
        <v>0</v>
      </c>
      <c r="BR552">
        <v>0</v>
      </c>
      <c r="BS552">
        <v>0</v>
      </c>
      <c r="BT552">
        <v>5</v>
      </c>
      <c r="BU552">
        <v>2.2999999999999998</v>
      </c>
    </row>
    <row r="553" spans="1:73" x14ac:dyDescent="0.15">
      <c r="A553" s="11">
        <v>10550</v>
      </c>
      <c r="B553">
        <v>7</v>
      </c>
      <c r="C553" s="1">
        <v>0</v>
      </c>
      <c r="D553">
        <v>5</v>
      </c>
      <c r="E553">
        <v>1</v>
      </c>
      <c r="F553">
        <v>1</v>
      </c>
      <c r="G553" s="7">
        <v>0.05</v>
      </c>
      <c r="H553">
        <v>12</v>
      </c>
      <c r="I553">
        <v>0</v>
      </c>
      <c r="J553">
        <v>0</v>
      </c>
      <c r="K553">
        <v>0</v>
      </c>
      <c r="L553">
        <v>1</v>
      </c>
      <c r="M553">
        <v>2</v>
      </c>
      <c r="N553" s="7">
        <v>9</v>
      </c>
      <c r="O553" s="7">
        <v>0</v>
      </c>
      <c r="P553" s="7">
        <v>0</v>
      </c>
      <c r="Q553" s="7">
        <v>0</v>
      </c>
      <c r="R553" s="7">
        <v>1</v>
      </c>
      <c r="S553" s="7">
        <v>4.5</v>
      </c>
      <c r="T553">
        <v>7</v>
      </c>
      <c r="U553" s="1">
        <v>0</v>
      </c>
      <c r="V553">
        <v>4</v>
      </c>
      <c r="W553">
        <v>2</v>
      </c>
      <c r="X553">
        <v>1</v>
      </c>
      <c r="Y553">
        <v>0.16</v>
      </c>
      <c r="Z553">
        <v>23</v>
      </c>
      <c r="AA553">
        <v>0</v>
      </c>
      <c r="AB553">
        <v>0</v>
      </c>
      <c r="AC553">
        <v>0</v>
      </c>
      <c r="AD553">
        <v>1</v>
      </c>
      <c r="AE553">
        <v>0.05</v>
      </c>
      <c r="AF553">
        <v>15</v>
      </c>
      <c r="AG553">
        <v>0</v>
      </c>
      <c r="AH553">
        <v>0</v>
      </c>
      <c r="AI553">
        <v>0</v>
      </c>
      <c r="AJ553">
        <v>1</v>
      </c>
      <c r="AK553">
        <v>0.02</v>
      </c>
      <c r="AL553">
        <v>16</v>
      </c>
      <c r="AM553">
        <v>0</v>
      </c>
      <c r="AN553">
        <v>0</v>
      </c>
      <c r="AO553">
        <v>0</v>
      </c>
      <c r="AP553">
        <v>1</v>
      </c>
      <c r="AQ553">
        <v>0.01</v>
      </c>
      <c r="AR553">
        <v>6</v>
      </c>
      <c r="AS553">
        <v>2</v>
      </c>
      <c r="AT553">
        <v>5</v>
      </c>
      <c r="AU553">
        <v>5</v>
      </c>
      <c r="AV553">
        <v>1</v>
      </c>
      <c r="AW553">
        <v>0.01</v>
      </c>
      <c r="AX553">
        <v>7</v>
      </c>
      <c r="AY553" s="1">
        <v>0</v>
      </c>
      <c r="AZ553">
        <v>3</v>
      </c>
      <c r="BA553">
        <v>1</v>
      </c>
      <c r="BB553">
        <v>1</v>
      </c>
      <c r="BC553" s="7">
        <v>0.32</v>
      </c>
      <c r="BD553">
        <v>30</v>
      </c>
      <c r="BE553">
        <v>0</v>
      </c>
      <c r="BF553">
        <v>0</v>
      </c>
      <c r="BG553">
        <v>0</v>
      </c>
      <c r="BH553">
        <v>5</v>
      </c>
      <c r="BI553">
        <v>2.4</v>
      </c>
      <c r="BJ553">
        <v>31</v>
      </c>
      <c r="BK553">
        <v>0</v>
      </c>
      <c r="BL553">
        <v>0</v>
      </c>
      <c r="BM553">
        <v>0</v>
      </c>
      <c r="BN553">
        <v>5</v>
      </c>
      <c r="BO553">
        <v>2.4</v>
      </c>
      <c r="BP553">
        <v>36</v>
      </c>
      <c r="BQ553">
        <v>0</v>
      </c>
      <c r="BR553">
        <v>0</v>
      </c>
      <c r="BS553">
        <v>0</v>
      </c>
      <c r="BT553">
        <v>5</v>
      </c>
      <c r="BU553">
        <v>2.2999999999999998</v>
      </c>
    </row>
    <row r="554" spans="1:73" x14ac:dyDescent="0.15">
      <c r="A554" s="11">
        <v>10601</v>
      </c>
      <c r="B554">
        <v>7</v>
      </c>
      <c r="C554" s="1">
        <v>45</v>
      </c>
      <c r="D554">
        <v>0</v>
      </c>
      <c r="E554">
        <v>0</v>
      </c>
      <c r="F554">
        <v>1</v>
      </c>
      <c r="G554" s="7">
        <v>0.05</v>
      </c>
      <c r="H554">
        <v>12</v>
      </c>
      <c r="I554">
        <v>0</v>
      </c>
      <c r="J554">
        <v>0</v>
      </c>
      <c r="K554">
        <v>0</v>
      </c>
      <c r="L554">
        <v>1</v>
      </c>
      <c r="M554">
        <v>2</v>
      </c>
      <c r="N554" s="7">
        <v>9</v>
      </c>
      <c r="O554" s="7">
        <v>0</v>
      </c>
      <c r="P554" s="7">
        <v>0</v>
      </c>
      <c r="Q554" s="7">
        <v>0</v>
      </c>
      <c r="R554" s="7">
        <v>1</v>
      </c>
      <c r="S554" s="7">
        <v>4.5</v>
      </c>
      <c r="T554">
        <v>7</v>
      </c>
      <c r="U554" s="1">
        <v>33</v>
      </c>
      <c r="V554">
        <v>0</v>
      </c>
      <c r="W554">
        <v>0</v>
      </c>
      <c r="X554">
        <v>1</v>
      </c>
      <c r="Y554">
        <v>0.16</v>
      </c>
      <c r="Z554">
        <v>23</v>
      </c>
      <c r="AA554">
        <v>0</v>
      </c>
      <c r="AB554">
        <v>0</v>
      </c>
      <c r="AC554">
        <v>0</v>
      </c>
      <c r="AD554">
        <v>1</v>
      </c>
      <c r="AE554">
        <v>0.05</v>
      </c>
      <c r="AF554">
        <v>15</v>
      </c>
      <c r="AG554">
        <v>0</v>
      </c>
      <c r="AH554">
        <v>0</v>
      </c>
      <c r="AI554">
        <v>0</v>
      </c>
      <c r="AJ554">
        <v>1</v>
      </c>
      <c r="AK554">
        <v>0.02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0.01</v>
      </c>
      <c r="AX554">
        <v>7</v>
      </c>
      <c r="AY554" s="1">
        <v>17</v>
      </c>
      <c r="AZ554">
        <v>0</v>
      </c>
      <c r="BA554">
        <v>0</v>
      </c>
      <c r="BB554">
        <v>1</v>
      </c>
      <c r="BC554" s="7">
        <v>0.32</v>
      </c>
      <c r="BD554">
        <v>30</v>
      </c>
      <c r="BE554">
        <v>0</v>
      </c>
      <c r="BF554">
        <v>0</v>
      </c>
      <c r="BG554">
        <v>0</v>
      </c>
      <c r="BH554">
        <v>5</v>
      </c>
      <c r="BI554">
        <v>2.4</v>
      </c>
      <c r="BJ554">
        <v>31</v>
      </c>
      <c r="BK554">
        <v>0</v>
      </c>
      <c r="BL554">
        <v>0</v>
      </c>
      <c r="BM554">
        <v>0</v>
      </c>
      <c r="BN554">
        <v>5</v>
      </c>
      <c r="BO554">
        <v>2.4</v>
      </c>
      <c r="BP554">
        <v>36</v>
      </c>
      <c r="BQ554">
        <v>0</v>
      </c>
      <c r="BR554">
        <v>0</v>
      </c>
      <c r="BS554">
        <v>0</v>
      </c>
      <c r="BT554">
        <v>5</v>
      </c>
      <c r="BU554">
        <v>2.2999999999999998</v>
      </c>
    </row>
    <row r="555" spans="1:73" x14ac:dyDescent="0.15">
      <c r="A555" s="11">
        <v>10602</v>
      </c>
      <c r="B555">
        <v>7</v>
      </c>
      <c r="C555" s="1">
        <v>46</v>
      </c>
      <c r="D555">
        <v>0</v>
      </c>
      <c r="E555">
        <v>0</v>
      </c>
      <c r="F555">
        <v>1</v>
      </c>
      <c r="G555" s="7">
        <v>0.05</v>
      </c>
      <c r="H555">
        <v>12</v>
      </c>
      <c r="I555">
        <v>0</v>
      </c>
      <c r="J555">
        <v>0</v>
      </c>
      <c r="K555">
        <v>0</v>
      </c>
      <c r="L555">
        <v>1</v>
      </c>
      <c r="M555">
        <v>2</v>
      </c>
      <c r="N555" s="7">
        <v>9</v>
      </c>
      <c r="O555" s="7">
        <v>0</v>
      </c>
      <c r="P555" s="7">
        <v>0</v>
      </c>
      <c r="Q555" s="7">
        <v>0</v>
      </c>
      <c r="R555" s="7">
        <v>1</v>
      </c>
      <c r="S555" s="7">
        <v>4.5</v>
      </c>
      <c r="T555">
        <v>7</v>
      </c>
      <c r="U555" s="1">
        <v>34</v>
      </c>
      <c r="V555">
        <v>0</v>
      </c>
      <c r="W555">
        <v>0</v>
      </c>
      <c r="X555">
        <v>1</v>
      </c>
      <c r="Y555">
        <v>0.16</v>
      </c>
      <c r="Z555">
        <v>23</v>
      </c>
      <c r="AA555">
        <v>0</v>
      </c>
      <c r="AB555">
        <v>0</v>
      </c>
      <c r="AC555">
        <v>0</v>
      </c>
      <c r="AD555">
        <v>1</v>
      </c>
      <c r="AE555">
        <v>0.05</v>
      </c>
      <c r="AF555">
        <v>15</v>
      </c>
      <c r="AG555">
        <v>0</v>
      </c>
      <c r="AH555">
        <v>0</v>
      </c>
      <c r="AI555">
        <v>0</v>
      </c>
      <c r="AJ555">
        <v>1</v>
      </c>
      <c r="AK555">
        <v>0.02</v>
      </c>
      <c r="AL555">
        <v>16</v>
      </c>
      <c r="AM555">
        <v>0</v>
      </c>
      <c r="AN555">
        <v>0</v>
      </c>
      <c r="AO555">
        <v>0</v>
      </c>
      <c r="AP555">
        <v>1</v>
      </c>
      <c r="AQ555">
        <v>0.01</v>
      </c>
      <c r="AX555">
        <v>7</v>
      </c>
      <c r="AY555" s="1">
        <v>18</v>
      </c>
      <c r="AZ555">
        <v>0</v>
      </c>
      <c r="BA555">
        <v>0</v>
      </c>
      <c r="BB555">
        <v>1</v>
      </c>
      <c r="BC555" s="7">
        <v>0.32</v>
      </c>
      <c r="BD555">
        <v>30</v>
      </c>
      <c r="BE555">
        <v>0</v>
      </c>
      <c r="BF555">
        <v>0</v>
      </c>
      <c r="BG555">
        <v>0</v>
      </c>
      <c r="BH555">
        <v>5</v>
      </c>
      <c r="BI555">
        <v>2.4</v>
      </c>
      <c r="BJ555">
        <v>31</v>
      </c>
      <c r="BK555">
        <v>0</v>
      </c>
      <c r="BL555">
        <v>0</v>
      </c>
      <c r="BM555">
        <v>0</v>
      </c>
      <c r="BN555">
        <v>5</v>
      </c>
      <c r="BO555">
        <v>2.4</v>
      </c>
      <c r="BP555">
        <v>36</v>
      </c>
      <c r="BQ555">
        <v>0</v>
      </c>
      <c r="BR555">
        <v>0</v>
      </c>
      <c r="BS555">
        <v>0</v>
      </c>
      <c r="BT555">
        <v>5</v>
      </c>
      <c r="BU555">
        <v>2.2999999999999998</v>
      </c>
    </row>
    <row r="556" spans="1:73" x14ac:dyDescent="0.15">
      <c r="A556" s="11">
        <v>10603</v>
      </c>
      <c r="B556">
        <v>7</v>
      </c>
      <c r="C556" s="1">
        <v>47</v>
      </c>
      <c r="D556">
        <v>0</v>
      </c>
      <c r="E556">
        <v>0</v>
      </c>
      <c r="F556">
        <v>1</v>
      </c>
      <c r="G556" s="7">
        <v>0.05</v>
      </c>
      <c r="H556">
        <v>12</v>
      </c>
      <c r="I556">
        <v>0</v>
      </c>
      <c r="J556">
        <v>0</v>
      </c>
      <c r="K556">
        <v>0</v>
      </c>
      <c r="L556">
        <v>1</v>
      </c>
      <c r="M556">
        <v>2</v>
      </c>
      <c r="N556" s="7">
        <v>9</v>
      </c>
      <c r="O556" s="7">
        <v>0</v>
      </c>
      <c r="P556" s="7">
        <v>0</v>
      </c>
      <c r="Q556" s="7">
        <v>0</v>
      </c>
      <c r="R556" s="7">
        <v>1</v>
      </c>
      <c r="S556" s="7">
        <v>4.5</v>
      </c>
      <c r="T556">
        <v>7</v>
      </c>
      <c r="U556" s="1">
        <v>35</v>
      </c>
      <c r="V556">
        <v>0</v>
      </c>
      <c r="W556">
        <v>0</v>
      </c>
      <c r="X556">
        <v>1</v>
      </c>
      <c r="Y556">
        <v>0.16</v>
      </c>
      <c r="Z556">
        <v>23</v>
      </c>
      <c r="AA556">
        <v>0</v>
      </c>
      <c r="AB556">
        <v>0</v>
      </c>
      <c r="AC556">
        <v>0</v>
      </c>
      <c r="AD556">
        <v>1</v>
      </c>
      <c r="AE556">
        <v>0.05</v>
      </c>
      <c r="AF556">
        <v>15</v>
      </c>
      <c r="AG556">
        <v>0</v>
      </c>
      <c r="AH556">
        <v>0</v>
      </c>
      <c r="AI556">
        <v>0</v>
      </c>
      <c r="AJ556">
        <v>1</v>
      </c>
      <c r="AK556">
        <v>0.02</v>
      </c>
      <c r="AL556">
        <v>16</v>
      </c>
      <c r="AM556">
        <v>0</v>
      </c>
      <c r="AN556">
        <v>0</v>
      </c>
      <c r="AO556">
        <v>0</v>
      </c>
      <c r="AP556">
        <v>1</v>
      </c>
      <c r="AQ556">
        <v>0.01</v>
      </c>
      <c r="AX556">
        <v>7</v>
      </c>
      <c r="AY556" s="1">
        <v>19</v>
      </c>
      <c r="AZ556">
        <v>0</v>
      </c>
      <c r="BA556">
        <v>0</v>
      </c>
      <c r="BB556">
        <v>1</v>
      </c>
      <c r="BC556" s="7">
        <v>0.32</v>
      </c>
      <c r="BD556">
        <v>30</v>
      </c>
      <c r="BE556">
        <v>0</v>
      </c>
      <c r="BF556">
        <v>0</v>
      </c>
      <c r="BG556">
        <v>0</v>
      </c>
      <c r="BH556">
        <v>5</v>
      </c>
      <c r="BI556">
        <v>2.4</v>
      </c>
      <c r="BJ556">
        <v>31</v>
      </c>
      <c r="BK556">
        <v>0</v>
      </c>
      <c r="BL556">
        <v>0</v>
      </c>
      <c r="BM556">
        <v>0</v>
      </c>
      <c r="BN556">
        <v>5</v>
      </c>
      <c r="BO556">
        <v>2.4</v>
      </c>
      <c r="BP556">
        <v>36</v>
      </c>
      <c r="BQ556">
        <v>0</v>
      </c>
      <c r="BR556">
        <v>0</v>
      </c>
      <c r="BS556">
        <v>0</v>
      </c>
      <c r="BT556">
        <v>5</v>
      </c>
      <c r="BU556">
        <v>2.2999999999999998</v>
      </c>
    </row>
    <row r="557" spans="1:73" x14ac:dyDescent="0.15">
      <c r="A557" s="11">
        <v>10604</v>
      </c>
      <c r="B557">
        <v>7</v>
      </c>
      <c r="C557" s="1">
        <v>48</v>
      </c>
      <c r="D557">
        <v>0</v>
      </c>
      <c r="E557">
        <v>0</v>
      </c>
      <c r="F557">
        <v>1</v>
      </c>
      <c r="G557" s="7">
        <v>0.05</v>
      </c>
      <c r="H557">
        <v>12</v>
      </c>
      <c r="I557">
        <v>0</v>
      </c>
      <c r="J557">
        <v>0</v>
      </c>
      <c r="K557">
        <v>0</v>
      </c>
      <c r="L557">
        <v>1</v>
      </c>
      <c r="M557">
        <v>2</v>
      </c>
      <c r="N557" s="7">
        <v>9</v>
      </c>
      <c r="O557" s="7">
        <v>0</v>
      </c>
      <c r="P557" s="7">
        <v>0</v>
      </c>
      <c r="Q557" s="7">
        <v>0</v>
      </c>
      <c r="R557" s="7">
        <v>1</v>
      </c>
      <c r="S557" s="7">
        <v>4.5</v>
      </c>
      <c r="T557">
        <v>7</v>
      </c>
      <c r="U557" s="1">
        <v>36</v>
      </c>
      <c r="V557">
        <v>0</v>
      </c>
      <c r="W557">
        <v>0</v>
      </c>
      <c r="X557">
        <v>1</v>
      </c>
      <c r="Y557">
        <v>0.16</v>
      </c>
      <c r="Z557">
        <v>23</v>
      </c>
      <c r="AA557">
        <v>0</v>
      </c>
      <c r="AB557">
        <v>0</v>
      </c>
      <c r="AC557">
        <v>0</v>
      </c>
      <c r="AD557">
        <v>1</v>
      </c>
      <c r="AE557">
        <v>0.05</v>
      </c>
      <c r="AF557">
        <v>15</v>
      </c>
      <c r="AG557">
        <v>0</v>
      </c>
      <c r="AH557">
        <v>0</v>
      </c>
      <c r="AI557">
        <v>0</v>
      </c>
      <c r="AJ557">
        <v>1</v>
      </c>
      <c r="AK557">
        <v>0.02</v>
      </c>
      <c r="AL557">
        <v>16</v>
      </c>
      <c r="AM557">
        <v>0</v>
      </c>
      <c r="AN557">
        <v>0</v>
      </c>
      <c r="AO557">
        <v>0</v>
      </c>
      <c r="AP557">
        <v>1</v>
      </c>
      <c r="AQ557">
        <v>0.01</v>
      </c>
      <c r="AX557">
        <v>7</v>
      </c>
      <c r="AY557" s="1">
        <v>20</v>
      </c>
      <c r="AZ557">
        <v>0</v>
      </c>
      <c r="BA557">
        <v>0</v>
      </c>
      <c r="BB557">
        <v>1</v>
      </c>
      <c r="BC557" s="7">
        <v>0.32</v>
      </c>
      <c r="BD557">
        <v>30</v>
      </c>
      <c r="BE557">
        <v>0</v>
      </c>
      <c r="BF557">
        <v>0</v>
      </c>
      <c r="BG557">
        <v>0</v>
      </c>
      <c r="BH557">
        <v>5</v>
      </c>
      <c r="BI557">
        <v>2.4</v>
      </c>
      <c r="BJ557">
        <v>31</v>
      </c>
      <c r="BK557">
        <v>0</v>
      </c>
      <c r="BL557">
        <v>0</v>
      </c>
      <c r="BM557">
        <v>0</v>
      </c>
      <c r="BN557">
        <v>5</v>
      </c>
      <c r="BO557">
        <v>2.4</v>
      </c>
      <c r="BP557">
        <v>36</v>
      </c>
      <c r="BQ557">
        <v>0</v>
      </c>
      <c r="BR557">
        <v>0</v>
      </c>
      <c r="BS557">
        <v>0</v>
      </c>
      <c r="BT557">
        <v>5</v>
      </c>
      <c r="BU557">
        <v>2.2999999999999998</v>
      </c>
    </row>
    <row r="558" spans="1:73" x14ac:dyDescent="0.15">
      <c r="A558" s="11">
        <v>10605</v>
      </c>
      <c r="B558">
        <v>7</v>
      </c>
      <c r="C558" s="1">
        <v>0</v>
      </c>
      <c r="D558">
        <v>5</v>
      </c>
      <c r="E558">
        <v>1</v>
      </c>
      <c r="F558">
        <v>1</v>
      </c>
      <c r="G558" s="7">
        <v>0.05</v>
      </c>
      <c r="H558">
        <v>12</v>
      </c>
      <c r="I558">
        <v>0</v>
      </c>
      <c r="J558">
        <v>0</v>
      </c>
      <c r="K558">
        <v>0</v>
      </c>
      <c r="L558">
        <v>1</v>
      </c>
      <c r="M558">
        <v>2</v>
      </c>
      <c r="N558" s="7">
        <v>9</v>
      </c>
      <c r="O558" s="7">
        <v>0</v>
      </c>
      <c r="P558" s="7">
        <v>0</v>
      </c>
      <c r="Q558" s="7">
        <v>0</v>
      </c>
      <c r="R558" s="7">
        <v>1</v>
      </c>
      <c r="S558" s="7">
        <v>4.5</v>
      </c>
      <c r="T558">
        <v>7</v>
      </c>
      <c r="U558" s="1">
        <v>0</v>
      </c>
      <c r="V558">
        <v>4</v>
      </c>
      <c r="W558">
        <v>2</v>
      </c>
      <c r="X558">
        <v>1</v>
      </c>
      <c r="Y558">
        <v>0.16</v>
      </c>
      <c r="Z558">
        <v>23</v>
      </c>
      <c r="AA558">
        <v>0</v>
      </c>
      <c r="AB558">
        <v>0</v>
      </c>
      <c r="AC558">
        <v>0</v>
      </c>
      <c r="AD558">
        <v>1</v>
      </c>
      <c r="AE558">
        <v>0.05</v>
      </c>
      <c r="AF558">
        <v>15</v>
      </c>
      <c r="AG558">
        <v>0</v>
      </c>
      <c r="AH558">
        <v>0</v>
      </c>
      <c r="AI558">
        <v>0</v>
      </c>
      <c r="AJ558">
        <v>1</v>
      </c>
      <c r="AK558">
        <v>0.02</v>
      </c>
      <c r="AL558">
        <v>16</v>
      </c>
      <c r="AM558">
        <v>0</v>
      </c>
      <c r="AN558">
        <v>0</v>
      </c>
      <c r="AO558">
        <v>0</v>
      </c>
      <c r="AP558">
        <v>1</v>
      </c>
      <c r="AQ558">
        <v>0.01</v>
      </c>
      <c r="AR558">
        <v>6</v>
      </c>
      <c r="AS558">
        <v>2</v>
      </c>
      <c r="AT558">
        <v>1</v>
      </c>
      <c r="AU558">
        <v>5</v>
      </c>
      <c r="AV558">
        <v>1</v>
      </c>
      <c r="AW558">
        <v>0.05</v>
      </c>
      <c r="AX558">
        <v>7</v>
      </c>
      <c r="AY558" s="1">
        <v>0</v>
      </c>
      <c r="AZ558">
        <v>3</v>
      </c>
      <c r="BA558">
        <v>1</v>
      </c>
      <c r="BB558">
        <v>1</v>
      </c>
      <c r="BC558" s="7">
        <v>0.32</v>
      </c>
      <c r="BD558">
        <v>30</v>
      </c>
      <c r="BE558">
        <v>0</v>
      </c>
      <c r="BF558">
        <v>0</v>
      </c>
      <c r="BG558">
        <v>0</v>
      </c>
      <c r="BH558">
        <v>5</v>
      </c>
      <c r="BI558">
        <v>2.4</v>
      </c>
      <c r="BJ558">
        <v>31</v>
      </c>
      <c r="BK558">
        <v>0</v>
      </c>
      <c r="BL558">
        <v>0</v>
      </c>
      <c r="BM558">
        <v>0</v>
      </c>
      <c r="BN558">
        <v>5</v>
      </c>
      <c r="BO558">
        <v>2.4</v>
      </c>
      <c r="BP558">
        <v>36</v>
      </c>
      <c r="BQ558">
        <v>0</v>
      </c>
      <c r="BR558">
        <v>0</v>
      </c>
      <c r="BS558">
        <v>0</v>
      </c>
      <c r="BT558">
        <v>5</v>
      </c>
      <c r="BU558">
        <v>2.2999999999999998</v>
      </c>
    </row>
    <row r="559" spans="1:73" x14ac:dyDescent="0.15">
      <c r="A559" s="11">
        <v>10606</v>
      </c>
      <c r="B559">
        <v>7</v>
      </c>
      <c r="C559" s="1">
        <v>45</v>
      </c>
      <c r="D559">
        <v>0</v>
      </c>
      <c r="E559">
        <v>0</v>
      </c>
      <c r="F559">
        <v>1</v>
      </c>
      <c r="G559" s="7">
        <v>0.05</v>
      </c>
      <c r="H559">
        <v>12</v>
      </c>
      <c r="I559">
        <v>0</v>
      </c>
      <c r="J559">
        <v>0</v>
      </c>
      <c r="K559">
        <v>0</v>
      </c>
      <c r="L559">
        <v>1</v>
      </c>
      <c r="M559">
        <v>2</v>
      </c>
      <c r="N559" s="7">
        <v>9</v>
      </c>
      <c r="O559" s="7">
        <v>0</v>
      </c>
      <c r="P559" s="7">
        <v>0</v>
      </c>
      <c r="Q559" s="7">
        <v>0</v>
      </c>
      <c r="R559" s="7">
        <v>1</v>
      </c>
      <c r="S559" s="7">
        <v>4.5</v>
      </c>
      <c r="T559">
        <v>7</v>
      </c>
      <c r="U559" s="1">
        <v>33</v>
      </c>
      <c r="V559">
        <v>0</v>
      </c>
      <c r="W559">
        <v>0</v>
      </c>
      <c r="X559">
        <v>1</v>
      </c>
      <c r="Y559">
        <v>0.16</v>
      </c>
      <c r="Z559">
        <v>23</v>
      </c>
      <c r="AA559">
        <v>0</v>
      </c>
      <c r="AB559">
        <v>0</v>
      </c>
      <c r="AC559">
        <v>0</v>
      </c>
      <c r="AD559">
        <v>1</v>
      </c>
      <c r="AE559">
        <v>0.05</v>
      </c>
      <c r="AF559">
        <v>15</v>
      </c>
      <c r="AG559">
        <v>0</v>
      </c>
      <c r="AH559">
        <v>0</v>
      </c>
      <c r="AI559">
        <v>0</v>
      </c>
      <c r="AJ559">
        <v>1</v>
      </c>
      <c r="AK559">
        <v>0.02</v>
      </c>
      <c r="AL559">
        <v>16</v>
      </c>
      <c r="AM559">
        <v>0</v>
      </c>
      <c r="AN559">
        <v>0</v>
      </c>
      <c r="AO559">
        <v>0</v>
      </c>
      <c r="AP559">
        <v>1</v>
      </c>
      <c r="AQ559">
        <v>0.01</v>
      </c>
      <c r="AX559">
        <v>7</v>
      </c>
      <c r="AY559" s="1">
        <v>17</v>
      </c>
      <c r="AZ559">
        <v>0</v>
      </c>
      <c r="BA559">
        <v>0</v>
      </c>
      <c r="BB559">
        <v>1</v>
      </c>
      <c r="BC559" s="7">
        <v>0.32</v>
      </c>
      <c r="BD559">
        <v>30</v>
      </c>
      <c r="BE559">
        <v>0</v>
      </c>
      <c r="BF559">
        <v>0</v>
      </c>
      <c r="BG559">
        <v>0</v>
      </c>
      <c r="BH559">
        <v>5</v>
      </c>
      <c r="BI559">
        <v>2.4</v>
      </c>
      <c r="BJ559">
        <v>31</v>
      </c>
      <c r="BK559">
        <v>0</v>
      </c>
      <c r="BL559">
        <v>0</v>
      </c>
      <c r="BM559">
        <v>0</v>
      </c>
      <c r="BN559">
        <v>5</v>
      </c>
      <c r="BO559">
        <v>2.4</v>
      </c>
      <c r="BP559">
        <v>36</v>
      </c>
      <c r="BQ559">
        <v>0</v>
      </c>
      <c r="BR559">
        <v>0</v>
      </c>
      <c r="BS559">
        <v>0</v>
      </c>
      <c r="BT559">
        <v>5</v>
      </c>
      <c r="BU559">
        <v>2.2999999999999998</v>
      </c>
    </row>
    <row r="560" spans="1:73" x14ac:dyDescent="0.15">
      <c r="A560" s="11">
        <v>10607</v>
      </c>
      <c r="B560">
        <v>7</v>
      </c>
      <c r="C560" s="1">
        <v>46</v>
      </c>
      <c r="D560">
        <v>0</v>
      </c>
      <c r="E560">
        <v>0</v>
      </c>
      <c r="F560">
        <v>1</v>
      </c>
      <c r="G560" s="7">
        <v>0.05</v>
      </c>
      <c r="H560">
        <v>12</v>
      </c>
      <c r="I560">
        <v>0</v>
      </c>
      <c r="J560">
        <v>0</v>
      </c>
      <c r="K560">
        <v>0</v>
      </c>
      <c r="L560">
        <v>1</v>
      </c>
      <c r="M560">
        <v>2</v>
      </c>
      <c r="N560" s="7">
        <v>9</v>
      </c>
      <c r="O560" s="7">
        <v>0</v>
      </c>
      <c r="P560" s="7">
        <v>0</v>
      </c>
      <c r="Q560" s="7">
        <v>0</v>
      </c>
      <c r="R560" s="7">
        <v>1</v>
      </c>
      <c r="S560" s="7">
        <v>4.5</v>
      </c>
      <c r="T560">
        <v>7</v>
      </c>
      <c r="U560" s="1">
        <v>34</v>
      </c>
      <c r="V560">
        <v>0</v>
      </c>
      <c r="W560">
        <v>0</v>
      </c>
      <c r="X560">
        <v>1</v>
      </c>
      <c r="Y560">
        <v>0.16</v>
      </c>
      <c r="Z560">
        <v>23</v>
      </c>
      <c r="AA560">
        <v>0</v>
      </c>
      <c r="AB560">
        <v>0</v>
      </c>
      <c r="AC560">
        <v>0</v>
      </c>
      <c r="AD560">
        <v>1</v>
      </c>
      <c r="AE560">
        <v>0.05</v>
      </c>
      <c r="AF560">
        <v>15</v>
      </c>
      <c r="AG560">
        <v>0</v>
      </c>
      <c r="AH560">
        <v>0</v>
      </c>
      <c r="AI560">
        <v>0</v>
      </c>
      <c r="AJ560">
        <v>1</v>
      </c>
      <c r="AK560">
        <v>0.02</v>
      </c>
      <c r="AL560">
        <v>16</v>
      </c>
      <c r="AM560">
        <v>0</v>
      </c>
      <c r="AN560">
        <v>0</v>
      </c>
      <c r="AO560">
        <v>0</v>
      </c>
      <c r="AP560">
        <v>1</v>
      </c>
      <c r="AQ560">
        <v>0.01</v>
      </c>
      <c r="AX560">
        <v>7</v>
      </c>
      <c r="AY560" s="1">
        <v>18</v>
      </c>
      <c r="AZ560">
        <v>0</v>
      </c>
      <c r="BA560">
        <v>0</v>
      </c>
      <c r="BB560">
        <v>1</v>
      </c>
      <c r="BC560" s="7">
        <v>0.32</v>
      </c>
      <c r="BD560">
        <v>30</v>
      </c>
      <c r="BE560">
        <v>0</v>
      </c>
      <c r="BF560">
        <v>0</v>
      </c>
      <c r="BG560">
        <v>0</v>
      </c>
      <c r="BH560">
        <v>5</v>
      </c>
      <c r="BI560">
        <v>2.4</v>
      </c>
      <c r="BJ560">
        <v>31</v>
      </c>
      <c r="BK560">
        <v>0</v>
      </c>
      <c r="BL560">
        <v>0</v>
      </c>
      <c r="BM560">
        <v>0</v>
      </c>
      <c r="BN560">
        <v>5</v>
      </c>
      <c r="BO560">
        <v>2.4</v>
      </c>
      <c r="BP560">
        <v>36</v>
      </c>
      <c r="BQ560">
        <v>0</v>
      </c>
      <c r="BR560">
        <v>0</v>
      </c>
      <c r="BS560">
        <v>0</v>
      </c>
      <c r="BT560">
        <v>5</v>
      </c>
      <c r="BU560">
        <v>2.2999999999999998</v>
      </c>
    </row>
    <row r="561" spans="1:73" x14ac:dyDescent="0.15">
      <c r="A561" s="11">
        <v>10608</v>
      </c>
      <c r="B561">
        <v>7</v>
      </c>
      <c r="C561" s="1">
        <v>47</v>
      </c>
      <c r="D561">
        <v>0</v>
      </c>
      <c r="E561">
        <v>0</v>
      </c>
      <c r="F561">
        <v>1</v>
      </c>
      <c r="G561" s="7">
        <v>0.05</v>
      </c>
      <c r="H561">
        <v>12</v>
      </c>
      <c r="I561">
        <v>0</v>
      </c>
      <c r="J561">
        <v>0</v>
      </c>
      <c r="K561">
        <v>0</v>
      </c>
      <c r="L561">
        <v>1</v>
      </c>
      <c r="M561">
        <v>2</v>
      </c>
      <c r="N561" s="7">
        <v>9</v>
      </c>
      <c r="O561" s="7">
        <v>0</v>
      </c>
      <c r="P561" s="7">
        <v>0</v>
      </c>
      <c r="Q561" s="7">
        <v>0</v>
      </c>
      <c r="R561" s="7">
        <v>1</v>
      </c>
      <c r="S561" s="7">
        <v>4.5</v>
      </c>
      <c r="T561">
        <v>7</v>
      </c>
      <c r="U561" s="1">
        <v>35</v>
      </c>
      <c r="V561">
        <v>0</v>
      </c>
      <c r="W561">
        <v>0</v>
      </c>
      <c r="X561">
        <v>1</v>
      </c>
      <c r="Y561">
        <v>0.16</v>
      </c>
      <c r="Z561">
        <v>23</v>
      </c>
      <c r="AA561">
        <v>0</v>
      </c>
      <c r="AB561">
        <v>0</v>
      </c>
      <c r="AC561">
        <v>0</v>
      </c>
      <c r="AD561">
        <v>1</v>
      </c>
      <c r="AE561">
        <v>0.05</v>
      </c>
      <c r="AF561">
        <v>15</v>
      </c>
      <c r="AG561">
        <v>0</v>
      </c>
      <c r="AH561">
        <v>0</v>
      </c>
      <c r="AI561">
        <v>0</v>
      </c>
      <c r="AJ561">
        <v>1</v>
      </c>
      <c r="AK561">
        <v>0.02</v>
      </c>
      <c r="AL561">
        <v>16</v>
      </c>
      <c r="AM561">
        <v>0</v>
      </c>
      <c r="AN561">
        <v>0</v>
      </c>
      <c r="AO561">
        <v>0</v>
      </c>
      <c r="AP561">
        <v>1</v>
      </c>
      <c r="AQ561">
        <v>0.01</v>
      </c>
      <c r="AX561">
        <v>7</v>
      </c>
      <c r="AY561" s="1">
        <v>19</v>
      </c>
      <c r="AZ561">
        <v>0</v>
      </c>
      <c r="BA561">
        <v>0</v>
      </c>
      <c r="BB561">
        <v>1</v>
      </c>
      <c r="BC561" s="7">
        <v>0.32</v>
      </c>
      <c r="BD561">
        <v>30</v>
      </c>
      <c r="BE561">
        <v>0</v>
      </c>
      <c r="BF561">
        <v>0</v>
      </c>
      <c r="BG561">
        <v>0</v>
      </c>
      <c r="BH561">
        <v>5</v>
      </c>
      <c r="BI561">
        <v>2.4</v>
      </c>
      <c r="BJ561">
        <v>31</v>
      </c>
      <c r="BK561">
        <v>0</v>
      </c>
      <c r="BL561">
        <v>0</v>
      </c>
      <c r="BM561">
        <v>0</v>
      </c>
      <c r="BN561">
        <v>5</v>
      </c>
      <c r="BO561">
        <v>2.4</v>
      </c>
      <c r="BP561">
        <v>36</v>
      </c>
      <c r="BQ561">
        <v>0</v>
      </c>
      <c r="BR561">
        <v>0</v>
      </c>
      <c r="BS561">
        <v>0</v>
      </c>
      <c r="BT561">
        <v>5</v>
      </c>
      <c r="BU561">
        <v>2.2999999999999998</v>
      </c>
    </row>
    <row r="562" spans="1:73" x14ac:dyDescent="0.15">
      <c r="A562" s="11">
        <v>10609</v>
      </c>
      <c r="B562">
        <v>7</v>
      </c>
      <c r="C562" s="1">
        <v>48</v>
      </c>
      <c r="D562">
        <v>0</v>
      </c>
      <c r="E562">
        <v>0</v>
      </c>
      <c r="F562">
        <v>1</v>
      </c>
      <c r="G562" s="7">
        <v>0.05</v>
      </c>
      <c r="H562">
        <v>12</v>
      </c>
      <c r="I562">
        <v>0</v>
      </c>
      <c r="J562">
        <v>0</v>
      </c>
      <c r="K562">
        <v>0</v>
      </c>
      <c r="L562">
        <v>1</v>
      </c>
      <c r="M562">
        <v>2</v>
      </c>
      <c r="N562" s="7">
        <v>9</v>
      </c>
      <c r="O562" s="7">
        <v>0</v>
      </c>
      <c r="P562" s="7">
        <v>0</v>
      </c>
      <c r="Q562" s="7">
        <v>0</v>
      </c>
      <c r="R562" s="7">
        <v>1</v>
      </c>
      <c r="S562" s="7">
        <v>4.5</v>
      </c>
      <c r="T562">
        <v>7</v>
      </c>
      <c r="U562" s="1">
        <v>36</v>
      </c>
      <c r="V562">
        <v>0</v>
      </c>
      <c r="W562">
        <v>0</v>
      </c>
      <c r="X562">
        <v>1</v>
      </c>
      <c r="Y562">
        <v>0.16</v>
      </c>
      <c r="Z562">
        <v>23</v>
      </c>
      <c r="AA562">
        <v>0</v>
      </c>
      <c r="AB562">
        <v>0</v>
      </c>
      <c r="AC562">
        <v>0</v>
      </c>
      <c r="AD562">
        <v>1</v>
      </c>
      <c r="AE562">
        <v>0.05</v>
      </c>
      <c r="AF562">
        <v>15</v>
      </c>
      <c r="AG562">
        <v>0</v>
      </c>
      <c r="AH562">
        <v>0</v>
      </c>
      <c r="AI562">
        <v>0</v>
      </c>
      <c r="AJ562">
        <v>1</v>
      </c>
      <c r="AK562">
        <v>0.02</v>
      </c>
      <c r="AL562">
        <v>16</v>
      </c>
      <c r="AM562">
        <v>0</v>
      </c>
      <c r="AN562">
        <v>0</v>
      </c>
      <c r="AO562">
        <v>0</v>
      </c>
      <c r="AP562">
        <v>1</v>
      </c>
      <c r="AQ562">
        <v>0.01</v>
      </c>
      <c r="AX562">
        <v>7</v>
      </c>
      <c r="AY562" s="1">
        <v>20</v>
      </c>
      <c r="AZ562">
        <v>0</v>
      </c>
      <c r="BA562">
        <v>0</v>
      </c>
      <c r="BB562">
        <v>1</v>
      </c>
      <c r="BC562" s="7">
        <v>0.32</v>
      </c>
      <c r="BD562">
        <v>30</v>
      </c>
      <c r="BE562">
        <v>0</v>
      </c>
      <c r="BF562">
        <v>0</v>
      </c>
      <c r="BG562">
        <v>0</v>
      </c>
      <c r="BH562">
        <v>5</v>
      </c>
      <c r="BI562">
        <v>2.4</v>
      </c>
      <c r="BJ562">
        <v>31</v>
      </c>
      <c r="BK562">
        <v>0</v>
      </c>
      <c r="BL562">
        <v>0</v>
      </c>
      <c r="BM562">
        <v>0</v>
      </c>
      <c r="BN562">
        <v>5</v>
      </c>
      <c r="BO562">
        <v>2.4</v>
      </c>
      <c r="BP562">
        <v>36</v>
      </c>
      <c r="BQ562">
        <v>0</v>
      </c>
      <c r="BR562">
        <v>0</v>
      </c>
      <c r="BS562">
        <v>0</v>
      </c>
      <c r="BT562">
        <v>5</v>
      </c>
      <c r="BU562">
        <v>2.2999999999999998</v>
      </c>
    </row>
    <row r="563" spans="1:73" x14ac:dyDescent="0.15">
      <c r="A563" s="11">
        <v>10610</v>
      </c>
      <c r="B563">
        <v>7</v>
      </c>
      <c r="C563" s="1">
        <v>0</v>
      </c>
      <c r="D563">
        <v>5</v>
      </c>
      <c r="E563">
        <v>1</v>
      </c>
      <c r="F563">
        <v>1</v>
      </c>
      <c r="G563" s="7">
        <v>0.05</v>
      </c>
      <c r="H563">
        <v>12</v>
      </c>
      <c r="I563">
        <v>0</v>
      </c>
      <c r="J563">
        <v>0</v>
      </c>
      <c r="K563">
        <v>0</v>
      </c>
      <c r="L563">
        <v>1</v>
      </c>
      <c r="M563">
        <v>2</v>
      </c>
      <c r="N563" s="7">
        <v>9</v>
      </c>
      <c r="O563" s="7">
        <v>0</v>
      </c>
      <c r="P563" s="7">
        <v>0</v>
      </c>
      <c r="Q563" s="7">
        <v>0</v>
      </c>
      <c r="R563" s="7">
        <v>1</v>
      </c>
      <c r="S563" s="7">
        <v>4.5</v>
      </c>
      <c r="T563">
        <v>7</v>
      </c>
      <c r="U563" s="1">
        <v>0</v>
      </c>
      <c r="V563">
        <v>4</v>
      </c>
      <c r="W563">
        <v>2</v>
      </c>
      <c r="X563">
        <v>1</v>
      </c>
      <c r="Y563">
        <v>0.16</v>
      </c>
      <c r="Z563">
        <v>23</v>
      </c>
      <c r="AA563">
        <v>0</v>
      </c>
      <c r="AB563">
        <v>0</v>
      </c>
      <c r="AC563">
        <v>0</v>
      </c>
      <c r="AD563">
        <v>1</v>
      </c>
      <c r="AE563">
        <v>0.05</v>
      </c>
      <c r="AF563">
        <v>15</v>
      </c>
      <c r="AG563">
        <v>0</v>
      </c>
      <c r="AH563">
        <v>0</v>
      </c>
      <c r="AI563">
        <v>0</v>
      </c>
      <c r="AJ563">
        <v>1</v>
      </c>
      <c r="AK563">
        <v>0.02</v>
      </c>
      <c r="AL563">
        <v>16</v>
      </c>
      <c r="AM563">
        <v>0</v>
      </c>
      <c r="AN563">
        <v>0</v>
      </c>
      <c r="AO563">
        <v>0</v>
      </c>
      <c r="AP563">
        <v>1</v>
      </c>
      <c r="AQ563">
        <v>0.01</v>
      </c>
      <c r="AR563">
        <v>6</v>
      </c>
      <c r="AS563">
        <v>2</v>
      </c>
      <c r="AT563">
        <v>2</v>
      </c>
      <c r="AU563">
        <v>5</v>
      </c>
      <c r="AV563">
        <v>1</v>
      </c>
      <c r="AW563">
        <v>0.05</v>
      </c>
      <c r="AX563">
        <v>7</v>
      </c>
      <c r="AY563" s="1">
        <v>0</v>
      </c>
      <c r="AZ563">
        <v>3</v>
      </c>
      <c r="BA563">
        <v>1</v>
      </c>
      <c r="BB563">
        <v>1</v>
      </c>
      <c r="BC563" s="7">
        <v>0.32</v>
      </c>
      <c r="BD563">
        <v>30</v>
      </c>
      <c r="BE563">
        <v>0</v>
      </c>
      <c r="BF563">
        <v>0</v>
      </c>
      <c r="BG563">
        <v>0</v>
      </c>
      <c r="BH563">
        <v>5</v>
      </c>
      <c r="BI563">
        <v>2.4</v>
      </c>
      <c r="BJ563">
        <v>31</v>
      </c>
      <c r="BK563">
        <v>0</v>
      </c>
      <c r="BL563">
        <v>0</v>
      </c>
      <c r="BM563">
        <v>0</v>
      </c>
      <c r="BN563">
        <v>5</v>
      </c>
      <c r="BO563">
        <v>2.4</v>
      </c>
      <c r="BP563">
        <v>36</v>
      </c>
      <c r="BQ563">
        <v>0</v>
      </c>
      <c r="BR563">
        <v>0</v>
      </c>
      <c r="BS563">
        <v>0</v>
      </c>
      <c r="BT563">
        <v>5</v>
      </c>
      <c r="BU563">
        <v>2.2999999999999998</v>
      </c>
    </row>
    <row r="564" spans="1:73" x14ac:dyDescent="0.15">
      <c r="A564" s="11">
        <v>10611</v>
      </c>
      <c r="B564">
        <v>7</v>
      </c>
      <c r="C564" s="1">
        <v>45</v>
      </c>
      <c r="D564">
        <v>0</v>
      </c>
      <c r="E564">
        <v>0</v>
      </c>
      <c r="F564">
        <v>1</v>
      </c>
      <c r="G564" s="7">
        <v>0.05</v>
      </c>
      <c r="H564">
        <v>12</v>
      </c>
      <c r="I564">
        <v>0</v>
      </c>
      <c r="J564">
        <v>0</v>
      </c>
      <c r="K564">
        <v>0</v>
      </c>
      <c r="L564">
        <v>1</v>
      </c>
      <c r="M564">
        <v>2</v>
      </c>
      <c r="N564" s="7">
        <v>9</v>
      </c>
      <c r="O564" s="7">
        <v>0</v>
      </c>
      <c r="P564" s="7">
        <v>0</v>
      </c>
      <c r="Q564" s="7">
        <v>0</v>
      </c>
      <c r="R564" s="7">
        <v>1</v>
      </c>
      <c r="S564" s="7">
        <v>4.5</v>
      </c>
      <c r="T564">
        <v>7</v>
      </c>
      <c r="U564" s="1">
        <v>33</v>
      </c>
      <c r="V564">
        <v>0</v>
      </c>
      <c r="W564">
        <v>0</v>
      </c>
      <c r="X564">
        <v>1</v>
      </c>
      <c r="Y564">
        <v>0.16</v>
      </c>
      <c r="Z564">
        <v>23</v>
      </c>
      <c r="AA564">
        <v>0</v>
      </c>
      <c r="AB564">
        <v>0</v>
      </c>
      <c r="AC564">
        <v>0</v>
      </c>
      <c r="AD564">
        <v>1</v>
      </c>
      <c r="AE564">
        <v>0.05</v>
      </c>
      <c r="AF564">
        <v>15</v>
      </c>
      <c r="AG564">
        <v>0</v>
      </c>
      <c r="AH564">
        <v>0</v>
      </c>
      <c r="AI564">
        <v>0</v>
      </c>
      <c r="AJ564">
        <v>1</v>
      </c>
      <c r="AK564">
        <v>0.02</v>
      </c>
      <c r="AL564">
        <v>16</v>
      </c>
      <c r="AM564">
        <v>0</v>
      </c>
      <c r="AN564">
        <v>0</v>
      </c>
      <c r="AO564">
        <v>0</v>
      </c>
      <c r="AP564">
        <v>1</v>
      </c>
      <c r="AQ564">
        <v>0.01</v>
      </c>
      <c r="AX564">
        <v>7</v>
      </c>
      <c r="AY564" s="1">
        <v>17</v>
      </c>
      <c r="AZ564">
        <v>0</v>
      </c>
      <c r="BA564">
        <v>0</v>
      </c>
      <c r="BB564">
        <v>1</v>
      </c>
      <c r="BC564" s="7">
        <v>0.32</v>
      </c>
      <c r="BD564">
        <v>30</v>
      </c>
      <c r="BE564">
        <v>0</v>
      </c>
      <c r="BF564">
        <v>0</v>
      </c>
      <c r="BG564">
        <v>0</v>
      </c>
      <c r="BH564">
        <v>5</v>
      </c>
      <c r="BI564">
        <v>2.4</v>
      </c>
      <c r="BJ564">
        <v>31</v>
      </c>
      <c r="BK564">
        <v>0</v>
      </c>
      <c r="BL564">
        <v>0</v>
      </c>
      <c r="BM564">
        <v>0</v>
      </c>
      <c r="BN564">
        <v>5</v>
      </c>
      <c r="BO564">
        <v>2.4</v>
      </c>
      <c r="BP564">
        <v>36</v>
      </c>
      <c r="BQ564">
        <v>0</v>
      </c>
      <c r="BR564">
        <v>0</v>
      </c>
      <c r="BS564">
        <v>0</v>
      </c>
      <c r="BT564">
        <v>5</v>
      </c>
      <c r="BU564">
        <v>2.2999999999999998</v>
      </c>
    </row>
    <row r="565" spans="1:73" x14ac:dyDescent="0.15">
      <c r="A565" s="11">
        <v>10612</v>
      </c>
      <c r="B565">
        <v>7</v>
      </c>
      <c r="C565" s="1">
        <v>46</v>
      </c>
      <c r="D565">
        <v>0</v>
      </c>
      <c r="E565">
        <v>0</v>
      </c>
      <c r="F565">
        <v>1</v>
      </c>
      <c r="G565" s="7">
        <v>0.05</v>
      </c>
      <c r="H565">
        <v>12</v>
      </c>
      <c r="I565">
        <v>0</v>
      </c>
      <c r="J565">
        <v>0</v>
      </c>
      <c r="K565">
        <v>0</v>
      </c>
      <c r="L565">
        <v>1</v>
      </c>
      <c r="M565">
        <v>2</v>
      </c>
      <c r="N565" s="7">
        <v>9</v>
      </c>
      <c r="O565" s="7">
        <v>0</v>
      </c>
      <c r="P565" s="7">
        <v>0</v>
      </c>
      <c r="Q565" s="7">
        <v>0</v>
      </c>
      <c r="R565" s="7">
        <v>1</v>
      </c>
      <c r="S565" s="7">
        <v>4.5</v>
      </c>
      <c r="T565">
        <v>7</v>
      </c>
      <c r="U565" s="1">
        <v>34</v>
      </c>
      <c r="V565">
        <v>0</v>
      </c>
      <c r="W565">
        <v>0</v>
      </c>
      <c r="X565">
        <v>1</v>
      </c>
      <c r="Y565">
        <v>0.16</v>
      </c>
      <c r="Z565">
        <v>23</v>
      </c>
      <c r="AA565">
        <v>0</v>
      </c>
      <c r="AB565">
        <v>0</v>
      </c>
      <c r="AC565">
        <v>0</v>
      </c>
      <c r="AD565">
        <v>1</v>
      </c>
      <c r="AE565">
        <v>0.05</v>
      </c>
      <c r="AF565">
        <v>15</v>
      </c>
      <c r="AG565">
        <v>0</v>
      </c>
      <c r="AH565">
        <v>0</v>
      </c>
      <c r="AI565">
        <v>0</v>
      </c>
      <c r="AJ565">
        <v>1</v>
      </c>
      <c r="AK565">
        <v>0.02</v>
      </c>
      <c r="AL565">
        <v>16</v>
      </c>
      <c r="AM565">
        <v>0</v>
      </c>
      <c r="AN565">
        <v>0</v>
      </c>
      <c r="AO565">
        <v>0</v>
      </c>
      <c r="AP565">
        <v>1</v>
      </c>
      <c r="AQ565">
        <v>0.01</v>
      </c>
      <c r="AX565">
        <v>7</v>
      </c>
      <c r="AY565" s="1">
        <v>18</v>
      </c>
      <c r="AZ565">
        <v>0</v>
      </c>
      <c r="BA565">
        <v>0</v>
      </c>
      <c r="BB565">
        <v>1</v>
      </c>
      <c r="BC565" s="7">
        <v>0.32</v>
      </c>
      <c r="BD565">
        <v>30</v>
      </c>
      <c r="BE565">
        <v>0</v>
      </c>
      <c r="BF565">
        <v>0</v>
      </c>
      <c r="BG565">
        <v>0</v>
      </c>
      <c r="BH565">
        <v>5</v>
      </c>
      <c r="BI565">
        <v>2.4</v>
      </c>
      <c r="BJ565">
        <v>31</v>
      </c>
      <c r="BK565">
        <v>0</v>
      </c>
      <c r="BL565">
        <v>0</v>
      </c>
      <c r="BM565">
        <v>0</v>
      </c>
      <c r="BN565">
        <v>5</v>
      </c>
      <c r="BO565">
        <v>2.4</v>
      </c>
      <c r="BP565">
        <v>36</v>
      </c>
      <c r="BQ565">
        <v>0</v>
      </c>
      <c r="BR565">
        <v>0</v>
      </c>
      <c r="BS565">
        <v>0</v>
      </c>
      <c r="BT565">
        <v>5</v>
      </c>
      <c r="BU565">
        <v>2.2999999999999998</v>
      </c>
    </row>
    <row r="566" spans="1:73" x14ac:dyDescent="0.15">
      <c r="A566" s="11">
        <v>10613</v>
      </c>
      <c r="B566">
        <v>7</v>
      </c>
      <c r="C566" s="1">
        <v>47</v>
      </c>
      <c r="D566">
        <v>0</v>
      </c>
      <c r="E566">
        <v>0</v>
      </c>
      <c r="F566">
        <v>1</v>
      </c>
      <c r="G566" s="7">
        <v>0.05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2</v>
      </c>
      <c r="N566" s="7">
        <v>9</v>
      </c>
      <c r="O566" s="7">
        <v>0</v>
      </c>
      <c r="P566" s="7">
        <v>0</v>
      </c>
      <c r="Q566" s="7">
        <v>0</v>
      </c>
      <c r="R566" s="7">
        <v>1</v>
      </c>
      <c r="S566" s="7">
        <v>4.5</v>
      </c>
      <c r="T566">
        <v>7</v>
      </c>
      <c r="U566" s="1">
        <v>35</v>
      </c>
      <c r="V566">
        <v>0</v>
      </c>
      <c r="W566">
        <v>0</v>
      </c>
      <c r="X566">
        <v>1</v>
      </c>
      <c r="Y566">
        <v>0.16</v>
      </c>
      <c r="Z566">
        <v>23</v>
      </c>
      <c r="AA566">
        <v>0</v>
      </c>
      <c r="AB566">
        <v>0</v>
      </c>
      <c r="AC566">
        <v>0</v>
      </c>
      <c r="AD566">
        <v>1</v>
      </c>
      <c r="AE566">
        <v>0.05</v>
      </c>
      <c r="AF566">
        <v>15</v>
      </c>
      <c r="AG566">
        <v>0</v>
      </c>
      <c r="AH566">
        <v>0</v>
      </c>
      <c r="AI566">
        <v>0</v>
      </c>
      <c r="AJ566">
        <v>1</v>
      </c>
      <c r="AK566">
        <v>0.02</v>
      </c>
      <c r="AL566">
        <v>16</v>
      </c>
      <c r="AM566">
        <v>0</v>
      </c>
      <c r="AN566">
        <v>0</v>
      </c>
      <c r="AO566">
        <v>0</v>
      </c>
      <c r="AP566">
        <v>1</v>
      </c>
      <c r="AQ566">
        <v>0.01</v>
      </c>
      <c r="AX566">
        <v>7</v>
      </c>
      <c r="AY566" s="1">
        <v>19</v>
      </c>
      <c r="AZ566">
        <v>0</v>
      </c>
      <c r="BA566">
        <v>0</v>
      </c>
      <c r="BB566">
        <v>1</v>
      </c>
      <c r="BC566" s="7">
        <v>0.32</v>
      </c>
      <c r="BD566">
        <v>30</v>
      </c>
      <c r="BE566">
        <v>0</v>
      </c>
      <c r="BF566">
        <v>0</v>
      </c>
      <c r="BG566">
        <v>0</v>
      </c>
      <c r="BH566">
        <v>5</v>
      </c>
      <c r="BI566">
        <v>2.4</v>
      </c>
      <c r="BJ566">
        <v>31</v>
      </c>
      <c r="BK566">
        <v>0</v>
      </c>
      <c r="BL566">
        <v>0</v>
      </c>
      <c r="BM566">
        <v>0</v>
      </c>
      <c r="BN566">
        <v>5</v>
      </c>
      <c r="BO566">
        <v>2.4</v>
      </c>
      <c r="BP566">
        <v>36</v>
      </c>
      <c r="BQ566">
        <v>0</v>
      </c>
      <c r="BR566">
        <v>0</v>
      </c>
      <c r="BS566">
        <v>0</v>
      </c>
      <c r="BT566">
        <v>5</v>
      </c>
      <c r="BU566">
        <v>2.2999999999999998</v>
      </c>
    </row>
    <row r="567" spans="1:73" x14ac:dyDescent="0.15">
      <c r="A567" s="11">
        <v>10614</v>
      </c>
      <c r="B567">
        <v>7</v>
      </c>
      <c r="C567" s="1">
        <v>48</v>
      </c>
      <c r="D567">
        <v>0</v>
      </c>
      <c r="E567">
        <v>0</v>
      </c>
      <c r="F567">
        <v>1</v>
      </c>
      <c r="G567" s="7">
        <v>0.05</v>
      </c>
      <c r="H567">
        <v>12</v>
      </c>
      <c r="I567">
        <v>0</v>
      </c>
      <c r="J567">
        <v>0</v>
      </c>
      <c r="K567">
        <v>0</v>
      </c>
      <c r="L567">
        <v>1</v>
      </c>
      <c r="M567">
        <v>2</v>
      </c>
      <c r="N567" s="7">
        <v>9</v>
      </c>
      <c r="O567" s="7">
        <v>0</v>
      </c>
      <c r="P567" s="7">
        <v>0</v>
      </c>
      <c r="Q567" s="7">
        <v>0</v>
      </c>
      <c r="R567" s="7">
        <v>1</v>
      </c>
      <c r="S567" s="7">
        <v>4.5</v>
      </c>
      <c r="T567">
        <v>7</v>
      </c>
      <c r="U567" s="1">
        <v>36</v>
      </c>
      <c r="V567">
        <v>0</v>
      </c>
      <c r="W567">
        <v>0</v>
      </c>
      <c r="X567">
        <v>1</v>
      </c>
      <c r="Y567">
        <v>0.16</v>
      </c>
      <c r="Z567">
        <v>23</v>
      </c>
      <c r="AA567">
        <v>0</v>
      </c>
      <c r="AB567">
        <v>0</v>
      </c>
      <c r="AC567">
        <v>0</v>
      </c>
      <c r="AD567">
        <v>1</v>
      </c>
      <c r="AE567">
        <v>0.05</v>
      </c>
      <c r="AF567">
        <v>15</v>
      </c>
      <c r="AG567">
        <v>0</v>
      </c>
      <c r="AH567">
        <v>0</v>
      </c>
      <c r="AI567">
        <v>0</v>
      </c>
      <c r="AJ567">
        <v>1</v>
      </c>
      <c r="AK567">
        <v>0.02</v>
      </c>
      <c r="AL567">
        <v>16</v>
      </c>
      <c r="AM567">
        <v>0</v>
      </c>
      <c r="AN567">
        <v>0</v>
      </c>
      <c r="AO567">
        <v>0</v>
      </c>
      <c r="AP567">
        <v>1</v>
      </c>
      <c r="AQ567">
        <v>0.01</v>
      </c>
      <c r="AX567">
        <v>7</v>
      </c>
      <c r="AY567" s="1">
        <v>20</v>
      </c>
      <c r="AZ567">
        <v>0</v>
      </c>
      <c r="BA567">
        <v>0</v>
      </c>
      <c r="BB567">
        <v>1</v>
      </c>
      <c r="BC567" s="7">
        <v>0.32</v>
      </c>
      <c r="BD567">
        <v>30</v>
      </c>
      <c r="BE567">
        <v>0</v>
      </c>
      <c r="BF567">
        <v>0</v>
      </c>
      <c r="BG567">
        <v>0</v>
      </c>
      <c r="BH567">
        <v>5</v>
      </c>
      <c r="BI567">
        <v>2.4</v>
      </c>
      <c r="BJ567">
        <v>31</v>
      </c>
      <c r="BK567">
        <v>0</v>
      </c>
      <c r="BL567">
        <v>0</v>
      </c>
      <c r="BM567">
        <v>0</v>
      </c>
      <c r="BN567">
        <v>5</v>
      </c>
      <c r="BO567">
        <v>2.4</v>
      </c>
      <c r="BP567">
        <v>36</v>
      </c>
      <c r="BQ567">
        <v>0</v>
      </c>
      <c r="BR567">
        <v>0</v>
      </c>
      <c r="BS567">
        <v>0</v>
      </c>
      <c r="BT567">
        <v>5</v>
      </c>
      <c r="BU567">
        <v>2.2999999999999998</v>
      </c>
    </row>
    <row r="568" spans="1:73" x14ac:dyDescent="0.15">
      <c r="A568" s="11">
        <v>10615</v>
      </c>
      <c r="B568">
        <v>7</v>
      </c>
      <c r="C568" s="1">
        <v>0</v>
      </c>
      <c r="D568">
        <v>5</v>
      </c>
      <c r="E568">
        <v>1</v>
      </c>
      <c r="F568">
        <v>1</v>
      </c>
      <c r="G568" s="7">
        <v>0.05</v>
      </c>
      <c r="H568">
        <v>12</v>
      </c>
      <c r="I568">
        <v>0</v>
      </c>
      <c r="J568">
        <v>0</v>
      </c>
      <c r="K568">
        <v>0</v>
      </c>
      <c r="L568">
        <v>1</v>
      </c>
      <c r="M568">
        <v>2</v>
      </c>
      <c r="N568" s="7">
        <v>9</v>
      </c>
      <c r="O568" s="7">
        <v>0</v>
      </c>
      <c r="P568" s="7">
        <v>0</v>
      </c>
      <c r="Q568" s="7">
        <v>0</v>
      </c>
      <c r="R568" s="7">
        <v>1</v>
      </c>
      <c r="S568" s="7">
        <v>4.5</v>
      </c>
      <c r="T568">
        <v>7</v>
      </c>
      <c r="U568" s="1">
        <v>0</v>
      </c>
      <c r="V568">
        <v>4</v>
      </c>
      <c r="W568">
        <v>2</v>
      </c>
      <c r="X568">
        <v>1</v>
      </c>
      <c r="Y568">
        <v>0.16</v>
      </c>
      <c r="Z568">
        <v>23</v>
      </c>
      <c r="AA568">
        <v>0</v>
      </c>
      <c r="AB568">
        <v>0</v>
      </c>
      <c r="AC568">
        <v>0</v>
      </c>
      <c r="AD568">
        <v>1</v>
      </c>
      <c r="AE568">
        <v>0.05</v>
      </c>
      <c r="AF568">
        <v>15</v>
      </c>
      <c r="AG568">
        <v>0</v>
      </c>
      <c r="AH568">
        <v>0</v>
      </c>
      <c r="AI568">
        <v>0</v>
      </c>
      <c r="AJ568">
        <v>1</v>
      </c>
      <c r="AK568">
        <v>0.02</v>
      </c>
      <c r="AL568">
        <v>16</v>
      </c>
      <c r="AM568">
        <v>0</v>
      </c>
      <c r="AN568">
        <v>0</v>
      </c>
      <c r="AO568">
        <v>0</v>
      </c>
      <c r="AP568">
        <v>1</v>
      </c>
      <c r="AQ568">
        <v>0.01</v>
      </c>
      <c r="AR568">
        <v>6</v>
      </c>
      <c r="AS568">
        <v>2</v>
      </c>
      <c r="AT568">
        <v>3</v>
      </c>
      <c r="AU568">
        <v>5</v>
      </c>
      <c r="AV568">
        <v>1</v>
      </c>
      <c r="AW568">
        <v>0.05</v>
      </c>
      <c r="AX568">
        <v>7</v>
      </c>
      <c r="AY568" s="1">
        <v>0</v>
      </c>
      <c r="AZ568">
        <v>3</v>
      </c>
      <c r="BA568">
        <v>1</v>
      </c>
      <c r="BB568">
        <v>1</v>
      </c>
      <c r="BC568" s="7">
        <v>0.32</v>
      </c>
      <c r="BD568">
        <v>30</v>
      </c>
      <c r="BE568">
        <v>0</v>
      </c>
      <c r="BF568">
        <v>0</v>
      </c>
      <c r="BG568">
        <v>0</v>
      </c>
      <c r="BH568">
        <v>5</v>
      </c>
      <c r="BI568">
        <v>2.4</v>
      </c>
      <c r="BJ568">
        <v>31</v>
      </c>
      <c r="BK568">
        <v>0</v>
      </c>
      <c r="BL568">
        <v>0</v>
      </c>
      <c r="BM568">
        <v>0</v>
      </c>
      <c r="BN568">
        <v>5</v>
      </c>
      <c r="BO568">
        <v>2.4</v>
      </c>
      <c r="BP568">
        <v>36</v>
      </c>
      <c r="BQ568">
        <v>0</v>
      </c>
      <c r="BR568">
        <v>0</v>
      </c>
      <c r="BS568">
        <v>0</v>
      </c>
      <c r="BT568">
        <v>5</v>
      </c>
      <c r="BU568">
        <v>2.2999999999999998</v>
      </c>
    </row>
    <row r="569" spans="1:73" x14ac:dyDescent="0.15">
      <c r="A569" s="11">
        <v>10616</v>
      </c>
      <c r="B569">
        <v>7</v>
      </c>
      <c r="C569" s="1">
        <v>45</v>
      </c>
      <c r="D569">
        <v>0</v>
      </c>
      <c r="E569">
        <v>0</v>
      </c>
      <c r="F569">
        <v>1</v>
      </c>
      <c r="G569" s="7">
        <v>0.05</v>
      </c>
      <c r="H569">
        <v>12</v>
      </c>
      <c r="I569">
        <v>0</v>
      </c>
      <c r="J569">
        <v>0</v>
      </c>
      <c r="K569">
        <v>0</v>
      </c>
      <c r="L569">
        <v>1</v>
      </c>
      <c r="M569">
        <v>2</v>
      </c>
      <c r="N569" s="7">
        <v>9</v>
      </c>
      <c r="O569" s="7">
        <v>0</v>
      </c>
      <c r="P569" s="7">
        <v>0</v>
      </c>
      <c r="Q569" s="7">
        <v>0</v>
      </c>
      <c r="R569" s="7">
        <v>1</v>
      </c>
      <c r="S569" s="7">
        <v>4.5</v>
      </c>
      <c r="T569">
        <v>7</v>
      </c>
      <c r="U569" s="1">
        <v>33</v>
      </c>
      <c r="V569">
        <v>0</v>
      </c>
      <c r="W569">
        <v>0</v>
      </c>
      <c r="X569">
        <v>1</v>
      </c>
      <c r="Y569">
        <v>0.16</v>
      </c>
      <c r="Z569">
        <v>23</v>
      </c>
      <c r="AA569">
        <v>0</v>
      </c>
      <c r="AB569">
        <v>0</v>
      </c>
      <c r="AC569">
        <v>0</v>
      </c>
      <c r="AD569">
        <v>1</v>
      </c>
      <c r="AE569">
        <v>0.05</v>
      </c>
      <c r="AF569">
        <v>15</v>
      </c>
      <c r="AG569">
        <v>0</v>
      </c>
      <c r="AH569">
        <v>0</v>
      </c>
      <c r="AI569">
        <v>0</v>
      </c>
      <c r="AJ569">
        <v>1</v>
      </c>
      <c r="AK569">
        <v>0.02</v>
      </c>
      <c r="AL569">
        <v>16</v>
      </c>
      <c r="AM569">
        <v>0</v>
      </c>
      <c r="AN569">
        <v>0</v>
      </c>
      <c r="AO569">
        <v>0</v>
      </c>
      <c r="AP569">
        <v>1</v>
      </c>
      <c r="AQ569">
        <v>0.01</v>
      </c>
      <c r="AX569">
        <v>7</v>
      </c>
      <c r="AY569" s="1">
        <v>17</v>
      </c>
      <c r="AZ569">
        <v>0</v>
      </c>
      <c r="BA569">
        <v>0</v>
      </c>
      <c r="BB569">
        <v>1</v>
      </c>
      <c r="BC569" s="7">
        <v>0.32</v>
      </c>
      <c r="BD569">
        <v>30</v>
      </c>
      <c r="BE569">
        <v>0</v>
      </c>
      <c r="BF569">
        <v>0</v>
      </c>
      <c r="BG569">
        <v>0</v>
      </c>
      <c r="BH569">
        <v>5</v>
      </c>
      <c r="BI569">
        <v>2.4</v>
      </c>
      <c r="BJ569">
        <v>31</v>
      </c>
      <c r="BK569">
        <v>0</v>
      </c>
      <c r="BL569">
        <v>0</v>
      </c>
      <c r="BM569">
        <v>0</v>
      </c>
      <c r="BN569">
        <v>5</v>
      </c>
      <c r="BO569">
        <v>2.4</v>
      </c>
      <c r="BP569">
        <v>36</v>
      </c>
      <c r="BQ569">
        <v>0</v>
      </c>
      <c r="BR569">
        <v>0</v>
      </c>
      <c r="BS569">
        <v>0</v>
      </c>
      <c r="BT569">
        <v>5</v>
      </c>
      <c r="BU569">
        <v>2.2999999999999998</v>
      </c>
    </row>
    <row r="570" spans="1:73" x14ac:dyDescent="0.15">
      <c r="A570" s="11">
        <v>10617</v>
      </c>
      <c r="B570">
        <v>7</v>
      </c>
      <c r="C570" s="1">
        <v>46</v>
      </c>
      <c r="D570">
        <v>0</v>
      </c>
      <c r="E570">
        <v>0</v>
      </c>
      <c r="F570">
        <v>1</v>
      </c>
      <c r="G570" s="7">
        <v>0.05</v>
      </c>
      <c r="H570">
        <v>12</v>
      </c>
      <c r="I570">
        <v>0</v>
      </c>
      <c r="J570">
        <v>0</v>
      </c>
      <c r="K570">
        <v>0</v>
      </c>
      <c r="L570">
        <v>1</v>
      </c>
      <c r="M570">
        <v>2</v>
      </c>
      <c r="N570" s="7">
        <v>9</v>
      </c>
      <c r="O570" s="7">
        <v>0</v>
      </c>
      <c r="P570" s="7">
        <v>0</v>
      </c>
      <c r="Q570" s="7">
        <v>0</v>
      </c>
      <c r="R570" s="7">
        <v>1</v>
      </c>
      <c r="S570" s="7">
        <v>4.5</v>
      </c>
      <c r="T570">
        <v>7</v>
      </c>
      <c r="U570" s="1">
        <v>34</v>
      </c>
      <c r="V570">
        <v>0</v>
      </c>
      <c r="W570">
        <v>0</v>
      </c>
      <c r="X570">
        <v>1</v>
      </c>
      <c r="Y570">
        <v>0.16</v>
      </c>
      <c r="Z570">
        <v>23</v>
      </c>
      <c r="AA570">
        <v>0</v>
      </c>
      <c r="AB570">
        <v>0</v>
      </c>
      <c r="AC570">
        <v>0</v>
      </c>
      <c r="AD570">
        <v>1</v>
      </c>
      <c r="AE570">
        <v>0.05</v>
      </c>
      <c r="AF570">
        <v>15</v>
      </c>
      <c r="AG570">
        <v>0</v>
      </c>
      <c r="AH570">
        <v>0</v>
      </c>
      <c r="AI570">
        <v>0</v>
      </c>
      <c r="AJ570">
        <v>1</v>
      </c>
      <c r="AK570">
        <v>0.02</v>
      </c>
      <c r="AL570">
        <v>16</v>
      </c>
      <c r="AM570">
        <v>0</v>
      </c>
      <c r="AN570">
        <v>0</v>
      </c>
      <c r="AO570">
        <v>0</v>
      </c>
      <c r="AP570">
        <v>1</v>
      </c>
      <c r="AQ570">
        <v>0.01</v>
      </c>
      <c r="AX570">
        <v>7</v>
      </c>
      <c r="AY570" s="1">
        <v>18</v>
      </c>
      <c r="AZ570">
        <v>0</v>
      </c>
      <c r="BA570">
        <v>0</v>
      </c>
      <c r="BB570">
        <v>1</v>
      </c>
      <c r="BC570" s="7">
        <v>0.32</v>
      </c>
      <c r="BD570">
        <v>30</v>
      </c>
      <c r="BE570">
        <v>0</v>
      </c>
      <c r="BF570">
        <v>0</v>
      </c>
      <c r="BG570">
        <v>0</v>
      </c>
      <c r="BH570">
        <v>5</v>
      </c>
      <c r="BI570">
        <v>2.4</v>
      </c>
      <c r="BJ570">
        <v>31</v>
      </c>
      <c r="BK570">
        <v>0</v>
      </c>
      <c r="BL570">
        <v>0</v>
      </c>
      <c r="BM570">
        <v>0</v>
      </c>
      <c r="BN570">
        <v>5</v>
      </c>
      <c r="BO570">
        <v>2.4</v>
      </c>
      <c r="BP570">
        <v>36</v>
      </c>
      <c r="BQ570">
        <v>0</v>
      </c>
      <c r="BR570">
        <v>0</v>
      </c>
      <c r="BS570">
        <v>0</v>
      </c>
      <c r="BT570">
        <v>5</v>
      </c>
      <c r="BU570">
        <v>2.2999999999999998</v>
      </c>
    </row>
    <row r="571" spans="1:73" x14ac:dyDescent="0.15">
      <c r="A571" s="11">
        <v>10618</v>
      </c>
      <c r="B571">
        <v>7</v>
      </c>
      <c r="C571" s="1">
        <v>47</v>
      </c>
      <c r="D571">
        <v>0</v>
      </c>
      <c r="E571">
        <v>0</v>
      </c>
      <c r="F571">
        <v>1</v>
      </c>
      <c r="G571" s="7">
        <v>0.05</v>
      </c>
      <c r="H571">
        <v>12</v>
      </c>
      <c r="I571">
        <v>0</v>
      </c>
      <c r="J571">
        <v>0</v>
      </c>
      <c r="K571">
        <v>0</v>
      </c>
      <c r="L571">
        <v>1</v>
      </c>
      <c r="M571">
        <v>2</v>
      </c>
      <c r="N571" s="7">
        <v>9</v>
      </c>
      <c r="O571" s="7">
        <v>0</v>
      </c>
      <c r="P571" s="7">
        <v>0</v>
      </c>
      <c r="Q571" s="7">
        <v>0</v>
      </c>
      <c r="R571" s="7">
        <v>1</v>
      </c>
      <c r="S571" s="7">
        <v>4.5</v>
      </c>
      <c r="T571">
        <v>7</v>
      </c>
      <c r="U571" s="1">
        <v>35</v>
      </c>
      <c r="V571">
        <v>0</v>
      </c>
      <c r="W571">
        <v>0</v>
      </c>
      <c r="X571">
        <v>1</v>
      </c>
      <c r="Y571">
        <v>0.16</v>
      </c>
      <c r="Z571">
        <v>23</v>
      </c>
      <c r="AA571">
        <v>0</v>
      </c>
      <c r="AB571">
        <v>0</v>
      </c>
      <c r="AC571">
        <v>0</v>
      </c>
      <c r="AD571">
        <v>1</v>
      </c>
      <c r="AE571">
        <v>0.05</v>
      </c>
      <c r="AF571">
        <v>15</v>
      </c>
      <c r="AG571">
        <v>0</v>
      </c>
      <c r="AH571">
        <v>0</v>
      </c>
      <c r="AI571">
        <v>0</v>
      </c>
      <c r="AJ571">
        <v>1</v>
      </c>
      <c r="AK571">
        <v>0.02</v>
      </c>
      <c r="AL571">
        <v>16</v>
      </c>
      <c r="AM571">
        <v>0</v>
      </c>
      <c r="AN571">
        <v>0</v>
      </c>
      <c r="AO571">
        <v>0</v>
      </c>
      <c r="AP571">
        <v>1</v>
      </c>
      <c r="AQ571">
        <v>0.01</v>
      </c>
      <c r="AX571">
        <v>7</v>
      </c>
      <c r="AY571" s="1">
        <v>19</v>
      </c>
      <c r="AZ571">
        <v>0</v>
      </c>
      <c r="BA571">
        <v>0</v>
      </c>
      <c r="BB571">
        <v>1</v>
      </c>
      <c r="BC571" s="7">
        <v>0.32</v>
      </c>
      <c r="BD571">
        <v>30</v>
      </c>
      <c r="BE571">
        <v>0</v>
      </c>
      <c r="BF571">
        <v>0</v>
      </c>
      <c r="BG571">
        <v>0</v>
      </c>
      <c r="BH571">
        <v>5</v>
      </c>
      <c r="BI571">
        <v>2.4</v>
      </c>
      <c r="BJ571">
        <v>31</v>
      </c>
      <c r="BK571">
        <v>0</v>
      </c>
      <c r="BL571">
        <v>0</v>
      </c>
      <c r="BM571">
        <v>0</v>
      </c>
      <c r="BN571">
        <v>5</v>
      </c>
      <c r="BO571">
        <v>2.4</v>
      </c>
      <c r="BP571">
        <v>36</v>
      </c>
      <c r="BQ571">
        <v>0</v>
      </c>
      <c r="BR571">
        <v>0</v>
      </c>
      <c r="BS571">
        <v>0</v>
      </c>
      <c r="BT571">
        <v>5</v>
      </c>
      <c r="BU571">
        <v>2.2999999999999998</v>
      </c>
    </row>
    <row r="572" spans="1:73" x14ac:dyDescent="0.15">
      <c r="A572" s="11">
        <v>10619</v>
      </c>
      <c r="B572">
        <v>7</v>
      </c>
      <c r="C572" s="1">
        <v>48</v>
      </c>
      <c r="D572">
        <v>0</v>
      </c>
      <c r="E572">
        <v>0</v>
      </c>
      <c r="F572">
        <v>1</v>
      </c>
      <c r="G572" s="7">
        <v>0.05</v>
      </c>
      <c r="H572">
        <v>12</v>
      </c>
      <c r="I572">
        <v>0</v>
      </c>
      <c r="J572">
        <v>0</v>
      </c>
      <c r="K572">
        <v>0</v>
      </c>
      <c r="L572">
        <v>1</v>
      </c>
      <c r="M572">
        <v>2</v>
      </c>
      <c r="N572" s="7">
        <v>9</v>
      </c>
      <c r="O572" s="7">
        <v>0</v>
      </c>
      <c r="P572" s="7">
        <v>0</v>
      </c>
      <c r="Q572" s="7">
        <v>0</v>
      </c>
      <c r="R572" s="7">
        <v>1</v>
      </c>
      <c r="S572" s="7">
        <v>4.5</v>
      </c>
      <c r="T572">
        <v>7</v>
      </c>
      <c r="U572" s="1">
        <v>36</v>
      </c>
      <c r="V572">
        <v>0</v>
      </c>
      <c r="W572">
        <v>0</v>
      </c>
      <c r="X572">
        <v>1</v>
      </c>
      <c r="Y572">
        <v>0.16</v>
      </c>
      <c r="Z572">
        <v>23</v>
      </c>
      <c r="AA572">
        <v>0</v>
      </c>
      <c r="AB572">
        <v>0</v>
      </c>
      <c r="AC572">
        <v>0</v>
      </c>
      <c r="AD572">
        <v>1</v>
      </c>
      <c r="AE572">
        <v>0.05</v>
      </c>
      <c r="AF572">
        <v>15</v>
      </c>
      <c r="AG572">
        <v>0</v>
      </c>
      <c r="AH572">
        <v>0</v>
      </c>
      <c r="AI572">
        <v>0</v>
      </c>
      <c r="AJ572">
        <v>1</v>
      </c>
      <c r="AK572">
        <v>0.02</v>
      </c>
      <c r="AL572">
        <v>16</v>
      </c>
      <c r="AM572">
        <v>0</v>
      </c>
      <c r="AN572">
        <v>0</v>
      </c>
      <c r="AO572">
        <v>0</v>
      </c>
      <c r="AP572">
        <v>1</v>
      </c>
      <c r="AQ572">
        <v>0.01</v>
      </c>
      <c r="AX572">
        <v>7</v>
      </c>
      <c r="AY572" s="1">
        <v>20</v>
      </c>
      <c r="AZ572">
        <v>0</v>
      </c>
      <c r="BA572">
        <v>0</v>
      </c>
      <c r="BB572">
        <v>1</v>
      </c>
      <c r="BC572" s="7">
        <v>0.32</v>
      </c>
      <c r="BD572">
        <v>30</v>
      </c>
      <c r="BE572">
        <v>0</v>
      </c>
      <c r="BF572">
        <v>0</v>
      </c>
      <c r="BG572">
        <v>0</v>
      </c>
      <c r="BH572">
        <v>5</v>
      </c>
      <c r="BI572">
        <v>2.4</v>
      </c>
      <c r="BJ572">
        <v>31</v>
      </c>
      <c r="BK572">
        <v>0</v>
      </c>
      <c r="BL572">
        <v>0</v>
      </c>
      <c r="BM572">
        <v>0</v>
      </c>
      <c r="BN572">
        <v>5</v>
      </c>
      <c r="BO572">
        <v>2.4</v>
      </c>
      <c r="BP572">
        <v>36</v>
      </c>
      <c r="BQ572">
        <v>0</v>
      </c>
      <c r="BR572">
        <v>0</v>
      </c>
      <c r="BS572">
        <v>0</v>
      </c>
      <c r="BT572">
        <v>5</v>
      </c>
      <c r="BU572">
        <v>2.2999999999999998</v>
      </c>
    </row>
    <row r="573" spans="1:73" x14ac:dyDescent="0.15">
      <c r="A573" s="11">
        <v>10620</v>
      </c>
      <c r="B573">
        <v>7</v>
      </c>
      <c r="C573" s="1">
        <v>0</v>
      </c>
      <c r="D573">
        <v>5</v>
      </c>
      <c r="E573">
        <v>1</v>
      </c>
      <c r="F573">
        <v>1</v>
      </c>
      <c r="G573" s="7">
        <v>0.05</v>
      </c>
      <c r="H573">
        <v>12</v>
      </c>
      <c r="I573">
        <v>0</v>
      </c>
      <c r="J573">
        <v>0</v>
      </c>
      <c r="K573">
        <v>0</v>
      </c>
      <c r="L573">
        <v>1</v>
      </c>
      <c r="M573">
        <v>2</v>
      </c>
      <c r="N573" s="7">
        <v>9</v>
      </c>
      <c r="O573" s="7">
        <v>0</v>
      </c>
      <c r="P573" s="7">
        <v>0</v>
      </c>
      <c r="Q573" s="7">
        <v>0</v>
      </c>
      <c r="R573" s="7">
        <v>1</v>
      </c>
      <c r="S573" s="7">
        <v>4.5</v>
      </c>
      <c r="T573">
        <v>7</v>
      </c>
      <c r="U573" s="1">
        <v>0</v>
      </c>
      <c r="V573">
        <v>4</v>
      </c>
      <c r="W573">
        <v>2</v>
      </c>
      <c r="X573">
        <v>1</v>
      </c>
      <c r="Y573">
        <v>0.16</v>
      </c>
      <c r="Z573">
        <v>23</v>
      </c>
      <c r="AA573">
        <v>0</v>
      </c>
      <c r="AB573">
        <v>0</v>
      </c>
      <c r="AC573">
        <v>0</v>
      </c>
      <c r="AD573">
        <v>1</v>
      </c>
      <c r="AE573">
        <v>0.05</v>
      </c>
      <c r="AF573">
        <v>15</v>
      </c>
      <c r="AG573">
        <v>0</v>
      </c>
      <c r="AH573">
        <v>0</v>
      </c>
      <c r="AI573">
        <v>0</v>
      </c>
      <c r="AJ573">
        <v>1</v>
      </c>
      <c r="AK573">
        <v>0.02</v>
      </c>
      <c r="AL573">
        <v>16</v>
      </c>
      <c r="AM573">
        <v>0</v>
      </c>
      <c r="AN573">
        <v>0</v>
      </c>
      <c r="AO573">
        <v>0</v>
      </c>
      <c r="AP573">
        <v>1</v>
      </c>
      <c r="AQ573">
        <v>0.01</v>
      </c>
      <c r="AR573">
        <v>6</v>
      </c>
      <c r="AS573">
        <v>2</v>
      </c>
      <c r="AT573">
        <v>4</v>
      </c>
      <c r="AU573">
        <v>5</v>
      </c>
      <c r="AV573">
        <v>1</v>
      </c>
      <c r="AW573">
        <v>0.01</v>
      </c>
      <c r="AX573">
        <v>7</v>
      </c>
      <c r="AY573" s="1">
        <v>0</v>
      </c>
      <c r="AZ573">
        <v>3</v>
      </c>
      <c r="BA573">
        <v>1</v>
      </c>
      <c r="BB573">
        <v>1</v>
      </c>
      <c r="BC573" s="7">
        <v>0.32</v>
      </c>
      <c r="BD573">
        <v>30</v>
      </c>
      <c r="BE573">
        <v>0</v>
      </c>
      <c r="BF573">
        <v>0</v>
      </c>
      <c r="BG573">
        <v>0</v>
      </c>
      <c r="BH573">
        <v>5</v>
      </c>
      <c r="BI573">
        <v>2.4</v>
      </c>
      <c r="BJ573">
        <v>31</v>
      </c>
      <c r="BK573">
        <v>0</v>
      </c>
      <c r="BL573">
        <v>0</v>
      </c>
      <c r="BM573">
        <v>0</v>
      </c>
      <c r="BN573">
        <v>5</v>
      </c>
      <c r="BO573">
        <v>2.4</v>
      </c>
      <c r="BP573">
        <v>36</v>
      </c>
      <c r="BQ573">
        <v>0</v>
      </c>
      <c r="BR573">
        <v>0</v>
      </c>
      <c r="BS573">
        <v>0</v>
      </c>
      <c r="BT573">
        <v>5</v>
      </c>
      <c r="BU573">
        <v>2.2999999999999998</v>
      </c>
    </row>
    <row r="574" spans="1:73" x14ac:dyDescent="0.15">
      <c r="A574" s="11">
        <v>10621</v>
      </c>
      <c r="B574">
        <v>7</v>
      </c>
      <c r="C574" s="1">
        <v>45</v>
      </c>
      <c r="D574">
        <v>0</v>
      </c>
      <c r="E574">
        <v>0</v>
      </c>
      <c r="F574">
        <v>1</v>
      </c>
      <c r="G574" s="7">
        <v>0.05</v>
      </c>
      <c r="H574">
        <v>12</v>
      </c>
      <c r="I574">
        <v>0</v>
      </c>
      <c r="J574">
        <v>0</v>
      </c>
      <c r="K574">
        <v>0</v>
      </c>
      <c r="L574">
        <v>1</v>
      </c>
      <c r="M574">
        <v>2</v>
      </c>
      <c r="N574" s="7">
        <v>9</v>
      </c>
      <c r="O574" s="7">
        <v>0</v>
      </c>
      <c r="P574" s="7">
        <v>0</v>
      </c>
      <c r="Q574" s="7">
        <v>0</v>
      </c>
      <c r="R574" s="7">
        <v>1</v>
      </c>
      <c r="S574" s="7">
        <v>4.5</v>
      </c>
      <c r="T574">
        <v>7</v>
      </c>
      <c r="U574" s="1">
        <v>33</v>
      </c>
      <c r="V574">
        <v>0</v>
      </c>
      <c r="W574">
        <v>0</v>
      </c>
      <c r="X574">
        <v>1</v>
      </c>
      <c r="Y574">
        <v>0.16</v>
      </c>
      <c r="Z574">
        <v>23</v>
      </c>
      <c r="AA574">
        <v>0</v>
      </c>
      <c r="AB574">
        <v>0</v>
      </c>
      <c r="AC574">
        <v>0</v>
      </c>
      <c r="AD574">
        <v>1</v>
      </c>
      <c r="AE574">
        <v>0.05</v>
      </c>
      <c r="AF574">
        <v>15</v>
      </c>
      <c r="AG574">
        <v>0</v>
      </c>
      <c r="AH574">
        <v>0</v>
      </c>
      <c r="AI574">
        <v>0</v>
      </c>
      <c r="AJ574">
        <v>1</v>
      </c>
      <c r="AK574">
        <v>0.02</v>
      </c>
      <c r="AL574">
        <v>16</v>
      </c>
      <c r="AM574">
        <v>0</v>
      </c>
      <c r="AN574">
        <v>0</v>
      </c>
      <c r="AO574">
        <v>0</v>
      </c>
      <c r="AP574">
        <v>1</v>
      </c>
      <c r="AQ574">
        <v>0.01</v>
      </c>
      <c r="AX574">
        <v>7</v>
      </c>
      <c r="AY574" s="1">
        <v>17</v>
      </c>
      <c r="AZ574">
        <v>0</v>
      </c>
      <c r="BA574">
        <v>0</v>
      </c>
      <c r="BB574">
        <v>1</v>
      </c>
      <c r="BC574" s="7">
        <v>0.32</v>
      </c>
      <c r="BD574">
        <v>30</v>
      </c>
      <c r="BE574">
        <v>0</v>
      </c>
      <c r="BF574">
        <v>0</v>
      </c>
      <c r="BG574">
        <v>0</v>
      </c>
      <c r="BH574">
        <v>5</v>
      </c>
      <c r="BI574">
        <v>2.4</v>
      </c>
      <c r="BJ574">
        <v>31</v>
      </c>
      <c r="BK574">
        <v>0</v>
      </c>
      <c r="BL574">
        <v>0</v>
      </c>
      <c r="BM574">
        <v>0</v>
      </c>
      <c r="BN574">
        <v>5</v>
      </c>
      <c r="BO574">
        <v>2.4</v>
      </c>
      <c r="BP574">
        <v>36</v>
      </c>
      <c r="BQ574">
        <v>0</v>
      </c>
      <c r="BR574">
        <v>0</v>
      </c>
      <c r="BS574">
        <v>0</v>
      </c>
      <c r="BT574">
        <v>5</v>
      </c>
      <c r="BU574">
        <v>2.2999999999999998</v>
      </c>
    </row>
    <row r="575" spans="1:73" x14ac:dyDescent="0.15">
      <c r="A575" s="11">
        <v>10622</v>
      </c>
      <c r="B575">
        <v>7</v>
      </c>
      <c r="C575" s="1">
        <v>46</v>
      </c>
      <c r="D575">
        <v>0</v>
      </c>
      <c r="E575">
        <v>0</v>
      </c>
      <c r="F575">
        <v>1</v>
      </c>
      <c r="G575" s="7">
        <v>0.05</v>
      </c>
      <c r="H575">
        <v>12</v>
      </c>
      <c r="I575">
        <v>0</v>
      </c>
      <c r="J575">
        <v>0</v>
      </c>
      <c r="K575">
        <v>0</v>
      </c>
      <c r="L575">
        <v>1</v>
      </c>
      <c r="M575">
        <v>2</v>
      </c>
      <c r="N575" s="7">
        <v>9</v>
      </c>
      <c r="O575" s="7">
        <v>0</v>
      </c>
      <c r="P575" s="7">
        <v>0</v>
      </c>
      <c r="Q575" s="7">
        <v>0</v>
      </c>
      <c r="R575" s="7">
        <v>1</v>
      </c>
      <c r="S575" s="7">
        <v>4.5</v>
      </c>
      <c r="T575">
        <v>7</v>
      </c>
      <c r="U575" s="1">
        <v>34</v>
      </c>
      <c r="V575">
        <v>0</v>
      </c>
      <c r="W575">
        <v>0</v>
      </c>
      <c r="X575">
        <v>1</v>
      </c>
      <c r="Y575">
        <v>0.16</v>
      </c>
      <c r="Z575">
        <v>23</v>
      </c>
      <c r="AA575">
        <v>0</v>
      </c>
      <c r="AB575">
        <v>0</v>
      </c>
      <c r="AC575">
        <v>0</v>
      </c>
      <c r="AD575">
        <v>1</v>
      </c>
      <c r="AE575">
        <v>0.05</v>
      </c>
      <c r="AF575">
        <v>15</v>
      </c>
      <c r="AG575">
        <v>0</v>
      </c>
      <c r="AH575">
        <v>0</v>
      </c>
      <c r="AI575">
        <v>0</v>
      </c>
      <c r="AJ575">
        <v>1</v>
      </c>
      <c r="AK575">
        <v>0.02</v>
      </c>
      <c r="AL575">
        <v>16</v>
      </c>
      <c r="AM575">
        <v>0</v>
      </c>
      <c r="AN575">
        <v>0</v>
      </c>
      <c r="AO575">
        <v>0</v>
      </c>
      <c r="AP575">
        <v>1</v>
      </c>
      <c r="AQ575">
        <v>0.01</v>
      </c>
      <c r="AX575">
        <v>7</v>
      </c>
      <c r="AY575" s="1">
        <v>18</v>
      </c>
      <c r="AZ575">
        <v>0</v>
      </c>
      <c r="BA575">
        <v>0</v>
      </c>
      <c r="BB575">
        <v>1</v>
      </c>
      <c r="BC575" s="7">
        <v>0.32</v>
      </c>
      <c r="BD575">
        <v>30</v>
      </c>
      <c r="BE575">
        <v>0</v>
      </c>
      <c r="BF575">
        <v>0</v>
      </c>
      <c r="BG575">
        <v>0</v>
      </c>
      <c r="BH575">
        <v>5</v>
      </c>
      <c r="BI575">
        <v>2.4</v>
      </c>
      <c r="BJ575">
        <v>31</v>
      </c>
      <c r="BK575">
        <v>0</v>
      </c>
      <c r="BL575">
        <v>0</v>
      </c>
      <c r="BM575">
        <v>0</v>
      </c>
      <c r="BN575">
        <v>5</v>
      </c>
      <c r="BO575">
        <v>2.4</v>
      </c>
      <c r="BP575">
        <v>36</v>
      </c>
      <c r="BQ575">
        <v>0</v>
      </c>
      <c r="BR575">
        <v>0</v>
      </c>
      <c r="BS575">
        <v>0</v>
      </c>
      <c r="BT575">
        <v>5</v>
      </c>
      <c r="BU575">
        <v>2.2999999999999998</v>
      </c>
    </row>
    <row r="576" spans="1:73" x14ac:dyDescent="0.15">
      <c r="A576" s="11">
        <v>10623</v>
      </c>
      <c r="B576">
        <v>7</v>
      </c>
      <c r="C576" s="1">
        <v>47</v>
      </c>
      <c r="D576">
        <v>0</v>
      </c>
      <c r="E576">
        <v>0</v>
      </c>
      <c r="F576">
        <v>1</v>
      </c>
      <c r="G576" s="7">
        <v>0.05</v>
      </c>
      <c r="H576">
        <v>12</v>
      </c>
      <c r="I576">
        <v>0</v>
      </c>
      <c r="J576">
        <v>0</v>
      </c>
      <c r="K576">
        <v>0</v>
      </c>
      <c r="L576">
        <v>1</v>
      </c>
      <c r="M576">
        <v>2</v>
      </c>
      <c r="N576" s="7">
        <v>9</v>
      </c>
      <c r="O576" s="7">
        <v>0</v>
      </c>
      <c r="P576" s="7">
        <v>0</v>
      </c>
      <c r="Q576" s="7">
        <v>0</v>
      </c>
      <c r="R576" s="7">
        <v>1</v>
      </c>
      <c r="S576" s="7">
        <v>4.5</v>
      </c>
      <c r="T576">
        <v>7</v>
      </c>
      <c r="U576" s="1">
        <v>35</v>
      </c>
      <c r="V576">
        <v>0</v>
      </c>
      <c r="W576">
        <v>0</v>
      </c>
      <c r="X576">
        <v>1</v>
      </c>
      <c r="Y576">
        <v>0.16</v>
      </c>
      <c r="Z576">
        <v>23</v>
      </c>
      <c r="AA576">
        <v>0</v>
      </c>
      <c r="AB576">
        <v>0</v>
      </c>
      <c r="AC576">
        <v>0</v>
      </c>
      <c r="AD576">
        <v>1</v>
      </c>
      <c r="AE576">
        <v>0.05</v>
      </c>
      <c r="AF576">
        <v>15</v>
      </c>
      <c r="AG576">
        <v>0</v>
      </c>
      <c r="AH576">
        <v>0</v>
      </c>
      <c r="AI576">
        <v>0</v>
      </c>
      <c r="AJ576">
        <v>1</v>
      </c>
      <c r="AK576">
        <v>0.02</v>
      </c>
      <c r="AL576">
        <v>16</v>
      </c>
      <c r="AM576">
        <v>0</v>
      </c>
      <c r="AN576">
        <v>0</v>
      </c>
      <c r="AO576">
        <v>0</v>
      </c>
      <c r="AP576">
        <v>1</v>
      </c>
      <c r="AQ576">
        <v>0.01</v>
      </c>
      <c r="AX576">
        <v>7</v>
      </c>
      <c r="AY576" s="1">
        <v>19</v>
      </c>
      <c r="AZ576">
        <v>0</v>
      </c>
      <c r="BA576">
        <v>0</v>
      </c>
      <c r="BB576">
        <v>1</v>
      </c>
      <c r="BC576" s="7">
        <v>0.32</v>
      </c>
      <c r="BD576">
        <v>30</v>
      </c>
      <c r="BE576">
        <v>0</v>
      </c>
      <c r="BF576">
        <v>0</v>
      </c>
      <c r="BG576">
        <v>0</v>
      </c>
      <c r="BH576">
        <v>5</v>
      </c>
      <c r="BI576">
        <v>2.4</v>
      </c>
      <c r="BJ576">
        <v>31</v>
      </c>
      <c r="BK576">
        <v>0</v>
      </c>
      <c r="BL576">
        <v>0</v>
      </c>
      <c r="BM576">
        <v>0</v>
      </c>
      <c r="BN576">
        <v>5</v>
      </c>
      <c r="BO576">
        <v>2.4</v>
      </c>
      <c r="BP576">
        <v>36</v>
      </c>
      <c r="BQ576">
        <v>0</v>
      </c>
      <c r="BR576">
        <v>0</v>
      </c>
      <c r="BS576">
        <v>0</v>
      </c>
      <c r="BT576">
        <v>5</v>
      </c>
      <c r="BU576">
        <v>2.2999999999999998</v>
      </c>
    </row>
    <row r="577" spans="1:73" x14ac:dyDescent="0.15">
      <c r="A577" s="11">
        <v>10624</v>
      </c>
      <c r="B577">
        <v>7</v>
      </c>
      <c r="C577" s="1">
        <v>48</v>
      </c>
      <c r="D577">
        <v>0</v>
      </c>
      <c r="E577">
        <v>0</v>
      </c>
      <c r="F577">
        <v>1</v>
      </c>
      <c r="G577" s="7">
        <v>0.05</v>
      </c>
      <c r="H577">
        <v>12</v>
      </c>
      <c r="I577">
        <v>0</v>
      </c>
      <c r="J577">
        <v>0</v>
      </c>
      <c r="K577">
        <v>0</v>
      </c>
      <c r="L577">
        <v>1</v>
      </c>
      <c r="M577">
        <v>2</v>
      </c>
      <c r="N577" s="7">
        <v>9</v>
      </c>
      <c r="O577" s="7">
        <v>0</v>
      </c>
      <c r="P577" s="7">
        <v>0</v>
      </c>
      <c r="Q577" s="7">
        <v>0</v>
      </c>
      <c r="R577" s="7">
        <v>1</v>
      </c>
      <c r="S577" s="7">
        <v>4.5</v>
      </c>
      <c r="T577">
        <v>7</v>
      </c>
      <c r="U577" s="1">
        <v>36</v>
      </c>
      <c r="V577">
        <v>0</v>
      </c>
      <c r="W577">
        <v>0</v>
      </c>
      <c r="X577">
        <v>1</v>
      </c>
      <c r="Y577">
        <v>0.16</v>
      </c>
      <c r="Z577">
        <v>23</v>
      </c>
      <c r="AA577">
        <v>0</v>
      </c>
      <c r="AB577">
        <v>0</v>
      </c>
      <c r="AC577">
        <v>0</v>
      </c>
      <c r="AD577">
        <v>1</v>
      </c>
      <c r="AE577">
        <v>0.05</v>
      </c>
      <c r="AF577">
        <v>15</v>
      </c>
      <c r="AG577">
        <v>0</v>
      </c>
      <c r="AH577">
        <v>0</v>
      </c>
      <c r="AI577">
        <v>0</v>
      </c>
      <c r="AJ577">
        <v>1</v>
      </c>
      <c r="AK577">
        <v>0.02</v>
      </c>
      <c r="AL577">
        <v>16</v>
      </c>
      <c r="AM577">
        <v>0</v>
      </c>
      <c r="AN577">
        <v>0</v>
      </c>
      <c r="AO577">
        <v>0</v>
      </c>
      <c r="AP577">
        <v>1</v>
      </c>
      <c r="AQ577">
        <v>0.01</v>
      </c>
      <c r="AX577">
        <v>7</v>
      </c>
      <c r="AY577" s="1">
        <v>20</v>
      </c>
      <c r="AZ577">
        <v>0</v>
      </c>
      <c r="BA577">
        <v>0</v>
      </c>
      <c r="BB577">
        <v>1</v>
      </c>
      <c r="BC577" s="7">
        <v>0.32</v>
      </c>
      <c r="BD577">
        <v>30</v>
      </c>
      <c r="BE577">
        <v>0</v>
      </c>
      <c r="BF577">
        <v>0</v>
      </c>
      <c r="BG577">
        <v>0</v>
      </c>
      <c r="BH577">
        <v>5</v>
      </c>
      <c r="BI577">
        <v>2.4</v>
      </c>
      <c r="BJ577">
        <v>31</v>
      </c>
      <c r="BK577">
        <v>0</v>
      </c>
      <c r="BL577">
        <v>0</v>
      </c>
      <c r="BM577">
        <v>0</v>
      </c>
      <c r="BN577">
        <v>5</v>
      </c>
      <c r="BO577">
        <v>2.4</v>
      </c>
      <c r="BP577">
        <v>36</v>
      </c>
      <c r="BQ577">
        <v>0</v>
      </c>
      <c r="BR577">
        <v>0</v>
      </c>
      <c r="BS577">
        <v>0</v>
      </c>
      <c r="BT577">
        <v>5</v>
      </c>
      <c r="BU577">
        <v>2.2999999999999998</v>
      </c>
    </row>
    <row r="578" spans="1:73" x14ac:dyDescent="0.15">
      <c r="A578" s="11">
        <v>10625</v>
      </c>
      <c r="B578">
        <v>7</v>
      </c>
      <c r="C578" s="1">
        <v>0</v>
      </c>
      <c r="D578">
        <v>5</v>
      </c>
      <c r="E578">
        <v>1</v>
      </c>
      <c r="F578">
        <v>1</v>
      </c>
      <c r="G578" s="7">
        <v>0.05</v>
      </c>
      <c r="H578">
        <v>12</v>
      </c>
      <c r="I578">
        <v>0</v>
      </c>
      <c r="J578">
        <v>0</v>
      </c>
      <c r="K578">
        <v>0</v>
      </c>
      <c r="L578">
        <v>1</v>
      </c>
      <c r="M578">
        <v>2</v>
      </c>
      <c r="N578" s="7">
        <v>9</v>
      </c>
      <c r="O578" s="7">
        <v>0</v>
      </c>
      <c r="P578" s="7">
        <v>0</v>
      </c>
      <c r="Q578" s="7">
        <v>0</v>
      </c>
      <c r="R578" s="7">
        <v>1</v>
      </c>
      <c r="S578" s="7">
        <v>4.5</v>
      </c>
      <c r="T578">
        <v>7</v>
      </c>
      <c r="U578" s="1">
        <v>0</v>
      </c>
      <c r="V578">
        <v>4</v>
      </c>
      <c r="W578">
        <v>2</v>
      </c>
      <c r="X578">
        <v>1</v>
      </c>
      <c r="Y578">
        <v>0.16</v>
      </c>
      <c r="Z578">
        <v>23</v>
      </c>
      <c r="AA578">
        <v>0</v>
      </c>
      <c r="AB578">
        <v>0</v>
      </c>
      <c r="AC578">
        <v>0</v>
      </c>
      <c r="AD578">
        <v>1</v>
      </c>
      <c r="AE578">
        <v>0.05</v>
      </c>
      <c r="AF578">
        <v>15</v>
      </c>
      <c r="AG578">
        <v>0</v>
      </c>
      <c r="AH578">
        <v>0</v>
      </c>
      <c r="AI578">
        <v>0</v>
      </c>
      <c r="AJ578">
        <v>1</v>
      </c>
      <c r="AK578">
        <v>0.02</v>
      </c>
      <c r="AL578">
        <v>16</v>
      </c>
      <c r="AM578">
        <v>0</v>
      </c>
      <c r="AN578">
        <v>0</v>
      </c>
      <c r="AO578">
        <v>0</v>
      </c>
      <c r="AP578">
        <v>1</v>
      </c>
      <c r="AQ578">
        <v>0.01</v>
      </c>
      <c r="AR578">
        <v>6</v>
      </c>
      <c r="AS578">
        <v>2</v>
      </c>
      <c r="AT578">
        <v>5</v>
      </c>
      <c r="AU578">
        <v>5</v>
      </c>
      <c r="AV578">
        <v>1</v>
      </c>
      <c r="AW578">
        <v>0.01</v>
      </c>
      <c r="AX578">
        <v>7</v>
      </c>
      <c r="AY578" s="1">
        <v>0</v>
      </c>
      <c r="AZ578">
        <v>3</v>
      </c>
      <c r="BA578">
        <v>1</v>
      </c>
      <c r="BB578">
        <v>1</v>
      </c>
      <c r="BC578" s="7">
        <v>0.32</v>
      </c>
      <c r="BD578">
        <v>30</v>
      </c>
      <c r="BE578">
        <v>0</v>
      </c>
      <c r="BF578">
        <v>0</v>
      </c>
      <c r="BG578">
        <v>0</v>
      </c>
      <c r="BH578">
        <v>5</v>
      </c>
      <c r="BI578">
        <v>2.4</v>
      </c>
      <c r="BJ578">
        <v>31</v>
      </c>
      <c r="BK578">
        <v>0</v>
      </c>
      <c r="BL578">
        <v>0</v>
      </c>
      <c r="BM578">
        <v>0</v>
      </c>
      <c r="BN578">
        <v>5</v>
      </c>
      <c r="BO578">
        <v>2.4</v>
      </c>
      <c r="BP578">
        <v>36</v>
      </c>
      <c r="BQ578">
        <v>0</v>
      </c>
      <c r="BR578">
        <v>0</v>
      </c>
      <c r="BS578">
        <v>0</v>
      </c>
      <c r="BT578">
        <v>5</v>
      </c>
      <c r="BU578">
        <v>2.2999999999999998</v>
      </c>
    </row>
    <row r="579" spans="1:73" x14ac:dyDescent="0.15">
      <c r="A579" s="11">
        <v>10626</v>
      </c>
      <c r="B579">
        <v>7</v>
      </c>
      <c r="C579" s="1">
        <v>45</v>
      </c>
      <c r="D579">
        <v>0</v>
      </c>
      <c r="E579">
        <v>0</v>
      </c>
      <c r="F579">
        <v>1</v>
      </c>
      <c r="G579" s="7">
        <v>0.05</v>
      </c>
      <c r="H579">
        <v>12</v>
      </c>
      <c r="I579">
        <v>0</v>
      </c>
      <c r="J579">
        <v>0</v>
      </c>
      <c r="K579">
        <v>0</v>
      </c>
      <c r="L579">
        <v>1</v>
      </c>
      <c r="M579">
        <v>2</v>
      </c>
      <c r="N579" s="7">
        <v>9</v>
      </c>
      <c r="O579" s="7">
        <v>0</v>
      </c>
      <c r="P579" s="7">
        <v>0</v>
      </c>
      <c r="Q579" s="7">
        <v>0</v>
      </c>
      <c r="R579" s="7">
        <v>1</v>
      </c>
      <c r="S579" s="7">
        <v>4.5</v>
      </c>
      <c r="T579">
        <v>7</v>
      </c>
      <c r="U579" s="1">
        <v>33</v>
      </c>
      <c r="V579">
        <v>0</v>
      </c>
      <c r="W579">
        <v>0</v>
      </c>
      <c r="X579">
        <v>1</v>
      </c>
      <c r="Y579">
        <v>0.16</v>
      </c>
      <c r="Z579">
        <v>23</v>
      </c>
      <c r="AA579">
        <v>0</v>
      </c>
      <c r="AB579">
        <v>0</v>
      </c>
      <c r="AC579">
        <v>0</v>
      </c>
      <c r="AD579">
        <v>1</v>
      </c>
      <c r="AE579">
        <v>0.05</v>
      </c>
      <c r="AF579">
        <v>15</v>
      </c>
      <c r="AG579">
        <v>0</v>
      </c>
      <c r="AH579">
        <v>0</v>
      </c>
      <c r="AI579">
        <v>0</v>
      </c>
      <c r="AJ579">
        <v>1</v>
      </c>
      <c r="AK579">
        <v>0.02</v>
      </c>
      <c r="AL579">
        <v>16</v>
      </c>
      <c r="AM579">
        <v>0</v>
      </c>
      <c r="AN579">
        <v>0</v>
      </c>
      <c r="AO579">
        <v>0</v>
      </c>
      <c r="AP579">
        <v>1</v>
      </c>
      <c r="AQ579">
        <v>0.01</v>
      </c>
      <c r="AX579">
        <v>7</v>
      </c>
      <c r="AY579" s="1">
        <v>17</v>
      </c>
      <c r="AZ579">
        <v>0</v>
      </c>
      <c r="BA579">
        <v>0</v>
      </c>
      <c r="BB579">
        <v>1</v>
      </c>
      <c r="BC579" s="7">
        <v>0.32</v>
      </c>
      <c r="BD579">
        <v>30</v>
      </c>
      <c r="BE579">
        <v>0</v>
      </c>
      <c r="BF579">
        <v>0</v>
      </c>
      <c r="BG579">
        <v>0</v>
      </c>
      <c r="BH579">
        <v>5</v>
      </c>
      <c r="BI579">
        <v>2.4</v>
      </c>
      <c r="BJ579">
        <v>31</v>
      </c>
      <c r="BK579">
        <v>0</v>
      </c>
      <c r="BL579">
        <v>0</v>
      </c>
      <c r="BM579">
        <v>0</v>
      </c>
      <c r="BN579">
        <v>5</v>
      </c>
      <c r="BO579">
        <v>2.4</v>
      </c>
      <c r="BP579">
        <v>36</v>
      </c>
      <c r="BQ579">
        <v>0</v>
      </c>
      <c r="BR579">
        <v>0</v>
      </c>
      <c r="BS579">
        <v>0</v>
      </c>
      <c r="BT579">
        <v>5</v>
      </c>
      <c r="BU579">
        <v>2.2999999999999998</v>
      </c>
    </row>
    <row r="580" spans="1:73" x14ac:dyDescent="0.15">
      <c r="A580" s="11">
        <v>10627</v>
      </c>
      <c r="B580">
        <v>7</v>
      </c>
      <c r="C580" s="1">
        <v>46</v>
      </c>
      <c r="D580">
        <v>0</v>
      </c>
      <c r="E580">
        <v>0</v>
      </c>
      <c r="F580">
        <v>1</v>
      </c>
      <c r="G580" s="7">
        <v>0.05</v>
      </c>
      <c r="H580">
        <v>12</v>
      </c>
      <c r="I580">
        <v>0</v>
      </c>
      <c r="J580">
        <v>0</v>
      </c>
      <c r="K580">
        <v>0</v>
      </c>
      <c r="L580">
        <v>1</v>
      </c>
      <c r="M580">
        <v>2</v>
      </c>
      <c r="N580" s="7">
        <v>9</v>
      </c>
      <c r="O580" s="7">
        <v>0</v>
      </c>
      <c r="P580" s="7">
        <v>0</v>
      </c>
      <c r="Q580" s="7">
        <v>0</v>
      </c>
      <c r="R580" s="7">
        <v>1</v>
      </c>
      <c r="S580" s="7">
        <v>4.5</v>
      </c>
      <c r="T580">
        <v>7</v>
      </c>
      <c r="U580" s="1">
        <v>34</v>
      </c>
      <c r="V580">
        <v>0</v>
      </c>
      <c r="W580">
        <v>0</v>
      </c>
      <c r="X580">
        <v>1</v>
      </c>
      <c r="Y580">
        <v>0.16</v>
      </c>
      <c r="Z580">
        <v>23</v>
      </c>
      <c r="AA580">
        <v>0</v>
      </c>
      <c r="AB580">
        <v>0</v>
      </c>
      <c r="AC580">
        <v>0</v>
      </c>
      <c r="AD580">
        <v>1</v>
      </c>
      <c r="AE580">
        <v>0.05</v>
      </c>
      <c r="AF580">
        <v>15</v>
      </c>
      <c r="AG580">
        <v>0</v>
      </c>
      <c r="AH580">
        <v>0</v>
      </c>
      <c r="AI580">
        <v>0</v>
      </c>
      <c r="AJ580">
        <v>1</v>
      </c>
      <c r="AK580">
        <v>0.02</v>
      </c>
      <c r="AL580">
        <v>16</v>
      </c>
      <c r="AM580">
        <v>0</v>
      </c>
      <c r="AN580">
        <v>0</v>
      </c>
      <c r="AO580">
        <v>0</v>
      </c>
      <c r="AP580">
        <v>1</v>
      </c>
      <c r="AQ580">
        <v>0.01</v>
      </c>
      <c r="AX580">
        <v>7</v>
      </c>
      <c r="AY580" s="1">
        <v>18</v>
      </c>
      <c r="AZ580">
        <v>0</v>
      </c>
      <c r="BA580">
        <v>0</v>
      </c>
      <c r="BB580">
        <v>1</v>
      </c>
      <c r="BC580" s="7">
        <v>0.32</v>
      </c>
      <c r="BD580">
        <v>30</v>
      </c>
      <c r="BE580">
        <v>0</v>
      </c>
      <c r="BF580">
        <v>0</v>
      </c>
      <c r="BG580">
        <v>0</v>
      </c>
      <c r="BH580">
        <v>5</v>
      </c>
      <c r="BI580">
        <v>2.4</v>
      </c>
      <c r="BJ580">
        <v>31</v>
      </c>
      <c r="BK580">
        <v>0</v>
      </c>
      <c r="BL580">
        <v>0</v>
      </c>
      <c r="BM580">
        <v>0</v>
      </c>
      <c r="BN580">
        <v>5</v>
      </c>
      <c r="BO580">
        <v>2.4</v>
      </c>
      <c r="BP580">
        <v>36</v>
      </c>
      <c r="BQ580">
        <v>0</v>
      </c>
      <c r="BR580">
        <v>0</v>
      </c>
      <c r="BS580">
        <v>0</v>
      </c>
      <c r="BT580">
        <v>5</v>
      </c>
      <c r="BU580">
        <v>2.2999999999999998</v>
      </c>
    </row>
    <row r="581" spans="1:73" x14ac:dyDescent="0.15">
      <c r="A581" s="11">
        <v>10628</v>
      </c>
      <c r="B581">
        <v>7</v>
      </c>
      <c r="C581" s="1">
        <v>47</v>
      </c>
      <c r="D581">
        <v>0</v>
      </c>
      <c r="E581">
        <v>0</v>
      </c>
      <c r="F581">
        <v>1</v>
      </c>
      <c r="G581" s="7">
        <v>0.05</v>
      </c>
      <c r="H581">
        <v>12</v>
      </c>
      <c r="I581">
        <v>0</v>
      </c>
      <c r="J581">
        <v>0</v>
      </c>
      <c r="K581">
        <v>0</v>
      </c>
      <c r="L581">
        <v>1</v>
      </c>
      <c r="M581">
        <v>2</v>
      </c>
      <c r="N581" s="7">
        <v>9</v>
      </c>
      <c r="O581" s="7">
        <v>0</v>
      </c>
      <c r="P581" s="7">
        <v>0</v>
      </c>
      <c r="Q581" s="7">
        <v>0</v>
      </c>
      <c r="R581" s="7">
        <v>1</v>
      </c>
      <c r="S581" s="7">
        <v>4.5</v>
      </c>
      <c r="T581">
        <v>7</v>
      </c>
      <c r="U581" s="1">
        <v>35</v>
      </c>
      <c r="V581">
        <v>0</v>
      </c>
      <c r="W581">
        <v>0</v>
      </c>
      <c r="X581">
        <v>1</v>
      </c>
      <c r="Y581">
        <v>0.16</v>
      </c>
      <c r="Z581">
        <v>23</v>
      </c>
      <c r="AA581">
        <v>0</v>
      </c>
      <c r="AB581">
        <v>0</v>
      </c>
      <c r="AC581">
        <v>0</v>
      </c>
      <c r="AD581">
        <v>1</v>
      </c>
      <c r="AE581">
        <v>0.05</v>
      </c>
      <c r="AF581">
        <v>15</v>
      </c>
      <c r="AG581">
        <v>0</v>
      </c>
      <c r="AH581">
        <v>0</v>
      </c>
      <c r="AI581">
        <v>0</v>
      </c>
      <c r="AJ581">
        <v>1</v>
      </c>
      <c r="AK581">
        <v>0.02</v>
      </c>
      <c r="AL581">
        <v>16</v>
      </c>
      <c r="AM581">
        <v>0</v>
      </c>
      <c r="AN581">
        <v>0</v>
      </c>
      <c r="AO581">
        <v>0</v>
      </c>
      <c r="AP581">
        <v>1</v>
      </c>
      <c r="AQ581">
        <v>0.01</v>
      </c>
      <c r="AX581">
        <v>7</v>
      </c>
      <c r="AY581" s="1">
        <v>19</v>
      </c>
      <c r="AZ581">
        <v>0</v>
      </c>
      <c r="BA581">
        <v>0</v>
      </c>
      <c r="BB581">
        <v>1</v>
      </c>
      <c r="BC581" s="7">
        <v>0.32</v>
      </c>
      <c r="BD581">
        <v>30</v>
      </c>
      <c r="BE581">
        <v>0</v>
      </c>
      <c r="BF581">
        <v>0</v>
      </c>
      <c r="BG581">
        <v>0</v>
      </c>
      <c r="BH581">
        <v>5</v>
      </c>
      <c r="BI581">
        <v>2.4</v>
      </c>
      <c r="BJ581">
        <v>31</v>
      </c>
      <c r="BK581">
        <v>0</v>
      </c>
      <c r="BL581">
        <v>0</v>
      </c>
      <c r="BM581">
        <v>0</v>
      </c>
      <c r="BN581">
        <v>5</v>
      </c>
      <c r="BO581">
        <v>2.4</v>
      </c>
      <c r="BP581">
        <v>36</v>
      </c>
      <c r="BQ581">
        <v>0</v>
      </c>
      <c r="BR581">
        <v>0</v>
      </c>
      <c r="BS581">
        <v>0</v>
      </c>
      <c r="BT581">
        <v>5</v>
      </c>
      <c r="BU581">
        <v>2.2999999999999998</v>
      </c>
    </row>
    <row r="582" spans="1:73" x14ac:dyDescent="0.15">
      <c r="A582" s="11">
        <v>10629</v>
      </c>
      <c r="B582">
        <v>7</v>
      </c>
      <c r="C582" s="1">
        <v>48</v>
      </c>
      <c r="D582">
        <v>0</v>
      </c>
      <c r="E582">
        <v>0</v>
      </c>
      <c r="F582">
        <v>1</v>
      </c>
      <c r="G582" s="7">
        <v>0.05</v>
      </c>
      <c r="H582">
        <v>12</v>
      </c>
      <c r="I582">
        <v>0</v>
      </c>
      <c r="J582">
        <v>0</v>
      </c>
      <c r="K582">
        <v>0</v>
      </c>
      <c r="L582">
        <v>1</v>
      </c>
      <c r="M582">
        <v>2</v>
      </c>
      <c r="N582" s="7">
        <v>9</v>
      </c>
      <c r="O582" s="7">
        <v>0</v>
      </c>
      <c r="P582" s="7">
        <v>0</v>
      </c>
      <c r="Q582" s="7">
        <v>0</v>
      </c>
      <c r="R582" s="7">
        <v>1</v>
      </c>
      <c r="S582" s="7">
        <v>4.5</v>
      </c>
      <c r="T582">
        <v>7</v>
      </c>
      <c r="U582" s="1">
        <v>36</v>
      </c>
      <c r="V582">
        <v>0</v>
      </c>
      <c r="W582">
        <v>0</v>
      </c>
      <c r="X582">
        <v>1</v>
      </c>
      <c r="Y582">
        <v>0.16</v>
      </c>
      <c r="Z582">
        <v>23</v>
      </c>
      <c r="AA582">
        <v>0</v>
      </c>
      <c r="AB582">
        <v>0</v>
      </c>
      <c r="AC582">
        <v>0</v>
      </c>
      <c r="AD582">
        <v>1</v>
      </c>
      <c r="AE582">
        <v>0.05</v>
      </c>
      <c r="AF582">
        <v>15</v>
      </c>
      <c r="AG582">
        <v>0</v>
      </c>
      <c r="AH582">
        <v>0</v>
      </c>
      <c r="AI582">
        <v>0</v>
      </c>
      <c r="AJ582">
        <v>1</v>
      </c>
      <c r="AK582">
        <v>0.02</v>
      </c>
      <c r="AL582">
        <v>16</v>
      </c>
      <c r="AM582">
        <v>0</v>
      </c>
      <c r="AN582">
        <v>0</v>
      </c>
      <c r="AO582">
        <v>0</v>
      </c>
      <c r="AP582">
        <v>1</v>
      </c>
      <c r="AQ582">
        <v>0.01</v>
      </c>
      <c r="AX582">
        <v>7</v>
      </c>
      <c r="AY582" s="1">
        <v>20</v>
      </c>
      <c r="AZ582">
        <v>0</v>
      </c>
      <c r="BA582">
        <v>0</v>
      </c>
      <c r="BB582">
        <v>1</v>
      </c>
      <c r="BC582" s="7">
        <v>0.32</v>
      </c>
      <c r="BD582">
        <v>30</v>
      </c>
      <c r="BE582">
        <v>0</v>
      </c>
      <c r="BF582">
        <v>0</v>
      </c>
      <c r="BG582">
        <v>0</v>
      </c>
      <c r="BH582">
        <v>5</v>
      </c>
      <c r="BI582">
        <v>2.4</v>
      </c>
      <c r="BJ582">
        <v>31</v>
      </c>
      <c r="BK582">
        <v>0</v>
      </c>
      <c r="BL582">
        <v>0</v>
      </c>
      <c r="BM582">
        <v>0</v>
      </c>
      <c r="BN582">
        <v>5</v>
      </c>
      <c r="BO582">
        <v>2.4</v>
      </c>
      <c r="BP582">
        <v>36</v>
      </c>
      <c r="BQ582">
        <v>0</v>
      </c>
      <c r="BR582">
        <v>0</v>
      </c>
      <c r="BS582">
        <v>0</v>
      </c>
      <c r="BT582">
        <v>5</v>
      </c>
      <c r="BU582">
        <v>2.2999999999999998</v>
      </c>
    </row>
    <row r="583" spans="1:73" x14ac:dyDescent="0.15">
      <c r="A583" s="11">
        <v>10630</v>
      </c>
      <c r="B583">
        <v>7</v>
      </c>
      <c r="C583" s="1">
        <v>0</v>
      </c>
      <c r="D583">
        <v>5</v>
      </c>
      <c r="E583">
        <v>1</v>
      </c>
      <c r="F583">
        <v>1</v>
      </c>
      <c r="G583" s="7">
        <v>0.05</v>
      </c>
      <c r="H583">
        <v>12</v>
      </c>
      <c r="I583">
        <v>0</v>
      </c>
      <c r="J583">
        <v>0</v>
      </c>
      <c r="K583">
        <v>0</v>
      </c>
      <c r="L583">
        <v>1</v>
      </c>
      <c r="M583">
        <v>2</v>
      </c>
      <c r="N583" s="7">
        <v>9</v>
      </c>
      <c r="O583" s="7">
        <v>0</v>
      </c>
      <c r="P583" s="7">
        <v>0</v>
      </c>
      <c r="Q583" s="7">
        <v>0</v>
      </c>
      <c r="R583" s="7">
        <v>1</v>
      </c>
      <c r="S583" s="7">
        <v>4.5</v>
      </c>
      <c r="T583">
        <v>7</v>
      </c>
      <c r="U583" s="1">
        <v>0</v>
      </c>
      <c r="V583">
        <v>4</v>
      </c>
      <c r="W583">
        <v>2</v>
      </c>
      <c r="X583">
        <v>1</v>
      </c>
      <c r="Y583">
        <v>0.16</v>
      </c>
      <c r="Z583">
        <v>23</v>
      </c>
      <c r="AA583">
        <v>0</v>
      </c>
      <c r="AB583">
        <v>0</v>
      </c>
      <c r="AC583">
        <v>0</v>
      </c>
      <c r="AD583">
        <v>1</v>
      </c>
      <c r="AE583">
        <v>0.05</v>
      </c>
      <c r="AF583">
        <v>15</v>
      </c>
      <c r="AG583">
        <v>0</v>
      </c>
      <c r="AH583">
        <v>0</v>
      </c>
      <c r="AI583">
        <v>0</v>
      </c>
      <c r="AJ583">
        <v>1</v>
      </c>
      <c r="AK583">
        <v>0.02</v>
      </c>
      <c r="AL583">
        <v>16</v>
      </c>
      <c r="AM583">
        <v>0</v>
      </c>
      <c r="AN583">
        <v>0</v>
      </c>
      <c r="AO583">
        <v>0</v>
      </c>
      <c r="AP583">
        <v>1</v>
      </c>
      <c r="AQ583">
        <v>0.01</v>
      </c>
      <c r="AR583">
        <v>6</v>
      </c>
      <c r="AS583">
        <v>2</v>
      </c>
      <c r="AT583">
        <v>1</v>
      </c>
      <c r="AU583">
        <v>5</v>
      </c>
      <c r="AV583">
        <v>1</v>
      </c>
      <c r="AW583">
        <v>0.05</v>
      </c>
      <c r="AX583">
        <v>7</v>
      </c>
      <c r="AY583" s="1">
        <v>0</v>
      </c>
      <c r="AZ583">
        <v>3</v>
      </c>
      <c r="BA583">
        <v>1</v>
      </c>
      <c r="BB583">
        <v>1</v>
      </c>
      <c r="BC583" s="7">
        <v>0.32</v>
      </c>
      <c r="BD583">
        <v>30</v>
      </c>
      <c r="BE583">
        <v>0</v>
      </c>
      <c r="BF583">
        <v>0</v>
      </c>
      <c r="BG583">
        <v>0</v>
      </c>
      <c r="BH583">
        <v>5</v>
      </c>
      <c r="BI583">
        <v>2.4</v>
      </c>
      <c r="BJ583">
        <v>31</v>
      </c>
      <c r="BK583">
        <v>0</v>
      </c>
      <c r="BL583">
        <v>0</v>
      </c>
      <c r="BM583">
        <v>0</v>
      </c>
      <c r="BN583">
        <v>5</v>
      </c>
      <c r="BO583">
        <v>2.4</v>
      </c>
      <c r="BP583">
        <v>36</v>
      </c>
      <c r="BQ583">
        <v>0</v>
      </c>
      <c r="BR583">
        <v>0</v>
      </c>
      <c r="BS583">
        <v>0</v>
      </c>
      <c r="BT583">
        <v>5</v>
      </c>
      <c r="BU583">
        <v>2.2999999999999998</v>
      </c>
    </row>
    <row r="584" spans="1:73" x14ac:dyDescent="0.15">
      <c r="A584" s="11">
        <v>10631</v>
      </c>
      <c r="B584">
        <v>7</v>
      </c>
      <c r="C584" s="1">
        <v>45</v>
      </c>
      <c r="D584">
        <v>0</v>
      </c>
      <c r="E584">
        <v>0</v>
      </c>
      <c r="F584">
        <v>1</v>
      </c>
      <c r="G584" s="7">
        <v>0.05</v>
      </c>
      <c r="H584">
        <v>12</v>
      </c>
      <c r="I584">
        <v>0</v>
      </c>
      <c r="J584">
        <v>0</v>
      </c>
      <c r="K584">
        <v>0</v>
      </c>
      <c r="L584">
        <v>1</v>
      </c>
      <c r="M584">
        <v>2</v>
      </c>
      <c r="N584" s="7">
        <v>9</v>
      </c>
      <c r="O584" s="7">
        <v>0</v>
      </c>
      <c r="P584" s="7">
        <v>0</v>
      </c>
      <c r="Q584" s="7">
        <v>0</v>
      </c>
      <c r="R584" s="7">
        <v>1</v>
      </c>
      <c r="S584" s="7">
        <v>4.5</v>
      </c>
      <c r="T584">
        <v>7</v>
      </c>
      <c r="U584" s="1">
        <v>33</v>
      </c>
      <c r="V584">
        <v>0</v>
      </c>
      <c r="W584">
        <v>0</v>
      </c>
      <c r="X584">
        <v>1</v>
      </c>
      <c r="Y584">
        <v>0.16</v>
      </c>
      <c r="Z584">
        <v>23</v>
      </c>
      <c r="AA584">
        <v>0</v>
      </c>
      <c r="AB584">
        <v>0</v>
      </c>
      <c r="AC584">
        <v>0</v>
      </c>
      <c r="AD584">
        <v>1</v>
      </c>
      <c r="AE584">
        <v>0.05</v>
      </c>
      <c r="AF584">
        <v>15</v>
      </c>
      <c r="AG584">
        <v>0</v>
      </c>
      <c r="AH584">
        <v>0</v>
      </c>
      <c r="AI584">
        <v>0</v>
      </c>
      <c r="AJ584">
        <v>1</v>
      </c>
      <c r="AK584">
        <v>0.02</v>
      </c>
      <c r="AL584">
        <v>16</v>
      </c>
      <c r="AM584">
        <v>0</v>
      </c>
      <c r="AN584">
        <v>0</v>
      </c>
      <c r="AO584">
        <v>0</v>
      </c>
      <c r="AP584">
        <v>1</v>
      </c>
      <c r="AQ584">
        <v>0.01</v>
      </c>
      <c r="AX584">
        <v>7</v>
      </c>
      <c r="AY584" s="1">
        <v>17</v>
      </c>
      <c r="AZ584">
        <v>0</v>
      </c>
      <c r="BA584">
        <v>0</v>
      </c>
      <c r="BB584">
        <v>1</v>
      </c>
      <c r="BC584" s="7">
        <v>0.32</v>
      </c>
      <c r="BD584">
        <v>30</v>
      </c>
      <c r="BE584">
        <v>0</v>
      </c>
      <c r="BF584">
        <v>0</v>
      </c>
      <c r="BG584">
        <v>0</v>
      </c>
      <c r="BH584">
        <v>5</v>
      </c>
      <c r="BI584">
        <v>2.4</v>
      </c>
      <c r="BJ584">
        <v>31</v>
      </c>
      <c r="BK584">
        <v>0</v>
      </c>
      <c r="BL584">
        <v>0</v>
      </c>
      <c r="BM584">
        <v>0</v>
      </c>
      <c r="BN584">
        <v>5</v>
      </c>
      <c r="BO584">
        <v>2.4</v>
      </c>
      <c r="BP584">
        <v>36</v>
      </c>
      <c r="BQ584">
        <v>0</v>
      </c>
      <c r="BR584">
        <v>0</v>
      </c>
      <c r="BS584">
        <v>0</v>
      </c>
      <c r="BT584">
        <v>5</v>
      </c>
      <c r="BU584">
        <v>2.2999999999999998</v>
      </c>
    </row>
    <row r="585" spans="1:73" x14ac:dyDescent="0.15">
      <c r="A585" s="11">
        <v>10632</v>
      </c>
      <c r="B585">
        <v>7</v>
      </c>
      <c r="C585" s="1">
        <v>46</v>
      </c>
      <c r="D585">
        <v>0</v>
      </c>
      <c r="E585">
        <v>0</v>
      </c>
      <c r="F585">
        <v>1</v>
      </c>
      <c r="G585" s="7">
        <v>0.05</v>
      </c>
      <c r="H585">
        <v>12</v>
      </c>
      <c r="I585">
        <v>0</v>
      </c>
      <c r="J585">
        <v>0</v>
      </c>
      <c r="K585">
        <v>0</v>
      </c>
      <c r="L585">
        <v>1</v>
      </c>
      <c r="M585">
        <v>2</v>
      </c>
      <c r="N585" s="7">
        <v>9</v>
      </c>
      <c r="O585" s="7">
        <v>0</v>
      </c>
      <c r="P585" s="7">
        <v>0</v>
      </c>
      <c r="Q585" s="7">
        <v>0</v>
      </c>
      <c r="R585" s="7">
        <v>1</v>
      </c>
      <c r="S585" s="7">
        <v>4.5</v>
      </c>
      <c r="T585">
        <v>7</v>
      </c>
      <c r="U585" s="1">
        <v>34</v>
      </c>
      <c r="V585">
        <v>0</v>
      </c>
      <c r="W585">
        <v>0</v>
      </c>
      <c r="X585">
        <v>1</v>
      </c>
      <c r="Y585">
        <v>0.16</v>
      </c>
      <c r="Z585">
        <v>23</v>
      </c>
      <c r="AA585">
        <v>0</v>
      </c>
      <c r="AB585">
        <v>0</v>
      </c>
      <c r="AC585">
        <v>0</v>
      </c>
      <c r="AD585">
        <v>1</v>
      </c>
      <c r="AE585">
        <v>0.05</v>
      </c>
      <c r="AF585">
        <v>15</v>
      </c>
      <c r="AG585">
        <v>0</v>
      </c>
      <c r="AH585">
        <v>0</v>
      </c>
      <c r="AI585">
        <v>0</v>
      </c>
      <c r="AJ585">
        <v>1</v>
      </c>
      <c r="AK585">
        <v>0.02</v>
      </c>
      <c r="AL585">
        <v>16</v>
      </c>
      <c r="AM585">
        <v>0</v>
      </c>
      <c r="AN585">
        <v>0</v>
      </c>
      <c r="AO585">
        <v>0</v>
      </c>
      <c r="AP585">
        <v>1</v>
      </c>
      <c r="AQ585">
        <v>0.01</v>
      </c>
      <c r="AX585">
        <v>7</v>
      </c>
      <c r="AY585" s="1">
        <v>18</v>
      </c>
      <c r="AZ585">
        <v>0</v>
      </c>
      <c r="BA585">
        <v>0</v>
      </c>
      <c r="BB585">
        <v>1</v>
      </c>
      <c r="BC585" s="7">
        <v>0.32</v>
      </c>
      <c r="BD585">
        <v>30</v>
      </c>
      <c r="BE585">
        <v>0</v>
      </c>
      <c r="BF585">
        <v>0</v>
      </c>
      <c r="BG585">
        <v>0</v>
      </c>
      <c r="BH585">
        <v>5</v>
      </c>
      <c r="BI585">
        <v>2.4</v>
      </c>
      <c r="BJ585">
        <v>31</v>
      </c>
      <c r="BK585">
        <v>0</v>
      </c>
      <c r="BL585">
        <v>0</v>
      </c>
      <c r="BM585">
        <v>0</v>
      </c>
      <c r="BN585">
        <v>5</v>
      </c>
      <c r="BO585">
        <v>2.4</v>
      </c>
      <c r="BP585">
        <v>36</v>
      </c>
      <c r="BQ585">
        <v>0</v>
      </c>
      <c r="BR585">
        <v>0</v>
      </c>
      <c r="BS585">
        <v>0</v>
      </c>
      <c r="BT585">
        <v>5</v>
      </c>
      <c r="BU585">
        <v>2.2999999999999998</v>
      </c>
    </row>
    <row r="586" spans="1:73" x14ac:dyDescent="0.15">
      <c r="A586" s="11">
        <v>10633</v>
      </c>
      <c r="B586">
        <v>7</v>
      </c>
      <c r="C586" s="1">
        <v>47</v>
      </c>
      <c r="D586">
        <v>0</v>
      </c>
      <c r="E586">
        <v>0</v>
      </c>
      <c r="F586">
        <v>1</v>
      </c>
      <c r="G586" s="7">
        <v>0.05</v>
      </c>
      <c r="H586">
        <v>12</v>
      </c>
      <c r="I586">
        <v>0</v>
      </c>
      <c r="J586">
        <v>0</v>
      </c>
      <c r="K586">
        <v>0</v>
      </c>
      <c r="L586">
        <v>1</v>
      </c>
      <c r="M586">
        <v>2</v>
      </c>
      <c r="N586" s="7">
        <v>9</v>
      </c>
      <c r="O586" s="7">
        <v>0</v>
      </c>
      <c r="P586" s="7">
        <v>0</v>
      </c>
      <c r="Q586" s="7">
        <v>0</v>
      </c>
      <c r="R586" s="7">
        <v>1</v>
      </c>
      <c r="S586" s="7">
        <v>4.5</v>
      </c>
      <c r="T586">
        <v>7</v>
      </c>
      <c r="U586" s="1">
        <v>35</v>
      </c>
      <c r="V586">
        <v>0</v>
      </c>
      <c r="W586">
        <v>0</v>
      </c>
      <c r="X586">
        <v>1</v>
      </c>
      <c r="Y586">
        <v>0.16</v>
      </c>
      <c r="Z586">
        <v>23</v>
      </c>
      <c r="AA586">
        <v>0</v>
      </c>
      <c r="AB586">
        <v>0</v>
      </c>
      <c r="AC586">
        <v>0</v>
      </c>
      <c r="AD586">
        <v>1</v>
      </c>
      <c r="AE586">
        <v>0.05</v>
      </c>
      <c r="AF586">
        <v>15</v>
      </c>
      <c r="AG586">
        <v>0</v>
      </c>
      <c r="AH586">
        <v>0</v>
      </c>
      <c r="AI586">
        <v>0</v>
      </c>
      <c r="AJ586">
        <v>1</v>
      </c>
      <c r="AK586">
        <v>0.02</v>
      </c>
      <c r="AL586">
        <v>16</v>
      </c>
      <c r="AM586">
        <v>0</v>
      </c>
      <c r="AN586">
        <v>0</v>
      </c>
      <c r="AO586">
        <v>0</v>
      </c>
      <c r="AP586">
        <v>1</v>
      </c>
      <c r="AQ586">
        <v>0.01</v>
      </c>
      <c r="AX586">
        <v>7</v>
      </c>
      <c r="AY586" s="1">
        <v>19</v>
      </c>
      <c r="AZ586">
        <v>0</v>
      </c>
      <c r="BA586">
        <v>0</v>
      </c>
      <c r="BB586">
        <v>1</v>
      </c>
      <c r="BC586" s="7">
        <v>0.32</v>
      </c>
      <c r="BD586">
        <v>30</v>
      </c>
      <c r="BE586">
        <v>0</v>
      </c>
      <c r="BF586">
        <v>0</v>
      </c>
      <c r="BG586">
        <v>0</v>
      </c>
      <c r="BH586">
        <v>5</v>
      </c>
      <c r="BI586">
        <v>2.4</v>
      </c>
      <c r="BJ586">
        <v>31</v>
      </c>
      <c r="BK586">
        <v>0</v>
      </c>
      <c r="BL586">
        <v>0</v>
      </c>
      <c r="BM586">
        <v>0</v>
      </c>
      <c r="BN586">
        <v>5</v>
      </c>
      <c r="BO586">
        <v>2.4</v>
      </c>
      <c r="BP586">
        <v>36</v>
      </c>
      <c r="BQ586">
        <v>0</v>
      </c>
      <c r="BR586">
        <v>0</v>
      </c>
      <c r="BS586">
        <v>0</v>
      </c>
      <c r="BT586">
        <v>5</v>
      </c>
      <c r="BU586">
        <v>2.2999999999999998</v>
      </c>
    </row>
    <row r="587" spans="1:73" x14ac:dyDescent="0.15">
      <c r="A587" s="11">
        <v>10634</v>
      </c>
      <c r="B587">
        <v>7</v>
      </c>
      <c r="C587" s="1">
        <v>48</v>
      </c>
      <c r="D587">
        <v>0</v>
      </c>
      <c r="E587">
        <v>0</v>
      </c>
      <c r="F587">
        <v>1</v>
      </c>
      <c r="G587" s="7">
        <v>0.05</v>
      </c>
      <c r="H587">
        <v>12</v>
      </c>
      <c r="I587">
        <v>0</v>
      </c>
      <c r="J587">
        <v>0</v>
      </c>
      <c r="K587">
        <v>0</v>
      </c>
      <c r="L587">
        <v>1</v>
      </c>
      <c r="M587">
        <v>2</v>
      </c>
      <c r="N587" s="7">
        <v>9</v>
      </c>
      <c r="O587" s="7">
        <v>0</v>
      </c>
      <c r="P587" s="7">
        <v>0</v>
      </c>
      <c r="Q587" s="7">
        <v>0</v>
      </c>
      <c r="R587" s="7">
        <v>1</v>
      </c>
      <c r="S587" s="7">
        <v>4.5</v>
      </c>
      <c r="T587">
        <v>7</v>
      </c>
      <c r="U587" s="1">
        <v>36</v>
      </c>
      <c r="V587">
        <v>0</v>
      </c>
      <c r="W587">
        <v>0</v>
      </c>
      <c r="X587">
        <v>1</v>
      </c>
      <c r="Y587">
        <v>0.16</v>
      </c>
      <c r="Z587">
        <v>23</v>
      </c>
      <c r="AA587">
        <v>0</v>
      </c>
      <c r="AB587">
        <v>0</v>
      </c>
      <c r="AC587">
        <v>0</v>
      </c>
      <c r="AD587">
        <v>1</v>
      </c>
      <c r="AE587">
        <v>0.05</v>
      </c>
      <c r="AF587">
        <v>15</v>
      </c>
      <c r="AG587">
        <v>0</v>
      </c>
      <c r="AH587">
        <v>0</v>
      </c>
      <c r="AI587">
        <v>0</v>
      </c>
      <c r="AJ587">
        <v>1</v>
      </c>
      <c r="AK587">
        <v>0.02</v>
      </c>
      <c r="AL587">
        <v>16</v>
      </c>
      <c r="AM587">
        <v>0</v>
      </c>
      <c r="AN587">
        <v>0</v>
      </c>
      <c r="AO587">
        <v>0</v>
      </c>
      <c r="AP587">
        <v>1</v>
      </c>
      <c r="AQ587">
        <v>0.01</v>
      </c>
      <c r="AX587">
        <v>7</v>
      </c>
      <c r="AY587" s="1">
        <v>20</v>
      </c>
      <c r="AZ587">
        <v>0</v>
      </c>
      <c r="BA587">
        <v>0</v>
      </c>
      <c r="BB587">
        <v>1</v>
      </c>
      <c r="BC587" s="7">
        <v>0.32</v>
      </c>
      <c r="BD587">
        <v>30</v>
      </c>
      <c r="BE587">
        <v>0</v>
      </c>
      <c r="BF587">
        <v>0</v>
      </c>
      <c r="BG587">
        <v>0</v>
      </c>
      <c r="BH587">
        <v>5</v>
      </c>
      <c r="BI587">
        <v>2.4</v>
      </c>
      <c r="BJ587">
        <v>31</v>
      </c>
      <c r="BK587">
        <v>0</v>
      </c>
      <c r="BL587">
        <v>0</v>
      </c>
      <c r="BM587">
        <v>0</v>
      </c>
      <c r="BN587">
        <v>5</v>
      </c>
      <c r="BO587">
        <v>2.4</v>
      </c>
      <c r="BP587">
        <v>36</v>
      </c>
      <c r="BQ587">
        <v>0</v>
      </c>
      <c r="BR587">
        <v>0</v>
      </c>
      <c r="BS587">
        <v>0</v>
      </c>
      <c r="BT587">
        <v>5</v>
      </c>
      <c r="BU587">
        <v>2.2999999999999998</v>
      </c>
    </row>
    <row r="588" spans="1:73" x14ac:dyDescent="0.15">
      <c r="A588" s="11">
        <v>10635</v>
      </c>
      <c r="B588">
        <v>7</v>
      </c>
      <c r="C588" s="1">
        <v>0</v>
      </c>
      <c r="D588">
        <v>5</v>
      </c>
      <c r="E588">
        <v>1</v>
      </c>
      <c r="F588">
        <v>1</v>
      </c>
      <c r="G588" s="7">
        <v>0.05</v>
      </c>
      <c r="H588">
        <v>12</v>
      </c>
      <c r="I588">
        <v>0</v>
      </c>
      <c r="J588">
        <v>0</v>
      </c>
      <c r="K588">
        <v>0</v>
      </c>
      <c r="L588">
        <v>1</v>
      </c>
      <c r="M588">
        <v>2</v>
      </c>
      <c r="N588" s="7">
        <v>9</v>
      </c>
      <c r="O588" s="7">
        <v>0</v>
      </c>
      <c r="P588" s="7">
        <v>0</v>
      </c>
      <c r="Q588" s="7">
        <v>0</v>
      </c>
      <c r="R588" s="7">
        <v>1</v>
      </c>
      <c r="S588" s="7">
        <v>4.5</v>
      </c>
      <c r="T588">
        <v>7</v>
      </c>
      <c r="U588" s="1">
        <v>0</v>
      </c>
      <c r="V588">
        <v>4</v>
      </c>
      <c r="W588">
        <v>2</v>
      </c>
      <c r="X588">
        <v>1</v>
      </c>
      <c r="Y588">
        <v>0.16</v>
      </c>
      <c r="Z588">
        <v>23</v>
      </c>
      <c r="AA588">
        <v>0</v>
      </c>
      <c r="AB588">
        <v>0</v>
      </c>
      <c r="AC588">
        <v>0</v>
      </c>
      <c r="AD588">
        <v>1</v>
      </c>
      <c r="AE588">
        <v>0.05</v>
      </c>
      <c r="AF588">
        <v>15</v>
      </c>
      <c r="AG588">
        <v>0</v>
      </c>
      <c r="AH588">
        <v>0</v>
      </c>
      <c r="AI588">
        <v>0</v>
      </c>
      <c r="AJ588">
        <v>1</v>
      </c>
      <c r="AK588">
        <v>0.02</v>
      </c>
      <c r="AL588">
        <v>16</v>
      </c>
      <c r="AM588">
        <v>0</v>
      </c>
      <c r="AN588">
        <v>0</v>
      </c>
      <c r="AO588">
        <v>0</v>
      </c>
      <c r="AP588">
        <v>1</v>
      </c>
      <c r="AQ588">
        <v>0.01</v>
      </c>
      <c r="AR588">
        <v>6</v>
      </c>
      <c r="AS588">
        <v>2</v>
      </c>
      <c r="AT588">
        <v>2</v>
      </c>
      <c r="AU588">
        <v>5</v>
      </c>
      <c r="AV588">
        <v>1</v>
      </c>
      <c r="AW588">
        <v>0.05</v>
      </c>
      <c r="AX588">
        <v>7</v>
      </c>
      <c r="AY588" s="1">
        <v>0</v>
      </c>
      <c r="AZ588">
        <v>3</v>
      </c>
      <c r="BA588">
        <v>1</v>
      </c>
      <c r="BB588">
        <v>1</v>
      </c>
      <c r="BC588" s="7">
        <v>0.32</v>
      </c>
      <c r="BD588">
        <v>30</v>
      </c>
      <c r="BE588">
        <v>0</v>
      </c>
      <c r="BF588">
        <v>0</v>
      </c>
      <c r="BG588">
        <v>0</v>
      </c>
      <c r="BH588">
        <v>5</v>
      </c>
      <c r="BI588">
        <v>2.4</v>
      </c>
      <c r="BJ588">
        <v>31</v>
      </c>
      <c r="BK588">
        <v>0</v>
      </c>
      <c r="BL588">
        <v>0</v>
      </c>
      <c r="BM588">
        <v>0</v>
      </c>
      <c r="BN588">
        <v>5</v>
      </c>
      <c r="BO588">
        <v>2.4</v>
      </c>
      <c r="BP588">
        <v>36</v>
      </c>
      <c r="BQ588">
        <v>0</v>
      </c>
      <c r="BR588">
        <v>0</v>
      </c>
      <c r="BS588">
        <v>0</v>
      </c>
      <c r="BT588">
        <v>5</v>
      </c>
      <c r="BU588">
        <v>2.2999999999999998</v>
      </c>
    </row>
    <row r="589" spans="1:73" x14ac:dyDescent="0.15">
      <c r="A589" s="11">
        <v>10636</v>
      </c>
      <c r="B589">
        <v>7</v>
      </c>
      <c r="C589" s="1">
        <v>45</v>
      </c>
      <c r="D589">
        <v>0</v>
      </c>
      <c r="E589">
        <v>0</v>
      </c>
      <c r="F589">
        <v>1</v>
      </c>
      <c r="G589" s="7">
        <v>0.05</v>
      </c>
      <c r="H589">
        <v>12</v>
      </c>
      <c r="I589">
        <v>0</v>
      </c>
      <c r="J589">
        <v>0</v>
      </c>
      <c r="K589">
        <v>0</v>
      </c>
      <c r="L589">
        <v>1</v>
      </c>
      <c r="M589">
        <v>2</v>
      </c>
      <c r="N589" s="7">
        <v>9</v>
      </c>
      <c r="O589" s="7">
        <v>0</v>
      </c>
      <c r="P589" s="7">
        <v>0</v>
      </c>
      <c r="Q589" s="7">
        <v>0</v>
      </c>
      <c r="R589" s="7">
        <v>1</v>
      </c>
      <c r="S589" s="7">
        <v>4.5</v>
      </c>
      <c r="T589">
        <v>7</v>
      </c>
      <c r="U589" s="1">
        <v>33</v>
      </c>
      <c r="V589">
        <v>0</v>
      </c>
      <c r="W589">
        <v>0</v>
      </c>
      <c r="X589">
        <v>1</v>
      </c>
      <c r="Y589">
        <v>0.16</v>
      </c>
      <c r="Z589">
        <v>23</v>
      </c>
      <c r="AA589">
        <v>0</v>
      </c>
      <c r="AB589">
        <v>0</v>
      </c>
      <c r="AC589">
        <v>0</v>
      </c>
      <c r="AD589">
        <v>1</v>
      </c>
      <c r="AE589">
        <v>0.05</v>
      </c>
      <c r="AF589">
        <v>15</v>
      </c>
      <c r="AG589">
        <v>0</v>
      </c>
      <c r="AH589">
        <v>0</v>
      </c>
      <c r="AI589">
        <v>0</v>
      </c>
      <c r="AJ589">
        <v>1</v>
      </c>
      <c r="AK589">
        <v>0.02</v>
      </c>
      <c r="AL589">
        <v>16</v>
      </c>
      <c r="AM589">
        <v>0</v>
      </c>
      <c r="AN589">
        <v>0</v>
      </c>
      <c r="AO589">
        <v>0</v>
      </c>
      <c r="AP589">
        <v>1</v>
      </c>
      <c r="AQ589">
        <v>0.01</v>
      </c>
      <c r="AX589">
        <v>7</v>
      </c>
      <c r="AY589" s="1">
        <v>17</v>
      </c>
      <c r="AZ589">
        <v>0</v>
      </c>
      <c r="BA589">
        <v>0</v>
      </c>
      <c r="BB589">
        <v>1</v>
      </c>
      <c r="BC589" s="7">
        <v>0.32</v>
      </c>
      <c r="BD589">
        <v>30</v>
      </c>
      <c r="BE589">
        <v>0</v>
      </c>
      <c r="BF589">
        <v>0</v>
      </c>
      <c r="BG589">
        <v>0</v>
      </c>
      <c r="BH589">
        <v>5</v>
      </c>
      <c r="BI589">
        <v>2.4</v>
      </c>
      <c r="BJ589">
        <v>31</v>
      </c>
      <c r="BK589">
        <v>0</v>
      </c>
      <c r="BL589">
        <v>0</v>
      </c>
      <c r="BM589">
        <v>0</v>
      </c>
      <c r="BN589">
        <v>5</v>
      </c>
      <c r="BO589">
        <v>2.4</v>
      </c>
      <c r="BP589">
        <v>36</v>
      </c>
      <c r="BQ589">
        <v>0</v>
      </c>
      <c r="BR589">
        <v>0</v>
      </c>
      <c r="BS589">
        <v>0</v>
      </c>
      <c r="BT589">
        <v>5</v>
      </c>
      <c r="BU589">
        <v>2.2999999999999998</v>
      </c>
    </row>
    <row r="590" spans="1:73" x14ac:dyDescent="0.15">
      <c r="A590" s="11">
        <v>10637</v>
      </c>
      <c r="B590">
        <v>7</v>
      </c>
      <c r="C590" s="1">
        <v>46</v>
      </c>
      <c r="D590">
        <v>0</v>
      </c>
      <c r="E590">
        <v>0</v>
      </c>
      <c r="F590">
        <v>1</v>
      </c>
      <c r="G590" s="7">
        <v>0.05</v>
      </c>
      <c r="H590">
        <v>12</v>
      </c>
      <c r="I590">
        <v>0</v>
      </c>
      <c r="J590">
        <v>0</v>
      </c>
      <c r="K590">
        <v>0</v>
      </c>
      <c r="L590">
        <v>1</v>
      </c>
      <c r="M590">
        <v>2</v>
      </c>
      <c r="N590" s="7">
        <v>9</v>
      </c>
      <c r="O590" s="7">
        <v>0</v>
      </c>
      <c r="P590" s="7">
        <v>0</v>
      </c>
      <c r="Q590" s="7">
        <v>0</v>
      </c>
      <c r="R590" s="7">
        <v>1</v>
      </c>
      <c r="S590" s="7">
        <v>4.5</v>
      </c>
      <c r="T590">
        <v>7</v>
      </c>
      <c r="U590" s="1">
        <v>34</v>
      </c>
      <c r="V590">
        <v>0</v>
      </c>
      <c r="W590">
        <v>0</v>
      </c>
      <c r="X590">
        <v>1</v>
      </c>
      <c r="Y590">
        <v>0.16</v>
      </c>
      <c r="Z590">
        <v>23</v>
      </c>
      <c r="AA590">
        <v>0</v>
      </c>
      <c r="AB590">
        <v>0</v>
      </c>
      <c r="AC590">
        <v>0</v>
      </c>
      <c r="AD590">
        <v>1</v>
      </c>
      <c r="AE590">
        <v>0.05</v>
      </c>
      <c r="AF590">
        <v>15</v>
      </c>
      <c r="AG590">
        <v>0</v>
      </c>
      <c r="AH590">
        <v>0</v>
      </c>
      <c r="AI590">
        <v>0</v>
      </c>
      <c r="AJ590">
        <v>1</v>
      </c>
      <c r="AK590">
        <v>0.02</v>
      </c>
      <c r="AL590">
        <v>16</v>
      </c>
      <c r="AM590">
        <v>0</v>
      </c>
      <c r="AN590">
        <v>0</v>
      </c>
      <c r="AO590">
        <v>0</v>
      </c>
      <c r="AP590">
        <v>1</v>
      </c>
      <c r="AQ590">
        <v>0.01</v>
      </c>
      <c r="AX590">
        <v>7</v>
      </c>
      <c r="AY590" s="1">
        <v>18</v>
      </c>
      <c r="AZ590">
        <v>0</v>
      </c>
      <c r="BA590">
        <v>0</v>
      </c>
      <c r="BB590">
        <v>1</v>
      </c>
      <c r="BC590" s="7">
        <v>0.32</v>
      </c>
      <c r="BD590">
        <v>30</v>
      </c>
      <c r="BE590">
        <v>0</v>
      </c>
      <c r="BF590">
        <v>0</v>
      </c>
      <c r="BG590">
        <v>0</v>
      </c>
      <c r="BH590">
        <v>5</v>
      </c>
      <c r="BI590">
        <v>2.4</v>
      </c>
      <c r="BJ590">
        <v>31</v>
      </c>
      <c r="BK590">
        <v>0</v>
      </c>
      <c r="BL590">
        <v>0</v>
      </c>
      <c r="BM590">
        <v>0</v>
      </c>
      <c r="BN590">
        <v>5</v>
      </c>
      <c r="BO590">
        <v>2.4</v>
      </c>
      <c r="BP590">
        <v>36</v>
      </c>
      <c r="BQ590">
        <v>0</v>
      </c>
      <c r="BR590">
        <v>0</v>
      </c>
      <c r="BS590">
        <v>0</v>
      </c>
      <c r="BT590">
        <v>5</v>
      </c>
      <c r="BU590">
        <v>2.2999999999999998</v>
      </c>
    </row>
    <row r="591" spans="1:73" x14ac:dyDescent="0.15">
      <c r="A591" s="11">
        <v>10638</v>
      </c>
      <c r="B591">
        <v>7</v>
      </c>
      <c r="C591" s="1">
        <v>47</v>
      </c>
      <c r="D591">
        <v>0</v>
      </c>
      <c r="E591">
        <v>0</v>
      </c>
      <c r="F591">
        <v>1</v>
      </c>
      <c r="G591" s="7">
        <v>0.05</v>
      </c>
      <c r="H591">
        <v>12</v>
      </c>
      <c r="I591">
        <v>0</v>
      </c>
      <c r="J591">
        <v>0</v>
      </c>
      <c r="K591">
        <v>0</v>
      </c>
      <c r="L591">
        <v>1</v>
      </c>
      <c r="M591">
        <v>2</v>
      </c>
      <c r="N591" s="7">
        <v>9</v>
      </c>
      <c r="O591" s="7">
        <v>0</v>
      </c>
      <c r="P591" s="7">
        <v>0</v>
      </c>
      <c r="Q591" s="7">
        <v>0</v>
      </c>
      <c r="R591" s="7">
        <v>1</v>
      </c>
      <c r="S591" s="7">
        <v>4.5</v>
      </c>
      <c r="T591">
        <v>7</v>
      </c>
      <c r="U591" s="1">
        <v>35</v>
      </c>
      <c r="V591">
        <v>0</v>
      </c>
      <c r="W591">
        <v>0</v>
      </c>
      <c r="X591">
        <v>1</v>
      </c>
      <c r="Y591">
        <v>0.16</v>
      </c>
      <c r="Z591">
        <v>23</v>
      </c>
      <c r="AA591">
        <v>0</v>
      </c>
      <c r="AB591">
        <v>0</v>
      </c>
      <c r="AC591">
        <v>0</v>
      </c>
      <c r="AD591">
        <v>1</v>
      </c>
      <c r="AE591">
        <v>0.05</v>
      </c>
      <c r="AF591">
        <v>15</v>
      </c>
      <c r="AG591">
        <v>0</v>
      </c>
      <c r="AH591">
        <v>0</v>
      </c>
      <c r="AI591">
        <v>0</v>
      </c>
      <c r="AJ591">
        <v>1</v>
      </c>
      <c r="AK591">
        <v>0.02</v>
      </c>
      <c r="AL591">
        <v>16</v>
      </c>
      <c r="AM591">
        <v>0</v>
      </c>
      <c r="AN591">
        <v>0</v>
      </c>
      <c r="AO591">
        <v>0</v>
      </c>
      <c r="AP591">
        <v>1</v>
      </c>
      <c r="AQ591">
        <v>0.01</v>
      </c>
      <c r="AX591">
        <v>7</v>
      </c>
      <c r="AY591" s="1">
        <v>19</v>
      </c>
      <c r="AZ591">
        <v>0</v>
      </c>
      <c r="BA591">
        <v>0</v>
      </c>
      <c r="BB591">
        <v>1</v>
      </c>
      <c r="BC591" s="7">
        <v>0.32</v>
      </c>
      <c r="BD591">
        <v>30</v>
      </c>
      <c r="BE591">
        <v>0</v>
      </c>
      <c r="BF591">
        <v>0</v>
      </c>
      <c r="BG591">
        <v>0</v>
      </c>
      <c r="BH591">
        <v>5</v>
      </c>
      <c r="BI591">
        <v>2.4</v>
      </c>
      <c r="BJ591">
        <v>31</v>
      </c>
      <c r="BK591">
        <v>0</v>
      </c>
      <c r="BL591">
        <v>0</v>
      </c>
      <c r="BM591">
        <v>0</v>
      </c>
      <c r="BN591">
        <v>5</v>
      </c>
      <c r="BO591">
        <v>2.4</v>
      </c>
      <c r="BP591">
        <v>36</v>
      </c>
      <c r="BQ591">
        <v>0</v>
      </c>
      <c r="BR591">
        <v>0</v>
      </c>
      <c r="BS591">
        <v>0</v>
      </c>
      <c r="BT591">
        <v>5</v>
      </c>
      <c r="BU591">
        <v>2.2999999999999998</v>
      </c>
    </row>
    <row r="592" spans="1:73" x14ac:dyDescent="0.15">
      <c r="A592" s="11">
        <v>10639</v>
      </c>
      <c r="B592">
        <v>7</v>
      </c>
      <c r="C592" s="1">
        <v>48</v>
      </c>
      <c r="D592">
        <v>0</v>
      </c>
      <c r="E592">
        <v>0</v>
      </c>
      <c r="F592">
        <v>1</v>
      </c>
      <c r="G592" s="7">
        <v>0.05</v>
      </c>
      <c r="H592">
        <v>12</v>
      </c>
      <c r="I592">
        <v>0</v>
      </c>
      <c r="J592">
        <v>0</v>
      </c>
      <c r="K592">
        <v>0</v>
      </c>
      <c r="L592">
        <v>1</v>
      </c>
      <c r="M592">
        <v>2</v>
      </c>
      <c r="N592" s="7">
        <v>9</v>
      </c>
      <c r="O592" s="7">
        <v>0</v>
      </c>
      <c r="P592" s="7">
        <v>0</v>
      </c>
      <c r="Q592" s="7">
        <v>0</v>
      </c>
      <c r="R592" s="7">
        <v>1</v>
      </c>
      <c r="S592" s="7">
        <v>4.5</v>
      </c>
      <c r="T592">
        <v>7</v>
      </c>
      <c r="U592" s="1">
        <v>36</v>
      </c>
      <c r="V592">
        <v>0</v>
      </c>
      <c r="W592">
        <v>0</v>
      </c>
      <c r="X592">
        <v>1</v>
      </c>
      <c r="Y592">
        <v>0.16</v>
      </c>
      <c r="Z592">
        <v>23</v>
      </c>
      <c r="AA592">
        <v>0</v>
      </c>
      <c r="AB592">
        <v>0</v>
      </c>
      <c r="AC592">
        <v>0</v>
      </c>
      <c r="AD592">
        <v>1</v>
      </c>
      <c r="AE592">
        <v>0.05</v>
      </c>
      <c r="AF592">
        <v>15</v>
      </c>
      <c r="AG592">
        <v>0</v>
      </c>
      <c r="AH592">
        <v>0</v>
      </c>
      <c r="AI592">
        <v>0</v>
      </c>
      <c r="AJ592">
        <v>1</v>
      </c>
      <c r="AK592">
        <v>0.02</v>
      </c>
      <c r="AL592">
        <v>16</v>
      </c>
      <c r="AM592">
        <v>0</v>
      </c>
      <c r="AN592">
        <v>0</v>
      </c>
      <c r="AO592">
        <v>0</v>
      </c>
      <c r="AP592">
        <v>1</v>
      </c>
      <c r="AQ592">
        <v>0.01</v>
      </c>
      <c r="AX592">
        <v>7</v>
      </c>
      <c r="AY592" s="1">
        <v>20</v>
      </c>
      <c r="AZ592">
        <v>0</v>
      </c>
      <c r="BA592">
        <v>0</v>
      </c>
      <c r="BB592">
        <v>1</v>
      </c>
      <c r="BC592" s="7">
        <v>0.32</v>
      </c>
      <c r="BD592">
        <v>30</v>
      </c>
      <c r="BE592">
        <v>0</v>
      </c>
      <c r="BF592">
        <v>0</v>
      </c>
      <c r="BG592">
        <v>0</v>
      </c>
      <c r="BH592">
        <v>5</v>
      </c>
      <c r="BI592">
        <v>2.4</v>
      </c>
      <c r="BJ592">
        <v>31</v>
      </c>
      <c r="BK592">
        <v>0</v>
      </c>
      <c r="BL592">
        <v>0</v>
      </c>
      <c r="BM592">
        <v>0</v>
      </c>
      <c r="BN592">
        <v>5</v>
      </c>
      <c r="BO592">
        <v>2.4</v>
      </c>
      <c r="BP592">
        <v>36</v>
      </c>
      <c r="BQ592">
        <v>0</v>
      </c>
      <c r="BR592">
        <v>0</v>
      </c>
      <c r="BS592">
        <v>0</v>
      </c>
      <c r="BT592">
        <v>5</v>
      </c>
      <c r="BU592">
        <v>2.2999999999999998</v>
      </c>
    </row>
    <row r="593" spans="1:73" x14ac:dyDescent="0.15">
      <c r="A593" s="11">
        <v>10640</v>
      </c>
      <c r="B593">
        <v>7</v>
      </c>
      <c r="C593" s="1">
        <v>0</v>
      </c>
      <c r="D593">
        <v>5</v>
      </c>
      <c r="E593">
        <v>1</v>
      </c>
      <c r="F593">
        <v>1</v>
      </c>
      <c r="G593" s="7">
        <v>0.05</v>
      </c>
      <c r="H593">
        <v>12</v>
      </c>
      <c r="I593">
        <v>0</v>
      </c>
      <c r="J593">
        <v>0</v>
      </c>
      <c r="K593">
        <v>0</v>
      </c>
      <c r="L593">
        <v>1</v>
      </c>
      <c r="M593">
        <v>2</v>
      </c>
      <c r="N593" s="7">
        <v>9</v>
      </c>
      <c r="O593" s="7">
        <v>0</v>
      </c>
      <c r="P593" s="7">
        <v>0</v>
      </c>
      <c r="Q593" s="7">
        <v>0</v>
      </c>
      <c r="R593" s="7">
        <v>1</v>
      </c>
      <c r="S593" s="7">
        <v>4.5</v>
      </c>
      <c r="T593">
        <v>7</v>
      </c>
      <c r="U593" s="1">
        <v>0</v>
      </c>
      <c r="V593">
        <v>4</v>
      </c>
      <c r="W593">
        <v>2</v>
      </c>
      <c r="X593">
        <v>1</v>
      </c>
      <c r="Y593">
        <v>0.16</v>
      </c>
      <c r="Z593">
        <v>23</v>
      </c>
      <c r="AA593">
        <v>0</v>
      </c>
      <c r="AB593">
        <v>0</v>
      </c>
      <c r="AC593">
        <v>0</v>
      </c>
      <c r="AD593">
        <v>1</v>
      </c>
      <c r="AE593">
        <v>0.05</v>
      </c>
      <c r="AF593">
        <v>15</v>
      </c>
      <c r="AG593">
        <v>0</v>
      </c>
      <c r="AH593">
        <v>0</v>
      </c>
      <c r="AI593">
        <v>0</v>
      </c>
      <c r="AJ593">
        <v>1</v>
      </c>
      <c r="AK593">
        <v>0.02</v>
      </c>
      <c r="AL593">
        <v>16</v>
      </c>
      <c r="AM593">
        <v>0</v>
      </c>
      <c r="AN593">
        <v>0</v>
      </c>
      <c r="AO593">
        <v>0</v>
      </c>
      <c r="AP593">
        <v>1</v>
      </c>
      <c r="AQ593">
        <v>0.01</v>
      </c>
      <c r="AR593">
        <v>6</v>
      </c>
      <c r="AS593">
        <v>2</v>
      </c>
      <c r="AT593">
        <v>3</v>
      </c>
      <c r="AU593">
        <v>5</v>
      </c>
      <c r="AV593">
        <v>1</v>
      </c>
      <c r="AW593">
        <v>0.05</v>
      </c>
      <c r="AX593">
        <v>7</v>
      </c>
      <c r="AY593" s="1">
        <v>0</v>
      </c>
      <c r="AZ593">
        <v>3</v>
      </c>
      <c r="BA593">
        <v>1</v>
      </c>
      <c r="BB593">
        <v>1</v>
      </c>
      <c r="BC593" s="7">
        <v>0.32</v>
      </c>
      <c r="BD593">
        <v>30</v>
      </c>
      <c r="BE593">
        <v>0</v>
      </c>
      <c r="BF593">
        <v>0</v>
      </c>
      <c r="BG593">
        <v>0</v>
      </c>
      <c r="BH593">
        <v>5</v>
      </c>
      <c r="BI593">
        <v>2.4</v>
      </c>
      <c r="BJ593">
        <v>31</v>
      </c>
      <c r="BK593">
        <v>0</v>
      </c>
      <c r="BL593">
        <v>0</v>
      </c>
      <c r="BM593">
        <v>0</v>
      </c>
      <c r="BN593">
        <v>5</v>
      </c>
      <c r="BO593">
        <v>2.4</v>
      </c>
      <c r="BP593">
        <v>36</v>
      </c>
      <c r="BQ593">
        <v>0</v>
      </c>
      <c r="BR593">
        <v>0</v>
      </c>
      <c r="BS593">
        <v>0</v>
      </c>
      <c r="BT593">
        <v>5</v>
      </c>
      <c r="BU593">
        <v>2.2999999999999998</v>
      </c>
    </row>
    <row r="594" spans="1:73" x14ac:dyDescent="0.15">
      <c r="A594" s="11">
        <v>10641</v>
      </c>
      <c r="B594">
        <v>7</v>
      </c>
      <c r="C594" s="1">
        <v>45</v>
      </c>
      <c r="D594">
        <v>0</v>
      </c>
      <c r="E594">
        <v>0</v>
      </c>
      <c r="F594">
        <v>1</v>
      </c>
      <c r="G594" s="7">
        <v>0.05</v>
      </c>
      <c r="H594">
        <v>12</v>
      </c>
      <c r="I594">
        <v>0</v>
      </c>
      <c r="J594">
        <v>0</v>
      </c>
      <c r="K594">
        <v>0</v>
      </c>
      <c r="L594">
        <v>1</v>
      </c>
      <c r="M594">
        <v>2</v>
      </c>
      <c r="N594" s="7">
        <v>9</v>
      </c>
      <c r="O594" s="7">
        <v>0</v>
      </c>
      <c r="P594" s="7">
        <v>0</v>
      </c>
      <c r="Q594" s="7">
        <v>0</v>
      </c>
      <c r="R594" s="7">
        <v>1</v>
      </c>
      <c r="S594" s="7">
        <v>4.5</v>
      </c>
      <c r="T594">
        <v>7</v>
      </c>
      <c r="U594" s="1">
        <v>33</v>
      </c>
      <c r="V594">
        <v>0</v>
      </c>
      <c r="W594">
        <v>0</v>
      </c>
      <c r="X594">
        <v>1</v>
      </c>
      <c r="Y594">
        <v>0.16</v>
      </c>
      <c r="Z594">
        <v>23</v>
      </c>
      <c r="AA594">
        <v>0</v>
      </c>
      <c r="AB594">
        <v>0</v>
      </c>
      <c r="AC594">
        <v>0</v>
      </c>
      <c r="AD594">
        <v>1</v>
      </c>
      <c r="AE594">
        <v>0.05</v>
      </c>
      <c r="AF594">
        <v>15</v>
      </c>
      <c r="AG594">
        <v>0</v>
      </c>
      <c r="AH594">
        <v>0</v>
      </c>
      <c r="AI594">
        <v>0</v>
      </c>
      <c r="AJ594">
        <v>1</v>
      </c>
      <c r="AK594">
        <v>0.02</v>
      </c>
      <c r="AL594">
        <v>16</v>
      </c>
      <c r="AM594">
        <v>0</v>
      </c>
      <c r="AN594">
        <v>0</v>
      </c>
      <c r="AO594">
        <v>0</v>
      </c>
      <c r="AP594">
        <v>1</v>
      </c>
      <c r="AQ594">
        <v>0.01</v>
      </c>
      <c r="AX594">
        <v>7</v>
      </c>
      <c r="AY594" s="1">
        <v>17</v>
      </c>
      <c r="AZ594">
        <v>0</v>
      </c>
      <c r="BA594">
        <v>0</v>
      </c>
      <c r="BB594">
        <v>1</v>
      </c>
      <c r="BC594" s="7">
        <v>0.32</v>
      </c>
      <c r="BD594">
        <v>30</v>
      </c>
      <c r="BE594">
        <v>0</v>
      </c>
      <c r="BF594">
        <v>0</v>
      </c>
      <c r="BG594">
        <v>0</v>
      </c>
      <c r="BH594">
        <v>5</v>
      </c>
      <c r="BI594">
        <v>2.4</v>
      </c>
      <c r="BJ594">
        <v>31</v>
      </c>
      <c r="BK594">
        <v>0</v>
      </c>
      <c r="BL594">
        <v>0</v>
      </c>
      <c r="BM594">
        <v>0</v>
      </c>
      <c r="BN594">
        <v>5</v>
      </c>
      <c r="BO594">
        <v>2.4</v>
      </c>
      <c r="BP594">
        <v>36</v>
      </c>
      <c r="BQ594">
        <v>0</v>
      </c>
      <c r="BR594">
        <v>0</v>
      </c>
      <c r="BS594">
        <v>0</v>
      </c>
      <c r="BT594">
        <v>5</v>
      </c>
      <c r="BU594">
        <v>2.2999999999999998</v>
      </c>
    </row>
    <row r="595" spans="1:73" x14ac:dyDescent="0.15">
      <c r="A595" s="11">
        <v>10642</v>
      </c>
      <c r="B595">
        <v>7</v>
      </c>
      <c r="C595" s="1">
        <v>46</v>
      </c>
      <c r="D595">
        <v>0</v>
      </c>
      <c r="E595">
        <v>0</v>
      </c>
      <c r="F595">
        <v>1</v>
      </c>
      <c r="G595" s="7">
        <v>0.05</v>
      </c>
      <c r="H595">
        <v>12</v>
      </c>
      <c r="I595">
        <v>0</v>
      </c>
      <c r="J595">
        <v>0</v>
      </c>
      <c r="K595">
        <v>0</v>
      </c>
      <c r="L595">
        <v>1</v>
      </c>
      <c r="M595">
        <v>2</v>
      </c>
      <c r="N595" s="7">
        <v>9</v>
      </c>
      <c r="O595" s="7">
        <v>0</v>
      </c>
      <c r="P595" s="7">
        <v>0</v>
      </c>
      <c r="Q595" s="7">
        <v>0</v>
      </c>
      <c r="R595" s="7">
        <v>1</v>
      </c>
      <c r="S595" s="7">
        <v>4.5</v>
      </c>
      <c r="T595">
        <v>7</v>
      </c>
      <c r="U595" s="1">
        <v>34</v>
      </c>
      <c r="V595">
        <v>0</v>
      </c>
      <c r="W595">
        <v>0</v>
      </c>
      <c r="X595">
        <v>1</v>
      </c>
      <c r="Y595">
        <v>0.16</v>
      </c>
      <c r="Z595">
        <v>23</v>
      </c>
      <c r="AA595">
        <v>0</v>
      </c>
      <c r="AB595">
        <v>0</v>
      </c>
      <c r="AC595">
        <v>0</v>
      </c>
      <c r="AD595">
        <v>1</v>
      </c>
      <c r="AE595">
        <v>0.05</v>
      </c>
      <c r="AF595">
        <v>15</v>
      </c>
      <c r="AG595">
        <v>0</v>
      </c>
      <c r="AH595">
        <v>0</v>
      </c>
      <c r="AI595">
        <v>0</v>
      </c>
      <c r="AJ595">
        <v>1</v>
      </c>
      <c r="AK595">
        <v>0.02</v>
      </c>
      <c r="AL595">
        <v>16</v>
      </c>
      <c r="AM595">
        <v>0</v>
      </c>
      <c r="AN595">
        <v>0</v>
      </c>
      <c r="AO595">
        <v>0</v>
      </c>
      <c r="AP595">
        <v>1</v>
      </c>
      <c r="AQ595">
        <v>0.01</v>
      </c>
      <c r="AX595">
        <v>7</v>
      </c>
      <c r="AY595" s="1">
        <v>18</v>
      </c>
      <c r="AZ595">
        <v>0</v>
      </c>
      <c r="BA595">
        <v>0</v>
      </c>
      <c r="BB595">
        <v>1</v>
      </c>
      <c r="BC595" s="7">
        <v>0.32</v>
      </c>
      <c r="BD595">
        <v>30</v>
      </c>
      <c r="BE595">
        <v>0</v>
      </c>
      <c r="BF595">
        <v>0</v>
      </c>
      <c r="BG595">
        <v>0</v>
      </c>
      <c r="BH595">
        <v>5</v>
      </c>
      <c r="BI595">
        <v>2.4</v>
      </c>
      <c r="BJ595">
        <v>31</v>
      </c>
      <c r="BK595">
        <v>0</v>
      </c>
      <c r="BL595">
        <v>0</v>
      </c>
      <c r="BM595">
        <v>0</v>
      </c>
      <c r="BN595">
        <v>5</v>
      </c>
      <c r="BO595">
        <v>2.4</v>
      </c>
      <c r="BP595">
        <v>36</v>
      </c>
      <c r="BQ595">
        <v>0</v>
      </c>
      <c r="BR595">
        <v>0</v>
      </c>
      <c r="BS595">
        <v>0</v>
      </c>
      <c r="BT595">
        <v>5</v>
      </c>
      <c r="BU595">
        <v>2.2999999999999998</v>
      </c>
    </row>
    <row r="596" spans="1:73" x14ac:dyDescent="0.15">
      <c r="A596" s="11">
        <v>10643</v>
      </c>
      <c r="B596">
        <v>7</v>
      </c>
      <c r="C596" s="1">
        <v>47</v>
      </c>
      <c r="D596">
        <v>0</v>
      </c>
      <c r="E596">
        <v>0</v>
      </c>
      <c r="F596">
        <v>1</v>
      </c>
      <c r="G596" s="7">
        <v>0.05</v>
      </c>
      <c r="H596">
        <v>12</v>
      </c>
      <c r="I596">
        <v>0</v>
      </c>
      <c r="J596">
        <v>0</v>
      </c>
      <c r="K596">
        <v>0</v>
      </c>
      <c r="L596">
        <v>1</v>
      </c>
      <c r="M596">
        <v>2</v>
      </c>
      <c r="N596" s="7">
        <v>9</v>
      </c>
      <c r="O596" s="7">
        <v>0</v>
      </c>
      <c r="P596" s="7">
        <v>0</v>
      </c>
      <c r="Q596" s="7">
        <v>0</v>
      </c>
      <c r="R596" s="7">
        <v>1</v>
      </c>
      <c r="S596" s="7">
        <v>4.5</v>
      </c>
      <c r="T596">
        <v>7</v>
      </c>
      <c r="U596" s="1">
        <v>35</v>
      </c>
      <c r="V596">
        <v>0</v>
      </c>
      <c r="W596">
        <v>0</v>
      </c>
      <c r="X596">
        <v>1</v>
      </c>
      <c r="Y596">
        <v>0.16</v>
      </c>
      <c r="Z596">
        <v>23</v>
      </c>
      <c r="AA596">
        <v>0</v>
      </c>
      <c r="AB596">
        <v>0</v>
      </c>
      <c r="AC596">
        <v>0</v>
      </c>
      <c r="AD596">
        <v>1</v>
      </c>
      <c r="AE596">
        <v>0.05</v>
      </c>
      <c r="AF596">
        <v>15</v>
      </c>
      <c r="AG596">
        <v>0</v>
      </c>
      <c r="AH596">
        <v>0</v>
      </c>
      <c r="AI596">
        <v>0</v>
      </c>
      <c r="AJ596">
        <v>1</v>
      </c>
      <c r="AK596">
        <v>0.02</v>
      </c>
      <c r="AL596">
        <v>16</v>
      </c>
      <c r="AM596">
        <v>0</v>
      </c>
      <c r="AN596">
        <v>0</v>
      </c>
      <c r="AO596">
        <v>0</v>
      </c>
      <c r="AP596">
        <v>1</v>
      </c>
      <c r="AQ596">
        <v>0.01</v>
      </c>
      <c r="AX596">
        <v>7</v>
      </c>
      <c r="AY596" s="1">
        <v>19</v>
      </c>
      <c r="AZ596">
        <v>0</v>
      </c>
      <c r="BA596">
        <v>0</v>
      </c>
      <c r="BB596">
        <v>1</v>
      </c>
      <c r="BC596" s="7">
        <v>0.32</v>
      </c>
      <c r="BD596">
        <v>30</v>
      </c>
      <c r="BE596">
        <v>0</v>
      </c>
      <c r="BF596">
        <v>0</v>
      </c>
      <c r="BG596">
        <v>0</v>
      </c>
      <c r="BH596">
        <v>5</v>
      </c>
      <c r="BI596">
        <v>2.4</v>
      </c>
      <c r="BJ596">
        <v>31</v>
      </c>
      <c r="BK596">
        <v>0</v>
      </c>
      <c r="BL596">
        <v>0</v>
      </c>
      <c r="BM596">
        <v>0</v>
      </c>
      <c r="BN596">
        <v>5</v>
      </c>
      <c r="BO596">
        <v>2.4</v>
      </c>
      <c r="BP596">
        <v>36</v>
      </c>
      <c r="BQ596">
        <v>0</v>
      </c>
      <c r="BR596">
        <v>0</v>
      </c>
      <c r="BS596">
        <v>0</v>
      </c>
      <c r="BT596">
        <v>5</v>
      </c>
      <c r="BU596">
        <v>2.2999999999999998</v>
      </c>
    </row>
    <row r="597" spans="1:73" x14ac:dyDescent="0.15">
      <c r="A597" s="11">
        <v>10644</v>
      </c>
      <c r="B597">
        <v>7</v>
      </c>
      <c r="C597" s="1">
        <v>48</v>
      </c>
      <c r="D597">
        <v>0</v>
      </c>
      <c r="E597">
        <v>0</v>
      </c>
      <c r="F597">
        <v>1</v>
      </c>
      <c r="G597" s="7">
        <v>0.05</v>
      </c>
      <c r="H597">
        <v>12</v>
      </c>
      <c r="I597">
        <v>0</v>
      </c>
      <c r="J597">
        <v>0</v>
      </c>
      <c r="K597">
        <v>0</v>
      </c>
      <c r="L597">
        <v>1</v>
      </c>
      <c r="M597">
        <v>2</v>
      </c>
      <c r="N597" s="7">
        <v>9</v>
      </c>
      <c r="O597" s="7">
        <v>0</v>
      </c>
      <c r="P597" s="7">
        <v>0</v>
      </c>
      <c r="Q597" s="7">
        <v>0</v>
      </c>
      <c r="R597" s="7">
        <v>1</v>
      </c>
      <c r="S597" s="7">
        <v>4.5</v>
      </c>
      <c r="T597">
        <v>7</v>
      </c>
      <c r="U597" s="1">
        <v>36</v>
      </c>
      <c r="V597">
        <v>0</v>
      </c>
      <c r="W597">
        <v>0</v>
      </c>
      <c r="X597">
        <v>1</v>
      </c>
      <c r="Y597">
        <v>0.16</v>
      </c>
      <c r="Z597">
        <v>23</v>
      </c>
      <c r="AA597">
        <v>0</v>
      </c>
      <c r="AB597">
        <v>0</v>
      </c>
      <c r="AC597">
        <v>0</v>
      </c>
      <c r="AD597">
        <v>1</v>
      </c>
      <c r="AE597">
        <v>0.05</v>
      </c>
      <c r="AF597">
        <v>15</v>
      </c>
      <c r="AG597">
        <v>0</v>
      </c>
      <c r="AH597">
        <v>0</v>
      </c>
      <c r="AI597">
        <v>0</v>
      </c>
      <c r="AJ597">
        <v>1</v>
      </c>
      <c r="AK597">
        <v>0.02</v>
      </c>
      <c r="AL597">
        <v>16</v>
      </c>
      <c r="AM597">
        <v>0</v>
      </c>
      <c r="AN597">
        <v>0</v>
      </c>
      <c r="AO597">
        <v>0</v>
      </c>
      <c r="AP597">
        <v>1</v>
      </c>
      <c r="AQ597">
        <v>0.01</v>
      </c>
      <c r="AX597">
        <v>7</v>
      </c>
      <c r="AY597" s="1">
        <v>20</v>
      </c>
      <c r="AZ597">
        <v>0</v>
      </c>
      <c r="BA597">
        <v>0</v>
      </c>
      <c r="BB597">
        <v>1</v>
      </c>
      <c r="BC597" s="7">
        <v>0.32</v>
      </c>
      <c r="BD597">
        <v>30</v>
      </c>
      <c r="BE597">
        <v>0</v>
      </c>
      <c r="BF597">
        <v>0</v>
      </c>
      <c r="BG597">
        <v>0</v>
      </c>
      <c r="BH597">
        <v>5</v>
      </c>
      <c r="BI597">
        <v>2.4</v>
      </c>
      <c r="BJ597">
        <v>31</v>
      </c>
      <c r="BK597">
        <v>0</v>
      </c>
      <c r="BL597">
        <v>0</v>
      </c>
      <c r="BM597">
        <v>0</v>
      </c>
      <c r="BN597">
        <v>5</v>
      </c>
      <c r="BO597">
        <v>2.4</v>
      </c>
      <c r="BP597">
        <v>36</v>
      </c>
      <c r="BQ597">
        <v>0</v>
      </c>
      <c r="BR597">
        <v>0</v>
      </c>
      <c r="BS597">
        <v>0</v>
      </c>
      <c r="BT597">
        <v>5</v>
      </c>
      <c r="BU597">
        <v>2.2999999999999998</v>
      </c>
    </row>
    <row r="598" spans="1:73" x14ac:dyDescent="0.15">
      <c r="A598" s="11">
        <v>10645</v>
      </c>
      <c r="B598">
        <v>7</v>
      </c>
      <c r="C598" s="1">
        <v>0</v>
      </c>
      <c r="D598">
        <v>5</v>
      </c>
      <c r="E598">
        <v>1</v>
      </c>
      <c r="F598">
        <v>1</v>
      </c>
      <c r="G598" s="7">
        <v>0.05</v>
      </c>
      <c r="H598">
        <v>12</v>
      </c>
      <c r="I598">
        <v>0</v>
      </c>
      <c r="J598">
        <v>0</v>
      </c>
      <c r="K598">
        <v>0</v>
      </c>
      <c r="L598">
        <v>1</v>
      </c>
      <c r="M598">
        <v>2</v>
      </c>
      <c r="N598" s="7">
        <v>9</v>
      </c>
      <c r="O598" s="7">
        <v>0</v>
      </c>
      <c r="P598" s="7">
        <v>0</v>
      </c>
      <c r="Q598" s="7">
        <v>0</v>
      </c>
      <c r="R598" s="7">
        <v>1</v>
      </c>
      <c r="S598" s="7">
        <v>4.5</v>
      </c>
      <c r="T598">
        <v>7</v>
      </c>
      <c r="U598" s="1">
        <v>0</v>
      </c>
      <c r="V598">
        <v>4</v>
      </c>
      <c r="W598">
        <v>2</v>
      </c>
      <c r="X598">
        <v>1</v>
      </c>
      <c r="Y598">
        <v>0.16</v>
      </c>
      <c r="Z598">
        <v>23</v>
      </c>
      <c r="AA598">
        <v>0</v>
      </c>
      <c r="AB598">
        <v>0</v>
      </c>
      <c r="AC598">
        <v>0</v>
      </c>
      <c r="AD598">
        <v>1</v>
      </c>
      <c r="AE598">
        <v>0.05</v>
      </c>
      <c r="AF598">
        <v>15</v>
      </c>
      <c r="AG598">
        <v>0</v>
      </c>
      <c r="AH598">
        <v>0</v>
      </c>
      <c r="AI598">
        <v>0</v>
      </c>
      <c r="AJ598">
        <v>1</v>
      </c>
      <c r="AK598">
        <v>0.02</v>
      </c>
      <c r="AL598">
        <v>16</v>
      </c>
      <c r="AM598">
        <v>0</v>
      </c>
      <c r="AN598">
        <v>0</v>
      </c>
      <c r="AO598">
        <v>0</v>
      </c>
      <c r="AP598">
        <v>1</v>
      </c>
      <c r="AQ598">
        <v>0.01</v>
      </c>
      <c r="AR598">
        <v>6</v>
      </c>
      <c r="AS598">
        <v>2</v>
      </c>
      <c r="AT598">
        <v>4</v>
      </c>
      <c r="AU598">
        <v>5</v>
      </c>
      <c r="AV598">
        <v>1</v>
      </c>
      <c r="AW598">
        <v>0.01</v>
      </c>
      <c r="AX598">
        <v>7</v>
      </c>
      <c r="AY598" s="1">
        <v>0</v>
      </c>
      <c r="AZ598">
        <v>3</v>
      </c>
      <c r="BA598">
        <v>1</v>
      </c>
      <c r="BB598">
        <v>1</v>
      </c>
      <c r="BC598" s="7">
        <v>0.32</v>
      </c>
      <c r="BD598">
        <v>30</v>
      </c>
      <c r="BE598">
        <v>0</v>
      </c>
      <c r="BF598">
        <v>0</v>
      </c>
      <c r="BG598">
        <v>0</v>
      </c>
      <c r="BH598">
        <v>5</v>
      </c>
      <c r="BI598">
        <v>2.4</v>
      </c>
      <c r="BJ598">
        <v>31</v>
      </c>
      <c r="BK598">
        <v>0</v>
      </c>
      <c r="BL598">
        <v>0</v>
      </c>
      <c r="BM598">
        <v>0</v>
      </c>
      <c r="BN598">
        <v>5</v>
      </c>
      <c r="BO598">
        <v>2.4</v>
      </c>
      <c r="BP598">
        <v>36</v>
      </c>
      <c r="BQ598">
        <v>0</v>
      </c>
      <c r="BR598">
        <v>0</v>
      </c>
      <c r="BS598">
        <v>0</v>
      </c>
      <c r="BT598">
        <v>5</v>
      </c>
      <c r="BU598">
        <v>2.2999999999999998</v>
      </c>
    </row>
    <row r="599" spans="1:73" x14ac:dyDescent="0.15">
      <c r="A599" s="11">
        <v>10646</v>
      </c>
      <c r="B599">
        <v>7</v>
      </c>
      <c r="C599" s="1">
        <v>45</v>
      </c>
      <c r="D599">
        <v>0</v>
      </c>
      <c r="E599">
        <v>0</v>
      </c>
      <c r="F599">
        <v>1</v>
      </c>
      <c r="G599" s="7">
        <v>0.05</v>
      </c>
      <c r="H599">
        <v>12</v>
      </c>
      <c r="I599">
        <v>0</v>
      </c>
      <c r="J599">
        <v>0</v>
      </c>
      <c r="K599">
        <v>0</v>
      </c>
      <c r="L599">
        <v>1</v>
      </c>
      <c r="M599">
        <v>2</v>
      </c>
      <c r="N599" s="7">
        <v>9</v>
      </c>
      <c r="O599" s="7">
        <v>0</v>
      </c>
      <c r="P599" s="7">
        <v>0</v>
      </c>
      <c r="Q599" s="7">
        <v>0</v>
      </c>
      <c r="R599" s="7">
        <v>1</v>
      </c>
      <c r="S599" s="7">
        <v>4.5</v>
      </c>
      <c r="T599">
        <v>7</v>
      </c>
      <c r="U599" s="1">
        <v>33</v>
      </c>
      <c r="V599">
        <v>0</v>
      </c>
      <c r="W599">
        <v>0</v>
      </c>
      <c r="X599">
        <v>1</v>
      </c>
      <c r="Y599">
        <v>0.16</v>
      </c>
      <c r="Z599">
        <v>23</v>
      </c>
      <c r="AA599">
        <v>0</v>
      </c>
      <c r="AB599">
        <v>0</v>
      </c>
      <c r="AC599">
        <v>0</v>
      </c>
      <c r="AD599">
        <v>1</v>
      </c>
      <c r="AE599">
        <v>0.05</v>
      </c>
      <c r="AF599">
        <v>15</v>
      </c>
      <c r="AG599">
        <v>0</v>
      </c>
      <c r="AH599">
        <v>0</v>
      </c>
      <c r="AI599">
        <v>0</v>
      </c>
      <c r="AJ599">
        <v>1</v>
      </c>
      <c r="AK599">
        <v>0.02</v>
      </c>
      <c r="AL599">
        <v>16</v>
      </c>
      <c r="AM599">
        <v>0</v>
      </c>
      <c r="AN599">
        <v>0</v>
      </c>
      <c r="AO599">
        <v>0</v>
      </c>
      <c r="AP599">
        <v>1</v>
      </c>
      <c r="AQ599">
        <v>0.01</v>
      </c>
      <c r="AX599">
        <v>7</v>
      </c>
      <c r="AY599" s="1">
        <v>17</v>
      </c>
      <c r="AZ599">
        <v>0</v>
      </c>
      <c r="BA599">
        <v>0</v>
      </c>
      <c r="BB599">
        <v>1</v>
      </c>
      <c r="BC599" s="7">
        <v>0.32</v>
      </c>
      <c r="BD599">
        <v>30</v>
      </c>
      <c r="BE599">
        <v>0</v>
      </c>
      <c r="BF599">
        <v>0</v>
      </c>
      <c r="BG599">
        <v>0</v>
      </c>
      <c r="BH599">
        <v>5</v>
      </c>
      <c r="BI599">
        <v>2.4</v>
      </c>
      <c r="BJ599">
        <v>31</v>
      </c>
      <c r="BK599">
        <v>0</v>
      </c>
      <c r="BL599">
        <v>0</v>
      </c>
      <c r="BM599">
        <v>0</v>
      </c>
      <c r="BN599">
        <v>5</v>
      </c>
      <c r="BO599">
        <v>2.4</v>
      </c>
      <c r="BP599">
        <v>36</v>
      </c>
      <c r="BQ599">
        <v>0</v>
      </c>
      <c r="BR599">
        <v>0</v>
      </c>
      <c r="BS599">
        <v>0</v>
      </c>
      <c r="BT599">
        <v>5</v>
      </c>
      <c r="BU599">
        <v>2.2999999999999998</v>
      </c>
    </row>
    <row r="600" spans="1:73" x14ac:dyDescent="0.15">
      <c r="A600" s="11">
        <v>10647</v>
      </c>
      <c r="B600">
        <v>7</v>
      </c>
      <c r="C600" s="1">
        <v>46</v>
      </c>
      <c r="D600">
        <v>0</v>
      </c>
      <c r="E600">
        <v>0</v>
      </c>
      <c r="F600">
        <v>1</v>
      </c>
      <c r="G600" s="7">
        <v>0.05</v>
      </c>
      <c r="H600">
        <v>12</v>
      </c>
      <c r="I600">
        <v>0</v>
      </c>
      <c r="J600">
        <v>0</v>
      </c>
      <c r="K600">
        <v>0</v>
      </c>
      <c r="L600">
        <v>1</v>
      </c>
      <c r="M600">
        <v>2</v>
      </c>
      <c r="N600" s="7">
        <v>9</v>
      </c>
      <c r="O600" s="7">
        <v>0</v>
      </c>
      <c r="P600" s="7">
        <v>0</v>
      </c>
      <c r="Q600" s="7">
        <v>0</v>
      </c>
      <c r="R600" s="7">
        <v>1</v>
      </c>
      <c r="S600" s="7">
        <v>4.5</v>
      </c>
      <c r="T600">
        <v>7</v>
      </c>
      <c r="U600" s="1">
        <v>34</v>
      </c>
      <c r="V600">
        <v>0</v>
      </c>
      <c r="W600">
        <v>0</v>
      </c>
      <c r="X600">
        <v>1</v>
      </c>
      <c r="Y600">
        <v>0.16</v>
      </c>
      <c r="Z600">
        <v>23</v>
      </c>
      <c r="AA600">
        <v>0</v>
      </c>
      <c r="AB600">
        <v>0</v>
      </c>
      <c r="AC600">
        <v>0</v>
      </c>
      <c r="AD600">
        <v>1</v>
      </c>
      <c r="AE600">
        <v>0.05</v>
      </c>
      <c r="AF600">
        <v>15</v>
      </c>
      <c r="AG600">
        <v>0</v>
      </c>
      <c r="AH600">
        <v>0</v>
      </c>
      <c r="AI600">
        <v>0</v>
      </c>
      <c r="AJ600">
        <v>1</v>
      </c>
      <c r="AK600">
        <v>0.02</v>
      </c>
      <c r="AL600">
        <v>16</v>
      </c>
      <c r="AM600">
        <v>0</v>
      </c>
      <c r="AN600">
        <v>0</v>
      </c>
      <c r="AO600">
        <v>0</v>
      </c>
      <c r="AP600">
        <v>1</v>
      </c>
      <c r="AQ600">
        <v>0.01</v>
      </c>
      <c r="AX600">
        <v>7</v>
      </c>
      <c r="AY600" s="1">
        <v>18</v>
      </c>
      <c r="AZ600">
        <v>0</v>
      </c>
      <c r="BA600">
        <v>0</v>
      </c>
      <c r="BB600">
        <v>1</v>
      </c>
      <c r="BC600" s="7">
        <v>0.32</v>
      </c>
      <c r="BD600">
        <v>30</v>
      </c>
      <c r="BE600">
        <v>0</v>
      </c>
      <c r="BF600">
        <v>0</v>
      </c>
      <c r="BG600">
        <v>0</v>
      </c>
      <c r="BH600">
        <v>5</v>
      </c>
      <c r="BI600">
        <v>2.4</v>
      </c>
      <c r="BJ600">
        <v>31</v>
      </c>
      <c r="BK600">
        <v>0</v>
      </c>
      <c r="BL600">
        <v>0</v>
      </c>
      <c r="BM600">
        <v>0</v>
      </c>
      <c r="BN600">
        <v>5</v>
      </c>
      <c r="BO600">
        <v>2.4</v>
      </c>
      <c r="BP600">
        <v>36</v>
      </c>
      <c r="BQ600">
        <v>0</v>
      </c>
      <c r="BR600">
        <v>0</v>
      </c>
      <c r="BS600">
        <v>0</v>
      </c>
      <c r="BT600">
        <v>5</v>
      </c>
      <c r="BU600">
        <v>2.2999999999999998</v>
      </c>
    </row>
    <row r="601" spans="1:73" x14ac:dyDescent="0.15">
      <c r="A601" s="11">
        <v>10648</v>
      </c>
      <c r="B601">
        <v>7</v>
      </c>
      <c r="C601" s="1">
        <v>47</v>
      </c>
      <c r="D601">
        <v>0</v>
      </c>
      <c r="E601">
        <v>0</v>
      </c>
      <c r="F601">
        <v>1</v>
      </c>
      <c r="G601" s="7">
        <v>0.05</v>
      </c>
      <c r="H601">
        <v>12</v>
      </c>
      <c r="I601">
        <v>0</v>
      </c>
      <c r="J601">
        <v>0</v>
      </c>
      <c r="K601">
        <v>0</v>
      </c>
      <c r="L601">
        <v>1</v>
      </c>
      <c r="M601">
        <v>2</v>
      </c>
      <c r="N601" s="7">
        <v>9</v>
      </c>
      <c r="O601" s="7">
        <v>0</v>
      </c>
      <c r="P601" s="7">
        <v>0</v>
      </c>
      <c r="Q601" s="7">
        <v>0</v>
      </c>
      <c r="R601" s="7">
        <v>1</v>
      </c>
      <c r="S601" s="7">
        <v>4.5</v>
      </c>
      <c r="T601">
        <v>7</v>
      </c>
      <c r="U601" s="1">
        <v>35</v>
      </c>
      <c r="V601">
        <v>0</v>
      </c>
      <c r="W601">
        <v>0</v>
      </c>
      <c r="X601">
        <v>1</v>
      </c>
      <c r="Y601">
        <v>0.16</v>
      </c>
      <c r="Z601">
        <v>23</v>
      </c>
      <c r="AA601">
        <v>0</v>
      </c>
      <c r="AB601">
        <v>0</v>
      </c>
      <c r="AC601">
        <v>0</v>
      </c>
      <c r="AD601">
        <v>1</v>
      </c>
      <c r="AE601">
        <v>0.05</v>
      </c>
      <c r="AF601">
        <v>15</v>
      </c>
      <c r="AG601">
        <v>0</v>
      </c>
      <c r="AH601">
        <v>0</v>
      </c>
      <c r="AI601">
        <v>0</v>
      </c>
      <c r="AJ601">
        <v>1</v>
      </c>
      <c r="AK601">
        <v>0.02</v>
      </c>
      <c r="AL601">
        <v>16</v>
      </c>
      <c r="AM601">
        <v>0</v>
      </c>
      <c r="AN601">
        <v>0</v>
      </c>
      <c r="AO601">
        <v>0</v>
      </c>
      <c r="AP601">
        <v>1</v>
      </c>
      <c r="AQ601">
        <v>0.01</v>
      </c>
      <c r="AX601">
        <v>7</v>
      </c>
      <c r="AY601" s="1">
        <v>19</v>
      </c>
      <c r="AZ601">
        <v>0</v>
      </c>
      <c r="BA601">
        <v>0</v>
      </c>
      <c r="BB601">
        <v>1</v>
      </c>
      <c r="BC601" s="7">
        <v>0.32</v>
      </c>
      <c r="BD601">
        <v>30</v>
      </c>
      <c r="BE601">
        <v>0</v>
      </c>
      <c r="BF601">
        <v>0</v>
      </c>
      <c r="BG601">
        <v>0</v>
      </c>
      <c r="BH601">
        <v>5</v>
      </c>
      <c r="BI601">
        <v>2.4</v>
      </c>
      <c r="BJ601">
        <v>31</v>
      </c>
      <c r="BK601">
        <v>0</v>
      </c>
      <c r="BL601">
        <v>0</v>
      </c>
      <c r="BM601">
        <v>0</v>
      </c>
      <c r="BN601">
        <v>5</v>
      </c>
      <c r="BO601">
        <v>2.4</v>
      </c>
      <c r="BP601">
        <v>36</v>
      </c>
      <c r="BQ601">
        <v>0</v>
      </c>
      <c r="BR601">
        <v>0</v>
      </c>
      <c r="BS601">
        <v>0</v>
      </c>
      <c r="BT601">
        <v>5</v>
      </c>
      <c r="BU601">
        <v>2.2999999999999998</v>
      </c>
    </row>
    <row r="602" spans="1:73" x14ac:dyDescent="0.15">
      <c r="A602" s="11">
        <v>10649</v>
      </c>
      <c r="B602">
        <v>7</v>
      </c>
      <c r="C602" s="1">
        <v>48</v>
      </c>
      <c r="D602">
        <v>0</v>
      </c>
      <c r="E602">
        <v>0</v>
      </c>
      <c r="F602">
        <v>1</v>
      </c>
      <c r="G602" s="7">
        <v>0.05</v>
      </c>
      <c r="H602">
        <v>12</v>
      </c>
      <c r="I602">
        <v>0</v>
      </c>
      <c r="J602">
        <v>0</v>
      </c>
      <c r="K602">
        <v>0</v>
      </c>
      <c r="L602">
        <v>1</v>
      </c>
      <c r="M602">
        <v>2</v>
      </c>
      <c r="N602" s="7">
        <v>9</v>
      </c>
      <c r="O602" s="7">
        <v>0</v>
      </c>
      <c r="P602" s="7">
        <v>0</v>
      </c>
      <c r="Q602" s="7">
        <v>0</v>
      </c>
      <c r="R602" s="7">
        <v>1</v>
      </c>
      <c r="S602" s="7">
        <v>4.5</v>
      </c>
      <c r="T602">
        <v>7</v>
      </c>
      <c r="U602" s="1">
        <v>36</v>
      </c>
      <c r="V602">
        <v>0</v>
      </c>
      <c r="W602">
        <v>0</v>
      </c>
      <c r="X602">
        <v>1</v>
      </c>
      <c r="Y602">
        <v>0.16</v>
      </c>
      <c r="Z602">
        <v>23</v>
      </c>
      <c r="AA602">
        <v>0</v>
      </c>
      <c r="AB602">
        <v>0</v>
      </c>
      <c r="AC602">
        <v>0</v>
      </c>
      <c r="AD602">
        <v>1</v>
      </c>
      <c r="AE602">
        <v>0.05</v>
      </c>
      <c r="AF602">
        <v>15</v>
      </c>
      <c r="AG602">
        <v>0</v>
      </c>
      <c r="AH602">
        <v>0</v>
      </c>
      <c r="AI602">
        <v>0</v>
      </c>
      <c r="AJ602">
        <v>1</v>
      </c>
      <c r="AK602">
        <v>0.02</v>
      </c>
      <c r="AL602">
        <v>16</v>
      </c>
      <c r="AM602">
        <v>0</v>
      </c>
      <c r="AN602">
        <v>0</v>
      </c>
      <c r="AO602">
        <v>0</v>
      </c>
      <c r="AP602">
        <v>1</v>
      </c>
      <c r="AQ602">
        <v>0.01</v>
      </c>
      <c r="AX602">
        <v>7</v>
      </c>
      <c r="AY602" s="1">
        <v>20</v>
      </c>
      <c r="AZ602">
        <v>0</v>
      </c>
      <c r="BA602">
        <v>0</v>
      </c>
      <c r="BB602">
        <v>1</v>
      </c>
      <c r="BC602" s="7">
        <v>0.32</v>
      </c>
      <c r="BD602">
        <v>30</v>
      </c>
      <c r="BE602">
        <v>0</v>
      </c>
      <c r="BF602">
        <v>0</v>
      </c>
      <c r="BG602">
        <v>0</v>
      </c>
      <c r="BH602">
        <v>5</v>
      </c>
      <c r="BI602">
        <v>2.4</v>
      </c>
      <c r="BJ602">
        <v>31</v>
      </c>
      <c r="BK602">
        <v>0</v>
      </c>
      <c r="BL602">
        <v>0</v>
      </c>
      <c r="BM602">
        <v>0</v>
      </c>
      <c r="BN602">
        <v>5</v>
      </c>
      <c r="BO602">
        <v>2.4</v>
      </c>
      <c r="BP602">
        <v>36</v>
      </c>
      <c r="BQ602">
        <v>0</v>
      </c>
      <c r="BR602">
        <v>0</v>
      </c>
      <c r="BS602">
        <v>0</v>
      </c>
      <c r="BT602">
        <v>5</v>
      </c>
      <c r="BU602">
        <v>2.2999999999999998</v>
      </c>
    </row>
    <row r="603" spans="1:73" x14ac:dyDescent="0.15">
      <c r="A603" s="11">
        <v>10650</v>
      </c>
      <c r="B603">
        <v>7</v>
      </c>
      <c r="C603" s="1">
        <v>0</v>
      </c>
      <c r="D603">
        <v>5</v>
      </c>
      <c r="E603">
        <v>1</v>
      </c>
      <c r="F603">
        <v>1</v>
      </c>
      <c r="G603" s="7">
        <v>0.05</v>
      </c>
      <c r="H603">
        <v>12</v>
      </c>
      <c r="I603">
        <v>0</v>
      </c>
      <c r="J603">
        <v>0</v>
      </c>
      <c r="K603">
        <v>0</v>
      </c>
      <c r="L603">
        <v>1</v>
      </c>
      <c r="M603">
        <v>2</v>
      </c>
      <c r="N603" s="7">
        <v>9</v>
      </c>
      <c r="O603" s="7">
        <v>0</v>
      </c>
      <c r="P603" s="7">
        <v>0</v>
      </c>
      <c r="Q603" s="7">
        <v>0</v>
      </c>
      <c r="R603" s="7">
        <v>1</v>
      </c>
      <c r="S603" s="7">
        <v>4.5</v>
      </c>
      <c r="T603">
        <v>7</v>
      </c>
      <c r="U603" s="1">
        <v>0</v>
      </c>
      <c r="V603">
        <v>4</v>
      </c>
      <c r="W603">
        <v>2</v>
      </c>
      <c r="X603">
        <v>1</v>
      </c>
      <c r="Y603">
        <v>0.16</v>
      </c>
      <c r="Z603">
        <v>23</v>
      </c>
      <c r="AA603">
        <v>0</v>
      </c>
      <c r="AB603">
        <v>0</v>
      </c>
      <c r="AC603">
        <v>0</v>
      </c>
      <c r="AD603">
        <v>1</v>
      </c>
      <c r="AE603">
        <v>0.05</v>
      </c>
      <c r="AF603">
        <v>15</v>
      </c>
      <c r="AG603">
        <v>0</v>
      </c>
      <c r="AH603">
        <v>0</v>
      </c>
      <c r="AI603">
        <v>0</v>
      </c>
      <c r="AJ603">
        <v>1</v>
      </c>
      <c r="AK603">
        <v>0.02</v>
      </c>
      <c r="AL603">
        <v>16</v>
      </c>
      <c r="AM603">
        <v>0</v>
      </c>
      <c r="AN603">
        <v>0</v>
      </c>
      <c r="AO603">
        <v>0</v>
      </c>
      <c r="AP603">
        <v>1</v>
      </c>
      <c r="AQ603">
        <v>0.01</v>
      </c>
      <c r="AR603">
        <v>6</v>
      </c>
      <c r="AS603">
        <v>2</v>
      </c>
      <c r="AT603">
        <v>5</v>
      </c>
      <c r="AU603">
        <v>5</v>
      </c>
      <c r="AV603">
        <v>1</v>
      </c>
      <c r="AW603">
        <v>0.01</v>
      </c>
      <c r="AX603">
        <v>7</v>
      </c>
      <c r="AY603" s="1">
        <v>0</v>
      </c>
      <c r="AZ603">
        <v>3</v>
      </c>
      <c r="BA603">
        <v>1</v>
      </c>
      <c r="BB603">
        <v>1</v>
      </c>
      <c r="BC603" s="7">
        <v>0.32</v>
      </c>
      <c r="BD603">
        <v>30</v>
      </c>
      <c r="BE603">
        <v>0</v>
      </c>
      <c r="BF603">
        <v>0</v>
      </c>
      <c r="BG603">
        <v>0</v>
      </c>
      <c r="BH603">
        <v>5</v>
      </c>
      <c r="BI603">
        <v>2.4</v>
      </c>
      <c r="BJ603">
        <v>31</v>
      </c>
      <c r="BK603">
        <v>0</v>
      </c>
      <c r="BL603">
        <v>0</v>
      </c>
      <c r="BM603">
        <v>0</v>
      </c>
      <c r="BN603">
        <v>5</v>
      </c>
      <c r="BO603">
        <v>2.4</v>
      </c>
      <c r="BP603">
        <v>36</v>
      </c>
      <c r="BQ603">
        <v>0</v>
      </c>
      <c r="BR603">
        <v>0</v>
      </c>
      <c r="BS603">
        <v>0</v>
      </c>
      <c r="BT603">
        <v>5</v>
      </c>
      <c r="BU603">
        <v>2.2999999999999998</v>
      </c>
    </row>
    <row r="604" spans="1:73" x14ac:dyDescent="0.15">
      <c r="A604" s="11">
        <v>10701</v>
      </c>
      <c r="B604">
        <v>7</v>
      </c>
      <c r="C604" s="1">
        <v>45</v>
      </c>
      <c r="D604">
        <v>0</v>
      </c>
      <c r="E604">
        <v>0</v>
      </c>
      <c r="F604">
        <v>1</v>
      </c>
      <c r="G604" s="7">
        <v>0.05</v>
      </c>
      <c r="H604">
        <v>12</v>
      </c>
      <c r="I604">
        <v>0</v>
      </c>
      <c r="J604">
        <v>0</v>
      </c>
      <c r="K604">
        <v>0</v>
      </c>
      <c r="L604">
        <v>1</v>
      </c>
      <c r="M604">
        <v>2</v>
      </c>
      <c r="N604" s="7">
        <v>9</v>
      </c>
      <c r="O604" s="7">
        <v>0</v>
      </c>
      <c r="P604" s="7">
        <v>0</v>
      </c>
      <c r="Q604" s="7">
        <v>0</v>
      </c>
      <c r="R604" s="7">
        <v>1</v>
      </c>
      <c r="S604" s="7">
        <v>4.5</v>
      </c>
      <c r="T604">
        <v>7</v>
      </c>
      <c r="U604" s="1">
        <v>33</v>
      </c>
      <c r="V604">
        <v>0</v>
      </c>
      <c r="W604">
        <v>0</v>
      </c>
      <c r="X604">
        <v>1</v>
      </c>
      <c r="Y604">
        <v>0.16</v>
      </c>
      <c r="Z604">
        <v>23</v>
      </c>
      <c r="AA604">
        <v>0</v>
      </c>
      <c r="AB604">
        <v>0</v>
      </c>
      <c r="AC604">
        <v>0</v>
      </c>
      <c r="AD604">
        <v>1</v>
      </c>
      <c r="AE604">
        <v>0.05</v>
      </c>
      <c r="AF604">
        <v>15</v>
      </c>
      <c r="AG604">
        <v>0</v>
      </c>
      <c r="AH604">
        <v>0</v>
      </c>
      <c r="AI604">
        <v>0</v>
      </c>
      <c r="AJ604">
        <v>1</v>
      </c>
      <c r="AK604">
        <v>0.02</v>
      </c>
      <c r="AL604">
        <v>16</v>
      </c>
      <c r="AM604">
        <v>0</v>
      </c>
      <c r="AN604">
        <v>0</v>
      </c>
      <c r="AO604">
        <v>0</v>
      </c>
      <c r="AP604">
        <v>1</v>
      </c>
      <c r="AQ604">
        <v>0.01</v>
      </c>
      <c r="AX604">
        <v>7</v>
      </c>
      <c r="AY604" s="1">
        <v>17</v>
      </c>
      <c r="AZ604">
        <v>0</v>
      </c>
      <c r="BA604">
        <v>0</v>
      </c>
      <c r="BB604">
        <v>1</v>
      </c>
      <c r="BC604" s="7">
        <v>0.32</v>
      </c>
      <c r="BD604">
        <v>30</v>
      </c>
      <c r="BE604">
        <v>0</v>
      </c>
      <c r="BF604">
        <v>0</v>
      </c>
      <c r="BG604">
        <v>0</v>
      </c>
      <c r="BH604">
        <v>5</v>
      </c>
      <c r="BI604">
        <v>2.4</v>
      </c>
      <c r="BJ604">
        <v>31</v>
      </c>
      <c r="BK604">
        <v>0</v>
      </c>
      <c r="BL604">
        <v>0</v>
      </c>
      <c r="BM604">
        <v>0</v>
      </c>
      <c r="BN604">
        <v>5</v>
      </c>
      <c r="BO604">
        <v>2.4</v>
      </c>
      <c r="BP604">
        <v>36</v>
      </c>
      <c r="BQ604">
        <v>0</v>
      </c>
      <c r="BR604">
        <v>0</v>
      </c>
      <c r="BS604">
        <v>0</v>
      </c>
      <c r="BT604">
        <v>5</v>
      </c>
      <c r="BU604">
        <v>2.2000000000000002</v>
      </c>
    </row>
    <row r="605" spans="1:73" x14ac:dyDescent="0.15">
      <c r="A605" s="11">
        <v>10702</v>
      </c>
      <c r="B605">
        <v>7</v>
      </c>
      <c r="C605" s="1">
        <v>46</v>
      </c>
      <c r="D605">
        <v>0</v>
      </c>
      <c r="E605">
        <v>0</v>
      </c>
      <c r="F605">
        <v>1</v>
      </c>
      <c r="G605" s="7">
        <v>0.05</v>
      </c>
      <c r="H605">
        <v>12</v>
      </c>
      <c r="I605">
        <v>0</v>
      </c>
      <c r="J605">
        <v>0</v>
      </c>
      <c r="K605">
        <v>0</v>
      </c>
      <c r="L605">
        <v>1</v>
      </c>
      <c r="M605">
        <v>2</v>
      </c>
      <c r="N605" s="7">
        <v>9</v>
      </c>
      <c r="O605" s="7">
        <v>0</v>
      </c>
      <c r="P605" s="7">
        <v>0</v>
      </c>
      <c r="Q605" s="7">
        <v>0</v>
      </c>
      <c r="R605" s="7">
        <v>1</v>
      </c>
      <c r="S605" s="7">
        <v>4.5</v>
      </c>
      <c r="T605">
        <v>7</v>
      </c>
      <c r="U605" s="1">
        <v>34</v>
      </c>
      <c r="V605">
        <v>0</v>
      </c>
      <c r="W605">
        <v>0</v>
      </c>
      <c r="X605">
        <v>1</v>
      </c>
      <c r="Y605">
        <v>0.16</v>
      </c>
      <c r="Z605">
        <v>23</v>
      </c>
      <c r="AA605">
        <v>0</v>
      </c>
      <c r="AB605">
        <v>0</v>
      </c>
      <c r="AC605">
        <v>0</v>
      </c>
      <c r="AD605">
        <v>1</v>
      </c>
      <c r="AE605">
        <v>0.05</v>
      </c>
      <c r="AF605">
        <v>15</v>
      </c>
      <c r="AG605">
        <v>0</v>
      </c>
      <c r="AH605">
        <v>0</v>
      </c>
      <c r="AI605">
        <v>0</v>
      </c>
      <c r="AJ605">
        <v>1</v>
      </c>
      <c r="AK605">
        <v>0.02</v>
      </c>
      <c r="AL605">
        <v>16</v>
      </c>
      <c r="AM605">
        <v>0</v>
      </c>
      <c r="AN605">
        <v>0</v>
      </c>
      <c r="AO605">
        <v>0</v>
      </c>
      <c r="AP605">
        <v>1</v>
      </c>
      <c r="AQ605">
        <v>0.01</v>
      </c>
      <c r="AX605">
        <v>7</v>
      </c>
      <c r="AY605" s="1">
        <v>18</v>
      </c>
      <c r="AZ605">
        <v>0</v>
      </c>
      <c r="BA605">
        <v>0</v>
      </c>
      <c r="BB605">
        <v>1</v>
      </c>
      <c r="BC605" s="7">
        <v>0.32</v>
      </c>
      <c r="BD605">
        <v>30</v>
      </c>
      <c r="BE605">
        <v>0</v>
      </c>
      <c r="BF605">
        <v>0</v>
      </c>
      <c r="BG605">
        <v>0</v>
      </c>
      <c r="BH605">
        <v>5</v>
      </c>
      <c r="BI605">
        <v>2.4</v>
      </c>
      <c r="BJ605">
        <v>31</v>
      </c>
      <c r="BK605">
        <v>0</v>
      </c>
      <c r="BL605">
        <v>0</v>
      </c>
      <c r="BM605">
        <v>0</v>
      </c>
      <c r="BN605">
        <v>5</v>
      </c>
      <c r="BO605">
        <v>2.4</v>
      </c>
      <c r="BP605">
        <v>36</v>
      </c>
      <c r="BQ605">
        <v>0</v>
      </c>
      <c r="BR605">
        <v>0</v>
      </c>
      <c r="BS605">
        <v>0</v>
      </c>
      <c r="BT605">
        <v>5</v>
      </c>
      <c r="BU605">
        <v>2.2000000000000002</v>
      </c>
    </row>
    <row r="606" spans="1:73" x14ac:dyDescent="0.15">
      <c r="A606" s="11">
        <v>10703</v>
      </c>
      <c r="B606">
        <v>7</v>
      </c>
      <c r="C606" s="1">
        <v>47</v>
      </c>
      <c r="D606">
        <v>0</v>
      </c>
      <c r="E606">
        <v>0</v>
      </c>
      <c r="F606">
        <v>1</v>
      </c>
      <c r="G606" s="7">
        <v>0.05</v>
      </c>
      <c r="H606">
        <v>12</v>
      </c>
      <c r="I606">
        <v>0</v>
      </c>
      <c r="J606">
        <v>0</v>
      </c>
      <c r="K606">
        <v>0</v>
      </c>
      <c r="L606">
        <v>1</v>
      </c>
      <c r="M606">
        <v>2</v>
      </c>
      <c r="N606" s="7">
        <v>9</v>
      </c>
      <c r="O606" s="7">
        <v>0</v>
      </c>
      <c r="P606" s="7">
        <v>0</v>
      </c>
      <c r="Q606" s="7">
        <v>0</v>
      </c>
      <c r="R606" s="7">
        <v>1</v>
      </c>
      <c r="S606" s="7">
        <v>4.5</v>
      </c>
      <c r="T606">
        <v>7</v>
      </c>
      <c r="U606" s="1">
        <v>35</v>
      </c>
      <c r="V606">
        <v>0</v>
      </c>
      <c r="W606">
        <v>0</v>
      </c>
      <c r="X606">
        <v>1</v>
      </c>
      <c r="Y606">
        <v>0.16</v>
      </c>
      <c r="Z606">
        <v>23</v>
      </c>
      <c r="AA606">
        <v>0</v>
      </c>
      <c r="AB606">
        <v>0</v>
      </c>
      <c r="AC606">
        <v>0</v>
      </c>
      <c r="AD606">
        <v>1</v>
      </c>
      <c r="AE606">
        <v>0.05</v>
      </c>
      <c r="AF606">
        <v>15</v>
      </c>
      <c r="AG606">
        <v>0</v>
      </c>
      <c r="AH606">
        <v>0</v>
      </c>
      <c r="AI606">
        <v>0</v>
      </c>
      <c r="AJ606">
        <v>1</v>
      </c>
      <c r="AK606">
        <v>0.02</v>
      </c>
      <c r="AL606">
        <v>16</v>
      </c>
      <c r="AM606">
        <v>0</v>
      </c>
      <c r="AN606">
        <v>0</v>
      </c>
      <c r="AO606">
        <v>0</v>
      </c>
      <c r="AP606">
        <v>1</v>
      </c>
      <c r="AQ606">
        <v>0.01</v>
      </c>
      <c r="AX606">
        <v>7</v>
      </c>
      <c r="AY606" s="1">
        <v>19</v>
      </c>
      <c r="AZ606">
        <v>0</v>
      </c>
      <c r="BA606">
        <v>0</v>
      </c>
      <c r="BB606">
        <v>1</v>
      </c>
      <c r="BC606" s="7">
        <v>0.32</v>
      </c>
      <c r="BD606">
        <v>30</v>
      </c>
      <c r="BE606">
        <v>0</v>
      </c>
      <c r="BF606">
        <v>0</v>
      </c>
      <c r="BG606">
        <v>0</v>
      </c>
      <c r="BH606">
        <v>5</v>
      </c>
      <c r="BI606">
        <v>2.4</v>
      </c>
      <c r="BJ606">
        <v>31</v>
      </c>
      <c r="BK606">
        <v>0</v>
      </c>
      <c r="BL606">
        <v>0</v>
      </c>
      <c r="BM606">
        <v>0</v>
      </c>
      <c r="BN606">
        <v>5</v>
      </c>
      <c r="BO606">
        <v>2.4</v>
      </c>
      <c r="BP606">
        <v>36</v>
      </c>
      <c r="BQ606">
        <v>0</v>
      </c>
      <c r="BR606">
        <v>0</v>
      </c>
      <c r="BS606">
        <v>0</v>
      </c>
      <c r="BT606">
        <v>5</v>
      </c>
      <c r="BU606">
        <v>2.2000000000000002</v>
      </c>
    </row>
    <row r="607" spans="1:73" x14ac:dyDescent="0.15">
      <c r="A607" s="11">
        <v>10704</v>
      </c>
      <c r="B607">
        <v>7</v>
      </c>
      <c r="C607" s="1">
        <v>48</v>
      </c>
      <c r="D607">
        <v>0</v>
      </c>
      <c r="E607">
        <v>0</v>
      </c>
      <c r="F607">
        <v>1</v>
      </c>
      <c r="G607" s="7">
        <v>0.05</v>
      </c>
      <c r="H607">
        <v>12</v>
      </c>
      <c r="I607">
        <v>0</v>
      </c>
      <c r="J607">
        <v>0</v>
      </c>
      <c r="K607">
        <v>0</v>
      </c>
      <c r="L607">
        <v>1</v>
      </c>
      <c r="M607">
        <v>2</v>
      </c>
      <c r="N607" s="7">
        <v>9</v>
      </c>
      <c r="O607" s="7">
        <v>0</v>
      </c>
      <c r="P607" s="7">
        <v>0</v>
      </c>
      <c r="Q607" s="7">
        <v>0</v>
      </c>
      <c r="R607" s="7">
        <v>1</v>
      </c>
      <c r="S607" s="7">
        <v>4.5</v>
      </c>
      <c r="T607">
        <v>7</v>
      </c>
      <c r="U607" s="1">
        <v>36</v>
      </c>
      <c r="V607">
        <v>0</v>
      </c>
      <c r="W607">
        <v>0</v>
      </c>
      <c r="X607">
        <v>1</v>
      </c>
      <c r="Y607">
        <v>0.16</v>
      </c>
      <c r="Z607">
        <v>23</v>
      </c>
      <c r="AA607">
        <v>0</v>
      </c>
      <c r="AB607">
        <v>0</v>
      </c>
      <c r="AC607">
        <v>0</v>
      </c>
      <c r="AD607">
        <v>1</v>
      </c>
      <c r="AE607">
        <v>0.05</v>
      </c>
      <c r="AF607">
        <v>15</v>
      </c>
      <c r="AG607">
        <v>0</v>
      </c>
      <c r="AH607">
        <v>0</v>
      </c>
      <c r="AI607">
        <v>0</v>
      </c>
      <c r="AJ607">
        <v>1</v>
      </c>
      <c r="AK607">
        <v>0.02</v>
      </c>
      <c r="AL607">
        <v>16</v>
      </c>
      <c r="AM607">
        <v>0</v>
      </c>
      <c r="AN607">
        <v>0</v>
      </c>
      <c r="AO607">
        <v>0</v>
      </c>
      <c r="AP607">
        <v>1</v>
      </c>
      <c r="AQ607">
        <v>0.01</v>
      </c>
      <c r="AX607">
        <v>7</v>
      </c>
      <c r="AY607" s="1">
        <v>20</v>
      </c>
      <c r="AZ607">
        <v>0</v>
      </c>
      <c r="BA607">
        <v>0</v>
      </c>
      <c r="BB607">
        <v>1</v>
      </c>
      <c r="BC607" s="7">
        <v>0.32</v>
      </c>
      <c r="BD607">
        <v>30</v>
      </c>
      <c r="BE607">
        <v>0</v>
      </c>
      <c r="BF607">
        <v>0</v>
      </c>
      <c r="BG607">
        <v>0</v>
      </c>
      <c r="BH607">
        <v>5</v>
      </c>
      <c r="BI607">
        <v>2.4</v>
      </c>
      <c r="BJ607">
        <v>31</v>
      </c>
      <c r="BK607">
        <v>0</v>
      </c>
      <c r="BL607">
        <v>0</v>
      </c>
      <c r="BM607">
        <v>0</v>
      </c>
      <c r="BN607">
        <v>5</v>
      </c>
      <c r="BO607">
        <v>2.4</v>
      </c>
      <c r="BP607">
        <v>36</v>
      </c>
      <c r="BQ607">
        <v>0</v>
      </c>
      <c r="BR607">
        <v>0</v>
      </c>
      <c r="BS607">
        <v>0</v>
      </c>
      <c r="BT607">
        <v>5</v>
      </c>
      <c r="BU607">
        <v>2.2000000000000002</v>
      </c>
    </row>
    <row r="608" spans="1:73" x14ac:dyDescent="0.15">
      <c r="A608" s="11">
        <v>10705</v>
      </c>
      <c r="B608">
        <v>7</v>
      </c>
      <c r="C608" s="1">
        <v>0</v>
      </c>
      <c r="D608">
        <v>5</v>
      </c>
      <c r="E608">
        <v>1</v>
      </c>
      <c r="F608">
        <v>1</v>
      </c>
      <c r="G608" s="7">
        <v>0.05</v>
      </c>
      <c r="H608">
        <v>12</v>
      </c>
      <c r="I608">
        <v>0</v>
      </c>
      <c r="J608">
        <v>0</v>
      </c>
      <c r="K608">
        <v>0</v>
      </c>
      <c r="L608">
        <v>1</v>
      </c>
      <c r="M608">
        <v>2</v>
      </c>
      <c r="N608" s="7">
        <v>9</v>
      </c>
      <c r="O608" s="7">
        <v>0</v>
      </c>
      <c r="P608" s="7">
        <v>0</v>
      </c>
      <c r="Q608" s="7">
        <v>0</v>
      </c>
      <c r="R608" s="7">
        <v>1</v>
      </c>
      <c r="S608" s="7">
        <v>4.5</v>
      </c>
      <c r="T608">
        <v>7</v>
      </c>
      <c r="U608" s="1">
        <v>0</v>
      </c>
      <c r="V608">
        <v>4</v>
      </c>
      <c r="W608">
        <v>2</v>
      </c>
      <c r="X608">
        <v>1</v>
      </c>
      <c r="Y608">
        <v>0.16</v>
      </c>
      <c r="Z608">
        <v>23</v>
      </c>
      <c r="AA608">
        <v>0</v>
      </c>
      <c r="AB608">
        <v>0</v>
      </c>
      <c r="AC608">
        <v>0</v>
      </c>
      <c r="AD608">
        <v>1</v>
      </c>
      <c r="AE608">
        <v>0.05</v>
      </c>
      <c r="AF608">
        <v>15</v>
      </c>
      <c r="AG608">
        <v>0</v>
      </c>
      <c r="AH608">
        <v>0</v>
      </c>
      <c r="AI608">
        <v>0</v>
      </c>
      <c r="AJ608">
        <v>1</v>
      </c>
      <c r="AK608">
        <v>0.02</v>
      </c>
      <c r="AL608">
        <v>16</v>
      </c>
      <c r="AM608">
        <v>0</v>
      </c>
      <c r="AN608">
        <v>0</v>
      </c>
      <c r="AO608">
        <v>0</v>
      </c>
      <c r="AP608">
        <v>1</v>
      </c>
      <c r="AQ608">
        <v>0.01</v>
      </c>
      <c r="AR608">
        <v>6</v>
      </c>
      <c r="AS608">
        <v>2</v>
      </c>
      <c r="AT608">
        <v>1</v>
      </c>
      <c r="AU608">
        <v>5</v>
      </c>
      <c r="AV608">
        <v>1</v>
      </c>
      <c r="AW608">
        <v>0.05</v>
      </c>
      <c r="AX608">
        <v>7</v>
      </c>
      <c r="AY608" s="1">
        <v>0</v>
      </c>
      <c r="AZ608">
        <v>3</v>
      </c>
      <c r="BA608">
        <v>1</v>
      </c>
      <c r="BB608">
        <v>1</v>
      </c>
      <c r="BC608" s="7">
        <v>0.32</v>
      </c>
      <c r="BD608">
        <v>30</v>
      </c>
      <c r="BE608">
        <v>0</v>
      </c>
      <c r="BF608">
        <v>0</v>
      </c>
      <c r="BG608">
        <v>0</v>
      </c>
      <c r="BH608">
        <v>5</v>
      </c>
      <c r="BI608">
        <v>2.4</v>
      </c>
      <c r="BJ608">
        <v>31</v>
      </c>
      <c r="BK608">
        <v>0</v>
      </c>
      <c r="BL608">
        <v>0</v>
      </c>
      <c r="BM608">
        <v>0</v>
      </c>
      <c r="BN608">
        <v>5</v>
      </c>
      <c r="BO608">
        <v>2.4</v>
      </c>
      <c r="BP608">
        <v>36</v>
      </c>
      <c r="BQ608">
        <v>0</v>
      </c>
      <c r="BR608">
        <v>0</v>
      </c>
      <c r="BS608">
        <v>0</v>
      </c>
      <c r="BT608">
        <v>5</v>
      </c>
      <c r="BU608">
        <v>2.2000000000000002</v>
      </c>
    </row>
    <row r="609" spans="1:73" x14ac:dyDescent="0.15">
      <c r="A609" s="11">
        <v>10706</v>
      </c>
      <c r="B609">
        <v>7</v>
      </c>
      <c r="C609" s="1">
        <v>45</v>
      </c>
      <c r="D609">
        <v>0</v>
      </c>
      <c r="E609">
        <v>0</v>
      </c>
      <c r="F609">
        <v>1</v>
      </c>
      <c r="G609" s="7">
        <v>0.05</v>
      </c>
      <c r="H609">
        <v>12</v>
      </c>
      <c r="I609">
        <v>0</v>
      </c>
      <c r="J609">
        <v>0</v>
      </c>
      <c r="K609">
        <v>0</v>
      </c>
      <c r="L609">
        <v>1</v>
      </c>
      <c r="M609">
        <v>2</v>
      </c>
      <c r="N609" s="7">
        <v>9</v>
      </c>
      <c r="O609" s="7">
        <v>0</v>
      </c>
      <c r="P609" s="7">
        <v>0</v>
      </c>
      <c r="Q609" s="7">
        <v>0</v>
      </c>
      <c r="R609" s="7">
        <v>1</v>
      </c>
      <c r="S609" s="7">
        <v>4.5</v>
      </c>
      <c r="T609">
        <v>7</v>
      </c>
      <c r="U609" s="1">
        <v>33</v>
      </c>
      <c r="V609">
        <v>0</v>
      </c>
      <c r="W609">
        <v>0</v>
      </c>
      <c r="X609">
        <v>1</v>
      </c>
      <c r="Y609">
        <v>0.16</v>
      </c>
      <c r="Z609">
        <v>23</v>
      </c>
      <c r="AA609">
        <v>0</v>
      </c>
      <c r="AB609">
        <v>0</v>
      </c>
      <c r="AC609">
        <v>0</v>
      </c>
      <c r="AD609">
        <v>1</v>
      </c>
      <c r="AE609">
        <v>0.05</v>
      </c>
      <c r="AF609">
        <v>15</v>
      </c>
      <c r="AG609">
        <v>0</v>
      </c>
      <c r="AH609">
        <v>0</v>
      </c>
      <c r="AI609">
        <v>0</v>
      </c>
      <c r="AJ609">
        <v>1</v>
      </c>
      <c r="AK609">
        <v>0.02</v>
      </c>
      <c r="AL609">
        <v>16</v>
      </c>
      <c r="AM609">
        <v>0</v>
      </c>
      <c r="AN609">
        <v>0</v>
      </c>
      <c r="AO609">
        <v>0</v>
      </c>
      <c r="AP609">
        <v>1</v>
      </c>
      <c r="AQ609">
        <v>0.01</v>
      </c>
      <c r="AX609">
        <v>7</v>
      </c>
      <c r="AY609" s="1">
        <v>17</v>
      </c>
      <c r="AZ609">
        <v>0</v>
      </c>
      <c r="BA609">
        <v>0</v>
      </c>
      <c r="BB609">
        <v>1</v>
      </c>
      <c r="BC609" s="7">
        <v>0.32</v>
      </c>
      <c r="BD609">
        <v>30</v>
      </c>
      <c r="BE609">
        <v>0</v>
      </c>
      <c r="BF609">
        <v>0</v>
      </c>
      <c r="BG609">
        <v>0</v>
      </c>
      <c r="BH609">
        <v>5</v>
      </c>
      <c r="BI609">
        <v>2.4</v>
      </c>
      <c r="BJ609">
        <v>31</v>
      </c>
      <c r="BK609">
        <v>0</v>
      </c>
      <c r="BL609">
        <v>0</v>
      </c>
      <c r="BM609">
        <v>0</v>
      </c>
      <c r="BN609">
        <v>5</v>
      </c>
      <c r="BO609">
        <v>2.4</v>
      </c>
      <c r="BP609">
        <v>36</v>
      </c>
      <c r="BQ609">
        <v>0</v>
      </c>
      <c r="BR609">
        <v>0</v>
      </c>
      <c r="BS609">
        <v>0</v>
      </c>
      <c r="BT609">
        <v>5</v>
      </c>
      <c r="BU609">
        <v>2.2000000000000002</v>
      </c>
    </row>
    <row r="610" spans="1:73" x14ac:dyDescent="0.15">
      <c r="A610" s="11">
        <v>10707</v>
      </c>
      <c r="B610">
        <v>7</v>
      </c>
      <c r="C610" s="1">
        <v>46</v>
      </c>
      <c r="D610">
        <v>0</v>
      </c>
      <c r="E610">
        <v>0</v>
      </c>
      <c r="F610">
        <v>1</v>
      </c>
      <c r="G610" s="7">
        <v>0.05</v>
      </c>
      <c r="H610">
        <v>12</v>
      </c>
      <c r="I610">
        <v>0</v>
      </c>
      <c r="J610">
        <v>0</v>
      </c>
      <c r="K610">
        <v>0</v>
      </c>
      <c r="L610">
        <v>1</v>
      </c>
      <c r="M610">
        <v>2</v>
      </c>
      <c r="N610" s="7">
        <v>9</v>
      </c>
      <c r="O610" s="7">
        <v>0</v>
      </c>
      <c r="P610" s="7">
        <v>0</v>
      </c>
      <c r="Q610" s="7">
        <v>0</v>
      </c>
      <c r="R610" s="7">
        <v>1</v>
      </c>
      <c r="S610" s="7">
        <v>4.5</v>
      </c>
      <c r="T610">
        <v>7</v>
      </c>
      <c r="U610" s="1">
        <v>34</v>
      </c>
      <c r="V610">
        <v>0</v>
      </c>
      <c r="W610">
        <v>0</v>
      </c>
      <c r="X610">
        <v>1</v>
      </c>
      <c r="Y610">
        <v>0.16</v>
      </c>
      <c r="Z610">
        <v>23</v>
      </c>
      <c r="AA610">
        <v>0</v>
      </c>
      <c r="AB610">
        <v>0</v>
      </c>
      <c r="AC610">
        <v>0</v>
      </c>
      <c r="AD610">
        <v>1</v>
      </c>
      <c r="AE610">
        <v>0.05</v>
      </c>
      <c r="AF610">
        <v>15</v>
      </c>
      <c r="AG610">
        <v>0</v>
      </c>
      <c r="AH610">
        <v>0</v>
      </c>
      <c r="AI610">
        <v>0</v>
      </c>
      <c r="AJ610">
        <v>1</v>
      </c>
      <c r="AK610">
        <v>0.02</v>
      </c>
      <c r="AL610">
        <v>16</v>
      </c>
      <c r="AM610">
        <v>0</v>
      </c>
      <c r="AN610">
        <v>0</v>
      </c>
      <c r="AO610">
        <v>0</v>
      </c>
      <c r="AP610">
        <v>1</v>
      </c>
      <c r="AQ610">
        <v>0.01</v>
      </c>
      <c r="AX610">
        <v>7</v>
      </c>
      <c r="AY610" s="1">
        <v>18</v>
      </c>
      <c r="AZ610">
        <v>0</v>
      </c>
      <c r="BA610">
        <v>0</v>
      </c>
      <c r="BB610">
        <v>1</v>
      </c>
      <c r="BC610" s="7">
        <v>0.32</v>
      </c>
      <c r="BD610">
        <v>30</v>
      </c>
      <c r="BE610">
        <v>0</v>
      </c>
      <c r="BF610">
        <v>0</v>
      </c>
      <c r="BG610">
        <v>0</v>
      </c>
      <c r="BH610">
        <v>5</v>
      </c>
      <c r="BI610">
        <v>2.4</v>
      </c>
      <c r="BJ610">
        <v>31</v>
      </c>
      <c r="BK610">
        <v>0</v>
      </c>
      <c r="BL610">
        <v>0</v>
      </c>
      <c r="BM610">
        <v>0</v>
      </c>
      <c r="BN610">
        <v>5</v>
      </c>
      <c r="BO610">
        <v>2.4</v>
      </c>
      <c r="BP610">
        <v>36</v>
      </c>
      <c r="BQ610">
        <v>0</v>
      </c>
      <c r="BR610">
        <v>0</v>
      </c>
      <c r="BS610">
        <v>0</v>
      </c>
      <c r="BT610">
        <v>5</v>
      </c>
      <c r="BU610">
        <v>2.2000000000000002</v>
      </c>
    </row>
    <row r="611" spans="1:73" x14ac:dyDescent="0.15">
      <c r="A611" s="11">
        <v>10708</v>
      </c>
      <c r="B611">
        <v>7</v>
      </c>
      <c r="C611" s="1">
        <v>47</v>
      </c>
      <c r="D611">
        <v>0</v>
      </c>
      <c r="E611">
        <v>0</v>
      </c>
      <c r="F611">
        <v>1</v>
      </c>
      <c r="G611" s="7">
        <v>0.05</v>
      </c>
      <c r="H611">
        <v>12</v>
      </c>
      <c r="I611">
        <v>0</v>
      </c>
      <c r="J611">
        <v>0</v>
      </c>
      <c r="K611">
        <v>0</v>
      </c>
      <c r="L611">
        <v>1</v>
      </c>
      <c r="M611">
        <v>2</v>
      </c>
      <c r="N611" s="7">
        <v>9</v>
      </c>
      <c r="O611" s="7">
        <v>0</v>
      </c>
      <c r="P611" s="7">
        <v>0</v>
      </c>
      <c r="Q611" s="7">
        <v>0</v>
      </c>
      <c r="R611" s="7">
        <v>1</v>
      </c>
      <c r="S611" s="7">
        <v>4.5</v>
      </c>
      <c r="T611">
        <v>7</v>
      </c>
      <c r="U611" s="1">
        <v>35</v>
      </c>
      <c r="V611">
        <v>0</v>
      </c>
      <c r="W611">
        <v>0</v>
      </c>
      <c r="X611">
        <v>1</v>
      </c>
      <c r="Y611">
        <v>0.16</v>
      </c>
      <c r="Z611">
        <v>23</v>
      </c>
      <c r="AA611">
        <v>0</v>
      </c>
      <c r="AB611">
        <v>0</v>
      </c>
      <c r="AC611">
        <v>0</v>
      </c>
      <c r="AD611">
        <v>1</v>
      </c>
      <c r="AE611">
        <v>0.05</v>
      </c>
      <c r="AF611">
        <v>15</v>
      </c>
      <c r="AG611">
        <v>0</v>
      </c>
      <c r="AH611">
        <v>0</v>
      </c>
      <c r="AI611">
        <v>0</v>
      </c>
      <c r="AJ611">
        <v>1</v>
      </c>
      <c r="AK611">
        <v>0.02</v>
      </c>
      <c r="AL611">
        <v>16</v>
      </c>
      <c r="AM611">
        <v>0</v>
      </c>
      <c r="AN611">
        <v>0</v>
      </c>
      <c r="AO611">
        <v>0</v>
      </c>
      <c r="AP611">
        <v>1</v>
      </c>
      <c r="AQ611">
        <v>0.01</v>
      </c>
      <c r="AX611">
        <v>7</v>
      </c>
      <c r="AY611" s="1">
        <v>19</v>
      </c>
      <c r="AZ611">
        <v>0</v>
      </c>
      <c r="BA611">
        <v>0</v>
      </c>
      <c r="BB611">
        <v>1</v>
      </c>
      <c r="BC611" s="7">
        <v>0.32</v>
      </c>
      <c r="BD611">
        <v>30</v>
      </c>
      <c r="BE611">
        <v>0</v>
      </c>
      <c r="BF611">
        <v>0</v>
      </c>
      <c r="BG611">
        <v>0</v>
      </c>
      <c r="BH611">
        <v>5</v>
      </c>
      <c r="BI611">
        <v>2.4</v>
      </c>
      <c r="BJ611">
        <v>31</v>
      </c>
      <c r="BK611">
        <v>0</v>
      </c>
      <c r="BL611">
        <v>0</v>
      </c>
      <c r="BM611">
        <v>0</v>
      </c>
      <c r="BN611">
        <v>5</v>
      </c>
      <c r="BO611">
        <v>2.4</v>
      </c>
      <c r="BP611">
        <v>36</v>
      </c>
      <c r="BQ611">
        <v>0</v>
      </c>
      <c r="BR611">
        <v>0</v>
      </c>
      <c r="BS611">
        <v>0</v>
      </c>
      <c r="BT611">
        <v>5</v>
      </c>
      <c r="BU611">
        <v>2.2000000000000002</v>
      </c>
    </row>
    <row r="612" spans="1:73" x14ac:dyDescent="0.15">
      <c r="A612" s="11">
        <v>10709</v>
      </c>
      <c r="B612">
        <v>7</v>
      </c>
      <c r="C612" s="1">
        <v>48</v>
      </c>
      <c r="D612">
        <v>0</v>
      </c>
      <c r="E612">
        <v>0</v>
      </c>
      <c r="F612">
        <v>1</v>
      </c>
      <c r="G612" s="7">
        <v>0.05</v>
      </c>
      <c r="H612">
        <v>12</v>
      </c>
      <c r="I612">
        <v>0</v>
      </c>
      <c r="J612">
        <v>0</v>
      </c>
      <c r="K612">
        <v>0</v>
      </c>
      <c r="L612">
        <v>1</v>
      </c>
      <c r="M612">
        <v>2</v>
      </c>
      <c r="N612" s="7">
        <v>9</v>
      </c>
      <c r="O612" s="7">
        <v>0</v>
      </c>
      <c r="P612" s="7">
        <v>0</v>
      </c>
      <c r="Q612" s="7">
        <v>0</v>
      </c>
      <c r="R612" s="7">
        <v>1</v>
      </c>
      <c r="S612" s="7">
        <v>4.5</v>
      </c>
      <c r="T612">
        <v>7</v>
      </c>
      <c r="U612" s="1">
        <v>36</v>
      </c>
      <c r="V612">
        <v>0</v>
      </c>
      <c r="W612">
        <v>0</v>
      </c>
      <c r="X612">
        <v>1</v>
      </c>
      <c r="Y612">
        <v>0.16</v>
      </c>
      <c r="Z612">
        <v>23</v>
      </c>
      <c r="AA612">
        <v>0</v>
      </c>
      <c r="AB612">
        <v>0</v>
      </c>
      <c r="AC612">
        <v>0</v>
      </c>
      <c r="AD612">
        <v>1</v>
      </c>
      <c r="AE612">
        <v>0.05</v>
      </c>
      <c r="AF612">
        <v>15</v>
      </c>
      <c r="AG612">
        <v>0</v>
      </c>
      <c r="AH612">
        <v>0</v>
      </c>
      <c r="AI612">
        <v>0</v>
      </c>
      <c r="AJ612">
        <v>1</v>
      </c>
      <c r="AK612">
        <v>0.02</v>
      </c>
      <c r="AL612">
        <v>16</v>
      </c>
      <c r="AM612">
        <v>0</v>
      </c>
      <c r="AN612">
        <v>0</v>
      </c>
      <c r="AO612">
        <v>0</v>
      </c>
      <c r="AP612">
        <v>1</v>
      </c>
      <c r="AQ612">
        <v>0.01</v>
      </c>
      <c r="AX612">
        <v>7</v>
      </c>
      <c r="AY612" s="1">
        <v>20</v>
      </c>
      <c r="AZ612">
        <v>0</v>
      </c>
      <c r="BA612">
        <v>0</v>
      </c>
      <c r="BB612">
        <v>1</v>
      </c>
      <c r="BC612" s="7">
        <v>0.32</v>
      </c>
      <c r="BD612">
        <v>30</v>
      </c>
      <c r="BE612">
        <v>0</v>
      </c>
      <c r="BF612">
        <v>0</v>
      </c>
      <c r="BG612">
        <v>0</v>
      </c>
      <c r="BH612">
        <v>5</v>
      </c>
      <c r="BI612">
        <v>2.4</v>
      </c>
      <c r="BJ612">
        <v>31</v>
      </c>
      <c r="BK612">
        <v>0</v>
      </c>
      <c r="BL612">
        <v>0</v>
      </c>
      <c r="BM612">
        <v>0</v>
      </c>
      <c r="BN612">
        <v>5</v>
      </c>
      <c r="BO612">
        <v>2.4</v>
      </c>
      <c r="BP612">
        <v>36</v>
      </c>
      <c r="BQ612">
        <v>0</v>
      </c>
      <c r="BR612">
        <v>0</v>
      </c>
      <c r="BS612">
        <v>0</v>
      </c>
      <c r="BT612">
        <v>5</v>
      </c>
      <c r="BU612">
        <v>2.2000000000000002</v>
      </c>
    </row>
    <row r="613" spans="1:73" x14ac:dyDescent="0.15">
      <c r="A613" s="11">
        <v>10710</v>
      </c>
      <c r="B613">
        <v>7</v>
      </c>
      <c r="C613" s="1">
        <v>0</v>
      </c>
      <c r="D613">
        <v>5</v>
      </c>
      <c r="E613">
        <v>1</v>
      </c>
      <c r="F613">
        <v>1</v>
      </c>
      <c r="G613" s="7">
        <v>0.05</v>
      </c>
      <c r="H613">
        <v>12</v>
      </c>
      <c r="I613">
        <v>0</v>
      </c>
      <c r="J613">
        <v>0</v>
      </c>
      <c r="K613">
        <v>0</v>
      </c>
      <c r="L613">
        <v>1</v>
      </c>
      <c r="M613">
        <v>2</v>
      </c>
      <c r="N613" s="7">
        <v>9</v>
      </c>
      <c r="O613" s="7">
        <v>0</v>
      </c>
      <c r="P613" s="7">
        <v>0</v>
      </c>
      <c r="Q613" s="7">
        <v>0</v>
      </c>
      <c r="R613" s="7">
        <v>1</v>
      </c>
      <c r="S613" s="7">
        <v>4.5</v>
      </c>
      <c r="T613">
        <v>7</v>
      </c>
      <c r="U613" s="1">
        <v>0</v>
      </c>
      <c r="V613">
        <v>4</v>
      </c>
      <c r="W613">
        <v>2</v>
      </c>
      <c r="X613">
        <v>1</v>
      </c>
      <c r="Y613">
        <v>0.16</v>
      </c>
      <c r="Z613">
        <v>23</v>
      </c>
      <c r="AA613">
        <v>0</v>
      </c>
      <c r="AB613">
        <v>0</v>
      </c>
      <c r="AC613">
        <v>0</v>
      </c>
      <c r="AD613">
        <v>1</v>
      </c>
      <c r="AE613">
        <v>0.05</v>
      </c>
      <c r="AF613">
        <v>15</v>
      </c>
      <c r="AG613">
        <v>0</v>
      </c>
      <c r="AH613">
        <v>0</v>
      </c>
      <c r="AI613">
        <v>0</v>
      </c>
      <c r="AJ613">
        <v>1</v>
      </c>
      <c r="AK613">
        <v>0.02</v>
      </c>
      <c r="AL613">
        <v>16</v>
      </c>
      <c r="AM613">
        <v>0</v>
      </c>
      <c r="AN613">
        <v>0</v>
      </c>
      <c r="AO613">
        <v>0</v>
      </c>
      <c r="AP613">
        <v>1</v>
      </c>
      <c r="AQ613">
        <v>0.01</v>
      </c>
      <c r="AR613">
        <v>6</v>
      </c>
      <c r="AS613">
        <v>2</v>
      </c>
      <c r="AT613">
        <v>2</v>
      </c>
      <c r="AU613">
        <v>5</v>
      </c>
      <c r="AV613">
        <v>1</v>
      </c>
      <c r="AW613">
        <v>0.05</v>
      </c>
      <c r="AX613">
        <v>7</v>
      </c>
      <c r="AY613" s="1">
        <v>0</v>
      </c>
      <c r="AZ613">
        <v>3</v>
      </c>
      <c r="BA613">
        <v>1</v>
      </c>
      <c r="BB613">
        <v>1</v>
      </c>
      <c r="BC613" s="7">
        <v>0.32</v>
      </c>
      <c r="BD613">
        <v>30</v>
      </c>
      <c r="BE613">
        <v>0</v>
      </c>
      <c r="BF613">
        <v>0</v>
      </c>
      <c r="BG613">
        <v>0</v>
      </c>
      <c r="BH613">
        <v>5</v>
      </c>
      <c r="BI613">
        <v>2.4</v>
      </c>
      <c r="BJ613">
        <v>31</v>
      </c>
      <c r="BK613">
        <v>0</v>
      </c>
      <c r="BL613">
        <v>0</v>
      </c>
      <c r="BM613">
        <v>0</v>
      </c>
      <c r="BN613">
        <v>5</v>
      </c>
      <c r="BO613">
        <v>2.4</v>
      </c>
      <c r="BP613">
        <v>36</v>
      </c>
      <c r="BQ613">
        <v>0</v>
      </c>
      <c r="BR613">
        <v>0</v>
      </c>
      <c r="BS613">
        <v>0</v>
      </c>
      <c r="BT613">
        <v>5</v>
      </c>
      <c r="BU613">
        <v>2.2000000000000002</v>
      </c>
    </row>
    <row r="614" spans="1:73" x14ac:dyDescent="0.15">
      <c r="A614" s="11">
        <v>10711</v>
      </c>
      <c r="B614">
        <v>7</v>
      </c>
      <c r="C614" s="1">
        <v>45</v>
      </c>
      <c r="D614">
        <v>0</v>
      </c>
      <c r="E614">
        <v>0</v>
      </c>
      <c r="F614">
        <v>1</v>
      </c>
      <c r="G614" s="7">
        <v>0.05</v>
      </c>
      <c r="H614">
        <v>12</v>
      </c>
      <c r="I614">
        <v>0</v>
      </c>
      <c r="J614">
        <v>0</v>
      </c>
      <c r="K614">
        <v>0</v>
      </c>
      <c r="L614">
        <v>1</v>
      </c>
      <c r="M614">
        <v>2</v>
      </c>
      <c r="N614" s="7">
        <v>9</v>
      </c>
      <c r="O614" s="7">
        <v>0</v>
      </c>
      <c r="P614" s="7">
        <v>0</v>
      </c>
      <c r="Q614" s="7">
        <v>0</v>
      </c>
      <c r="R614" s="7">
        <v>1</v>
      </c>
      <c r="S614" s="7">
        <v>4.5</v>
      </c>
      <c r="T614">
        <v>7</v>
      </c>
      <c r="U614" s="1">
        <v>33</v>
      </c>
      <c r="V614">
        <v>0</v>
      </c>
      <c r="W614">
        <v>0</v>
      </c>
      <c r="X614">
        <v>1</v>
      </c>
      <c r="Y614">
        <v>0.16</v>
      </c>
      <c r="Z614">
        <v>23</v>
      </c>
      <c r="AA614">
        <v>0</v>
      </c>
      <c r="AB614">
        <v>0</v>
      </c>
      <c r="AC614">
        <v>0</v>
      </c>
      <c r="AD614">
        <v>1</v>
      </c>
      <c r="AE614">
        <v>0.05</v>
      </c>
      <c r="AF614">
        <v>15</v>
      </c>
      <c r="AG614">
        <v>0</v>
      </c>
      <c r="AH614">
        <v>0</v>
      </c>
      <c r="AI614">
        <v>0</v>
      </c>
      <c r="AJ614">
        <v>1</v>
      </c>
      <c r="AK614">
        <v>0.02</v>
      </c>
      <c r="AL614">
        <v>16</v>
      </c>
      <c r="AM614">
        <v>0</v>
      </c>
      <c r="AN614">
        <v>0</v>
      </c>
      <c r="AO614">
        <v>0</v>
      </c>
      <c r="AP614">
        <v>1</v>
      </c>
      <c r="AQ614">
        <v>0.01</v>
      </c>
      <c r="AX614">
        <v>7</v>
      </c>
      <c r="AY614" s="1">
        <v>17</v>
      </c>
      <c r="AZ614">
        <v>0</v>
      </c>
      <c r="BA614">
        <v>0</v>
      </c>
      <c r="BB614">
        <v>1</v>
      </c>
      <c r="BC614" s="7">
        <v>0.32</v>
      </c>
      <c r="BD614">
        <v>30</v>
      </c>
      <c r="BE614">
        <v>0</v>
      </c>
      <c r="BF614">
        <v>0</v>
      </c>
      <c r="BG614">
        <v>0</v>
      </c>
      <c r="BH614">
        <v>5</v>
      </c>
      <c r="BI614">
        <v>2.4</v>
      </c>
      <c r="BJ614">
        <v>31</v>
      </c>
      <c r="BK614">
        <v>0</v>
      </c>
      <c r="BL614">
        <v>0</v>
      </c>
      <c r="BM614">
        <v>0</v>
      </c>
      <c r="BN614">
        <v>5</v>
      </c>
      <c r="BO614">
        <v>2.4</v>
      </c>
      <c r="BP614">
        <v>36</v>
      </c>
      <c r="BQ614">
        <v>0</v>
      </c>
      <c r="BR614">
        <v>0</v>
      </c>
      <c r="BS614">
        <v>0</v>
      </c>
      <c r="BT614">
        <v>5</v>
      </c>
      <c r="BU614">
        <v>2.2000000000000002</v>
      </c>
    </row>
    <row r="615" spans="1:73" x14ac:dyDescent="0.15">
      <c r="A615" s="11">
        <v>10712</v>
      </c>
      <c r="B615">
        <v>7</v>
      </c>
      <c r="C615" s="1">
        <v>46</v>
      </c>
      <c r="D615">
        <v>0</v>
      </c>
      <c r="E615">
        <v>0</v>
      </c>
      <c r="F615">
        <v>1</v>
      </c>
      <c r="G615" s="7">
        <v>0.05</v>
      </c>
      <c r="H615">
        <v>12</v>
      </c>
      <c r="I615">
        <v>0</v>
      </c>
      <c r="J615">
        <v>0</v>
      </c>
      <c r="K615">
        <v>0</v>
      </c>
      <c r="L615">
        <v>1</v>
      </c>
      <c r="M615">
        <v>2</v>
      </c>
      <c r="N615" s="7">
        <v>9</v>
      </c>
      <c r="O615" s="7">
        <v>0</v>
      </c>
      <c r="P615" s="7">
        <v>0</v>
      </c>
      <c r="Q615" s="7">
        <v>0</v>
      </c>
      <c r="R615" s="7">
        <v>1</v>
      </c>
      <c r="S615" s="7">
        <v>4.5</v>
      </c>
      <c r="T615">
        <v>7</v>
      </c>
      <c r="U615" s="1">
        <v>34</v>
      </c>
      <c r="V615">
        <v>0</v>
      </c>
      <c r="W615">
        <v>0</v>
      </c>
      <c r="X615">
        <v>1</v>
      </c>
      <c r="Y615">
        <v>0.16</v>
      </c>
      <c r="Z615">
        <v>23</v>
      </c>
      <c r="AA615">
        <v>0</v>
      </c>
      <c r="AB615">
        <v>0</v>
      </c>
      <c r="AC615">
        <v>0</v>
      </c>
      <c r="AD615">
        <v>1</v>
      </c>
      <c r="AE615">
        <v>0.05</v>
      </c>
      <c r="AF615">
        <v>15</v>
      </c>
      <c r="AG615">
        <v>0</v>
      </c>
      <c r="AH615">
        <v>0</v>
      </c>
      <c r="AI615">
        <v>0</v>
      </c>
      <c r="AJ615">
        <v>1</v>
      </c>
      <c r="AK615">
        <v>0.02</v>
      </c>
      <c r="AL615">
        <v>16</v>
      </c>
      <c r="AM615">
        <v>0</v>
      </c>
      <c r="AN615">
        <v>0</v>
      </c>
      <c r="AO615">
        <v>0</v>
      </c>
      <c r="AP615">
        <v>1</v>
      </c>
      <c r="AQ615">
        <v>0.01</v>
      </c>
      <c r="AX615">
        <v>7</v>
      </c>
      <c r="AY615" s="1">
        <v>18</v>
      </c>
      <c r="AZ615">
        <v>0</v>
      </c>
      <c r="BA615">
        <v>0</v>
      </c>
      <c r="BB615">
        <v>1</v>
      </c>
      <c r="BC615" s="7">
        <v>0.32</v>
      </c>
      <c r="BD615">
        <v>30</v>
      </c>
      <c r="BE615">
        <v>0</v>
      </c>
      <c r="BF615">
        <v>0</v>
      </c>
      <c r="BG615">
        <v>0</v>
      </c>
      <c r="BH615">
        <v>5</v>
      </c>
      <c r="BI615">
        <v>2.4</v>
      </c>
      <c r="BJ615">
        <v>31</v>
      </c>
      <c r="BK615">
        <v>0</v>
      </c>
      <c r="BL615">
        <v>0</v>
      </c>
      <c r="BM615">
        <v>0</v>
      </c>
      <c r="BN615">
        <v>5</v>
      </c>
      <c r="BO615">
        <v>2.4</v>
      </c>
      <c r="BP615">
        <v>36</v>
      </c>
      <c r="BQ615">
        <v>0</v>
      </c>
      <c r="BR615">
        <v>0</v>
      </c>
      <c r="BS615">
        <v>0</v>
      </c>
      <c r="BT615">
        <v>5</v>
      </c>
      <c r="BU615">
        <v>2.2000000000000002</v>
      </c>
    </row>
    <row r="616" spans="1:73" x14ac:dyDescent="0.15">
      <c r="A616" s="11">
        <v>10713</v>
      </c>
      <c r="B616">
        <v>7</v>
      </c>
      <c r="C616" s="1">
        <v>47</v>
      </c>
      <c r="D616">
        <v>0</v>
      </c>
      <c r="E616">
        <v>0</v>
      </c>
      <c r="F616">
        <v>1</v>
      </c>
      <c r="G616" s="7">
        <v>0.05</v>
      </c>
      <c r="H616">
        <v>12</v>
      </c>
      <c r="I616">
        <v>0</v>
      </c>
      <c r="J616">
        <v>0</v>
      </c>
      <c r="K616">
        <v>0</v>
      </c>
      <c r="L616">
        <v>1</v>
      </c>
      <c r="M616">
        <v>2</v>
      </c>
      <c r="N616" s="7">
        <v>9</v>
      </c>
      <c r="O616" s="7">
        <v>0</v>
      </c>
      <c r="P616" s="7">
        <v>0</v>
      </c>
      <c r="Q616" s="7">
        <v>0</v>
      </c>
      <c r="R616" s="7">
        <v>1</v>
      </c>
      <c r="S616" s="7">
        <v>4.5</v>
      </c>
      <c r="T616">
        <v>7</v>
      </c>
      <c r="U616" s="1">
        <v>35</v>
      </c>
      <c r="V616">
        <v>0</v>
      </c>
      <c r="W616">
        <v>0</v>
      </c>
      <c r="X616">
        <v>1</v>
      </c>
      <c r="Y616">
        <v>0.16</v>
      </c>
      <c r="Z616">
        <v>23</v>
      </c>
      <c r="AA616">
        <v>0</v>
      </c>
      <c r="AB616">
        <v>0</v>
      </c>
      <c r="AC616">
        <v>0</v>
      </c>
      <c r="AD616">
        <v>1</v>
      </c>
      <c r="AE616">
        <v>0.05</v>
      </c>
      <c r="AF616">
        <v>15</v>
      </c>
      <c r="AG616">
        <v>0</v>
      </c>
      <c r="AH616">
        <v>0</v>
      </c>
      <c r="AI616">
        <v>0</v>
      </c>
      <c r="AJ616">
        <v>1</v>
      </c>
      <c r="AK616">
        <v>0.02</v>
      </c>
      <c r="AL616">
        <v>16</v>
      </c>
      <c r="AM616">
        <v>0</v>
      </c>
      <c r="AN616">
        <v>0</v>
      </c>
      <c r="AO616">
        <v>0</v>
      </c>
      <c r="AP616">
        <v>1</v>
      </c>
      <c r="AQ616">
        <v>0.01</v>
      </c>
      <c r="AX616">
        <v>7</v>
      </c>
      <c r="AY616" s="1">
        <v>19</v>
      </c>
      <c r="AZ616">
        <v>0</v>
      </c>
      <c r="BA616">
        <v>0</v>
      </c>
      <c r="BB616">
        <v>1</v>
      </c>
      <c r="BC616" s="7">
        <v>0.32</v>
      </c>
      <c r="BD616">
        <v>30</v>
      </c>
      <c r="BE616">
        <v>0</v>
      </c>
      <c r="BF616">
        <v>0</v>
      </c>
      <c r="BG616">
        <v>0</v>
      </c>
      <c r="BH616">
        <v>5</v>
      </c>
      <c r="BI616">
        <v>2.4</v>
      </c>
      <c r="BJ616">
        <v>31</v>
      </c>
      <c r="BK616">
        <v>0</v>
      </c>
      <c r="BL616">
        <v>0</v>
      </c>
      <c r="BM616">
        <v>0</v>
      </c>
      <c r="BN616">
        <v>5</v>
      </c>
      <c r="BO616">
        <v>2.4</v>
      </c>
      <c r="BP616">
        <v>36</v>
      </c>
      <c r="BQ616">
        <v>0</v>
      </c>
      <c r="BR616">
        <v>0</v>
      </c>
      <c r="BS616">
        <v>0</v>
      </c>
      <c r="BT616">
        <v>5</v>
      </c>
      <c r="BU616">
        <v>2.2000000000000002</v>
      </c>
    </row>
    <row r="617" spans="1:73" x14ac:dyDescent="0.15">
      <c r="A617" s="11">
        <v>10714</v>
      </c>
      <c r="B617">
        <v>7</v>
      </c>
      <c r="C617" s="1">
        <v>48</v>
      </c>
      <c r="D617">
        <v>0</v>
      </c>
      <c r="E617">
        <v>0</v>
      </c>
      <c r="F617">
        <v>1</v>
      </c>
      <c r="G617" s="7">
        <v>0.05</v>
      </c>
      <c r="H617">
        <v>12</v>
      </c>
      <c r="I617">
        <v>0</v>
      </c>
      <c r="J617">
        <v>0</v>
      </c>
      <c r="K617">
        <v>0</v>
      </c>
      <c r="L617">
        <v>1</v>
      </c>
      <c r="M617">
        <v>2</v>
      </c>
      <c r="N617" s="7">
        <v>9</v>
      </c>
      <c r="O617" s="7">
        <v>0</v>
      </c>
      <c r="P617" s="7">
        <v>0</v>
      </c>
      <c r="Q617" s="7">
        <v>0</v>
      </c>
      <c r="R617" s="7">
        <v>1</v>
      </c>
      <c r="S617" s="7">
        <v>4.5</v>
      </c>
      <c r="T617">
        <v>7</v>
      </c>
      <c r="U617" s="1">
        <v>36</v>
      </c>
      <c r="V617">
        <v>0</v>
      </c>
      <c r="W617">
        <v>0</v>
      </c>
      <c r="X617">
        <v>1</v>
      </c>
      <c r="Y617">
        <v>0.16</v>
      </c>
      <c r="Z617">
        <v>23</v>
      </c>
      <c r="AA617">
        <v>0</v>
      </c>
      <c r="AB617">
        <v>0</v>
      </c>
      <c r="AC617">
        <v>0</v>
      </c>
      <c r="AD617">
        <v>1</v>
      </c>
      <c r="AE617">
        <v>0.05</v>
      </c>
      <c r="AF617">
        <v>15</v>
      </c>
      <c r="AG617">
        <v>0</v>
      </c>
      <c r="AH617">
        <v>0</v>
      </c>
      <c r="AI617">
        <v>0</v>
      </c>
      <c r="AJ617">
        <v>1</v>
      </c>
      <c r="AK617">
        <v>0.02</v>
      </c>
      <c r="AL617">
        <v>16</v>
      </c>
      <c r="AM617">
        <v>0</v>
      </c>
      <c r="AN617">
        <v>0</v>
      </c>
      <c r="AO617">
        <v>0</v>
      </c>
      <c r="AP617">
        <v>1</v>
      </c>
      <c r="AQ617">
        <v>0.01</v>
      </c>
      <c r="AX617">
        <v>7</v>
      </c>
      <c r="AY617" s="1">
        <v>20</v>
      </c>
      <c r="AZ617">
        <v>0</v>
      </c>
      <c r="BA617">
        <v>0</v>
      </c>
      <c r="BB617">
        <v>1</v>
      </c>
      <c r="BC617" s="7">
        <v>0.32</v>
      </c>
      <c r="BD617">
        <v>30</v>
      </c>
      <c r="BE617">
        <v>0</v>
      </c>
      <c r="BF617">
        <v>0</v>
      </c>
      <c r="BG617">
        <v>0</v>
      </c>
      <c r="BH617">
        <v>5</v>
      </c>
      <c r="BI617">
        <v>2.4</v>
      </c>
      <c r="BJ617">
        <v>31</v>
      </c>
      <c r="BK617">
        <v>0</v>
      </c>
      <c r="BL617">
        <v>0</v>
      </c>
      <c r="BM617">
        <v>0</v>
      </c>
      <c r="BN617">
        <v>5</v>
      </c>
      <c r="BO617">
        <v>2.4</v>
      </c>
      <c r="BP617">
        <v>36</v>
      </c>
      <c r="BQ617">
        <v>0</v>
      </c>
      <c r="BR617">
        <v>0</v>
      </c>
      <c r="BS617">
        <v>0</v>
      </c>
      <c r="BT617">
        <v>5</v>
      </c>
      <c r="BU617">
        <v>2.2000000000000002</v>
      </c>
    </row>
    <row r="618" spans="1:73" x14ac:dyDescent="0.15">
      <c r="A618" s="11">
        <v>10715</v>
      </c>
      <c r="B618">
        <v>7</v>
      </c>
      <c r="C618" s="1">
        <v>0</v>
      </c>
      <c r="D618">
        <v>5</v>
      </c>
      <c r="E618">
        <v>1</v>
      </c>
      <c r="F618">
        <v>1</v>
      </c>
      <c r="G618" s="7">
        <v>0.05</v>
      </c>
      <c r="H618">
        <v>12</v>
      </c>
      <c r="I618">
        <v>0</v>
      </c>
      <c r="J618">
        <v>0</v>
      </c>
      <c r="K618">
        <v>0</v>
      </c>
      <c r="L618">
        <v>1</v>
      </c>
      <c r="M618">
        <v>2</v>
      </c>
      <c r="N618" s="7">
        <v>9</v>
      </c>
      <c r="O618" s="7">
        <v>0</v>
      </c>
      <c r="P618" s="7">
        <v>0</v>
      </c>
      <c r="Q618" s="7">
        <v>0</v>
      </c>
      <c r="R618" s="7">
        <v>1</v>
      </c>
      <c r="S618" s="7">
        <v>4.5</v>
      </c>
      <c r="T618">
        <v>7</v>
      </c>
      <c r="U618" s="1">
        <v>0</v>
      </c>
      <c r="V618">
        <v>4</v>
      </c>
      <c r="W618">
        <v>2</v>
      </c>
      <c r="X618">
        <v>1</v>
      </c>
      <c r="Y618">
        <v>0.16</v>
      </c>
      <c r="Z618">
        <v>23</v>
      </c>
      <c r="AA618">
        <v>0</v>
      </c>
      <c r="AB618">
        <v>0</v>
      </c>
      <c r="AC618">
        <v>0</v>
      </c>
      <c r="AD618">
        <v>1</v>
      </c>
      <c r="AE618">
        <v>0.05</v>
      </c>
      <c r="AF618">
        <v>15</v>
      </c>
      <c r="AG618">
        <v>0</v>
      </c>
      <c r="AH618">
        <v>0</v>
      </c>
      <c r="AI618">
        <v>0</v>
      </c>
      <c r="AJ618">
        <v>1</v>
      </c>
      <c r="AK618">
        <v>0.02</v>
      </c>
      <c r="AL618">
        <v>16</v>
      </c>
      <c r="AM618">
        <v>0</v>
      </c>
      <c r="AN618">
        <v>0</v>
      </c>
      <c r="AO618">
        <v>0</v>
      </c>
      <c r="AP618">
        <v>1</v>
      </c>
      <c r="AQ618">
        <v>0.01</v>
      </c>
      <c r="AR618">
        <v>6</v>
      </c>
      <c r="AS618">
        <v>2</v>
      </c>
      <c r="AT618">
        <v>3</v>
      </c>
      <c r="AU618">
        <v>5</v>
      </c>
      <c r="AV618">
        <v>1</v>
      </c>
      <c r="AW618">
        <v>0.05</v>
      </c>
      <c r="AX618">
        <v>7</v>
      </c>
      <c r="AY618" s="1">
        <v>0</v>
      </c>
      <c r="AZ618">
        <v>3</v>
      </c>
      <c r="BA618">
        <v>1</v>
      </c>
      <c r="BB618">
        <v>1</v>
      </c>
      <c r="BC618" s="7">
        <v>0.32</v>
      </c>
      <c r="BD618">
        <v>30</v>
      </c>
      <c r="BE618">
        <v>0</v>
      </c>
      <c r="BF618">
        <v>0</v>
      </c>
      <c r="BG618">
        <v>0</v>
      </c>
      <c r="BH618">
        <v>5</v>
      </c>
      <c r="BI618">
        <v>2.4</v>
      </c>
      <c r="BJ618">
        <v>31</v>
      </c>
      <c r="BK618">
        <v>0</v>
      </c>
      <c r="BL618">
        <v>0</v>
      </c>
      <c r="BM618">
        <v>0</v>
      </c>
      <c r="BN618">
        <v>5</v>
      </c>
      <c r="BO618">
        <v>2.4</v>
      </c>
      <c r="BP618">
        <v>36</v>
      </c>
      <c r="BQ618">
        <v>0</v>
      </c>
      <c r="BR618">
        <v>0</v>
      </c>
      <c r="BS618">
        <v>0</v>
      </c>
      <c r="BT618">
        <v>5</v>
      </c>
      <c r="BU618">
        <v>2.2000000000000002</v>
      </c>
    </row>
    <row r="619" spans="1:73" x14ac:dyDescent="0.15">
      <c r="A619" s="11">
        <v>10716</v>
      </c>
      <c r="B619">
        <v>7</v>
      </c>
      <c r="C619" s="1">
        <v>45</v>
      </c>
      <c r="D619">
        <v>0</v>
      </c>
      <c r="E619">
        <v>0</v>
      </c>
      <c r="F619">
        <v>1</v>
      </c>
      <c r="G619" s="7">
        <v>0.05</v>
      </c>
      <c r="H619">
        <v>12</v>
      </c>
      <c r="I619">
        <v>0</v>
      </c>
      <c r="J619">
        <v>0</v>
      </c>
      <c r="K619">
        <v>0</v>
      </c>
      <c r="L619">
        <v>1</v>
      </c>
      <c r="M619">
        <v>2</v>
      </c>
      <c r="N619" s="7">
        <v>9</v>
      </c>
      <c r="O619" s="7">
        <v>0</v>
      </c>
      <c r="P619" s="7">
        <v>0</v>
      </c>
      <c r="Q619" s="7">
        <v>0</v>
      </c>
      <c r="R619" s="7">
        <v>1</v>
      </c>
      <c r="S619" s="7">
        <v>4.5</v>
      </c>
      <c r="T619">
        <v>7</v>
      </c>
      <c r="U619" s="1">
        <v>33</v>
      </c>
      <c r="V619">
        <v>0</v>
      </c>
      <c r="W619">
        <v>0</v>
      </c>
      <c r="X619">
        <v>1</v>
      </c>
      <c r="Y619">
        <v>0.16</v>
      </c>
      <c r="Z619">
        <v>23</v>
      </c>
      <c r="AA619">
        <v>0</v>
      </c>
      <c r="AB619">
        <v>0</v>
      </c>
      <c r="AC619">
        <v>0</v>
      </c>
      <c r="AD619">
        <v>1</v>
      </c>
      <c r="AE619">
        <v>0.05</v>
      </c>
      <c r="AF619">
        <v>15</v>
      </c>
      <c r="AG619">
        <v>0</v>
      </c>
      <c r="AH619">
        <v>0</v>
      </c>
      <c r="AI619">
        <v>0</v>
      </c>
      <c r="AJ619">
        <v>1</v>
      </c>
      <c r="AK619">
        <v>0.02</v>
      </c>
      <c r="AL619">
        <v>16</v>
      </c>
      <c r="AM619">
        <v>0</v>
      </c>
      <c r="AN619">
        <v>0</v>
      </c>
      <c r="AO619">
        <v>0</v>
      </c>
      <c r="AP619">
        <v>1</v>
      </c>
      <c r="AQ619">
        <v>0.01</v>
      </c>
      <c r="AX619">
        <v>7</v>
      </c>
      <c r="AY619" s="1">
        <v>17</v>
      </c>
      <c r="AZ619">
        <v>0</v>
      </c>
      <c r="BA619">
        <v>0</v>
      </c>
      <c r="BB619">
        <v>1</v>
      </c>
      <c r="BC619" s="7">
        <v>0.32</v>
      </c>
      <c r="BD619">
        <v>30</v>
      </c>
      <c r="BE619">
        <v>0</v>
      </c>
      <c r="BF619">
        <v>0</v>
      </c>
      <c r="BG619">
        <v>0</v>
      </c>
      <c r="BH619">
        <v>5</v>
      </c>
      <c r="BI619">
        <v>2.4</v>
      </c>
      <c r="BJ619">
        <v>31</v>
      </c>
      <c r="BK619">
        <v>0</v>
      </c>
      <c r="BL619">
        <v>0</v>
      </c>
      <c r="BM619">
        <v>0</v>
      </c>
      <c r="BN619">
        <v>5</v>
      </c>
      <c r="BO619">
        <v>2.4</v>
      </c>
      <c r="BP619">
        <v>36</v>
      </c>
      <c r="BQ619">
        <v>0</v>
      </c>
      <c r="BR619">
        <v>0</v>
      </c>
      <c r="BS619">
        <v>0</v>
      </c>
      <c r="BT619">
        <v>5</v>
      </c>
      <c r="BU619">
        <v>2.2000000000000002</v>
      </c>
    </row>
    <row r="620" spans="1:73" x14ac:dyDescent="0.15">
      <c r="A620" s="11">
        <v>10717</v>
      </c>
      <c r="B620">
        <v>7</v>
      </c>
      <c r="C620" s="1">
        <v>46</v>
      </c>
      <c r="D620">
        <v>0</v>
      </c>
      <c r="E620">
        <v>0</v>
      </c>
      <c r="F620">
        <v>1</v>
      </c>
      <c r="G620" s="7">
        <v>0.05</v>
      </c>
      <c r="H620">
        <v>12</v>
      </c>
      <c r="I620">
        <v>0</v>
      </c>
      <c r="J620">
        <v>0</v>
      </c>
      <c r="K620">
        <v>0</v>
      </c>
      <c r="L620">
        <v>1</v>
      </c>
      <c r="M620">
        <v>2</v>
      </c>
      <c r="N620" s="7">
        <v>9</v>
      </c>
      <c r="O620" s="7">
        <v>0</v>
      </c>
      <c r="P620" s="7">
        <v>0</v>
      </c>
      <c r="Q620" s="7">
        <v>0</v>
      </c>
      <c r="R620" s="7">
        <v>1</v>
      </c>
      <c r="S620" s="7">
        <v>4.5</v>
      </c>
      <c r="T620">
        <v>7</v>
      </c>
      <c r="U620" s="1">
        <v>34</v>
      </c>
      <c r="V620">
        <v>0</v>
      </c>
      <c r="W620">
        <v>0</v>
      </c>
      <c r="X620">
        <v>1</v>
      </c>
      <c r="Y620">
        <v>0.16</v>
      </c>
      <c r="Z620">
        <v>23</v>
      </c>
      <c r="AA620">
        <v>0</v>
      </c>
      <c r="AB620">
        <v>0</v>
      </c>
      <c r="AC620">
        <v>0</v>
      </c>
      <c r="AD620">
        <v>1</v>
      </c>
      <c r="AE620">
        <v>0.05</v>
      </c>
      <c r="AF620">
        <v>15</v>
      </c>
      <c r="AG620">
        <v>0</v>
      </c>
      <c r="AH620">
        <v>0</v>
      </c>
      <c r="AI620">
        <v>0</v>
      </c>
      <c r="AJ620">
        <v>1</v>
      </c>
      <c r="AK620">
        <v>0.02</v>
      </c>
      <c r="AL620">
        <v>16</v>
      </c>
      <c r="AM620">
        <v>0</v>
      </c>
      <c r="AN620">
        <v>0</v>
      </c>
      <c r="AO620">
        <v>0</v>
      </c>
      <c r="AP620">
        <v>1</v>
      </c>
      <c r="AQ620">
        <v>0.01</v>
      </c>
      <c r="AX620">
        <v>7</v>
      </c>
      <c r="AY620" s="1">
        <v>18</v>
      </c>
      <c r="AZ620">
        <v>0</v>
      </c>
      <c r="BA620">
        <v>0</v>
      </c>
      <c r="BB620">
        <v>1</v>
      </c>
      <c r="BC620" s="7">
        <v>0.32</v>
      </c>
      <c r="BD620">
        <v>30</v>
      </c>
      <c r="BE620">
        <v>0</v>
      </c>
      <c r="BF620">
        <v>0</v>
      </c>
      <c r="BG620">
        <v>0</v>
      </c>
      <c r="BH620">
        <v>5</v>
      </c>
      <c r="BI620">
        <v>2.4</v>
      </c>
      <c r="BJ620">
        <v>31</v>
      </c>
      <c r="BK620">
        <v>0</v>
      </c>
      <c r="BL620">
        <v>0</v>
      </c>
      <c r="BM620">
        <v>0</v>
      </c>
      <c r="BN620">
        <v>5</v>
      </c>
      <c r="BO620">
        <v>2.4</v>
      </c>
      <c r="BP620">
        <v>36</v>
      </c>
      <c r="BQ620">
        <v>0</v>
      </c>
      <c r="BR620">
        <v>0</v>
      </c>
      <c r="BS620">
        <v>0</v>
      </c>
      <c r="BT620">
        <v>5</v>
      </c>
      <c r="BU620">
        <v>2.2000000000000002</v>
      </c>
    </row>
    <row r="621" spans="1:73" x14ac:dyDescent="0.15">
      <c r="A621" s="11">
        <v>10718</v>
      </c>
      <c r="B621">
        <v>7</v>
      </c>
      <c r="C621" s="1">
        <v>47</v>
      </c>
      <c r="D621">
        <v>0</v>
      </c>
      <c r="E621">
        <v>0</v>
      </c>
      <c r="F621">
        <v>1</v>
      </c>
      <c r="G621" s="7">
        <v>0.05</v>
      </c>
      <c r="H621">
        <v>12</v>
      </c>
      <c r="I621">
        <v>0</v>
      </c>
      <c r="J621">
        <v>0</v>
      </c>
      <c r="K621">
        <v>0</v>
      </c>
      <c r="L621">
        <v>1</v>
      </c>
      <c r="M621">
        <v>2</v>
      </c>
      <c r="N621" s="7">
        <v>9</v>
      </c>
      <c r="O621" s="7">
        <v>0</v>
      </c>
      <c r="P621" s="7">
        <v>0</v>
      </c>
      <c r="Q621" s="7">
        <v>0</v>
      </c>
      <c r="R621" s="7">
        <v>1</v>
      </c>
      <c r="S621" s="7">
        <v>4.5</v>
      </c>
      <c r="T621">
        <v>7</v>
      </c>
      <c r="U621" s="1">
        <v>35</v>
      </c>
      <c r="V621">
        <v>0</v>
      </c>
      <c r="W621">
        <v>0</v>
      </c>
      <c r="X621">
        <v>1</v>
      </c>
      <c r="Y621">
        <v>0.16</v>
      </c>
      <c r="Z621">
        <v>23</v>
      </c>
      <c r="AA621">
        <v>0</v>
      </c>
      <c r="AB621">
        <v>0</v>
      </c>
      <c r="AC621">
        <v>0</v>
      </c>
      <c r="AD621">
        <v>1</v>
      </c>
      <c r="AE621">
        <v>0.05</v>
      </c>
      <c r="AF621">
        <v>15</v>
      </c>
      <c r="AG621">
        <v>0</v>
      </c>
      <c r="AH621">
        <v>0</v>
      </c>
      <c r="AI621">
        <v>0</v>
      </c>
      <c r="AJ621">
        <v>1</v>
      </c>
      <c r="AK621">
        <v>0.02</v>
      </c>
      <c r="AL621">
        <v>16</v>
      </c>
      <c r="AM621">
        <v>0</v>
      </c>
      <c r="AN621">
        <v>0</v>
      </c>
      <c r="AO621">
        <v>0</v>
      </c>
      <c r="AP621">
        <v>1</v>
      </c>
      <c r="AQ621">
        <v>0.01</v>
      </c>
      <c r="AX621">
        <v>7</v>
      </c>
      <c r="AY621" s="1">
        <v>19</v>
      </c>
      <c r="AZ621">
        <v>0</v>
      </c>
      <c r="BA621">
        <v>0</v>
      </c>
      <c r="BB621">
        <v>1</v>
      </c>
      <c r="BC621" s="7">
        <v>0.32</v>
      </c>
      <c r="BD621">
        <v>30</v>
      </c>
      <c r="BE621">
        <v>0</v>
      </c>
      <c r="BF621">
        <v>0</v>
      </c>
      <c r="BG621">
        <v>0</v>
      </c>
      <c r="BH621">
        <v>5</v>
      </c>
      <c r="BI621">
        <v>2.4</v>
      </c>
      <c r="BJ621">
        <v>31</v>
      </c>
      <c r="BK621">
        <v>0</v>
      </c>
      <c r="BL621">
        <v>0</v>
      </c>
      <c r="BM621">
        <v>0</v>
      </c>
      <c r="BN621">
        <v>5</v>
      </c>
      <c r="BO621">
        <v>2.4</v>
      </c>
      <c r="BP621">
        <v>36</v>
      </c>
      <c r="BQ621">
        <v>0</v>
      </c>
      <c r="BR621">
        <v>0</v>
      </c>
      <c r="BS621">
        <v>0</v>
      </c>
      <c r="BT621">
        <v>5</v>
      </c>
      <c r="BU621">
        <v>2.2000000000000002</v>
      </c>
    </row>
    <row r="622" spans="1:73" x14ac:dyDescent="0.15">
      <c r="A622" s="11">
        <v>10719</v>
      </c>
      <c r="B622">
        <v>7</v>
      </c>
      <c r="C622" s="1">
        <v>48</v>
      </c>
      <c r="D622">
        <v>0</v>
      </c>
      <c r="E622">
        <v>0</v>
      </c>
      <c r="F622">
        <v>1</v>
      </c>
      <c r="G622" s="7">
        <v>0.05</v>
      </c>
      <c r="H622">
        <v>12</v>
      </c>
      <c r="I622">
        <v>0</v>
      </c>
      <c r="J622">
        <v>0</v>
      </c>
      <c r="K622">
        <v>0</v>
      </c>
      <c r="L622">
        <v>1</v>
      </c>
      <c r="M622">
        <v>2</v>
      </c>
      <c r="N622" s="7">
        <v>9</v>
      </c>
      <c r="O622" s="7">
        <v>0</v>
      </c>
      <c r="P622" s="7">
        <v>0</v>
      </c>
      <c r="Q622" s="7">
        <v>0</v>
      </c>
      <c r="R622" s="7">
        <v>1</v>
      </c>
      <c r="S622" s="7">
        <v>4.5</v>
      </c>
      <c r="T622">
        <v>7</v>
      </c>
      <c r="U622" s="1">
        <v>36</v>
      </c>
      <c r="V622">
        <v>0</v>
      </c>
      <c r="W622">
        <v>0</v>
      </c>
      <c r="X622">
        <v>1</v>
      </c>
      <c r="Y622">
        <v>0.16</v>
      </c>
      <c r="Z622">
        <v>23</v>
      </c>
      <c r="AA622">
        <v>0</v>
      </c>
      <c r="AB622">
        <v>0</v>
      </c>
      <c r="AC622">
        <v>0</v>
      </c>
      <c r="AD622">
        <v>1</v>
      </c>
      <c r="AE622">
        <v>0.05</v>
      </c>
      <c r="AF622">
        <v>15</v>
      </c>
      <c r="AG622">
        <v>0</v>
      </c>
      <c r="AH622">
        <v>0</v>
      </c>
      <c r="AI622">
        <v>0</v>
      </c>
      <c r="AJ622">
        <v>1</v>
      </c>
      <c r="AK622">
        <v>0.02</v>
      </c>
      <c r="AL622">
        <v>16</v>
      </c>
      <c r="AM622">
        <v>0</v>
      </c>
      <c r="AN622">
        <v>0</v>
      </c>
      <c r="AO622">
        <v>0</v>
      </c>
      <c r="AP622">
        <v>1</v>
      </c>
      <c r="AQ622">
        <v>0.01</v>
      </c>
      <c r="AX622">
        <v>7</v>
      </c>
      <c r="AY622" s="1">
        <v>20</v>
      </c>
      <c r="AZ622">
        <v>0</v>
      </c>
      <c r="BA622">
        <v>0</v>
      </c>
      <c r="BB622">
        <v>1</v>
      </c>
      <c r="BC622" s="7">
        <v>0.32</v>
      </c>
      <c r="BD622">
        <v>30</v>
      </c>
      <c r="BE622">
        <v>0</v>
      </c>
      <c r="BF622">
        <v>0</v>
      </c>
      <c r="BG622">
        <v>0</v>
      </c>
      <c r="BH622">
        <v>5</v>
      </c>
      <c r="BI622">
        <v>2.4</v>
      </c>
      <c r="BJ622">
        <v>31</v>
      </c>
      <c r="BK622">
        <v>0</v>
      </c>
      <c r="BL622">
        <v>0</v>
      </c>
      <c r="BM622">
        <v>0</v>
      </c>
      <c r="BN622">
        <v>5</v>
      </c>
      <c r="BO622">
        <v>2.4</v>
      </c>
      <c r="BP622">
        <v>36</v>
      </c>
      <c r="BQ622">
        <v>0</v>
      </c>
      <c r="BR622">
        <v>0</v>
      </c>
      <c r="BS622">
        <v>0</v>
      </c>
      <c r="BT622">
        <v>5</v>
      </c>
      <c r="BU622">
        <v>2.2000000000000002</v>
      </c>
    </row>
    <row r="623" spans="1:73" x14ac:dyDescent="0.15">
      <c r="A623" s="11">
        <v>10720</v>
      </c>
      <c r="B623">
        <v>7</v>
      </c>
      <c r="C623" s="1">
        <v>0</v>
      </c>
      <c r="D623">
        <v>5</v>
      </c>
      <c r="E623">
        <v>1</v>
      </c>
      <c r="F623">
        <v>1</v>
      </c>
      <c r="G623" s="7">
        <v>0.05</v>
      </c>
      <c r="H623">
        <v>12</v>
      </c>
      <c r="I623">
        <v>0</v>
      </c>
      <c r="J623">
        <v>0</v>
      </c>
      <c r="K623">
        <v>0</v>
      </c>
      <c r="L623">
        <v>1</v>
      </c>
      <c r="M623">
        <v>2</v>
      </c>
      <c r="N623" s="7">
        <v>9</v>
      </c>
      <c r="O623" s="7">
        <v>0</v>
      </c>
      <c r="P623" s="7">
        <v>0</v>
      </c>
      <c r="Q623" s="7">
        <v>0</v>
      </c>
      <c r="R623" s="7">
        <v>1</v>
      </c>
      <c r="S623" s="7">
        <v>4.5</v>
      </c>
      <c r="T623">
        <v>7</v>
      </c>
      <c r="U623" s="1">
        <v>0</v>
      </c>
      <c r="V623">
        <v>4</v>
      </c>
      <c r="W623">
        <v>2</v>
      </c>
      <c r="X623">
        <v>1</v>
      </c>
      <c r="Y623">
        <v>0.16</v>
      </c>
      <c r="Z623">
        <v>23</v>
      </c>
      <c r="AA623">
        <v>0</v>
      </c>
      <c r="AB623">
        <v>0</v>
      </c>
      <c r="AC623">
        <v>0</v>
      </c>
      <c r="AD623">
        <v>1</v>
      </c>
      <c r="AE623">
        <v>0.05</v>
      </c>
      <c r="AF623">
        <v>15</v>
      </c>
      <c r="AG623">
        <v>0</v>
      </c>
      <c r="AH623">
        <v>0</v>
      </c>
      <c r="AI623">
        <v>0</v>
      </c>
      <c r="AJ623">
        <v>1</v>
      </c>
      <c r="AK623">
        <v>0.02</v>
      </c>
      <c r="AL623">
        <v>16</v>
      </c>
      <c r="AM623">
        <v>0</v>
      </c>
      <c r="AN623">
        <v>0</v>
      </c>
      <c r="AO623">
        <v>0</v>
      </c>
      <c r="AP623">
        <v>1</v>
      </c>
      <c r="AQ623">
        <v>0.01</v>
      </c>
      <c r="AR623">
        <v>6</v>
      </c>
      <c r="AS623">
        <v>2</v>
      </c>
      <c r="AT623">
        <v>4</v>
      </c>
      <c r="AU623">
        <v>5</v>
      </c>
      <c r="AV623">
        <v>1</v>
      </c>
      <c r="AW623">
        <v>0.01</v>
      </c>
      <c r="AX623">
        <v>7</v>
      </c>
      <c r="AY623" s="1">
        <v>0</v>
      </c>
      <c r="AZ623">
        <v>3</v>
      </c>
      <c r="BA623">
        <v>1</v>
      </c>
      <c r="BB623">
        <v>1</v>
      </c>
      <c r="BC623" s="7">
        <v>0.32</v>
      </c>
      <c r="BD623">
        <v>30</v>
      </c>
      <c r="BE623">
        <v>0</v>
      </c>
      <c r="BF623">
        <v>0</v>
      </c>
      <c r="BG623">
        <v>0</v>
      </c>
      <c r="BH623">
        <v>5</v>
      </c>
      <c r="BI623">
        <v>2.4</v>
      </c>
      <c r="BJ623">
        <v>31</v>
      </c>
      <c r="BK623">
        <v>0</v>
      </c>
      <c r="BL623">
        <v>0</v>
      </c>
      <c r="BM623">
        <v>0</v>
      </c>
      <c r="BN623">
        <v>5</v>
      </c>
      <c r="BO623">
        <v>2.4</v>
      </c>
      <c r="BP623">
        <v>36</v>
      </c>
      <c r="BQ623">
        <v>0</v>
      </c>
      <c r="BR623">
        <v>0</v>
      </c>
      <c r="BS623">
        <v>0</v>
      </c>
      <c r="BT623">
        <v>5</v>
      </c>
      <c r="BU623">
        <v>2.2000000000000002</v>
      </c>
    </row>
    <row r="624" spans="1:73" x14ac:dyDescent="0.15">
      <c r="A624" s="11">
        <v>10721</v>
      </c>
      <c r="B624">
        <v>7</v>
      </c>
      <c r="C624" s="1">
        <v>45</v>
      </c>
      <c r="D624">
        <v>0</v>
      </c>
      <c r="E624">
        <v>0</v>
      </c>
      <c r="F624">
        <v>1</v>
      </c>
      <c r="G624" s="7">
        <v>0.05</v>
      </c>
      <c r="H624">
        <v>12</v>
      </c>
      <c r="I624">
        <v>0</v>
      </c>
      <c r="J624">
        <v>0</v>
      </c>
      <c r="K624">
        <v>0</v>
      </c>
      <c r="L624">
        <v>1</v>
      </c>
      <c r="M624">
        <v>2</v>
      </c>
      <c r="N624" s="7">
        <v>9</v>
      </c>
      <c r="O624" s="7">
        <v>0</v>
      </c>
      <c r="P624" s="7">
        <v>0</v>
      </c>
      <c r="Q624" s="7">
        <v>0</v>
      </c>
      <c r="R624" s="7">
        <v>1</v>
      </c>
      <c r="S624" s="7">
        <v>4.5</v>
      </c>
      <c r="T624">
        <v>7</v>
      </c>
      <c r="U624" s="1">
        <v>33</v>
      </c>
      <c r="V624">
        <v>0</v>
      </c>
      <c r="W624">
        <v>0</v>
      </c>
      <c r="X624">
        <v>1</v>
      </c>
      <c r="Y624">
        <v>0.16</v>
      </c>
      <c r="Z624">
        <v>23</v>
      </c>
      <c r="AA624">
        <v>0</v>
      </c>
      <c r="AB624">
        <v>0</v>
      </c>
      <c r="AC624">
        <v>0</v>
      </c>
      <c r="AD624">
        <v>1</v>
      </c>
      <c r="AE624">
        <v>0.05</v>
      </c>
      <c r="AF624">
        <v>15</v>
      </c>
      <c r="AG624">
        <v>0</v>
      </c>
      <c r="AH624">
        <v>0</v>
      </c>
      <c r="AI624">
        <v>0</v>
      </c>
      <c r="AJ624">
        <v>1</v>
      </c>
      <c r="AK624">
        <v>0.02</v>
      </c>
      <c r="AL624">
        <v>16</v>
      </c>
      <c r="AM624">
        <v>0</v>
      </c>
      <c r="AN624">
        <v>0</v>
      </c>
      <c r="AO624">
        <v>0</v>
      </c>
      <c r="AP624">
        <v>1</v>
      </c>
      <c r="AQ624">
        <v>0.01</v>
      </c>
      <c r="AX624">
        <v>7</v>
      </c>
      <c r="AY624" s="1">
        <v>17</v>
      </c>
      <c r="AZ624">
        <v>0</v>
      </c>
      <c r="BA624">
        <v>0</v>
      </c>
      <c r="BB624">
        <v>1</v>
      </c>
      <c r="BC624" s="7">
        <v>0.32</v>
      </c>
      <c r="BD624">
        <v>30</v>
      </c>
      <c r="BE624">
        <v>0</v>
      </c>
      <c r="BF624">
        <v>0</v>
      </c>
      <c r="BG624">
        <v>0</v>
      </c>
      <c r="BH624">
        <v>5</v>
      </c>
      <c r="BI624">
        <v>2.4</v>
      </c>
      <c r="BJ624">
        <v>31</v>
      </c>
      <c r="BK624">
        <v>0</v>
      </c>
      <c r="BL624">
        <v>0</v>
      </c>
      <c r="BM624">
        <v>0</v>
      </c>
      <c r="BN624">
        <v>5</v>
      </c>
      <c r="BO624">
        <v>2.4</v>
      </c>
      <c r="BP624">
        <v>36</v>
      </c>
      <c r="BQ624">
        <v>0</v>
      </c>
      <c r="BR624">
        <v>0</v>
      </c>
      <c r="BS624">
        <v>0</v>
      </c>
      <c r="BT624">
        <v>5</v>
      </c>
      <c r="BU624">
        <v>2.2000000000000002</v>
      </c>
    </row>
    <row r="625" spans="1:73" x14ac:dyDescent="0.15">
      <c r="A625" s="11">
        <v>10722</v>
      </c>
      <c r="B625">
        <v>7</v>
      </c>
      <c r="C625" s="1">
        <v>46</v>
      </c>
      <c r="D625">
        <v>0</v>
      </c>
      <c r="E625">
        <v>0</v>
      </c>
      <c r="F625">
        <v>1</v>
      </c>
      <c r="G625" s="7">
        <v>0.05</v>
      </c>
      <c r="H625">
        <v>12</v>
      </c>
      <c r="I625">
        <v>0</v>
      </c>
      <c r="J625">
        <v>0</v>
      </c>
      <c r="K625">
        <v>0</v>
      </c>
      <c r="L625">
        <v>1</v>
      </c>
      <c r="M625">
        <v>2</v>
      </c>
      <c r="N625" s="7">
        <v>9</v>
      </c>
      <c r="O625" s="7">
        <v>0</v>
      </c>
      <c r="P625" s="7">
        <v>0</v>
      </c>
      <c r="Q625" s="7">
        <v>0</v>
      </c>
      <c r="R625" s="7">
        <v>1</v>
      </c>
      <c r="S625" s="7">
        <v>4.5</v>
      </c>
      <c r="T625">
        <v>7</v>
      </c>
      <c r="U625" s="1">
        <v>34</v>
      </c>
      <c r="V625">
        <v>0</v>
      </c>
      <c r="W625">
        <v>0</v>
      </c>
      <c r="X625">
        <v>1</v>
      </c>
      <c r="Y625">
        <v>0.16</v>
      </c>
      <c r="Z625">
        <v>23</v>
      </c>
      <c r="AA625">
        <v>0</v>
      </c>
      <c r="AB625">
        <v>0</v>
      </c>
      <c r="AC625">
        <v>0</v>
      </c>
      <c r="AD625">
        <v>1</v>
      </c>
      <c r="AE625">
        <v>0.05</v>
      </c>
      <c r="AF625">
        <v>15</v>
      </c>
      <c r="AG625">
        <v>0</v>
      </c>
      <c r="AH625">
        <v>0</v>
      </c>
      <c r="AI625">
        <v>0</v>
      </c>
      <c r="AJ625">
        <v>1</v>
      </c>
      <c r="AK625">
        <v>0.02</v>
      </c>
      <c r="AL625">
        <v>16</v>
      </c>
      <c r="AM625">
        <v>0</v>
      </c>
      <c r="AN625">
        <v>0</v>
      </c>
      <c r="AO625">
        <v>0</v>
      </c>
      <c r="AP625">
        <v>1</v>
      </c>
      <c r="AQ625">
        <v>0.01</v>
      </c>
      <c r="AX625">
        <v>7</v>
      </c>
      <c r="AY625" s="1">
        <v>18</v>
      </c>
      <c r="AZ625">
        <v>0</v>
      </c>
      <c r="BA625">
        <v>0</v>
      </c>
      <c r="BB625">
        <v>1</v>
      </c>
      <c r="BC625" s="7">
        <v>0.32</v>
      </c>
      <c r="BD625">
        <v>30</v>
      </c>
      <c r="BE625">
        <v>0</v>
      </c>
      <c r="BF625">
        <v>0</v>
      </c>
      <c r="BG625">
        <v>0</v>
      </c>
      <c r="BH625">
        <v>5</v>
      </c>
      <c r="BI625">
        <v>2.4</v>
      </c>
      <c r="BJ625">
        <v>31</v>
      </c>
      <c r="BK625">
        <v>0</v>
      </c>
      <c r="BL625">
        <v>0</v>
      </c>
      <c r="BM625">
        <v>0</v>
      </c>
      <c r="BN625">
        <v>5</v>
      </c>
      <c r="BO625">
        <v>2.4</v>
      </c>
      <c r="BP625">
        <v>36</v>
      </c>
      <c r="BQ625">
        <v>0</v>
      </c>
      <c r="BR625">
        <v>0</v>
      </c>
      <c r="BS625">
        <v>0</v>
      </c>
      <c r="BT625">
        <v>5</v>
      </c>
      <c r="BU625">
        <v>2.2000000000000002</v>
      </c>
    </row>
    <row r="626" spans="1:73" x14ac:dyDescent="0.15">
      <c r="A626" s="11">
        <v>10723</v>
      </c>
      <c r="B626">
        <v>7</v>
      </c>
      <c r="C626" s="1">
        <v>47</v>
      </c>
      <c r="D626">
        <v>0</v>
      </c>
      <c r="E626">
        <v>0</v>
      </c>
      <c r="F626">
        <v>1</v>
      </c>
      <c r="G626" s="7">
        <v>0.05</v>
      </c>
      <c r="H626">
        <v>12</v>
      </c>
      <c r="I626">
        <v>0</v>
      </c>
      <c r="J626">
        <v>0</v>
      </c>
      <c r="K626">
        <v>0</v>
      </c>
      <c r="L626">
        <v>1</v>
      </c>
      <c r="M626">
        <v>2</v>
      </c>
      <c r="N626" s="7">
        <v>9</v>
      </c>
      <c r="O626" s="7">
        <v>0</v>
      </c>
      <c r="P626" s="7">
        <v>0</v>
      </c>
      <c r="Q626" s="7">
        <v>0</v>
      </c>
      <c r="R626" s="7">
        <v>1</v>
      </c>
      <c r="S626" s="7">
        <v>4.5</v>
      </c>
      <c r="T626">
        <v>7</v>
      </c>
      <c r="U626" s="1">
        <v>35</v>
      </c>
      <c r="V626">
        <v>0</v>
      </c>
      <c r="W626">
        <v>0</v>
      </c>
      <c r="X626">
        <v>1</v>
      </c>
      <c r="Y626">
        <v>0.16</v>
      </c>
      <c r="Z626">
        <v>23</v>
      </c>
      <c r="AA626">
        <v>0</v>
      </c>
      <c r="AB626">
        <v>0</v>
      </c>
      <c r="AC626">
        <v>0</v>
      </c>
      <c r="AD626">
        <v>1</v>
      </c>
      <c r="AE626">
        <v>0.05</v>
      </c>
      <c r="AF626">
        <v>15</v>
      </c>
      <c r="AG626">
        <v>0</v>
      </c>
      <c r="AH626">
        <v>0</v>
      </c>
      <c r="AI626">
        <v>0</v>
      </c>
      <c r="AJ626">
        <v>1</v>
      </c>
      <c r="AK626">
        <v>0.02</v>
      </c>
      <c r="AL626">
        <v>16</v>
      </c>
      <c r="AM626">
        <v>0</v>
      </c>
      <c r="AN626">
        <v>0</v>
      </c>
      <c r="AO626">
        <v>0</v>
      </c>
      <c r="AP626">
        <v>1</v>
      </c>
      <c r="AQ626">
        <v>0.01</v>
      </c>
      <c r="AX626">
        <v>7</v>
      </c>
      <c r="AY626" s="1">
        <v>19</v>
      </c>
      <c r="AZ626">
        <v>0</v>
      </c>
      <c r="BA626">
        <v>0</v>
      </c>
      <c r="BB626">
        <v>1</v>
      </c>
      <c r="BC626" s="7">
        <v>0.32</v>
      </c>
      <c r="BD626">
        <v>30</v>
      </c>
      <c r="BE626">
        <v>0</v>
      </c>
      <c r="BF626">
        <v>0</v>
      </c>
      <c r="BG626">
        <v>0</v>
      </c>
      <c r="BH626">
        <v>5</v>
      </c>
      <c r="BI626">
        <v>2.4</v>
      </c>
      <c r="BJ626">
        <v>31</v>
      </c>
      <c r="BK626">
        <v>0</v>
      </c>
      <c r="BL626">
        <v>0</v>
      </c>
      <c r="BM626">
        <v>0</v>
      </c>
      <c r="BN626">
        <v>5</v>
      </c>
      <c r="BO626">
        <v>2.4</v>
      </c>
      <c r="BP626">
        <v>36</v>
      </c>
      <c r="BQ626">
        <v>0</v>
      </c>
      <c r="BR626">
        <v>0</v>
      </c>
      <c r="BS626">
        <v>0</v>
      </c>
      <c r="BT626">
        <v>5</v>
      </c>
      <c r="BU626">
        <v>2.2000000000000002</v>
      </c>
    </row>
    <row r="627" spans="1:73" x14ac:dyDescent="0.15">
      <c r="A627" s="11">
        <v>10724</v>
      </c>
      <c r="B627">
        <v>7</v>
      </c>
      <c r="C627" s="1">
        <v>48</v>
      </c>
      <c r="D627">
        <v>0</v>
      </c>
      <c r="E627">
        <v>0</v>
      </c>
      <c r="F627">
        <v>1</v>
      </c>
      <c r="G627" s="7">
        <v>0.05</v>
      </c>
      <c r="H627">
        <v>12</v>
      </c>
      <c r="I627">
        <v>0</v>
      </c>
      <c r="J627">
        <v>0</v>
      </c>
      <c r="K627">
        <v>0</v>
      </c>
      <c r="L627">
        <v>1</v>
      </c>
      <c r="M627">
        <v>2</v>
      </c>
      <c r="N627" s="7">
        <v>9</v>
      </c>
      <c r="O627" s="7">
        <v>0</v>
      </c>
      <c r="P627" s="7">
        <v>0</v>
      </c>
      <c r="Q627" s="7">
        <v>0</v>
      </c>
      <c r="R627" s="7">
        <v>1</v>
      </c>
      <c r="S627" s="7">
        <v>4.5</v>
      </c>
      <c r="T627">
        <v>7</v>
      </c>
      <c r="U627" s="1">
        <v>36</v>
      </c>
      <c r="V627">
        <v>0</v>
      </c>
      <c r="W627">
        <v>0</v>
      </c>
      <c r="X627">
        <v>1</v>
      </c>
      <c r="Y627">
        <v>0.16</v>
      </c>
      <c r="Z627">
        <v>23</v>
      </c>
      <c r="AA627">
        <v>0</v>
      </c>
      <c r="AB627">
        <v>0</v>
      </c>
      <c r="AC627">
        <v>0</v>
      </c>
      <c r="AD627">
        <v>1</v>
      </c>
      <c r="AE627">
        <v>0.05</v>
      </c>
      <c r="AF627">
        <v>15</v>
      </c>
      <c r="AG627">
        <v>0</v>
      </c>
      <c r="AH627">
        <v>0</v>
      </c>
      <c r="AI627">
        <v>0</v>
      </c>
      <c r="AJ627">
        <v>1</v>
      </c>
      <c r="AK627">
        <v>0.02</v>
      </c>
      <c r="AL627">
        <v>16</v>
      </c>
      <c r="AM627">
        <v>0</v>
      </c>
      <c r="AN627">
        <v>0</v>
      </c>
      <c r="AO627">
        <v>0</v>
      </c>
      <c r="AP627">
        <v>1</v>
      </c>
      <c r="AQ627">
        <v>0.01</v>
      </c>
      <c r="AX627">
        <v>7</v>
      </c>
      <c r="AY627" s="1">
        <v>20</v>
      </c>
      <c r="AZ627">
        <v>0</v>
      </c>
      <c r="BA627">
        <v>0</v>
      </c>
      <c r="BB627">
        <v>1</v>
      </c>
      <c r="BC627" s="7">
        <v>0.32</v>
      </c>
      <c r="BD627">
        <v>30</v>
      </c>
      <c r="BE627">
        <v>0</v>
      </c>
      <c r="BF627">
        <v>0</v>
      </c>
      <c r="BG627">
        <v>0</v>
      </c>
      <c r="BH627">
        <v>5</v>
      </c>
      <c r="BI627">
        <v>2.4</v>
      </c>
      <c r="BJ627">
        <v>31</v>
      </c>
      <c r="BK627">
        <v>0</v>
      </c>
      <c r="BL627">
        <v>0</v>
      </c>
      <c r="BM627">
        <v>0</v>
      </c>
      <c r="BN627">
        <v>5</v>
      </c>
      <c r="BO627">
        <v>2.4</v>
      </c>
      <c r="BP627">
        <v>36</v>
      </c>
      <c r="BQ627">
        <v>0</v>
      </c>
      <c r="BR627">
        <v>0</v>
      </c>
      <c r="BS627">
        <v>0</v>
      </c>
      <c r="BT627">
        <v>5</v>
      </c>
      <c r="BU627">
        <v>2.2000000000000002</v>
      </c>
    </row>
    <row r="628" spans="1:73" x14ac:dyDescent="0.15">
      <c r="A628" s="11">
        <v>10725</v>
      </c>
      <c r="B628">
        <v>7</v>
      </c>
      <c r="C628" s="1">
        <v>0</v>
      </c>
      <c r="D628">
        <v>5</v>
      </c>
      <c r="E628">
        <v>1</v>
      </c>
      <c r="F628">
        <v>1</v>
      </c>
      <c r="G628" s="7">
        <v>0.05</v>
      </c>
      <c r="H628">
        <v>12</v>
      </c>
      <c r="I628">
        <v>0</v>
      </c>
      <c r="J628">
        <v>0</v>
      </c>
      <c r="K628">
        <v>0</v>
      </c>
      <c r="L628">
        <v>1</v>
      </c>
      <c r="M628">
        <v>2</v>
      </c>
      <c r="N628" s="7">
        <v>9</v>
      </c>
      <c r="O628" s="7">
        <v>0</v>
      </c>
      <c r="P628" s="7">
        <v>0</v>
      </c>
      <c r="Q628" s="7">
        <v>0</v>
      </c>
      <c r="R628" s="7">
        <v>1</v>
      </c>
      <c r="S628" s="7">
        <v>4.5</v>
      </c>
      <c r="T628">
        <v>7</v>
      </c>
      <c r="U628" s="1">
        <v>0</v>
      </c>
      <c r="V628">
        <v>4</v>
      </c>
      <c r="W628">
        <v>2</v>
      </c>
      <c r="X628">
        <v>1</v>
      </c>
      <c r="Y628">
        <v>0.16</v>
      </c>
      <c r="Z628">
        <v>23</v>
      </c>
      <c r="AA628">
        <v>0</v>
      </c>
      <c r="AB628">
        <v>0</v>
      </c>
      <c r="AC628">
        <v>0</v>
      </c>
      <c r="AD628">
        <v>1</v>
      </c>
      <c r="AE628">
        <v>0.05</v>
      </c>
      <c r="AF628">
        <v>15</v>
      </c>
      <c r="AG628">
        <v>0</v>
      </c>
      <c r="AH628">
        <v>0</v>
      </c>
      <c r="AI628">
        <v>0</v>
      </c>
      <c r="AJ628">
        <v>1</v>
      </c>
      <c r="AK628">
        <v>0.02</v>
      </c>
      <c r="AL628">
        <v>16</v>
      </c>
      <c r="AM628">
        <v>0</v>
      </c>
      <c r="AN628">
        <v>0</v>
      </c>
      <c r="AO628">
        <v>0</v>
      </c>
      <c r="AP628">
        <v>1</v>
      </c>
      <c r="AQ628">
        <v>0.01</v>
      </c>
      <c r="AR628">
        <v>6</v>
      </c>
      <c r="AS628">
        <v>2</v>
      </c>
      <c r="AT628">
        <v>5</v>
      </c>
      <c r="AU628">
        <v>5</v>
      </c>
      <c r="AV628">
        <v>1</v>
      </c>
      <c r="AW628">
        <v>0.01</v>
      </c>
      <c r="AX628">
        <v>7</v>
      </c>
      <c r="AY628" s="1">
        <v>0</v>
      </c>
      <c r="AZ628">
        <v>3</v>
      </c>
      <c r="BA628">
        <v>1</v>
      </c>
      <c r="BB628">
        <v>1</v>
      </c>
      <c r="BC628" s="7">
        <v>0.32</v>
      </c>
      <c r="BD628">
        <v>30</v>
      </c>
      <c r="BE628">
        <v>0</v>
      </c>
      <c r="BF628">
        <v>0</v>
      </c>
      <c r="BG628">
        <v>0</v>
      </c>
      <c r="BH628">
        <v>5</v>
      </c>
      <c r="BI628">
        <v>2.4</v>
      </c>
      <c r="BJ628">
        <v>31</v>
      </c>
      <c r="BK628">
        <v>0</v>
      </c>
      <c r="BL628">
        <v>0</v>
      </c>
      <c r="BM628">
        <v>0</v>
      </c>
      <c r="BN628">
        <v>5</v>
      </c>
      <c r="BO628">
        <v>2.4</v>
      </c>
      <c r="BP628">
        <v>36</v>
      </c>
      <c r="BQ628">
        <v>0</v>
      </c>
      <c r="BR628">
        <v>0</v>
      </c>
      <c r="BS628">
        <v>0</v>
      </c>
      <c r="BT628">
        <v>5</v>
      </c>
      <c r="BU628">
        <v>2.2000000000000002</v>
      </c>
    </row>
    <row r="629" spans="1:73" x14ac:dyDescent="0.15">
      <c r="A629" s="11">
        <v>10726</v>
      </c>
      <c r="B629">
        <v>7</v>
      </c>
      <c r="C629" s="1">
        <v>45</v>
      </c>
      <c r="D629">
        <v>0</v>
      </c>
      <c r="E629">
        <v>0</v>
      </c>
      <c r="F629">
        <v>1</v>
      </c>
      <c r="G629" s="7">
        <v>0.05</v>
      </c>
      <c r="H629">
        <v>12</v>
      </c>
      <c r="I629">
        <v>0</v>
      </c>
      <c r="J629">
        <v>0</v>
      </c>
      <c r="K629">
        <v>0</v>
      </c>
      <c r="L629">
        <v>1</v>
      </c>
      <c r="M629">
        <v>2</v>
      </c>
      <c r="N629" s="7">
        <v>9</v>
      </c>
      <c r="O629" s="7">
        <v>0</v>
      </c>
      <c r="P629" s="7">
        <v>0</v>
      </c>
      <c r="Q629" s="7">
        <v>0</v>
      </c>
      <c r="R629" s="7">
        <v>1</v>
      </c>
      <c r="S629" s="7">
        <v>4.5</v>
      </c>
      <c r="T629">
        <v>7</v>
      </c>
      <c r="U629" s="1">
        <v>33</v>
      </c>
      <c r="V629">
        <v>0</v>
      </c>
      <c r="W629">
        <v>0</v>
      </c>
      <c r="X629">
        <v>1</v>
      </c>
      <c r="Y629">
        <v>0.16</v>
      </c>
      <c r="Z629">
        <v>23</v>
      </c>
      <c r="AA629">
        <v>0</v>
      </c>
      <c r="AB629">
        <v>0</v>
      </c>
      <c r="AC629">
        <v>0</v>
      </c>
      <c r="AD629">
        <v>1</v>
      </c>
      <c r="AE629">
        <v>0.05</v>
      </c>
      <c r="AF629">
        <v>15</v>
      </c>
      <c r="AG629">
        <v>0</v>
      </c>
      <c r="AH629">
        <v>0</v>
      </c>
      <c r="AI629">
        <v>0</v>
      </c>
      <c r="AJ629">
        <v>1</v>
      </c>
      <c r="AK629">
        <v>0.02</v>
      </c>
      <c r="AL629">
        <v>16</v>
      </c>
      <c r="AM629">
        <v>0</v>
      </c>
      <c r="AN629">
        <v>0</v>
      </c>
      <c r="AO629">
        <v>0</v>
      </c>
      <c r="AP629">
        <v>1</v>
      </c>
      <c r="AQ629">
        <v>0.01</v>
      </c>
      <c r="AX629">
        <v>7</v>
      </c>
      <c r="AY629" s="1">
        <v>17</v>
      </c>
      <c r="AZ629">
        <v>0</v>
      </c>
      <c r="BA629">
        <v>0</v>
      </c>
      <c r="BB629">
        <v>1</v>
      </c>
      <c r="BC629" s="7">
        <v>0.32</v>
      </c>
      <c r="BD629">
        <v>30</v>
      </c>
      <c r="BE629">
        <v>0</v>
      </c>
      <c r="BF629">
        <v>0</v>
      </c>
      <c r="BG629">
        <v>0</v>
      </c>
      <c r="BH629">
        <v>5</v>
      </c>
      <c r="BI629">
        <v>2.4</v>
      </c>
      <c r="BJ629">
        <v>31</v>
      </c>
      <c r="BK629">
        <v>0</v>
      </c>
      <c r="BL629">
        <v>0</v>
      </c>
      <c r="BM629">
        <v>0</v>
      </c>
      <c r="BN629">
        <v>5</v>
      </c>
      <c r="BO629">
        <v>2.4</v>
      </c>
      <c r="BP629">
        <v>36</v>
      </c>
      <c r="BQ629">
        <v>0</v>
      </c>
      <c r="BR629">
        <v>0</v>
      </c>
      <c r="BS629">
        <v>0</v>
      </c>
      <c r="BT629">
        <v>5</v>
      </c>
      <c r="BU629">
        <v>2.2000000000000002</v>
      </c>
    </row>
    <row r="630" spans="1:73" x14ac:dyDescent="0.15">
      <c r="A630" s="11">
        <v>10727</v>
      </c>
      <c r="B630">
        <v>7</v>
      </c>
      <c r="C630" s="1">
        <v>46</v>
      </c>
      <c r="D630">
        <v>0</v>
      </c>
      <c r="E630">
        <v>0</v>
      </c>
      <c r="F630">
        <v>1</v>
      </c>
      <c r="G630" s="7">
        <v>0.05</v>
      </c>
      <c r="H630">
        <v>12</v>
      </c>
      <c r="I630">
        <v>0</v>
      </c>
      <c r="J630">
        <v>0</v>
      </c>
      <c r="K630">
        <v>0</v>
      </c>
      <c r="L630">
        <v>1</v>
      </c>
      <c r="M630">
        <v>2</v>
      </c>
      <c r="N630" s="7">
        <v>9</v>
      </c>
      <c r="O630" s="7">
        <v>0</v>
      </c>
      <c r="P630" s="7">
        <v>0</v>
      </c>
      <c r="Q630" s="7">
        <v>0</v>
      </c>
      <c r="R630" s="7">
        <v>1</v>
      </c>
      <c r="S630" s="7">
        <v>4.5</v>
      </c>
      <c r="T630">
        <v>7</v>
      </c>
      <c r="U630" s="1">
        <v>34</v>
      </c>
      <c r="V630">
        <v>0</v>
      </c>
      <c r="W630">
        <v>0</v>
      </c>
      <c r="X630">
        <v>1</v>
      </c>
      <c r="Y630">
        <v>0.16</v>
      </c>
      <c r="Z630">
        <v>23</v>
      </c>
      <c r="AA630">
        <v>0</v>
      </c>
      <c r="AB630">
        <v>0</v>
      </c>
      <c r="AC630">
        <v>0</v>
      </c>
      <c r="AD630">
        <v>1</v>
      </c>
      <c r="AE630">
        <v>0.05</v>
      </c>
      <c r="AF630">
        <v>15</v>
      </c>
      <c r="AG630">
        <v>0</v>
      </c>
      <c r="AH630">
        <v>0</v>
      </c>
      <c r="AI630">
        <v>0</v>
      </c>
      <c r="AJ630">
        <v>1</v>
      </c>
      <c r="AK630">
        <v>0.02</v>
      </c>
      <c r="AL630">
        <v>16</v>
      </c>
      <c r="AM630">
        <v>0</v>
      </c>
      <c r="AN630">
        <v>0</v>
      </c>
      <c r="AO630">
        <v>0</v>
      </c>
      <c r="AP630">
        <v>1</v>
      </c>
      <c r="AQ630">
        <v>0.01</v>
      </c>
      <c r="AX630">
        <v>7</v>
      </c>
      <c r="AY630" s="1">
        <v>18</v>
      </c>
      <c r="AZ630">
        <v>0</v>
      </c>
      <c r="BA630">
        <v>0</v>
      </c>
      <c r="BB630">
        <v>1</v>
      </c>
      <c r="BC630" s="7">
        <v>0.32</v>
      </c>
      <c r="BD630">
        <v>30</v>
      </c>
      <c r="BE630">
        <v>0</v>
      </c>
      <c r="BF630">
        <v>0</v>
      </c>
      <c r="BG630">
        <v>0</v>
      </c>
      <c r="BH630">
        <v>5</v>
      </c>
      <c r="BI630">
        <v>2.4</v>
      </c>
      <c r="BJ630">
        <v>31</v>
      </c>
      <c r="BK630">
        <v>0</v>
      </c>
      <c r="BL630">
        <v>0</v>
      </c>
      <c r="BM630">
        <v>0</v>
      </c>
      <c r="BN630">
        <v>5</v>
      </c>
      <c r="BO630">
        <v>2.4</v>
      </c>
      <c r="BP630">
        <v>36</v>
      </c>
      <c r="BQ630">
        <v>0</v>
      </c>
      <c r="BR630">
        <v>0</v>
      </c>
      <c r="BS630">
        <v>0</v>
      </c>
      <c r="BT630">
        <v>5</v>
      </c>
      <c r="BU630">
        <v>2.2000000000000002</v>
      </c>
    </row>
    <row r="631" spans="1:73" x14ac:dyDescent="0.15">
      <c r="A631" s="11">
        <v>10728</v>
      </c>
      <c r="B631">
        <v>7</v>
      </c>
      <c r="C631" s="1">
        <v>47</v>
      </c>
      <c r="D631">
        <v>0</v>
      </c>
      <c r="E631">
        <v>0</v>
      </c>
      <c r="F631">
        <v>1</v>
      </c>
      <c r="G631" s="7">
        <v>0.05</v>
      </c>
      <c r="H631">
        <v>12</v>
      </c>
      <c r="I631">
        <v>0</v>
      </c>
      <c r="J631">
        <v>0</v>
      </c>
      <c r="K631">
        <v>0</v>
      </c>
      <c r="L631">
        <v>1</v>
      </c>
      <c r="M631">
        <v>2</v>
      </c>
      <c r="N631" s="7">
        <v>9</v>
      </c>
      <c r="O631" s="7">
        <v>0</v>
      </c>
      <c r="P631" s="7">
        <v>0</v>
      </c>
      <c r="Q631" s="7">
        <v>0</v>
      </c>
      <c r="R631" s="7">
        <v>1</v>
      </c>
      <c r="S631" s="7">
        <v>4.5</v>
      </c>
      <c r="T631">
        <v>7</v>
      </c>
      <c r="U631" s="1">
        <v>35</v>
      </c>
      <c r="V631">
        <v>0</v>
      </c>
      <c r="W631">
        <v>0</v>
      </c>
      <c r="X631">
        <v>1</v>
      </c>
      <c r="Y631">
        <v>0.16</v>
      </c>
      <c r="Z631">
        <v>23</v>
      </c>
      <c r="AA631">
        <v>0</v>
      </c>
      <c r="AB631">
        <v>0</v>
      </c>
      <c r="AC631">
        <v>0</v>
      </c>
      <c r="AD631">
        <v>1</v>
      </c>
      <c r="AE631">
        <v>0.05</v>
      </c>
      <c r="AF631">
        <v>15</v>
      </c>
      <c r="AG631">
        <v>0</v>
      </c>
      <c r="AH631">
        <v>0</v>
      </c>
      <c r="AI631">
        <v>0</v>
      </c>
      <c r="AJ631">
        <v>1</v>
      </c>
      <c r="AK631">
        <v>0.02</v>
      </c>
      <c r="AL631">
        <v>16</v>
      </c>
      <c r="AM631">
        <v>0</v>
      </c>
      <c r="AN631">
        <v>0</v>
      </c>
      <c r="AO631">
        <v>0</v>
      </c>
      <c r="AP631">
        <v>1</v>
      </c>
      <c r="AQ631">
        <v>0.01</v>
      </c>
      <c r="AX631">
        <v>7</v>
      </c>
      <c r="AY631" s="1">
        <v>19</v>
      </c>
      <c r="AZ631">
        <v>0</v>
      </c>
      <c r="BA631">
        <v>0</v>
      </c>
      <c r="BB631">
        <v>1</v>
      </c>
      <c r="BC631" s="7">
        <v>0.32</v>
      </c>
      <c r="BD631">
        <v>30</v>
      </c>
      <c r="BE631">
        <v>0</v>
      </c>
      <c r="BF631">
        <v>0</v>
      </c>
      <c r="BG631">
        <v>0</v>
      </c>
      <c r="BH631">
        <v>5</v>
      </c>
      <c r="BI631">
        <v>2.4</v>
      </c>
      <c r="BJ631">
        <v>31</v>
      </c>
      <c r="BK631">
        <v>0</v>
      </c>
      <c r="BL631">
        <v>0</v>
      </c>
      <c r="BM631">
        <v>0</v>
      </c>
      <c r="BN631">
        <v>5</v>
      </c>
      <c r="BO631">
        <v>2.4</v>
      </c>
      <c r="BP631">
        <v>36</v>
      </c>
      <c r="BQ631">
        <v>0</v>
      </c>
      <c r="BR631">
        <v>0</v>
      </c>
      <c r="BS631">
        <v>0</v>
      </c>
      <c r="BT631">
        <v>5</v>
      </c>
      <c r="BU631">
        <v>2.2000000000000002</v>
      </c>
    </row>
    <row r="632" spans="1:73" x14ac:dyDescent="0.15">
      <c r="A632" s="11">
        <v>10729</v>
      </c>
      <c r="B632">
        <v>7</v>
      </c>
      <c r="C632" s="1">
        <v>48</v>
      </c>
      <c r="D632">
        <v>0</v>
      </c>
      <c r="E632">
        <v>0</v>
      </c>
      <c r="F632">
        <v>1</v>
      </c>
      <c r="G632" s="7">
        <v>0.05</v>
      </c>
      <c r="H632">
        <v>12</v>
      </c>
      <c r="I632">
        <v>0</v>
      </c>
      <c r="J632">
        <v>0</v>
      </c>
      <c r="K632">
        <v>0</v>
      </c>
      <c r="L632">
        <v>1</v>
      </c>
      <c r="M632">
        <v>2</v>
      </c>
      <c r="N632" s="7">
        <v>9</v>
      </c>
      <c r="O632" s="7">
        <v>0</v>
      </c>
      <c r="P632" s="7">
        <v>0</v>
      </c>
      <c r="Q632" s="7">
        <v>0</v>
      </c>
      <c r="R632" s="7">
        <v>1</v>
      </c>
      <c r="S632" s="7">
        <v>4.5</v>
      </c>
      <c r="T632">
        <v>7</v>
      </c>
      <c r="U632" s="1">
        <v>36</v>
      </c>
      <c r="V632">
        <v>0</v>
      </c>
      <c r="W632">
        <v>0</v>
      </c>
      <c r="X632">
        <v>1</v>
      </c>
      <c r="Y632">
        <v>0.16</v>
      </c>
      <c r="Z632">
        <v>23</v>
      </c>
      <c r="AA632">
        <v>0</v>
      </c>
      <c r="AB632">
        <v>0</v>
      </c>
      <c r="AC632">
        <v>0</v>
      </c>
      <c r="AD632">
        <v>1</v>
      </c>
      <c r="AE632">
        <v>0.05</v>
      </c>
      <c r="AF632">
        <v>15</v>
      </c>
      <c r="AG632">
        <v>0</v>
      </c>
      <c r="AH632">
        <v>0</v>
      </c>
      <c r="AI632">
        <v>0</v>
      </c>
      <c r="AJ632">
        <v>1</v>
      </c>
      <c r="AK632">
        <v>0.02</v>
      </c>
      <c r="AL632">
        <v>16</v>
      </c>
      <c r="AM632">
        <v>0</v>
      </c>
      <c r="AN632">
        <v>0</v>
      </c>
      <c r="AO632">
        <v>0</v>
      </c>
      <c r="AP632">
        <v>1</v>
      </c>
      <c r="AQ632">
        <v>0.01</v>
      </c>
      <c r="AX632">
        <v>7</v>
      </c>
      <c r="AY632" s="1">
        <v>20</v>
      </c>
      <c r="AZ632">
        <v>0</v>
      </c>
      <c r="BA632">
        <v>0</v>
      </c>
      <c r="BB632">
        <v>1</v>
      </c>
      <c r="BC632" s="7">
        <v>0.32</v>
      </c>
      <c r="BD632">
        <v>30</v>
      </c>
      <c r="BE632">
        <v>0</v>
      </c>
      <c r="BF632">
        <v>0</v>
      </c>
      <c r="BG632">
        <v>0</v>
      </c>
      <c r="BH632">
        <v>5</v>
      </c>
      <c r="BI632">
        <v>2.4</v>
      </c>
      <c r="BJ632">
        <v>31</v>
      </c>
      <c r="BK632">
        <v>0</v>
      </c>
      <c r="BL632">
        <v>0</v>
      </c>
      <c r="BM632">
        <v>0</v>
      </c>
      <c r="BN632">
        <v>5</v>
      </c>
      <c r="BO632">
        <v>2.4</v>
      </c>
      <c r="BP632">
        <v>36</v>
      </c>
      <c r="BQ632">
        <v>0</v>
      </c>
      <c r="BR632">
        <v>0</v>
      </c>
      <c r="BS632">
        <v>0</v>
      </c>
      <c r="BT632">
        <v>5</v>
      </c>
      <c r="BU632">
        <v>2.2000000000000002</v>
      </c>
    </row>
    <row r="633" spans="1:73" x14ac:dyDescent="0.15">
      <c r="A633" s="11">
        <v>10730</v>
      </c>
      <c r="B633">
        <v>7</v>
      </c>
      <c r="C633" s="1">
        <v>0</v>
      </c>
      <c r="D633">
        <v>5</v>
      </c>
      <c r="E633">
        <v>1</v>
      </c>
      <c r="F633">
        <v>1</v>
      </c>
      <c r="G633" s="7">
        <v>0.05</v>
      </c>
      <c r="H633">
        <v>12</v>
      </c>
      <c r="I633">
        <v>0</v>
      </c>
      <c r="J633">
        <v>0</v>
      </c>
      <c r="K633">
        <v>0</v>
      </c>
      <c r="L633">
        <v>1</v>
      </c>
      <c r="M633">
        <v>2</v>
      </c>
      <c r="N633" s="7">
        <v>9</v>
      </c>
      <c r="O633" s="7">
        <v>0</v>
      </c>
      <c r="P633" s="7">
        <v>0</v>
      </c>
      <c r="Q633" s="7">
        <v>0</v>
      </c>
      <c r="R633" s="7">
        <v>1</v>
      </c>
      <c r="S633" s="7">
        <v>4.5</v>
      </c>
      <c r="T633">
        <v>7</v>
      </c>
      <c r="U633" s="1">
        <v>0</v>
      </c>
      <c r="V633">
        <v>4</v>
      </c>
      <c r="W633">
        <v>2</v>
      </c>
      <c r="X633">
        <v>1</v>
      </c>
      <c r="Y633">
        <v>0.16</v>
      </c>
      <c r="Z633">
        <v>23</v>
      </c>
      <c r="AA633">
        <v>0</v>
      </c>
      <c r="AB633">
        <v>0</v>
      </c>
      <c r="AC633">
        <v>0</v>
      </c>
      <c r="AD633">
        <v>1</v>
      </c>
      <c r="AE633">
        <v>0.05</v>
      </c>
      <c r="AF633">
        <v>15</v>
      </c>
      <c r="AG633">
        <v>0</v>
      </c>
      <c r="AH633">
        <v>0</v>
      </c>
      <c r="AI633">
        <v>0</v>
      </c>
      <c r="AJ633">
        <v>1</v>
      </c>
      <c r="AK633">
        <v>0.02</v>
      </c>
      <c r="AL633">
        <v>16</v>
      </c>
      <c r="AM633">
        <v>0</v>
      </c>
      <c r="AN633">
        <v>0</v>
      </c>
      <c r="AO633">
        <v>0</v>
      </c>
      <c r="AP633">
        <v>1</v>
      </c>
      <c r="AQ633">
        <v>0.01</v>
      </c>
      <c r="AR633">
        <v>6</v>
      </c>
      <c r="AS633">
        <v>2</v>
      </c>
      <c r="AT633">
        <v>1</v>
      </c>
      <c r="AU633">
        <v>5</v>
      </c>
      <c r="AV633">
        <v>1</v>
      </c>
      <c r="AW633">
        <v>0.05</v>
      </c>
      <c r="AX633">
        <v>7</v>
      </c>
      <c r="AY633" s="1">
        <v>0</v>
      </c>
      <c r="AZ633">
        <v>3</v>
      </c>
      <c r="BA633">
        <v>1</v>
      </c>
      <c r="BB633">
        <v>1</v>
      </c>
      <c r="BC633" s="7">
        <v>0.32</v>
      </c>
      <c r="BD633">
        <v>30</v>
      </c>
      <c r="BE633">
        <v>0</v>
      </c>
      <c r="BF633">
        <v>0</v>
      </c>
      <c r="BG633">
        <v>0</v>
      </c>
      <c r="BH633">
        <v>5</v>
      </c>
      <c r="BI633">
        <v>2.4</v>
      </c>
      <c r="BJ633">
        <v>31</v>
      </c>
      <c r="BK633">
        <v>0</v>
      </c>
      <c r="BL633">
        <v>0</v>
      </c>
      <c r="BM633">
        <v>0</v>
      </c>
      <c r="BN633">
        <v>5</v>
      </c>
      <c r="BO633">
        <v>2.4</v>
      </c>
      <c r="BP633">
        <v>36</v>
      </c>
      <c r="BQ633">
        <v>0</v>
      </c>
      <c r="BR633">
        <v>0</v>
      </c>
      <c r="BS633">
        <v>0</v>
      </c>
      <c r="BT633">
        <v>5</v>
      </c>
      <c r="BU633">
        <v>2.2000000000000002</v>
      </c>
    </row>
    <row r="634" spans="1:73" x14ac:dyDescent="0.15">
      <c r="A634" s="11">
        <v>10731</v>
      </c>
      <c r="B634">
        <v>7</v>
      </c>
      <c r="C634" s="1">
        <v>45</v>
      </c>
      <c r="D634">
        <v>0</v>
      </c>
      <c r="E634">
        <v>0</v>
      </c>
      <c r="F634">
        <v>1</v>
      </c>
      <c r="G634" s="7">
        <v>0.05</v>
      </c>
      <c r="H634">
        <v>12</v>
      </c>
      <c r="I634">
        <v>0</v>
      </c>
      <c r="J634">
        <v>0</v>
      </c>
      <c r="K634">
        <v>0</v>
      </c>
      <c r="L634">
        <v>1</v>
      </c>
      <c r="M634">
        <v>2</v>
      </c>
      <c r="N634" s="7">
        <v>9</v>
      </c>
      <c r="O634" s="7">
        <v>0</v>
      </c>
      <c r="P634" s="7">
        <v>0</v>
      </c>
      <c r="Q634" s="7">
        <v>0</v>
      </c>
      <c r="R634" s="7">
        <v>1</v>
      </c>
      <c r="S634" s="7">
        <v>4.5</v>
      </c>
      <c r="T634">
        <v>7</v>
      </c>
      <c r="U634" s="1">
        <v>33</v>
      </c>
      <c r="V634">
        <v>0</v>
      </c>
      <c r="W634">
        <v>0</v>
      </c>
      <c r="X634">
        <v>1</v>
      </c>
      <c r="Y634">
        <v>0.16</v>
      </c>
      <c r="Z634">
        <v>23</v>
      </c>
      <c r="AA634">
        <v>0</v>
      </c>
      <c r="AB634">
        <v>0</v>
      </c>
      <c r="AC634">
        <v>0</v>
      </c>
      <c r="AD634">
        <v>1</v>
      </c>
      <c r="AE634">
        <v>0.05</v>
      </c>
      <c r="AF634">
        <v>15</v>
      </c>
      <c r="AG634">
        <v>0</v>
      </c>
      <c r="AH634">
        <v>0</v>
      </c>
      <c r="AI634">
        <v>0</v>
      </c>
      <c r="AJ634">
        <v>1</v>
      </c>
      <c r="AK634">
        <v>0.02</v>
      </c>
      <c r="AL634">
        <v>16</v>
      </c>
      <c r="AM634">
        <v>0</v>
      </c>
      <c r="AN634">
        <v>0</v>
      </c>
      <c r="AO634">
        <v>0</v>
      </c>
      <c r="AP634">
        <v>1</v>
      </c>
      <c r="AQ634">
        <v>0.01</v>
      </c>
      <c r="AX634">
        <v>7</v>
      </c>
      <c r="AY634" s="1">
        <v>17</v>
      </c>
      <c r="AZ634">
        <v>0</v>
      </c>
      <c r="BA634">
        <v>0</v>
      </c>
      <c r="BB634">
        <v>1</v>
      </c>
      <c r="BC634" s="7">
        <v>0.32</v>
      </c>
      <c r="BD634">
        <v>30</v>
      </c>
      <c r="BE634">
        <v>0</v>
      </c>
      <c r="BF634">
        <v>0</v>
      </c>
      <c r="BG634">
        <v>0</v>
      </c>
      <c r="BH634">
        <v>5</v>
      </c>
      <c r="BI634">
        <v>2.4</v>
      </c>
      <c r="BJ634">
        <v>31</v>
      </c>
      <c r="BK634">
        <v>0</v>
      </c>
      <c r="BL634">
        <v>0</v>
      </c>
      <c r="BM634">
        <v>0</v>
      </c>
      <c r="BN634">
        <v>5</v>
      </c>
      <c r="BO634">
        <v>2.4</v>
      </c>
      <c r="BP634">
        <v>36</v>
      </c>
      <c r="BQ634">
        <v>0</v>
      </c>
      <c r="BR634">
        <v>0</v>
      </c>
      <c r="BS634">
        <v>0</v>
      </c>
      <c r="BT634">
        <v>5</v>
      </c>
      <c r="BU634">
        <v>2.2000000000000002</v>
      </c>
    </row>
    <row r="635" spans="1:73" x14ac:dyDescent="0.15">
      <c r="A635" s="11">
        <v>10732</v>
      </c>
      <c r="B635">
        <v>7</v>
      </c>
      <c r="C635" s="1">
        <v>46</v>
      </c>
      <c r="D635">
        <v>0</v>
      </c>
      <c r="E635">
        <v>0</v>
      </c>
      <c r="F635">
        <v>1</v>
      </c>
      <c r="G635" s="7">
        <v>0.05</v>
      </c>
      <c r="H635">
        <v>12</v>
      </c>
      <c r="I635">
        <v>0</v>
      </c>
      <c r="J635">
        <v>0</v>
      </c>
      <c r="K635">
        <v>0</v>
      </c>
      <c r="L635">
        <v>1</v>
      </c>
      <c r="M635">
        <v>2</v>
      </c>
      <c r="N635" s="7">
        <v>9</v>
      </c>
      <c r="O635" s="7">
        <v>0</v>
      </c>
      <c r="P635" s="7">
        <v>0</v>
      </c>
      <c r="Q635" s="7">
        <v>0</v>
      </c>
      <c r="R635" s="7">
        <v>1</v>
      </c>
      <c r="S635" s="7">
        <v>4.5</v>
      </c>
      <c r="T635">
        <v>7</v>
      </c>
      <c r="U635" s="1">
        <v>34</v>
      </c>
      <c r="V635">
        <v>0</v>
      </c>
      <c r="W635">
        <v>0</v>
      </c>
      <c r="X635">
        <v>1</v>
      </c>
      <c r="Y635">
        <v>0.16</v>
      </c>
      <c r="Z635">
        <v>23</v>
      </c>
      <c r="AA635">
        <v>0</v>
      </c>
      <c r="AB635">
        <v>0</v>
      </c>
      <c r="AC635">
        <v>0</v>
      </c>
      <c r="AD635">
        <v>1</v>
      </c>
      <c r="AE635">
        <v>0.05</v>
      </c>
      <c r="AF635">
        <v>15</v>
      </c>
      <c r="AG635">
        <v>0</v>
      </c>
      <c r="AH635">
        <v>0</v>
      </c>
      <c r="AI635">
        <v>0</v>
      </c>
      <c r="AJ635">
        <v>1</v>
      </c>
      <c r="AK635">
        <v>0.02</v>
      </c>
      <c r="AL635">
        <v>16</v>
      </c>
      <c r="AM635">
        <v>0</v>
      </c>
      <c r="AN635">
        <v>0</v>
      </c>
      <c r="AO635">
        <v>0</v>
      </c>
      <c r="AP635">
        <v>1</v>
      </c>
      <c r="AQ635">
        <v>0.01</v>
      </c>
      <c r="AX635">
        <v>7</v>
      </c>
      <c r="AY635" s="1">
        <v>18</v>
      </c>
      <c r="AZ635">
        <v>0</v>
      </c>
      <c r="BA635">
        <v>0</v>
      </c>
      <c r="BB635">
        <v>1</v>
      </c>
      <c r="BC635" s="7">
        <v>0.32</v>
      </c>
      <c r="BD635">
        <v>30</v>
      </c>
      <c r="BE635">
        <v>0</v>
      </c>
      <c r="BF635">
        <v>0</v>
      </c>
      <c r="BG635">
        <v>0</v>
      </c>
      <c r="BH635">
        <v>5</v>
      </c>
      <c r="BI635">
        <v>2.4</v>
      </c>
      <c r="BJ635">
        <v>31</v>
      </c>
      <c r="BK635">
        <v>0</v>
      </c>
      <c r="BL635">
        <v>0</v>
      </c>
      <c r="BM635">
        <v>0</v>
      </c>
      <c r="BN635">
        <v>5</v>
      </c>
      <c r="BO635">
        <v>2.4</v>
      </c>
      <c r="BP635">
        <v>36</v>
      </c>
      <c r="BQ635">
        <v>0</v>
      </c>
      <c r="BR635">
        <v>0</v>
      </c>
      <c r="BS635">
        <v>0</v>
      </c>
      <c r="BT635">
        <v>5</v>
      </c>
      <c r="BU635">
        <v>2.2000000000000002</v>
      </c>
    </row>
    <row r="636" spans="1:73" x14ac:dyDescent="0.15">
      <c r="A636" s="11">
        <v>10733</v>
      </c>
      <c r="B636">
        <v>7</v>
      </c>
      <c r="C636" s="1">
        <v>47</v>
      </c>
      <c r="D636">
        <v>0</v>
      </c>
      <c r="E636">
        <v>0</v>
      </c>
      <c r="F636">
        <v>1</v>
      </c>
      <c r="G636" s="7">
        <v>0.05</v>
      </c>
      <c r="H636">
        <v>12</v>
      </c>
      <c r="I636">
        <v>0</v>
      </c>
      <c r="J636">
        <v>0</v>
      </c>
      <c r="K636">
        <v>0</v>
      </c>
      <c r="L636">
        <v>1</v>
      </c>
      <c r="M636">
        <v>2</v>
      </c>
      <c r="N636" s="7">
        <v>9</v>
      </c>
      <c r="O636" s="7">
        <v>0</v>
      </c>
      <c r="P636" s="7">
        <v>0</v>
      </c>
      <c r="Q636" s="7">
        <v>0</v>
      </c>
      <c r="R636" s="7">
        <v>1</v>
      </c>
      <c r="S636" s="7">
        <v>4.5</v>
      </c>
      <c r="T636">
        <v>7</v>
      </c>
      <c r="U636" s="1">
        <v>35</v>
      </c>
      <c r="V636">
        <v>0</v>
      </c>
      <c r="W636">
        <v>0</v>
      </c>
      <c r="X636">
        <v>1</v>
      </c>
      <c r="Y636">
        <v>0.16</v>
      </c>
      <c r="Z636">
        <v>23</v>
      </c>
      <c r="AA636">
        <v>0</v>
      </c>
      <c r="AB636">
        <v>0</v>
      </c>
      <c r="AC636">
        <v>0</v>
      </c>
      <c r="AD636">
        <v>1</v>
      </c>
      <c r="AE636">
        <v>0.05</v>
      </c>
      <c r="AF636">
        <v>15</v>
      </c>
      <c r="AG636">
        <v>0</v>
      </c>
      <c r="AH636">
        <v>0</v>
      </c>
      <c r="AI636">
        <v>0</v>
      </c>
      <c r="AJ636">
        <v>1</v>
      </c>
      <c r="AK636">
        <v>0.02</v>
      </c>
      <c r="AL636">
        <v>16</v>
      </c>
      <c r="AM636">
        <v>0</v>
      </c>
      <c r="AN636">
        <v>0</v>
      </c>
      <c r="AO636">
        <v>0</v>
      </c>
      <c r="AP636">
        <v>1</v>
      </c>
      <c r="AQ636">
        <v>0.01</v>
      </c>
      <c r="AX636">
        <v>7</v>
      </c>
      <c r="AY636" s="1">
        <v>19</v>
      </c>
      <c r="AZ636">
        <v>0</v>
      </c>
      <c r="BA636">
        <v>0</v>
      </c>
      <c r="BB636">
        <v>1</v>
      </c>
      <c r="BC636" s="7">
        <v>0.32</v>
      </c>
      <c r="BD636">
        <v>30</v>
      </c>
      <c r="BE636">
        <v>0</v>
      </c>
      <c r="BF636">
        <v>0</v>
      </c>
      <c r="BG636">
        <v>0</v>
      </c>
      <c r="BH636">
        <v>5</v>
      </c>
      <c r="BI636">
        <v>2.4</v>
      </c>
      <c r="BJ636">
        <v>31</v>
      </c>
      <c r="BK636">
        <v>0</v>
      </c>
      <c r="BL636">
        <v>0</v>
      </c>
      <c r="BM636">
        <v>0</v>
      </c>
      <c r="BN636">
        <v>5</v>
      </c>
      <c r="BO636">
        <v>2.4</v>
      </c>
      <c r="BP636">
        <v>36</v>
      </c>
      <c r="BQ636">
        <v>0</v>
      </c>
      <c r="BR636">
        <v>0</v>
      </c>
      <c r="BS636">
        <v>0</v>
      </c>
      <c r="BT636">
        <v>5</v>
      </c>
      <c r="BU636">
        <v>2.2000000000000002</v>
      </c>
    </row>
    <row r="637" spans="1:73" x14ac:dyDescent="0.15">
      <c r="A637" s="11">
        <v>10734</v>
      </c>
      <c r="B637">
        <v>7</v>
      </c>
      <c r="C637" s="1">
        <v>48</v>
      </c>
      <c r="D637">
        <v>0</v>
      </c>
      <c r="E637">
        <v>0</v>
      </c>
      <c r="F637">
        <v>1</v>
      </c>
      <c r="G637" s="7">
        <v>0.05</v>
      </c>
      <c r="H637">
        <v>12</v>
      </c>
      <c r="I637">
        <v>0</v>
      </c>
      <c r="J637">
        <v>0</v>
      </c>
      <c r="K637">
        <v>0</v>
      </c>
      <c r="L637">
        <v>1</v>
      </c>
      <c r="M637">
        <v>2</v>
      </c>
      <c r="N637" s="7">
        <v>9</v>
      </c>
      <c r="O637" s="7">
        <v>0</v>
      </c>
      <c r="P637" s="7">
        <v>0</v>
      </c>
      <c r="Q637" s="7">
        <v>0</v>
      </c>
      <c r="R637" s="7">
        <v>1</v>
      </c>
      <c r="S637" s="7">
        <v>4.5</v>
      </c>
      <c r="T637">
        <v>7</v>
      </c>
      <c r="U637" s="1">
        <v>36</v>
      </c>
      <c r="V637">
        <v>0</v>
      </c>
      <c r="W637">
        <v>0</v>
      </c>
      <c r="X637">
        <v>1</v>
      </c>
      <c r="Y637">
        <v>0.16</v>
      </c>
      <c r="Z637">
        <v>23</v>
      </c>
      <c r="AA637">
        <v>0</v>
      </c>
      <c r="AB637">
        <v>0</v>
      </c>
      <c r="AC637">
        <v>0</v>
      </c>
      <c r="AD637">
        <v>1</v>
      </c>
      <c r="AE637">
        <v>0.05</v>
      </c>
      <c r="AF637">
        <v>15</v>
      </c>
      <c r="AG637">
        <v>0</v>
      </c>
      <c r="AH637">
        <v>0</v>
      </c>
      <c r="AI637">
        <v>0</v>
      </c>
      <c r="AJ637">
        <v>1</v>
      </c>
      <c r="AK637">
        <v>0.02</v>
      </c>
      <c r="AL637">
        <v>16</v>
      </c>
      <c r="AM637">
        <v>0</v>
      </c>
      <c r="AN637">
        <v>0</v>
      </c>
      <c r="AO637">
        <v>0</v>
      </c>
      <c r="AP637">
        <v>1</v>
      </c>
      <c r="AQ637">
        <v>0.01</v>
      </c>
      <c r="AX637">
        <v>7</v>
      </c>
      <c r="AY637" s="1">
        <v>20</v>
      </c>
      <c r="AZ637">
        <v>0</v>
      </c>
      <c r="BA637">
        <v>0</v>
      </c>
      <c r="BB637">
        <v>1</v>
      </c>
      <c r="BC637" s="7">
        <v>0.32</v>
      </c>
      <c r="BD637">
        <v>30</v>
      </c>
      <c r="BE637">
        <v>0</v>
      </c>
      <c r="BF637">
        <v>0</v>
      </c>
      <c r="BG637">
        <v>0</v>
      </c>
      <c r="BH637">
        <v>5</v>
      </c>
      <c r="BI637">
        <v>2.4</v>
      </c>
      <c r="BJ637">
        <v>31</v>
      </c>
      <c r="BK637">
        <v>0</v>
      </c>
      <c r="BL637">
        <v>0</v>
      </c>
      <c r="BM637">
        <v>0</v>
      </c>
      <c r="BN637">
        <v>5</v>
      </c>
      <c r="BO637">
        <v>2.4</v>
      </c>
      <c r="BP637">
        <v>36</v>
      </c>
      <c r="BQ637">
        <v>0</v>
      </c>
      <c r="BR637">
        <v>0</v>
      </c>
      <c r="BS637">
        <v>0</v>
      </c>
      <c r="BT637">
        <v>5</v>
      </c>
      <c r="BU637">
        <v>2.2000000000000002</v>
      </c>
    </row>
    <row r="638" spans="1:73" x14ac:dyDescent="0.15">
      <c r="A638" s="11">
        <v>10735</v>
      </c>
      <c r="B638">
        <v>7</v>
      </c>
      <c r="C638" s="1">
        <v>0</v>
      </c>
      <c r="D638">
        <v>5</v>
      </c>
      <c r="E638">
        <v>1</v>
      </c>
      <c r="F638">
        <v>1</v>
      </c>
      <c r="G638" s="7">
        <v>0.05</v>
      </c>
      <c r="H638">
        <v>12</v>
      </c>
      <c r="I638">
        <v>0</v>
      </c>
      <c r="J638">
        <v>0</v>
      </c>
      <c r="K638">
        <v>0</v>
      </c>
      <c r="L638">
        <v>1</v>
      </c>
      <c r="M638">
        <v>2</v>
      </c>
      <c r="N638" s="7">
        <v>9</v>
      </c>
      <c r="O638" s="7">
        <v>0</v>
      </c>
      <c r="P638" s="7">
        <v>0</v>
      </c>
      <c r="Q638" s="7">
        <v>0</v>
      </c>
      <c r="R638" s="7">
        <v>1</v>
      </c>
      <c r="S638" s="7">
        <v>4.5</v>
      </c>
      <c r="T638">
        <v>7</v>
      </c>
      <c r="U638" s="1">
        <v>0</v>
      </c>
      <c r="V638">
        <v>4</v>
      </c>
      <c r="W638">
        <v>2</v>
      </c>
      <c r="X638">
        <v>1</v>
      </c>
      <c r="Y638">
        <v>0.16</v>
      </c>
      <c r="Z638">
        <v>23</v>
      </c>
      <c r="AA638">
        <v>0</v>
      </c>
      <c r="AB638">
        <v>0</v>
      </c>
      <c r="AC638">
        <v>0</v>
      </c>
      <c r="AD638">
        <v>1</v>
      </c>
      <c r="AE638">
        <v>0.05</v>
      </c>
      <c r="AF638">
        <v>15</v>
      </c>
      <c r="AG638">
        <v>0</v>
      </c>
      <c r="AH638">
        <v>0</v>
      </c>
      <c r="AI638">
        <v>0</v>
      </c>
      <c r="AJ638">
        <v>1</v>
      </c>
      <c r="AK638">
        <v>0.02</v>
      </c>
      <c r="AL638">
        <v>16</v>
      </c>
      <c r="AM638">
        <v>0</v>
      </c>
      <c r="AN638">
        <v>0</v>
      </c>
      <c r="AO638">
        <v>0</v>
      </c>
      <c r="AP638">
        <v>1</v>
      </c>
      <c r="AQ638">
        <v>0.01</v>
      </c>
      <c r="AR638">
        <v>6</v>
      </c>
      <c r="AS638">
        <v>2</v>
      </c>
      <c r="AT638">
        <v>2</v>
      </c>
      <c r="AU638">
        <v>5</v>
      </c>
      <c r="AV638">
        <v>1</v>
      </c>
      <c r="AW638">
        <v>0.05</v>
      </c>
      <c r="AX638">
        <v>7</v>
      </c>
      <c r="AY638" s="1">
        <v>0</v>
      </c>
      <c r="AZ638">
        <v>3</v>
      </c>
      <c r="BA638">
        <v>1</v>
      </c>
      <c r="BB638">
        <v>1</v>
      </c>
      <c r="BC638" s="7">
        <v>0.32</v>
      </c>
      <c r="BD638">
        <v>30</v>
      </c>
      <c r="BE638">
        <v>0</v>
      </c>
      <c r="BF638">
        <v>0</v>
      </c>
      <c r="BG638">
        <v>0</v>
      </c>
      <c r="BH638">
        <v>5</v>
      </c>
      <c r="BI638">
        <v>2.4</v>
      </c>
      <c r="BJ638">
        <v>31</v>
      </c>
      <c r="BK638">
        <v>0</v>
      </c>
      <c r="BL638">
        <v>0</v>
      </c>
      <c r="BM638">
        <v>0</v>
      </c>
      <c r="BN638">
        <v>5</v>
      </c>
      <c r="BO638">
        <v>2.4</v>
      </c>
      <c r="BP638">
        <v>36</v>
      </c>
      <c r="BQ638">
        <v>0</v>
      </c>
      <c r="BR638">
        <v>0</v>
      </c>
      <c r="BS638">
        <v>0</v>
      </c>
      <c r="BT638">
        <v>5</v>
      </c>
      <c r="BU638">
        <v>2.2000000000000002</v>
      </c>
    </row>
    <row r="639" spans="1:73" x14ac:dyDescent="0.15">
      <c r="A639" s="11">
        <v>10736</v>
      </c>
      <c r="B639">
        <v>7</v>
      </c>
      <c r="C639" s="1">
        <v>45</v>
      </c>
      <c r="D639">
        <v>0</v>
      </c>
      <c r="E639">
        <v>0</v>
      </c>
      <c r="F639">
        <v>1</v>
      </c>
      <c r="G639" s="7">
        <v>0.05</v>
      </c>
      <c r="H639">
        <v>12</v>
      </c>
      <c r="I639">
        <v>0</v>
      </c>
      <c r="J639">
        <v>0</v>
      </c>
      <c r="K639">
        <v>0</v>
      </c>
      <c r="L639">
        <v>1</v>
      </c>
      <c r="M639">
        <v>2</v>
      </c>
      <c r="N639" s="7">
        <v>9</v>
      </c>
      <c r="O639" s="7">
        <v>0</v>
      </c>
      <c r="P639" s="7">
        <v>0</v>
      </c>
      <c r="Q639" s="7">
        <v>0</v>
      </c>
      <c r="R639" s="7">
        <v>1</v>
      </c>
      <c r="S639" s="7">
        <v>4.5</v>
      </c>
      <c r="T639">
        <v>7</v>
      </c>
      <c r="U639" s="1">
        <v>33</v>
      </c>
      <c r="V639">
        <v>0</v>
      </c>
      <c r="W639">
        <v>0</v>
      </c>
      <c r="X639">
        <v>1</v>
      </c>
      <c r="Y639">
        <v>0.16</v>
      </c>
      <c r="Z639">
        <v>23</v>
      </c>
      <c r="AA639">
        <v>0</v>
      </c>
      <c r="AB639">
        <v>0</v>
      </c>
      <c r="AC639">
        <v>0</v>
      </c>
      <c r="AD639">
        <v>1</v>
      </c>
      <c r="AE639">
        <v>0.05</v>
      </c>
      <c r="AF639">
        <v>15</v>
      </c>
      <c r="AG639">
        <v>0</v>
      </c>
      <c r="AH639">
        <v>0</v>
      </c>
      <c r="AI639">
        <v>0</v>
      </c>
      <c r="AJ639">
        <v>1</v>
      </c>
      <c r="AK639">
        <v>0.02</v>
      </c>
      <c r="AL639">
        <v>16</v>
      </c>
      <c r="AM639">
        <v>0</v>
      </c>
      <c r="AN639">
        <v>0</v>
      </c>
      <c r="AO639">
        <v>0</v>
      </c>
      <c r="AP639">
        <v>1</v>
      </c>
      <c r="AQ639">
        <v>0.01</v>
      </c>
      <c r="AX639">
        <v>7</v>
      </c>
      <c r="AY639" s="1">
        <v>17</v>
      </c>
      <c r="AZ639">
        <v>0</v>
      </c>
      <c r="BA639">
        <v>0</v>
      </c>
      <c r="BB639">
        <v>1</v>
      </c>
      <c r="BC639" s="7">
        <v>0.32</v>
      </c>
      <c r="BD639">
        <v>30</v>
      </c>
      <c r="BE639">
        <v>0</v>
      </c>
      <c r="BF639">
        <v>0</v>
      </c>
      <c r="BG639">
        <v>0</v>
      </c>
      <c r="BH639">
        <v>5</v>
      </c>
      <c r="BI639">
        <v>2.4</v>
      </c>
      <c r="BJ639">
        <v>31</v>
      </c>
      <c r="BK639">
        <v>0</v>
      </c>
      <c r="BL639">
        <v>0</v>
      </c>
      <c r="BM639">
        <v>0</v>
      </c>
      <c r="BN639">
        <v>5</v>
      </c>
      <c r="BO639">
        <v>2.4</v>
      </c>
      <c r="BP639">
        <v>36</v>
      </c>
      <c r="BQ639">
        <v>0</v>
      </c>
      <c r="BR639">
        <v>0</v>
      </c>
      <c r="BS639">
        <v>0</v>
      </c>
      <c r="BT639">
        <v>5</v>
      </c>
      <c r="BU639">
        <v>2.2000000000000002</v>
      </c>
    </row>
    <row r="640" spans="1:73" x14ac:dyDescent="0.15">
      <c r="A640" s="11">
        <v>10737</v>
      </c>
      <c r="B640">
        <v>7</v>
      </c>
      <c r="C640" s="1">
        <v>46</v>
      </c>
      <c r="D640">
        <v>0</v>
      </c>
      <c r="E640">
        <v>0</v>
      </c>
      <c r="F640">
        <v>1</v>
      </c>
      <c r="G640" s="7">
        <v>0.05</v>
      </c>
      <c r="H640">
        <v>12</v>
      </c>
      <c r="I640">
        <v>0</v>
      </c>
      <c r="J640">
        <v>0</v>
      </c>
      <c r="K640">
        <v>0</v>
      </c>
      <c r="L640">
        <v>1</v>
      </c>
      <c r="M640">
        <v>2</v>
      </c>
      <c r="N640" s="7">
        <v>9</v>
      </c>
      <c r="O640" s="7">
        <v>0</v>
      </c>
      <c r="P640" s="7">
        <v>0</v>
      </c>
      <c r="Q640" s="7">
        <v>0</v>
      </c>
      <c r="R640" s="7">
        <v>1</v>
      </c>
      <c r="S640" s="7">
        <v>4.5</v>
      </c>
      <c r="T640">
        <v>7</v>
      </c>
      <c r="U640" s="1">
        <v>34</v>
      </c>
      <c r="V640">
        <v>0</v>
      </c>
      <c r="W640">
        <v>0</v>
      </c>
      <c r="X640">
        <v>1</v>
      </c>
      <c r="Y640">
        <v>0.16</v>
      </c>
      <c r="Z640">
        <v>23</v>
      </c>
      <c r="AA640">
        <v>0</v>
      </c>
      <c r="AB640">
        <v>0</v>
      </c>
      <c r="AC640">
        <v>0</v>
      </c>
      <c r="AD640">
        <v>1</v>
      </c>
      <c r="AE640">
        <v>0.05</v>
      </c>
      <c r="AF640">
        <v>15</v>
      </c>
      <c r="AG640">
        <v>0</v>
      </c>
      <c r="AH640">
        <v>0</v>
      </c>
      <c r="AI640">
        <v>0</v>
      </c>
      <c r="AJ640">
        <v>1</v>
      </c>
      <c r="AK640">
        <v>0.02</v>
      </c>
      <c r="AL640">
        <v>16</v>
      </c>
      <c r="AM640">
        <v>0</v>
      </c>
      <c r="AN640">
        <v>0</v>
      </c>
      <c r="AO640">
        <v>0</v>
      </c>
      <c r="AP640">
        <v>1</v>
      </c>
      <c r="AQ640">
        <v>0.01</v>
      </c>
      <c r="AX640">
        <v>7</v>
      </c>
      <c r="AY640" s="1">
        <v>18</v>
      </c>
      <c r="AZ640">
        <v>0</v>
      </c>
      <c r="BA640">
        <v>0</v>
      </c>
      <c r="BB640">
        <v>1</v>
      </c>
      <c r="BC640" s="7">
        <v>0.32</v>
      </c>
      <c r="BD640">
        <v>30</v>
      </c>
      <c r="BE640">
        <v>0</v>
      </c>
      <c r="BF640">
        <v>0</v>
      </c>
      <c r="BG640">
        <v>0</v>
      </c>
      <c r="BH640">
        <v>5</v>
      </c>
      <c r="BI640">
        <v>2.4</v>
      </c>
      <c r="BJ640">
        <v>31</v>
      </c>
      <c r="BK640">
        <v>0</v>
      </c>
      <c r="BL640">
        <v>0</v>
      </c>
      <c r="BM640">
        <v>0</v>
      </c>
      <c r="BN640">
        <v>5</v>
      </c>
      <c r="BO640">
        <v>2.4</v>
      </c>
      <c r="BP640">
        <v>36</v>
      </c>
      <c r="BQ640">
        <v>0</v>
      </c>
      <c r="BR640">
        <v>0</v>
      </c>
      <c r="BS640">
        <v>0</v>
      </c>
      <c r="BT640">
        <v>5</v>
      </c>
      <c r="BU640">
        <v>2.2000000000000002</v>
      </c>
    </row>
    <row r="641" spans="1:73" x14ac:dyDescent="0.15">
      <c r="A641" s="11">
        <v>10738</v>
      </c>
      <c r="B641">
        <v>7</v>
      </c>
      <c r="C641" s="1">
        <v>47</v>
      </c>
      <c r="D641">
        <v>0</v>
      </c>
      <c r="E641">
        <v>0</v>
      </c>
      <c r="F641">
        <v>1</v>
      </c>
      <c r="G641" s="7">
        <v>0.05</v>
      </c>
      <c r="H641">
        <v>12</v>
      </c>
      <c r="I641">
        <v>0</v>
      </c>
      <c r="J641">
        <v>0</v>
      </c>
      <c r="K641">
        <v>0</v>
      </c>
      <c r="L641">
        <v>1</v>
      </c>
      <c r="M641">
        <v>2</v>
      </c>
      <c r="N641" s="7">
        <v>9</v>
      </c>
      <c r="O641" s="7">
        <v>0</v>
      </c>
      <c r="P641" s="7">
        <v>0</v>
      </c>
      <c r="Q641" s="7">
        <v>0</v>
      </c>
      <c r="R641" s="7">
        <v>1</v>
      </c>
      <c r="S641" s="7">
        <v>4.5</v>
      </c>
      <c r="T641">
        <v>7</v>
      </c>
      <c r="U641" s="1">
        <v>35</v>
      </c>
      <c r="V641">
        <v>0</v>
      </c>
      <c r="W641">
        <v>0</v>
      </c>
      <c r="X641">
        <v>1</v>
      </c>
      <c r="Y641">
        <v>0.16</v>
      </c>
      <c r="Z641">
        <v>23</v>
      </c>
      <c r="AA641">
        <v>0</v>
      </c>
      <c r="AB641">
        <v>0</v>
      </c>
      <c r="AC641">
        <v>0</v>
      </c>
      <c r="AD641">
        <v>1</v>
      </c>
      <c r="AE641">
        <v>0.05</v>
      </c>
      <c r="AF641">
        <v>15</v>
      </c>
      <c r="AG641">
        <v>0</v>
      </c>
      <c r="AH641">
        <v>0</v>
      </c>
      <c r="AI641">
        <v>0</v>
      </c>
      <c r="AJ641">
        <v>1</v>
      </c>
      <c r="AK641">
        <v>0.02</v>
      </c>
      <c r="AL641">
        <v>16</v>
      </c>
      <c r="AM641">
        <v>0</v>
      </c>
      <c r="AN641">
        <v>0</v>
      </c>
      <c r="AO641">
        <v>0</v>
      </c>
      <c r="AP641">
        <v>1</v>
      </c>
      <c r="AQ641">
        <v>0.01</v>
      </c>
      <c r="AX641">
        <v>7</v>
      </c>
      <c r="AY641" s="1">
        <v>19</v>
      </c>
      <c r="AZ641">
        <v>0</v>
      </c>
      <c r="BA641">
        <v>0</v>
      </c>
      <c r="BB641">
        <v>1</v>
      </c>
      <c r="BC641" s="7">
        <v>0.32</v>
      </c>
      <c r="BD641">
        <v>30</v>
      </c>
      <c r="BE641">
        <v>0</v>
      </c>
      <c r="BF641">
        <v>0</v>
      </c>
      <c r="BG641">
        <v>0</v>
      </c>
      <c r="BH641">
        <v>5</v>
      </c>
      <c r="BI641">
        <v>2.4</v>
      </c>
      <c r="BJ641">
        <v>31</v>
      </c>
      <c r="BK641">
        <v>0</v>
      </c>
      <c r="BL641">
        <v>0</v>
      </c>
      <c r="BM641">
        <v>0</v>
      </c>
      <c r="BN641">
        <v>5</v>
      </c>
      <c r="BO641">
        <v>2.4</v>
      </c>
      <c r="BP641">
        <v>36</v>
      </c>
      <c r="BQ641">
        <v>0</v>
      </c>
      <c r="BR641">
        <v>0</v>
      </c>
      <c r="BS641">
        <v>0</v>
      </c>
      <c r="BT641">
        <v>5</v>
      </c>
      <c r="BU641">
        <v>2.2000000000000002</v>
      </c>
    </row>
    <row r="642" spans="1:73" x14ac:dyDescent="0.15">
      <c r="A642" s="11">
        <v>10739</v>
      </c>
      <c r="B642">
        <v>7</v>
      </c>
      <c r="C642" s="1">
        <v>48</v>
      </c>
      <c r="D642">
        <v>0</v>
      </c>
      <c r="E642">
        <v>0</v>
      </c>
      <c r="F642">
        <v>1</v>
      </c>
      <c r="G642" s="7">
        <v>0.05</v>
      </c>
      <c r="H642">
        <v>12</v>
      </c>
      <c r="I642">
        <v>0</v>
      </c>
      <c r="J642">
        <v>0</v>
      </c>
      <c r="K642">
        <v>0</v>
      </c>
      <c r="L642">
        <v>1</v>
      </c>
      <c r="M642">
        <v>2</v>
      </c>
      <c r="N642" s="7">
        <v>9</v>
      </c>
      <c r="O642" s="7">
        <v>0</v>
      </c>
      <c r="P642" s="7">
        <v>0</v>
      </c>
      <c r="Q642" s="7">
        <v>0</v>
      </c>
      <c r="R642" s="7">
        <v>1</v>
      </c>
      <c r="S642" s="7">
        <v>4.5</v>
      </c>
      <c r="T642">
        <v>7</v>
      </c>
      <c r="U642" s="1">
        <v>36</v>
      </c>
      <c r="V642">
        <v>0</v>
      </c>
      <c r="W642">
        <v>0</v>
      </c>
      <c r="X642">
        <v>1</v>
      </c>
      <c r="Y642">
        <v>0.16</v>
      </c>
      <c r="Z642">
        <v>23</v>
      </c>
      <c r="AA642">
        <v>0</v>
      </c>
      <c r="AB642">
        <v>0</v>
      </c>
      <c r="AC642">
        <v>0</v>
      </c>
      <c r="AD642">
        <v>1</v>
      </c>
      <c r="AE642">
        <v>0.05</v>
      </c>
      <c r="AF642">
        <v>15</v>
      </c>
      <c r="AG642">
        <v>0</v>
      </c>
      <c r="AH642">
        <v>0</v>
      </c>
      <c r="AI642">
        <v>0</v>
      </c>
      <c r="AJ642">
        <v>1</v>
      </c>
      <c r="AK642">
        <v>0.02</v>
      </c>
      <c r="AL642">
        <v>16</v>
      </c>
      <c r="AM642">
        <v>0</v>
      </c>
      <c r="AN642">
        <v>0</v>
      </c>
      <c r="AO642">
        <v>0</v>
      </c>
      <c r="AP642">
        <v>1</v>
      </c>
      <c r="AQ642">
        <v>0.01</v>
      </c>
      <c r="AX642">
        <v>7</v>
      </c>
      <c r="AY642" s="1">
        <v>20</v>
      </c>
      <c r="AZ642">
        <v>0</v>
      </c>
      <c r="BA642">
        <v>0</v>
      </c>
      <c r="BB642">
        <v>1</v>
      </c>
      <c r="BC642" s="7">
        <v>0.32</v>
      </c>
      <c r="BD642">
        <v>30</v>
      </c>
      <c r="BE642">
        <v>0</v>
      </c>
      <c r="BF642">
        <v>0</v>
      </c>
      <c r="BG642">
        <v>0</v>
      </c>
      <c r="BH642">
        <v>5</v>
      </c>
      <c r="BI642">
        <v>2.4</v>
      </c>
      <c r="BJ642">
        <v>31</v>
      </c>
      <c r="BK642">
        <v>0</v>
      </c>
      <c r="BL642">
        <v>0</v>
      </c>
      <c r="BM642">
        <v>0</v>
      </c>
      <c r="BN642">
        <v>5</v>
      </c>
      <c r="BO642">
        <v>2.4</v>
      </c>
      <c r="BP642">
        <v>36</v>
      </c>
      <c r="BQ642">
        <v>0</v>
      </c>
      <c r="BR642">
        <v>0</v>
      </c>
      <c r="BS642">
        <v>0</v>
      </c>
      <c r="BT642">
        <v>5</v>
      </c>
      <c r="BU642">
        <v>2.2000000000000002</v>
      </c>
    </row>
    <row r="643" spans="1:73" x14ac:dyDescent="0.15">
      <c r="A643" s="11">
        <v>10740</v>
      </c>
      <c r="B643">
        <v>7</v>
      </c>
      <c r="C643" s="1">
        <v>0</v>
      </c>
      <c r="D643">
        <v>5</v>
      </c>
      <c r="E643">
        <v>1</v>
      </c>
      <c r="F643">
        <v>1</v>
      </c>
      <c r="G643" s="7">
        <v>0.05</v>
      </c>
      <c r="H643">
        <v>12</v>
      </c>
      <c r="I643">
        <v>0</v>
      </c>
      <c r="J643">
        <v>0</v>
      </c>
      <c r="K643">
        <v>0</v>
      </c>
      <c r="L643">
        <v>1</v>
      </c>
      <c r="M643">
        <v>2</v>
      </c>
      <c r="N643" s="7">
        <v>9</v>
      </c>
      <c r="O643" s="7">
        <v>0</v>
      </c>
      <c r="P643" s="7">
        <v>0</v>
      </c>
      <c r="Q643" s="7">
        <v>0</v>
      </c>
      <c r="R643" s="7">
        <v>1</v>
      </c>
      <c r="S643" s="7">
        <v>4.5</v>
      </c>
      <c r="T643">
        <v>7</v>
      </c>
      <c r="U643" s="1">
        <v>0</v>
      </c>
      <c r="V643">
        <v>4</v>
      </c>
      <c r="W643">
        <v>2</v>
      </c>
      <c r="X643">
        <v>1</v>
      </c>
      <c r="Y643">
        <v>0.16</v>
      </c>
      <c r="Z643">
        <v>23</v>
      </c>
      <c r="AA643">
        <v>0</v>
      </c>
      <c r="AB643">
        <v>0</v>
      </c>
      <c r="AC643">
        <v>0</v>
      </c>
      <c r="AD643">
        <v>1</v>
      </c>
      <c r="AE643">
        <v>0.05</v>
      </c>
      <c r="AF643">
        <v>15</v>
      </c>
      <c r="AG643">
        <v>0</v>
      </c>
      <c r="AH643">
        <v>0</v>
      </c>
      <c r="AI643">
        <v>0</v>
      </c>
      <c r="AJ643">
        <v>1</v>
      </c>
      <c r="AK643">
        <v>0.02</v>
      </c>
      <c r="AL643">
        <v>16</v>
      </c>
      <c r="AM643">
        <v>0</v>
      </c>
      <c r="AN643">
        <v>0</v>
      </c>
      <c r="AO643">
        <v>0</v>
      </c>
      <c r="AP643">
        <v>1</v>
      </c>
      <c r="AQ643">
        <v>0.01</v>
      </c>
      <c r="AR643">
        <v>6</v>
      </c>
      <c r="AS643">
        <v>2</v>
      </c>
      <c r="AT643">
        <v>3</v>
      </c>
      <c r="AU643">
        <v>5</v>
      </c>
      <c r="AV643">
        <v>1</v>
      </c>
      <c r="AW643">
        <v>0.05</v>
      </c>
      <c r="AX643">
        <v>7</v>
      </c>
      <c r="AY643" s="1">
        <v>0</v>
      </c>
      <c r="AZ643">
        <v>3</v>
      </c>
      <c r="BA643">
        <v>1</v>
      </c>
      <c r="BB643">
        <v>1</v>
      </c>
      <c r="BC643" s="7">
        <v>0.32</v>
      </c>
      <c r="BD643">
        <v>30</v>
      </c>
      <c r="BE643">
        <v>0</v>
      </c>
      <c r="BF643">
        <v>0</v>
      </c>
      <c r="BG643">
        <v>0</v>
      </c>
      <c r="BH643">
        <v>5</v>
      </c>
      <c r="BI643">
        <v>2.4</v>
      </c>
      <c r="BJ643">
        <v>31</v>
      </c>
      <c r="BK643">
        <v>0</v>
      </c>
      <c r="BL643">
        <v>0</v>
      </c>
      <c r="BM643">
        <v>0</v>
      </c>
      <c r="BN643">
        <v>5</v>
      </c>
      <c r="BO643">
        <v>2.4</v>
      </c>
      <c r="BP643">
        <v>36</v>
      </c>
      <c r="BQ643">
        <v>0</v>
      </c>
      <c r="BR643">
        <v>0</v>
      </c>
      <c r="BS643">
        <v>0</v>
      </c>
      <c r="BT643">
        <v>5</v>
      </c>
      <c r="BU643">
        <v>2.2000000000000002</v>
      </c>
    </row>
    <row r="644" spans="1:73" x14ac:dyDescent="0.15">
      <c r="A644" s="11">
        <v>10741</v>
      </c>
      <c r="B644">
        <v>7</v>
      </c>
      <c r="C644" s="1">
        <v>45</v>
      </c>
      <c r="D644">
        <v>0</v>
      </c>
      <c r="E644">
        <v>0</v>
      </c>
      <c r="F644">
        <v>1</v>
      </c>
      <c r="G644" s="7">
        <v>0.05</v>
      </c>
      <c r="H644">
        <v>12</v>
      </c>
      <c r="I644">
        <v>0</v>
      </c>
      <c r="J644">
        <v>0</v>
      </c>
      <c r="K644">
        <v>0</v>
      </c>
      <c r="L644">
        <v>1</v>
      </c>
      <c r="M644">
        <v>2</v>
      </c>
      <c r="N644" s="7">
        <v>9</v>
      </c>
      <c r="O644" s="7">
        <v>0</v>
      </c>
      <c r="P644" s="7">
        <v>0</v>
      </c>
      <c r="Q644" s="7">
        <v>0</v>
      </c>
      <c r="R644" s="7">
        <v>1</v>
      </c>
      <c r="S644" s="7">
        <v>4.5</v>
      </c>
      <c r="T644">
        <v>7</v>
      </c>
      <c r="U644" s="1">
        <v>33</v>
      </c>
      <c r="V644">
        <v>0</v>
      </c>
      <c r="W644">
        <v>0</v>
      </c>
      <c r="X644">
        <v>1</v>
      </c>
      <c r="Y644">
        <v>0.16</v>
      </c>
      <c r="Z644">
        <v>23</v>
      </c>
      <c r="AA644">
        <v>0</v>
      </c>
      <c r="AB644">
        <v>0</v>
      </c>
      <c r="AC644">
        <v>0</v>
      </c>
      <c r="AD644">
        <v>1</v>
      </c>
      <c r="AE644">
        <v>0.05</v>
      </c>
      <c r="AF644">
        <v>15</v>
      </c>
      <c r="AG644">
        <v>0</v>
      </c>
      <c r="AH644">
        <v>0</v>
      </c>
      <c r="AI644">
        <v>0</v>
      </c>
      <c r="AJ644">
        <v>1</v>
      </c>
      <c r="AK644">
        <v>0.02</v>
      </c>
      <c r="AL644">
        <v>16</v>
      </c>
      <c r="AM644">
        <v>0</v>
      </c>
      <c r="AN644">
        <v>0</v>
      </c>
      <c r="AO644">
        <v>0</v>
      </c>
      <c r="AP644">
        <v>1</v>
      </c>
      <c r="AQ644">
        <v>0.01</v>
      </c>
      <c r="AX644">
        <v>7</v>
      </c>
      <c r="AY644" s="1">
        <v>17</v>
      </c>
      <c r="AZ644">
        <v>0</v>
      </c>
      <c r="BA644">
        <v>0</v>
      </c>
      <c r="BB644">
        <v>1</v>
      </c>
      <c r="BC644" s="7">
        <v>0.32</v>
      </c>
      <c r="BD644">
        <v>30</v>
      </c>
      <c r="BE644">
        <v>0</v>
      </c>
      <c r="BF644">
        <v>0</v>
      </c>
      <c r="BG644">
        <v>0</v>
      </c>
      <c r="BH644">
        <v>5</v>
      </c>
      <c r="BI644">
        <v>2.4</v>
      </c>
      <c r="BJ644">
        <v>31</v>
      </c>
      <c r="BK644">
        <v>0</v>
      </c>
      <c r="BL644">
        <v>0</v>
      </c>
      <c r="BM644">
        <v>0</v>
      </c>
      <c r="BN644">
        <v>5</v>
      </c>
      <c r="BO644">
        <v>2.4</v>
      </c>
      <c r="BP644">
        <v>36</v>
      </c>
      <c r="BQ644">
        <v>0</v>
      </c>
      <c r="BR644">
        <v>0</v>
      </c>
      <c r="BS644">
        <v>0</v>
      </c>
      <c r="BT644">
        <v>5</v>
      </c>
      <c r="BU644">
        <v>2.2000000000000002</v>
      </c>
    </row>
    <row r="645" spans="1:73" x14ac:dyDescent="0.15">
      <c r="A645" s="11">
        <v>10742</v>
      </c>
      <c r="B645">
        <v>7</v>
      </c>
      <c r="C645" s="1">
        <v>46</v>
      </c>
      <c r="D645">
        <v>0</v>
      </c>
      <c r="E645">
        <v>0</v>
      </c>
      <c r="F645">
        <v>1</v>
      </c>
      <c r="G645" s="7">
        <v>0.05</v>
      </c>
      <c r="H645">
        <v>12</v>
      </c>
      <c r="I645">
        <v>0</v>
      </c>
      <c r="J645">
        <v>0</v>
      </c>
      <c r="K645">
        <v>0</v>
      </c>
      <c r="L645">
        <v>1</v>
      </c>
      <c r="M645">
        <v>2</v>
      </c>
      <c r="N645" s="7">
        <v>9</v>
      </c>
      <c r="O645" s="7">
        <v>0</v>
      </c>
      <c r="P645" s="7">
        <v>0</v>
      </c>
      <c r="Q645" s="7">
        <v>0</v>
      </c>
      <c r="R645" s="7">
        <v>1</v>
      </c>
      <c r="S645" s="7">
        <v>4.5</v>
      </c>
      <c r="T645">
        <v>7</v>
      </c>
      <c r="U645" s="1">
        <v>34</v>
      </c>
      <c r="V645">
        <v>0</v>
      </c>
      <c r="W645">
        <v>0</v>
      </c>
      <c r="X645">
        <v>1</v>
      </c>
      <c r="Y645">
        <v>0.16</v>
      </c>
      <c r="Z645">
        <v>23</v>
      </c>
      <c r="AA645">
        <v>0</v>
      </c>
      <c r="AB645">
        <v>0</v>
      </c>
      <c r="AC645">
        <v>0</v>
      </c>
      <c r="AD645">
        <v>1</v>
      </c>
      <c r="AE645">
        <v>0.05</v>
      </c>
      <c r="AF645">
        <v>15</v>
      </c>
      <c r="AG645">
        <v>0</v>
      </c>
      <c r="AH645">
        <v>0</v>
      </c>
      <c r="AI645">
        <v>0</v>
      </c>
      <c r="AJ645">
        <v>1</v>
      </c>
      <c r="AK645">
        <v>0.02</v>
      </c>
      <c r="AL645">
        <v>16</v>
      </c>
      <c r="AM645">
        <v>0</v>
      </c>
      <c r="AN645">
        <v>0</v>
      </c>
      <c r="AO645">
        <v>0</v>
      </c>
      <c r="AP645">
        <v>1</v>
      </c>
      <c r="AQ645">
        <v>0.01</v>
      </c>
      <c r="AX645">
        <v>7</v>
      </c>
      <c r="AY645" s="1">
        <v>18</v>
      </c>
      <c r="AZ645">
        <v>0</v>
      </c>
      <c r="BA645">
        <v>0</v>
      </c>
      <c r="BB645">
        <v>1</v>
      </c>
      <c r="BC645" s="7">
        <v>0.32</v>
      </c>
      <c r="BD645">
        <v>30</v>
      </c>
      <c r="BE645">
        <v>0</v>
      </c>
      <c r="BF645">
        <v>0</v>
      </c>
      <c r="BG645">
        <v>0</v>
      </c>
      <c r="BH645">
        <v>5</v>
      </c>
      <c r="BI645">
        <v>2.4</v>
      </c>
      <c r="BJ645">
        <v>31</v>
      </c>
      <c r="BK645">
        <v>0</v>
      </c>
      <c r="BL645">
        <v>0</v>
      </c>
      <c r="BM645">
        <v>0</v>
      </c>
      <c r="BN645">
        <v>5</v>
      </c>
      <c r="BO645">
        <v>2.4</v>
      </c>
      <c r="BP645">
        <v>36</v>
      </c>
      <c r="BQ645">
        <v>0</v>
      </c>
      <c r="BR645">
        <v>0</v>
      </c>
      <c r="BS645">
        <v>0</v>
      </c>
      <c r="BT645">
        <v>5</v>
      </c>
      <c r="BU645">
        <v>2.2000000000000002</v>
      </c>
    </row>
    <row r="646" spans="1:73" x14ac:dyDescent="0.15">
      <c r="A646" s="11">
        <v>10743</v>
      </c>
      <c r="B646">
        <v>7</v>
      </c>
      <c r="C646" s="1">
        <v>47</v>
      </c>
      <c r="D646">
        <v>0</v>
      </c>
      <c r="E646">
        <v>0</v>
      </c>
      <c r="F646">
        <v>1</v>
      </c>
      <c r="G646" s="7">
        <v>0.05</v>
      </c>
      <c r="H646">
        <v>12</v>
      </c>
      <c r="I646">
        <v>0</v>
      </c>
      <c r="J646">
        <v>0</v>
      </c>
      <c r="K646">
        <v>0</v>
      </c>
      <c r="L646">
        <v>1</v>
      </c>
      <c r="M646">
        <v>2</v>
      </c>
      <c r="N646" s="7">
        <v>9</v>
      </c>
      <c r="O646" s="7">
        <v>0</v>
      </c>
      <c r="P646" s="7">
        <v>0</v>
      </c>
      <c r="Q646" s="7">
        <v>0</v>
      </c>
      <c r="R646" s="7">
        <v>1</v>
      </c>
      <c r="S646" s="7">
        <v>4.5</v>
      </c>
      <c r="T646">
        <v>7</v>
      </c>
      <c r="U646" s="1">
        <v>35</v>
      </c>
      <c r="V646">
        <v>0</v>
      </c>
      <c r="W646">
        <v>0</v>
      </c>
      <c r="X646">
        <v>1</v>
      </c>
      <c r="Y646">
        <v>0.16</v>
      </c>
      <c r="Z646">
        <v>23</v>
      </c>
      <c r="AA646">
        <v>0</v>
      </c>
      <c r="AB646">
        <v>0</v>
      </c>
      <c r="AC646">
        <v>0</v>
      </c>
      <c r="AD646">
        <v>1</v>
      </c>
      <c r="AE646">
        <v>0.05</v>
      </c>
      <c r="AF646">
        <v>15</v>
      </c>
      <c r="AG646">
        <v>0</v>
      </c>
      <c r="AH646">
        <v>0</v>
      </c>
      <c r="AI646">
        <v>0</v>
      </c>
      <c r="AJ646">
        <v>1</v>
      </c>
      <c r="AK646">
        <v>0.02</v>
      </c>
      <c r="AL646">
        <v>16</v>
      </c>
      <c r="AM646">
        <v>0</v>
      </c>
      <c r="AN646">
        <v>0</v>
      </c>
      <c r="AO646">
        <v>0</v>
      </c>
      <c r="AP646">
        <v>1</v>
      </c>
      <c r="AQ646">
        <v>0.01</v>
      </c>
      <c r="AX646">
        <v>7</v>
      </c>
      <c r="AY646" s="1">
        <v>19</v>
      </c>
      <c r="AZ646">
        <v>0</v>
      </c>
      <c r="BA646">
        <v>0</v>
      </c>
      <c r="BB646">
        <v>1</v>
      </c>
      <c r="BC646" s="7">
        <v>0.32</v>
      </c>
      <c r="BD646">
        <v>30</v>
      </c>
      <c r="BE646">
        <v>0</v>
      </c>
      <c r="BF646">
        <v>0</v>
      </c>
      <c r="BG646">
        <v>0</v>
      </c>
      <c r="BH646">
        <v>5</v>
      </c>
      <c r="BI646">
        <v>2.4</v>
      </c>
      <c r="BJ646">
        <v>31</v>
      </c>
      <c r="BK646">
        <v>0</v>
      </c>
      <c r="BL646">
        <v>0</v>
      </c>
      <c r="BM646">
        <v>0</v>
      </c>
      <c r="BN646">
        <v>5</v>
      </c>
      <c r="BO646">
        <v>2.4</v>
      </c>
      <c r="BP646">
        <v>36</v>
      </c>
      <c r="BQ646">
        <v>0</v>
      </c>
      <c r="BR646">
        <v>0</v>
      </c>
      <c r="BS646">
        <v>0</v>
      </c>
      <c r="BT646">
        <v>5</v>
      </c>
      <c r="BU646">
        <v>2.2000000000000002</v>
      </c>
    </row>
    <row r="647" spans="1:73" x14ac:dyDescent="0.15">
      <c r="A647" s="11">
        <v>10744</v>
      </c>
      <c r="B647">
        <v>7</v>
      </c>
      <c r="C647" s="1">
        <v>48</v>
      </c>
      <c r="D647">
        <v>0</v>
      </c>
      <c r="E647">
        <v>0</v>
      </c>
      <c r="F647">
        <v>1</v>
      </c>
      <c r="G647" s="7">
        <v>0.05</v>
      </c>
      <c r="H647">
        <v>12</v>
      </c>
      <c r="I647">
        <v>0</v>
      </c>
      <c r="J647">
        <v>0</v>
      </c>
      <c r="K647">
        <v>0</v>
      </c>
      <c r="L647">
        <v>1</v>
      </c>
      <c r="M647">
        <v>2</v>
      </c>
      <c r="N647" s="7">
        <v>9</v>
      </c>
      <c r="O647" s="7">
        <v>0</v>
      </c>
      <c r="P647" s="7">
        <v>0</v>
      </c>
      <c r="Q647" s="7">
        <v>0</v>
      </c>
      <c r="R647" s="7">
        <v>1</v>
      </c>
      <c r="S647" s="7">
        <v>4.5</v>
      </c>
      <c r="T647">
        <v>7</v>
      </c>
      <c r="U647" s="1">
        <v>36</v>
      </c>
      <c r="V647">
        <v>0</v>
      </c>
      <c r="W647">
        <v>0</v>
      </c>
      <c r="X647">
        <v>1</v>
      </c>
      <c r="Y647">
        <v>0.16</v>
      </c>
      <c r="Z647">
        <v>23</v>
      </c>
      <c r="AA647">
        <v>0</v>
      </c>
      <c r="AB647">
        <v>0</v>
      </c>
      <c r="AC647">
        <v>0</v>
      </c>
      <c r="AD647">
        <v>1</v>
      </c>
      <c r="AE647">
        <v>0.05</v>
      </c>
      <c r="AF647">
        <v>15</v>
      </c>
      <c r="AG647">
        <v>0</v>
      </c>
      <c r="AH647">
        <v>0</v>
      </c>
      <c r="AI647">
        <v>0</v>
      </c>
      <c r="AJ647">
        <v>1</v>
      </c>
      <c r="AK647">
        <v>0.02</v>
      </c>
      <c r="AL647">
        <v>16</v>
      </c>
      <c r="AM647">
        <v>0</v>
      </c>
      <c r="AN647">
        <v>0</v>
      </c>
      <c r="AO647">
        <v>0</v>
      </c>
      <c r="AP647">
        <v>1</v>
      </c>
      <c r="AQ647">
        <v>0.01</v>
      </c>
      <c r="AX647">
        <v>7</v>
      </c>
      <c r="AY647" s="1">
        <v>20</v>
      </c>
      <c r="AZ647">
        <v>0</v>
      </c>
      <c r="BA647">
        <v>0</v>
      </c>
      <c r="BB647">
        <v>1</v>
      </c>
      <c r="BC647" s="7">
        <v>0.32</v>
      </c>
      <c r="BD647">
        <v>30</v>
      </c>
      <c r="BE647">
        <v>0</v>
      </c>
      <c r="BF647">
        <v>0</v>
      </c>
      <c r="BG647">
        <v>0</v>
      </c>
      <c r="BH647">
        <v>5</v>
      </c>
      <c r="BI647">
        <v>2.4</v>
      </c>
      <c r="BJ647">
        <v>31</v>
      </c>
      <c r="BK647">
        <v>0</v>
      </c>
      <c r="BL647">
        <v>0</v>
      </c>
      <c r="BM647">
        <v>0</v>
      </c>
      <c r="BN647">
        <v>5</v>
      </c>
      <c r="BO647">
        <v>2.4</v>
      </c>
      <c r="BP647">
        <v>36</v>
      </c>
      <c r="BQ647">
        <v>0</v>
      </c>
      <c r="BR647">
        <v>0</v>
      </c>
      <c r="BS647">
        <v>0</v>
      </c>
      <c r="BT647">
        <v>5</v>
      </c>
      <c r="BU647">
        <v>2.2000000000000002</v>
      </c>
    </row>
    <row r="648" spans="1:73" x14ac:dyDescent="0.15">
      <c r="A648" s="11">
        <v>10745</v>
      </c>
      <c r="B648">
        <v>7</v>
      </c>
      <c r="C648" s="1">
        <v>0</v>
      </c>
      <c r="D648">
        <v>5</v>
      </c>
      <c r="E648">
        <v>1</v>
      </c>
      <c r="F648">
        <v>1</v>
      </c>
      <c r="G648" s="7">
        <v>0.05</v>
      </c>
      <c r="H648">
        <v>12</v>
      </c>
      <c r="I648">
        <v>0</v>
      </c>
      <c r="J648">
        <v>0</v>
      </c>
      <c r="K648">
        <v>0</v>
      </c>
      <c r="L648">
        <v>1</v>
      </c>
      <c r="M648">
        <v>2</v>
      </c>
      <c r="N648" s="7">
        <v>9</v>
      </c>
      <c r="O648" s="7">
        <v>0</v>
      </c>
      <c r="P648" s="7">
        <v>0</v>
      </c>
      <c r="Q648" s="7">
        <v>0</v>
      </c>
      <c r="R648" s="7">
        <v>1</v>
      </c>
      <c r="S648" s="7">
        <v>4.5</v>
      </c>
      <c r="T648">
        <v>7</v>
      </c>
      <c r="U648" s="1">
        <v>0</v>
      </c>
      <c r="V648">
        <v>4</v>
      </c>
      <c r="W648">
        <v>2</v>
      </c>
      <c r="X648">
        <v>1</v>
      </c>
      <c r="Y648">
        <v>0.16</v>
      </c>
      <c r="Z648">
        <v>23</v>
      </c>
      <c r="AA648">
        <v>0</v>
      </c>
      <c r="AB648">
        <v>0</v>
      </c>
      <c r="AC648">
        <v>0</v>
      </c>
      <c r="AD648">
        <v>1</v>
      </c>
      <c r="AE648">
        <v>0.05</v>
      </c>
      <c r="AF648">
        <v>15</v>
      </c>
      <c r="AG648">
        <v>0</v>
      </c>
      <c r="AH648">
        <v>0</v>
      </c>
      <c r="AI648">
        <v>0</v>
      </c>
      <c r="AJ648">
        <v>1</v>
      </c>
      <c r="AK648">
        <v>0.02</v>
      </c>
      <c r="AL648">
        <v>16</v>
      </c>
      <c r="AM648">
        <v>0</v>
      </c>
      <c r="AN648">
        <v>0</v>
      </c>
      <c r="AO648">
        <v>0</v>
      </c>
      <c r="AP648">
        <v>1</v>
      </c>
      <c r="AQ648">
        <v>0.01</v>
      </c>
      <c r="AR648">
        <v>6</v>
      </c>
      <c r="AS648">
        <v>2</v>
      </c>
      <c r="AT648">
        <v>4</v>
      </c>
      <c r="AU648">
        <v>5</v>
      </c>
      <c r="AV648">
        <v>1</v>
      </c>
      <c r="AW648">
        <v>0.01</v>
      </c>
      <c r="AX648">
        <v>7</v>
      </c>
      <c r="AY648" s="1">
        <v>0</v>
      </c>
      <c r="AZ648">
        <v>3</v>
      </c>
      <c r="BA648">
        <v>1</v>
      </c>
      <c r="BB648">
        <v>1</v>
      </c>
      <c r="BC648" s="7">
        <v>0.32</v>
      </c>
      <c r="BD648">
        <v>30</v>
      </c>
      <c r="BE648">
        <v>0</v>
      </c>
      <c r="BF648">
        <v>0</v>
      </c>
      <c r="BG648">
        <v>0</v>
      </c>
      <c r="BH648">
        <v>5</v>
      </c>
      <c r="BI648">
        <v>2.4</v>
      </c>
      <c r="BJ648">
        <v>31</v>
      </c>
      <c r="BK648">
        <v>0</v>
      </c>
      <c r="BL648">
        <v>0</v>
      </c>
      <c r="BM648">
        <v>0</v>
      </c>
      <c r="BN648">
        <v>5</v>
      </c>
      <c r="BO648">
        <v>2.4</v>
      </c>
      <c r="BP648">
        <v>36</v>
      </c>
      <c r="BQ648">
        <v>0</v>
      </c>
      <c r="BR648">
        <v>0</v>
      </c>
      <c r="BS648">
        <v>0</v>
      </c>
      <c r="BT648">
        <v>5</v>
      </c>
      <c r="BU648">
        <v>2.2000000000000002</v>
      </c>
    </row>
    <row r="649" spans="1:73" x14ac:dyDescent="0.15">
      <c r="A649" s="11">
        <v>10746</v>
      </c>
      <c r="B649">
        <v>7</v>
      </c>
      <c r="C649" s="1">
        <v>45</v>
      </c>
      <c r="D649">
        <v>0</v>
      </c>
      <c r="E649">
        <v>0</v>
      </c>
      <c r="F649">
        <v>1</v>
      </c>
      <c r="G649" s="7">
        <v>0.05</v>
      </c>
      <c r="H649">
        <v>12</v>
      </c>
      <c r="I649">
        <v>0</v>
      </c>
      <c r="J649">
        <v>0</v>
      </c>
      <c r="K649">
        <v>0</v>
      </c>
      <c r="L649">
        <v>1</v>
      </c>
      <c r="M649">
        <v>2</v>
      </c>
      <c r="N649" s="7">
        <v>9</v>
      </c>
      <c r="O649" s="7">
        <v>0</v>
      </c>
      <c r="P649" s="7">
        <v>0</v>
      </c>
      <c r="Q649" s="7">
        <v>0</v>
      </c>
      <c r="R649" s="7">
        <v>1</v>
      </c>
      <c r="S649" s="7">
        <v>4.5</v>
      </c>
      <c r="T649">
        <v>7</v>
      </c>
      <c r="U649" s="1">
        <v>33</v>
      </c>
      <c r="V649">
        <v>0</v>
      </c>
      <c r="W649">
        <v>0</v>
      </c>
      <c r="X649">
        <v>1</v>
      </c>
      <c r="Y649">
        <v>0.16</v>
      </c>
      <c r="Z649">
        <v>23</v>
      </c>
      <c r="AA649">
        <v>0</v>
      </c>
      <c r="AB649">
        <v>0</v>
      </c>
      <c r="AC649">
        <v>0</v>
      </c>
      <c r="AD649">
        <v>1</v>
      </c>
      <c r="AE649">
        <v>0.05</v>
      </c>
      <c r="AF649">
        <v>15</v>
      </c>
      <c r="AG649">
        <v>0</v>
      </c>
      <c r="AH649">
        <v>0</v>
      </c>
      <c r="AI649">
        <v>0</v>
      </c>
      <c r="AJ649">
        <v>1</v>
      </c>
      <c r="AK649">
        <v>0.02</v>
      </c>
      <c r="AL649">
        <v>16</v>
      </c>
      <c r="AM649">
        <v>0</v>
      </c>
      <c r="AN649">
        <v>0</v>
      </c>
      <c r="AO649">
        <v>0</v>
      </c>
      <c r="AP649">
        <v>1</v>
      </c>
      <c r="AQ649">
        <v>0.01</v>
      </c>
      <c r="AX649">
        <v>7</v>
      </c>
      <c r="AY649" s="1">
        <v>17</v>
      </c>
      <c r="AZ649">
        <v>0</v>
      </c>
      <c r="BA649">
        <v>0</v>
      </c>
      <c r="BB649">
        <v>1</v>
      </c>
      <c r="BC649" s="7">
        <v>0.32</v>
      </c>
      <c r="BD649">
        <v>30</v>
      </c>
      <c r="BE649">
        <v>0</v>
      </c>
      <c r="BF649">
        <v>0</v>
      </c>
      <c r="BG649">
        <v>0</v>
      </c>
      <c r="BH649">
        <v>5</v>
      </c>
      <c r="BI649">
        <v>2.4</v>
      </c>
      <c r="BJ649">
        <v>31</v>
      </c>
      <c r="BK649">
        <v>0</v>
      </c>
      <c r="BL649">
        <v>0</v>
      </c>
      <c r="BM649">
        <v>0</v>
      </c>
      <c r="BN649">
        <v>5</v>
      </c>
      <c r="BO649">
        <v>2.4</v>
      </c>
      <c r="BP649">
        <v>36</v>
      </c>
      <c r="BQ649">
        <v>0</v>
      </c>
      <c r="BR649">
        <v>0</v>
      </c>
      <c r="BS649">
        <v>0</v>
      </c>
      <c r="BT649">
        <v>5</v>
      </c>
      <c r="BU649">
        <v>2.2000000000000002</v>
      </c>
    </row>
    <row r="650" spans="1:73" x14ac:dyDescent="0.15">
      <c r="A650" s="11">
        <v>10747</v>
      </c>
      <c r="B650">
        <v>7</v>
      </c>
      <c r="C650" s="1">
        <v>46</v>
      </c>
      <c r="D650">
        <v>0</v>
      </c>
      <c r="E650">
        <v>0</v>
      </c>
      <c r="F650">
        <v>1</v>
      </c>
      <c r="G650" s="7">
        <v>0.05</v>
      </c>
      <c r="H650">
        <v>12</v>
      </c>
      <c r="I650">
        <v>0</v>
      </c>
      <c r="J650">
        <v>0</v>
      </c>
      <c r="K650">
        <v>0</v>
      </c>
      <c r="L650">
        <v>1</v>
      </c>
      <c r="M650">
        <v>2</v>
      </c>
      <c r="N650" s="7">
        <v>9</v>
      </c>
      <c r="O650" s="7">
        <v>0</v>
      </c>
      <c r="P650" s="7">
        <v>0</v>
      </c>
      <c r="Q650" s="7">
        <v>0</v>
      </c>
      <c r="R650" s="7">
        <v>1</v>
      </c>
      <c r="S650" s="7">
        <v>4.5</v>
      </c>
      <c r="T650">
        <v>7</v>
      </c>
      <c r="U650" s="1">
        <v>34</v>
      </c>
      <c r="V650">
        <v>0</v>
      </c>
      <c r="W650">
        <v>0</v>
      </c>
      <c r="X650">
        <v>1</v>
      </c>
      <c r="Y650">
        <v>0.16</v>
      </c>
      <c r="Z650">
        <v>23</v>
      </c>
      <c r="AA650">
        <v>0</v>
      </c>
      <c r="AB650">
        <v>0</v>
      </c>
      <c r="AC650">
        <v>0</v>
      </c>
      <c r="AD650">
        <v>1</v>
      </c>
      <c r="AE650">
        <v>0.05</v>
      </c>
      <c r="AF650">
        <v>15</v>
      </c>
      <c r="AG650">
        <v>0</v>
      </c>
      <c r="AH650">
        <v>0</v>
      </c>
      <c r="AI650">
        <v>0</v>
      </c>
      <c r="AJ650">
        <v>1</v>
      </c>
      <c r="AK650">
        <v>0.02</v>
      </c>
      <c r="AL650">
        <v>16</v>
      </c>
      <c r="AM650">
        <v>0</v>
      </c>
      <c r="AN650">
        <v>0</v>
      </c>
      <c r="AO650">
        <v>0</v>
      </c>
      <c r="AP650">
        <v>1</v>
      </c>
      <c r="AQ650">
        <v>0.01</v>
      </c>
      <c r="AX650">
        <v>7</v>
      </c>
      <c r="AY650" s="1">
        <v>18</v>
      </c>
      <c r="AZ650">
        <v>0</v>
      </c>
      <c r="BA650">
        <v>0</v>
      </c>
      <c r="BB650">
        <v>1</v>
      </c>
      <c r="BC650" s="7">
        <v>0.32</v>
      </c>
      <c r="BD650">
        <v>30</v>
      </c>
      <c r="BE650">
        <v>0</v>
      </c>
      <c r="BF650">
        <v>0</v>
      </c>
      <c r="BG650">
        <v>0</v>
      </c>
      <c r="BH650">
        <v>5</v>
      </c>
      <c r="BI650">
        <v>2.4</v>
      </c>
      <c r="BJ650">
        <v>31</v>
      </c>
      <c r="BK650">
        <v>0</v>
      </c>
      <c r="BL650">
        <v>0</v>
      </c>
      <c r="BM650">
        <v>0</v>
      </c>
      <c r="BN650">
        <v>5</v>
      </c>
      <c r="BO650">
        <v>2.4</v>
      </c>
      <c r="BP650">
        <v>36</v>
      </c>
      <c r="BQ650">
        <v>0</v>
      </c>
      <c r="BR650">
        <v>0</v>
      </c>
      <c r="BS650">
        <v>0</v>
      </c>
      <c r="BT650">
        <v>5</v>
      </c>
      <c r="BU650">
        <v>2.2000000000000002</v>
      </c>
    </row>
    <row r="651" spans="1:73" x14ac:dyDescent="0.15">
      <c r="A651" s="11">
        <v>10748</v>
      </c>
      <c r="B651">
        <v>7</v>
      </c>
      <c r="C651" s="1">
        <v>47</v>
      </c>
      <c r="D651">
        <v>0</v>
      </c>
      <c r="E651">
        <v>0</v>
      </c>
      <c r="F651">
        <v>1</v>
      </c>
      <c r="G651" s="7">
        <v>0.05</v>
      </c>
      <c r="H651">
        <v>12</v>
      </c>
      <c r="I651">
        <v>0</v>
      </c>
      <c r="J651">
        <v>0</v>
      </c>
      <c r="K651">
        <v>0</v>
      </c>
      <c r="L651">
        <v>1</v>
      </c>
      <c r="M651">
        <v>2</v>
      </c>
      <c r="N651" s="7">
        <v>9</v>
      </c>
      <c r="O651" s="7">
        <v>0</v>
      </c>
      <c r="P651" s="7">
        <v>0</v>
      </c>
      <c r="Q651" s="7">
        <v>0</v>
      </c>
      <c r="R651" s="7">
        <v>1</v>
      </c>
      <c r="S651" s="7">
        <v>4.5</v>
      </c>
      <c r="T651">
        <v>7</v>
      </c>
      <c r="U651" s="1">
        <v>35</v>
      </c>
      <c r="V651">
        <v>0</v>
      </c>
      <c r="W651">
        <v>0</v>
      </c>
      <c r="X651">
        <v>1</v>
      </c>
      <c r="Y651">
        <v>0.16</v>
      </c>
      <c r="Z651">
        <v>23</v>
      </c>
      <c r="AA651">
        <v>0</v>
      </c>
      <c r="AB651">
        <v>0</v>
      </c>
      <c r="AC651">
        <v>0</v>
      </c>
      <c r="AD651">
        <v>1</v>
      </c>
      <c r="AE651">
        <v>0.05</v>
      </c>
      <c r="AF651">
        <v>15</v>
      </c>
      <c r="AG651">
        <v>0</v>
      </c>
      <c r="AH651">
        <v>0</v>
      </c>
      <c r="AI651">
        <v>0</v>
      </c>
      <c r="AJ651">
        <v>1</v>
      </c>
      <c r="AK651">
        <v>0.02</v>
      </c>
      <c r="AL651">
        <v>16</v>
      </c>
      <c r="AM651">
        <v>0</v>
      </c>
      <c r="AN651">
        <v>0</v>
      </c>
      <c r="AO651">
        <v>0</v>
      </c>
      <c r="AP651">
        <v>1</v>
      </c>
      <c r="AQ651">
        <v>0.01</v>
      </c>
      <c r="AX651">
        <v>7</v>
      </c>
      <c r="AY651" s="1">
        <v>19</v>
      </c>
      <c r="AZ651">
        <v>0</v>
      </c>
      <c r="BA651">
        <v>0</v>
      </c>
      <c r="BB651">
        <v>1</v>
      </c>
      <c r="BC651" s="7">
        <v>0.32</v>
      </c>
      <c r="BD651">
        <v>30</v>
      </c>
      <c r="BE651">
        <v>0</v>
      </c>
      <c r="BF651">
        <v>0</v>
      </c>
      <c r="BG651">
        <v>0</v>
      </c>
      <c r="BH651">
        <v>5</v>
      </c>
      <c r="BI651">
        <v>2.4</v>
      </c>
      <c r="BJ651">
        <v>31</v>
      </c>
      <c r="BK651">
        <v>0</v>
      </c>
      <c r="BL651">
        <v>0</v>
      </c>
      <c r="BM651">
        <v>0</v>
      </c>
      <c r="BN651">
        <v>5</v>
      </c>
      <c r="BO651">
        <v>2.4</v>
      </c>
      <c r="BP651">
        <v>36</v>
      </c>
      <c r="BQ651">
        <v>0</v>
      </c>
      <c r="BR651">
        <v>0</v>
      </c>
      <c r="BS651">
        <v>0</v>
      </c>
      <c r="BT651">
        <v>5</v>
      </c>
      <c r="BU651">
        <v>2.2000000000000002</v>
      </c>
    </row>
    <row r="652" spans="1:73" x14ac:dyDescent="0.15">
      <c r="A652" s="11">
        <v>10749</v>
      </c>
      <c r="B652">
        <v>7</v>
      </c>
      <c r="C652" s="1">
        <v>48</v>
      </c>
      <c r="D652">
        <v>0</v>
      </c>
      <c r="E652">
        <v>0</v>
      </c>
      <c r="F652">
        <v>1</v>
      </c>
      <c r="G652" s="7">
        <v>0.05</v>
      </c>
      <c r="H652">
        <v>12</v>
      </c>
      <c r="I652">
        <v>0</v>
      </c>
      <c r="J652">
        <v>0</v>
      </c>
      <c r="K652">
        <v>0</v>
      </c>
      <c r="L652">
        <v>1</v>
      </c>
      <c r="M652">
        <v>2</v>
      </c>
      <c r="N652" s="7">
        <v>9</v>
      </c>
      <c r="O652" s="7">
        <v>0</v>
      </c>
      <c r="P652" s="7">
        <v>0</v>
      </c>
      <c r="Q652" s="7">
        <v>0</v>
      </c>
      <c r="R652" s="7">
        <v>1</v>
      </c>
      <c r="S652" s="7">
        <v>4.5</v>
      </c>
      <c r="T652">
        <v>7</v>
      </c>
      <c r="U652" s="1">
        <v>36</v>
      </c>
      <c r="V652">
        <v>0</v>
      </c>
      <c r="W652">
        <v>0</v>
      </c>
      <c r="X652">
        <v>1</v>
      </c>
      <c r="Y652">
        <v>0.16</v>
      </c>
      <c r="Z652">
        <v>23</v>
      </c>
      <c r="AA652">
        <v>0</v>
      </c>
      <c r="AB652">
        <v>0</v>
      </c>
      <c r="AC652">
        <v>0</v>
      </c>
      <c r="AD652">
        <v>1</v>
      </c>
      <c r="AE652">
        <v>0.05</v>
      </c>
      <c r="AF652">
        <v>15</v>
      </c>
      <c r="AG652">
        <v>0</v>
      </c>
      <c r="AH652">
        <v>0</v>
      </c>
      <c r="AI652">
        <v>0</v>
      </c>
      <c r="AJ652">
        <v>1</v>
      </c>
      <c r="AK652">
        <v>0.02</v>
      </c>
      <c r="AL652">
        <v>16</v>
      </c>
      <c r="AM652">
        <v>0</v>
      </c>
      <c r="AN652">
        <v>0</v>
      </c>
      <c r="AO652">
        <v>0</v>
      </c>
      <c r="AP652">
        <v>1</v>
      </c>
      <c r="AQ652">
        <v>0.01</v>
      </c>
      <c r="AX652">
        <v>7</v>
      </c>
      <c r="AY652" s="1">
        <v>20</v>
      </c>
      <c r="AZ652">
        <v>0</v>
      </c>
      <c r="BA652">
        <v>0</v>
      </c>
      <c r="BB652">
        <v>1</v>
      </c>
      <c r="BC652" s="7">
        <v>0.32</v>
      </c>
      <c r="BD652">
        <v>30</v>
      </c>
      <c r="BE652">
        <v>0</v>
      </c>
      <c r="BF652">
        <v>0</v>
      </c>
      <c r="BG652">
        <v>0</v>
      </c>
      <c r="BH652">
        <v>5</v>
      </c>
      <c r="BI652">
        <v>2.4</v>
      </c>
      <c r="BJ652">
        <v>31</v>
      </c>
      <c r="BK652">
        <v>0</v>
      </c>
      <c r="BL652">
        <v>0</v>
      </c>
      <c r="BM652">
        <v>0</v>
      </c>
      <c r="BN652">
        <v>5</v>
      </c>
      <c r="BO652">
        <v>2.4</v>
      </c>
      <c r="BP652">
        <v>36</v>
      </c>
      <c r="BQ652">
        <v>0</v>
      </c>
      <c r="BR652">
        <v>0</v>
      </c>
      <c r="BS652">
        <v>0</v>
      </c>
      <c r="BT652">
        <v>5</v>
      </c>
      <c r="BU652">
        <v>2.2000000000000002</v>
      </c>
    </row>
    <row r="653" spans="1:73" x14ac:dyDescent="0.15">
      <c r="A653" s="11">
        <v>10750</v>
      </c>
      <c r="B653">
        <v>7</v>
      </c>
      <c r="C653" s="1">
        <v>0</v>
      </c>
      <c r="D653">
        <v>5</v>
      </c>
      <c r="E653">
        <v>1</v>
      </c>
      <c r="F653">
        <v>1</v>
      </c>
      <c r="G653" s="7">
        <v>0.05</v>
      </c>
      <c r="H653">
        <v>12</v>
      </c>
      <c r="I653">
        <v>0</v>
      </c>
      <c r="J653">
        <v>0</v>
      </c>
      <c r="K653">
        <v>0</v>
      </c>
      <c r="L653">
        <v>1</v>
      </c>
      <c r="M653">
        <v>2</v>
      </c>
      <c r="N653" s="7">
        <v>9</v>
      </c>
      <c r="O653" s="7">
        <v>0</v>
      </c>
      <c r="P653" s="7">
        <v>0</v>
      </c>
      <c r="Q653" s="7">
        <v>0</v>
      </c>
      <c r="R653" s="7">
        <v>1</v>
      </c>
      <c r="S653" s="7">
        <v>4.5</v>
      </c>
      <c r="T653">
        <v>7</v>
      </c>
      <c r="U653" s="1">
        <v>0</v>
      </c>
      <c r="V653">
        <v>4</v>
      </c>
      <c r="W653">
        <v>2</v>
      </c>
      <c r="X653">
        <v>1</v>
      </c>
      <c r="Y653">
        <v>0.16</v>
      </c>
      <c r="Z653">
        <v>23</v>
      </c>
      <c r="AA653">
        <v>0</v>
      </c>
      <c r="AB653">
        <v>0</v>
      </c>
      <c r="AC653">
        <v>0</v>
      </c>
      <c r="AD653">
        <v>1</v>
      </c>
      <c r="AE653">
        <v>0.05</v>
      </c>
      <c r="AF653">
        <v>15</v>
      </c>
      <c r="AG653">
        <v>0</v>
      </c>
      <c r="AH653">
        <v>0</v>
      </c>
      <c r="AI653">
        <v>0</v>
      </c>
      <c r="AJ653">
        <v>1</v>
      </c>
      <c r="AK653">
        <v>0.02</v>
      </c>
      <c r="AL653">
        <v>16</v>
      </c>
      <c r="AM653">
        <v>0</v>
      </c>
      <c r="AN653">
        <v>0</v>
      </c>
      <c r="AO653">
        <v>0</v>
      </c>
      <c r="AP653">
        <v>1</v>
      </c>
      <c r="AQ653">
        <v>0.01</v>
      </c>
      <c r="AR653">
        <v>6</v>
      </c>
      <c r="AS653">
        <v>2</v>
      </c>
      <c r="AT653">
        <v>5</v>
      </c>
      <c r="AU653">
        <v>5</v>
      </c>
      <c r="AV653">
        <v>1</v>
      </c>
      <c r="AW653">
        <v>0.01</v>
      </c>
      <c r="AX653">
        <v>7</v>
      </c>
      <c r="AY653" s="1">
        <v>0</v>
      </c>
      <c r="AZ653">
        <v>3</v>
      </c>
      <c r="BA653">
        <v>1</v>
      </c>
      <c r="BB653">
        <v>1</v>
      </c>
      <c r="BC653" s="7">
        <v>0.32</v>
      </c>
      <c r="BD653">
        <v>30</v>
      </c>
      <c r="BE653">
        <v>0</v>
      </c>
      <c r="BF653">
        <v>0</v>
      </c>
      <c r="BG653">
        <v>0</v>
      </c>
      <c r="BH653">
        <v>5</v>
      </c>
      <c r="BI653">
        <v>2.4</v>
      </c>
      <c r="BJ653">
        <v>31</v>
      </c>
      <c r="BK653">
        <v>0</v>
      </c>
      <c r="BL653">
        <v>0</v>
      </c>
      <c r="BM653">
        <v>0</v>
      </c>
      <c r="BN653">
        <v>5</v>
      </c>
      <c r="BO653">
        <v>2.4</v>
      </c>
      <c r="BP653">
        <v>36</v>
      </c>
      <c r="BQ653">
        <v>0</v>
      </c>
      <c r="BR653">
        <v>0</v>
      </c>
      <c r="BS653">
        <v>0</v>
      </c>
      <c r="BT653">
        <v>5</v>
      </c>
      <c r="BU653">
        <v>2.2000000000000002</v>
      </c>
    </row>
    <row r="654" spans="1:73" x14ac:dyDescent="0.15">
      <c r="A654" s="11">
        <v>10801</v>
      </c>
      <c r="B654">
        <v>7</v>
      </c>
      <c r="C654" s="1">
        <v>45</v>
      </c>
      <c r="D654">
        <v>0</v>
      </c>
      <c r="E654">
        <v>0</v>
      </c>
      <c r="F654">
        <v>1</v>
      </c>
      <c r="G654" s="7">
        <v>0.05</v>
      </c>
      <c r="H654">
        <v>12</v>
      </c>
      <c r="I654">
        <v>0</v>
      </c>
      <c r="J654">
        <v>0</v>
      </c>
      <c r="K654">
        <v>0</v>
      </c>
      <c r="L654">
        <v>1</v>
      </c>
      <c r="M654">
        <v>2</v>
      </c>
      <c r="N654" s="7">
        <v>9</v>
      </c>
      <c r="O654" s="7">
        <v>0</v>
      </c>
      <c r="P654" s="7">
        <v>0</v>
      </c>
      <c r="Q654" s="7">
        <v>0</v>
      </c>
      <c r="R654" s="7">
        <v>1</v>
      </c>
      <c r="S654" s="7">
        <v>4.5</v>
      </c>
      <c r="T654">
        <v>7</v>
      </c>
      <c r="U654" s="1">
        <v>33</v>
      </c>
      <c r="V654">
        <v>0</v>
      </c>
      <c r="W654">
        <v>0</v>
      </c>
      <c r="X654">
        <v>1</v>
      </c>
      <c r="Y654">
        <v>0.16</v>
      </c>
      <c r="Z654">
        <v>23</v>
      </c>
      <c r="AA654">
        <v>0</v>
      </c>
      <c r="AB654">
        <v>0</v>
      </c>
      <c r="AC654">
        <v>0</v>
      </c>
      <c r="AD654">
        <v>1</v>
      </c>
      <c r="AE654">
        <v>0.05</v>
      </c>
      <c r="AF654">
        <v>15</v>
      </c>
      <c r="AG654">
        <v>0</v>
      </c>
      <c r="AH654">
        <v>0</v>
      </c>
      <c r="AI654">
        <v>0</v>
      </c>
      <c r="AJ654">
        <v>1</v>
      </c>
      <c r="AK654">
        <v>0.02</v>
      </c>
      <c r="AL654">
        <v>16</v>
      </c>
      <c r="AM654">
        <v>0</v>
      </c>
      <c r="AN654">
        <v>0</v>
      </c>
      <c r="AO654">
        <v>0</v>
      </c>
      <c r="AP654">
        <v>1</v>
      </c>
      <c r="AQ654">
        <v>0.01</v>
      </c>
      <c r="AX654">
        <v>7</v>
      </c>
      <c r="AY654" s="1">
        <v>17</v>
      </c>
      <c r="AZ654">
        <v>0</v>
      </c>
      <c r="BA654">
        <v>0</v>
      </c>
      <c r="BB654">
        <v>1</v>
      </c>
      <c r="BC654" s="7">
        <v>0.32</v>
      </c>
      <c r="BD654">
        <v>30</v>
      </c>
      <c r="BE654">
        <v>0</v>
      </c>
      <c r="BF654">
        <v>0</v>
      </c>
      <c r="BG654">
        <v>0</v>
      </c>
      <c r="BH654">
        <v>5</v>
      </c>
      <c r="BI654">
        <v>2.4</v>
      </c>
      <c r="BJ654">
        <v>31</v>
      </c>
      <c r="BK654">
        <v>0</v>
      </c>
      <c r="BL654">
        <v>0</v>
      </c>
      <c r="BM654">
        <v>0</v>
      </c>
      <c r="BN654">
        <v>5</v>
      </c>
      <c r="BO654">
        <v>2.4</v>
      </c>
      <c r="BP654">
        <v>36</v>
      </c>
      <c r="BQ654">
        <v>0</v>
      </c>
      <c r="BR654">
        <v>0</v>
      </c>
      <c r="BS654">
        <v>0</v>
      </c>
      <c r="BT654">
        <v>5</v>
      </c>
      <c r="BU654">
        <v>2.1</v>
      </c>
    </row>
    <row r="655" spans="1:73" x14ac:dyDescent="0.15">
      <c r="A655" s="11">
        <v>10802</v>
      </c>
      <c r="B655">
        <v>7</v>
      </c>
      <c r="C655" s="1">
        <v>46</v>
      </c>
      <c r="D655">
        <v>0</v>
      </c>
      <c r="E655">
        <v>0</v>
      </c>
      <c r="F655">
        <v>1</v>
      </c>
      <c r="G655" s="7">
        <v>0.05</v>
      </c>
      <c r="H655">
        <v>12</v>
      </c>
      <c r="I655">
        <v>0</v>
      </c>
      <c r="J655">
        <v>0</v>
      </c>
      <c r="K655">
        <v>0</v>
      </c>
      <c r="L655">
        <v>1</v>
      </c>
      <c r="M655">
        <v>2</v>
      </c>
      <c r="N655" s="7">
        <v>9</v>
      </c>
      <c r="O655" s="7">
        <v>0</v>
      </c>
      <c r="P655" s="7">
        <v>0</v>
      </c>
      <c r="Q655" s="7">
        <v>0</v>
      </c>
      <c r="R655" s="7">
        <v>1</v>
      </c>
      <c r="S655" s="7">
        <v>4.5</v>
      </c>
      <c r="T655">
        <v>7</v>
      </c>
      <c r="U655" s="1">
        <v>34</v>
      </c>
      <c r="V655">
        <v>0</v>
      </c>
      <c r="W655">
        <v>0</v>
      </c>
      <c r="X655">
        <v>1</v>
      </c>
      <c r="Y655">
        <v>0.16</v>
      </c>
      <c r="Z655">
        <v>23</v>
      </c>
      <c r="AA655">
        <v>0</v>
      </c>
      <c r="AB655">
        <v>0</v>
      </c>
      <c r="AC655">
        <v>0</v>
      </c>
      <c r="AD655">
        <v>1</v>
      </c>
      <c r="AE655">
        <v>0.05</v>
      </c>
      <c r="AF655">
        <v>15</v>
      </c>
      <c r="AG655">
        <v>0</v>
      </c>
      <c r="AH655">
        <v>0</v>
      </c>
      <c r="AI655">
        <v>0</v>
      </c>
      <c r="AJ655">
        <v>1</v>
      </c>
      <c r="AK655">
        <v>0.02</v>
      </c>
      <c r="AL655">
        <v>16</v>
      </c>
      <c r="AM655">
        <v>0</v>
      </c>
      <c r="AN655">
        <v>0</v>
      </c>
      <c r="AO655">
        <v>0</v>
      </c>
      <c r="AP655">
        <v>1</v>
      </c>
      <c r="AQ655">
        <v>0.01</v>
      </c>
      <c r="AX655">
        <v>7</v>
      </c>
      <c r="AY655" s="1">
        <v>18</v>
      </c>
      <c r="AZ655">
        <v>0</v>
      </c>
      <c r="BA655">
        <v>0</v>
      </c>
      <c r="BB655">
        <v>1</v>
      </c>
      <c r="BC655" s="7">
        <v>0.32</v>
      </c>
      <c r="BD655">
        <v>30</v>
      </c>
      <c r="BE655">
        <v>0</v>
      </c>
      <c r="BF655">
        <v>0</v>
      </c>
      <c r="BG655">
        <v>0</v>
      </c>
      <c r="BH655">
        <v>5</v>
      </c>
      <c r="BI655">
        <v>2.4</v>
      </c>
      <c r="BJ655">
        <v>31</v>
      </c>
      <c r="BK655">
        <v>0</v>
      </c>
      <c r="BL655">
        <v>0</v>
      </c>
      <c r="BM655">
        <v>0</v>
      </c>
      <c r="BN655">
        <v>5</v>
      </c>
      <c r="BO655">
        <v>2.4</v>
      </c>
      <c r="BP655">
        <v>36</v>
      </c>
      <c r="BQ655">
        <v>0</v>
      </c>
      <c r="BR655">
        <v>0</v>
      </c>
      <c r="BS655">
        <v>0</v>
      </c>
      <c r="BT655">
        <v>5</v>
      </c>
      <c r="BU655">
        <v>2.1</v>
      </c>
    </row>
    <row r="656" spans="1:73" x14ac:dyDescent="0.15">
      <c r="A656" s="11">
        <v>10803</v>
      </c>
      <c r="B656">
        <v>7</v>
      </c>
      <c r="C656" s="1">
        <v>47</v>
      </c>
      <c r="D656">
        <v>0</v>
      </c>
      <c r="E656">
        <v>0</v>
      </c>
      <c r="F656">
        <v>1</v>
      </c>
      <c r="G656" s="7">
        <v>0.05</v>
      </c>
      <c r="H656">
        <v>12</v>
      </c>
      <c r="I656">
        <v>0</v>
      </c>
      <c r="J656">
        <v>0</v>
      </c>
      <c r="K656">
        <v>0</v>
      </c>
      <c r="L656">
        <v>1</v>
      </c>
      <c r="M656">
        <v>2</v>
      </c>
      <c r="N656" s="7">
        <v>9</v>
      </c>
      <c r="O656" s="7">
        <v>0</v>
      </c>
      <c r="P656" s="7">
        <v>0</v>
      </c>
      <c r="Q656" s="7">
        <v>0</v>
      </c>
      <c r="R656" s="7">
        <v>1</v>
      </c>
      <c r="S656" s="7">
        <v>4.5</v>
      </c>
      <c r="T656">
        <v>7</v>
      </c>
      <c r="U656" s="1">
        <v>35</v>
      </c>
      <c r="V656">
        <v>0</v>
      </c>
      <c r="W656">
        <v>0</v>
      </c>
      <c r="X656">
        <v>1</v>
      </c>
      <c r="Y656">
        <v>0.16</v>
      </c>
      <c r="Z656">
        <v>23</v>
      </c>
      <c r="AA656">
        <v>0</v>
      </c>
      <c r="AB656">
        <v>0</v>
      </c>
      <c r="AC656">
        <v>0</v>
      </c>
      <c r="AD656">
        <v>1</v>
      </c>
      <c r="AE656">
        <v>0.05</v>
      </c>
      <c r="AF656">
        <v>15</v>
      </c>
      <c r="AG656">
        <v>0</v>
      </c>
      <c r="AH656">
        <v>0</v>
      </c>
      <c r="AI656">
        <v>0</v>
      </c>
      <c r="AJ656">
        <v>1</v>
      </c>
      <c r="AK656">
        <v>0.02</v>
      </c>
      <c r="AL656">
        <v>16</v>
      </c>
      <c r="AM656">
        <v>0</v>
      </c>
      <c r="AN656">
        <v>0</v>
      </c>
      <c r="AO656">
        <v>0</v>
      </c>
      <c r="AP656">
        <v>1</v>
      </c>
      <c r="AQ656">
        <v>0.01</v>
      </c>
      <c r="AX656">
        <v>7</v>
      </c>
      <c r="AY656" s="1">
        <v>19</v>
      </c>
      <c r="AZ656">
        <v>0</v>
      </c>
      <c r="BA656">
        <v>0</v>
      </c>
      <c r="BB656">
        <v>1</v>
      </c>
      <c r="BC656" s="7">
        <v>0.32</v>
      </c>
      <c r="BD656">
        <v>30</v>
      </c>
      <c r="BE656">
        <v>0</v>
      </c>
      <c r="BF656">
        <v>0</v>
      </c>
      <c r="BG656">
        <v>0</v>
      </c>
      <c r="BH656">
        <v>5</v>
      </c>
      <c r="BI656">
        <v>2.4</v>
      </c>
      <c r="BJ656">
        <v>31</v>
      </c>
      <c r="BK656">
        <v>0</v>
      </c>
      <c r="BL656">
        <v>0</v>
      </c>
      <c r="BM656">
        <v>0</v>
      </c>
      <c r="BN656">
        <v>5</v>
      </c>
      <c r="BO656">
        <v>2.4</v>
      </c>
      <c r="BP656">
        <v>36</v>
      </c>
      <c r="BQ656">
        <v>0</v>
      </c>
      <c r="BR656">
        <v>0</v>
      </c>
      <c r="BS656">
        <v>0</v>
      </c>
      <c r="BT656">
        <v>5</v>
      </c>
      <c r="BU656">
        <v>2.1</v>
      </c>
    </row>
    <row r="657" spans="1:73" x14ac:dyDescent="0.15">
      <c r="A657" s="11">
        <v>10804</v>
      </c>
      <c r="B657">
        <v>7</v>
      </c>
      <c r="C657" s="1">
        <v>48</v>
      </c>
      <c r="D657">
        <v>0</v>
      </c>
      <c r="E657">
        <v>0</v>
      </c>
      <c r="F657">
        <v>1</v>
      </c>
      <c r="G657" s="7">
        <v>0.05</v>
      </c>
      <c r="H657">
        <v>12</v>
      </c>
      <c r="I657">
        <v>0</v>
      </c>
      <c r="J657">
        <v>0</v>
      </c>
      <c r="K657">
        <v>0</v>
      </c>
      <c r="L657">
        <v>1</v>
      </c>
      <c r="M657">
        <v>2</v>
      </c>
      <c r="N657" s="7">
        <v>9</v>
      </c>
      <c r="O657" s="7">
        <v>0</v>
      </c>
      <c r="P657" s="7">
        <v>0</v>
      </c>
      <c r="Q657" s="7">
        <v>0</v>
      </c>
      <c r="R657" s="7">
        <v>1</v>
      </c>
      <c r="S657" s="7">
        <v>4.5</v>
      </c>
      <c r="T657">
        <v>7</v>
      </c>
      <c r="U657" s="1">
        <v>36</v>
      </c>
      <c r="V657">
        <v>0</v>
      </c>
      <c r="W657">
        <v>0</v>
      </c>
      <c r="X657">
        <v>1</v>
      </c>
      <c r="Y657">
        <v>0.16</v>
      </c>
      <c r="Z657">
        <v>23</v>
      </c>
      <c r="AA657">
        <v>0</v>
      </c>
      <c r="AB657">
        <v>0</v>
      </c>
      <c r="AC657">
        <v>0</v>
      </c>
      <c r="AD657">
        <v>1</v>
      </c>
      <c r="AE657">
        <v>0.05</v>
      </c>
      <c r="AF657">
        <v>15</v>
      </c>
      <c r="AG657">
        <v>0</v>
      </c>
      <c r="AH657">
        <v>0</v>
      </c>
      <c r="AI657">
        <v>0</v>
      </c>
      <c r="AJ657">
        <v>1</v>
      </c>
      <c r="AK657">
        <v>0.02</v>
      </c>
      <c r="AL657">
        <v>16</v>
      </c>
      <c r="AM657">
        <v>0</v>
      </c>
      <c r="AN657">
        <v>0</v>
      </c>
      <c r="AO657">
        <v>0</v>
      </c>
      <c r="AP657">
        <v>1</v>
      </c>
      <c r="AQ657">
        <v>0.01</v>
      </c>
      <c r="AX657">
        <v>7</v>
      </c>
      <c r="AY657" s="1">
        <v>20</v>
      </c>
      <c r="AZ657">
        <v>0</v>
      </c>
      <c r="BA657">
        <v>0</v>
      </c>
      <c r="BB657">
        <v>1</v>
      </c>
      <c r="BC657" s="7">
        <v>0.32</v>
      </c>
      <c r="BD657">
        <v>30</v>
      </c>
      <c r="BE657">
        <v>0</v>
      </c>
      <c r="BF657">
        <v>0</v>
      </c>
      <c r="BG657">
        <v>0</v>
      </c>
      <c r="BH657">
        <v>5</v>
      </c>
      <c r="BI657">
        <v>2.4</v>
      </c>
      <c r="BJ657">
        <v>31</v>
      </c>
      <c r="BK657">
        <v>0</v>
      </c>
      <c r="BL657">
        <v>0</v>
      </c>
      <c r="BM657">
        <v>0</v>
      </c>
      <c r="BN657">
        <v>5</v>
      </c>
      <c r="BO657">
        <v>2.4</v>
      </c>
      <c r="BP657">
        <v>36</v>
      </c>
      <c r="BQ657">
        <v>0</v>
      </c>
      <c r="BR657">
        <v>0</v>
      </c>
      <c r="BS657">
        <v>0</v>
      </c>
      <c r="BT657">
        <v>5</v>
      </c>
      <c r="BU657">
        <v>2.1</v>
      </c>
    </row>
    <row r="658" spans="1:73" x14ac:dyDescent="0.15">
      <c r="A658" s="11">
        <v>10805</v>
      </c>
      <c r="B658">
        <v>7</v>
      </c>
      <c r="C658" s="1">
        <v>0</v>
      </c>
      <c r="D658">
        <v>5</v>
      </c>
      <c r="E658">
        <v>1</v>
      </c>
      <c r="F658">
        <v>1</v>
      </c>
      <c r="G658" s="7">
        <v>0.05</v>
      </c>
      <c r="H658">
        <v>12</v>
      </c>
      <c r="I658">
        <v>0</v>
      </c>
      <c r="J658">
        <v>0</v>
      </c>
      <c r="K658">
        <v>0</v>
      </c>
      <c r="L658">
        <v>1</v>
      </c>
      <c r="M658">
        <v>2</v>
      </c>
      <c r="N658" s="7">
        <v>9</v>
      </c>
      <c r="O658" s="7">
        <v>0</v>
      </c>
      <c r="P658" s="7">
        <v>0</v>
      </c>
      <c r="Q658" s="7">
        <v>0</v>
      </c>
      <c r="R658" s="7">
        <v>1</v>
      </c>
      <c r="S658" s="7">
        <v>4.5</v>
      </c>
      <c r="T658">
        <v>7</v>
      </c>
      <c r="U658" s="1">
        <v>0</v>
      </c>
      <c r="V658">
        <v>4</v>
      </c>
      <c r="W658">
        <v>2</v>
      </c>
      <c r="X658">
        <v>1</v>
      </c>
      <c r="Y658">
        <v>0.16</v>
      </c>
      <c r="Z658">
        <v>23</v>
      </c>
      <c r="AA658">
        <v>0</v>
      </c>
      <c r="AB658">
        <v>0</v>
      </c>
      <c r="AC658">
        <v>0</v>
      </c>
      <c r="AD658">
        <v>1</v>
      </c>
      <c r="AE658">
        <v>0.05</v>
      </c>
      <c r="AF658">
        <v>15</v>
      </c>
      <c r="AG658">
        <v>0</v>
      </c>
      <c r="AH658">
        <v>0</v>
      </c>
      <c r="AI658">
        <v>0</v>
      </c>
      <c r="AJ658">
        <v>1</v>
      </c>
      <c r="AK658">
        <v>0.02</v>
      </c>
      <c r="AL658">
        <v>16</v>
      </c>
      <c r="AM658">
        <v>0</v>
      </c>
      <c r="AN658">
        <v>0</v>
      </c>
      <c r="AO658">
        <v>0</v>
      </c>
      <c r="AP658">
        <v>1</v>
      </c>
      <c r="AQ658">
        <v>0.01</v>
      </c>
      <c r="AR658">
        <v>6</v>
      </c>
      <c r="AS658">
        <v>2</v>
      </c>
      <c r="AT658">
        <v>1</v>
      </c>
      <c r="AU658">
        <v>5</v>
      </c>
      <c r="AV658">
        <v>1</v>
      </c>
      <c r="AW658">
        <v>0.05</v>
      </c>
      <c r="AX658">
        <v>7</v>
      </c>
      <c r="AY658" s="1">
        <v>0</v>
      </c>
      <c r="AZ658">
        <v>3</v>
      </c>
      <c r="BA658">
        <v>1</v>
      </c>
      <c r="BB658">
        <v>1</v>
      </c>
      <c r="BC658" s="7">
        <v>0.32</v>
      </c>
      <c r="BD658">
        <v>30</v>
      </c>
      <c r="BE658">
        <v>0</v>
      </c>
      <c r="BF658">
        <v>0</v>
      </c>
      <c r="BG658">
        <v>0</v>
      </c>
      <c r="BH658">
        <v>5</v>
      </c>
      <c r="BI658">
        <v>2.4</v>
      </c>
      <c r="BJ658">
        <v>31</v>
      </c>
      <c r="BK658">
        <v>0</v>
      </c>
      <c r="BL658">
        <v>0</v>
      </c>
      <c r="BM658">
        <v>0</v>
      </c>
      <c r="BN658">
        <v>5</v>
      </c>
      <c r="BO658">
        <v>2.4</v>
      </c>
      <c r="BP658">
        <v>36</v>
      </c>
      <c r="BQ658">
        <v>0</v>
      </c>
      <c r="BR658">
        <v>0</v>
      </c>
      <c r="BS658">
        <v>0</v>
      </c>
      <c r="BT658">
        <v>5</v>
      </c>
      <c r="BU658">
        <v>2.1</v>
      </c>
    </row>
    <row r="659" spans="1:73" x14ac:dyDescent="0.15">
      <c r="A659" s="11">
        <v>10806</v>
      </c>
      <c r="B659">
        <v>7</v>
      </c>
      <c r="C659" s="1">
        <v>45</v>
      </c>
      <c r="D659">
        <v>0</v>
      </c>
      <c r="E659">
        <v>0</v>
      </c>
      <c r="F659">
        <v>1</v>
      </c>
      <c r="G659" s="7">
        <v>0.05</v>
      </c>
      <c r="H659">
        <v>12</v>
      </c>
      <c r="I659">
        <v>0</v>
      </c>
      <c r="J659">
        <v>0</v>
      </c>
      <c r="K659">
        <v>0</v>
      </c>
      <c r="L659">
        <v>1</v>
      </c>
      <c r="M659">
        <v>2</v>
      </c>
      <c r="N659" s="7">
        <v>9</v>
      </c>
      <c r="O659" s="7">
        <v>0</v>
      </c>
      <c r="P659" s="7">
        <v>0</v>
      </c>
      <c r="Q659" s="7">
        <v>0</v>
      </c>
      <c r="R659" s="7">
        <v>1</v>
      </c>
      <c r="S659" s="7">
        <v>4.5</v>
      </c>
      <c r="T659">
        <v>7</v>
      </c>
      <c r="U659" s="1">
        <v>33</v>
      </c>
      <c r="V659">
        <v>0</v>
      </c>
      <c r="W659">
        <v>0</v>
      </c>
      <c r="X659">
        <v>1</v>
      </c>
      <c r="Y659">
        <v>0.16</v>
      </c>
      <c r="Z659">
        <v>23</v>
      </c>
      <c r="AA659">
        <v>0</v>
      </c>
      <c r="AB659">
        <v>0</v>
      </c>
      <c r="AC659">
        <v>0</v>
      </c>
      <c r="AD659">
        <v>1</v>
      </c>
      <c r="AE659">
        <v>0.05</v>
      </c>
      <c r="AF659">
        <v>15</v>
      </c>
      <c r="AG659">
        <v>0</v>
      </c>
      <c r="AH659">
        <v>0</v>
      </c>
      <c r="AI659">
        <v>0</v>
      </c>
      <c r="AJ659">
        <v>1</v>
      </c>
      <c r="AK659">
        <v>0.02</v>
      </c>
      <c r="AL659">
        <v>16</v>
      </c>
      <c r="AM659">
        <v>0</v>
      </c>
      <c r="AN659">
        <v>0</v>
      </c>
      <c r="AO659">
        <v>0</v>
      </c>
      <c r="AP659">
        <v>1</v>
      </c>
      <c r="AQ659">
        <v>0.01</v>
      </c>
      <c r="AX659">
        <v>7</v>
      </c>
      <c r="AY659" s="1">
        <v>17</v>
      </c>
      <c r="AZ659">
        <v>0</v>
      </c>
      <c r="BA659">
        <v>0</v>
      </c>
      <c r="BB659">
        <v>1</v>
      </c>
      <c r="BC659" s="7">
        <v>0.32</v>
      </c>
      <c r="BD659">
        <v>30</v>
      </c>
      <c r="BE659">
        <v>0</v>
      </c>
      <c r="BF659">
        <v>0</v>
      </c>
      <c r="BG659">
        <v>0</v>
      </c>
      <c r="BH659">
        <v>5</v>
      </c>
      <c r="BI659">
        <v>2.4</v>
      </c>
      <c r="BJ659">
        <v>31</v>
      </c>
      <c r="BK659">
        <v>0</v>
      </c>
      <c r="BL659">
        <v>0</v>
      </c>
      <c r="BM659">
        <v>0</v>
      </c>
      <c r="BN659">
        <v>5</v>
      </c>
      <c r="BO659">
        <v>2.4</v>
      </c>
      <c r="BP659">
        <v>36</v>
      </c>
      <c r="BQ659">
        <v>0</v>
      </c>
      <c r="BR659">
        <v>0</v>
      </c>
      <c r="BS659">
        <v>0</v>
      </c>
      <c r="BT659">
        <v>5</v>
      </c>
      <c r="BU659">
        <v>2.1</v>
      </c>
    </row>
    <row r="660" spans="1:73" x14ac:dyDescent="0.15">
      <c r="A660" s="11">
        <v>10807</v>
      </c>
      <c r="B660">
        <v>7</v>
      </c>
      <c r="C660" s="1">
        <v>46</v>
      </c>
      <c r="D660">
        <v>0</v>
      </c>
      <c r="E660">
        <v>0</v>
      </c>
      <c r="F660">
        <v>1</v>
      </c>
      <c r="G660" s="7">
        <v>0.05</v>
      </c>
      <c r="H660">
        <v>12</v>
      </c>
      <c r="I660">
        <v>0</v>
      </c>
      <c r="J660">
        <v>0</v>
      </c>
      <c r="K660">
        <v>0</v>
      </c>
      <c r="L660">
        <v>1</v>
      </c>
      <c r="M660">
        <v>2</v>
      </c>
      <c r="N660" s="7">
        <v>9</v>
      </c>
      <c r="O660" s="7">
        <v>0</v>
      </c>
      <c r="P660" s="7">
        <v>0</v>
      </c>
      <c r="Q660" s="7">
        <v>0</v>
      </c>
      <c r="R660" s="7">
        <v>1</v>
      </c>
      <c r="S660" s="7">
        <v>4.5</v>
      </c>
      <c r="T660">
        <v>7</v>
      </c>
      <c r="U660" s="1">
        <v>34</v>
      </c>
      <c r="V660">
        <v>0</v>
      </c>
      <c r="W660">
        <v>0</v>
      </c>
      <c r="X660">
        <v>1</v>
      </c>
      <c r="Y660">
        <v>0.16</v>
      </c>
      <c r="Z660">
        <v>23</v>
      </c>
      <c r="AA660">
        <v>0</v>
      </c>
      <c r="AB660">
        <v>0</v>
      </c>
      <c r="AC660">
        <v>0</v>
      </c>
      <c r="AD660">
        <v>1</v>
      </c>
      <c r="AE660">
        <v>0.05</v>
      </c>
      <c r="AF660">
        <v>15</v>
      </c>
      <c r="AG660">
        <v>0</v>
      </c>
      <c r="AH660">
        <v>0</v>
      </c>
      <c r="AI660">
        <v>0</v>
      </c>
      <c r="AJ660">
        <v>1</v>
      </c>
      <c r="AK660">
        <v>0.02</v>
      </c>
      <c r="AL660">
        <v>16</v>
      </c>
      <c r="AM660">
        <v>0</v>
      </c>
      <c r="AN660">
        <v>0</v>
      </c>
      <c r="AO660">
        <v>0</v>
      </c>
      <c r="AP660">
        <v>1</v>
      </c>
      <c r="AQ660">
        <v>0.01</v>
      </c>
      <c r="AX660">
        <v>7</v>
      </c>
      <c r="AY660" s="1">
        <v>18</v>
      </c>
      <c r="AZ660">
        <v>0</v>
      </c>
      <c r="BA660">
        <v>0</v>
      </c>
      <c r="BB660">
        <v>1</v>
      </c>
      <c r="BC660" s="7">
        <v>0.32</v>
      </c>
      <c r="BD660">
        <v>30</v>
      </c>
      <c r="BE660">
        <v>0</v>
      </c>
      <c r="BF660">
        <v>0</v>
      </c>
      <c r="BG660">
        <v>0</v>
      </c>
      <c r="BH660">
        <v>5</v>
      </c>
      <c r="BI660">
        <v>2.4</v>
      </c>
      <c r="BJ660">
        <v>31</v>
      </c>
      <c r="BK660">
        <v>0</v>
      </c>
      <c r="BL660">
        <v>0</v>
      </c>
      <c r="BM660">
        <v>0</v>
      </c>
      <c r="BN660">
        <v>5</v>
      </c>
      <c r="BO660">
        <v>2.4</v>
      </c>
      <c r="BP660">
        <v>36</v>
      </c>
      <c r="BQ660">
        <v>0</v>
      </c>
      <c r="BR660">
        <v>0</v>
      </c>
      <c r="BS660">
        <v>0</v>
      </c>
      <c r="BT660">
        <v>5</v>
      </c>
      <c r="BU660">
        <v>2.1</v>
      </c>
    </row>
    <row r="661" spans="1:73" x14ac:dyDescent="0.15">
      <c r="A661" s="11">
        <v>10808</v>
      </c>
      <c r="B661">
        <v>7</v>
      </c>
      <c r="C661" s="1">
        <v>47</v>
      </c>
      <c r="D661">
        <v>0</v>
      </c>
      <c r="E661">
        <v>0</v>
      </c>
      <c r="F661">
        <v>1</v>
      </c>
      <c r="G661" s="7">
        <v>0.05</v>
      </c>
      <c r="H661">
        <v>12</v>
      </c>
      <c r="I661">
        <v>0</v>
      </c>
      <c r="J661">
        <v>0</v>
      </c>
      <c r="K661">
        <v>0</v>
      </c>
      <c r="L661">
        <v>1</v>
      </c>
      <c r="M661">
        <v>2</v>
      </c>
      <c r="N661" s="7">
        <v>9</v>
      </c>
      <c r="O661" s="7">
        <v>0</v>
      </c>
      <c r="P661" s="7">
        <v>0</v>
      </c>
      <c r="Q661" s="7">
        <v>0</v>
      </c>
      <c r="R661" s="7">
        <v>1</v>
      </c>
      <c r="S661" s="7">
        <v>4.5</v>
      </c>
      <c r="T661">
        <v>7</v>
      </c>
      <c r="U661" s="1">
        <v>35</v>
      </c>
      <c r="V661">
        <v>0</v>
      </c>
      <c r="W661">
        <v>0</v>
      </c>
      <c r="X661">
        <v>1</v>
      </c>
      <c r="Y661">
        <v>0.16</v>
      </c>
      <c r="Z661">
        <v>23</v>
      </c>
      <c r="AA661">
        <v>0</v>
      </c>
      <c r="AB661">
        <v>0</v>
      </c>
      <c r="AC661">
        <v>0</v>
      </c>
      <c r="AD661">
        <v>1</v>
      </c>
      <c r="AE661">
        <v>0.05</v>
      </c>
      <c r="AF661">
        <v>15</v>
      </c>
      <c r="AG661">
        <v>0</v>
      </c>
      <c r="AH661">
        <v>0</v>
      </c>
      <c r="AI661">
        <v>0</v>
      </c>
      <c r="AJ661">
        <v>1</v>
      </c>
      <c r="AK661">
        <v>0.02</v>
      </c>
      <c r="AL661">
        <v>16</v>
      </c>
      <c r="AM661">
        <v>0</v>
      </c>
      <c r="AN661">
        <v>0</v>
      </c>
      <c r="AO661">
        <v>0</v>
      </c>
      <c r="AP661">
        <v>1</v>
      </c>
      <c r="AQ661">
        <v>0.01</v>
      </c>
      <c r="AX661">
        <v>7</v>
      </c>
      <c r="AY661" s="1">
        <v>19</v>
      </c>
      <c r="AZ661">
        <v>0</v>
      </c>
      <c r="BA661">
        <v>0</v>
      </c>
      <c r="BB661">
        <v>1</v>
      </c>
      <c r="BC661" s="7">
        <v>0.32</v>
      </c>
      <c r="BD661">
        <v>30</v>
      </c>
      <c r="BE661">
        <v>0</v>
      </c>
      <c r="BF661">
        <v>0</v>
      </c>
      <c r="BG661">
        <v>0</v>
      </c>
      <c r="BH661">
        <v>5</v>
      </c>
      <c r="BI661">
        <v>2.4</v>
      </c>
      <c r="BJ661">
        <v>31</v>
      </c>
      <c r="BK661">
        <v>0</v>
      </c>
      <c r="BL661">
        <v>0</v>
      </c>
      <c r="BM661">
        <v>0</v>
      </c>
      <c r="BN661">
        <v>5</v>
      </c>
      <c r="BO661">
        <v>2.4</v>
      </c>
      <c r="BP661">
        <v>36</v>
      </c>
      <c r="BQ661">
        <v>0</v>
      </c>
      <c r="BR661">
        <v>0</v>
      </c>
      <c r="BS661">
        <v>0</v>
      </c>
      <c r="BT661">
        <v>5</v>
      </c>
      <c r="BU661">
        <v>2.1</v>
      </c>
    </row>
    <row r="662" spans="1:73" x14ac:dyDescent="0.15">
      <c r="A662" s="11">
        <v>10809</v>
      </c>
      <c r="B662">
        <v>7</v>
      </c>
      <c r="C662" s="1">
        <v>48</v>
      </c>
      <c r="D662">
        <v>0</v>
      </c>
      <c r="E662">
        <v>0</v>
      </c>
      <c r="F662">
        <v>1</v>
      </c>
      <c r="G662" s="7">
        <v>0.05</v>
      </c>
      <c r="H662">
        <v>12</v>
      </c>
      <c r="I662">
        <v>0</v>
      </c>
      <c r="J662">
        <v>0</v>
      </c>
      <c r="K662">
        <v>0</v>
      </c>
      <c r="L662">
        <v>1</v>
      </c>
      <c r="M662">
        <v>2</v>
      </c>
      <c r="N662" s="7">
        <v>9</v>
      </c>
      <c r="O662" s="7">
        <v>0</v>
      </c>
      <c r="P662" s="7">
        <v>0</v>
      </c>
      <c r="Q662" s="7">
        <v>0</v>
      </c>
      <c r="R662" s="7">
        <v>1</v>
      </c>
      <c r="S662" s="7">
        <v>4.5</v>
      </c>
      <c r="T662">
        <v>7</v>
      </c>
      <c r="U662" s="1">
        <v>36</v>
      </c>
      <c r="V662">
        <v>0</v>
      </c>
      <c r="W662">
        <v>0</v>
      </c>
      <c r="X662">
        <v>1</v>
      </c>
      <c r="Y662">
        <v>0.16</v>
      </c>
      <c r="Z662">
        <v>23</v>
      </c>
      <c r="AA662">
        <v>0</v>
      </c>
      <c r="AB662">
        <v>0</v>
      </c>
      <c r="AC662">
        <v>0</v>
      </c>
      <c r="AD662">
        <v>1</v>
      </c>
      <c r="AE662">
        <v>0.05</v>
      </c>
      <c r="AF662">
        <v>15</v>
      </c>
      <c r="AG662">
        <v>0</v>
      </c>
      <c r="AH662">
        <v>0</v>
      </c>
      <c r="AI662">
        <v>0</v>
      </c>
      <c r="AJ662">
        <v>1</v>
      </c>
      <c r="AK662">
        <v>0.02</v>
      </c>
      <c r="AL662">
        <v>16</v>
      </c>
      <c r="AM662">
        <v>0</v>
      </c>
      <c r="AN662">
        <v>0</v>
      </c>
      <c r="AO662">
        <v>0</v>
      </c>
      <c r="AP662">
        <v>1</v>
      </c>
      <c r="AQ662">
        <v>0.01</v>
      </c>
      <c r="AX662">
        <v>7</v>
      </c>
      <c r="AY662" s="1">
        <v>20</v>
      </c>
      <c r="AZ662">
        <v>0</v>
      </c>
      <c r="BA662">
        <v>0</v>
      </c>
      <c r="BB662">
        <v>1</v>
      </c>
      <c r="BC662" s="7">
        <v>0.32</v>
      </c>
      <c r="BD662">
        <v>30</v>
      </c>
      <c r="BE662">
        <v>0</v>
      </c>
      <c r="BF662">
        <v>0</v>
      </c>
      <c r="BG662">
        <v>0</v>
      </c>
      <c r="BH662">
        <v>5</v>
      </c>
      <c r="BI662">
        <v>2.4</v>
      </c>
      <c r="BJ662">
        <v>31</v>
      </c>
      <c r="BK662">
        <v>0</v>
      </c>
      <c r="BL662">
        <v>0</v>
      </c>
      <c r="BM662">
        <v>0</v>
      </c>
      <c r="BN662">
        <v>5</v>
      </c>
      <c r="BO662">
        <v>2.4</v>
      </c>
      <c r="BP662">
        <v>36</v>
      </c>
      <c r="BQ662">
        <v>0</v>
      </c>
      <c r="BR662">
        <v>0</v>
      </c>
      <c r="BS662">
        <v>0</v>
      </c>
      <c r="BT662">
        <v>5</v>
      </c>
      <c r="BU662">
        <v>2.1</v>
      </c>
    </row>
    <row r="663" spans="1:73" x14ac:dyDescent="0.15">
      <c r="A663" s="11">
        <v>10810</v>
      </c>
      <c r="B663">
        <v>7</v>
      </c>
      <c r="C663" s="1">
        <v>0</v>
      </c>
      <c r="D663">
        <v>5</v>
      </c>
      <c r="E663">
        <v>1</v>
      </c>
      <c r="F663">
        <v>1</v>
      </c>
      <c r="G663" s="7">
        <v>0.05</v>
      </c>
      <c r="H663">
        <v>12</v>
      </c>
      <c r="I663">
        <v>0</v>
      </c>
      <c r="J663">
        <v>0</v>
      </c>
      <c r="K663">
        <v>0</v>
      </c>
      <c r="L663">
        <v>1</v>
      </c>
      <c r="M663">
        <v>2</v>
      </c>
      <c r="N663" s="7">
        <v>9</v>
      </c>
      <c r="O663" s="7">
        <v>0</v>
      </c>
      <c r="P663" s="7">
        <v>0</v>
      </c>
      <c r="Q663" s="7">
        <v>0</v>
      </c>
      <c r="R663" s="7">
        <v>1</v>
      </c>
      <c r="S663" s="7">
        <v>4.5</v>
      </c>
      <c r="T663">
        <v>7</v>
      </c>
      <c r="U663" s="1">
        <v>0</v>
      </c>
      <c r="V663">
        <v>4</v>
      </c>
      <c r="W663">
        <v>2</v>
      </c>
      <c r="X663">
        <v>1</v>
      </c>
      <c r="Y663">
        <v>0.16</v>
      </c>
      <c r="Z663">
        <v>23</v>
      </c>
      <c r="AA663">
        <v>0</v>
      </c>
      <c r="AB663">
        <v>0</v>
      </c>
      <c r="AC663">
        <v>0</v>
      </c>
      <c r="AD663">
        <v>1</v>
      </c>
      <c r="AE663">
        <v>0.05</v>
      </c>
      <c r="AF663">
        <v>15</v>
      </c>
      <c r="AG663">
        <v>0</v>
      </c>
      <c r="AH663">
        <v>0</v>
      </c>
      <c r="AI663">
        <v>0</v>
      </c>
      <c r="AJ663">
        <v>1</v>
      </c>
      <c r="AK663">
        <v>0.02</v>
      </c>
      <c r="AL663">
        <v>16</v>
      </c>
      <c r="AM663">
        <v>0</v>
      </c>
      <c r="AN663">
        <v>0</v>
      </c>
      <c r="AO663">
        <v>0</v>
      </c>
      <c r="AP663">
        <v>1</v>
      </c>
      <c r="AQ663">
        <v>0.01</v>
      </c>
      <c r="AR663">
        <v>6</v>
      </c>
      <c r="AS663">
        <v>2</v>
      </c>
      <c r="AT663">
        <v>2</v>
      </c>
      <c r="AU663">
        <v>5</v>
      </c>
      <c r="AV663">
        <v>1</v>
      </c>
      <c r="AW663">
        <v>0.05</v>
      </c>
      <c r="AX663">
        <v>7</v>
      </c>
      <c r="AY663" s="1">
        <v>0</v>
      </c>
      <c r="AZ663">
        <v>3</v>
      </c>
      <c r="BA663">
        <v>1</v>
      </c>
      <c r="BB663">
        <v>1</v>
      </c>
      <c r="BC663" s="7">
        <v>0.32</v>
      </c>
      <c r="BD663">
        <v>30</v>
      </c>
      <c r="BE663">
        <v>0</v>
      </c>
      <c r="BF663">
        <v>0</v>
      </c>
      <c r="BG663">
        <v>0</v>
      </c>
      <c r="BH663">
        <v>5</v>
      </c>
      <c r="BI663">
        <v>2.4</v>
      </c>
      <c r="BJ663">
        <v>31</v>
      </c>
      <c r="BK663">
        <v>0</v>
      </c>
      <c r="BL663">
        <v>0</v>
      </c>
      <c r="BM663">
        <v>0</v>
      </c>
      <c r="BN663">
        <v>5</v>
      </c>
      <c r="BO663">
        <v>2.4</v>
      </c>
      <c r="BP663">
        <v>36</v>
      </c>
      <c r="BQ663">
        <v>0</v>
      </c>
      <c r="BR663">
        <v>0</v>
      </c>
      <c r="BS663">
        <v>0</v>
      </c>
      <c r="BT663">
        <v>5</v>
      </c>
      <c r="BU663">
        <v>2.1</v>
      </c>
    </row>
    <row r="664" spans="1:73" x14ac:dyDescent="0.15">
      <c r="A664" s="11">
        <v>10811</v>
      </c>
      <c r="B664">
        <v>7</v>
      </c>
      <c r="C664" s="1">
        <v>45</v>
      </c>
      <c r="D664">
        <v>0</v>
      </c>
      <c r="E664">
        <v>0</v>
      </c>
      <c r="F664">
        <v>1</v>
      </c>
      <c r="G664" s="7">
        <v>0.05</v>
      </c>
      <c r="H664">
        <v>12</v>
      </c>
      <c r="I664">
        <v>0</v>
      </c>
      <c r="J664">
        <v>0</v>
      </c>
      <c r="K664">
        <v>0</v>
      </c>
      <c r="L664">
        <v>1</v>
      </c>
      <c r="M664">
        <v>2</v>
      </c>
      <c r="N664" s="7">
        <v>9</v>
      </c>
      <c r="O664" s="7">
        <v>0</v>
      </c>
      <c r="P664" s="7">
        <v>0</v>
      </c>
      <c r="Q664" s="7">
        <v>0</v>
      </c>
      <c r="R664" s="7">
        <v>1</v>
      </c>
      <c r="S664" s="7">
        <v>4.5</v>
      </c>
      <c r="T664">
        <v>7</v>
      </c>
      <c r="U664" s="1">
        <v>33</v>
      </c>
      <c r="V664">
        <v>0</v>
      </c>
      <c r="W664">
        <v>0</v>
      </c>
      <c r="X664">
        <v>1</v>
      </c>
      <c r="Y664">
        <v>0.16</v>
      </c>
      <c r="Z664">
        <v>23</v>
      </c>
      <c r="AA664">
        <v>0</v>
      </c>
      <c r="AB664">
        <v>0</v>
      </c>
      <c r="AC664">
        <v>0</v>
      </c>
      <c r="AD664">
        <v>1</v>
      </c>
      <c r="AE664">
        <v>0.05</v>
      </c>
      <c r="AF664">
        <v>15</v>
      </c>
      <c r="AG664">
        <v>0</v>
      </c>
      <c r="AH664">
        <v>0</v>
      </c>
      <c r="AI664">
        <v>0</v>
      </c>
      <c r="AJ664">
        <v>1</v>
      </c>
      <c r="AK664">
        <v>0.02</v>
      </c>
      <c r="AL664">
        <v>16</v>
      </c>
      <c r="AM664">
        <v>0</v>
      </c>
      <c r="AN664">
        <v>0</v>
      </c>
      <c r="AO664">
        <v>0</v>
      </c>
      <c r="AP664">
        <v>1</v>
      </c>
      <c r="AQ664">
        <v>0.01</v>
      </c>
      <c r="AX664">
        <v>7</v>
      </c>
      <c r="AY664" s="1">
        <v>17</v>
      </c>
      <c r="AZ664">
        <v>0</v>
      </c>
      <c r="BA664">
        <v>0</v>
      </c>
      <c r="BB664">
        <v>1</v>
      </c>
      <c r="BC664" s="7">
        <v>0.32</v>
      </c>
      <c r="BD664">
        <v>30</v>
      </c>
      <c r="BE664">
        <v>0</v>
      </c>
      <c r="BF664">
        <v>0</v>
      </c>
      <c r="BG664">
        <v>0</v>
      </c>
      <c r="BH664">
        <v>5</v>
      </c>
      <c r="BI664">
        <v>2.4</v>
      </c>
      <c r="BJ664">
        <v>31</v>
      </c>
      <c r="BK664">
        <v>0</v>
      </c>
      <c r="BL664">
        <v>0</v>
      </c>
      <c r="BM664">
        <v>0</v>
      </c>
      <c r="BN664">
        <v>5</v>
      </c>
      <c r="BO664">
        <v>2.4</v>
      </c>
      <c r="BP664">
        <v>36</v>
      </c>
      <c r="BQ664">
        <v>0</v>
      </c>
      <c r="BR664">
        <v>0</v>
      </c>
      <c r="BS664">
        <v>0</v>
      </c>
      <c r="BT664">
        <v>5</v>
      </c>
      <c r="BU664">
        <v>2.1</v>
      </c>
    </row>
    <row r="665" spans="1:73" x14ac:dyDescent="0.15">
      <c r="A665" s="11">
        <v>10812</v>
      </c>
      <c r="B665">
        <v>7</v>
      </c>
      <c r="C665" s="1">
        <v>46</v>
      </c>
      <c r="D665">
        <v>0</v>
      </c>
      <c r="E665">
        <v>0</v>
      </c>
      <c r="F665">
        <v>1</v>
      </c>
      <c r="G665" s="7">
        <v>0.05</v>
      </c>
      <c r="H665">
        <v>12</v>
      </c>
      <c r="I665">
        <v>0</v>
      </c>
      <c r="J665">
        <v>0</v>
      </c>
      <c r="K665">
        <v>0</v>
      </c>
      <c r="L665">
        <v>1</v>
      </c>
      <c r="M665">
        <v>2</v>
      </c>
      <c r="N665" s="7">
        <v>9</v>
      </c>
      <c r="O665" s="7">
        <v>0</v>
      </c>
      <c r="P665" s="7">
        <v>0</v>
      </c>
      <c r="Q665" s="7">
        <v>0</v>
      </c>
      <c r="R665" s="7">
        <v>1</v>
      </c>
      <c r="S665" s="7">
        <v>4.5</v>
      </c>
      <c r="T665">
        <v>7</v>
      </c>
      <c r="U665" s="1">
        <v>34</v>
      </c>
      <c r="V665">
        <v>0</v>
      </c>
      <c r="W665">
        <v>0</v>
      </c>
      <c r="X665">
        <v>1</v>
      </c>
      <c r="Y665">
        <v>0.16</v>
      </c>
      <c r="Z665">
        <v>23</v>
      </c>
      <c r="AA665">
        <v>0</v>
      </c>
      <c r="AB665">
        <v>0</v>
      </c>
      <c r="AC665">
        <v>0</v>
      </c>
      <c r="AD665">
        <v>1</v>
      </c>
      <c r="AE665">
        <v>0.05</v>
      </c>
      <c r="AF665">
        <v>15</v>
      </c>
      <c r="AG665">
        <v>0</v>
      </c>
      <c r="AH665">
        <v>0</v>
      </c>
      <c r="AI665">
        <v>0</v>
      </c>
      <c r="AJ665">
        <v>1</v>
      </c>
      <c r="AK665">
        <v>0.02</v>
      </c>
      <c r="AL665">
        <v>16</v>
      </c>
      <c r="AM665">
        <v>0</v>
      </c>
      <c r="AN665">
        <v>0</v>
      </c>
      <c r="AO665">
        <v>0</v>
      </c>
      <c r="AP665">
        <v>1</v>
      </c>
      <c r="AQ665">
        <v>0.01</v>
      </c>
      <c r="AX665">
        <v>7</v>
      </c>
      <c r="AY665" s="1">
        <v>18</v>
      </c>
      <c r="AZ665">
        <v>0</v>
      </c>
      <c r="BA665">
        <v>0</v>
      </c>
      <c r="BB665">
        <v>1</v>
      </c>
      <c r="BC665" s="7">
        <v>0.32</v>
      </c>
      <c r="BD665">
        <v>30</v>
      </c>
      <c r="BE665">
        <v>0</v>
      </c>
      <c r="BF665">
        <v>0</v>
      </c>
      <c r="BG665">
        <v>0</v>
      </c>
      <c r="BH665">
        <v>5</v>
      </c>
      <c r="BI665">
        <v>2.4</v>
      </c>
      <c r="BJ665">
        <v>31</v>
      </c>
      <c r="BK665">
        <v>0</v>
      </c>
      <c r="BL665">
        <v>0</v>
      </c>
      <c r="BM665">
        <v>0</v>
      </c>
      <c r="BN665">
        <v>5</v>
      </c>
      <c r="BO665">
        <v>2.4</v>
      </c>
      <c r="BP665">
        <v>36</v>
      </c>
      <c r="BQ665">
        <v>0</v>
      </c>
      <c r="BR665">
        <v>0</v>
      </c>
      <c r="BS665">
        <v>0</v>
      </c>
      <c r="BT665">
        <v>5</v>
      </c>
      <c r="BU665">
        <v>2.1</v>
      </c>
    </row>
    <row r="666" spans="1:73" x14ac:dyDescent="0.15">
      <c r="A666" s="11">
        <v>10813</v>
      </c>
      <c r="B666">
        <v>7</v>
      </c>
      <c r="C666" s="1">
        <v>47</v>
      </c>
      <c r="D666">
        <v>0</v>
      </c>
      <c r="E666">
        <v>0</v>
      </c>
      <c r="F666">
        <v>1</v>
      </c>
      <c r="G666" s="7">
        <v>0.05</v>
      </c>
      <c r="H666">
        <v>12</v>
      </c>
      <c r="I666">
        <v>0</v>
      </c>
      <c r="J666">
        <v>0</v>
      </c>
      <c r="K666">
        <v>0</v>
      </c>
      <c r="L666">
        <v>1</v>
      </c>
      <c r="M666">
        <v>2</v>
      </c>
      <c r="N666" s="7">
        <v>9</v>
      </c>
      <c r="O666" s="7">
        <v>0</v>
      </c>
      <c r="P666" s="7">
        <v>0</v>
      </c>
      <c r="Q666" s="7">
        <v>0</v>
      </c>
      <c r="R666" s="7">
        <v>1</v>
      </c>
      <c r="S666" s="7">
        <v>4.5</v>
      </c>
      <c r="T666">
        <v>7</v>
      </c>
      <c r="U666" s="1">
        <v>35</v>
      </c>
      <c r="V666">
        <v>0</v>
      </c>
      <c r="W666">
        <v>0</v>
      </c>
      <c r="X666">
        <v>1</v>
      </c>
      <c r="Y666">
        <v>0.16</v>
      </c>
      <c r="Z666">
        <v>23</v>
      </c>
      <c r="AA666">
        <v>0</v>
      </c>
      <c r="AB666">
        <v>0</v>
      </c>
      <c r="AC666">
        <v>0</v>
      </c>
      <c r="AD666">
        <v>1</v>
      </c>
      <c r="AE666">
        <v>0.05</v>
      </c>
      <c r="AF666">
        <v>15</v>
      </c>
      <c r="AG666">
        <v>0</v>
      </c>
      <c r="AH666">
        <v>0</v>
      </c>
      <c r="AI666">
        <v>0</v>
      </c>
      <c r="AJ666">
        <v>1</v>
      </c>
      <c r="AK666">
        <v>0.02</v>
      </c>
      <c r="AL666">
        <v>16</v>
      </c>
      <c r="AM666">
        <v>0</v>
      </c>
      <c r="AN666">
        <v>0</v>
      </c>
      <c r="AO666">
        <v>0</v>
      </c>
      <c r="AP666">
        <v>1</v>
      </c>
      <c r="AQ666">
        <v>0.01</v>
      </c>
      <c r="AX666">
        <v>7</v>
      </c>
      <c r="AY666" s="1">
        <v>19</v>
      </c>
      <c r="AZ666">
        <v>0</v>
      </c>
      <c r="BA666">
        <v>0</v>
      </c>
      <c r="BB666">
        <v>1</v>
      </c>
      <c r="BC666" s="7">
        <v>0.32</v>
      </c>
      <c r="BD666">
        <v>30</v>
      </c>
      <c r="BE666">
        <v>0</v>
      </c>
      <c r="BF666">
        <v>0</v>
      </c>
      <c r="BG666">
        <v>0</v>
      </c>
      <c r="BH666">
        <v>5</v>
      </c>
      <c r="BI666">
        <v>2.4</v>
      </c>
      <c r="BJ666">
        <v>31</v>
      </c>
      <c r="BK666">
        <v>0</v>
      </c>
      <c r="BL666">
        <v>0</v>
      </c>
      <c r="BM666">
        <v>0</v>
      </c>
      <c r="BN666">
        <v>5</v>
      </c>
      <c r="BO666">
        <v>2.4</v>
      </c>
      <c r="BP666">
        <v>36</v>
      </c>
      <c r="BQ666">
        <v>0</v>
      </c>
      <c r="BR666">
        <v>0</v>
      </c>
      <c r="BS666">
        <v>0</v>
      </c>
      <c r="BT666">
        <v>5</v>
      </c>
      <c r="BU666">
        <v>2.1</v>
      </c>
    </row>
    <row r="667" spans="1:73" x14ac:dyDescent="0.15">
      <c r="A667" s="11">
        <v>10814</v>
      </c>
      <c r="B667">
        <v>7</v>
      </c>
      <c r="C667" s="1">
        <v>48</v>
      </c>
      <c r="D667">
        <v>0</v>
      </c>
      <c r="E667">
        <v>0</v>
      </c>
      <c r="F667">
        <v>1</v>
      </c>
      <c r="G667" s="7">
        <v>0.05</v>
      </c>
      <c r="H667">
        <v>12</v>
      </c>
      <c r="I667">
        <v>0</v>
      </c>
      <c r="J667">
        <v>0</v>
      </c>
      <c r="K667">
        <v>0</v>
      </c>
      <c r="L667">
        <v>1</v>
      </c>
      <c r="M667">
        <v>2</v>
      </c>
      <c r="N667" s="7">
        <v>9</v>
      </c>
      <c r="O667" s="7">
        <v>0</v>
      </c>
      <c r="P667" s="7">
        <v>0</v>
      </c>
      <c r="Q667" s="7">
        <v>0</v>
      </c>
      <c r="R667" s="7">
        <v>1</v>
      </c>
      <c r="S667" s="7">
        <v>4.5</v>
      </c>
      <c r="T667">
        <v>7</v>
      </c>
      <c r="U667" s="1">
        <v>36</v>
      </c>
      <c r="V667">
        <v>0</v>
      </c>
      <c r="W667">
        <v>0</v>
      </c>
      <c r="X667">
        <v>1</v>
      </c>
      <c r="Y667">
        <v>0.16</v>
      </c>
      <c r="Z667">
        <v>23</v>
      </c>
      <c r="AA667">
        <v>0</v>
      </c>
      <c r="AB667">
        <v>0</v>
      </c>
      <c r="AC667">
        <v>0</v>
      </c>
      <c r="AD667">
        <v>1</v>
      </c>
      <c r="AE667">
        <v>0.05</v>
      </c>
      <c r="AF667">
        <v>15</v>
      </c>
      <c r="AG667">
        <v>0</v>
      </c>
      <c r="AH667">
        <v>0</v>
      </c>
      <c r="AI667">
        <v>0</v>
      </c>
      <c r="AJ667">
        <v>1</v>
      </c>
      <c r="AK667">
        <v>0.02</v>
      </c>
      <c r="AL667">
        <v>16</v>
      </c>
      <c r="AM667">
        <v>0</v>
      </c>
      <c r="AN667">
        <v>0</v>
      </c>
      <c r="AO667">
        <v>0</v>
      </c>
      <c r="AP667">
        <v>1</v>
      </c>
      <c r="AQ667">
        <v>0.01</v>
      </c>
      <c r="AX667">
        <v>7</v>
      </c>
      <c r="AY667" s="1">
        <v>20</v>
      </c>
      <c r="AZ667">
        <v>0</v>
      </c>
      <c r="BA667">
        <v>0</v>
      </c>
      <c r="BB667">
        <v>1</v>
      </c>
      <c r="BC667" s="7">
        <v>0.32</v>
      </c>
      <c r="BD667">
        <v>30</v>
      </c>
      <c r="BE667">
        <v>0</v>
      </c>
      <c r="BF667">
        <v>0</v>
      </c>
      <c r="BG667">
        <v>0</v>
      </c>
      <c r="BH667">
        <v>5</v>
      </c>
      <c r="BI667">
        <v>2.4</v>
      </c>
      <c r="BJ667">
        <v>31</v>
      </c>
      <c r="BK667">
        <v>0</v>
      </c>
      <c r="BL667">
        <v>0</v>
      </c>
      <c r="BM667">
        <v>0</v>
      </c>
      <c r="BN667">
        <v>5</v>
      </c>
      <c r="BO667">
        <v>2.4</v>
      </c>
      <c r="BP667">
        <v>36</v>
      </c>
      <c r="BQ667">
        <v>0</v>
      </c>
      <c r="BR667">
        <v>0</v>
      </c>
      <c r="BS667">
        <v>0</v>
      </c>
      <c r="BT667">
        <v>5</v>
      </c>
      <c r="BU667">
        <v>2.1</v>
      </c>
    </row>
    <row r="668" spans="1:73" x14ac:dyDescent="0.15">
      <c r="A668" s="11">
        <v>10815</v>
      </c>
      <c r="B668">
        <v>7</v>
      </c>
      <c r="C668" s="1">
        <v>0</v>
      </c>
      <c r="D668">
        <v>5</v>
      </c>
      <c r="E668">
        <v>1</v>
      </c>
      <c r="F668">
        <v>1</v>
      </c>
      <c r="G668" s="7">
        <v>0.05</v>
      </c>
      <c r="H668">
        <v>12</v>
      </c>
      <c r="I668">
        <v>0</v>
      </c>
      <c r="J668">
        <v>0</v>
      </c>
      <c r="K668">
        <v>0</v>
      </c>
      <c r="L668">
        <v>1</v>
      </c>
      <c r="M668">
        <v>2</v>
      </c>
      <c r="N668" s="7">
        <v>9</v>
      </c>
      <c r="O668" s="7">
        <v>0</v>
      </c>
      <c r="P668" s="7">
        <v>0</v>
      </c>
      <c r="Q668" s="7">
        <v>0</v>
      </c>
      <c r="R668" s="7">
        <v>1</v>
      </c>
      <c r="S668" s="7">
        <v>4.5</v>
      </c>
      <c r="T668">
        <v>7</v>
      </c>
      <c r="U668" s="1">
        <v>0</v>
      </c>
      <c r="V668">
        <v>4</v>
      </c>
      <c r="W668">
        <v>2</v>
      </c>
      <c r="X668">
        <v>1</v>
      </c>
      <c r="Y668">
        <v>0.16</v>
      </c>
      <c r="Z668">
        <v>23</v>
      </c>
      <c r="AA668">
        <v>0</v>
      </c>
      <c r="AB668">
        <v>0</v>
      </c>
      <c r="AC668">
        <v>0</v>
      </c>
      <c r="AD668">
        <v>1</v>
      </c>
      <c r="AE668">
        <v>0.05</v>
      </c>
      <c r="AF668">
        <v>15</v>
      </c>
      <c r="AG668">
        <v>0</v>
      </c>
      <c r="AH668">
        <v>0</v>
      </c>
      <c r="AI668">
        <v>0</v>
      </c>
      <c r="AJ668">
        <v>1</v>
      </c>
      <c r="AK668">
        <v>0.02</v>
      </c>
      <c r="AL668">
        <v>16</v>
      </c>
      <c r="AM668">
        <v>0</v>
      </c>
      <c r="AN668">
        <v>0</v>
      </c>
      <c r="AO668">
        <v>0</v>
      </c>
      <c r="AP668">
        <v>1</v>
      </c>
      <c r="AQ668">
        <v>0.01</v>
      </c>
      <c r="AR668">
        <v>6</v>
      </c>
      <c r="AS668">
        <v>2</v>
      </c>
      <c r="AT668">
        <v>3</v>
      </c>
      <c r="AU668">
        <v>5</v>
      </c>
      <c r="AV668">
        <v>1</v>
      </c>
      <c r="AW668">
        <v>0.05</v>
      </c>
      <c r="AX668">
        <v>7</v>
      </c>
      <c r="AY668" s="1">
        <v>0</v>
      </c>
      <c r="AZ668">
        <v>3</v>
      </c>
      <c r="BA668">
        <v>1</v>
      </c>
      <c r="BB668">
        <v>1</v>
      </c>
      <c r="BC668" s="7">
        <v>0.32</v>
      </c>
      <c r="BD668">
        <v>30</v>
      </c>
      <c r="BE668">
        <v>0</v>
      </c>
      <c r="BF668">
        <v>0</v>
      </c>
      <c r="BG668">
        <v>0</v>
      </c>
      <c r="BH668">
        <v>5</v>
      </c>
      <c r="BI668">
        <v>2.4</v>
      </c>
      <c r="BJ668">
        <v>31</v>
      </c>
      <c r="BK668">
        <v>0</v>
      </c>
      <c r="BL668">
        <v>0</v>
      </c>
      <c r="BM668">
        <v>0</v>
      </c>
      <c r="BN668">
        <v>5</v>
      </c>
      <c r="BO668">
        <v>2.4</v>
      </c>
      <c r="BP668">
        <v>36</v>
      </c>
      <c r="BQ668">
        <v>0</v>
      </c>
      <c r="BR668">
        <v>0</v>
      </c>
      <c r="BS668">
        <v>0</v>
      </c>
      <c r="BT668">
        <v>5</v>
      </c>
      <c r="BU668">
        <v>2.1</v>
      </c>
    </row>
    <row r="669" spans="1:73" x14ac:dyDescent="0.15">
      <c r="A669" s="11">
        <v>10816</v>
      </c>
      <c r="B669">
        <v>7</v>
      </c>
      <c r="C669" s="1">
        <v>45</v>
      </c>
      <c r="D669">
        <v>0</v>
      </c>
      <c r="E669">
        <v>0</v>
      </c>
      <c r="F669">
        <v>1</v>
      </c>
      <c r="G669" s="7">
        <v>0.05</v>
      </c>
      <c r="H669">
        <v>12</v>
      </c>
      <c r="I669">
        <v>0</v>
      </c>
      <c r="J669">
        <v>0</v>
      </c>
      <c r="K669">
        <v>0</v>
      </c>
      <c r="L669">
        <v>1</v>
      </c>
      <c r="M669">
        <v>2</v>
      </c>
      <c r="N669" s="7">
        <v>9</v>
      </c>
      <c r="O669" s="7">
        <v>0</v>
      </c>
      <c r="P669" s="7">
        <v>0</v>
      </c>
      <c r="Q669" s="7">
        <v>0</v>
      </c>
      <c r="R669" s="7">
        <v>1</v>
      </c>
      <c r="S669" s="7">
        <v>4.5</v>
      </c>
      <c r="T669">
        <v>7</v>
      </c>
      <c r="U669" s="1">
        <v>33</v>
      </c>
      <c r="V669">
        <v>0</v>
      </c>
      <c r="W669">
        <v>0</v>
      </c>
      <c r="X669">
        <v>1</v>
      </c>
      <c r="Y669">
        <v>0.16</v>
      </c>
      <c r="Z669">
        <v>23</v>
      </c>
      <c r="AA669">
        <v>0</v>
      </c>
      <c r="AB669">
        <v>0</v>
      </c>
      <c r="AC669">
        <v>0</v>
      </c>
      <c r="AD669">
        <v>1</v>
      </c>
      <c r="AE669">
        <v>0.05</v>
      </c>
      <c r="AF669">
        <v>15</v>
      </c>
      <c r="AG669">
        <v>0</v>
      </c>
      <c r="AH669">
        <v>0</v>
      </c>
      <c r="AI669">
        <v>0</v>
      </c>
      <c r="AJ669">
        <v>1</v>
      </c>
      <c r="AK669">
        <v>0.02</v>
      </c>
      <c r="AL669">
        <v>16</v>
      </c>
      <c r="AM669">
        <v>0</v>
      </c>
      <c r="AN669">
        <v>0</v>
      </c>
      <c r="AO669">
        <v>0</v>
      </c>
      <c r="AP669">
        <v>1</v>
      </c>
      <c r="AQ669">
        <v>0.01</v>
      </c>
      <c r="AX669">
        <v>7</v>
      </c>
      <c r="AY669" s="1">
        <v>17</v>
      </c>
      <c r="AZ669">
        <v>0</v>
      </c>
      <c r="BA669">
        <v>0</v>
      </c>
      <c r="BB669">
        <v>1</v>
      </c>
      <c r="BC669" s="7">
        <v>0.32</v>
      </c>
      <c r="BD669">
        <v>30</v>
      </c>
      <c r="BE669">
        <v>0</v>
      </c>
      <c r="BF669">
        <v>0</v>
      </c>
      <c r="BG669">
        <v>0</v>
      </c>
      <c r="BH669">
        <v>5</v>
      </c>
      <c r="BI669">
        <v>2.4</v>
      </c>
      <c r="BJ669">
        <v>31</v>
      </c>
      <c r="BK669">
        <v>0</v>
      </c>
      <c r="BL669">
        <v>0</v>
      </c>
      <c r="BM669">
        <v>0</v>
      </c>
      <c r="BN669">
        <v>5</v>
      </c>
      <c r="BO669">
        <v>2.4</v>
      </c>
      <c r="BP669">
        <v>36</v>
      </c>
      <c r="BQ669">
        <v>0</v>
      </c>
      <c r="BR669">
        <v>0</v>
      </c>
      <c r="BS669">
        <v>0</v>
      </c>
      <c r="BT669">
        <v>5</v>
      </c>
      <c r="BU669">
        <v>2.1</v>
      </c>
    </row>
    <row r="670" spans="1:73" x14ac:dyDescent="0.15">
      <c r="A670" s="11">
        <v>10817</v>
      </c>
      <c r="B670">
        <v>7</v>
      </c>
      <c r="C670" s="1">
        <v>46</v>
      </c>
      <c r="D670">
        <v>0</v>
      </c>
      <c r="E670">
        <v>0</v>
      </c>
      <c r="F670">
        <v>1</v>
      </c>
      <c r="G670" s="7">
        <v>0.05</v>
      </c>
      <c r="H670">
        <v>12</v>
      </c>
      <c r="I670">
        <v>0</v>
      </c>
      <c r="J670">
        <v>0</v>
      </c>
      <c r="K670">
        <v>0</v>
      </c>
      <c r="L670">
        <v>1</v>
      </c>
      <c r="M670">
        <v>2</v>
      </c>
      <c r="N670" s="7">
        <v>9</v>
      </c>
      <c r="O670" s="7">
        <v>0</v>
      </c>
      <c r="P670" s="7">
        <v>0</v>
      </c>
      <c r="Q670" s="7">
        <v>0</v>
      </c>
      <c r="R670" s="7">
        <v>1</v>
      </c>
      <c r="S670" s="7">
        <v>4.5</v>
      </c>
      <c r="T670">
        <v>7</v>
      </c>
      <c r="U670" s="1">
        <v>34</v>
      </c>
      <c r="V670">
        <v>0</v>
      </c>
      <c r="W670">
        <v>0</v>
      </c>
      <c r="X670">
        <v>1</v>
      </c>
      <c r="Y670">
        <v>0.16</v>
      </c>
      <c r="Z670">
        <v>23</v>
      </c>
      <c r="AA670">
        <v>0</v>
      </c>
      <c r="AB670">
        <v>0</v>
      </c>
      <c r="AC670">
        <v>0</v>
      </c>
      <c r="AD670">
        <v>1</v>
      </c>
      <c r="AE670">
        <v>0.05</v>
      </c>
      <c r="AF670">
        <v>15</v>
      </c>
      <c r="AG670">
        <v>0</v>
      </c>
      <c r="AH670">
        <v>0</v>
      </c>
      <c r="AI670">
        <v>0</v>
      </c>
      <c r="AJ670">
        <v>1</v>
      </c>
      <c r="AK670">
        <v>0.02</v>
      </c>
      <c r="AL670">
        <v>16</v>
      </c>
      <c r="AM670">
        <v>0</v>
      </c>
      <c r="AN670">
        <v>0</v>
      </c>
      <c r="AO670">
        <v>0</v>
      </c>
      <c r="AP670">
        <v>1</v>
      </c>
      <c r="AQ670">
        <v>0.01</v>
      </c>
      <c r="AX670">
        <v>7</v>
      </c>
      <c r="AY670" s="1">
        <v>18</v>
      </c>
      <c r="AZ670">
        <v>0</v>
      </c>
      <c r="BA670">
        <v>0</v>
      </c>
      <c r="BB670">
        <v>1</v>
      </c>
      <c r="BC670" s="7">
        <v>0.32</v>
      </c>
      <c r="BD670">
        <v>30</v>
      </c>
      <c r="BE670">
        <v>0</v>
      </c>
      <c r="BF670">
        <v>0</v>
      </c>
      <c r="BG670">
        <v>0</v>
      </c>
      <c r="BH670">
        <v>5</v>
      </c>
      <c r="BI670">
        <v>2.4</v>
      </c>
      <c r="BJ670">
        <v>31</v>
      </c>
      <c r="BK670">
        <v>0</v>
      </c>
      <c r="BL670">
        <v>0</v>
      </c>
      <c r="BM670">
        <v>0</v>
      </c>
      <c r="BN670">
        <v>5</v>
      </c>
      <c r="BO670">
        <v>2.4</v>
      </c>
      <c r="BP670">
        <v>36</v>
      </c>
      <c r="BQ670">
        <v>0</v>
      </c>
      <c r="BR670">
        <v>0</v>
      </c>
      <c r="BS670">
        <v>0</v>
      </c>
      <c r="BT670">
        <v>5</v>
      </c>
      <c r="BU670">
        <v>2.1</v>
      </c>
    </row>
    <row r="671" spans="1:73" x14ac:dyDescent="0.15">
      <c r="A671" s="11">
        <v>10818</v>
      </c>
      <c r="B671">
        <v>7</v>
      </c>
      <c r="C671" s="1">
        <v>47</v>
      </c>
      <c r="D671">
        <v>0</v>
      </c>
      <c r="E671">
        <v>0</v>
      </c>
      <c r="F671">
        <v>1</v>
      </c>
      <c r="G671" s="7">
        <v>0.05</v>
      </c>
      <c r="H671">
        <v>12</v>
      </c>
      <c r="I671">
        <v>0</v>
      </c>
      <c r="J671">
        <v>0</v>
      </c>
      <c r="K671">
        <v>0</v>
      </c>
      <c r="L671">
        <v>1</v>
      </c>
      <c r="M671">
        <v>2</v>
      </c>
      <c r="N671" s="7">
        <v>9</v>
      </c>
      <c r="O671" s="7">
        <v>0</v>
      </c>
      <c r="P671" s="7">
        <v>0</v>
      </c>
      <c r="Q671" s="7">
        <v>0</v>
      </c>
      <c r="R671" s="7">
        <v>1</v>
      </c>
      <c r="S671" s="7">
        <v>4.5</v>
      </c>
      <c r="T671">
        <v>7</v>
      </c>
      <c r="U671" s="1">
        <v>35</v>
      </c>
      <c r="V671">
        <v>0</v>
      </c>
      <c r="W671">
        <v>0</v>
      </c>
      <c r="X671">
        <v>1</v>
      </c>
      <c r="Y671">
        <v>0.16</v>
      </c>
      <c r="Z671">
        <v>23</v>
      </c>
      <c r="AA671">
        <v>0</v>
      </c>
      <c r="AB671">
        <v>0</v>
      </c>
      <c r="AC671">
        <v>0</v>
      </c>
      <c r="AD671">
        <v>1</v>
      </c>
      <c r="AE671">
        <v>0.05</v>
      </c>
      <c r="AF671">
        <v>15</v>
      </c>
      <c r="AG671">
        <v>0</v>
      </c>
      <c r="AH671">
        <v>0</v>
      </c>
      <c r="AI671">
        <v>0</v>
      </c>
      <c r="AJ671">
        <v>1</v>
      </c>
      <c r="AK671">
        <v>0.02</v>
      </c>
      <c r="AL671">
        <v>16</v>
      </c>
      <c r="AM671">
        <v>0</v>
      </c>
      <c r="AN671">
        <v>0</v>
      </c>
      <c r="AO671">
        <v>0</v>
      </c>
      <c r="AP671">
        <v>1</v>
      </c>
      <c r="AQ671">
        <v>0.01</v>
      </c>
      <c r="AX671">
        <v>7</v>
      </c>
      <c r="AY671" s="1">
        <v>19</v>
      </c>
      <c r="AZ671">
        <v>0</v>
      </c>
      <c r="BA671">
        <v>0</v>
      </c>
      <c r="BB671">
        <v>1</v>
      </c>
      <c r="BC671" s="7">
        <v>0.32</v>
      </c>
      <c r="BD671">
        <v>30</v>
      </c>
      <c r="BE671">
        <v>0</v>
      </c>
      <c r="BF671">
        <v>0</v>
      </c>
      <c r="BG671">
        <v>0</v>
      </c>
      <c r="BH671">
        <v>5</v>
      </c>
      <c r="BI671">
        <v>2.4</v>
      </c>
      <c r="BJ671">
        <v>31</v>
      </c>
      <c r="BK671">
        <v>0</v>
      </c>
      <c r="BL671">
        <v>0</v>
      </c>
      <c r="BM671">
        <v>0</v>
      </c>
      <c r="BN671">
        <v>5</v>
      </c>
      <c r="BO671">
        <v>2.4</v>
      </c>
      <c r="BP671">
        <v>36</v>
      </c>
      <c r="BQ671">
        <v>0</v>
      </c>
      <c r="BR671">
        <v>0</v>
      </c>
      <c r="BS671">
        <v>0</v>
      </c>
      <c r="BT671">
        <v>5</v>
      </c>
      <c r="BU671">
        <v>2.1</v>
      </c>
    </row>
    <row r="672" spans="1:73" x14ac:dyDescent="0.15">
      <c r="A672" s="11">
        <v>10819</v>
      </c>
      <c r="B672">
        <v>7</v>
      </c>
      <c r="C672" s="1">
        <v>48</v>
      </c>
      <c r="D672">
        <v>0</v>
      </c>
      <c r="E672">
        <v>0</v>
      </c>
      <c r="F672">
        <v>1</v>
      </c>
      <c r="G672" s="7">
        <v>0.05</v>
      </c>
      <c r="H672">
        <v>12</v>
      </c>
      <c r="I672">
        <v>0</v>
      </c>
      <c r="J672">
        <v>0</v>
      </c>
      <c r="K672">
        <v>0</v>
      </c>
      <c r="L672">
        <v>1</v>
      </c>
      <c r="M672">
        <v>2</v>
      </c>
      <c r="N672" s="7">
        <v>9</v>
      </c>
      <c r="O672" s="7">
        <v>0</v>
      </c>
      <c r="P672" s="7">
        <v>0</v>
      </c>
      <c r="Q672" s="7">
        <v>0</v>
      </c>
      <c r="R672" s="7">
        <v>1</v>
      </c>
      <c r="S672" s="7">
        <v>4.5</v>
      </c>
      <c r="T672">
        <v>7</v>
      </c>
      <c r="U672" s="1">
        <v>36</v>
      </c>
      <c r="V672">
        <v>0</v>
      </c>
      <c r="W672">
        <v>0</v>
      </c>
      <c r="X672">
        <v>1</v>
      </c>
      <c r="Y672">
        <v>0.16</v>
      </c>
      <c r="Z672">
        <v>23</v>
      </c>
      <c r="AA672">
        <v>0</v>
      </c>
      <c r="AB672">
        <v>0</v>
      </c>
      <c r="AC672">
        <v>0</v>
      </c>
      <c r="AD672">
        <v>1</v>
      </c>
      <c r="AE672">
        <v>0.05</v>
      </c>
      <c r="AF672">
        <v>15</v>
      </c>
      <c r="AG672">
        <v>0</v>
      </c>
      <c r="AH672">
        <v>0</v>
      </c>
      <c r="AI672">
        <v>0</v>
      </c>
      <c r="AJ672">
        <v>1</v>
      </c>
      <c r="AK672">
        <v>0.02</v>
      </c>
      <c r="AL672">
        <v>16</v>
      </c>
      <c r="AM672">
        <v>0</v>
      </c>
      <c r="AN672">
        <v>0</v>
      </c>
      <c r="AO672">
        <v>0</v>
      </c>
      <c r="AP672">
        <v>1</v>
      </c>
      <c r="AQ672">
        <v>0.01</v>
      </c>
      <c r="AX672">
        <v>7</v>
      </c>
      <c r="AY672" s="1">
        <v>20</v>
      </c>
      <c r="AZ672">
        <v>0</v>
      </c>
      <c r="BA672">
        <v>0</v>
      </c>
      <c r="BB672">
        <v>1</v>
      </c>
      <c r="BC672" s="7">
        <v>0.32</v>
      </c>
      <c r="BD672">
        <v>30</v>
      </c>
      <c r="BE672">
        <v>0</v>
      </c>
      <c r="BF672">
        <v>0</v>
      </c>
      <c r="BG672">
        <v>0</v>
      </c>
      <c r="BH672">
        <v>5</v>
      </c>
      <c r="BI672">
        <v>2.4</v>
      </c>
      <c r="BJ672">
        <v>31</v>
      </c>
      <c r="BK672">
        <v>0</v>
      </c>
      <c r="BL672">
        <v>0</v>
      </c>
      <c r="BM672">
        <v>0</v>
      </c>
      <c r="BN672">
        <v>5</v>
      </c>
      <c r="BO672">
        <v>2.4</v>
      </c>
      <c r="BP672">
        <v>36</v>
      </c>
      <c r="BQ672">
        <v>0</v>
      </c>
      <c r="BR672">
        <v>0</v>
      </c>
      <c r="BS672">
        <v>0</v>
      </c>
      <c r="BT672">
        <v>5</v>
      </c>
      <c r="BU672">
        <v>2.1</v>
      </c>
    </row>
    <row r="673" spans="1:73" x14ac:dyDescent="0.15">
      <c r="A673" s="11">
        <v>10820</v>
      </c>
      <c r="B673">
        <v>7</v>
      </c>
      <c r="C673" s="1">
        <v>0</v>
      </c>
      <c r="D673">
        <v>5</v>
      </c>
      <c r="E673">
        <v>1</v>
      </c>
      <c r="F673">
        <v>1</v>
      </c>
      <c r="G673" s="7">
        <v>0.05</v>
      </c>
      <c r="H673">
        <v>12</v>
      </c>
      <c r="I673">
        <v>0</v>
      </c>
      <c r="J673">
        <v>0</v>
      </c>
      <c r="K673">
        <v>0</v>
      </c>
      <c r="L673">
        <v>1</v>
      </c>
      <c r="M673">
        <v>2</v>
      </c>
      <c r="N673" s="7">
        <v>9</v>
      </c>
      <c r="O673" s="7">
        <v>0</v>
      </c>
      <c r="P673" s="7">
        <v>0</v>
      </c>
      <c r="Q673" s="7">
        <v>0</v>
      </c>
      <c r="R673" s="7">
        <v>1</v>
      </c>
      <c r="S673" s="7">
        <v>4.5</v>
      </c>
      <c r="T673">
        <v>7</v>
      </c>
      <c r="U673" s="1">
        <v>0</v>
      </c>
      <c r="V673">
        <v>4</v>
      </c>
      <c r="W673">
        <v>2</v>
      </c>
      <c r="X673">
        <v>1</v>
      </c>
      <c r="Y673">
        <v>0.16</v>
      </c>
      <c r="Z673">
        <v>23</v>
      </c>
      <c r="AA673">
        <v>0</v>
      </c>
      <c r="AB673">
        <v>0</v>
      </c>
      <c r="AC673">
        <v>0</v>
      </c>
      <c r="AD673">
        <v>1</v>
      </c>
      <c r="AE673">
        <v>0.05</v>
      </c>
      <c r="AF673">
        <v>15</v>
      </c>
      <c r="AG673">
        <v>0</v>
      </c>
      <c r="AH673">
        <v>0</v>
      </c>
      <c r="AI673">
        <v>0</v>
      </c>
      <c r="AJ673">
        <v>1</v>
      </c>
      <c r="AK673">
        <v>0.02</v>
      </c>
      <c r="AL673">
        <v>16</v>
      </c>
      <c r="AM673">
        <v>0</v>
      </c>
      <c r="AN673">
        <v>0</v>
      </c>
      <c r="AO673">
        <v>0</v>
      </c>
      <c r="AP673">
        <v>1</v>
      </c>
      <c r="AQ673">
        <v>0.01</v>
      </c>
      <c r="AR673">
        <v>6</v>
      </c>
      <c r="AS673">
        <v>2</v>
      </c>
      <c r="AT673">
        <v>4</v>
      </c>
      <c r="AU673">
        <v>5</v>
      </c>
      <c r="AV673">
        <v>1</v>
      </c>
      <c r="AW673">
        <v>0.01</v>
      </c>
      <c r="AX673">
        <v>7</v>
      </c>
      <c r="AY673" s="1">
        <v>0</v>
      </c>
      <c r="AZ673">
        <v>3</v>
      </c>
      <c r="BA673">
        <v>1</v>
      </c>
      <c r="BB673">
        <v>1</v>
      </c>
      <c r="BC673" s="7">
        <v>0.32</v>
      </c>
      <c r="BD673">
        <v>30</v>
      </c>
      <c r="BE673">
        <v>0</v>
      </c>
      <c r="BF673">
        <v>0</v>
      </c>
      <c r="BG673">
        <v>0</v>
      </c>
      <c r="BH673">
        <v>5</v>
      </c>
      <c r="BI673">
        <v>2.4</v>
      </c>
      <c r="BJ673">
        <v>31</v>
      </c>
      <c r="BK673">
        <v>0</v>
      </c>
      <c r="BL673">
        <v>0</v>
      </c>
      <c r="BM673">
        <v>0</v>
      </c>
      <c r="BN673">
        <v>5</v>
      </c>
      <c r="BO673">
        <v>2.4</v>
      </c>
      <c r="BP673">
        <v>36</v>
      </c>
      <c r="BQ673">
        <v>0</v>
      </c>
      <c r="BR673">
        <v>0</v>
      </c>
      <c r="BS673">
        <v>0</v>
      </c>
      <c r="BT673">
        <v>5</v>
      </c>
      <c r="BU673">
        <v>2.1</v>
      </c>
    </row>
    <row r="674" spans="1:73" x14ac:dyDescent="0.15">
      <c r="A674" s="11">
        <v>10821</v>
      </c>
      <c r="B674">
        <v>7</v>
      </c>
      <c r="C674" s="1">
        <v>45</v>
      </c>
      <c r="D674">
        <v>0</v>
      </c>
      <c r="E674">
        <v>0</v>
      </c>
      <c r="F674">
        <v>1</v>
      </c>
      <c r="G674" s="7">
        <v>0.05</v>
      </c>
      <c r="H674">
        <v>12</v>
      </c>
      <c r="I674">
        <v>0</v>
      </c>
      <c r="J674">
        <v>0</v>
      </c>
      <c r="K674">
        <v>0</v>
      </c>
      <c r="L674">
        <v>1</v>
      </c>
      <c r="M674">
        <v>2</v>
      </c>
      <c r="N674" s="7">
        <v>9</v>
      </c>
      <c r="O674" s="7">
        <v>0</v>
      </c>
      <c r="P674" s="7">
        <v>0</v>
      </c>
      <c r="Q674" s="7">
        <v>0</v>
      </c>
      <c r="R674" s="7">
        <v>1</v>
      </c>
      <c r="S674" s="7">
        <v>4.5</v>
      </c>
      <c r="T674">
        <v>7</v>
      </c>
      <c r="U674" s="1">
        <v>33</v>
      </c>
      <c r="V674">
        <v>0</v>
      </c>
      <c r="W674">
        <v>0</v>
      </c>
      <c r="X674">
        <v>1</v>
      </c>
      <c r="Y674">
        <v>0.16</v>
      </c>
      <c r="Z674">
        <v>23</v>
      </c>
      <c r="AA674">
        <v>0</v>
      </c>
      <c r="AB674">
        <v>0</v>
      </c>
      <c r="AC674">
        <v>0</v>
      </c>
      <c r="AD674">
        <v>1</v>
      </c>
      <c r="AE674">
        <v>0.05</v>
      </c>
      <c r="AF674">
        <v>15</v>
      </c>
      <c r="AG674">
        <v>0</v>
      </c>
      <c r="AH674">
        <v>0</v>
      </c>
      <c r="AI674">
        <v>0</v>
      </c>
      <c r="AJ674">
        <v>1</v>
      </c>
      <c r="AK674">
        <v>0.02</v>
      </c>
      <c r="AL674">
        <v>16</v>
      </c>
      <c r="AM674">
        <v>0</v>
      </c>
      <c r="AN674">
        <v>0</v>
      </c>
      <c r="AO674">
        <v>0</v>
      </c>
      <c r="AP674">
        <v>1</v>
      </c>
      <c r="AQ674">
        <v>0.01</v>
      </c>
      <c r="AX674">
        <v>7</v>
      </c>
      <c r="AY674" s="1">
        <v>17</v>
      </c>
      <c r="AZ674">
        <v>0</v>
      </c>
      <c r="BA674">
        <v>0</v>
      </c>
      <c r="BB674">
        <v>1</v>
      </c>
      <c r="BC674" s="7">
        <v>0.32</v>
      </c>
      <c r="BD674">
        <v>30</v>
      </c>
      <c r="BE674">
        <v>0</v>
      </c>
      <c r="BF674">
        <v>0</v>
      </c>
      <c r="BG674">
        <v>0</v>
      </c>
      <c r="BH674">
        <v>5</v>
      </c>
      <c r="BI674">
        <v>2.4</v>
      </c>
      <c r="BJ674">
        <v>31</v>
      </c>
      <c r="BK674">
        <v>0</v>
      </c>
      <c r="BL674">
        <v>0</v>
      </c>
      <c r="BM674">
        <v>0</v>
      </c>
      <c r="BN674">
        <v>5</v>
      </c>
      <c r="BO674">
        <v>2.4</v>
      </c>
      <c r="BP674">
        <v>36</v>
      </c>
      <c r="BQ674">
        <v>0</v>
      </c>
      <c r="BR674">
        <v>0</v>
      </c>
      <c r="BS674">
        <v>0</v>
      </c>
      <c r="BT674">
        <v>5</v>
      </c>
      <c r="BU674">
        <v>2.1</v>
      </c>
    </row>
    <row r="675" spans="1:73" x14ac:dyDescent="0.15">
      <c r="A675" s="11">
        <v>10822</v>
      </c>
      <c r="B675">
        <v>7</v>
      </c>
      <c r="C675" s="1">
        <v>46</v>
      </c>
      <c r="D675">
        <v>0</v>
      </c>
      <c r="E675">
        <v>0</v>
      </c>
      <c r="F675">
        <v>1</v>
      </c>
      <c r="G675" s="7">
        <v>0.05</v>
      </c>
      <c r="H675">
        <v>12</v>
      </c>
      <c r="I675">
        <v>0</v>
      </c>
      <c r="J675">
        <v>0</v>
      </c>
      <c r="K675">
        <v>0</v>
      </c>
      <c r="L675">
        <v>1</v>
      </c>
      <c r="M675">
        <v>2</v>
      </c>
      <c r="N675" s="7">
        <v>9</v>
      </c>
      <c r="O675" s="7">
        <v>0</v>
      </c>
      <c r="P675" s="7">
        <v>0</v>
      </c>
      <c r="Q675" s="7">
        <v>0</v>
      </c>
      <c r="R675" s="7">
        <v>1</v>
      </c>
      <c r="S675" s="7">
        <v>4.5</v>
      </c>
      <c r="T675">
        <v>7</v>
      </c>
      <c r="U675" s="1">
        <v>34</v>
      </c>
      <c r="V675">
        <v>0</v>
      </c>
      <c r="W675">
        <v>0</v>
      </c>
      <c r="X675">
        <v>1</v>
      </c>
      <c r="Y675">
        <v>0.16</v>
      </c>
      <c r="Z675">
        <v>23</v>
      </c>
      <c r="AA675">
        <v>0</v>
      </c>
      <c r="AB675">
        <v>0</v>
      </c>
      <c r="AC675">
        <v>0</v>
      </c>
      <c r="AD675">
        <v>1</v>
      </c>
      <c r="AE675">
        <v>0.05</v>
      </c>
      <c r="AF675">
        <v>15</v>
      </c>
      <c r="AG675">
        <v>0</v>
      </c>
      <c r="AH675">
        <v>0</v>
      </c>
      <c r="AI675">
        <v>0</v>
      </c>
      <c r="AJ675">
        <v>1</v>
      </c>
      <c r="AK675">
        <v>0.02</v>
      </c>
      <c r="AL675">
        <v>16</v>
      </c>
      <c r="AM675">
        <v>0</v>
      </c>
      <c r="AN675">
        <v>0</v>
      </c>
      <c r="AO675">
        <v>0</v>
      </c>
      <c r="AP675">
        <v>1</v>
      </c>
      <c r="AQ675">
        <v>0.01</v>
      </c>
      <c r="AX675">
        <v>7</v>
      </c>
      <c r="AY675" s="1">
        <v>18</v>
      </c>
      <c r="AZ675">
        <v>0</v>
      </c>
      <c r="BA675">
        <v>0</v>
      </c>
      <c r="BB675">
        <v>1</v>
      </c>
      <c r="BC675" s="7">
        <v>0.32</v>
      </c>
      <c r="BD675">
        <v>30</v>
      </c>
      <c r="BE675">
        <v>0</v>
      </c>
      <c r="BF675">
        <v>0</v>
      </c>
      <c r="BG675">
        <v>0</v>
      </c>
      <c r="BH675">
        <v>5</v>
      </c>
      <c r="BI675">
        <v>2.4</v>
      </c>
      <c r="BJ675">
        <v>31</v>
      </c>
      <c r="BK675">
        <v>0</v>
      </c>
      <c r="BL675">
        <v>0</v>
      </c>
      <c r="BM675">
        <v>0</v>
      </c>
      <c r="BN675">
        <v>5</v>
      </c>
      <c r="BO675">
        <v>2.4</v>
      </c>
      <c r="BP675">
        <v>36</v>
      </c>
      <c r="BQ675">
        <v>0</v>
      </c>
      <c r="BR675">
        <v>0</v>
      </c>
      <c r="BS675">
        <v>0</v>
      </c>
      <c r="BT675">
        <v>5</v>
      </c>
      <c r="BU675">
        <v>2.1</v>
      </c>
    </row>
    <row r="676" spans="1:73" x14ac:dyDescent="0.15">
      <c r="A676" s="11">
        <v>10823</v>
      </c>
      <c r="B676">
        <v>7</v>
      </c>
      <c r="C676" s="1">
        <v>47</v>
      </c>
      <c r="D676">
        <v>0</v>
      </c>
      <c r="E676">
        <v>0</v>
      </c>
      <c r="F676">
        <v>1</v>
      </c>
      <c r="G676" s="7">
        <v>0.05</v>
      </c>
      <c r="H676">
        <v>12</v>
      </c>
      <c r="I676">
        <v>0</v>
      </c>
      <c r="J676">
        <v>0</v>
      </c>
      <c r="K676">
        <v>0</v>
      </c>
      <c r="L676">
        <v>1</v>
      </c>
      <c r="M676">
        <v>2</v>
      </c>
      <c r="N676" s="7">
        <v>9</v>
      </c>
      <c r="O676" s="7">
        <v>0</v>
      </c>
      <c r="P676" s="7">
        <v>0</v>
      </c>
      <c r="Q676" s="7">
        <v>0</v>
      </c>
      <c r="R676" s="7">
        <v>1</v>
      </c>
      <c r="S676" s="7">
        <v>4.5</v>
      </c>
      <c r="T676">
        <v>7</v>
      </c>
      <c r="U676" s="1">
        <v>35</v>
      </c>
      <c r="V676">
        <v>0</v>
      </c>
      <c r="W676">
        <v>0</v>
      </c>
      <c r="X676">
        <v>1</v>
      </c>
      <c r="Y676">
        <v>0.16</v>
      </c>
      <c r="Z676">
        <v>23</v>
      </c>
      <c r="AA676">
        <v>0</v>
      </c>
      <c r="AB676">
        <v>0</v>
      </c>
      <c r="AC676">
        <v>0</v>
      </c>
      <c r="AD676">
        <v>1</v>
      </c>
      <c r="AE676">
        <v>0.05</v>
      </c>
      <c r="AF676">
        <v>15</v>
      </c>
      <c r="AG676">
        <v>0</v>
      </c>
      <c r="AH676">
        <v>0</v>
      </c>
      <c r="AI676">
        <v>0</v>
      </c>
      <c r="AJ676">
        <v>1</v>
      </c>
      <c r="AK676">
        <v>0.02</v>
      </c>
      <c r="AL676">
        <v>16</v>
      </c>
      <c r="AM676">
        <v>0</v>
      </c>
      <c r="AN676">
        <v>0</v>
      </c>
      <c r="AO676">
        <v>0</v>
      </c>
      <c r="AP676">
        <v>1</v>
      </c>
      <c r="AQ676">
        <v>0.01</v>
      </c>
      <c r="AX676">
        <v>7</v>
      </c>
      <c r="AY676" s="1">
        <v>19</v>
      </c>
      <c r="AZ676">
        <v>0</v>
      </c>
      <c r="BA676">
        <v>0</v>
      </c>
      <c r="BB676">
        <v>1</v>
      </c>
      <c r="BC676" s="7">
        <v>0.32</v>
      </c>
      <c r="BD676">
        <v>30</v>
      </c>
      <c r="BE676">
        <v>0</v>
      </c>
      <c r="BF676">
        <v>0</v>
      </c>
      <c r="BG676">
        <v>0</v>
      </c>
      <c r="BH676">
        <v>5</v>
      </c>
      <c r="BI676">
        <v>2.4</v>
      </c>
      <c r="BJ676">
        <v>31</v>
      </c>
      <c r="BK676">
        <v>0</v>
      </c>
      <c r="BL676">
        <v>0</v>
      </c>
      <c r="BM676">
        <v>0</v>
      </c>
      <c r="BN676">
        <v>5</v>
      </c>
      <c r="BO676">
        <v>2.4</v>
      </c>
      <c r="BP676">
        <v>36</v>
      </c>
      <c r="BQ676">
        <v>0</v>
      </c>
      <c r="BR676">
        <v>0</v>
      </c>
      <c r="BS676">
        <v>0</v>
      </c>
      <c r="BT676">
        <v>5</v>
      </c>
      <c r="BU676">
        <v>2.1</v>
      </c>
    </row>
    <row r="677" spans="1:73" x14ac:dyDescent="0.15">
      <c r="A677" s="11">
        <v>10824</v>
      </c>
      <c r="B677">
        <v>7</v>
      </c>
      <c r="C677" s="1">
        <v>48</v>
      </c>
      <c r="D677">
        <v>0</v>
      </c>
      <c r="E677">
        <v>0</v>
      </c>
      <c r="F677">
        <v>1</v>
      </c>
      <c r="G677" s="7">
        <v>0.05</v>
      </c>
      <c r="H677">
        <v>12</v>
      </c>
      <c r="I677">
        <v>0</v>
      </c>
      <c r="J677">
        <v>0</v>
      </c>
      <c r="K677">
        <v>0</v>
      </c>
      <c r="L677">
        <v>1</v>
      </c>
      <c r="M677">
        <v>2</v>
      </c>
      <c r="N677" s="7">
        <v>9</v>
      </c>
      <c r="O677" s="7">
        <v>0</v>
      </c>
      <c r="P677" s="7">
        <v>0</v>
      </c>
      <c r="Q677" s="7">
        <v>0</v>
      </c>
      <c r="R677" s="7">
        <v>1</v>
      </c>
      <c r="S677" s="7">
        <v>4.5</v>
      </c>
      <c r="T677">
        <v>7</v>
      </c>
      <c r="U677" s="1">
        <v>36</v>
      </c>
      <c r="V677">
        <v>0</v>
      </c>
      <c r="W677">
        <v>0</v>
      </c>
      <c r="X677">
        <v>1</v>
      </c>
      <c r="Y677">
        <v>0.16</v>
      </c>
      <c r="Z677">
        <v>23</v>
      </c>
      <c r="AA677">
        <v>0</v>
      </c>
      <c r="AB677">
        <v>0</v>
      </c>
      <c r="AC677">
        <v>0</v>
      </c>
      <c r="AD677">
        <v>1</v>
      </c>
      <c r="AE677">
        <v>0.05</v>
      </c>
      <c r="AF677">
        <v>15</v>
      </c>
      <c r="AG677">
        <v>0</v>
      </c>
      <c r="AH677">
        <v>0</v>
      </c>
      <c r="AI677">
        <v>0</v>
      </c>
      <c r="AJ677">
        <v>1</v>
      </c>
      <c r="AK677">
        <v>0.02</v>
      </c>
      <c r="AL677">
        <v>16</v>
      </c>
      <c r="AM677">
        <v>0</v>
      </c>
      <c r="AN677">
        <v>0</v>
      </c>
      <c r="AO677">
        <v>0</v>
      </c>
      <c r="AP677">
        <v>1</v>
      </c>
      <c r="AQ677">
        <v>0.01</v>
      </c>
      <c r="AX677">
        <v>7</v>
      </c>
      <c r="AY677" s="1">
        <v>20</v>
      </c>
      <c r="AZ677">
        <v>0</v>
      </c>
      <c r="BA677">
        <v>0</v>
      </c>
      <c r="BB677">
        <v>1</v>
      </c>
      <c r="BC677" s="7">
        <v>0.32</v>
      </c>
      <c r="BD677">
        <v>30</v>
      </c>
      <c r="BE677">
        <v>0</v>
      </c>
      <c r="BF677">
        <v>0</v>
      </c>
      <c r="BG677">
        <v>0</v>
      </c>
      <c r="BH677">
        <v>5</v>
      </c>
      <c r="BI677">
        <v>2.4</v>
      </c>
      <c r="BJ677">
        <v>31</v>
      </c>
      <c r="BK677">
        <v>0</v>
      </c>
      <c r="BL677">
        <v>0</v>
      </c>
      <c r="BM677">
        <v>0</v>
      </c>
      <c r="BN677">
        <v>5</v>
      </c>
      <c r="BO677">
        <v>2.4</v>
      </c>
      <c r="BP677">
        <v>36</v>
      </c>
      <c r="BQ677">
        <v>0</v>
      </c>
      <c r="BR677">
        <v>0</v>
      </c>
      <c r="BS677">
        <v>0</v>
      </c>
      <c r="BT677">
        <v>5</v>
      </c>
      <c r="BU677">
        <v>2.1</v>
      </c>
    </row>
    <row r="678" spans="1:73" x14ac:dyDescent="0.15">
      <c r="A678" s="11">
        <v>10825</v>
      </c>
      <c r="B678">
        <v>7</v>
      </c>
      <c r="C678" s="1">
        <v>0</v>
      </c>
      <c r="D678">
        <v>5</v>
      </c>
      <c r="E678">
        <v>1</v>
      </c>
      <c r="F678">
        <v>1</v>
      </c>
      <c r="G678" s="7">
        <v>0.05</v>
      </c>
      <c r="H678">
        <v>12</v>
      </c>
      <c r="I678">
        <v>0</v>
      </c>
      <c r="J678">
        <v>0</v>
      </c>
      <c r="K678">
        <v>0</v>
      </c>
      <c r="L678">
        <v>1</v>
      </c>
      <c r="M678">
        <v>2</v>
      </c>
      <c r="N678" s="7">
        <v>9</v>
      </c>
      <c r="O678" s="7">
        <v>0</v>
      </c>
      <c r="P678" s="7">
        <v>0</v>
      </c>
      <c r="Q678" s="7">
        <v>0</v>
      </c>
      <c r="R678" s="7">
        <v>1</v>
      </c>
      <c r="S678" s="7">
        <v>4.5</v>
      </c>
      <c r="T678">
        <v>7</v>
      </c>
      <c r="U678" s="1">
        <v>0</v>
      </c>
      <c r="V678">
        <v>4</v>
      </c>
      <c r="W678">
        <v>2</v>
      </c>
      <c r="X678">
        <v>1</v>
      </c>
      <c r="Y678">
        <v>0.16</v>
      </c>
      <c r="Z678">
        <v>23</v>
      </c>
      <c r="AA678">
        <v>0</v>
      </c>
      <c r="AB678">
        <v>0</v>
      </c>
      <c r="AC678">
        <v>0</v>
      </c>
      <c r="AD678">
        <v>1</v>
      </c>
      <c r="AE678">
        <v>0.05</v>
      </c>
      <c r="AF678">
        <v>15</v>
      </c>
      <c r="AG678">
        <v>0</v>
      </c>
      <c r="AH678">
        <v>0</v>
      </c>
      <c r="AI678">
        <v>0</v>
      </c>
      <c r="AJ678">
        <v>1</v>
      </c>
      <c r="AK678">
        <v>0.02</v>
      </c>
      <c r="AL678">
        <v>16</v>
      </c>
      <c r="AM678">
        <v>0</v>
      </c>
      <c r="AN678">
        <v>0</v>
      </c>
      <c r="AO678">
        <v>0</v>
      </c>
      <c r="AP678">
        <v>1</v>
      </c>
      <c r="AQ678">
        <v>0.01</v>
      </c>
      <c r="AR678">
        <v>6</v>
      </c>
      <c r="AS678">
        <v>2</v>
      </c>
      <c r="AT678">
        <v>5</v>
      </c>
      <c r="AU678">
        <v>5</v>
      </c>
      <c r="AV678">
        <v>1</v>
      </c>
      <c r="AW678">
        <v>0.01</v>
      </c>
      <c r="AX678">
        <v>7</v>
      </c>
      <c r="AY678" s="1">
        <v>0</v>
      </c>
      <c r="AZ678">
        <v>3</v>
      </c>
      <c r="BA678">
        <v>1</v>
      </c>
      <c r="BB678">
        <v>1</v>
      </c>
      <c r="BC678" s="7">
        <v>0.32</v>
      </c>
      <c r="BD678">
        <v>30</v>
      </c>
      <c r="BE678">
        <v>0</v>
      </c>
      <c r="BF678">
        <v>0</v>
      </c>
      <c r="BG678">
        <v>0</v>
      </c>
      <c r="BH678">
        <v>5</v>
      </c>
      <c r="BI678">
        <v>2.4</v>
      </c>
      <c r="BJ678">
        <v>31</v>
      </c>
      <c r="BK678">
        <v>0</v>
      </c>
      <c r="BL678">
        <v>0</v>
      </c>
      <c r="BM678">
        <v>0</v>
      </c>
      <c r="BN678">
        <v>5</v>
      </c>
      <c r="BO678">
        <v>2.4</v>
      </c>
      <c r="BP678">
        <v>36</v>
      </c>
      <c r="BQ678">
        <v>0</v>
      </c>
      <c r="BR678">
        <v>0</v>
      </c>
      <c r="BS678">
        <v>0</v>
      </c>
      <c r="BT678">
        <v>5</v>
      </c>
      <c r="BU678">
        <v>2.1</v>
      </c>
    </row>
    <row r="679" spans="1:73" x14ac:dyDescent="0.15">
      <c r="A679" s="11">
        <v>10826</v>
      </c>
      <c r="B679">
        <v>7</v>
      </c>
      <c r="C679" s="1">
        <v>45</v>
      </c>
      <c r="D679">
        <v>0</v>
      </c>
      <c r="E679">
        <v>0</v>
      </c>
      <c r="F679">
        <v>1</v>
      </c>
      <c r="G679" s="7">
        <v>0.05</v>
      </c>
      <c r="H679">
        <v>12</v>
      </c>
      <c r="I679">
        <v>0</v>
      </c>
      <c r="J679">
        <v>0</v>
      </c>
      <c r="K679">
        <v>0</v>
      </c>
      <c r="L679">
        <v>1</v>
      </c>
      <c r="M679">
        <v>2</v>
      </c>
      <c r="N679" s="7">
        <v>9</v>
      </c>
      <c r="O679" s="7">
        <v>0</v>
      </c>
      <c r="P679" s="7">
        <v>0</v>
      </c>
      <c r="Q679" s="7">
        <v>0</v>
      </c>
      <c r="R679" s="7">
        <v>1</v>
      </c>
      <c r="S679" s="7">
        <v>4.5</v>
      </c>
      <c r="T679">
        <v>7</v>
      </c>
      <c r="U679" s="1">
        <v>33</v>
      </c>
      <c r="V679">
        <v>0</v>
      </c>
      <c r="W679">
        <v>0</v>
      </c>
      <c r="X679">
        <v>1</v>
      </c>
      <c r="Y679">
        <v>0.16</v>
      </c>
      <c r="Z679">
        <v>23</v>
      </c>
      <c r="AA679">
        <v>0</v>
      </c>
      <c r="AB679">
        <v>0</v>
      </c>
      <c r="AC679">
        <v>0</v>
      </c>
      <c r="AD679">
        <v>1</v>
      </c>
      <c r="AE679">
        <v>0.05</v>
      </c>
      <c r="AF679">
        <v>15</v>
      </c>
      <c r="AG679">
        <v>0</v>
      </c>
      <c r="AH679">
        <v>0</v>
      </c>
      <c r="AI679">
        <v>0</v>
      </c>
      <c r="AJ679">
        <v>1</v>
      </c>
      <c r="AK679">
        <v>0.02</v>
      </c>
      <c r="AL679">
        <v>16</v>
      </c>
      <c r="AM679">
        <v>0</v>
      </c>
      <c r="AN679">
        <v>0</v>
      </c>
      <c r="AO679">
        <v>0</v>
      </c>
      <c r="AP679">
        <v>1</v>
      </c>
      <c r="AQ679">
        <v>0.01</v>
      </c>
      <c r="AX679">
        <v>7</v>
      </c>
      <c r="AY679" s="1">
        <v>17</v>
      </c>
      <c r="AZ679">
        <v>0</v>
      </c>
      <c r="BA679">
        <v>0</v>
      </c>
      <c r="BB679">
        <v>1</v>
      </c>
      <c r="BC679" s="7">
        <v>0.32</v>
      </c>
      <c r="BD679">
        <v>30</v>
      </c>
      <c r="BE679">
        <v>0</v>
      </c>
      <c r="BF679">
        <v>0</v>
      </c>
      <c r="BG679">
        <v>0</v>
      </c>
      <c r="BH679">
        <v>5</v>
      </c>
      <c r="BI679">
        <v>2.4</v>
      </c>
      <c r="BJ679">
        <v>31</v>
      </c>
      <c r="BK679">
        <v>0</v>
      </c>
      <c r="BL679">
        <v>0</v>
      </c>
      <c r="BM679">
        <v>0</v>
      </c>
      <c r="BN679">
        <v>5</v>
      </c>
      <c r="BO679">
        <v>2.4</v>
      </c>
      <c r="BP679">
        <v>36</v>
      </c>
      <c r="BQ679">
        <v>0</v>
      </c>
      <c r="BR679">
        <v>0</v>
      </c>
      <c r="BS679">
        <v>0</v>
      </c>
      <c r="BT679">
        <v>5</v>
      </c>
      <c r="BU679">
        <v>2.1</v>
      </c>
    </row>
    <row r="680" spans="1:73" x14ac:dyDescent="0.15">
      <c r="A680" s="11">
        <v>10827</v>
      </c>
      <c r="B680">
        <v>7</v>
      </c>
      <c r="C680" s="1">
        <v>46</v>
      </c>
      <c r="D680">
        <v>0</v>
      </c>
      <c r="E680">
        <v>0</v>
      </c>
      <c r="F680">
        <v>1</v>
      </c>
      <c r="G680" s="7">
        <v>0.05</v>
      </c>
      <c r="H680">
        <v>12</v>
      </c>
      <c r="I680">
        <v>0</v>
      </c>
      <c r="J680">
        <v>0</v>
      </c>
      <c r="K680">
        <v>0</v>
      </c>
      <c r="L680">
        <v>1</v>
      </c>
      <c r="M680">
        <v>2</v>
      </c>
      <c r="N680" s="7">
        <v>9</v>
      </c>
      <c r="O680" s="7">
        <v>0</v>
      </c>
      <c r="P680" s="7">
        <v>0</v>
      </c>
      <c r="Q680" s="7">
        <v>0</v>
      </c>
      <c r="R680" s="7">
        <v>1</v>
      </c>
      <c r="S680" s="7">
        <v>4.5</v>
      </c>
      <c r="T680">
        <v>7</v>
      </c>
      <c r="U680" s="1">
        <v>34</v>
      </c>
      <c r="V680">
        <v>0</v>
      </c>
      <c r="W680">
        <v>0</v>
      </c>
      <c r="X680">
        <v>1</v>
      </c>
      <c r="Y680">
        <v>0.16</v>
      </c>
      <c r="Z680">
        <v>23</v>
      </c>
      <c r="AA680">
        <v>0</v>
      </c>
      <c r="AB680">
        <v>0</v>
      </c>
      <c r="AC680">
        <v>0</v>
      </c>
      <c r="AD680">
        <v>1</v>
      </c>
      <c r="AE680">
        <v>0.05</v>
      </c>
      <c r="AF680">
        <v>15</v>
      </c>
      <c r="AG680">
        <v>0</v>
      </c>
      <c r="AH680">
        <v>0</v>
      </c>
      <c r="AI680">
        <v>0</v>
      </c>
      <c r="AJ680">
        <v>1</v>
      </c>
      <c r="AK680">
        <v>0.02</v>
      </c>
      <c r="AL680">
        <v>16</v>
      </c>
      <c r="AM680">
        <v>0</v>
      </c>
      <c r="AN680">
        <v>0</v>
      </c>
      <c r="AO680">
        <v>0</v>
      </c>
      <c r="AP680">
        <v>1</v>
      </c>
      <c r="AQ680">
        <v>0.01</v>
      </c>
      <c r="AX680">
        <v>7</v>
      </c>
      <c r="AY680" s="1">
        <v>18</v>
      </c>
      <c r="AZ680">
        <v>0</v>
      </c>
      <c r="BA680">
        <v>0</v>
      </c>
      <c r="BB680">
        <v>1</v>
      </c>
      <c r="BC680" s="7">
        <v>0.32</v>
      </c>
      <c r="BD680">
        <v>30</v>
      </c>
      <c r="BE680">
        <v>0</v>
      </c>
      <c r="BF680">
        <v>0</v>
      </c>
      <c r="BG680">
        <v>0</v>
      </c>
      <c r="BH680">
        <v>5</v>
      </c>
      <c r="BI680">
        <v>2.4</v>
      </c>
      <c r="BJ680">
        <v>31</v>
      </c>
      <c r="BK680">
        <v>0</v>
      </c>
      <c r="BL680">
        <v>0</v>
      </c>
      <c r="BM680">
        <v>0</v>
      </c>
      <c r="BN680">
        <v>5</v>
      </c>
      <c r="BO680">
        <v>2.4</v>
      </c>
      <c r="BP680">
        <v>36</v>
      </c>
      <c r="BQ680">
        <v>0</v>
      </c>
      <c r="BR680">
        <v>0</v>
      </c>
      <c r="BS680">
        <v>0</v>
      </c>
      <c r="BT680">
        <v>5</v>
      </c>
      <c r="BU680">
        <v>2.1</v>
      </c>
    </row>
    <row r="681" spans="1:73" x14ac:dyDescent="0.15">
      <c r="A681" s="11">
        <v>10828</v>
      </c>
      <c r="B681">
        <v>7</v>
      </c>
      <c r="C681" s="1">
        <v>47</v>
      </c>
      <c r="D681">
        <v>0</v>
      </c>
      <c r="E681">
        <v>0</v>
      </c>
      <c r="F681">
        <v>1</v>
      </c>
      <c r="G681" s="7">
        <v>0.05</v>
      </c>
      <c r="H681">
        <v>12</v>
      </c>
      <c r="I681">
        <v>0</v>
      </c>
      <c r="J681">
        <v>0</v>
      </c>
      <c r="K681">
        <v>0</v>
      </c>
      <c r="L681">
        <v>1</v>
      </c>
      <c r="M681">
        <v>2</v>
      </c>
      <c r="N681" s="7">
        <v>9</v>
      </c>
      <c r="O681" s="7">
        <v>0</v>
      </c>
      <c r="P681" s="7">
        <v>0</v>
      </c>
      <c r="Q681" s="7">
        <v>0</v>
      </c>
      <c r="R681" s="7">
        <v>1</v>
      </c>
      <c r="S681" s="7">
        <v>4.5</v>
      </c>
      <c r="T681">
        <v>7</v>
      </c>
      <c r="U681" s="1">
        <v>35</v>
      </c>
      <c r="V681">
        <v>0</v>
      </c>
      <c r="W681">
        <v>0</v>
      </c>
      <c r="X681">
        <v>1</v>
      </c>
      <c r="Y681">
        <v>0.16</v>
      </c>
      <c r="Z681">
        <v>23</v>
      </c>
      <c r="AA681">
        <v>0</v>
      </c>
      <c r="AB681">
        <v>0</v>
      </c>
      <c r="AC681">
        <v>0</v>
      </c>
      <c r="AD681">
        <v>1</v>
      </c>
      <c r="AE681">
        <v>0.05</v>
      </c>
      <c r="AF681">
        <v>15</v>
      </c>
      <c r="AG681">
        <v>0</v>
      </c>
      <c r="AH681">
        <v>0</v>
      </c>
      <c r="AI681">
        <v>0</v>
      </c>
      <c r="AJ681">
        <v>1</v>
      </c>
      <c r="AK681">
        <v>0.02</v>
      </c>
      <c r="AL681">
        <v>16</v>
      </c>
      <c r="AM681">
        <v>0</v>
      </c>
      <c r="AN681">
        <v>0</v>
      </c>
      <c r="AO681">
        <v>0</v>
      </c>
      <c r="AP681">
        <v>1</v>
      </c>
      <c r="AQ681">
        <v>0.01</v>
      </c>
      <c r="AX681">
        <v>7</v>
      </c>
      <c r="AY681" s="1">
        <v>19</v>
      </c>
      <c r="AZ681">
        <v>0</v>
      </c>
      <c r="BA681">
        <v>0</v>
      </c>
      <c r="BB681">
        <v>1</v>
      </c>
      <c r="BC681" s="7">
        <v>0.32</v>
      </c>
      <c r="BD681">
        <v>30</v>
      </c>
      <c r="BE681">
        <v>0</v>
      </c>
      <c r="BF681">
        <v>0</v>
      </c>
      <c r="BG681">
        <v>0</v>
      </c>
      <c r="BH681">
        <v>5</v>
      </c>
      <c r="BI681">
        <v>2.4</v>
      </c>
      <c r="BJ681">
        <v>31</v>
      </c>
      <c r="BK681">
        <v>0</v>
      </c>
      <c r="BL681">
        <v>0</v>
      </c>
      <c r="BM681">
        <v>0</v>
      </c>
      <c r="BN681">
        <v>5</v>
      </c>
      <c r="BO681">
        <v>2.4</v>
      </c>
      <c r="BP681">
        <v>36</v>
      </c>
      <c r="BQ681">
        <v>0</v>
      </c>
      <c r="BR681">
        <v>0</v>
      </c>
      <c r="BS681">
        <v>0</v>
      </c>
      <c r="BT681">
        <v>5</v>
      </c>
      <c r="BU681">
        <v>2.1</v>
      </c>
    </row>
    <row r="682" spans="1:73" x14ac:dyDescent="0.15">
      <c r="A682" s="11">
        <v>10829</v>
      </c>
      <c r="B682">
        <v>7</v>
      </c>
      <c r="C682" s="1">
        <v>48</v>
      </c>
      <c r="D682">
        <v>0</v>
      </c>
      <c r="E682">
        <v>0</v>
      </c>
      <c r="F682">
        <v>1</v>
      </c>
      <c r="G682" s="7">
        <v>0.05</v>
      </c>
      <c r="H682">
        <v>12</v>
      </c>
      <c r="I682">
        <v>0</v>
      </c>
      <c r="J682">
        <v>0</v>
      </c>
      <c r="K682">
        <v>0</v>
      </c>
      <c r="L682">
        <v>1</v>
      </c>
      <c r="M682">
        <v>2</v>
      </c>
      <c r="N682" s="7">
        <v>9</v>
      </c>
      <c r="O682" s="7">
        <v>0</v>
      </c>
      <c r="P682" s="7">
        <v>0</v>
      </c>
      <c r="Q682" s="7">
        <v>0</v>
      </c>
      <c r="R682" s="7">
        <v>1</v>
      </c>
      <c r="S682" s="7">
        <v>4.5</v>
      </c>
      <c r="T682">
        <v>7</v>
      </c>
      <c r="U682" s="1">
        <v>36</v>
      </c>
      <c r="V682">
        <v>0</v>
      </c>
      <c r="W682">
        <v>0</v>
      </c>
      <c r="X682">
        <v>1</v>
      </c>
      <c r="Y682">
        <v>0.16</v>
      </c>
      <c r="Z682">
        <v>23</v>
      </c>
      <c r="AA682">
        <v>0</v>
      </c>
      <c r="AB682">
        <v>0</v>
      </c>
      <c r="AC682">
        <v>0</v>
      </c>
      <c r="AD682">
        <v>1</v>
      </c>
      <c r="AE682">
        <v>0.05</v>
      </c>
      <c r="AF682">
        <v>15</v>
      </c>
      <c r="AG682">
        <v>0</v>
      </c>
      <c r="AH682">
        <v>0</v>
      </c>
      <c r="AI682">
        <v>0</v>
      </c>
      <c r="AJ682">
        <v>1</v>
      </c>
      <c r="AK682">
        <v>0.02</v>
      </c>
      <c r="AL682">
        <v>16</v>
      </c>
      <c r="AM682">
        <v>0</v>
      </c>
      <c r="AN682">
        <v>0</v>
      </c>
      <c r="AO682">
        <v>0</v>
      </c>
      <c r="AP682">
        <v>1</v>
      </c>
      <c r="AQ682">
        <v>0.01</v>
      </c>
      <c r="AX682">
        <v>7</v>
      </c>
      <c r="AY682" s="1">
        <v>20</v>
      </c>
      <c r="AZ682">
        <v>0</v>
      </c>
      <c r="BA682">
        <v>0</v>
      </c>
      <c r="BB682">
        <v>1</v>
      </c>
      <c r="BC682" s="7">
        <v>0.32</v>
      </c>
      <c r="BD682">
        <v>30</v>
      </c>
      <c r="BE682">
        <v>0</v>
      </c>
      <c r="BF682">
        <v>0</v>
      </c>
      <c r="BG682">
        <v>0</v>
      </c>
      <c r="BH682">
        <v>5</v>
      </c>
      <c r="BI682">
        <v>2.4</v>
      </c>
      <c r="BJ682">
        <v>31</v>
      </c>
      <c r="BK682">
        <v>0</v>
      </c>
      <c r="BL682">
        <v>0</v>
      </c>
      <c r="BM682">
        <v>0</v>
      </c>
      <c r="BN682">
        <v>5</v>
      </c>
      <c r="BO682">
        <v>2.4</v>
      </c>
      <c r="BP682">
        <v>36</v>
      </c>
      <c r="BQ682">
        <v>0</v>
      </c>
      <c r="BR682">
        <v>0</v>
      </c>
      <c r="BS682">
        <v>0</v>
      </c>
      <c r="BT682">
        <v>5</v>
      </c>
      <c r="BU682">
        <v>2.1</v>
      </c>
    </row>
    <row r="683" spans="1:73" x14ac:dyDescent="0.15">
      <c r="A683" s="11">
        <v>10830</v>
      </c>
      <c r="B683">
        <v>7</v>
      </c>
      <c r="C683" s="1">
        <v>0</v>
      </c>
      <c r="D683">
        <v>5</v>
      </c>
      <c r="E683">
        <v>1</v>
      </c>
      <c r="F683">
        <v>1</v>
      </c>
      <c r="G683" s="7">
        <v>0.05</v>
      </c>
      <c r="H683">
        <v>12</v>
      </c>
      <c r="I683">
        <v>0</v>
      </c>
      <c r="J683">
        <v>0</v>
      </c>
      <c r="K683">
        <v>0</v>
      </c>
      <c r="L683">
        <v>1</v>
      </c>
      <c r="M683">
        <v>2</v>
      </c>
      <c r="N683" s="7">
        <v>9</v>
      </c>
      <c r="O683" s="7">
        <v>0</v>
      </c>
      <c r="P683" s="7">
        <v>0</v>
      </c>
      <c r="Q683" s="7">
        <v>0</v>
      </c>
      <c r="R683" s="7">
        <v>1</v>
      </c>
      <c r="S683" s="7">
        <v>4.5</v>
      </c>
      <c r="T683">
        <v>7</v>
      </c>
      <c r="U683" s="1">
        <v>0</v>
      </c>
      <c r="V683">
        <v>4</v>
      </c>
      <c r="W683">
        <v>2</v>
      </c>
      <c r="X683">
        <v>1</v>
      </c>
      <c r="Y683">
        <v>0.16</v>
      </c>
      <c r="Z683">
        <v>23</v>
      </c>
      <c r="AA683">
        <v>0</v>
      </c>
      <c r="AB683">
        <v>0</v>
      </c>
      <c r="AC683">
        <v>0</v>
      </c>
      <c r="AD683">
        <v>1</v>
      </c>
      <c r="AE683">
        <v>0.05</v>
      </c>
      <c r="AF683">
        <v>15</v>
      </c>
      <c r="AG683">
        <v>0</v>
      </c>
      <c r="AH683">
        <v>0</v>
      </c>
      <c r="AI683">
        <v>0</v>
      </c>
      <c r="AJ683">
        <v>1</v>
      </c>
      <c r="AK683">
        <v>0.02</v>
      </c>
      <c r="AL683">
        <v>16</v>
      </c>
      <c r="AM683">
        <v>0</v>
      </c>
      <c r="AN683">
        <v>0</v>
      </c>
      <c r="AO683">
        <v>0</v>
      </c>
      <c r="AP683">
        <v>1</v>
      </c>
      <c r="AQ683">
        <v>0.01</v>
      </c>
      <c r="AR683">
        <v>6</v>
      </c>
      <c r="AS683">
        <v>2</v>
      </c>
      <c r="AT683">
        <v>1</v>
      </c>
      <c r="AU683">
        <v>5</v>
      </c>
      <c r="AV683">
        <v>1</v>
      </c>
      <c r="AW683">
        <v>0.05</v>
      </c>
      <c r="AX683">
        <v>7</v>
      </c>
      <c r="AY683" s="1">
        <v>0</v>
      </c>
      <c r="AZ683">
        <v>3</v>
      </c>
      <c r="BA683">
        <v>1</v>
      </c>
      <c r="BB683">
        <v>1</v>
      </c>
      <c r="BC683" s="7">
        <v>0.32</v>
      </c>
      <c r="BD683">
        <v>30</v>
      </c>
      <c r="BE683">
        <v>0</v>
      </c>
      <c r="BF683">
        <v>0</v>
      </c>
      <c r="BG683">
        <v>0</v>
      </c>
      <c r="BH683">
        <v>5</v>
      </c>
      <c r="BI683">
        <v>2.4</v>
      </c>
      <c r="BJ683">
        <v>31</v>
      </c>
      <c r="BK683">
        <v>0</v>
      </c>
      <c r="BL683">
        <v>0</v>
      </c>
      <c r="BM683">
        <v>0</v>
      </c>
      <c r="BN683">
        <v>5</v>
      </c>
      <c r="BO683">
        <v>2.4</v>
      </c>
      <c r="BP683">
        <v>36</v>
      </c>
      <c r="BQ683">
        <v>0</v>
      </c>
      <c r="BR683">
        <v>0</v>
      </c>
      <c r="BS683">
        <v>0</v>
      </c>
      <c r="BT683">
        <v>5</v>
      </c>
      <c r="BU683">
        <v>2.1</v>
      </c>
    </row>
    <row r="684" spans="1:73" x14ac:dyDescent="0.15">
      <c r="A684" s="11">
        <v>10831</v>
      </c>
      <c r="B684">
        <v>7</v>
      </c>
      <c r="C684" s="1">
        <v>45</v>
      </c>
      <c r="D684">
        <v>0</v>
      </c>
      <c r="E684">
        <v>0</v>
      </c>
      <c r="F684">
        <v>1</v>
      </c>
      <c r="G684" s="7">
        <v>0.05</v>
      </c>
      <c r="H684">
        <v>12</v>
      </c>
      <c r="I684">
        <v>0</v>
      </c>
      <c r="J684">
        <v>0</v>
      </c>
      <c r="K684">
        <v>0</v>
      </c>
      <c r="L684">
        <v>1</v>
      </c>
      <c r="M684">
        <v>2</v>
      </c>
      <c r="N684" s="7">
        <v>9</v>
      </c>
      <c r="O684" s="7">
        <v>0</v>
      </c>
      <c r="P684" s="7">
        <v>0</v>
      </c>
      <c r="Q684" s="7">
        <v>0</v>
      </c>
      <c r="R684" s="7">
        <v>1</v>
      </c>
      <c r="S684" s="7">
        <v>4.5</v>
      </c>
      <c r="T684">
        <v>7</v>
      </c>
      <c r="U684" s="1">
        <v>33</v>
      </c>
      <c r="V684">
        <v>0</v>
      </c>
      <c r="W684">
        <v>0</v>
      </c>
      <c r="X684">
        <v>1</v>
      </c>
      <c r="Y684">
        <v>0.16</v>
      </c>
      <c r="Z684">
        <v>23</v>
      </c>
      <c r="AA684">
        <v>0</v>
      </c>
      <c r="AB684">
        <v>0</v>
      </c>
      <c r="AC684">
        <v>0</v>
      </c>
      <c r="AD684">
        <v>1</v>
      </c>
      <c r="AE684">
        <v>0.05</v>
      </c>
      <c r="AF684">
        <v>15</v>
      </c>
      <c r="AG684">
        <v>0</v>
      </c>
      <c r="AH684">
        <v>0</v>
      </c>
      <c r="AI684">
        <v>0</v>
      </c>
      <c r="AJ684">
        <v>1</v>
      </c>
      <c r="AK684">
        <v>0.02</v>
      </c>
      <c r="AL684">
        <v>16</v>
      </c>
      <c r="AM684">
        <v>0</v>
      </c>
      <c r="AN684">
        <v>0</v>
      </c>
      <c r="AO684">
        <v>0</v>
      </c>
      <c r="AP684">
        <v>1</v>
      </c>
      <c r="AQ684">
        <v>0.01</v>
      </c>
      <c r="AX684">
        <v>7</v>
      </c>
      <c r="AY684" s="1">
        <v>17</v>
      </c>
      <c r="AZ684">
        <v>0</v>
      </c>
      <c r="BA684">
        <v>0</v>
      </c>
      <c r="BB684">
        <v>1</v>
      </c>
      <c r="BC684" s="7">
        <v>0.32</v>
      </c>
      <c r="BD684">
        <v>30</v>
      </c>
      <c r="BE684">
        <v>0</v>
      </c>
      <c r="BF684">
        <v>0</v>
      </c>
      <c r="BG684">
        <v>0</v>
      </c>
      <c r="BH684">
        <v>5</v>
      </c>
      <c r="BI684">
        <v>2.4</v>
      </c>
      <c r="BJ684">
        <v>31</v>
      </c>
      <c r="BK684">
        <v>0</v>
      </c>
      <c r="BL684">
        <v>0</v>
      </c>
      <c r="BM684">
        <v>0</v>
      </c>
      <c r="BN684">
        <v>5</v>
      </c>
      <c r="BO684">
        <v>2.4</v>
      </c>
      <c r="BP684">
        <v>36</v>
      </c>
      <c r="BQ684">
        <v>0</v>
      </c>
      <c r="BR684">
        <v>0</v>
      </c>
      <c r="BS684">
        <v>0</v>
      </c>
      <c r="BT684">
        <v>5</v>
      </c>
      <c r="BU684">
        <v>2.1</v>
      </c>
    </row>
    <row r="685" spans="1:73" x14ac:dyDescent="0.15">
      <c r="A685" s="11">
        <v>10832</v>
      </c>
      <c r="B685">
        <v>7</v>
      </c>
      <c r="C685" s="1">
        <v>46</v>
      </c>
      <c r="D685">
        <v>0</v>
      </c>
      <c r="E685">
        <v>0</v>
      </c>
      <c r="F685">
        <v>1</v>
      </c>
      <c r="G685" s="7">
        <v>0.05</v>
      </c>
      <c r="H685">
        <v>12</v>
      </c>
      <c r="I685">
        <v>0</v>
      </c>
      <c r="J685">
        <v>0</v>
      </c>
      <c r="K685">
        <v>0</v>
      </c>
      <c r="L685">
        <v>1</v>
      </c>
      <c r="M685">
        <v>2</v>
      </c>
      <c r="N685" s="7">
        <v>9</v>
      </c>
      <c r="O685" s="7">
        <v>0</v>
      </c>
      <c r="P685" s="7">
        <v>0</v>
      </c>
      <c r="Q685" s="7">
        <v>0</v>
      </c>
      <c r="R685" s="7">
        <v>1</v>
      </c>
      <c r="S685" s="7">
        <v>4.5</v>
      </c>
      <c r="T685">
        <v>7</v>
      </c>
      <c r="U685" s="1">
        <v>34</v>
      </c>
      <c r="V685">
        <v>0</v>
      </c>
      <c r="W685">
        <v>0</v>
      </c>
      <c r="X685">
        <v>1</v>
      </c>
      <c r="Y685">
        <v>0.16</v>
      </c>
      <c r="Z685">
        <v>23</v>
      </c>
      <c r="AA685">
        <v>0</v>
      </c>
      <c r="AB685">
        <v>0</v>
      </c>
      <c r="AC685">
        <v>0</v>
      </c>
      <c r="AD685">
        <v>1</v>
      </c>
      <c r="AE685">
        <v>0.05</v>
      </c>
      <c r="AF685">
        <v>15</v>
      </c>
      <c r="AG685">
        <v>0</v>
      </c>
      <c r="AH685">
        <v>0</v>
      </c>
      <c r="AI685">
        <v>0</v>
      </c>
      <c r="AJ685">
        <v>1</v>
      </c>
      <c r="AK685">
        <v>0.02</v>
      </c>
      <c r="AL685">
        <v>16</v>
      </c>
      <c r="AM685">
        <v>0</v>
      </c>
      <c r="AN685">
        <v>0</v>
      </c>
      <c r="AO685">
        <v>0</v>
      </c>
      <c r="AP685">
        <v>1</v>
      </c>
      <c r="AQ685">
        <v>0.01</v>
      </c>
      <c r="AX685">
        <v>7</v>
      </c>
      <c r="AY685" s="1">
        <v>18</v>
      </c>
      <c r="AZ685">
        <v>0</v>
      </c>
      <c r="BA685">
        <v>0</v>
      </c>
      <c r="BB685">
        <v>1</v>
      </c>
      <c r="BC685" s="7">
        <v>0.32</v>
      </c>
      <c r="BD685">
        <v>30</v>
      </c>
      <c r="BE685">
        <v>0</v>
      </c>
      <c r="BF685">
        <v>0</v>
      </c>
      <c r="BG685">
        <v>0</v>
      </c>
      <c r="BH685">
        <v>5</v>
      </c>
      <c r="BI685">
        <v>2.4</v>
      </c>
      <c r="BJ685">
        <v>31</v>
      </c>
      <c r="BK685">
        <v>0</v>
      </c>
      <c r="BL685">
        <v>0</v>
      </c>
      <c r="BM685">
        <v>0</v>
      </c>
      <c r="BN685">
        <v>5</v>
      </c>
      <c r="BO685">
        <v>2.4</v>
      </c>
      <c r="BP685">
        <v>36</v>
      </c>
      <c r="BQ685">
        <v>0</v>
      </c>
      <c r="BR685">
        <v>0</v>
      </c>
      <c r="BS685">
        <v>0</v>
      </c>
      <c r="BT685">
        <v>5</v>
      </c>
      <c r="BU685">
        <v>2.1</v>
      </c>
    </row>
    <row r="686" spans="1:73" x14ac:dyDescent="0.15">
      <c r="A686" s="11">
        <v>10833</v>
      </c>
      <c r="B686">
        <v>7</v>
      </c>
      <c r="C686" s="1">
        <v>47</v>
      </c>
      <c r="D686">
        <v>0</v>
      </c>
      <c r="E686">
        <v>0</v>
      </c>
      <c r="F686">
        <v>1</v>
      </c>
      <c r="G686" s="7">
        <v>0.05</v>
      </c>
      <c r="H686">
        <v>12</v>
      </c>
      <c r="I686">
        <v>0</v>
      </c>
      <c r="J686">
        <v>0</v>
      </c>
      <c r="K686">
        <v>0</v>
      </c>
      <c r="L686">
        <v>1</v>
      </c>
      <c r="M686">
        <v>2</v>
      </c>
      <c r="N686" s="7">
        <v>9</v>
      </c>
      <c r="O686" s="7">
        <v>0</v>
      </c>
      <c r="P686" s="7">
        <v>0</v>
      </c>
      <c r="Q686" s="7">
        <v>0</v>
      </c>
      <c r="R686" s="7">
        <v>1</v>
      </c>
      <c r="S686" s="7">
        <v>4.5</v>
      </c>
      <c r="T686">
        <v>7</v>
      </c>
      <c r="U686" s="1">
        <v>35</v>
      </c>
      <c r="V686">
        <v>0</v>
      </c>
      <c r="W686">
        <v>0</v>
      </c>
      <c r="X686">
        <v>1</v>
      </c>
      <c r="Y686">
        <v>0.16</v>
      </c>
      <c r="Z686">
        <v>23</v>
      </c>
      <c r="AA686">
        <v>0</v>
      </c>
      <c r="AB686">
        <v>0</v>
      </c>
      <c r="AC686">
        <v>0</v>
      </c>
      <c r="AD686">
        <v>1</v>
      </c>
      <c r="AE686">
        <v>0.05</v>
      </c>
      <c r="AF686">
        <v>15</v>
      </c>
      <c r="AG686">
        <v>0</v>
      </c>
      <c r="AH686">
        <v>0</v>
      </c>
      <c r="AI686">
        <v>0</v>
      </c>
      <c r="AJ686">
        <v>1</v>
      </c>
      <c r="AK686">
        <v>0.02</v>
      </c>
      <c r="AL686">
        <v>16</v>
      </c>
      <c r="AM686">
        <v>0</v>
      </c>
      <c r="AN686">
        <v>0</v>
      </c>
      <c r="AO686">
        <v>0</v>
      </c>
      <c r="AP686">
        <v>1</v>
      </c>
      <c r="AQ686">
        <v>0.01</v>
      </c>
      <c r="AX686">
        <v>7</v>
      </c>
      <c r="AY686" s="1">
        <v>19</v>
      </c>
      <c r="AZ686">
        <v>0</v>
      </c>
      <c r="BA686">
        <v>0</v>
      </c>
      <c r="BB686">
        <v>1</v>
      </c>
      <c r="BC686" s="7">
        <v>0.32</v>
      </c>
      <c r="BD686">
        <v>30</v>
      </c>
      <c r="BE686">
        <v>0</v>
      </c>
      <c r="BF686">
        <v>0</v>
      </c>
      <c r="BG686">
        <v>0</v>
      </c>
      <c r="BH686">
        <v>5</v>
      </c>
      <c r="BI686">
        <v>2.4</v>
      </c>
      <c r="BJ686">
        <v>31</v>
      </c>
      <c r="BK686">
        <v>0</v>
      </c>
      <c r="BL686">
        <v>0</v>
      </c>
      <c r="BM686">
        <v>0</v>
      </c>
      <c r="BN686">
        <v>5</v>
      </c>
      <c r="BO686">
        <v>2.4</v>
      </c>
      <c r="BP686">
        <v>36</v>
      </c>
      <c r="BQ686">
        <v>0</v>
      </c>
      <c r="BR686">
        <v>0</v>
      </c>
      <c r="BS686">
        <v>0</v>
      </c>
      <c r="BT686">
        <v>5</v>
      </c>
      <c r="BU686">
        <v>2.1</v>
      </c>
    </row>
    <row r="687" spans="1:73" x14ac:dyDescent="0.15">
      <c r="A687" s="11">
        <v>10834</v>
      </c>
      <c r="B687">
        <v>7</v>
      </c>
      <c r="C687" s="1">
        <v>48</v>
      </c>
      <c r="D687">
        <v>0</v>
      </c>
      <c r="E687">
        <v>0</v>
      </c>
      <c r="F687">
        <v>1</v>
      </c>
      <c r="G687" s="7">
        <v>0.05</v>
      </c>
      <c r="H687">
        <v>12</v>
      </c>
      <c r="I687">
        <v>0</v>
      </c>
      <c r="J687">
        <v>0</v>
      </c>
      <c r="K687">
        <v>0</v>
      </c>
      <c r="L687">
        <v>1</v>
      </c>
      <c r="M687">
        <v>2</v>
      </c>
      <c r="N687" s="7">
        <v>9</v>
      </c>
      <c r="O687" s="7">
        <v>0</v>
      </c>
      <c r="P687" s="7">
        <v>0</v>
      </c>
      <c r="Q687" s="7">
        <v>0</v>
      </c>
      <c r="R687" s="7">
        <v>1</v>
      </c>
      <c r="S687" s="7">
        <v>4.5</v>
      </c>
      <c r="T687">
        <v>7</v>
      </c>
      <c r="U687" s="1">
        <v>36</v>
      </c>
      <c r="V687">
        <v>0</v>
      </c>
      <c r="W687">
        <v>0</v>
      </c>
      <c r="X687">
        <v>1</v>
      </c>
      <c r="Y687">
        <v>0.16</v>
      </c>
      <c r="Z687">
        <v>23</v>
      </c>
      <c r="AA687">
        <v>0</v>
      </c>
      <c r="AB687">
        <v>0</v>
      </c>
      <c r="AC687">
        <v>0</v>
      </c>
      <c r="AD687">
        <v>1</v>
      </c>
      <c r="AE687">
        <v>0.05</v>
      </c>
      <c r="AF687">
        <v>15</v>
      </c>
      <c r="AG687">
        <v>0</v>
      </c>
      <c r="AH687">
        <v>0</v>
      </c>
      <c r="AI687">
        <v>0</v>
      </c>
      <c r="AJ687">
        <v>1</v>
      </c>
      <c r="AK687">
        <v>0.02</v>
      </c>
      <c r="AL687">
        <v>16</v>
      </c>
      <c r="AM687">
        <v>0</v>
      </c>
      <c r="AN687">
        <v>0</v>
      </c>
      <c r="AO687">
        <v>0</v>
      </c>
      <c r="AP687">
        <v>1</v>
      </c>
      <c r="AQ687">
        <v>0.01</v>
      </c>
      <c r="AX687">
        <v>7</v>
      </c>
      <c r="AY687" s="1">
        <v>20</v>
      </c>
      <c r="AZ687">
        <v>0</v>
      </c>
      <c r="BA687">
        <v>0</v>
      </c>
      <c r="BB687">
        <v>1</v>
      </c>
      <c r="BC687" s="7">
        <v>0.32</v>
      </c>
      <c r="BD687">
        <v>30</v>
      </c>
      <c r="BE687">
        <v>0</v>
      </c>
      <c r="BF687">
        <v>0</v>
      </c>
      <c r="BG687">
        <v>0</v>
      </c>
      <c r="BH687">
        <v>5</v>
      </c>
      <c r="BI687">
        <v>2.4</v>
      </c>
      <c r="BJ687">
        <v>31</v>
      </c>
      <c r="BK687">
        <v>0</v>
      </c>
      <c r="BL687">
        <v>0</v>
      </c>
      <c r="BM687">
        <v>0</v>
      </c>
      <c r="BN687">
        <v>5</v>
      </c>
      <c r="BO687">
        <v>2.4</v>
      </c>
      <c r="BP687">
        <v>36</v>
      </c>
      <c r="BQ687">
        <v>0</v>
      </c>
      <c r="BR687">
        <v>0</v>
      </c>
      <c r="BS687">
        <v>0</v>
      </c>
      <c r="BT687">
        <v>5</v>
      </c>
      <c r="BU687">
        <v>2.1</v>
      </c>
    </row>
    <row r="688" spans="1:73" x14ac:dyDescent="0.15">
      <c r="A688" s="11">
        <v>10835</v>
      </c>
      <c r="B688">
        <v>7</v>
      </c>
      <c r="C688" s="1">
        <v>0</v>
      </c>
      <c r="D688">
        <v>5</v>
      </c>
      <c r="E688">
        <v>1</v>
      </c>
      <c r="F688">
        <v>1</v>
      </c>
      <c r="G688" s="7">
        <v>0.05</v>
      </c>
      <c r="H688">
        <v>12</v>
      </c>
      <c r="I688">
        <v>0</v>
      </c>
      <c r="J688">
        <v>0</v>
      </c>
      <c r="K688">
        <v>0</v>
      </c>
      <c r="L688">
        <v>1</v>
      </c>
      <c r="M688">
        <v>2</v>
      </c>
      <c r="N688" s="7">
        <v>9</v>
      </c>
      <c r="O688" s="7">
        <v>0</v>
      </c>
      <c r="P688" s="7">
        <v>0</v>
      </c>
      <c r="Q688" s="7">
        <v>0</v>
      </c>
      <c r="R688" s="7">
        <v>1</v>
      </c>
      <c r="S688" s="7">
        <v>4.5</v>
      </c>
      <c r="T688">
        <v>7</v>
      </c>
      <c r="U688" s="1">
        <v>0</v>
      </c>
      <c r="V688">
        <v>4</v>
      </c>
      <c r="W688">
        <v>2</v>
      </c>
      <c r="X688">
        <v>1</v>
      </c>
      <c r="Y688">
        <v>0.16</v>
      </c>
      <c r="Z688">
        <v>23</v>
      </c>
      <c r="AA688">
        <v>0</v>
      </c>
      <c r="AB688">
        <v>0</v>
      </c>
      <c r="AC688">
        <v>0</v>
      </c>
      <c r="AD688">
        <v>1</v>
      </c>
      <c r="AE688">
        <v>0.05</v>
      </c>
      <c r="AF688">
        <v>15</v>
      </c>
      <c r="AG688">
        <v>0</v>
      </c>
      <c r="AH688">
        <v>0</v>
      </c>
      <c r="AI688">
        <v>0</v>
      </c>
      <c r="AJ688">
        <v>1</v>
      </c>
      <c r="AK688">
        <v>0.02</v>
      </c>
      <c r="AL688">
        <v>16</v>
      </c>
      <c r="AM688">
        <v>0</v>
      </c>
      <c r="AN688">
        <v>0</v>
      </c>
      <c r="AO688">
        <v>0</v>
      </c>
      <c r="AP688">
        <v>1</v>
      </c>
      <c r="AQ688">
        <v>0.01</v>
      </c>
      <c r="AR688">
        <v>6</v>
      </c>
      <c r="AS688">
        <v>2</v>
      </c>
      <c r="AT688">
        <v>2</v>
      </c>
      <c r="AU688">
        <v>5</v>
      </c>
      <c r="AV688">
        <v>1</v>
      </c>
      <c r="AW688">
        <v>0.05</v>
      </c>
      <c r="AX688">
        <v>7</v>
      </c>
      <c r="AY688" s="1">
        <v>0</v>
      </c>
      <c r="AZ688">
        <v>3</v>
      </c>
      <c r="BA688">
        <v>1</v>
      </c>
      <c r="BB688">
        <v>1</v>
      </c>
      <c r="BC688" s="7">
        <v>0.32</v>
      </c>
      <c r="BD688">
        <v>30</v>
      </c>
      <c r="BE688">
        <v>0</v>
      </c>
      <c r="BF688">
        <v>0</v>
      </c>
      <c r="BG688">
        <v>0</v>
      </c>
      <c r="BH688">
        <v>5</v>
      </c>
      <c r="BI688">
        <v>2.4</v>
      </c>
      <c r="BJ688">
        <v>31</v>
      </c>
      <c r="BK688">
        <v>0</v>
      </c>
      <c r="BL688">
        <v>0</v>
      </c>
      <c r="BM688">
        <v>0</v>
      </c>
      <c r="BN688">
        <v>5</v>
      </c>
      <c r="BO688">
        <v>2.4</v>
      </c>
      <c r="BP688">
        <v>36</v>
      </c>
      <c r="BQ688">
        <v>0</v>
      </c>
      <c r="BR688">
        <v>0</v>
      </c>
      <c r="BS688">
        <v>0</v>
      </c>
      <c r="BT688">
        <v>5</v>
      </c>
      <c r="BU688">
        <v>2.1</v>
      </c>
    </row>
    <row r="689" spans="1:73" x14ac:dyDescent="0.15">
      <c r="A689" s="11">
        <v>10836</v>
      </c>
      <c r="B689">
        <v>7</v>
      </c>
      <c r="C689" s="1">
        <v>45</v>
      </c>
      <c r="D689">
        <v>0</v>
      </c>
      <c r="E689">
        <v>0</v>
      </c>
      <c r="F689">
        <v>1</v>
      </c>
      <c r="G689" s="7">
        <v>0.05</v>
      </c>
      <c r="H689">
        <v>12</v>
      </c>
      <c r="I689">
        <v>0</v>
      </c>
      <c r="J689">
        <v>0</v>
      </c>
      <c r="K689">
        <v>0</v>
      </c>
      <c r="L689">
        <v>1</v>
      </c>
      <c r="M689">
        <v>2</v>
      </c>
      <c r="N689" s="7">
        <v>9</v>
      </c>
      <c r="O689" s="7">
        <v>0</v>
      </c>
      <c r="P689" s="7">
        <v>0</v>
      </c>
      <c r="Q689" s="7">
        <v>0</v>
      </c>
      <c r="R689" s="7">
        <v>1</v>
      </c>
      <c r="S689" s="7">
        <v>4.5</v>
      </c>
      <c r="T689">
        <v>7</v>
      </c>
      <c r="U689" s="1">
        <v>33</v>
      </c>
      <c r="V689">
        <v>0</v>
      </c>
      <c r="W689">
        <v>0</v>
      </c>
      <c r="X689">
        <v>1</v>
      </c>
      <c r="Y689">
        <v>0.16</v>
      </c>
      <c r="Z689">
        <v>23</v>
      </c>
      <c r="AA689">
        <v>0</v>
      </c>
      <c r="AB689">
        <v>0</v>
      </c>
      <c r="AC689">
        <v>0</v>
      </c>
      <c r="AD689">
        <v>1</v>
      </c>
      <c r="AE689">
        <v>0.05</v>
      </c>
      <c r="AF689">
        <v>15</v>
      </c>
      <c r="AG689">
        <v>0</v>
      </c>
      <c r="AH689">
        <v>0</v>
      </c>
      <c r="AI689">
        <v>0</v>
      </c>
      <c r="AJ689">
        <v>1</v>
      </c>
      <c r="AK689">
        <v>0.02</v>
      </c>
      <c r="AL689">
        <v>16</v>
      </c>
      <c r="AM689">
        <v>0</v>
      </c>
      <c r="AN689">
        <v>0</v>
      </c>
      <c r="AO689">
        <v>0</v>
      </c>
      <c r="AP689">
        <v>1</v>
      </c>
      <c r="AQ689">
        <v>0.01</v>
      </c>
      <c r="AX689">
        <v>7</v>
      </c>
      <c r="AY689" s="1">
        <v>17</v>
      </c>
      <c r="AZ689">
        <v>0</v>
      </c>
      <c r="BA689">
        <v>0</v>
      </c>
      <c r="BB689">
        <v>1</v>
      </c>
      <c r="BC689" s="7">
        <v>0.32</v>
      </c>
      <c r="BD689">
        <v>30</v>
      </c>
      <c r="BE689">
        <v>0</v>
      </c>
      <c r="BF689">
        <v>0</v>
      </c>
      <c r="BG689">
        <v>0</v>
      </c>
      <c r="BH689">
        <v>5</v>
      </c>
      <c r="BI689">
        <v>2.4</v>
      </c>
      <c r="BJ689">
        <v>31</v>
      </c>
      <c r="BK689">
        <v>0</v>
      </c>
      <c r="BL689">
        <v>0</v>
      </c>
      <c r="BM689">
        <v>0</v>
      </c>
      <c r="BN689">
        <v>5</v>
      </c>
      <c r="BO689">
        <v>2.4</v>
      </c>
      <c r="BP689">
        <v>36</v>
      </c>
      <c r="BQ689">
        <v>0</v>
      </c>
      <c r="BR689">
        <v>0</v>
      </c>
      <c r="BS689">
        <v>0</v>
      </c>
      <c r="BT689">
        <v>5</v>
      </c>
      <c r="BU689">
        <v>2.1</v>
      </c>
    </row>
    <row r="690" spans="1:73" x14ac:dyDescent="0.15">
      <c r="A690" s="11">
        <v>10837</v>
      </c>
      <c r="B690">
        <v>7</v>
      </c>
      <c r="C690" s="1">
        <v>46</v>
      </c>
      <c r="D690">
        <v>0</v>
      </c>
      <c r="E690">
        <v>0</v>
      </c>
      <c r="F690">
        <v>1</v>
      </c>
      <c r="G690" s="7">
        <v>0.05</v>
      </c>
      <c r="H690">
        <v>12</v>
      </c>
      <c r="I690">
        <v>0</v>
      </c>
      <c r="J690">
        <v>0</v>
      </c>
      <c r="K690">
        <v>0</v>
      </c>
      <c r="L690">
        <v>1</v>
      </c>
      <c r="M690">
        <v>2</v>
      </c>
      <c r="N690" s="7">
        <v>9</v>
      </c>
      <c r="O690" s="7">
        <v>0</v>
      </c>
      <c r="P690" s="7">
        <v>0</v>
      </c>
      <c r="Q690" s="7">
        <v>0</v>
      </c>
      <c r="R690" s="7">
        <v>1</v>
      </c>
      <c r="S690" s="7">
        <v>4.5</v>
      </c>
      <c r="T690">
        <v>7</v>
      </c>
      <c r="U690" s="1">
        <v>34</v>
      </c>
      <c r="V690">
        <v>0</v>
      </c>
      <c r="W690">
        <v>0</v>
      </c>
      <c r="X690">
        <v>1</v>
      </c>
      <c r="Y690">
        <v>0.16</v>
      </c>
      <c r="Z690">
        <v>23</v>
      </c>
      <c r="AA690">
        <v>0</v>
      </c>
      <c r="AB690">
        <v>0</v>
      </c>
      <c r="AC690">
        <v>0</v>
      </c>
      <c r="AD690">
        <v>1</v>
      </c>
      <c r="AE690">
        <v>0.05</v>
      </c>
      <c r="AF690">
        <v>15</v>
      </c>
      <c r="AG690">
        <v>0</v>
      </c>
      <c r="AH690">
        <v>0</v>
      </c>
      <c r="AI690">
        <v>0</v>
      </c>
      <c r="AJ690">
        <v>1</v>
      </c>
      <c r="AK690">
        <v>0.02</v>
      </c>
      <c r="AL690">
        <v>16</v>
      </c>
      <c r="AM690">
        <v>0</v>
      </c>
      <c r="AN690">
        <v>0</v>
      </c>
      <c r="AO690">
        <v>0</v>
      </c>
      <c r="AP690">
        <v>1</v>
      </c>
      <c r="AQ690">
        <v>0.01</v>
      </c>
      <c r="AX690">
        <v>7</v>
      </c>
      <c r="AY690" s="1">
        <v>18</v>
      </c>
      <c r="AZ690">
        <v>0</v>
      </c>
      <c r="BA690">
        <v>0</v>
      </c>
      <c r="BB690">
        <v>1</v>
      </c>
      <c r="BC690" s="7">
        <v>0.32</v>
      </c>
      <c r="BD690">
        <v>30</v>
      </c>
      <c r="BE690">
        <v>0</v>
      </c>
      <c r="BF690">
        <v>0</v>
      </c>
      <c r="BG690">
        <v>0</v>
      </c>
      <c r="BH690">
        <v>5</v>
      </c>
      <c r="BI690">
        <v>2.4</v>
      </c>
      <c r="BJ690">
        <v>31</v>
      </c>
      <c r="BK690">
        <v>0</v>
      </c>
      <c r="BL690">
        <v>0</v>
      </c>
      <c r="BM690">
        <v>0</v>
      </c>
      <c r="BN690">
        <v>5</v>
      </c>
      <c r="BO690">
        <v>2.4</v>
      </c>
      <c r="BP690">
        <v>36</v>
      </c>
      <c r="BQ690">
        <v>0</v>
      </c>
      <c r="BR690">
        <v>0</v>
      </c>
      <c r="BS690">
        <v>0</v>
      </c>
      <c r="BT690">
        <v>5</v>
      </c>
      <c r="BU690">
        <v>2.1</v>
      </c>
    </row>
    <row r="691" spans="1:73" x14ac:dyDescent="0.15">
      <c r="A691" s="11">
        <v>10838</v>
      </c>
      <c r="B691">
        <v>7</v>
      </c>
      <c r="C691" s="1">
        <v>47</v>
      </c>
      <c r="D691">
        <v>0</v>
      </c>
      <c r="E691">
        <v>0</v>
      </c>
      <c r="F691">
        <v>1</v>
      </c>
      <c r="G691" s="7">
        <v>0.05</v>
      </c>
      <c r="H691">
        <v>12</v>
      </c>
      <c r="I691">
        <v>0</v>
      </c>
      <c r="J691">
        <v>0</v>
      </c>
      <c r="K691">
        <v>0</v>
      </c>
      <c r="L691">
        <v>1</v>
      </c>
      <c r="M691">
        <v>2</v>
      </c>
      <c r="N691" s="7">
        <v>9</v>
      </c>
      <c r="O691" s="7">
        <v>0</v>
      </c>
      <c r="P691" s="7">
        <v>0</v>
      </c>
      <c r="Q691" s="7">
        <v>0</v>
      </c>
      <c r="R691" s="7">
        <v>1</v>
      </c>
      <c r="S691" s="7">
        <v>4.5</v>
      </c>
      <c r="T691">
        <v>7</v>
      </c>
      <c r="U691" s="1">
        <v>35</v>
      </c>
      <c r="V691">
        <v>0</v>
      </c>
      <c r="W691">
        <v>0</v>
      </c>
      <c r="X691">
        <v>1</v>
      </c>
      <c r="Y691">
        <v>0.16</v>
      </c>
      <c r="Z691">
        <v>23</v>
      </c>
      <c r="AA691">
        <v>0</v>
      </c>
      <c r="AB691">
        <v>0</v>
      </c>
      <c r="AC691">
        <v>0</v>
      </c>
      <c r="AD691">
        <v>1</v>
      </c>
      <c r="AE691">
        <v>0.05</v>
      </c>
      <c r="AF691">
        <v>15</v>
      </c>
      <c r="AG691">
        <v>0</v>
      </c>
      <c r="AH691">
        <v>0</v>
      </c>
      <c r="AI691">
        <v>0</v>
      </c>
      <c r="AJ691">
        <v>1</v>
      </c>
      <c r="AK691">
        <v>0.02</v>
      </c>
      <c r="AL691">
        <v>16</v>
      </c>
      <c r="AM691">
        <v>0</v>
      </c>
      <c r="AN691">
        <v>0</v>
      </c>
      <c r="AO691">
        <v>0</v>
      </c>
      <c r="AP691">
        <v>1</v>
      </c>
      <c r="AQ691">
        <v>0.01</v>
      </c>
      <c r="AX691">
        <v>7</v>
      </c>
      <c r="AY691" s="1">
        <v>19</v>
      </c>
      <c r="AZ691">
        <v>0</v>
      </c>
      <c r="BA691">
        <v>0</v>
      </c>
      <c r="BB691">
        <v>1</v>
      </c>
      <c r="BC691" s="7">
        <v>0.32</v>
      </c>
      <c r="BD691">
        <v>30</v>
      </c>
      <c r="BE691">
        <v>0</v>
      </c>
      <c r="BF691">
        <v>0</v>
      </c>
      <c r="BG691">
        <v>0</v>
      </c>
      <c r="BH691">
        <v>5</v>
      </c>
      <c r="BI691">
        <v>2.4</v>
      </c>
      <c r="BJ691">
        <v>31</v>
      </c>
      <c r="BK691">
        <v>0</v>
      </c>
      <c r="BL691">
        <v>0</v>
      </c>
      <c r="BM691">
        <v>0</v>
      </c>
      <c r="BN691">
        <v>5</v>
      </c>
      <c r="BO691">
        <v>2.4</v>
      </c>
      <c r="BP691">
        <v>36</v>
      </c>
      <c r="BQ691">
        <v>0</v>
      </c>
      <c r="BR691">
        <v>0</v>
      </c>
      <c r="BS691">
        <v>0</v>
      </c>
      <c r="BT691">
        <v>5</v>
      </c>
      <c r="BU691">
        <v>2.1</v>
      </c>
    </row>
    <row r="692" spans="1:73" x14ac:dyDescent="0.15">
      <c r="A692" s="11">
        <v>10839</v>
      </c>
      <c r="B692">
        <v>7</v>
      </c>
      <c r="C692" s="1">
        <v>48</v>
      </c>
      <c r="D692">
        <v>0</v>
      </c>
      <c r="E692">
        <v>0</v>
      </c>
      <c r="F692">
        <v>1</v>
      </c>
      <c r="G692" s="7">
        <v>0.05</v>
      </c>
      <c r="H692">
        <v>12</v>
      </c>
      <c r="I692">
        <v>0</v>
      </c>
      <c r="J692">
        <v>0</v>
      </c>
      <c r="K692">
        <v>0</v>
      </c>
      <c r="L692">
        <v>1</v>
      </c>
      <c r="M692">
        <v>2</v>
      </c>
      <c r="N692" s="7">
        <v>9</v>
      </c>
      <c r="O692" s="7">
        <v>0</v>
      </c>
      <c r="P692" s="7">
        <v>0</v>
      </c>
      <c r="Q692" s="7">
        <v>0</v>
      </c>
      <c r="R692" s="7">
        <v>1</v>
      </c>
      <c r="S692" s="7">
        <v>4.5</v>
      </c>
      <c r="T692">
        <v>7</v>
      </c>
      <c r="U692" s="1">
        <v>36</v>
      </c>
      <c r="V692">
        <v>0</v>
      </c>
      <c r="W692">
        <v>0</v>
      </c>
      <c r="X692">
        <v>1</v>
      </c>
      <c r="Y692">
        <v>0.16</v>
      </c>
      <c r="Z692">
        <v>23</v>
      </c>
      <c r="AA692">
        <v>0</v>
      </c>
      <c r="AB692">
        <v>0</v>
      </c>
      <c r="AC692">
        <v>0</v>
      </c>
      <c r="AD692">
        <v>1</v>
      </c>
      <c r="AE692">
        <v>0.05</v>
      </c>
      <c r="AF692">
        <v>15</v>
      </c>
      <c r="AG692">
        <v>0</v>
      </c>
      <c r="AH692">
        <v>0</v>
      </c>
      <c r="AI692">
        <v>0</v>
      </c>
      <c r="AJ692">
        <v>1</v>
      </c>
      <c r="AK692">
        <v>0.02</v>
      </c>
      <c r="AL692">
        <v>16</v>
      </c>
      <c r="AM692">
        <v>0</v>
      </c>
      <c r="AN692">
        <v>0</v>
      </c>
      <c r="AO692">
        <v>0</v>
      </c>
      <c r="AP692">
        <v>1</v>
      </c>
      <c r="AQ692">
        <v>0.01</v>
      </c>
      <c r="AX692">
        <v>7</v>
      </c>
      <c r="AY692" s="1">
        <v>20</v>
      </c>
      <c r="AZ692">
        <v>0</v>
      </c>
      <c r="BA692">
        <v>0</v>
      </c>
      <c r="BB692">
        <v>1</v>
      </c>
      <c r="BC692" s="7">
        <v>0.32</v>
      </c>
      <c r="BD692">
        <v>30</v>
      </c>
      <c r="BE692">
        <v>0</v>
      </c>
      <c r="BF692">
        <v>0</v>
      </c>
      <c r="BG692">
        <v>0</v>
      </c>
      <c r="BH692">
        <v>5</v>
      </c>
      <c r="BI692">
        <v>2.4</v>
      </c>
      <c r="BJ692">
        <v>31</v>
      </c>
      <c r="BK692">
        <v>0</v>
      </c>
      <c r="BL692">
        <v>0</v>
      </c>
      <c r="BM692">
        <v>0</v>
      </c>
      <c r="BN692">
        <v>5</v>
      </c>
      <c r="BO692">
        <v>2.4</v>
      </c>
      <c r="BP692">
        <v>36</v>
      </c>
      <c r="BQ692">
        <v>0</v>
      </c>
      <c r="BR692">
        <v>0</v>
      </c>
      <c r="BS692">
        <v>0</v>
      </c>
      <c r="BT692">
        <v>5</v>
      </c>
      <c r="BU692">
        <v>2.1</v>
      </c>
    </row>
    <row r="693" spans="1:73" x14ac:dyDescent="0.15">
      <c r="A693" s="11">
        <v>10840</v>
      </c>
      <c r="B693">
        <v>7</v>
      </c>
      <c r="C693" s="1">
        <v>0</v>
      </c>
      <c r="D693">
        <v>5</v>
      </c>
      <c r="E693">
        <v>1</v>
      </c>
      <c r="F693">
        <v>1</v>
      </c>
      <c r="G693" s="7">
        <v>0.05</v>
      </c>
      <c r="H693">
        <v>12</v>
      </c>
      <c r="I693">
        <v>0</v>
      </c>
      <c r="J693">
        <v>0</v>
      </c>
      <c r="K693">
        <v>0</v>
      </c>
      <c r="L693">
        <v>1</v>
      </c>
      <c r="M693">
        <v>2</v>
      </c>
      <c r="N693" s="7">
        <v>9</v>
      </c>
      <c r="O693" s="7">
        <v>0</v>
      </c>
      <c r="P693" s="7">
        <v>0</v>
      </c>
      <c r="Q693" s="7">
        <v>0</v>
      </c>
      <c r="R693" s="7">
        <v>1</v>
      </c>
      <c r="S693" s="7">
        <v>4.5</v>
      </c>
      <c r="T693">
        <v>7</v>
      </c>
      <c r="U693" s="1">
        <v>0</v>
      </c>
      <c r="V693">
        <v>4</v>
      </c>
      <c r="W693">
        <v>2</v>
      </c>
      <c r="X693">
        <v>1</v>
      </c>
      <c r="Y693">
        <v>0.16</v>
      </c>
      <c r="Z693">
        <v>23</v>
      </c>
      <c r="AA693">
        <v>0</v>
      </c>
      <c r="AB693">
        <v>0</v>
      </c>
      <c r="AC693">
        <v>0</v>
      </c>
      <c r="AD693">
        <v>1</v>
      </c>
      <c r="AE693">
        <v>0.05</v>
      </c>
      <c r="AF693">
        <v>15</v>
      </c>
      <c r="AG693">
        <v>0</v>
      </c>
      <c r="AH693">
        <v>0</v>
      </c>
      <c r="AI693">
        <v>0</v>
      </c>
      <c r="AJ693">
        <v>1</v>
      </c>
      <c r="AK693">
        <v>0.02</v>
      </c>
      <c r="AL693">
        <v>16</v>
      </c>
      <c r="AM693">
        <v>0</v>
      </c>
      <c r="AN693">
        <v>0</v>
      </c>
      <c r="AO693">
        <v>0</v>
      </c>
      <c r="AP693">
        <v>1</v>
      </c>
      <c r="AQ693">
        <v>0.01</v>
      </c>
      <c r="AR693">
        <v>6</v>
      </c>
      <c r="AS693">
        <v>2</v>
      </c>
      <c r="AT693">
        <v>3</v>
      </c>
      <c r="AU693">
        <v>5</v>
      </c>
      <c r="AV693">
        <v>1</v>
      </c>
      <c r="AW693">
        <v>0.05</v>
      </c>
      <c r="AX693">
        <v>7</v>
      </c>
      <c r="AY693" s="1">
        <v>0</v>
      </c>
      <c r="AZ693">
        <v>3</v>
      </c>
      <c r="BA693">
        <v>1</v>
      </c>
      <c r="BB693">
        <v>1</v>
      </c>
      <c r="BC693" s="7">
        <v>0.32</v>
      </c>
      <c r="BD693">
        <v>30</v>
      </c>
      <c r="BE693">
        <v>0</v>
      </c>
      <c r="BF693">
        <v>0</v>
      </c>
      <c r="BG693">
        <v>0</v>
      </c>
      <c r="BH693">
        <v>5</v>
      </c>
      <c r="BI693">
        <v>2.4</v>
      </c>
      <c r="BJ693">
        <v>31</v>
      </c>
      <c r="BK693">
        <v>0</v>
      </c>
      <c r="BL693">
        <v>0</v>
      </c>
      <c r="BM693">
        <v>0</v>
      </c>
      <c r="BN693">
        <v>5</v>
      </c>
      <c r="BO693">
        <v>2.4</v>
      </c>
      <c r="BP693">
        <v>36</v>
      </c>
      <c r="BQ693">
        <v>0</v>
      </c>
      <c r="BR693">
        <v>0</v>
      </c>
      <c r="BS693">
        <v>0</v>
      </c>
      <c r="BT693">
        <v>5</v>
      </c>
      <c r="BU693">
        <v>2.1</v>
      </c>
    </row>
    <row r="694" spans="1:73" x14ac:dyDescent="0.15">
      <c r="A694" s="11">
        <v>10841</v>
      </c>
      <c r="B694">
        <v>7</v>
      </c>
      <c r="C694" s="1">
        <v>45</v>
      </c>
      <c r="D694">
        <v>0</v>
      </c>
      <c r="E694">
        <v>0</v>
      </c>
      <c r="F694">
        <v>1</v>
      </c>
      <c r="G694" s="7">
        <v>0.05</v>
      </c>
      <c r="H694">
        <v>12</v>
      </c>
      <c r="I694">
        <v>0</v>
      </c>
      <c r="J694">
        <v>0</v>
      </c>
      <c r="K694">
        <v>0</v>
      </c>
      <c r="L694">
        <v>1</v>
      </c>
      <c r="M694">
        <v>2</v>
      </c>
      <c r="N694" s="7">
        <v>9</v>
      </c>
      <c r="O694" s="7">
        <v>0</v>
      </c>
      <c r="P694" s="7">
        <v>0</v>
      </c>
      <c r="Q694" s="7">
        <v>0</v>
      </c>
      <c r="R694" s="7">
        <v>1</v>
      </c>
      <c r="S694" s="7">
        <v>4.5</v>
      </c>
      <c r="T694">
        <v>7</v>
      </c>
      <c r="U694" s="1">
        <v>33</v>
      </c>
      <c r="V694">
        <v>0</v>
      </c>
      <c r="W694">
        <v>0</v>
      </c>
      <c r="X694">
        <v>1</v>
      </c>
      <c r="Y694">
        <v>0.16</v>
      </c>
      <c r="Z694">
        <v>23</v>
      </c>
      <c r="AA694">
        <v>0</v>
      </c>
      <c r="AB694">
        <v>0</v>
      </c>
      <c r="AC694">
        <v>0</v>
      </c>
      <c r="AD694">
        <v>1</v>
      </c>
      <c r="AE694">
        <v>0.05</v>
      </c>
      <c r="AF694">
        <v>15</v>
      </c>
      <c r="AG694">
        <v>0</v>
      </c>
      <c r="AH694">
        <v>0</v>
      </c>
      <c r="AI694">
        <v>0</v>
      </c>
      <c r="AJ694">
        <v>1</v>
      </c>
      <c r="AK694">
        <v>0.02</v>
      </c>
      <c r="AL694">
        <v>16</v>
      </c>
      <c r="AM694">
        <v>0</v>
      </c>
      <c r="AN694">
        <v>0</v>
      </c>
      <c r="AO694">
        <v>0</v>
      </c>
      <c r="AP694">
        <v>1</v>
      </c>
      <c r="AQ694">
        <v>0.01</v>
      </c>
      <c r="AX694">
        <v>7</v>
      </c>
      <c r="AY694" s="1">
        <v>17</v>
      </c>
      <c r="AZ694">
        <v>0</v>
      </c>
      <c r="BA694">
        <v>0</v>
      </c>
      <c r="BB694">
        <v>1</v>
      </c>
      <c r="BC694" s="7">
        <v>0.32</v>
      </c>
      <c r="BD694">
        <v>30</v>
      </c>
      <c r="BE694">
        <v>0</v>
      </c>
      <c r="BF694">
        <v>0</v>
      </c>
      <c r="BG694">
        <v>0</v>
      </c>
      <c r="BH694">
        <v>5</v>
      </c>
      <c r="BI694">
        <v>2.4</v>
      </c>
      <c r="BJ694">
        <v>31</v>
      </c>
      <c r="BK694">
        <v>0</v>
      </c>
      <c r="BL694">
        <v>0</v>
      </c>
      <c r="BM694">
        <v>0</v>
      </c>
      <c r="BN694">
        <v>5</v>
      </c>
      <c r="BO694">
        <v>2.4</v>
      </c>
      <c r="BP694">
        <v>36</v>
      </c>
      <c r="BQ694">
        <v>0</v>
      </c>
      <c r="BR694">
        <v>0</v>
      </c>
      <c r="BS694">
        <v>0</v>
      </c>
      <c r="BT694">
        <v>5</v>
      </c>
      <c r="BU694">
        <v>2.1</v>
      </c>
    </row>
    <row r="695" spans="1:73" x14ac:dyDescent="0.15">
      <c r="A695" s="11">
        <v>10842</v>
      </c>
      <c r="B695">
        <v>7</v>
      </c>
      <c r="C695" s="1">
        <v>46</v>
      </c>
      <c r="D695">
        <v>0</v>
      </c>
      <c r="E695">
        <v>0</v>
      </c>
      <c r="F695">
        <v>1</v>
      </c>
      <c r="G695" s="7">
        <v>0.05</v>
      </c>
      <c r="H695">
        <v>12</v>
      </c>
      <c r="I695">
        <v>0</v>
      </c>
      <c r="J695">
        <v>0</v>
      </c>
      <c r="K695">
        <v>0</v>
      </c>
      <c r="L695">
        <v>1</v>
      </c>
      <c r="M695">
        <v>2</v>
      </c>
      <c r="N695" s="7">
        <v>9</v>
      </c>
      <c r="O695" s="7">
        <v>0</v>
      </c>
      <c r="P695" s="7">
        <v>0</v>
      </c>
      <c r="Q695" s="7">
        <v>0</v>
      </c>
      <c r="R695" s="7">
        <v>1</v>
      </c>
      <c r="S695" s="7">
        <v>4.5</v>
      </c>
      <c r="T695">
        <v>7</v>
      </c>
      <c r="U695" s="1">
        <v>34</v>
      </c>
      <c r="V695">
        <v>0</v>
      </c>
      <c r="W695">
        <v>0</v>
      </c>
      <c r="X695">
        <v>1</v>
      </c>
      <c r="Y695">
        <v>0.16</v>
      </c>
      <c r="Z695">
        <v>23</v>
      </c>
      <c r="AA695">
        <v>0</v>
      </c>
      <c r="AB695">
        <v>0</v>
      </c>
      <c r="AC695">
        <v>0</v>
      </c>
      <c r="AD695">
        <v>1</v>
      </c>
      <c r="AE695">
        <v>0.05</v>
      </c>
      <c r="AF695">
        <v>15</v>
      </c>
      <c r="AG695">
        <v>0</v>
      </c>
      <c r="AH695">
        <v>0</v>
      </c>
      <c r="AI695">
        <v>0</v>
      </c>
      <c r="AJ695">
        <v>1</v>
      </c>
      <c r="AK695">
        <v>0.02</v>
      </c>
      <c r="AL695">
        <v>16</v>
      </c>
      <c r="AM695">
        <v>0</v>
      </c>
      <c r="AN695">
        <v>0</v>
      </c>
      <c r="AO695">
        <v>0</v>
      </c>
      <c r="AP695">
        <v>1</v>
      </c>
      <c r="AQ695">
        <v>0.01</v>
      </c>
      <c r="AX695">
        <v>7</v>
      </c>
      <c r="AY695" s="1">
        <v>18</v>
      </c>
      <c r="AZ695">
        <v>0</v>
      </c>
      <c r="BA695">
        <v>0</v>
      </c>
      <c r="BB695">
        <v>1</v>
      </c>
      <c r="BC695" s="7">
        <v>0.32</v>
      </c>
      <c r="BD695">
        <v>30</v>
      </c>
      <c r="BE695">
        <v>0</v>
      </c>
      <c r="BF695">
        <v>0</v>
      </c>
      <c r="BG695">
        <v>0</v>
      </c>
      <c r="BH695">
        <v>5</v>
      </c>
      <c r="BI695">
        <v>2.4</v>
      </c>
      <c r="BJ695">
        <v>31</v>
      </c>
      <c r="BK695">
        <v>0</v>
      </c>
      <c r="BL695">
        <v>0</v>
      </c>
      <c r="BM695">
        <v>0</v>
      </c>
      <c r="BN695">
        <v>5</v>
      </c>
      <c r="BO695">
        <v>2.4</v>
      </c>
      <c r="BP695">
        <v>36</v>
      </c>
      <c r="BQ695">
        <v>0</v>
      </c>
      <c r="BR695">
        <v>0</v>
      </c>
      <c r="BS695">
        <v>0</v>
      </c>
      <c r="BT695">
        <v>5</v>
      </c>
      <c r="BU695">
        <v>2.1</v>
      </c>
    </row>
    <row r="696" spans="1:73" x14ac:dyDescent="0.15">
      <c r="A696" s="11">
        <v>10843</v>
      </c>
      <c r="B696">
        <v>7</v>
      </c>
      <c r="C696" s="1">
        <v>47</v>
      </c>
      <c r="D696">
        <v>0</v>
      </c>
      <c r="E696">
        <v>0</v>
      </c>
      <c r="F696">
        <v>1</v>
      </c>
      <c r="G696" s="7">
        <v>0.05</v>
      </c>
      <c r="H696">
        <v>12</v>
      </c>
      <c r="I696">
        <v>0</v>
      </c>
      <c r="J696">
        <v>0</v>
      </c>
      <c r="K696">
        <v>0</v>
      </c>
      <c r="L696">
        <v>1</v>
      </c>
      <c r="M696">
        <v>2</v>
      </c>
      <c r="N696" s="7">
        <v>9</v>
      </c>
      <c r="O696" s="7">
        <v>0</v>
      </c>
      <c r="P696" s="7">
        <v>0</v>
      </c>
      <c r="Q696" s="7">
        <v>0</v>
      </c>
      <c r="R696" s="7">
        <v>1</v>
      </c>
      <c r="S696" s="7">
        <v>4.5</v>
      </c>
      <c r="T696">
        <v>7</v>
      </c>
      <c r="U696" s="1">
        <v>35</v>
      </c>
      <c r="V696">
        <v>0</v>
      </c>
      <c r="W696">
        <v>0</v>
      </c>
      <c r="X696">
        <v>1</v>
      </c>
      <c r="Y696">
        <v>0.16</v>
      </c>
      <c r="Z696">
        <v>23</v>
      </c>
      <c r="AA696">
        <v>0</v>
      </c>
      <c r="AB696">
        <v>0</v>
      </c>
      <c r="AC696">
        <v>0</v>
      </c>
      <c r="AD696">
        <v>1</v>
      </c>
      <c r="AE696">
        <v>0.05</v>
      </c>
      <c r="AF696">
        <v>15</v>
      </c>
      <c r="AG696">
        <v>0</v>
      </c>
      <c r="AH696">
        <v>0</v>
      </c>
      <c r="AI696">
        <v>0</v>
      </c>
      <c r="AJ696">
        <v>1</v>
      </c>
      <c r="AK696">
        <v>0.02</v>
      </c>
      <c r="AL696">
        <v>16</v>
      </c>
      <c r="AM696">
        <v>0</v>
      </c>
      <c r="AN696">
        <v>0</v>
      </c>
      <c r="AO696">
        <v>0</v>
      </c>
      <c r="AP696">
        <v>1</v>
      </c>
      <c r="AQ696">
        <v>0.01</v>
      </c>
      <c r="AX696">
        <v>7</v>
      </c>
      <c r="AY696" s="1">
        <v>19</v>
      </c>
      <c r="AZ696">
        <v>0</v>
      </c>
      <c r="BA696">
        <v>0</v>
      </c>
      <c r="BB696">
        <v>1</v>
      </c>
      <c r="BC696" s="7">
        <v>0.32</v>
      </c>
      <c r="BD696">
        <v>30</v>
      </c>
      <c r="BE696">
        <v>0</v>
      </c>
      <c r="BF696">
        <v>0</v>
      </c>
      <c r="BG696">
        <v>0</v>
      </c>
      <c r="BH696">
        <v>5</v>
      </c>
      <c r="BI696">
        <v>2.4</v>
      </c>
      <c r="BJ696">
        <v>31</v>
      </c>
      <c r="BK696">
        <v>0</v>
      </c>
      <c r="BL696">
        <v>0</v>
      </c>
      <c r="BM696">
        <v>0</v>
      </c>
      <c r="BN696">
        <v>5</v>
      </c>
      <c r="BO696">
        <v>2.4</v>
      </c>
      <c r="BP696">
        <v>36</v>
      </c>
      <c r="BQ696">
        <v>0</v>
      </c>
      <c r="BR696">
        <v>0</v>
      </c>
      <c r="BS696">
        <v>0</v>
      </c>
      <c r="BT696">
        <v>5</v>
      </c>
      <c r="BU696">
        <v>2.1</v>
      </c>
    </row>
    <row r="697" spans="1:73" x14ac:dyDescent="0.15">
      <c r="A697" s="11">
        <v>10844</v>
      </c>
      <c r="B697">
        <v>7</v>
      </c>
      <c r="C697" s="1">
        <v>48</v>
      </c>
      <c r="D697">
        <v>0</v>
      </c>
      <c r="E697">
        <v>0</v>
      </c>
      <c r="F697">
        <v>1</v>
      </c>
      <c r="G697" s="7">
        <v>0.05</v>
      </c>
      <c r="H697">
        <v>12</v>
      </c>
      <c r="I697">
        <v>0</v>
      </c>
      <c r="J697">
        <v>0</v>
      </c>
      <c r="K697">
        <v>0</v>
      </c>
      <c r="L697">
        <v>1</v>
      </c>
      <c r="M697">
        <v>2</v>
      </c>
      <c r="N697" s="7">
        <v>9</v>
      </c>
      <c r="O697" s="7">
        <v>0</v>
      </c>
      <c r="P697" s="7">
        <v>0</v>
      </c>
      <c r="Q697" s="7">
        <v>0</v>
      </c>
      <c r="R697" s="7">
        <v>1</v>
      </c>
      <c r="S697" s="7">
        <v>4.5</v>
      </c>
      <c r="T697">
        <v>7</v>
      </c>
      <c r="U697" s="1">
        <v>36</v>
      </c>
      <c r="V697">
        <v>0</v>
      </c>
      <c r="W697">
        <v>0</v>
      </c>
      <c r="X697">
        <v>1</v>
      </c>
      <c r="Y697">
        <v>0.16</v>
      </c>
      <c r="Z697">
        <v>23</v>
      </c>
      <c r="AA697">
        <v>0</v>
      </c>
      <c r="AB697">
        <v>0</v>
      </c>
      <c r="AC697">
        <v>0</v>
      </c>
      <c r="AD697">
        <v>1</v>
      </c>
      <c r="AE697">
        <v>0.05</v>
      </c>
      <c r="AF697">
        <v>15</v>
      </c>
      <c r="AG697">
        <v>0</v>
      </c>
      <c r="AH697">
        <v>0</v>
      </c>
      <c r="AI697">
        <v>0</v>
      </c>
      <c r="AJ697">
        <v>1</v>
      </c>
      <c r="AK697">
        <v>0.02</v>
      </c>
      <c r="AL697">
        <v>16</v>
      </c>
      <c r="AM697">
        <v>0</v>
      </c>
      <c r="AN697">
        <v>0</v>
      </c>
      <c r="AO697">
        <v>0</v>
      </c>
      <c r="AP697">
        <v>1</v>
      </c>
      <c r="AQ697">
        <v>0.01</v>
      </c>
      <c r="AX697">
        <v>7</v>
      </c>
      <c r="AY697" s="1">
        <v>20</v>
      </c>
      <c r="AZ697">
        <v>0</v>
      </c>
      <c r="BA697">
        <v>0</v>
      </c>
      <c r="BB697">
        <v>1</v>
      </c>
      <c r="BC697" s="7">
        <v>0.32</v>
      </c>
      <c r="BD697">
        <v>30</v>
      </c>
      <c r="BE697">
        <v>0</v>
      </c>
      <c r="BF697">
        <v>0</v>
      </c>
      <c r="BG697">
        <v>0</v>
      </c>
      <c r="BH697">
        <v>5</v>
      </c>
      <c r="BI697">
        <v>2.4</v>
      </c>
      <c r="BJ697">
        <v>31</v>
      </c>
      <c r="BK697">
        <v>0</v>
      </c>
      <c r="BL697">
        <v>0</v>
      </c>
      <c r="BM697">
        <v>0</v>
      </c>
      <c r="BN697">
        <v>5</v>
      </c>
      <c r="BO697">
        <v>2.4</v>
      </c>
      <c r="BP697">
        <v>36</v>
      </c>
      <c r="BQ697">
        <v>0</v>
      </c>
      <c r="BR697">
        <v>0</v>
      </c>
      <c r="BS697">
        <v>0</v>
      </c>
      <c r="BT697">
        <v>5</v>
      </c>
      <c r="BU697">
        <v>2.1</v>
      </c>
    </row>
    <row r="698" spans="1:73" x14ac:dyDescent="0.15">
      <c r="A698" s="11">
        <v>10845</v>
      </c>
      <c r="B698">
        <v>7</v>
      </c>
      <c r="C698" s="1">
        <v>0</v>
      </c>
      <c r="D698">
        <v>5</v>
      </c>
      <c r="E698">
        <v>1</v>
      </c>
      <c r="F698">
        <v>1</v>
      </c>
      <c r="G698" s="7">
        <v>0.05</v>
      </c>
      <c r="H698">
        <v>12</v>
      </c>
      <c r="I698">
        <v>0</v>
      </c>
      <c r="J698">
        <v>0</v>
      </c>
      <c r="K698">
        <v>0</v>
      </c>
      <c r="L698">
        <v>1</v>
      </c>
      <c r="M698">
        <v>2</v>
      </c>
      <c r="N698" s="7">
        <v>9</v>
      </c>
      <c r="O698" s="7">
        <v>0</v>
      </c>
      <c r="P698" s="7">
        <v>0</v>
      </c>
      <c r="Q698" s="7">
        <v>0</v>
      </c>
      <c r="R698" s="7">
        <v>1</v>
      </c>
      <c r="S698" s="7">
        <v>4.5</v>
      </c>
      <c r="T698">
        <v>7</v>
      </c>
      <c r="U698" s="1">
        <v>0</v>
      </c>
      <c r="V698">
        <v>4</v>
      </c>
      <c r="W698">
        <v>2</v>
      </c>
      <c r="X698">
        <v>1</v>
      </c>
      <c r="Y698">
        <v>0.16</v>
      </c>
      <c r="Z698">
        <v>23</v>
      </c>
      <c r="AA698">
        <v>0</v>
      </c>
      <c r="AB698">
        <v>0</v>
      </c>
      <c r="AC698">
        <v>0</v>
      </c>
      <c r="AD698">
        <v>1</v>
      </c>
      <c r="AE698">
        <v>0.05</v>
      </c>
      <c r="AF698">
        <v>15</v>
      </c>
      <c r="AG698">
        <v>0</v>
      </c>
      <c r="AH698">
        <v>0</v>
      </c>
      <c r="AI698">
        <v>0</v>
      </c>
      <c r="AJ698">
        <v>1</v>
      </c>
      <c r="AK698">
        <v>0.02</v>
      </c>
      <c r="AL698">
        <v>16</v>
      </c>
      <c r="AM698">
        <v>0</v>
      </c>
      <c r="AN698">
        <v>0</v>
      </c>
      <c r="AO698">
        <v>0</v>
      </c>
      <c r="AP698">
        <v>1</v>
      </c>
      <c r="AQ698">
        <v>0.01</v>
      </c>
      <c r="AR698">
        <v>6</v>
      </c>
      <c r="AS698">
        <v>2</v>
      </c>
      <c r="AT698">
        <v>4</v>
      </c>
      <c r="AU698">
        <v>5</v>
      </c>
      <c r="AV698">
        <v>1</v>
      </c>
      <c r="AW698">
        <v>0.01</v>
      </c>
      <c r="AX698">
        <v>7</v>
      </c>
      <c r="AY698" s="1">
        <v>0</v>
      </c>
      <c r="AZ698">
        <v>3</v>
      </c>
      <c r="BA698">
        <v>1</v>
      </c>
      <c r="BB698">
        <v>1</v>
      </c>
      <c r="BC698" s="7">
        <v>0.32</v>
      </c>
      <c r="BD698">
        <v>30</v>
      </c>
      <c r="BE698">
        <v>0</v>
      </c>
      <c r="BF698">
        <v>0</v>
      </c>
      <c r="BG698">
        <v>0</v>
      </c>
      <c r="BH698">
        <v>5</v>
      </c>
      <c r="BI698">
        <v>2.4</v>
      </c>
      <c r="BJ698">
        <v>31</v>
      </c>
      <c r="BK698">
        <v>0</v>
      </c>
      <c r="BL698">
        <v>0</v>
      </c>
      <c r="BM698">
        <v>0</v>
      </c>
      <c r="BN698">
        <v>5</v>
      </c>
      <c r="BO698">
        <v>2.4</v>
      </c>
      <c r="BP698">
        <v>36</v>
      </c>
      <c r="BQ698">
        <v>0</v>
      </c>
      <c r="BR698">
        <v>0</v>
      </c>
      <c r="BS698">
        <v>0</v>
      </c>
      <c r="BT698">
        <v>5</v>
      </c>
      <c r="BU698">
        <v>2.1</v>
      </c>
    </row>
    <row r="699" spans="1:73" x14ac:dyDescent="0.15">
      <c r="A699" s="11">
        <v>10846</v>
      </c>
      <c r="B699">
        <v>7</v>
      </c>
      <c r="C699" s="1">
        <v>45</v>
      </c>
      <c r="D699">
        <v>0</v>
      </c>
      <c r="E699">
        <v>0</v>
      </c>
      <c r="F699">
        <v>1</v>
      </c>
      <c r="G699" s="7">
        <v>0.05</v>
      </c>
      <c r="H699">
        <v>12</v>
      </c>
      <c r="I699">
        <v>0</v>
      </c>
      <c r="J699">
        <v>0</v>
      </c>
      <c r="K699">
        <v>0</v>
      </c>
      <c r="L699">
        <v>1</v>
      </c>
      <c r="M699">
        <v>2</v>
      </c>
      <c r="N699" s="7">
        <v>9</v>
      </c>
      <c r="O699" s="7">
        <v>0</v>
      </c>
      <c r="P699" s="7">
        <v>0</v>
      </c>
      <c r="Q699" s="7">
        <v>0</v>
      </c>
      <c r="R699" s="7">
        <v>1</v>
      </c>
      <c r="S699" s="7">
        <v>4.5</v>
      </c>
      <c r="T699">
        <v>7</v>
      </c>
      <c r="U699" s="1">
        <v>33</v>
      </c>
      <c r="V699">
        <v>0</v>
      </c>
      <c r="W699">
        <v>0</v>
      </c>
      <c r="X699">
        <v>1</v>
      </c>
      <c r="Y699">
        <v>0.16</v>
      </c>
      <c r="Z699">
        <v>23</v>
      </c>
      <c r="AA699">
        <v>0</v>
      </c>
      <c r="AB699">
        <v>0</v>
      </c>
      <c r="AC699">
        <v>0</v>
      </c>
      <c r="AD699">
        <v>1</v>
      </c>
      <c r="AE699">
        <v>0.05</v>
      </c>
      <c r="AF699">
        <v>15</v>
      </c>
      <c r="AG699">
        <v>0</v>
      </c>
      <c r="AH699">
        <v>0</v>
      </c>
      <c r="AI699">
        <v>0</v>
      </c>
      <c r="AJ699">
        <v>1</v>
      </c>
      <c r="AK699">
        <v>0.02</v>
      </c>
      <c r="AL699">
        <v>16</v>
      </c>
      <c r="AM699">
        <v>0</v>
      </c>
      <c r="AN699">
        <v>0</v>
      </c>
      <c r="AO699">
        <v>0</v>
      </c>
      <c r="AP699">
        <v>1</v>
      </c>
      <c r="AQ699">
        <v>0.01</v>
      </c>
      <c r="AX699">
        <v>7</v>
      </c>
      <c r="AY699" s="1">
        <v>17</v>
      </c>
      <c r="AZ699">
        <v>0</v>
      </c>
      <c r="BA699">
        <v>0</v>
      </c>
      <c r="BB699">
        <v>1</v>
      </c>
      <c r="BC699" s="7">
        <v>0.32</v>
      </c>
      <c r="BD699">
        <v>30</v>
      </c>
      <c r="BE699">
        <v>0</v>
      </c>
      <c r="BF699">
        <v>0</v>
      </c>
      <c r="BG699">
        <v>0</v>
      </c>
      <c r="BH699">
        <v>5</v>
      </c>
      <c r="BI699">
        <v>2.4</v>
      </c>
      <c r="BJ699">
        <v>31</v>
      </c>
      <c r="BK699">
        <v>0</v>
      </c>
      <c r="BL699">
        <v>0</v>
      </c>
      <c r="BM699">
        <v>0</v>
      </c>
      <c r="BN699">
        <v>5</v>
      </c>
      <c r="BO699">
        <v>2.4</v>
      </c>
      <c r="BP699">
        <v>36</v>
      </c>
      <c r="BQ699">
        <v>0</v>
      </c>
      <c r="BR699">
        <v>0</v>
      </c>
      <c r="BS699">
        <v>0</v>
      </c>
      <c r="BT699">
        <v>5</v>
      </c>
      <c r="BU699">
        <v>2.1</v>
      </c>
    </row>
    <row r="700" spans="1:73" x14ac:dyDescent="0.15">
      <c r="A700" s="11">
        <v>10847</v>
      </c>
      <c r="B700">
        <v>7</v>
      </c>
      <c r="C700" s="1">
        <v>46</v>
      </c>
      <c r="D700">
        <v>0</v>
      </c>
      <c r="E700">
        <v>0</v>
      </c>
      <c r="F700">
        <v>1</v>
      </c>
      <c r="G700" s="7">
        <v>0.05</v>
      </c>
      <c r="H700">
        <v>12</v>
      </c>
      <c r="I700">
        <v>0</v>
      </c>
      <c r="J700">
        <v>0</v>
      </c>
      <c r="K700">
        <v>0</v>
      </c>
      <c r="L700">
        <v>1</v>
      </c>
      <c r="M700">
        <v>2</v>
      </c>
      <c r="N700" s="7">
        <v>9</v>
      </c>
      <c r="O700" s="7">
        <v>0</v>
      </c>
      <c r="P700" s="7">
        <v>0</v>
      </c>
      <c r="Q700" s="7">
        <v>0</v>
      </c>
      <c r="R700" s="7">
        <v>1</v>
      </c>
      <c r="S700" s="7">
        <v>4.5</v>
      </c>
      <c r="T700">
        <v>7</v>
      </c>
      <c r="U700" s="1">
        <v>34</v>
      </c>
      <c r="V700">
        <v>0</v>
      </c>
      <c r="W700">
        <v>0</v>
      </c>
      <c r="X700">
        <v>1</v>
      </c>
      <c r="Y700">
        <v>0.16</v>
      </c>
      <c r="Z700">
        <v>23</v>
      </c>
      <c r="AA700">
        <v>0</v>
      </c>
      <c r="AB700">
        <v>0</v>
      </c>
      <c r="AC700">
        <v>0</v>
      </c>
      <c r="AD700">
        <v>1</v>
      </c>
      <c r="AE700">
        <v>0.05</v>
      </c>
      <c r="AF700">
        <v>15</v>
      </c>
      <c r="AG700">
        <v>0</v>
      </c>
      <c r="AH700">
        <v>0</v>
      </c>
      <c r="AI700">
        <v>0</v>
      </c>
      <c r="AJ700">
        <v>1</v>
      </c>
      <c r="AK700">
        <v>0.02</v>
      </c>
      <c r="AL700">
        <v>16</v>
      </c>
      <c r="AM700">
        <v>0</v>
      </c>
      <c r="AN700">
        <v>0</v>
      </c>
      <c r="AO700">
        <v>0</v>
      </c>
      <c r="AP700">
        <v>1</v>
      </c>
      <c r="AQ700">
        <v>0.01</v>
      </c>
      <c r="AX700">
        <v>7</v>
      </c>
      <c r="AY700" s="1">
        <v>18</v>
      </c>
      <c r="AZ700">
        <v>0</v>
      </c>
      <c r="BA700">
        <v>0</v>
      </c>
      <c r="BB700">
        <v>1</v>
      </c>
      <c r="BC700" s="7">
        <v>0.32</v>
      </c>
      <c r="BD700">
        <v>30</v>
      </c>
      <c r="BE700">
        <v>0</v>
      </c>
      <c r="BF700">
        <v>0</v>
      </c>
      <c r="BG700">
        <v>0</v>
      </c>
      <c r="BH700">
        <v>5</v>
      </c>
      <c r="BI700">
        <v>2.4</v>
      </c>
      <c r="BJ700">
        <v>31</v>
      </c>
      <c r="BK700">
        <v>0</v>
      </c>
      <c r="BL700">
        <v>0</v>
      </c>
      <c r="BM700">
        <v>0</v>
      </c>
      <c r="BN700">
        <v>5</v>
      </c>
      <c r="BO700">
        <v>2.4</v>
      </c>
      <c r="BP700">
        <v>36</v>
      </c>
      <c r="BQ700">
        <v>0</v>
      </c>
      <c r="BR700">
        <v>0</v>
      </c>
      <c r="BS700">
        <v>0</v>
      </c>
      <c r="BT700">
        <v>5</v>
      </c>
      <c r="BU700">
        <v>2.1</v>
      </c>
    </row>
    <row r="701" spans="1:73" x14ac:dyDescent="0.15">
      <c r="A701" s="11">
        <v>10848</v>
      </c>
      <c r="B701">
        <v>7</v>
      </c>
      <c r="C701" s="1">
        <v>47</v>
      </c>
      <c r="D701">
        <v>0</v>
      </c>
      <c r="E701">
        <v>0</v>
      </c>
      <c r="F701">
        <v>1</v>
      </c>
      <c r="G701" s="7">
        <v>0.05</v>
      </c>
      <c r="H701">
        <v>12</v>
      </c>
      <c r="I701">
        <v>0</v>
      </c>
      <c r="J701">
        <v>0</v>
      </c>
      <c r="K701">
        <v>0</v>
      </c>
      <c r="L701">
        <v>1</v>
      </c>
      <c r="M701">
        <v>2</v>
      </c>
      <c r="N701" s="7">
        <v>9</v>
      </c>
      <c r="O701" s="7">
        <v>0</v>
      </c>
      <c r="P701" s="7">
        <v>0</v>
      </c>
      <c r="Q701" s="7">
        <v>0</v>
      </c>
      <c r="R701" s="7">
        <v>1</v>
      </c>
      <c r="S701" s="7">
        <v>4.5</v>
      </c>
      <c r="T701">
        <v>7</v>
      </c>
      <c r="U701" s="1">
        <v>35</v>
      </c>
      <c r="V701">
        <v>0</v>
      </c>
      <c r="W701">
        <v>0</v>
      </c>
      <c r="X701">
        <v>1</v>
      </c>
      <c r="Y701">
        <v>0.16</v>
      </c>
      <c r="Z701">
        <v>23</v>
      </c>
      <c r="AA701">
        <v>0</v>
      </c>
      <c r="AB701">
        <v>0</v>
      </c>
      <c r="AC701">
        <v>0</v>
      </c>
      <c r="AD701">
        <v>1</v>
      </c>
      <c r="AE701">
        <v>0.05</v>
      </c>
      <c r="AF701">
        <v>15</v>
      </c>
      <c r="AG701">
        <v>0</v>
      </c>
      <c r="AH701">
        <v>0</v>
      </c>
      <c r="AI701">
        <v>0</v>
      </c>
      <c r="AJ701">
        <v>1</v>
      </c>
      <c r="AK701">
        <v>0.02</v>
      </c>
      <c r="AL701">
        <v>16</v>
      </c>
      <c r="AM701">
        <v>0</v>
      </c>
      <c r="AN701">
        <v>0</v>
      </c>
      <c r="AO701">
        <v>0</v>
      </c>
      <c r="AP701">
        <v>1</v>
      </c>
      <c r="AQ701">
        <v>0.01</v>
      </c>
      <c r="AX701">
        <v>7</v>
      </c>
      <c r="AY701" s="1">
        <v>19</v>
      </c>
      <c r="AZ701">
        <v>0</v>
      </c>
      <c r="BA701">
        <v>0</v>
      </c>
      <c r="BB701">
        <v>1</v>
      </c>
      <c r="BC701" s="7">
        <v>0.32</v>
      </c>
      <c r="BD701">
        <v>30</v>
      </c>
      <c r="BE701">
        <v>0</v>
      </c>
      <c r="BF701">
        <v>0</v>
      </c>
      <c r="BG701">
        <v>0</v>
      </c>
      <c r="BH701">
        <v>5</v>
      </c>
      <c r="BI701">
        <v>2.4</v>
      </c>
      <c r="BJ701">
        <v>31</v>
      </c>
      <c r="BK701">
        <v>0</v>
      </c>
      <c r="BL701">
        <v>0</v>
      </c>
      <c r="BM701">
        <v>0</v>
      </c>
      <c r="BN701">
        <v>5</v>
      </c>
      <c r="BO701">
        <v>2.4</v>
      </c>
      <c r="BP701">
        <v>36</v>
      </c>
      <c r="BQ701">
        <v>0</v>
      </c>
      <c r="BR701">
        <v>0</v>
      </c>
      <c r="BS701">
        <v>0</v>
      </c>
      <c r="BT701">
        <v>5</v>
      </c>
      <c r="BU701">
        <v>2.1</v>
      </c>
    </row>
    <row r="702" spans="1:73" x14ac:dyDescent="0.15">
      <c r="A702" s="11">
        <v>10849</v>
      </c>
      <c r="B702">
        <v>7</v>
      </c>
      <c r="C702" s="1">
        <v>48</v>
      </c>
      <c r="D702">
        <v>0</v>
      </c>
      <c r="E702">
        <v>0</v>
      </c>
      <c r="F702">
        <v>1</v>
      </c>
      <c r="G702" s="7">
        <v>0.05</v>
      </c>
      <c r="H702">
        <v>12</v>
      </c>
      <c r="I702">
        <v>0</v>
      </c>
      <c r="J702">
        <v>0</v>
      </c>
      <c r="K702">
        <v>0</v>
      </c>
      <c r="L702">
        <v>1</v>
      </c>
      <c r="M702">
        <v>2</v>
      </c>
      <c r="N702" s="7">
        <v>9</v>
      </c>
      <c r="O702" s="7">
        <v>0</v>
      </c>
      <c r="P702" s="7">
        <v>0</v>
      </c>
      <c r="Q702" s="7">
        <v>0</v>
      </c>
      <c r="R702" s="7">
        <v>1</v>
      </c>
      <c r="S702" s="7">
        <v>4.5</v>
      </c>
      <c r="T702">
        <v>7</v>
      </c>
      <c r="U702" s="1">
        <v>36</v>
      </c>
      <c r="V702">
        <v>0</v>
      </c>
      <c r="W702">
        <v>0</v>
      </c>
      <c r="X702">
        <v>1</v>
      </c>
      <c r="Y702">
        <v>0.16</v>
      </c>
      <c r="Z702">
        <v>23</v>
      </c>
      <c r="AA702">
        <v>0</v>
      </c>
      <c r="AB702">
        <v>0</v>
      </c>
      <c r="AC702">
        <v>0</v>
      </c>
      <c r="AD702">
        <v>1</v>
      </c>
      <c r="AE702">
        <v>0.05</v>
      </c>
      <c r="AF702">
        <v>15</v>
      </c>
      <c r="AG702">
        <v>0</v>
      </c>
      <c r="AH702">
        <v>0</v>
      </c>
      <c r="AI702">
        <v>0</v>
      </c>
      <c r="AJ702">
        <v>1</v>
      </c>
      <c r="AK702">
        <v>0.02</v>
      </c>
      <c r="AL702">
        <v>16</v>
      </c>
      <c r="AM702">
        <v>0</v>
      </c>
      <c r="AN702">
        <v>0</v>
      </c>
      <c r="AO702">
        <v>0</v>
      </c>
      <c r="AP702">
        <v>1</v>
      </c>
      <c r="AQ702">
        <v>0.01</v>
      </c>
      <c r="AX702">
        <v>7</v>
      </c>
      <c r="AY702" s="1">
        <v>20</v>
      </c>
      <c r="AZ702">
        <v>0</v>
      </c>
      <c r="BA702">
        <v>0</v>
      </c>
      <c r="BB702">
        <v>1</v>
      </c>
      <c r="BC702" s="7">
        <v>0.32</v>
      </c>
      <c r="BD702">
        <v>30</v>
      </c>
      <c r="BE702">
        <v>0</v>
      </c>
      <c r="BF702">
        <v>0</v>
      </c>
      <c r="BG702">
        <v>0</v>
      </c>
      <c r="BH702">
        <v>5</v>
      </c>
      <c r="BI702">
        <v>2.4</v>
      </c>
      <c r="BJ702">
        <v>31</v>
      </c>
      <c r="BK702">
        <v>0</v>
      </c>
      <c r="BL702">
        <v>0</v>
      </c>
      <c r="BM702">
        <v>0</v>
      </c>
      <c r="BN702">
        <v>5</v>
      </c>
      <c r="BO702">
        <v>2.4</v>
      </c>
      <c r="BP702">
        <v>36</v>
      </c>
      <c r="BQ702">
        <v>0</v>
      </c>
      <c r="BR702">
        <v>0</v>
      </c>
      <c r="BS702">
        <v>0</v>
      </c>
      <c r="BT702">
        <v>5</v>
      </c>
      <c r="BU702">
        <v>2.1</v>
      </c>
    </row>
    <row r="703" spans="1:73" x14ac:dyDescent="0.15">
      <c r="A703" s="11">
        <v>10850</v>
      </c>
      <c r="B703">
        <v>7</v>
      </c>
      <c r="C703" s="1">
        <v>0</v>
      </c>
      <c r="D703">
        <v>5</v>
      </c>
      <c r="E703">
        <v>1</v>
      </c>
      <c r="F703">
        <v>1</v>
      </c>
      <c r="G703" s="7">
        <v>0.05</v>
      </c>
      <c r="H703">
        <v>12</v>
      </c>
      <c r="I703">
        <v>0</v>
      </c>
      <c r="J703">
        <v>0</v>
      </c>
      <c r="K703">
        <v>0</v>
      </c>
      <c r="L703">
        <v>1</v>
      </c>
      <c r="M703">
        <v>2</v>
      </c>
      <c r="N703" s="7">
        <v>9</v>
      </c>
      <c r="O703" s="7">
        <v>0</v>
      </c>
      <c r="P703" s="7">
        <v>0</v>
      </c>
      <c r="Q703" s="7">
        <v>0</v>
      </c>
      <c r="R703" s="7">
        <v>1</v>
      </c>
      <c r="S703" s="7">
        <v>4.5</v>
      </c>
      <c r="T703">
        <v>7</v>
      </c>
      <c r="U703" s="1">
        <v>0</v>
      </c>
      <c r="V703">
        <v>4</v>
      </c>
      <c r="W703">
        <v>2</v>
      </c>
      <c r="X703">
        <v>1</v>
      </c>
      <c r="Y703">
        <v>0.16</v>
      </c>
      <c r="Z703">
        <v>23</v>
      </c>
      <c r="AA703">
        <v>0</v>
      </c>
      <c r="AB703">
        <v>0</v>
      </c>
      <c r="AC703">
        <v>0</v>
      </c>
      <c r="AD703">
        <v>1</v>
      </c>
      <c r="AE703">
        <v>0.05</v>
      </c>
      <c r="AF703">
        <v>15</v>
      </c>
      <c r="AG703">
        <v>0</v>
      </c>
      <c r="AH703">
        <v>0</v>
      </c>
      <c r="AI703">
        <v>0</v>
      </c>
      <c r="AJ703">
        <v>1</v>
      </c>
      <c r="AK703">
        <v>0.02</v>
      </c>
      <c r="AL703">
        <v>16</v>
      </c>
      <c r="AM703">
        <v>0</v>
      </c>
      <c r="AN703">
        <v>0</v>
      </c>
      <c r="AO703">
        <v>0</v>
      </c>
      <c r="AP703">
        <v>1</v>
      </c>
      <c r="AQ703">
        <v>0.01</v>
      </c>
      <c r="AR703">
        <v>6</v>
      </c>
      <c r="AS703">
        <v>2</v>
      </c>
      <c r="AT703">
        <v>5</v>
      </c>
      <c r="AU703">
        <v>5</v>
      </c>
      <c r="AV703">
        <v>1</v>
      </c>
      <c r="AW703">
        <v>0.01</v>
      </c>
      <c r="AX703">
        <v>7</v>
      </c>
      <c r="AY703" s="1">
        <v>0</v>
      </c>
      <c r="AZ703">
        <v>3</v>
      </c>
      <c r="BA703">
        <v>1</v>
      </c>
      <c r="BB703">
        <v>1</v>
      </c>
      <c r="BC703" s="7">
        <v>0.32</v>
      </c>
      <c r="BD703">
        <v>30</v>
      </c>
      <c r="BE703">
        <v>0</v>
      </c>
      <c r="BF703">
        <v>0</v>
      </c>
      <c r="BG703">
        <v>0</v>
      </c>
      <c r="BH703">
        <v>5</v>
      </c>
      <c r="BI703">
        <v>2.4</v>
      </c>
      <c r="BJ703">
        <v>31</v>
      </c>
      <c r="BK703">
        <v>0</v>
      </c>
      <c r="BL703">
        <v>0</v>
      </c>
      <c r="BM703">
        <v>0</v>
      </c>
      <c r="BN703">
        <v>5</v>
      </c>
      <c r="BO703">
        <v>2.4</v>
      </c>
      <c r="BP703">
        <v>36</v>
      </c>
      <c r="BQ703">
        <v>0</v>
      </c>
      <c r="BR703">
        <v>0</v>
      </c>
      <c r="BS703">
        <v>0</v>
      </c>
      <c r="BT703">
        <v>5</v>
      </c>
      <c r="BU703">
        <v>2.1</v>
      </c>
    </row>
    <row r="704" spans="1:73" x14ac:dyDescent="0.15">
      <c r="A704" s="11">
        <v>10901</v>
      </c>
      <c r="B704">
        <v>7</v>
      </c>
      <c r="C704" s="1">
        <v>45</v>
      </c>
      <c r="D704">
        <v>0</v>
      </c>
      <c r="E704">
        <v>0</v>
      </c>
      <c r="F704">
        <v>1</v>
      </c>
      <c r="G704" s="7">
        <v>0.05</v>
      </c>
      <c r="H704">
        <v>12</v>
      </c>
      <c r="I704">
        <v>0</v>
      </c>
      <c r="J704">
        <v>0</v>
      </c>
      <c r="K704">
        <v>0</v>
      </c>
      <c r="L704">
        <v>1</v>
      </c>
      <c r="M704">
        <v>2</v>
      </c>
      <c r="N704" s="7">
        <v>9</v>
      </c>
      <c r="O704" s="7">
        <v>0</v>
      </c>
      <c r="P704" s="7">
        <v>0</v>
      </c>
      <c r="Q704" s="7">
        <v>0</v>
      </c>
      <c r="R704" s="7">
        <v>1</v>
      </c>
      <c r="S704" s="7">
        <v>4.5</v>
      </c>
      <c r="T704">
        <v>7</v>
      </c>
      <c r="U704" s="1">
        <v>33</v>
      </c>
      <c r="V704">
        <v>0</v>
      </c>
      <c r="W704">
        <v>0</v>
      </c>
      <c r="X704">
        <v>1</v>
      </c>
      <c r="Y704">
        <v>0.16</v>
      </c>
      <c r="Z704">
        <v>23</v>
      </c>
      <c r="AA704">
        <v>0</v>
      </c>
      <c r="AB704">
        <v>0</v>
      </c>
      <c r="AC704">
        <v>0</v>
      </c>
      <c r="AD704">
        <v>1</v>
      </c>
      <c r="AE704">
        <v>0.05</v>
      </c>
      <c r="AF704">
        <v>15</v>
      </c>
      <c r="AG704">
        <v>0</v>
      </c>
      <c r="AH704">
        <v>0</v>
      </c>
      <c r="AI704">
        <v>0</v>
      </c>
      <c r="AJ704">
        <v>1</v>
      </c>
      <c r="AK704">
        <v>0.02</v>
      </c>
      <c r="AL704">
        <v>16</v>
      </c>
      <c r="AM704">
        <v>0</v>
      </c>
      <c r="AN704">
        <v>0</v>
      </c>
      <c r="AO704">
        <v>0</v>
      </c>
      <c r="AP704">
        <v>1</v>
      </c>
      <c r="AQ704">
        <v>0.01</v>
      </c>
      <c r="AX704">
        <v>7</v>
      </c>
      <c r="AY704" s="1">
        <v>17</v>
      </c>
      <c r="AZ704">
        <v>0</v>
      </c>
      <c r="BA704">
        <v>0</v>
      </c>
      <c r="BB704">
        <v>1</v>
      </c>
      <c r="BC704" s="7">
        <v>0.32</v>
      </c>
      <c r="BD704">
        <v>30</v>
      </c>
      <c r="BE704">
        <v>0</v>
      </c>
      <c r="BF704">
        <v>0</v>
      </c>
      <c r="BG704">
        <v>0</v>
      </c>
      <c r="BH704">
        <v>5</v>
      </c>
      <c r="BI704">
        <v>2.4</v>
      </c>
      <c r="BJ704">
        <v>31</v>
      </c>
      <c r="BK704">
        <v>0</v>
      </c>
      <c r="BL704">
        <v>0</v>
      </c>
      <c r="BM704">
        <v>0</v>
      </c>
      <c r="BN704">
        <v>5</v>
      </c>
      <c r="BO704">
        <v>2.4</v>
      </c>
      <c r="BP704">
        <v>36</v>
      </c>
      <c r="BQ704">
        <v>0</v>
      </c>
      <c r="BR704">
        <v>0</v>
      </c>
      <c r="BS704">
        <v>0</v>
      </c>
      <c r="BT704">
        <v>5</v>
      </c>
      <c r="BU704">
        <v>2.2000000000000002</v>
      </c>
    </row>
    <row r="705" spans="1:73" x14ac:dyDescent="0.15">
      <c r="A705" s="11">
        <v>10902</v>
      </c>
      <c r="B705">
        <v>7</v>
      </c>
      <c r="C705" s="1">
        <v>46</v>
      </c>
      <c r="D705">
        <v>0</v>
      </c>
      <c r="E705">
        <v>0</v>
      </c>
      <c r="F705">
        <v>1</v>
      </c>
      <c r="G705" s="7">
        <v>0.05</v>
      </c>
      <c r="H705">
        <v>12</v>
      </c>
      <c r="I705">
        <v>0</v>
      </c>
      <c r="J705">
        <v>0</v>
      </c>
      <c r="K705">
        <v>0</v>
      </c>
      <c r="L705">
        <v>1</v>
      </c>
      <c r="M705">
        <v>2</v>
      </c>
      <c r="N705" s="7">
        <v>9</v>
      </c>
      <c r="O705" s="7">
        <v>0</v>
      </c>
      <c r="P705" s="7">
        <v>0</v>
      </c>
      <c r="Q705" s="7">
        <v>0</v>
      </c>
      <c r="R705" s="7">
        <v>1</v>
      </c>
      <c r="S705" s="7">
        <v>4.5</v>
      </c>
      <c r="T705">
        <v>7</v>
      </c>
      <c r="U705" s="1">
        <v>34</v>
      </c>
      <c r="V705">
        <v>0</v>
      </c>
      <c r="W705">
        <v>0</v>
      </c>
      <c r="X705">
        <v>1</v>
      </c>
      <c r="Y705">
        <v>0.16</v>
      </c>
      <c r="Z705">
        <v>23</v>
      </c>
      <c r="AA705">
        <v>0</v>
      </c>
      <c r="AB705">
        <v>0</v>
      </c>
      <c r="AC705">
        <v>0</v>
      </c>
      <c r="AD705">
        <v>1</v>
      </c>
      <c r="AE705">
        <v>0.05</v>
      </c>
      <c r="AF705">
        <v>15</v>
      </c>
      <c r="AG705">
        <v>0</v>
      </c>
      <c r="AH705">
        <v>0</v>
      </c>
      <c r="AI705">
        <v>0</v>
      </c>
      <c r="AJ705">
        <v>1</v>
      </c>
      <c r="AK705">
        <v>0.02</v>
      </c>
      <c r="AL705">
        <v>16</v>
      </c>
      <c r="AM705">
        <v>0</v>
      </c>
      <c r="AN705">
        <v>0</v>
      </c>
      <c r="AO705">
        <v>0</v>
      </c>
      <c r="AP705">
        <v>1</v>
      </c>
      <c r="AQ705">
        <v>0.01</v>
      </c>
      <c r="AX705">
        <v>7</v>
      </c>
      <c r="AY705" s="1">
        <v>18</v>
      </c>
      <c r="AZ705">
        <v>0</v>
      </c>
      <c r="BA705">
        <v>0</v>
      </c>
      <c r="BB705">
        <v>1</v>
      </c>
      <c r="BC705" s="7">
        <v>0.32</v>
      </c>
      <c r="BD705">
        <v>30</v>
      </c>
      <c r="BE705">
        <v>0</v>
      </c>
      <c r="BF705">
        <v>0</v>
      </c>
      <c r="BG705">
        <v>0</v>
      </c>
      <c r="BH705">
        <v>5</v>
      </c>
      <c r="BI705">
        <v>2.4</v>
      </c>
      <c r="BJ705">
        <v>31</v>
      </c>
      <c r="BK705">
        <v>0</v>
      </c>
      <c r="BL705">
        <v>0</v>
      </c>
      <c r="BM705">
        <v>0</v>
      </c>
      <c r="BN705">
        <v>5</v>
      </c>
      <c r="BO705">
        <v>2.4</v>
      </c>
      <c r="BP705">
        <v>36</v>
      </c>
      <c r="BQ705">
        <v>0</v>
      </c>
      <c r="BR705">
        <v>0</v>
      </c>
      <c r="BS705">
        <v>0</v>
      </c>
      <c r="BT705">
        <v>5</v>
      </c>
      <c r="BU705">
        <v>2.2000000000000002</v>
      </c>
    </row>
    <row r="706" spans="1:73" x14ac:dyDescent="0.15">
      <c r="A706" s="11">
        <v>10903</v>
      </c>
      <c r="B706">
        <v>7</v>
      </c>
      <c r="C706" s="1">
        <v>47</v>
      </c>
      <c r="D706">
        <v>0</v>
      </c>
      <c r="E706">
        <v>0</v>
      </c>
      <c r="F706">
        <v>1</v>
      </c>
      <c r="G706" s="7">
        <v>0.05</v>
      </c>
      <c r="H706">
        <v>12</v>
      </c>
      <c r="I706">
        <v>0</v>
      </c>
      <c r="J706">
        <v>0</v>
      </c>
      <c r="K706">
        <v>0</v>
      </c>
      <c r="L706">
        <v>1</v>
      </c>
      <c r="M706">
        <v>2</v>
      </c>
      <c r="N706" s="7">
        <v>9</v>
      </c>
      <c r="O706" s="7">
        <v>0</v>
      </c>
      <c r="P706" s="7">
        <v>0</v>
      </c>
      <c r="Q706" s="7">
        <v>0</v>
      </c>
      <c r="R706" s="7">
        <v>1</v>
      </c>
      <c r="S706" s="7">
        <v>4.5</v>
      </c>
      <c r="T706">
        <v>7</v>
      </c>
      <c r="U706" s="1">
        <v>35</v>
      </c>
      <c r="V706">
        <v>0</v>
      </c>
      <c r="W706">
        <v>0</v>
      </c>
      <c r="X706">
        <v>1</v>
      </c>
      <c r="Y706">
        <v>0.16</v>
      </c>
      <c r="Z706">
        <v>23</v>
      </c>
      <c r="AA706">
        <v>0</v>
      </c>
      <c r="AB706">
        <v>0</v>
      </c>
      <c r="AC706">
        <v>0</v>
      </c>
      <c r="AD706">
        <v>1</v>
      </c>
      <c r="AE706">
        <v>0.05</v>
      </c>
      <c r="AF706">
        <v>15</v>
      </c>
      <c r="AG706">
        <v>0</v>
      </c>
      <c r="AH706">
        <v>0</v>
      </c>
      <c r="AI706">
        <v>0</v>
      </c>
      <c r="AJ706">
        <v>1</v>
      </c>
      <c r="AK706">
        <v>0.02</v>
      </c>
      <c r="AL706">
        <v>16</v>
      </c>
      <c r="AM706">
        <v>0</v>
      </c>
      <c r="AN706">
        <v>0</v>
      </c>
      <c r="AO706">
        <v>0</v>
      </c>
      <c r="AP706">
        <v>1</v>
      </c>
      <c r="AQ706">
        <v>0.01</v>
      </c>
      <c r="AX706">
        <v>7</v>
      </c>
      <c r="AY706" s="1">
        <v>19</v>
      </c>
      <c r="AZ706">
        <v>0</v>
      </c>
      <c r="BA706">
        <v>0</v>
      </c>
      <c r="BB706">
        <v>1</v>
      </c>
      <c r="BC706" s="7">
        <v>0.32</v>
      </c>
      <c r="BD706">
        <v>30</v>
      </c>
      <c r="BE706">
        <v>0</v>
      </c>
      <c r="BF706">
        <v>0</v>
      </c>
      <c r="BG706">
        <v>0</v>
      </c>
      <c r="BH706">
        <v>5</v>
      </c>
      <c r="BI706">
        <v>2.4</v>
      </c>
      <c r="BJ706">
        <v>31</v>
      </c>
      <c r="BK706">
        <v>0</v>
      </c>
      <c r="BL706">
        <v>0</v>
      </c>
      <c r="BM706">
        <v>0</v>
      </c>
      <c r="BN706">
        <v>5</v>
      </c>
      <c r="BO706">
        <v>2.4</v>
      </c>
      <c r="BP706">
        <v>36</v>
      </c>
      <c r="BQ706">
        <v>0</v>
      </c>
      <c r="BR706">
        <v>0</v>
      </c>
      <c r="BS706">
        <v>0</v>
      </c>
      <c r="BT706">
        <v>5</v>
      </c>
      <c r="BU706">
        <v>2.2000000000000002</v>
      </c>
    </row>
    <row r="707" spans="1:73" x14ac:dyDescent="0.15">
      <c r="A707" s="11">
        <v>10904</v>
      </c>
      <c r="B707">
        <v>7</v>
      </c>
      <c r="C707" s="1">
        <v>48</v>
      </c>
      <c r="D707">
        <v>0</v>
      </c>
      <c r="E707">
        <v>0</v>
      </c>
      <c r="F707">
        <v>1</v>
      </c>
      <c r="G707" s="7">
        <v>0.05</v>
      </c>
      <c r="H707">
        <v>12</v>
      </c>
      <c r="I707">
        <v>0</v>
      </c>
      <c r="J707">
        <v>0</v>
      </c>
      <c r="K707">
        <v>0</v>
      </c>
      <c r="L707">
        <v>1</v>
      </c>
      <c r="M707">
        <v>2</v>
      </c>
      <c r="N707" s="7">
        <v>9</v>
      </c>
      <c r="O707" s="7">
        <v>0</v>
      </c>
      <c r="P707" s="7">
        <v>0</v>
      </c>
      <c r="Q707" s="7">
        <v>0</v>
      </c>
      <c r="R707" s="7">
        <v>1</v>
      </c>
      <c r="S707" s="7">
        <v>4.5</v>
      </c>
      <c r="T707">
        <v>7</v>
      </c>
      <c r="U707" s="1">
        <v>36</v>
      </c>
      <c r="V707">
        <v>0</v>
      </c>
      <c r="W707">
        <v>0</v>
      </c>
      <c r="X707">
        <v>1</v>
      </c>
      <c r="Y707">
        <v>0.16</v>
      </c>
      <c r="Z707">
        <v>23</v>
      </c>
      <c r="AA707">
        <v>0</v>
      </c>
      <c r="AB707">
        <v>0</v>
      </c>
      <c r="AC707">
        <v>0</v>
      </c>
      <c r="AD707">
        <v>1</v>
      </c>
      <c r="AE707">
        <v>0.05</v>
      </c>
      <c r="AF707">
        <v>15</v>
      </c>
      <c r="AG707">
        <v>0</v>
      </c>
      <c r="AH707">
        <v>0</v>
      </c>
      <c r="AI707">
        <v>0</v>
      </c>
      <c r="AJ707">
        <v>1</v>
      </c>
      <c r="AK707">
        <v>0.02</v>
      </c>
      <c r="AL707">
        <v>16</v>
      </c>
      <c r="AM707">
        <v>0</v>
      </c>
      <c r="AN707">
        <v>0</v>
      </c>
      <c r="AO707">
        <v>0</v>
      </c>
      <c r="AP707">
        <v>1</v>
      </c>
      <c r="AQ707">
        <v>0.01</v>
      </c>
      <c r="AX707">
        <v>7</v>
      </c>
      <c r="AY707" s="1">
        <v>20</v>
      </c>
      <c r="AZ707">
        <v>0</v>
      </c>
      <c r="BA707">
        <v>0</v>
      </c>
      <c r="BB707">
        <v>1</v>
      </c>
      <c r="BC707" s="7">
        <v>0.32</v>
      </c>
      <c r="BD707">
        <v>30</v>
      </c>
      <c r="BE707">
        <v>0</v>
      </c>
      <c r="BF707">
        <v>0</v>
      </c>
      <c r="BG707">
        <v>0</v>
      </c>
      <c r="BH707">
        <v>5</v>
      </c>
      <c r="BI707">
        <v>2.4</v>
      </c>
      <c r="BJ707">
        <v>31</v>
      </c>
      <c r="BK707">
        <v>0</v>
      </c>
      <c r="BL707">
        <v>0</v>
      </c>
      <c r="BM707">
        <v>0</v>
      </c>
      <c r="BN707">
        <v>5</v>
      </c>
      <c r="BO707">
        <v>2.4</v>
      </c>
      <c r="BP707">
        <v>36</v>
      </c>
      <c r="BQ707">
        <v>0</v>
      </c>
      <c r="BR707">
        <v>0</v>
      </c>
      <c r="BS707">
        <v>0</v>
      </c>
      <c r="BT707">
        <v>5</v>
      </c>
      <c r="BU707">
        <v>2.2000000000000002</v>
      </c>
    </row>
    <row r="708" spans="1:73" x14ac:dyDescent="0.15">
      <c r="A708" s="11">
        <v>10905</v>
      </c>
      <c r="B708">
        <v>7</v>
      </c>
      <c r="C708" s="1">
        <v>0</v>
      </c>
      <c r="D708">
        <v>5</v>
      </c>
      <c r="E708">
        <v>1</v>
      </c>
      <c r="F708">
        <v>1</v>
      </c>
      <c r="G708" s="7">
        <v>0.05</v>
      </c>
      <c r="H708">
        <v>12</v>
      </c>
      <c r="I708">
        <v>0</v>
      </c>
      <c r="J708">
        <v>0</v>
      </c>
      <c r="K708">
        <v>0</v>
      </c>
      <c r="L708">
        <v>1</v>
      </c>
      <c r="M708">
        <v>2</v>
      </c>
      <c r="N708" s="7">
        <v>9</v>
      </c>
      <c r="O708" s="7">
        <v>0</v>
      </c>
      <c r="P708" s="7">
        <v>0</v>
      </c>
      <c r="Q708" s="7">
        <v>0</v>
      </c>
      <c r="R708" s="7">
        <v>1</v>
      </c>
      <c r="S708" s="7">
        <v>4.5</v>
      </c>
      <c r="T708">
        <v>7</v>
      </c>
      <c r="U708" s="1">
        <v>0</v>
      </c>
      <c r="V708">
        <v>4</v>
      </c>
      <c r="W708">
        <v>2</v>
      </c>
      <c r="X708">
        <v>1</v>
      </c>
      <c r="Y708">
        <v>0.16</v>
      </c>
      <c r="Z708">
        <v>23</v>
      </c>
      <c r="AA708">
        <v>0</v>
      </c>
      <c r="AB708">
        <v>0</v>
      </c>
      <c r="AC708">
        <v>0</v>
      </c>
      <c r="AD708">
        <v>1</v>
      </c>
      <c r="AE708">
        <v>0.05</v>
      </c>
      <c r="AF708">
        <v>15</v>
      </c>
      <c r="AG708">
        <v>0</v>
      </c>
      <c r="AH708">
        <v>0</v>
      </c>
      <c r="AI708">
        <v>0</v>
      </c>
      <c r="AJ708">
        <v>1</v>
      </c>
      <c r="AK708">
        <v>0.02</v>
      </c>
      <c r="AL708">
        <v>16</v>
      </c>
      <c r="AM708">
        <v>0</v>
      </c>
      <c r="AN708">
        <v>0</v>
      </c>
      <c r="AO708">
        <v>0</v>
      </c>
      <c r="AP708">
        <v>1</v>
      </c>
      <c r="AQ708">
        <v>0.01</v>
      </c>
      <c r="AR708">
        <v>6</v>
      </c>
      <c r="AS708">
        <v>2</v>
      </c>
      <c r="AT708">
        <v>1</v>
      </c>
      <c r="AU708">
        <v>5</v>
      </c>
      <c r="AV708">
        <v>1</v>
      </c>
      <c r="AW708">
        <v>0.05</v>
      </c>
      <c r="AX708">
        <v>7</v>
      </c>
      <c r="AY708" s="1">
        <v>0</v>
      </c>
      <c r="AZ708">
        <v>3</v>
      </c>
      <c r="BA708">
        <v>1</v>
      </c>
      <c r="BB708">
        <v>1</v>
      </c>
      <c r="BC708" s="7">
        <v>0.32</v>
      </c>
      <c r="BD708">
        <v>30</v>
      </c>
      <c r="BE708">
        <v>0</v>
      </c>
      <c r="BF708">
        <v>0</v>
      </c>
      <c r="BG708">
        <v>0</v>
      </c>
      <c r="BH708">
        <v>5</v>
      </c>
      <c r="BI708">
        <v>2.4</v>
      </c>
      <c r="BJ708">
        <v>31</v>
      </c>
      <c r="BK708">
        <v>0</v>
      </c>
      <c r="BL708">
        <v>0</v>
      </c>
      <c r="BM708">
        <v>0</v>
      </c>
      <c r="BN708">
        <v>5</v>
      </c>
      <c r="BO708">
        <v>2.4</v>
      </c>
      <c r="BP708">
        <v>36</v>
      </c>
      <c r="BQ708">
        <v>0</v>
      </c>
      <c r="BR708">
        <v>0</v>
      </c>
      <c r="BS708">
        <v>0</v>
      </c>
      <c r="BT708">
        <v>5</v>
      </c>
      <c r="BU708">
        <v>2.2000000000000002</v>
      </c>
    </row>
    <row r="709" spans="1:73" x14ac:dyDescent="0.15">
      <c r="A709" s="11">
        <v>10906</v>
      </c>
      <c r="B709">
        <v>7</v>
      </c>
      <c r="C709" s="1">
        <v>45</v>
      </c>
      <c r="D709">
        <v>0</v>
      </c>
      <c r="E709">
        <v>0</v>
      </c>
      <c r="F709">
        <v>1</v>
      </c>
      <c r="G709" s="7">
        <v>0.05</v>
      </c>
      <c r="H709">
        <v>12</v>
      </c>
      <c r="I709">
        <v>0</v>
      </c>
      <c r="J709">
        <v>0</v>
      </c>
      <c r="K709">
        <v>0</v>
      </c>
      <c r="L709">
        <v>1</v>
      </c>
      <c r="M709">
        <v>2</v>
      </c>
      <c r="N709" s="7">
        <v>9</v>
      </c>
      <c r="O709" s="7">
        <v>0</v>
      </c>
      <c r="P709" s="7">
        <v>0</v>
      </c>
      <c r="Q709" s="7">
        <v>0</v>
      </c>
      <c r="R709" s="7">
        <v>1</v>
      </c>
      <c r="S709" s="7">
        <v>4.5</v>
      </c>
      <c r="T709">
        <v>7</v>
      </c>
      <c r="U709" s="1">
        <v>33</v>
      </c>
      <c r="V709">
        <v>0</v>
      </c>
      <c r="W709">
        <v>0</v>
      </c>
      <c r="X709">
        <v>1</v>
      </c>
      <c r="Y709">
        <v>0.16</v>
      </c>
      <c r="Z709">
        <v>23</v>
      </c>
      <c r="AA709">
        <v>0</v>
      </c>
      <c r="AB709">
        <v>0</v>
      </c>
      <c r="AC709">
        <v>0</v>
      </c>
      <c r="AD709">
        <v>1</v>
      </c>
      <c r="AE709">
        <v>0.05</v>
      </c>
      <c r="AF709">
        <v>15</v>
      </c>
      <c r="AG709">
        <v>0</v>
      </c>
      <c r="AH709">
        <v>0</v>
      </c>
      <c r="AI709">
        <v>0</v>
      </c>
      <c r="AJ709">
        <v>1</v>
      </c>
      <c r="AK709">
        <v>0.02</v>
      </c>
      <c r="AL709">
        <v>16</v>
      </c>
      <c r="AM709">
        <v>0</v>
      </c>
      <c r="AN709">
        <v>0</v>
      </c>
      <c r="AO709">
        <v>0</v>
      </c>
      <c r="AP709">
        <v>1</v>
      </c>
      <c r="AQ709">
        <v>0.01</v>
      </c>
      <c r="AX709">
        <v>7</v>
      </c>
      <c r="AY709" s="1">
        <v>17</v>
      </c>
      <c r="AZ709">
        <v>0</v>
      </c>
      <c r="BA709">
        <v>0</v>
      </c>
      <c r="BB709">
        <v>1</v>
      </c>
      <c r="BC709" s="7">
        <v>0.32</v>
      </c>
      <c r="BD709">
        <v>30</v>
      </c>
      <c r="BE709">
        <v>0</v>
      </c>
      <c r="BF709">
        <v>0</v>
      </c>
      <c r="BG709">
        <v>0</v>
      </c>
      <c r="BH709">
        <v>5</v>
      </c>
      <c r="BI709">
        <v>2.4</v>
      </c>
      <c r="BJ709">
        <v>31</v>
      </c>
      <c r="BK709">
        <v>0</v>
      </c>
      <c r="BL709">
        <v>0</v>
      </c>
      <c r="BM709">
        <v>0</v>
      </c>
      <c r="BN709">
        <v>5</v>
      </c>
      <c r="BO709">
        <v>2.4</v>
      </c>
      <c r="BP709">
        <v>36</v>
      </c>
      <c r="BQ709">
        <v>0</v>
      </c>
      <c r="BR709">
        <v>0</v>
      </c>
      <c r="BS709">
        <v>0</v>
      </c>
      <c r="BT709">
        <v>5</v>
      </c>
      <c r="BU709">
        <v>2.2000000000000002</v>
      </c>
    </row>
    <row r="710" spans="1:73" x14ac:dyDescent="0.15">
      <c r="A710" s="11">
        <v>10907</v>
      </c>
      <c r="B710">
        <v>7</v>
      </c>
      <c r="C710" s="1">
        <v>46</v>
      </c>
      <c r="D710">
        <v>0</v>
      </c>
      <c r="E710">
        <v>0</v>
      </c>
      <c r="F710">
        <v>1</v>
      </c>
      <c r="G710" s="7">
        <v>0.05</v>
      </c>
      <c r="H710">
        <v>12</v>
      </c>
      <c r="I710">
        <v>0</v>
      </c>
      <c r="J710">
        <v>0</v>
      </c>
      <c r="K710">
        <v>0</v>
      </c>
      <c r="L710">
        <v>1</v>
      </c>
      <c r="M710">
        <v>2</v>
      </c>
      <c r="N710" s="7">
        <v>9</v>
      </c>
      <c r="O710" s="7">
        <v>0</v>
      </c>
      <c r="P710" s="7">
        <v>0</v>
      </c>
      <c r="Q710" s="7">
        <v>0</v>
      </c>
      <c r="R710" s="7">
        <v>1</v>
      </c>
      <c r="S710" s="7">
        <v>4.5</v>
      </c>
      <c r="T710">
        <v>7</v>
      </c>
      <c r="U710" s="1">
        <v>34</v>
      </c>
      <c r="V710">
        <v>0</v>
      </c>
      <c r="W710">
        <v>0</v>
      </c>
      <c r="X710">
        <v>1</v>
      </c>
      <c r="Y710">
        <v>0.16</v>
      </c>
      <c r="Z710">
        <v>23</v>
      </c>
      <c r="AA710">
        <v>0</v>
      </c>
      <c r="AB710">
        <v>0</v>
      </c>
      <c r="AC710">
        <v>0</v>
      </c>
      <c r="AD710">
        <v>1</v>
      </c>
      <c r="AE710">
        <v>0.05</v>
      </c>
      <c r="AF710">
        <v>15</v>
      </c>
      <c r="AG710">
        <v>0</v>
      </c>
      <c r="AH710">
        <v>0</v>
      </c>
      <c r="AI710">
        <v>0</v>
      </c>
      <c r="AJ710">
        <v>1</v>
      </c>
      <c r="AK710">
        <v>0.02</v>
      </c>
      <c r="AL710">
        <v>16</v>
      </c>
      <c r="AM710">
        <v>0</v>
      </c>
      <c r="AN710">
        <v>0</v>
      </c>
      <c r="AO710">
        <v>0</v>
      </c>
      <c r="AP710">
        <v>1</v>
      </c>
      <c r="AQ710">
        <v>0.01</v>
      </c>
      <c r="AX710">
        <v>7</v>
      </c>
      <c r="AY710" s="1">
        <v>18</v>
      </c>
      <c r="AZ710">
        <v>0</v>
      </c>
      <c r="BA710">
        <v>0</v>
      </c>
      <c r="BB710">
        <v>1</v>
      </c>
      <c r="BC710" s="7">
        <v>0.32</v>
      </c>
      <c r="BD710">
        <v>30</v>
      </c>
      <c r="BE710">
        <v>0</v>
      </c>
      <c r="BF710">
        <v>0</v>
      </c>
      <c r="BG710">
        <v>0</v>
      </c>
      <c r="BH710">
        <v>5</v>
      </c>
      <c r="BI710">
        <v>2.4</v>
      </c>
      <c r="BJ710">
        <v>31</v>
      </c>
      <c r="BK710">
        <v>0</v>
      </c>
      <c r="BL710">
        <v>0</v>
      </c>
      <c r="BM710">
        <v>0</v>
      </c>
      <c r="BN710">
        <v>5</v>
      </c>
      <c r="BO710">
        <v>2.4</v>
      </c>
      <c r="BP710">
        <v>36</v>
      </c>
      <c r="BQ710">
        <v>0</v>
      </c>
      <c r="BR710">
        <v>0</v>
      </c>
      <c r="BS710">
        <v>0</v>
      </c>
      <c r="BT710">
        <v>5</v>
      </c>
      <c r="BU710">
        <v>2.2000000000000002</v>
      </c>
    </row>
    <row r="711" spans="1:73" x14ac:dyDescent="0.15">
      <c r="A711" s="11">
        <v>10908</v>
      </c>
      <c r="B711">
        <v>7</v>
      </c>
      <c r="C711" s="1">
        <v>47</v>
      </c>
      <c r="D711">
        <v>0</v>
      </c>
      <c r="E711">
        <v>0</v>
      </c>
      <c r="F711">
        <v>1</v>
      </c>
      <c r="G711" s="7">
        <v>0.05</v>
      </c>
      <c r="H711">
        <v>12</v>
      </c>
      <c r="I711">
        <v>0</v>
      </c>
      <c r="J711">
        <v>0</v>
      </c>
      <c r="K711">
        <v>0</v>
      </c>
      <c r="L711">
        <v>1</v>
      </c>
      <c r="M711">
        <v>2</v>
      </c>
      <c r="N711" s="7">
        <v>9</v>
      </c>
      <c r="O711" s="7">
        <v>0</v>
      </c>
      <c r="P711" s="7">
        <v>0</v>
      </c>
      <c r="Q711" s="7">
        <v>0</v>
      </c>
      <c r="R711" s="7">
        <v>1</v>
      </c>
      <c r="S711" s="7">
        <v>4.5</v>
      </c>
      <c r="T711">
        <v>7</v>
      </c>
      <c r="U711" s="1">
        <v>35</v>
      </c>
      <c r="V711">
        <v>0</v>
      </c>
      <c r="W711">
        <v>0</v>
      </c>
      <c r="X711">
        <v>1</v>
      </c>
      <c r="Y711">
        <v>0.16</v>
      </c>
      <c r="Z711">
        <v>23</v>
      </c>
      <c r="AA711">
        <v>0</v>
      </c>
      <c r="AB711">
        <v>0</v>
      </c>
      <c r="AC711">
        <v>0</v>
      </c>
      <c r="AD711">
        <v>1</v>
      </c>
      <c r="AE711">
        <v>0.05</v>
      </c>
      <c r="AF711">
        <v>15</v>
      </c>
      <c r="AG711">
        <v>0</v>
      </c>
      <c r="AH711">
        <v>0</v>
      </c>
      <c r="AI711">
        <v>0</v>
      </c>
      <c r="AJ711">
        <v>1</v>
      </c>
      <c r="AK711">
        <v>0.02</v>
      </c>
      <c r="AL711">
        <v>16</v>
      </c>
      <c r="AM711">
        <v>0</v>
      </c>
      <c r="AN711">
        <v>0</v>
      </c>
      <c r="AO711">
        <v>0</v>
      </c>
      <c r="AP711">
        <v>1</v>
      </c>
      <c r="AQ711">
        <v>0.01</v>
      </c>
      <c r="AX711">
        <v>7</v>
      </c>
      <c r="AY711" s="1">
        <v>19</v>
      </c>
      <c r="AZ711">
        <v>0</v>
      </c>
      <c r="BA711">
        <v>0</v>
      </c>
      <c r="BB711">
        <v>1</v>
      </c>
      <c r="BC711" s="7">
        <v>0.32</v>
      </c>
      <c r="BD711">
        <v>30</v>
      </c>
      <c r="BE711">
        <v>0</v>
      </c>
      <c r="BF711">
        <v>0</v>
      </c>
      <c r="BG711">
        <v>0</v>
      </c>
      <c r="BH711">
        <v>5</v>
      </c>
      <c r="BI711">
        <v>2.4</v>
      </c>
      <c r="BJ711">
        <v>31</v>
      </c>
      <c r="BK711">
        <v>0</v>
      </c>
      <c r="BL711">
        <v>0</v>
      </c>
      <c r="BM711">
        <v>0</v>
      </c>
      <c r="BN711">
        <v>5</v>
      </c>
      <c r="BO711">
        <v>2.4</v>
      </c>
      <c r="BP711">
        <v>36</v>
      </c>
      <c r="BQ711">
        <v>0</v>
      </c>
      <c r="BR711">
        <v>0</v>
      </c>
      <c r="BS711">
        <v>0</v>
      </c>
      <c r="BT711">
        <v>5</v>
      </c>
      <c r="BU711">
        <v>2.2000000000000002</v>
      </c>
    </row>
    <row r="712" spans="1:73" x14ac:dyDescent="0.15">
      <c r="A712" s="11">
        <v>10909</v>
      </c>
      <c r="B712">
        <v>7</v>
      </c>
      <c r="C712" s="1">
        <v>48</v>
      </c>
      <c r="D712">
        <v>0</v>
      </c>
      <c r="E712">
        <v>0</v>
      </c>
      <c r="F712">
        <v>1</v>
      </c>
      <c r="G712" s="7">
        <v>0.05</v>
      </c>
      <c r="H712">
        <v>12</v>
      </c>
      <c r="I712">
        <v>0</v>
      </c>
      <c r="J712">
        <v>0</v>
      </c>
      <c r="K712">
        <v>0</v>
      </c>
      <c r="L712">
        <v>1</v>
      </c>
      <c r="M712">
        <v>2</v>
      </c>
      <c r="N712" s="7">
        <v>9</v>
      </c>
      <c r="O712" s="7">
        <v>0</v>
      </c>
      <c r="P712" s="7">
        <v>0</v>
      </c>
      <c r="Q712" s="7">
        <v>0</v>
      </c>
      <c r="R712" s="7">
        <v>1</v>
      </c>
      <c r="S712" s="7">
        <v>4.5</v>
      </c>
      <c r="T712">
        <v>7</v>
      </c>
      <c r="U712" s="1">
        <v>36</v>
      </c>
      <c r="V712">
        <v>0</v>
      </c>
      <c r="W712">
        <v>0</v>
      </c>
      <c r="X712">
        <v>1</v>
      </c>
      <c r="Y712">
        <v>0.16</v>
      </c>
      <c r="Z712">
        <v>23</v>
      </c>
      <c r="AA712">
        <v>0</v>
      </c>
      <c r="AB712">
        <v>0</v>
      </c>
      <c r="AC712">
        <v>0</v>
      </c>
      <c r="AD712">
        <v>1</v>
      </c>
      <c r="AE712">
        <v>0.05</v>
      </c>
      <c r="AF712">
        <v>15</v>
      </c>
      <c r="AG712">
        <v>0</v>
      </c>
      <c r="AH712">
        <v>0</v>
      </c>
      <c r="AI712">
        <v>0</v>
      </c>
      <c r="AJ712">
        <v>1</v>
      </c>
      <c r="AK712">
        <v>0.02</v>
      </c>
      <c r="AL712">
        <v>16</v>
      </c>
      <c r="AM712">
        <v>0</v>
      </c>
      <c r="AN712">
        <v>0</v>
      </c>
      <c r="AO712">
        <v>0</v>
      </c>
      <c r="AP712">
        <v>1</v>
      </c>
      <c r="AQ712">
        <v>0.01</v>
      </c>
      <c r="AX712">
        <v>7</v>
      </c>
      <c r="AY712" s="1">
        <v>20</v>
      </c>
      <c r="AZ712">
        <v>0</v>
      </c>
      <c r="BA712">
        <v>0</v>
      </c>
      <c r="BB712">
        <v>1</v>
      </c>
      <c r="BC712" s="7">
        <v>0.32</v>
      </c>
      <c r="BD712">
        <v>30</v>
      </c>
      <c r="BE712">
        <v>0</v>
      </c>
      <c r="BF712">
        <v>0</v>
      </c>
      <c r="BG712">
        <v>0</v>
      </c>
      <c r="BH712">
        <v>5</v>
      </c>
      <c r="BI712">
        <v>2.4</v>
      </c>
      <c r="BJ712">
        <v>31</v>
      </c>
      <c r="BK712">
        <v>0</v>
      </c>
      <c r="BL712">
        <v>0</v>
      </c>
      <c r="BM712">
        <v>0</v>
      </c>
      <c r="BN712">
        <v>5</v>
      </c>
      <c r="BO712">
        <v>2.4</v>
      </c>
      <c r="BP712">
        <v>36</v>
      </c>
      <c r="BQ712">
        <v>0</v>
      </c>
      <c r="BR712">
        <v>0</v>
      </c>
      <c r="BS712">
        <v>0</v>
      </c>
      <c r="BT712">
        <v>5</v>
      </c>
      <c r="BU712">
        <v>2.2000000000000002</v>
      </c>
    </row>
    <row r="713" spans="1:73" x14ac:dyDescent="0.15">
      <c r="A713" s="11">
        <v>10910</v>
      </c>
      <c r="B713">
        <v>7</v>
      </c>
      <c r="C713" s="1">
        <v>0</v>
      </c>
      <c r="D713">
        <v>5</v>
      </c>
      <c r="E713">
        <v>1</v>
      </c>
      <c r="F713">
        <v>1</v>
      </c>
      <c r="G713" s="7">
        <v>0.05</v>
      </c>
      <c r="H713">
        <v>12</v>
      </c>
      <c r="I713">
        <v>0</v>
      </c>
      <c r="J713">
        <v>0</v>
      </c>
      <c r="K713">
        <v>0</v>
      </c>
      <c r="L713">
        <v>1</v>
      </c>
      <c r="M713">
        <v>2</v>
      </c>
      <c r="N713" s="7">
        <v>9</v>
      </c>
      <c r="O713" s="7">
        <v>0</v>
      </c>
      <c r="P713" s="7">
        <v>0</v>
      </c>
      <c r="Q713" s="7">
        <v>0</v>
      </c>
      <c r="R713" s="7">
        <v>1</v>
      </c>
      <c r="S713" s="7">
        <v>4.5</v>
      </c>
      <c r="T713">
        <v>7</v>
      </c>
      <c r="U713" s="1">
        <v>0</v>
      </c>
      <c r="V713">
        <v>4</v>
      </c>
      <c r="W713">
        <v>2</v>
      </c>
      <c r="X713">
        <v>1</v>
      </c>
      <c r="Y713">
        <v>0.16</v>
      </c>
      <c r="Z713">
        <v>23</v>
      </c>
      <c r="AA713">
        <v>0</v>
      </c>
      <c r="AB713">
        <v>0</v>
      </c>
      <c r="AC713">
        <v>0</v>
      </c>
      <c r="AD713">
        <v>1</v>
      </c>
      <c r="AE713">
        <v>0.05</v>
      </c>
      <c r="AF713">
        <v>15</v>
      </c>
      <c r="AG713">
        <v>0</v>
      </c>
      <c r="AH713">
        <v>0</v>
      </c>
      <c r="AI713">
        <v>0</v>
      </c>
      <c r="AJ713">
        <v>1</v>
      </c>
      <c r="AK713">
        <v>0.02</v>
      </c>
      <c r="AL713">
        <v>16</v>
      </c>
      <c r="AM713">
        <v>0</v>
      </c>
      <c r="AN713">
        <v>0</v>
      </c>
      <c r="AO713">
        <v>0</v>
      </c>
      <c r="AP713">
        <v>1</v>
      </c>
      <c r="AQ713">
        <v>0.01</v>
      </c>
      <c r="AR713">
        <v>6</v>
      </c>
      <c r="AS713">
        <v>2</v>
      </c>
      <c r="AT713">
        <v>2</v>
      </c>
      <c r="AU713">
        <v>5</v>
      </c>
      <c r="AV713">
        <v>1</v>
      </c>
      <c r="AW713">
        <v>0.05</v>
      </c>
      <c r="AX713">
        <v>7</v>
      </c>
      <c r="AY713" s="1">
        <v>0</v>
      </c>
      <c r="AZ713">
        <v>3</v>
      </c>
      <c r="BA713">
        <v>1</v>
      </c>
      <c r="BB713">
        <v>1</v>
      </c>
      <c r="BC713" s="7">
        <v>0.32</v>
      </c>
      <c r="BD713">
        <v>30</v>
      </c>
      <c r="BE713">
        <v>0</v>
      </c>
      <c r="BF713">
        <v>0</v>
      </c>
      <c r="BG713">
        <v>0</v>
      </c>
      <c r="BH713">
        <v>5</v>
      </c>
      <c r="BI713">
        <v>2.4</v>
      </c>
      <c r="BJ713">
        <v>31</v>
      </c>
      <c r="BK713">
        <v>0</v>
      </c>
      <c r="BL713">
        <v>0</v>
      </c>
      <c r="BM713">
        <v>0</v>
      </c>
      <c r="BN713">
        <v>5</v>
      </c>
      <c r="BO713">
        <v>2.4</v>
      </c>
      <c r="BP713">
        <v>36</v>
      </c>
      <c r="BQ713">
        <v>0</v>
      </c>
      <c r="BR713">
        <v>0</v>
      </c>
      <c r="BS713">
        <v>0</v>
      </c>
      <c r="BT713">
        <v>5</v>
      </c>
      <c r="BU713">
        <v>2.2000000000000002</v>
      </c>
    </row>
    <row r="714" spans="1:73" x14ac:dyDescent="0.15">
      <c r="A714" s="11">
        <v>10911</v>
      </c>
      <c r="B714">
        <v>7</v>
      </c>
      <c r="C714" s="1">
        <v>45</v>
      </c>
      <c r="D714">
        <v>0</v>
      </c>
      <c r="E714">
        <v>0</v>
      </c>
      <c r="F714">
        <v>1</v>
      </c>
      <c r="G714" s="7">
        <v>0.05</v>
      </c>
      <c r="H714">
        <v>12</v>
      </c>
      <c r="I714">
        <v>0</v>
      </c>
      <c r="J714">
        <v>0</v>
      </c>
      <c r="K714">
        <v>0</v>
      </c>
      <c r="L714">
        <v>1</v>
      </c>
      <c r="M714">
        <v>2</v>
      </c>
      <c r="N714" s="7">
        <v>9</v>
      </c>
      <c r="O714" s="7">
        <v>0</v>
      </c>
      <c r="P714" s="7">
        <v>0</v>
      </c>
      <c r="Q714" s="7">
        <v>0</v>
      </c>
      <c r="R714" s="7">
        <v>1</v>
      </c>
      <c r="S714" s="7">
        <v>4.5</v>
      </c>
      <c r="T714">
        <v>7</v>
      </c>
      <c r="U714" s="1">
        <v>33</v>
      </c>
      <c r="V714">
        <v>0</v>
      </c>
      <c r="W714">
        <v>0</v>
      </c>
      <c r="X714">
        <v>1</v>
      </c>
      <c r="Y714">
        <v>0.16</v>
      </c>
      <c r="Z714">
        <v>23</v>
      </c>
      <c r="AA714">
        <v>0</v>
      </c>
      <c r="AB714">
        <v>0</v>
      </c>
      <c r="AC714">
        <v>0</v>
      </c>
      <c r="AD714">
        <v>1</v>
      </c>
      <c r="AE714">
        <v>0.05</v>
      </c>
      <c r="AF714">
        <v>15</v>
      </c>
      <c r="AG714">
        <v>0</v>
      </c>
      <c r="AH714">
        <v>0</v>
      </c>
      <c r="AI714">
        <v>0</v>
      </c>
      <c r="AJ714">
        <v>1</v>
      </c>
      <c r="AK714">
        <v>0.02</v>
      </c>
      <c r="AL714">
        <v>16</v>
      </c>
      <c r="AM714">
        <v>0</v>
      </c>
      <c r="AN714">
        <v>0</v>
      </c>
      <c r="AO714">
        <v>0</v>
      </c>
      <c r="AP714">
        <v>1</v>
      </c>
      <c r="AQ714">
        <v>0.01</v>
      </c>
      <c r="AX714">
        <v>7</v>
      </c>
      <c r="AY714" s="1">
        <v>17</v>
      </c>
      <c r="AZ714">
        <v>0</v>
      </c>
      <c r="BA714">
        <v>0</v>
      </c>
      <c r="BB714">
        <v>1</v>
      </c>
      <c r="BC714" s="7">
        <v>0.32</v>
      </c>
      <c r="BD714">
        <v>30</v>
      </c>
      <c r="BE714">
        <v>0</v>
      </c>
      <c r="BF714">
        <v>0</v>
      </c>
      <c r="BG714">
        <v>0</v>
      </c>
      <c r="BH714">
        <v>5</v>
      </c>
      <c r="BI714">
        <v>2.4</v>
      </c>
      <c r="BJ714">
        <v>31</v>
      </c>
      <c r="BK714">
        <v>0</v>
      </c>
      <c r="BL714">
        <v>0</v>
      </c>
      <c r="BM714">
        <v>0</v>
      </c>
      <c r="BN714">
        <v>5</v>
      </c>
      <c r="BO714">
        <v>2.4</v>
      </c>
      <c r="BP714">
        <v>36</v>
      </c>
      <c r="BQ714">
        <v>0</v>
      </c>
      <c r="BR714">
        <v>0</v>
      </c>
      <c r="BS714">
        <v>0</v>
      </c>
      <c r="BT714">
        <v>5</v>
      </c>
      <c r="BU714">
        <v>2.2000000000000002</v>
      </c>
    </row>
    <row r="715" spans="1:73" x14ac:dyDescent="0.15">
      <c r="A715" s="11">
        <v>10912</v>
      </c>
      <c r="B715">
        <v>7</v>
      </c>
      <c r="C715" s="1">
        <v>46</v>
      </c>
      <c r="D715">
        <v>0</v>
      </c>
      <c r="E715">
        <v>0</v>
      </c>
      <c r="F715">
        <v>1</v>
      </c>
      <c r="G715" s="7">
        <v>0.05</v>
      </c>
      <c r="H715">
        <v>12</v>
      </c>
      <c r="I715">
        <v>0</v>
      </c>
      <c r="J715">
        <v>0</v>
      </c>
      <c r="K715">
        <v>0</v>
      </c>
      <c r="L715">
        <v>1</v>
      </c>
      <c r="M715">
        <v>2</v>
      </c>
      <c r="N715" s="7">
        <v>9</v>
      </c>
      <c r="O715" s="7">
        <v>0</v>
      </c>
      <c r="P715" s="7">
        <v>0</v>
      </c>
      <c r="Q715" s="7">
        <v>0</v>
      </c>
      <c r="R715" s="7">
        <v>1</v>
      </c>
      <c r="S715" s="7">
        <v>4.5</v>
      </c>
      <c r="T715">
        <v>7</v>
      </c>
      <c r="U715" s="1">
        <v>34</v>
      </c>
      <c r="V715">
        <v>0</v>
      </c>
      <c r="W715">
        <v>0</v>
      </c>
      <c r="X715">
        <v>1</v>
      </c>
      <c r="Y715">
        <v>0.16</v>
      </c>
      <c r="Z715">
        <v>23</v>
      </c>
      <c r="AA715">
        <v>0</v>
      </c>
      <c r="AB715">
        <v>0</v>
      </c>
      <c r="AC715">
        <v>0</v>
      </c>
      <c r="AD715">
        <v>1</v>
      </c>
      <c r="AE715">
        <v>0.05</v>
      </c>
      <c r="AF715">
        <v>15</v>
      </c>
      <c r="AG715">
        <v>0</v>
      </c>
      <c r="AH715">
        <v>0</v>
      </c>
      <c r="AI715">
        <v>0</v>
      </c>
      <c r="AJ715">
        <v>1</v>
      </c>
      <c r="AK715">
        <v>0.02</v>
      </c>
      <c r="AL715">
        <v>16</v>
      </c>
      <c r="AM715">
        <v>0</v>
      </c>
      <c r="AN715">
        <v>0</v>
      </c>
      <c r="AO715">
        <v>0</v>
      </c>
      <c r="AP715">
        <v>1</v>
      </c>
      <c r="AQ715">
        <v>0.01</v>
      </c>
      <c r="AX715">
        <v>7</v>
      </c>
      <c r="AY715" s="1">
        <v>18</v>
      </c>
      <c r="AZ715">
        <v>0</v>
      </c>
      <c r="BA715">
        <v>0</v>
      </c>
      <c r="BB715">
        <v>1</v>
      </c>
      <c r="BC715" s="7">
        <v>0.32</v>
      </c>
      <c r="BD715">
        <v>30</v>
      </c>
      <c r="BE715">
        <v>0</v>
      </c>
      <c r="BF715">
        <v>0</v>
      </c>
      <c r="BG715">
        <v>0</v>
      </c>
      <c r="BH715">
        <v>5</v>
      </c>
      <c r="BI715">
        <v>2.4</v>
      </c>
      <c r="BJ715">
        <v>31</v>
      </c>
      <c r="BK715">
        <v>0</v>
      </c>
      <c r="BL715">
        <v>0</v>
      </c>
      <c r="BM715">
        <v>0</v>
      </c>
      <c r="BN715">
        <v>5</v>
      </c>
      <c r="BO715">
        <v>2.4</v>
      </c>
      <c r="BP715">
        <v>36</v>
      </c>
      <c r="BQ715">
        <v>0</v>
      </c>
      <c r="BR715">
        <v>0</v>
      </c>
      <c r="BS715">
        <v>0</v>
      </c>
      <c r="BT715">
        <v>5</v>
      </c>
      <c r="BU715">
        <v>2.2000000000000002</v>
      </c>
    </row>
    <row r="716" spans="1:73" x14ac:dyDescent="0.15">
      <c r="A716" s="11">
        <v>10913</v>
      </c>
      <c r="B716">
        <v>7</v>
      </c>
      <c r="C716" s="1">
        <v>47</v>
      </c>
      <c r="D716">
        <v>0</v>
      </c>
      <c r="E716">
        <v>0</v>
      </c>
      <c r="F716">
        <v>1</v>
      </c>
      <c r="G716" s="7">
        <v>0.05</v>
      </c>
      <c r="H716">
        <v>12</v>
      </c>
      <c r="I716">
        <v>0</v>
      </c>
      <c r="J716">
        <v>0</v>
      </c>
      <c r="K716">
        <v>0</v>
      </c>
      <c r="L716">
        <v>1</v>
      </c>
      <c r="M716">
        <v>2</v>
      </c>
      <c r="N716" s="7">
        <v>9</v>
      </c>
      <c r="O716" s="7">
        <v>0</v>
      </c>
      <c r="P716" s="7">
        <v>0</v>
      </c>
      <c r="Q716" s="7">
        <v>0</v>
      </c>
      <c r="R716" s="7">
        <v>1</v>
      </c>
      <c r="S716" s="7">
        <v>4.5</v>
      </c>
      <c r="T716">
        <v>7</v>
      </c>
      <c r="U716" s="1">
        <v>35</v>
      </c>
      <c r="V716">
        <v>0</v>
      </c>
      <c r="W716">
        <v>0</v>
      </c>
      <c r="X716">
        <v>1</v>
      </c>
      <c r="Y716">
        <v>0.16</v>
      </c>
      <c r="Z716">
        <v>23</v>
      </c>
      <c r="AA716">
        <v>0</v>
      </c>
      <c r="AB716">
        <v>0</v>
      </c>
      <c r="AC716">
        <v>0</v>
      </c>
      <c r="AD716">
        <v>1</v>
      </c>
      <c r="AE716">
        <v>0.05</v>
      </c>
      <c r="AF716">
        <v>15</v>
      </c>
      <c r="AG716">
        <v>0</v>
      </c>
      <c r="AH716">
        <v>0</v>
      </c>
      <c r="AI716">
        <v>0</v>
      </c>
      <c r="AJ716">
        <v>1</v>
      </c>
      <c r="AK716">
        <v>0.02</v>
      </c>
      <c r="AL716">
        <v>16</v>
      </c>
      <c r="AM716">
        <v>0</v>
      </c>
      <c r="AN716">
        <v>0</v>
      </c>
      <c r="AO716">
        <v>0</v>
      </c>
      <c r="AP716">
        <v>1</v>
      </c>
      <c r="AQ716">
        <v>0.01</v>
      </c>
      <c r="AX716">
        <v>7</v>
      </c>
      <c r="AY716" s="1">
        <v>19</v>
      </c>
      <c r="AZ716">
        <v>0</v>
      </c>
      <c r="BA716">
        <v>0</v>
      </c>
      <c r="BB716">
        <v>1</v>
      </c>
      <c r="BC716" s="7">
        <v>0.32</v>
      </c>
      <c r="BD716">
        <v>30</v>
      </c>
      <c r="BE716">
        <v>0</v>
      </c>
      <c r="BF716">
        <v>0</v>
      </c>
      <c r="BG716">
        <v>0</v>
      </c>
      <c r="BH716">
        <v>5</v>
      </c>
      <c r="BI716">
        <v>2.4</v>
      </c>
      <c r="BJ716">
        <v>31</v>
      </c>
      <c r="BK716">
        <v>0</v>
      </c>
      <c r="BL716">
        <v>0</v>
      </c>
      <c r="BM716">
        <v>0</v>
      </c>
      <c r="BN716">
        <v>5</v>
      </c>
      <c r="BO716">
        <v>2.4</v>
      </c>
      <c r="BP716">
        <v>36</v>
      </c>
      <c r="BQ716">
        <v>0</v>
      </c>
      <c r="BR716">
        <v>0</v>
      </c>
      <c r="BS716">
        <v>0</v>
      </c>
      <c r="BT716">
        <v>5</v>
      </c>
      <c r="BU716">
        <v>2.2000000000000002</v>
      </c>
    </row>
    <row r="717" spans="1:73" x14ac:dyDescent="0.15">
      <c r="A717" s="11">
        <v>10914</v>
      </c>
      <c r="B717">
        <v>7</v>
      </c>
      <c r="C717" s="1">
        <v>48</v>
      </c>
      <c r="D717">
        <v>0</v>
      </c>
      <c r="E717">
        <v>0</v>
      </c>
      <c r="F717">
        <v>1</v>
      </c>
      <c r="G717" s="7">
        <v>0.05</v>
      </c>
      <c r="H717">
        <v>12</v>
      </c>
      <c r="I717">
        <v>0</v>
      </c>
      <c r="J717">
        <v>0</v>
      </c>
      <c r="K717">
        <v>0</v>
      </c>
      <c r="L717">
        <v>1</v>
      </c>
      <c r="M717">
        <v>2</v>
      </c>
      <c r="N717" s="7">
        <v>9</v>
      </c>
      <c r="O717" s="7">
        <v>0</v>
      </c>
      <c r="P717" s="7">
        <v>0</v>
      </c>
      <c r="Q717" s="7">
        <v>0</v>
      </c>
      <c r="R717" s="7">
        <v>1</v>
      </c>
      <c r="S717" s="7">
        <v>4.5</v>
      </c>
      <c r="T717">
        <v>7</v>
      </c>
      <c r="U717" s="1">
        <v>36</v>
      </c>
      <c r="V717">
        <v>0</v>
      </c>
      <c r="W717">
        <v>0</v>
      </c>
      <c r="X717">
        <v>1</v>
      </c>
      <c r="Y717">
        <v>0.16</v>
      </c>
      <c r="Z717">
        <v>23</v>
      </c>
      <c r="AA717">
        <v>0</v>
      </c>
      <c r="AB717">
        <v>0</v>
      </c>
      <c r="AC717">
        <v>0</v>
      </c>
      <c r="AD717">
        <v>1</v>
      </c>
      <c r="AE717">
        <v>0.05</v>
      </c>
      <c r="AF717">
        <v>15</v>
      </c>
      <c r="AG717">
        <v>0</v>
      </c>
      <c r="AH717">
        <v>0</v>
      </c>
      <c r="AI717">
        <v>0</v>
      </c>
      <c r="AJ717">
        <v>1</v>
      </c>
      <c r="AK717">
        <v>0.02</v>
      </c>
      <c r="AL717">
        <v>16</v>
      </c>
      <c r="AM717">
        <v>0</v>
      </c>
      <c r="AN717">
        <v>0</v>
      </c>
      <c r="AO717">
        <v>0</v>
      </c>
      <c r="AP717">
        <v>1</v>
      </c>
      <c r="AQ717">
        <v>0.01</v>
      </c>
      <c r="AX717">
        <v>7</v>
      </c>
      <c r="AY717" s="1">
        <v>20</v>
      </c>
      <c r="AZ717">
        <v>0</v>
      </c>
      <c r="BA717">
        <v>0</v>
      </c>
      <c r="BB717">
        <v>1</v>
      </c>
      <c r="BC717" s="7">
        <v>0.32</v>
      </c>
      <c r="BD717">
        <v>30</v>
      </c>
      <c r="BE717">
        <v>0</v>
      </c>
      <c r="BF717">
        <v>0</v>
      </c>
      <c r="BG717">
        <v>0</v>
      </c>
      <c r="BH717">
        <v>5</v>
      </c>
      <c r="BI717">
        <v>2.4</v>
      </c>
      <c r="BJ717">
        <v>31</v>
      </c>
      <c r="BK717">
        <v>0</v>
      </c>
      <c r="BL717">
        <v>0</v>
      </c>
      <c r="BM717">
        <v>0</v>
      </c>
      <c r="BN717">
        <v>5</v>
      </c>
      <c r="BO717">
        <v>2.4</v>
      </c>
      <c r="BP717">
        <v>36</v>
      </c>
      <c r="BQ717">
        <v>0</v>
      </c>
      <c r="BR717">
        <v>0</v>
      </c>
      <c r="BS717">
        <v>0</v>
      </c>
      <c r="BT717">
        <v>5</v>
      </c>
      <c r="BU717">
        <v>2.2000000000000002</v>
      </c>
    </row>
    <row r="718" spans="1:73" x14ac:dyDescent="0.15">
      <c r="A718" s="11">
        <v>10915</v>
      </c>
      <c r="B718">
        <v>7</v>
      </c>
      <c r="C718" s="1">
        <v>0</v>
      </c>
      <c r="D718">
        <v>5</v>
      </c>
      <c r="E718">
        <v>1</v>
      </c>
      <c r="F718">
        <v>1</v>
      </c>
      <c r="G718" s="7">
        <v>0.05</v>
      </c>
      <c r="H718">
        <v>12</v>
      </c>
      <c r="I718">
        <v>0</v>
      </c>
      <c r="J718">
        <v>0</v>
      </c>
      <c r="K718">
        <v>0</v>
      </c>
      <c r="L718">
        <v>1</v>
      </c>
      <c r="M718">
        <v>2</v>
      </c>
      <c r="N718" s="7">
        <v>9</v>
      </c>
      <c r="O718" s="7">
        <v>0</v>
      </c>
      <c r="P718" s="7">
        <v>0</v>
      </c>
      <c r="Q718" s="7">
        <v>0</v>
      </c>
      <c r="R718" s="7">
        <v>1</v>
      </c>
      <c r="S718" s="7">
        <v>4.5</v>
      </c>
      <c r="T718">
        <v>7</v>
      </c>
      <c r="U718" s="1">
        <v>0</v>
      </c>
      <c r="V718">
        <v>4</v>
      </c>
      <c r="W718">
        <v>2</v>
      </c>
      <c r="X718">
        <v>1</v>
      </c>
      <c r="Y718">
        <v>0.16</v>
      </c>
      <c r="Z718">
        <v>23</v>
      </c>
      <c r="AA718">
        <v>0</v>
      </c>
      <c r="AB718">
        <v>0</v>
      </c>
      <c r="AC718">
        <v>0</v>
      </c>
      <c r="AD718">
        <v>1</v>
      </c>
      <c r="AE718">
        <v>0.05</v>
      </c>
      <c r="AF718">
        <v>15</v>
      </c>
      <c r="AG718">
        <v>0</v>
      </c>
      <c r="AH718">
        <v>0</v>
      </c>
      <c r="AI718">
        <v>0</v>
      </c>
      <c r="AJ718">
        <v>1</v>
      </c>
      <c r="AK718">
        <v>0.02</v>
      </c>
      <c r="AL718">
        <v>16</v>
      </c>
      <c r="AM718">
        <v>0</v>
      </c>
      <c r="AN718">
        <v>0</v>
      </c>
      <c r="AO718">
        <v>0</v>
      </c>
      <c r="AP718">
        <v>1</v>
      </c>
      <c r="AQ718">
        <v>0.01</v>
      </c>
      <c r="AR718">
        <v>6</v>
      </c>
      <c r="AS718">
        <v>2</v>
      </c>
      <c r="AT718">
        <v>3</v>
      </c>
      <c r="AU718">
        <v>5</v>
      </c>
      <c r="AV718">
        <v>1</v>
      </c>
      <c r="AW718">
        <v>0.05</v>
      </c>
      <c r="AX718">
        <v>7</v>
      </c>
      <c r="AY718" s="1">
        <v>0</v>
      </c>
      <c r="AZ718">
        <v>3</v>
      </c>
      <c r="BA718">
        <v>1</v>
      </c>
      <c r="BB718">
        <v>1</v>
      </c>
      <c r="BC718" s="7">
        <v>0.32</v>
      </c>
      <c r="BD718">
        <v>30</v>
      </c>
      <c r="BE718">
        <v>0</v>
      </c>
      <c r="BF718">
        <v>0</v>
      </c>
      <c r="BG718">
        <v>0</v>
      </c>
      <c r="BH718">
        <v>5</v>
      </c>
      <c r="BI718">
        <v>2.4</v>
      </c>
      <c r="BJ718">
        <v>31</v>
      </c>
      <c r="BK718">
        <v>0</v>
      </c>
      <c r="BL718">
        <v>0</v>
      </c>
      <c r="BM718">
        <v>0</v>
      </c>
      <c r="BN718">
        <v>5</v>
      </c>
      <c r="BO718">
        <v>2.4</v>
      </c>
      <c r="BP718">
        <v>36</v>
      </c>
      <c r="BQ718">
        <v>0</v>
      </c>
      <c r="BR718">
        <v>0</v>
      </c>
      <c r="BS718">
        <v>0</v>
      </c>
      <c r="BT718">
        <v>5</v>
      </c>
      <c r="BU718">
        <v>2.2000000000000002</v>
      </c>
    </row>
    <row r="719" spans="1:73" x14ac:dyDescent="0.15">
      <c r="A719" s="11">
        <v>10916</v>
      </c>
      <c r="B719">
        <v>7</v>
      </c>
      <c r="C719" s="1">
        <v>45</v>
      </c>
      <c r="D719">
        <v>0</v>
      </c>
      <c r="E719">
        <v>0</v>
      </c>
      <c r="F719">
        <v>1</v>
      </c>
      <c r="G719" s="7">
        <v>0.05</v>
      </c>
      <c r="H719">
        <v>12</v>
      </c>
      <c r="I719">
        <v>0</v>
      </c>
      <c r="J719">
        <v>0</v>
      </c>
      <c r="K719">
        <v>0</v>
      </c>
      <c r="L719">
        <v>1</v>
      </c>
      <c r="M719">
        <v>2</v>
      </c>
      <c r="N719" s="7">
        <v>9</v>
      </c>
      <c r="O719" s="7">
        <v>0</v>
      </c>
      <c r="P719" s="7">
        <v>0</v>
      </c>
      <c r="Q719" s="7">
        <v>0</v>
      </c>
      <c r="R719" s="7">
        <v>1</v>
      </c>
      <c r="S719" s="7">
        <v>4.5</v>
      </c>
      <c r="T719">
        <v>7</v>
      </c>
      <c r="U719" s="1">
        <v>33</v>
      </c>
      <c r="V719">
        <v>0</v>
      </c>
      <c r="W719">
        <v>0</v>
      </c>
      <c r="X719">
        <v>1</v>
      </c>
      <c r="Y719">
        <v>0.16</v>
      </c>
      <c r="Z719">
        <v>23</v>
      </c>
      <c r="AA719">
        <v>0</v>
      </c>
      <c r="AB719">
        <v>0</v>
      </c>
      <c r="AC719">
        <v>0</v>
      </c>
      <c r="AD719">
        <v>1</v>
      </c>
      <c r="AE719">
        <v>0.05</v>
      </c>
      <c r="AF719">
        <v>15</v>
      </c>
      <c r="AG719">
        <v>0</v>
      </c>
      <c r="AH719">
        <v>0</v>
      </c>
      <c r="AI719">
        <v>0</v>
      </c>
      <c r="AJ719">
        <v>1</v>
      </c>
      <c r="AK719">
        <v>0.02</v>
      </c>
      <c r="AL719">
        <v>16</v>
      </c>
      <c r="AM719">
        <v>0</v>
      </c>
      <c r="AN719">
        <v>0</v>
      </c>
      <c r="AO719">
        <v>0</v>
      </c>
      <c r="AP719">
        <v>1</v>
      </c>
      <c r="AQ719">
        <v>0.01</v>
      </c>
      <c r="AX719">
        <v>7</v>
      </c>
      <c r="AY719" s="1">
        <v>17</v>
      </c>
      <c r="AZ719">
        <v>0</v>
      </c>
      <c r="BA719">
        <v>0</v>
      </c>
      <c r="BB719">
        <v>1</v>
      </c>
      <c r="BC719" s="7">
        <v>0.32</v>
      </c>
      <c r="BD719">
        <v>30</v>
      </c>
      <c r="BE719">
        <v>0</v>
      </c>
      <c r="BF719">
        <v>0</v>
      </c>
      <c r="BG719">
        <v>0</v>
      </c>
      <c r="BH719">
        <v>5</v>
      </c>
      <c r="BI719">
        <v>2.4</v>
      </c>
      <c r="BJ719">
        <v>31</v>
      </c>
      <c r="BK719">
        <v>0</v>
      </c>
      <c r="BL719">
        <v>0</v>
      </c>
      <c r="BM719">
        <v>0</v>
      </c>
      <c r="BN719">
        <v>5</v>
      </c>
      <c r="BO719">
        <v>2.4</v>
      </c>
      <c r="BP719">
        <v>36</v>
      </c>
      <c r="BQ719">
        <v>0</v>
      </c>
      <c r="BR719">
        <v>0</v>
      </c>
      <c r="BS719">
        <v>0</v>
      </c>
      <c r="BT719">
        <v>5</v>
      </c>
      <c r="BU719">
        <v>2.2000000000000002</v>
      </c>
    </row>
    <row r="720" spans="1:73" x14ac:dyDescent="0.15">
      <c r="A720" s="11">
        <v>10917</v>
      </c>
      <c r="B720">
        <v>7</v>
      </c>
      <c r="C720" s="1">
        <v>46</v>
      </c>
      <c r="D720">
        <v>0</v>
      </c>
      <c r="E720">
        <v>0</v>
      </c>
      <c r="F720">
        <v>1</v>
      </c>
      <c r="G720" s="7">
        <v>0.05</v>
      </c>
      <c r="H720">
        <v>12</v>
      </c>
      <c r="I720">
        <v>0</v>
      </c>
      <c r="J720">
        <v>0</v>
      </c>
      <c r="K720">
        <v>0</v>
      </c>
      <c r="L720">
        <v>1</v>
      </c>
      <c r="M720">
        <v>2</v>
      </c>
      <c r="N720" s="7">
        <v>9</v>
      </c>
      <c r="O720" s="7">
        <v>0</v>
      </c>
      <c r="P720" s="7">
        <v>0</v>
      </c>
      <c r="Q720" s="7">
        <v>0</v>
      </c>
      <c r="R720" s="7">
        <v>1</v>
      </c>
      <c r="S720" s="7">
        <v>4.5</v>
      </c>
      <c r="T720">
        <v>7</v>
      </c>
      <c r="U720" s="1">
        <v>34</v>
      </c>
      <c r="V720">
        <v>0</v>
      </c>
      <c r="W720">
        <v>0</v>
      </c>
      <c r="X720">
        <v>1</v>
      </c>
      <c r="Y720">
        <v>0.16</v>
      </c>
      <c r="Z720">
        <v>23</v>
      </c>
      <c r="AA720">
        <v>0</v>
      </c>
      <c r="AB720">
        <v>0</v>
      </c>
      <c r="AC720">
        <v>0</v>
      </c>
      <c r="AD720">
        <v>1</v>
      </c>
      <c r="AE720">
        <v>0.05</v>
      </c>
      <c r="AF720">
        <v>15</v>
      </c>
      <c r="AG720">
        <v>0</v>
      </c>
      <c r="AH720">
        <v>0</v>
      </c>
      <c r="AI720">
        <v>0</v>
      </c>
      <c r="AJ720">
        <v>1</v>
      </c>
      <c r="AK720">
        <v>0.02</v>
      </c>
      <c r="AL720">
        <v>16</v>
      </c>
      <c r="AM720">
        <v>0</v>
      </c>
      <c r="AN720">
        <v>0</v>
      </c>
      <c r="AO720">
        <v>0</v>
      </c>
      <c r="AP720">
        <v>1</v>
      </c>
      <c r="AQ720">
        <v>0.01</v>
      </c>
      <c r="AX720">
        <v>7</v>
      </c>
      <c r="AY720" s="1">
        <v>18</v>
      </c>
      <c r="AZ720">
        <v>0</v>
      </c>
      <c r="BA720">
        <v>0</v>
      </c>
      <c r="BB720">
        <v>1</v>
      </c>
      <c r="BC720" s="7">
        <v>0.32</v>
      </c>
      <c r="BD720">
        <v>30</v>
      </c>
      <c r="BE720">
        <v>0</v>
      </c>
      <c r="BF720">
        <v>0</v>
      </c>
      <c r="BG720">
        <v>0</v>
      </c>
      <c r="BH720">
        <v>5</v>
      </c>
      <c r="BI720">
        <v>2.4</v>
      </c>
      <c r="BJ720">
        <v>31</v>
      </c>
      <c r="BK720">
        <v>0</v>
      </c>
      <c r="BL720">
        <v>0</v>
      </c>
      <c r="BM720">
        <v>0</v>
      </c>
      <c r="BN720">
        <v>5</v>
      </c>
      <c r="BO720">
        <v>2.4</v>
      </c>
      <c r="BP720">
        <v>36</v>
      </c>
      <c r="BQ720">
        <v>0</v>
      </c>
      <c r="BR720">
        <v>0</v>
      </c>
      <c r="BS720">
        <v>0</v>
      </c>
      <c r="BT720">
        <v>5</v>
      </c>
      <c r="BU720">
        <v>2.2000000000000002</v>
      </c>
    </row>
    <row r="721" spans="1:73" x14ac:dyDescent="0.15">
      <c r="A721" s="11">
        <v>10918</v>
      </c>
      <c r="B721">
        <v>7</v>
      </c>
      <c r="C721" s="1">
        <v>47</v>
      </c>
      <c r="D721">
        <v>0</v>
      </c>
      <c r="E721">
        <v>0</v>
      </c>
      <c r="F721">
        <v>1</v>
      </c>
      <c r="G721" s="7">
        <v>0.05</v>
      </c>
      <c r="H721">
        <v>12</v>
      </c>
      <c r="I721">
        <v>0</v>
      </c>
      <c r="J721">
        <v>0</v>
      </c>
      <c r="K721">
        <v>0</v>
      </c>
      <c r="L721">
        <v>1</v>
      </c>
      <c r="M721">
        <v>2</v>
      </c>
      <c r="N721" s="7">
        <v>9</v>
      </c>
      <c r="O721" s="7">
        <v>0</v>
      </c>
      <c r="P721" s="7">
        <v>0</v>
      </c>
      <c r="Q721" s="7">
        <v>0</v>
      </c>
      <c r="R721" s="7">
        <v>1</v>
      </c>
      <c r="S721" s="7">
        <v>4.5</v>
      </c>
      <c r="T721">
        <v>7</v>
      </c>
      <c r="U721" s="1">
        <v>35</v>
      </c>
      <c r="V721">
        <v>0</v>
      </c>
      <c r="W721">
        <v>0</v>
      </c>
      <c r="X721">
        <v>1</v>
      </c>
      <c r="Y721">
        <v>0.16</v>
      </c>
      <c r="Z721">
        <v>23</v>
      </c>
      <c r="AA721">
        <v>0</v>
      </c>
      <c r="AB721">
        <v>0</v>
      </c>
      <c r="AC721">
        <v>0</v>
      </c>
      <c r="AD721">
        <v>1</v>
      </c>
      <c r="AE721">
        <v>0.05</v>
      </c>
      <c r="AF721">
        <v>15</v>
      </c>
      <c r="AG721">
        <v>0</v>
      </c>
      <c r="AH721">
        <v>0</v>
      </c>
      <c r="AI721">
        <v>0</v>
      </c>
      <c r="AJ721">
        <v>1</v>
      </c>
      <c r="AK721">
        <v>0.02</v>
      </c>
      <c r="AL721">
        <v>16</v>
      </c>
      <c r="AM721">
        <v>0</v>
      </c>
      <c r="AN721">
        <v>0</v>
      </c>
      <c r="AO721">
        <v>0</v>
      </c>
      <c r="AP721">
        <v>1</v>
      </c>
      <c r="AQ721">
        <v>0.01</v>
      </c>
      <c r="AX721">
        <v>7</v>
      </c>
      <c r="AY721" s="1">
        <v>19</v>
      </c>
      <c r="AZ721">
        <v>0</v>
      </c>
      <c r="BA721">
        <v>0</v>
      </c>
      <c r="BB721">
        <v>1</v>
      </c>
      <c r="BC721" s="7">
        <v>0.32</v>
      </c>
      <c r="BD721">
        <v>30</v>
      </c>
      <c r="BE721">
        <v>0</v>
      </c>
      <c r="BF721">
        <v>0</v>
      </c>
      <c r="BG721">
        <v>0</v>
      </c>
      <c r="BH721">
        <v>5</v>
      </c>
      <c r="BI721">
        <v>2.4</v>
      </c>
      <c r="BJ721">
        <v>31</v>
      </c>
      <c r="BK721">
        <v>0</v>
      </c>
      <c r="BL721">
        <v>0</v>
      </c>
      <c r="BM721">
        <v>0</v>
      </c>
      <c r="BN721">
        <v>5</v>
      </c>
      <c r="BO721">
        <v>2.4</v>
      </c>
      <c r="BP721">
        <v>36</v>
      </c>
      <c r="BQ721">
        <v>0</v>
      </c>
      <c r="BR721">
        <v>0</v>
      </c>
      <c r="BS721">
        <v>0</v>
      </c>
      <c r="BT721">
        <v>5</v>
      </c>
      <c r="BU721">
        <v>2.2000000000000002</v>
      </c>
    </row>
    <row r="722" spans="1:73" x14ac:dyDescent="0.15">
      <c r="A722" s="11">
        <v>10919</v>
      </c>
      <c r="B722">
        <v>7</v>
      </c>
      <c r="C722" s="1">
        <v>48</v>
      </c>
      <c r="D722">
        <v>0</v>
      </c>
      <c r="E722">
        <v>0</v>
      </c>
      <c r="F722">
        <v>1</v>
      </c>
      <c r="G722" s="7">
        <v>0.05</v>
      </c>
      <c r="H722">
        <v>12</v>
      </c>
      <c r="I722">
        <v>0</v>
      </c>
      <c r="J722">
        <v>0</v>
      </c>
      <c r="K722">
        <v>0</v>
      </c>
      <c r="L722">
        <v>1</v>
      </c>
      <c r="M722">
        <v>2</v>
      </c>
      <c r="N722" s="7">
        <v>9</v>
      </c>
      <c r="O722" s="7">
        <v>0</v>
      </c>
      <c r="P722" s="7">
        <v>0</v>
      </c>
      <c r="Q722" s="7">
        <v>0</v>
      </c>
      <c r="R722" s="7">
        <v>1</v>
      </c>
      <c r="S722" s="7">
        <v>4.5</v>
      </c>
      <c r="T722">
        <v>7</v>
      </c>
      <c r="U722" s="1">
        <v>36</v>
      </c>
      <c r="V722">
        <v>0</v>
      </c>
      <c r="W722">
        <v>0</v>
      </c>
      <c r="X722">
        <v>1</v>
      </c>
      <c r="Y722">
        <v>0.16</v>
      </c>
      <c r="Z722">
        <v>23</v>
      </c>
      <c r="AA722">
        <v>0</v>
      </c>
      <c r="AB722">
        <v>0</v>
      </c>
      <c r="AC722">
        <v>0</v>
      </c>
      <c r="AD722">
        <v>1</v>
      </c>
      <c r="AE722">
        <v>0.05</v>
      </c>
      <c r="AF722">
        <v>15</v>
      </c>
      <c r="AG722">
        <v>0</v>
      </c>
      <c r="AH722">
        <v>0</v>
      </c>
      <c r="AI722">
        <v>0</v>
      </c>
      <c r="AJ722">
        <v>1</v>
      </c>
      <c r="AK722">
        <v>0.02</v>
      </c>
      <c r="AL722">
        <v>16</v>
      </c>
      <c r="AM722">
        <v>0</v>
      </c>
      <c r="AN722">
        <v>0</v>
      </c>
      <c r="AO722">
        <v>0</v>
      </c>
      <c r="AP722">
        <v>1</v>
      </c>
      <c r="AQ722">
        <v>0.01</v>
      </c>
      <c r="AX722">
        <v>7</v>
      </c>
      <c r="AY722" s="1">
        <v>20</v>
      </c>
      <c r="AZ722">
        <v>0</v>
      </c>
      <c r="BA722">
        <v>0</v>
      </c>
      <c r="BB722">
        <v>1</v>
      </c>
      <c r="BC722" s="7">
        <v>0.32</v>
      </c>
      <c r="BD722">
        <v>30</v>
      </c>
      <c r="BE722">
        <v>0</v>
      </c>
      <c r="BF722">
        <v>0</v>
      </c>
      <c r="BG722">
        <v>0</v>
      </c>
      <c r="BH722">
        <v>5</v>
      </c>
      <c r="BI722">
        <v>2.4</v>
      </c>
      <c r="BJ722">
        <v>31</v>
      </c>
      <c r="BK722">
        <v>0</v>
      </c>
      <c r="BL722">
        <v>0</v>
      </c>
      <c r="BM722">
        <v>0</v>
      </c>
      <c r="BN722">
        <v>5</v>
      </c>
      <c r="BO722">
        <v>2.4</v>
      </c>
      <c r="BP722">
        <v>36</v>
      </c>
      <c r="BQ722">
        <v>0</v>
      </c>
      <c r="BR722">
        <v>0</v>
      </c>
      <c r="BS722">
        <v>0</v>
      </c>
      <c r="BT722">
        <v>5</v>
      </c>
      <c r="BU722">
        <v>2.2000000000000002</v>
      </c>
    </row>
    <row r="723" spans="1:73" x14ac:dyDescent="0.15">
      <c r="A723" s="11">
        <v>10920</v>
      </c>
      <c r="B723">
        <v>7</v>
      </c>
      <c r="C723" s="1">
        <v>0</v>
      </c>
      <c r="D723">
        <v>5</v>
      </c>
      <c r="E723">
        <v>1</v>
      </c>
      <c r="F723">
        <v>1</v>
      </c>
      <c r="G723" s="7">
        <v>0.05</v>
      </c>
      <c r="H723">
        <v>12</v>
      </c>
      <c r="I723">
        <v>0</v>
      </c>
      <c r="J723">
        <v>0</v>
      </c>
      <c r="K723">
        <v>0</v>
      </c>
      <c r="L723">
        <v>1</v>
      </c>
      <c r="M723">
        <v>2</v>
      </c>
      <c r="N723" s="7">
        <v>9</v>
      </c>
      <c r="O723" s="7">
        <v>0</v>
      </c>
      <c r="P723" s="7">
        <v>0</v>
      </c>
      <c r="Q723" s="7">
        <v>0</v>
      </c>
      <c r="R723" s="7">
        <v>1</v>
      </c>
      <c r="S723" s="7">
        <v>4.5</v>
      </c>
      <c r="T723">
        <v>7</v>
      </c>
      <c r="U723" s="1">
        <v>0</v>
      </c>
      <c r="V723">
        <v>4</v>
      </c>
      <c r="W723">
        <v>2</v>
      </c>
      <c r="X723">
        <v>1</v>
      </c>
      <c r="Y723">
        <v>0.16</v>
      </c>
      <c r="Z723">
        <v>23</v>
      </c>
      <c r="AA723">
        <v>0</v>
      </c>
      <c r="AB723">
        <v>0</v>
      </c>
      <c r="AC723">
        <v>0</v>
      </c>
      <c r="AD723">
        <v>1</v>
      </c>
      <c r="AE723">
        <v>0.05</v>
      </c>
      <c r="AF723">
        <v>15</v>
      </c>
      <c r="AG723">
        <v>0</v>
      </c>
      <c r="AH723">
        <v>0</v>
      </c>
      <c r="AI723">
        <v>0</v>
      </c>
      <c r="AJ723">
        <v>1</v>
      </c>
      <c r="AK723">
        <v>0.02</v>
      </c>
      <c r="AL723">
        <v>16</v>
      </c>
      <c r="AM723">
        <v>0</v>
      </c>
      <c r="AN723">
        <v>0</v>
      </c>
      <c r="AO723">
        <v>0</v>
      </c>
      <c r="AP723">
        <v>1</v>
      </c>
      <c r="AQ723">
        <v>0.01</v>
      </c>
      <c r="AR723">
        <v>6</v>
      </c>
      <c r="AS723">
        <v>2</v>
      </c>
      <c r="AT723">
        <v>4</v>
      </c>
      <c r="AU723">
        <v>5</v>
      </c>
      <c r="AV723">
        <v>1</v>
      </c>
      <c r="AW723">
        <v>0.01</v>
      </c>
      <c r="AX723">
        <v>7</v>
      </c>
      <c r="AY723" s="1">
        <v>0</v>
      </c>
      <c r="AZ723">
        <v>3</v>
      </c>
      <c r="BA723">
        <v>1</v>
      </c>
      <c r="BB723">
        <v>1</v>
      </c>
      <c r="BC723" s="7">
        <v>0.32</v>
      </c>
      <c r="BD723">
        <v>30</v>
      </c>
      <c r="BE723">
        <v>0</v>
      </c>
      <c r="BF723">
        <v>0</v>
      </c>
      <c r="BG723">
        <v>0</v>
      </c>
      <c r="BH723">
        <v>5</v>
      </c>
      <c r="BI723">
        <v>2.4</v>
      </c>
      <c r="BJ723">
        <v>31</v>
      </c>
      <c r="BK723">
        <v>0</v>
      </c>
      <c r="BL723">
        <v>0</v>
      </c>
      <c r="BM723">
        <v>0</v>
      </c>
      <c r="BN723">
        <v>5</v>
      </c>
      <c r="BO723">
        <v>2.4</v>
      </c>
      <c r="BP723">
        <v>36</v>
      </c>
      <c r="BQ723">
        <v>0</v>
      </c>
      <c r="BR723">
        <v>0</v>
      </c>
      <c r="BS723">
        <v>0</v>
      </c>
      <c r="BT723">
        <v>5</v>
      </c>
      <c r="BU723">
        <v>2.2000000000000002</v>
      </c>
    </row>
    <row r="724" spans="1:73" x14ac:dyDescent="0.15">
      <c r="A724" s="11">
        <v>10921</v>
      </c>
      <c r="B724">
        <v>7</v>
      </c>
      <c r="C724" s="1">
        <v>45</v>
      </c>
      <c r="D724">
        <v>0</v>
      </c>
      <c r="E724">
        <v>0</v>
      </c>
      <c r="F724">
        <v>1</v>
      </c>
      <c r="G724" s="7">
        <v>0.05</v>
      </c>
      <c r="H724">
        <v>12</v>
      </c>
      <c r="I724">
        <v>0</v>
      </c>
      <c r="J724">
        <v>0</v>
      </c>
      <c r="K724">
        <v>0</v>
      </c>
      <c r="L724">
        <v>1</v>
      </c>
      <c r="M724">
        <v>2</v>
      </c>
      <c r="N724" s="7">
        <v>9</v>
      </c>
      <c r="O724" s="7">
        <v>0</v>
      </c>
      <c r="P724" s="7">
        <v>0</v>
      </c>
      <c r="Q724" s="7">
        <v>0</v>
      </c>
      <c r="R724" s="7">
        <v>1</v>
      </c>
      <c r="S724" s="7">
        <v>4.5</v>
      </c>
      <c r="T724">
        <v>7</v>
      </c>
      <c r="U724" s="1">
        <v>33</v>
      </c>
      <c r="V724">
        <v>0</v>
      </c>
      <c r="W724">
        <v>0</v>
      </c>
      <c r="X724">
        <v>1</v>
      </c>
      <c r="Y724">
        <v>0.16</v>
      </c>
      <c r="Z724">
        <v>23</v>
      </c>
      <c r="AA724">
        <v>0</v>
      </c>
      <c r="AB724">
        <v>0</v>
      </c>
      <c r="AC724">
        <v>0</v>
      </c>
      <c r="AD724">
        <v>1</v>
      </c>
      <c r="AE724">
        <v>0.05</v>
      </c>
      <c r="AF724">
        <v>15</v>
      </c>
      <c r="AG724">
        <v>0</v>
      </c>
      <c r="AH724">
        <v>0</v>
      </c>
      <c r="AI724">
        <v>0</v>
      </c>
      <c r="AJ724">
        <v>1</v>
      </c>
      <c r="AK724">
        <v>0.02</v>
      </c>
      <c r="AL724">
        <v>16</v>
      </c>
      <c r="AM724">
        <v>0</v>
      </c>
      <c r="AN724">
        <v>0</v>
      </c>
      <c r="AO724">
        <v>0</v>
      </c>
      <c r="AP724">
        <v>1</v>
      </c>
      <c r="AQ724">
        <v>0.01</v>
      </c>
      <c r="AX724">
        <v>7</v>
      </c>
      <c r="AY724" s="1">
        <v>17</v>
      </c>
      <c r="AZ724">
        <v>0</v>
      </c>
      <c r="BA724">
        <v>0</v>
      </c>
      <c r="BB724">
        <v>1</v>
      </c>
      <c r="BC724" s="7">
        <v>0.32</v>
      </c>
      <c r="BD724">
        <v>30</v>
      </c>
      <c r="BE724">
        <v>0</v>
      </c>
      <c r="BF724">
        <v>0</v>
      </c>
      <c r="BG724">
        <v>0</v>
      </c>
      <c r="BH724">
        <v>5</v>
      </c>
      <c r="BI724">
        <v>2.4</v>
      </c>
      <c r="BJ724">
        <v>31</v>
      </c>
      <c r="BK724">
        <v>0</v>
      </c>
      <c r="BL724">
        <v>0</v>
      </c>
      <c r="BM724">
        <v>0</v>
      </c>
      <c r="BN724">
        <v>5</v>
      </c>
      <c r="BO724">
        <v>2.4</v>
      </c>
      <c r="BP724">
        <v>36</v>
      </c>
      <c r="BQ724">
        <v>0</v>
      </c>
      <c r="BR724">
        <v>0</v>
      </c>
      <c r="BS724">
        <v>0</v>
      </c>
      <c r="BT724">
        <v>5</v>
      </c>
      <c r="BU724">
        <v>2.2000000000000002</v>
      </c>
    </row>
    <row r="725" spans="1:73" x14ac:dyDescent="0.15">
      <c r="A725" s="11">
        <v>10922</v>
      </c>
      <c r="B725">
        <v>7</v>
      </c>
      <c r="C725" s="1">
        <v>46</v>
      </c>
      <c r="D725">
        <v>0</v>
      </c>
      <c r="E725">
        <v>0</v>
      </c>
      <c r="F725">
        <v>1</v>
      </c>
      <c r="G725" s="7">
        <v>0.05</v>
      </c>
      <c r="H725">
        <v>12</v>
      </c>
      <c r="I725">
        <v>0</v>
      </c>
      <c r="J725">
        <v>0</v>
      </c>
      <c r="K725">
        <v>0</v>
      </c>
      <c r="L725">
        <v>1</v>
      </c>
      <c r="M725">
        <v>2</v>
      </c>
      <c r="N725" s="7">
        <v>9</v>
      </c>
      <c r="O725" s="7">
        <v>0</v>
      </c>
      <c r="P725" s="7">
        <v>0</v>
      </c>
      <c r="Q725" s="7">
        <v>0</v>
      </c>
      <c r="R725" s="7">
        <v>1</v>
      </c>
      <c r="S725" s="7">
        <v>4.5</v>
      </c>
      <c r="T725">
        <v>7</v>
      </c>
      <c r="U725" s="1">
        <v>34</v>
      </c>
      <c r="V725">
        <v>0</v>
      </c>
      <c r="W725">
        <v>0</v>
      </c>
      <c r="X725">
        <v>1</v>
      </c>
      <c r="Y725">
        <v>0.16</v>
      </c>
      <c r="Z725">
        <v>23</v>
      </c>
      <c r="AA725">
        <v>0</v>
      </c>
      <c r="AB725">
        <v>0</v>
      </c>
      <c r="AC725">
        <v>0</v>
      </c>
      <c r="AD725">
        <v>1</v>
      </c>
      <c r="AE725">
        <v>0.05</v>
      </c>
      <c r="AF725">
        <v>15</v>
      </c>
      <c r="AG725">
        <v>0</v>
      </c>
      <c r="AH725">
        <v>0</v>
      </c>
      <c r="AI725">
        <v>0</v>
      </c>
      <c r="AJ725">
        <v>1</v>
      </c>
      <c r="AK725">
        <v>0.02</v>
      </c>
      <c r="AL725">
        <v>16</v>
      </c>
      <c r="AM725">
        <v>0</v>
      </c>
      <c r="AN725">
        <v>0</v>
      </c>
      <c r="AO725">
        <v>0</v>
      </c>
      <c r="AP725">
        <v>1</v>
      </c>
      <c r="AQ725">
        <v>0.01</v>
      </c>
      <c r="AX725">
        <v>7</v>
      </c>
      <c r="AY725" s="1">
        <v>18</v>
      </c>
      <c r="AZ725">
        <v>0</v>
      </c>
      <c r="BA725">
        <v>0</v>
      </c>
      <c r="BB725">
        <v>1</v>
      </c>
      <c r="BC725" s="7">
        <v>0.32</v>
      </c>
      <c r="BD725">
        <v>30</v>
      </c>
      <c r="BE725">
        <v>0</v>
      </c>
      <c r="BF725">
        <v>0</v>
      </c>
      <c r="BG725">
        <v>0</v>
      </c>
      <c r="BH725">
        <v>5</v>
      </c>
      <c r="BI725">
        <v>2.4</v>
      </c>
      <c r="BJ725">
        <v>31</v>
      </c>
      <c r="BK725">
        <v>0</v>
      </c>
      <c r="BL725">
        <v>0</v>
      </c>
      <c r="BM725">
        <v>0</v>
      </c>
      <c r="BN725">
        <v>5</v>
      </c>
      <c r="BO725">
        <v>2.4</v>
      </c>
      <c r="BP725">
        <v>36</v>
      </c>
      <c r="BQ725">
        <v>0</v>
      </c>
      <c r="BR725">
        <v>0</v>
      </c>
      <c r="BS725">
        <v>0</v>
      </c>
      <c r="BT725">
        <v>5</v>
      </c>
      <c r="BU725">
        <v>2.2000000000000002</v>
      </c>
    </row>
    <row r="726" spans="1:73" x14ac:dyDescent="0.15">
      <c r="A726" s="11">
        <v>10923</v>
      </c>
      <c r="B726">
        <v>7</v>
      </c>
      <c r="C726" s="1">
        <v>47</v>
      </c>
      <c r="D726">
        <v>0</v>
      </c>
      <c r="E726">
        <v>0</v>
      </c>
      <c r="F726">
        <v>1</v>
      </c>
      <c r="G726" s="7">
        <v>0.05</v>
      </c>
      <c r="H726">
        <v>12</v>
      </c>
      <c r="I726">
        <v>0</v>
      </c>
      <c r="J726">
        <v>0</v>
      </c>
      <c r="K726">
        <v>0</v>
      </c>
      <c r="L726">
        <v>1</v>
      </c>
      <c r="M726">
        <v>2</v>
      </c>
      <c r="N726" s="7">
        <v>9</v>
      </c>
      <c r="O726" s="7">
        <v>0</v>
      </c>
      <c r="P726" s="7">
        <v>0</v>
      </c>
      <c r="Q726" s="7">
        <v>0</v>
      </c>
      <c r="R726" s="7">
        <v>1</v>
      </c>
      <c r="S726" s="7">
        <v>4.5</v>
      </c>
      <c r="T726">
        <v>7</v>
      </c>
      <c r="U726" s="1">
        <v>35</v>
      </c>
      <c r="V726">
        <v>0</v>
      </c>
      <c r="W726">
        <v>0</v>
      </c>
      <c r="X726">
        <v>1</v>
      </c>
      <c r="Y726">
        <v>0.16</v>
      </c>
      <c r="Z726">
        <v>23</v>
      </c>
      <c r="AA726">
        <v>0</v>
      </c>
      <c r="AB726">
        <v>0</v>
      </c>
      <c r="AC726">
        <v>0</v>
      </c>
      <c r="AD726">
        <v>1</v>
      </c>
      <c r="AE726">
        <v>0.05</v>
      </c>
      <c r="AF726">
        <v>15</v>
      </c>
      <c r="AG726">
        <v>0</v>
      </c>
      <c r="AH726">
        <v>0</v>
      </c>
      <c r="AI726">
        <v>0</v>
      </c>
      <c r="AJ726">
        <v>1</v>
      </c>
      <c r="AK726">
        <v>0.02</v>
      </c>
      <c r="AL726">
        <v>16</v>
      </c>
      <c r="AM726">
        <v>0</v>
      </c>
      <c r="AN726">
        <v>0</v>
      </c>
      <c r="AO726">
        <v>0</v>
      </c>
      <c r="AP726">
        <v>1</v>
      </c>
      <c r="AQ726">
        <v>0.01</v>
      </c>
      <c r="AX726">
        <v>7</v>
      </c>
      <c r="AY726" s="1">
        <v>19</v>
      </c>
      <c r="AZ726">
        <v>0</v>
      </c>
      <c r="BA726">
        <v>0</v>
      </c>
      <c r="BB726">
        <v>1</v>
      </c>
      <c r="BC726" s="7">
        <v>0.32</v>
      </c>
      <c r="BD726">
        <v>30</v>
      </c>
      <c r="BE726">
        <v>0</v>
      </c>
      <c r="BF726">
        <v>0</v>
      </c>
      <c r="BG726">
        <v>0</v>
      </c>
      <c r="BH726">
        <v>5</v>
      </c>
      <c r="BI726">
        <v>2.4</v>
      </c>
      <c r="BJ726">
        <v>31</v>
      </c>
      <c r="BK726">
        <v>0</v>
      </c>
      <c r="BL726">
        <v>0</v>
      </c>
      <c r="BM726">
        <v>0</v>
      </c>
      <c r="BN726">
        <v>5</v>
      </c>
      <c r="BO726">
        <v>2.4</v>
      </c>
      <c r="BP726">
        <v>36</v>
      </c>
      <c r="BQ726">
        <v>0</v>
      </c>
      <c r="BR726">
        <v>0</v>
      </c>
      <c r="BS726">
        <v>0</v>
      </c>
      <c r="BT726">
        <v>5</v>
      </c>
      <c r="BU726">
        <v>2.2000000000000002</v>
      </c>
    </row>
    <row r="727" spans="1:73" x14ac:dyDescent="0.15">
      <c r="A727" s="11">
        <v>10924</v>
      </c>
      <c r="B727">
        <v>7</v>
      </c>
      <c r="C727" s="1">
        <v>48</v>
      </c>
      <c r="D727">
        <v>0</v>
      </c>
      <c r="E727">
        <v>0</v>
      </c>
      <c r="F727">
        <v>1</v>
      </c>
      <c r="G727" s="7">
        <v>0.05</v>
      </c>
      <c r="H727">
        <v>12</v>
      </c>
      <c r="I727">
        <v>0</v>
      </c>
      <c r="J727">
        <v>0</v>
      </c>
      <c r="K727">
        <v>0</v>
      </c>
      <c r="L727">
        <v>1</v>
      </c>
      <c r="M727">
        <v>2</v>
      </c>
      <c r="N727" s="7">
        <v>9</v>
      </c>
      <c r="O727" s="7">
        <v>0</v>
      </c>
      <c r="P727" s="7">
        <v>0</v>
      </c>
      <c r="Q727" s="7">
        <v>0</v>
      </c>
      <c r="R727" s="7">
        <v>1</v>
      </c>
      <c r="S727" s="7">
        <v>4.5</v>
      </c>
      <c r="T727">
        <v>7</v>
      </c>
      <c r="U727" s="1">
        <v>36</v>
      </c>
      <c r="V727">
        <v>0</v>
      </c>
      <c r="W727">
        <v>0</v>
      </c>
      <c r="X727">
        <v>1</v>
      </c>
      <c r="Y727">
        <v>0.16</v>
      </c>
      <c r="Z727">
        <v>23</v>
      </c>
      <c r="AA727">
        <v>0</v>
      </c>
      <c r="AB727">
        <v>0</v>
      </c>
      <c r="AC727">
        <v>0</v>
      </c>
      <c r="AD727">
        <v>1</v>
      </c>
      <c r="AE727">
        <v>0.05</v>
      </c>
      <c r="AF727">
        <v>15</v>
      </c>
      <c r="AG727">
        <v>0</v>
      </c>
      <c r="AH727">
        <v>0</v>
      </c>
      <c r="AI727">
        <v>0</v>
      </c>
      <c r="AJ727">
        <v>1</v>
      </c>
      <c r="AK727">
        <v>0.02</v>
      </c>
      <c r="AL727">
        <v>16</v>
      </c>
      <c r="AM727">
        <v>0</v>
      </c>
      <c r="AN727">
        <v>0</v>
      </c>
      <c r="AO727">
        <v>0</v>
      </c>
      <c r="AP727">
        <v>1</v>
      </c>
      <c r="AQ727">
        <v>0.01</v>
      </c>
      <c r="AX727">
        <v>7</v>
      </c>
      <c r="AY727" s="1">
        <v>20</v>
      </c>
      <c r="AZ727">
        <v>0</v>
      </c>
      <c r="BA727">
        <v>0</v>
      </c>
      <c r="BB727">
        <v>1</v>
      </c>
      <c r="BC727" s="7">
        <v>0.32</v>
      </c>
      <c r="BD727">
        <v>30</v>
      </c>
      <c r="BE727">
        <v>0</v>
      </c>
      <c r="BF727">
        <v>0</v>
      </c>
      <c r="BG727">
        <v>0</v>
      </c>
      <c r="BH727">
        <v>5</v>
      </c>
      <c r="BI727">
        <v>2.4</v>
      </c>
      <c r="BJ727">
        <v>31</v>
      </c>
      <c r="BK727">
        <v>0</v>
      </c>
      <c r="BL727">
        <v>0</v>
      </c>
      <c r="BM727">
        <v>0</v>
      </c>
      <c r="BN727">
        <v>5</v>
      </c>
      <c r="BO727">
        <v>2.4</v>
      </c>
      <c r="BP727">
        <v>36</v>
      </c>
      <c r="BQ727">
        <v>0</v>
      </c>
      <c r="BR727">
        <v>0</v>
      </c>
      <c r="BS727">
        <v>0</v>
      </c>
      <c r="BT727">
        <v>5</v>
      </c>
      <c r="BU727">
        <v>2.2000000000000002</v>
      </c>
    </row>
    <row r="728" spans="1:73" x14ac:dyDescent="0.15">
      <c r="A728" s="11">
        <v>10925</v>
      </c>
      <c r="B728">
        <v>7</v>
      </c>
      <c r="C728" s="1">
        <v>0</v>
      </c>
      <c r="D728">
        <v>5</v>
      </c>
      <c r="E728">
        <v>1</v>
      </c>
      <c r="F728">
        <v>1</v>
      </c>
      <c r="G728" s="7">
        <v>0.05</v>
      </c>
      <c r="H728">
        <v>12</v>
      </c>
      <c r="I728">
        <v>0</v>
      </c>
      <c r="J728">
        <v>0</v>
      </c>
      <c r="K728">
        <v>0</v>
      </c>
      <c r="L728">
        <v>1</v>
      </c>
      <c r="M728">
        <v>2</v>
      </c>
      <c r="N728" s="7">
        <v>9</v>
      </c>
      <c r="O728" s="7">
        <v>0</v>
      </c>
      <c r="P728" s="7">
        <v>0</v>
      </c>
      <c r="Q728" s="7">
        <v>0</v>
      </c>
      <c r="R728" s="7">
        <v>1</v>
      </c>
      <c r="S728" s="7">
        <v>4.5</v>
      </c>
      <c r="T728">
        <v>7</v>
      </c>
      <c r="U728" s="1">
        <v>0</v>
      </c>
      <c r="V728">
        <v>4</v>
      </c>
      <c r="W728">
        <v>2</v>
      </c>
      <c r="X728">
        <v>1</v>
      </c>
      <c r="Y728">
        <v>0.16</v>
      </c>
      <c r="Z728">
        <v>23</v>
      </c>
      <c r="AA728">
        <v>0</v>
      </c>
      <c r="AB728">
        <v>0</v>
      </c>
      <c r="AC728">
        <v>0</v>
      </c>
      <c r="AD728">
        <v>1</v>
      </c>
      <c r="AE728">
        <v>0.05</v>
      </c>
      <c r="AF728">
        <v>15</v>
      </c>
      <c r="AG728">
        <v>0</v>
      </c>
      <c r="AH728">
        <v>0</v>
      </c>
      <c r="AI728">
        <v>0</v>
      </c>
      <c r="AJ728">
        <v>1</v>
      </c>
      <c r="AK728">
        <v>0.02</v>
      </c>
      <c r="AL728">
        <v>16</v>
      </c>
      <c r="AM728">
        <v>0</v>
      </c>
      <c r="AN728">
        <v>0</v>
      </c>
      <c r="AO728">
        <v>0</v>
      </c>
      <c r="AP728">
        <v>1</v>
      </c>
      <c r="AQ728">
        <v>0.01</v>
      </c>
      <c r="AR728">
        <v>6</v>
      </c>
      <c r="AS728">
        <v>2</v>
      </c>
      <c r="AT728">
        <v>5</v>
      </c>
      <c r="AU728">
        <v>5</v>
      </c>
      <c r="AV728">
        <v>1</v>
      </c>
      <c r="AW728">
        <v>0.01</v>
      </c>
      <c r="AX728">
        <v>7</v>
      </c>
      <c r="AY728" s="1">
        <v>0</v>
      </c>
      <c r="AZ728">
        <v>3</v>
      </c>
      <c r="BA728">
        <v>1</v>
      </c>
      <c r="BB728">
        <v>1</v>
      </c>
      <c r="BC728" s="7">
        <v>0.32</v>
      </c>
      <c r="BD728">
        <v>30</v>
      </c>
      <c r="BE728">
        <v>0</v>
      </c>
      <c r="BF728">
        <v>0</v>
      </c>
      <c r="BG728">
        <v>0</v>
      </c>
      <c r="BH728">
        <v>5</v>
      </c>
      <c r="BI728">
        <v>2.4</v>
      </c>
      <c r="BJ728">
        <v>31</v>
      </c>
      <c r="BK728">
        <v>0</v>
      </c>
      <c r="BL728">
        <v>0</v>
      </c>
      <c r="BM728">
        <v>0</v>
      </c>
      <c r="BN728">
        <v>5</v>
      </c>
      <c r="BO728">
        <v>2.4</v>
      </c>
      <c r="BP728">
        <v>36</v>
      </c>
      <c r="BQ728">
        <v>0</v>
      </c>
      <c r="BR728">
        <v>0</v>
      </c>
      <c r="BS728">
        <v>0</v>
      </c>
      <c r="BT728">
        <v>5</v>
      </c>
      <c r="BU728">
        <v>2.2000000000000002</v>
      </c>
    </row>
    <row r="729" spans="1:73" x14ac:dyDescent="0.15">
      <c r="A729" s="11">
        <v>10926</v>
      </c>
      <c r="B729">
        <v>7</v>
      </c>
      <c r="C729" s="1">
        <v>45</v>
      </c>
      <c r="D729">
        <v>0</v>
      </c>
      <c r="E729">
        <v>0</v>
      </c>
      <c r="F729">
        <v>1</v>
      </c>
      <c r="G729" s="7">
        <v>0.05</v>
      </c>
      <c r="H729">
        <v>12</v>
      </c>
      <c r="I729">
        <v>0</v>
      </c>
      <c r="J729">
        <v>0</v>
      </c>
      <c r="K729">
        <v>0</v>
      </c>
      <c r="L729">
        <v>1</v>
      </c>
      <c r="M729">
        <v>2</v>
      </c>
      <c r="N729" s="7">
        <v>9</v>
      </c>
      <c r="O729" s="7">
        <v>0</v>
      </c>
      <c r="P729" s="7">
        <v>0</v>
      </c>
      <c r="Q729" s="7">
        <v>0</v>
      </c>
      <c r="R729" s="7">
        <v>1</v>
      </c>
      <c r="S729" s="7">
        <v>4.5</v>
      </c>
      <c r="T729">
        <v>7</v>
      </c>
      <c r="U729" s="1">
        <v>33</v>
      </c>
      <c r="V729">
        <v>0</v>
      </c>
      <c r="W729">
        <v>0</v>
      </c>
      <c r="X729">
        <v>1</v>
      </c>
      <c r="Y729">
        <v>0.16</v>
      </c>
      <c r="Z729">
        <v>23</v>
      </c>
      <c r="AA729">
        <v>0</v>
      </c>
      <c r="AB729">
        <v>0</v>
      </c>
      <c r="AC729">
        <v>0</v>
      </c>
      <c r="AD729">
        <v>1</v>
      </c>
      <c r="AE729">
        <v>0.05</v>
      </c>
      <c r="AF729">
        <v>15</v>
      </c>
      <c r="AG729">
        <v>0</v>
      </c>
      <c r="AH729">
        <v>0</v>
      </c>
      <c r="AI729">
        <v>0</v>
      </c>
      <c r="AJ729">
        <v>1</v>
      </c>
      <c r="AK729">
        <v>0.02</v>
      </c>
      <c r="AL729">
        <v>16</v>
      </c>
      <c r="AM729">
        <v>0</v>
      </c>
      <c r="AN729">
        <v>0</v>
      </c>
      <c r="AO729">
        <v>0</v>
      </c>
      <c r="AP729">
        <v>1</v>
      </c>
      <c r="AQ729">
        <v>0.01</v>
      </c>
      <c r="AX729">
        <v>7</v>
      </c>
      <c r="AY729" s="1">
        <v>17</v>
      </c>
      <c r="AZ729">
        <v>0</v>
      </c>
      <c r="BA729">
        <v>0</v>
      </c>
      <c r="BB729">
        <v>1</v>
      </c>
      <c r="BC729" s="7">
        <v>0.32</v>
      </c>
      <c r="BD729">
        <v>30</v>
      </c>
      <c r="BE729">
        <v>0</v>
      </c>
      <c r="BF729">
        <v>0</v>
      </c>
      <c r="BG729">
        <v>0</v>
      </c>
      <c r="BH729">
        <v>5</v>
      </c>
      <c r="BI729">
        <v>2.4</v>
      </c>
      <c r="BJ729">
        <v>31</v>
      </c>
      <c r="BK729">
        <v>0</v>
      </c>
      <c r="BL729">
        <v>0</v>
      </c>
      <c r="BM729">
        <v>0</v>
      </c>
      <c r="BN729">
        <v>5</v>
      </c>
      <c r="BO729">
        <v>2.4</v>
      </c>
      <c r="BP729">
        <v>36</v>
      </c>
      <c r="BQ729">
        <v>0</v>
      </c>
      <c r="BR729">
        <v>0</v>
      </c>
      <c r="BS729">
        <v>0</v>
      </c>
      <c r="BT729">
        <v>5</v>
      </c>
      <c r="BU729">
        <v>2.2000000000000002</v>
      </c>
    </row>
    <row r="730" spans="1:73" x14ac:dyDescent="0.15">
      <c r="A730" s="11">
        <v>10927</v>
      </c>
      <c r="B730">
        <v>7</v>
      </c>
      <c r="C730" s="1">
        <v>46</v>
      </c>
      <c r="D730">
        <v>0</v>
      </c>
      <c r="E730">
        <v>0</v>
      </c>
      <c r="F730">
        <v>1</v>
      </c>
      <c r="G730" s="7">
        <v>0.05</v>
      </c>
      <c r="H730">
        <v>12</v>
      </c>
      <c r="I730">
        <v>0</v>
      </c>
      <c r="J730">
        <v>0</v>
      </c>
      <c r="K730">
        <v>0</v>
      </c>
      <c r="L730">
        <v>1</v>
      </c>
      <c r="M730">
        <v>2</v>
      </c>
      <c r="N730" s="7">
        <v>9</v>
      </c>
      <c r="O730" s="7">
        <v>0</v>
      </c>
      <c r="P730" s="7">
        <v>0</v>
      </c>
      <c r="Q730" s="7">
        <v>0</v>
      </c>
      <c r="R730" s="7">
        <v>1</v>
      </c>
      <c r="S730" s="7">
        <v>4.5</v>
      </c>
      <c r="T730">
        <v>7</v>
      </c>
      <c r="U730" s="1">
        <v>34</v>
      </c>
      <c r="V730">
        <v>0</v>
      </c>
      <c r="W730">
        <v>0</v>
      </c>
      <c r="X730">
        <v>1</v>
      </c>
      <c r="Y730">
        <v>0.16</v>
      </c>
      <c r="Z730">
        <v>23</v>
      </c>
      <c r="AA730">
        <v>0</v>
      </c>
      <c r="AB730">
        <v>0</v>
      </c>
      <c r="AC730">
        <v>0</v>
      </c>
      <c r="AD730">
        <v>1</v>
      </c>
      <c r="AE730">
        <v>0.05</v>
      </c>
      <c r="AF730">
        <v>15</v>
      </c>
      <c r="AG730">
        <v>0</v>
      </c>
      <c r="AH730">
        <v>0</v>
      </c>
      <c r="AI730">
        <v>0</v>
      </c>
      <c r="AJ730">
        <v>1</v>
      </c>
      <c r="AK730">
        <v>0.02</v>
      </c>
      <c r="AL730">
        <v>16</v>
      </c>
      <c r="AM730">
        <v>0</v>
      </c>
      <c r="AN730">
        <v>0</v>
      </c>
      <c r="AO730">
        <v>0</v>
      </c>
      <c r="AP730">
        <v>1</v>
      </c>
      <c r="AQ730">
        <v>0.01</v>
      </c>
      <c r="AX730">
        <v>7</v>
      </c>
      <c r="AY730" s="1">
        <v>18</v>
      </c>
      <c r="AZ730">
        <v>0</v>
      </c>
      <c r="BA730">
        <v>0</v>
      </c>
      <c r="BB730">
        <v>1</v>
      </c>
      <c r="BC730" s="7">
        <v>0.32</v>
      </c>
      <c r="BD730">
        <v>30</v>
      </c>
      <c r="BE730">
        <v>0</v>
      </c>
      <c r="BF730">
        <v>0</v>
      </c>
      <c r="BG730">
        <v>0</v>
      </c>
      <c r="BH730">
        <v>5</v>
      </c>
      <c r="BI730">
        <v>2.4</v>
      </c>
      <c r="BJ730">
        <v>31</v>
      </c>
      <c r="BK730">
        <v>0</v>
      </c>
      <c r="BL730">
        <v>0</v>
      </c>
      <c r="BM730">
        <v>0</v>
      </c>
      <c r="BN730">
        <v>5</v>
      </c>
      <c r="BO730">
        <v>2.4</v>
      </c>
      <c r="BP730">
        <v>36</v>
      </c>
      <c r="BQ730">
        <v>0</v>
      </c>
      <c r="BR730">
        <v>0</v>
      </c>
      <c r="BS730">
        <v>0</v>
      </c>
      <c r="BT730">
        <v>5</v>
      </c>
      <c r="BU730">
        <v>2.2000000000000002</v>
      </c>
    </row>
    <row r="731" spans="1:73" x14ac:dyDescent="0.15">
      <c r="A731" s="11">
        <v>10928</v>
      </c>
      <c r="B731">
        <v>7</v>
      </c>
      <c r="C731" s="1">
        <v>47</v>
      </c>
      <c r="D731">
        <v>0</v>
      </c>
      <c r="E731">
        <v>0</v>
      </c>
      <c r="F731">
        <v>1</v>
      </c>
      <c r="G731" s="7">
        <v>0.05</v>
      </c>
      <c r="H731">
        <v>12</v>
      </c>
      <c r="I731">
        <v>0</v>
      </c>
      <c r="J731">
        <v>0</v>
      </c>
      <c r="K731">
        <v>0</v>
      </c>
      <c r="L731">
        <v>1</v>
      </c>
      <c r="M731">
        <v>2</v>
      </c>
      <c r="N731" s="7">
        <v>9</v>
      </c>
      <c r="O731" s="7">
        <v>0</v>
      </c>
      <c r="P731" s="7">
        <v>0</v>
      </c>
      <c r="Q731" s="7">
        <v>0</v>
      </c>
      <c r="R731" s="7">
        <v>1</v>
      </c>
      <c r="S731" s="7">
        <v>4.5</v>
      </c>
      <c r="T731">
        <v>7</v>
      </c>
      <c r="U731" s="1">
        <v>35</v>
      </c>
      <c r="V731">
        <v>0</v>
      </c>
      <c r="W731">
        <v>0</v>
      </c>
      <c r="X731">
        <v>1</v>
      </c>
      <c r="Y731">
        <v>0.16</v>
      </c>
      <c r="Z731">
        <v>23</v>
      </c>
      <c r="AA731">
        <v>0</v>
      </c>
      <c r="AB731">
        <v>0</v>
      </c>
      <c r="AC731">
        <v>0</v>
      </c>
      <c r="AD731">
        <v>1</v>
      </c>
      <c r="AE731">
        <v>0.05</v>
      </c>
      <c r="AF731">
        <v>15</v>
      </c>
      <c r="AG731">
        <v>0</v>
      </c>
      <c r="AH731">
        <v>0</v>
      </c>
      <c r="AI731">
        <v>0</v>
      </c>
      <c r="AJ731">
        <v>1</v>
      </c>
      <c r="AK731">
        <v>0.02</v>
      </c>
      <c r="AL731">
        <v>16</v>
      </c>
      <c r="AM731">
        <v>0</v>
      </c>
      <c r="AN731">
        <v>0</v>
      </c>
      <c r="AO731">
        <v>0</v>
      </c>
      <c r="AP731">
        <v>1</v>
      </c>
      <c r="AQ731">
        <v>0.01</v>
      </c>
      <c r="AX731">
        <v>7</v>
      </c>
      <c r="AY731" s="1">
        <v>19</v>
      </c>
      <c r="AZ731">
        <v>0</v>
      </c>
      <c r="BA731">
        <v>0</v>
      </c>
      <c r="BB731">
        <v>1</v>
      </c>
      <c r="BC731" s="7">
        <v>0.32</v>
      </c>
      <c r="BD731">
        <v>30</v>
      </c>
      <c r="BE731">
        <v>0</v>
      </c>
      <c r="BF731">
        <v>0</v>
      </c>
      <c r="BG731">
        <v>0</v>
      </c>
      <c r="BH731">
        <v>5</v>
      </c>
      <c r="BI731">
        <v>2.4</v>
      </c>
      <c r="BJ731">
        <v>31</v>
      </c>
      <c r="BK731">
        <v>0</v>
      </c>
      <c r="BL731">
        <v>0</v>
      </c>
      <c r="BM731">
        <v>0</v>
      </c>
      <c r="BN731">
        <v>5</v>
      </c>
      <c r="BO731">
        <v>2.4</v>
      </c>
      <c r="BP731">
        <v>36</v>
      </c>
      <c r="BQ731">
        <v>0</v>
      </c>
      <c r="BR731">
        <v>0</v>
      </c>
      <c r="BS731">
        <v>0</v>
      </c>
      <c r="BT731">
        <v>5</v>
      </c>
      <c r="BU731">
        <v>2.2000000000000002</v>
      </c>
    </row>
    <row r="732" spans="1:73" x14ac:dyDescent="0.15">
      <c r="A732" s="11">
        <v>10929</v>
      </c>
      <c r="B732">
        <v>7</v>
      </c>
      <c r="C732" s="1">
        <v>48</v>
      </c>
      <c r="D732">
        <v>0</v>
      </c>
      <c r="E732">
        <v>0</v>
      </c>
      <c r="F732">
        <v>1</v>
      </c>
      <c r="G732" s="7">
        <v>0.05</v>
      </c>
      <c r="H732">
        <v>12</v>
      </c>
      <c r="I732">
        <v>0</v>
      </c>
      <c r="J732">
        <v>0</v>
      </c>
      <c r="K732">
        <v>0</v>
      </c>
      <c r="L732">
        <v>1</v>
      </c>
      <c r="M732">
        <v>2</v>
      </c>
      <c r="N732" s="7">
        <v>9</v>
      </c>
      <c r="O732" s="7">
        <v>0</v>
      </c>
      <c r="P732" s="7">
        <v>0</v>
      </c>
      <c r="Q732" s="7">
        <v>0</v>
      </c>
      <c r="R732" s="7">
        <v>1</v>
      </c>
      <c r="S732" s="7">
        <v>4.5</v>
      </c>
      <c r="T732">
        <v>7</v>
      </c>
      <c r="U732" s="1">
        <v>36</v>
      </c>
      <c r="V732">
        <v>0</v>
      </c>
      <c r="W732">
        <v>0</v>
      </c>
      <c r="X732">
        <v>1</v>
      </c>
      <c r="Y732">
        <v>0.16</v>
      </c>
      <c r="Z732">
        <v>23</v>
      </c>
      <c r="AA732">
        <v>0</v>
      </c>
      <c r="AB732">
        <v>0</v>
      </c>
      <c r="AC732">
        <v>0</v>
      </c>
      <c r="AD732">
        <v>1</v>
      </c>
      <c r="AE732">
        <v>0.05</v>
      </c>
      <c r="AF732">
        <v>15</v>
      </c>
      <c r="AG732">
        <v>0</v>
      </c>
      <c r="AH732">
        <v>0</v>
      </c>
      <c r="AI732">
        <v>0</v>
      </c>
      <c r="AJ732">
        <v>1</v>
      </c>
      <c r="AK732">
        <v>0.02</v>
      </c>
      <c r="AL732">
        <v>16</v>
      </c>
      <c r="AM732">
        <v>0</v>
      </c>
      <c r="AN732">
        <v>0</v>
      </c>
      <c r="AO732">
        <v>0</v>
      </c>
      <c r="AP732">
        <v>1</v>
      </c>
      <c r="AQ732">
        <v>0.01</v>
      </c>
      <c r="AX732">
        <v>7</v>
      </c>
      <c r="AY732" s="1">
        <v>20</v>
      </c>
      <c r="AZ732">
        <v>0</v>
      </c>
      <c r="BA732">
        <v>0</v>
      </c>
      <c r="BB732">
        <v>1</v>
      </c>
      <c r="BC732" s="7">
        <v>0.32</v>
      </c>
      <c r="BD732">
        <v>30</v>
      </c>
      <c r="BE732">
        <v>0</v>
      </c>
      <c r="BF732">
        <v>0</v>
      </c>
      <c r="BG732">
        <v>0</v>
      </c>
      <c r="BH732">
        <v>5</v>
      </c>
      <c r="BI732">
        <v>2.4</v>
      </c>
      <c r="BJ732">
        <v>31</v>
      </c>
      <c r="BK732">
        <v>0</v>
      </c>
      <c r="BL732">
        <v>0</v>
      </c>
      <c r="BM732">
        <v>0</v>
      </c>
      <c r="BN732">
        <v>5</v>
      </c>
      <c r="BO732">
        <v>2.4</v>
      </c>
      <c r="BP732">
        <v>36</v>
      </c>
      <c r="BQ732">
        <v>0</v>
      </c>
      <c r="BR732">
        <v>0</v>
      </c>
      <c r="BS732">
        <v>0</v>
      </c>
      <c r="BT732">
        <v>5</v>
      </c>
      <c r="BU732">
        <v>2.2000000000000002</v>
      </c>
    </row>
    <row r="733" spans="1:73" x14ac:dyDescent="0.15">
      <c r="A733" s="11">
        <v>10930</v>
      </c>
      <c r="B733">
        <v>7</v>
      </c>
      <c r="C733" s="1">
        <v>0</v>
      </c>
      <c r="D733">
        <v>5</v>
      </c>
      <c r="E733">
        <v>1</v>
      </c>
      <c r="F733">
        <v>1</v>
      </c>
      <c r="G733" s="7">
        <v>0.05</v>
      </c>
      <c r="H733">
        <v>12</v>
      </c>
      <c r="I733">
        <v>0</v>
      </c>
      <c r="J733">
        <v>0</v>
      </c>
      <c r="K733">
        <v>0</v>
      </c>
      <c r="L733">
        <v>1</v>
      </c>
      <c r="M733">
        <v>2</v>
      </c>
      <c r="N733" s="7">
        <v>9</v>
      </c>
      <c r="O733" s="7">
        <v>0</v>
      </c>
      <c r="P733" s="7">
        <v>0</v>
      </c>
      <c r="Q733" s="7">
        <v>0</v>
      </c>
      <c r="R733" s="7">
        <v>1</v>
      </c>
      <c r="S733" s="7">
        <v>4.5</v>
      </c>
      <c r="T733">
        <v>7</v>
      </c>
      <c r="U733" s="1">
        <v>0</v>
      </c>
      <c r="V733">
        <v>4</v>
      </c>
      <c r="W733">
        <v>2</v>
      </c>
      <c r="X733">
        <v>1</v>
      </c>
      <c r="Y733">
        <v>0.16</v>
      </c>
      <c r="Z733">
        <v>23</v>
      </c>
      <c r="AA733">
        <v>0</v>
      </c>
      <c r="AB733">
        <v>0</v>
      </c>
      <c r="AC733">
        <v>0</v>
      </c>
      <c r="AD733">
        <v>1</v>
      </c>
      <c r="AE733">
        <v>0.05</v>
      </c>
      <c r="AF733">
        <v>15</v>
      </c>
      <c r="AG733">
        <v>0</v>
      </c>
      <c r="AH733">
        <v>0</v>
      </c>
      <c r="AI733">
        <v>0</v>
      </c>
      <c r="AJ733">
        <v>1</v>
      </c>
      <c r="AK733">
        <v>0.02</v>
      </c>
      <c r="AL733">
        <v>16</v>
      </c>
      <c r="AM733">
        <v>0</v>
      </c>
      <c r="AN733">
        <v>0</v>
      </c>
      <c r="AO733">
        <v>0</v>
      </c>
      <c r="AP733">
        <v>1</v>
      </c>
      <c r="AQ733">
        <v>0.01</v>
      </c>
      <c r="AR733">
        <v>6</v>
      </c>
      <c r="AS733">
        <v>2</v>
      </c>
      <c r="AT733">
        <v>1</v>
      </c>
      <c r="AU733">
        <v>5</v>
      </c>
      <c r="AV733">
        <v>1</v>
      </c>
      <c r="AW733">
        <v>0.05</v>
      </c>
      <c r="AX733">
        <v>7</v>
      </c>
      <c r="AY733" s="1">
        <v>0</v>
      </c>
      <c r="AZ733">
        <v>3</v>
      </c>
      <c r="BA733">
        <v>1</v>
      </c>
      <c r="BB733">
        <v>1</v>
      </c>
      <c r="BC733" s="7">
        <v>0.32</v>
      </c>
      <c r="BD733">
        <v>30</v>
      </c>
      <c r="BE733">
        <v>0</v>
      </c>
      <c r="BF733">
        <v>0</v>
      </c>
      <c r="BG733">
        <v>0</v>
      </c>
      <c r="BH733">
        <v>5</v>
      </c>
      <c r="BI733">
        <v>2.4</v>
      </c>
      <c r="BJ733">
        <v>31</v>
      </c>
      <c r="BK733">
        <v>0</v>
      </c>
      <c r="BL733">
        <v>0</v>
      </c>
      <c r="BM733">
        <v>0</v>
      </c>
      <c r="BN733">
        <v>5</v>
      </c>
      <c r="BO733">
        <v>2.4</v>
      </c>
      <c r="BP733">
        <v>36</v>
      </c>
      <c r="BQ733">
        <v>0</v>
      </c>
      <c r="BR733">
        <v>0</v>
      </c>
      <c r="BS733">
        <v>0</v>
      </c>
      <c r="BT733">
        <v>5</v>
      </c>
      <c r="BU733">
        <v>2.2000000000000002</v>
      </c>
    </row>
    <row r="734" spans="1:73" x14ac:dyDescent="0.15">
      <c r="A734" s="11">
        <v>10931</v>
      </c>
      <c r="B734">
        <v>7</v>
      </c>
      <c r="C734" s="1">
        <v>45</v>
      </c>
      <c r="D734">
        <v>0</v>
      </c>
      <c r="E734">
        <v>0</v>
      </c>
      <c r="F734">
        <v>1</v>
      </c>
      <c r="G734" s="7">
        <v>0.05</v>
      </c>
      <c r="H734">
        <v>12</v>
      </c>
      <c r="I734">
        <v>0</v>
      </c>
      <c r="J734">
        <v>0</v>
      </c>
      <c r="K734">
        <v>0</v>
      </c>
      <c r="L734">
        <v>1</v>
      </c>
      <c r="M734">
        <v>2</v>
      </c>
      <c r="N734" s="7">
        <v>9</v>
      </c>
      <c r="O734" s="7">
        <v>0</v>
      </c>
      <c r="P734" s="7">
        <v>0</v>
      </c>
      <c r="Q734" s="7">
        <v>0</v>
      </c>
      <c r="R734" s="7">
        <v>1</v>
      </c>
      <c r="S734" s="7">
        <v>4.5</v>
      </c>
      <c r="T734">
        <v>7</v>
      </c>
      <c r="U734" s="1">
        <v>33</v>
      </c>
      <c r="V734">
        <v>0</v>
      </c>
      <c r="W734">
        <v>0</v>
      </c>
      <c r="X734">
        <v>1</v>
      </c>
      <c r="Y734">
        <v>0.16</v>
      </c>
      <c r="Z734">
        <v>23</v>
      </c>
      <c r="AA734">
        <v>0</v>
      </c>
      <c r="AB734">
        <v>0</v>
      </c>
      <c r="AC734">
        <v>0</v>
      </c>
      <c r="AD734">
        <v>1</v>
      </c>
      <c r="AE734">
        <v>0.05</v>
      </c>
      <c r="AF734">
        <v>15</v>
      </c>
      <c r="AG734">
        <v>0</v>
      </c>
      <c r="AH734">
        <v>0</v>
      </c>
      <c r="AI734">
        <v>0</v>
      </c>
      <c r="AJ734">
        <v>1</v>
      </c>
      <c r="AK734">
        <v>0.02</v>
      </c>
      <c r="AL734">
        <v>16</v>
      </c>
      <c r="AM734">
        <v>0</v>
      </c>
      <c r="AN734">
        <v>0</v>
      </c>
      <c r="AO734">
        <v>0</v>
      </c>
      <c r="AP734">
        <v>1</v>
      </c>
      <c r="AQ734">
        <v>0.01</v>
      </c>
      <c r="AX734">
        <v>7</v>
      </c>
      <c r="AY734" s="1">
        <v>17</v>
      </c>
      <c r="AZ734">
        <v>0</v>
      </c>
      <c r="BA734">
        <v>0</v>
      </c>
      <c r="BB734">
        <v>1</v>
      </c>
      <c r="BC734" s="7">
        <v>0.32</v>
      </c>
      <c r="BD734">
        <v>30</v>
      </c>
      <c r="BE734">
        <v>0</v>
      </c>
      <c r="BF734">
        <v>0</v>
      </c>
      <c r="BG734">
        <v>0</v>
      </c>
      <c r="BH734">
        <v>5</v>
      </c>
      <c r="BI734">
        <v>2.4</v>
      </c>
      <c r="BJ734">
        <v>31</v>
      </c>
      <c r="BK734">
        <v>0</v>
      </c>
      <c r="BL734">
        <v>0</v>
      </c>
      <c r="BM734">
        <v>0</v>
      </c>
      <c r="BN734">
        <v>5</v>
      </c>
      <c r="BO734">
        <v>2.4</v>
      </c>
      <c r="BP734">
        <v>36</v>
      </c>
      <c r="BQ734">
        <v>0</v>
      </c>
      <c r="BR734">
        <v>0</v>
      </c>
      <c r="BS734">
        <v>0</v>
      </c>
      <c r="BT734">
        <v>5</v>
      </c>
      <c r="BU734">
        <v>2.2000000000000002</v>
      </c>
    </row>
    <row r="735" spans="1:73" x14ac:dyDescent="0.15">
      <c r="A735" s="11">
        <v>10932</v>
      </c>
      <c r="B735">
        <v>7</v>
      </c>
      <c r="C735" s="1">
        <v>46</v>
      </c>
      <c r="D735">
        <v>0</v>
      </c>
      <c r="E735">
        <v>0</v>
      </c>
      <c r="F735">
        <v>1</v>
      </c>
      <c r="G735" s="7">
        <v>0.05</v>
      </c>
      <c r="H735">
        <v>12</v>
      </c>
      <c r="I735">
        <v>0</v>
      </c>
      <c r="J735">
        <v>0</v>
      </c>
      <c r="K735">
        <v>0</v>
      </c>
      <c r="L735">
        <v>1</v>
      </c>
      <c r="M735">
        <v>2</v>
      </c>
      <c r="N735" s="7">
        <v>9</v>
      </c>
      <c r="O735" s="7">
        <v>0</v>
      </c>
      <c r="P735" s="7">
        <v>0</v>
      </c>
      <c r="Q735" s="7">
        <v>0</v>
      </c>
      <c r="R735" s="7">
        <v>1</v>
      </c>
      <c r="S735" s="7">
        <v>4.5</v>
      </c>
      <c r="T735">
        <v>7</v>
      </c>
      <c r="U735" s="1">
        <v>34</v>
      </c>
      <c r="V735">
        <v>0</v>
      </c>
      <c r="W735">
        <v>0</v>
      </c>
      <c r="X735">
        <v>1</v>
      </c>
      <c r="Y735">
        <v>0.16</v>
      </c>
      <c r="Z735">
        <v>23</v>
      </c>
      <c r="AA735">
        <v>0</v>
      </c>
      <c r="AB735">
        <v>0</v>
      </c>
      <c r="AC735">
        <v>0</v>
      </c>
      <c r="AD735">
        <v>1</v>
      </c>
      <c r="AE735">
        <v>0.05</v>
      </c>
      <c r="AF735">
        <v>15</v>
      </c>
      <c r="AG735">
        <v>0</v>
      </c>
      <c r="AH735">
        <v>0</v>
      </c>
      <c r="AI735">
        <v>0</v>
      </c>
      <c r="AJ735">
        <v>1</v>
      </c>
      <c r="AK735">
        <v>0.02</v>
      </c>
      <c r="AL735">
        <v>16</v>
      </c>
      <c r="AM735">
        <v>0</v>
      </c>
      <c r="AN735">
        <v>0</v>
      </c>
      <c r="AO735">
        <v>0</v>
      </c>
      <c r="AP735">
        <v>1</v>
      </c>
      <c r="AQ735">
        <v>0.01</v>
      </c>
      <c r="AX735">
        <v>7</v>
      </c>
      <c r="AY735" s="1">
        <v>18</v>
      </c>
      <c r="AZ735">
        <v>0</v>
      </c>
      <c r="BA735">
        <v>0</v>
      </c>
      <c r="BB735">
        <v>1</v>
      </c>
      <c r="BC735" s="7">
        <v>0.32</v>
      </c>
      <c r="BD735">
        <v>30</v>
      </c>
      <c r="BE735">
        <v>0</v>
      </c>
      <c r="BF735">
        <v>0</v>
      </c>
      <c r="BG735">
        <v>0</v>
      </c>
      <c r="BH735">
        <v>5</v>
      </c>
      <c r="BI735">
        <v>2.4</v>
      </c>
      <c r="BJ735">
        <v>31</v>
      </c>
      <c r="BK735">
        <v>0</v>
      </c>
      <c r="BL735">
        <v>0</v>
      </c>
      <c r="BM735">
        <v>0</v>
      </c>
      <c r="BN735">
        <v>5</v>
      </c>
      <c r="BO735">
        <v>2.4</v>
      </c>
      <c r="BP735">
        <v>36</v>
      </c>
      <c r="BQ735">
        <v>0</v>
      </c>
      <c r="BR735">
        <v>0</v>
      </c>
      <c r="BS735">
        <v>0</v>
      </c>
      <c r="BT735">
        <v>5</v>
      </c>
      <c r="BU735">
        <v>2.2000000000000002</v>
      </c>
    </row>
    <row r="736" spans="1:73" x14ac:dyDescent="0.15">
      <c r="A736" s="11">
        <v>10933</v>
      </c>
      <c r="B736">
        <v>7</v>
      </c>
      <c r="C736" s="1">
        <v>47</v>
      </c>
      <c r="D736">
        <v>0</v>
      </c>
      <c r="E736">
        <v>0</v>
      </c>
      <c r="F736">
        <v>1</v>
      </c>
      <c r="G736" s="7">
        <v>0.05</v>
      </c>
      <c r="H736">
        <v>12</v>
      </c>
      <c r="I736">
        <v>0</v>
      </c>
      <c r="J736">
        <v>0</v>
      </c>
      <c r="K736">
        <v>0</v>
      </c>
      <c r="L736">
        <v>1</v>
      </c>
      <c r="M736">
        <v>2</v>
      </c>
      <c r="N736" s="7">
        <v>9</v>
      </c>
      <c r="O736" s="7">
        <v>0</v>
      </c>
      <c r="P736" s="7">
        <v>0</v>
      </c>
      <c r="Q736" s="7">
        <v>0</v>
      </c>
      <c r="R736" s="7">
        <v>1</v>
      </c>
      <c r="S736" s="7">
        <v>4.5</v>
      </c>
      <c r="T736">
        <v>7</v>
      </c>
      <c r="U736" s="1">
        <v>35</v>
      </c>
      <c r="V736">
        <v>0</v>
      </c>
      <c r="W736">
        <v>0</v>
      </c>
      <c r="X736">
        <v>1</v>
      </c>
      <c r="Y736">
        <v>0.16</v>
      </c>
      <c r="Z736">
        <v>23</v>
      </c>
      <c r="AA736">
        <v>0</v>
      </c>
      <c r="AB736">
        <v>0</v>
      </c>
      <c r="AC736">
        <v>0</v>
      </c>
      <c r="AD736">
        <v>1</v>
      </c>
      <c r="AE736">
        <v>0.05</v>
      </c>
      <c r="AF736">
        <v>15</v>
      </c>
      <c r="AG736">
        <v>0</v>
      </c>
      <c r="AH736">
        <v>0</v>
      </c>
      <c r="AI736">
        <v>0</v>
      </c>
      <c r="AJ736">
        <v>1</v>
      </c>
      <c r="AK736">
        <v>0.02</v>
      </c>
      <c r="AL736">
        <v>16</v>
      </c>
      <c r="AM736">
        <v>0</v>
      </c>
      <c r="AN736">
        <v>0</v>
      </c>
      <c r="AO736">
        <v>0</v>
      </c>
      <c r="AP736">
        <v>1</v>
      </c>
      <c r="AQ736">
        <v>0.01</v>
      </c>
      <c r="AX736">
        <v>7</v>
      </c>
      <c r="AY736" s="1">
        <v>19</v>
      </c>
      <c r="AZ736">
        <v>0</v>
      </c>
      <c r="BA736">
        <v>0</v>
      </c>
      <c r="BB736">
        <v>1</v>
      </c>
      <c r="BC736" s="7">
        <v>0.32</v>
      </c>
      <c r="BD736">
        <v>30</v>
      </c>
      <c r="BE736">
        <v>0</v>
      </c>
      <c r="BF736">
        <v>0</v>
      </c>
      <c r="BG736">
        <v>0</v>
      </c>
      <c r="BH736">
        <v>5</v>
      </c>
      <c r="BI736">
        <v>2.4</v>
      </c>
      <c r="BJ736">
        <v>31</v>
      </c>
      <c r="BK736">
        <v>0</v>
      </c>
      <c r="BL736">
        <v>0</v>
      </c>
      <c r="BM736">
        <v>0</v>
      </c>
      <c r="BN736">
        <v>5</v>
      </c>
      <c r="BO736">
        <v>2.4</v>
      </c>
      <c r="BP736">
        <v>36</v>
      </c>
      <c r="BQ736">
        <v>0</v>
      </c>
      <c r="BR736">
        <v>0</v>
      </c>
      <c r="BS736">
        <v>0</v>
      </c>
      <c r="BT736">
        <v>5</v>
      </c>
      <c r="BU736">
        <v>2.2000000000000002</v>
      </c>
    </row>
    <row r="737" spans="1:73" x14ac:dyDescent="0.15">
      <c r="A737" s="11">
        <v>10934</v>
      </c>
      <c r="B737">
        <v>7</v>
      </c>
      <c r="C737" s="1">
        <v>48</v>
      </c>
      <c r="D737">
        <v>0</v>
      </c>
      <c r="E737">
        <v>0</v>
      </c>
      <c r="F737">
        <v>1</v>
      </c>
      <c r="G737" s="7">
        <v>0.05</v>
      </c>
      <c r="H737">
        <v>12</v>
      </c>
      <c r="I737">
        <v>0</v>
      </c>
      <c r="J737">
        <v>0</v>
      </c>
      <c r="K737">
        <v>0</v>
      </c>
      <c r="L737">
        <v>1</v>
      </c>
      <c r="M737">
        <v>2</v>
      </c>
      <c r="N737" s="7">
        <v>9</v>
      </c>
      <c r="O737" s="7">
        <v>0</v>
      </c>
      <c r="P737" s="7">
        <v>0</v>
      </c>
      <c r="Q737" s="7">
        <v>0</v>
      </c>
      <c r="R737" s="7">
        <v>1</v>
      </c>
      <c r="S737" s="7">
        <v>4.5</v>
      </c>
      <c r="T737">
        <v>7</v>
      </c>
      <c r="U737" s="1">
        <v>36</v>
      </c>
      <c r="V737">
        <v>0</v>
      </c>
      <c r="W737">
        <v>0</v>
      </c>
      <c r="X737">
        <v>1</v>
      </c>
      <c r="Y737">
        <v>0.16</v>
      </c>
      <c r="Z737">
        <v>23</v>
      </c>
      <c r="AA737">
        <v>0</v>
      </c>
      <c r="AB737">
        <v>0</v>
      </c>
      <c r="AC737">
        <v>0</v>
      </c>
      <c r="AD737">
        <v>1</v>
      </c>
      <c r="AE737">
        <v>0.05</v>
      </c>
      <c r="AF737">
        <v>15</v>
      </c>
      <c r="AG737">
        <v>0</v>
      </c>
      <c r="AH737">
        <v>0</v>
      </c>
      <c r="AI737">
        <v>0</v>
      </c>
      <c r="AJ737">
        <v>1</v>
      </c>
      <c r="AK737">
        <v>0.02</v>
      </c>
      <c r="AL737">
        <v>16</v>
      </c>
      <c r="AM737">
        <v>0</v>
      </c>
      <c r="AN737">
        <v>0</v>
      </c>
      <c r="AO737">
        <v>0</v>
      </c>
      <c r="AP737">
        <v>1</v>
      </c>
      <c r="AQ737">
        <v>0.01</v>
      </c>
      <c r="AX737">
        <v>7</v>
      </c>
      <c r="AY737" s="1">
        <v>20</v>
      </c>
      <c r="AZ737">
        <v>0</v>
      </c>
      <c r="BA737">
        <v>0</v>
      </c>
      <c r="BB737">
        <v>1</v>
      </c>
      <c r="BC737" s="7">
        <v>0.32</v>
      </c>
      <c r="BD737">
        <v>30</v>
      </c>
      <c r="BE737">
        <v>0</v>
      </c>
      <c r="BF737">
        <v>0</v>
      </c>
      <c r="BG737">
        <v>0</v>
      </c>
      <c r="BH737">
        <v>5</v>
      </c>
      <c r="BI737">
        <v>2.4</v>
      </c>
      <c r="BJ737">
        <v>31</v>
      </c>
      <c r="BK737">
        <v>0</v>
      </c>
      <c r="BL737">
        <v>0</v>
      </c>
      <c r="BM737">
        <v>0</v>
      </c>
      <c r="BN737">
        <v>5</v>
      </c>
      <c r="BO737">
        <v>2.4</v>
      </c>
      <c r="BP737">
        <v>36</v>
      </c>
      <c r="BQ737">
        <v>0</v>
      </c>
      <c r="BR737">
        <v>0</v>
      </c>
      <c r="BS737">
        <v>0</v>
      </c>
      <c r="BT737">
        <v>5</v>
      </c>
      <c r="BU737">
        <v>2.2000000000000002</v>
      </c>
    </row>
    <row r="738" spans="1:73" x14ac:dyDescent="0.15">
      <c r="A738" s="11">
        <v>10935</v>
      </c>
      <c r="B738">
        <v>7</v>
      </c>
      <c r="C738" s="1">
        <v>0</v>
      </c>
      <c r="D738">
        <v>5</v>
      </c>
      <c r="E738">
        <v>1</v>
      </c>
      <c r="F738">
        <v>1</v>
      </c>
      <c r="G738" s="7">
        <v>0.05</v>
      </c>
      <c r="H738">
        <v>12</v>
      </c>
      <c r="I738">
        <v>0</v>
      </c>
      <c r="J738">
        <v>0</v>
      </c>
      <c r="K738">
        <v>0</v>
      </c>
      <c r="L738">
        <v>1</v>
      </c>
      <c r="M738">
        <v>2</v>
      </c>
      <c r="N738" s="7">
        <v>9</v>
      </c>
      <c r="O738" s="7">
        <v>0</v>
      </c>
      <c r="P738" s="7">
        <v>0</v>
      </c>
      <c r="Q738" s="7">
        <v>0</v>
      </c>
      <c r="R738" s="7">
        <v>1</v>
      </c>
      <c r="S738" s="7">
        <v>4.5</v>
      </c>
      <c r="T738">
        <v>7</v>
      </c>
      <c r="U738" s="1">
        <v>0</v>
      </c>
      <c r="V738">
        <v>4</v>
      </c>
      <c r="W738">
        <v>2</v>
      </c>
      <c r="X738">
        <v>1</v>
      </c>
      <c r="Y738">
        <v>0.16</v>
      </c>
      <c r="Z738">
        <v>23</v>
      </c>
      <c r="AA738">
        <v>0</v>
      </c>
      <c r="AB738">
        <v>0</v>
      </c>
      <c r="AC738">
        <v>0</v>
      </c>
      <c r="AD738">
        <v>1</v>
      </c>
      <c r="AE738">
        <v>0.05</v>
      </c>
      <c r="AF738">
        <v>15</v>
      </c>
      <c r="AG738">
        <v>0</v>
      </c>
      <c r="AH738">
        <v>0</v>
      </c>
      <c r="AI738">
        <v>0</v>
      </c>
      <c r="AJ738">
        <v>1</v>
      </c>
      <c r="AK738">
        <v>0.02</v>
      </c>
      <c r="AL738">
        <v>16</v>
      </c>
      <c r="AM738">
        <v>0</v>
      </c>
      <c r="AN738">
        <v>0</v>
      </c>
      <c r="AO738">
        <v>0</v>
      </c>
      <c r="AP738">
        <v>1</v>
      </c>
      <c r="AQ738">
        <v>0.01</v>
      </c>
      <c r="AR738">
        <v>6</v>
      </c>
      <c r="AS738">
        <v>2</v>
      </c>
      <c r="AT738">
        <v>2</v>
      </c>
      <c r="AU738">
        <v>5</v>
      </c>
      <c r="AV738">
        <v>1</v>
      </c>
      <c r="AW738">
        <v>0.05</v>
      </c>
      <c r="AX738">
        <v>7</v>
      </c>
      <c r="AY738" s="1">
        <v>0</v>
      </c>
      <c r="AZ738">
        <v>3</v>
      </c>
      <c r="BA738">
        <v>1</v>
      </c>
      <c r="BB738">
        <v>1</v>
      </c>
      <c r="BC738" s="7">
        <v>0.32</v>
      </c>
      <c r="BD738">
        <v>30</v>
      </c>
      <c r="BE738">
        <v>0</v>
      </c>
      <c r="BF738">
        <v>0</v>
      </c>
      <c r="BG738">
        <v>0</v>
      </c>
      <c r="BH738">
        <v>5</v>
      </c>
      <c r="BI738">
        <v>2.4</v>
      </c>
      <c r="BJ738">
        <v>31</v>
      </c>
      <c r="BK738">
        <v>0</v>
      </c>
      <c r="BL738">
        <v>0</v>
      </c>
      <c r="BM738">
        <v>0</v>
      </c>
      <c r="BN738">
        <v>5</v>
      </c>
      <c r="BO738">
        <v>2.4</v>
      </c>
      <c r="BP738">
        <v>36</v>
      </c>
      <c r="BQ738">
        <v>0</v>
      </c>
      <c r="BR738">
        <v>0</v>
      </c>
      <c r="BS738">
        <v>0</v>
      </c>
      <c r="BT738">
        <v>5</v>
      </c>
      <c r="BU738">
        <v>2.2000000000000002</v>
      </c>
    </row>
    <row r="739" spans="1:73" x14ac:dyDescent="0.15">
      <c r="A739" s="11">
        <v>10936</v>
      </c>
      <c r="B739">
        <v>7</v>
      </c>
      <c r="C739" s="1">
        <v>45</v>
      </c>
      <c r="D739">
        <v>0</v>
      </c>
      <c r="E739">
        <v>0</v>
      </c>
      <c r="F739">
        <v>1</v>
      </c>
      <c r="G739" s="7">
        <v>0.05</v>
      </c>
      <c r="H739">
        <v>12</v>
      </c>
      <c r="I739">
        <v>0</v>
      </c>
      <c r="J739">
        <v>0</v>
      </c>
      <c r="K739">
        <v>0</v>
      </c>
      <c r="L739">
        <v>1</v>
      </c>
      <c r="M739">
        <v>2</v>
      </c>
      <c r="N739" s="7">
        <v>9</v>
      </c>
      <c r="O739" s="7">
        <v>0</v>
      </c>
      <c r="P739" s="7">
        <v>0</v>
      </c>
      <c r="Q739" s="7">
        <v>0</v>
      </c>
      <c r="R739" s="7">
        <v>1</v>
      </c>
      <c r="S739" s="7">
        <v>4.5</v>
      </c>
      <c r="T739">
        <v>7</v>
      </c>
      <c r="U739" s="1">
        <v>33</v>
      </c>
      <c r="V739">
        <v>0</v>
      </c>
      <c r="W739">
        <v>0</v>
      </c>
      <c r="X739">
        <v>1</v>
      </c>
      <c r="Y739">
        <v>0.16</v>
      </c>
      <c r="Z739">
        <v>23</v>
      </c>
      <c r="AA739">
        <v>0</v>
      </c>
      <c r="AB739">
        <v>0</v>
      </c>
      <c r="AC739">
        <v>0</v>
      </c>
      <c r="AD739">
        <v>1</v>
      </c>
      <c r="AE739">
        <v>0.05</v>
      </c>
      <c r="AF739">
        <v>15</v>
      </c>
      <c r="AG739">
        <v>0</v>
      </c>
      <c r="AH739">
        <v>0</v>
      </c>
      <c r="AI739">
        <v>0</v>
      </c>
      <c r="AJ739">
        <v>1</v>
      </c>
      <c r="AK739">
        <v>0.02</v>
      </c>
      <c r="AL739">
        <v>16</v>
      </c>
      <c r="AM739">
        <v>0</v>
      </c>
      <c r="AN739">
        <v>0</v>
      </c>
      <c r="AO739">
        <v>0</v>
      </c>
      <c r="AP739">
        <v>1</v>
      </c>
      <c r="AQ739">
        <v>0.01</v>
      </c>
      <c r="AX739">
        <v>7</v>
      </c>
      <c r="AY739" s="1">
        <v>17</v>
      </c>
      <c r="AZ739">
        <v>0</v>
      </c>
      <c r="BA739">
        <v>0</v>
      </c>
      <c r="BB739">
        <v>1</v>
      </c>
      <c r="BC739" s="7">
        <v>0.32</v>
      </c>
      <c r="BD739">
        <v>30</v>
      </c>
      <c r="BE739">
        <v>0</v>
      </c>
      <c r="BF739">
        <v>0</v>
      </c>
      <c r="BG739">
        <v>0</v>
      </c>
      <c r="BH739">
        <v>5</v>
      </c>
      <c r="BI739">
        <v>2.4</v>
      </c>
      <c r="BJ739">
        <v>31</v>
      </c>
      <c r="BK739">
        <v>0</v>
      </c>
      <c r="BL739">
        <v>0</v>
      </c>
      <c r="BM739">
        <v>0</v>
      </c>
      <c r="BN739">
        <v>5</v>
      </c>
      <c r="BO739">
        <v>2.4</v>
      </c>
      <c r="BP739">
        <v>36</v>
      </c>
      <c r="BQ739">
        <v>0</v>
      </c>
      <c r="BR739">
        <v>0</v>
      </c>
      <c r="BS739">
        <v>0</v>
      </c>
      <c r="BT739">
        <v>5</v>
      </c>
      <c r="BU739">
        <v>2.2000000000000002</v>
      </c>
    </row>
    <row r="740" spans="1:73" x14ac:dyDescent="0.15">
      <c r="A740" s="11">
        <v>10937</v>
      </c>
      <c r="B740">
        <v>7</v>
      </c>
      <c r="C740" s="1">
        <v>46</v>
      </c>
      <c r="D740">
        <v>0</v>
      </c>
      <c r="E740">
        <v>0</v>
      </c>
      <c r="F740">
        <v>1</v>
      </c>
      <c r="G740" s="7">
        <v>0.05</v>
      </c>
      <c r="H740">
        <v>12</v>
      </c>
      <c r="I740">
        <v>0</v>
      </c>
      <c r="J740">
        <v>0</v>
      </c>
      <c r="K740">
        <v>0</v>
      </c>
      <c r="L740">
        <v>1</v>
      </c>
      <c r="M740">
        <v>2</v>
      </c>
      <c r="N740" s="7">
        <v>9</v>
      </c>
      <c r="O740" s="7">
        <v>0</v>
      </c>
      <c r="P740" s="7">
        <v>0</v>
      </c>
      <c r="Q740" s="7">
        <v>0</v>
      </c>
      <c r="R740" s="7">
        <v>1</v>
      </c>
      <c r="S740" s="7">
        <v>4.5</v>
      </c>
      <c r="T740">
        <v>7</v>
      </c>
      <c r="U740" s="1">
        <v>34</v>
      </c>
      <c r="V740">
        <v>0</v>
      </c>
      <c r="W740">
        <v>0</v>
      </c>
      <c r="X740">
        <v>1</v>
      </c>
      <c r="Y740">
        <v>0.16</v>
      </c>
      <c r="Z740">
        <v>23</v>
      </c>
      <c r="AA740">
        <v>0</v>
      </c>
      <c r="AB740">
        <v>0</v>
      </c>
      <c r="AC740">
        <v>0</v>
      </c>
      <c r="AD740">
        <v>1</v>
      </c>
      <c r="AE740">
        <v>0.05</v>
      </c>
      <c r="AF740">
        <v>15</v>
      </c>
      <c r="AG740">
        <v>0</v>
      </c>
      <c r="AH740">
        <v>0</v>
      </c>
      <c r="AI740">
        <v>0</v>
      </c>
      <c r="AJ740">
        <v>1</v>
      </c>
      <c r="AK740">
        <v>0.02</v>
      </c>
      <c r="AL740">
        <v>16</v>
      </c>
      <c r="AM740">
        <v>0</v>
      </c>
      <c r="AN740">
        <v>0</v>
      </c>
      <c r="AO740">
        <v>0</v>
      </c>
      <c r="AP740">
        <v>1</v>
      </c>
      <c r="AQ740">
        <v>0.01</v>
      </c>
      <c r="AX740">
        <v>7</v>
      </c>
      <c r="AY740" s="1">
        <v>18</v>
      </c>
      <c r="AZ740">
        <v>0</v>
      </c>
      <c r="BA740">
        <v>0</v>
      </c>
      <c r="BB740">
        <v>1</v>
      </c>
      <c r="BC740" s="7">
        <v>0.32</v>
      </c>
      <c r="BD740">
        <v>30</v>
      </c>
      <c r="BE740">
        <v>0</v>
      </c>
      <c r="BF740">
        <v>0</v>
      </c>
      <c r="BG740">
        <v>0</v>
      </c>
      <c r="BH740">
        <v>5</v>
      </c>
      <c r="BI740">
        <v>2.4</v>
      </c>
      <c r="BJ740">
        <v>31</v>
      </c>
      <c r="BK740">
        <v>0</v>
      </c>
      <c r="BL740">
        <v>0</v>
      </c>
      <c r="BM740">
        <v>0</v>
      </c>
      <c r="BN740">
        <v>5</v>
      </c>
      <c r="BO740">
        <v>2.4</v>
      </c>
      <c r="BP740">
        <v>36</v>
      </c>
      <c r="BQ740">
        <v>0</v>
      </c>
      <c r="BR740">
        <v>0</v>
      </c>
      <c r="BS740">
        <v>0</v>
      </c>
      <c r="BT740">
        <v>5</v>
      </c>
      <c r="BU740">
        <v>2.2000000000000002</v>
      </c>
    </row>
    <row r="741" spans="1:73" x14ac:dyDescent="0.15">
      <c r="A741" s="11">
        <v>10938</v>
      </c>
      <c r="B741">
        <v>7</v>
      </c>
      <c r="C741" s="1">
        <v>47</v>
      </c>
      <c r="D741">
        <v>0</v>
      </c>
      <c r="E741">
        <v>0</v>
      </c>
      <c r="F741">
        <v>1</v>
      </c>
      <c r="G741" s="7">
        <v>0.05</v>
      </c>
      <c r="H741">
        <v>12</v>
      </c>
      <c r="I741">
        <v>0</v>
      </c>
      <c r="J741">
        <v>0</v>
      </c>
      <c r="K741">
        <v>0</v>
      </c>
      <c r="L741">
        <v>1</v>
      </c>
      <c r="M741">
        <v>2</v>
      </c>
      <c r="N741" s="7">
        <v>9</v>
      </c>
      <c r="O741" s="7">
        <v>0</v>
      </c>
      <c r="P741" s="7">
        <v>0</v>
      </c>
      <c r="Q741" s="7">
        <v>0</v>
      </c>
      <c r="R741" s="7">
        <v>1</v>
      </c>
      <c r="S741" s="7">
        <v>4.5</v>
      </c>
      <c r="T741">
        <v>7</v>
      </c>
      <c r="U741" s="1">
        <v>35</v>
      </c>
      <c r="V741">
        <v>0</v>
      </c>
      <c r="W741">
        <v>0</v>
      </c>
      <c r="X741">
        <v>1</v>
      </c>
      <c r="Y741">
        <v>0.16</v>
      </c>
      <c r="Z741">
        <v>23</v>
      </c>
      <c r="AA741">
        <v>0</v>
      </c>
      <c r="AB741">
        <v>0</v>
      </c>
      <c r="AC741">
        <v>0</v>
      </c>
      <c r="AD741">
        <v>1</v>
      </c>
      <c r="AE741">
        <v>0.05</v>
      </c>
      <c r="AF741">
        <v>15</v>
      </c>
      <c r="AG741">
        <v>0</v>
      </c>
      <c r="AH741">
        <v>0</v>
      </c>
      <c r="AI741">
        <v>0</v>
      </c>
      <c r="AJ741">
        <v>1</v>
      </c>
      <c r="AK741">
        <v>0.02</v>
      </c>
      <c r="AL741">
        <v>16</v>
      </c>
      <c r="AM741">
        <v>0</v>
      </c>
      <c r="AN741">
        <v>0</v>
      </c>
      <c r="AO741">
        <v>0</v>
      </c>
      <c r="AP741">
        <v>1</v>
      </c>
      <c r="AQ741">
        <v>0.01</v>
      </c>
      <c r="AX741">
        <v>7</v>
      </c>
      <c r="AY741" s="1">
        <v>19</v>
      </c>
      <c r="AZ741">
        <v>0</v>
      </c>
      <c r="BA741">
        <v>0</v>
      </c>
      <c r="BB741">
        <v>1</v>
      </c>
      <c r="BC741" s="7">
        <v>0.32</v>
      </c>
      <c r="BD741">
        <v>30</v>
      </c>
      <c r="BE741">
        <v>0</v>
      </c>
      <c r="BF741">
        <v>0</v>
      </c>
      <c r="BG741">
        <v>0</v>
      </c>
      <c r="BH741">
        <v>5</v>
      </c>
      <c r="BI741">
        <v>2.4</v>
      </c>
      <c r="BJ741">
        <v>31</v>
      </c>
      <c r="BK741">
        <v>0</v>
      </c>
      <c r="BL741">
        <v>0</v>
      </c>
      <c r="BM741">
        <v>0</v>
      </c>
      <c r="BN741">
        <v>5</v>
      </c>
      <c r="BO741">
        <v>2.4</v>
      </c>
      <c r="BP741">
        <v>36</v>
      </c>
      <c r="BQ741">
        <v>0</v>
      </c>
      <c r="BR741">
        <v>0</v>
      </c>
      <c r="BS741">
        <v>0</v>
      </c>
      <c r="BT741">
        <v>5</v>
      </c>
      <c r="BU741">
        <v>2.2000000000000002</v>
      </c>
    </row>
    <row r="742" spans="1:73" x14ac:dyDescent="0.15">
      <c r="A742" s="11">
        <v>10939</v>
      </c>
      <c r="B742">
        <v>7</v>
      </c>
      <c r="C742" s="1">
        <v>48</v>
      </c>
      <c r="D742">
        <v>0</v>
      </c>
      <c r="E742">
        <v>0</v>
      </c>
      <c r="F742">
        <v>1</v>
      </c>
      <c r="G742" s="7">
        <v>0.05</v>
      </c>
      <c r="H742">
        <v>12</v>
      </c>
      <c r="I742">
        <v>0</v>
      </c>
      <c r="J742">
        <v>0</v>
      </c>
      <c r="K742">
        <v>0</v>
      </c>
      <c r="L742">
        <v>1</v>
      </c>
      <c r="M742">
        <v>2</v>
      </c>
      <c r="N742" s="7">
        <v>9</v>
      </c>
      <c r="O742" s="7">
        <v>0</v>
      </c>
      <c r="P742" s="7">
        <v>0</v>
      </c>
      <c r="Q742" s="7">
        <v>0</v>
      </c>
      <c r="R742" s="7">
        <v>1</v>
      </c>
      <c r="S742" s="7">
        <v>4.5</v>
      </c>
      <c r="T742">
        <v>7</v>
      </c>
      <c r="U742" s="1">
        <v>36</v>
      </c>
      <c r="V742">
        <v>0</v>
      </c>
      <c r="W742">
        <v>0</v>
      </c>
      <c r="X742">
        <v>1</v>
      </c>
      <c r="Y742">
        <v>0.16</v>
      </c>
      <c r="Z742">
        <v>23</v>
      </c>
      <c r="AA742">
        <v>0</v>
      </c>
      <c r="AB742">
        <v>0</v>
      </c>
      <c r="AC742">
        <v>0</v>
      </c>
      <c r="AD742">
        <v>1</v>
      </c>
      <c r="AE742">
        <v>0.05</v>
      </c>
      <c r="AF742">
        <v>15</v>
      </c>
      <c r="AG742">
        <v>0</v>
      </c>
      <c r="AH742">
        <v>0</v>
      </c>
      <c r="AI742">
        <v>0</v>
      </c>
      <c r="AJ742">
        <v>1</v>
      </c>
      <c r="AK742">
        <v>0.02</v>
      </c>
      <c r="AL742">
        <v>16</v>
      </c>
      <c r="AM742">
        <v>0</v>
      </c>
      <c r="AN742">
        <v>0</v>
      </c>
      <c r="AO742">
        <v>0</v>
      </c>
      <c r="AP742">
        <v>1</v>
      </c>
      <c r="AQ742">
        <v>0.01</v>
      </c>
      <c r="AX742">
        <v>7</v>
      </c>
      <c r="AY742" s="1">
        <v>20</v>
      </c>
      <c r="AZ742">
        <v>0</v>
      </c>
      <c r="BA742">
        <v>0</v>
      </c>
      <c r="BB742">
        <v>1</v>
      </c>
      <c r="BC742" s="7">
        <v>0.32</v>
      </c>
      <c r="BD742">
        <v>30</v>
      </c>
      <c r="BE742">
        <v>0</v>
      </c>
      <c r="BF742">
        <v>0</v>
      </c>
      <c r="BG742">
        <v>0</v>
      </c>
      <c r="BH742">
        <v>5</v>
      </c>
      <c r="BI742">
        <v>2.4</v>
      </c>
      <c r="BJ742">
        <v>31</v>
      </c>
      <c r="BK742">
        <v>0</v>
      </c>
      <c r="BL742">
        <v>0</v>
      </c>
      <c r="BM742">
        <v>0</v>
      </c>
      <c r="BN742">
        <v>5</v>
      </c>
      <c r="BO742">
        <v>2.4</v>
      </c>
      <c r="BP742">
        <v>36</v>
      </c>
      <c r="BQ742">
        <v>0</v>
      </c>
      <c r="BR742">
        <v>0</v>
      </c>
      <c r="BS742">
        <v>0</v>
      </c>
      <c r="BT742">
        <v>5</v>
      </c>
      <c r="BU742">
        <v>2.2000000000000002</v>
      </c>
    </row>
    <row r="743" spans="1:73" x14ac:dyDescent="0.15">
      <c r="A743" s="11">
        <v>10940</v>
      </c>
      <c r="B743">
        <v>7</v>
      </c>
      <c r="C743" s="1">
        <v>0</v>
      </c>
      <c r="D743">
        <v>5</v>
      </c>
      <c r="E743">
        <v>1</v>
      </c>
      <c r="F743">
        <v>1</v>
      </c>
      <c r="G743" s="7">
        <v>0.05</v>
      </c>
      <c r="H743">
        <v>12</v>
      </c>
      <c r="I743">
        <v>0</v>
      </c>
      <c r="J743">
        <v>0</v>
      </c>
      <c r="K743">
        <v>0</v>
      </c>
      <c r="L743">
        <v>1</v>
      </c>
      <c r="M743">
        <v>2</v>
      </c>
      <c r="N743" s="7">
        <v>9</v>
      </c>
      <c r="O743" s="7">
        <v>0</v>
      </c>
      <c r="P743" s="7">
        <v>0</v>
      </c>
      <c r="Q743" s="7">
        <v>0</v>
      </c>
      <c r="R743" s="7">
        <v>1</v>
      </c>
      <c r="S743" s="7">
        <v>4.5</v>
      </c>
      <c r="T743">
        <v>7</v>
      </c>
      <c r="U743" s="1">
        <v>0</v>
      </c>
      <c r="V743">
        <v>4</v>
      </c>
      <c r="W743">
        <v>2</v>
      </c>
      <c r="X743">
        <v>1</v>
      </c>
      <c r="Y743">
        <v>0.16</v>
      </c>
      <c r="Z743">
        <v>23</v>
      </c>
      <c r="AA743">
        <v>0</v>
      </c>
      <c r="AB743">
        <v>0</v>
      </c>
      <c r="AC743">
        <v>0</v>
      </c>
      <c r="AD743">
        <v>1</v>
      </c>
      <c r="AE743">
        <v>0.05</v>
      </c>
      <c r="AF743">
        <v>15</v>
      </c>
      <c r="AG743">
        <v>0</v>
      </c>
      <c r="AH743">
        <v>0</v>
      </c>
      <c r="AI743">
        <v>0</v>
      </c>
      <c r="AJ743">
        <v>1</v>
      </c>
      <c r="AK743">
        <v>0.02</v>
      </c>
      <c r="AL743">
        <v>16</v>
      </c>
      <c r="AM743">
        <v>0</v>
      </c>
      <c r="AN743">
        <v>0</v>
      </c>
      <c r="AO743">
        <v>0</v>
      </c>
      <c r="AP743">
        <v>1</v>
      </c>
      <c r="AQ743">
        <v>0.01</v>
      </c>
      <c r="AR743">
        <v>6</v>
      </c>
      <c r="AS743">
        <v>2</v>
      </c>
      <c r="AT743">
        <v>3</v>
      </c>
      <c r="AU743">
        <v>5</v>
      </c>
      <c r="AV743">
        <v>1</v>
      </c>
      <c r="AW743">
        <v>0.05</v>
      </c>
      <c r="AX743">
        <v>7</v>
      </c>
      <c r="AY743" s="1">
        <v>0</v>
      </c>
      <c r="AZ743">
        <v>3</v>
      </c>
      <c r="BA743">
        <v>1</v>
      </c>
      <c r="BB743">
        <v>1</v>
      </c>
      <c r="BC743" s="7">
        <v>0.32</v>
      </c>
      <c r="BD743">
        <v>30</v>
      </c>
      <c r="BE743">
        <v>0</v>
      </c>
      <c r="BF743">
        <v>0</v>
      </c>
      <c r="BG743">
        <v>0</v>
      </c>
      <c r="BH743">
        <v>5</v>
      </c>
      <c r="BI743">
        <v>2.4</v>
      </c>
      <c r="BJ743">
        <v>31</v>
      </c>
      <c r="BK743">
        <v>0</v>
      </c>
      <c r="BL743">
        <v>0</v>
      </c>
      <c r="BM743">
        <v>0</v>
      </c>
      <c r="BN743">
        <v>5</v>
      </c>
      <c r="BO743">
        <v>2.4</v>
      </c>
      <c r="BP743">
        <v>36</v>
      </c>
      <c r="BQ743">
        <v>0</v>
      </c>
      <c r="BR743">
        <v>0</v>
      </c>
      <c r="BS743">
        <v>0</v>
      </c>
      <c r="BT743">
        <v>5</v>
      </c>
      <c r="BU743">
        <v>2.2000000000000002</v>
      </c>
    </row>
    <row r="744" spans="1:73" x14ac:dyDescent="0.15">
      <c r="A744" s="11">
        <v>10941</v>
      </c>
      <c r="B744">
        <v>7</v>
      </c>
      <c r="C744" s="1">
        <v>45</v>
      </c>
      <c r="D744">
        <v>0</v>
      </c>
      <c r="E744">
        <v>0</v>
      </c>
      <c r="F744">
        <v>1</v>
      </c>
      <c r="G744" s="7">
        <v>0.05</v>
      </c>
      <c r="H744">
        <v>12</v>
      </c>
      <c r="I744">
        <v>0</v>
      </c>
      <c r="J744">
        <v>0</v>
      </c>
      <c r="K744">
        <v>0</v>
      </c>
      <c r="L744">
        <v>1</v>
      </c>
      <c r="M744">
        <v>2</v>
      </c>
      <c r="N744" s="7">
        <v>9</v>
      </c>
      <c r="O744" s="7">
        <v>0</v>
      </c>
      <c r="P744" s="7">
        <v>0</v>
      </c>
      <c r="Q744" s="7">
        <v>0</v>
      </c>
      <c r="R744" s="7">
        <v>1</v>
      </c>
      <c r="S744" s="7">
        <v>4.5</v>
      </c>
      <c r="T744">
        <v>7</v>
      </c>
      <c r="U744" s="1">
        <v>33</v>
      </c>
      <c r="V744">
        <v>0</v>
      </c>
      <c r="W744">
        <v>0</v>
      </c>
      <c r="X744">
        <v>1</v>
      </c>
      <c r="Y744">
        <v>0.16</v>
      </c>
      <c r="Z744">
        <v>23</v>
      </c>
      <c r="AA744">
        <v>0</v>
      </c>
      <c r="AB744">
        <v>0</v>
      </c>
      <c r="AC744">
        <v>0</v>
      </c>
      <c r="AD744">
        <v>1</v>
      </c>
      <c r="AE744">
        <v>0.05</v>
      </c>
      <c r="AF744">
        <v>15</v>
      </c>
      <c r="AG744">
        <v>0</v>
      </c>
      <c r="AH744">
        <v>0</v>
      </c>
      <c r="AI744">
        <v>0</v>
      </c>
      <c r="AJ744">
        <v>1</v>
      </c>
      <c r="AK744">
        <v>0.02</v>
      </c>
      <c r="AL744">
        <v>16</v>
      </c>
      <c r="AM744">
        <v>0</v>
      </c>
      <c r="AN744">
        <v>0</v>
      </c>
      <c r="AO744">
        <v>0</v>
      </c>
      <c r="AP744">
        <v>1</v>
      </c>
      <c r="AQ744">
        <v>0.01</v>
      </c>
      <c r="AX744">
        <v>7</v>
      </c>
      <c r="AY744" s="1">
        <v>17</v>
      </c>
      <c r="AZ744">
        <v>0</v>
      </c>
      <c r="BA744">
        <v>0</v>
      </c>
      <c r="BB744">
        <v>1</v>
      </c>
      <c r="BC744" s="7">
        <v>0.32</v>
      </c>
      <c r="BD744">
        <v>30</v>
      </c>
      <c r="BE744">
        <v>0</v>
      </c>
      <c r="BF744">
        <v>0</v>
      </c>
      <c r="BG744">
        <v>0</v>
      </c>
      <c r="BH744">
        <v>5</v>
      </c>
      <c r="BI744">
        <v>2.4</v>
      </c>
      <c r="BJ744">
        <v>31</v>
      </c>
      <c r="BK744">
        <v>0</v>
      </c>
      <c r="BL744">
        <v>0</v>
      </c>
      <c r="BM744">
        <v>0</v>
      </c>
      <c r="BN744">
        <v>5</v>
      </c>
      <c r="BO744">
        <v>2.4</v>
      </c>
      <c r="BP744">
        <v>36</v>
      </c>
      <c r="BQ744">
        <v>0</v>
      </c>
      <c r="BR744">
        <v>0</v>
      </c>
      <c r="BS744">
        <v>0</v>
      </c>
      <c r="BT744">
        <v>5</v>
      </c>
      <c r="BU744">
        <v>2.2000000000000002</v>
      </c>
    </row>
    <row r="745" spans="1:73" x14ac:dyDescent="0.15">
      <c r="A745" s="11">
        <v>10942</v>
      </c>
      <c r="B745">
        <v>7</v>
      </c>
      <c r="C745" s="1">
        <v>46</v>
      </c>
      <c r="D745">
        <v>0</v>
      </c>
      <c r="E745">
        <v>0</v>
      </c>
      <c r="F745">
        <v>1</v>
      </c>
      <c r="G745" s="7">
        <v>0.05</v>
      </c>
      <c r="H745">
        <v>12</v>
      </c>
      <c r="I745">
        <v>0</v>
      </c>
      <c r="J745">
        <v>0</v>
      </c>
      <c r="K745">
        <v>0</v>
      </c>
      <c r="L745">
        <v>1</v>
      </c>
      <c r="M745">
        <v>2</v>
      </c>
      <c r="N745" s="7">
        <v>9</v>
      </c>
      <c r="O745" s="7">
        <v>0</v>
      </c>
      <c r="P745" s="7">
        <v>0</v>
      </c>
      <c r="Q745" s="7">
        <v>0</v>
      </c>
      <c r="R745" s="7">
        <v>1</v>
      </c>
      <c r="S745" s="7">
        <v>4.5</v>
      </c>
      <c r="T745">
        <v>7</v>
      </c>
      <c r="U745" s="1">
        <v>34</v>
      </c>
      <c r="V745">
        <v>0</v>
      </c>
      <c r="W745">
        <v>0</v>
      </c>
      <c r="X745">
        <v>1</v>
      </c>
      <c r="Y745">
        <v>0.16</v>
      </c>
      <c r="Z745">
        <v>23</v>
      </c>
      <c r="AA745">
        <v>0</v>
      </c>
      <c r="AB745">
        <v>0</v>
      </c>
      <c r="AC745">
        <v>0</v>
      </c>
      <c r="AD745">
        <v>1</v>
      </c>
      <c r="AE745">
        <v>0.05</v>
      </c>
      <c r="AF745">
        <v>15</v>
      </c>
      <c r="AG745">
        <v>0</v>
      </c>
      <c r="AH745">
        <v>0</v>
      </c>
      <c r="AI745">
        <v>0</v>
      </c>
      <c r="AJ745">
        <v>1</v>
      </c>
      <c r="AK745">
        <v>0.02</v>
      </c>
      <c r="AL745">
        <v>16</v>
      </c>
      <c r="AM745">
        <v>0</v>
      </c>
      <c r="AN745">
        <v>0</v>
      </c>
      <c r="AO745">
        <v>0</v>
      </c>
      <c r="AP745">
        <v>1</v>
      </c>
      <c r="AQ745">
        <v>0.01</v>
      </c>
      <c r="AX745">
        <v>7</v>
      </c>
      <c r="AY745" s="1">
        <v>18</v>
      </c>
      <c r="AZ745">
        <v>0</v>
      </c>
      <c r="BA745">
        <v>0</v>
      </c>
      <c r="BB745">
        <v>1</v>
      </c>
      <c r="BC745" s="7">
        <v>0.32</v>
      </c>
      <c r="BD745">
        <v>30</v>
      </c>
      <c r="BE745">
        <v>0</v>
      </c>
      <c r="BF745">
        <v>0</v>
      </c>
      <c r="BG745">
        <v>0</v>
      </c>
      <c r="BH745">
        <v>5</v>
      </c>
      <c r="BI745">
        <v>2.4</v>
      </c>
      <c r="BJ745">
        <v>31</v>
      </c>
      <c r="BK745">
        <v>0</v>
      </c>
      <c r="BL745">
        <v>0</v>
      </c>
      <c r="BM745">
        <v>0</v>
      </c>
      <c r="BN745">
        <v>5</v>
      </c>
      <c r="BO745">
        <v>2.4</v>
      </c>
      <c r="BP745">
        <v>36</v>
      </c>
      <c r="BQ745">
        <v>0</v>
      </c>
      <c r="BR745">
        <v>0</v>
      </c>
      <c r="BS745">
        <v>0</v>
      </c>
      <c r="BT745">
        <v>5</v>
      </c>
      <c r="BU745">
        <v>2.2000000000000002</v>
      </c>
    </row>
    <row r="746" spans="1:73" x14ac:dyDescent="0.15">
      <c r="A746" s="11">
        <v>10943</v>
      </c>
      <c r="B746">
        <v>7</v>
      </c>
      <c r="C746" s="1">
        <v>47</v>
      </c>
      <c r="D746">
        <v>0</v>
      </c>
      <c r="E746">
        <v>0</v>
      </c>
      <c r="F746">
        <v>1</v>
      </c>
      <c r="G746" s="7">
        <v>0.05</v>
      </c>
      <c r="H746">
        <v>12</v>
      </c>
      <c r="I746">
        <v>0</v>
      </c>
      <c r="J746">
        <v>0</v>
      </c>
      <c r="K746">
        <v>0</v>
      </c>
      <c r="L746">
        <v>1</v>
      </c>
      <c r="M746">
        <v>2</v>
      </c>
      <c r="N746" s="7">
        <v>9</v>
      </c>
      <c r="O746" s="7">
        <v>0</v>
      </c>
      <c r="P746" s="7">
        <v>0</v>
      </c>
      <c r="Q746" s="7">
        <v>0</v>
      </c>
      <c r="R746" s="7">
        <v>1</v>
      </c>
      <c r="S746" s="7">
        <v>4.5</v>
      </c>
      <c r="T746">
        <v>7</v>
      </c>
      <c r="U746" s="1">
        <v>35</v>
      </c>
      <c r="V746">
        <v>0</v>
      </c>
      <c r="W746">
        <v>0</v>
      </c>
      <c r="X746">
        <v>1</v>
      </c>
      <c r="Y746">
        <v>0.16</v>
      </c>
      <c r="Z746">
        <v>23</v>
      </c>
      <c r="AA746">
        <v>0</v>
      </c>
      <c r="AB746">
        <v>0</v>
      </c>
      <c r="AC746">
        <v>0</v>
      </c>
      <c r="AD746">
        <v>1</v>
      </c>
      <c r="AE746">
        <v>0.05</v>
      </c>
      <c r="AF746">
        <v>15</v>
      </c>
      <c r="AG746">
        <v>0</v>
      </c>
      <c r="AH746">
        <v>0</v>
      </c>
      <c r="AI746">
        <v>0</v>
      </c>
      <c r="AJ746">
        <v>1</v>
      </c>
      <c r="AK746">
        <v>0.02</v>
      </c>
      <c r="AL746">
        <v>16</v>
      </c>
      <c r="AM746">
        <v>0</v>
      </c>
      <c r="AN746">
        <v>0</v>
      </c>
      <c r="AO746">
        <v>0</v>
      </c>
      <c r="AP746">
        <v>1</v>
      </c>
      <c r="AQ746">
        <v>0.01</v>
      </c>
      <c r="AX746">
        <v>7</v>
      </c>
      <c r="AY746" s="1">
        <v>19</v>
      </c>
      <c r="AZ746">
        <v>0</v>
      </c>
      <c r="BA746">
        <v>0</v>
      </c>
      <c r="BB746">
        <v>1</v>
      </c>
      <c r="BC746" s="7">
        <v>0.32</v>
      </c>
      <c r="BD746">
        <v>30</v>
      </c>
      <c r="BE746">
        <v>0</v>
      </c>
      <c r="BF746">
        <v>0</v>
      </c>
      <c r="BG746">
        <v>0</v>
      </c>
      <c r="BH746">
        <v>5</v>
      </c>
      <c r="BI746">
        <v>2.4</v>
      </c>
      <c r="BJ746">
        <v>31</v>
      </c>
      <c r="BK746">
        <v>0</v>
      </c>
      <c r="BL746">
        <v>0</v>
      </c>
      <c r="BM746">
        <v>0</v>
      </c>
      <c r="BN746">
        <v>5</v>
      </c>
      <c r="BO746">
        <v>2.4</v>
      </c>
      <c r="BP746">
        <v>36</v>
      </c>
      <c r="BQ746">
        <v>0</v>
      </c>
      <c r="BR746">
        <v>0</v>
      </c>
      <c r="BS746">
        <v>0</v>
      </c>
      <c r="BT746">
        <v>5</v>
      </c>
      <c r="BU746">
        <v>2.2000000000000002</v>
      </c>
    </row>
    <row r="747" spans="1:73" x14ac:dyDescent="0.15">
      <c r="A747" s="11">
        <v>10944</v>
      </c>
      <c r="B747">
        <v>7</v>
      </c>
      <c r="C747" s="1">
        <v>48</v>
      </c>
      <c r="D747">
        <v>0</v>
      </c>
      <c r="E747">
        <v>0</v>
      </c>
      <c r="F747">
        <v>1</v>
      </c>
      <c r="G747" s="7">
        <v>0.05</v>
      </c>
      <c r="H747">
        <v>12</v>
      </c>
      <c r="I747">
        <v>0</v>
      </c>
      <c r="J747">
        <v>0</v>
      </c>
      <c r="K747">
        <v>0</v>
      </c>
      <c r="L747">
        <v>1</v>
      </c>
      <c r="M747">
        <v>2</v>
      </c>
      <c r="N747" s="7">
        <v>9</v>
      </c>
      <c r="O747" s="7">
        <v>0</v>
      </c>
      <c r="P747" s="7">
        <v>0</v>
      </c>
      <c r="Q747" s="7">
        <v>0</v>
      </c>
      <c r="R747" s="7">
        <v>1</v>
      </c>
      <c r="S747" s="7">
        <v>4.5</v>
      </c>
      <c r="T747">
        <v>7</v>
      </c>
      <c r="U747" s="1">
        <v>36</v>
      </c>
      <c r="V747">
        <v>0</v>
      </c>
      <c r="W747">
        <v>0</v>
      </c>
      <c r="X747">
        <v>1</v>
      </c>
      <c r="Y747">
        <v>0.16</v>
      </c>
      <c r="Z747">
        <v>23</v>
      </c>
      <c r="AA747">
        <v>0</v>
      </c>
      <c r="AB747">
        <v>0</v>
      </c>
      <c r="AC747">
        <v>0</v>
      </c>
      <c r="AD747">
        <v>1</v>
      </c>
      <c r="AE747">
        <v>0.05</v>
      </c>
      <c r="AF747">
        <v>15</v>
      </c>
      <c r="AG747">
        <v>0</v>
      </c>
      <c r="AH747">
        <v>0</v>
      </c>
      <c r="AI747">
        <v>0</v>
      </c>
      <c r="AJ747">
        <v>1</v>
      </c>
      <c r="AK747">
        <v>0.02</v>
      </c>
      <c r="AL747">
        <v>16</v>
      </c>
      <c r="AM747">
        <v>0</v>
      </c>
      <c r="AN747">
        <v>0</v>
      </c>
      <c r="AO747">
        <v>0</v>
      </c>
      <c r="AP747">
        <v>1</v>
      </c>
      <c r="AQ747">
        <v>0.01</v>
      </c>
      <c r="AX747">
        <v>7</v>
      </c>
      <c r="AY747" s="1">
        <v>20</v>
      </c>
      <c r="AZ747">
        <v>0</v>
      </c>
      <c r="BA747">
        <v>0</v>
      </c>
      <c r="BB747">
        <v>1</v>
      </c>
      <c r="BC747" s="7">
        <v>0.32</v>
      </c>
      <c r="BD747">
        <v>30</v>
      </c>
      <c r="BE747">
        <v>0</v>
      </c>
      <c r="BF747">
        <v>0</v>
      </c>
      <c r="BG747">
        <v>0</v>
      </c>
      <c r="BH747">
        <v>5</v>
      </c>
      <c r="BI747">
        <v>2.4</v>
      </c>
      <c r="BJ747">
        <v>31</v>
      </c>
      <c r="BK747">
        <v>0</v>
      </c>
      <c r="BL747">
        <v>0</v>
      </c>
      <c r="BM747">
        <v>0</v>
      </c>
      <c r="BN747">
        <v>5</v>
      </c>
      <c r="BO747">
        <v>2.4</v>
      </c>
      <c r="BP747">
        <v>36</v>
      </c>
      <c r="BQ747">
        <v>0</v>
      </c>
      <c r="BR747">
        <v>0</v>
      </c>
      <c r="BS747">
        <v>0</v>
      </c>
      <c r="BT747">
        <v>5</v>
      </c>
      <c r="BU747">
        <v>2.2000000000000002</v>
      </c>
    </row>
    <row r="748" spans="1:73" x14ac:dyDescent="0.15">
      <c r="A748" s="11">
        <v>10945</v>
      </c>
      <c r="B748">
        <v>7</v>
      </c>
      <c r="C748" s="1">
        <v>0</v>
      </c>
      <c r="D748">
        <v>5</v>
      </c>
      <c r="E748">
        <v>1</v>
      </c>
      <c r="F748">
        <v>1</v>
      </c>
      <c r="G748" s="7">
        <v>0.05</v>
      </c>
      <c r="H748">
        <v>12</v>
      </c>
      <c r="I748">
        <v>0</v>
      </c>
      <c r="J748">
        <v>0</v>
      </c>
      <c r="K748">
        <v>0</v>
      </c>
      <c r="L748">
        <v>1</v>
      </c>
      <c r="M748">
        <v>2</v>
      </c>
      <c r="N748" s="7">
        <v>9</v>
      </c>
      <c r="O748" s="7">
        <v>0</v>
      </c>
      <c r="P748" s="7">
        <v>0</v>
      </c>
      <c r="Q748" s="7">
        <v>0</v>
      </c>
      <c r="R748" s="7">
        <v>1</v>
      </c>
      <c r="S748" s="7">
        <v>4.5</v>
      </c>
      <c r="T748">
        <v>7</v>
      </c>
      <c r="U748" s="1">
        <v>0</v>
      </c>
      <c r="V748">
        <v>4</v>
      </c>
      <c r="W748">
        <v>2</v>
      </c>
      <c r="X748">
        <v>1</v>
      </c>
      <c r="Y748">
        <v>0.16</v>
      </c>
      <c r="Z748">
        <v>23</v>
      </c>
      <c r="AA748">
        <v>0</v>
      </c>
      <c r="AB748">
        <v>0</v>
      </c>
      <c r="AC748">
        <v>0</v>
      </c>
      <c r="AD748">
        <v>1</v>
      </c>
      <c r="AE748">
        <v>0.05</v>
      </c>
      <c r="AF748">
        <v>15</v>
      </c>
      <c r="AG748">
        <v>0</v>
      </c>
      <c r="AH748">
        <v>0</v>
      </c>
      <c r="AI748">
        <v>0</v>
      </c>
      <c r="AJ748">
        <v>1</v>
      </c>
      <c r="AK748">
        <v>0.02</v>
      </c>
      <c r="AL748">
        <v>16</v>
      </c>
      <c r="AM748">
        <v>0</v>
      </c>
      <c r="AN748">
        <v>0</v>
      </c>
      <c r="AO748">
        <v>0</v>
      </c>
      <c r="AP748">
        <v>1</v>
      </c>
      <c r="AQ748">
        <v>0.01</v>
      </c>
      <c r="AR748">
        <v>6</v>
      </c>
      <c r="AS748">
        <v>2</v>
      </c>
      <c r="AT748">
        <v>4</v>
      </c>
      <c r="AU748">
        <v>5</v>
      </c>
      <c r="AV748">
        <v>1</v>
      </c>
      <c r="AW748">
        <v>0.01</v>
      </c>
      <c r="AX748">
        <v>7</v>
      </c>
      <c r="AY748" s="1">
        <v>0</v>
      </c>
      <c r="AZ748">
        <v>3</v>
      </c>
      <c r="BA748">
        <v>1</v>
      </c>
      <c r="BB748">
        <v>1</v>
      </c>
      <c r="BC748" s="7">
        <v>0.32</v>
      </c>
      <c r="BD748">
        <v>30</v>
      </c>
      <c r="BE748">
        <v>0</v>
      </c>
      <c r="BF748">
        <v>0</v>
      </c>
      <c r="BG748">
        <v>0</v>
      </c>
      <c r="BH748">
        <v>5</v>
      </c>
      <c r="BI748">
        <v>2.4</v>
      </c>
      <c r="BJ748">
        <v>31</v>
      </c>
      <c r="BK748">
        <v>0</v>
      </c>
      <c r="BL748">
        <v>0</v>
      </c>
      <c r="BM748">
        <v>0</v>
      </c>
      <c r="BN748">
        <v>5</v>
      </c>
      <c r="BO748">
        <v>2.4</v>
      </c>
      <c r="BP748">
        <v>36</v>
      </c>
      <c r="BQ748">
        <v>0</v>
      </c>
      <c r="BR748">
        <v>0</v>
      </c>
      <c r="BS748">
        <v>0</v>
      </c>
      <c r="BT748">
        <v>5</v>
      </c>
      <c r="BU748">
        <v>2.2000000000000002</v>
      </c>
    </row>
    <row r="749" spans="1:73" x14ac:dyDescent="0.15">
      <c r="A749" s="11">
        <v>10946</v>
      </c>
      <c r="B749">
        <v>7</v>
      </c>
      <c r="C749" s="1">
        <v>45</v>
      </c>
      <c r="D749">
        <v>0</v>
      </c>
      <c r="E749">
        <v>0</v>
      </c>
      <c r="F749">
        <v>1</v>
      </c>
      <c r="G749" s="7">
        <v>0.05</v>
      </c>
      <c r="H749">
        <v>12</v>
      </c>
      <c r="I749">
        <v>0</v>
      </c>
      <c r="J749">
        <v>0</v>
      </c>
      <c r="K749">
        <v>0</v>
      </c>
      <c r="L749">
        <v>1</v>
      </c>
      <c r="M749">
        <v>2</v>
      </c>
      <c r="N749" s="7">
        <v>9</v>
      </c>
      <c r="O749" s="7">
        <v>0</v>
      </c>
      <c r="P749" s="7">
        <v>0</v>
      </c>
      <c r="Q749" s="7">
        <v>0</v>
      </c>
      <c r="R749" s="7">
        <v>1</v>
      </c>
      <c r="S749" s="7">
        <v>4.5</v>
      </c>
      <c r="T749">
        <v>7</v>
      </c>
      <c r="U749" s="1">
        <v>33</v>
      </c>
      <c r="V749">
        <v>0</v>
      </c>
      <c r="W749">
        <v>0</v>
      </c>
      <c r="X749">
        <v>1</v>
      </c>
      <c r="Y749">
        <v>0.16</v>
      </c>
      <c r="Z749">
        <v>23</v>
      </c>
      <c r="AA749">
        <v>0</v>
      </c>
      <c r="AB749">
        <v>0</v>
      </c>
      <c r="AC749">
        <v>0</v>
      </c>
      <c r="AD749">
        <v>1</v>
      </c>
      <c r="AE749">
        <v>0.05</v>
      </c>
      <c r="AF749">
        <v>15</v>
      </c>
      <c r="AG749">
        <v>0</v>
      </c>
      <c r="AH749">
        <v>0</v>
      </c>
      <c r="AI749">
        <v>0</v>
      </c>
      <c r="AJ749">
        <v>1</v>
      </c>
      <c r="AK749">
        <v>0.02</v>
      </c>
      <c r="AL749">
        <v>16</v>
      </c>
      <c r="AM749">
        <v>0</v>
      </c>
      <c r="AN749">
        <v>0</v>
      </c>
      <c r="AO749">
        <v>0</v>
      </c>
      <c r="AP749">
        <v>1</v>
      </c>
      <c r="AQ749">
        <v>0.01</v>
      </c>
      <c r="AX749">
        <v>7</v>
      </c>
      <c r="AY749" s="1">
        <v>17</v>
      </c>
      <c r="AZ749">
        <v>0</v>
      </c>
      <c r="BA749">
        <v>0</v>
      </c>
      <c r="BB749">
        <v>1</v>
      </c>
      <c r="BC749" s="7">
        <v>0.32</v>
      </c>
      <c r="BD749">
        <v>30</v>
      </c>
      <c r="BE749">
        <v>0</v>
      </c>
      <c r="BF749">
        <v>0</v>
      </c>
      <c r="BG749">
        <v>0</v>
      </c>
      <c r="BH749">
        <v>5</v>
      </c>
      <c r="BI749">
        <v>2.4</v>
      </c>
      <c r="BJ749">
        <v>31</v>
      </c>
      <c r="BK749">
        <v>0</v>
      </c>
      <c r="BL749">
        <v>0</v>
      </c>
      <c r="BM749">
        <v>0</v>
      </c>
      <c r="BN749">
        <v>5</v>
      </c>
      <c r="BO749">
        <v>2.4</v>
      </c>
      <c r="BP749">
        <v>36</v>
      </c>
      <c r="BQ749">
        <v>0</v>
      </c>
      <c r="BR749">
        <v>0</v>
      </c>
      <c r="BS749">
        <v>0</v>
      </c>
      <c r="BT749">
        <v>5</v>
      </c>
      <c r="BU749">
        <v>2.2000000000000002</v>
      </c>
    </row>
    <row r="750" spans="1:73" x14ac:dyDescent="0.15">
      <c r="A750" s="11">
        <v>10947</v>
      </c>
      <c r="B750">
        <v>7</v>
      </c>
      <c r="C750" s="1">
        <v>46</v>
      </c>
      <c r="D750">
        <v>0</v>
      </c>
      <c r="E750">
        <v>0</v>
      </c>
      <c r="F750">
        <v>1</v>
      </c>
      <c r="G750" s="7">
        <v>0.05</v>
      </c>
      <c r="H750">
        <v>12</v>
      </c>
      <c r="I750">
        <v>0</v>
      </c>
      <c r="J750">
        <v>0</v>
      </c>
      <c r="K750">
        <v>0</v>
      </c>
      <c r="L750">
        <v>1</v>
      </c>
      <c r="M750">
        <v>2</v>
      </c>
      <c r="N750" s="7">
        <v>9</v>
      </c>
      <c r="O750" s="7">
        <v>0</v>
      </c>
      <c r="P750" s="7">
        <v>0</v>
      </c>
      <c r="Q750" s="7">
        <v>0</v>
      </c>
      <c r="R750" s="7">
        <v>1</v>
      </c>
      <c r="S750" s="7">
        <v>4.5</v>
      </c>
      <c r="T750">
        <v>7</v>
      </c>
      <c r="U750" s="1">
        <v>34</v>
      </c>
      <c r="V750">
        <v>0</v>
      </c>
      <c r="W750">
        <v>0</v>
      </c>
      <c r="X750">
        <v>1</v>
      </c>
      <c r="Y750">
        <v>0.16</v>
      </c>
      <c r="Z750">
        <v>23</v>
      </c>
      <c r="AA750">
        <v>0</v>
      </c>
      <c r="AB750">
        <v>0</v>
      </c>
      <c r="AC750">
        <v>0</v>
      </c>
      <c r="AD750">
        <v>1</v>
      </c>
      <c r="AE750">
        <v>0.05</v>
      </c>
      <c r="AF750">
        <v>15</v>
      </c>
      <c r="AG750">
        <v>0</v>
      </c>
      <c r="AH750">
        <v>0</v>
      </c>
      <c r="AI750">
        <v>0</v>
      </c>
      <c r="AJ750">
        <v>1</v>
      </c>
      <c r="AK750">
        <v>0.02</v>
      </c>
      <c r="AL750">
        <v>16</v>
      </c>
      <c r="AM750">
        <v>0</v>
      </c>
      <c r="AN750">
        <v>0</v>
      </c>
      <c r="AO750">
        <v>0</v>
      </c>
      <c r="AP750">
        <v>1</v>
      </c>
      <c r="AQ750">
        <v>0.01</v>
      </c>
      <c r="AX750">
        <v>7</v>
      </c>
      <c r="AY750" s="1">
        <v>18</v>
      </c>
      <c r="AZ750">
        <v>0</v>
      </c>
      <c r="BA750">
        <v>0</v>
      </c>
      <c r="BB750">
        <v>1</v>
      </c>
      <c r="BC750" s="7">
        <v>0.32</v>
      </c>
      <c r="BD750">
        <v>30</v>
      </c>
      <c r="BE750">
        <v>0</v>
      </c>
      <c r="BF750">
        <v>0</v>
      </c>
      <c r="BG750">
        <v>0</v>
      </c>
      <c r="BH750">
        <v>5</v>
      </c>
      <c r="BI750">
        <v>2.4</v>
      </c>
      <c r="BJ750">
        <v>31</v>
      </c>
      <c r="BK750">
        <v>0</v>
      </c>
      <c r="BL750">
        <v>0</v>
      </c>
      <c r="BM750">
        <v>0</v>
      </c>
      <c r="BN750">
        <v>5</v>
      </c>
      <c r="BO750">
        <v>2.4</v>
      </c>
      <c r="BP750">
        <v>36</v>
      </c>
      <c r="BQ750">
        <v>0</v>
      </c>
      <c r="BR750">
        <v>0</v>
      </c>
      <c r="BS750">
        <v>0</v>
      </c>
      <c r="BT750">
        <v>5</v>
      </c>
      <c r="BU750">
        <v>2.2000000000000002</v>
      </c>
    </row>
    <row r="751" spans="1:73" x14ac:dyDescent="0.15">
      <c r="A751" s="11">
        <v>10948</v>
      </c>
      <c r="B751">
        <v>7</v>
      </c>
      <c r="C751" s="1">
        <v>47</v>
      </c>
      <c r="D751">
        <v>0</v>
      </c>
      <c r="E751">
        <v>0</v>
      </c>
      <c r="F751">
        <v>1</v>
      </c>
      <c r="G751" s="7">
        <v>0.05</v>
      </c>
      <c r="H751">
        <v>12</v>
      </c>
      <c r="I751">
        <v>0</v>
      </c>
      <c r="J751">
        <v>0</v>
      </c>
      <c r="K751">
        <v>0</v>
      </c>
      <c r="L751">
        <v>1</v>
      </c>
      <c r="M751">
        <v>2</v>
      </c>
      <c r="N751" s="7">
        <v>9</v>
      </c>
      <c r="O751" s="7">
        <v>0</v>
      </c>
      <c r="P751" s="7">
        <v>0</v>
      </c>
      <c r="Q751" s="7">
        <v>0</v>
      </c>
      <c r="R751" s="7">
        <v>1</v>
      </c>
      <c r="S751" s="7">
        <v>4.5</v>
      </c>
      <c r="T751">
        <v>7</v>
      </c>
      <c r="U751" s="1">
        <v>35</v>
      </c>
      <c r="V751">
        <v>0</v>
      </c>
      <c r="W751">
        <v>0</v>
      </c>
      <c r="X751">
        <v>1</v>
      </c>
      <c r="Y751">
        <v>0.16</v>
      </c>
      <c r="Z751">
        <v>23</v>
      </c>
      <c r="AA751">
        <v>0</v>
      </c>
      <c r="AB751">
        <v>0</v>
      </c>
      <c r="AC751">
        <v>0</v>
      </c>
      <c r="AD751">
        <v>1</v>
      </c>
      <c r="AE751">
        <v>0.05</v>
      </c>
      <c r="AF751">
        <v>15</v>
      </c>
      <c r="AG751">
        <v>0</v>
      </c>
      <c r="AH751">
        <v>0</v>
      </c>
      <c r="AI751">
        <v>0</v>
      </c>
      <c r="AJ751">
        <v>1</v>
      </c>
      <c r="AK751">
        <v>0.02</v>
      </c>
      <c r="AL751">
        <v>16</v>
      </c>
      <c r="AM751">
        <v>0</v>
      </c>
      <c r="AN751">
        <v>0</v>
      </c>
      <c r="AO751">
        <v>0</v>
      </c>
      <c r="AP751">
        <v>1</v>
      </c>
      <c r="AQ751">
        <v>0.01</v>
      </c>
      <c r="AX751">
        <v>7</v>
      </c>
      <c r="AY751" s="1">
        <v>19</v>
      </c>
      <c r="AZ751">
        <v>0</v>
      </c>
      <c r="BA751">
        <v>0</v>
      </c>
      <c r="BB751">
        <v>1</v>
      </c>
      <c r="BC751" s="7">
        <v>0.32</v>
      </c>
      <c r="BD751">
        <v>30</v>
      </c>
      <c r="BE751">
        <v>0</v>
      </c>
      <c r="BF751">
        <v>0</v>
      </c>
      <c r="BG751">
        <v>0</v>
      </c>
      <c r="BH751">
        <v>5</v>
      </c>
      <c r="BI751">
        <v>2.4</v>
      </c>
      <c r="BJ751">
        <v>31</v>
      </c>
      <c r="BK751">
        <v>0</v>
      </c>
      <c r="BL751">
        <v>0</v>
      </c>
      <c r="BM751">
        <v>0</v>
      </c>
      <c r="BN751">
        <v>5</v>
      </c>
      <c r="BO751">
        <v>2.4</v>
      </c>
      <c r="BP751">
        <v>36</v>
      </c>
      <c r="BQ751">
        <v>0</v>
      </c>
      <c r="BR751">
        <v>0</v>
      </c>
      <c r="BS751">
        <v>0</v>
      </c>
      <c r="BT751">
        <v>5</v>
      </c>
      <c r="BU751">
        <v>2.2000000000000002</v>
      </c>
    </row>
    <row r="752" spans="1:73" x14ac:dyDescent="0.15">
      <c r="A752" s="11">
        <v>10949</v>
      </c>
      <c r="B752">
        <v>7</v>
      </c>
      <c r="C752" s="1">
        <v>48</v>
      </c>
      <c r="D752">
        <v>0</v>
      </c>
      <c r="E752">
        <v>0</v>
      </c>
      <c r="F752">
        <v>1</v>
      </c>
      <c r="G752" s="7">
        <v>0.05</v>
      </c>
      <c r="H752">
        <v>12</v>
      </c>
      <c r="I752">
        <v>0</v>
      </c>
      <c r="J752">
        <v>0</v>
      </c>
      <c r="K752">
        <v>0</v>
      </c>
      <c r="L752">
        <v>1</v>
      </c>
      <c r="M752">
        <v>2</v>
      </c>
      <c r="N752" s="7">
        <v>9</v>
      </c>
      <c r="O752" s="7">
        <v>0</v>
      </c>
      <c r="P752" s="7">
        <v>0</v>
      </c>
      <c r="Q752" s="7">
        <v>0</v>
      </c>
      <c r="R752" s="7">
        <v>1</v>
      </c>
      <c r="S752" s="7">
        <v>4.5</v>
      </c>
      <c r="T752">
        <v>7</v>
      </c>
      <c r="U752" s="1">
        <v>36</v>
      </c>
      <c r="V752">
        <v>0</v>
      </c>
      <c r="W752">
        <v>0</v>
      </c>
      <c r="X752">
        <v>1</v>
      </c>
      <c r="Y752">
        <v>0.16</v>
      </c>
      <c r="Z752">
        <v>23</v>
      </c>
      <c r="AA752">
        <v>0</v>
      </c>
      <c r="AB752">
        <v>0</v>
      </c>
      <c r="AC752">
        <v>0</v>
      </c>
      <c r="AD752">
        <v>1</v>
      </c>
      <c r="AE752">
        <v>0.05</v>
      </c>
      <c r="AF752">
        <v>15</v>
      </c>
      <c r="AG752">
        <v>0</v>
      </c>
      <c r="AH752">
        <v>0</v>
      </c>
      <c r="AI752">
        <v>0</v>
      </c>
      <c r="AJ752">
        <v>1</v>
      </c>
      <c r="AK752">
        <v>0.02</v>
      </c>
      <c r="AL752">
        <v>16</v>
      </c>
      <c r="AM752">
        <v>0</v>
      </c>
      <c r="AN752">
        <v>0</v>
      </c>
      <c r="AO752">
        <v>0</v>
      </c>
      <c r="AP752">
        <v>1</v>
      </c>
      <c r="AQ752">
        <v>0.01</v>
      </c>
      <c r="AX752">
        <v>7</v>
      </c>
      <c r="AY752" s="1">
        <v>20</v>
      </c>
      <c r="AZ752">
        <v>0</v>
      </c>
      <c r="BA752">
        <v>0</v>
      </c>
      <c r="BB752">
        <v>1</v>
      </c>
      <c r="BC752" s="7">
        <v>0.32</v>
      </c>
      <c r="BD752">
        <v>30</v>
      </c>
      <c r="BE752">
        <v>0</v>
      </c>
      <c r="BF752">
        <v>0</v>
      </c>
      <c r="BG752">
        <v>0</v>
      </c>
      <c r="BH752">
        <v>5</v>
      </c>
      <c r="BI752">
        <v>2.4</v>
      </c>
      <c r="BJ752">
        <v>31</v>
      </c>
      <c r="BK752">
        <v>0</v>
      </c>
      <c r="BL752">
        <v>0</v>
      </c>
      <c r="BM752">
        <v>0</v>
      </c>
      <c r="BN752">
        <v>5</v>
      </c>
      <c r="BO752">
        <v>2.4</v>
      </c>
      <c r="BP752">
        <v>36</v>
      </c>
      <c r="BQ752">
        <v>0</v>
      </c>
      <c r="BR752">
        <v>0</v>
      </c>
      <c r="BS752">
        <v>0</v>
      </c>
      <c r="BT752">
        <v>5</v>
      </c>
      <c r="BU752">
        <v>2.2000000000000002</v>
      </c>
    </row>
    <row r="753" spans="1:73" x14ac:dyDescent="0.15">
      <c r="A753" s="11">
        <v>10950</v>
      </c>
      <c r="B753">
        <v>7</v>
      </c>
      <c r="C753" s="1">
        <v>0</v>
      </c>
      <c r="D753">
        <v>5</v>
      </c>
      <c r="E753">
        <v>1</v>
      </c>
      <c r="F753">
        <v>1</v>
      </c>
      <c r="G753" s="7">
        <v>0.05</v>
      </c>
      <c r="H753">
        <v>12</v>
      </c>
      <c r="I753">
        <v>0</v>
      </c>
      <c r="J753">
        <v>0</v>
      </c>
      <c r="K753">
        <v>0</v>
      </c>
      <c r="L753">
        <v>1</v>
      </c>
      <c r="M753">
        <v>2</v>
      </c>
      <c r="N753" s="7">
        <v>9</v>
      </c>
      <c r="O753" s="7">
        <v>0</v>
      </c>
      <c r="P753" s="7">
        <v>0</v>
      </c>
      <c r="Q753" s="7">
        <v>0</v>
      </c>
      <c r="R753" s="7">
        <v>1</v>
      </c>
      <c r="S753" s="7">
        <v>4.5</v>
      </c>
      <c r="T753">
        <v>7</v>
      </c>
      <c r="U753" s="1">
        <v>0</v>
      </c>
      <c r="V753">
        <v>4</v>
      </c>
      <c r="W753">
        <v>2</v>
      </c>
      <c r="X753">
        <v>1</v>
      </c>
      <c r="Y753">
        <v>0.16</v>
      </c>
      <c r="Z753">
        <v>23</v>
      </c>
      <c r="AA753">
        <v>0</v>
      </c>
      <c r="AB753">
        <v>0</v>
      </c>
      <c r="AC753">
        <v>0</v>
      </c>
      <c r="AD753">
        <v>1</v>
      </c>
      <c r="AE753">
        <v>0.05</v>
      </c>
      <c r="AF753">
        <v>15</v>
      </c>
      <c r="AG753">
        <v>0</v>
      </c>
      <c r="AH753">
        <v>0</v>
      </c>
      <c r="AI753">
        <v>0</v>
      </c>
      <c r="AJ753">
        <v>1</v>
      </c>
      <c r="AK753">
        <v>0.02</v>
      </c>
      <c r="AL753">
        <v>16</v>
      </c>
      <c r="AM753">
        <v>0</v>
      </c>
      <c r="AN753">
        <v>0</v>
      </c>
      <c r="AO753">
        <v>0</v>
      </c>
      <c r="AP753">
        <v>1</v>
      </c>
      <c r="AQ753">
        <v>0.01</v>
      </c>
      <c r="AR753">
        <v>6</v>
      </c>
      <c r="AS753">
        <v>2</v>
      </c>
      <c r="AT753">
        <v>5</v>
      </c>
      <c r="AU753">
        <v>5</v>
      </c>
      <c r="AV753">
        <v>1</v>
      </c>
      <c r="AW753">
        <v>0.01</v>
      </c>
      <c r="AX753">
        <v>7</v>
      </c>
      <c r="AY753" s="1">
        <v>0</v>
      </c>
      <c r="AZ753">
        <v>3</v>
      </c>
      <c r="BA753">
        <v>1</v>
      </c>
      <c r="BB753">
        <v>1</v>
      </c>
      <c r="BC753" s="7">
        <v>0.32</v>
      </c>
      <c r="BD753">
        <v>30</v>
      </c>
      <c r="BE753">
        <v>0</v>
      </c>
      <c r="BF753">
        <v>0</v>
      </c>
      <c r="BG753">
        <v>0</v>
      </c>
      <c r="BH753">
        <v>5</v>
      </c>
      <c r="BI753">
        <v>2.4</v>
      </c>
      <c r="BJ753">
        <v>31</v>
      </c>
      <c r="BK753">
        <v>0</v>
      </c>
      <c r="BL753">
        <v>0</v>
      </c>
      <c r="BM753">
        <v>0</v>
      </c>
      <c r="BN753">
        <v>5</v>
      </c>
      <c r="BO753">
        <v>2.4</v>
      </c>
      <c r="BP753">
        <v>36</v>
      </c>
      <c r="BQ753">
        <v>0</v>
      </c>
      <c r="BR753">
        <v>0</v>
      </c>
      <c r="BS753">
        <v>0</v>
      </c>
      <c r="BT753">
        <v>5</v>
      </c>
      <c r="BU753">
        <v>2.2000000000000002</v>
      </c>
    </row>
    <row r="754" spans="1:73" x14ac:dyDescent="0.15">
      <c r="A754" s="11">
        <v>11001</v>
      </c>
      <c r="B754">
        <v>7</v>
      </c>
      <c r="C754" s="1">
        <v>45</v>
      </c>
      <c r="D754">
        <v>0</v>
      </c>
      <c r="E754">
        <v>0</v>
      </c>
      <c r="F754">
        <v>1</v>
      </c>
      <c r="G754" s="7">
        <v>0.05</v>
      </c>
      <c r="H754">
        <v>12</v>
      </c>
      <c r="I754">
        <v>0</v>
      </c>
      <c r="J754">
        <v>0</v>
      </c>
      <c r="K754">
        <v>0</v>
      </c>
      <c r="L754">
        <v>1</v>
      </c>
      <c r="M754">
        <v>2</v>
      </c>
      <c r="N754" s="7">
        <v>9</v>
      </c>
      <c r="O754" s="7">
        <v>0</v>
      </c>
      <c r="P754" s="7">
        <v>0</v>
      </c>
      <c r="Q754" s="7">
        <v>0</v>
      </c>
      <c r="R754" s="7">
        <v>1</v>
      </c>
      <c r="S754" s="7">
        <v>4.5</v>
      </c>
      <c r="T754">
        <v>7</v>
      </c>
      <c r="U754" s="1">
        <v>33</v>
      </c>
      <c r="V754">
        <v>0</v>
      </c>
      <c r="W754">
        <v>0</v>
      </c>
      <c r="X754">
        <v>1</v>
      </c>
      <c r="Y754">
        <v>0.16</v>
      </c>
      <c r="Z754">
        <v>23</v>
      </c>
      <c r="AA754">
        <v>0</v>
      </c>
      <c r="AB754">
        <v>0</v>
      </c>
      <c r="AC754">
        <v>0</v>
      </c>
      <c r="AD754">
        <v>1</v>
      </c>
      <c r="AE754">
        <v>0.05</v>
      </c>
      <c r="AF754">
        <v>15</v>
      </c>
      <c r="AG754">
        <v>0</v>
      </c>
      <c r="AH754">
        <v>0</v>
      </c>
      <c r="AI754">
        <v>0</v>
      </c>
      <c r="AJ754">
        <v>1</v>
      </c>
      <c r="AK754">
        <v>0.02</v>
      </c>
      <c r="AL754">
        <v>16</v>
      </c>
      <c r="AM754">
        <v>0</v>
      </c>
      <c r="AN754">
        <v>0</v>
      </c>
      <c r="AO754">
        <v>0</v>
      </c>
      <c r="AP754">
        <v>1</v>
      </c>
      <c r="AQ754">
        <v>0.01</v>
      </c>
      <c r="AX754">
        <v>7</v>
      </c>
      <c r="AY754" s="1">
        <v>17</v>
      </c>
      <c r="AZ754">
        <v>0</v>
      </c>
      <c r="BA754">
        <v>0</v>
      </c>
      <c r="BB754">
        <v>1</v>
      </c>
      <c r="BC754" s="7">
        <v>0.32</v>
      </c>
      <c r="BD754">
        <v>30</v>
      </c>
      <c r="BE754">
        <v>0</v>
      </c>
      <c r="BF754">
        <v>0</v>
      </c>
      <c r="BG754">
        <v>0</v>
      </c>
      <c r="BH754">
        <v>5</v>
      </c>
      <c r="BI754">
        <v>2.4</v>
      </c>
      <c r="BJ754">
        <v>31</v>
      </c>
      <c r="BK754">
        <v>0</v>
      </c>
      <c r="BL754">
        <v>0</v>
      </c>
      <c r="BM754">
        <v>0</v>
      </c>
      <c r="BN754">
        <v>5</v>
      </c>
      <c r="BO754">
        <v>2.4</v>
      </c>
      <c r="BP754">
        <v>36</v>
      </c>
      <c r="BQ754">
        <v>0</v>
      </c>
      <c r="BR754">
        <v>0</v>
      </c>
      <c r="BS754">
        <v>0</v>
      </c>
      <c r="BT754">
        <v>5</v>
      </c>
      <c r="BU754">
        <v>2</v>
      </c>
    </row>
    <row r="755" spans="1:73" x14ac:dyDescent="0.15">
      <c r="A755" s="11">
        <v>11002</v>
      </c>
      <c r="B755">
        <v>7</v>
      </c>
      <c r="C755" s="1">
        <v>46</v>
      </c>
      <c r="D755">
        <v>0</v>
      </c>
      <c r="E755">
        <v>0</v>
      </c>
      <c r="F755">
        <v>1</v>
      </c>
      <c r="G755" s="7">
        <v>0.05</v>
      </c>
      <c r="H755">
        <v>12</v>
      </c>
      <c r="I755">
        <v>0</v>
      </c>
      <c r="J755">
        <v>0</v>
      </c>
      <c r="K755">
        <v>0</v>
      </c>
      <c r="L755">
        <v>1</v>
      </c>
      <c r="M755">
        <v>2</v>
      </c>
      <c r="N755" s="7">
        <v>9</v>
      </c>
      <c r="O755" s="7">
        <v>0</v>
      </c>
      <c r="P755" s="7">
        <v>0</v>
      </c>
      <c r="Q755" s="7">
        <v>0</v>
      </c>
      <c r="R755" s="7">
        <v>1</v>
      </c>
      <c r="S755" s="7">
        <v>4.5</v>
      </c>
      <c r="T755">
        <v>7</v>
      </c>
      <c r="U755" s="1">
        <v>34</v>
      </c>
      <c r="V755">
        <v>0</v>
      </c>
      <c r="W755">
        <v>0</v>
      </c>
      <c r="X755">
        <v>1</v>
      </c>
      <c r="Y755">
        <v>0.16</v>
      </c>
      <c r="Z755">
        <v>23</v>
      </c>
      <c r="AA755">
        <v>0</v>
      </c>
      <c r="AB755">
        <v>0</v>
      </c>
      <c r="AC755">
        <v>0</v>
      </c>
      <c r="AD755">
        <v>1</v>
      </c>
      <c r="AE755">
        <v>0.05</v>
      </c>
      <c r="AF755">
        <v>15</v>
      </c>
      <c r="AG755">
        <v>0</v>
      </c>
      <c r="AH755">
        <v>0</v>
      </c>
      <c r="AI755">
        <v>0</v>
      </c>
      <c r="AJ755">
        <v>1</v>
      </c>
      <c r="AK755">
        <v>0.02</v>
      </c>
      <c r="AL755">
        <v>16</v>
      </c>
      <c r="AM755">
        <v>0</v>
      </c>
      <c r="AN755">
        <v>0</v>
      </c>
      <c r="AO755">
        <v>0</v>
      </c>
      <c r="AP755">
        <v>1</v>
      </c>
      <c r="AQ755">
        <v>0.01</v>
      </c>
      <c r="AX755">
        <v>7</v>
      </c>
      <c r="AY755" s="1">
        <v>18</v>
      </c>
      <c r="AZ755">
        <v>0</v>
      </c>
      <c r="BA755">
        <v>0</v>
      </c>
      <c r="BB755">
        <v>1</v>
      </c>
      <c r="BC755" s="7">
        <v>0.32</v>
      </c>
      <c r="BD755">
        <v>30</v>
      </c>
      <c r="BE755">
        <v>0</v>
      </c>
      <c r="BF755">
        <v>0</v>
      </c>
      <c r="BG755">
        <v>0</v>
      </c>
      <c r="BH755">
        <v>5</v>
      </c>
      <c r="BI755">
        <v>2.4</v>
      </c>
      <c r="BJ755">
        <v>31</v>
      </c>
      <c r="BK755">
        <v>0</v>
      </c>
      <c r="BL755">
        <v>0</v>
      </c>
      <c r="BM755">
        <v>0</v>
      </c>
      <c r="BN755">
        <v>5</v>
      </c>
      <c r="BO755">
        <v>2.4</v>
      </c>
      <c r="BP755">
        <v>36</v>
      </c>
      <c r="BQ755">
        <v>0</v>
      </c>
      <c r="BR755">
        <v>0</v>
      </c>
      <c r="BS755">
        <v>0</v>
      </c>
      <c r="BT755">
        <v>5</v>
      </c>
      <c r="BU755">
        <v>2</v>
      </c>
    </row>
    <row r="756" spans="1:73" x14ac:dyDescent="0.15">
      <c r="A756" s="11">
        <v>11003</v>
      </c>
      <c r="B756">
        <v>7</v>
      </c>
      <c r="C756" s="1">
        <v>47</v>
      </c>
      <c r="D756">
        <v>0</v>
      </c>
      <c r="E756">
        <v>0</v>
      </c>
      <c r="F756">
        <v>1</v>
      </c>
      <c r="G756" s="7">
        <v>0.05</v>
      </c>
      <c r="H756">
        <v>12</v>
      </c>
      <c r="I756">
        <v>0</v>
      </c>
      <c r="J756">
        <v>0</v>
      </c>
      <c r="K756">
        <v>0</v>
      </c>
      <c r="L756">
        <v>1</v>
      </c>
      <c r="M756">
        <v>2</v>
      </c>
      <c r="N756" s="7">
        <v>9</v>
      </c>
      <c r="O756" s="7">
        <v>0</v>
      </c>
      <c r="P756" s="7">
        <v>0</v>
      </c>
      <c r="Q756" s="7">
        <v>0</v>
      </c>
      <c r="R756" s="7">
        <v>1</v>
      </c>
      <c r="S756" s="7">
        <v>4.5</v>
      </c>
      <c r="T756">
        <v>7</v>
      </c>
      <c r="U756" s="1">
        <v>35</v>
      </c>
      <c r="V756">
        <v>0</v>
      </c>
      <c r="W756">
        <v>0</v>
      </c>
      <c r="X756">
        <v>1</v>
      </c>
      <c r="Y756">
        <v>0.16</v>
      </c>
      <c r="Z756">
        <v>23</v>
      </c>
      <c r="AA756">
        <v>0</v>
      </c>
      <c r="AB756">
        <v>0</v>
      </c>
      <c r="AC756">
        <v>0</v>
      </c>
      <c r="AD756">
        <v>1</v>
      </c>
      <c r="AE756">
        <v>0.05</v>
      </c>
      <c r="AF756">
        <v>15</v>
      </c>
      <c r="AG756">
        <v>0</v>
      </c>
      <c r="AH756">
        <v>0</v>
      </c>
      <c r="AI756">
        <v>0</v>
      </c>
      <c r="AJ756">
        <v>1</v>
      </c>
      <c r="AK756">
        <v>0.02</v>
      </c>
      <c r="AL756">
        <v>16</v>
      </c>
      <c r="AM756">
        <v>0</v>
      </c>
      <c r="AN756">
        <v>0</v>
      </c>
      <c r="AO756">
        <v>0</v>
      </c>
      <c r="AP756">
        <v>1</v>
      </c>
      <c r="AQ756">
        <v>0.01</v>
      </c>
      <c r="AX756">
        <v>7</v>
      </c>
      <c r="AY756" s="1">
        <v>19</v>
      </c>
      <c r="AZ756">
        <v>0</v>
      </c>
      <c r="BA756">
        <v>0</v>
      </c>
      <c r="BB756">
        <v>1</v>
      </c>
      <c r="BC756" s="7">
        <v>0.32</v>
      </c>
      <c r="BD756">
        <v>30</v>
      </c>
      <c r="BE756">
        <v>0</v>
      </c>
      <c r="BF756">
        <v>0</v>
      </c>
      <c r="BG756">
        <v>0</v>
      </c>
      <c r="BH756">
        <v>5</v>
      </c>
      <c r="BI756">
        <v>2.4</v>
      </c>
      <c r="BJ756">
        <v>31</v>
      </c>
      <c r="BK756">
        <v>0</v>
      </c>
      <c r="BL756">
        <v>0</v>
      </c>
      <c r="BM756">
        <v>0</v>
      </c>
      <c r="BN756">
        <v>5</v>
      </c>
      <c r="BO756">
        <v>2.4</v>
      </c>
      <c r="BP756">
        <v>36</v>
      </c>
      <c r="BQ756">
        <v>0</v>
      </c>
      <c r="BR756">
        <v>0</v>
      </c>
      <c r="BS756">
        <v>0</v>
      </c>
      <c r="BT756">
        <v>5</v>
      </c>
      <c r="BU756">
        <v>2</v>
      </c>
    </row>
    <row r="757" spans="1:73" x14ac:dyDescent="0.15">
      <c r="A757" s="11">
        <v>11004</v>
      </c>
      <c r="B757">
        <v>7</v>
      </c>
      <c r="C757" s="1">
        <v>48</v>
      </c>
      <c r="D757">
        <v>0</v>
      </c>
      <c r="E757">
        <v>0</v>
      </c>
      <c r="F757">
        <v>1</v>
      </c>
      <c r="G757" s="7">
        <v>0.05</v>
      </c>
      <c r="H757">
        <v>12</v>
      </c>
      <c r="I757">
        <v>0</v>
      </c>
      <c r="J757">
        <v>0</v>
      </c>
      <c r="K757">
        <v>0</v>
      </c>
      <c r="L757">
        <v>1</v>
      </c>
      <c r="M757">
        <v>2</v>
      </c>
      <c r="N757" s="7">
        <v>9</v>
      </c>
      <c r="O757" s="7">
        <v>0</v>
      </c>
      <c r="P757" s="7">
        <v>0</v>
      </c>
      <c r="Q757" s="7">
        <v>0</v>
      </c>
      <c r="R757" s="7">
        <v>1</v>
      </c>
      <c r="S757" s="7">
        <v>4.5</v>
      </c>
      <c r="T757">
        <v>7</v>
      </c>
      <c r="U757" s="1">
        <v>36</v>
      </c>
      <c r="V757">
        <v>0</v>
      </c>
      <c r="W757">
        <v>0</v>
      </c>
      <c r="X757">
        <v>1</v>
      </c>
      <c r="Y757">
        <v>0.16</v>
      </c>
      <c r="Z757">
        <v>23</v>
      </c>
      <c r="AA757">
        <v>0</v>
      </c>
      <c r="AB757">
        <v>0</v>
      </c>
      <c r="AC757">
        <v>0</v>
      </c>
      <c r="AD757">
        <v>1</v>
      </c>
      <c r="AE757">
        <v>0.05</v>
      </c>
      <c r="AF757">
        <v>15</v>
      </c>
      <c r="AG757">
        <v>0</v>
      </c>
      <c r="AH757">
        <v>0</v>
      </c>
      <c r="AI757">
        <v>0</v>
      </c>
      <c r="AJ757">
        <v>1</v>
      </c>
      <c r="AK757">
        <v>0.02</v>
      </c>
      <c r="AL757">
        <v>16</v>
      </c>
      <c r="AM757">
        <v>0</v>
      </c>
      <c r="AN757">
        <v>0</v>
      </c>
      <c r="AO757">
        <v>0</v>
      </c>
      <c r="AP757">
        <v>1</v>
      </c>
      <c r="AQ757">
        <v>0.01</v>
      </c>
      <c r="AX757">
        <v>7</v>
      </c>
      <c r="AY757" s="1">
        <v>20</v>
      </c>
      <c r="AZ757">
        <v>0</v>
      </c>
      <c r="BA757">
        <v>0</v>
      </c>
      <c r="BB757">
        <v>1</v>
      </c>
      <c r="BC757" s="7">
        <v>0.32</v>
      </c>
      <c r="BD757">
        <v>30</v>
      </c>
      <c r="BE757">
        <v>0</v>
      </c>
      <c r="BF757">
        <v>0</v>
      </c>
      <c r="BG757">
        <v>0</v>
      </c>
      <c r="BH757">
        <v>5</v>
      </c>
      <c r="BI757">
        <v>2.4</v>
      </c>
      <c r="BJ757">
        <v>31</v>
      </c>
      <c r="BK757">
        <v>0</v>
      </c>
      <c r="BL757">
        <v>0</v>
      </c>
      <c r="BM757">
        <v>0</v>
      </c>
      <c r="BN757">
        <v>5</v>
      </c>
      <c r="BO757">
        <v>2.4</v>
      </c>
      <c r="BP757">
        <v>36</v>
      </c>
      <c r="BQ757">
        <v>0</v>
      </c>
      <c r="BR757">
        <v>0</v>
      </c>
      <c r="BS757">
        <v>0</v>
      </c>
      <c r="BT757">
        <v>5</v>
      </c>
      <c r="BU757">
        <v>2</v>
      </c>
    </row>
    <row r="758" spans="1:73" x14ac:dyDescent="0.15">
      <c r="A758" s="11">
        <v>11005</v>
      </c>
      <c r="B758">
        <v>7</v>
      </c>
      <c r="C758" s="1">
        <v>0</v>
      </c>
      <c r="D758">
        <v>5</v>
      </c>
      <c r="E758">
        <v>1</v>
      </c>
      <c r="F758">
        <v>1</v>
      </c>
      <c r="G758" s="7">
        <v>0.05</v>
      </c>
      <c r="H758">
        <v>12</v>
      </c>
      <c r="I758">
        <v>0</v>
      </c>
      <c r="J758">
        <v>0</v>
      </c>
      <c r="K758">
        <v>0</v>
      </c>
      <c r="L758">
        <v>1</v>
      </c>
      <c r="M758">
        <v>2</v>
      </c>
      <c r="N758" s="7">
        <v>9</v>
      </c>
      <c r="O758" s="7">
        <v>0</v>
      </c>
      <c r="P758" s="7">
        <v>0</v>
      </c>
      <c r="Q758" s="7">
        <v>0</v>
      </c>
      <c r="R758" s="7">
        <v>1</v>
      </c>
      <c r="S758" s="7">
        <v>4.5</v>
      </c>
      <c r="T758">
        <v>7</v>
      </c>
      <c r="U758" s="1">
        <v>0</v>
      </c>
      <c r="V758">
        <v>4</v>
      </c>
      <c r="W758">
        <v>2</v>
      </c>
      <c r="X758">
        <v>1</v>
      </c>
      <c r="Y758">
        <v>0.16</v>
      </c>
      <c r="Z758">
        <v>23</v>
      </c>
      <c r="AA758">
        <v>0</v>
      </c>
      <c r="AB758">
        <v>0</v>
      </c>
      <c r="AC758">
        <v>0</v>
      </c>
      <c r="AD758">
        <v>1</v>
      </c>
      <c r="AE758">
        <v>0.05</v>
      </c>
      <c r="AF758">
        <v>15</v>
      </c>
      <c r="AG758">
        <v>0</v>
      </c>
      <c r="AH758">
        <v>0</v>
      </c>
      <c r="AI758">
        <v>0</v>
      </c>
      <c r="AJ758">
        <v>1</v>
      </c>
      <c r="AK758">
        <v>0.02</v>
      </c>
      <c r="AL758">
        <v>16</v>
      </c>
      <c r="AM758">
        <v>0</v>
      </c>
      <c r="AN758">
        <v>0</v>
      </c>
      <c r="AO758">
        <v>0</v>
      </c>
      <c r="AP758">
        <v>1</v>
      </c>
      <c r="AQ758">
        <v>0.01</v>
      </c>
      <c r="AR758">
        <v>6</v>
      </c>
      <c r="AS758">
        <v>2</v>
      </c>
      <c r="AT758">
        <v>1</v>
      </c>
      <c r="AU758">
        <v>5</v>
      </c>
      <c r="AV758">
        <v>1</v>
      </c>
      <c r="AW758">
        <v>0.05</v>
      </c>
      <c r="AX758">
        <v>7</v>
      </c>
      <c r="AY758" s="1">
        <v>0</v>
      </c>
      <c r="AZ758">
        <v>3</v>
      </c>
      <c r="BA758">
        <v>1</v>
      </c>
      <c r="BB758">
        <v>1</v>
      </c>
      <c r="BC758" s="7">
        <v>0.32</v>
      </c>
      <c r="BD758">
        <v>30</v>
      </c>
      <c r="BE758">
        <v>0</v>
      </c>
      <c r="BF758">
        <v>0</v>
      </c>
      <c r="BG758">
        <v>0</v>
      </c>
      <c r="BH758">
        <v>5</v>
      </c>
      <c r="BI758">
        <v>2.4</v>
      </c>
      <c r="BJ758">
        <v>31</v>
      </c>
      <c r="BK758">
        <v>0</v>
      </c>
      <c r="BL758">
        <v>0</v>
      </c>
      <c r="BM758">
        <v>0</v>
      </c>
      <c r="BN758">
        <v>5</v>
      </c>
      <c r="BO758">
        <v>2.4</v>
      </c>
      <c r="BP758">
        <v>36</v>
      </c>
      <c r="BQ758">
        <v>0</v>
      </c>
      <c r="BR758">
        <v>0</v>
      </c>
      <c r="BS758">
        <v>0</v>
      </c>
      <c r="BT758">
        <v>5</v>
      </c>
      <c r="BU758">
        <v>2</v>
      </c>
    </row>
    <row r="759" spans="1:73" x14ac:dyDescent="0.15">
      <c r="A759" s="11">
        <v>11006</v>
      </c>
      <c r="B759">
        <v>7</v>
      </c>
      <c r="C759" s="1">
        <v>45</v>
      </c>
      <c r="D759">
        <v>0</v>
      </c>
      <c r="E759">
        <v>0</v>
      </c>
      <c r="F759">
        <v>1</v>
      </c>
      <c r="G759" s="7">
        <v>0.05</v>
      </c>
      <c r="H759">
        <v>12</v>
      </c>
      <c r="I759">
        <v>0</v>
      </c>
      <c r="J759">
        <v>0</v>
      </c>
      <c r="K759">
        <v>0</v>
      </c>
      <c r="L759">
        <v>1</v>
      </c>
      <c r="M759">
        <v>2</v>
      </c>
      <c r="N759" s="7">
        <v>9</v>
      </c>
      <c r="O759" s="7">
        <v>0</v>
      </c>
      <c r="P759" s="7">
        <v>0</v>
      </c>
      <c r="Q759" s="7">
        <v>0</v>
      </c>
      <c r="R759" s="7">
        <v>1</v>
      </c>
      <c r="S759" s="7">
        <v>4.5</v>
      </c>
      <c r="T759">
        <v>7</v>
      </c>
      <c r="U759" s="1">
        <v>33</v>
      </c>
      <c r="V759">
        <v>0</v>
      </c>
      <c r="W759">
        <v>0</v>
      </c>
      <c r="X759">
        <v>1</v>
      </c>
      <c r="Y759">
        <v>0.16</v>
      </c>
      <c r="Z759">
        <v>23</v>
      </c>
      <c r="AA759">
        <v>0</v>
      </c>
      <c r="AB759">
        <v>0</v>
      </c>
      <c r="AC759">
        <v>0</v>
      </c>
      <c r="AD759">
        <v>1</v>
      </c>
      <c r="AE759">
        <v>0.05</v>
      </c>
      <c r="AF759">
        <v>15</v>
      </c>
      <c r="AG759">
        <v>0</v>
      </c>
      <c r="AH759">
        <v>0</v>
      </c>
      <c r="AI759">
        <v>0</v>
      </c>
      <c r="AJ759">
        <v>1</v>
      </c>
      <c r="AK759">
        <v>0.02</v>
      </c>
      <c r="AL759">
        <v>16</v>
      </c>
      <c r="AM759">
        <v>0</v>
      </c>
      <c r="AN759">
        <v>0</v>
      </c>
      <c r="AO759">
        <v>0</v>
      </c>
      <c r="AP759">
        <v>1</v>
      </c>
      <c r="AQ759">
        <v>0.01</v>
      </c>
      <c r="AX759">
        <v>7</v>
      </c>
      <c r="AY759" s="1">
        <v>17</v>
      </c>
      <c r="AZ759">
        <v>0</v>
      </c>
      <c r="BA759">
        <v>0</v>
      </c>
      <c r="BB759">
        <v>1</v>
      </c>
      <c r="BC759" s="7">
        <v>0.32</v>
      </c>
      <c r="BD759">
        <v>30</v>
      </c>
      <c r="BE759">
        <v>0</v>
      </c>
      <c r="BF759">
        <v>0</v>
      </c>
      <c r="BG759">
        <v>0</v>
      </c>
      <c r="BH759">
        <v>5</v>
      </c>
      <c r="BI759">
        <v>2.4</v>
      </c>
      <c r="BJ759">
        <v>31</v>
      </c>
      <c r="BK759">
        <v>0</v>
      </c>
      <c r="BL759">
        <v>0</v>
      </c>
      <c r="BM759">
        <v>0</v>
      </c>
      <c r="BN759">
        <v>5</v>
      </c>
      <c r="BO759">
        <v>2.4</v>
      </c>
      <c r="BP759">
        <v>36</v>
      </c>
      <c r="BQ759">
        <v>0</v>
      </c>
      <c r="BR759">
        <v>0</v>
      </c>
      <c r="BS759">
        <v>0</v>
      </c>
      <c r="BT759">
        <v>5</v>
      </c>
      <c r="BU759">
        <v>2</v>
      </c>
    </row>
    <row r="760" spans="1:73" x14ac:dyDescent="0.15">
      <c r="A760" s="11">
        <v>11007</v>
      </c>
      <c r="B760">
        <v>7</v>
      </c>
      <c r="C760" s="1">
        <v>46</v>
      </c>
      <c r="D760">
        <v>0</v>
      </c>
      <c r="E760">
        <v>0</v>
      </c>
      <c r="F760">
        <v>1</v>
      </c>
      <c r="G760" s="7">
        <v>0.05</v>
      </c>
      <c r="H760">
        <v>12</v>
      </c>
      <c r="I760">
        <v>0</v>
      </c>
      <c r="J760">
        <v>0</v>
      </c>
      <c r="K760">
        <v>0</v>
      </c>
      <c r="L760">
        <v>1</v>
      </c>
      <c r="M760">
        <v>2</v>
      </c>
      <c r="N760" s="7">
        <v>9</v>
      </c>
      <c r="O760" s="7">
        <v>0</v>
      </c>
      <c r="P760" s="7">
        <v>0</v>
      </c>
      <c r="Q760" s="7">
        <v>0</v>
      </c>
      <c r="R760" s="7">
        <v>1</v>
      </c>
      <c r="S760" s="7">
        <v>4.5</v>
      </c>
      <c r="T760">
        <v>7</v>
      </c>
      <c r="U760" s="1">
        <v>34</v>
      </c>
      <c r="V760">
        <v>0</v>
      </c>
      <c r="W760">
        <v>0</v>
      </c>
      <c r="X760">
        <v>1</v>
      </c>
      <c r="Y760">
        <v>0.16</v>
      </c>
      <c r="Z760">
        <v>23</v>
      </c>
      <c r="AA760">
        <v>0</v>
      </c>
      <c r="AB760">
        <v>0</v>
      </c>
      <c r="AC760">
        <v>0</v>
      </c>
      <c r="AD760">
        <v>1</v>
      </c>
      <c r="AE760">
        <v>0.05</v>
      </c>
      <c r="AF760">
        <v>15</v>
      </c>
      <c r="AG760">
        <v>0</v>
      </c>
      <c r="AH760">
        <v>0</v>
      </c>
      <c r="AI760">
        <v>0</v>
      </c>
      <c r="AJ760">
        <v>1</v>
      </c>
      <c r="AK760">
        <v>0.02</v>
      </c>
      <c r="AL760">
        <v>16</v>
      </c>
      <c r="AM760">
        <v>0</v>
      </c>
      <c r="AN760">
        <v>0</v>
      </c>
      <c r="AO760">
        <v>0</v>
      </c>
      <c r="AP760">
        <v>1</v>
      </c>
      <c r="AQ760">
        <v>0.01</v>
      </c>
      <c r="AX760">
        <v>7</v>
      </c>
      <c r="AY760" s="1">
        <v>18</v>
      </c>
      <c r="AZ760">
        <v>0</v>
      </c>
      <c r="BA760">
        <v>0</v>
      </c>
      <c r="BB760">
        <v>1</v>
      </c>
      <c r="BC760" s="7">
        <v>0.32</v>
      </c>
      <c r="BD760">
        <v>30</v>
      </c>
      <c r="BE760">
        <v>0</v>
      </c>
      <c r="BF760">
        <v>0</v>
      </c>
      <c r="BG760">
        <v>0</v>
      </c>
      <c r="BH760">
        <v>5</v>
      </c>
      <c r="BI760">
        <v>2.4</v>
      </c>
      <c r="BJ760">
        <v>31</v>
      </c>
      <c r="BK760">
        <v>0</v>
      </c>
      <c r="BL760">
        <v>0</v>
      </c>
      <c r="BM760">
        <v>0</v>
      </c>
      <c r="BN760">
        <v>5</v>
      </c>
      <c r="BO760">
        <v>2.4</v>
      </c>
      <c r="BP760">
        <v>36</v>
      </c>
      <c r="BQ760">
        <v>0</v>
      </c>
      <c r="BR760">
        <v>0</v>
      </c>
      <c r="BS760">
        <v>0</v>
      </c>
      <c r="BT760">
        <v>5</v>
      </c>
      <c r="BU760">
        <v>2</v>
      </c>
    </row>
    <row r="761" spans="1:73" x14ac:dyDescent="0.15">
      <c r="A761" s="11">
        <v>11008</v>
      </c>
      <c r="B761">
        <v>7</v>
      </c>
      <c r="C761" s="1">
        <v>47</v>
      </c>
      <c r="D761">
        <v>0</v>
      </c>
      <c r="E761">
        <v>0</v>
      </c>
      <c r="F761">
        <v>1</v>
      </c>
      <c r="G761" s="7">
        <v>0.05</v>
      </c>
      <c r="H761">
        <v>12</v>
      </c>
      <c r="I761">
        <v>0</v>
      </c>
      <c r="J761">
        <v>0</v>
      </c>
      <c r="K761">
        <v>0</v>
      </c>
      <c r="L761">
        <v>1</v>
      </c>
      <c r="M761">
        <v>2</v>
      </c>
      <c r="N761" s="7">
        <v>9</v>
      </c>
      <c r="O761" s="7">
        <v>0</v>
      </c>
      <c r="P761" s="7">
        <v>0</v>
      </c>
      <c r="Q761" s="7">
        <v>0</v>
      </c>
      <c r="R761" s="7">
        <v>1</v>
      </c>
      <c r="S761" s="7">
        <v>4.5</v>
      </c>
      <c r="T761">
        <v>7</v>
      </c>
      <c r="U761" s="1">
        <v>35</v>
      </c>
      <c r="V761">
        <v>0</v>
      </c>
      <c r="W761">
        <v>0</v>
      </c>
      <c r="X761">
        <v>1</v>
      </c>
      <c r="Y761">
        <v>0.16</v>
      </c>
      <c r="Z761">
        <v>23</v>
      </c>
      <c r="AA761">
        <v>0</v>
      </c>
      <c r="AB761">
        <v>0</v>
      </c>
      <c r="AC761">
        <v>0</v>
      </c>
      <c r="AD761">
        <v>1</v>
      </c>
      <c r="AE761">
        <v>0.05</v>
      </c>
      <c r="AF761">
        <v>15</v>
      </c>
      <c r="AG761">
        <v>0</v>
      </c>
      <c r="AH761">
        <v>0</v>
      </c>
      <c r="AI761">
        <v>0</v>
      </c>
      <c r="AJ761">
        <v>1</v>
      </c>
      <c r="AK761">
        <v>0.02</v>
      </c>
      <c r="AL761">
        <v>16</v>
      </c>
      <c r="AM761">
        <v>0</v>
      </c>
      <c r="AN761">
        <v>0</v>
      </c>
      <c r="AO761">
        <v>0</v>
      </c>
      <c r="AP761">
        <v>1</v>
      </c>
      <c r="AQ761">
        <v>0.01</v>
      </c>
      <c r="AX761">
        <v>7</v>
      </c>
      <c r="AY761" s="1">
        <v>19</v>
      </c>
      <c r="AZ761">
        <v>0</v>
      </c>
      <c r="BA761">
        <v>0</v>
      </c>
      <c r="BB761">
        <v>1</v>
      </c>
      <c r="BC761" s="7">
        <v>0.32</v>
      </c>
      <c r="BD761">
        <v>30</v>
      </c>
      <c r="BE761">
        <v>0</v>
      </c>
      <c r="BF761">
        <v>0</v>
      </c>
      <c r="BG761">
        <v>0</v>
      </c>
      <c r="BH761">
        <v>5</v>
      </c>
      <c r="BI761">
        <v>2.4</v>
      </c>
      <c r="BJ761">
        <v>31</v>
      </c>
      <c r="BK761">
        <v>0</v>
      </c>
      <c r="BL761">
        <v>0</v>
      </c>
      <c r="BM761">
        <v>0</v>
      </c>
      <c r="BN761">
        <v>5</v>
      </c>
      <c r="BO761">
        <v>2.4</v>
      </c>
      <c r="BP761">
        <v>36</v>
      </c>
      <c r="BQ761">
        <v>0</v>
      </c>
      <c r="BR761">
        <v>0</v>
      </c>
      <c r="BS761">
        <v>0</v>
      </c>
      <c r="BT761">
        <v>5</v>
      </c>
      <c r="BU761">
        <v>2</v>
      </c>
    </row>
    <row r="762" spans="1:73" x14ac:dyDescent="0.15">
      <c r="A762" s="11">
        <v>11009</v>
      </c>
      <c r="B762">
        <v>7</v>
      </c>
      <c r="C762" s="1">
        <v>48</v>
      </c>
      <c r="D762">
        <v>0</v>
      </c>
      <c r="E762">
        <v>0</v>
      </c>
      <c r="F762">
        <v>1</v>
      </c>
      <c r="G762" s="7">
        <v>0.05</v>
      </c>
      <c r="H762">
        <v>12</v>
      </c>
      <c r="I762">
        <v>0</v>
      </c>
      <c r="J762">
        <v>0</v>
      </c>
      <c r="K762">
        <v>0</v>
      </c>
      <c r="L762">
        <v>1</v>
      </c>
      <c r="M762">
        <v>2</v>
      </c>
      <c r="N762" s="7">
        <v>9</v>
      </c>
      <c r="O762" s="7">
        <v>0</v>
      </c>
      <c r="P762" s="7">
        <v>0</v>
      </c>
      <c r="Q762" s="7">
        <v>0</v>
      </c>
      <c r="R762" s="7">
        <v>1</v>
      </c>
      <c r="S762" s="7">
        <v>4.5</v>
      </c>
      <c r="T762">
        <v>7</v>
      </c>
      <c r="U762" s="1">
        <v>36</v>
      </c>
      <c r="V762">
        <v>0</v>
      </c>
      <c r="W762">
        <v>0</v>
      </c>
      <c r="X762">
        <v>1</v>
      </c>
      <c r="Y762">
        <v>0.16</v>
      </c>
      <c r="Z762">
        <v>23</v>
      </c>
      <c r="AA762">
        <v>0</v>
      </c>
      <c r="AB762">
        <v>0</v>
      </c>
      <c r="AC762">
        <v>0</v>
      </c>
      <c r="AD762">
        <v>1</v>
      </c>
      <c r="AE762">
        <v>0.05</v>
      </c>
      <c r="AF762">
        <v>15</v>
      </c>
      <c r="AG762">
        <v>0</v>
      </c>
      <c r="AH762">
        <v>0</v>
      </c>
      <c r="AI762">
        <v>0</v>
      </c>
      <c r="AJ762">
        <v>1</v>
      </c>
      <c r="AK762">
        <v>0.02</v>
      </c>
      <c r="AL762">
        <v>16</v>
      </c>
      <c r="AM762">
        <v>0</v>
      </c>
      <c r="AN762">
        <v>0</v>
      </c>
      <c r="AO762">
        <v>0</v>
      </c>
      <c r="AP762">
        <v>1</v>
      </c>
      <c r="AQ762">
        <v>0.01</v>
      </c>
      <c r="AX762">
        <v>7</v>
      </c>
      <c r="AY762" s="1">
        <v>20</v>
      </c>
      <c r="AZ762">
        <v>0</v>
      </c>
      <c r="BA762">
        <v>0</v>
      </c>
      <c r="BB762">
        <v>1</v>
      </c>
      <c r="BC762" s="7">
        <v>0.32</v>
      </c>
      <c r="BD762">
        <v>30</v>
      </c>
      <c r="BE762">
        <v>0</v>
      </c>
      <c r="BF762">
        <v>0</v>
      </c>
      <c r="BG762">
        <v>0</v>
      </c>
      <c r="BH762">
        <v>5</v>
      </c>
      <c r="BI762">
        <v>2.4</v>
      </c>
      <c r="BJ762">
        <v>31</v>
      </c>
      <c r="BK762">
        <v>0</v>
      </c>
      <c r="BL762">
        <v>0</v>
      </c>
      <c r="BM762">
        <v>0</v>
      </c>
      <c r="BN762">
        <v>5</v>
      </c>
      <c r="BO762">
        <v>2.4</v>
      </c>
      <c r="BP762">
        <v>36</v>
      </c>
      <c r="BQ762">
        <v>0</v>
      </c>
      <c r="BR762">
        <v>0</v>
      </c>
      <c r="BS762">
        <v>0</v>
      </c>
      <c r="BT762">
        <v>5</v>
      </c>
      <c r="BU762">
        <v>2</v>
      </c>
    </row>
    <row r="763" spans="1:73" x14ac:dyDescent="0.15">
      <c r="A763" s="11">
        <v>11010</v>
      </c>
      <c r="B763">
        <v>7</v>
      </c>
      <c r="C763" s="1">
        <v>0</v>
      </c>
      <c r="D763">
        <v>5</v>
      </c>
      <c r="E763">
        <v>1</v>
      </c>
      <c r="F763">
        <v>1</v>
      </c>
      <c r="G763" s="7">
        <v>0.05</v>
      </c>
      <c r="H763">
        <v>12</v>
      </c>
      <c r="I763">
        <v>0</v>
      </c>
      <c r="J763">
        <v>0</v>
      </c>
      <c r="K763">
        <v>0</v>
      </c>
      <c r="L763">
        <v>1</v>
      </c>
      <c r="M763">
        <v>2</v>
      </c>
      <c r="N763" s="7">
        <v>9</v>
      </c>
      <c r="O763" s="7">
        <v>0</v>
      </c>
      <c r="P763" s="7">
        <v>0</v>
      </c>
      <c r="Q763" s="7">
        <v>0</v>
      </c>
      <c r="R763" s="7">
        <v>1</v>
      </c>
      <c r="S763" s="7">
        <v>4.5</v>
      </c>
      <c r="T763">
        <v>7</v>
      </c>
      <c r="U763" s="1">
        <v>0</v>
      </c>
      <c r="V763">
        <v>4</v>
      </c>
      <c r="W763">
        <v>2</v>
      </c>
      <c r="X763">
        <v>1</v>
      </c>
      <c r="Y763">
        <v>0.16</v>
      </c>
      <c r="Z763">
        <v>23</v>
      </c>
      <c r="AA763">
        <v>0</v>
      </c>
      <c r="AB763">
        <v>0</v>
      </c>
      <c r="AC763">
        <v>0</v>
      </c>
      <c r="AD763">
        <v>1</v>
      </c>
      <c r="AE763">
        <v>0.05</v>
      </c>
      <c r="AF763">
        <v>15</v>
      </c>
      <c r="AG763">
        <v>0</v>
      </c>
      <c r="AH763">
        <v>0</v>
      </c>
      <c r="AI763">
        <v>0</v>
      </c>
      <c r="AJ763">
        <v>1</v>
      </c>
      <c r="AK763">
        <v>0.02</v>
      </c>
      <c r="AL763">
        <v>16</v>
      </c>
      <c r="AM763">
        <v>0</v>
      </c>
      <c r="AN763">
        <v>0</v>
      </c>
      <c r="AO763">
        <v>0</v>
      </c>
      <c r="AP763">
        <v>1</v>
      </c>
      <c r="AQ763">
        <v>0.01</v>
      </c>
      <c r="AR763">
        <v>6</v>
      </c>
      <c r="AS763">
        <v>2</v>
      </c>
      <c r="AT763">
        <v>2</v>
      </c>
      <c r="AU763">
        <v>5</v>
      </c>
      <c r="AV763">
        <v>1</v>
      </c>
      <c r="AW763">
        <v>0.05</v>
      </c>
      <c r="AX763">
        <v>7</v>
      </c>
      <c r="AY763" s="1">
        <v>0</v>
      </c>
      <c r="AZ763">
        <v>3</v>
      </c>
      <c r="BA763">
        <v>1</v>
      </c>
      <c r="BB763">
        <v>1</v>
      </c>
      <c r="BC763" s="7">
        <v>0.32</v>
      </c>
      <c r="BD763">
        <v>30</v>
      </c>
      <c r="BE763">
        <v>0</v>
      </c>
      <c r="BF763">
        <v>0</v>
      </c>
      <c r="BG763">
        <v>0</v>
      </c>
      <c r="BH763">
        <v>5</v>
      </c>
      <c r="BI763">
        <v>2.4</v>
      </c>
      <c r="BJ763">
        <v>31</v>
      </c>
      <c r="BK763">
        <v>0</v>
      </c>
      <c r="BL763">
        <v>0</v>
      </c>
      <c r="BM763">
        <v>0</v>
      </c>
      <c r="BN763">
        <v>5</v>
      </c>
      <c r="BO763">
        <v>2.4</v>
      </c>
      <c r="BP763">
        <v>36</v>
      </c>
      <c r="BQ763">
        <v>0</v>
      </c>
      <c r="BR763">
        <v>0</v>
      </c>
      <c r="BS763">
        <v>0</v>
      </c>
      <c r="BT763">
        <v>5</v>
      </c>
      <c r="BU763">
        <v>2</v>
      </c>
    </row>
    <row r="764" spans="1:73" x14ac:dyDescent="0.15">
      <c r="A764" s="11">
        <v>11011</v>
      </c>
      <c r="B764">
        <v>7</v>
      </c>
      <c r="C764" s="1">
        <v>45</v>
      </c>
      <c r="D764">
        <v>0</v>
      </c>
      <c r="E764">
        <v>0</v>
      </c>
      <c r="F764">
        <v>1</v>
      </c>
      <c r="G764" s="7">
        <v>0.05</v>
      </c>
      <c r="H764">
        <v>12</v>
      </c>
      <c r="I764">
        <v>0</v>
      </c>
      <c r="J764">
        <v>0</v>
      </c>
      <c r="K764">
        <v>0</v>
      </c>
      <c r="L764">
        <v>1</v>
      </c>
      <c r="M764">
        <v>2</v>
      </c>
      <c r="N764" s="7">
        <v>9</v>
      </c>
      <c r="O764" s="7">
        <v>0</v>
      </c>
      <c r="P764" s="7">
        <v>0</v>
      </c>
      <c r="Q764" s="7">
        <v>0</v>
      </c>
      <c r="R764" s="7">
        <v>1</v>
      </c>
      <c r="S764" s="7">
        <v>4.5</v>
      </c>
      <c r="T764">
        <v>7</v>
      </c>
      <c r="U764" s="1">
        <v>33</v>
      </c>
      <c r="V764">
        <v>0</v>
      </c>
      <c r="W764">
        <v>0</v>
      </c>
      <c r="X764">
        <v>1</v>
      </c>
      <c r="Y764">
        <v>0.16</v>
      </c>
      <c r="Z764">
        <v>23</v>
      </c>
      <c r="AA764">
        <v>0</v>
      </c>
      <c r="AB764">
        <v>0</v>
      </c>
      <c r="AC764">
        <v>0</v>
      </c>
      <c r="AD764">
        <v>1</v>
      </c>
      <c r="AE764">
        <v>0.05</v>
      </c>
      <c r="AF764">
        <v>15</v>
      </c>
      <c r="AG764">
        <v>0</v>
      </c>
      <c r="AH764">
        <v>0</v>
      </c>
      <c r="AI764">
        <v>0</v>
      </c>
      <c r="AJ764">
        <v>1</v>
      </c>
      <c r="AK764">
        <v>0.02</v>
      </c>
      <c r="AL764">
        <v>16</v>
      </c>
      <c r="AM764">
        <v>0</v>
      </c>
      <c r="AN764">
        <v>0</v>
      </c>
      <c r="AO764">
        <v>0</v>
      </c>
      <c r="AP764">
        <v>1</v>
      </c>
      <c r="AQ764">
        <v>0.01</v>
      </c>
      <c r="AX764">
        <v>7</v>
      </c>
      <c r="AY764" s="1">
        <v>17</v>
      </c>
      <c r="AZ764">
        <v>0</v>
      </c>
      <c r="BA764">
        <v>0</v>
      </c>
      <c r="BB764">
        <v>1</v>
      </c>
      <c r="BC764" s="7">
        <v>0.32</v>
      </c>
      <c r="BD764">
        <v>30</v>
      </c>
      <c r="BE764">
        <v>0</v>
      </c>
      <c r="BF764">
        <v>0</v>
      </c>
      <c r="BG764">
        <v>0</v>
      </c>
      <c r="BH764">
        <v>5</v>
      </c>
      <c r="BI764">
        <v>2.4</v>
      </c>
      <c r="BJ764">
        <v>31</v>
      </c>
      <c r="BK764">
        <v>0</v>
      </c>
      <c r="BL764">
        <v>0</v>
      </c>
      <c r="BM764">
        <v>0</v>
      </c>
      <c r="BN764">
        <v>5</v>
      </c>
      <c r="BO764">
        <v>2.4</v>
      </c>
      <c r="BP764">
        <v>36</v>
      </c>
      <c r="BQ764">
        <v>0</v>
      </c>
      <c r="BR764">
        <v>0</v>
      </c>
      <c r="BS764">
        <v>0</v>
      </c>
      <c r="BT764">
        <v>5</v>
      </c>
      <c r="BU764">
        <v>2</v>
      </c>
    </row>
    <row r="765" spans="1:73" x14ac:dyDescent="0.15">
      <c r="A765" s="11">
        <v>11012</v>
      </c>
      <c r="B765">
        <v>7</v>
      </c>
      <c r="C765" s="1">
        <v>46</v>
      </c>
      <c r="D765">
        <v>0</v>
      </c>
      <c r="E765">
        <v>0</v>
      </c>
      <c r="F765">
        <v>1</v>
      </c>
      <c r="G765" s="7">
        <v>0.05</v>
      </c>
      <c r="H765">
        <v>12</v>
      </c>
      <c r="I765">
        <v>0</v>
      </c>
      <c r="J765">
        <v>0</v>
      </c>
      <c r="K765">
        <v>0</v>
      </c>
      <c r="L765">
        <v>1</v>
      </c>
      <c r="M765">
        <v>2</v>
      </c>
      <c r="N765" s="7">
        <v>9</v>
      </c>
      <c r="O765" s="7">
        <v>0</v>
      </c>
      <c r="P765" s="7">
        <v>0</v>
      </c>
      <c r="Q765" s="7">
        <v>0</v>
      </c>
      <c r="R765" s="7">
        <v>1</v>
      </c>
      <c r="S765" s="7">
        <v>4.5</v>
      </c>
      <c r="T765">
        <v>7</v>
      </c>
      <c r="U765" s="1">
        <v>34</v>
      </c>
      <c r="V765">
        <v>0</v>
      </c>
      <c r="W765">
        <v>0</v>
      </c>
      <c r="X765">
        <v>1</v>
      </c>
      <c r="Y765">
        <v>0.16</v>
      </c>
      <c r="Z765">
        <v>23</v>
      </c>
      <c r="AA765">
        <v>0</v>
      </c>
      <c r="AB765">
        <v>0</v>
      </c>
      <c r="AC765">
        <v>0</v>
      </c>
      <c r="AD765">
        <v>1</v>
      </c>
      <c r="AE765">
        <v>0.05</v>
      </c>
      <c r="AF765">
        <v>15</v>
      </c>
      <c r="AG765">
        <v>0</v>
      </c>
      <c r="AH765">
        <v>0</v>
      </c>
      <c r="AI765">
        <v>0</v>
      </c>
      <c r="AJ765">
        <v>1</v>
      </c>
      <c r="AK765">
        <v>0.02</v>
      </c>
      <c r="AL765">
        <v>16</v>
      </c>
      <c r="AM765">
        <v>0</v>
      </c>
      <c r="AN765">
        <v>0</v>
      </c>
      <c r="AO765">
        <v>0</v>
      </c>
      <c r="AP765">
        <v>1</v>
      </c>
      <c r="AQ765">
        <v>0.01</v>
      </c>
      <c r="AX765">
        <v>7</v>
      </c>
      <c r="AY765" s="1">
        <v>18</v>
      </c>
      <c r="AZ765">
        <v>0</v>
      </c>
      <c r="BA765">
        <v>0</v>
      </c>
      <c r="BB765">
        <v>1</v>
      </c>
      <c r="BC765" s="7">
        <v>0.32</v>
      </c>
      <c r="BD765">
        <v>30</v>
      </c>
      <c r="BE765">
        <v>0</v>
      </c>
      <c r="BF765">
        <v>0</v>
      </c>
      <c r="BG765">
        <v>0</v>
      </c>
      <c r="BH765">
        <v>5</v>
      </c>
      <c r="BI765">
        <v>2.4</v>
      </c>
      <c r="BJ765">
        <v>31</v>
      </c>
      <c r="BK765">
        <v>0</v>
      </c>
      <c r="BL765">
        <v>0</v>
      </c>
      <c r="BM765">
        <v>0</v>
      </c>
      <c r="BN765">
        <v>5</v>
      </c>
      <c r="BO765">
        <v>2.4</v>
      </c>
      <c r="BP765">
        <v>36</v>
      </c>
      <c r="BQ765">
        <v>0</v>
      </c>
      <c r="BR765">
        <v>0</v>
      </c>
      <c r="BS765">
        <v>0</v>
      </c>
      <c r="BT765">
        <v>5</v>
      </c>
      <c r="BU765">
        <v>2</v>
      </c>
    </row>
    <row r="766" spans="1:73" x14ac:dyDescent="0.15">
      <c r="A766" s="11">
        <v>11013</v>
      </c>
      <c r="B766">
        <v>7</v>
      </c>
      <c r="C766" s="1">
        <v>47</v>
      </c>
      <c r="D766">
        <v>0</v>
      </c>
      <c r="E766">
        <v>0</v>
      </c>
      <c r="F766">
        <v>1</v>
      </c>
      <c r="G766" s="7">
        <v>0.05</v>
      </c>
      <c r="H766">
        <v>12</v>
      </c>
      <c r="I766">
        <v>0</v>
      </c>
      <c r="J766">
        <v>0</v>
      </c>
      <c r="K766">
        <v>0</v>
      </c>
      <c r="L766">
        <v>1</v>
      </c>
      <c r="M766">
        <v>2</v>
      </c>
      <c r="N766" s="7">
        <v>9</v>
      </c>
      <c r="O766" s="7">
        <v>0</v>
      </c>
      <c r="P766" s="7">
        <v>0</v>
      </c>
      <c r="Q766" s="7">
        <v>0</v>
      </c>
      <c r="R766" s="7">
        <v>1</v>
      </c>
      <c r="S766" s="7">
        <v>4.5</v>
      </c>
      <c r="T766">
        <v>7</v>
      </c>
      <c r="U766" s="1">
        <v>35</v>
      </c>
      <c r="V766">
        <v>0</v>
      </c>
      <c r="W766">
        <v>0</v>
      </c>
      <c r="X766">
        <v>1</v>
      </c>
      <c r="Y766">
        <v>0.16</v>
      </c>
      <c r="Z766">
        <v>23</v>
      </c>
      <c r="AA766">
        <v>0</v>
      </c>
      <c r="AB766">
        <v>0</v>
      </c>
      <c r="AC766">
        <v>0</v>
      </c>
      <c r="AD766">
        <v>1</v>
      </c>
      <c r="AE766">
        <v>0.05</v>
      </c>
      <c r="AF766">
        <v>15</v>
      </c>
      <c r="AG766">
        <v>0</v>
      </c>
      <c r="AH766">
        <v>0</v>
      </c>
      <c r="AI766">
        <v>0</v>
      </c>
      <c r="AJ766">
        <v>1</v>
      </c>
      <c r="AK766">
        <v>0.02</v>
      </c>
      <c r="AL766">
        <v>16</v>
      </c>
      <c r="AM766">
        <v>0</v>
      </c>
      <c r="AN766">
        <v>0</v>
      </c>
      <c r="AO766">
        <v>0</v>
      </c>
      <c r="AP766">
        <v>1</v>
      </c>
      <c r="AQ766">
        <v>0.01</v>
      </c>
      <c r="AX766">
        <v>7</v>
      </c>
      <c r="AY766" s="1">
        <v>19</v>
      </c>
      <c r="AZ766">
        <v>0</v>
      </c>
      <c r="BA766">
        <v>0</v>
      </c>
      <c r="BB766">
        <v>1</v>
      </c>
      <c r="BC766" s="7">
        <v>0.32</v>
      </c>
      <c r="BD766">
        <v>30</v>
      </c>
      <c r="BE766">
        <v>0</v>
      </c>
      <c r="BF766">
        <v>0</v>
      </c>
      <c r="BG766">
        <v>0</v>
      </c>
      <c r="BH766">
        <v>5</v>
      </c>
      <c r="BI766">
        <v>2.4</v>
      </c>
      <c r="BJ766">
        <v>31</v>
      </c>
      <c r="BK766">
        <v>0</v>
      </c>
      <c r="BL766">
        <v>0</v>
      </c>
      <c r="BM766">
        <v>0</v>
      </c>
      <c r="BN766">
        <v>5</v>
      </c>
      <c r="BO766">
        <v>2.4</v>
      </c>
      <c r="BP766">
        <v>36</v>
      </c>
      <c r="BQ766">
        <v>0</v>
      </c>
      <c r="BR766">
        <v>0</v>
      </c>
      <c r="BS766">
        <v>0</v>
      </c>
      <c r="BT766">
        <v>5</v>
      </c>
      <c r="BU766">
        <v>2</v>
      </c>
    </row>
    <row r="767" spans="1:73" x14ac:dyDescent="0.15">
      <c r="A767" s="11">
        <v>11014</v>
      </c>
      <c r="B767">
        <v>7</v>
      </c>
      <c r="C767" s="1">
        <v>48</v>
      </c>
      <c r="D767">
        <v>0</v>
      </c>
      <c r="E767">
        <v>0</v>
      </c>
      <c r="F767">
        <v>1</v>
      </c>
      <c r="G767" s="7">
        <v>0.05</v>
      </c>
      <c r="H767">
        <v>12</v>
      </c>
      <c r="I767">
        <v>0</v>
      </c>
      <c r="J767">
        <v>0</v>
      </c>
      <c r="K767">
        <v>0</v>
      </c>
      <c r="L767">
        <v>1</v>
      </c>
      <c r="M767">
        <v>2</v>
      </c>
      <c r="N767" s="7">
        <v>9</v>
      </c>
      <c r="O767" s="7">
        <v>0</v>
      </c>
      <c r="P767" s="7">
        <v>0</v>
      </c>
      <c r="Q767" s="7">
        <v>0</v>
      </c>
      <c r="R767" s="7">
        <v>1</v>
      </c>
      <c r="S767" s="7">
        <v>4.5</v>
      </c>
      <c r="T767">
        <v>7</v>
      </c>
      <c r="U767" s="1">
        <v>36</v>
      </c>
      <c r="V767">
        <v>0</v>
      </c>
      <c r="W767">
        <v>0</v>
      </c>
      <c r="X767">
        <v>1</v>
      </c>
      <c r="Y767">
        <v>0.16</v>
      </c>
      <c r="Z767">
        <v>23</v>
      </c>
      <c r="AA767">
        <v>0</v>
      </c>
      <c r="AB767">
        <v>0</v>
      </c>
      <c r="AC767">
        <v>0</v>
      </c>
      <c r="AD767">
        <v>1</v>
      </c>
      <c r="AE767">
        <v>0.05</v>
      </c>
      <c r="AF767">
        <v>15</v>
      </c>
      <c r="AG767">
        <v>0</v>
      </c>
      <c r="AH767">
        <v>0</v>
      </c>
      <c r="AI767">
        <v>0</v>
      </c>
      <c r="AJ767">
        <v>1</v>
      </c>
      <c r="AK767">
        <v>0.02</v>
      </c>
      <c r="AL767">
        <v>16</v>
      </c>
      <c r="AM767">
        <v>0</v>
      </c>
      <c r="AN767">
        <v>0</v>
      </c>
      <c r="AO767">
        <v>0</v>
      </c>
      <c r="AP767">
        <v>1</v>
      </c>
      <c r="AQ767">
        <v>0.01</v>
      </c>
      <c r="AX767">
        <v>7</v>
      </c>
      <c r="AY767" s="1">
        <v>20</v>
      </c>
      <c r="AZ767">
        <v>0</v>
      </c>
      <c r="BA767">
        <v>0</v>
      </c>
      <c r="BB767">
        <v>1</v>
      </c>
      <c r="BC767" s="7">
        <v>0.32</v>
      </c>
      <c r="BD767">
        <v>30</v>
      </c>
      <c r="BE767">
        <v>0</v>
      </c>
      <c r="BF767">
        <v>0</v>
      </c>
      <c r="BG767">
        <v>0</v>
      </c>
      <c r="BH767">
        <v>5</v>
      </c>
      <c r="BI767">
        <v>2.4</v>
      </c>
      <c r="BJ767">
        <v>31</v>
      </c>
      <c r="BK767">
        <v>0</v>
      </c>
      <c r="BL767">
        <v>0</v>
      </c>
      <c r="BM767">
        <v>0</v>
      </c>
      <c r="BN767">
        <v>5</v>
      </c>
      <c r="BO767">
        <v>2.4</v>
      </c>
      <c r="BP767">
        <v>36</v>
      </c>
      <c r="BQ767">
        <v>0</v>
      </c>
      <c r="BR767">
        <v>0</v>
      </c>
      <c r="BS767">
        <v>0</v>
      </c>
      <c r="BT767">
        <v>5</v>
      </c>
      <c r="BU767">
        <v>2</v>
      </c>
    </row>
    <row r="768" spans="1:73" x14ac:dyDescent="0.15">
      <c r="A768" s="11">
        <v>11015</v>
      </c>
      <c r="B768">
        <v>7</v>
      </c>
      <c r="C768" s="1">
        <v>0</v>
      </c>
      <c r="D768">
        <v>5</v>
      </c>
      <c r="E768">
        <v>1</v>
      </c>
      <c r="F768">
        <v>1</v>
      </c>
      <c r="G768" s="7">
        <v>0.05</v>
      </c>
      <c r="H768">
        <v>12</v>
      </c>
      <c r="I768">
        <v>0</v>
      </c>
      <c r="J768">
        <v>0</v>
      </c>
      <c r="K768">
        <v>0</v>
      </c>
      <c r="L768">
        <v>1</v>
      </c>
      <c r="M768">
        <v>2</v>
      </c>
      <c r="N768" s="7">
        <v>9</v>
      </c>
      <c r="O768" s="7">
        <v>0</v>
      </c>
      <c r="P768" s="7">
        <v>0</v>
      </c>
      <c r="Q768" s="7">
        <v>0</v>
      </c>
      <c r="R768" s="7">
        <v>1</v>
      </c>
      <c r="S768" s="7">
        <v>4.5</v>
      </c>
      <c r="T768">
        <v>7</v>
      </c>
      <c r="U768" s="1">
        <v>0</v>
      </c>
      <c r="V768">
        <v>4</v>
      </c>
      <c r="W768">
        <v>2</v>
      </c>
      <c r="X768">
        <v>1</v>
      </c>
      <c r="Y768">
        <v>0.16</v>
      </c>
      <c r="Z768">
        <v>23</v>
      </c>
      <c r="AA768">
        <v>0</v>
      </c>
      <c r="AB768">
        <v>0</v>
      </c>
      <c r="AC768">
        <v>0</v>
      </c>
      <c r="AD768">
        <v>1</v>
      </c>
      <c r="AE768">
        <v>0.05</v>
      </c>
      <c r="AF768">
        <v>15</v>
      </c>
      <c r="AG768">
        <v>0</v>
      </c>
      <c r="AH768">
        <v>0</v>
      </c>
      <c r="AI768">
        <v>0</v>
      </c>
      <c r="AJ768">
        <v>1</v>
      </c>
      <c r="AK768">
        <v>0.02</v>
      </c>
      <c r="AL768">
        <v>16</v>
      </c>
      <c r="AM768">
        <v>0</v>
      </c>
      <c r="AN768">
        <v>0</v>
      </c>
      <c r="AO768">
        <v>0</v>
      </c>
      <c r="AP768">
        <v>1</v>
      </c>
      <c r="AQ768">
        <v>0.01</v>
      </c>
      <c r="AR768">
        <v>6</v>
      </c>
      <c r="AS768">
        <v>2</v>
      </c>
      <c r="AT768">
        <v>3</v>
      </c>
      <c r="AU768">
        <v>5</v>
      </c>
      <c r="AV768">
        <v>1</v>
      </c>
      <c r="AW768">
        <v>0.05</v>
      </c>
      <c r="AX768">
        <v>7</v>
      </c>
      <c r="AY768" s="1">
        <v>0</v>
      </c>
      <c r="AZ768">
        <v>3</v>
      </c>
      <c r="BA768">
        <v>1</v>
      </c>
      <c r="BB768">
        <v>1</v>
      </c>
      <c r="BC768" s="7">
        <v>0.32</v>
      </c>
      <c r="BD768">
        <v>30</v>
      </c>
      <c r="BE768">
        <v>0</v>
      </c>
      <c r="BF768">
        <v>0</v>
      </c>
      <c r="BG768">
        <v>0</v>
      </c>
      <c r="BH768">
        <v>5</v>
      </c>
      <c r="BI768">
        <v>2.4</v>
      </c>
      <c r="BJ768">
        <v>31</v>
      </c>
      <c r="BK768">
        <v>0</v>
      </c>
      <c r="BL768">
        <v>0</v>
      </c>
      <c r="BM768">
        <v>0</v>
      </c>
      <c r="BN768">
        <v>5</v>
      </c>
      <c r="BO768">
        <v>2.4</v>
      </c>
      <c r="BP768">
        <v>36</v>
      </c>
      <c r="BQ768">
        <v>0</v>
      </c>
      <c r="BR768">
        <v>0</v>
      </c>
      <c r="BS768">
        <v>0</v>
      </c>
      <c r="BT768">
        <v>5</v>
      </c>
      <c r="BU768">
        <v>2</v>
      </c>
    </row>
    <row r="769" spans="1:73" x14ac:dyDescent="0.15">
      <c r="A769" s="11">
        <v>11016</v>
      </c>
      <c r="B769">
        <v>7</v>
      </c>
      <c r="C769" s="1">
        <v>45</v>
      </c>
      <c r="D769">
        <v>0</v>
      </c>
      <c r="E769">
        <v>0</v>
      </c>
      <c r="F769">
        <v>1</v>
      </c>
      <c r="G769" s="7">
        <v>0.05</v>
      </c>
      <c r="H769">
        <v>12</v>
      </c>
      <c r="I769">
        <v>0</v>
      </c>
      <c r="J769">
        <v>0</v>
      </c>
      <c r="K769">
        <v>0</v>
      </c>
      <c r="L769">
        <v>1</v>
      </c>
      <c r="M769">
        <v>2</v>
      </c>
      <c r="N769" s="7">
        <v>9</v>
      </c>
      <c r="O769" s="7">
        <v>0</v>
      </c>
      <c r="P769" s="7">
        <v>0</v>
      </c>
      <c r="Q769" s="7">
        <v>0</v>
      </c>
      <c r="R769" s="7">
        <v>1</v>
      </c>
      <c r="S769" s="7">
        <v>4.5</v>
      </c>
      <c r="T769">
        <v>7</v>
      </c>
      <c r="U769" s="1">
        <v>33</v>
      </c>
      <c r="V769">
        <v>0</v>
      </c>
      <c r="W769">
        <v>0</v>
      </c>
      <c r="X769">
        <v>1</v>
      </c>
      <c r="Y769">
        <v>0.16</v>
      </c>
      <c r="Z769">
        <v>23</v>
      </c>
      <c r="AA769">
        <v>0</v>
      </c>
      <c r="AB769">
        <v>0</v>
      </c>
      <c r="AC769">
        <v>0</v>
      </c>
      <c r="AD769">
        <v>1</v>
      </c>
      <c r="AE769">
        <v>0.05</v>
      </c>
      <c r="AF769">
        <v>15</v>
      </c>
      <c r="AG769">
        <v>0</v>
      </c>
      <c r="AH769">
        <v>0</v>
      </c>
      <c r="AI769">
        <v>0</v>
      </c>
      <c r="AJ769">
        <v>1</v>
      </c>
      <c r="AK769">
        <v>0.02</v>
      </c>
      <c r="AL769">
        <v>16</v>
      </c>
      <c r="AM769">
        <v>0</v>
      </c>
      <c r="AN769">
        <v>0</v>
      </c>
      <c r="AO769">
        <v>0</v>
      </c>
      <c r="AP769">
        <v>1</v>
      </c>
      <c r="AQ769">
        <v>0.01</v>
      </c>
      <c r="AX769">
        <v>7</v>
      </c>
      <c r="AY769" s="1">
        <v>17</v>
      </c>
      <c r="AZ769">
        <v>0</v>
      </c>
      <c r="BA769">
        <v>0</v>
      </c>
      <c r="BB769">
        <v>1</v>
      </c>
      <c r="BC769" s="7">
        <v>0.32</v>
      </c>
      <c r="BD769">
        <v>30</v>
      </c>
      <c r="BE769">
        <v>0</v>
      </c>
      <c r="BF769">
        <v>0</v>
      </c>
      <c r="BG769">
        <v>0</v>
      </c>
      <c r="BH769">
        <v>5</v>
      </c>
      <c r="BI769">
        <v>2.4</v>
      </c>
      <c r="BJ769">
        <v>31</v>
      </c>
      <c r="BK769">
        <v>0</v>
      </c>
      <c r="BL769">
        <v>0</v>
      </c>
      <c r="BM769">
        <v>0</v>
      </c>
      <c r="BN769">
        <v>5</v>
      </c>
      <c r="BO769">
        <v>2.4</v>
      </c>
      <c r="BP769">
        <v>36</v>
      </c>
      <c r="BQ769">
        <v>0</v>
      </c>
      <c r="BR769">
        <v>0</v>
      </c>
      <c r="BS769">
        <v>0</v>
      </c>
      <c r="BT769">
        <v>5</v>
      </c>
      <c r="BU769">
        <v>2</v>
      </c>
    </row>
    <row r="770" spans="1:73" x14ac:dyDescent="0.15">
      <c r="A770" s="11">
        <v>11017</v>
      </c>
      <c r="B770">
        <v>7</v>
      </c>
      <c r="C770" s="1">
        <v>46</v>
      </c>
      <c r="D770">
        <v>0</v>
      </c>
      <c r="E770">
        <v>0</v>
      </c>
      <c r="F770">
        <v>1</v>
      </c>
      <c r="G770" s="7">
        <v>0.05</v>
      </c>
      <c r="H770">
        <v>12</v>
      </c>
      <c r="I770">
        <v>0</v>
      </c>
      <c r="J770">
        <v>0</v>
      </c>
      <c r="K770">
        <v>0</v>
      </c>
      <c r="L770">
        <v>1</v>
      </c>
      <c r="M770">
        <v>2</v>
      </c>
      <c r="N770" s="7">
        <v>9</v>
      </c>
      <c r="O770" s="7">
        <v>0</v>
      </c>
      <c r="P770" s="7">
        <v>0</v>
      </c>
      <c r="Q770" s="7">
        <v>0</v>
      </c>
      <c r="R770" s="7">
        <v>1</v>
      </c>
      <c r="S770" s="7">
        <v>4.5</v>
      </c>
      <c r="T770">
        <v>7</v>
      </c>
      <c r="U770" s="1">
        <v>34</v>
      </c>
      <c r="V770">
        <v>0</v>
      </c>
      <c r="W770">
        <v>0</v>
      </c>
      <c r="X770">
        <v>1</v>
      </c>
      <c r="Y770">
        <v>0.16</v>
      </c>
      <c r="Z770">
        <v>23</v>
      </c>
      <c r="AA770">
        <v>0</v>
      </c>
      <c r="AB770">
        <v>0</v>
      </c>
      <c r="AC770">
        <v>0</v>
      </c>
      <c r="AD770">
        <v>1</v>
      </c>
      <c r="AE770">
        <v>0.05</v>
      </c>
      <c r="AF770">
        <v>15</v>
      </c>
      <c r="AG770">
        <v>0</v>
      </c>
      <c r="AH770">
        <v>0</v>
      </c>
      <c r="AI770">
        <v>0</v>
      </c>
      <c r="AJ770">
        <v>1</v>
      </c>
      <c r="AK770">
        <v>0.02</v>
      </c>
      <c r="AL770">
        <v>16</v>
      </c>
      <c r="AM770">
        <v>0</v>
      </c>
      <c r="AN770">
        <v>0</v>
      </c>
      <c r="AO770">
        <v>0</v>
      </c>
      <c r="AP770">
        <v>1</v>
      </c>
      <c r="AQ770">
        <v>0.01</v>
      </c>
      <c r="AX770">
        <v>7</v>
      </c>
      <c r="AY770" s="1">
        <v>18</v>
      </c>
      <c r="AZ770">
        <v>0</v>
      </c>
      <c r="BA770">
        <v>0</v>
      </c>
      <c r="BB770">
        <v>1</v>
      </c>
      <c r="BC770" s="7">
        <v>0.32</v>
      </c>
      <c r="BD770">
        <v>30</v>
      </c>
      <c r="BE770">
        <v>0</v>
      </c>
      <c r="BF770">
        <v>0</v>
      </c>
      <c r="BG770">
        <v>0</v>
      </c>
      <c r="BH770">
        <v>5</v>
      </c>
      <c r="BI770">
        <v>2.4</v>
      </c>
      <c r="BJ770">
        <v>31</v>
      </c>
      <c r="BK770">
        <v>0</v>
      </c>
      <c r="BL770">
        <v>0</v>
      </c>
      <c r="BM770">
        <v>0</v>
      </c>
      <c r="BN770">
        <v>5</v>
      </c>
      <c r="BO770">
        <v>2.4</v>
      </c>
      <c r="BP770">
        <v>36</v>
      </c>
      <c r="BQ770">
        <v>0</v>
      </c>
      <c r="BR770">
        <v>0</v>
      </c>
      <c r="BS770">
        <v>0</v>
      </c>
      <c r="BT770">
        <v>5</v>
      </c>
      <c r="BU770">
        <v>2</v>
      </c>
    </row>
    <row r="771" spans="1:73" x14ac:dyDescent="0.15">
      <c r="A771" s="11">
        <v>11018</v>
      </c>
      <c r="B771">
        <v>7</v>
      </c>
      <c r="C771" s="1">
        <v>47</v>
      </c>
      <c r="D771">
        <v>0</v>
      </c>
      <c r="E771">
        <v>0</v>
      </c>
      <c r="F771">
        <v>1</v>
      </c>
      <c r="G771" s="7">
        <v>0.05</v>
      </c>
      <c r="H771">
        <v>12</v>
      </c>
      <c r="I771">
        <v>0</v>
      </c>
      <c r="J771">
        <v>0</v>
      </c>
      <c r="K771">
        <v>0</v>
      </c>
      <c r="L771">
        <v>1</v>
      </c>
      <c r="M771">
        <v>2</v>
      </c>
      <c r="N771" s="7">
        <v>9</v>
      </c>
      <c r="O771" s="7">
        <v>0</v>
      </c>
      <c r="P771" s="7">
        <v>0</v>
      </c>
      <c r="Q771" s="7">
        <v>0</v>
      </c>
      <c r="R771" s="7">
        <v>1</v>
      </c>
      <c r="S771" s="7">
        <v>4.5</v>
      </c>
      <c r="T771">
        <v>7</v>
      </c>
      <c r="U771" s="1">
        <v>35</v>
      </c>
      <c r="V771">
        <v>0</v>
      </c>
      <c r="W771">
        <v>0</v>
      </c>
      <c r="X771">
        <v>1</v>
      </c>
      <c r="Y771">
        <v>0.16</v>
      </c>
      <c r="Z771">
        <v>23</v>
      </c>
      <c r="AA771">
        <v>0</v>
      </c>
      <c r="AB771">
        <v>0</v>
      </c>
      <c r="AC771">
        <v>0</v>
      </c>
      <c r="AD771">
        <v>1</v>
      </c>
      <c r="AE771">
        <v>0.05</v>
      </c>
      <c r="AF771">
        <v>15</v>
      </c>
      <c r="AG771">
        <v>0</v>
      </c>
      <c r="AH771">
        <v>0</v>
      </c>
      <c r="AI771">
        <v>0</v>
      </c>
      <c r="AJ771">
        <v>1</v>
      </c>
      <c r="AK771">
        <v>0.02</v>
      </c>
      <c r="AL771">
        <v>16</v>
      </c>
      <c r="AM771">
        <v>0</v>
      </c>
      <c r="AN771">
        <v>0</v>
      </c>
      <c r="AO771">
        <v>0</v>
      </c>
      <c r="AP771">
        <v>1</v>
      </c>
      <c r="AQ771">
        <v>0.01</v>
      </c>
      <c r="AX771">
        <v>7</v>
      </c>
      <c r="AY771" s="1">
        <v>19</v>
      </c>
      <c r="AZ771">
        <v>0</v>
      </c>
      <c r="BA771">
        <v>0</v>
      </c>
      <c r="BB771">
        <v>1</v>
      </c>
      <c r="BC771" s="7">
        <v>0.32</v>
      </c>
      <c r="BD771">
        <v>30</v>
      </c>
      <c r="BE771">
        <v>0</v>
      </c>
      <c r="BF771">
        <v>0</v>
      </c>
      <c r="BG771">
        <v>0</v>
      </c>
      <c r="BH771">
        <v>5</v>
      </c>
      <c r="BI771">
        <v>2.4</v>
      </c>
      <c r="BJ771">
        <v>31</v>
      </c>
      <c r="BK771">
        <v>0</v>
      </c>
      <c r="BL771">
        <v>0</v>
      </c>
      <c r="BM771">
        <v>0</v>
      </c>
      <c r="BN771">
        <v>5</v>
      </c>
      <c r="BO771">
        <v>2.4</v>
      </c>
      <c r="BP771">
        <v>36</v>
      </c>
      <c r="BQ771">
        <v>0</v>
      </c>
      <c r="BR771">
        <v>0</v>
      </c>
      <c r="BS771">
        <v>0</v>
      </c>
      <c r="BT771">
        <v>5</v>
      </c>
      <c r="BU771">
        <v>2</v>
      </c>
    </row>
    <row r="772" spans="1:73" x14ac:dyDescent="0.15">
      <c r="A772" s="11">
        <v>11019</v>
      </c>
      <c r="B772">
        <v>7</v>
      </c>
      <c r="C772" s="1">
        <v>48</v>
      </c>
      <c r="D772">
        <v>0</v>
      </c>
      <c r="E772">
        <v>0</v>
      </c>
      <c r="F772">
        <v>1</v>
      </c>
      <c r="G772" s="7">
        <v>0.05</v>
      </c>
      <c r="H772">
        <v>12</v>
      </c>
      <c r="I772">
        <v>0</v>
      </c>
      <c r="J772">
        <v>0</v>
      </c>
      <c r="K772">
        <v>0</v>
      </c>
      <c r="L772">
        <v>1</v>
      </c>
      <c r="M772">
        <v>2</v>
      </c>
      <c r="N772" s="7">
        <v>9</v>
      </c>
      <c r="O772" s="7">
        <v>0</v>
      </c>
      <c r="P772" s="7">
        <v>0</v>
      </c>
      <c r="Q772" s="7">
        <v>0</v>
      </c>
      <c r="R772" s="7">
        <v>1</v>
      </c>
      <c r="S772" s="7">
        <v>4.5</v>
      </c>
      <c r="T772">
        <v>7</v>
      </c>
      <c r="U772" s="1">
        <v>36</v>
      </c>
      <c r="V772">
        <v>0</v>
      </c>
      <c r="W772">
        <v>0</v>
      </c>
      <c r="X772">
        <v>1</v>
      </c>
      <c r="Y772">
        <v>0.16</v>
      </c>
      <c r="Z772">
        <v>23</v>
      </c>
      <c r="AA772">
        <v>0</v>
      </c>
      <c r="AB772">
        <v>0</v>
      </c>
      <c r="AC772">
        <v>0</v>
      </c>
      <c r="AD772">
        <v>1</v>
      </c>
      <c r="AE772">
        <v>0.05</v>
      </c>
      <c r="AF772">
        <v>15</v>
      </c>
      <c r="AG772">
        <v>0</v>
      </c>
      <c r="AH772">
        <v>0</v>
      </c>
      <c r="AI772">
        <v>0</v>
      </c>
      <c r="AJ772">
        <v>1</v>
      </c>
      <c r="AK772">
        <v>0.02</v>
      </c>
      <c r="AL772">
        <v>16</v>
      </c>
      <c r="AM772">
        <v>0</v>
      </c>
      <c r="AN772">
        <v>0</v>
      </c>
      <c r="AO772">
        <v>0</v>
      </c>
      <c r="AP772">
        <v>1</v>
      </c>
      <c r="AQ772">
        <v>0.01</v>
      </c>
      <c r="AX772">
        <v>7</v>
      </c>
      <c r="AY772" s="1">
        <v>20</v>
      </c>
      <c r="AZ772">
        <v>0</v>
      </c>
      <c r="BA772">
        <v>0</v>
      </c>
      <c r="BB772">
        <v>1</v>
      </c>
      <c r="BC772" s="7">
        <v>0.32</v>
      </c>
      <c r="BD772">
        <v>30</v>
      </c>
      <c r="BE772">
        <v>0</v>
      </c>
      <c r="BF772">
        <v>0</v>
      </c>
      <c r="BG772">
        <v>0</v>
      </c>
      <c r="BH772">
        <v>5</v>
      </c>
      <c r="BI772">
        <v>2.4</v>
      </c>
      <c r="BJ772">
        <v>31</v>
      </c>
      <c r="BK772">
        <v>0</v>
      </c>
      <c r="BL772">
        <v>0</v>
      </c>
      <c r="BM772">
        <v>0</v>
      </c>
      <c r="BN772">
        <v>5</v>
      </c>
      <c r="BO772">
        <v>2.4</v>
      </c>
      <c r="BP772">
        <v>36</v>
      </c>
      <c r="BQ772">
        <v>0</v>
      </c>
      <c r="BR772">
        <v>0</v>
      </c>
      <c r="BS772">
        <v>0</v>
      </c>
      <c r="BT772">
        <v>5</v>
      </c>
      <c r="BU772">
        <v>2</v>
      </c>
    </row>
    <row r="773" spans="1:73" x14ac:dyDescent="0.15">
      <c r="A773" s="11">
        <v>11020</v>
      </c>
      <c r="B773">
        <v>7</v>
      </c>
      <c r="C773" s="1">
        <v>0</v>
      </c>
      <c r="D773">
        <v>5</v>
      </c>
      <c r="E773">
        <v>1</v>
      </c>
      <c r="F773">
        <v>1</v>
      </c>
      <c r="G773" s="7">
        <v>0.05</v>
      </c>
      <c r="H773">
        <v>12</v>
      </c>
      <c r="I773">
        <v>0</v>
      </c>
      <c r="J773">
        <v>0</v>
      </c>
      <c r="K773">
        <v>0</v>
      </c>
      <c r="L773">
        <v>1</v>
      </c>
      <c r="M773">
        <v>2</v>
      </c>
      <c r="N773" s="7">
        <v>9</v>
      </c>
      <c r="O773" s="7">
        <v>0</v>
      </c>
      <c r="P773" s="7">
        <v>0</v>
      </c>
      <c r="Q773" s="7">
        <v>0</v>
      </c>
      <c r="R773" s="7">
        <v>1</v>
      </c>
      <c r="S773" s="7">
        <v>4.5</v>
      </c>
      <c r="T773">
        <v>7</v>
      </c>
      <c r="U773" s="1">
        <v>0</v>
      </c>
      <c r="V773">
        <v>4</v>
      </c>
      <c r="W773">
        <v>2</v>
      </c>
      <c r="X773">
        <v>1</v>
      </c>
      <c r="Y773">
        <v>0.16</v>
      </c>
      <c r="Z773">
        <v>23</v>
      </c>
      <c r="AA773">
        <v>0</v>
      </c>
      <c r="AB773">
        <v>0</v>
      </c>
      <c r="AC773">
        <v>0</v>
      </c>
      <c r="AD773">
        <v>1</v>
      </c>
      <c r="AE773">
        <v>0.05</v>
      </c>
      <c r="AF773">
        <v>15</v>
      </c>
      <c r="AG773">
        <v>0</v>
      </c>
      <c r="AH773">
        <v>0</v>
      </c>
      <c r="AI773">
        <v>0</v>
      </c>
      <c r="AJ773">
        <v>1</v>
      </c>
      <c r="AK773">
        <v>0.02</v>
      </c>
      <c r="AL773">
        <v>16</v>
      </c>
      <c r="AM773">
        <v>0</v>
      </c>
      <c r="AN773">
        <v>0</v>
      </c>
      <c r="AO773">
        <v>0</v>
      </c>
      <c r="AP773">
        <v>1</v>
      </c>
      <c r="AQ773">
        <v>0.01</v>
      </c>
      <c r="AR773">
        <v>6</v>
      </c>
      <c r="AS773">
        <v>2</v>
      </c>
      <c r="AT773">
        <v>4</v>
      </c>
      <c r="AU773">
        <v>5</v>
      </c>
      <c r="AV773">
        <v>1</v>
      </c>
      <c r="AW773">
        <v>0.01</v>
      </c>
      <c r="AX773">
        <v>7</v>
      </c>
      <c r="AY773" s="1">
        <v>0</v>
      </c>
      <c r="AZ773">
        <v>3</v>
      </c>
      <c r="BA773">
        <v>1</v>
      </c>
      <c r="BB773">
        <v>1</v>
      </c>
      <c r="BC773" s="7">
        <v>0.32</v>
      </c>
      <c r="BD773">
        <v>30</v>
      </c>
      <c r="BE773">
        <v>0</v>
      </c>
      <c r="BF773">
        <v>0</v>
      </c>
      <c r="BG773">
        <v>0</v>
      </c>
      <c r="BH773">
        <v>5</v>
      </c>
      <c r="BI773">
        <v>2.4</v>
      </c>
      <c r="BJ773">
        <v>31</v>
      </c>
      <c r="BK773">
        <v>0</v>
      </c>
      <c r="BL773">
        <v>0</v>
      </c>
      <c r="BM773">
        <v>0</v>
      </c>
      <c r="BN773">
        <v>5</v>
      </c>
      <c r="BO773">
        <v>2.4</v>
      </c>
      <c r="BP773">
        <v>36</v>
      </c>
      <c r="BQ773">
        <v>0</v>
      </c>
      <c r="BR773">
        <v>0</v>
      </c>
      <c r="BS773">
        <v>0</v>
      </c>
      <c r="BT773">
        <v>5</v>
      </c>
      <c r="BU773">
        <v>2</v>
      </c>
    </row>
    <row r="774" spans="1:73" x14ac:dyDescent="0.15">
      <c r="A774" s="11">
        <v>11021</v>
      </c>
      <c r="B774">
        <v>7</v>
      </c>
      <c r="C774" s="1">
        <v>45</v>
      </c>
      <c r="D774">
        <v>0</v>
      </c>
      <c r="E774">
        <v>0</v>
      </c>
      <c r="F774">
        <v>1</v>
      </c>
      <c r="G774" s="7">
        <v>0.05</v>
      </c>
      <c r="H774">
        <v>12</v>
      </c>
      <c r="I774">
        <v>0</v>
      </c>
      <c r="J774">
        <v>0</v>
      </c>
      <c r="K774">
        <v>0</v>
      </c>
      <c r="L774">
        <v>1</v>
      </c>
      <c r="M774">
        <v>2</v>
      </c>
      <c r="N774" s="7">
        <v>9</v>
      </c>
      <c r="O774" s="7">
        <v>0</v>
      </c>
      <c r="P774" s="7">
        <v>0</v>
      </c>
      <c r="Q774" s="7">
        <v>0</v>
      </c>
      <c r="R774" s="7">
        <v>1</v>
      </c>
      <c r="S774" s="7">
        <v>4.5</v>
      </c>
      <c r="T774">
        <v>7</v>
      </c>
      <c r="U774" s="1">
        <v>33</v>
      </c>
      <c r="V774">
        <v>0</v>
      </c>
      <c r="W774">
        <v>0</v>
      </c>
      <c r="X774">
        <v>1</v>
      </c>
      <c r="Y774">
        <v>0.16</v>
      </c>
      <c r="Z774">
        <v>23</v>
      </c>
      <c r="AA774">
        <v>0</v>
      </c>
      <c r="AB774">
        <v>0</v>
      </c>
      <c r="AC774">
        <v>0</v>
      </c>
      <c r="AD774">
        <v>1</v>
      </c>
      <c r="AE774">
        <v>0.05</v>
      </c>
      <c r="AF774">
        <v>15</v>
      </c>
      <c r="AG774">
        <v>0</v>
      </c>
      <c r="AH774">
        <v>0</v>
      </c>
      <c r="AI774">
        <v>0</v>
      </c>
      <c r="AJ774">
        <v>1</v>
      </c>
      <c r="AK774">
        <v>0.02</v>
      </c>
      <c r="AL774">
        <v>16</v>
      </c>
      <c r="AM774">
        <v>0</v>
      </c>
      <c r="AN774">
        <v>0</v>
      </c>
      <c r="AO774">
        <v>0</v>
      </c>
      <c r="AP774">
        <v>1</v>
      </c>
      <c r="AQ774">
        <v>0.01</v>
      </c>
      <c r="AX774">
        <v>7</v>
      </c>
      <c r="AY774" s="1">
        <v>17</v>
      </c>
      <c r="AZ774">
        <v>0</v>
      </c>
      <c r="BA774">
        <v>0</v>
      </c>
      <c r="BB774">
        <v>1</v>
      </c>
      <c r="BC774" s="7">
        <v>0.32</v>
      </c>
      <c r="BD774">
        <v>30</v>
      </c>
      <c r="BE774">
        <v>0</v>
      </c>
      <c r="BF774">
        <v>0</v>
      </c>
      <c r="BG774">
        <v>0</v>
      </c>
      <c r="BH774">
        <v>5</v>
      </c>
      <c r="BI774">
        <v>2.4</v>
      </c>
      <c r="BJ774">
        <v>31</v>
      </c>
      <c r="BK774">
        <v>0</v>
      </c>
      <c r="BL774">
        <v>0</v>
      </c>
      <c r="BM774">
        <v>0</v>
      </c>
      <c r="BN774">
        <v>5</v>
      </c>
      <c r="BO774">
        <v>2.4</v>
      </c>
      <c r="BP774">
        <v>36</v>
      </c>
      <c r="BQ774">
        <v>0</v>
      </c>
      <c r="BR774">
        <v>0</v>
      </c>
      <c r="BS774">
        <v>0</v>
      </c>
      <c r="BT774">
        <v>5</v>
      </c>
      <c r="BU774">
        <v>2</v>
      </c>
    </row>
    <row r="775" spans="1:73" x14ac:dyDescent="0.15">
      <c r="A775" s="11">
        <v>11022</v>
      </c>
      <c r="B775">
        <v>7</v>
      </c>
      <c r="C775" s="1">
        <v>46</v>
      </c>
      <c r="D775">
        <v>0</v>
      </c>
      <c r="E775">
        <v>0</v>
      </c>
      <c r="F775">
        <v>1</v>
      </c>
      <c r="G775" s="7">
        <v>0.05</v>
      </c>
      <c r="H775">
        <v>12</v>
      </c>
      <c r="I775">
        <v>0</v>
      </c>
      <c r="J775">
        <v>0</v>
      </c>
      <c r="K775">
        <v>0</v>
      </c>
      <c r="L775">
        <v>1</v>
      </c>
      <c r="M775">
        <v>2</v>
      </c>
      <c r="N775" s="7">
        <v>9</v>
      </c>
      <c r="O775" s="7">
        <v>0</v>
      </c>
      <c r="P775" s="7">
        <v>0</v>
      </c>
      <c r="Q775" s="7">
        <v>0</v>
      </c>
      <c r="R775" s="7">
        <v>1</v>
      </c>
      <c r="S775" s="7">
        <v>4.5</v>
      </c>
      <c r="T775">
        <v>7</v>
      </c>
      <c r="U775" s="1">
        <v>34</v>
      </c>
      <c r="V775">
        <v>0</v>
      </c>
      <c r="W775">
        <v>0</v>
      </c>
      <c r="X775">
        <v>1</v>
      </c>
      <c r="Y775">
        <v>0.16</v>
      </c>
      <c r="Z775">
        <v>23</v>
      </c>
      <c r="AA775">
        <v>0</v>
      </c>
      <c r="AB775">
        <v>0</v>
      </c>
      <c r="AC775">
        <v>0</v>
      </c>
      <c r="AD775">
        <v>1</v>
      </c>
      <c r="AE775">
        <v>0.05</v>
      </c>
      <c r="AF775">
        <v>15</v>
      </c>
      <c r="AG775">
        <v>0</v>
      </c>
      <c r="AH775">
        <v>0</v>
      </c>
      <c r="AI775">
        <v>0</v>
      </c>
      <c r="AJ775">
        <v>1</v>
      </c>
      <c r="AK775">
        <v>0.02</v>
      </c>
      <c r="AL775">
        <v>16</v>
      </c>
      <c r="AM775">
        <v>0</v>
      </c>
      <c r="AN775">
        <v>0</v>
      </c>
      <c r="AO775">
        <v>0</v>
      </c>
      <c r="AP775">
        <v>1</v>
      </c>
      <c r="AQ775">
        <v>0.01</v>
      </c>
      <c r="AX775">
        <v>7</v>
      </c>
      <c r="AY775" s="1">
        <v>18</v>
      </c>
      <c r="AZ775">
        <v>0</v>
      </c>
      <c r="BA775">
        <v>0</v>
      </c>
      <c r="BB775">
        <v>1</v>
      </c>
      <c r="BC775" s="7">
        <v>0.32</v>
      </c>
      <c r="BD775">
        <v>30</v>
      </c>
      <c r="BE775">
        <v>0</v>
      </c>
      <c r="BF775">
        <v>0</v>
      </c>
      <c r="BG775">
        <v>0</v>
      </c>
      <c r="BH775">
        <v>5</v>
      </c>
      <c r="BI775">
        <v>2.4</v>
      </c>
      <c r="BJ775">
        <v>31</v>
      </c>
      <c r="BK775">
        <v>0</v>
      </c>
      <c r="BL775">
        <v>0</v>
      </c>
      <c r="BM775">
        <v>0</v>
      </c>
      <c r="BN775">
        <v>5</v>
      </c>
      <c r="BO775">
        <v>2.4</v>
      </c>
      <c r="BP775">
        <v>36</v>
      </c>
      <c r="BQ775">
        <v>0</v>
      </c>
      <c r="BR775">
        <v>0</v>
      </c>
      <c r="BS775">
        <v>0</v>
      </c>
      <c r="BT775">
        <v>5</v>
      </c>
      <c r="BU775">
        <v>2</v>
      </c>
    </row>
    <row r="776" spans="1:73" x14ac:dyDescent="0.15">
      <c r="A776" s="11">
        <v>11023</v>
      </c>
      <c r="B776">
        <v>7</v>
      </c>
      <c r="C776" s="1">
        <v>47</v>
      </c>
      <c r="D776">
        <v>0</v>
      </c>
      <c r="E776">
        <v>0</v>
      </c>
      <c r="F776">
        <v>1</v>
      </c>
      <c r="G776" s="7">
        <v>0.05</v>
      </c>
      <c r="H776">
        <v>12</v>
      </c>
      <c r="I776">
        <v>0</v>
      </c>
      <c r="J776">
        <v>0</v>
      </c>
      <c r="K776">
        <v>0</v>
      </c>
      <c r="L776">
        <v>1</v>
      </c>
      <c r="M776">
        <v>2</v>
      </c>
      <c r="N776" s="7">
        <v>9</v>
      </c>
      <c r="O776" s="7">
        <v>0</v>
      </c>
      <c r="P776" s="7">
        <v>0</v>
      </c>
      <c r="Q776" s="7">
        <v>0</v>
      </c>
      <c r="R776" s="7">
        <v>1</v>
      </c>
      <c r="S776" s="7">
        <v>4.5</v>
      </c>
      <c r="T776">
        <v>7</v>
      </c>
      <c r="U776" s="1">
        <v>35</v>
      </c>
      <c r="V776">
        <v>0</v>
      </c>
      <c r="W776">
        <v>0</v>
      </c>
      <c r="X776">
        <v>1</v>
      </c>
      <c r="Y776">
        <v>0.16</v>
      </c>
      <c r="Z776">
        <v>23</v>
      </c>
      <c r="AA776">
        <v>0</v>
      </c>
      <c r="AB776">
        <v>0</v>
      </c>
      <c r="AC776">
        <v>0</v>
      </c>
      <c r="AD776">
        <v>1</v>
      </c>
      <c r="AE776">
        <v>0.05</v>
      </c>
      <c r="AF776">
        <v>15</v>
      </c>
      <c r="AG776">
        <v>0</v>
      </c>
      <c r="AH776">
        <v>0</v>
      </c>
      <c r="AI776">
        <v>0</v>
      </c>
      <c r="AJ776">
        <v>1</v>
      </c>
      <c r="AK776">
        <v>0.02</v>
      </c>
      <c r="AL776">
        <v>16</v>
      </c>
      <c r="AM776">
        <v>0</v>
      </c>
      <c r="AN776">
        <v>0</v>
      </c>
      <c r="AO776">
        <v>0</v>
      </c>
      <c r="AP776">
        <v>1</v>
      </c>
      <c r="AQ776">
        <v>0.01</v>
      </c>
      <c r="AX776">
        <v>7</v>
      </c>
      <c r="AY776" s="1">
        <v>19</v>
      </c>
      <c r="AZ776">
        <v>0</v>
      </c>
      <c r="BA776">
        <v>0</v>
      </c>
      <c r="BB776">
        <v>1</v>
      </c>
      <c r="BC776" s="7">
        <v>0.32</v>
      </c>
      <c r="BD776">
        <v>30</v>
      </c>
      <c r="BE776">
        <v>0</v>
      </c>
      <c r="BF776">
        <v>0</v>
      </c>
      <c r="BG776">
        <v>0</v>
      </c>
      <c r="BH776">
        <v>5</v>
      </c>
      <c r="BI776">
        <v>2.4</v>
      </c>
      <c r="BJ776">
        <v>31</v>
      </c>
      <c r="BK776">
        <v>0</v>
      </c>
      <c r="BL776">
        <v>0</v>
      </c>
      <c r="BM776">
        <v>0</v>
      </c>
      <c r="BN776">
        <v>5</v>
      </c>
      <c r="BO776">
        <v>2.4</v>
      </c>
      <c r="BP776">
        <v>36</v>
      </c>
      <c r="BQ776">
        <v>0</v>
      </c>
      <c r="BR776">
        <v>0</v>
      </c>
      <c r="BS776">
        <v>0</v>
      </c>
      <c r="BT776">
        <v>5</v>
      </c>
      <c r="BU776">
        <v>2</v>
      </c>
    </row>
    <row r="777" spans="1:73" x14ac:dyDescent="0.15">
      <c r="A777" s="11">
        <v>11024</v>
      </c>
      <c r="B777">
        <v>7</v>
      </c>
      <c r="C777" s="1">
        <v>48</v>
      </c>
      <c r="D777">
        <v>0</v>
      </c>
      <c r="E777">
        <v>0</v>
      </c>
      <c r="F777">
        <v>1</v>
      </c>
      <c r="G777" s="7">
        <v>0.05</v>
      </c>
      <c r="H777">
        <v>12</v>
      </c>
      <c r="I777">
        <v>0</v>
      </c>
      <c r="J777">
        <v>0</v>
      </c>
      <c r="K777">
        <v>0</v>
      </c>
      <c r="L777">
        <v>1</v>
      </c>
      <c r="M777">
        <v>2</v>
      </c>
      <c r="N777" s="7">
        <v>9</v>
      </c>
      <c r="O777" s="7">
        <v>0</v>
      </c>
      <c r="P777" s="7">
        <v>0</v>
      </c>
      <c r="Q777" s="7">
        <v>0</v>
      </c>
      <c r="R777" s="7">
        <v>1</v>
      </c>
      <c r="S777" s="7">
        <v>4.5</v>
      </c>
      <c r="T777">
        <v>7</v>
      </c>
      <c r="U777" s="1">
        <v>36</v>
      </c>
      <c r="V777">
        <v>0</v>
      </c>
      <c r="W777">
        <v>0</v>
      </c>
      <c r="X777">
        <v>1</v>
      </c>
      <c r="Y777">
        <v>0.16</v>
      </c>
      <c r="Z777">
        <v>23</v>
      </c>
      <c r="AA777">
        <v>0</v>
      </c>
      <c r="AB777">
        <v>0</v>
      </c>
      <c r="AC777">
        <v>0</v>
      </c>
      <c r="AD777">
        <v>1</v>
      </c>
      <c r="AE777">
        <v>0.05</v>
      </c>
      <c r="AF777">
        <v>15</v>
      </c>
      <c r="AG777">
        <v>0</v>
      </c>
      <c r="AH777">
        <v>0</v>
      </c>
      <c r="AI777">
        <v>0</v>
      </c>
      <c r="AJ777">
        <v>1</v>
      </c>
      <c r="AK777">
        <v>0.02</v>
      </c>
      <c r="AL777">
        <v>16</v>
      </c>
      <c r="AM777">
        <v>0</v>
      </c>
      <c r="AN777">
        <v>0</v>
      </c>
      <c r="AO777">
        <v>0</v>
      </c>
      <c r="AP777">
        <v>1</v>
      </c>
      <c r="AQ777">
        <v>0.01</v>
      </c>
      <c r="AX777">
        <v>7</v>
      </c>
      <c r="AY777" s="1">
        <v>20</v>
      </c>
      <c r="AZ777">
        <v>0</v>
      </c>
      <c r="BA777">
        <v>0</v>
      </c>
      <c r="BB777">
        <v>1</v>
      </c>
      <c r="BC777" s="7">
        <v>0.32</v>
      </c>
      <c r="BD777">
        <v>30</v>
      </c>
      <c r="BE777">
        <v>0</v>
      </c>
      <c r="BF777">
        <v>0</v>
      </c>
      <c r="BG777">
        <v>0</v>
      </c>
      <c r="BH777">
        <v>5</v>
      </c>
      <c r="BI777">
        <v>2.4</v>
      </c>
      <c r="BJ777">
        <v>31</v>
      </c>
      <c r="BK777">
        <v>0</v>
      </c>
      <c r="BL777">
        <v>0</v>
      </c>
      <c r="BM777">
        <v>0</v>
      </c>
      <c r="BN777">
        <v>5</v>
      </c>
      <c r="BO777">
        <v>2.4</v>
      </c>
      <c r="BP777">
        <v>36</v>
      </c>
      <c r="BQ777">
        <v>0</v>
      </c>
      <c r="BR777">
        <v>0</v>
      </c>
      <c r="BS777">
        <v>0</v>
      </c>
      <c r="BT777">
        <v>5</v>
      </c>
      <c r="BU777">
        <v>2</v>
      </c>
    </row>
    <row r="778" spans="1:73" x14ac:dyDescent="0.15">
      <c r="A778" s="11">
        <v>11025</v>
      </c>
      <c r="B778">
        <v>7</v>
      </c>
      <c r="C778" s="1">
        <v>0</v>
      </c>
      <c r="D778">
        <v>5</v>
      </c>
      <c r="E778">
        <v>1</v>
      </c>
      <c r="F778">
        <v>1</v>
      </c>
      <c r="G778" s="7">
        <v>0.05</v>
      </c>
      <c r="H778">
        <v>12</v>
      </c>
      <c r="I778">
        <v>0</v>
      </c>
      <c r="J778">
        <v>0</v>
      </c>
      <c r="K778">
        <v>0</v>
      </c>
      <c r="L778">
        <v>1</v>
      </c>
      <c r="M778">
        <v>2</v>
      </c>
      <c r="N778" s="7">
        <v>9</v>
      </c>
      <c r="O778" s="7">
        <v>0</v>
      </c>
      <c r="P778" s="7">
        <v>0</v>
      </c>
      <c r="Q778" s="7">
        <v>0</v>
      </c>
      <c r="R778" s="7">
        <v>1</v>
      </c>
      <c r="S778" s="7">
        <v>4.5</v>
      </c>
      <c r="T778">
        <v>7</v>
      </c>
      <c r="U778" s="1">
        <v>0</v>
      </c>
      <c r="V778">
        <v>4</v>
      </c>
      <c r="W778">
        <v>2</v>
      </c>
      <c r="X778">
        <v>1</v>
      </c>
      <c r="Y778">
        <v>0.16</v>
      </c>
      <c r="Z778">
        <v>23</v>
      </c>
      <c r="AA778">
        <v>0</v>
      </c>
      <c r="AB778">
        <v>0</v>
      </c>
      <c r="AC778">
        <v>0</v>
      </c>
      <c r="AD778">
        <v>1</v>
      </c>
      <c r="AE778">
        <v>0.05</v>
      </c>
      <c r="AF778">
        <v>15</v>
      </c>
      <c r="AG778">
        <v>0</v>
      </c>
      <c r="AH778">
        <v>0</v>
      </c>
      <c r="AI778">
        <v>0</v>
      </c>
      <c r="AJ778">
        <v>1</v>
      </c>
      <c r="AK778">
        <v>0.02</v>
      </c>
      <c r="AL778">
        <v>16</v>
      </c>
      <c r="AM778">
        <v>0</v>
      </c>
      <c r="AN778">
        <v>0</v>
      </c>
      <c r="AO778">
        <v>0</v>
      </c>
      <c r="AP778">
        <v>1</v>
      </c>
      <c r="AQ778">
        <v>0.01</v>
      </c>
      <c r="AR778">
        <v>6</v>
      </c>
      <c r="AS778">
        <v>2</v>
      </c>
      <c r="AT778">
        <v>5</v>
      </c>
      <c r="AU778">
        <v>5</v>
      </c>
      <c r="AV778">
        <v>1</v>
      </c>
      <c r="AW778">
        <v>0.01</v>
      </c>
      <c r="AX778">
        <v>7</v>
      </c>
      <c r="AY778" s="1">
        <v>0</v>
      </c>
      <c r="AZ778">
        <v>3</v>
      </c>
      <c r="BA778">
        <v>1</v>
      </c>
      <c r="BB778">
        <v>1</v>
      </c>
      <c r="BC778" s="7">
        <v>0.32</v>
      </c>
      <c r="BD778">
        <v>30</v>
      </c>
      <c r="BE778">
        <v>0</v>
      </c>
      <c r="BF778">
        <v>0</v>
      </c>
      <c r="BG778">
        <v>0</v>
      </c>
      <c r="BH778">
        <v>5</v>
      </c>
      <c r="BI778">
        <v>2.4</v>
      </c>
      <c r="BJ778">
        <v>31</v>
      </c>
      <c r="BK778">
        <v>0</v>
      </c>
      <c r="BL778">
        <v>0</v>
      </c>
      <c r="BM778">
        <v>0</v>
      </c>
      <c r="BN778">
        <v>5</v>
      </c>
      <c r="BO778">
        <v>2.4</v>
      </c>
      <c r="BP778">
        <v>36</v>
      </c>
      <c r="BQ778">
        <v>0</v>
      </c>
      <c r="BR778">
        <v>0</v>
      </c>
      <c r="BS778">
        <v>0</v>
      </c>
      <c r="BT778">
        <v>5</v>
      </c>
      <c r="BU778">
        <v>2</v>
      </c>
    </row>
    <row r="779" spans="1:73" x14ac:dyDescent="0.15">
      <c r="A779" s="11">
        <v>11026</v>
      </c>
      <c r="B779">
        <v>7</v>
      </c>
      <c r="C779" s="1">
        <v>45</v>
      </c>
      <c r="D779">
        <v>0</v>
      </c>
      <c r="E779">
        <v>0</v>
      </c>
      <c r="F779">
        <v>1</v>
      </c>
      <c r="G779" s="7">
        <v>0.05</v>
      </c>
      <c r="H779">
        <v>12</v>
      </c>
      <c r="I779">
        <v>0</v>
      </c>
      <c r="J779">
        <v>0</v>
      </c>
      <c r="K779">
        <v>0</v>
      </c>
      <c r="L779">
        <v>1</v>
      </c>
      <c r="M779">
        <v>2</v>
      </c>
      <c r="N779" s="7">
        <v>9</v>
      </c>
      <c r="O779" s="7">
        <v>0</v>
      </c>
      <c r="P779" s="7">
        <v>0</v>
      </c>
      <c r="Q779" s="7">
        <v>0</v>
      </c>
      <c r="R779" s="7">
        <v>1</v>
      </c>
      <c r="S779" s="7">
        <v>4.5</v>
      </c>
      <c r="T779">
        <v>7</v>
      </c>
      <c r="U779" s="1">
        <v>33</v>
      </c>
      <c r="V779">
        <v>0</v>
      </c>
      <c r="W779">
        <v>0</v>
      </c>
      <c r="X779">
        <v>1</v>
      </c>
      <c r="Y779">
        <v>0.16</v>
      </c>
      <c r="Z779">
        <v>23</v>
      </c>
      <c r="AA779">
        <v>0</v>
      </c>
      <c r="AB779">
        <v>0</v>
      </c>
      <c r="AC779">
        <v>0</v>
      </c>
      <c r="AD779">
        <v>1</v>
      </c>
      <c r="AE779">
        <v>0.05</v>
      </c>
      <c r="AF779">
        <v>15</v>
      </c>
      <c r="AG779">
        <v>0</v>
      </c>
      <c r="AH779">
        <v>0</v>
      </c>
      <c r="AI779">
        <v>0</v>
      </c>
      <c r="AJ779">
        <v>1</v>
      </c>
      <c r="AK779">
        <v>0.02</v>
      </c>
      <c r="AL779">
        <v>16</v>
      </c>
      <c r="AM779">
        <v>0</v>
      </c>
      <c r="AN779">
        <v>0</v>
      </c>
      <c r="AO779">
        <v>0</v>
      </c>
      <c r="AP779">
        <v>1</v>
      </c>
      <c r="AQ779">
        <v>0.01</v>
      </c>
      <c r="AX779">
        <v>7</v>
      </c>
      <c r="AY779" s="1">
        <v>17</v>
      </c>
      <c r="AZ779">
        <v>0</v>
      </c>
      <c r="BA779">
        <v>0</v>
      </c>
      <c r="BB779">
        <v>1</v>
      </c>
      <c r="BC779" s="7">
        <v>0.32</v>
      </c>
      <c r="BD779">
        <v>30</v>
      </c>
      <c r="BE779">
        <v>0</v>
      </c>
      <c r="BF779">
        <v>0</v>
      </c>
      <c r="BG779">
        <v>0</v>
      </c>
      <c r="BH779">
        <v>5</v>
      </c>
      <c r="BI779">
        <v>2.4</v>
      </c>
      <c r="BJ779">
        <v>31</v>
      </c>
      <c r="BK779">
        <v>0</v>
      </c>
      <c r="BL779">
        <v>0</v>
      </c>
      <c r="BM779">
        <v>0</v>
      </c>
      <c r="BN779">
        <v>5</v>
      </c>
      <c r="BO779">
        <v>2.4</v>
      </c>
      <c r="BP779">
        <v>36</v>
      </c>
      <c r="BQ779">
        <v>0</v>
      </c>
      <c r="BR779">
        <v>0</v>
      </c>
      <c r="BS779">
        <v>0</v>
      </c>
      <c r="BT779">
        <v>5</v>
      </c>
      <c r="BU779">
        <v>2</v>
      </c>
    </row>
    <row r="780" spans="1:73" x14ac:dyDescent="0.15">
      <c r="A780" s="11">
        <v>11027</v>
      </c>
      <c r="B780">
        <v>7</v>
      </c>
      <c r="C780" s="1">
        <v>46</v>
      </c>
      <c r="D780">
        <v>0</v>
      </c>
      <c r="E780">
        <v>0</v>
      </c>
      <c r="F780">
        <v>1</v>
      </c>
      <c r="G780" s="7">
        <v>0.05</v>
      </c>
      <c r="H780">
        <v>12</v>
      </c>
      <c r="I780">
        <v>0</v>
      </c>
      <c r="J780">
        <v>0</v>
      </c>
      <c r="K780">
        <v>0</v>
      </c>
      <c r="L780">
        <v>1</v>
      </c>
      <c r="M780">
        <v>2</v>
      </c>
      <c r="N780" s="7">
        <v>9</v>
      </c>
      <c r="O780" s="7">
        <v>0</v>
      </c>
      <c r="P780" s="7">
        <v>0</v>
      </c>
      <c r="Q780" s="7">
        <v>0</v>
      </c>
      <c r="R780" s="7">
        <v>1</v>
      </c>
      <c r="S780" s="7">
        <v>4.5</v>
      </c>
      <c r="T780">
        <v>7</v>
      </c>
      <c r="U780" s="1">
        <v>34</v>
      </c>
      <c r="V780">
        <v>0</v>
      </c>
      <c r="W780">
        <v>0</v>
      </c>
      <c r="X780">
        <v>1</v>
      </c>
      <c r="Y780">
        <v>0.16</v>
      </c>
      <c r="Z780">
        <v>23</v>
      </c>
      <c r="AA780">
        <v>0</v>
      </c>
      <c r="AB780">
        <v>0</v>
      </c>
      <c r="AC780">
        <v>0</v>
      </c>
      <c r="AD780">
        <v>1</v>
      </c>
      <c r="AE780">
        <v>0.05</v>
      </c>
      <c r="AF780">
        <v>15</v>
      </c>
      <c r="AG780">
        <v>0</v>
      </c>
      <c r="AH780">
        <v>0</v>
      </c>
      <c r="AI780">
        <v>0</v>
      </c>
      <c r="AJ780">
        <v>1</v>
      </c>
      <c r="AK780">
        <v>0.02</v>
      </c>
      <c r="AL780">
        <v>16</v>
      </c>
      <c r="AM780">
        <v>0</v>
      </c>
      <c r="AN780">
        <v>0</v>
      </c>
      <c r="AO780">
        <v>0</v>
      </c>
      <c r="AP780">
        <v>1</v>
      </c>
      <c r="AQ780">
        <v>0.01</v>
      </c>
      <c r="AX780">
        <v>7</v>
      </c>
      <c r="AY780" s="1">
        <v>18</v>
      </c>
      <c r="AZ780">
        <v>0</v>
      </c>
      <c r="BA780">
        <v>0</v>
      </c>
      <c r="BB780">
        <v>1</v>
      </c>
      <c r="BC780" s="7">
        <v>0.32</v>
      </c>
      <c r="BD780">
        <v>30</v>
      </c>
      <c r="BE780">
        <v>0</v>
      </c>
      <c r="BF780">
        <v>0</v>
      </c>
      <c r="BG780">
        <v>0</v>
      </c>
      <c r="BH780">
        <v>5</v>
      </c>
      <c r="BI780">
        <v>2.4</v>
      </c>
      <c r="BJ780">
        <v>31</v>
      </c>
      <c r="BK780">
        <v>0</v>
      </c>
      <c r="BL780">
        <v>0</v>
      </c>
      <c r="BM780">
        <v>0</v>
      </c>
      <c r="BN780">
        <v>5</v>
      </c>
      <c r="BO780">
        <v>2.4</v>
      </c>
      <c r="BP780">
        <v>36</v>
      </c>
      <c r="BQ780">
        <v>0</v>
      </c>
      <c r="BR780">
        <v>0</v>
      </c>
      <c r="BS780">
        <v>0</v>
      </c>
      <c r="BT780">
        <v>5</v>
      </c>
      <c r="BU780">
        <v>2</v>
      </c>
    </row>
    <row r="781" spans="1:73" x14ac:dyDescent="0.15">
      <c r="A781" s="11">
        <v>11028</v>
      </c>
      <c r="B781">
        <v>7</v>
      </c>
      <c r="C781" s="1">
        <v>47</v>
      </c>
      <c r="D781">
        <v>0</v>
      </c>
      <c r="E781">
        <v>0</v>
      </c>
      <c r="F781">
        <v>1</v>
      </c>
      <c r="G781" s="7">
        <v>0.05</v>
      </c>
      <c r="H781">
        <v>12</v>
      </c>
      <c r="I781">
        <v>0</v>
      </c>
      <c r="J781">
        <v>0</v>
      </c>
      <c r="K781">
        <v>0</v>
      </c>
      <c r="L781">
        <v>1</v>
      </c>
      <c r="M781">
        <v>2</v>
      </c>
      <c r="N781" s="7">
        <v>9</v>
      </c>
      <c r="O781" s="7">
        <v>0</v>
      </c>
      <c r="P781" s="7">
        <v>0</v>
      </c>
      <c r="Q781" s="7">
        <v>0</v>
      </c>
      <c r="R781" s="7">
        <v>1</v>
      </c>
      <c r="S781" s="7">
        <v>4.5</v>
      </c>
      <c r="T781">
        <v>7</v>
      </c>
      <c r="U781" s="1">
        <v>35</v>
      </c>
      <c r="V781">
        <v>0</v>
      </c>
      <c r="W781">
        <v>0</v>
      </c>
      <c r="X781">
        <v>1</v>
      </c>
      <c r="Y781">
        <v>0.16</v>
      </c>
      <c r="Z781">
        <v>23</v>
      </c>
      <c r="AA781">
        <v>0</v>
      </c>
      <c r="AB781">
        <v>0</v>
      </c>
      <c r="AC781">
        <v>0</v>
      </c>
      <c r="AD781">
        <v>1</v>
      </c>
      <c r="AE781">
        <v>0.05</v>
      </c>
      <c r="AF781">
        <v>15</v>
      </c>
      <c r="AG781">
        <v>0</v>
      </c>
      <c r="AH781">
        <v>0</v>
      </c>
      <c r="AI781">
        <v>0</v>
      </c>
      <c r="AJ781">
        <v>1</v>
      </c>
      <c r="AK781">
        <v>0.02</v>
      </c>
      <c r="AL781">
        <v>16</v>
      </c>
      <c r="AM781">
        <v>0</v>
      </c>
      <c r="AN781">
        <v>0</v>
      </c>
      <c r="AO781">
        <v>0</v>
      </c>
      <c r="AP781">
        <v>1</v>
      </c>
      <c r="AQ781">
        <v>0.01</v>
      </c>
      <c r="AX781">
        <v>7</v>
      </c>
      <c r="AY781" s="1">
        <v>19</v>
      </c>
      <c r="AZ781">
        <v>0</v>
      </c>
      <c r="BA781">
        <v>0</v>
      </c>
      <c r="BB781">
        <v>1</v>
      </c>
      <c r="BC781" s="7">
        <v>0.32</v>
      </c>
      <c r="BD781">
        <v>30</v>
      </c>
      <c r="BE781">
        <v>0</v>
      </c>
      <c r="BF781">
        <v>0</v>
      </c>
      <c r="BG781">
        <v>0</v>
      </c>
      <c r="BH781">
        <v>5</v>
      </c>
      <c r="BI781">
        <v>2.4</v>
      </c>
      <c r="BJ781">
        <v>31</v>
      </c>
      <c r="BK781">
        <v>0</v>
      </c>
      <c r="BL781">
        <v>0</v>
      </c>
      <c r="BM781">
        <v>0</v>
      </c>
      <c r="BN781">
        <v>5</v>
      </c>
      <c r="BO781">
        <v>2.4</v>
      </c>
      <c r="BP781">
        <v>36</v>
      </c>
      <c r="BQ781">
        <v>0</v>
      </c>
      <c r="BR781">
        <v>0</v>
      </c>
      <c r="BS781">
        <v>0</v>
      </c>
      <c r="BT781">
        <v>5</v>
      </c>
      <c r="BU781">
        <v>2</v>
      </c>
    </row>
    <row r="782" spans="1:73" x14ac:dyDescent="0.15">
      <c r="A782" s="11">
        <v>11029</v>
      </c>
      <c r="B782">
        <v>7</v>
      </c>
      <c r="C782" s="1">
        <v>48</v>
      </c>
      <c r="D782">
        <v>0</v>
      </c>
      <c r="E782">
        <v>0</v>
      </c>
      <c r="F782">
        <v>1</v>
      </c>
      <c r="G782" s="7">
        <v>0.05</v>
      </c>
      <c r="H782">
        <v>12</v>
      </c>
      <c r="I782">
        <v>0</v>
      </c>
      <c r="J782">
        <v>0</v>
      </c>
      <c r="K782">
        <v>0</v>
      </c>
      <c r="L782">
        <v>1</v>
      </c>
      <c r="M782">
        <v>2</v>
      </c>
      <c r="N782" s="7">
        <v>9</v>
      </c>
      <c r="O782" s="7">
        <v>0</v>
      </c>
      <c r="P782" s="7">
        <v>0</v>
      </c>
      <c r="Q782" s="7">
        <v>0</v>
      </c>
      <c r="R782" s="7">
        <v>1</v>
      </c>
      <c r="S782" s="7">
        <v>4.5</v>
      </c>
      <c r="T782">
        <v>7</v>
      </c>
      <c r="U782" s="1">
        <v>36</v>
      </c>
      <c r="V782">
        <v>0</v>
      </c>
      <c r="W782">
        <v>0</v>
      </c>
      <c r="X782">
        <v>1</v>
      </c>
      <c r="Y782">
        <v>0.16</v>
      </c>
      <c r="Z782">
        <v>23</v>
      </c>
      <c r="AA782">
        <v>0</v>
      </c>
      <c r="AB782">
        <v>0</v>
      </c>
      <c r="AC782">
        <v>0</v>
      </c>
      <c r="AD782">
        <v>1</v>
      </c>
      <c r="AE782">
        <v>0.05</v>
      </c>
      <c r="AF782">
        <v>15</v>
      </c>
      <c r="AG782">
        <v>0</v>
      </c>
      <c r="AH782">
        <v>0</v>
      </c>
      <c r="AI782">
        <v>0</v>
      </c>
      <c r="AJ782">
        <v>1</v>
      </c>
      <c r="AK782">
        <v>0.02</v>
      </c>
      <c r="AL782">
        <v>16</v>
      </c>
      <c r="AM782">
        <v>0</v>
      </c>
      <c r="AN782">
        <v>0</v>
      </c>
      <c r="AO782">
        <v>0</v>
      </c>
      <c r="AP782">
        <v>1</v>
      </c>
      <c r="AQ782">
        <v>0.01</v>
      </c>
      <c r="AX782">
        <v>7</v>
      </c>
      <c r="AY782" s="1">
        <v>20</v>
      </c>
      <c r="AZ782">
        <v>0</v>
      </c>
      <c r="BA782">
        <v>0</v>
      </c>
      <c r="BB782">
        <v>1</v>
      </c>
      <c r="BC782" s="7">
        <v>0.32</v>
      </c>
      <c r="BD782">
        <v>30</v>
      </c>
      <c r="BE782">
        <v>0</v>
      </c>
      <c r="BF782">
        <v>0</v>
      </c>
      <c r="BG782">
        <v>0</v>
      </c>
      <c r="BH782">
        <v>5</v>
      </c>
      <c r="BI782">
        <v>2.4</v>
      </c>
      <c r="BJ782">
        <v>31</v>
      </c>
      <c r="BK782">
        <v>0</v>
      </c>
      <c r="BL782">
        <v>0</v>
      </c>
      <c r="BM782">
        <v>0</v>
      </c>
      <c r="BN782">
        <v>5</v>
      </c>
      <c r="BO782">
        <v>2.4</v>
      </c>
      <c r="BP782">
        <v>36</v>
      </c>
      <c r="BQ782">
        <v>0</v>
      </c>
      <c r="BR782">
        <v>0</v>
      </c>
      <c r="BS782">
        <v>0</v>
      </c>
      <c r="BT782">
        <v>5</v>
      </c>
      <c r="BU782">
        <v>2</v>
      </c>
    </row>
    <row r="783" spans="1:73" x14ac:dyDescent="0.15">
      <c r="A783" s="11">
        <v>11030</v>
      </c>
      <c r="B783">
        <v>7</v>
      </c>
      <c r="C783" s="1">
        <v>0</v>
      </c>
      <c r="D783">
        <v>5</v>
      </c>
      <c r="E783">
        <v>1</v>
      </c>
      <c r="F783">
        <v>1</v>
      </c>
      <c r="G783" s="7">
        <v>0.05</v>
      </c>
      <c r="H783">
        <v>12</v>
      </c>
      <c r="I783">
        <v>0</v>
      </c>
      <c r="J783">
        <v>0</v>
      </c>
      <c r="K783">
        <v>0</v>
      </c>
      <c r="L783">
        <v>1</v>
      </c>
      <c r="M783">
        <v>2</v>
      </c>
      <c r="N783" s="7">
        <v>9</v>
      </c>
      <c r="O783" s="7">
        <v>0</v>
      </c>
      <c r="P783" s="7">
        <v>0</v>
      </c>
      <c r="Q783" s="7">
        <v>0</v>
      </c>
      <c r="R783" s="7">
        <v>1</v>
      </c>
      <c r="S783" s="7">
        <v>4.5</v>
      </c>
      <c r="T783">
        <v>7</v>
      </c>
      <c r="U783" s="1">
        <v>0</v>
      </c>
      <c r="V783">
        <v>4</v>
      </c>
      <c r="W783">
        <v>2</v>
      </c>
      <c r="X783">
        <v>1</v>
      </c>
      <c r="Y783">
        <v>0.16</v>
      </c>
      <c r="Z783">
        <v>23</v>
      </c>
      <c r="AA783">
        <v>0</v>
      </c>
      <c r="AB783">
        <v>0</v>
      </c>
      <c r="AC783">
        <v>0</v>
      </c>
      <c r="AD783">
        <v>1</v>
      </c>
      <c r="AE783">
        <v>0.05</v>
      </c>
      <c r="AF783">
        <v>15</v>
      </c>
      <c r="AG783">
        <v>0</v>
      </c>
      <c r="AH783">
        <v>0</v>
      </c>
      <c r="AI783">
        <v>0</v>
      </c>
      <c r="AJ783">
        <v>1</v>
      </c>
      <c r="AK783">
        <v>0.02</v>
      </c>
      <c r="AL783">
        <v>16</v>
      </c>
      <c r="AM783">
        <v>0</v>
      </c>
      <c r="AN783">
        <v>0</v>
      </c>
      <c r="AO783">
        <v>0</v>
      </c>
      <c r="AP783">
        <v>1</v>
      </c>
      <c r="AQ783">
        <v>0.01</v>
      </c>
      <c r="AR783">
        <v>6</v>
      </c>
      <c r="AS783">
        <v>2</v>
      </c>
      <c r="AT783">
        <v>1</v>
      </c>
      <c r="AU783">
        <v>5</v>
      </c>
      <c r="AV783">
        <v>1</v>
      </c>
      <c r="AW783">
        <v>0.05</v>
      </c>
      <c r="AX783">
        <v>7</v>
      </c>
      <c r="AY783" s="1">
        <v>0</v>
      </c>
      <c r="AZ783">
        <v>3</v>
      </c>
      <c r="BA783">
        <v>1</v>
      </c>
      <c r="BB783">
        <v>1</v>
      </c>
      <c r="BC783" s="7">
        <v>0.32</v>
      </c>
      <c r="BD783">
        <v>30</v>
      </c>
      <c r="BE783">
        <v>0</v>
      </c>
      <c r="BF783">
        <v>0</v>
      </c>
      <c r="BG783">
        <v>0</v>
      </c>
      <c r="BH783">
        <v>5</v>
      </c>
      <c r="BI783">
        <v>2.4</v>
      </c>
      <c r="BJ783">
        <v>31</v>
      </c>
      <c r="BK783">
        <v>0</v>
      </c>
      <c r="BL783">
        <v>0</v>
      </c>
      <c r="BM783">
        <v>0</v>
      </c>
      <c r="BN783">
        <v>5</v>
      </c>
      <c r="BO783">
        <v>2.4</v>
      </c>
      <c r="BP783">
        <v>36</v>
      </c>
      <c r="BQ783">
        <v>0</v>
      </c>
      <c r="BR783">
        <v>0</v>
      </c>
      <c r="BS783">
        <v>0</v>
      </c>
      <c r="BT783">
        <v>5</v>
      </c>
      <c r="BU783">
        <v>2</v>
      </c>
    </row>
    <row r="784" spans="1:73" x14ac:dyDescent="0.15">
      <c r="A784" s="11">
        <v>11031</v>
      </c>
      <c r="B784">
        <v>7</v>
      </c>
      <c r="C784" s="1">
        <v>45</v>
      </c>
      <c r="D784">
        <v>0</v>
      </c>
      <c r="E784">
        <v>0</v>
      </c>
      <c r="F784">
        <v>1</v>
      </c>
      <c r="G784" s="7">
        <v>0.05</v>
      </c>
      <c r="H784">
        <v>12</v>
      </c>
      <c r="I784">
        <v>0</v>
      </c>
      <c r="J784">
        <v>0</v>
      </c>
      <c r="K784">
        <v>0</v>
      </c>
      <c r="L784">
        <v>1</v>
      </c>
      <c r="M784">
        <v>2</v>
      </c>
      <c r="N784" s="7">
        <v>9</v>
      </c>
      <c r="O784" s="7">
        <v>0</v>
      </c>
      <c r="P784" s="7">
        <v>0</v>
      </c>
      <c r="Q784" s="7">
        <v>0</v>
      </c>
      <c r="R784" s="7">
        <v>1</v>
      </c>
      <c r="S784" s="7">
        <v>4.5</v>
      </c>
      <c r="T784">
        <v>7</v>
      </c>
      <c r="U784" s="1">
        <v>33</v>
      </c>
      <c r="V784">
        <v>0</v>
      </c>
      <c r="W784">
        <v>0</v>
      </c>
      <c r="X784">
        <v>1</v>
      </c>
      <c r="Y784">
        <v>0.16</v>
      </c>
      <c r="Z784">
        <v>23</v>
      </c>
      <c r="AA784">
        <v>0</v>
      </c>
      <c r="AB784">
        <v>0</v>
      </c>
      <c r="AC784">
        <v>0</v>
      </c>
      <c r="AD784">
        <v>1</v>
      </c>
      <c r="AE784">
        <v>0.05</v>
      </c>
      <c r="AF784">
        <v>15</v>
      </c>
      <c r="AG784">
        <v>0</v>
      </c>
      <c r="AH784">
        <v>0</v>
      </c>
      <c r="AI784">
        <v>0</v>
      </c>
      <c r="AJ784">
        <v>1</v>
      </c>
      <c r="AK784">
        <v>0.02</v>
      </c>
      <c r="AL784">
        <v>16</v>
      </c>
      <c r="AM784">
        <v>0</v>
      </c>
      <c r="AN784">
        <v>0</v>
      </c>
      <c r="AO784">
        <v>0</v>
      </c>
      <c r="AP784">
        <v>1</v>
      </c>
      <c r="AQ784">
        <v>0.01</v>
      </c>
      <c r="AX784">
        <v>7</v>
      </c>
      <c r="AY784" s="1">
        <v>17</v>
      </c>
      <c r="AZ784">
        <v>0</v>
      </c>
      <c r="BA784">
        <v>0</v>
      </c>
      <c r="BB784">
        <v>1</v>
      </c>
      <c r="BC784" s="7">
        <v>0.32</v>
      </c>
      <c r="BD784">
        <v>30</v>
      </c>
      <c r="BE784">
        <v>0</v>
      </c>
      <c r="BF784">
        <v>0</v>
      </c>
      <c r="BG784">
        <v>0</v>
      </c>
      <c r="BH784">
        <v>5</v>
      </c>
      <c r="BI784">
        <v>2.4</v>
      </c>
      <c r="BJ784">
        <v>31</v>
      </c>
      <c r="BK784">
        <v>0</v>
      </c>
      <c r="BL784">
        <v>0</v>
      </c>
      <c r="BM784">
        <v>0</v>
      </c>
      <c r="BN784">
        <v>5</v>
      </c>
      <c r="BO784">
        <v>2.4</v>
      </c>
      <c r="BP784">
        <v>36</v>
      </c>
      <c r="BQ784">
        <v>0</v>
      </c>
      <c r="BR784">
        <v>0</v>
      </c>
      <c r="BS784">
        <v>0</v>
      </c>
      <c r="BT784">
        <v>5</v>
      </c>
      <c r="BU784">
        <v>2</v>
      </c>
    </row>
    <row r="785" spans="1:73" x14ac:dyDescent="0.15">
      <c r="A785" s="11">
        <v>11032</v>
      </c>
      <c r="B785">
        <v>7</v>
      </c>
      <c r="C785" s="1">
        <v>46</v>
      </c>
      <c r="D785">
        <v>0</v>
      </c>
      <c r="E785">
        <v>0</v>
      </c>
      <c r="F785">
        <v>1</v>
      </c>
      <c r="G785" s="7">
        <v>0.05</v>
      </c>
      <c r="H785">
        <v>12</v>
      </c>
      <c r="I785">
        <v>0</v>
      </c>
      <c r="J785">
        <v>0</v>
      </c>
      <c r="K785">
        <v>0</v>
      </c>
      <c r="L785">
        <v>1</v>
      </c>
      <c r="M785">
        <v>2</v>
      </c>
      <c r="N785" s="7">
        <v>9</v>
      </c>
      <c r="O785" s="7">
        <v>0</v>
      </c>
      <c r="P785" s="7">
        <v>0</v>
      </c>
      <c r="Q785" s="7">
        <v>0</v>
      </c>
      <c r="R785" s="7">
        <v>1</v>
      </c>
      <c r="S785" s="7">
        <v>4.5</v>
      </c>
      <c r="T785">
        <v>7</v>
      </c>
      <c r="U785" s="1">
        <v>34</v>
      </c>
      <c r="V785">
        <v>0</v>
      </c>
      <c r="W785">
        <v>0</v>
      </c>
      <c r="X785">
        <v>1</v>
      </c>
      <c r="Y785">
        <v>0.16</v>
      </c>
      <c r="Z785">
        <v>23</v>
      </c>
      <c r="AA785">
        <v>0</v>
      </c>
      <c r="AB785">
        <v>0</v>
      </c>
      <c r="AC785">
        <v>0</v>
      </c>
      <c r="AD785">
        <v>1</v>
      </c>
      <c r="AE785">
        <v>0.05</v>
      </c>
      <c r="AF785">
        <v>15</v>
      </c>
      <c r="AG785">
        <v>0</v>
      </c>
      <c r="AH785">
        <v>0</v>
      </c>
      <c r="AI785">
        <v>0</v>
      </c>
      <c r="AJ785">
        <v>1</v>
      </c>
      <c r="AK785">
        <v>0.02</v>
      </c>
      <c r="AL785">
        <v>16</v>
      </c>
      <c r="AM785">
        <v>0</v>
      </c>
      <c r="AN785">
        <v>0</v>
      </c>
      <c r="AO785">
        <v>0</v>
      </c>
      <c r="AP785">
        <v>1</v>
      </c>
      <c r="AQ785">
        <v>0.01</v>
      </c>
      <c r="AX785">
        <v>7</v>
      </c>
      <c r="AY785" s="1">
        <v>18</v>
      </c>
      <c r="AZ785">
        <v>0</v>
      </c>
      <c r="BA785">
        <v>0</v>
      </c>
      <c r="BB785">
        <v>1</v>
      </c>
      <c r="BC785" s="7">
        <v>0.32</v>
      </c>
      <c r="BD785">
        <v>30</v>
      </c>
      <c r="BE785">
        <v>0</v>
      </c>
      <c r="BF785">
        <v>0</v>
      </c>
      <c r="BG785">
        <v>0</v>
      </c>
      <c r="BH785">
        <v>5</v>
      </c>
      <c r="BI785">
        <v>2.4</v>
      </c>
      <c r="BJ785">
        <v>31</v>
      </c>
      <c r="BK785">
        <v>0</v>
      </c>
      <c r="BL785">
        <v>0</v>
      </c>
      <c r="BM785">
        <v>0</v>
      </c>
      <c r="BN785">
        <v>5</v>
      </c>
      <c r="BO785">
        <v>2.4</v>
      </c>
      <c r="BP785">
        <v>36</v>
      </c>
      <c r="BQ785">
        <v>0</v>
      </c>
      <c r="BR785">
        <v>0</v>
      </c>
      <c r="BS785">
        <v>0</v>
      </c>
      <c r="BT785">
        <v>5</v>
      </c>
      <c r="BU785">
        <v>2</v>
      </c>
    </row>
    <row r="786" spans="1:73" x14ac:dyDescent="0.15">
      <c r="A786" s="11">
        <v>11033</v>
      </c>
      <c r="B786">
        <v>7</v>
      </c>
      <c r="C786" s="1">
        <v>47</v>
      </c>
      <c r="D786">
        <v>0</v>
      </c>
      <c r="E786">
        <v>0</v>
      </c>
      <c r="F786">
        <v>1</v>
      </c>
      <c r="G786" s="7">
        <v>0.05</v>
      </c>
      <c r="H786">
        <v>12</v>
      </c>
      <c r="I786">
        <v>0</v>
      </c>
      <c r="J786">
        <v>0</v>
      </c>
      <c r="K786">
        <v>0</v>
      </c>
      <c r="L786">
        <v>1</v>
      </c>
      <c r="M786">
        <v>2</v>
      </c>
      <c r="N786" s="7">
        <v>9</v>
      </c>
      <c r="O786" s="7">
        <v>0</v>
      </c>
      <c r="P786" s="7">
        <v>0</v>
      </c>
      <c r="Q786" s="7">
        <v>0</v>
      </c>
      <c r="R786" s="7">
        <v>1</v>
      </c>
      <c r="S786" s="7">
        <v>4.5</v>
      </c>
      <c r="T786">
        <v>7</v>
      </c>
      <c r="U786" s="1">
        <v>35</v>
      </c>
      <c r="V786">
        <v>0</v>
      </c>
      <c r="W786">
        <v>0</v>
      </c>
      <c r="X786">
        <v>1</v>
      </c>
      <c r="Y786">
        <v>0.16</v>
      </c>
      <c r="Z786">
        <v>23</v>
      </c>
      <c r="AA786">
        <v>0</v>
      </c>
      <c r="AB786">
        <v>0</v>
      </c>
      <c r="AC786">
        <v>0</v>
      </c>
      <c r="AD786">
        <v>1</v>
      </c>
      <c r="AE786">
        <v>0.05</v>
      </c>
      <c r="AF786">
        <v>15</v>
      </c>
      <c r="AG786">
        <v>0</v>
      </c>
      <c r="AH786">
        <v>0</v>
      </c>
      <c r="AI786">
        <v>0</v>
      </c>
      <c r="AJ786">
        <v>1</v>
      </c>
      <c r="AK786">
        <v>0.02</v>
      </c>
      <c r="AL786">
        <v>16</v>
      </c>
      <c r="AM786">
        <v>0</v>
      </c>
      <c r="AN786">
        <v>0</v>
      </c>
      <c r="AO786">
        <v>0</v>
      </c>
      <c r="AP786">
        <v>1</v>
      </c>
      <c r="AQ786">
        <v>0.01</v>
      </c>
      <c r="AX786">
        <v>7</v>
      </c>
      <c r="AY786" s="1">
        <v>19</v>
      </c>
      <c r="AZ786">
        <v>0</v>
      </c>
      <c r="BA786">
        <v>0</v>
      </c>
      <c r="BB786">
        <v>1</v>
      </c>
      <c r="BC786" s="7">
        <v>0.32</v>
      </c>
      <c r="BD786">
        <v>30</v>
      </c>
      <c r="BE786">
        <v>0</v>
      </c>
      <c r="BF786">
        <v>0</v>
      </c>
      <c r="BG786">
        <v>0</v>
      </c>
      <c r="BH786">
        <v>5</v>
      </c>
      <c r="BI786">
        <v>2.4</v>
      </c>
      <c r="BJ786">
        <v>31</v>
      </c>
      <c r="BK786">
        <v>0</v>
      </c>
      <c r="BL786">
        <v>0</v>
      </c>
      <c r="BM786">
        <v>0</v>
      </c>
      <c r="BN786">
        <v>5</v>
      </c>
      <c r="BO786">
        <v>2.4</v>
      </c>
      <c r="BP786">
        <v>36</v>
      </c>
      <c r="BQ786">
        <v>0</v>
      </c>
      <c r="BR786">
        <v>0</v>
      </c>
      <c r="BS786">
        <v>0</v>
      </c>
      <c r="BT786">
        <v>5</v>
      </c>
      <c r="BU786">
        <v>2</v>
      </c>
    </row>
    <row r="787" spans="1:73" x14ac:dyDescent="0.15">
      <c r="A787" s="11">
        <v>11034</v>
      </c>
      <c r="B787">
        <v>7</v>
      </c>
      <c r="C787" s="1">
        <v>48</v>
      </c>
      <c r="D787">
        <v>0</v>
      </c>
      <c r="E787">
        <v>0</v>
      </c>
      <c r="F787">
        <v>1</v>
      </c>
      <c r="G787" s="7">
        <v>0.05</v>
      </c>
      <c r="H787">
        <v>12</v>
      </c>
      <c r="I787">
        <v>0</v>
      </c>
      <c r="J787">
        <v>0</v>
      </c>
      <c r="K787">
        <v>0</v>
      </c>
      <c r="L787">
        <v>1</v>
      </c>
      <c r="M787">
        <v>2</v>
      </c>
      <c r="N787" s="7">
        <v>9</v>
      </c>
      <c r="O787" s="7">
        <v>0</v>
      </c>
      <c r="P787" s="7">
        <v>0</v>
      </c>
      <c r="Q787" s="7">
        <v>0</v>
      </c>
      <c r="R787" s="7">
        <v>1</v>
      </c>
      <c r="S787" s="7">
        <v>4.5</v>
      </c>
      <c r="T787">
        <v>7</v>
      </c>
      <c r="U787" s="1">
        <v>36</v>
      </c>
      <c r="V787">
        <v>0</v>
      </c>
      <c r="W787">
        <v>0</v>
      </c>
      <c r="X787">
        <v>1</v>
      </c>
      <c r="Y787">
        <v>0.16</v>
      </c>
      <c r="Z787">
        <v>23</v>
      </c>
      <c r="AA787">
        <v>0</v>
      </c>
      <c r="AB787">
        <v>0</v>
      </c>
      <c r="AC787">
        <v>0</v>
      </c>
      <c r="AD787">
        <v>1</v>
      </c>
      <c r="AE787">
        <v>0.05</v>
      </c>
      <c r="AF787">
        <v>15</v>
      </c>
      <c r="AG787">
        <v>0</v>
      </c>
      <c r="AH787">
        <v>0</v>
      </c>
      <c r="AI787">
        <v>0</v>
      </c>
      <c r="AJ787">
        <v>1</v>
      </c>
      <c r="AK787">
        <v>0.02</v>
      </c>
      <c r="AL787">
        <v>16</v>
      </c>
      <c r="AM787">
        <v>0</v>
      </c>
      <c r="AN787">
        <v>0</v>
      </c>
      <c r="AO787">
        <v>0</v>
      </c>
      <c r="AP787">
        <v>1</v>
      </c>
      <c r="AQ787">
        <v>0.01</v>
      </c>
      <c r="AX787">
        <v>7</v>
      </c>
      <c r="AY787" s="1">
        <v>20</v>
      </c>
      <c r="AZ787">
        <v>0</v>
      </c>
      <c r="BA787">
        <v>0</v>
      </c>
      <c r="BB787">
        <v>1</v>
      </c>
      <c r="BC787" s="7">
        <v>0.32</v>
      </c>
      <c r="BD787">
        <v>30</v>
      </c>
      <c r="BE787">
        <v>0</v>
      </c>
      <c r="BF787">
        <v>0</v>
      </c>
      <c r="BG787">
        <v>0</v>
      </c>
      <c r="BH787">
        <v>5</v>
      </c>
      <c r="BI787">
        <v>2.4</v>
      </c>
      <c r="BJ787">
        <v>31</v>
      </c>
      <c r="BK787">
        <v>0</v>
      </c>
      <c r="BL787">
        <v>0</v>
      </c>
      <c r="BM787">
        <v>0</v>
      </c>
      <c r="BN787">
        <v>5</v>
      </c>
      <c r="BO787">
        <v>2.4</v>
      </c>
      <c r="BP787">
        <v>36</v>
      </c>
      <c r="BQ787">
        <v>0</v>
      </c>
      <c r="BR787">
        <v>0</v>
      </c>
      <c r="BS787">
        <v>0</v>
      </c>
      <c r="BT787">
        <v>5</v>
      </c>
      <c r="BU787">
        <v>2</v>
      </c>
    </row>
    <row r="788" spans="1:73" x14ac:dyDescent="0.15">
      <c r="A788" s="11">
        <v>11035</v>
      </c>
      <c r="B788">
        <v>7</v>
      </c>
      <c r="C788" s="1">
        <v>0</v>
      </c>
      <c r="D788">
        <v>5</v>
      </c>
      <c r="E788">
        <v>1</v>
      </c>
      <c r="F788">
        <v>1</v>
      </c>
      <c r="G788" s="7">
        <v>0.05</v>
      </c>
      <c r="H788">
        <v>12</v>
      </c>
      <c r="I788">
        <v>0</v>
      </c>
      <c r="J788">
        <v>0</v>
      </c>
      <c r="K788">
        <v>0</v>
      </c>
      <c r="L788">
        <v>1</v>
      </c>
      <c r="M788">
        <v>2</v>
      </c>
      <c r="N788" s="7">
        <v>9</v>
      </c>
      <c r="O788" s="7">
        <v>0</v>
      </c>
      <c r="P788" s="7">
        <v>0</v>
      </c>
      <c r="Q788" s="7">
        <v>0</v>
      </c>
      <c r="R788" s="7">
        <v>1</v>
      </c>
      <c r="S788" s="7">
        <v>4.5</v>
      </c>
      <c r="T788">
        <v>7</v>
      </c>
      <c r="U788" s="1">
        <v>0</v>
      </c>
      <c r="V788">
        <v>4</v>
      </c>
      <c r="W788">
        <v>2</v>
      </c>
      <c r="X788">
        <v>1</v>
      </c>
      <c r="Y788">
        <v>0.16</v>
      </c>
      <c r="Z788">
        <v>23</v>
      </c>
      <c r="AA788">
        <v>0</v>
      </c>
      <c r="AB788">
        <v>0</v>
      </c>
      <c r="AC788">
        <v>0</v>
      </c>
      <c r="AD788">
        <v>1</v>
      </c>
      <c r="AE788">
        <v>0.05</v>
      </c>
      <c r="AF788">
        <v>15</v>
      </c>
      <c r="AG788">
        <v>0</v>
      </c>
      <c r="AH788">
        <v>0</v>
      </c>
      <c r="AI788">
        <v>0</v>
      </c>
      <c r="AJ788">
        <v>1</v>
      </c>
      <c r="AK788">
        <v>0.02</v>
      </c>
      <c r="AL788">
        <v>16</v>
      </c>
      <c r="AM788">
        <v>0</v>
      </c>
      <c r="AN788">
        <v>0</v>
      </c>
      <c r="AO788">
        <v>0</v>
      </c>
      <c r="AP788">
        <v>1</v>
      </c>
      <c r="AQ788">
        <v>0.01</v>
      </c>
      <c r="AR788">
        <v>6</v>
      </c>
      <c r="AS788">
        <v>2</v>
      </c>
      <c r="AT788">
        <v>2</v>
      </c>
      <c r="AU788">
        <v>5</v>
      </c>
      <c r="AV788">
        <v>1</v>
      </c>
      <c r="AW788">
        <v>0.05</v>
      </c>
      <c r="AX788">
        <v>7</v>
      </c>
      <c r="AY788" s="1">
        <v>0</v>
      </c>
      <c r="AZ788">
        <v>3</v>
      </c>
      <c r="BA788">
        <v>1</v>
      </c>
      <c r="BB788">
        <v>1</v>
      </c>
      <c r="BC788" s="7">
        <v>0.32</v>
      </c>
      <c r="BD788">
        <v>30</v>
      </c>
      <c r="BE788">
        <v>0</v>
      </c>
      <c r="BF788">
        <v>0</v>
      </c>
      <c r="BG788">
        <v>0</v>
      </c>
      <c r="BH788">
        <v>5</v>
      </c>
      <c r="BI788">
        <v>2.4</v>
      </c>
      <c r="BJ788">
        <v>31</v>
      </c>
      <c r="BK788">
        <v>0</v>
      </c>
      <c r="BL788">
        <v>0</v>
      </c>
      <c r="BM788">
        <v>0</v>
      </c>
      <c r="BN788">
        <v>5</v>
      </c>
      <c r="BO788">
        <v>2.4</v>
      </c>
      <c r="BP788">
        <v>36</v>
      </c>
      <c r="BQ788">
        <v>0</v>
      </c>
      <c r="BR788">
        <v>0</v>
      </c>
      <c r="BS788">
        <v>0</v>
      </c>
      <c r="BT788">
        <v>5</v>
      </c>
      <c r="BU788">
        <v>2</v>
      </c>
    </row>
    <row r="789" spans="1:73" x14ac:dyDescent="0.15">
      <c r="A789" s="11">
        <v>11036</v>
      </c>
      <c r="B789">
        <v>7</v>
      </c>
      <c r="C789" s="1">
        <v>45</v>
      </c>
      <c r="D789">
        <v>0</v>
      </c>
      <c r="E789">
        <v>0</v>
      </c>
      <c r="F789">
        <v>1</v>
      </c>
      <c r="G789" s="7">
        <v>0.05</v>
      </c>
      <c r="H789">
        <v>12</v>
      </c>
      <c r="I789">
        <v>0</v>
      </c>
      <c r="J789">
        <v>0</v>
      </c>
      <c r="K789">
        <v>0</v>
      </c>
      <c r="L789">
        <v>1</v>
      </c>
      <c r="M789">
        <v>2</v>
      </c>
      <c r="N789" s="7">
        <v>9</v>
      </c>
      <c r="O789" s="7">
        <v>0</v>
      </c>
      <c r="P789" s="7">
        <v>0</v>
      </c>
      <c r="Q789" s="7">
        <v>0</v>
      </c>
      <c r="R789" s="7">
        <v>1</v>
      </c>
      <c r="S789" s="7">
        <v>4.5</v>
      </c>
      <c r="T789">
        <v>7</v>
      </c>
      <c r="U789" s="1">
        <v>33</v>
      </c>
      <c r="V789">
        <v>0</v>
      </c>
      <c r="W789">
        <v>0</v>
      </c>
      <c r="X789">
        <v>1</v>
      </c>
      <c r="Y789">
        <v>0.16</v>
      </c>
      <c r="Z789">
        <v>23</v>
      </c>
      <c r="AA789">
        <v>0</v>
      </c>
      <c r="AB789">
        <v>0</v>
      </c>
      <c r="AC789">
        <v>0</v>
      </c>
      <c r="AD789">
        <v>1</v>
      </c>
      <c r="AE789">
        <v>0.05</v>
      </c>
      <c r="AF789">
        <v>15</v>
      </c>
      <c r="AG789">
        <v>0</v>
      </c>
      <c r="AH789">
        <v>0</v>
      </c>
      <c r="AI789">
        <v>0</v>
      </c>
      <c r="AJ789">
        <v>1</v>
      </c>
      <c r="AK789">
        <v>0.02</v>
      </c>
      <c r="AL789">
        <v>16</v>
      </c>
      <c r="AM789">
        <v>0</v>
      </c>
      <c r="AN789">
        <v>0</v>
      </c>
      <c r="AO789">
        <v>0</v>
      </c>
      <c r="AP789">
        <v>1</v>
      </c>
      <c r="AQ789">
        <v>0.01</v>
      </c>
      <c r="AX789">
        <v>7</v>
      </c>
      <c r="AY789" s="1">
        <v>17</v>
      </c>
      <c r="AZ789">
        <v>0</v>
      </c>
      <c r="BA789">
        <v>0</v>
      </c>
      <c r="BB789">
        <v>1</v>
      </c>
      <c r="BC789" s="7">
        <v>0.32</v>
      </c>
      <c r="BD789">
        <v>30</v>
      </c>
      <c r="BE789">
        <v>0</v>
      </c>
      <c r="BF789">
        <v>0</v>
      </c>
      <c r="BG789">
        <v>0</v>
      </c>
      <c r="BH789">
        <v>5</v>
      </c>
      <c r="BI789">
        <v>2.4</v>
      </c>
      <c r="BJ789">
        <v>31</v>
      </c>
      <c r="BK789">
        <v>0</v>
      </c>
      <c r="BL789">
        <v>0</v>
      </c>
      <c r="BM789">
        <v>0</v>
      </c>
      <c r="BN789">
        <v>5</v>
      </c>
      <c r="BO789">
        <v>2.4</v>
      </c>
      <c r="BP789">
        <v>36</v>
      </c>
      <c r="BQ789">
        <v>0</v>
      </c>
      <c r="BR789">
        <v>0</v>
      </c>
      <c r="BS789">
        <v>0</v>
      </c>
      <c r="BT789">
        <v>5</v>
      </c>
      <c r="BU789">
        <v>2</v>
      </c>
    </row>
    <row r="790" spans="1:73" x14ac:dyDescent="0.15">
      <c r="A790" s="11">
        <v>11037</v>
      </c>
      <c r="B790">
        <v>7</v>
      </c>
      <c r="C790" s="1">
        <v>46</v>
      </c>
      <c r="D790">
        <v>0</v>
      </c>
      <c r="E790">
        <v>0</v>
      </c>
      <c r="F790">
        <v>1</v>
      </c>
      <c r="G790" s="7">
        <v>0.05</v>
      </c>
      <c r="H790">
        <v>12</v>
      </c>
      <c r="I790">
        <v>0</v>
      </c>
      <c r="J790">
        <v>0</v>
      </c>
      <c r="K790">
        <v>0</v>
      </c>
      <c r="L790">
        <v>1</v>
      </c>
      <c r="M790">
        <v>2</v>
      </c>
      <c r="N790" s="7">
        <v>9</v>
      </c>
      <c r="O790" s="7">
        <v>0</v>
      </c>
      <c r="P790" s="7">
        <v>0</v>
      </c>
      <c r="Q790" s="7">
        <v>0</v>
      </c>
      <c r="R790" s="7">
        <v>1</v>
      </c>
      <c r="S790" s="7">
        <v>4.5</v>
      </c>
      <c r="T790">
        <v>7</v>
      </c>
      <c r="U790" s="1">
        <v>34</v>
      </c>
      <c r="V790">
        <v>0</v>
      </c>
      <c r="W790">
        <v>0</v>
      </c>
      <c r="X790">
        <v>1</v>
      </c>
      <c r="Y790">
        <v>0.16</v>
      </c>
      <c r="Z790">
        <v>23</v>
      </c>
      <c r="AA790">
        <v>0</v>
      </c>
      <c r="AB790">
        <v>0</v>
      </c>
      <c r="AC790">
        <v>0</v>
      </c>
      <c r="AD790">
        <v>1</v>
      </c>
      <c r="AE790">
        <v>0.05</v>
      </c>
      <c r="AF790">
        <v>15</v>
      </c>
      <c r="AG790">
        <v>0</v>
      </c>
      <c r="AH790">
        <v>0</v>
      </c>
      <c r="AI790">
        <v>0</v>
      </c>
      <c r="AJ790">
        <v>1</v>
      </c>
      <c r="AK790">
        <v>0.02</v>
      </c>
      <c r="AL790">
        <v>16</v>
      </c>
      <c r="AM790">
        <v>0</v>
      </c>
      <c r="AN790">
        <v>0</v>
      </c>
      <c r="AO790">
        <v>0</v>
      </c>
      <c r="AP790">
        <v>1</v>
      </c>
      <c r="AQ790">
        <v>0.01</v>
      </c>
      <c r="AX790">
        <v>7</v>
      </c>
      <c r="AY790" s="1">
        <v>18</v>
      </c>
      <c r="AZ790">
        <v>0</v>
      </c>
      <c r="BA790">
        <v>0</v>
      </c>
      <c r="BB790">
        <v>1</v>
      </c>
      <c r="BC790" s="7">
        <v>0.32</v>
      </c>
      <c r="BD790">
        <v>30</v>
      </c>
      <c r="BE790">
        <v>0</v>
      </c>
      <c r="BF790">
        <v>0</v>
      </c>
      <c r="BG790">
        <v>0</v>
      </c>
      <c r="BH790">
        <v>5</v>
      </c>
      <c r="BI790">
        <v>2.4</v>
      </c>
      <c r="BJ790">
        <v>31</v>
      </c>
      <c r="BK790">
        <v>0</v>
      </c>
      <c r="BL790">
        <v>0</v>
      </c>
      <c r="BM790">
        <v>0</v>
      </c>
      <c r="BN790">
        <v>5</v>
      </c>
      <c r="BO790">
        <v>2.4</v>
      </c>
      <c r="BP790">
        <v>36</v>
      </c>
      <c r="BQ790">
        <v>0</v>
      </c>
      <c r="BR790">
        <v>0</v>
      </c>
      <c r="BS790">
        <v>0</v>
      </c>
      <c r="BT790">
        <v>5</v>
      </c>
      <c r="BU790">
        <v>2</v>
      </c>
    </row>
    <row r="791" spans="1:73" x14ac:dyDescent="0.15">
      <c r="A791" s="11">
        <v>11038</v>
      </c>
      <c r="B791">
        <v>7</v>
      </c>
      <c r="C791" s="1">
        <v>47</v>
      </c>
      <c r="D791">
        <v>0</v>
      </c>
      <c r="E791">
        <v>0</v>
      </c>
      <c r="F791">
        <v>1</v>
      </c>
      <c r="G791" s="7">
        <v>0.05</v>
      </c>
      <c r="H791">
        <v>12</v>
      </c>
      <c r="I791">
        <v>0</v>
      </c>
      <c r="J791">
        <v>0</v>
      </c>
      <c r="K791">
        <v>0</v>
      </c>
      <c r="L791">
        <v>1</v>
      </c>
      <c r="M791">
        <v>2</v>
      </c>
      <c r="N791" s="7">
        <v>9</v>
      </c>
      <c r="O791" s="7">
        <v>0</v>
      </c>
      <c r="P791" s="7">
        <v>0</v>
      </c>
      <c r="Q791" s="7">
        <v>0</v>
      </c>
      <c r="R791" s="7">
        <v>1</v>
      </c>
      <c r="S791" s="7">
        <v>4.5</v>
      </c>
      <c r="T791">
        <v>7</v>
      </c>
      <c r="U791" s="1">
        <v>35</v>
      </c>
      <c r="V791">
        <v>0</v>
      </c>
      <c r="W791">
        <v>0</v>
      </c>
      <c r="X791">
        <v>1</v>
      </c>
      <c r="Y791">
        <v>0.16</v>
      </c>
      <c r="Z791">
        <v>23</v>
      </c>
      <c r="AA791">
        <v>0</v>
      </c>
      <c r="AB791">
        <v>0</v>
      </c>
      <c r="AC791">
        <v>0</v>
      </c>
      <c r="AD791">
        <v>1</v>
      </c>
      <c r="AE791">
        <v>0.05</v>
      </c>
      <c r="AF791">
        <v>15</v>
      </c>
      <c r="AG791">
        <v>0</v>
      </c>
      <c r="AH791">
        <v>0</v>
      </c>
      <c r="AI791">
        <v>0</v>
      </c>
      <c r="AJ791">
        <v>1</v>
      </c>
      <c r="AK791">
        <v>0.02</v>
      </c>
      <c r="AL791">
        <v>16</v>
      </c>
      <c r="AM791">
        <v>0</v>
      </c>
      <c r="AN791">
        <v>0</v>
      </c>
      <c r="AO791">
        <v>0</v>
      </c>
      <c r="AP791">
        <v>1</v>
      </c>
      <c r="AQ791">
        <v>0.01</v>
      </c>
      <c r="AX791">
        <v>7</v>
      </c>
      <c r="AY791" s="1">
        <v>19</v>
      </c>
      <c r="AZ791">
        <v>0</v>
      </c>
      <c r="BA791">
        <v>0</v>
      </c>
      <c r="BB791">
        <v>1</v>
      </c>
      <c r="BC791" s="7">
        <v>0.32</v>
      </c>
      <c r="BD791">
        <v>30</v>
      </c>
      <c r="BE791">
        <v>0</v>
      </c>
      <c r="BF791">
        <v>0</v>
      </c>
      <c r="BG791">
        <v>0</v>
      </c>
      <c r="BH791">
        <v>5</v>
      </c>
      <c r="BI791">
        <v>2.4</v>
      </c>
      <c r="BJ791">
        <v>31</v>
      </c>
      <c r="BK791">
        <v>0</v>
      </c>
      <c r="BL791">
        <v>0</v>
      </c>
      <c r="BM791">
        <v>0</v>
      </c>
      <c r="BN791">
        <v>5</v>
      </c>
      <c r="BO791">
        <v>2.4</v>
      </c>
      <c r="BP791">
        <v>36</v>
      </c>
      <c r="BQ791">
        <v>0</v>
      </c>
      <c r="BR791">
        <v>0</v>
      </c>
      <c r="BS791">
        <v>0</v>
      </c>
      <c r="BT791">
        <v>5</v>
      </c>
      <c r="BU791">
        <v>2</v>
      </c>
    </row>
    <row r="792" spans="1:73" x14ac:dyDescent="0.15">
      <c r="A792" s="11">
        <v>11039</v>
      </c>
      <c r="B792">
        <v>7</v>
      </c>
      <c r="C792" s="1">
        <v>48</v>
      </c>
      <c r="D792">
        <v>0</v>
      </c>
      <c r="E792">
        <v>0</v>
      </c>
      <c r="F792">
        <v>1</v>
      </c>
      <c r="G792" s="7">
        <v>0.05</v>
      </c>
      <c r="H792">
        <v>12</v>
      </c>
      <c r="I792">
        <v>0</v>
      </c>
      <c r="J792">
        <v>0</v>
      </c>
      <c r="K792">
        <v>0</v>
      </c>
      <c r="L792">
        <v>1</v>
      </c>
      <c r="M792">
        <v>2</v>
      </c>
      <c r="N792" s="7">
        <v>9</v>
      </c>
      <c r="O792" s="7">
        <v>0</v>
      </c>
      <c r="P792" s="7">
        <v>0</v>
      </c>
      <c r="Q792" s="7">
        <v>0</v>
      </c>
      <c r="R792" s="7">
        <v>1</v>
      </c>
      <c r="S792" s="7">
        <v>4.5</v>
      </c>
      <c r="T792">
        <v>7</v>
      </c>
      <c r="U792" s="1">
        <v>36</v>
      </c>
      <c r="V792">
        <v>0</v>
      </c>
      <c r="W792">
        <v>0</v>
      </c>
      <c r="X792">
        <v>1</v>
      </c>
      <c r="Y792">
        <v>0.16</v>
      </c>
      <c r="Z792">
        <v>23</v>
      </c>
      <c r="AA792">
        <v>0</v>
      </c>
      <c r="AB792">
        <v>0</v>
      </c>
      <c r="AC792">
        <v>0</v>
      </c>
      <c r="AD792">
        <v>1</v>
      </c>
      <c r="AE792">
        <v>0.05</v>
      </c>
      <c r="AF792">
        <v>15</v>
      </c>
      <c r="AG792">
        <v>0</v>
      </c>
      <c r="AH792">
        <v>0</v>
      </c>
      <c r="AI792">
        <v>0</v>
      </c>
      <c r="AJ792">
        <v>1</v>
      </c>
      <c r="AK792">
        <v>0.02</v>
      </c>
      <c r="AL792">
        <v>16</v>
      </c>
      <c r="AM792">
        <v>0</v>
      </c>
      <c r="AN792">
        <v>0</v>
      </c>
      <c r="AO792">
        <v>0</v>
      </c>
      <c r="AP792">
        <v>1</v>
      </c>
      <c r="AQ792">
        <v>0.01</v>
      </c>
      <c r="AX792">
        <v>7</v>
      </c>
      <c r="AY792" s="1">
        <v>20</v>
      </c>
      <c r="AZ792">
        <v>0</v>
      </c>
      <c r="BA792">
        <v>0</v>
      </c>
      <c r="BB792">
        <v>1</v>
      </c>
      <c r="BC792" s="7">
        <v>0.32</v>
      </c>
      <c r="BD792">
        <v>30</v>
      </c>
      <c r="BE792">
        <v>0</v>
      </c>
      <c r="BF792">
        <v>0</v>
      </c>
      <c r="BG792">
        <v>0</v>
      </c>
      <c r="BH792">
        <v>5</v>
      </c>
      <c r="BI792">
        <v>2.4</v>
      </c>
      <c r="BJ792">
        <v>31</v>
      </c>
      <c r="BK792">
        <v>0</v>
      </c>
      <c r="BL792">
        <v>0</v>
      </c>
      <c r="BM792">
        <v>0</v>
      </c>
      <c r="BN792">
        <v>5</v>
      </c>
      <c r="BO792">
        <v>2.4</v>
      </c>
      <c r="BP792">
        <v>36</v>
      </c>
      <c r="BQ792">
        <v>0</v>
      </c>
      <c r="BR792">
        <v>0</v>
      </c>
      <c r="BS792">
        <v>0</v>
      </c>
      <c r="BT792">
        <v>5</v>
      </c>
      <c r="BU792">
        <v>2</v>
      </c>
    </row>
    <row r="793" spans="1:73" x14ac:dyDescent="0.15">
      <c r="A793" s="11">
        <v>11040</v>
      </c>
      <c r="B793">
        <v>7</v>
      </c>
      <c r="C793" s="1">
        <v>0</v>
      </c>
      <c r="D793">
        <v>5</v>
      </c>
      <c r="E793">
        <v>1</v>
      </c>
      <c r="F793">
        <v>1</v>
      </c>
      <c r="G793" s="7">
        <v>0.05</v>
      </c>
      <c r="H793">
        <v>12</v>
      </c>
      <c r="I793">
        <v>0</v>
      </c>
      <c r="J793">
        <v>0</v>
      </c>
      <c r="K793">
        <v>0</v>
      </c>
      <c r="L793">
        <v>1</v>
      </c>
      <c r="M793">
        <v>2</v>
      </c>
      <c r="N793" s="7">
        <v>9</v>
      </c>
      <c r="O793" s="7">
        <v>0</v>
      </c>
      <c r="P793" s="7">
        <v>0</v>
      </c>
      <c r="Q793" s="7">
        <v>0</v>
      </c>
      <c r="R793" s="7">
        <v>1</v>
      </c>
      <c r="S793" s="7">
        <v>4.5</v>
      </c>
      <c r="T793">
        <v>7</v>
      </c>
      <c r="U793" s="1">
        <v>0</v>
      </c>
      <c r="V793">
        <v>4</v>
      </c>
      <c r="W793">
        <v>2</v>
      </c>
      <c r="X793">
        <v>1</v>
      </c>
      <c r="Y793">
        <v>0.16</v>
      </c>
      <c r="Z793">
        <v>23</v>
      </c>
      <c r="AA793">
        <v>0</v>
      </c>
      <c r="AB793">
        <v>0</v>
      </c>
      <c r="AC793">
        <v>0</v>
      </c>
      <c r="AD793">
        <v>1</v>
      </c>
      <c r="AE793">
        <v>0.05</v>
      </c>
      <c r="AF793">
        <v>15</v>
      </c>
      <c r="AG793">
        <v>0</v>
      </c>
      <c r="AH793">
        <v>0</v>
      </c>
      <c r="AI793">
        <v>0</v>
      </c>
      <c r="AJ793">
        <v>1</v>
      </c>
      <c r="AK793">
        <v>0.02</v>
      </c>
      <c r="AL793">
        <v>16</v>
      </c>
      <c r="AM793">
        <v>0</v>
      </c>
      <c r="AN793">
        <v>0</v>
      </c>
      <c r="AO793">
        <v>0</v>
      </c>
      <c r="AP793">
        <v>1</v>
      </c>
      <c r="AQ793">
        <v>0.01</v>
      </c>
      <c r="AR793">
        <v>6</v>
      </c>
      <c r="AS793">
        <v>2</v>
      </c>
      <c r="AT793">
        <v>3</v>
      </c>
      <c r="AU793">
        <v>5</v>
      </c>
      <c r="AV793">
        <v>1</v>
      </c>
      <c r="AW793">
        <v>0.05</v>
      </c>
      <c r="AX793">
        <v>7</v>
      </c>
      <c r="AY793" s="1">
        <v>0</v>
      </c>
      <c r="AZ793">
        <v>3</v>
      </c>
      <c r="BA793">
        <v>1</v>
      </c>
      <c r="BB793">
        <v>1</v>
      </c>
      <c r="BC793" s="7">
        <v>0.32</v>
      </c>
      <c r="BD793">
        <v>30</v>
      </c>
      <c r="BE793">
        <v>0</v>
      </c>
      <c r="BF793">
        <v>0</v>
      </c>
      <c r="BG793">
        <v>0</v>
      </c>
      <c r="BH793">
        <v>5</v>
      </c>
      <c r="BI793">
        <v>2.4</v>
      </c>
      <c r="BJ793">
        <v>31</v>
      </c>
      <c r="BK793">
        <v>0</v>
      </c>
      <c r="BL793">
        <v>0</v>
      </c>
      <c r="BM793">
        <v>0</v>
      </c>
      <c r="BN793">
        <v>5</v>
      </c>
      <c r="BO793">
        <v>2.4</v>
      </c>
      <c r="BP793">
        <v>36</v>
      </c>
      <c r="BQ793">
        <v>0</v>
      </c>
      <c r="BR793">
        <v>0</v>
      </c>
      <c r="BS793">
        <v>0</v>
      </c>
      <c r="BT793">
        <v>5</v>
      </c>
      <c r="BU793">
        <v>2</v>
      </c>
    </row>
    <row r="794" spans="1:73" x14ac:dyDescent="0.15">
      <c r="A794" s="11">
        <v>11041</v>
      </c>
      <c r="B794">
        <v>7</v>
      </c>
      <c r="C794" s="1">
        <v>45</v>
      </c>
      <c r="D794">
        <v>0</v>
      </c>
      <c r="E794">
        <v>0</v>
      </c>
      <c r="F794">
        <v>1</v>
      </c>
      <c r="G794" s="7">
        <v>0.05</v>
      </c>
      <c r="H794">
        <v>12</v>
      </c>
      <c r="I794">
        <v>0</v>
      </c>
      <c r="J794">
        <v>0</v>
      </c>
      <c r="K794">
        <v>0</v>
      </c>
      <c r="L794">
        <v>1</v>
      </c>
      <c r="M794">
        <v>2</v>
      </c>
      <c r="N794" s="7">
        <v>9</v>
      </c>
      <c r="O794" s="7">
        <v>0</v>
      </c>
      <c r="P794" s="7">
        <v>0</v>
      </c>
      <c r="Q794" s="7">
        <v>0</v>
      </c>
      <c r="R794" s="7">
        <v>1</v>
      </c>
      <c r="S794" s="7">
        <v>4.5</v>
      </c>
      <c r="T794">
        <v>7</v>
      </c>
      <c r="U794" s="1">
        <v>33</v>
      </c>
      <c r="V794">
        <v>0</v>
      </c>
      <c r="W794">
        <v>0</v>
      </c>
      <c r="X794">
        <v>1</v>
      </c>
      <c r="Y794">
        <v>0.16</v>
      </c>
      <c r="Z794">
        <v>23</v>
      </c>
      <c r="AA794">
        <v>0</v>
      </c>
      <c r="AB794">
        <v>0</v>
      </c>
      <c r="AC794">
        <v>0</v>
      </c>
      <c r="AD794">
        <v>1</v>
      </c>
      <c r="AE794">
        <v>0.05</v>
      </c>
      <c r="AF794">
        <v>15</v>
      </c>
      <c r="AG794">
        <v>0</v>
      </c>
      <c r="AH794">
        <v>0</v>
      </c>
      <c r="AI794">
        <v>0</v>
      </c>
      <c r="AJ794">
        <v>1</v>
      </c>
      <c r="AK794">
        <v>0.02</v>
      </c>
      <c r="AL794">
        <v>16</v>
      </c>
      <c r="AM794">
        <v>0</v>
      </c>
      <c r="AN794">
        <v>0</v>
      </c>
      <c r="AO794">
        <v>0</v>
      </c>
      <c r="AP794">
        <v>1</v>
      </c>
      <c r="AQ794">
        <v>0.01</v>
      </c>
      <c r="AX794">
        <v>7</v>
      </c>
      <c r="AY794" s="1">
        <v>17</v>
      </c>
      <c r="AZ794">
        <v>0</v>
      </c>
      <c r="BA794">
        <v>0</v>
      </c>
      <c r="BB794">
        <v>1</v>
      </c>
      <c r="BC794" s="7">
        <v>0.32</v>
      </c>
      <c r="BD794">
        <v>30</v>
      </c>
      <c r="BE794">
        <v>0</v>
      </c>
      <c r="BF794">
        <v>0</v>
      </c>
      <c r="BG794">
        <v>0</v>
      </c>
      <c r="BH794">
        <v>5</v>
      </c>
      <c r="BI794">
        <v>2.4</v>
      </c>
      <c r="BJ794">
        <v>31</v>
      </c>
      <c r="BK794">
        <v>0</v>
      </c>
      <c r="BL794">
        <v>0</v>
      </c>
      <c r="BM794">
        <v>0</v>
      </c>
      <c r="BN794">
        <v>5</v>
      </c>
      <c r="BO794">
        <v>2.4</v>
      </c>
      <c r="BP794">
        <v>36</v>
      </c>
      <c r="BQ794">
        <v>0</v>
      </c>
      <c r="BR794">
        <v>0</v>
      </c>
      <c r="BS794">
        <v>0</v>
      </c>
      <c r="BT794">
        <v>5</v>
      </c>
      <c r="BU794">
        <v>2</v>
      </c>
    </row>
    <row r="795" spans="1:73" x14ac:dyDescent="0.15">
      <c r="A795" s="11">
        <v>11042</v>
      </c>
      <c r="B795">
        <v>7</v>
      </c>
      <c r="C795" s="1">
        <v>46</v>
      </c>
      <c r="D795">
        <v>0</v>
      </c>
      <c r="E795">
        <v>0</v>
      </c>
      <c r="F795">
        <v>1</v>
      </c>
      <c r="G795" s="7">
        <v>0.05</v>
      </c>
      <c r="H795">
        <v>12</v>
      </c>
      <c r="I795">
        <v>0</v>
      </c>
      <c r="J795">
        <v>0</v>
      </c>
      <c r="K795">
        <v>0</v>
      </c>
      <c r="L795">
        <v>1</v>
      </c>
      <c r="M795">
        <v>2</v>
      </c>
      <c r="N795" s="7">
        <v>9</v>
      </c>
      <c r="O795" s="7">
        <v>0</v>
      </c>
      <c r="P795" s="7">
        <v>0</v>
      </c>
      <c r="Q795" s="7">
        <v>0</v>
      </c>
      <c r="R795" s="7">
        <v>1</v>
      </c>
      <c r="S795" s="7">
        <v>4.5</v>
      </c>
      <c r="T795">
        <v>7</v>
      </c>
      <c r="U795" s="1">
        <v>34</v>
      </c>
      <c r="V795">
        <v>0</v>
      </c>
      <c r="W795">
        <v>0</v>
      </c>
      <c r="X795">
        <v>1</v>
      </c>
      <c r="Y795">
        <v>0.16</v>
      </c>
      <c r="Z795">
        <v>23</v>
      </c>
      <c r="AA795">
        <v>0</v>
      </c>
      <c r="AB795">
        <v>0</v>
      </c>
      <c r="AC795">
        <v>0</v>
      </c>
      <c r="AD795">
        <v>1</v>
      </c>
      <c r="AE795">
        <v>0.05</v>
      </c>
      <c r="AF795">
        <v>15</v>
      </c>
      <c r="AG795">
        <v>0</v>
      </c>
      <c r="AH795">
        <v>0</v>
      </c>
      <c r="AI795">
        <v>0</v>
      </c>
      <c r="AJ795">
        <v>1</v>
      </c>
      <c r="AK795">
        <v>0.02</v>
      </c>
      <c r="AL795">
        <v>16</v>
      </c>
      <c r="AM795">
        <v>0</v>
      </c>
      <c r="AN795">
        <v>0</v>
      </c>
      <c r="AO795">
        <v>0</v>
      </c>
      <c r="AP795">
        <v>1</v>
      </c>
      <c r="AQ795">
        <v>0.01</v>
      </c>
      <c r="AX795">
        <v>7</v>
      </c>
      <c r="AY795" s="1">
        <v>18</v>
      </c>
      <c r="AZ795">
        <v>0</v>
      </c>
      <c r="BA795">
        <v>0</v>
      </c>
      <c r="BB795">
        <v>1</v>
      </c>
      <c r="BC795" s="7">
        <v>0.32</v>
      </c>
      <c r="BD795">
        <v>30</v>
      </c>
      <c r="BE795">
        <v>0</v>
      </c>
      <c r="BF795">
        <v>0</v>
      </c>
      <c r="BG795">
        <v>0</v>
      </c>
      <c r="BH795">
        <v>5</v>
      </c>
      <c r="BI795">
        <v>2.4</v>
      </c>
      <c r="BJ795">
        <v>31</v>
      </c>
      <c r="BK795">
        <v>0</v>
      </c>
      <c r="BL795">
        <v>0</v>
      </c>
      <c r="BM795">
        <v>0</v>
      </c>
      <c r="BN795">
        <v>5</v>
      </c>
      <c r="BO795">
        <v>2.4</v>
      </c>
      <c r="BP795">
        <v>36</v>
      </c>
      <c r="BQ795">
        <v>0</v>
      </c>
      <c r="BR795">
        <v>0</v>
      </c>
      <c r="BS795">
        <v>0</v>
      </c>
      <c r="BT795">
        <v>5</v>
      </c>
      <c r="BU795">
        <v>2</v>
      </c>
    </row>
    <row r="796" spans="1:73" x14ac:dyDescent="0.15">
      <c r="A796" s="11">
        <v>11043</v>
      </c>
      <c r="B796">
        <v>7</v>
      </c>
      <c r="C796" s="1">
        <v>47</v>
      </c>
      <c r="D796">
        <v>0</v>
      </c>
      <c r="E796">
        <v>0</v>
      </c>
      <c r="F796">
        <v>1</v>
      </c>
      <c r="G796" s="7">
        <v>0.05</v>
      </c>
      <c r="H796">
        <v>12</v>
      </c>
      <c r="I796">
        <v>0</v>
      </c>
      <c r="J796">
        <v>0</v>
      </c>
      <c r="K796">
        <v>0</v>
      </c>
      <c r="L796">
        <v>1</v>
      </c>
      <c r="M796">
        <v>2</v>
      </c>
      <c r="N796" s="7">
        <v>9</v>
      </c>
      <c r="O796" s="7">
        <v>0</v>
      </c>
      <c r="P796" s="7">
        <v>0</v>
      </c>
      <c r="Q796" s="7">
        <v>0</v>
      </c>
      <c r="R796" s="7">
        <v>1</v>
      </c>
      <c r="S796" s="7">
        <v>4.5</v>
      </c>
      <c r="T796">
        <v>7</v>
      </c>
      <c r="U796" s="1">
        <v>35</v>
      </c>
      <c r="V796">
        <v>0</v>
      </c>
      <c r="W796">
        <v>0</v>
      </c>
      <c r="X796">
        <v>1</v>
      </c>
      <c r="Y796">
        <v>0.16</v>
      </c>
      <c r="Z796">
        <v>23</v>
      </c>
      <c r="AA796">
        <v>0</v>
      </c>
      <c r="AB796">
        <v>0</v>
      </c>
      <c r="AC796">
        <v>0</v>
      </c>
      <c r="AD796">
        <v>1</v>
      </c>
      <c r="AE796">
        <v>0.05</v>
      </c>
      <c r="AF796">
        <v>15</v>
      </c>
      <c r="AG796">
        <v>0</v>
      </c>
      <c r="AH796">
        <v>0</v>
      </c>
      <c r="AI796">
        <v>0</v>
      </c>
      <c r="AJ796">
        <v>1</v>
      </c>
      <c r="AK796">
        <v>0.02</v>
      </c>
      <c r="AL796">
        <v>16</v>
      </c>
      <c r="AM796">
        <v>0</v>
      </c>
      <c r="AN796">
        <v>0</v>
      </c>
      <c r="AO796">
        <v>0</v>
      </c>
      <c r="AP796">
        <v>1</v>
      </c>
      <c r="AQ796">
        <v>0.01</v>
      </c>
      <c r="AX796">
        <v>7</v>
      </c>
      <c r="AY796" s="1">
        <v>19</v>
      </c>
      <c r="AZ796">
        <v>0</v>
      </c>
      <c r="BA796">
        <v>0</v>
      </c>
      <c r="BB796">
        <v>1</v>
      </c>
      <c r="BC796" s="7">
        <v>0.32</v>
      </c>
      <c r="BD796">
        <v>30</v>
      </c>
      <c r="BE796">
        <v>0</v>
      </c>
      <c r="BF796">
        <v>0</v>
      </c>
      <c r="BG796">
        <v>0</v>
      </c>
      <c r="BH796">
        <v>5</v>
      </c>
      <c r="BI796">
        <v>2.4</v>
      </c>
      <c r="BJ796">
        <v>31</v>
      </c>
      <c r="BK796">
        <v>0</v>
      </c>
      <c r="BL796">
        <v>0</v>
      </c>
      <c r="BM796">
        <v>0</v>
      </c>
      <c r="BN796">
        <v>5</v>
      </c>
      <c r="BO796">
        <v>2.4</v>
      </c>
      <c r="BP796">
        <v>36</v>
      </c>
      <c r="BQ796">
        <v>0</v>
      </c>
      <c r="BR796">
        <v>0</v>
      </c>
      <c r="BS796">
        <v>0</v>
      </c>
      <c r="BT796">
        <v>5</v>
      </c>
      <c r="BU796">
        <v>2</v>
      </c>
    </row>
    <row r="797" spans="1:73" x14ac:dyDescent="0.15">
      <c r="A797" s="11">
        <v>11044</v>
      </c>
      <c r="B797">
        <v>7</v>
      </c>
      <c r="C797" s="1">
        <v>48</v>
      </c>
      <c r="D797">
        <v>0</v>
      </c>
      <c r="E797">
        <v>0</v>
      </c>
      <c r="F797">
        <v>1</v>
      </c>
      <c r="G797" s="7">
        <v>0.05</v>
      </c>
      <c r="H797">
        <v>12</v>
      </c>
      <c r="I797">
        <v>0</v>
      </c>
      <c r="J797">
        <v>0</v>
      </c>
      <c r="K797">
        <v>0</v>
      </c>
      <c r="L797">
        <v>1</v>
      </c>
      <c r="M797">
        <v>2</v>
      </c>
      <c r="N797" s="7">
        <v>9</v>
      </c>
      <c r="O797" s="7">
        <v>0</v>
      </c>
      <c r="P797" s="7">
        <v>0</v>
      </c>
      <c r="Q797" s="7">
        <v>0</v>
      </c>
      <c r="R797" s="7">
        <v>1</v>
      </c>
      <c r="S797" s="7">
        <v>4.5</v>
      </c>
      <c r="T797">
        <v>7</v>
      </c>
      <c r="U797" s="1">
        <v>36</v>
      </c>
      <c r="V797">
        <v>0</v>
      </c>
      <c r="W797">
        <v>0</v>
      </c>
      <c r="X797">
        <v>1</v>
      </c>
      <c r="Y797">
        <v>0.16</v>
      </c>
      <c r="Z797">
        <v>23</v>
      </c>
      <c r="AA797">
        <v>0</v>
      </c>
      <c r="AB797">
        <v>0</v>
      </c>
      <c r="AC797">
        <v>0</v>
      </c>
      <c r="AD797">
        <v>1</v>
      </c>
      <c r="AE797">
        <v>0.05</v>
      </c>
      <c r="AF797">
        <v>15</v>
      </c>
      <c r="AG797">
        <v>0</v>
      </c>
      <c r="AH797">
        <v>0</v>
      </c>
      <c r="AI797">
        <v>0</v>
      </c>
      <c r="AJ797">
        <v>1</v>
      </c>
      <c r="AK797">
        <v>0.02</v>
      </c>
      <c r="AL797">
        <v>16</v>
      </c>
      <c r="AM797">
        <v>0</v>
      </c>
      <c r="AN797">
        <v>0</v>
      </c>
      <c r="AO797">
        <v>0</v>
      </c>
      <c r="AP797">
        <v>1</v>
      </c>
      <c r="AQ797">
        <v>0.01</v>
      </c>
      <c r="AX797">
        <v>7</v>
      </c>
      <c r="AY797" s="1">
        <v>20</v>
      </c>
      <c r="AZ797">
        <v>0</v>
      </c>
      <c r="BA797">
        <v>0</v>
      </c>
      <c r="BB797">
        <v>1</v>
      </c>
      <c r="BC797" s="7">
        <v>0.32</v>
      </c>
      <c r="BD797">
        <v>30</v>
      </c>
      <c r="BE797">
        <v>0</v>
      </c>
      <c r="BF797">
        <v>0</v>
      </c>
      <c r="BG797">
        <v>0</v>
      </c>
      <c r="BH797">
        <v>5</v>
      </c>
      <c r="BI797">
        <v>2.4</v>
      </c>
      <c r="BJ797">
        <v>31</v>
      </c>
      <c r="BK797">
        <v>0</v>
      </c>
      <c r="BL797">
        <v>0</v>
      </c>
      <c r="BM797">
        <v>0</v>
      </c>
      <c r="BN797">
        <v>5</v>
      </c>
      <c r="BO797">
        <v>2.4</v>
      </c>
      <c r="BP797">
        <v>36</v>
      </c>
      <c r="BQ797">
        <v>0</v>
      </c>
      <c r="BR797">
        <v>0</v>
      </c>
      <c r="BS797">
        <v>0</v>
      </c>
      <c r="BT797">
        <v>5</v>
      </c>
      <c r="BU797">
        <v>2</v>
      </c>
    </row>
    <row r="798" spans="1:73" x14ac:dyDescent="0.15">
      <c r="A798" s="11">
        <v>11045</v>
      </c>
      <c r="B798">
        <v>7</v>
      </c>
      <c r="C798" s="1">
        <v>0</v>
      </c>
      <c r="D798">
        <v>5</v>
      </c>
      <c r="E798">
        <v>1</v>
      </c>
      <c r="F798">
        <v>1</v>
      </c>
      <c r="G798" s="7">
        <v>0.05</v>
      </c>
      <c r="H798">
        <v>12</v>
      </c>
      <c r="I798">
        <v>0</v>
      </c>
      <c r="J798">
        <v>0</v>
      </c>
      <c r="K798">
        <v>0</v>
      </c>
      <c r="L798">
        <v>1</v>
      </c>
      <c r="M798">
        <v>2</v>
      </c>
      <c r="N798" s="7">
        <v>9</v>
      </c>
      <c r="O798" s="7">
        <v>0</v>
      </c>
      <c r="P798" s="7">
        <v>0</v>
      </c>
      <c r="Q798" s="7">
        <v>0</v>
      </c>
      <c r="R798" s="7">
        <v>1</v>
      </c>
      <c r="S798" s="7">
        <v>4.5</v>
      </c>
      <c r="T798">
        <v>7</v>
      </c>
      <c r="U798" s="1">
        <v>0</v>
      </c>
      <c r="V798">
        <v>4</v>
      </c>
      <c r="W798">
        <v>2</v>
      </c>
      <c r="X798">
        <v>1</v>
      </c>
      <c r="Y798">
        <v>0.16</v>
      </c>
      <c r="Z798">
        <v>23</v>
      </c>
      <c r="AA798">
        <v>0</v>
      </c>
      <c r="AB798">
        <v>0</v>
      </c>
      <c r="AC798">
        <v>0</v>
      </c>
      <c r="AD798">
        <v>1</v>
      </c>
      <c r="AE798">
        <v>0.05</v>
      </c>
      <c r="AF798">
        <v>15</v>
      </c>
      <c r="AG798">
        <v>0</v>
      </c>
      <c r="AH798">
        <v>0</v>
      </c>
      <c r="AI798">
        <v>0</v>
      </c>
      <c r="AJ798">
        <v>1</v>
      </c>
      <c r="AK798">
        <v>0.02</v>
      </c>
      <c r="AL798">
        <v>16</v>
      </c>
      <c r="AM798">
        <v>0</v>
      </c>
      <c r="AN798">
        <v>0</v>
      </c>
      <c r="AO798">
        <v>0</v>
      </c>
      <c r="AP798">
        <v>1</v>
      </c>
      <c r="AQ798">
        <v>0.01</v>
      </c>
      <c r="AR798">
        <v>6</v>
      </c>
      <c r="AS798">
        <v>2</v>
      </c>
      <c r="AT798">
        <v>4</v>
      </c>
      <c r="AU798">
        <v>5</v>
      </c>
      <c r="AV798">
        <v>1</v>
      </c>
      <c r="AW798">
        <v>0.01</v>
      </c>
      <c r="AX798">
        <v>7</v>
      </c>
      <c r="AY798" s="1">
        <v>0</v>
      </c>
      <c r="AZ798">
        <v>3</v>
      </c>
      <c r="BA798">
        <v>1</v>
      </c>
      <c r="BB798">
        <v>1</v>
      </c>
      <c r="BC798" s="7">
        <v>0.32</v>
      </c>
      <c r="BD798">
        <v>30</v>
      </c>
      <c r="BE798">
        <v>0</v>
      </c>
      <c r="BF798">
        <v>0</v>
      </c>
      <c r="BG798">
        <v>0</v>
      </c>
      <c r="BH798">
        <v>5</v>
      </c>
      <c r="BI798">
        <v>2.4</v>
      </c>
      <c r="BJ798">
        <v>31</v>
      </c>
      <c r="BK798">
        <v>0</v>
      </c>
      <c r="BL798">
        <v>0</v>
      </c>
      <c r="BM798">
        <v>0</v>
      </c>
      <c r="BN798">
        <v>5</v>
      </c>
      <c r="BO798">
        <v>2.4</v>
      </c>
      <c r="BP798">
        <v>36</v>
      </c>
      <c r="BQ798">
        <v>0</v>
      </c>
      <c r="BR798">
        <v>0</v>
      </c>
      <c r="BS798">
        <v>0</v>
      </c>
      <c r="BT798">
        <v>5</v>
      </c>
      <c r="BU798">
        <v>2</v>
      </c>
    </row>
    <row r="799" spans="1:73" x14ac:dyDescent="0.15">
      <c r="A799" s="11">
        <v>11046</v>
      </c>
      <c r="B799">
        <v>7</v>
      </c>
      <c r="C799" s="1">
        <v>45</v>
      </c>
      <c r="D799">
        <v>0</v>
      </c>
      <c r="E799">
        <v>0</v>
      </c>
      <c r="F799">
        <v>1</v>
      </c>
      <c r="G799" s="7">
        <v>0.05</v>
      </c>
      <c r="H799">
        <v>12</v>
      </c>
      <c r="I799">
        <v>0</v>
      </c>
      <c r="J799">
        <v>0</v>
      </c>
      <c r="K799">
        <v>0</v>
      </c>
      <c r="L799">
        <v>1</v>
      </c>
      <c r="M799">
        <v>2</v>
      </c>
      <c r="N799" s="7">
        <v>9</v>
      </c>
      <c r="O799" s="7">
        <v>0</v>
      </c>
      <c r="P799" s="7">
        <v>0</v>
      </c>
      <c r="Q799" s="7">
        <v>0</v>
      </c>
      <c r="R799" s="7">
        <v>1</v>
      </c>
      <c r="S799" s="7">
        <v>4.5</v>
      </c>
      <c r="T799">
        <v>7</v>
      </c>
      <c r="U799" s="1">
        <v>33</v>
      </c>
      <c r="V799">
        <v>0</v>
      </c>
      <c r="W799">
        <v>0</v>
      </c>
      <c r="X799">
        <v>1</v>
      </c>
      <c r="Y799">
        <v>0.16</v>
      </c>
      <c r="Z799">
        <v>23</v>
      </c>
      <c r="AA799">
        <v>0</v>
      </c>
      <c r="AB799">
        <v>0</v>
      </c>
      <c r="AC799">
        <v>0</v>
      </c>
      <c r="AD799">
        <v>1</v>
      </c>
      <c r="AE799">
        <v>0.05</v>
      </c>
      <c r="AF799">
        <v>15</v>
      </c>
      <c r="AG799">
        <v>0</v>
      </c>
      <c r="AH799">
        <v>0</v>
      </c>
      <c r="AI799">
        <v>0</v>
      </c>
      <c r="AJ799">
        <v>1</v>
      </c>
      <c r="AK799">
        <v>0.02</v>
      </c>
      <c r="AL799">
        <v>16</v>
      </c>
      <c r="AM799">
        <v>0</v>
      </c>
      <c r="AN799">
        <v>0</v>
      </c>
      <c r="AO799">
        <v>0</v>
      </c>
      <c r="AP799">
        <v>1</v>
      </c>
      <c r="AQ799">
        <v>0.01</v>
      </c>
      <c r="AX799">
        <v>7</v>
      </c>
      <c r="AY799" s="1">
        <v>17</v>
      </c>
      <c r="AZ799">
        <v>0</v>
      </c>
      <c r="BA799">
        <v>0</v>
      </c>
      <c r="BB799">
        <v>1</v>
      </c>
      <c r="BC799" s="7">
        <v>0.32</v>
      </c>
      <c r="BD799">
        <v>30</v>
      </c>
      <c r="BE799">
        <v>0</v>
      </c>
      <c r="BF799">
        <v>0</v>
      </c>
      <c r="BG799">
        <v>0</v>
      </c>
      <c r="BH799">
        <v>5</v>
      </c>
      <c r="BI799">
        <v>2.4</v>
      </c>
      <c r="BJ799">
        <v>31</v>
      </c>
      <c r="BK799">
        <v>0</v>
      </c>
      <c r="BL799">
        <v>0</v>
      </c>
      <c r="BM799">
        <v>0</v>
      </c>
      <c r="BN799">
        <v>5</v>
      </c>
      <c r="BO799">
        <v>2.4</v>
      </c>
      <c r="BP799">
        <v>36</v>
      </c>
      <c r="BQ799">
        <v>0</v>
      </c>
      <c r="BR799">
        <v>0</v>
      </c>
      <c r="BS799">
        <v>0</v>
      </c>
      <c r="BT799">
        <v>5</v>
      </c>
      <c r="BU799">
        <v>2</v>
      </c>
    </row>
    <row r="800" spans="1:73" x14ac:dyDescent="0.15">
      <c r="A800" s="11">
        <v>11047</v>
      </c>
      <c r="B800">
        <v>7</v>
      </c>
      <c r="C800" s="1">
        <v>46</v>
      </c>
      <c r="D800">
        <v>0</v>
      </c>
      <c r="E800">
        <v>0</v>
      </c>
      <c r="F800">
        <v>1</v>
      </c>
      <c r="G800" s="7">
        <v>0.05</v>
      </c>
      <c r="H800">
        <v>12</v>
      </c>
      <c r="I800">
        <v>0</v>
      </c>
      <c r="J800">
        <v>0</v>
      </c>
      <c r="K800">
        <v>0</v>
      </c>
      <c r="L800">
        <v>1</v>
      </c>
      <c r="M800">
        <v>2</v>
      </c>
      <c r="N800" s="7">
        <v>9</v>
      </c>
      <c r="O800" s="7">
        <v>0</v>
      </c>
      <c r="P800" s="7">
        <v>0</v>
      </c>
      <c r="Q800" s="7">
        <v>0</v>
      </c>
      <c r="R800" s="7">
        <v>1</v>
      </c>
      <c r="S800" s="7">
        <v>4.5</v>
      </c>
      <c r="T800">
        <v>7</v>
      </c>
      <c r="U800" s="1">
        <v>34</v>
      </c>
      <c r="V800">
        <v>0</v>
      </c>
      <c r="W800">
        <v>0</v>
      </c>
      <c r="X800">
        <v>1</v>
      </c>
      <c r="Y800">
        <v>0.16</v>
      </c>
      <c r="Z800">
        <v>23</v>
      </c>
      <c r="AA800">
        <v>0</v>
      </c>
      <c r="AB800">
        <v>0</v>
      </c>
      <c r="AC800">
        <v>0</v>
      </c>
      <c r="AD800">
        <v>1</v>
      </c>
      <c r="AE800">
        <v>0.05</v>
      </c>
      <c r="AF800">
        <v>15</v>
      </c>
      <c r="AG800">
        <v>0</v>
      </c>
      <c r="AH800">
        <v>0</v>
      </c>
      <c r="AI800">
        <v>0</v>
      </c>
      <c r="AJ800">
        <v>1</v>
      </c>
      <c r="AK800">
        <v>0.02</v>
      </c>
      <c r="AL800">
        <v>16</v>
      </c>
      <c r="AM800">
        <v>0</v>
      </c>
      <c r="AN800">
        <v>0</v>
      </c>
      <c r="AO800">
        <v>0</v>
      </c>
      <c r="AP800">
        <v>1</v>
      </c>
      <c r="AQ800">
        <v>0.01</v>
      </c>
      <c r="AX800">
        <v>7</v>
      </c>
      <c r="AY800" s="1">
        <v>18</v>
      </c>
      <c r="AZ800">
        <v>0</v>
      </c>
      <c r="BA800">
        <v>0</v>
      </c>
      <c r="BB800">
        <v>1</v>
      </c>
      <c r="BC800" s="7">
        <v>0.32</v>
      </c>
      <c r="BD800">
        <v>30</v>
      </c>
      <c r="BE800">
        <v>0</v>
      </c>
      <c r="BF800">
        <v>0</v>
      </c>
      <c r="BG800">
        <v>0</v>
      </c>
      <c r="BH800">
        <v>5</v>
      </c>
      <c r="BI800">
        <v>2.4</v>
      </c>
      <c r="BJ800">
        <v>31</v>
      </c>
      <c r="BK800">
        <v>0</v>
      </c>
      <c r="BL800">
        <v>0</v>
      </c>
      <c r="BM800">
        <v>0</v>
      </c>
      <c r="BN800">
        <v>5</v>
      </c>
      <c r="BO800">
        <v>2.4</v>
      </c>
      <c r="BP800">
        <v>36</v>
      </c>
      <c r="BQ800">
        <v>0</v>
      </c>
      <c r="BR800">
        <v>0</v>
      </c>
      <c r="BS800">
        <v>0</v>
      </c>
      <c r="BT800">
        <v>5</v>
      </c>
      <c r="BU800">
        <v>2</v>
      </c>
    </row>
    <row r="801" spans="1:73" x14ac:dyDescent="0.15">
      <c r="A801" s="11">
        <v>11048</v>
      </c>
      <c r="B801">
        <v>7</v>
      </c>
      <c r="C801" s="1">
        <v>47</v>
      </c>
      <c r="D801">
        <v>0</v>
      </c>
      <c r="E801">
        <v>0</v>
      </c>
      <c r="F801">
        <v>1</v>
      </c>
      <c r="G801" s="7">
        <v>0.05</v>
      </c>
      <c r="H801">
        <v>12</v>
      </c>
      <c r="I801">
        <v>0</v>
      </c>
      <c r="J801">
        <v>0</v>
      </c>
      <c r="K801">
        <v>0</v>
      </c>
      <c r="L801">
        <v>1</v>
      </c>
      <c r="M801">
        <v>2</v>
      </c>
      <c r="N801" s="7">
        <v>9</v>
      </c>
      <c r="O801" s="7">
        <v>0</v>
      </c>
      <c r="P801" s="7">
        <v>0</v>
      </c>
      <c r="Q801" s="7">
        <v>0</v>
      </c>
      <c r="R801" s="7">
        <v>1</v>
      </c>
      <c r="S801" s="7">
        <v>4.5</v>
      </c>
      <c r="T801">
        <v>7</v>
      </c>
      <c r="U801" s="1">
        <v>35</v>
      </c>
      <c r="V801">
        <v>0</v>
      </c>
      <c r="W801">
        <v>0</v>
      </c>
      <c r="X801">
        <v>1</v>
      </c>
      <c r="Y801">
        <v>0.16</v>
      </c>
      <c r="Z801">
        <v>23</v>
      </c>
      <c r="AA801">
        <v>0</v>
      </c>
      <c r="AB801">
        <v>0</v>
      </c>
      <c r="AC801">
        <v>0</v>
      </c>
      <c r="AD801">
        <v>1</v>
      </c>
      <c r="AE801">
        <v>0.05</v>
      </c>
      <c r="AF801">
        <v>15</v>
      </c>
      <c r="AG801">
        <v>0</v>
      </c>
      <c r="AH801">
        <v>0</v>
      </c>
      <c r="AI801">
        <v>0</v>
      </c>
      <c r="AJ801">
        <v>1</v>
      </c>
      <c r="AK801">
        <v>0.02</v>
      </c>
      <c r="AL801">
        <v>16</v>
      </c>
      <c r="AM801">
        <v>0</v>
      </c>
      <c r="AN801">
        <v>0</v>
      </c>
      <c r="AO801">
        <v>0</v>
      </c>
      <c r="AP801">
        <v>1</v>
      </c>
      <c r="AQ801">
        <v>0.01</v>
      </c>
      <c r="AX801">
        <v>7</v>
      </c>
      <c r="AY801" s="1">
        <v>19</v>
      </c>
      <c r="AZ801">
        <v>0</v>
      </c>
      <c r="BA801">
        <v>0</v>
      </c>
      <c r="BB801">
        <v>1</v>
      </c>
      <c r="BC801" s="7">
        <v>0.32</v>
      </c>
      <c r="BD801">
        <v>30</v>
      </c>
      <c r="BE801">
        <v>0</v>
      </c>
      <c r="BF801">
        <v>0</v>
      </c>
      <c r="BG801">
        <v>0</v>
      </c>
      <c r="BH801">
        <v>5</v>
      </c>
      <c r="BI801">
        <v>2.4</v>
      </c>
      <c r="BJ801">
        <v>31</v>
      </c>
      <c r="BK801">
        <v>0</v>
      </c>
      <c r="BL801">
        <v>0</v>
      </c>
      <c r="BM801">
        <v>0</v>
      </c>
      <c r="BN801">
        <v>5</v>
      </c>
      <c r="BO801">
        <v>2.4</v>
      </c>
      <c r="BP801">
        <v>36</v>
      </c>
      <c r="BQ801">
        <v>0</v>
      </c>
      <c r="BR801">
        <v>0</v>
      </c>
      <c r="BS801">
        <v>0</v>
      </c>
      <c r="BT801">
        <v>5</v>
      </c>
      <c r="BU801">
        <v>2</v>
      </c>
    </row>
    <row r="802" spans="1:73" x14ac:dyDescent="0.15">
      <c r="A802" s="11">
        <v>11049</v>
      </c>
      <c r="B802">
        <v>7</v>
      </c>
      <c r="C802" s="1">
        <v>48</v>
      </c>
      <c r="D802">
        <v>0</v>
      </c>
      <c r="E802">
        <v>0</v>
      </c>
      <c r="F802">
        <v>1</v>
      </c>
      <c r="G802" s="7">
        <v>0.05</v>
      </c>
      <c r="H802">
        <v>12</v>
      </c>
      <c r="I802">
        <v>0</v>
      </c>
      <c r="J802">
        <v>0</v>
      </c>
      <c r="K802">
        <v>0</v>
      </c>
      <c r="L802">
        <v>1</v>
      </c>
      <c r="M802">
        <v>2</v>
      </c>
      <c r="N802" s="7">
        <v>9</v>
      </c>
      <c r="O802" s="7">
        <v>0</v>
      </c>
      <c r="P802" s="7">
        <v>0</v>
      </c>
      <c r="Q802" s="7">
        <v>0</v>
      </c>
      <c r="R802" s="7">
        <v>1</v>
      </c>
      <c r="S802" s="7">
        <v>4.5</v>
      </c>
      <c r="T802">
        <v>7</v>
      </c>
      <c r="U802" s="1">
        <v>36</v>
      </c>
      <c r="V802">
        <v>0</v>
      </c>
      <c r="W802">
        <v>0</v>
      </c>
      <c r="X802">
        <v>1</v>
      </c>
      <c r="Y802">
        <v>0.16</v>
      </c>
      <c r="Z802">
        <v>23</v>
      </c>
      <c r="AA802">
        <v>0</v>
      </c>
      <c r="AB802">
        <v>0</v>
      </c>
      <c r="AC802">
        <v>0</v>
      </c>
      <c r="AD802">
        <v>1</v>
      </c>
      <c r="AE802">
        <v>0.05</v>
      </c>
      <c r="AF802">
        <v>15</v>
      </c>
      <c r="AG802">
        <v>0</v>
      </c>
      <c r="AH802">
        <v>0</v>
      </c>
      <c r="AI802">
        <v>0</v>
      </c>
      <c r="AJ802">
        <v>1</v>
      </c>
      <c r="AK802">
        <v>0.02</v>
      </c>
      <c r="AL802">
        <v>16</v>
      </c>
      <c r="AM802">
        <v>0</v>
      </c>
      <c r="AN802">
        <v>0</v>
      </c>
      <c r="AO802">
        <v>0</v>
      </c>
      <c r="AP802">
        <v>1</v>
      </c>
      <c r="AQ802">
        <v>0.01</v>
      </c>
      <c r="AX802">
        <v>7</v>
      </c>
      <c r="AY802" s="1">
        <v>20</v>
      </c>
      <c r="AZ802">
        <v>0</v>
      </c>
      <c r="BA802">
        <v>0</v>
      </c>
      <c r="BB802">
        <v>1</v>
      </c>
      <c r="BC802" s="7">
        <v>0.32</v>
      </c>
      <c r="BD802">
        <v>30</v>
      </c>
      <c r="BE802">
        <v>0</v>
      </c>
      <c r="BF802">
        <v>0</v>
      </c>
      <c r="BG802">
        <v>0</v>
      </c>
      <c r="BH802">
        <v>5</v>
      </c>
      <c r="BI802">
        <v>2.4</v>
      </c>
      <c r="BJ802">
        <v>31</v>
      </c>
      <c r="BK802">
        <v>0</v>
      </c>
      <c r="BL802">
        <v>0</v>
      </c>
      <c r="BM802">
        <v>0</v>
      </c>
      <c r="BN802">
        <v>5</v>
      </c>
      <c r="BO802">
        <v>2.4</v>
      </c>
      <c r="BP802">
        <v>36</v>
      </c>
      <c r="BQ802">
        <v>0</v>
      </c>
      <c r="BR802">
        <v>0</v>
      </c>
      <c r="BS802">
        <v>0</v>
      </c>
      <c r="BT802">
        <v>5</v>
      </c>
      <c r="BU802">
        <v>2</v>
      </c>
    </row>
    <row r="803" spans="1:73" x14ac:dyDescent="0.15">
      <c r="A803" s="11">
        <v>11050</v>
      </c>
      <c r="B803">
        <v>7</v>
      </c>
      <c r="C803" s="1">
        <v>0</v>
      </c>
      <c r="D803">
        <v>5</v>
      </c>
      <c r="E803">
        <v>1</v>
      </c>
      <c r="F803">
        <v>1</v>
      </c>
      <c r="G803" s="7">
        <v>0.05</v>
      </c>
      <c r="H803">
        <v>12</v>
      </c>
      <c r="I803">
        <v>0</v>
      </c>
      <c r="J803">
        <v>0</v>
      </c>
      <c r="K803">
        <v>0</v>
      </c>
      <c r="L803">
        <v>1</v>
      </c>
      <c r="M803">
        <v>2</v>
      </c>
      <c r="N803" s="7">
        <v>9</v>
      </c>
      <c r="O803" s="7">
        <v>0</v>
      </c>
      <c r="P803" s="7">
        <v>0</v>
      </c>
      <c r="Q803" s="7">
        <v>0</v>
      </c>
      <c r="R803" s="7">
        <v>1</v>
      </c>
      <c r="S803" s="7">
        <v>4.5</v>
      </c>
      <c r="T803">
        <v>7</v>
      </c>
      <c r="U803" s="1">
        <v>0</v>
      </c>
      <c r="V803">
        <v>4</v>
      </c>
      <c r="W803">
        <v>2</v>
      </c>
      <c r="X803">
        <v>1</v>
      </c>
      <c r="Y803">
        <v>0.16</v>
      </c>
      <c r="Z803">
        <v>23</v>
      </c>
      <c r="AA803">
        <v>0</v>
      </c>
      <c r="AB803">
        <v>0</v>
      </c>
      <c r="AC803">
        <v>0</v>
      </c>
      <c r="AD803">
        <v>1</v>
      </c>
      <c r="AE803">
        <v>0.05</v>
      </c>
      <c r="AF803">
        <v>15</v>
      </c>
      <c r="AG803">
        <v>0</v>
      </c>
      <c r="AH803">
        <v>0</v>
      </c>
      <c r="AI803">
        <v>0</v>
      </c>
      <c r="AJ803">
        <v>1</v>
      </c>
      <c r="AK803">
        <v>0.02</v>
      </c>
      <c r="AL803">
        <v>16</v>
      </c>
      <c r="AM803">
        <v>0</v>
      </c>
      <c r="AN803">
        <v>0</v>
      </c>
      <c r="AO803">
        <v>0</v>
      </c>
      <c r="AP803">
        <v>1</v>
      </c>
      <c r="AQ803">
        <v>0.01</v>
      </c>
      <c r="AR803">
        <v>6</v>
      </c>
      <c r="AS803">
        <v>2</v>
      </c>
      <c r="AT803">
        <v>5</v>
      </c>
      <c r="AU803">
        <v>5</v>
      </c>
      <c r="AV803">
        <v>1</v>
      </c>
      <c r="AW803">
        <v>0.01</v>
      </c>
      <c r="AX803">
        <v>7</v>
      </c>
      <c r="AY803" s="1">
        <v>0</v>
      </c>
      <c r="AZ803">
        <v>3</v>
      </c>
      <c r="BA803">
        <v>1</v>
      </c>
      <c r="BB803">
        <v>1</v>
      </c>
      <c r="BC803" s="7">
        <v>0.32</v>
      </c>
      <c r="BD803">
        <v>30</v>
      </c>
      <c r="BE803">
        <v>0</v>
      </c>
      <c r="BF803">
        <v>0</v>
      </c>
      <c r="BG803">
        <v>0</v>
      </c>
      <c r="BH803">
        <v>5</v>
      </c>
      <c r="BI803">
        <v>2.4</v>
      </c>
      <c r="BJ803">
        <v>31</v>
      </c>
      <c r="BK803">
        <v>0</v>
      </c>
      <c r="BL803">
        <v>0</v>
      </c>
      <c r="BM803">
        <v>0</v>
      </c>
      <c r="BN803">
        <v>5</v>
      </c>
      <c r="BO803">
        <v>2.4</v>
      </c>
      <c r="BP803">
        <v>36</v>
      </c>
      <c r="BQ803">
        <v>0</v>
      </c>
      <c r="BR803">
        <v>0</v>
      </c>
      <c r="BS803">
        <v>0</v>
      </c>
      <c r="BT803">
        <v>5</v>
      </c>
      <c r="BU803">
        <v>2</v>
      </c>
    </row>
    <row r="804" spans="1:73" ht="14.25" x14ac:dyDescent="0.15">
      <c r="A804" s="12">
        <v>20101</v>
      </c>
      <c r="B804">
        <v>7</v>
      </c>
      <c r="C804" s="1">
        <v>45</v>
      </c>
      <c r="D804">
        <v>0</v>
      </c>
      <c r="E804">
        <v>0</v>
      </c>
      <c r="F804">
        <v>1</v>
      </c>
      <c r="G804" s="7">
        <v>0.05</v>
      </c>
      <c r="H804">
        <v>12</v>
      </c>
      <c r="I804">
        <v>0</v>
      </c>
      <c r="J804">
        <v>0</v>
      </c>
      <c r="K804">
        <v>0</v>
      </c>
      <c r="L804">
        <v>1</v>
      </c>
      <c r="M804">
        <v>2</v>
      </c>
      <c r="N804" s="7">
        <v>9</v>
      </c>
      <c r="O804" s="7">
        <v>0</v>
      </c>
      <c r="P804" s="7">
        <v>0</v>
      </c>
      <c r="Q804" s="7">
        <v>0</v>
      </c>
      <c r="R804" s="7">
        <v>1</v>
      </c>
      <c r="S804" s="7">
        <v>4.5</v>
      </c>
      <c r="T804">
        <v>7</v>
      </c>
      <c r="U804" s="1">
        <v>33</v>
      </c>
      <c r="V804">
        <v>0</v>
      </c>
      <c r="W804">
        <v>0</v>
      </c>
      <c r="X804">
        <v>1</v>
      </c>
      <c r="Y804">
        <v>0.16</v>
      </c>
      <c r="Z804">
        <v>23</v>
      </c>
      <c r="AA804">
        <v>0</v>
      </c>
      <c r="AB804">
        <v>0</v>
      </c>
      <c r="AC804">
        <v>0</v>
      </c>
      <c r="AD804">
        <v>1</v>
      </c>
      <c r="AE804">
        <v>0.05</v>
      </c>
      <c r="AF804">
        <v>15</v>
      </c>
      <c r="AG804">
        <v>0</v>
      </c>
      <c r="AH804">
        <v>0</v>
      </c>
      <c r="AI804">
        <v>0</v>
      </c>
      <c r="AJ804">
        <v>1</v>
      </c>
      <c r="AK804">
        <v>0.02</v>
      </c>
      <c r="AL804">
        <v>16</v>
      </c>
      <c r="AM804">
        <v>0</v>
      </c>
      <c r="AN804">
        <v>0</v>
      </c>
      <c r="AO804">
        <v>0</v>
      </c>
      <c r="AP804">
        <v>1</v>
      </c>
      <c r="AQ804">
        <v>0.01</v>
      </c>
      <c r="AX804">
        <v>7</v>
      </c>
      <c r="AY804" s="1">
        <v>17</v>
      </c>
      <c r="AZ804">
        <v>0</v>
      </c>
      <c r="BA804">
        <v>0</v>
      </c>
      <c r="BB804">
        <v>1</v>
      </c>
      <c r="BC804" s="7">
        <v>0.32</v>
      </c>
      <c r="BD804">
        <v>30</v>
      </c>
      <c r="BE804">
        <v>0</v>
      </c>
      <c r="BF804">
        <v>0</v>
      </c>
      <c r="BG804">
        <v>0</v>
      </c>
      <c r="BH804">
        <v>5</v>
      </c>
      <c r="BI804">
        <v>2.4</v>
      </c>
      <c r="BJ804">
        <v>31</v>
      </c>
      <c r="BK804">
        <v>0</v>
      </c>
      <c r="BL804">
        <v>0</v>
      </c>
      <c r="BM804">
        <v>0</v>
      </c>
      <c r="BN804">
        <v>5</v>
      </c>
      <c r="BO804">
        <v>2.4</v>
      </c>
      <c r="BP804">
        <v>36</v>
      </c>
      <c r="BQ804">
        <v>0</v>
      </c>
      <c r="BR804">
        <v>0</v>
      </c>
      <c r="BS804">
        <v>0</v>
      </c>
      <c r="BT804">
        <v>5</v>
      </c>
      <c r="BU804">
        <v>2.1</v>
      </c>
    </row>
    <row r="805" spans="1:73" ht="14.25" x14ac:dyDescent="0.15">
      <c r="A805" s="12">
        <v>20102</v>
      </c>
      <c r="B805">
        <v>7</v>
      </c>
      <c r="C805" s="1">
        <v>46</v>
      </c>
      <c r="D805">
        <v>0</v>
      </c>
      <c r="E805">
        <v>0</v>
      </c>
      <c r="F805">
        <v>1</v>
      </c>
      <c r="G805" s="7">
        <v>0.05</v>
      </c>
      <c r="H805">
        <v>12</v>
      </c>
      <c r="I805">
        <v>0</v>
      </c>
      <c r="J805">
        <v>0</v>
      </c>
      <c r="K805">
        <v>0</v>
      </c>
      <c r="L805">
        <v>1</v>
      </c>
      <c r="M805">
        <v>2</v>
      </c>
      <c r="N805" s="7">
        <v>9</v>
      </c>
      <c r="O805" s="7">
        <v>0</v>
      </c>
      <c r="P805" s="7">
        <v>0</v>
      </c>
      <c r="Q805" s="7">
        <v>0</v>
      </c>
      <c r="R805" s="7">
        <v>1</v>
      </c>
      <c r="S805" s="7">
        <v>4.5</v>
      </c>
      <c r="T805">
        <v>7</v>
      </c>
      <c r="U805" s="1">
        <v>34</v>
      </c>
      <c r="V805">
        <v>0</v>
      </c>
      <c r="W805">
        <v>0</v>
      </c>
      <c r="X805">
        <v>1</v>
      </c>
      <c r="Y805">
        <v>0.16</v>
      </c>
      <c r="Z805">
        <v>23</v>
      </c>
      <c r="AA805">
        <v>0</v>
      </c>
      <c r="AB805">
        <v>0</v>
      </c>
      <c r="AC805">
        <v>0</v>
      </c>
      <c r="AD805">
        <v>1</v>
      </c>
      <c r="AE805">
        <v>0.05</v>
      </c>
      <c r="AF805">
        <v>15</v>
      </c>
      <c r="AG805">
        <v>0</v>
      </c>
      <c r="AH805">
        <v>0</v>
      </c>
      <c r="AI805">
        <v>0</v>
      </c>
      <c r="AJ805">
        <v>1</v>
      </c>
      <c r="AK805">
        <v>0.02</v>
      </c>
      <c r="AL805">
        <v>16</v>
      </c>
      <c r="AM805">
        <v>0</v>
      </c>
      <c r="AN805">
        <v>0</v>
      </c>
      <c r="AO805">
        <v>0</v>
      </c>
      <c r="AP805">
        <v>1</v>
      </c>
      <c r="AQ805">
        <v>0.01</v>
      </c>
      <c r="AX805">
        <v>7</v>
      </c>
      <c r="AY805" s="1">
        <v>18</v>
      </c>
      <c r="AZ805">
        <v>0</v>
      </c>
      <c r="BA805">
        <v>0</v>
      </c>
      <c r="BB805">
        <v>1</v>
      </c>
      <c r="BC805" s="7">
        <v>0.32</v>
      </c>
      <c r="BD805">
        <v>30</v>
      </c>
      <c r="BE805">
        <v>0</v>
      </c>
      <c r="BF805">
        <v>0</v>
      </c>
      <c r="BG805">
        <v>0</v>
      </c>
      <c r="BH805">
        <v>5</v>
      </c>
      <c r="BI805">
        <v>2.4</v>
      </c>
      <c r="BJ805">
        <v>31</v>
      </c>
      <c r="BK805">
        <v>0</v>
      </c>
      <c r="BL805">
        <v>0</v>
      </c>
      <c r="BM805">
        <v>0</v>
      </c>
      <c r="BN805">
        <v>5</v>
      </c>
      <c r="BO805">
        <v>2.4</v>
      </c>
      <c r="BP805">
        <v>36</v>
      </c>
      <c r="BQ805">
        <v>0</v>
      </c>
      <c r="BR805">
        <v>0</v>
      </c>
      <c r="BS805">
        <v>0</v>
      </c>
      <c r="BT805">
        <v>5</v>
      </c>
      <c r="BU805">
        <v>2.1</v>
      </c>
    </row>
    <row r="806" spans="1:73" ht="14.25" x14ac:dyDescent="0.15">
      <c r="A806" s="12">
        <v>20103</v>
      </c>
      <c r="B806">
        <v>7</v>
      </c>
      <c r="C806" s="1">
        <v>47</v>
      </c>
      <c r="D806">
        <v>0</v>
      </c>
      <c r="E806">
        <v>0</v>
      </c>
      <c r="F806">
        <v>1</v>
      </c>
      <c r="G806" s="7">
        <v>0.05</v>
      </c>
      <c r="H806">
        <v>12</v>
      </c>
      <c r="I806">
        <v>0</v>
      </c>
      <c r="J806">
        <v>0</v>
      </c>
      <c r="K806">
        <v>0</v>
      </c>
      <c r="L806">
        <v>1</v>
      </c>
      <c r="M806">
        <v>2</v>
      </c>
      <c r="N806" s="7">
        <v>9</v>
      </c>
      <c r="O806" s="7">
        <v>0</v>
      </c>
      <c r="P806" s="7">
        <v>0</v>
      </c>
      <c r="Q806" s="7">
        <v>0</v>
      </c>
      <c r="R806" s="7">
        <v>1</v>
      </c>
      <c r="S806" s="7">
        <v>4.5</v>
      </c>
      <c r="T806">
        <v>7</v>
      </c>
      <c r="U806" s="1">
        <v>35</v>
      </c>
      <c r="V806">
        <v>0</v>
      </c>
      <c r="W806">
        <v>0</v>
      </c>
      <c r="X806">
        <v>1</v>
      </c>
      <c r="Y806">
        <v>0.16</v>
      </c>
      <c r="Z806">
        <v>23</v>
      </c>
      <c r="AA806">
        <v>0</v>
      </c>
      <c r="AB806">
        <v>0</v>
      </c>
      <c r="AC806">
        <v>0</v>
      </c>
      <c r="AD806">
        <v>1</v>
      </c>
      <c r="AE806">
        <v>0.05</v>
      </c>
      <c r="AF806">
        <v>15</v>
      </c>
      <c r="AG806">
        <v>0</v>
      </c>
      <c r="AH806">
        <v>0</v>
      </c>
      <c r="AI806">
        <v>0</v>
      </c>
      <c r="AJ806">
        <v>1</v>
      </c>
      <c r="AK806">
        <v>0.02</v>
      </c>
      <c r="AL806">
        <v>16</v>
      </c>
      <c r="AM806">
        <v>0</v>
      </c>
      <c r="AN806">
        <v>0</v>
      </c>
      <c r="AO806">
        <v>0</v>
      </c>
      <c r="AP806">
        <v>1</v>
      </c>
      <c r="AQ806">
        <v>0.01</v>
      </c>
      <c r="AX806">
        <v>7</v>
      </c>
      <c r="AY806" s="1">
        <v>19</v>
      </c>
      <c r="AZ806">
        <v>0</v>
      </c>
      <c r="BA806">
        <v>0</v>
      </c>
      <c r="BB806">
        <v>1</v>
      </c>
      <c r="BC806" s="7">
        <v>0.32</v>
      </c>
      <c r="BD806">
        <v>30</v>
      </c>
      <c r="BE806">
        <v>0</v>
      </c>
      <c r="BF806">
        <v>0</v>
      </c>
      <c r="BG806">
        <v>0</v>
      </c>
      <c r="BH806">
        <v>5</v>
      </c>
      <c r="BI806">
        <v>2.4</v>
      </c>
      <c r="BJ806">
        <v>31</v>
      </c>
      <c r="BK806">
        <v>0</v>
      </c>
      <c r="BL806">
        <v>0</v>
      </c>
      <c r="BM806">
        <v>0</v>
      </c>
      <c r="BN806">
        <v>5</v>
      </c>
      <c r="BO806">
        <v>2.4</v>
      </c>
      <c r="BP806">
        <v>36</v>
      </c>
      <c r="BQ806">
        <v>0</v>
      </c>
      <c r="BR806">
        <v>0</v>
      </c>
      <c r="BS806">
        <v>0</v>
      </c>
      <c r="BT806">
        <v>5</v>
      </c>
      <c r="BU806">
        <v>2.1</v>
      </c>
    </row>
    <row r="807" spans="1:73" ht="14.25" x14ac:dyDescent="0.15">
      <c r="A807" s="12">
        <v>20104</v>
      </c>
      <c r="B807">
        <v>7</v>
      </c>
      <c r="C807" s="1">
        <v>48</v>
      </c>
      <c r="D807">
        <v>0</v>
      </c>
      <c r="E807">
        <v>0</v>
      </c>
      <c r="F807">
        <v>1</v>
      </c>
      <c r="G807" s="7">
        <v>0.05</v>
      </c>
      <c r="H807">
        <v>12</v>
      </c>
      <c r="I807">
        <v>0</v>
      </c>
      <c r="J807">
        <v>0</v>
      </c>
      <c r="K807">
        <v>0</v>
      </c>
      <c r="L807">
        <v>1</v>
      </c>
      <c r="M807">
        <v>2</v>
      </c>
      <c r="N807" s="7">
        <v>9</v>
      </c>
      <c r="O807" s="7">
        <v>0</v>
      </c>
      <c r="P807" s="7">
        <v>0</v>
      </c>
      <c r="Q807" s="7">
        <v>0</v>
      </c>
      <c r="R807" s="7">
        <v>1</v>
      </c>
      <c r="S807" s="7">
        <v>4.5</v>
      </c>
      <c r="T807">
        <v>7</v>
      </c>
      <c r="U807" s="1">
        <v>36</v>
      </c>
      <c r="V807">
        <v>0</v>
      </c>
      <c r="W807">
        <v>0</v>
      </c>
      <c r="X807">
        <v>1</v>
      </c>
      <c r="Y807">
        <v>0.16</v>
      </c>
      <c r="Z807">
        <v>23</v>
      </c>
      <c r="AA807">
        <v>0</v>
      </c>
      <c r="AB807">
        <v>0</v>
      </c>
      <c r="AC807">
        <v>0</v>
      </c>
      <c r="AD807">
        <v>1</v>
      </c>
      <c r="AE807">
        <v>0.05</v>
      </c>
      <c r="AF807">
        <v>15</v>
      </c>
      <c r="AG807">
        <v>0</v>
      </c>
      <c r="AH807">
        <v>0</v>
      </c>
      <c r="AI807">
        <v>0</v>
      </c>
      <c r="AJ807">
        <v>1</v>
      </c>
      <c r="AK807">
        <v>0.02</v>
      </c>
      <c r="AL807">
        <v>16</v>
      </c>
      <c r="AM807">
        <v>0</v>
      </c>
      <c r="AN807">
        <v>0</v>
      </c>
      <c r="AO807">
        <v>0</v>
      </c>
      <c r="AP807">
        <v>1</v>
      </c>
      <c r="AQ807">
        <v>0.01</v>
      </c>
      <c r="AX807">
        <v>7</v>
      </c>
      <c r="AY807" s="1">
        <v>20</v>
      </c>
      <c r="AZ807">
        <v>0</v>
      </c>
      <c r="BA807">
        <v>0</v>
      </c>
      <c r="BB807">
        <v>1</v>
      </c>
      <c r="BC807" s="7">
        <v>0.32</v>
      </c>
      <c r="BD807">
        <v>30</v>
      </c>
      <c r="BE807">
        <v>0</v>
      </c>
      <c r="BF807">
        <v>0</v>
      </c>
      <c r="BG807">
        <v>0</v>
      </c>
      <c r="BH807">
        <v>5</v>
      </c>
      <c r="BI807">
        <v>2.4</v>
      </c>
      <c r="BJ807">
        <v>31</v>
      </c>
      <c r="BK807">
        <v>0</v>
      </c>
      <c r="BL807">
        <v>0</v>
      </c>
      <c r="BM807">
        <v>0</v>
      </c>
      <c r="BN807">
        <v>5</v>
      </c>
      <c r="BO807">
        <v>2.4</v>
      </c>
      <c r="BP807">
        <v>36</v>
      </c>
      <c r="BQ807">
        <v>0</v>
      </c>
      <c r="BR807">
        <v>0</v>
      </c>
      <c r="BS807">
        <v>0</v>
      </c>
      <c r="BT807">
        <v>5</v>
      </c>
      <c r="BU807">
        <v>2.1</v>
      </c>
    </row>
    <row r="808" spans="1:73" ht="14.25" x14ac:dyDescent="0.15">
      <c r="A808" s="12">
        <v>20105</v>
      </c>
      <c r="B808">
        <v>7</v>
      </c>
      <c r="C808" s="1">
        <v>0</v>
      </c>
      <c r="D808">
        <v>5</v>
      </c>
      <c r="E808">
        <v>1</v>
      </c>
      <c r="F808">
        <v>1</v>
      </c>
      <c r="G808" s="7">
        <v>0.05</v>
      </c>
      <c r="H808">
        <v>12</v>
      </c>
      <c r="I808">
        <v>0</v>
      </c>
      <c r="J808">
        <v>0</v>
      </c>
      <c r="K808">
        <v>0</v>
      </c>
      <c r="L808">
        <v>1</v>
      </c>
      <c r="M808">
        <v>2</v>
      </c>
      <c r="N808" s="7">
        <v>9</v>
      </c>
      <c r="O808" s="7">
        <v>0</v>
      </c>
      <c r="P808" s="7">
        <v>0</v>
      </c>
      <c r="Q808" s="7">
        <v>0</v>
      </c>
      <c r="R808" s="7">
        <v>1</v>
      </c>
      <c r="S808" s="7">
        <v>4.5</v>
      </c>
      <c r="T808">
        <v>7</v>
      </c>
      <c r="U808" s="1">
        <v>0</v>
      </c>
      <c r="V808">
        <v>4</v>
      </c>
      <c r="W808">
        <v>2</v>
      </c>
      <c r="X808">
        <v>1</v>
      </c>
      <c r="Y808">
        <v>0.16</v>
      </c>
      <c r="Z808">
        <v>23</v>
      </c>
      <c r="AA808">
        <v>0</v>
      </c>
      <c r="AB808">
        <v>0</v>
      </c>
      <c r="AC808">
        <v>0</v>
      </c>
      <c r="AD808">
        <v>1</v>
      </c>
      <c r="AE808">
        <v>0.05</v>
      </c>
      <c r="AF808">
        <v>15</v>
      </c>
      <c r="AG808">
        <v>0</v>
      </c>
      <c r="AH808">
        <v>0</v>
      </c>
      <c r="AI808">
        <v>0</v>
      </c>
      <c r="AJ808">
        <v>1</v>
      </c>
      <c r="AK808">
        <v>0.02</v>
      </c>
      <c r="AL808">
        <v>16</v>
      </c>
      <c r="AM808">
        <v>0</v>
      </c>
      <c r="AN808">
        <v>0</v>
      </c>
      <c r="AO808">
        <v>0</v>
      </c>
      <c r="AP808">
        <v>1</v>
      </c>
      <c r="AQ808">
        <v>0.01</v>
      </c>
      <c r="AR808">
        <v>6</v>
      </c>
      <c r="AS808">
        <v>2</v>
      </c>
      <c r="AT808">
        <v>1</v>
      </c>
      <c r="AU808">
        <v>5</v>
      </c>
      <c r="AV808">
        <v>1</v>
      </c>
      <c r="AW808">
        <v>0.05</v>
      </c>
      <c r="AX808">
        <v>7</v>
      </c>
      <c r="AY808" s="1">
        <v>0</v>
      </c>
      <c r="AZ808">
        <v>3</v>
      </c>
      <c r="BA808">
        <v>1</v>
      </c>
      <c r="BB808">
        <v>1</v>
      </c>
      <c r="BC808" s="7">
        <v>0.32</v>
      </c>
      <c r="BD808">
        <v>30</v>
      </c>
      <c r="BE808">
        <v>0</v>
      </c>
      <c r="BF808">
        <v>0</v>
      </c>
      <c r="BG808">
        <v>0</v>
      </c>
      <c r="BH808">
        <v>5</v>
      </c>
      <c r="BI808">
        <v>2.4</v>
      </c>
      <c r="BJ808">
        <v>31</v>
      </c>
      <c r="BK808">
        <v>0</v>
      </c>
      <c r="BL808">
        <v>0</v>
      </c>
      <c r="BM808">
        <v>0</v>
      </c>
      <c r="BN808">
        <v>5</v>
      </c>
      <c r="BO808">
        <v>2.4</v>
      </c>
      <c r="BP808">
        <v>36</v>
      </c>
      <c r="BQ808">
        <v>0</v>
      </c>
      <c r="BR808">
        <v>0</v>
      </c>
      <c r="BS808">
        <v>0</v>
      </c>
      <c r="BT808">
        <v>5</v>
      </c>
      <c r="BU808">
        <v>2.1</v>
      </c>
    </row>
    <row r="809" spans="1:73" ht="14.25" x14ac:dyDescent="0.15">
      <c r="A809" s="12">
        <v>20106</v>
      </c>
      <c r="B809">
        <v>7</v>
      </c>
      <c r="C809" s="1">
        <v>45</v>
      </c>
      <c r="D809">
        <v>0</v>
      </c>
      <c r="E809">
        <v>0</v>
      </c>
      <c r="F809">
        <v>1</v>
      </c>
      <c r="G809" s="7">
        <v>0.05</v>
      </c>
      <c r="H809">
        <v>12</v>
      </c>
      <c r="I809">
        <v>0</v>
      </c>
      <c r="J809">
        <v>0</v>
      </c>
      <c r="K809">
        <v>0</v>
      </c>
      <c r="L809">
        <v>1</v>
      </c>
      <c r="M809">
        <v>2</v>
      </c>
      <c r="N809" s="7">
        <v>9</v>
      </c>
      <c r="O809" s="7">
        <v>0</v>
      </c>
      <c r="P809" s="7">
        <v>0</v>
      </c>
      <c r="Q809" s="7">
        <v>0</v>
      </c>
      <c r="R809" s="7">
        <v>1</v>
      </c>
      <c r="S809" s="7">
        <v>4.5</v>
      </c>
      <c r="T809">
        <v>7</v>
      </c>
      <c r="U809" s="1">
        <v>33</v>
      </c>
      <c r="V809">
        <v>0</v>
      </c>
      <c r="W809">
        <v>0</v>
      </c>
      <c r="X809">
        <v>1</v>
      </c>
      <c r="Y809">
        <v>0.16</v>
      </c>
      <c r="Z809">
        <v>23</v>
      </c>
      <c r="AA809">
        <v>0</v>
      </c>
      <c r="AB809">
        <v>0</v>
      </c>
      <c r="AC809">
        <v>0</v>
      </c>
      <c r="AD809">
        <v>1</v>
      </c>
      <c r="AE809">
        <v>0.05</v>
      </c>
      <c r="AF809">
        <v>15</v>
      </c>
      <c r="AG809">
        <v>0</v>
      </c>
      <c r="AH809">
        <v>0</v>
      </c>
      <c r="AI809">
        <v>0</v>
      </c>
      <c r="AJ809">
        <v>1</v>
      </c>
      <c r="AK809">
        <v>0.02</v>
      </c>
      <c r="AL809">
        <v>16</v>
      </c>
      <c r="AM809">
        <v>0</v>
      </c>
      <c r="AN809">
        <v>0</v>
      </c>
      <c r="AO809">
        <v>0</v>
      </c>
      <c r="AP809">
        <v>1</v>
      </c>
      <c r="AQ809">
        <v>0.01</v>
      </c>
      <c r="AX809">
        <v>7</v>
      </c>
      <c r="AY809" s="1">
        <v>17</v>
      </c>
      <c r="AZ809">
        <v>0</v>
      </c>
      <c r="BA809">
        <v>0</v>
      </c>
      <c r="BB809">
        <v>1</v>
      </c>
      <c r="BC809" s="7">
        <v>0.32</v>
      </c>
      <c r="BD809">
        <v>30</v>
      </c>
      <c r="BE809">
        <v>0</v>
      </c>
      <c r="BF809">
        <v>0</v>
      </c>
      <c r="BG809">
        <v>0</v>
      </c>
      <c r="BH809">
        <v>5</v>
      </c>
      <c r="BI809">
        <v>2.4</v>
      </c>
      <c r="BJ809">
        <v>31</v>
      </c>
      <c r="BK809">
        <v>0</v>
      </c>
      <c r="BL809">
        <v>0</v>
      </c>
      <c r="BM809">
        <v>0</v>
      </c>
      <c r="BN809">
        <v>5</v>
      </c>
      <c r="BO809">
        <v>2.4</v>
      </c>
      <c r="BP809">
        <v>36</v>
      </c>
      <c r="BQ809">
        <v>0</v>
      </c>
      <c r="BR809">
        <v>0</v>
      </c>
      <c r="BS809">
        <v>0</v>
      </c>
      <c r="BT809">
        <v>5</v>
      </c>
      <c r="BU809">
        <v>2.1</v>
      </c>
    </row>
    <row r="810" spans="1:73" ht="14.25" x14ac:dyDescent="0.15">
      <c r="A810" s="12">
        <v>20107</v>
      </c>
      <c r="B810">
        <v>7</v>
      </c>
      <c r="C810" s="1">
        <v>46</v>
      </c>
      <c r="D810">
        <v>0</v>
      </c>
      <c r="E810">
        <v>0</v>
      </c>
      <c r="F810">
        <v>1</v>
      </c>
      <c r="G810" s="7">
        <v>0.05</v>
      </c>
      <c r="H810">
        <v>12</v>
      </c>
      <c r="I810">
        <v>0</v>
      </c>
      <c r="J810">
        <v>0</v>
      </c>
      <c r="K810">
        <v>0</v>
      </c>
      <c r="L810">
        <v>1</v>
      </c>
      <c r="M810">
        <v>2</v>
      </c>
      <c r="N810" s="7">
        <v>9</v>
      </c>
      <c r="O810" s="7">
        <v>0</v>
      </c>
      <c r="P810" s="7">
        <v>0</v>
      </c>
      <c r="Q810" s="7">
        <v>0</v>
      </c>
      <c r="R810" s="7">
        <v>1</v>
      </c>
      <c r="S810" s="7">
        <v>4.5</v>
      </c>
      <c r="T810">
        <v>7</v>
      </c>
      <c r="U810" s="1">
        <v>34</v>
      </c>
      <c r="V810">
        <v>0</v>
      </c>
      <c r="W810">
        <v>0</v>
      </c>
      <c r="X810">
        <v>1</v>
      </c>
      <c r="Y810">
        <v>0.16</v>
      </c>
      <c r="Z810">
        <v>23</v>
      </c>
      <c r="AA810">
        <v>0</v>
      </c>
      <c r="AB810">
        <v>0</v>
      </c>
      <c r="AC810">
        <v>0</v>
      </c>
      <c r="AD810">
        <v>1</v>
      </c>
      <c r="AE810">
        <v>0.05</v>
      </c>
      <c r="AF810">
        <v>15</v>
      </c>
      <c r="AG810">
        <v>0</v>
      </c>
      <c r="AH810">
        <v>0</v>
      </c>
      <c r="AI810">
        <v>0</v>
      </c>
      <c r="AJ810">
        <v>1</v>
      </c>
      <c r="AK810">
        <v>0.02</v>
      </c>
      <c r="AL810">
        <v>16</v>
      </c>
      <c r="AM810">
        <v>0</v>
      </c>
      <c r="AN810">
        <v>0</v>
      </c>
      <c r="AO810">
        <v>0</v>
      </c>
      <c r="AP810">
        <v>1</v>
      </c>
      <c r="AQ810">
        <v>0.01</v>
      </c>
      <c r="AX810">
        <v>7</v>
      </c>
      <c r="AY810" s="1">
        <v>18</v>
      </c>
      <c r="AZ810">
        <v>0</v>
      </c>
      <c r="BA810">
        <v>0</v>
      </c>
      <c r="BB810">
        <v>1</v>
      </c>
      <c r="BC810" s="7">
        <v>0.32</v>
      </c>
      <c r="BD810">
        <v>30</v>
      </c>
      <c r="BE810">
        <v>0</v>
      </c>
      <c r="BF810">
        <v>0</v>
      </c>
      <c r="BG810">
        <v>0</v>
      </c>
      <c r="BH810">
        <v>5</v>
      </c>
      <c r="BI810">
        <v>2.4</v>
      </c>
      <c r="BJ810">
        <v>31</v>
      </c>
      <c r="BK810">
        <v>0</v>
      </c>
      <c r="BL810">
        <v>0</v>
      </c>
      <c r="BM810">
        <v>0</v>
      </c>
      <c r="BN810">
        <v>5</v>
      </c>
      <c r="BO810">
        <v>2.4</v>
      </c>
      <c r="BP810">
        <v>36</v>
      </c>
      <c r="BQ810">
        <v>0</v>
      </c>
      <c r="BR810">
        <v>0</v>
      </c>
      <c r="BS810">
        <v>0</v>
      </c>
      <c r="BT810">
        <v>5</v>
      </c>
      <c r="BU810">
        <v>2.1</v>
      </c>
    </row>
    <row r="811" spans="1:73" ht="14.25" x14ac:dyDescent="0.15">
      <c r="A811" s="12">
        <v>20108</v>
      </c>
      <c r="B811">
        <v>7</v>
      </c>
      <c r="C811" s="1">
        <v>47</v>
      </c>
      <c r="D811">
        <v>0</v>
      </c>
      <c r="E811">
        <v>0</v>
      </c>
      <c r="F811">
        <v>1</v>
      </c>
      <c r="G811" s="7">
        <v>0.05</v>
      </c>
      <c r="H811">
        <v>12</v>
      </c>
      <c r="I811">
        <v>0</v>
      </c>
      <c r="J811">
        <v>0</v>
      </c>
      <c r="K811">
        <v>0</v>
      </c>
      <c r="L811">
        <v>1</v>
      </c>
      <c r="M811">
        <v>2</v>
      </c>
      <c r="N811" s="7">
        <v>9</v>
      </c>
      <c r="O811" s="7">
        <v>0</v>
      </c>
      <c r="P811" s="7">
        <v>0</v>
      </c>
      <c r="Q811" s="7">
        <v>0</v>
      </c>
      <c r="R811" s="7">
        <v>1</v>
      </c>
      <c r="S811" s="7">
        <v>4.5</v>
      </c>
      <c r="T811">
        <v>7</v>
      </c>
      <c r="U811" s="1">
        <v>35</v>
      </c>
      <c r="V811">
        <v>0</v>
      </c>
      <c r="W811">
        <v>0</v>
      </c>
      <c r="X811">
        <v>1</v>
      </c>
      <c r="Y811">
        <v>0.16</v>
      </c>
      <c r="Z811">
        <v>23</v>
      </c>
      <c r="AA811">
        <v>0</v>
      </c>
      <c r="AB811">
        <v>0</v>
      </c>
      <c r="AC811">
        <v>0</v>
      </c>
      <c r="AD811">
        <v>1</v>
      </c>
      <c r="AE811">
        <v>0.05</v>
      </c>
      <c r="AF811">
        <v>15</v>
      </c>
      <c r="AG811">
        <v>0</v>
      </c>
      <c r="AH811">
        <v>0</v>
      </c>
      <c r="AI811">
        <v>0</v>
      </c>
      <c r="AJ811">
        <v>1</v>
      </c>
      <c r="AK811">
        <v>0.02</v>
      </c>
      <c r="AL811">
        <v>16</v>
      </c>
      <c r="AM811">
        <v>0</v>
      </c>
      <c r="AN811">
        <v>0</v>
      </c>
      <c r="AO811">
        <v>0</v>
      </c>
      <c r="AP811">
        <v>1</v>
      </c>
      <c r="AQ811">
        <v>0.01</v>
      </c>
      <c r="AX811">
        <v>7</v>
      </c>
      <c r="AY811" s="1">
        <v>19</v>
      </c>
      <c r="AZ811">
        <v>0</v>
      </c>
      <c r="BA811">
        <v>0</v>
      </c>
      <c r="BB811">
        <v>1</v>
      </c>
      <c r="BC811" s="7">
        <v>0.32</v>
      </c>
      <c r="BD811">
        <v>30</v>
      </c>
      <c r="BE811">
        <v>0</v>
      </c>
      <c r="BF811">
        <v>0</v>
      </c>
      <c r="BG811">
        <v>0</v>
      </c>
      <c r="BH811">
        <v>5</v>
      </c>
      <c r="BI811">
        <v>2.4</v>
      </c>
      <c r="BJ811">
        <v>31</v>
      </c>
      <c r="BK811">
        <v>0</v>
      </c>
      <c r="BL811">
        <v>0</v>
      </c>
      <c r="BM811">
        <v>0</v>
      </c>
      <c r="BN811">
        <v>5</v>
      </c>
      <c r="BO811">
        <v>2.4</v>
      </c>
      <c r="BP811">
        <v>36</v>
      </c>
      <c r="BQ811">
        <v>0</v>
      </c>
      <c r="BR811">
        <v>0</v>
      </c>
      <c r="BS811">
        <v>0</v>
      </c>
      <c r="BT811">
        <v>5</v>
      </c>
      <c r="BU811">
        <v>2.1</v>
      </c>
    </row>
    <row r="812" spans="1:73" ht="14.25" x14ac:dyDescent="0.15">
      <c r="A812" s="12">
        <v>20109</v>
      </c>
      <c r="B812">
        <v>7</v>
      </c>
      <c r="C812" s="1">
        <v>48</v>
      </c>
      <c r="D812">
        <v>0</v>
      </c>
      <c r="E812">
        <v>0</v>
      </c>
      <c r="F812">
        <v>1</v>
      </c>
      <c r="G812" s="7">
        <v>0.05</v>
      </c>
      <c r="H812">
        <v>12</v>
      </c>
      <c r="I812">
        <v>0</v>
      </c>
      <c r="J812">
        <v>0</v>
      </c>
      <c r="K812">
        <v>0</v>
      </c>
      <c r="L812">
        <v>1</v>
      </c>
      <c r="M812">
        <v>2</v>
      </c>
      <c r="N812" s="7">
        <v>9</v>
      </c>
      <c r="O812" s="7">
        <v>0</v>
      </c>
      <c r="P812" s="7">
        <v>0</v>
      </c>
      <c r="Q812" s="7">
        <v>0</v>
      </c>
      <c r="R812" s="7">
        <v>1</v>
      </c>
      <c r="S812" s="7">
        <v>4.5</v>
      </c>
      <c r="T812">
        <v>7</v>
      </c>
      <c r="U812" s="1">
        <v>36</v>
      </c>
      <c r="V812">
        <v>0</v>
      </c>
      <c r="W812">
        <v>0</v>
      </c>
      <c r="X812">
        <v>1</v>
      </c>
      <c r="Y812">
        <v>0.16</v>
      </c>
      <c r="Z812">
        <v>23</v>
      </c>
      <c r="AA812">
        <v>0</v>
      </c>
      <c r="AB812">
        <v>0</v>
      </c>
      <c r="AC812">
        <v>0</v>
      </c>
      <c r="AD812">
        <v>1</v>
      </c>
      <c r="AE812">
        <v>0.05</v>
      </c>
      <c r="AF812">
        <v>15</v>
      </c>
      <c r="AG812">
        <v>0</v>
      </c>
      <c r="AH812">
        <v>0</v>
      </c>
      <c r="AI812">
        <v>0</v>
      </c>
      <c r="AJ812">
        <v>1</v>
      </c>
      <c r="AK812">
        <v>0.02</v>
      </c>
      <c r="AL812">
        <v>16</v>
      </c>
      <c r="AM812">
        <v>0</v>
      </c>
      <c r="AN812">
        <v>0</v>
      </c>
      <c r="AO812">
        <v>0</v>
      </c>
      <c r="AP812">
        <v>1</v>
      </c>
      <c r="AQ812">
        <v>0.01</v>
      </c>
      <c r="AX812">
        <v>7</v>
      </c>
      <c r="AY812" s="1">
        <v>20</v>
      </c>
      <c r="AZ812">
        <v>0</v>
      </c>
      <c r="BA812">
        <v>0</v>
      </c>
      <c r="BB812">
        <v>1</v>
      </c>
      <c r="BC812" s="7">
        <v>0.32</v>
      </c>
      <c r="BD812">
        <v>30</v>
      </c>
      <c r="BE812">
        <v>0</v>
      </c>
      <c r="BF812">
        <v>0</v>
      </c>
      <c r="BG812">
        <v>0</v>
      </c>
      <c r="BH812">
        <v>5</v>
      </c>
      <c r="BI812">
        <v>2.4</v>
      </c>
      <c r="BJ812">
        <v>31</v>
      </c>
      <c r="BK812">
        <v>0</v>
      </c>
      <c r="BL812">
        <v>0</v>
      </c>
      <c r="BM812">
        <v>0</v>
      </c>
      <c r="BN812">
        <v>5</v>
      </c>
      <c r="BO812">
        <v>2.4</v>
      </c>
      <c r="BP812">
        <v>36</v>
      </c>
      <c r="BQ812">
        <v>0</v>
      </c>
      <c r="BR812">
        <v>0</v>
      </c>
      <c r="BS812">
        <v>0</v>
      </c>
      <c r="BT812">
        <v>5</v>
      </c>
      <c r="BU812">
        <v>2.1</v>
      </c>
    </row>
    <row r="813" spans="1:73" ht="14.25" x14ac:dyDescent="0.15">
      <c r="A813" s="12">
        <v>20110</v>
      </c>
      <c r="B813">
        <v>7</v>
      </c>
      <c r="C813" s="1">
        <v>0</v>
      </c>
      <c r="D813">
        <v>5</v>
      </c>
      <c r="E813">
        <v>1</v>
      </c>
      <c r="F813">
        <v>1</v>
      </c>
      <c r="G813" s="7">
        <v>0.05</v>
      </c>
      <c r="H813">
        <v>12</v>
      </c>
      <c r="I813">
        <v>0</v>
      </c>
      <c r="J813">
        <v>0</v>
      </c>
      <c r="K813">
        <v>0</v>
      </c>
      <c r="L813">
        <v>1</v>
      </c>
      <c r="M813">
        <v>2</v>
      </c>
      <c r="N813" s="7">
        <v>9</v>
      </c>
      <c r="O813" s="7">
        <v>0</v>
      </c>
      <c r="P813" s="7">
        <v>0</v>
      </c>
      <c r="Q813" s="7">
        <v>0</v>
      </c>
      <c r="R813" s="7">
        <v>1</v>
      </c>
      <c r="S813" s="7">
        <v>4.5</v>
      </c>
      <c r="T813">
        <v>7</v>
      </c>
      <c r="U813" s="1">
        <v>0</v>
      </c>
      <c r="V813">
        <v>4</v>
      </c>
      <c r="W813">
        <v>2</v>
      </c>
      <c r="X813">
        <v>1</v>
      </c>
      <c r="Y813">
        <v>0.16</v>
      </c>
      <c r="Z813">
        <v>23</v>
      </c>
      <c r="AA813">
        <v>0</v>
      </c>
      <c r="AB813">
        <v>0</v>
      </c>
      <c r="AC813">
        <v>0</v>
      </c>
      <c r="AD813">
        <v>1</v>
      </c>
      <c r="AE813">
        <v>0.05</v>
      </c>
      <c r="AF813">
        <v>15</v>
      </c>
      <c r="AG813">
        <v>0</v>
      </c>
      <c r="AH813">
        <v>0</v>
      </c>
      <c r="AI813">
        <v>0</v>
      </c>
      <c r="AJ813">
        <v>1</v>
      </c>
      <c r="AK813">
        <v>0.02</v>
      </c>
      <c r="AL813">
        <v>16</v>
      </c>
      <c r="AM813">
        <v>0</v>
      </c>
      <c r="AN813">
        <v>0</v>
      </c>
      <c r="AO813">
        <v>0</v>
      </c>
      <c r="AP813">
        <v>1</v>
      </c>
      <c r="AQ813">
        <v>0.01</v>
      </c>
      <c r="AR813">
        <v>6</v>
      </c>
      <c r="AS813">
        <v>2</v>
      </c>
      <c r="AT813">
        <v>2</v>
      </c>
      <c r="AU813">
        <v>5</v>
      </c>
      <c r="AV813">
        <v>1</v>
      </c>
      <c r="AW813">
        <v>0.05</v>
      </c>
      <c r="AX813">
        <v>7</v>
      </c>
      <c r="AY813" s="1">
        <v>0</v>
      </c>
      <c r="AZ813">
        <v>3</v>
      </c>
      <c r="BA813">
        <v>1</v>
      </c>
      <c r="BB813">
        <v>1</v>
      </c>
      <c r="BC813" s="7">
        <v>0.32</v>
      </c>
      <c r="BD813">
        <v>30</v>
      </c>
      <c r="BE813">
        <v>0</v>
      </c>
      <c r="BF813">
        <v>0</v>
      </c>
      <c r="BG813">
        <v>0</v>
      </c>
      <c r="BH813">
        <v>5</v>
      </c>
      <c r="BI813">
        <v>2.4</v>
      </c>
      <c r="BJ813">
        <v>31</v>
      </c>
      <c r="BK813">
        <v>0</v>
      </c>
      <c r="BL813">
        <v>0</v>
      </c>
      <c r="BM813">
        <v>0</v>
      </c>
      <c r="BN813">
        <v>5</v>
      </c>
      <c r="BO813">
        <v>2.4</v>
      </c>
      <c r="BP813">
        <v>36</v>
      </c>
      <c r="BQ813">
        <v>0</v>
      </c>
      <c r="BR813">
        <v>0</v>
      </c>
      <c r="BS813">
        <v>0</v>
      </c>
      <c r="BT813">
        <v>5</v>
      </c>
      <c r="BU813">
        <v>2.1</v>
      </c>
    </row>
    <row r="814" spans="1:73" ht="14.25" x14ac:dyDescent="0.15">
      <c r="A814" s="12">
        <v>20111</v>
      </c>
      <c r="B814">
        <v>7</v>
      </c>
      <c r="C814" s="1">
        <v>45</v>
      </c>
      <c r="D814">
        <v>0</v>
      </c>
      <c r="E814">
        <v>0</v>
      </c>
      <c r="F814">
        <v>1</v>
      </c>
      <c r="G814" s="7">
        <v>0.05</v>
      </c>
      <c r="H814">
        <v>12</v>
      </c>
      <c r="I814">
        <v>0</v>
      </c>
      <c r="J814">
        <v>0</v>
      </c>
      <c r="K814">
        <v>0</v>
      </c>
      <c r="L814">
        <v>1</v>
      </c>
      <c r="M814">
        <v>2</v>
      </c>
      <c r="N814" s="7">
        <v>9</v>
      </c>
      <c r="O814" s="7">
        <v>0</v>
      </c>
      <c r="P814" s="7">
        <v>0</v>
      </c>
      <c r="Q814" s="7">
        <v>0</v>
      </c>
      <c r="R814" s="7">
        <v>1</v>
      </c>
      <c r="S814" s="7">
        <v>4.5</v>
      </c>
      <c r="T814">
        <v>7</v>
      </c>
      <c r="U814" s="1">
        <v>33</v>
      </c>
      <c r="V814">
        <v>0</v>
      </c>
      <c r="W814">
        <v>0</v>
      </c>
      <c r="X814">
        <v>1</v>
      </c>
      <c r="Y814">
        <v>0.16</v>
      </c>
      <c r="Z814">
        <v>23</v>
      </c>
      <c r="AA814">
        <v>0</v>
      </c>
      <c r="AB814">
        <v>0</v>
      </c>
      <c r="AC814">
        <v>0</v>
      </c>
      <c r="AD814">
        <v>1</v>
      </c>
      <c r="AE814">
        <v>0.05</v>
      </c>
      <c r="AF814">
        <v>15</v>
      </c>
      <c r="AG814">
        <v>0</v>
      </c>
      <c r="AH814">
        <v>0</v>
      </c>
      <c r="AI814">
        <v>0</v>
      </c>
      <c r="AJ814">
        <v>1</v>
      </c>
      <c r="AK814">
        <v>0.02</v>
      </c>
      <c r="AL814">
        <v>16</v>
      </c>
      <c r="AM814">
        <v>0</v>
      </c>
      <c r="AN814">
        <v>0</v>
      </c>
      <c r="AO814">
        <v>0</v>
      </c>
      <c r="AP814">
        <v>1</v>
      </c>
      <c r="AQ814">
        <v>0.01</v>
      </c>
      <c r="AX814">
        <v>7</v>
      </c>
      <c r="AY814" s="1">
        <v>17</v>
      </c>
      <c r="AZ814">
        <v>0</v>
      </c>
      <c r="BA814">
        <v>0</v>
      </c>
      <c r="BB814">
        <v>1</v>
      </c>
      <c r="BC814" s="7">
        <v>0.32</v>
      </c>
      <c r="BD814">
        <v>30</v>
      </c>
      <c r="BE814">
        <v>0</v>
      </c>
      <c r="BF814">
        <v>0</v>
      </c>
      <c r="BG814">
        <v>0</v>
      </c>
      <c r="BH814">
        <v>5</v>
      </c>
      <c r="BI814">
        <v>2.4</v>
      </c>
      <c r="BJ814">
        <v>31</v>
      </c>
      <c r="BK814">
        <v>0</v>
      </c>
      <c r="BL814">
        <v>0</v>
      </c>
      <c r="BM814">
        <v>0</v>
      </c>
      <c r="BN814">
        <v>5</v>
      </c>
      <c r="BO814">
        <v>2.4</v>
      </c>
      <c r="BP814">
        <v>36</v>
      </c>
      <c r="BQ814">
        <v>0</v>
      </c>
      <c r="BR814">
        <v>0</v>
      </c>
      <c r="BS814">
        <v>0</v>
      </c>
      <c r="BT814">
        <v>5</v>
      </c>
      <c r="BU814">
        <v>2.1</v>
      </c>
    </row>
    <row r="815" spans="1:73" ht="14.25" x14ac:dyDescent="0.15">
      <c r="A815" s="12">
        <v>20112</v>
      </c>
      <c r="B815">
        <v>7</v>
      </c>
      <c r="C815" s="1">
        <v>46</v>
      </c>
      <c r="D815">
        <v>0</v>
      </c>
      <c r="E815">
        <v>0</v>
      </c>
      <c r="F815">
        <v>1</v>
      </c>
      <c r="G815" s="7">
        <v>0.05</v>
      </c>
      <c r="H815">
        <v>12</v>
      </c>
      <c r="I815">
        <v>0</v>
      </c>
      <c r="J815">
        <v>0</v>
      </c>
      <c r="K815">
        <v>0</v>
      </c>
      <c r="L815">
        <v>1</v>
      </c>
      <c r="M815">
        <v>2</v>
      </c>
      <c r="N815" s="7">
        <v>9</v>
      </c>
      <c r="O815" s="7">
        <v>0</v>
      </c>
      <c r="P815" s="7">
        <v>0</v>
      </c>
      <c r="Q815" s="7">
        <v>0</v>
      </c>
      <c r="R815" s="7">
        <v>1</v>
      </c>
      <c r="S815" s="7">
        <v>4.5</v>
      </c>
      <c r="T815">
        <v>7</v>
      </c>
      <c r="U815" s="1">
        <v>34</v>
      </c>
      <c r="V815">
        <v>0</v>
      </c>
      <c r="W815">
        <v>0</v>
      </c>
      <c r="X815">
        <v>1</v>
      </c>
      <c r="Y815">
        <v>0.16</v>
      </c>
      <c r="Z815">
        <v>23</v>
      </c>
      <c r="AA815">
        <v>0</v>
      </c>
      <c r="AB815">
        <v>0</v>
      </c>
      <c r="AC815">
        <v>0</v>
      </c>
      <c r="AD815">
        <v>1</v>
      </c>
      <c r="AE815">
        <v>0.05</v>
      </c>
      <c r="AF815">
        <v>15</v>
      </c>
      <c r="AG815">
        <v>0</v>
      </c>
      <c r="AH815">
        <v>0</v>
      </c>
      <c r="AI815">
        <v>0</v>
      </c>
      <c r="AJ815">
        <v>1</v>
      </c>
      <c r="AK815">
        <v>0.02</v>
      </c>
      <c r="AL815">
        <v>16</v>
      </c>
      <c r="AM815">
        <v>0</v>
      </c>
      <c r="AN815">
        <v>0</v>
      </c>
      <c r="AO815">
        <v>0</v>
      </c>
      <c r="AP815">
        <v>1</v>
      </c>
      <c r="AQ815">
        <v>0.01</v>
      </c>
      <c r="AX815">
        <v>7</v>
      </c>
      <c r="AY815" s="1">
        <v>18</v>
      </c>
      <c r="AZ815">
        <v>0</v>
      </c>
      <c r="BA815">
        <v>0</v>
      </c>
      <c r="BB815">
        <v>1</v>
      </c>
      <c r="BC815" s="7">
        <v>0.32</v>
      </c>
      <c r="BD815">
        <v>30</v>
      </c>
      <c r="BE815">
        <v>0</v>
      </c>
      <c r="BF815">
        <v>0</v>
      </c>
      <c r="BG815">
        <v>0</v>
      </c>
      <c r="BH815">
        <v>5</v>
      </c>
      <c r="BI815">
        <v>2.4</v>
      </c>
      <c r="BJ815">
        <v>31</v>
      </c>
      <c r="BK815">
        <v>0</v>
      </c>
      <c r="BL815">
        <v>0</v>
      </c>
      <c r="BM815">
        <v>0</v>
      </c>
      <c r="BN815">
        <v>5</v>
      </c>
      <c r="BO815">
        <v>2.4</v>
      </c>
      <c r="BP815">
        <v>36</v>
      </c>
      <c r="BQ815">
        <v>0</v>
      </c>
      <c r="BR815">
        <v>0</v>
      </c>
      <c r="BS815">
        <v>0</v>
      </c>
      <c r="BT815">
        <v>5</v>
      </c>
      <c r="BU815">
        <v>2.1</v>
      </c>
    </row>
    <row r="816" spans="1:73" ht="14.25" x14ac:dyDescent="0.15">
      <c r="A816" s="12">
        <v>20113</v>
      </c>
      <c r="B816">
        <v>7</v>
      </c>
      <c r="C816" s="1">
        <v>47</v>
      </c>
      <c r="D816">
        <v>0</v>
      </c>
      <c r="E816">
        <v>0</v>
      </c>
      <c r="F816">
        <v>1</v>
      </c>
      <c r="G816" s="7">
        <v>0.05</v>
      </c>
      <c r="H816">
        <v>12</v>
      </c>
      <c r="I816">
        <v>0</v>
      </c>
      <c r="J816">
        <v>0</v>
      </c>
      <c r="K816">
        <v>0</v>
      </c>
      <c r="L816">
        <v>1</v>
      </c>
      <c r="M816">
        <v>2</v>
      </c>
      <c r="N816" s="7">
        <v>9</v>
      </c>
      <c r="O816" s="7">
        <v>0</v>
      </c>
      <c r="P816" s="7">
        <v>0</v>
      </c>
      <c r="Q816" s="7">
        <v>0</v>
      </c>
      <c r="R816" s="7">
        <v>1</v>
      </c>
      <c r="S816" s="7">
        <v>4.5</v>
      </c>
      <c r="T816">
        <v>7</v>
      </c>
      <c r="U816" s="1">
        <v>35</v>
      </c>
      <c r="V816">
        <v>0</v>
      </c>
      <c r="W816">
        <v>0</v>
      </c>
      <c r="X816">
        <v>1</v>
      </c>
      <c r="Y816">
        <v>0.16</v>
      </c>
      <c r="Z816">
        <v>23</v>
      </c>
      <c r="AA816">
        <v>0</v>
      </c>
      <c r="AB816">
        <v>0</v>
      </c>
      <c r="AC816">
        <v>0</v>
      </c>
      <c r="AD816">
        <v>1</v>
      </c>
      <c r="AE816">
        <v>0.05</v>
      </c>
      <c r="AF816">
        <v>15</v>
      </c>
      <c r="AG816">
        <v>0</v>
      </c>
      <c r="AH816">
        <v>0</v>
      </c>
      <c r="AI816">
        <v>0</v>
      </c>
      <c r="AJ816">
        <v>1</v>
      </c>
      <c r="AK816">
        <v>0.02</v>
      </c>
      <c r="AL816">
        <v>16</v>
      </c>
      <c r="AM816">
        <v>0</v>
      </c>
      <c r="AN816">
        <v>0</v>
      </c>
      <c r="AO816">
        <v>0</v>
      </c>
      <c r="AP816">
        <v>1</v>
      </c>
      <c r="AQ816">
        <v>0.01</v>
      </c>
      <c r="AX816">
        <v>7</v>
      </c>
      <c r="AY816" s="1">
        <v>19</v>
      </c>
      <c r="AZ816">
        <v>0</v>
      </c>
      <c r="BA816">
        <v>0</v>
      </c>
      <c r="BB816">
        <v>1</v>
      </c>
      <c r="BC816" s="7">
        <v>0.32</v>
      </c>
      <c r="BD816">
        <v>30</v>
      </c>
      <c r="BE816">
        <v>0</v>
      </c>
      <c r="BF816">
        <v>0</v>
      </c>
      <c r="BG816">
        <v>0</v>
      </c>
      <c r="BH816">
        <v>5</v>
      </c>
      <c r="BI816">
        <v>2.4</v>
      </c>
      <c r="BJ816">
        <v>31</v>
      </c>
      <c r="BK816">
        <v>0</v>
      </c>
      <c r="BL816">
        <v>0</v>
      </c>
      <c r="BM816">
        <v>0</v>
      </c>
      <c r="BN816">
        <v>5</v>
      </c>
      <c r="BO816">
        <v>2.4</v>
      </c>
      <c r="BP816">
        <v>36</v>
      </c>
      <c r="BQ816">
        <v>0</v>
      </c>
      <c r="BR816">
        <v>0</v>
      </c>
      <c r="BS816">
        <v>0</v>
      </c>
      <c r="BT816">
        <v>5</v>
      </c>
      <c r="BU816">
        <v>2.1</v>
      </c>
    </row>
    <row r="817" spans="1:73" ht="14.25" x14ac:dyDescent="0.15">
      <c r="A817" s="12">
        <v>20114</v>
      </c>
      <c r="B817">
        <v>7</v>
      </c>
      <c r="C817" s="1">
        <v>48</v>
      </c>
      <c r="D817">
        <v>0</v>
      </c>
      <c r="E817">
        <v>0</v>
      </c>
      <c r="F817">
        <v>1</v>
      </c>
      <c r="G817" s="7">
        <v>0.05</v>
      </c>
      <c r="H817">
        <v>12</v>
      </c>
      <c r="I817">
        <v>0</v>
      </c>
      <c r="J817">
        <v>0</v>
      </c>
      <c r="K817">
        <v>0</v>
      </c>
      <c r="L817">
        <v>1</v>
      </c>
      <c r="M817">
        <v>2</v>
      </c>
      <c r="N817" s="7">
        <v>9</v>
      </c>
      <c r="O817" s="7">
        <v>0</v>
      </c>
      <c r="P817" s="7">
        <v>0</v>
      </c>
      <c r="Q817" s="7">
        <v>0</v>
      </c>
      <c r="R817" s="7">
        <v>1</v>
      </c>
      <c r="S817" s="7">
        <v>4.5</v>
      </c>
      <c r="T817">
        <v>7</v>
      </c>
      <c r="U817" s="1">
        <v>36</v>
      </c>
      <c r="V817">
        <v>0</v>
      </c>
      <c r="W817">
        <v>0</v>
      </c>
      <c r="X817">
        <v>1</v>
      </c>
      <c r="Y817">
        <v>0.16</v>
      </c>
      <c r="Z817">
        <v>23</v>
      </c>
      <c r="AA817">
        <v>0</v>
      </c>
      <c r="AB817">
        <v>0</v>
      </c>
      <c r="AC817">
        <v>0</v>
      </c>
      <c r="AD817">
        <v>1</v>
      </c>
      <c r="AE817">
        <v>0.05</v>
      </c>
      <c r="AF817">
        <v>15</v>
      </c>
      <c r="AG817">
        <v>0</v>
      </c>
      <c r="AH817">
        <v>0</v>
      </c>
      <c r="AI817">
        <v>0</v>
      </c>
      <c r="AJ817">
        <v>1</v>
      </c>
      <c r="AK817">
        <v>0.02</v>
      </c>
      <c r="AL817">
        <v>16</v>
      </c>
      <c r="AM817">
        <v>0</v>
      </c>
      <c r="AN817">
        <v>0</v>
      </c>
      <c r="AO817">
        <v>0</v>
      </c>
      <c r="AP817">
        <v>1</v>
      </c>
      <c r="AQ817">
        <v>0.01</v>
      </c>
      <c r="AX817">
        <v>7</v>
      </c>
      <c r="AY817" s="1">
        <v>20</v>
      </c>
      <c r="AZ817">
        <v>0</v>
      </c>
      <c r="BA817">
        <v>0</v>
      </c>
      <c r="BB817">
        <v>1</v>
      </c>
      <c r="BC817" s="7">
        <v>0.32</v>
      </c>
      <c r="BD817">
        <v>30</v>
      </c>
      <c r="BE817">
        <v>0</v>
      </c>
      <c r="BF817">
        <v>0</v>
      </c>
      <c r="BG817">
        <v>0</v>
      </c>
      <c r="BH817">
        <v>5</v>
      </c>
      <c r="BI817">
        <v>2.4</v>
      </c>
      <c r="BJ817">
        <v>31</v>
      </c>
      <c r="BK817">
        <v>0</v>
      </c>
      <c r="BL817">
        <v>0</v>
      </c>
      <c r="BM817">
        <v>0</v>
      </c>
      <c r="BN817">
        <v>5</v>
      </c>
      <c r="BO817">
        <v>2.4</v>
      </c>
      <c r="BP817">
        <v>36</v>
      </c>
      <c r="BQ817">
        <v>0</v>
      </c>
      <c r="BR817">
        <v>0</v>
      </c>
      <c r="BS817">
        <v>0</v>
      </c>
      <c r="BT817">
        <v>5</v>
      </c>
      <c r="BU817">
        <v>2.1</v>
      </c>
    </row>
    <row r="818" spans="1:73" ht="14.25" x14ac:dyDescent="0.15">
      <c r="A818" s="12">
        <v>20115</v>
      </c>
      <c r="B818">
        <v>7</v>
      </c>
      <c r="C818" s="1">
        <v>0</v>
      </c>
      <c r="D818">
        <v>5</v>
      </c>
      <c r="E818">
        <v>1</v>
      </c>
      <c r="F818">
        <v>1</v>
      </c>
      <c r="G818" s="7">
        <v>0.05</v>
      </c>
      <c r="H818">
        <v>12</v>
      </c>
      <c r="I818">
        <v>0</v>
      </c>
      <c r="J818">
        <v>0</v>
      </c>
      <c r="K818">
        <v>0</v>
      </c>
      <c r="L818">
        <v>1</v>
      </c>
      <c r="M818">
        <v>2</v>
      </c>
      <c r="N818" s="7">
        <v>9</v>
      </c>
      <c r="O818" s="7">
        <v>0</v>
      </c>
      <c r="P818" s="7">
        <v>0</v>
      </c>
      <c r="Q818" s="7">
        <v>0</v>
      </c>
      <c r="R818" s="7">
        <v>1</v>
      </c>
      <c r="S818" s="7">
        <v>4.5</v>
      </c>
      <c r="T818">
        <v>7</v>
      </c>
      <c r="U818" s="1">
        <v>0</v>
      </c>
      <c r="V818">
        <v>4</v>
      </c>
      <c r="W818">
        <v>2</v>
      </c>
      <c r="X818">
        <v>1</v>
      </c>
      <c r="Y818">
        <v>0.16</v>
      </c>
      <c r="Z818">
        <v>23</v>
      </c>
      <c r="AA818">
        <v>0</v>
      </c>
      <c r="AB818">
        <v>0</v>
      </c>
      <c r="AC818">
        <v>0</v>
      </c>
      <c r="AD818">
        <v>1</v>
      </c>
      <c r="AE818">
        <v>0.05</v>
      </c>
      <c r="AF818">
        <v>15</v>
      </c>
      <c r="AG818">
        <v>0</v>
      </c>
      <c r="AH818">
        <v>0</v>
      </c>
      <c r="AI818">
        <v>0</v>
      </c>
      <c r="AJ818">
        <v>1</v>
      </c>
      <c r="AK818">
        <v>0.02</v>
      </c>
      <c r="AL818">
        <v>16</v>
      </c>
      <c r="AM818">
        <v>0</v>
      </c>
      <c r="AN818">
        <v>0</v>
      </c>
      <c r="AO818">
        <v>0</v>
      </c>
      <c r="AP818">
        <v>1</v>
      </c>
      <c r="AQ818">
        <v>0.01</v>
      </c>
      <c r="AR818">
        <v>6</v>
      </c>
      <c r="AS818">
        <v>2</v>
      </c>
      <c r="AT818">
        <v>3</v>
      </c>
      <c r="AU818">
        <v>5</v>
      </c>
      <c r="AV818">
        <v>1</v>
      </c>
      <c r="AW818">
        <v>0.05</v>
      </c>
      <c r="AX818">
        <v>7</v>
      </c>
      <c r="AY818" s="1">
        <v>0</v>
      </c>
      <c r="AZ818">
        <v>3</v>
      </c>
      <c r="BA818">
        <v>1</v>
      </c>
      <c r="BB818">
        <v>1</v>
      </c>
      <c r="BC818" s="7">
        <v>0.32</v>
      </c>
      <c r="BD818">
        <v>30</v>
      </c>
      <c r="BE818">
        <v>0</v>
      </c>
      <c r="BF818">
        <v>0</v>
      </c>
      <c r="BG818">
        <v>0</v>
      </c>
      <c r="BH818">
        <v>5</v>
      </c>
      <c r="BI818">
        <v>2.4</v>
      </c>
      <c r="BJ818">
        <v>31</v>
      </c>
      <c r="BK818">
        <v>0</v>
      </c>
      <c r="BL818">
        <v>0</v>
      </c>
      <c r="BM818">
        <v>0</v>
      </c>
      <c r="BN818">
        <v>5</v>
      </c>
      <c r="BO818">
        <v>2.4</v>
      </c>
      <c r="BP818">
        <v>36</v>
      </c>
      <c r="BQ818">
        <v>0</v>
      </c>
      <c r="BR818">
        <v>0</v>
      </c>
      <c r="BS818">
        <v>0</v>
      </c>
      <c r="BT818">
        <v>5</v>
      </c>
      <c r="BU818">
        <v>2.1</v>
      </c>
    </row>
    <row r="819" spans="1:73" ht="14.25" x14ac:dyDescent="0.15">
      <c r="A819" s="12">
        <v>20116</v>
      </c>
      <c r="B819">
        <v>7</v>
      </c>
      <c r="C819" s="1">
        <v>45</v>
      </c>
      <c r="D819">
        <v>0</v>
      </c>
      <c r="E819">
        <v>0</v>
      </c>
      <c r="F819">
        <v>1</v>
      </c>
      <c r="G819" s="7">
        <v>0.05</v>
      </c>
      <c r="H819">
        <v>12</v>
      </c>
      <c r="I819">
        <v>0</v>
      </c>
      <c r="J819">
        <v>0</v>
      </c>
      <c r="K819">
        <v>0</v>
      </c>
      <c r="L819">
        <v>1</v>
      </c>
      <c r="M819">
        <v>2</v>
      </c>
      <c r="N819" s="7">
        <v>9</v>
      </c>
      <c r="O819" s="7">
        <v>0</v>
      </c>
      <c r="P819" s="7">
        <v>0</v>
      </c>
      <c r="Q819" s="7">
        <v>0</v>
      </c>
      <c r="R819" s="7">
        <v>1</v>
      </c>
      <c r="S819" s="7">
        <v>4.5</v>
      </c>
      <c r="T819">
        <v>7</v>
      </c>
      <c r="U819" s="1">
        <v>33</v>
      </c>
      <c r="V819">
        <v>0</v>
      </c>
      <c r="W819">
        <v>0</v>
      </c>
      <c r="X819">
        <v>1</v>
      </c>
      <c r="Y819">
        <v>0.16</v>
      </c>
      <c r="Z819">
        <v>23</v>
      </c>
      <c r="AA819">
        <v>0</v>
      </c>
      <c r="AB819">
        <v>0</v>
      </c>
      <c r="AC819">
        <v>0</v>
      </c>
      <c r="AD819">
        <v>1</v>
      </c>
      <c r="AE819">
        <v>0.05</v>
      </c>
      <c r="AF819">
        <v>15</v>
      </c>
      <c r="AG819">
        <v>0</v>
      </c>
      <c r="AH819">
        <v>0</v>
      </c>
      <c r="AI819">
        <v>0</v>
      </c>
      <c r="AJ819">
        <v>1</v>
      </c>
      <c r="AK819">
        <v>0.02</v>
      </c>
      <c r="AL819">
        <v>16</v>
      </c>
      <c r="AM819">
        <v>0</v>
      </c>
      <c r="AN819">
        <v>0</v>
      </c>
      <c r="AO819">
        <v>0</v>
      </c>
      <c r="AP819">
        <v>1</v>
      </c>
      <c r="AQ819">
        <v>0.01</v>
      </c>
      <c r="AX819">
        <v>7</v>
      </c>
      <c r="AY819" s="1">
        <v>17</v>
      </c>
      <c r="AZ819">
        <v>0</v>
      </c>
      <c r="BA819">
        <v>0</v>
      </c>
      <c r="BB819">
        <v>1</v>
      </c>
      <c r="BC819" s="7">
        <v>0.32</v>
      </c>
      <c r="BD819">
        <v>30</v>
      </c>
      <c r="BE819">
        <v>0</v>
      </c>
      <c r="BF819">
        <v>0</v>
      </c>
      <c r="BG819">
        <v>0</v>
      </c>
      <c r="BH819">
        <v>5</v>
      </c>
      <c r="BI819">
        <v>2.4</v>
      </c>
      <c r="BJ819">
        <v>31</v>
      </c>
      <c r="BK819">
        <v>0</v>
      </c>
      <c r="BL819">
        <v>0</v>
      </c>
      <c r="BM819">
        <v>0</v>
      </c>
      <c r="BN819">
        <v>5</v>
      </c>
      <c r="BO819">
        <v>2.4</v>
      </c>
      <c r="BP819">
        <v>36</v>
      </c>
      <c r="BQ819">
        <v>0</v>
      </c>
      <c r="BR819">
        <v>0</v>
      </c>
      <c r="BS819">
        <v>0</v>
      </c>
      <c r="BT819">
        <v>5</v>
      </c>
      <c r="BU819">
        <v>2.1</v>
      </c>
    </row>
    <row r="820" spans="1:73" ht="14.25" x14ac:dyDescent="0.15">
      <c r="A820" s="12">
        <v>20117</v>
      </c>
      <c r="B820">
        <v>7</v>
      </c>
      <c r="C820" s="1">
        <v>46</v>
      </c>
      <c r="D820">
        <v>0</v>
      </c>
      <c r="E820">
        <v>0</v>
      </c>
      <c r="F820">
        <v>1</v>
      </c>
      <c r="G820" s="7">
        <v>0.05</v>
      </c>
      <c r="H820">
        <v>12</v>
      </c>
      <c r="I820">
        <v>0</v>
      </c>
      <c r="J820">
        <v>0</v>
      </c>
      <c r="K820">
        <v>0</v>
      </c>
      <c r="L820">
        <v>1</v>
      </c>
      <c r="M820">
        <v>2</v>
      </c>
      <c r="N820" s="7">
        <v>9</v>
      </c>
      <c r="O820" s="7">
        <v>0</v>
      </c>
      <c r="P820" s="7">
        <v>0</v>
      </c>
      <c r="Q820" s="7">
        <v>0</v>
      </c>
      <c r="R820" s="7">
        <v>1</v>
      </c>
      <c r="S820" s="7">
        <v>4.5</v>
      </c>
      <c r="T820">
        <v>7</v>
      </c>
      <c r="U820" s="1">
        <v>34</v>
      </c>
      <c r="V820">
        <v>0</v>
      </c>
      <c r="W820">
        <v>0</v>
      </c>
      <c r="X820">
        <v>1</v>
      </c>
      <c r="Y820">
        <v>0.16</v>
      </c>
      <c r="Z820">
        <v>23</v>
      </c>
      <c r="AA820">
        <v>0</v>
      </c>
      <c r="AB820">
        <v>0</v>
      </c>
      <c r="AC820">
        <v>0</v>
      </c>
      <c r="AD820">
        <v>1</v>
      </c>
      <c r="AE820">
        <v>0.05</v>
      </c>
      <c r="AF820">
        <v>15</v>
      </c>
      <c r="AG820">
        <v>0</v>
      </c>
      <c r="AH820">
        <v>0</v>
      </c>
      <c r="AI820">
        <v>0</v>
      </c>
      <c r="AJ820">
        <v>1</v>
      </c>
      <c r="AK820">
        <v>0.02</v>
      </c>
      <c r="AL820">
        <v>16</v>
      </c>
      <c r="AM820">
        <v>0</v>
      </c>
      <c r="AN820">
        <v>0</v>
      </c>
      <c r="AO820">
        <v>0</v>
      </c>
      <c r="AP820">
        <v>1</v>
      </c>
      <c r="AQ820">
        <v>0.01</v>
      </c>
      <c r="AX820">
        <v>7</v>
      </c>
      <c r="AY820" s="1">
        <v>18</v>
      </c>
      <c r="AZ820">
        <v>0</v>
      </c>
      <c r="BA820">
        <v>0</v>
      </c>
      <c r="BB820">
        <v>1</v>
      </c>
      <c r="BC820" s="7">
        <v>0.32</v>
      </c>
      <c r="BD820">
        <v>30</v>
      </c>
      <c r="BE820">
        <v>0</v>
      </c>
      <c r="BF820">
        <v>0</v>
      </c>
      <c r="BG820">
        <v>0</v>
      </c>
      <c r="BH820">
        <v>5</v>
      </c>
      <c r="BI820">
        <v>2.4</v>
      </c>
      <c r="BJ820">
        <v>31</v>
      </c>
      <c r="BK820">
        <v>0</v>
      </c>
      <c r="BL820">
        <v>0</v>
      </c>
      <c r="BM820">
        <v>0</v>
      </c>
      <c r="BN820">
        <v>5</v>
      </c>
      <c r="BO820">
        <v>2.4</v>
      </c>
      <c r="BP820">
        <v>36</v>
      </c>
      <c r="BQ820">
        <v>0</v>
      </c>
      <c r="BR820">
        <v>0</v>
      </c>
      <c r="BS820">
        <v>0</v>
      </c>
      <c r="BT820">
        <v>5</v>
      </c>
      <c r="BU820">
        <v>2.1</v>
      </c>
    </row>
    <row r="821" spans="1:73" ht="14.25" x14ac:dyDescent="0.15">
      <c r="A821" s="12">
        <v>20118</v>
      </c>
      <c r="B821">
        <v>7</v>
      </c>
      <c r="C821" s="1">
        <v>47</v>
      </c>
      <c r="D821">
        <v>0</v>
      </c>
      <c r="E821">
        <v>0</v>
      </c>
      <c r="F821">
        <v>1</v>
      </c>
      <c r="G821" s="7">
        <v>0.05</v>
      </c>
      <c r="H821">
        <v>12</v>
      </c>
      <c r="I821">
        <v>0</v>
      </c>
      <c r="J821">
        <v>0</v>
      </c>
      <c r="K821">
        <v>0</v>
      </c>
      <c r="L821">
        <v>1</v>
      </c>
      <c r="M821">
        <v>2</v>
      </c>
      <c r="N821" s="7">
        <v>9</v>
      </c>
      <c r="O821" s="7">
        <v>0</v>
      </c>
      <c r="P821" s="7">
        <v>0</v>
      </c>
      <c r="Q821" s="7">
        <v>0</v>
      </c>
      <c r="R821" s="7">
        <v>1</v>
      </c>
      <c r="S821" s="7">
        <v>4.5</v>
      </c>
      <c r="T821">
        <v>7</v>
      </c>
      <c r="U821" s="1">
        <v>35</v>
      </c>
      <c r="V821">
        <v>0</v>
      </c>
      <c r="W821">
        <v>0</v>
      </c>
      <c r="X821">
        <v>1</v>
      </c>
      <c r="Y821">
        <v>0.16</v>
      </c>
      <c r="Z821">
        <v>23</v>
      </c>
      <c r="AA821">
        <v>0</v>
      </c>
      <c r="AB821">
        <v>0</v>
      </c>
      <c r="AC821">
        <v>0</v>
      </c>
      <c r="AD821">
        <v>1</v>
      </c>
      <c r="AE821">
        <v>0.05</v>
      </c>
      <c r="AF821">
        <v>15</v>
      </c>
      <c r="AG821">
        <v>0</v>
      </c>
      <c r="AH821">
        <v>0</v>
      </c>
      <c r="AI821">
        <v>0</v>
      </c>
      <c r="AJ821">
        <v>1</v>
      </c>
      <c r="AK821">
        <v>0.02</v>
      </c>
      <c r="AL821">
        <v>16</v>
      </c>
      <c r="AM821">
        <v>0</v>
      </c>
      <c r="AN821">
        <v>0</v>
      </c>
      <c r="AO821">
        <v>0</v>
      </c>
      <c r="AP821">
        <v>1</v>
      </c>
      <c r="AQ821">
        <v>0.01</v>
      </c>
      <c r="AX821">
        <v>7</v>
      </c>
      <c r="AY821" s="1">
        <v>19</v>
      </c>
      <c r="AZ821">
        <v>0</v>
      </c>
      <c r="BA821">
        <v>0</v>
      </c>
      <c r="BB821">
        <v>1</v>
      </c>
      <c r="BC821" s="7">
        <v>0.32</v>
      </c>
      <c r="BD821">
        <v>30</v>
      </c>
      <c r="BE821">
        <v>0</v>
      </c>
      <c r="BF821">
        <v>0</v>
      </c>
      <c r="BG821">
        <v>0</v>
      </c>
      <c r="BH821">
        <v>5</v>
      </c>
      <c r="BI821">
        <v>2.4</v>
      </c>
      <c r="BJ821">
        <v>31</v>
      </c>
      <c r="BK821">
        <v>0</v>
      </c>
      <c r="BL821">
        <v>0</v>
      </c>
      <c r="BM821">
        <v>0</v>
      </c>
      <c r="BN821">
        <v>5</v>
      </c>
      <c r="BO821">
        <v>2.4</v>
      </c>
      <c r="BP821">
        <v>36</v>
      </c>
      <c r="BQ821">
        <v>0</v>
      </c>
      <c r="BR821">
        <v>0</v>
      </c>
      <c r="BS821">
        <v>0</v>
      </c>
      <c r="BT821">
        <v>5</v>
      </c>
      <c r="BU821">
        <v>2.1</v>
      </c>
    </row>
    <row r="822" spans="1:73" ht="14.25" x14ac:dyDescent="0.15">
      <c r="A822" s="12">
        <v>20119</v>
      </c>
      <c r="B822">
        <v>7</v>
      </c>
      <c r="C822" s="1">
        <v>48</v>
      </c>
      <c r="D822">
        <v>0</v>
      </c>
      <c r="E822">
        <v>0</v>
      </c>
      <c r="F822">
        <v>1</v>
      </c>
      <c r="G822" s="7">
        <v>0.05</v>
      </c>
      <c r="H822">
        <v>12</v>
      </c>
      <c r="I822">
        <v>0</v>
      </c>
      <c r="J822">
        <v>0</v>
      </c>
      <c r="K822">
        <v>0</v>
      </c>
      <c r="L822">
        <v>1</v>
      </c>
      <c r="M822">
        <v>2</v>
      </c>
      <c r="N822" s="7">
        <v>9</v>
      </c>
      <c r="O822" s="7">
        <v>0</v>
      </c>
      <c r="P822" s="7">
        <v>0</v>
      </c>
      <c r="Q822" s="7">
        <v>0</v>
      </c>
      <c r="R822" s="7">
        <v>1</v>
      </c>
      <c r="S822" s="7">
        <v>4.5</v>
      </c>
      <c r="T822">
        <v>7</v>
      </c>
      <c r="U822" s="1">
        <v>36</v>
      </c>
      <c r="V822">
        <v>0</v>
      </c>
      <c r="W822">
        <v>0</v>
      </c>
      <c r="X822">
        <v>1</v>
      </c>
      <c r="Y822">
        <v>0.16</v>
      </c>
      <c r="Z822">
        <v>23</v>
      </c>
      <c r="AA822">
        <v>0</v>
      </c>
      <c r="AB822">
        <v>0</v>
      </c>
      <c r="AC822">
        <v>0</v>
      </c>
      <c r="AD822">
        <v>1</v>
      </c>
      <c r="AE822">
        <v>0.05</v>
      </c>
      <c r="AF822">
        <v>15</v>
      </c>
      <c r="AG822">
        <v>0</v>
      </c>
      <c r="AH822">
        <v>0</v>
      </c>
      <c r="AI822">
        <v>0</v>
      </c>
      <c r="AJ822">
        <v>1</v>
      </c>
      <c r="AK822">
        <v>0.02</v>
      </c>
      <c r="AL822">
        <v>16</v>
      </c>
      <c r="AM822">
        <v>0</v>
      </c>
      <c r="AN822">
        <v>0</v>
      </c>
      <c r="AO822">
        <v>0</v>
      </c>
      <c r="AP822">
        <v>1</v>
      </c>
      <c r="AQ822">
        <v>0.01</v>
      </c>
      <c r="AX822">
        <v>7</v>
      </c>
      <c r="AY822" s="1">
        <v>20</v>
      </c>
      <c r="AZ822">
        <v>0</v>
      </c>
      <c r="BA822">
        <v>0</v>
      </c>
      <c r="BB822">
        <v>1</v>
      </c>
      <c r="BC822" s="7">
        <v>0.32</v>
      </c>
      <c r="BD822">
        <v>30</v>
      </c>
      <c r="BE822">
        <v>0</v>
      </c>
      <c r="BF822">
        <v>0</v>
      </c>
      <c r="BG822">
        <v>0</v>
      </c>
      <c r="BH822">
        <v>5</v>
      </c>
      <c r="BI822">
        <v>2.4</v>
      </c>
      <c r="BJ822">
        <v>31</v>
      </c>
      <c r="BK822">
        <v>0</v>
      </c>
      <c r="BL822">
        <v>0</v>
      </c>
      <c r="BM822">
        <v>0</v>
      </c>
      <c r="BN822">
        <v>5</v>
      </c>
      <c r="BO822">
        <v>2.4</v>
      </c>
      <c r="BP822">
        <v>36</v>
      </c>
      <c r="BQ822">
        <v>0</v>
      </c>
      <c r="BR822">
        <v>0</v>
      </c>
      <c r="BS822">
        <v>0</v>
      </c>
      <c r="BT822">
        <v>5</v>
      </c>
      <c r="BU822">
        <v>2.1</v>
      </c>
    </row>
    <row r="823" spans="1:73" ht="14.25" x14ac:dyDescent="0.15">
      <c r="A823" s="12">
        <v>20120</v>
      </c>
      <c r="B823">
        <v>7</v>
      </c>
      <c r="C823" s="1">
        <v>0</v>
      </c>
      <c r="D823">
        <v>5</v>
      </c>
      <c r="E823">
        <v>1</v>
      </c>
      <c r="F823">
        <v>1</v>
      </c>
      <c r="G823" s="7">
        <v>0.05</v>
      </c>
      <c r="H823">
        <v>12</v>
      </c>
      <c r="I823">
        <v>0</v>
      </c>
      <c r="J823">
        <v>0</v>
      </c>
      <c r="K823">
        <v>0</v>
      </c>
      <c r="L823">
        <v>1</v>
      </c>
      <c r="M823">
        <v>2</v>
      </c>
      <c r="N823" s="7">
        <v>9</v>
      </c>
      <c r="O823" s="7">
        <v>0</v>
      </c>
      <c r="P823" s="7">
        <v>0</v>
      </c>
      <c r="Q823" s="7">
        <v>0</v>
      </c>
      <c r="R823" s="7">
        <v>1</v>
      </c>
      <c r="S823" s="7">
        <v>4.5</v>
      </c>
      <c r="T823">
        <v>7</v>
      </c>
      <c r="U823" s="1">
        <v>0</v>
      </c>
      <c r="V823">
        <v>4</v>
      </c>
      <c r="W823">
        <v>2</v>
      </c>
      <c r="X823">
        <v>1</v>
      </c>
      <c r="Y823">
        <v>0.16</v>
      </c>
      <c r="Z823">
        <v>23</v>
      </c>
      <c r="AA823">
        <v>0</v>
      </c>
      <c r="AB823">
        <v>0</v>
      </c>
      <c r="AC823">
        <v>0</v>
      </c>
      <c r="AD823">
        <v>1</v>
      </c>
      <c r="AE823">
        <v>0.05</v>
      </c>
      <c r="AF823">
        <v>15</v>
      </c>
      <c r="AG823">
        <v>0</v>
      </c>
      <c r="AH823">
        <v>0</v>
      </c>
      <c r="AI823">
        <v>0</v>
      </c>
      <c r="AJ823">
        <v>1</v>
      </c>
      <c r="AK823">
        <v>0.02</v>
      </c>
      <c r="AL823">
        <v>16</v>
      </c>
      <c r="AM823">
        <v>0</v>
      </c>
      <c r="AN823">
        <v>0</v>
      </c>
      <c r="AO823">
        <v>0</v>
      </c>
      <c r="AP823">
        <v>1</v>
      </c>
      <c r="AQ823">
        <v>0.01</v>
      </c>
      <c r="AR823">
        <v>6</v>
      </c>
      <c r="AS823">
        <v>2</v>
      </c>
      <c r="AT823">
        <v>4</v>
      </c>
      <c r="AU823">
        <v>5</v>
      </c>
      <c r="AV823">
        <v>1</v>
      </c>
      <c r="AW823">
        <v>0.01</v>
      </c>
      <c r="AX823">
        <v>7</v>
      </c>
      <c r="AY823" s="1">
        <v>0</v>
      </c>
      <c r="AZ823">
        <v>3</v>
      </c>
      <c r="BA823">
        <v>1</v>
      </c>
      <c r="BB823">
        <v>1</v>
      </c>
      <c r="BC823" s="7">
        <v>0.32</v>
      </c>
      <c r="BD823">
        <v>30</v>
      </c>
      <c r="BE823">
        <v>0</v>
      </c>
      <c r="BF823">
        <v>0</v>
      </c>
      <c r="BG823">
        <v>0</v>
      </c>
      <c r="BH823">
        <v>5</v>
      </c>
      <c r="BI823">
        <v>2.4</v>
      </c>
      <c r="BJ823">
        <v>31</v>
      </c>
      <c r="BK823">
        <v>0</v>
      </c>
      <c r="BL823">
        <v>0</v>
      </c>
      <c r="BM823">
        <v>0</v>
      </c>
      <c r="BN823">
        <v>5</v>
      </c>
      <c r="BO823">
        <v>2.4</v>
      </c>
      <c r="BP823">
        <v>36</v>
      </c>
      <c r="BQ823">
        <v>0</v>
      </c>
      <c r="BR823">
        <v>0</v>
      </c>
      <c r="BS823">
        <v>0</v>
      </c>
      <c r="BT823">
        <v>5</v>
      </c>
      <c r="BU823">
        <v>2.1</v>
      </c>
    </row>
    <row r="824" spans="1:73" ht="14.25" x14ac:dyDescent="0.15">
      <c r="A824" s="12">
        <v>20121</v>
      </c>
      <c r="B824">
        <v>7</v>
      </c>
      <c r="C824" s="1">
        <v>45</v>
      </c>
      <c r="D824">
        <v>0</v>
      </c>
      <c r="E824">
        <v>0</v>
      </c>
      <c r="F824">
        <v>1</v>
      </c>
      <c r="G824" s="7">
        <v>0.05</v>
      </c>
      <c r="H824">
        <v>12</v>
      </c>
      <c r="I824">
        <v>0</v>
      </c>
      <c r="J824">
        <v>0</v>
      </c>
      <c r="K824">
        <v>0</v>
      </c>
      <c r="L824">
        <v>1</v>
      </c>
      <c r="M824">
        <v>2</v>
      </c>
      <c r="N824" s="7">
        <v>9</v>
      </c>
      <c r="O824" s="7">
        <v>0</v>
      </c>
      <c r="P824" s="7">
        <v>0</v>
      </c>
      <c r="Q824" s="7">
        <v>0</v>
      </c>
      <c r="R824" s="7">
        <v>1</v>
      </c>
      <c r="S824" s="7">
        <v>4.5</v>
      </c>
      <c r="T824">
        <v>7</v>
      </c>
      <c r="U824" s="1">
        <v>33</v>
      </c>
      <c r="V824">
        <v>0</v>
      </c>
      <c r="W824">
        <v>0</v>
      </c>
      <c r="X824">
        <v>1</v>
      </c>
      <c r="Y824">
        <v>0.16</v>
      </c>
      <c r="Z824">
        <v>23</v>
      </c>
      <c r="AA824">
        <v>0</v>
      </c>
      <c r="AB824">
        <v>0</v>
      </c>
      <c r="AC824">
        <v>0</v>
      </c>
      <c r="AD824">
        <v>1</v>
      </c>
      <c r="AE824">
        <v>0.05</v>
      </c>
      <c r="AF824">
        <v>15</v>
      </c>
      <c r="AG824">
        <v>0</v>
      </c>
      <c r="AH824">
        <v>0</v>
      </c>
      <c r="AI824">
        <v>0</v>
      </c>
      <c r="AJ824">
        <v>1</v>
      </c>
      <c r="AK824">
        <v>0.02</v>
      </c>
      <c r="AL824">
        <v>16</v>
      </c>
      <c r="AM824">
        <v>0</v>
      </c>
      <c r="AN824">
        <v>0</v>
      </c>
      <c r="AO824">
        <v>0</v>
      </c>
      <c r="AP824">
        <v>1</v>
      </c>
      <c r="AQ824">
        <v>0.01</v>
      </c>
      <c r="AX824">
        <v>7</v>
      </c>
      <c r="AY824" s="1">
        <v>17</v>
      </c>
      <c r="AZ824">
        <v>0</v>
      </c>
      <c r="BA824">
        <v>0</v>
      </c>
      <c r="BB824">
        <v>1</v>
      </c>
      <c r="BC824" s="7">
        <v>0.32</v>
      </c>
      <c r="BD824">
        <v>30</v>
      </c>
      <c r="BE824">
        <v>0</v>
      </c>
      <c r="BF824">
        <v>0</v>
      </c>
      <c r="BG824">
        <v>0</v>
      </c>
      <c r="BH824">
        <v>5</v>
      </c>
      <c r="BI824">
        <v>2.4</v>
      </c>
      <c r="BJ824">
        <v>31</v>
      </c>
      <c r="BK824">
        <v>0</v>
      </c>
      <c r="BL824">
        <v>0</v>
      </c>
      <c r="BM824">
        <v>0</v>
      </c>
      <c r="BN824">
        <v>5</v>
      </c>
      <c r="BO824">
        <v>2.4</v>
      </c>
      <c r="BP824">
        <v>36</v>
      </c>
      <c r="BQ824">
        <v>0</v>
      </c>
      <c r="BR824">
        <v>0</v>
      </c>
      <c r="BS824">
        <v>0</v>
      </c>
      <c r="BT824">
        <v>5</v>
      </c>
      <c r="BU824">
        <v>2.1</v>
      </c>
    </row>
    <row r="825" spans="1:73" ht="14.25" x14ac:dyDescent="0.15">
      <c r="A825" s="12">
        <v>20122</v>
      </c>
      <c r="B825">
        <v>7</v>
      </c>
      <c r="C825" s="1">
        <v>46</v>
      </c>
      <c r="D825">
        <v>0</v>
      </c>
      <c r="E825">
        <v>0</v>
      </c>
      <c r="F825">
        <v>1</v>
      </c>
      <c r="G825" s="7">
        <v>0.05</v>
      </c>
      <c r="H825">
        <v>12</v>
      </c>
      <c r="I825">
        <v>0</v>
      </c>
      <c r="J825">
        <v>0</v>
      </c>
      <c r="K825">
        <v>0</v>
      </c>
      <c r="L825">
        <v>1</v>
      </c>
      <c r="M825">
        <v>2</v>
      </c>
      <c r="N825" s="7">
        <v>9</v>
      </c>
      <c r="O825" s="7">
        <v>0</v>
      </c>
      <c r="P825" s="7">
        <v>0</v>
      </c>
      <c r="Q825" s="7">
        <v>0</v>
      </c>
      <c r="R825" s="7">
        <v>1</v>
      </c>
      <c r="S825" s="7">
        <v>4.5</v>
      </c>
      <c r="T825">
        <v>7</v>
      </c>
      <c r="U825" s="1">
        <v>34</v>
      </c>
      <c r="V825">
        <v>0</v>
      </c>
      <c r="W825">
        <v>0</v>
      </c>
      <c r="X825">
        <v>1</v>
      </c>
      <c r="Y825">
        <v>0.16</v>
      </c>
      <c r="Z825">
        <v>23</v>
      </c>
      <c r="AA825">
        <v>0</v>
      </c>
      <c r="AB825">
        <v>0</v>
      </c>
      <c r="AC825">
        <v>0</v>
      </c>
      <c r="AD825">
        <v>1</v>
      </c>
      <c r="AE825">
        <v>0.05</v>
      </c>
      <c r="AF825">
        <v>15</v>
      </c>
      <c r="AG825">
        <v>0</v>
      </c>
      <c r="AH825">
        <v>0</v>
      </c>
      <c r="AI825">
        <v>0</v>
      </c>
      <c r="AJ825">
        <v>1</v>
      </c>
      <c r="AK825">
        <v>0.02</v>
      </c>
      <c r="AL825">
        <v>16</v>
      </c>
      <c r="AM825">
        <v>0</v>
      </c>
      <c r="AN825">
        <v>0</v>
      </c>
      <c r="AO825">
        <v>0</v>
      </c>
      <c r="AP825">
        <v>1</v>
      </c>
      <c r="AQ825">
        <v>0.01</v>
      </c>
      <c r="AX825">
        <v>7</v>
      </c>
      <c r="AY825" s="1">
        <v>18</v>
      </c>
      <c r="AZ825">
        <v>0</v>
      </c>
      <c r="BA825">
        <v>0</v>
      </c>
      <c r="BB825">
        <v>1</v>
      </c>
      <c r="BC825" s="7">
        <v>0.32</v>
      </c>
      <c r="BD825">
        <v>30</v>
      </c>
      <c r="BE825">
        <v>0</v>
      </c>
      <c r="BF825">
        <v>0</v>
      </c>
      <c r="BG825">
        <v>0</v>
      </c>
      <c r="BH825">
        <v>5</v>
      </c>
      <c r="BI825">
        <v>2.4</v>
      </c>
      <c r="BJ825">
        <v>31</v>
      </c>
      <c r="BK825">
        <v>0</v>
      </c>
      <c r="BL825">
        <v>0</v>
      </c>
      <c r="BM825">
        <v>0</v>
      </c>
      <c r="BN825">
        <v>5</v>
      </c>
      <c r="BO825">
        <v>2.4</v>
      </c>
      <c r="BP825">
        <v>36</v>
      </c>
      <c r="BQ825">
        <v>0</v>
      </c>
      <c r="BR825">
        <v>0</v>
      </c>
      <c r="BS825">
        <v>0</v>
      </c>
      <c r="BT825">
        <v>5</v>
      </c>
      <c r="BU825">
        <v>2.1</v>
      </c>
    </row>
    <row r="826" spans="1:73" ht="14.25" x14ac:dyDescent="0.15">
      <c r="A826" s="12">
        <v>20123</v>
      </c>
      <c r="B826">
        <v>7</v>
      </c>
      <c r="C826" s="1">
        <v>47</v>
      </c>
      <c r="D826">
        <v>0</v>
      </c>
      <c r="E826">
        <v>0</v>
      </c>
      <c r="F826">
        <v>1</v>
      </c>
      <c r="G826" s="7">
        <v>0.05</v>
      </c>
      <c r="H826">
        <v>12</v>
      </c>
      <c r="I826">
        <v>0</v>
      </c>
      <c r="J826">
        <v>0</v>
      </c>
      <c r="K826">
        <v>0</v>
      </c>
      <c r="L826">
        <v>1</v>
      </c>
      <c r="M826">
        <v>2</v>
      </c>
      <c r="N826" s="7">
        <v>9</v>
      </c>
      <c r="O826" s="7">
        <v>0</v>
      </c>
      <c r="P826" s="7">
        <v>0</v>
      </c>
      <c r="Q826" s="7">
        <v>0</v>
      </c>
      <c r="R826" s="7">
        <v>1</v>
      </c>
      <c r="S826" s="7">
        <v>4.5</v>
      </c>
      <c r="T826">
        <v>7</v>
      </c>
      <c r="U826" s="1">
        <v>35</v>
      </c>
      <c r="V826">
        <v>0</v>
      </c>
      <c r="W826">
        <v>0</v>
      </c>
      <c r="X826">
        <v>1</v>
      </c>
      <c r="Y826">
        <v>0.16</v>
      </c>
      <c r="Z826">
        <v>23</v>
      </c>
      <c r="AA826">
        <v>0</v>
      </c>
      <c r="AB826">
        <v>0</v>
      </c>
      <c r="AC826">
        <v>0</v>
      </c>
      <c r="AD826">
        <v>1</v>
      </c>
      <c r="AE826">
        <v>0.05</v>
      </c>
      <c r="AF826">
        <v>15</v>
      </c>
      <c r="AG826">
        <v>0</v>
      </c>
      <c r="AH826">
        <v>0</v>
      </c>
      <c r="AI826">
        <v>0</v>
      </c>
      <c r="AJ826">
        <v>1</v>
      </c>
      <c r="AK826">
        <v>0.02</v>
      </c>
      <c r="AL826">
        <v>16</v>
      </c>
      <c r="AM826">
        <v>0</v>
      </c>
      <c r="AN826">
        <v>0</v>
      </c>
      <c r="AO826">
        <v>0</v>
      </c>
      <c r="AP826">
        <v>1</v>
      </c>
      <c r="AQ826">
        <v>0.01</v>
      </c>
      <c r="AX826">
        <v>7</v>
      </c>
      <c r="AY826" s="1">
        <v>19</v>
      </c>
      <c r="AZ826">
        <v>0</v>
      </c>
      <c r="BA826">
        <v>0</v>
      </c>
      <c r="BB826">
        <v>1</v>
      </c>
      <c r="BC826" s="7">
        <v>0.32</v>
      </c>
      <c r="BD826">
        <v>30</v>
      </c>
      <c r="BE826">
        <v>0</v>
      </c>
      <c r="BF826">
        <v>0</v>
      </c>
      <c r="BG826">
        <v>0</v>
      </c>
      <c r="BH826">
        <v>5</v>
      </c>
      <c r="BI826">
        <v>2.4</v>
      </c>
      <c r="BJ826">
        <v>31</v>
      </c>
      <c r="BK826">
        <v>0</v>
      </c>
      <c r="BL826">
        <v>0</v>
      </c>
      <c r="BM826">
        <v>0</v>
      </c>
      <c r="BN826">
        <v>5</v>
      </c>
      <c r="BO826">
        <v>2.4</v>
      </c>
      <c r="BP826">
        <v>36</v>
      </c>
      <c r="BQ826">
        <v>0</v>
      </c>
      <c r="BR826">
        <v>0</v>
      </c>
      <c r="BS826">
        <v>0</v>
      </c>
      <c r="BT826">
        <v>5</v>
      </c>
      <c r="BU826">
        <v>2.1</v>
      </c>
    </row>
    <row r="827" spans="1:73" ht="14.25" x14ac:dyDescent="0.15">
      <c r="A827" s="12">
        <v>20124</v>
      </c>
      <c r="B827">
        <v>7</v>
      </c>
      <c r="C827" s="1">
        <v>48</v>
      </c>
      <c r="D827">
        <v>0</v>
      </c>
      <c r="E827">
        <v>0</v>
      </c>
      <c r="F827">
        <v>1</v>
      </c>
      <c r="G827" s="7">
        <v>0.05</v>
      </c>
      <c r="H827">
        <v>12</v>
      </c>
      <c r="I827">
        <v>0</v>
      </c>
      <c r="J827">
        <v>0</v>
      </c>
      <c r="K827">
        <v>0</v>
      </c>
      <c r="L827">
        <v>1</v>
      </c>
      <c r="M827">
        <v>2</v>
      </c>
      <c r="N827" s="7">
        <v>9</v>
      </c>
      <c r="O827" s="7">
        <v>0</v>
      </c>
      <c r="P827" s="7">
        <v>0</v>
      </c>
      <c r="Q827" s="7">
        <v>0</v>
      </c>
      <c r="R827" s="7">
        <v>1</v>
      </c>
      <c r="S827" s="7">
        <v>4.5</v>
      </c>
      <c r="T827">
        <v>7</v>
      </c>
      <c r="U827" s="1">
        <v>36</v>
      </c>
      <c r="V827">
        <v>0</v>
      </c>
      <c r="W827">
        <v>0</v>
      </c>
      <c r="X827">
        <v>1</v>
      </c>
      <c r="Y827">
        <v>0.16</v>
      </c>
      <c r="Z827">
        <v>23</v>
      </c>
      <c r="AA827">
        <v>0</v>
      </c>
      <c r="AB827">
        <v>0</v>
      </c>
      <c r="AC827">
        <v>0</v>
      </c>
      <c r="AD827">
        <v>1</v>
      </c>
      <c r="AE827">
        <v>0.05</v>
      </c>
      <c r="AF827">
        <v>15</v>
      </c>
      <c r="AG827">
        <v>0</v>
      </c>
      <c r="AH827">
        <v>0</v>
      </c>
      <c r="AI827">
        <v>0</v>
      </c>
      <c r="AJ827">
        <v>1</v>
      </c>
      <c r="AK827">
        <v>0.02</v>
      </c>
      <c r="AL827">
        <v>16</v>
      </c>
      <c r="AM827">
        <v>0</v>
      </c>
      <c r="AN827">
        <v>0</v>
      </c>
      <c r="AO827">
        <v>0</v>
      </c>
      <c r="AP827">
        <v>1</v>
      </c>
      <c r="AQ827">
        <v>0.01</v>
      </c>
      <c r="AX827">
        <v>7</v>
      </c>
      <c r="AY827" s="1">
        <v>20</v>
      </c>
      <c r="AZ827">
        <v>0</v>
      </c>
      <c r="BA827">
        <v>0</v>
      </c>
      <c r="BB827">
        <v>1</v>
      </c>
      <c r="BC827" s="7">
        <v>0.32</v>
      </c>
      <c r="BD827">
        <v>30</v>
      </c>
      <c r="BE827">
        <v>0</v>
      </c>
      <c r="BF827">
        <v>0</v>
      </c>
      <c r="BG827">
        <v>0</v>
      </c>
      <c r="BH827">
        <v>5</v>
      </c>
      <c r="BI827">
        <v>2.4</v>
      </c>
      <c r="BJ827">
        <v>31</v>
      </c>
      <c r="BK827">
        <v>0</v>
      </c>
      <c r="BL827">
        <v>0</v>
      </c>
      <c r="BM827">
        <v>0</v>
      </c>
      <c r="BN827">
        <v>5</v>
      </c>
      <c r="BO827">
        <v>2.4</v>
      </c>
      <c r="BP827">
        <v>36</v>
      </c>
      <c r="BQ827">
        <v>0</v>
      </c>
      <c r="BR827">
        <v>0</v>
      </c>
      <c r="BS827">
        <v>0</v>
      </c>
      <c r="BT827">
        <v>5</v>
      </c>
      <c r="BU827">
        <v>2.1</v>
      </c>
    </row>
    <row r="828" spans="1:73" ht="14.25" x14ac:dyDescent="0.15">
      <c r="A828" s="12">
        <v>20125</v>
      </c>
      <c r="B828">
        <v>7</v>
      </c>
      <c r="C828" s="1">
        <v>0</v>
      </c>
      <c r="D828">
        <v>5</v>
      </c>
      <c r="E828">
        <v>1</v>
      </c>
      <c r="F828">
        <v>1</v>
      </c>
      <c r="G828" s="7">
        <v>0.05</v>
      </c>
      <c r="H828">
        <v>12</v>
      </c>
      <c r="I828">
        <v>0</v>
      </c>
      <c r="J828">
        <v>0</v>
      </c>
      <c r="K828">
        <v>0</v>
      </c>
      <c r="L828">
        <v>1</v>
      </c>
      <c r="M828">
        <v>2</v>
      </c>
      <c r="N828" s="7">
        <v>9</v>
      </c>
      <c r="O828" s="7">
        <v>0</v>
      </c>
      <c r="P828" s="7">
        <v>0</v>
      </c>
      <c r="Q828" s="7">
        <v>0</v>
      </c>
      <c r="R828" s="7">
        <v>1</v>
      </c>
      <c r="S828" s="7">
        <v>4.5</v>
      </c>
      <c r="T828">
        <v>7</v>
      </c>
      <c r="U828" s="1">
        <v>0</v>
      </c>
      <c r="V828">
        <v>4</v>
      </c>
      <c r="W828">
        <v>2</v>
      </c>
      <c r="X828">
        <v>1</v>
      </c>
      <c r="Y828">
        <v>0.16</v>
      </c>
      <c r="Z828">
        <v>23</v>
      </c>
      <c r="AA828">
        <v>0</v>
      </c>
      <c r="AB828">
        <v>0</v>
      </c>
      <c r="AC828">
        <v>0</v>
      </c>
      <c r="AD828">
        <v>1</v>
      </c>
      <c r="AE828">
        <v>0.05</v>
      </c>
      <c r="AF828">
        <v>15</v>
      </c>
      <c r="AG828">
        <v>0</v>
      </c>
      <c r="AH828">
        <v>0</v>
      </c>
      <c r="AI828">
        <v>0</v>
      </c>
      <c r="AJ828">
        <v>1</v>
      </c>
      <c r="AK828">
        <v>0.02</v>
      </c>
      <c r="AL828">
        <v>16</v>
      </c>
      <c r="AM828">
        <v>0</v>
      </c>
      <c r="AN828">
        <v>0</v>
      </c>
      <c r="AO828">
        <v>0</v>
      </c>
      <c r="AP828">
        <v>1</v>
      </c>
      <c r="AQ828">
        <v>0.01</v>
      </c>
      <c r="AR828">
        <v>6</v>
      </c>
      <c r="AS828">
        <v>2</v>
      </c>
      <c r="AT828">
        <v>5</v>
      </c>
      <c r="AU828">
        <v>5</v>
      </c>
      <c r="AV828">
        <v>1</v>
      </c>
      <c r="AW828">
        <v>0.01</v>
      </c>
      <c r="AX828">
        <v>7</v>
      </c>
      <c r="AY828" s="1">
        <v>0</v>
      </c>
      <c r="AZ828">
        <v>3</v>
      </c>
      <c r="BA828">
        <v>1</v>
      </c>
      <c r="BB828">
        <v>1</v>
      </c>
      <c r="BC828" s="7">
        <v>0.32</v>
      </c>
      <c r="BD828">
        <v>30</v>
      </c>
      <c r="BE828">
        <v>0</v>
      </c>
      <c r="BF828">
        <v>0</v>
      </c>
      <c r="BG828">
        <v>0</v>
      </c>
      <c r="BH828">
        <v>5</v>
      </c>
      <c r="BI828">
        <v>2.4</v>
      </c>
      <c r="BJ828">
        <v>31</v>
      </c>
      <c r="BK828">
        <v>0</v>
      </c>
      <c r="BL828">
        <v>0</v>
      </c>
      <c r="BM828">
        <v>0</v>
      </c>
      <c r="BN828">
        <v>5</v>
      </c>
      <c r="BO828">
        <v>2.4</v>
      </c>
      <c r="BP828">
        <v>36</v>
      </c>
      <c r="BQ828">
        <v>0</v>
      </c>
      <c r="BR828">
        <v>0</v>
      </c>
      <c r="BS828">
        <v>0</v>
      </c>
      <c r="BT828">
        <v>5</v>
      </c>
      <c r="BU828">
        <v>2.1</v>
      </c>
    </row>
    <row r="829" spans="1:73" ht="14.25" x14ac:dyDescent="0.15">
      <c r="A829" s="12">
        <v>20126</v>
      </c>
      <c r="B829">
        <v>7</v>
      </c>
      <c r="C829" s="1">
        <v>45</v>
      </c>
      <c r="D829">
        <v>0</v>
      </c>
      <c r="E829">
        <v>0</v>
      </c>
      <c r="F829">
        <v>1</v>
      </c>
      <c r="G829" s="7">
        <v>0.05</v>
      </c>
      <c r="H829">
        <v>12</v>
      </c>
      <c r="I829">
        <v>0</v>
      </c>
      <c r="J829">
        <v>0</v>
      </c>
      <c r="K829">
        <v>0</v>
      </c>
      <c r="L829">
        <v>1</v>
      </c>
      <c r="M829">
        <v>2</v>
      </c>
      <c r="N829" s="7">
        <v>9</v>
      </c>
      <c r="O829" s="7">
        <v>0</v>
      </c>
      <c r="P829" s="7">
        <v>0</v>
      </c>
      <c r="Q829" s="7">
        <v>0</v>
      </c>
      <c r="R829" s="7">
        <v>1</v>
      </c>
      <c r="S829" s="7">
        <v>4.5</v>
      </c>
      <c r="T829">
        <v>7</v>
      </c>
      <c r="U829" s="1">
        <v>33</v>
      </c>
      <c r="V829">
        <v>0</v>
      </c>
      <c r="W829">
        <v>0</v>
      </c>
      <c r="X829">
        <v>1</v>
      </c>
      <c r="Y829">
        <v>0.16</v>
      </c>
      <c r="Z829">
        <v>23</v>
      </c>
      <c r="AA829">
        <v>0</v>
      </c>
      <c r="AB829">
        <v>0</v>
      </c>
      <c r="AC829">
        <v>0</v>
      </c>
      <c r="AD829">
        <v>1</v>
      </c>
      <c r="AE829">
        <v>0.05</v>
      </c>
      <c r="AF829">
        <v>15</v>
      </c>
      <c r="AG829">
        <v>0</v>
      </c>
      <c r="AH829">
        <v>0</v>
      </c>
      <c r="AI829">
        <v>0</v>
      </c>
      <c r="AJ829">
        <v>1</v>
      </c>
      <c r="AK829">
        <v>0.02</v>
      </c>
      <c r="AL829">
        <v>16</v>
      </c>
      <c r="AM829">
        <v>0</v>
      </c>
      <c r="AN829">
        <v>0</v>
      </c>
      <c r="AO829">
        <v>0</v>
      </c>
      <c r="AP829">
        <v>1</v>
      </c>
      <c r="AQ829">
        <v>0.01</v>
      </c>
      <c r="AX829">
        <v>7</v>
      </c>
      <c r="AY829" s="1">
        <v>17</v>
      </c>
      <c r="AZ829">
        <v>0</v>
      </c>
      <c r="BA829">
        <v>0</v>
      </c>
      <c r="BB829">
        <v>1</v>
      </c>
      <c r="BC829" s="7">
        <v>0.32</v>
      </c>
      <c r="BD829">
        <v>30</v>
      </c>
      <c r="BE829">
        <v>0</v>
      </c>
      <c r="BF829">
        <v>0</v>
      </c>
      <c r="BG829">
        <v>0</v>
      </c>
      <c r="BH829">
        <v>5</v>
      </c>
      <c r="BI829">
        <v>2.4</v>
      </c>
      <c r="BJ829">
        <v>31</v>
      </c>
      <c r="BK829">
        <v>0</v>
      </c>
      <c r="BL829">
        <v>0</v>
      </c>
      <c r="BM829">
        <v>0</v>
      </c>
      <c r="BN829">
        <v>5</v>
      </c>
      <c r="BO829">
        <v>2.4</v>
      </c>
      <c r="BP829">
        <v>36</v>
      </c>
      <c r="BQ829">
        <v>0</v>
      </c>
      <c r="BR829">
        <v>0</v>
      </c>
      <c r="BS829">
        <v>0</v>
      </c>
      <c r="BT829">
        <v>5</v>
      </c>
      <c r="BU829">
        <v>2.1</v>
      </c>
    </row>
    <row r="830" spans="1:73" ht="14.25" x14ac:dyDescent="0.15">
      <c r="A830" s="12">
        <v>20127</v>
      </c>
      <c r="B830">
        <v>7</v>
      </c>
      <c r="C830" s="1">
        <v>46</v>
      </c>
      <c r="D830">
        <v>0</v>
      </c>
      <c r="E830">
        <v>0</v>
      </c>
      <c r="F830">
        <v>1</v>
      </c>
      <c r="G830" s="7">
        <v>0.05</v>
      </c>
      <c r="H830">
        <v>12</v>
      </c>
      <c r="I830">
        <v>0</v>
      </c>
      <c r="J830">
        <v>0</v>
      </c>
      <c r="K830">
        <v>0</v>
      </c>
      <c r="L830">
        <v>1</v>
      </c>
      <c r="M830">
        <v>2</v>
      </c>
      <c r="N830" s="7">
        <v>9</v>
      </c>
      <c r="O830" s="7">
        <v>0</v>
      </c>
      <c r="P830" s="7">
        <v>0</v>
      </c>
      <c r="Q830" s="7">
        <v>0</v>
      </c>
      <c r="R830" s="7">
        <v>1</v>
      </c>
      <c r="S830" s="7">
        <v>4.5</v>
      </c>
      <c r="T830">
        <v>7</v>
      </c>
      <c r="U830" s="1">
        <v>34</v>
      </c>
      <c r="V830">
        <v>0</v>
      </c>
      <c r="W830">
        <v>0</v>
      </c>
      <c r="X830">
        <v>1</v>
      </c>
      <c r="Y830">
        <v>0.16</v>
      </c>
      <c r="Z830">
        <v>23</v>
      </c>
      <c r="AA830">
        <v>0</v>
      </c>
      <c r="AB830">
        <v>0</v>
      </c>
      <c r="AC830">
        <v>0</v>
      </c>
      <c r="AD830">
        <v>1</v>
      </c>
      <c r="AE830">
        <v>0.05</v>
      </c>
      <c r="AF830">
        <v>15</v>
      </c>
      <c r="AG830">
        <v>0</v>
      </c>
      <c r="AH830">
        <v>0</v>
      </c>
      <c r="AI830">
        <v>0</v>
      </c>
      <c r="AJ830">
        <v>1</v>
      </c>
      <c r="AK830">
        <v>0.02</v>
      </c>
      <c r="AL830">
        <v>16</v>
      </c>
      <c r="AM830">
        <v>0</v>
      </c>
      <c r="AN830">
        <v>0</v>
      </c>
      <c r="AO830">
        <v>0</v>
      </c>
      <c r="AP830">
        <v>1</v>
      </c>
      <c r="AQ830">
        <v>0.01</v>
      </c>
      <c r="AX830">
        <v>7</v>
      </c>
      <c r="AY830" s="1">
        <v>18</v>
      </c>
      <c r="AZ830">
        <v>0</v>
      </c>
      <c r="BA830">
        <v>0</v>
      </c>
      <c r="BB830">
        <v>1</v>
      </c>
      <c r="BC830" s="7">
        <v>0.32</v>
      </c>
      <c r="BD830">
        <v>30</v>
      </c>
      <c r="BE830">
        <v>0</v>
      </c>
      <c r="BF830">
        <v>0</v>
      </c>
      <c r="BG830">
        <v>0</v>
      </c>
      <c r="BH830">
        <v>5</v>
      </c>
      <c r="BI830">
        <v>2.4</v>
      </c>
      <c r="BJ830">
        <v>31</v>
      </c>
      <c r="BK830">
        <v>0</v>
      </c>
      <c r="BL830">
        <v>0</v>
      </c>
      <c r="BM830">
        <v>0</v>
      </c>
      <c r="BN830">
        <v>5</v>
      </c>
      <c r="BO830">
        <v>2.4</v>
      </c>
      <c r="BP830">
        <v>36</v>
      </c>
      <c r="BQ830">
        <v>0</v>
      </c>
      <c r="BR830">
        <v>0</v>
      </c>
      <c r="BS830">
        <v>0</v>
      </c>
      <c r="BT830">
        <v>5</v>
      </c>
      <c r="BU830">
        <v>2.1</v>
      </c>
    </row>
    <row r="831" spans="1:73" ht="14.25" x14ac:dyDescent="0.15">
      <c r="A831" s="12">
        <v>20128</v>
      </c>
      <c r="B831">
        <v>7</v>
      </c>
      <c r="C831" s="1">
        <v>47</v>
      </c>
      <c r="D831">
        <v>0</v>
      </c>
      <c r="E831">
        <v>0</v>
      </c>
      <c r="F831">
        <v>1</v>
      </c>
      <c r="G831" s="7">
        <v>0.05</v>
      </c>
      <c r="H831">
        <v>12</v>
      </c>
      <c r="I831">
        <v>0</v>
      </c>
      <c r="J831">
        <v>0</v>
      </c>
      <c r="K831">
        <v>0</v>
      </c>
      <c r="L831">
        <v>1</v>
      </c>
      <c r="M831">
        <v>2</v>
      </c>
      <c r="N831" s="7">
        <v>9</v>
      </c>
      <c r="O831" s="7">
        <v>0</v>
      </c>
      <c r="P831" s="7">
        <v>0</v>
      </c>
      <c r="Q831" s="7">
        <v>0</v>
      </c>
      <c r="R831" s="7">
        <v>1</v>
      </c>
      <c r="S831" s="7">
        <v>4.5</v>
      </c>
      <c r="T831">
        <v>7</v>
      </c>
      <c r="U831" s="1">
        <v>35</v>
      </c>
      <c r="V831">
        <v>0</v>
      </c>
      <c r="W831">
        <v>0</v>
      </c>
      <c r="X831">
        <v>1</v>
      </c>
      <c r="Y831">
        <v>0.16</v>
      </c>
      <c r="Z831">
        <v>23</v>
      </c>
      <c r="AA831">
        <v>0</v>
      </c>
      <c r="AB831">
        <v>0</v>
      </c>
      <c r="AC831">
        <v>0</v>
      </c>
      <c r="AD831">
        <v>1</v>
      </c>
      <c r="AE831">
        <v>0.05</v>
      </c>
      <c r="AF831">
        <v>15</v>
      </c>
      <c r="AG831">
        <v>0</v>
      </c>
      <c r="AH831">
        <v>0</v>
      </c>
      <c r="AI831">
        <v>0</v>
      </c>
      <c r="AJ831">
        <v>1</v>
      </c>
      <c r="AK831">
        <v>0.02</v>
      </c>
      <c r="AL831">
        <v>16</v>
      </c>
      <c r="AM831">
        <v>0</v>
      </c>
      <c r="AN831">
        <v>0</v>
      </c>
      <c r="AO831">
        <v>0</v>
      </c>
      <c r="AP831">
        <v>1</v>
      </c>
      <c r="AQ831">
        <v>0.01</v>
      </c>
      <c r="AX831">
        <v>7</v>
      </c>
      <c r="AY831" s="1">
        <v>19</v>
      </c>
      <c r="AZ831">
        <v>0</v>
      </c>
      <c r="BA831">
        <v>0</v>
      </c>
      <c r="BB831">
        <v>1</v>
      </c>
      <c r="BC831" s="7">
        <v>0.32</v>
      </c>
      <c r="BD831">
        <v>30</v>
      </c>
      <c r="BE831">
        <v>0</v>
      </c>
      <c r="BF831">
        <v>0</v>
      </c>
      <c r="BG831">
        <v>0</v>
      </c>
      <c r="BH831">
        <v>5</v>
      </c>
      <c r="BI831">
        <v>2.4</v>
      </c>
      <c r="BJ831">
        <v>31</v>
      </c>
      <c r="BK831">
        <v>0</v>
      </c>
      <c r="BL831">
        <v>0</v>
      </c>
      <c r="BM831">
        <v>0</v>
      </c>
      <c r="BN831">
        <v>5</v>
      </c>
      <c r="BO831">
        <v>2.4</v>
      </c>
      <c r="BP831">
        <v>36</v>
      </c>
      <c r="BQ831">
        <v>0</v>
      </c>
      <c r="BR831">
        <v>0</v>
      </c>
      <c r="BS831">
        <v>0</v>
      </c>
      <c r="BT831">
        <v>5</v>
      </c>
      <c r="BU831">
        <v>2.1</v>
      </c>
    </row>
    <row r="832" spans="1:73" ht="14.25" x14ac:dyDescent="0.15">
      <c r="A832" s="12">
        <v>20129</v>
      </c>
      <c r="B832">
        <v>7</v>
      </c>
      <c r="C832" s="1">
        <v>48</v>
      </c>
      <c r="D832">
        <v>0</v>
      </c>
      <c r="E832">
        <v>0</v>
      </c>
      <c r="F832">
        <v>1</v>
      </c>
      <c r="G832" s="7">
        <v>0.05</v>
      </c>
      <c r="H832">
        <v>12</v>
      </c>
      <c r="I832">
        <v>0</v>
      </c>
      <c r="J832">
        <v>0</v>
      </c>
      <c r="K832">
        <v>0</v>
      </c>
      <c r="L832">
        <v>1</v>
      </c>
      <c r="M832">
        <v>2</v>
      </c>
      <c r="N832" s="7">
        <v>9</v>
      </c>
      <c r="O832" s="7">
        <v>0</v>
      </c>
      <c r="P832" s="7">
        <v>0</v>
      </c>
      <c r="Q832" s="7">
        <v>0</v>
      </c>
      <c r="R832" s="7">
        <v>1</v>
      </c>
      <c r="S832" s="7">
        <v>4.5</v>
      </c>
      <c r="T832">
        <v>7</v>
      </c>
      <c r="U832" s="1">
        <v>36</v>
      </c>
      <c r="V832">
        <v>0</v>
      </c>
      <c r="W832">
        <v>0</v>
      </c>
      <c r="X832">
        <v>1</v>
      </c>
      <c r="Y832">
        <v>0.16</v>
      </c>
      <c r="Z832">
        <v>23</v>
      </c>
      <c r="AA832">
        <v>0</v>
      </c>
      <c r="AB832">
        <v>0</v>
      </c>
      <c r="AC832">
        <v>0</v>
      </c>
      <c r="AD832">
        <v>1</v>
      </c>
      <c r="AE832">
        <v>0.05</v>
      </c>
      <c r="AF832">
        <v>15</v>
      </c>
      <c r="AG832">
        <v>0</v>
      </c>
      <c r="AH832">
        <v>0</v>
      </c>
      <c r="AI832">
        <v>0</v>
      </c>
      <c r="AJ832">
        <v>1</v>
      </c>
      <c r="AK832">
        <v>0.02</v>
      </c>
      <c r="AL832">
        <v>16</v>
      </c>
      <c r="AM832">
        <v>0</v>
      </c>
      <c r="AN832">
        <v>0</v>
      </c>
      <c r="AO832">
        <v>0</v>
      </c>
      <c r="AP832">
        <v>1</v>
      </c>
      <c r="AQ832">
        <v>0.01</v>
      </c>
      <c r="AX832">
        <v>7</v>
      </c>
      <c r="AY832" s="1">
        <v>20</v>
      </c>
      <c r="AZ832">
        <v>0</v>
      </c>
      <c r="BA832">
        <v>0</v>
      </c>
      <c r="BB832">
        <v>1</v>
      </c>
      <c r="BC832" s="7">
        <v>0.32</v>
      </c>
      <c r="BD832">
        <v>30</v>
      </c>
      <c r="BE832">
        <v>0</v>
      </c>
      <c r="BF832">
        <v>0</v>
      </c>
      <c r="BG832">
        <v>0</v>
      </c>
      <c r="BH832">
        <v>5</v>
      </c>
      <c r="BI832">
        <v>2.4</v>
      </c>
      <c r="BJ832">
        <v>31</v>
      </c>
      <c r="BK832">
        <v>0</v>
      </c>
      <c r="BL832">
        <v>0</v>
      </c>
      <c r="BM832">
        <v>0</v>
      </c>
      <c r="BN832">
        <v>5</v>
      </c>
      <c r="BO832">
        <v>2.4</v>
      </c>
      <c r="BP832">
        <v>36</v>
      </c>
      <c r="BQ832">
        <v>0</v>
      </c>
      <c r="BR832">
        <v>0</v>
      </c>
      <c r="BS832">
        <v>0</v>
      </c>
      <c r="BT832">
        <v>5</v>
      </c>
      <c r="BU832">
        <v>2.1</v>
      </c>
    </row>
    <row r="833" spans="1:73" ht="14.25" x14ac:dyDescent="0.15">
      <c r="A833" s="12">
        <v>20130</v>
      </c>
      <c r="B833">
        <v>7</v>
      </c>
      <c r="C833" s="1">
        <v>0</v>
      </c>
      <c r="D833">
        <v>5</v>
      </c>
      <c r="E833">
        <v>1</v>
      </c>
      <c r="F833">
        <v>1</v>
      </c>
      <c r="G833" s="7">
        <v>0.05</v>
      </c>
      <c r="H833">
        <v>12</v>
      </c>
      <c r="I833">
        <v>0</v>
      </c>
      <c r="J833">
        <v>0</v>
      </c>
      <c r="K833">
        <v>0</v>
      </c>
      <c r="L833">
        <v>1</v>
      </c>
      <c r="M833">
        <v>2</v>
      </c>
      <c r="N833" s="7">
        <v>9</v>
      </c>
      <c r="O833" s="7">
        <v>0</v>
      </c>
      <c r="P833" s="7">
        <v>0</v>
      </c>
      <c r="Q833" s="7">
        <v>0</v>
      </c>
      <c r="R833" s="7">
        <v>1</v>
      </c>
      <c r="S833" s="7">
        <v>4.5</v>
      </c>
      <c r="T833">
        <v>7</v>
      </c>
      <c r="U833" s="1">
        <v>0</v>
      </c>
      <c r="V833">
        <v>4</v>
      </c>
      <c r="W833">
        <v>2</v>
      </c>
      <c r="X833">
        <v>1</v>
      </c>
      <c r="Y833">
        <v>0.16</v>
      </c>
      <c r="Z833">
        <v>23</v>
      </c>
      <c r="AA833">
        <v>0</v>
      </c>
      <c r="AB833">
        <v>0</v>
      </c>
      <c r="AC833">
        <v>0</v>
      </c>
      <c r="AD833">
        <v>1</v>
      </c>
      <c r="AE833">
        <v>0.05</v>
      </c>
      <c r="AF833">
        <v>15</v>
      </c>
      <c r="AG833">
        <v>0</v>
      </c>
      <c r="AH833">
        <v>0</v>
      </c>
      <c r="AI833">
        <v>0</v>
      </c>
      <c r="AJ833">
        <v>1</v>
      </c>
      <c r="AK833">
        <v>0.02</v>
      </c>
      <c r="AL833">
        <v>16</v>
      </c>
      <c r="AM833">
        <v>0</v>
      </c>
      <c r="AN833">
        <v>0</v>
      </c>
      <c r="AO833">
        <v>0</v>
      </c>
      <c r="AP833">
        <v>1</v>
      </c>
      <c r="AQ833">
        <v>0.01</v>
      </c>
      <c r="AR833">
        <v>6</v>
      </c>
      <c r="AS833">
        <v>2</v>
      </c>
      <c r="AT833">
        <v>1</v>
      </c>
      <c r="AU833">
        <v>5</v>
      </c>
      <c r="AV833">
        <v>1</v>
      </c>
      <c r="AW833">
        <v>0.05</v>
      </c>
      <c r="AX833">
        <v>7</v>
      </c>
      <c r="AY833" s="1">
        <v>0</v>
      </c>
      <c r="AZ833">
        <v>3</v>
      </c>
      <c r="BA833">
        <v>1</v>
      </c>
      <c r="BB833">
        <v>1</v>
      </c>
      <c r="BC833" s="7">
        <v>0.32</v>
      </c>
      <c r="BD833">
        <v>30</v>
      </c>
      <c r="BE833">
        <v>0</v>
      </c>
      <c r="BF833">
        <v>0</v>
      </c>
      <c r="BG833">
        <v>0</v>
      </c>
      <c r="BH833">
        <v>5</v>
      </c>
      <c r="BI833">
        <v>2.4</v>
      </c>
      <c r="BJ833">
        <v>31</v>
      </c>
      <c r="BK833">
        <v>0</v>
      </c>
      <c r="BL833">
        <v>0</v>
      </c>
      <c r="BM833">
        <v>0</v>
      </c>
      <c r="BN833">
        <v>5</v>
      </c>
      <c r="BO833">
        <v>2.4</v>
      </c>
      <c r="BP833">
        <v>36</v>
      </c>
      <c r="BQ833">
        <v>0</v>
      </c>
      <c r="BR833">
        <v>0</v>
      </c>
      <c r="BS833">
        <v>0</v>
      </c>
      <c r="BT833">
        <v>5</v>
      </c>
      <c r="BU833">
        <v>2.1</v>
      </c>
    </row>
    <row r="834" spans="1:73" ht="14.25" x14ac:dyDescent="0.15">
      <c r="A834" s="12">
        <v>20131</v>
      </c>
      <c r="B834">
        <v>7</v>
      </c>
      <c r="C834" s="1">
        <v>45</v>
      </c>
      <c r="D834">
        <v>0</v>
      </c>
      <c r="E834">
        <v>0</v>
      </c>
      <c r="F834">
        <v>1</v>
      </c>
      <c r="G834" s="7">
        <v>0.05</v>
      </c>
      <c r="H834">
        <v>12</v>
      </c>
      <c r="I834">
        <v>0</v>
      </c>
      <c r="J834">
        <v>0</v>
      </c>
      <c r="K834">
        <v>0</v>
      </c>
      <c r="L834">
        <v>1</v>
      </c>
      <c r="M834">
        <v>2</v>
      </c>
      <c r="N834" s="7">
        <v>9</v>
      </c>
      <c r="O834" s="7">
        <v>0</v>
      </c>
      <c r="P834" s="7">
        <v>0</v>
      </c>
      <c r="Q834" s="7">
        <v>0</v>
      </c>
      <c r="R834" s="7">
        <v>1</v>
      </c>
      <c r="S834" s="7">
        <v>4.5</v>
      </c>
      <c r="T834">
        <v>7</v>
      </c>
      <c r="U834" s="1">
        <v>33</v>
      </c>
      <c r="V834">
        <v>0</v>
      </c>
      <c r="W834">
        <v>0</v>
      </c>
      <c r="X834">
        <v>1</v>
      </c>
      <c r="Y834">
        <v>0.16</v>
      </c>
      <c r="Z834">
        <v>23</v>
      </c>
      <c r="AA834">
        <v>0</v>
      </c>
      <c r="AB834">
        <v>0</v>
      </c>
      <c r="AC834">
        <v>0</v>
      </c>
      <c r="AD834">
        <v>1</v>
      </c>
      <c r="AE834">
        <v>0.05</v>
      </c>
      <c r="AF834">
        <v>15</v>
      </c>
      <c r="AG834">
        <v>0</v>
      </c>
      <c r="AH834">
        <v>0</v>
      </c>
      <c r="AI834">
        <v>0</v>
      </c>
      <c r="AJ834">
        <v>1</v>
      </c>
      <c r="AK834">
        <v>0.02</v>
      </c>
      <c r="AL834">
        <v>16</v>
      </c>
      <c r="AM834">
        <v>0</v>
      </c>
      <c r="AN834">
        <v>0</v>
      </c>
      <c r="AO834">
        <v>0</v>
      </c>
      <c r="AP834">
        <v>1</v>
      </c>
      <c r="AQ834">
        <v>0.01</v>
      </c>
      <c r="AX834">
        <v>7</v>
      </c>
      <c r="AY834" s="1">
        <v>17</v>
      </c>
      <c r="AZ834">
        <v>0</v>
      </c>
      <c r="BA834">
        <v>0</v>
      </c>
      <c r="BB834">
        <v>1</v>
      </c>
      <c r="BC834" s="7">
        <v>0.32</v>
      </c>
      <c r="BD834">
        <v>30</v>
      </c>
      <c r="BE834">
        <v>0</v>
      </c>
      <c r="BF834">
        <v>0</v>
      </c>
      <c r="BG834">
        <v>0</v>
      </c>
      <c r="BH834">
        <v>5</v>
      </c>
      <c r="BI834">
        <v>2.4</v>
      </c>
      <c r="BJ834">
        <v>31</v>
      </c>
      <c r="BK834">
        <v>0</v>
      </c>
      <c r="BL834">
        <v>0</v>
      </c>
      <c r="BM834">
        <v>0</v>
      </c>
      <c r="BN834">
        <v>5</v>
      </c>
      <c r="BO834">
        <v>2.4</v>
      </c>
      <c r="BP834">
        <v>36</v>
      </c>
      <c r="BQ834">
        <v>0</v>
      </c>
      <c r="BR834">
        <v>0</v>
      </c>
      <c r="BS834">
        <v>0</v>
      </c>
      <c r="BT834">
        <v>5</v>
      </c>
      <c r="BU834">
        <v>2.1</v>
      </c>
    </row>
    <row r="835" spans="1:73" ht="14.25" x14ac:dyDescent="0.15">
      <c r="A835" s="12">
        <v>20132</v>
      </c>
      <c r="B835">
        <v>7</v>
      </c>
      <c r="C835" s="1">
        <v>46</v>
      </c>
      <c r="D835">
        <v>0</v>
      </c>
      <c r="E835">
        <v>0</v>
      </c>
      <c r="F835">
        <v>1</v>
      </c>
      <c r="G835" s="7">
        <v>0.05</v>
      </c>
      <c r="H835">
        <v>12</v>
      </c>
      <c r="I835">
        <v>0</v>
      </c>
      <c r="J835">
        <v>0</v>
      </c>
      <c r="K835">
        <v>0</v>
      </c>
      <c r="L835">
        <v>1</v>
      </c>
      <c r="M835">
        <v>2</v>
      </c>
      <c r="N835" s="7">
        <v>9</v>
      </c>
      <c r="O835" s="7">
        <v>0</v>
      </c>
      <c r="P835" s="7">
        <v>0</v>
      </c>
      <c r="Q835" s="7">
        <v>0</v>
      </c>
      <c r="R835" s="7">
        <v>1</v>
      </c>
      <c r="S835" s="7">
        <v>4.5</v>
      </c>
      <c r="T835">
        <v>7</v>
      </c>
      <c r="U835" s="1">
        <v>34</v>
      </c>
      <c r="V835">
        <v>0</v>
      </c>
      <c r="W835">
        <v>0</v>
      </c>
      <c r="X835">
        <v>1</v>
      </c>
      <c r="Y835">
        <v>0.16</v>
      </c>
      <c r="Z835">
        <v>23</v>
      </c>
      <c r="AA835">
        <v>0</v>
      </c>
      <c r="AB835">
        <v>0</v>
      </c>
      <c r="AC835">
        <v>0</v>
      </c>
      <c r="AD835">
        <v>1</v>
      </c>
      <c r="AE835">
        <v>0.05</v>
      </c>
      <c r="AF835">
        <v>15</v>
      </c>
      <c r="AG835">
        <v>0</v>
      </c>
      <c r="AH835">
        <v>0</v>
      </c>
      <c r="AI835">
        <v>0</v>
      </c>
      <c r="AJ835">
        <v>1</v>
      </c>
      <c r="AK835">
        <v>0.02</v>
      </c>
      <c r="AL835">
        <v>16</v>
      </c>
      <c r="AM835">
        <v>0</v>
      </c>
      <c r="AN835">
        <v>0</v>
      </c>
      <c r="AO835">
        <v>0</v>
      </c>
      <c r="AP835">
        <v>1</v>
      </c>
      <c r="AQ835">
        <v>0.01</v>
      </c>
      <c r="AX835">
        <v>7</v>
      </c>
      <c r="AY835" s="1">
        <v>18</v>
      </c>
      <c r="AZ835">
        <v>0</v>
      </c>
      <c r="BA835">
        <v>0</v>
      </c>
      <c r="BB835">
        <v>1</v>
      </c>
      <c r="BC835" s="7">
        <v>0.32</v>
      </c>
      <c r="BD835">
        <v>30</v>
      </c>
      <c r="BE835">
        <v>0</v>
      </c>
      <c r="BF835">
        <v>0</v>
      </c>
      <c r="BG835">
        <v>0</v>
      </c>
      <c r="BH835">
        <v>5</v>
      </c>
      <c r="BI835">
        <v>2.4</v>
      </c>
      <c r="BJ835">
        <v>31</v>
      </c>
      <c r="BK835">
        <v>0</v>
      </c>
      <c r="BL835">
        <v>0</v>
      </c>
      <c r="BM835">
        <v>0</v>
      </c>
      <c r="BN835">
        <v>5</v>
      </c>
      <c r="BO835">
        <v>2.4</v>
      </c>
      <c r="BP835">
        <v>36</v>
      </c>
      <c r="BQ835">
        <v>0</v>
      </c>
      <c r="BR835">
        <v>0</v>
      </c>
      <c r="BS835">
        <v>0</v>
      </c>
      <c r="BT835">
        <v>5</v>
      </c>
      <c r="BU835">
        <v>2.1</v>
      </c>
    </row>
    <row r="836" spans="1:73" ht="14.25" x14ac:dyDescent="0.15">
      <c r="A836" s="12">
        <v>20133</v>
      </c>
      <c r="B836">
        <v>7</v>
      </c>
      <c r="C836" s="1">
        <v>47</v>
      </c>
      <c r="D836">
        <v>0</v>
      </c>
      <c r="E836">
        <v>0</v>
      </c>
      <c r="F836">
        <v>1</v>
      </c>
      <c r="G836" s="7">
        <v>0.05</v>
      </c>
      <c r="H836">
        <v>12</v>
      </c>
      <c r="I836">
        <v>0</v>
      </c>
      <c r="J836">
        <v>0</v>
      </c>
      <c r="K836">
        <v>0</v>
      </c>
      <c r="L836">
        <v>1</v>
      </c>
      <c r="M836">
        <v>2</v>
      </c>
      <c r="N836" s="7">
        <v>9</v>
      </c>
      <c r="O836" s="7">
        <v>0</v>
      </c>
      <c r="P836" s="7">
        <v>0</v>
      </c>
      <c r="Q836" s="7">
        <v>0</v>
      </c>
      <c r="R836" s="7">
        <v>1</v>
      </c>
      <c r="S836" s="7">
        <v>4.5</v>
      </c>
      <c r="T836">
        <v>7</v>
      </c>
      <c r="U836" s="1">
        <v>35</v>
      </c>
      <c r="V836">
        <v>0</v>
      </c>
      <c r="W836">
        <v>0</v>
      </c>
      <c r="X836">
        <v>1</v>
      </c>
      <c r="Y836">
        <v>0.16</v>
      </c>
      <c r="Z836">
        <v>23</v>
      </c>
      <c r="AA836">
        <v>0</v>
      </c>
      <c r="AB836">
        <v>0</v>
      </c>
      <c r="AC836">
        <v>0</v>
      </c>
      <c r="AD836">
        <v>1</v>
      </c>
      <c r="AE836">
        <v>0.05</v>
      </c>
      <c r="AF836">
        <v>15</v>
      </c>
      <c r="AG836">
        <v>0</v>
      </c>
      <c r="AH836">
        <v>0</v>
      </c>
      <c r="AI836">
        <v>0</v>
      </c>
      <c r="AJ836">
        <v>1</v>
      </c>
      <c r="AK836">
        <v>0.02</v>
      </c>
      <c r="AL836">
        <v>16</v>
      </c>
      <c r="AM836">
        <v>0</v>
      </c>
      <c r="AN836">
        <v>0</v>
      </c>
      <c r="AO836">
        <v>0</v>
      </c>
      <c r="AP836">
        <v>1</v>
      </c>
      <c r="AQ836">
        <v>0.01</v>
      </c>
      <c r="AX836">
        <v>7</v>
      </c>
      <c r="AY836" s="1">
        <v>19</v>
      </c>
      <c r="AZ836">
        <v>0</v>
      </c>
      <c r="BA836">
        <v>0</v>
      </c>
      <c r="BB836">
        <v>1</v>
      </c>
      <c r="BC836" s="7">
        <v>0.32</v>
      </c>
      <c r="BD836">
        <v>30</v>
      </c>
      <c r="BE836">
        <v>0</v>
      </c>
      <c r="BF836">
        <v>0</v>
      </c>
      <c r="BG836">
        <v>0</v>
      </c>
      <c r="BH836">
        <v>5</v>
      </c>
      <c r="BI836">
        <v>2.4</v>
      </c>
      <c r="BJ836">
        <v>31</v>
      </c>
      <c r="BK836">
        <v>0</v>
      </c>
      <c r="BL836">
        <v>0</v>
      </c>
      <c r="BM836">
        <v>0</v>
      </c>
      <c r="BN836">
        <v>5</v>
      </c>
      <c r="BO836">
        <v>2.4</v>
      </c>
      <c r="BP836">
        <v>36</v>
      </c>
      <c r="BQ836">
        <v>0</v>
      </c>
      <c r="BR836">
        <v>0</v>
      </c>
      <c r="BS836">
        <v>0</v>
      </c>
      <c r="BT836">
        <v>5</v>
      </c>
      <c r="BU836">
        <v>2.1</v>
      </c>
    </row>
    <row r="837" spans="1:73" ht="14.25" x14ac:dyDescent="0.15">
      <c r="A837" s="12">
        <v>20134</v>
      </c>
      <c r="B837">
        <v>7</v>
      </c>
      <c r="C837" s="1">
        <v>48</v>
      </c>
      <c r="D837">
        <v>0</v>
      </c>
      <c r="E837">
        <v>0</v>
      </c>
      <c r="F837">
        <v>1</v>
      </c>
      <c r="G837" s="7">
        <v>0.05</v>
      </c>
      <c r="H837">
        <v>12</v>
      </c>
      <c r="I837">
        <v>0</v>
      </c>
      <c r="J837">
        <v>0</v>
      </c>
      <c r="K837">
        <v>0</v>
      </c>
      <c r="L837">
        <v>1</v>
      </c>
      <c r="M837">
        <v>2</v>
      </c>
      <c r="N837" s="7">
        <v>9</v>
      </c>
      <c r="O837" s="7">
        <v>0</v>
      </c>
      <c r="P837" s="7">
        <v>0</v>
      </c>
      <c r="Q837" s="7">
        <v>0</v>
      </c>
      <c r="R837" s="7">
        <v>1</v>
      </c>
      <c r="S837" s="7">
        <v>4.5</v>
      </c>
      <c r="T837">
        <v>7</v>
      </c>
      <c r="U837" s="1">
        <v>36</v>
      </c>
      <c r="V837">
        <v>0</v>
      </c>
      <c r="W837">
        <v>0</v>
      </c>
      <c r="X837">
        <v>1</v>
      </c>
      <c r="Y837">
        <v>0.16</v>
      </c>
      <c r="Z837">
        <v>23</v>
      </c>
      <c r="AA837">
        <v>0</v>
      </c>
      <c r="AB837">
        <v>0</v>
      </c>
      <c r="AC837">
        <v>0</v>
      </c>
      <c r="AD837">
        <v>1</v>
      </c>
      <c r="AE837">
        <v>0.05</v>
      </c>
      <c r="AF837">
        <v>15</v>
      </c>
      <c r="AG837">
        <v>0</v>
      </c>
      <c r="AH837">
        <v>0</v>
      </c>
      <c r="AI837">
        <v>0</v>
      </c>
      <c r="AJ837">
        <v>1</v>
      </c>
      <c r="AK837">
        <v>0.02</v>
      </c>
      <c r="AL837">
        <v>16</v>
      </c>
      <c r="AM837">
        <v>0</v>
      </c>
      <c r="AN837">
        <v>0</v>
      </c>
      <c r="AO837">
        <v>0</v>
      </c>
      <c r="AP837">
        <v>1</v>
      </c>
      <c r="AQ837">
        <v>0.01</v>
      </c>
      <c r="AX837">
        <v>7</v>
      </c>
      <c r="AY837" s="1">
        <v>20</v>
      </c>
      <c r="AZ837">
        <v>0</v>
      </c>
      <c r="BA837">
        <v>0</v>
      </c>
      <c r="BB837">
        <v>1</v>
      </c>
      <c r="BC837" s="7">
        <v>0.32</v>
      </c>
      <c r="BD837">
        <v>30</v>
      </c>
      <c r="BE837">
        <v>0</v>
      </c>
      <c r="BF837">
        <v>0</v>
      </c>
      <c r="BG837">
        <v>0</v>
      </c>
      <c r="BH837">
        <v>5</v>
      </c>
      <c r="BI837">
        <v>2.4</v>
      </c>
      <c r="BJ837">
        <v>31</v>
      </c>
      <c r="BK837">
        <v>0</v>
      </c>
      <c r="BL837">
        <v>0</v>
      </c>
      <c r="BM837">
        <v>0</v>
      </c>
      <c r="BN837">
        <v>5</v>
      </c>
      <c r="BO837">
        <v>2.4</v>
      </c>
      <c r="BP837">
        <v>36</v>
      </c>
      <c r="BQ837">
        <v>0</v>
      </c>
      <c r="BR837">
        <v>0</v>
      </c>
      <c r="BS837">
        <v>0</v>
      </c>
      <c r="BT837">
        <v>5</v>
      </c>
      <c r="BU837">
        <v>2.1</v>
      </c>
    </row>
    <row r="838" spans="1:73" ht="14.25" x14ac:dyDescent="0.15">
      <c r="A838" s="12">
        <v>20135</v>
      </c>
      <c r="B838">
        <v>7</v>
      </c>
      <c r="C838" s="1">
        <v>0</v>
      </c>
      <c r="D838">
        <v>5</v>
      </c>
      <c r="E838">
        <v>1</v>
      </c>
      <c r="F838">
        <v>1</v>
      </c>
      <c r="G838" s="7">
        <v>0.05</v>
      </c>
      <c r="H838">
        <v>12</v>
      </c>
      <c r="I838">
        <v>0</v>
      </c>
      <c r="J838">
        <v>0</v>
      </c>
      <c r="K838">
        <v>0</v>
      </c>
      <c r="L838">
        <v>1</v>
      </c>
      <c r="M838">
        <v>2</v>
      </c>
      <c r="N838" s="7">
        <v>9</v>
      </c>
      <c r="O838" s="7">
        <v>0</v>
      </c>
      <c r="P838" s="7">
        <v>0</v>
      </c>
      <c r="Q838" s="7">
        <v>0</v>
      </c>
      <c r="R838" s="7">
        <v>1</v>
      </c>
      <c r="S838" s="7">
        <v>4.5</v>
      </c>
      <c r="T838">
        <v>7</v>
      </c>
      <c r="U838" s="1">
        <v>0</v>
      </c>
      <c r="V838">
        <v>4</v>
      </c>
      <c r="W838">
        <v>2</v>
      </c>
      <c r="X838">
        <v>1</v>
      </c>
      <c r="Y838">
        <v>0.16</v>
      </c>
      <c r="Z838">
        <v>23</v>
      </c>
      <c r="AA838">
        <v>0</v>
      </c>
      <c r="AB838">
        <v>0</v>
      </c>
      <c r="AC838">
        <v>0</v>
      </c>
      <c r="AD838">
        <v>1</v>
      </c>
      <c r="AE838">
        <v>0.05</v>
      </c>
      <c r="AF838">
        <v>15</v>
      </c>
      <c r="AG838">
        <v>0</v>
      </c>
      <c r="AH838">
        <v>0</v>
      </c>
      <c r="AI838">
        <v>0</v>
      </c>
      <c r="AJ838">
        <v>1</v>
      </c>
      <c r="AK838">
        <v>0.02</v>
      </c>
      <c r="AL838">
        <v>16</v>
      </c>
      <c r="AM838">
        <v>0</v>
      </c>
      <c r="AN838">
        <v>0</v>
      </c>
      <c r="AO838">
        <v>0</v>
      </c>
      <c r="AP838">
        <v>1</v>
      </c>
      <c r="AQ838">
        <v>0.01</v>
      </c>
      <c r="AR838">
        <v>6</v>
      </c>
      <c r="AS838">
        <v>2</v>
      </c>
      <c r="AT838">
        <v>2</v>
      </c>
      <c r="AU838">
        <v>5</v>
      </c>
      <c r="AV838">
        <v>1</v>
      </c>
      <c r="AW838">
        <v>0.05</v>
      </c>
      <c r="AX838">
        <v>7</v>
      </c>
      <c r="AY838" s="1">
        <v>0</v>
      </c>
      <c r="AZ838">
        <v>3</v>
      </c>
      <c r="BA838">
        <v>1</v>
      </c>
      <c r="BB838">
        <v>1</v>
      </c>
      <c r="BC838" s="7">
        <v>0.32</v>
      </c>
      <c r="BD838">
        <v>30</v>
      </c>
      <c r="BE838">
        <v>0</v>
      </c>
      <c r="BF838">
        <v>0</v>
      </c>
      <c r="BG838">
        <v>0</v>
      </c>
      <c r="BH838">
        <v>5</v>
      </c>
      <c r="BI838">
        <v>2.4</v>
      </c>
      <c r="BJ838">
        <v>31</v>
      </c>
      <c r="BK838">
        <v>0</v>
      </c>
      <c r="BL838">
        <v>0</v>
      </c>
      <c r="BM838">
        <v>0</v>
      </c>
      <c r="BN838">
        <v>5</v>
      </c>
      <c r="BO838">
        <v>2.4</v>
      </c>
      <c r="BP838">
        <v>36</v>
      </c>
      <c r="BQ838">
        <v>0</v>
      </c>
      <c r="BR838">
        <v>0</v>
      </c>
      <c r="BS838">
        <v>0</v>
      </c>
      <c r="BT838">
        <v>5</v>
      </c>
      <c r="BU838">
        <v>2.1</v>
      </c>
    </row>
    <row r="839" spans="1:73" ht="14.25" x14ac:dyDescent="0.15">
      <c r="A839" s="12">
        <v>20136</v>
      </c>
      <c r="B839">
        <v>7</v>
      </c>
      <c r="C839" s="1">
        <v>45</v>
      </c>
      <c r="D839">
        <v>0</v>
      </c>
      <c r="E839">
        <v>0</v>
      </c>
      <c r="F839">
        <v>1</v>
      </c>
      <c r="G839" s="7">
        <v>0.05</v>
      </c>
      <c r="H839">
        <v>12</v>
      </c>
      <c r="I839">
        <v>0</v>
      </c>
      <c r="J839">
        <v>0</v>
      </c>
      <c r="K839">
        <v>0</v>
      </c>
      <c r="L839">
        <v>1</v>
      </c>
      <c r="M839">
        <v>2</v>
      </c>
      <c r="N839" s="7">
        <v>9</v>
      </c>
      <c r="O839" s="7">
        <v>0</v>
      </c>
      <c r="P839" s="7">
        <v>0</v>
      </c>
      <c r="Q839" s="7">
        <v>0</v>
      </c>
      <c r="R839" s="7">
        <v>1</v>
      </c>
      <c r="S839" s="7">
        <v>4.5</v>
      </c>
      <c r="T839">
        <v>7</v>
      </c>
      <c r="U839" s="1">
        <v>33</v>
      </c>
      <c r="V839">
        <v>0</v>
      </c>
      <c r="W839">
        <v>0</v>
      </c>
      <c r="X839">
        <v>1</v>
      </c>
      <c r="Y839">
        <v>0.16</v>
      </c>
      <c r="Z839">
        <v>23</v>
      </c>
      <c r="AA839">
        <v>0</v>
      </c>
      <c r="AB839">
        <v>0</v>
      </c>
      <c r="AC839">
        <v>0</v>
      </c>
      <c r="AD839">
        <v>1</v>
      </c>
      <c r="AE839">
        <v>0.05</v>
      </c>
      <c r="AF839">
        <v>15</v>
      </c>
      <c r="AG839">
        <v>0</v>
      </c>
      <c r="AH839">
        <v>0</v>
      </c>
      <c r="AI839">
        <v>0</v>
      </c>
      <c r="AJ839">
        <v>1</v>
      </c>
      <c r="AK839">
        <v>0.02</v>
      </c>
      <c r="AL839">
        <v>16</v>
      </c>
      <c r="AM839">
        <v>0</v>
      </c>
      <c r="AN839">
        <v>0</v>
      </c>
      <c r="AO839">
        <v>0</v>
      </c>
      <c r="AP839">
        <v>1</v>
      </c>
      <c r="AQ839">
        <v>0.01</v>
      </c>
      <c r="AX839">
        <v>7</v>
      </c>
      <c r="AY839" s="1">
        <v>17</v>
      </c>
      <c r="AZ839">
        <v>0</v>
      </c>
      <c r="BA839">
        <v>0</v>
      </c>
      <c r="BB839">
        <v>1</v>
      </c>
      <c r="BC839" s="7">
        <v>0.32</v>
      </c>
      <c r="BD839">
        <v>30</v>
      </c>
      <c r="BE839">
        <v>0</v>
      </c>
      <c r="BF839">
        <v>0</v>
      </c>
      <c r="BG839">
        <v>0</v>
      </c>
      <c r="BH839">
        <v>5</v>
      </c>
      <c r="BI839">
        <v>2.4</v>
      </c>
      <c r="BJ839">
        <v>31</v>
      </c>
      <c r="BK839">
        <v>0</v>
      </c>
      <c r="BL839">
        <v>0</v>
      </c>
      <c r="BM839">
        <v>0</v>
      </c>
      <c r="BN839">
        <v>5</v>
      </c>
      <c r="BO839">
        <v>2.4</v>
      </c>
      <c r="BP839">
        <v>36</v>
      </c>
      <c r="BQ839">
        <v>0</v>
      </c>
      <c r="BR839">
        <v>0</v>
      </c>
      <c r="BS839">
        <v>0</v>
      </c>
      <c r="BT839">
        <v>5</v>
      </c>
      <c r="BU839">
        <v>2.1</v>
      </c>
    </row>
    <row r="840" spans="1:73" ht="14.25" x14ac:dyDescent="0.15">
      <c r="A840" s="12">
        <v>20137</v>
      </c>
      <c r="B840">
        <v>7</v>
      </c>
      <c r="C840" s="1">
        <v>46</v>
      </c>
      <c r="D840">
        <v>0</v>
      </c>
      <c r="E840">
        <v>0</v>
      </c>
      <c r="F840">
        <v>1</v>
      </c>
      <c r="G840" s="7">
        <v>0.05</v>
      </c>
      <c r="H840">
        <v>12</v>
      </c>
      <c r="I840">
        <v>0</v>
      </c>
      <c r="J840">
        <v>0</v>
      </c>
      <c r="K840">
        <v>0</v>
      </c>
      <c r="L840">
        <v>1</v>
      </c>
      <c r="M840">
        <v>2</v>
      </c>
      <c r="N840" s="7">
        <v>9</v>
      </c>
      <c r="O840" s="7">
        <v>0</v>
      </c>
      <c r="P840" s="7">
        <v>0</v>
      </c>
      <c r="Q840" s="7">
        <v>0</v>
      </c>
      <c r="R840" s="7">
        <v>1</v>
      </c>
      <c r="S840" s="7">
        <v>4.5</v>
      </c>
      <c r="T840">
        <v>7</v>
      </c>
      <c r="U840" s="1">
        <v>34</v>
      </c>
      <c r="V840">
        <v>0</v>
      </c>
      <c r="W840">
        <v>0</v>
      </c>
      <c r="X840">
        <v>1</v>
      </c>
      <c r="Y840">
        <v>0.16</v>
      </c>
      <c r="Z840">
        <v>23</v>
      </c>
      <c r="AA840">
        <v>0</v>
      </c>
      <c r="AB840">
        <v>0</v>
      </c>
      <c r="AC840">
        <v>0</v>
      </c>
      <c r="AD840">
        <v>1</v>
      </c>
      <c r="AE840">
        <v>0.05</v>
      </c>
      <c r="AF840">
        <v>15</v>
      </c>
      <c r="AG840">
        <v>0</v>
      </c>
      <c r="AH840">
        <v>0</v>
      </c>
      <c r="AI840">
        <v>0</v>
      </c>
      <c r="AJ840">
        <v>1</v>
      </c>
      <c r="AK840">
        <v>0.02</v>
      </c>
      <c r="AL840">
        <v>16</v>
      </c>
      <c r="AM840">
        <v>0</v>
      </c>
      <c r="AN840">
        <v>0</v>
      </c>
      <c r="AO840">
        <v>0</v>
      </c>
      <c r="AP840">
        <v>1</v>
      </c>
      <c r="AQ840">
        <v>0.01</v>
      </c>
      <c r="AX840">
        <v>7</v>
      </c>
      <c r="AY840" s="1">
        <v>18</v>
      </c>
      <c r="AZ840">
        <v>0</v>
      </c>
      <c r="BA840">
        <v>0</v>
      </c>
      <c r="BB840">
        <v>1</v>
      </c>
      <c r="BC840" s="7">
        <v>0.32</v>
      </c>
      <c r="BD840">
        <v>30</v>
      </c>
      <c r="BE840">
        <v>0</v>
      </c>
      <c r="BF840">
        <v>0</v>
      </c>
      <c r="BG840">
        <v>0</v>
      </c>
      <c r="BH840">
        <v>5</v>
      </c>
      <c r="BI840">
        <v>2.4</v>
      </c>
      <c r="BJ840">
        <v>31</v>
      </c>
      <c r="BK840">
        <v>0</v>
      </c>
      <c r="BL840">
        <v>0</v>
      </c>
      <c r="BM840">
        <v>0</v>
      </c>
      <c r="BN840">
        <v>5</v>
      </c>
      <c r="BO840">
        <v>2.4</v>
      </c>
      <c r="BP840">
        <v>36</v>
      </c>
      <c r="BQ840">
        <v>0</v>
      </c>
      <c r="BR840">
        <v>0</v>
      </c>
      <c r="BS840">
        <v>0</v>
      </c>
      <c r="BT840">
        <v>5</v>
      </c>
      <c r="BU840">
        <v>2.1</v>
      </c>
    </row>
    <row r="841" spans="1:73" ht="14.25" x14ac:dyDescent="0.15">
      <c r="A841" s="12">
        <v>20138</v>
      </c>
      <c r="B841">
        <v>7</v>
      </c>
      <c r="C841" s="1">
        <v>47</v>
      </c>
      <c r="D841">
        <v>0</v>
      </c>
      <c r="E841">
        <v>0</v>
      </c>
      <c r="F841">
        <v>1</v>
      </c>
      <c r="G841" s="7">
        <v>0.05</v>
      </c>
      <c r="H841">
        <v>12</v>
      </c>
      <c r="I841">
        <v>0</v>
      </c>
      <c r="J841">
        <v>0</v>
      </c>
      <c r="K841">
        <v>0</v>
      </c>
      <c r="L841">
        <v>1</v>
      </c>
      <c r="M841">
        <v>2</v>
      </c>
      <c r="N841" s="7">
        <v>9</v>
      </c>
      <c r="O841" s="7">
        <v>0</v>
      </c>
      <c r="P841" s="7">
        <v>0</v>
      </c>
      <c r="Q841" s="7">
        <v>0</v>
      </c>
      <c r="R841" s="7">
        <v>1</v>
      </c>
      <c r="S841" s="7">
        <v>4.5</v>
      </c>
      <c r="T841">
        <v>7</v>
      </c>
      <c r="U841" s="1">
        <v>35</v>
      </c>
      <c r="V841">
        <v>0</v>
      </c>
      <c r="W841">
        <v>0</v>
      </c>
      <c r="X841">
        <v>1</v>
      </c>
      <c r="Y841">
        <v>0.16</v>
      </c>
      <c r="Z841">
        <v>23</v>
      </c>
      <c r="AA841">
        <v>0</v>
      </c>
      <c r="AB841">
        <v>0</v>
      </c>
      <c r="AC841">
        <v>0</v>
      </c>
      <c r="AD841">
        <v>1</v>
      </c>
      <c r="AE841">
        <v>0.05</v>
      </c>
      <c r="AF841">
        <v>15</v>
      </c>
      <c r="AG841">
        <v>0</v>
      </c>
      <c r="AH841">
        <v>0</v>
      </c>
      <c r="AI841">
        <v>0</v>
      </c>
      <c r="AJ841">
        <v>1</v>
      </c>
      <c r="AK841">
        <v>0.02</v>
      </c>
      <c r="AL841">
        <v>16</v>
      </c>
      <c r="AM841">
        <v>0</v>
      </c>
      <c r="AN841">
        <v>0</v>
      </c>
      <c r="AO841">
        <v>0</v>
      </c>
      <c r="AP841">
        <v>1</v>
      </c>
      <c r="AQ841">
        <v>0.01</v>
      </c>
      <c r="AX841">
        <v>7</v>
      </c>
      <c r="AY841" s="1">
        <v>19</v>
      </c>
      <c r="AZ841">
        <v>0</v>
      </c>
      <c r="BA841">
        <v>0</v>
      </c>
      <c r="BB841">
        <v>1</v>
      </c>
      <c r="BC841" s="7">
        <v>0.32</v>
      </c>
      <c r="BD841">
        <v>30</v>
      </c>
      <c r="BE841">
        <v>0</v>
      </c>
      <c r="BF841">
        <v>0</v>
      </c>
      <c r="BG841">
        <v>0</v>
      </c>
      <c r="BH841">
        <v>5</v>
      </c>
      <c r="BI841">
        <v>2.4</v>
      </c>
      <c r="BJ841">
        <v>31</v>
      </c>
      <c r="BK841">
        <v>0</v>
      </c>
      <c r="BL841">
        <v>0</v>
      </c>
      <c r="BM841">
        <v>0</v>
      </c>
      <c r="BN841">
        <v>5</v>
      </c>
      <c r="BO841">
        <v>2.4</v>
      </c>
      <c r="BP841">
        <v>36</v>
      </c>
      <c r="BQ841">
        <v>0</v>
      </c>
      <c r="BR841">
        <v>0</v>
      </c>
      <c r="BS841">
        <v>0</v>
      </c>
      <c r="BT841">
        <v>5</v>
      </c>
      <c r="BU841">
        <v>2.1</v>
      </c>
    </row>
    <row r="842" spans="1:73" ht="14.25" x14ac:dyDescent="0.15">
      <c r="A842" s="12">
        <v>20139</v>
      </c>
      <c r="B842">
        <v>7</v>
      </c>
      <c r="C842" s="1">
        <v>48</v>
      </c>
      <c r="D842">
        <v>0</v>
      </c>
      <c r="E842">
        <v>0</v>
      </c>
      <c r="F842">
        <v>1</v>
      </c>
      <c r="G842" s="7">
        <v>0.05</v>
      </c>
      <c r="H842">
        <v>12</v>
      </c>
      <c r="I842">
        <v>0</v>
      </c>
      <c r="J842">
        <v>0</v>
      </c>
      <c r="K842">
        <v>0</v>
      </c>
      <c r="L842">
        <v>1</v>
      </c>
      <c r="M842">
        <v>2</v>
      </c>
      <c r="N842" s="7">
        <v>9</v>
      </c>
      <c r="O842" s="7">
        <v>0</v>
      </c>
      <c r="P842" s="7">
        <v>0</v>
      </c>
      <c r="Q842" s="7">
        <v>0</v>
      </c>
      <c r="R842" s="7">
        <v>1</v>
      </c>
      <c r="S842" s="7">
        <v>4.5</v>
      </c>
      <c r="T842">
        <v>7</v>
      </c>
      <c r="U842" s="1">
        <v>36</v>
      </c>
      <c r="V842">
        <v>0</v>
      </c>
      <c r="W842">
        <v>0</v>
      </c>
      <c r="X842">
        <v>1</v>
      </c>
      <c r="Y842">
        <v>0.16</v>
      </c>
      <c r="Z842">
        <v>23</v>
      </c>
      <c r="AA842">
        <v>0</v>
      </c>
      <c r="AB842">
        <v>0</v>
      </c>
      <c r="AC842">
        <v>0</v>
      </c>
      <c r="AD842">
        <v>1</v>
      </c>
      <c r="AE842">
        <v>0.05</v>
      </c>
      <c r="AF842">
        <v>15</v>
      </c>
      <c r="AG842">
        <v>0</v>
      </c>
      <c r="AH842">
        <v>0</v>
      </c>
      <c r="AI842">
        <v>0</v>
      </c>
      <c r="AJ842">
        <v>1</v>
      </c>
      <c r="AK842">
        <v>0.02</v>
      </c>
      <c r="AL842">
        <v>16</v>
      </c>
      <c r="AM842">
        <v>0</v>
      </c>
      <c r="AN842">
        <v>0</v>
      </c>
      <c r="AO842">
        <v>0</v>
      </c>
      <c r="AP842">
        <v>1</v>
      </c>
      <c r="AQ842">
        <v>0.01</v>
      </c>
      <c r="AX842">
        <v>7</v>
      </c>
      <c r="AY842" s="1">
        <v>20</v>
      </c>
      <c r="AZ842">
        <v>0</v>
      </c>
      <c r="BA842">
        <v>0</v>
      </c>
      <c r="BB842">
        <v>1</v>
      </c>
      <c r="BC842" s="7">
        <v>0.32</v>
      </c>
      <c r="BD842">
        <v>30</v>
      </c>
      <c r="BE842">
        <v>0</v>
      </c>
      <c r="BF842">
        <v>0</v>
      </c>
      <c r="BG842">
        <v>0</v>
      </c>
      <c r="BH842">
        <v>5</v>
      </c>
      <c r="BI842">
        <v>2.4</v>
      </c>
      <c r="BJ842">
        <v>31</v>
      </c>
      <c r="BK842">
        <v>0</v>
      </c>
      <c r="BL842">
        <v>0</v>
      </c>
      <c r="BM842">
        <v>0</v>
      </c>
      <c r="BN842">
        <v>5</v>
      </c>
      <c r="BO842">
        <v>2.4</v>
      </c>
      <c r="BP842">
        <v>36</v>
      </c>
      <c r="BQ842">
        <v>0</v>
      </c>
      <c r="BR842">
        <v>0</v>
      </c>
      <c r="BS842">
        <v>0</v>
      </c>
      <c r="BT842">
        <v>5</v>
      </c>
      <c r="BU842">
        <v>2.1</v>
      </c>
    </row>
    <row r="843" spans="1:73" ht="14.25" x14ac:dyDescent="0.15">
      <c r="A843" s="12">
        <v>20140</v>
      </c>
      <c r="B843">
        <v>7</v>
      </c>
      <c r="C843" s="1">
        <v>0</v>
      </c>
      <c r="D843">
        <v>5</v>
      </c>
      <c r="E843">
        <v>1</v>
      </c>
      <c r="F843">
        <v>1</v>
      </c>
      <c r="G843" s="7">
        <v>0.05</v>
      </c>
      <c r="H843">
        <v>12</v>
      </c>
      <c r="I843">
        <v>0</v>
      </c>
      <c r="J843">
        <v>0</v>
      </c>
      <c r="K843">
        <v>0</v>
      </c>
      <c r="L843">
        <v>1</v>
      </c>
      <c r="M843">
        <v>2</v>
      </c>
      <c r="N843" s="7">
        <v>9</v>
      </c>
      <c r="O843" s="7">
        <v>0</v>
      </c>
      <c r="P843" s="7">
        <v>0</v>
      </c>
      <c r="Q843" s="7">
        <v>0</v>
      </c>
      <c r="R843" s="7">
        <v>1</v>
      </c>
      <c r="S843" s="7">
        <v>4.5</v>
      </c>
      <c r="T843">
        <v>7</v>
      </c>
      <c r="U843" s="1">
        <v>0</v>
      </c>
      <c r="V843">
        <v>4</v>
      </c>
      <c r="W843">
        <v>2</v>
      </c>
      <c r="X843">
        <v>1</v>
      </c>
      <c r="Y843">
        <v>0.16</v>
      </c>
      <c r="Z843">
        <v>23</v>
      </c>
      <c r="AA843">
        <v>0</v>
      </c>
      <c r="AB843">
        <v>0</v>
      </c>
      <c r="AC843">
        <v>0</v>
      </c>
      <c r="AD843">
        <v>1</v>
      </c>
      <c r="AE843">
        <v>0.05</v>
      </c>
      <c r="AF843">
        <v>15</v>
      </c>
      <c r="AG843">
        <v>0</v>
      </c>
      <c r="AH843">
        <v>0</v>
      </c>
      <c r="AI843">
        <v>0</v>
      </c>
      <c r="AJ843">
        <v>1</v>
      </c>
      <c r="AK843">
        <v>0.02</v>
      </c>
      <c r="AL843">
        <v>16</v>
      </c>
      <c r="AM843">
        <v>0</v>
      </c>
      <c r="AN843">
        <v>0</v>
      </c>
      <c r="AO843">
        <v>0</v>
      </c>
      <c r="AP843">
        <v>1</v>
      </c>
      <c r="AQ843">
        <v>0.01</v>
      </c>
      <c r="AR843">
        <v>6</v>
      </c>
      <c r="AS843">
        <v>2</v>
      </c>
      <c r="AT843">
        <v>3</v>
      </c>
      <c r="AU843">
        <v>5</v>
      </c>
      <c r="AV843">
        <v>1</v>
      </c>
      <c r="AW843">
        <v>0.05</v>
      </c>
      <c r="AX843">
        <v>7</v>
      </c>
      <c r="AY843" s="1">
        <v>0</v>
      </c>
      <c r="AZ843">
        <v>3</v>
      </c>
      <c r="BA843">
        <v>1</v>
      </c>
      <c r="BB843">
        <v>1</v>
      </c>
      <c r="BC843" s="7">
        <v>0.32</v>
      </c>
      <c r="BD843">
        <v>30</v>
      </c>
      <c r="BE843">
        <v>0</v>
      </c>
      <c r="BF843">
        <v>0</v>
      </c>
      <c r="BG843">
        <v>0</v>
      </c>
      <c r="BH843">
        <v>5</v>
      </c>
      <c r="BI843">
        <v>2.4</v>
      </c>
      <c r="BJ843">
        <v>31</v>
      </c>
      <c r="BK843">
        <v>0</v>
      </c>
      <c r="BL843">
        <v>0</v>
      </c>
      <c r="BM843">
        <v>0</v>
      </c>
      <c r="BN843">
        <v>5</v>
      </c>
      <c r="BO843">
        <v>2.4</v>
      </c>
      <c r="BP843">
        <v>36</v>
      </c>
      <c r="BQ843">
        <v>0</v>
      </c>
      <c r="BR843">
        <v>0</v>
      </c>
      <c r="BS843">
        <v>0</v>
      </c>
      <c r="BT843">
        <v>5</v>
      </c>
      <c r="BU843">
        <v>2.1</v>
      </c>
    </row>
    <row r="844" spans="1:73" ht="14.25" x14ac:dyDescent="0.15">
      <c r="A844" s="12">
        <v>20141</v>
      </c>
      <c r="B844">
        <v>7</v>
      </c>
      <c r="C844" s="1">
        <v>45</v>
      </c>
      <c r="D844">
        <v>0</v>
      </c>
      <c r="E844">
        <v>0</v>
      </c>
      <c r="F844">
        <v>1</v>
      </c>
      <c r="G844" s="7">
        <v>0.05</v>
      </c>
      <c r="H844">
        <v>12</v>
      </c>
      <c r="I844">
        <v>0</v>
      </c>
      <c r="J844">
        <v>0</v>
      </c>
      <c r="K844">
        <v>0</v>
      </c>
      <c r="L844">
        <v>1</v>
      </c>
      <c r="M844">
        <v>2</v>
      </c>
      <c r="N844" s="7">
        <v>9</v>
      </c>
      <c r="O844" s="7">
        <v>0</v>
      </c>
      <c r="P844" s="7">
        <v>0</v>
      </c>
      <c r="Q844" s="7">
        <v>0</v>
      </c>
      <c r="R844" s="7">
        <v>1</v>
      </c>
      <c r="S844" s="7">
        <v>4.5</v>
      </c>
      <c r="T844">
        <v>7</v>
      </c>
      <c r="U844" s="1">
        <v>33</v>
      </c>
      <c r="V844">
        <v>0</v>
      </c>
      <c r="W844">
        <v>0</v>
      </c>
      <c r="X844">
        <v>1</v>
      </c>
      <c r="Y844">
        <v>0.16</v>
      </c>
      <c r="Z844">
        <v>23</v>
      </c>
      <c r="AA844">
        <v>0</v>
      </c>
      <c r="AB844">
        <v>0</v>
      </c>
      <c r="AC844">
        <v>0</v>
      </c>
      <c r="AD844">
        <v>1</v>
      </c>
      <c r="AE844">
        <v>0.05</v>
      </c>
      <c r="AF844">
        <v>15</v>
      </c>
      <c r="AG844">
        <v>0</v>
      </c>
      <c r="AH844">
        <v>0</v>
      </c>
      <c r="AI844">
        <v>0</v>
      </c>
      <c r="AJ844">
        <v>1</v>
      </c>
      <c r="AK844">
        <v>0.02</v>
      </c>
      <c r="AL844">
        <v>16</v>
      </c>
      <c r="AM844">
        <v>0</v>
      </c>
      <c r="AN844">
        <v>0</v>
      </c>
      <c r="AO844">
        <v>0</v>
      </c>
      <c r="AP844">
        <v>1</v>
      </c>
      <c r="AQ844">
        <v>0.01</v>
      </c>
      <c r="AX844">
        <v>7</v>
      </c>
      <c r="AY844" s="1">
        <v>17</v>
      </c>
      <c r="AZ844">
        <v>0</v>
      </c>
      <c r="BA844">
        <v>0</v>
      </c>
      <c r="BB844">
        <v>1</v>
      </c>
      <c r="BC844" s="7">
        <v>0.32</v>
      </c>
      <c r="BD844">
        <v>30</v>
      </c>
      <c r="BE844">
        <v>0</v>
      </c>
      <c r="BF844">
        <v>0</v>
      </c>
      <c r="BG844">
        <v>0</v>
      </c>
      <c r="BH844">
        <v>5</v>
      </c>
      <c r="BI844">
        <v>2.4</v>
      </c>
      <c r="BJ844">
        <v>31</v>
      </c>
      <c r="BK844">
        <v>0</v>
      </c>
      <c r="BL844">
        <v>0</v>
      </c>
      <c r="BM844">
        <v>0</v>
      </c>
      <c r="BN844">
        <v>5</v>
      </c>
      <c r="BO844">
        <v>2.4</v>
      </c>
      <c r="BP844">
        <v>36</v>
      </c>
      <c r="BQ844">
        <v>0</v>
      </c>
      <c r="BR844">
        <v>0</v>
      </c>
      <c r="BS844">
        <v>0</v>
      </c>
      <c r="BT844">
        <v>5</v>
      </c>
      <c r="BU844">
        <v>2.1</v>
      </c>
    </row>
    <row r="845" spans="1:73" ht="14.25" x14ac:dyDescent="0.15">
      <c r="A845" s="12">
        <v>20142</v>
      </c>
      <c r="B845">
        <v>7</v>
      </c>
      <c r="C845" s="1">
        <v>46</v>
      </c>
      <c r="D845">
        <v>0</v>
      </c>
      <c r="E845">
        <v>0</v>
      </c>
      <c r="F845">
        <v>1</v>
      </c>
      <c r="G845" s="7">
        <v>0.05</v>
      </c>
      <c r="H845">
        <v>12</v>
      </c>
      <c r="I845">
        <v>0</v>
      </c>
      <c r="J845">
        <v>0</v>
      </c>
      <c r="K845">
        <v>0</v>
      </c>
      <c r="L845">
        <v>1</v>
      </c>
      <c r="M845">
        <v>2</v>
      </c>
      <c r="N845" s="7">
        <v>9</v>
      </c>
      <c r="O845" s="7">
        <v>0</v>
      </c>
      <c r="P845" s="7">
        <v>0</v>
      </c>
      <c r="Q845" s="7">
        <v>0</v>
      </c>
      <c r="R845" s="7">
        <v>1</v>
      </c>
      <c r="S845" s="7">
        <v>4.5</v>
      </c>
      <c r="T845">
        <v>7</v>
      </c>
      <c r="U845" s="1">
        <v>34</v>
      </c>
      <c r="V845">
        <v>0</v>
      </c>
      <c r="W845">
        <v>0</v>
      </c>
      <c r="X845">
        <v>1</v>
      </c>
      <c r="Y845">
        <v>0.16</v>
      </c>
      <c r="Z845">
        <v>23</v>
      </c>
      <c r="AA845">
        <v>0</v>
      </c>
      <c r="AB845">
        <v>0</v>
      </c>
      <c r="AC845">
        <v>0</v>
      </c>
      <c r="AD845">
        <v>1</v>
      </c>
      <c r="AE845">
        <v>0.05</v>
      </c>
      <c r="AF845">
        <v>15</v>
      </c>
      <c r="AG845">
        <v>0</v>
      </c>
      <c r="AH845">
        <v>0</v>
      </c>
      <c r="AI845">
        <v>0</v>
      </c>
      <c r="AJ845">
        <v>1</v>
      </c>
      <c r="AK845">
        <v>0.02</v>
      </c>
      <c r="AL845">
        <v>16</v>
      </c>
      <c r="AM845">
        <v>0</v>
      </c>
      <c r="AN845">
        <v>0</v>
      </c>
      <c r="AO845">
        <v>0</v>
      </c>
      <c r="AP845">
        <v>1</v>
      </c>
      <c r="AQ845">
        <v>0.01</v>
      </c>
      <c r="AX845">
        <v>7</v>
      </c>
      <c r="AY845" s="1">
        <v>18</v>
      </c>
      <c r="AZ845">
        <v>0</v>
      </c>
      <c r="BA845">
        <v>0</v>
      </c>
      <c r="BB845">
        <v>1</v>
      </c>
      <c r="BC845" s="7">
        <v>0.32</v>
      </c>
      <c r="BD845">
        <v>30</v>
      </c>
      <c r="BE845">
        <v>0</v>
      </c>
      <c r="BF845">
        <v>0</v>
      </c>
      <c r="BG845">
        <v>0</v>
      </c>
      <c r="BH845">
        <v>5</v>
      </c>
      <c r="BI845">
        <v>2.4</v>
      </c>
      <c r="BJ845">
        <v>31</v>
      </c>
      <c r="BK845">
        <v>0</v>
      </c>
      <c r="BL845">
        <v>0</v>
      </c>
      <c r="BM845">
        <v>0</v>
      </c>
      <c r="BN845">
        <v>5</v>
      </c>
      <c r="BO845">
        <v>2.4</v>
      </c>
      <c r="BP845">
        <v>36</v>
      </c>
      <c r="BQ845">
        <v>0</v>
      </c>
      <c r="BR845">
        <v>0</v>
      </c>
      <c r="BS845">
        <v>0</v>
      </c>
      <c r="BT845">
        <v>5</v>
      </c>
      <c r="BU845">
        <v>2.1</v>
      </c>
    </row>
    <row r="846" spans="1:73" ht="14.25" x14ac:dyDescent="0.15">
      <c r="A846" s="12">
        <v>20143</v>
      </c>
      <c r="B846">
        <v>7</v>
      </c>
      <c r="C846" s="1">
        <v>47</v>
      </c>
      <c r="D846">
        <v>0</v>
      </c>
      <c r="E846">
        <v>0</v>
      </c>
      <c r="F846">
        <v>1</v>
      </c>
      <c r="G846" s="7">
        <v>0.05</v>
      </c>
      <c r="H846">
        <v>12</v>
      </c>
      <c r="I846">
        <v>0</v>
      </c>
      <c r="J846">
        <v>0</v>
      </c>
      <c r="K846">
        <v>0</v>
      </c>
      <c r="L846">
        <v>1</v>
      </c>
      <c r="M846">
        <v>2</v>
      </c>
      <c r="N846" s="7">
        <v>9</v>
      </c>
      <c r="O846" s="7">
        <v>0</v>
      </c>
      <c r="P846" s="7">
        <v>0</v>
      </c>
      <c r="Q846" s="7">
        <v>0</v>
      </c>
      <c r="R846" s="7">
        <v>1</v>
      </c>
      <c r="S846" s="7">
        <v>4.5</v>
      </c>
      <c r="T846">
        <v>7</v>
      </c>
      <c r="U846" s="1">
        <v>35</v>
      </c>
      <c r="V846">
        <v>0</v>
      </c>
      <c r="W846">
        <v>0</v>
      </c>
      <c r="X846">
        <v>1</v>
      </c>
      <c r="Y846">
        <v>0.16</v>
      </c>
      <c r="Z846">
        <v>23</v>
      </c>
      <c r="AA846">
        <v>0</v>
      </c>
      <c r="AB846">
        <v>0</v>
      </c>
      <c r="AC846">
        <v>0</v>
      </c>
      <c r="AD846">
        <v>1</v>
      </c>
      <c r="AE846">
        <v>0.05</v>
      </c>
      <c r="AF846">
        <v>15</v>
      </c>
      <c r="AG846">
        <v>0</v>
      </c>
      <c r="AH846">
        <v>0</v>
      </c>
      <c r="AI846">
        <v>0</v>
      </c>
      <c r="AJ846">
        <v>1</v>
      </c>
      <c r="AK846">
        <v>0.02</v>
      </c>
      <c r="AL846">
        <v>16</v>
      </c>
      <c r="AM846">
        <v>0</v>
      </c>
      <c r="AN846">
        <v>0</v>
      </c>
      <c r="AO846">
        <v>0</v>
      </c>
      <c r="AP846">
        <v>1</v>
      </c>
      <c r="AQ846">
        <v>0.01</v>
      </c>
      <c r="AX846">
        <v>7</v>
      </c>
      <c r="AY846" s="1">
        <v>19</v>
      </c>
      <c r="AZ846">
        <v>0</v>
      </c>
      <c r="BA846">
        <v>0</v>
      </c>
      <c r="BB846">
        <v>1</v>
      </c>
      <c r="BC846" s="7">
        <v>0.32</v>
      </c>
      <c r="BD846">
        <v>30</v>
      </c>
      <c r="BE846">
        <v>0</v>
      </c>
      <c r="BF846">
        <v>0</v>
      </c>
      <c r="BG846">
        <v>0</v>
      </c>
      <c r="BH846">
        <v>5</v>
      </c>
      <c r="BI846">
        <v>2.4</v>
      </c>
      <c r="BJ846">
        <v>31</v>
      </c>
      <c r="BK846">
        <v>0</v>
      </c>
      <c r="BL846">
        <v>0</v>
      </c>
      <c r="BM846">
        <v>0</v>
      </c>
      <c r="BN846">
        <v>5</v>
      </c>
      <c r="BO846">
        <v>2.4</v>
      </c>
      <c r="BP846">
        <v>36</v>
      </c>
      <c r="BQ846">
        <v>0</v>
      </c>
      <c r="BR846">
        <v>0</v>
      </c>
      <c r="BS846">
        <v>0</v>
      </c>
      <c r="BT846">
        <v>5</v>
      </c>
      <c r="BU846">
        <v>2.1</v>
      </c>
    </row>
    <row r="847" spans="1:73" ht="14.25" x14ac:dyDescent="0.15">
      <c r="A847" s="12">
        <v>20144</v>
      </c>
      <c r="B847">
        <v>7</v>
      </c>
      <c r="C847" s="1">
        <v>48</v>
      </c>
      <c r="D847">
        <v>0</v>
      </c>
      <c r="E847">
        <v>0</v>
      </c>
      <c r="F847">
        <v>1</v>
      </c>
      <c r="G847" s="7">
        <v>0.05</v>
      </c>
      <c r="H847">
        <v>12</v>
      </c>
      <c r="I847">
        <v>0</v>
      </c>
      <c r="J847">
        <v>0</v>
      </c>
      <c r="K847">
        <v>0</v>
      </c>
      <c r="L847">
        <v>1</v>
      </c>
      <c r="M847">
        <v>2</v>
      </c>
      <c r="N847" s="7">
        <v>9</v>
      </c>
      <c r="O847" s="7">
        <v>0</v>
      </c>
      <c r="P847" s="7">
        <v>0</v>
      </c>
      <c r="Q847" s="7">
        <v>0</v>
      </c>
      <c r="R847" s="7">
        <v>1</v>
      </c>
      <c r="S847" s="7">
        <v>4.5</v>
      </c>
      <c r="T847">
        <v>7</v>
      </c>
      <c r="U847" s="1">
        <v>36</v>
      </c>
      <c r="V847">
        <v>0</v>
      </c>
      <c r="W847">
        <v>0</v>
      </c>
      <c r="X847">
        <v>1</v>
      </c>
      <c r="Y847">
        <v>0.16</v>
      </c>
      <c r="Z847">
        <v>23</v>
      </c>
      <c r="AA847">
        <v>0</v>
      </c>
      <c r="AB847">
        <v>0</v>
      </c>
      <c r="AC847">
        <v>0</v>
      </c>
      <c r="AD847">
        <v>1</v>
      </c>
      <c r="AE847">
        <v>0.05</v>
      </c>
      <c r="AF847">
        <v>15</v>
      </c>
      <c r="AG847">
        <v>0</v>
      </c>
      <c r="AH847">
        <v>0</v>
      </c>
      <c r="AI847">
        <v>0</v>
      </c>
      <c r="AJ847">
        <v>1</v>
      </c>
      <c r="AK847">
        <v>0.02</v>
      </c>
      <c r="AL847">
        <v>16</v>
      </c>
      <c r="AM847">
        <v>0</v>
      </c>
      <c r="AN847">
        <v>0</v>
      </c>
      <c r="AO847">
        <v>0</v>
      </c>
      <c r="AP847">
        <v>1</v>
      </c>
      <c r="AQ847">
        <v>0.01</v>
      </c>
      <c r="AX847">
        <v>7</v>
      </c>
      <c r="AY847" s="1">
        <v>20</v>
      </c>
      <c r="AZ847">
        <v>0</v>
      </c>
      <c r="BA847">
        <v>0</v>
      </c>
      <c r="BB847">
        <v>1</v>
      </c>
      <c r="BC847" s="7">
        <v>0.32</v>
      </c>
      <c r="BD847">
        <v>30</v>
      </c>
      <c r="BE847">
        <v>0</v>
      </c>
      <c r="BF847">
        <v>0</v>
      </c>
      <c r="BG847">
        <v>0</v>
      </c>
      <c r="BH847">
        <v>5</v>
      </c>
      <c r="BI847">
        <v>2.4</v>
      </c>
      <c r="BJ847">
        <v>31</v>
      </c>
      <c r="BK847">
        <v>0</v>
      </c>
      <c r="BL847">
        <v>0</v>
      </c>
      <c r="BM847">
        <v>0</v>
      </c>
      <c r="BN847">
        <v>5</v>
      </c>
      <c r="BO847">
        <v>2.4</v>
      </c>
      <c r="BP847">
        <v>36</v>
      </c>
      <c r="BQ847">
        <v>0</v>
      </c>
      <c r="BR847">
        <v>0</v>
      </c>
      <c r="BS847">
        <v>0</v>
      </c>
      <c r="BT847">
        <v>5</v>
      </c>
      <c r="BU847">
        <v>2.1</v>
      </c>
    </row>
    <row r="848" spans="1:73" ht="14.25" x14ac:dyDescent="0.15">
      <c r="A848" s="12">
        <v>20145</v>
      </c>
      <c r="B848">
        <v>7</v>
      </c>
      <c r="C848" s="1">
        <v>0</v>
      </c>
      <c r="D848">
        <v>5</v>
      </c>
      <c r="E848">
        <v>1</v>
      </c>
      <c r="F848">
        <v>1</v>
      </c>
      <c r="G848" s="7">
        <v>0.05</v>
      </c>
      <c r="H848">
        <v>12</v>
      </c>
      <c r="I848">
        <v>0</v>
      </c>
      <c r="J848">
        <v>0</v>
      </c>
      <c r="K848">
        <v>0</v>
      </c>
      <c r="L848">
        <v>1</v>
      </c>
      <c r="M848">
        <v>2</v>
      </c>
      <c r="N848" s="7">
        <v>9</v>
      </c>
      <c r="O848" s="7">
        <v>0</v>
      </c>
      <c r="P848" s="7">
        <v>0</v>
      </c>
      <c r="Q848" s="7">
        <v>0</v>
      </c>
      <c r="R848" s="7">
        <v>1</v>
      </c>
      <c r="S848" s="7">
        <v>4.5</v>
      </c>
      <c r="T848">
        <v>7</v>
      </c>
      <c r="U848" s="1">
        <v>0</v>
      </c>
      <c r="V848">
        <v>4</v>
      </c>
      <c r="W848">
        <v>2</v>
      </c>
      <c r="X848">
        <v>1</v>
      </c>
      <c r="Y848">
        <v>0.16</v>
      </c>
      <c r="Z848">
        <v>23</v>
      </c>
      <c r="AA848">
        <v>0</v>
      </c>
      <c r="AB848">
        <v>0</v>
      </c>
      <c r="AC848">
        <v>0</v>
      </c>
      <c r="AD848">
        <v>1</v>
      </c>
      <c r="AE848">
        <v>0.05</v>
      </c>
      <c r="AF848">
        <v>15</v>
      </c>
      <c r="AG848">
        <v>0</v>
      </c>
      <c r="AH848">
        <v>0</v>
      </c>
      <c r="AI848">
        <v>0</v>
      </c>
      <c r="AJ848">
        <v>1</v>
      </c>
      <c r="AK848">
        <v>0.02</v>
      </c>
      <c r="AL848">
        <v>16</v>
      </c>
      <c r="AM848">
        <v>0</v>
      </c>
      <c r="AN848">
        <v>0</v>
      </c>
      <c r="AO848">
        <v>0</v>
      </c>
      <c r="AP848">
        <v>1</v>
      </c>
      <c r="AQ848">
        <v>0.01</v>
      </c>
      <c r="AR848">
        <v>6</v>
      </c>
      <c r="AS848">
        <v>2</v>
      </c>
      <c r="AT848">
        <v>4</v>
      </c>
      <c r="AU848">
        <v>5</v>
      </c>
      <c r="AV848">
        <v>1</v>
      </c>
      <c r="AW848">
        <v>0.01</v>
      </c>
      <c r="AX848">
        <v>7</v>
      </c>
      <c r="AY848" s="1">
        <v>0</v>
      </c>
      <c r="AZ848">
        <v>3</v>
      </c>
      <c r="BA848">
        <v>1</v>
      </c>
      <c r="BB848">
        <v>1</v>
      </c>
      <c r="BC848" s="7">
        <v>0.32</v>
      </c>
      <c r="BD848">
        <v>30</v>
      </c>
      <c r="BE848">
        <v>0</v>
      </c>
      <c r="BF848">
        <v>0</v>
      </c>
      <c r="BG848">
        <v>0</v>
      </c>
      <c r="BH848">
        <v>5</v>
      </c>
      <c r="BI848">
        <v>2.4</v>
      </c>
      <c r="BJ848">
        <v>31</v>
      </c>
      <c r="BK848">
        <v>0</v>
      </c>
      <c r="BL848">
        <v>0</v>
      </c>
      <c r="BM848">
        <v>0</v>
      </c>
      <c r="BN848">
        <v>5</v>
      </c>
      <c r="BO848">
        <v>2.4</v>
      </c>
      <c r="BP848">
        <v>36</v>
      </c>
      <c r="BQ848">
        <v>0</v>
      </c>
      <c r="BR848">
        <v>0</v>
      </c>
      <c r="BS848">
        <v>0</v>
      </c>
      <c r="BT848">
        <v>5</v>
      </c>
      <c r="BU848">
        <v>2.1</v>
      </c>
    </row>
    <row r="849" spans="1:73" ht="14.25" x14ac:dyDescent="0.15">
      <c r="A849" s="12">
        <v>20146</v>
      </c>
      <c r="B849">
        <v>7</v>
      </c>
      <c r="C849" s="1">
        <v>45</v>
      </c>
      <c r="D849">
        <v>0</v>
      </c>
      <c r="E849">
        <v>0</v>
      </c>
      <c r="F849">
        <v>1</v>
      </c>
      <c r="G849" s="7">
        <v>0.05</v>
      </c>
      <c r="H849">
        <v>12</v>
      </c>
      <c r="I849">
        <v>0</v>
      </c>
      <c r="J849">
        <v>0</v>
      </c>
      <c r="K849">
        <v>0</v>
      </c>
      <c r="L849">
        <v>1</v>
      </c>
      <c r="M849">
        <v>2</v>
      </c>
      <c r="N849" s="7">
        <v>9</v>
      </c>
      <c r="O849" s="7">
        <v>0</v>
      </c>
      <c r="P849" s="7">
        <v>0</v>
      </c>
      <c r="Q849" s="7">
        <v>0</v>
      </c>
      <c r="R849" s="7">
        <v>1</v>
      </c>
      <c r="S849" s="7">
        <v>4.5</v>
      </c>
      <c r="T849">
        <v>7</v>
      </c>
      <c r="U849" s="1">
        <v>33</v>
      </c>
      <c r="V849">
        <v>0</v>
      </c>
      <c r="W849">
        <v>0</v>
      </c>
      <c r="X849">
        <v>1</v>
      </c>
      <c r="Y849">
        <v>0.16</v>
      </c>
      <c r="Z849">
        <v>23</v>
      </c>
      <c r="AA849">
        <v>0</v>
      </c>
      <c r="AB849">
        <v>0</v>
      </c>
      <c r="AC849">
        <v>0</v>
      </c>
      <c r="AD849">
        <v>1</v>
      </c>
      <c r="AE849">
        <v>0.05</v>
      </c>
      <c r="AF849">
        <v>15</v>
      </c>
      <c r="AG849">
        <v>0</v>
      </c>
      <c r="AH849">
        <v>0</v>
      </c>
      <c r="AI849">
        <v>0</v>
      </c>
      <c r="AJ849">
        <v>1</v>
      </c>
      <c r="AK849">
        <v>0.02</v>
      </c>
      <c r="AL849">
        <v>16</v>
      </c>
      <c r="AM849">
        <v>0</v>
      </c>
      <c r="AN849">
        <v>0</v>
      </c>
      <c r="AO849">
        <v>0</v>
      </c>
      <c r="AP849">
        <v>1</v>
      </c>
      <c r="AQ849">
        <v>0.01</v>
      </c>
      <c r="AX849">
        <v>7</v>
      </c>
      <c r="AY849" s="1">
        <v>17</v>
      </c>
      <c r="AZ849">
        <v>0</v>
      </c>
      <c r="BA849">
        <v>0</v>
      </c>
      <c r="BB849">
        <v>1</v>
      </c>
      <c r="BC849" s="7">
        <v>0.32</v>
      </c>
      <c r="BD849">
        <v>30</v>
      </c>
      <c r="BE849">
        <v>0</v>
      </c>
      <c r="BF849">
        <v>0</v>
      </c>
      <c r="BG849">
        <v>0</v>
      </c>
      <c r="BH849">
        <v>5</v>
      </c>
      <c r="BI849">
        <v>2.4</v>
      </c>
      <c r="BJ849">
        <v>31</v>
      </c>
      <c r="BK849">
        <v>0</v>
      </c>
      <c r="BL849">
        <v>0</v>
      </c>
      <c r="BM849">
        <v>0</v>
      </c>
      <c r="BN849">
        <v>5</v>
      </c>
      <c r="BO849">
        <v>2.4</v>
      </c>
      <c r="BP849">
        <v>36</v>
      </c>
      <c r="BQ849">
        <v>0</v>
      </c>
      <c r="BR849">
        <v>0</v>
      </c>
      <c r="BS849">
        <v>0</v>
      </c>
      <c r="BT849">
        <v>5</v>
      </c>
      <c r="BU849">
        <v>2.1</v>
      </c>
    </row>
    <row r="850" spans="1:73" ht="14.25" x14ac:dyDescent="0.15">
      <c r="A850" s="12">
        <v>20147</v>
      </c>
      <c r="B850">
        <v>7</v>
      </c>
      <c r="C850" s="1">
        <v>46</v>
      </c>
      <c r="D850">
        <v>0</v>
      </c>
      <c r="E850">
        <v>0</v>
      </c>
      <c r="F850">
        <v>1</v>
      </c>
      <c r="G850" s="7">
        <v>0.05</v>
      </c>
      <c r="H850">
        <v>12</v>
      </c>
      <c r="I850">
        <v>0</v>
      </c>
      <c r="J850">
        <v>0</v>
      </c>
      <c r="K850">
        <v>0</v>
      </c>
      <c r="L850">
        <v>1</v>
      </c>
      <c r="M850">
        <v>2</v>
      </c>
      <c r="N850" s="7">
        <v>9</v>
      </c>
      <c r="O850" s="7">
        <v>0</v>
      </c>
      <c r="P850" s="7">
        <v>0</v>
      </c>
      <c r="Q850" s="7">
        <v>0</v>
      </c>
      <c r="R850" s="7">
        <v>1</v>
      </c>
      <c r="S850" s="7">
        <v>4.5</v>
      </c>
      <c r="T850">
        <v>7</v>
      </c>
      <c r="U850" s="1">
        <v>34</v>
      </c>
      <c r="V850">
        <v>0</v>
      </c>
      <c r="W850">
        <v>0</v>
      </c>
      <c r="X850">
        <v>1</v>
      </c>
      <c r="Y850">
        <v>0.16</v>
      </c>
      <c r="Z850">
        <v>23</v>
      </c>
      <c r="AA850">
        <v>0</v>
      </c>
      <c r="AB850">
        <v>0</v>
      </c>
      <c r="AC850">
        <v>0</v>
      </c>
      <c r="AD850">
        <v>1</v>
      </c>
      <c r="AE850">
        <v>0.05</v>
      </c>
      <c r="AF850">
        <v>15</v>
      </c>
      <c r="AG850">
        <v>0</v>
      </c>
      <c r="AH850">
        <v>0</v>
      </c>
      <c r="AI850">
        <v>0</v>
      </c>
      <c r="AJ850">
        <v>1</v>
      </c>
      <c r="AK850">
        <v>0.02</v>
      </c>
      <c r="AL850">
        <v>16</v>
      </c>
      <c r="AM850">
        <v>0</v>
      </c>
      <c r="AN850">
        <v>0</v>
      </c>
      <c r="AO850">
        <v>0</v>
      </c>
      <c r="AP850">
        <v>1</v>
      </c>
      <c r="AQ850">
        <v>0.01</v>
      </c>
      <c r="AX850">
        <v>7</v>
      </c>
      <c r="AY850" s="1">
        <v>18</v>
      </c>
      <c r="AZ850">
        <v>0</v>
      </c>
      <c r="BA850">
        <v>0</v>
      </c>
      <c r="BB850">
        <v>1</v>
      </c>
      <c r="BC850" s="7">
        <v>0.32</v>
      </c>
      <c r="BD850">
        <v>30</v>
      </c>
      <c r="BE850">
        <v>0</v>
      </c>
      <c r="BF850">
        <v>0</v>
      </c>
      <c r="BG850">
        <v>0</v>
      </c>
      <c r="BH850">
        <v>5</v>
      </c>
      <c r="BI850">
        <v>2.4</v>
      </c>
      <c r="BJ850">
        <v>31</v>
      </c>
      <c r="BK850">
        <v>0</v>
      </c>
      <c r="BL850">
        <v>0</v>
      </c>
      <c r="BM850">
        <v>0</v>
      </c>
      <c r="BN850">
        <v>5</v>
      </c>
      <c r="BO850">
        <v>2.4</v>
      </c>
      <c r="BP850">
        <v>36</v>
      </c>
      <c r="BQ850">
        <v>0</v>
      </c>
      <c r="BR850">
        <v>0</v>
      </c>
      <c r="BS850">
        <v>0</v>
      </c>
      <c r="BT850">
        <v>5</v>
      </c>
      <c r="BU850">
        <v>2.1</v>
      </c>
    </row>
    <row r="851" spans="1:73" ht="14.25" x14ac:dyDescent="0.15">
      <c r="A851" s="12">
        <v>20148</v>
      </c>
      <c r="B851">
        <v>7</v>
      </c>
      <c r="C851" s="1">
        <v>47</v>
      </c>
      <c r="D851">
        <v>0</v>
      </c>
      <c r="E851">
        <v>0</v>
      </c>
      <c r="F851">
        <v>1</v>
      </c>
      <c r="G851" s="7">
        <v>0.05</v>
      </c>
      <c r="H851">
        <v>12</v>
      </c>
      <c r="I851">
        <v>0</v>
      </c>
      <c r="J851">
        <v>0</v>
      </c>
      <c r="K851">
        <v>0</v>
      </c>
      <c r="L851">
        <v>1</v>
      </c>
      <c r="M851">
        <v>2</v>
      </c>
      <c r="N851" s="7">
        <v>9</v>
      </c>
      <c r="O851" s="7">
        <v>0</v>
      </c>
      <c r="P851" s="7">
        <v>0</v>
      </c>
      <c r="Q851" s="7">
        <v>0</v>
      </c>
      <c r="R851" s="7">
        <v>1</v>
      </c>
      <c r="S851" s="7">
        <v>4.5</v>
      </c>
      <c r="T851">
        <v>7</v>
      </c>
      <c r="U851" s="1">
        <v>35</v>
      </c>
      <c r="V851">
        <v>0</v>
      </c>
      <c r="W851">
        <v>0</v>
      </c>
      <c r="X851">
        <v>1</v>
      </c>
      <c r="Y851">
        <v>0.16</v>
      </c>
      <c r="Z851">
        <v>23</v>
      </c>
      <c r="AA851">
        <v>0</v>
      </c>
      <c r="AB851">
        <v>0</v>
      </c>
      <c r="AC851">
        <v>0</v>
      </c>
      <c r="AD851">
        <v>1</v>
      </c>
      <c r="AE851">
        <v>0.05</v>
      </c>
      <c r="AF851">
        <v>15</v>
      </c>
      <c r="AG851">
        <v>0</v>
      </c>
      <c r="AH851">
        <v>0</v>
      </c>
      <c r="AI851">
        <v>0</v>
      </c>
      <c r="AJ851">
        <v>1</v>
      </c>
      <c r="AK851">
        <v>0.02</v>
      </c>
      <c r="AL851">
        <v>16</v>
      </c>
      <c r="AM851">
        <v>0</v>
      </c>
      <c r="AN851">
        <v>0</v>
      </c>
      <c r="AO851">
        <v>0</v>
      </c>
      <c r="AP851">
        <v>1</v>
      </c>
      <c r="AQ851">
        <v>0.01</v>
      </c>
      <c r="AX851">
        <v>7</v>
      </c>
      <c r="AY851" s="1">
        <v>19</v>
      </c>
      <c r="AZ851">
        <v>0</v>
      </c>
      <c r="BA851">
        <v>0</v>
      </c>
      <c r="BB851">
        <v>1</v>
      </c>
      <c r="BC851" s="7">
        <v>0.32</v>
      </c>
      <c r="BD851">
        <v>30</v>
      </c>
      <c r="BE851">
        <v>0</v>
      </c>
      <c r="BF851">
        <v>0</v>
      </c>
      <c r="BG851">
        <v>0</v>
      </c>
      <c r="BH851">
        <v>5</v>
      </c>
      <c r="BI851">
        <v>2.4</v>
      </c>
      <c r="BJ851">
        <v>31</v>
      </c>
      <c r="BK851">
        <v>0</v>
      </c>
      <c r="BL851">
        <v>0</v>
      </c>
      <c r="BM851">
        <v>0</v>
      </c>
      <c r="BN851">
        <v>5</v>
      </c>
      <c r="BO851">
        <v>2.4</v>
      </c>
      <c r="BP851">
        <v>36</v>
      </c>
      <c r="BQ851">
        <v>0</v>
      </c>
      <c r="BR851">
        <v>0</v>
      </c>
      <c r="BS851">
        <v>0</v>
      </c>
      <c r="BT851">
        <v>5</v>
      </c>
      <c r="BU851">
        <v>2.1</v>
      </c>
    </row>
    <row r="852" spans="1:73" ht="14.25" x14ac:dyDescent="0.15">
      <c r="A852" s="12">
        <v>20149</v>
      </c>
      <c r="B852">
        <v>7</v>
      </c>
      <c r="C852" s="1">
        <v>48</v>
      </c>
      <c r="D852">
        <v>0</v>
      </c>
      <c r="E852">
        <v>0</v>
      </c>
      <c r="F852">
        <v>1</v>
      </c>
      <c r="G852" s="7">
        <v>0.05</v>
      </c>
      <c r="H852">
        <v>12</v>
      </c>
      <c r="I852">
        <v>0</v>
      </c>
      <c r="J852">
        <v>0</v>
      </c>
      <c r="K852">
        <v>0</v>
      </c>
      <c r="L852">
        <v>1</v>
      </c>
      <c r="M852">
        <v>2</v>
      </c>
      <c r="N852" s="7">
        <v>9</v>
      </c>
      <c r="O852" s="7">
        <v>0</v>
      </c>
      <c r="P852" s="7">
        <v>0</v>
      </c>
      <c r="Q852" s="7">
        <v>0</v>
      </c>
      <c r="R852" s="7">
        <v>1</v>
      </c>
      <c r="S852" s="7">
        <v>4.5</v>
      </c>
      <c r="T852">
        <v>7</v>
      </c>
      <c r="U852" s="1">
        <v>36</v>
      </c>
      <c r="V852">
        <v>0</v>
      </c>
      <c r="W852">
        <v>0</v>
      </c>
      <c r="X852">
        <v>1</v>
      </c>
      <c r="Y852">
        <v>0.16</v>
      </c>
      <c r="Z852">
        <v>23</v>
      </c>
      <c r="AA852">
        <v>0</v>
      </c>
      <c r="AB852">
        <v>0</v>
      </c>
      <c r="AC852">
        <v>0</v>
      </c>
      <c r="AD852">
        <v>1</v>
      </c>
      <c r="AE852">
        <v>0.05</v>
      </c>
      <c r="AF852">
        <v>15</v>
      </c>
      <c r="AG852">
        <v>0</v>
      </c>
      <c r="AH852">
        <v>0</v>
      </c>
      <c r="AI852">
        <v>0</v>
      </c>
      <c r="AJ852">
        <v>1</v>
      </c>
      <c r="AK852">
        <v>0.02</v>
      </c>
      <c r="AL852">
        <v>16</v>
      </c>
      <c r="AM852">
        <v>0</v>
      </c>
      <c r="AN852">
        <v>0</v>
      </c>
      <c r="AO852">
        <v>0</v>
      </c>
      <c r="AP852">
        <v>1</v>
      </c>
      <c r="AQ852">
        <v>0.01</v>
      </c>
      <c r="AX852">
        <v>7</v>
      </c>
      <c r="AY852" s="1">
        <v>20</v>
      </c>
      <c r="AZ852">
        <v>0</v>
      </c>
      <c r="BA852">
        <v>0</v>
      </c>
      <c r="BB852">
        <v>1</v>
      </c>
      <c r="BC852" s="7">
        <v>0.32</v>
      </c>
      <c r="BD852">
        <v>30</v>
      </c>
      <c r="BE852">
        <v>0</v>
      </c>
      <c r="BF852">
        <v>0</v>
      </c>
      <c r="BG852">
        <v>0</v>
      </c>
      <c r="BH852">
        <v>5</v>
      </c>
      <c r="BI852">
        <v>2.4</v>
      </c>
      <c r="BJ852">
        <v>31</v>
      </c>
      <c r="BK852">
        <v>0</v>
      </c>
      <c r="BL852">
        <v>0</v>
      </c>
      <c r="BM852">
        <v>0</v>
      </c>
      <c r="BN852">
        <v>5</v>
      </c>
      <c r="BO852">
        <v>2.4</v>
      </c>
      <c r="BP852">
        <v>36</v>
      </c>
      <c r="BQ852">
        <v>0</v>
      </c>
      <c r="BR852">
        <v>0</v>
      </c>
      <c r="BS852">
        <v>0</v>
      </c>
      <c r="BT852">
        <v>5</v>
      </c>
      <c r="BU852">
        <v>2.1</v>
      </c>
    </row>
    <row r="853" spans="1:73" ht="14.25" x14ac:dyDescent="0.15">
      <c r="A853" s="12">
        <v>20150</v>
      </c>
      <c r="B853">
        <v>7</v>
      </c>
      <c r="C853" s="1">
        <v>0</v>
      </c>
      <c r="D853">
        <v>5</v>
      </c>
      <c r="E853">
        <v>1</v>
      </c>
      <c r="F853">
        <v>1</v>
      </c>
      <c r="G853" s="7">
        <v>0.05</v>
      </c>
      <c r="H853">
        <v>12</v>
      </c>
      <c r="I853">
        <v>0</v>
      </c>
      <c r="J853">
        <v>0</v>
      </c>
      <c r="K853">
        <v>0</v>
      </c>
      <c r="L853">
        <v>1</v>
      </c>
      <c r="M853">
        <v>2</v>
      </c>
      <c r="N853" s="7">
        <v>9</v>
      </c>
      <c r="O853" s="7">
        <v>0</v>
      </c>
      <c r="P853" s="7">
        <v>0</v>
      </c>
      <c r="Q853" s="7">
        <v>0</v>
      </c>
      <c r="R853" s="7">
        <v>1</v>
      </c>
      <c r="S853" s="7">
        <v>4.5</v>
      </c>
      <c r="T853">
        <v>7</v>
      </c>
      <c r="U853" s="1">
        <v>0</v>
      </c>
      <c r="V853">
        <v>4</v>
      </c>
      <c r="W853">
        <v>2</v>
      </c>
      <c r="X853">
        <v>1</v>
      </c>
      <c r="Y853">
        <v>0.16</v>
      </c>
      <c r="Z853">
        <v>23</v>
      </c>
      <c r="AA853">
        <v>0</v>
      </c>
      <c r="AB853">
        <v>0</v>
      </c>
      <c r="AC853">
        <v>0</v>
      </c>
      <c r="AD853">
        <v>1</v>
      </c>
      <c r="AE853">
        <v>0.05</v>
      </c>
      <c r="AF853">
        <v>15</v>
      </c>
      <c r="AG853">
        <v>0</v>
      </c>
      <c r="AH853">
        <v>0</v>
      </c>
      <c r="AI853">
        <v>0</v>
      </c>
      <c r="AJ853">
        <v>1</v>
      </c>
      <c r="AK853">
        <v>0.02</v>
      </c>
      <c r="AL853">
        <v>16</v>
      </c>
      <c r="AM853">
        <v>0</v>
      </c>
      <c r="AN853">
        <v>0</v>
      </c>
      <c r="AO853">
        <v>0</v>
      </c>
      <c r="AP853">
        <v>1</v>
      </c>
      <c r="AQ853">
        <v>0.01</v>
      </c>
      <c r="AR853">
        <v>6</v>
      </c>
      <c r="AS853">
        <v>2</v>
      </c>
      <c r="AT853">
        <v>5</v>
      </c>
      <c r="AU853">
        <v>5</v>
      </c>
      <c r="AV853">
        <v>1</v>
      </c>
      <c r="AW853">
        <v>0.01</v>
      </c>
      <c r="AX853">
        <v>7</v>
      </c>
      <c r="AY853" s="1">
        <v>0</v>
      </c>
      <c r="AZ853">
        <v>3</v>
      </c>
      <c r="BA853">
        <v>1</v>
      </c>
      <c r="BB853">
        <v>1</v>
      </c>
      <c r="BC853" s="7">
        <v>0.32</v>
      </c>
      <c r="BD853">
        <v>30</v>
      </c>
      <c r="BE853">
        <v>0</v>
      </c>
      <c r="BF853">
        <v>0</v>
      </c>
      <c r="BG853">
        <v>0</v>
      </c>
      <c r="BH853">
        <v>5</v>
      </c>
      <c r="BI853">
        <v>2.4</v>
      </c>
      <c r="BJ853">
        <v>31</v>
      </c>
      <c r="BK853">
        <v>0</v>
      </c>
      <c r="BL853">
        <v>0</v>
      </c>
      <c r="BM853">
        <v>0</v>
      </c>
      <c r="BN853">
        <v>5</v>
      </c>
      <c r="BO853">
        <v>2.4</v>
      </c>
      <c r="BP853">
        <v>36</v>
      </c>
      <c r="BQ853">
        <v>0</v>
      </c>
      <c r="BR853">
        <v>0</v>
      </c>
      <c r="BS853">
        <v>0</v>
      </c>
      <c r="BT853">
        <v>5</v>
      </c>
      <c r="BU853">
        <v>2.1</v>
      </c>
    </row>
    <row r="854" spans="1:73" ht="14.25" x14ac:dyDescent="0.15">
      <c r="A854" s="12">
        <v>20201</v>
      </c>
      <c r="B854">
        <v>7</v>
      </c>
      <c r="C854" s="1">
        <v>45</v>
      </c>
      <c r="D854">
        <v>0</v>
      </c>
      <c r="E854">
        <v>0</v>
      </c>
      <c r="F854">
        <v>1</v>
      </c>
      <c r="G854" s="7">
        <v>0.05</v>
      </c>
      <c r="H854">
        <v>12</v>
      </c>
      <c r="I854">
        <v>0</v>
      </c>
      <c r="J854">
        <v>0</v>
      </c>
      <c r="K854">
        <v>0</v>
      </c>
      <c r="L854">
        <v>1</v>
      </c>
      <c r="M854">
        <v>2</v>
      </c>
      <c r="N854" s="7">
        <v>9</v>
      </c>
      <c r="O854" s="7">
        <v>0</v>
      </c>
      <c r="P854" s="7">
        <v>0</v>
      </c>
      <c r="Q854" s="7">
        <v>0</v>
      </c>
      <c r="R854" s="7">
        <v>1</v>
      </c>
      <c r="S854" s="7">
        <v>4.5</v>
      </c>
      <c r="T854">
        <v>7</v>
      </c>
      <c r="U854" s="1">
        <v>33</v>
      </c>
      <c r="V854">
        <v>0</v>
      </c>
      <c r="W854">
        <v>0</v>
      </c>
      <c r="X854">
        <v>1</v>
      </c>
      <c r="Y854">
        <v>0.16</v>
      </c>
      <c r="Z854">
        <v>23</v>
      </c>
      <c r="AA854">
        <v>0</v>
      </c>
      <c r="AB854">
        <v>0</v>
      </c>
      <c r="AC854">
        <v>0</v>
      </c>
      <c r="AD854">
        <v>1</v>
      </c>
      <c r="AE854">
        <v>0.05</v>
      </c>
      <c r="AF854">
        <v>15</v>
      </c>
      <c r="AG854">
        <v>0</v>
      </c>
      <c r="AH854">
        <v>0</v>
      </c>
      <c r="AI854">
        <v>0</v>
      </c>
      <c r="AJ854">
        <v>1</v>
      </c>
      <c r="AK854">
        <v>0.02</v>
      </c>
      <c r="AL854">
        <v>16</v>
      </c>
      <c r="AM854">
        <v>0</v>
      </c>
      <c r="AN854">
        <v>0</v>
      </c>
      <c r="AO854">
        <v>0</v>
      </c>
      <c r="AP854">
        <v>1</v>
      </c>
      <c r="AQ854">
        <v>0.01</v>
      </c>
      <c r="AX854">
        <v>7</v>
      </c>
      <c r="AY854" s="1">
        <v>17</v>
      </c>
      <c r="AZ854">
        <v>0</v>
      </c>
      <c r="BA854">
        <v>0</v>
      </c>
      <c r="BB854">
        <v>1</v>
      </c>
      <c r="BC854" s="7">
        <v>0.32</v>
      </c>
      <c r="BD854">
        <v>30</v>
      </c>
      <c r="BE854">
        <v>0</v>
      </c>
      <c r="BF854">
        <v>0</v>
      </c>
      <c r="BG854">
        <v>0</v>
      </c>
      <c r="BH854">
        <v>5</v>
      </c>
      <c r="BI854">
        <v>2.4</v>
      </c>
      <c r="BJ854">
        <v>31</v>
      </c>
      <c r="BK854">
        <v>0</v>
      </c>
      <c r="BL854">
        <v>0</v>
      </c>
      <c r="BM854">
        <v>0</v>
      </c>
      <c r="BN854">
        <v>5</v>
      </c>
      <c r="BO854">
        <v>2.4</v>
      </c>
      <c r="BP854">
        <v>36</v>
      </c>
      <c r="BQ854">
        <v>0</v>
      </c>
      <c r="BR854">
        <v>0</v>
      </c>
      <c r="BS854">
        <v>0</v>
      </c>
      <c r="BT854">
        <v>5</v>
      </c>
      <c r="BU854">
        <v>2</v>
      </c>
    </row>
    <row r="855" spans="1:73" ht="14.25" x14ac:dyDescent="0.15">
      <c r="A855" s="12">
        <v>20202</v>
      </c>
      <c r="B855">
        <v>7</v>
      </c>
      <c r="C855" s="1">
        <v>46</v>
      </c>
      <c r="D855">
        <v>0</v>
      </c>
      <c r="E855">
        <v>0</v>
      </c>
      <c r="F855">
        <v>1</v>
      </c>
      <c r="G855" s="7">
        <v>0.05</v>
      </c>
      <c r="H855">
        <v>12</v>
      </c>
      <c r="I855">
        <v>0</v>
      </c>
      <c r="J855">
        <v>0</v>
      </c>
      <c r="K855">
        <v>0</v>
      </c>
      <c r="L855">
        <v>1</v>
      </c>
      <c r="M855">
        <v>2</v>
      </c>
      <c r="N855" s="7">
        <v>9</v>
      </c>
      <c r="O855" s="7">
        <v>0</v>
      </c>
      <c r="P855" s="7">
        <v>0</v>
      </c>
      <c r="Q855" s="7">
        <v>0</v>
      </c>
      <c r="R855" s="7">
        <v>1</v>
      </c>
      <c r="S855" s="7">
        <v>4.5</v>
      </c>
      <c r="T855">
        <v>7</v>
      </c>
      <c r="U855" s="1">
        <v>34</v>
      </c>
      <c r="V855">
        <v>0</v>
      </c>
      <c r="W855">
        <v>0</v>
      </c>
      <c r="X855">
        <v>1</v>
      </c>
      <c r="Y855">
        <v>0.16</v>
      </c>
      <c r="Z855">
        <v>23</v>
      </c>
      <c r="AA855">
        <v>0</v>
      </c>
      <c r="AB855">
        <v>0</v>
      </c>
      <c r="AC855">
        <v>0</v>
      </c>
      <c r="AD855">
        <v>1</v>
      </c>
      <c r="AE855">
        <v>0.05</v>
      </c>
      <c r="AF855">
        <v>15</v>
      </c>
      <c r="AG855">
        <v>0</v>
      </c>
      <c r="AH855">
        <v>0</v>
      </c>
      <c r="AI855">
        <v>0</v>
      </c>
      <c r="AJ855">
        <v>1</v>
      </c>
      <c r="AK855">
        <v>0.02</v>
      </c>
      <c r="AL855">
        <v>16</v>
      </c>
      <c r="AM855">
        <v>0</v>
      </c>
      <c r="AN855">
        <v>0</v>
      </c>
      <c r="AO855">
        <v>0</v>
      </c>
      <c r="AP855">
        <v>1</v>
      </c>
      <c r="AQ855">
        <v>0.01</v>
      </c>
      <c r="AX855">
        <v>7</v>
      </c>
      <c r="AY855" s="1">
        <v>18</v>
      </c>
      <c r="AZ855">
        <v>0</v>
      </c>
      <c r="BA855">
        <v>0</v>
      </c>
      <c r="BB855">
        <v>1</v>
      </c>
      <c r="BC855" s="7">
        <v>0.32</v>
      </c>
      <c r="BD855">
        <v>30</v>
      </c>
      <c r="BE855">
        <v>0</v>
      </c>
      <c r="BF855">
        <v>0</v>
      </c>
      <c r="BG855">
        <v>0</v>
      </c>
      <c r="BH855">
        <v>5</v>
      </c>
      <c r="BI855">
        <v>2.4</v>
      </c>
      <c r="BJ855">
        <v>31</v>
      </c>
      <c r="BK855">
        <v>0</v>
      </c>
      <c r="BL855">
        <v>0</v>
      </c>
      <c r="BM855">
        <v>0</v>
      </c>
      <c r="BN855">
        <v>5</v>
      </c>
      <c r="BO855">
        <v>2.4</v>
      </c>
      <c r="BP855">
        <v>36</v>
      </c>
      <c r="BQ855">
        <v>0</v>
      </c>
      <c r="BR855">
        <v>0</v>
      </c>
      <c r="BS855">
        <v>0</v>
      </c>
      <c r="BT855">
        <v>5</v>
      </c>
      <c r="BU855">
        <v>2</v>
      </c>
    </row>
    <row r="856" spans="1:73" ht="14.25" x14ac:dyDescent="0.15">
      <c r="A856" s="12">
        <v>20203</v>
      </c>
      <c r="B856">
        <v>7</v>
      </c>
      <c r="C856" s="1">
        <v>47</v>
      </c>
      <c r="D856">
        <v>0</v>
      </c>
      <c r="E856">
        <v>0</v>
      </c>
      <c r="F856">
        <v>1</v>
      </c>
      <c r="G856" s="7">
        <v>0.05</v>
      </c>
      <c r="H856">
        <v>12</v>
      </c>
      <c r="I856">
        <v>0</v>
      </c>
      <c r="J856">
        <v>0</v>
      </c>
      <c r="K856">
        <v>0</v>
      </c>
      <c r="L856">
        <v>1</v>
      </c>
      <c r="M856">
        <v>2</v>
      </c>
      <c r="N856" s="7">
        <v>9</v>
      </c>
      <c r="O856" s="7">
        <v>0</v>
      </c>
      <c r="P856" s="7">
        <v>0</v>
      </c>
      <c r="Q856" s="7">
        <v>0</v>
      </c>
      <c r="R856" s="7">
        <v>1</v>
      </c>
      <c r="S856" s="7">
        <v>4.5</v>
      </c>
      <c r="T856">
        <v>7</v>
      </c>
      <c r="U856" s="1">
        <v>35</v>
      </c>
      <c r="V856">
        <v>0</v>
      </c>
      <c r="W856">
        <v>0</v>
      </c>
      <c r="X856">
        <v>1</v>
      </c>
      <c r="Y856">
        <v>0.16</v>
      </c>
      <c r="Z856">
        <v>23</v>
      </c>
      <c r="AA856">
        <v>0</v>
      </c>
      <c r="AB856">
        <v>0</v>
      </c>
      <c r="AC856">
        <v>0</v>
      </c>
      <c r="AD856">
        <v>1</v>
      </c>
      <c r="AE856">
        <v>0.05</v>
      </c>
      <c r="AF856">
        <v>15</v>
      </c>
      <c r="AG856">
        <v>0</v>
      </c>
      <c r="AH856">
        <v>0</v>
      </c>
      <c r="AI856">
        <v>0</v>
      </c>
      <c r="AJ856">
        <v>1</v>
      </c>
      <c r="AK856">
        <v>0.02</v>
      </c>
      <c r="AL856">
        <v>16</v>
      </c>
      <c r="AM856">
        <v>0</v>
      </c>
      <c r="AN856">
        <v>0</v>
      </c>
      <c r="AO856">
        <v>0</v>
      </c>
      <c r="AP856">
        <v>1</v>
      </c>
      <c r="AQ856">
        <v>0.01</v>
      </c>
      <c r="AX856">
        <v>7</v>
      </c>
      <c r="AY856" s="1">
        <v>19</v>
      </c>
      <c r="AZ856">
        <v>0</v>
      </c>
      <c r="BA856">
        <v>0</v>
      </c>
      <c r="BB856">
        <v>1</v>
      </c>
      <c r="BC856" s="7">
        <v>0.32</v>
      </c>
      <c r="BD856">
        <v>30</v>
      </c>
      <c r="BE856">
        <v>0</v>
      </c>
      <c r="BF856">
        <v>0</v>
      </c>
      <c r="BG856">
        <v>0</v>
      </c>
      <c r="BH856">
        <v>5</v>
      </c>
      <c r="BI856">
        <v>2.4</v>
      </c>
      <c r="BJ856">
        <v>31</v>
      </c>
      <c r="BK856">
        <v>0</v>
      </c>
      <c r="BL856">
        <v>0</v>
      </c>
      <c r="BM856">
        <v>0</v>
      </c>
      <c r="BN856">
        <v>5</v>
      </c>
      <c r="BO856">
        <v>2.4</v>
      </c>
      <c r="BP856">
        <v>36</v>
      </c>
      <c r="BQ856">
        <v>0</v>
      </c>
      <c r="BR856">
        <v>0</v>
      </c>
      <c r="BS856">
        <v>0</v>
      </c>
      <c r="BT856">
        <v>5</v>
      </c>
      <c r="BU856">
        <v>2</v>
      </c>
    </row>
    <row r="857" spans="1:73" ht="14.25" x14ac:dyDescent="0.15">
      <c r="A857" s="12">
        <v>20204</v>
      </c>
      <c r="B857">
        <v>7</v>
      </c>
      <c r="C857" s="1">
        <v>48</v>
      </c>
      <c r="D857">
        <v>0</v>
      </c>
      <c r="E857">
        <v>0</v>
      </c>
      <c r="F857">
        <v>1</v>
      </c>
      <c r="G857" s="7">
        <v>0.05</v>
      </c>
      <c r="H857">
        <v>12</v>
      </c>
      <c r="I857">
        <v>0</v>
      </c>
      <c r="J857">
        <v>0</v>
      </c>
      <c r="K857">
        <v>0</v>
      </c>
      <c r="L857">
        <v>1</v>
      </c>
      <c r="M857">
        <v>2</v>
      </c>
      <c r="N857" s="7">
        <v>9</v>
      </c>
      <c r="O857" s="7">
        <v>0</v>
      </c>
      <c r="P857" s="7">
        <v>0</v>
      </c>
      <c r="Q857" s="7">
        <v>0</v>
      </c>
      <c r="R857" s="7">
        <v>1</v>
      </c>
      <c r="S857" s="7">
        <v>4.5</v>
      </c>
      <c r="T857">
        <v>7</v>
      </c>
      <c r="U857" s="1">
        <v>36</v>
      </c>
      <c r="V857">
        <v>0</v>
      </c>
      <c r="W857">
        <v>0</v>
      </c>
      <c r="X857">
        <v>1</v>
      </c>
      <c r="Y857">
        <v>0.16</v>
      </c>
      <c r="Z857">
        <v>23</v>
      </c>
      <c r="AA857">
        <v>0</v>
      </c>
      <c r="AB857">
        <v>0</v>
      </c>
      <c r="AC857">
        <v>0</v>
      </c>
      <c r="AD857">
        <v>1</v>
      </c>
      <c r="AE857">
        <v>0.05</v>
      </c>
      <c r="AF857">
        <v>15</v>
      </c>
      <c r="AG857">
        <v>0</v>
      </c>
      <c r="AH857">
        <v>0</v>
      </c>
      <c r="AI857">
        <v>0</v>
      </c>
      <c r="AJ857">
        <v>1</v>
      </c>
      <c r="AK857">
        <v>0.02</v>
      </c>
      <c r="AL857">
        <v>16</v>
      </c>
      <c r="AM857">
        <v>0</v>
      </c>
      <c r="AN857">
        <v>0</v>
      </c>
      <c r="AO857">
        <v>0</v>
      </c>
      <c r="AP857">
        <v>1</v>
      </c>
      <c r="AQ857">
        <v>0.01</v>
      </c>
      <c r="AX857">
        <v>7</v>
      </c>
      <c r="AY857" s="1">
        <v>20</v>
      </c>
      <c r="AZ857">
        <v>0</v>
      </c>
      <c r="BA857">
        <v>0</v>
      </c>
      <c r="BB857">
        <v>1</v>
      </c>
      <c r="BC857" s="7">
        <v>0.32</v>
      </c>
      <c r="BD857">
        <v>30</v>
      </c>
      <c r="BE857">
        <v>0</v>
      </c>
      <c r="BF857">
        <v>0</v>
      </c>
      <c r="BG857">
        <v>0</v>
      </c>
      <c r="BH857">
        <v>5</v>
      </c>
      <c r="BI857">
        <v>2.4</v>
      </c>
      <c r="BJ857">
        <v>31</v>
      </c>
      <c r="BK857">
        <v>0</v>
      </c>
      <c r="BL857">
        <v>0</v>
      </c>
      <c r="BM857">
        <v>0</v>
      </c>
      <c r="BN857">
        <v>5</v>
      </c>
      <c r="BO857">
        <v>2.4</v>
      </c>
      <c r="BP857">
        <v>36</v>
      </c>
      <c r="BQ857">
        <v>0</v>
      </c>
      <c r="BR857">
        <v>0</v>
      </c>
      <c r="BS857">
        <v>0</v>
      </c>
      <c r="BT857">
        <v>5</v>
      </c>
      <c r="BU857">
        <v>2</v>
      </c>
    </row>
    <row r="858" spans="1:73" ht="14.25" x14ac:dyDescent="0.15">
      <c r="A858" s="12">
        <v>20205</v>
      </c>
      <c r="B858">
        <v>7</v>
      </c>
      <c r="C858" s="1">
        <v>0</v>
      </c>
      <c r="D858">
        <v>5</v>
      </c>
      <c r="E858">
        <v>1</v>
      </c>
      <c r="F858">
        <v>1</v>
      </c>
      <c r="G858" s="7">
        <v>0.05</v>
      </c>
      <c r="H858">
        <v>12</v>
      </c>
      <c r="I858">
        <v>0</v>
      </c>
      <c r="J858">
        <v>0</v>
      </c>
      <c r="K858">
        <v>0</v>
      </c>
      <c r="L858">
        <v>1</v>
      </c>
      <c r="M858">
        <v>2</v>
      </c>
      <c r="N858" s="7">
        <v>9</v>
      </c>
      <c r="O858" s="7">
        <v>0</v>
      </c>
      <c r="P858" s="7">
        <v>0</v>
      </c>
      <c r="Q858" s="7">
        <v>0</v>
      </c>
      <c r="R858" s="7">
        <v>1</v>
      </c>
      <c r="S858" s="7">
        <v>4.5</v>
      </c>
      <c r="T858">
        <v>7</v>
      </c>
      <c r="U858" s="1">
        <v>0</v>
      </c>
      <c r="V858">
        <v>4</v>
      </c>
      <c r="W858">
        <v>2</v>
      </c>
      <c r="X858">
        <v>1</v>
      </c>
      <c r="Y858">
        <v>0.16</v>
      </c>
      <c r="Z858">
        <v>23</v>
      </c>
      <c r="AA858">
        <v>0</v>
      </c>
      <c r="AB858">
        <v>0</v>
      </c>
      <c r="AC858">
        <v>0</v>
      </c>
      <c r="AD858">
        <v>1</v>
      </c>
      <c r="AE858">
        <v>0.05</v>
      </c>
      <c r="AF858">
        <v>15</v>
      </c>
      <c r="AG858">
        <v>0</v>
      </c>
      <c r="AH858">
        <v>0</v>
      </c>
      <c r="AI858">
        <v>0</v>
      </c>
      <c r="AJ858">
        <v>1</v>
      </c>
      <c r="AK858">
        <v>0.02</v>
      </c>
      <c r="AL858">
        <v>16</v>
      </c>
      <c r="AM858">
        <v>0</v>
      </c>
      <c r="AN858">
        <v>0</v>
      </c>
      <c r="AO858">
        <v>0</v>
      </c>
      <c r="AP858">
        <v>1</v>
      </c>
      <c r="AQ858">
        <v>0.01</v>
      </c>
      <c r="AR858">
        <v>6</v>
      </c>
      <c r="AS858">
        <v>2</v>
      </c>
      <c r="AT858">
        <v>1</v>
      </c>
      <c r="AU858">
        <v>5</v>
      </c>
      <c r="AV858">
        <v>1</v>
      </c>
      <c r="AW858">
        <v>0.05</v>
      </c>
      <c r="AX858">
        <v>7</v>
      </c>
      <c r="AY858" s="1">
        <v>0</v>
      </c>
      <c r="AZ858">
        <v>3</v>
      </c>
      <c r="BA858">
        <v>1</v>
      </c>
      <c r="BB858">
        <v>1</v>
      </c>
      <c r="BC858" s="7">
        <v>0.32</v>
      </c>
      <c r="BD858">
        <v>30</v>
      </c>
      <c r="BE858">
        <v>0</v>
      </c>
      <c r="BF858">
        <v>0</v>
      </c>
      <c r="BG858">
        <v>0</v>
      </c>
      <c r="BH858">
        <v>5</v>
      </c>
      <c r="BI858">
        <v>2.4</v>
      </c>
      <c r="BJ858">
        <v>31</v>
      </c>
      <c r="BK858">
        <v>0</v>
      </c>
      <c r="BL858">
        <v>0</v>
      </c>
      <c r="BM858">
        <v>0</v>
      </c>
      <c r="BN858">
        <v>5</v>
      </c>
      <c r="BO858">
        <v>2.4</v>
      </c>
      <c r="BP858">
        <v>36</v>
      </c>
      <c r="BQ858">
        <v>0</v>
      </c>
      <c r="BR858">
        <v>0</v>
      </c>
      <c r="BS858">
        <v>0</v>
      </c>
      <c r="BT858">
        <v>5</v>
      </c>
      <c r="BU858">
        <v>2</v>
      </c>
    </row>
    <row r="859" spans="1:73" ht="14.25" x14ac:dyDescent="0.15">
      <c r="A859" s="12">
        <v>20206</v>
      </c>
      <c r="B859">
        <v>7</v>
      </c>
      <c r="C859" s="1">
        <v>45</v>
      </c>
      <c r="D859">
        <v>0</v>
      </c>
      <c r="E859">
        <v>0</v>
      </c>
      <c r="F859">
        <v>1</v>
      </c>
      <c r="G859" s="7">
        <v>0.05</v>
      </c>
      <c r="H859">
        <v>12</v>
      </c>
      <c r="I859">
        <v>0</v>
      </c>
      <c r="J859">
        <v>0</v>
      </c>
      <c r="K859">
        <v>0</v>
      </c>
      <c r="L859">
        <v>1</v>
      </c>
      <c r="M859">
        <v>2</v>
      </c>
      <c r="N859" s="7">
        <v>9</v>
      </c>
      <c r="O859" s="7">
        <v>0</v>
      </c>
      <c r="P859" s="7">
        <v>0</v>
      </c>
      <c r="Q859" s="7">
        <v>0</v>
      </c>
      <c r="R859" s="7">
        <v>1</v>
      </c>
      <c r="S859" s="7">
        <v>4.5</v>
      </c>
      <c r="T859">
        <v>7</v>
      </c>
      <c r="U859" s="1">
        <v>33</v>
      </c>
      <c r="V859">
        <v>0</v>
      </c>
      <c r="W859">
        <v>0</v>
      </c>
      <c r="X859">
        <v>1</v>
      </c>
      <c r="Y859">
        <v>0.16</v>
      </c>
      <c r="Z859">
        <v>23</v>
      </c>
      <c r="AA859">
        <v>0</v>
      </c>
      <c r="AB859">
        <v>0</v>
      </c>
      <c r="AC859">
        <v>0</v>
      </c>
      <c r="AD859">
        <v>1</v>
      </c>
      <c r="AE859">
        <v>0.05</v>
      </c>
      <c r="AF859">
        <v>15</v>
      </c>
      <c r="AG859">
        <v>0</v>
      </c>
      <c r="AH859">
        <v>0</v>
      </c>
      <c r="AI859">
        <v>0</v>
      </c>
      <c r="AJ859">
        <v>1</v>
      </c>
      <c r="AK859">
        <v>0.02</v>
      </c>
      <c r="AL859">
        <v>16</v>
      </c>
      <c r="AM859">
        <v>0</v>
      </c>
      <c r="AN859">
        <v>0</v>
      </c>
      <c r="AO859">
        <v>0</v>
      </c>
      <c r="AP859">
        <v>1</v>
      </c>
      <c r="AQ859">
        <v>0.01</v>
      </c>
      <c r="AX859">
        <v>7</v>
      </c>
      <c r="AY859" s="1">
        <v>17</v>
      </c>
      <c r="AZ859">
        <v>0</v>
      </c>
      <c r="BA859">
        <v>0</v>
      </c>
      <c r="BB859">
        <v>1</v>
      </c>
      <c r="BC859" s="7">
        <v>0.32</v>
      </c>
      <c r="BD859">
        <v>30</v>
      </c>
      <c r="BE859">
        <v>0</v>
      </c>
      <c r="BF859">
        <v>0</v>
      </c>
      <c r="BG859">
        <v>0</v>
      </c>
      <c r="BH859">
        <v>5</v>
      </c>
      <c r="BI859">
        <v>2.4</v>
      </c>
      <c r="BJ859">
        <v>31</v>
      </c>
      <c r="BK859">
        <v>0</v>
      </c>
      <c r="BL859">
        <v>0</v>
      </c>
      <c r="BM859">
        <v>0</v>
      </c>
      <c r="BN859">
        <v>5</v>
      </c>
      <c r="BO859">
        <v>2.4</v>
      </c>
      <c r="BP859">
        <v>36</v>
      </c>
      <c r="BQ859">
        <v>0</v>
      </c>
      <c r="BR859">
        <v>0</v>
      </c>
      <c r="BS859">
        <v>0</v>
      </c>
      <c r="BT859">
        <v>5</v>
      </c>
      <c r="BU859">
        <v>2</v>
      </c>
    </row>
    <row r="860" spans="1:73" ht="14.25" x14ac:dyDescent="0.15">
      <c r="A860" s="12">
        <v>20207</v>
      </c>
      <c r="B860">
        <v>7</v>
      </c>
      <c r="C860" s="1">
        <v>46</v>
      </c>
      <c r="D860">
        <v>0</v>
      </c>
      <c r="E860">
        <v>0</v>
      </c>
      <c r="F860">
        <v>1</v>
      </c>
      <c r="G860" s="7">
        <v>0.05</v>
      </c>
      <c r="H860">
        <v>12</v>
      </c>
      <c r="I860">
        <v>0</v>
      </c>
      <c r="J860">
        <v>0</v>
      </c>
      <c r="K860">
        <v>0</v>
      </c>
      <c r="L860">
        <v>1</v>
      </c>
      <c r="M860">
        <v>2</v>
      </c>
      <c r="N860" s="7">
        <v>9</v>
      </c>
      <c r="O860" s="7">
        <v>0</v>
      </c>
      <c r="P860" s="7">
        <v>0</v>
      </c>
      <c r="Q860" s="7">
        <v>0</v>
      </c>
      <c r="R860" s="7">
        <v>1</v>
      </c>
      <c r="S860" s="7">
        <v>4.5</v>
      </c>
      <c r="T860">
        <v>7</v>
      </c>
      <c r="U860" s="1">
        <v>34</v>
      </c>
      <c r="V860">
        <v>0</v>
      </c>
      <c r="W860">
        <v>0</v>
      </c>
      <c r="X860">
        <v>1</v>
      </c>
      <c r="Y860">
        <v>0.16</v>
      </c>
      <c r="Z860">
        <v>23</v>
      </c>
      <c r="AA860">
        <v>0</v>
      </c>
      <c r="AB860">
        <v>0</v>
      </c>
      <c r="AC860">
        <v>0</v>
      </c>
      <c r="AD860">
        <v>1</v>
      </c>
      <c r="AE860">
        <v>0.05</v>
      </c>
      <c r="AF860">
        <v>15</v>
      </c>
      <c r="AG860">
        <v>0</v>
      </c>
      <c r="AH860">
        <v>0</v>
      </c>
      <c r="AI860">
        <v>0</v>
      </c>
      <c r="AJ860">
        <v>1</v>
      </c>
      <c r="AK860">
        <v>0.02</v>
      </c>
      <c r="AL860">
        <v>16</v>
      </c>
      <c r="AM860">
        <v>0</v>
      </c>
      <c r="AN860">
        <v>0</v>
      </c>
      <c r="AO860">
        <v>0</v>
      </c>
      <c r="AP860">
        <v>1</v>
      </c>
      <c r="AQ860">
        <v>0.01</v>
      </c>
      <c r="AX860">
        <v>7</v>
      </c>
      <c r="AY860" s="1">
        <v>18</v>
      </c>
      <c r="AZ860">
        <v>0</v>
      </c>
      <c r="BA860">
        <v>0</v>
      </c>
      <c r="BB860">
        <v>1</v>
      </c>
      <c r="BC860" s="7">
        <v>0.32</v>
      </c>
      <c r="BD860">
        <v>30</v>
      </c>
      <c r="BE860">
        <v>0</v>
      </c>
      <c r="BF860">
        <v>0</v>
      </c>
      <c r="BG860">
        <v>0</v>
      </c>
      <c r="BH860">
        <v>5</v>
      </c>
      <c r="BI860">
        <v>2.4</v>
      </c>
      <c r="BJ860">
        <v>31</v>
      </c>
      <c r="BK860">
        <v>0</v>
      </c>
      <c r="BL860">
        <v>0</v>
      </c>
      <c r="BM860">
        <v>0</v>
      </c>
      <c r="BN860">
        <v>5</v>
      </c>
      <c r="BO860">
        <v>2.4</v>
      </c>
      <c r="BP860">
        <v>36</v>
      </c>
      <c r="BQ860">
        <v>0</v>
      </c>
      <c r="BR860">
        <v>0</v>
      </c>
      <c r="BS860">
        <v>0</v>
      </c>
      <c r="BT860">
        <v>5</v>
      </c>
      <c r="BU860">
        <v>2</v>
      </c>
    </row>
    <row r="861" spans="1:73" ht="14.25" x14ac:dyDescent="0.15">
      <c r="A861" s="12">
        <v>20208</v>
      </c>
      <c r="B861">
        <v>7</v>
      </c>
      <c r="C861" s="1">
        <v>47</v>
      </c>
      <c r="D861">
        <v>0</v>
      </c>
      <c r="E861">
        <v>0</v>
      </c>
      <c r="F861">
        <v>1</v>
      </c>
      <c r="G861" s="7">
        <v>0.05</v>
      </c>
      <c r="H861">
        <v>12</v>
      </c>
      <c r="I861">
        <v>0</v>
      </c>
      <c r="J861">
        <v>0</v>
      </c>
      <c r="K861">
        <v>0</v>
      </c>
      <c r="L861">
        <v>1</v>
      </c>
      <c r="M861">
        <v>2</v>
      </c>
      <c r="N861" s="7">
        <v>9</v>
      </c>
      <c r="O861" s="7">
        <v>0</v>
      </c>
      <c r="P861" s="7">
        <v>0</v>
      </c>
      <c r="Q861" s="7">
        <v>0</v>
      </c>
      <c r="R861" s="7">
        <v>1</v>
      </c>
      <c r="S861" s="7">
        <v>4.5</v>
      </c>
      <c r="T861">
        <v>7</v>
      </c>
      <c r="U861" s="1">
        <v>35</v>
      </c>
      <c r="V861">
        <v>0</v>
      </c>
      <c r="W861">
        <v>0</v>
      </c>
      <c r="X861">
        <v>1</v>
      </c>
      <c r="Y861">
        <v>0.16</v>
      </c>
      <c r="Z861">
        <v>23</v>
      </c>
      <c r="AA861">
        <v>0</v>
      </c>
      <c r="AB861">
        <v>0</v>
      </c>
      <c r="AC861">
        <v>0</v>
      </c>
      <c r="AD861">
        <v>1</v>
      </c>
      <c r="AE861">
        <v>0.05</v>
      </c>
      <c r="AF861">
        <v>15</v>
      </c>
      <c r="AG861">
        <v>0</v>
      </c>
      <c r="AH861">
        <v>0</v>
      </c>
      <c r="AI861">
        <v>0</v>
      </c>
      <c r="AJ861">
        <v>1</v>
      </c>
      <c r="AK861">
        <v>0.02</v>
      </c>
      <c r="AL861">
        <v>16</v>
      </c>
      <c r="AM861">
        <v>0</v>
      </c>
      <c r="AN861">
        <v>0</v>
      </c>
      <c r="AO861">
        <v>0</v>
      </c>
      <c r="AP861">
        <v>1</v>
      </c>
      <c r="AQ861">
        <v>0.01</v>
      </c>
      <c r="AX861">
        <v>7</v>
      </c>
      <c r="AY861" s="1">
        <v>19</v>
      </c>
      <c r="AZ861">
        <v>0</v>
      </c>
      <c r="BA861">
        <v>0</v>
      </c>
      <c r="BB861">
        <v>1</v>
      </c>
      <c r="BC861" s="7">
        <v>0.32</v>
      </c>
      <c r="BD861">
        <v>30</v>
      </c>
      <c r="BE861">
        <v>0</v>
      </c>
      <c r="BF861">
        <v>0</v>
      </c>
      <c r="BG861">
        <v>0</v>
      </c>
      <c r="BH861">
        <v>5</v>
      </c>
      <c r="BI861">
        <v>2.4</v>
      </c>
      <c r="BJ861">
        <v>31</v>
      </c>
      <c r="BK861">
        <v>0</v>
      </c>
      <c r="BL861">
        <v>0</v>
      </c>
      <c r="BM861">
        <v>0</v>
      </c>
      <c r="BN861">
        <v>5</v>
      </c>
      <c r="BO861">
        <v>2.4</v>
      </c>
      <c r="BP861">
        <v>36</v>
      </c>
      <c r="BQ861">
        <v>0</v>
      </c>
      <c r="BR861">
        <v>0</v>
      </c>
      <c r="BS861">
        <v>0</v>
      </c>
      <c r="BT861">
        <v>5</v>
      </c>
      <c r="BU861">
        <v>2</v>
      </c>
    </row>
    <row r="862" spans="1:73" ht="14.25" x14ac:dyDescent="0.15">
      <c r="A862" s="12">
        <v>20209</v>
      </c>
      <c r="B862">
        <v>7</v>
      </c>
      <c r="C862" s="1">
        <v>48</v>
      </c>
      <c r="D862">
        <v>0</v>
      </c>
      <c r="E862">
        <v>0</v>
      </c>
      <c r="F862">
        <v>1</v>
      </c>
      <c r="G862" s="7">
        <v>0.05</v>
      </c>
      <c r="H862">
        <v>12</v>
      </c>
      <c r="I862">
        <v>0</v>
      </c>
      <c r="J862">
        <v>0</v>
      </c>
      <c r="K862">
        <v>0</v>
      </c>
      <c r="L862">
        <v>1</v>
      </c>
      <c r="M862">
        <v>2</v>
      </c>
      <c r="N862" s="7">
        <v>9</v>
      </c>
      <c r="O862" s="7">
        <v>0</v>
      </c>
      <c r="P862" s="7">
        <v>0</v>
      </c>
      <c r="Q862" s="7">
        <v>0</v>
      </c>
      <c r="R862" s="7">
        <v>1</v>
      </c>
      <c r="S862" s="7">
        <v>4.5</v>
      </c>
      <c r="T862">
        <v>7</v>
      </c>
      <c r="U862" s="1">
        <v>36</v>
      </c>
      <c r="V862">
        <v>0</v>
      </c>
      <c r="W862">
        <v>0</v>
      </c>
      <c r="X862">
        <v>1</v>
      </c>
      <c r="Y862">
        <v>0.16</v>
      </c>
      <c r="Z862">
        <v>23</v>
      </c>
      <c r="AA862">
        <v>0</v>
      </c>
      <c r="AB862">
        <v>0</v>
      </c>
      <c r="AC862">
        <v>0</v>
      </c>
      <c r="AD862">
        <v>1</v>
      </c>
      <c r="AE862">
        <v>0.05</v>
      </c>
      <c r="AF862">
        <v>15</v>
      </c>
      <c r="AG862">
        <v>0</v>
      </c>
      <c r="AH862">
        <v>0</v>
      </c>
      <c r="AI862">
        <v>0</v>
      </c>
      <c r="AJ862">
        <v>1</v>
      </c>
      <c r="AK862">
        <v>0.02</v>
      </c>
      <c r="AL862">
        <v>16</v>
      </c>
      <c r="AM862">
        <v>0</v>
      </c>
      <c r="AN862">
        <v>0</v>
      </c>
      <c r="AO862">
        <v>0</v>
      </c>
      <c r="AP862">
        <v>1</v>
      </c>
      <c r="AQ862">
        <v>0.01</v>
      </c>
      <c r="AX862">
        <v>7</v>
      </c>
      <c r="AY862" s="1">
        <v>20</v>
      </c>
      <c r="AZ862">
        <v>0</v>
      </c>
      <c r="BA862">
        <v>0</v>
      </c>
      <c r="BB862">
        <v>1</v>
      </c>
      <c r="BC862" s="7">
        <v>0.32</v>
      </c>
      <c r="BD862">
        <v>30</v>
      </c>
      <c r="BE862">
        <v>0</v>
      </c>
      <c r="BF862">
        <v>0</v>
      </c>
      <c r="BG862">
        <v>0</v>
      </c>
      <c r="BH862">
        <v>5</v>
      </c>
      <c r="BI862">
        <v>2.4</v>
      </c>
      <c r="BJ862">
        <v>31</v>
      </c>
      <c r="BK862">
        <v>0</v>
      </c>
      <c r="BL862">
        <v>0</v>
      </c>
      <c r="BM862">
        <v>0</v>
      </c>
      <c r="BN862">
        <v>5</v>
      </c>
      <c r="BO862">
        <v>2.4</v>
      </c>
      <c r="BP862">
        <v>36</v>
      </c>
      <c r="BQ862">
        <v>0</v>
      </c>
      <c r="BR862">
        <v>0</v>
      </c>
      <c r="BS862">
        <v>0</v>
      </c>
      <c r="BT862">
        <v>5</v>
      </c>
      <c r="BU862">
        <v>2</v>
      </c>
    </row>
    <row r="863" spans="1:73" ht="14.25" x14ac:dyDescent="0.15">
      <c r="A863" s="12">
        <v>20210</v>
      </c>
      <c r="B863">
        <v>7</v>
      </c>
      <c r="C863" s="1">
        <v>0</v>
      </c>
      <c r="D863">
        <v>5</v>
      </c>
      <c r="E863">
        <v>1</v>
      </c>
      <c r="F863">
        <v>1</v>
      </c>
      <c r="G863" s="7">
        <v>0.05</v>
      </c>
      <c r="H863">
        <v>12</v>
      </c>
      <c r="I863">
        <v>0</v>
      </c>
      <c r="J863">
        <v>0</v>
      </c>
      <c r="K863">
        <v>0</v>
      </c>
      <c r="L863">
        <v>1</v>
      </c>
      <c r="M863">
        <v>2</v>
      </c>
      <c r="N863" s="7">
        <v>9</v>
      </c>
      <c r="O863" s="7">
        <v>0</v>
      </c>
      <c r="P863" s="7">
        <v>0</v>
      </c>
      <c r="Q863" s="7">
        <v>0</v>
      </c>
      <c r="R863" s="7">
        <v>1</v>
      </c>
      <c r="S863" s="7">
        <v>4.5</v>
      </c>
      <c r="T863">
        <v>7</v>
      </c>
      <c r="U863" s="1">
        <v>0</v>
      </c>
      <c r="V863">
        <v>4</v>
      </c>
      <c r="W863">
        <v>2</v>
      </c>
      <c r="X863">
        <v>1</v>
      </c>
      <c r="Y863">
        <v>0.16</v>
      </c>
      <c r="Z863">
        <v>23</v>
      </c>
      <c r="AA863">
        <v>0</v>
      </c>
      <c r="AB863">
        <v>0</v>
      </c>
      <c r="AC863">
        <v>0</v>
      </c>
      <c r="AD863">
        <v>1</v>
      </c>
      <c r="AE863">
        <v>0.05</v>
      </c>
      <c r="AF863">
        <v>15</v>
      </c>
      <c r="AG863">
        <v>0</v>
      </c>
      <c r="AH863">
        <v>0</v>
      </c>
      <c r="AI863">
        <v>0</v>
      </c>
      <c r="AJ863">
        <v>1</v>
      </c>
      <c r="AK863">
        <v>0.02</v>
      </c>
      <c r="AL863">
        <v>16</v>
      </c>
      <c r="AM863">
        <v>0</v>
      </c>
      <c r="AN863">
        <v>0</v>
      </c>
      <c r="AO863">
        <v>0</v>
      </c>
      <c r="AP863">
        <v>1</v>
      </c>
      <c r="AQ863">
        <v>0.01</v>
      </c>
      <c r="AR863">
        <v>6</v>
      </c>
      <c r="AS863">
        <v>2</v>
      </c>
      <c r="AT863">
        <v>2</v>
      </c>
      <c r="AU863">
        <v>5</v>
      </c>
      <c r="AV863">
        <v>1</v>
      </c>
      <c r="AW863">
        <v>0.05</v>
      </c>
      <c r="AX863">
        <v>7</v>
      </c>
      <c r="AY863" s="1">
        <v>0</v>
      </c>
      <c r="AZ863">
        <v>3</v>
      </c>
      <c r="BA863">
        <v>1</v>
      </c>
      <c r="BB863">
        <v>1</v>
      </c>
      <c r="BC863" s="7">
        <v>0.32</v>
      </c>
      <c r="BD863">
        <v>30</v>
      </c>
      <c r="BE863">
        <v>0</v>
      </c>
      <c r="BF863">
        <v>0</v>
      </c>
      <c r="BG863">
        <v>0</v>
      </c>
      <c r="BH863">
        <v>5</v>
      </c>
      <c r="BI863">
        <v>2.4</v>
      </c>
      <c r="BJ863">
        <v>31</v>
      </c>
      <c r="BK863">
        <v>0</v>
      </c>
      <c r="BL863">
        <v>0</v>
      </c>
      <c r="BM863">
        <v>0</v>
      </c>
      <c r="BN863">
        <v>5</v>
      </c>
      <c r="BO863">
        <v>2.4</v>
      </c>
      <c r="BP863">
        <v>36</v>
      </c>
      <c r="BQ863">
        <v>0</v>
      </c>
      <c r="BR863">
        <v>0</v>
      </c>
      <c r="BS863">
        <v>0</v>
      </c>
      <c r="BT863">
        <v>5</v>
      </c>
      <c r="BU863">
        <v>2</v>
      </c>
    </row>
    <row r="864" spans="1:73" ht="14.25" x14ac:dyDescent="0.15">
      <c r="A864" s="12">
        <v>20211</v>
      </c>
      <c r="B864">
        <v>7</v>
      </c>
      <c r="C864" s="1">
        <v>45</v>
      </c>
      <c r="D864">
        <v>0</v>
      </c>
      <c r="E864">
        <v>0</v>
      </c>
      <c r="F864">
        <v>1</v>
      </c>
      <c r="G864" s="7">
        <v>0.05</v>
      </c>
      <c r="H864">
        <v>12</v>
      </c>
      <c r="I864">
        <v>0</v>
      </c>
      <c r="J864">
        <v>0</v>
      </c>
      <c r="K864">
        <v>0</v>
      </c>
      <c r="L864">
        <v>1</v>
      </c>
      <c r="M864">
        <v>2</v>
      </c>
      <c r="N864" s="7">
        <v>9</v>
      </c>
      <c r="O864" s="7">
        <v>0</v>
      </c>
      <c r="P864" s="7">
        <v>0</v>
      </c>
      <c r="Q864" s="7">
        <v>0</v>
      </c>
      <c r="R864" s="7">
        <v>1</v>
      </c>
      <c r="S864" s="7">
        <v>4.5</v>
      </c>
      <c r="T864">
        <v>7</v>
      </c>
      <c r="U864" s="1">
        <v>33</v>
      </c>
      <c r="V864">
        <v>0</v>
      </c>
      <c r="W864">
        <v>0</v>
      </c>
      <c r="X864">
        <v>1</v>
      </c>
      <c r="Y864">
        <v>0.16</v>
      </c>
      <c r="Z864">
        <v>23</v>
      </c>
      <c r="AA864">
        <v>0</v>
      </c>
      <c r="AB864">
        <v>0</v>
      </c>
      <c r="AC864">
        <v>0</v>
      </c>
      <c r="AD864">
        <v>1</v>
      </c>
      <c r="AE864">
        <v>0.05</v>
      </c>
      <c r="AF864">
        <v>15</v>
      </c>
      <c r="AG864">
        <v>0</v>
      </c>
      <c r="AH864">
        <v>0</v>
      </c>
      <c r="AI864">
        <v>0</v>
      </c>
      <c r="AJ864">
        <v>1</v>
      </c>
      <c r="AK864">
        <v>0.02</v>
      </c>
      <c r="AL864">
        <v>16</v>
      </c>
      <c r="AM864">
        <v>0</v>
      </c>
      <c r="AN864">
        <v>0</v>
      </c>
      <c r="AO864">
        <v>0</v>
      </c>
      <c r="AP864">
        <v>1</v>
      </c>
      <c r="AQ864">
        <v>0.01</v>
      </c>
      <c r="AX864">
        <v>7</v>
      </c>
      <c r="AY864" s="1">
        <v>17</v>
      </c>
      <c r="AZ864">
        <v>0</v>
      </c>
      <c r="BA864">
        <v>0</v>
      </c>
      <c r="BB864">
        <v>1</v>
      </c>
      <c r="BC864" s="7">
        <v>0.32</v>
      </c>
      <c r="BD864">
        <v>30</v>
      </c>
      <c r="BE864">
        <v>0</v>
      </c>
      <c r="BF864">
        <v>0</v>
      </c>
      <c r="BG864">
        <v>0</v>
      </c>
      <c r="BH864">
        <v>5</v>
      </c>
      <c r="BI864">
        <v>2.4</v>
      </c>
      <c r="BJ864">
        <v>31</v>
      </c>
      <c r="BK864">
        <v>0</v>
      </c>
      <c r="BL864">
        <v>0</v>
      </c>
      <c r="BM864">
        <v>0</v>
      </c>
      <c r="BN864">
        <v>5</v>
      </c>
      <c r="BO864">
        <v>2.4</v>
      </c>
      <c r="BP864">
        <v>36</v>
      </c>
      <c r="BQ864">
        <v>0</v>
      </c>
      <c r="BR864">
        <v>0</v>
      </c>
      <c r="BS864">
        <v>0</v>
      </c>
      <c r="BT864">
        <v>5</v>
      </c>
      <c r="BU864">
        <v>2</v>
      </c>
    </row>
    <row r="865" spans="1:73" ht="14.25" x14ac:dyDescent="0.15">
      <c r="A865" s="12">
        <v>20212</v>
      </c>
      <c r="B865">
        <v>7</v>
      </c>
      <c r="C865" s="1">
        <v>46</v>
      </c>
      <c r="D865">
        <v>0</v>
      </c>
      <c r="E865">
        <v>0</v>
      </c>
      <c r="F865">
        <v>1</v>
      </c>
      <c r="G865" s="7">
        <v>0.05</v>
      </c>
      <c r="H865">
        <v>12</v>
      </c>
      <c r="I865">
        <v>0</v>
      </c>
      <c r="J865">
        <v>0</v>
      </c>
      <c r="K865">
        <v>0</v>
      </c>
      <c r="L865">
        <v>1</v>
      </c>
      <c r="M865">
        <v>2</v>
      </c>
      <c r="N865" s="7">
        <v>9</v>
      </c>
      <c r="O865" s="7">
        <v>0</v>
      </c>
      <c r="P865" s="7">
        <v>0</v>
      </c>
      <c r="Q865" s="7">
        <v>0</v>
      </c>
      <c r="R865" s="7">
        <v>1</v>
      </c>
      <c r="S865" s="7">
        <v>4.5</v>
      </c>
      <c r="T865">
        <v>7</v>
      </c>
      <c r="U865" s="1">
        <v>34</v>
      </c>
      <c r="V865">
        <v>0</v>
      </c>
      <c r="W865">
        <v>0</v>
      </c>
      <c r="X865">
        <v>1</v>
      </c>
      <c r="Y865">
        <v>0.16</v>
      </c>
      <c r="Z865">
        <v>23</v>
      </c>
      <c r="AA865">
        <v>0</v>
      </c>
      <c r="AB865">
        <v>0</v>
      </c>
      <c r="AC865">
        <v>0</v>
      </c>
      <c r="AD865">
        <v>1</v>
      </c>
      <c r="AE865">
        <v>0.05</v>
      </c>
      <c r="AF865">
        <v>15</v>
      </c>
      <c r="AG865">
        <v>0</v>
      </c>
      <c r="AH865">
        <v>0</v>
      </c>
      <c r="AI865">
        <v>0</v>
      </c>
      <c r="AJ865">
        <v>1</v>
      </c>
      <c r="AK865">
        <v>0.02</v>
      </c>
      <c r="AL865">
        <v>16</v>
      </c>
      <c r="AM865">
        <v>0</v>
      </c>
      <c r="AN865">
        <v>0</v>
      </c>
      <c r="AO865">
        <v>0</v>
      </c>
      <c r="AP865">
        <v>1</v>
      </c>
      <c r="AQ865">
        <v>0.01</v>
      </c>
      <c r="AX865">
        <v>7</v>
      </c>
      <c r="AY865" s="1">
        <v>18</v>
      </c>
      <c r="AZ865">
        <v>0</v>
      </c>
      <c r="BA865">
        <v>0</v>
      </c>
      <c r="BB865">
        <v>1</v>
      </c>
      <c r="BC865" s="7">
        <v>0.32</v>
      </c>
      <c r="BD865">
        <v>30</v>
      </c>
      <c r="BE865">
        <v>0</v>
      </c>
      <c r="BF865">
        <v>0</v>
      </c>
      <c r="BG865">
        <v>0</v>
      </c>
      <c r="BH865">
        <v>5</v>
      </c>
      <c r="BI865">
        <v>2.4</v>
      </c>
      <c r="BJ865">
        <v>31</v>
      </c>
      <c r="BK865">
        <v>0</v>
      </c>
      <c r="BL865">
        <v>0</v>
      </c>
      <c r="BM865">
        <v>0</v>
      </c>
      <c r="BN865">
        <v>5</v>
      </c>
      <c r="BO865">
        <v>2.4</v>
      </c>
      <c r="BP865">
        <v>36</v>
      </c>
      <c r="BQ865">
        <v>0</v>
      </c>
      <c r="BR865">
        <v>0</v>
      </c>
      <c r="BS865">
        <v>0</v>
      </c>
      <c r="BT865">
        <v>5</v>
      </c>
      <c r="BU865">
        <v>2</v>
      </c>
    </row>
    <row r="866" spans="1:73" ht="14.25" x14ac:dyDescent="0.15">
      <c r="A866" s="12">
        <v>20213</v>
      </c>
      <c r="B866">
        <v>7</v>
      </c>
      <c r="C866" s="1">
        <v>47</v>
      </c>
      <c r="D866">
        <v>0</v>
      </c>
      <c r="E866">
        <v>0</v>
      </c>
      <c r="F866">
        <v>1</v>
      </c>
      <c r="G866" s="7">
        <v>0.05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2</v>
      </c>
      <c r="N866" s="7">
        <v>9</v>
      </c>
      <c r="O866" s="7">
        <v>0</v>
      </c>
      <c r="P866" s="7">
        <v>0</v>
      </c>
      <c r="Q866" s="7">
        <v>0</v>
      </c>
      <c r="R866" s="7">
        <v>1</v>
      </c>
      <c r="S866" s="7">
        <v>4.5</v>
      </c>
      <c r="T866">
        <v>7</v>
      </c>
      <c r="U866" s="1">
        <v>35</v>
      </c>
      <c r="V866">
        <v>0</v>
      </c>
      <c r="W866">
        <v>0</v>
      </c>
      <c r="X866">
        <v>1</v>
      </c>
      <c r="Y866">
        <v>0.16</v>
      </c>
      <c r="Z866">
        <v>23</v>
      </c>
      <c r="AA866">
        <v>0</v>
      </c>
      <c r="AB866">
        <v>0</v>
      </c>
      <c r="AC866">
        <v>0</v>
      </c>
      <c r="AD866">
        <v>1</v>
      </c>
      <c r="AE866">
        <v>0.05</v>
      </c>
      <c r="AF866">
        <v>15</v>
      </c>
      <c r="AG866">
        <v>0</v>
      </c>
      <c r="AH866">
        <v>0</v>
      </c>
      <c r="AI866">
        <v>0</v>
      </c>
      <c r="AJ866">
        <v>1</v>
      </c>
      <c r="AK866">
        <v>0.02</v>
      </c>
      <c r="AL866">
        <v>16</v>
      </c>
      <c r="AM866">
        <v>0</v>
      </c>
      <c r="AN866">
        <v>0</v>
      </c>
      <c r="AO866">
        <v>0</v>
      </c>
      <c r="AP866">
        <v>1</v>
      </c>
      <c r="AQ866">
        <v>0.01</v>
      </c>
      <c r="AX866">
        <v>7</v>
      </c>
      <c r="AY866" s="1">
        <v>19</v>
      </c>
      <c r="AZ866">
        <v>0</v>
      </c>
      <c r="BA866">
        <v>0</v>
      </c>
      <c r="BB866">
        <v>1</v>
      </c>
      <c r="BC866" s="7">
        <v>0.32</v>
      </c>
      <c r="BD866">
        <v>30</v>
      </c>
      <c r="BE866">
        <v>0</v>
      </c>
      <c r="BF866">
        <v>0</v>
      </c>
      <c r="BG866">
        <v>0</v>
      </c>
      <c r="BH866">
        <v>5</v>
      </c>
      <c r="BI866">
        <v>2.4</v>
      </c>
      <c r="BJ866">
        <v>31</v>
      </c>
      <c r="BK866">
        <v>0</v>
      </c>
      <c r="BL866">
        <v>0</v>
      </c>
      <c r="BM866">
        <v>0</v>
      </c>
      <c r="BN866">
        <v>5</v>
      </c>
      <c r="BO866">
        <v>2.4</v>
      </c>
      <c r="BP866">
        <v>36</v>
      </c>
      <c r="BQ866">
        <v>0</v>
      </c>
      <c r="BR866">
        <v>0</v>
      </c>
      <c r="BS866">
        <v>0</v>
      </c>
      <c r="BT866">
        <v>5</v>
      </c>
      <c r="BU866">
        <v>2</v>
      </c>
    </row>
    <row r="867" spans="1:73" ht="14.25" x14ac:dyDescent="0.15">
      <c r="A867" s="12">
        <v>20214</v>
      </c>
      <c r="B867">
        <v>7</v>
      </c>
      <c r="C867" s="1">
        <v>48</v>
      </c>
      <c r="D867">
        <v>0</v>
      </c>
      <c r="E867">
        <v>0</v>
      </c>
      <c r="F867">
        <v>1</v>
      </c>
      <c r="G867" s="7">
        <v>0.05</v>
      </c>
      <c r="H867">
        <v>12</v>
      </c>
      <c r="I867">
        <v>0</v>
      </c>
      <c r="J867">
        <v>0</v>
      </c>
      <c r="K867">
        <v>0</v>
      </c>
      <c r="L867">
        <v>1</v>
      </c>
      <c r="M867">
        <v>2</v>
      </c>
      <c r="N867" s="7">
        <v>9</v>
      </c>
      <c r="O867" s="7">
        <v>0</v>
      </c>
      <c r="P867" s="7">
        <v>0</v>
      </c>
      <c r="Q867" s="7">
        <v>0</v>
      </c>
      <c r="R867" s="7">
        <v>1</v>
      </c>
      <c r="S867" s="7">
        <v>4.5</v>
      </c>
      <c r="T867">
        <v>7</v>
      </c>
      <c r="U867" s="1">
        <v>36</v>
      </c>
      <c r="V867">
        <v>0</v>
      </c>
      <c r="W867">
        <v>0</v>
      </c>
      <c r="X867">
        <v>1</v>
      </c>
      <c r="Y867">
        <v>0.16</v>
      </c>
      <c r="Z867">
        <v>23</v>
      </c>
      <c r="AA867">
        <v>0</v>
      </c>
      <c r="AB867">
        <v>0</v>
      </c>
      <c r="AC867">
        <v>0</v>
      </c>
      <c r="AD867">
        <v>1</v>
      </c>
      <c r="AE867">
        <v>0.05</v>
      </c>
      <c r="AF867">
        <v>15</v>
      </c>
      <c r="AG867">
        <v>0</v>
      </c>
      <c r="AH867">
        <v>0</v>
      </c>
      <c r="AI867">
        <v>0</v>
      </c>
      <c r="AJ867">
        <v>1</v>
      </c>
      <c r="AK867">
        <v>0.02</v>
      </c>
      <c r="AL867">
        <v>16</v>
      </c>
      <c r="AM867">
        <v>0</v>
      </c>
      <c r="AN867">
        <v>0</v>
      </c>
      <c r="AO867">
        <v>0</v>
      </c>
      <c r="AP867">
        <v>1</v>
      </c>
      <c r="AQ867">
        <v>0.01</v>
      </c>
      <c r="AX867">
        <v>7</v>
      </c>
      <c r="AY867" s="1">
        <v>20</v>
      </c>
      <c r="AZ867">
        <v>0</v>
      </c>
      <c r="BA867">
        <v>0</v>
      </c>
      <c r="BB867">
        <v>1</v>
      </c>
      <c r="BC867" s="7">
        <v>0.32</v>
      </c>
      <c r="BD867">
        <v>30</v>
      </c>
      <c r="BE867">
        <v>0</v>
      </c>
      <c r="BF867">
        <v>0</v>
      </c>
      <c r="BG867">
        <v>0</v>
      </c>
      <c r="BH867">
        <v>5</v>
      </c>
      <c r="BI867">
        <v>2.4</v>
      </c>
      <c r="BJ867">
        <v>31</v>
      </c>
      <c r="BK867">
        <v>0</v>
      </c>
      <c r="BL867">
        <v>0</v>
      </c>
      <c r="BM867">
        <v>0</v>
      </c>
      <c r="BN867">
        <v>5</v>
      </c>
      <c r="BO867">
        <v>2.4</v>
      </c>
      <c r="BP867">
        <v>36</v>
      </c>
      <c r="BQ867">
        <v>0</v>
      </c>
      <c r="BR867">
        <v>0</v>
      </c>
      <c r="BS867">
        <v>0</v>
      </c>
      <c r="BT867">
        <v>5</v>
      </c>
      <c r="BU867">
        <v>2</v>
      </c>
    </row>
    <row r="868" spans="1:73" ht="14.25" x14ac:dyDescent="0.15">
      <c r="A868" s="12">
        <v>20215</v>
      </c>
      <c r="B868">
        <v>7</v>
      </c>
      <c r="C868" s="1">
        <v>0</v>
      </c>
      <c r="D868">
        <v>5</v>
      </c>
      <c r="E868">
        <v>1</v>
      </c>
      <c r="F868">
        <v>1</v>
      </c>
      <c r="G868" s="7">
        <v>0.05</v>
      </c>
      <c r="H868">
        <v>12</v>
      </c>
      <c r="I868">
        <v>0</v>
      </c>
      <c r="J868">
        <v>0</v>
      </c>
      <c r="K868">
        <v>0</v>
      </c>
      <c r="L868">
        <v>1</v>
      </c>
      <c r="M868">
        <v>2</v>
      </c>
      <c r="N868" s="7">
        <v>9</v>
      </c>
      <c r="O868" s="7">
        <v>0</v>
      </c>
      <c r="P868" s="7">
        <v>0</v>
      </c>
      <c r="Q868" s="7">
        <v>0</v>
      </c>
      <c r="R868" s="7">
        <v>1</v>
      </c>
      <c r="S868" s="7">
        <v>4.5</v>
      </c>
      <c r="T868">
        <v>7</v>
      </c>
      <c r="U868" s="1">
        <v>0</v>
      </c>
      <c r="V868">
        <v>4</v>
      </c>
      <c r="W868">
        <v>2</v>
      </c>
      <c r="X868">
        <v>1</v>
      </c>
      <c r="Y868">
        <v>0.16</v>
      </c>
      <c r="Z868">
        <v>23</v>
      </c>
      <c r="AA868">
        <v>0</v>
      </c>
      <c r="AB868">
        <v>0</v>
      </c>
      <c r="AC868">
        <v>0</v>
      </c>
      <c r="AD868">
        <v>1</v>
      </c>
      <c r="AE868">
        <v>0.05</v>
      </c>
      <c r="AF868">
        <v>15</v>
      </c>
      <c r="AG868">
        <v>0</v>
      </c>
      <c r="AH868">
        <v>0</v>
      </c>
      <c r="AI868">
        <v>0</v>
      </c>
      <c r="AJ868">
        <v>1</v>
      </c>
      <c r="AK868">
        <v>0.02</v>
      </c>
      <c r="AL868">
        <v>16</v>
      </c>
      <c r="AM868">
        <v>0</v>
      </c>
      <c r="AN868">
        <v>0</v>
      </c>
      <c r="AO868">
        <v>0</v>
      </c>
      <c r="AP868">
        <v>1</v>
      </c>
      <c r="AQ868">
        <v>0.01</v>
      </c>
      <c r="AR868">
        <v>6</v>
      </c>
      <c r="AS868">
        <v>2</v>
      </c>
      <c r="AT868">
        <v>3</v>
      </c>
      <c r="AU868">
        <v>5</v>
      </c>
      <c r="AV868">
        <v>1</v>
      </c>
      <c r="AW868">
        <v>0.05</v>
      </c>
      <c r="AX868">
        <v>7</v>
      </c>
      <c r="AY868" s="1">
        <v>0</v>
      </c>
      <c r="AZ868">
        <v>3</v>
      </c>
      <c r="BA868">
        <v>1</v>
      </c>
      <c r="BB868">
        <v>1</v>
      </c>
      <c r="BC868" s="7">
        <v>0.32</v>
      </c>
      <c r="BD868">
        <v>30</v>
      </c>
      <c r="BE868">
        <v>0</v>
      </c>
      <c r="BF868">
        <v>0</v>
      </c>
      <c r="BG868">
        <v>0</v>
      </c>
      <c r="BH868">
        <v>5</v>
      </c>
      <c r="BI868">
        <v>2.4</v>
      </c>
      <c r="BJ868">
        <v>31</v>
      </c>
      <c r="BK868">
        <v>0</v>
      </c>
      <c r="BL868">
        <v>0</v>
      </c>
      <c r="BM868">
        <v>0</v>
      </c>
      <c r="BN868">
        <v>5</v>
      </c>
      <c r="BO868">
        <v>2.4</v>
      </c>
      <c r="BP868">
        <v>36</v>
      </c>
      <c r="BQ868">
        <v>0</v>
      </c>
      <c r="BR868">
        <v>0</v>
      </c>
      <c r="BS868">
        <v>0</v>
      </c>
      <c r="BT868">
        <v>5</v>
      </c>
      <c r="BU868">
        <v>2</v>
      </c>
    </row>
    <row r="869" spans="1:73" ht="14.25" x14ac:dyDescent="0.15">
      <c r="A869" s="12">
        <v>20216</v>
      </c>
      <c r="B869">
        <v>7</v>
      </c>
      <c r="C869" s="1">
        <v>45</v>
      </c>
      <c r="D869">
        <v>0</v>
      </c>
      <c r="E869">
        <v>0</v>
      </c>
      <c r="F869">
        <v>1</v>
      </c>
      <c r="G869" s="7">
        <v>0.05</v>
      </c>
      <c r="H869">
        <v>12</v>
      </c>
      <c r="I869">
        <v>0</v>
      </c>
      <c r="J869">
        <v>0</v>
      </c>
      <c r="K869">
        <v>0</v>
      </c>
      <c r="L869">
        <v>1</v>
      </c>
      <c r="M869">
        <v>2</v>
      </c>
      <c r="N869" s="7">
        <v>9</v>
      </c>
      <c r="O869" s="7">
        <v>0</v>
      </c>
      <c r="P869" s="7">
        <v>0</v>
      </c>
      <c r="Q869" s="7">
        <v>0</v>
      </c>
      <c r="R869" s="7">
        <v>1</v>
      </c>
      <c r="S869" s="7">
        <v>4.5</v>
      </c>
      <c r="T869">
        <v>7</v>
      </c>
      <c r="U869" s="1">
        <v>33</v>
      </c>
      <c r="V869">
        <v>0</v>
      </c>
      <c r="W869">
        <v>0</v>
      </c>
      <c r="X869">
        <v>1</v>
      </c>
      <c r="Y869">
        <v>0.16</v>
      </c>
      <c r="Z869">
        <v>23</v>
      </c>
      <c r="AA869">
        <v>0</v>
      </c>
      <c r="AB869">
        <v>0</v>
      </c>
      <c r="AC869">
        <v>0</v>
      </c>
      <c r="AD869">
        <v>1</v>
      </c>
      <c r="AE869">
        <v>0.05</v>
      </c>
      <c r="AF869">
        <v>15</v>
      </c>
      <c r="AG869">
        <v>0</v>
      </c>
      <c r="AH869">
        <v>0</v>
      </c>
      <c r="AI869">
        <v>0</v>
      </c>
      <c r="AJ869">
        <v>1</v>
      </c>
      <c r="AK869">
        <v>0.02</v>
      </c>
      <c r="AL869">
        <v>16</v>
      </c>
      <c r="AM869">
        <v>0</v>
      </c>
      <c r="AN869">
        <v>0</v>
      </c>
      <c r="AO869">
        <v>0</v>
      </c>
      <c r="AP869">
        <v>1</v>
      </c>
      <c r="AQ869">
        <v>0.01</v>
      </c>
      <c r="AX869">
        <v>7</v>
      </c>
      <c r="AY869" s="1">
        <v>17</v>
      </c>
      <c r="AZ869">
        <v>0</v>
      </c>
      <c r="BA869">
        <v>0</v>
      </c>
      <c r="BB869">
        <v>1</v>
      </c>
      <c r="BC869" s="7">
        <v>0.32</v>
      </c>
      <c r="BD869">
        <v>30</v>
      </c>
      <c r="BE869">
        <v>0</v>
      </c>
      <c r="BF869">
        <v>0</v>
      </c>
      <c r="BG869">
        <v>0</v>
      </c>
      <c r="BH869">
        <v>5</v>
      </c>
      <c r="BI869">
        <v>2.4</v>
      </c>
      <c r="BJ869">
        <v>31</v>
      </c>
      <c r="BK869">
        <v>0</v>
      </c>
      <c r="BL869">
        <v>0</v>
      </c>
      <c r="BM869">
        <v>0</v>
      </c>
      <c r="BN869">
        <v>5</v>
      </c>
      <c r="BO869">
        <v>2.4</v>
      </c>
      <c r="BP869">
        <v>36</v>
      </c>
      <c r="BQ869">
        <v>0</v>
      </c>
      <c r="BR869">
        <v>0</v>
      </c>
      <c r="BS869">
        <v>0</v>
      </c>
      <c r="BT869">
        <v>5</v>
      </c>
      <c r="BU869">
        <v>2</v>
      </c>
    </row>
    <row r="870" spans="1:73" ht="14.25" x14ac:dyDescent="0.15">
      <c r="A870" s="12">
        <v>20217</v>
      </c>
      <c r="B870">
        <v>7</v>
      </c>
      <c r="C870" s="1">
        <v>46</v>
      </c>
      <c r="D870">
        <v>0</v>
      </c>
      <c r="E870">
        <v>0</v>
      </c>
      <c r="F870">
        <v>1</v>
      </c>
      <c r="G870" s="7">
        <v>0.05</v>
      </c>
      <c r="H870">
        <v>12</v>
      </c>
      <c r="I870">
        <v>0</v>
      </c>
      <c r="J870">
        <v>0</v>
      </c>
      <c r="K870">
        <v>0</v>
      </c>
      <c r="L870">
        <v>1</v>
      </c>
      <c r="M870">
        <v>2</v>
      </c>
      <c r="N870" s="7">
        <v>9</v>
      </c>
      <c r="O870" s="7">
        <v>0</v>
      </c>
      <c r="P870" s="7">
        <v>0</v>
      </c>
      <c r="Q870" s="7">
        <v>0</v>
      </c>
      <c r="R870" s="7">
        <v>1</v>
      </c>
      <c r="S870" s="7">
        <v>4.5</v>
      </c>
      <c r="T870">
        <v>7</v>
      </c>
      <c r="U870" s="1">
        <v>34</v>
      </c>
      <c r="V870">
        <v>0</v>
      </c>
      <c r="W870">
        <v>0</v>
      </c>
      <c r="X870">
        <v>1</v>
      </c>
      <c r="Y870">
        <v>0.16</v>
      </c>
      <c r="Z870">
        <v>23</v>
      </c>
      <c r="AA870">
        <v>0</v>
      </c>
      <c r="AB870">
        <v>0</v>
      </c>
      <c r="AC870">
        <v>0</v>
      </c>
      <c r="AD870">
        <v>1</v>
      </c>
      <c r="AE870">
        <v>0.05</v>
      </c>
      <c r="AF870">
        <v>15</v>
      </c>
      <c r="AG870">
        <v>0</v>
      </c>
      <c r="AH870">
        <v>0</v>
      </c>
      <c r="AI870">
        <v>0</v>
      </c>
      <c r="AJ870">
        <v>1</v>
      </c>
      <c r="AK870">
        <v>0.02</v>
      </c>
      <c r="AL870">
        <v>16</v>
      </c>
      <c r="AM870">
        <v>0</v>
      </c>
      <c r="AN870">
        <v>0</v>
      </c>
      <c r="AO870">
        <v>0</v>
      </c>
      <c r="AP870">
        <v>1</v>
      </c>
      <c r="AQ870">
        <v>0.01</v>
      </c>
      <c r="AX870">
        <v>7</v>
      </c>
      <c r="AY870" s="1">
        <v>18</v>
      </c>
      <c r="AZ870">
        <v>0</v>
      </c>
      <c r="BA870">
        <v>0</v>
      </c>
      <c r="BB870">
        <v>1</v>
      </c>
      <c r="BC870" s="7">
        <v>0.32</v>
      </c>
      <c r="BD870">
        <v>30</v>
      </c>
      <c r="BE870">
        <v>0</v>
      </c>
      <c r="BF870">
        <v>0</v>
      </c>
      <c r="BG870">
        <v>0</v>
      </c>
      <c r="BH870">
        <v>5</v>
      </c>
      <c r="BI870">
        <v>2.4</v>
      </c>
      <c r="BJ870">
        <v>31</v>
      </c>
      <c r="BK870">
        <v>0</v>
      </c>
      <c r="BL870">
        <v>0</v>
      </c>
      <c r="BM870">
        <v>0</v>
      </c>
      <c r="BN870">
        <v>5</v>
      </c>
      <c r="BO870">
        <v>2.4</v>
      </c>
      <c r="BP870">
        <v>36</v>
      </c>
      <c r="BQ870">
        <v>0</v>
      </c>
      <c r="BR870">
        <v>0</v>
      </c>
      <c r="BS870">
        <v>0</v>
      </c>
      <c r="BT870">
        <v>5</v>
      </c>
      <c r="BU870">
        <v>2</v>
      </c>
    </row>
    <row r="871" spans="1:73" ht="14.25" x14ac:dyDescent="0.15">
      <c r="A871" s="12">
        <v>20218</v>
      </c>
      <c r="B871">
        <v>7</v>
      </c>
      <c r="C871" s="1">
        <v>47</v>
      </c>
      <c r="D871">
        <v>0</v>
      </c>
      <c r="E871">
        <v>0</v>
      </c>
      <c r="F871">
        <v>1</v>
      </c>
      <c r="G871" s="7">
        <v>0.05</v>
      </c>
      <c r="H871">
        <v>12</v>
      </c>
      <c r="I871">
        <v>0</v>
      </c>
      <c r="J871">
        <v>0</v>
      </c>
      <c r="K871">
        <v>0</v>
      </c>
      <c r="L871">
        <v>1</v>
      </c>
      <c r="M871">
        <v>2</v>
      </c>
      <c r="N871" s="7">
        <v>9</v>
      </c>
      <c r="O871" s="7">
        <v>0</v>
      </c>
      <c r="P871" s="7">
        <v>0</v>
      </c>
      <c r="Q871" s="7">
        <v>0</v>
      </c>
      <c r="R871" s="7">
        <v>1</v>
      </c>
      <c r="S871" s="7">
        <v>4.5</v>
      </c>
      <c r="T871">
        <v>7</v>
      </c>
      <c r="U871" s="1">
        <v>35</v>
      </c>
      <c r="V871">
        <v>0</v>
      </c>
      <c r="W871">
        <v>0</v>
      </c>
      <c r="X871">
        <v>1</v>
      </c>
      <c r="Y871">
        <v>0.16</v>
      </c>
      <c r="Z871">
        <v>23</v>
      </c>
      <c r="AA871">
        <v>0</v>
      </c>
      <c r="AB871">
        <v>0</v>
      </c>
      <c r="AC871">
        <v>0</v>
      </c>
      <c r="AD871">
        <v>1</v>
      </c>
      <c r="AE871">
        <v>0.05</v>
      </c>
      <c r="AF871">
        <v>15</v>
      </c>
      <c r="AG871">
        <v>0</v>
      </c>
      <c r="AH871">
        <v>0</v>
      </c>
      <c r="AI871">
        <v>0</v>
      </c>
      <c r="AJ871">
        <v>1</v>
      </c>
      <c r="AK871">
        <v>0.02</v>
      </c>
      <c r="AL871">
        <v>16</v>
      </c>
      <c r="AM871">
        <v>0</v>
      </c>
      <c r="AN871">
        <v>0</v>
      </c>
      <c r="AO871">
        <v>0</v>
      </c>
      <c r="AP871">
        <v>1</v>
      </c>
      <c r="AQ871">
        <v>0.01</v>
      </c>
      <c r="AX871">
        <v>7</v>
      </c>
      <c r="AY871" s="1">
        <v>19</v>
      </c>
      <c r="AZ871">
        <v>0</v>
      </c>
      <c r="BA871">
        <v>0</v>
      </c>
      <c r="BB871">
        <v>1</v>
      </c>
      <c r="BC871" s="7">
        <v>0.32</v>
      </c>
      <c r="BD871">
        <v>30</v>
      </c>
      <c r="BE871">
        <v>0</v>
      </c>
      <c r="BF871">
        <v>0</v>
      </c>
      <c r="BG871">
        <v>0</v>
      </c>
      <c r="BH871">
        <v>5</v>
      </c>
      <c r="BI871">
        <v>2.4</v>
      </c>
      <c r="BJ871">
        <v>31</v>
      </c>
      <c r="BK871">
        <v>0</v>
      </c>
      <c r="BL871">
        <v>0</v>
      </c>
      <c r="BM871">
        <v>0</v>
      </c>
      <c r="BN871">
        <v>5</v>
      </c>
      <c r="BO871">
        <v>2.4</v>
      </c>
      <c r="BP871">
        <v>36</v>
      </c>
      <c r="BQ871">
        <v>0</v>
      </c>
      <c r="BR871">
        <v>0</v>
      </c>
      <c r="BS871">
        <v>0</v>
      </c>
      <c r="BT871">
        <v>5</v>
      </c>
      <c r="BU871">
        <v>2</v>
      </c>
    </row>
    <row r="872" spans="1:73" ht="14.25" x14ac:dyDescent="0.15">
      <c r="A872" s="12">
        <v>20219</v>
      </c>
      <c r="B872">
        <v>7</v>
      </c>
      <c r="C872" s="1">
        <v>48</v>
      </c>
      <c r="D872">
        <v>0</v>
      </c>
      <c r="E872">
        <v>0</v>
      </c>
      <c r="F872">
        <v>1</v>
      </c>
      <c r="G872" s="7">
        <v>0.05</v>
      </c>
      <c r="H872">
        <v>12</v>
      </c>
      <c r="I872">
        <v>0</v>
      </c>
      <c r="J872">
        <v>0</v>
      </c>
      <c r="K872">
        <v>0</v>
      </c>
      <c r="L872">
        <v>1</v>
      </c>
      <c r="M872">
        <v>2</v>
      </c>
      <c r="N872" s="7">
        <v>9</v>
      </c>
      <c r="O872" s="7">
        <v>0</v>
      </c>
      <c r="P872" s="7">
        <v>0</v>
      </c>
      <c r="Q872" s="7">
        <v>0</v>
      </c>
      <c r="R872" s="7">
        <v>1</v>
      </c>
      <c r="S872" s="7">
        <v>4.5</v>
      </c>
      <c r="T872">
        <v>7</v>
      </c>
      <c r="U872" s="1">
        <v>36</v>
      </c>
      <c r="V872">
        <v>0</v>
      </c>
      <c r="W872">
        <v>0</v>
      </c>
      <c r="X872">
        <v>1</v>
      </c>
      <c r="Y872">
        <v>0.16</v>
      </c>
      <c r="Z872">
        <v>23</v>
      </c>
      <c r="AA872">
        <v>0</v>
      </c>
      <c r="AB872">
        <v>0</v>
      </c>
      <c r="AC872">
        <v>0</v>
      </c>
      <c r="AD872">
        <v>1</v>
      </c>
      <c r="AE872">
        <v>0.05</v>
      </c>
      <c r="AF872">
        <v>15</v>
      </c>
      <c r="AG872">
        <v>0</v>
      </c>
      <c r="AH872">
        <v>0</v>
      </c>
      <c r="AI872">
        <v>0</v>
      </c>
      <c r="AJ872">
        <v>1</v>
      </c>
      <c r="AK872">
        <v>0.02</v>
      </c>
      <c r="AL872">
        <v>16</v>
      </c>
      <c r="AM872">
        <v>0</v>
      </c>
      <c r="AN872">
        <v>0</v>
      </c>
      <c r="AO872">
        <v>0</v>
      </c>
      <c r="AP872">
        <v>1</v>
      </c>
      <c r="AQ872">
        <v>0.01</v>
      </c>
      <c r="AX872">
        <v>7</v>
      </c>
      <c r="AY872" s="1">
        <v>20</v>
      </c>
      <c r="AZ872">
        <v>0</v>
      </c>
      <c r="BA872">
        <v>0</v>
      </c>
      <c r="BB872">
        <v>1</v>
      </c>
      <c r="BC872" s="7">
        <v>0.32</v>
      </c>
      <c r="BD872">
        <v>30</v>
      </c>
      <c r="BE872">
        <v>0</v>
      </c>
      <c r="BF872">
        <v>0</v>
      </c>
      <c r="BG872">
        <v>0</v>
      </c>
      <c r="BH872">
        <v>5</v>
      </c>
      <c r="BI872">
        <v>2.4</v>
      </c>
      <c r="BJ872">
        <v>31</v>
      </c>
      <c r="BK872">
        <v>0</v>
      </c>
      <c r="BL872">
        <v>0</v>
      </c>
      <c r="BM872">
        <v>0</v>
      </c>
      <c r="BN872">
        <v>5</v>
      </c>
      <c r="BO872">
        <v>2.4</v>
      </c>
      <c r="BP872">
        <v>36</v>
      </c>
      <c r="BQ872">
        <v>0</v>
      </c>
      <c r="BR872">
        <v>0</v>
      </c>
      <c r="BS872">
        <v>0</v>
      </c>
      <c r="BT872">
        <v>5</v>
      </c>
      <c r="BU872">
        <v>2</v>
      </c>
    </row>
    <row r="873" spans="1:73" ht="14.25" x14ac:dyDescent="0.15">
      <c r="A873" s="12">
        <v>20220</v>
      </c>
      <c r="B873">
        <v>7</v>
      </c>
      <c r="C873" s="1">
        <v>0</v>
      </c>
      <c r="D873">
        <v>5</v>
      </c>
      <c r="E873">
        <v>1</v>
      </c>
      <c r="F873">
        <v>1</v>
      </c>
      <c r="G873" s="7">
        <v>0.05</v>
      </c>
      <c r="H873">
        <v>12</v>
      </c>
      <c r="I873">
        <v>0</v>
      </c>
      <c r="J873">
        <v>0</v>
      </c>
      <c r="K873">
        <v>0</v>
      </c>
      <c r="L873">
        <v>1</v>
      </c>
      <c r="M873">
        <v>2</v>
      </c>
      <c r="N873" s="7">
        <v>9</v>
      </c>
      <c r="O873" s="7">
        <v>0</v>
      </c>
      <c r="P873" s="7">
        <v>0</v>
      </c>
      <c r="Q873" s="7">
        <v>0</v>
      </c>
      <c r="R873" s="7">
        <v>1</v>
      </c>
      <c r="S873" s="7">
        <v>4.5</v>
      </c>
      <c r="T873">
        <v>7</v>
      </c>
      <c r="U873" s="1">
        <v>0</v>
      </c>
      <c r="V873">
        <v>4</v>
      </c>
      <c r="W873">
        <v>2</v>
      </c>
      <c r="X873">
        <v>1</v>
      </c>
      <c r="Y873">
        <v>0.16</v>
      </c>
      <c r="Z873">
        <v>23</v>
      </c>
      <c r="AA873">
        <v>0</v>
      </c>
      <c r="AB873">
        <v>0</v>
      </c>
      <c r="AC873">
        <v>0</v>
      </c>
      <c r="AD873">
        <v>1</v>
      </c>
      <c r="AE873">
        <v>0.05</v>
      </c>
      <c r="AF873">
        <v>15</v>
      </c>
      <c r="AG873">
        <v>0</v>
      </c>
      <c r="AH873">
        <v>0</v>
      </c>
      <c r="AI873">
        <v>0</v>
      </c>
      <c r="AJ873">
        <v>1</v>
      </c>
      <c r="AK873">
        <v>0.02</v>
      </c>
      <c r="AL873">
        <v>16</v>
      </c>
      <c r="AM873">
        <v>0</v>
      </c>
      <c r="AN873">
        <v>0</v>
      </c>
      <c r="AO873">
        <v>0</v>
      </c>
      <c r="AP873">
        <v>1</v>
      </c>
      <c r="AQ873">
        <v>0.01</v>
      </c>
      <c r="AR873">
        <v>6</v>
      </c>
      <c r="AS873">
        <v>2</v>
      </c>
      <c r="AT873">
        <v>4</v>
      </c>
      <c r="AU873">
        <v>5</v>
      </c>
      <c r="AV873">
        <v>1</v>
      </c>
      <c r="AW873">
        <v>0.01</v>
      </c>
      <c r="AX873">
        <v>7</v>
      </c>
      <c r="AY873" s="1">
        <v>0</v>
      </c>
      <c r="AZ873">
        <v>3</v>
      </c>
      <c r="BA873">
        <v>1</v>
      </c>
      <c r="BB873">
        <v>1</v>
      </c>
      <c r="BC873" s="7">
        <v>0.32</v>
      </c>
      <c r="BD873">
        <v>30</v>
      </c>
      <c r="BE873">
        <v>0</v>
      </c>
      <c r="BF873">
        <v>0</v>
      </c>
      <c r="BG873">
        <v>0</v>
      </c>
      <c r="BH873">
        <v>5</v>
      </c>
      <c r="BI873">
        <v>2.4</v>
      </c>
      <c r="BJ873">
        <v>31</v>
      </c>
      <c r="BK873">
        <v>0</v>
      </c>
      <c r="BL873">
        <v>0</v>
      </c>
      <c r="BM873">
        <v>0</v>
      </c>
      <c r="BN873">
        <v>5</v>
      </c>
      <c r="BO873">
        <v>2.4</v>
      </c>
      <c r="BP873">
        <v>36</v>
      </c>
      <c r="BQ873">
        <v>0</v>
      </c>
      <c r="BR873">
        <v>0</v>
      </c>
      <c r="BS873">
        <v>0</v>
      </c>
      <c r="BT873">
        <v>5</v>
      </c>
      <c r="BU873">
        <v>2</v>
      </c>
    </row>
    <row r="874" spans="1:73" ht="14.25" x14ac:dyDescent="0.15">
      <c r="A874" s="12">
        <v>20221</v>
      </c>
      <c r="B874">
        <v>7</v>
      </c>
      <c r="C874" s="1">
        <v>45</v>
      </c>
      <c r="D874">
        <v>0</v>
      </c>
      <c r="E874">
        <v>0</v>
      </c>
      <c r="F874">
        <v>1</v>
      </c>
      <c r="G874" s="7">
        <v>0.05</v>
      </c>
      <c r="H874">
        <v>12</v>
      </c>
      <c r="I874">
        <v>0</v>
      </c>
      <c r="J874">
        <v>0</v>
      </c>
      <c r="K874">
        <v>0</v>
      </c>
      <c r="L874">
        <v>1</v>
      </c>
      <c r="M874">
        <v>2</v>
      </c>
      <c r="N874" s="7">
        <v>9</v>
      </c>
      <c r="O874" s="7">
        <v>0</v>
      </c>
      <c r="P874" s="7">
        <v>0</v>
      </c>
      <c r="Q874" s="7">
        <v>0</v>
      </c>
      <c r="R874" s="7">
        <v>1</v>
      </c>
      <c r="S874" s="7">
        <v>4.5</v>
      </c>
      <c r="T874">
        <v>7</v>
      </c>
      <c r="U874" s="1">
        <v>33</v>
      </c>
      <c r="V874">
        <v>0</v>
      </c>
      <c r="W874">
        <v>0</v>
      </c>
      <c r="X874">
        <v>1</v>
      </c>
      <c r="Y874">
        <v>0.16</v>
      </c>
      <c r="Z874">
        <v>23</v>
      </c>
      <c r="AA874">
        <v>0</v>
      </c>
      <c r="AB874">
        <v>0</v>
      </c>
      <c r="AC874">
        <v>0</v>
      </c>
      <c r="AD874">
        <v>1</v>
      </c>
      <c r="AE874">
        <v>0.05</v>
      </c>
      <c r="AF874">
        <v>15</v>
      </c>
      <c r="AG874">
        <v>0</v>
      </c>
      <c r="AH874">
        <v>0</v>
      </c>
      <c r="AI874">
        <v>0</v>
      </c>
      <c r="AJ874">
        <v>1</v>
      </c>
      <c r="AK874">
        <v>0.02</v>
      </c>
      <c r="AL874">
        <v>16</v>
      </c>
      <c r="AM874">
        <v>0</v>
      </c>
      <c r="AN874">
        <v>0</v>
      </c>
      <c r="AO874">
        <v>0</v>
      </c>
      <c r="AP874">
        <v>1</v>
      </c>
      <c r="AQ874">
        <v>0.01</v>
      </c>
      <c r="AX874">
        <v>7</v>
      </c>
      <c r="AY874" s="1">
        <v>17</v>
      </c>
      <c r="AZ874">
        <v>0</v>
      </c>
      <c r="BA874">
        <v>0</v>
      </c>
      <c r="BB874">
        <v>1</v>
      </c>
      <c r="BC874" s="7">
        <v>0.32</v>
      </c>
      <c r="BD874">
        <v>30</v>
      </c>
      <c r="BE874">
        <v>0</v>
      </c>
      <c r="BF874">
        <v>0</v>
      </c>
      <c r="BG874">
        <v>0</v>
      </c>
      <c r="BH874">
        <v>5</v>
      </c>
      <c r="BI874">
        <v>2.4</v>
      </c>
      <c r="BJ874">
        <v>31</v>
      </c>
      <c r="BK874">
        <v>0</v>
      </c>
      <c r="BL874">
        <v>0</v>
      </c>
      <c r="BM874">
        <v>0</v>
      </c>
      <c r="BN874">
        <v>5</v>
      </c>
      <c r="BO874">
        <v>2.4</v>
      </c>
      <c r="BP874">
        <v>36</v>
      </c>
      <c r="BQ874">
        <v>0</v>
      </c>
      <c r="BR874">
        <v>0</v>
      </c>
      <c r="BS874">
        <v>0</v>
      </c>
      <c r="BT874">
        <v>5</v>
      </c>
      <c r="BU874">
        <v>2</v>
      </c>
    </row>
    <row r="875" spans="1:73" ht="14.25" x14ac:dyDescent="0.15">
      <c r="A875" s="12">
        <v>20222</v>
      </c>
      <c r="B875">
        <v>7</v>
      </c>
      <c r="C875" s="1">
        <v>46</v>
      </c>
      <c r="D875">
        <v>0</v>
      </c>
      <c r="E875">
        <v>0</v>
      </c>
      <c r="F875">
        <v>1</v>
      </c>
      <c r="G875" s="7">
        <v>0.05</v>
      </c>
      <c r="H875">
        <v>12</v>
      </c>
      <c r="I875">
        <v>0</v>
      </c>
      <c r="J875">
        <v>0</v>
      </c>
      <c r="K875">
        <v>0</v>
      </c>
      <c r="L875">
        <v>1</v>
      </c>
      <c r="M875">
        <v>2</v>
      </c>
      <c r="N875" s="7">
        <v>9</v>
      </c>
      <c r="O875" s="7">
        <v>0</v>
      </c>
      <c r="P875" s="7">
        <v>0</v>
      </c>
      <c r="Q875" s="7">
        <v>0</v>
      </c>
      <c r="R875" s="7">
        <v>1</v>
      </c>
      <c r="S875" s="7">
        <v>4.5</v>
      </c>
      <c r="T875">
        <v>7</v>
      </c>
      <c r="U875" s="1">
        <v>34</v>
      </c>
      <c r="V875">
        <v>0</v>
      </c>
      <c r="W875">
        <v>0</v>
      </c>
      <c r="X875">
        <v>1</v>
      </c>
      <c r="Y875">
        <v>0.16</v>
      </c>
      <c r="Z875">
        <v>23</v>
      </c>
      <c r="AA875">
        <v>0</v>
      </c>
      <c r="AB875">
        <v>0</v>
      </c>
      <c r="AC875">
        <v>0</v>
      </c>
      <c r="AD875">
        <v>1</v>
      </c>
      <c r="AE875">
        <v>0.05</v>
      </c>
      <c r="AF875">
        <v>15</v>
      </c>
      <c r="AG875">
        <v>0</v>
      </c>
      <c r="AH875">
        <v>0</v>
      </c>
      <c r="AI875">
        <v>0</v>
      </c>
      <c r="AJ875">
        <v>1</v>
      </c>
      <c r="AK875">
        <v>0.02</v>
      </c>
      <c r="AL875">
        <v>16</v>
      </c>
      <c r="AM875">
        <v>0</v>
      </c>
      <c r="AN875">
        <v>0</v>
      </c>
      <c r="AO875">
        <v>0</v>
      </c>
      <c r="AP875">
        <v>1</v>
      </c>
      <c r="AQ875">
        <v>0.01</v>
      </c>
      <c r="AX875">
        <v>7</v>
      </c>
      <c r="AY875" s="1">
        <v>18</v>
      </c>
      <c r="AZ875">
        <v>0</v>
      </c>
      <c r="BA875">
        <v>0</v>
      </c>
      <c r="BB875">
        <v>1</v>
      </c>
      <c r="BC875" s="7">
        <v>0.32</v>
      </c>
      <c r="BD875">
        <v>30</v>
      </c>
      <c r="BE875">
        <v>0</v>
      </c>
      <c r="BF875">
        <v>0</v>
      </c>
      <c r="BG875">
        <v>0</v>
      </c>
      <c r="BH875">
        <v>5</v>
      </c>
      <c r="BI875">
        <v>2.4</v>
      </c>
      <c r="BJ875">
        <v>31</v>
      </c>
      <c r="BK875">
        <v>0</v>
      </c>
      <c r="BL875">
        <v>0</v>
      </c>
      <c r="BM875">
        <v>0</v>
      </c>
      <c r="BN875">
        <v>5</v>
      </c>
      <c r="BO875">
        <v>2.4</v>
      </c>
      <c r="BP875">
        <v>36</v>
      </c>
      <c r="BQ875">
        <v>0</v>
      </c>
      <c r="BR875">
        <v>0</v>
      </c>
      <c r="BS875">
        <v>0</v>
      </c>
      <c r="BT875">
        <v>5</v>
      </c>
      <c r="BU875">
        <v>2</v>
      </c>
    </row>
    <row r="876" spans="1:73" ht="14.25" x14ac:dyDescent="0.15">
      <c r="A876" s="12">
        <v>20223</v>
      </c>
      <c r="B876">
        <v>7</v>
      </c>
      <c r="C876" s="1">
        <v>47</v>
      </c>
      <c r="D876">
        <v>0</v>
      </c>
      <c r="E876">
        <v>0</v>
      </c>
      <c r="F876">
        <v>1</v>
      </c>
      <c r="G876" s="7">
        <v>0.05</v>
      </c>
      <c r="H876">
        <v>12</v>
      </c>
      <c r="I876">
        <v>0</v>
      </c>
      <c r="J876">
        <v>0</v>
      </c>
      <c r="K876">
        <v>0</v>
      </c>
      <c r="L876">
        <v>1</v>
      </c>
      <c r="M876">
        <v>2</v>
      </c>
      <c r="N876" s="7">
        <v>9</v>
      </c>
      <c r="O876" s="7">
        <v>0</v>
      </c>
      <c r="P876" s="7">
        <v>0</v>
      </c>
      <c r="Q876" s="7">
        <v>0</v>
      </c>
      <c r="R876" s="7">
        <v>1</v>
      </c>
      <c r="S876" s="7">
        <v>4.5</v>
      </c>
      <c r="T876">
        <v>7</v>
      </c>
      <c r="U876" s="1">
        <v>35</v>
      </c>
      <c r="V876">
        <v>0</v>
      </c>
      <c r="W876">
        <v>0</v>
      </c>
      <c r="X876">
        <v>1</v>
      </c>
      <c r="Y876">
        <v>0.16</v>
      </c>
      <c r="Z876">
        <v>23</v>
      </c>
      <c r="AA876">
        <v>0</v>
      </c>
      <c r="AB876">
        <v>0</v>
      </c>
      <c r="AC876">
        <v>0</v>
      </c>
      <c r="AD876">
        <v>1</v>
      </c>
      <c r="AE876">
        <v>0.05</v>
      </c>
      <c r="AF876">
        <v>15</v>
      </c>
      <c r="AG876">
        <v>0</v>
      </c>
      <c r="AH876">
        <v>0</v>
      </c>
      <c r="AI876">
        <v>0</v>
      </c>
      <c r="AJ876">
        <v>1</v>
      </c>
      <c r="AK876">
        <v>0.02</v>
      </c>
      <c r="AL876">
        <v>16</v>
      </c>
      <c r="AM876">
        <v>0</v>
      </c>
      <c r="AN876">
        <v>0</v>
      </c>
      <c r="AO876">
        <v>0</v>
      </c>
      <c r="AP876">
        <v>1</v>
      </c>
      <c r="AQ876">
        <v>0.01</v>
      </c>
      <c r="AX876">
        <v>7</v>
      </c>
      <c r="AY876" s="1">
        <v>19</v>
      </c>
      <c r="AZ876">
        <v>0</v>
      </c>
      <c r="BA876">
        <v>0</v>
      </c>
      <c r="BB876">
        <v>1</v>
      </c>
      <c r="BC876" s="7">
        <v>0.32</v>
      </c>
      <c r="BD876">
        <v>30</v>
      </c>
      <c r="BE876">
        <v>0</v>
      </c>
      <c r="BF876">
        <v>0</v>
      </c>
      <c r="BG876">
        <v>0</v>
      </c>
      <c r="BH876">
        <v>5</v>
      </c>
      <c r="BI876">
        <v>2.4</v>
      </c>
      <c r="BJ876">
        <v>31</v>
      </c>
      <c r="BK876">
        <v>0</v>
      </c>
      <c r="BL876">
        <v>0</v>
      </c>
      <c r="BM876">
        <v>0</v>
      </c>
      <c r="BN876">
        <v>5</v>
      </c>
      <c r="BO876">
        <v>2.4</v>
      </c>
      <c r="BP876">
        <v>36</v>
      </c>
      <c r="BQ876">
        <v>0</v>
      </c>
      <c r="BR876">
        <v>0</v>
      </c>
      <c r="BS876">
        <v>0</v>
      </c>
      <c r="BT876">
        <v>5</v>
      </c>
      <c r="BU876">
        <v>2</v>
      </c>
    </row>
    <row r="877" spans="1:73" ht="14.25" x14ac:dyDescent="0.15">
      <c r="A877" s="12">
        <v>20224</v>
      </c>
      <c r="B877">
        <v>7</v>
      </c>
      <c r="C877" s="1">
        <v>48</v>
      </c>
      <c r="D877">
        <v>0</v>
      </c>
      <c r="E877">
        <v>0</v>
      </c>
      <c r="F877">
        <v>1</v>
      </c>
      <c r="G877" s="7">
        <v>0.05</v>
      </c>
      <c r="H877">
        <v>12</v>
      </c>
      <c r="I877">
        <v>0</v>
      </c>
      <c r="J877">
        <v>0</v>
      </c>
      <c r="K877">
        <v>0</v>
      </c>
      <c r="L877">
        <v>1</v>
      </c>
      <c r="M877">
        <v>2</v>
      </c>
      <c r="N877" s="7">
        <v>9</v>
      </c>
      <c r="O877" s="7">
        <v>0</v>
      </c>
      <c r="P877" s="7">
        <v>0</v>
      </c>
      <c r="Q877" s="7">
        <v>0</v>
      </c>
      <c r="R877" s="7">
        <v>1</v>
      </c>
      <c r="S877" s="7">
        <v>4.5</v>
      </c>
      <c r="T877">
        <v>7</v>
      </c>
      <c r="U877" s="1">
        <v>36</v>
      </c>
      <c r="V877">
        <v>0</v>
      </c>
      <c r="W877">
        <v>0</v>
      </c>
      <c r="X877">
        <v>1</v>
      </c>
      <c r="Y877">
        <v>0.16</v>
      </c>
      <c r="Z877">
        <v>23</v>
      </c>
      <c r="AA877">
        <v>0</v>
      </c>
      <c r="AB877">
        <v>0</v>
      </c>
      <c r="AC877">
        <v>0</v>
      </c>
      <c r="AD877">
        <v>1</v>
      </c>
      <c r="AE877">
        <v>0.05</v>
      </c>
      <c r="AF877">
        <v>15</v>
      </c>
      <c r="AG877">
        <v>0</v>
      </c>
      <c r="AH877">
        <v>0</v>
      </c>
      <c r="AI877">
        <v>0</v>
      </c>
      <c r="AJ877">
        <v>1</v>
      </c>
      <c r="AK877">
        <v>0.02</v>
      </c>
      <c r="AL877">
        <v>16</v>
      </c>
      <c r="AM877">
        <v>0</v>
      </c>
      <c r="AN877">
        <v>0</v>
      </c>
      <c r="AO877">
        <v>0</v>
      </c>
      <c r="AP877">
        <v>1</v>
      </c>
      <c r="AQ877">
        <v>0.01</v>
      </c>
      <c r="AX877">
        <v>7</v>
      </c>
      <c r="AY877" s="1">
        <v>20</v>
      </c>
      <c r="AZ877">
        <v>0</v>
      </c>
      <c r="BA877">
        <v>0</v>
      </c>
      <c r="BB877">
        <v>1</v>
      </c>
      <c r="BC877" s="7">
        <v>0.32</v>
      </c>
      <c r="BD877">
        <v>30</v>
      </c>
      <c r="BE877">
        <v>0</v>
      </c>
      <c r="BF877">
        <v>0</v>
      </c>
      <c r="BG877">
        <v>0</v>
      </c>
      <c r="BH877">
        <v>5</v>
      </c>
      <c r="BI877">
        <v>2.4</v>
      </c>
      <c r="BJ877">
        <v>31</v>
      </c>
      <c r="BK877">
        <v>0</v>
      </c>
      <c r="BL877">
        <v>0</v>
      </c>
      <c r="BM877">
        <v>0</v>
      </c>
      <c r="BN877">
        <v>5</v>
      </c>
      <c r="BO877">
        <v>2.4</v>
      </c>
      <c r="BP877">
        <v>36</v>
      </c>
      <c r="BQ877">
        <v>0</v>
      </c>
      <c r="BR877">
        <v>0</v>
      </c>
      <c r="BS877">
        <v>0</v>
      </c>
      <c r="BT877">
        <v>5</v>
      </c>
      <c r="BU877">
        <v>2</v>
      </c>
    </row>
    <row r="878" spans="1:73" ht="14.25" x14ac:dyDescent="0.15">
      <c r="A878" s="12">
        <v>20225</v>
      </c>
      <c r="B878">
        <v>7</v>
      </c>
      <c r="C878" s="1">
        <v>0</v>
      </c>
      <c r="D878">
        <v>5</v>
      </c>
      <c r="E878">
        <v>1</v>
      </c>
      <c r="F878">
        <v>1</v>
      </c>
      <c r="G878" s="7">
        <v>0.05</v>
      </c>
      <c r="H878">
        <v>12</v>
      </c>
      <c r="I878">
        <v>0</v>
      </c>
      <c r="J878">
        <v>0</v>
      </c>
      <c r="K878">
        <v>0</v>
      </c>
      <c r="L878">
        <v>1</v>
      </c>
      <c r="M878">
        <v>2</v>
      </c>
      <c r="N878" s="7">
        <v>9</v>
      </c>
      <c r="O878" s="7">
        <v>0</v>
      </c>
      <c r="P878" s="7">
        <v>0</v>
      </c>
      <c r="Q878" s="7">
        <v>0</v>
      </c>
      <c r="R878" s="7">
        <v>1</v>
      </c>
      <c r="S878" s="7">
        <v>4.5</v>
      </c>
      <c r="T878">
        <v>7</v>
      </c>
      <c r="U878" s="1">
        <v>0</v>
      </c>
      <c r="V878">
        <v>4</v>
      </c>
      <c r="W878">
        <v>2</v>
      </c>
      <c r="X878">
        <v>1</v>
      </c>
      <c r="Y878">
        <v>0.16</v>
      </c>
      <c r="Z878">
        <v>23</v>
      </c>
      <c r="AA878">
        <v>0</v>
      </c>
      <c r="AB878">
        <v>0</v>
      </c>
      <c r="AC878">
        <v>0</v>
      </c>
      <c r="AD878">
        <v>1</v>
      </c>
      <c r="AE878">
        <v>0.05</v>
      </c>
      <c r="AF878">
        <v>15</v>
      </c>
      <c r="AG878">
        <v>0</v>
      </c>
      <c r="AH878">
        <v>0</v>
      </c>
      <c r="AI878">
        <v>0</v>
      </c>
      <c r="AJ878">
        <v>1</v>
      </c>
      <c r="AK878">
        <v>0.02</v>
      </c>
      <c r="AL878">
        <v>16</v>
      </c>
      <c r="AM878">
        <v>0</v>
      </c>
      <c r="AN878">
        <v>0</v>
      </c>
      <c r="AO878">
        <v>0</v>
      </c>
      <c r="AP878">
        <v>1</v>
      </c>
      <c r="AQ878">
        <v>0.01</v>
      </c>
      <c r="AR878">
        <v>6</v>
      </c>
      <c r="AS878">
        <v>2</v>
      </c>
      <c r="AT878">
        <v>5</v>
      </c>
      <c r="AU878">
        <v>5</v>
      </c>
      <c r="AV878">
        <v>1</v>
      </c>
      <c r="AW878">
        <v>0.01</v>
      </c>
      <c r="AX878">
        <v>7</v>
      </c>
      <c r="AY878" s="1">
        <v>0</v>
      </c>
      <c r="AZ878">
        <v>3</v>
      </c>
      <c r="BA878">
        <v>1</v>
      </c>
      <c r="BB878">
        <v>1</v>
      </c>
      <c r="BC878" s="7">
        <v>0.32</v>
      </c>
      <c r="BD878">
        <v>30</v>
      </c>
      <c r="BE878">
        <v>0</v>
      </c>
      <c r="BF878">
        <v>0</v>
      </c>
      <c r="BG878">
        <v>0</v>
      </c>
      <c r="BH878">
        <v>5</v>
      </c>
      <c r="BI878">
        <v>2.4</v>
      </c>
      <c r="BJ878">
        <v>31</v>
      </c>
      <c r="BK878">
        <v>0</v>
      </c>
      <c r="BL878">
        <v>0</v>
      </c>
      <c r="BM878">
        <v>0</v>
      </c>
      <c r="BN878">
        <v>5</v>
      </c>
      <c r="BO878">
        <v>2.4</v>
      </c>
      <c r="BP878">
        <v>36</v>
      </c>
      <c r="BQ878">
        <v>0</v>
      </c>
      <c r="BR878">
        <v>0</v>
      </c>
      <c r="BS878">
        <v>0</v>
      </c>
      <c r="BT878">
        <v>5</v>
      </c>
      <c r="BU878">
        <v>2</v>
      </c>
    </row>
    <row r="879" spans="1:73" ht="14.25" x14ac:dyDescent="0.15">
      <c r="A879" s="12">
        <v>20226</v>
      </c>
      <c r="B879">
        <v>7</v>
      </c>
      <c r="C879" s="1">
        <v>45</v>
      </c>
      <c r="D879">
        <v>0</v>
      </c>
      <c r="E879">
        <v>0</v>
      </c>
      <c r="F879">
        <v>1</v>
      </c>
      <c r="G879" s="7">
        <v>0.05</v>
      </c>
      <c r="H879">
        <v>12</v>
      </c>
      <c r="I879">
        <v>0</v>
      </c>
      <c r="J879">
        <v>0</v>
      </c>
      <c r="K879">
        <v>0</v>
      </c>
      <c r="L879">
        <v>1</v>
      </c>
      <c r="M879">
        <v>2</v>
      </c>
      <c r="N879" s="7">
        <v>9</v>
      </c>
      <c r="O879" s="7">
        <v>0</v>
      </c>
      <c r="P879" s="7">
        <v>0</v>
      </c>
      <c r="Q879" s="7">
        <v>0</v>
      </c>
      <c r="R879" s="7">
        <v>1</v>
      </c>
      <c r="S879" s="7">
        <v>4.5</v>
      </c>
      <c r="T879">
        <v>7</v>
      </c>
      <c r="U879" s="1">
        <v>33</v>
      </c>
      <c r="V879">
        <v>0</v>
      </c>
      <c r="W879">
        <v>0</v>
      </c>
      <c r="X879">
        <v>1</v>
      </c>
      <c r="Y879">
        <v>0.16</v>
      </c>
      <c r="Z879">
        <v>23</v>
      </c>
      <c r="AA879">
        <v>0</v>
      </c>
      <c r="AB879">
        <v>0</v>
      </c>
      <c r="AC879">
        <v>0</v>
      </c>
      <c r="AD879">
        <v>1</v>
      </c>
      <c r="AE879">
        <v>0.05</v>
      </c>
      <c r="AF879">
        <v>15</v>
      </c>
      <c r="AG879">
        <v>0</v>
      </c>
      <c r="AH879">
        <v>0</v>
      </c>
      <c r="AI879">
        <v>0</v>
      </c>
      <c r="AJ879">
        <v>1</v>
      </c>
      <c r="AK879">
        <v>0.02</v>
      </c>
      <c r="AL879">
        <v>16</v>
      </c>
      <c r="AM879">
        <v>0</v>
      </c>
      <c r="AN879">
        <v>0</v>
      </c>
      <c r="AO879">
        <v>0</v>
      </c>
      <c r="AP879">
        <v>1</v>
      </c>
      <c r="AQ879">
        <v>0.01</v>
      </c>
      <c r="AX879">
        <v>7</v>
      </c>
      <c r="AY879" s="1">
        <v>17</v>
      </c>
      <c r="AZ879">
        <v>0</v>
      </c>
      <c r="BA879">
        <v>0</v>
      </c>
      <c r="BB879">
        <v>1</v>
      </c>
      <c r="BC879" s="7">
        <v>0.32</v>
      </c>
      <c r="BD879">
        <v>30</v>
      </c>
      <c r="BE879">
        <v>0</v>
      </c>
      <c r="BF879">
        <v>0</v>
      </c>
      <c r="BG879">
        <v>0</v>
      </c>
      <c r="BH879">
        <v>5</v>
      </c>
      <c r="BI879">
        <v>2.4</v>
      </c>
      <c r="BJ879">
        <v>31</v>
      </c>
      <c r="BK879">
        <v>0</v>
      </c>
      <c r="BL879">
        <v>0</v>
      </c>
      <c r="BM879">
        <v>0</v>
      </c>
      <c r="BN879">
        <v>5</v>
      </c>
      <c r="BO879">
        <v>2.4</v>
      </c>
      <c r="BP879">
        <v>36</v>
      </c>
      <c r="BQ879">
        <v>0</v>
      </c>
      <c r="BR879">
        <v>0</v>
      </c>
      <c r="BS879">
        <v>0</v>
      </c>
      <c r="BT879">
        <v>5</v>
      </c>
      <c r="BU879">
        <v>2</v>
      </c>
    </row>
    <row r="880" spans="1:73" ht="14.25" x14ac:dyDescent="0.15">
      <c r="A880" s="12">
        <v>20227</v>
      </c>
      <c r="B880">
        <v>7</v>
      </c>
      <c r="C880" s="1">
        <v>46</v>
      </c>
      <c r="D880">
        <v>0</v>
      </c>
      <c r="E880">
        <v>0</v>
      </c>
      <c r="F880">
        <v>1</v>
      </c>
      <c r="G880" s="7">
        <v>0.05</v>
      </c>
      <c r="H880">
        <v>12</v>
      </c>
      <c r="I880">
        <v>0</v>
      </c>
      <c r="J880">
        <v>0</v>
      </c>
      <c r="K880">
        <v>0</v>
      </c>
      <c r="L880">
        <v>1</v>
      </c>
      <c r="M880">
        <v>2</v>
      </c>
      <c r="N880" s="7">
        <v>9</v>
      </c>
      <c r="O880" s="7">
        <v>0</v>
      </c>
      <c r="P880" s="7">
        <v>0</v>
      </c>
      <c r="Q880" s="7">
        <v>0</v>
      </c>
      <c r="R880" s="7">
        <v>1</v>
      </c>
      <c r="S880" s="7">
        <v>4.5</v>
      </c>
      <c r="T880">
        <v>7</v>
      </c>
      <c r="U880" s="1">
        <v>34</v>
      </c>
      <c r="V880">
        <v>0</v>
      </c>
      <c r="W880">
        <v>0</v>
      </c>
      <c r="X880">
        <v>1</v>
      </c>
      <c r="Y880">
        <v>0.16</v>
      </c>
      <c r="Z880">
        <v>23</v>
      </c>
      <c r="AA880">
        <v>0</v>
      </c>
      <c r="AB880">
        <v>0</v>
      </c>
      <c r="AC880">
        <v>0</v>
      </c>
      <c r="AD880">
        <v>1</v>
      </c>
      <c r="AE880">
        <v>0.05</v>
      </c>
      <c r="AF880">
        <v>15</v>
      </c>
      <c r="AG880">
        <v>0</v>
      </c>
      <c r="AH880">
        <v>0</v>
      </c>
      <c r="AI880">
        <v>0</v>
      </c>
      <c r="AJ880">
        <v>1</v>
      </c>
      <c r="AK880">
        <v>0.02</v>
      </c>
      <c r="AL880">
        <v>16</v>
      </c>
      <c r="AM880">
        <v>0</v>
      </c>
      <c r="AN880">
        <v>0</v>
      </c>
      <c r="AO880">
        <v>0</v>
      </c>
      <c r="AP880">
        <v>1</v>
      </c>
      <c r="AQ880">
        <v>0.01</v>
      </c>
      <c r="AX880">
        <v>7</v>
      </c>
      <c r="AY880" s="1">
        <v>18</v>
      </c>
      <c r="AZ880">
        <v>0</v>
      </c>
      <c r="BA880">
        <v>0</v>
      </c>
      <c r="BB880">
        <v>1</v>
      </c>
      <c r="BC880" s="7">
        <v>0.32</v>
      </c>
      <c r="BD880">
        <v>30</v>
      </c>
      <c r="BE880">
        <v>0</v>
      </c>
      <c r="BF880">
        <v>0</v>
      </c>
      <c r="BG880">
        <v>0</v>
      </c>
      <c r="BH880">
        <v>5</v>
      </c>
      <c r="BI880">
        <v>2.4</v>
      </c>
      <c r="BJ880">
        <v>31</v>
      </c>
      <c r="BK880">
        <v>0</v>
      </c>
      <c r="BL880">
        <v>0</v>
      </c>
      <c r="BM880">
        <v>0</v>
      </c>
      <c r="BN880">
        <v>5</v>
      </c>
      <c r="BO880">
        <v>2.4</v>
      </c>
      <c r="BP880">
        <v>36</v>
      </c>
      <c r="BQ880">
        <v>0</v>
      </c>
      <c r="BR880">
        <v>0</v>
      </c>
      <c r="BS880">
        <v>0</v>
      </c>
      <c r="BT880">
        <v>5</v>
      </c>
      <c r="BU880">
        <v>2</v>
      </c>
    </row>
    <row r="881" spans="1:73" ht="14.25" x14ac:dyDescent="0.15">
      <c r="A881" s="12">
        <v>20228</v>
      </c>
      <c r="B881">
        <v>7</v>
      </c>
      <c r="C881" s="1">
        <v>47</v>
      </c>
      <c r="D881">
        <v>0</v>
      </c>
      <c r="E881">
        <v>0</v>
      </c>
      <c r="F881">
        <v>1</v>
      </c>
      <c r="G881" s="7">
        <v>0.05</v>
      </c>
      <c r="H881">
        <v>12</v>
      </c>
      <c r="I881">
        <v>0</v>
      </c>
      <c r="J881">
        <v>0</v>
      </c>
      <c r="K881">
        <v>0</v>
      </c>
      <c r="L881">
        <v>1</v>
      </c>
      <c r="M881">
        <v>2</v>
      </c>
      <c r="N881" s="7">
        <v>9</v>
      </c>
      <c r="O881" s="7">
        <v>0</v>
      </c>
      <c r="P881" s="7">
        <v>0</v>
      </c>
      <c r="Q881" s="7">
        <v>0</v>
      </c>
      <c r="R881" s="7">
        <v>1</v>
      </c>
      <c r="S881" s="7">
        <v>4.5</v>
      </c>
      <c r="T881">
        <v>7</v>
      </c>
      <c r="U881" s="1">
        <v>35</v>
      </c>
      <c r="V881">
        <v>0</v>
      </c>
      <c r="W881">
        <v>0</v>
      </c>
      <c r="X881">
        <v>1</v>
      </c>
      <c r="Y881">
        <v>0.16</v>
      </c>
      <c r="Z881">
        <v>23</v>
      </c>
      <c r="AA881">
        <v>0</v>
      </c>
      <c r="AB881">
        <v>0</v>
      </c>
      <c r="AC881">
        <v>0</v>
      </c>
      <c r="AD881">
        <v>1</v>
      </c>
      <c r="AE881">
        <v>0.05</v>
      </c>
      <c r="AF881">
        <v>15</v>
      </c>
      <c r="AG881">
        <v>0</v>
      </c>
      <c r="AH881">
        <v>0</v>
      </c>
      <c r="AI881">
        <v>0</v>
      </c>
      <c r="AJ881">
        <v>1</v>
      </c>
      <c r="AK881">
        <v>0.02</v>
      </c>
      <c r="AL881">
        <v>16</v>
      </c>
      <c r="AM881">
        <v>0</v>
      </c>
      <c r="AN881">
        <v>0</v>
      </c>
      <c r="AO881">
        <v>0</v>
      </c>
      <c r="AP881">
        <v>1</v>
      </c>
      <c r="AQ881">
        <v>0.01</v>
      </c>
      <c r="AX881">
        <v>7</v>
      </c>
      <c r="AY881" s="1">
        <v>19</v>
      </c>
      <c r="AZ881">
        <v>0</v>
      </c>
      <c r="BA881">
        <v>0</v>
      </c>
      <c r="BB881">
        <v>1</v>
      </c>
      <c r="BC881" s="7">
        <v>0.32</v>
      </c>
      <c r="BD881">
        <v>30</v>
      </c>
      <c r="BE881">
        <v>0</v>
      </c>
      <c r="BF881">
        <v>0</v>
      </c>
      <c r="BG881">
        <v>0</v>
      </c>
      <c r="BH881">
        <v>5</v>
      </c>
      <c r="BI881">
        <v>2.4</v>
      </c>
      <c r="BJ881">
        <v>31</v>
      </c>
      <c r="BK881">
        <v>0</v>
      </c>
      <c r="BL881">
        <v>0</v>
      </c>
      <c r="BM881">
        <v>0</v>
      </c>
      <c r="BN881">
        <v>5</v>
      </c>
      <c r="BO881">
        <v>2.4</v>
      </c>
      <c r="BP881">
        <v>36</v>
      </c>
      <c r="BQ881">
        <v>0</v>
      </c>
      <c r="BR881">
        <v>0</v>
      </c>
      <c r="BS881">
        <v>0</v>
      </c>
      <c r="BT881">
        <v>5</v>
      </c>
      <c r="BU881">
        <v>2</v>
      </c>
    </row>
    <row r="882" spans="1:73" ht="14.25" x14ac:dyDescent="0.15">
      <c r="A882" s="12">
        <v>20229</v>
      </c>
      <c r="B882">
        <v>7</v>
      </c>
      <c r="C882" s="1">
        <v>48</v>
      </c>
      <c r="D882">
        <v>0</v>
      </c>
      <c r="E882">
        <v>0</v>
      </c>
      <c r="F882">
        <v>1</v>
      </c>
      <c r="G882" s="7">
        <v>0.05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2</v>
      </c>
      <c r="N882" s="7">
        <v>9</v>
      </c>
      <c r="O882" s="7">
        <v>0</v>
      </c>
      <c r="P882" s="7">
        <v>0</v>
      </c>
      <c r="Q882" s="7">
        <v>0</v>
      </c>
      <c r="R882" s="7">
        <v>1</v>
      </c>
      <c r="S882" s="7">
        <v>4.5</v>
      </c>
      <c r="T882">
        <v>7</v>
      </c>
      <c r="U882" s="1">
        <v>36</v>
      </c>
      <c r="V882">
        <v>0</v>
      </c>
      <c r="W882">
        <v>0</v>
      </c>
      <c r="X882">
        <v>1</v>
      </c>
      <c r="Y882">
        <v>0.16</v>
      </c>
      <c r="Z882">
        <v>23</v>
      </c>
      <c r="AA882">
        <v>0</v>
      </c>
      <c r="AB882">
        <v>0</v>
      </c>
      <c r="AC882">
        <v>0</v>
      </c>
      <c r="AD882">
        <v>1</v>
      </c>
      <c r="AE882">
        <v>0.05</v>
      </c>
      <c r="AF882">
        <v>15</v>
      </c>
      <c r="AG882">
        <v>0</v>
      </c>
      <c r="AH882">
        <v>0</v>
      </c>
      <c r="AI882">
        <v>0</v>
      </c>
      <c r="AJ882">
        <v>1</v>
      </c>
      <c r="AK882">
        <v>0.02</v>
      </c>
      <c r="AL882">
        <v>16</v>
      </c>
      <c r="AM882">
        <v>0</v>
      </c>
      <c r="AN882">
        <v>0</v>
      </c>
      <c r="AO882">
        <v>0</v>
      </c>
      <c r="AP882">
        <v>1</v>
      </c>
      <c r="AQ882">
        <v>0.01</v>
      </c>
      <c r="AX882">
        <v>7</v>
      </c>
      <c r="AY882" s="1">
        <v>20</v>
      </c>
      <c r="AZ882">
        <v>0</v>
      </c>
      <c r="BA882">
        <v>0</v>
      </c>
      <c r="BB882">
        <v>1</v>
      </c>
      <c r="BC882" s="7">
        <v>0.32</v>
      </c>
      <c r="BD882">
        <v>30</v>
      </c>
      <c r="BE882">
        <v>0</v>
      </c>
      <c r="BF882">
        <v>0</v>
      </c>
      <c r="BG882">
        <v>0</v>
      </c>
      <c r="BH882">
        <v>5</v>
      </c>
      <c r="BI882">
        <v>2.4</v>
      </c>
      <c r="BJ882">
        <v>31</v>
      </c>
      <c r="BK882">
        <v>0</v>
      </c>
      <c r="BL882">
        <v>0</v>
      </c>
      <c r="BM882">
        <v>0</v>
      </c>
      <c r="BN882">
        <v>5</v>
      </c>
      <c r="BO882">
        <v>2.4</v>
      </c>
      <c r="BP882">
        <v>36</v>
      </c>
      <c r="BQ882">
        <v>0</v>
      </c>
      <c r="BR882">
        <v>0</v>
      </c>
      <c r="BS882">
        <v>0</v>
      </c>
      <c r="BT882">
        <v>5</v>
      </c>
      <c r="BU882">
        <v>2</v>
      </c>
    </row>
    <row r="883" spans="1:73" ht="14.25" x14ac:dyDescent="0.15">
      <c r="A883" s="12">
        <v>20230</v>
      </c>
      <c r="B883">
        <v>7</v>
      </c>
      <c r="C883" s="1">
        <v>0</v>
      </c>
      <c r="D883">
        <v>5</v>
      </c>
      <c r="E883">
        <v>1</v>
      </c>
      <c r="F883">
        <v>1</v>
      </c>
      <c r="G883" s="7">
        <v>0.05</v>
      </c>
      <c r="H883">
        <v>12</v>
      </c>
      <c r="I883">
        <v>0</v>
      </c>
      <c r="J883">
        <v>0</v>
      </c>
      <c r="K883">
        <v>0</v>
      </c>
      <c r="L883">
        <v>1</v>
      </c>
      <c r="M883">
        <v>2</v>
      </c>
      <c r="N883" s="7">
        <v>9</v>
      </c>
      <c r="O883" s="7">
        <v>0</v>
      </c>
      <c r="P883" s="7">
        <v>0</v>
      </c>
      <c r="Q883" s="7">
        <v>0</v>
      </c>
      <c r="R883" s="7">
        <v>1</v>
      </c>
      <c r="S883" s="7">
        <v>4.5</v>
      </c>
      <c r="T883">
        <v>7</v>
      </c>
      <c r="U883" s="1">
        <v>0</v>
      </c>
      <c r="V883">
        <v>4</v>
      </c>
      <c r="W883">
        <v>2</v>
      </c>
      <c r="X883">
        <v>1</v>
      </c>
      <c r="Y883">
        <v>0.16</v>
      </c>
      <c r="Z883">
        <v>23</v>
      </c>
      <c r="AA883">
        <v>0</v>
      </c>
      <c r="AB883">
        <v>0</v>
      </c>
      <c r="AC883">
        <v>0</v>
      </c>
      <c r="AD883">
        <v>1</v>
      </c>
      <c r="AE883">
        <v>0.05</v>
      </c>
      <c r="AF883">
        <v>15</v>
      </c>
      <c r="AG883">
        <v>0</v>
      </c>
      <c r="AH883">
        <v>0</v>
      </c>
      <c r="AI883">
        <v>0</v>
      </c>
      <c r="AJ883">
        <v>1</v>
      </c>
      <c r="AK883">
        <v>0.02</v>
      </c>
      <c r="AL883">
        <v>16</v>
      </c>
      <c r="AM883">
        <v>0</v>
      </c>
      <c r="AN883">
        <v>0</v>
      </c>
      <c r="AO883">
        <v>0</v>
      </c>
      <c r="AP883">
        <v>1</v>
      </c>
      <c r="AQ883">
        <v>0.01</v>
      </c>
      <c r="AR883">
        <v>6</v>
      </c>
      <c r="AS883">
        <v>2</v>
      </c>
      <c r="AT883">
        <v>1</v>
      </c>
      <c r="AU883">
        <v>5</v>
      </c>
      <c r="AV883">
        <v>1</v>
      </c>
      <c r="AW883">
        <v>0.05</v>
      </c>
      <c r="AX883">
        <v>7</v>
      </c>
      <c r="AY883" s="1">
        <v>0</v>
      </c>
      <c r="AZ883">
        <v>3</v>
      </c>
      <c r="BA883">
        <v>1</v>
      </c>
      <c r="BB883">
        <v>1</v>
      </c>
      <c r="BC883" s="7">
        <v>0.32</v>
      </c>
      <c r="BD883">
        <v>30</v>
      </c>
      <c r="BE883">
        <v>0</v>
      </c>
      <c r="BF883">
        <v>0</v>
      </c>
      <c r="BG883">
        <v>0</v>
      </c>
      <c r="BH883">
        <v>5</v>
      </c>
      <c r="BI883">
        <v>2.4</v>
      </c>
      <c r="BJ883">
        <v>31</v>
      </c>
      <c r="BK883">
        <v>0</v>
      </c>
      <c r="BL883">
        <v>0</v>
      </c>
      <c r="BM883">
        <v>0</v>
      </c>
      <c r="BN883">
        <v>5</v>
      </c>
      <c r="BO883">
        <v>2.4</v>
      </c>
      <c r="BP883">
        <v>36</v>
      </c>
      <c r="BQ883">
        <v>0</v>
      </c>
      <c r="BR883">
        <v>0</v>
      </c>
      <c r="BS883">
        <v>0</v>
      </c>
      <c r="BT883">
        <v>5</v>
      </c>
      <c r="BU883">
        <v>2</v>
      </c>
    </row>
    <row r="884" spans="1:73" ht="14.25" x14ac:dyDescent="0.15">
      <c r="A884" s="12">
        <v>20231</v>
      </c>
      <c r="B884">
        <v>7</v>
      </c>
      <c r="C884" s="1">
        <v>45</v>
      </c>
      <c r="D884">
        <v>0</v>
      </c>
      <c r="E884">
        <v>0</v>
      </c>
      <c r="F884">
        <v>1</v>
      </c>
      <c r="G884" s="7">
        <v>0.05</v>
      </c>
      <c r="H884">
        <v>12</v>
      </c>
      <c r="I884">
        <v>0</v>
      </c>
      <c r="J884">
        <v>0</v>
      </c>
      <c r="K884">
        <v>0</v>
      </c>
      <c r="L884">
        <v>1</v>
      </c>
      <c r="M884">
        <v>2</v>
      </c>
      <c r="N884" s="7">
        <v>9</v>
      </c>
      <c r="O884" s="7">
        <v>0</v>
      </c>
      <c r="P884" s="7">
        <v>0</v>
      </c>
      <c r="Q884" s="7">
        <v>0</v>
      </c>
      <c r="R884" s="7">
        <v>1</v>
      </c>
      <c r="S884" s="7">
        <v>4.5</v>
      </c>
      <c r="T884">
        <v>7</v>
      </c>
      <c r="U884" s="1">
        <v>33</v>
      </c>
      <c r="V884">
        <v>0</v>
      </c>
      <c r="W884">
        <v>0</v>
      </c>
      <c r="X884">
        <v>1</v>
      </c>
      <c r="Y884">
        <v>0.16</v>
      </c>
      <c r="Z884">
        <v>23</v>
      </c>
      <c r="AA884">
        <v>0</v>
      </c>
      <c r="AB884">
        <v>0</v>
      </c>
      <c r="AC884">
        <v>0</v>
      </c>
      <c r="AD884">
        <v>1</v>
      </c>
      <c r="AE884">
        <v>0.05</v>
      </c>
      <c r="AF884">
        <v>15</v>
      </c>
      <c r="AG884">
        <v>0</v>
      </c>
      <c r="AH884">
        <v>0</v>
      </c>
      <c r="AI884">
        <v>0</v>
      </c>
      <c r="AJ884">
        <v>1</v>
      </c>
      <c r="AK884">
        <v>0.02</v>
      </c>
      <c r="AL884">
        <v>16</v>
      </c>
      <c r="AM884">
        <v>0</v>
      </c>
      <c r="AN884">
        <v>0</v>
      </c>
      <c r="AO884">
        <v>0</v>
      </c>
      <c r="AP884">
        <v>1</v>
      </c>
      <c r="AQ884">
        <v>0.01</v>
      </c>
      <c r="AX884">
        <v>7</v>
      </c>
      <c r="AY884" s="1">
        <v>17</v>
      </c>
      <c r="AZ884">
        <v>0</v>
      </c>
      <c r="BA884">
        <v>0</v>
      </c>
      <c r="BB884">
        <v>1</v>
      </c>
      <c r="BC884" s="7">
        <v>0.32</v>
      </c>
      <c r="BD884">
        <v>30</v>
      </c>
      <c r="BE884">
        <v>0</v>
      </c>
      <c r="BF884">
        <v>0</v>
      </c>
      <c r="BG884">
        <v>0</v>
      </c>
      <c r="BH884">
        <v>5</v>
      </c>
      <c r="BI884">
        <v>2.4</v>
      </c>
      <c r="BJ884">
        <v>31</v>
      </c>
      <c r="BK884">
        <v>0</v>
      </c>
      <c r="BL884">
        <v>0</v>
      </c>
      <c r="BM884">
        <v>0</v>
      </c>
      <c r="BN884">
        <v>5</v>
      </c>
      <c r="BO884">
        <v>2.4</v>
      </c>
      <c r="BP884">
        <v>36</v>
      </c>
      <c r="BQ884">
        <v>0</v>
      </c>
      <c r="BR884">
        <v>0</v>
      </c>
      <c r="BS884">
        <v>0</v>
      </c>
      <c r="BT884">
        <v>5</v>
      </c>
      <c r="BU884">
        <v>2</v>
      </c>
    </row>
    <row r="885" spans="1:73" ht="14.25" x14ac:dyDescent="0.15">
      <c r="A885" s="12">
        <v>20232</v>
      </c>
      <c r="B885">
        <v>7</v>
      </c>
      <c r="C885" s="1">
        <v>46</v>
      </c>
      <c r="D885">
        <v>0</v>
      </c>
      <c r="E885">
        <v>0</v>
      </c>
      <c r="F885">
        <v>1</v>
      </c>
      <c r="G885" s="7">
        <v>0.05</v>
      </c>
      <c r="H885">
        <v>12</v>
      </c>
      <c r="I885">
        <v>0</v>
      </c>
      <c r="J885">
        <v>0</v>
      </c>
      <c r="K885">
        <v>0</v>
      </c>
      <c r="L885">
        <v>1</v>
      </c>
      <c r="M885">
        <v>2</v>
      </c>
      <c r="N885" s="7">
        <v>9</v>
      </c>
      <c r="O885" s="7">
        <v>0</v>
      </c>
      <c r="P885" s="7">
        <v>0</v>
      </c>
      <c r="Q885" s="7">
        <v>0</v>
      </c>
      <c r="R885" s="7">
        <v>1</v>
      </c>
      <c r="S885" s="7">
        <v>4.5</v>
      </c>
      <c r="T885">
        <v>7</v>
      </c>
      <c r="U885" s="1">
        <v>34</v>
      </c>
      <c r="V885">
        <v>0</v>
      </c>
      <c r="W885">
        <v>0</v>
      </c>
      <c r="X885">
        <v>1</v>
      </c>
      <c r="Y885">
        <v>0.16</v>
      </c>
      <c r="Z885">
        <v>23</v>
      </c>
      <c r="AA885">
        <v>0</v>
      </c>
      <c r="AB885">
        <v>0</v>
      </c>
      <c r="AC885">
        <v>0</v>
      </c>
      <c r="AD885">
        <v>1</v>
      </c>
      <c r="AE885">
        <v>0.05</v>
      </c>
      <c r="AF885">
        <v>15</v>
      </c>
      <c r="AG885">
        <v>0</v>
      </c>
      <c r="AH885">
        <v>0</v>
      </c>
      <c r="AI885">
        <v>0</v>
      </c>
      <c r="AJ885">
        <v>1</v>
      </c>
      <c r="AK885">
        <v>0.02</v>
      </c>
      <c r="AL885">
        <v>16</v>
      </c>
      <c r="AM885">
        <v>0</v>
      </c>
      <c r="AN885">
        <v>0</v>
      </c>
      <c r="AO885">
        <v>0</v>
      </c>
      <c r="AP885">
        <v>1</v>
      </c>
      <c r="AQ885">
        <v>0.01</v>
      </c>
      <c r="AX885">
        <v>7</v>
      </c>
      <c r="AY885" s="1">
        <v>18</v>
      </c>
      <c r="AZ885">
        <v>0</v>
      </c>
      <c r="BA885">
        <v>0</v>
      </c>
      <c r="BB885">
        <v>1</v>
      </c>
      <c r="BC885" s="7">
        <v>0.32</v>
      </c>
      <c r="BD885">
        <v>30</v>
      </c>
      <c r="BE885">
        <v>0</v>
      </c>
      <c r="BF885">
        <v>0</v>
      </c>
      <c r="BG885">
        <v>0</v>
      </c>
      <c r="BH885">
        <v>5</v>
      </c>
      <c r="BI885">
        <v>2.4</v>
      </c>
      <c r="BJ885">
        <v>31</v>
      </c>
      <c r="BK885">
        <v>0</v>
      </c>
      <c r="BL885">
        <v>0</v>
      </c>
      <c r="BM885">
        <v>0</v>
      </c>
      <c r="BN885">
        <v>5</v>
      </c>
      <c r="BO885">
        <v>2.4</v>
      </c>
      <c r="BP885">
        <v>36</v>
      </c>
      <c r="BQ885">
        <v>0</v>
      </c>
      <c r="BR885">
        <v>0</v>
      </c>
      <c r="BS885">
        <v>0</v>
      </c>
      <c r="BT885">
        <v>5</v>
      </c>
      <c r="BU885">
        <v>2</v>
      </c>
    </row>
    <row r="886" spans="1:73" ht="14.25" x14ac:dyDescent="0.15">
      <c r="A886" s="12">
        <v>20233</v>
      </c>
      <c r="B886">
        <v>7</v>
      </c>
      <c r="C886" s="1">
        <v>47</v>
      </c>
      <c r="D886">
        <v>0</v>
      </c>
      <c r="E886">
        <v>0</v>
      </c>
      <c r="F886">
        <v>1</v>
      </c>
      <c r="G886" s="7">
        <v>0.05</v>
      </c>
      <c r="H886">
        <v>12</v>
      </c>
      <c r="I886">
        <v>0</v>
      </c>
      <c r="J886">
        <v>0</v>
      </c>
      <c r="K886">
        <v>0</v>
      </c>
      <c r="L886">
        <v>1</v>
      </c>
      <c r="M886">
        <v>2</v>
      </c>
      <c r="N886" s="7">
        <v>9</v>
      </c>
      <c r="O886" s="7">
        <v>0</v>
      </c>
      <c r="P886" s="7">
        <v>0</v>
      </c>
      <c r="Q886" s="7">
        <v>0</v>
      </c>
      <c r="R886" s="7">
        <v>1</v>
      </c>
      <c r="S886" s="7">
        <v>4.5</v>
      </c>
      <c r="T886">
        <v>7</v>
      </c>
      <c r="U886" s="1">
        <v>35</v>
      </c>
      <c r="V886">
        <v>0</v>
      </c>
      <c r="W886">
        <v>0</v>
      </c>
      <c r="X886">
        <v>1</v>
      </c>
      <c r="Y886">
        <v>0.16</v>
      </c>
      <c r="Z886">
        <v>23</v>
      </c>
      <c r="AA886">
        <v>0</v>
      </c>
      <c r="AB886">
        <v>0</v>
      </c>
      <c r="AC886">
        <v>0</v>
      </c>
      <c r="AD886">
        <v>1</v>
      </c>
      <c r="AE886">
        <v>0.05</v>
      </c>
      <c r="AF886">
        <v>15</v>
      </c>
      <c r="AG886">
        <v>0</v>
      </c>
      <c r="AH886">
        <v>0</v>
      </c>
      <c r="AI886">
        <v>0</v>
      </c>
      <c r="AJ886">
        <v>1</v>
      </c>
      <c r="AK886">
        <v>0.02</v>
      </c>
      <c r="AL886">
        <v>16</v>
      </c>
      <c r="AM886">
        <v>0</v>
      </c>
      <c r="AN886">
        <v>0</v>
      </c>
      <c r="AO886">
        <v>0</v>
      </c>
      <c r="AP886">
        <v>1</v>
      </c>
      <c r="AQ886">
        <v>0.01</v>
      </c>
      <c r="AX886">
        <v>7</v>
      </c>
      <c r="AY886" s="1">
        <v>19</v>
      </c>
      <c r="AZ886">
        <v>0</v>
      </c>
      <c r="BA886">
        <v>0</v>
      </c>
      <c r="BB886">
        <v>1</v>
      </c>
      <c r="BC886" s="7">
        <v>0.32</v>
      </c>
      <c r="BD886">
        <v>30</v>
      </c>
      <c r="BE886">
        <v>0</v>
      </c>
      <c r="BF886">
        <v>0</v>
      </c>
      <c r="BG886">
        <v>0</v>
      </c>
      <c r="BH886">
        <v>5</v>
      </c>
      <c r="BI886">
        <v>2.4</v>
      </c>
      <c r="BJ886">
        <v>31</v>
      </c>
      <c r="BK886">
        <v>0</v>
      </c>
      <c r="BL886">
        <v>0</v>
      </c>
      <c r="BM886">
        <v>0</v>
      </c>
      <c r="BN886">
        <v>5</v>
      </c>
      <c r="BO886">
        <v>2.4</v>
      </c>
      <c r="BP886">
        <v>36</v>
      </c>
      <c r="BQ886">
        <v>0</v>
      </c>
      <c r="BR886">
        <v>0</v>
      </c>
      <c r="BS886">
        <v>0</v>
      </c>
      <c r="BT886">
        <v>5</v>
      </c>
      <c r="BU886">
        <v>2</v>
      </c>
    </row>
    <row r="887" spans="1:73" ht="14.25" x14ac:dyDescent="0.15">
      <c r="A887" s="12">
        <v>20234</v>
      </c>
      <c r="B887">
        <v>7</v>
      </c>
      <c r="C887" s="1">
        <v>48</v>
      </c>
      <c r="D887">
        <v>0</v>
      </c>
      <c r="E887">
        <v>0</v>
      </c>
      <c r="F887">
        <v>1</v>
      </c>
      <c r="G887" s="7">
        <v>0.05</v>
      </c>
      <c r="H887">
        <v>12</v>
      </c>
      <c r="I887">
        <v>0</v>
      </c>
      <c r="J887">
        <v>0</v>
      </c>
      <c r="K887">
        <v>0</v>
      </c>
      <c r="L887">
        <v>1</v>
      </c>
      <c r="M887">
        <v>2</v>
      </c>
      <c r="N887" s="7">
        <v>9</v>
      </c>
      <c r="O887" s="7">
        <v>0</v>
      </c>
      <c r="P887" s="7">
        <v>0</v>
      </c>
      <c r="Q887" s="7">
        <v>0</v>
      </c>
      <c r="R887" s="7">
        <v>1</v>
      </c>
      <c r="S887" s="7">
        <v>4.5</v>
      </c>
      <c r="T887">
        <v>7</v>
      </c>
      <c r="U887" s="1">
        <v>36</v>
      </c>
      <c r="V887">
        <v>0</v>
      </c>
      <c r="W887">
        <v>0</v>
      </c>
      <c r="X887">
        <v>1</v>
      </c>
      <c r="Y887">
        <v>0.16</v>
      </c>
      <c r="Z887">
        <v>23</v>
      </c>
      <c r="AA887">
        <v>0</v>
      </c>
      <c r="AB887">
        <v>0</v>
      </c>
      <c r="AC887">
        <v>0</v>
      </c>
      <c r="AD887">
        <v>1</v>
      </c>
      <c r="AE887">
        <v>0.05</v>
      </c>
      <c r="AF887">
        <v>15</v>
      </c>
      <c r="AG887">
        <v>0</v>
      </c>
      <c r="AH887">
        <v>0</v>
      </c>
      <c r="AI887">
        <v>0</v>
      </c>
      <c r="AJ887">
        <v>1</v>
      </c>
      <c r="AK887">
        <v>0.02</v>
      </c>
      <c r="AL887">
        <v>16</v>
      </c>
      <c r="AM887">
        <v>0</v>
      </c>
      <c r="AN887">
        <v>0</v>
      </c>
      <c r="AO887">
        <v>0</v>
      </c>
      <c r="AP887">
        <v>1</v>
      </c>
      <c r="AQ887">
        <v>0.01</v>
      </c>
      <c r="AX887">
        <v>7</v>
      </c>
      <c r="AY887" s="1">
        <v>20</v>
      </c>
      <c r="AZ887">
        <v>0</v>
      </c>
      <c r="BA887">
        <v>0</v>
      </c>
      <c r="BB887">
        <v>1</v>
      </c>
      <c r="BC887" s="7">
        <v>0.32</v>
      </c>
      <c r="BD887">
        <v>30</v>
      </c>
      <c r="BE887">
        <v>0</v>
      </c>
      <c r="BF887">
        <v>0</v>
      </c>
      <c r="BG887">
        <v>0</v>
      </c>
      <c r="BH887">
        <v>5</v>
      </c>
      <c r="BI887">
        <v>2.4</v>
      </c>
      <c r="BJ887">
        <v>31</v>
      </c>
      <c r="BK887">
        <v>0</v>
      </c>
      <c r="BL887">
        <v>0</v>
      </c>
      <c r="BM887">
        <v>0</v>
      </c>
      <c r="BN887">
        <v>5</v>
      </c>
      <c r="BO887">
        <v>2.4</v>
      </c>
      <c r="BP887">
        <v>36</v>
      </c>
      <c r="BQ887">
        <v>0</v>
      </c>
      <c r="BR887">
        <v>0</v>
      </c>
      <c r="BS887">
        <v>0</v>
      </c>
      <c r="BT887">
        <v>5</v>
      </c>
      <c r="BU887">
        <v>2</v>
      </c>
    </row>
    <row r="888" spans="1:73" ht="14.25" x14ac:dyDescent="0.15">
      <c r="A888" s="12">
        <v>20235</v>
      </c>
      <c r="B888">
        <v>7</v>
      </c>
      <c r="C888" s="1">
        <v>0</v>
      </c>
      <c r="D888">
        <v>5</v>
      </c>
      <c r="E888">
        <v>1</v>
      </c>
      <c r="F888">
        <v>1</v>
      </c>
      <c r="G888" s="7">
        <v>0.05</v>
      </c>
      <c r="H888">
        <v>12</v>
      </c>
      <c r="I888">
        <v>0</v>
      </c>
      <c r="J888">
        <v>0</v>
      </c>
      <c r="K888">
        <v>0</v>
      </c>
      <c r="L888">
        <v>1</v>
      </c>
      <c r="M888">
        <v>2</v>
      </c>
      <c r="N888" s="7">
        <v>9</v>
      </c>
      <c r="O888" s="7">
        <v>0</v>
      </c>
      <c r="P888" s="7">
        <v>0</v>
      </c>
      <c r="Q888" s="7">
        <v>0</v>
      </c>
      <c r="R888" s="7">
        <v>1</v>
      </c>
      <c r="S888" s="7">
        <v>4.5</v>
      </c>
      <c r="T888">
        <v>7</v>
      </c>
      <c r="U888" s="1">
        <v>0</v>
      </c>
      <c r="V888">
        <v>4</v>
      </c>
      <c r="W888">
        <v>2</v>
      </c>
      <c r="X888">
        <v>1</v>
      </c>
      <c r="Y888">
        <v>0.16</v>
      </c>
      <c r="Z888">
        <v>23</v>
      </c>
      <c r="AA888">
        <v>0</v>
      </c>
      <c r="AB888">
        <v>0</v>
      </c>
      <c r="AC888">
        <v>0</v>
      </c>
      <c r="AD888">
        <v>1</v>
      </c>
      <c r="AE888">
        <v>0.05</v>
      </c>
      <c r="AF888">
        <v>15</v>
      </c>
      <c r="AG888">
        <v>0</v>
      </c>
      <c r="AH888">
        <v>0</v>
      </c>
      <c r="AI888">
        <v>0</v>
      </c>
      <c r="AJ888">
        <v>1</v>
      </c>
      <c r="AK888">
        <v>0.02</v>
      </c>
      <c r="AL888">
        <v>16</v>
      </c>
      <c r="AM888">
        <v>0</v>
      </c>
      <c r="AN888">
        <v>0</v>
      </c>
      <c r="AO888">
        <v>0</v>
      </c>
      <c r="AP888">
        <v>1</v>
      </c>
      <c r="AQ888">
        <v>0.01</v>
      </c>
      <c r="AR888">
        <v>6</v>
      </c>
      <c r="AS888">
        <v>2</v>
      </c>
      <c r="AT888">
        <v>2</v>
      </c>
      <c r="AU888">
        <v>5</v>
      </c>
      <c r="AV888">
        <v>1</v>
      </c>
      <c r="AW888">
        <v>0.05</v>
      </c>
      <c r="AX888">
        <v>7</v>
      </c>
      <c r="AY888" s="1">
        <v>0</v>
      </c>
      <c r="AZ888">
        <v>3</v>
      </c>
      <c r="BA888">
        <v>1</v>
      </c>
      <c r="BB888">
        <v>1</v>
      </c>
      <c r="BC888" s="7">
        <v>0.32</v>
      </c>
      <c r="BD888">
        <v>30</v>
      </c>
      <c r="BE888">
        <v>0</v>
      </c>
      <c r="BF888">
        <v>0</v>
      </c>
      <c r="BG888">
        <v>0</v>
      </c>
      <c r="BH888">
        <v>5</v>
      </c>
      <c r="BI888">
        <v>2.4</v>
      </c>
      <c r="BJ888">
        <v>31</v>
      </c>
      <c r="BK888">
        <v>0</v>
      </c>
      <c r="BL888">
        <v>0</v>
      </c>
      <c r="BM888">
        <v>0</v>
      </c>
      <c r="BN888">
        <v>5</v>
      </c>
      <c r="BO888">
        <v>2.4</v>
      </c>
      <c r="BP888">
        <v>36</v>
      </c>
      <c r="BQ888">
        <v>0</v>
      </c>
      <c r="BR888">
        <v>0</v>
      </c>
      <c r="BS888">
        <v>0</v>
      </c>
      <c r="BT888">
        <v>5</v>
      </c>
      <c r="BU888">
        <v>2</v>
      </c>
    </row>
    <row r="889" spans="1:73" ht="14.25" x14ac:dyDescent="0.15">
      <c r="A889" s="12">
        <v>20236</v>
      </c>
      <c r="B889">
        <v>7</v>
      </c>
      <c r="C889" s="1">
        <v>45</v>
      </c>
      <c r="D889">
        <v>0</v>
      </c>
      <c r="E889">
        <v>0</v>
      </c>
      <c r="F889">
        <v>1</v>
      </c>
      <c r="G889" s="7">
        <v>0.05</v>
      </c>
      <c r="H889">
        <v>12</v>
      </c>
      <c r="I889">
        <v>0</v>
      </c>
      <c r="J889">
        <v>0</v>
      </c>
      <c r="K889">
        <v>0</v>
      </c>
      <c r="L889">
        <v>1</v>
      </c>
      <c r="M889">
        <v>2</v>
      </c>
      <c r="N889" s="7">
        <v>9</v>
      </c>
      <c r="O889" s="7">
        <v>0</v>
      </c>
      <c r="P889" s="7">
        <v>0</v>
      </c>
      <c r="Q889" s="7">
        <v>0</v>
      </c>
      <c r="R889" s="7">
        <v>1</v>
      </c>
      <c r="S889" s="7">
        <v>4.5</v>
      </c>
      <c r="T889">
        <v>7</v>
      </c>
      <c r="U889" s="1">
        <v>33</v>
      </c>
      <c r="V889">
        <v>0</v>
      </c>
      <c r="W889">
        <v>0</v>
      </c>
      <c r="X889">
        <v>1</v>
      </c>
      <c r="Y889">
        <v>0.16</v>
      </c>
      <c r="Z889">
        <v>23</v>
      </c>
      <c r="AA889">
        <v>0</v>
      </c>
      <c r="AB889">
        <v>0</v>
      </c>
      <c r="AC889">
        <v>0</v>
      </c>
      <c r="AD889">
        <v>1</v>
      </c>
      <c r="AE889">
        <v>0.05</v>
      </c>
      <c r="AF889">
        <v>15</v>
      </c>
      <c r="AG889">
        <v>0</v>
      </c>
      <c r="AH889">
        <v>0</v>
      </c>
      <c r="AI889">
        <v>0</v>
      </c>
      <c r="AJ889">
        <v>1</v>
      </c>
      <c r="AK889">
        <v>0.02</v>
      </c>
      <c r="AL889">
        <v>16</v>
      </c>
      <c r="AM889">
        <v>0</v>
      </c>
      <c r="AN889">
        <v>0</v>
      </c>
      <c r="AO889">
        <v>0</v>
      </c>
      <c r="AP889">
        <v>1</v>
      </c>
      <c r="AQ889">
        <v>0.01</v>
      </c>
      <c r="AX889">
        <v>7</v>
      </c>
      <c r="AY889" s="1">
        <v>17</v>
      </c>
      <c r="AZ889">
        <v>0</v>
      </c>
      <c r="BA889">
        <v>0</v>
      </c>
      <c r="BB889">
        <v>1</v>
      </c>
      <c r="BC889" s="7">
        <v>0.32</v>
      </c>
      <c r="BD889">
        <v>30</v>
      </c>
      <c r="BE889">
        <v>0</v>
      </c>
      <c r="BF889">
        <v>0</v>
      </c>
      <c r="BG889">
        <v>0</v>
      </c>
      <c r="BH889">
        <v>5</v>
      </c>
      <c r="BI889">
        <v>2.4</v>
      </c>
      <c r="BJ889">
        <v>31</v>
      </c>
      <c r="BK889">
        <v>0</v>
      </c>
      <c r="BL889">
        <v>0</v>
      </c>
      <c r="BM889">
        <v>0</v>
      </c>
      <c r="BN889">
        <v>5</v>
      </c>
      <c r="BO889">
        <v>2.4</v>
      </c>
      <c r="BP889">
        <v>36</v>
      </c>
      <c r="BQ889">
        <v>0</v>
      </c>
      <c r="BR889">
        <v>0</v>
      </c>
      <c r="BS889">
        <v>0</v>
      </c>
      <c r="BT889">
        <v>5</v>
      </c>
      <c r="BU889">
        <v>2</v>
      </c>
    </row>
    <row r="890" spans="1:73" ht="14.25" x14ac:dyDescent="0.15">
      <c r="A890" s="12">
        <v>20237</v>
      </c>
      <c r="B890">
        <v>7</v>
      </c>
      <c r="C890" s="1">
        <v>46</v>
      </c>
      <c r="D890">
        <v>0</v>
      </c>
      <c r="E890">
        <v>0</v>
      </c>
      <c r="F890">
        <v>1</v>
      </c>
      <c r="G890" s="7">
        <v>0.05</v>
      </c>
      <c r="H890">
        <v>12</v>
      </c>
      <c r="I890">
        <v>0</v>
      </c>
      <c r="J890">
        <v>0</v>
      </c>
      <c r="K890">
        <v>0</v>
      </c>
      <c r="L890">
        <v>1</v>
      </c>
      <c r="M890">
        <v>2</v>
      </c>
      <c r="N890" s="7">
        <v>9</v>
      </c>
      <c r="O890" s="7">
        <v>0</v>
      </c>
      <c r="P890" s="7">
        <v>0</v>
      </c>
      <c r="Q890" s="7">
        <v>0</v>
      </c>
      <c r="R890" s="7">
        <v>1</v>
      </c>
      <c r="S890" s="7">
        <v>4.5</v>
      </c>
      <c r="T890">
        <v>7</v>
      </c>
      <c r="U890" s="1">
        <v>34</v>
      </c>
      <c r="V890">
        <v>0</v>
      </c>
      <c r="W890">
        <v>0</v>
      </c>
      <c r="X890">
        <v>1</v>
      </c>
      <c r="Y890">
        <v>0.16</v>
      </c>
      <c r="Z890">
        <v>23</v>
      </c>
      <c r="AA890">
        <v>0</v>
      </c>
      <c r="AB890">
        <v>0</v>
      </c>
      <c r="AC890">
        <v>0</v>
      </c>
      <c r="AD890">
        <v>1</v>
      </c>
      <c r="AE890">
        <v>0.05</v>
      </c>
      <c r="AF890">
        <v>15</v>
      </c>
      <c r="AG890">
        <v>0</v>
      </c>
      <c r="AH890">
        <v>0</v>
      </c>
      <c r="AI890">
        <v>0</v>
      </c>
      <c r="AJ890">
        <v>1</v>
      </c>
      <c r="AK890">
        <v>0.02</v>
      </c>
      <c r="AL890">
        <v>16</v>
      </c>
      <c r="AM890">
        <v>0</v>
      </c>
      <c r="AN890">
        <v>0</v>
      </c>
      <c r="AO890">
        <v>0</v>
      </c>
      <c r="AP890">
        <v>1</v>
      </c>
      <c r="AQ890">
        <v>0.01</v>
      </c>
      <c r="AX890">
        <v>7</v>
      </c>
      <c r="AY890" s="1">
        <v>18</v>
      </c>
      <c r="AZ890">
        <v>0</v>
      </c>
      <c r="BA890">
        <v>0</v>
      </c>
      <c r="BB890">
        <v>1</v>
      </c>
      <c r="BC890" s="7">
        <v>0.32</v>
      </c>
      <c r="BD890">
        <v>30</v>
      </c>
      <c r="BE890">
        <v>0</v>
      </c>
      <c r="BF890">
        <v>0</v>
      </c>
      <c r="BG890">
        <v>0</v>
      </c>
      <c r="BH890">
        <v>5</v>
      </c>
      <c r="BI890">
        <v>2.4</v>
      </c>
      <c r="BJ890">
        <v>31</v>
      </c>
      <c r="BK890">
        <v>0</v>
      </c>
      <c r="BL890">
        <v>0</v>
      </c>
      <c r="BM890">
        <v>0</v>
      </c>
      <c r="BN890">
        <v>5</v>
      </c>
      <c r="BO890">
        <v>2.4</v>
      </c>
      <c r="BP890">
        <v>36</v>
      </c>
      <c r="BQ890">
        <v>0</v>
      </c>
      <c r="BR890">
        <v>0</v>
      </c>
      <c r="BS890">
        <v>0</v>
      </c>
      <c r="BT890">
        <v>5</v>
      </c>
      <c r="BU890">
        <v>2</v>
      </c>
    </row>
    <row r="891" spans="1:73" ht="14.25" x14ac:dyDescent="0.15">
      <c r="A891" s="12">
        <v>20238</v>
      </c>
      <c r="B891">
        <v>7</v>
      </c>
      <c r="C891" s="1">
        <v>47</v>
      </c>
      <c r="D891">
        <v>0</v>
      </c>
      <c r="E891">
        <v>0</v>
      </c>
      <c r="F891">
        <v>1</v>
      </c>
      <c r="G891" s="7">
        <v>0.05</v>
      </c>
      <c r="H891">
        <v>12</v>
      </c>
      <c r="I891">
        <v>0</v>
      </c>
      <c r="J891">
        <v>0</v>
      </c>
      <c r="K891">
        <v>0</v>
      </c>
      <c r="L891">
        <v>1</v>
      </c>
      <c r="M891">
        <v>2</v>
      </c>
      <c r="N891" s="7">
        <v>9</v>
      </c>
      <c r="O891" s="7">
        <v>0</v>
      </c>
      <c r="P891" s="7">
        <v>0</v>
      </c>
      <c r="Q891" s="7">
        <v>0</v>
      </c>
      <c r="R891" s="7">
        <v>1</v>
      </c>
      <c r="S891" s="7">
        <v>4.5</v>
      </c>
      <c r="T891">
        <v>7</v>
      </c>
      <c r="U891" s="1">
        <v>35</v>
      </c>
      <c r="V891">
        <v>0</v>
      </c>
      <c r="W891">
        <v>0</v>
      </c>
      <c r="X891">
        <v>1</v>
      </c>
      <c r="Y891">
        <v>0.16</v>
      </c>
      <c r="Z891">
        <v>23</v>
      </c>
      <c r="AA891">
        <v>0</v>
      </c>
      <c r="AB891">
        <v>0</v>
      </c>
      <c r="AC891">
        <v>0</v>
      </c>
      <c r="AD891">
        <v>1</v>
      </c>
      <c r="AE891">
        <v>0.05</v>
      </c>
      <c r="AF891">
        <v>15</v>
      </c>
      <c r="AG891">
        <v>0</v>
      </c>
      <c r="AH891">
        <v>0</v>
      </c>
      <c r="AI891">
        <v>0</v>
      </c>
      <c r="AJ891">
        <v>1</v>
      </c>
      <c r="AK891">
        <v>0.02</v>
      </c>
      <c r="AL891">
        <v>16</v>
      </c>
      <c r="AM891">
        <v>0</v>
      </c>
      <c r="AN891">
        <v>0</v>
      </c>
      <c r="AO891">
        <v>0</v>
      </c>
      <c r="AP891">
        <v>1</v>
      </c>
      <c r="AQ891">
        <v>0.01</v>
      </c>
      <c r="AX891">
        <v>7</v>
      </c>
      <c r="AY891" s="1">
        <v>19</v>
      </c>
      <c r="AZ891">
        <v>0</v>
      </c>
      <c r="BA891">
        <v>0</v>
      </c>
      <c r="BB891">
        <v>1</v>
      </c>
      <c r="BC891" s="7">
        <v>0.32</v>
      </c>
      <c r="BD891">
        <v>30</v>
      </c>
      <c r="BE891">
        <v>0</v>
      </c>
      <c r="BF891">
        <v>0</v>
      </c>
      <c r="BG891">
        <v>0</v>
      </c>
      <c r="BH891">
        <v>5</v>
      </c>
      <c r="BI891">
        <v>2.4</v>
      </c>
      <c r="BJ891">
        <v>31</v>
      </c>
      <c r="BK891">
        <v>0</v>
      </c>
      <c r="BL891">
        <v>0</v>
      </c>
      <c r="BM891">
        <v>0</v>
      </c>
      <c r="BN891">
        <v>5</v>
      </c>
      <c r="BO891">
        <v>2.4</v>
      </c>
      <c r="BP891">
        <v>36</v>
      </c>
      <c r="BQ891">
        <v>0</v>
      </c>
      <c r="BR891">
        <v>0</v>
      </c>
      <c r="BS891">
        <v>0</v>
      </c>
      <c r="BT891">
        <v>5</v>
      </c>
      <c r="BU891">
        <v>2</v>
      </c>
    </row>
    <row r="892" spans="1:73" ht="14.25" x14ac:dyDescent="0.15">
      <c r="A892" s="12">
        <v>20239</v>
      </c>
      <c r="B892">
        <v>7</v>
      </c>
      <c r="C892" s="1">
        <v>48</v>
      </c>
      <c r="D892">
        <v>0</v>
      </c>
      <c r="E892">
        <v>0</v>
      </c>
      <c r="F892">
        <v>1</v>
      </c>
      <c r="G892" s="7">
        <v>0.05</v>
      </c>
      <c r="H892">
        <v>12</v>
      </c>
      <c r="I892">
        <v>0</v>
      </c>
      <c r="J892">
        <v>0</v>
      </c>
      <c r="K892">
        <v>0</v>
      </c>
      <c r="L892">
        <v>1</v>
      </c>
      <c r="M892">
        <v>2</v>
      </c>
      <c r="N892" s="7">
        <v>9</v>
      </c>
      <c r="O892" s="7">
        <v>0</v>
      </c>
      <c r="P892" s="7">
        <v>0</v>
      </c>
      <c r="Q892" s="7">
        <v>0</v>
      </c>
      <c r="R892" s="7">
        <v>1</v>
      </c>
      <c r="S892" s="7">
        <v>4.5</v>
      </c>
      <c r="T892">
        <v>7</v>
      </c>
      <c r="U892" s="1">
        <v>36</v>
      </c>
      <c r="V892">
        <v>0</v>
      </c>
      <c r="W892">
        <v>0</v>
      </c>
      <c r="X892">
        <v>1</v>
      </c>
      <c r="Y892">
        <v>0.16</v>
      </c>
      <c r="Z892">
        <v>23</v>
      </c>
      <c r="AA892">
        <v>0</v>
      </c>
      <c r="AB892">
        <v>0</v>
      </c>
      <c r="AC892">
        <v>0</v>
      </c>
      <c r="AD892">
        <v>1</v>
      </c>
      <c r="AE892">
        <v>0.05</v>
      </c>
      <c r="AF892">
        <v>15</v>
      </c>
      <c r="AG892">
        <v>0</v>
      </c>
      <c r="AH892">
        <v>0</v>
      </c>
      <c r="AI892">
        <v>0</v>
      </c>
      <c r="AJ892">
        <v>1</v>
      </c>
      <c r="AK892">
        <v>0.02</v>
      </c>
      <c r="AL892">
        <v>16</v>
      </c>
      <c r="AM892">
        <v>0</v>
      </c>
      <c r="AN892">
        <v>0</v>
      </c>
      <c r="AO892">
        <v>0</v>
      </c>
      <c r="AP892">
        <v>1</v>
      </c>
      <c r="AQ892">
        <v>0.01</v>
      </c>
      <c r="AX892">
        <v>7</v>
      </c>
      <c r="AY892" s="1">
        <v>20</v>
      </c>
      <c r="AZ892">
        <v>0</v>
      </c>
      <c r="BA892">
        <v>0</v>
      </c>
      <c r="BB892">
        <v>1</v>
      </c>
      <c r="BC892" s="7">
        <v>0.32</v>
      </c>
      <c r="BD892">
        <v>30</v>
      </c>
      <c r="BE892">
        <v>0</v>
      </c>
      <c r="BF892">
        <v>0</v>
      </c>
      <c r="BG892">
        <v>0</v>
      </c>
      <c r="BH892">
        <v>5</v>
      </c>
      <c r="BI892">
        <v>2.4</v>
      </c>
      <c r="BJ892">
        <v>31</v>
      </c>
      <c r="BK892">
        <v>0</v>
      </c>
      <c r="BL892">
        <v>0</v>
      </c>
      <c r="BM892">
        <v>0</v>
      </c>
      <c r="BN892">
        <v>5</v>
      </c>
      <c r="BO892">
        <v>2.4</v>
      </c>
      <c r="BP892">
        <v>36</v>
      </c>
      <c r="BQ892">
        <v>0</v>
      </c>
      <c r="BR892">
        <v>0</v>
      </c>
      <c r="BS892">
        <v>0</v>
      </c>
      <c r="BT892">
        <v>5</v>
      </c>
      <c r="BU892">
        <v>2</v>
      </c>
    </row>
    <row r="893" spans="1:73" ht="14.25" x14ac:dyDescent="0.15">
      <c r="A893" s="12">
        <v>20240</v>
      </c>
      <c r="B893">
        <v>7</v>
      </c>
      <c r="C893" s="1">
        <v>0</v>
      </c>
      <c r="D893">
        <v>5</v>
      </c>
      <c r="E893">
        <v>1</v>
      </c>
      <c r="F893">
        <v>1</v>
      </c>
      <c r="G893" s="7">
        <v>0.05</v>
      </c>
      <c r="H893">
        <v>12</v>
      </c>
      <c r="I893">
        <v>0</v>
      </c>
      <c r="J893">
        <v>0</v>
      </c>
      <c r="K893">
        <v>0</v>
      </c>
      <c r="L893">
        <v>1</v>
      </c>
      <c r="M893">
        <v>2</v>
      </c>
      <c r="N893" s="7">
        <v>9</v>
      </c>
      <c r="O893" s="7">
        <v>0</v>
      </c>
      <c r="P893" s="7">
        <v>0</v>
      </c>
      <c r="Q893" s="7">
        <v>0</v>
      </c>
      <c r="R893" s="7">
        <v>1</v>
      </c>
      <c r="S893" s="7">
        <v>4.5</v>
      </c>
      <c r="T893">
        <v>7</v>
      </c>
      <c r="U893" s="1">
        <v>0</v>
      </c>
      <c r="V893">
        <v>4</v>
      </c>
      <c r="W893">
        <v>2</v>
      </c>
      <c r="X893">
        <v>1</v>
      </c>
      <c r="Y893">
        <v>0.16</v>
      </c>
      <c r="Z893">
        <v>23</v>
      </c>
      <c r="AA893">
        <v>0</v>
      </c>
      <c r="AB893">
        <v>0</v>
      </c>
      <c r="AC893">
        <v>0</v>
      </c>
      <c r="AD893">
        <v>1</v>
      </c>
      <c r="AE893">
        <v>0.05</v>
      </c>
      <c r="AF893">
        <v>15</v>
      </c>
      <c r="AG893">
        <v>0</v>
      </c>
      <c r="AH893">
        <v>0</v>
      </c>
      <c r="AI893">
        <v>0</v>
      </c>
      <c r="AJ893">
        <v>1</v>
      </c>
      <c r="AK893">
        <v>0.02</v>
      </c>
      <c r="AL893">
        <v>16</v>
      </c>
      <c r="AM893">
        <v>0</v>
      </c>
      <c r="AN893">
        <v>0</v>
      </c>
      <c r="AO893">
        <v>0</v>
      </c>
      <c r="AP893">
        <v>1</v>
      </c>
      <c r="AQ893">
        <v>0.01</v>
      </c>
      <c r="AR893">
        <v>6</v>
      </c>
      <c r="AS893">
        <v>2</v>
      </c>
      <c r="AT893">
        <v>3</v>
      </c>
      <c r="AU893">
        <v>5</v>
      </c>
      <c r="AV893">
        <v>1</v>
      </c>
      <c r="AW893">
        <v>0.05</v>
      </c>
      <c r="AX893">
        <v>7</v>
      </c>
      <c r="AY893" s="1">
        <v>0</v>
      </c>
      <c r="AZ893">
        <v>3</v>
      </c>
      <c r="BA893">
        <v>1</v>
      </c>
      <c r="BB893">
        <v>1</v>
      </c>
      <c r="BC893" s="7">
        <v>0.32</v>
      </c>
      <c r="BD893">
        <v>30</v>
      </c>
      <c r="BE893">
        <v>0</v>
      </c>
      <c r="BF893">
        <v>0</v>
      </c>
      <c r="BG893">
        <v>0</v>
      </c>
      <c r="BH893">
        <v>5</v>
      </c>
      <c r="BI893">
        <v>2.4</v>
      </c>
      <c r="BJ893">
        <v>31</v>
      </c>
      <c r="BK893">
        <v>0</v>
      </c>
      <c r="BL893">
        <v>0</v>
      </c>
      <c r="BM893">
        <v>0</v>
      </c>
      <c r="BN893">
        <v>5</v>
      </c>
      <c r="BO893">
        <v>2.4</v>
      </c>
      <c r="BP893">
        <v>36</v>
      </c>
      <c r="BQ893">
        <v>0</v>
      </c>
      <c r="BR893">
        <v>0</v>
      </c>
      <c r="BS893">
        <v>0</v>
      </c>
      <c r="BT893">
        <v>5</v>
      </c>
      <c r="BU893">
        <v>2</v>
      </c>
    </row>
    <row r="894" spans="1:73" ht="14.25" x14ac:dyDescent="0.15">
      <c r="A894" s="12">
        <v>20241</v>
      </c>
      <c r="B894">
        <v>7</v>
      </c>
      <c r="C894" s="1">
        <v>45</v>
      </c>
      <c r="D894">
        <v>0</v>
      </c>
      <c r="E894">
        <v>0</v>
      </c>
      <c r="F894">
        <v>1</v>
      </c>
      <c r="G894" s="7">
        <v>0.05</v>
      </c>
      <c r="H894">
        <v>12</v>
      </c>
      <c r="I894">
        <v>0</v>
      </c>
      <c r="J894">
        <v>0</v>
      </c>
      <c r="K894">
        <v>0</v>
      </c>
      <c r="L894">
        <v>1</v>
      </c>
      <c r="M894">
        <v>2</v>
      </c>
      <c r="N894" s="7">
        <v>9</v>
      </c>
      <c r="O894" s="7">
        <v>0</v>
      </c>
      <c r="P894" s="7">
        <v>0</v>
      </c>
      <c r="Q894" s="7">
        <v>0</v>
      </c>
      <c r="R894" s="7">
        <v>1</v>
      </c>
      <c r="S894" s="7">
        <v>4.5</v>
      </c>
      <c r="T894">
        <v>7</v>
      </c>
      <c r="U894" s="1">
        <v>33</v>
      </c>
      <c r="V894">
        <v>0</v>
      </c>
      <c r="W894">
        <v>0</v>
      </c>
      <c r="X894">
        <v>1</v>
      </c>
      <c r="Y894">
        <v>0.16</v>
      </c>
      <c r="Z894">
        <v>23</v>
      </c>
      <c r="AA894">
        <v>0</v>
      </c>
      <c r="AB894">
        <v>0</v>
      </c>
      <c r="AC894">
        <v>0</v>
      </c>
      <c r="AD894">
        <v>1</v>
      </c>
      <c r="AE894">
        <v>0.05</v>
      </c>
      <c r="AF894">
        <v>15</v>
      </c>
      <c r="AG894">
        <v>0</v>
      </c>
      <c r="AH894">
        <v>0</v>
      </c>
      <c r="AI894">
        <v>0</v>
      </c>
      <c r="AJ894">
        <v>1</v>
      </c>
      <c r="AK894">
        <v>0.02</v>
      </c>
      <c r="AL894">
        <v>16</v>
      </c>
      <c r="AM894">
        <v>0</v>
      </c>
      <c r="AN894">
        <v>0</v>
      </c>
      <c r="AO894">
        <v>0</v>
      </c>
      <c r="AP894">
        <v>1</v>
      </c>
      <c r="AQ894">
        <v>0.01</v>
      </c>
      <c r="AX894">
        <v>7</v>
      </c>
      <c r="AY894" s="1">
        <v>17</v>
      </c>
      <c r="AZ894">
        <v>0</v>
      </c>
      <c r="BA894">
        <v>0</v>
      </c>
      <c r="BB894">
        <v>1</v>
      </c>
      <c r="BC894" s="7">
        <v>0.32</v>
      </c>
      <c r="BD894">
        <v>30</v>
      </c>
      <c r="BE894">
        <v>0</v>
      </c>
      <c r="BF894">
        <v>0</v>
      </c>
      <c r="BG894">
        <v>0</v>
      </c>
      <c r="BH894">
        <v>5</v>
      </c>
      <c r="BI894">
        <v>2.4</v>
      </c>
      <c r="BJ894">
        <v>31</v>
      </c>
      <c r="BK894">
        <v>0</v>
      </c>
      <c r="BL894">
        <v>0</v>
      </c>
      <c r="BM894">
        <v>0</v>
      </c>
      <c r="BN894">
        <v>5</v>
      </c>
      <c r="BO894">
        <v>2.4</v>
      </c>
      <c r="BP894">
        <v>36</v>
      </c>
      <c r="BQ894">
        <v>0</v>
      </c>
      <c r="BR894">
        <v>0</v>
      </c>
      <c r="BS894">
        <v>0</v>
      </c>
      <c r="BT894">
        <v>5</v>
      </c>
      <c r="BU894">
        <v>2</v>
      </c>
    </row>
    <row r="895" spans="1:73" ht="14.25" x14ac:dyDescent="0.15">
      <c r="A895" s="12">
        <v>20242</v>
      </c>
      <c r="B895">
        <v>7</v>
      </c>
      <c r="C895" s="1">
        <v>46</v>
      </c>
      <c r="D895">
        <v>0</v>
      </c>
      <c r="E895">
        <v>0</v>
      </c>
      <c r="F895">
        <v>1</v>
      </c>
      <c r="G895" s="7">
        <v>0.05</v>
      </c>
      <c r="H895">
        <v>12</v>
      </c>
      <c r="I895">
        <v>0</v>
      </c>
      <c r="J895">
        <v>0</v>
      </c>
      <c r="K895">
        <v>0</v>
      </c>
      <c r="L895">
        <v>1</v>
      </c>
      <c r="M895">
        <v>2</v>
      </c>
      <c r="N895" s="7">
        <v>9</v>
      </c>
      <c r="O895" s="7">
        <v>0</v>
      </c>
      <c r="P895" s="7">
        <v>0</v>
      </c>
      <c r="Q895" s="7">
        <v>0</v>
      </c>
      <c r="R895" s="7">
        <v>1</v>
      </c>
      <c r="S895" s="7">
        <v>4.5</v>
      </c>
      <c r="T895">
        <v>7</v>
      </c>
      <c r="U895" s="1">
        <v>34</v>
      </c>
      <c r="V895">
        <v>0</v>
      </c>
      <c r="W895">
        <v>0</v>
      </c>
      <c r="X895">
        <v>1</v>
      </c>
      <c r="Y895">
        <v>0.16</v>
      </c>
      <c r="Z895">
        <v>23</v>
      </c>
      <c r="AA895">
        <v>0</v>
      </c>
      <c r="AB895">
        <v>0</v>
      </c>
      <c r="AC895">
        <v>0</v>
      </c>
      <c r="AD895">
        <v>1</v>
      </c>
      <c r="AE895">
        <v>0.05</v>
      </c>
      <c r="AF895">
        <v>15</v>
      </c>
      <c r="AG895">
        <v>0</v>
      </c>
      <c r="AH895">
        <v>0</v>
      </c>
      <c r="AI895">
        <v>0</v>
      </c>
      <c r="AJ895">
        <v>1</v>
      </c>
      <c r="AK895">
        <v>0.02</v>
      </c>
      <c r="AL895">
        <v>16</v>
      </c>
      <c r="AM895">
        <v>0</v>
      </c>
      <c r="AN895">
        <v>0</v>
      </c>
      <c r="AO895">
        <v>0</v>
      </c>
      <c r="AP895">
        <v>1</v>
      </c>
      <c r="AQ895">
        <v>0.01</v>
      </c>
      <c r="AX895">
        <v>7</v>
      </c>
      <c r="AY895" s="1">
        <v>18</v>
      </c>
      <c r="AZ895">
        <v>0</v>
      </c>
      <c r="BA895">
        <v>0</v>
      </c>
      <c r="BB895">
        <v>1</v>
      </c>
      <c r="BC895" s="7">
        <v>0.32</v>
      </c>
      <c r="BD895">
        <v>30</v>
      </c>
      <c r="BE895">
        <v>0</v>
      </c>
      <c r="BF895">
        <v>0</v>
      </c>
      <c r="BG895">
        <v>0</v>
      </c>
      <c r="BH895">
        <v>5</v>
      </c>
      <c r="BI895">
        <v>2.4</v>
      </c>
      <c r="BJ895">
        <v>31</v>
      </c>
      <c r="BK895">
        <v>0</v>
      </c>
      <c r="BL895">
        <v>0</v>
      </c>
      <c r="BM895">
        <v>0</v>
      </c>
      <c r="BN895">
        <v>5</v>
      </c>
      <c r="BO895">
        <v>2.4</v>
      </c>
      <c r="BP895">
        <v>36</v>
      </c>
      <c r="BQ895">
        <v>0</v>
      </c>
      <c r="BR895">
        <v>0</v>
      </c>
      <c r="BS895">
        <v>0</v>
      </c>
      <c r="BT895">
        <v>5</v>
      </c>
      <c r="BU895">
        <v>2</v>
      </c>
    </row>
    <row r="896" spans="1:73" ht="14.25" x14ac:dyDescent="0.15">
      <c r="A896" s="12">
        <v>20243</v>
      </c>
      <c r="B896">
        <v>7</v>
      </c>
      <c r="C896" s="1">
        <v>47</v>
      </c>
      <c r="D896">
        <v>0</v>
      </c>
      <c r="E896">
        <v>0</v>
      </c>
      <c r="F896">
        <v>1</v>
      </c>
      <c r="G896" s="7">
        <v>0.05</v>
      </c>
      <c r="H896">
        <v>12</v>
      </c>
      <c r="I896">
        <v>0</v>
      </c>
      <c r="J896">
        <v>0</v>
      </c>
      <c r="K896">
        <v>0</v>
      </c>
      <c r="L896">
        <v>1</v>
      </c>
      <c r="M896">
        <v>2</v>
      </c>
      <c r="N896" s="7">
        <v>9</v>
      </c>
      <c r="O896" s="7">
        <v>0</v>
      </c>
      <c r="P896" s="7">
        <v>0</v>
      </c>
      <c r="Q896" s="7">
        <v>0</v>
      </c>
      <c r="R896" s="7">
        <v>1</v>
      </c>
      <c r="S896" s="7">
        <v>4.5</v>
      </c>
      <c r="T896">
        <v>7</v>
      </c>
      <c r="U896" s="1">
        <v>35</v>
      </c>
      <c r="V896">
        <v>0</v>
      </c>
      <c r="W896">
        <v>0</v>
      </c>
      <c r="X896">
        <v>1</v>
      </c>
      <c r="Y896">
        <v>0.16</v>
      </c>
      <c r="Z896">
        <v>23</v>
      </c>
      <c r="AA896">
        <v>0</v>
      </c>
      <c r="AB896">
        <v>0</v>
      </c>
      <c r="AC896">
        <v>0</v>
      </c>
      <c r="AD896">
        <v>1</v>
      </c>
      <c r="AE896">
        <v>0.05</v>
      </c>
      <c r="AF896">
        <v>15</v>
      </c>
      <c r="AG896">
        <v>0</v>
      </c>
      <c r="AH896">
        <v>0</v>
      </c>
      <c r="AI896">
        <v>0</v>
      </c>
      <c r="AJ896">
        <v>1</v>
      </c>
      <c r="AK896">
        <v>0.02</v>
      </c>
      <c r="AL896">
        <v>16</v>
      </c>
      <c r="AM896">
        <v>0</v>
      </c>
      <c r="AN896">
        <v>0</v>
      </c>
      <c r="AO896">
        <v>0</v>
      </c>
      <c r="AP896">
        <v>1</v>
      </c>
      <c r="AQ896">
        <v>0.01</v>
      </c>
      <c r="AX896">
        <v>7</v>
      </c>
      <c r="AY896" s="1">
        <v>19</v>
      </c>
      <c r="AZ896">
        <v>0</v>
      </c>
      <c r="BA896">
        <v>0</v>
      </c>
      <c r="BB896">
        <v>1</v>
      </c>
      <c r="BC896" s="7">
        <v>0.32</v>
      </c>
      <c r="BD896">
        <v>30</v>
      </c>
      <c r="BE896">
        <v>0</v>
      </c>
      <c r="BF896">
        <v>0</v>
      </c>
      <c r="BG896">
        <v>0</v>
      </c>
      <c r="BH896">
        <v>5</v>
      </c>
      <c r="BI896">
        <v>2.4</v>
      </c>
      <c r="BJ896">
        <v>31</v>
      </c>
      <c r="BK896">
        <v>0</v>
      </c>
      <c r="BL896">
        <v>0</v>
      </c>
      <c r="BM896">
        <v>0</v>
      </c>
      <c r="BN896">
        <v>5</v>
      </c>
      <c r="BO896">
        <v>2.4</v>
      </c>
      <c r="BP896">
        <v>36</v>
      </c>
      <c r="BQ896">
        <v>0</v>
      </c>
      <c r="BR896">
        <v>0</v>
      </c>
      <c r="BS896">
        <v>0</v>
      </c>
      <c r="BT896">
        <v>5</v>
      </c>
      <c r="BU896">
        <v>2</v>
      </c>
    </row>
    <row r="897" spans="1:73" ht="14.25" x14ac:dyDescent="0.15">
      <c r="A897" s="12">
        <v>20244</v>
      </c>
      <c r="B897">
        <v>7</v>
      </c>
      <c r="C897" s="1">
        <v>48</v>
      </c>
      <c r="D897">
        <v>0</v>
      </c>
      <c r="E897">
        <v>0</v>
      </c>
      <c r="F897">
        <v>1</v>
      </c>
      <c r="G897" s="7">
        <v>0.05</v>
      </c>
      <c r="H897">
        <v>12</v>
      </c>
      <c r="I897">
        <v>0</v>
      </c>
      <c r="J897">
        <v>0</v>
      </c>
      <c r="K897">
        <v>0</v>
      </c>
      <c r="L897">
        <v>1</v>
      </c>
      <c r="M897">
        <v>2</v>
      </c>
      <c r="N897" s="7">
        <v>9</v>
      </c>
      <c r="O897" s="7">
        <v>0</v>
      </c>
      <c r="P897" s="7">
        <v>0</v>
      </c>
      <c r="Q897" s="7">
        <v>0</v>
      </c>
      <c r="R897" s="7">
        <v>1</v>
      </c>
      <c r="S897" s="7">
        <v>4.5</v>
      </c>
      <c r="T897">
        <v>7</v>
      </c>
      <c r="U897" s="1">
        <v>36</v>
      </c>
      <c r="V897">
        <v>0</v>
      </c>
      <c r="W897">
        <v>0</v>
      </c>
      <c r="X897">
        <v>1</v>
      </c>
      <c r="Y897">
        <v>0.16</v>
      </c>
      <c r="Z897">
        <v>23</v>
      </c>
      <c r="AA897">
        <v>0</v>
      </c>
      <c r="AB897">
        <v>0</v>
      </c>
      <c r="AC897">
        <v>0</v>
      </c>
      <c r="AD897">
        <v>1</v>
      </c>
      <c r="AE897">
        <v>0.05</v>
      </c>
      <c r="AF897">
        <v>15</v>
      </c>
      <c r="AG897">
        <v>0</v>
      </c>
      <c r="AH897">
        <v>0</v>
      </c>
      <c r="AI897">
        <v>0</v>
      </c>
      <c r="AJ897">
        <v>1</v>
      </c>
      <c r="AK897">
        <v>0.02</v>
      </c>
      <c r="AL897">
        <v>16</v>
      </c>
      <c r="AM897">
        <v>0</v>
      </c>
      <c r="AN897">
        <v>0</v>
      </c>
      <c r="AO897">
        <v>0</v>
      </c>
      <c r="AP897">
        <v>1</v>
      </c>
      <c r="AQ897">
        <v>0.01</v>
      </c>
      <c r="AX897">
        <v>7</v>
      </c>
      <c r="AY897" s="1">
        <v>20</v>
      </c>
      <c r="AZ897">
        <v>0</v>
      </c>
      <c r="BA897">
        <v>0</v>
      </c>
      <c r="BB897">
        <v>1</v>
      </c>
      <c r="BC897" s="7">
        <v>0.32</v>
      </c>
      <c r="BD897">
        <v>30</v>
      </c>
      <c r="BE897">
        <v>0</v>
      </c>
      <c r="BF897">
        <v>0</v>
      </c>
      <c r="BG897">
        <v>0</v>
      </c>
      <c r="BH897">
        <v>5</v>
      </c>
      <c r="BI897">
        <v>2.4</v>
      </c>
      <c r="BJ897">
        <v>31</v>
      </c>
      <c r="BK897">
        <v>0</v>
      </c>
      <c r="BL897">
        <v>0</v>
      </c>
      <c r="BM897">
        <v>0</v>
      </c>
      <c r="BN897">
        <v>5</v>
      </c>
      <c r="BO897">
        <v>2.4</v>
      </c>
      <c r="BP897">
        <v>36</v>
      </c>
      <c r="BQ897">
        <v>0</v>
      </c>
      <c r="BR897">
        <v>0</v>
      </c>
      <c r="BS897">
        <v>0</v>
      </c>
      <c r="BT897">
        <v>5</v>
      </c>
      <c r="BU897">
        <v>2</v>
      </c>
    </row>
    <row r="898" spans="1:73" ht="14.25" x14ac:dyDescent="0.15">
      <c r="A898" s="12">
        <v>20245</v>
      </c>
      <c r="B898">
        <v>7</v>
      </c>
      <c r="C898" s="1">
        <v>0</v>
      </c>
      <c r="D898">
        <v>5</v>
      </c>
      <c r="E898">
        <v>1</v>
      </c>
      <c r="F898">
        <v>1</v>
      </c>
      <c r="G898" s="7">
        <v>0.05</v>
      </c>
      <c r="H898">
        <v>12</v>
      </c>
      <c r="I898">
        <v>0</v>
      </c>
      <c r="J898">
        <v>0</v>
      </c>
      <c r="K898">
        <v>0</v>
      </c>
      <c r="L898">
        <v>1</v>
      </c>
      <c r="M898">
        <v>2</v>
      </c>
      <c r="N898" s="7">
        <v>9</v>
      </c>
      <c r="O898" s="7">
        <v>0</v>
      </c>
      <c r="P898" s="7">
        <v>0</v>
      </c>
      <c r="Q898" s="7">
        <v>0</v>
      </c>
      <c r="R898" s="7">
        <v>1</v>
      </c>
      <c r="S898" s="7">
        <v>4.5</v>
      </c>
      <c r="T898">
        <v>7</v>
      </c>
      <c r="U898" s="1">
        <v>0</v>
      </c>
      <c r="V898">
        <v>4</v>
      </c>
      <c r="W898">
        <v>2</v>
      </c>
      <c r="X898">
        <v>1</v>
      </c>
      <c r="Y898">
        <v>0.16</v>
      </c>
      <c r="Z898">
        <v>23</v>
      </c>
      <c r="AA898">
        <v>0</v>
      </c>
      <c r="AB898">
        <v>0</v>
      </c>
      <c r="AC898">
        <v>0</v>
      </c>
      <c r="AD898">
        <v>1</v>
      </c>
      <c r="AE898">
        <v>0.05</v>
      </c>
      <c r="AF898">
        <v>15</v>
      </c>
      <c r="AG898">
        <v>0</v>
      </c>
      <c r="AH898">
        <v>0</v>
      </c>
      <c r="AI898">
        <v>0</v>
      </c>
      <c r="AJ898">
        <v>1</v>
      </c>
      <c r="AK898">
        <v>0.02</v>
      </c>
      <c r="AL898">
        <v>16</v>
      </c>
      <c r="AM898">
        <v>0</v>
      </c>
      <c r="AN898">
        <v>0</v>
      </c>
      <c r="AO898">
        <v>0</v>
      </c>
      <c r="AP898">
        <v>1</v>
      </c>
      <c r="AQ898">
        <v>0.01</v>
      </c>
      <c r="AR898">
        <v>6</v>
      </c>
      <c r="AS898">
        <v>2</v>
      </c>
      <c r="AT898">
        <v>4</v>
      </c>
      <c r="AU898">
        <v>5</v>
      </c>
      <c r="AV898">
        <v>1</v>
      </c>
      <c r="AW898">
        <v>0.01</v>
      </c>
      <c r="AX898">
        <v>7</v>
      </c>
      <c r="AY898" s="1">
        <v>0</v>
      </c>
      <c r="AZ898">
        <v>3</v>
      </c>
      <c r="BA898">
        <v>1</v>
      </c>
      <c r="BB898">
        <v>1</v>
      </c>
      <c r="BC898" s="7">
        <v>0.32</v>
      </c>
      <c r="BD898">
        <v>30</v>
      </c>
      <c r="BE898">
        <v>0</v>
      </c>
      <c r="BF898">
        <v>0</v>
      </c>
      <c r="BG898">
        <v>0</v>
      </c>
      <c r="BH898">
        <v>5</v>
      </c>
      <c r="BI898">
        <v>2.4</v>
      </c>
      <c r="BJ898">
        <v>31</v>
      </c>
      <c r="BK898">
        <v>0</v>
      </c>
      <c r="BL898">
        <v>0</v>
      </c>
      <c r="BM898">
        <v>0</v>
      </c>
      <c r="BN898">
        <v>5</v>
      </c>
      <c r="BO898">
        <v>2.4</v>
      </c>
      <c r="BP898">
        <v>36</v>
      </c>
      <c r="BQ898">
        <v>0</v>
      </c>
      <c r="BR898">
        <v>0</v>
      </c>
      <c r="BS898">
        <v>0</v>
      </c>
      <c r="BT898">
        <v>5</v>
      </c>
      <c r="BU898">
        <v>2</v>
      </c>
    </row>
    <row r="899" spans="1:73" ht="14.25" x14ac:dyDescent="0.15">
      <c r="A899" s="12">
        <v>20246</v>
      </c>
      <c r="B899">
        <v>7</v>
      </c>
      <c r="C899" s="1">
        <v>45</v>
      </c>
      <c r="D899">
        <v>0</v>
      </c>
      <c r="E899">
        <v>0</v>
      </c>
      <c r="F899">
        <v>1</v>
      </c>
      <c r="G899" s="7">
        <v>0.05</v>
      </c>
      <c r="H899">
        <v>12</v>
      </c>
      <c r="I899">
        <v>0</v>
      </c>
      <c r="J899">
        <v>0</v>
      </c>
      <c r="K899">
        <v>0</v>
      </c>
      <c r="L899">
        <v>1</v>
      </c>
      <c r="M899">
        <v>2</v>
      </c>
      <c r="N899" s="7">
        <v>9</v>
      </c>
      <c r="O899" s="7">
        <v>0</v>
      </c>
      <c r="P899" s="7">
        <v>0</v>
      </c>
      <c r="Q899" s="7">
        <v>0</v>
      </c>
      <c r="R899" s="7">
        <v>1</v>
      </c>
      <c r="S899" s="7">
        <v>4.5</v>
      </c>
      <c r="T899">
        <v>7</v>
      </c>
      <c r="U899" s="1">
        <v>33</v>
      </c>
      <c r="V899">
        <v>0</v>
      </c>
      <c r="W899">
        <v>0</v>
      </c>
      <c r="X899">
        <v>1</v>
      </c>
      <c r="Y899">
        <v>0.16</v>
      </c>
      <c r="Z899">
        <v>23</v>
      </c>
      <c r="AA899">
        <v>0</v>
      </c>
      <c r="AB899">
        <v>0</v>
      </c>
      <c r="AC899">
        <v>0</v>
      </c>
      <c r="AD899">
        <v>1</v>
      </c>
      <c r="AE899">
        <v>0.05</v>
      </c>
      <c r="AF899">
        <v>15</v>
      </c>
      <c r="AG899">
        <v>0</v>
      </c>
      <c r="AH899">
        <v>0</v>
      </c>
      <c r="AI899">
        <v>0</v>
      </c>
      <c r="AJ899">
        <v>1</v>
      </c>
      <c r="AK899">
        <v>0.02</v>
      </c>
      <c r="AL899">
        <v>16</v>
      </c>
      <c r="AM899">
        <v>0</v>
      </c>
      <c r="AN899">
        <v>0</v>
      </c>
      <c r="AO899">
        <v>0</v>
      </c>
      <c r="AP899">
        <v>1</v>
      </c>
      <c r="AQ899">
        <v>0.01</v>
      </c>
      <c r="AX899">
        <v>7</v>
      </c>
      <c r="AY899" s="1">
        <v>17</v>
      </c>
      <c r="AZ899">
        <v>0</v>
      </c>
      <c r="BA899">
        <v>0</v>
      </c>
      <c r="BB899">
        <v>1</v>
      </c>
      <c r="BC899" s="7">
        <v>0.32</v>
      </c>
      <c r="BD899">
        <v>30</v>
      </c>
      <c r="BE899">
        <v>0</v>
      </c>
      <c r="BF899">
        <v>0</v>
      </c>
      <c r="BG899">
        <v>0</v>
      </c>
      <c r="BH899">
        <v>5</v>
      </c>
      <c r="BI899">
        <v>2.4</v>
      </c>
      <c r="BJ899">
        <v>31</v>
      </c>
      <c r="BK899">
        <v>0</v>
      </c>
      <c r="BL899">
        <v>0</v>
      </c>
      <c r="BM899">
        <v>0</v>
      </c>
      <c r="BN899">
        <v>5</v>
      </c>
      <c r="BO899">
        <v>2.4</v>
      </c>
      <c r="BP899">
        <v>36</v>
      </c>
      <c r="BQ899">
        <v>0</v>
      </c>
      <c r="BR899">
        <v>0</v>
      </c>
      <c r="BS899">
        <v>0</v>
      </c>
      <c r="BT899">
        <v>5</v>
      </c>
      <c r="BU899">
        <v>2</v>
      </c>
    </row>
    <row r="900" spans="1:73" ht="14.25" x14ac:dyDescent="0.15">
      <c r="A900" s="12">
        <v>20247</v>
      </c>
      <c r="B900">
        <v>7</v>
      </c>
      <c r="C900" s="1">
        <v>46</v>
      </c>
      <c r="D900">
        <v>0</v>
      </c>
      <c r="E900">
        <v>0</v>
      </c>
      <c r="F900">
        <v>1</v>
      </c>
      <c r="G900" s="7">
        <v>0.05</v>
      </c>
      <c r="H900">
        <v>12</v>
      </c>
      <c r="I900">
        <v>0</v>
      </c>
      <c r="J900">
        <v>0</v>
      </c>
      <c r="K900">
        <v>0</v>
      </c>
      <c r="L900">
        <v>1</v>
      </c>
      <c r="M900">
        <v>2</v>
      </c>
      <c r="N900" s="7">
        <v>9</v>
      </c>
      <c r="O900" s="7">
        <v>0</v>
      </c>
      <c r="P900" s="7">
        <v>0</v>
      </c>
      <c r="Q900" s="7">
        <v>0</v>
      </c>
      <c r="R900" s="7">
        <v>1</v>
      </c>
      <c r="S900" s="7">
        <v>4.5</v>
      </c>
      <c r="T900">
        <v>7</v>
      </c>
      <c r="U900" s="1">
        <v>34</v>
      </c>
      <c r="V900">
        <v>0</v>
      </c>
      <c r="W900">
        <v>0</v>
      </c>
      <c r="X900">
        <v>1</v>
      </c>
      <c r="Y900">
        <v>0.16</v>
      </c>
      <c r="Z900">
        <v>23</v>
      </c>
      <c r="AA900">
        <v>0</v>
      </c>
      <c r="AB900">
        <v>0</v>
      </c>
      <c r="AC900">
        <v>0</v>
      </c>
      <c r="AD900">
        <v>1</v>
      </c>
      <c r="AE900">
        <v>0.05</v>
      </c>
      <c r="AF900">
        <v>15</v>
      </c>
      <c r="AG900">
        <v>0</v>
      </c>
      <c r="AH900">
        <v>0</v>
      </c>
      <c r="AI900">
        <v>0</v>
      </c>
      <c r="AJ900">
        <v>1</v>
      </c>
      <c r="AK900">
        <v>0.02</v>
      </c>
      <c r="AL900">
        <v>16</v>
      </c>
      <c r="AM900">
        <v>0</v>
      </c>
      <c r="AN900">
        <v>0</v>
      </c>
      <c r="AO900">
        <v>0</v>
      </c>
      <c r="AP900">
        <v>1</v>
      </c>
      <c r="AQ900">
        <v>0.01</v>
      </c>
      <c r="AX900">
        <v>7</v>
      </c>
      <c r="AY900" s="1">
        <v>18</v>
      </c>
      <c r="AZ900">
        <v>0</v>
      </c>
      <c r="BA900">
        <v>0</v>
      </c>
      <c r="BB900">
        <v>1</v>
      </c>
      <c r="BC900" s="7">
        <v>0.32</v>
      </c>
      <c r="BD900">
        <v>30</v>
      </c>
      <c r="BE900">
        <v>0</v>
      </c>
      <c r="BF900">
        <v>0</v>
      </c>
      <c r="BG900">
        <v>0</v>
      </c>
      <c r="BH900">
        <v>5</v>
      </c>
      <c r="BI900">
        <v>2.4</v>
      </c>
      <c r="BJ900">
        <v>31</v>
      </c>
      <c r="BK900">
        <v>0</v>
      </c>
      <c r="BL900">
        <v>0</v>
      </c>
      <c r="BM900">
        <v>0</v>
      </c>
      <c r="BN900">
        <v>5</v>
      </c>
      <c r="BO900">
        <v>2.4</v>
      </c>
      <c r="BP900">
        <v>36</v>
      </c>
      <c r="BQ900">
        <v>0</v>
      </c>
      <c r="BR900">
        <v>0</v>
      </c>
      <c r="BS900">
        <v>0</v>
      </c>
      <c r="BT900">
        <v>5</v>
      </c>
      <c r="BU900">
        <v>2</v>
      </c>
    </row>
    <row r="901" spans="1:73" ht="14.25" x14ac:dyDescent="0.15">
      <c r="A901" s="12">
        <v>20248</v>
      </c>
      <c r="B901">
        <v>7</v>
      </c>
      <c r="C901" s="1">
        <v>47</v>
      </c>
      <c r="D901">
        <v>0</v>
      </c>
      <c r="E901">
        <v>0</v>
      </c>
      <c r="F901">
        <v>1</v>
      </c>
      <c r="G901" s="7">
        <v>0.05</v>
      </c>
      <c r="H901">
        <v>12</v>
      </c>
      <c r="I901">
        <v>0</v>
      </c>
      <c r="J901">
        <v>0</v>
      </c>
      <c r="K901">
        <v>0</v>
      </c>
      <c r="L901">
        <v>1</v>
      </c>
      <c r="M901">
        <v>2</v>
      </c>
      <c r="N901" s="7">
        <v>9</v>
      </c>
      <c r="O901" s="7">
        <v>0</v>
      </c>
      <c r="P901" s="7">
        <v>0</v>
      </c>
      <c r="Q901" s="7">
        <v>0</v>
      </c>
      <c r="R901" s="7">
        <v>1</v>
      </c>
      <c r="S901" s="7">
        <v>4.5</v>
      </c>
      <c r="T901">
        <v>7</v>
      </c>
      <c r="U901" s="1">
        <v>35</v>
      </c>
      <c r="V901">
        <v>0</v>
      </c>
      <c r="W901">
        <v>0</v>
      </c>
      <c r="X901">
        <v>1</v>
      </c>
      <c r="Y901">
        <v>0.16</v>
      </c>
      <c r="Z901">
        <v>23</v>
      </c>
      <c r="AA901">
        <v>0</v>
      </c>
      <c r="AB901">
        <v>0</v>
      </c>
      <c r="AC901">
        <v>0</v>
      </c>
      <c r="AD901">
        <v>1</v>
      </c>
      <c r="AE901">
        <v>0.05</v>
      </c>
      <c r="AF901">
        <v>15</v>
      </c>
      <c r="AG901">
        <v>0</v>
      </c>
      <c r="AH901">
        <v>0</v>
      </c>
      <c r="AI901">
        <v>0</v>
      </c>
      <c r="AJ901">
        <v>1</v>
      </c>
      <c r="AK901">
        <v>0.02</v>
      </c>
      <c r="AL901">
        <v>16</v>
      </c>
      <c r="AM901">
        <v>0</v>
      </c>
      <c r="AN901">
        <v>0</v>
      </c>
      <c r="AO901">
        <v>0</v>
      </c>
      <c r="AP901">
        <v>1</v>
      </c>
      <c r="AQ901">
        <v>0.01</v>
      </c>
      <c r="AX901">
        <v>7</v>
      </c>
      <c r="AY901" s="1">
        <v>19</v>
      </c>
      <c r="AZ901">
        <v>0</v>
      </c>
      <c r="BA901">
        <v>0</v>
      </c>
      <c r="BB901">
        <v>1</v>
      </c>
      <c r="BC901" s="7">
        <v>0.32</v>
      </c>
      <c r="BD901">
        <v>30</v>
      </c>
      <c r="BE901">
        <v>0</v>
      </c>
      <c r="BF901">
        <v>0</v>
      </c>
      <c r="BG901">
        <v>0</v>
      </c>
      <c r="BH901">
        <v>5</v>
      </c>
      <c r="BI901">
        <v>2.4</v>
      </c>
      <c r="BJ901">
        <v>31</v>
      </c>
      <c r="BK901">
        <v>0</v>
      </c>
      <c r="BL901">
        <v>0</v>
      </c>
      <c r="BM901">
        <v>0</v>
      </c>
      <c r="BN901">
        <v>5</v>
      </c>
      <c r="BO901">
        <v>2.4</v>
      </c>
      <c r="BP901">
        <v>36</v>
      </c>
      <c r="BQ901">
        <v>0</v>
      </c>
      <c r="BR901">
        <v>0</v>
      </c>
      <c r="BS901">
        <v>0</v>
      </c>
      <c r="BT901">
        <v>5</v>
      </c>
      <c r="BU901">
        <v>2</v>
      </c>
    </row>
    <row r="902" spans="1:73" ht="14.25" x14ac:dyDescent="0.15">
      <c r="A902" s="12">
        <v>20249</v>
      </c>
      <c r="B902">
        <v>7</v>
      </c>
      <c r="C902" s="1">
        <v>48</v>
      </c>
      <c r="D902">
        <v>0</v>
      </c>
      <c r="E902">
        <v>0</v>
      </c>
      <c r="F902">
        <v>1</v>
      </c>
      <c r="G902" s="7">
        <v>0.05</v>
      </c>
      <c r="H902">
        <v>12</v>
      </c>
      <c r="I902">
        <v>0</v>
      </c>
      <c r="J902">
        <v>0</v>
      </c>
      <c r="K902">
        <v>0</v>
      </c>
      <c r="L902">
        <v>1</v>
      </c>
      <c r="M902">
        <v>2</v>
      </c>
      <c r="N902" s="7">
        <v>9</v>
      </c>
      <c r="O902" s="7">
        <v>0</v>
      </c>
      <c r="P902" s="7">
        <v>0</v>
      </c>
      <c r="Q902" s="7">
        <v>0</v>
      </c>
      <c r="R902" s="7">
        <v>1</v>
      </c>
      <c r="S902" s="7">
        <v>4.5</v>
      </c>
      <c r="T902">
        <v>7</v>
      </c>
      <c r="U902" s="1">
        <v>36</v>
      </c>
      <c r="V902">
        <v>0</v>
      </c>
      <c r="W902">
        <v>0</v>
      </c>
      <c r="X902">
        <v>1</v>
      </c>
      <c r="Y902">
        <v>0.16</v>
      </c>
      <c r="Z902">
        <v>23</v>
      </c>
      <c r="AA902">
        <v>0</v>
      </c>
      <c r="AB902">
        <v>0</v>
      </c>
      <c r="AC902">
        <v>0</v>
      </c>
      <c r="AD902">
        <v>1</v>
      </c>
      <c r="AE902">
        <v>0.05</v>
      </c>
      <c r="AF902">
        <v>15</v>
      </c>
      <c r="AG902">
        <v>0</v>
      </c>
      <c r="AH902">
        <v>0</v>
      </c>
      <c r="AI902">
        <v>0</v>
      </c>
      <c r="AJ902">
        <v>1</v>
      </c>
      <c r="AK902">
        <v>0.02</v>
      </c>
      <c r="AL902">
        <v>16</v>
      </c>
      <c r="AM902">
        <v>0</v>
      </c>
      <c r="AN902">
        <v>0</v>
      </c>
      <c r="AO902">
        <v>0</v>
      </c>
      <c r="AP902">
        <v>1</v>
      </c>
      <c r="AQ902">
        <v>0.01</v>
      </c>
      <c r="AX902">
        <v>7</v>
      </c>
      <c r="AY902" s="1">
        <v>20</v>
      </c>
      <c r="AZ902">
        <v>0</v>
      </c>
      <c r="BA902">
        <v>0</v>
      </c>
      <c r="BB902">
        <v>1</v>
      </c>
      <c r="BC902" s="7">
        <v>0.32</v>
      </c>
      <c r="BD902">
        <v>30</v>
      </c>
      <c r="BE902">
        <v>0</v>
      </c>
      <c r="BF902">
        <v>0</v>
      </c>
      <c r="BG902">
        <v>0</v>
      </c>
      <c r="BH902">
        <v>5</v>
      </c>
      <c r="BI902">
        <v>2.4</v>
      </c>
      <c r="BJ902">
        <v>31</v>
      </c>
      <c r="BK902">
        <v>0</v>
      </c>
      <c r="BL902">
        <v>0</v>
      </c>
      <c r="BM902">
        <v>0</v>
      </c>
      <c r="BN902">
        <v>5</v>
      </c>
      <c r="BO902">
        <v>2.4</v>
      </c>
      <c r="BP902">
        <v>36</v>
      </c>
      <c r="BQ902">
        <v>0</v>
      </c>
      <c r="BR902">
        <v>0</v>
      </c>
      <c r="BS902">
        <v>0</v>
      </c>
      <c r="BT902">
        <v>5</v>
      </c>
      <c r="BU902">
        <v>2</v>
      </c>
    </row>
    <row r="903" spans="1:73" ht="14.25" x14ac:dyDescent="0.15">
      <c r="A903" s="12">
        <v>20250</v>
      </c>
      <c r="B903">
        <v>7</v>
      </c>
      <c r="C903" s="1">
        <v>0</v>
      </c>
      <c r="D903">
        <v>5</v>
      </c>
      <c r="E903">
        <v>1</v>
      </c>
      <c r="F903">
        <v>1</v>
      </c>
      <c r="G903" s="7">
        <v>0.05</v>
      </c>
      <c r="H903">
        <v>12</v>
      </c>
      <c r="I903">
        <v>0</v>
      </c>
      <c r="J903">
        <v>0</v>
      </c>
      <c r="K903">
        <v>0</v>
      </c>
      <c r="L903">
        <v>1</v>
      </c>
      <c r="M903">
        <v>2</v>
      </c>
      <c r="N903" s="7">
        <v>9</v>
      </c>
      <c r="O903" s="7">
        <v>0</v>
      </c>
      <c r="P903" s="7">
        <v>0</v>
      </c>
      <c r="Q903" s="7">
        <v>0</v>
      </c>
      <c r="R903" s="7">
        <v>1</v>
      </c>
      <c r="S903" s="7">
        <v>4.5</v>
      </c>
      <c r="T903">
        <v>7</v>
      </c>
      <c r="U903" s="1">
        <v>0</v>
      </c>
      <c r="V903">
        <v>4</v>
      </c>
      <c r="W903">
        <v>2</v>
      </c>
      <c r="X903">
        <v>1</v>
      </c>
      <c r="Y903">
        <v>0.16</v>
      </c>
      <c r="Z903">
        <v>23</v>
      </c>
      <c r="AA903">
        <v>0</v>
      </c>
      <c r="AB903">
        <v>0</v>
      </c>
      <c r="AC903">
        <v>0</v>
      </c>
      <c r="AD903">
        <v>1</v>
      </c>
      <c r="AE903">
        <v>0.05</v>
      </c>
      <c r="AF903">
        <v>15</v>
      </c>
      <c r="AG903">
        <v>0</v>
      </c>
      <c r="AH903">
        <v>0</v>
      </c>
      <c r="AI903">
        <v>0</v>
      </c>
      <c r="AJ903">
        <v>1</v>
      </c>
      <c r="AK903">
        <v>0.02</v>
      </c>
      <c r="AL903">
        <v>16</v>
      </c>
      <c r="AM903">
        <v>0</v>
      </c>
      <c r="AN903">
        <v>0</v>
      </c>
      <c r="AO903">
        <v>0</v>
      </c>
      <c r="AP903">
        <v>1</v>
      </c>
      <c r="AQ903">
        <v>0.01</v>
      </c>
      <c r="AR903">
        <v>6</v>
      </c>
      <c r="AS903">
        <v>2</v>
      </c>
      <c r="AT903">
        <v>5</v>
      </c>
      <c r="AU903">
        <v>5</v>
      </c>
      <c r="AV903">
        <v>1</v>
      </c>
      <c r="AW903">
        <v>0.01</v>
      </c>
      <c r="AX903">
        <v>7</v>
      </c>
      <c r="AY903" s="1">
        <v>0</v>
      </c>
      <c r="AZ903">
        <v>3</v>
      </c>
      <c r="BA903">
        <v>1</v>
      </c>
      <c r="BB903">
        <v>1</v>
      </c>
      <c r="BC903" s="7">
        <v>0.32</v>
      </c>
      <c r="BD903">
        <v>30</v>
      </c>
      <c r="BE903">
        <v>0</v>
      </c>
      <c r="BF903">
        <v>0</v>
      </c>
      <c r="BG903">
        <v>0</v>
      </c>
      <c r="BH903">
        <v>5</v>
      </c>
      <c r="BI903">
        <v>2.4</v>
      </c>
      <c r="BJ903">
        <v>31</v>
      </c>
      <c r="BK903">
        <v>0</v>
      </c>
      <c r="BL903">
        <v>0</v>
      </c>
      <c r="BM903">
        <v>0</v>
      </c>
      <c r="BN903">
        <v>5</v>
      </c>
      <c r="BO903">
        <v>2.4</v>
      </c>
      <c r="BP903">
        <v>36</v>
      </c>
      <c r="BQ903">
        <v>0</v>
      </c>
      <c r="BR903">
        <v>0</v>
      </c>
      <c r="BS903">
        <v>0</v>
      </c>
      <c r="BT903">
        <v>5</v>
      </c>
      <c r="BU903">
        <v>2</v>
      </c>
    </row>
    <row r="904" spans="1:73" ht="14.25" x14ac:dyDescent="0.15">
      <c r="A904" s="12">
        <v>20301</v>
      </c>
      <c r="B904">
        <v>7</v>
      </c>
      <c r="C904" s="1">
        <v>45</v>
      </c>
      <c r="D904">
        <v>0</v>
      </c>
      <c r="E904">
        <v>0</v>
      </c>
      <c r="F904">
        <v>1</v>
      </c>
      <c r="G904" s="7">
        <v>0.05</v>
      </c>
      <c r="H904">
        <v>12</v>
      </c>
      <c r="I904">
        <v>0</v>
      </c>
      <c r="J904">
        <v>0</v>
      </c>
      <c r="K904">
        <v>0</v>
      </c>
      <c r="L904">
        <v>1</v>
      </c>
      <c r="M904">
        <v>2</v>
      </c>
      <c r="N904" s="7">
        <v>9</v>
      </c>
      <c r="O904" s="7">
        <v>0</v>
      </c>
      <c r="P904" s="7">
        <v>0</v>
      </c>
      <c r="Q904" s="7">
        <v>0</v>
      </c>
      <c r="R904" s="7">
        <v>1</v>
      </c>
      <c r="S904" s="7">
        <v>4.5</v>
      </c>
      <c r="T904">
        <v>7</v>
      </c>
      <c r="U904" s="1">
        <v>33</v>
      </c>
      <c r="V904">
        <v>0</v>
      </c>
      <c r="W904">
        <v>0</v>
      </c>
      <c r="X904">
        <v>1</v>
      </c>
      <c r="Y904">
        <v>0.16</v>
      </c>
      <c r="Z904">
        <v>23</v>
      </c>
      <c r="AA904">
        <v>0</v>
      </c>
      <c r="AB904">
        <v>0</v>
      </c>
      <c r="AC904">
        <v>0</v>
      </c>
      <c r="AD904">
        <v>1</v>
      </c>
      <c r="AE904">
        <v>0.05</v>
      </c>
      <c r="AF904">
        <v>15</v>
      </c>
      <c r="AG904">
        <v>0</v>
      </c>
      <c r="AH904">
        <v>0</v>
      </c>
      <c r="AI904">
        <v>0</v>
      </c>
      <c r="AJ904">
        <v>1</v>
      </c>
      <c r="AK904">
        <v>0.02</v>
      </c>
      <c r="AL904">
        <v>16</v>
      </c>
      <c r="AM904">
        <v>0</v>
      </c>
      <c r="AN904">
        <v>0</v>
      </c>
      <c r="AO904">
        <v>0</v>
      </c>
      <c r="AP904">
        <v>1</v>
      </c>
      <c r="AQ904">
        <v>0.01</v>
      </c>
      <c r="AX904">
        <v>7</v>
      </c>
      <c r="AY904" s="1">
        <v>17</v>
      </c>
      <c r="AZ904">
        <v>0</v>
      </c>
      <c r="BA904">
        <v>0</v>
      </c>
      <c r="BB904">
        <v>1</v>
      </c>
      <c r="BC904" s="7">
        <v>0.32</v>
      </c>
      <c r="BD904">
        <v>30</v>
      </c>
      <c r="BE904">
        <v>0</v>
      </c>
      <c r="BF904">
        <v>0</v>
      </c>
      <c r="BG904">
        <v>0</v>
      </c>
      <c r="BH904">
        <v>5</v>
      </c>
      <c r="BI904">
        <v>2.4</v>
      </c>
      <c r="BJ904">
        <v>31</v>
      </c>
      <c r="BK904">
        <v>0</v>
      </c>
      <c r="BL904">
        <v>0</v>
      </c>
      <c r="BM904">
        <v>0</v>
      </c>
      <c r="BN904">
        <v>5</v>
      </c>
      <c r="BO904">
        <v>2.4</v>
      </c>
      <c r="BP904">
        <v>36</v>
      </c>
      <c r="BQ904">
        <v>0</v>
      </c>
      <c r="BR904">
        <v>0</v>
      </c>
      <c r="BS904">
        <v>0</v>
      </c>
      <c r="BT904">
        <v>5</v>
      </c>
      <c r="BU904">
        <v>2</v>
      </c>
    </row>
    <row r="905" spans="1:73" ht="14.25" x14ac:dyDescent="0.15">
      <c r="A905" s="12">
        <v>20302</v>
      </c>
      <c r="B905">
        <v>7</v>
      </c>
      <c r="C905" s="1">
        <v>46</v>
      </c>
      <c r="D905">
        <v>0</v>
      </c>
      <c r="E905">
        <v>0</v>
      </c>
      <c r="F905">
        <v>1</v>
      </c>
      <c r="G905" s="7">
        <v>0.05</v>
      </c>
      <c r="H905">
        <v>12</v>
      </c>
      <c r="I905">
        <v>0</v>
      </c>
      <c r="J905">
        <v>0</v>
      </c>
      <c r="K905">
        <v>0</v>
      </c>
      <c r="L905">
        <v>1</v>
      </c>
      <c r="M905">
        <v>2</v>
      </c>
      <c r="N905" s="7">
        <v>9</v>
      </c>
      <c r="O905" s="7">
        <v>0</v>
      </c>
      <c r="P905" s="7">
        <v>0</v>
      </c>
      <c r="Q905" s="7">
        <v>0</v>
      </c>
      <c r="R905" s="7">
        <v>1</v>
      </c>
      <c r="S905" s="7">
        <v>4.5</v>
      </c>
      <c r="T905">
        <v>7</v>
      </c>
      <c r="U905" s="1">
        <v>34</v>
      </c>
      <c r="V905">
        <v>0</v>
      </c>
      <c r="W905">
        <v>0</v>
      </c>
      <c r="X905">
        <v>1</v>
      </c>
      <c r="Y905">
        <v>0.16</v>
      </c>
      <c r="Z905">
        <v>23</v>
      </c>
      <c r="AA905">
        <v>0</v>
      </c>
      <c r="AB905">
        <v>0</v>
      </c>
      <c r="AC905">
        <v>0</v>
      </c>
      <c r="AD905">
        <v>1</v>
      </c>
      <c r="AE905">
        <v>0.05</v>
      </c>
      <c r="AF905">
        <v>15</v>
      </c>
      <c r="AG905">
        <v>0</v>
      </c>
      <c r="AH905">
        <v>0</v>
      </c>
      <c r="AI905">
        <v>0</v>
      </c>
      <c r="AJ905">
        <v>1</v>
      </c>
      <c r="AK905">
        <v>0.02</v>
      </c>
      <c r="AL905">
        <v>16</v>
      </c>
      <c r="AM905">
        <v>0</v>
      </c>
      <c r="AN905">
        <v>0</v>
      </c>
      <c r="AO905">
        <v>0</v>
      </c>
      <c r="AP905">
        <v>1</v>
      </c>
      <c r="AQ905">
        <v>0.01</v>
      </c>
      <c r="AX905">
        <v>7</v>
      </c>
      <c r="AY905" s="1">
        <v>18</v>
      </c>
      <c r="AZ905">
        <v>0</v>
      </c>
      <c r="BA905">
        <v>0</v>
      </c>
      <c r="BB905">
        <v>1</v>
      </c>
      <c r="BC905" s="7">
        <v>0.32</v>
      </c>
      <c r="BD905">
        <v>30</v>
      </c>
      <c r="BE905">
        <v>0</v>
      </c>
      <c r="BF905">
        <v>0</v>
      </c>
      <c r="BG905">
        <v>0</v>
      </c>
      <c r="BH905">
        <v>5</v>
      </c>
      <c r="BI905">
        <v>2.4</v>
      </c>
      <c r="BJ905">
        <v>31</v>
      </c>
      <c r="BK905">
        <v>0</v>
      </c>
      <c r="BL905">
        <v>0</v>
      </c>
      <c r="BM905">
        <v>0</v>
      </c>
      <c r="BN905">
        <v>5</v>
      </c>
      <c r="BO905">
        <v>2.4</v>
      </c>
      <c r="BP905">
        <v>36</v>
      </c>
      <c r="BQ905">
        <v>0</v>
      </c>
      <c r="BR905">
        <v>0</v>
      </c>
      <c r="BS905">
        <v>0</v>
      </c>
      <c r="BT905">
        <v>5</v>
      </c>
      <c r="BU905">
        <v>2</v>
      </c>
    </row>
    <row r="906" spans="1:73" ht="14.25" x14ac:dyDescent="0.15">
      <c r="A906" s="12">
        <v>20303</v>
      </c>
      <c r="B906">
        <v>7</v>
      </c>
      <c r="C906" s="1">
        <v>47</v>
      </c>
      <c r="D906">
        <v>0</v>
      </c>
      <c r="E906">
        <v>0</v>
      </c>
      <c r="F906">
        <v>1</v>
      </c>
      <c r="G906" s="7">
        <v>0.05</v>
      </c>
      <c r="H906">
        <v>12</v>
      </c>
      <c r="I906">
        <v>0</v>
      </c>
      <c r="J906">
        <v>0</v>
      </c>
      <c r="K906">
        <v>0</v>
      </c>
      <c r="L906">
        <v>1</v>
      </c>
      <c r="M906">
        <v>2</v>
      </c>
      <c r="N906" s="7">
        <v>9</v>
      </c>
      <c r="O906" s="7">
        <v>0</v>
      </c>
      <c r="P906" s="7">
        <v>0</v>
      </c>
      <c r="Q906" s="7">
        <v>0</v>
      </c>
      <c r="R906" s="7">
        <v>1</v>
      </c>
      <c r="S906" s="7">
        <v>4.5</v>
      </c>
      <c r="T906">
        <v>7</v>
      </c>
      <c r="U906" s="1">
        <v>35</v>
      </c>
      <c r="V906">
        <v>0</v>
      </c>
      <c r="W906">
        <v>0</v>
      </c>
      <c r="X906">
        <v>1</v>
      </c>
      <c r="Y906">
        <v>0.16</v>
      </c>
      <c r="Z906">
        <v>23</v>
      </c>
      <c r="AA906">
        <v>0</v>
      </c>
      <c r="AB906">
        <v>0</v>
      </c>
      <c r="AC906">
        <v>0</v>
      </c>
      <c r="AD906">
        <v>1</v>
      </c>
      <c r="AE906">
        <v>0.05</v>
      </c>
      <c r="AF906">
        <v>15</v>
      </c>
      <c r="AG906">
        <v>0</v>
      </c>
      <c r="AH906">
        <v>0</v>
      </c>
      <c r="AI906">
        <v>0</v>
      </c>
      <c r="AJ906">
        <v>1</v>
      </c>
      <c r="AK906">
        <v>0.02</v>
      </c>
      <c r="AL906">
        <v>16</v>
      </c>
      <c r="AM906">
        <v>0</v>
      </c>
      <c r="AN906">
        <v>0</v>
      </c>
      <c r="AO906">
        <v>0</v>
      </c>
      <c r="AP906">
        <v>1</v>
      </c>
      <c r="AQ906">
        <v>0.01</v>
      </c>
      <c r="AX906">
        <v>7</v>
      </c>
      <c r="AY906" s="1">
        <v>19</v>
      </c>
      <c r="AZ906">
        <v>0</v>
      </c>
      <c r="BA906">
        <v>0</v>
      </c>
      <c r="BB906">
        <v>1</v>
      </c>
      <c r="BC906" s="7">
        <v>0.32</v>
      </c>
      <c r="BD906">
        <v>30</v>
      </c>
      <c r="BE906">
        <v>0</v>
      </c>
      <c r="BF906">
        <v>0</v>
      </c>
      <c r="BG906">
        <v>0</v>
      </c>
      <c r="BH906">
        <v>5</v>
      </c>
      <c r="BI906">
        <v>2.4</v>
      </c>
      <c r="BJ906">
        <v>31</v>
      </c>
      <c r="BK906">
        <v>0</v>
      </c>
      <c r="BL906">
        <v>0</v>
      </c>
      <c r="BM906">
        <v>0</v>
      </c>
      <c r="BN906">
        <v>5</v>
      </c>
      <c r="BO906">
        <v>2.4</v>
      </c>
      <c r="BP906">
        <v>36</v>
      </c>
      <c r="BQ906">
        <v>0</v>
      </c>
      <c r="BR906">
        <v>0</v>
      </c>
      <c r="BS906">
        <v>0</v>
      </c>
      <c r="BT906">
        <v>5</v>
      </c>
      <c r="BU906">
        <v>2</v>
      </c>
    </row>
    <row r="907" spans="1:73" ht="14.25" x14ac:dyDescent="0.15">
      <c r="A907" s="12">
        <v>20304</v>
      </c>
      <c r="B907">
        <v>7</v>
      </c>
      <c r="C907" s="1">
        <v>48</v>
      </c>
      <c r="D907">
        <v>0</v>
      </c>
      <c r="E907">
        <v>0</v>
      </c>
      <c r="F907">
        <v>1</v>
      </c>
      <c r="G907" s="7">
        <v>0.05</v>
      </c>
      <c r="H907">
        <v>12</v>
      </c>
      <c r="I907">
        <v>0</v>
      </c>
      <c r="J907">
        <v>0</v>
      </c>
      <c r="K907">
        <v>0</v>
      </c>
      <c r="L907">
        <v>1</v>
      </c>
      <c r="M907">
        <v>2</v>
      </c>
      <c r="N907" s="7">
        <v>9</v>
      </c>
      <c r="O907" s="7">
        <v>0</v>
      </c>
      <c r="P907" s="7">
        <v>0</v>
      </c>
      <c r="Q907" s="7">
        <v>0</v>
      </c>
      <c r="R907" s="7">
        <v>1</v>
      </c>
      <c r="S907" s="7">
        <v>4.5</v>
      </c>
      <c r="T907">
        <v>7</v>
      </c>
      <c r="U907" s="1">
        <v>36</v>
      </c>
      <c r="V907">
        <v>0</v>
      </c>
      <c r="W907">
        <v>0</v>
      </c>
      <c r="X907">
        <v>1</v>
      </c>
      <c r="Y907">
        <v>0.16</v>
      </c>
      <c r="Z907">
        <v>23</v>
      </c>
      <c r="AA907">
        <v>0</v>
      </c>
      <c r="AB907">
        <v>0</v>
      </c>
      <c r="AC907">
        <v>0</v>
      </c>
      <c r="AD907">
        <v>1</v>
      </c>
      <c r="AE907">
        <v>0.05</v>
      </c>
      <c r="AF907">
        <v>15</v>
      </c>
      <c r="AG907">
        <v>0</v>
      </c>
      <c r="AH907">
        <v>0</v>
      </c>
      <c r="AI907">
        <v>0</v>
      </c>
      <c r="AJ907">
        <v>1</v>
      </c>
      <c r="AK907">
        <v>0.02</v>
      </c>
      <c r="AL907">
        <v>16</v>
      </c>
      <c r="AM907">
        <v>0</v>
      </c>
      <c r="AN907">
        <v>0</v>
      </c>
      <c r="AO907">
        <v>0</v>
      </c>
      <c r="AP907">
        <v>1</v>
      </c>
      <c r="AQ907">
        <v>0.01</v>
      </c>
      <c r="AX907">
        <v>7</v>
      </c>
      <c r="AY907" s="1">
        <v>20</v>
      </c>
      <c r="AZ907">
        <v>0</v>
      </c>
      <c r="BA907">
        <v>0</v>
      </c>
      <c r="BB907">
        <v>1</v>
      </c>
      <c r="BC907" s="7">
        <v>0.32</v>
      </c>
      <c r="BD907">
        <v>30</v>
      </c>
      <c r="BE907">
        <v>0</v>
      </c>
      <c r="BF907">
        <v>0</v>
      </c>
      <c r="BG907">
        <v>0</v>
      </c>
      <c r="BH907">
        <v>5</v>
      </c>
      <c r="BI907">
        <v>2.4</v>
      </c>
      <c r="BJ907">
        <v>31</v>
      </c>
      <c r="BK907">
        <v>0</v>
      </c>
      <c r="BL907">
        <v>0</v>
      </c>
      <c r="BM907">
        <v>0</v>
      </c>
      <c r="BN907">
        <v>5</v>
      </c>
      <c r="BO907">
        <v>2.4</v>
      </c>
      <c r="BP907">
        <v>36</v>
      </c>
      <c r="BQ907">
        <v>0</v>
      </c>
      <c r="BR907">
        <v>0</v>
      </c>
      <c r="BS907">
        <v>0</v>
      </c>
      <c r="BT907">
        <v>5</v>
      </c>
      <c r="BU907">
        <v>2</v>
      </c>
    </row>
    <row r="908" spans="1:73" ht="14.25" x14ac:dyDescent="0.15">
      <c r="A908" s="12">
        <v>20305</v>
      </c>
      <c r="B908">
        <v>7</v>
      </c>
      <c r="C908" s="1">
        <v>0</v>
      </c>
      <c r="D908">
        <v>5</v>
      </c>
      <c r="E908">
        <v>1</v>
      </c>
      <c r="F908">
        <v>1</v>
      </c>
      <c r="G908" s="7">
        <v>0.05</v>
      </c>
      <c r="H908">
        <v>12</v>
      </c>
      <c r="I908">
        <v>0</v>
      </c>
      <c r="J908">
        <v>0</v>
      </c>
      <c r="K908">
        <v>0</v>
      </c>
      <c r="L908">
        <v>1</v>
      </c>
      <c r="M908">
        <v>2</v>
      </c>
      <c r="N908" s="7">
        <v>9</v>
      </c>
      <c r="O908" s="7">
        <v>0</v>
      </c>
      <c r="P908" s="7">
        <v>0</v>
      </c>
      <c r="Q908" s="7">
        <v>0</v>
      </c>
      <c r="R908" s="7">
        <v>1</v>
      </c>
      <c r="S908" s="7">
        <v>4.5</v>
      </c>
      <c r="T908">
        <v>7</v>
      </c>
      <c r="U908" s="1">
        <v>0</v>
      </c>
      <c r="V908">
        <v>4</v>
      </c>
      <c r="W908">
        <v>2</v>
      </c>
      <c r="X908">
        <v>1</v>
      </c>
      <c r="Y908">
        <v>0.16</v>
      </c>
      <c r="Z908">
        <v>23</v>
      </c>
      <c r="AA908">
        <v>0</v>
      </c>
      <c r="AB908">
        <v>0</v>
      </c>
      <c r="AC908">
        <v>0</v>
      </c>
      <c r="AD908">
        <v>1</v>
      </c>
      <c r="AE908">
        <v>0.05</v>
      </c>
      <c r="AF908">
        <v>15</v>
      </c>
      <c r="AG908">
        <v>0</v>
      </c>
      <c r="AH908">
        <v>0</v>
      </c>
      <c r="AI908">
        <v>0</v>
      </c>
      <c r="AJ908">
        <v>1</v>
      </c>
      <c r="AK908">
        <v>0.02</v>
      </c>
      <c r="AL908">
        <v>16</v>
      </c>
      <c r="AM908">
        <v>0</v>
      </c>
      <c r="AN908">
        <v>0</v>
      </c>
      <c r="AO908">
        <v>0</v>
      </c>
      <c r="AP908">
        <v>1</v>
      </c>
      <c r="AQ908">
        <v>0.01</v>
      </c>
      <c r="AR908">
        <v>6</v>
      </c>
      <c r="AS908">
        <v>2</v>
      </c>
      <c r="AT908">
        <v>1</v>
      </c>
      <c r="AU908">
        <v>5</v>
      </c>
      <c r="AV908">
        <v>1</v>
      </c>
      <c r="AW908">
        <v>0.05</v>
      </c>
      <c r="AX908">
        <v>7</v>
      </c>
      <c r="AY908" s="1">
        <v>0</v>
      </c>
      <c r="AZ908">
        <v>3</v>
      </c>
      <c r="BA908">
        <v>1</v>
      </c>
      <c r="BB908">
        <v>1</v>
      </c>
      <c r="BC908" s="7">
        <v>0.32</v>
      </c>
      <c r="BD908">
        <v>30</v>
      </c>
      <c r="BE908">
        <v>0</v>
      </c>
      <c r="BF908">
        <v>0</v>
      </c>
      <c r="BG908">
        <v>0</v>
      </c>
      <c r="BH908">
        <v>5</v>
      </c>
      <c r="BI908">
        <v>2.4</v>
      </c>
      <c r="BJ908">
        <v>31</v>
      </c>
      <c r="BK908">
        <v>0</v>
      </c>
      <c r="BL908">
        <v>0</v>
      </c>
      <c r="BM908">
        <v>0</v>
      </c>
      <c r="BN908">
        <v>5</v>
      </c>
      <c r="BO908">
        <v>2.4</v>
      </c>
      <c r="BP908">
        <v>36</v>
      </c>
      <c r="BQ908">
        <v>0</v>
      </c>
      <c r="BR908">
        <v>0</v>
      </c>
      <c r="BS908">
        <v>0</v>
      </c>
      <c r="BT908">
        <v>5</v>
      </c>
      <c r="BU908">
        <v>2</v>
      </c>
    </row>
    <row r="909" spans="1:73" ht="14.25" x14ac:dyDescent="0.15">
      <c r="A909" s="12">
        <v>20306</v>
      </c>
      <c r="B909">
        <v>7</v>
      </c>
      <c r="C909" s="1">
        <v>45</v>
      </c>
      <c r="D909">
        <v>0</v>
      </c>
      <c r="E909">
        <v>0</v>
      </c>
      <c r="F909">
        <v>1</v>
      </c>
      <c r="G909" s="7">
        <v>0.05</v>
      </c>
      <c r="H909">
        <v>12</v>
      </c>
      <c r="I909">
        <v>0</v>
      </c>
      <c r="J909">
        <v>0</v>
      </c>
      <c r="K909">
        <v>0</v>
      </c>
      <c r="L909">
        <v>1</v>
      </c>
      <c r="M909">
        <v>2</v>
      </c>
      <c r="N909" s="7">
        <v>9</v>
      </c>
      <c r="O909" s="7">
        <v>0</v>
      </c>
      <c r="P909" s="7">
        <v>0</v>
      </c>
      <c r="Q909" s="7">
        <v>0</v>
      </c>
      <c r="R909" s="7">
        <v>1</v>
      </c>
      <c r="S909" s="7">
        <v>4.5</v>
      </c>
      <c r="T909">
        <v>7</v>
      </c>
      <c r="U909" s="1">
        <v>33</v>
      </c>
      <c r="V909">
        <v>0</v>
      </c>
      <c r="W909">
        <v>0</v>
      </c>
      <c r="X909">
        <v>1</v>
      </c>
      <c r="Y909">
        <v>0.16</v>
      </c>
      <c r="Z909">
        <v>23</v>
      </c>
      <c r="AA909">
        <v>0</v>
      </c>
      <c r="AB909">
        <v>0</v>
      </c>
      <c r="AC909">
        <v>0</v>
      </c>
      <c r="AD909">
        <v>1</v>
      </c>
      <c r="AE909">
        <v>0.05</v>
      </c>
      <c r="AF909">
        <v>15</v>
      </c>
      <c r="AG909">
        <v>0</v>
      </c>
      <c r="AH909">
        <v>0</v>
      </c>
      <c r="AI909">
        <v>0</v>
      </c>
      <c r="AJ909">
        <v>1</v>
      </c>
      <c r="AK909">
        <v>0.02</v>
      </c>
      <c r="AL909">
        <v>16</v>
      </c>
      <c r="AM909">
        <v>0</v>
      </c>
      <c r="AN909">
        <v>0</v>
      </c>
      <c r="AO909">
        <v>0</v>
      </c>
      <c r="AP909">
        <v>1</v>
      </c>
      <c r="AQ909">
        <v>0.01</v>
      </c>
      <c r="AX909">
        <v>7</v>
      </c>
      <c r="AY909" s="1">
        <v>17</v>
      </c>
      <c r="AZ909">
        <v>0</v>
      </c>
      <c r="BA909">
        <v>0</v>
      </c>
      <c r="BB909">
        <v>1</v>
      </c>
      <c r="BC909" s="7">
        <v>0.32</v>
      </c>
      <c r="BD909">
        <v>30</v>
      </c>
      <c r="BE909">
        <v>0</v>
      </c>
      <c r="BF909">
        <v>0</v>
      </c>
      <c r="BG909">
        <v>0</v>
      </c>
      <c r="BH909">
        <v>5</v>
      </c>
      <c r="BI909">
        <v>2.4</v>
      </c>
      <c r="BJ909">
        <v>31</v>
      </c>
      <c r="BK909">
        <v>0</v>
      </c>
      <c r="BL909">
        <v>0</v>
      </c>
      <c r="BM909">
        <v>0</v>
      </c>
      <c r="BN909">
        <v>5</v>
      </c>
      <c r="BO909">
        <v>2.4</v>
      </c>
      <c r="BP909">
        <v>36</v>
      </c>
      <c r="BQ909">
        <v>0</v>
      </c>
      <c r="BR909">
        <v>0</v>
      </c>
      <c r="BS909">
        <v>0</v>
      </c>
      <c r="BT909">
        <v>5</v>
      </c>
      <c r="BU909">
        <v>2</v>
      </c>
    </row>
    <row r="910" spans="1:73" ht="14.25" x14ac:dyDescent="0.15">
      <c r="A910" s="12">
        <v>20307</v>
      </c>
      <c r="B910">
        <v>7</v>
      </c>
      <c r="C910" s="1">
        <v>46</v>
      </c>
      <c r="D910">
        <v>0</v>
      </c>
      <c r="E910">
        <v>0</v>
      </c>
      <c r="F910">
        <v>1</v>
      </c>
      <c r="G910" s="7">
        <v>0.05</v>
      </c>
      <c r="H910">
        <v>12</v>
      </c>
      <c r="I910">
        <v>0</v>
      </c>
      <c r="J910">
        <v>0</v>
      </c>
      <c r="K910">
        <v>0</v>
      </c>
      <c r="L910">
        <v>1</v>
      </c>
      <c r="M910">
        <v>2</v>
      </c>
      <c r="N910" s="7">
        <v>9</v>
      </c>
      <c r="O910" s="7">
        <v>0</v>
      </c>
      <c r="P910" s="7">
        <v>0</v>
      </c>
      <c r="Q910" s="7">
        <v>0</v>
      </c>
      <c r="R910" s="7">
        <v>1</v>
      </c>
      <c r="S910" s="7">
        <v>4.5</v>
      </c>
      <c r="T910">
        <v>7</v>
      </c>
      <c r="U910" s="1">
        <v>34</v>
      </c>
      <c r="V910">
        <v>0</v>
      </c>
      <c r="W910">
        <v>0</v>
      </c>
      <c r="X910">
        <v>1</v>
      </c>
      <c r="Y910">
        <v>0.16</v>
      </c>
      <c r="Z910">
        <v>23</v>
      </c>
      <c r="AA910">
        <v>0</v>
      </c>
      <c r="AB910">
        <v>0</v>
      </c>
      <c r="AC910">
        <v>0</v>
      </c>
      <c r="AD910">
        <v>1</v>
      </c>
      <c r="AE910">
        <v>0.05</v>
      </c>
      <c r="AF910">
        <v>15</v>
      </c>
      <c r="AG910">
        <v>0</v>
      </c>
      <c r="AH910">
        <v>0</v>
      </c>
      <c r="AI910">
        <v>0</v>
      </c>
      <c r="AJ910">
        <v>1</v>
      </c>
      <c r="AK910">
        <v>0.02</v>
      </c>
      <c r="AL910">
        <v>16</v>
      </c>
      <c r="AM910">
        <v>0</v>
      </c>
      <c r="AN910">
        <v>0</v>
      </c>
      <c r="AO910">
        <v>0</v>
      </c>
      <c r="AP910">
        <v>1</v>
      </c>
      <c r="AQ910">
        <v>0.01</v>
      </c>
      <c r="AX910">
        <v>7</v>
      </c>
      <c r="AY910" s="1">
        <v>18</v>
      </c>
      <c r="AZ910">
        <v>0</v>
      </c>
      <c r="BA910">
        <v>0</v>
      </c>
      <c r="BB910">
        <v>1</v>
      </c>
      <c r="BC910" s="7">
        <v>0.32</v>
      </c>
      <c r="BD910">
        <v>30</v>
      </c>
      <c r="BE910">
        <v>0</v>
      </c>
      <c r="BF910">
        <v>0</v>
      </c>
      <c r="BG910">
        <v>0</v>
      </c>
      <c r="BH910">
        <v>5</v>
      </c>
      <c r="BI910">
        <v>2.4</v>
      </c>
      <c r="BJ910">
        <v>31</v>
      </c>
      <c r="BK910">
        <v>0</v>
      </c>
      <c r="BL910">
        <v>0</v>
      </c>
      <c r="BM910">
        <v>0</v>
      </c>
      <c r="BN910">
        <v>5</v>
      </c>
      <c r="BO910">
        <v>2.4</v>
      </c>
      <c r="BP910">
        <v>36</v>
      </c>
      <c r="BQ910">
        <v>0</v>
      </c>
      <c r="BR910">
        <v>0</v>
      </c>
      <c r="BS910">
        <v>0</v>
      </c>
      <c r="BT910">
        <v>5</v>
      </c>
      <c r="BU910">
        <v>2</v>
      </c>
    </row>
    <row r="911" spans="1:73" ht="14.25" x14ac:dyDescent="0.15">
      <c r="A911" s="12">
        <v>20308</v>
      </c>
      <c r="B911">
        <v>7</v>
      </c>
      <c r="C911" s="1">
        <v>47</v>
      </c>
      <c r="D911">
        <v>0</v>
      </c>
      <c r="E911">
        <v>0</v>
      </c>
      <c r="F911">
        <v>1</v>
      </c>
      <c r="G911" s="7">
        <v>0.05</v>
      </c>
      <c r="H911">
        <v>12</v>
      </c>
      <c r="I911">
        <v>0</v>
      </c>
      <c r="J911">
        <v>0</v>
      </c>
      <c r="K911">
        <v>0</v>
      </c>
      <c r="L911">
        <v>1</v>
      </c>
      <c r="M911">
        <v>2</v>
      </c>
      <c r="N911" s="7">
        <v>9</v>
      </c>
      <c r="O911" s="7">
        <v>0</v>
      </c>
      <c r="P911" s="7">
        <v>0</v>
      </c>
      <c r="Q911" s="7">
        <v>0</v>
      </c>
      <c r="R911" s="7">
        <v>1</v>
      </c>
      <c r="S911" s="7">
        <v>4.5</v>
      </c>
      <c r="T911">
        <v>7</v>
      </c>
      <c r="U911" s="1">
        <v>35</v>
      </c>
      <c r="V911">
        <v>0</v>
      </c>
      <c r="W911">
        <v>0</v>
      </c>
      <c r="X911">
        <v>1</v>
      </c>
      <c r="Y911">
        <v>0.16</v>
      </c>
      <c r="Z911">
        <v>23</v>
      </c>
      <c r="AA911">
        <v>0</v>
      </c>
      <c r="AB911">
        <v>0</v>
      </c>
      <c r="AC911">
        <v>0</v>
      </c>
      <c r="AD911">
        <v>1</v>
      </c>
      <c r="AE911">
        <v>0.05</v>
      </c>
      <c r="AF911">
        <v>15</v>
      </c>
      <c r="AG911">
        <v>0</v>
      </c>
      <c r="AH911">
        <v>0</v>
      </c>
      <c r="AI911">
        <v>0</v>
      </c>
      <c r="AJ911">
        <v>1</v>
      </c>
      <c r="AK911">
        <v>0.02</v>
      </c>
      <c r="AL911">
        <v>16</v>
      </c>
      <c r="AM911">
        <v>0</v>
      </c>
      <c r="AN911">
        <v>0</v>
      </c>
      <c r="AO911">
        <v>0</v>
      </c>
      <c r="AP911">
        <v>1</v>
      </c>
      <c r="AQ911">
        <v>0.01</v>
      </c>
      <c r="AX911">
        <v>7</v>
      </c>
      <c r="AY911" s="1">
        <v>19</v>
      </c>
      <c r="AZ911">
        <v>0</v>
      </c>
      <c r="BA911">
        <v>0</v>
      </c>
      <c r="BB911">
        <v>1</v>
      </c>
      <c r="BC911" s="7">
        <v>0.32</v>
      </c>
      <c r="BD911">
        <v>30</v>
      </c>
      <c r="BE911">
        <v>0</v>
      </c>
      <c r="BF911">
        <v>0</v>
      </c>
      <c r="BG911">
        <v>0</v>
      </c>
      <c r="BH911">
        <v>5</v>
      </c>
      <c r="BI911">
        <v>2.4</v>
      </c>
      <c r="BJ911">
        <v>31</v>
      </c>
      <c r="BK911">
        <v>0</v>
      </c>
      <c r="BL911">
        <v>0</v>
      </c>
      <c r="BM911">
        <v>0</v>
      </c>
      <c r="BN911">
        <v>5</v>
      </c>
      <c r="BO911">
        <v>2.4</v>
      </c>
      <c r="BP911">
        <v>36</v>
      </c>
      <c r="BQ911">
        <v>0</v>
      </c>
      <c r="BR911">
        <v>0</v>
      </c>
      <c r="BS911">
        <v>0</v>
      </c>
      <c r="BT911">
        <v>5</v>
      </c>
      <c r="BU911">
        <v>2</v>
      </c>
    </row>
    <row r="912" spans="1:73" ht="14.25" x14ac:dyDescent="0.15">
      <c r="A912" s="12">
        <v>20309</v>
      </c>
      <c r="B912">
        <v>7</v>
      </c>
      <c r="C912" s="1">
        <v>48</v>
      </c>
      <c r="D912">
        <v>0</v>
      </c>
      <c r="E912">
        <v>0</v>
      </c>
      <c r="F912">
        <v>1</v>
      </c>
      <c r="G912" s="7">
        <v>0.05</v>
      </c>
      <c r="H912">
        <v>12</v>
      </c>
      <c r="I912">
        <v>0</v>
      </c>
      <c r="J912">
        <v>0</v>
      </c>
      <c r="K912">
        <v>0</v>
      </c>
      <c r="L912">
        <v>1</v>
      </c>
      <c r="M912">
        <v>2</v>
      </c>
      <c r="N912" s="7">
        <v>9</v>
      </c>
      <c r="O912" s="7">
        <v>0</v>
      </c>
      <c r="P912" s="7">
        <v>0</v>
      </c>
      <c r="Q912" s="7">
        <v>0</v>
      </c>
      <c r="R912" s="7">
        <v>1</v>
      </c>
      <c r="S912" s="7">
        <v>4.5</v>
      </c>
      <c r="T912">
        <v>7</v>
      </c>
      <c r="U912" s="1">
        <v>36</v>
      </c>
      <c r="V912">
        <v>0</v>
      </c>
      <c r="W912">
        <v>0</v>
      </c>
      <c r="X912">
        <v>1</v>
      </c>
      <c r="Y912">
        <v>0.16</v>
      </c>
      <c r="Z912">
        <v>23</v>
      </c>
      <c r="AA912">
        <v>0</v>
      </c>
      <c r="AB912">
        <v>0</v>
      </c>
      <c r="AC912">
        <v>0</v>
      </c>
      <c r="AD912">
        <v>1</v>
      </c>
      <c r="AE912">
        <v>0.05</v>
      </c>
      <c r="AF912">
        <v>15</v>
      </c>
      <c r="AG912">
        <v>0</v>
      </c>
      <c r="AH912">
        <v>0</v>
      </c>
      <c r="AI912">
        <v>0</v>
      </c>
      <c r="AJ912">
        <v>1</v>
      </c>
      <c r="AK912">
        <v>0.02</v>
      </c>
      <c r="AL912">
        <v>16</v>
      </c>
      <c r="AM912">
        <v>0</v>
      </c>
      <c r="AN912">
        <v>0</v>
      </c>
      <c r="AO912">
        <v>0</v>
      </c>
      <c r="AP912">
        <v>1</v>
      </c>
      <c r="AQ912">
        <v>0.01</v>
      </c>
      <c r="AX912">
        <v>7</v>
      </c>
      <c r="AY912" s="1">
        <v>20</v>
      </c>
      <c r="AZ912">
        <v>0</v>
      </c>
      <c r="BA912">
        <v>0</v>
      </c>
      <c r="BB912">
        <v>1</v>
      </c>
      <c r="BC912" s="7">
        <v>0.32</v>
      </c>
      <c r="BD912">
        <v>30</v>
      </c>
      <c r="BE912">
        <v>0</v>
      </c>
      <c r="BF912">
        <v>0</v>
      </c>
      <c r="BG912">
        <v>0</v>
      </c>
      <c r="BH912">
        <v>5</v>
      </c>
      <c r="BI912">
        <v>2.4</v>
      </c>
      <c r="BJ912">
        <v>31</v>
      </c>
      <c r="BK912">
        <v>0</v>
      </c>
      <c r="BL912">
        <v>0</v>
      </c>
      <c r="BM912">
        <v>0</v>
      </c>
      <c r="BN912">
        <v>5</v>
      </c>
      <c r="BO912">
        <v>2.4</v>
      </c>
      <c r="BP912">
        <v>36</v>
      </c>
      <c r="BQ912">
        <v>0</v>
      </c>
      <c r="BR912">
        <v>0</v>
      </c>
      <c r="BS912">
        <v>0</v>
      </c>
      <c r="BT912">
        <v>5</v>
      </c>
      <c r="BU912">
        <v>2</v>
      </c>
    </row>
    <row r="913" spans="1:73" ht="14.25" x14ac:dyDescent="0.15">
      <c r="A913" s="12">
        <v>20310</v>
      </c>
      <c r="B913">
        <v>7</v>
      </c>
      <c r="C913" s="1">
        <v>0</v>
      </c>
      <c r="D913">
        <v>5</v>
      </c>
      <c r="E913">
        <v>1</v>
      </c>
      <c r="F913">
        <v>1</v>
      </c>
      <c r="G913" s="7">
        <v>0.05</v>
      </c>
      <c r="H913">
        <v>12</v>
      </c>
      <c r="I913">
        <v>0</v>
      </c>
      <c r="J913">
        <v>0</v>
      </c>
      <c r="K913">
        <v>0</v>
      </c>
      <c r="L913">
        <v>1</v>
      </c>
      <c r="M913">
        <v>2</v>
      </c>
      <c r="N913" s="7">
        <v>9</v>
      </c>
      <c r="O913" s="7">
        <v>0</v>
      </c>
      <c r="P913" s="7">
        <v>0</v>
      </c>
      <c r="Q913" s="7">
        <v>0</v>
      </c>
      <c r="R913" s="7">
        <v>1</v>
      </c>
      <c r="S913" s="7">
        <v>4.5</v>
      </c>
      <c r="T913">
        <v>7</v>
      </c>
      <c r="U913" s="1">
        <v>0</v>
      </c>
      <c r="V913">
        <v>4</v>
      </c>
      <c r="W913">
        <v>2</v>
      </c>
      <c r="X913">
        <v>1</v>
      </c>
      <c r="Y913">
        <v>0.16</v>
      </c>
      <c r="Z913">
        <v>23</v>
      </c>
      <c r="AA913">
        <v>0</v>
      </c>
      <c r="AB913">
        <v>0</v>
      </c>
      <c r="AC913">
        <v>0</v>
      </c>
      <c r="AD913">
        <v>1</v>
      </c>
      <c r="AE913">
        <v>0.05</v>
      </c>
      <c r="AF913">
        <v>15</v>
      </c>
      <c r="AG913">
        <v>0</v>
      </c>
      <c r="AH913">
        <v>0</v>
      </c>
      <c r="AI913">
        <v>0</v>
      </c>
      <c r="AJ913">
        <v>1</v>
      </c>
      <c r="AK913">
        <v>0.02</v>
      </c>
      <c r="AL913">
        <v>16</v>
      </c>
      <c r="AM913">
        <v>0</v>
      </c>
      <c r="AN913">
        <v>0</v>
      </c>
      <c r="AO913">
        <v>0</v>
      </c>
      <c r="AP913">
        <v>1</v>
      </c>
      <c r="AQ913">
        <v>0.01</v>
      </c>
      <c r="AR913">
        <v>6</v>
      </c>
      <c r="AS913">
        <v>2</v>
      </c>
      <c r="AT913">
        <v>2</v>
      </c>
      <c r="AU913">
        <v>5</v>
      </c>
      <c r="AV913">
        <v>1</v>
      </c>
      <c r="AW913">
        <v>0.05</v>
      </c>
      <c r="AX913">
        <v>7</v>
      </c>
      <c r="AY913" s="1">
        <v>0</v>
      </c>
      <c r="AZ913">
        <v>3</v>
      </c>
      <c r="BA913">
        <v>1</v>
      </c>
      <c r="BB913">
        <v>1</v>
      </c>
      <c r="BC913" s="7">
        <v>0.32</v>
      </c>
      <c r="BD913">
        <v>30</v>
      </c>
      <c r="BE913">
        <v>0</v>
      </c>
      <c r="BF913">
        <v>0</v>
      </c>
      <c r="BG913">
        <v>0</v>
      </c>
      <c r="BH913">
        <v>5</v>
      </c>
      <c r="BI913">
        <v>2.4</v>
      </c>
      <c r="BJ913">
        <v>31</v>
      </c>
      <c r="BK913">
        <v>0</v>
      </c>
      <c r="BL913">
        <v>0</v>
      </c>
      <c r="BM913">
        <v>0</v>
      </c>
      <c r="BN913">
        <v>5</v>
      </c>
      <c r="BO913">
        <v>2.4</v>
      </c>
      <c r="BP913">
        <v>36</v>
      </c>
      <c r="BQ913">
        <v>0</v>
      </c>
      <c r="BR913">
        <v>0</v>
      </c>
      <c r="BS913">
        <v>0</v>
      </c>
      <c r="BT913">
        <v>5</v>
      </c>
      <c r="BU913">
        <v>2</v>
      </c>
    </row>
    <row r="914" spans="1:73" ht="14.25" x14ac:dyDescent="0.15">
      <c r="A914" s="12">
        <v>20311</v>
      </c>
      <c r="B914">
        <v>7</v>
      </c>
      <c r="C914" s="1">
        <v>45</v>
      </c>
      <c r="D914">
        <v>0</v>
      </c>
      <c r="E914">
        <v>0</v>
      </c>
      <c r="F914">
        <v>1</v>
      </c>
      <c r="G914" s="7">
        <v>0.05</v>
      </c>
      <c r="H914">
        <v>12</v>
      </c>
      <c r="I914">
        <v>0</v>
      </c>
      <c r="J914">
        <v>0</v>
      </c>
      <c r="K914">
        <v>0</v>
      </c>
      <c r="L914">
        <v>1</v>
      </c>
      <c r="M914">
        <v>2</v>
      </c>
      <c r="N914" s="7">
        <v>9</v>
      </c>
      <c r="O914" s="7">
        <v>0</v>
      </c>
      <c r="P914" s="7">
        <v>0</v>
      </c>
      <c r="Q914" s="7">
        <v>0</v>
      </c>
      <c r="R914" s="7">
        <v>1</v>
      </c>
      <c r="S914" s="7">
        <v>4.5</v>
      </c>
      <c r="T914">
        <v>7</v>
      </c>
      <c r="U914" s="1">
        <v>33</v>
      </c>
      <c r="V914">
        <v>0</v>
      </c>
      <c r="W914">
        <v>0</v>
      </c>
      <c r="X914">
        <v>1</v>
      </c>
      <c r="Y914">
        <v>0.16</v>
      </c>
      <c r="Z914">
        <v>23</v>
      </c>
      <c r="AA914">
        <v>0</v>
      </c>
      <c r="AB914">
        <v>0</v>
      </c>
      <c r="AC914">
        <v>0</v>
      </c>
      <c r="AD914">
        <v>1</v>
      </c>
      <c r="AE914">
        <v>0.05</v>
      </c>
      <c r="AF914">
        <v>15</v>
      </c>
      <c r="AG914">
        <v>0</v>
      </c>
      <c r="AH914">
        <v>0</v>
      </c>
      <c r="AI914">
        <v>0</v>
      </c>
      <c r="AJ914">
        <v>1</v>
      </c>
      <c r="AK914">
        <v>0.02</v>
      </c>
      <c r="AL914">
        <v>16</v>
      </c>
      <c r="AM914">
        <v>0</v>
      </c>
      <c r="AN914">
        <v>0</v>
      </c>
      <c r="AO914">
        <v>0</v>
      </c>
      <c r="AP914">
        <v>1</v>
      </c>
      <c r="AQ914">
        <v>0.01</v>
      </c>
      <c r="AX914">
        <v>7</v>
      </c>
      <c r="AY914" s="1">
        <v>17</v>
      </c>
      <c r="AZ914">
        <v>0</v>
      </c>
      <c r="BA914">
        <v>0</v>
      </c>
      <c r="BB914">
        <v>1</v>
      </c>
      <c r="BC914" s="7">
        <v>0.32</v>
      </c>
      <c r="BD914">
        <v>30</v>
      </c>
      <c r="BE914">
        <v>0</v>
      </c>
      <c r="BF914">
        <v>0</v>
      </c>
      <c r="BG914">
        <v>0</v>
      </c>
      <c r="BH914">
        <v>5</v>
      </c>
      <c r="BI914">
        <v>2.4</v>
      </c>
      <c r="BJ914">
        <v>31</v>
      </c>
      <c r="BK914">
        <v>0</v>
      </c>
      <c r="BL914">
        <v>0</v>
      </c>
      <c r="BM914">
        <v>0</v>
      </c>
      <c r="BN914">
        <v>5</v>
      </c>
      <c r="BO914">
        <v>2.4</v>
      </c>
      <c r="BP914">
        <v>36</v>
      </c>
      <c r="BQ914">
        <v>0</v>
      </c>
      <c r="BR914">
        <v>0</v>
      </c>
      <c r="BS914">
        <v>0</v>
      </c>
      <c r="BT914">
        <v>5</v>
      </c>
      <c r="BU914">
        <v>2</v>
      </c>
    </row>
    <row r="915" spans="1:73" ht="14.25" x14ac:dyDescent="0.15">
      <c r="A915" s="12">
        <v>20312</v>
      </c>
      <c r="B915">
        <v>7</v>
      </c>
      <c r="C915" s="1">
        <v>46</v>
      </c>
      <c r="D915">
        <v>0</v>
      </c>
      <c r="E915">
        <v>0</v>
      </c>
      <c r="F915">
        <v>1</v>
      </c>
      <c r="G915" s="7">
        <v>0.05</v>
      </c>
      <c r="H915">
        <v>12</v>
      </c>
      <c r="I915">
        <v>0</v>
      </c>
      <c r="J915">
        <v>0</v>
      </c>
      <c r="K915">
        <v>0</v>
      </c>
      <c r="L915">
        <v>1</v>
      </c>
      <c r="M915">
        <v>2</v>
      </c>
      <c r="N915" s="7">
        <v>9</v>
      </c>
      <c r="O915" s="7">
        <v>0</v>
      </c>
      <c r="P915" s="7">
        <v>0</v>
      </c>
      <c r="Q915" s="7">
        <v>0</v>
      </c>
      <c r="R915" s="7">
        <v>1</v>
      </c>
      <c r="S915" s="7">
        <v>4.5</v>
      </c>
      <c r="T915">
        <v>7</v>
      </c>
      <c r="U915" s="1">
        <v>34</v>
      </c>
      <c r="V915">
        <v>0</v>
      </c>
      <c r="W915">
        <v>0</v>
      </c>
      <c r="X915">
        <v>1</v>
      </c>
      <c r="Y915">
        <v>0.16</v>
      </c>
      <c r="Z915">
        <v>23</v>
      </c>
      <c r="AA915">
        <v>0</v>
      </c>
      <c r="AB915">
        <v>0</v>
      </c>
      <c r="AC915">
        <v>0</v>
      </c>
      <c r="AD915">
        <v>1</v>
      </c>
      <c r="AE915">
        <v>0.05</v>
      </c>
      <c r="AF915">
        <v>15</v>
      </c>
      <c r="AG915">
        <v>0</v>
      </c>
      <c r="AH915">
        <v>0</v>
      </c>
      <c r="AI915">
        <v>0</v>
      </c>
      <c r="AJ915">
        <v>1</v>
      </c>
      <c r="AK915">
        <v>0.02</v>
      </c>
      <c r="AL915">
        <v>16</v>
      </c>
      <c r="AM915">
        <v>0</v>
      </c>
      <c r="AN915">
        <v>0</v>
      </c>
      <c r="AO915">
        <v>0</v>
      </c>
      <c r="AP915">
        <v>1</v>
      </c>
      <c r="AQ915">
        <v>0.01</v>
      </c>
      <c r="AX915">
        <v>7</v>
      </c>
      <c r="AY915" s="1">
        <v>18</v>
      </c>
      <c r="AZ915">
        <v>0</v>
      </c>
      <c r="BA915">
        <v>0</v>
      </c>
      <c r="BB915">
        <v>1</v>
      </c>
      <c r="BC915" s="7">
        <v>0.32</v>
      </c>
      <c r="BD915">
        <v>30</v>
      </c>
      <c r="BE915">
        <v>0</v>
      </c>
      <c r="BF915">
        <v>0</v>
      </c>
      <c r="BG915">
        <v>0</v>
      </c>
      <c r="BH915">
        <v>5</v>
      </c>
      <c r="BI915">
        <v>2.4</v>
      </c>
      <c r="BJ915">
        <v>31</v>
      </c>
      <c r="BK915">
        <v>0</v>
      </c>
      <c r="BL915">
        <v>0</v>
      </c>
      <c r="BM915">
        <v>0</v>
      </c>
      <c r="BN915">
        <v>5</v>
      </c>
      <c r="BO915">
        <v>2.4</v>
      </c>
      <c r="BP915">
        <v>36</v>
      </c>
      <c r="BQ915">
        <v>0</v>
      </c>
      <c r="BR915">
        <v>0</v>
      </c>
      <c r="BS915">
        <v>0</v>
      </c>
      <c r="BT915">
        <v>5</v>
      </c>
      <c r="BU915">
        <v>2</v>
      </c>
    </row>
    <row r="916" spans="1:73" ht="14.25" x14ac:dyDescent="0.15">
      <c r="A916" s="12">
        <v>20313</v>
      </c>
      <c r="B916">
        <v>7</v>
      </c>
      <c r="C916" s="1">
        <v>47</v>
      </c>
      <c r="D916">
        <v>0</v>
      </c>
      <c r="E916">
        <v>0</v>
      </c>
      <c r="F916">
        <v>1</v>
      </c>
      <c r="G916" s="7">
        <v>0.05</v>
      </c>
      <c r="H916">
        <v>12</v>
      </c>
      <c r="I916">
        <v>0</v>
      </c>
      <c r="J916">
        <v>0</v>
      </c>
      <c r="K916">
        <v>0</v>
      </c>
      <c r="L916">
        <v>1</v>
      </c>
      <c r="M916">
        <v>2</v>
      </c>
      <c r="N916" s="7">
        <v>9</v>
      </c>
      <c r="O916" s="7">
        <v>0</v>
      </c>
      <c r="P916" s="7">
        <v>0</v>
      </c>
      <c r="Q916" s="7">
        <v>0</v>
      </c>
      <c r="R916" s="7">
        <v>1</v>
      </c>
      <c r="S916" s="7">
        <v>4.5</v>
      </c>
      <c r="T916">
        <v>7</v>
      </c>
      <c r="U916" s="1">
        <v>35</v>
      </c>
      <c r="V916">
        <v>0</v>
      </c>
      <c r="W916">
        <v>0</v>
      </c>
      <c r="X916">
        <v>1</v>
      </c>
      <c r="Y916">
        <v>0.16</v>
      </c>
      <c r="Z916">
        <v>23</v>
      </c>
      <c r="AA916">
        <v>0</v>
      </c>
      <c r="AB916">
        <v>0</v>
      </c>
      <c r="AC916">
        <v>0</v>
      </c>
      <c r="AD916">
        <v>1</v>
      </c>
      <c r="AE916">
        <v>0.05</v>
      </c>
      <c r="AF916">
        <v>15</v>
      </c>
      <c r="AG916">
        <v>0</v>
      </c>
      <c r="AH916">
        <v>0</v>
      </c>
      <c r="AI916">
        <v>0</v>
      </c>
      <c r="AJ916">
        <v>1</v>
      </c>
      <c r="AK916">
        <v>0.02</v>
      </c>
      <c r="AL916">
        <v>16</v>
      </c>
      <c r="AM916">
        <v>0</v>
      </c>
      <c r="AN916">
        <v>0</v>
      </c>
      <c r="AO916">
        <v>0</v>
      </c>
      <c r="AP916">
        <v>1</v>
      </c>
      <c r="AQ916">
        <v>0.01</v>
      </c>
      <c r="AX916">
        <v>7</v>
      </c>
      <c r="AY916" s="1">
        <v>19</v>
      </c>
      <c r="AZ916">
        <v>0</v>
      </c>
      <c r="BA916">
        <v>0</v>
      </c>
      <c r="BB916">
        <v>1</v>
      </c>
      <c r="BC916" s="7">
        <v>0.32</v>
      </c>
      <c r="BD916">
        <v>30</v>
      </c>
      <c r="BE916">
        <v>0</v>
      </c>
      <c r="BF916">
        <v>0</v>
      </c>
      <c r="BG916">
        <v>0</v>
      </c>
      <c r="BH916">
        <v>5</v>
      </c>
      <c r="BI916">
        <v>2.4</v>
      </c>
      <c r="BJ916">
        <v>31</v>
      </c>
      <c r="BK916">
        <v>0</v>
      </c>
      <c r="BL916">
        <v>0</v>
      </c>
      <c r="BM916">
        <v>0</v>
      </c>
      <c r="BN916">
        <v>5</v>
      </c>
      <c r="BO916">
        <v>2.4</v>
      </c>
      <c r="BP916">
        <v>36</v>
      </c>
      <c r="BQ916">
        <v>0</v>
      </c>
      <c r="BR916">
        <v>0</v>
      </c>
      <c r="BS916">
        <v>0</v>
      </c>
      <c r="BT916">
        <v>5</v>
      </c>
      <c r="BU916">
        <v>2</v>
      </c>
    </row>
    <row r="917" spans="1:73" ht="14.25" x14ac:dyDescent="0.15">
      <c r="A917" s="12">
        <v>20314</v>
      </c>
      <c r="B917">
        <v>7</v>
      </c>
      <c r="C917" s="1">
        <v>48</v>
      </c>
      <c r="D917">
        <v>0</v>
      </c>
      <c r="E917">
        <v>0</v>
      </c>
      <c r="F917">
        <v>1</v>
      </c>
      <c r="G917" s="7">
        <v>0.05</v>
      </c>
      <c r="H917">
        <v>12</v>
      </c>
      <c r="I917">
        <v>0</v>
      </c>
      <c r="J917">
        <v>0</v>
      </c>
      <c r="K917">
        <v>0</v>
      </c>
      <c r="L917">
        <v>1</v>
      </c>
      <c r="M917">
        <v>2</v>
      </c>
      <c r="N917" s="7">
        <v>9</v>
      </c>
      <c r="O917" s="7">
        <v>0</v>
      </c>
      <c r="P917" s="7">
        <v>0</v>
      </c>
      <c r="Q917" s="7">
        <v>0</v>
      </c>
      <c r="R917" s="7">
        <v>1</v>
      </c>
      <c r="S917" s="7">
        <v>4.5</v>
      </c>
      <c r="T917">
        <v>7</v>
      </c>
      <c r="U917" s="1">
        <v>36</v>
      </c>
      <c r="V917">
        <v>0</v>
      </c>
      <c r="W917">
        <v>0</v>
      </c>
      <c r="X917">
        <v>1</v>
      </c>
      <c r="Y917">
        <v>0.16</v>
      </c>
      <c r="Z917">
        <v>23</v>
      </c>
      <c r="AA917">
        <v>0</v>
      </c>
      <c r="AB917">
        <v>0</v>
      </c>
      <c r="AC917">
        <v>0</v>
      </c>
      <c r="AD917">
        <v>1</v>
      </c>
      <c r="AE917">
        <v>0.05</v>
      </c>
      <c r="AF917">
        <v>15</v>
      </c>
      <c r="AG917">
        <v>0</v>
      </c>
      <c r="AH917">
        <v>0</v>
      </c>
      <c r="AI917">
        <v>0</v>
      </c>
      <c r="AJ917">
        <v>1</v>
      </c>
      <c r="AK917">
        <v>0.02</v>
      </c>
      <c r="AL917">
        <v>16</v>
      </c>
      <c r="AM917">
        <v>0</v>
      </c>
      <c r="AN917">
        <v>0</v>
      </c>
      <c r="AO917">
        <v>0</v>
      </c>
      <c r="AP917">
        <v>1</v>
      </c>
      <c r="AQ917">
        <v>0.01</v>
      </c>
      <c r="AX917">
        <v>7</v>
      </c>
      <c r="AY917" s="1">
        <v>20</v>
      </c>
      <c r="AZ917">
        <v>0</v>
      </c>
      <c r="BA917">
        <v>0</v>
      </c>
      <c r="BB917">
        <v>1</v>
      </c>
      <c r="BC917" s="7">
        <v>0.32</v>
      </c>
      <c r="BD917">
        <v>30</v>
      </c>
      <c r="BE917">
        <v>0</v>
      </c>
      <c r="BF917">
        <v>0</v>
      </c>
      <c r="BG917">
        <v>0</v>
      </c>
      <c r="BH917">
        <v>5</v>
      </c>
      <c r="BI917">
        <v>2.4</v>
      </c>
      <c r="BJ917">
        <v>31</v>
      </c>
      <c r="BK917">
        <v>0</v>
      </c>
      <c r="BL917">
        <v>0</v>
      </c>
      <c r="BM917">
        <v>0</v>
      </c>
      <c r="BN917">
        <v>5</v>
      </c>
      <c r="BO917">
        <v>2.4</v>
      </c>
      <c r="BP917">
        <v>36</v>
      </c>
      <c r="BQ917">
        <v>0</v>
      </c>
      <c r="BR917">
        <v>0</v>
      </c>
      <c r="BS917">
        <v>0</v>
      </c>
      <c r="BT917">
        <v>5</v>
      </c>
      <c r="BU917">
        <v>2</v>
      </c>
    </row>
    <row r="918" spans="1:73" ht="14.25" x14ac:dyDescent="0.15">
      <c r="A918" s="12">
        <v>20315</v>
      </c>
      <c r="B918">
        <v>7</v>
      </c>
      <c r="C918" s="1">
        <v>0</v>
      </c>
      <c r="D918">
        <v>5</v>
      </c>
      <c r="E918">
        <v>1</v>
      </c>
      <c r="F918">
        <v>1</v>
      </c>
      <c r="G918" s="7">
        <v>0.05</v>
      </c>
      <c r="H918">
        <v>12</v>
      </c>
      <c r="I918">
        <v>0</v>
      </c>
      <c r="J918">
        <v>0</v>
      </c>
      <c r="K918">
        <v>0</v>
      </c>
      <c r="L918">
        <v>1</v>
      </c>
      <c r="M918">
        <v>2</v>
      </c>
      <c r="N918" s="7">
        <v>9</v>
      </c>
      <c r="O918" s="7">
        <v>0</v>
      </c>
      <c r="P918" s="7">
        <v>0</v>
      </c>
      <c r="Q918" s="7">
        <v>0</v>
      </c>
      <c r="R918" s="7">
        <v>1</v>
      </c>
      <c r="S918" s="7">
        <v>4.5</v>
      </c>
      <c r="T918">
        <v>7</v>
      </c>
      <c r="U918" s="1">
        <v>0</v>
      </c>
      <c r="V918">
        <v>4</v>
      </c>
      <c r="W918">
        <v>2</v>
      </c>
      <c r="X918">
        <v>1</v>
      </c>
      <c r="Y918">
        <v>0.16</v>
      </c>
      <c r="Z918">
        <v>23</v>
      </c>
      <c r="AA918">
        <v>0</v>
      </c>
      <c r="AB918">
        <v>0</v>
      </c>
      <c r="AC918">
        <v>0</v>
      </c>
      <c r="AD918">
        <v>1</v>
      </c>
      <c r="AE918">
        <v>0.05</v>
      </c>
      <c r="AF918">
        <v>15</v>
      </c>
      <c r="AG918">
        <v>0</v>
      </c>
      <c r="AH918">
        <v>0</v>
      </c>
      <c r="AI918">
        <v>0</v>
      </c>
      <c r="AJ918">
        <v>1</v>
      </c>
      <c r="AK918">
        <v>0.02</v>
      </c>
      <c r="AL918">
        <v>16</v>
      </c>
      <c r="AM918">
        <v>0</v>
      </c>
      <c r="AN918">
        <v>0</v>
      </c>
      <c r="AO918">
        <v>0</v>
      </c>
      <c r="AP918">
        <v>1</v>
      </c>
      <c r="AQ918">
        <v>0.01</v>
      </c>
      <c r="AR918">
        <v>6</v>
      </c>
      <c r="AS918">
        <v>2</v>
      </c>
      <c r="AT918">
        <v>3</v>
      </c>
      <c r="AU918">
        <v>5</v>
      </c>
      <c r="AV918">
        <v>1</v>
      </c>
      <c r="AW918">
        <v>0.05</v>
      </c>
      <c r="AX918">
        <v>7</v>
      </c>
      <c r="AY918" s="1">
        <v>0</v>
      </c>
      <c r="AZ918">
        <v>3</v>
      </c>
      <c r="BA918">
        <v>1</v>
      </c>
      <c r="BB918">
        <v>1</v>
      </c>
      <c r="BC918" s="7">
        <v>0.32</v>
      </c>
      <c r="BD918">
        <v>30</v>
      </c>
      <c r="BE918">
        <v>0</v>
      </c>
      <c r="BF918">
        <v>0</v>
      </c>
      <c r="BG918">
        <v>0</v>
      </c>
      <c r="BH918">
        <v>5</v>
      </c>
      <c r="BI918">
        <v>2.4</v>
      </c>
      <c r="BJ918">
        <v>31</v>
      </c>
      <c r="BK918">
        <v>0</v>
      </c>
      <c r="BL918">
        <v>0</v>
      </c>
      <c r="BM918">
        <v>0</v>
      </c>
      <c r="BN918">
        <v>5</v>
      </c>
      <c r="BO918">
        <v>2.4</v>
      </c>
      <c r="BP918">
        <v>36</v>
      </c>
      <c r="BQ918">
        <v>0</v>
      </c>
      <c r="BR918">
        <v>0</v>
      </c>
      <c r="BS918">
        <v>0</v>
      </c>
      <c r="BT918">
        <v>5</v>
      </c>
      <c r="BU918">
        <v>2</v>
      </c>
    </row>
    <row r="919" spans="1:73" ht="14.25" x14ac:dyDescent="0.15">
      <c r="A919" s="12">
        <v>20316</v>
      </c>
      <c r="B919">
        <v>7</v>
      </c>
      <c r="C919" s="1">
        <v>45</v>
      </c>
      <c r="D919">
        <v>0</v>
      </c>
      <c r="E919">
        <v>0</v>
      </c>
      <c r="F919">
        <v>1</v>
      </c>
      <c r="G919" s="7">
        <v>0.05</v>
      </c>
      <c r="H919">
        <v>12</v>
      </c>
      <c r="I919">
        <v>0</v>
      </c>
      <c r="J919">
        <v>0</v>
      </c>
      <c r="K919">
        <v>0</v>
      </c>
      <c r="L919">
        <v>1</v>
      </c>
      <c r="M919">
        <v>2</v>
      </c>
      <c r="N919" s="7">
        <v>9</v>
      </c>
      <c r="O919" s="7">
        <v>0</v>
      </c>
      <c r="P919" s="7">
        <v>0</v>
      </c>
      <c r="Q919" s="7">
        <v>0</v>
      </c>
      <c r="R919" s="7">
        <v>1</v>
      </c>
      <c r="S919" s="7">
        <v>4.5</v>
      </c>
      <c r="T919">
        <v>7</v>
      </c>
      <c r="U919" s="1">
        <v>33</v>
      </c>
      <c r="V919">
        <v>0</v>
      </c>
      <c r="W919">
        <v>0</v>
      </c>
      <c r="X919">
        <v>1</v>
      </c>
      <c r="Y919">
        <v>0.16</v>
      </c>
      <c r="Z919">
        <v>23</v>
      </c>
      <c r="AA919">
        <v>0</v>
      </c>
      <c r="AB919">
        <v>0</v>
      </c>
      <c r="AC919">
        <v>0</v>
      </c>
      <c r="AD919">
        <v>1</v>
      </c>
      <c r="AE919">
        <v>0.05</v>
      </c>
      <c r="AF919">
        <v>15</v>
      </c>
      <c r="AG919">
        <v>0</v>
      </c>
      <c r="AH919">
        <v>0</v>
      </c>
      <c r="AI919">
        <v>0</v>
      </c>
      <c r="AJ919">
        <v>1</v>
      </c>
      <c r="AK919">
        <v>0.02</v>
      </c>
      <c r="AL919">
        <v>16</v>
      </c>
      <c r="AM919">
        <v>0</v>
      </c>
      <c r="AN919">
        <v>0</v>
      </c>
      <c r="AO919">
        <v>0</v>
      </c>
      <c r="AP919">
        <v>1</v>
      </c>
      <c r="AQ919">
        <v>0.01</v>
      </c>
      <c r="AX919">
        <v>7</v>
      </c>
      <c r="AY919" s="1">
        <v>17</v>
      </c>
      <c r="AZ919">
        <v>0</v>
      </c>
      <c r="BA919">
        <v>0</v>
      </c>
      <c r="BB919">
        <v>1</v>
      </c>
      <c r="BC919" s="7">
        <v>0.32</v>
      </c>
      <c r="BD919">
        <v>30</v>
      </c>
      <c r="BE919">
        <v>0</v>
      </c>
      <c r="BF919">
        <v>0</v>
      </c>
      <c r="BG919">
        <v>0</v>
      </c>
      <c r="BH919">
        <v>5</v>
      </c>
      <c r="BI919">
        <v>2.4</v>
      </c>
      <c r="BJ919">
        <v>31</v>
      </c>
      <c r="BK919">
        <v>0</v>
      </c>
      <c r="BL919">
        <v>0</v>
      </c>
      <c r="BM919">
        <v>0</v>
      </c>
      <c r="BN919">
        <v>5</v>
      </c>
      <c r="BO919">
        <v>2.4</v>
      </c>
      <c r="BP919">
        <v>36</v>
      </c>
      <c r="BQ919">
        <v>0</v>
      </c>
      <c r="BR919">
        <v>0</v>
      </c>
      <c r="BS919">
        <v>0</v>
      </c>
      <c r="BT919">
        <v>5</v>
      </c>
      <c r="BU919">
        <v>2</v>
      </c>
    </row>
    <row r="920" spans="1:73" ht="14.25" x14ac:dyDescent="0.15">
      <c r="A920" s="12">
        <v>20317</v>
      </c>
      <c r="B920">
        <v>7</v>
      </c>
      <c r="C920" s="1">
        <v>46</v>
      </c>
      <c r="D920">
        <v>0</v>
      </c>
      <c r="E920">
        <v>0</v>
      </c>
      <c r="F920">
        <v>1</v>
      </c>
      <c r="G920" s="7">
        <v>0.05</v>
      </c>
      <c r="H920">
        <v>12</v>
      </c>
      <c r="I920">
        <v>0</v>
      </c>
      <c r="J920">
        <v>0</v>
      </c>
      <c r="K920">
        <v>0</v>
      </c>
      <c r="L920">
        <v>1</v>
      </c>
      <c r="M920">
        <v>2</v>
      </c>
      <c r="N920" s="7">
        <v>9</v>
      </c>
      <c r="O920" s="7">
        <v>0</v>
      </c>
      <c r="P920" s="7">
        <v>0</v>
      </c>
      <c r="Q920" s="7">
        <v>0</v>
      </c>
      <c r="R920" s="7">
        <v>1</v>
      </c>
      <c r="S920" s="7">
        <v>4.5</v>
      </c>
      <c r="T920">
        <v>7</v>
      </c>
      <c r="U920" s="1">
        <v>34</v>
      </c>
      <c r="V920">
        <v>0</v>
      </c>
      <c r="W920">
        <v>0</v>
      </c>
      <c r="X920">
        <v>1</v>
      </c>
      <c r="Y920">
        <v>0.16</v>
      </c>
      <c r="Z920">
        <v>23</v>
      </c>
      <c r="AA920">
        <v>0</v>
      </c>
      <c r="AB920">
        <v>0</v>
      </c>
      <c r="AC920">
        <v>0</v>
      </c>
      <c r="AD920">
        <v>1</v>
      </c>
      <c r="AE920">
        <v>0.05</v>
      </c>
      <c r="AF920">
        <v>15</v>
      </c>
      <c r="AG920">
        <v>0</v>
      </c>
      <c r="AH920">
        <v>0</v>
      </c>
      <c r="AI920">
        <v>0</v>
      </c>
      <c r="AJ920">
        <v>1</v>
      </c>
      <c r="AK920">
        <v>0.02</v>
      </c>
      <c r="AL920">
        <v>16</v>
      </c>
      <c r="AM920">
        <v>0</v>
      </c>
      <c r="AN920">
        <v>0</v>
      </c>
      <c r="AO920">
        <v>0</v>
      </c>
      <c r="AP920">
        <v>1</v>
      </c>
      <c r="AQ920">
        <v>0.01</v>
      </c>
      <c r="AX920">
        <v>7</v>
      </c>
      <c r="AY920" s="1">
        <v>18</v>
      </c>
      <c r="AZ920">
        <v>0</v>
      </c>
      <c r="BA920">
        <v>0</v>
      </c>
      <c r="BB920">
        <v>1</v>
      </c>
      <c r="BC920" s="7">
        <v>0.32</v>
      </c>
      <c r="BD920">
        <v>30</v>
      </c>
      <c r="BE920">
        <v>0</v>
      </c>
      <c r="BF920">
        <v>0</v>
      </c>
      <c r="BG920">
        <v>0</v>
      </c>
      <c r="BH920">
        <v>5</v>
      </c>
      <c r="BI920">
        <v>2.4</v>
      </c>
      <c r="BJ920">
        <v>31</v>
      </c>
      <c r="BK920">
        <v>0</v>
      </c>
      <c r="BL920">
        <v>0</v>
      </c>
      <c r="BM920">
        <v>0</v>
      </c>
      <c r="BN920">
        <v>5</v>
      </c>
      <c r="BO920">
        <v>2.4</v>
      </c>
      <c r="BP920">
        <v>36</v>
      </c>
      <c r="BQ920">
        <v>0</v>
      </c>
      <c r="BR920">
        <v>0</v>
      </c>
      <c r="BS920">
        <v>0</v>
      </c>
      <c r="BT920">
        <v>5</v>
      </c>
      <c r="BU920">
        <v>2</v>
      </c>
    </row>
    <row r="921" spans="1:73" ht="14.25" x14ac:dyDescent="0.15">
      <c r="A921" s="12">
        <v>20318</v>
      </c>
      <c r="B921">
        <v>7</v>
      </c>
      <c r="C921" s="1">
        <v>47</v>
      </c>
      <c r="D921">
        <v>0</v>
      </c>
      <c r="E921">
        <v>0</v>
      </c>
      <c r="F921">
        <v>1</v>
      </c>
      <c r="G921" s="7">
        <v>0.05</v>
      </c>
      <c r="H921">
        <v>12</v>
      </c>
      <c r="I921">
        <v>0</v>
      </c>
      <c r="J921">
        <v>0</v>
      </c>
      <c r="K921">
        <v>0</v>
      </c>
      <c r="L921">
        <v>1</v>
      </c>
      <c r="M921">
        <v>2</v>
      </c>
      <c r="N921" s="7">
        <v>9</v>
      </c>
      <c r="O921" s="7">
        <v>0</v>
      </c>
      <c r="P921" s="7">
        <v>0</v>
      </c>
      <c r="Q921" s="7">
        <v>0</v>
      </c>
      <c r="R921" s="7">
        <v>1</v>
      </c>
      <c r="S921" s="7">
        <v>4.5</v>
      </c>
      <c r="T921">
        <v>7</v>
      </c>
      <c r="U921" s="1">
        <v>35</v>
      </c>
      <c r="V921">
        <v>0</v>
      </c>
      <c r="W921">
        <v>0</v>
      </c>
      <c r="X921">
        <v>1</v>
      </c>
      <c r="Y921">
        <v>0.16</v>
      </c>
      <c r="Z921">
        <v>23</v>
      </c>
      <c r="AA921">
        <v>0</v>
      </c>
      <c r="AB921">
        <v>0</v>
      </c>
      <c r="AC921">
        <v>0</v>
      </c>
      <c r="AD921">
        <v>1</v>
      </c>
      <c r="AE921">
        <v>0.05</v>
      </c>
      <c r="AF921">
        <v>15</v>
      </c>
      <c r="AG921">
        <v>0</v>
      </c>
      <c r="AH921">
        <v>0</v>
      </c>
      <c r="AI921">
        <v>0</v>
      </c>
      <c r="AJ921">
        <v>1</v>
      </c>
      <c r="AK921">
        <v>0.02</v>
      </c>
      <c r="AL921">
        <v>16</v>
      </c>
      <c r="AM921">
        <v>0</v>
      </c>
      <c r="AN921">
        <v>0</v>
      </c>
      <c r="AO921">
        <v>0</v>
      </c>
      <c r="AP921">
        <v>1</v>
      </c>
      <c r="AQ921">
        <v>0.01</v>
      </c>
      <c r="AX921">
        <v>7</v>
      </c>
      <c r="AY921" s="1">
        <v>19</v>
      </c>
      <c r="AZ921">
        <v>0</v>
      </c>
      <c r="BA921">
        <v>0</v>
      </c>
      <c r="BB921">
        <v>1</v>
      </c>
      <c r="BC921" s="7">
        <v>0.32</v>
      </c>
      <c r="BD921">
        <v>30</v>
      </c>
      <c r="BE921">
        <v>0</v>
      </c>
      <c r="BF921">
        <v>0</v>
      </c>
      <c r="BG921">
        <v>0</v>
      </c>
      <c r="BH921">
        <v>5</v>
      </c>
      <c r="BI921">
        <v>2.4</v>
      </c>
      <c r="BJ921">
        <v>31</v>
      </c>
      <c r="BK921">
        <v>0</v>
      </c>
      <c r="BL921">
        <v>0</v>
      </c>
      <c r="BM921">
        <v>0</v>
      </c>
      <c r="BN921">
        <v>5</v>
      </c>
      <c r="BO921">
        <v>2.4</v>
      </c>
      <c r="BP921">
        <v>36</v>
      </c>
      <c r="BQ921">
        <v>0</v>
      </c>
      <c r="BR921">
        <v>0</v>
      </c>
      <c r="BS921">
        <v>0</v>
      </c>
      <c r="BT921">
        <v>5</v>
      </c>
      <c r="BU921">
        <v>2</v>
      </c>
    </row>
    <row r="922" spans="1:73" ht="14.25" x14ac:dyDescent="0.15">
      <c r="A922" s="12">
        <v>20319</v>
      </c>
      <c r="B922">
        <v>7</v>
      </c>
      <c r="C922" s="1">
        <v>48</v>
      </c>
      <c r="D922">
        <v>0</v>
      </c>
      <c r="E922">
        <v>0</v>
      </c>
      <c r="F922">
        <v>1</v>
      </c>
      <c r="G922" s="7">
        <v>0.05</v>
      </c>
      <c r="H922">
        <v>12</v>
      </c>
      <c r="I922">
        <v>0</v>
      </c>
      <c r="J922">
        <v>0</v>
      </c>
      <c r="K922">
        <v>0</v>
      </c>
      <c r="L922">
        <v>1</v>
      </c>
      <c r="M922">
        <v>2</v>
      </c>
      <c r="N922" s="7">
        <v>9</v>
      </c>
      <c r="O922" s="7">
        <v>0</v>
      </c>
      <c r="P922" s="7">
        <v>0</v>
      </c>
      <c r="Q922" s="7">
        <v>0</v>
      </c>
      <c r="R922" s="7">
        <v>1</v>
      </c>
      <c r="S922" s="7">
        <v>4.5</v>
      </c>
      <c r="T922">
        <v>7</v>
      </c>
      <c r="U922" s="1">
        <v>36</v>
      </c>
      <c r="V922">
        <v>0</v>
      </c>
      <c r="W922">
        <v>0</v>
      </c>
      <c r="X922">
        <v>1</v>
      </c>
      <c r="Y922">
        <v>0.16</v>
      </c>
      <c r="Z922">
        <v>23</v>
      </c>
      <c r="AA922">
        <v>0</v>
      </c>
      <c r="AB922">
        <v>0</v>
      </c>
      <c r="AC922">
        <v>0</v>
      </c>
      <c r="AD922">
        <v>1</v>
      </c>
      <c r="AE922">
        <v>0.05</v>
      </c>
      <c r="AF922">
        <v>15</v>
      </c>
      <c r="AG922">
        <v>0</v>
      </c>
      <c r="AH922">
        <v>0</v>
      </c>
      <c r="AI922">
        <v>0</v>
      </c>
      <c r="AJ922">
        <v>1</v>
      </c>
      <c r="AK922">
        <v>0.02</v>
      </c>
      <c r="AL922">
        <v>16</v>
      </c>
      <c r="AM922">
        <v>0</v>
      </c>
      <c r="AN922">
        <v>0</v>
      </c>
      <c r="AO922">
        <v>0</v>
      </c>
      <c r="AP922">
        <v>1</v>
      </c>
      <c r="AQ922">
        <v>0.01</v>
      </c>
      <c r="AX922">
        <v>7</v>
      </c>
      <c r="AY922" s="1">
        <v>20</v>
      </c>
      <c r="AZ922">
        <v>0</v>
      </c>
      <c r="BA922">
        <v>0</v>
      </c>
      <c r="BB922">
        <v>1</v>
      </c>
      <c r="BC922" s="7">
        <v>0.32</v>
      </c>
      <c r="BD922">
        <v>30</v>
      </c>
      <c r="BE922">
        <v>0</v>
      </c>
      <c r="BF922">
        <v>0</v>
      </c>
      <c r="BG922">
        <v>0</v>
      </c>
      <c r="BH922">
        <v>5</v>
      </c>
      <c r="BI922">
        <v>2.4</v>
      </c>
      <c r="BJ922">
        <v>31</v>
      </c>
      <c r="BK922">
        <v>0</v>
      </c>
      <c r="BL922">
        <v>0</v>
      </c>
      <c r="BM922">
        <v>0</v>
      </c>
      <c r="BN922">
        <v>5</v>
      </c>
      <c r="BO922">
        <v>2.4</v>
      </c>
      <c r="BP922">
        <v>36</v>
      </c>
      <c r="BQ922">
        <v>0</v>
      </c>
      <c r="BR922">
        <v>0</v>
      </c>
      <c r="BS922">
        <v>0</v>
      </c>
      <c r="BT922">
        <v>5</v>
      </c>
      <c r="BU922">
        <v>2</v>
      </c>
    </row>
    <row r="923" spans="1:73" ht="14.25" x14ac:dyDescent="0.15">
      <c r="A923" s="12">
        <v>20320</v>
      </c>
      <c r="B923">
        <v>7</v>
      </c>
      <c r="C923" s="1">
        <v>0</v>
      </c>
      <c r="D923">
        <v>5</v>
      </c>
      <c r="E923">
        <v>1</v>
      </c>
      <c r="F923">
        <v>1</v>
      </c>
      <c r="G923" s="7">
        <v>0.05</v>
      </c>
      <c r="H923">
        <v>12</v>
      </c>
      <c r="I923">
        <v>0</v>
      </c>
      <c r="J923">
        <v>0</v>
      </c>
      <c r="K923">
        <v>0</v>
      </c>
      <c r="L923">
        <v>1</v>
      </c>
      <c r="M923">
        <v>2</v>
      </c>
      <c r="N923" s="7">
        <v>9</v>
      </c>
      <c r="O923" s="7">
        <v>0</v>
      </c>
      <c r="P923" s="7">
        <v>0</v>
      </c>
      <c r="Q923" s="7">
        <v>0</v>
      </c>
      <c r="R923" s="7">
        <v>1</v>
      </c>
      <c r="S923" s="7">
        <v>4.5</v>
      </c>
      <c r="T923">
        <v>7</v>
      </c>
      <c r="U923" s="1">
        <v>0</v>
      </c>
      <c r="V923">
        <v>4</v>
      </c>
      <c r="W923">
        <v>2</v>
      </c>
      <c r="X923">
        <v>1</v>
      </c>
      <c r="Y923">
        <v>0.16</v>
      </c>
      <c r="Z923">
        <v>23</v>
      </c>
      <c r="AA923">
        <v>0</v>
      </c>
      <c r="AB923">
        <v>0</v>
      </c>
      <c r="AC923">
        <v>0</v>
      </c>
      <c r="AD923">
        <v>1</v>
      </c>
      <c r="AE923">
        <v>0.05</v>
      </c>
      <c r="AF923">
        <v>15</v>
      </c>
      <c r="AG923">
        <v>0</v>
      </c>
      <c r="AH923">
        <v>0</v>
      </c>
      <c r="AI923">
        <v>0</v>
      </c>
      <c r="AJ923">
        <v>1</v>
      </c>
      <c r="AK923">
        <v>0.02</v>
      </c>
      <c r="AL923">
        <v>16</v>
      </c>
      <c r="AM923">
        <v>0</v>
      </c>
      <c r="AN923">
        <v>0</v>
      </c>
      <c r="AO923">
        <v>0</v>
      </c>
      <c r="AP923">
        <v>1</v>
      </c>
      <c r="AQ923">
        <v>0.01</v>
      </c>
      <c r="AR923">
        <v>6</v>
      </c>
      <c r="AS923">
        <v>2</v>
      </c>
      <c r="AT923">
        <v>4</v>
      </c>
      <c r="AU923">
        <v>5</v>
      </c>
      <c r="AV923">
        <v>1</v>
      </c>
      <c r="AW923">
        <v>0.01</v>
      </c>
      <c r="AX923">
        <v>7</v>
      </c>
      <c r="AY923" s="1">
        <v>0</v>
      </c>
      <c r="AZ923">
        <v>3</v>
      </c>
      <c r="BA923">
        <v>1</v>
      </c>
      <c r="BB923">
        <v>1</v>
      </c>
      <c r="BC923" s="7">
        <v>0.32</v>
      </c>
      <c r="BD923">
        <v>30</v>
      </c>
      <c r="BE923">
        <v>0</v>
      </c>
      <c r="BF923">
        <v>0</v>
      </c>
      <c r="BG923">
        <v>0</v>
      </c>
      <c r="BH923">
        <v>5</v>
      </c>
      <c r="BI923">
        <v>2.4</v>
      </c>
      <c r="BJ923">
        <v>31</v>
      </c>
      <c r="BK923">
        <v>0</v>
      </c>
      <c r="BL923">
        <v>0</v>
      </c>
      <c r="BM923">
        <v>0</v>
      </c>
      <c r="BN923">
        <v>5</v>
      </c>
      <c r="BO923">
        <v>2.4</v>
      </c>
      <c r="BP923">
        <v>36</v>
      </c>
      <c r="BQ923">
        <v>0</v>
      </c>
      <c r="BR923">
        <v>0</v>
      </c>
      <c r="BS923">
        <v>0</v>
      </c>
      <c r="BT923">
        <v>5</v>
      </c>
      <c r="BU923">
        <v>2</v>
      </c>
    </row>
    <row r="924" spans="1:73" ht="14.25" x14ac:dyDescent="0.15">
      <c r="A924" s="12">
        <v>20321</v>
      </c>
      <c r="B924">
        <v>7</v>
      </c>
      <c r="C924" s="1">
        <v>45</v>
      </c>
      <c r="D924">
        <v>0</v>
      </c>
      <c r="E924">
        <v>0</v>
      </c>
      <c r="F924">
        <v>1</v>
      </c>
      <c r="G924" s="7">
        <v>0.05</v>
      </c>
      <c r="H924">
        <v>12</v>
      </c>
      <c r="I924">
        <v>0</v>
      </c>
      <c r="J924">
        <v>0</v>
      </c>
      <c r="K924">
        <v>0</v>
      </c>
      <c r="L924">
        <v>1</v>
      </c>
      <c r="M924">
        <v>2</v>
      </c>
      <c r="N924" s="7">
        <v>9</v>
      </c>
      <c r="O924" s="7">
        <v>0</v>
      </c>
      <c r="P924" s="7">
        <v>0</v>
      </c>
      <c r="Q924" s="7">
        <v>0</v>
      </c>
      <c r="R924" s="7">
        <v>1</v>
      </c>
      <c r="S924" s="7">
        <v>4.5</v>
      </c>
      <c r="T924">
        <v>7</v>
      </c>
      <c r="U924" s="1">
        <v>33</v>
      </c>
      <c r="V924">
        <v>0</v>
      </c>
      <c r="W924">
        <v>0</v>
      </c>
      <c r="X924">
        <v>1</v>
      </c>
      <c r="Y924">
        <v>0.16</v>
      </c>
      <c r="Z924">
        <v>23</v>
      </c>
      <c r="AA924">
        <v>0</v>
      </c>
      <c r="AB924">
        <v>0</v>
      </c>
      <c r="AC924">
        <v>0</v>
      </c>
      <c r="AD924">
        <v>1</v>
      </c>
      <c r="AE924">
        <v>0.05</v>
      </c>
      <c r="AF924">
        <v>15</v>
      </c>
      <c r="AG924">
        <v>0</v>
      </c>
      <c r="AH924">
        <v>0</v>
      </c>
      <c r="AI924">
        <v>0</v>
      </c>
      <c r="AJ924">
        <v>1</v>
      </c>
      <c r="AK924">
        <v>0.02</v>
      </c>
      <c r="AL924">
        <v>16</v>
      </c>
      <c r="AM924">
        <v>0</v>
      </c>
      <c r="AN924">
        <v>0</v>
      </c>
      <c r="AO924">
        <v>0</v>
      </c>
      <c r="AP924">
        <v>1</v>
      </c>
      <c r="AQ924">
        <v>0.01</v>
      </c>
      <c r="AX924">
        <v>7</v>
      </c>
      <c r="AY924" s="1">
        <v>17</v>
      </c>
      <c r="AZ924">
        <v>0</v>
      </c>
      <c r="BA924">
        <v>0</v>
      </c>
      <c r="BB924">
        <v>1</v>
      </c>
      <c r="BC924" s="7">
        <v>0.32</v>
      </c>
      <c r="BD924">
        <v>30</v>
      </c>
      <c r="BE924">
        <v>0</v>
      </c>
      <c r="BF924">
        <v>0</v>
      </c>
      <c r="BG924">
        <v>0</v>
      </c>
      <c r="BH924">
        <v>5</v>
      </c>
      <c r="BI924">
        <v>2.4</v>
      </c>
      <c r="BJ924">
        <v>31</v>
      </c>
      <c r="BK924">
        <v>0</v>
      </c>
      <c r="BL924">
        <v>0</v>
      </c>
      <c r="BM924">
        <v>0</v>
      </c>
      <c r="BN924">
        <v>5</v>
      </c>
      <c r="BO924">
        <v>2.4</v>
      </c>
      <c r="BP924">
        <v>36</v>
      </c>
      <c r="BQ924">
        <v>0</v>
      </c>
      <c r="BR924">
        <v>0</v>
      </c>
      <c r="BS924">
        <v>0</v>
      </c>
      <c r="BT924">
        <v>5</v>
      </c>
      <c r="BU924">
        <v>2</v>
      </c>
    </row>
    <row r="925" spans="1:73" ht="14.25" x14ac:dyDescent="0.15">
      <c r="A925" s="12">
        <v>20322</v>
      </c>
      <c r="B925">
        <v>7</v>
      </c>
      <c r="C925" s="1">
        <v>46</v>
      </c>
      <c r="D925">
        <v>0</v>
      </c>
      <c r="E925">
        <v>0</v>
      </c>
      <c r="F925">
        <v>1</v>
      </c>
      <c r="G925" s="7">
        <v>0.05</v>
      </c>
      <c r="H925">
        <v>12</v>
      </c>
      <c r="I925">
        <v>0</v>
      </c>
      <c r="J925">
        <v>0</v>
      </c>
      <c r="K925">
        <v>0</v>
      </c>
      <c r="L925">
        <v>1</v>
      </c>
      <c r="M925">
        <v>2</v>
      </c>
      <c r="N925" s="7">
        <v>9</v>
      </c>
      <c r="O925" s="7">
        <v>0</v>
      </c>
      <c r="P925" s="7">
        <v>0</v>
      </c>
      <c r="Q925" s="7">
        <v>0</v>
      </c>
      <c r="R925" s="7">
        <v>1</v>
      </c>
      <c r="S925" s="7">
        <v>4.5</v>
      </c>
      <c r="T925">
        <v>7</v>
      </c>
      <c r="U925" s="1">
        <v>34</v>
      </c>
      <c r="V925">
        <v>0</v>
      </c>
      <c r="W925">
        <v>0</v>
      </c>
      <c r="X925">
        <v>1</v>
      </c>
      <c r="Y925">
        <v>0.16</v>
      </c>
      <c r="Z925">
        <v>23</v>
      </c>
      <c r="AA925">
        <v>0</v>
      </c>
      <c r="AB925">
        <v>0</v>
      </c>
      <c r="AC925">
        <v>0</v>
      </c>
      <c r="AD925">
        <v>1</v>
      </c>
      <c r="AE925">
        <v>0.05</v>
      </c>
      <c r="AF925">
        <v>15</v>
      </c>
      <c r="AG925">
        <v>0</v>
      </c>
      <c r="AH925">
        <v>0</v>
      </c>
      <c r="AI925">
        <v>0</v>
      </c>
      <c r="AJ925">
        <v>1</v>
      </c>
      <c r="AK925">
        <v>0.02</v>
      </c>
      <c r="AL925">
        <v>16</v>
      </c>
      <c r="AM925">
        <v>0</v>
      </c>
      <c r="AN925">
        <v>0</v>
      </c>
      <c r="AO925">
        <v>0</v>
      </c>
      <c r="AP925">
        <v>1</v>
      </c>
      <c r="AQ925">
        <v>0.01</v>
      </c>
      <c r="AX925">
        <v>7</v>
      </c>
      <c r="AY925" s="1">
        <v>18</v>
      </c>
      <c r="AZ925">
        <v>0</v>
      </c>
      <c r="BA925">
        <v>0</v>
      </c>
      <c r="BB925">
        <v>1</v>
      </c>
      <c r="BC925" s="7">
        <v>0.32</v>
      </c>
      <c r="BD925">
        <v>30</v>
      </c>
      <c r="BE925">
        <v>0</v>
      </c>
      <c r="BF925">
        <v>0</v>
      </c>
      <c r="BG925">
        <v>0</v>
      </c>
      <c r="BH925">
        <v>5</v>
      </c>
      <c r="BI925">
        <v>2.4</v>
      </c>
      <c r="BJ925">
        <v>31</v>
      </c>
      <c r="BK925">
        <v>0</v>
      </c>
      <c r="BL925">
        <v>0</v>
      </c>
      <c r="BM925">
        <v>0</v>
      </c>
      <c r="BN925">
        <v>5</v>
      </c>
      <c r="BO925">
        <v>2.4</v>
      </c>
      <c r="BP925">
        <v>36</v>
      </c>
      <c r="BQ925">
        <v>0</v>
      </c>
      <c r="BR925">
        <v>0</v>
      </c>
      <c r="BS925">
        <v>0</v>
      </c>
      <c r="BT925">
        <v>5</v>
      </c>
      <c r="BU925">
        <v>2</v>
      </c>
    </row>
    <row r="926" spans="1:73" ht="14.25" x14ac:dyDescent="0.15">
      <c r="A926" s="12">
        <v>20323</v>
      </c>
      <c r="B926">
        <v>7</v>
      </c>
      <c r="C926" s="1">
        <v>47</v>
      </c>
      <c r="D926">
        <v>0</v>
      </c>
      <c r="E926">
        <v>0</v>
      </c>
      <c r="F926">
        <v>1</v>
      </c>
      <c r="G926" s="7">
        <v>0.05</v>
      </c>
      <c r="H926">
        <v>12</v>
      </c>
      <c r="I926">
        <v>0</v>
      </c>
      <c r="J926">
        <v>0</v>
      </c>
      <c r="K926">
        <v>0</v>
      </c>
      <c r="L926">
        <v>1</v>
      </c>
      <c r="M926">
        <v>2</v>
      </c>
      <c r="N926" s="7">
        <v>9</v>
      </c>
      <c r="O926" s="7">
        <v>0</v>
      </c>
      <c r="P926" s="7">
        <v>0</v>
      </c>
      <c r="Q926" s="7">
        <v>0</v>
      </c>
      <c r="R926" s="7">
        <v>1</v>
      </c>
      <c r="S926" s="7">
        <v>4.5</v>
      </c>
      <c r="T926">
        <v>7</v>
      </c>
      <c r="U926" s="1">
        <v>35</v>
      </c>
      <c r="V926">
        <v>0</v>
      </c>
      <c r="W926">
        <v>0</v>
      </c>
      <c r="X926">
        <v>1</v>
      </c>
      <c r="Y926">
        <v>0.16</v>
      </c>
      <c r="Z926">
        <v>23</v>
      </c>
      <c r="AA926">
        <v>0</v>
      </c>
      <c r="AB926">
        <v>0</v>
      </c>
      <c r="AC926">
        <v>0</v>
      </c>
      <c r="AD926">
        <v>1</v>
      </c>
      <c r="AE926">
        <v>0.05</v>
      </c>
      <c r="AF926">
        <v>15</v>
      </c>
      <c r="AG926">
        <v>0</v>
      </c>
      <c r="AH926">
        <v>0</v>
      </c>
      <c r="AI926">
        <v>0</v>
      </c>
      <c r="AJ926">
        <v>1</v>
      </c>
      <c r="AK926">
        <v>0.02</v>
      </c>
      <c r="AL926">
        <v>16</v>
      </c>
      <c r="AM926">
        <v>0</v>
      </c>
      <c r="AN926">
        <v>0</v>
      </c>
      <c r="AO926">
        <v>0</v>
      </c>
      <c r="AP926">
        <v>1</v>
      </c>
      <c r="AQ926">
        <v>0.01</v>
      </c>
      <c r="AX926">
        <v>7</v>
      </c>
      <c r="AY926" s="1">
        <v>19</v>
      </c>
      <c r="AZ926">
        <v>0</v>
      </c>
      <c r="BA926">
        <v>0</v>
      </c>
      <c r="BB926">
        <v>1</v>
      </c>
      <c r="BC926" s="7">
        <v>0.32</v>
      </c>
      <c r="BD926">
        <v>30</v>
      </c>
      <c r="BE926">
        <v>0</v>
      </c>
      <c r="BF926">
        <v>0</v>
      </c>
      <c r="BG926">
        <v>0</v>
      </c>
      <c r="BH926">
        <v>5</v>
      </c>
      <c r="BI926">
        <v>2.4</v>
      </c>
      <c r="BJ926">
        <v>31</v>
      </c>
      <c r="BK926">
        <v>0</v>
      </c>
      <c r="BL926">
        <v>0</v>
      </c>
      <c r="BM926">
        <v>0</v>
      </c>
      <c r="BN926">
        <v>5</v>
      </c>
      <c r="BO926">
        <v>2.4</v>
      </c>
      <c r="BP926">
        <v>36</v>
      </c>
      <c r="BQ926">
        <v>0</v>
      </c>
      <c r="BR926">
        <v>0</v>
      </c>
      <c r="BS926">
        <v>0</v>
      </c>
      <c r="BT926">
        <v>5</v>
      </c>
      <c r="BU926">
        <v>2</v>
      </c>
    </row>
    <row r="927" spans="1:73" ht="14.25" x14ac:dyDescent="0.15">
      <c r="A927" s="12">
        <v>20324</v>
      </c>
      <c r="B927">
        <v>7</v>
      </c>
      <c r="C927" s="1">
        <v>48</v>
      </c>
      <c r="D927">
        <v>0</v>
      </c>
      <c r="E927">
        <v>0</v>
      </c>
      <c r="F927">
        <v>1</v>
      </c>
      <c r="G927" s="7">
        <v>0.05</v>
      </c>
      <c r="H927">
        <v>12</v>
      </c>
      <c r="I927">
        <v>0</v>
      </c>
      <c r="J927">
        <v>0</v>
      </c>
      <c r="K927">
        <v>0</v>
      </c>
      <c r="L927">
        <v>1</v>
      </c>
      <c r="M927">
        <v>2</v>
      </c>
      <c r="N927" s="7">
        <v>9</v>
      </c>
      <c r="O927" s="7">
        <v>0</v>
      </c>
      <c r="P927" s="7">
        <v>0</v>
      </c>
      <c r="Q927" s="7">
        <v>0</v>
      </c>
      <c r="R927" s="7">
        <v>1</v>
      </c>
      <c r="S927" s="7">
        <v>4.5</v>
      </c>
      <c r="T927">
        <v>7</v>
      </c>
      <c r="U927" s="1">
        <v>36</v>
      </c>
      <c r="V927">
        <v>0</v>
      </c>
      <c r="W927">
        <v>0</v>
      </c>
      <c r="X927">
        <v>1</v>
      </c>
      <c r="Y927">
        <v>0.16</v>
      </c>
      <c r="Z927">
        <v>23</v>
      </c>
      <c r="AA927">
        <v>0</v>
      </c>
      <c r="AB927">
        <v>0</v>
      </c>
      <c r="AC927">
        <v>0</v>
      </c>
      <c r="AD927">
        <v>1</v>
      </c>
      <c r="AE927">
        <v>0.05</v>
      </c>
      <c r="AF927">
        <v>15</v>
      </c>
      <c r="AG927">
        <v>0</v>
      </c>
      <c r="AH927">
        <v>0</v>
      </c>
      <c r="AI927">
        <v>0</v>
      </c>
      <c r="AJ927">
        <v>1</v>
      </c>
      <c r="AK927">
        <v>0.02</v>
      </c>
      <c r="AL927">
        <v>16</v>
      </c>
      <c r="AM927">
        <v>0</v>
      </c>
      <c r="AN927">
        <v>0</v>
      </c>
      <c r="AO927">
        <v>0</v>
      </c>
      <c r="AP927">
        <v>1</v>
      </c>
      <c r="AQ927">
        <v>0.01</v>
      </c>
      <c r="AX927">
        <v>7</v>
      </c>
      <c r="AY927" s="1">
        <v>20</v>
      </c>
      <c r="AZ927">
        <v>0</v>
      </c>
      <c r="BA927">
        <v>0</v>
      </c>
      <c r="BB927">
        <v>1</v>
      </c>
      <c r="BC927" s="7">
        <v>0.32</v>
      </c>
      <c r="BD927">
        <v>30</v>
      </c>
      <c r="BE927">
        <v>0</v>
      </c>
      <c r="BF927">
        <v>0</v>
      </c>
      <c r="BG927">
        <v>0</v>
      </c>
      <c r="BH927">
        <v>5</v>
      </c>
      <c r="BI927">
        <v>2.4</v>
      </c>
      <c r="BJ927">
        <v>31</v>
      </c>
      <c r="BK927">
        <v>0</v>
      </c>
      <c r="BL927">
        <v>0</v>
      </c>
      <c r="BM927">
        <v>0</v>
      </c>
      <c r="BN927">
        <v>5</v>
      </c>
      <c r="BO927">
        <v>2.4</v>
      </c>
      <c r="BP927">
        <v>36</v>
      </c>
      <c r="BQ927">
        <v>0</v>
      </c>
      <c r="BR927">
        <v>0</v>
      </c>
      <c r="BS927">
        <v>0</v>
      </c>
      <c r="BT927">
        <v>5</v>
      </c>
      <c r="BU927">
        <v>2</v>
      </c>
    </row>
    <row r="928" spans="1:73" ht="14.25" x14ac:dyDescent="0.15">
      <c r="A928" s="12">
        <v>20325</v>
      </c>
      <c r="B928">
        <v>7</v>
      </c>
      <c r="C928" s="1">
        <v>0</v>
      </c>
      <c r="D928">
        <v>5</v>
      </c>
      <c r="E928">
        <v>1</v>
      </c>
      <c r="F928">
        <v>1</v>
      </c>
      <c r="G928" s="7">
        <v>0.05</v>
      </c>
      <c r="H928">
        <v>12</v>
      </c>
      <c r="I928">
        <v>0</v>
      </c>
      <c r="J928">
        <v>0</v>
      </c>
      <c r="K928">
        <v>0</v>
      </c>
      <c r="L928">
        <v>1</v>
      </c>
      <c r="M928">
        <v>2</v>
      </c>
      <c r="N928" s="7">
        <v>9</v>
      </c>
      <c r="O928" s="7">
        <v>0</v>
      </c>
      <c r="P928" s="7">
        <v>0</v>
      </c>
      <c r="Q928" s="7">
        <v>0</v>
      </c>
      <c r="R928" s="7">
        <v>1</v>
      </c>
      <c r="S928" s="7">
        <v>4.5</v>
      </c>
      <c r="T928">
        <v>7</v>
      </c>
      <c r="U928" s="1">
        <v>0</v>
      </c>
      <c r="V928">
        <v>4</v>
      </c>
      <c r="W928">
        <v>2</v>
      </c>
      <c r="X928">
        <v>1</v>
      </c>
      <c r="Y928">
        <v>0.16</v>
      </c>
      <c r="Z928">
        <v>23</v>
      </c>
      <c r="AA928">
        <v>0</v>
      </c>
      <c r="AB928">
        <v>0</v>
      </c>
      <c r="AC928">
        <v>0</v>
      </c>
      <c r="AD928">
        <v>1</v>
      </c>
      <c r="AE928">
        <v>0.05</v>
      </c>
      <c r="AF928">
        <v>15</v>
      </c>
      <c r="AG928">
        <v>0</v>
      </c>
      <c r="AH928">
        <v>0</v>
      </c>
      <c r="AI928">
        <v>0</v>
      </c>
      <c r="AJ928">
        <v>1</v>
      </c>
      <c r="AK928">
        <v>0.02</v>
      </c>
      <c r="AL928">
        <v>16</v>
      </c>
      <c r="AM928">
        <v>0</v>
      </c>
      <c r="AN928">
        <v>0</v>
      </c>
      <c r="AO928">
        <v>0</v>
      </c>
      <c r="AP928">
        <v>1</v>
      </c>
      <c r="AQ928">
        <v>0.01</v>
      </c>
      <c r="AR928">
        <v>6</v>
      </c>
      <c r="AS928">
        <v>2</v>
      </c>
      <c r="AT928">
        <v>5</v>
      </c>
      <c r="AU928">
        <v>5</v>
      </c>
      <c r="AV928">
        <v>1</v>
      </c>
      <c r="AW928">
        <v>0.01</v>
      </c>
      <c r="AX928">
        <v>7</v>
      </c>
      <c r="AY928" s="1">
        <v>0</v>
      </c>
      <c r="AZ928">
        <v>3</v>
      </c>
      <c r="BA928">
        <v>1</v>
      </c>
      <c r="BB928">
        <v>1</v>
      </c>
      <c r="BC928" s="7">
        <v>0.32</v>
      </c>
      <c r="BD928">
        <v>30</v>
      </c>
      <c r="BE928">
        <v>0</v>
      </c>
      <c r="BF928">
        <v>0</v>
      </c>
      <c r="BG928">
        <v>0</v>
      </c>
      <c r="BH928">
        <v>5</v>
      </c>
      <c r="BI928">
        <v>2.4</v>
      </c>
      <c r="BJ928">
        <v>31</v>
      </c>
      <c r="BK928">
        <v>0</v>
      </c>
      <c r="BL928">
        <v>0</v>
      </c>
      <c r="BM928">
        <v>0</v>
      </c>
      <c r="BN928">
        <v>5</v>
      </c>
      <c r="BO928">
        <v>2.4</v>
      </c>
      <c r="BP928">
        <v>36</v>
      </c>
      <c r="BQ928">
        <v>0</v>
      </c>
      <c r="BR928">
        <v>0</v>
      </c>
      <c r="BS928">
        <v>0</v>
      </c>
      <c r="BT928">
        <v>5</v>
      </c>
      <c r="BU928">
        <v>2</v>
      </c>
    </row>
    <row r="929" spans="1:73" ht="14.25" x14ac:dyDescent="0.15">
      <c r="A929" s="12">
        <v>20326</v>
      </c>
      <c r="B929">
        <v>7</v>
      </c>
      <c r="C929" s="1">
        <v>45</v>
      </c>
      <c r="D929">
        <v>0</v>
      </c>
      <c r="E929">
        <v>0</v>
      </c>
      <c r="F929">
        <v>1</v>
      </c>
      <c r="G929" s="7">
        <v>0.05</v>
      </c>
      <c r="H929">
        <v>12</v>
      </c>
      <c r="I929">
        <v>0</v>
      </c>
      <c r="J929">
        <v>0</v>
      </c>
      <c r="K929">
        <v>0</v>
      </c>
      <c r="L929">
        <v>1</v>
      </c>
      <c r="M929">
        <v>2</v>
      </c>
      <c r="N929" s="7">
        <v>9</v>
      </c>
      <c r="O929" s="7">
        <v>0</v>
      </c>
      <c r="P929" s="7">
        <v>0</v>
      </c>
      <c r="Q929" s="7">
        <v>0</v>
      </c>
      <c r="R929" s="7">
        <v>1</v>
      </c>
      <c r="S929" s="7">
        <v>4.5</v>
      </c>
      <c r="T929">
        <v>7</v>
      </c>
      <c r="U929" s="1">
        <v>33</v>
      </c>
      <c r="V929">
        <v>0</v>
      </c>
      <c r="W929">
        <v>0</v>
      </c>
      <c r="X929">
        <v>1</v>
      </c>
      <c r="Y929">
        <v>0.16</v>
      </c>
      <c r="Z929">
        <v>23</v>
      </c>
      <c r="AA929">
        <v>0</v>
      </c>
      <c r="AB929">
        <v>0</v>
      </c>
      <c r="AC929">
        <v>0</v>
      </c>
      <c r="AD929">
        <v>1</v>
      </c>
      <c r="AE929">
        <v>0.05</v>
      </c>
      <c r="AF929">
        <v>15</v>
      </c>
      <c r="AG929">
        <v>0</v>
      </c>
      <c r="AH929">
        <v>0</v>
      </c>
      <c r="AI929">
        <v>0</v>
      </c>
      <c r="AJ929">
        <v>1</v>
      </c>
      <c r="AK929">
        <v>0.02</v>
      </c>
      <c r="AL929">
        <v>16</v>
      </c>
      <c r="AM929">
        <v>0</v>
      </c>
      <c r="AN929">
        <v>0</v>
      </c>
      <c r="AO929">
        <v>0</v>
      </c>
      <c r="AP929">
        <v>1</v>
      </c>
      <c r="AQ929">
        <v>0.01</v>
      </c>
      <c r="AX929">
        <v>7</v>
      </c>
      <c r="AY929" s="1">
        <v>17</v>
      </c>
      <c r="AZ929">
        <v>0</v>
      </c>
      <c r="BA929">
        <v>0</v>
      </c>
      <c r="BB929">
        <v>1</v>
      </c>
      <c r="BC929" s="7">
        <v>0.32</v>
      </c>
      <c r="BD929">
        <v>30</v>
      </c>
      <c r="BE929">
        <v>0</v>
      </c>
      <c r="BF929">
        <v>0</v>
      </c>
      <c r="BG929">
        <v>0</v>
      </c>
      <c r="BH929">
        <v>5</v>
      </c>
      <c r="BI929">
        <v>2.4</v>
      </c>
      <c r="BJ929">
        <v>31</v>
      </c>
      <c r="BK929">
        <v>0</v>
      </c>
      <c r="BL929">
        <v>0</v>
      </c>
      <c r="BM929">
        <v>0</v>
      </c>
      <c r="BN929">
        <v>5</v>
      </c>
      <c r="BO929">
        <v>2.4</v>
      </c>
      <c r="BP929">
        <v>36</v>
      </c>
      <c r="BQ929">
        <v>0</v>
      </c>
      <c r="BR929">
        <v>0</v>
      </c>
      <c r="BS929">
        <v>0</v>
      </c>
      <c r="BT929">
        <v>5</v>
      </c>
      <c r="BU929">
        <v>2</v>
      </c>
    </row>
    <row r="930" spans="1:73" ht="14.25" x14ac:dyDescent="0.15">
      <c r="A930" s="12">
        <v>20327</v>
      </c>
      <c r="B930">
        <v>7</v>
      </c>
      <c r="C930" s="1">
        <v>46</v>
      </c>
      <c r="D930">
        <v>0</v>
      </c>
      <c r="E930">
        <v>0</v>
      </c>
      <c r="F930">
        <v>1</v>
      </c>
      <c r="G930" s="7">
        <v>0.05</v>
      </c>
      <c r="H930">
        <v>12</v>
      </c>
      <c r="I930">
        <v>0</v>
      </c>
      <c r="J930">
        <v>0</v>
      </c>
      <c r="K930">
        <v>0</v>
      </c>
      <c r="L930">
        <v>1</v>
      </c>
      <c r="M930">
        <v>2</v>
      </c>
      <c r="N930" s="7">
        <v>9</v>
      </c>
      <c r="O930" s="7">
        <v>0</v>
      </c>
      <c r="P930" s="7">
        <v>0</v>
      </c>
      <c r="Q930" s="7">
        <v>0</v>
      </c>
      <c r="R930" s="7">
        <v>1</v>
      </c>
      <c r="S930" s="7">
        <v>4.5</v>
      </c>
      <c r="T930">
        <v>7</v>
      </c>
      <c r="U930" s="1">
        <v>34</v>
      </c>
      <c r="V930">
        <v>0</v>
      </c>
      <c r="W930">
        <v>0</v>
      </c>
      <c r="X930">
        <v>1</v>
      </c>
      <c r="Y930">
        <v>0.16</v>
      </c>
      <c r="Z930">
        <v>23</v>
      </c>
      <c r="AA930">
        <v>0</v>
      </c>
      <c r="AB930">
        <v>0</v>
      </c>
      <c r="AC930">
        <v>0</v>
      </c>
      <c r="AD930">
        <v>1</v>
      </c>
      <c r="AE930">
        <v>0.05</v>
      </c>
      <c r="AF930">
        <v>15</v>
      </c>
      <c r="AG930">
        <v>0</v>
      </c>
      <c r="AH930">
        <v>0</v>
      </c>
      <c r="AI930">
        <v>0</v>
      </c>
      <c r="AJ930">
        <v>1</v>
      </c>
      <c r="AK930">
        <v>0.02</v>
      </c>
      <c r="AL930">
        <v>16</v>
      </c>
      <c r="AM930">
        <v>0</v>
      </c>
      <c r="AN930">
        <v>0</v>
      </c>
      <c r="AO930">
        <v>0</v>
      </c>
      <c r="AP930">
        <v>1</v>
      </c>
      <c r="AQ930">
        <v>0.01</v>
      </c>
      <c r="AX930">
        <v>7</v>
      </c>
      <c r="AY930" s="1">
        <v>18</v>
      </c>
      <c r="AZ930">
        <v>0</v>
      </c>
      <c r="BA930">
        <v>0</v>
      </c>
      <c r="BB930">
        <v>1</v>
      </c>
      <c r="BC930" s="7">
        <v>0.32</v>
      </c>
      <c r="BD930">
        <v>30</v>
      </c>
      <c r="BE930">
        <v>0</v>
      </c>
      <c r="BF930">
        <v>0</v>
      </c>
      <c r="BG930">
        <v>0</v>
      </c>
      <c r="BH930">
        <v>5</v>
      </c>
      <c r="BI930">
        <v>2.4</v>
      </c>
      <c r="BJ930">
        <v>31</v>
      </c>
      <c r="BK930">
        <v>0</v>
      </c>
      <c r="BL930">
        <v>0</v>
      </c>
      <c r="BM930">
        <v>0</v>
      </c>
      <c r="BN930">
        <v>5</v>
      </c>
      <c r="BO930">
        <v>2.4</v>
      </c>
      <c r="BP930">
        <v>36</v>
      </c>
      <c r="BQ930">
        <v>0</v>
      </c>
      <c r="BR930">
        <v>0</v>
      </c>
      <c r="BS930">
        <v>0</v>
      </c>
      <c r="BT930">
        <v>5</v>
      </c>
      <c r="BU930">
        <v>2</v>
      </c>
    </row>
    <row r="931" spans="1:73" ht="14.25" x14ac:dyDescent="0.15">
      <c r="A931" s="12">
        <v>20328</v>
      </c>
      <c r="B931">
        <v>7</v>
      </c>
      <c r="C931" s="1">
        <v>47</v>
      </c>
      <c r="D931">
        <v>0</v>
      </c>
      <c r="E931">
        <v>0</v>
      </c>
      <c r="F931">
        <v>1</v>
      </c>
      <c r="G931" s="7">
        <v>0.05</v>
      </c>
      <c r="H931">
        <v>12</v>
      </c>
      <c r="I931">
        <v>0</v>
      </c>
      <c r="J931">
        <v>0</v>
      </c>
      <c r="K931">
        <v>0</v>
      </c>
      <c r="L931">
        <v>1</v>
      </c>
      <c r="M931">
        <v>2</v>
      </c>
      <c r="N931" s="7">
        <v>9</v>
      </c>
      <c r="O931" s="7">
        <v>0</v>
      </c>
      <c r="P931" s="7">
        <v>0</v>
      </c>
      <c r="Q931" s="7">
        <v>0</v>
      </c>
      <c r="R931" s="7">
        <v>1</v>
      </c>
      <c r="S931" s="7">
        <v>4.5</v>
      </c>
      <c r="T931">
        <v>7</v>
      </c>
      <c r="U931" s="1">
        <v>35</v>
      </c>
      <c r="V931">
        <v>0</v>
      </c>
      <c r="W931">
        <v>0</v>
      </c>
      <c r="X931">
        <v>1</v>
      </c>
      <c r="Y931">
        <v>0.16</v>
      </c>
      <c r="Z931">
        <v>23</v>
      </c>
      <c r="AA931">
        <v>0</v>
      </c>
      <c r="AB931">
        <v>0</v>
      </c>
      <c r="AC931">
        <v>0</v>
      </c>
      <c r="AD931">
        <v>1</v>
      </c>
      <c r="AE931">
        <v>0.05</v>
      </c>
      <c r="AF931">
        <v>15</v>
      </c>
      <c r="AG931">
        <v>0</v>
      </c>
      <c r="AH931">
        <v>0</v>
      </c>
      <c r="AI931">
        <v>0</v>
      </c>
      <c r="AJ931">
        <v>1</v>
      </c>
      <c r="AK931">
        <v>0.02</v>
      </c>
      <c r="AL931">
        <v>16</v>
      </c>
      <c r="AM931">
        <v>0</v>
      </c>
      <c r="AN931">
        <v>0</v>
      </c>
      <c r="AO931">
        <v>0</v>
      </c>
      <c r="AP931">
        <v>1</v>
      </c>
      <c r="AQ931">
        <v>0.01</v>
      </c>
      <c r="AX931">
        <v>7</v>
      </c>
      <c r="AY931" s="1">
        <v>19</v>
      </c>
      <c r="AZ931">
        <v>0</v>
      </c>
      <c r="BA931">
        <v>0</v>
      </c>
      <c r="BB931">
        <v>1</v>
      </c>
      <c r="BC931" s="7">
        <v>0.32</v>
      </c>
      <c r="BD931">
        <v>30</v>
      </c>
      <c r="BE931">
        <v>0</v>
      </c>
      <c r="BF931">
        <v>0</v>
      </c>
      <c r="BG931">
        <v>0</v>
      </c>
      <c r="BH931">
        <v>5</v>
      </c>
      <c r="BI931">
        <v>2.4</v>
      </c>
      <c r="BJ931">
        <v>31</v>
      </c>
      <c r="BK931">
        <v>0</v>
      </c>
      <c r="BL931">
        <v>0</v>
      </c>
      <c r="BM931">
        <v>0</v>
      </c>
      <c r="BN931">
        <v>5</v>
      </c>
      <c r="BO931">
        <v>2.4</v>
      </c>
      <c r="BP931">
        <v>36</v>
      </c>
      <c r="BQ931">
        <v>0</v>
      </c>
      <c r="BR931">
        <v>0</v>
      </c>
      <c r="BS931">
        <v>0</v>
      </c>
      <c r="BT931">
        <v>5</v>
      </c>
      <c r="BU931">
        <v>2</v>
      </c>
    </row>
    <row r="932" spans="1:73" ht="14.25" x14ac:dyDescent="0.15">
      <c r="A932" s="12">
        <v>20329</v>
      </c>
      <c r="B932">
        <v>7</v>
      </c>
      <c r="C932" s="1">
        <v>48</v>
      </c>
      <c r="D932">
        <v>0</v>
      </c>
      <c r="E932">
        <v>0</v>
      </c>
      <c r="F932">
        <v>1</v>
      </c>
      <c r="G932" s="7">
        <v>0.05</v>
      </c>
      <c r="H932">
        <v>12</v>
      </c>
      <c r="I932">
        <v>0</v>
      </c>
      <c r="J932">
        <v>0</v>
      </c>
      <c r="K932">
        <v>0</v>
      </c>
      <c r="L932">
        <v>1</v>
      </c>
      <c r="M932">
        <v>2</v>
      </c>
      <c r="N932" s="7">
        <v>9</v>
      </c>
      <c r="O932" s="7">
        <v>0</v>
      </c>
      <c r="P932" s="7">
        <v>0</v>
      </c>
      <c r="Q932" s="7">
        <v>0</v>
      </c>
      <c r="R932" s="7">
        <v>1</v>
      </c>
      <c r="S932" s="7">
        <v>4.5</v>
      </c>
      <c r="T932">
        <v>7</v>
      </c>
      <c r="U932" s="1">
        <v>36</v>
      </c>
      <c r="V932">
        <v>0</v>
      </c>
      <c r="W932">
        <v>0</v>
      </c>
      <c r="X932">
        <v>1</v>
      </c>
      <c r="Y932">
        <v>0.16</v>
      </c>
      <c r="Z932">
        <v>23</v>
      </c>
      <c r="AA932">
        <v>0</v>
      </c>
      <c r="AB932">
        <v>0</v>
      </c>
      <c r="AC932">
        <v>0</v>
      </c>
      <c r="AD932">
        <v>1</v>
      </c>
      <c r="AE932">
        <v>0.05</v>
      </c>
      <c r="AF932">
        <v>15</v>
      </c>
      <c r="AG932">
        <v>0</v>
      </c>
      <c r="AH932">
        <v>0</v>
      </c>
      <c r="AI932">
        <v>0</v>
      </c>
      <c r="AJ932">
        <v>1</v>
      </c>
      <c r="AK932">
        <v>0.02</v>
      </c>
      <c r="AL932">
        <v>16</v>
      </c>
      <c r="AM932">
        <v>0</v>
      </c>
      <c r="AN932">
        <v>0</v>
      </c>
      <c r="AO932">
        <v>0</v>
      </c>
      <c r="AP932">
        <v>1</v>
      </c>
      <c r="AQ932">
        <v>0.01</v>
      </c>
      <c r="AX932">
        <v>7</v>
      </c>
      <c r="AY932" s="1">
        <v>20</v>
      </c>
      <c r="AZ932">
        <v>0</v>
      </c>
      <c r="BA932">
        <v>0</v>
      </c>
      <c r="BB932">
        <v>1</v>
      </c>
      <c r="BC932" s="7">
        <v>0.32</v>
      </c>
      <c r="BD932">
        <v>30</v>
      </c>
      <c r="BE932">
        <v>0</v>
      </c>
      <c r="BF932">
        <v>0</v>
      </c>
      <c r="BG932">
        <v>0</v>
      </c>
      <c r="BH932">
        <v>5</v>
      </c>
      <c r="BI932">
        <v>2.4</v>
      </c>
      <c r="BJ932">
        <v>31</v>
      </c>
      <c r="BK932">
        <v>0</v>
      </c>
      <c r="BL932">
        <v>0</v>
      </c>
      <c r="BM932">
        <v>0</v>
      </c>
      <c r="BN932">
        <v>5</v>
      </c>
      <c r="BO932">
        <v>2.4</v>
      </c>
      <c r="BP932">
        <v>36</v>
      </c>
      <c r="BQ932">
        <v>0</v>
      </c>
      <c r="BR932">
        <v>0</v>
      </c>
      <c r="BS932">
        <v>0</v>
      </c>
      <c r="BT932">
        <v>5</v>
      </c>
      <c r="BU932">
        <v>2</v>
      </c>
    </row>
    <row r="933" spans="1:73" ht="14.25" x14ac:dyDescent="0.15">
      <c r="A933" s="12">
        <v>20330</v>
      </c>
      <c r="B933">
        <v>7</v>
      </c>
      <c r="C933" s="1">
        <v>0</v>
      </c>
      <c r="D933">
        <v>5</v>
      </c>
      <c r="E933">
        <v>1</v>
      </c>
      <c r="F933">
        <v>1</v>
      </c>
      <c r="G933" s="7">
        <v>0.05</v>
      </c>
      <c r="H933">
        <v>12</v>
      </c>
      <c r="I933">
        <v>0</v>
      </c>
      <c r="J933">
        <v>0</v>
      </c>
      <c r="K933">
        <v>0</v>
      </c>
      <c r="L933">
        <v>1</v>
      </c>
      <c r="M933">
        <v>2</v>
      </c>
      <c r="N933" s="7">
        <v>9</v>
      </c>
      <c r="O933" s="7">
        <v>0</v>
      </c>
      <c r="P933" s="7">
        <v>0</v>
      </c>
      <c r="Q933" s="7">
        <v>0</v>
      </c>
      <c r="R933" s="7">
        <v>1</v>
      </c>
      <c r="S933" s="7">
        <v>4.5</v>
      </c>
      <c r="T933">
        <v>7</v>
      </c>
      <c r="U933" s="1">
        <v>0</v>
      </c>
      <c r="V933">
        <v>4</v>
      </c>
      <c r="W933">
        <v>2</v>
      </c>
      <c r="X933">
        <v>1</v>
      </c>
      <c r="Y933">
        <v>0.16</v>
      </c>
      <c r="Z933">
        <v>23</v>
      </c>
      <c r="AA933">
        <v>0</v>
      </c>
      <c r="AB933">
        <v>0</v>
      </c>
      <c r="AC933">
        <v>0</v>
      </c>
      <c r="AD933">
        <v>1</v>
      </c>
      <c r="AE933">
        <v>0.05</v>
      </c>
      <c r="AF933">
        <v>15</v>
      </c>
      <c r="AG933">
        <v>0</v>
      </c>
      <c r="AH933">
        <v>0</v>
      </c>
      <c r="AI933">
        <v>0</v>
      </c>
      <c r="AJ933">
        <v>1</v>
      </c>
      <c r="AK933">
        <v>0.02</v>
      </c>
      <c r="AL933">
        <v>16</v>
      </c>
      <c r="AM933">
        <v>0</v>
      </c>
      <c r="AN933">
        <v>0</v>
      </c>
      <c r="AO933">
        <v>0</v>
      </c>
      <c r="AP933">
        <v>1</v>
      </c>
      <c r="AQ933">
        <v>0.01</v>
      </c>
      <c r="AR933">
        <v>6</v>
      </c>
      <c r="AS933">
        <v>2</v>
      </c>
      <c r="AT933">
        <v>1</v>
      </c>
      <c r="AU933">
        <v>5</v>
      </c>
      <c r="AV933">
        <v>1</v>
      </c>
      <c r="AW933">
        <v>0.05</v>
      </c>
      <c r="AX933">
        <v>7</v>
      </c>
      <c r="AY933" s="1">
        <v>0</v>
      </c>
      <c r="AZ933">
        <v>3</v>
      </c>
      <c r="BA933">
        <v>1</v>
      </c>
      <c r="BB933">
        <v>1</v>
      </c>
      <c r="BC933" s="7">
        <v>0.32</v>
      </c>
      <c r="BD933">
        <v>30</v>
      </c>
      <c r="BE933">
        <v>0</v>
      </c>
      <c r="BF933">
        <v>0</v>
      </c>
      <c r="BG933">
        <v>0</v>
      </c>
      <c r="BH933">
        <v>5</v>
      </c>
      <c r="BI933">
        <v>2.4</v>
      </c>
      <c r="BJ933">
        <v>31</v>
      </c>
      <c r="BK933">
        <v>0</v>
      </c>
      <c r="BL933">
        <v>0</v>
      </c>
      <c r="BM933">
        <v>0</v>
      </c>
      <c r="BN933">
        <v>5</v>
      </c>
      <c r="BO933">
        <v>2.4</v>
      </c>
      <c r="BP933">
        <v>36</v>
      </c>
      <c r="BQ933">
        <v>0</v>
      </c>
      <c r="BR933">
        <v>0</v>
      </c>
      <c r="BS933">
        <v>0</v>
      </c>
      <c r="BT933">
        <v>5</v>
      </c>
      <c r="BU933">
        <v>2</v>
      </c>
    </row>
    <row r="934" spans="1:73" ht="14.25" x14ac:dyDescent="0.15">
      <c r="A934" s="12">
        <v>20331</v>
      </c>
      <c r="B934">
        <v>7</v>
      </c>
      <c r="C934" s="1">
        <v>45</v>
      </c>
      <c r="D934">
        <v>0</v>
      </c>
      <c r="E934">
        <v>0</v>
      </c>
      <c r="F934">
        <v>1</v>
      </c>
      <c r="G934" s="7">
        <v>0.05</v>
      </c>
      <c r="H934">
        <v>12</v>
      </c>
      <c r="I934">
        <v>0</v>
      </c>
      <c r="J934">
        <v>0</v>
      </c>
      <c r="K934">
        <v>0</v>
      </c>
      <c r="L934">
        <v>1</v>
      </c>
      <c r="M934">
        <v>2</v>
      </c>
      <c r="N934" s="7">
        <v>9</v>
      </c>
      <c r="O934" s="7">
        <v>0</v>
      </c>
      <c r="P934" s="7">
        <v>0</v>
      </c>
      <c r="Q934" s="7">
        <v>0</v>
      </c>
      <c r="R934" s="7">
        <v>1</v>
      </c>
      <c r="S934" s="7">
        <v>4.5</v>
      </c>
      <c r="T934">
        <v>7</v>
      </c>
      <c r="U934" s="1">
        <v>33</v>
      </c>
      <c r="V934">
        <v>0</v>
      </c>
      <c r="W934">
        <v>0</v>
      </c>
      <c r="X934">
        <v>1</v>
      </c>
      <c r="Y934">
        <v>0.16</v>
      </c>
      <c r="Z934">
        <v>23</v>
      </c>
      <c r="AA934">
        <v>0</v>
      </c>
      <c r="AB934">
        <v>0</v>
      </c>
      <c r="AC934">
        <v>0</v>
      </c>
      <c r="AD934">
        <v>1</v>
      </c>
      <c r="AE934">
        <v>0.05</v>
      </c>
      <c r="AF934">
        <v>15</v>
      </c>
      <c r="AG934">
        <v>0</v>
      </c>
      <c r="AH934">
        <v>0</v>
      </c>
      <c r="AI934">
        <v>0</v>
      </c>
      <c r="AJ934">
        <v>1</v>
      </c>
      <c r="AK934">
        <v>0.02</v>
      </c>
      <c r="AL934">
        <v>16</v>
      </c>
      <c r="AM934">
        <v>0</v>
      </c>
      <c r="AN934">
        <v>0</v>
      </c>
      <c r="AO934">
        <v>0</v>
      </c>
      <c r="AP934">
        <v>1</v>
      </c>
      <c r="AQ934">
        <v>0.01</v>
      </c>
      <c r="AX934">
        <v>7</v>
      </c>
      <c r="AY934" s="1">
        <v>17</v>
      </c>
      <c r="AZ934">
        <v>0</v>
      </c>
      <c r="BA934">
        <v>0</v>
      </c>
      <c r="BB934">
        <v>1</v>
      </c>
      <c r="BC934" s="7">
        <v>0.32</v>
      </c>
      <c r="BD934">
        <v>30</v>
      </c>
      <c r="BE934">
        <v>0</v>
      </c>
      <c r="BF934">
        <v>0</v>
      </c>
      <c r="BG934">
        <v>0</v>
      </c>
      <c r="BH934">
        <v>5</v>
      </c>
      <c r="BI934">
        <v>2.4</v>
      </c>
      <c r="BJ934">
        <v>31</v>
      </c>
      <c r="BK934">
        <v>0</v>
      </c>
      <c r="BL934">
        <v>0</v>
      </c>
      <c r="BM934">
        <v>0</v>
      </c>
      <c r="BN934">
        <v>5</v>
      </c>
      <c r="BO934">
        <v>2.4</v>
      </c>
      <c r="BP934">
        <v>36</v>
      </c>
      <c r="BQ934">
        <v>0</v>
      </c>
      <c r="BR934">
        <v>0</v>
      </c>
      <c r="BS934">
        <v>0</v>
      </c>
      <c r="BT934">
        <v>5</v>
      </c>
      <c r="BU934">
        <v>2</v>
      </c>
    </row>
    <row r="935" spans="1:73" ht="14.25" x14ac:dyDescent="0.15">
      <c r="A935" s="12">
        <v>20332</v>
      </c>
      <c r="B935">
        <v>7</v>
      </c>
      <c r="C935" s="1">
        <v>46</v>
      </c>
      <c r="D935">
        <v>0</v>
      </c>
      <c r="E935">
        <v>0</v>
      </c>
      <c r="F935">
        <v>1</v>
      </c>
      <c r="G935" s="7">
        <v>0.05</v>
      </c>
      <c r="H935">
        <v>12</v>
      </c>
      <c r="I935">
        <v>0</v>
      </c>
      <c r="J935">
        <v>0</v>
      </c>
      <c r="K935">
        <v>0</v>
      </c>
      <c r="L935">
        <v>1</v>
      </c>
      <c r="M935">
        <v>2</v>
      </c>
      <c r="N935" s="7">
        <v>9</v>
      </c>
      <c r="O935" s="7">
        <v>0</v>
      </c>
      <c r="P935" s="7">
        <v>0</v>
      </c>
      <c r="Q935" s="7">
        <v>0</v>
      </c>
      <c r="R935" s="7">
        <v>1</v>
      </c>
      <c r="S935" s="7">
        <v>4.5</v>
      </c>
      <c r="T935">
        <v>7</v>
      </c>
      <c r="U935" s="1">
        <v>34</v>
      </c>
      <c r="V935">
        <v>0</v>
      </c>
      <c r="W935">
        <v>0</v>
      </c>
      <c r="X935">
        <v>1</v>
      </c>
      <c r="Y935">
        <v>0.16</v>
      </c>
      <c r="Z935">
        <v>23</v>
      </c>
      <c r="AA935">
        <v>0</v>
      </c>
      <c r="AB935">
        <v>0</v>
      </c>
      <c r="AC935">
        <v>0</v>
      </c>
      <c r="AD935">
        <v>1</v>
      </c>
      <c r="AE935">
        <v>0.05</v>
      </c>
      <c r="AF935">
        <v>15</v>
      </c>
      <c r="AG935">
        <v>0</v>
      </c>
      <c r="AH935">
        <v>0</v>
      </c>
      <c r="AI935">
        <v>0</v>
      </c>
      <c r="AJ935">
        <v>1</v>
      </c>
      <c r="AK935">
        <v>0.02</v>
      </c>
      <c r="AL935">
        <v>16</v>
      </c>
      <c r="AM935">
        <v>0</v>
      </c>
      <c r="AN935">
        <v>0</v>
      </c>
      <c r="AO935">
        <v>0</v>
      </c>
      <c r="AP935">
        <v>1</v>
      </c>
      <c r="AQ935">
        <v>0.01</v>
      </c>
      <c r="AX935">
        <v>7</v>
      </c>
      <c r="AY935" s="1">
        <v>18</v>
      </c>
      <c r="AZ935">
        <v>0</v>
      </c>
      <c r="BA935">
        <v>0</v>
      </c>
      <c r="BB935">
        <v>1</v>
      </c>
      <c r="BC935" s="7">
        <v>0.32</v>
      </c>
      <c r="BD935">
        <v>30</v>
      </c>
      <c r="BE935">
        <v>0</v>
      </c>
      <c r="BF935">
        <v>0</v>
      </c>
      <c r="BG935">
        <v>0</v>
      </c>
      <c r="BH935">
        <v>5</v>
      </c>
      <c r="BI935">
        <v>2.4</v>
      </c>
      <c r="BJ935">
        <v>31</v>
      </c>
      <c r="BK935">
        <v>0</v>
      </c>
      <c r="BL935">
        <v>0</v>
      </c>
      <c r="BM935">
        <v>0</v>
      </c>
      <c r="BN935">
        <v>5</v>
      </c>
      <c r="BO935">
        <v>2.4</v>
      </c>
      <c r="BP935">
        <v>36</v>
      </c>
      <c r="BQ935">
        <v>0</v>
      </c>
      <c r="BR935">
        <v>0</v>
      </c>
      <c r="BS935">
        <v>0</v>
      </c>
      <c r="BT935">
        <v>5</v>
      </c>
      <c r="BU935">
        <v>2</v>
      </c>
    </row>
    <row r="936" spans="1:73" ht="14.25" x14ac:dyDescent="0.15">
      <c r="A936" s="12">
        <v>20333</v>
      </c>
      <c r="B936">
        <v>7</v>
      </c>
      <c r="C936" s="1">
        <v>47</v>
      </c>
      <c r="D936">
        <v>0</v>
      </c>
      <c r="E936">
        <v>0</v>
      </c>
      <c r="F936">
        <v>1</v>
      </c>
      <c r="G936" s="7">
        <v>0.05</v>
      </c>
      <c r="H936">
        <v>12</v>
      </c>
      <c r="I936">
        <v>0</v>
      </c>
      <c r="J936">
        <v>0</v>
      </c>
      <c r="K936">
        <v>0</v>
      </c>
      <c r="L936">
        <v>1</v>
      </c>
      <c r="M936">
        <v>2</v>
      </c>
      <c r="N936" s="7">
        <v>9</v>
      </c>
      <c r="O936" s="7">
        <v>0</v>
      </c>
      <c r="P936" s="7">
        <v>0</v>
      </c>
      <c r="Q936" s="7">
        <v>0</v>
      </c>
      <c r="R936" s="7">
        <v>1</v>
      </c>
      <c r="S936" s="7">
        <v>4.5</v>
      </c>
      <c r="T936">
        <v>7</v>
      </c>
      <c r="U936" s="1">
        <v>35</v>
      </c>
      <c r="V936">
        <v>0</v>
      </c>
      <c r="W936">
        <v>0</v>
      </c>
      <c r="X936">
        <v>1</v>
      </c>
      <c r="Y936">
        <v>0.16</v>
      </c>
      <c r="Z936">
        <v>23</v>
      </c>
      <c r="AA936">
        <v>0</v>
      </c>
      <c r="AB936">
        <v>0</v>
      </c>
      <c r="AC936">
        <v>0</v>
      </c>
      <c r="AD936">
        <v>1</v>
      </c>
      <c r="AE936">
        <v>0.05</v>
      </c>
      <c r="AF936">
        <v>15</v>
      </c>
      <c r="AG936">
        <v>0</v>
      </c>
      <c r="AH936">
        <v>0</v>
      </c>
      <c r="AI936">
        <v>0</v>
      </c>
      <c r="AJ936">
        <v>1</v>
      </c>
      <c r="AK936">
        <v>0.02</v>
      </c>
      <c r="AL936">
        <v>16</v>
      </c>
      <c r="AM936">
        <v>0</v>
      </c>
      <c r="AN936">
        <v>0</v>
      </c>
      <c r="AO936">
        <v>0</v>
      </c>
      <c r="AP936">
        <v>1</v>
      </c>
      <c r="AQ936">
        <v>0.01</v>
      </c>
      <c r="AX936">
        <v>7</v>
      </c>
      <c r="AY936" s="1">
        <v>19</v>
      </c>
      <c r="AZ936">
        <v>0</v>
      </c>
      <c r="BA936">
        <v>0</v>
      </c>
      <c r="BB936">
        <v>1</v>
      </c>
      <c r="BC936" s="7">
        <v>0.32</v>
      </c>
      <c r="BD936">
        <v>30</v>
      </c>
      <c r="BE936">
        <v>0</v>
      </c>
      <c r="BF936">
        <v>0</v>
      </c>
      <c r="BG936">
        <v>0</v>
      </c>
      <c r="BH936">
        <v>5</v>
      </c>
      <c r="BI936">
        <v>2.4</v>
      </c>
      <c r="BJ936">
        <v>31</v>
      </c>
      <c r="BK936">
        <v>0</v>
      </c>
      <c r="BL936">
        <v>0</v>
      </c>
      <c r="BM936">
        <v>0</v>
      </c>
      <c r="BN936">
        <v>5</v>
      </c>
      <c r="BO936">
        <v>2.4</v>
      </c>
      <c r="BP936">
        <v>36</v>
      </c>
      <c r="BQ936">
        <v>0</v>
      </c>
      <c r="BR936">
        <v>0</v>
      </c>
      <c r="BS936">
        <v>0</v>
      </c>
      <c r="BT936">
        <v>5</v>
      </c>
      <c r="BU936">
        <v>2</v>
      </c>
    </row>
    <row r="937" spans="1:73" ht="14.25" x14ac:dyDescent="0.15">
      <c r="A937" s="12">
        <v>20334</v>
      </c>
      <c r="B937">
        <v>7</v>
      </c>
      <c r="C937" s="1">
        <v>48</v>
      </c>
      <c r="D937">
        <v>0</v>
      </c>
      <c r="E937">
        <v>0</v>
      </c>
      <c r="F937">
        <v>1</v>
      </c>
      <c r="G937" s="7">
        <v>0.05</v>
      </c>
      <c r="H937">
        <v>12</v>
      </c>
      <c r="I937">
        <v>0</v>
      </c>
      <c r="J937">
        <v>0</v>
      </c>
      <c r="K937">
        <v>0</v>
      </c>
      <c r="L937">
        <v>1</v>
      </c>
      <c r="M937">
        <v>2</v>
      </c>
      <c r="N937" s="7">
        <v>9</v>
      </c>
      <c r="O937" s="7">
        <v>0</v>
      </c>
      <c r="P937" s="7">
        <v>0</v>
      </c>
      <c r="Q937" s="7">
        <v>0</v>
      </c>
      <c r="R937" s="7">
        <v>1</v>
      </c>
      <c r="S937" s="7">
        <v>4.5</v>
      </c>
      <c r="T937">
        <v>7</v>
      </c>
      <c r="U937" s="1">
        <v>36</v>
      </c>
      <c r="V937">
        <v>0</v>
      </c>
      <c r="W937">
        <v>0</v>
      </c>
      <c r="X937">
        <v>1</v>
      </c>
      <c r="Y937">
        <v>0.16</v>
      </c>
      <c r="Z937">
        <v>23</v>
      </c>
      <c r="AA937">
        <v>0</v>
      </c>
      <c r="AB937">
        <v>0</v>
      </c>
      <c r="AC937">
        <v>0</v>
      </c>
      <c r="AD937">
        <v>1</v>
      </c>
      <c r="AE937">
        <v>0.05</v>
      </c>
      <c r="AF937">
        <v>15</v>
      </c>
      <c r="AG937">
        <v>0</v>
      </c>
      <c r="AH937">
        <v>0</v>
      </c>
      <c r="AI937">
        <v>0</v>
      </c>
      <c r="AJ937">
        <v>1</v>
      </c>
      <c r="AK937">
        <v>0.02</v>
      </c>
      <c r="AL937">
        <v>16</v>
      </c>
      <c r="AM937">
        <v>0</v>
      </c>
      <c r="AN937">
        <v>0</v>
      </c>
      <c r="AO937">
        <v>0</v>
      </c>
      <c r="AP937">
        <v>1</v>
      </c>
      <c r="AQ937">
        <v>0.01</v>
      </c>
      <c r="AX937">
        <v>7</v>
      </c>
      <c r="AY937" s="1">
        <v>20</v>
      </c>
      <c r="AZ937">
        <v>0</v>
      </c>
      <c r="BA937">
        <v>0</v>
      </c>
      <c r="BB937">
        <v>1</v>
      </c>
      <c r="BC937" s="7">
        <v>0.32</v>
      </c>
      <c r="BD937">
        <v>30</v>
      </c>
      <c r="BE937">
        <v>0</v>
      </c>
      <c r="BF937">
        <v>0</v>
      </c>
      <c r="BG937">
        <v>0</v>
      </c>
      <c r="BH937">
        <v>5</v>
      </c>
      <c r="BI937">
        <v>2.4</v>
      </c>
      <c r="BJ937">
        <v>31</v>
      </c>
      <c r="BK937">
        <v>0</v>
      </c>
      <c r="BL937">
        <v>0</v>
      </c>
      <c r="BM937">
        <v>0</v>
      </c>
      <c r="BN937">
        <v>5</v>
      </c>
      <c r="BO937">
        <v>2.4</v>
      </c>
      <c r="BP937">
        <v>36</v>
      </c>
      <c r="BQ937">
        <v>0</v>
      </c>
      <c r="BR937">
        <v>0</v>
      </c>
      <c r="BS937">
        <v>0</v>
      </c>
      <c r="BT937">
        <v>5</v>
      </c>
      <c r="BU937">
        <v>2</v>
      </c>
    </row>
    <row r="938" spans="1:73" ht="14.25" x14ac:dyDescent="0.15">
      <c r="A938" s="12">
        <v>20335</v>
      </c>
      <c r="B938">
        <v>7</v>
      </c>
      <c r="C938" s="1">
        <v>0</v>
      </c>
      <c r="D938">
        <v>5</v>
      </c>
      <c r="E938">
        <v>1</v>
      </c>
      <c r="F938">
        <v>1</v>
      </c>
      <c r="G938" s="7">
        <v>0.05</v>
      </c>
      <c r="H938">
        <v>12</v>
      </c>
      <c r="I938">
        <v>0</v>
      </c>
      <c r="J938">
        <v>0</v>
      </c>
      <c r="K938">
        <v>0</v>
      </c>
      <c r="L938">
        <v>1</v>
      </c>
      <c r="M938">
        <v>2</v>
      </c>
      <c r="N938" s="7">
        <v>9</v>
      </c>
      <c r="O938" s="7">
        <v>0</v>
      </c>
      <c r="P938" s="7">
        <v>0</v>
      </c>
      <c r="Q938" s="7">
        <v>0</v>
      </c>
      <c r="R938" s="7">
        <v>1</v>
      </c>
      <c r="S938" s="7">
        <v>4.5</v>
      </c>
      <c r="T938">
        <v>7</v>
      </c>
      <c r="U938" s="1">
        <v>0</v>
      </c>
      <c r="V938">
        <v>4</v>
      </c>
      <c r="W938">
        <v>2</v>
      </c>
      <c r="X938">
        <v>1</v>
      </c>
      <c r="Y938">
        <v>0.16</v>
      </c>
      <c r="Z938">
        <v>23</v>
      </c>
      <c r="AA938">
        <v>0</v>
      </c>
      <c r="AB938">
        <v>0</v>
      </c>
      <c r="AC938">
        <v>0</v>
      </c>
      <c r="AD938">
        <v>1</v>
      </c>
      <c r="AE938">
        <v>0.05</v>
      </c>
      <c r="AF938">
        <v>15</v>
      </c>
      <c r="AG938">
        <v>0</v>
      </c>
      <c r="AH938">
        <v>0</v>
      </c>
      <c r="AI938">
        <v>0</v>
      </c>
      <c r="AJ938">
        <v>1</v>
      </c>
      <c r="AK938">
        <v>0.02</v>
      </c>
      <c r="AL938">
        <v>16</v>
      </c>
      <c r="AM938">
        <v>0</v>
      </c>
      <c r="AN938">
        <v>0</v>
      </c>
      <c r="AO938">
        <v>0</v>
      </c>
      <c r="AP938">
        <v>1</v>
      </c>
      <c r="AQ938">
        <v>0.01</v>
      </c>
      <c r="AR938">
        <v>6</v>
      </c>
      <c r="AS938">
        <v>2</v>
      </c>
      <c r="AT938">
        <v>2</v>
      </c>
      <c r="AU938">
        <v>5</v>
      </c>
      <c r="AV938">
        <v>1</v>
      </c>
      <c r="AW938">
        <v>0.05</v>
      </c>
      <c r="AX938">
        <v>7</v>
      </c>
      <c r="AY938" s="1">
        <v>0</v>
      </c>
      <c r="AZ938">
        <v>3</v>
      </c>
      <c r="BA938">
        <v>1</v>
      </c>
      <c r="BB938">
        <v>1</v>
      </c>
      <c r="BC938" s="7">
        <v>0.32</v>
      </c>
      <c r="BD938">
        <v>30</v>
      </c>
      <c r="BE938">
        <v>0</v>
      </c>
      <c r="BF938">
        <v>0</v>
      </c>
      <c r="BG938">
        <v>0</v>
      </c>
      <c r="BH938">
        <v>5</v>
      </c>
      <c r="BI938">
        <v>2.4</v>
      </c>
      <c r="BJ938">
        <v>31</v>
      </c>
      <c r="BK938">
        <v>0</v>
      </c>
      <c r="BL938">
        <v>0</v>
      </c>
      <c r="BM938">
        <v>0</v>
      </c>
      <c r="BN938">
        <v>5</v>
      </c>
      <c r="BO938">
        <v>2.4</v>
      </c>
      <c r="BP938">
        <v>36</v>
      </c>
      <c r="BQ938">
        <v>0</v>
      </c>
      <c r="BR938">
        <v>0</v>
      </c>
      <c r="BS938">
        <v>0</v>
      </c>
      <c r="BT938">
        <v>5</v>
      </c>
      <c r="BU938">
        <v>2</v>
      </c>
    </row>
    <row r="939" spans="1:73" ht="14.25" x14ac:dyDescent="0.15">
      <c r="A939" s="12">
        <v>20336</v>
      </c>
      <c r="B939">
        <v>7</v>
      </c>
      <c r="C939" s="1">
        <v>45</v>
      </c>
      <c r="D939">
        <v>0</v>
      </c>
      <c r="E939">
        <v>0</v>
      </c>
      <c r="F939">
        <v>1</v>
      </c>
      <c r="G939" s="7">
        <v>0.05</v>
      </c>
      <c r="H939">
        <v>12</v>
      </c>
      <c r="I939">
        <v>0</v>
      </c>
      <c r="J939">
        <v>0</v>
      </c>
      <c r="K939">
        <v>0</v>
      </c>
      <c r="L939">
        <v>1</v>
      </c>
      <c r="M939">
        <v>2</v>
      </c>
      <c r="N939" s="7">
        <v>9</v>
      </c>
      <c r="O939" s="7">
        <v>0</v>
      </c>
      <c r="P939" s="7">
        <v>0</v>
      </c>
      <c r="Q939" s="7">
        <v>0</v>
      </c>
      <c r="R939" s="7">
        <v>1</v>
      </c>
      <c r="S939" s="7">
        <v>4.5</v>
      </c>
      <c r="T939">
        <v>7</v>
      </c>
      <c r="U939" s="1">
        <v>33</v>
      </c>
      <c r="V939">
        <v>0</v>
      </c>
      <c r="W939">
        <v>0</v>
      </c>
      <c r="X939">
        <v>1</v>
      </c>
      <c r="Y939">
        <v>0.16</v>
      </c>
      <c r="Z939">
        <v>23</v>
      </c>
      <c r="AA939">
        <v>0</v>
      </c>
      <c r="AB939">
        <v>0</v>
      </c>
      <c r="AC939">
        <v>0</v>
      </c>
      <c r="AD939">
        <v>1</v>
      </c>
      <c r="AE939">
        <v>0.05</v>
      </c>
      <c r="AF939">
        <v>15</v>
      </c>
      <c r="AG939">
        <v>0</v>
      </c>
      <c r="AH939">
        <v>0</v>
      </c>
      <c r="AI939">
        <v>0</v>
      </c>
      <c r="AJ939">
        <v>1</v>
      </c>
      <c r="AK939">
        <v>0.02</v>
      </c>
      <c r="AL939">
        <v>16</v>
      </c>
      <c r="AM939">
        <v>0</v>
      </c>
      <c r="AN939">
        <v>0</v>
      </c>
      <c r="AO939">
        <v>0</v>
      </c>
      <c r="AP939">
        <v>1</v>
      </c>
      <c r="AQ939">
        <v>0.01</v>
      </c>
      <c r="AX939">
        <v>7</v>
      </c>
      <c r="AY939" s="1">
        <v>17</v>
      </c>
      <c r="AZ939">
        <v>0</v>
      </c>
      <c r="BA939">
        <v>0</v>
      </c>
      <c r="BB939">
        <v>1</v>
      </c>
      <c r="BC939" s="7">
        <v>0.32</v>
      </c>
      <c r="BD939">
        <v>30</v>
      </c>
      <c r="BE939">
        <v>0</v>
      </c>
      <c r="BF939">
        <v>0</v>
      </c>
      <c r="BG939">
        <v>0</v>
      </c>
      <c r="BH939">
        <v>5</v>
      </c>
      <c r="BI939">
        <v>2.4</v>
      </c>
      <c r="BJ939">
        <v>31</v>
      </c>
      <c r="BK939">
        <v>0</v>
      </c>
      <c r="BL939">
        <v>0</v>
      </c>
      <c r="BM939">
        <v>0</v>
      </c>
      <c r="BN939">
        <v>5</v>
      </c>
      <c r="BO939">
        <v>2.4</v>
      </c>
      <c r="BP939">
        <v>36</v>
      </c>
      <c r="BQ939">
        <v>0</v>
      </c>
      <c r="BR939">
        <v>0</v>
      </c>
      <c r="BS939">
        <v>0</v>
      </c>
      <c r="BT939">
        <v>5</v>
      </c>
      <c r="BU939">
        <v>2</v>
      </c>
    </row>
    <row r="940" spans="1:73" ht="14.25" x14ac:dyDescent="0.15">
      <c r="A940" s="12">
        <v>20337</v>
      </c>
      <c r="B940">
        <v>7</v>
      </c>
      <c r="C940" s="1">
        <v>46</v>
      </c>
      <c r="D940">
        <v>0</v>
      </c>
      <c r="E940">
        <v>0</v>
      </c>
      <c r="F940">
        <v>1</v>
      </c>
      <c r="G940" s="7">
        <v>0.05</v>
      </c>
      <c r="H940">
        <v>12</v>
      </c>
      <c r="I940">
        <v>0</v>
      </c>
      <c r="J940">
        <v>0</v>
      </c>
      <c r="K940">
        <v>0</v>
      </c>
      <c r="L940">
        <v>1</v>
      </c>
      <c r="M940">
        <v>2</v>
      </c>
      <c r="N940" s="7">
        <v>9</v>
      </c>
      <c r="O940" s="7">
        <v>0</v>
      </c>
      <c r="P940" s="7">
        <v>0</v>
      </c>
      <c r="Q940" s="7">
        <v>0</v>
      </c>
      <c r="R940" s="7">
        <v>1</v>
      </c>
      <c r="S940" s="7">
        <v>4.5</v>
      </c>
      <c r="T940">
        <v>7</v>
      </c>
      <c r="U940" s="1">
        <v>34</v>
      </c>
      <c r="V940">
        <v>0</v>
      </c>
      <c r="W940">
        <v>0</v>
      </c>
      <c r="X940">
        <v>1</v>
      </c>
      <c r="Y940">
        <v>0.16</v>
      </c>
      <c r="Z940">
        <v>23</v>
      </c>
      <c r="AA940">
        <v>0</v>
      </c>
      <c r="AB940">
        <v>0</v>
      </c>
      <c r="AC940">
        <v>0</v>
      </c>
      <c r="AD940">
        <v>1</v>
      </c>
      <c r="AE940">
        <v>0.05</v>
      </c>
      <c r="AF940">
        <v>15</v>
      </c>
      <c r="AG940">
        <v>0</v>
      </c>
      <c r="AH940">
        <v>0</v>
      </c>
      <c r="AI940">
        <v>0</v>
      </c>
      <c r="AJ940">
        <v>1</v>
      </c>
      <c r="AK940">
        <v>0.02</v>
      </c>
      <c r="AL940">
        <v>16</v>
      </c>
      <c r="AM940">
        <v>0</v>
      </c>
      <c r="AN940">
        <v>0</v>
      </c>
      <c r="AO940">
        <v>0</v>
      </c>
      <c r="AP940">
        <v>1</v>
      </c>
      <c r="AQ940">
        <v>0.01</v>
      </c>
      <c r="AX940">
        <v>7</v>
      </c>
      <c r="AY940" s="1">
        <v>18</v>
      </c>
      <c r="AZ940">
        <v>0</v>
      </c>
      <c r="BA940">
        <v>0</v>
      </c>
      <c r="BB940">
        <v>1</v>
      </c>
      <c r="BC940" s="7">
        <v>0.32</v>
      </c>
      <c r="BD940">
        <v>30</v>
      </c>
      <c r="BE940">
        <v>0</v>
      </c>
      <c r="BF940">
        <v>0</v>
      </c>
      <c r="BG940">
        <v>0</v>
      </c>
      <c r="BH940">
        <v>5</v>
      </c>
      <c r="BI940">
        <v>2.4</v>
      </c>
      <c r="BJ940">
        <v>31</v>
      </c>
      <c r="BK940">
        <v>0</v>
      </c>
      <c r="BL940">
        <v>0</v>
      </c>
      <c r="BM940">
        <v>0</v>
      </c>
      <c r="BN940">
        <v>5</v>
      </c>
      <c r="BO940">
        <v>2.4</v>
      </c>
      <c r="BP940">
        <v>36</v>
      </c>
      <c r="BQ940">
        <v>0</v>
      </c>
      <c r="BR940">
        <v>0</v>
      </c>
      <c r="BS940">
        <v>0</v>
      </c>
      <c r="BT940">
        <v>5</v>
      </c>
      <c r="BU940">
        <v>2</v>
      </c>
    </row>
    <row r="941" spans="1:73" ht="14.25" x14ac:dyDescent="0.15">
      <c r="A941" s="12">
        <v>20338</v>
      </c>
      <c r="B941">
        <v>7</v>
      </c>
      <c r="C941" s="1">
        <v>47</v>
      </c>
      <c r="D941">
        <v>0</v>
      </c>
      <c r="E941">
        <v>0</v>
      </c>
      <c r="F941">
        <v>1</v>
      </c>
      <c r="G941" s="7">
        <v>0.05</v>
      </c>
      <c r="H941">
        <v>12</v>
      </c>
      <c r="I941">
        <v>0</v>
      </c>
      <c r="J941">
        <v>0</v>
      </c>
      <c r="K941">
        <v>0</v>
      </c>
      <c r="L941">
        <v>1</v>
      </c>
      <c r="M941">
        <v>2</v>
      </c>
      <c r="N941" s="7">
        <v>9</v>
      </c>
      <c r="O941" s="7">
        <v>0</v>
      </c>
      <c r="P941" s="7">
        <v>0</v>
      </c>
      <c r="Q941" s="7">
        <v>0</v>
      </c>
      <c r="R941" s="7">
        <v>1</v>
      </c>
      <c r="S941" s="7">
        <v>4.5</v>
      </c>
      <c r="T941">
        <v>7</v>
      </c>
      <c r="U941" s="1">
        <v>35</v>
      </c>
      <c r="V941">
        <v>0</v>
      </c>
      <c r="W941">
        <v>0</v>
      </c>
      <c r="X941">
        <v>1</v>
      </c>
      <c r="Y941">
        <v>0.16</v>
      </c>
      <c r="Z941">
        <v>23</v>
      </c>
      <c r="AA941">
        <v>0</v>
      </c>
      <c r="AB941">
        <v>0</v>
      </c>
      <c r="AC941">
        <v>0</v>
      </c>
      <c r="AD941">
        <v>1</v>
      </c>
      <c r="AE941">
        <v>0.05</v>
      </c>
      <c r="AF941">
        <v>15</v>
      </c>
      <c r="AG941">
        <v>0</v>
      </c>
      <c r="AH941">
        <v>0</v>
      </c>
      <c r="AI941">
        <v>0</v>
      </c>
      <c r="AJ941">
        <v>1</v>
      </c>
      <c r="AK941">
        <v>0.02</v>
      </c>
      <c r="AL941">
        <v>16</v>
      </c>
      <c r="AM941">
        <v>0</v>
      </c>
      <c r="AN941">
        <v>0</v>
      </c>
      <c r="AO941">
        <v>0</v>
      </c>
      <c r="AP941">
        <v>1</v>
      </c>
      <c r="AQ941">
        <v>0.01</v>
      </c>
      <c r="AX941">
        <v>7</v>
      </c>
      <c r="AY941" s="1">
        <v>19</v>
      </c>
      <c r="AZ941">
        <v>0</v>
      </c>
      <c r="BA941">
        <v>0</v>
      </c>
      <c r="BB941">
        <v>1</v>
      </c>
      <c r="BC941" s="7">
        <v>0.32</v>
      </c>
      <c r="BD941">
        <v>30</v>
      </c>
      <c r="BE941">
        <v>0</v>
      </c>
      <c r="BF941">
        <v>0</v>
      </c>
      <c r="BG941">
        <v>0</v>
      </c>
      <c r="BH941">
        <v>5</v>
      </c>
      <c r="BI941">
        <v>2.4</v>
      </c>
      <c r="BJ941">
        <v>31</v>
      </c>
      <c r="BK941">
        <v>0</v>
      </c>
      <c r="BL941">
        <v>0</v>
      </c>
      <c r="BM941">
        <v>0</v>
      </c>
      <c r="BN941">
        <v>5</v>
      </c>
      <c r="BO941">
        <v>2.4</v>
      </c>
      <c r="BP941">
        <v>36</v>
      </c>
      <c r="BQ941">
        <v>0</v>
      </c>
      <c r="BR941">
        <v>0</v>
      </c>
      <c r="BS941">
        <v>0</v>
      </c>
      <c r="BT941">
        <v>5</v>
      </c>
      <c r="BU941">
        <v>2</v>
      </c>
    </row>
    <row r="942" spans="1:73" ht="14.25" x14ac:dyDescent="0.15">
      <c r="A942" s="12">
        <v>20339</v>
      </c>
      <c r="B942">
        <v>7</v>
      </c>
      <c r="C942" s="1">
        <v>48</v>
      </c>
      <c r="D942">
        <v>0</v>
      </c>
      <c r="E942">
        <v>0</v>
      </c>
      <c r="F942">
        <v>1</v>
      </c>
      <c r="G942" s="7">
        <v>0.05</v>
      </c>
      <c r="H942">
        <v>12</v>
      </c>
      <c r="I942">
        <v>0</v>
      </c>
      <c r="J942">
        <v>0</v>
      </c>
      <c r="K942">
        <v>0</v>
      </c>
      <c r="L942">
        <v>1</v>
      </c>
      <c r="M942">
        <v>2</v>
      </c>
      <c r="N942" s="7">
        <v>9</v>
      </c>
      <c r="O942" s="7">
        <v>0</v>
      </c>
      <c r="P942" s="7">
        <v>0</v>
      </c>
      <c r="Q942" s="7">
        <v>0</v>
      </c>
      <c r="R942" s="7">
        <v>1</v>
      </c>
      <c r="S942" s="7">
        <v>4.5</v>
      </c>
      <c r="T942">
        <v>7</v>
      </c>
      <c r="U942" s="1">
        <v>36</v>
      </c>
      <c r="V942">
        <v>0</v>
      </c>
      <c r="W942">
        <v>0</v>
      </c>
      <c r="X942">
        <v>1</v>
      </c>
      <c r="Y942">
        <v>0.16</v>
      </c>
      <c r="Z942">
        <v>23</v>
      </c>
      <c r="AA942">
        <v>0</v>
      </c>
      <c r="AB942">
        <v>0</v>
      </c>
      <c r="AC942">
        <v>0</v>
      </c>
      <c r="AD942">
        <v>1</v>
      </c>
      <c r="AE942">
        <v>0.05</v>
      </c>
      <c r="AF942">
        <v>15</v>
      </c>
      <c r="AG942">
        <v>0</v>
      </c>
      <c r="AH942">
        <v>0</v>
      </c>
      <c r="AI942">
        <v>0</v>
      </c>
      <c r="AJ942">
        <v>1</v>
      </c>
      <c r="AK942">
        <v>0.02</v>
      </c>
      <c r="AL942">
        <v>16</v>
      </c>
      <c r="AM942">
        <v>0</v>
      </c>
      <c r="AN942">
        <v>0</v>
      </c>
      <c r="AO942">
        <v>0</v>
      </c>
      <c r="AP942">
        <v>1</v>
      </c>
      <c r="AQ942">
        <v>0.01</v>
      </c>
      <c r="AX942">
        <v>7</v>
      </c>
      <c r="AY942" s="1">
        <v>20</v>
      </c>
      <c r="AZ942">
        <v>0</v>
      </c>
      <c r="BA942">
        <v>0</v>
      </c>
      <c r="BB942">
        <v>1</v>
      </c>
      <c r="BC942" s="7">
        <v>0.32</v>
      </c>
      <c r="BD942">
        <v>30</v>
      </c>
      <c r="BE942">
        <v>0</v>
      </c>
      <c r="BF942">
        <v>0</v>
      </c>
      <c r="BG942">
        <v>0</v>
      </c>
      <c r="BH942">
        <v>5</v>
      </c>
      <c r="BI942">
        <v>2.4</v>
      </c>
      <c r="BJ942">
        <v>31</v>
      </c>
      <c r="BK942">
        <v>0</v>
      </c>
      <c r="BL942">
        <v>0</v>
      </c>
      <c r="BM942">
        <v>0</v>
      </c>
      <c r="BN942">
        <v>5</v>
      </c>
      <c r="BO942">
        <v>2.4</v>
      </c>
      <c r="BP942">
        <v>36</v>
      </c>
      <c r="BQ942">
        <v>0</v>
      </c>
      <c r="BR942">
        <v>0</v>
      </c>
      <c r="BS942">
        <v>0</v>
      </c>
      <c r="BT942">
        <v>5</v>
      </c>
      <c r="BU942">
        <v>2</v>
      </c>
    </row>
    <row r="943" spans="1:73" ht="14.25" x14ac:dyDescent="0.15">
      <c r="A943" s="12">
        <v>20340</v>
      </c>
      <c r="B943">
        <v>7</v>
      </c>
      <c r="C943" s="1">
        <v>0</v>
      </c>
      <c r="D943">
        <v>5</v>
      </c>
      <c r="E943">
        <v>1</v>
      </c>
      <c r="F943">
        <v>1</v>
      </c>
      <c r="G943" s="7">
        <v>0.05</v>
      </c>
      <c r="H943">
        <v>12</v>
      </c>
      <c r="I943">
        <v>0</v>
      </c>
      <c r="J943">
        <v>0</v>
      </c>
      <c r="K943">
        <v>0</v>
      </c>
      <c r="L943">
        <v>1</v>
      </c>
      <c r="M943">
        <v>2</v>
      </c>
      <c r="N943" s="7">
        <v>9</v>
      </c>
      <c r="O943" s="7">
        <v>0</v>
      </c>
      <c r="P943" s="7">
        <v>0</v>
      </c>
      <c r="Q943" s="7">
        <v>0</v>
      </c>
      <c r="R943" s="7">
        <v>1</v>
      </c>
      <c r="S943" s="7">
        <v>4.5</v>
      </c>
      <c r="T943">
        <v>7</v>
      </c>
      <c r="U943" s="1">
        <v>0</v>
      </c>
      <c r="V943">
        <v>4</v>
      </c>
      <c r="W943">
        <v>2</v>
      </c>
      <c r="X943">
        <v>1</v>
      </c>
      <c r="Y943">
        <v>0.16</v>
      </c>
      <c r="Z943">
        <v>23</v>
      </c>
      <c r="AA943">
        <v>0</v>
      </c>
      <c r="AB943">
        <v>0</v>
      </c>
      <c r="AC943">
        <v>0</v>
      </c>
      <c r="AD943">
        <v>1</v>
      </c>
      <c r="AE943">
        <v>0.05</v>
      </c>
      <c r="AF943">
        <v>15</v>
      </c>
      <c r="AG943">
        <v>0</v>
      </c>
      <c r="AH943">
        <v>0</v>
      </c>
      <c r="AI943">
        <v>0</v>
      </c>
      <c r="AJ943">
        <v>1</v>
      </c>
      <c r="AK943">
        <v>0.02</v>
      </c>
      <c r="AL943">
        <v>16</v>
      </c>
      <c r="AM943">
        <v>0</v>
      </c>
      <c r="AN943">
        <v>0</v>
      </c>
      <c r="AO943">
        <v>0</v>
      </c>
      <c r="AP943">
        <v>1</v>
      </c>
      <c r="AQ943">
        <v>0.01</v>
      </c>
      <c r="AR943">
        <v>6</v>
      </c>
      <c r="AS943">
        <v>2</v>
      </c>
      <c r="AT943">
        <v>3</v>
      </c>
      <c r="AU943">
        <v>5</v>
      </c>
      <c r="AV943">
        <v>1</v>
      </c>
      <c r="AW943">
        <v>0.05</v>
      </c>
      <c r="AX943">
        <v>7</v>
      </c>
      <c r="AY943" s="1">
        <v>0</v>
      </c>
      <c r="AZ943">
        <v>3</v>
      </c>
      <c r="BA943">
        <v>1</v>
      </c>
      <c r="BB943">
        <v>1</v>
      </c>
      <c r="BC943" s="7">
        <v>0.32</v>
      </c>
      <c r="BD943">
        <v>30</v>
      </c>
      <c r="BE943">
        <v>0</v>
      </c>
      <c r="BF943">
        <v>0</v>
      </c>
      <c r="BG943">
        <v>0</v>
      </c>
      <c r="BH943">
        <v>5</v>
      </c>
      <c r="BI943">
        <v>2.4</v>
      </c>
      <c r="BJ943">
        <v>31</v>
      </c>
      <c r="BK943">
        <v>0</v>
      </c>
      <c r="BL943">
        <v>0</v>
      </c>
      <c r="BM943">
        <v>0</v>
      </c>
      <c r="BN943">
        <v>5</v>
      </c>
      <c r="BO943">
        <v>2.4</v>
      </c>
      <c r="BP943">
        <v>36</v>
      </c>
      <c r="BQ943">
        <v>0</v>
      </c>
      <c r="BR943">
        <v>0</v>
      </c>
      <c r="BS943">
        <v>0</v>
      </c>
      <c r="BT943">
        <v>5</v>
      </c>
      <c r="BU943">
        <v>2</v>
      </c>
    </row>
    <row r="944" spans="1:73" ht="14.25" x14ac:dyDescent="0.15">
      <c r="A944" s="12">
        <v>20341</v>
      </c>
      <c r="B944">
        <v>7</v>
      </c>
      <c r="C944" s="1">
        <v>45</v>
      </c>
      <c r="D944">
        <v>0</v>
      </c>
      <c r="E944">
        <v>0</v>
      </c>
      <c r="F944">
        <v>1</v>
      </c>
      <c r="G944" s="7">
        <v>0.05</v>
      </c>
      <c r="H944">
        <v>12</v>
      </c>
      <c r="I944">
        <v>0</v>
      </c>
      <c r="J944">
        <v>0</v>
      </c>
      <c r="K944">
        <v>0</v>
      </c>
      <c r="L944">
        <v>1</v>
      </c>
      <c r="M944">
        <v>2</v>
      </c>
      <c r="N944" s="7">
        <v>9</v>
      </c>
      <c r="O944" s="7">
        <v>0</v>
      </c>
      <c r="P944" s="7">
        <v>0</v>
      </c>
      <c r="Q944" s="7">
        <v>0</v>
      </c>
      <c r="R944" s="7">
        <v>1</v>
      </c>
      <c r="S944" s="7">
        <v>4.5</v>
      </c>
      <c r="T944">
        <v>7</v>
      </c>
      <c r="U944" s="1">
        <v>33</v>
      </c>
      <c r="V944">
        <v>0</v>
      </c>
      <c r="W944">
        <v>0</v>
      </c>
      <c r="X944">
        <v>1</v>
      </c>
      <c r="Y944">
        <v>0.16</v>
      </c>
      <c r="Z944">
        <v>23</v>
      </c>
      <c r="AA944">
        <v>0</v>
      </c>
      <c r="AB944">
        <v>0</v>
      </c>
      <c r="AC944">
        <v>0</v>
      </c>
      <c r="AD944">
        <v>1</v>
      </c>
      <c r="AE944">
        <v>0.05</v>
      </c>
      <c r="AF944">
        <v>15</v>
      </c>
      <c r="AG944">
        <v>0</v>
      </c>
      <c r="AH944">
        <v>0</v>
      </c>
      <c r="AI944">
        <v>0</v>
      </c>
      <c r="AJ944">
        <v>1</v>
      </c>
      <c r="AK944">
        <v>0.02</v>
      </c>
      <c r="AL944">
        <v>16</v>
      </c>
      <c r="AM944">
        <v>0</v>
      </c>
      <c r="AN944">
        <v>0</v>
      </c>
      <c r="AO944">
        <v>0</v>
      </c>
      <c r="AP944">
        <v>1</v>
      </c>
      <c r="AQ944">
        <v>0.01</v>
      </c>
      <c r="AX944">
        <v>7</v>
      </c>
      <c r="AY944" s="1">
        <v>17</v>
      </c>
      <c r="AZ944">
        <v>0</v>
      </c>
      <c r="BA944">
        <v>0</v>
      </c>
      <c r="BB944">
        <v>1</v>
      </c>
      <c r="BC944" s="7">
        <v>0.32</v>
      </c>
      <c r="BD944">
        <v>30</v>
      </c>
      <c r="BE944">
        <v>0</v>
      </c>
      <c r="BF944">
        <v>0</v>
      </c>
      <c r="BG944">
        <v>0</v>
      </c>
      <c r="BH944">
        <v>5</v>
      </c>
      <c r="BI944">
        <v>2.4</v>
      </c>
      <c r="BJ944">
        <v>31</v>
      </c>
      <c r="BK944">
        <v>0</v>
      </c>
      <c r="BL944">
        <v>0</v>
      </c>
      <c r="BM944">
        <v>0</v>
      </c>
      <c r="BN944">
        <v>5</v>
      </c>
      <c r="BO944">
        <v>2.4</v>
      </c>
      <c r="BP944">
        <v>36</v>
      </c>
      <c r="BQ944">
        <v>0</v>
      </c>
      <c r="BR944">
        <v>0</v>
      </c>
      <c r="BS944">
        <v>0</v>
      </c>
      <c r="BT944">
        <v>5</v>
      </c>
      <c r="BU944">
        <v>2</v>
      </c>
    </row>
    <row r="945" spans="1:73" ht="14.25" x14ac:dyDescent="0.15">
      <c r="A945" s="12">
        <v>20342</v>
      </c>
      <c r="B945">
        <v>7</v>
      </c>
      <c r="C945" s="1">
        <v>46</v>
      </c>
      <c r="D945">
        <v>0</v>
      </c>
      <c r="E945">
        <v>0</v>
      </c>
      <c r="F945">
        <v>1</v>
      </c>
      <c r="G945" s="7">
        <v>0.05</v>
      </c>
      <c r="H945">
        <v>12</v>
      </c>
      <c r="I945">
        <v>0</v>
      </c>
      <c r="J945">
        <v>0</v>
      </c>
      <c r="K945">
        <v>0</v>
      </c>
      <c r="L945">
        <v>1</v>
      </c>
      <c r="M945">
        <v>2</v>
      </c>
      <c r="N945" s="7">
        <v>9</v>
      </c>
      <c r="O945" s="7">
        <v>0</v>
      </c>
      <c r="P945" s="7">
        <v>0</v>
      </c>
      <c r="Q945" s="7">
        <v>0</v>
      </c>
      <c r="R945" s="7">
        <v>1</v>
      </c>
      <c r="S945" s="7">
        <v>4.5</v>
      </c>
      <c r="T945">
        <v>7</v>
      </c>
      <c r="U945" s="1">
        <v>34</v>
      </c>
      <c r="V945">
        <v>0</v>
      </c>
      <c r="W945">
        <v>0</v>
      </c>
      <c r="X945">
        <v>1</v>
      </c>
      <c r="Y945">
        <v>0.16</v>
      </c>
      <c r="Z945">
        <v>23</v>
      </c>
      <c r="AA945">
        <v>0</v>
      </c>
      <c r="AB945">
        <v>0</v>
      </c>
      <c r="AC945">
        <v>0</v>
      </c>
      <c r="AD945">
        <v>1</v>
      </c>
      <c r="AE945">
        <v>0.05</v>
      </c>
      <c r="AF945">
        <v>15</v>
      </c>
      <c r="AG945">
        <v>0</v>
      </c>
      <c r="AH945">
        <v>0</v>
      </c>
      <c r="AI945">
        <v>0</v>
      </c>
      <c r="AJ945">
        <v>1</v>
      </c>
      <c r="AK945">
        <v>0.02</v>
      </c>
      <c r="AL945">
        <v>16</v>
      </c>
      <c r="AM945">
        <v>0</v>
      </c>
      <c r="AN945">
        <v>0</v>
      </c>
      <c r="AO945">
        <v>0</v>
      </c>
      <c r="AP945">
        <v>1</v>
      </c>
      <c r="AQ945">
        <v>0.01</v>
      </c>
      <c r="AX945">
        <v>7</v>
      </c>
      <c r="AY945" s="1">
        <v>18</v>
      </c>
      <c r="AZ945">
        <v>0</v>
      </c>
      <c r="BA945">
        <v>0</v>
      </c>
      <c r="BB945">
        <v>1</v>
      </c>
      <c r="BC945" s="7">
        <v>0.32</v>
      </c>
      <c r="BD945">
        <v>30</v>
      </c>
      <c r="BE945">
        <v>0</v>
      </c>
      <c r="BF945">
        <v>0</v>
      </c>
      <c r="BG945">
        <v>0</v>
      </c>
      <c r="BH945">
        <v>5</v>
      </c>
      <c r="BI945">
        <v>2.4</v>
      </c>
      <c r="BJ945">
        <v>31</v>
      </c>
      <c r="BK945">
        <v>0</v>
      </c>
      <c r="BL945">
        <v>0</v>
      </c>
      <c r="BM945">
        <v>0</v>
      </c>
      <c r="BN945">
        <v>5</v>
      </c>
      <c r="BO945">
        <v>2.4</v>
      </c>
      <c r="BP945">
        <v>36</v>
      </c>
      <c r="BQ945">
        <v>0</v>
      </c>
      <c r="BR945">
        <v>0</v>
      </c>
      <c r="BS945">
        <v>0</v>
      </c>
      <c r="BT945">
        <v>5</v>
      </c>
      <c r="BU945">
        <v>2</v>
      </c>
    </row>
    <row r="946" spans="1:73" ht="14.25" x14ac:dyDescent="0.15">
      <c r="A946" s="12">
        <v>20343</v>
      </c>
      <c r="B946">
        <v>7</v>
      </c>
      <c r="C946" s="1">
        <v>47</v>
      </c>
      <c r="D946">
        <v>0</v>
      </c>
      <c r="E946">
        <v>0</v>
      </c>
      <c r="F946">
        <v>1</v>
      </c>
      <c r="G946" s="7">
        <v>0.05</v>
      </c>
      <c r="H946">
        <v>12</v>
      </c>
      <c r="I946">
        <v>0</v>
      </c>
      <c r="J946">
        <v>0</v>
      </c>
      <c r="K946">
        <v>0</v>
      </c>
      <c r="L946">
        <v>1</v>
      </c>
      <c r="M946">
        <v>2</v>
      </c>
      <c r="N946" s="7">
        <v>9</v>
      </c>
      <c r="O946" s="7">
        <v>0</v>
      </c>
      <c r="P946" s="7">
        <v>0</v>
      </c>
      <c r="Q946" s="7">
        <v>0</v>
      </c>
      <c r="R946" s="7">
        <v>1</v>
      </c>
      <c r="S946" s="7">
        <v>4.5</v>
      </c>
      <c r="T946">
        <v>7</v>
      </c>
      <c r="U946" s="1">
        <v>35</v>
      </c>
      <c r="V946">
        <v>0</v>
      </c>
      <c r="W946">
        <v>0</v>
      </c>
      <c r="X946">
        <v>1</v>
      </c>
      <c r="Y946">
        <v>0.16</v>
      </c>
      <c r="Z946">
        <v>23</v>
      </c>
      <c r="AA946">
        <v>0</v>
      </c>
      <c r="AB946">
        <v>0</v>
      </c>
      <c r="AC946">
        <v>0</v>
      </c>
      <c r="AD946">
        <v>1</v>
      </c>
      <c r="AE946">
        <v>0.05</v>
      </c>
      <c r="AF946">
        <v>15</v>
      </c>
      <c r="AG946">
        <v>0</v>
      </c>
      <c r="AH946">
        <v>0</v>
      </c>
      <c r="AI946">
        <v>0</v>
      </c>
      <c r="AJ946">
        <v>1</v>
      </c>
      <c r="AK946">
        <v>0.02</v>
      </c>
      <c r="AL946">
        <v>16</v>
      </c>
      <c r="AM946">
        <v>0</v>
      </c>
      <c r="AN946">
        <v>0</v>
      </c>
      <c r="AO946">
        <v>0</v>
      </c>
      <c r="AP946">
        <v>1</v>
      </c>
      <c r="AQ946">
        <v>0.01</v>
      </c>
      <c r="AX946">
        <v>7</v>
      </c>
      <c r="AY946" s="1">
        <v>19</v>
      </c>
      <c r="AZ946">
        <v>0</v>
      </c>
      <c r="BA946">
        <v>0</v>
      </c>
      <c r="BB946">
        <v>1</v>
      </c>
      <c r="BC946" s="7">
        <v>0.32</v>
      </c>
      <c r="BD946">
        <v>30</v>
      </c>
      <c r="BE946">
        <v>0</v>
      </c>
      <c r="BF946">
        <v>0</v>
      </c>
      <c r="BG946">
        <v>0</v>
      </c>
      <c r="BH946">
        <v>5</v>
      </c>
      <c r="BI946">
        <v>2.4</v>
      </c>
      <c r="BJ946">
        <v>31</v>
      </c>
      <c r="BK946">
        <v>0</v>
      </c>
      <c r="BL946">
        <v>0</v>
      </c>
      <c r="BM946">
        <v>0</v>
      </c>
      <c r="BN946">
        <v>5</v>
      </c>
      <c r="BO946">
        <v>2.4</v>
      </c>
      <c r="BP946">
        <v>36</v>
      </c>
      <c r="BQ946">
        <v>0</v>
      </c>
      <c r="BR946">
        <v>0</v>
      </c>
      <c r="BS946">
        <v>0</v>
      </c>
      <c r="BT946">
        <v>5</v>
      </c>
      <c r="BU946">
        <v>2</v>
      </c>
    </row>
    <row r="947" spans="1:73" ht="14.25" x14ac:dyDescent="0.15">
      <c r="A947" s="12">
        <v>20344</v>
      </c>
      <c r="B947">
        <v>7</v>
      </c>
      <c r="C947" s="1">
        <v>48</v>
      </c>
      <c r="D947">
        <v>0</v>
      </c>
      <c r="E947">
        <v>0</v>
      </c>
      <c r="F947">
        <v>1</v>
      </c>
      <c r="G947" s="7">
        <v>0.05</v>
      </c>
      <c r="H947">
        <v>12</v>
      </c>
      <c r="I947">
        <v>0</v>
      </c>
      <c r="J947">
        <v>0</v>
      </c>
      <c r="K947">
        <v>0</v>
      </c>
      <c r="L947">
        <v>1</v>
      </c>
      <c r="M947">
        <v>2</v>
      </c>
      <c r="N947" s="7">
        <v>9</v>
      </c>
      <c r="O947" s="7">
        <v>0</v>
      </c>
      <c r="P947" s="7">
        <v>0</v>
      </c>
      <c r="Q947" s="7">
        <v>0</v>
      </c>
      <c r="R947" s="7">
        <v>1</v>
      </c>
      <c r="S947" s="7">
        <v>4.5</v>
      </c>
      <c r="T947">
        <v>7</v>
      </c>
      <c r="U947" s="1">
        <v>36</v>
      </c>
      <c r="V947">
        <v>0</v>
      </c>
      <c r="W947">
        <v>0</v>
      </c>
      <c r="X947">
        <v>1</v>
      </c>
      <c r="Y947">
        <v>0.16</v>
      </c>
      <c r="Z947">
        <v>23</v>
      </c>
      <c r="AA947">
        <v>0</v>
      </c>
      <c r="AB947">
        <v>0</v>
      </c>
      <c r="AC947">
        <v>0</v>
      </c>
      <c r="AD947">
        <v>1</v>
      </c>
      <c r="AE947">
        <v>0.05</v>
      </c>
      <c r="AF947">
        <v>15</v>
      </c>
      <c r="AG947">
        <v>0</v>
      </c>
      <c r="AH947">
        <v>0</v>
      </c>
      <c r="AI947">
        <v>0</v>
      </c>
      <c r="AJ947">
        <v>1</v>
      </c>
      <c r="AK947">
        <v>0.02</v>
      </c>
      <c r="AL947">
        <v>16</v>
      </c>
      <c r="AM947">
        <v>0</v>
      </c>
      <c r="AN947">
        <v>0</v>
      </c>
      <c r="AO947">
        <v>0</v>
      </c>
      <c r="AP947">
        <v>1</v>
      </c>
      <c r="AQ947">
        <v>0.01</v>
      </c>
      <c r="AX947">
        <v>7</v>
      </c>
      <c r="AY947" s="1">
        <v>20</v>
      </c>
      <c r="AZ947">
        <v>0</v>
      </c>
      <c r="BA947">
        <v>0</v>
      </c>
      <c r="BB947">
        <v>1</v>
      </c>
      <c r="BC947" s="7">
        <v>0.32</v>
      </c>
      <c r="BD947">
        <v>30</v>
      </c>
      <c r="BE947">
        <v>0</v>
      </c>
      <c r="BF947">
        <v>0</v>
      </c>
      <c r="BG947">
        <v>0</v>
      </c>
      <c r="BH947">
        <v>5</v>
      </c>
      <c r="BI947">
        <v>2.4</v>
      </c>
      <c r="BJ947">
        <v>31</v>
      </c>
      <c r="BK947">
        <v>0</v>
      </c>
      <c r="BL947">
        <v>0</v>
      </c>
      <c r="BM947">
        <v>0</v>
      </c>
      <c r="BN947">
        <v>5</v>
      </c>
      <c r="BO947">
        <v>2.4</v>
      </c>
      <c r="BP947">
        <v>36</v>
      </c>
      <c r="BQ947">
        <v>0</v>
      </c>
      <c r="BR947">
        <v>0</v>
      </c>
      <c r="BS947">
        <v>0</v>
      </c>
      <c r="BT947">
        <v>5</v>
      </c>
      <c r="BU947">
        <v>2</v>
      </c>
    </row>
    <row r="948" spans="1:73" ht="14.25" x14ac:dyDescent="0.15">
      <c r="A948" s="12">
        <v>20345</v>
      </c>
      <c r="B948">
        <v>7</v>
      </c>
      <c r="C948" s="1">
        <v>0</v>
      </c>
      <c r="D948">
        <v>5</v>
      </c>
      <c r="E948">
        <v>1</v>
      </c>
      <c r="F948">
        <v>1</v>
      </c>
      <c r="G948" s="7">
        <v>0.05</v>
      </c>
      <c r="H948">
        <v>12</v>
      </c>
      <c r="I948">
        <v>0</v>
      </c>
      <c r="J948">
        <v>0</v>
      </c>
      <c r="K948">
        <v>0</v>
      </c>
      <c r="L948">
        <v>1</v>
      </c>
      <c r="M948">
        <v>2</v>
      </c>
      <c r="N948" s="7">
        <v>9</v>
      </c>
      <c r="O948" s="7">
        <v>0</v>
      </c>
      <c r="P948" s="7">
        <v>0</v>
      </c>
      <c r="Q948" s="7">
        <v>0</v>
      </c>
      <c r="R948" s="7">
        <v>1</v>
      </c>
      <c r="S948" s="7">
        <v>4.5</v>
      </c>
      <c r="T948">
        <v>7</v>
      </c>
      <c r="U948" s="1">
        <v>0</v>
      </c>
      <c r="V948">
        <v>4</v>
      </c>
      <c r="W948">
        <v>2</v>
      </c>
      <c r="X948">
        <v>1</v>
      </c>
      <c r="Y948">
        <v>0.16</v>
      </c>
      <c r="Z948">
        <v>23</v>
      </c>
      <c r="AA948">
        <v>0</v>
      </c>
      <c r="AB948">
        <v>0</v>
      </c>
      <c r="AC948">
        <v>0</v>
      </c>
      <c r="AD948">
        <v>1</v>
      </c>
      <c r="AE948">
        <v>0.05</v>
      </c>
      <c r="AF948">
        <v>15</v>
      </c>
      <c r="AG948">
        <v>0</v>
      </c>
      <c r="AH948">
        <v>0</v>
      </c>
      <c r="AI948">
        <v>0</v>
      </c>
      <c r="AJ948">
        <v>1</v>
      </c>
      <c r="AK948">
        <v>0.02</v>
      </c>
      <c r="AL948">
        <v>16</v>
      </c>
      <c r="AM948">
        <v>0</v>
      </c>
      <c r="AN948">
        <v>0</v>
      </c>
      <c r="AO948">
        <v>0</v>
      </c>
      <c r="AP948">
        <v>1</v>
      </c>
      <c r="AQ948">
        <v>0.01</v>
      </c>
      <c r="AR948">
        <v>6</v>
      </c>
      <c r="AS948">
        <v>2</v>
      </c>
      <c r="AT948">
        <v>4</v>
      </c>
      <c r="AU948">
        <v>5</v>
      </c>
      <c r="AV948">
        <v>1</v>
      </c>
      <c r="AW948">
        <v>0.01</v>
      </c>
      <c r="AX948">
        <v>7</v>
      </c>
      <c r="AY948" s="1">
        <v>0</v>
      </c>
      <c r="AZ948">
        <v>3</v>
      </c>
      <c r="BA948">
        <v>1</v>
      </c>
      <c r="BB948">
        <v>1</v>
      </c>
      <c r="BC948" s="7">
        <v>0.32</v>
      </c>
      <c r="BD948">
        <v>30</v>
      </c>
      <c r="BE948">
        <v>0</v>
      </c>
      <c r="BF948">
        <v>0</v>
      </c>
      <c r="BG948">
        <v>0</v>
      </c>
      <c r="BH948">
        <v>5</v>
      </c>
      <c r="BI948">
        <v>2.4</v>
      </c>
      <c r="BJ948">
        <v>31</v>
      </c>
      <c r="BK948">
        <v>0</v>
      </c>
      <c r="BL948">
        <v>0</v>
      </c>
      <c r="BM948">
        <v>0</v>
      </c>
      <c r="BN948">
        <v>5</v>
      </c>
      <c r="BO948">
        <v>2.4</v>
      </c>
      <c r="BP948">
        <v>36</v>
      </c>
      <c r="BQ948">
        <v>0</v>
      </c>
      <c r="BR948">
        <v>0</v>
      </c>
      <c r="BS948">
        <v>0</v>
      </c>
      <c r="BT948">
        <v>5</v>
      </c>
      <c r="BU948">
        <v>2</v>
      </c>
    </row>
    <row r="949" spans="1:73" ht="14.25" x14ac:dyDescent="0.15">
      <c r="A949" s="12">
        <v>20346</v>
      </c>
      <c r="B949">
        <v>7</v>
      </c>
      <c r="C949" s="1">
        <v>45</v>
      </c>
      <c r="D949">
        <v>0</v>
      </c>
      <c r="E949">
        <v>0</v>
      </c>
      <c r="F949">
        <v>1</v>
      </c>
      <c r="G949" s="7">
        <v>0.05</v>
      </c>
      <c r="H949">
        <v>12</v>
      </c>
      <c r="I949">
        <v>0</v>
      </c>
      <c r="J949">
        <v>0</v>
      </c>
      <c r="K949">
        <v>0</v>
      </c>
      <c r="L949">
        <v>1</v>
      </c>
      <c r="M949">
        <v>2</v>
      </c>
      <c r="N949" s="7">
        <v>9</v>
      </c>
      <c r="O949" s="7">
        <v>0</v>
      </c>
      <c r="P949" s="7">
        <v>0</v>
      </c>
      <c r="Q949" s="7">
        <v>0</v>
      </c>
      <c r="R949" s="7">
        <v>1</v>
      </c>
      <c r="S949" s="7">
        <v>4.5</v>
      </c>
      <c r="T949">
        <v>7</v>
      </c>
      <c r="U949" s="1">
        <v>33</v>
      </c>
      <c r="V949">
        <v>0</v>
      </c>
      <c r="W949">
        <v>0</v>
      </c>
      <c r="X949">
        <v>1</v>
      </c>
      <c r="Y949">
        <v>0.16</v>
      </c>
      <c r="Z949">
        <v>23</v>
      </c>
      <c r="AA949">
        <v>0</v>
      </c>
      <c r="AB949">
        <v>0</v>
      </c>
      <c r="AC949">
        <v>0</v>
      </c>
      <c r="AD949">
        <v>1</v>
      </c>
      <c r="AE949">
        <v>0.05</v>
      </c>
      <c r="AF949">
        <v>15</v>
      </c>
      <c r="AG949">
        <v>0</v>
      </c>
      <c r="AH949">
        <v>0</v>
      </c>
      <c r="AI949">
        <v>0</v>
      </c>
      <c r="AJ949">
        <v>1</v>
      </c>
      <c r="AK949">
        <v>0.02</v>
      </c>
      <c r="AL949">
        <v>16</v>
      </c>
      <c r="AM949">
        <v>0</v>
      </c>
      <c r="AN949">
        <v>0</v>
      </c>
      <c r="AO949">
        <v>0</v>
      </c>
      <c r="AP949">
        <v>1</v>
      </c>
      <c r="AQ949">
        <v>0.01</v>
      </c>
      <c r="AX949">
        <v>7</v>
      </c>
      <c r="AY949" s="1">
        <v>17</v>
      </c>
      <c r="AZ949">
        <v>0</v>
      </c>
      <c r="BA949">
        <v>0</v>
      </c>
      <c r="BB949">
        <v>1</v>
      </c>
      <c r="BC949" s="7">
        <v>0.32</v>
      </c>
      <c r="BD949">
        <v>30</v>
      </c>
      <c r="BE949">
        <v>0</v>
      </c>
      <c r="BF949">
        <v>0</v>
      </c>
      <c r="BG949">
        <v>0</v>
      </c>
      <c r="BH949">
        <v>5</v>
      </c>
      <c r="BI949">
        <v>2.4</v>
      </c>
      <c r="BJ949">
        <v>31</v>
      </c>
      <c r="BK949">
        <v>0</v>
      </c>
      <c r="BL949">
        <v>0</v>
      </c>
      <c r="BM949">
        <v>0</v>
      </c>
      <c r="BN949">
        <v>5</v>
      </c>
      <c r="BO949">
        <v>2.4</v>
      </c>
      <c r="BP949">
        <v>36</v>
      </c>
      <c r="BQ949">
        <v>0</v>
      </c>
      <c r="BR949">
        <v>0</v>
      </c>
      <c r="BS949">
        <v>0</v>
      </c>
      <c r="BT949">
        <v>5</v>
      </c>
      <c r="BU949">
        <v>2</v>
      </c>
    </row>
    <row r="950" spans="1:73" ht="14.25" x14ac:dyDescent="0.15">
      <c r="A950" s="12">
        <v>20347</v>
      </c>
      <c r="B950">
        <v>7</v>
      </c>
      <c r="C950" s="1">
        <v>46</v>
      </c>
      <c r="D950">
        <v>0</v>
      </c>
      <c r="E950">
        <v>0</v>
      </c>
      <c r="F950">
        <v>1</v>
      </c>
      <c r="G950" s="7">
        <v>0.05</v>
      </c>
      <c r="H950">
        <v>12</v>
      </c>
      <c r="I950">
        <v>0</v>
      </c>
      <c r="J950">
        <v>0</v>
      </c>
      <c r="K950">
        <v>0</v>
      </c>
      <c r="L950">
        <v>1</v>
      </c>
      <c r="M950">
        <v>2</v>
      </c>
      <c r="N950" s="7">
        <v>9</v>
      </c>
      <c r="O950" s="7">
        <v>0</v>
      </c>
      <c r="P950" s="7">
        <v>0</v>
      </c>
      <c r="Q950" s="7">
        <v>0</v>
      </c>
      <c r="R950" s="7">
        <v>1</v>
      </c>
      <c r="S950" s="7">
        <v>4.5</v>
      </c>
      <c r="T950">
        <v>7</v>
      </c>
      <c r="U950" s="1">
        <v>34</v>
      </c>
      <c r="V950">
        <v>0</v>
      </c>
      <c r="W950">
        <v>0</v>
      </c>
      <c r="X950">
        <v>1</v>
      </c>
      <c r="Y950">
        <v>0.16</v>
      </c>
      <c r="Z950">
        <v>23</v>
      </c>
      <c r="AA950">
        <v>0</v>
      </c>
      <c r="AB950">
        <v>0</v>
      </c>
      <c r="AC950">
        <v>0</v>
      </c>
      <c r="AD950">
        <v>1</v>
      </c>
      <c r="AE950">
        <v>0.05</v>
      </c>
      <c r="AF950">
        <v>15</v>
      </c>
      <c r="AG950">
        <v>0</v>
      </c>
      <c r="AH950">
        <v>0</v>
      </c>
      <c r="AI950">
        <v>0</v>
      </c>
      <c r="AJ950">
        <v>1</v>
      </c>
      <c r="AK950">
        <v>0.02</v>
      </c>
      <c r="AL950">
        <v>16</v>
      </c>
      <c r="AM950">
        <v>0</v>
      </c>
      <c r="AN950">
        <v>0</v>
      </c>
      <c r="AO950">
        <v>0</v>
      </c>
      <c r="AP950">
        <v>1</v>
      </c>
      <c r="AQ950">
        <v>0.01</v>
      </c>
      <c r="AX950">
        <v>7</v>
      </c>
      <c r="AY950" s="1">
        <v>18</v>
      </c>
      <c r="AZ950">
        <v>0</v>
      </c>
      <c r="BA950">
        <v>0</v>
      </c>
      <c r="BB950">
        <v>1</v>
      </c>
      <c r="BC950" s="7">
        <v>0.32</v>
      </c>
      <c r="BD950">
        <v>30</v>
      </c>
      <c r="BE950">
        <v>0</v>
      </c>
      <c r="BF950">
        <v>0</v>
      </c>
      <c r="BG950">
        <v>0</v>
      </c>
      <c r="BH950">
        <v>5</v>
      </c>
      <c r="BI950">
        <v>2.4</v>
      </c>
      <c r="BJ950">
        <v>31</v>
      </c>
      <c r="BK950">
        <v>0</v>
      </c>
      <c r="BL950">
        <v>0</v>
      </c>
      <c r="BM950">
        <v>0</v>
      </c>
      <c r="BN950">
        <v>5</v>
      </c>
      <c r="BO950">
        <v>2.4</v>
      </c>
      <c r="BP950">
        <v>36</v>
      </c>
      <c r="BQ950">
        <v>0</v>
      </c>
      <c r="BR950">
        <v>0</v>
      </c>
      <c r="BS950">
        <v>0</v>
      </c>
      <c r="BT950">
        <v>5</v>
      </c>
      <c r="BU950">
        <v>2</v>
      </c>
    </row>
    <row r="951" spans="1:73" ht="14.25" x14ac:dyDescent="0.15">
      <c r="A951" s="12">
        <v>20348</v>
      </c>
      <c r="B951">
        <v>7</v>
      </c>
      <c r="C951" s="1">
        <v>47</v>
      </c>
      <c r="D951">
        <v>0</v>
      </c>
      <c r="E951">
        <v>0</v>
      </c>
      <c r="F951">
        <v>1</v>
      </c>
      <c r="G951" s="7">
        <v>0.05</v>
      </c>
      <c r="H951">
        <v>12</v>
      </c>
      <c r="I951">
        <v>0</v>
      </c>
      <c r="J951">
        <v>0</v>
      </c>
      <c r="K951">
        <v>0</v>
      </c>
      <c r="L951">
        <v>1</v>
      </c>
      <c r="M951">
        <v>2</v>
      </c>
      <c r="N951" s="7">
        <v>9</v>
      </c>
      <c r="O951" s="7">
        <v>0</v>
      </c>
      <c r="P951" s="7">
        <v>0</v>
      </c>
      <c r="Q951" s="7">
        <v>0</v>
      </c>
      <c r="R951" s="7">
        <v>1</v>
      </c>
      <c r="S951" s="7">
        <v>4.5</v>
      </c>
      <c r="T951">
        <v>7</v>
      </c>
      <c r="U951" s="1">
        <v>35</v>
      </c>
      <c r="V951">
        <v>0</v>
      </c>
      <c r="W951">
        <v>0</v>
      </c>
      <c r="X951">
        <v>1</v>
      </c>
      <c r="Y951">
        <v>0.16</v>
      </c>
      <c r="Z951">
        <v>23</v>
      </c>
      <c r="AA951">
        <v>0</v>
      </c>
      <c r="AB951">
        <v>0</v>
      </c>
      <c r="AC951">
        <v>0</v>
      </c>
      <c r="AD951">
        <v>1</v>
      </c>
      <c r="AE951">
        <v>0.05</v>
      </c>
      <c r="AF951">
        <v>15</v>
      </c>
      <c r="AG951">
        <v>0</v>
      </c>
      <c r="AH951">
        <v>0</v>
      </c>
      <c r="AI951">
        <v>0</v>
      </c>
      <c r="AJ951">
        <v>1</v>
      </c>
      <c r="AK951">
        <v>0.02</v>
      </c>
      <c r="AL951">
        <v>16</v>
      </c>
      <c r="AM951">
        <v>0</v>
      </c>
      <c r="AN951">
        <v>0</v>
      </c>
      <c r="AO951">
        <v>0</v>
      </c>
      <c r="AP951">
        <v>1</v>
      </c>
      <c r="AQ951">
        <v>0.01</v>
      </c>
      <c r="AX951">
        <v>7</v>
      </c>
      <c r="AY951" s="1">
        <v>19</v>
      </c>
      <c r="AZ951">
        <v>0</v>
      </c>
      <c r="BA951">
        <v>0</v>
      </c>
      <c r="BB951">
        <v>1</v>
      </c>
      <c r="BC951" s="7">
        <v>0.32</v>
      </c>
      <c r="BD951">
        <v>30</v>
      </c>
      <c r="BE951">
        <v>0</v>
      </c>
      <c r="BF951">
        <v>0</v>
      </c>
      <c r="BG951">
        <v>0</v>
      </c>
      <c r="BH951">
        <v>5</v>
      </c>
      <c r="BI951">
        <v>2.4</v>
      </c>
      <c r="BJ951">
        <v>31</v>
      </c>
      <c r="BK951">
        <v>0</v>
      </c>
      <c r="BL951">
        <v>0</v>
      </c>
      <c r="BM951">
        <v>0</v>
      </c>
      <c r="BN951">
        <v>5</v>
      </c>
      <c r="BO951">
        <v>2.4</v>
      </c>
      <c r="BP951">
        <v>36</v>
      </c>
      <c r="BQ951">
        <v>0</v>
      </c>
      <c r="BR951">
        <v>0</v>
      </c>
      <c r="BS951">
        <v>0</v>
      </c>
      <c r="BT951">
        <v>5</v>
      </c>
      <c r="BU951">
        <v>2</v>
      </c>
    </row>
    <row r="952" spans="1:73" ht="14.25" x14ac:dyDescent="0.15">
      <c r="A952" s="12">
        <v>20349</v>
      </c>
      <c r="B952">
        <v>7</v>
      </c>
      <c r="C952" s="1">
        <v>48</v>
      </c>
      <c r="D952">
        <v>0</v>
      </c>
      <c r="E952">
        <v>0</v>
      </c>
      <c r="F952">
        <v>1</v>
      </c>
      <c r="G952" s="7">
        <v>0.05</v>
      </c>
      <c r="H952">
        <v>12</v>
      </c>
      <c r="I952">
        <v>0</v>
      </c>
      <c r="J952">
        <v>0</v>
      </c>
      <c r="K952">
        <v>0</v>
      </c>
      <c r="L952">
        <v>1</v>
      </c>
      <c r="M952">
        <v>2</v>
      </c>
      <c r="N952" s="7">
        <v>9</v>
      </c>
      <c r="O952" s="7">
        <v>0</v>
      </c>
      <c r="P952" s="7">
        <v>0</v>
      </c>
      <c r="Q952" s="7">
        <v>0</v>
      </c>
      <c r="R952" s="7">
        <v>1</v>
      </c>
      <c r="S952" s="7">
        <v>4.5</v>
      </c>
      <c r="T952">
        <v>7</v>
      </c>
      <c r="U952" s="1">
        <v>36</v>
      </c>
      <c r="V952">
        <v>0</v>
      </c>
      <c r="W952">
        <v>0</v>
      </c>
      <c r="X952">
        <v>1</v>
      </c>
      <c r="Y952">
        <v>0.16</v>
      </c>
      <c r="Z952">
        <v>23</v>
      </c>
      <c r="AA952">
        <v>0</v>
      </c>
      <c r="AB952">
        <v>0</v>
      </c>
      <c r="AC952">
        <v>0</v>
      </c>
      <c r="AD952">
        <v>1</v>
      </c>
      <c r="AE952">
        <v>0.05</v>
      </c>
      <c r="AF952">
        <v>15</v>
      </c>
      <c r="AG952">
        <v>0</v>
      </c>
      <c r="AH952">
        <v>0</v>
      </c>
      <c r="AI952">
        <v>0</v>
      </c>
      <c r="AJ952">
        <v>1</v>
      </c>
      <c r="AK952">
        <v>0.02</v>
      </c>
      <c r="AL952">
        <v>16</v>
      </c>
      <c r="AM952">
        <v>0</v>
      </c>
      <c r="AN952">
        <v>0</v>
      </c>
      <c r="AO952">
        <v>0</v>
      </c>
      <c r="AP952">
        <v>1</v>
      </c>
      <c r="AQ952">
        <v>0.01</v>
      </c>
      <c r="AX952">
        <v>7</v>
      </c>
      <c r="AY952" s="1">
        <v>20</v>
      </c>
      <c r="AZ952">
        <v>0</v>
      </c>
      <c r="BA952">
        <v>0</v>
      </c>
      <c r="BB952">
        <v>1</v>
      </c>
      <c r="BC952" s="7">
        <v>0.32</v>
      </c>
      <c r="BD952">
        <v>30</v>
      </c>
      <c r="BE952">
        <v>0</v>
      </c>
      <c r="BF952">
        <v>0</v>
      </c>
      <c r="BG952">
        <v>0</v>
      </c>
      <c r="BH952">
        <v>5</v>
      </c>
      <c r="BI952">
        <v>2.4</v>
      </c>
      <c r="BJ952">
        <v>31</v>
      </c>
      <c r="BK952">
        <v>0</v>
      </c>
      <c r="BL952">
        <v>0</v>
      </c>
      <c r="BM952">
        <v>0</v>
      </c>
      <c r="BN952">
        <v>5</v>
      </c>
      <c r="BO952">
        <v>2.4</v>
      </c>
      <c r="BP952">
        <v>36</v>
      </c>
      <c r="BQ952">
        <v>0</v>
      </c>
      <c r="BR952">
        <v>0</v>
      </c>
      <c r="BS952">
        <v>0</v>
      </c>
      <c r="BT952">
        <v>5</v>
      </c>
      <c r="BU952">
        <v>2</v>
      </c>
    </row>
    <row r="953" spans="1:73" ht="14.25" x14ac:dyDescent="0.15">
      <c r="A953" s="12">
        <v>20350</v>
      </c>
      <c r="B953">
        <v>7</v>
      </c>
      <c r="C953" s="1">
        <v>0</v>
      </c>
      <c r="D953">
        <v>5</v>
      </c>
      <c r="E953">
        <v>1</v>
      </c>
      <c r="F953">
        <v>1</v>
      </c>
      <c r="G953" s="7">
        <v>0.05</v>
      </c>
      <c r="H953">
        <v>12</v>
      </c>
      <c r="I953">
        <v>0</v>
      </c>
      <c r="J953">
        <v>0</v>
      </c>
      <c r="K953">
        <v>0</v>
      </c>
      <c r="L953">
        <v>1</v>
      </c>
      <c r="M953">
        <v>2</v>
      </c>
      <c r="N953" s="7">
        <v>9</v>
      </c>
      <c r="O953" s="7">
        <v>0</v>
      </c>
      <c r="P953" s="7">
        <v>0</v>
      </c>
      <c r="Q953" s="7">
        <v>0</v>
      </c>
      <c r="R953" s="7">
        <v>1</v>
      </c>
      <c r="S953" s="7">
        <v>4.5</v>
      </c>
      <c r="T953">
        <v>7</v>
      </c>
      <c r="U953" s="1">
        <v>0</v>
      </c>
      <c r="V953">
        <v>4</v>
      </c>
      <c r="W953">
        <v>2</v>
      </c>
      <c r="X953">
        <v>1</v>
      </c>
      <c r="Y953">
        <v>0.16</v>
      </c>
      <c r="Z953">
        <v>23</v>
      </c>
      <c r="AA953">
        <v>0</v>
      </c>
      <c r="AB953">
        <v>0</v>
      </c>
      <c r="AC953">
        <v>0</v>
      </c>
      <c r="AD953">
        <v>1</v>
      </c>
      <c r="AE953">
        <v>0.05</v>
      </c>
      <c r="AF953">
        <v>15</v>
      </c>
      <c r="AG953">
        <v>0</v>
      </c>
      <c r="AH953">
        <v>0</v>
      </c>
      <c r="AI953">
        <v>0</v>
      </c>
      <c r="AJ953">
        <v>1</v>
      </c>
      <c r="AK953">
        <v>0.02</v>
      </c>
      <c r="AL953">
        <v>16</v>
      </c>
      <c r="AM953">
        <v>0</v>
      </c>
      <c r="AN953">
        <v>0</v>
      </c>
      <c r="AO953">
        <v>0</v>
      </c>
      <c r="AP953">
        <v>1</v>
      </c>
      <c r="AQ953">
        <v>0.01</v>
      </c>
      <c r="AR953">
        <v>6</v>
      </c>
      <c r="AS953">
        <v>2</v>
      </c>
      <c r="AT953">
        <v>5</v>
      </c>
      <c r="AU953">
        <v>5</v>
      </c>
      <c r="AV953">
        <v>1</v>
      </c>
      <c r="AW953">
        <v>0.01</v>
      </c>
      <c r="AX953">
        <v>7</v>
      </c>
      <c r="AY953" s="1">
        <v>0</v>
      </c>
      <c r="AZ953">
        <v>3</v>
      </c>
      <c r="BA953">
        <v>1</v>
      </c>
      <c r="BB953">
        <v>1</v>
      </c>
      <c r="BC953" s="7">
        <v>0.32</v>
      </c>
      <c r="BD953">
        <v>30</v>
      </c>
      <c r="BE953">
        <v>0</v>
      </c>
      <c r="BF953">
        <v>0</v>
      </c>
      <c r="BG953">
        <v>0</v>
      </c>
      <c r="BH953">
        <v>5</v>
      </c>
      <c r="BI953">
        <v>2.4</v>
      </c>
      <c r="BJ953">
        <v>31</v>
      </c>
      <c r="BK953">
        <v>0</v>
      </c>
      <c r="BL953">
        <v>0</v>
      </c>
      <c r="BM953">
        <v>0</v>
      </c>
      <c r="BN953">
        <v>5</v>
      </c>
      <c r="BO953">
        <v>2.4</v>
      </c>
      <c r="BP953">
        <v>36</v>
      </c>
      <c r="BQ953">
        <v>0</v>
      </c>
      <c r="BR953">
        <v>0</v>
      </c>
      <c r="BS953">
        <v>0</v>
      </c>
      <c r="BT953">
        <v>5</v>
      </c>
      <c r="BU953">
        <v>2</v>
      </c>
    </row>
    <row r="954" spans="1:73" ht="14.25" x14ac:dyDescent="0.15">
      <c r="A954" s="12">
        <v>20401</v>
      </c>
      <c r="B954">
        <v>7</v>
      </c>
      <c r="C954" s="1">
        <v>45</v>
      </c>
      <c r="D954">
        <v>0</v>
      </c>
      <c r="E954">
        <v>0</v>
      </c>
      <c r="F954">
        <v>1</v>
      </c>
      <c r="G954" s="7">
        <v>0.05</v>
      </c>
      <c r="H954">
        <v>12</v>
      </c>
      <c r="I954">
        <v>0</v>
      </c>
      <c r="J954">
        <v>0</v>
      </c>
      <c r="K954">
        <v>0</v>
      </c>
      <c r="L954">
        <v>1</v>
      </c>
      <c r="M954">
        <v>2</v>
      </c>
      <c r="N954" s="7">
        <v>9</v>
      </c>
      <c r="O954" s="7">
        <v>0</v>
      </c>
      <c r="P954" s="7">
        <v>0</v>
      </c>
      <c r="Q954" s="7">
        <v>0</v>
      </c>
      <c r="R954" s="7">
        <v>1</v>
      </c>
      <c r="S954" s="7">
        <v>4.5</v>
      </c>
      <c r="T954">
        <v>7</v>
      </c>
      <c r="U954" s="1">
        <v>33</v>
      </c>
      <c r="V954">
        <v>0</v>
      </c>
      <c r="W954">
        <v>0</v>
      </c>
      <c r="X954">
        <v>1</v>
      </c>
      <c r="Y954">
        <v>0.16</v>
      </c>
      <c r="Z954">
        <v>23</v>
      </c>
      <c r="AA954">
        <v>0</v>
      </c>
      <c r="AB954">
        <v>0</v>
      </c>
      <c r="AC954">
        <v>0</v>
      </c>
      <c r="AD954">
        <v>1</v>
      </c>
      <c r="AE954">
        <v>0.05</v>
      </c>
      <c r="AF954">
        <v>15</v>
      </c>
      <c r="AG954">
        <v>0</v>
      </c>
      <c r="AH954">
        <v>0</v>
      </c>
      <c r="AI954">
        <v>0</v>
      </c>
      <c r="AJ954">
        <v>1</v>
      </c>
      <c r="AK954">
        <v>0.02</v>
      </c>
      <c r="AL954">
        <v>16</v>
      </c>
      <c r="AM954">
        <v>0</v>
      </c>
      <c r="AN954">
        <v>0</v>
      </c>
      <c r="AO954">
        <v>0</v>
      </c>
      <c r="AP954">
        <v>1</v>
      </c>
      <c r="AQ954">
        <v>0.01</v>
      </c>
      <c r="AX954">
        <v>7</v>
      </c>
      <c r="AY954" s="1">
        <v>17</v>
      </c>
      <c r="AZ954">
        <v>0</v>
      </c>
      <c r="BA954">
        <v>0</v>
      </c>
      <c r="BB954">
        <v>1</v>
      </c>
      <c r="BC954" s="7">
        <v>0.32</v>
      </c>
      <c r="BD954">
        <v>30</v>
      </c>
      <c r="BE954">
        <v>0</v>
      </c>
      <c r="BF954">
        <v>0</v>
      </c>
      <c r="BG954">
        <v>0</v>
      </c>
      <c r="BH954">
        <v>5</v>
      </c>
      <c r="BI954">
        <v>2.4</v>
      </c>
      <c r="BJ954">
        <v>31</v>
      </c>
      <c r="BK954">
        <v>0</v>
      </c>
      <c r="BL954">
        <v>0</v>
      </c>
      <c r="BM954">
        <v>0</v>
      </c>
      <c r="BN954">
        <v>5</v>
      </c>
      <c r="BO954">
        <v>2.4</v>
      </c>
      <c r="BP954">
        <v>36</v>
      </c>
      <c r="BQ954">
        <v>0</v>
      </c>
      <c r="BR954">
        <v>0</v>
      </c>
      <c r="BS954">
        <v>0</v>
      </c>
      <c r="BT954">
        <v>5</v>
      </c>
      <c r="BU954">
        <v>1.9</v>
      </c>
    </row>
    <row r="955" spans="1:73" ht="14.25" x14ac:dyDescent="0.15">
      <c r="A955" s="12">
        <v>20402</v>
      </c>
      <c r="B955">
        <v>7</v>
      </c>
      <c r="C955" s="1">
        <v>46</v>
      </c>
      <c r="D955">
        <v>0</v>
      </c>
      <c r="E955">
        <v>0</v>
      </c>
      <c r="F955">
        <v>1</v>
      </c>
      <c r="G955" s="7">
        <v>0.05</v>
      </c>
      <c r="H955">
        <v>12</v>
      </c>
      <c r="I955">
        <v>0</v>
      </c>
      <c r="J955">
        <v>0</v>
      </c>
      <c r="K955">
        <v>0</v>
      </c>
      <c r="L955">
        <v>1</v>
      </c>
      <c r="M955">
        <v>2</v>
      </c>
      <c r="N955" s="7">
        <v>9</v>
      </c>
      <c r="O955" s="7">
        <v>0</v>
      </c>
      <c r="P955" s="7">
        <v>0</v>
      </c>
      <c r="Q955" s="7">
        <v>0</v>
      </c>
      <c r="R955" s="7">
        <v>1</v>
      </c>
      <c r="S955" s="7">
        <v>4.5</v>
      </c>
      <c r="T955">
        <v>7</v>
      </c>
      <c r="U955" s="1">
        <v>34</v>
      </c>
      <c r="V955">
        <v>0</v>
      </c>
      <c r="W955">
        <v>0</v>
      </c>
      <c r="X955">
        <v>1</v>
      </c>
      <c r="Y955">
        <v>0.16</v>
      </c>
      <c r="Z955">
        <v>23</v>
      </c>
      <c r="AA955">
        <v>0</v>
      </c>
      <c r="AB955">
        <v>0</v>
      </c>
      <c r="AC955">
        <v>0</v>
      </c>
      <c r="AD955">
        <v>1</v>
      </c>
      <c r="AE955">
        <v>0.05</v>
      </c>
      <c r="AF955">
        <v>15</v>
      </c>
      <c r="AG955">
        <v>0</v>
      </c>
      <c r="AH955">
        <v>0</v>
      </c>
      <c r="AI955">
        <v>0</v>
      </c>
      <c r="AJ955">
        <v>1</v>
      </c>
      <c r="AK955">
        <v>0.02</v>
      </c>
      <c r="AL955">
        <v>16</v>
      </c>
      <c r="AM955">
        <v>0</v>
      </c>
      <c r="AN955">
        <v>0</v>
      </c>
      <c r="AO955">
        <v>0</v>
      </c>
      <c r="AP955">
        <v>1</v>
      </c>
      <c r="AQ955">
        <v>0.01</v>
      </c>
      <c r="AX955">
        <v>7</v>
      </c>
      <c r="AY955" s="1">
        <v>18</v>
      </c>
      <c r="AZ955">
        <v>0</v>
      </c>
      <c r="BA955">
        <v>0</v>
      </c>
      <c r="BB955">
        <v>1</v>
      </c>
      <c r="BC955" s="7">
        <v>0.32</v>
      </c>
      <c r="BD955">
        <v>30</v>
      </c>
      <c r="BE955">
        <v>0</v>
      </c>
      <c r="BF955">
        <v>0</v>
      </c>
      <c r="BG955">
        <v>0</v>
      </c>
      <c r="BH955">
        <v>5</v>
      </c>
      <c r="BI955">
        <v>2.4</v>
      </c>
      <c r="BJ955">
        <v>31</v>
      </c>
      <c r="BK955">
        <v>0</v>
      </c>
      <c r="BL955">
        <v>0</v>
      </c>
      <c r="BM955">
        <v>0</v>
      </c>
      <c r="BN955">
        <v>5</v>
      </c>
      <c r="BO955">
        <v>2.4</v>
      </c>
      <c r="BP955">
        <v>36</v>
      </c>
      <c r="BQ955">
        <v>0</v>
      </c>
      <c r="BR955">
        <v>0</v>
      </c>
      <c r="BS955">
        <v>0</v>
      </c>
      <c r="BT955">
        <v>5</v>
      </c>
      <c r="BU955">
        <v>1.9</v>
      </c>
    </row>
    <row r="956" spans="1:73" ht="14.25" x14ac:dyDescent="0.15">
      <c r="A956" s="12">
        <v>20403</v>
      </c>
      <c r="B956">
        <v>7</v>
      </c>
      <c r="C956" s="1">
        <v>47</v>
      </c>
      <c r="D956">
        <v>0</v>
      </c>
      <c r="E956">
        <v>0</v>
      </c>
      <c r="F956">
        <v>1</v>
      </c>
      <c r="G956" s="7">
        <v>0.05</v>
      </c>
      <c r="H956">
        <v>12</v>
      </c>
      <c r="I956">
        <v>0</v>
      </c>
      <c r="J956">
        <v>0</v>
      </c>
      <c r="K956">
        <v>0</v>
      </c>
      <c r="L956">
        <v>1</v>
      </c>
      <c r="M956">
        <v>2</v>
      </c>
      <c r="N956" s="7">
        <v>9</v>
      </c>
      <c r="O956" s="7">
        <v>0</v>
      </c>
      <c r="P956" s="7">
        <v>0</v>
      </c>
      <c r="Q956" s="7">
        <v>0</v>
      </c>
      <c r="R956" s="7">
        <v>1</v>
      </c>
      <c r="S956" s="7">
        <v>4.5</v>
      </c>
      <c r="T956">
        <v>7</v>
      </c>
      <c r="U956" s="1">
        <v>35</v>
      </c>
      <c r="V956">
        <v>0</v>
      </c>
      <c r="W956">
        <v>0</v>
      </c>
      <c r="X956">
        <v>1</v>
      </c>
      <c r="Y956">
        <v>0.16</v>
      </c>
      <c r="Z956">
        <v>23</v>
      </c>
      <c r="AA956">
        <v>0</v>
      </c>
      <c r="AB956">
        <v>0</v>
      </c>
      <c r="AC956">
        <v>0</v>
      </c>
      <c r="AD956">
        <v>1</v>
      </c>
      <c r="AE956">
        <v>0.05</v>
      </c>
      <c r="AF956">
        <v>15</v>
      </c>
      <c r="AG956">
        <v>0</v>
      </c>
      <c r="AH956">
        <v>0</v>
      </c>
      <c r="AI956">
        <v>0</v>
      </c>
      <c r="AJ956">
        <v>1</v>
      </c>
      <c r="AK956">
        <v>0.02</v>
      </c>
      <c r="AL956">
        <v>16</v>
      </c>
      <c r="AM956">
        <v>0</v>
      </c>
      <c r="AN956">
        <v>0</v>
      </c>
      <c r="AO956">
        <v>0</v>
      </c>
      <c r="AP956">
        <v>1</v>
      </c>
      <c r="AQ956">
        <v>0.01</v>
      </c>
      <c r="AX956">
        <v>7</v>
      </c>
      <c r="AY956" s="1">
        <v>19</v>
      </c>
      <c r="AZ956">
        <v>0</v>
      </c>
      <c r="BA956">
        <v>0</v>
      </c>
      <c r="BB956">
        <v>1</v>
      </c>
      <c r="BC956" s="7">
        <v>0.32</v>
      </c>
      <c r="BD956">
        <v>30</v>
      </c>
      <c r="BE956">
        <v>0</v>
      </c>
      <c r="BF956">
        <v>0</v>
      </c>
      <c r="BG956">
        <v>0</v>
      </c>
      <c r="BH956">
        <v>5</v>
      </c>
      <c r="BI956">
        <v>2.4</v>
      </c>
      <c r="BJ956">
        <v>31</v>
      </c>
      <c r="BK956">
        <v>0</v>
      </c>
      <c r="BL956">
        <v>0</v>
      </c>
      <c r="BM956">
        <v>0</v>
      </c>
      <c r="BN956">
        <v>5</v>
      </c>
      <c r="BO956">
        <v>2.4</v>
      </c>
      <c r="BP956">
        <v>36</v>
      </c>
      <c r="BQ956">
        <v>0</v>
      </c>
      <c r="BR956">
        <v>0</v>
      </c>
      <c r="BS956">
        <v>0</v>
      </c>
      <c r="BT956">
        <v>5</v>
      </c>
      <c r="BU956">
        <v>1.9</v>
      </c>
    </row>
    <row r="957" spans="1:73" ht="14.25" x14ac:dyDescent="0.15">
      <c r="A957" s="12">
        <v>20404</v>
      </c>
      <c r="B957">
        <v>7</v>
      </c>
      <c r="C957" s="1">
        <v>48</v>
      </c>
      <c r="D957">
        <v>0</v>
      </c>
      <c r="E957">
        <v>0</v>
      </c>
      <c r="F957">
        <v>1</v>
      </c>
      <c r="G957" s="7">
        <v>0.05</v>
      </c>
      <c r="H957">
        <v>12</v>
      </c>
      <c r="I957">
        <v>0</v>
      </c>
      <c r="J957">
        <v>0</v>
      </c>
      <c r="K957">
        <v>0</v>
      </c>
      <c r="L957">
        <v>1</v>
      </c>
      <c r="M957">
        <v>2</v>
      </c>
      <c r="N957" s="7">
        <v>9</v>
      </c>
      <c r="O957" s="7">
        <v>0</v>
      </c>
      <c r="P957" s="7">
        <v>0</v>
      </c>
      <c r="Q957" s="7">
        <v>0</v>
      </c>
      <c r="R957" s="7">
        <v>1</v>
      </c>
      <c r="S957" s="7">
        <v>4.5</v>
      </c>
      <c r="T957">
        <v>7</v>
      </c>
      <c r="U957" s="1">
        <v>36</v>
      </c>
      <c r="V957">
        <v>0</v>
      </c>
      <c r="W957">
        <v>0</v>
      </c>
      <c r="X957">
        <v>1</v>
      </c>
      <c r="Y957">
        <v>0.16</v>
      </c>
      <c r="Z957">
        <v>23</v>
      </c>
      <c r="AA957">
        <v>0</v>
      </c>
      <c r="AB957">
        <v>0</v>
      </c>
      <c r="AC957">
        <v>0</v>
      </c>
      <c r="AD957">
        <v>1</v>
      </c>
      <c r="AE957">
        <v>0.05</v>
      </c>
      <c r="AF957">
        <v>15</v>
      </c>
      <c r="AG957">
        <v>0</v>
      </c>
      <c r="AH957">
        <v>0</v>
      </c>
      <c r="AI957">
        <v>0</v>
      </c>
      <c r="AJ957">
        <v>1</v>
      </c>
      <c r="AK957">
        <v>0.02</v>
      </c>
      <c r="AL957">
        <v>16</v>
      </c>
      <c r="AM957">
        <v>0</v>
      </c>
      <c r="AN957">
        <v>0</v>
      </c>
      <c r="AO957">
        <v>0</v>
      </c>
      <c r="AP957">
        <v>1</v>
      </c>
      <c r="AQ957">
        <v>0.01</v>
      </c>
      <c r="AX957">
        <v>7</v>
      </c>
      <c r="AY957" s="1">
        <v>20</v>
      </c>
      <c r="AZ957">
        <v>0</v>
      </c>
      <c r="BA957">
        <v>0</v>
      </c>
      <c r="BB957">
        <v>1</v>
      </c>
      <c r="BC957" s="7">
        <v>0.32</v>
      </c>
      <c r="BD957">
        <v>30</v>
      </c>
      <c r="BE957">
        <v>0</v>
      </c>
      <c r="BF957">
        <v>0</v>
      </c>
      <c r="BG957">
        <v>0</v>
      </c>
      <c r="BH957">
        <v>5</v>
      </c>
      <c r="BI957">
        <v>2.4</v>
      </c>
      <c r="BJ957">
        <v>31</v>
      </c>
      <c r="BK957">
        <v>0</v>
      </c>
      <c r="BL957">
        <v>0</v>
      </c>
      <c r="BM957">
        <v>0</v>
      </c>
      <c r="BN957">
        <v>5</v>
      </c>
      <c r="BO957">
        <v>2.4</v>
      </c>
      <c r="BP957">
        <v>36</v>
      </c>
      <c r="BQ957">
        <v>0</v>
      </c>
      <c r="BR957">
        <v>0</v>
      </c>
      <c r="BS957">
        <v>0</v>
      </c>
      <c r="BT957">
        <v>5</v>
      </c>
      <c r="BU957">
        <v>1.9</v>
      </c>
    </row>
    <row r="958" spans="1:73" ht="14.25" x14ac:dyDescent="0.15">
      <c r="A958" s="12">
        <v>20405</v>
      </c>
      <c r="B958">
        <v>7</v>
      </c>
      <c r="C958" s="1">
        <v>0</v>
      </c>
      <c r="D958">
        <v>5</v>
      </c>
      <c r="E958">
        <v>1</v>
      </c>
      <c r="F958">
        <v>1</v>
      </c>
      <c r="G958" s="7">
        <v>0.05</v>
      </c>
      <c r="H958">
        <v>12</v>
      </c>
      <c r="I958">
        <v>0</v>
      </c>
      <c r="J958">
        <v>0</v>
      </c>
      <c r="K958">
        <v>0</v>
      </c>
      <c r="L958">
        <v>1</v>
      </c>
      <c r="M958">
        <v>2</v>
      </c>
      <c r="N958" s="7">
        <v>9</v>
      </c>
      <c r="O958" s="7">
        <v>0</v>
      </c>
      <c r="P958" s="7">
        <v>0</v>
      </c>
      <c r="Q958" s="7">
        <v>0</v>
      </c>
      <c r="R958" s="7">
        <v>1</v>
      </c>
      <c r="S958" s="7">
        <v>4.5</v>
      </c>
      <c r="T958">
        <v>7</v>
      </c>
      <c r="U958" s="1">
        <v>0</v>
      </c>
      <c r="V958">
        <v>4</v>
      </c>
      <c r="W958">
        <v>2</v>
      </c>
      <c r="X958">
        <v>1</v>
      </c>
      <c r="Y958">
        <v>0.16</v>
      </c>
      <c r="Z958">
        <v>23</v>
      </c>
      <c r="AA958">
        <v>0</v>
      </c>
      <c r="AB958">
        <v>0</v>
      </c>
      <c r="AC958">
        <v>0</v>
      </c>
      <c r="AD958">
        <v>1</v>
      </c>
      <c r="AE958">
        <v>0.05</v>
      </c>
      <c r="AF958">
        <v>15</v>
      </c>
      <c r="AG958">
        <v>0</v>
      </c>
      <c r="AH958">
        <v>0</v>
      </c>
      <c r="AI958">
        <v>0</v>
      </c>
      <c r="AJ958">
        <v>1</v>
      </c>
      <c r="AK958">
        <v>0.02</v>
      </c>
      <c r="AL958">
        <v>16</v>
      </c>
      <c r="AM958">
        <v>0</v>
      </c>
      <c r="AN958">
        <v>0</v>
      </c>
      <c r="AO958">
        <v>0</v>
      </c>
      <c r="AP958">
        <v>1</v>
      </c>
      <c r="AQ958">
        <v>0.01</v>
      </c>
      <c r="AR958">
        <v>6</v>
      </c>
      <c r="AS958">
        <v>2</v>
      </c>
      <c r="AT958">
        <v>1</v>
      </c>
      <c r="AU958">
        <v>5</v>
      </c>
      <c r="AV958">
        <v>1</v>
      </c>
      <c r="AW958">
        <v>0.05</v>
      </c>
      <c r="AX958">
        <v>7</v>
      </c>
      <c r="AY958" s="1">
        <v>0</v>
      </c>
      <c r="AZ958">
        <v>3</v>
      </c>
      <c r="BA958">
        <v>1</v>
      </c>
      <c r="BB958">
        <v>1</v>
      </c>
      <c r="BC958" s="7">
        <v>0.32</v>
      </c>
      <c r="BD958">
        <v>30</v>
      </c>
      <c r="BE958">
        <v>0</v>
      </c>
      <c r="BF958">
        <v>0</v>
      </c>
      <c r="BG958">
        <v>0</v>
      </c>
      <c r="BH958">
        <v>5</v>
      </c>
      <c r="BI958">
        <v>2.4</v>
      </c>
      <c r="BJ958">
        <v>31</v>
      </c>
      <c r="BK958">
        <v>0</v>
      </c>
      <c r="BL958">
        <v>0</v>
      </c>
      <c r="BM958">
        <v>0</v>
      </c>
      <c r="BN958">
        <v>5</v>
      </c>
      <c r="BO958">
        <v>2.4</v>
      </c>
      <c r="BP958">
        <v>36</v>
      </c>
      <c r="BQ958">
        <v>0</v>
      </c>
      <c r="BR958">
        <v>0</v>
      </c>
      <c r="BS958">
        <v>0</v>
      </c>
      <c r="BT958">
        <v>5</v>
      </c>
      <c r="BU958">
        <v>1.9</v>
      </c>
    </row>
    <row r="959" spans="1:73" ht="14.25" x14ac:dyDescent="0.15">
      <c r="A959" s="12">
        <v>20406</v>
      </c>
      <c r="B959">
        <v>7</v>
      </c>
      <c r="C959" s="1">
        <v>45</v>
      </c>
      <c r="D959">
        <v>0</v>
      </c>
      <c r="E959">
        <v>0</v>
      </c>
      <c r="F959">
        <v>1</v>
      </c>
      <c r="G959" s="7">
        <v>0.05</v>
      </c>
      <c r="H959">
        <v>12</v>
      </c>
      <c r="I959">
        <v>0</v>
      </c>
      <c r="J959">
        <v>0</v>
      </c>
      <c r="K959">
        <v>0</v>
      </c>
      <c r="L959">
        <v>1</v>
      </c>
      <c r="M959">
        <v>2</v>
      </c>
      <c r="N959" s="7">
        <v>9</v>
      </c>
      <c r="O959" s="7">
        <v>0</v>
      </c>
      <c r="P959" s="7">
        <v>0</v>
      </c>
      <c r="Q959" s="7">
        <v>0</v>
      </c>
      <c r="R959" s="7">
        <v>1</v>
      </c>
      <c r="S959" s="7">
        <v>4.5</v>
      </c>
      <c r="T959">
        <v>7</v>
      </c>
      <c r="U959" s="1">
        <v>33</v>
      </c>
      <c r="V959">
        <v>0</v>
      </c>
      <c r="W959">
        <v>0</v>
      </c>
      <c r="X959">
        <v>1</v>
      </c>
      <c r="Y959">
        <v>0.16</v>
      </c>
      <c r="Z959">
        <v>23</v>
      </c>
      <c r="AA959">
        <v>0</v>
      </c>
      <c r="AB959">
        <v>0</v>
      </c>
      <c r="AC959">
        <v>0</v>
      </c>
      <c r="AD959">
        <v>1</v>
      </c>
      <c r="AE959">
        <v>0.05</v>
      </c>
      <c r="AF959">
        <v>15</v>
      </c>
      <c r="AG959">
        <v>0</v>
      </c>
      <c r="AH959">
        <v>0</v>
      </c>
      <c r="AI959">
        <v>0</v>
      </c>
      <c r="AJ959">
        <v>1</v>
      </c>
      <c r="AK959">
        <v>0.02</v>
      </c>
      <c r="AL959">
        <v>16</v>
      </c>
      <c r="AM959">
        <v>0</v>
      </c>
      <c r="AN959">
        <v>0</v>
      </c>
      <c r="AO959">
        <v>0</v>
      </c>
      <c r="AP959">
        <v>1</v>
      </c>
      <c r="AQ959">
        <v>0.01</v>
      </c>
      <c r="AX959">
        <v>7</v>
      </c>
      <c r="AY959" s="1">
        <v>17</v>
      </c>
      <c r="AZ959">
        <v>0</v>
      </c>
      <c r="BA959">
        <v>0</v>
      </c>
      <c r="BB959">
        <v>1</v>
      </c>
      <c r="BC959" s="7">
        <v>0.32</v>
      </c>
      <c r="BD959">
        <v>30</v>
      </c>
      <c r="BE959">
        <v>0</v>
      </c>
      <c r="BF959">
        <v>0</v>
      </c>
      <c r="BG959">
        <v>0</v>
      </c>
      <c r="BH959">
        <v>5</v>
      </c>
      <c r="BI959">
        <v>2.4</v>
      </c>
      <c r="BJ959">
        <v>31</v>
      </c>
      <c r="BK959">
        <v>0</v>
      </c>
      <c r="BL959">
        <v>0</v>
      </c>
      <c r="BM959">
        <v>0</v>
      </c>
      <c r="BN959">
        <v>5</v>
      </c>
      <c r="BO959">
        <v>2.4</v>
      </c>
      <c r="BP959">
        <v>36</v>
      </c>
      <c r="BQ959">
        <v>0</v>
      </c>
      <c r="BR959">
        <v>0</v>
      </c>
      <c r="BS959">
        <v>0</v>
      </c>
      <c r="BT959">
        <v>5</v>
      </c>
      <c r="BU959">
        <v>1.9</v>
      </c>
    </row>
    <row r="960" spans="1:73" ht="14.25" x14ac:dyDescent="0.15">
      <c r="A960" s="12">
        <v>20407</v>
      </c>
      <c r="B960">
        <v>7</v>
      </c>
      <c r="C960" s="1">
        <v>46</v>
      </c>
      <c r="D960">
        <v>0</v>
      </c>
      <c r="E960">
        <v>0</v>
      </c>
      <c r="F960">
        <v>1</v>
      </c>
      <c r="G960" s="7">
        <v>0.05</v>
      </c>
      <c r="H960">
        <v>12</v>
      </c>
      <c r="I960">
        <v>0</v>
      </c>
      <c r="J960">
        <v>0</v>
      </c>
      <c r="K960">
        <v>0</v>
      </c>
      <c r="L960">
        <v>1</v>
      </c>
      <c r="M960">
        <v>2</v>
      </c>
      <c r="N960" s="7">
        <v>9</v>
      </c>
      <c r="O960" s="7">
        <v>0</v>
      </c>
      <c r="P960" s="7">
        <v>0</v>
      </c>
      <c r="Q960" s="7">
        <v>0</v>
      </c>
      <c r="R960" s="7">
        <v>1</v>
      </c>
      <c r="S960" s="7">
        <v>4.5</v>
      </c>
      <c r="T960">
        <v>7</v>
      </c>
      <c r="U960" s="1">
        <v>34</v>
      </c>
      <c r="V960">
        <v>0</v>
      </c>
      <c r="W960">
        <v>0</v>
      </c>
      <c r="X960">
        <v>1</v>
      </c>
      <c r="Y960">
        <v>0.16</v>
      </c>
      <c r="Z960">
        <v>23</v>
      </c>
      <c r="AA960">
        <v>0</v>
      </c>
      <c r="AB960">
        <v>0</v>
      </c>
      <c r="AC960">
        <v>0</v>
      </c>
      <c r="AD960">
        <v>1</v>
      </c>
      <c r="AE960">
        <v>0.05</v>
      </c>
      <c r="AF960">
        <v>15</v>
      </c>
      <c r="AG960">
        <v>0</v>
      </c>
      <c r="AH960">
        <v>0</v>
      </c>
      <c r="AI960">
        <v>0</v>
      </c>
      <c r="AJ960">
        <v>1</v>
      </c>
      <c r="AK960">
        <v>0.02</v>
      </c>
      <c r="AL960">
        <v>16</v>
      </c>
      <c r="AM960">
        <v>0</v>
      </c>
      <c r="AN960">
        <v>0</v>
      </c>
      <c r="AO960">
        <v>0</v>
      </c>
      <c r="AP960">
        <v>1</v>
      </c>
      <c r="AQ960">
        <v>0.01</v>
      </c>
      <c r="AX960">
        <v>7</v>
      </c>
      <c r="AY960" s="1">
        <v>18</v>
      </c>
      <c r="AZ960">
        <v>0</v>
      </c>
      <c r="BA960">
        <v>0</v>
      </c>
      <c r="BB960">
        <v>1</v>
      </c>
      <c r="BC960" s="7">
        <v>0.32</v>
      </c>
      <c r="BD960">
        <v>30</v>
      </c>
      <c r="BE960">
        <v>0</v>
      </c>
      <c r="BF960">
        <v>0</v>
      </c>
      <c r="BG960">
        <v>0</v>
      </c>
      <c r="BH960">
        <v>5</v>
      </c>
      <c r="BI960">
        <v>2.4</v>
      </c>
      <c r="BJ960">
        <v>31</v>
      </c>
      <c r="BK960">
        <v>0</v>
      </c>
      <c r="BL960">
        <v>0</v>
      </c>
      <c r="BM960">
        <v>0</v>
      </c>
      <c r="BN960">
        <v>5</v>
      </c>
      <c r="BO960">
        <v>2.4</v>
      </c>
      <c r="BP960">
        <v>36</v>
      </c>
      <c r="BQ960">
        <v>0</v>
      </c>
      <c r="BR960">
        <v>0</v>
      </c>
      <c r="BS960">
        <v>0</v>
      </c>
      <c r="BT960">
        <v>5</v>
      </c>
      <c r="BU960">
        <v>1.9</v>
      </c>
    </row>
    <row r="961" spans="1:73" ht="14.25" x14ac:dyDescent="0.15">
      <c r="A961" s="12">
        <v>20408</v>
      </c>
      <c r="B961">
        <v>7</v>
      </c>
      <c r="C961" s="1">
        <v>47</v>
      </c>
      <c r="D961">
        <v>0</v>
      </c>
      <c r="E961">
        <v>0</v>
      </c>
      <c r="F961">
        <v>1</v>
      </c>
      <c r="G961" s="7">
        <v>0.05</v>
      </c>
      <c r="H961">
        <v>12</v>
      </c>
      <c r="I961">
        <v>0</v>
      </c>
      <c r="J961">
        <v>0</v>
      </c>
      <c r="K961">
        <v>0</v>
      </c>
      <c r="L961">
        <v>1</v>
      </c>
      <c r="M961">
        <v>2</v>
      </c>
      <c r="N961" s="7">
        <v>9</v>
      </c>
      <c r="O961" s="7">
        <v>0</v>
      </c>
      <c r="P961" s="7">
        <v>0</v>
      </c>
      <c r="Q961" s="7">
        <v>0</v>
      </c>
      <c r="R961" s="7">
        <v>1</v>
      </c>
      <c r="S961" s="7">
        <v>4.5</v>
      </c>
      <c r="T961">
        <v>7</v>
      </c>
      <c r="U961" s="1">
        <v>35</v>
      </c>
      <c r="V961">
        <v>0</v>
      </c>
      <c r="W961">
        <v>0</v>
      </c>
      <c r="X961">
        <v>1</v>
      </c>
      <c r="Y961">
        <v>0.16</v>
      </c>
      <c r="Z961">
        <v>23</v>
      </c>
      <c r="AA961">
        <v>0</v>
      </c>
      <c r="AB961">
        <v>0</v>
      </c>
      <c r="AC961">
        <v>0</v>
      </c>
      <c r="AD961">
        <v>1</v>
      </c>
      <c r="AE961">
        <v>0.05</v>
      </c>
      <c r="AF961">
        <v>15</v>
      </c>
      <c r="AG961">
        <v>0</v>
      </c>
      <c r="AH961">
        <v>0</v>
      </c>
      <c r="AI961">
        <v>0</v>
      </c>
      <c r="AJ961">
        <v>1</v>
      </c>
      <c r="AK961">
        <v>0.02</v>
      </c>
      <c r="AL961">
        <v>16</v>
      </c>
      <c r="AM961">
        <v>0</v>
      </c>
      <c r="AN961">
        <v>0</v>
      </c>
      <c r="AO961">
        <v>0</v>
      </c>
      <c r="AP961">
        <v>1</v>
      </c>
      <c r="AQ961">
        <v>0.01</v>
      </c>
      <c r="AX961">
        <v>7</v>
      </c>
      <c r="AY961" s="1">
        <v>19</v>
      </c>
      <c r="AZ961">
        <v>0</v>
      </c>
      <c r="BA961">
        <v>0</v>
      </c>
      <c r="BB961">
        <v>1</v>
      </c>
      <c r="BC961" s="7">
        <v>0.32</v>
      </c>
      <c r="BD961">
        <v>30</v>
      </c>
      <c r="BE961">
        <v>0</v>
      </c>
      <c r="BF961">
        <v>0</v>
      </c>
      <c r="BG961">
        <v>0</v>
      </c>
      <c r="BH961">
        <v>5</v>
      </c>
      <c r="BI961">
        <v>2.4</v>
      </c>
      <c r="BJ961">
        <v>31</v>
      </c>
      <c r="BK961">
        <v>0</v>
      </c>
      <c r="BL961">
        <v>0</v>
      </c>
      <c r="BM961">
        <v>0</v>
      </c>
      <c r="BN961">
        <v>5</v>
      </c>
      <c r="BO961">
        <v>2.4</v>
      </c>
      <c r="BP961">
        <v>36</v>
      </c>
      <c r="BQ961">
        <v>0</v>
      </c>
      <c r="BR961">
        <v>0</v>
      </c>
      <c r="BS961">
        <v>0</v>
      </c>
      <c r="BT961">
        <v>5</v>
      </c>
      <c r="BU961">
        <v>1.9</v>
      </c>
    </row>
    <row r="962" spans="1:73" ht="14.25" x14ac:dyDescent="0.15">
      <c r="A962" s="12">
        <v>20409</v>
      </c>
      <c r="B962">
        <v>7</v>
      </c>
      <c r="C962" s="1">
        <v>48</v>
      </c>
      <c r="D962">
        <v>0</v>
      </c>
      <c r="E962">
        <v>0</v>
      </c>
      <c r="F962">
        <v>1</v>
      </c>
      <c r="G962" s="7">
        <v>0.05</v>
      </c>
      <c r="H962">
        <v>12</v>
      </c>
      <c r="I962">
        <v>0</v>
      </c>
      <c r="J962">
        <v>0</v>
      </c>
      <c r="K962">
        <v>0</v>
      </c>
      <c r="L962">
        <v>1</v>
      </c>
      <c r="M962">
        <v>2</v>
      </c>
      <c r="N962" s="7">
        <v>9</v>
      </c>
      <c r="O962" s="7">
        <v>0</v>
      </c>
      <c r="P962" s="7">
        <v>0</v>
      </c>
      <c r="Q962" s="7">
        <v>0</v>
      </c>
      <c r="R962" s="7">
        <v>1</v>
      </c>
      <c r="S962" s="7">
        <v>4.5</v>
      </c>
      <c r="T962">
        <v>7</v>
      </c>
      <c r="U962" s="1">
        <v>36</v>
      </c>
      <c r="V962">
        <v>0</v>
      </c>
      <c r="W962">
        <v>0</v>
      </c>
      <c r="X962">
        <v>1</v>
      </c>
      <c r="Y962">
        <v>0.16</v>
      </c>
      <c r="Z962">
        <v>23</v>
      </c>
      <c r="AA962">
        <v>0</v>
      </c>
      <c r="AB962">
        <v>0</v>
      </c>
      <c r="AC962">
        <v>0</v>
      </c>
      <c r="AD962">
        <v>1</v>
      </c>
      <c r="AE962">
        <v>0.05</v>
      </c>
      <c r="AF962">
        <v>15</v>
      </c>
      <c r="AG962">
        <v>0</v>
      </c>
      <c r="AH962">
        <v>0</v>
      </c>
      <c r="AI962">
        <v>0</v>
      </c>
      <c r="AJ962">
        <v>1</v>
      </c>
      <c r="AK962">
        <v>0.02</v>
      </c>
      <c r="AL962">
        <v>16</v>
      </c>
      <c r="AM962">
        <v>0</v>
      </c>
      <c r="AN962">
        <v>0</v>
      </c>
      <c r="AO962">
        <v>0</v>
      </c>
      <c r="AP962">
        <v>1</v>
      </c>
      <c r="AQ962">
        <v>0.01</v>
      </c>
      <c r="AX962">
        <v>7</v>
      </c>
      <c r="AY962" s="1">
        <v>20</v>
      </c>
      <c r="AZ962">
        <v>0</v>
      </c>
      <c r="BA962">
        <v>0</v>
      </c>
      <c r="BB962">
        <v>1</v>
      </c>
      <c r="BC962" s="7">
        <v>0.32</v>
      </c>
      <c r="BD962">
        <v>30</v>
      </c>
      <c r="BE962">
        <v>0</v>
      </c>
      <c r="BF962">
        <v>0</v>
      </c>
      <c r="BG962">
        <v>0</v>
      </c>
      <c r="BH962">
        <v>5</v>
      </c>
      <c r="BI962">
        <v>2.4</v>
      </c>
      <c r="BJ962">
        <v>31</v>
      </c>
      <c r="BK962">
        <v>0</v>
      </c>
      <c r="BL962">
        <v>0</v>
      </c>
      <c r="BM962">
        <v>0</v>
      </c>
      <c r="BN962">
        <v>5</v>
      </c>
      <c r="BO962">
        <v>2.4</v>
      </c>
      <c r="BP962">
        <v>36</v>
      </c>
      <c r="BQ962">
        <v>0</v>
      </c>
      <c r="BR962">
        <v>0</v>
      </c>
      <c r="BS962">
        <v>0</v>
      </c>
      <c r="BT962">
        <v>5</v>
      </c>
      <c r="BU962">
        <v>1.9</v>
      </c>
    </row>
    <row r="963" spans="1:73" ht="14.25" x14ac:dyDescent="0.15">
      <c r="A963" s="12">
        <v>20410</v>
      </c>
      <c r="B963">
        <v>7</v>
      </c>
      <c r="C963" s="1">
        <v>0</v>
      </c>
      <c r="D963">
        <v>5</v>
      </c>
      <c r="E963">
        <v>1</v>
      </c>
      <c r="F963">
        <v>1</v>
      </c>
      <c r="G963" s="7">
        <v>0.05</v>
      </c>
      <c r="H963">
        <v>12</v>
      </c>
      <c r="I963">
        <v>0</v>
      </c>
      <c r="J963">
        <v>0</v>
      </c>
      <c r="K963">
        <v>0</v>
      </c>
      <c r="L963">
        <v>1</v>
      </c>
      <c r="M963">
        <v>2</v>
      </c>
      <c r="N963" s="7">
        <v>9</v>
      </c>
      <c r="O963" s="7">
        <v>0</v>
      </c>
      <c r="P963" s="7">
        <v>0</v>
      </c>
      <c r="Q963" s="7">
        <v>0</v>
      </c>
      <c r="R963" s="7">
        <v>1</v>
      </c>
      <c r="S963" s="7">
        <v>4.5</v>
      </c>
      <c r="T963">
        <v>7</v>
      </c>
      <c r="U963" s="1">
        <v>0</v>
      </c>
      <c r="V963">
        <v>4</v>
      </c>
      <c r="W963">
        <v>2</v>
      </c>
      <c r="X963">
        <v>1</v>
      </c>
      <c r="Y963">
        <v>0.16</v>
      </c>
      <c r="Z963">
        <v>23</v>
      </c>
      <c r="AA963">
        <v>0</v>
      </c>
      <c r="AB963">
        <v>0</v>
      </c>
      <c r="AC963">
        <v>0</v>
      </c>
      <c r="AD963">
        <v>1</v>
      </c>
      <c r="AE963">
        <v>0.05</v>
      </c>
      <c r="AF963">
        <v>15</v>
      </c>
      <c r="AG963">
        <v>0</v>
      </c>
      <c r="AH963">
        <v>0</v>
      </c>
      <c r="AI963">
        <v>0</v>
      </c>
      <c r="AJ963">
        <v>1</v>
      </c>
      <c r="AK963">
        <v>0.02</v>
      </c>
      <c r="AL963">
        <v>16</v>
      </c>
      <c r="AM963">
        <v>0</v>
      </c>
      <c r="AN963">
        <v>0</v>
      </c>
      <c r="AO963">
        <v>0</v>
      </c>
      <c r="AP963">
        <v>1</v>
      </c>
      <c r="AQ963">
        <v>0.01</v>
      </c>
      <c r="AR963">
        <v>6</v>
      </c>
      <c r="AS963">
        <v>2</v>
      </c>
      <c r="AT963">
        <v>2</v>
      </c>
      <c r="AU963">
        <v>5</v>
      </c>
      <c r="AV963">
        <v>1</v>
      </c>
      <c r="AW963">
        <v>0.05</v>
      </c>
      <c r="AX963">
        <v>7</v>
      </c>
      <c r="AY963" s="1">
        <v>0</v>
      </c>
      <c r="AZ963">
        <v>3</v>
      </c>
      <c r="BA963">
        <v>1</v>
      </c>
      <c r="BB963">
        <v>1</v>
      </c>
      <c r="BC963" s="7">
        <v>0.32</v>
      </c>
      <c r="BD963">
        <v>30</v>
      </c>
      <c r="BE963">
        <v>0</v>
      </c>
      <c r="BF963">
        <v>0</v>
      </c>
      <c r="BG963">
        <v>0</v>
      </c>
      <c r="BH963">
        <v>5</v>
      </c>
      <c r="BI963">
        <v>2.4</v>
      </c>
      <c r="BJ963">
        <v>31</v>
      </c>
      <c r="BK963">
        <v>0</v>
      </c>
      <c r="BL963">
        <v>0</v>
      </c>
      <c r="BM963">
        <v>0</v>
      </c>
      <c r="BN963">
        <v>5</v>
      </c>
      <c r="BO963">
        <v>2.4</v>
      </c>
      <c r="BP963">
        <v>36</v>
      </c>
      <c r="BQ963">
        <v>0</v>
      </c>
      <c r="BR963">
        <v>0</v>
      </c>
      <c r="BS963">
        <v>0</v>
      </c>
      <c r="BT963">
        <v>5</v>
      </c>
      <c r="BU963">
        <v>1.9</v>
      </c>
    </row>
    <row r="964" spans="1:73" ht="14.25" x14ac:dyDescent="0.15">
      <c r="A964" s="12">
        <v>20411</v>
      </c>
      <c r="B964">
        <v>7</v>
      </c>
      <c r="C964" s="1">
        <v>45</v>
      </c>
      <c r="D964">
        <v>0</v>
      </c>
      <c r="E964">
        <v>0</v>
      </c>
      <c r="F964">
        <v>1</v>
      </c>
      <c r="G964" s="7">
        <v>0.05</v>
      </c>
      <c r="H964">
        <v>12</v>
      </c>
      <c r="I964">
        <v>0</v>
      </c>
      <c r="J964">
        <v>0</v>
      </c>
      <c r="K964">
        <v>0</v>
      </c>
      <c r="L964">
        <v>1</v>
      </c>
      <c r="M964">
        <v>2</v>
      </c>
      <c r="N964" s="7">
        <v>9</v>
      </c>
      <c r="O964" s="7">
        <v>0</v>
      </c>
      <c r="P964" s="7">
        <v>0</v>
      </c>
      <c r="Q964" s="7">
        <v>0</v>
      </c>
      <c r="R964" s="7">
        <v>1</v>
      </c>
      <c r="S964" s="7">
        <v>4.5</v>
      </c>
      <c r="T964">
        <v>7</v>
      </c>
      <c r="U964" s="1">
        <v>33</v>
      </c>
      <c r="V964">
        <v>0</v>
      </c>
      <c r="W964">
        <v>0</v>
      </c>
      <c r="X964">
        <v>1</v>
      </c>
      <c r="Y964">
        <v>0.16</v>
      </c>
      <c r="Z964">
        <v>23</v>
      </c>
      <c r="AA964">
        <v>0</v>
      </c>
      <c r="AB964">
        <v>0</v>
      </c>
      <c r="AC964">
        <v>0</v>
      </c>
      <c r="AD964">
        <v>1</v>
      </c>
      <c r="AE964">
        <v>0.05</v>
      </c>
      <c r="AF964">
        <v>15</v>
      </c>
      <c r="AG964">
        <v>0</v>
      </c>
      <c r="AH964">
        <v>0</v>
      </c>
      <c r="AI964">
        <v>0</v>
      </c>
      <c r="AJ964">
        <v>1</v>
      </c>
      <c r="AK964">
        <v>0.02</v>
      </c>
      <c r="AL964">
        <v>16</v>
      </c>
      <c r="AM964">
        <v>0</v>
      </c>
      <c r="AN964">
        <v>0</v>
      </c>
      <c r="AO964">
        <v>0</v>
      </c>
      <c r="AP964">
        <v>1</v>
      </c>
      <c r="AQ964">
        <v>0.01</v>
      </c>
      <c r="AX964">
        <v>7</v>
      </c>
      <c r="AY964" s="1">
        <v>17</v>
      </c>
      <c r="AZ964">
        <v>0</v>
      </c>
      <c r="BA964">
        <v>0</v>
      </c>
      <c r="BB964">
        <v>1</v>
      </c>
      <c r="BC964" s="7">
        <v>0.32</v>
      </c>
      <c r="BD964">
        <v>30</v>
      </c>
      <c r="BE964">
        <v>0</v>
      </c>
      <c r="BF964">
        <v>0</v>
      </c>
      <c r="BG964">
        <v>0</v>
      </c>
      <c r="BH964">
        <v>5</v>
      </c>
      <c r="BI964">
        <v>2.4</v>
      </c>
      <c r="BJ964">
        <v>31</v>
      </c>
      <c r="BK964">
        <v>0</v>
      </c>
      <c r="BL964">
        <v>0</v>
      </c>
      <c r="BM964">
        <v>0</v>
      </c>
      <c r="BN964">
        <v>5</v>
      </c>
      <c r="BO964">
        <v>2.4</v>
      </c>
      <c r="BP964">
        <v>36</v>
      </c>
      <c r="BQ964">
        <v>0</v>
      </c>
      <c r="BR964">
        <v>0</v>
      </c>
      <c r="BS964">
        <v>0</v>
      </c>
      <c r="BT964">
        <v>5</v>
      </c>
      <c r="BU964">
        <v>1.9</v>
      </c>
    </row>
    <row r="965" spans="1:73" ht="14.25" x14ac:dyDescent="0.15">
      <c r="A965" s="12">
        <v>20412</v>
      </c>
      <c r="B965">
        <v>7</v>
      </c>
      <c r="C965" s="1">
        <v>46</v>
      </c>
      <c r="D965">
        <v>0</v>
      </c>
      <c r="E965">
        <v>0</v>
      </c>
      <c r="F965">
        <v>1</v>
      </c>
      <c r="G965" s="7">
        <v>0.05</v>
      </c>
      <c r="H965">
        <v>12</v>
      </c>
      <c r="I965">
        <v>0</v>
      </c>
      <c r="J965">
        <v>0</v>
      </c>
      <c r="K965">
        <v>0</v>
      </c>
      <c r="L965">
        <v>1</v>
      </c>
      <c r="M965">
        <v>2</v>
      </c>
      <c r="N965" s="7">
        <v>9</v>
      </c>
      <c r="O965" s="7">
        <v>0</v>
      </c>
      <c r="P965" s="7">
        <v>0</v>
      </c>
      <c r="Q965" s="7">
        <v>0</v>
      </c>
      <c r="R965" s="7">
        <v>1</v>
      </c>
      <c r="S965" s="7">
        <v>4.5</v>
      </c>
      <c r="T965">
        <v>7</v>
      </c>
      <c r="U965" s="1">
        <v>34</v>
      </c>
      <c r="V965">
        <v>0</v>
      </c>
      <c r="W965">
        <v>0</v>
      </c>
      <c r="X965">
        <v>1</v>
      </c>
      <c r="Y965">
        <v>0.16</v>
      </c>
      <c r="Z965">
        <v>23</v>
      </c>
      <c r="AA965">
        <v>0</v>
      </c>
      <c r="AB965">
        <v>0</v>
      </c>
      <c r="AC965">
        <v>0</v>
      </c>
      <c r="AD965">
        <v>1</v>
      </c>
      <c r="AE965">
        <v>0.05</v>
      </c>
      <c r="AF965">
        <v>15</v>
      </c>
      <c r="AG965">
        <v>0</v>
      </c>
      <c r="AH965">
        <v>0</v>
      </c>
      <c r="AI965">
        <v>0</v>
      </c>
      <c r="AJ965">
        <v>1</v>
      </c>
      <c r="AK965">
        <v>0.02</v>
      </c>
      <c r="AL965">
        <v>16</v>
      </c>
      <c r="AM965">
        <v>0</v>
      </c>
      <c r="AN965">
        <v>0</v>
      </c>
      <c r="AO965">
        <v>0</v>
      </c>
      <c r="AP965">
        <v>1</v>
      </c>
      <c r="AQ965">
        <v>0.01</v>
      </c>
      <c r="AX965">
        <v>7</v>
      </c>
      <c r="AY965" s="1">
        <v>18</v>
      </c>
      <c r="AZ965">
        <v>0</v>
      </c>
      <c r="BA965">
        <v>0</v>
      </c>
      <c r="BB965">
        <v>1</v>
      </c>
      <c r="BC965" s="7">
        <v>0.32</v>
      </c>
      <c r="BD965">
        <v>30</v>
      </c>
      <c r="BE965">
        <v>0</v>
      </c>
      <c r="BF965">
        <v>0</v>
      </c>
      <c r="BG965">
        <v>0</v>
      </c>
      <c r="BH965">
        <v>5</v>
      </c>
      <c r="BI965">
        <v>2.4</v>
      </c>
      <c r="BJ965">
        <v>31</v>
      </c>
      <c r="BK965">
        <v>0</v>
      </c>
      <c r="BL965">
        <v>0</v>
      </c>
      <c r="BM965">
        <v>0</v>
      </c>
      <c r="BN965">
        <v>5</v>
      </c>
      <c r="BO965">
        <v>2.4</v>
      </c>
      <c r="BP965">
        <v>36</v>
      </c>
      <c r="BQ965">
        <v>0</v>
      </c>
      <c r="BR965">
        <v>0</v>
      </c>
      <c r="BS965">
        <v>0</v>
      </c>
      <c r="BT965">
        <v>5</v>
      </c>
      <c r="BU965">
        <v>1.9</v>
      </c>
    </row>
    <row r="966" spans="1:73" ht="14.25" x14ac:dyDescent="0.15">
      <c r="A966" s="12">
        <v>20413</v>
      </c>
      <c r="B966">
        <v>7</v>
      </c>
      <c r="C966" s="1">
        <v>47</v>
      </c>
      <c r="D966">
        <v>0</v>
      </c>
      <c r="E966">
        <v>0</v>
      </c>
      <c r="F966">
        <v>1</v>
      </c>
      <c r="G966" s="7">
        <v>0.05</v>
      </c>
      <c r="H966">
        <v>12</v>
      </c>
      <c r="I966">
        <v>0</v>
      </c>
      <c r="J966">
        <v>0</v>
      </c>
      <c r="K966">
        <v>0</v>
      </c>
      <c r="L966">
        <v>1</v>
      </c>
      <c r="M966">
        <v>2</v>
      </c>
      <c r="N966" s="7">
        <v>9</v>
      </c>
      <c r="O966" s="7">
        <v>0</v>
      </c>
      <c r="P966" s="7">
        <v>0</v>
      </c>
      <c r="Q966" s="7">
        <v>0</v>
      </c>
      <c r="R966" s="7">
        <v>1</v>
      </c>
      <c r="S966" s="7">
        <v>4.5</v>
      </c>
      <c r="T966">
        <v>7</v>
      </c>
      <c r="U966" s="1">
        <v>35</v>
      </c>
      <c r="V966">
        <v>0</v>
      </c>
      <c r="W966">
        <v>0</v>
      </c>
      <c r="X966">
        <v>1</v>
      </c>
      <c r="Y966">
        <v>0.16</v>
      </c>
      <c r="Z966">
        <v>23</v>
      </c>
      <c r="AA966">
        <v>0</v>
      </c>
      <c r="AB966">
        <v>0</v>
      </c>
      <c r="AC966">
        <v>0</v>
      </c>
      <c r="AD966">
        <v>1</v>
      </c>
      <c r="AE966">
        <v>0.05</v>
      </c>
      <c r="AF966">
        <v>15</v>
      </c>
      <c r="AG966">
        <v>0</v>
      </c>
      <c r="AH966">
        <v>0</v>
      </c>
      <c r="AI966">
        <v>0</v>
      </c>
      <c r="AJ966">
        <v>1</v>
      </c>
      <c r="AK966">
        <v>0.02</v>
      </c>
      <c r="AL966">
        <v>16</v>
      </c>
      <c r="AM966">
        <v>0</v>
      </c>
      <c r="AN966">
        <v>0</v>
      </c>
      <c r="AO966">
        <v>0</v>
      </c>
      <c r="AP966">
        <v>1</v>
      </c>
      <c r="AQ966">
        <v>0.01</v>
      </c>
      <c r="AX966">
        <v>7</v>
      </c>
      <c r="AY966" s="1">
        <v>19</v>
      </c>
      <c r="AZ966">
        <v>0</v>
      </c>
      <c r="BA966">
        <v>0</v>
      </c>
      <c r="BB966">
        <v>1</v>
      </c>
      <c r="BC966" s="7">
        <v>0.32</v>
      </c>
      <c r="BD966">
        <v>30</v>
      </c>
      <c r="BE966">
        <v>0</v>
      </c>
      <c r="BF966">
        <v>0</v>
      </c>
      <c r="BG966">
        <v>0</v>
      </c>
      <c r="BH966">
        <v>5</v>
      </c>
      <c r="BI966">
        <v>2.4</v>
      </c>
      <c r="BJ966">
        <v>31</v>
      </c>
      <c r="BK966">
        <v>0</v>
      </c>
      <c r="BL966">
        <v>0</v>
      </c>
      <c r="BM966">
        <v>0</v>
      </c>
      <c r="BN966">
        <v>5</v>
      </c>
      <c r="BO966">
        <v>2.4</v>
      </c>
      <c r="BP966">
        <v>36</v>
      </c>
      <c r="BQ966">
        <v>0</v>
      </c>
      <c r="BR966">
        <v>0</v>
      </c>
      <c r="BS966">
        <v>0</v>
      </c>
      <c r="BT966">
        <v>5</v>
      </c>
      <c r="BU966">
        <v>1.9</v>
      </c>
    </row>
    <row r="967" spans="1:73" ht="14.25" x14ac:dyDescent="0.15">
      <c r="A967" s="12">
        <v>20414</v>
      </c>
      <c r="B967">
        <v>7</v>
      </c>
      <c r="C967" s="1">
        <v>48</v>
      </c>
      <c r="D967">
        <v>0</v>
      </c>
      <c r="E967">
        <v>0</v>
      </c>
      <c r="F967">
        <v>1</v>
      </c>
      <c r="G967" s="7">
        <v>0.05</v>
      </c>
      <c r="H967">
        <v>12</v>
      </c>
      <c r="I967">
        <v>0</v>
      </c>
      <c r="J967">
        <v>0</v>
      </c>
      <c r="K967">
        <v>0</v>
      </c>
      <c r="L967">
        <v>1</v>
      </c>
      <c r="M967">
        <v>2</v>
      </c>
      <c r="N967" s="7">
        <v>9</v>
      </c>
      <c r="O967" s="7">
        <v>0</v>
      </c>
      <c r="P967" s="7">
        <v>0</v>
      </c>
      <c r="Q967" s="7">
        <v>0</v>
      </c>
      <c r="R967" s="7">
        <v>1</v>
      </c>
      <c r="S967" s="7">
        <v>4.5</v>
      </c>
      <c r="T967">
        <v>7</v>
      </c>
      <c r="U967" s="1">
        <v>36</v>
      </c>
      <c r="V967">
        <v>0</v>
      </c>
      <c r="W967">
        <v>0</v>
      </c>
      <c r="X967">
        <v>1</v>
      </c>
      <c r="Y967">
        <v>0.16</v>
      </c>
      <c r="Z967">
        <v>23</v>
      </c>
      <c r="AA967">
        <v>0</v>
      </c>
      <c r="AB967">
        <v>0</v>
      </c>
      <c r="AC967">
        <v>0</v>
      </c>
      <c r="AD967">
        <v>1</v>
      </c>
      <c r="AE967">
        <v>0.05</v>
      </c>
      <c r="AF967">
        <v>15</v>
      </c>
      <c r="AG967">
        <v>0</v>
      </c>
      <c r="AH967">
        <v>0</v>
      </c>
      <c r="AI967">
        <v>0</v>
      </c>
      <c r="AJ967">
        <v>1</v>
      </c>
      <c r="AK967">
        <v>0.02</v>
      </c>
      <c r="AL967">
        <v>16</v>
      </c>
      <c r="AM967">
        <v>0</v>
      </c>
      <c r="AN967">
        <v>0</v>
      </c>
      <c r="AO967">
        <v>0</v>
      </c>
      <c r="AP967">
        <v>1</v>
      </c>
      <c r="AQ967">
        <v>0.01</v>
      </c>
      <c r="AX967">
        <v>7</v>
      </c>
      <c r="AY967" s="1">
        <v>20</v>
      </c>
      <c r="AZ967">
        <v>0</v>
      </c>
      <c r="BA967">
        <v>0</v>
      </c>
      <c r="BB967">
        <v>1</v>
      </c>
      <c r="BC967" s="7">
        <v>0.32</v>
      </c>
      <c r="BD967">
        <v>30</v>
      </c>
      <c r="BE967">
        <v>0</v>
      </c>
      <c r="BF967">
        <v>0</v>
      </c>
      <c r="BG967">
        <v>0</v>
      </c>
      <c r="BH967">
        <v>5</v>
      </c>
      <c r="BI967">
        <v>2.4</v>
      </c>
      <c r="BJ967">
        <v>31</v>
      </c>
      <c r="BK967">
        <v>0</v>
      </c>
      <c r="BL967">
        <v>0</v>
      </c>
      <c r="BM967">
        <v>0</v>
      </c>
      <c r="BN967">
        <v>5</v>
      </c>
      <c r="BO967">
        <v>2.4</v>
      </c>
      <c r="BP967">
        <v>36</v>
      </c>
      <c r="BQ967">
        <v>0</v>
      </c>
      <c r="BR967">
        <v>0</v>
      </c>
      <c r="BS967">
        <v>0</v>
      </c>
      <c r="BT967">
        <v>5</v>
      </c>
      <c r="BU967">
        <v>1.9</v>
      </c>
    </row>
    <row r="968" spans="1:73" ht="14.25" x14ac:dyDescent="0.15">
      <c r="A968" s="12">
        <v>20415</v>
      </c>
      <c r="B968">
        <v>7</v>
      </c>
      <c r="C968" s="1">
        <v>0</v>
      </c>
      <c r="D968">
        <v>5</v>
      </c>
      <c r="E968">
        <v>1</v>
      </c>
      <c r="F968">
        <v>1</v>
      </c>
      <c r="G968" s="7">
        <v>0.05</v>
      </c>
      <c r="H968">
        <v>12</v>
      </c>
      <c r="I968">
        <v>0</v>
      </c>
      <c r="J968">
        <v>0</v>
      </c>
      <c r="K968">
        <v>0</v>
      </c>
      <c r="L968">
        <v>1</v>
      </c>
      <c r="M968">
        <v>2</v>
      </c>
      <c r="N968" s="7">
        <v>9</v>
      </c>
      <c r="O968" s="7">
        <v>0</v>
      </c>
      <c r="P968" s="7">
        <v>0</v>
      </c>
      <c r="Q968" s="7">
        <v>0</v>
      </c>
      <c r="R968" s="7">
        <v>1</v>
      </c>
      <c r="S968" s="7">
        <v>4.5</v>
      </c>
      <c r="T968">
        <v>7</v>
      </c>
      <c r="U968" s="1">
        <v>0</v>
      </c>
      <c r="V968">
        <v>4</v>
      </c>
      <c r="W968">
        <v>2</v>
      </c>
      <c r="X968">
        <v>1</v>
      </c>
      <c r="Y968">
        <v>0.16</v>
      </c>
      <c r="Z968">
        <v>23</v>
      </c>
      <c r="AA968">
        <v>0</v>
      </c>
      <c r="AB968">
        <v>0</v>
      </c>
      <c r="AC968">
        <v>0</v>
      </c>
      <c r="AD968">
        <v>1</v>
      </c>
      <c r="AE968">
        <v>0.05</v>
      </c>
      <c r="AF968">
        <v>15</v>
      </c>
      <c r="AG968">
        <v>0</v>
      </c>
      <c r="AH968">
        <v>0</v>
      </c>
      <c r="AI968">
        <v>0</v>
      </c>
      <c r="AJ968">
        <v>1</v>
      </c>
      <c r="AK968">
        <v>0.02</v>
      </c>
      <c r="AL968">
        <v>16</v>
      </c>
      <c r="AM968">
        <v>0</v>
      </c>
      <c r="AN968">
        <v>0</v>
      </c>
      <c r="AO968">
        <v>0</v>
      </c>
      <c r="AP968">
        <v>1</v>
      </c>
      <c r="AQ968">
        <v>0.01</v>
      </c>
      <c r="AR968">
        <v>6</v>
      </c>
      <c r="AS968">
        <v>2</v>
      </c>
      <c r="AT968">
        <v>3</v>
      </c>
      <c r="AU968">
        <v>5</v>
      </c>
      <c r="AV968">
        <v>1</v>
      </c>
      <c r="AW968">
        <v>0.05</v>
      </c>
      <c r="AX968">
        <v>7</v>
      </c>
      <c r="AY968" s="1">
        <v>0</v>
      </c>
      <c r="AZ968">
        <v>3</v>
      </c>
      <c r="BA968">
        <v>1</v>
      </c>
      <c r="BB968">
        <v>1</v>
      </c>
      <c r="BC968" s="7">
        <v>0.32</v>
      </c>
      <c r="BD968">
        <v>30</v>
      </c>
      <c r="BE968">
        <v>0</v>
      </c>
      <c r="BF968">
        <v>0</v>
      </c>
      <c r="BG968">
        <v>0</v>
      </c>
      <c r="BH968">
        <v>5</v>
      </c>
      <c r="BI968">
        <v>2.4</v>
      </c>
      <c r="BJ968">
        <v>31</v>
      </c>
      <c r="BK968">
        <v>0</v>
      </c>
      <c r="BL968">
        <v>0</v>
      </c>
      <c r="BM968">
        <v>0</v>
      </c>
      <c r="BN968">
        <v>5</v>
      </c>
      <c r="BO968">
        <v>2.4</v>
      </c>
      <c r="BP968">
        <v>36</v>
      </c>
      <c r="BQ968">
        <v>0</v>
      </c>
      <c r="BR968">
        <v>0</v>
      </c>
      <c r="BS968">
        <v>0</v>
      </c>
      <c r="BT968">
        <v>5</v>
      </c>
      <c r="BU968">
        <v>1.9</v>
      </c>
    </row>
    <row r="969" spans="1:73" ht="14.25" x14ac:dyDescent="0.15">
      <c r="A969" s="12">
        <v>20416</v>
      </c>
      <c r="B969">
        <v>7</v>
      </c>
      <c r="C969" s="1">
        <v>45</v>
      </c>
      <c r="D969">
        <v>0</v>
      </c>
      <c r="E969">
        <v>0</v>
      </c>
      <c r="F969">
        <v>1</v>
      </c>
      <c r="G969" s="7">
        <v>0.05</v>
      </c>
      <c r="H969">
        <v>12</v>
      </c>
      <c r="I969">
        <v>0</v>
      </c>
      <c r="J969">
        <v>0</v>
      </c>
      <c r="K969">
        <v>0</v>
      </c>
      <c r="L969">
        <v>1</v>
      </c>
      <c r="M969">
        <v>2</v>
      </c>
      <c r="N969" s="7">
        <v>9</v>
      </c>
      <c r="O969" s="7">
        <v>0</v>
      </c>
      <c r="P969" s="7">
        <v>0</v>
      </c>
      <c r="Q969" s="7">
        <v>0</v>
      </c>
      <c r="R969" s="7">
        <v>1</v>
      </c>
      <c r="S969" s="7">
        <v>4.5</v>
      </c>
      <c r="T969">
        <v>7</v>
      </c>
      <c r="U969" s="1">
        <v>33</v>
      </c>
      <c r="V969">
        <v>0</v>
      </c>
      <c r="W969">
        <v>0</v>
      </c>
      <c r="X969">
        <v>1</v>
      </c>
      <c r="Y969">
        <v>0.16</v>
      </c>
      <c r="Z969">
        <v>23</v>
      </c>
      <c r="AA969">
        <v>0</v>
      </c>
      <c r="AB969">
        <v>0</v>
      </c>
      <c r="AC969">
        <v>0</v>
      </c>
      <c r="AD969">
        <v>1</v>
      </c>
      <c r="AE969">
        <v>0.05</v>
      </c>
      <c r="AF969">
        <v>15</v>
      </c>
      <c r="AG969">
        <v>0</v>
      </c>
      <c r="AH969">
        <v>0</v>
      </c>
      <c r="AI969">
        <v>0</v>
      </c>
      <c r="AJ969">
        <v>1</v>
      </c>
      <c r="AK969">
        <v>0.02</v>
      </c>
      <c r="AL969">
        <v>16</v>
      </c>
      <c r="AM969">
        <v>0</v>
      </c>
      <c r="AN969">
        <v>0</v>
      </c>
      <c r="AO969">
        <v>0</v>
      </c>
      <c r="AP969">
        <v>1</v>
      </c>
      <c r="AQ969">
        <v>0.01</v>
      </c>
      <c r="AX969">
        <v>7</v>
      </c>
      <c r="AY969" s="1">
        <v>17</v>
      </c>
      <c r="AZ969">
        <v>0</v>
      </c>
      <c r="BA969">
        <v>0</v>
      </c>
      <c r="BB969">
        <v>1</v>
      </c>
      <c r="BC969" s="7">
        <v>0.32</v>
      </c>
      <c r="BD969">
        <v>30</v>
      </c>
      <c r="BE969">
        <v>0</v>
      </c>
      <c r="BF969">
        <v>0</v>
      </c>
      <c r="BG969">
        <v>0</v>
      </c>
      <c r="BH969">
        <v>5</v>
      </c>
      <c r="BI969">
        <v>2.4</v>
      </c>
      <c r="BJ969">
        <v>31</v>
      </c>
      <c r="BK969">
        <v>0</v>
      </c>
      <c r="BL969">
        <v>0</v>
      </c>
      <c r="BM969">
        <v>0</v>
      </c>
      <c r="BN969">
        <v>5</v>
      </c>
      <c r="BO969">
        <v>2.4</v>
      </c>
      <c r="BP969">
        <v>36</v>
      </c>
      <c r="BQ969">
        <v>0</v>
      </c>
      <c r="BR969">
        <v>0</v>
      </c>
      <c r="BS969">
        <v>0</v>
      </c>
      <c r="BT969">
        <v>5</v>
      </c>
      <c r="BU969">
        <v>1.9</v>
      </c>
    </row>
    <row r="970" spans="1:73" ht="14.25" x14ac:dyDescent="0.15">
      <c r="A970" s="12">
        <v>20417</v>
      </c>
      <c r="B970">
        <v>7</v>
      </c>
      <c r="C970" s="1">
        <v>46</v>
      </c>
      <c r="D970">
        <v>0</v>
      </c>
      <c r="E970">
        <v>0</v>
      </c>
      <c r="F970">
        <v>1</v>
      </c>
      <c r="G970" s="7">
        <v>0.05</v>
      </c>
      <c r="H970">
        <v>12</v>
      </c>
      <c r="I970">
        <v>0</v>
      </c>
      <c r="J970">
        <v>0</v>
      </c>
      <c r="K970">
        <v>0</v>
      </c>
      <c r="L970">
        <v>1</v>
      </c>
      <c r="M970">
        <v>2</v>
      </c>
      <c r="N970" s="7">
        <v>9</v>
      </c>
      <c r="O970" s="7">
        <v>0</v>
      </c>
      <c r="P970" s="7">
        <v>0</v>
      </c>
      <c r="Q970" s="7">
        <v>0</v>
      </c>
      <c r="R970" s="7">
        <v>1</v>
      </c>
      <c r="S970" s="7">
        <v>4.5</v>
      </c>
      <c r="T970">
        <v>7</v>
      </c>
      <c r="U970" s="1">
        <v>34</v>
      </c>
      <c r="V970">
        <v>0</v>
      </c>
      <c r="W970">
        <v>0</v>
      </c>
      <c r="X970">
        <v>1</v>
      </c>
      <c r="Y970">
        <v>0.16</v>
      </c>
      <c r="Z970">
        <v>23</v>
      </c>
      <c r="AA970">
        <v>0</v>
      </c>
      <c r="AB970">
        <v>0</v>
      </c>
      <c r="AC970">
        <v>0</v>
      </c>
      <c r="AD970">
        <v>1</v>
      </c>
      <c r="AE970">
        <v>0.05</v>
      </c>
      <c r="AF970">
        <v>15</v>
      </c>
      <c r="AG970">
        <v>0</v>
      </c>
      <c r="AH970">
        <v>0</v>
      </c>
      <c r="AI970">
        <v>0</v>
      </c>
      <c r="AJ970">
        <v>1</v>
      </c>
      <c r="AK970">
        <v>0.02</v>
      </c>
      <c r="AL970">
        <v>16</v>
      </c>
      <c r="AM970">
        <v>0</v>
      </c>
      <c r="AN970">
        <v>0</v>
      </c>
      <c r="AO970">
        <v>0</v>
      </c>
      <c r="AP970">
        <v>1</v>
      </c>
      <c r="AQ970">
        <v>0.01</v>
      </c>
      <c r="AX970">
        <v>7</v>
      </c>
      <c r="AY970" s="1">
        <v>18</v>
      </c>
      <c r="AZ970">
        <v>0</v>
      </c>
      <c r="BA970">
        <v>0</v>
      </c>
      <c r="BB970">
        <v>1</v>
      </c>
      <c r="BC970" s="7">
        <v>0.32</v>
      </c>
      <c r="BD970">
        <v>30</v>
      </c>
      <c r="BE970">
        <v>0</v>
      </c>
      <c r="BF970">
        <v>0</v>
      </c>
      <c r="BG970">
        <v>0</v>
      </c>
      <c r="BH970">
        <v>5</v>
      </c>
      <c r="BI970">
        <v>2.4</v>
      </c>
      <c r="BJ970">
        <v>31</v>
      </c>
      <c r="BK970">
        <v>0</v>
      </c>
      <c r="BL970">
        <v>0</v>
      </c>
      <c r="BM970">
        <v>0</v>
      </c>
      <c r="BN970">
        <v>5</v>
      </c>
      <c r="BO970">
        <v>2.4</v>
      </c>
      <c r="BP970">
        <v>36</v>
      </c>
      <c r="BQ970">
        <v>0</v>
      </c>
      <c r="BR970">
        <v>0</v>
      </c>
      <c r="BS970">
        <v>0</v>
      </c>
      <c r="BT970">
        <v>5</v>
      </c>
      <c r="BU970">
        <v>1.9</v>
      </c>
    </row>
    <row r="971" spans="1:73" ht="14.25" x14ac:dyDescent="0.15">
      <c r="A971" s="12">
        <v>20418</v>
      </c>
      <c r="B971">
        <v>7</v>
      </c>
      <c r="C971" s="1">
        <v>47</v>
      </c>
      <c r="D971">
        <v>0</v>
      </c>
      <c r="E971">
        <v>0</v>
      </c>
      <c r="F971">
        <v>1</v>
      </c>
      <c r="G971" s="7">
        <v>0.05</v>
      </c>
      <c r="H971">
        <v>12</v>
      </c>
      <c r="I971">
        <v>0</v>
      </c>
      <c r="J971">
        <v>0</v>
      </c>
      <c r="K971">
        <v>0</v>
      </c>
      <c r="L971">
        <v>1</v>
      </c>
      <c r="M971">
        <v>2</v>
      </c>
      <c r="N971" s="7">
        <v>9</v>
      </c>
      <c r="O971" s="7">
        <v>0</v>
      </c>
      <c r="P971" s="7">
        <v>0</v>
      </c>
      <c r="Q971" s="7">
        <v>0</v>
      </c>
      <c r="R971" s="7">
        <v>1</v>
      </c>
      <c r="S971" s="7">
        <v>4.5</v>
      </c>
      <c r="T971">
        <v>7</v>
      </c>
      <c r="U971" s="1">
        <v>35</v>
      </c>
      <c r="V971">
        <v>0</v>
      </c>
      <c r="W971">
        <v>0</v>
      </c>
      <c r="X971">
        <v>1</v>
      </c>
      <c r="Y971">
        <v>0.16</v>
      </c>
      <c r="Z971">
        <v>23</v>
      </c>
      <c r="AA971">
        <v>0</v>
      </c>
      <c r="AB971">
        <v>0</v>
      </c>
      <c r="AC971">
        <v>0</v>
      </c>
      <c r="AD971">
        <v>1</v>
      </c>
      <c r="AE971">
        <v>0.05</v>
      </c>
      <c r="AF971">
        <v>15</v>
      </c>
      <c r="AG971">
        <v>0</v>
      </c>
      <c r="AH971">
        <v>0</v>
      </c>
      <c r="AI971">
        <v>0</v>
      </c>
      <c r="AJ971">
        <v>1</v>
      </c>
      <c r="AK971">
        <v>0.02</v>
      </c>
      <c r="AL971">
        <v>16</v>
      </c>
      <c r="AM971">
        <v>0</v>
      </c>
      <c r="AN971">
        <v>0</v>
      </c>
      <c r="AO971">
        <v>0</v>
      </c>
      <c r="AP971">
        <v>1</v>
      </c>
      <c r="AQ971">
        <v>0.01</v>
      </c>
      <c r="AX971">
        <v>7</v>
      </c>
      <c r="AY971" s="1">
        <v>19</v>
      </c>
      <c r="AZ971">
        <v>0</v>
      </c>
      <c r="BA971">
        <v>0</v>
      </c>
      <c r="BB971">
        <v>1</v>
      </c>
      <c r="BC971" s="7">
        <v>0.32</v>
      </c>
      <c r="BD971">
        <v>30</v>
      </c>
      <c r="BE971">
        <v>0</v>
      </c>
      <c r="BF971">
        <v>0</v>
      </c>
      <c r="BG971">
        <v>0</v>
      </c>
      <c r="BH971">
        <v>5</v>
      </c>
      <c r="BI971">
        <v>2.4</v>
      </c>
      <c r="BJ971">
        <v>31</v>
      </c>
      <c r="BK971">
        <v>0</v>
      </c>
      <c r="BL971">
        <v>0</v>
      </c>
      <c r="BM971">
        <v>0</v>
      </c>
      <c r="BN971">
        <v>5</v>
      </c>
      <c r="BO971">
        <v>2.4</v>
      </c>
      <c r="BP971">
        <v>36</v>
      </c>
      <c r="BQ971">
        <v>0</v>
      </c>
      <c r="BR971">
        <v>0</v>
      </c>
      <c r="BS971">
        <v>0</v>
      </c>
      <c r="BT971">
        <v>5</v>
      </c>
      <c r="BU971">
        <v>1.9</v>
      </c>
    </row>
    <row r="972" spans="1:73" ht="14.25" x14ac:dyDescent="0.15">
      <c r="A972" s="12">
        <v>20419</v>
      </c>
      <c r="B972">
        <v>7</v>
      </c>
      <c r="C972" s="1">
        <v>48</v>
      </c>
      <c r="D972">
        <v>0</v>
      </c>
      <c r="E972">
        <v>0</v>
      </c>
      <c r="F972">
        <v>1</v>
      </c>
      <c r="G972" s="7">
        <v>0.05</v>
      </c>
      <c r="H972">
        <v>12</v>
      </c>
      <c r="I972">
        <v>0</v>
      </c>
      <c r="J972">
        <v>0</v>
      </c>
      <c r="K972">
        <v>0</v>
      </c>
      <c r="L972">
        <v>1</v>
      </c>
      <c r="M972">
        <v>2</v>
      </c>
      <c r="N972" s="7">
        <v>9</v>
      </c>
      <c r="O972" s="7">
        <v>0</v>
      </c>
      <c r="P972" s="7">
        <v>0</v>
      </c>
      <c r="Q972" s="7">
        <v>0</v>
      </c>
      <c r="R972" s="7">
        <v>1</v>
      </c>
      <c r="S972" s="7">
        <v>4.5</v>
      </c>
      <c r="T972">
        <v>7</v>
      </c>
      <c r="U972" s="1">
        <v>36</v>
      </c>
      <c r="V972">
        <v>0</v>
      </c>
      <c r="W972">
        <v>0</v>
      </c>
      <c r="X972">
        <v>1</v>
      </c>
      <c r="Y972">
        <v>0.16</v>
      </c>
      <c r="Z972">
        <v>23</v>
      </c>
      <c r="AA972">
        <v>0</v>
      </c>
      <c r="AB972">
        <v>0</v>
      </c>
      <c r="AC972">
        <v>0</v>
      </c>
      <c r="AD972">
        <v>1</v>
      </c>
      <c r="AE972">
        <v>0.05</v>
      </c>
      <c r="AF972">
        <v>15</v>
      </c>
      <c r="AG972">
        <v>0</v>
      </c>
      <c r="AH972">
        <v>0</v>
      </c>
      <c r="AI972">
        <v>0</v>
      </c>
      <c r="AJ972">
        <v>1</v>
      </c>
      <c r="AK972">
        <v>0.02</v>
      </c>
      <c r="AL972">
        <v>16</v>
      </c>
      <c r="AM972">
        <v>0</v>
      </c>
      <c r="AN972">
        <v>0</v>
      </c>
      <c r="AO972">
        <v>0</v>
      </c>
      <c r="AP972">
        <v>1</v>
      </c>
      <c r="AQ972">
        <v>0.01</v>
      </c>
      <c r="AX972">
        <v>7</v>
      </c>
      <c r="AY972" s="1">
        <v>20</v>
      </c>
      <c r="AZ972">
        <v>0</v>
      </c>
      <c r="BA972">
        <v>0</v>
      </c>
      <c r="BB972">
        <v>1</v>
      </c>
      <c r="BC972" s="7">
        <v>0.32</v>
      </c>
      <c r="BD972">
        <v>30</v>
      </c>
      <c r="BE972">
        <v>0</v>
      </c>
      <c r="BF972">
        <v>0</v>
      </c>
      <c r="BG972">
        <v>0</v>
      </c>
      <c r="BH972">
        <v>5</v>
      </c>
      <c r="BI972">
        <v>2.4</v>
      </c>
      <c r="BJ972">
        <v>31</v>
      </c>
      <c r="BK972">
        <v>0</v>
      </c>
      <c r="BL972">
        <v>0</v>
      </c>
      <c r="BM972">
        <v>0</v>
      </c>
      <c r="BN972">
        <v>5</v>
      </c>
      <c r="BO972">
        <v>2.4</v>
      </c>
      <c r="BP972">
        <v>36</v>
      </c>
      <c r="BQ972">
        <v>0</v>
      </c>
      <c r="BR972">
        <v>0</v>
      </c>
      <c r="BS972">
        <v>0</v>
      </c>
      <c r="BT972">
        <v>5</v>
      </c>
      <c r="BU972">
        <v>1.9</v>
      </c>
    </row>
    <row r="973" spans="1:73" ht="14.25" x14ac:dyDescent="0.15">
      <c r="A973" s="12">
        <v>20420</v>
      </c>
      <c r="B973">
        <v>7</v>
      </c>
      <c r="C973" s="1">
        <v>0</v>
      </c>
      <c r="D973">
        <v>5</v>
      </c>
      <c r="E973">
        <v>1</v>
      </c>
      <c r="F973">
        <v>1</v>
      </c>
      <c r="G973" s="7">
        <v>0.05</v>
      </c>
      <c r="H973">
        <v>12</v>
      </c>
      <c r="I973">
        <v>0</v>
      </c>
      <c r="J973">
        <v>0</v>
      </c>
      <c r="K973">
        <v>0</v>
      </c>
      <c r="L973">
        <v>1</v>
      </c>
      <c r="M973">
        <v>2</v>
      </c>
      <c r="N973" s="7">
        <v>9</v>
      </c>
      <c r="O973" s="7">
        <v>0</v>
      </c>
      <c r="P973" s="7">
        <v>0</v>
      </c>
      <c r="Q973" s="7">
        <v>0</v>
      </c>
      <c r="R973" s="7">
        <v>1</v>
      </c>
      <c r="S973" s="7">
        <v>4.5</v>
      </c>
      <c r="T973">
        <v>7</v>
      </c>
      <c r="U973" s="1">
        <v>0</v>
      </c>
      <c r="V973">
        <v>4</v>
      </c>
      <c r="W973">
        <v>2</v>
      </c>
      <c r="X973">
        <v>1</v>
      </c>
      <c r="Y973">
        <v>0.16</v>
      </c>
      <c r="Z973">
        <v>23</v>
      </c>
      <c r="AA973">
        <v>0</v>
      </c>
      <c r="AB973">
        <v>0</v>
      </c>
      <c r="AC973">
        <v>0</v>
      </c>
      <c r="AD973">
        <v>1</v>
      </c>
      <c r="AE973">
        <v>0.05</v>
      </c>
      <c r="AF973">
        <v>15</v>
      </c>
      <c r="AG973">
        <v>0</v>
      </c>
      <c r="AH973">
        <v>0</v>
      </c>
      <c r="AI973">
        <v>0</v>
      </c>
      <c r="AJ973">
        <v>1</v>
      </c>
      <c r="AK973">
        <v>0.02</v>
      </c>
      <c r="AL973">
        <v>16</v>
      </c>
      <c r="AM973">
        <v>0</v>
      </c>
      <c r="AN973">
        <v>0</v>
      </c>
      <c r="AO973">
        <v>0</v>
      </c>
      <c r="AP973">
        <v>1</v>
      </c>
      <c r="AQ973">
        <v>0.01</v>
      </c>
      <c r="AR973">
        <v>6</v>
      </c>
      <c r="AS973">
        <v>2</v>
      </c>
      <c r="AT973">
        <v>4</v>
      </c>
      <c r="AU973">
        <v>5</v>
      </c>
      <c r="AV973">
        <v>1</v>
      </c>
      <c r="AW973">
        <v>0.01</v>
      </c>
      <c r="AX973">
        <v>7</v>
      </c>
      <c r="AY973" s="1">
        <v>0</v>
      </c>
      <c r="AZ973">
        <v>3</v>
      </c>
      <c r="BA973">
        <v>1</v>
      </c>
      <c r="BB973">
        <v>1</v>
      </c>
      <c r="BC973" s="7">
        <v>0.32</v>
      </c>
      <c r="BD973">
        <v>30</v>
      </c>
      <c r="BE973">
        <v>0</v>
      </c>
      <c r="BF973">
        <v>0</v>
      </c>
      <c r="BG973">
        <v>0</v>
      </c>
      <c r="BH973">
        <v>5</v>
      </c>
      <c r="BI973">
        <v>2.4</v>
      </c>
      <c r="BJ973">
        <v>31</v>
      </c>
      <c r="BK973">
        <v>0</v>
      </c>
      <c r="BL973">
        <v>0</v>
      </c>
      <c r="BM973">
        <v>0</v>
      </c>
      <c r="BN973">
        <v>5</v>
      </c>
      <c r="BO973">
        <v>2.4</v>
      </c>
      <c r="BP973">
        <v>36</v>
      </c>
      <c r="BQ973">
        <v>0</v>
      </c>
      <c r="BR973">
        <v>0</v>
      </c>
      <c r="BS973">
        <v>0</v>
      </c>
      <c r="BT973">
        <v>5</v>
      </c>
      <c r="BU973">
        <v>1.9</v>
      </c>
    </row>
    <row r="974" spans="1:73" ht="14.25" x14ac:dyDescent="0.15">
      <c r="A974" s="12">
        <v>20421</v>
      </c>
      <c r="B974">
        <v>7</v>
      </c>
      <c r="C974" s="1">
        <v>45</v>
      </c>
      <c r="D974">
        <v>0</v>
      </c>
      <c r="E974">
        <v>0</v>
      </c>
      <c r="F974">
        <v>1</v>
      </c>
      <c r="G974" s="7">
        <v>0.05</v>
      </c>
      <c r="H974">
        <v>12</v>
      </c>
      <c r="I974">
        <v>0</v>
      </c>
      <c r="J974">
        <v>0</v>
      </c>
      <c r="K974">
        <v>0</v>
      </c>
      <c r="L974">
        <v>1</v>
      </c>
      <c r="M974">
        <v>2</v>
      </c>
      <c r="N974" s="7">
        <v>9</v>
      </c>
      <c r="O974" s="7">
        <v>0</v>
      </c>
      <c r="P974" s="7">
        <v>0</v>
      </c>
      <c r="Q974" s="7">
        <v>0</v>
      </c>
      <c r="R974" s="7">
        <v>1</v>
      </c>
      <c r="S974" s="7">
        <v>4.5</v>
      </c>
      <c r="T974">
        <v>7</v>
      </c>
      <c r="U974" s="1">
        <v>33</v>
      </c>
      <c r="V974">
        <v>0</v>
      </c>
      <c r="W974">
        <v>0</v>
      </c>
      <c r="X974">
        <v>1</v>
      </c>
      <c r="Y974">
        <v>0.16</v>
      </c>
      <c r="Z974">
        <v>23</v>
      </c>
      <c r="AA974">
        <v>0</v>
      </c>
      <c r="AB974">
        <v>0</v>
      </c>
      <c r="AC974">
        <v>0</v>
      </c>
      <c r="AD974">
        <v>1</v>
      </c>
      <c r="AE974">
        <v>0.05</v>
      </c>
      <c r="AF974">
        <v>15</v>
      </c>
      <c r="AG974">
        <v>0</v>
      </c>
      <c r="AH974">
        <v>0</v>
      </c>
      <c r="AI974">
        <v>0</v>
      </c>
      <c r="AJ974">
        <v>1</v>
      </c>
      <c r="AK974">
        <v>0.02</v>
      </c>
      <c r="AL974">
        <v>16</v>
      </c>
      <c r="AM974">
        <v>0</v>
      </c>
      <c r="AN974">
        <v>0</v>
      </c>
      <c r="AO974">
        <v>0</v>
      </c>
      <c r="AP974">
        <v>1</v>
      </c>
      <c r="AQ974">
        <v>0.01</v>
      </c>
      <c r="AX974">
        <v>7</v>
      </c>
      <c r="AY974" s="1">
        <v>17</v>
      </c>
      <c r="AZ974">
        <v>0</v>
      </c>
      <c r="BA974">
        <v>0</v>
      </c>
      <c r="BB974">
        <v>1</v>
      </c>
      <c r="BC974" s="7">
        <v>0.32</v>
      </c>
      <c r="BD974">
        <v>30</v>
      </c>
      <c r="BE974">
        <v>0</v>
      </c>
      <c r="BF974">
        <v>0</v>
      </c>
      <c r="BG974">
        <v>0</v>
      </c>
      <c r="BH974">
        <v>5</v>
      </c>
      <c r="BI974">
        <v>2.4</v>
      </c>
      <c r="BJ974">
        <v>31</v>
      </c>
      <c r="BK974">
        <v>0</v>
      </c>
      <c r="BL974">
        <v>0</v>
      </c>
      <c r="BM974">
        <v>0</v>
      </c>
      <c r="BN974">
        <v>5</v>
      </c>
      <c r="BO974">
        <v>2.4</v>
      </c>
      <c r="BP974">
        <v>36</v>
      </c>
      <c r="BQ974">
        <v>0</v>
      </c>
      <c r="BR974">
        <v>0</v>
      </c>
      <c r="BS974">
        <v>0</v>
      </c>
      <c r="BT974">
        <v>5</v>
      </c>
      <c r="BU974">
        <v>1.9</v>
      </c>
    </row>
    <row r="975" spans="1:73" ht="14.25" x14ac:dyDescent="0.15">
      <c r="A975" s="12">
        <v>20422</v>
      </c>
      <c r="B975">
        <v>7</v>
      </c>
      <c r="C975" s="1">
        <v>46</v>
      </c>
      <c r="D975">
        <v>0</v>
      </c>
      <c r="E975">
        <v>0</v>
      </c>
      <c r="F975">
        <v>1</v>
      </c>
      <c r="G975" s="7">
        <v>0.05</v>
      </c>
      <c r="H975">
        <v>12</v>
      </c>
      <c r="I975">
        <v>0</v>
      </c>
      <c r="J975">
        <v>0</v>
      </c>
      <c r="K975">
        <v>0</v>
      </c>
      <c r="L975">
        <v>1</v>
      </c>
      <c r="M975">
        <v>2</v>
      </c>
      <c r="N975" s="7">
        <v>9</v>
      </c>
      <c r="O975" s="7">
        <v>0</v>
      </c>
      <c r="P975" s="7">
        <v>0</v>
      </c>
      <c r="Q975" s="7">
        <v>0</v>
      </c>
      <c r="R975" s="7">
        <v>1</v>
      </c>
      <c r="S975" s="7">
        <v>4.5</v>
      </c>
      <c r="T975">
        <v>7</v>
      </c>
      <c r="U975" s="1">
        <v>34</v>
      </c>
      <c r="V975">
        <v>0</v>
      </c>
      <c r="W975">
        <v>0</v>
      </c>
      <c r="X975">
        <v>1</v>
      </c>
      <c r="Y975">
        <v>0.16</v>
      </c>
      <c r="Z975">
        <v>23</v>
      </c>
      <c r="AA975">
        <v>0</v>
      </c>
      <c r="AB975">
        <v>0</v>
      </c>
      <c r="AC975">
        <v>0</v>
      </c>
      <c r="AD975">
        <v>1</v>
      </c>
      <c r="AE975">
        <v>0.05</v>
      </c>
      <c r="AF975">
        <v>15</v>
      </c>
      <c r="AG975">
        <v>0</v>
      </c>
      <c r="AH975">
        <v>0</v>
      </c>
      <c r="AI975">
        <v>0</v>
      </c>
      <c r="AJ975">
        <v>1</v>
      </c>
      <c r="AK975">
        <v>0.02</v>
      </c>
      <c r="AL975">
        <v>16</v>
      </c>
      <c r="AM975">
        <v>0</v>
      </c>
      <c r="AN975">
        <v>0</v>
      </c>
      <c r="AO975">
        <v>0</v>
      </c>
      <c r="AP975">
        <v>1</v>
      </c>
      <c r="AQ975">
        <v>0.01</v>
      </c>
      <c r="AX975">
        <v>7</v>
      </c>
      <c r="AY975" s="1">
        <v>18</v>
      </c>
      <c r="AZ975">
        <v>0</v>
      </c>
      <c r="BA975">
        <v>0</v>
      </c>
      <c r="BB975">
        <v>1</v>
      </c>
      <c r="BC975" s="7">
        <v>0.32</v>
      </c>
      <c r="BD975">
        <v>30</v>
      </c>
      <c r="BE975">
        <v>0</v>
      </c>
      <c r="BF975">
        <v>0</v>
      </c>
      <c r="BG975">
        <v>0</v>
      </c>
      <c r="BH975">
        <v>5</v>
      </c>
      <c r="BI975">
        <v>2.4</v>
      </c>
      <c r="BJ975">
        <v>31</v>
      </c>
      <c r="BK975">
        <v>0</v>
      </c>
      <c r="BL975">
        <v>0</v>
      </c>
      <c r="BM975">
        <v>0</v>
      </c>
      <c r="BN975">
        <v>5</v>
      </c>
      <c r="BO975">
        <v>2.4</v>
      </c>
      <c r="BP975">
        <v>36</v>
      </c>
      <c r="BQ975">
        <v>0</v>
      </c>
      <c r="BR975">
        <v>0</v>
      </c>
      <c r="BS975">
        <v>0</v>
      </c>
      <c r="BT975">
        <v>5</v>
      </c>
      <c r="BU975">
        <v>1.9</v>
      </c>
    </row>
    <row r="976" spans="1:73" ht="14.25" x14ac:dyDescent="0.15">
      <c r="A976" s="12">
        <v>20423</v>
      </c>
      <c r="B976">
        <v>7</v>
      </c>
      <c r="C976" s="1">
        <v>47</v>
      </c>
      <c r="D976">
        <v>0</v>
      </c>
      <c r="E976">
        <v>0</v>
      </c>
      <c r="F976">
        <v>1</v>
      </c>
      <c r="G976" s="7">
        <v>0.05</v>
      </c>
      <c r="H976">
        <v>12</v>
      </c>
      <c r="I976">
        <v>0</v>
      </c>
      <c r="J976">
        <v>0</v>
      </c>
      <c r="K976">
        <v>0</v>
      </c>
      <c r="L976">
        <v>1</v>
      </c>
      <c r="M976">
        <v>2</v>
      </c>
      <c r="N976" s="7">
        <v>9</v>
      </c>
      <c r="O976" s="7">
        <v>0</v>
      </c>
      <c r="P976" s="7">
        <v>0</v>
      </c>
      <c r="Q976" s="7">
        <v>0</v>
      </c>
      <c r="R976" s="7">
        <v>1</v>
      </c>
      <c r="S976" s="7">
        <v>4.5</v>
      </c>
      <c r="T976">
        <v>7</v>
      </c>
      <c r="U976" s="1">
        <v>35</v>
      </c>
      <c r="V976">
        <v>0</v>
      </c>
      <c r="W976">
        <v>0</v>
      </c>
      <c r="X976">
        <v>1</v>
      </c>
      <c r="Y976">
        <v>0.16</v>
      </c>
      <c r="Z976">
        <v>23</v>
      </c>
      <c r="AA976">
        <v>0</v>
      </c>
      <c r="AB976">
        <v>0</v>
      </c>
      <c r="AC976">
        <v>0</v>
      </c>
      <c r="AD976">
        <v>1</v>
      </c>
      <c r="AE976">
        <v>0.05</v>
      </c>
      <c r="AF976">
        <v>15</v>
      </c>
      <c r="AG976">
        <v>0</v>
      </c>
      <c r="AH976">
        <v>0</v>
      </c>
      <c r="AI976">
        <v>0</v>
      </c>
      <c r="AJ976">
        <v>1</v>
      </c>
      <c r="AK976">
        <v>0.02</v>
      </c>
      <c r="AL976">
        <v>16</v>
      </c>
      <c r="AM976">
        <v>0</v>
      </c>
      <c r="AN976">
        <v>0</v>
      </c>
      <c r="AO976">
        <v>0</v>
      </c>
      <c r="AP976">
        <v>1</v>
      </c>
      <c r="AQ976">
        <v>0.01</v>
      </c>
      <c r="AX976">
        <v>7</v>
      </c>
      <c r="AY976" s="1">
        <v>19</v>
      </c>
      <c r="AZ976">
        <v>0</v>
      </c>
      <c r="BA976">
        <v>0</v>
      </c>
      <c r="BB976">
        <v>1</v>
      </c>
      <c r="BC976" s="7">
        <v>0.32</v>
      </c>
      <c r="BD976">
        <v>30</v>
      </c>
      <c r="BE976">
        <v>0</v>
      </c>
      <c r="BF976">
        <v>0</v>
      </c>
      <c r="BG976">
        <v>0</v>
      </c>
      <c r="BH976">
        <v>5</v>
      </c>
      <c r="BI976">
        <v>2.4</v>
      </c>
      <c r="BJ976">
        <v>31</v>
      </c>
      <c r="BK976">
        <v>0</v>
      </c>
      <c r="BL976">
        <v>0</v>
      </c>
      <c r="BM976">
        <v>0</v>
      </c>
      <c r="BN976">
        <v>5</v>
      </c>
      <c r="BO976">
        <v>2.4</v>
      </c>
      <c r="BP976">
        <v>36</v>
      </c>
      <c r="BQ976">
        <v>0</v>
      </c>
      <c r="BR976">
        <v>0</v>
      </c>
      <c r="BS976">
        <v>0</v>
      </c>
      <c r="BT976">
        <v>5</v>
      </c>
      <c r="BU976">
        <v>1.9</v>
      </c>
    </row>
    <row r="977" spans="1:73" ht="14.25" x14ac:dyDescent="0.15">
      <c r="A977" s="12">
        <v>20424</v>
      </c>
      <c r="B977">
        <v>7</v>
      </c>
      <c r="C977" s="1">
        <v>48</v>
      </c>
      <c r="D977">
        <v>0</v>
      </c>
      <c r="E977">
        <v>0</v>
      </c>
      <c r="F977">
        <v>1</v>
      </c>
      <c r="G977" s="7">
        <v>0.05</v>
      </c>
      <c r="H977">
        <v>12</v>
      </c>
      <c r="I977">
        <v>0</v>
      </c>
      <c r="J977">
        <v>0</v>
      </c>
      <c r="K977">
        <v>0</v>
      </c>
      <c r="L977">
        <v>1</v>
      </c>
      <c r="M977">
        <v>2</v>
      </c>
      <c r="N977" s="7">
        <v>9</v>
      </c>
      <c r="O977" s="7">
        <v>0</v>
      </c>
      <c r="P977" s="7">
        <v>0</v>
      </c>
      <c r="Q977" s="7">
        <v>0</v>
      </c>
      <c r="R977" s="7">
        <v>1</v>
      </c>
      <c r="S977" s="7">
        <v>4.5</v>
      </c>
      <c r="T977">
        <v>7</v>
      </c>
      <c r="U977" s="1">
        <v>36</v>
      </c>
      <c r="V977">
        <v>0</v>
      </c>
      <c r="W977">
        <v>0</v>
      </c>
      <c r="X977">
        <v>1</v>
      </c>
      <c r="Y977">
        <v>0.16</v>
      </c>
      <c r="Z977">
        <v>23</v>
      </c>
      <c r="AA977">
        <v>0</v>
      </c>
      <c r="AB977">
        <v>0</v>
      </c>
      <c r="AC977">
        <v>0</v>
      </c>
      <c r="AD977">
        <v>1</v>
      </c>
      <c r="AE977">
        <v>0.05</v>
      </c>
      <c r="AF977">
        <v>15</v>
      </c>
      <c r="AG977">
        <v>0</v>
      </c>
      <c r="AH977">
        <v>0</v>
      </c>
      <c r="AI977">
        <v>0</v>
      </c>
      <c r="AJ977">
        <v>1</v>
      </c>
      <c r="AK977">
        <v>0.02</v>
      </c>
      <c r="AL977">
        <v>16</v>
      </c>
      <c r="AM977">
        <v>0</v>
      </c>
      <c r="AN977">
        <v>0</v>
      </c>
      <c r="AO977">
        <v>0</v>
      </c>
      <c r="AP977">
        <v>1</v>
      </c>
      <c r="AQ977">
        <v>0.01</v>
      </c>
      <c r="AX977">
        <v>7</v>
      </c>
      <c r="AY977" s="1">
        <v>20</v>
      </c>
      <c r="AZ977">
        <v>0</v>
      </c>
      <c r="BA977">
        <v>0</v>
      </c>
      <c r="BB977">
        <v>1</v>
      </c>
      <c r="BC977" s="7">
        <v>0.32</v>
      </c>
      <c r="BD977">
        <v>30</v>
      </c>
      <c r="BE977">
        <v>0</v>
      </c>
      <c r="BF977">
        <v>0</v>
      </c>
      <c r="BG977">
        <v>0</v>
      </c>
      <c r="BH977">
        <v>5</v>
      </c>
      <c r="BI977">
        <v>2.4</v>
      </c>
      <c r="BJ977">
        <v>31</v>
      </c>
      <c r="BK977">
        <v>0</v>
      </c>
      <c r="BL977">
        <v>0</v>
      </c>
      <c r="BM977">
        <v>0</v>
      </c>
      <c r="BN977">
        <v>5</v>
      </c>
      <c r="BO977">
        <v>2.4</v>
      </c>
      <c r="BP977">
        <v>36</v>
      </c>
      <c r="BQ977">
        <v>0</v>
      </c>
      <c r="BR977">
        <v>0</v>
      </c>
      <c r="BS977">
        <v>0</v>
      </c>
      <c r="BT977">
        <v>5</v>
      </c>
      <c r="BU977">
        <v>1.9</v>
      </c>
    </row>
    <row r="978" spans="1:73" ht="14.25" x14ac:dyDescent="0.15">
      <c r="A978" s="12">
        <v>20425</v>
      </c>
      <c r="B978">
        <v>7</v>
      </c>
      <c r="C978" s="1">
        <v>0</v>
      </c>
      <c r="D978">
        <v>5</v>
      </c>
      <c r="E978">
        <v>1</v>
      </c>
      <c r="F978">
        <v>1</v>
      </c>
      <c r="G978" s="7">
        <v>0.05</v>
      </c>
      <c r="H978">
        <v>12</v>
      </c>
      <c r="I978">
        <v>0</v>
      </c>
      <c r="J978">
        <v>0</v>
      </c>
      <c r="K978">
        <v>0</v>
      </c>
      <c r="L978">
        <v>1</v>
      </c>
      <c r="M978">
        <v>2</v>
      </c>
      <c r="N978" s="7">
        <v>9</v>
      </c>
      <c r="O978" s="7">
        <v>0</v>
      </c>
      <c r="P978" s="7">
        <v>0</v>
      </c>
      <c r="Q978" s="7">
        <v>0</v>
      </c>
      <c r="R978" s="7">
        <v>1</v>
      </c>
      <c r="S978" s="7">
        <v>4.5</v>
      </c>
      <c r="T978">
        <v>7</v>
      </c>
      <c r="U978" s="1">
        <v>0</v>
      </c>
      <c r="V978">
        <v>4</v>
      </c>
      <c r="W978">
        <v>2</v>
      </c>
      <c r="X978">
        <v>1</v>
      </c>
      <c r="Y978">
        <v>0.16</v>
      </c>
      <c r="Z978">
        <v>23</v>
      </c>
      <c r="AA978">
        <v>0</v>
      </c>
      <c r="AB978">
        <v>0</v>
      </c>
      <c r="AC978">
        <v>0</v>
      </c>
      <c r="AD978">
        <v>1</v>
      </c>
      <c r="AE978">
        <v>0.05</v>
      </c>
      <c r="AF978">
        <v>15</v>
      </c>
      <c r="AG978">
        <v>0</v>
      </c>
      <c r="AH978">
        <v>0</v>
      </c>
      <c r="AI978">
        <v>0</v>
      </c>
      <c r="AJ978">
        <v>1</v>
      </c>
      <c r="AK978">
        <v>0.02</v>
      </c>
      <c r="AL978">
        <v>16</v>
      </c>
      <c r="AM978">
        <v>0</v>
      </c>
      <c r="AN978">
        <v>0</v>
      </c>
      <c r="AO978">
        <v>0</v>
      </c>
      <c r="AP978">
        <v>1</v>
      </c>
      <c r="AQ978">
        <v>0.01</v>
      </c>
      <c r="AR978">
        <v>6</v>
      </c>
      <c r="AS978">
        <v>2</v>
      </c>
      <c r="AT978">
        <v>5</v>
      </c>
      <c r="AU978">
        <v>5</v>
      </c>
      <c r="AV978">
        <v>1</v>
      </c>
      <c r="AW978">
        <v>0.01</v>
      </c>
      <c r="AX978">
        <v>7</v>
      </c>
      <c r="AY978" s="1">
        <v>0</v>
      </c>
      <c r="AZ978">
        <v>3</v>
      </c>
      <c r="BA978">
        <v>1</v>
      </c>
      <c r="BB978">
        <v>1</v>
      </c>
      <c r="BC978" s="7">
        <v>0.32</v>
      </c>
      <c r="BD978">
        <v>30</v>
      </c>
      <c r="BE978">
        <v>0</v>
      </c>
      <c r="BF978">
        <v>0</v>
      </c>
      <c r="BG978">
        <v>0</v>
      </c>
      <c r="BH978">
        <v>5</v>
      </c>
      <c r="BI978">
        <v>2.4</v>
      </c>
      <c r="BJ978">
        <v>31</v>
      </c>
      <c r="BK978">
        <v>0</v>
      </c>
      <c r="BL978">
        <v>0</v>
      </c>
      <c r="BM978">
        <v>0</v>
      </c>
      <c r="BN978">
        <v>5</v>
      </c>
      <c r="BO978">
        <v>2.4</v>
      </c>
      <c r="BP978">
        <v>36</v>
      </c>
      <c r="BQ978">
        <v>0</v>
      </c>
      <c r="BR978">
        <v>0</v>
      </c>
      <c r="BS978">
        <v>0</v>
      </c>
      <c r="BT978">
        <v>5</v>
      </c>
      <c r="BU978">
        <v>1.9</v>
      </c>
    </row>
    <row r="979" spans="1:73" ht="14.25" x14ac:dyDescent="0.15">
      <c r="A979" s="12">
        <v>20426</v>
      </c>
      <c r="B979">
        <v>7</v>
      </c>
      <c r="C979" s="1">
        <v>45</v>
      </c>
      <c r="D979">
        <v>0</v>
      </c>
      <c r="E979">
        <v>0</v>
      </c>
      <c r="F979">
        <v>1</v>
      </c>
      <c r="G979" s="7">
        <v>0.05</v>
      </c>
      <c r="H979">
        <v>12</v>
      </c>
      <c r="I979">
        <v>0</v>
      </c>
      <c r="J979">
        <v>0</v>
      </c>
      <c r="K979">
        <v>0</v>
      </c>
      <c r="L979">
        <v>1</v>
      </c>
      <c r="M979">
        <v>2</v>
      </c>
      <c r="N979" s="7">
        <v>9</v>
      </c>
      <c r="O979" s="7">
        <v>0</v>
      </c>
      <c r="P979" s="7">
        <v>0</v>
      </c>
      <c r="Q979" s="7">
        <v>0</v>
      </c>
      <c r="R979" s="7">
        <v>1</v>
      </c>
      <c r="S979" s="7">
        <v>4.5</v>
      </c>
      <c r="T979">
        <v>7</v>
      </c>
      <c r="U979" s="1">
        <v>33</v>
      </c>
      <c r="V979">
        <v>0</v>
      </c>
      <c r="W979">
        <v>0</v>
      </c>
      <c r="X979">
        <v>1</v>
      </c>
      <c r="Y979">
        <v>0.16</v>
      </c>
      <c r="Z979">
        <v>23</v>
      </c>
      <c r="AA979">
        <v>0</v>
      </c>
      <c r="AB979">
        <v>0</v>
      </c>
      <c r="AC979">
        <v>0</v>
      </c>
      <c r="AD979">
        <v>1</v>
      </c>
      <c r="AE979">
        <v>0.05</v>
      </c>
      <c r="AF979">
        <v>15</v>
      </c>
      <c r="AG979">
        <v>0</v>
      </c>
      <c r="AH979">
        <v>0</v>
      </c>
      <c r="AI979">
        <v>0</v>
      </c>
      <c r="AJ979">
        <v>1</v>
      </c>
      <c r="AK979">
        <v>0.02</v>
      </c>
      <c r="AL979">
        <v>16</v>
      </c>
      <c r="AM979">
        <v>0</v>
      </c>
      <c r="AN979">
        <v>0</v>
      </c>
      <c r="AO979">
        <v>0</v>
      </c>
      <c r="AP979">
        <v>1</v>
      </c>
      <c r="AQ979">
        <v>0.01</v>
      </c>
      <c r="AX979">
        <v>7</v>
      </c>
      <c r="AY979" s="1">
        <v>17</v>
      </c>
      <c r="AZ979">
        <v>0</v>
      </c>
      <c r="BA979">
        <v>0</v>
      </c>
      <c r="BB979">
        <v>1</v>
      </c>
      <c r="BC979" s="7">
        <v>0.32</v>
      </c>
      <c r="BD979">
        <v>30</v>
      </c>
      <c r="BE979">
        <v>0</v>
      </c>
      <c r="BF979">
        <v>0</v>
      </c>
      <c r="BG979">
        <v>0</v>
      </c>
      <c r="BH979">
        <v>5</v>
      </c>
      <c r="BI979">
        <v>2.4</v>
      </c>
      <c r="BJ979">
        <v>31</v>
      </c>
      <c r="BK979">
        <v>0</v>
      </c>
      <c r="BL979">
        <v>0</v>
      </c>
      <c r="BM979">
        <v>0</v>
      </c>
      <c r="BN979">
        <v>5</v>
      </c>
      <c r="BO979">
        <v>2.4</v>
      </c>
      <c r="BP979">
        <v>36</v>
      </c>
      <c r="BQ979">
        <v>0</v>
      </c>
      <c r="BR979">
        <v>0</v>
      </c>
      <c r="BS979">
        <v>0</v>
      </c>
      <c r="BT979">
        <v>5</v>
      </c>
      <c r="BU979">
        <v>1.9</v>
      </c>
    </row>
    <row r="980" spans="1:73" ht="14.25" x14ac:dyDescent="0.15">
      <c r="A980" s="12">
        <v>20427</v>
      </c>
      <c r="B980">
        <v>7</v>
      </c>
      <c r="C980" s="1">
        <v>46</v>
      </c>
      <c r="D980">
        <v>0</v>
      </c>
      <c r="E980">
        <v>0</v>
      </c>
      <c r="F980">
        <v>1</v>
      </c>
      <c r="G980" s="7">
        <v>0.05</v>
      </c>
      <c r="H980">
        <v>12</v>
      </c>
      <c r="I980">
        <v>0</v>
      </c>
      <c r="J980">
        <v>0</v>
      </c>
      <c r="K980">
        <v>0</v>
      </c>
      <c r="L980">
        <v>1</v>
      </c>
      <c r="M980">
        <v>2</v>
      </c>
      <c r="N980" s="7">
        <v>9</v>
      </c>
      <c r="O980" s="7">
        <v>0</v>
      </c>
      <c r="P980" s="7">
        <v>0</v>
      </c>
      <c r="Q980" s="7">
        <v>0</v>
      </c>
      <c r="R980" s="7">
        <v>1</v>
      </c>
      <c r="S980" s="7">
        <v>4.5</v>
      </c>
      <c r="T980">
        <v>7</v>
      </c>
      <c r="U980" s="1">
        <v>34</v>
      </c>
      <c r="V980">
        <v>0</v>
      </c>
      <c r="W980">
        <v>0</v>
      </c>
      <c r="X980">
        <v>1</v>
      </c>
      <c r="Y980">
        <v>0.16</v>
      </c>
      <c r="Z980">
        <v>23</v>
      </c>
      <c r="AA980">
        <v>0</v>
      </c>
      <c r="AB980">
        <v>0</v>
      </c>
      <c r="AC980">
        <v>0</v>
      </c>
      <c r="AD980">
        <v>1</v>
      </c>
      <c r="AE980">
        <v>0.05</v>
      </c>
      <c r="AF980">
        <v>15</v>
      </c>
      <c r="AG980">
        <v>0</v>
      </c>
      <c r="AH980">
        <v>0</v>
      </c>
      <c r="AI980">
        <v>0</v>
      </c>
      <c r="AJ980">
        <v>1</v>
      </c>
      <c r="AK980">
        <v>0.02</v>
      </c>
      <c r="AL980">
        <v>16</v>
      </c>
      <c r="AM980">
        <v>0</v>
      </c>
      <c r="AN980">
        <v>0</v>
      </c>
      <c r="AO980">
        <v>0</v>
      </c>
      <c r="AP980">
        <v>1</v>
      </c>
      <c r="AQ980">
        <v>0.01</v>
      </c>
      <c r="AX980">
        <v>7</v>
      </c>
      <c r="AY980" s="1">
        <v>18</v>
      </c>
      <c r="AZ980">
        <v>0</v>
      </c>
      <c r="BA980">
        <v>0</v>
      </c>
      <c r="BB980">
        <v>1</v>
      </c>
      <c r="BC980" s="7">
        <v>0.32</v>
      </c>
      <c r="BD980">
        <v>30</v>
      </c>
      <c r="BE980">
        <v>0</v>
      </c>
      <c r="BF980">
        <v>0</v>
      </c>
      <c r="BG980">
        <v>0</v>
      </c>
      <c r="BH980">
        <v>5</v>
      </c>
      <c r="BI980">
        <v>2.4</v>
      </c>
      <c r="BJ980">
        <v>31</v>
      </c>
      <c r="BK980">
        <v>0</v>
      </c>
      <c r="BL980">
        <v>0</v>
      </c>
      <c r="BM980">
        <v>0</v>
      </c>
      <c r="BN980">
        <v>5</v>
      </c>
      <c r="BO980">
        <v>2.4</v>
      </c>
      <c r="BP980">
        <v>36</v>
      </c>
      <c r="BQ980">
        <v>0</v>
      </c>
      <c r="BR980">
        <v>0</v>
      </c>
      <c r="BS980">
        <v>0</v>
      </c>
      <c r="BT980">
        <v>5</v>
      </c>
      <c r="BU980">
        <v>1.9</v>
      </c>
    </row>
    <row r="981" spans="1:73" ht="14.25" x14ac:dyDescent="0.15">
      <c r="A981" s="12">
        <v>20428</v>
      </c>
      <c r="B981">
        <v>7</v>
      </c>
      <c r="C981" s="1">
        <v>47</v>
      </c>
      <c r="D981">
        <v>0</v>
      </c>
      <c r="E981">
        <v>0</v>
      </c>
      <c r="F981">
        <v>1</v>
      </c>
      <c r="G981" s="7">
        <v>0.05</v>
      </c>
      <c r="H981">
        <v>12</v>
      </c>
      <c r="I981">
        <v>0</v>
      </c>
      <c r="J981">
        <v>0</v>
      </c>
      <c r="K981">
        <v>0</v>
      </c>
      <c r="L981">
        <v>1</v>
      </c>
      <c r="M981">
        <v>2</v>
      </c>
      <c r="N981" s="7">
        <v>9</v>
      </c>
      <c r="O981" s="7">
        <v>0</v>
      </c>
      <c r="P981" s="7">
        <v>0</v>
      </c>
      <c r="Q981" s="7">
        <v>0</v>
      </c>
      <c r="R981" s="7">
        <v>1</v>
      </c>
      <c r="S981" s="7">
        <v>4.5</v>
      </c>
      <c r="T981">
        <v>7</v>
      </c>
      <c r="U981" s="1">
        <v>35</v>
      </c>
      <c r="V981">
        <v>0</v>
      </c>
      <c r="W981">
        <v>0</v>
      </c>
      <c r="X981">
        <v>1</v>
      </c>
      <c r="Y981">
        <v>0.16</v>
      </c>
      <c r="Z981">
        <v>23</v>
      </c>
      <c r="AA981">
        <v>0</v>
      </c>
      <c r="AB981">
        <v>0</v>
      </c>
      <c r="AC981">
        <v>0</v>
      </c>
      <c r="AD981">
        <v>1</v>
      </c>
      <c r="AE981">
        <v>0.05</v>
      </c>
      <c r="AF981">
        <v>15</v>
      </c>
      <c r="AG981">
        <v>0</v>
      </c>
      <c r="AH981">
        <v>0</v>
      </c>
      <c r="AI981">
        <v>0</v>
      </c>
      <c r="AJ981">
        <v>1</v>
      </c>
      <c r="AK981">
        <v>0.02</v>
      </c>
      <c r="AL981">
        <v>16</v>
      </c>
      <c r="AM981">
        <v>0</v>
      </c>
      <c r="AN981">
        <v>0</v>
      </c>
      <c r="AO981">
        <v>0</v>
      </c>
      <c r="AP981">
        <v>1</v>
      </c>
      <c r="AQ981">
        <v>0.01</v>
      </c>
      <c r="AX981">
        <v>7</v>
      </c>
      <c r="AY981" s="1">
        <v>19</v>
      </c>
      <c r="AZ981">
        <v>0</v>
      </c>
      <c r="BA981">
        <v>0</v>
      </c>
      <c r="BB981">
        <v>1</v>
      </c>
      <c r="BC981" s="7">
        <v>0.32</v>
      </c>
      <c r="BD981">
        <v>30</v>
      </c>
      <c r="BE981">
        <v>0</v>
      </c>
      <c r="BF981">
        <v>0</v>
      </c>
      <c r="BG981">
        <v>0</v>
      </c>
      <c r="BH981">
        <v>5</v>
      </c>
      <c r="BI981">
        <v>2.4</v>
      </c>
      <c r="BJ981">
        <v>31</v>
      </c>
      <c r="BK981">
        <v>0</v>
      </c>
      <c r="BL981">
        <v>0</v>
      </c>
      <c r="BM981">
        <v>0</v>
      </c>
      <c r="BN981">
        <v>5</v>
      </c>
      <c r="BO981">
        <v>2.4</v>
      </c>
      <c r="BP981">
        <v>36</v>
      </c>
      <c r="BQ981">
        <v>0</v>
      </c>
      <c r="BR981">
        <v>0</v>
      </c>
      <c r="BS981">
        <v>0</v>
      </c>
      <c r="BT981">
        <v>5</v>
      </c>
      <c r="BU981">
        <v>1.9</v>
      </c>
    </row>
    <row r="982" spans="1:73" ht="14.25" x14ac:dyDescent="0.15">
      <c r="A982" s="12">
        <v>20429</v>
      </c>
      <c r="B982">
        <v>7</v>
      </c>
      <c r="C982" s="1">
        <v>48</v>
      </c>
      <c r="D982">
        <v>0</v>
      </c>
      <c r="E982">
        <v>0</v>
      </c>
      <c r="F982">
        <v>1</v>
      </c>
      <c r="G982" s="7">
        <v>0.05</v>
      </c>
      <c r="H982">
        <v>12</v>
      </c>
      <c r="I982">
        <v>0</v>
      </c>
      <c r="J982">
        <v>0</v>
      </c>
      <c r="K982">
        <v>0</v>
      </c>
      <c r="L982">
        <v>1</v>
      </c>
      <c r="M982">
        <v>2</v>
      </c>
      <c r="N982" s="7">
        <v>9</v>
      </c>
      <c r="O982" s="7">
        <v>0</v>
      </c>
      <c r="P982" s="7">
        <v>0</v>
      </c>
      <c r="Q982" s="7">
        <v>0</v>
      </c>
      <c r="R982" s="7">
        <v>1</v>
      </c>
      <c r="S982" s="7">
        <v>4.5</v>
      </c>
      <c r="T982">
        <v>7</v>
      </c>
      <c r="U982" s="1">
        <v>36</v>
      </c>
      <c r="V982">
        <v>0</v>
      </c>
      <c r="W982">
        <v>0</v>
      </c>
      <c r="X982">
        <v>1</v>
      </c>
      <c r="Y982">
        <v>0.16</v>
      </c>
      <c r="Z982">
        <v>23</v>
      </c>
      <c r="AA982">
        <v>0</v>
      </c>
      <c r="AB982">
        <v>0</v>
      </c>
      <c r="AC982">
        <v>0</v>
      </c>
      <c r="AD982">
        <v>1</v>
      </c>
      <c r="AE982">
        <v>0.05</v>
      </c>
      <c r="AF982">
        <v>15</v>
      </c>
      <c r="AG982">
        <v>0</v>
      </c>
      <c r="AH982">
        <v>0</v>
      </c>
      <c r="AI982">
        <v>0</v>
      </c>
      <c r="AJ982">
        <v>1</v>
      </c>
      <c r="AK982">
        <v>0.02</v>
      </c>
      <c r="AL982">
        <v>16</v>
      </c>
      <c r="AM982">
        <v>0</v>
      </c>
      <c r="AN982">
        <v>0</v>
      </c>
      <c r="AO982">
        <v>0</v>
      </c>
      <c r="AP982">
        <v>1</v>
      </c>
      <c r="AQ982">
        <v>0.01</v>
      </c>
      <c r="AX982">
        <v>7</v>
      </c>
      <c r="AY982" s="1">
        <v>20</v>
      </c>
      <c r="AZ982">
        <v>0</v>
      </c>
      <c r="BA982">
        <v>0</v>
      </c>
      <c r="BB982">
        <v>1</v>
      </c>
      <c r="BC982" s="7">
        <v>0.32</v>
      </c>
      <c r="BD982">
        <v>30</v>
      </c>
      <c r="BE982">
        <v>0</v>
      </c>
      <c r="BF982">
        <v>0</v>
      </c>
      <c r="BG982">
        <v>0</v>
      </c>
      <c r="BH982">
        <v>5</v>
      </c>
      <c r="BI982">
        <v>2.4</v>
      </c>
      <c r="BJ982">
        <v>31</v>
      </c>
      <c r="BK982">
        <v>0</v>
      </c>
      <c r="BL982">
        <v>0</v>
      </c>
      <c r="BM982">
        <v>0</v>
      </c>
      <c r="BN982">
        <v>5</v>
      </c>
      <c r="BO982">
        <v>2.4</v>
      </c>
      <c r="BP982">
        <v>36</v>
      </c>
      <c r="BQ982">
        <v>0</v>
      </c>
      <c r="BR982">
        <v>0</v>
      </c>
      <c r="BS982">
        <v>0</v>
      </c>
      <c r="BT982">
        <v>5</v>
      </c>
      <c r="BU982">
        <v>1.9</v>
      </c>
    </row>
    <row r="983" spans="1:73" ht="14.25" x14ac:dyDescent="0.15">
      <c r="A983" s="12">
        <v>20430</v>
      </c>
      <c r="B983">
        <v>7</v>
      </c>
      <c r="C983" s="1">
        <v>0</v>
      </c>
      <c r="D983">
        <v>5</v>
      </c>
      <c r="E983">
        <v>1</v>
      </c>
      <c r="F983">
        <v>1</v>
      </c>
      <c r="G983" s="7">
        <v>0.05</v>
      </c>
      <c r="H983">
        <v>12</v>
      </c>
      <c r="I983">
        <v>0</v>
      </c>
      <c r="J983">
        <v>0</v>
      </c>
      <c r="K983">
        <v>0</v>
      </c>
      <c r="L983">
        <v>1</v>
      </c>
      <c r="M983">
        <v>2</v>
      </c>
      <c r="N983" s="7">
        <v>9</v>
      </c>
      <c r="O983" s="7">
        <v>0</v>
      </c>
      <c r="P983" s="7">
        <v>0</v>
      </c>
      <c r="Q983" s="7">
        <v>0</v>
      </c>
      <c r="R983" s="7">
        <v>1</v>
      </c>
      <c r="S983" s="7">
        <v>4.5</v>
      </c>
      <c r="T983">
        <v>7</v>
      </c>
      <c r="U983" s="1">
        <v>0</v>
      </c>
      <c r="V983">
        <v>4</v>
      </c>
      <c r="W983">
        <v>2</v>
      </c>
      <c r="X983">
        <v>1</v>
      </c>
      <c r="Y983">
        <v>0.16</v>
      </c>
      <c r="Z983">
        <v>23</v>
      </c>
      <c r="AA983">
        <v>0</v>
      </c>
      <c r="AB983">
        <v>0</v>
      </c>
      <c r="AC983">
        <v>0</v>
      </c>
      <c r="AD983">
        <v>1</v>
      </c>
      <c r="AE983">
        <v>0.05</v>
      </c>
      <c r="AF983">
        <v>15</v>
      </c>
      <c r="AG983">
        <v>0</v>
      </c>
      <c r="AH983">
        <v>0</v>
      </c>
      <c r="AI983">
        <v>0</v>
      </c>
      <c r="AJ983">
        <v>1</v>
      </c>
      <c r="AK983">
        <v>0.02</v>
      </c>
      <c r="AL983">
        <v>16</v>
      </c>
      <c r="AM983">
        <v>0</v>
      </c>
      <c r="AN983">
        <v>0</v>
      </c>
      <c r="AO983">
        <v>0</v>
      </c>
      <c r="AP983">
        <v>1</v>
      </c>
      <c r="AQ983">
        <v>0.01</v>
      </c>
      <c r="AR983">
        <v>6</v>
      </c>
      <c r="AS983">
        <v>2</v>
      </c>
      <c r="AT983">
        <v>1</v>
      </c>
      <c r="AU983">
        <v>5</v>
      </c>
      <c r="AV983">
        <v>1</v>
      </c>
      <c r="AW983">
        <v>0.05</v>
      </c>
      <c r="AX983">
        <v>7</v>
      </c>
      <c r="AY983" s="1">
        <v>0</v>
      </c>
      <c r="AZ983">
        <v>3</v>
      </c>
      <c r="BA983">
        <v>1</v>
      </c>
      <c r="BB983">
        <v>1</v>
      </c>
      <c r="BC983" s="7">
        <v>0.32</v>
      </c>
      <c r="BD983">
        <v>30</v>
      </c>
      <c r="BE983">
        <v>0</v>
      </c>
      <c r="BF983">
        <v>0</v>
      </c>
      <c r="BG983">
        <v>0</v>
      </c>
      <c r="BH983">
        <v>5</v>
      </c>
      <c r="BI983">
        <v>2.4</v>
      </c>
      <c r="BJ983">
        <v>31</v>
      </c>
      <c r="BK983">
        <v>0</v>
      </c>
      <c r="BL983">
        <v>0</v>
      </c>
      <c r="BM983">
        <v>0</v>
      </c>
      <c r="BN983">
        <v>5</v>
      </c>
      <c r="BO983">
        <v>2.4</v>
      </c>
      <c r="BP983">
        <v>36</v>
      </c>
      <c r="BQ983">
        <v>0</v>
      </c>
      <c r="BR983">
        <v>0</v>
      </c>
      <c r="BS983">
        <v>0</v>
      </c>
      <c r="BT983">
        <v>5</v>
      </c>
      <c r="BU983">
        <v>1.9</v>
      </c>
    </row>
    <row r="984" spans="1:73" ht="14.25" x14ac:dyDescent="0.15">
      <c r="A984" s="12">
        <v>20431</v>
      </c>
      <c r="B984">
        <v>7</v>
      </c>
      <c r="C984" s="1">
        <v>45</v>
      </c>
      <c r="D984">
        <v>0</v>
      </c>
      <c r="E984">
        <v>0</v>
      </c>
      <c r="F984">
        <v>1</v>
      </c>
      <c r="G984" s="7">
        <v>0.05</v>
      </c>
      <c r="H984">
        <v>12</v>
      </c>
      <c r="I984">
        <v>0</v>
      </c>
      <c r="J984">
        <v>0</v>
      </c>
      <c r="K984">
        <v>0</v>
      </c>
      <c r="L984">
        <v>1</v>
      </c>
      <c r="M984">
        <v>2</v>
      </c>
      <c r="N984" s="7">
        <v>9</v>
      </c>
      <c r="O984" s="7">
        <v>0</v>
      </c>
      <c r="P984" s="7">
        <v>0</v>
      </c>
      <c r="Q984" s="7">
        <v>0</v>
      </c>
      <c r="R984" s="7">
        <v>1</v>
      </c>
      <c r="S984" s="7">
        <v>4.5</v>
      </c>
      <c r="T984">
        <v>7</v>
      </c>
      <c r="U984" s="1">
        <v>33</v>
      </c>
      <c r="V984">
        <v>0</v>
      </c>
      <c r="W984">
        <v>0</v>
      </c>
      <c r="X984">
        <v>1</v>
      </c>
      <c r="Y984">
        <v>0.16</v>
      </c>
      <c r="Z984">
        <v>23</v>
      </c>
      <c r="AA984">
        <v>0</v>
      </c>
      <c r="AB984">
        <v>0</v>
      </c>
      <c r="AC984">
        <v>0</v>
      </c>
      <c r="AD984">
        <v>1</v>
      </c>
      <c r="AE984">
        <v>0.05</v>
      </c>
      <c r="AF984">
        <v>15</v>
      </c>
      <c r="AG984">
        <v>0</v>
      </c>
      <c r="AH984">
        <v>0</v>
      </c>
      <c r="AI984">
        <v>0</v>
      </c>
      <c r="AJ984">
        <v>1</v>
      </c>
      <c r="AK984">
        <v>0.02</v>
      </c>
      <c r="AL984">
        <v>16</v>
      </c>
      <c r="AM984">
        <v>0</v>
      </c>
      <c r="AN984">
        <v>0</v>
      </c>
      <c r="AO984">
        <v>0</v>
      </c>
      <c r="AP984">
        <v>1</v>
      </c>
      <c r="AQ984">
        <v>0.01</v>
      </c>
      <c r="AX984">
        <v>7</v>
      </c>
      <c r="AY984" s="1">
        <v>17</v>
      </c>
      <c r="AZ984">
        <v>0</v>
      </c>
      <c r="BA984">
        <v>0</v>
      </c>
      <c r="BB984">
        <v>1</v>
      </c>
      <c r="BC984" s="7">
        <v>0.32</v>
      </c>
      <c r="BD984">
        <v>30</v>
      </c>
      <c r="BE984">
        <v>0</v>
      </c>
      <c r="BF984">
        <v>0</v>
      </c>
      <c r="BG984">
        <v>0</v>
      </c>
      <c r="BH984">
        <v>5</v>
      </c>
      <c r="BI984">
        <v>2.4</v>
      </c>
      <c r="BJ984">
        <v>31</v>
      </c>
      <c r="BK984">
        <v>0</v>
      </c>
      <c r="BL984">
        <v>0</v>
      </c>
      <c r="BM984">
        <v>0</v>
      </c>
      <c r="BN984">
        <v>5</v>
      </c>
      <c r="BO984">
        <v>2.4</v>
      </c>
      <c r="BP984">
        <v>36</v>
      </c>
      <c r="BQ984">
        <v>0</v>
      </c>
      <c r="BR984">
        <v>0</v>
      </c>
      <c r="BS984">
        <v>0</v>
      </c>
      <c r="BT984">
        <v>5</v>
      </c>
      <c r="BU984">
        <v>1.9</v>
      </c>
    </row>
    <row r="985" spans="1:73" ht="14.25" x14ac:dyDescent="0.15">
      <c r="A985" s="12">
        <v>20432</v>
      </c>
      <c r="B985">
        <v>7</v>
      </c>
      <c r="C985" s="1">
        <v>46</v>
      </c>
      <c r="D985">
        <v>0</v>
      </c>
      <c r="E985">
        <v>0</v>
      </c>
      <c r="F985">
        <v>1</v>
      </c>
      <c r="G985" s="7">
        <v>0.05</v>
      </c>
      <c r="H985">
        <v>12</v>
      </c>
      <c r="I985">
        <v>0</v>
      </c>
      <c r="J985">
        <v>0</v>
      </c>
      <c r="K985">
        <v>0</v>
      </c>
      <c r="L985">
        <v>1</v>
      </c>
      <c r="M985">
        <v>2</v>
      </c>
      <c r="N985" s="7">
        <v>9</v>
      </c>
      <c r="O985" s="7">
        <v>0</v>
      </c>
      <c r="P985" s="7">
        <v>0</v>
      </c>
      <c r="Q985" s="7">
        <v>0</v>
      </c>
      <c r="R985" s="7">
        <v>1</v>
      </c>
      <c r="S985" s="7">
        <v>4.5</v>
      </c>
      <c r="T985">
        <v>7</v>
      </c>
      <c r="U985" s="1">
        <v>34</v>
      </c>
      <c r="V985">
        <v>0</v>
      </c>
      <c r="W985">
        <v>0</v>
      </c>
      <c r="X985">
        <v>1</v>
      </c>
      <c r="Y985">
        <v>0.16</v>
      </c>
      <c r="Z985">
        <v>23</v>
      </c>
      <c r="AA985">
        <v>0</v>
      </c>
      <c r="AB985">
        <v>0</v>
      </c>
      <c r="AC985">
        <v>0</v>
      </c>
      <c r="AD985">
        <v>1</v>
      </c>
      <c r="AE985">
        <v>0.05</v>
      </c>
      <c r="AF985">
        <v>15</v>
      </c>
      <c r="AG985">
        <v>0</v>
      </c>
      <c r="AH985">
        <v>0</v>
      </c>
      <c r="AI985">
        <v>0</v>
      </c>
      <c r="AJ985">
        <v>1</v>
      </c>
      <c r="AK985">
        <v>0.02</v>
      </c>
      <c r="AL985">
        <v>16</v>
      </c>
      <c r="AM985">
        <v>0</v>
      </c>
      <c r="AN985">
        <v>0</v>
      </c>
      <c r="AO985">
        <v>0</v>
      </c>
      <c r="AP985">
        <v>1</v>
      </c>
      <c r="AQ985">
        <v>0.01</v>
      </c>
      <c r="AX985">
        <v>7</v>
      </c>
      <c r="AY985" s="1">
        <v>18</v>
      </c>
      <c r="AZ985">
        <v>0</v>
      </c>
      <c r="BA985">
        <v>0</v>
      </c>
      <c r="BB985">
        <v>1</v>
      </c>
      <c r="BC985" s="7">
        <v>0.32</v>
      </c>
      <c r="BD985">
        <v>30</v>
      </c>
      <c r="BE985">
        <v>0</v>
      </c>
      <c r="BF985">
        <v>0</v>
      </c>
      <c r="BG985">
        <v>0</v>
      </c>
      <c r="BH985">
        <v>5</v>
      </c>
      <c r="BI985">
        <v>2.4</v>
      </c>
      <c r="BJ985">
        <v>31</v>
      </c>
      <c r="BK985">
        <v>0</v>
      </c>
      <c r="BL985">
        <v>0</v>
      </c>
      <c r="BM985">
        <v>0</v>
      </c>
      <c r="BN985">
        <v>5</v>
      </c>
      <c r="BO985">
        <v>2.4</v>
      </c>
      <c r="BP985">
        <v>36</v>
      </c>
      <c r="BQ985">
        <v>0</v>
      </c>
      <c r="BR985">
        <v>0</v>
      </c>
      <c r="BS985">
        <v>0</v>
      </c>
      <c r="BT985">
        <v>5</v>
      </c>
      <c r="BU985">
        <v>1.9</v>
      </c>
    </row>
    <row r="986" spans="1:73" ht="14.25" x14ac:dyDescent="0.15">
      <c r="A986" s="12">
        <v>20433</v>
      </c>
      <c r="B986">
        <v>7</v>
      </c>
      <c r="C986" s="1">
        <v>47</v>
      </c>
      <c r="D986">
        <v>0</v>
      </c>
      <c r="E986">
        <v>0</v>
      </c>
      <c r="F986">
        <v>1</v>
      </c>
      <c r="G986" s="7">
        <v>0.05</v>
      </c>
      <c r="H986">
        <v>12</v>
      </c>
      <c r="I986">
        <v>0</v>
      </c>
      <c r="J986">
        <v>0</v>
      </c>
      <c r="K986">
        <v>0</v>
      </c>
      <c r="L986">
        <v>1</v>
      </c>
      <c r="M986">
        <v>2</v>
      </c>
      <c r="N986" s="7">
        <v>9</v>
      </c>
      <c r="O986" s="7">
        <v>0</v>
      </c>
      <c r="P986" s="7">
        <v>0</v>
      </c>
      <c r="Q986" s="7">
        <v>0</v>
      </c>
      <c r="R986" s="7">
        <v>1</v>
      </c>
      <c r="S986" s="7">
        <v>4.5</v>
      </c>
      <c r="T986">
        <v>7</v>
      </c>
      <c r="U986" s="1">
        <v>35</v>
      </c>
      <c r="V986">
        <v>0</v>
      </c>
      <c r="W986">
        <v>0</v>
      </c>
      <c r="X986">
        <v>1</v>
      </c>
      <c r="Y986">
        <v>0.16</v>
      </c>
      <c r="Z986">
        <v>23</v>
      </c>
      <c r="AA986">
        <v>0</v>
      </c>
      <c r="AB986">
        <v>0</v>
      </c>
      <c r="AC986">
        <v>0</v>
      </c>
      <c r="AD986">
        <v>1</v>
      </c>
      <c r="AE986">
        <v>0.05</v>
      </c>
      <c r="AF986">
        <v>15</v>
      </c>
      <c r="AG986">
        <v>0</v>
      </c>
      <c r="AH986">
        <v>0</v>
      </c>
      <c r="AI986">
        <v>0</v>
      </c>
      <c r="AJ986">
        <v>1</v>
      </c>
      <c r="AK986">
        <v>0.02</v>
      </c>
      <c r="AL986">
        <v>16</v>
      </c>
      <c r="AM986">
        <v>0</v>
      </c>
      <c r="AN986">
        <v>0</v>
      </c>
      <c r="AO986">
        <v>0</v>
      </c>
      <c r="AP986">
        <v>1</v>
      </c>
      <c r="AQ986">
        <v>0.01</v>
      </c>
      <c r="AX986">
        <v>7</v>
      </c>
      <c r="AY986" s="1">
        <v>19</v>
      </c>
      <c r="AZ986">
        <v>0</v>
      </c>
      <c r="BA986">
        <v>0</v>
      </c>
      <c r="BB986">
        <v>1</v>
      </c>
      <c r="BC986" s="7">
        <v>0.32</v>
      </c>
      <c r="BD986">
        <v>30</v>
      </c>
      <c r="BE986">
        <v>0</v>
      </c>
      <c r="BF986">
        <v>0</v>
      </c>
      <c r="BG986">
        <v>0</v>
      </c>
      <c r="BH986">
        <v>5</v>
      </c>
      <c r="BI986">
        <v>2.4</v>
      </c>
      <c r="BJ986">
        <v>31</v>
      </c>
      <c r="BK986">
        <v>0</v>
      </c>
      <c r="BL986">
        <v>0</v>
      </c>
      <c r="BM986">
        <v>0</v>
      </c>
      <c r="BN986">
        <v>5</v>
      </c>
      <c r="BO986">
        <v>2.4</v>
      </c>
      <c r="BP986">
        <v>36</v>
      </c>
      <c r="BQ986">
        <v>0</v>
      </c>
      <c r="BR986">
        <v>0</v>
      </c>
      <c r="BS986">
        <v>0</v>
      </c>
      <c r="BT986">
        <v>5</v>
      </c>
      <c r="BU986">
        <v>1.9</v>
      </c>
    </row>
    <row r="987" spans="1:73" ht="14.25" x14ac:dyDescent="0.15">
      <c r="A987" s="12">
        <v>20434</v>
      </c>
      <c r="B987">
        <v>7</v>
      </c>
      <c r="C987" s="1">
        <v>48</v>
      </c>
      <c r="D987">
        <v>0</v>
      </c>
      <c r="E987">
        <v>0</v>
      </c>
      <c r="F987">
        <v>1</v>
      </c>
      <c r="G987" s="7">
        <v>0.05</v>
      </c>
      <c r="H987">
        <v>12</v>
      </c>
      <c r="I987">
        <v>0</v>
      </c>
      <c r="J987">
        <v>0</v>
      </c>
      <c r="K987">
        <v>0</v>
      </c>
      <c r="L987">
        <v>1</v>
      </c>
      <c r="M987">
        <v>2</v>
      </c>
      <c r="N987" s="7">
        <v>9</v>
      </c>
      <c r="O987" s="7">
        <v>0</v>
      </c>
      <c r="P987" s="7">
        <v>0</v>
      </c>
      <c r="Q987" s="7">
        <v>0</v>
      </c>
      <c r="R987" s="7">
        <v>1</v>
      </c>
      <c r="S987" s="7">
        <v>4.5</v>
      </c>
      <c r="T987">
        <v>7</v>
      </c>
      <c r="U987" s="1">
        <v>36</v>
      </c>
      <c r="V987">
        <v>0</v>
      </c>
      <c r="W987">
        <v>0</v>
      </c>
      <c r="X987">
        <v>1</v>
      </c>
      <c r="Y987">
        <v>0.16</v>
      </c>
      <c r="Z987">
        <v>23</v>
      </c>
      <c r="AA987">
        <v>0</v>
      </c>
      <c r="AB987">
        <v>0</v>
      </c>
      <c r="AC987">
        <v>0</v>
      </c>
      <c r="AD987">
        <v>1</v>
      </c>
      <c r="AE987">
        <v>0.05</v>
      </c>
      <c r="AF987">
        <v>15</v>
      </c>
      <c r="AG987">
        <v>0</v>
      </c>
      <c r="AH987">
        <v>0</v>
      </c>
      <c r="AI987">
        <v>0</v>
      </c>
      <c r="AJ987">
        <v>1</v>
      </c>
      <c r="AK987">
        <v>0.02</v>
      </c>
      <c r="AL987">
        <v>16</v>
      </c>
      <c r="AM987">
        <v>0</v>
      </c>
      <c r="AN987">
        <v>0</v>
      </c>
      <c r="AO987">
        <v>0</v>
      </c>
      <c r="AP987">
        <v>1</v>
      </c>
      <c r="AQ987">
        <v>0.01</v>
      </c>
      <c r="AX987">
        <v>7</v>
      </c>
      <c r="AY987" s="1">
        <v>20</v>
      </c>
      <c r="AZ987">
        <v>0</v>
      </c>
      <c r="BA987">
        <v>0</v>
      </c>
      <c r="BB987">
        <v>1</v>
      </c>
      <c r="BC987" s="7">
        <v>0.32</v>
      </c>
      <c r="BD987">
        <v>30</v>
      </c>
      <c r="BE987">
        <v>0</v>
      </c>
      <c r="BF987">
        <v>0</v>
      </c>
      <c r="BG987">
        <v>0</v>
      </c>
      <c r="BH987">
        <v>5</v>
      </c>
      <c r="BI987">
        <v>2.4</v>
      </c>
      <c r="BJ987">
        <v>31</v>
      </c>
      <c r="BK987">
        <v>0</v>
      </c>
      <c r="BL987">
        <v>0</v>
      </c>
      <c r="BM987">
        <v>0</v>
      </c>
      <c r="BN987">
        <v>5</v>
      </c>
      <c r="BO987">
        <v>2.4</v>
      </c>
      <c r="BP987">
        <v>36</v>
      </c>
      <c r="BQ987">
        <v>0</v>
      </c>
      <c r="BR987">
        <v>0</v>
      </c>
      <c r="BS987">
        <v>0</v>
      </c>
      <c r="BT987">
        <v>5</v>
      </c>
      <c r="BU987">
        <v>1.9</v>
      </c>
    </row>
    <row r="988" spans="1:73" ht="14.25" x14ac:dyDescent="0.15">
      <c r="A988" s="12">
        <v>20435</v>
      </c>
      <c r="B988">
        <v>7</v>
      </c>
      <c r="C988" s="1">
        <v>0</v>
      </c>
      <c r="D988">
        <v>5</v>
      </c>
      <c r="E988">
        <v>1</v>
      </c>
      <c r="F988">
        <v>1</v>
      </c>
      <c r="G988" s="7">
        <v>0.05</v>
      </c>
      <c r="H988">
        <v>12</v>
      </c>
      <c r="I988">
        <v>0</v>
      </c>
      <c r="J988">
        <v>0</v>
      </c>
      <c r="K988">
        <v>0</v>
      </c>
      <c r="L988">
        <v>1</v>
      </c>
      <c r="M988">
        <v>2</v>
      </c>
      <c r="N988" s="7">
        <v>9</v>
      </c>
      <c r="O988" s="7">
        <v>0</v>
      </c>
      <c r="P988" s="7">
        <v>0</v>
      </c>
      <c r="Q988" s="7">
        <v>0</v>
      </c>
      <c r="R988" s="7">
        <v>1</v>
      </c>
      <c r="S988" s="7">
        <v>4.5</v>
      </c>
      <c r="T988">
        <v>7</v>
      </c>
      <c r="U988" s="1">
        <v>0</v>
      </c>
      <c r="V988">
        <v>4</v>
      </c>
      <c r="W988">
        <v>2</v>
      </c>
      <c r="X988">
        <v>1</v>
      </c>
      <c r="Y988">
        <v>0.16</v>
      </c>
      <c r="Z988">
        <v>23</v>
      </c>
      <c r="AA988">
        <v>0</v>
      </c>
      <c r="AB988">
        <v>0</v>
      </c>
      <c r="AC988">
        <v>0</v>
      </c>
      <c r="AD988">
        <v>1</v>
      </c>
      <c r="AE988">
        <v>0.05</v>
      </c>
      <c r="AF988">
        <v>15</v>
      </c>
      <c r="AG988">
        <v>0</v>
      </c>
      <c r="AH988">
        <v>0</v>
      </c>
      <c r="AI988">
        <v>0</v>
      </c>
      <c r="AJ988">
        <v>1</v>
      </c>
      <c r="AK988">
        <v>0.02</v>
      </c>
      <c r="AL988">
        <v>16</v>
      </c>
      <c r="AM988">
        <v>0</v>
      </c>
      <c r="AN988">
        <v>0</v>
      </c>
      <c r="AO988">
        <v>0</v>
      </c>
      <c r="AP988">
        <v>1</v>
      </c>
      <c r="AQ988">
        <v>0.01</v>
      </c>
      <c r="AR988">
        <v>6</v>
      </c>
      <c r="AS988">
        <v>2</v>
      </c>
      <c r="AT988">
        <v>2</v>
      </c>
      <c r="AU988">
        <v>5</v>
      </c>
      <c r="AV988">
        <v>1</v>
      </c>
      <c r="AW988">
        <v>0.05</v>
      </c>
      <c r="AX988">
        <v>7</v>
      </c>
      <c r="AY988" s="1">
        <v>0</v>
      </c>
      <c r="AZ988">
        <v>3</v>
      </c>
      <c r="BA988">
        <v>1</v>
      </c>
      <c r="BB988">
        <v>1</v>
      </c>
      <c r="BC988" s="7">
        <v>0.32</v>
      </c>
      <c r="BD988">
        <v>30</v>
      </c>
      <c r="BE988">
        <v>0</v>
      </c>
      <c r="BF988">
        <v>0</v>
      </c>
      <c r="BG988">
        <v>0</v>
      </c>
      <c r="BH988">
        <v>5</v>
      </c>
      <c r="BI988">
        <v>2.4</v>
      </c>
      <c r="BJ988">
        <v>31</v>
      </c>
      <c r="BK988">
        <v>0</v>
      </c>
      <c r="BL988">
        <v>0</v>
      </c>
      <c r="BM988">
        <v>0</v>
      </c>
      <c r="BN988">
        <v>5</v>
      </c>
      <c r="BO988">
        <v>2.4</v>
      </c>
      <c r="BP988">
        <v>36</v>
      </c>
      <c r="BQ988">
        <v>0</v>
      </c>
      <c r="BR988">
        <v>0</v>
      </c>
      <c r="BS988">
        <v>0</v>
      </c>
      <c r="BT988">
        <v>5</v>
      </c>
      <c r="BU988">
        <v>1.9</v>
      </c>
    </row>
    <row r="989" spans="1:73" ht="14.25" x14ac:dyDescent="0.15">
      <c r="A989" s="12">
        <v>20436</v>
      </c>
      <c r="B989">
        <v>7</v>
      </c>
      <c r="C989" s="1">
        <v>45</v>
      </c>
      <c r="D989">
        <v>0</v>
      </c>
      <c r="E989">
        <v>0</v>
      </c>
      <c r="F989">
        <v>1</v>
      </c>
      <c r="G989" s="7">
        <v>0.05</v>
      </c>
      <c r="H989">
        <v>12</v>
      </c>
      <c r="I989">
        <v>0</v>
      </c>
      <c r="J989">
        <v>0</v>
      </c>
      <c r="K989">
        <v>0</v>
      </c>
      <c r="L989">
        <v>1</v>
      </c>
      <c r="M989">
        <v>2</v>
      </c>
      <c r="N989" s="7">
        <v>9</v>
      </c>
      <c r="O989" s="7">
        <v>0</v>
      </c>
      <c r="P989" s="7">
        <v>0</v>
      </c>
      <c r="Q989" s="7">
        <v>0</v>
      </c>
      <c r="R989" s="7">
        <v>1</v>
      </c>
      <c r="S989" s="7">
        <v>4.5</v>
      </c>
      <c r="T989">
        <v>7</v>
      </c>
      <c r="U989" s="1">
        <v>33</v>
      </c>
      <c r="V989">
        <v>0</v>
      </c>
      <c r="W989">
        <v>0</v>
      </c>
      <c r="X989">
        <v>1</v>
      </c>
      <c r="Y989">
        <v>0.16</v>
      </c>
      <c r="Z989">
        <v>23</v>
      </c>
      <c r="AA989">
        <v>0</v>
      </c>
      <c r="AB989">
        <v>0</v>
      </c>
      <c r="AC989">
        <v>0</v>
      </c>
      <c r="AD989">
        <v>1</v>
      </c>
      <c r="AE989">
        <v>0.05</v>
      </c>
      <c r="AF989">
        <v>15</v>
      </c>
      <c r="AG989">
        <v>0</v>
      </c>
      <c r="AH989">
        <v>0</v>
      </c>
      <c r="AI989">
        <v>0</v>
      </c>
      <c r="AJ989">
        <v>1</v>
      </c>
      <c r="AK989">
        <v>0.02</v>
      </c>
      <c r="AL989">
        <v>16</v>
      </c>
      <c r="AM989">
        <v>0</v>
      </c>
      <c r="AN989">
        <v>0</v>
      </c>
      <c r="AO989">
        <v>0</v>
      </c>
      <c r="AP989">
        <v>1</v>
      </c>
      <c r="AQ989">
        <v>0.01</v>
      </c>
      <c r="AX989">
        <v>7</v>
      </c>
      <c r="AY989" s="1">
        <v>17</v>
      </c>
      <c r="AZ989">
        <v>0</v>
      </c>
      <c r="BA989">
        <v>0</v>
      </c>
      <c r="BB989">
        <v>1</v>
      </c>
      <c r="BC989" s="7">
        <v>0.32</v>
      </c>
      <c r="BD989">
        <v>30</v>
      </c>
      <c r="BE989">
        <v>0</v>
      </c>
      <c r="BF989">
        <v>0</v>
      </c>
      <c r="BG989">
        <v>0</v>
      </c>
      <c r="BH989">
        <v>5</v>
      </c>
      <c r="BI989">
        <v>2.4</v>
      </c>
      <c r="BJ989">
        <v>31</v>
      </c>
      <c r="BK989">
        <v>0</v>
      </c>
      <c r="BL989">
        <v>0</v>
      </c>
      <c r="BM989">
        <v>0</v>
      </c>
      <c r="BN989">
        <v>5</v>
      </c>
      <c r="BO989">
        <v>2.4</v>
      </c>
      <c r="BP989">
        <v>36</v>
      </c>
      <c r="BQ989">
        <v>0</v>
      </c>
      <c r="BR989">
        <v>0</v>
      </c>
      <c r="BS989">
        <v>0</v>
      </c>
      <c r="BT989">
        <v>5</v>
      </c>
      <c r="BU989">
        <v>1.9</v>
      </c>
    </row>
    <row r="990" spans="1:73" ht="14.25" x14ac:dyDescent="0.15">
      <c r="A990" s="12">
        <v>20437</v>
      </c>
      <c r="B990">
        <v>7</v>
      </c>
      <c r="C990" s="1">
        <v>46</v>
      </c>
      <c r="D990">
        <v>0</v>
      </c>
      <c r="E990">
        <v>0</v>
      </c>
      <c r="F990">
        <v>1</v>
      </c>
      <c r="G990" s="7">
        <v>0.05</v>
      </c>
      <c r="H990">
        <v>12</v>
      </c>
      <c r="I990">
        <v>0</v>
      </c>
      <c r="J990">
        <v>0</v>
      </c>
      <c r="K990">
        <v>0</v>
      </c>
      <c r="L990">
        <v>1</v>
      </c>
      <c r="M990">
        <v>2</v>
      </c>
      <c r="N990" s="7">
        <v>9</v>
      </c>
      <c r="O990" s="7">
        <v>0</v>
      </c>
      <c r="P990" s="7">
        <v>0</v>
      </c>
      <c r="Q990" s="7">
        <v>0</v>
      </c>
      <c r="R990" s="7">
        <v>1</v>
      </c>
      <c r="S990" s="7">
        <v>4.5</v>
      </c>
      <c r="T990">
        <v>7</v>
      </c>
      <c r="U990" s="1">
        <v>34</v>
      </c>
      <c r="V990">
        <v>0</v>
      </c>
      <c r="W990">
        <v>0</v>
      </c>
      <c r="X990">
        <v>1</v>
      </c>
      <c r="Y990">
        <v>0.16</v>
      </c>
      <c r="Z990">
        <v>23</v>
      </c>
      <c r="AA990">
        <v>0</v>
      </c>
      <c r="AB990">
        <v>0</v>
      </c>
      <c r="AC990">
        <v>0</v>
      </c>
      <c r="AD990">
        <v>1</v>
      </c>
      <c r="AE990">
        <v>0.05</v>
      </c>
      <c r="AF990">
        <v>15</v>
      </c>
      <c r="AG990">
        <v>0</v>
      </c>
      <c r="AH990">
        <v>0</v>
      </c>
      <c r="AI990">
        <v>0</v>
      </c>
      <c r="AJ990">
        <v>1</v>
      </c>
      <c r="AK990">
        <v>0.02</v>
      </c>
      <c r="AL990">
        <v>16</v>
      </c>
      <c r="AM990">
        <v>0</v>
      </c>
      <c r="AN990">
        <v>0</v>
      </c>
      <c r="AO990">
        <v>0</v>
      </c>
      <c r="AP990">
        <v>1</v>
      </c>
      <c r="AQ990">
        <v>0.01</v>
      </c>
      <c r="AX990">
        <v>7</v>
      </c>
      <c r="AY990" s="1">
        <v>18</v>
      </c>
      <c r="AZ990">
        <v>0</v>
      </c>
      <c r="BA990">
        <v>0</v>
      </c>
      <c r="BB990">
        <v>1</v>
      </c>
      <c r="BC990" s="7">
        <v>0.32</v>
      </c>
      <c r="BD990">
        <v>30</v>
      </c>
      <c r="BE990">
        <v>0</v>
      </c>
      <c r="BF990">
        <v>0</v>
      </c>
      <c r="BG990">
        <v>0</v>
      </c>
      <c r="BH990">
        <v>5</v>
      </c>
      <c r="BI990">
        <v>2.4</v>
      </c>
      <c r="BJ990">
        <v>31</v>
      </c>
      <c r="BK990">
        <v>0</v>
      </c>
      <c r="BL990">
        <v>0</v>
      </c>
      <c r="BM990">
        <v>0</v>
      </c>
      <c r="BN990">
        <v>5</v>
      </c>
      <c r="BO990">
        <v>2.4</v>
      </c>
      <c r="BP990">
        <v>36</v>
      </c>
      <c r="BQ990">
        <v>0</v>
      </c>
      <c r="BR990">
        <v>0</v>
      </c>
      <c r="BS990">
        <v>0</v>
      </c>
      <c r="BT990">
        <v>5</v>
      </c>
      <c r="BU990">
        <v>1.9</v>
      </c>
    </row>
    <row r="991" spans="1:73" ht="14.25" x14ac:dyDescent="0.15">
      <c r="A991" s="12">
        <v>20438</v>
      </c>
      <c r="B991">
        <v>7</v>
      </c>
      <c r="C991" s="1">
        <v>47</v>
      </c>
      <c r="D991">
        <v>0</v>
      </c>
      <c r="E991">
        <v>0</v>
      </c>
      <c r="F991">
        <v>1</v>
      </c>
      <c r="G991" s="7">
        <v>0.05</v>
      </c>
      <c r="H991">
        <v>12</v>
      </c>
      <c r="I991">
        <v>0</v>
      </c>
      <c r="J991">
        <v>0</v>
      </c>
      <c r="K991">
        <v>0</v>
      </c>
      <c r="L991">
        <v>1</v>
      </c>
      <c r="M991">
        <v>2</v>
      </c>
      <c r="N991" s="7">
        <v>9</v>
      </c>
      <c r="O991" s="7">
        <v>0</v>
      </c>
      <c r="P991" s="7">
        <v>0</v>
      </c>
      <c r="Q991" s="7">
        <v>0</v>
      </c>
      <c r="R991" s="7">
        <v>1</v>
      </c>
      <c r="S991" s="7">
        <v>4.5</v>
      </c>
      <c r="T991">
        <v>7</v>
      </c>
      <c r="U991" s="1">
        <v>35</v>
      </c>
      <c r="V991">
        <v>0</v>
      </c>
      <c r="W991">
        <v>0</v>
      </c>
      <c r="X991">
        <v>1</v>
      </c>
      <c r="Y991">
        <v>0.16</v>
      </c>
      <c r="Z991">
        <v>23</v>
      </c>
      <c r="AA991">
        <v>0</v>
      </c>
      <c r="AB991">
        <v>0</v>
      </c>
      <c r="AC991">
        <v>0</v>
      </c>
      <c r="AD991">
        <v>1</v>
      </c>
      <c r="AE991">
        <v>0.05</v>
      </c>
      <c r="AF991">
        <v>15</v>
      </c>
      <c r="AG991">
        <v>0</v>
      </c>
      <c r="AH991">
        <v>0</v>
      </c>
      <c r="AI991">
        <v>0</v>
      </c>
      <c r="AJ991">
        <v>1</v>
      </c>
      <c r="AK991">
        <v>0.02</v>
      </c>
      <c r="AL991">
        <v>16</v>
      </c>
      <c r="AM991">
        <v>0</v>
      </c>
      <c r="AN991">
        <v>0</v>
      </c>
      <c r="AO991">
        <v>0</v>
      </c>
      <c r="AP991">
        <v>1</v>
      </c>
      <c r="AQ991">
        <v>0.01</v>
      </c>
      <c r="AX991">
        <v>7</v>
      </c>
      <c r="AY991" s="1">
        <v>19</v>
      </c>
      <c r="AZ991">
        <v>0</v>
      </c>
      <c r="BA991">
        <v>0</v>
      </c>
      <c r="BB991">
        <v>1</v>
      </c>
      <c r="BC991" s="7">
        <v>0.32</v>
      </c>
      <c r="BD991">
        <v>30</v>
      </c>
      <c r="BE991">
        <v>0</v>
      </c>
      <c r="BF991">
        <v>0</v>
      </c>
      <c r="BG991">
        <v>0</v>
      </c>
      <c r="BH991">
        <v>5</v>
      </c>
      <c r="BI991">
        <v>2.4</v>
      </c>
      <c r="BJ991">
        <v>31</v>
      </c>
      <c r="BK991">
        <v>0</v>
      </c>
      <c r="BL991">
        <v>0</v>
      </c>
      <c r="BM991">
        <v>0</v>
      </c>
      <c r="BN991">
        <v>5</v>
      </c>
      <c r="BO991">
        <v>2.4</v>
      </c>
      <c r="BP991">
        <v>36</v>
      </c>
      <c r="BQ991">
        <v>0</v>
      </c>
      <c r="BR991">
        <v>0</v>
      </c>
      <c r="BS991">
        <v>0</v>
      </c>
      <c r="BT991">
        <v>5</v>
      </c>
      <c r="BU991">
        <v>1.9</v>
      </c>
    </row>
    <row r="992" spans="1:73" ht="14.25" x14ac:dyDescent="0.15">
      <c r="A992" s="12">
        <v>20439</v>
      </c>
      <c r="B992">
        <v>7</v>
      </c>
      <c r="C992" s="1">
        <v>48</v>
      </c>
      <c r="D992">
        <v>0</v>
      </c>
      <c r="E992">
        <v>0</v>
      </c>
      <c r="F992">
        <v>1</v>
      </c>
      <c r="G992" s="7">
        <v>0.05</v>
      </c>
      <c r="H992">
        <v>12</v>
      </c>
      <c r="I992">
        <v>0</v>
      </c>
      <c r="J992">
        <v>0</v>
      </c>
      <c r="K992">
        <v>0</v>
      </c>
      <c r="L992">
        <v>1</v>
      </c>
      <c r="M992">
        <v>2</v>
      </c>
      <c r="N992" s="7">
        <v>9</v>
      </c>
      <c r="O992" s="7">
        <v>0</v>
      </c>
      <c r="P992" s="7">
        <v>0</v>
      </c>
      <c r="Q992" s="7">
        <v>0</v>
      </c>
      <c r="R992" s="7">
        <v>1</v>
      </c>
      <c r="S992" s="7">
        <v>4.5</v>
      </c>
      <c r="T992">
        <v>7</v>
      </c>
      <c r="U992" s="1">
        <v>36</v>
      </c>
      <c r="V992">
        <v>0</v>
      </c>
      <c r="W992">
        <v>0</v>
      </c>
      <c r="X992">
        <v>1</v>
      </c>
      <c r="Y992">
        <v>0.16</v>
      </c>
      <c r="Z992">
        <v>23</v>
      </c>
      <c r="AA992">
        <v>0</v>
      </c>
      <c r="AB992">
        <v>0</v>
      </c>
      <c r="AC992">
        <v>0</v>
      </c>
      <c r="AD992">
        <v>1</v>
      </c>
      <c r="AE992">
        <v>0.05</v>
      </c>
      <c r="AF992">
        <v>15</v>
      </c>
      <c r="AG992">
        <v>0</v>
      </c>
      <c r="AH992">
        <v>0</v>
      </c>
      <c r="AI992">
        <v>0</v>
      </c>
      <c r="AJ992">
        <v>1</v>
      </c>
      <c r="AK992">
        <v>0.02</v>
      </c>
      <c r="AL992">
        <v>16</v>
      </c>
      <c r="AM992">
        <v>0</v>
      </c>
      <c r="AN992">
        <v>0</v>
      </c>
      <c r="AO992">
        <v>0</v>
      </c>
      <c r="AP992">
        <v>1</v>
      </c>
      <c r="AQ992">
        <v>0.01</v>
      </c>
      <c r="AX992">
        <v>7</v>
      </c>
      <c r="AY992" s="1">
        <v>20</v>
      </c>
      <c r="AZ992">
        <v>0</v>
      </c>
      <c r="BA992">
        <v>0</v>
      </c>
      <c r="BB992">
        <v>1</v>
      </c>
      <c r="BC992" s="7">
        <v>0.32</v>
      </c>
      <c r="BD992">
        <v>30</v>
      </c>
      <c r="BE992">
        <v>0</v>
      </c>
      <c r="BF992">
        <v>0</v>
      </c>
      <c r="BG992">
        <v>0</v>
      </c>
      <c r="BH992">
        <v>5</v>
      </c>
      <c r="BI992">
        <v>2.4</v>
      </c>
      <c r="BJ992">
        <v>31</v>
      </c>
      <c r="BK992">
        <v>0</v>
      </c>
      <c r="BL992">
        <v>0</v>
      </c>
      <c r="BM992">
        <v>0</v>
      </c>
      <c r="BN992">
        <v>5</v>
      </c>
      <c r="BO992">
        <v>2.4</v>
      </c>
      <c r="BP992">
        <v>36</v>
      </c>
      <c r="BQ992">
        <v>0</v>
      </c>
      <c r="BR992">
        <v>0</v>
      </c>
      <c r="BS992">
        <v>0</v>
      </c>
      <c r="BT992">
        <v>5</v>
      </c>
      <c r="BU992">
        <v>1.9</v>
      </c>
    </row>
    <row r="993" spans="1:73" ht="14.25" x14ac:dyDescent="0.15">
      <c r="A993" s="12">
        <v>20440</v>
      </c>
      <c r="B993">
        <v>7</v>
      </c>
      <c r="C993" s="1">
        <v>0</v>
      </c>
      <c r="D993">
        <v>5</v>
      </c>
      <c r="E993">
        <v>1</v>
      </c>
      <c r="F993">
        <v>1</v>
      </c>
      <c r="G993" s="7">
        <v>0.05</v>
      </c>
      <c r="H993">
        <v>12</v>
      </c>
      <c r="I993">
        <v>0</v>
      </c>
      <c r="J993">
        <v>0</v>
      </c>
      <c r="K993">
        <v>0</v>
      </c>
      <c r="L993">
        <v>1</v>
      </c>
      <c r="M993">
        <v>2</v>
      </c>
      <c r="N993" s="7">
        <v>9</v>
      </c>
      <c r="O993" s="7">
        <v>0</v>
      </c>
      <c r="P993" s="7">
        <v>0</v>
      </c>
      <c r="Q993" s="7">
        <v>0</v>
      </c>
      <c r="R993" s="7">
        <v>1</v>
      </c>
      <c r="S993" s="7">
        <v>4.5</v>
      </c>
      <c r="T993">
        <v>7</v>
      </c>
      <c r="U993" s="1">
        <v>0</v>
      </c>
      <c r="V993">
        <v>4</v>
      </c>
      <c r="W993">
        <v>2</v>
      </c>
      <c r="X993">
        <v>1</v>
      </c>
      <c r="Y993">
        <v>0.16</v>
      </c>
      <c r="Z993">
        <v>23</v>
      </c>
      <c r="AA993">
        <v>0</v>
      </c>
      <c r="AB993">
        <v>0</v>
      </c>
      <c r="AC993">
        <v>0</v>
      </c>
      <c r="AD993">
        <v>1</v>
      </c>
      <c r="AE993">
        <v>0.05</v>
      </c>
      <c r="AF993">
        <v>15</v>
      </c>
      <c r="AG993">
        <v>0</v>
      </c>
      <c r="AH993">
        <v>0</v>
      </c>
      <c r="AI993">
        <v>0</v>
      </c>
      <c r="AJ993">
        <v>1</v>
      </c>
      <c r="AK993">
        <v>0.02</v>
      </c>
      <c r="AL993">
        <v>16</v>
      </c>
      <c r="AM993">
        <v>0</v>
      </c>
      <c r="AN993">
        <v>0</v>
      </c>
      <c r="AO993">
        <v>0</v>
      </c>
      <c r="AP993">
        <v>1</v>
      </c>
      <c r="AQ993">
        <v>0.01</v>
      </c>
      <c r="AR993">
        <v>6</v>
      </c>
      <c r="AS993">
        <v>2</v>
      </c>
      <c r="AT993">
        <v>3</v>
      </c>
      <c r="AU993">
        <v>5</v>
      </c>
      <c r="AV993">
        <v>1</v>
      </c>
      <c r="AW993">
        <v>0.05</v>
      </c>
      <c r="AX993">
        <v>7</v>
      </c>
      <c r="AY993" s="1">
        <v>0</v>
      </c>
      <c r="AZ993">
        <v>3</v>
      </c>
      <c r="BA993">
        <v>1</v>
      </c>
      <c r="BB993">
        <v>1</v>
      </c>
      <c r="BC993" s="7">
        <v>0.32</v>
      </c>
      <c r="BD993">
        <v>30</v>
      </c>
      <c r="BE993">
        <v>0</v>
      </c>
      <c r="BF993">
        <v>0</v>
      </c>
      <c r="BG993">
        <v>0</v>
      </c>
      <c r="BH993">
        <v>5</v>
      </c>
      <c r="BI993">
        <v>2.4</v>
      </c>
      <c r="BJ993">
        <v>31</v>
      </c>
      <c r="BK993">
        <v>0</v>
      </c>
      <c r="BL993">
        <v>0</v>
      </c>
      <c r="BM993">
        <v>0</v>
      </c>
      <c r="BN993">
        <v>5</v>
      </c>
      <c r="BO993">
        <v>2.4</v>
      </c>
      <c r="BP993">
        <v>36</v>
      </c>
      <c r="BQ993">
        <v>0</v>
      </c>
      <c r="BR993">
        <v>0</v>
      </c>
      <c r="BS993">
        <v>0</v>
      </c>
      <c r="BT993">
        <v>5</v>
      </c>
      <c r="BU993">
        <v>1.9</v>
      </c>
    </row>
    <row r="994" spans="1:73" ht="14.25" x14ac:dyDescent="0.15">
      <c r="A994" s="12">
        <v>20441</v>
      </c>
      <c r="B994">
        <v>7</v>
      </c>
      <c r="C994" s="1">
        <v>45</v>
      </c>
      <c r="D994">
        <v>0</v>
      </c>
      <c r="E994">
        <v>0</v>
      </c>
      <c r="F994">
        <v>1</v>
      </c>
      <c r="G994" s="7">
        <v>0.05</v>
      </c>
      <c r="H994">
        <v>12</v>
      </c>
      <c r="I994">
        <v>0</v>
      </c>
      <c r="J994">
        <v>0</v>
      </c>
      <c r="K994">
        <v>0</v>
      </c>
      <c r="L994">
        <v>1</v>
      </c>
      <c r="M994">
        <v>2</v>
      </c>
      <c r="N994" s="7">
        <v>9</v>
      </c>
      <c r="O994" s="7">
        <v>0</v>
      </c>
      <c r="P994" s="7">
        <v>0</v>
      </c>
      <c r="Q994" s="7">
        <v>0</v>
      </c>
      <c r="R994" s="7">
        <v>1</v>
      </c>
      <c r="S994" s="7">
        <v>4.5</v>
      </c>
      <c r="T994">
        <v>7</v>
      </c>
      <c r="U994" s="1">
        <v>33</v>
      </c>
      <c r="V994">
        <v>0</v>
      </c>
      <c r="W994">
        <v>0</v>
      </c>
      <c r="X994">
        <v>1</v>
      </c>
      <c r="Y994">
        <v>0.16</v>
      </c>
      <c r="Z994">
        <v>23</v>
      </c>
      <c r="AA994">
        <v>0</v>
      </c>
      <c r="AB994">
        <v>0</v>
      </c>
      <c r="AC994">
        <v>0</v>
      </c>
      <c r="AD994">
        <v>1</v>
      </c>
      <c r="AE994">
        <v>0.05</v>
      </c>
      <c r="AF994">
        <v>15</v>
      </c>
      <c r="AG994">
        <v>0</v>
      </c>
      <c r="AH994">
        <v>0</v>
      </c>
      <c r="AI994">
        <v>0</v>
      </c>
      <c r="AJ994">
        <v>1</v>
      </c>
      <c r="AK994">
        <v>0.02</v>
      </c>
      <c r="AL994">
        <v>16</v>
      </c>
      <c r="AM994">
        <v>0</v>
      </c>
      <c r="AN994">
        <v>0</v>
      </c>
      <c r="AO994">
        <v>0</v>
      </c>
      <c r="AP994">
        <v>1</v>
      </c>
      <c r="AQ994">
        <v>0.01</v>
      </c>
      <c r="AX994">
        <v>7</v>
      </c>
      <c r="AY994" s="1">
        <v>17</v>
      </c>
      <c r="AZ994">
        <v>0</v>
      </c>
      <c r="BA994">
        <v>0</v>
      </c>
      <c r="BB994">
        <v>1</v>
      </c>
      <c r="BC994" s="7">
        <v>0.32</v>
      </c>
      <c r="BD994">
        <v>30</v>
      </c>
      <c r="BE994">
        <v>0</v>
      </c>
      <c r="BF994">
        <v>0</v>
      </c>
      <c r="BG994">
        <v>0</v>
      </c>
      <c r="BH994">
        <v>5</v>
      </c>
      <c r="BI994">
        <v>2.4</v>
      </c>
      <c r="BJ994">
        <v>31</v>
      </c>
      <c r="BK994">
        <v>0</v>
      </c>
      <c r="BL994">
        <v>0</v>
      </c>
      <c r="BM994">
        <v>0</v>
      </c>
      <c r="BN994">
        <v>5</v>
      </c>
      <c r="BO994">
        <v>2.4</v>
      </c>
      <c r="BP994">
        <v>36</v>
      </c>
      <c r="BQ994">
        <v>0</v>
      </c>
      <c r="BR994">
        <v>0</v>
      </c>
      <c r="BS994">
        <v>0</v>
      </c>
      <c r="BT994">
        <v>5</v>
      </c>
      <c r="BU994">
        <v>1.9</v>
      </c>
    </row>
    <row r="995" spans="1:73" ht="14.25" x14ac:dyDescent="0.15">
      <c r="A995" s="12">
        <v>20442</v>
      </c>
      <c r="B995">
        <v>7</v>
      </c>
      <c r="C995" s="1">
        <v>46</v>
      </c>
      <c r="D995">
        <v>0</v>
      </c>
      <c r="E995">
        <v>0</v>
      </c>
      <c r="F995">
        <v>1</v>
      </c>
      <c r="G995" s="7">
        <v>0.05</v>
      </c>
      <c r="H995">
        <v>12</v>
      </c>
      <c r="I995">
        <v>0</v>
      </c>
      <c r="J995">
        <v>0</v>
      </c>
      <c r="K995">
        <v>0</v>
      </c>
      <c r="L995">
        <v>1</v>
      </c>
      <c r="M995">
        <v>2</v>
      </c>
      <c r="N995" s="7">
        <v>9</v>
      </c>
      <c r="O995" s="7">
        <v>0</v>
      </c>
      <c r="P995" s="7">
        <v>0</v>
      </c>
      <c r="Q995" s="7">
        <v>0</v>
      </c>
      <c r="R995" s="7">
        <v>1</v>
      </c>
      <c r="S995" s="7">
        <v>4.5</v>
      </c>
      <c r="T995">
        <v>7</v>
      </c>
      <c r="U995" s="1">
        <v>34</v>
      </c>
      <c r="V995">
        <v>0</v>
      </c>
      <c r="W995">
        <v>0</v>
      </c>
      <c r="X995">
        <v>1</v>
      </c>
      <c r="Y995">
        <v>0.16</v>
      </c>
      <c r="Z995">
        <v>23</v>
      </c>
      <c r="AA995">
        <v>0</v>
      </c>
      <c r="AB995">
        <v>0</v>
      </c>
      <c r="AC995">
        <v>0</v>
      </c>
      <c r="AD995">
        <v>1</v>
      </c>
      <c r="AE995">
        <v>0.05</v>
      </c>
      <c r="AF995">
        <v>15</v>
      </c>
      <c r="AG995">
        <v>0</v>
      </c>
      <c r="AH995">
        <v>0</v>
      </c>
      <c r="AI995">
        <v>0</v>
      </c>
      <c r="AJ995">
        <v>1</v>
      </c>
      <c r="AK995">
        <v>0.02</v>
      </c>
      <c r="AL995">
        <v>16</v>
      </c>
      <c r="AM995">
        <v>0</v>
      </c>
      <c r="AN995">
        <v>0</v>
      </c>
      <c r="AO995">
        <v>0</v>
      </c>
      <c r="AP995">
        <v>1</v>
      </c>
      <c r="AQ995">
        <v>0.01</v>
      </c>
      <c r="AX995">
        <v>7</v>
      </c>
      <c r="AY995" s="1">
        <v>18</v>
      </c>
      <c r="AZ995">
        <v>0</v>
      </c>
      <c r="BA995">
        <v>0</v>
      </c>
      <c r="BB995">
        <v>1</v>
      </c>
      <c r="BC995" s="7">
        <v>0.32</v>
      </c>
      <c r="BD995">
        <v>30</v>
      </c>
      <c r="BE995">
        <v>0</v>
      </c>
      <c r="BF995">
        <v>0</v>
      </c>
      <c r="BG995">
        <v>0</v>
      </c>
      <c r="BH995">
        <v>5</v>
      </c>
      <c r="BI995">
        <v>2.4</v>
      </c>
      <c r="BJ995">
        <v>31</v>
      </c>
      <c r="BK995">
        <v>0</v>
      </c>
      <c r="BL995">
        <v>0</v>
      </c>
      <c r="BM995">
        <v>0</v>
      </c>
      <c r="BN995">
        <v>5</v>
      </c>
      <c r="BO995">
        <v>2.4</v>
      </c>
      <c r="BP995">
        <v>36</v>
      </c>
      <c r="BQ995">
        <v>0</v>
      </c>
      <c r="BR995">
        <v>0</v>
      </c>
      <c r="BS995">
        <v>0</v>
      </c>
      <c r="BT995">
        <v>5</v>
      </c>
      <c r="BU995">
        <v>1.9</v>
      </c>
    </row>
    <row r="996" spans="1:73" ht="14.25" x14ac:dyDescent="0.15">
      <c r="A996" s="12">
        <v>20443</v>
      </c>
      <c r="B996">
        <v>7</v>
      </c>
      <c r="C996" s="1">
        <v>47</v>
      </c>
      <c r="D996">
        <v>0</v>
      </c>
      <c r="E996">
        <v>0</v>
      </c>
      <c r="F996">
        <v>1</v>
      </c>
      <c r="G996" s="7">
        <v>0.05</v>
      </c>
      <c r="H996">
        <v>12</v>
      </c>
      <c r="I996">
        <v>0</v>
      </c>
      <c r="J996">
        <v>0</v>
      </c>
      <c r="K996">
        <v>0</v>
      </c>
      <c r="L996">
        <v>1</v>
      </c>
      <c r="M996">
        <v>2</v>
      </c>
      <c r="N996" s="7">
        <v>9</v>
      </c>
      <c r="O996" s="7">
        <v>0</v>
      </c>
      <c r="P996" s="7">
        <v>0</v>
      </c>
      <c r="Q996" s="7">
        <v>0</v>
      </c>
      <c r="R996" s="7">
        <v>1</v>
      </c>
      <c r="S996" s="7">
        <v>4.5</v>
      </c>
      <c r="T996">
        <v>7</v>
      </c>
      <c r="U996" s="1">
        <v>35</v>
      </c>
      <c r="V996">
        <v>0</v>
      </c>
      <c r="W996">
        <v>0</v>
      </c>
      <c r="X996">
        <v>1</v>
      </c>
      <c r="Y996">
        <v>0.16</v>
      </c>
      <c r="Z996">
        <v>23</v>
      </c>
      <c r="AA996">
        <v>0</v>
      </c>
      <c r="AB996">
        <v>0</v>
      </c>
      <c r="AC996">
        <v>0</v>
      </c>
      <c r="AD996">
        <v>1</v>
      </c>
      <c r="AE996">
        <v>0.05</v>
      </c>
      <c r="AF996">
        <v>15</v>
      </c>
      <c r="AG996">
        <v>0</v>
      </c>
      <c r="AH996">
        <v>0</v>
      </c>
      <c r="AI996">
        <v>0</v>
      </c>
      <c r="AJ996">
        <v>1</v>
      </c>
      <c r="AK996">
        <v>0.02</v>
      </c>
      <c r="AL996">
        <v>16</v>
      </c>
      <c r="AM996">
        <v>0</v>
      </c>
      <c r="AN996">
        <v>0</v>
      </c>
      <c r="AO996">
        <v>0</v>
      </c>
      <c r="AP996">
        <v>1</v>
      </c>
      <c r="AQ996">
        <v>0.01</v>
      </c>
      <c r="AX996">
        <v>7</v>
      </c>
      <c r="AY996" s="1">
        <v>19</v>
      </c>
      <c r="AZ996">
        <v>0</v>
      </c>
      <c r="BA996">
        <v>0</v>
      </c>
      <c r="BB996">
        <v>1</v>
      </c>
      <c r="BC996" s="7">
        <v>0.32</v>
      </c>
      <c r="BD996">
        <v>30</v>
      </c>
      <c r="BE996">
        <v>0</v>
      </c>
      <c r="BF996">
        <v>0</v>
      </c>
      <c r="BG996">
        <v>0</v>
      </c>
      <c r="BH996">
        <v>5</v>
      </c>
      <c r="BI996">
        <v>2.4</v>
      </c>
      <c r="BJ996">
        <v>31</v>
      </c>
      <c r="BK996">
        <v>0</v>
      </c>
      <c r="BL996">
        <v>0</v>
      </c>
      <c r="BM996">
        <v>0</v>
      </c>
      <c r="BN996">
        <v>5</v>
      </c>
      <c r="BO996">
        <v>2.4</v>
      </c>
      <c r="BP996">
        <v>36</v>
      </c>
      <c r="BQ996">
        <v>0</v>
      </c>
      <c r="BR996">
        <v>0</v>
      </c>
      <c r="BS996">
        <v>0</v>
      </c>
      <c r="BT996">
        <v>5</v>
      </c>
      <c r="BU996">
        <v>1.9</v>
      </c>
    </row>
    <row r="997" spans="1:73" ht="14.25" x14ac:dyDescent="0.15">
      <c r="A997" s="12">
        <v>20444</v>
      </c>
      <c r="B997">
        <v>7</v>
      </c>
      <c r="C997" s="1">
        <v>48</v>
      </c>
      <c r="D997">
        <v>0</v>
      </c>
      <c r="E997">
        <v>0</v>
      </c>
      <c r="F997">
        <v>1</v>
      </c>
      <c r="G997" s="7">
        <v>0.05</v>
      </c>
      <c r="H997">
        <v>12</v>
      </c>
      <c r="I997">
        <v>0</v>
      </c>
      <c r="J997">
        <v>0</v>
      </c>
      <c r="K997">
        <v>0</v>
      </c>
      <c r="L997">
        <v>1</v>
      </c>
      <c r="M997">
        <v>2</v>
      </c>
      <c r="N997" s="7">
        <v>9</v>
      </c>
      <c r="O997" s="7">
        <v>0</v>
      </c>
      <c r="P997" s="7">
        <v>0</v>
      </c>
      <c r="Q997" s="7">
        <v>0</v>
      </c>
      <c r="R997" s="7">
        <v>1</v>
      </c>
      <c r="S997" s="7">
        <v>4.5</v>
      </c>
      <c r="T997">
        <v>7</v>
      </c>
      <c r="U997" s="1">
        <v>36</v>
      </c>
      <c r="V997">
        <v>0</v>
      </c>
      <c r="W997">
        <v>0</v>
      </c>
      <c r="X997">
        <v>1</v>
      </c>
      <c r="Y997">
        <v>0.16</v>
      </c>
      <c r="Z997">
        <v>23</v>
      </c>
      <c r="AA997">
        <v>0</v>
      </c>
      <c r="AB997">
        <v>0</v>
      </c>
      <c r="AC997">
        <v>0</v>
      </c>
      <c r="AD997">
        <v>1</v>
      </c>
      <c r="AE997">
        <v>0.05</v>
      </c>
      <c r="AF997">
        <v>15</v>
      </c>
      <c r="AG997">
        <v>0</v>
      </c>
      <c r="AH997">
        <v>0</v>
      </c>
      <c r="AI997">
        <v>0</v>
      </c>
      <c r="AJ997">
        <v>1</v>
      </c>
      <c r="AK997">
        <v>0.02</v>
      </c>
      <c r="AL997">
        <v>16</v>
      </c>
      <c r="AM997">
        <v>0</v>
      </c>
      <c r="AN997">
        <v>0</v>
      </c>
      <c r="AO997">
        <v>0</v>
      </c>
      <c r="AP997">
        <v>1</v>
      </c>
      <c r="AQ997">
        <v>0.01</v>
      </c>
      <c r="AX997">
        <v>7</v>
      </c>
      <c r="AY997" s="1">
        <v>20</v>
      </c>
      <c r="AZ997">
        <v>0</v>
      </c>
      <c r="BA997">
        <v>0</v>
      </c>
      <c r="BB997">
        <v>1</v>
      </c>
      <c r="BC997" s="7">
        <v>0.32</v>
      </c>
      <c r="BD997">
        <v>30</v>
      </c>
      <c r="BE997">
        <v>0</v>
      </c>
      <c r="BF997">
        <v>0</v>
      </c>
      <c r="BG997">
        <v>0</v>
      </c>
      <c r="BH997">
        <v>5</v>
      </c>
      <c r="BI997">
        <v>2.4</v>
      </c>
      <c r="BJ997">
        <v>31</v>
      </c>
      <c r="BK997">
        <v>0</v>
      </c>
      <c r="BL997">
        <v>0</v>
      </c>
      <c r="BM997">
        <v>0</v>
      </c>
      <c r="BN997">
        <v>5</v>
      </c>
      <c r="BO997">
        <v>2.4</v>
      </c>
      <c r="BP997">
        <v>36</v>
      </c>
      <c r="BQ997">
        <v>0</v>
      </c>
      <c r="BR997">
        <v>0</v>
      </c>
      <c r="BS997">
        <v>0</v>
      </c>
      <c r="BT997">
        <v>5</v>
      </c>
      <c r="BU997">
        <v>1.9</v>
      </c>
    </row>
    <row r="998" spans="1:73" ht="14.25" x14ac:dyDescent="0.15">
      <c r="A998" s="12">
        <v>20445</v>
      </c>
      <c r="B998">
        <v>7</v>
      </c>
      <c r="C998" s="1">
        <v>0</v>
      </c>
      <c r="D998">
        <v>5</v>
      </c>
      <c r="E998">
        <v>1</v>
      </c>
      <c r="F998">
        <v>1</v>
      </c>
      <c r="G998" s="7">
        <v>0.05</v>
      </c>
      <c r="H998">
        <v>12</v>
      </c>
      <c r="I998">
        <v>0</v>
      </c>
      <c r="J998">
        <v>0</v>
      </c>
      <c r="K998">
        <v>0</v>
      </c>
      <c r="L998">
        <v>1</v>
      </c>
      <c r="M998">
        <v>2</v>
      </c>
      <c r="N998" s="7">
        <v>9</v>
      </c>
      <c r="O998" s="7">
        <v>0</v>
      </c>
      <c r="P998" s="7">
        <v>0</v>
      </c>
      <c r="Q998" s="7">
        <v>0</v>
      </c>
      <c r="R998" s="7">
        <v>1</v>
      </c>
      <c r="S998" s="7">
        <v>4.5</v>
      </c>
      <c r="T998">
        <v>7</v>
      </c>
      <c r="U998" s="1">
        <v>0</v>
      </c>
      <c r="V998">
        <v>4</v>
      </c>
      <c r="W998">
        <v>2</v>
      </c>
      <c r="X998">
        <v>1</v>
      </c>
      <c r="Y998">
        <v>0.16</v>
      </c>
      <c r="Z998">
        <v>23</v>
      </c>
      <c r="AA998">
        <v>0</v>
      </c>
      <c r="AB998">
        <v>0</v>
      </c>
      <c r="AC998">
        <v>0</v>
      </c>
      <c r="AD998">
        <v>1</v>
      </c>
      <c r="AE998">
        <v>0.05</v>
      </c>
      <c r="AF998">
        <v>15</v>
      </c>
      <c r="AG998">
        <v>0</v>
      </c>
      <c r="AH998">
        <v>0</v>
      </c>
      <c r="AI998">
        <v>0</v>
      </c>
      <c r="AJ998">
        <v>1</v>
      </c>
      <c r="AK998">
        <v>0.02</v>
      </c>
      <c r="AL998">
        <v>16</v>
      </c>
      <c r="AM998">
        <v>0</v>
      </c>
      <c r="AN998">
        <v>0</v>
      </c>
      <c r="AO998">
        <v>0</v>
      </c>
      <c r="AP998">
        <v>1</v>
      </c>
      <c r="AQ998">
        <v>0.01</v>
      </c>
      <c r="AR998">
        <v>6</v>
      </c>
      <c r="AS998">
        <v>2</v>
      </c>
      <c r="AT998">
        <v>4</v>
      </c>
      <c r="AU998">
        <v>5</v>
      </c>
      <c r="AV998">
        <v>1</v>
      </c>
      <c r="AW998">
        <v>0.01</v>
      </c>
      <c r="AX998">
        <v>7</v>
      </c>
      <c r="AY998" s="1">
        <v>0</v>
      </c>
      <c r="AZ998">
        <v>3</v>
      </c>
      <c r="BA998">
        <v>1</v>
      </c>
      <c r="BB998">
        <v>1</v>
      </c>
      <c r="BC998" s="7">
        <v>0.32</v>
      </c>
      <c r="BD998">
        <v>30</v>
      </c>
      <c r="BE998">
        <v>0</v>
      </c>
      <c r="BF998">
        <v>0</v>
      </c>
      <c r="BG998">
        <v>0</v>
      </c>
      <c r="BH998">
        <v>5</v>
      </c>
      <c r="BI998">
        <v>2.4</v>
      </c>
      <c r="BJ998">
        <v>31</v>
      </c>
      <c r="BK998">
        <v>0</v>
      </c>
      <c r="BL998">
        <v>0</v>
      </c>
      <c r="BM998">
        <v>0</v>
      </c>
      <c r="BN998">
        <v>5</v>
      </c>
      <c r="BO998">
        <v>2.4</v>
      </c>
      <c r="BP998">
        <v>36</v>
      </c>
      <c r="BQ998">
        <v>0</v>
      </c>
      <c r="BR998">
        <v>0</v>
      </c>
      <c r="BS998">
        <v>0</v>
      </c>
      <c r="BT998">
        <v>5</v>
      </c>
      <c r="BU998">
        <v>1.9</v>
      </c>
    </row>
    <row r="999" spans="1:73" ht="14.25" x14ac:dyDescent="0.15">
      <c r="A999" s="12">
        <v>20446</v>
      </c>
      <c r="B999">
        <v>7</v>
      </c>
      <c r="C999" s="1">
        <v>45</v>
      </c>
      <c r="D999">
        <v>0</v>
      </c>
      <c r="E999">
        <v>0</v>
      </c>
      <c r="F999">
        <v>1</v>
      </c>
      <c r="G999" s="7">
        <v>0.05</v>
      </c>
      <c r="H999">
        <v>12</v>
      </c>
      <c r="I999">
        <v>0</v>
      </c>
      <c r="J999">
        <v>0</v>
      </c>
      <c r="K999">
        <v>0</v>
      </c>
      <c r="L999">
        <v>1</v>
      </c>
      <c r="M999">
        <v>2</v>
      </c>
      <c r="N999" s="7">
        <v>9</v>
      </c>
      <c r="O999" s="7">
        <v>0</v>
      </c>
      <c r="P999" s="7">
        <v>0</v>
      </c>
      <c r="Q999" s="7">
        <v>0</v>
      </c>
      <c r="R999" s="7">
        <v>1</v>
      </c>
      <c r="S999" s="7">
        <v>4.5</v>
      </c>
      <c r="T999">
        <v>7</v>
      </c>
      <c r="U999" s="1">
        <v>33</v>
      </c>
      <c r="V999">
        <v>0</v>
      </c>
      <c r="W999">
        <v>0</v>
      </c>
      <c r="X999">
        <v>1</v>
      </c>
      <c r="Y999">
        <v>0.16</v>
      </c>
      <c r="Z999">
        <v>23</v>
      </c>
      <c r="AA999">
        <v>0</v>
      </c>
      <c r="AB999">
        <v>0</v>
      </c>
      <c r="AC999">
        <v>0</v>
      </c>
      <c r="AD999">
        <v>1</v>
      </c>
      <c r="AE999">
        <v>0.05</v>
      </c>
      <c r="AF999">
        <v>15</v>
      </c>
      <c r="AG999">
        <v>0</v>
      </c>
      <c r="AH999">
        <v>0</v>
      </c>
      <c r="AI999">
        <v>0</v>
      </c>
      <c r="AJ999">
        <v>1</v>
      </c>
      <c r="AK999">
        <v>0.02</v>
      </c>
      <c r="AL999">
        <v>16</v>
      </c>
      <c r="AM999">
        <v>0</v>
      </c>
      <c r="AN999">
        <v>0</v>
      </c>
      <c r="AO999">
        <v>0</v>
      </c>
      <c r="AP999">
        <v>1</v>
      </c>
      <c r="AQ999">
        <v>0.01</v>
      </c>
      <c r="AX999">
        <v>7</v>
      </c>
      <c r="AY999" s="1">
        <v>17</v>
      </c>
      <c r="AZ999">
        <v>0</v>
      </c>
      <c r="BA999">
        <v>0</v>
      </c>
      <c r="BB999">
        <v>1</v>
      </c>
      <c r="BC999" s="7">
        <v>0.32</v>
      </c>
      <c r="BD999">
        <v>30</v>
      </c>
      <c r="BE999">
        <v>0</v>
      </c>
      <c r="BF999">
        <v>0</v>
      </c>
      <c r="BG999">
        <v>0</v>
      </c>
      <c r="BH999">
        <v>5</v>
      </c>
      <c r="BI999">
        <v>2.4</v>
      </c>
      <c r="BJ999">
        <v>31</v>
      </c>
      <c r="BK999">
        <v>0</v>
      </c>
      <c r="BL999">
        <v>0</v>
      </c>
      <c r="BM999">
        <v>0</v>
      </c>
      <c r="BN999">
        <v>5</v>
      </c>
      <c r="BO999">
        <v>2.4</v>
      </c>
      <c r="BP999">
        <v>36</v>
      </c>
      <c r="BQ999">
        <v>0</v>
      </c>
      <c r="BR999">
        <v>0</v>
      </c>
      <c r="BS999">
        <v>0</v>
      </c>
      <c r="BT999">
        <v>5</v>
      </c>
      <c r="BU999">
        <v>1.9</v>
      </c>
    </row>
    <row r="1000" spans="1:73" ht="14.25" x14ac:dyDescent="0.15">
      <c r="A1000" s="12">
        <v>20447</v>
      </c>
      <c r="B1000">
        <v>7</v>
      </c>
      <c r="C1000" s="1">
        <v>46</v>
      </c>
      <c r="D1000">
        <v>0</v>
      </c>
      <c r="E1000">
        <v>0</v>
      </c>
      <c r="F1000">
        <v>1</v>
      </c>
      <c r="G1000" s="7">
        <v>0.05</v>
      </c>
      <c r="H1000">
        <v>12</v>
      </c>
      <c r="I1000">
        <v>0</v>
      </c>
      <c r="J1000">
        <v>0</v>
      </c>
      <c r="K1000">
        <v>0</v>
      </c>
      <c r="L1000">
        <v>1</v>
      </c>
      <c r="M1000">
        <v>2</v>
      </c>
      <c r="N1000" s="7">
        <v>9</v>
      </c>
      <c r="O1000" s="7">
        <v>0</v>
      </c>
      <c r="P1000" s="7">
        <v>0</v>
      </c>
      <c r="Q1000" s="7">
        <v>0</v>
      </c>
      <c r="R1000" s="7">
        <v>1</v>
      </c>
      <c r="S1000" s="7">
        <v>4.5</v>
      </c>
      <c r="T1000">
        <v>7</v>
      </c>
      <c r="U1000" s="1">
        <v>34</v>
      </c>
      <c r="V1000">
        <v>0</v>
      </c>
      <c r="W1000">
        <v>0</v>
      </c>
      <c r="X1000">
        <v>1</v>
      </c>
      <c r="Y1000">
        <v>0.16</v>
      </c>
      <c r="Z1000">
        <v>23</v>
      </c>
      <c r="AA1000">
        <v>0</v>
      </c>
      <c r="AB1000">
        <v>0</v>
      </c>
      <c r="AC1000">
        <v>0</v>
      </c>
      <c r="AD1000">
        <v>1</v>
      </c>
      <c r="AE1000">
        <v>0.05</v>
      </c>
      <c r="AF1000">
        <v>15</v>
      </c>
      <c r="AG1000">
        <v>0</v>
      </c>
      <c r="AH1000">
        <v>0</v>
      </c>
      <c r="AI1000">
        <v>0</v>
      </c>
      <c r="AJ1000">
        <v>1</v>
      </c>
      <c r="AK1000">
        <v>0.02</v>
      </c>
      <c r="AL1000">
        <v>16</v>
      </c>
      <c r="AM1000">
        <v>0</v>
      </c>
      <c r="AN1000">
        <v>0</v>
      </c>
      <c r="AO1000">
        <v>0</v>
      </c>
      <c r="AP1000">
        <v>1</v>
      </c>
      <c r="AQ1000">
        <v>0.01</v>
      </c>
      <c r="AX1000">
        <v>7</v>
      </c>
      <c r="AY1000" s="1">
        <v>18</v>
      </c>
      <c r="AZ1000">
        <v>0</v>
      </c>
      <c r="BA1000">
        <v>0</v>
      </c>
      <c r="BB1000">
        <v>1</v>
      </c>
      <c r="BC1000" s="7">
        <v>0.32</v>
      </c>
      <c r="BD1000">
        <v>30</v>
      </c>
      <c r="BE1000">
        <v>0</v>
      </c>
      <c r="BF1000">
        <v>0</v>
      </c>
      <c r="BG1000">
        <v>0</v>
      </c>
      <c r="BH1000">
        <v>5</v>
      </c>
      <c r="BI1000">
        <v>2.4</v>
      </c>
      <c r="BJ1000">
        <v>31</v>
      </c>
      <c r="BK1000">
        <v>0</v>
      </c>
      <c r="BL1000">
        <v>0</v>
      </c>
      <c r="BM1000">
        <v>0</v>
      </c>
      <c r="BN1000">
        <v>5</v>
      </c>
      <c r="BO1000">
        <v>2.4</v>
      </c>
      <c r="BP1000">
        <v>36</v>
      </c>
      <c r="BQ1000">
        <v>0</v>
      </c>
      <c r="BR1000">
        <v>0</v>
      </c>
      <c r="BS1000">
        <v>0</v>
      </c>
      <c r="BT1000">
        <v>5</v>
      </c>
      <c r="BU1000">
        <v>1.9</v>
      </c>
    </row>
    <row r="1001" spans="1:73" ht="14.25" x14ac:dyDescent="0.15">
      <c r="A1001" s="12">
        <v>20448</v>
      </c>
      <c r="B1001">
        <v>7</v>
      </c>
      <c r="C1001" s="1">
        <v>47</v>
      </c>
      <c r="D1001">
        <v>0</v>
      </c>
      <c r="E1001">
        <v>0</v>
      </c>
      <c r="F1001">
        <v>1</v>
      </c>
      <c r="G1001" s="7">
        <v>0.05</v>
      </c>
      <c r="H1001">
        <v>12</v>
      </c>
      <c r="I1001">
        <v>0</v>
      </c>
      <c r="J1001">
        <v>0</v>
      </c>
      <c r="K1001">
        <v>0</v>
      </c>
      <c r="L1001">
        <v>1</v>
      </c>
      <c r="M1001">
        <v>2</v>
      </c>
      <c r="N1001" s="7">
        <v>9</v>
      </c>
      <c r="O1001" s="7">
        <v>0</v>
      </c>
      <c r="P1001" s="7">
        <v>0</v>
      </c>
      <c r="Q1001" s="7">
        <v>0</v>
      </c>
      <c r="R1001" s="7">
        <v>1</v>
      </c>
      <c r="S1001" s="7">
        <v>4.5</v>
      </c>
      <c r="T1001">
        <v>7</v>
      </c>
      <c r="U1001" s="1">
        <v>35</v>
      </c>
      <c r="V1001">
        <v>0</v>
      </c>
      <c r="W1001">
        <v>0</v>
      </c>
      <c r="X1001">
        <v>1</v>
      </c>
      <c r="Y1001">
        <v>0.16</v>
      </c>
      <c r="Z1001">
        <v>23</v>
      </c>
      <c r="AA1001">
        <v>0</v>
      </c>
      <c r="AB1001">
        <v>0</v>
      </c>
      <c r="AC1001">
        <v>0</v>
      </c>
      <c r="AD1001">
        <v>1</v>
      </c>
      <c r="AE1001">
        <v>0.05</v>
      </c>
      <c r="AF1001">
        <v>15</v>
      </c>
      <c r="AG1001">
        <v>0</v>
      </c>
      <c r="AH1001">
        <v>0</v>
      </c>
      <c r="AI1001">
        <v>0</v>
      </c>
      <c r="AJ1001">
        <v>1</v>
      </c>
      <c r="AK1001">
        <v>0.02</v>
      </c>
      <c r="AL1001">
        <v>16</v>
      </c>
      <c r="AM1001">
        <v>0</v>
      </c>
      <c r="AN1001">
        <v>0</v>
      </c>
      <c r="AO1001">
        <v>0</v>
      </c>
      <c r="AP1001">
        <v>1</v>
      </c>
      <c r="AQ1001">
        <v>0.01</v>
      </c>
      <c r="AX1001">
        <v>7</v>
      </c>
      <c r="AY1001" s="1">
        <v>19</v>
      </c>
      <c r="AZ1001">
        <v>0</v>
      </c>
      <c r="BA1001">
        <v>0</v>
      </c>
      <c r="BB1001">
        <v>1</v>
      </c>
      <c r="BC1001" s="7">
        <v>0.32</v>
      </c>
      <c r="BD1001">
        <v>30</v>
      </c>
      <c r="BE1001">
        <v>0</v>
      </c>
      <c r="BF1001">
        <v>0</v>
      </c>
      <c r="BG1001">
        <v>0</v>
      </c>
      <c r="BH1001">
        <v>5</v>
      </c>
      <c r="BI1001">
        <v>2.4</v>
      </c>
      <c r="BJ1001">
        <v>31</v>
      </c>
      <c r="BK1001">
        <v>0</v>
      </c>
      <c r="BL1001">
        <v>0</v>
      </c>
      <c r="BM1001">
        <v>0</v>
      </c>
      <c r="BN1001">
        <v>5</v>
      </c>
      <c r="BO1001">
        <v>2.4</v>
      </c>
      <c r="BP1001">
        <v>36</v>
      </c>
      <c r="BQ1001">
        <v>0</v>
      </c>
      <c r="BR1001">
        <v>0</v>
      </c>
      <c r="BS1001">
        <v>0</v>
      </c>
      <c r="BT1001">
        <v>5</v>
      </c>
      <c r="BU1001">
        <v>1.9</v>
      </c>
    </row>
    <row r="1002" spans="1:73" ht="14.25" x14ac:dyDescent="0.15">
      <c r="A1002" s="12">
        <v>20449</v>
      </c>
      <c r="B1002">
        <v>7</v>
      </c>
      <c r="C1002" s="1">
        <v>48</v>
      </c>
      <c r="D1002">
        <v>0</v>
      </c>
      <c r="E1002">
        <v>0</v>
      </c>
      <c r="F1002">
        <v>1</v>
      </c>
      <c r="G1002" s="7">
        <v>0.05</v>
      </c>
      <c r="H1002">
        <v>12</v>
      </c>
      <c r="I1002">
        <v>0</v>
      </c>
      <c r="J1002">
        <v>0</v>
      </c>
      <c r="K1002">
        <v>0</v>
      </c>
      <c r="L1002">
        <v>1</v>
      </c>
      <c r="M1002">
        <v>2</v>
      </c>
      <c r="N1002" s="7">
        <v>9</v>
      </c>
      <c r="O1002" s="7">
        <v>0</v>
      </c>
      <c r="P1002" s="7">
        <v>0</v>
      </c>
      <c r="Q1002" s="7">
        <v>0</v>
      </c>
      <c r="R1002" s="7">
        <v>1</v>
      </c>
      <c r="S1002" s="7">
        <v>4.5</v>
      </c>
      <c r="T1002">
        <v>7</v>
      </c>
      <c r="U1002" s="1">
        <v>36</v>
      </c>
      <c r="V1002">
        <v>0</v>
      </c>
      <c r="W1002">
        <v>0</v>
      </c>
      <c r="X1002">
        <v>1</v>
      </c>
      <c r="Y1002">
        <v>0.16</v>
      </c>
      <c r="Z1002">
        <v>23</v>
      </c>
      <c r="AA1002">
        <v>0</v>
      </c>
      <c r="AB1002">
        <v>0</v>
      </c>
      <c r="AC1002">
        <v>0</v>
      </c>
      <c r="AD1002">
        <v>1</v>
      </c>
      <c r="AE1002">
        <v>0.05</v>
      </c>
      <c r="AF1002">
        <v>15</v>
      </c>
      <c r="AG1002">
        <v>0</v>
      </c>
      <c r="AH1002">
        <v>0</v>
      </c>
      <c r="AI1002">
        <v>0</v>
      </c>
      <c r="AJ1002">
        <v>1</v>
      </c>
      <c r="AK1002">
        <v>0.02</v>
      </c>
      <c r="AL1002">
        <v>16</v>
      </c>
      <c r="AM1002">
        <v>0</v>
      </c>
      <c r="AN1002">
        <v>0</v>
      </c>
      <c r="AO1002">
        <v>0</v>
      </c>
      <c r="AP1002">
        <v>1</v>
      </c>
      <c r="AQ1002">
        <v>0.01</v>
      </c>
      <c r="AX1002">
        <v>7</v>
      </c>
      <c r="AY1002" s="1">
        <v>20</v>
      </c>
      <c r="AZ1002">
        <v>0</v>
      </c>
      <c r="BA1002">
        <v>0</v>
      </c>
      <c r="BB1002">
        <v>1</v>
      </c>
      <c r="BC1002" s="7">
        <v>0.32</v>
      </c>
      <c r="BD1002">
        <v>30</v>
      </c>
      <c r="BE1002">
        <v>0</v>
      </c>
      <c r="BF1002">
        <v>0</v>
      </c>
      <c r="BG1002">
        <v>0</v>
      </c>
      <c r="BH1002">
        <v>5</v>
      </c>
      <c r="BI1002">
        <v>2.4</v>
      </c>
      <c r="BJ1002">
        <v>31</v>
      </c>
      <c r="BK1002">
        <v>0</v>
      </c>
      <c r="BL1002">
        <v>0</v>
      </c>
      <c r="BM1002">
        <v>0</v>
      </c>
      <c r="BN1002">
        <v>5</v>
      </c>
      <c r="BO1002">
        <v>2.4</v>
      </c>
      <c r="BP1002">
        <v>36</v>
      </c>
      <c r="BQ1002">
        <v>0</v>
      </c>
      <c r="BR1002">
        <v>0</v>
      </c>
      <c r="BS1002">
        <v>0</v>
      </c>
      <c r="BT1002">
        <v>5</v>
      </c>
      <c r="BU1002">
        <v>1.9</v>
      </c>
    </row>
    <row r="1003" spans="1:73" ht="14.25" x14ac:dyDescent="0.15">
      <c r="A1003" s="12">
        <v>20450</v>
      </c>
      <c r="B1003">
        <v>7</v>
      </c>
      <c r="C1003" s="1">
        <v>0</v>
      </c>
      <c r="D1003">
        <v>5</v>
      </c>
      <c r="E1003">
        <v>1</v>
      </c>
      <c r="F1003">
        <v>1</v>
      </c>
      <c r="G1003" s="7">
        <v>0.05</v>
      </c>
      <c r="H1003">
        <v>12</v>
      </c>
      <c r="I1003">
        <v>0</v>
      </c>
      <c r="J1003">
        <v>0</v>
      </c>
      <c r="K1003">
        <v>0</v>
      </c>
      <c r="L1003">
        <v>1</v>
      </c>
      <c r="M1003">
        <v>2</v>
      </c>
      <c r="N1003" s="7">
        <v>9</v>
      </c>
      <c r="O1003" s="7">
        <v>0</v>
      </c>
      <c r="P1003" s="7">
        <v>0</v>
      </c>
      <c r="Q1003" s="7">
        <v>0</v>
      </c>
      <c r="R1003" s="7">
        <v>1</v>
      </c>
      <c r="S1003" s="7">
        <v>4.5</v>
      </c>
      <c r="T1003">
        <v>7</v>
      </c>
      <c r="U1003" s="1">
        <v>0</v>
      </c>
      <c r="V1003">
        <v>4</v>
      </c>
      <c r="W1003">
        <v>2</v>
      </c>
      <c r="X1003">
        <v>1</v>
      </c>
      <c r="Y1003">
        <v>0.16</v>
      </c>
      <c r="Z1003">
        <v>23</v>
      </c>
      <c r="AA1003">
        <v>0</v>
      </c>
      <c r="AB1003">
        <v>0</v>
      </c>
      <c r="AC1003">
        <v>0</v>
      </c>
      <c r="AD1003">
        <v>1</v>
      </c>
      <c r="AE1003">
        <v>0.05</v>
      </c>
      <c r="AF1003">
        <v>15</v>
      </c>
      <c r="AG1003">
        <v>0</v>
      </c>
      <c r="AH1003">
        <v>0</v>
      </c>
      <c r="AI1003">
        <v>0</v>
      </c>
      <c r="AJ1003">
        <v>1</v>
      </c>
      <c r="AK1003">
        <v>0.02</v>
      </c>
      <c r="AL1003">
        <v>16</v>
      </c>
      <c r="AM1003">
        <v>0</v>
      </c>
      <c r="AN1003">
        <v>0</v>
      </c>
      <c r="AO1003">
        <v>0</v>
      </c>
      <c r="AP1003">
        <v>1</v>
      </c>
      <c r="AQ1003">
        <v>0.01</v>
      </c>
      <c r="AR1003">
        <v>6</v>
      </c>
      <c r="AS1003">
        <v>2</v>
      </c>
      <c r="AT1003">
        <v>5</v>
      </c>
      <c r="AU1003">
        <v>5</v>
      </c>
      <c r="AV1003">
        <v>1</v>
      </c>
      <c r="AW1003">
        <v>0.01</v>
      </c>
      <c r="AX1003">
        <v>7</v>
      </c>
      <c r="AY1003" s="1">
        <v>0</v>
      </c>
      <c r="AZ1003">
        <v>3</v>
      </c>
      <c r="BA1003">
        <v>1</v>
      </c>
      <c r="BB1003">
        <v>1</v>
      </c>
      <c r="BC1003" s="7">
        <v>0.32</v>
      </c>
      <c r="BD1003">
        <v>30</v>
      </c>
      <c r="BE1003">
        <v>0</v>
      </c>
      <c r="BF1003">
        <v>0</v>
      </c>
      <c r="BG1003">
        <v>0</v>
      </c>
      <c r="BH1003">
        <v>5</v>
      </c>
      <c r="BI1003">
        <v>2.4</v>
      </c>
      <c r="BJ1003">
        <v>31</v>
      </c>
      <c r="BK1003">
        <v>0</v>
      </c>
      <c r="BL1003">
        <v>0</v>
      </c>
      <c r="BM1003">
        <v>0</v>
      </c>
      <c r="BN1003">
        <v>5</v>
      </c>
      <c r="BO1003">
        <v>2.4</v>
      </c>
      <c r="BP1003">
        <v>36</v>
      </c>
      <c r="BQ1003">
        <v>0</v>
      </c>
      <c r="BR1003">
        <v>0</v>
      </c>
      <c r="BS1003">
        <v>0</v>
      </c>
      <c r="BT1003">
        <v>5</v>
      </c>
      <c r="BU1003">
        <v>1.9</v>
      </c>
    </row>
    <row r="1004" spans="1:73" ht="14.25" x14ac:dyDescent="0.15">
      <c r="A1004" s="12">
        <v>20501</v>
      </c>
      <c r="B1004">
        <v>7</v>
      </c>
      <c r="C1004" s="1">
        <v>45</v>
      </c>
      <c r="D1004">
        <v>0</v>
      </c>
      <c r="E1004">
        <v>0</v>
      </c>
      <c r="F1004">
        <v>1</v>
      </c>
      <c r="G1004" s="7">
        <v>0.05</v>
      </c>
      <c r="H1004">
        <v>12</v>
      </c>
      <c r="I1004">
        <v>0</v>
      </c>
      <c r="J1004">
        <v>0</v>
      </c>
      <c r="K1004">
        <v>0</v>
      </c>
      <c r="L1004">
        <v>1</v>
      </c>
      <c r="M1004">
        <v>2</v>
      </c>
      <c r="N1004" s="7">
        <v>9</v>
      </c>
      <c r="O1004" s="7">
        <v>0</v>
      </c>
      <c r="P1004" s="7">
        <v>0</v>
      </c>
      <c r="Q1004" s="7">
        <v>0</v>
      </c>
      <c r="R1004" s="7">
        <v>1</v>
      </c>
      <c r="S1004" s="7">
        <v>4.5</v>
      </c>
      <c r="T1004">
        <v>7</v>
      </c>
      <c r="U1004" s="1">
        <v>33</v>
      </c>
      <c r="V1004">
        <v>0</v>
      </c>
      <c r="W1004">
        <v>0</v>
      </c>
      <c r="X1004">
        <v>1</v>
      </c>
      <c r="Y1004">
        <v>0.16</v>
      </c>
      <c r="Z1004">
        <v>23</v>
      </c>
      <c r="AA1004">
        <v>0</v>
      </c>
      <c r="AB1004">
        <v>0</v>
      </c>
      <c r="AC1004">
        <v>0</v>
      </c>
      <c r="AD1004">
        <v>1</v>
      </c>
      <c r="AE1004">
        <v>0.05</v>
      </c>
      <c r="AF1004">
        <v>15</v>
      </c>
      <c r="AG1004">
        <v>0</v>
      </c>
      <c r="AH1004">
        <v>0</v>
      </c>
      <c r="AI1004">
        <v>0</v>
      </c>
      <c r="AJ1004">
        <v>1</v>
      </c>
      <c r="AK1004">
        <v>0.02</v>
      </c>
      <c r="AL1004">
        <v>16</v>
      </c>
      <c r="AM1004">
        <v>0</v>
      </c>
      <c r="AN1004">
        <v>0</v>
      </c>
      <c r="AO1004">
        <v>0</v>
      </c>
      <c r="AP1004">
        <v>1</v>
      </c>
      <c r="AQ1004">
        <v>0.01</v>
      </c>
      <c r="AX1004">
        <v>7</v>
      </c>
      <c r="AY1004" s="1">
        <v>17</v>
      </c>
      <c r="AZ1004">
        <v>0</v>
      </c>
      <c r="BA1004">
        <v>0</v>
      </c>
      <c r="BB1004">
        <v>1</v>
      </c>
      <c r="BC1004" s="7">
        <v>0.32</v>
      </c>
      <c r="BD1004">
        <v>30</v>
      </c>
      <c r="BE1004">
        <v>0</v>
      </c>
      <c r="BF1004">
        <v>0</v>
      </c>
      <c r="BG1004">
        <v>0</v>
      </c>
      <c r="BH1004">
        <v>5</v>
      </c>
      <c r="BI1004">
        <v>2.4</v>
      </c>
      <c r="BJ1004">
        <v>31</v>
      </c>
      <c r="BK1004">
        <v>0</v>
      </c>
      <c r="BL1004">
        <v>0</v>
      </c>
      <c r="BM1004">
        <v>0</v>
      </c>
      <c r="BN1004">
        <v>5</v>
      </c>
      <c r="BO1004">
        <v>2.4</v>
      </c>
      <c r="BP1004">
        <v>36</v>
      </c>
      <c r="BQ1004">
        <v>0</v>
      </c>
      <c r="BR1004">
        <v>0</v>
      </c>
      <c r="BS1004">
        <v>0</v>
      </c>
      <c r="BT1004">
        <v>5</v>
      </c>
      <c r="BU1004">
        <v>1.9</v>
      </c>
    </row>
    <row r="1005" spans="1:73" ht="14.25" x14ac:dyDescent="0.15">
      <c r="A1005" s="12">
        <v>20502</v>
      </c>
      <c r="B1005">
        <v>7</v>
      </c>
      <c r="C1005" s="1">
        <v>46</v>
      </c>
      <c r="D1005">
        <v>0</v>
      </c>
      <c r="E1005">
        <v>0</v>
      </c>
      <c r="F1005">
        <v>1</v>
      </c>
      <c r="G1005" s="7">
        <v>0.05</v>
      </c>
      <c r="H1005">
        <v>12</v>
      </c>
      <c r="I1005">
        <v>0</v>
      </c>
      <c r="J1005">
        <v>0</v>
      </c>
      <c r="K1005">
        <v>0</v>
      </c>
      <c r="L1005">
        <v>1</v>
      </c>
      <c r="M1005">
        <v>2</v>
      </c>
      <c r="N1005" s="7">
        <v>9</v>
      </c>
      <c r="O1005" s="7">
        <v>0</v>
      </c>
      <c r="P1005" s="7">
        <v>0</v>
      </c>
      <c r="Q1005" s="7">
        <v>0</v>
      </c>
      <c r="R1005" s="7">
        <v>1</v>
      </c>
      <c r="S1005" s="7">
        <v>4.5</v>
      </c>
      <c r="T1005">
        <v>7</v>
      </c>
      <c r="U1005" s="1">
        <v>34</v>
      </c>
      <c r="V1005">
        <v>0</v>
      </c>
      <c r="W1005">
        <v>0</v>
      </c>
      <c r="X1005">
        <v>1</v>
      </c>
      <c r="Y1005">
        <v>0.16</v>
      </c>
      <c r="Z1005">
        <v>23</v>
      </c>
      <c r="AA1005">
        <v>0</v>
      </c>
      <c r="AB1005">
        <v>0</v>
      </c>
      <c r="AC1005">
        <v>0</v>
      </c>
      <c r="AD1005">
        <v>1</v>
      </c>
      <c r="AE1005">
        <v>0.05</v>
      </c>
      <c r="AF1005">
        <v>15</v>
      </c>
      <c r="AG1005">
        <v>0</v>
      </c>
      <c r="AH1005">
        <v>0</v>
      </c>
      <c r="AI1005">
        <v>0</v>
      </c>
      <c r="AJ1005">
        <v>1</v>
      </c>
      <c r="AK1005">
        <v>0.02</v>
      </c>
      <c r="AL1005">
        <v>16</v>
      </c>
      <c r="AM1005">
        <v>0</v>
      </c>
      <c r="AN1005">
        <v>0</v>
      </c>
      <c r="AO1005">
        <v>0</v>
      </c>
      <c r="AP1005">
        <v>1</v>
      </c>
      <c r="AQ1005">
        <v>0.01</v>
      </c>
      <c r="AX1005">
        <v>7</v>
      </c>
      <c r="AY1005" s="1">
        <v>18</v>
      </c>
      <c r="AZ1005">
        <v>0</v>
      </c>
      <c r="BA1005">
        <v>0</v>
      </c>
      <c r="BB1005">
        <v>1</v>
      </c>
      <c r="BC1005" s="7">
        <v>0.32</v>
      </c>
      <c r="BD1005">
        <v>30</v>
      </c>
      <c r="BE1005">
        <v>0</v>
      </c>
      <c r="BF1005">
        <v>0</v>
      </c>
      <c r="BG1005">
        <v>0</v>
      </c>
      <c r="BH1005">
        <v>5</v>
      </c>
      <c r="BI1005">
        <v>2.4</v>
      </c>
      <c r="BJ1005">
        <v>31</v>
      </c>
      <c r="BK1005">
        <v>0</v>
      </c>
      <c r="BL1005">
        <v>0</v>
      </c>
      <c r="BM1005">
        <v>0</v>
      </c>
      <c r="BN1005">
        <v>5</v>
      </c>
      <c r="BO1005">
        <v>2.4</v>
      </c>
      <c r="BP1005">
        <v>36</v>
      </c>
      <c r="BQ1005">
        <v>0</v>
      </c>
      <c r="BR1005">
        <v>0</v>
      </c>
      <c r="BS1005">
        <v>0</v>
      </c>
      <c r="BT1005">
        <v>5</v>
      </c>
      <c r="BU1005">
        <v>1.9</v>
      </c>
    </row>
    <row r="1006" spans="1:73" ht="14.25" x14ac:dyDescent="0.15">
      <c r="A1006" s="12">
        <v>20503</v>
      </c>
      <c r="B1006">
        <v>7</v>
      </c>
      <c r="C1006" s="1">
        <v>47</v>
      </c>
      <c r="D1006">
        <v>0</v>
      </c>
      <c r="E1006">
        <v>0</v>
      </c>
      <c r="F1006">
        <v>1</v>
      </c>
      <c r="G1006" s="7">
        <v>0.05</v>
      </c>
      <c r="H1006">
        <v>12</v>
      </c>
      <c r="I1006">
        <v>0</v>
      </c>
      <c r="J1006">
        <v>0</v>
      </c>
      <c r="K1006">
        <v>0</v>
      </c>
      <c r="L1006">
        <v>1</v>
      </c>
      <c r="M1006">
        <v>2</v>
      </c>
      <c r="N1006" s="7">
        <v>9</v>
      </c>
      <c r="O1006" s="7">
        <v>0</v>
      </c>
      <c r="P1006" s="7">
        <v>0</v>
      </c>
      <c r="Q1006" s="7">
        <v>0</v>
      </c>
      <c r="R1006" s="7">
        <v>1</v>
      </c>
      <c r="S1006" s="7">
        <v>4.5</v>
      </c>
      <c r="T1006">
        <v>7</v>
      </c>
      <c r="U1006" s="1">
        <v>35</v>
      </c>
      <c r="V1006">
        <v>0</v>
      </c>
      <c r="W1006">
        <v>0</v>
      </c>
      <c r="X1006">
        <v>1</v>
      </c>
      <c r="Y1006">
        <v>0.16</v>
      </c>
      <c r="Z1006">
        <v>23</v>
      </c>
      <c r="AA1006">
        <v>0</v>
      </c>
      <c r="AB1006">
        <v>0</v>
      </c>
      <c r="AC1006">
        <v>0</v>
      </c>
      <c r="AD1006">
        <v>1</v>
      </c>
      <c r="AE1006">
        <v>0.05</v>
      </c>
      <c r="AF1006">
        <v>15</v>
      </c>
      <c r="AG1006">
        <v>0</v>
      </c>
      <c r="AH1006">
        <v>0</v>
      </c>
      <c r="AI1006">
        <v>0</v>
      </c>
      <c r="AJ1006">
        <v>1</v>
      </c>
      <c r="AK1006">
        <v>0.02</v>
      </c>
      <c r="AL1006">
        <v>16</v>
      </c>
      <c r="AM1006">
        <v>0</v>
      </c>
      <c r="AN1006">
        <v>0</v>
      </c>
      <c r="AO1006">
        <v>0</v>
      </c>
      <c r="AP1006">
        <v>1</v>
      </c>
      <c r="AQ1006">
        <v>0.01</v>
      </c>
      <c r="AX1006">
        <v>7</v>
      </c>
      <c r="AY1006" s="1">
        <v>19</v>
      </c>
      <c r="AZ1006">
        <v>0</v>
      </c>
      <c r="BA1006">
        <v>0</v>
      </c>
      <c r="BB1006">
        <v>1</v>
      </c>
      <c r="BC1006" s="7">
        <v>0.32</v>
      </c>
      <c r="BD1006">
        <v>30</v>
      </c>
      <c r="BE1006">
        <v>0</v>
      </c>
      <c r="BF1006">
        <v>0</v>
      </c>
      <c r="BG1006">
        <v>0</v>
      </c>
      <c r="BH1006">
        <v>5</v>
      </c>
      <c r="BI1006">
        <v>2.4</v>
      </c>
      <c r="BJ1006">
        <v>31</v>
      </c>
      <c r="BK1006">
        <v>0</v>
      </c>
      <c r="BL1006">
        <v>0</v>
      </c>
      <c r="BM1006">
        <v>0</v>
      </c>
      <c r="BN1006">
        <v>5</v>
      </c>
      <c r="BO1006">
        <v>2.4</v>
      </c>
      <c r="BP1006">
        <v>36</v>
      </c>
      <c r="BQ1006">
        <v>0</v>
      </c>
      <c r="BR1006">
        <v>0</v>
      </c>
      <c r="BS1006">
        <v>0</v>
      </c>
      <c r="BT1006">
        <v>5</v>
      </c>
      <c r="BU1006">
        <v>1.9</v>
      </c>
    </row>
    <row r="1007" spans="1:73" ht="14.25" x14ac:dyDescent="0.15">
      <c r="A1007" s="12">
        <v>20504</v>
      </c>
      <c r="B1007">
        <v>7</v>
      </c>
      <c r="C1007" s="1">
        <v>48</v>
      </c>
      <c r="D1007">
        <v>0</v>
      </c>
      <c r="E1007">
        <v>0</v>
      </c>
      <c r="F1007">
        <v>1</v>
      </c>
      <c r="G1007" s="7">
        <v>0.05</v>
      </c>
      <c r="H1007">
        <v>12</v>
      </c>
      <c r="I1007">
        <v>0</v>
      </c>
      <c r="J1007">
        <v>0</v>
      </c>
      <c r="K1007">
        <v>0</v>
      </c>
      <c r="L1007">
        <v>1</v>
      </c>
      <c r="M1007">
        <v>2</v>
      </c>
      <c r="N1007" s="7">
        <v>9</v>
      </c>
      <c r="O1007" s="7">
        <v>0</v>
      </c>
      <c r="P1007" s="7">
        <v>0</v>
      </c>
      <c r="Q1007" s="7">
        <v>0</v>
      </c>
      <c r="R1007" s="7">
        <v>1</v>
      </c>
      <c r="S1007" s="7">
        <v>4.5</v>
      </c>
      <c r="T1007">
        <v>7</v>
      </c>
      <c r="U1007" s="1">
        <v>36</v>
      </c>
      <c r="V1007">
        <v>0</v>
      </c>
      <c r="W1007">
        <v>0</v>
      </c>
      <c r="X1007">
        <v>1</v>
      </c>
      <c r="Y1007">
        <v>0.16</v>
      </c>
      <c r="Z1007">
        <v>23</v>
      </c>
      <c r="AA1007">
        <v>0</v>
      </c>
      <c r="AB1007">
        <v>0</v>
      </c>
      <c r="AC1007">
        <v>0</v>
      </c>
      <c r="AD1007">
        <v>1</v>
      </c>
      <c r="AE1007">
        <v>0.05</v>
      </c>
      <c r="AF1007">
        <v>15</v>
      </c>
      <c r="AG1007">
        <v>0</v>
      </c>
      <c r="AH1007">
        <v>0</v>
      </c>
      <c r="AI1007">
        <v>0</v>
      </c>
      <c r="AJ1007">
        <v>1</v>
      </c>
      <c r="AK1007">
        <v>0.02</v>
      </c>
      <c r="AL1007">
        <v>16</v>
      </c>
      <c r="AM1007">
        <v>0</v>
      </c>
      <c r="AN1007">
        <v>0</v>
      </c>
      <c r="AO1007">
        <v>0</v>
      </c>
      <c r="AP1007">
        <v>1</v>
      </c>
      <c r="AQ1007">
        <v>0.01</v>
      </c>
      <c r="AX1007">
        <v>7</v>
      </c>
      <c r="AY1007" s="1">
        <v>20</v>
      </c>
      <c r="AZ1007">
        <v>0</v>
      </c>
      <c r="BA1007">
        <v>0</v>
      </c>
      <c r="BB1007">
        <v>1</v>
      </c>
      <c r="BC1007" s="7">
        <v>0.32</v>
      </c>
      <c r="BD1007">
        <v>30</v>
      </c>
      <c r="BE1007">
        <v>0</v>
      </c>
      <c r="BF1007">
        <v>0</v>
      </c>
      <c r="BG1007">
        <v>0</v>
      </c>
      <c r="BH1007">
        <v>5</v>
      </c>
      <c r="BI1007">
        <v>2.4</v>
      </c>
      <c r="BJ1007">
        <v>31</v>
      </c>
      <c r="BK1007">
        <v>0</v>
      </c>
      <c r="BL1007">
        <v>0</v>
      </c>
      <c r="BM1007">
        <v>0</v>
      </c>
      <c r="BN1007">
        <v>5</v>
      </c>
      <c r="BO1007">
        <v>2.4</v>
      </c>
      <c r="BP1007">
        <v>36</v>
      </c>
      <c r="BQ1007">
        <v>0</v>
      </c>
      <c r="BR1007">
        <v>0</v>
      </c>
      <c r="BS1007">
        <v>0</v>
      </c>
      <c r="BT1007">
        <v>5</v>
      </c>
      <c r="BU1007">
        <v>1.9</v>
      </c>
    </row>
    <row r="1008" spans="1:73" ht="14.25" x14ac:dyDescent="0.15">
      <c r="A1008" s="12">
        <v>20505</v>
      </c>
      <c r="B1008">
        <v>7</v>
      </c>
      <c r="C1008" s="1">
        <v>0</v>
      </c>
      <c r="D1008">
        <v>5</v>
      </c>
      <c r="E1008">
        <v>1</v>
      </c>
      <c r="F1008">
        <v>1</v>
      </c>
      <c r="G1008" s="7">
        <v>0.05</v>
      </c>
      <c r="H1008">
        <v>12</v>
      </c>
      <c r="I1008">
        <v>0</v>
      </c>
      <c r="J1008">
        <v>0</v>
      </c>
      <c r="K1008">
        <v>0</v>
      </c>
      <c r="L1008">
        <v>1</v>
      </c>
      <c r="M1008">
        <v>2</v>
      </c>
      <c r="N1008" s="7">
        <v>9</v>
      </c>
      <c r="O1008" s="7">
        <v>0</v>
      </c>
      <c r="P1008" s="7">
        <v>0</v>
      </c>
      <c r="Q1008" s="7">
        <v>0</v>
      </c>
      <c r="R1008" s="7">
        <v>1</v>
      </c>
      <c r="S1008" s="7">
        <v>4.5</v>
      </c>
      <c r="T1008">
        <v>7</v>
      </c>
      <c r="U1008" s="1">
        <v>0</v>
      </c>
      <c r="V1008">
        <v>4</v>
      </c>
      <c r="W1008">
        <v>2</v>
      </c>
      <c r="X1008">
        <v>1</v>
      </c>
      <c r="Y1008">
        <v>0.16</v>
      </c>
      <c r="Z1008">
        <v>23</v>
      </c>
      <c r="AA1008">
        <v>0</v>
      </c>
      <c r="AB1008">
        <v>0</v>
      </c>
      <c r="AC1008">
        <v>0</v>
      </c>
      <c r="AD1008">
        <v>1</v>
      </c>
      <c r="AE1008">
        <v>0.05</v>
      </c>
      <c r="AF1008">
        <v>15</v>
      </c>
      <c r="AG1008">
        <v>0</v>
      </c>
      <c r="AH1008">
        <v>0</v>
      </c>
      <c r="AI1008">
        <v>0</v>
      </c>
      <c r="AJ1008">
        <v>1</v>
      </c>
      <c r="AK1008">
        <v>0.02</v>
      </c>
      <c r="AL1008">
        <v>16</v>
      </c>
      <c r="AM1008">
        <v>0</v>
      </c>
      <c r="AN1008">
        <v>0</v>
      </c>
      <c r="AO1008">
        <v>0</v>
      </c>
      <c r="AP1008">
        <v>1</v>
      </c>
      <c r="AQ1008">
        <v>0.01</v>
      </c>
      <c r="AR1008">
        <v>6</v>
      </c>
      <c r="AS1008">
        <v>2</v>
      </c>
      <c r="AT1008">
        <v>1</v>
      </c>
      <c r="AU1008">
        <v>5</v>
      </c>
      <c r="AV1008">
        <v>1</v>
      </c>
      <c r="AW1008">
        <v>0.05</v>
      </c>
      <c r="AX1008">
        <v>7</v>
      </c>
      <c r="AY1008" s="1">
        <v>0</v>
      </c>
      <c r="AZ1008">
        <v>3</v>
      </c>
      <c r="BA1008">
        <v>1</v>
      </c>
      <c r="BB1008">
        <v>1</v>
      </c>
      <c r="BC1008" s="7">
        <v>0.32</v>
      </c>
      <c r="BD1008">
        <v>30</v>
      </c>
      <c r="BE1008">
        <v>0</v>
      </c>
      <c r="BF1008">
        <v>0</v>
      </c>
      <c r="BG1008">
        <v>0</v>
      </c>
      <c r="BH1008">
        <v>5</v>
      </c>
      <c r="BI1008">
        <v>2.4</v>
      </c>
      <c r="BJ1008">
        <v>31</v>
      </c>
      <c r="BK1008">
        <v>0</v>
      </c>
      <c r="BL1008">
        <v>0</v>
      </c>
      <c r="BM1008">
        <v>0</v>
      </c>
      <c r="BN1008">
        <v>5</v>
      </c>
      <c r="BO1008">
        <v>2.4</v>
      </c>
      <c r="BP1008">
        <v>36</v>
      </c>
      <c r="BQ1008">
        <v>0</v>
      </c>
      <c r="BR1008">
        <v>0</v>
      </c>
      <c r="BS1008">
        <v>0</v>
      </c>
      <c r="BT1008">
        <v>5</v>
      </c>
      <c r="BU1008">
        <v>1.9</v>
      </c>
    </row>
    <row r="1009" spans="1:73" ht="14.25" x14ac:dyDescent="0.15">
      <c r="A1009" s="12">
        <v>20506</v>
      </c>
      <c r="B1009">
        <v>7</v>
      </c>
      <c r="C1009" s="1">
        <v>45</v>
      </c>
      <c r="D1009">
        <v>0</v>
      </c>
      <c r="E1009">
        <v>0</v>
      </c>
      <c r="F1009">
        <v>1</v>
      </c>
      <c r="G1009" s="7">
        <v>0.05</v>
      </c>
      <c r="H1009">
        <v>12</v>
      </c>
      <c r="I1009">
        <v>0</v>
      </c>
      <c r="J1009">
        <v>0</v>
      </c>
      <c r="K1009">
        <v>0</v>
      </c>
      <c r="L1009">
        <v>1</v>
      </c>
      <c r="M1009">
        <v>2</v>
      </c>
      <c r="N1009" s="7">
        <v>9</v>
      </c>
      <c r="O1009" s="7">
        <v>0</v>
      </c>
      <c r="P1009" s="7">
        <v>0</v>
      </c>
      <c r="Q1009" s="7">
        <v>0</v>
      </c>
      <c r="R1009" s="7">
        <v>1</v>
      </c>
      <c r="S1009" s="7">
        <v>4.5</v>
      </c>
      <c r="T1009">
        <v>7</v>
      </c>
      <c r="U1009" s="1">
        <v>33</v>
      </c>
      <c r="V1009">
        <v>0</v>
      </c>
      <c r="W1009">
        <v>0</v>
      </c>
      <c r="X1009">
        <v>1</v>
      </c>
      <c r="Y1009">
        <v>0.16</v>
      </c>
      <c r="Z1009">
        <v>23</v>
      </c>
      <c r="AA1009">
        <v>0</v>
      </c>
      <c r="AB1009">
        <v>0</v>
      </c>
      <c r="AC1009">
        <v>0</v>
      </c>
      <c r="AD1009">
        <v>1</v>
      </c>
      <c r="AE1009">
        <v>0.05</v>
      </c>
      <c r="AF1009">
        <v>15</v>
      </c>
      <c r="AG1009">
        <v>0</v>
      </c>
      <c r="AH1009">
        <v>0</v>
      </c>
      <c r="AI1009">
        <v>0</v>
      </c>
      <c r="AJ1009">
        <v>1</v>
      </c>
      <c r="AK1009">
        <v>0.02</v>
      </c>
      <c r="AL1009">
        <v>16</v>
      </c>
      <c r="AM1009">
        <v>0</v>
      </c>
      <c r="AN1009">
        <v>0</v>
      </c>
      <c r="AO1009">
        <v>0</v>
      </c>
      <c r="AP1009">
        <v>1</v>
      </c>
      <c r="AQ1009">
        <v>0.01</v>
      </c>
      <c r="AX1009">
        <v>7</v>
      </c>
      <c r="AY1009" s="1">
        <v>17</v>
      </c>
      <c r="AZ1009">
        <v>0</v>
      </c>
      <c r="BA1009">
        <v>0</v>
      </c>
      <c r="BB1009">
        <v>1</v>
      </c>
      <c r="BC1009" s="7">
        <v>0.32</v>
      </c>
      <c r="BD1009">
        <v>30</v>
      </c>
      <c r="BE1009">
        <v>0</v>
      </c>
      <c r="BF1009">
        <v>0</v>
      </c>
      <c r="BG1009">
        <v>0</v>
      </c>
      <c r="BH1009">
        <v>5</v>
      </c>
      <c r="BI1009">
        <v>2.4</v>
      </c>
      <c r="BJ1009">
        <v>31</v>
      </c>
      <c r="BK1009">
        <v>0</v>
      </c>
      <c r="BL1009">
        <v>0</v>
      </c>
      <c r="BM1009">
        <v>0</v>
      </c>
      <c r="BN1009">
        <v>5</v>
      </c>
      <c r="BO1009">
        <v>2.4</v>
      </c>
      <c r="BP1009">
        <v>36</v>
      </c>
      <c r="BQ1009">
        <v>0</v>
      </c>
      <c r="BR1009">
        <v>0</v>
      </c>
      <c r="BS1009">
        <v>0</v>
      </c>
      <c r="BT1009">
        <v>5</v>
      </c>
      <c r="BU1009">
        <v>1.9</v>
      </c>
    </row>
    <row r="1010" spans="1:73" ht="14.25" x14ac:dyDescent="0.15">
      <c r="A1010" s="12">
        <v>20507</v>
      </c>
      <c r="B1010">
        <v>7</v>
      </c>
      <c r="C1010" s="1">
        <v>46</v>
      </c>
      <c r="D1010">
        <v>0</v>
      </c>
      <c r="E1010">
        <v>0</v>
      </c>
      <c r="F1010">
        <v>1</v>
      </c>
      <c r="G1010" s="7">
        <v>0.05</v>
      </c>
      <c r="H1010">
        <v>12</v>
      </c>
      <c r="I1010">
        <v>0</v>
      </c>
      <c r="J1010">
        <v>0</v>
      </c>
      <c r="K1010">
        <v>0</v>
      </c>
      <c r="L1010">
        <v>1</v>
      </c>
      <c r="M1010">
        <v>2</v>
      </c>
      <c r="N1010" s="7">
        <v>9</v>
      </c>
      <c r="O1010" s="7">
        <v>0</v>
      </c>
      <c r="P1010" s="7">
        <v>0</v>
      </c>
      <c r="Q1010" s="7">
        <v>0</v>
      </c>
      <c r="R1010" s="7">
        <v>1</v>
      </c>
      <c r="S1010" s="7">
        <v>4.5</v>
      </c>
      <c r="T1010">
        <v>7</v>
      </c>
      <c r="U1010" s="1">
        <v>34</v>
      </c>
      <c r="V1010">
        <v>0</v>
      </c>
      <c r="W1010">
        <v>0</v>
      </c>
      <c r="X1010">
        <v>1</v>
      </c>
      <c r="Y1010">
        <v>0.16</v>
      </c>
      <c r="Z1010">
        <v>23</v>
      </c>
      <c r="AA1010">
        <v>0</v>
      </c>
      <c r="AB1010">
        <v>0</v>
      </c>
      <c r="AC1010">
        <v>0</v>
      </c>
      <c r="AD1010">
        <v>1</v>
      </c>
      <c r="AE1010">
        <v>0.05</v>
      </c>
      <c r="AF1010">
        <v>15</v>
      </c>
      <c r="AG1010">
        <v>0</v>
      </c>
      <c r="AH1010">
        <v>0</v>
      </c>
      <c r="AI1010">
        <v>0</v>
      </c>
      <c r="AJ1010">
        <v>1</v>
      </c>
      <c r="AK1010">
        <v>0.02</v>
      </c>
      <c r="AL1010">
        <v>16</v>
      </c>
      <c r="AM1010">
        <v>0</v>
      </c>
      <c r="AN1010">
        <v>0</v>
      </c>
      <c r="AO1010">
        <v>0</v>
      </c>
      <c r="AP1010">
        <v>1</v>
      </c>
      <c r="AQ1010">
        <v>0.01</v>
      </c>
      <c r="AX1010">
        <v>7</v>
      </c>
      <c r="AY1010" s="1">
        <v>18</v>
      </c>
      <c r="AZ1010">
        <v>0</v>
      </c>
      <c r="BA1010">
        <v>0</v>
      </c>
      <c r="BB1010">
        <v>1</v>
      </c>
      <c r="BC1010" s="7">
        <v>0.32</v>
      </c>
      <c r="BD1010">
        <v>30</v>
      </c>
      <c r="BE1010">
        <v>0</v>
      </c>
      <c r="BF1010">
        <v>0</v>
      </c>
      <c r="BG1010">
        <v>0</v>
      </c>
      <c r="BH1010">
        <v>5</v>
      </c>
      <c r="BI1010">
        <v>2.4</v>
      </c>
      <c r="BJ1010">
        <v>31</v>
      </c>
      <c r="BK1010">
        <v>0</v>
      </c>
      <c r="BL1010">
        <v>0</v>
      </c>
      <c r="BM1010">
        <v>0</v>
      </c>
      <c r="BN1010">
        <v>5</v>
      </c>
      <c r="BO1010">
        <v>2.4</v>
      </c>
      <c r="BP1010">
        <v>36</v>
      </c>
      <c r="BQ1010">
        <v>0</v>
      </c>
      <c r="BR1010">
        <v>0</v>
      </c>
      <c r="BS1010">
        <v>0</v>
      </c>
      <c r="BT1010">
        <v>5</v>
      </c>
      <c r="BU1010">
        <v>1.9</v>
      </c>
    </row>
    <row r="1011" spans="1:73" ht="14.25" x14ac:dyDescent="0.15">
      <c r="A1011" s="12">
        <v>20508</v>
      </c>
      <c r="B1011">
        <v>7</v>
      </c>
      <c r="C1011" s="1">
        <v>47</v>
      </c>
      <c r="D1011">
        <v>0</v>
      </c>
      <c r="E1011">
        <v>0</v>
      </c>
      <c r="F1011">
        <v>1</v>
      </c>
      <c r="G1011" s="7">
        <v>0.05</v>
      </c>
      <c r="H1011">
        <v>12</v>
      </c>
      <c r="I1011">
        <v>0</v>
      </c>
      <c r="J1011">
        <v>0</v>
      </c>
      <c r="K1011">
        <v>0</v>
      </c>
      <c r="L1011">
        <v>1</v>
      </c>
      <c r="M1011">
        <v>2</v>
      </c>
      <c r="N1011" s="7">
        <v>9</v>
      </c>
      <c r="O1011" s="7">
        <v>0</v>
      </c>
      <c r="P1011" s="7">
        <v>0</v>
      </c>
      <c r="Q1011" s="7">
        <v>0</v>
      </c>
      <c r="R1011" s="7">
        <v>1</v>
      </c>
      <c r="S1011" s="7">
        <v>4.5</v>
      </c>
      <c r="T1011">
        <v>7</v>
      </c>
      <c r="U1011" s="1">
        <v>35</v>
      </c>
      <c r="V1011">
        <v>0</v>
      </c>
      <c r="W1011">
        <v>0</v>
      </c>
      <c r="X1011">
        <v>1</v>
      </c>
      <c r="Y1011">
        <v>0.16</v>
      </c>
      <c r="Z1011">
        <v>23</v>
      </c>
      <c r="AA1011">
        <v>0</v>
      </c>
      <c r="AB1011">
        <v>0</v>
      </c>
      <c r="AC1011">
        <v>0</v>
      </c>
      <c r="AD1011">
        <v>1</v>
      </c>
      <c r="AE1011">
        <v>0.05</v>
      </c>
      <c r="AF1011">
        <v>15</v>
      </c>
      <c r="AG1011">
        <v>0</v>
      </c>
      <c r="AH1011">
        <v>0</v>
      </c>
      <c r="AI1011">
        <v>0</v>
      </c>
      <c r="AJ1011">
        <v>1</v>
      </c>
      <c r="AK1011">
        <v>0.02</v>
      </c>
      <c r="AL1011">
        <v>16</v>
      </c>
      <c r="AM1011">
        <v>0</v>
      </c>
      <c r="AN1011">
        <v>0</v>
      </c>
      <c r="AO1011">
        <v>0</v>
      </c>
      <c r="AP1011">
        <v>1</v>
      </c>
      <c r="AQ1011">
        <v>0.01</v>
      </c>
      <c r="AX1011">
        <v>7</v>
      </c>
      <c r="AY1011" s="1">
        <v>19</v>
      </c>
      <c r="AZ1011">
        <v>0</v>
      </c>
      <c r="BA1011">
        <v>0</v>
      </c>
      <c r="BB1011">
        <v>1</v>
      </c>
      <c r="BC1011" s="7">
        <v>0.32</v>
      </c>
      <c r="BD1011">
        <v>30</v>
      </c>
      <c r="BE1011">
        <v>0</v>
      </c>
      <c r="BF1011">
        <v>0</v>
      </c>
      <c r="BG1011">
        <v>0</v>
      </c>
      <c r="BH1011">
        <v>5</v>
      </c>
      <c r="BI1011">
        <v>2.4</v>
      </c>
      <c r="BJ1011">
        <v>31</v>
      </c>
      <c r="BK1011">
        <v>0</v>
      </c>
      <c r="BL1011">
        <v>0</v>
      </c>
      <c r="BM1011">
        <v>0</v>
      </c>
      <c r="BN1011">
        <v>5</v>
      </c>
      <c r="BO1011">
        <v>2.4</v>
      </c>
      <c r="BP1011">
        <v>36</v>
      </c>
      <c r="BQ1011">
        <v>0</v>
      </c>
      <c r="BR1011">
        <v>0</v>
      </c>
      <c r="BS1011">
        <v>0</v>
      </c>
      <c r="BT1011">
        <v>5</v>
      </c>
      <c r="BU1011">
        <v>1.9</v>
      </c>
    </row>
    <row r="1012" spans="1:73" ht="14.25" x14ac:dyDescent="0.15">
      <c r="A1012" s="12">
        <v>20509</v>
      </c>
      <c r="B1012">
        <v>7</v>
      </c>
      <c r="C1012" s="1">
        <v>48</v>
      </c>
      <c r="D1012">
        <v>0</v>
      </c>
      <c r="E1012">
        <v>0</v>
      </c>
      <c r="F1012">
        <v>1</v>
      </c>
      <c r="G1012" s="7">
        <v>0.05</v>
      </c>
      <c r="H1012">
        <v>12</v>
      </c>
      <c r="I1012">
        <v>0</v>
      </c>
      <c r="J1012">
        <v>0</v>
      </c>
      <c r="K1012">
        <v>0</v>
      </c>
      <c r="L1012">
        <v>1</v>
      </c>
      <c r="M1012">
        <v>2</v>
      </c>
      <c r="N1012" s="7">
        <v>9</v>
      </c>
      <c r="O1012" s="7">
        <v>0</v>
      </c>
      <c r="P1012" s="7">
        <v>0</v>
      </c>
      <c r="Q1012" s="7">
        <v>0</v>
      </c>
      <c r="R1012" s="7">
        <v>1</v>
      </c>
      <c r="S1012" s="7">
        <v>4.5</v>
      </c>
      <c r="T1012">
        <v>7</v>
      </c>
      <c r="U1012" s="1">
        <v>36</v>
      </c>
      <c r="V1012">
        <v>0</v>
      </c>
      <c r="W1012">
        <v>0</v>
      </c>
      <c r="X1012">
        <v>1</v>
      </c>
      <c r="Y1012">
        <v>0.16</v>
      </c>
      <c r="Z1012">
        <v>23</v>
      </c>
      <c r="AA1012">
        <v>0</v>
      </c>
      <c r="AB1012">
        <v>0</v>
      </c>
      <c r="AC1012">
        <v>0</v>
      </c>
      <c r="AD1012">
        <v>1</v>
      </c>
      <c r="AE1012">
        <v>0.05</v>
      </c>
      <c r="AF1012">
        <v>15</v>
      </c>
      <c r="AG1012">
        <v>0</v>
      </c>
      <c r="AH1012">
        <v>0</v>
      </c>
      <c r="AI1012">
        <v>0</v>
      </c>
      <c r="AJ1012">
        <v>1</v>
      </c>
      <c r="AK1012">
        <v>0.02</v>
      </c>
      <c r="AL1012">
        <v>16</v>
      </c>
      <c r="AM1012">
        <v>0</v>
      </c>
      <c r="AN1012">
        <v>0</v>
      </c>
      <c r="AO1012">
        <v>0</v>
      </c>
      <c r="AP1012">
        <v>1</v>
      </c>
      <c r="AQ1012">
        <v>0.01</v>
      </c>
      <c r="AX1012">
        <v>7</v>
      </c>
      <c r="AY1012" s="1">
        <v>20</v>
      </c>
      <c r="AZ1012">
        <v>0</v>
      </c>
      <c r="BA1012">
        <v>0</v>
      </c>
      <c r="BB1012">
        <v>1</v>
      </c>
      <c r="BC1012" s="7">
        <v>0.32</v>
      </c>
      <c r="BD1012">
        <v>30</v>
      </c>
      <c r="BE1012">
        <v>0</v>
      </c>
      <c r="BF1012">
        <v>0</v>
      </c>
      <c r="BG1012">
        <v>0</v>
      </c>
      <c r="BH1012">
        <v>5</v>
      </c>
      <c r="BI1012">
        <v>2.4</v>
      </c>
      <c r="BJ1012">
        <v>31</v>
      </c>
      <c r="BK1012">
        <v>0</v>
      </c>
      <c r="BL1012">
        <v>0</v>
      </c>
      <c r="BM1012">
        <v>0</v>
      </c>
      <c r="BN1012">
        <v>5</v>
      </c>
      <c r="BO1012">
        <v>2.4</v>
      </c>
      <c r="BP1012">
        <v>36</v>
      </c>
      <c r="BQ1012">
        <v>0</v>
      </c>
      <c r="BR1012">
        <v>0</v>
      </c>
      <c r="BS1012">
        <v>0</v>
      </c>
      <c r="BT1012">
        <v>5</v>
      </c>
      <c r="BU1012">
        <v>1.9</v>
      </c>
    </row>
    <row r="1013" spans="1:73" ht="14.25" x14ac:dyDescent="0.15">
      <c r="A1013" s="12">
        <v>20510</v>
      </c>
      <c r="B1013">
        <v>7</v>
      </c>
      <c r="C1013" s="1">
        <v>0</v>
      </c>
      <c r="D1013">
        <v>5</v>
      </c>
      <c r="E1013">
        <v>1</v>
      </c>
      <c r="F1013">
        <v>1</v>
      </c>
      <c r="G1013" s="7">
        <v>0.05</v>
      </c>
      <c r="H1013">
        <v>12</v>
      </c>
      <c r="I1013">
        <v>0</v>
      </c>
      <c r="J1013">
        <v>0</v>
      </c>
      <c r="K1013">
        <v>0</v>
      </c>
      <c r="L1013">
        <v>1</v>
      </c>
      <c r="M1013">
        <v>2</v>
      </c>
      <c r="N1013" s="7">
        <v>9</v>
      </c>
      <c r="O1013" s="7">
        <v>0</v>
      </c>
      <c r="P1013" s="7">
        <v>0</v>
      </c>
      <c r="Q1013" s="7">
        <v>0</v>
      </c>
      <c r="R1013" s="7">
        <v>1</v>
      </c>
      <c r="S1013" s="7">
        <v>4.5</v>
      </c>
      <c r="T1013">
        <v>7</v>
      </c>
      <c r="U1013" s="1">
        <v>0</v>
      </c>
      <c r="V1013">
        <v>4</v>
      </c>
      <c r="W1013">
        <v>2</v>
      </c>
      <c r="X1013">
        <v>1</v>
      </c>
      <c r="Y1013">
        <v>0.16</v>
      </c>
      <c r="Z1013">
        <v>23</v>
      </c>
      <c r="AA1013">
        <v>0</v>
      </c>
      <c r="AB1013">
        <v>0</v>
      </c>
      <c r="AC1013">
        <v>0</v>
      </c>
      <c r="AD1013">
        <v>1</v>
      </c>
      <c r="AE1013">
        <v>0.05</v>
      </c>
      <c r="AF1013">
        <v>15</v>
      </c>
      <c r="AG1013">
        <v>0</v>
      </c>
      <c r="AH1013">
        <v>0</v>
      </c>
      <c r="AI1013">
        <v>0</v>
      </c>
      <c r="AJ1013">
        <v>1</v>
      </c>
      <c r="AK1013">
        <v>0.02</v>
      </c>
      <c r="AL1013">
        <v>16</v>
      </c>
      <c r="AM1013">
        <v>0</v>
      </c>
      <c r="AN1013">
        <v>0</v>
      </c>
      <c r="AO1013">
        <v>0</v>
      </c>
      <c r="AP1013">
        <v>1</v>
      </c>
      <c r="AQ1013">
        <v>0.01</v>
      </c>
      <c r="AR1013">
        <v>6</v>
      </c>
      <c r="AS1013">
        <v>2</v>
      </c>
      <c r="AT1013">
        <v>2</v>
      </c>
      <c r="AU1013">
        <v>5</v>
      </c>
      <c r="AV1013">
        <v>1</v>
      </c>
      <c r="AW1013">
        <v>0.05</v>
      </c>
      <c r="AX1013">
        <v>7</v>
      </c>
      <c r="AY1013" s="1">
        <v>0</v>
      </c>
      <c r="AZ1013">
        <v>3</v>
      </c>
      <c r="BA1013">
        <v>1</v>
      </c>
      <c r="BB1013">
        <v>1</v>
      </c>
      <c r="BC1013" s="7">
        <v>0.32</v>
      </c>
      <c r="BD1013">
        <v>30</v>
      </c>
      <c r="BE1013">
        <v>0</v>
      </c>
      <c r="BF1013">
        <v>0</v>
      </c>
      <c r="BG1013">
        <v>0</v>
      </c>
      <c r="BH1013">
        <v>5</v>
      </c>
      <c r="BI1013">
        <v>2.4</v>
      </c>
      <c r="BJ1013">
        <v>31</v>
      </c>
      <c r="BK1013">
        <v>0</v>
      </c>
      <c r="BL1013">
        <v>0</v>
      </c>
      <c r="BM1013">
        <v>0</v>
      </c>
      <c r="BN1013">
        <v>5</v>
      </c>
      <c r="BO1013">
        <v>2.4</v>
      </c>
      <c r="BP1013">
        <v>36</v>
      </c>
      <c r="BQ1013">
        <v>0</v>
      </c>
      <c r="BR1013">
        <v>0</v>
      </c>
      <c r="BS1013">
        <v>0</v>
      </c>
      <c r="BT1013">
        <v>5</v>
      </c>
      <c r="BU1013">
        <v>1.9</v>
      </c>
    </row>
    <row r="1014" spans="1:73" ht="14.25" x14ac:dyDescent="0.15">
      <c r="A1014" s="12">
        <v>20511</v>
      </c>
      <c r="B1014">
        <v>7</v>
      </c>
      <c r="C1014" s="1">
        <v>45</v>
      </c>
      <c r="D1014">
        <v>0</v>
      </c>
      <c r="E1014">
        <v>0</v>
      </c>
      <c r="F1014">
        <v>1</v>
      </c>
      <c r="G1014" s="7">
        <v>0.05</v>
      </c>
      <c r="H1014">
        <v>12</v>
      </c>
      <c r="I1014">
        <v>0</v>
      </c>
      <c r="J1014">
        <v>0</v>
      </c>
      <c r="K1014">
        <v>0</v>
      </c>
      <c r="L1014">
        <v>1</v>
      </c>
      <c r="M1014">
        <v>2</v>
      </c>
      <c r="N1014" s="7">
        <v>9</v>
      </c>
      <c r="O1014" s="7">
        <v>0</v>
      </c>
      <c r="P1014" s="7">
        <v>0</v>
      </c>
      <c r="Q1014" s="7">
        <v>0</v>
      </c>
      <c r="R1014" s="7">
        <v>1</v>
      </c>
      <c r="S1014" s="7">
        <v>4.5</v>
      </c>
      <c r="T1014">
        <v>7</v>
      </c>
      <c r="U1014" s="1">
        <v>33</v>
      </c>
      <c r="V1014">
        <v>0</v>
      </c>
      <c r="W1014">
        <v>0</v>
      </c>
      <c r="X1014">
        <v>1</v>
      </c>
      <c r="Y1014">
        <v>0.16</v>
      </c>
      <c r="Z1014">
        <v>23</v>
      </c>
      <c r="AA1014">
        <v>0</v>
      </c>
      <c r="AB1014">
        <v>0</v>
      </c>
      <c r="AC1014">
        <v>0</v>
      </c>
      <c r="AD1014">
        <v>1</v>
      </c>
      <c r="AE1014">
        <v>0.05</v>
      </c>
      <c r="AF1014">
        <v>15</v>
      </c>
      <c r="AG1014">
        <v>0</v>
      </c>
      <c r="AH1014">
        <v>0</v>
      </c>
      <c r="AI1014">
        <v>0</v>
      </c>
      <c r="AJ1014">
        <v>1</v>
      </c>
      <c r="AK1014">
        <v>0.02</v>
      </c>
      <c r="AL1014">
        <v>16</v>
      </c>
      <c r="AM1014">
        <v>0</v>
      </c>
      <c r="AN1014">
        <v>0</v>
      </c>
      <c r="AO1014">
        <v>0</v>
      </c>
      <c r="AP1014">
        <v>1</v>
      </c>
      <c r="AQ1014">
        <v>0.01</v>
      </c>
      <c r="AX1014">
        <v>7</v>
      </c>
      <c r="AY1014" s="1">
        <v>17</v>
      </c>
      <c r="AZ1014">
        <v>0</v>
      </c>
      <c r="BA1014">
        <v>0</v>
      </c>
      <c r="BB1014">
        <v>1</v>
      </c>
      <c r="BC1014" s="7">
        <v>0.32</v>
      </c>
      <c r="BD1014">
        <v>30</v>
      </c>
      <c r="BE1014">
        <v>0</v>
      </c>
      <c r="BF1014">
        <v>0</v>
      </c>
      <c r="BG1014">
        <v>0</v>
      </c>
      <c r="BH1014">
        <v>5</v>
      </c>
      <c r="BI1014">
        <v>2.4</v>
      </c>
      <c r="BJ1014">
        <v>31</v>
      </c>
      <c r="BK1014">
        <v>0</v>
      </c>
      <c r="BL1014">
        <v>0</v>
      </c>
      <c r="BM1014">
        <v>0</v>
      </c>
      <c r="BN1014">
        <v>5</v>
      </c>
      <c r="BO1014">
        <v>2.4</v>
      </c>
      <c r="BP1014">
        <v>36</v>
      </c>
      <c r="BQ1014">
        <v>0</v>
      </c>
      <c r="BR1014">
        <v>0</v>
      </c>
      <c r="BS1014">
        <v>0</v>
      </c>
      <c r="BT1014">
        <v>5</v>
      </c>
      <c r="BU1014">
        <v>1.9</v>
      </c>
    </row>
    <row r="1015" spans="1:73" ht="14.25" x14ac:dyDescent="0.15">
      <c r="A1015" s="12">
        <v>20512</v>
      </c>
      <c r="B1015">
        <v>7</v>
      </c>
      <c r="C1015" s="1">
        <v>46</v>
      </c>
      <c r="D1015">
        <v>0</v>
      </c>
      <c r="E1015">
        <v>0</v>
      </c>
      <c r="F1015">
        <v>1</v>
      </c>
      <c r="G1015" s="7">
        <v>0.05</v>
      </c>
      <c r="H1015">
        <v>12</v>
      </c>
      <c r="I1015">
        <v>0</v>
      </c>
      <c r="J1015">
        <v>0</v>
      </c>
      <c r="K1015">
        <v>0</v>
      </c>
      <c r="L1015">
        <v>1</v>
      </c>
      <c r="M1015">
        <v>2</v>
      </c>
      <c r="N1015" s="7">
        <v>9</v>
      </c>
      <c r="O1015" s="7">
        <v>0</v>
      </c>
      <c r="P1015" s="7">
        <v>0</v>
      </c>
      <c r="Q1015" s="7">
        <v>0</v>
      </c>
      <c r="R1015" s="7">
        <v>1</v>
      </c>
      <c r="S1015" s="7">
        <v>4.5</v>
      </c>
      <c r="T1015">
        <v>7</v>
      </c>
      <c r="U1015" s="1">
        <v>34</v>
      </c>
      <c r="V1015">
        <v>0</v>
      </c>
      <c r="W1015">
        <v>0</v>
      </c>
      <c r="X1015">
        <v>1</v>
      </c>
      <c r="Y1015">
        <v>0.16</v>
      </c>
      <c r="Z1015">
        <v>23</v>
      </c>
      <c r="AA1015">
        <v>0</v>
      </c>
      <c r="AB1015">
        <v>0</v>
      </c>
      <c r="AC1015">
        <v>0</v>
      </c>
      <c r="AD1015">
        <v>1</v>
      </c>
      <c r="AE1015">
        <v>0.05</v>
      </c>
      <c r="AF1015">
        <v>15</v>
      </c>
      <c r="AG1015">
        <v>0</v>
      </c>
      <c r="AH1015">
        <v>0</v>
      </c>
      <c r="AI1015">
        <v>0</v>
      </c>
      <c r="AJ1015">
        <v>1</v>
      </c>
      <c r="AK1015">
        <v>0.02</v>
      </c>
      <c r="AL1015">
        <v>16</v>
      </c>
      <c r="AM1015">
        <v>0</v>
      </c>
      <c r="AN1015">
        <v>0</v>
      </c>
      <c r="AO1015">
        <v>0</v>
      </c>
      <c r="AP1015">
        <v>1</v>
      </c>
      <c r="AQ1015">
        <v>0.01</v>
      </c>
      <c r="AX1015">
        <v>7</v>
      </c>
      <c r="AY1015" s="1">
        <v>18</v>
      </c>
      <c r="AZ1015">
        <v>0</v>
      </c>
      <c r="BA1015">
        <v>0</v>
      </c>
      <c r="BB1015">
        <v>1</v>
      </c>
      <c r="BC1015" s="7">
        <v>0.32</v>
      </c>
      <c r="BD1015">
        <v>30</v>
      </c>
      <c r="BE1015">
        <v>0</v>
      </c>
      <c r="BF1015">
        <v>0</v>
      </c>
      <c r="BG1015">
        <v>0</v>
      </c>
      <c r="BH1015">
        <v>5</v>
      </c>
      <c r="BI1015">
        <v>2.4</v>
      </c>
      <c r="BJ1015">
        <v>31</v>
      </c>
      <c r="BK1015">
        <v>0</v>
      </c>
      <c r="BL1015">
        <v>0</v>
      </c>
      <c r="BM1015">
        <v>0</v>
      </c>
      <c r="BN1015">
        <v>5</v>
      </c>
      <c r="BO1015">
        <v>2.4</v>
      </c>
      <c r="BP1015">
        <v>36</v>
      </c>
      <c r="BQ1015">
        <v>0</v>
      </c>
      <c r="BR1015">
        <v>0</v>
      </c>
      <c r="BS1015">
        <v>0</v>
      </c>
      <c r="BT1015">
        <v>5</v>
      </c>
      <c r="BU1015">
        <v>1.9</v>
      </c>
    </row>
    <row r="1016" spans="1:73" ht="14.25" x14ac:dyDescent="0.15">
      <c r="A1016" s="12">
        <v>20513</v>
      </c>
      <c r="B1016">
        <v>7</v>
      </c>
      <c r="C1016" s="1">
        <v>47</v>
      </c>
      <c r="D1016">
        <v>0</v>
      </c>
      <c r="E1016">
        <v>0</v>
      </c>
      <c r="F1016">
        <v>1</v>
      </c>
      <c r="G1016" s="7">
        <v>0.05</v>
      </c>
      <c r="H1016">
        <v>12</v>
      </c>
      <c r="I1016">
        <v>0</v>
      </c>
      <c r="J1016">
        <v>0</v>
      </c>
      <c r="K1016">
        <v>0</v>
      </c>
      <c r="L1016">
        <v>1</v>
      </c>
      <c r="M1016">
        <v>2</v>
      </c>
      <c r="N1016" s="7">
        <v>9</v>
      </c>
      <c r="O1016" s="7">
        <v>0</v>
      </c>
      <c r="P1016" s="7">
        <v>0</v>
      </c>
      <c r="Q1016" s="7">
        <v>0</v>
      </c>
      <c r="R1016" s="7">
        <v>1</v>
      </c>
      <c r="S1016" s="7">
        <v>4.5</v>
      </c>
      <c r="T1016">
        <v>7</v>
      </c>
      <c r="U1016" s="1">
        <v>35</v>
      </c>
      <c r="V1016">
        <v>0</v>
      </c>
      <c r="W1016">
        <v>0</v>
      </c>
      <c r="X1016">
        <v>1</v>
      </c>
      <c r="Y1016">
        <v>0.16</v>
      </c>
      <c r="Z1016">
        <v>23</v>
      </c>
      <c r="AA1016">
        <v>0</v>
      </c>
      <c r="AB1016">
        <v>0</v>
      </c>
      <c r="AC1016">
        <v>0</v>
      </c>
      <c r="AD1016">
        <v>1</v>
      </c>
      <c r="AE1016">
        <v>0.05</v>
      </c>
      <c r="AF1016">
        <v>15</v>
      </c>
      <c r="AG1016">
        <v>0</v>
      </c>
      <c r="AH1016">
        <v>0</v>
      </c>
      <c r="AI1016">
        <v>0</v>
      </c>
      <c r="AJ1016">
        <v>1</v>
      </c>
      <c r="AK1016">
        <v>0.02</v>
      </c>
      <c r="AL1016">
        <v>16</v>
      </c>
      <c r="AM1016">
        <v>0</v>
      </c>
      <c r="AN1016">
        <v>0</v>
      </c>
      <c r="AO1016">
        <v>0</v>
      </c>
      <c r="AP1016">
        <v>1</v>
      </c>
      <c r="AQ1016">
        <v>0.01</v>
      </c>
      <c r="AX1016">
        <v>7</v>
      </c>
      <c r="AY1016" s="1">
        <v>19</v>
      </c>
      <c r="AZ1016">
        <v>0</v>
      </c>
      <c r="BA1016">
        <v>0</v>
      </c>
      <c r="BB1016">
        <v>1</v>
      </c>
      <c r="BC1016" s="7">
        <v>0.32</v>
      </c>
      <c r="BD1016">
        <v>30</v>
      </c>
      <c r="BE1016">
        <v>0</v>
      </c>
      <c r="BF1016">
        <v>0</v>
      </c>
      <c r="BG1016">
        <v>0</v>
      </c>
      <c r="BH1016">
        <v>5</v>
      </c>
      <c r="BI1016">
        <v>2.4</v>
      </c>
      <c r="BJ1016">
        <v>31</v>
      </c>
      <c r="BK1016">
        <v>0</v>
      </c>
      <c r="BL1016">
        <v>0</v>
      </c>
      <c r="BM1016">
        <v>0</v>
      </c>
      <c r="BN1016">
        <v>5</v>
      </c>
      <c r="BO1016">
        <v>2.4</v>
      </c>
      <c r="BP1016">
        <v>36</v>
      </c>
      <c r="BQ1016">
        <v>0</v>
      </c>
      <c r="BR1016">
        <v>0</v>
      </c>
      <c r="BS1016">
        <v>0</v>
      </c>
      <c r="BT1016">
        <v>5</v>
      </c>
      <c r="BU1016">
        <v>1.9</v>
      </c>
    </row>
    <row r="1017" spans="1:73" ht="14.25" x14ac:dyDescent="0.15">
      <c r="A1017" s="12">
        <v>20514</v>
      </c>
      <c r="B1017">
        <v>7</v>
      </c>
      <c r="C1017" s="1">
        <v>48</v>
      </c>
      <c r="D1017">
        <v>0</v>
      </c>
      <c r="E1017">
        <v>0</v>
      </c>
      <c r="F1017">
        <v>1</v>
      </c>
      <c r="G1017" s="7">
        <v>0.05</v>
      </c>
      <c r="H1017">
        <v>12</v>
      </c>
      <c r="I1017">
        <v>0</v>
      </c>
      <c r="J1017">
        <v>0</v>
      </c>
      <c r="K1017">
        <v>0</v>
      </c>
      <c r="L1017">
        <v>1</v>
      </c>
      <c r="M1017">
        <v>2</v>
      </c>
      <c r="N1017" s="7">
        <v>9</v>
      </c>
      <c r="O1017" s="7">
        <v>0</v>
      </c>
      <c r="P1017" s="7">
        <v>0</v>
      </c>
      <c r="Q1017" s="7">
        <v>0</v>
      </c>
      <c r="R1017" s="7">
        <v>1</v>
      </c>
      <c r="S1017" s="7">
        <v>4.5</v>
      </c>
      <c r="T1017">
        <v>7</v>
      </c>
      <c r="U1017" s="1">
        <v>36</v>
      </c>
      <c r="V1017">
        <v>0</v>
      </c>
      <c r="W1017">
        <v>0</v>
      </c>
      <c r="X1017">
        <v>1</v>
      </c>
      <c r="Y1017">
        <v>0.16</v>
      </c>
      <c r="Z1017">
        <v>23</v>
      </c>
      <c r="AA1017">
        <v>0</v>
      </c>
      <c r="AB1017">
        <v>0</v>
      </c>
      <c r="AC1017">
        <v>0</v>
      </c>
      <c r="AD1017">
        <v>1</v>
      </c>
      <c r="AE1017">
        <v>0.05</v>
      </c>
      <c r="AF1017">
        <v>15</v>
      </c>
      <c r="AG1017">
        <v>0</v>
      </c>
      <c r="AH1017">
        <v>0</v>
      </c>
      <c r="AI1017">
        <v>0</v>
      </c>
      <c r="AJ1017">
        <v>1</v>
      </c>
      <c r="AK1017">
        <v>0.02</v>
      </c>
      <c r="AL1017">
        <v>16</v>
      </c>
      <c r="AM1017">
        <v>0</v>
      </c>
      <c r="AN1017">
        <v>0</v>
      </c>
      <c r="AO1017">
        <v>0</v>
      </c>
      <c r="AP1017">
        <v>1</v>
      </c>
      <c r="AQ1017">
        <v>0.01</v>
      </c>
      <c r="AX1017">
        <v>7</v>
      </c>
      <c r="AY1017" s="1">
        <v>20</v>
      </c>
      <c r="AZ1017">
        <v>0</v>
      </c>
      <c r="BA1017">
        <v>0</v>
      </c>
      <c r="BB1017">
        <v>1</v>
      </c>
      <c r="BC1017" s="7">
        <v>0.32</v>
      </c>
      <c r="BD1017">
        <v>30</v>
      </c>
      <c r="BE1017">
        <v>0</v>
      </c>
      <c r="BF1017">
        <v>0</v>
      </c>
      <c r="BG1017">
        <v>0</v>
      </c>
      <c r="BH1017">
        <v>5</v>
      </c>
      <c r="BI1017">
        <v>2.4</v>
      </c>
      <c r="BJ1017">
        <v>31</v>
      </c>
      <c r="BK1017">
        <v>0</v>
      </c>
      <c r="BL1017">
        <v>0</v>
      </c>
      <c r="BM1017">
        <v>0</v>
      </c>
      <c r="BN1017">
        <v>5</v>
      </c>
      <c r="BO1017">
        <v>2.4</v>
      </c>
      <c r="BP1017">
        <v>36</v>
      </c>
      <c r="BQ1017">
        <v>0</v>
      </c>
      <c r="BR1017">
        <v>0</v>
      </c>
      <c r="BS1017">
        <v>0</v>
      </c>
      <c r="BT1017">
        <v>5</v>
      </c>
      <c r="BU1017">
        <v>1.9</v>
      </c>
    </row>
    <row r="1018" spans="1:73" ht="14.25" x14ac:dyDescent="0.15">
      <c r="A1018" s="12">
        <v>20515</v>
      </c>
      <c r="B1018">
        <v>7</v>
      </c>
      <c r="C1018" s="1">
        <v>0</v>
      </c>
      <c r="D1018">
        <v>5</v>
      </c>
      <c r="E1018">
        <v>1</v>
      </c>
      <c r="F1018">
        <v>1</v>
      </c>
      <c r="G1018" s="7">
        <v>0.05</v>
      </c>
      <c r="H1018">
        <v>12</v>
      </c>
      <c r="I1018">
        <v>0</v>
      </c>
      <c r="J1018">
        <v>0</v>
      </c>
      <c r="K1018">
        <v>0</v>
      </c>
      <c r="L1018">
        <v>1</v>
      </c>
      <c r="M1018">
        <v>2</v>
      </c>
      <c r="N1018" s="7">
        <v>9</v>
      </c>
      <c r="O1018" s="7">
        <v>0</v>
      </c>
      <c r="P1018" s="7">
        <v>0</v>
      </c>
      <c r="Q1018" s="7">
        <v>0</v>
      </c>
      <c r="R1018" s="7">
        <v>1</v>
      </c>
      <c r="S1018" s="7">
        <v>4.5</v>
      </c>
      <c r="T1018">
        <v>7</v>
      </c>
      <c r="U1018" s="1">
        <v>0</v>
      </c>
      <c r="V1018">
        <v>4</v>
      </c>
      <c r="W1018">
        <v>2</v>
      </c>
      <c r="X1018">
        <v>1</v>
      </c>
      <c r="Y1018">
        <v>0.16</v>
      </c>
      <c r="Z1018">
        <v>23</v>
      </c>
      <c r="AA1018">
        <v>0</v>
      </c>
      <c r="AB1018">
        <v>0</v>
      </c>
      <c r="AC1018">
        <v>0</v>
      </c>
      <c r="AD1018">
        <v>1</v>
      </c>
      <c r="AE1018">
        <v>0.05</v>
      </c>
      <c r="AF1018">
        <v>15</v>
      </c>
      <c r="AG1018">
        <v>0</v>
      </c>
      <c r="AH1018">
        <v>0</v>
      </c>
      <c r="AI1018">
        <v>0</v>
      </c>
      <c r="AJ1018">
        <v>1</v>
      </c>
      <c r="AK1018">
        <v>0.02</v>
      </c>
      <c r="AL1018">
        <v>16</v>
      </c>
      <c r="AM1018">
        <v>0</v>
      </c>
      <c r="AN1018">
        <v>0</v>
      </c>
      <c r="AO1018">
        <v>0</v>
      </c>
      <c r="AP1018">
        <v>1</v>
      </c>
      <c r="AQ1018">
        <v>0.01</v>
      </c>
      <c r="AR1018">
        <v>6</v>
      </c>
      <c r="AS1018">
        <v>2</v>
      </c>
      <c r="AT1018">
        <v>3</v>
      </c>
      <c r="AU1018">
        <v>5</v>
      </c>
      <c r="AV1018">
        <v>1</v>
      </c>
      <c r="AW1018">
        <v>0.05</v>
      </c>
      <c r="AX1018">
        <v>7</v>
      </c>
      <c r="AY1018" s="1">
        <v>0</v>
      </c>
      <c r="AZ1018">
        <v>3</v>
      </c>
      <c r="BA1018">
        <v>1</v>
      </c>
      <c r="BB1018">
        <v>1</v>
      </c>
      <c r="BC1018" s="7">
        <v>0.32</v>
      </c>
      <c r="BD1018">
        <v>30</v>
      </c>
      <c r="BE1018">
        <v>0</v>
      </c>
      <c r="BF1018">
        <v>0</v>
      </c>
      <c r="BG1018">
        <v>0</v>
      </c>
      <c r="BH1018">
        <v>5</v>
      </c>
      <c r="BI1018">
        <v>2.4</v>
      </c>
      <c r="BJ1018">
        <v>31</v>
      </c>
      <c r="BK1018">
        <v>0</v>
      </c>
      <c r="BL1018">
        <v>0</v>
      </c>
      <c r="BM1018">
        <v>0</v>
      </c>
      <c r="BN1018">
        <v>5</v>
      </c>
      <c r="BO1018">
        <v>2.4</v>
      </c>
      <c r="BP1018">
        <v>36</v>
      </c>
      <c r="BQ1018">
        <v>0</v>
      </c>
      <c r="BR1018">
        <v>0</v>
      </c>
      <c r="BS1018">
        <v>0</v>
      </c>
      <c r="BT1018">
        <v>5</v>
      </c>
      <c r="BU1018">
        <v>1.9</v>
      </c>
    </row>
    <row r="1019" spans="1:73" ht="14.25" x14ac:dyDescent="0.15">
      <c r="A1019" s="12">
        <v>20516</v>
      </c>
      <c r="B1019">
        <v>7</v>
      </c>
      <c r="C1019" s="1">
        <v>45</v>
      </c>
      <c r="D1019">
        <v>0</v>
      </c>
      <c r="E1019">
        <v>0</v>
      </c>
      <c r="F1019">
        <v>1</v>
      </c>
      <c r="G1019" s="7">
        <v>0.05</v>
      </c>
      <c r="H1019">
        <v>12</v>
      </c>
      <c r="I1019">
        <v>0</v>
      </c>
      <c r="J1019">
        <v>0</v>
      </c>
      <c r="K1019">
        <v>0</v>
      </c>
      <c r="L1019">
        <v>1</v>
      </c>
      <c r="M1019">
        <v>2</v>
      </c>
      <c r="N1019" s="7">
        <v>9</v>
      </c>
      <c r="O1019" s="7">
        <v>0</v>
      </c>
      <c r="P1019" s="7">
        <v>0</v>
      </c>
      <c r="Q1019" s="7">
        <v>0</v>
      </c>
      <c r="R1019" s="7">
        <v>1</v>
      </c>
      <c r="S1019" s="7">
        <v>4.5</v>
      </c>
      <c r="T1019">
        <v>7</v>
      </c>
      <c r="U1019" s="1">
        <v>33</v>
      </c>
      <c r="V1019">
        <v>0</v>
      </c>
      <c r="W1019">
        <v>0</v>
      </c>
      <c r="X1019">
        <v>1</v>
      </c>
      <c r="Y1019">
        <v>0.16</v>
      </c>
      <c r="Z1019">
        <v>23</v>
      </c>
      <c r="AA1019">
        <v>0</v>
      </c>
      <c r="AB1019">
        <v>0</v>
      </c>
      <c r="AC1019">
        <v>0</v>
      </c>
      <c r="AD1019">
        <v>1</v>
      </c>
      <c r="AE1019">
        <v>0.05</v>
      </c>
      <c r="AF1019">
        <v>15</v>
      </c>
      <c r="AG1019">
        <v>0</v>
      </c>
      <c r="AH1019">
        <v>0</v>
      </c>
      <c r="AI1019">
        <v>0</v>
      </c>
      <c r="AJ1019">
        <v>1</v>
      </c>
      <c r="AK1019">
        <v>0.02</v>
      </c>
      <c r="AL1019">
        <v>16</v>
      </c>
      <c r="AM1019">
        <v>0</v>
      </c>
      <c r="AN1019">
        <v>0</v>
      </c>
      <c r="AO1019">
        <v>0</v>
      </c>
      <c r="AP1019">
        <v>1</v>
      </c>
      <c r="AQ1019">
        <v>0.01</v>
      </c>
      <c r="AX1019">
        <v>7</v>
      </c>
      <c r="AY1019" s="1">
        <v>17</v>
      </c>
      <c r="AZ1019">
        <v>0</v>
      </c>
      <c r="BA1019">
        <v>0</v>
      </c>
      <c r="BB1019">
        <v>1</v>
      </c>
      <c r="BC1019" s="7">
        <v>0.32</v>
      </c>
      <c r="BD1019">
        <v>30</v>
      </c>
      <c r="BE1019">
        <v>0</v>
      </c>
      <c r="BF1019">
        <v>0</v>
      </c>
      <c r="BG1019">
        <v>0</v>
      </c>
      <c r="BH1019">
        <v>5</v>
      </c>
      <c r="BI1019">
        <v>2.4</v>
      </c>
      <c r="BJ1019">
        <v>31</v>
      </c>
      <c r="BK1019">
        <v>0</v>
      </c>
      <c r="BL1019">
        <v>0</v>
      </c>
      <c r="BM1019">
        <v>0</v>
      </c>
      <c r="BN1019">
        <v>5</v>
      </c>
      <c r="BO1019">
        <v>2.4</v>
      </c>
      <c r="BP1019">
        <v>36</v>
      </c>
      <c r="BQ1019">
        <v>0</v>
      </c>
      <c r="BR1019">
        <v>0</v>
      </c>
      <c r="BS1019">
        <v>0</v>
      </c>
      <c r="BT1019">
        <v>5</v>
      </c>
      <c r="BU1019">
        <v>1.9</v>
      </c>
    </row>
    <row r="1020" spans="1:73" ht="14.25" x14ac:dyDescent="0.15">
      <c r="A1020" s="12">
        <v>20517</v>
      </c>
      <c r="B1020">
        <v>7</v>
      </c>
      <c r="C1020" s="1">
        <v>46</v>
      </c>
      <c r="D1020">
        <v>0</v>
      </c>
      <c r="E1020">
        <v>0</v>
      </c>
      <c r="F1020">
        <v>1</v>
      </c>
      <c r="G1020" s="7">
        <v>0.05</v>
      </c>
      <c r="H1020">
        <v>12</v>
      </c>
      <c r="I1020">
        <v>0</v>
      </c>
      <c r="J1020">
        <v>0</v>
      </c>
      <c r="K1020">
        <v>0</v>
      </c>
      <c r="L1020">
        <v>1</v>
      </c>
      <c r="M1020">
        <v>2</v>
      </c>
      <c r="N1020" s="7">
        <v>9</v>
      </c>
      <c r="O1020" s="7">
        <v>0</v>
      </c>
      <c r="P1020" s="7">
        <v>0</v>
      </c>
      <c r="Q1020" s="7">
        <v>0</v>
      </c>
      <c r="R1020" s="7">
        <v>1</v>
      </c>
      <c r="S1020" s="7">
        <v>4.5</v>
      </c>
      <c r="T1020">
        <v>7</v>
      </c>
      <c r="U1020" s="1">
        <v>34</v>
      </c>
      <c r="V1020">
        <v>0</v>
      </c>
      <c r="W1020">
        <v>0</v>
      </c>
      <c r="X1020">
        <v>1</v>
      </c>
      <c r="Y1020">
        <v>0.16</v>
      </c>
      <c r="Z1020">
        <v>23</v>
      </c>
      <c r="AA1020">
        <v>0</v>
      </c>
      <c r="AB1020">
        <v>0</v>
      </c>
      <c r="AC1020">
        <v>0</v>
      </c>
      <c r="AD1020">
        <v>1</v>
      </c>
      <c r="AE1020">
        <v>0.05</v>
      </c>
      <c r="AF1020">
        <v>15</v>
      </c>
      <c r="AG1020">
        <v>0</v>
      </c>
      <c r="AH1020">
        <v>0</v>
      </c>
      <c r="AI1020">
        <v>0</v>
      </c>
      <c r="AJ1020">
        <v>1</v>
      </c>
      <c r="AK1020">
        <v>0.02</v>
      </c>
      <c r="AL1020">
        <v>16</v>
      </c>
      <c r="AM1020">
        <v>0</v>
      </c>
      <c r="AN1020">
        <v>0</v>
      </c>
      <c r="AO1020">
        <v>0</v>
      </c>
      <c r="AP1020">
        <v>1</v>
      </c>
      <c r="AQ1020">
        <v>0.01</v>
      </c>
      <c r="AX1020">
        <v>7</v>
      </c>
      <c r="AY1020" s="1">
        <v>18</v>
      </c>
      <c r="AZ1020">
        <v>0</v>
      </c>
      <c r="BA1020">
        <v>0</v>
      </c>
      <c r="BB1020">
        <v>1</v>
      </c>
      <c r="BC1020" s="7">
        <v>0.32</v>
      </c>
      <c r="BD1020">
        <v>30</v>
      </c>
      <c r="BE1020">
        <v>0</v>
      </c>
      <c r="BF1020">
        <v>0</v>
      </c>
      <c r="BG1020">
        <v>0</v>
      </c>
      <c r="BH1020">
        <v>5</v>
      </c>
      <c r="BI1020">
        <v>2.4</v>
      </c>
      <c r="BJ1020">
        <v>31</v>
      </c>
      <c r="BK1020">
        <v>0</v>
      </c>
      <c r="BL1020">
        <v>0</v>
      </c>
      <c r="BM1020">
        <v>0</v>
      </c>
      <c r="BN1020">
        <v>5</v>
      </c>
      <c r="BO1020">
        <v>2.4</v>
      </c>
      <c r="BP1020">
        <v>36</v>
      </c>
      <c r="BQ1020">
        <v>0</v>
      </c>
      <c r="BR1020">
        <v>0</v>
      </c>
      <c r="BS1020">
        <v>0</v>
      </c>
      <c r="BT1020">
        <v>5</v>
      </c>
      <c r="BU1020">
        <v>1.9</v>
      </c>
    </row>
    <row r="1021" spans="1:73" ht="14.25" x14ac:dyDescent="0.15">
      <c r="A1021" s="12">
        <v>20518</v>
      </c>
      <c r="B1021">
        <v>7</v>
      </c>
      <c r="C1021" s="1">
        <v>47</v>
      </c>
      <c r="D1021">
        <v>0</v>
      </c>
      <c r="E1021">
        <v>0</v>
      </c>
      <c r="F1021">
        <v>1</v>
      </c>
      <c r="G1021" s="7">
        <v>0.05</v>
      </c>
      <c r="H1021">
        <v>12</v>
      </c>
      <c r="I1021">
        <v>0</v>
      </c>
      <c r="J1021">
        <v>0</v>
      </c>
      <c r="K1021">
        <v>0</v>
      </c>
      <c r="L1021">
        <v>1</v>
      </c>
      <c r="M1021">
        <v>2</v>
      </c>
      <c r="N1021" s="7">
        <v>9</v>
      </c>
      <c r="O1021" s="7">
        <v>0</v>
      </c>
      <c r="P1021" s="7">
        <v>0</v>
      </c>
      <c r="Q1021" s="7">
        <v>0</v>
      </c>
      <c r="R1021" s="7">
        <v>1</v>
      </c>
      <c r="S1021" s="7">
        <v>4.5</v>
      </c>
      <c r="T1021">
        <v>7</v>
      </c>
      <c r="U1021" s="1">
        <v>35</v>
      </c>
      <c r="V1021">
        <v>0</v>
      </c>
      <c r="W1021">
        <v>0</v>
      </c>
      <c r="X1021">
        <v>1</v>
      </c>
      <c r="Y1021">
        <v>0.16</v>
      </c>
      <c r="Z1021">
        <v>23</v>
      </c>
      <c r="AA1021">
        <v>0</v>
      </c>
      <c r="AB1021">
        <v>0</v>
      </c>
      <c r="AC1021">
        <v>0</v>
      </c>
      <c r="AD1021">
        <v>1</v>
      </c>
      <c r="AE1021">
        <v>0.05</v>
      </c>
      <c r="AF1021">
        <v>15</v>
      </c>
      <c r="AG1021">
        <v>0</v>
      </c>
      <c r="AH1021">
        <v>0</v>
      </c>
      <c r="AI1021">
        <v>0</v>
      </c>
      <c r="AJ1021">
        <v>1</v>
      </c>
      <c r="AK1021">
        <v>0.02</v>
      </c>
      <c r="AL1021">
        <v>16</v>
      </c>
      <c r="AM1021">
        <v>0</v>
      </c>
      <c r="AN1021">
        <v>0</v>
      </c>
      <c r="AO1021">
        <v>0</v>
      </c>
      <c r="AP1021">
        <v>1</v>
      </c>
      <c r="AQ1021">
        <v>0.01</v>
      </c>
      <c r="AX1021">
        <v>7</v>
      </c>
      <c r="AY1021" s="1">
        <v>19</v>
      </c>
      <c r="AZ1021">
        <v>0</v>
      </c>
      <c r="BA1021">
        <v>0</v>
      </c>
      <c r="BB1021">
        <v>1</v>
      </c>
      <c r="BC1021" s="7">
        <v>0.32</v>
      </c>
      <c r="BD1021">
        <v>30</v>
      </c>
      <c r="BE1021">
        <v>0</v>
      </c>
      <c r="BF1021">
        <v>0</v>
      </c>
      <c r="BG1021">
        <v>0</v>
      </c>
      <c r="BH1021">
        <v>5</v>
      </c>
      <c r="BI1021">
        <v>2.4</v>
      </c>
      <c r="BJ1021">
        <v>31</v>
      </c>
      <c r="BK1021">
        <v>0</v>
      </c>
      <c r="BL1021">
        <v>0</v>
      </c>
      <c r="BM1021">
        <v>0</v>
      </c>
      <c r="BN1021">
        <v>5</v>
      </c>
      <c r="BO1021">
        <v>2.4</v>
      </c>
      <c r="BP1021">
        <v>36</v>
      </c>
      <c r="BQ1021">
        <v>0</v>
      </c>
      <c r="BR1021">
        <v>0</v>
      </c>
      <c r="BS1021">
        <v>0</v>
      </c>
      <c r="BT1021">
        <v>5</v>
      </c>
      <c r="BU1021">
        <v>1.9</v>
      </c>
    </row>
    <row r="1022" spans="1:73" ht="14.25" x14ac:dyDescent="0.15">
      <c r="A1022" s="12">
        <v>20519</v>
      </c>
      <c r="B1022">
        <v>7</v>
      </c>
      <c r="C1022" s="1">
        <v>48</v>
      </c>
      <c r="D1022">
        <v>0</v>
      </c>
      <c r="E1022">
        <v>0</v>
      </c>
      <c r="F1022">
        <v>1</v>
      </c>
      <c r="G1022" s="7">
        <v>0.05</v>
      </c>
      <c r="H1022">
        <v>12</v>
      </c>
      <c r="I1022">
        <v>0</v>
      </c>
      <c r="J1022">
        <v>0</v>
      </c>
      <c r="K1022">
        <v>0</v>
      </c>
      <c r="L1022">
        <v>1</v>
      </c>
      <c r="M1022">
        <v>2</v>
      </c>
      <c r="N1022" s="7">
        <v>9</v>
      </c>
      <c r="O1022" s="7">
        <v>0</v>
      </c>
      <c r="P1022" s="7">
        <v>0</v>
      </c>
      <c r="Q1022" s="7">
        <v>0</v>
      </c>
      <c r="R1022" s="7">
        <v>1</v>
      </c>
      <c r="S1022" s="7">
        <v>4.5</v>
      </c>
      <c r="T1022">
        <v>7</v>
      </c>
      <c r="U1022" s="1">
        <v>36</v>
      </c>
      <c r="V1022">
        <v>0</v>
      </c>
      <c r="W1022">
        <v>0</v>
      </c>
      <c r="X1022">
        <v>1</v>
      </c>
      <c r="Y1022">
        <v>0.16</v>
      </c>
      <c r="Z1022">
        <v>23</v>
      </c>
      <c r="AA1022">
        <v>0</v>
      </c>
      <c r="AB1022">
        <v>0</v>
      </c>
      <c r="AC1022">
        <v>0</v>
      </c>
      <c r="AD1022">
        <v>1</v>
      </c>
      <c r="AE1022">
        <v>0.05</v>
      </c>
      <c r="AF1022">
        <v>15</v>
      </c>
      <c r="AG1022">
        <v>0</v>
      </c>
      <c r="AH1022">
        <v>0</v>
      </c>
      <c r="AI1022">
        <v>0</v>
      </c>
      <c r="AJ1022">
        <v>1</v>
      </c>
      <c r="AK1022">
        <v>0.02</v>
      </c>
      <c r="AL1022">
        <v>16</v>
      </c>
      <c r="AM1022">
        <v>0</v>
      </c>
      <c r="AN1022">
        <v>0</v>
      </c>
      <c r="AO1022">
        <v>0</v>
      </c>
      <c r="AP1022">
        <v>1</v>
      </c>
      <c r="AQ1022">
        <v>0.01</v>
      </c>
      <c r="AX1022">
        <v>7</v>
      </c>
      <c r="AY1022" s="1">
        <v>20</v>
      </c>
      <c r="AZ1022">
        <v>0</v>
      </c>
      <c r="BA1022">
        <v>0</v>
      </c>
      <c r="BB1022">
        <v>1</v>
      </c>
      <c r="BC1022" s="7">
        <v>0.32</v>
      </c>
      <c r="BD1022">
        <v>30</v>
      </c>
      <c r="BE1022">
        <v>0</v>
      </c>
      <c r="BF1022">
        <v>0</v>
      </c>
      <c r="BG1022">
        <v>0</v>
      </c>
      <c r="BH1022">
        <v>5</v>
      </c>
      <c r="BI1022">
        <v>2.4</v>
      </c>
      <c r="BJ1022">
        <v>31</v>
      </c>
      <c r="BK1022">
        <v>0</v>
      </c>
      <c r="BL1022">
        <v>0</v>
      </c>
      <c r="BM1022">
        <v>0</v>
      </c>
      <c r="BN1022">
        <v>5</v>
      </c>
      <c r="BO1022">
        <v>2.4</v>
      </c>
      <c r="BP1022">
        <v>36</v>
      </c>
      <c r="BQ1022">
        <v>0</v>
      </c>
      <c r="BR1022">
        <v>0</v>
      </c>
      <c r="BS1022">
        <v>0</v>
      </c>
      <c r="BT1022">
        <v>5</v>
      </c>
      <c r="BU1022">
        <v>1.9</v>
      </c>
    </row>
    <row r="1023" spans="1:73" ht="14.25" x14ac:dyDescent="0.15">
      <c r="A1023" s="12">
        <v>20520</v>
      </c>
      <c r="B1023">
        <v>7</v>
      </c>
      <c r="C1023" s="1">
        <v>0</v>
      </c>
      <c r="D1023">
        <v>5</v>
      </c>
      <c r="E1023">
        <v>1</v>
      </c>
      <c r="F1023">
        <v>1</v>
      </c>
      <c r="G1023" s="7">
        <v>0.05</v>
      </c>
      <c r="H1023">
        <v>12</v>
      </c>
      <c r="I1023">
        <v>0</v>
      </c>
      <c r="J1023">
        <v>0</v>
      </c>
      <c r="K1023">
        <v>0</v>
      </c>
      <c r="L1023">
        <v>1</v>
      </c>
      <c r="M1023">
        <v>2</v>
      </c>
      <c r="N1023" s="7">
        <v>9</v>
      </c>
      <c r="O1023" s="7">
        <v>0</v>
      </c>
      <c r="P1023" s="7">
        <v>0</v>
      </c>
      <c r="Q1023" s="7">
        <v>0</v>
      </c>
      <c r="R1023" s="7">
        <v>1</v>
      </c>
      <c r="S1023" s="7">
        <v>4.5</v>
      </c>
      <c r="T1023">
        <v>7</v>
      </c>
      <c r="U1023" s="1">
        <v>0</v>
      </c>
      <c r="V1023">
        <v>4</v>
      </c>
      <c r="W1023">
        <v>2</v>
      </c>
      <c r="X1023">
        <v>1</v>
      </c>
      <c r="Y1023">
        <v>0.16</v>
      </c>
      <c r="Z1023">
        <v>23</v>
      </c>
      <c r="AA1023">
        <v>0</v>
      </c>
      <c r="AB1023">
        <v>0</v>
      </c>
      <c r="AC1023">
        <v>0</v>
      </c>
      <c r="AD1023">
        <v>1</v>
      </c>
      <c r="AE1023">
        <v>0.05</v>
      </c>
      <c r="AF1023">
        <v>15</v>
      </c>
      <c r="AG1023">
        <v>0</v>
      </c>
      <c r="AH1023">
        <v>0</v>
      </c>
      <c r="AI1023">
        <v>0</v>
      </c>
      <c r="AJ1023">
        <v>1</v>
      </c>
      <c r="AK1023">
        <v>0.02</v>
      </c>
      <c r="AL1023">
        <v>16</v>
      </c>
      <c r="AM1023">
        <v>0</v>
      </c>
      <c r="AN1023">
        <v>0</v>
      </c>
      <c r="AO1023">
        <v>0</v>
      </c>
      <c r="AP1023">
        <v>1</v>
      </c>
      <c r="AQ1023">
        <v>0.01</v>
      </c>
      <c r="AR1023">
        <v>6</v>
      </c>
      <c r="AS1023">
        <v>2</v>
      </c>
      <c r="AT1023">
        <v>4</v>
      </c>
      <c r="AU1023">
        <v>5</v>
      </c>
      <c r="AV1023">
        <v>1</v>
      </c>
      <c r="AW1023">
        <v>0.01</v>
      </c>
      <c r="AX1023">
        <v>7</v>
      </c>
      <c r="AY1023" s="1">
        <v>0</v>
      </c>
      <c r="AZ1023">
        <v>3</v>
      </c>
      <c r="BA1023">
        <v>1</v>
      </c>
      <c r="BB1023">
        <v>1</v>
      </c>
      <c r="BC1023" s="7">
        <v>0.32</v>
      </c>
      <c r="BD1023">
        <v>30</v>
      </c>
      <c r="BE1023">
        <v>0</v>
      </c>
      <c r="BF1023">
        <v>0</v>
      </c>
      <c r="BG1023">
        <v>0</v>
      </c>
      <c r="BH1023">
        <v>5</v>
      </c>
      <c r="BI1023">
        <v>2.4</v>
      </c>
      <c r="BJ1023">
        <v>31</v>
      </c>
      <c r="BK1023">
        <v>0</v>
      </c>
      <c r="BL1023">
        <v>0</v>
      </c>
      <c r="BM1023">
        <v>0</v>
      </c>
      <c r="BN1023">
        <v>5</v>
      </c>
      <c r="BO1023">
        <v>2.4</v>
      </c>
      <c r="BP1023">
        <v>36</v>
      </c>
      <c r="BQ1023">
        <v>0</v>
      </c>
      <c r="BR1023">
        <v>0</v>
      </c>
      <c r="BS1023">
        <v>0</v>
      </c>
      <c r="BT1023">
        <v>5</v>
      </c>
      <c r="BU1023">
        <v>1.9</v>
      </c>
    </row>
    <row r="1024" spans="1:73" ht="14.25" x14ac:dyDescent="0.15">
      <c r="A1024" s="12">
        <v>20521</v>
      </c>
      <c r="B1024">
        <v>7</v>
      </c>
      <c r="C1024" s="1">
        <v>45</v>
      </c>
      <c r="D1024">
        <v>0</v>
      </c>
      <c r="E1024">
        <v>0</v>
      </c>
      <c r="F1024">
        <v>1</v>
      </c>
      <c r="G1024" s="7">
        <v>0.05</v>
      </c>
      <c r="H1024">
        <v>12</v>
      </c>
      <c r="I1024">
        <v>0</v>
      </c>
      <c r="J1024">
        <v>0</v>
      </c>
      <c r="K1024">
        <v>0</v>
      </c>
      <c r="L1024">
        <v>1</v>
      </c>
      <c r="M1024">
        <v>2</v>
      </c>
      <c r="N1024" s="7">
        <v>9</v>
      </c>
      <c r="O1024" s="7">
        <v>0</v>
      </c>
      <c r="P1024" s="7">
        <v>0</v>
      </c>
      <c r="Q1024" s="7">
        <v>0</v>
      </c>
      <c r="R1024" s="7">
        <v>1</v>
      </c>
      <c r="S1024" s="7">
        <v>4.5</v>
      </c>
      <c r="T1024">
        <v>7</v>
      </c>
      <c r="U1024" s="1">
        <v>33</v>
      </c>
      <c r="V1024">
        <v>0</v>
      </c>
      <c r="W1024">
        <v>0</v>
      </c>
      <c r="X1024">
        <v>1</v>
      </c>
      <c r="Y1024">
        <v>0.16</v>
      </c>
      <c r="Z1024">
        <v>23</v>
      </c>
      <c r="AA1024">
        <v>0</v>
      </c>
      <c r="AB1024">
        <v>0</v>
      </c>
      <c r="AC1024">
        <v>0</v>
      </c>
      <c r="AD1024">
        <v>1</v>
      </c>
      <c r="AE1024">
        <v>0.05</v>
      </c>
      <c r="AF1024">
        <v>15</v>
      </c>
      <c r="AG1024">
        <v>0</v>
      </c>
      <c r="AH1024">
        <v>0</v>
      </c>
      <c r="AI1024">
        <v>0</v>
      </c>
      <c r="AJ1024">
        <v>1</v>
      </c>
      <c r="AK1024">
        <v>0.02</v>
      </c>
      <c r="AL1024">
        <v>16</v>
      </c>
      <c r="AM1024">
        <v>0</v>
      </c>
      <c r="AN1024">
        <v>0</v>
      </c>
      <c r="AO1024">
        <v>0</v>
      </c>
      <c r="AP1024">
        <v>1</v>
      </c>
      <c r="AQ1024">
        <v>0.01</v>
      </c>
      <c r="AX1024">
        <v>7</v>
      </c>
      <c r="AY1024" s="1">
        <v>17</v>
      </c>
      <c r="AZ1024">
        <v>0</v>
      </c>
      <c r="BA1024">
        <v>0</v>
      </c>
      <c r="BB1024">
        <v>1</v>
      </c>
      <c r="BC1024" s="7">
        <v>0.32</v>
      </c>
      <c r="BD1024">
        <v>30</v>
      </c>
      <c r="BE1024">
        <v>0</v>
      </c>
      <c r="BF1024">
        <v>0</v>
      </c>
      <c r="BG1024">
        <v>0</v>
      </c>
      <c r="BH1024">
        <v>5</v>
      </c>
      <c r="BI1024">
        <v>2.4</v>
      </c>
      <c r="BJ1024">
        <v>31</v>
      </c>
      <c r="BK1024">
        <v>0</v>
      </c>
      <c r="BL1024">
        <v>0</v>
      </c>
      <c r="BM1024">
        <v>0</v>
      </c>
      <c r="BN1024">
        <v>5</v>
      </c>
      <c r="BO1024">
        <v>2.4</v>
      </c>
      <c r="BP1024">
        <v>36</v>
      </c>
      <c r="BQ1024">
        <v>0</v>
      </c>
      <c r="BR1024">
        <v>0</v>
      </c>
      <c r="BS1024">
        <v>0</v>
      </c>
      <c r="BT1024">
        <v>5</v>
      </c>
      <c r="BU1024">
        <v>1.9</v>
      </c>
    </row>
    <row r="1025" spans="1:73" ht="14.25" x14ac:dyDescent="0.15">
      <c r="A1025" s="12">
        <v>20522</v>
      </c>
      <c r="B1025">
        <v>7</v>
      </c>
      <c r="C1025" s="1">
        <v>46</v>
      </c>
      <c r="D1025">
        <v>0</v>
      </c>
      <c r="E1025">
        <v>0</v>
      </c>
      <c r="F1025">
        <v>1</v>
      </c>
      <c r="G1025" s="7">
        <v>0.05</v>
      </c>
      <c r="H1025">
        <v>12</v>
      </c>
      <c r="I1025">
        <v>0</v>
      </c>
      <c r="J1025">
        <v>0</v>
      </c>
      <c r="K1025">
        <v>0</v>
      </c>
      <c r="L1025">
        <v>1</v>
      </c>
      <c r="M1025">
        <v>2</v>
      </c>
      <c r="N1025" s="7">
        <v>9</v>
      </c>
      <c r="O1025" s="7">
        <v>0</v>
      </c>
      <c r="P1025" s="7">
        <v>0</v>
      </c>
      <c r="Q1025" s="7">
        <v>0</v>
      </c>
      <c r="R1025" s="7">
        <v>1</v>
      </c>
      <c r="S1025" s="7">
        <v>4.5</v>
      </c>
      <c r="T1025">
        <v>7</v>
      </c>
      <c r="U1025" s="1">
        <v>34</v>
      </c>
      <c r="V1025">
        <v>0</v>
      </c>
      <c r="W1025">
        <v>0</v>
      </c>
      <c r="X1025">
        <v>1</v>
      </c>
      <c r="Y1025">
        <v>0.16</v>
      </c>
      <c r="Z1025">
        <v>23</v>
      </c>
      <c r="AA1025">
        <v>0</v>
      </c>
      <c r="AB1025">
        <v>0</v>
      </c>
      <c r="AC1025">
        <v>0</v>
      </c>
      <c r="AD1025">
        <v>1</v>
      </c>
      <c r="AE1025">
        <v>0.05</v>
      </c>
      <c r="AF1025">
        <v>15</v>
      </c>
      <c r="AG1025">
        <v>0</v>
      </c>
      <c r="AH1025">
        <v>0</v>
      </c>
      <c r="AI1025">
        <v>0</v>
      </c>
      <c r="AJ1025">
        <v>1</v>
      </c>
      <c r="AK1025">
        <v>0.02</v>
      </c>
      <c r="AL1025">
        <v>16</v>
      </c>
      <c r="AM1025">
        <v>0</v>
      </c>
      <c r="AN1025">
        <v>0</v>
      </c>
      <c r="AO1025">
        <v>0</v>
      </c>
      <c r="AP1025">
        <v>1</v>
      </c>
      <c r="AQ1025">
        <v>0.01</v>
      </c>
      <c r="AX1025">
        <v>7</v>
      </c>
      <c r="AY1025" s="1">
        <v>18</v>
      </c>
      <c r="AZ1025">
        <v>0</v>
      </c>
      <c r="BA1025">
        <v>0</v>
      </c>
      <c r="BB1025">
        <v>1</v>
      </c>
      <c r="BC1025" s="7">
        <v>0.32</v>
      </c>
      <c r="BD1025">
        <v>30</v>
      </c>
      <c r="BE1025">
        <v>0</v>
      </c>
      <c r="BF1025">
        <v>0</v>
      </c>
      <c r="BG1025">
        <v>0</v>
      </c>
      <c r="BH1025">
        <v>5</v>
      </c>
      <c r="BI1025">
        <v>2.4</v>
      </c>
      <c r="BJ1025">
        <v>31</v>
      </c>
      <c r="BK1025">
        <v>0</v>
      </c>
      <c r="BL1025">
        <v>0</v>
      </c>
      <c r="BM1025">
        <v>0</v>
      </c>
      <c r="BN1025">
        <v>5</v>
      </c>
      <c r="BO1025">
        <v>2.4</v>
      </c>
      <c r="BP1025">
        <v>36</v>
      </c>
      <c r="BQ1025">
        <v>0</v>
      </c>
      <c r="BR1025">
        <v>0</v>
      </c>
      <c r="BS1025">
        <v>0</v>
      </c>
      <c r="BT1025">
        <v>5</v>
      </c>
      <c r="BU1025">
        <v>1.9</v>
      </c>
    </row>
    <row r="1026" spans="1:73" ht="14.25" x14ac:dyDescent="0.15">
      <c r="A1026" s="12">
        <v>20523</v>
      </c>
      <c r="B1026">
        <v>7</v>
      </c>
      <c r="C1026" s="1">
        <v>47</v>
      </c>
      <c r="D1026">
        <v>0</v>
      </c>
      <c r="E1026">
        <v>0</v>
      </c>
      <c r="F1026">
        <v>1</v>
      </c>
      <c r="G1026" s="7">
        <v>0.05</v>
      </c>
      <c r="H1026">
        <v>12</v>
      </c>
      <c r="I1026">
        <v>0</v>
      </c>
      <c r="J1026">
        <v>0</v>
      </c>
      <c r="K1026">
        <v>0</v>
      </c>
      <c r="L1026">
        <v>1</v>
      </c>
      <c r="M1026">
        <v>2</v>
      </c>
      <c r="N1026" s="7">
        <v>9</v>
      </c>
      <c r="O1026" s="7">
        <v>0</v>
      </c>
      <c r="P1026" s="7">
        <v>0</v>
      </c>
      <c r="Q1026" s="7">
        <v>0</v>
      </c>
      <c r="R1026" s="7">
        <v>1</v>
      </c>
      <c r="S1026" s="7">
        <v>4.5</v>
      </c>
      <c r="T1026">
        <v>7</v>
      </c>
      <c r="U1026" s="1">
        <v>35</v>
      </c>
      <c r="V1026">
        <v>0</v>
      </c>
      <c r="W1026">
        <v>0</v>
      </c>
      <c r="X1026">
        <v>1</v>
      </c>
      <c r="Y1026">
        <v>0.16</v>
      </c>
      <c r="Z1026">
        <v>23</v>
      </c>
      <c r="AA1026">
        <v>0</v>
      </c>
      <c r="AB1026">
        <v>0</v>
      </c>
      <c r="AC1026">
        <v>0</v>
      </c>
      <c r="AD1026">
        <v>1</v>
      </c>
      <c r="AE1026">
        <v>0.05</v>
      </c>
      <c r="AF1026">
        <v>15</v>
      </c>
      <c r="AG1026">
        <v>0</v>
      </c>
      <c r="AH1026">
        <v>0</v>
      </c>
      <c r="AI1026">
        <v>0</v>
      </c>
      <c r="AJ1026">
        <v>1</v>
      </c>
      <c r="AK1026">
        <v>0.02</v>
      </c>
      <c r="AL1026">
        <v>16</v>
      </c>
      <c r="AM1026">
        <v>0</v>
      </c>
      <c r="AN1026">
        <v>0</v>
      </c>
      <c r="AO1026">
        <v>0</v>
      </c>
      <c r="AP1026">
        <v>1</v>
      </c>
      <c r="AQ1026">
        <v>0.01</v>
      </c>
      <c r="AX1026">
        <v>7</v>
      </c>
      <c r="AY1026" s="1">
        <v>19</v>
      </c>
      <c r="AZ1026">
        <v>0</v>
      </c>
      <c r="BA1026">
        <v>0</v>
      </c>
      <c r="BB1026">
        <v>1</v>
      </c>
      <c r="BC1026" s="7">
        <v>0.32</v>
      </c>
      <c r="BD1026">
        <v>30</v>
      </c>
      <c r="BE1026">
        <v>0</v>
      </c>
      <c r="BF1026">
        <v>0</v>
      </c>
      <c r="BG1026">
        <v>0</v>
      </c>
      <c r="BH1026">
        <v>5</v>
      </c>
      <c r="BI1026">
        <v>2.4</v>
      </c>
      <c r="BJ1026">
        <v>31</v>
      </c>
      <c r="BK1026">
        <v>0</v>
      </c>
      <c r="BL1026">
        <v>0</v>
      </c>
      <c r="BM1026">
        <v>0</v>
      </c>
      <c r="BN1026">
        <v>5</v>
      </c>
      <c r="BO1026">
        <v>2.4</v>
      </c>
      <c r="BP1026">
        <v>36</v>
      </c>
      <c r="BQ1026">
        <v>0</v>
      </c>
      <c r="BR1026">
        <v>0</v>
      </c>
      <c r="BS1026">
        <v>0</v>
      </c>
      <c r="BT1026">
        <v>5</v>
      </c>
      <c r="BU1026">
        <v>1.9</v>
      </c>
    </row>
    <row r="1027" spans="1:73" ht="14.25" x14ac:dyDescent="0.15">
      <c r="A1027" s="12">
        <v>20524</v>
      </c>
      <c r="B1027">
        <v>7</v>
      </c>
      <c r="C1027" s="1">
        <v>48</v>
      </c>
      <c r="D1027">
        <v>0</v>
      </c>
      <c r="E1027">
        <v>0</v>
      </c>
      <c r="F1027">
        <v>1</v>
      </c>
      <c r="G1027" s="7">
        <v>0.05</v>
      </c>
      <c r="H1027">
        <v>12</v>
      </c>
      <c r="I1027">
        <v>0</v>
      </c>
      <c r="J1027">
        <v>0</v>
      </c>
      <c r="K1027">
        <v>0</v>
      </c>
      <c r="L1027">
        <v>1</v>
      </c>
      <c r="M1027">
        <v>2</v>
      </c>
      <c r="N1027" s="7">
        <v>9</v>
      </c>
      <c r="O1027" s="7">
        <v>0</v>
      </c>
      <c r="P1027" s="7">
        <v>0</v>
      </c>
      <c r="Q1027" s="7">
        <v>0</v>
      </c>
      <c r="R1027" s="7">
        <v>1</v>
      </c>
      <c r="S1027" s="7">
        <v>4.5</v>
      </c>
      <c r="T1027">
        <v>7</v>
      </c>
      <c r="U1027" s="1">
        <v>36</v>
      </c>
      <c r="V1027">
        <v>0</v>
      </c>
      <c r="W1027">
        <v>0</v>
      </c>
      <c r="X1027">
        <v>1</v>
      </c>
      <c r="Y1027">
        <v>0.16</v>
      </c>
      <c r="Z1027">
        <v>23</v>
      </c>
      <c r="AA1027">
        <v>0</v>
      </c>
      <c r="AB1027">
        <v>0</v>
      </c>
      <c r="AC1027">
        <v>0</v>
      </c>
      <c r="AD1027">
        <v>1</v>
      </c>
      <c r="AE1027">
        <v>0.05</v>
      </c>
      <c r="AF1027">
        <v>15</v>
      </c>
      <c r="AG1027">
        <v>0</v>
      </c>
      <c r="AH1027">
        <v>0</v>
      </c>
      <c r="AI1027">
        <v>0</v>
      </c>
      <c r="AJ1027">
        <v>1</v>
      </c>
      <c r="AK1027">
        <v>0.02</v>
      </c>
      <c r="AL1027">
        <v>16</v>
      </c>
      <c r="AM1027">
        <v>0</v>
      </c>
      <c r="AN1027">
        <v>0</v>
      </c>
      <c r="AO1027">
        <v>0</v>
      </c>
      <c r="AP1027">
        <v>1</v>
      </c>
      <c r="AQ1027">
        <v>0.01</v>
      </c>
      <c r="AX1027">
        <v>7</v>
      </c>
      <c r="AY1027" s="1">
        <v>20</v>
      </c>
      <c r="AZ1027">
        <v>0</v>
      </c>
      <c r="BA1027">
        <v>0</v>
      </c>
      <c r="BB1027">
        <v>1</v>
      </c>
      <c r="BC1027" s="7">
        <v>0.32</v>
      </c>
      <c r="BD1027">
        <v>30</v>
      </c>
      <c r="BE1027">
        <v>0</v>
      </c>
      <c r="BF1027">
        <v>0</v>
      </c>
      <c r="BG1027">
        <v>0</v>
      </c>
      <c r="BH1027">
        <v>5</v>
      </c>
      <c r="BI1027">
        <v>2.4</v>
      </c>
      <c r="BJ1027">
        <v>31</v>
      </c>
      <c r="BK1027">
        <v>0</v>
      </c>
      <c r="BL1027">
        <v>0</v>
      </c>
      <c r="BM1027">
        <v>0</v>
      </c>
      <c r="BN1027">
        <v>5</v>
      </c>
      <c r="BO1027">
        <v>2.4</v>
      </c>
      <c r="BP1027">
        <v>36</v>
      </c>
      <c r="BQ1027">
        <v>0</v>
      </c>
      <c r="BR1027">
        <v>0</v>
      </c>
      <c r="BS1027">
        <v>0</v>
      </c>
      <c r="BT1027">
        <v>5</v>
      </c>
      <c r="BU1027">
        <v>1.9</v>
      </c>
    </row>
    <row r="1028" spans="1:73" ht="14.25" x14ac:dyDescent="0.15">
      <c r="A1028" s="12">
        <v>20525</v>
      </c>
      <c r="B1028">
        <v>7</v>
      </c>
      <c r="C1028" s="1">
        <v>0</v>
      </c>
      <c r="D1028">
        <v>5</v>
      </c>
      <c r="E1028">
        <v>1</v>
      </c>
      <c r="F1028">
        <v>1</v>
      </c>
      <c r="G1028" s="7">
        <v>0.05</v>
      </c>
      <c r="H1028">
        <v>12</v>
      </c>
      <c r="I1028">
        <v>0</v>
      </c>
      <c r="J1028">
        <v>0</v>
      </c>
      <c r="K1028">
        <v>0</v>
      </c>
      <c r="L1028">
        <v>1</v>
      </c>
      <c r="M1028">
        <v>2</v>
      </c>
      <c r="N1028" s="7">
        <v>9</v>
      </c>
      <c r="O1028" s="7">
        <v>0</v>
      </c>
      <c r="P1028" s="7">
        <v>0</v>
      </c>
      <c r="Q1028" s="7">
        <v>0</v>
      </c>
      <c r="R1028" s="7">
        <v>1</v>
      </c>
      <c r="S1028" s="7">
        <v>4.5</v>
      </c>
      <c r="T1028">
        <v>7</v>
      </c>
      <c r="U1028" s="1">
        <v>0</v>
      </c>
      <c r="V1028">
        <v>4</v>
      </c>
      <c r="W1028">
        <v>2</v>
      </c>
      <c r="X1028">
        <v>1</v>
      </c>
      <c r="Y1028">
        <v>0.16</v>
      </c>
      <c r="Z1028">
        <v>23</v>
      </c>
      <c r="AA1028">
        <v>0</v>
      </c>
      <c r="AB1028">
        <v>0</v>
      </c>
      <c r="AC1028">
        <v>0</v>
      </c>
      <c r="AD1028">
        <v>1</v>
      </c>
      <c r="AE1028">
        <v>0.05</v>
      </c>
      <c r="AF1028">
        <v>15</v>
      </c>
      <c r="AG1028">
        <v>0</v>
      </c>
      <c r="AH1028">
        <v>0</v>
      </c>
      <c r="AI1028">
        <v>0</v>
      </c>
      <c r="AJ1028">
        <v>1</v>
      </c>
      <c r="AK1028">
        <v>0.02</v>
      </c>
      <c r="AL1028">
        <v>16</v>
      </c>
      <c r="AM1028">
        <v>0</v>
      </c>
      <c r="AN1028">
        <v>0</v>
      </c>
      <c r="AO1028">
        <v>0</v>
      </c>
      <c r="AP1028">
        <v>1</v>
      </c>
      <c r="AQ1028">
        <v>0.01</v>
      </c>
      <c r="AR1028">
        <v>6</v>
      </c>
      <c r="AS1028">
        <v>2</v>
      </c>
      <c r="AT1028">
        <v>5</v>
      </c>
      <c r="AU1028">
        <v>5</v>
      </c>
      <c r="AV1028">
        <v>1</v>
      </c>
      <c r="AW1028">
        <v>0.01</v>
      </c>
      <c r="AX1028">
        <v>7</v>
      </c>
      <c r="AY1028" s="1">
        <v>0</v>
      </c>
      <c r="AZ1028">
        <v>3</v>
      </c>
      <c r="BA1028">
        <v>1</v>
      </c>
      <c r="BB1028">
        <v>1</v>
      </c>
      <c r="BC1028" s="7">
        <v>0.32</v>
      </c>
      <c r="BD1028">
        <v>30</v>
      </c>
      <c r="BE1028">
        <v>0</v>
      </c>
      <c r="BF1028">
        <v>0</v>
      </c>
      <c r="BG1028">
        <v>0</v>
      </c>
      <c r="BH1028">
        <v>5</v>
      </c>
      <c r="BI1028">
        <v>2.4</v>
      </c>
      <c r="BJ1028">
        <v>31</v>
      </c>
      <c r="BK1028">
        <v>0</v>
      </c>
      <c r="BL1028">
        <v>0</v>
      </c>
      <c r="BM1028">
        <v>0</v>
      </c>
      <c r="BN1028">
        <v>5</v>
      </c>
      <c r="BO1028">
        <v>2.4</v>
      </c>
      <c r="BP1028">
        <v>36</v>
      </c>
      <c r="BQ1028">
        <v>0</v>
      </c>
      <c r="BR1028">
        <v>0</v>
      </c>
      <c r="BS1028">
        <v>0</v>
      </c>
      <c r="BT1028">
        <v>5</v>
      </c>
      <c r="BU1028">
        <v>1.9</v>
      </c>
    </row>
    <row r="1029" spans="1:73" ht="14.25" x14ac:dyDescent="0.15">
      <c r="A1029" s="12">
        <v>20526</v>
      </c>
      <c r="B1029">
        <v>7</v>
      </c>
      <c r="C1029" s="1">
        <v>45</v>
      </c>
      <c r="D1029">
        <v>0</v>
      </c>
      <c r="E1029">
        <v>0</v>
      </c>
      <c r="F1029">
        <v>1</v>
      </c>
      <c r="G1029" s="7">
        <v>0.05</v>
      </c>
      <c r="H1029">
        <v>12</v>
      </c>
      <c r="I1029">
        <v>0</v>
      </c>
      <c r="J1029">
        <v>0</v>
      </c>
      <c r="K1029">
        <v>0</v>
      </c>
      <c r="L1029">
        <v>1</v>
      </c>
      <c r="M1029">
        <v>2</v>
      </c>
      <c r="N1029" s="7">
        <v>9</v>
      </c>
      <c r="O1029" s="7">
        <v>0</v>
      </c>
      <c r="P1029" s="7">
        <v>0</v>
      </c>
      <c r="Q1029" s="7">
        <v>0</v>
      </c>
      <c r="R1029" s="7">
        <v>1</v>
      </c>
      <c r="S1029" s="7">
        <v>4.5</v>
      </c>
      <c r="T1029">
        <v>7</v>
      </c>
      <c r="U1029" s="1">
        <v>33</v>
      </c>
      <c r="V1029">
        <v>0</v>
      </c>
      <c r="W1029">
        <v>0</v>
      </c>
      <c r="X1029">
        <v>1</v>
      </c>
      <c r="Y1029">
        <v>0.16</v>
      </c>
      <c r="Z1029">
        <v>23</v>
      </c>
      <c r="AA1029">
        <v>0</v>
      </c>
      <c r="AB1029">
        <v>0</v>
      </c>
      <c r="AC1029">
        <v>0</v>
      </c>
      <c r="AD1029">
        <v>1</v>
      </c>
      <c r="AE1029">
        <v>0.05</v>
      </c>
      <c r="AF1029">
        <v>15</v>
      </c>
      <c r="AG1029">
        <v>0</v>
      </c>
      <c r="AH1029">
        <v>0</v>
      </c>
      <c r="AI1029">
        <v>0</v>
      </c>
      <c r="AJ1029">
        <v>1</v>
      </c>
      <c r="AK1029">
        <v>0.02</v>
      </c>
      <c r="AL1029">
        <v>16</v>
      </c>
      <c r="AM1029">
        <v>0</v>
      </c>
      <c r="AN1029">
        <v>0</v>
      </c>
      <c r="AO1029">
        <v>0</v>
      </c>
      <c r="AP1029">
        <v>1</v>
      </c>
      <c r="AQ1029">
        <v>0.01</v>
      </c>
      <c r="AX1029">
        <v>7</v>
      </c>
      <c r="AY1029" s="1">
        <v>17</v>
      </c>
      <c r="AZ1029">
        <v>0</v>
      </c>
      <c r="BA1029">
        <v>0</v>
      </c>
      <c r="BB1029">
        <v>1</v>
      </c>
      <c r="BC1029" s="7">
        <v>0.32</v>
      </c>
      <c r="BD1029">
        <v>30</v>
      </c>
      <c r="BE1029">
        <v>0</v>
      </c>
      <c r="BF1029">
        <v>0</v>
      </c>
      <c r="BG1029">
        <v>0</v>
      </c>
      <c r="BH1029">
        <v>5</v>
      </c>
      <c r="BI1029">
        <v>2.4</v>
      </c>
      <c r="BJ1029">
        <v>31</v>
      </c>
      <c r="BK1029">
        <v>0</v>
      </c>
      <c r="BL1029">
        <v>0</v>
      </c>
      <c r="BM1029">
        <v>0</v>
      </c>
      <c r="BN1029">
        <v>5</v>
      </c>
      <c r="BO1029">
        <v>2.4</v>
      </c>
      <c r="BP1029">
        <v>36</v>
      </c>
      <c r="BQ1029">
        <v>0</v>
      </c>
      <c r="BR1029">
        <v>0</v>
      </c>
      <c r="BS1029">
        <v>0</v>
      </c>
      <c r="BT1029">
        <v>5</v>
      </c>
      <c r="BU1029">
        <v>1.9</v>
      </c>
    </row>
    <row r="1030" spans="1:73" ht="14.25" x14ac:dyDescent="0.15">
      <c r="A1030" s="12">
        <v>20527</v>
      </c>
      <c r="B1030">
        <v>7</v>
      </c>
      <c r="C1030" s="1">
        <v>46</v>
      </c>
      <c r="D1030">
        <v>0</v>
      </c>
      <c r="E1030">
        <v>0</v>
      </c>
      <c r="F1030">
        <v>1</v>
      </c>
      <c r="G1030" s="7">
        <v>0.05</v>
      </c>
      <c r="H1030">
        <v>12</v>
      </c>
      <c r="I1030">
        <v>0</v>
      </c>
      <c r="J1030">
        <v>0</v>
      </c>
      <c r="K1030">
        <v>0</v>
      </c>
      <c r="L1030">
        <v>1</v>
      </c>
      <c r="M1030">
        <v>2</v>
      </c>
      <c r="N1030" s="7">
        <v>9</v>
      </c>
      <c r="O1030" s="7">
        <v>0</v>
      </c>
      <c r="P1030" s="7">
        <v>0</v>
      </c>
      <c r="Q1030" s="7">
        <v>0</v>
      </c>
      <c r="R1030" s="7">
        <v>1</v>
      </c>
      <c r="S1030" s="7">
        <v>4.5</v>
      </c>
      <c r="T1030">
        <v>7</v>
      </c>
      <c r="U1030" s="1">
        <v>34</v>
      </c>
      <c r="V1030">
        <v>0</v>
      </c>
      <c r="W1030">
        <v>0</v>
      </c>
      <c r="X1030">
        <v>1</v>
      </c>
      <c r="Y1030">
        <v>0.16</v>
      </c>
      <c r="Z1030">
        <v>23</v>
      </c>
      <c r="AA1030">
        <v>0</v>
      </c>
      <c r="AB1030">
        <v>0</v>
      </c>
      <c r="AC1030">
        <v>0</v>
      </c>
      <c r="AD1030">
        <v>1</v>
      </c>
      <c r="AE1030">
        <v>0.05</v>
      </c>
      <c r="AF1030">
        <v>15</v>
      </c>
      <c r="AG1030">
        <v>0</v>
      </c>
      <c r="AH1030">
        <v>0</v>
      </c>
      <c r="AI1030">
        <v>0</v>
      </c>
      <c r="AJ1030">
        <v>1</v>
      </c>
      <c r="AK1030">
        <v>0.02</v>
      </c>
      <c r="AL1030">
        <v>16</v>
      </c>
      <c r="AM1030">
        <v>0</v>
      </c>
      <c r="AN1030">
        <v>0</v>
      </c>
      <c r="AO1030">
        <v>0</v>
      </c>
      <c r="AP1030">
        <v>1</v>
      </c>
      <c r="AQ1030">
        <v>0.01</v>
      </c>
      <c r="AX1030">
        <v>7</v>
      </c>
      <c r="AY1030" s="1">
        <v>18</v>
      </c>
      <c r="AZ1030">
        <v>0</v>
      </c>
      <c r="BA1030">
        <v>0</v>
      </c>
      <c r="BB1030">
        <v>1</v>
      </c>
      <c r="BC1030" s="7">
        <v>0.32</v>
      </c>
      <c r="BD1030">
        <v>30</v>
      </c>
      <c r="BE1030">
        <v>0</v>
      </c>
      <c r="BF1030">
        <v>0</v>
      </c>
      <c r="BG1030">
        <v>0</v>
      </c>
      <c r="BH1030">
        <v>5</v>
      </c>
      <c r="BI1030">
        <v>2.4</v>
      </c>
      <c r="BJ1030">
        <v>31</v>
      </c>
      <c r="BK1030">
        <v>0</v>
      </c>
      <c r="BL1030">
        <v>0</v>
      </c>
      <c r="BM1030">
        <v>0</v>
      </c>
      <c r="BN1030">
        <v>5</v>
      </c>
      <c r="BO1030">
        <v>2.4</v>
      </c>
      <c r="BP1030">
        <v>36</v>
      </c>
      <c r="BQ1030">
        <v>0</v>
      </c>
      <c r="BR1030">
        <v>0</v>
      </c>
      <c r="BS1030">
        <v>0</v>
      </c>
      <c r="BT1030">
        <v>5</v>
      </c>
      <c r="BU1030">
        <v>1.9</v>
      </c>
    </row>
    <row r="1031" spans="1:73" ht="14.25" x14ac:dyDescent="0.15">
      <c r="A1031" s="12">
        <v>20528</v>
      </c>
      <c r="B1031">
        <v>7</v>
      </c>
      <c r="C1031" s="1">
        <v>47</v>
      </c>
      <c r="D1031">
        <v>0</v>
      </c>
      <c r="E1031">
        <v>0</v>
      </c>
      <c r="F1031">
        <v>1</v>
      </c>
      <c r="G1031" s="7">
        <v>0.05</v>
      </c>
      <c r="H1031">
        <v>12</v>
      </c>
      <c r="I1031">
        <v>0</v>
      </c>
      <c r="J1031">
        <v>0</v>
      </c>
      <c r="K1031">
        <v>0</v>
      </c>
      <c r="L1031">
        <v>1</v>
      </c>
      <c r="M1031">
        <v>2</v>
      </c>
      <c r="N1031" s="7">
        <v>9</v>
      </c>
      <c r="O1031" s="7">
        <v>0</v>
      </c>
      <c r="P1031" s="7">
        <v>0</v>
      </c>
      <c r="Q1031" s="7">
        <v>0</v>
      </c>
      <c r="R1031" s="7">
        <v>1</v>
      </c>
      <c r="S1031" s="7">
        <v>4.5</v>
      </c>
      <c r="T1031">
        <v>7</v>
      </c>
      <c r="U1031" s="1">
        <v>35</v>
      </c>
      <c r="V1031">
        <v>0</v>
      </c>
      <c r="W1031">
        <v>0</v>
      </c>
      <c r="X1031">
        <v>1</v>
      </c>
      <c r="Y1031">
        <v>0.16</v>
      </c>
      <c r="Z1031">
        <v>23</v>
      </c>
      <c r="AA1031">
        <v>0</v>
      </c>
      <c r="AB1031">
        <v>0</v>
      </c>
      <c r="AC1031">
        <v>0</v>
      </c>
      <c r="AD1031">
        <v>1</v>
      </c>
      <c r="AE1031">
        <v>0.05</v>
      </c>
      <c r="AF1031">
        <v>15</v>
      </c>
      <c r="AG1031">
        <v>0</v>
      </c>
      <c r="AH1031">
        <v>0</v>
      </c>
      <c r="AI1031">
        <v>0</v>
      </c>
      <c r="AJ1031">
        <v>1</v>
      </c>
      <c r="AK1031">
        <v>0.02</v>
      </c>
      <c r="AL1031">
        <v>16</v>
      </c>
      <c r="AM1031">
        <v>0</v>
      </c>
      <c r="AN1031">
        <v>0</v>
      </c>
      <c r="AO1031">
        <v>0</v>
      </c>
      <c r="AP1031">
        <v>1</v>
      </c>
      <c r="AQ1031">
        <v>0.01</v>
      </c>
      <c r="AX1031">
        <v>7</v>
      </c>
      <c r="AY1031" s="1">
        <v>19</v>
      </c>
      <c r="AZ1031">
        <v>0</v>
      </c>
      <c r="BA1031">
        <v>0</v>
      </c>
      <c r="BB1031">
        <v>1</v>
      </c>
      <c r="BC1031" s="7">
        <v>0.32</v>
      </c>
      <c r="BD1031">
        <v>30</v>
      </c>
      <c r="BE1031">
        <v>0</v>
      </c>
      <c r="BF1031">
        <v>0</v>
      </c>
      <c r="BG1031">
        <v>0</v>
      </c>
      <c r="BH1031">
        <v>5</v>
      </c>
      <c r="BI1031">
        <v>2.4</v>
      </c>
      <c r="BJ1031">
        <v>31</v>
      </c>
      <c r="BK1031">
        <v>0</v>
      </c>
      <c r="BL1031">
        <v>0</v>
      </c>
      <c r="BM1031">
        <v>0</v>
      </c>
      <c r="BN1031">
        <v>5</v>
      </c>
      <c r="BO1031">
        <v>2.4</v>
      </c>
      <c r="BP1031">
        <v>36</v>
      </c>
      <c r="BQ1031">
        <v>0</v>
      </c>
      <c r="BR1031">
        <v>0</v>
      </c>
      <c r="BS1031">
        <v>0</v>
      </c>
      <c r="BT1031">
        <v>5</v>
      </c>
      <c r="BU1031">
        <v>1.9</v>
      </c>
    </row>
    <row r="1032" spans="1:73" ht="14.25" x14ac:dyDescent="0.15">
      <c r="A1032" s="12">
        <v>20529</v>
      </c>
      <c r="B1032">
        <v>7</v>
      </c>
      <c r="C1032" s="1">
        <v>48</v>
      </c>
      <c r="D1032">
        <v>0</v>
      </c>
      <c r="E1032">
        <v>0</v>
      </c>
      <c r="F1032">
        <v>1</v>
      </c>
      <c r="G1032" s="7">
        <v>0.05</v>
      </c>
      <c r="H1032">
        <v>12</v>
      </c>
      <c r="I1032">
        <v>0</v>
      </c>
      <c r="J1032">
        <v>0</v>
      </c>
      <c r="K1032">
        <v>0</v>
      </c>
      <c r="L1032">
        <v>1</v>
      </c>
      <c r="M1032">
        <v>2</v>
      </c>
      <c r="N1032" s="7">
        <v>9</v>
      </c>
      <c r="O1032" s="7">
        <v>0</v>
      </c>
      <c r="P1032" s="7">
        <v>0</v>
      </c>
      <c r="Q1032" s="7">
        <v>0</v>
      </c>
      <c r="R1032" s="7">
        <v>1</v>
      </c>
      <c r="S1032" s="7">
        <v>4.5</v>
      </c>
      <c r="T1032">
        <v>7</v>
      </c>
      <c r="U1032" s="1">
        <v>36</v>
      </c>
      <c r="V1032">
        <v>0</v>
      </c>
      <c r="W1032">
        <v>0</v>
      </c>
      <c r="X1032">
        <v>1</v>
      </c>
      <c r="Y1032">
        <v>0.16</v>
      </c>
      <c r="Z1032">
        <v>23</v>
      </c>
      <c r="AA1032">
        <v>0</v>
      </c>
      <c r="AB1032">
        <v>0</v>
      </c>
      <c r="AC1032">
        <v>0</v>
      </c>
      <c r="AD1032">
        <v>1</v>
      </c>
      <c r="AE1032">
        <v>0.05</v>
      </c>
      <c r="AF1032">
        <v>15</v>
      </c>
      <c r="AG1032">
        <v>0</v>
      </c>
      <c r="AH1032">
        <v>0</v>
      </c>
      <c r="AI1032">
        <v>0</v>
      </c>
      <c r="AJ1032">
        <v>1</v>
      </c>
      <c r="AK1032">
        <v>0.02</v>
      </c>
      <c r="AL1032">
        <v>16</v>
      </c>
      <c r="AM1032">
        <v>0</v>
      </c>
      <c r="AN1032">
        <v>0</v>
      </c>
      <c r="AO1032">
        <v>0</v>
      </c>
      <c r="AP1032">
        <v>1</v>
      </c>
      <c r="AQ1032">
        <v>0.01</v>
      </c>
      <c r="AX1032">
        <v>7</v>
      </c>
      <c r="AY1032" s="1">
        <v>20</v>
      </c>
      <c r="AZ1032">
        <v>0</v>
      </c>
      <c r="BA1032">
        <v>0</v>
      </c>
      <c r="BB1032">
        <v>1</v>
      </c>
      <c r="BC1032" s="7">
        <v>0.32</v>
      </c>
      <c r="BD1032">
        <v>30</v>
      </c>
      <c r="BE1032">
        <v>0</v>
      </c>
      <c r="BF1032">
        <v>0</v>
      </c>
      <c r="BG1032">
        <v>0</v>
      </c>
      <c r="BH1032">
        <v>5</v>
      </c>
      <c r="BI1032">
        <v>2.4</v>
      </c>
      <c r="BJ1032">
        <v>31</v>
      </c>
      <c r="BK1032">
        <v>0</v>
      </c>
      <c r="BL1032">
        <v>0</v>
      </c>
      <c r="BM1032">
        <v>0</v>
      </c>
      <c r="BN1032">
        <v>5</v>
      </c>
      <c r="BO1032">
        <v>2.4</v>
      </c>
      <c r="BP1032">
        <v>36</v>
      </c>
      <c r="BQ1032">
        <v>0</v>
      </c>
      <c r="BR1032">
        <v>0</v>
      </c>
      <c r="BS1032">
        <v>0</v>
      </c>
      <c r="BT1032">
        <v>5</v>
      </c>
      <c r="BU1032">
        <v>1.9</v>
      </c>
    </row>
    <row r="1033" spans="1:73" ht="14.25" x14ac:dyDescent="0.15">
      <c r="A1033" s="12">
        <v>20530</v>
      </c>
      <c r="B1033">
        <v>7</v>
      </c>
      <c r="C1033" s="1">
        <v>0</v>
      </c>
      <c r="D1033">
        <v>5</v>
      </c>
      <c r="E1033">
        <v>1</v>
      </c>
      <c r="F1033">
        <v>1</v>
      </c>
      <c r="G1033" s="7">
        <v>0.05</v>
      </c>
      <c r="H1033">
        <v>12</v>
      </c>
      <c r="I1033">
        <v>0</v>
      </c>
      <c r="J1033">
        <v>0</v>
      </c>
      <c r="K1033">
        <v>0</v>
      </c>
      <c r="L1033">
        <v>1</v>
      </c>
      <c r="M1033">
        <v>2</v>
      </c>
      <c r="N1033" s="7">
        <v>9</v>
      </c>
      <c r="O1033" s="7">
        <v>0</v>
      </c>
      <c r="P1033" s="7">
        <v>0</v>
      </c>
      <c r="Q1033" s="7">
        <v>0</v>
      </c>
      <c r="R1033" s="7">
        <v>1</v>
      </c>
      <c r="S1033" s="7">
        <v>4.5</v>
      </c>
      <c r="T1033">
        <v>7</v>
      </c>
      <c r="U1033" s="1">
        <v>0</v>
      </c>
      <c r="V1033">
        <v>4</v>
      </c>
      <c r="W1033">
        <v>2</v>
      </c>
      <c r="X1033">
        <v>1</v>
      </c>
      <c r="Y1033">
        <v>0.16</v>
      </c>
      <c r="Z1033">
        <v>23</v>
      </c>
      <c r="AA1033">
        <v>0</v>
      </c>
      <c r="AB1033">
        <v>0</v>
      </c>
      <c r="AC1033">
        <v>0</v>
      </c>
      <c r="AD1033">
        <v>1</v>
      </c>
      <c r="AE1033">
        <v>0.05</v>
      </c>
      <c r="AF1033">
        <v>15</v>
      </c>
      <c r="AG1033">
        <v>0</v>
      </c>
      <c r="AH1033">
        <v>0</v>
      </c>
      <c r="AI1033">
        <v>0</v>
      </c>
      <c r="AJ1033">
        <v>1</v>
      </c>
      <c r="AK1033">
        <v>0.02</v>
      </c>
      <c r="AL1033">
        <v>16</v>
      </c>
      <c r="AM1033">
        <v>0</v>
      </c>
      <c r="AN1033">
        <v>0</v>
      </c>
      <c r="AO1033">
        <v>0</v>
      </c>
      <c r="AP1033">
        <v>1</v>
      </c>
      <c r="AQ1033">
        <v>0.01</v>
      </c>
      <c r="AR1033">
        <v>6</v>
      </c>
      <c r="AS1033">
        <v>2</v>
      </c>
      <c r="AT1033">
        <v>1</v>
      </c>
      <c r="AU1033">
        <v>5</v>
      </c>
      <c r="AV1033">
        <v>1</v>
      </c>
      <c r="AW1033">
        <v>0.05</v>
      </c>
      <c r="AX1033">
        <v>7</v>
      </c>
      <c r="AY1033" s="1">
        <v>0</v>
      </c>
      <c r="AZ1033">
        <v>3</v>
      </c>
      <c r="BA1033">
        <v>1</v>
      </c>
      <c r="BB1033">
        <v>1</v>
      </c>
      <c r="BC1033" s="7">
        <v>0.32</v>
      </c>
      <c r="BD1033">
        <v>30</v>
      </c>
      <c r="BE1033">
        <v>0</v>
      </c>
      <c r="BF1033">
        <v>0</v>
      </c>
      <c r="BG1033">
        <v>0</v>
      </c>
      <c r="BH1033">
        <v>5</v>
      </c>
      <c r="BI1033">
        <v>2.4</v>
      </c>
      <c r="BJ1033">
        <v>31</v>
      </c>
      <c r="BK1033">
        <v>0</v>
      </c>
      <c r="BL1033">
        <v>0</v>
      </c>
      <c r="BM1033">
        <v>0</v>
      </c>
      <c r="BN1033">
        <v>5</v>
      </c>
      <c r="BO1033">
        <v>2.4</v>
      </c>
      <c r="BP1033">
        <v>36</v>
      </c>
      <c r="BQ1033">
        <v>0</v>
      </c>
      <c r="BR1033">
        <v>0</v>
      </c>
      <c r="BS1033">
        <v>0</v>
      </c>
      <c r="BT1033">
        <v>5</v>
      </c>
      <c r="BU1033">
        <v>1.9</v>
      </c>
    </row>
    <row r="1034" spans="1:73" ht="14.25" x14ac:dyDescent="0.15">
      <c r="A1034" s="12">
        <v>20531</v>
      </c>
      <c r="B1034">
        <v>7</v>
      </c>
      <c r="C1034" s="1">
        <v>45</v>
      </c>
      <c r="D1034">
        <v>0</v>
      </c>
      <c r="E1034">
        <v>0</v>
      </c>
      <c r="F1034">
        <v>1</v>
      </c>
      <c r="G1034" s="7">
        <v>0.05</v>
      </c>
      <c r="H1034">
        <v>12</v>
      </c>
      <c r="I1034">
        <v>0</v>
      </c>
      <c r="J1034">
        <v>0</v>
      </c>
      <c r="K1034">
        <v>0</v>
      </c>
      <c r="L1034">
        <v>1</v>
      </c>
      <c r="M1034">
        <v>2</v>
      </c>
      <c r="N1034" s="7">
        <v>9</v>
      </c>
      <c r="O1034" s="7">
        <v>0</v>
      </c>
      <c r="P1034" s="7">
        <v>0</v>
      </c>
      <c r="Q1034" s="7">
        <v>0</v>
      </c>
      <c r="R1034" s="7">
        <v>1</v>
      </c>
      <c r="S1034" s="7">
        <v>4.5</v>
      </c>
      <c r="T1034">
        <v>7</v>
      </c>
      <c r="U1034" s="1">
        <v>33</v>
      </c>
      <c r="V1034">
        <v>0</v>
      </c>
      <c r="W1034">
        <v>0</v>
      </c>
      <c r="X1034">
        <v>1</v>
      </c>
      <c r="Y1034">
        <v>0.16</v>
      </c>
      <c r="Z1034">
        <v>23</v>
      </c>
      <c r="AA1034">
        <v>0</v>
      </c>
      <c r="AB1034">
        <v>0</v>
      </c>
      <c r="AC1034">
        <v>0</v>
      </c>
      <c r="AD1034">
        <v>1</v>
      </c>
      <c r="AE1034">
        <v>0.05</v>
      </c>
      <c r="AF1034">
        <v>15</v>
      </c>
      <c r="AG1034">
        <v>0</v>
      </c>
      <c r="AH1034">
        <v>0</v>
      </c>
      <c r="AI1034">
        <v>0</v>
      </c>
      <c r="AJ1034">
        <v>1</v>
      </c>
      <c r="AK1034">
        <v>0.02</v>
      </c>
      <c r="AL1034">
        <v>16</v>
      </c>
      <c r="AM1034">
        <v>0</v>
      </c>
      <c r="AN1034">
        <v>0</v>
      </c>
      <c r="AO1034">
        <v>0</v>
      </c>
      <c r="AP1034">
        <v>1</v>
      </c>
      <c r="AQ1034">
        <v>0.01</v>
      </c>
      <c r="AX1034">
        <v>7</v>
      </c>
      <c r="AY1034" s="1">
        <v>17</v>
      </c>
      <c r="AZ1034">
        <v>0</v>
      </c>
      <c r="BA1034">
        <v>0</v>
      </c>
      <c r="BB1034">
        <v>1</v>
      </c>
      <c r="BC1034" s="7">
        <v>0.32</v>
      </c>
      <c r="BD1034">
        <v>30</v>
      </c>
      <c r="BE1034">
        <v>0</v>
      </c>
      <c r="BF1034">
        <v>0</v>
      </c>
      <c r="BG1034">
        <v>0</v>
      </c>
      <c r="BH1034">
        <v>5</v>
      </c>
      <c r="BI1034">
        <v>2.4</v>
      </c>
      <c r="BJ1034">
        <v>31</v>
      </c>
      <c r="BK1034">
        <v>0</v>
      </c>
      <c r="BL1034">
        <v>0</v>
      </c>
      <c r="BM1034">
        <v>0</v>
      </c>
      <c r="BN1034">
        <v>5</v>
      </c>
      <c r="BO1034">
        <v>2.4</v>
      </c>
      <c r="BP1034">
        <v>36</v>
      </c>
      <c r="BQ1034">
        <v>0</v>
      </c>
      <c r="BR1034">
        <v>0</v>
      </c>
      <c r="BS1034">
        <v>0</v>
      </c>
      <c r="BT1034">
        <v>5</v>
      </c>
      <c r="BU1034">
        <v>1.9</v>
      </c>
    </row>
    <row r="1035" spans="1:73" ht="14.25" x14ac:dyDescent="0.15">
      <c r="A1035" s="12">
        <v>20532</v>
      </c>
      <c r="B1035">
        <v>7</v>
      </c>
      <c r="C1035" s="1">
        <v>46</v>
      </c>
      <c r="D1035">
        <v>0</v>
      </c>
      <c r="E1035">
        <v>0</v>
      </c>
      <c r="F1035">
        <v>1</v>
      </c>
      <c r="G1035" s="7">
        <v>0.05</v>
      </c>
      <c r="H1035">
        <v>12</v>
      </c>
      <c r="I1035">
        <v>0</v>
      </c>
      <c r="J1035">
        <v>0</v>
      </c>
      <c r="K1035">
        <v>0</v>
      </c>
      <c r="L1035">
        <v>1</v>
      </c>
      <c r="M1035">
        <v>2</v>
      </c>
      <c r="N1035" s="7">
        <v>9</v>
      </c>
      <c r="O1035" s="7">
        <v>0</v>
      </c>
      <c r="P1035" s="7">
        <v>0</v>
      </c>
      <c r="Q1035" s="7">
        <v>0</v>
      </c>
      <c r="R1035" s="7">
        <v>1</v>
      </c>
      <c r="S1035" s="7">
        <v>4.5</v>
      </c>
      <c r="T1035">
        <v>7</v>
      </c>
      <c r="U1035" s="1">
        <v>34</v>
      </c>
      <c r="V1035">
        <v>0</v>
      </c>
      <c r="W1035">
        <v>0</v>
      </c>
      <c r="X1035">
        <v>1</v>
      </c>
      <c r="Y1035">
        <v>0.16</v>
      </c>
      <c r="Z1035">
        <v>23</v>
      </c>
      <c r="AA1035">
        <v>0</v>
      </c>
      <c r="AB1035">
        <v>0</v>
      </c>
      <c r="AC1035">
        <v>0</v>
      </c>
      <c r="AD1035">
        <v>1</v>
      </c>
      <c r="AE1035">
        <v>0.05</v>
      </c>
      <c r="AF1035">
        <v>15</v>
      </c>
      <c r="AG1035">
        <v>0</v>
      </c>
      <c r="AH1035">
        <v>0</v>
      </c>
      <c r="AI1035">
        <v>0</v>
      </c>
      <c r="AJ1035">
        <v>1</v>
      </c>
      <c r="AK1035">
        <v>0.02</v>
      </c>
      <c r="AL1035">
        <v>16</v>
      </c>
      <c r="AM1035">
        <v>0</v>
      </c>
      <c r="AN1035">
        <v>0</v>
      </c>
      <c r="AO1035">
        <v>0</v>
      </c>
      <c r="AP1035">
        <v>1</v>
      </c>
      <c r="AQ1035">
        <v>0.01</v>
      </c>
      <c r="AX1035">
        <v>7</v>
      </c>
      <c r="AY1035" s="1">
        <v>18</v>
      </c>
      <c r="AZ1035">
        <v>0</v>
      </c>
      <c r="BA1035">
        <v>0</v>
      </c>
      <c r="BB1035">
        <v>1</v>
      </c>
      <c r="BC1035" s="7">
        <v>0.32</v>
      </c>
      <c r="BD1035">
        <v>30</v>
      </c>
      <c r="BE1035">
        <v>0</v>
      </c>
      <c r="BF1035">
        <v>0</v>
      </c>
      <c r="BG1035">
        <v>0</v>
      </c>
      <c r="BH1035">
        <v>5</v>
      </c>
      <c r="BI1035">
        <v>2.4</v>
      </c>
      <c r="BJ1035">
        <v>31</v>
      </c>
      <c r="BK1035">
        <v>0</v>
      </c>
      <c r="BL1035">
        <v>0</v>
      </c>
      <c r="BM1035">
        <v>0</v>
      </c>
      <c r="BN1035">
        <v>5</v>
      </c>
      <c r="BO1035">
        <v>2.4</v>
      </c>
      <c r="BP1035">
        <v>36</v>
      </c>
      <c r="BQ1035">
        <v>0</v>
      </c>
      <c r="BR1035">
        <v>0</v>
      </c>
      <c r="BS1035">
        <v>0</v>
      </c>
      <c r="BT1035">
        <v>5</v>
      </c>
      <c r="BU1035">
        <v>1.9</v>
      </c>
    </row>
    <row r="1036" spans="1:73" ht="14.25" x14ac:dyDescent="0.15">
      <c r="A1036" s="12">
        <v>20533</v>
      </c>
      <c r="B1036">
        <v>7</v>
      </c>
      <c r="C1036" s="1">
        <v>47</v>
      </c>
      <c r="D1036">
        <v>0</v>
      </c>
      <c r="E1036">
        <v>0</v>
      </c>
      <c r="F1036">
        <v>1</v>
      </c>
      <c r="G1036" s="7">
        <v>0.05</v>
      </c>
      <c r="H1036">
        <v>12</v>
      </c>
      <c r="I1036">
        <v>0</v>
      </c>
      <c r="J1036">
        <v>0</v>
      </c>
      <c r="K1036">
        <v>0</v>
      </c>
      <c r="L1036">
        <v>1</v>
      </c>
      <c r="M1036">
        <v>2</v>
      </c>
      <c r="N1036" s="7">
        <v>9</v>
      </c>
      <c r="O1036" s="7">
        <v>0</v>
      </c>
      <c r="P1036" s="7">
        <v>0</v>
      </c>
      <c r="Q1036" s="7">
        <v>0</v>
      </c>
      <c r="R1036" s="7">
        <v>1</v>
      </c>
      <c r="S1036" s="7">
        <v>4.5</v>
      </c>
      <c r="T1036">
        <v>7</v>
      </c>
      <c r="U1036" s="1">
        <v>35</v>
      </c>
      <c r="V1036">
        <v>0</v>
      </c>
      <c r="W1036">
        <v>0</v>
      </c>
      <c r="X1036">
        <v>1</v>
      </c>
      <c r="Y1036">
        <v>0.16</v>
      </c>
      <c r="Z1036">
        <v>23</v>
      </c>
      <c r="AA1036">
        <v>0</v>
      </c>
      <c r="AB1036">
        <v>0</v>
      </c>
      <c r="AC1036">
        <v>0</v>
      </c>
      <c r="AD1036">
        <v>1</v>
      </c>
      <c r="AE1036">
        <v>0.05</v>
      </c>
      <c r="AF1036">
        <v>15</v>
      </c>
      <c r="AG1036">
        <v>0</v>
      </c>
      <c r="AH1036">
        <v>0</v>
      </c>
      <c r="AI1036">
        <v>0</v>
      </c>
      <c r="AJ1036">
        <v>1</v>
      </c>
      <c r="AK1036">
        <v>0.02</v>
      </c>
      <c r="AL1036">
        <v>16</v>
      </c>
      <c r="AM1036">
        <v>0</v>
      </c>
      <c r="AN1036">
        <v>0</v>
      </c>
      <c r="AO1036">
        <v>0</v>
      </c>
      <c r="AP1036">
        <v>1</v>
      </c>
      <c r="AQ1036">
        <v>0.01</v>
      </c>
      <c r="AX1036">
        <v>7</v>
      </c>
      <c r="AY1036" s="1">
        <v>19</v>
      </c>
      <c r="AZ1036">
        <v>0</v>
      </c>
      <c r="BA1036">
        <v>0</v>
      </c>
      <c r="BB1036">
        <v>1</v>
      </c>
      <c r="BC1036" s="7">
        <v>0.32</v>
      </c>
      <c r="BD1036">
        <v>30</v>
      </c>
      <c r="BE1036">
        <v>0</v>
      </c>
      <c r="BF1036">
        <v>0</v>
      </c>
      <c r="BG1036">
        <v>0</v>
      </c>
      <c r="BH1036">
        <v>5</v>
      </c>
      <c r="BI1036">
        <v>2.4</v>
      </c>
      <c r="BJ1036">
        <v>31</v>
      </c>
      <c r="BK1036">
        <v>0</v>
      </c>
      <c r="BL1036">
        <v>0</v>
      </c>
      <c r="BM1036">
        <v>0</v>
      </c>
      <c r="BN1036">
        <v>5</v>
      </c>
      <c r="BO1036">
        <v>2.4</v>
      </c>
      <c r="BP1036">
        <v>36</v>
      </c>
      <c r="BQ1036">
        <v>0</v>
      </c>
      <c r="BR1036">
        <v>0</v>
      </c>
      <c r="BS1036">
        <v>0</v>
      </c>
      <c r="BT1036">
        <v>5</v>
      </c>
      <c r="BU1036">
        <v>1.9</v>
      </c>
    </row>
    <row r="1037" spans="1:73" ht="14.25" x14ac:dyDescent="0.15">
      <c r="A1037" s="12">
        <v>20534</v>
      </c>
      <c r="B1037">
        <v>7</v>
      </c>
      <c r="C1037" s="1">
        <v>48</v>
      </c>
      <c r="D1037">
        <v>0</v>
      </c>
      <c r="E1037">
        <v>0</v>
      </c>
      <c r="F1037">
        <v>1</v>
      </c>
      <c r="G1037" s="7">
        <v>0.05</v>
      </c>
      <c r="H1037">
        <v>12</v>
      </c>
      <c r="I1037">
        <v>0</v>
      </c>
      <c r="J1037">
        <v>0</v>
      </c>
      <c r="K1037">
        <v>0</v>
      </c>
      <c r="L1037">
        <v>1</v>
      </c>
      <c r="M1037">
        <v>2</v>
      </c>
      <c r="N1037" s="7">
        <v>9</v>
      </c>
      <c r="O1037" s="7">
        <v>0</v>
      </c>
      <c r="P1037" s="7">
        <v>0</v>
      </c>
      <c r="Q1037" s="7">
        <v>0</v>
      </c>
      <c r="R1037" s="7">
        <v>1</v>
      </c>
      <c r="S1037" s="7">
        <v>4.5</v>
      </c>
      <c r="T1037">
        <v>7</v>
      </c>
      <c r="U1037" s="1">
        <v>36</v>
      </c>
      <c r="V1037">
        <v>0</v>
      </c>
      <c r="W1037">
        <v>0</v>
      </c>
      <c r="X1037">
        <v>1</v>
      </c>
      <c r="Y1037">
        <v>0.16</v>
      </c>
      <c r="Z1037">
        <v>23</v>
      </c>
      <c r="AA1037">
        <v>0</v>
      </c>
      <c r="AB1037">
        <v>0</v>
      </c>
      <c r="AC1037">
        <v>0</v>
      </c>
      <c r="AD1037">
        <v>1</v>
      </c>
      <c r="AE1037">
        <v>0.05</v>
      </c>
      <c r="AF1037">
        <v>15</v>
      </c>
      <c r="AG1037">
        <v>0</v>
      </c>
      <c r="AH1037">
        <v>0</v>
      </c>
      <c r="AI1037">
        <v>0</v>
      </c>
      <c r="AJ1037">
        <v>1</v>
      </c>
      <c r="AK1037">
        <v>0.02</v>
      </c>
      <c r="AL1037">
        <v>16</v>
      </c>
      <c r="AM1037">
        <v>0</v>
      </c>
      <c r="AN1037">
        <v>0</v>
      </c>
      <c r="AO1037">
        <v>0</v>
      </c>
      <c r="AP1037">
        <v>1</v>
      </c>
      <c r="AQ1037">
        <v>0.01</v>
      </c>
      <c r="AX1037">
        <v>7</v>
      </c>
      <c r="AY1037" s="1">
        <v>20</v>
      </c>
      <c r="AZ1037">
        <v>0</v>
      </c>
      <c r="BA1037">
        <v>0</v>
      </c>
      <c r="BB1037">
        <v>1</v>
      </c>
      <c r="BC1037" s="7">
        <v>0.32</v>
      </c>
      <c r="BD1037">
        <v>30</v>
      </c>
      <c r="BE1037">
        <v>0</v>
      </c>
      <c r="BF1037">
        <v>0</v>
      </c>
      <c r="BG1037">
        <v>0</v>
      </c>
      <c r="BH1037">
        <v>5</v>
      </c>
      <c r="BI1037">
        <v>2.4</v>
      </c>
      <c r="BJ1037">
        <v>31</v>
      </c>
      <c r="BK1037">
        <v>0</v>
      </c>
      <c r="BL1037">
        <v>0</v>
      </c>
      <c r="BM1037">
        <v>0</v>
      </c>
      <c r="BN1037">
        <v>5</v>
      </c>
      <c r="BO1037">
        <v>2.4</v>
      </c>
      <c r="BP1037">
        <v>36</v>
      </c>
      <c r="BQ1037">
        <v>0</v>
      </c>
      <c r="BR1037">
        <v>0</v>
      </c>
      <c r="BS1037">
        <v>0</v>
      </c>
      <c r="BT1037">
        <v>5</v>
      </c>
      <c r="BU1037">
        <v>1.9</v>
      </c>
    </row>
    <row r="1038" spans="1:73" ht="14.25" x14ac:dyDescent="0.15">
      <c r="A1038" s="12">
        <v>20535</v>
      </c>
      <c r="B1038">
        <v>7</v>
      </c>
      <c r="C1038" s="1">
        <v>0</v>
      </c>
      <c r="D1038">
        <v>5</v>
      </c>
      <c r="E1038">
        <v>1</v>
      </c>
      <c r="F1038">
        <v>1</v>
      </c>
      <c r="G1038" s="7">
        <v>0.05</v>
      </c>
      <c r="H1038">
        <v>12</v>
      </c>
      <c r="I1038">
        <v>0</v>
      </c>
      <c r="J1038">
        <v>0</v>
      </c>
      <c r="K1038">
        <v>0</v>
      </c>
      <c r="L1038">
        <v>1</v>
      </c>
      <c r="M1038">
        <v>2</v>
      </c>
      <c r="N1038" s="7">
        <v>9</v>
      </c>
      <c r="O1038" s="7">
        <v>0</v>
      </c>
      <c r="P1038" s="7">
        <v>0</v>
      </c>
      <c r="Q1038" s="7">
        <v>0</v>
      </c>
      <c r="R1038" s="7">
        <v>1</v>
      </c>
      <c r="S1038" s="7">
        <v>4.5</v>
      </c>
      <c r="T1038">
        <v>7</v>
      </c>
      <c r="U1038" s="1">
        <v>0</v>
      </c>
      <c r="V1038">
        <v>4</v>
      </c>
      <c r="W1038">
        <v>2</v>
      </c>
      <c r="X1038">
        <v>1</v>
      </c>
      <c r="Y1038">
        <v>0.16</v>
      </c>
      <c r="Z1038">
        <v>23</v>
      </c>
      <c r="AA1038">
        <v>0</v>
      </c>
      <c r="AB1038">
        <v>0</v>
      </c>
      <c r="AC1038">
        <v>0</v>
      </c>
      <c r="AD1038">
        <v>1</v>
      </c>
      <c r="AE1038">
        <v>0.05</v>
      </c>
      <c r="AF1038">
        <v>15</v>
      </c>
      <c r="AG1038">
        <v>0</v>
      </c>
      <c r="AH1038">
        <v>0</v>
      </c>
      <c r="AI1038">
        <v>0</v>
      </c>
      <c r="AJ1038">
        <v>1</v>
      </c>
      <c r="AK1038">
        <v>0.02</v>
      </c>
      <c r="AL1038">
        <v>16</v>
      </c>
      <c r="AM1038">
        <v>0</v>
      </c>
      <c r="AN1038">
        <v>0</v>
      </c>
      <c r="AO1038">
        <v>0</v>
      </c>
      <c r="AP1038">
        <v>1</v>
      </c>
      <c r="AQ1038">
        <v>0.01</v>
      </c>
      <c r="AR1038">
        <v>6</v>
      </c>
      <c r="AS1038">
        <v>2</v>
      </c>
      <c r="AT1038">
        <v>2</v>
      </c>
      <c r="AU1038">
        <v>5</v>
      </c>
      <c r="AV1038">
        <v>1</v>
      </c>
      <c r="AW1038">
        <v>0.05</v>
      </c>
      <c r="AX1038">
        <v>7</v>
      </c>
      <c r="AY1038" s="1">
        <v>0</v>
      </c>
      <c r="AZ1038">
        <v>3</v>
      </c>
      <c r="BA1038">
        <v>1</v>
      </c>
      <c r="BB1038">
        <v>1</v>
      </c>
      <c r="BC1038" s="7">
        <v>0.32</v>
      </c>
      <c r="BD1038">
        <v>30</v>
      </c>
      <c r="BE1038">
        <v>0</v>
      </c>
      <c r="BF1038">
        <v>0</v>
      </c>
      <c r="BG1038">
        <v>0</v>
      </c>
      <c r="BH1038">
        <v>5</v>
      </c>
      <c r="BI1038">
        <v>2.4</v>
      </c>
      <c r="BJ1038">
        <v>31</v>
      </c>
      <c r="BK1038">
        <v>0</v>
      </c>
      <c r="BL1038">
        <v>0</v>
      </c>
      <c r="BM1038">
        <v>0</v>
      </c>
      <c r="BN1038">
        <v>5</v>
      </c>
      <c r="BO1038">
        <v>2.4</v>
      </c>
      <c r="BP1038">
        <v>36</v>
      </c>
      <c r="BQ1038">
        <v>0</v>
      </c>
      <c r="BR1038">
        <v>0</v>
      </c>
      <c r="BS1038">
        <v>0</v>
      </c>
      <c r="BT1038">
        <v>5</v>
      </c>
      <c r="BU1038">
        <v>1.9</v>
      </c>
    </row>
    <row r="1039" spans="1:73" ht="14.25" x14ac:dyDescent="0.15">
      <c r="A1039" s="12">
        <v>20536</v>
      </c>
      <c r="B1039">
        <v>7</v>
      </c>
      <c r="C1039" s="1">
        <v>45</v>
      </c>
      <c r="D1039">
        <v>0</v>
      </c>
      <c r="E1039">
        <v>0</v>
      </c>
      <c r="F1039">
        <v>1</v>
      </c>
      <c r="G1039" s="7">
        <v>0.05</v>
      </c>
      <c r="H1039">
        <v>12</v>
      </c>
      <c r="I1039">
        <v>0</v>
      </c>
      <c r="J1039">
        <v>0</v>
      </c>
      <c r="K1039">
        <v>0</v>
      </c>
      <c r="L1039">
        <v>1</v>
      </c>
      <c r="M1039">
        <v>2</v>
      </c>
      <c r="N1039" s="7">
        <v>9</v>
      </c>
      <c r="O1039" s="7">
        <v>0</v>
      </c>
      <c r="P1039" s="7">
        <v>0</v>
      </c>
      <c r="Q1039" s="7">
        <v>0</v>
      </c>
      <c r="R1039" s="7">
        <v>1</v>
      </c>
      <c r="S1039" s="7">
        <v>4.5</v>
      </c>
      <c r="T1039">
        <v>7</v>
      </c>
      <c r="U1039" s="1">
        <v>33</v>
      </c>
      <c r="V1039">
        <v>0</v>
      </c>
      <c r="W1039">
        <v>0</v>
      </c>
      <c r="X1039">
        <v>1</v>
      </c>
      <c r="Y1039">
        <v>0.16</v>
      </c>
      <c r="Z1039">
        <v>23</v>
      </c>
      <c r="AA1039">
        <v>0</v>
      </c>
      <c r="AB1039">
        <v>0</v>
      </c>
      <c r="AC1039">
        <v>0</v>
      </c>
      <c r="AD1039">
        <v>1</v>
      </c>
      <c r="AE1039">
        <v>0.05</v>
      </c>
      <c r="AF1039">
        <v>15</v>
      </c>
      <c r="AG1039">
        <v>0</v>
      </c>
      <c r="AH1039">
        <v>0</v>
      </c>
      <c r="AI1039">
        <v>0</v>
      </c>
      <c r="AJ1039">
        <v>1</v>
      </c>
      <c r="AK1039">
        <v>0.02</v>
      </c>
      <c r="AL1039">
        <v>16</v>
      </c>
      <c r="AM1039">
        <v>0</v>
      </c>
      <c r="AN1039">
        <v>0</v>
      </c>
      <c r="AO1039">
        <v>0</v>
      </c>
      <c r="AP1039">
        <v>1</v>
      </c>
      <c r="AQ1039">
        <v>0.01</v>
      </c>
      <c r="AX1039">
        <v>7</v>
      </c>
      <c r="AY1039" s="1">
        <v>17</v>
      </c>
      <c r="AZ1039">
        <v>0</v>
      </c>
      <c r="BA1039">
        <v>0</v>
      </c>
      <c r="BB1039">
        <v>1</v>
      </c>
      <c r="BC1039" s="7">
        <v>0.32</v>
      </c>
      <c r="BD1039">
        <v>30</v>
      </c>
      <c r="BE1039">
        <v>0</v>
      </c>
      <c r="BF1039">
        <v>0</v>
      </c>
      <c r="BG1039">
        <v>0</v>
      </c>
      <c r="BH1039">
        <v>5</v>
      </c>
      <c r="BI1039">
        <v>2.4</v>
      </c>
      <c r="BJ1039">
        <v>31</v>
      </c>
      <c r="BK1039">
        <v>0</v>
      </c>
      <c r="BL1039">
        <v>0</v>
      </c>
      <c r="BM1039">
        <v>0</v>
      </c>
      <c r="BN1039">
        <v>5</v>
      </c>
      <c r="BO1039">
        <v>2.4</v>
      </c>
      <c r="BP1039">
        <v>36</v>
      </c>
      <c r="BQ1039">
        <v>0</v>
      </c>
      <c r="BR1039">
        <v>0</v>
      </c>
      <c r="BS1039">
        <v>0</v>
      </c>
      <c r="BT1039">
        <v>5</v>
      </c>
      <c r="BU1039">
        <v>1.9</v>
      </c>
    </row>
    <row r="1040" spans="1:73" ht="14.25" x14ac:dyDescent="0.15">
      <c r="A1040" s="12">
        <v>20537</v>
      </c>
      <c r="B1040">
        <v>7</v>
      </c>
      <c r="C1040" s="1">
        <v>46</v>
      </c>
      <c r="D1040">
        <v>0</v>
      </c>
      <c r="E1040">
        <v>0</v>
      </c>
      <c r="F1040">
        <v>1</v>
      </c>
      <c r="G1040" s="7">
        <v>0.05</v>
      </c>
      <c r="H1040">
        <v>12</v>
      </c>
      <c r="I1040">
        <v>0</v>
      </c>
      <c r="J1040">
        <v>0</v>
      </c>
      <c r="K1040">
        <v>0</v>
      </c>
      <c r="L1040">
        <v>1</v>
      </c>
      <c r="M1040">
        <v>2</v>
      </c>
      <c r="N1040" s="7">
        <v>9</v>
      </c>
      <c r="O1040" s="7">
        <v>0</v>
      </c>
      <c r="P1040" s="7">
        <v>0</v>
      </c>
      <c r="Q1040" s="7">
        <v>0</v>
      </c>
      <c r="R1040" s="7">
        <v>1</v>
      </c>
      <c r="S1040" s="7">
        <v>4.5</v>
      </c>
      <c r="T1040">
        <v>7</v>
      </c>
      <c r="U1040" s="1">
        <v>34</v>
      </c>
      <c r="V1040">
        <v>0</v>
      </c>
      <c r="W1040">
        <v>0</v>
      </c>
      <c r="X1040">
        <v>1</v>
      </c>
      <c r="Y1040">
        <v>0.16</v>
      </c>
      <c r="Z1040">
        <v>23</v>
      </c>
      <c r="AA1040">
        <v>0</v>
      </c>
      <c r="AB1040">
        <v>0</v>
      </c>
      <c r="AC1040">
        <v>0</v>
      </c>
      <c r="AD1040">
        <v>1</v>
      </c>
      <c r="AE1040">
        <v>0.05</v>
      </c>
      <c r="AF1040">
        <v>15</v>
      </c>
      <c r="AG1040">
        <v>0</v>
      </c>
      <c r="AH1040">
        <v>0</v>
      </c>
      <c r="AI1040">
        <v>0</v>
      </c>
      <c r="AJ1040">
        <v>1</v>
      </c>
      <c r="AK1040">
        <v>0.02</v>
      </c>
      <c r="AL1040">
        <v>16</v>
      </c>
      <c r="AM1040">
        <v>0</v>
      </c>
      <c r="AN1040">
        <v>0</v>
      </c>
      <c r="AO1040">
        <v>0</v>
      </c>
      <c r="AP1040">
        <v>1</v>
      </c>
      <c r="AQ1040">
        <v>0.01</v>
      </c>
      <c r="AX1040">
        <v>7</v>
      </c>
      <c r="AY1040" s="1">
        <v>18</v>
      </c>
      <c r="AZ1040">
        <v>0</v>
      </c>
      <c r="BA1040">
        <v>0</v>
      </c>
      <c r="BB1040">
        <v>1</v>
      </c>
      <c r="BC1040" s="7">
        <v>0.32</v>
      </c>
      <c r="BD1040">
        <v>30</v>
      </c>
      <c r="BE1040">
        <v>0</v>
      </c>
      <c r="BF1040">
        <v>0</v>
      </c>
      <c r="BG1040">
        <v>0</v>
      </c>
      <c r="BH1040">
        <v>5</v>
      </c>
      <c r="BI1040">
        <v>2.4</v>
      </c>
      <c r="BJ1040">
        <v>31</v>
      </c>
      <c r="BK1040">
        <v>0</v>
      </c>
      <c r="BL1040">
        <v>0</v>
      </c>
      <c r="BM1040">
        <v>0</v>
      </c>
      <c r="BN1040">
        <v>5</v>
      </c>
      <c r="BO1040">
        <v>2.4</v>
      </c>
      <c r="BP1040">
        <v>36</v>
      </c>
      <c r="BQ1040">
        <v>0</v>
      </c>
      <c r="BR1040">
        <v>0</v>
      </c>
      <c r="BS1040">
        <v>0</v>
      </c>
      <c r="BT1040">
        <v>5</v>
      </c>
      <c r="BU1040">
        <v>1.9</v>
      </c>
    </row>
    <row r="1041" spans="1:73" ht="14.25" x14ac:dyDescent="0.15">
      <c r="A1041" s="12">
        <v>20538</v>
      </c>
      <c r="B1041">
        <v>7</v>
      </c>
      <c r="C1041" s="1">
        <v>47</v>
      </c>
      <c r="D1041">
        <v>0</v>
      </c>
      <c r="E1041">
        <v>0</v>
      </c>
      <c r="F1041">
        <v>1</v>
      </c>
      <c r="G1041" s="7">
        <v>0.05</v>
      </c>
      <c r="H1041">
        <v>12</v>
      </c>
      <c r="I1041">
        <v>0</v>
      </c>
      <c r="J1041">
        <v>0</v>
      </c>
      <c r="K1041">
        <v>0</v>
      </c>
      <c r="L1041">
        <v>1</v>
      </c>
      <c r="M1041">
        <v>2</v>
      </c>
      <c r="N1041" s="7">
        <v>9</v>
      </c>
      <c r="O1041" s="7">
        <v>0</v>
      </c>
      <c r="P1041" s="7">
        <v>0</v>
      </c>
      <c r="Q1041" s="7">
        <v>0</v>
      </c>
      <c r="R1041" s="7">
        <v>1</v>
      </c>
      <c r="S1041" s="7">
        <v>4.5</v>
      </c>
      <c r="T1041">
        <v>7</v>
      </c>
      <c r="U1041" s="1">
        <v>35</v>
      </c>
      <c r="V1041">
        <v>0</v>
      </c>
      <c r="W1041">
        <v>0</v>
      </c>
      <c r="X1041">
        <v>1</v>
      </c>
      <c r="Y1041">
        <v>0.16</v>
      </c>
      <c r="Z1041">
        <v>23</v>
      </c>
      <c r="AA1041">
        <v>0</v>
      </c>
      <c r="AB1041">
        <v>0</v>
      </c>
      <c r="AC1041">
        <v>0</v>
      </c>
      <c r="AD1041">
        <v>1</v>
      </c>
      <c r="AE1041">
        <v>0.05</v>
      </c>
      <c r="AF1041">
        <v>15</v>
      </c>
      <c r="AG1041">
        <v>0</v>
      </c>
      <c r="AH1041">
        <v>0</v>
      </c>
      <c r="AI1041">
        <v>0</v>
      </c>
      <c r="AJ1041">
        <v>1</v>
      </c>
      <c r="AK1041">
        <v>0.02</v>
      </c>
      <c r="AL1041">
        <v>16</v>
      </c>
      <c r="AM1041">
        <v>0</v>
      </c>
      <c r="AN1041">
        <v>0</v>
      </c>
      <c r="AO1041">
        <v>0</v>
      </c>
      <c r="AP1041">
        <v>1</v>
      </c>
      <c r="AQ1041">
        <v>0.01</v>
      </c>
      <c r="AX1041">
        <v>7</v>
      </c>
      <c r="AY1041" s="1">
        <v>19</v>
      </c>
      <c r="AZ1041">
        <v>0</v>
      </c>
      <c r="BA1041">
        <v>0</v>
      </c>
      <c r="BB1041">
        <v>1</v>
      </c>
      <c r="BC1041" s="7">
        <v>0.32</v>
      </c>
      <c r="BD1041">
        <v>30</v>
      </c>
      <c r="BE1041">
        <v>0</v>
      </c>
      <c r="BF1041">
        <v>0</v>
      </c>
      <c r="BG1041">
        <v>0</v>
      </c>
      <c r="BH1041">
        <v>5</v>
      </c>
      <c r="BI1041">
        <v>2.4</v>
      </c>
      <c r="BJ1041">
        <v>31</v>
      </c>
      <c r="BK1041">
        <v>0</v>
      </c>
      <c r="BL1041">
        <v>0</v>
      </c>
      <c r="BM1041">
        <v>0</v>
      </c>
      <c r="BN1041">
        <v>5</v>
      </c>
      <c r="BO1041">
        <v>2.4</v>
      </c>
      <c r="BP1041">
        <v>36</v>
      </c>
      <c r="BQ1041">
        <v>0</v>
      </c>
      <c r="BR1041">
        <v>0</v>
      </c>
      <c r="BS1041">
        <v>0</v>
      </c>
      <c r="BT1041">
        <v>5</v>
      </c>
      <c r="BU1041">
        <v>1.9</v>
      </c>
    </row>
    <row r="1042" spans="1:73" ht="14.25" x14ac:dyDescent="0.15">
      <c r="A1042" s="12">
        <v>20539</v>
      </c>
      <c r="B1042">
        <v>7</v>
      </c>
      <c r="C1042" s="1">
        <v>48</v>
      </c>
      <c r="D1042">
        <v>0</v>
      </c>
      <c r="E1042">
        <v>0</v>
      </c>
      <c r="F1042">
        <v>1</v>
      </c>
      <c r="G1042" s="7">
        <v>0.05</v>
      </c>
      <c r="H1042">
        <v>12</v>
      </c>
      <c r="I1042">
        <v>0</v>
      </c>
      <c r="J1042">
        <v>0</v>
      </c>
      <c r="K1042">
        <v>0</v>
      </c>
      <c r="L1042">
        <v>1</v>
      </c>
      <c r="M1042">
        <v>2</v>
      </c>
      <c r="N1042" s="7">
        <v>9</v>
      </c>
      <c r="O1042" s="7">
        <v>0</v>
      </c>
      <c r="P1042" s="7">
        <v>0</v>
      </c>
      <c r="Q1042" s="7">
        <v>0</v>
      </c>
      <c r="R1042" s="7">
        <v>1</v>
      </c>
      <c r="S1042" s="7">
        <v>4.5</v>
      </c>
      <c r="T1042">
        <v>7</v>
      </c>
      <c r="U1042" s="1">
        <v>36</v>
      </c>
      <c r="V1042">
        <v>0</v>
      </c>
      <c r="W1042">
        <v>0</v>
      </c>
      <c r="X1042">
        <v>1</v>
      </c>
      <c r="Y1042">
        <v>0.16</v>
      </c>
      <c r="Z1042">
        <v>23</v>
      </c>
      <c r="AA1042">
        <v>0</v>
      </c>
      <c r="AB1042">
        <v>0</v>
      </c>
      <c r="AC1042">
        <v>0</v>
      </c>
      <c r="AD1042">
        <v>1</v>
      </c>
      <c r="AE1042">
        <v>0.05</v>
      </c>
      <c r="AF1042">
        <v>15</v>
      </c>
      <c r="AG1042">
        <v>0</v>
      </c>
      <c r="AH1042">
        <v>0</v>
      </c>
      <c r="AI1042">
        <v>0</v>
      </c>
      <c r="AJ1042">
        <v>1</v>
      </c>
      <c r="AK1042">
        <v>0.02</v>
      </c>
      <c r="AL1042">
        <v>16</v>
      </c>
      <c r="AM1042">
        <v>0</v>
      </c>
      <c r="AN1042">
        <v>0</v>
      </c>
      <c r="AO1042">
        <v>0</v>
      </c>
      <c r="AP1042">
        <v>1</v>
      </c>
      <c r="AQ1042">
        <v>0.01</v>
      </c>
      <c r="AX1042">
        <v>7</v>
      </c>
      <c r="AY1042" s="1">
        <v>20</v>
      </c>
      <c r="AZ1042">
        <v>0</v>
      </c>
      <c r="BA1042">
        <v>0</v>
      </c>
      <c r="BB1042">
        <v>1</v>
      </c>
      <c r="BC1042" s="7">
        <v>0.32</v>
      </c>
      <c r="BD1042">
        <v>30</v>
      </c>
      <c r="BE1042">
        <v>0</v>
      </c>
      <c r="BF1042">
        <v>0</v>
      </c>
      <c r="BG1042">
        <v>0</v>
      </c>
      <c r="BH1042">
        <v>5</v>
      </c>
      <c r="BI1042">
        <v>2.4</v>
      </c>
      <c r="BJ1042">
        <v>31</v>
      </c>
      <c r="BK1042">
        <v>0</v>
      </c>
      <c r="BL1042">
        <v>0</v>
      </c>
      <c r="BM1042">
        <v>0</v>
      </c>
      <c r="BN1042">
        <v>5</v>
      </c>
      <c r="BO1042">
        <v>2.4</v>
      </c>
      <c r="BP1042">
        <v>36</v>
      </c>
      <c r="BQ1042">
        <v>0</v>
      </c>
      <c r="BR1042">
        <v>0</v>
      </c>
      <c r="BS1042">
        <v>0</v>
      </c>
      <c r="BT1042">
        <v>5</v>
      </c>
      <c r="BU1042">
        <v>1.9</v>
      </c>
    </row>
    <row r="1043" spans="1:73" ht="14.25" x14ac:dyDescent="0.15">
      <c r="A1043" s="12">
        <v>20540</v>
      </c>
      <c r="B1043">
        <v>7</v>
      </c>
      <c r="C1043" s="1">
        <v>0</v>
      </c>
      <c r="D1043">
        <v>5</v>
      </c>
      <c r="E1043">
        <v>1</v>
      </c>
      <c r="F1043">
        <v>1</v>
      </c>
      <c r="G1043" s="7">
        <v>0.05</v>
      </c>
      <c r="H1043">
        <v>12</v>
      </c>
      <c r="I1043">
        <v>0</v>
      </c>
      <c r="J1043">
        <v>0</v>
      </c>
      <c r="K1043">
        <v>0</v>
      </c>
      <c r="L1043">
        <v>1</v>
      </c>
      <c r="M1043">
        <v>2</v>
      </c>
      <c r="N1043" s="7">
        <v>9</v>
      </c>
      <c r="O1043" s="7">
        <v>0</v>
      </c>
      <c r="P1043" s="7">
        <v>0</v>
      </c>
      <c r="Q1043" s="7">
        <v>0</v>
      </c>
      <c r="R1043" s="7">
        <v>1</v>
      </c>
      <c r="S1043" s="7">
        <v>4.5</v>
      </c>
      <c r="T1043">
        <v>7</v>
      </c>
      <c r="U1043" s="1">
        <v>0</v>
      </c>
      <c r="V1043">
        <v>4</v>
      </c>
      <c r="W1043">
        <v>2</v>
      </c>
      <c r="X1043">
        <v>1</v>
      </c>
      <c r="Y1043">
        <v>0.16</v>
      </c>
      <c r="Z1043">
        <v>23</v>
      </c>
      <c r="AA1043">
        <v>0</v>
      </c>
      <c r="AB1043">
        <v>0</v>
      </c>
      <c r="AC1043">
        <v>0</v>
      </c>
      <c r="AD1043">
        <v>1</v>
      </c>
      <c r="AE1043">
        <v>0.05</v>
      </c>
      <c r="AF1043">
        <v>15</v>
      </c>
      <c r="AG1043">
        <v>0</v>
      </c>
      <c r="AH1043">
        <v>0</v>
      </c>
      <c r="AI1043">
        <v>0</v>
      </c>
      <c r="AJ1043">
        <v>1</v>
      </c>
      <c r="AK1043">
        <v>0.02</v>
      </c>
      <c r="AL1043">
        <v>16</v>
      </c>
      <c r="AM1043">
        <v>0</v>
      </c>
      <c r="AN1043">
        <v>0</v>
      </c>
      <c r="AO1043">
        <v>0</v>
      </c>
      <c r="AP1043">
        <v>1</v>
      </c>
      <c r="AQ1043">
        <v>0.01</v>
      </c>
      <c r="AR1043">
        <v>6</v>
      </c>
      <c r="AS1043">
        <v>2</v>
      </c>
      <c r="AT1043">
        <v>3</v>
      </c>
      <c r="AU1043">
        <v>5</v>
      </c>
      <c r="AV1043">
        <v>1</v>
      </c>
      <c r="AW1043">
        <v>0.05</v>
      </c>
      <c r="AX1043">
        <v>7</v>
      </c>
      <c r="AY1043" s="1">
        <v>0</v>
      </c>
      <c r="AZ1043">
        <v>3</v>
      </c>
      <c r="BA1043">
        <v>1</v>
      </c>
      <c r="BB1043">
        <v>1</v>
      </c>
      <c r="BC1043" s="7">
        <v>0.32</v>
      </c>
      <c r="BD1043">
        <v>30</v>
      </c>
      <c r="BE1043">
        <v>0</v>
      </c>
      <c r="BF1043">
        <v>0</v>
      </c>
      <c r="BG1043">
        <v>0</v>
      </c>
      <c r="BH1043">
        <v>5</v>
      </c>
      <c r="BI1043">
        <v>2.4</v>
      </c>
      <c r="BJ1043">
        <v>31</v>
      </c>
      <c r="BK1043">
        <v>0</v>
      </c>
      <c r="BL1043">
        <v>0</v>
      </c>
      <c r="BM1043">
        <v>0</v>
      </c>
      <c r="BN1043">
        <v>5</v>
      </c>
      <c r="BO1043">
        <v>2.4</v>
      </c>
      <c r="BP1043">
        <v>36</v>
      </c>
      <c r="BQ1043">
        <v>0</v>
      </c>
      <c r="BR1043">
        <v>0</v>
      </c>
      <c r="BS1043">
        <v>0</v>
      </c>
      <c r="BT1043">
        <v>5</v>
      </c>
      <c r="BU1043">
        <v>1.9</v>
      </c>
    </row>
    <row r="1044" spans="1:73" ht="14.25" x14ac:dyDescent="0.15">
      <c r="A1044" s="12">
        <v>20541</v>
      </c>
      <c r="B1044">
        <v>7</v>
      </c>
      <c r="C1044" s="1">
        <v>45</v>
      </c>
      <c r="D1044">
        <v>0</v>
      </c>
      <c r="E1044">
        <v>0</v>
      </c>
      <c r="F1044">
        <v>1</v>
      </c>
      <c r="G1044" s="7">
        <v>0.05</v>
      </c>
      <c r="H1044">
        <v>12</v>
      </c>
      <c r="I1044">
        <v>0</v>
      </c>
      <c r="J1044">
        <v>0</v>
      </c>
      <c r="K1044">
        <v>0</v>
      </c>
      <c r="L1044">
        <v>1</v>
      </c>
      <c r="M1044">
        <v>2</v>
      </c>
      <c r="N1044" s="7">
        <v>9</v>
      </c>
      <c r="O1044" s="7">
        <v>0</v>
      </c>
      <c r="P1044" s="7">
        <v>0</v>
      </c>
      <c r="Q1044" s="7">
        <v>0</v>
      </c>
      <c r="R1044" s="7">
        <v>1</v>
      </c>
      <c r="S1044" s="7">
        <v>4.5</v>
      </c>
      <c r="T1044">
        <v>7</v>
      </c>
      <c r="U1044" s="1">
        <v>33</v>
      </c>
      <c r="V1044">
        <v>0</v>
      </c>
      <c r="W1044">
        <v>0</v>
      </c>
      <c r="X1044">
        <v>1</v>
      </c>
      <c r="Y1044">
        <v>0.16</v>
      </c>
      <c r="Z1044">
        <v>23</v>
      </c>
      <c r="AA1044">
        <v>0</v>
      </c>
      <c r="AB1044">
        <v>0</v>
      </c>
      <c r="AC1044">
        <v>0</v>
      </c>
      <c r="AD1044">
        <v>1</v>
      </c>
      <c r="AE1044">
        <v>0.05</v>
      </c>
      <c r="AF1044">
        <v>15</v>
      </c>
      <c r="AG1044">
        <v>0</v>
      </c>
      <c r="AH1044">
        <v>0</v>
      </c>
      <c r="AI1044">
        <v>0</v>
      </c>
      <c r="AJ1044">
        <v>1</v>
      </c>
      <c r="AK1044">
        <v>0.02</v>
      </c>
      <c r="AL1044">
        <v>16</v>
      </c>
      <c r="AM1044">
        <v>0</v>
      </c>
      <c r="AN1044">
        <v>0</v>
      </c>
      <c r="AO1044">
        <v>0</v>
      </c>
      <c r="AP1044">
        <v>1</v>
      </c>
      <c r="AQ1044">
        <v>0.01</v>
      </c>
      <c r="AX1044">
        <v>7</v>
      </c>
      <c r="AY1044" s="1">
        <v>17</v>
      </c>
      <c r="AZ1044">
        <v>0</v>
      </c>
      <c r="BA1044">
        <v>0</v>
      </c>
      <c r="BB1044">
        <v>1</v>
      </c>
      <c r="BC1044" s="7">
        <v>0.32</v>
      </c>
      <c r="BD1044">
        <v>30</v>
      </c>
      <c r="BE1044">
        <v>0</v>
      </c>
      <c r="BF1044">
        <v>0</v>
      </c>
      <c r="BG1044">
        <v>0</v>
      </c>
      <c r="BH1044">
        <v>5</v>
      </c>
      <c r="BI1044">
        <v>2.4</v>
      </c>
      <c r="BJ1044">
        <v>31</v>
      </c>
      <c r="BK1044">
        <v>0</v>
      </c>
      <c r="BL1044">
        <v>0</v>
      </c>
      <c r="BM1044">
        <v>0</v>
      </c>
      <c r="BN1044">
        <v>5</v>
      </c>
      <c r="BO1044">
        <v>2.4</v>
      </c>
      <c r="BP1044">
        <v>36</v>
      </c>
      <c r="BQ1044">
        <v>0</v>
      </c>
      <c r="BR1044">
        <v>0</v>
      </c>
      <c r="BS1044">
        <v>0</v>
      </c>
      <c r="BT1044">
        <v>5</v>
      </c>
      <c r="BU1044">
        <v>1.9</v>
      </c>
    </row>
    <row r="1045" spans="1:73" ht="14.25" x14ac:dyDescent="0.15">
      <c r="A1045" s="12">
        <v>20542</v>
      </c>
      <c r="B1045">
        <v>7</v>
      </c>
      <c r="C1045" s="1">
        <v>46</v>
      </c>
      <c r="D1045">
        <v>0</v>
      </c>
      <c r="E1045">
        <v>0</v>
      </c>
      <c r="F1045">
        <v>1</v>
      </c>
      <c r="G1045" s="7">
        <v>0.05</v>
      </c>
      <c r="H1045">
        <v>12</v>
      </c>
      <c r="I1045">
        <v>0</v>
      </c>
      <c r="J1045">
        <v>0</v>
      </c>
      <c r="K1045">
        <v>0</v>
      </c>
      <c r="L1045">
        <v>1</v>
      </c>
      <c r="M1045">
        <v>2</v>
      </c>
      <c r="N1045" s="7">
        <v>9</v>
      </c>
      <c r="O1045" s="7">
        <v>0</v>
      </c>
      <c r="P1045" s="7">
        <v>0</v>
      </c>
      <c r="Q1045" s="7">
        <v>0</v>
      </c>
      <c r="R1045" s="7">
        <v>1</v>
      </c>
      <c r="S1045" s="7">
        <v>4.5</v>
      </c>
      <c r="T1045">
        <v>7</v>
      </c>
      <c r="U1045" s="1">
        <v>34</v>
      </c>
      <c r="V1045">
        <v>0</v>
      </c>
      <c r="W1045">
        <v>0</v>
      </c>
      <c r="X1045">
        <v>1</v>
      </c>
      <c r="Y1045">
        <v>0.16</v>
      </c>
      <c r="Z1045">
        <v>23</v>
      </c>
      <c r="AA1045">
        <v>0</v>
      </c>
      <c r="AB1045">
        <v>0</v>
      </c>
      <c r="AC1045">
        <v>0</v>
      </c>
      <c r="AD1045">
        <v>1</v>
      </c>
      <c r="AE1045">
        <v>0.05</v>
      </c>
      <c r="AF1045">
        <v>15</v>
      </c>
      <c r="AG1045">
        <v>0</v>
      </c>
      <c r="AH1045">
        <v>0</v>
      </c>
      <c r="AI1045">
        <v>0</v>
      </c>
      <c r="AJ1045">
        <v>1</v>
      </c>
      <c r="AK1045">
        <v>0.02</v>
      </c>
      <c r="AL1045">
        <v>16</v>
      </c>
      <c r="AM1045">
        <v>0</v>
      </c>
      <c r="AN1045">
        <v>0</v>
      </c>
      <c r="AO1045">
        <v>0</v>
      </c>
      <c r="AP1045">
        <v>1</v>
      </c>
      <c r="AQ1045">
        <v>0.01</v>
      </c>
      <c r="AX1045">
        <v>7</v>
      </c>
      <c r="AY1045" s="1">
        <v>18</v>
      </c>
      <c r="AZ1045">
        <v>0</v>
      </c>
      <c r="BA1045">
        <v>0</v>
      </c>
      <c r="BB1045">
        <v>1</v>
      </c>
      <c r="BC1045" s="7">
        <v>0.32</v>
      </c>
      <c r="BD1045">
        <v>30</v>
      </c>
      <c r="BE1045">
        <v>0</v>
      </c>
      <c r="BF1045">
        <v>0</v>
      </c>
      <c r="BG1045">
        <v>0</v>
      </c>
      <c r="BH1045">
        <v>5</v>
      </c>
      <c r="BI1045">
        <v>2.4</v>
      </c>
      <c r="BJ1045">
        <v>31</v>
      </c>
      <c r="BK1045">
        <v>0</v>
      </c>
      <c r="BL1045">
        <v>0</v>
      </c>
      <c r="BM1045">
        <v>0</v>
      </c>
      <c r="BN1045">
        <v>5</v>
      </c>
      <c r="BO1045">
        <v>2.4</v>
      </c>
      <c r="BP1045">
        <v>36</v>
      </c>
      <c r="BQ1045">
        <v>0</v>
      </c>
      <c r="BR1045">
        <v>0</v>
      </c>
      <c r="BS1045">
        <v>0</v>
      </c>
      <c r="BT1045">
        <v>5</v>
      </c>
      <c r="BU1045">
        <v>1.9</v>
      </c>
    </row>
    <row r="1046" spans="1:73" ht="14.25" x14ac:dyDescent="0.15">
      <c r="A1046" s="12">
        <v>20543</v>
      </c>
      <c r="B1046">
        <v>7</v>
      </c>
      <c r="C1046" s="1">
        <v>47</v>
      </c>
      <c r="D1046">
        <v>0</v>
      </c>
      <c r="E1046">
        <v>0</v>
      </c>
      <c r="F1046">
        <v>1</v>
      </c>
      <c r="G1046" s="7">
        <v>0.05</v>
      </c>
      <c r="H1046">
        <v>12</v>
      </c>
      <c r="I1046">
        <v>0</v>
      </c>
      <c r="J1046">
        <v>0</v>
      </c>
      <c r="K1046">
        <v>0</v>
      </c>
      <c r="L1046">
        <v>1</v>
      </c>
      <c r="M1046">
        <v>2</v>
      </c>
      <c r="N1046" s="7">
        <v>9</v>
      </c>
      <c r="O1046" s="7">
        <v>0</v>
      </c>
      <c r="P1046" s="7">
        <v>0</v>
      </c>
      <c r="Q1046" s="7">
        <v>0</v>
      </c>
      <c r="R1046" s="7">
        <v>1</v>
      </c>
      <c r="S1046" s="7">
        <v>4.5</v>
      </c>
      <c r="T1046">
        <v>7</v>
      </c>
      <c r="U1046" s="1">
        <v>35</v>
      </c>
      <c r="V1046">
        <v>0</v>
      </c>
      <c r="W1046">
        <v>0</v>
      </c>
      <c r="X1046">
        <v>1</v>
      </c>
      <c r="Y1046">
        <v>0.16</v>
      </c>
      <c r="Z1046">
        <v>23</v>
      </c>
      <c r="AA1046">
        <v>0</v>
      </c>
      <c r="AB1046">
        <v>0</v>
      </c>
      <c r="AC1046">
        <v>0</v>
      </c>
      <c r="AD1046">
        <v>1</v>
      </c>
      <c r="AE1046">
        <v>0.05</v>
      </c>
      <c r="AF1046">
        <v>15</v>
      </c>
      <c r="AG1046">
        <v>0</v>
      </c>
      <c r="AH1046">
        <v>0</v>
      </c>
      <c r="AI1046">
        <v>0</v>
      </c>
      <c r="AJ1046">
        <v>1</v>
      </c>
      <c r="AK1046">
        <v>0.02</v>
      </c>
      <c r="AL1046">
        <v>16</v>
      </c>
      <c r="AM1046">
        <v>0</v>
      </c>
      <c r="AN1046">
        <v>0</v>
      </c>
      <c r="AO1046">
        <v>0</v>
      </c>
      <c r="AP1046">
        <v>1</v>
      </c>
      <c r="AQ1046">
        <v>0.01</v>
      </c>
      <c r="AX1046">
        <v>7</v>
      </c>
      <c r="AY1046" s="1">
        <v>19</v>
      </c>
      <c r="AZ1046">
        <v>0</v>
      </c>
      <c r="BA1046">
        <v>0</v>
      </c>
      <c r="BB1046">
        <v>1</v>
      </c>
      <c r="BC1046" s="7">
        <v>0.32</v>
      </c>
      <c r="BD1046">
        <v>30</v>
      </c>
      <c r="BE1046">
        <v>0</v>
      </c>
      <c r="BF1046">
        <v>0</v>
      </c>
      <c r="BG1046">
        <v>0</v>
      </c>
      <c r="BH1046">
        <v>5</v>
      </c>
      <c r="BI1046">
        <v>2.4</v>
      </c>
      <c r="BJ1046">
        <v>31</v>
      </c>
      <c r="BK1046">
        <v>0</v>
      </c>
      <c r="BL1046">
        <v>0</v>
      </c>
      <c r="BM1046">
        <v>0</v>
      </c>
      <c r="BN1046">
        <v>5</v>
      </c>
      <c r="BO1046">
        <v>2.4</v>
      </c>
      <c r="BP1046">
        <v>36</v>
      </c>
      <c r="BQ1046">
        <v>0</v>
      </c>
      <c r="BR1046">
        <v>0</v>
      </c>
      <c r="BS1046">
        <v>0</v>
      </c>
      <c r="BT1046">
        <v>5</v>
      </c>
      <c r="BU1046">
        <v>1.9</v>
      </c>
    </row>
    <row r="1047" spans="1:73" ht="14.25" x14ac:dyDescent="0.15">
      <c r="A1047" s="12">
        <v>20544</v>
      </c>
      <c r="B1047">
        <v>7</v>
      </c>
      <c r="C1047" s="1">
        <v>48</v>
      </c>
      <c r="D1047">
        <v>0</v>
      </c>
      <c r="E1047">
        <v>0</v>
      </c>
      <c r="F1047">
        <v>1</v>
      </c>
      <c r="G1047" s="7">
        <v>0.05</v>
      </c>
      <c r="H1047">
        <v>12</v>
      </c>
      <c r="I1047">
        <v>0</v>
      </c>
      <c r="J1047">
        <v>0</v>
      </c>
      <c r="K1047">
        <v>0</v>
      </c>
      <c r="L1047">
        <v>1</v>
      </c>
      <c r="M1047">
        <v>2</v>
      </c>
      <c r="N1047" s="7">
        <v>9</v>
      </c>
      <c r="O1047" s="7">
        <v>0</v>
      </c>
      <c r="P1047" s="7">
        <v>0</v>
      </c>
      <c r="Q1047" s="7">
        <v>0</v>
      </c>
      <c r="R1047" s="7">
        <v>1</v>
      </c>
      <c r="S1047" s="7">
        <v>4.5</v>
      </c>
      <c r="T1047">
        <v>7</v>
      </c>
      <c r="U1047" s="1">
        <v>36</v>
      </c>
      <c r="V1047">
        <v>0</v>
      </c>
      <c r="W1047">
        <v>0</v>
      </c>
      <c r="X1047">
        <v>1</v>
      </c>
      <c r="Y1047">
        <v>0.16</v>
      </c>
      <c r="Z1047">
        <v>23</v>
      </c>
      <c r="AA1047">
        <v>0</v>
      </c>
      <c r="AB1047">
        <v>0</v>
      </c>
      <c r="AC1047">
        <v>0</v>
      </c>
      <c r="AD1047">
        <v>1</v>
      </c>
      <c r="AE1047">
        <v>0.05</v>
      </c>
      <c r="AF1047">
        <v>15</v>
      </c>
      <c r="AG1047">
        <v>0</v>
      </c>
      <c r="AH1047">
        <v>0</v>
      </c>
      <c r="AI1047">
        <v>0</v>
      </c>
      <c r="AJ1047">
        <v>1</v>
      </c>
      <c r="AK1047">
        <v>0.02</v>
      </c>
      <c r="AL1047">
        <v>16</v>
      </c>
      <c r="AM1047">
        <v>0</v>
      </c>
      <c r="AN1047">
        <v>0</v>
      </c>
      <c r="AO1047">
        <v>0</v>
      </c>
      <c r="AP1047">
        <v>1</v>
      </c>
      <c r="AQ1047">
        <v>0.01</v>
      </c>
      <c r="AX1047">
        <v>7</v>
      </c>
      <c r="AY1047" s="1">
        <v>20</v>
      </c>
      <c r="AZ1047">
        <v>0</v>
      </c>
      <c r="BA1047">
        <v>0</v>
      </c>
      <c r="BB1047">
        <v>1</v>
      </c>
      <c r="BC1047" s="7">
        <v>0.32</v>
      </c>
      <c r="BD1047">
        <v>30</v>
      </c>
      <c r="BE1047">
        <v>0</v>
      </c>
      <c r="BF1047">
        <v>0</v>
      </c>
      <c r="BG1047">
        <v>0</v>
      </c>
      <c r="BH1047">
        <v>5</v>
      </c>
      <c r="BI1047">
        <v>2.4</v>
      </c>
      <c r="BJ1047">
        <v>31</v>
      </c>
      <c r="BK1047">
        <v>0</v>
      </c>
      <c r="BL1047">
        <v>0</v>
      </c>
      <c r="BM1047">
        <v>0</v>
      </c>
      <c r="BN1047">
        <v>5</v>
      </c>
      <c r="BO1047">
        <v>2.4</v>
      </c>
      <c r="BP1047">
        <v>36</v>
      </c>
      <c r="BQ1047">
        <v>0</v>
      </c>
      <c r="BR1047">
        <v>0</v>
      </c>
      <c r="BS1047">
        <v>0</v>
      </c>
      <c r="BT1047">
        <v>5</v>
      </c>
      <c r="BU1047">
        <v>1.9</v>
      </c>
    </row>
    <row r="1048" spans="1:73" ht="14.25" x14ac:dyDescent="0.15">
      <c r="A1048" s="12">
        <v>20545</v>
      </c>
      <c r="B1048">
        <v>7</v>
      </c>
      <c r="C1048" s="1">
        <v>0</v>
      </c>
      <c r="D1048">
        <v>5</v>
      </c>
      <c r="E1048">
        <v>1</v>
      </c>
      <c r="F1048">
        <v>1</v>
      </c>
      <c r="G1048" s="7">
        <v>0.05</v>
      </c>
      <c r="H1048">
        <v>12</v>
      </c>
      <c r="I1048">
        <v>0</v>
      </c>
      <c r="J1048">
        <v>0</v>
      </c>
      <c r="K1048">
        <v>0</v>
      </c>
      <c r="L1048">
        <v>1</v>
      </c>
      <c r="M1048">
        <v>2</v>
      </c>
      <c r="N1048" s="7">
        <v>9</v>
      </c>
      <c r="O1048" s="7">
        <v>0</v>
      </c>
      <c r="P1048" s="7">
        <v>0</v>
      </c>
      <c r="Q1048" s="7">
        <v>0</v>
      </c>
      <c r="R1048" s="7">
        <v>1</v>
      </c>
      <c r="S1048" s="7">
        <v>4.5</v>
      </c>
      <c r="T1048">
        <v>7</v>
      </c>
      <c r="U1048" s="1">
        <v>0</v>
      </c>
      <c r="V1048">
        <v>4</v>
      </c>
      <c r="W1048">
        <v>2</v>
      </c>
      <c r="X1048">
        <v>1</v>
      </c>
      <c r="Y1048">
        <v>0.16</v>
      </c>
      <c r="Z1048">
        <v>23</v>
      </c>
      <c r="AA1048">
        <v>0</v>
      </c>
      <c r="AB1048">
        <v>0</v>
      </c>
      <c r="AC1048">
        <v>0</v>
      </c>
      <c r="AD1048">
        <v>1</v>
      </c>
      <c r="AE1048">
        <v>0.05</v>
      </c>
      <c r="AF1048">
        <v>15</v>
      </c>
      <c r="AG1048">
        <v>0</v>
      </c>
      <c r="AH1048">
        <v>0</v>
      </c>
      <c r="AI1048">
        <v>0</v>
      </c>
      <c r="AJ1048">
        <v>1</v>
      </c>
      <c r="AK1048">
        <v>0.02</v>
      </c>
      <c r="AL1048">
        <v>16</v>
      </c>
      <c r="AM1048">
        <v>0</v>
      </c>
      <c r="AN1048">
        <v>0</v>
      </c>
      <c r="AO1048">
        <v>0</v>
      </c>
      <c r="AP1048">
        <v>1</v>
      </c>
      <c r="AQ1048">
        <v>0.01</v>
      </c>
      <c r="AR1048">
        <v>6</v>
      </c>
      <c r="AS1048">
        <v>2</v>
      </c>
      <c r="AT1048">
        <v>4</v>
      </c>
      <c r="AU1048">
        <v>5</v>
      </c>
      <c r="AV1048">
        <v>1</v>
      </c>
      <c r="AW1048">
        <v>0.01</v>
      </c>
      <c r="AX1048">
        <v>7</v>
      </c>
      <c r="AY1048" s="1">
        <v>0</v>
      </c>
      <c r="AZ1048">
        <v>3</v>
      </c>
      <c r="BA1048">
        <v>1</v>
      </c>
      <c r="BB1048">
        <v>1</v>
      </c>
      <c r="BC1048" s="7">
        <v>0.32</v>
      </c>
      <c r="BD1048">
        <v>30</v>
      </c>
      <c r="BE1048">
        <v>0</v>
      </c>
      <c r="BF1048">
        <v>0</v>
      </c>
      <c r="BG1048">
        <v>0</v>
      </c>
      <c r="BH1048">
        <v>5</v>
      </c>
      <c r="BI1048">
        <v>2.4</v>
      </c>
      <c r="BJ1048">
        <v>31</v>
      </c>
      <c r="BK1048">
        <v>0</v>
      </c>
      <c r="BL1048">
        <v>0</v>
      </c>
      <c r="BM1048">
        <v>0</v>
      </c>
      <c r="BN1048">
        <v>5</v>
      </c>
      <c r="BO1048">
        <v>2.4</v>
      </c>
      <c r="BP1048">
        <v>36</v>
      </c>
      <c r="BQ1048">
        <v>0</v>
      </c>
      <c r="BR1048">
        <v>0</v>
      </c>
      <c r="BS1048">
        <v>0</v>
      </c>
      <c r="BT1048">
        <v>5</v>
      </c>
      <c r="BU1048">
        <v>1.9</v>
      </c>
    </row>
    <row r="1049" spans="1:73" ht="14.25" x14ac:dyDescent="0.15">
      <c r="A1049" s="12">
        <v>20546</v>
      </c>
      <c r="B1049">
        <v>7</v>
      </c>
      <c r="C1049" s="1">
        <v>45</v>
      </c>
      <c r="D1049">
        <v>0</v>
      </c>
      <c r="E1049">
        <v>0</v>
      </c>
      <c r="F1049">
        <v>1</v>
      </c>
      <c r="G1049" s="7">
        <v>0.05</v>
      </c>
      <c r="H1049">
        <v>12</v>
      </c>
      <c r="I1049">
        <v>0</v>
      </c>
      <c r="J1049">
        <v>0</v>
      </c>
      <c r="K1049">
        <v>0</v>
      </c>
      <c r="L1049">
        <v>1</v>
      </c>
      <c r="M1049">
        <v>2</v>
      </c>
      <c r="N1049" s="7">
        <v>9</v>
      </c>
      <c r="O1049" s="7">
        <v>0</v>
      </c>
      <c r="P1049" s="7">
        <v>0</v>
      </c>
      <c r="Q1049" s="7">
        <v>0</v>
      </c>
      <c r="R1049" s="7">
        <v>1</v>
      </c>
      <c r="S1049" s="7">
        <v>4.5</v>
      </c>
      <c r="T1049">
        <v>7</v>
      </c>
      <c r="U1049" s="1">
        <v>33</v>
      </c>
      <c r="V1049">
        <v>0</v>
      </c>
      <c r="W1049">
        <v>0</v>
      </c>
      <c r="X1049">
        <v>1</v>
      </c>
      <c r="Y1049">
        <v>0.16</v>
      </c>
      <c r="Z1049">
        <v>23</v>
      </c>
      <c r="AA1049">
        <v>0</v>
      </c>
      <c r="AB1049">
        <v>0</v>
      </c>
      <c r="AC1049">
        <v>0</v>
      </c>
      <c r="AD1049">
        <v>1</v>
      </c>
      <c r="AE1049">
        <v>0.05</v>
      </c>
      <c r="AF1049">
        <v>15</v>
      </c>
      <c r="AG1049">
        <v>0</v>
      </c>
      <c r="AH1049">
        <v>0</v>
      </c>
      <c r="AI1049">
        <v>0</v>
      </c>
      <c r="AJ1049">
        <v>1</v>
      </c>
      <c r="AK1049">
        <v>0.02</v>
      </c>
      <c r="AL1049">
        <v>16</v>
      </c>
      <c r="AM1049">
        <v>0</v>
      </c>
      <c r="AN1049">
        <v>0</v>
      </c>
      <c r="AO1049">
        <v>0</v>
      </c>
      <c r="AP1049">
        <v>1</v>
      </c>
      <c r="AQ1049">
        <v>0.01</v>
      </c>
      <c r="AX1049">
        <v>7</v>
      </c>
      <c r="AY1049" s="1">
        <v>17</v>
      </c>
      <c r="AZ1049">
        <v>0</v>
      </c>
      <c r="BA1049">
        <v>0</v>
      </c>
      <c r="BB1049">
        <v>1</v>
      </c>
      <c r="BC1049" s="7">
        <v>0.32</v>
      </c>
      <c r="BD1049">
        <v>30</v>
      </c>
      <c r="BE1049">
        <v>0</v>
      </c>
      <c r="BF1049">
        <v>0</v>
      </c>
      <c r="BG1049">
        <v>0</v>
      </c>
      <c r="BH1049">
        <v>5</v>
      </c>
      <c r="BI1049">
        <v>2.4</v>
      </c>
      <c r="BJ1049">
        <v>31</v>
      </c>
      <c r="BK1049">
        <v>0</v>
      </c>
      <c r="BL1049">
        <v>0</v>
      </c>
      <c r="BM1049">
        <v>0</v>
      </c>
      <c r="BN1049">
        <v>5</v>
      </c>
      <c r="BO1049">
        <v>2.4</v>
      </c>
      <c r="BP1049">
        <v>36</v>
      </c>
      <c r="BQ1049">
        <v>0</v>
      </c>
      <c r="BR1049">
        <v>0</v>
      </c>
      <c r="BS1049">
        <v>0</v>
      </c>
      <c r="BT1049">
        <v>5</v>
      </c>
      <c r="BU1049">
        <v>1.9</v>
      </c>
    </row>
    <row r="1050" spans="1:73" ht="14.25" x14ac:dyDescent="0.15">
      <c r="A1050" s="12">
        <v>20547</v>
      </c>
      <c r="B1050">
        <v>7</v>
      </c>
      <c r="C1050" s="1">
        <v>46</v>
      </c>
      <c r="D1050">
        <v>0</v>
      </c>
      <c r="E1050">
        <v>0</v>
      </c>
      <c r="F1050">
        <v>1</v>
      </c>
      <c r="G1050" s="7">
        <v>0.05</v>
      </c>
      <c r="H1050">
        <v>12</v>
      </c>
      <c r="I1050">
        <v>0</v>
      </c>
      <c r="J1050">
        <v>0</v>
      </c>
      <c r="K1050">
        <v>0</v>
      </c>
      <c r="L1050">
        <v>1</v>
      </c>
      <c r="M1050">
        <v>2</v>
      </c>
      <c r="N1050" s="7">
        <v>9</v>
      </c>
      <c r="O1050" s="7">
        <v>0</v>
      </c>
      <c r="P1050" s="7">
        <v>0</v>
      </c>
      <c r="Q1050" s="7">
        <v>0</v>
      </c>
      <c r="R1050" s="7">
        <v>1</v>
      </c>
      <c r="S1050" s="7">
        <v>4.5</v>
      </c>
      <c r="T1050">
        <v>7</v>
      </c>
      <c r="U1050" s="1">
        <v>34</v>
      </c>
      <c r="V1050">
        <v>0</v>
      </c>
      <c r="W1050">
        <v>0</v>
      </c>
      <c r="X1050">
        <v>1</v>
      </c>
      <c r="Y1050">
        <v>0.16</v>
      </c>
      <c r="Z1050">
        <v>23</v>
      </c>
      <c r="AA1050">
        <v>0</v>
      </c>
      <c r="AB1050">
        <v>0</v>
      </c>
      <c r="AC1050">
        <v>0</v>
      </c>
      <c r="AD1050">
        <v>1</v>
      </c>
      <c r="AE1050">
        <v>0.05</v>
      </c>
      <c r="AF1050">
        <v>15</v>
      </c>
      <c r="AG1050">
        <v>0</v>
      </c>
      <c r="AH1050">
        <v>0</v>
      </c>
      <c r="AI1050">
        <v>0</v>
      </c>
      <c r="AJ1050">
        <v>1</v>
      </c>
      <c r="AK1050">
        <v>0.02</v>
      </c>
      <c r="AL1050">
        <v>16</v>
      </c>
      <c r="AM1050">
        <v>0</v>
      </c>
      <c r="AN1050">
        <v>0</v>
      </c>
      <c r="AO1050">
        <v>0</v>
      </c>
      <c r="AP1050">
        <v>1</v>
      </c>
      <c r="AQ1050">
        <v>0.01</v>
      </c>
      <c r="AX1050">
        <v>7</v>
      </c>
      <c r="AY1050" s="1">
        <v>18</v>
      </c>
      <c r="AZ1050">
        <v>0</v>
      </c>
      <c r="BA1050">
        <v>0</v>
      </c>
      <c r="BB1050">
        <v>1</v>
      </c>
      <c r="BC1050" s="7">
        <v>0.32</v>
      </c>
      <c r="BD1050">
        <v>30</v>
      </c>
      <c r="BE1050">
        <v>0</v>
      </c>
      <c r="BF1050">
        <v>0</v>
      </c>
      <c r="BG1050">
        <v>0</v>
      </c>
      <c r="BH1050">
        <v>5</v>
      </c>
      <c r="BI1050">
        <v>2.4</v>
      </c>
      <c r="BJ1050">
        <v>31</v>
      </c>
      <c r="BK1050">
        <v>0</v>
      </c>
      <c r="BL1050">
        <v>0</v>
      </c>
      <c r="BM1050">
        <v>0</v>
      </c>
      <c r="BN1050">
        <v>5</v>
      </c>
      <c r="BO1050">
        <v>2.4</v>
      </c>
      <c r="BP1050">
        <v>36</v>
      </c>
      <c r="BQ1050">
        <v>0</v>
      </c>
      <c r="BR1050">
        <v>0</v>
      </c>
      <c r="BS1050">
        <v>0</v>
      </c>
      <c r="BT1050">
        <v>5</v>
      </c>
      <c r="BU1050">
        <v>1.9</v>
      </c>
    </row>
    <row r="1051" spans="1:73" ht="14.25" x14ac:dyDescent="0.15">
      <c r="A1051" s="12">
        <v>20548</v>
      </c>
      <c r="B1051">
        <v>7</v>
      </c>
      <c r="C1051" s="1">
        <v>47</v>
      </c>
      <c r="D1051">
        <v>0</v>
      </c>
      <c r="E1051">
        <v>0</v>
      </c>
      <c r="F1051">
        <v>1</v>
      </c>
      <c r="G1051" s="7">
        <v>0.05</v>
      </c>
      <c r="H1051">
        <v>12</v>
      </c>
      <c r="I1051">
        <v>0</v>
      </c>
      <c r="J1051">
        <v>0</v>
      </c>
      <c r="K1051">
        <v>0</v>
      </c>
      <c r="L1051">
        <v>1</v>
      </c>
      <c r="M1051">
        <v>2</v>
      </c>
      <c r="N1051" s="7">
        <v>9</v>
      </c>
      <c r="O1051" s="7">
        <v>0</v>
      </c>
      <c r="P1051" s="7">
        <v>0</v>
      </c>
      <c r="Q1051" s="7">
        <v>0</v>
      </c>
      <c r="R1051" s="7">
        <v>1</v>
      </c>
      <c r="S1051" s="7">
        <v>4.5</v>
      </c>
      <c r="T1051">
        <v>7</v>
      </c>
      <c r="U1051" s="1">
        <v>35</v>
      </c>
      <c r="V1051">
        <v>0</v>
      </c>
      <c r="W1051">
        <v>0</v>
      </c>
      <c r="X1051">
        <v>1</v>
      </c>
      <c r="Y1051">
        <v>0.16</v>
      </c>
      <c r="Z1051">
        <v>23</v>
      </c>
      <c r="AA1051">
        <v>0</v>
      </c>
      <c r="AB1051">
        <v>0</v>
      </c>
      <c r="AC1051">
        <v>0</v>
      </c>
      <c r="AD1051">
        <v>1</v>
      </c>
      <c r="AE1051">
        <v>0.05</v>
      </c>
      <c r="AF1051">
        <v>15</v>
      </c>
      <c r="AG1051">
        <v>0</v>
      </c>
      <c r="AH1051">
        <v>0</v>
      </c>
      <c r="AI1051">
        <v>0</v>
      </c>
      <c r="AJ1051">
        <v>1</v>
      </c>
      <c r="AK1051">
        <v>0.02</v>
      </c>
      <c r="AL1051">
        <v>16</v>
      </c>
      <c r="AM1051">
        <v>0</v>
      </c>
      <c r="AN1051">
        <v>0</v>
      </c>
      <c r="AO1051">
        <v>0</v>
      </c>
      <c r="AP1051">
        <v>1</v>
      </c>
      <c r="AQ1051">
        <v>0.01</v>
      </c>
      <c r="AX1051">
        <v>7</v>
      </c>
      <c r="AY1051" s="1">
        <v>19</v>
      </c>
      <c r="AZ1051">
        <v>0</v>
      </c>
      <c r="BA1051">
        <v>0</v>
      </c>
      <c r="BB1051">
        <v>1</v>
      </c>
      <c r="BC1051" s="7">
        <v>0.32</v>
      </c>
      <c r="BD1051">
        <v>30</v>
      </c>
      <c r="BE1051">
        <v>0</v>
      </c>
      <c r="BF1051">
        <v>0</v>
      </c>
      <c r="BG1051">
        <v>0</v>
      </c>
      <c r="BH1051">
        <v>5</v>
      </c>
      <c r="BI1051">
        <v>2.4</v>
      </c>
      <c r="BJ1051">
        <v>31</v>
      </c>
      <c r="BK1051">
        <v>0</v>
      </c>
      <c r="BL1051">
        <v>0</v>
      </c>
      <c r="BM1051">
        <v>0</v>
      </c>
      <c r="BN1051">
        <v>5</v>
      </c>
      <c r="BO1051">
        <v>2.4</v>
      </c>
      <c r="BP1051">
        <v>36</v>
      </c>
      <c r="BQ1051">
        <v>0</v>
      </c>
      <c r="BR1051">
        <v>0</v>
      </c>
      <c r="BS1051">
        <v>0</v>
      </c>
      <c r="BT1051">
        <v>5</v>
      </c>
      <c r="BU1051">
        <v>1.9</v>
      </c>
    </row>
    <row r="1052" spans="1:73" ht="14.25" x14ac:dyDescent="0.15">
      <c r="A1052" s="12">
        <v>20549</v>
      </c>
      <c r="B1052">
        <v>7</v>
      </c>
      <c r="C1052" s="1">
        <v>48</v>
      </c>
      <c r="D1052">
        <v>0</v>
      </c>
      <c r="E1052">
        <v>0</v>
      </c>
      <c r="F1052">
        <v>1</v>
      </c>
      <c r="G1052" s="7">
        <v>0.05</v>
      </c>
      <c r="H1052">
        <v>12</v>
      </c>
      <c r="I1052">
        <v>0</v>
      </c>
      <c r="J1052">
        <v>0</v>
      </c>
      <c r="K1052">
        <v>0</v>
      </c>
      <c r="L1052">
        <v>1</v>
      </c>
      <c r="M1052">
        <v>2</v>
      </c>
      <c r="N1052" s="7">
        <v>9</v>
      </c>
      <c r="O1052" s="7">
        <v>0</v>
      </c>
      <c r="P1052" s="7">
        <v>0</v>
      </c>
      <c r="Q1052" s="7">
        <v>0</v>
      </c>
      <c r="R1052" s="7">
        <v>1</v>
      </c>
      <c r="S1052" s="7">
        <v>4.5</v>
      </c>
      <c r="T1052">
        <v>7</v>
      </c>
      <c r="U1052" s="1">
        <v>36</v>
      </c>
      <c r="V1052">
        <v>0</v>
      </c>
      <c r="W1052">
        <v>0</v>
      </c>
      <c r="X1052">
        <v>1</v>
      </c>
      <c r="Y1052">
        <v>0.16</v>
      </c>
      <c r="Z1052">
        <v>23</v>
      </c>
      <c r="AA1052">
        <v>0</v>
      </c>
      <c r="AB1052">
        <v>0</v>
      </c>
      <c r="AC1052">
        <v>0</v>
      </c>
      <c r="AD1052">
        <v>1</v>
      </c>
      <c r="AE1052">
        <v>0.05</v>
      </c>
      <c r="AF1052">
        <v>15</v>
      </c>
      <c r="AG1052">
        <v>0</v>
      </c>
      <c r="AH1052">
        <v>0</v>
      </c>
      <c r="AI1052">
        <v>0</v>
      </c>
      <c r="AJ1052">
        <v>1</v>
      </c>
      <c r="AK1052">
        <v>0.02</v>
      </c>
      <c r="AL1052">
        <v>16</v>
      </c>
      <c r="AM1052">
        <v>0</v>
      </c>
      <c r="AN1052">
        <v>0</v>
      </c>
      <c r="AO1052">
        <v>0</v>
      </c>
      <c r="AP1052">
        <v>1</v>
      </c>
      <c r="AQ1052">
        <v>0.01</v>
      </c>
      <c r="AX1052">
        <v>7</v>
      </c>
      <c r="AY1052" s="1">
        <v>20</v>
      </c>
      <c r="AZ1052">
        <v>0</v>
      </c>
      <c r="BA1052">
        <v>0</v>
      </c>
      <c r="BB1052">
        <v>1</v>
      </c>
      <c r="BC1052" s="7">
        <v>0.32</v>
      </c>
      <c r="BD1052">
        <v>30</v>
      </c>
      <c r="BE1052">
        <v>0</v>
      </c>
      <c r="BF1052">
        <v>0</v>
      </c>
      <c r="BG1052">
        <v>0</v>
      </c>
      <c r="BH1052">
        <v>5</v>
      </c>
      <c r="BI1052">
        <v>2.4</v>
      </c>
      <c r="BJ1052">
        <v>31</v>
      </c>
      <c r="BK1052">
        <v>0</v>
      </c>
      <c r="BL1052">
        <v>0</v>
      </c>
      <c r="BM1052">
        <v>0</v>
      </c>
      <c r="BN1052">
        <v>5</v>
      </c>
      <c r="BO1052">
        <v>2.4</v>
      </c>
      <c r="BP1052">
        <v>36</v>
      </c>
      <c r="BQ1052">
        <v>0</v>
      </c>
      <c r="BR1052">
        <v>0</v>
      </c>
      <c r="BS1052">
        <v>0</v>
      </c>
      <c r="BT1052">
        <v>5</v>
      </c>
      <c r="BU1052">
        <v>1.9</v>
      </c>
    </row>
    <row r="1053" spans="1:73" ht="14.25" x14ac:dyDescent="0.15">
      <c r="A1053" s="12">
        <v>20550</v>
      </c>
      <c r="B1053">
        <v>7</v>
      </c>
      <c r="C1053" s="1">
        <v>0</v>
      </c>
      <c r="D1053">
        <v>5</v>
      </c>
      <c r="E1053">
        <v>1</v>
      </c>
      <c r="F1053">
        <v>1</v>
      </c>
      <c r="G1053" s="7">
        <v>0.05</v>
      </c>
      <c r="H1053">
        <v>12</v>
      </c>
      <c r="I1053">
        <v>0</v>
      </c>
      <c r="J1053">
        <v>0</v>
      </c>
      <c r="K1053">
        <v>0</v>
      </c>
      <c r="L1053">
        <v>1</v>
      </c>
      <c r="M1053">
        <v>2</v>
      </c>
      <c r="N1053" s="7">
        <v>9</v>
      </c>
      <c r="O1053" s="7">
        <v>0</v>
      </c>
      <c r="P1053" s="7">
        <v>0</v>
      </c>
      <c r="Q1053" s="7">
        <v>0</v>
      </c>
      <c r="R1053" s="7">
        <v>1</v>
      </c>
      <c r="S1053" s="7">
        <v>4.5</v>
      </c>
      <c r="T1053">
        <v>7</v>
      </c>
      <c r="U1053" s="1">
        <v>0</v>
      </c>
      <c r="V1053">
        <v>4</v>
      </c>
      <c r="W1053">
        <v>2</v>
      </c>
      <c r="X1053">
        <v>1</v>
      </c>
      <c r="Y1053">
        <v>0.16</v>
      </c>
      <c r="Z1053">
        <v>23</v>
      </c>
      <c r="AA1053">
        <v>0</v>
      </c>
      <c r="AB1053">
        <v>0</v>
      </c>
      <c r="AC1053">
        <v>0</v>
      </c>
      <c r="AD1053">
        <v>1</v>
      </c>
      <c r="AE1053">
        <v>0.05</v>
      </c>
      <c r="AF1053">
        <v>15</v>
      </c>
      <c r="AG1053">
        <v>0</v>
      </c>
      <c r="AH1053">
        <v>0</v>
      </c>
      <c r="AI1053">
        <v>0</v>
      </c>
      <c r="AJ1053">
        <v>1</v>
      </c>
      <c r="AK1053">
        <v>0.02</v>
      </c>
      <c r="AL1053">
        <v>16</v>
      </c>
      <c r="AM1053">
        <v>0</v>
      </c>
      <c r="AN1053">
        <v>0</v>
      </c>
      <c r="AO1053">
        <v>0</v>
      </c>
      <c r="AP1053">
        <v>1</v>
      </c>
      <c r="AQ1053">
        <v>0.01</v>
      </c>
      <c r="AR1053">
        <v>6</v>
      </c>
      <c r="AS1053">
        <v>2</v>
      </c>
      <c r="AT1053">
        <v>5</v>
      </c>
      <c r="AU1053">
        <v>5</v>
      </c>
      <c r="AV1053">
        <v>1</v>
      </c>
      <c r="AW1053">
        <v>0.01</v>
      </c>
      <c r="AX1053">
        <v>7</v>
      </c>
      <c r="AY1053" s="1">
        <v>0</v>
      </c>
      <c r="AZ1053">
        <v>3</v>
      </c>
      <c r="BA1053">
        <v>1</v>
      </c>
      <c r="BB1053">
        <v>1</v>
      </c>
      <c r="BC1053" s="7">
        <v>0.32</v>
      </c>
      <c r="BD1053">
        <v>30</v>
      </c>
      <c r="BE1053">
        <v>0</v>
      </c>
      <c r="BF1053">
        <v>0</v>
      </c>
      <c r="BG1053">
        <v>0</v>
      </c>
      <c r="BH1053">
        <v>5</v>
      </c>
      <c r="BI1053">
        <v>2.4</v>
      </c>
      <c r="BJ1053">
        <v>31</v>
      </c>
      <c r="BK1053">
        <v>0</v>
      </c>
      <c r="BL1053">
        <v>0</v>
      </c>
      <c r="BM1053">
        <v>0</v>
      </c>
      <c r="BN1053">
        <v>5</v>
      </c>
      <c r="BO1053">
        <v>2.4</v>
      </c>
      <c r="BP1053">
        <v>36</v>
      </c>
      <c r="BQ1053">
        <v>0</v>
      </c>
      <c r="BR1053">
        <v>0</v>
      </c>
      <c r="BS1053">
        <v>0</v>
      </c>
      <c r="BT1053">
        <v>5</v>
      </c>
      <c r="BU1053">
        <v>1.9</v>
      </c>
    </row>
    <row r="1054" spans="1:73" ht="14.25" x14ac:dyDescent="0.15">
      <c r="A1054" s="12">
        <v>20601</v>
      </c>
      <c r="B1054">
        <v>7</v>
      </c>
      <c r="C1054" s="1">
        <v>45</v>
      </c>
      <c r="D1054">
        <v>0</v>
      </c>
      <c r="E1054">
        <v>0</v>
      </c>
      <c r="F1054">
        <v>1</v>
      </c>
      <c r="G1054" s="7">
        <v>0.05</v>
      </c>
      <c r="H1054">
        <v>12</v>
      </c>
      <c r="I1054">
        <v>0</v>
      </c>
      <c r="J1054">
        <v>0</v>
      </c>
      <c r="K1054">
        <v>0</v>
      </c>
      <c r="L1054">
        <v>1</v>
      </c>
      <c r="M1054">
        <v>2</v>
      </c>
      <c r="N1054" s="7">
        <v>9</v>
      </c>
      <c r="O1054" s="7">
        <v>0</v>
      </c>
      <c r="P1054" s="7">
        <v>0</v>
      </c>
      <c r="Q1054" s="7">
        <v>0</v>
      </c>
      <c r="R1054" s="7">
        <v>1</v>
      </c>
      <c r="S1054" s="7">
        <v>4.5</v>
      </c>
      <c r="T1054">
        <v>7</v>
      </c>
      <c r="U1054" s="1">
        <v>33</v>
      </c>
      <c r="V1054">
        <v>0</v>
      </c>
      <c r="W1054">
        <v>0</v>
      </c>
      <c r="X1054">
        <v>1</v>
      </c>
      <c r="Y1054">
        <v>0.16</v>
      </c>
      <c r="Z1054">
        <v>23</v>
      </c>
      <c r="AA1054">
        <v>0</v>
      </c>
      <c r="AB1054">
        <v>0</v>
      </c>
      <c r="AC1054">
        <v>0</v>
      </c>
      <c r="AD1054">
        <v>1</v>
      </c>
      <c r="AE1054">
        <v>0.05</v>
      </c>
      <c r="AF1054">
        <v>15</v>
      </c>
      <c r="AG1054">
        <v>0</v>
      </c>
      <c r="AH1054">
        <v>0</v>
      </c>
      <c r="AI1054">
        <v>0</v>
      </c>
      <c r="AJ1054">
        <v>1</v>
      </c>
      <c r="AK1054">
        <v>0.02</v>
      </c>
      <c r="AL1054">
        <v>16</v>
      </c>
      <c r="AM1054">
        <v>0</v>
      </c>
      <c r="AN1054">
        <v>0</v>
      </c>
      <c r="AO1054">
        <v>0</v>
      </c>
      <c r="AP1054">
        <v>1</v>
      </c>
      <c r="AQ1054">
        <v>0.01</v>
      </c>
      <c r="AX1054">
        <v>7</v>
      </c>
      <c r="AY1054" s="1">
        <v>17</v>
      </c>
      <c r="AZ1054">
        <v>0</v>
      </c>
      <c r="BA1054">
        <v>0</v>
      </c>
      <c r="BB1054">
        <v>1</v>
      </c>
      <c r="BC1054" s="7">
        <v>0.32</v>
      </c>
      <c r="BD1054">
        <v>30</v>
      </c>
      <c r="BE1054">
        <v>0</v>
      </c>
      <c r="BF1054">
        <v>0</v>
      </c>
      <c r="BG1054">
        <v>0</v>
      </c>
      <c r="BH1054">
        <v>5</v>
      </c>
      <c r="BI1054">
        <v>2.4</v>
      </c>
      <c r="BJ1054">
        <v>31</v>
      </c>
      <c r="BK1054">
        <v>0</v>
      </c>
      <c r="BL1054">
        <v>0</v>
      </c>
      <c r="BM1054">
        <v>0</v>
      </c>
      <c r="BN1054">
        <v>5</v>
      </c>
      <c r="BO1054">
        <v>2.4</v>
      </c>
      <c r="BP1054">
        <v>36</v>
      </c>
      <c r="BQ1054">
        <v>0</v>
      </c>
      <c r="BR1054">
        <v>0</v>
      </c>
      <c r="BS1054">
        <v>0</v>
      </c>
      <c r="BT1054">
        <v>5</v>
      </c>
      <c r="BU1054">
        <v>1.9</v>
      </c>
    </row>
    <row r="1055" spans="1:73" ht="14.25" x14ac:dyDescent="0.15">
      <c r="A1055" s="12">
        <v>20602</v>
      </c>
      <c r="B1055">
        <v>7</v>
      </c>
      <c r="C1055" s="1">
        <v>46</v>
      </c>
      <c r="D1055">
        <v>0</v>
      </c>
      <c r="E1055">
        <v>0</v>
      </c>
      <c r="F1055">
        <v>1</v>
      </c>
      <c r="G1055" s="7">
        <v>0.05</v>
      </c>
      <c r="H1055">
        <v>12</v>
      </c>
      <c r="I1055">
        <v>0</v>
      </c>
      <c r="J1055">
        <v>0</v>
      </c>
      <c r="K1055">
        <v>0</v>
      </c>
      <c r="L1055">
        <v>1</v>
      </c>
      <c r="M1055">
        <v>2</v>
      </c>
      <c r="N1055" s="7">
        <v>9</v>
      </c>
      <c r="O1055" s="7">
        <v>0</v>
      </c>
      <c r="P1055" s="7">
        <v>0</v>
      </c>
      <c r="Q1055" s="7">
        <v>0</v>
      </c>
      <c r="R1055" s="7">
        <v>1</v>
      </c>
      <c r="S1055" s="7">
        <v>4.5</v>
      </c>
      <c r="T1055">
        <v>7</v>
      </c>
      <c r="U1055" s="1">
        <v>34</v>
      </c>
      <c r="V1055">
        <v>0</v>
      </c>
      <c r="W1055">
        <v>0</v>
      </c>
      <c r="X1055">
        <v>1</v>
      </c>
      <c r="Y1055">
        <v>0.16</v>
      </c>
      <c r="Z1055">
        <v>23</v>
      </c>
      <c r="AA1055">
        <v>0</v>
      </c>
      <c r="AB1055">
        <v>0</v>
      </c>
      <c r="AC1055">
        <v>0</v>
      </c>
      <c r="AD1055">
        <v>1</v>
      </c>
      <c r="AE1055">
        <v>0.05</v>
      </c>
      <c r="AF1055">
        <v>15</v>
      </c>
      <c r="AG1055">
        <v>0</v>
      </c>
      <c r="AH1055">
        <v>0</v>
      </c>
      <c r="AI1055">
        <v>0</v>
      </c>
      <c r="AJ1055">
        <v>1</v>
      </c>
      <c r="AK1055">
        <v>0.02</v>
      </c>
      <c r="AL1055">
        <v>16</v>
      </c>
      <c r="AM1055">
        <v>0</v>
      </c>
      <c r="AN1055">
        <v>0</v>
      </c>
      <c r="AO1055">
        <v>0</v>
      </c>
      <c r="AP1055">
        <v>1</v>
      </c>
      <c r="AQ1055">
        <v>0.01</v>
      </c>
      <c r="AX1055">
        <v>7</v>
      </c>
      <c r="AY1055" s="1">
        <v>18</v>
      </c>
      <c r="AZ1055">
        <v>0</v>
      </c>
      <c r="BA1055">
        <v>0</v>
      </c>
      <c r="BB1055">
        <v>1</v>
      </c>
      <c r="BC1055" s="7">
        <v>0.32</v>
      </c>
      <c r="BD1055">
        <v>30</v>
      </c>
      <c r="BE1055">
        <v>0</v>
      </c>
      <c r="BF1055">
        <v>0</v>
      </c>
      <c r="BG1055">
        <v>0</v>
      </c>
      <c r="BH1055">
        <v>5</v>
      </c>
      <c r="BI1055">
        <v>2.4</v>
      </c>
      <c r="BJ1055">
        <v>31</v>
      </c>
      <c r="BK1055">
        <v>0</v>
      </c>
      <c r="BL1055">
        <v>0</v>
      </c>
      <c r="BM1055">
        <v>0</v>
      </c>
      <c r="BN1055">
        <v>5</v>
      </c>
      <c r="BO1055">
        <v>2.4</v>
      </c>
      <c r="BP1055">
        <v>36</v>
      </c>
      <c r="BQ1055">
        <v>0</v>
      </c>
      <c r="BR1055">
        <v>0</v>
      </c>
      <c r="BS1055">
        <v>0</v>
      </c>
      <c r="BT1055">
        <v>5</v>
      </c>
      <c r="BU1055">
        <v>1.9</v>
      </c>
    </row>
    <row r="1056" spans="1:73" ht="14.25" x14ac:dyDescent="0.15">
      <c r="A1056" s="12">
        <v>20603</v>
      </c>
      <c r="B1056">
        <v>7</v>
      </c>
      <c r="C1056" s="1">
        <v>47</v>
      </c>
      <c r="D1056">
        <v>0</v>
      </c>
      <c r="E1056">
        <v>0</v>
      </c>
      <c r="F1056">
        <v>1</v>
      </c>
      <c r="G1056" s="7">
        <v>0.05</v>
      </c>
      <c r="H1056">
        <v>12</v>
      </c>
      <c r="I1056">
        <v>0</v>
      </c>
      <c r="J1056">
        <v>0</v>
      </c>
      <c r="K1056">
        <v>0</v>
      </c>
      <c r="L1056">
        <v>1</v>
      </c>
      <c r="M1056">
        <v>2</v>
      </c>
      <c r="N1056" s="7">
        <v>9</v>
      </c>
      <c r="O1056" s="7">
        <v>0</v>
      </c>
      <c r="P1056" s="7">
        <v>0</v>
      </c>
      <c r="Q1056" s="7">
        <v>0</v>
      </c>
      <c r="R1056" s="7">
        <v>1</v>
      </c>
      <c r="S1056" s="7">
        <v>4.5</v>
      </c>
      <c r="T1056">
        <v>7</v>
      </c>
      <c r="U1056" s="1">
        <v>35</v>
      </c>
      <c r="V1056">
        <v>0</v>
      </c>
      <c r="W1056">
        <v>0</v>
      </c>
      <c r="X1056">
        <v>1</v>
      </c>
      <c r="Y1056">
        <v>0.16</v>
      </c>
      <c r="Z1056">
        <v>23</v>
      </c>
      <c r="AA1056">
        <v>0</v>
      </c>
      <c r="AB1056">
        <v>0</v>
      </c>
      <c r="AC1056">
        <v>0</v>
      </c>
      <c r="AD1056">
        <v>1</v>
      </c>
      <c r="AE1056">
        <v>0.05</v>
      </c>
      <c r="AF1056">
        <v>15</v>
      </c>
      <c r="AG1056">
        <v>0</v>
      </c>
      <c r="AH1056">
        <v>0</v>
      </c>
      <c r="AI1056">
        <v>0</v>
      </c>
      <c r="AJ1056">
        <v>1</v>
      </c>
      <c r="AK1056">
        <v>0.02</v>
      </c>
      <c r="AL1056">
        <v>16</v>
      </c>
      <c r="AM1056">
        <v>0</v>
      </c>
      <c r="AN1056">
        <v>0</v>
      </c>
      <c r="AO1056">
        <v>0</v>
      </c>
      <c r="AP1056">
        <v>1</v>
      </c>
      <c r="AQ1056">
        <v>0.01</v>
      </c>
      <c r="AX1056">
        <v>7</v>
      </c>
      <c r="AY1056" s="1">
        <v>19</v>
      </c>
      <c r="AZ1056">
        <v>0</v>
      </c>
      <c r="BA1056">
        <v>0</v>
      </c>
      <c r="BB1056">
        <v>1</v>
      </c>
      <c r="BC1056" s="7">
        <v>0.32</v>
      </c>
      <c r="BD1056">
        <v>30</v>
      </c>
      <c r="BE1056">
        <v>0</v>
      </c>
      <c r="BF1056">
        <v>0</v>
      </c>
      <c r="BG1056">
        <v>0</v>
      </c>
      <c r="BH1056">
        <v>5</v>
      </c>
      <c r="BI1056">
        <v>2.4</v>
      </c>
      <c r="BJ1056">
        <v>31</v>
      </c>
      <c r="BK1056">
        <v>0</v>
      </c>
      <c r="BL1056">
        <v>0</v>
      </c>
      <c r="BM1056">
        <v>0</v>
      </c>
      <c r="BN1056">
        <v>5</v>
      </c>
      <c r="BO1056">
        <v>2.4</v>
      </c>
      <c r="BP1056">
        <v>36</v>
      </c>
      <c r="BQ1056">
        <v>0</v>
      </c>
      <c r="BR1056">
        <v>0</v>
      </c>
      <c r="BS1056">
        <v>0</v>
      </c>
      <c r="BT1056">
        <v>5</v>
      </c>
      <c r="BU1056">
        <v>1.9</v>
      </c>
    </row>
    <row r="1057" spans="1:73" ht="14.25" x14ac:dyDescent="0.15">
      <c r="A1057" s="12">
        <v>20604</v>
      </c>
      <c r="B1057">
        <v>7</v>
      </c>
      <c r="C1057" s="1">
        <v>48</v>
      </c>
      <c r="D1057">
        <v>0</v>
      </c>
      <c r="E1057">
        <v>0</v>
      </c>
      <c r="F1057">
        <v>1</v>
      </c>
      <c r="G1057" s="7">
        <v>0.05</v>
      </c>
      <c r="H1057">
        <v>12</v>
      </c>
      <c r="I1057">
        <v>0</v>
      </c>
      <c r="J1057">
        <v>0</v>
      </c>
      <c r="K1057">
        <v>0</v>
      </c>
      <c r="L1057">
        <v>1</v>
      </c>
      <c r="M1057">
        <v>2</v>
      </c>
      <c r="N1057" s="7">
        <v>9</v>
      </c>
      <c r="O1057" s="7">
        <v>0</v>
      </c>
      <c r="P1057" s="7">
        <v>0</v>
      </c>
      <c r="Q1057" s="7">
        <v>0</v>
      </c>
      <c r="R1057" s="7">
        <v>1</v>
      </c>
      <c r="S1057" s="7">
        <v>4.5</v>
      </c>
      <c r="T1057">
        <v>7</v>
      </c>
      <c r="U1057" s="1">
        <v>36</v>
      </c>
      <c r="V1057">
        <v>0</v>
      </c>
      <c r="W1057">
        <v>0</v>
      </c>
      <c r="X1057">
        <v>1</v>
      </c>
      <c r="Y1057">
        <v>0.16</v>
      </c>
      <c r="Z1057">
        <v>23</v>
      </c>
      <c r="AA1057">
        <v>0</v>
      </c>
      <c r="AB1057">
        <v>0</v>
      </c>
      <c r="AC1057">
        <v>0</v>
      </c>
      <c r="AD1057">
        <v>1</v>
      </c>
      <c r="AE1057">
        <v>0.05</v>
      </c>
      <c r="AF1057">
        <v>15</v>
      </c>
      <c r="AG1057">
        <v>0</v>
      </c>
      <c r="AH1057">
        <v>0</v>
      </c>
      <c r="AI1057">
        <v>0</v>
      </c>
      <c r="AJ1057">
        <v>1</v>
      </c>
      <c r="AK1057">
        <v>0.02</v>
      </c>
      <c r="AL1057">
        <v>16</v>
      </c>
      <c r="AM1057">
        <v>0</v>
      </c>
      <c r="AN1057">
        <v>0</v>
      </c>
      <c r="AO1057">
        <v>0</v>
      </c>
      <c r="AP1057">
        <v>1</v>
      </c>
      <c r="AQ1057">
        <v>0.01</v>
      </c>
      <c r="AX1057">
        <v>7</v>
      </c>
      <c r="AY1057" s="1">
        <v>20</v>
      </c>
      <c r="AZ1057">
        <v>0</v>
      </c>
      <c r="BA1057">
        <v>0</v>
      </c>
      <c r="BB1057">
        <v>1</v>
      </c>
      <c r="BC1057" s="7">
        <v>0.32</v>
      </c>
      <c r="BD1057">
        <v>30</v>
      </c>
      <c r="BE1057">
        <v>0</v>
      </c>
      <c r="BF1057">
        <v>0</v>
      </c>
      <c r="BG1057">
        <v>0</v>
      </c>
      <c r="BH1057">
        <v>5</v>
      </c>
      <c r="BI1057">
        <v>2.4</v>
      </c>
      <c r="BJ1057">
        <v>31</v>
      </c>
      <c r="BK1057">
        <v>0</v>
      </c>
      <c r="BL1057">
        <v>0</v>
      </c>
      <c r="BM1057">
        <v>0</v>
      </c>
      <c r="BN1057">
        <v>5</v>
      </c>
      <c r="BO1057">
        <v>2.4</v>
      </c>
      <c r="BP1057">
        <v>36</v>
      </c>
      <c r="BQ1057">
        <v>0</v>
      </c>
      <c r="BR1057">
        <v>0</v>
      </c>
      <c r="BS1057">
        <v>0</v>
      </c>
      <c r="BT1057">
        <v>5</v>
      </c>
      <c r="BU1057">
        <v>1.9</v>
      </c>
    </row>
    <row r="1058" spans="1:73" ht="14.25" x14ac:dyDescent="0.15">
      <c r="A1058" s="12">
        <v>20605</v>
      </c>
      <c r="B1058">
        <v>7</v>
      </c>
      <c r="C1058" s="1">
        <v>0</v>
      </c>
      <c r="D1058">
        <v>5</v>
      </c>
      <c r="E1058">
        <v>1</v>
      </c>
      <c r="F1058">
        <v>1</v>
      </c>
      <c r="G1058" s="7">
        <v>0.05</v>
      </c>
      <c r="H1058">
        <v>12</v>
      </c>
      <c r="I1058">
        <v>0</v>
      </c>
      <c r="J1058">
        <v>0</v>
      </c>
      <c r="K1058">
        <v>0</v>
      </c>
      <c r="L1058">
        <v>1</v>
      </c>
      <c r="M1058">
        <v>2</v>
      </c>
      <c r="N1058" s="7">
        <v>9</v>
      </c>
      <c r="O1058" s="7">
        <v>0</v>
      </c>
      <c r="P1058" s="7">
        <v>0</v>
      </c>
      <c r="Q1058" s="7">
        <v>0</v>
      </c>
      <c r="R1058" s="7">
        <v>1</v>
      </c>
      <c r="S1058" s="7">
        <v>4.5</v>
      </c>
      <c r="T1058">
        <v>7</v>
      </c>
      <c r="U1058" s="1">
        <v>0</v>
      </c>
      <c r="V1058">
        <v>4</v>
      </c>
      <c r="W1058">
        <v>2</v>
      </c>
      <c r="X1058">
        <v>1</v>
      </c>
      <c r="Y1058">
        <v>0.16</v>
      </c>
      <c r="Z1058">
        <v>23</v>
      </c>
      <c r="AA1058">
        <v>0</v>
      </c>
      <c r="AB1058">
        <v>0</v>
      </c>
      <c r="AC1058">
        <v>0</v>
      </c>
      <c r="AD1058">
        <v>1</v>
      </c>
      <c r="AE1058">
        <v>0.05</v>
      </c>
      <c r="AF1058">
        <v>15</v>
      </c>
      <c r="AG1058">
        <v>0</v>
      </c>
      <c r="AH1058">
        <v>0</v>
      </c>
      <c r="AI1058">
        <v>0</v>
      </c>
      <c r="AJ1058">
        <v>1</v>
      </c>
      <c r="AK1058">
        <v>0.02</v>
      </c>
      <c r="AL1058">
        <v>16</v>
      </c>
      <c r="AM1058">
        <v>0</v>
      </c>
      <c r="AN1058">
        <v>0</v>
      </c>
      <c r="AO1058">
        <v>0</v>
      </c>
      <c r="AP1058">
        <v>1</v>
      </c>
      <c r="AQ1058">
        <v>0.01</v>
      </c>
      <c r="AR1058">
        <v>6</v>
      </c>
      <c r="AS1058">
        <v>2</v>
      </c>
      <c r="AT1058">
        <v>1</v>
      </c>
      <c r="AU1058">
        <v>5</v>
      </c>
      <c r="AV1058">
        <v>1</v>
      </c>
      <c r="AW1058">
        <v>0.05</v>
      </c>
      <c r="AX1058">
        <v>7</v>
      </c>
      <c r="AY1058" s="1">
        <v>0</v>
      </c>
      <c r="AZ1058">
        <v>3</v>
      </c>
      <c r="BA1058">
        <v>1</v>
      </c>
      <c r="BB1058">
        <v>1</v>
      </c>
      <c r="BC1058" s="7">
        <v>0.32</v>
      </c>
      <c r="BD1058">
        <v>30</v>
      </c>
      <c r="BE1058">
        <v>0</v>
      </c>
      <c r="BF1058">
        <v>0</v>
      </c>
      <c r="BG1058">
        <v>0</v>
      </c>
      <c r="BH1058">
        <v>5</v>
      </c>
      <c r="BI1058">
        <v>2.4</v>
      </c>
      <c r="BJ1058">
        <v>31</v>
      </c>
      <c r="BK1058">
        <v>0</v>
      </c>
      <c r="BL1058">
        <v>0</v>
      </c>
      <c r="BM1058">
        <v>0</v>
      </c>
      <c r="BN1058">
        <v>5</v>
      </c>
      <c r="BO1058">
        <v>2.4</v>
      </c>
      <c r="BP1058">
        <v>36</v>
      </c>
      <c r="BQ1058">
        <v>0</v>
      </c>
      <c r="BR1058">
        <v>0</v>
      </c>
      <c r="BS1058">
        <v>0</v>
      </c>
      <c r="BT1058">
        <v>5</v>
      </c>
      <c r="BU1058">
        <v>1.9</v>
      </c>
    </row>
    <row r="1059" spans="1:73" ht="14.25" x14ac:dyDescent="0.15">
      <c r="A1059" s="12">
        <v>20606</v>
      </c>
      <c r="B1059">
        <v>7</v>
      </c>
      <c r="C1059" s="1">
        <v>45</v>
      </c>
      <c r="D1059">
        <v>0</v>
      </c>
      <c r="E1059">
        <v>0</v>
      </c>
      <c r="F1059">
        <v>1</v>
      </c>
      <c r="G1059" s="7">
        <v>0.05</v>
      </c>
      <c r="H1059">
        <v>12</v>
      </c>
      <c r="I1059">
        <v>0</v>
      </c>
      <c r="J1059">
        <v>0</v>
      </c>
      <c r="K1059">
        <v>0</v>
      </c>
      <c r="L1059">
        <v>1</v>
      </c>
      <c r="M1059">
        <v>2</v>
      </c>
      <c r="N1059" s="7">
        <v>9</v>
      </c>
      <c r="O1059" s="7">
        <v>0</v>
      </c>
      <c r="P1059" s="7">
        <v>0</v>
      </c>
      <c r="Q1059" s="7">
        <v>0</v>
      </c>
      <c r="R1059" s="7">
        <v>1</v>
      </c>
      <c r="S1059" s="7">
        <v>4.5</v>
      </c>
      <c r="T1059">
        <v>7</v>
      </c>
      <c r="U1059" s="1">
        <v>33</v>
      </c>
      <c r="V1059">
        <v>0</v>
      </c>
      <c r="W1059">
        <v>0</v>
      </c>
      <c r="X1059">
        <v>1</v>
      </c>
      <c r="Y1059">
        <v>0.16</v>
      </c>
      <c r="Z1059">
        <v>23</v>
      </c>
      <c r="AA1059">
        <v>0</v>
      </c>
      <c r="AB1059">
        <v>0</v>
      </c>
      <c r="AC1059">
        <v>0</v>
      </c>
      <c r="AD1059">
        <v>1</v>
      </c>
      <c r="AE1059">
        <v>0.05</v>
      </c>
      <c r="AF1059">
        <v>15</v>
      </c>
      <c r="AG1059">
        <v>0</v>
      </c>
      <c r="AH1059">
        <v>0</v>
      </c>
      <c r="AI1059">
        <v>0</v>
      </c>
      <c r="AJ1059">
        <v>1</v>
      </c>
      <c r="AK1059">
        <v>0.02</v>
      </c>
      <c r="AL1059">
        <v>16</v>
      </c>
      <c r="AM1059">
        <v>0</v>
      </c>
      <c r="AN1059">
        <v>0</v>
      </c>
      <c r="AO1059">
        <v>0</v>
      </c>
      <c r="AP1059">
        <v>1</v>
      </c>
      <c r="AQ1059">
        <v>0.01</v>
      </c>
      <c r="AX1059">
        <v>7</v>
      </c>
      <c r="AY1059" s="1">
        <v>17</v>
      </c>
      <c r="AZ1059">
        <v>0</v>
      </c>
      <c r="BA1059">
        <v>0</v>
      </c>
      <c r="BB1059">
        <v>1</v>
      </c>
      <c r="BC1059" s="7">
        <v>0.32</v>
      </c>
      <c r="BD1059">
        <v>30</v>
      </c>
      <c r="BE1059">
        <v>0</v>
      </c>
      <c r="BF1059">
        <v>0</v>
      </c>
      <c r="BG1059">
        <v>0</v>
      </c>
      <c r="BH1059">
        <v>5</v>
      </c>
      <c r="BI1059">
        <v>2.4</v>
      </c>
      <c r="BJ1059">
        <v>31</v>
      </c>
      <c r="BK1059">
        <v>0</v>
      </c>
      <c r="BL1059">
        <v>0</v>
      </c>
      <c r="BM1059">
        <v>0</v>
      </c>
      <c r="BN1059">
        <v>5</v>
      </c>
      <c r="BO1059">
        <v>2.4</v>
      </c>
      <c r="BP1059">
        <v>36</v>
      </c>
      <c r="BQ1059">
        <v>0</v>
      </c>
      <c r="BR1059">
        <v>0</v>
      </c>
      <c r="BS1059">
        <v>0</v>
      </c>
      <c r="BT1059">
        <v>5</v>
      </c>
      <c r="BU1059">
        <v>1.9</v>
      </c>
    </row>
    <row r="1060" spans="1:73" ht="14.25" x14ac:dyDescent="0.15">
      <c r="A1060" s="12">
        <v>20607</v>
      </c>
      <c r="B1060">
        <v>7</v>
      </c>
      <c r="C1060" s="1">
        <v>46</v>
      </c>
      <c r="D1060">
        <v>0</v>
      </c>
      <c r="E1060">
        <v>0</v>
      </c>
      <c r="F1060">
        <v>1</v>
      </c>
      <c r="G1060" s="7">
        <v>0.05</v>
      </c>
      <c r="H1060">
        <v>12</v>
      </c>
      <c r="I1060">
        <v>0</v>
      </c>
      <c r="J1060">
        <v>0</v>
      </c>
      <c r="K1060">
        <v>0</v>
      </c>
      <c r="L1060">
        <v>1</v>
      </c>
      <c r="M1060">
        <v>2</v>
      </c>
      <c r="N1060" s="7">
        <v>9</v>
      </c>
      <c r="O1060" s="7">
        <v>0</v>
      </c>
      <c r="P1060" s="7">
        <v>0</v>
      </c>
      <c r="Q1060" s="7">
        <v>0</v>
      </c>
      <c r="R1060" s="7">
        <v>1</v>
      </c>
      <c r="S1060" s="7">
        <v>4.5</v>
      </c>
      <c r="T1060">
        <v>7</v>
      </c>
      <c r="U1060" s="1">
        <v>34</v>
      </c>
      <c r="V1060">
        <v>0</v>
      </c>
      <c r="W1060">
        <v>0</v>
      </c>
      <c r="X1060">
        <v>1</v>
      </c>
      <c r="Y1060">
        <v>0.16</v>
      </c>
      <c r="Z1060">
        <v>23</v>
      </c>
      <c r="AA1060">
        <v>0</v>
      </c>
      <c r="AB1060">
        <v>0</v>
      </c>
      <c r="AC1060">
        <v>0</v>
      </c>
      <c r="AD1060">
        <v>1</v>
      </c>
      <c r="AE1060">
        <v>0.05</v>
      </c>
      <c r="AF1060">
        <v>15</v>
      </c>
      <c r="AG1060">
        <v>0</v>
      </c>
      <c r="AH1060">
        <v>0</v>
      </c>
      <c r="AI1060">
        <v>0</v>
      </c>
      <c r="AJ1060">
        <v>1</v>
      </c>
      <c r="AK1060">
        <v>0.02</v>
      </c>
      <c r="AL1060">
        <v>16</v>
      </c>
      <c r="AM1060">
        <v>0</v>
      </c>
      <c r="AN1060">
        <v>0</v>
      </c>
      <c r="AO1060">
        <v>0</v>
      </c>
      <c r="AP1060">
        <v>1</v>
      </c>
      <c r="AQ1060">
        <v>0.01</v>
      </c>
      <c r="AX1060">
        <v>7</v>
      </c>
      <c r="AY1060" s="1">
        <v>18</v>
      </c>
      <c r="AZ1060">
        <v>0</v>
      </c>
      <c r="BA1060">
        <v>0</v>
      </c>
      <c r="BB1060">
        <v>1</v>
      </c>
      <c r="BC1060" s="7">
        <v>0.32</v>
      </c>
      <c r="BD1060">
        <v>30</v>
      </c>
      <c r="BE1060">
        <v>0</v>
      </c>
      <c r="BF1060">
        <v>0</v>
      </c>
      <c r="BG1060">
        <v>0</v>
      </c>
      <c r="BH1060">
        <v>5</v>
      </c>
      <c r="BI1060">
        <v>2.4</v>
      </c>
      <c r="BJ1060">
        <v>31</v>
      </c>
      <c r="BK1060">
        <v>0</v>
      </c>
      <c r="BL1060">
        <v>0</v>
      </c>
      <c r="BM1060">
        <v>0</v>
      </c>
      <c r="BN1060">
        <v>5</v>
      </c>
      <c r="BO1060">
        <v>2.4</v>
      </c>
      <c r="BP1060">
        <v>36</v>
      </c>
      <c r="BQ1060">
        <v>0</v>
      </c>
      <c r="BR1060">
        <v>0</v>
      </c>
      <c r="BS1060">
        <v>0</v>
      </c>
      <c r="BT1060">
        <v>5</v>
      </c>
      <c r="BU1060">
        <v>1.9</v>
      </c>
    </row>
    <row r="1061" spans="1:73" ht="14.25" x14ac:dyDescent="0.15">
      <c r="A1061" s="12">
        <v>20608</v>
      </c>
      <c r="B1061">
        <v>7</v>
      </c>
      <c r="C1061" s="1">
        <v>47</v>
      </c>
      <c r="D1061">
        <v>0</v>
      </c>
      <c r="E1061">
        <v>0</v>
      </c>
      <c r="F1061">
        <v>1</v>
      </c>
      <c r="G1061" s="7">
        <v>0.05</v>
      </c>
      <c r="H1061">
        <v>12</v>
      </c>
      <c r="I1061">
        <v>0</v>
      </c>
      <c r="J1061">
        <v>0</v>
      </c>
      <c r="K1061">
        <v>0</v>
      </c>
      <c r="L1061">
        <v>1</v>
      </c>
      <c r="M1061">
        <v>2</v>
      </c>
      <c r="N1061" s="7">
        <v>9</v>
      </c>
      <c r="O1061" s="7">
        <v>0</v>
      </c>
      <c r="P1061" s="7">
        <v>0</v>
      </c>
      <c r="Q1061" s="7">
        <v>0</v>
      </c>
      <c r="R1061" s="7">
        <v>1</v>
      </c>
      <c r="S1061" s="7">
        <v>4.5</v>
      </c>
      <c r="T1061">
        <v>7</v>
      </c>
      <c r="U1061" s="1">
        <v>35</v>
      </c>
      <c r="V1061">
        <v>0</v>
      </c>
      <c r="W1061">
        <v>0</v>
      </c>
      <c r="X1061">
        <v>1</v>
      </c>
      <c r="Y1061">
        <v>0.16</v>
      </c>
      <c r="Z1061">
        <v>23</v>
      </c>
      <c r="AA1061">
        <v>0</v>
      </c>
      <c r="AB1061">
        <v>0</v>
      </c>
      <c r="AC1061">
        <v>0</v>
      </c>
      <c r="AD1061">
        <v>1</v>
      </c>
      <c r="AE1061">
        <v>0.05</v>
      </c>
      <c r="AF1061">
        <v>15</v>
      </c>
      <c r="AG1061">
        <v>0</v>
      </c>
      <c r="AH1061">
        <v>0</v>
      </c>
      <c r="AI1061">
        <v>0</v>
      </c>
      <c r="AJ1061">
        <v>1</v>
      </c>
      <c r="AK1061">
        <v>0.02</v>
      </c>
      <c r="AL1061">
        <v>16</v>
      </c>
      <c r="AM1061">
        <v>0</v>
      </c>
      <c r="AN1061">
        <v>0</v>
      </c>
      <c r="AO1061">
        <v>0</v>
      </c>
      <c r="AP1061">
        <v>1</v>
      </c>
      <c r="AQ1061">
        <v>0.01</v>
      </c>
      <c r="AX1061">
        <v>7</v>
      </c>
      <c r="AY1061" s="1">
        <v>19</v>
      </c>
      <c r="AZ1061">
        <v>0</v>
      </c>
      <c r="BA1061">
        <v>0</v>
      </c>
      <c r="BB1061">
        <v>1</v>
      </c>
      <c r="BC1061" s="7">
        <v>0.32</v>
      </c>
      <c r="BD1061">
        <v>30</v>
      </c>
      <c r="BE1061">
        <v>0</v>
      </c>
      <c r="BF1061">
        <v>0</v>
      </c>
      <c r="BG1061">
        <v>0</v>
      </c>
      <c r="BH1061">
        <v>5</v>
      </c>
      <c r="BI1061">
        <v>2.4</v>
      </c>
      <c r="BJ1061">
        <v>31</v>
      </c>
      <c r="BK1061">
        <v>0</v>
      </c>
      <c r="BL1061">
        <v>0</v>
      </c>
      <c r="BM1061">
        <v>0</v>
      </c>
      <c r="BN1061">
        <v>5</v>
      </c>
      <c r="BO1061">
        <v>2.4</v>
      </c>
      <c r="BP1061">
        <v>36</v>
      </c>
      <c r="BQ1061">
        <v>0</v>
      </c>
      <c r="BR1061">
        <v>0</v>
      </c>
      <c r="BS1061">
        <v>0</v>
      </c>
      <c r="BT1061">
        <v>5</v>
      </c>
      <c r="BU1061">
        <v>1.9</v>
      </c>
    </row>
    <row r="1062" spans="1:73" ht="14.25" x14ac:dyDescent="0.15">
      <c r="A1062" s="12">
        <v>20609</v>
      </c>
      <c r="B1062">
        <v>7</v>
      </c>
      <c r="C1062" s="1">
        <v>48</v>
      </c>
      <c r="D1062">
        <v>0</v>
      </c>
      <c r="E1062">
        <v>0</v>
      </c>
      <c r="F1062">
        <v>1</v>
      </c>
      <c r="G1062" s="7">
        <v>0.05</v>
      </c>
      <c r="H1062">
        <v>12</v>
      </c>
      <c r="I1062">
        <v>0</v>
      </c>
      <c r="J1062">
        <v>0</v>
      </c>
      <c r="K1062">
        <v>0</v>
      </c>
      <c r="L1062">
        <v>1</v>
      </c>
      <c r="M1062">
        <v>2</v>
      </c>
      <c r="N1062" s="7">
        <v>9</v>
      </c>
      <c r="O1062" s="7">
        <v>0</v>
      </c>
      <c r="P1062" s="7">
        <v>0</v>
      </c>
      <c r="Q1062" s="7">
        <v>0</v>
      </c>
      <c r="R1062" s="7">
        <v>1</v>
      </c>
      <c r="S1062" s="7">
        <v>4.5</v>
      </c>
      <c r="T1062">
        <v>7</v>
      </c>
      <c r="U1062" s="1">
        <v>36</v>
      </c>
      <c r="V1062">
        <v>0</v>
      </c>
      <c r="W1062">
        <v>0</v>
      </c>
      <c r="X1062">
        <v>1</v>
      </c>
      <c r="Y1062">
        <v>0.16</v>
      </c>
      <c r="Z1062">
        <v>23</v>
      </c>
      <c r="AA1062">
        <v>0</v>
      </c>
      <c r="AB1062">
        <v>0</v>
      </c>
      <c r="AC1062">
        <v>0</v>
      </c>
      <c r="AD1062">
        <v>1</v>
      </c>
      <c r="AE1062">
        <v>0.05</v>
      </c>
      <c r="AF1062">
        <v>15</v>
      </c>
      <c r="AG1062">
        <v>0</v>
      </c>
      <c r="AH1062">
        <v>0</v>
      </c>
      <c r="AI1062">
        <v>0</v>
      </c>
      <c r="AJ1062">
        <v>1</v>
      </c>
      <c r="AK1062">
        <v>0.02</v>
      </c>
      <c r="AL1062">
        <v>16</v>
      </c>
      <c r="AM1062">
        <v>0</v>
      </c>
      <c r="AN1062">
        <v>0</v>
      </c>
      <c r="AO1062">
        <v>0</v>
      </c>
      <c r="AP1062">
        <v>1</v>
      </c>
      <c r="AQ1062">
        <v>0.01</v>
      </c>
      <c r="AX1062">
        <v>7</v>
      </c>
      <c r="AY1062" s="1">
        <v>20</v>
      </c>
      <c r="AZ1062">
        <v>0</v>
      </c>
      <c r="BA1062">
        <v>0</v>
      </c>
      <c r="BB1062">
        <v>1</v>
      </c>
      <c r="BC1062" s="7">
        <v>0.32</v>
      </c>
      <c r="BD1062">
        <v>30</v>
      </c>
      <c r="BE1062">
        <v>0</v>
      </c>
      <c r="BF1062">
        <v>0</v>
      </c>
      <c r="BG1062">
        <v>0</v>
      </c>
      <c r="BH1062">
        <v>5</v>
      </c>
      <c r="BI1062">
        <v>2.4</v>
      </c>
      <c r="BJ1062">
        <v>31</v>
      </c>
      <c r="BK1062">
        <v>0</v>
      </c>
      <c r="BL1062">
        <v>0</v>
      </c>
      <c r="BM1062">
        <v>0</v>
      </c>
      <c r="BN1062">
        <v>5</v>
      </c>
      <c r="BO1062">
        <v>2.4</v>
      </c>
      <c r="BP1062">
        <v>36</v>
      </c>
      <c r="BQ1062">
        <v>0</v>
      </c>
      <c r="BR1062">
        <v>0</v>
      </c>
      <c r="BS1062">
        <v>0</v>
      </c>
      <c r="BT1062">
        <v>5</v>
      </c>
      <c r="BU1062">
        <v>1.9</v>
      </c>
    </row>
    <row r="1063" spans="1:73" ht="14.25" x14ac:dyDescent="0.15">
      <c r="A1063" s="12">
        <v>20610</v>
      </c>
      <c r="B1063">
        <v>7</v>
      </c>
      <c r="C1063" s="1">
        <v>0</v>
      </c>
      <c r="D1063">
        <v>5</v>
      </c>
      <c r="E1063">
        <v>1</v>
      </c>
      <c r="F1063">
        <v>1</v>
      </c>
      <c r="G1063" s="7">
        <v>0.05</v>
      </c>
      <c r="H1063">
        <v>12</v>
      </c>
      <c r="I1063">
        <v>0</v>
      </c>
      <c r="J1063">
        <v>0</v>
      </c>
      <c r="K1063">
        <v>0</v>
      </c>
      <c r="L1063">
        <v>1</v>
      </c>
      <c r="M1063">
        <v>2</v>
      </c>
      <c r="N1063" s="7">
        <v>9</v>
      </c>
      <c r="O1063" s="7">
        <v>0</v>
      </c>
      <c r="P1063" s="7">
        <v>0</v>
      </c>
      <c r="Q1063" s="7">
        <v>0</v>
      </c>
      <c r="R1063" s="7">
        <v>1</v>
      </c>
      <c r="S1063" s="7">
        <v>4.5</v>
      </c>
      <c r="T1063">
        <v>7</v>
      </c>
      <c r="U1063" s="1">
        <v>0</v>
      </c>
      <c r="V1063">
        <v>4</v>
      </c>
      <c r="W1063">
        <v>2</v>
      </c>
      <c r="X1063">
        <v>1</v>
      </c>
      <c r="Y1063">
        <v>0.16</v>
      </c>
      <c r="Z1063">
        <v>23</v>
      </c>
      <c r="AA1063">
        <v>0</v>
      </c>
      <c r="AB1063">
        <v>0</v>
      </c>
      <c r="AC1063">
        <v>0</v>
      </c>
      <c r="AD1063">
        <v>1</v>
      </c>
      <c r="AE1063">
        <v>0.05</v>
      </c>
      <c r="AF1063">
        <v>15</v>
      </c>
      <c r="AG1063">
        <v>0</v>
      </c>
      <c r="AH1063">
        <v>0</v>
      </c>
      <c r="AI1063">
        <v>0</v>
      </c>
      <c r="AJ1063">
        <v>1</v>
      </c>
      <c r="AK1063">
        <v>0.02</v>
      </c>
      <c r="AL1063">
        <v>16</v>
      </c>
      <c r="AM1063">
        <v>0</v>
      </c>
      <c r="AN1063">
        <v>0</v>
      </c>
      <c r="AO1063">
        <v>0</v>
      </c>
      <c r="AP1063">
        <v>1</v>
      </c>
      <c r="AQ1063">
        <v>0.01</v>
      </c>
      <c r="AR1063">
        <v>6</v>
      </c>
      <c r="AS1063">
        <v>2</v>
      </c>
      <c r="AT1063">
        <v>2</v>
      </c>
      <c r="AU1063">
        <v>5</v>
      </c>
      <c r="AV1063">
        <v>1</v>
      </c>
      <c r="AW1063">
        <v>0.05</v>
      </c>
      <c r="AX1063">
        <v>7</v>
      </c>
      <c r="AY1063" s="1">
        <v>0</v>
      </c>
      <c r="AZ1063">
        <v>3</v>
      </c>
      <c r="BA1063">
        <v>1</v>
      </c>
      <c r="BB1063">
        <v>1</v>
      </c>
      <c r="BC1063" s="7">
        <v>0.32</v>
      </c>
      <c r="BD1063">
        <v>30</v>
      </c>
      <c r="BE1063">
        <v>0</v>
      </c>
      <c r="BF1063">
        <v>0</v>
      </c>
      <c r="BG1063">
        <v>0</v>
      </c>
      <c r="BH1063">
        <v>5</v>
      </c>
      <c r="BI1063">
        <v>2.4</v>
      </c>
      <c r="BJ1063">
        <v>31</v>
      </c>
      <c r="BK1063">
        <v>0</v>
      </c>
      <c r="BL1063">
        <v>0</v>
      </c>
      <c r="BM1063">
        <v>0</v>
      </c>
      <c r="BN1063">
        <v>5</v>
      </c>
      <c r="BO1063">
        <v>2.4</v>
      </c>
      <c r="BP1063">
        <v>36</v>
      </c>
      <c r="BQ1063">
        <v>0</v>
      </c>
      <c r="BR1063">
        <v>0</v>
      </c>
      <c r="BS1063">
        <v>0</v>
      </c>
      <c r="BT1063">
        <v>5</v>
      </c>
      <c r="BU1063">
        <v>1.9</v>
      </c>
    </row>
    <row r="1064" spans="1:73" ht="14.25" x14ac:dyDescent="0.15">
      <c r="A1064" s="12">
        <v>20611</v>
      </c>
      <c r="B1064">
        <v>7</v>
      </c>
      <c r="C1064" s="1">
        <v>45</v>
      </c>
      <c r="D1064">
        <v>0</v>
      </c>
      <c r="E1064">
        <v>0</v>
      </c>
      <c r="F1064">
        <v>1</v>
      </c>
      <c r="G1064" s="7">
        <v>0.05</v>
      </c>
      <c r="H1064">
        <v>12</v>
      </c>
      <c r="I1064">
        <v>0</v>
      </c>
      <c r="J1064">
        <v>0</v>
      </c>
      <c r="K1064">
        <v>0</v>
      </c>
      <c r="L1064">
        <v>1</v>
      </c>
      <c r="M1064">
        <v>2</v>
      </c>
      <c r="N1064" s="7">
        <v>9</v>
      </c>
      <c r="O1064" s="7">
        <v>0</v>
      </c>
      <c r="P1064" s="7">
        <v>0</v>
      </c>
      <c r="Q1064" s="7">
        <v>0</v>
      </c>
      <c r="R1064" s="7">
        <v>1</v>
      </c>
      <c r="S1064" s="7">
        <v>4.5</v>
      </c>
      <c r="T1064">
        <v>7</v>
      </c>
      <c r="U1064" s="1">
        <v>33</v>
      </c>
      <c r="V1064">
        <v>0</v>
      </c>
      <c r="W1064">
        <v>0</v>
      </c>
      <c r="X1064">
        <v>1</v>
      </c>
      <c r="Y1064">
        <v>0.16</v>
      </c>
      <c r="Z1064">
        <v>23</v>
      </c>
      <c r="AA1064">
        <v>0</v>
      </c>
      <c r="AB1064">
        <v>0</v>
      </c>
      <c r="AC1064">
        <v>0</v>
      </c>
      <c r="AD1064">
        <v>1</v>
      </c>
      <c r="AE1064">
        <v>0.05</v>
      </c>
      <c r="AF1064">
        <v>15</v>
      </c>
      <c r="AG1064">
        <v>0</v>
      </c>
      <c r="AH1064">
        <v>0</v>
      </c>
      <c r="AI1064">
        <v>0</v>
      </c>
      <c r="AJ1064">
        <v>1</v>
      </c>
      <c r="AK1064">
        <v>0.02</v>
      </c>
      <c r="AL1064">
        <v>16</v>
      </c>
      <c r="AM1064">
        <v>0</v>
      </c>
      <c r="AN1064">
        <v>0</v>
      </c>
      <c r="AO1064">
        <v>0</v>
      </c>
      <c r="AP1064">
        <v>1</v>
      </c>
      <c r="AQ1064">
        <v>0.01</v>
      </c>
      <c r="AX1064">
        <v>7</v>
      </c>
      <c r="AY1064" s="1">
        <v>17</v>
      </c>
      <c r="AZ1064">
        <v>0</v>
      </c>
      <c r="BA1064">
        <v>0</v>
      </c>
      <c r="BB1064">
        <v>1</v>
      </c>
      <c r="BC1064" s="7">
        <v>0.32</v>
      </c>
      <c r="BD1064">
        <v>30</v>
      </c>
      <c r="BE1064">
        <v>0</v>
      </c>
      <c r="BF1064">
        <v>0</v>
      </c>
      <c r="BG1064">
        <v>0</v>
      </c>
      <c r="BH1064">
        <v>5</v>
      </c>
      <c r="BI1064">
        <v>2.4</v>
      </c>
      <c r="BJ1064">
        <v>31</v>
      </c>
      <c r="BK1064">
        <v>0</v>
      </c>
      <c r="BL1064">
        <v>0</v>
      </c>
      <c r="BM1064">
        <v>0</v>
      </c>
      <c r="BN1064">
        <v>5</v>
      </c>
      <c r="BO1064">
        <v>2.4</v>
      </c>
      <c r="BP1064">
        <v>36</v>
      </c>
      <c r="BQ1064">
        <v>0</v>
      </c>
      <c r="BR1064">
        <v>0</v>
      </c>
      <c r="BS1064">
        <v>0</v>
      </c>
      <c r="BT1064">
        <v>5</v>
      </c>
      <c r="BU1064">
        <v>1.9</v>
      </c>
    </row>
    <row r="1065" spans="1:73" ht="14.25" x14ac:dyDescent="0.15">
      <c r="A1065" s="12">
        <v>20612</v>
      </c>
      <c r="B1065">
        <v>7</v>
      </c>
      <c r="C1065" s="1">
        <v>46</v>
      </c>
      <c r="D1065">
        <v>0</v>
      </c>
      <c r="E1065">
        <v>0</v>
      </c>
      <c r="F1065">
        <v>1</v>
      </c>
      <c r="G1065" s="7">
        <v>0.05</v>
      </c>
      <c r="H1065">
        <v>12</v>
      </c>
      <c r="I1065">
        <v>0</v>
      </c>
      <c r="J1065">
        <v>0</v>
      </c>
      <c r="K1065">
        <v>0</v>
      </c>
      <c r="L1065">
        <v>1</v>
      </c>
      <c r="M1065">
        <v>2</v>
      </c>
      <c r="N1065" s="7">
        <v>9</v>
      </c>
      <c r="O1065" s="7">
        <v>0</v>
      </c>
      <c r="P1065" s="7">
        <v>0</v>
      </c>
      <c r="Q1065" s="7">
        <v>0</v>
      </c>
      <c r="R1065" s="7">
        <v>1</v>
      </c>
      <c r="S1065" s="7">
        <v>4.5</v>
      </c>
      <c r="T1065">
        <v>7</v>
      </c>
      <c r="U1065" s="1">
        <v>34</v>
      </c>
      <c r="V1065">
        <v>0</v>
      </c>
      <c r="W1065">
        <v>0</v>
      </c>
      <c r="X1065">
        <v>1</v>
      </c>
      <c r="Y1065">
        <v>0.16</v>
      </c>
      <c r="Z1065">
        <v>23</v>
      </c>
      <c r="AA1065">
        <v>0</v>
      </c>
      <c r="AB1065">
        <v>0</v>
      </c>
      <c r="AC1065">
        <v>0</v>
      </c>
      <c r="AD1065">
        <v>1</v>
      </c>
      <c r="AE1065">
        <v>0.05</v>
      </c>
      <c r="AF1065">
        <v>15</v>
      </c>
      <c r="AG1065">
        <v>0</v>
      </c>
      <c r="AH1065">
        <v>0</v>
      </c>
      <c r="AI1065">
        <v>0</v>
      </c>
      <c r="AJ1065">
        <v>1</v>
      </c>
      <c r="AK1065">
        <v>0.02</v>
      </c>
      <c r="AL1065">
        <v>16</v>
      </c>
      <c r="AM1065">
        <v>0</v>
      </c>
      <c r="AN1065">
        <v>0</v>
      </c>
      <c r="AO1065">
        <v>0</v>
      </c>
      <c r="AP1065">
        <v>1</v>
      </c>
      <c r="AQ1065">
        <v>0.01</v>
      </c>
      <c r="AX1065">
        <v>7</v>
      </c>
      <c r="AY1065" s="1">
        <v>18</v>
      </c>
      <c r="AZ1065">
        <v>0</v>
      </c>
      <c r="BA1065">
        <v>0</v>
      </c>
      <c r="BB1065">
        <v>1</v>
      </c>
      <c r="BC1065" s="7">
        <v>0.32</v>
      </c>
      <c r="BD1065">
        <v>30</v>
      </c>
      <c r="BE1065">
        <v>0</v>
      </c>
      <c r="BF1065">
        <v>0</v>
      </c>
      <c r="BG1065">
        <v>0</v>
      </c>
      <c r="BH1065">
        <v>5</v>
      </c>
      <c r="BI1065">
        <v>2.4</v>
      </c>
      <c r="BJ1065">
        <v>31</v>
      </c>
      <c r="BK1065">
        <v>0</v>
      </c>
      <c r="BL1065">
        <v>0</v>
      </c>
      <c r="BM1065">
        <v>0</v>
      </c>
      <c r="BN1065">
        <v>5</v>
      </c>
      <c r="BO1065">
        <v>2.4</v>
      </c>
      <c r="BP1065">
        <v>36</v>
      </c>
      <c r="BQ1065">
        <v>0</v>
      </c>
      <c r="BR1065">
        <v>0</v>
      </c>
      <c r="BS1065">
        <v>0</v>
      </c>
      <c r="BT1065">
        <v>5</v>
      </c>
      <c r="BU1065">
        <v>1.9</v>
      </c>
    </row>
    <row r="1066" spans="1:73" ht="14.25" x14ac:dyDescent="0.15">
      <c r="A1066" s="12">
        <v>20613</v>
      </c>
      <c r="B1066">
        <v>7</v>
      </c>
      <c r="C1066" s="1">
        <v>47</v>
      </c>
      <c r="D1066">
        <v>0</v>
      </c>
      <c r="E1066">
        <v>0</v>
      </c>
      <c r="F1066">
        <v>1</v>
      </c>
      <c r="G1066" s="7">
        <v>0.05</v>
      </c>
      <c r="H1066">
        <v>12</v>
      </c>
      <c r="I1066">
        <v>0</v>
      </c>
      <c r="J1066">
        <v>0</v>
      </c>
      <c r="K1066">
        <v>0</v>
      </c>
      <c r="L1066">
        <v>1</v>
      </c>
      <c r="M1066">
        <v>2</v>
      </c>
      <c r="N1066" s="7">
        <v>9</v>
      </c>
      <c r="O1066" s="7">
        <v>0</v>
      </c>
      <c r="P1066" s="7">
        <v>0</v>
      </c>
      <c r="Q1066" s="7">
        <v>0</v>
      </c>
      <c r="R1066" s="7">
        <v>1</v>
      </c>
      <c r="S1066" s="7">
        <v>4.5</v>
      </c>
      <c r="T1066">
        <v>7</v>
      </c>
      <c r="U1066" s="1">
        <v>35</v>
      </c>
      <c r="V1066">
        <v>0</v>
      </c>
      <c r="W1066">
        <v>0</v>
      </c>
      <c r="X1066">
        <v>1</v>
      </c>
      <c r="Y1066">
        <v>0.16</v>
      </c>
      <c r="Z1066">
        <v>23</v>
      </c>
      <c r="AA1066">
        <v>0</v>
      </c>
      <c r="AB1066">
        <v>0</v>
      </c>
      <c r="AC1066">
        <v>0</v>
      </c>
      <c r="AD1066">
        <v>1</v>
      </c>
      <c r="AE1066">
        <v>0.05</v>
      </c>
      <c r="AF1066">
        <v>15</v>
      </c>
      <c r="AG1066">
        <v>0</v>
      </c>
      <c r="AH1066">
        <v>0</v>
      </c>
      <c r="AI1066">
        <v>0</v>
      </c>
      <c r="AJ1066">
        <v>1</v>
      </c>
      <c r="AK1066">
        <v>0.02</v>
      </c>
      <c r="AL1066">
        <v>16</v>
      </c>
      <c r="AM1066">
        <v>0</v>
      </c>
      <c r="AN1066">
        <v>0</v>
      </c>
      <c r="AO1066">
        <v>0</v>
      </c>
      <c r="AP1066">
        <v>1</v>
      </c>
      <c r="AQ1066">
        <v>0.01</v>
      </c>
      <c r="AX1066">
        <v>7</v>
      </c>
      <c r="AY1066" s="1">
        <v>19</v>
      </c>
      <c r="AZ1066">
        <v>0</v>
      </c>
      <c r="BA1066">
        <v>0</v>
      </c>
      <c r="BB1066">
        <v>1</v>
      </c>
      <c r="BC1066" s="7">
        <v>0.32</v>
      </c>
      <c r="BD1066">
        <v>30</v>
      </c>
      <c r="BE1066">
        <v>0</v>
      </c>
      <c r="BF1066">
        <v>0</v>
      </c>
      <c r="BG1066">
        <v>0</v>
      </c>
      <c r="BH1066">
        <v>5</v>
      </c>
      <c r="BI1066">
        <v>2.4</v>
      </c>
      <c r="BJ1066">
        <v>31</v>
      </c>
      <c r="BK1066">
        <v>0</v>
      </c>
      <c r="BL1066">
        <v>0</v>
      </c>
      <c r="BM1066">
        <v>0</v>
      </c>
      <c r="BN1066">
        <v>5</v>
      </c>
      <c r="BO1066">
        <v>2.4</v>
      </c>
      <c r="BP1066">
        <v>36</v>
      </c>
      <c r="BQ1066">
        <v>0</v>
      </c>
      <c r="BR1066">
        <v>0</v>
      </c>
      <c r="BS1066">
        <v>0</v>
      </c>
      <c r="BT1066">
        <v>5</v>
      </c>
      <c r="BU1066">
        <v>1.9</v>
      </c>
    </row>
    <row r="1067" spans="1:73" ht="14.25" x14ac:dyDescent="0.15">
      <c r="A1067" s="12">
        <v>20614</v>
      </c>
      <c r="B1067">
        <v>7</v>
      </c>
      <c r="C1067" s="1">
        <v>48</v>
      </c>
      <c r="D1067">
        <v>0</v>
      </c>
      <c r="E1067">
        <v>0</v>
      </c>
      <c r="F1067">
        <v>1</v>
      </c>
      <c r="G1067" s="7">
        <v>0.05</v>
      </c>
      <c r="H1067">
        <v>12</v>
      </c>
      <c r="I1067">
        <v>0</v>
      </c>
      <c r="J1067">
        <v>0</v>
      </c>
      <c r="K1067">
        <v>0</v>
      </c>
      <c r="L1067">
        <v>1</v>
      </c>
      <c r="M1067">
        <v>2</v>
      </c>
      <c r="N1067" s="7">
        <v>9</v>
      </c>
      <c r="O1067" s="7">
        <v>0</v>
      </c>
      <c r="P1067" s="7">
        <v>0</v>
      </c>
      <c r="Q1067" s="7">
        <v>0</v>
      </c>
      <c r="R1067" s="7">
        <v>1</v>
      </c>
      <c r="S1067" s="7">
        <v>4.5</v>
      </c>
      <c r="T1067">
        <v>7</v>
      </c>
      <c r="U1067" s="1">
        <v>36</v>
      </c>
      <c r="V1067">
        <v>0</v>
      </c>
      <c r="W1067">
        <v>0</v>
      </c>
      <c r="X1067">
        <v>1</v>
      </c>
      <c r="Y1067">
        <v>0.16</v>
      </c>
      <c r="Z1067">
        <v>23</v>
      </c>
      <c r="AA1067">
        <v>0</v>
      </c>
      <c r="AB1067">
        <v>0</v>
      </c>
      <c r="AC1067">
        <v>0</v>
      </c>
      <c r="AD1067">
        <v>1</v>
      </c>
      <c r="AE1067">
        <v>0.05</v>
      </c>
      <c r="AF1067">
        <v>15</v>
      </c>
      <c r="AG1067">
        <v>0</v>
      </c>
      <c r="AH1067">
        <v>0</v>
      </c>
      <c r="AI1067">
        <v>0</v>
      </c>
      <c r="AJ1067">
        <v>1</v>
      </c>
      <c r="AK1067">
        <v>0.02</v>
      </c>
      <c r="AL1067">
        <v>16</v>
      </c>
      <c r="AM1067">
        <v>0</v>
      </c>
      <c r="AN1067">
        <v>0</v>
      </c>
      <c r="AO1067">
        <v>0</v>
      </c>
      <c r="AP1067">
        <v>1</v>
      </c>
      <c r="AQ1067">
        <v>0.01</v>
      </c>
      <c r="AX1067">
        <v>7</v>
      </c>
      <c r="AY1067" s="1">
        <v>20</v>
      </c>
      <c r="AZ1067">
        <v>0</v>
      </c>
      <c r="BA1067">
        <v>0</v>
      </c>
      <c r="BB1067">
        <v>1</v>
      </c>
      <c r="BC1067" s="7">
        <v>0.32</v>
      </c>
      <c r="BD1067">
        <v>30</v>
      </c>
      <c r="BE1067">
        <v>0</v>
      </c>
      <c r="BF1067">
        <v>0</v>
      </c>
      <c r="BG1067">
        <v>0</v>
      </c>
      <c r="BH1067">
        <v>5</v>
      </c>
      <c r="BI1067">
        <v>2.4</v>
      </c>
      <c r="BJ1067">
        <v>31</v>
      </c>
      <c r="BK1067">
        <v>0</v>
      </c>
      <c r="BL1067">
        <v>0</v>
      </c>
      <c r="BM1067">
        <v>0</v>
      </c>
      <c r="BN1067">
        <v>5</v>
      </c>
      <c r="BO1067">
        <v>2.4</v>
      </c>
      <c r="BP1067">
        <v>36</v>
      </c>
      <c r="BQ1067">
        <v>0</v>
      </c>
      <c r="BR1067">
        <v>0</v>
      </c>
      <c r="BS1067">
        <v>0</v>
      </c>
      <c r="BT1067">
        <v>5</v>
      </c>
      <c r="BU1067">
        <v>1.9</v>
      </c>
    </row>
    <row r="1068" spans="1:73" ht="14.25" x14ac:dyDescent="0.15">
      <c r="A1068" s="12">
        <v>20615</v>
      </c>
      <c r="B1068">
        <v>7</v>
      </c>
      <c r="C1068" s="1">
        <v>0</v>
      </c>
      <c r="D1068">
        <v>5</v>
      </c>
      <c r="E1068">
        <v>1</v>
      </c>
      <c r="F1068">
        <v>1</v>
      </c>
      <c r="G1068" s="7">
        <v>0.05</v>
      </c>
      <c r="H1068">
        <v>12</v>
      </c>
      <c r="I1068">
        <v>0</v>
      </c>
      <c r="J1068">
        <v>0</v>
      </c>
      <c r="K1068">
        <v>0</v>
      </c>
      <c r="L1068">
        <v>1</v>
      </c>
      <c r="M1068">
        <v>2</v>
      </c>
      <c r="N1068" s="7">
        <v>9</v>
      </c>
      <c r="O1068" s="7">
        <v>0</v>
      </c>
      <c r="P1068" s="7">
        <v>0</v>
      </c>
      <c r="Q1068" s="7">
        <v>0</v>
      </c>
      <c r="R1068" s="7">
        <v>1</v>
      </c>
      <c r="S1068" s="7">
        <v>4.5</v>
      </c>
      <c r="T1068">
        <v>7</v>
      </c>
      <c r="U1068" s="1">
        <v>0</v>
      </c>
      <c r="V1068">
        <v>4</v>
      </c>
      <c r="W1068">
        <v>2</v>
      </c>
      <c r="X1068">
        <v>1</v>
      </c>
      <c r="Y1068">
        <v>0.16</v>
      </c>
      <c r="Z1068">
        <v>23</v>
      </c>
      <c r="AA1068">
        <v>0</v>
      </c>
      <c r="AB1068">
        <v>0</v>
      </c>
      <c r="AC1068">
        <v>0</v>
      </c>
      <c r="AD1068">
        <v>1</v>
      </c>
      <c r="AE1068">
        <v>0.05</v>
      </c>
      <c r="AF1068">
        <v>15</v>
      </c>
      <c r="AG1068">
        <v>0</v>
      </c>
      <c r="AH1068">
        <v>0</v>
      </c>
      <c r="AI1068">
        <v>0</v>
      </c>
      <c r="AJ1068">
        <v>1</v>
      </c>
      <c r="AK1068">
        <v>0.02</v>
      </c>
      <c r="AL1068">
        <v>16</v>
      </c>
      <c r="AM1068">
        <v>0</v>
      </c>
      <c r="AN1068">
        <v>0</v>
      </c>
      <c r="AO1068">
        <v>0</v>
      </c>
      <c r="AP1068">
        <v>1</v>
      </c>
      <c r="AQ1068">
        <v>0.01</v>
      </c>
      <c r="AR1068">
        <v>6</v>
      </c>
      <c r="AS1068">
        <v>2</v>
      </c>
      <c r="AT1068">
        <v>3</v>
      </c>
      <c r="AU1068">
        <v>5</v>
      </c>
      <c r="AV1068">
        <v>1</v>
      </c>
      <c r="AW1068">
        <v>0.05</v>
      </c>
      <c r="AX1068">
        <v>7</v>
      </c>
      <c r="AY1068" s="1">
        <v>0</v>
      </c>
      <c r="AZ1068">
        <v>3</v>
      </c>
      <c r="BA1068">
        <v>1</v>
      </c>
      <c r="BB1068">
        <v>1</v>
      </c>
      <c r="BC1068" s="7">
        <v>0.32</v>
      </c>
      <c r="BD1068">
        <v>30</v>
      </c>
      <c r="BE1068">
        <v>0</v>
      </c>
      <c r="BF1068">
        <v>0</v>
      </c>
      <c r="BG1068">
        <v>0</v>
      </c>
      <c r="BH1068">
        <v>5</v>
      </c>
      <c r="BI1068">
        <v>2.4</v>
      </c>
      <c r="BJ1068">
        <v>31</v>
      </c>
      <c r="BK1068">
        <v>0</v>
      </c>
      <c r="BL1068">
        <v>0</v>
      </c>
      <c r="BM1068">
        <v>0</v>
      </c>
      <c r="BN1068">
        <v>5</v>
      </c>
      <c r="BO1068">
        <v>2.4</v>
      </c>
      <c r="BP1068">
        <v>36</v>
      </c>
      <c r="BQ1068">
        <v>0</v>
      </c>
      <c r="BR1068">
        <v>0</v>
      </c>
      <c r="BS1068">
        <v>0</v>
      </c>
      <c r="BT1068">
        <v>5</v>
      </c>
      <c r="BU1068">
        <v>1.9</v>
      </c>
    </row>
    <row r="1069" spans="1:73" ht="14.25" x14ac:dyDescent="0.15">
      <c r="A1069" s="12">
        <v>20616</v>
      </c>
      <c r="B1069">
        <v>7</v>
      </c>
      <c r="C1069" s="1">
        <v>45</v>
      </c>
      <c r="D1069">
        <v>0</v>
      </c>
      <c r="E1069">
        <v>0</v>
      </c>
      <c r="F1069">
        <v>1</v>
      </c>
      <c r="G1069" s="7">
        <v>0.05</v>
      </c>
      <c r="H1069">
        <v>12</v>
      </c>
      <c r="I1069">
        <v>0</v>
      </c>
      <c r="J1069">
        <v>0</v>
      </c>
      <c r="K1069">
        <v>0</v>
      </c>
      <c r="L1069">
        <v>1</v>
      </c>
      <c r="M1069">
        <v>2</v>
      </c>
      <c r="N1069" s="7">
        <v>9</v>
      </c>
      <c r="O1069" s="7">
        <v>0</v>
      </c>
      <c r="P1069" s="7">
        <v>0</v>
      </c>
      <c r="Q1069" s="7">
        <v>0</v>
      </c>
      <c r="R1069" s="7">
        <v>1</v>
      </c>
      <c r="S1069" s="7">
        <v>4.5</v>
      </c>
      <c r="T1069">
        <v>7</v>
      </c>
      <c r="U1069" s="1">
        <v>33</v>
      </c>
      <c r="V1069">
        <v>0</v>
      </c>
      <c r="W1069">
        <v>0</v>
      </c>
      <c r="X1069">
        <v>1</v>
      </c>
      <c r="Y1069">
        <v>0.16</v>
      </c>
      <c r="Z1069">
        <v>23</v>
      </c>
      <c r="AA1069">
        <v>0</v>
      </c>
      <c r="AB1069">
        <v>0</v>
      </c>
      <c r="AC1069">
        <v>0</v>
      </c>
      <c r="AD1069">
        <v>1</v>
      </c>
      <c r="AE1069">
        <v>0.05</v>
      </c>
      <c r="AF1069">
        <v>15</v>
      </c>
      <c r="AG1069">
        <v>0</v>
      </c>
      <c r="AH1069">
        <v>0</v>
      </c>
      <c r="AI1069">
        <v>0</v>
      </c>
      <c r="AJ1069">
        <v>1</v>
      </c>
      <c r="AK1069">
        <v>0.02</v>
      </c>
      <c r="AL1069">
        <v>16</v>
      </c>
      <c r="AM1069">
        <v>0</v>
      </c>
      <c r="AN1069">
        <v>0</v>
      </c>
      <c r="AO1069">
        <v>0</v>
      </c>
      <c r="AP1069">
        <v>1</v>
      </c>
      <c r="AQ1069">
        <v>0.01</v>
      </c>
      <c r="AX1069">
        <v>7</v>
      </c>
      <c r="AY1069" s="1">
        <v>17</v>
      </c>
      <c r="AZ1069">
        <v>0</v>
      </c>
      <c r="BA1069">
        <v>0</v>
      </c>
      <c r="BB1069">
        <v>1</v>
      </c>
      <c r="BC1069" s="7">
        <v>0.32</v>
      </c>
      <c r="BD1069">
        <v>30</v>
      </c>
      <c r="BE1069">
        <v>0</v>
      </c>
      <c r="BF1069">
        <v>0</v>
      </c>
      <c r="BG1069">
        <v>0</v>
      </c>
      <c r="BH1069">
        <v>5</v>
      </c>
      <c r="BI1069">
        <v>2.4</v>
      </c>
      <c r="BJ1069">
        <v>31</v>
      </c>
      <c r="BK1069">
        <v>0</v>
      </c>
      <c r="BL1069">
        <v>0</v>
      </c>
      <c r="BM1069">
        <v>0</v>
      </c>
      <c r="BN1069">
        <v>5</v>
      </c>
      <c r="BO1069">
        <v>2.4</v>
      </c>
      <c r="BP1069">
        <v>36</v>
      </c>
      <c r="BQ1069">
        <v>0</v>
      </c>
      <c r="BR1069">
        <v>0</v>
      </c>
      <c r="BS1069">
        <v>0</v>
      </c>
      <c r="BT1069">
        <v>5</v>
      </c>
      <c r="BU1069">
        <v>1.9</v>
      </c>
    </row>
    <row r="1070" spans="1:73" ht="14.25" x14ac:dyDescent="0.15">
      <c r="A1070" s="12">
        <v>20617</v>
      </c>
      <c r="B1070">
        <v>7</v>
      </c>
      <c r="C1070" s="1">
        <v>46</v>
      </c>
      <c r="D1070">
        <v>0</v>
      </c>
      <c r="E1070">
        <v>0</v>
      </c>
      <c r="F1070">
        <v>1</v>
      </c>
      <c r="G1070" s="7">
        <v>0.05</v>
      </c>
      <c r="H1070">
        <v>12</v>
      </c>
      <c r="I1070">
        <v>0</v>
      </c>
      <c r="J1070">
        <v>0</v>
      </c>
      <c r="K1070">
        <v>0</v>
      </c>
      <c r="L1070">
        <v>1</v>
      </c>
      <c r="M1070">
        <v>2</v>
      </c>
      <c r="N1070" s="7">
        <v>9</v>
      </c>
      <c r="O1070" s="7">
        <v>0</v>
      </c>
      <c r="P1070" s="7">
        <v>0</v>
      </c>
      <c r="Q1070" s="7">
        <v>0</v>
      </c>
      <c r="R1070" s="7">
        <v>1</v>
      </c>
      <c r="S1070" s="7">
        <v>4.5</v>
      </c>
      <c r="T1070">
        <v>7</v>
      </c>
      <c r="U1070" s="1">
        <v>34</v>
      </c>
      <c r="V1070">
        <v>0</v>
      </c>
      <c r="W1070">
        <v>0</v>
      </c>
      <c r="X1070">
        <v>1</v>
      </c>
      <c r="Y1070">
        <v>0.16</v>
      </c>
      <c r="Z1070">
        <v>23</v>
      </c>
      <c r="AA1070">
        <v>0</v>
      </c>
      <c r="AB1070">
        <v>0</v>
      </c>
      <c r="AC1070">
        <v>0</v>
      </c>
      <c r="AD1070">
        <v>1</v>
      </c>
      <c r="AE1070">
        <v>0.05</v>
      </c>
      <c r="AF1070">
        <v>15</v>
      </c>
      <c r="AG1070">
        <v>0</v>
      </c>
      <c r="AH1070">
        <v>0</v>
      </c>
      <c r="AI1070">
        <v>0</v>
      </c>
      <c r="AJ1070">
        <v>1</v>
      </c>
      <c r="AK1070">
        <v>0.02</v>
      </c>
      <c r="AL1070">
        <v>16</v>
      </c>
      <c r="AM1070">
        <v>0</v>
      </c>
      <c r="AN1070">
        <v>0</v>
      </c>
      <c r="AO1070">
        <v>0</v>
      </c>
      <c r="AP1070">
        <v>1</v>
      </c>
      <c r="AQ1070">
        <v>0.01</v>
      </c>
      <c r="AX1070">
        <v>7</v>
      </c>
      <c r="AY1070" s="1">
        <v>18</v>
      </c>
      <c r="AZ1070">
        <v>0</v>
      </c>
      <c r="BA1070">
        <v>0</v>
      </c>
      <c r="BB1070">
        <v>1</v>
      </c>
      <c r="BC1070" s="7">
        <v>0.32</v>
      </c>
      <c r="BD1070">
        <v>30</v>
      </c>
      <c r="BE1070">
        <v>0</v>
      </c>
      <c r="BF1070">
        <v>0</v>
      </c>
      <c r="BG1070">
        <v>0</v>
      </c>
      <c r="BH1070">
        <v>5</v>
      </c>
      <c r="BI1070">
        <v>2.4</v>
      </c>
      <c r="BJ1070">
        <v>31</v>
      </c>
      <c r="BK1070">
        <v>0</v>
      </c>
      <c r="BL1070">
        <v>0</v>
      </c>
      <c r="BM1070">
        <v>0</v>
      </c>
      <c r="BN1070">
        <v>5</v>
      </c>
      <c r="BO1070">
        <v>2.4</v>
      </c>
      <c r="BP1070">
        <v>36</v>
      </c>
      <c r="BQ1070">
        <v>0</v>
      </c>
      <c r="BR1070">
        <v>0</v>
      </c>
      <c r="BS1070">
        <v>0</v>
      </c>
      <c r="BT1070">
        <v>5</v>
      </c>
      <c r="BU1070">
        <v>1.9</v>
      </c>
    </row>
    <row r="1071" spans="1:73" ht="14.25" x14ac:dyDescent="0.15">
      <c r="A1071" s="12">
        <v>20618</v>
      </c>
      <c r="B1071">
        <v>7</v>
      </c>
      <c r="C1071" s="1">
        <v>47</v>
      </c>
      <c r="D1071">
        <v>0</v>
      </c>
      <c r="E1071">
        <v>0</v>
      </c>
      <c r="F1071">
        <v>1</v>
      </c>
      <c r="G1071" s="7">
        <v>0.05</v>
      </c>
      <c r="H1071">
        <v>12</v>
      </c>
      <c r="I1071">
        <v>0</v>
      </c>
      <c r="J1071">
        <v>0</v>
      </c>
      <c r="K1071">
        <v>0</v>
      </c>
      <c r="L1071">
        <v>1</v>
      </c>
      <c r="M1071">
        <v>2</v>
      </c>
      <c r="N1071" s="7">
        <v>9</v>
      </c>
      <c r="O1071" s="7">
        <v>0</v>
      </c>
      <c r="P1071" s="7">
        <v>0</v>
      </c>
      <c r="Q1071" s="7">
        <v>0</v>
      </c>
      <c r="R1071" s="7">
        <v>1</v>
      </c>
      <c r="S1071" s="7">
        <v>4.5</v>
      </c>
      <c r="T1071">
        <v>7</v>
      </c>
      <c r="U1071" s="1">
        <v>35</v>
      </c>
      <c r="V1071">
        <v>0</v>
      </c>
      <c r="W1071">
        <v>0</v>
      </c>
      <c r="X1071">
        <v>1</v>
      </c>
      <c r="Y1071">
        <v>0.16</v>
      </c>
      <c r="Z1071">
        <v>23</v>
      </c>
      <c r="AA1071">
        <v>0</v>
      </c>
      <c r="AB1071">
        <v>0</v>
      </c>
      <c r="AC1071">
        <v>0</v>
      </c>
      <c r="AD1071">
        <v>1</v>
      </c>
      <c r="AE1071">
        <v>0.05</v>
      </c>
      <c r="AF1071">
        <v>15</v>
      </c>
      <c r="AG1071">
        <v>0</v>
      </c>
      <c r="AH1071">
        <v>0</v>
      </c>
      <c r="AI1071">
        <v>0</v>
      </c>
      <c r="AJ1071">
        <v>1</v>
      </c>
      <c r="AK1071">
        <v>0.02</v>
      </c>
      <c r="AL1071">
        <v>16</v>
      </c>
      <c r="AM1071">
        <v>0</v>
      </c>
      <c r="AN1071">
        <v>0</v>
      </c>
      <c r="AO1071">
        <v>0</v>
      </c>
      <c r="AP1071">
        <v>1</v>
      </c>
      <c r="AQ1071">
        <v>0.01</v>
      </c>
      <c r="AX1071">
        <v>7</v>
      </c>
      <c r="AY1071" s="1">
        <v>19</v>
      </c>
      <c r="AZ1071">
        <v>0</v>
      </c>
      <c r="BA1071">
        <v>0</v>
      </c>
      <c r="BB1071">
        <v>1</v>
      </c>
      <c r="BC1071" s="7">
        <v>0.32</v>
      </c>
      <c r="BD1071">
        <v>30</v>
      </c>
      <c r="BE1071">
        <v>0</v>
      </c>
      <c r="BF1071">
        <v>0</v>
      </c>
      <c r="BG1071">
        <v>0</v>
      </c>
      <c r="BH1071">
        <v>5</v>
      </c>
      <c r="BI1071">
        <v>2.4</v>
      </c>
      <c r="BJ1071">
        <v>31</v>
      </c>
      <c r="BK1071">
        <v>0</v>
      </c>
      <c r="BL1071">
        <v>0</v>
      </c>
      <c r="BM1071">
        <v>0</v>
      </c>
      <c r="BN1071">
        <v>5</v>
      </c>
      <c r="BO1071">
        <v>2.4</v>
      </c>
      <c r="BP1071">
        <v>36</v>
      </c>
      <c r="BQ1071">
        <v>0</v>
      </c>
      <c r="BR1071">
        <v>0</v>
      </c>
      <c r="BS1071">
        <v>0</v>
      </c>
      <c r="BT1071">
        <v>5</v>
      </c>
      <c r="BU1071">
        <v>1.9</v>
      </c>
    </row>
    <row r="1072" spans="1:73" ht="14.25" x14ac:dyDescent="0.15">
      <c r="A1072" s="12">
        <v>20619</v>
      </c>
      <c r="B1072">
        <v>7</v>
      </c>
      <c r="C1072" s="1">
        <v>48</v>
      </c>
      <c r="D1072">
        <v>0</v>
      </c>
      <c r="E1072">
        <v>0</v>
      </c>
      <c r="F1072">
        <v>1</v>
      </c>
      <c r="G1072" s="7">
        <v>0.05</v>
      </c>
      <c r="H1072">
        <v>12</v>
      </c>
      <c r="I1072">
        <v>0</v>
      </c>
      <c r="J1072">
        <v>0</v>
      </c>
      <c r="K1072">
        <v>0</v>
      </c>
      <c r="L1072">
        <v>1</v>
      </c>
      <c r="M1072">
        <v>2</v>
      </c>
      <c r="N1072" s="7">
        <v>9</v>
      </c>
      <c r="O1072" s="7">
        <v>0</v>
      </c>
      <c r="P1072" s="7">
        <v>0</v>
      </c>
      <c r="Q1072" s="7">
        <v>0</v>
      </c>
      <c r="R1072" s="7">
        <v>1</v>
      </c>
      <c r="S1072" s="7">
        <v>4.5</v>
      </c>
      <c r="T1072">
        <v>7</v>
      </c>
      <c r="U1072" s="1">
        <v>36</v>
      </c>
      <c r="V1072">
        <v>0</v>
      </c>
      <c r="W1072">
        <v>0</v>
      </c>
      <c r="X1072">
        <v>1</v>
      </c>
      <c r="Y1072">
        <v>0.16</v>
      </c>
      <c r="Z1072">
        <v>23</v>
      </c>
      <c r="AA1072">
        <v>0</v>
      </c>
      <c r="AB1072">
        <v>0</v>
      </c>
      <c r="AC1072">
        <v>0</v>
      </c>
      <c r="AD1072">
        <v>1</v>
      </c>
      <c r="AE1072">
        <v>0.05</v>
      </c>
      <c r="AF1072">
        <v>15</v>
      </c>
      <c r="AG1072">
        <v>0</v>
      </c>
      <c r="AH1072">
        <v>0</v>
      </c>
      <c r="AI1072">
        <v>0</v>
      </c>
      <c r="AJ1072">
        <v>1</v>
      </c>
      <c r="AK1072">
        <v>0.02</v>
      </c>
      <c r="AL1072">
        <v>16</v>
      </c>
      <c r="AM1072">
        <v>0</v>
      </c>
      <c r="AN1072">
        <v>0</v>
      </c>
      <c r="AO1072">
        <v>0</v>
      </c>
      <c r="AP1072">
        <v>1</v>
      </c>
      <c r="AQ1072">
        <v>0.01</v>
      </c>
      <c r="AX1072">
        <v>7</v>
      </c>
      <c r="AY1072" s="1">
        <v>20</v>
      </c>
      <c r="AZ1072">
        <v>0</v>
      </c>
      <c r="BA1072">
        <v>0</v>
      </c>
      <c r="BB1072">
        <v>1</v>
      </c>
      <c r="BC1072" s="7">
        <v>0.32</v>
      </c>
      <c r="BD1072">
        <v>30</v>
      </c>
      <c r="BE1072">
        <v>0</v>
      </c>
      <c r="BF1072">
        <v>0</v>
      </c>
      <c r="BG1072">
        <v>0</v>
      </c>
      <c r="BH1072">
        <v>5</v>
      </c>
      <c r="BI1072">
        <v>2.4</v>
      </c>
      <c r="BJ1072">
        <v>31</v>
      </c>
      <c r="BK1072">
        <v>0</v>
      </c>
      <c r="BL1072">
        <v>0</v>
      </c>
      <c r="BM1072">
        <v>0</v>
      </c>
      <c r="BN1072">
        <v>5</v>
      </c>
      <c r="BO1072">
        <v>2.4</v>
      </c>
      <c r="BP1072">
        <v>36</v>
      </c>
      <c r="BQ1072">
        <v>0</v>
      </c>
      <c r="BR1072">
        <v>0</v>
      </c>
      <c r="BS1072">
        <v>0</v>
      </c>
      <c r="BT1072">
        <v>5</v>
      </c>
      <c r="BU1072">
        <v>1.9</v>
      </c>
    </row>
    <row r="1073" spans="1:73" ht="14.25" x14ac:dyDescent="0.15">
      <c r="A1073" s="12">
        <v>20620</v>
      </c>
      <c r="B1073">
        <v>7</v>
      </c>
      <c r="C1073" s="1">
        <v>0</v>
      </c>
      <c r="D1073">
        <v>5</v>
      </c>
      <c r="E1073">
        <v>1</v>
      </c>
      <c r="F1073">
        <v>1</v>
      </c>
      <c r="G1073" s="7">
        <v>0.05</v>
      </c>
      <c r="H1073">
        <v>12</v>
      </c>
      <c r="I1073">
        <v>0</v>
      </c>
      <c r="J1073">
        <v>0</v>
      </c>
      <c r="K1073">
        <v>0</v>
      </c>
      <c r="L1073">
        <v>1</v>
      </c>
      <c r="M1073">
        <v>2</v>
      </c>
      <c r="N1073" s="7">
        <v>9</v>
      </c>
      <c r="O1073" s="7">
        <v>0</v>
      </c>
      <c r="P1073" s="7">
        <v>0</v>
      </c>
      <c r="Q1073" s="7">
        <v>0</v>
      </c>
      <c r="R1073" s="7">
        <v>1</v>
      </c>
      <c r="S1073" s="7">
        <v>4.5</v>
      </c>
      <c r="T1073">
        <v>7</v>
      </c>
      <c r="U1073" s="1">
        <v>0</v>
      </c>
      <c r="V1073">
        <v>4</v>
      </c>
      <c r="W1073">
        <v>2</v>
      </c>
      <c r="X1073">
        <v>1</v>
      </c>
      <c r="Y1073">
        <v>0.16</v>
      </c>
      <c r="Z1073">
        <v>23</v>
      </c>
      <c r="AA1073">
        <v>0</v>
      </c>
      <c r="AB1073">
        <v>0</v>
      </c>
      <c r="AC1073">
        <v>0</v>
      </c>
      <c r="AD1073">
        <v>1</v>
      </c>
      <c r="AE1073">
        <v>0.05</v>
      </c>
      <c r="AF1073">
        <v>15</v>
      </c>
      <c r="AG1073">
        <v>0</v>
      </c>
      <c r="AH1073">
        <v>0</v>
      </c>
      <c r="AI1073">
        <v>0</v>
      </c>
      <c r="AJ1073">
        <v>1</v>
      </c>
      <c r="AK1073">
        <v>0.02</v>
      </c>
      <c r="AL1073">
        <v>16</v>
      </c>
      <c r="AM1073">
        <v>0</v>
      </c>
      <c r="AN1073">
        <v>0</v>
      </c>
      <c r="AO1073">
        <v>0</v>
      </c>
      <c r="AP1073">
        <v>1</v>
      </c>
      <c r="AQ1073">
        <v>0.01</v>
      </c>
      <c r="AR1073">
        <v>6</v>
      </c>
      <c r="AS1073">
        <v>2</v>
      </c>
      <c r="AT1073">
        <v>4</v>
      </c>
      <c r="AU1073">
        <v>5</v>
      </c>
      <c r="AV1073">
        <v>1</v>
      </c>
      <c r="AW1073">
        <v>0.01</v>
      </c>
      <c r="AX1073">
        <v>7</v>
      </c>
      <c r="AY1073" s="1">
        <v>0</v>
      </c>
      <c r="AZ1073">
        <v>3</v>
      </c>
      <c r="BA1073">
        <v>1</v>
      </c>
      <c r="BB1073">
        <v>1</v>
      </c>
      <c r="BC1073" s="7">
        <v>0.32</v>
      </c>
      <c r="BD1073">
        <v>30</v>
      </c>
      <c r="BE1073">
        <v>0</v>
      </c>
      <c r="BF1073">
        <v>0</v>
      </c>
      <c r="BG1073">
        <v>0</v>
      </c>
      <c r="BH1073">
        <v>5</v>
      </c>
      <c r="BI1073">
        <v>2.4</v>
      </c>
      <c r="BJ1073">
        <v>31</v>
      </c>
      <c r="BK1073">
        <v>0</v>
      </c>
      <c r="BL1073">
        <v>0</v>
      </c>
      <c r="BM1073">
        <v>0</v>
      </c>
      <c r="BN1073">
        <v>5</v>
      </c>
      <c r="BO1073">
        <v>2.4</v>
      </c>
      <c r="BP1073">
        <v>36</v>
      </c>
      <c r="BQ1073">
        <v>0</v>
      </c>
      <c r="BR1073">
        <v>0</v>
      </c>
      <c r="BS1073">
        <v>0</v>
      </c>
      <c r="BT1073">
        <v>5</v>
      </c>
      <c r="BU1073">
        <v>1.9</v>
      </c>
    </row>
    <row r="1074" spans="1:73" ht="14.25" x14ac:dyDescent="0.15">
      <c r="A1074" s="12">
        <v>20621</v>
      </c>
      <c r="B1074">
        <v>7</v>
      </c>
      <c r="C1074" s="1">
        <v>45</v>
      </c>
      <c r="D1074">
        <v>0</v>
      </c>
      <c r="E1074">
        <v>0</v>
      </c>
      <c r="F1074">
        <v>1</v>
      </c>
      <c r="G1074" s="7">
        <v>0.05</v>
      </c>
      <c r="H1074">
        <v>12</v>
      </c>
      <c r="I1074">
        <v>0</v>
      </c>
      <c r="J1074">
        <v>0</v>
      </c>
      <c r="K1074">
        <v>0</v>
      </c>
      <c r="L1074">
        <v>1</v>
      </c>
      <c r="M1074">
        <v>2</v>
      </c>
      <c r="N1074" s="7">
        <v>9</v>
      </c>
      <c r="O1074" s="7">
        <v>0</v>
      </c>
      <c r="P1074" s="7">
        <v>0</v>
      </c>
      <c r="Q1074" s="7">
        <v>0</v>
      </c>
      <c r="R1074" s="7">
        <v>1</v>
      </c>
      <c r="S1074" s="7">
        <v>4.5</v>
      </c>
      <c r="T1074">
        <v>7</v>
      </c>
      <c r="U1074" s="1">
        <v>33</v>
      </c>
      <c r="V1074">
        <v>0</v>
      </c>
      <c r="W1074">
        <v>0</v>
      </c>
      <c r="X1074">
        <v>1</v>
      </c>
      <c r="Y1074">
        <v>0.16</v>
      </c>
      <c r="Z1074">
        <v>23</v>
      </c>
      <c r="AA1074">
        <v>0</v>
      </c>
      <c r="AB1074">
        <v>0</v>
      </c>
      <c r="AC1074">
        <v>0</v>
      </c>
      <c r="AD1074">
        <v>1</v>
      </c>
      <c r="AE1074">
        <v>0.05</v>
      </c>
      <c r="AF1074">
        <v>15</v>
      </c>
      <c r="AG1074">
        <v>0</v>
      </c>
      <c r="AH1074">
        <v>0</v>
      </c>
      <c r="AI1074">
        <v>0</v>
      </c>
      <c r="AJ1074">
        <v>1</v>
      </c>
      <c r="AK1074">
        <v>0.02</v>
      </c>
      <c r="AL1074">
        <v>16</v>
      </c>
      <c r="AM1074">
        <v>0</v>
      </c>
      <c r="AN1074">
        <v>0</v>
      </c>
      <c r="AO1074">
        <v>0</v>
      </c>
      <c r="AP1074">
        <v>1</v>
      </c>
      <c r="AQ1074">
        <v>0.01</v>
      </c>
      <c r="AX1074">
        <v>7</v>
      </c>
      <c r="AY1074" s="1">
        <v>17</v>
      </c>
      <c r="AZ1074">
        <v>0</v>
      </c>
      <c r="BA1074">
        <v>0</v>
      </c>
      <c r="BB1074">
        <v>1</v>
      </c>
      <c r="BC1074" s="7">
        <v>0.32</v>
      </c>
      <c r="BD1074">
        <v>30</v>
      </c>
      <c r="BE1074">
        <v>0</v>
      </c>
      <c r="BF1074">
        <v>0</v>
      </c>
      <c r="BG1074">
        <v>0</v>
      </c>
      <c r="BH1074">
        <v>5</v>
      </c>
      <c r="BI1074">
        <v>2.4</v>
      </c>
      <c r="BJ1074">
        <v>31</v>
      </c>
      <c r="BK1074">
        <v>0</v>
      </c>
      <c r="BL1074">
        <v>0</v>
      </c>
      <c r="BM1074">
        <v>0</v>
      </c>
      <c r="BN1074">
        <v>5</v>
      </c>
      <c r="BO1074">
        <v>2.4</v>
      </c>
      <c r="BP1074">
        <v>36</v>
      </c>
      <c r="BQ1074">
        <v>0</v>
      </c>
      <c r="BR1074">
        <v>0</v>
      </c>
      <c r="BS1074">
        <v>0</v>
      </c>
      <c r="BT1074">
        <v>5</v>
      </c>
      <c r="BU1074">
        <v>1.9</v>
      </c>
    </row>
    <row r="1075" spans="1:73" ht="14.25" x14ac:dyDescent="0.15">
      <c r="A1075" s="12">
        <v>20622</v>
      </c>
      <c r="B1075">
        <v>7</v>
      </c>
      <c r="C1075" s="1">
        <v>46</v>
      </c>
      <c r="D1075">
        <v>0</v>
      </c>
      <c r="E1075">
        <v>0</v>
      </c>
      <c r="F1075">
        <v>1</v>
      </c>
      <c r="G1075" s="7">
        <v>0.05</v>
      </c>
      <c r="H1075">
        <v>12</v>
      </c>
      <c r="I1075">
        <v>0</v>
      </c>
      <c r="J1075">
        <v>0</v>
      </c>
      <c r="K1075">
        <v>0</v>
      </c>
      <c r="L1075">
        <v>1</v>
      </c>
      <c r="M1075">
        <v>2</v>
      </c>
      <c r="N1075" s="7">
        <v>9</v>
      </c>
      <c r="O1075" s="7">
        <v>0</v>
      </c>
      <c r="P1075" s="7">
        <v>0</v>
      </c>
      <c r="Q1075" s="7">
        <v>0</v>
      </c>
      <c r="R1075" s="7">
        <v>1</v>
      </c>
      <c r="S1075" s="7">
        <v>4.5</v>
      </c>
      <c r="T1075">
        <v>7</v>
      </c>
      <c r="U1075" s="1">
        <v>34</v>
      </c>
      <c r="V1075">
        <v>0</v>
      </c>
      <c r="W1075">
        <v>0</v>
      </c>
      <c r="X1075">
        <v>1</v>
      </c>
      <c r="Y1075">
        <v>0.16</v>
      </c>
      <c r="Z1075">
        <v>23</v>
      </c>
      <c r="AA1075">
        <v>0</v>
      </c>
      <c r="AB1075">
        <v>0</v>
      </c>
      <c r="AC1075">
        <v>0</v>
      </c>
      <c r="AD1075">
        <v>1</v>
      </c>
      <c r="AE1075">
        <v>0.05</v>
      </c>
      <c r="AF1075">
        <v>15</v>
      </c>
      <c r="AG1075">
        <v>0</v>
      </c>
      <c r="AH1075">
        <v>0</v>
      </c>
      <c r="AI1075">
        <v>0</v>
      </c>
      <c r="AJ1075">
        <v>1</v>
      </c>
      <c r="AK1075">
        <v>0.02</v>
      </c>
      <c r="AL1075">
        <v>16</v>
      </c>
      <c r="AM1075">
        <v>0</v>
      </c>
      <c r="AN1075">
        <v>0</v>
      </c>
      <c r="AO1075">
        <v>0</v>
      </c>
      <c r="AP1075">
        <v>1</v>
      </c>
      <c r="AQ1075">
        <v>0.01</v>
      </c>
      <c r="AX1075">
        <v>7</v>
      </c>
      <c r="AY1075" s="1">
        <v>18</v>
      </c>
      <c r="AZ1075">
        <v>0</v>
      </c>
      <c r="BA1075">
        <v>0</v>
      </c>
      <c r="BB1075">
        <v>1</v>
      </c>
      <c r="BC1075" s="7">
        <v>0.32</v>
      </c>
      <c r="BD1075">
        <v>30</v>
      </c>
      <c r="BE1075">
        <v>0</v>
      </c>
      <c r="BF1075">
        <v>0</v>
      </c>
      <c r="BG1075">
        <v>0</v>
      </c>
      <c r="BH1075">
        <v>5</v>
      </c>
      <c r="BI1075">
        <v>2.4</v>
      </c>
      <c r="BJ1075">
        <v>31</v>
      </c>
      <c r="BK1075">
        <v>0</v>
      </c>
      <c r="BL1075">
        <v>0</v>
      </c>
      <c r="BM1075">
        <v>0</v>
      </c>
      <c r="BN1075">
        <v>5</v>
      </c>
      <c r="BO1075">
        <v>2.4</v>
      </c>
      <c r="BP1075">
        <v>36</v>
      </c>
      <c r="BQ1075">
        <v>0</v>
      </c>
      <c r="BR1075">
        <v>0</v>
      </c>
      <c r="BS1075">
        <v>0</v>
      </c>
      <c r="BT1075">
        <v>5</v>
      </c>
      <c r="BU1075">
        <v>1.9</v>
      </c>
    </row>
    <row r="1076" spans="1:73" ht="14.25" x14ac:dyDescent="0.15">
      <c r="A1076" s="12">
        <v>20623</v>
      </c>
      <c r="B1076">
        <v>7</v>
      </c>
      <c r="C1076" s="1">
        <v>47</v>
      </c>
      <c r="D1076">
        <v>0</v>
      </c>
      <c r="E1076">
        <v>0</v>
      </c>
      <c r="F1076">
        <v>1</v>
      </c>
      <c r="G1076" s="7">
        <v>0.05</v>
      </c>
      <c r="H1076">
        <v>12</v>
      </c>
      <c r="I1076">
        <v>0</v>
      </c>
      <c r="J1076">
        <v>0</v>
      </c>
      <c r="K1076">
        <v>0</v>
      </c>
      <c r="L1076">
        <v>1</v>
      </c>
      <c r="M1076">
        <v>2</v>
      </c>
      <c r="N1076" s="7">
        <v>9</v>
      </c>
      <c r="O1076" s="7">
        <v>0</v>
      </c>
      <c r="P1076" s="7">
        <v>0</v>
      </c>
      <c r="Q1076" s="7">
        <v>0</v>
      </c>
      <c r="R1076" s="7">
        <v>1</v>
      </c>
      <c r="S1076" s="7">
        <v>4.5</v>
      </c>
      <c r="T1076">
        <v>7</v>
      </c>
      <c r="U1076" s="1">
        <v>35</v>
      </c>
      <c r="V1076">
        <v>0</v>
      </c>
      <c r="W1076">
        <v>0</v>
      </c>
      <c r="X1076">
        <v>1</v>
      </c>
      <c r="Y1076">
        <v>0.16</v>
      </c>
      <c r="Z1076">
        <v>23</v>
      </c>
      <c r="AA1076">
        <v>0</v>
      </c>
      <c r="AB1076">
        <v>0</v>
      </c>
      <c r="AC1076">
        <v>0</v>
      </c>
      <c r="AD1076">
        <v>1</v>
      </c>
      <c r="AE1076">
        <v>0.05</v>
      </c>
      <c r="AF1076">
        <v>15</v>
      </c>
      <c r="AG1076">
        <v>0</v>
      </c>
      <c r="AH1076">
        <v>0</v>
      </c>
      <c r="AI1076">
        <v>0</v>
      </c>
      <c r="AJ1076">
        <v>1</v>
      </c>
      <c r="AK1076">
        <v>0.02</v>
      </c>
      <c r="AL1076">
        <v>16</v>
      </c>
      <c r="AM1076">
        <v>0</v>
      </c>
      <c r="AN1076">
        <v>0</v>
      </c>
      <c r="AO1076">
        <v>0</v>
      </c>
      <c r="AP1076">
        <v>1</v>
      </c>
      <c r="AQ1076">
        <v>0.01</v>
      </c>
      <c r="AX1076">
        <v>7</v>
      </c>
      <c r="AY1076" s="1">
        <v>19</v>
      </c>
      <c r="AZ1076">
        <v>0</v>
      </c>
      <c r="BA1076">
        <v>0</v>
      </c>
      <c r="BB1076">
        <v>1</v>
      </c>
      <c r="BC1076" s="7">
        <v>0.32</v>
      </c>
      <c r="BD1076">
        <v>30</v>
      </c>
      <c r="BE1076">
        <v>0</v>
      </c>
      <c r="BF1076">
        <v>0</v>
      </c>
      <c r="BG1076">
        <v>0</v>
      </c>
      <c r="BH1076">
        <v>5</v>
      </c>
      <c r="BI1076">
        <v>2.4</v>
      </c>
      <c r="BJ1076">
        <v>31</v>
      </c>
      <c r="BK1076">
        <v>0</v>
      </c>
      <c r="BL1076">
        <v>0</v>
      </c>
      <c r="BM1076">
        <v>0</v>
      </c>
      <c r="BN1076">
        <v>5</v>
      </c>
      <c r="BO1076">
        <v>2.4</v>
      </c>
      <c r="BP1076">
        <v>36</v>
      </c>
      <c r="BQ1076">
        <v>0</v>
      </c>
      <c r="BR1076">
        <v>0</v>
      </c>
      <c r="BS1076">
        <v>0</v>
      </c>
      <c r="BT1076">
        <v>5</v>
      </c>
      <c r="BU1076">
        <v>1.9</v>
      </c>
    </row>
    <row r="1077" spans="1:73" ht="14.25" x14ac:dyDescent="0.15">
      <c r="A1077" s="12">
        <v>20624</v>
      </c>
      <c r="B1077">
        <v>7</v>
      </c>
      <c r="C1077" s="1">
        <v>48</v>
      </c>
      <c r="D1077">
        <v>0</v>
      </c>
      <c r="E1077">
        <v>0</v>
      </c>
      <c r="F1077">
        <v>1</v>
      </c>
      <c r="G1077" s="7">
        <v>0.05</v>
      </c>
      <c r="H1077">
        <v>12</v>
      </c>
      <c r="I1077">
        <v>0</v>
      </c>
      <c r="J1077">
        <v>0</v>
      </c>
      <c r="K1077">
        <v>0</v>
      </c>
      <c r="L1077">
        <v>1</v>
      </c>
      <c r="M1077">
        <v>2</v>
      </c>
      <c r="N1077" s="7">
        <v>9</v>
      </c>
      <c r="O1077" s="7">
        <v>0</v>
      </c>
      <c r="P1077" s="7">
        <v>0</v>
      </c>
      <c r="Q1077" s="7">
        <v>0</v>
      </c>
      <c r="R1077" s="7">
        <v>1</v>
      </c>
      <c r="S1077" s="7">
        <v>4.5</v>
      </c>
      <c r="T1077">
        <v>7</v>
      </c>
      <c r="U1077" s="1">
        <v>36</v>
      </c>
      <c r="V1077">
        <v>0</v>
      </c>
      <c r="W1077">
        <v>0</v>
      </c>
      <c r="X1077">
        <v>1</v>
      </c>
      <c r="Y1077">
        <v>0.16</v>
      </c>
      <c r="Z1077">
        <v>23</v>
      </c>
      <c r="AA1077">
        <v>0</v>
      </c>
      <c r="AB1077">
        <v>0</v>
      </c>
      <c r="AC1077">
        <v>0</v>
      </c>
      <c r="AD1077">
        <v>1</v>
      </c>
      <c r="AE1077">
        <v>0.05</v>
      </c>
      <c r="AF1077">
        <v>15</v>
      </c>
      <c r="AG1077">
        <v>0</v>
      </c>
      <c r="AH1077">
        <v>0</v>
      </c>
      <c r="AI1077">
        <v>0</v>
      </c>
      <c r="AJ1077">
        <v>1</v>
      </c>
      <c r="AK1077">
        <v>0.02</v>
      </c>
      <c r="AL1077">
        <v>16</v>
      </c>
      <c r="AM1077">
        <v>0</v>
      </c>
      <c r="AN1077">
        <v>0</v>
      </c>
      <c r="AO1077">
        <v>0</v>
      </c>
      <c r="AP1077">
        <v>1</v>
      </c>
      <c r="AQ1077">
        <v>0.01</v>
      </c>
      <c r="AX1077">
        <v>7</v>
      </c>
      <c r="AY1077" s="1">
        <v>20</v>
      </c>
      <c r="AZ1077">
        <v>0</v>
      </c>
      <c r="BA1077">
        <v>0</v>
      </c>
      <c r="BB1077">
        <v>1</v>
      </c>
      <c r="BC1077" s="7">
        <v>0.32</v>
      </c>
      <c r="BD1077">
        <v>30</v>
      </c>
      <c r="BE1077">
        <v>0</v>
      </c>
      <c r="BF1077">
        <v>0</v>
      </c>
      <c r="BG1077">
        <v>0</v>
      </c>
      <c r="BH1077">
        <v>5</v>
      </c>
      <c r="BI1077">
        <v>2.4</v>
      </c>
      <c r="BJ1077">
        <v>31</v>
      </c>
      <c r="BK1077">
        <v>0</v>
      </c>
      <c r="BL1077">
        <v>0</v>
      </c>
      <c r="BM1077">
        <v>0</v>
      </c>
      <c r="BN1077">
        <v>5</v>
      </c>
      <c r="BO1077">
        <v>2.4</v>
      </c>
      <c r="BP1077">
        <v>36</v>
      </c>
      <c r="BQ1077">
        <v>0</v>
      </c>
      <c r="BR1077">
        <v>0</v>
      </c>
      <c r="BS1077">
        <v>0</v>
      </c>
      <c r="BT1077">
        <v>5</v>
      </c>
      <c r="BU1077">
        <v>1.9</v>
      </c>
    </row>
    <row r="1078" spans="1:73" ht="14.25" x14ac:dyDescent="0.15">
      <c r="A1078" s="12">
        <v>20625</v>
      </c>
      <c r="B1078">
        <v>7</v>
      </c>
      <c r="C1078" s="1">
        <v>0</v>
      </c>
      <c r="D1078">
        <v>5</v>
      </c>
      <c r="E1078">
        <v>1</v>
      </c>
      <c r="F1078">
        <v>1</v>
      </c>
      <c r="G1078" s="7">
        <v>0.05</v>
      </c>
      <c r="H1078">
        <v>12</v>
      </c>
      <c r="I1078">
        <v>0</v>
      </c>
      <c r="J1078">
        <v>0</v>
      </c>
      <c r="K1078">
        <v>0</v>
      </c>
      <c r="L1078">
        <v>1</v>
      </c>
      <c r="M1078">
        <v>2</v>
      </c>
      <c r="N1078" s="7">
        <v>9</v>
      </c>
      <c r="O1078" s="7">
        <v>0</v>
      </c>
      <c r="P1078" s="7">
        <v>0</v>
      </c>
      <c r="Q1078" s="7">
        <v>0</v>
      </c>
      <c r="R1078" s="7">
        <v>1</v>
      </c>
      <c r="S1078" s="7">
        <v>4.5</v>
      </c>
      <c r="T1078">
        <v>7</v>
      </c>
      <c r="U1078" s="1">
        <v>0</v>
      </c>
      <c r="V1078">
        <v>4</v>
      </c>
      <c r="W1078">
        <v>2</v>
      </c>
      <c r="X1078">
        <v>1</v>
      </c>
      <c r="Y1078">
        <v>0.16</v>
      </c>
      <c r="Z1078">
        <v>23</v>
      </c>
      <c r="AA1078">
        <v>0</v>
      </c>
      <c r="AB1078">
        <v>0</v>
      </c>
      <c r="AC1078">
        <v>0</v>
      </c>
      <c r="AD1078">
        <v>1</v>
      </c>
      <c r="AE1078">
        <v>0.05</v>
      </c>
      <c r="AF1078">
        <v>15</v>
      </c>
      <c r="AG1078">
        <v>0</v>
      </c>
      <c r="AH1078">
        <v>0</v>
      </c>
      <c r="AI1078">
        <v>0</v>
      </c>
      <c r="AJ1078">
        <v>1</v>
      </c>
      <c r="AK1078">
        <v>0.02</v>
      </c>
      <c r="AL1078">
        <v>16</v>
      </c>
      <c r="AM1078">
        <v>0</v>
      </c>
      <c r="AN1078">
        <v>0</v>
      </c>
      <c r="AO1078">
        <v>0</v>
      </c>
      <c r="AP1078">
        <v>1</v>
      </c>
      <c r="AQ1078">
        <v>0.01</v>
      </c>
      <c r="AR1078">
        <v>6</v>
      </c>
      <c r="AS1078">
        <v>2</v>
      </c>
      <c r="AT1078">
        <v>5</v>
      </c>
      <c r="AU1078">
        <v>5</v>
      </c>
      <c r="AV1078">
        <v>1</v>
      </c>
      <c r="AW1078">
        <v>0.01</v>
      </c>
      <c r="AX1078">
        <v>7</v>
      </c>
      <c r="AY1078" s="1">
        <v>0</v>
      </c>
      <c r="AZ1078">
        <v>3</v>
      </c>
      <c r="BA1078">
        <v>1</v>
      </c>
      <c r="BB1078">
        <v>1</v>
      </c>
      <c r="BC1078" s="7">
        <v>0.32</v>
      </c>
      <c r="BD1078">
        <v>30</v>
      </c>
      <c r="BE1078">
        <v>0</v>
      </c>
      <c r="BF1078">
        <v>0</v>
      </c>
      <c r="BG1078">
        <v>0</v>
      </c>
      <c r="BH1078">
        <v>5</v>
      </c>
      <c r="BI1078">
        <v>2.4</v>
      </c>
      <c r="BJ1078">
        <v>31</v>
      </c>
      <c r="BK1078">
        <v>0</v>
      </c>
      <c r="BL1078">
        <v>0</v>
      </c>
      <c r="BM1078">
        <v>0</v>
      </c>
      <c r="BN1078">
        <v>5</v>
      </c>
      <c r="BO1078">
        <v>2.4</v>
      </c>
      <c r="BP1078">
        <v>36</v>
      </c>
      <c r="BQ1078">
        <v>0</v>
      </c>
      <c r="BR1078">
        <v>0</v>
      </c>
      <c r="BS1078">
        <v>0</v>
      </c>
      <c r="BT1078">
        <v>5</v>
      </c>
      <c r="BU1078">
        <v>1.9</v>
      </c>
    </row>
    <row r="1079" spans="1:73" ht="14.25" x14ac:dyDescent="0.15">
      <c r="A1079" s="12">
        <v>20626</v>
      </c>
      <c r="B1079">
        <v>7</v>
      </c>
      <c r="C1079" s="1">
        <v>45</v>
      </c>
      <c r="D1079">
        <v>0</v>
      </c>
      <c r="E1079">
        <v>0</v>
      </c>
      <c r="F1079">
        <v>1</v>
      </c>
      <c r="G1079" s="7">
        <v>0.05</v>
      </c>
      <c r="H1079">
        <v>12</v>
      </c>
      <c r="I1079">
        <v>0</v>
      </c>
      <c r="J1079">
        <v>0</v>
      </c>
      <c r="K1079">
        <v>0</v>
      </c>
      <c r="L1079">
        <v>1</v>
      </c>
      <c r="M1079">
        <v>2</v>
      </c>
      <c r="N1079" s="7">
        <v>9</v>
      </c>
      <c r="O1079" s="7">
        <v>0</v>
      </c>
      <c r="P1079" s="7">
        <v>0</v>
      </c>
      <c r="Q1079" s="7">
        <v>0</v>
      </c>
      <c r="R1079" s="7">
        <v>1</v>
      </c>
      <c r="S1079" s="7">
        <v>4.5</v>
      </c>
      <c r="T1079">
        <v>7</v>
      </c>
      <c r="U1079" s="1">
        <v>33</v>
      </c>
      <c r="V1079">
        <v>0</v>
      </c>
      <c r="W1079">
        <v>0</v>
      </c>
      <c r="X1079">
        <v>1</v>
      </c>
      <c r="Y1079">
        <v>0.16</v>
      </c>
      <c r="Z1079">
        <v>23</v>
      </c>
      <c r="AA1079">
        <v>0</v>
      </c>
      <c r="AB1079">
        <v>0</v>
      </c>
      <c r="AC1079">
        <v>0</v>
      </c>
      <c r="AD1079">
        <v>1</v>
      </c>
      <c r="AE1079">
        <v>0.05</v>
      </c>
      <c r="AF1079">
        <v>15</v>
      </c>
      <c r="AG1079">
        <v>0</v>
      </c>
      <c r="AH1079">
        <v>0</v>
      </c>
      <c r="AI1079">
        <v>0</v>
      </c>
      <c r="AJ1079">
        <v>1</v>
      </c>
      <c r="AK1079">
        <v>0.02</v>
      </c>
      <c r="AL1079">
        <v>16</v>
      </c>
      <c r="AM1079">
        <v>0</v>
      </c>
      <c r="AN1079">
        <v>0</v>
      </c>
      <c r="AO1079">
        <v>0</v>
      </c>
      <c r="AP1079">
        <v>1</v>
      </c>
      <c r="AQ1079">
        <v>0.01</v>
      </c>
      <c r="AX1079">
        <v>7</v>
      </c>
      <c r="AY1079" s="1">
        <v>17</v>
      </c>
      <c r="AZ1079">
        <v>0</v>
      </c>
      <c r="BA1079">
        <v>0</v>
      </c>
      <c r="BB1079">
        <v>1</v>
      </c>
      <c r="BC1079" s="7">
        <v>0.32</v>
      </c>
      <c r="BD1079">
        <v>30</v>
      </c>
      <c r="BE1079">
        <v>0</v>
      </c>
      <c r="BF1079">
        <v>0</v>
      </c>
      <c r="BG1079">
        <v>0</v>
      </c>
      <c r="BH1079">
        <v>5</v>
      </c>
      <c r="BI1079">
        <v>2.4</v>
      </c>
      <c r="BJ1079">
        <v>31</v>
      </c>
      <c r="BK1079">
        <v>0</v>
      </c>
      <c r="BL1079">
        <v>0</v>
      </c>
      <c r="BM1079">
        <v>0</v>
      </c>
      <c r="BN1079">
        <v>5</v>
      </c>
      <c r="BO1079">
        <v>2.4</v>
      </c>
      <c r="BP1079">
        <v>36</v>
      </c>
      <c r="BQ1079">
        <v>0</v>
      </c>
      <c r="BR1079">
        <v>0</v>
      </c>
      <c r="BS1079">
        <v>0</v>
      </c>
      <c r="BT1079">
        <v>5</v>
      </c>
      <c r="BU1079">
        <v>1.9</v>
      </c>
    </row>
    <row r="1080" spans="1:73" ht="14.25" x14ac:dyDescent="0.15">
      <c r="A1080" s="12">
        <v>20627</v>
      </c>
      <c r="B1080">
        <v>7</v>
      </c>
      <c r="C1080" s="1">
        <v>46</v>
      </c>
      <c r="D1080">
        <v>0</v>
      </c>
      <c r="E1080">
        <v>0</v>
      </c>
      <c r="F1080">
        <v>1</v>
      </c>
      <c r="G1080" s="7">
        <v>0.05</v>
      </c>
      <c r="H1080">
        <v>12</v>
      </c>
      <c r="I1080">
        <v>0</v>
      </c>
      <c r="J1080">
        <v>0</v>
      </c>
      <c r="K1080">
        <v>0</v>
      </c>
      <c r="L1080">
        <v>1</v>
      </c>
      <c r="M1080">
        <v>2</v>
      </c>
      <c r="N1080" s="7">
        <v>9</v>
      </c>
      <c r="O1080" s="7">
        <v>0</v>
      </c>
      <c r="P1080" s="7">
        <v>0</v>
      </c>
      <c r="Q1080" s="7">
        <v>0</v>
      </c>
      <c r="R1080" s="7">
        <v>1</v>
      </c>
      <c r="S1080" s="7">
        <v>4.5</v>
      </c>
      <c r="T1080">
        <v>7</v>
      </c>
      <c r="U1080" s="1">
        <v>34</v>
      </c>
      <c r="V1080">
        <v>0</v>
      </c>
      <c r="W1080">
        <v>0</v>
      </c>
      <c r="X1080">
        <v>1</v>
      </c>
      <c r="Y1080">
        <v>0.16</v>
      </c>
      <c r="Z1080">
        <v>23</v>
      </c>
      <c r="AA1080">
        <v>0</v>
      </c>
      <c r="AB1080">
        <v>0</v>
      </c>
      <c r="AC1080">
        <v>0</v>
      </c>
      <c r="AD1080">
        <v>1</v>
      </c>
      <c r="AE1080">
        <v>0.05</v>
      </c>
      <c r="AF1080">
        <v>15</v>
      </c>
      <c r="AG1080">
        <v>0</v>
      </c>
      <c r="AH1080">
        <v>0</v>
      </c>
      <c r="AI1080">
        <v>0</v>
      </c>
      <c r="AJ1080">
        <v>1</v>
      </c>
      <c r="AK1080">
        <v>0.02</v>
      </c>
      <c r="AL1080">
        <v>16</v>
      </c>
      <c r="AM1080">
        <v>0</v>
      </c>
      <c r="AN1080">
        <v>0</v>
      </c>
      <c r="AO1080">
        <v>0</v>
      </c>
      <c r="AP1080">
        <v>1</v>
      </c>
      <c r="AQ1080">
        <v>0.01</v>
      </c>
      <c r="AX1080">
        <v>7</v>
      </c>
      <c r="AY1080" s="1">
        <v>18</v>
      </c>
      <c r="AZ1080">
        <v>0</v>
      </c>
      <c r="BA1080">
        <v>0</v>
      </c>
      <c r="BB1080">
        <v>1</v>
      </c>
      <c r="BC1080" s="7">
        <v>0.32</v>
      </c>
      <c r="BD1080">
        <v>30</v>
      </c>
      <c r="BE1080">
        <v>0</v>
      </c>
      <c r="BF1080">
        <v>0</v>
      </c>
      <c r="BG1080">
        <v>0</v>
      </c>
      <c r="BH1080">
        <v>5</v>
      </c>
      <c r="BI1080">
        <v>2.4</v>
      </c>
      <c r="BJ1080">
        <v>31</v>
      </c>
      <c r="BK1080">
        <v>0</v>
      </c>
      <c r="BL1080">
        <v>0</v>
      </c>
      <c r="BM1080">
        <v>0</v>
      </c>
      <c r="BN1080">
        <v>5</v>
      </c>
      <c r="BO1080">
        <v>2.4</v>
      </c>
      <c r="BP1080">
        <v>36</v>
      </c>
      <c r="BQ1080">
        <v>0</v>
      </c>
      <c r="BR1080">
        <v>0</v>
      </c>
      <c r="BS1080">
        <v>0</v>
      </c>
      <c r="BT1080">
        <v>5</v>
      </c>
      <c r="BU1080">
        <v>1.9</v>
      </c>
    </row>
    <row r="1081" spans="1:73" ht="14.25" x14ac:dyDescent="0.15">
      <c r="A1081" s="12">
        <v>20628</v>
      </c>
      <c r="B1081">
        <v>7</v>
      </c>
      <c r="C1081" s="1">
        <v>47</v>
      </c>
      <c r="D1081">
        <v>0</v>
      </c>
      <c r="E1081">
        <v>0</v>
      </c>
      <c r="F1081">
        <v>1</v>
      </c>
      <c r="G1081" s="7">
        <v>0.05</v>
      </c>
      <c r="H1081">
        <v>12</v>
      </c>
      <c r="I1081">
        <v>0</v>
      </c>
      <c r="J1081">
        <v>0</v>
      </c>
      <c r="K1081">
        <v>0</v>
      </c>
      <c r="L1081">
        <v>1</v>
      </c>
      <c r="M1081">
        <v>2</v>
      </c>
      <c r="N1081" s="7">
        <v>9</v>
      </c>
      <c r="O1081" s="7">
        <v>0</v>
      </c>
      <c r="P1081" s="7">
        <v>0</v>
      </c>
      <c r="Q1081" s="7">
        <v>0</v>
      </c>
      <c r="R1081" s="7">
        <v>1</v>
      </c>
      <c r="S1081" s="7">
        <v>4.5</v>
      </c>
      <c r="T1081">
        <v>7</v>
      </c>
      <c r="U1081" s="1">
        <v>35</v>
      </c>
      <c r="V1081">
        <v>0</v>
      </c>
      <c r="W1081">
        <v>0</v>
      </c>
      <c r="X1081">
        <v>1</v>
      </c>
      <c r="Y1081">
        <v>0.16</v>
      </c>
      <c r="Z1081">
        <v>23</v>
      </c>
      <c r="AA1081">
        <v>0</v>
      </c>
      <c r="AB1081">
        <v>0</v>
      </c>
      <c r="AC1081">
        <v>0</v>
      </c>
      <c r="AD1081">
        <v>1</v>
      </c>
      <c r="AE1081">
        <v>0.05</v>
      </c>
      <c r="AF1081">
        <v>15</v>
      </c>
      <c r="AG1081">
        <v>0</v>
      </c>
      <c r="AH1081">
        <v>0</v>
      </c>
      <c r="AI1081">
        <v>0</v>
      </c>
      <c r="AJ1081">
        <v>1</v>
      </c>
      <c r="AK1081">
        <v>0.02</v>
      </c>
      <c r="AL1081">
        <v>16</v>
      </c>
      <c r="AM1081">
        <v>0</v>
      </c>
      <c r="AN1081">
        <v>0</v>
      </c>
      <c r="AO1081">
        <v>0</v>
      </c>
      <c r="AP1081">
        <v>1</v>
      </c>
      <c r="AQ1081">
        <v>0.01</v>
      </c>
      <c r="AX1081">
        <v>7</v>
      </c>
      <c r="AY1081" s="1">
        <v>19</v>
      </c>
      <c r="AZ1081">
        <v>0</v>
      </c>
      <c r="BA1081">
        <v>0</v>
      </c>
      <c r="BB1081">
        <v>1</v>
      </c>
      <c r="BC1081" s="7">
        <v>0.32</v>
      </c>
      <c r="BD1081">
        <v>30</v>
      </c>
      <c r="BE1081">
        <v>0</v>
      </c>
      <c r="BF1081">
        <v>0</v>
      </c>
      <c r="BG1081">
        <v>0</v>
      </c>
      <c r="BH1081">
        <v>5</v>
      </c>
      <c r="BI1081">
        <v>2.4</v>
      </c>
      <c r="BJ1081">
        <v>31</v>
      </c>
      <c r="BK1081">
        <v>0</v>
      </c>
      <c r="BL1081">
        <v>0</v>
      </c>
      <c r="BM1081">
        <v>0</v>
      </c>
      <c r="BN1081">
        <v>5</v>
      </c>
      <c r="BO1081">
        <v>2.4</v>
      </c>
      <c r="BP1081">
        <v>36</v>
      </c>
      <c r="BQ1081">
        <v>0</v>
      </c>
      <c r="BR1081">
        <v>0</v>
      </c>
      <c r="BS1081">
        <v>0</v>
      </c>
      <c r="BT1081">
        <v>5</v>
      </c>
      <c r="BU1081">
        <v>1.9</v>
      </c>
    </row>
    <row r="1082" spans="1:73" ht="14.25" x14ac:dyDescent="0.15">
      <c r="A1082" s="12">
        <v>20629</v>
      </c>
      <c r="B1082">
        <v>7</v>
      </c>
      <c r="C1082" s="1">
        <v>48</v>
      </c>
      <c r="D1082">
        <v>0</v>
      </c>
      <c r="E1082">
        <v>0</v>
      </c>
      <c r="F1082">
        <v>1</v>
      </c>
      <c r="G1082" s="7">
        <v>0.05</v>
      </c>
      <c r="H1082">
        <v>12</v>
      </c>
      <c r="I1082">
        <v>0</v>
      </c>
      <c r="J1082">
        <v>0</v>
      </c>
      <c r="K1082">
        <v>0</v>
      </c>
      <c r="L1082">
        <v>1</v>
      </c>
      <c r="M1082">
        <v>2</v>
      </c>
      <c r="N1082" s="7">
        <v>9</v>
      </c>
      <c r="O1082" s="7">
        <v>0</v>
      </c>
      <c r="P1082" s="7">
        <v>0</v>
      </c>
      <c r="Q1082" s="7">
        <v>0</v>
      </c>
      <c r="R1082" s="7">
        <v>1</v>
      </c>
      <c r="S1082" s="7">
        <v>4.5</v>
      </c>
      <c r="T1082">
        <v>7</v>
      </c>
      <c r="U1082" s="1">
        <v>36</v>
      </c>
      <c r="V1082">
        <v>0</v>
      </c>
      <c r="W1082">
        <v>0</v>
      </c>
      <c r="X1082">
        <v>1</v>
      </c>
      <c r="Y1082">
        <v>0.16</v>
      </c>
      <c r="Z1082">
        <v>23</v>
      </c>
      <c r="AA1082">
        <v>0</v>
      </c>
      <c r="AB1082">
        <v>0</v>
      </c>
      <c r="AC1082">
        <v>0</v>
      </c>
      <c r="AD1082">
        <v>1</v>
      </c>
      <c r="AE1082">
        <v>0.05</v>
      </c>
      <c r="AF1082">
        <v>15</v>
      </c>
      <c r="AG1082">
        <v>0</v>
      </c>
      <c r="AH1082">
        <v>0</v>
      </c>
      <c r="AI1082">
        <v>0</v>
      </c>
      <c r="AJ1082">
        <v>1</v>
      </c>
      <c r="AK1082">
        <v>0.02</v>
      </c>
      <c r="AL1082">
        <v>16</v>
      </c>
      <c r="AM1082">
        <v>0</v>
      </c>
      <c r="AN1082">
        <v>0</v>
      </c>
      <c r="AO1082">
        <v>0</v>
      </c>
      <c r="AP1082">
        <v>1</v>
      </c>
      <c r="AQ1082">
        <v>0.01</v>
      </c>
      <c r="AX1082">
        <v>7</v>
      </c>
      <c r="AY1082" s="1">
        <v>20</v>
      </c>
      <c r="AZ1082">
        <v>0</v>
      </c>
      <c r="BA1082">
        <v>0</v>
      </c>
      <c r="BB1082">
        <v>1</v>
      </c>
      <c r="BC1082" s="7">
        <v>0.32</v>
      </c>
      <c r="BD1082">
        <v>30</v>
      </c>
      <c r="BE1082">
        <v>0</v>
      </c>
      <c r="BF1082">
        <v>0</v>
      </c>
      <c r="BG1082">
        <v>0</v>
      </c>
      <c r="BH1082">
        <v>5</v>
      </c>
      <c r="BI1082">
        <v>2.4</v>
      </c>
      <c r="BJ1082">
        <v>31</v>
      </c>
      <c r="BK1082">
        <v>0</v>
      </c>
      <c r="BL1082">
        <v>0</v>
      </c>
      <c r="BM1082">
        <v>0</v>
      </c>
      <c r="BN1082">
        <v>5</v>
      </c>
      <c r="BO1082">
        <v>2.4</v>
      </c>
      <c r="BP1082">
        <v>36</v>
      </c>
      <c r="BQ1082">
        <v>0</v>
      </c>
      <c r="BR1082">
        <v>0</v>
      </c>
      <c r="BS1082">
        <v>0</v>
      </c>
      <c r="BT1082">
        <v>5</v>
      </c>
      <c r="BU1082">
        <v>1.9</v>
      </c>
    </row>
    <row r="1083" spans="1:73" ht="14.25" x14ac:dyDescent="0.15">
      <c r="A1083" s="12">
        <v>20630</v>
      </c>
      <c r="B1083">
        <v>7</v>
      </c>
      <c r="C1083" s="1">
        <v>0</v>
      </c>
      <c r="D1083">
        <v>5</v>
      </c>
      <c r="E1083">
        <v>1</v>
      </c>
      <c r="F1083">
        <v>1</v>
      </c>
      <c r="G1083" s="7">
        <v>0.05</v>
      </c>
      <c r="H1083">
        <v>12</v>
      </c>
      <c r="I1083">
        <v>0</v>
      </c>
      <c r="J1083">
        <v>0</v>
      </c>
      <c r="K1083">
        <v>0</v>
      </c>
      <c r="L1083">
        <v>1</v>
      </c>
      <c r="M1083">
        <v>2</v>
      </c>
      <c r="N1083" s="7">
        <v>9</v>
      </c>
      <c r="O1083" s="7">
        <v>0</v>
      </c>
      <c r="P1083" s="7">
        <v>0</v>
      </c>
      <c r="Q1083" s="7">
        <v>0</v>
      </c>
      <c r="R1083" s="7">
        <v>1</v>
      </c>
      <c r="S1083" s="7">
        <v>4.5</v>
      </c>
      <c r="T1083">
        <v>7</v>
      </c>
      <c r="U1083" s="1">
        <v>0</v>
      </c>
      <c r="V1083">
        <v>4</v>
      </c>
      <c r="W1083">
        <v>2</v>
      </c>
      <c r="X1083">
        <v>1</v>
      </c>
      <c r="Y1083">
        <v>0.16</v>
      </c>
      <c r="Z1083">
        <v>23</v>
      </c>
      <c r="AA1083">
        <v>0</v>
      </c>
      <c r="AB1083">
        <v>0</v>
      </c>
      <c r="AC1083">
        <v>0</v>
      </c>
      <c r="AD1083">
        <v>1</v>
      </c>
      <c r="AE1083">
        <v>0.05</v>
      </c>
      <c r="AF1083">
        <v>15</v>
      </c>
      <c r="AG1083">
        <v>0</v>
      </c>
      <c r="AH1083">
        <v>0</v>
      </c>
      <c r="AI1083">
        <v>0</v>
      </c>
      <c r="AJ1083">
        <v>1</v>
      </c>
      <c r="AK1083">
        <v>0.02</v>
      </c>
      <c r="AL1083">
        <v>16</v>
      </c>
      <c r="AM1083">
        <v>0</v>
      </c>
      <c r="AN1083">
        <v>0</v>
      </c>
      <c r="AO1083">
        <v>0</v>
      </c>
      <c r="AP1083">
        <v>1</v>
      </c>
      <c r="AQ1083">
        <v>0.01</v>
      </c>
      <c r="AR1083">
        <v>6</v>
      </c>
      <c r="AS1083">
        <v>2</v>
      </c>
      <c r="AT1083">
        <v>1</v>
      </c>
      <c r="AU1083">
        <v>5</v>
      </c>
      <c r="AV1083">
        <v>1</v>
      </c>
      <c r="AW1083">
        <v>0.05</v>
      </c>
      <c r="AX1083">
        <v>7</v>
      </c>
      <c r="AY1083" s="1">
        <v>0</v>
      </c>
      <c r="AZ1083">
        <v>3</v>
      </c>
      <c r="BA1083">
        <v>1</v>
      </c>
      <c r="BB1083">
        <v>1</v>
      </c>
      <c r="BC1083" s="7">
        <v>0.32</v>
      </c>
      <c r="BD1083">
        <v>30</v>
      </c>
      <c r="BE1083">
        <v>0</v>
      </c>
      <c r="BF1083">
        <v>0</v>
      </c>
      <c r="BG1083">
        <v>0</v>
      </c>
      <c r="BH1083">
        <v>5</v>
      </c>
      <c r="BI1083">
        <v>2.4</v>
      </c>
      <c r="BJ1083">
        <v>31</v>
      </c>
      <c r="BK1083">
        <v>0</v>
      </c>
      <c r="BL1083">
        <v>0</v>
      </c>
      <c r="BM1083">
        <v>0</v>
      </c>
      <c r="BN1083">
        <v>5</v>
      </c>
      <c r="BO1083">
        <v>2.4</v>
      </c>
      <c r="BP1083">
        <v>36</v>
      </c>
      <c r="BQ1083">
        <v>0</v>
      </c>
      <c r="BR1083">
        <v>0</v>
      </c>
      <c r="BS1083">
        <v>0</v>
      </c>
      <c r="BT1083">
        <v>5</v>
      </c>
      <c r="BU1083">
        <v>1.9</v>
      </c>
    </row>
    <row r="1084" spans="1:73" ht="14.25" x14ac:dyDescent="0.15">
      <c r="A1084" s="12">
        <v>20631</v>
      </c>
      <c r="B1084">
        <v>7</v>
      </c>
      <c r="C1084" s="1">
        <v>45</v>
      </c>
      <c r="D1084">
        <v>0</v>
      </c>
      <c r="E1084">
        <v>0</v>
      </c>
      <c r="F1084">
        <v>1</v>
      </c>
      <c r="G1084" s="7">
        <v>0.05</v>
      </c>
      <c r="H1084">
        <v>12</v>
      </c>
      <c r="I1084">
        <v>0</v>
      </c>
      <c r="J1084">
        <v>0</v>
      </c>
      <c r="K1084">
        <v>0</v>
      </c>
      <c r="L1084">
        <v>1</v>
      </c>
      <c r="M1084">
        <v>2</v>
      </c>
      <c r="N1084" s="7">
        <v>9</v>
      </c>
      <c r="O1084" s="7">
        <v>0</v>
      </c>
      <c r="P1084" s="7">
        <v>0</v>
      </c>
      <c r="Q1084" s="7">
        <v>0</v>
      </c>
      <c r="R1084" s="7">
        <v>1</v>
      </c>
      <c r="S1084" s="7">
        <v>4.5</v>
      </c>
      <c r="T1084">
        <v>7</v>
      </c>
      <c r="U1084" s="1">
        <v>33</v>
      </c>
      <c r="V1084">
        <v>0</v>
      </c>
      <c r="W1084">
        <v>0</v>
      </c>
      <c r="X1084">
        <v>1</v>
      </c>
      <c r="Y1084">
        <v>0.16</v>
      </c>
      <c r="Z1084">
        <v>23</v>
      </c>
      <c r="AA1084">
        <v>0</v>
      </c>
      <c r="AB1084">
        <v>0</v>
      </c>
      <c r="AC1084">
        <v>0</v>
      </c>
      <c r="AD1084">
        <v>1</v>
      </c>
      <c r="AE1084">
        <v>0.05</v>
      </c>
      <c r="AF1084">
        <v>15</v>
      </c>
      <c r="AG1084">
        <v>0</v>
      </c>
      <c r="AH1084">
        <v>0</v>
      </c>
      <c r="AI1084">
        <v>0</v>
      </c>
      <c r="AJ1084">
        <v>1</v>
      </c>
      <c r="AK1084">
        <v>0.02</v>
      </c>
      <c r="AL1084">
        <v>16</v>
      </c>
      <c r="AM1084">
        <v>0</v>
      </c>
      <c r="AN1084">
        <v>0</v>
      </c>
      <c r="AO1084">
        <v>0</v>
      </c>
      <c r="AP1084">
        <v>1</v>
      </c>
      <c r="AQ1084">
        <v>0.01</v>
      </c>
      <c r="AX1084">
        <v>7</v>
      </c>
      <c r="AY1084" s="1">
        <v>17</v>
      </c>
      <c r="AZ1084">
        <v>0</v>
      </c>
      <c r="BA1084">
        <v>0</v>
      </c>
      <c r="BB1084">
        <v>1</v>
      </c>
      <c r="BC1084" s="7">
        <v>0.32</v>
      </c>
      <c r="BD1084">
        <v>30</v>
      </c>
      <c r="BE1084">
        <v>0</v>
      </c>
      <c r="BF1084">
        <v>0</v>
      </c>
      <c r="BG1084">
        <v>0</v>
      </c>
      <c r="BH1084">
        <v>5</v>
      </c>
      <c r="BI1084">
        <v>2.4</v>
      </c>
      <c r="BJ1084">
        <v>31</v>
      </c>
      <c r="BK1084">
        <v>0</v>
      </c>
      <c r="BL1084">
        <v>0</v>
      </c>
      <c r="BM1084">
        <v>0</v>
      </c>
      <c r="BN1084">
        <v>5</v>
      </c>
      <c r="BO1084">
        <v>2.4</v>
      </c>
      <c r="BP1084">
        <v>36</v>
      </c>
      <c r="BQ1084">
        <v>0</v>
      </c>
      <c r="BR1084">
        <v>0</v>
      </c>
      <c r="BS1084">
        <v>0</v>
      </c>
      <c r="BT1084">
        <v>5</v>
      </c>
      <c r="BU1084">
        <v>1.9</v>
      </c>
    </row>
    <row r="1085" spans="1:73" ht="14.25" x14ac:dyDescent="0.15">
      <c r="A1085" s="12">
        <v>20632</v>
      </c>
      <c r="B1085">
        <v>7</v>
      </c>
      <c r="C1085" s="1">
        <v>46</v>
      </c>
      <c r="D1085">
        <v>0</v>
      </c>
      <c r="E1085">
        <v>0</v>
      </c>
      <c r="F1085">
        <v>1</v>
      </c>
      <c r="G1085" s="7">
        <v>0.05</v>
      </c>
      <c r="H1085">
        <v>12</v>
      </c>
      <c r="I1085">
        <v>0</v>
      </c>
      <c r="J1085">
        <v>0</v>
      </c>
      <c r="K1085">
        <v>0</v>
      </c>
      <c r="L1085">
        <v>1</v>
      </c>
      <c r="M1085">
        <v>2</v>
      </c>
      <c r="N1085" s="7">
        <v>9</v>
      </c>
      <c r="O1085" s="7">
        <v>0</v>
      </c>
      <c r="P1085" s="7">
        <v>0</v>
      </c>
      <c r="Q1085" s="7">
        <v>0</v>
      </c>
      <c r="R1085" s="7">
        <v>1</v>
      </c>
      <c r="S1085" s="7">
        <v>4.5</v>
      </c>
      <c r="T1085">
        <v>7</v>
      </c>
      <c r="U1085" s="1">
        <v>34</v>
      </c>
      <c r="V1085">
        <v>0</v>
      </c>
      <c r="W1085">
        <v>0</v>
      </c>
      <c r="X1085">
        <v>1</v>
      </c>
      <c r="Y1085">
        <v>0.16</v>
      </c>
      <c r="Z1085">
        <v>23</v>
      </c>
      <c r="AA1085">
        <v>0</v>
      </c>
      <c r="AB1085">
        <v>0</v>
      </c>
      <c r="AC1085">
        <v>0</v>
      </c>
      <c r="AD1085">
        <v>1</v>
      </c>
      <c r="AE1085">
        <v>0.05</v>
      </c>
      <c r="AF1085">
        <v>15</v>
      </c>
      <c r="AG1085">
        <v>0</v>
      </c>
      <c r="AH1085">
        <v>0</v>
      </c>
      <c r="AI1085">
        <v>0</v>
      </c>
      <c r="AJ1085">
        <v>1</v>
      </c>
      <c r="AK1085">
        <v>0.02</v>
      </c>
      <c r="AL1085">
        <v>16</v>
      </c>
      <c r="AM1085">
        <v>0</v>
      </c>
      <c r="AN1085">
        <v>0</v>
      </c>
      <c r="AO1085">
        <v>0</v>
      </c>
      <c r="AP1085">
        <v>1</v>
      </c>
      <c r="AQ1085">
        <v>0.01</v>
      </c>
      <c r="AX1085">
        <v>7</v>
      </c>
      <c r="AY1085" s="1">
        <v>18</v>
      </c>
      <c r="AZ1085">
        <v>0</v>
      </c>
      <c r="BA1085">
        <v>0</v>
      </c>
      <c r="BB1085">
        <v>1</v>
      </c>
      <c r="BC1085" s="7">
        <v>0.32</v>
      </c>
      <c r="BD1085">
        <v>30</v>
      </c>
      <c r="BE1085">
        <v>0</v>
      </c>
      <c r="BF1085">
        <v>0</v>
      </c>
      <c r="BG1085">
        <v>0</v>
      </c>
      <c r="BH1085">
        <v>5</v>
      </c>
      <c r="BI1085">
        <v>2.4</v>
      </c>
      <c r="BJ1085">
        <v>31</v>
      </c>
      <c r="BK1085">
        <v>0</v>
      </c>
      <c r="BL1085">
        <v>0</v>
      </c>
      <c r="BM1085">
        <v>0</v>
      </c>
      <c r="BN1085">
        <v>5</v>
      </c>
      <c r="BO1085">
        <v>2.4</v>
      </c>
      <c r="BP1085">
        <v>36</v>
      </c>
      <c r="BQ1085">
        <v>0</v>
      </c>
      <c r="BR1085">
        <v>0</v>
      </c>
      <c r="BS1085">
        <v>0</v>
      </c>
      <c r="BT1085">
        <v>5</v>
      </c>
      <c r="BU1085">
        <v>1.9</v>
      </c>
    </row>
    <row r="1086" spans="1:73" ht="14.25" x14ac:dyDescent="0.15">
      <c r="A1086" s="12">
        <v>20633</v>
      </c>
      <c r="B1086">
        <v>7</v>
      </c>
      <c r="C1086" s="1">
        <v>47</v>
      </c>
      <c r="D1086">
        <v>0</v>
      </c>
      <c r="E1086">
        <v>0</v>
      </c>
      <c r="F1086">
        <v>1</v>
      </c>
      <c r="G1086" s="7">
        <v>0.05</v>
      </c>
      <c r="H1086">
        <v>12</v>
      </c>
      <c r="I1086">
        <v>0</v>
      </c>
      <c r="J1086">
        <v>0</v>
      </c>
      <c r="K1086">
        <v>0</v>
      </c>
      <c r="L1086">
        <v>1</v>
      </c>
      <c r="M1086">
        <v>2</v>
      </c>
      <c r="N1086" s="7">
        <v>9</v>
      </c>
      <c r="O1086" s="7">
        <v>0</v>
      </c>
      <c r="P1086" s="7">
        <v>0</v>
      </c>
      <c r="Q1086" s="7">
        <v>0</v>
      </c>
      <c r="R1086" s="7">
        <v>1</v>
      </c>
      <c r="S1086" s="7">
        <v>4.5</v>
      </c>
      <c r="T1086">
        <v>7</v>
      </c>
      <c r="U1086" s="1">
        <v>35</v>
      </c>
      <c r="V1086">
        <v>0</v>
      </c>
      <c r="W1086">
        <v>0</v>
      </c>
      <c r="X1086">
        <v>1</v>
      </c>
      <c r="Y1086">
        <v>0.16</v>
      </c>
      <c r="Z1086">
        <v>23</v>
      </c>
      <c r="AA1086">
        <v>0</v>
      </c>
      <c r="AB1086">
        <v>0</v>
      </c>
      <c r="AC1086">
        <v>0</v>
      </c>
      <c r="AD1086">
        <v>1</v>
      </c>
      <c r="AE1086">
        <v>0.05</v>
      </c>
      <c r="AF1086">
        <v>15</v>
      </c>
      <c r="AG1086">
        <v>0</v>
      </c>
      <c r="AH1086">
        <v>0</v>
      </c>
      <c r="AI1086">
        <v>0</v>
      </c>
      <c r="AJ1086">
        <v>1</v>
      </c>
      <c r="AK1086">
        <v>0.02</v>
      </c>
      <c r="AL1086">
        <v>16</v>
      </c>
      <c r="AM1086">
        <v>0</v>
      </c>
      <c r="AN1086">
        <v>0</v>
      </c>
      <c r="AO1086">
        <v>0</v>
      </c>
      <c r="AP1086">
        <v>1</v>
      </c>
      <c r="AQ1086">
        <v>0.01</v>
      </c>
      <c r="AX1086">
        <v>7</v>
      </c>
      <c r="AY1086" s="1">
        <v>19</v>
      </c>
      <c r="AZ1086">
        <v>0</v>
      </c>
      <c r="BA1086">
        <v>0</v>
      </c>
      <c r="BB1086">
        <v>1</v>
      </c>
      <c r="BC1086" s="7">
        <v>0.32</v>
      </c>
      <c r="BD1086">
        <v>30</v>
      </c>
      <c r="BE1086">
        <v>0</v>
      </c>
      <c r="BF1086">
        <v>0</v>
      </c>
      <c r="BG1086">
        <v>0</v>
      </c>
      <c r="BH1086">
        <v>5</v>
      </c>
      <c r="BI1086">
        <v>2.4</v>
      </c>
      <c r="BJ1086">
        <v>31</v>
      </c>
      <c r="BK1086">
        <v>0</v>
      </c>
      <c r="BL1086">
        <v>0</v>
      </c>
      <c r="BM1086">
        <v>0</v>
      </c>
      <c r="BN1086">
        <v>5</v>
      </c>
      <c r="BO1086">
        <v>2.4</v>
      </c>
      <c r="BP1086">
        <v>36</v>
      </c>
      <c r="BQ1086">
        <v>0</v>
      </c>
      <c r="BR1086">
        <v>0</v>
      </c>
      <c r="BS1086">
        <v>0</v>
      </c>
      <c r="BT1086">
        <v>5</v>
      </c>
      <c r="BU1086">
        <v>1.9</v>
      </c>
    </row>
    <row r="1087" spans="1:73" ht="14.25" x14ac:dyDescent="0.15">
      <c r="A1087" s="12">
        <v>20634</v>
      </c>
      <c r="B1087">
        <v>7</v>
      </c>
      <c r="C1087" s="1">
        <v>48</v>
      </c>
      <c r="D1087">
        <v>0</v>
      </c>
      <c r="E1087">
        <v>0</v>
      </c>
      <c r="F1087">
        <v>1</v>
      </c>
      <c r="G1087" s="7">
        <v>0.05</v>
      </c>
      <c r="H1087">
        <v>12</v>
      </c>
      <c r="I1087">
        <v>0</v>
      </c>
      <c r="J1087">
        <v>0</v>
      </c>
      <c r="K1087">
        <v>0</v>
      </c>
      <c r="L1087">
        <v>1</v>
      </c>
      <c r="M1087">
        <v>2</v>
      </c>
      <c r="N1087" s="7">
        <v>9</v>
      </c>
      <c r="O1087" s="7">
        <v>0</v>
      </c>
      <c r="P1087" s="7">
        <v>0</v>
      </c>
      <c r="Q1087" s="7">
        <v>0</v>
      </c>
      <c r="R1087" s="7">
        <v>1</v>
      </c>
      <c r="S1087" s="7">
        <v>4.5</v>
      </c>
      <c r="T1087">
        <v>7</v>
      </c>
      <c r="U1087" s="1">
        <v>36</v>
      </c>
      <c r="V1087">
        <v>0</v>
      </c>
      <c r="W1087">
        <v>0</v>
      </c>
      <c r="X1087">
        <v>1</v>
      </c>
      <c r="Y1087">
        <v>0.16</v>
      </c>
      <c r="Z1087">
        <v>23</v>
      </c>
      <c r="AA1087">
        <v>0</v>
      </c>
      <c r="AB1087">
        <v>0</v>
      </c>
      <c r="AC1087">
        <v>0</v>
      </c>
      <c r="AD1087">
        <v>1</v>
      </c>
      <c r="AE1087">
        <v>0.05</v>
      </c>
      <c r="AF1087">
        <v>15</v>
      </c>
      <c r="AG1087">
        <v>0</v>
      </c>
      <c r="AH1087">
        <v>0</v>
      </c>
      <c r="AI1087">
        <v>0</v>
      </c>
      <c r="AJ1087">
        <v>1</v>
      </c>
      <c r="AK1087">
        <v>0.02</v>
      </c>
      <c r="AL1087">
        <v>16</v>
      </c>
      <c r="AM1087">
        <v>0</v>
      </c>
      <c r="AN1087">
        <v>0</v>
      </c>
      <c r="AO1087">
        <v>0</v>
      </c>
      <c r="AP1087">
        <v>1</v>
      </c>
      <c r="AQ1087">
        <v>0.01</v>
      </c>
      <c r="AX1087">
        <v>7</v>
      </c>
      <c r="AY1087" s="1">
        <v>20</v>
      </c>
      <c r="AZ1087">
        <v>0</v>
      </c>
      <c r="BA1087">
        <v>0</v>
      </c>
      <c r="BB1087">
        <v>1</v>
      </c>
      <c r="BC1087" s="7">
        <v>0.32</v>
      </c>
      <c r="BD1087">
        <v>30</v>
      </c>
      <c r="BE1087">
        <v>0</v>
      </c>
      <c r="BF1087">
        <v>0</v>
      </c>
      <c r="BG1087">
        <v>0</v>
      </c>
      <c r="BH1087">
        <v>5</v>
      </c>
      <c r="BI1087">
        <v>2.4</v>
      </c>
      <c r="BJ1087">
        <v>31</v>
      </c>
      <c r="BK1087">
        <v>0</v>
      </c>
      <c r="BL1087">
        <v>0</v>
      </c>
      <c r="BM1087">
        <v>0</v>
      </c>
      <c r="BN1087">
        <v>5</v>
      </c>
      <c r="BO1087">
        <v>2.4</v>
      </c>
      <c r="BP1087">
        <v>36</v>
      </c>
      <c r="BQ1087">
        <v>0</v>
      </c>
      <c r="BR1087">
        <v>0</v>
      </c>
      <c r="BS1087">
        <v>0</v>
      </c>
      <c r="BT1087">
        <v>5</v>
      </c>
      <c r="BU1087">
        <v>1.9</v>
      </c>
    </row>
    <row r="1088" spans="1:73" ht="14.25" x14ac:dyDescent="0.15">
      <c r="A1088" s="12">
        <v>20635</v>
      </c>
      <c r="B1088">
        <v>7</v>
      </c>
      <c r="C1088" s="1">
        <v>0</v>
      </c>
      <c r="D1088">
        <v>5</v>
      </c>
      <c r="E1088">
        <v>1</v>
      </c>
      <c r="F1088">
        <v>1</v>
      </c>
      <c r="G1088" s="7">
        <v>0.05</v>
      </c>
      <c r="H1088">
        <v>12</v>
      </c>
      <c r="I1088">
        <v>0</v>
      </c>
      <c r="J1088">
        <v>0</v>
      </c>
      <c r="K1088">
        <v>0</v>
      </c>
      <c r="L1088">
        <v>1</v>
      </c>
      <c r="M1088">
        <v>2</v>
      </c>
      <c r="N1088" s="7">
        <v>9</v>
      </c>
      <c r="O1088" s="7">
        <v>0</v>
      </c>
      <c r="P1088" s="7">
        <v>0</v>
      </c>
      <c r="Q1088" s="7">
        <v>0</v>
      </c>
      <c r="R1088" s="7">
        <v>1</v>
      </c>
      <c r="S1088" s="7">
        <v>4.5</v>
      </c>
      <c r="T1088">
        <v>7</v>
      </c>
      <c r="U1088" s="1">
        <v>0</v>
      </c>
      <c r="V1088">
        <v>4</v>
      </c>
      <c r="W1088">
        <v>2</v>
      </c>
      <c r="X1088">
        <v>1</v>
      </c>
      <c r="Y1088">
        <v>0.16</v>
      </c>
      <c r="Z1088">
        <v>23</v>
      </c>
      <c r="AA1088">
        <v>0</v>
      </c>
      <c r="AB1088">
        <v>0</v>
      </c>
      <c r="AC1088">
        <v>0</v>
      </c>
      <c r="AD1088">
        <v>1</v>
      </c>
      <c r="AE1088">
        <v>0.05</v>
      </c>
      <c r="AF1088">
        <v>15</v>
      </c>
      <c r="AG1088">
        <v>0</v>
      </c>
      <c r="AH1088">
        <v>0</v>
      </c>
      <c r="AI1088">
        <v>0</v>
      </c>
      <c r="AJ1088">
        <v>1</v>
      </c>
      <c r="AK1088">
        <v>0.02</v>
      </c>
      <c r="AL1088">
        <v>16</v>
      </c>
      <c r="AM1088">
        <v>0</v>
      </c>
      <c r="AN1088">
        <v>0</v>
      </c>
      <c r="AO1088">
        <v>0</v>
      </c>
      <c r="AP1088">
        <v>1</v>
      </c>
      <c r="AQ1088">
        <v>0.01</v>
      </c>
      <c r="AR1088">
        <v>6</v>
      </c>
      <c r="AS1088">
        <v>2</v>
      </c>
      <c r="AT1088">
        <v>2</v>
      </c>
      <c r="AU1088">
        <v>5</v>
      </c>
      <c r="AV1088">
        <v>1</v>
      </c>
      <c r="AW1088">
        <v>0.05</v>
      </c>
      <c r="AX1088">
        <v>7</v>
      </c>
      <c r="AY1088" s="1">
        <v>0</v>
      </c>
      <c r="AZ1088">
        <v>3</v>
      </c>
      <c r="BA1088">
        <v>1</v>
      </c>
      <c r="BB1088">
        <v>1</v>
      </c>
      <c r="BC1088" s="7">
        <v>0.32</v>
      </c>
      <c r="BD1088">
        <v>30</v>
      </c>
      <c r="BE1088">
        <v>0</v>
      </c>
      <c r="BF1088">
        <v>0</v>
      </c>
      <c r="BG1088">
        <v>0</v>
      </c>
      <c r="BH1088">
        <v>5</v>
      </c>
      <c r="BI1088">
        <v>2.4</v>
      </c>
      <c r="BJ1088">
        <v>31</v>
      </c>
      <c r="BK1088">
        <v>0</v>
      </c>
      <c r="BL1088">
        <v>0</v>
      </c>
      <c r="BM1088">
        <v>0</v>
      </c>
      <c r="BN1088">
        <v>5</v>
      </c>
      <c r="BO1088">
        <v>2.4</v>
      </c>
      <c r="BP1088">
        <v>36</v>
      </c>
      <c r="BQ1088">
        <v>0</v>
      </c>
      <c r="BR1088">
        <v>0</v>
      </c>
      <c r="BS1088">
        <v>0</v>
      </c>
      <c r="BT1088">
        <v>5</v>
      </c>
      <c r="BU1088">
        <v>1.9</v>
      </c>
    </row>
    <row r="1089" spans="1:73" ht="14.25" x14ac:dyDescent="0.15">
      <c r="A1089" s="12">
        <v>20636</v>
      </c>
      <c r="B1089">
        <v>7</v>
      </c>
      <c r="C1089" s="1">
        <v>45</v>
      </c>
      <c r="D1089">
        <v>0</v>
      </c>
      <c r="E1089">
        <v>0</v>
      </c>
      <c r="F1089">
        <v>1</v>
      </c>
      <c r="G1089" s="7">
        <v>0.05</v>
      </c>
      <c r="H1089">
        <v>12</v>
      </c>
      <c r="I1089">
        <v>0</v>
      </c>
      <c r="J1089">
        <v>0</v>
      </c>
      <c r="K1089">
        <v>0</v>
      </c>
      <c r="L1089">
        <v>1</v>
      </c>
      <c r="M1089">
        <v>2</v>
      </c>
      <c r="N1089" s="7">
        <v>9</v>
      </c>
      <c r="O1089" s="7">
        <v>0</v>
      </c>
      <c r="P1089" s="7">
        <v>0</v>
      </c>
      <c r="Q1089" s="7">
        <v>0</v>
      </c>
      <c r="R1089" s="7">
        <v>1</v>
      </c>
      <c r="S1089" s="7">
        <v>4.5</v>
      </c>
      <c r="T1089">
        <v>7</v>
      </c>
      <c r="U1089" s="1">
        <v>33</v>
      </c>
      <c r="V1089">
        <v>0</v>
      </c>
      <c r="W1089">
        <v>0</v>
      </c>
      <c r="X1089">
        <v>1</v>
      </c>
      <c r="Y1089">
        <v>0.16</v>
      </c>
      <c r="Z1089">
        <v>23</v>
      </c>
      <c r="AA1089">
        <v>0</v>
      </c>
      <c r="AB1089">
        <v>0</v>
      </c>
      <c r="AC1089">
        <v>0</v>
      </c>
      <c r="AD1089">
        <v>1</v>
      </c>
      <c r="AE1089">
        <v>0.05</v>
      </c>
      <c r="AF1089">
        <v>15</v>
      </c>
      <c r="AG1089">
        <v>0</v>
      </c>
      <c r="AH1089">
        <v>0</v>
      </c>
      <c r="AI1089">
        <v>0</v>
      </c>
      <c r="AJ1089">
        <v>1</v>
      </c>
      <c r="AK1089">
        <v>0.02</v>
      </c>
      <c r="AL1089">
        <v>16</v>
      </c>
      <c r="AM1089">
        <v>0</v>
      </c>
      <c r="AN1089">
        <v>0</v>
      </c>
      <c r="AO1089">
        <v>0</v>
      </c>
      <c r="AP1089">
        <v>1</v>
      </c>
      <c r="AQ1089">
        <v>0.01</v>
      </c>
      <c r="AX1089">
        <v>7</v>
      </c>
      <c r="AY1089" s="1">
        <v>17</v>
      </c>
      <c r="AZ1089">
        <v>0</v>
      </c>
      <c r="BA1089">
        <v>0</v>
      </c>
      <c r="BB1089">
        <v>1</v>
      </c>
      <c r="BC1089" s="7">
        <v>0.32</v>
      </c>
      <c r="BD1089">
        <v>30</v>
      </c>
      <c r="BE1089">
        <v>0</v>
      </c>
      <c r="BF1089">
        <v>0</v>
      </c>
      <c r="BG1089">
        <v>0</v>
      </c>
      <c r="BH1089">
        <v>5</v>
      </c>
      <c r="BI1089">
        <v>2.4</v>
      </c>
      <c r="BJ1089">
        <v>31</v>
      </c>
      <c r="BK1089">
        <v>0</v>
      </c>
      <c r="BL1089">
        <v>0</v>
      </c>
      <c r="BM1089">
        <v>0</v>
      </c>
      <c r="BN1089">
        <v>5</v>
      </c>
      <c r="BO1089">
        <v>2.4</v>
      </c>
      <c r="BP1089">
        <v>36</v>
      </c>
      <c r="BQ1089">
        <v>0</v>
      </c>
      <c r="BR1089">
        <v>0</v>
      </c>
      <c r="BS1089">
        <v>0</v>
      </c>
      <c r="BT1089">
        <v>5</v>
      </c>
      <c r="BU1089">
        <v>1.9</v>
      </c>
    </row>
    <row r="1090" spans="1:73" ht="14.25" x14ac:dyDescent="0.15">
      <c r="A1090" s="12">
        <v>20637</v>
      </c>
      <c r="B1090">
        <v>7</v>
      </c>
      <c r="C1090" s="1">
        <v>46</v>
      </c>
      <c r="D1090">
        <v>0</v>
      </c>
      <c r="E1090">
        <v>0</v>
      </c>
      <c r="F1090">
        <v>1</v>
      </c>
      <c r="G1090" s="7">
        <v>0.05</v>
      </c>
      <c r="H1090">
        <v>12</v>
      </c>
      <c r="I1090">
        <v>0</v>
      </c>
      <c r="J1090">
        <v>0</v>
      </c>
      <c r="K1090">
        <v>0</v>
      </c>
      <c r="L1090">
        <v>1</v>
      </c>
      <c r="M1090">
        <v>2</v>
      </c>
      <c r="N1090" s="7">
        <v>9</v>
      </c>
      <c r="O1090" s="7">
        <v>0</v>
      </c>
      <c r="P1090" s="7">
        <v>0</v>
      </c>
      <c r="Q1090" s="7">
        <v>0</v>
      </c>
      <c r="R1090" s="7">
        <v>1</v>
      </c>
      <c r="S1090" s="7">
        <v>4.5</v>
      </c>
      <c r="T1090">
        <v>7</v>
      </c>
      <c r="U1090" s="1">
        <v>34</v>
      </c>
      <c r="V1090">
        <v>0</v>
      </c>
      <c r="W1090">
        <v>0</v>
      </c>
      <c r="X1090">
        <v>1</v>
      </c>
      <c r="Y1090">
        <v>0.16</v>
      </c>
      <c r="Z1090">
        <v>23</v>
      </c>
      <c r="AA1090">
        <v>0</v>
      </c>
      <c r="AB1090">
        <v>0</v>
      </c>
      <c r="AC1090">
        <v>0</v>
      </c>
      <c r="AD1090">
        <v>1</v>
      </c>
      <c r="AE1090">
        <v>0.05</v>
      </c>
      <c r="AF1090">
        <v>15</v>
      </c>
      <c r="AG1090">
        <v>0</v>
      </c>
      <c r="AH1090">
        <v>0</v>
      </c>
      <c r="AI1090">
        <v>0</v>
      </c>
      <c r="AJ1090">
        <v>1</v>
      </c>
      <c r="AK1090">
        <v>0.02</v>
      </c>
      <c r="AL1090">
        <v>16</v>
      </c>
      <c r="AM1090">
        <v>0</v>
      </c>
      <c r="AN1090">
        <v>0</v>
      </c>
      <c r="AO1090">
        <v>0</v>
      </c>
      <c r="AP1090">
        <v>1</v>
      </c>
      <c r="AQ1090">
        <v>0.01</v>
      </c>
      <c r="AX1090">
        <v>7</v>
      </c>
      <c r="AY1090" s="1">
        <v>18</v>
      </c>
      <c r="AZ1090">
        <v>0</v>
      </c>
      <c r="BA1090">
        <v>0</v>
      </c>
      <c r="BB1090">
        <v>1</v>
      </c>
      <c r="BC1090" s="7">
        <v>0.32</v>
      </c>
      <c r="BD1090">
        <v>30</v>
      </c>
      <c r="BE1090">
        <v>0</v>
      </c>
      <c r="BF1090">
        <v>0</v>
      </c>
      <c r="BG1090">
        <v>0</v>
      </c>
      <c r="BH1090">
        <v>5</v>
      </c>
      <c r="BI1090">
        <v>2.4</v>
      </c>
      <c r="BJ1090">
        <v>31</v>
      </c>
      <c r="BK1090">
        <v>0</v>
      </c>
      <c r="BL1090">
        <v>0</v>
      </c>
      <c r="BM1090">
        <v>0</v>
      </c>
      <c r="BN1090">
        <v>5</v>
      </c>
      <c r="BO1090">
        <v>2.4</v>
      </c>
      <c r="BP1090">
        <v>36</v>
      </c>
      <c r="BQ1090">
        <v>0</v>
      </c>
      <c r="BR1090">
        <v>0</v>
      </c>
      <c r="BS1090">
        <v>0</v>
      </c>
      <c r="BT1090">
        <v>5</v>
      </c>
      <c r="BU1090">
        <v>1.9</v>
      </c>
    </row>
    <row r="1091" spans="1:73" ht="14.25" x14ac:dyDescent="0.15">
      <c r="A1091" s="12">
        <v>20638</v>
      </c>
      <c r="B1091">
        <v>7</v>
      </c>
      <c r="C1091" s="1">
        <v>47</v>
      </c>
      <c r="D1091">
        <v>0</v>
      </c>
      <c r="E1091">
        <v>0</v>
      </c>
      <c r="F1091">
        <v>1</v>
      </c>
      <c r="G1091" s="7">
        <v>0.05</v>
      </c>
      <c r="H1091">
        <v>12</v>
      </c>
      <c r="I1091">
        <v>0</v>
      </c>
      <c r="J1091">
        <v>0</v>
      </c>
      <c r="K1091">
        <v>0</v>
      </c>
      <c r="L1091">
        <v>1</v>
      </c>
      <c r="M1091">
        <v>2</v>
      </c>
      <c r="N1091" s="7">
        <v>9</v>
      </c>
      <c r="O1091" s="7">
        <v>0</v>
      </c>
      <c r="P1091" s="7">
        <v>0</v>
      </c>
      <c r="Q1091" s="7">
        <v>0</v>
      </c>
      <c r="R1091" s="7">
        <v>1</v>
      </c>
      <c r="S1091" s="7">
        <v>4.5</v>
      </c>
      <c r="T1091">
        <v>7</v>
      </c>
      <c r="U1091" s="1">
        <v>35</v>
      </c>
      <c r="V1091">
        <v>0</v>
      </c>
      <c r="W1091">
        <v>0</v>
      </c>
      <c r="X1091">
        <v>1</v>
      </c>
      <c r="Y1091">
        <v>0.16</v>
      </c>
      <c r="Z1091">
        <v>23</v>
      </c>
      <c r="AA1091">
        <v>0</v>
      </c>
      <c r="AB1091">
        <v>0</v>
      </c>
      <c r="AC1091">
        <v>0</v>
      </c>
      <c r="AD1091">
        <v>1</v>
      </c>
      <c r="AE1091">
        <v>0.05</v>
      </c>
      <c r="AF1091">
        <v>15</v>
      </c>
      <c r="AG1091">
        <v>0</v>
      </c>
      <c r="AH1091">
        <v>0</v>
      </c>
      <c r="AI1091">
        <v>0</v>
      </c>
      <c r="AJ1091">
        <v>1</v>
      </c>
      <c r="AK1091">
        <v>0.02</v>
      </c>
      <c r="AL1091">
        <v>16</v>
      </c>
      <c r="AM1091">
        <v>0</v>
      </c>
      <c r="AN1091">
        <v>0</v>
      </c>
      <c r="AO1091">
        <v>0</v>
      </c>
      <c r="AP1091">
        <v>1</v>
      </c>
      <c r="AQ1091">
        <v>0.01</v>
      </c>
      <c r="AX1091">
        <v>7</v>
      </c>
      <c r="AY1091" s="1">
        <v>19</v>
      </c>
      <c r="AZ1091">
        <v>0</v>
      </c>
      <c r="BA1091">
        <v>0</v>
      </c>
      <c r="BB1091">
        <v>1</v>
      </c>
      <c r="BC1091" s="7">
        <v>0.32</v>
      </c>
      <c r="BD1091">
        <v>30</v>
      </c>
      <c r="BE1091">
        <v>0</v>
      </c>
      <c r="BF1091">
        <v>0</v>
      </c>
      <c r="BG1091">
        <v>0</v>
      </c>
      <c r="BH1091">
        <v>5</v>
      </c>
      <c r="BI1091">
        <v>2.4</v>
      </c>
      <c r="BJ1091">
        <v>31</v>
      </c>
      <c r="BK1091">
        <v>0</v>
      </c>
      <c r="BL1091">
        <v>0</v>
      </c>
      <c r="BM1091">
        <v>0</v>
      </c>
      <c r="BN1091">
        <v>5</v>
      </c>
      <c r="BO1091">
        <v>2.4</v>
      </c>
      <c r="BP1091">
        <v>36</v>
      </c>
      <c r="BQ1091">
        <v>0</v>
      </c>
      <c r="BR1091">
        <v>0</v>
      </c>
      <c r="BS1091">
        <v>0</v>
      </c>
      <c r="BT1091">
        <v>5</v>
      </c>
      <c r="BU1091">
        <v>1.9</v>
      </c>
    </row>
    <row r="1092" spans="1:73" ht="14.25" x14ac:dyDescent="0.15">
      <c r="A1092" s="12">
        <v>20639</v>
      </c>
      <c r="B1092">
        <v>7</v>
      </c>
      <c r="C1092" s="1">
        <v>48</v>
      </c>
      <c r="D1092">
        <v>0</v>
      </c>
      <c r="E1092">
        <v>0</v>
      </c>
      <c r="F1092">
        <v>1</v>
      </c>
      <c r="G1092" s="7">
        <v>0.05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2</v>
      </c>
      <c r="N1092" s="7">
        <v>9</v>
      </c>
      <c r="O1092" s="7">
        <v>0</v>
      </c>
      <c r="P1092" s="7">
        <v>0</v>
      </c>
      <c r="Q1092" s="7">
        <v>0</v>
      </c>
      <c r="R1092" s="7">
        <v>1</v>
      </c>
      <c r="S1092" s="7">
        <v>4.5</v>
      </c>
      <c r="T1092">
        <v>7</v>
      </c>
      <c r="U1092" s="1">
        <v>36</v>
      </c>
      <c r="V1092">
        <v>0</v>
      </c>
      <c r="W1092">
        <v>0</v>
      </c>
      <c r="X1092">
        <v>1</v>
      </c>
      <c r="Y1092">
        <v>0.16</v>
      </c>
      <c r="Z1092">
        <v>23</v>
      </c>
      <c r="AA1092">
        <v>0</v>
      </c>
      <c r="AB1092">
        <v>0</v>
      </c>
      <c r="AC1092">
        <v>0</v>
      </c>
      <c r="AD1092">
        <v>1</v>
      </c>
      <c r="AE1092">
        <v>0.05</v>
      </c>
      <c r="AF1092">
        <v>15</v>
      </c>
      <c r="AG1092">
        <v>0</v>
      </c>
      <c r="AH1092">
        <v>0</v>
      </c>
      <c r="AI1092">
        <v>0</v>
      </c>
      <c r="AJ1092">
        <v>1</v>
      </c>
      <c r="AK1092">
        <v>0.02</v>
      </c>
      <c r="AL1092">
        <v>16</v>
      </c>
      <c r="AM1092">
        <v>0</v>
      </c>
      <c r="AN1092">
        <v>0</v>
      </c>
      <c r="AO1092">
        <v>0</v>
      </c>
      <c r="AP1092">
        <v>1</v>
      </c>
      <c r="AQ1092">
        <v>0.01</v>
      </c>
      <c r="AX1092">
        <v>7</v>
      </c>
      <c r="AY1092" s="1">
        <v>20</v>
      </c>
      <c r="AZ1092">
        <v>0</v>
      </c>
      <c r="BA1092">
        <v>0</v>
      </c>
      <c r="BB1092">
        <v>1</v>
      </c>
      <c r="BC1092" s="7">
        <v>0.32</v>
      </c>
      <c r="BD1092">
        <v>30</v>
      </c>
      <c r="BE1092">
        <v>0</v>
      </c>
      <c r="BF1092">
        <v>0</v>
      </c>
      <c r="BG1092">
        <v>0</v>
      </c>
      <c r="BH1092">
        <v>5</v>
      </c>
      <c r="BI1092">
        <v>2.4</v>
      </c>
      <c r="BJ1092">
        <v>31</v>
      </c>
      <c r="BK1092">
        <v>0</v>
      </c>
      <c r="BL1092">
        <v>0</v>
      </c>
      <c r="BM1092">
        <v>0</v>
      </c>
      <c r="BN1092">
        <v>5</v>
      </c>
      <c r="BO1092">
        <v>2.4</v>
      </c>
      <c r="BP1092">
        <v>36</v>
      </c>
      <c r="BQ1092">
        <v>0</v>
      </c>
      <c r="BR1092">
        <v>0</v>
      </c>
      <c r="BS1092">
        <v>0</v>
      </c>
      <c r="BT1092">
        <v>5</v>
      </c>
      <c r="BU1092">
        <v>1.9</v>
      </c>
    </row>
    <row r="1093" spans="1:73" ht="14.25" x14ac:dyDescent="0.15">
      <c r="A1093" s="12">
        <v>20640</v>
      </c>
      <c r="B1093">
        <v>7</v>
      </c>
      <c r="C1093" s="1">
        <v>0</v>
      </c>
      <c r="D1093">
        <v>5</v>
      </c>
      <c r="E1093">
        <v>1</v>
      </c>
      <c r="F1093">
        <v>1</v>
      </c>
      <c r="G1093" s="7">
        <v>0.05</v>
      </c>
      <c r="H1093">
        <v>12</v>
      </c>
      <c r="I1093">
        <v>0</v>
      </c>
      <c r="J1093">
        <v>0</v>
      </c>
      <c r="K1093">
        <v>0</v>
      </c>
      <c r="L1093">
        <v>1</v>
      </c>
      <c r="M1093">
        <v>2</v>
      </c>
      <c r="N1093" s="7">
        <v>9</v>
      </c>
      <c r="O1093" s="7">
        <v>0</v>
      </c>
      <c r="P1093" s="7">
        <v>0</v>
      </c>
      <c r="Q1093" s="7">
        <v>0</v>
      </c>
      <c r="R1093" s="7">
        <v>1</v>
      </c>
      <c r="S1093" s="7">
        <v>4.5</v>
      </c>
      <c r="T1093">
        <v>7</v>
      </c>
      <c r="U1093" s="1">
        <v>0</v>
      </c>
      <c r="V1093">
        <v>4</v>
      </c>
      <c r="W1093">
        <v>2</v>
      </c>
      <c r="X1093">
        <v>1</v>
      </c>
      <c r="Y1093">
        <v>0.16</v>
      </c>
      <c r="Z1093">
        <v>23</v>
      </c>
      <c r="AA1093">
        <v>0</v>
      </c>
      <c r="AB1093">
        <v>0</v>
      </c>
      <c r="AC1093">
        <v>0</v>
      </c>
      <c r="AD1093">
        <v>1</v>
      </c>
      <c r="AE1093">
        <v>0.05</v>
      </c>
      <c r="AF1093">
        <v>15</v>
      </c>
      <c r="AG1093">
        <v>0</v>
      </c>
      <c r="AH1093">
        <v>0</v>
      </c>
      <c r="AI1093">
        <v>0</v>
      </c>
      <c r="AJ1093">
        <v>1</v>
      </c>
      <c r="AK1093">
        <v>0.02</v>
      </c>
      <c r="AL1093">
        <v>16</v>
      </c>
      <c r="AM1093">
        <v>0</v>
      </c>
      <c r="AN1093">
        <v>0</v>
      </c>
      <c r="AO1093">
        <v>0</v>
      </c>
      <c r="AP1093">
        <v>1</v>
      </c>
      <c r="AQ1093">
        <v>0.01</v>
      </c>
      <c r="AR1093">
        <v>6</v>
      </c>
      <c r="AS1093">
        <v>2</v>
      </c>
      <c r="AT1093">
        <v>3</v>
      </c>
      <c r="AU1093">
        <v>5</v>
      </c>
      <c r="AV1093">
        <v>1</v>
      </c>
      <c r="AW1093">
        <v>0.05</v>
      </c>
      <c r="AX1093">
        <v>7</v>
      </c>
      <c r="AY1093" s="1">
        <v>0</v>
      </c>
      <c r="AZ1093">
        <v>3</v>
      </c>
      <c r="BA1093">
        <v>1</v>
      </c>
      <c r="BB1093">
        <v>1</v>
      </c>
      <c r="BC1093" s="7">
        <v>0.32</v>
      </c>
      <c r="BD1093">
        <v>30</v>
      </c>
      <c r="BE1093">
        <v>0</v>
      </c>
      <c r="BF1093">
        <v>0</v>
      </c>
      <c r="BG1093">
        <v>0</v>
      </c>
      <c r="BH1093">
        <v>5</v>
      </c>
      <c r="BI1093">
        <v>2.4</v>
      </c>
      <c r="BJ1093">
        <v>31</v>
      </c>
      <c r="BK1093">
        <v>0</v>
      </c>
      <c r="BL1093">
        <v>0</v>
      </c>
      <c r="BM1093">
        <v>0</v>
      </c>
      <c r="BN1093">
        <v>5</v>
      </c>
      <c r="BO1093">
        <v>2.4</v>
      </c>
      <c r="BP1093">
        <v>36</v>
      </c>
      <c r="BQ1093">
        <v>0</v>
      </c>
      <c r="BR1093">
        <v>0</v>
      </c>
      <c r="BS1093">
        <v>0</v>
      </c>
      <c r="BT1093">
        <v>5</v>
      </c>
      <c r="BU1093">
        <v>1.9</v>
      </c>
    </row>
    <row r="1094" spans="1:73" ht="14.25" x14ac:dyDescent="0.15">
      <c r="A1094" s="12">
        <v>20641</v>
      </c>
      <c r="B1094">
        <v>7</v>
      </c>
      <c r="C1094" s="1">
        <v>45</v>
      </c>
      <c r="D1094">
        <v>0</v>
      </c>
      <c r="E1094">
        <v>0</v>
      </c>
      <c r="F1094">
        <v>1</v>
      </c>
      <c r="G1094" s="7">
        <v>0.05</v>
      </c>
      <c r="H1094">
        <v>12</v>
      </c>
      <c r="I1094">
        <v>0</v>
      </c>
      <c r="J1094">
        <v>0</v>
      </c>
      <c r="K1094">
        <v>0</v>
      </c>
      <c r="L1094">
        <v>1</v>
      </c>
      <c r="M1094">
        <v>2</v>
      </c>
      <c r="N1094" s="7">
        <v>9</v>
      </c>
      <c r="O1094" s="7">
        <v>0</v>
      </c>
      <c r="P1094" s="7">
        <v>0</v>
      </c>
      <c r="Q1094" s="7">
        <v>0</v>
      </c>
      <c r="R1094" s="7">
        <v>1</v>
      </c>
      <c r="S1094" s="7">
        <v>4.5</v>
      </c>
      <c r="T1094">
        <v>7</v>
      </c>
      <c r="U1094" s="1">
        <v>33</v>
      </c>
      <c r="V1094">
        <v>0</v>
      </c>
      <c r="W1094">
        <v>0</v>
      </c>
      <c r="X1094">
        <v>1</v>
      </c>
      <c r="Y1094">
        <v>0.16</v>
      </c>
      <c r="Z1094">
        <v>23</v>
      </c>
      <c r="AA1094">
        <v>0</v>
      </c>
      <c r="AB1094">
        <v>0</v>
      </c>
      <c r="AC1094">
        <v>0</v>
      </c>
      <c r="AD1094">
        <v>1</v>
      </c>
      <c r="AE1094">
        <v>0.05</v>
      </c>
      <c r="AF1094">
        <v>15</v>
      </c>
      <c r="AG1094">
        <v>0</v>
      </c>
      <c r="AH1094">
        <v>0</v>
      </c>
      <c r="AI1094">
        <v>0</v>
      </c>
      <c r="AJ1094">
        <v>1</v>
      </c>
      <c r="AK1094">
        <v>0.02</v>
      </c>
      <c r="AL1094">
        <v>16</v>
      </c>
      <c r="AM1094">
        <v>0</v>
      </c>
      <c r="AN1094">
        <v>0</v>
      </c>
      <c r="AO1094">
        <v>0</v>
      </c>
      <c r="AP1094">
        <v>1</v>
      </c>
      <c r="AQ1094">
        <v>0.01</v>
      </c>
      <c r="AX1094">
        <v>7</v>
      </c>
      <c r="AY1094" s="1">
        <v>17</v>
      </c>
      <c r="AZ1094">
        <v>0</v>
      </c>
      <c r="BA1094">
        <v>0</v>
      </c>
      <c r="BB1094">
        <v>1</v>
      </c>
      <c r="BC1094" s="7">
        <v>0.32</v>
      </c>
      <c r="BD1094">
        <v>30</v>
      </c>
      <c r="BE1094">
        <v>0</v>
      </c>
      <c r="BF1094">
        <v>0</v>
      </c>
      <c r="BG1094">
        <v>0</v>
      </c>
      <c r="BH1094">
        <v>5</v>
      </c>
      <c r="BI1094">
        <v>2.4</v>
      </c>
      <c r="BJ1094">
        <v>31</v>
      </c>
      <c r="BK1094">
        <v>0</v>
      </c>
      <c r="BL1094">
        <v>0</v>
      </c>
      <c r="BM1094">
        <v>0</v>
      </c>
      <c r="BN1094">
        <v>5</v>
      </c>
      <c r="BO1094">
        <v>2.4</v>
      </c>
      <c r="BP1094">
        <v>36</v>
      </c>
      <c r="BQ1094">
        <v>0</v>
      </c>
      <c r="BR1094">
        <v>0</v>
      </c>
      <c r="BS1094">
        <v>0</v>
      </c>
      <c r="BT1094">
        <v>5</v>
      </c>
      <c r="BU1094">
        <v>1.9</v>
      </c>
    </row>
    <row r="1095" spans="1:73" ht="14.25" x14ac:dyDescent="0.15">
      <c r="A1095" s="12">
        <v>20642</v>
      </c>
      <c r="B1095">
        <v>7</v>
      </c>
      <c r="C1095" s="1">
        <v>46</v>
      </c>
      <c r="D1095">
        <v>0</v>
      </c>
      <c r="E1095">
        <v>0</v>
      </c>
      <c r="F1095">
        <v>1</v>
      </c>
      <c r="G1095" s="7">
        <v>0.05</v>
      </c>
      <c r="H1095">
        <v>12</v>
      </c>
      <c r="I1095">
        <v>0</v>
      </c>
      <c r="J1095">
        <v>0</v>
      </c>
      <c r="K1095">
        <v>0</v>
      </c>
      <c r="L1095">
        <v>1</v>
      </c>
      <c r="M1095">
        <v>2</v>
      </c>
      <c r="N1095" s="7">
        <v>9</v>
      </c>
      <c r="O1095" s="7">
        <v>0</v>
      </c>
      <c r="P1095" s="7">
        <v>0</v>
      </c>
      <c r="Q1095" s="7">
        <v>0</v>
      </c>
      <c r="R1095" s="7">
        <v>1</v>
      </c>
      <c r="S1095" s="7">
        <v>4.5</v>
      </c>
      <c r="T1095">
        <v>7</v>
      </c>
      <c r="U1095" s="1">
        <v>34</v>
      </c>
      <c r="V1095">
        <v>0</v>
      </c>
      <c r="W1095">
        <v>0</v>
      </c>
      <c r="X1095">
        <v>1</v>
      </c>
      <c r="Y1095">
        <v>0.16</v>
      </c>
      <c r="Z1095">
        <v>23</v>
      </c>
      <c r="AA1095">
        <v>0</v>
      </c>
      <c r="AB1095">
        <v>0</v>
      </c>
      <c r="AC1095">
        <v>0</v>
      </c>
      <c r="AD1095">
        <v>1</v>
      </c>
      <c r="AE1095">
        <v>0.05</v>
      </c>
      <c r="AF1095">
        <v>15</v>
      </c>
      <c r="AG1095">
        <v>0</v>
      </c>
      <c r="AH1095">
        <v>0</v>
      </c>
      <c r="AI1095">
        <v>0</v>
      </c>
      <c r="AJ1095">
        <v>1</v>
      </c>
      <c r="AK1095">
        <v>0.02</v>
      </c>
      <c r="AL1095">
        <v>16</v>
      </c>
      <c r="AM1095">
        <v>0</v>
      </c>
      <c r="AN1095">
        <v>0</v>
      </c>
      <c r="AO1095">
        <v>0</v>
      </c>
      <c r="AP1095">
        <v>1</v>
      </c>
      <c r="AQ1095">
        <v>0.01</v>
      </c>
      <c r="AX1095">
        <v>7</v>
      </c>
      <c r="AY1095" s="1">
        <v>18</v>
      </c>
      <c r="AZ1095">
        <v>0</v>
      </c>
      <c r="BA1095">
        <v>0</v>
      </c>
      <c r="BB1095">
        <v>1</v>
      </c>
      <c r="BC1095" s="7">
        <v>0.32</v>
      </c>
      <c r="BD1095">
        <v>30</v>
      </c>
      <c r="BE1095">
        <v>0</v>
      </c>
      <c r="BF1095">
        <v>0</v>
      </c>
      <c r="BG1095">
        <v>0</v>
      </c>
      <c r="BH1095">
        <v>5</v>
      </c>
      <c r="BI1095">
        <v>2.4</v>
      </c>
      <c r="BJ1095">
        <v>31</v>
      </c>
      <c r="BK1095">
        <v>0</v>
      </c>
      <c r="BL1095">
        <v>0</v>
      </c>
      <c r="BM1095">
        <v>0</v>
      </c>
      <c r="BN1095">
        <v>5</v>
      </c>
      <c r="BO1095">
        <v>2.4</v>
      </c>
      <c r="BP1095">
        <v>36</v>
      </c>
      <c r="BQ1095">
        <v>0</v>
      </c>
      <c r="BR1095">
        <v>0</v>
      </c>
      <c r="BS1095">
        <v>0</v>
      </c>
      <c r="BT1095">
        <v>5</v>
      </c>
      <c r="BU1095">
        <v>1.9</v>
      </c>
    </row>
    <row r="1096" spans="1:73" ht="14.25" x14ac:dyDescent="0.15">
      <c r="A1096" s="12">
        <v>20643</v>
      </c>
      <c r="B1096">
        <v>7</v>
      </c>
      <c r="C1096" s="1">
        <v>47</v>
      </c>
      <c r="D1096">
        <v>0</v>
      </c>
      <c r="E1096">
        <v>0</v>
      </c>
      <c r="F1096">
        <v>1</v>
      </c>
      <c r="G1096" s="7">
        <v>0.05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2</v>
      </c>
      <c r="N1096" s="7">
        <v>9</v>
      </c>
      <c r="O1096" s="7">
        <v>0</v>
      </c>
      <c r="P1096" s="7">
        <v>0</v>
      </c>
      <c r="Q1096" s="7">
        <v>0</v>
      </c>
      <c r="R1096" s="7">
        <v>1</v>
      </c>
      <c r="S1096" s="7">
        <v>4.5</v>
      </c>
      <c r="T1096">
        <v>7</v>
      </c>
      <c r="U1096" s="1">
        <v>35</v>
      </c>
      <c r="V1096">
        <v>0</v>
      </c>
      <c r="W1096">
        <v>0</v>
      </c>
      <c r="X1096">
        <v>1</v>
      </c>
      <c r="Y1096">
        <v>0.16</v>
      </c>
      <c r="Z1096">
        <v>23</v>
      </c>
      <c r="AA1096">
        <v>0</v>
      </c>
      <c r="AB1096">
        <v>0</v>
      </c>
      <c r="AC1096">
        <v>0</v>
      </c>
      <c r="AD1096">
        <v>1</v>
      </c>
      <c r="AE1096">
        <v>0.05</v>
      </c>
      <c r="AF1096">
        <v>15</v>
      </c>
      <c r="AG1096">
        <v>0</v>
      </c>
      <c r="AH1096">
        <v>0</v>
      </c>
      <c r="AI1096">
        <v>0</v>
      </c>
      <c r="AJ1096">
        <v>1</v>
      </c>
      <c r="AK1096">
        <v>0.02</v>
      </c>
      <c r="AL1096">
        <v>16</v>
      </c>
      <c r="AM1096">
        <v>0</v>
      </c>
      <c r="AN1096">
        <v>0</v>
      </c>
      <c r="AO1096">
        <v>0</v>
      </c>
      <c r="AP1096">
        <v>1</v>
      </c>
      <c r="AQ1096">
        <v>0.01</v>
      </c>
      <c r="AX1096">
        <v>7</v>
      </c>
      <c r="AY1096" s="1">
        <v>19</v>
      </c>
      <c r="AZ1096">
        <v>0</v>
      </c>
      <c r="BA1096">
        <v>0</v>
      </c>
      <c r="BB1096">
        <v>1</v>
      </c>
      <c r="BC1096" s="7">
        <v>0.32</v>
      </c>
      <c r="BD1096">
        <v>30</v>
      </c>
      <c r="BE1096">
        <v>0</v>
      </c>
      <c r="BF1096">
        <v>0</v>
      </c>
      <c r="BG1096">
        <v>0</v>
      </c>
      <c r="BH1096">
        <v>5</v>
      </c>
      <c r="BI1096">
        <v>2.4</v>
      </c>
      <c r="BJ1096">
        <v>31</v>
      </c>
      <c r="BK1096">
        <v>0</v>
      </c>
      <c r="BL1096">
        <v>0</v>
      </c>
      <c r="BM1096">
        <v>0</v>
      </c>
      <c r="BN1096">
        <v>5</v>
      </c>
      <c r="BO1096">
        <v>2.4</v>
      </c>
      <c r="BP1096">
        <v>36</v>
      </c>
      <c r="BQ1096">
        <v>0</v>
      </c>
      <c r="BR1096">
        <v>0</v>
      </c>
      <c r="BS1096">
        <v>0</v>
      </c>
      <c r="BT1096">
        <v>5</v>
      </c>
      <c r="BU1096">
        <v>1.9</v>
      </c>
    </row>
    <row r="1097" spans="1:73" ht="14.25" x14ac:dyDescent="0.15">
      <c r="A1097" s="12">
        <v>20644</v>
      </c>
      <c r="B1097">
        <v>7</v>
      </c>
      <c r="C1097" s="1">
        <v>48</v>
      </c>
      <c r="D1097">
        <v>0</v>
      </c>
      <c r="E1097">
        <v>0</v>
      </c>
      <c r="F1097">
        <v>1</v>
      </c>
      <c r="G1097" s="7">
        <v>0.05</v>
      </c>
      <c r="H1097">
        <v>12</v>
      </c>
      <c r="I1097">
        <v>0</v>
      </c>
      <c r="J1097">
        <v>0</v>
      </c>
      <c r="K1097">
        <v>0</v>
      </c>
      <c r="L1097">
        <v>1</v>
      </c>
      <c r="M1097">
        <v>2</v>
      </c>
      <c r="N1097" s="7">
        <v>9</v>
      </c>
      <c r="O1097" s="7">
        <v>0</v>
      </c>
      <c r="P1097" s="7">
        <v>0</v>
      </c>
      <c r="Q1097" s="7">
        <v>0</v>
      </c>
      <c r="R1097" s="7">
        <v>1</v>
      </c>
      <c r="S1097" s="7">
        <v>4.5</v>
      </c>
      <c r="T1097">
        <v>7</v>
      </c>
      <c r="U1097" s="1">
        <v>36</v>
      </c>
      <c r="V1097">
        <v>0</v>
      </c>
      <c r="W1097">
        <v>0</v>
      </c>
      <c r="X1097">
        <v>1</v>
      </c>
      <c r="Y1097">
        <v>0.16</v>
      </c>
      <c r="Z1097">
        <v>23</v>
      </c>
      <c r="AA1097">
        <v>0</v>
      </c>
      <c r="AB1097">
        <v>0</v>
      </c>
      <c r="AC1097">
        <v>0</v>
      </c>
      <c r="AD1097">
        <v>1</v>
      </c>
      <c r="AE1097">
        <v>0.05</v>
      </c>
      <c r="AF1097">
        <v>15</v>
      </c>
      <c r="AG1097">
        <v>0</v>
      </c>
      <c r="AH1097">
        <v>0</v>
      </c>
      <c r="AI1097">
        <v>0</v>
      </c>
      <c r="AJ1097">
        <v>1</v>
      </c>
      <c r="AK1097">
        <v>0.02</v>
      </c>
      <c r="AL1097">
        <v>16</v>
      </c>
      <c r="AM1097">
        <v>0</v>
      </c>
      <c r="AN1097">
        <v>0</v>
      </c>
      <c r="AO1097">
        <v>0</v>
      </c>
      <c r="AP1097">
        <v>1</v>
      </c>
      <c r="AQ1097">
        <v>0.01</v>
      </c>
      <c r="AX1097">
        <v>7</v>
      </c>
      <c r="AY1097" s="1">
        <v>20</v>
      </c>
      <c r="AZ1097">
        <v>0</v>
      </c>
      <c r="BA1097">
        <v>0</v>
      </c>
      <c r="BB1097">
        <v>1</v>
      </c>
      <c r="BC1097" s="7">
        <v>0.32</v>
      </c>
      <c r="BD1097">
        <v>30</v>
      </c>
      <c r="BE1097">
        <v>0</v>
      </c>
      <c r="BF1097">
        <v>0</v>
      </c>
      <c r="BG1097">
        <v>0</v>
      </c>
      <c r="BH1097">
        <v>5</v>
      </c>
      <c r="BI1097">
        <v>2.4</v>
      </c>
      <c r="BJ1097">
        <v>31</v>
      </c>
      <c r="BK1097">
        <v>0</v>
      </c>
      <c r="BL1097">
        <v>0</v>
      </c>
      <c r="BM1097">
        <v>0</v>
      </c>
      <c r="BN1097">
        <v>5</v>
      </c>
      <c r="BO1097">
        <v>2.4</v>
      </c>
      <c r="BP1097">
        <v>36</v>
      </c>
      <c r="BQ1097">
        <v>0</v>
      </c>
      <c r="BR1097">
        <v>0</v>
      </c>
      <c r="BS1097">
        <v>0</v>
      </c>
      <c r="BT1097">
        <v>5</v>
      </c>
      <c r="BU1097">
        <v>1.9</v>
      </c>
    </row>
    <row r="1098" spans="1:73" ht="14.25" x14ac:dyDescent="0.15">
      <c r="A1098" s="12">
        <v>20645</v>
      </c>
      <c r="B1098">
        <v>7</v>
      </c>
      <c r="C1098" s="1">
        <v>0</v>
      </c>
      <c r="D1098">
        <v>5</v>
      </c>
      <c r="E1098">
        <v>1</v>
      </c>
      <c r="F1098">
        <v>1</v>
      </c>
      <c r="G1098" s="7">
        <v>0.05</v>
      </c>
      <c r="H1098">
        <v>12</v>
      </c>
      <c r="I1098">
        <v>0</v>
      </c>
      <c r="J1098">
        <v>0</v>
      </c>
      <c r="K1098">
        <v>0</v>
      </c>
      <c r="L1098">
        <v>1</v>
      </c>
      <c r="M1098">
        <v>2</v>
      </c>
      <c r="N1098" s="7">
        <v>9</v>
      </c>
      <c r="O1098" s="7">
        <v>0</v>
      </c>
      <c r="P1098" s="7">
        <v>0</v>
      </c>
      <c r="Q1098" s="7">
        <v>0</v>
      </c>
      <c r="R1098" s="7">
        <v>1</v>
      </c>
      <c r="S1098" s="7">
        <v>4.5</v>
      </c>
      <c r="T1098">
        <v>7</v>
      </c>
      <c r="U1098" s="1">
        <v>0</v>
      </c>
      <c r="V1098">
        <v>4</v>
      </c>
      <c r="W1098">
        <v>2</v>
      </c>
      <c r="X1098">
        <v>1</v>
      </c>
      <c r="Y1098">
        <v>0.16</v>
      </c>
      <c r="Z1098">
        <v>23</v>
      </c>
      <c r="AA1098">
        <v>0</v>
      </c>
      <c r="AB1098">
        <v>0</v>
      </c>
      <c r="AC1098">
        <v>0</v>
      </c>
      <c r="AD1098">
        <v>1</v>
      </c>
      <c r="AE1098">
        <v>0.05</v>
      </c>
      <c r="AF1098">
        <v>15</v>
      </c>
      <c r="AG1098">
        <v>0</v>
      </c>
      <c r="AH1098">
        <v>0</v>
      </c>
      <c r="AI1098">
        <v>0</v>
      </c>
      <c r="AJ1098">
        <v>1</v>
      </c>
      <c r="AK1098">
        <v>0.02</v>
      </c>
      <c r="AL1098">
        <v>16</v>
      </c>
      <c r="AM1098">
        <v>0</v>
      </c>
      <c r="AN1098">
        <v>0</v>
      </c>
      <c r="AO1098">
        <v>0</v>
      </c>
      <c r="AP1098">
        <v>1</v>
      </c>
      <c r="AQ1098">
        <v>0.01</v>
      </c>
      <c r="AR1098">
        <v>6</v>
      </c>
      <c r="AS1098">
        <v>2</v>
      </c>
      <c r="AT1098">
        <v>4</v>
      </c>
      <c r="AU1098">
        <v>5</v>
      </c>
      <c r="AV1098">
        <v>1</v>
      </c>
      <c r="AW1098">
        <v>0.01</v>
      </c>
      <c r="AX1098">
        <v>7</v>
      </c>
      <c r="AY1098" s="1">
        <v>0</v>
      </c>
      <c r="AZ1098">
        <v>3</v>
      </c>
      <c r="BA1098">
        <v>1</v>
      </c>
      <c r="BB1098">
        <v>1</v>
      </c>
      <c r="BC1098" s="7">
        <v>0.32</v>
      </c>
      <c r="BD1098">
        <v>30</v>
      </c>
      <c r="BE1098">
        <v>0</v>
      </c>
      <c r="BF1098">
        <v>0</v>
      </c>
      <c r="BG1098">
        <v>0</v>
      </c>
      <c r="BH1098">
        <v>5</v>
      </c>
      <c r="BI1098">
        <v>2.4</v>
      </c>
      <c r="BJ1098">
        <v>31</v>
      </c>
      <c r="BK1098">
        <v>0</v>
      </c>
      <c r="BL1098">
        <v>0</v>
      </c>
      <c r="BM1098">
        <v>0</v>
      </c>
      <c r="BN1098">
        <v>5</v>
      </c>
      <c r="BO1098">
        <v>2.4</v>
      </c>
      <c r="BP1098">
        <v>36</v>
      </c>
      <c r="BQ1098">
        <v>0</v>
      </c>
      <c r="BR1098">
        <v>0</v>
      </c>
      <c r="BS1098">
        <v>0</v>
      </c>
      <c r="BT1098">
        <v>5</v>
      </c>
      <c r="BU1098">
        <v>1.9</v>
      </c>
    </row>
    <row r="1099" spans="1:73" ht="14.25" x14ac:dyDescent="0.15">
      <c r="A1099" s="12">
        <v>20646</v>
      </c>
      <c r="B1099">
        <v>7</v>
      </c>
      <c r="C1099" s="1">
        <v>45</v>
      </c>
      <c r="D1099">
        <v>0</v>
      </c>
      <c r="E1099">
        <v>0</v>
      </c>
      <c r="F1099">
        <v>1</v>
      </c>
      <c r="G1099" s="7">
        <v>0.05</v>
      </c>
      <c r="H1099">
        <v>12</v>
      </c>
      <c r="I1099">
        <v>0</v>
      </c>
      <c r="J1099">
        <v>0</v>
      </c>
      <c r="K1099">
        <v>0</v>
      </c>
      <c r="L1099">
        <v>1</v>
      </c>
      <c r="M1099">
        <v>2</v>
      </c>
      <c r="N1099" s="7">
        <v>9</v>
      </c>
      <c r="O1099" s="7">
        <v>0</v>
      </c>
      <c r="P1099" s="7">
        <v>0</v>
      </c>
      <c r="Q1099" s="7">
        <v>0</v>
      </c>
      <c r="R1099" s="7">
        <v>1</v>
      </c>
      <c r="S1099" s="7">
        <v>4.5</v>
      </c>
      <c r="T1099">
        <v>7</v>
      </c>
      <c r="U1099" s="1">
        <v>33</v>
      </c>
      <c r="V1099">
        <v>0</v>
      </c>
      <c r="W1099">
        <v>0</v>
      </c>
      <c r="X1099">
        <v>1</v>
      </c>
      <c r="Y1099">
        <v>0.16</v>
      </c>
      <c r="Z1099">
        <v>23</v>
      </c>
      <c r="AA1099">
        <v>0</v>
      </c>
      <c r="AB1099">
        <v>0</v>
      </c>
      <c r="AC1099">
        <v>0</v>
      </c>
      <c r="AD1099">
        <v>1</v>
      </c>
      <c r="AE1099">
        <v>0.05</v>
      </c>
      <c r="AF1099">
        <v>15</v>
      </c>
      <c r="AG1099">
        <v>0</v>
      </c>
      <c r="AH1099">
        <v>0</v>
      </c>
      <c r="AI1099">
        <v>0</v>
      </c>
      <c r="AJ1099">
        <v>1</v>
      </c>
      <c r="AK1099">
        <v>0.02</v>
      </c>
      <c r="AL1099">
        <v>16</v>
      </c>
      <c r="AM1099">
        <v>0</v>
      </c>
      <c r="AN1099">
        <v>0</v>
      </c>
      <c r="AO1099">
        <v>0</v>
      </c>
      <c r="AP1099">
        <v>1</v>
      </c>
      <c r="AQ1099">
        <v>0.01</v>
      </c>
      <c r="AX1099">
        <v>7</v>
      </c>
      <c r="AY1099" s="1">
        <v>17</v>
      </c>
      <c r="AZ1099">
        <v>0</v>
      </c>
      <c r="BA1099">
        <v>0</v>
      </c>
      <c r="BB1099">
        <v>1</v>
      </c>
      <c r="BC1099" s="7">
        <v>0.32</v>
      </c>
      <c r="BD1099">
        <v>30</v>
      </c>
      <c r="BE1099">
        <v>0</v>
      </c>
      <c r="BF1099">
        <v>0</v>
      </c>
      <c r="BG1099">
        <v>0</v>
      </c>
      <c r="BH1099">
        <v>5</v>
      </c>
      <c r="BI1099">
        <v>2.4</v>
      </c>
      <c r="BJ1099">
        <v>31</v>
      </c>
      <c r="BK1099">
        <v>0</v>
      </c>
      <c r="BL1099">
        <v>0</v>
      </c>
      <c r="BM1099">
        <v>0</v>
      </c>
      <c r="BN1099">
        <v>5</v>
      </c>
      <c r="BO1099">
        <v>2.4</v>
      </c>
      <c r="BP1099">
        <v>36</v>
      </c>
      <c r="BQ1099">
        <v>0</v>
      </c>
      <c r="BR1099">
        <v>0</v>
      </c>
      <c r="BS1099">
        <v>0</v>
      </c>
      <c r="BT1099">
        <v>5</v>
      </c>
      <c r="BU1099">
        <v>1.9</v>
      </c>
    </row>
    <row r="1100" spans="1:73" ht="14.25" x14ac:dyDescent="0.15">
      <c r="A1100" s="12">
        <v>20647</v>
      </c>
      <c r="B1100">
        <v>7</v>
      </c>
      <c r="C1100" s="1">
        <v>46</v>
      </c>
      <c r="D1100">
        <v>0</v>
      </c>
      <c r="E1100">
        <v>0</v>
      </c>
      <c r="F1100">
        <v>1</v>
      </c>
      <c r="G1100" s="7">
        <v>0.05</v>
      </c>
      <c r="H1100">
        <v>12</v>
      </c>
      <c r="I1100">
        <v>0</v>
      </c>
      <c r="J1100">
        <v>0</v>
      </c>
      <c r="K1100">
        <v>0</v>
      </c>
      <c r="L1100">
        <v>1</v>
      </c>
      <c r="M1100">
        <v>2</v>
      </c>
      <c r="N1100" s="7">
        <v>9</v>
      </c>
      <c r="O1100" s="7">
        <v>0</v>
      </c>
      <c r="P1100" s="7">
        <v>0</v>
      </c>
      <c r="Q1100" s="7">
        <v>0</v>
      </c>
      <c r="R1100" s="7">
        <v>1</v>
      </c>
      <c r="S1100" s="7">
        <v>4.5</v>
      </c>
      <c r="T1100">
        <v>7</v>
      </c>
      <c r="U1100" s="1">
        <v>34</v>
      </c>
      <c r="V1100">
        <v>0</v>
      </c>
      <c r="W1100">
        <v>0</v>
      </c>
      <c r="X1100">
        <v>1</v>
      </c>
      <c r="Y1100">
        <v>0.16</v>
      </c>
      <c r="Z1100">
        <v>23</v>
      </c>
      <c r="AA1100">
        <v>0</v>
      </c>
      <c r="AB1100">
        <v>0</v>
      </c>
      <c r="AC1100">
        <v>0</v>
      </c>
      <c r="AD1100">
        <v>1</v>
      </c>
      <c r="AE1100">
        <v>0.05</v>
      </c>
      <c r="AF1100">
        <v>15</v>
      </c>
      <c r="AG1100">
        <v>0</v>
      </c>
      <c r="AH1100">
        <v>0</v>
      </c>
      <c r="AI1100">
        <v>0</v>
      </c>
      <c r="AJ1100">
        <v>1</v>
      </c>
      <c r="AK1100">
        <v>0.02</v>
      </c>
      <c r="AL1100">
        <v>16</v>
      </c>
      <c r="AM1100">
        <v>0</v>
      </c>
      <c r="AN1100">
        <v>0</v>
      </c>
      <c r="AO1100">
        <v>0</v>
      </c>
      <c r="AP1100">
        <v>1</v>
      </c>
      <c r="AQ1100">
        <v>0.01</v>
      </c>
      <c r="AX1100">
        <v>7</v>
      </c>
      <c r="AY1100" s="1">
        <v>18</v>
      </c>
      <c r="AZ1100">
        <v>0</v>
      </c>
      <c r="BA1100">
        <v>0</v>
      </c>
      <c r="BB1100">
        <v>1</v>
      </c>
      <c r="BC1100" s="7">
        <v>0.32</v>
      </c>
      <c r="BD1100">
        <v>30</v>
      </c>
      <c r="BE1100">
        <v>0</v>
      </c>
      <c r="BF1100">
        <v>0</v>
      </c>
      <c r="BG1100">
        <v>0</v>
      </c>
      <c r="BH1100">
        <v>5</v>
      </c>
      <c r="BI1100">
        <v>2.4</v>
      </c>
      <c r="BJ1100">
        <v>31</v>
      </c>
      <c r="BK1100">
        <v>0</v>
      </c>
      <c r="BL1100">
        <v>0</v>
      </c>
      <c r="BM1100">
        <v>0</v>
      </c>
      <c r="BN1100">
        <v>5</v>
      </c>
      <c r="BO1100">
        <v>2.4</v>
      </c>
      <c r="BP1100">
        <v>36</v>
      </c>
      <c r="BQ1100">
        <v>0</v>
      </c>
      <c r="BR1100">
        <v>0</v>
      </c>
      <c r="BS1100">
        <v>0</v>
      </c>
      <c r="BT1100">
        <v>5</v>
      </c>
      <c r="BU1100">
        <v>1.9</v>
      </c>
    </row>
    <row r="1101" spans="1:73" ht="14.25" x14ac:dyDescent="0.15">
      <c r="A1101" s="12">
        <v>20648</v>
      </c>
      <c r="B1101">
        <v>7</v>
      </c>
      <c r="C1101" s="1">
        <v>47</v>
      </c>
      <c r="D1101">
        <v>0</v>
      </c>
      <c r="E1101">
        <v>0</v>
      </c>
      <c r="F1101">
        <v>1</v>
      </c>
      <c r="G1101" s="7">
        <v>0.05</v>
      </c>
      <c r="H1101">
        <v>12</v>
      </c>
      <c r="I1101">
        <v>0</v>
      </c>
      <c r="J1101">
        <v>0</v>
      </c>
      <c r="K1101">
        <v>0</v>
      </c>
      <c r="L1101">
        <v>1</v>
      </c>
      <c r="M1101">
        <v>2</v>
      </c>
      <c r="N1101" s="7">
        <v>9</v>
      </c>
      <c r="O1101" s="7">
        <v>0</v>
      </c>
      <c r="P1101" s="7">
        <v>0</v>
      </c>
      <c r="Q1101" s="7">
        <v>0</v>
      </c>
      <c r="R1101" s="7">
        <v>1</v>
      </c>
      <c r="S1101" s="7">
        <v>4.5</v>
      </c>
      <c r="T1101">
        <v>7</v>
      </c>
      <c r="U1101" s="1">
        <v>35</v>
      </c>
      <c r="V1101">
        <v>0</v>
      </c>
      <c r="W1101">
        <v>0</v>
      </c>
      <c r="X1101">
        <v>1</v>
      </c>
      <c r="Y1101">
        <v>0.16</v>
      </c>
      <c r="Z1101">
        <v>23</v>
      </c>
      <c r="AA1101">
        <v>0</v>
      </c>
      <c r="AB1101">
        <v>0</v>
      </c>
      <c r="AC1101">
        <v>0</v>
      </c>
      <c r="AD1101">
        <v>1</v>
      </c>
      <c r="AE1101">
        <v>0.05</v>
      </c>
      <c r="AF1101">
        <v>15</v>
      </c>
      <c r="AG1101">
        <v>0</v>
      </c>
      <c r="AH1101">
        <v>0</v>
      </c>
      <c r="AI1101">
        <v>0</v>
      </c>
      <c r="AJ1101">
        <v>1</v>
      </c>
      <c r="AK1101">
        <v>0.02</v>
      </c>
      <c r="AL1101">
        <v>16</v>
      </c>
      <c r="AM1101">
        <v>0</v>
      </c>
      <c r="AN1101">
        <v>0</v>
      </c>
      <c r="AO1101">
        <v>0</v>
      </c>
      <c r="AP1101">
        <v>1</v>
      </c>
      <c r="AQ1101">
        <v>0.01</v>
      </c>
      <c r="AX1101">
        <v>7</v>
      </c>
      <c r="AY1101" s="1">
        <v>19</v>
      </c>
      <c r="AZ1101">
        <v>0</v>
      </c>
      <c r="BA1101">
        <v>0</v>
      </c>
      <c r="BB1101">
        <v>1</v>
      </c>
      <c r="BC1101" s="7">
        <v>0.32</v>
      </c>
      <c r="BD1101">
        <v>30</v>
      </c>
      <c r="BE1101">
        <v>0</v>
      </c>
      <c r="BF1101">
        <v>0</v>
      </c>
      <c r="BG1101">
        <v>0</v>
      </c>
      <c r="BH1101">
        <v>5</v>
      </c>
      <c r="BI1101">
        <v>2.4</v>
      </c>
      <c r="BJ1101">
        <v>31</v>
      </c>
      <c r="BK1101">
        <v>0</v>
      </c>
      <c r="BL1101">
        <v>0</v>
      </c>
      <c r="BM1101">
        <v>0</v>
      </c>
      <c r="BN1101">
        <v>5</v>
      </c>
      <c r="BO1101">
        <v>2.4</v>
      </c>
      <c r="BP1101">
        <v>36</v>
      </c>
      <c r="BQ1101">
        <v>0</v>
      </c>
      <c r="BR1101">
        <v>0</v>
      </c>
      <c r="BS1101">
        <v>0</v>
      </c>
      <c r="BT1101">
        <v>5</v>
      </c>
      <c r="BU1101">
        <v>1.9</v>
      </c>
    </row>
    <row r="1102" spans="1:73" ht="14.25" x14ac:dyDescent="0.15">
      <c r="A1102" s="12">
        <v>20649</v>
      </c>
      <c r="B1102">
        <v>7</v>
      </c>
      <c r="C1102" s="1">
        <v>48</v>
      </c>
      <c r="D1102">
        <v>0</v>
      </c>
      <c r="E1102">
        <v>0</v>
      </c>
      <c r="F1102">
        <v>1</v>
      </c>
      <c r="G1102" s="7">
        <v>0.05</v>
      </c>
      <c r="H1102">
        <v>12</v>
      </c>
      <c r="I1102">
        <v>0</v>
      </c>
      <c r="J1102">
        <v>0</v>
      </c>
      <c r="K1102">
        <v>0</v>
      </c>
      <c r="L1102">
        <v>1</v>
      </c>
      <c r="M1102">
        <v>2</v>
      </c>
      <c r="N1102" s="7">
        <v>9</v>
      </c>
      <c r="O1102" s="7">
        <v>0</v>
      </c>
      <c r="P1102" s="7">
        <v>0</v>
      </c>
      <c r="Q1102" s="7">
        <v>0</v>
      </c>
      <c r="R1102" s="7">
        <v>1</v>
      </c>
      <c r="S1102" s="7">
        <v>4.5</v>
      </c>
      <c r="T1102">
        <v>7</v>
      </c>
      <c r="U1102" s="1">
        <v>36</v>
      </c>
      <c r="V1102">
        <v>0</v>
      </c>
      <c r="W1102">
        <v>0</v>
      </c>
      <c r="X1102">
        <v>1</v>
      </c>
      <c r="Y1102">
        <v>0.16</v>
      </c>
      <c r="Z1102">
        <v>23</v>
      </c>
      <c r="AA1102">
        <v>0</v>
      </c>
      <c r="AB1102">
        <v>0</v>
      </c>
      <c r="AC1102">
        <v>0</v>
      </c>
      <c r="AD1102">
        <v>1</v>
      </c>
      <c r="AE1102">
        <v>0.05</v>
      </c>
      <c r="AF1102">
        <v>15</v>
      </c>
      <c r="AG1102">
        <v>0</v>
      </c>
      <c r="AH1102">
        <v>0</v>
      </c>
      <c r="AI1102">
        <v>0</v>
      </c>
      <c r="AJ1102">
        <v>1</v>
      </c>
      <c r="AK1102">
        <v>0.02</v>
      </c>
      <c r="AL1102">
        <v>16</v>
      </c>
      <c r="AM1102">
        <v>0</v>
      </c>
      <c r="AN1102">
        <v>0</v>
      </c>
      <c r="AO1102">
        <v>0</v>
      </c>
      <c r="AP1102">
        <v>1</v>
      </c>
      <c r="AQ1102">
        <v>0.01</v>
      </c>
      <c r="AX1102">
        <v>7</v>
      </c>
      <c r="AY1102" s="1">
        <v>20</v>
      </c>
      <c r="AZ1102">
        <v>0</v>
      </c>
      <c r="BA1102">
        <v>0</v>
      </c>
      <c r="BB1102">
        <v>1</v>
      </c>
      <c r="BC1102" s="7">
        <v>0.32</v>
      </c>
      <c r="BD1102">
        <v>30</v>
      </c>
      <c r="BE1102">
        <v>0</v>
      </c>
      <c r="BF1102">
        <v>0</v>
      </c>
      <c r="BG1102">
        <v>0</v>
      </c>
      <c r="BH1102">
        <v>5</v>
      </c>
      <c r="BI1102">
        <v>2.4</v>
      </c>
      <c r="BJ1102">
        <v>31</v>
      </c>
      <c r="BK1102">
        <v>0</v>
      </c>
      <c r="BL1102">
        <v>0</v>
      </c>
      <c r="BM1102">
        <v>0</v>
      </c>
      <c r="BN1102">
        <v>5</v>
      </c>
      <c r="BO1102">
        <v>2.4</v>
      </c>
      <c r="BP1102">
        <v>36</v>
      </c>
      <c r="BQ1102">
        <v>0</v>
      </c>
      <c r="BR1102">
        <v>0</v>
      </c>
      <c r="BS1102">
        <v>0</v>
      </c>
      <c r="BT1102">
        <v>5</v>
      </c>
      <c r="BU1102">
        <v>1.9</v>
      </c>
    </row>
    <row r="1103" spans="1:73" ht="14.25" x14ac:dyDescent="0.15">
      <c r="A1103" s="12">
        <v>20650</v>
      </c>
      <c r="B1103">
        <v>7</v>
      </c>
      <c r="C1103" s="1">
        <v>0</v>
      </c>
      <c r="D1103">
        <v>5</v>
      </c>
      <c r="E1103">
        <v>1</v>
      </c>
      <c r="F1103">
        <v>1</v>
      </c>
      <c r="G1103" s="7">
        <v>0.05</v>
      </c>
      <c r="H1103">
        <v>12</v>
      </c>
      <c r="I1103">
        <v>0</v>
      </c>
      <c r="J1103">
        <v>0</v>
      </c>
      <c r="K1103">
        <v>0</v>
      </c>
      <c r="L1103">
        <v>1</v>
      </c>
      <c r="M1103">
        <v>2</v>
      </c>
      <c r="N1103" s="7">
        <v>9</v>
      </c>
      <c r="O1103" s="7">
        <v>0</v>
      </c>
      <c r="P1103" s="7">
        <v>0</v>
      </c>
      <c r="Q1103" s="7">
        <v>0</v>
      </c>
      <c r="R1103" s="7">
        <v>1</v>
      </c>
      <c r="S1103" s="7">
        <v>4.5</v>
      </c>
      <c r="T1103">
        <v>7</v>
      </c>
      <c r="U1103" s="1">
        <v>0</v>
      </c>
      <c r="V1103">
        <v>4</v>
      </c>
      <c r="W1103">
        <v>2</v>
      </c>
      <c r="X1103">
        <v>1</v>
      </c>
      <c r="Y1103">
        <v>0.16</v>
      </c>
      <c r="Z1103">
        <v>23</v>
      </c>
      <c r="AA1103">
        <v>0</v>
      </c>
      <c r="AB1103">
        <v>0</v>
      </c>
      <c r="AC1103">
        <v>0</v>
      </c>
      <c r="AD1103">
        <v>1</v>
      </c>
      <c r="AE1103">
        <v>0.05</v>
      </c>
      <c r="AF1103">
        <v>15</v>
      </c>
      <c r="AG1103">
        <v>0</v>
      </c>
      <c r="AH1103">
        <v>0</v>
      </c>
      <c r="AI1103">
        <v>0</v>
      </c>
      <c r="AJ1103">
        <v>1</v>
      </c>
      <c r="AK1103">
        <v>0.02</v>
      </c>
      <c r="AL1103">
        <v>16</v>
      </c>
      <c r="AM1103">
        <v>0</v>
      </c>
      <c r="AN1103">
        <v>0</v>
      </c>
      <c r="AO1103">
        <v>0</v>
      </c>
      <c r="AP1103">
        <v>1</v>
      </c>
      <c r="AQ1103">
        <v>0.01</v>
      </c>
      <c r="AR1103">
        <v>6</v>
      </c>
      <c r="AS1103">
        <v>2</v>
      </c>
      <c r="AT1103">
        <v>5</v>
      </c>
      <c r="AU1103">
        <v>5</v>
      </c>
      <c r="AV1103">
        <v>1</v>
      </c>
      <c r="AW1103">
        <v>0.01</v>
      </c>
      <c r="AX1103">
        <v>7</v>
      </c>
      <c r="AY1103" s="1">
        <v>0</v>
      </c>
      <c r="AZ1103">
        <v>3</v>
      </c>
      <c r="BA1103">
        <v>1</v>
      </c>
      <c r="BB1103">
        <v>1</v>
      </c>
      <c r="BC1103" s="7">
        <v>0.32</v>
      </c>
      <c r="BD1103">
        <v>30</v>
      </c>
      <c r="BE1103">
        <v>0</v>
      </c>
      <c r="BF1103">
        <v>0</v>
      </c>
      <c r="BG1103">
        <v>0</v>
      </c>
      <c r="BH1103">
        <v>5</v>
      </c>
      <c r="BI1103">
        <v>2.4</v>
      </c>
      <c r="BJ1103">
        <v>31</v>
      </c>
      <c r="BK1103">
        <v>0</v>
      </c>
      <c r="BL1103">
        <v>0</v>
      </c>
      <c r="BM1103">
        <v>0</v>
      </c>
      <c r="BN1103">
        <v>5</v>
      </c>
      <c r="BO1103">
        <v>2.4</v>
      </c>
      <c r="BP1103">
        <v>36</v>
      </c>
      <c r="BQ1103">
        <v>0</v>
      </c>
      <c r="BR1103">
        <v>0</v>
      </c>
      <c r="BS1103">
        <v>0</v>
      </c>
      <c r="BT1103">
        <v>5</v>
      </c>
      <c r="BU1103">
        <v>1.9</v>
      </c>
    </row>
    <row r="1104" spans="1:73" ht="14.25" x14ac:dyDescent="0.15">
      <c r="A1104" s="12">
        <v>20701</v>
      </c>
      <c r="B1104">
        <v>7</v>
      </c>
      <c r="C1104" s="1">
        <v>45</v>
      </c>
      <c r="D1104">
        <v>0</v>
      </c>
      <c r="E1104">
        <v>0</v>
      </c>
      <c r="F1104">
        <v>1</v>
      </c>
      <c r="G1104" s="7">
        <v>0.05</v>
      </c>
      <c r="H1104">
        <v>12</v>
      </c>
      <c r="I1104">
        <v>0</v>
      </c>
      <c r="J1104">
        <v>0</v>
      </c>
      <c r="K1104">
        <v>0</v>
      </c>
      <c r="L1104">
        <v>1</v>
      </c>
      <c r="M1104">
        <v>2</v>
      </c>
      <c r="N1104" s="7">
        <v>9</v>
      </c>
      <c r="O1104" s="7">
        <v>0</v>
      </c>
      <c r="P1104" s="7">
        <v>0</v>
      </c>
      <c r="Q1104" s="7">
        <v>0</v>
      </c>
      <c r="R1104" s="7">
        <v>1</v>
      </c>
      <c r="S1104" s="7">
        <v>4.5</v>
      </c>
      <c r="T1104">
        <v>7</v>
      </c>
      <c r="U1104" s="1">
        <v>33</v>
      </c>
      <c r="V1104">
        <v>0</v>
      </c>
      <c r="W1104">
        <v>0</v>
      </c>
      <c r="X1104">
        <v>1</v>
      </c>
      <c r="Y1104">
        <v>0.16</v>
      </c>
      <c r="Z1104">
        <v>23</v>
      </c>
      <c r="AA1104">
        <v>0</v>
      </c>
      <c r="AB1104">
        <v>0</v>
      </c>
      <c r="AC1104">
        <v>0</v>
      </c>
      <c r="AD1104">
        <v>1</v>
      </c>
      <c r="AE1104">
        <v>0.05</v>
      </c>
      <c r="AF1104">
        <v>15</v>
      </c>
      <c r="AG1104">
        <v>0</v>
      </c>
      <c r="AH1104">
        <v>0</v>
      </c>
      <c r="AI1104">
        <v>0</v>
      </c>
      <c r="AJ1104">
        <v>1</v>
      </c>
      <c r="AK1104">
        <v>0.02</v>
      </c>
      <c r="AL1104">
        <v>16</v>
      </c>
      <c r="AM1104">
        <v>0</v>
      </c>
      <c r="AN1104">
        <v>0</v>
      </c>
      <c r="AO1104">
        <v>0</v>
      </c>
      <c r="AP1104">
        <v>1</v>
      </c>
      <c r="AQ1104">
        <v>0.01</v>
      </c>
      <c r="AX1104">
        <v>7</v>
      </c>
      <c r="AY1104" s="1">
        <v>17</v>
      </c>
      <c r="AZ1104">
        <v>0</v>
      </c>
      <c r="BA1104">
        <v>0</v>
      </c>
      <c r="BB1104">
        <v>1</v>
      </c>
      <c r="BC1104" s="7">
        <v>0.32</v>
      </c>
      <c r="BD1104">
        <v>30</v>
      </c>
      <c r="BE1104">
        <v>0</v>
      </c>
      <c r="BF1104">
        <v>0</v>
      </c>
      <c r="BG1104">
        <v>0</v>
      </c>
      <c r="BH1104">
        <v>5</v>
      </c>
      <c r="BI1104">
        <v>2.4</v>
      </c>
      <c r="BJ1104">
        <v>31</v>
      </c>
      <c r="BK1104">
        <v>0</v>
      </c>
      <c r="BL1104">
        <v>0</v>
      </c>
      <c r="BM1104">
        <v>0</v>
      </c>
      <c r="BN1104">
        <v>5</v>
      </c>
      <c r="BO1104">
        <v>2.4</v>
      </c>
      <c r="BP1104">
        <v>36</v>
      </c>
      <c r="BQ1104">
        <v>0</v>
      </c>
      <c r="BR1104">
        <v>0</v>
      </c>
      <c r="BS1104">
        <v>0</v>
      </c>
      <c r="BT1104">
        <v>5</v>
      </c>
      <c r="BU1104">
        <v>1.9</v>
      </c>
    </row>
    <row r="1105" spans="1:73" ht="14.25" x14ac:dyDescent="0.15">
      <c r="A1105" s="12">
        <v>20702</v>
      </c>
      <c r="B1105">
        <v>7</v>
      </c>
      <c r="C1105" s="1">
        <v>46</v>
      </c>
      <c r="D1105">
        <v>0</v>
      </c>
      <c r="E1105">
        <v>0</v>
      </c>
      <c r="F1105">
        <v>1</v>
      </c>
      <c r="G1105" s="7">
        <v>0.05</v>
      </c>
      <c r="H1105">
        <v>12</v>
      </c>
      <c r="I1105">
        <v>0</v>
      </c>
      <c r="J1105">
        <v>0</v>
      </c>
      <c r="K1105">
        <v>0</v>
      </c>
      <c r="L1105">
        <v>1</v>
      </c>
      <c r="M1105">
        <v>2</v>
      </c>
      <c r="N1105" s="7">
        <v>9</v>
      </c>
      <c r="O1105" s="7">
        <v>0</v>
      </c>
      <c r="P1105" s="7">
        <v>0</v>
      </c>
      <c r="Q1105" s="7">
        <v>0</v>
      </c>
      <c r="R1105" s="7">
        <v>1</v>
      </c>
      <c r="S1105" s="7">
        <v>4.5</v>
      </c>
      <c r="T1105">
        <v>7</v>
      </c>
      <c r="U1105" s="1">
        <v>34</v>
      </c>
      <c r="V1105">
        <v>0</v>
      </c>
      <c r="W1105">
        <v>0</v>
      </c>
      <c r="X1105">
        <v>1</v>
      </c>
      <c r="Y1105">
        <v>0.16</v>
      </c>
      <c r="Z1105">
        <v>23</v>
      </c>
      <c r="AA1105">
        <v>0</v>
      </c>
      <c r="AB1105">
        <v>0</v>
      </c>
      <c r="AC1105">
        <v>0</v>
      </c>
      <c r="AD1105">
        <v>1</v>
      </c>
      <c r="AE1105">
        <v>0.05</v>
      </c>
      <c r="AF1105">
        <v>15</v>
      </c>
      <c r="AG1105">
        <v>0</v>
      </c>
      <c r="AH1105">
        <v>0</v>
      </c>
      <c r="AI1105">
        <v>0</v>
      </c>
      <c r="AJ1105">
        <v>1</v>
      </c>
      <c r="AK1105">
        <v>0.02</v>
      </c>
      <c r="AL1105">
        <v>16</v>
      </c>
      <c r="AM1105">
        <v>0</v>
      </c>
      <c r="AN1105">
        <v>0</v>
      </c>
      <c r="AO1105">
        <v>0</v>
      </c>
      <c r="AP1105">
        <v>1</v>
      </c>
      <c r="AQ1105">
        <v>0.01</v>
      </c>
      <c r="AX1105">
        <v>7</v>
      </c>
      <c r="AY1105" s="1">
        <v>18</v>
      </c>
      <c r="AZ1105">
        <v>0</v>
      </c>
      <c r="BA1105">
        <v>0</v>
      </c>
      <c r="BB1105">
        <v>1</v>
      </c>
      <c r="BC1105" s="7">
        <v>0.32</v>
      </c>
      <c r="BD1105">
        <v>30</v>
      </c>
      <c r="BE1105">
        <v>0</v>
      </c>
      <c r="BF1105">
        <v>0</v>
      </c>
      <c r="BG1105">
        <v>0</v>
      </c>
      <c r="BH1105">
        <v>5</v>
      </c>
      <c r="BI1105">
        <v>2.4</v>
      </c>
      <c r="BJ1105">
        <v>31</v>
      </c>
      <c r="BK1105">
        <v>0</v>
      </c>
      <c r="BL1105">
        <v>0</v>
      </c>
      <c r="BM1105">
        <v>0</v>
      </c>
      <c r="BN1105">
        <v>5</v>
      </c>
      <c r="BO1105">
        <v>2.4</v>
      </c>
      <c r="BP1105">
        <v>36</v>
      </c>
      <c r="BQ1105">
        <v>0</v>
      </c>
      <c r="BR1105">
        <v>0</v>
      </c>
      <c r="BS1105">
        <v>0</v>
      </c>
      <c r="BT1105">
        <v>5</v>
      </c>
      <c r="BU1105">
        <v>1.9</v>
      </c>
    </row>
    <row r="1106" spans="1:73" ht="14.25" x14ac:dyDescent="0.15">
      <c r="A1106" s="12">
        <v>20703</v>
      </c>
      <c r="B1106">
        <v>7</v>
      </c>
      <c r="C1106" s="1">
        <v>47</v>
      </c>
      <c r="D1106">
        <v>0</v>
      </c>
      <c r="E1106">
        <v>0</v>
      </c>
      <c r="F1106">
        <v>1</v>
      </c>
      <c r="G1106" s="7">
        <v>0.05</v>
      </c>
      <c r="H1106">
        <v>12</v>
      </c>
      <c r="I1106">
        <v>0</v>
      </c>
      <c r="J1106">
        <v>0</v>
      </c>
      <c r="K1106">
        <v>0</v>
      </c>
      <c r="L1106">
        <v>1</v>
      </c>
      <c r="M1106">
        <v>2</v>
      </c>
      <c r="N1106" s="7">
        <v>9</v>
      </c>
      <c r="O1106" s="7">
        <v>0</v>
      </c>
      <c r="P1106" s="7">
        <v>0</v>
      </c>
      <c r="Q1106" s="7">
        <v>0</v>
      </c>
      <c r="R1106" s="7">
        <v>1</v>
      </c>
      <c r="S1106" s="7">
        <v>4.5</v>
      </c>
      <c r="T1106">
        <v>7</v>
      </c>
      <c r="U1106" s="1">
        <v>35</v>
      </c>
      <c r="V1106">
        <v>0</v>
      </c>
      <c r="W1106">
        <v>0</v>
      </c>
      <c r="X1106">
        <v>1</v>
      </c>
      <c r="Y1106">
        <v>0.16</v>
      </c>
      <c r="Z1106">
        <v>23</v>
      </c>
      <c r="AA1106">
        <v>0</v>
      </c>
      <c r="AB1106">
        <v>0</v>
      </c>
      <c r="AC1106">
        <v>0</v>
      </c>
      <c r="AD1106">
        <v>1</v>
      </c>
      <c r="AE1106">
        <v>0.05</v>
      </c>
      <c r="AF1106">
        <v>15</v>
      </c>
      <c r="AG1106">
        <v>0</v>
      </c>
      <c r="AH1106">
        <v>0</v>
      </c>
      <c r="AI1106">
        <v>0</v>
      </c>
      <c r="AJ1106">
        <v>1</v>
      </c>
      <c r="AK1106">
        <v>0.02</v>
      </c>
      <c r="AL1106">
        <v>16</v>
      </c>
      <c r="AM1106">
        <v>0</v>
      </c>
      <c r="AN1106">
        <v>0</v>
      </c>
      <c r="AO1106">
        <v>0</v>
      </c>
      <c r="AP1106">
        <v>1</v>
      </c>
      <c r="AQ1106">
        <v>0.01</v>
      </c>
      <c r="AX1106">
        <v>7</v>
      </c>
      <c r="AY1106" s="1">
        <v>19</v>
      </c>
      <c r="AZ1106">
        <v>0</v>
      </c>
      <c r="BA1106">
        <v>0</v>
      </c>
      <c r="BB1106">
        <v>1</v>
      </c>
      <c r="BC1106" s="7">
        <v>0.32</v>
      </c>
      <c r="BD1106">
        <v>30</v>
      </c>
      <c r="BE1106">
        <v>0</v>
      </c>
      <c r="BF1106">
        <v>0</v>
      </c>
      <c r="BG1106">
        <v>0</v>
      </c>
      <c r="BH1106">
        <v>5</v>
      </c>
      <c r="BI1106">
        <v>2.4</v>
      </c>
      <c r="BJ1106">
        <v>31</v>
      </c>
      <c r="BK1106">
        <v>0</v>
      </c>
      <c r="BL1106">
        <v>0</v>
      </c>
      <c r="BM1106">
        <v>0</v>
      </c>
      <c r="BN1106">
        <v>5</v>
      </c>
      <c r="BO1106">
        <v>2.4</v>
      </c>
      <c r="BP1106">
        <v>36</v>
      </c>
      <c r="BQ1106">
        <v>0</v>
      </c>
      <c r="BR1106">
        <v>0</v>
      </c>
      <c r="BS1106">
        <v>0</v>
      </c>
      <c r="BT1106">
        <v>5</v>
      </c>
      <c r="BU1106">
        <v>1.9</v>
      </c>
    </row>
    <row r="1107" spans="1:73" ht="14.25" x14ac:dyDescent="0.15">
      <c r="A1107" s="12">
        <v>20704</v>
      </c>
      <c r="B1107">
        <v>7</v>
      </c>
      <c r="C1107" s="1">
        <v>48</v>
      </c>
      <c r="D1107">
        <v>0</v>
      </c>
      <c r="E1107">
        <v>0</v>
      </c>
      <c r="F1107">
        <v>1</v>
      </c>
      <c r="G1107" s="7">
        <v>0.05</v>
      </c>
      <c r="H1107">
        <v>12</v>
      </c>
      <c r="I1107">
        <v>0</v>
      </c>
      <c r="J1107">
        <v>0</v>
      </c>
      <c r="K1107">
        <v>0</v>
      </c>
      <c r="L1107">
        <v>1</v>
      </c>
      <c r="M1107">
        <v>2</v>
      </c>
      <c r="N1107" s="7">
        <v>9</v>
      </c>
      <c r="O1107" s="7">
        <v>0</v>
      </c>
      <c r="P1107" s="7">
        <v>0</v>
      </c>
      <c r="Q1107" s="7">
        <v>0</v>
      </c>
      <c r="R1107" s="7">
        <v>1</v>
      </c>
      <c r="S1107" s="7">
        <v>4.5</v>
      </c>
      <c r="T1107">
        <v>7</v>
      </c>
      <c r="U1107" s="1">
        <v>36</v>
      </c>
      <c r="V1107">
        <v>0</v>
      </c>
      <c r="W1107">
        <v>0</v>
      </c>
      <c r="X1107">
        <v>1</v>
      </c>
      <c r="Y1107">
        <v>0.16</v>
      </c>
      <c r="Z1107">
        <v>23</v>
      </c>
      <c r="AA1107">
        <v>0</v>
      </c>
      <c r="AB1107">
        <v>0</v>
      </c>
      <c r="AC1107">
        <v>0</v>
      </c>
      <c r="AD1107">
        <v>1</v>
      </c>
      <c r="AE1107">
        <v>0.05</v>
      </c>
      <c r="AF1107">
        <v>15</v>
      </c>
      <c r="AG1107">
        <v>0</v>
      </c>
      <c r="AH1107">
        <v>0</v>
      </c>
      <c r="AI1107">
        <v>0</v>
      </c>
      <c r="AJ1107">
        <v>1</v>
      </c>
      <c r="AK1107">
        <v>0.02</v>
      </c>
      <c r="AL1107">
        <v>16</v>
      </c>
      <c r="AM1107">
        <v>0</v>
      </c>
      <c r="AN1107">
        <v>0</v>
      </c>
      <c r="AO1107">
        <v>0</v>
      </c>
      <c r="AP1107">
        <v>1</v>
      </c>
      <c r="AQ1107">
        <v>0.01</v>
      </c>
      <c r="AX1107">
        <v>7</v>
      </c>
      <c r="AY1107" s="1">
        <v>20</v>
      </c>
      <c r="AZ1107">
        <v>0</v>
      </c>
      <c r="BA1107">
        <v>0</v>
      </c>
      <c r="BB1107">
        <v>1</v>
      </c>
      <c r="BC1107" s="7">
        <v>0.32</v>
      </c>
      <c r="BD1107">
        <v>30</v>
      </c>
      <c r="BE1107">
        <v>0</v>
      </c>
      <c r="BF1107">
        <v>0</v>
      </c>
      <c r="BG1107">
        <v>0</v>
      </c>
      <c r="BH1107">
        <v>5</v>
      </c>
      <c r="BI1107">
        <v>2.4</v>
      </c>
      <c r="BJ1107">
        <v>31</v>
      </c>
      <c r="BK1107">
        <v>0</v>
      </c>
      <c r="BL1107">
        <v>0</v>
      </c>
      <c r="BM1107">
        <v>0</v>
      </c>
      <c r="BN1107">
        <v>5</v>
      </c>
      <c r="BO1107">
        <v>2.4</v>
      </c>
      <c r="BP1107">
        <v>36</v>
      </c>
      <c r="BQ1107">
        <v>0</v>
      </c>
      <c r="BR1107">
        <v>0</v>
      </c>
      <c r="BS1107">
        <v>0</v>
      </c>
      <c r="BT1107">
        <v>5</v>
      </c>
      <c r="BU1107">
        <v>1.9</v>
      </c>
    </row>
    <row r="1108" spans="1:73" ht="14.25" x14ac:dyDescent="0.15">
      <c r="A1108" s="12">
        <v>20705</v>
      </c>
      <c r="B1108">
        <v>7</v>
      </c>
      <c r="C1108" s="1">
        <v>0</v>
      </c>
      <c r="D1108">
        <v>5</v>
      </c>
      <c r="E1108">
        <v>1</v>
      </c>
      <c r="F1108">
        <v>1</v>
      </c>
      <c r="G1108" s="7">
        <v>0.05</v>
      </c>
      <c r="H1108">
        <v>12</v>
      </c>
      <c r="I1108">
        <v>0</v>
      </c>
      <c r="J1108">
        <v>0</v>
      </c>
      <c r="K1108">
        <v>0</v>
      </c>
      <c r="L1108">
        <v>1</v>
      </c>
      <c r="M1108">
        <v>2</v>
      </c>
      <c r="N1108" s="7">
        <v>9</v>
      </c>
      <c r="O1108" s="7">
        <v>0</v>
      </c>
      <c r="P1108" s="7">
        <v>0</v>
      </c>
      <c r="Q1108" s="7">
        <v>0</v>
      </c>
      <c r="R1108" s="7">
        <v>1</v>
      </c>
      <c r="S1108" s="7">
        <v>4.5</v>
      </c>
      <c r="T1108">
        <v>7</v>
      </c>
      <c r="U1108" s="1">
        <v>0</v>
      </c>
      <c r="V1108">
        <v>4</v>
      </c>
      <c r="W1108">
        <v>2</v>
      </c>
      <c r="X1108">
        <v>1</v>
      </c>
      <c r="Y1108">
        <v>0.16</v>
      </c>
      <c r="Z1108">
        <v>23</v>
      </c>
      <c r="AA1108">
        <v>0</v>
      </c>
      <c r="AB1108">
        <v>0</v>
      </c>
      <c r="AC1108">
        <v>0</v>
      </c>
      <c r="AD1108">
        <v>1</v>
      </c>
      <c r="AE1108">
        <v>0.05</v>
      </c>
      <c r="AF1108">
        <v>15</v>
      </c>
      <c r="AG1108">
        <v>0</v>
      </c>
      <c r="AH1108">
        <v>0</v>
      </c>
      <c r="AI1108">
        <v>0</v>
      </c>
      <c r="AJ1108">
        <v>1</v>
      </c>
      <c r="AK1108">
        <v>0.02</v>
      </c>
      <c r="AL1108">
        <v>16</v>
      </c>
      <c r="AM1108">
        <v>0</v>
      </c>
      <c r="AN1108">
        <v>0</v>
      </c>
      <c r="AO1108">
        <v>0</v>
      </c>
      <c r="AP1108">
        <v>1</v>
      </c>
      <c r="AQ1108">
        <v>0.01</v>
      </c>
      <c r="AR1108">
        <v>6</v>
      </c>
      <c r="AS1108">
        <v>2</v>
      </c>
      <c r="AT1108">
        <v>1</v>
      </c>
      <c r="AU1108">
        <v>5</v>
      </c>
      <c r="AV1108">
        <v>1</v>
      </c>
      <c r="AW1108">
        <v>0.05</v>
      </c>
      <c r="AX1108">
        <v>7</v>
      </c>
      <c r="AY1108" s="1">
        <v>0</v>
      </c>
      <c r="AZ1108">
        <v>3</v>
      </c>
      <c r="BA1108">
        <v>1</v>
      </c>
      <c r="BB1108">
        <v>1</v>
      </c>
      <c r="BC1108" s="7">
        <v>0.32</v>
      </c>
      <c r="BD1108">
        <v>30</v>
      </c>
      <c r="BE1108">
        <v>0</v>
      </c>
      <c r="BF1108">
        <v>0</v>
      </c>
      <c r="BG1108">
        <v>0</v>
      </c>
      <c r="BH1108">
        <v>5</v>
      </c>
      <c r="BI1108">
        <v>2.4</v>
      </c>
      <c r="BJ1108">
        <v>31</v>
      </c>
      <c r="BK1108">
        <v>0</v>
      </c>
      <c r="BL1108">
        <v>0</v>
      </c>
      <c r="BM1108">
        <v>0</v>
      </c>
      <c r="BN1108">
        <v>5</v>
      </c>
      <c r="BO1108">
        <v>2.4</v>
      </c>
      <c r="BP1108">
        <v>36</v>
      </c>
      <c r="BQ1108">
        <v>0</v>
      </c>
      <c r="BR1108">
        <v>0</v>
      </c>
      <c r="BS1108">
        <v>0</v>
      </c>
      <c r="BT1108">
        <v>5</v>
      </c>
      <c r="BU1108">
        <v>1.9</v>
      </c>
    </row>
    <row r="1109" spans="1:73" ht="14.25" x14ac:dyDescent="0.15">
      <c r="A1109" s="12">
        <v>20706</v>
      </c>
      <c r="B1109">
        <v>7</v>
      </c>
      <c r="C1109" s="1">
        <v>45</v>
      </c>
      <c r="D1109">
        <v>0</v>
      </c>
      <c r="E1109">
        <v>0</v>
      </c>
      <c r="F1109">
        <v>1</v>
      </c>
      <c r="G1109" s="7">
        <v>0.05</v>
      </c>
      <c r="H1109">
        <v>12</v>
      </c>
      <c r="I1109">
        <v>0</v>
      </c>
      <c r="J1109">
        <v>0</v>
      </c>
      <c r="K1109">
        <v>0</v>
      </c>
      <c r="L1109">
        <v>1</v>
      </c>
      <c r="M1109">
        <v>2</v>
      </c>
      <c r="N1109" s="7">
        <v>9</v>
      </c>
      <c r="O1109" s="7">
        <v>0</v>
      </c>
      <c r="P1109" s="7">
        <v>0</v>
      </c>
      <c r="Q1109" s="7">
        <v>0</v>
      </c>
      <c r="R1109" s="7">
        <v>1</v>
      </c>
      <c r="S1109" s="7">
        <v>4.5</v>
      </c>
      <c r="T1109">
        <v>7</v>
      </c>
      <c r="U1109" s="1">
        <v>33</v>
      </c>
      <c r="V1109">
        <v>0</v>
      </c>
      <c r="W1109">
        <v>0</v>
      </c>
      <c r="X1109">
        <v>1</v>
      </c>
      <c r="Y1109">
        <v>0.16</v>
      </c>
      <c r="Z1109">
        <v>23</v>
      </c>
      <c r="AA1109">
        <v>0</v>
      </c>
      <c r="AB1109">
        <v>0</v>
      </c>
      <c r="AC1109">
        <v>0</v>
      </c>
      <c r="AD1109">
        <v>1</v>
      </c>
      <c r="AE1109">
        <v>0.05</v>
      </c>
      <c r="AF1109">
        <v>15</v>
      </c>
      <c r="AG1109">
        <v>0</v>
      </c>
      <c r="AH1109">
        <v>0</v>
      </c>
      <c r="AI1109">
        <v>0</v>
      </c>
      <c r="AJ1109">
        <v>1</v>
      </c>
      <c r="AK1109">
        <v>0.02</v>
      </c>
      <c r="AL1109">
        <v>16</v>
      </c>
      <c r="AM1109">
        <v>0</v>
      </c>
      <c r="AN1109">
        <v>0</v>
      </c>
      <c r="AO1109">
        <v>0</v>
      </c>
      <c r="AP1109">
        <v>1</v>
      </c>
      <c r="AQ1109">
        <v>0.01</v>
      </c>
      <c r="AX1109">
        <v>7</v>
      </c>
      <c r="AY1109" s="1">
        <v>17</v>
      </c>
      <c r="AZ1109">
        <v>0</v>
      </c>
      <c r="BA1109">
        <v>0</v>
      </c>
      <c r="BB1109">
        <v>1</v>
      </c>
      <c r="BC1109" s="7">
        <v>0.32</v>
      </c>
      <c r="BD1109">
        <v>30</v>
      </c>
      <c r="BE1109">
        <v>0</v>
      </c>
      <c r="BF1109">
        <v>0</v>
      </c>
      <c r="BG1109">
        <v>0</v>
      </c>
      <c r="BH1109">
        <v>5</v>
      </c>
      <c r="BI1109">
        <v>2.4</v>
      </c>
      <c r="BJ1109">
        <v>31</v>
      </c>
      <c r="BK1109">
        <v>0</v>
      </c>
      <c r="BL1109">
        <v>0</v>
      </c>
      <c r="BM1109">
        <v>0</v>
      </c>
      <c r="BN1109">
        <v>5</v>
      </c>
      <c r="BO1109">
        <v>2.4</v>
      </c>
      <c r="BP1109">
        <v>36</v>
      </c>
      <c r="BQ1109">
        <v>0</v>
      </c>
      <c r="BR1109">
        <v>0</v>
      </c>
      <c r="BS1109">
        <v>0</v>
      </c>
      <c r="BT1109">
        <v>5</v>
      </c>
      <c r="BU1109">
        <v>1.9</v>
      </c>
    </row>
    <row r="1110" spans="1:73" ht="14.25" x14ac:dyDescent="0.15">
      <c r="A1110" s="12">
        <v>20707</v>
      </c>
      <c r="B1110">
        <v>7</v>
      </c>
      <c r="C1110" s="1">
        <v>46</v>
      </c>
      <c r="D1110">
        <v>0</v>
      </c>
      <c r="E1110">
        <v>0</v>
      </c>
      <c r="F1110">
        <v>1</v>
      </c>
      <c r="G1110" s="7">
        <v>0.05</v>
      </c>
      <c r="H1110">
        <v>12</v>
      </c>
      <c r="I1110">
        <v>0</v>
      </c>
      <c r="J1110">
        <v>0</v>
      </c>
      <c r="K1110">
        <v>0</v>
      </c>
      <c r="L1110">
        <v>1</v>
      </c>
      <c r="M1110">
        <v>2</v>
      </c>
      <c r="N1110" s="7">
        <v>9</v>
      </c>
      <c r="O1110" s="7">
        <v>0</v>
      </c>
      <c r="P1110" s="7">
        <v>0</v>
      </c>
      <c r="Q1110" s="7">
        <v>0</v>
      </c>
      <c r="R1110" s="7">
        <v>1</v>
      </c>
      <c r="S1110" s="7">
        <v>4.5</v>
      </c>
      <c r="T1110">
        <v>7</v>
      </c>
      <c r="U1110" s="1">
        <v>34</v>
      </c>
      <c r="V1110">
        <v>0</v>
      </c>
      <c r="W1110">
        <v>0</v>
      </c>
      <c r="X1110">
        <v>1</v>
      </c>
      <c r="Y1110">
        <v>0.16</v>
      </c>
      <c r="Z1110">
        <v>23</v>
      </c>
      <c r="AA1110">
        <v>0</v>
      </c>
      <c r="AB1110">
        <v>0</v>
      </c>
      <c r="AC1110">
        <v>0</v>
      </c>
      <c r="AD1110">
        <v>1</v>
      </c>
      <c r="AE1110">
        <v>0.05</v>
      </c>
      <c r="AF1110">
        <v>15</v>
      </c>
      <c r="AG1110">
        <v>0</v>
      </c>
      <c r="AH1110">
        <v>0</v>
      </c>
      <c r="AI1110">
        <v>0</v>
      </c>
      <c r="AJ1110">
        <v>1</v>
      </c>
      <c r="AK1110">
        <v>0.02</v>
      </c>
      <c r="AL1110">
        <v>16</v>
      </c>
      <c r="AM1110">
        <v>0</v>
      </c>
      <c r="AN1110">
        <v>0</v>
      </c>
      <c r="AO1110">
        <v>0</v>
      </c>
      <c r="AP1110">
        <v>1</v>
      </c>
      <c r="AQ1110">
        <v>0.01</v>
      </c>
      <c r="AX1110">
        <v>7</v>
      </c>
      <c r="AY1110" s="1">
        <v>18</v>
      </c>
      <c r="AZ1110">
        <v>0</v>
      </c>
      <c r="BA1110">
        <v>0</v>
      </c>
      <c r="BB1110">
        <v>1</v>
      </c>
      <c r="BC1110" s="7">
        <v>0.32</v>
      </c>
      <c r="BD1110">
        <v>30</v>
      </c>
      <c r="BE1110">
        <v>0</v>
      </c>
      <c r="BF1110">
        <v>0</v>
      </c>
      <c r="BG1110">
        <v>0</v>
      </c>
      <c r="BH1110">
        <v>5</v>
      </c>
      <c r="BI1110">
        <v>2.4</v>
      </c>
      <c r="BJ1110">
        <v>31</v>
      </c>
      <c r="BK1110">
        <v>0</v>
      </c>
      <c r="BL1110">
        <v>0</v>
      </c>
      <c r="BM1110">
        <v>0</v>
      </c>
      <c r="BN1110">
        <v>5</v>
      </c>
      <c r="BO1110">
        <v>2.4</v>
      </c>
      <c r="BP1110">
        <v>36</v>
      </c>
      <c r="BQ1110">
        <v>0</v>
      </c>
      <c r="BR1110">
        <v>0</v>
      </c>
      <c r="BS1110">
        <v>0</v>
      </c>
      <c r="BT1110">
        <v>5</v>
      </c>
      <c r="BU1110">
        <v>1.9</v>
      </c>
    </row>
    <row r="1111" spans="1:73" ht="14.25" x14ac:dyDescent="0.15">
      <c r="A1111" s="12">
        <v>20708</v>
      </c>
      <c r="B1111">
        <v>7</v>
      </c>
      <c r="C1111" s="1">
        <v>47</v>
      </c>
      <c r="D1111">
        <v>0</v>
      </c>
      <c r="E1111">
        <v>0</v>
      </c>
      <c r="F1111">
        <v>1</v>
      </c>
      <c r="G1111" s="7">
        <v>0.05</v>
      </c>
      <c r="H1111">
        <v>12</v>
      </c>
      <c r="I1111">
        <v>0</v>
      </c>
      <c r="J1111">
        <v>0</v>
      </c>
      <c r="K1111">
        <v>0</v>
      </c>
      <c r="L1111">
        <v>1</v>
      </c>
      <c r="M1111">
        <v>2</v>
      </c>
      <c r="N1111" s="7">
        <v>9</v>
      </c>
      <c r="O1111" s="7">
        <v>0</v>
      </c>
      <c r="P1111" s="7">
        <v>0</v>
      </c>
      <c r="Q1111" s="7">
        <v>0</v>
      </c>
      <c r="R1111" s="7">
        <v>1</v>
      </c>
      <c r="S1111" s="7">
        <v>4.5</v>
      </c>
      <c r="T1111">
        <v>7</v>
      </c>
      <c r="U1111" s="1">
        <v>35</v>
      </c>
      <c r="V1111">
        <v>0</v>
      </c>
      <c r="W1111">
        <v>0</v>
      </c>
      <c r="X1111">
        <v>1</v>
      </c>
      <c r="Y1111">
        <v>0.16</v>
      </c>
      <c r="Z1111">
        <v>23</v>
      </c>
      <c r="AA1111">
        <v>0</v>
      </c>
      <c r="AB1111">
        <v>0</v>
      </c>
      <c r="AC1111">
        <v>0</v>
      </c>
      <c r="AD1111">
        <v>1</v>
      </c>
      <c r="AE1111">
        <v>0.05</v>
      </c>
      <c r="AF1111">
        <v>15</v>
      </c>
      <c r="AG1111">
        <v>0</v>
      </c>
      <c r="AH1111">
        <v>0</v>
      </c>
      <c r="AI1111">
        <v>0</v>
      </c>
      <c r="AJ1111">
        <v>1</v>
      </c>
      <c r="AK1111">
        <v>0.02</v>
      </c>
      <c r="AL1111">
        <v>16</v>
      </c>
      <c r="AM1111">
        <v>0</v>
      </c>
      <c r="AN1111">
        <v>0</v>
      </c>
      <c r="AO1111">
        <v>0</v>
      </c>
      <c r="AP1111">
        <v>1</v>
      </c>
      <c r="AQ1111">
        <v>0.01</v>
      </c>
      <c r="AX1111">
        <v>7</v>
      </c>
      <c r="AY1111" s="1">
        <v>19</v>
      </c>
      <c r="AZ1111">
        <v>0</v>
      </c>
      <c r="BA1111">
        <v>0</v>
      </c>
      <c r="BB1111">
        <v>1</v>
      </c>
      <c r="BC1111" s="7">
        <v>0.32</v>
      </c>
      <c r="BD1111">
        <v>30</v>
      </c>
      <c r="BE1111">
        <v>0</v>
      </c>
      <c r="BF1111">
        <v>0</v>
      </c>
      <c r="BG1111">
        <v>0</v>
      </c>
      <c r="BH1111">
        <v>5</v>
      </c>
      <c r="BI1111">
        <v>2.4</v>
      </c>
      <c r="BJ1111">
        <v>31</v>
      </c>
      <c r="BK1111">
        <v>0</v>
      </c>
      <c r="BL1111">
        <v>0</v>
      </c>
      <c r="BM1111">
        <v>0</v>
      </c>
      <c r="BN1111">
        <v>5</v>
      </c>
      <c r="BO1111">
        <v>2.4</v>
      </c>
      <c r="BP1111">
        <v>36</v>
      </c>
      <c r="BQ1111">
        <v>0</v>
      </c>
      <c r="BR1111">
        <v>0</v>
      </c>
      <c r="BS1111">
        <v>0</v>
      </c>
      <c r="BT1111">
        <v>5</v>
      </c>
      <c r="BU1111">
        <v>1.9</v>
      </c>
    </row>
    <row r="1112" spans="1:73" ht="14.25" x14ac:dyDescent="0.15">
      <c r="A1112" s="12">
        <v>20709</v>
      </c>
      <c r="B1112">
        <v>7</v>
      </c>
      <c r="C1112" s="1">
        <v>48</v>
      </c>
      <c r="D1112">
        <v>0</v>
      </c>
      <c r="E1112">
        <v>0</v>
      </c>
      <c r="F1112">
        <v>1</v>
      </c>
      <c r="G1112" s="7">
        <v>0.05</v>
      </c>
      <c r="H1112">
        <v>12</v>
      </c>
      <c r="I1112">
        <v>0</v>
      </c>
      <c r="J1112">
        <v>0</v>
      </c>
      <c r="K1112">
        <v>0</v>
      </c>
      <c r="L1112">
        <v>1</v>
      </c>
      <c r="M1112">
        <v>2</v>
      </c>
      <c r="N1112" s="7">
        <v>9</v>
      </c>
      <c r="O1112" s="7">
        <v>0</v>
      </c>
      <c r="P1112" s="7">
        <v>0</v>
      </c>
      <c r="Q1112" s="7">
        <v>0</v>
      </c>
      <c r="R1112" s="7">
        <v>1</v>
      </c>
      <c r="S1112" s="7">
        <v>4.5</v>
      </c>
      <c r="T1112">
        <v>7</v>
      </c>
      <c r="U1112" s="1">
        <v>36</v>
      </c>
      <c r="V1112">
        <v>0</v>
      </c>
      <c r="W1112">
        <v>0</v>
      </c>
      <c r="X1112">
        <v>1</v>
      </c>
      <c r="Y1112">
        <v>0.16</v>
      </c>
      <c r="Z1112">
        <v>23</v>
      </c>
      <c r="AA1112">
        <v>0</v>
      </c>
      <c r="AB1112">
        <v>0</v>
      </c>
      <c r="AC1112">
        <v>0</v>
      </c>
      <c r="AD1112">
        <v>1</v>
      </c>
      <c r="AE1112">
        <v>0.05</v>
      </c>
      <c r="AF1112">
        <v>15</v>
      </c>
      <c r="AG1112">
        <v>0</v>
      </c>
      <c r="AH1112">
        <v>0</v>
      </c>
      <c r="AI1112">
        <v>0</v>
      </c>
      <c r="AJ1112">
        <v>1</v>
      </c>
      <c r="AK1112">
        <v>0.02</v>
      </c>
      <c r="AL1112">
        <v>16</v>
      </c>
      <c r="AM1112">
        <v>0</v>
      </c>
      <c r="AN1112">
        <v>0</v>
      </c>
      <c r="AO1112">
        <v>0</v>
      </c>
      <c r="AP1112">
        <v>1</v>
      </c>
      <c r="AQ1112">
        <v>0.01</v>
      </c>
      <c r="AX1112">
        <v>7</v>
      </c>
      <c r="AY1112" s="1">
        <v>20</v>
      </c>
      <c r="AZ1112">
        <v>0</v>
      </c>
      <c r="BA1112">
        <v>0</v>
      </c>
      <c r="BB1112">
        <v>1</v>
      </c>
      <c r="BC1112" s="7">
        <v>0.32</v>
      </c>
      <c r="BD1112">
        <v>30</v>
      </c>
      <c r="BE1112">
        <v>0</v>
      </c>
      <c r="BF1112">
        <v>0</v>
      </c>
      <c r="BG1112">
        <v>0</v>
      </c>
      <c r="BH1112">
        <v>5</v>
      </c>
      <c r="BI1112">
        <v>2.4</v>
      </c>
      <c r="BJ1112">
        <v>31</v>
      </c>
      <c r="BK1112">
        <v>0</v>
      </c>
      <c r="BL1112">
        <v>0</v>
      </c>
      <c r="BM1112">
        <v>0</v>
      </c>
      <c r="BN1112">
        <v>5</v>
      </c>
      <c r="BO1112">
        <v>2.4</v>
      </c>
      <c r="BP1112">
        <v>36</v>
      </c>
      <c r="BQ1112">
        <v>0</v>
      </c>
      <c r="BR1112">
        <v>0</v>
      </c>
      <c r="BS1112">
        <v>0</v>
      </c>
      <c r="BT1112">
        <v>5</v>
      </c>
      <c r="BU1112">
        <v>1.9</v>
      </c>
    </row>
    <row r="1113" spans="1:73" ht="14.25" x14ac:dyDescent="0.15">
      <c r="A1113" s="12">
        <v>20710</v>
      </c>
      <c r="B1113">
        <v>7</v>
      </c>
      <c r="C1113" s="1">
        <v>0</v>
      </c>
      <c r="D1113">
        <v>5</v>
      </c>
      <c r="E1113">
        <v>1</v>
      </c>
      <c r="F1113">
        <v>1</v>
      </c>
      <c r="G1113" s="7">
        <v>0.05</v>
      </c>
      <c r="H1113">
        <v>12</v>
      </c>
      <c r="I1113">
        <v>0</v>
      </c>
      <c r="J1113">
        <v>0</v>
      </c>
      <c r="K1113">
        <v>0</v>
      </c>
      <c r="L1113">
        <v>1</v>
      </c>
      <c r="M1113">
        <v>2</v>
      </c>
      <c r="N1113" s="7">
        <v>9</v>
      </c>
      <c r="O1113" s="7">
        <v>0</v>
      </c>
      <c r="P1113" s="7">
        <v>0</v>
      </c>
      <c r="Q1113" s="7">
        <v>0</v>
      </c>
      <c r="R1113" s="7">
        <v>1</v>
      </c>
      <c r="S1113" s="7">
        <v>4.5</v>
      </c>
      <c r="T1113">
        <v>7</v>
      </c>
      <c r="U1113" s="1">
        <v>0</v>
      </c>
      <c r="V1113">
        <v>4</v>
      </c>
      <c r="W1113">
        <v>2</v>
      </c>
      <c r="X1113">
        <v>1</v>
      </c>
      <c r="Y1113">
        <v>0.16</v>
      </c>
      <c r="Z1113">
        <v>23</v>
      </c>
      <c r="AA1113">
        <v>0</v>
      </c>
      <c r="AB1113">
        <v>0</v>
      </c>
      <c r="AC1113">
        <v>0</v>
      </c>
      <c r="AD1113">
        <v>1</v>
      </c>
      <c r="AE1113">
        <v>0.05</v>
      </c>
      <c r="AF1113">
        <v>15</v>
      </c>
      <c r="AG1113">
        <v>0</v>
      </c>
      <c r="AH1113">
        <v>0</v>
      </c>
      <c r="AI1113">
        <v>0</v>
      </c>
      <c r="AJ1113">
        <v>1</v>
      </c>
      <c r="AK1113">
        <v>0.02</v>
      </c>
      <c r="AL1113">
        <v>16</v>
      </c>
      <c r="AM1113">
        <v>0</v>
      </c>
      <c r="AN1113">
        <v>0</v>
      </c>
      <c r="AO1113">
        <v>0</v>
      </c>
      <c r="AP1113">
        <v>1</v>
      </c>
      <c r="AQ1113">
        <v>0.01</v>
      </c>
      <c r="AR1113">
        <v>6</v>
      </c>
      <c r="AS1113">
        <v>2</v>
      </c>
      <c r="AT1113">
        <v>2</v>
      </c>
      <c r="AU1113">
        <v>5</v>
      </c>
      <c r="AV1113">
        <v>1</v>
      </c>
      <c r="AW1113">
        <v>0.05</v>
      </c>
      <c r="AX1113">
        <v>7</v>
      </c>
      <c r="AY1113" s="1">
        <v>0</v>
      </c>
      <c r="AZ1113">
        <v>3</v>
      </c>
      <c r="BA1113">
        <v>1</v>
      </c>
      <c r="BB1113">
        <v>1</v>
      </c>
      <c r="BC1113" s="7">
        <v>0.32</v>
      </c>
      <c r="BD1113">
        <v>30</v>
      </c>
      <c r="BE1113">
        <v>0</v>
      </c>
      <c r="BF1113">
        <v>0</v>
      </c>
      <c r="BG1113">
        <v>0</v>
      </c>
      <c r="BH1113">
        <v>5</v>
      </c>
      <c r="BI1113">
        <v>2.4</v>
      </c>
      <c r="BJ1113">
        <v>31</v>
      </c>
      <c r="BK1113">
        <v>0</v>
      </c>
      <c r="BL1113">
        <v>0</v>
      </c>
      <c r="BM1113">
        <v>0</v>
      </c>
      <c r="BN1113">
        <v>5</v>
      </c>
      <c r="BO1113">
        <v>2.4</v>
      </c>
      <c r="BP1113">
        <v>36</v>
      </c>
      <c r="BQ1113">
        <v>0</v>
      </c>
      <c r="BR1113">
        <v>0</v>
      </c>
      <c r="BS1113">
        <v>0</v>
      </c>
      <c r="BT1113">
        <v>5</v>
      </c>
      <c r="BU1113">
        <v>1.9</v>
      </c>
    </row>
    <row r="1114" spans="1:73" ht="14.25" x14ac:dyDescent="0.15">
      <c r="A1114" s="12">
        <v>20711</v>
      </c>
      <c r="B1114">
        <v>7</v>
      </c>
      <c r="C1114" s="1">
        <v>45</v>
      </c>
      <c r="D1114">
        <v>0</v>
      </c>
      <c r="E1114">
        <v>0</v>
      </c>
      <c r="F1114">
        <v>1</v>
      </c>
      <c r="G1114" s="7">
        <v>0.05</v>
      </c>
      <c r="H1114">
        <v>12</v>
      </c>
      <c r="I1114">
        <v>0</v>
      </c>
      <c r="J1114">
        <v>0</v>
      </c>
      <c r="K1114">
        <v>0</v>
      </c>
      <c r="L1114">
        <v>1</v>
      </c>
      <c r="M1114">
        <v>2</v>
      </c>
      <c r="N1114" s="7">
        <v>9</v>
      </c>
      <c r="O1114" s="7">
        <v>0</v>
      </c>
      <c r="P1114" s="7">
        <v>0</v>
      </c>
      <c r="Q1114" s="7">
        <v>0</v>
      </c>
      <c r="R1114" s="7">
        <v>1</v>
      </c>
      <c r="S1114" s="7">
        <v>4.5</v>
      </c>
      <c r="T1114">
        <v>7</v>
      </c>
      <c r="U1114" s="1">
        <v>33</v>
      </c>
      <c r="V1114">
        <v>0</v>
      </c>
      <c r="W1114">
        <v>0</v>
      </c>
      <c r="X1114">
        <v>1</v>
      </c>
      <c r="Y1114">
        <v>0.16</v>
      </c>
      <c r="Z1114">
        <v>23</v>
      </c>
      <c r="AA1114">
        <v>0</v>
      </c>
      <c r="AB1114">
        <v>0</v>
      </c>
      <c r="AC1114">
        <v>0</v>
      </c>
      <c r="AD1114">
        <v>1</v>
      </c>
      <c r="AE1114">
        <v>0.05</v>
      </c>
      <c r="AF1114">
        <v>15</v>
      </c>
      <c r="AG1114">
        <v>0</v>
      </c>
      <c r="AH1114">
        <v>0</v>
      </c>
      <c r="AI1114">
        <v>0</v>
      </c>
      <c r="AJ1114">
        <v>1</v>
      </c>
      <c r="AK1114">
        <v>0.02</v>
      </c>
      <c r="AL1114">
        <v>16</v>
      </c>
      <c r="AM1114">
        <v>0</v>
      </c>
      <c r="AN1114">
        <v>0</v>
      </c>
      <c r="AO1114">
        <v>0</v>
      </c>
      <c r="AP1114">
        <v>1</v>
      </c>
      <c r="AQ1114">
        <v>0.01</v>
      </c>
      <c r="AX1114">
        <v>7</v>
      </c>
      <c r="AY1114" s="1">
        <v>17</v>
      </c>
      <c r="AZ1114">
        <v>0</v>
      </c>
      <c r="BA1114">
        <v>0</v>
      </c>
      <c r="BB1114">
        <v>1</v>
      </c>
      <c r="BC1114" s="7">
        <v>0.32</v>
      </c>
      <c r="BD1114">
        <v>30</v>
      </c>
      <c r="BE1114">
        <v>0</v>
      </c>
      <c r="BF1114">
        <v>0</v>
      </c>
      <c r="BG1114">
        <v>0</v>
      </c>
      <c r="BH1114">
        <v>5</v>
      </c>
      <c r="BI1114">
        <v>2.4</v>
      </c>
      <c r="BJ1114">
        <v>31</v>
      </c>
      <c r="BK1114">
        <v>0</v>
      </c>
      <c r="BL1114">
        <v>0</v>
      </c>
      <c r="BM1114">
        <v>0</v>
      </c>
      <c r="BN1114">
        <v>5</v>
      </c>
      <c r="BO1114">
        <v>2.4</v>
      </c>
      <c r="BP1114">
        <v>36</v>
      </c>
      <c r="BQ1114">
        <v>0</v>
      </c>
      <c r="BR1114">
        <v>0</v>
      </c>
      <c r="BS1114">
        <v>0</v>
      </c>
      <c r="BT1114">
        <v>5</v>
      </c>
      <c r="BU1114">
        <v>1.9</v>
      </c>
    </row>
    <row r="1115" spans="1:73" ht="14.25" x14ac:dyDescent="0.15">
      <c r="A1115" s="12">
        <v>20712</v>
      </c>
      <c r="B1115">
        <v>7</v>
      </c>
      <c r="C1115" s="1">
        <v>46</v>
      </c>
      <c r="D1115">
        <v>0</v>
      </c>
      <c r="E1115">
        <v>0</v>
      </c>
      <c r="F1115">
        <v>1</v>
      </c>
      <c r="G1115" s="7">
        <v>0.05</v>
      </c>
      <c r="H1115">
        <v>12</v>
      </c>
      <c r="I1115">
        <v>0</v>
      </c>
      <c r="J1115">
        <v>0</v>
      </c>
      <c r="K1115">
        <v>0</v>
      </c>
      <c r="L1115">
        <v>1</v>
      </c>
      <c r="M1115">
        <v>2</v>
      </c>
      <c r="N1115" s="7">
        <v>9</v>
      </c>
      <c r="O1115" s="7">
        <v>0</v>
      </c>
      <c r="P1115" s="7">
        <v>0</v>
      </c>
      <c r="Q1115" s="7">
        <v>0</v>
      </c>
      <c r="R1115" s="7">
        <v>1</v>
      </c>
      <c r="S1115" s="7">
        <v>4.5</v>
      </c>
      <c r="T1115">
        <v>7</v>
      </c>
      <c r="U1115" s="1">
        <v>34</v>
      </c>
      <c r="V1115">
        <v>0</v>
      </c>
      <c r="W1115">
        <v>0</v>
      </c>
      <c r="X1115">
        <v>1</v>
      </c>
      <c r="Y1115">
        <v>0.16</v>
      </c>
      <c r="Z1115">
        <v>23</v>
      </c>
      <c r="AA1115">
        <v>0</v>
      </c>
      <c r="AB1115">
        <v>0</v>
      </c>
      <c r="AC1115">
        <v>0</v>
      </c>
      <c r="AD1115">
        <v>1</v>
      </c>
      <c r="AE1115">
        <v>0.05</v>
      </c>
      <c r="AF1115">
        <v>15</v>
      </c>
      <c r="AG1115">
        <v>0</v>
      </c>
      <c r="AH1115">
        <v>0</v>
      </c>
      <c r="AI1115">
        <v>0</v>
      </c>
      <c r="AJ1115">
        <v>1</v>
      </c>
      <c r="AK1115">
        <v>0.02</v>
      </c>
      <c r="AL1115">
        <v>16</v>
      </c>
      <c r="AM1115">
        <v>0</v>
      </c>
      <c r="AN1115">
        <v>0</v>
      </c>
      <c r="AO1115">
        <v>0</v>
      </c>
      <c r="AP1115">
        <v>1</v>
      </c>
      <c r="AQ1115">
        <v>0.01</v>
      </c>
      <c r="AX1115">
        <v>7</v>
      </c>
      <c r="AY1115" s="1">
        <v>18</v>
      </c>
      <c r="AZ1115">
        <v>0</v>
      </c>
      <c r="BA1115">
        <v>0</v>
      </c>
      <c r="BB1115">
        <v>1</v>
      </c>
      <c r="BC1115" s="7">
        <v>0.32</v>
      </c>
      <c r="BD1115">
        <v>30</v>
      </c>
      <c r="BE1115">
        <v>0</v>
      </c>
      <c r="BF1115">
        <v>0</v>
      </c>
      <c r="BG1115">
        <v>0</v>
      </c>
      <c r="BH1115">
        <v>5</v>
      </c>
      <c r="BI1115">
        <v>2.4</v>
      </c>
      <c r="BJ1115">
        <v>31</v>
      </c>
      <c r="BK1115">
        <v>0</v>
      </c>
      <c r="BL1115">
        <v>0</v>
      </c>
      <c r="BM1115">
        <v>0</v>
      </c>
      <c r="BN1115">
        <v>5</v>
      </c>
      <c r="BO1115">
        <v>2.4</v>
      </c>
      <c r="BP1115">
        <v>36</v>
      </c>
      <c r="BQ1115">
        <v>0</v>
      </c>
      <c r="BR1115">
        <v>0</v>
      </c>
      <c r="BS1115">
        <v>0</v>
      </c>
      <c r="BT1115">
        <v>5</v>
      </c>
      <c r="BU1115">
        <v>1.9</v>
      </c>
    </row>
    <row r="1116" spans="1:73" ht="14.25" x14ac:dyDescent="0.15">
      <c r="A1116" s="12">
        <v>20713</v>
      </c>
      <c r="B1116">
        <v>7</v>
      </c>
      <c r="C1116" s="1">
        <v>47</v>
      </c>
      <c r="D1116">
        <v>0</v>
      </c>
      <c r="E1116">
        <v>0</v>
      </c>
      <c r="F1116">
        <v>1</v>
      </c>
      <c r="G1116" s="7">
        <v>0.05</v>
      </c>
      <c r="H1116">
        <v>12</v>
      </c>
      <c r="I1116">
        <v>0</v>
      </c>
      <c r="J1116">
        <v>0</v>
      </c>
      <c r="K1116">
        <v>0</v>
      </c>
      <c r="L1116">
        <v>1</v>
      </c>
      <c r="M1116">
        <v>2</v>
      </c>
      <c r="N1116" s="7">
        <v>9</v>
      </c>
      <c r="O1116" s="7">
        <v>0</v>
      </c>
      <c r="P1116" s="7">
        <v>0</v>
      </c>
      <c r="Q1116" s="7">
        <v>0</v>
      </c>
      <c r="R1116" s="7">
        <v>1</v>
      </c>
      <c r="S1116" s="7">
        <v>4.5</v>
      </c>
      <c r="T1116">
        <v>7</v>
      </c>
      <c r="U1116" s="1">
        <v>35</v>
      </c>
      <c r="V1116">
        <v>0</v>
      </c>
      <c r="W1116">
        <v>0</v>
      </c>
      <c r="X1116">
        <v>1</v>
      </c>
      <c r="Y1116">
        <v>0.16</v>
      </c>
      <c r="Z1116">
        <v>23</v>
      </c>
      <c r="AA1116">
        <v>0</v>
      </c>
      <c r="AB1116">
        <v>0</v>
      </c>
      <c r="AC1116">
        <v>0</v>
      </c>
      <c r="AD1116">
        <v>1</v>
      </c>
      <c r="AE1116">
        <v>0.05</v>
      </c>
      <c r="AF1116">
        <v>15</v>
      </c>
      <c r="AG1116">
        <v>0</v>
      </c>
      <c r="AH1116">
        <v>0</v>
      </c>
      <c r="AI1116">
        <v>0</v>
      </c>
      <c r="AJ1116">
        <v>1</v>
      </c>
      <c r="AK1116">
        <v>0.02</v>
      </c>
      <c r="AL1116">
        <v>16</v>
      </c>
      <c r="AM1116">
        <v>0</v>
      </c>
      <c r="AN1116">
        <v>0</v>
      </c>
      <c r="AO1116">
        <v>0</v>
      </c>
      <c r="AP1116">
        <v>1</v>
      </c>
      <c r="AQ1116">
        <v>0.01</v>
      </c>
      <c r="AX1116">
        <v>7</v>
      </c>
      <c r="AY1116" s="1">
        <v>19</v>
      </c>
      <c r="AZ1116">
        <v>0</v>
      </c>
      <c r="BA1116">
        <v>0</v>
      </c>
      <c r="BB1116">
        <v>1</v>
      </c>
      <c r="BC1116" s="7">
        <v>0.32</v>
      </c>
      <c r="BD1116">
        <v>30</v>
      </c>
      <c r="BE1116">
        <v>0</v>
      </c>
      <c r="BF1116">
        <v>0</v>
      </c>
      <c r="BG1116">
        <v>0</v>
      </c>
      <c r="BH1116">
        <v>5</v>
      </c>
      <c r="BI1116">
        <v>2.4</v>
      </c>
      <c r="BJ1116">
        <v>31</v>
      </c>
      <c r="BK1116">
        <v>0</v>
      </c>
      <c r="BL1116">
        <v>0</v>
      </c>
      <c r="BM1116">
        <v>0</v>
      </c>
      <c r="BN1116">
        <v>5</v>
      </c>
      <c r="BO1116">
        <v>2.4</v>
      </c>
      <c r="BP1116">
        <v>36</v>
      </c>
      <c r="BQ1116">
        <v>0</v>
      </c>
      <c r="BR1116">
        <v>0</v>
      </c>
      <c r="BS1116">
        <v>0</v>
      </c>
      <c r="BT1116">
        <v>5</v>
      </c>
      <c r="BU1116">
        <v>1.9</v>
      </c>
    </row>
    <row r="1117" spans="1:73" ht="14.25" x14ac:dyDescent="0.15">
      <c r="A1117" s="12">
        <v>20714</v>
      </c>
      <c r="B1117">
        <v>7</v>
      </c>
      <c r="C1117" s="1">
        <v>48</v>
      </c>
      <c r="D1117">
        <v>0</v>
      </c>
      <c r="E1117">
        <v>0</v>
      </c>
      <c r="F1117">
        <v>1</v>
      </c>
      <c r="G1117" s="7">
        <v>0.05</v>
      </c>
      <c r="H1117">
        <v>12</v>
      </c>
      <c r="I1117">
        <v>0</v>
      </c>
      <c r="J1117">
        <v>0</v>
      </c>
      <c r="K1117">
        <v>0</v>
      </c>
      <c r="L1117">
        <v>1</v>
      </c>
      <c r="M1117">
        <v>2</v>
      </c>
      <c r="N1117" s="7">
        <v>9</v>
      </c>
      <c r="O1117" s="7">
        <v>0</v>
      </c>
      <c r="P1117" s="7">
        <v>0</v>
      </c>
      <c r="Q1117" s="7">
        <v>0</v>
      </c>
      <c r="R1117" s="7">
        <v>1</v>
      </c>
      <c r="S1117" s="7">
        <v>4.5</v>
      </c>
      <c r="T1117">
        <v>7</v>
      </c>
      <c r="U1117" s="1">
        <v>36</v>
      </c>
      <c r="V1117">
        <v>0</v>
      </c>
      <c r="W1117">
        <v>0</v>
      </c>
      <c r="X1117">
        <v>1</v>
      </c>
      <c r="Y1117">
        <v>0.16</v>
      </c>
      <c r="Z1117">
        <v>23</v>
      </c>
      <c r="AA1117">
        <v>0</v>
      </c>
      <c r="AB1117">
        <v>0</v>
      </c>
      <c r="AC1117">
        <v>0</v>
      </c>
      <c r="AD1117">
        <v>1</v>
      </c>
      <c r="AE1117">
        <v>0.05</v>
      </c>
      <c r="AF1117">
        <v>15</v>
      </c>
      <c r="AG1117">
        <v>0</v>
      </c>
      <c r="AH1117">
        <v>0</v>
      </c>
      <c r="AI1117">
        <v>0</v>
      </c>
      <c r="AJ1117">
        <v>1</v>
      </c>
      <c r="AK1117">
        <v>0.02</v>
      </c>
      <c r="AL1117">
        <v>16</v>
      </c>
      <c r="AM1117">
        <v>0</v>
      </c>
      <c r="AN1117">
        <v>0</v>
      </c>
      <c r="AO1117">
        <v>0</v>
      </c>
      <c r="AP1117">
        <v>1</v>
      </c>
      <c r="AQ1117">
        <v>0.01</v>
      </c>
      <c r="AX1117">
        <v>7</v>
      </c>
      <c r="AY1117" s="1">
        <v>20</v>
      </c>
      <c r="AZ1117">
        <v>0</v>
      </c>
      <c r="BA1117">
        <v>0</v>
      </c>
      <c r="BB1117">
        <v>1</v>
      </c>
      <c r="BC1117" s="7">
        <v>0.32</v>
      </c>
      <c r="BD1117">
        <v>30</v>
      </c>
      <c r="BE1117">
        <v>0</v>
      </c>
      <c r="BF1117">
        <v>0</v>
      </c>
      <c r="BG1117">
        <v>0</v>
      </c>
      <c r="BH1117">
        <v>5</v>
      </c>
      <c r="BI1117">
        <v>2.4</v>
      </c>
      <c r="BJ1117">
        <v>31</v>
      </c>
      <c r="BK1117">
        <v>0</v>
      </c>
      <c r="BL1117">
        <v>0</v>
      </c>
      <c r="BM1117">
        <v>0</v>
      </c>
      <c r="BN1117">
        <v>5</v>
      </c>
      <c r="BO1117">
        <v>2.4</v>
      </c>
      <c r="BP1117">
        <v>36</v>
      </c>
      <c r="BQ1117">
        <v>0</v>
      </c>
      <c r="BR1117">
        <v>0</v>
      </c>
      <c r="BS1117">
        <v>0</v>
      </c>
      <c r="BT1117">
        <v>5</v>
      </c>
      <c r="BU1117">
        <v>1.9</v>
      </c>
    </row>
    <row r="1118" spans="1:73" ht="14.25" x14ac:dyDescent="0.15">
      <c r="A1118" s="12">
        <v>20715</v>
      </c>
      <c r="B1118">
        <v>7</v>
      </c>
      <c r="C1118" s="1">
        <v>0</v>
      </c>
      <c r="D1118">
        <v>5</v>
      </c>
      <c r="E1118">
        <v>1</v>
      </c>
      <c r="F1118">
        <v>1</v>
      </c>
      <c r="G1118" s="7">
        <v>0.05</v>
      </c>
      <c r="H1118">
        <v>12</v>
      </c>
      <c r="I1118">
        <v>0</v>
      </c>
      <c r="J1118">
        <v>0</v>
      </c>
      <c r="K1118">
        <v>0</v>
      </c>
      <c r="L1118">
        <v>1</v>
      </c>
      <c r="M1118">
        <v>2</v>
      </c>
      <c r="N1118" s="7">
        <v>9</v>
      </c>
      <c r="O1118" s="7">
        <v>0</v>
      </c>
      <c r="P1118" s="7">
        <v>0</v>
      </c>
      <c r="Q1118" s="7">
        <v>0</v>
      </c>
      <c r="R1118" s="7">
        <v>1</v>
      </c>
      <c r="S1118" s="7">
        <v>4.5</v>
      </c>
      <c r="T1118">
        <v>7</v>
      </c>
      <c r="U1118" s="1">
        <v>0</v>
      </c>
      <c r="V1118">
        <v>4</v>
      </c>
      <c r="W1118">
        <v>2</v>
      </c>
      <c r="X1118">
        <v>1</v>
      </c>
      <c r="Y1118">
        <v>0.16</v>
      </c>
      <c r="Z1118">
        <v>23</v>
      </c>
      <c r="AA1118">
        <v>0</v>
      </c>
      <c r="AB1118">
        <v>0</v>
      </c>
      <c r="AC1118">
        <v>0</v>
      </c>
      <c r="AD1118">
        <v>1</v>
      </c>
      <c r="AE1118">
        <v>0.05</v>
      </c>
      <c r="AF1118">
        <v>15</v>
      </c>
      <c r="AG1118">
        <v>0</v>
      </c>
      <c r="AH1118">
        <v>0</v>
      </c>
      <c r="AI1118">
        <v>0</v>
      </c>
      <c r="AJ1118">
        <v>1</v>
      </c>
      <c r="AK1118">
        <v>0.02</v>
      </c>
      <c r="AL1118">
        <v>16</v>
      </c>
      <c r="AM1118">
        <v>0</v>
      </c>
      <c r="AN1118">
        <v>0</v>
      </c>
      <c r="AO1118">
        <v>0</v>
      </c>
      <c r="AP1118">
        <v>1</v>
      </c>
      <c r="AQ1118">
        <v>0.01</v>
      </c>
      <c r="AR1118">
        <v>6</v>
      </c>
      <c r="AS1118">
        <v>2</v>
      </c>
      <c r="AT1118">
        <v>3</v>
      </c>
      <c r="AU1118">
        <v>5</v>
      </c>
      <c r="AV1118">
        <v>1</v>
      </c>
      <c r="AW1118">
        <v>0.05</v>
      </c>
      <c r="AX1118">
        <v>7</v>
      </c>
      <c r="AY1118" s="1">
        <v>0</v>
      </c>
      <c r="AZ1118">
        <v>3</v>
      </c>
      <c r="BA1118">
        <v>1</v>
      </c>
      <c r="BB1118">
        <v>1</v>
      </c>
      <c r="BC1118" s="7">
        <v>0.32</v>
      </c>
      <c r="BD1118">
        <v>30</v>
      </c>
      <c r="BE1118">
        <v>0</v>
      </c>
      <c r="BF1118">
        <v>0</v>
      </c>
      <c r="BG1118">
        <v>0</v>
      </c>
      <c r="BH1118">
        <v>5</v>
      </c>
      <c r="BI1118">
        <v>2.4</v>
      </c>
      <c r="BJ1118">
        <v>31</v>
      </c>
      <c r="BK1118">
        <v>0</v>
      </c>
      <c r="BL1118">
        <v>0</v>
      </c>
      <c r="BM1118">
        <v>0</v>
      </c>
      <c r="BN1118">
        <v>5</v>
      </c>
      <c r="BO1118">
        <v>2.4</v>
      </c>
      <c r="BP1118">
        <v>36</v>
      </c>
      <c r="BQ1118">
        <v>0</v>
      </c>
      <c r="BR1118">
        <v>0</v>
      </c>
      <c r="BS1118">
        <v>0</v>
      </c>
      <c r="BT1118">
        <v>5</v>
      </c>
      <c r="BU1118">
        <v>1.9</v>
      </c>
    </row>
    <row r="1119" spans="1:73" ht="14.25" x14ac:dyDescent="0.15">
      <c r="A1119" s="12">
        <v>20716</v>
      </c>
      <c r="B1119">
        <v>7</v>
      </c>
      <c r="C1119" s="1">
        <v>45</v>
      </c>
      <c r="D1119">
        <v>0</v>
      </c>
      <c r="E1119">
        <v>0</v>
      </c>
      <c r="F1119">
        <v>1</v>
      </c>
      <c r="G1119" s="7">
        <v>0.05</v>
      </c>
      <c r="H1119">
        <v>12</v>
      </c>
      <c r="I1119">
        <v>0</v>
      </c>
      <c r="J1119">
        <v>0</v>
      </c>
      <c r="K1119">
        <v>0</v>
      </c>
      <c r="L1119">
        <v>1</v>
      </c>
      <c r="M1119">
        <v>2</v>
      </c>
      <c r="N1119" s="7">
        <v>9</v>
      </c>
      <c r="O1119" s="7">
        <v>0</v>
      </c>
      <c r="P1119" s="7">
        <v>0</v>
      </c>
      <c r="Q1119" s="7">
        <v>0</v>
      </c>
      <c r="R1119" s="7">
        <v>1</v>
      </c>
      <c r="S1119" s="7">
        <v>4.5</v>
      </c>
      <c r="T1119">
        <v>7</v>
      </c>
      <c r="U1119" s="1">
        <v>33</v>
      </c>
      <c r="V1119">
        <v>0</v>
      </c>
      <c r="W1119">
        <v>0</v>
      </c>
      <c r="X1119">
        <v>1</v>
      </c>
      <c r="Y1119">
        <v>0.16</v>
      </c>
      <c r="Z1119">
        <v>23</v>
      </c>
      <c r="AA1119">
        <v>0</v>
      </c>
      <c r="AB1119">
        <v>0</v>
      </c>
      <c r="AC1119">
        <v>0</v>
      </c>
      <c r="AD1119">
        <v>1</v>
      </c>
      <c r="AE1119">
        <v>0.05</v>
      </c>
      <c r="AF1119">
        <v>15</v>
      </c>
      <c r="AG1119">
        <v>0</v>
      </c>
      <c r="AH1119">
        <v>0</v>
      </c>
      <c r="AI1119">
        <v>0</v>
      </c>
      <c r="AJ1119">
        <v>1</v>
      </c>
      <c r="AK1119">
        <v>0.02</v>
      </c>
      <c r="AL1119">
        <v>16</v>
      </c>
      <c r="AM1119">
        <v>0</v>
      </c>
      <c r="AN1119">
        <v>0</v>
      </c>
      <c r="AO1119">
        <v>0</v>
      </c>
      <c r="AP1119">
        <v>1</v>
      </c>
      <c r="AQ1119">
        <v>0.01</v>
      </c>
      <c r="AX1119">
        <v>7</v>
      </c>
      <c r="AY1119" s="1">
        <v>17</v>
      </c>
      <c r="AZ1119">
        <v>0</v>
      </c>
      <c r="BA1119">
        <v>0</v>
      </c>
      <c r="BB1119">
        <v>1</v>
      </c>
      <c r="BC1119" s="7">
        <v>0.32</v>
      </c>
      <c r="BD1119">
        <v>30</v>
      </c>
      <c r="BE1119">
        <v>0</v>
      </c>
      <c r="BF1119">
        <v>0</v>
      </c>
      <c r="BG1119">
        <v>0</v>
      </c>
      <c r="BH1119">
        <v>5</v>
      </c>
      <c r="BI1119">
        <v>2.4</v>
      </c>
      <c r="BJ1119">
        <v>31</v>
      </c>
      <c r="BK1119">
        <v>0</v>
      </c>
      <c r="BL1119">
        <v>0</v>
      </c>
      <c r="BM1119">
        <v>0</v>
      </c>
      <c r="BN1119">
        <v>5</v>
      </c>
      <c r="BO1119">
        <v>2.4</v>
      </c>
      <c r="BP1119">
        <v>36</v>
      </c>
      <c r="BQ1119">
        <v>0</v>
      </c>
      <c r="BR1119">
        <v>0</v>
      </c>
      <c r="BS1119">
        <v>0</v>
      </c>
      <c r="BT1119">
        <v>5</v>
      </c>
      <c r="BU1119">
        <v>1.9</v>
      </c>
    </row>
    <row r="1120" spans="1:73" ht="14.25" x14ac:dyDescent="0.15">
      <c r="A1120" s="12">
        <v>20717</v>
      </c>
      <c r="B1120">
        <v>7</v>
      </c>
      <c r="C1120" s="1">
        <v>46</v>
      </c>
      <c r="D1120">
        <v>0</v>
      </c>
      <c r="E1120">
        <v>0</v>
      </c>
      <c r="F1120">
        <v>1</v>
      </c>
      <c r="G1120" s="7">
        <v>0.05</v>
      </c>
      <c r="H1120">
        <v>12</v>
      </c>
      <c r="I1120">
        <v>0</v>
      </c>
      <c r="J1120">
        <v>0</v>
      </c>
      <c r="K1120">
        <v>0</v>
      </c>
      <c r="L1120">
        <v>1</v>
      </c>
      <c r="M1120">
        <v>2</v>
      </c>
      <c r="N1120" s="7">
        <v>9</v>
      </c>
      <c r="O1120" s="7">
        <v>0</v>
      </c>
      <c r="P1120" s="7">
        <v>0</v>
      </c>
      <c r="Q1120" s="7">
        <v>0</v>
      </c>
      <c r="R1120" s="7">
        <v>1</v>
      </c>
      <c r="S1120" s="7">
        <v>4.5</v>
      </c>
      <c r="T1120">
        <v>7</v>
      </c>
      <c r="U1120" s="1">
        <v>34</v>
      </c>
      <c r="V1120">
        <v>0</v>
      </c>
      <c r="W1120">
        <v>0</v>
      </c>
      <c r="X1120">
        <v>1</v>
      </c>
      <c r="Y1120">
        <v>0.16</v>
      </c>
      <c r="Z1120">
        <v>23</v>
      </c>
      <c r="AA1120">
        <v>0</v>
      </c>
      <c r="AB1120">
        <v>0</v>
      </c>
      <c r="AC1120">
        <v>0</v>
      </c>
      <c r="AD1120">
        <v>1</v>
      </c>
      <c r="AE1120">
        <v>0.05</v>
      </c>
      <c r="AF1120">
        <v>15</v>
      </c>
      <c r="AG1120">
        <v>0</v>
      </c>
      <c r="AH1120">
        <v>0</v>
      </c>
      <c r="AI1120">
        <v>0</v>
      </c>
      <c r="AJ1120">
        <v>1</v>
      </c>
      <c r="AK1120">
        <v>0.02</v>
      </c>
      <c r="AL1120">
        <v>16</v>
      </c>
      <c r="AM1120">
        <v>0</v>
      </c>
      <c r="AN1120">
        <v>0</v>
      </c>
      <c r="AO1120">
        <v>0</v>
      </c>
      <c r="AP1120">
        <v>1</v>
      </c>
      <c r="AQ1120">
        <v>0.01</v>
      </c>
      <c r="AX1120">
        <v>7</v>
      </c>
      <c r="AY1120" s="1">
        <v>18</v>
      </c>
      <c r="AZ1120">
        <v>0</v>
      </c>
      <c r="BA1120">
        <v>0</v>
      </c>
      <c r="BB1120">
        <v>1</v>
      </c>
      <c r="BC1120" s="7">
        <v>0.32</v>
      </c>
      <c r="BD1120">
        <v>30</v>
      </c>
      <c r="BE1120">
        <v>0</v>
      </c>
      <c r="BF1120">
        <v>0</v>
      </c>
      <c r="BG1120">
        <v>0</v>
      </c>
      <c r="BH1120">
        <v>5</v>
      </c>
      <c r="BI1120">
        <v>2.4</v>
      </c>
      <c r="BJ1120">
        <v>31</v>
      </c>
      <c r="BK1120">
        <v>0</v>
      </c>
      <c r="BL1120">
        <v>0</v>
      </c>
      <c r="BM1120">
        <v>0</v>
      </c>
      <c r="BN1120">
        <v>5</v>
      </c>
      <c r="BO1120">
        <v>2.4</v>
      </c>
      <c r="BP1120">
        <v>36</v>
      </c>
      <c r="BQ1120">
        <v>0</v>
      </c>
      <c r="BR1120">
        <v>0</v>
      </c>
      <c r="BS1120">
        <v>0</v>
      </c>
      <c r="BT1120">
        <v>5</v>
      </c>
      <c r="BU1120">
        <v>1.9</v>
      </c>
    </row>
    <row r="1121" spans="1:73" ht="14.25" x14ac:dyDescent="0.15">
      <c r="A1121" s="12">
        <v>20718</v>
      </c>
      <c r="B1121">
        <v>7</v>
      </c>
      <c r="C1121" s="1">
        <v>47</v>
      </c>
      <c r="D1121">
        <v>0</v>
      </c>
      <c r="E1121">
        <v>0</v>
      </c>
      <c r="F1121">
        <v>1</v>
      </c>
      <c r="G1121" s="7">
        <v>0.05</v>
      </c>
      <c r="H1121">
        <v>12</v>
      </c>
      <c r="I1121">
        <v>0</v>
      </c>
      <c r="J1121">
        <v>0</v>
      </c>
      <c r="K1121">
        <v>0</v>
      </c>
      <c r="L1121">
        <v>1</v>
      </c>
      <c r="M1121">
        <v>2</v>
      </c>
      <c r="N1121" s="7">
        <v>9</v>
      </c>
      <c r="O1121" s="7">
        <v>0</v>
      </c>
      <c r="P1121" s="7">
        <v>0</v>
      </c>
      <c r="Q1121" s="7">
        <v>0</v>
      </c>
      <c r="R1121" s="7">
        <v>1</v>
      </c>
      <c r="S1121" s="7">
        <v>4.5</v>
      </c>
      <c r="T1121">
        <v>7</v>
      </c>
      <c r="U1121" s="1">
        <v>35</v>
      </c>
      <c r="V1121">
        <v>0</v>
      </c>
      <c r="W1121">
        <v>0</v>
      </c>
      <c r="X1121">
        <v>1</v>
      </c>
      <c r="Y1121">
        <v>0.16</v>
      </c>
      <c r="Z1121">
        <v>23</v>
      </c>
      <c r="AA1121">
        <v>0</v>
      </c>
      <c r="AB1121">
        <v>0</v>
      </c>
      <c r="AC1121">
        <v>0</v>
      </c>
      <c r="AD1121">
        <v>1</v>
      </c>
      <c r="AE1121">
        <v>0.05</v>
      </c>
      <c r="AF1121">
        <v>15</v>
      </c>
      <c r="AG1121">
        <v>0</v>
      </c>
      <c r="AH1121">
        <v>0</v>
      </c>
      <c r="AI1121">
        <v>0</v>
      </c>
      <c r="AJ1121">
        <v>1</v>
      </c>
      <c r="AK1121">
        <v>0.02</v>
      </c>
      <c r="AL1121">
        <v>16</v>
      </c>
      <c r="AM1121">
        <v>0</v>
      </c>
      <c r="AN1121">
        <v>0</v>
      </c>
      <c r="AO1121">
        <v>0</v>
      </c>
      <c r="AP1121">
        <v>1</v>
      </c>
      <c r="AQ1121">
        <v>0.01</v>
      </c>
      <c r="AX1121">
        <v>7</v>
      </c>
      <c r="AY1121" s="1">
        <v>19</v>
      </c>
      <c r="AZ1121">
        <v>0</v>
      </c>
      <c r="BA1121">
        <v>0</v>
      </c>
      <c r="BB1121">
        <v>1</v>
      </c>
      <c r="BC1121" s="7">
        <v>0.32</v>
      </c>
      <c r="BD1121">
        <v>30</v>
      </c>
      <c r="BE1121">
        <v>0</v>
      </c>
      <c r="BF1121">
        <v>0</v>
      </c>
      <c r="BG1121">
        <v>0</v>
      </c>
      <c r="BH1121">
        <v>5</v>
      </c>
      <c r="BI1121">
        <v>2.4</v>
      </c>
      <c r="BJ1121">
        <v>31</v>
      </c>
      <c r="BK1121">
        <v>0</v>
      </c>
      <c r="BL1121">
        <v>0</v>
      </c>
      <c r="BM1121">
        <v>0</v>
      </c>
      <c r="BN1121">
        <v>5</v>
      </c>
      <c r="BO1121">
        <v>2.4</v>
      </c>
      <c r="BP1121">
        <v>36</v>
      </c>
      <c r="BQ1121">
        <v>0</v>
      </c>
      <c r="BR1121">
        <v>0</v>
      </c>
      <c r="BS1121">
        <v>0</v>
      </c>
      <c r="BT1121">
        <v>5</v>
      </c>
      <c r="BU1121">
        <v>1.9</v>
      </c>
    </row>
    <row r="1122" spans="1:73" ht="14.25" x14ac:dyDescent="0.15">
      <c r="A1122" s="12">
        <v>20719</v>
      </c>
      <c r="B1122">
        <v>7</v>
      </c>
      <c r="C1122" s="1">
        <v>48</v>
      </c>
      <c r="D1122">
        <v>0</v>
      </c>
      <c r="E1122">
        <v>0</v>
      </c>
      <c r="F1122">
        <v>1</v>
      </c>
      <c r="G1122" s="7">
        <v>0.05</v>
      </c>
      <c r="H1122">
        <v>12</v>
      </c>
      <c r="I1122">
        <v>0</v>
      </c>
      <c r="J1122">
        <v>0</v>
      </c>
      <c r="K1122">
        <v>0</v>
      </c>
      <c r="L1122">
        <v>1</v>
      </c>
      <c r="M1122">
        <v>2</v>
      </c>
      <c r="N1122" s="7">
        <v>9</v>
      </c>
      <c r="O1122" s="7">
        <v>0</v>
      </c>
      <c r="P1122" s="7">
        <v>0</v>
      </c>
      <c r="Q1122" s="7">
        <v>0</v>
      </c>
      <c r="R1122" s="7">
        <v>1</v>
      </c>
      <c r="S1122" s="7">
        <v>4.5</v>
      </c>
      <c r="T1122">
        <v>7</v>
      </c>
      <c r="U1122" s="1">
        <v>36</v>
      </c>
      <c r="V1122">
        <v>0</v>
      </c>
      <c r="W1122">
        <v>0</v>
      </c>
      <c r="X1122">
        <v>1</v>
      </c>
      <c r="Y1122">
        <v>0.16</v>
      </c>
      <c r="Z1122">
        <v>23</v>
      </c>
      <c r="AA1122">
        <v>0</v>
      </c>
      <c r="AB1122">
        <v>0</v>
      </c>
      <c r="AC1122">
        <v>0</v>
      </c>
      <c r="AD1122">
        <v>1</v>
      </c>
      <c r="AE1122">
        <v>0.05</v>
      </c>
      <c r="AF1122">
        <v>15</v>
      </c>
      <c r="AG1122">
        <v>0</v>
      </c>
      <c r="AH1122">
        <v>0</v>
      </c>
      <c r="AI1122">
        <v>0</v>
      </c>
      <c r="AJ1122">
        <v>1</v>
      </c>
      <c r="AK1122">
        <v>0.02</v>
      </c>
      <c r="AL1122">
        <v>16</v>
      </c>
      <c r="AM1122">
        <v>0</v>
      </c>
      <c r="AN1122">
        <v>0</v>
      </c>
      <c r="AO1122">
        <v>0</v>
      </c>
      <c r="AP1122">
        <v>1</v>
      </c>
      <c r="AQ1122">
        <v>0.01</v>
      </c>
      <c r="AX1122">
        <v>7</v>
      </c>
      <c r="AY1122" s="1">
        <v>20</v>
      </c>
      <c r="AZ1122">
        <v>0</v>
      </c>
      <c r="BA1122">
        <v>0</v>
      </c>
      <c r="BB1122">
        <v>1</v>
      </c>
      <c r="BC1122" s="7">
        <v>0.32</v>
      </c>
      <c r="BD1122">
        <v>30</v>
      </c>
      <c r="BE1122">
        <v>0</v>
      </c>
      <c r="BF1122">
        <v>0</v>
      </c>
      <c r="BG1122">
        <v>0</v>
      </c>
      <c r="BH1122">
        <v>5</v>
      </c>
      <c r="BI1122">
        <v>2.4</v>
      </c>
      <c r="BJ1122">
        <v>31</v>
      </c>
      <c r="BK1122">
        <v>0</v>
      </c>
      <c r="BL1122">
        <v>0</v>
      </c>
      <c r="BM1122">
        <v>0</v>
      </c>
      <c r="BN1122">
        <v>5</v>
      </c>
      <c r="BO1122">
        <v>2.4</v>
      </c>
      <c r="BP1122">
        <v>36</v>
      </c>
      <c r="BQ1122">
        <v>0</v>
      </c>
      <c r="BR1122">
        <v>0</v>
      </c>
      <c r="BS1122">
        <v>0</v>
      </c>
      <c r="BT1122">
        <v>5</v>
      </c>
      <c r="BU1122">
        <v>1.9</v>
      </c>
    </row>
    <row r="1123" spans="1:73" ht="14.25" x14ac:dyDescent="0.15">
      <c r="A1123" s="12">
        <v>20720</v>
      </c>
      <c r="B1123">
        <v>7</v>
      </c>
      <c r="C1123" s="1">
        <v>0</v>
      </c>
      <c r="D1123">
        <v>5</v>
      </c>
      <c r="E1123">
        <v>1</v>
      </c>
      <c r="F1123">
        <v>1</v>
      </c>
      <c r="G1123" s="7">
        <v>0.05</v>
      </c>
      <c r="H1123">
        <v>12</v>
      </c>
      <c r="I1123">
        <v>0</v>
      </c>
      <c r="J1123">
        <v>0</v>
      </c>
      <c r="K1123">
        <v>0</v>
      </c>
      <c r="L1123">
        <v>1</v>
      </c>
      <c r="M1123">
        <v>2</v>
      </c>
      <c r="N1123" s="7">
        <v>9</v>
      </c>
      <c r="O1123" s="7">
        <v>0</v>
      </c>
      <c r="P1123" s="7">
        <v>0</v>
      </c>
      <c r="Q1123" s="7">
        <v>0</v>
      </c>
      <c r="R1123" s="7">
        <v>1</v>
      </c>
      <c r="S1123" s="7">
        <v>4.5</v>
      </c>
      <c r="T1123">
        <v>7</v>
      </c>
      <c r="U1123" s="1">
        <v>0</v>
      </c>
      <c r="V1123">
        <v>4</v>
      </c>
      <c r="W1123">
        <v>2</v>
      </c>
      <c r="X1123">
        <v>1</v>
      </c>
      <c r="Y1123">
        <v>0.16</v>
      </c>
      <c r="Z1123">
        <v>23</v>
      </c>
      <c r="AA1123">
        <v>0</v>
      </c>
      <c r="AB1123">
        <v>0</v>
      </c>
      <c r="AC1123">
        <v>0</v>
      </c>
      <c r="AD1123">
        <v>1</v>
      </c>
      <c r="AE1123">
        <v>0.05</v>
      </c>
      <c r="AF1123">
        <v>15</v>
      </c>
      <c r="AG1123">
        <v>0</v>
      </c>
      <c r="AH1123">
        <v>0</v>
      </c>
      <c r="AI1123">
        <v>0</v>
      </c>
      <c r="AJ1123">
        <v>1</v>
      </c>
      <c r="AK1123">
        <v>0.02</v>
      </c>
      <c r="AL1123">
        <v>16</v>
      </c>
      <c r="AM1123">
        <v>0</v>
      </c>
      <c r="AN1123">
        <v>0</v>
      </c>
      <c r="AO1123">
        <v>0</v>
      </c>
      <c r="AP1123">
        <v>1</v>
      </c>
      <c r="AQ1123">
        <v>0.01</v>
      </c>
      <c r="AR1123">
        <v>6</v>
      </c>
      <c r="AS1123">
        <v>2</v>
      </c>
      <c r="AT1123">
        <v>4</v>
      </c>
      <c r="AU1123">
        <v>5</v>
      </c>
      <c r="AV1123">
        <v>1</v>
      </c>
      <c r="AW1123">
        <v>0.01</v>
      </c>
      <c r="AX1123">
        <v>7</v>
      </c>
      <c r="AY1123" s="1">
        <v>0</v>
      </c>
      <c r="AZ1123">
        <v>3</v>
      </c>
      <c r="BA1123">
        <v>1</v>
      </c>
      <c r="BB1123">
        <v>1</v>
      </c>
      <c r="BC1123" s="7">
        <v>0.32</v>
      </c>
      <c r="BD1123">
        <v>30</v>
      </c>
      <c r="BE1123">
        <v>0</v>
      </c>
      <c r="BF1123">
        <v>0</v>
      </c>
      <c r="BG1123">
        <v>0</v>
      </c>
      <c r="BH1123">
        <v>5</v>
      </c>
      <c r="BI1123">
        <v>2.4</v>
      </c>
      <c r="BJ1123">
        <v>31</v>
      </c>
      <c r="BK1123">
        <v>0</v>
      </c>
      <c r="BL1123">
        <v>0</v>
      </c>
      <c r="BM1123">
        <v>0</v>
      </c>
      <c r="BN1123">
        <v>5</v>
      </c>
      <c r="BO1123">
        <v>2.4</v>
      </c>
      <c r="BP1123">
        <v>36</v>
      </c>
      <c r="BQ1123">
        <v>0</v>
      </c>
      <c r="BR1123">
        <v>0</v>
      </c>
      <c r="BS1123">
        <v>0</v>
      </c>
      <c r="BT1123">
        <v>5</v>
      </c>
      <c r="BU1123">
        <v>1.9</v>
      </c>
    </row>
    <row r="1124" spans="1:73" ht="14.25" x14ac:dyDescent="0.15">
      <c r="A1124" s="12">
        <v>20721</v>
      </c>
      <c r="B1124">
        <v>7</v>
      </c>
      <c r="C1124" s="1">
        <v>45</v>
      </c>
      <c r="D1124">
        <v>0</v>
      </c>
      <c r="E1124">
        <v>0</v>
      </c>
      <c r="F1124">
        <v>1</v>
      </c>
      <c r="G1124" s="7">
        <v>0.05</v>
      </c>
      <c r="H1124">
        <v>12</v>
      </c>
      <c r="I1124">
        <v>0</v>
      </c>
      <c r="J1124">
        <v>0</v>
      </c>
      <c r="K1124">
        <v>0</v>
      </c>
      <c r="L1124">
        <v>1</v>
      </c>
      <c r="M1124">
        <v>2</v>
      </c>
      <c r="N1124" s="7">
        <v>9</v>
      </c>
      <c r="O1124" s="7">
        <v>0</v>
      </c>
      <c r="P1124" s="7">
        <v>0</v>
      </c>
      <c r="Q1124" s="7">
        <v>0</v>
      </c>
      <c r="R1124" s="7">
        <v>1</v>
      </c>
      <c r="S1124" s="7">
        <v>4.5</v>
      </c>
      <c r="T1124">
        <v>7</v>
      </c>
      <c r="U1124" s="1">
        <v>33</v>
      </c>
      <c r="V1124">
        <v>0</v>
      </c>
      <c r="W1124">
        <v>0</v>
      </c>
      <c r="X1124">
        <v>1</v>
      </c>
      <c r="Y1124">
        <v>0.16</v>
      </c>
      <c r="Z1124">
        <v>23</v>
      </c>
      <c r="AA1124">
        <v>0</v>
      </c>
      <c r="AB1124">
        <v>0</v>
      </c>
      <c r="AC1124">
        <v>0</v>
      </c>
      <c r="AD1124">
        <v>1</v>
      </c>
      <c r="AE1124">
        <v>0.05</v>
      </c>
      <c r="AF1124">
        <v>15</v>
      </c>
      <c r="AG1124">
        <v>0</v>
      </c>
      <c r="AH1124">
        <v>0</v>
      </c>
      <c r="AI1124">
        <v>0</v>
      </c>
      <c r="AJ1124">
        <v>1</v>
      </c>
      <c r="AK1124">
        <v>0.02</v>
      </c>
      <c r="AL1124">
        <v>16</v>
      </c>
      <c r="AM1124">
        <v>0</v>
      </c>
      <c r="AN1124">
        <v>0</v>
      </c>
      <c r="AO1124">
        <v>0</v>
      </c>
      <c r="AP1124">
        <v>1</v>
      </c>
      <c r="AQ1124">
        <v>0.01</v>
      </c>
      <c r="AX1124">
        <v>7</v>
      </c>
      <c r="AY1124" s="1">
        <v>17</v>
      </c>
      <c r="AZ1124">
        <v>0</v>
      </c>
      <c r="BA1124">
        <v>0</v>
      </c>
      <c r="BB1124">
        <v>1</v>
      </c>
      <c r="BC1124" s="7">
        <v>0.32</v>
      </c>
      <c r="BD1124">
        <v>30</v>
      </c>
      <c r="BE1124">
        <v>0</v>
      </c>
      <c r="BF1124">
        <v>0</v>
      </c>
      <c r="BG1124">
        <v>0</v>
      </c>
      <c r="BH1124">
        <v>5</v>
      </c>
      <c r="BI1124">
        <v>2.4</v>
      </c>
      <c r="BJ1124">
        <v>31</v>
      </c>
      <c r="BK1124">
        <v>0</v>
      </c>
      <c r="BL1124">
        <v>0</v>
      </c>
      <c r="BM1124">
        <v>0</v>
      </c>
      <c r="BN1124">
        <v>5</v>
      </c>
      <c r="BO1124">
        <v>2.4</v>
      </c>
      <c r="BP1124">
        <v>36</v>
      </c>
      <c r="BQ1124">
        <v>0</v>
      </c>
      <c r="BR1124">
        <v>0</v>
      </c>
      <c r="BS1124">
        <v>0</v>
      </c>
      <c r="BT1124">
        <v>5</v>
      </c>
      <c r="BU1124">
        <v>1.9</v>
      </c>
    </row>
    <row r="1125" spans="1:73" ht="14.25" x14ac:dyDescent="0.15">
      <c r="A1125" s="12">
        <v>20722</v>
      </c>
      <c r="B1125">
        <v>7</v>
      </c>
      <c r="C1125" s="1">
        <v>46</v>
      </c>
      <c r="D1125">
        <v>0</v>
      </c>
      <c r="E1125">
        <v>0</v>
      </c>
      <c r="F1125">
        <v>1</v>
      </c>
      <c r="G1125" s="7">
        <v>0.05</v>
      </c>
      <c r="H1125">
        <v>12</v>
      </c>
      <c r="I1125">
        <v>0</v>
      </c>
      <c r="J1125">
        <v>0</v>
      </c>
      <c r="K1125">
        <v>0</v>
      </c>
      <c r="L1125">
        <v>1</v>
      </c>
      <c r="M1125">
        <v>2</v>
      </c>
      <c r="N1125" s="7">
        <v>9</v>
      </c>
      <c r="O1125" s="7">
        <v>0</v>
      </c>
      <c r="P1125" s="7">
        <v>0</v>
      </c>
      <c r="Q1125" s="7">
        <v>0</v>
      </c>
      <c r="R1125" s="7">
        <v>1</v>
      </c>
      <c r="S1125" s="7">
        <v>4.5</v>
      </c>
      <c r="T1125">
        <v>7</v>
      </c>
      <c r="U1125" s="1">
        <v>34</v>
      </c>
      <c r="V1125">
        <v>0</v>
      </c>
      <c r="W1125">
        <v>0</v>
      </c>
      <c r="X1125">
        <v>1</v>
      </c>
      <c r="Y1125">
        <v>0.16</v>
      </c>
      <c r="Z1125">
        <v>23</v>
      </c>
      <c r="AA1125">
        <v>0</v>
      </c>
      <c r="AB1125">
        <v>0</v>
      </c>
      <c r="AC1125">
        <v>0</v>
      </c>
      <c r="AD1125">
        <v>1</v>
      </c>
      <c r="AE1125">
        <v>0.05</v>
      </c>
      <c r="AF1125">
        <v>15</v>
      </c>
      <c r="AG1125">
        <v>0</v>
      </c>
      <c r="AH1125">
        <v>0</v>
      </c>
      <c r="AI1125">
        <v>0</v>
      </c>
      <c r="AJ1125">
        <v>1</v>
      </c>
      <c r="AK1125">
        <v>0.02</v>
      </c>
      <c r="AL1125">
        <v>16</v>
      </c>
      <c r="AM1125">
        <v>0</v>
      </c>
      <c r="AN1125">
        <v>0</v>
      </c>
      <c r="AO1125">
        <v>0</v>
      </c>
      <c r="AP1125">
        <v>1</v>
      </c>
      <c r="AQ1125">
        <v>0.01</v>
      </c>
      <c r="AX1125">
        <v>7</v>
      </c>
      <c r="AY1125" s="1">
        <v>18</v>
      </c>
      <c r="AZ1125">
        <v>0</v>
      </c>
      <c r="BA1125">
        <v>0</v>
      </c>
      <c r="BB1125">
        <v>1</v>
      </c>
      <c r="BC1125" s="7">
        <v>0.32</v>
      </c>
      <c r="BD1125">
        <v>30</v>
      </c>
      <c r="BE1125">
        <v>0</v>
      </c>
      <c r="BF1125">
        <v>0</v>
      </c>
      <c r="BG1125">
        <v>0</v>
      </c>
      <c r="BH1125">
        <v>5</v>
      </c>
      <c r="BI1125">
        <v>2.4</v>
      </c>
      <c r="BJ1125">
        <v>31</v>
      </c>
      <c r="BK1125">
        <v>0</v>
      </c>
      <c r="BL1125">
        <v>0</v>
      </c>
      <c r="BM1125">
        <v>0</v>
      </c>
      <c r="BN1125">
        <v>5</v>
      </c>
      <c r="BO1125">
        <v>2.4</v>
      </c>
      <c r="BP1125">
        <v>36</v>
      </c>
      <c r="BQ1125">
        <v>0</v>
      </c>
      <c r="BR1125">
        <v>0</v>
      </c>
      <c r="BS1125">
        <v>0</v>
      </c>
      <c r="BT1125">
        <v>5</v>
      </c>
      <c r="BU1125">
        <v>1.9</v>
      </c>
    </row>
    <row r="1126" spans="1:73" ht="14.25" x14ac:dyDescent="0.15">
      <c r="A1126" s="12">
        <v>20723</v>
      </c>
      <c r="B1126">
        <v>7</v>
      </c>
      <c r="C1126" s="1">
        <v>47</v>
      </c>
      <c r="D1126">
        <v>0</v>
      </c>
      <c r="E1126">
        <v>0</v>
      </c>
      <c r="F1126">
        <v>1</v>
      </c>
      <c r="G1126" s="7">
        <v>0.05</v>
      </c>
      <c r="H1126">
        <v>12</v>
      </c>
      <c r="I1126">
        <v>0</v>
      </c>
      <c r="J1126">
        <v>0</v>
      </c>
      <c r="K1126">
        <v>0</v>
      </c>
      <c r="L1126">
        <v>1</v>
      </c>
      <c r="M1126">
        <v>2</v>
      </c>
      <c r="N1126" s="7">
        <v>9</v>
      </c>
      <c r="O1126" s="7">
        <v>0</v>
      </c>
      <c r="P1126" s="7">
        <v>0</v>
      </c>
      <c r="Q1126" s="7">
        <v>0</v>
      </c>
      <c r="R1126" s="7">
        <v>1</v>
      </c>
      <c r="S1126" s="7">
        <v>4.5</v>
      </c>
      <c r="T1126">
        <v>7</v>
      </c>
      <c r="U1126" s="1">
        <v>35</v>
      </c>
      <c r="V1126">
        <v>0</v>
      </c>
      <c r="W1126">
        <v>0</v>
      </c>
      <c r="X1126">
        <v>1</v>
      </c>
      <c r="Y1126">
        <v>0.16</v>
      </c>
      <c r="Z1126">
        <v>23</v>
      </c>
      <c r="AA1126">
        <v>0</v>
      </c>
      <c r="AB1126">
        <v>0</v>
      </c>
      <c r="AC1126">
        <v>0</v>
      </c>
      <c r="AD1126">
        <v>1</v>
      </c>
      <c r="AE1126">
        <v>0.05</v>
      </c>
      <c r="AF1126">
        <v>15</v>
      </c>
      <c r="AG1126">
        <v>0</v>
      </c>
      <c r="AH1126">
        <v>0</v>
      </c>
      <c r="AI1126">
        <v>0</v>
      </c>
      <c r="AJ1126">
        <v>1</v>
      </c>
      <c r="AK1126">
        <v>0.02</v>
      </c>
      <c r="AL1126">
        <v>16</v>
      </c>
      <c r="AM1126">
        <v>0</v>
      </c>
      <c r="AN1126">
        <v>0</v>
      </c>
      <c r="AO1126">
        <v>0</v>
      </c>
      <c r="AP1126">
        <v>1</v>
      </c>
      <c r="AQ1126">
        <v>0.01</v>
      </c>
      <c r="AX1126">
        <v>7</v>
      </c>
      <c r="AY1126" s="1">
        <v>19</v>
      </c>
      <c r="AZ1126">
        <v>0</v>
      </c>
      <c r="BA1126">
        <v>0</v>
      </c>
      <c r="BB1126">
        <v>1</v>
      </c>
      <c r="BC1126" s="7">
        <v>0.32</v>
      </c>
      <c r="BD1126">
        <v>30</v>
      </c>
      <c r="BE1126">
        <v>0</v>
      </c>
      <c r="BF1126">
        <v>0</v>
      </c>
      <c r="BG1126">
        <v>0</v>
      </c>
      <c r="BH1126">
        <v>5</v>
      </c>
      <c r="BI1126">
        <v>2.4</v>
      </c>
      <c r="BJ1126">
        <v>31</v>
      </c>
      <c r="BK1126">
        <v>0</v>
      </c>
      <c r="BL1126">
        <v>0</v>
      </c>
      <c r="BM1126">
        <v>0</v>
      </c>
      <c r="BN1126">
        <v>5</v>
      </c>
      <c r="BO1126">
        <v>2.4</v>
      </c>
      <c r="BP1126">
        <v>36</v>
      </c>
      <c r="BQ1126">
        <v>0</v>
      </c>
      <c r="BR1126">
        <v>0</v>
      </c>
      <c r="BS1126">
        <v>0</v>
      </c>
      <c r="BT1126">
        <v>5</v>
      </c>
      <c r="BU1126">
        <v>1.9</v>
      </c>
    </row>
    <row r="1127" spans="1:73" ht="14.25" x14ac:dyDescent="0.15">
      <c r="A1127" s="12">
        <v>20724</v>
      </c>
      <c r="B1127">
        <v>7</v>
      </c>
      <c r="C1127" s="1">
        <v>48</v>
      </c>
      <c r="D1127">
        <v>0</v>
      </c>
      <c r="E1127">
        <v>0</v>
      </c>
      <c r="F1127">
        <v>1</v>
      </c>
      <c r="G1127" s="7">
        <v>0.05</v>
      </c>
      <c r="H1127">
        <v>12</v>
      </c>
      <c r="I1127">
        <v>0</v>
      </c>
      <c r="J1127">
        <v>0</v>
      </c>
      <c r="K1127">
        <v>0</v>
      </c>
      <c r="L1127">
        <v>1</v>
      </c>
      <c r="M1127">
        <v>2</v>
      </c>
      <c r="N1127" s="7">
        <v>9</v>
      </c>
      <c r="O1127" s="7">
        <v>0</v>
      </c>
      <c r="P1127" s="7">
        <v>0</v>
      </c>
      <c r="Q1127" s="7">
        <v>0</v>
      </c>
      <c r="R1127" s="7">
        <v>1</v>
      </c>
      <c r="S1127" s="7">
        <v>4.5</v>
      </c>
      <c r="T1127">
        <v>7</v>
      </c>
      <c r="U1127" s="1">
        <v>36</v>
      </c>
      <c r="V1127">
        <v>0</v>
      </c>
      <c r="W1127">
        <v>0</v>
      </c>
      <c r="X1127">
        <v>1</v>
      </c>
      <c r="Y1127">
        <v>0.16</v>
      </c>
      <c r="Z1127">
        <v>23</v>
      </c>
      <c r="AA1127">
        <v>0</v>
      </c>
      <c r="AB1127">
        <v>0</v>
      </c>
      <c r="AC1127">
        <v>0</v>
      </c>
      <c r="AD1127">
        <v>1</v>
      </c>
      <c r="AE1127">
        <v>0.05</v>
      </c>
      <c r="AF1127">
        <v>15</v>
      </c>
      <c r="AG1127">
        <v>0</v>
      </c>
      <c r="AH1127">
        <v>0</v>
      </c>
      <c r="AI1127">
        <v>0</v>
      </c>
      <c r="AJ1127">
        <v>1</v>
      </c>
      <c r="AK1127">
        <v>0.02</v>
      </c>
      <c r="AL1127">
        <v>16</v>
      </c>
      <c r="AM1127">
        <v>0</v>
      </c>
      <c r="AN1127">
        <v>0</v>
      </c>
      <c r="AO1127">
        <v>0</v>
      </c>
      <c r="AP1127">
        <v>1</v>
      </c>
      <c r="AQ1127">
        <v>0.01</v>
      </c>
      <c r="AX1127">
        <v>7</v>
      </c>
      <c r="AY1127" s="1">
        <v>20</v>
      </c>
      <c r="AZ1127">
        <v>0</v>
      </c>
      <c r="BA1127">
        <v>0</v>
      </c>
      <c r="BB1127">
        <v>1</v>
      </c>
      <c r="BC1127" s="7">
        <v>0.32</v>
      </c>
      <c r="BD1127">
        <v>30</v>
      </c>
      <c r="BE1127">
        <v>0</v>
      </c>
      <c r="BF1127">
        <v>0</v>
      </c>
      <c r="BG1127">
        <v>0</v>
      </c>
      <c r="BH1127">
        <v>5</v>
      </c>
      <c r="BI1127">
        <v>2.4</v>
      </c>
      <c r="BJ1127">
        <v>31</v>
      </c>
      <c r="BK1127">
        <v>0</v>
      </c>
      <c r="BL1127">
        <v>0</v>
      </c>
      <c r="BM1127">
        <v>0</v>
      </c>
      <c r="BN1127">
        <v>5</v>
      </c>
      <c r="BO1127">
        <v>2.4</v>
      </c>
      <c r="BP1127">
        <v>36</v>
      </c>
      <c r="BQ1127">
        <v>0</v>
      </c>
      <c r="BR1127">
        <v>0</v>
      </c>
      <c r="BS1127">
        <v>0</v>
      </c>
      <c r="BT1127">
        <v>5</v>
      </c>
      <c r="BU1127">
        <v>1.9</v>
      </c>
    </row>
    <row r="1128" spans="1:73" ht="14.25" x14ac:dyDescent="0.15">
      <c r="A1128" s="12">
        <v>20725</v>
      </c>
      <c r="B1128">
        <v>7</v>
      </c>
      <c r="C1128" s="1">
        <v>0</v>
      </c>
      <c r="D1128">
        <v>5</v>
      </c>
      <c r="E1128">
        <v>1</v>
      </c>
      <c r="F1128">
        <v>1</v>
      </c>
      <c r="G1128" s="7">
        <v>0.05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2</v>
      </c>
      <c r="N1128" s="7">
        <v>9</v>
      </c>
      <c r="O1128" s="7">
        <v>0</v>
      </c>
      <c r="P1128" s="7">
        <v>0</v>
      </c>
      <c r="Q1128" s="7">
        <v>0</v>
      </c>
      <c r="R1128" s="7">
        <v>1</v>
      </c>
      <c r="S1128" s="7">
        <v>4.5</v>
      </c>
      <c r="T1128">
        <v>7</v>
      </c>
      <c r="U1128" s="1">
        <v>0</v>
      </c>
      <c r="V1128">
        <v>4</v>
      </c>
      <c r="W1128">
        <v>2</v>
      </c>
      <c r="X1128">
        <v>1</v>
      </c>
      <c r="Y1128">
        <v>0.16</v>
      </c>
      <c r="Z1128">
        <v>23</v>
      </c>
      <c r="AA1128">
        <v>0</v>
      </c>
      <c r="AB1128">
        <v>0</v>
      </c>
      <c r="AC1128">
        <v>0</v>
      </c>
      <c r="AD1128">
        <v>1</v>
      </c>
      <c r="AE1128">
        <v>0.05</v>
      </c>
      <c r="AF1128">
        <v>15</v>
      </c>
      <c r="AG1128">
        <v>0</v>
      </c>
      <c r="AH1128">
        <v>0</v>
      </c>
      <c r="AI1128">
        <v>0</v>
      </c>
      <c r="AJ1128">
        <v>1</v>
      </c>
      <c r="AK1128">
        <v>0.02</v>
      </c>
      <c r="AL1128">
        <v>16</v>
      </c>
      <c r="AM1128">
        <v>0</v>
      </c>
      <c r="AN1128">
        <v>0</v>
      </c>
      <c r="AO1128">
        <v>0</v>
      </c>
      <c r="AP1128">
        <v>1</v>
      </c>
      <c r="AQ1128">
        <v>0.01</v>
      </c>
      <c r="AR1128">
        <v>6</v>
      </c>
      <c r="AS1128">
        <v>2</v>
      </c>
      <c r="AT1128">
        <v>5</v>
      </c>
      <c r="AU1128">
        <v>5</v>
      </c>
      <c r="AV1128">
        <v>1</v>
      </c>
      <c r="AW1128">
        <v>0.01</v>
      </c>
      <c r="AX1128">
        <v>7</v>
      </c>
      <c r="AY1128" s="1">
        <v>0</v>
      </c>
      <c r="AZ1128">
        <v>3</v>
      </c>
      <c r="BA1128">
        <v>1</v>
      </c>
      <c r="BB1128">
        <v>1</v>
      </c>
      <c r="BC1128" s="7">
        <v>0.32</v>
      </c>
      <c r="BD1128">
        <v>30</v>
      </c>
      <c r="BE1128">
        <v>0</v>
      </c>
      <c r="BF1128">
        <v>0</v>
      </c>
      <c r="BG1128">
        <v>0</v>
      </c>
      <c r="BH1128">
        <v>5</v>
      </c>
      <c r="BI1128">
        <v>2.4</v>
      </c>
      <c r="BJ1128">
        <v>31</v>
      </c>
      <c r="BK1128">
        <v>0</v>
      </c>
      <c r="BL1128">
        <v>0</v>
      </c>
      <c r="BM1128">
        <v>0</v>
      </c>
      <c r="BN1128">
        <v>5</v>
      </c>
      <c r="BO1128">
        <v>2.4</v>
      </c>
      <c r="BP1128">
        <v>36</v>
      </c>
      <c r="BQ1128">
        <v>0</v>
      </c>
      <c r="BR1128">
        <v>0</v>
      </c>
      <c r="BS1128">
        <v>0</v>
      </c>
      <c r="BT1128">
        <v>5</v>
      </c>
      <c r="BU1128">
        <v>1.9</v>
      </c>
    </row>
    <row r="1129" spans="1:73" ht="14.25" x14ac:dyDescent="0.15">
      <c r="A1129" s="12">
        <v>20726</v>
      </c>
      <c r="B1129">
        <v>7</v>
      </c>
      <c r="C1129" s="1">
        <v>45</v>
      </c>
      <c r="D1129">
        <v>0</v>
      </c>
      <c r="E1129">
        <v>0</v>
      </c>
      <c r="F1129">
        <v>1</v>
      </c>
      <c r="G1129" s="7">
        <v>0.05</v>
      </c>
      <c r="H1129">
        <v>12</v>
      </c>
      <c r="I1129">
        <v>0</v>
      </c>
      <c r="J1129">
        <v>0</v>
      </c>
      <c r="K1129">
        <v>0</v>
      </c>
      <c r="L1129">
        <v>1</v>
      </c>
      <c r="M1129">
        <v>2</v>
      </c>
      <c r="N1129" s="7">
        <v>9</v>
      </c>
      <c r="O1129" s="7">
        <v>0</v>
      </c>
      <c r="P1129" s="7">
        <v>0</v>
      </c>
      <c r="Q1129" s="7">
        <v>0</v>
      </c>
      <c r="R1129" s="7">
        <v>1</v>
      </c>
      <c r="S1129" s="7">
        <v>4.5</v>
      </c>
      <c r="T1129">
        <v>7</v>
      </c>
      <c r="U1129" s="1">
        <v>33</v>
      </c>
      <c r="V1129">
        <v>0</v>
      </c>
      <c r="W1129">
        <v>0</v>
      </c>
      <c r="X1129">
        <v>1</v>
      </c>
      <c r="Y1129">
        <v>0.16</v>
      </c>
      <c r="Z1129">
        <v>23</v>
      </c>
      <c r="AA1129">
        <v>0</v>
      </c>
      <c r="AB1129">
        <v>0</v>
      </c>
      <c r="AC1129">
        <v>0</v>
      </c>
      <c r="AD1129">
        <v>1</v>
      </c>
      <c r="AE1129">
        <v>0.05</v>
      </c>
      <c r="AF1129">
        <v>15</v>
      </c>
      <c r="AG1129">
        <v>0</v>
      </c>
      <c r="AH1129">
        <v>0</v>
      </c>
      <c r="AI1129">
        <v>0</v>
      </c>
      <c r="AJ1129">
        <v>1</v>
      </c>
      <c r="AK1129">
        <v>0.02</v>
      </c>
      <c r="AL1129">
        <v>16</v>
      </c>
      <c r="AM1129">
        <v>0</v>
      </c>
      <c r="AN1129">
        <v>0</v>
      </c>
      <c r="AO1129">
        <v>0</v>
      </c>
      <c r="AP1129">
        <v>1</v>
      </c>
      <c r="AQ1129">
        <v>0.01</v>
      </c>
      <c r="AX1129">
        <v>7</v>
      </c>
      <c r="AY1129" s="1">
        <v>17</v>
      </c>
      <c r="AZ1129">
        <v>0</v>
      </c>
      <c r="BA1129">
        <v>0</v>
      </c>
      <c r="BB1129">
        <v>1</v>
      </c>
      <c r="BC1129" s="7">
        <v>0.32</v>
      </c>
      <c r="BD1129">
        <v>30</v>
      </c>
      <c r="BE1129">
        <v>0</v>
      </c>
      <c r="BF1129">
        <v>0</v>
      </c>
      <c r="BG1129">
        <v>0</v>
      </c>
      <c r="BH1129">
        <v>5</v>
      </c>
      <c r="BI1129">
        <v>2.4</v>
      </c>
      <c r="BJ1129">
        <v>31</v>
      </c>
      <c r="BK1129">
        <v>0</v>
      </c>
      <c r="BL1129">
        <v>0</v>
      </c>
      <c r="BM1129">
        <v>0</v>
      </c>
      <c r="BN1129">
        <v>5</v>
      </c>
      <c r="BO1129">
        <v>2.4</v>
      </c>
      <c r="BP1129">
        <v>36</v>
      </c>
      <c r="BQ1129">
        <v>0</v>
      </c>
      <c r="BR1129">
        <v>0</v>
      </c>
      <c r="BS1129">
        <v>0</v>
      </c>
      <c r="BT1129">
        <v>5</v>
      </c>
      <c r="BU1129">
        <v>1.9</v>
      </c>
    </row>
    <row r="1130" spans="1:73" ht="14.25" x14ac:dyDescent="0.15">
      <c r="A1130" s="12">
        <v>20727</v>
      </c>
      <c r="B1130">
        <v>7</v>
      </c>
      <c r="C1130" s="1">
        <v>46</v>
      </c>
      <c r="D1130">
        <v>0</v>
      </c>
      <c r="E1130">
        <v>0</v>
      </c>
      <c r="F1130">
        <v>1</v>
      </c>
      <c r="G1130" s="7">
        <v>0.05</v>
      </c>
      <c r="H1130">
        <v>12</v>
      </c>
      <c r="I1130">
        <v>0</v>
      </c>
      <c r="J1130">
        <v>0</v>
      </c>
      <c r="K1130">
        <v>0</v>
      </c>
      <c r="L1130">
        <v>1</v>
      </c>
      <c r="M1130">
        <v>2</v>
      </c>
      <c r="N1130" s="7">
        <v>9</v>
      </c>
      <c r="O1130" s="7">
        <v>0</v>
      </c>
      <c r="P1130" s="7">
        <v>0</v>
      </c>
      <c r="Q1130" s="7">
        <v>0</v>
      </c>
      <c r="R1130" s="7">
        <v>1</v>
      </c>
      <c r="S1130" s="7">
        <v>4.5</v>
      </c>
      <c r="T1130">
        <v>7</v>
      </c>
      <c r="U1130" s="1">
        <v>34</v>
      </c>
      <c r="V1130">
        <v>0</v>
      </c>
      <c r="W1130">
        <v>0</v>
      </c>
      <c r="X1130">
        <v>1</v>
      </c>
      <c r="Y1130">
        <v>0.16</v>
      </c>
      <c r="Z1130">
        <v>23</v>
      </c>
      <c r="AA1130">
        <v>0</v>
      </c>
      <c r="AB1130">
        <v>0</v>
      </c>
      <c r="AC1130">
        <v>0</v>
      </c>
      <c r="AD1130">
        <v>1</v>
      </c>
      <c r="AE1130">
        <v>0.05</v>
      </c>
      <c r="AF1130">
        <v>15</v>
      </c>
      <c r="AG1130">
        <v>0</v>
      </c>
      <c r="AH1130">
        <v>0</v>
      </c>
      <c r="AI1130">
        <v>0</v>
      </c>
      <c r="AJ1130">
        <v>1</v>
      </c>
      <c r="AK1130">
        <v>0.02</v>
      </c>
      <c r="AL1130">
        <v>16</v>
      </c>
      <c r="AM1130">
        <v>0</v>
      </c>
      <c r="AN1130">
        <v>0</v>
      </c>
      <c r="AO1130">
        <v>0</v>
      </c>
      <c r="AP1130">
        <v>1</v>
      </c>
      <c r="AQ1130">
        <v>0.01</v>
      </c>
      <c r="AX1130">
        <v>7</v>
      </c>
      <c r="AY1130" s="1">
        <v>18</v>
      </c>
      <c r="AZ1130">
        <v>0</v>
      </c>
      <c r="BA1130">
        <v>0</v>
      </c>
      <c r="BB1130">
        <v>1</v>
      </c>
      <c r="BC1130" s="7">
        <v>0.32</v>
      </c>
      <c r="BD1130">
        <v>30</v>
      </c>
      <c r="BE1130">
        <v>0</v>
      </c>
      <c r="BF1130">
        <v>0</v>
      </c>
      <c r="BG1130">
        <v>0</v>
      </c>
      <c r="BH1130">
        <v>5</v>
      </c>
      <c r="BI1130">
        <v>2.4</v>
      </c>
      <c r="BJ1130">
        <v>31</v>
      </c>
      <c r="BK1130">
        <v>0</v>
      </c>
      <c r="BL1130">
        <v>0</v>
      </c>
      <c r="BM1130">
        <v>0</v>
      </c>
      <c r="BN1130">
        <v>5</v>
      </c>
      <c r="BO1130">
        <v>2.4</v>
      </c>
      <c r="BP1130">
        <v>36</v>
      </c>
      <c r="BQ1130">
        <v>0</v>
      </c>
      <c r="BR1130">
        <v>0</v>
      </c>
      <c r="BS1130">
        <v>0</v>
      </c>
      <c r="BT1130">
        <v>5</v>
      </c>
      <c r="BU1130">
        <v>1.9</v>
      </c>
    </row>
    <row r="1131" spans="1:73" ht="14.25" x14ac:dyDescent="0.15">
      <c r="A1131" s="12">
        <v>20728</v>
      </c>
      <c r="B1131">
        <v>7</v>
      </c>
      <c r="C1131" s="1">
        <v>47</v>
      </c>
      <c r="D1131">
        <v>0</v>
      </c>
      <c r="E1131">
        <v>0</v>
      </c>
      <c r="F1131">
        <v>1</v>
      </c>
      <c r="G1131" s="7">
        <v>0.05</v>
      </c>
      <c r="H1131">
        <v>12</v>
      </c>
      <c r="I1131">
        <v>0</v>
      </c>
      <c r="J1131">
        <v>0</v>
      </c>
      <c r="K1131">
        <v>0</v>
      </c>
      <c r="L1131">
        <v>1</v>
      </c>
      <c r="M1131">
        <v>2</v>
      </c>
      <c r="N1131" s="7">
        <v>9</v>
      </c>
      <c r="O1131" s="7">
        <v>0</v>
      </c>
      <c r="P1131" s="7">
        <v>0</v>
      </c>
      <c r="Q1131" s="7">
        <v>0</v>
      </c>
      <c r="R1131" s="7">
        <v>1</v>
      </c>
      <c r="S1131" s="7">
        <v>4.5</v>
      </c>
      <c r="T1131">
        <v>7</v>
      </c>
      <c r="U1131" s="1">
        <v>35</v>
      </c>
      <c r="V1131">
        <v>0</v>
      </c>
      <c r="W1131">
        <v>0</v>
      </c>
      <c r="X1131">
        <v>1</v>
      </c>
      <c r="Y1131">
        <v>0.16</v>
      </c>
      <c r="Z1131">
        <v>23</v>
      </c>
      <c r="AA1131">
        <v>0</v>
      </c>
      <c r="AB1131">
        <v>0</v>
      </c>
      <c r="AC1131">
        <v>0</v>
      </c>
      <c r="AD1131">
        <v>1</v>
      </c>
      <c r="AE1131">
        <v>0.05</v>
      </c>
      <c r="AF1131">
        <v>15</v>
      </c>
      <c r="AG1131">
        <v>0</v>
      </c>
      <c r="AH1131">
        <v>0</v>
      </c>
      <c r="AI1131">
        <v>0</v>
      </c>
      <c r="AJ1131">
        <v>1</v>
      </c>
      <c r="AK1131">
        <v>0.02</v>
      </c>
      <c r="AL1131">
        <v>16</v>
      </c>
      <c r="AM1131">
        <v>0</v>
      </c>
      <c r="AN1131">
        <v>0</v>
      </c>
      <c r="AO1131">
        <v>0</v>
      </c>
      <c r="AP1131">
        <v>1</v>
      </c>
      <c r="AQ1131">
        <v>0.01</v>
      </c>
      <c r="AX1131">
        <v>7</v>
      </c>
      <c r="AY1131" s="1">
        <v>19</v>
      </c>
      <c r="AZ1131">
        <v>0</v>
      </c>
      <c r="BA1131">
        <v>0</v>
      </c>
      <c r="BB1131">
        <v>1</v>
      </c>
      <c r="BC1131" s="7">
        <v>0.32</v>
      </c>
      <c r="BD1131">
        <v>30</v>
      </c>
      <c r="BE1131">
        <v>0</v>
      </c>
      <c r="BF1131">
        <v>0</v>
      </c>
      <c r="BG1131">
        <v>0</v>
      </c>
      <c r="BH1131">
        <v>5</v>
      </c>
      <c r="BI1131">
        <v>2.4</v>
      </c>
      <c r="BJ1131">
        <v>31</v>
      </c>
      <c r="BK1131">
        <v>0</v>
      </c>
      <c r="BL1131">
        <v>0</v>
      </c>
      <c r="BM1131">
        <v>0</v>
      </c>
      <c r="BN1131">
        <v>5</v>
      </c>
      <c r="BO1131">
        <v>2.4</v>
      </c>
      <c r="BP1131">
        <v>36</v>
      </c>
      <c r="BQ1131">
        <v>0</v>
      </c>
      <c r="BR1131">
        <v>0</v>
      </c>
      <c r="BS1131">
        <v>0</v>
      </c>
      <c r="BT1131">
        <v>5</v>
      </c>
      <c r="BU1131">
        <v>1.9</v>
      </c>
    </row>
    <row r="1132" spans="1:73" ht="14.25" x14ac:dyDescent="0.15">
      <c r="A1132" s="12">
        <v>20729</v>
      </c>
      <c r="B1132">
        <v>7</v>
      </c>
      <c r="C1132" s="1">
        <v>48</v>
      </c>
      <c r="D1132">
        <v>0</v>
      </c>
      <c r="E1132">
        <v>0</v>
      </c>
      <c r="F1132">
        <v>1</v>
      </c>
      <c r="G1132" s="7">
        <v>0.05</v>
      </c>
      <c r="H1132">
        <v>12</v>
      </c>
      <c r="I1132">
        <v>0</v>
      </c>
      <c r="J1132">
        <v>0</v>
      </c>
      <c r="K1132">
        <v>0</v>
      </c>
      <c r="L1132">
        <v>1</v>
      </c>
      <c r="M1132">
        <v>2</v>
      </c>
      <c r="N1132" s="7">
        <v>9</v>
      </c>
      <c r="O1132" s="7">
        <v>0</v>
      </c>
      <c r="P1132" s="7">
        <v>0</v>
      </c>
      <c r="Q1132" s="7">
        <v>0</v>
      </c>
      <c r="R1132" s="7">
        <v>1</v>
      </c>
      <c r="S1132" s="7">
        <v>4.5</v>
      </c>
      <c r="T1132">
        <v>7</v>
      </c>
      <c r="U1132" s="1">
        <v>36</v>
      </c>
      <c r="V1132">
        <v>0</v>
      </c>
      <c r="W1132">
        <v>0</v>
      </c>
      <c r="X1132">
        <v>1</v>
      </c>
      <c r="Y1132">
        <v>0.16</v>
      </c>
      <c r="Z1132">
        <v>23</v>
      </c>
      <c r="AA1132">
        <v>0</v>
      </c>
      <c r="AB1132">
        <v>0</v>
      </c>
      <c r="AC1132">
        <v>0</v>
      </c>
      <c r="AD1132">
        <v>1</v>
      </c>
      <c r="AE1132">
        <v>0.05</v>
      </c>
      <c r="AF1132">
        <v>15</v>
      </c>
      <c r="AG1132">
        <v>0</v>
      </c>
      <c r="AH1132">
        <v>0</v>
      </c>
      <c r="AI1132">
        <v>0</v>
      </c>
      <c r="AJ1132">
        <v>1</v>
      </c>
      <c r="AK1132">
        <v>0.02</v>
      </c>
      <c r="AL1132">
        <v>16</v>
      </c>
      <c r="AM1132">
        <v>0</v>
      </c>
      <c r="AN1132">
        <v>0</v>
      </c>
      <c r="AO1132">
        <v>0</v>
      </c>
      <c r="AP1132">
        <v>1</v>
      </c>
      <c r="AQ1132">
        <v>0.01</v>
      </c>
      <c r="AX1132">
        <v>7</v>
      </c>
      <c r="AY1132" s="1">
        <v>20</v>
      </c>
      <c r="AZ1132">
        <v>0</v>
      </c>
      <c r="BA1132">
        <v>0</v>
      </c>
      <c r="BB1132">
        <v>1</v>
      </c>
      <c r="BC1132" s="7">
        <v>0.32</v>
      </c>
      <c r="BD1132">
        <v>30</v>
      </c>
      <c r="BE1132">
        <v>0</v>
      </c>
      <c r="BF1132">
        <v>0</v>
      </c>
      <c r="BG1132">
        <v>0</v>
      </c>
      <c r="BH1132">
        <v>5</v>
      </c>
      <c r="BI1132">
        <v>2.4</v>
      </c>
      <c r="BJ1132">
        <v>31</v>
      </c>
      <c r="BK1132">
        <v>0</v>
      </c>
      <c r="BL1132">
        <v>0</v>
      </c>
      <c r="BM1132">
        <v>0</v>
      </c>
      <c r="BN1132">
        <v>5</v>
      </c>
      <c r="BO1132">
        <v>2.4</v>
      </c>
      <c r="BP1132">
        <v>36</v>
      </c>
      <c r="BQ1132">
        <v>0</v>
      </c>
      <c r="BR1132">
        <v>0</v>
      </c>
      <c r="BS1132">
        <v>0</v>
      </c>
      <c r="BT1132">
        <v>5</v>
      </c>
      <c r="BU1132">
        <v>1.9</v>
      </c>
    </row>
    <row r="1133" spans="1:73" ht="14.25" x14ac:dyDescent="0.15">
      <c r="A1133" s="12">
        <v>20730</v>
      </c>
      <c r="B1133">
        <v>7</v>
      </c>
      <c r="C1133" s="1">
        <v>0</v>
      </c>
      <c r="D1133">
        <v>5</v>
      </c>
      <c r="E1133">
        <v>1</v>
      </c>
      <c r="F1133">
        <v>1</v>
      </c>
      <c r="G1133" s="7">
        <v>0.05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2</v>
      </c>
      <c r="N1133" s="7">
        <v>9</v>
      </c>
      <c r="O1133" s="7">
        <v>0</v>
      </c>
      <c r="P1133" s="7">
        <v>0</v>
      </c>
      <c r="Q1133" s="7">
        <v>0</v>
      </c>
      <c r="R1133" s="7">
        <v>1</v>
      </c>
      <c r="S1133" s="7">
        <v>4.5</v>
      </c>
      <c r="T1133">
        <v>7</v>
      </c>
      <c r="U1133" s="1">
        <v>0</v>
      </c>
      <c r="V1133">
        <v>4</v>
      </c>
      <c r="W1133">
        <v>2</v>
      </c>
      <c r="X1133">
        <v>1</v>
      </c>
      <c r="Y1133">
        <v>0.16</v>
      </c>
      <c r="Z1133">
        <v>23</v>
      </c>
      <c r="AA1133">
        <v>0</v>
      </c>
      <c r="AB1133">
        <v>0</v>
      </c>
      <c r="AC1133">
        <v>0</v>
      </c>
      <c r="AD1133">
        <v>1</v>
      </c>
      <c r="AE1133">
        <v>0.05</v>
      </c>
      <c r="AF1133">
        <v>15</v>
      </c>
      <c r="AG1133">
        <v>0</v>
      </c>
      <c r="AH1133">
        <v>0</v>
      </c>
      <c r="AI1133">
        <v>0</v>
      </c>
      <c r="AJ1133">
        <v>1</v>
      </c>
      <c r="AK1133">
        <v>0.02</v>
      </c>
      <c r="AL1133">
        <v>16</v>
      </c>
      <c r="AM1133">
        <v>0</v>
      </c>
      <c r="AN1133">
        <v>0</v>
      </c>
      <c r="AO1133">
        <v>0</v>
      </c>
      <c r="AP1133">
        <v>1</v>
      </c>
      <c r="AQ1133">
        <v>0.01</v>
      </c>
      <c r="AR1133">
        <v>6</v>
      </c>
      <c r="AS1133">
        <v>2</v>
      </c>
      <c r="AT1133">
        <v>1</v>
      </c>
      <c r="AU1133">
        <v>5</v>
      </c>
      <c r="AV1133">
        <v>1</v>
      </c>
      <c r="AW1133">
        <v>0.05</v>
      </c>
      <c r="AX1133">
        <v>7</v>
      </c>
      <c r="AY1133" s="1">
        <v>0</v>
      </c>
      <c r="AZ1133">
        <v>3</v>
      </c>
      <c r="BA1133">
        <v>1</v>
      </c>
      <c r="BB1133">
        <v>1</v>
      </c>
      <c r="BC1133" s="7">
        <v>0.32</v>
      </c>
      <c r="BD1133">
        <v>30</v>
      </c>
      <c r="BE1133">
        <v>0</v>
      </c>
      <c r="BF1133">
        <v>0</v>
      </c>
      <c r="BG1133">
        <v>0</v>
      </c>
      <c r="BH1133">
        <v>5</v>
      </c>
      <c r="BI1133">
        <v>2.4</v>
      </c>
      <c r="BJ1133">
        <v>31</v>
      </c>
      <c r="BK1133">
        <v>0</v>
      </c>
      <c r="BL1133">
        <v>0</v>
      </c>
      <c r="BM1133">
        <v>0</v>
      </c>
      <c r="BN1133">
        <v>5</v>
      </c>
      <c r="BO1133">
        <v>2.4</v>
      </c>
      <c r="BP1133">
        <v>36</v>
      </c>
      <c r="BQ1133">
        <v>0</v>
      </c>
      <c r="BR1133">
        <v>0</v>
      </c>
      <c r="BS1133">
        <v>0</v>
      </c>
      <c r="BT1133">
        <v>5</v>
      </c>
      <c r="BU1133">
        <v>1.9</v>
      </c>
    </row>
    <row r="1134" spans="1:73" ht="14.25" x14ac:dyDescent="0.15">
      <c r="A1134" s="12">
        <v>20731</v>
      </c>
      <c r="B1134">
        <v>7</v>
      </c>
      <c r="C1134" s="1">
        <v>45</v>
      </c>
      <c r="D1134">
        <v>0</v>
      </c>
      <c r="E1134">
        <v>0</v>
      </c>
      <c r="F1134">
        <v>1</v>
      </c>
      <c r="G1134" s="7">
        <v>0.05</v>
      </c>
      <c r="H1134">
        <v>12</v>
      </c>
      <c r="I1134">
        <v>0</v>
      </c>
      <c r="J1134">
        <v>0</v>
      </c>
      <c r="K1134">
        <v>0</v>
      </c>
      <c r="L1134">
        <v>1</v>
      </c>
      <c r="M1134">
        <v>2</v>
      </c>
      <c r="N1134" s="7">
        <v>9</v>
      </c>
      <c r="O1134" s="7">
        <v>0</v>
      </c>
      <c r="P1134" s="7">
        <v>0</v>
      </c>
      <c r="Q1134" s="7">
        <v>0</v>
      </c>
      <c r="R1134" s="7">
        <v>1</v>
      </c>
      <c r="S1134" s="7">
        <v>4.5</v>
      </c>
      <c r="T1134">
        <v>7</v>
      </c>
      <c r="U1134" s="1">
        <v>33</v>
      </c>
      <c r="V1134">
        <v>0</v>
      </c>
      <c r="W1134">
        <v>0</v>
      </c>
      <c r="X1134">
        <v>1</v>
      </c>
      <c r="Y1134">
        <v>0.16</v>
      </c>
      <c r="Z1134">
        <v>23</v>
      </c>
      <c r="AA1134">
        <v>0</v>
      </c>
      <c r="AB1134">
        <v>0</v>
      </c>
      <c r="AC1134">
        <v>0</v>
      </c>
      <c r="AD1134">
        <v>1</v>
      </c>
      <c r="AE1134">
        <v>0.05</v>
      </c>
      <c r="AF1134">
        <v>15</v>
      </c>
      <c r="AG1134">
        <v>0</v>
      </c>
      <c r="AH1134">
        <v>0</v>
      </c>
      <c r="AI1134">
        <v>0</v>
      </c>
      <c r="AJ1134">
        <v>1</v>
      </c>
      <c r="AK1134">
        <v>0.02</v>
      </c>
      <c r="AL1134">
        <v>16</v>
      </c>
      <c r="AM1134">
        <v>0</v>
      </c>
      <c r="AN1134">
        <v>0</v>
      </c>
      <c r="AO1134">
        <v>0</v>
      </c>
      <c r="AP1134">
        <v>1</v>
      </c>
      <c r="AQ1134">
        <v>0.01</v>
      </c>
      <c r="AX1134">
        <v>7</v>
      </c>
      <c r="AY1134" s="1">
        <v>17</v>
      </c>
      <c r="AZ1134">
        <v>0</v>
      </c>
      <c r="BA1134">
        <v>0</v>
      </c>
      <c r="BB1134">
        <v>1</v>
      </c>
      <c r="BC1134" s="7">
        <v>0.32</v>
      </c>
      <c r="BD1134">
        <v>30</v>
      </c>
      <c r="BE1134">
        <v>0</v>
      </c>
      <c r="BF1134">
        <v>0</v>
      </c>
      <c r="BG1134">
        <v>0</v>
      </c>
      <c r="BH1134">
        <v>5</v>
      </c>
      <c r="BI1134">
        <v>2.4</v>
      </c>
      <c r="BJ1134">
        <v>31</v>
      </c>
      <c r="BK1134">
        <v>0</v>
      </c>
      <c r="BL1134">
        <v>0</v>
      </c>
      <c r="BM1134">
        <v>0</v>
      </c>
      <c r="BN1134">
        <v>5</v>
      </c>
      <c r="BO1134">
        <v>2.4</v>
      </c>
      <c r="BP1134">
        <v>36</v>
      </c>
      <c r="BQ1134">
        <v>0</v>
      </c>
      <c r="BR1134">
        <v>0</v>
      </c>
      <c r="BS1134">
        <v>0</v>
      </c>
      <c r="BT1134">
        <v>5</v>
      </c>
      <c r="BU1134">
        <v>1.9</v>
      </c>
    </row>
    <row r="1135" spans="1:73" ht="14.25" x14ac:dyDescent="0.15">
      <c r="A1135" s="12">
        <v>20732</v>
      </c>
      <c r="B1135">
        <v>7</v>
      </c>
      <c r="C1135" s="1">
        <v>46</v>
      </c>
      <c r="D1135">
        <v>0</v>
      </c>
      <c r="E1135">
        <v>0</v>
      </c>
      <c r="F1135">
        <v>1</v>
      </c>
      <c r="G1135" s="7">
        <v>0.05</v>
      </c>
      <c r="H1135">
        <v>12</v>
      </c>
      <c r="I1135">
        <v>0</v>
      </c>
      <c r="J1135">
        <v>0</v>
      </c>
      <c r="K1135">
        <v>0</v>
      </c>
      <c r="L1135">
        <v>1</v>
      </c>
      <c r="M1135">
        <v>2</v>
      </c>
      <c r="N1135" s="7">
        <v>9</v>
      </c>
      <c r="O1135" s="7">
        <v>0</v>
      </c>
      <c r="P1135" s="7">
        <v>0</v>
      </c>
      <c r="Q1135" s="7">
        <v>0</v>
      </c>
      <c r="R1135" s="7">
        <v>1</v>
      </c>
      <c r="S1135" s="7">
        <v>4.5</v>
      </c>
      <c r="T1135">
        <v>7</v>
      </c>
      <c r="U1135" s="1">
        <v>34</v>
      </c>
      <c r="V1135">
        <v>0</v>
      </c>
      <c r="W1135">
        <v>0</v>
      </c>
      <c r="X1135">
        <v>1</v>
      </c>
      <c r="Y1135">
        <v>0.16</v>
      </c>
      <c r="Z1135">
        <v>23</v>
      </c>
      <c r="AA1135">
        <v>0</v>
      </c>
      <c r="AB1135">
        <v>0</v>
      </c>
      <c r="AC1135">
        <v>0</v>
      </c>
      <c r="AD1135">
        <v>1</v>
      </c>
      <c r="AE1135">
        <v>0.05</v>
      </c>
      <c r="AF1135">
        <v>15</v>
      </c>
      <c r="AG1135">
        <v>0</v>
      </c>
      <c r="AH1135">
        <v>0</v>
      </c>
      <c r="AI1135">
        <v>0</v>
      </c>
      <c r="AJ1135">
        <v>1</v>
      </c>
      <c r="AK1135">
        <v>0.02</v>
      </c>
      <c r="AL1135">
        <v>16</v>
      </c>
      <c r="AM1135">
        <v>0</v>
      </c>
      <c r="AN1135">
        <v>0</v>
      </c>
      <c r="AO1135">
        <v>0</v>
      </c>
      <c r="AP1135">
        <v>1</v>
      </c>
      <c r="AQ1135">
        <v>0.01</v>
      </c>
      <c r="AX1135">
        <v>7</v>
      </c>
      <c r="AY1135" s="1">
        <v>18</v>
      </c>
      <c r="AZ1135">
        <v>0</v>
      </c>
      <c r="BA1135">
        <v>0</v>
      </c>
      <c r="BB1135">
        <v>1</v>
      </c>
      <c r="BC1135" s="7">
        <v>0.32</v>
      </c>
      <c r="BD1135">
        <v>30</v>
      </c>
      <c r="BE1135">
        <v>0</v>
      </c>
      <c r="BF1135">
        <v>0</v>
      </c>
      <c r="BG1135">
        <v>0</v>
      </c>
      <c r="BH1135">
        <v>5</v>
      </c>
      <c r="BI1135">
        <v>2.4</v>
      </c>
      <c r="BJ1135">
        <v>31</v>
      </c>
      <c r="BK1135">
        <v>0</v>
      </c>
      <c r="BL1135">
        <v>0</v>
      </c>
      <c r="BM1135">
        <v>0</v>
      </c>
      <c r="BN1135">
        <v>5</v>
      </c>
      <c r="BO1135">
        <v>2.4</v>
      </c>
      <c r="BP1135">
        <v>36</v>
      </c>
      <c r="BQ1135">
        <v>0</v>
      </c>
      <c r="BR1135">
        <v>0</v>
      </c>
      <c r="BS1135">
        <v>0</v>
      </c>
      <c r="BT1135">
        <v>5</v>
      </c>
      <c r="BU1135">
        <v>1.9</v>
      </c>
    </row>
    <row r="1136" spans="1:73" ht="14.25" x14ac:dyDescent="0.15">
      <c r="A1136" s="12">
        <v>20733</v>
      </c>
      <c r="B1136">
        <v>7</v>
      </c>
      <c r="C1136" s="1">
        <v>47</v>
      </c>
      <c r="D1136">
        <v>0</v>
      </c>
      <c r="E1136">
        <v>0</v>
      </c>
      <c r="F1136">
        <v>1</v>
      </c>
      <c r="G1136" s="7">
        <v>0.05</v>
      </c>
      <c r="H1136">
        <v>12</v>
      </c>
      <c r="I1136">
        <v>0</v>
      </c>
      <c r="J1136">
        <v>0</v>
      </c>
      <c r="K1136">
        <v>0</v>
      </c>
      <c r="L1136">
        <v>1</v>
      </c>
      <c r="M1136">
        <v>2</v>
      </c>
      <c r="N1136" s="7">
        <v>9</v>
      </c>
      <c r="O1136" s="7">
        <v>0</v>
      </c>
      <c r="P1136" s="7">
        <v>0</v>
      </c>
      <c r="Q1136" s="7">
        <v>0</v>
      </c>
      <c r="R1136" s="7">
        <v>1</v>
      </c>
      <c r="S1136" s="7">
        <v>4.5</v>
      </c>
      <c r="T1136">
        <v>7</v>
      </c>
      <c r="U1136" s="1">
        <v>35</v>
      </c>
      <c r="V1136">
        <v>0</v>
      </c>
      <c r="W1136">
        <v>0</v>
      </c>
      <c r="X1136">
        <v>1</v>
      </c>
      <c r="Y1136">
        <v>0.16</v>
      </c>
      <c r="Z1136">
        <v>23</v>
      </c>
      <c r="AA1136">
        <v>0</v>
      </c>
      <c r="AB1136">
        <v>0</v>
      </c>
      <c r="AC1136">
        <v>0</v>
      </c>
      <c r="AD1136">
        <v>1</v>
      </c>
      <c r="AE1136">
        <v>0.05</v>
      </c>
      <c r="AF1136">
        <v>15</v>
      </c>
      <c r="AG1136">
        <v>0</v>
      </c>
      <c r="AH1136">
        <v>0</v>
      </c>
      <c r="AI1136">
        <v>0</v>
      </c>
      <c r="AJ1136">
        <v>1</v>
      </c>
      <c r="AK1136">
        <v>0.02</v>
      </c>
      <c r="AL1136">
        <v>16</v>
      </c>
      <c r="AM1136">
        <v>0</v>
      </c>
      <c r="AN1136">
        <v>0</v>
      </c>
      <c r="AO1136">
        <v>0</v>
      </c>
      <c r="AP1136">
        <v>1</v>
      </c>
      <c r="AQ1136">
        <v>0.01</v>
      </c>
      <c r="AX1136">
        <v>7</v>
      </c>
      <c r="AY1136" s="1">
        <v>19</v>
      </c>
      <c r="AZ1136">
        <v>0</v>
      </c>
      <c r="BA1136">
        <v>0</v>
      </c>
      <c r="BB1136">
        <v>1</v>
      </c>
      <c r="BC1136" s="7">
        <v>0.32</v>
      </c>
      <c r="BD1136">
        <v>30</v>
      </c>
      <c r="BE1136">
        <v>0</v>
      </c>
      <c r="BF1136">
        <v>0</v>
      </c>
      <c r="BG1136">
        <v>0</v>
      </c>
      <c r="BH1136">
        <v>5</v>
      </c>
      <c r="BI1136">
        <v>2.4</v>
      </c>
      <c r="BJ1136">
        <v>31</v>
      </c>
      <c r="BK1136">
        <v>0</v>
      </c>
      <c r="BL1136">
        <v>0</v>
      </c>
      <c r="BM1136">
        <v>0</v>
      </c>
      <c r="BN1136">
        <v>5</v>
      </c>
      <c r="BO1136">
        <v>2.4</v>
      </c>
      <c r="BP1136">
        <v>36</v>
      </c>
      <c r="BQ1136">
        <v>0</v>
      </c>
      <c r="BR1136">
        <v>0</v>
      </c>
      <c r="BS1136">
        <v>0</v>
      </c>
      <c r="BT1136">
        <v>5</v>
      </c>
      <c r="BU1136">
        <v>1.9</v>
      </c>
    </row>
    <row r="1137" spans="1:73" ht="14.25" x14ac:dyDescent="0.15">
      <c r="A1137" s="12">
        <v>20734</v>
      </c>
      <c r="B1137">
        <v>7</v>
      </c>
      <c r="C1137" s="1">
        <v>48</v>
      </c>
      <c r="D1137">
        <v>0</v>
      </c>
      <c r="E1137">
        <v>0</v>
      </c>
      <c r="F1137">
        <v>1</v>
      </c>
      <c r="G1137" s="7">
        <v>0.05</v>
      </c>
      <c r="H1137">
        <v>12</v>
      </c>
      <c r="I1137">
        <v>0</v>
      </c>
      <c r="J1137">
        <v>0</v>
      </c>
      <c r="K1137">
        <v>0</v>
      </c>
      <c r="L1137">
        <v>1</v>
      </c>
      <c r="M1137">
        <v>2</v>
      </c>
      <c r="N1137" s="7">
        <v>9</v>
      </c>
      <c r="O1137" s="7">
        <v>0</v>
      </c>
      <c r="P1137" s="7">
        <v>0</v>
      </c>
      <c r="Q1137" s="7">
        <v>0</v>
      </c>
      <c r="R1137" s="7">
        <v>1</v>
      </c>
      <c r="S1137" s="7">
        <v>4.5</v>
      </c>
      <c r="T1137">
        <v>7</v>
      </c>
      <c r="U1137" s="1">
        <v>36</v>
      </c>
      <c r="V1137">
        <v>0</v>
      </c>
      <c r="W1137">
        <v>0</v>
      </c>
      <c r="X1137">
        <v>1</v>
      </c>
      <c r="Y1137">
        <v>0.16</v>
      </c>
      <c r="Z1137">
        <v>23</v>
      </c>
      <c r="AA1137">
        <v>0</v>
      </c>
      <c r="AB1137">
        <v>0</v>
      </c>
      <c r="AC1137">
        <v>0</v>
      </c>
      <c r="AD1137">
        <v>1</v>
      </c>
      <c r="AE1137">
        <v>0.05</v>
      </c>
      <c r="AF1137">
        <v>15</v>
      </c>
      <c r="AG1137">
        <v>0</v>
      </c>
      <c r="AH1137">
        <v>0</v>
      </c>
      <c r="AI1137">
        <v>0</v>
      </c>
      <c r="AJ1137">
        <v>1</v>
      </c>
      <c r="AK1137">
        <v>0.02</v>
      </c>
      <c r="AL1137">
        <v>16</v>
      </c>
      <c r="AM1137">
        <v>0</v>
      </c>
      <c r="AN1137">
        <v>0</v>
      </c>
      <c r="AO1137">
        <v>0</v>
      </c>
      <c r="AP1137">
        <v>1</v>
      </c>
      <c r="AQ1137">
        <v>0.01</v>
      </c>
      <c r="AX1137">
        <v>7</v>
      </c>
      <c r="AY1137" s="1">
        <v>20</v>
      </c>
      <c r="AZ1137">
        <v>0</v>
      </c>
      <c r="BA1137">
        <v>0</v>
      </c>
      <c r="BB1137">
        <v>1</v>
      </c>
      <c r="BC1137" s="7">
        <v>0.32</v>
      </c>
      <c r="BD1137">
        <v>30</v>
      </c>
      <c r="BE1137">
        <v>0</v>
      </c>
      <c r="BF1137">
        <v>0</v>
      </c>
      <c r="BG1137">
        <v>0</v>
      </c>
      <c r="BH1137">
        <v>5</v>
      </c>
      <c r="BI1137">
        <v>2.4</v>
      </c>
      <c r="BJ1137">
        <v>31</v>
      </c>
      <c r="BK1137">
        <v>0</v>
      </c>
      <c r="BL1137">
        <v>0</v>
      </c>
      <c r="BM1137">
        <v>0</v>
      </c>
      <c r="BN1137">
        <v>5</v>
      </c>
      <c r="BO1137">
        <v>2.4</v>
      </c>
      <c r="BP1137">
        <v>36</v>
      </c>
      <c r="BQ1137">
        <v>0</v>
      </c>
      <c r="BR1137">
        <v>0</v>
      </c>
      <c r="BS1137">
        <v>0</v>
      </c>
      <c r="BT1137">
        <v>5</v>
      </c>
      <c r="BU1137">
        <v>1.9</v>
      </c>
    </row>
    <row r="1138" spans="1:73" ht="14.25" x14ac:dyDescent="0.15">
      <c r="A1138" s="12">
        <v>20735</v>
      </c>
      <c r="B1138">
        <v>7</v>
      </c>
      <c r="C1138" s="1">
        <v>0</v>
      </c>
      <c r="D1138">
        <v>5</v>
      </c>
      <c r="E1138">
        <v>1</v>
      </c>
      <c r="F1138">
        <v>1</v>
      </c>
      <c r="G1138" s="7">
        <v>0.05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2</v>
      </c>
      <c r="N1138" s="7">
        <v>9</v>
      </c>
      <c r="O1138" s="7">
        <v>0</v>
      </c>
      <c r="P1138" s="7">
        <v>0</v>
      </c>
      <c r="Q1138" s="7">
        <v>0</v>
      </c>
      <c r="R1138" s="7">
        <v>1</v>
      </c>
      <c r="S1138" s="7">
        <v>4.5</v>
      </c>
      <c r="T1138">
        <v>7</v>
      </c>
      <c r="U1138" s="1">
        <v>0</v>
      </c>
      <c r="V1138">
        <v>4</v>
      </c>
      <c r="W1138">
        <v>2</v>
      </c>
      <c r="X1138">
        <v>1</v>
      </c>
      <c r="Y1138">
        <v>0.16</v>
      </c>
      <c r="Z1138">
        <v>23</v>
      </c>
      <c r="AA1138">
        <v>0</v>
      </c>
      <c r="AB1138">
        <v>0</v>
      </c>
      <c r="AC1138">
        <v>0</v>
      </c>
      <c r="AD1138">
        <v>1</v>
      </c>
      <c r="AE1138">
        <v>0.05</v>
      </c>
      <c r="AF1138">
        <v>15</v>
      </c>
      <c r="AG1138">
        <v>0</v>
      </c>
      <c r="AH1138">
        <v>0</v>
      </c>
      <c r="AI1138">
        <v>0</v>
      </c>
      <c r="AJ1138">
        <v>1</v>
      </c>
      <c r="AK1138">
        <v>0.02</v>
      </c>
      <c r="AL1138">
        <v>16</v>
      </c>
      <c r="AM1138">
        <v>0</v>
      </c>
      <c r="AN1138">
        <v>0</v>
      </c>
      <c r="AO1138">
        <v>0</v>
      </c>
      <c r="AP1138">
        <v>1</v>
      </c>
      <c r="AQ1138">
        <v>0.01</v>
      </c>
      <c r="AR1138">
        <v>6</v>
      </c>
      <c r="AS1138">
        <v>2</v>
      </c>
      <c r="AT1138">
        <v>2</v>
      </c>
      <c r="AU1138">
        <v>5</v>
      </c>
      <c r="AV1138">
        <v>1</v>
      </c>
      <c r="AW1138">
        <v>0.05</v>
      </c>
      <c r="AX1138">
        <v>7</v>
      </c>
      <c r="AY1138" s="1">
        <v>0</v>
      </c>
      <c r="AZ1138">
        <v>3</v>
      </c>
      <c r="BA1138">
        <v>1</v>
      </c>
      <c r="BB1138">
        <v>1</v>
      </c>
      <c r="BC1138" s="7">
        <v>0.32</v>
      </c>
      <c r="BD1138">
        <v>30</v>
      </c>
      <c r="BE1138">
        <v>0</v>
      </c>
      <c r="BF1138">
        <v>0</v>
      </c>
      <c r="BG1138">
        <v>0</v>
      </c>
      <c r="BH1138">
        <v>5</v>
      </c>
      <c r="BI1138">
        <v>2.4</v>
      </c>
      <c r="BJ1138">
        <v>31</v>
      </c>
      <c r="BK1138">
        <v>0</v>
      </c>
      <c r="BL1138">
        <v>0</v>
      </c>
      <c r="BM1138">
        <v>0</v>
      </c>
      <c r="BN1138">
        <v>5</v>
      </c>
      <c r="BO1138">
        <v>2.4</v>
      </c>
      <c r="BP1138">
        <v>36</v>
      </c>
      <c r="BQ1138">
        <v>0</v>
      </c>
      <c r="BR1138">
        <v>0</v>
      </c>
      <c r="BS1138">
        <v>0</v>
      </c>
      <c r="BT1138">
        <v>5</v>
      </c>
      <c r="BU1138">
        <v>1.9</v>
      </c>
    </row>
    <row r="1139" spans="1:73" ht="14.25" x14ac:dyDescent="0.15">
      <c r="A1139" s="12">
        <v>20736</v>
      </c>
      <c r="B1139">
        <v>7</v>
      </c>
      <c r="C1139" s="1">
        <v>45</v>
      </c>
      <c r="D1139">
        <v>0</v>
      </c>
      <c r="E1139">
        <v>0</v>
      </c>
      <c r="F1139">
        <v>1</v>
      </c>
      <c r="G1139" s="7">
        <v>0.05</v>
      </c>
      <c r="H1139">
        <v>12</v>
      </c>
      <c r="I1139">
        <v>0</v>
      </c>
      <c r="J1139">
        <v>0</v>
      </c>
      <c r="K1139">
        <v>0</v>
      </c>
      <c r="L1139">
        <v>1</v>
      </c>
      <c r="M1139">
        <v>2</v>
      </c>
      <c r="N1139" s="7">
        <v>9</v>
      </c>
      <c r="O1139" s="7">
        <v>0</v>
      </c>
      <c r="P1139" s="7">
        <v>0</v>
      </c>
      <c r="Q1139" s="7">
        <v>0</v>
      </c>
      <c r="R1139" s="7">
        <v>1</v>
      </c>
      <c r="S1139" s="7">
        <v>4.5</v>
      </c>
      <c r="T1139">
        <v>7</v>
      </c>
      <c r="U1139" s="1">
        <v>33</v>
      </c>
      <c r="V1139">
        <v>0</v>
      </c>
      <c r="W1139">
        <v>0</v>
      </c>
      <c r="X1139">
        <v>1</v>
      </c>
      <c r="Y1139">
        <v>0.16</v>
      </c>
      <c r="Z1139">
        <v>23</v>
      </c>
      <c r="AA1139">
        <v>0</v>
      </c>
      <c r="AB1139">
        <v>0</v>
      </c>
      <c r="AC1139">
        <v>0</v>
      </c>
      <c r="AD1139">
        <v>1</v>
      </c>
      <c r="AE1139">
        <v>0.05</v>
      </c>
      <c r="AF1139">
        <v>15</v>
      </c>
      <c r="AG1139">
        <v>0</v>
      </c>
      <c r="AH1139">
        <v>0</v>
      </c>
      <c r="AI1139">
        <v>0</v>
      </c>
      <c r="AJ1139">
        <v>1</v>
      </c>
      <c r="AK1139">
        <v>0.02</v>
      </c>
      <c r="AL1139">
        <v>16</v>
      </c>
      <c r="AM1139">
        <v>0</v>
      </c>
      <c r="AN1139">
        <v>0</v>
      </c>
      <c r="AO1139">
        <v>0</v>
      </c>
      <c r="AP1139">
        <v>1</v>
      </c>
      <c r="AQ1139">
        <v>0.01</v>
      </c>
      <c r="AX1139">
        <v>7</v>
      </c>
      <c r="AY1139" s="1">
        <v>17</v>
      </c>
      <c r="AZ1139">
        <v>0</v>
      </c>
      <c r="BA1139">
        <v>0</v>
      </c>
      <c r="BB1139">
        <v>1</v>
      </c>
      <c r="BC1139" s="7">
        <v>0.32</v>
      </c>
      <c r="BD1139">
        <v>30</v>
      </c>
      <c r="BE1139">
        <v>0</v>
      </c>
      <c r="BF1139">
        <v>0</v>
      </c>
      <c r="BG1139">
        <v>0</v>
      </c>
      <c r="BH1139">
        <v>5</v>
      </c>
      <c r="BI1139">
        <v>2.4</v>
      </c>
      <c r="BJ1139">
        <v>31</v>
      </c>
      <c r="BK1139">
        <v>0</v>
      </c>
      <c r="BL1139">
        <v>0</v>
      </c>
      <c r="BM1139">
        <v>0</v>
      </c>
      <c r="BN1139">
        <v>5</v>
      </c>
      <c r="BO1139">
        <v>2.4</v>
      </c>
      <c r="BP1139">
        <v>36</v>
      </c>
      <c r="BQ1139">
        <v>0</v>
      </c>
      <c r="BR1139">
        <v>0</v>
      </c>
      <c r="BS1139">
        <v>0</v>
      </c>
      <c r="BT1139">
        <v>5</v>
      </c>
      <c r="BU1139">
        <v>1.9</v>
      </c>
    </row>
    <row r="1140" spans="1:73" ht="14.25" x14ac:dyDescent="0.15">
      <c r="A1140" s="12">
        <v>20737</v>
      </c>
      <c r="B1140">
        <v>7</v>
      </c>
      <c r="C1140" s="1">
        <v>46</v>
      </c>
      <c r="D1140">
        <v>0</v>
      </c>
      <c r="E1140">
        <v>0</v>
      </c>
      <c r="F1140">
        <v>1</v>
      </c>
      <c r="G1140" s="7">
        <v>0.05</v>
      </c>
      <c r="H1140">
        <v>12</v>
      </c>
      <c r="I1140">
        <v>0</v>
      </c>
      <c r="J1140">
        <v>0</v>
      </c>
      <c r="K1140">
        <v>0</v>
      </c>
      <c r="L1140">
        <v>1</v>
      </c>
      <c r="M1140">
        <v>2</v>
      </c>
      <c r="N1140" s="7">
        <v>9</v>
      </c>
      <c r="O1140" s="7">
        <v>0</v>
      </c>
      <c r="P1140" s="7">
        <v>0</v>
      </c>
      <c r="Q1140" s="7">
        <v>0</v>
      </c>
      <c r="R1140" s="7">
        <v>1</v>
      </c>
      <c r="S1140" s="7">
        <v>4.5</v>
      </c>
      <c r="T1140">
        <v>7</v>
      </c>
      <c r="U1140" s="1">
        <v>34</v>
      </c>
      <c r="V1140">
        <v>0</v>
      </c>
      <c r="W1140">
        <v>0</v>
      </c>
      <c r="X1140">
        <v>1</v>
      </c>
      <c r="Y1140">
        <v>0.16</v>
      </c>
      <c r="Z1140">
        <v>23</v>
      </c>
      <c r="AA1140">
        <v>0</v>
      </c>
      <c r="AB1140">
        <v>0</v>
      </c>
      <c r="AC1140">
        <v>0</v>
      </c>
      <c r="AD1140">
        <v>1</v>
      </c>
      <c r="AE1140">
        <v>0.05</v>
      </c>
      <c r="AF1140">
        <v>15</v>
      </c>
      <c r="AG1140">
        <v>0</v>
      </c>
      <c r="AH1140">
        <v>0</v>
      </c>
      <c r="AI1140">
        <v>0</v>
      </c>
      <c r="AJ1140">
        <v>1</v>
      </c>
      <c r="AK1140">
        <v>0.02</v>
      </c>
      <c r="AL1140">
        <v>16</v>
      </c>
      <c r="AM1140">
        <v>0</v>
      </c>
      <c r="AN1140">
        <v>0</v>
      </c>
      <c r="AO1140">
        <v>0</v>
      </c>
      <c r="AP1140">
        <v>1</v>
      </c>
      <c r="AQ1140">
        <v>0.01</v>
      </c>
      <c r="AX1140">
        <v>7</v>
      </c>
      <c r="AY1140" s="1">
        <v>18</v>
      </c>
      <c r="AZ1140">
        <v>0</v>
      </c>
      <c r="BA1140">
        <v>0</v>
      </c>
      <c r="BB1140">
        <v>1</v>
      </c>
      <c r="BC1140" s="7">
        <v>0.32</v>
      </c>
      <c r="BD1140">
        <v>30</v>
      </c>
      <c r="BE1140">
        <v>0</v>
      </c>
      <c r="BF1140">
        <v>0</v>
      </c>
      <c r="BG1140">
        <v>0</v>
      </c>
      <c r="BH1140">
        <v>5</v>
      </c>
      <c r="BI1140">
        <v>2.4</v>
      </c>
      <c r="BJ1140">
        <v>31</v>
      </c>
      <c r="BK1140">
        <v>0</v>
      </c>
      <c r="BL1140">
        <v>0</v>
      </c>
      <c r="BM1140">
        <v>0</v>
      </c>
      <c r="BN1140">
        <v>5</v>
      </c>
      <c r="BO1140">
        <v>2.4</v>
      </c>
      <c r="BP1140">
        <v>36</v>
      </c>
      <c r="BQ1140">
        <v>0</v>
      </c>
      <c r="BR1140">
        <v>0</v>
      </c>
      <c r="BS1140">
        <v>0</v>
      </c>
      <c r="BT1140">
        <v>5</v>
      </c>
      <c r="BU1140">
        <v>1.9</v>
      </c>
    </row>
    <row r="1141" spans="1:73" ht="14.25" x14ac:dyDescent="0.15">
      <c r="A1141" s="12">
        <v>20738</v>
      </c>
      <c r="B1141">
        <v>7</v>
      </c>
      <c r="C1141" s="1">
        <v>47</v>
      </c>
      <c r="D1141">
        <v>0</v>
      </c>
      <c r="E1141">
        <v>0</v>
      </c>
      <c r="F1141">
        <v>1</v>
      </c>
      <c r="G1141" s="7">
        <v>0.05</v>
      </c>
      <c r="H1141">
        <v>12</v>
      </c>
      <c r="I1141">
        <v>0</v>
      </c>
      <c r="J1141">
        <v>0</v>
      </c>
      <c r="K1141">
        <v>0</v>
      </c>
      <c r="L1141">
        <v>1</v>
      </c>
      <c r="M1141">
        <v>2</v>
      </c>
      <c r="N1141" s="7">
        <v>9</v>
      </c>
      <c r="O1141" s="7">
        <v>0</v>
      </c>
      <c r="P1141" s="7">
        <v>0</v>
      </c>
      <c r="Q1141" s="7">
        <v>0</v>
      </c>
      <c r="R1141" s="7">
        <v>1</v>
      </c>
      <c r="S1141" s="7">
        <v>4.5</v>
      </c>
      <c r="T1141">
        <v>7</v>
      </c>
      <c r="U1141" s="1">
        <v>35</v>
      </c>
      <c r="V1141">
        <v>0</v>
      </c>
      <c r="W1141">
        <v>0</v>
      </c>
      <c r="X1141">
        <v>1</v>
      </c>
      <c r="Y1141">
        <v>0.16</v>
      </c>
      <c r="Z1141">
        <v>23</v>
      </c>
      <c r="AA1141">
        <v>0</v>
      </c>
      <c r="AB1141">
        <v>0</v>
      </c>
      <c r="AC1141">
        <v>0</v>
      </c>
      <c r="AD1141">
        <v>1</v>
      </c>
      <c r="AE1141">
        <v>0.05</v>
      </c>
      <c r="AF1141">
        <v>15</v>
      </c>
      <c r="AG1141">
        <v>0</v>
      </c>
      <c r="AH1141">
        <v>0</v>
      </c>
      <c r="AI1141">
        <v>0</v>
      </c>
      <c r="AJ1141">
        <v>1</v>
      </c>
      <c r="AK1141">
        <v>0.02</v>
      </c>
      <c r="AL1141">
        <v>16</v>
      </c>
      <c r="AM1141">
        <v>0</v>
      </c>
      <c r="AN1141">
        <v>0</v>
      </c>
      <c r="AO1141">
        <v>0</v>
      </c>
      <c r="AP1141">
        <v>1</v>
      </c>
      <c r="AQ1141">
        <v>0.01</v>
      </c>
      <c r="AX1141">
        <v>7</v>
      </c>
      <c r="AY1141" s="1">
        <v>19</v>
      </c>
      <c r="AZ1141">
        <v>0</v>
      </c>
      <c r="BA1141">
        <v>0</v>
      </c>
      <c r="BB1141">
        <v>1</v>
      </c>
      <c r="BC1141" s="7">
        <v>0.32</v>
      </c>
      <c r="BD1141">
        <v>30</v>
      </c>
      <c r="BE1141">
        <v>0</v>
      </c>
      <c r="BF1141">
        <v>0</v>
      </c>
      <c r="BG1141">
        <v>0</v>
      </c>
      <c r="BH1141">
        <v>5</v>
      </c>
      <c r="BI1141">
        <v>2.4</v>
      </c>
      <c r="BJ1141">
        <v>31</v>
      </c>
      <c r="BK1141">
        <v>0</v>
      </c>
      <c r="BL1141">
        <v>0</v>
      </c>
      <c r="BM1141">
        <v>0</v>
      </c>
      <c r="BN1141">
        <v>5</v>
      </c>
      <c r="BO1141">
        <v>2.4</v>
      </c>
      <c r="BP1141">
        <v>36</v>
      </c>
      <c r="BQ1141">
        <v>0</v>
      </c>
      <c r="BR1141">
        <v>0</v>
      </c>
      <c r="BS1141">
        <v>0</v>
      </c>
      <c r="BT1141">
        <v>5</v>
      </c>
      <c r="BU1141">
        <v>1.9</v>
      </c>
    </row>
    <row r="1142" spans="1:73" ht="14.25" x14ac:dyDescent="0.15">
      <c r="A1142" s="12">
        <v>20739</v>
      </c>
      <c r="B1142">
        <v>7</v>
      </c>
      <c r="C1142" s="1">
        <v>48</v>
      </c>
      <c r="D1142">
        <v>0</v>
      </c>
      <c r="E1142">
        <v>0</v>
      </c>
      <c r="F1142">
        <v>1</v>
      </c>
      <c r="G1142" s="7">
        <v>0.05</v>
      </c>
      <c r="H1142">
        <v>12</v>
      </c>
      <c r="I1142">
        <v>0</v>
      </c>
      <c r="J1142">
        <v>0</v>
      </c>
      <c r="K1142">
        <v>0</v>
      </c>
      <c r="L1142">
        <v>1</v>
      </c>
      <c r="M1142">
        <v>2</v>
      </c>
      <c r="N1142" s="7">
        <v>9</v>
      </c>
      <c r="O1142" s="7">
        <v>0</v>
      </c>
      <c r="P1142" s="7">
        <v>0</v>
      </c>
      <c r="Q1142" s="7">
        <v>0</v>
      </c>
      <c r="R1142" s="7">
        <v>1</v>
      </c>
      <c r="S1142" s="7">
        <v>4.5</v>
      </c>
      <c r="T1142">
        <v>7</v>
      </c>
      <c r="U1142" s="1">
        <v>36</v>
      </c>
      <c r="V1142">
        <v>0</v>
      </c>
      <c r="W1142">
        <v>0</v>
      </c>
      <c r="X1142">
        <v>1</v>
      </c>
      <c r="Y1142">
        <v>0.16</v>
      </c>
      <c r="Z1142">
        <v>23</v>
      </c>
      <c r="AA1142">
        <v>0</v>
      </c>
      <c r="AB1142">
        <v>0</v>
      </c>
      <c r="AC1142">
        <v>0</v>
      </c>
      <c r="AD1142">
        <v>1</v>
      </c>
      <c r="AE1142">
        <v>0.05</v>
      </c>
      <c r="AF1142">
        <v>15</v>
      </c>
      <c r="AG1142">
        <v>0</v>
      </c>
      <c r="AH1142">
        <v>0</v>
      </c>
      <c r="AI1142">
        <v>0</v>
      </c>
      <c r="AJ1142">
        <v>1</v>
      </c>
      <c r="AK1142">
        <v>0.02</v>
      </c>
      <c r="AL1142">
        <v>16</v>
      </c>
      <c r="AM1142">
        <v>0</v>
      </c>
      <c r="AN1142">
        <v>0</v>
      </c>
      <c r="AO1142">
        <v>0</v>
      </c>
      <c r="AP1142">
        <v>1</v>
      </c>
      <c r="AQ1142">
        <v>0.01</v>
      </c>
      <c r="AX1142">
        <v>7</v>
      </c>
      <c r="AY1142" s="1">
        <v>20</v>
      </c>
      <c r="AZ1142">
        <v>0</v>
      </c>
      <c r="BA1142">
        <v>0</v>
      </c>
      <c r="BB1142">
        <v>1</v>
      </c>
      <c r="BC1142" s="7">
        <v>0.32</v>
      </c>
      <c r="BD1142">
        <v>30</v>
      </c>
      <c r="BE1142">
        <v>0</v>
      </c>
      <c r="BF1142">
        <v>0</v>
      </c>
      <c r="BG1142">
        <v>0</v>
      </c>
      <c r="BH1142">
        <v>5</v>
      </c>
      <c r="BI1142">
        <v>2.4</v>
      </c>
      <c r="BJ1142">
        <v>31</v>
      </c>
      <c r="BK1142">
        <v>0</v>
      </c>
      <c r="BL1142">
        <v>0</v>
      </c>
      <c r="BM1142">
        <v>0</v>
      </c>
      <c r="BN1142">
        <v>5</v>
      </c>
      <c r="BO1142">
        <v>2.4</v>
      </c>
      <c r="BP1142">
        <v>36</v>
      </c>
      <c r="BQ1142">
        <v>0</v>
      </c>
      <c r="BR1142">
        <v>0</v>
      </c>
      <c r="BS1142">
        <v>0</v>
      </c>
      <c r="BT1142">
        <v>5</v>
      </c>
      <c r="BU1142">
        <v>1.9</v>
      </c>
    </row>
    <row r="1143" spans="1:73" ht="14.25" x14ac:dyDescent="0.15">
      <c r="A1143" s="12">
        <v>20740</v>
      </c>
      <c r="B1143">
        <v>7</v>
      </c>
      <c r="C1143" s="1">
        <v>0</v>
      </c>
      <c r="D1143">
        <v>5</v>
      </c>
      <c r="E1143">
        <v>1</v>
      </c>
      <c r="F1143">
        <v>1</v>
      </c>
      <c r="G1143" s="7">
        <v>0.05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2</v>
      </c>
      <c r="N1143" s="7">
        <v>9</v>
      </c>
      <c r="O1143" s="7">
        <v>0</v>
      </c>
      <c r="P1143" s="7">
        <v>0</v>
      </c>
      <c r="Q1143" s="7">
        <v>0</v>
      </c>
      <c r="R1143" s="7">
        <v>1</v>
      </c>
      <c r="S1143" s="7">
        <v>4.5</v>
      </c>
      <c r="T1143">
        <v>7</v>
      </c>
      <c r="U1143" s="1">
        <v>0</v>
      </c>
      <c r="V1143">
        <v>4</v>
      </c>
      <c r="W1143">
        <v>2</v>
      </c>
      <c r="X1143">
        <v>1</v>
      </c>
      <c r="Y1143">
        <v>0.16</v>
      </c>
      <c r="Z1143">
        <v>23</v>
      </c>
      <c r="AA1143">
        <v>0</v>
      </c>
      <c r="AB1143">
        <v>0</v>
      </c>
      <c r="AC1143">
        <v>0</v>
      </c>
      <c r="AD1143">
        <v>1</v>
      </c>
      <c r="AE1143">
        <v>0.05</v>
      </c>
      <c r="AF1143">
        <v>15</v>
      </c>
      <c r="AG1143">
        <v>0</v>
      </c>
      <c r="AH1143">
        <v>0</v>
      </c>
      <c r="AI1143">
        <v>0</v>
      </c>
      <c r="AJ1143">
        <v>1</v>
      </c>
      <c r="AK1143">
        <v>0.02</v>
      </c>
      <c r="AL1143">
        <v>16</v>
      </c>
      <c r="AM1143">
        <v>0</v>
      </c>
      <c r="AN1143">
        <v>0</v>
      </c>
      <c r="AO1143">
        <v>0</v>
      </c>
      <c r="AP1143">
        <v>1</v>
      </c>
      <c r="AQ1143">
        <v>0.01</v>
      </c>
      <c r="AR1143">
        <v>6</v>
      </c>
      <c r="AS1143">
        <v>2</v>
      </c>
      <c r="AT1143">
        <v>3</v>
      </c>
      <c r="AU1143">
        <v>5</v>
      </c>
      <c r="AV1143">
        <v>1</v>
      </c>
      <c r="AW1143">
        <v>0.05</v>
      </c>
      <c r="AX1143">
        <v>7</v>
      </c>
      <c r="AY1143" s="1">
        <v>0</v>
      </c>
      <c r="AZ1143">
        <v>3</v>
      </c>
      <c r="BA1143">
        <v>1</v>
      </c>
      <c r="BB1143">
        <v>1</v>
      </c>
      <c r="BC1143" s="7">
        <v>0.32</v>
      </c>
      <c r="BD1143">
        <v>30</v>
      </c>
      <c r="BE1143">
        <v>0</v>
      </c>
      <c r="BF1143">
        <v>0</v>
      </c>
      <c r="BG1143">
        <v>0</v>
      </c>
      <c r="BH1143">
        <v>5</v>
      </c>
      <c r="BI1143">
        <v>2.4</v>
      </c>
      <c r="BJ1143">
        <v>31</v>
      </c>
      <c r="BK1143">
        <v>0</v>
      </c>
      <c r="BL1143">
        <v>0</v>
      </c>
      <c r="BM1143">
        <v>0</v>
      </c>
      <c r="BN1143">
        <v>5</v>
      </c>
      <c r="BO1143">
        <v>2.4</v>
      </c>
      <c r="BP1143">
        <v>36</v>
      </c>
      <c r="BQ1143">
        <v>0</v>
      </c>
      <c r="BR1143">
        <v>0</v>
      </c>
      <c r="BS1143">
        <v>0</v>
      </c>
      <c r="BT1143">
        <v>5</v>
      </c>
      <c r="BU1143">
        <v>1.9</v>
      </c>
    </row>
    <row r="1144" spans="1:73" ht="14.25" x14ac:dyDescent="0.15">
      <c r="A1144" s="12">
        <v>20741</v>
      </c>
      <c r="B1144">
        <v>7</v>
      </c>
      <c r="C1144" s="1">
        <v>45</v>
      </c>
      <c r="D1144">
        <v>0</v>
      </c>
      <c r="E1144">
        <v>0</v>
      </c>
      <c r="F1144">
        <v>1</v>
      </c>
      <c r="G1144" s="7">
        <v>0.05</v>
      </c>
      <c r="H1144">
        <v>12</v>
      </c>
      <c r="I1144">
        <v>0</v>
      </c>
      <c r="J1144">
        <v>0</v>
      </c>
      <c r="K1144">
        <v>0</v>
      </c>
      <c r="L1144">
        <v>1</v>
      </c>
      <c r="M1144">
        <v>2</v>
      </c>
      <c r="N1144" s="7">
        <v>9</v>
      </c>
      <c r="O1144" s="7">
        <v>0</v>
      </c>
      <c r="P1144" s="7">
        <v>0</v>
      </c>
      <c r="Q1144" s="7">
        <v>0</v>
      </c>
      <c r="R1144" s="7">
        <v>1</v>
      </c>
      <c r="S1144" s="7">
        <v>4.5</v>
      </c>
      <c r="T1144">
        <v>7</v>
      </c>
      <c r="U1144" s="1">
        <v>33</v>
      </c>
      <c r="V1144">
        <v>0</v>
      </c>
      <c r="W1144">
        <v>0</v>
      </c>
      <c r="X1144">
        <v>1</v>
      </c>
      <c r="Y1144">
        <v>0.16</v>
      </c>
      <c r="Z1144">
        <v>23</v>
      </c>
      <c r="AA1144">
        <v>0</v>
      </c>
      <c r="AB1144">
        <v>0</v>
      </c>
      <c r="AC1144">
        <v>0</v>
      </c>
      <c r="AD1144">
        <v>1</v>
      </c>
      <c r="AE1144">
        <v>0.05</v>
      </c>
      <c r="AF1144">
        <v>15</v>
      </c>
      <c r="AG1144">
        <v>0</v>
      </c>
      <c r="AH1144">
        <v>0</v>
      </c>
      <c r="AI1144">
        <v>0</v>
      </c>
      <c r="AJ1144">
        <v>1</v>
      </c>
      <c r="AK1144">
        <v>0.02</v>
      </c>
      <c r="AL1144">
        <v>16</v>
      </c>
      <c r="AM1144">
        <v>0</v>
      </c>
      <c r="AN1144">
        <v>0</v>
      </c>
      <c r="AO1144">
        <v>0</v>
      </c>
      <c r="AP1144">
        <v>1</v>
      </c>
      <c r="AQ1144">
        <v>0.01</v>
      </c>
      <c r="AX1144">
        <v>7</v>
      </c>
      <c r="AY1144" s="1">
        <v>17</v>
      </c>
      <c r="AZ1144">
        <v>0</v>
      </c>
      <c r="BA1144">
        <v>0</v>
      </c>
      <c r="BB1144">
        <v>1</v>
      </c>
      <c r="BC1144" s="7">
        <v>0.32</v>
      </c>
      <c r="BD1144">
        <v>30</v>
      </c>
      <c r="BE1144">
        <v>0</v>
      </c>
      <c r="BF1144">
        <v>0</v>
      </c>
      <c r="BG1144">
        <v>0</v>
      </c>
      <c r="BH1144">
        <v>5</v>
      </c>
      <c r="BI1144">
        <v>2.4</v>
      </c>
      <c r="BJ1144">
        <v>31</v>
      </c>
      <c r="BK1144">
        <v>0</v>
      </c>
      <c r="BL1144">
        <v>0</v>
      </c>
      <c r="BM1144">
        <v>0</v>
      </c>
      <c r="BN1144">
        <v>5</v>
      </c>
      <c r="BO1144">
        <v>2.4</v>
      </c>
      <c r="BP1144">
        <v>36</v>
      </c>
      <c r="BQ1144">
        <v>0</v>
      </c>
      <c r="BR1144">
        <v>0</v>
      </c>
      <c r="BS1144">
        <v>0</v>
      </c>
      <c r="BT1144">
        <v>5</v>
      </c>
      <c r="BU1144">
        <v>1.9</v>
      </c>
    </row>
    <row r="1145" spans="1:73" ht="14.25" x14ac:dyDescent="0.15">
      <c r="A1145" s="12">
        <v>20742</v>
      </c>
      <c r="B1145">
        <v>7</v>
      </c>
      <c r="C1145" s="1">
        <v>46</v>
      </c>
      <c r="D1145">
        <v>0</v>
      </c>
      <c r="E1145">
        <v>0</v>
      </c>
      <c r="F1145">
        <v>1</v>
      </c>
      <c r="G1145" s="7">
        <v>0.05</v>
      </c>
      <c r="H1145">
        <v>12</v>
      </c>
      <c r="I1145">
        <v>0</v>
      </c>
      <c r="J1145">
        <v>0</v>
      </c>
      <c r="K1145">
        <v>0</v>
      </c>
      <c r="L1145">
        <v>1</v>
      </c>
      <c r="M1145">
        <v>2</v>
      </c>
      <c r="N1145" s="7">
        <v>9</v>
      </c>
      <c r="O1145" s="7">
        <v>0</v>
      </c>
      <c r="P1145" s="7">
        <v>0</v>
      </c>
      <c r="Q1145" s="7">
        <v>0</v>
      </c>
      <c r="R1145" s="7">
        <v>1</v>
      </c>
      <c r="S1145" s="7">
        <v>4.5</v>
      </c>
      <c r="T1145">
        <v>7</v>
      </c>
      <c r="U1145" s="1">
        <v>34</v>
      </c>
      <c r="V1145">
        <v>0</v>
      </c>
      <c r="W1145">
        <v>0</v>
      </c>
      <c r="X1145">
        <v>1</v>
      </c>
      <c r="Y1145">
        <v>0.16</v>
      </c>
      <c r="Z1145">
        <v>23</v>
      </c>
      <c r="AA1145">
        <v>0</v>
      </c>
      <c r="AB1145">
        <v>0</v>
      </c>
      <c r="AC1145">
        <v>0</v>
      </c>
      <c r="AD1145">
        <v>1</v>
      </c>
      <c r="AE1145">
        <v>0.05</v>
      </c>
      <c r="AF1145">
        <v>15</v>
      </c>
      <c r="AG1145">
        <v>0</v>
      </c>
      <c r="AH1145">
        <v>0</v>
      </c>
      <c r="AI1145">
        <v>0</v>
      </c>
      <c r="AJ1145">
        <v>1</v>
      </c>
      <c r="AK1145">
        <v>0.02</v>
      </c>
      <c r="AL1145">
        <v>16</v>
      </c>
      <c r="AM1145">
        <v>0</v>
      </c>
      <c r="AN1145">
        <v>0</v>
      </c>
      <c r="AO1145">
        <v>0</v>
      </c>
      <c r="AP1145">
        <v>1</v>
      </c>
      <c r="AQ1145">
        <v>0.01</v>
      </c>
      <c r="AX1145">
        <v>7</v>
      </c>
      <c r="AY1145" s="1">
        <v>18</v>
      </c>
      <c r="AZ1145">
        <v>0</v>
      </c>
      <c r="BA1145">
        <v>0</v>
      </c>
      <c r="BB1145">
        <v>1</v>
      </c>
      <c r="BC1145" s="7">
        <v>0.32</v>
      </c>
      <c r="BD1145">
        <v>30</v>
      </c>
      <c r="BE1145">
        <v>0</v>
      </c>
      <c r="BF1145">
        <v>0</v>
      </c>
      <c r="BG1145">
        <v>0</v>
      </c>
      <c r="BH1145">
        <v>5</v>
      </c>
      <c r="BI1145">
        <v>2.4</v>
      </c>
      <c r="BJ1145">
        <v>31</v>
      </c>
      <c r="BK1145">
        <v>0</v>
      </c>
      <c r="BL1145">
        <v>0</v>
      </c>
      <c r="BM1145">
        <v>0</v>
      </c>
      <c r="BN1145">
        <v>5</v>
      </c>
      <c r="BO1145">
        <v>2.4</v>
      </c>
      <c r="BP1145">
        <v>36</v>
      </c>
      <c r="BQ1145">
        <v>0</v>
      </c>
      <c r="BR1145">
        <v>0</v>
      </c>
      <c r="BS1145">
        <v>0</v>
      </c>
      <c r="BT1145">
        <v>5</v>
      </c>
      <c r="BU1145">
        <v>1.9</v>
      </c>
    </row>
    <row r="1146" spans="1:73" ht="14.25" x14ac:dyDescent="0.15">
      <c r="A1146" s="12">
        <v>20743</v>
      </c>
      <c r="B1146">
        <v>7</v>
      </c>
      <c r="C1146" s="1">
        <v>47</v>
      </c>
      <c r="D1146">
        <v>0</v>
      </c>
      <c r="E1146">
        <v>0</v>
      </c>
      <c r="F1146">
        <v>1</v>
      </c>
      <c r="G1146" s="7">
        <v>0.05</v>
      </c>
      <c r="H1146">
        <v>12</v>
      </c>
      <c r="I1146">
        <v>0</v>
      </c>
      <c r="J1146">
        <v>0</v>
      </c>
      <c r="K1146">
        <v>0</v>
      </c>
      <c r="L1146">
        <v>1</v>
      </c>
      <c r="M1146">
        <v>2</v>
      </c>
      <c r="N1146" s="7">
        <v>9</v>
      </c>
      <c r="O1146" s="7">
        <v>0</v>
      </c>
      <c r="P1146" s="7">
        <v>0</v>
      </c>
      <c r="Q1146" s="7">
        <v>0</v>
      </c>
      <c r="R1146" s="7">
        <v>1</v>
      </c>
      <c r="S1146" s="7">
        <v>4.5</v>
      </c>
      <c r="T1146">
        <v>7</v>
      </c>
      <c r="U1146" s="1">
        <v>35</v>
      </c>
      <c r="V1146">
        <v>0</v>
      </c>
      <c r="W1146">
        <v>0</v>
      </c>
      <c r="X1146">
        <v>1</v>
      </c>
      <c r="Y1146">
        <v>0.16</v>
      </c>
      <c r="Z1146">
        <v>23</v>
      </c>
      <c r="AA1146">
        <v>0</v>
      </c>
      <c r="AB1146">
        <v>0</v>
      </c>
      <c r="AC1146">
        <v>0</v>
      </c>
      <c r="AD1146">
        <v>1</v>
      </c>
      <c r="AE1146">
        <v>0.05</v>
      </c>
      <c r="AF1146">
        <v>15</v>
      </c>
      <c r="AG1146">
        <v>0</v>
      </c>
      <c r="AH1146">
        <v>0</v>
      </c>
      <c r="AI1146">
        <v>0</v>
      </c>
      <c r="AJ1146">
        <v>1</v>
      </c>
      <c r="AK1146">
        <v>0.02</v>
      </c>
      <c r="AL1146">
        <v>16</v>
      </c>
      <c r="AM1146">
        <v>0</v>
      </c>
      <c r="AN1146">
        <v>0</v>
      </c>
      <c r="AO1146">
        <v>0</v>
      </c>
      <c r="AP1146">
        <v>1</v>
      </c>
      <c r="AQ1146">
        <v>0.01</v>
      </c>
      <c r="AX1146">
        <v>7</v>
      </c>
      <c r="AY1146" s="1">
        <v>19</v>
      </c>
      <c r="AZ1146">
        <v>0</v>
      </c>
      <c r="BA1146">
        <v>0</v>
      </c>
      <c r="BB1146">
        <v>1</v>
      </c>
      <c r="BC1146" s="7">
        <v>0.32</v>
      </c>
      <c r="BD1146">
        <v>30</v>
      </c>
      <c r="BE1146">
        <v>0</v>
      </c>
      <c r="BF1146">
        <v>0</v>
      </c>
      <c r="BG1146">
        <v>0</v>
      </c>
      <c r="BH1146">
        <v>5</v>
      </c>
      <c r="BI1146">
        <v>2.4</v>
      </c>
      <c r="BJ1146">
        <v>31</v>
      </c>
      <c r="BK1146">
        <v>0</v>
      </c>
      <c r="BL1146">
        <v>0</v>
      </c>
      <c r="BM1146">
        <v>0</v>
      </c>
      <c r="BN1146">
        <v>5</v>
      </c>
      <c r="BO1146">
        <v>2.4</v>
      </c>
      <c r="BP1146">
        <v>36</v>
      </c>
      <c r="BQ1146">
        <v>0</v>
      </c>
      <c r="BR1146">
        <v>0</v>
      </c>
      <c r="BS1146">
        <v>0</v>
      </c>
      <c r="BT1146">
        <v>5</v>
      </c>
      <c r="BU1146">
        <v>1.9</v>
      </c>
    </row>
    <row r="1147" spans="1:73" ht="14.25" x14ac:dyDescent="0.15">
      <c r="A1147" s="12">
        <v>20744</v>
      </c>
      <c r="B1147">
        <v>7</v>
      </c>
      <c r="C1147" s="1">
        <v>48</v>
      </c>
      <c r="D1147">
        <v>0</v>
      </c>
      <c r="E1147">
        <v>0</v>
      </c>
      <c r="F1147">
        <v>1</v>
      </c>
      <c r="G1147" s="7">
        <v>0.05</v>
      </c>
      <c r="H1147">
        <v>12</v>
      </c>
      <c r="I1147">
        <v>0</v>
      </c>
      <c r="J1147">
        <v>0</v>
      </c>
      <c r="K1147">
        <v>0</v>
      </c>
      <c r="L1147">
        <v>1</v>
      </c>
      <c r="M1147">
        <v>2</v>
      </c>
      <c r="N1147" s="7">
        <v>9</v>
      </c>
      <c r="O1147" s="7">
        <v>0</v>
      </c>
      <c r="P1147" s="7">
        <v>0</v>
      </c>
      <c r="Q1147" s="7">
        <v>0</v>
      </c>
      <c r="R1147" s="7">
        <v>1</v>
      </c>
      <c r="S1147" s="7">
        <v>4.5</v>
      </c>
      <c r="T1147">
        <v>7</v>
      </c>
      <c r="U1147" s="1">
        <v>36</v>
      </c>
      <c r="V1147">
        <v>0</v>
      </c>
      <c r="W1147">
        <v>0</v>
      </c>
      <c r="X1147">
        <v>1</v>
      </c>
      <c r="Y1147">
        <v>0.16</v>
      </c>
      <c r="Z1147">
        <v>23</v>
      </c>
      <c r="AA1147">
        <v>0</v>
      </c>
      <c r="AB1147">
        <v>0</v>
      </c>
      <c r="AC1147">
        <v>0</v>
      </c>
      <c r="AD1147">
        <v>1</v>
      </c>
      <c r="AE1147">
        <v>0.05</v>
      </c>
      <c r="AF1147">
        <v>15</v>
      </c>
      <c r="AG1147">
        <v>0</v>
      </c>
      <c r="AH1147">
        <v>0</v>
      </c>
      <c r="AI1147">
        <v>0</v>
      </c>
      <c r="AJ1147">
        <v>1</v>
      </c>
      <c r="AK1147">
        <v>0.02</v>
      </c>
      <c r="AL1147">
        <v>16</v>
      </c>
      <c r="AM1147">
        <v>0</v>
      </c>
      <c r="AN1147">
        <v>0</v>
      </c>
      <c r="AO1147">
        <v>0</v>
      </c>
      <c r="AP1147">
        <v>1</v>
      </c>
      <c r="AQ1147">
        <v>0.01</v>
      </c>
      <c r="AX1147">
        <v>7</v>
      </c>
      <c r="AY1147" s="1">
        <v>20</v>
      </c>
      <c r="AZ1147">
        <v>0</v>
      </c>
      <c r="BA1147">
        <v>0</v>
      </c>
      <c r="BB1147">
        <v>1</v>
      </c>
      <c r="BC1147" s="7">
        <v>0.32</v>
      </c>
      <c r="BD1147">
        <v>30</v>
      </c>
      <c r="BE1147">
        <v>0</v>
      </c>
      <c r="BF1147">
        <v>0</v>
      </c>
      <c r="BG1147">
        <v>0</v>
      </c>
      <c r="BH1147">
        <v>5</v>
      </c>
      <c r="BI1147">
        <v>2.4</v>
      </c>
      <c r="BJ1147">
        <v>31</v>
      </c>
      <c r="BK1147">
        <v>0</v>
      </c>
      <c r="BL1147">
        <v>0</v>
      </c>
      <c r="BM1147">
        <v>0</v>
      </c>
      <c r="BN1147">
        <v>5</v>
      </c>
      <c r="BO1147">
        <v>2.4</v>
      </c>
      <c r="BP1147">
        <v>36</v>
      </c>
      <c r="BQ1147">
        <v>0</v>
      </c>
      <c r="BR1147">
        <v>0</v>
      </c>
      <c r="BS1147">
        <v>0</v>
      </c>
      <c r="BT1147">
        <v>5</v>
      </c>
      <c r="BU1147">
        <v>1.9</v>
      </c>
    </row>
    <row r="1148" spans="1:73" ht="14.25" x14ac:dyDescent="0.15">
      <c r="A1148" s="12">
        <v>20745</v>
      </c>
      <c r="B1148">
        <v>7</v>
      </c>
      <c r="C1148" s="1">
        <v>0</v>
      </c>
      <c r="D1148">
        <v>5</v>
      </c>
      <c r="E1148">
        <v>1</v>
      </c>
      <c r="F1148">
        <v>1</v>
      </c>
      <c r="G1148" s="7">
        <v>0.05</v>
      </c>
      <c r="H1148">
        <v>12</v>
      </c>
      <c r="I1148">
        <v>0</v>
      </c>
      <c r="J1148">
        <v>0</v>
      </c>
      <c r="K1148">
        <v>0</v>
      </c>
      <c r="L1148">
        <v>1</v>
      </c>
      <c r="M1148">
        <v>2</v>
      </c>
      <c r="N1148" s="7">
        <v>9</v>
      </c>
      <c r="O1148" s="7">
        <v>0</v>
      </c>
      <c r="P1148" s="7">
        <v>0</v>
      </c>
      <c r="Q1148" s="7">
        <v>0</v>
      </c>
      <c r="R1148" s="7">
        <v>1</v>
      </c>
      <c r="S1148" s="7">
        <v>4.5</v>
      </c>
      <c r="T1148">
        <v>7</v>
      </c>
      <c r="U1148" s="1">
        <v>0</v>
      </c>
      <c r="V1148">
        <v>4</v>
      </c>
      <c r="W1148">
        <v>2</v>
      </c>
      <c r="X1148">
        <v>1</v>
      </c>
      <c r="Y1148">
        <v>0.16</v>
      </c>
      <c r="Z1148">
        <v>23</v>
      </c>
      <c r="AA1148">
        <v>0</v>
      </c>
      <c r="AB1148">
        <v>0</v>
      </c>
      <c r="AC1148">
        <v>0</v>
      </c>
      <c r="AD1148">
        <v>1</v>
      </c>
      <c r="AE1148">
        <v>0.05</v>
      </c>
      <c r="AF1148">
        <v>15</v>
      </c>
      <c r="AG1148">
        <v>0</v>
      </c>
      <c r="AH1148">
        <v>0</v>
      </c>
      <c r="AI1148">
        <v>0</v>
      </c>
      <c r="AJ1148">
        <v>1</v>
      </c>
      <c r="AK1148">
        <v>0.02</v>
      </c>
      <c r="AL1148">
        <v>16</v>
      </c>
      <c r="AM1148">
        <v>0</v>
      </c>
      <c r="AN1148">
        <v>0</v>
      </c>
      <c r="AO1148">
        <v>0</v>
      </c>
      <c r="AP1148">
        <v>1</v>
      </c>
      <c r="AQ1148">
        <v>0.01</v>
      </c>
      <c r="AR1148">
        <v>6</v>
      </c>
      <c r="AS1148">
        <v>2</v>
      </c>
      <c r="AT1148">
        <v>4</v>
      </c>
      <c r="AU1148">
        <v>5</v>
      </c>
      <c r="AV1148">
        <v>1</v>
      </c>
      <c r="AW1148">
        <v>0.01</v>
      </c>
      <c r="AX1148">
        <v>7</v>
      </c>
      <c r="AY1148" s="1">
        <v>0</v>
      </c>
      <c r="AZ1148">
        <v>3</v>
      </c>
      <c r="BA1148">
        <v>1</v>
      </c>
      <c r="BB1148">
        <v>1</v>
      </c>
      <c r="BC1148" s="7">
        <v>0.32</v>
      </c>
      <c r="BD1148">
        <v>30</v>
      </c>
      <c r="BE1148">
        <v>0</v>
      </c>
      <c r="BF1148">
        <v>0</v>
      </c>
      <c r="BG1148">
        <v>0</v>
      </c>
      <c r="BH1148">
        <v>5</v>
      </c>
      <c r="BI1148">
        <v>2.4</v>
      </c>
      <c r="BJ1148">
        <v>31</v>
      </c>
      <c r="BK1148">
        <v>0</v>
      </c>
      <c r="BL1148">
        <v>0</v>
      </c>
      <c r="BM1148">
        <v>0</v>
      </c>
      <c r="BN1148">
        <v>5</v>
      </c>
      <c r="BO1148">
        <v>2.4</v>
      </c>
      <c r="BP1148">
        <v>36</v>
      </c>
      <c r="BQ1148">
        <v>0</v>
      </c>
      <c r="BR1148">
        <v>0</v>
      </c>
      <c r="BS1148">
        <v>0</v>
      </c>
      <c r="BT1148">
        <v>5</v>
      </c>
      <c r="BU1148">
        <v>1.9</v>
      </c>
    </row>
    <row r="1149" spans="1:73" ht="14.25" x14ac:dyDescent="0.15">
      <c r="A1149" s="12">
        <v>20746</v>
      </c>
      <c r="B1149">
        <v>7</v>
      </c>
      <c r="C1149" s="1">
        <v>45</v>
      </c>
      <c r="D1149">
        <v>0</v>
      </c>
      <c r="E1149">
        <v>0</v>
      </c>
      <c r="F1149">
        <v>1</v>
      </c>
      <c r="G1149" s="7">
        <v>0.05</v>
      </c>
      <c r="H1149">
        <v>12</v>
      </c>
      <c r="I1149">
        <v>0</v>
      </c>
      <c r="J1149">
        <v>0</v>
      </c>
      <c r="K1149">
        <v>0</v>
      </c>
      <c r="L1149">
        <v>1</v>
      </c>
      <c r="M1149">
        <v>2</v>
      </c>
      <c r="N1149" s="7">
        <v>9</v>
      </c>
      <c r="O1149" s="7">
        <v>0</v>
      </c>
      <c r="P1149" s="7">
        <v>0</v>
      </c>
      <c r="Q1149" s="7">
        <v>0</v>
      </c>
      <c r="R1149" s="7">
        <v>1</v>
      </c>
      <c r="S1149" s="7">
        <v>4.5</v>
      </c>
      <c r="T1149">
        <v>7</v>
      </c>
      <c r="U1149" s="1">
        <v>33</v>
      </c>
      <c r="V1149">
        <v>0</v>
      </c>
      <c r="W1149">
        <v>0</v>
      </c>
      <c r="X1149">
        <v>1</v>
      </c>
      <c r="Y1149">
        <v>0.16</v>
      </c>
      <c r="Z1149">
        <v>23</v>
      </c>
      <c r="AA1149">
        <v>0</v>
      </c>
      <c r="AB1149">
        <v>0</v>
      </c>
      <c r="AC1149">
        <v>0</v>
      </c>
      <c r="AD1149">
        <v>1</v>
      </c>
      <c r="AE1149">
        <v>0.05</v>
      </c>
      <c r="AF1149">
        <v>15</v>
      </c>
      <c r="AG1149">
        <v>0</v>
      </c>
      <c r="AH1149">
        <v>0</v>
      </c>
      <c r="AI1149">
        <v>0</v>
      </c>
      <c r="AJ1149">
        <v>1</v>
      </c>
      <c r="AK1149">
        <v>0.02</v>
      </c>
      <c r="AL1149">
        <v>16</v>
      </c>
      <c r="AM1149">
        <v>0</v>
      </c>
      <c r="AN1149">
        <v>0</v>
      </c>
      <c r="AO1149">
        <v>0</v>
      </c>
      <c r="AP1149">
        <v>1</v>
      </c>
      <c r="AQ1149">
        <v>0.01</v>
      </c>
      <c r="AX1149">
        <v>7</v>
      </c>
      <c r="AY1149" s="1">
        <v>17</v>
      </c>
      <c r="AZ1149">
        <v>0</v>
      </c>
      <c r="BA1149">
        <v>0</v>
      </c>
      <c r="BB1149">
        <v>1</v>
      </c>
      <c r="BC1149" s="7">
        <v>0.32</v>
      </c>
      <c r="BD1149">
        <v>30</v>
      </c>
      <c r="BE1149">
        <v>0</v>
      </c>
      <c r="BF1149">
        <v>0</v>
      </c>
      <c r="BG1149">
        <v>0</v>
      </c>
      <c r="BH1149">
        <v>5</v>
      </c>
      <c r="BI1149">
        <v>2.4</v>
      </c>
      <c r="BJ1149">
        <v>31</v>
      </c>
      <c r="BK1149">
        <v>0</v>
      </c>
      <c r="BL1149">
        <v>0</v>
      </c>
      <c r="BM1149">
        <v>0</v>
      </c>
      <c r="BN1149">
        <v>5</v>
      </c>
      <c r="BO1149">
        <v>2.4</v>
      </c>
      <c r="BP1149">
        <v>36</v>
      </c>
      <c r="BQ1149">
        <v>0</v>
      </c>
      <c r="BR1149">
        <v>0</v>
      </c>
      <c r="BS1149">
        <v>0</v>
      </c>
      <c r="BT1149">
        <v>5</v>
      </c>
      <c r="BU1149">
        <v>1.9</v>
      </c>
    </row>
    <row r="1150" spans="1:73" ht="14.25" x14ac:dyDescent="0.15">
      <c r="A1150" s="12">
        <v>20747</v>
      </c>
      <c r="B1150">
        <v>7</v>
      </c>
      <c r="C1150" s="1">
        <v>46</v>
      </c>
      <c r="D1150">
        <v>0</v>
      </c>
      <c r="E1150">
        <v>0</v>
      </c>
      <c r="F1150">
        <v>1</v>
      </c>
      <c r="G1150" s="7">
        <v>0.05</v>
      </c>
      <c r="H1150">
        <v>12</v>
      </c>
      <c r="I1150">
        <v>0</v>
      </c>
      <c r="J1150">
        <v>0</v>
      </c>
      <c r="K1150">
        <v>0</v>
      </c>
      <c r="L1150">
        <v>1</v>
      </c>
      <c r="M1150">
        <v>2</v>
      </c>
      <c r="N1150" s="7">
        <v>9</v>
      </c>
      <c r="O1150" s="7">
        <v>0</v>
      </c>
      <c r="P1150" s="7">
        <v>0</v>
      </c>
      <c r="Q1150" s="7">
        <v>0</v>
      </c>
      <c r="R1150" s="7">
        <v>1</v>
      </c>
      <c r="S1150" s="7">
        <v>4.5</v>
      </c>
      <c r="T1150">
        <v>7</v>
      </c>
      <c r="U1150" s="1">
        <v>34</v>
      </c>
      <c r="V1150">
        <v>0</v>
      </c>
      <c r="W1150">
        <v>0</v>
      </c>
      <c r="X1150">
        <v>1</v>
      </c>
      <c r="Y1150">
        <v>0.16</v>
      </c>
      <c r="Z1150">
        <v>23</v>
      </c>
      <c r="AA1150">
        <v>0</v>
      </c>
      <c r="AB1150">
        <v>0</v>
      </c>
      <c r="AC1150">
        <v>0</v>
      </c>
      <c r="AD1150">
        <v>1</v>
      </c>
      <c r="AE1150">
        <v>0.05</v>
      </c>
      <c r="AF1150">
        <v>15</v>
      </c>
      <c r="AG1150">
        <v>0</v>
      </c>
      <c r="AH1150">
        <v>0</v>
      </c>
      <c r="AI1150">
        <v>0</v>
      </c>
      <c r="AJ1150">
        <v>1</v>
      </c>
      <c r="AK1150">
        <v>0.02</v>
      </c>
      <c r="AL1150">
        <v>16</v>
      </c>
      <c r="AM1150">
        <v>0</v>
      </c>
      <c r="AN1150">
        <v>0</v>
      </c>
      <c r="AO1150">
        <v>0</v>
      </c>
      <c r="AP1150">
        <v>1</v>
      </c>
      <c r="AQ1150">
        <v>0.01</v>
      </c>
      <c r="AX1150">
        <v>7</v>
      </c>
      <c r="AY1150" s="1">
        <v>18</v>
      </c>
      <c r="AZ1150">
        <v>0</v>
      </c>
      <c r="BA1150">
        <v>0</v>
      </c>
      <c r="BB1150">
        <v>1</v>
      </c>
      <c r="BC1150" s="7">
        <v>0.32</v>
      </c>
      <c r="BD1150">
        <v>30</v>
      </c>
      <c r="BE1150">
        <v>0</v>
      </c>
      <c r="BF1150">
        <v>0</v>
      </c>
      <c r="BG1150">
        <v>0</v>
      </c>
      <c r="BH1150">
        <v>5</v>
      </c>
      <c r="BI1150">
        <v>2.4</v>
      </c>
      <c r="BJ1150">
        <v>31</v>
      </c>
      <c r="BK1150">
        <v>0</v>
      </c>
      <c r="BL1150">
        <v>0</v>
      </c>
      <c r="BM1150">
        <v>0</v>
      </c>
      <c r="BN1150">
        <v>5</v>
      </c>
      <c r="BO1150">
        <v>2.4</v>
      </c>
      <c r="BP1150">
        <v>36</v>
      </c>
      <c r="BQ1150">
        <v>0</v>
      </c>
      <c r="BR1150">
        <v>0</v>
      </c>
      <c r="BS1150">
        <v>0</v>
      </c>
      <c r="BT1150">
        <v>5</v>
      </c>
      <c r="BU1150">
        <v>1.9</v>
      </c>
    </row>
    <row r="1151" spans="1:73" ht="14.25" x14ac:dyDescent="0.15">
      <c r="A1151" s="12">
        <v>20748</v>
      </c>
      <c r="B1151">
        <v>7</v>
      </c>
      <c r="C1151" s="1">
        <v>47</v>
      </c>
      <c r="D1151">
        <v>0</v>
      </c>
      <c r="E1151">
        <v>0</v>
      </c>
      <c r="F1151">
        <v>1</v>
      </c>
      <c r="G1151" s="7">
        <v>0.05</v>
      </c>
      <c r="H1151">
        <v>12</v>
      </c>
      <c r="I1151">
        <v>0</v>
      </c>
      <c r="J1151">
        <v>0</v>
      </c>
      <c r="K1151">
        <v>0</v>
      </c>
      <c r="L1151">
        <v>1</v>
      </c>
      <c r="M1151">
        <v>2</v>
      </c>
      <c r="N1151" s="7">
        <v>9</v>
      </c>
      <c r="O1151" s="7">
        <v>0</v>
      </c>
      <c r="P1151" s="7">
        <v>0</v>
      </c>
      <c r="Q1151" s="7">
        <v>0</v>
      </c>
      <c r="R1151" s="7">
        <v>1</v>
      </c>
      <c r="S1151" s="7">
        <v>4.5</v>
      </c>
      <c r="T1151">
        <v>7</v>
      </c>
      <c r="U1151" s="1">
        <v>35</v>
      </c>
      <c r="V1151">
        <v>0</v>
      </c>
      <c r="W1151">
        <v>0</v>
      </c>
      <c r="X1151">
        <v>1</v>
      </c>
      <c r="Y1151">
        <v>0.16</v>
      </c>
      <c r="Z1151">
        <v>23</v>
      </c>
      <c r="AA1151">
        <v>0</v>
      </c>
      <c r="AB1151">
        <v>0</v>
      </c>
      <c r="AC1151">
        <v>0</v>
      </c>
      <c r="AD1151">
        <v>1</v>
      </c>
      <c r="AE1151">
        <v>0.05</v>
      </c>
      <c r="AF1151">
        <v>15</v>
      </c>
      <c r="AG1151">
        <v>0</v>
      </c>
      <c r="AH1151">
        <v>0</v>
      </c>
      <c r="AI1151">
        <v>0</v>
      </c>
      <c r="AJ1151">
        <v>1</v>
      </c>
      <c r="AK1151">
        <v>0.02</v>
      </c>
      <c r="AL1151">
        <v>16</v>
      </c>
      <c r="AM1151">
        <v>0</v>
      </c>
      <c r="AN1151">
        <v>0</v>
      </c>
      <c r="AO1151">
        <v>0</v>
      </c>
      <c r="AP1151">
        <v>1</v>
      </c>
      <c r="AQ1151">
        <v>0.01</v>
      </c>
      <c r="AX1151">
        <v>7</v>
      </c>
      <c r="AY1151" s="1">
        <v>19</v>
      </c>
      <c r="AZ1151">
        <v>0</v>
      </c>
      <c r="BA1151">
        <v>0</v>
      </c>
      <c r="BB1151">
        <v>1</v>
      </c>
      <c r="BC1151" s="7">
        <v>0.32</v>
      </c>
      <c r="BD1151">
        <v>30</v>
      </c>
      <c r="BE1151">
        <v>0</v>
      </c>
      <c r="BF1151">
        <v>0</v>
      </c>
      <c r="BG1151">
        <v>0</v>
      </c>
      <c r="BH1151">
        <v>5</v>
      </c>
      <c r="BI1151">
        <v>2.4</v>
      </c>
      <c r="BJ1151">
        <v>31</v>
      </c>
      <c r="BK1151">
        <v>0</v>
      </c>
      <c r="BL1151">
        <v>0</v>
      </c>
      <c r="BM1151">
        <v>0</v>
      </c>
      <c r="BN1151">
        <v>5</v>
      </c>
      <c r="BO1151">
        <v>2.4</v>
      </c>
      <c r="BP1151">
        <v>36</v>
      </c>
      <c r="BQ1151">
        <v>0</v>
      </c>
      <c r="BR1151">
        <v>0</v>
      </c>
      <c r="BS1151">
        <v>0</v>
      </c>
      <c r="BT1151">
        <v>5</v>
      </c>
      <c r="BU1151">
        <v>1.9</v>
      </c>
    </row>
    <row r="1152" spans="1:73" ht="14.25" x14ac:dyDescent="0.15">
      <c r="A1152" s="12">
        <v>20749</v>
      </c>
      <c r="B1152">
        <v>7</v>
      </c>
      <c r="C1152" s="1">
        <v>48</v>
      </c>
      <c r="D1152">
        <v>0</v>
      </c>
      <c r="E1152">
        <v>0</v>
      </c>
      <c r="F1152">
        <v>1</v>
      </c>
      <c r="G1152" s="7">
        <v>0.05</v>
      </c>
      <c r="H1152">
        <v>12</v>
      </c>
      <c r="I1152">
        <v>0</v>
      </c>
      <c r="J1152">
        <v>0</v>
      </c>
      <c r="K1152">
        <v>0</v>
      </c>
      <c r="L1152">
        <v>1</v>
      </c>
      <c r="M1152">
        <v>2</v>
      </c>
      <c r="N1152" s="7">
        <v>9</v>
      </c>
      <c r="O1152" s="7">
        <v>0</v>
      </c>
      <c r="P1152" s="7">
        <v>0</v>
      </c>
      <c r="Q1152" s="7">
        <v>0</v>
      </c>
      <c r="R1152" s="7">
        <v>1</v>
      </c>
      <c r="S1152" s="7">
        <v>4.5</v>
      </c>
      <c r="T1152">
        <v>7</v>
      </c>
      <c r="U1152" s="1">
        <v>36</v>
      </c>
      <c r="V1152">
        <v>0</v>
      </c>
      <c r="W1152">
        <v>0</v>
      </c>
      <c r="X1152">
        <v>1</v>
      </c>
      <c r="Y1152">
        <v>0.16</v>
      </c>
      <c r="Z1152">
        <v>23</v>
      </c>
      <c r="AA1152">
        <v>0</v>
      </c>
      <c r="AB1152">
        <v>0</v>
      </c>
      <c r="AC1152">
        <v>0</v>
      </c>
      <c r="AD1152">
        <v>1</v>
      </c>
      <c r="AE1152">
        <v>0.05</v>
      </c>
      <c r="AF1152">
        <v>15</v>
      </c>
      <c r="AG1152">
        <v>0</v>
      </c>
      <c r="AH1152">
        <v>0</v>
      </c>
      <c r="AI1152">
        <v>0</v>
      </c>
      <c r="AJ1152">
        <v>1</v>
      </c>
      <c r="AK1152">
        <v>0.02</v>
      </c>
      <c r="AL1152">
        <v>16</v>
      </c>
      <c r="AM1152">
        <v>0</v>
      </c>
      <c r="AN1152">
        <v>0</v>
      </c>
      <c r="AO1152">
        <v>0</v>
      </c>
      <c r="AP1152">
        <v>1</v>
      </c>
      <c r="AQ1152">
        <v>0.01</v>
      </c>
      <c r="AX1152">
        <v>7</v>
      </c>
      <c r="AY1152" s="1">
        <v>20</v>
      </c>
      <c r="AZ1152">
        <v>0</v>
      </c>
      <c r="BA1152">
        <v>0</v>
      </c>
      <c r="BB1152">
        <v>1</v>
      </c>
      <c r="BC1152" s="7">
        <v>0.32</v>
      </c>
      <c r="BD1152">
        <v>30</v>
      </c>
      <c r="BE1152">
        <v>0</v>
      </c>
      <c r="BF1152">
        <v>0</v>
      </c>
      <c r="BG1152">
        <v>0</v>
      </c>
      <c r="BH1152">
        <v>5</v>
      </c>
      <c r="BI1152">
        <v>2.4</v>
      </c>
      <c r="BJ1152">
        <v>31</v>
      </c>
      <c r="BK1152">
        <v>0</v>
      </c>
      <c r="BL1152">
        <v>0</v>
      </c>
      <c r="BM1152">
        <v>0</v>
      </c>
      <c r="BN1152">
        <v>5</v>
      </c>
      <c r="BO1152">
        <v>2.4</v>
      </c>
      <c r="BP1152">
        <v>36</v>
      </c>
      <c r="BQ1152">
        <v>0</v>
      </c>
      <c r="BR1152">
        <v>0</v>
      </c>
      <c r="BS1152">
        <v>0</v>
      </c>
      <c r="BT1152">
        <v>5</v>
      </c>
      <c r="BU1152">
        <v>1.9</v>
      </c>
    </row>
    <row r="1153" spans="1:73" ht="14.25" x14ac:dyDescent="0.15">
      <c r="A1153" s="12">
        <v>20750</v>
      </c>
      <c r="B1153">
        <v>7</v>
      </c>
      <c r="C1153" s="1">
        <v>0</v>
      </c>
      <c r="D1153">
        <v>5</v>
      </c>
      <c r="E1153">
        <v>1</v>
      </c>
      <c r="F1153">
        <v>1</v>
      </c>
      <c r="G1153" s="7">
        <v>0.05</v>
      </c>
      <c r="H1153">
        <v>12</v>
      </c>
      <c r="I1153">
        <v>0</v>
      </c>
      <c r="J1153">
        <v>0</v>
      </c>
      <c r="K1153">
        <v>0</v>
      </c>
      <c r="L1153">
        <v>1</v>
      </c>
      <c r="M1153">
        <v>2</v>
      </c>
      <c r="N1153" s="7">
        <v>9</v>
      </c>
      <c r="O1153" s="7">
        <v>0</v>
      </c>
      <c r="P1153" s="7">
        <v>0</v>
      </c>
      <c r="Q1153" s="7">
        <v>0</v>
      </c>
      <c r="R1153" s="7">
        <v>1</v>
      </c>
      <c r="S1153" s="7">
        <v>4.5</v>
      </c>
      <c r="T1153">
        <v>7</v>
      </c>
      <c r="U1153" s="1">
        <v>0</v>
      </c>
      <c r="V1153">
        <v>4</v>
      </c>
      <c r="W1153">
        <v>2</v>
      </c>
      <c r="X1153">
        <v>1</v>
      </c>
      <c r="Y1153">
        <v>0.16</v>
      </c>
      <c r="Z1153">
        <v>23</v>
      </c>
      <c r="AA1153">
        <v>0</v>
      </c>
      <c r="AB1153">
        <v>0</v>
      </c>
      <c r="AC1153">
        <v>0</v>
      </c>
      <c r="AD1153">
        <v>1</v>
      </c>
      <c r="AE1153">
        <v>0.05</v>
      </c>
      <c r="AF1153">
        <v>15</v>
      </c>
      <c r="AG1153">
        <v>0</v>
      </c>
      <c r="AH1153">
        <v>0</v>
      </c>
      <c r="AI1153">
        <v>0</v>
      </c>
      <c r="AJ1153">
        <v>1</v>
      </c>
      <c r="AK1153">
        <v>0.02</v>
      </c>
      <c r="AL1153">
        <v>16</v>
      </c>
      <c r="AM1153">
        <v>0</v>
      </c>
      <c r="AN1153">
        <v>0</v>
      </c>
      <c r="AO1153">
        <v>0</v>
      </c>
      <c r="AP1153">
        <v>1</v>
      </c>
      <c r="AQ1153">
        <v>0.01</v>
      </c>
      <c r="AR1153">
        <v>6</v>
      </c>
      <c r="AS1153">
        <v>2</v>
      </c>
      <c r="AT1153">
        <v>5</v>
      </c>
      <c r="AU1153">
        <v>5</v>
      </c>
      <c r="AV1153">
        <v>1</v>
      </c>
      <c r="AW1153">
        <v>0.01</v>
      </c>
      <c r="AX1153">
        <v>7</v>
      </c>
      <c r="AY1153" s="1">
        <v>0</v>
      </c>
      <c r="AZ1153">
        <v>3</v>
      </c>
      <c r="BA1153">
        <v>1</v>
      </c>
      <c r="BB1153">
        <v>1</v>
      </c>
      <c r="BC1153" s="7">
        <v>0.32</v>
      </c>
      <c r="BD1153">
        <v>30</v>
      </c>
      <c r="BE1153">
        <v>0</v>
      </c>
      <c r="BF1153">
        <v>0</v>
      </c>
      <c r="BG1153">
        <v>0</v>
      </c>
      <c r="BH1153">
        <v>5</v>
      </c>
      <c r="BI1153">
        <v>2.4</v>
      </c>
      <c r="BJ1153">
        <v>31</v>
      </c>
      <c r="BK1153">
        <v>0</v>
      </c>
      <c r="BL1153">
        <v>0</v>
      </c>
      <c r="BM1153">
        <v>0</v>
      </c>
      <c r="BN1153">
        <v>5</v>
      </c>
      <c r="BO1153">
        <v>2.4</v>
      </c>
      <c r="BP1153">
        <v>36</v>
      </c>
      <c r="BQ1153">
        <v>0</v>
      </c>
      <c r="BR1153">
        <v>0</v>
      </c>
      <c r="BS1153">
        <v>0</v>
      </c>
      <c r="BT1153">
        <v>5</v>
      </c>
      <c r="BU1153">
        <v>1.9</v>
      </c>
    </row>
    <row r="1154" spans="1:73" ht="14.25" x14ac:dyDescent="0.15">
      <c r="A1154" s="12">
        <v>20801</v>
      </c>
      <c r="B1154">
        <v>7</v>
      </c>
      <c r="C1154" s="1">
        <v>45</v>
      </c>
      <c r="D1154">
        <v>0</v>
      </c>
      <c r="E1154">
        <v>0</v>
      </c>
      <c r="F1154">
        <v>1</v>
      </c>
      <c r="G1154" s="7">
        <v>0.05</v>
      </c>
      <c r="H1154">
        <v>12</v>
      </c>
      <c r="I1154">
        <v>0</v>
      </c>
      <c r="J1154">
        <v>0</v>
      </c>
      <c r="K1154">
        <v>0</v>
      </c>
      <c r="L1154">
        <v>1</v>
      </c>
      <c r="M1154">
        <v>2</v>
      </c>
      <c r="N1154" s="7">
        <v>9</v>
      </c>
      <c r="O1154" s="7">
        <v>0</v>
      </c>
      <c r="P1154" s="7">
        <v>0</v>
      </c>
      <c r="Q1154" s="7">
        <v>0</v>
      </c>
      <c r="R1154" s="7">
        <v>1</v>
      </c>
      <c r="S1154" s="7">
        <v>4.5</v>
      </c>
      <c r="T1154">
        <v>7</v>
      </c>
      <c r="U1154" s="1">
        <v>33</v>
      </c>
      <c r="V1154">
        <v>0</v>
      </c>
      <c r="W1154">
        <v>0</v>
      </c>
      <c r="X1154">
        <v>1</v>
      </c>
      <c r="Y1154">
        <v>0.16</v>
      </c>
      <c r="Z1154">
        <v>23</v>
      </c>
      <c r="AA1154">
        <v>0</v>
      </c>
      <c r="AB1154">
        <v>0</v>
      </c>
      <c r="AC1154">
        <v>0</v>
      </c>
      <c r="AD1154">
        <v>1</v>
      </c>
      <c r="AE1154">
        <v>0.05</v>
      </c>
      <c r="AF1154">
        <v>15</v>
      </c>
      <c r="AG1154">
        <v>0</v>
      </c>
      <c r="AH1154">
        <v>0</v>
      </c>
      <c r="AI1154">
        <v>0</v>
      </c>
      <c r="AJ1154">
        <v>1</v>
      </c>
      <c r="AK1154">
        <v>0.02</v>
      </c>
      <c r="AL1154">
        <v>16</v>
      </c>
      <c r="AM1154">
        <v>0</v>
      </c>
      <c r="AN1154">
        <v>0</v>
      </c>
      <c r="AO1154">
        <v>0</v>
      </c>
      <c r="AP1154">
        <v>1</v>
      </c>
      <c r="AQ1154">
        <v>0.01</v>
      </c>
      <c r="AX1154">
        <v>7</v>
      </c>
      <c r="AY1154" s="1">
        <v>17</v>
      </c>
      <c r="AZ1154">
        <v>0</v>
      </c>
      <c r="BA1154">
        <v>0</v>
      </c>
      <c r="BB1154">
        <v>1</v>
      </c>
      <c r="BC1154" s="7">
        <v>0.32</v>
      </c>
      <c r="BD1154">
        <v>30</v>
      </c>
      <c r="BE1154">
        <v>0</v>
      </c>
      <c r="BF1154">
        <v>0</v>
      </c>
      <c r="BG1154">
        <v>0</v>
      </c>
      <c r="BH1154">
        <v>5</v>
      </c>
      <c r="BI1154">
        <v>2.4</v>
      </c>
      <c r="BJ1154">
        <v>31</v>
      </c>
      <c r="BK1154">
        <v>0</v>
      </c>
      <c r="BL1154">
        <v>0</v>
      </c>
      <c r="BM1154">
        <v>0</v>
      </c>
      <c r="BN1154">
        <v>5</v>
      </c>
      <c r="BO1154">
        <v>2.4</v>
      </c>
      <c r="BP1154">
        <v>36</v>
      </c>
      <c r="BQ1154">
        <v>0</v>
      </c>
      <c r="BR1154">
        <v>0</v>
      </c>
      <c r="BS1154">
        <v>0</v>
      </c>
      <c r="BT1154">
        <v>5</v>
      </c>
      <c r="BU1154">
        <v>1.8</v>
      </c>
    </row>
    <row r="1155" spans="1:73" ht="14.25" x14ac:dyDescent="0.15">
      <c r="A1155" s="12">
        <v>20802</v>
      </c>
      <c r="B1155">
        <v>7</v>
      </c>
      <c r="C1155" s="1">
        <v>46</v>
      </c>
      <c r="D1155">
        <v>0</v>
      </c>
      <c r="E1155">
        <v>0</v>
      </c>
      <c r="F1155">
        <v>1</v>
      </c>
      <c r="G1155" s="7">
        <v>0.05</v>
      </c>
      <c r="H1155">
        <v>12</v>
      </c>
      <c r="I1155">
        <v>0</v>
      </c>
      <c r="J1155">
        <v>0</v>
      </c>
      <c r="K1155">
        <v>0</v>
      </c>
      <c r="L1155">
        <v>1</v>
      </c>
      <c r="M1155">
        <v>2</v>
      </c>
      <c r="N1155" s="7">
        <v>9</v>
      </c>
      <c r="O1155" s="7">
        <v>0</v>
      </c>
      <c r="P1155" s="7">
        <v>0</v>
      </c>
      <c r="Q1155" s="7">
        <v>0</v>
      </c>
      <c r="R1155" s="7">
        <v>1</v>
      </c>
      <c r="S1155" s="7">
        <v>4.5</v>
      </c>
      <c r="T1155">
        <v>7</v>
      </c>
      <c r="U1155" s="1">
        <v>34</v>
      </c>
      <c r="V1155">
        <v>0</v>
      </c>
      <c r="W1155">
        <v>0</v>
      </c>
      <c r="X1155">
        <v>1</v>
      </c>
      <c r="Y1155">
        <v>0.16</v>
      </c>
      <c r="Z1155">
        <v>23</v>
      </c>
      <c r="AA1155">
        <v>0</v>
      </c>
      <c r="AB1155">
        <v>0</v>
      </c>
      <c r="AC1155">
        <v>0</v>
      </c>
      <c r="AD1155">
        <v>1</v>
      </c>
      <c r="AE1155">
        <v>0.05</v>
      </c>
      <c r="AF1155">
        <v>15</v>
      </c>
      <c r="AG1155">
        <v>0</v>
      </c>
      <c r="AH1155">
        <v>0</v>
      </c>
      <c r="AI1155">
        <v>0</v>
      </c>
      <c r="AJ1155">
        <v>1</v>
      </c>
      <c r="AK1155">
        <v>0.02</v>
      </c>
      <c r="AL1155">
        <v>16</v>
      </c>
      <c r="AM1155">
        <v>0</v>
      </c>
      <c r="AN1155">
        <v>0</v>
      </c>
      <c r="AO1155">
        <v>0</v>
      </c>
      <c r="AP1155">
        <v>1</v>
      </c>
      <c r="AQ1155">
        <v>0.01</v>
      </c>
      <c r="AX1155">
        <v>7</v>
      </c>
      <c r="AY1155" s="1">
        <v>18</v>
      </c>
      <c r="AZ1155">
        <v>0</v>
      </c>
      <c r="BA1155">
        <v>0</v>
      </c>
      <c r="BB1155">
        <v>1</v>
      </c>
      <c r="BC1155" s="7">
        <v>0.32</v>
      </c>
      <c r="BD1155">
        <v>30</v>
      </c>
      <c r="BE1155">
        <v>0</v>
      </c>
      <c r="BF1155">
        <v>0</v>
      </c>
      <c r="BG1155">
        <v>0</v>
      </c>
      <c r="BH1155">
        <v>5</v>
      </c>
      <c r="BI1155">
        <v>2.4</v>
      </c>
      <c r="BJ1155">
        <v>31</v>
      </c>
      <c r="BK1155">
        <v>0</v>
      </c>
      <c r="BL1155">
        <v>0</v>
      </c>
      <c r="BM1155">
        <v>0</v>
      </c>
      <c r="BN1155">
        <v>5</v>
      </c>
      <c r="BO1155">
        <v>2.4</v>
      </c>
      <c r="BP1155">
        <v>36</v>
      </c>
      <c r="BQ1155">
        <v>0</v>
      </c>
      <c r="BR1155">
        <v>0</v>
      </c>
      <c r="BS1155">
        <v>0</v>
      </c>
      <c r="BT1155">
        <v>5</v>
      </c>
      <c r="BU1155">
        <v>1.8</v>
      </c>
    </row>
    <row r="1156" spans="1:73" ht="14.25" x14ac:dyDescent="0.15">
      <c r="A1156" s="12">
        <v>20803</v>
      </c>
      <c r="B1156">
        <v>7</v>
      </c>
      <c r="C1156" s="1">
        <v>47</v>
      </c>
      <c r="D1156">
        <v>0</v>
      </c>
      <c r="E1156">
        <v>0</v>
      </c>
      <c r="F1156">
        <v>1</v>
      </c>
      <c r="G1156" s="7">
        <v>0.05</v>
      </c>
      <c r="H1156">
        <v>12</v>
      </c>
      <c r="I1156">
        <v>0</v>
      </c>
      <c r="J1156">
        <v>0</v>
      </c>
      <c r="K1156">
        <v>0</v>
      </c>
      <c r="L1156">
        <v>1</v>
      </c>
      <c r="M1156">
        <v>2</v>
      </c>
      <c r="N1156" s="7">
        <v>9</v>
      </c>
      <c r="O1156" s="7">
        <v>0</v>
      </c>
      <c r="P1156" s="7">
        <v>0</v>
      </c>
      <c r="Q1156" s="7">
        <v>0</v>
      </c>
      <c r="R1156" s="7">
        <v>1</v>
      </c>
      <c r="S1156" s="7">
        <v>4.5</v>
      </c>
      <c r="T1156">
        <v>7</v>
      </c>
      <c r="U1156" s="1">
        <v>35</v>
      </c>
      <c r="V1156">
        <v>0</v>
      </c>
      <c r="W1156">
        <v>0</v>
      </c>
      <c r="X1156">
        <v>1</v>
      </c>
      <c r="Y1156">
        <v>0.16</v>
      </c>
      <c r="Z1156">
        <v>23</v>
      </c>
      <c r="AA1156">
        <v>0</v>
      </c>
      <c r="AB1156">
        <v>0</v>
      </c>
      <c r="AC1156">
        <v>0</v>
      </c>
      <c r="AD1156">
        <v>1</v>
      </c>
      <c r="AE1156">
        <v>0.05</v>
      </c>
      <c r="AF1156">
        <v>15</v>
      </c>
      <c r="AG1156">
        <v>0</v>
      </c>
      <c r="AH1156">
        <v>0</v>
      </c>
      <c r="AI1156">
        <v>0</v>
      </c>
      <c r="AJ1156">
        <v>1</v>
      </c>
      <c r="AK1156">
        <v>0.02</v>
      </c>
      <c r="AL1156">
        <v>16</v>
      </c>
      <c r="AM1156">
        <v>0</v>
      </c>
      <c r="AN1156">
        <v>0</v>
      </c>
      <c r="AO1156">
        <v>0</v>
      </c>
      <c r="AP1156">
        <v>1</v>
      </c>
      <c r="AQ1156">
        <v>0.01</v>
      </c>
      <c r="AX1156">
        <v>7</v>
      </c>
      <c r="AY1156" s="1">
        <v>19</v>
      </c>
      <c r="AZ1156">
        <v>0</v>
      </c>
      <c r="BA1156">
        <v>0</v>
      </c>
      <c r="BB1156">
        <v>1</v>
      </c>
      <c r="BC1156" s="7">
        <v>0.32</v>
      </c>
      <c r="BD1156">
        <v>30</v>
      </c>
      <c r="BE1156">
        <v>0</v>
      </c>
      <c r="BF1156">
        <v>0</v>
      </c>
      <c r="BG1156">
        <v>0</v>
      </c>
      <c r="BH1156">
        <v>5</v>
      </c>
      <c r="BI1156">
        <v>2.4</v>
      </c>
      <c r="BJ1156">
        <v>31</v>
      </c>
      <c r="BK1156">
        <v>0</v>
      </c>
      <c r="BL1156">
        <v>0</v>
      </c>
      <c r="BM1156">
        <v>0</v>
      </c>
      <c r="BN1156">
        <v>5</v>
      </c>
      <c r="BO1156">
        <v>2.4</v>
      </c>
      <c r="BP1156">
        <v>36</v>
      </c>
      <c r="BQ1156">
        <v>0</v>
      </c>
      <c r="BR1156">
        <v>0</v>
      </c>
      <c r="BS1156">
        <v>0</v>
      </c>
      <c r="BT1156">
        <v>5</v>
      </c>
      <c r="BU1156">
        <v>1.8</v>
      </c>
    </row>
    <row r="1157" spans="1:73" ht="14.25" x14ac:dyDescent="0.15">
      <c r="A1157" s="12">
        <v>20804</v>
      </c>
      <c r="B1157">
        <v>7</v>
      </c>
      <c r="C1157" s="1">
        <v>48</v>
      </c>
      <c r="D1157">
        <v>0</v>
      </c>
      <c r="E1157">
        <v>0</v>
      </c>
      <c r="F1157">
        <v>1</v>
      </c>
      <c r="G1157" s="7">
        <v>0.05</v>
      </c>
      <c r="H1157">
        <v>12</v>
      </c>
      <c r="I1157">
        <v>0</v>
      </c>
      <c r="J1157">
        <v>0</v>
      </c>
      <c r="K1157">
        <v>0</v>
      </c>
      <c r="L1157">
        <v>1</v>
      </c>
      <c r="M1157">
        <v>2</v>
      </c>
      <c r="N1157" s="7">
        <v>9</v>
      </c>
      <c r="O1157" s="7">
        <v>0</v>
      </c>
      <c r="P1157" s="7">
        <v>0</v>
      </c>
      <c r="Q1157" s="7">
        <v>0</v>
      </c>
      <c r="R1157" s="7">
        <v>1</v>
      </c>
      <c r="S1157" s="7">
        <v>4.5</v>
      </c>
      <c r="T1157">
        <v>7</v>
      </c>
      <c r="U1157" s="1">
        <v>36</v>
      </c>
      <c r="V1157">
        <v>0</v>
      </c>
      <c r="W1157">
        <v>0</v>
      </c>
      <c r="X1157">
        <v>1</v>
      </c>
      <c r="Y1157">
        <v>0.16</v>
      </c>
      <c r="Z1157">
        <v>23</v>
      </c>
      <c r="AA1157">
        <v>0</v>
      </c>
      <c r="AB1157">
        <v>0</v>
      </c>
      <c r="AC1157">
        <v>0</v>
      </c>
      <c r="AD1157">
        <v>1</v>
      </c>
      <c r="AE1157">
        <v>0.05</v>
      </c>
      <c r="AF1157">
        <v>15</v>
      </c>
      <c r="AG1157">
        <v>0</v>
      </c>
      <c r="AH1157">
        <v>0</v>
      </c>
      <c r="AI1157">
        <v>0</v>
      </c>
      <c r="AJ1157">
        <v>1</v>
      </c>
      <c r="AK1157">
        <v>0.02</v>
      </c>
      <c r="AL1157">
        <v>16</v>
      </c>
      <c r="AM1157">
        <v>0</v>
      </c>
      <c r="AN1157">
        <v>0</v>
      </c>
      <c r="AO1157">
        <v>0</v>
      </c>
      <c r="AP1157">
        <v>1</v>
      </c>
      <c r="AQ1157">
        <v>0.01</v>
      </c>
      <c r="AX1157">
        <v>7</v>
      </c>
      <c r="AY1157" s="1">
        <v>20</v>
      </c>
      <c r="AZ1157">
        <v>0</v>
      </c>
      <c r="BA1157">
        <v>0</v>
      </c>
      <c r="BB1157">
        <v>1</v>
      </c>
      <c r="BC1157" s="7">
        <v>0.32</v>
      </c>
      <c r="BD1157">
        <v>30</v>
      </c>
      <c r="BE1157">
        <v>0</v>
      </c>
      <c r="BF1157">
        <v>0</v>
      </c>
      <c r="BG1157">
        <v>0</v>
      </c>
      <c r="BH1157">
        <v>5</v>
      </c>
      <c r="BI1157">
        <v>2.4</v>
      </c>
      <c r="BJ1157">
        <v>31</v>
      </c>
      <c r="BK1157">
        <v>0</v>
      </c>
      <c r="BL1157">
        <v>0</v>
      </c>
      <c r="BM1157">
        <v>0</v>
      </c>
      <c r="BN1157">
        <v>5</v>
      </c>
      <c r="BO1157">
        <v>2.4</v>
      </c>
      <c r="BP1157">
        <v>36</v>
      </c>
      <c r="BQ1157">
        <v>0</v>
      </c>
      <c r="BR1157">
        <v>0</v>
      </c>
      <c r="BS1157">
        <v>0</v>
      </c>
      <c r="BT1157">
        <v>5</v>
      </c>
      <c r="BU1157">
        <v>1.8</v>
      </c>
    </row>
    <row r="1158" spans="1:73" ht="14.25" x14ac:dyDescent="0.15">
      <c r="A1158" s="12">
        <v>20805</v>
      </c>
      <c r="B1158">
        <v>7</v>
      </c>
      <c r="C1158" s="1">
        <v>0</v>
      </c>
      <c r="D1158">
        <v>5</v>
      </c>
      <c r="E1158">
        <v>1</v>
      </c>
      <c r="F1158">
        <v>1</v>
      </c>
      <c r="G1158" s="7">
        <v>0.05</v>
      </c>
      <c r="H1158">
        <v>12</v>
      </c>
      <c r="I1158">
        <v>0</v>
      </c>
      <c r="J1158">
        <v>0</v>
      </c>
      <c r="K1158">
        <v>0</v>
      </c>
      <c r="L1158">
        <v>1</v>
      </c>
      <c r="M1158">
        <v>2</v>
      </c>
      <c r="N1158" s="7">
        <v>9</v>
      </c>
      <c r="O1158" s="7">
        <v>0</v>
      </c>
      <c r="P1158" s="7">
        <v>0</v>
      </c>
      <c r="Q1158" s="7">
        <v>0</v>
      </c>
      <c r="R1158" s="7">
        <v>1</v>
      </c>
      <c r="S1158" s="7">
        <v>4.5</v>
      </c>
      <c r="T1158">
        <v>7</v>
      </c>
      <c r="U1158" s="1">
        <v>0</v>
      </c>
      <c r="V1158">
        <v>4</v>
      </c>
      <c r="W1158">
        <v>2</v>
      </c>
      <c r="X1158">
        <v>1</v>
      </c>
      <c r="Y1158">
        <v>0.16</v>
      </c>
      <c r="Z1158">
        <v>23</v>
      </c>
      <c r="AA1158">
        <v>0</v>
      </c>
      <c r="AB1158">
        <v>0</v>
      </c>
      <c r="AC1158">
        <v>0</v>
      </c>
      <c r="AD1158">
        <v>1</v>
      </c>
      <c r="AE1158">
        <v>0.05</v>
      </c>
      <c r="AF1158">
        <v>15</v>
      </c>
      <c r="AG1158">
        <v>0</v>
      </c>
      <c r="AH1158">
        <v>0</v>
      </c>
      <c r="AI1158">
        <v>0</v>
      </c>
      <c r="AJ1158">
        <v>1</v>
      </c>
      <c r="AK1158">
        <v>0.02</v>
      </c>
      <c r="AL1158">
        <v>16</v>
      </c>
      <c r="AM1158">
        <v>0</v>
      </c>
      <c r="AN1158">
        <v>0</v>
      </c>
      <c r="AO1158">
        <v>0</v>
      </c>
      <c r="AP1158">
        <v>1</v>
      </c>
      <c r="AQ1158">
        <v>0.01</v>
      </c>
      <c r="AR1158">
        <v>6</v>
      </c>
      <c r="AS1158">
        <v>2</v>
      </c>
      <c r="AT1158">
        <v>1</v>
      </c>
      <c r="AU1158">
        <v>5</v>
      </c>
      <c r="AV1158">
        <v>1</v>
      </c>
      <c r="AW1158">
        <v>0.05</v>
      </c>
      <c r="AX1158">
        <v>7</v>
      </c>
      <c r="AY1158" s="1">
        <v>0</v>
      </c>
      <c r="AZ1158">
        <v>3</v>
      </c>
      <c r="BA1158">
        <v>1</v>
      </c>
      <c r="BB1158">
        <v>1</v>
      </c>
      <c r="BC1158" s="7">
        <v>0.32</v>
      </c>
      <c r="BD1158">
        <v>30</v>
      </c>
      <c r="BE1158">
        <v>0</v>
      </c>
      <c r="BF1158">
        <v>0</v>
      </c>
      <c r="BG1158">
        <v>0</v>
      </c>
      <c r="BH1158">
        <v>5</v>
      </c>
      <c r="BI1158">
        <v>2.4</v>
      </c>
      <c r="BJ1158">
        <v>31</v>
      </c>
      <c r="BK1158">
        <v>0</v>
      </c>
      <c r="BL1158">
        <v>0</v>
      </c>
      <c r="BM1158">
        <v>0</v>
      </c>
      <c r="BN1158">
        <v>5</v>
      </c>
      <c r="BO1158">
        <v>2.4</v>
      </c>
      <c r="BP1158">
        <v>36</v>
      </c>
      <c r="BQ1158">
        <v>0</v>
      </c>
      <c r="BR1158">
        <v>0</v>
      </c>
      <c r="BS1158">
        <v>0</v>
      </c>
      <c r="BT1158">
        <v>5</v>
      </c>
      <c r="BU1158">
        <v>1.8</v>
      </c>
    </row>
    <row r="1159" spans="1:73" ht="14.25" x14ac:dyDescent="0.15">
      <c r="A1159" s="12">
        <v>20806</v>
      </c>
      <c r="B1159">
        <v>7</v>
      </c>
      <c r="C1159" s="1">
        <v>45</v>
      </c>
      <c r="D1159">
        <v>0</v>
      </c>
      <c r="E1159">
        <v>0</v>
      </c>
      <c r="F1159">
        <v>1</v>
      </c>
      <c r="G1159" s="7">
        <v>0.05</v>
      </c>
      <c r="H1159">
        <v>12</v>
      </c>
      <c r="I1159">
        <v>0</v>
      </c>
      <c r="J1159">
        <v>0</v>
      </c>
      <c r="K1159">
        <v>0</v>
      </c>
      <c r="L1159">
        <v>1</v>
      </c>
      <c r="M1159">
        <v>2</v>
      </c>
      <c r="N1159" s="7">
        <v>9</v>
      </c>
      <c r="O1159" s="7">
        <v>0</v>
      </c>
      <c r="P1159" s="7">
        <v>0</v>
      </c>
      <c r="Q1159" s="7">
        <v>0</v>
      </c>
      <c r="R1159" s="7">
        <v>1</v>
      </c>
      <c r="S1159" s="7">
        <v>4.5</v>
      </c>
      <c r="T1159">
        <v>7</v>
      </c>
      <c r="U1159" s="1">
        <v>33</v>
      </c>
      <c r="V1159">
        <v>0</v>
      </c>
      <c r="W1159">
        <v>0</v>
      </c>
      <c r="X1159">
        <v>1</v>
      </c>
      <c r="Y1159">
        <v>0.16</v>
      </c>
      <c r="Z1159">
        <v>23</v>
      </c>
      <c r="AA1159">
        <v>0</v>
      </c>
      <c r="AB1159">
        <v>0</v>
      </c>
      <c r="AC1159">
        <v>0</v>
      </c>
      <c r="AD1159">
        <v>1</v>
      </c>
      <c r="AE1159">
        <v>0.05</v>
      </c>
      <c r="AF1159">
        <v>15</v>
      </c>
      <c r="AG1159">
        <v>0</v>
      </c>
      <c r="AH1159">
        <v>0</v>
      </c>
      <c r="AI1159">
        <v>0</v>
      </c>
      <c r="AJ1159">
        <v>1</v>
      </c>
      <c r="AK1159">
        <v>0.02</v>
      </c>
      <c r="AL1159">
        <v>16</v>
      </c>
      <c r="AM1159">
        <v>0</v>
      </c>
      <c r="AN1159">
        <v>0</v>
      </c>
      <c r="AO1159">
        <v>0</v>
      </c>
      <c r="AP1159">
        <v>1</v>
      </c>
      <c r="AQ1159">
        <v>0.01</v>
      </c>
      <c r="AX1159">
        <v>7</v>
      </c>
      <c r="AY1159" s="1">
        <v>17</v>
      </c>
      <c r="AZ1159">
        <v>0</v>
      </c>
      <c r="BA1159">
        <v>0</v>
      </c>
      <c r="BB1159">
        <v>1</v>
      </c>
      <c r="BC1159" s="7">
        <v>0.32</v>
      </c>
      <c r="BD1159">
        <v>30</v>
      </c>
      <c r="BE1159">
        <v>0</v>
      </c>
      <c r="BF1159">
        <v>0</v>
      </c>
      <c r="BG1159">
        <v>0</v>
      </c>
      <c r="BH1159">
        <v>5</v>
      </c>
      <c r="BI1159">
        <v>2.4</v>
      </c>
      <c r="BJ1159">
        <v>31</v>
      </c>
      <c r="BK1159">
        <v>0</v>
      </c>
      <c r="BL1159">
        <v>0</v>
      </c>
      <c r="BM1159">
        <v>0</v>
      </c>
      <c r="BN1159">
        <v>5</v>
      </c>
      <c r="BO1159">
        <v>2.4</v>
      </c>
      <c r="BP1159">
        <v>36</v>
      </c>
      <c r="BQ1159">
        <v>0</v>
      </c>
      <c r="BR1159">
        <v>0</v>
      </c>
      <c r="BS1159">
        <v>0</v>
      </c>
      <c r="BT1159">
        <v>5</v>
      </c>
      <c r="BU1159">
        <v>1.8</v>
      </c>
    </row>
    <row r="1160" spans="1:73" ht="14.25" x14ac:dyDescent="0.15">
      <c r="A1160" s="12">
        <v>20807</v>
      </c>
      <c r="B1160">
        <v>7</v>
      </c>
      <c r="C1160" s="1">
        <v>46</v>
      </c>
      <c r="D1160">
        <v>0</v>
      </c>
      <c r="E1160">
        <v>0</v>
      </c>
      <c r="F1160">
        <v>1</v>
      </c>
      <c r="G1160" s="7">
        <v>0.05</v>
      </c>
      <c r="H1160">
        <v>12</v>
      </c>
      <c r="I1160">
        <v>0</v>
      </c>
      <c r="J1160">
        <v>0</v>
      </c>
      <c r="K1160">
        <v>0</v>
      </c>
      <c r="L1160">
        <v>1</v>
      </c>
      <c r="M1160">
        <v>2</v>
      </c>
      <c r="N1160" s="7">
        <v>9</v>
      </c>
      <c r="O1160" s="7">
        <v>0</v>
      </c>
      <c r="P1160" s="7">
        <v>0</v>
      </c>
      <c r="Q1160" s="7">
        <v>0</v>
      </c>
      <c r="R1160" s="7">
        <v>1</v>
      </c>
      <c r="S1160" s="7">
        <v>4.5</v>
      </c>
      <c r="T1160">
        <v>7</v>
      </c>
      <c r="U1160" s="1">
        <v>34</v>
      </c>
      <c r="V1160">
        <v>0</v>
      </c>
      <c r="W1160">
        <v>0</v>
      </c>
      <c r="X1160">
        <v>1</v>
      </c>
      <c r="Y1160">
        <v>0.16</v>
      </c>
      <c r="Z1160">
        <v>23</v>
      </c>
      <c r="AA1160">
        <v>0</v>
      </c>
      <c r="AB1160">
        <v>0</v>
      </c>
      <c r="AC1160">
        <v>0</v>
      </c>
      <c r="AD1160">
        <v>1</v>
      </c>
      <c r="AE1160">
        <v>0.05</v>
      </c>
      <c r="AF1160">
        <v>15</v>
      </c>
      <c r="AG1160">
        <v>0</v>
      </c>
      <c r="AH1160">
        <v>0</v>
      </c>
      <c r="AI1160">
        <v>0</v>
      </c>
      <c r="AJ1160">
        <v>1</v>
      </c>
      <c r="AK1160">
        <v>0.02</v>
      </c>
      <c r="AL1160">
        <v>16</v>
      </c>
      <c r="AM1160">
        <v>0</v>
      </c>
      <c r="AN1160">
        <v>0</v>
      </c>
      <c r="AO1160">
        <v>0</v>
      </c>
      <c r="AP1160">
        <v>1</v>
      </c>
      <c r="AQ1160">
        <v>0.01</v>
      </c>
      <c r="AX1160">
        <v>7</v>
      </c>
      <c r="AY1160" s="1">
        <v>18</v>
      </c>
      <c r="AZ1160">
        <v>0</v>
      </c>
      <c r="BA1160">
        <v>0</v>
      </c>
      <c r="BB1160">
        <v>1</v>
      </c>
      <c r="BC1160" s="7">
        <v>0.32</v>
      </c>
      <c r="BD1160">
        <v>30</v>
      </c>
      <c r="BE1160">
        <v>0</v>
      </c>
      <c r="BF1160">
        <v>0</v>
      </c>
      <c r="BG1160">
        <v>0</v>
      </c>
      <c r="BH1160">
        <v>5</v>
      </c>
      <c r="BI1160">
        <v>2.4</v>
      </c>
      <c r="BJ1160">
        <v>31</v>
      </c>
      <c r="BK1160">
        <v>0</v>
      </c>
      <c r="BL1160">
        <v>0</v>
      </c>
      <c r="BM1160">
        <v>0</v>
      </c>
      <c r="BN1160">
        <v>5</v>
      </c>
      <c r="BO1160">
        <v>2.4</v>
      </c>
      <c r="BP1160">
        <v>36</v>
      </c>
      <c r="BQ1160">
        <v>0</v>
      </c>
      <c r="BR1160">
        <v>0</v>
      </c>
      <c r="BS1160">
        <v>0</v>
      </c>
      <c r="BT1160">
        <v>5</v>
      </c>
      <c r="BU1160">
        <v>1.8</v>
      </c>
    </row>
    <row r="1161" spans="1:73" ht="14.25" x14ac:dyDescent="0.15">
      <c r="A1161" s="12">
        <v>20808</v>
      </c>
      <c r="B1161">
        <v>7</v>
      </c>
      <c r="C1161" s="1">
        <v>47</v>
      </c>
      <c r="D1161">
        <v>0</v>
      </c>
      <c r="E1161">
        <v>0</v>
      </c>
      <c r="F1161">
        <v>1</v>
      </c>
      <c r="G1161" s="7">
        <v>0.05</v>
      </c>
      <c r="H1161">
        <v>12</v>
      </c>
      <c r="I1161">
        <v>0</v>
      </c>
      <c r="J1161">
        <v>0</v>
      </c>
      <c r="K1161">
        <v>0</v>
      </c>
      <c r="L1161">
        <v>1</v>
      </c>
      <c r="M1161">
        <v>2</v>
      </c>
      <c r="N1161" s="7">
        <v>9</v>
      </c>
      <c r="O1161" s="7">
        <v>0</v>
      </c>
      <c r="P1161" s="7">
        <v>0</v>
      </c>
      <c r="Q1161" s="7">
        <v>0</v>
      </c>
      <c r="R1161" s="7">
        <v>1</v>
      </c>
      <c r="S1161" s="7">
        <v>4.5</v>
      </c>
      <c r="T1161">
        <v>7</v>
      </c>
      <c r="U1161" s="1">
        <v>35</v>
      </c>
      <c r="V1161">
        <v>0</v>
      </c>
      <c r="W1161">
        <v>0</v>
      </c>
      <c r="X1161">
        <v>1</v>
      </c>
      <c r="Y1161">
        <v>0.16</v>
      </c>
      <c r="Z1161">
        <v>23</v>
      </c>
      <c r="AA1161">
        <v>0</v>
      </c>
      <c r="AB1161">
        <v>0</v>
      </c>
      <c r="AC1161">
        <v>0</v>
      </c>
      <c r="AD1161">
        <v>1</v>
      </c>
      <c r="AE1161">
        <v>0.05</v>
      </c>
      <c r="AF1161">
        <v>15</v>
      </c>
      <c r="AG1161">
        <v>0</v>
      </c>
      <c r="AH1161">
        <v>0</v>
      </c>
      <c r="AI1161">
        <v>0</v>
      </c>
      <c r="AJ1161">
        <v>1</v>
      </c>
      <c r="AK1161">
        <v>0.02</v>
      </c>
      <c r="AL1161">
        <v>16</v>
      </c>
      <c r="AM1161">
        <v>0</v>
      </c>
      <c r="AN1161">
        <v>0</v>
      </c>
      <c r="AO1161">
        <v>0</v>
      </c>
      <c r="AP1161">
        <v>1</v>
      </c>
      <c r="AQ1161">
        <v>0.01</v>
      </c>
      <c r="AX1161">
        <v>7</v>
      </c>
      <c r="AY1161" s="1">
        <v>19</v>
      </c>
      <c r="AZ1161">
        <v>0</v>
      </c>
      <c r="BA1161">
        <v>0</v>
      </c>
      <c r="BB1161">
        <v>1</v>
      </c>
      <c r="BC1161" s="7">
        <v>0.32</v>
      </c>
      <c r="BD1161">
        <v>30</v>
      </c>
      <c r="BE1161">
        <v>0</v>
      </c>
      <c r="BF1161">
        <v>0</v>
      </c>
      <c r="BG1161">
        <v>0</v>
      </c>
      <c r="BH1161">
        <v>5</v>
      </c>
      <c r="BI1161">
        <v>2.4</v>
      </c>
      <c r="BJ1161">
        <v>31</v>
      </c>
      <c r="BK1161">
        <v>0</v>
      </c>
      <c r="BL1161">
        <v>0</v>
      </c>
      <c r="BM1161">
        <v>0</v>
      </c>
      <c r="BN1161">
        <v>5</v>
      </c>
      <c r="BO1161">
        <v>2.4</v>
      </c>
      <c r="BP1161">
        <v>36</v>
      </c>
      <c r="BQ1161">
        <v>0</v>
      </c>
      <c r="BR1161">
        <v>0</v>
      </c>
      <c r="BS1161">
        <v>0</v>
      </c>
      <c r="BT1161">
        <v>5</v>
      </c>
      <c r="BU1161">
        <v>1.8</v>
      </c>
    </row>
    <row r="1162" spans="1:73" ht="14.25" x14ac:dyDescent="0.15">
      <c r="A1162" s="12">
        <v>20809</v>
      </c>
      <c r="B1162">
        <v>7</v>
      </c>
      <c r="C1162" s="1">
        <v>48</v>
      </c>
      <c r="D1162">
        <v>0</v>
      </c>
      <c r="E1162">
        <v>0</v>
      </c>
      <c r="F1162">
        <v>1</v>
      </c>
      <c r="G1162" s="7">
        <v>0.05</v>
      </c>
      <c r="H1162">
        <v>12</v>
      </c>
      <c r="I1162">
        <v>0</v>
      </c>
      <c r="J1162">
        <v>0</v>
      </c>
      <c r="K1162">
        <v>0</v>
      </c>
      <c r="L1162">
        <v>1</v>
      </c>
      <c r="M1162">
        <v>2</v>
      </c>
      <c r="N1162" s="7">
        <v>9</v>
      </c>
      <c r="O1162" s="7">
        <v>0</v>
      </c>
      <c r="P1162" s="7">
        <v>0</v>
      </c>
      <c r="Q1162" s="7">
        <v>0</v>
      </c>
      <c r="R1162" s="7">
        <v>1</v>
      </c>
      <c r="S1162" s="7">
        <v>4.5</v>
      </c>
      <c r="T1162">
        <v>7</v>
      </c>
      <c r="U1162" s="1">
        <v>36</v>
      </c>
      <c r="V1162">
        <v>0</v>
      </c>
      <c r="W1162">
        <v>0</v>
      </c>
      <c r="X1162">
        <v>1</v>
      </c>
      <c r="Y1162">
        <v>0.16</v>
      </c>
      <c r="Z1162">
        <v>23</v>
      </c>
      <c r="AA1162">
        <v>0</v>
      </c>
      <c r="AB1162">
        <v>0</v>
      </c>
      <c r="AC1162">
        <v>0</v>
      </c>
      <c r="AD1162">
        <v>1</v>
      </c>
      <c r="AE1162">
        <v>0.05</v>
      </c>
      <c r="AF1162">
        <v>15</v>
      </c>
      <c r="AG1162">
        <v>0</v>
      </c>
      <c r="AH1162">
        <v>0</v>
      </c>
      <c r="AI1162">
        <v>0</v>
      </c>
      <c r="AJ1162">
        <v>1</v>
      </c>
      <c r="AK1162">
        <v>0.02</v>
      </c>
      <c r="AL1162">
        <v>16</v>
      </c>
      <c r="AM1162">
        <v>0</v>
      </c>
      <c r="AN1162">
        <v>0</v>
      </c>
      <c r="AO1162">
        <v>0</v>
      </c>
      <c r="AP1162">
        <v>1</v>
      </c>
      <c r="AQ1162">
        <v>0.01</v>
      </c>
      <c r="AX1162">
        <v>7</v>
      </c>
      <c r="AY1162" s="1">
        <v>20</v>
      </c>
      <c r="AZ1162">
        <v>0</v>
      </c>
      <c r="BA1162">
        <v>0</v>
      </c>
      <c r="BB1162">
        <v>1</v>
      </c>
      <c r="BC1162" s="7">
        <v>0.32</v>
      </c>
      <c r="BD1162">
        <v>30</v>
      </c>
      <c r="BE1162">
        <v>0</v>
      </c>
      <c r="BF1162">
        <v>0</v>
      </c>
      <c r="BG1162">
        <v>0</v>
      </c>
      <c r="BH1162">
        <v>5</v>
      </c>
      <c r="BI1162">
        <v>2.4</v>
      </c>
      <c r="BJ1162">
        <v>31</v>
      </c>
      <c r="BK1162">
        <v>0</v>
      </c>
      <c r="BL1162">
        <v>0</v>
      </c>
      <c r="BM1162">
        <v>0</v>
      </c>
      <c r="BN1162">
        <v>5</v>
      </c>
      <c r="BO1162">
        <v>2.4</v>
      </c>
      <c r="BP1162">
        <v>36</v>
      </c>
      <c r="BQ1162">
        <v>0</v>
      </c>
      <c r="BR1162">
        <v>0</v>
      </c>
      <c r="BS1162">
        <v>0</v>
      </c>
      <c r="BT1162">
        <v>5</v>
      </c>
      <c r="BU1162">
        <v>1.8</v>
      </c>
    </row>
    <row r="1163" spans="1:73" ht="14.25" x14ac:dyDescent="0.15">
      <c r="A1163" s="12">
        <v>20810</v>
      </c>
      <c r="B1163">
        <v>7</v>
      </c>
      <c r="C1163" s="1">
        <v>0</v>
      </c>
      <c r="D1163">
        <v>5</v>
      </c>
      <c r="E1163">
        <v>1</v>
      </c>
      <c r="F1163">
        <v>1</v>
      </c>
      <c r="G1163" s="7">
        <v>0.05</v>
      </c>
      <c r="H1163">
        <v>12</v>
      </c>
      <c r="I1163">
        <v>0</v>
      </c>
      <c r="J1163">
        <v>0</v>
      </c>
      <c r="K1163">
        <v>0</v>
      </c>
      <c r="L1163">
        <v>1</v>
      </c>
      <c r="M1163">
        <v>2</v>
      </c>
      <c r="N1163" s="7">
        <v>9</v>
      </c>
      <c r="O1163" s="7">
        <v>0</v>
      </c>
      <c r="P1163" s="7">
        <v>0</v>
      </c>
      <c r="Q1163" s="7">
        <v>0</v>
      </c>
      <c r="R1163" s="7">
        <v>1</v>
      </c>
      <c r="S1163" s="7">
        <v>4.5</v>
      </c>
      <c r="T1163">
        <v>7</v>
      </c>
      <c r="U1163" s="1">
        <v>0</v>
      </c>
      <c r="V1163">
        <v>4</v>
      </c>
      <c r="W1163">
        <v>2</v>
      </c>
      <c r="X1163">
        <v>1</v>
      </c>
      <c r="Y1163">
        <v>0.16</v>
      </c>
      <c r="Z1163">
        <v>23</v>
      </c>
      <c r="AA1163">
        <v>0</v>
      </c>
      <c r="AB1163">
        <v>0</v>
      </c>
      <c r="AC1163">
        <v>0</v>
      </c>
      <c r="AD1163">
        <v>1</v>
      </c>
      <c r="AE1163">
        <v>0.05</v>
      </c>
      <c r="AF1163">
        <v>15</v>
      </c>
      <c r="AG1163">
        <v>0</v>
      </c>
      <c r="AH1163">
        <v>0</v>
      </c>
      <c r="AI1163">
        <v>0</v>
      </c>
      <c r="AJ1163">
        <v>1</v>
      </c>
      <c r="AK1163">
        <v>0.02</v>
      </c>
      <c r="AL1163">
        <v>16</v>
      </c>
      <c r="AM1163">
        <v>0</v>
      </c>
      <c r="AN1163">
        <v>0</v>
      </c>
      <c r="AO1163">
        <v>0</v>
      </c>
      <c r="AP1163">
        <v>1</v>
      </c>
      <c r="AQ1163">
        <v>0.01</v>
      </c>
      <c r="AR1163">
        <v>6</v>
      </c>
      <c r="AS1163">
        <v>2</v>
      </c>
      <c r="AT1163">
        <v>2</v>
      </c>
      <c r="AU1163">
        <v>5</v>
      </c>
      <c r="AV1163">
        <v>1</v>
      </c>
      <c r="AW1163">
        <v>0.05</v>
      </c>
      <c r="AX1163">
        <v>7</v>
      </c>
      <c r="AY1163" s="1">
        <v>0</v>
      </c>
      <c r="AZ1163">
        <v>3</v>
      </c>
      <c r="BA1163">
        <v>1</v>
      </c>
      <c r="BB1163">
        <v>1</v>
      </c>
      <c r="BC1163" s="7">
        <v>0.32</v>
      </c>
      <c r="BD1163">
        <v>30</v>
      </c>
      <c r="BE1163">
        <v>0</v>
      </c>
      <c r="BF1163">
        <v>0</v>
      </c>
      <c r="BG1163">
        <v>0</v>
      </c>
      <c r="BH1163">
        <v>5</v>
      </c>
      <c r="BI1163">
        <v>2.4</v>
      </c>
      <c r="BJ1163">
        <v>31</v>
      </c>
      <c r="BK1163">
        <v>0</v>
      </c>
      <c r="BL1163">
        <v>0</v>
      </c>
      <c r="BM1163">
        <v>0</v>
      </c>
      <c r="BN1163">
        <v>5</v>
      </c>
      <c r="BO1163">
        <v>2.4</v>
      </c>
      <c r="BP1163">
        <v>36</v>
      </c>
      <c r="BQ1163">
        <v>0</v>
      </c>
      <c r="BR1163">
        <v>0</v>
      </c>
      <c r="BS1163">
        <v>0</v>
      </c>
      <c r="BT1163">
        <v>5</v>
      </c>
      <c r="BU1163">
        <v>1.8</v>
      </c>
    </row>
    <row r="1164" spans="1:73" ht="14.25" x14ac:dyDescent="0.15">
      <c r="A1164" s="12">
        <v>20811</v>
      </c>
      <c r="B1164">
        <v>7</v>
      </c>
      <c r="C1164" s="1">
        <v>45</v>
      </c>
      <c r="D1164">
        <v>0</v>
      </c>
      <c r="E1164">
        <v>0</v>
      </c>
      <c r="F1164">
        <v>1</v>
      </c>
      <c r="G1164" s="7">
        <v>0.05</v>
      </c>
      <c r="H1164">
        <v>12</v>
      </c>
      <c r="I1164">
        <v>0</v>
      </c>
      <c r="J1164">
        <v>0</v>
      </c>
      <c r="K1164">
        <v>0</v>
      </c>
      <c r="L1164">
        <v>1</v>
      </c>
      <c r="M1164">
        <v>2</v>
      </c>
      <c r="N1164" s="7">
        <v>9</v>
      </c>
      <c r="O1164" s="7">
        <v>0</v>
      </c>
      <c r="P1164" s="7">
        <v>0</v>
      </c>
      <c r="Q1164" s="7">
        <v>0</v>
      </c>
      <c r="R1164" s="7">
        <v>1</v>
      </c>
      <c r="S1164" s="7">
        <v>4.5</v>
      </c>
      <c r="T1164">
        <v>7</v>
      </c>
      <c r="U1164" s="1">
        <v>33</v>
      </c>
      <c r="V1164">
        <v>0</v>
      </c>
      <c r="W1164">
        <v>0</v>
      </c>
      <c r="X1164">
        <v>1</v>
      </c>
      <c r="Y1164">
        <v>0.16</v>
      </c>
      <c r="Z1164">
        <v>23</v>
      </c>
      <c r="AA1164">
        <v>0</v>
      </c>
      <c r="AB1164">
        <v>0</v>
      </c>
      <c r="AC1164">
        <v>0</v>
      </c>
      <c r="AD1164">
        <v>1</v>
      </c>
      <c r="AE1164">
        <v>0.05</v>
      </c>
      <c r="AF1164">
        <v>15</v>
      </c>
      <c r="AG1164">
        <v>0</v>
      </c>
      <c r="AH1164">
        <v>0</v>
      </c>
      <c r="AI1164">
        <v>0</v>
      </c>
      <c r="AJ1164">
        <v>1</v>
      </c>
      <c r="AK1164">
        <v>0.02</v>
      </c>
      <c r="AL1164">
        <v>16</v>
      </c>
      <c r="AM1164">
        <v>0</v>
      </c>
      <c r="AN1164">
        <v>0</v>
      </c>
      <c r="AO1164">
        <v>0</v>
      </c>
      <c r="AP1164">
        <v>1</v>
      </c>
      <c r="AQ1164">
        <v>0.01</v>
      </c>
      <c r="AX1164">
        <v>7</v>
      </c>
      <c r="AY1164" s="1">
        <v>17</v>
      </c>
      <c r="AZ1164">
        <v>0</v>
      </c>
      <c r="BA1164">
        <v>0</v>
      </c>
      <c r="BB1164">
        <v>1</v>
      </c>
      <c r="BC1164" s="7">
        <v>0.32</v>
      </c>
      <c r="BD1164">
        <v>30</v>
      </c>
      <c r="BE1164">
        <v>0</v>
      </c>
      <c r="BF1164">
        <v>0</v>
      </c>
      <c r="BG1164">
        <v>0</v>
      </c>
      <c r="BH1164">
        <v>5</v>
      </c>
      <c r="BI1164">
        <v>2.4</v>
      </c>
      <c r="BJ1164">
        <v>31</v>
      </c>
      <c r="BK1164">
        <v>0</v>
      </c>
      <c r="BL1164">
        <v>0</v>
      </c>
      <c r="BM1164">
        <v>0</v>
      </c>
      <c r="BN1164">
        <v>5</v>
      </c>
      <c r="BO1164">
        <v>2.4</v>
      </c>
      <c r="BP1164">
        <v>36</v>
      </c>
      <c r="BQ1164">
        <v>0</v>
      </c>
      <c r="BR1164">
        <v>0</v>
      </c>
      <c r="BS1164">
        <v>0</v>
      </c>
      <c r="BT1164">
        <v>5</v>
      </c>
      <c r="BU1164">
        <v>1.8</v>
      </c>
    </row>
    <row r="1165" spans="1:73" ht="14.25" x14ac:dyDescent="0.15">
      <c r="A1165" s="12">
        <v>20812</v>
      </c>
      <c r="B1165">
        <v>7</v>
      </c>
      <c r="C1165" s="1">
        <v>46</v>
      </c>
      <c r="D1165">
        <v>0</v>
      </c>
      <c r="E1165">
        <v>0</v>
      </c>
      <c r="F1165">
        <v>1</v>
      </c>
      <c r="G1165" s="7">
        <v>0.05</v>
      </c>
      <c r="H1165">
        <v>12</v>
      </c>
      <c r="I1165">
        <v>0</v>
      </c>
      <c r="J1165">
        <v>0</v>
      </c>
      <c r="K1165">
        <v>0</v>
      </c>
      <c r="L1165">
        <v>1</v>
      </c>
      <c r="M1165">
        <v>2</v>
      </c>
      <c r="N1165" s="7">
        <v>9</v>
      </c>
      <c r="O1165" s="7">
        <v>0</v>
      </c>
      <c r="P1165" s="7">
        <v>0</v>
      </c>
      <c r="Q1165" s="7">
        <v>0</v>
      </c>
      <c r="R1165" s="7">
        <v>1</v>
      </c>
      <c r="S1165" s="7">
        <v>4.5</v>
      </c>
      <c r="T1165">
        <v>7</v>
      </c>
      <c r="U1165" s="1">
        <v>34</v>
      </c>
      <c r="V1165">
        <v>0</v>
      </c>
      <c r="W1165">
        <v>0</v>
      </c>
      <c r="X1165">
        <v>1</v>
      </c>
      <c r="Y1165">
        <v>0.16</v>
      </c>
      <c r="Z1165">
        <v>23</v>
      </c>
      <c r="AA1165">
        <v>0</v>
      </c>
      <c r="AB1165">
        <v>0</v>
      </c>
      <c r="AC1165">
        <v>0</v>
      </c>
      <c r="AD1165">
        <v>1</v>
      </c>
      <c r="AE1165">
        <v>0.05</v>
      </c>
      <c r="AF1165">
        <v>15</v>
      </c>
      <c r="AG1165">
        <v>0</v>
      </c>
      <c r="AH1165">
        <v>0</v>
      </c>
      <c r="AI1165">
        <v>0</v>
      </c>
      <c r="AJ1165">
        <v>1</v>
      </c>
      <c r="AK1165">
        <v>0.02</v>
      </c>
      <c r="AL1165">
        <v>16</v>
      </c>
      <c r="AM1165">
        <v>0</v>
      </c>
      <c r="AN1165">
        <v>0</v>
      </c>
      <c r="AO1165">
        <v>0</v>
      </c>
      <c r="AP1165">
        <v>1</v>
      </c>
      <c r="AQ1165">
        <v>0.01</v>
      </c>
      <c r="AX1165">
        <v>7</v>
      </c>
      <c r="AY1165" s="1">
        <v>18</v>
      </c>
      <c r="AZ1165">
        <v>0</v>
      </c>
      <c r="BA1165">
        <v>0</v>
      </c>
      <c r="BB1165">
        <v>1</v>
      </c>
      <c r="BC1165" s="7">
        <v>0.32</v>
      </c>
      <c r="BD1165">
        <v>30</v>
      </c>
      <c r="BE1165">
        <v>0</v>
      </c>
      <c r="BF1165">
        <v>0</v>
      </c>
      <c r="BG1165">
        <v>0</v>
      </c>
      <c r="BH1165">
        <v>5</v>
      </c>
      <c r="BI1165">
        <v>2.4</v>
      </c>
      <c r="BJ1165">
        <v>31</v>
      </c>
      <c r="BK1165">
        <v>0</v>
      </c>
      <c r="BL1165">
        <v>0</v>
      </c>
      <c r="BM1165">
        <v>0</v>
      </c>
      <c r="BN1165">
        <v>5</v>
      </c>
      <c r="BO1165">
        <v>2.4</v>
      </c>
      <c r="BP1165">
        <v>36</v>
      </c>
      <c r="BQ1165">
        <v>0</v>
      </c>
      <c r="BR1165">
        <v>0</v>
      </c>
      <c r="BS1165">
        <v>0</v>
      </c>
      <c r="BT1165">
        <v>5</v>
      </c>
      <c r="BU1165">
        <v>1.8</v>
      </c>
    </row>
    <row r="1166" spans="1:73" ht="14.25" x14ac:dyDescent="0.15">
      <c r="A1166" s="12">
        <v>20813</v>
      </c>
      <c r="B1166">
        <v>7</v>
      </c>
      <c r="C1166" s="1">
        <v>47</v>
      </c>
      <c r="D1166">
        <v>0</v>
      </c>
      <c r="E1166">
        <v>0</v>
      </c>
      <c r="F1166">
        <v>1</v>
      </c>
      <c r="G1166" s="7">
        <v>0.05</v>
      </c>
      <c r="H1166">
        <v>12</v>
      </c>
      <c r="I1166">
        <v>0</v>
      </c>
      <c r="J1166">
        <v>0</v>
      </c>
      <c r="K1166">
        <v>0</v>
      </c>
      <c r="L1166">
        <v>1</v>
      </c>
      <c r="M1166">
        <v>2</v>
      </c>
      <c r="N1166" s="7">
        <v>9</v>
      </c>
      <c r="O1166" s="7">
        <v>0</v>
      </c>
      <c r="P1166" s="7">
        <v>0</v>
      </c>
      <c r="Q1166" s="7">
        <v>0</v>
      </c>
      <c r="R1166" s="7">
        <v>1</v>
      </c>
      <c r="S1166" s="7">
        <v>4.5</v>
      </c>
      <c r="T1166">
        <v>7</v>
      </c>
      <c r="U1166" s="1">
        <v>35</v>
      </c>
      <c r="V1166">
        <v>0</v>
      </c>
      <c r="W1166">
        <v>0</v>
      </c>
      <c r="X1166">
        <v>1</v>
      </c>
      <c r="Y1166">
        <v>0.16</v>
      </c>
      <c r="Z1166">
        <v>23</v>
      </c>
      <c r="AA1166">
        <v>0</v>
      </c>
      <c r="AB1166">
        <v>0</v>
      </c>
      <c r="AC1166">
        <v>0</v>
      </c>
      <c r="AD1166">
        <v>1</v>
      </c>
      <c r="AE1166">
        <v>0.05</v>
      </c>
      <c r="AF1166">
        <v>15</v>
      </c>
      <c r="AG1166">
        <v>0</v>
      </c>
      <c r="AH1166">
        <v>0</v>
      </c>
      <c r="AI1166">
        <v>0</v>
      </c>
      <c r="AJ1166">
        <v>1</v>
      </c>
      <c r="AK1166">
        <v>0.02</v>
      </c>
      <c r="AL1166">
        <v>16</v>
      </c>
      <c r="AM1166">
        <v>0</v>
      </c>
      <c r="AN1166">
        <v>0</v>
      </c>
      <c r="AO1166">
        <v>0</v>
      </c>
      <c r="AP1166">
        <v>1</v>
      </c>
      <c r="AQ1166">
        <v>0.01</v>
      </c>
      <c r="AX1166">
        <v>7</v>
      </c>
      <c r="AY1166" s="1">
        <v>19</v>
      </c>
      <c r="AZ1166">
        <v>0</v>
      </c>
      <c r="BA1166">
        <v>0</v>
      </c>
      <c r="BB1166">
        <v>1</v>
      </c>
      <c r="BC1166" s="7">
        <v>0.32</v>
      </c>
      <c r="BD1166">
        <v>30</v>
      </c>
      <c r="BE1166">
        <v>0</v>
      </c>
      <c r="BF1166">
        <v>0</v>
      </c>
      <c r="BG1166">
        <v>0</v>
      </c>
      <c r="BH1166">
        <v>5</v>
      </c>
      <c r="BI1166">
        <v>2.4</v>
      </c>
      <c r="BJ1166">
        <v>31</v>
      </c>
      <c r="BK1166">
        <v>0</v>
      </c>
      <c r="BL1166">
        <v>0</v>
      </c>
      <c r="BM1166">
        <v>0</v>
      </c>
      <c r="BN1166">
        <v>5</v>
      </c>
      <c r="BO1166">
        <v>2.4</v>
      </c>
      <c r="BP1166">
        <v>36</v>
      </c>
      <c r="BQ1166">
        <v>0</v>
      </c>
      <c r="BR1166">
        <v>0</v>
      </c>
      <c r="BS1166">
        <v>0</v>
      </c>
      <c r="BT1166">
        <v>5</v>
      </c>
      <c r="BU1166">
        <v>1.8</v>
      </c>
    </row>
    <row r="1167" spans="1:73" ht="14.25" x14ac:dyDescent="0.15">
      <c r="A1167" s="12">
        <v>20814</v>
      </c>
      <c r="B1167">
        <v>7</v>
      </c>
      <c r="C1167" s="1">
        <v>48</v>
      </c>
      <c r="D1167">
        <v>0</v>
      </c>
      <c r="E1167">
        <v>0</v>
      </c>
      <c r="F1167">
        <v>1</v>
      </c>
      <c r="G1167" s="7">
        <v>0.05</v>
      </c>
      <c r="H1167">
        <v>12</v>
      </c>
      <c r="I1167">
        <v>0</v>
      </c>
      <c r="J1167">
        <v>0</v>
      </c>
      <c r="K1167">
        <v>0</v>
      </c>
      <c r="L1167">
        <v>1</v>
      </c>
      <c r="M1167">
        <v>2</v>
      </c>
      <c r="N1167" s="7">
        <v>9</v>
      </c>
      <c r="O1167" s="7">
        <v>0</v>
      </c>
      <c r="P1167" s="7">
        <v>0</v>
      </c>
      <c r="Q1167" s="7">
        <v>0</v>
      </c>
      <c r="R1167" s="7">
        <v>1</v>
      </c>
      <c r="S1167" s="7">
        <v>4.5</v>
      </c>
      <c r="T1167">
        <v>7</v>
      </c>
      <c r="U1167" s="1">
        <v>36</v>
      </c>
      <c r="V1167">
        <v>0</v>
      </c>
      <c r="W1167">
        <v>0</v>
      </c>
      <c r="X1167">
        <v>1</v>
      </c>
      <c r="Y1167">
        <v>0.16</v>
      </c>
      <c r="Z1167">
        <v>23</v>
      </c>
      <c r="AA1167">
        <v>0</v>
      </c>
      <c r="AB1167">
        <v>0</v>
      </c>
      <c r="AC1167">
        <v>0</v>
      </c>
      <c r="AD1167">
        <v>1</v>
      </c>
      <c r="AE1167">
        <v>0.05</v>
      </c>
      <c r="AF1167">
        <v>15</v>
      </c>
      <c r="AG1167">
        <v>0</v>
      </c>
      <c r="AH1167">
        <v>0</v>
      </c>
      <c r="AI1167">
        <v>0</v>
      </c>
      <c r="AJ1167">
        <v>1</v>
      </c>
      <c r="AK1167">
        <v>0.02</v>
      </c>
      <c r="AL1167">
        <v>16</v>
      </c>
      <c r="AM1167">
        <v>0</v>
      </c>
      <c r="AN1167">
        <v>0</v>
      </c>
      <c r="AO1167">
        <v>0</v>
      </c>
      <c r="AP1167">
        <v>1</v>
      </c>
      <c r="AQ1167">
        <v>0.01</v>
      </c>
      <c r="AX1167">
        <v>7</v>
      </c>
      <c r="AY1167" s="1">
        <v>20</v>
      </c>
      <c r="AZ1167">
        <v>0</v>
      </c>
      <c r="BA1167">
        <v>0</v>
      </c>
      <c r="BB1167">
        <v>1</v>
      </c>
      <c r="BC1167" s="7">
        <v>0.32</v>
      </c>
      <c r="BD1167">
        <v>30</v>
      </c>
      <c r="BE1167">
        <v>0</v>
      </c>
      <c r="BF1167">
        <v>0</v>
      </c>
      <c r="BG1167">
        <v>0</v>
      </c>
      <c r="BH1167">
        <v>5</v>
      </c>
      <c r="BI1167">
        <v>2.4</v>
      </c>
      <c r="BJ1167">
        <v>31</v>
      </c>
      <c r="BK1167">
        <v>0</v>
      </c>
      <c r="BL1167">
        <v>0</v>
      </c>
      <c r="BM1167">
        <v>0</v>
      </c>
      <c r="BN1167">
        <v>5</v>
      </c>
      <c r="BO1167">
        <v>2.4</v>
      </c>
      <c r="BP1167">
        <v>36</v>
      </c>
      <c r="BQ1167">
        <v>0</v>
      </c>
      <c r="BR1167">
        <v>0</v>
      </c>
      <c r="BS1167">
        <v>0</v>
      </c>
      <c r="BT1167">
        <v>5</v>
      </c>
      <c r="BU1167">
        <v>1.8</v>
      </c>
    </row>
    <row r="1168" spans="1:73" ht="14.25" x14ac:dyDescent="0.15">
      <c r="A1168" s="12">
        <v>20815</v>
      </c>
      <c r="B1168">
        <v>7</v>
      </c>
      <c r="C1168" s="1">
        <v>0</v>
      </c>
      <c r="D1168">
        <v>5</v>
      </c>
      <c r="E1168">
        <v>1</v>
      </c>
      <c r="F1168">
        <v>1</v>
      </c>
      <c r="G1168" s="7">
        <v>0.05</v>
      </c>
      <c r="H1168">
        <v>12</v>
      </c>
      <c r="I1168">
        <v>0</v>
      </c>
      <c r="J1168">
        <v>0</v>
      </c>
      <c r="K1168">
        <v>0</v>
      </c>
      <c r="L1168">
        <v>1</v>
      </c>
      <c r="M1168">
        <v>2</v>
      </c>
      <c r="N1168" s="7">
        <v>9</v>
      </c>
      <c r="O1168" s="7">
        <v>0</v>
      </c>
      <c r="P1168" s="7">
        <v>0</v>
      </c>
      <c r="Q1168" s="7">
        <v>0</v>
      </c>
      <c r="R1168" s="7">
        <v>1</v>
      </c>
      <c r="S1168" s="7">
        <v>4.5</v>
      </c>
      <c r="T1168">
        <v>7</v>
      </c>
      <c r="U1168" s="1">
        <v>0</v>
      </c>
      <c r="V1168">
        <v>4</v>
      </c>
      <c r="W1168">
        <v>2</v>
      </c>
      <c r="X1168">
        <v>1</v>
      </c>
      <c r="Y1168">
        <v>0.16</v>
      </c>
      <c r="Z1168">
        <v>23</v>
      </c>
      <c r="AA1168">
        <v>0</v>
      </c>
      <c r="AB1168">
        <v>0</v>
      </c>
      <c r="AC1168">
        <v>0</v>
      </c>
      <c r="AD1168">
        <v>1</v>
      </c>
      <c r="AE1168">
        <v>0.05</v>
      </c>
      <c r="AF1168">
        <v>15</v>
      </c>
      <c r="AG1168">
        <v>0</v>
      </c>
      <c r="AH1168">
        <v>0</v>
      </c>
      <c r="AI1168">
        <v>0</v>
      </c>
      <c r="AJ1168">
        <v>1</v>
      </c>
      <c r="AK1168">
        <v>0.02</v>
      </c>
      <c r="AL1168">
        <v>16</v>
      </c>
      <c r="AM1168">
        <v>0</v>
      </c>
      <c r="AN1168">
        <v>0</v>
      </c>
      <c r="AO1168">
        <v>0</v>
      </c>
      <c r="AP1168">
        <v>1</v>
      </c>
      <c r="AQ1168">
        <v>0.01</v>
      </c>
      <c r="AR1168">
        <v>6</v>
      </c>
      <c r="AS1168">
        <v>2</v>
      </c>
      <c r="AT1168">
        <v>3</v>
      </c>
      <c r="AU1168">
        <v>5</v>
      </c>
      <c r="AV1168">
        <v>1</v>
      </c>
      <c r="AW1168">
        <v>0.05</v>
      </c>
      <c r="AX1168">
        <v>7</v>
      </c>
      <c r="AY1168" s="1">
        <v>0</v>
      </c>
      <c r="AZ1168">
        <v>3</v>
      </c>
      <c r="BA1168">
        <v>1</v>
      </c>
      <c r="BB1168">
        <v>1</v>
      </c>
      <c r="BC1168" s="7">
        <v>0.32</v>
      </c>
      <c r="BD1168">
        <v>30</v>
      </c>
      <c r="BE1168">
        <v>0</v>
      </c>
      <c r="BF1168">
        <v>0</v>
      </c>
      <c r="BG1168">
        <v>0</v>
      </c>
      <c r="BH1168">
        <v>5</v>
      </c>
      <c r="BI1168">
        <v>2.4</v>
      </c>
      <c r="BJ1168">
        <v>31</v>
      </c>
      <c r="BK1168">
        <v>0</v>
      </c>
      <c r="BL1168">
        <v>0</v>
      </c>
      <c r="BM1168">
        <v>0</v>
      </c>
      <c r="BN1168">
        <v>5</v>
      </c>
      <c r="BO1168">
        <v>2.4</v>
      </c>
      <c r="BP1168">
        <v>36</v>
      </c>
      <c r="BQ1168">
        <v>0</v>
      </c>
      <c r="BR1168">
        <v>0</v>
      </c>
      <c r="BS1168">
        <v>0</v>
      </c>
      <c r="BT1168">
        <v>5</v>
      </c>
      <c r="BU1168">
        <v>1.8</v>
      </c>
    </row>
    <row r="1169" spans="1:73" ht="14.25" x14ac:dyDescent="0.15">
      <c r="A1169" s="12">
        <v>20816</v>
      </c>
      <c r="B1169">
        <v>7</v>
      </c>
      <c r="C1169" s="1">
        <v>45</v>
      </c>
      <c r="D1169">
        <v>0</v>
      </c>
      <c r="E1169">
        <v>0</v>
      </c>
      <c r="F1169">
        <v>1</v>
      </c>
      <c r="G1169" s="7">
        <v>0.05</v>
      </c>
      <c r="H1169">
        <v>12</v>
      </c>
      <c r="I1169">
        <v>0</v>
      </c>
      <c r="J1169">
        <v>0</v>
      </c>
      <c r="K1169">
        <v>0</v>
      </c>
      <c r="L1169">
        <v>1</v>
      </c>
      <c r="M1169">
        <v>2</v>
      </c>
      <c r="N1169" s="7">
        <v>9</v>
      </c>
      <c r="O1169" s="7">
        <v>0</v>
      </c>
      <c r="P1169" s="7">
        <v>0</v>
      </c>
      <c r="Q1169" s="7">
        <v>0</v>
      </c>
      <c r="R1169" s="7">
        <v>1</v>
      </c>
      <c r="S1169" s="7">
        <v>4.5</v>
      </c>
      <c r="T1169">
        <v>7</v>
      </c>
      <c r="U1169" s="1">
        <v>33</v>
      </c>
      <c r="V1169">
        <v>0</v>
      </c>
      <c r="W1169">
        <v>0</v>
      </c>
      <c r="X1169">
        <v>1</v>
      </c>
      <c r="Y1169">
        <v>0.16</v>
      </c>
      <c r="Z1169">
        <v>23</v>
      </c>
      <c r="AA1169">
        <v>0</v>
      </c>
      <c r="AB1169">
        <v>0</v>
      </c>
      <c r="AC1169">
        <v>0</v>
      </c>
      <c r="AD1169">
        <v>1</v>
      </c>
      <c r="AE1169">
        <v>0.05</v>
      </c>
      <c r="AF1169">
        <v>15</v>
      </c>
      <c r="AG1169">
        <v>0</v>
      </c>
      <c r="AH1169">
        <v>0</v>
      </c>
      <c r="AI1169">
        <v>0</v>
      </c>
      <c r="AJ1169">
        <v>1</v>
      </c>
      <c r="AK1169">
        <v>0.02</v>
      </c>
      <c r="AL1169">
        <v>16</v>
      </c>
      <c r="AM1169">
        <v>0</v>
      </c>
      <c r="AN1169">
        <v>0</v>
      </c>
      <c r="AO1169">
        <v>0</v>
      </c>
      <c r="AP1169">
        <v>1</v>
      </c>
      <c r="AQ1169">
        <v>0.01</v>
      </c>
      <c r="AX1169">
        <v>7</v>
      </c>
      <c r="AY1169" s="1">
        <v>17</v>
      </c>
      <c r="AZ1169">
        <v>0</v>
      </c>
      <c r="BA1169">
        <v>0</v>
      </c>
      <c r="BB1169">
        <v>1</v>
      </c>
      <c r="BC1169" s="7">
        <v>0.32</v>
      </c>
      <c r="BD1169">
        <v>30</v>
      </c>
      <c r="BE1169">
        <v>0</v>
      </c>
      <c r="BF1169">
        <v>0</v>
      </c>
      <c r="BG1169">
        <v>0</v>
      </c>
      <c r="BH1169">
        <v>5</v>
      </c>
      <c r="BI1169">
        <v>2.4</v>
      </c>
      <c r="BJ1169">
        <v>31</v>
      </c>
      <c r="BK1169">
        <v>0</v>
      </c>
      <c r="BL1169">
        <v>0</v>
      </c>
      <c r="BM1169">
        <v>0</v>
      </c>
      <c r="BN1169">
        <v>5</v>
      </c>
      <c r="BO1169">
        <v>2.4</v>
      </c>
      <c r="BP1169">
        <v>36</v>
      </c>
      <c r="BQ1169">
        <v>0</v>
      </c>
      <c r="BR1169">
        <v>0</v>
      </c>
      <c r="BS1169">
        <v>0</v>
      </c>
      <c r="BT1169">
        <v>5</v>
      </c>
      <c r="BU1169">
        <v>1.8</v>
      </c>
    </row>
    <row r="1170" spans="1:73" ht="14.25" x14ac:dyDescent="0.15">
      <c r="A1170" s="12">
        <v>20817</v>
      </c>
      <c r="B1170">
        <v>7</v>
      </c>
      <c r="C1170" s="1">
        <v>46</v>
      </c>
      <c r="D1170">
        <v>0</v>
      </c>
      <c r="E1170">
        <v>0</v>
      </c>
      <c r="F1170">
        <v>1</v>
      </c>
      <c r="G1170" s="7">
        <v>0.05</v>
      </c>
      <c r="H1170">
        <v>12</v>
      </c>
      <c r="I1170">
        <v>0</v>
      </c>
      <c r="J1170">
        <v>0</v>
      </c>
      <c r="K1170">
        <v>0</v>
      </c>
      <c r="L1170">
        <v>1</v>
      </c>
      <c r="M1170">
        <v>2</v>
      </c>
      <c r="N1170" s="7">
        <v>9</v>
      </c>
      <c r="O1170" s="7">
        <v>0</v>
      </c>
      <c r="P1170" s="7">
        <v>0</v>
      </c>
      <c r="Q1170" s="7">
        <v>0</v>
      </c>
      <c r="R1170" s="7">
        <v>1</v>
      </c>
      <c r="S1170" s="7">
        <v>4.5</v>
      </c>
      <c r="T1170">
        <v>7</v>
      </c>
      <c r="U1170" s="1">
        <v>34</v>
      </c>
      <c r="V1170">
        <v>0</v>
      </c>
      <c r="W1170">
        <v>0</v>
      </c>
      <c r="X1170">
        <v>1</v>
      </c>
      <c r="Y1170">
        <v>0.16</v>
      </c>
      <c r="Z1170">
        <v>23</v>
      </c>
      <c r="AA1170">
        <v>0</v>
      </c>
      <c r="AB1170">
        <v>0</v>
      </c>
      <c r="AC1170">
        <v>0</v>
      </c>
      <c r="AD1170">
        <v>1</v>
      </c>
      <c r="AE1170">
        <v>0.05</v>
      </c>
      <c r="AF1170">
        <v>15</v>
      </c>
      <c r="AG1170">
        <v>0</v>
      </c>
      <c r="AH1170">
        <v>0</v>
      </c>
      <c r="AI1170">
        <v>0</v>
      </c>
      <c r="AJ1170">
        <v>1</v>
      </c>
      <c r="AK1170">
        <v>0.02</v>
      </c>
      <c r="AL1170">
        <v>16</v>
      </c>
      <c r="AM1170">
        <v>0</v>
      </c>
      <c r="AN1170">
        <v>0</v>
      </c>
      <c r="AO1170">
        <v>0</v>
      </c>
      <c r="AP1170">
        <v>1</v>
      </c>
      <c r="AQ1170">
        <v>0.01</v>
      </c>
      <c r="AX1170">
        <v>7</v>
      </c>
      <c r="AY1170" s="1">
        <v>18</v>
      </c>
      <c r="AZ1170">
        <v>0</v>
      </c>
      <c r="BA1170">
        <v>0</v>
      </c>
      <c r="BB1170">
        <v>1</v>
      </c>
      <c r="BC1170" s="7">
        <v>0.32</v>
      </c>
      <c r="BD1170">
        <v>30</v>
      </c>
      <c r="BE1170">
        <v>0</v>
      </c>
      <c r="BF1170">
        <v>0</v>
      </c>
      <c r="BG1170">
        <v>0</v>
      </c>
      <c r="BH1170">
        <v>5</v>
      </c>
      <c r="BI1170">
        <v>2.4</v>
      </c>
      <c r="BJ1170">
        <v>31</v>
      </c>
      <c r="BK1170">
        <v>0</v>
      </c>
      <c r="BL1170">
        <v>0</v>
      </c>
      <c r="BM1170">
        <v>0</v>
      </c>
      <c r="BN1170">
        <v>5</v>
      </c>
      <c r="BO1170">
        <v>2.4</v>
      </c>
      <c r="BP1170">
        <v>36</v>
      </c>
      <c r="BQ1170">
        <v>0</v>
      </c>
      <c r="BR1170">
        <v>0</v>
      </c>
      <c r="BS1170">
        <v>0</v>
      </c>
      <c r="BT1170">
        <v>5</v>
      </c>
      <c r="BU1170">
        <v>1.8</v>
      </c>
    </row>
    <row r="1171" spans="1:73" ht="14.25" x14ac:dyDescent="0.15">
      <c r="A1171" s="12">
        <v>20818</v>
      </c>
      <c r="B1171">
        <v>7</v>
      </c>
      <c r="C1171" s="1">
        <v>47</v>
      </c>
      <c r="D1171">
        <v>0</v>
      </c>
      <c r="E1171">
        <v>0</v>
      </c>
      <c r="F1171">
        <v>1</v>
      </c>
      <c r="G1171" s="7">
        <v>0.05</v>
      </c>
      <c r="H1171">
        <v>12</v>
      </c>
      <c r="I1171">
        <v>0</v>
      </c>
      <c r="J1171">
        <v>0</v>
      </c>
      <c r="K1171">
        <v>0</v>
      </c>
      <c r="L1171">
        <v>1</v>
      </c>
      <c r="M1171">
        <v>2</v>
      </c>
      <c r="N1171" s="7">
        <v>9</v>
      </c>
      <c r="O1171" s="7">
        <v>0</v>
      </c>
      <c r="P1171" s="7">
        <v>0</v>
      </c>
      <c r="Q1171" s="7">
        <v>0</v>
      </c>
      <c r="R1171" s="7">
        <v>1</v>
      </c>
      <c r="S1171" s="7">
        <v>4.5</v>
      </c>
      <c r="T1171">
        <v>7</v>
      </c>
      <c r="U1171" s="1">
        <v>35</v>
      </c>
      <c r="V1171">
        <v>0</v>
      </c>
      <c r="W1171">
        <v>0</v>
      </c>
      <c r="X1171">
        <v>1</v>
      </c>
      <c r="Y1171">
        <v>0.16</v>
      </c>
      <c r="Z1171">
        <v>23</v>
      </c>
      <c r="AA1171">
        <v>0</v>
      </c>
      <c r="AB1171">
        <v>0</v>
      </c>
      <c r="AC1171">
        <v>0</v>
      </c>
      <c r="AD1171">
        <v>1</v>
      </c>
      <c r="AE1171">
        <v>0.05</v>
      </c>
      <c r="AF1171">
        <v>15</v>
      </c>
      <c r="AG1171">
        <v>0</v>
      </c>
      <c r="AH1171">
        <v>0</v>
      </c>
      <c r="AI1171">
        <v>0</v>
      </c>
      <c r="AJ1171">
        <v>1</v>
      </c>
      <c r="AK1171">
        <v>0.02</v>
      </c>
      <c r="AL1171">
        <v>16</v>
      </c>
      <c r="AM1171">
        <v>0</v>
      </c>
      <c r="AN1171">
        <v>0</v>
      </c>
      <c r="AO1171">
        <v>0</v>
      </c>
      <c r="AP1171">
        <v>1</v>
      </c>
      <c r="AQ1171">
        <v>0.01</v>
      </c>
      <c r="AX1171">
        <v>7</v>
      </c>
      <c r="AY1171" s="1">
        <v>19</v>
      </c>
      <c r="AZ1171">
        <v>0</v>
      </c>
      <c r="BA1171">
        <v>0</v>
      </c>
      <c r="BB1171">
        <v>1</v>
      </c>
      <c r="BC1171" s="7">
        <v>0.32</v>
      </c>
      <c r="BD1171">
        <v>30</v>
      </c>
      <c r="BE1171">
        <v>0</v>
      </c>
      <c r="BF1171">
        <v>0</v>
      </c>
      <c r="BG1171">
        <v>0</v>
      </c>
      <c r="BH1171">
        <v>5</v>
      </c>
      <c r="BI1171">
        <v>2.4</v>
      </c>
      <c r="BJ1171">
        <v>31</v>
      </c>
      <c r="BK1171">
        <v>0</v>
      </c>
      <c r="BL1171">
        <v>0</v>
      </c>
      <c r="BM1171">
        <v>0</v>
      </c>
      <c r="BN1171">
        <v>5</v>
      </c>
      <c r="BO1171">
        <v>2.4</v>
      </c>
      <c r="BP1171">
        <v>36</v>
      </c>
      <c r="BQ1171">
        <v>0</v>
      </c>
      <c r="BR1171">
        <v>0</v>
      </c>
      <c r="BS1171">
        <v>0</v>
      </c>
      <c r="BT1171">
        <v>5</v>
      </c>
      <c r="BU1171">
        <v>1.8</v>
      </c>
    </row>
    <row r="1172" spans="1:73" ht="14.25" x14ac:dyDescent="0.15">
      <c r="A1172" s="12">
        <v>20819</v>
      </c>
      <c r="B1172">
        <v>7</v>
      </c>
      <c r="C1172" s="1">
        <v>48</v>
      </c>
      <c r="D1172">
        <v>0</v>
      </c>
      <c r="E1172">
        <v>0</v>
      </c>
      <c r="F1172">
        <v>1</v>
      </c>
      <c r="G1172" s="7">
        <v>0.05</v>
      </c>
      <c r="H1172">
        <v>12</v>
      </c>
      <c r="I1172">
        <v>0</v>
      </c>
      <c r="J1172">
        <v>0</v>
      </c>
      <c r="K1172">
        <v>0</v>
      </c>
      <c r="L1172">
        <v>1</v>
      </c>
      <c r="M1172">
        <v>2</v>
      </c>
      <c r="N1172" s="7">
        <v>9</v>
      </c>
      <c r="O1172" s="7">
        <v>0</v>
      </c>
      <c r="P1172" s="7">
        <v>0</v>
      </c>
      <c r="Q1172" s="7">
        <v>0</v>
      </c>
      <c r="R1172" s="7">
        <v>1</v>
      </c>
      <c r="S1172" s="7">
        <v>4.5</v>
      </c>
      <c r="T1172">
        <v>7</v>
      </c>
      <c r="U1172" s="1">
        <v>36</v>
      </c>
      <c r="V1172">
        <v>0</v>
      </c>
      <c r="W1172">
        <v>0</v>
      </c>
      <c r="X1172">
        <v>1</v>
      </c>
      <c r="Y1172">
        <v>0.16</v>
      </c>
      <c r="Z1172">
        <v>23</v>
      </c>
      <c r="AA1172">
        <v>0</v>
      </c>
      <c r="AB1172">
        <v>0</v>
      </c>
      <c r="AC1172">
        <v>0</v>
      </c>
      <c r="AD1172">
        <v>1</v>
      </c>
      <c r="AE1172">
        <v>0.05</v>
      </c>
      <c r="AF1172">
        <v>15</v>
      </c>
      <c r="AG1172">
        <v>0</v>
      </c>
      <c r="AH1172">
        <v>0</v>
      </c>
      <c r="AI1172">
        <v>0</v>
      </c>
      <c r="AJ1172">
        <v>1</v>
      </c>
      <c r="AK1172">
        <v>0.02</v>
      </c>
      <c r="AL1172">
        <v>16</v>
      </c>
      <c r="AM1172">
        <v>0</v>
      </c>
      <c r="AN1172">
        <v>0</v>
      </c>
      <c r="AO1172">
        <v>0</v>
      </c>
      <c r="AP1172">
        <v>1</v>
      </c>
      <c r="AQ1172">
        <v>0.01</v>
      </c>
      <c r="AX1172">
        <v>7</v>
      </c>
      <c r="AY1172" s="1">
        <v>20</v>
      </c>
      <c r="AZ1172">
        <v>0</v>
      </c>
      <c r="BA1172">
        <v>0</v>
      </c>
      <c r="BB1172">
        <v>1</v>
      </c>
      <c r="BC1172" s="7">
        <v>0.32</v>
      </c>
      <c r="BD1172">
        <v>30</v>
      </c>
      <c r="BE1172">
        <v>0</v>
      </c>
      <c r="BF1172">
        <v>0</v>
      </c>
      <c r="BG1172">
        <v>0</v>
      </c>
      <c r="BH1172">
        <v>5</v>
      </c>
      <c r="BI1172">
        <v>2.4</v>
      </c>
      <c r="BJ1172">
        <v>31</v>
      </c>
      <c r="BK1172">
        <v>0</v>
      </c>
      <c r="BL1172">
        <v>0</v>
      </c>
      <c r="BM1172">
        <v>0</v>
      </c>
      <c r="BN1172">
        <v>5</v>
      </c>
      <c r="BO1172">
        <v>2.4</v>
      </c>
      <c r="BP1172">
        <v>36</v>
      </c>
      <c r="BQ1172">
        <v>0</v>
      </c>
      <c r="BR1172">
        <v>0</v>
      </c>
      <c r="BS1172">
        <v>0</v>
      </c>
      <c r="BT1172">
        <v>5</v>
      </c>
      <c r="BU1172">
        <v>1.8</v>
      </c>
    </row>
    <row r="1173" spans="1:73" ht="14.25" x14ac:dyDescent="0.15">
      <c r="A1173" s="12">
        <v>20820</v>
      </c>
      <c r="B1173">
        <v>7</v>
      </c>
      <c r="C1173" s="1">
        <v>0</v>
      </c>
      <c r="D1173">
        <v>5</v>
      </c>
      <c r="E1173">
        <v>1</v>
      </c>
      <c r="F1173">
        <v>1</v>
      </c>
      <c r="G1173" s="7">
        <v>0.05</v>
      </c>
      <c r="H1173">
        <v>12</v>
      </c>
      <c r="I1173">
        <v>0</v>
      </c>
      <c r="J1173">
        <v>0</v>
      </c>
      <c r="K1173">
        <v>0</v>
      </c>
      <c r="L1173">
        <v>1</v>
      </c>
      <c r="M1173">
        <v>2</v>
      </c>
      <c r="N1173" s="7">
        <v>9</v>
      </c>
      <c r="O1173" s="7">
        <v>0</v>
      </c>
      <c r="P1173" s="7">
        <v>0</v>
      </c>
      <c r="Q1173" s="7">
        <v>0</v>
      </c>
      <c r="R1173" s="7">
        <v>1</v>
      </c>
      <c r="S1173" s="7">
        <v>4.5</v>
      </c>
      <c r="T1173">
        <v>7</v>
      </c>
      <c r="U1173" s="1">
        <v>0</v>
      </c>
      <c r="V1173">
        <v>4</v>
      </c>
      <c r="W1173">
        <v>2</v>
      </c>
      <c r="X1173">
        <v>1</v>
      </c>
      <c r="Y1173">
        <v>0.16</v>
      </c>
      <c r="Z1173">
        <v>23</v>
      </c>
      <c r="AA1173">
        <v>0</v>
      </c>
      <c r="AB1173">
        <v>0</v>
      </c>
      <c r="AC1173">
        <v>0</v>
      </c>
      <c r="AD1173">
        <v>1</v>
      </c>
      <c r="AE1173">
        <v>0.05</v>
      </c>
      <c r="AF1173">
        <v>15</v>
      </c>
      <c r="AG1173">
        <v>0</v>
      </c>
      <c r="AH1173">
        <v>0</v>
      </c>
      <c r="AI1173">
        <v>0</v>
      </c>
      <c r="AJ1173">
        <v>1</v>
      </c>
      <c r="AK1173">
        <v>0.02</v>
      </c>
      <c r="AL1173">
        <v>16</v>
      </c>
      <c r="AM1173">
        <v>0</v>
      </c>
      <c r="AN1173">
        <v>0</v>
      </c>
      <c r="AO1173">
        <v>0</v>
      </c>
      <c r="AP1173">
        <v>1</v>
      </c>
      <c r="AQ1173">
        <v>0.01</v>
      </c>
      <c r="AR1173">
        <v>6</v>
      </c>
      <c r="AS1173">
        <v>2</v>
      </c>
      <c r="AT1173">
        <v>4</v>
      </c>
      <c r="AU1173">
        <v>5</v>
      </c>
      <c r="AV1173">
        <v>1</v>
      </c>
      <c r="AW1173">
        <v>0.01</v>
      </c>
      <c r="AX1173">
        <v>7</v>
      </c>
      <c r="AY1173" s="1">
        <v>0</v>
      </c>
      <c r="AZ1173">
        <v>3</v>
      </c>
      <c r="BA1173">
        <v>1</v>
      </c>
      <c r="BB1173">
        <v>1</v>
      </c>
      <c r="BC1173" s="7">
        <v>0.32</v>
      </c>
      <c r="BD1173">
        <v>30</v>
      </c>
      <c r="BE1173">
        <v>0</v>
      </c>
      <c r="BF1173">
        <v>0</v>
      </c>
      <c r="BG1173">
        <v>0</v>
      </c>
      <c r="BH1173">
        <v>5</v>
      </c>
      <c r="BI1173">
        <v>2.4</v>
      </c>
      <c r="BJ1173">
        <v>31</v>
      </c>
      <c r="BK1173">
        <v>0</v>
      </c>
      <c r="BL1173">
        <v>0</v>
      </c>
      <c r="BM1173">
        <v>0</v>
      </c>
      <c r="BN1173">
        <v>5</v>
      </c>
      <c r="BO1173">
        <v>2.4</v>
      </c>
      <c r="BP1173">
        <v>36</v>
      </c>
      <c r="BQ1173">
        <v>0</v>
      </c>
      <c r="BR1173">
        <v>0</v>
      </c>
      <c r="BS1173">
        <v>0</v>
      </c>
      <c r="BT1173">
        <v>5</v>
      </c>
      <c r="BU1173">
        <v>1.8</v>
      </c>
    </row>
    <row r="1174" spans="1:73" ht="14.25" x14ac:dyDescent="0.15">
      <c r="A1174" s="12">
        <v>20821</v>
      </c>
      <c r="B1174">
        <v>7</v>
      </c>
      <c r="C1174" s="1">
        <v>45</v>
      </c>
      <c r="D1174">
        <v>0</v>
      </c>
      <c r="E1174">
        <v>0</v>
      </c>
      <c r="F1174">
        <v>1</v>
      </c>
      <c r="G1174" s="7">
        <v>0.05</v>
      </c>
      <c r="H1174">
        <v>12</v>
      </c>
      <c r="I1174">
        <v>0</v>
      </c>
      <c r="J1174">
        <v>0</v>
      </c>
      <c r="K1174">
        <v>0</v>
      </c>
      <c r="L1174">
        <v>1</v>
      </c>
      <c r="M1174">
        <v>2</v>
      </c>
      <c r="N1174" s="7">
        <v>9</v>
      </c>
      <c r="O1174" s="7">
        <v>0</v>
      </c>
      <c r="P1174" s="7">
        <v>0</v>
      </c>
      <c r="Q1174" s="7">
        <v>0</v>
      </c>
      <c r="R1174" s="7">
        <v>1</v>
      </c>
      <c r="S1174" s="7">
        <v>4.5</v>
      </c>
      <c r="T1174">
        <v>7</v>
      </c>
      <c r="U1174" s="1">
        <v>33</v>
      </c>
      <c r="V1174">
        <v>0</v>
      </c>
      <c r="W1174">
        <v>0</v>
      </c>
      <c r="X1174">
        <v>1</v>
      </c>
      <c r="Y1174">
        <v>0.16</v>
      </c>
      <c r="Z1174">
        <v>23</v>
      </c>
      <c r="AA1174">
        <v>0</v>
      </c>
      <c r="AB1174">
        <v>0</v>
      </c>
      <c r="AC1174">
        <v>0</v>
      </c>
      <c r="AD1174">
        <v>1</v>
      </c>
      <c r="AE1174">
        <v>0.05</v>
      </c>
      <c r="AF1174">
        <v>15</v>
      </c>
      <c r="AG1174">
        <v>0</v>
      </c>
      <c r="AH1174">
        <v>0</v>
      </c>
      <c r="AI1174">
        <v>0</v>
      </c>
      <c r="AJ1174">
        <v>1</v>
      </c>
      <c r="AK1174">
        <v>0.02</v>
      </c>
      <c r="AL1174">
        <v>16</v>
      </c>
      <c r="AM1174">
        <v>0</v>
      </c>
      <c r="AN1174">
        <v>0</v>
      </c>
      <c r="AO1174">
        <v>0</v>
      </c>
      <c r="AP1174">
        <v>1</v>
      </c>
      <c r="AQ1174">
        <v>0.01</v>
      </c>
      <c r="AX1174">
        <v>7</v>
      </c>
      <c r="AY1174" s="1">
        <v>17</v>
      </c>
      <c r="AZ1174">
        <v>0</v>
      </c>
      <c r="BA1174">
        <v>0</v>
      </c>
      <c r="BB1174">
        <v>1</v>
      </c>
      <c r="BC1174" s="7">
        <v>0.32</v>
      </c>
      <c r="BD1174">
        <v>30</v>
      </c>
      <c r="BE1174">
        <v>0</v>
      </c>
      <c r="BF1174">
        <v>0</v>
      </c>
      <c r="BG1174">
        <v>0</v>
      </c>
      <c r="BH1174">
        <v>5</v>
      </c>
      <c r="BI1174">
        <v>2.4</v>
      </c>
      <c r="BJ1174">
        <v>31</v>
      </c>
      <c r="BK1174">
        <v>0</v>
      </c>
      <c r="BL1174">
        <v>0</v>
      </c>
      <c r="BM1174">
        <v>0</v>
      </c>
      <c r="BN1174">
        <v>5</v>
      </c>
      <c r="BO1174">
        <v>2.4</v>
      </c>
      <c r="BP1174">
        <v>36</v>
      </c>
      <c r="BQ1174">
        <v>0</v>
      </c>
      <c r="BR1174">
        <v>0</v>
      </c>
      <c r="BS1174">
        <v>0</v>
      </c>
      <c r="BT1174">
        <v>5</v>
      </c>
      <c r="BU1174">
        <v>1.8</v>
      </c>
    </row>
    <row r="1175" spans="1:73" ht="14.25" x14ac:dyDescent="0.15">
      <c r="A1175" s="12">
        <v>20822</v>
      </c>
      <c r="B1175">
        <v>7</v>
      </c>
      <c r="C1175" s="1">
        <v>46</v>
      </c>
      <c r="D1175">
        <v>0</v>
      </c>
      <c r="E1175">
        <v>0</v>
      </c>
      <c r="F1175">
        <v>1</v>
      </c>
      <c r="G1175" s="7">
        <v>0.05</v>
      </c>
      <c r="H1175">
        <v>12</v>
      </c>
      <c r="I1175">
        <v>0</v>
      </c>
      <c r="J1175">
        <v>0</v>
      </c>
      <c r="K1175">
        <v>0</v>
      </c>
      <c r="L1175">
        <v>1</v>
      </c>
      <c r="M1175">
        <v>2</v>
      </c>
      <c r="N1175" s="7">
        <v>9</v>
      </c>
      <c r="O1175" s="7">
        <v>0</v>
      </c>
      <c r="P1175" s="7">
        <v>0</v>
      </c>
      <c r="Q1175" s="7">
        <v>0</v>
      </c>
      <c r="R1175" s="7">
        <v>1</v>
      </c>
      <c r="S1175" s="7">
        <v>4.5</v>
      </c>
      <c r="T1175">
        <v>7</v>
      </c>
      <c r="U1175" s="1">
        <v>34</v>
      </c>
      <c r="V1175">
        <v>0</v>
      </c>
      <c r="W1175">
        <v>0</v>
      </c>
      <c r="X1175">
        <v>1</v>
      </c>
      <c r="Y1175">
        <v>0.16</v>
      </c>
      <c r="Z1175">
        <v>23</v>
      </c>
      <c r="AA1175">
        <v>0</v>
      </c>
      <c r="AB1175">
        <v>0</v>
      </c>
      <c r="AC1175">
        <v>0</v>
      </c>
      <c r="AD1175">
        <v>1</v>
      </c>
      <c r="AE1175">
        <v>0.05</v>
      </c>
      <c r="AF1175">
        <v>15</v>
      </c>
      <c r="AG1175">
        <v>0</v>
      </c>
      <c r="AH1175">
        <v>0</v>
      </c>
      <c r="AI1175">
        <v>0</v>
      </c>
      <c r="AJ1175">
        <v>1</v>
      </c>
      <c r="AK1175">
        <v>0.02</v>
      </c>
      <c r="AL1175">
        <v>16</v>
      </c>
      <c r="AM1175">
        <v>0</v>
      </c>
      <c r="AN1175">
        <v>0</v>
      </c>
      <c r="AO1175">
        <v>0</v>
      </c>
      <c r="AP1175">
        <v>1</v>
      </c>
      <c r="AQ1175">
        <v>0.01</v>
      </c>
      <c r="AX1175">
        <v>7</v>
      </c>
      <c r="AY1175" s="1">
        <v>18</v>
      </c>
      <c r="AZ1175">
        <v>0</v>
      </c>
      <c r="BA1175">
        <v>0</v>
      </c>
      <c r="BB1175">
        <v>1</v>
      </c>
      <c r="BC1175" s="7">
        <v>0.32</v>
      </c>
      <c r="BD1175">
        <v>30</v>
      </c>
      <c r="BE1175">
        <v>0</v>
      </c>
      <c r="BF1175">
        <v>0</v>
      </c>
      <c r="BG1175">
        <v>0</v>
      </c>
      <c r="BH1175">
        <v>5</v>
      </c>
      <c r="BI1175">
        <v>2.4</v>
      </c>
      <c r="BJ1175">
        <v>31</v>
      </c>
      <c r="BK1175">
        <v>0</v>
      </c>
      <c r="BL1175">
        <v>0</v>
      </c>
      <c r="BM1175">
        <v>0</v>
      </c>
      <c r="BN1175">
        <v>5</v>
      </c>
      <c r="BO1175">
        <v>2.4</v>
      </c>
      <c r="BP1175">
        <v>36</v>
      </c>
      <c r="BQ1175">
        <v>0</v>
      </c>
      <c r="BR1175">
        <v>0</v>
      </c>
      <c r="BS1175">
        <v>0</v>
      </c>
      <c r="BT1175">
        <v>5</v>
      </c>
      <c r="BU1175">
        <v>1.8</v>
      </c>
    </row>
    <row r="1176" spans="1:73" ht="14.25" x14ac:dyDescent="0.15">
      <c r="A1176" s="12">
        <v>20823</v>
      </c>
      <c r="B1176">
        <v>7</v>
      </c>
      <c r="C1176" s="1">
        <v>47</v>
      </c>
      <c r="D1176">
        <v>0</v>
      </c>
      <c r="E1176">
        <v>0</v>
      </c>
      <c r="F1176">
        <v>1</v>
      </c>
      <c r="G1176" s="7">
        <v>0.05</v>
      </c>
      <c r="H1176">
        <v>12</v>
      </c>
      <c r="I1176">
        <v>0</v>
      </c>
      <c r="J1176">
        <v>0</v>
      </c>
      <c r="K1176">
        <v>0</v>
      </c>
      <c r="L1176">
        <v>1</v>
      </c>
      <c r="M1176">
        <v>2</v>
      </c>
      <c r="N1176" s="7">
        <v>9</v>
      </c>
      <c r="O1176" s="7">
        <v>0</v>
      </c>
      <c r="P1176" s="7">
        <v>0</v>
      </c>
      <c r="Q1176" s="7">
        <v>0</v>
      </c>
      <c r="R1176" s="7">
        <v>1</v>
      </c>
      <c r="S1176" s="7">
        <v>4.5</v>
      </c>
      <c r="T1176">
        <v>7</v>
      </c>
      <c r="U1176" s="1">
        <v>35</v>
      </c>
      <c r="V1176">
        <v>0</v>
      </c>
      <c r="W1176">
        <v>0</v>
      </c>
      <c r="X1176">
        <v>1</v>
      </c>
      <c r="Y1176">
        <v>0.16</v>
      </c>
      <c r="Z1176">
        <v>23</v>
      </c>
      <c r="AA1176">
        <v>0</v>
      </c>
      <c r="AB1176">
        <v>0</v>
      </c>
      <c r="AC1176">
        <v>0</v>
      </c>
      <c r="AD1176">
        <v>1</v>
      </c>
      <c r="AE1176">
        <v>0.05</v>
      </c>
      <c r="AF1176">
        <v>15</v>
      </c>
      <c r="AG1176">
        <v>0</v>
      </c>
      <c r="AH1176">
        <v>0</v>
      </c>
      <c r="AI1176">
        <v>0</v>
      </c>
      <c r="AJ1176">
        <v>1</v>
      </c>
      <c r="AK1176">
        <v>0.02</v>
      </c>
      <c r="AL1176">
        <v>16</v>
      </c>
      <c r="AM1176">
        <v>0</v>
      </c>
      <c r="AN1176">
        <v>0</v>
      </c>
      <c r="AO1176">
        <v>0</v>
      </c>
      <c r="AP1176">
        <v>1</v>
      </c>
      <c r="AQ1176">
        <v>0.01</v>
      </c>
      <c r="AX1176">
        <v>7</v>
      </c>
      <c r="AY1176" s="1">
        <v>19</v>
      </c>
      <c r="AZ1176">
        <v>0</v>
      </c>
      <c r="BA1176">
        <v>0</v>
      </c>
      <c r="BB1176">
        <v>1</v>
      </c>
      <c r="BC1176" s="7">
        <v>0.32</v>
      </c>
      <c r="BD1176">
        <v>30</v>
      </c>
      <c r="BE1176">
        <v>0</v>
      </c>
      <c r="BF1176">
        <v>0</v>
      </c>
      <c r="BG1176">
        <v>0</v>
      </c>
      <c r="BH1176">
        <v>5</v>
      </c>
      <c r="BI1176">
        <v>2.4</v>
      </c>
      <c r="BJ1176">
        <v>31</v>
      </c>
      <c r="BK1176">
        <v>0</v>
      </c>
      <c r="BL1176">
        <v>0</v>
      </c>
      <c r="BM1176">
        <v>0</v>
      </c>
      <c r="BN1176">
        <v>5</v>
      </c>
      <c r="BO1176">
        <v>2.4</v>
      </c>
      <c r="BP1176">
        <v>36</v>
      </c>
      <c r="BQ1176">
        <v>0</v>
      </c>
      <c r="BR1176">
        <v>0</v>
      </c>
      <c r="BS1176">
        <v>0</v>
      </c>
      <c r="BT1176">
        <v>5</v>
      </c>
      <c r="BU1176">
        <v>1.8</v>
      </c>
    </row>
    <row r="1177" spans="1:73" ht="14.25" x14ac:dyDescent="0.15">
      <c r="A1177" s="12">
        <v>20824</v>
      </c>
      <c r="B1177">
        <v>7</v>
      </c>
      <c r="C1177" s="1">
        <v>48</v>
      </c>
      <c r="D1177">
        <v>0</v>
      </c>
      <c r="E1177">
        <v>0</v>
      </c>
      <c r="F1177">
        <v>1</v>
      </c>
      <c r="G1177" s="7">
        <v>0.05</v>
      </c>
      <c r="H1177">
        <v>12</v>
      </c>
      <c r="I1177">
        <v>0</v>
      </c>
      <c r="J1177">
        <v>0</v>
      </c>
      <c r="K1177">
        <v>0</v>
      </c>
      <c r="L1177">
        <v>1</v>
      </c>
      <c r="M1177">
        <v>2</v>
      </c>
      <c r="N1177" s="7">
        <v>9</v>
      </c>
      <c r="O1177" s="7">
        <v>0</v>
      </c>
      <c r="P1177" s="7">
        <v>0</v>
      </c>
      <c r="Q1177" s="7">
        <v>0</v>
      </c>
      <c r="R1177" s="7">
        <v>1</v>
      </c>
      <c r="S1177" s="7">
        <v>4.5</v>
      </c>
      <c r="T1177">
        <v>7</v>
      </c>
      <c r="U1177" s="1">
        <v>36</v>
      </c>
      <c r="V1177">
        <v>0</v>
      </c>
      <c r="W1177">
        <v>0</v>
      </c>
      <c r="X1177">
        <v>1</v>
      </c>
      <c r="Y1177">
        <v>0.16</v>
      </c>
      <c r="Z1177">
        <v>23</v>
      </c>
      <c r="AA1177">
        <v>0</v>
      </c>
      <c r="AB1177">
        <v>0</v>
      </c>
      <c r="AC1177">
        <v>0</v>
      </c>
      <c r="AD1177">
        <v>1</v>
      </c>
      <c r="AE1177">
        <v>0.05</v>
      </c>
      <c r="AF1177">
        <v>15</v>
      </c>
      <c r="AG1177">
        <v>0</v>
      </c>
      <c r="AH1177">
        <v>0</v>
      </c>
      <c r="AI1177">
        <v>0</v>
      </c>
      <c r="AJ1177">
        <v>1</v>
      </c>
      <c r="AK1177">
        <v>0.02</v>
      </c>
      <c r="AL1177">
        <v>16</v>
      </c>
      <c r="AM1177">
        <v>0</v>
      </c>
      <c r="AN1177">
        <v>0</v>
      </c>
      <c r="AO1177">
        <v>0</v>
      </c>
      <c r="AP1177">
        <v>1</v>
      </c>
      <c r="AQ1177">
        <v>0.01</v>
      </c>
      <c r="AX1177">
        <v>7</v>
      </c>
      <c r="AY1177" s="1">
        <v>20</v>
      </c>
      <c r="AZ1177">
        <v>0</v>
      </c>
      <c r="BA1177">
        <v>0</v>
      </c>
      <c r="BB1177">
        <v>1</v>
      </c>
      <c r="BC1177" s="7">
        <v>0.32</v>
      </c>
      <c r="BD1177">
        <v>30</v>
      </c>
      <c r="BE1177">
        <v>0</v>
      </c>
      <c r="BF1177">
        <v>0</v>
      </c>
      <c r="BG1177">
        <v>0</v>
      </c>
      <c r="BH1177">
        <v>5</v>
      </c>
      <c r="BI1177">
        <v>2.4</v>
      </c>
      <c r="BJ1177">
        <v>31</v>
      </c>
      <c r="BK1177">
        <v>0</v>
      </c>
      <c r="BL1177">
        <v>0</v>
      </c>
      <c r="BM1177">
        <v>0</v>
      </c>
      <c r="BN1177">
        <v>5</v>
      </c>
      <c r="BO1177">
        <v>2.4</v>
      </c>
      <c r="BP1177">
        <v>36</v>
      </c>
      <c r="BQ1177">
        <v>0</v>
      </c>
      <c r="BR1177">
        <v>0</v>
      </c>
      <c r="BS1177">
        <v>0</v>
      </c>
      <c r="BT1177">
        <v>5</v>
      </c>
      <c r="BU1177">
        <v>1.8</v>
      </c>
    </row>
    <row r="1178" spans="1:73" ht="14.25" x14ac:dyDescent="0.15">
      <c r="A1178" s="12">
        <v>20825</v>
      </c>
      <c r="B1178">
        <v>7</v>
      </c>
      <c r="C1178" s="1">
        <v>0</v>
      </c>
      <c r="D1178">
        <v>5</v>
      </c>
      <c r="E1178">
        <v>1</v>
      </c>
      <c r="F1178">
        <v>1</v>
      </c>
      <c r="G1178" s="7">
        <v>0.05</v>
      </c>
      <c r="H1178">
        <v>12</v>
      </c>
      <c r="I1178">
        <v>0</v>
      </c>
      <c r="J1178">
        <v>0</v>
      </c>
      <c r="K1178">
        <v>0</v>
      </c>
      <c r="L1178">
        <v>1</v>
      </c>
      <c r="M1178">
        <v>2</v>
      </c>
      <c r="N1178" s="7">
        <v>9</v>
      </c>
      <c r="O1178" s="7">
        <v>0</v>
      </c>
      <c r="P1178" s="7">
        <v>0</v>
      </c>
      <c r="Q1178" s="7">
        <v>0</v>
      </c>
      <c r="R1178" s="7">
        <v>1</v>
      </c>
      <c r="S1178" s="7">
        <v>4.5</v>
      </c>
      <c r="T1178">
        <v>7</v>
      </c>
      <c r="U1178" s="1">
        <v>0</v>
      </c>
      <c r="V1178">
        <v>4</v>
      </c>
      <c r="W1178">
        <v>2</v>
      </c>
      <c r="X1178">
        <v>1</v>
      </c>
      <c r="Y1178">
        <v>0.16</v>
      </c>
      <c r="Z1178">
        <v>23</v>
      </c>
      <c r="AA1178">
        <v>0</v>
      </c>
      <c r="AB1178">
        <v>0</v>
      </c>
      <c r="AC1178">
        <v>0</v>
      </c>
      <c r="AD1178">
        <v>1</v>
      </c>
      <c r="AE1178">
        <v>0.05</v>
      </c>
      <c r="AF1178">
        <v>15</v>
      </c>
      <c r="AG1178">
        <v>0</v>
      </c>
      <c r="AH1178">
        <v>0</v>
      </c>
      <c r="AI1178">
        <v>0</v>
      </c>
      <c r="AJ1178">
        <v>1</v>
      </c>
      <c r="AK1178">
        <v>0.02</v>
      </c>
      <c r="AL1178">
        <v>16</v>
      </c>
      <c r="AM1178">
        <v>0</v>
      </c>
      <c r="AN1178">
        <v>0</v>
      </c>
      <c r="AO1178">
        <v>0</v>
      </c>
      <c r="AP1178">
        <v>1</v>
      </c>
      <c r="AQ1178">
        <v>0.01</v>
      </c>
      <c r="AR1178">
        <v>6</v>
      </c>
      <c r="AS1178">
        <v>2</v>
      </c>
      <c r="AT1178">
        <v>5</v>
      </c>
      <c r="AU1178">
        <v>5</v>
      </c>
      <c r="AV1178">
        <v>1</v>
      </c>
      <c r="AW1178">
        <v>0.01</v>
      </c>
      <c r="AX1178">
        <v>7</v>
      </c>
      <c r="AY1178" s="1">
        <v>0</v>
      </c>
      <c r="AZ1178">
        <v>3</v>
      </c>
      <c r="BA1178">
        <v>1</v>
      </c>
      <c r="BB1178">
        <v>1</v>
      </c>
      <c r="BC1178" s="7">
        <v>0.32</v>
      </c>
      <c r="BD1178">
        <v>30</v>
      </c>
      <c r="BE1178">
        <v>0</v>
      </c>
      <c r="BF1178">
        <v>0</v>
      </c>
      <c r="BG1178">
        <v>0</v>
      </c>
      <c r="BH1178">
        <v>5</v>
      </c>
      <c r="BI1178">
        <v>2.4</v>
      </c>
      <c r="BJ1178">
        <v>31</v>
      </c>
      <c r="BK1178">
        <v>0</v>
      </c>
      <c r="BL1178">
        <v>0</v>
      </c>
      <c r="BM1178">
        <v>0</v>
      </c>
      <c r="BN1178">
        <v>5</v>
      </c>
      <c r="BO1178">
        <v>2.4</v>
      </c>
      <c r="BP1178">
        <v>36</v>
      </c>
      <c r="BQ1178">
        <v>0</v>
      </c>
      <c r="BR1178">
        <v>0</v>
      </c>
      <c r="BS1178">
        <v>0</v>
      </c>
      <c r="BT1178">
        <v>5</v>
      </c>
      <c r="BU1178">
        <v>1.8</v>
      </c>
    </row>
    <row r="1179" spans="1:73" ht="14.25" x14ac:dyDescent="0.15">
      <c r="A1179" s="12">
        <v>20826</v>
      </c>
      <c r="B1179">
        <v>7</v>
      </c>
      <c r="C1179" s="1">
        <v>45</v>
      </c>
      <c r="D1179">
        <v>0</v>
      </c>
      <c r="E1179">
        <v>0</v>
      </c>
      <c r="F1179">
        <v>1</v>
      </c>
      <c r="G1179" s="7">
        <v>0.05</v>
      </c>
      <c r="H1179">
        <v>12</v>
      </c>
      <c r="I1179">
        <v>0</v>
      </c>
      <c r="J1179">
        <v>0</v>
      </c>
      <c r="K1179">
        <v>0</v>
      </c>
      <c r="L1179">
        <v>1</v>
      </c>
      <c r="M1179">
        <v>2</v>
      </c>
      <c r="N1179" s="7">
        <v>9</v>
      </c>
      <c r="O1179" s="7">
        <v>0</v>
      </c>
      <c r="P1179" s="7">
        <v>0</v>
      </c>
      <c r="Q1179" s="7">
        <v>0</v>
      </c>
      <c r="R1179" s="7">
        <v>1</v>
      </c>
      <c r="S1179" s="7">
        <v>4.5</v>
      </c>
      <c r="T1179">
        <v>7</v>
      </c>
      <c r="U1179" s="1">
        <v>33</v>
      </c>
      <c r="V1179">
        <v>0</v>
      </c>
      <c r="W1179">
        <v>0</v>
      </c>
      <c r="X1179">
        <v>1</v>
      </c>
      <c r="Y1179">
        <v>0.16</v>
      </c>
      <c r="Z1179">
        <v>23</v>
      </c>
      <c r="AA1179">
        <v>0</v>
      </c>
      <c r="AB1179">
        <v>0</v>
      </c>
      <c r="AC1179">
        <v>0</v>
      </c>
      <c r="AD1179">
        <v>1</v>
      </c>
      <c r="AE1179">
        <v>0.05</v>
      </c>
      <c r="AF1179">
        <v>15</v>
      </c>
      <c r="AG1179">
        <v>0</v>
      </c>
      <c r="AH1179">
        <v>0</v>
      </c>
      <c r="AI1179">
        <v>0</v>
      </c>
      <c r="AJ1179">
        <v>1</v>
      </c>
      <c r="AK1179">
        <v>0.02</v>
      </c>
      <c r="AL1179">
        <v>16</v>
      </c>
      <c r="AM1179">
        <v>0</v>
      </c>
      <c r="AN1179">
        <v>0</v>
      </c>
      <c r="AO1179">
        <v>0</v>
      </c>
      <c r="AP1179">
        <v>1</v>
      </c>
      <c r="AQ1179">
        <v>0.01</v>
      </c>
      <c r="AX1179">
        <v>7</v>
      </c>
      <c r="AY1179" s="1">
        <v>17</v>
      </c>
      <c r="AZ1179">
        <v>0</v>
      </c>
      <c r="BA1179">
        <v>0</v>
      </c>
      <c r="BB1179">
        <v>1</v>
      </c>
      <c r="BC1179" s="7">
        <v>0.32</v>
      </c>
      <c r="BD1179">
        <v>30</v>
      </c>
      <c r="BE1179">
        <v>0</v>
      </c>
      <c r="BF1179">
        <v>0</v>
      </c>
      <c r="BG1179">
        <v>0</v>
      </c>
      <c r="BH1179">
        <v>5</v>
      </c>
      <c r="BI1179">
        <v>2.4</v>
      </c>
      <c r="BJ1179">
        <v>31</v>
      </c>
      <c r="BK1179">
        <v>0</v>
      </c>
      <c r="BL1179">
        <v>0</v>
      </c>
      <c r="BM1179">
        <v>0</v>
      </c>
      <c r="BN1179">
        <v>5</v>
      </c>
      <c r="BO1179">
        <v>2.4</v>
      </c>
      <c r="BP1179">
        <v>36</v>
      </c>
      <c r="BQ1179">
        <v>0</v>
      </c>
      <c r="BR1179">
        <v>0</v>
      </c>
      <c r="BS1179">
        <v>0</v>
      </c>
      <c r="BT1179">
        <v>5</v>
      </c>
      <c r="BU1179">
        <v>1.8</v>
      </c>
    </row>
    <row r="1180" spans="1:73" ht="14.25" x14ac:dyDescent="0.15">
      <c r="A1180" s="12">
        <v>20827</v>
      </c>
      <c r="B1180">
        <v>7</v>
      </c>
      <c r="C1180" s="1">
        <v>46</v>
      </c>
      <c r="D1180">
        <v>0</v>
      </c>
      <c r="E1180">
        <v>0</v>
      </c>
      <c r="F1180">
        <v>1</v>
      </c>
      <c r="G1180" s="7">
        <v>0.05</v>
      </c>
      <c r="H1180">
        <v>12</v>
      </c>
      <c r="I1180">
        <v>0</v>
      </c>
      <c r="J1180">
        <v>0</v>
      </c>
      <c r="K1180">
        <v>0</v>
      </c>
      <c r="L1180">
        <v>1</v>
      </c>
      <c r="M1180">
        <v>2</v>
      </c>
      <c r="N1180" s="7">
        <v>9</v>
      </c>
      <c r="O1180" s="7">
        <v>0</v>
      </c>
      <c r="P1180" s="7">
        <v>0</v>
      </c>
      <c r="Q1180" s="7">
        <v>0</v>
      </c>
      <c r="R1180" s="7">
        <v>1</v>
      </c>
      <c r="S1180" s="7">
        <v>4.5</v>
      </c>
      <c r="T1180">
        <v>7</v>
      </c>
      <c r="U1180" s="1">
        <v>34</v>
      </c>
      <c r="V1180">
        <v>0</v>
      </c>
      <c r="W1180">
        <v>0</v>
      </c>
      <c r="X1180">
        <v>1</v>
      </c>
      <c r="Y1180">
        <v>0.16</v>
      </c>
      <c r="Z1180">
        <v>23</v>
      </c>
      <c r="AA1180">
        <v>0</v>
      </c>
      <c r="AB1180">
        <v>0</v>
      </c>
      <c r="AC1180">
        <v>0</v>
      </c>
      <c r="AD1180">
        <v>1</v>
      </c>
      <c r="AE1180">
        <v>0.05</v>
      </c>
      <c r="AF1180">
        <v>15</v>
      </c>
      <c r="AG1180">
        <v>0</v>
      </c>
      <c r="AH1180">
        <v>0</v>
      </c>
      <c r="AI1180">
        <v>0</v>
      </c>
      <c r="AJ1180">
        <v>1</v>
      </c>
      <c r="AK1180">
        <v>0.02</v>
      </c>
      <c r="AL1180">
        <v>16</v>
      </c>
      <c r="AM1180">
        <v>0</v>
      </c>
      <c r="AN1180">
        <v>0</v>
      </c>
      <c r="AO1180">
        <v>0</v>
      </c>
      <c r="AP1180">
        <v>1</v>
      </c>
      <c r="AQ1180">
        <v>0.01</v>
      </c>
      <c r="AX1180">
        <v>7</v>
      </c>
      <c r="AY1180" s="1">
        <v>18</v>
      </c>
      <c r="AZ1180">
        <v>0</v>
      </c>
      <c r="BA1180">
        <v>0</v>
      </c>
      <c r="BB1180">
        <v>1</v>
      </c>
      <c r="BC1180" s="7">
        <v>0.32</v>
      </c>
      <c r="BD1180">
        <v>30</v>
      </c>
      <c r="BE1180">
        <v>0</v>
      </c>
      <c r="BF1180">
        <v>0</v>
      </c>
      <c r="BG1180">
        <v>0</v>
      </c>
      <c r="BH1180">
        <v>5</v>
      </c>
      <c r="BI1180">
        <v>2.4</v>
      </c>
      <c r="BJ1180">
        <v>31</v>
      </c>
      <c r="BK1180">
        <v>0</v>
      </c>
      <c r="BL1180">
        <v>0</v>
      </c>
      <c r="BM1180">
        <v>0</v>
      </c>
      <c r="BN1180">
        <v>5</v>
      </c>
      <c r="BO1180">
        <v>2.4</v>
      </c>
      <c r="BP1180">
        <v>36</v>
      </c>
      <c r="BQ1180">
        <v>0</v>
      </c>
      <c r="BR1180">
        <v>0</v>
      </c>
      <c r="BS1180">
        <v>0</v>
      </c>
      <c r="BT1180">
        <v>5</v>
      </c>
      <c r="BU1180">
        <v>1.8</v>
      </c>
    </row>
    <row r="1181" spans="1:73" ht="14.25" x14ac:dyDescent="0.15">
      <c r="A1181" s="12">
        <v>20828</v>
      </c>
      <c r="B1181">
        <v>7</v>
      </c>
      <c r="C1181" s="1">
        <v>47</v>
      </c>
      <c r="D1181">
        <v>0</v>
      </c>
      <c r="E1181">
        <v>0</v>
      </c>
      <c r="F1181">
        <v>1</v>
      </c>
      <c r="G1181" s="7">
        <v>0.05</v>
      </c>
      <c r="H1181">
        <v>12</v>
      </c>
      <c r="I1181">
        <v>0</v>
      </c>
      <c r="J1181">
        <v>0</v>
      </c>
      <c r="K1181">
        <v>0</v>
      </c>
      <c r="L1181">
        <v>1</v>
      </c>
      <c r="M1181">
        <v>2</v>
      </c>
      <c r="N1181" s="7">
        <v>9</v>
      </c>
      <c r="O1181" s="7">
        <v>0</v>
      </c>
      <c r="P1181" s="7">
        <v>0</v>
      </c>
      <c r="Q1181" s="7">
        <v>0</v>
      </c>
      <c r="R1181" s="7">
        <v>1</v>
      </c>
      <c r="S1181" s="7">
        <v>4.5</v>
      </c>
      <c r="T1181">
        <v>7</v>
      </c>
      <c r="U1181" s="1">
        <v>35</v>
      </c>
      <c r="V1181">
        <v>0</v>
      </c>
      <c r="W1181">
        <v>0</v>
      </c>
      <c r="X1181">
        <v>1</v>
      </c>
      <c r="Y1181">
        <v>0.16</v>
      </c>
      <c r="Z1181">
        <v>23</v>
      </c>
      <c r="AA1181">
        <v>0</v>
      </c>
      <c r="AB1181">
        <v>0</v>
      </c>
      <c r="AC1181">
        <v>0</v>
      </c>
      <c r="AD1181">
        <v>1</v>
      </c>
      <c r="AE1181">
        <v>0.05</v>
      </c>
      <c r="AF1181">
        <v>15</v>
      </c>
      <c r="AG1181">
        <v>0</v>
      </c>
      <c r="AH1181">
        <v>0</v>
      </c>
      <c r="AI1181">
        <v>0</v>
      </c>
      <c r="AJ1181">
        <v>1</v>
      </c>
      <c r="AK1181">
        <v>0.02</v>
      </c>
      <c r="AL1181">
        <v>16</v>
      </c>
      <c r="AM1181">
        <v>0</v>
      </c>
      <c r="AN1181">
        <v>0</v>
      </c>
      <c r="AO1181">
        <v>0</v>
      </c>
      <c r="AP1181">
        <v>1</v>
      </c>
      <c r="AQ1181">
        <v>0.01</v>
      </c>
      <c r="AX1181">
        <v>7</v>
      </c>
      <c r="AY1181" s="1">
        <v>19</v>
      </c>
      <c r="AZ1181">
        <v>0</v>
      </c>
      <c r="BA1181">
        <v>0</v>
      </c>
      <c r="BB1181">
        <v>1</v>
      </c>
      <c r="BC1181" s="7">
        <v>0.32</v>
      </c>
      <c r="BD1181">
        <v>30</v>
      </c>
      <c r="BE1181">
        <v>0</v>
      </c>
      <c r="BF1181">
        <v>0</v>
      </c>
      <c r="BG1181">
        <v>0</v>
      </c>
      <c r="BH1181">
        <v>5</v>
      </c>
      <c r="BI1181">
        <v>2.4</v>
      </c>
      <c r="BJ1181">
        <v>31</v>
      </c>
      <c r="BK1181">
        <v>0</v>
      </c>
      <c r="BL1181">
        <v>0</v>
      </c>
      <c r="BM1181">
        <v>0</v>
      </c>
      <c r="BN1181">
        <v>5</v>
      </c>
      <c r="BO1181">
        <v>2.4</v>
      </c>
      <c r="BP1181">
        <v>36</v>
      </c>
      <c r="BQ1181">
        <v>0</v>
      </c>
      <c r="BR1181">
        <v>0</v>
      </c>
      <c r="BS1181">
        <v>0</v>
      </c>
      <c r="BT1181">
        <v>5</v>
      </c>
      <c r="BU1181">
        <v>1.8</v>
      </c>
    </row>
    <row r="1182" spans="1:73" ht="14.25" x14ac:dyDescent="0.15">
      <c r="A1182" s="12">
        <v>20829</v>
      </c>
      <c r="B1182">
        <v>7</v>
      </c>
      <c r="C1182" s="1">
        <v>48</v>
      </c>
      <c r="D1182">
        <v>0</v>
      </c>
      <c r="E1182">
        <v>0</v>
      </c>
      <c r="F1182">
        <v>1</v>
      </c>
      <c r="G1182" s="7">
        <v>0.05</v>
      </c>
      <c r="H1182">
        <v>12</v>
      </c>
      <c r="I1182">
        <v>0</v>
      </c>
      <c r="J1182">
        <v>0</v>
      </c>
      <c r="K1182">
        <v>0</v>
      </c>
      <c r="L1182">
        <v>1</v>
      </c>
      <c r="M1182">
        <v>2</v>
      </c>
      <c r="N1182" s="7">
        <v>9</v>
      </c>
      <c r="O1182" s="7">
        <v>0</v>
      </c>
      <c r="P1182" s="7">
        <v>0</v>
      </c>
      <c r="Q1182" s="7">
        <v>0</v>
      </c>
      <c r="R1182" s="7">
        <v>1</v>
      </c>
      <c r="S1182" s="7">
        <v>4.5</v>
      </c>
      <c r="T1182">
        <v>7</v>
      </c>
      <c r="U1182" s="1">
        <v>36</v>
      </c>
      <c r="V1182">
        <v>0</v>
      </c>
      <c r="W1182">
        <v>0</v>
      </c>
      <c r="X1182">
        <v>1</v>
      </c>
      <c r="Y1182">
        <v>0.16</v>
      </c>
      <c r="Z1182">
        <v>23</v>
      </c>
      <c r="AA1182">
        <v>0</v>
      </c>
      <c r="AB1182">
        <v>0</v>
      </c>
      <c r="AC1182">
        <v>0</v>
      </c>
      <c r="AD1182">
        <v>1</v>
      </c>
      <c r="AE1182">
        <v>0.05</v>
      </c>
      <c r="AF1182">
        <v>15</v>
      </c>
      <c r="AG1182">
        <v>0</v>
      </c>
      <c r="AH1182">
        <v>0</v>
      </c>
      <c r="AI1182">
        <v>0</v>
      </c>
      <c r="AJ1182">
        <v>1</v>
      </c>
      <c r="AK1182">
        <v>0.02</v>
      </c>
      <c r="AL1182">
        <v>16</v>
      </c>
      <c r="AM1182">
        <v>0</v>
      </c>
      <c r="AN1182">
        <v>0</v>
      </c>
      <c r="AO1182">
        <v>0</v>
      </c>
      <c r="AP1182">
        <v>1</v>
      </c>
      <c r="AQ1182">
        <v>0.01</v>
      </c>
      <c r="AX1182">
        <v>7</v>
      </c>
      <c r="AY1182" s="1">
        <v>20</v>
      </c>
      <c r="AZ1182">
        <v>0</v>
      </c>
      <c r="BA1182">
        <v>0</v>
      </c>
      <c r="BB1182">
        <v>1</v>
      </c>
      <c r="BC1182" s="7">
        <v>0.32</v>
      </c>
      <c r="BD1182">
        <v>30</v>
      </c>
      <c r="BE1182">
        <v>0</v>
      </c>
      <c r="BF1182">
        <v>0</v>
      </c>
      <c r="BG1182">
        <v>0</v>
      </c>
      <c r="BH1182">
        <v>5</v>
      </c>
      <c r="BI1182">
        <v>2.4</v>
      </c>
      <c r="BJ1182">
        <v>31</v>
      </c>
      <c r="BK1182">
        <v>0</v>
      </c>
      <c r="BL1182">
        <v>0</v>
      </c>
      <c r="BM1182">
        <v>0</v>
      </c>
      <c r="BN1182">
        <v>5</v>
      </c>
      <c r="BO1182">
        <v>2.4</v>
      </c>
      <c r="BP1182">
        <v>36</v>
      </c>
      <c r="BQ1182">
        <v>0</v>
      </c>
      <c r="BR1182">
        <v>0</v>
      </c>
      <c r="BS1182">
        <v>0</v>
      </c>
      <c r="BT1182">
        <v>5</v>
      </c>
      <c r="BU1182">
        <v>1.8</v>
      </c>
    </row>
    <row r="1183" spans="1:73" ht="14.25" x14ac:dyDescent="0.15">
      <c r="A1183" s="12">
        <v>20830</v>
      </c>
      <c r="B1183">
        <v>7</v>
      </c>
      <c r="C1183" s="1">
        <v>0</v>
      </c>
      <c r="D1183">
        <v>5</v>
      </c>
      <c r="E1183">
        <v>1</v>
      </c>
      <c r="F1183">
        <v>1</v>
      </c>
      <c r="G1183" s="7">
        <v>0.05</v>
      </c>
      <c r="H1183">
        <v>12</v>
      </c>
      <c r="I1183">
        <v>0</v>
      </c>
      <c r="J1183">
        <v>0</v>
      </c>
      <c r="K1183">
        <v>0</v>
      </c>
      <c r="L1183">
        <v>1</v>
      </c>
      <c r="M1183">
        <v>2</v>
      </c>
      <c r="N1183" s="7">
        <v>9</v>
      </c>
      <c r="O1183" s="7">
        <v>0</v>
      </c>
      <c r="P1183" s="7">
        <v>0</v>
      </c>
      <c r="Q1183" s="7">
        <v>0</v>
      </c>
      <c r="R1183" s="7">
        <v>1</v>
      </c>
      <c r="S1183" s="7">
        <v>4.5</v>
      </c>
      <c r="T1183">
        <v>7</v>
      </c>
      <c r="U1183" s="1">
        <v>0</v>
      </c>
      <c r="V1183">
        <v>4</v>
      </c>
      <c r="W1183">
        <v>2</v>
      </c>
      <c r="X1183">
        <v>1</v>
      </c>
      <c r="Y1183">
        <v>0.16</v>
      </c>
      <c r="Z1183">
        <v>23</v>
      </c>
      <c r="AA1183">
        <v>0</v>
      </c>
      <c r="AB1183">
        <v>0</v>
      </c>
      <c r="AC1183">
        <v>0</v>
      </c>
      <c r="AD1183">
        <v>1</v>
      </c>
      <c r="AE1183">
        <v>0.05</v>
      </c>
      <c r="AF1183">
        <v>15</v>
      </c>
      <c r="AG1183">
        <v>0</v>
      </c>
      <c r="AH1183">
        <v>0</v>
      </c>
      <c r="AI1183">
        <v>0</v>
      </c>
      <c r="AJ1183">
        <v>1</v>
      </c>
      <c r="AK1183">
        <v>0.02</v>
      </c>
      <c r="AL1183">
        <v>16</v>
      </c>
      <c r="AM1183">
        <v>0</v>
      </c>
      <c r="AN1183">
        <v>0</v>
      </c>
      <c r="AO1183">
        <v>0</v>
      </c>
      <c r="AP1183">
        <v>1</v>
      </c>
      <c r="AQ1183">
        <v>0.01</v>
      </c>
      <c r="AR1183">
        <v>6</v>
      </c>
      <c r="AS1183">
        <v>2</v>
      </c>
      <c r="AT1183">
        <v>1</v>
      </c>
      <c r="AU1183">
        <v>5</v>
      </c>
      <c r="AV1183">
        <v>1</v>
      </c>
      <c r="AW1183">
        <v>0.05</v>
      </c>
      <c r="AX1183">
        <v>7</v>
      </c>
      <c r="AY1183" s="1">
        <v>0</v>
      </c>
      <c r="AZ1183">
        <v>3</v>
      </c>
      <c r="BA1183">
        <v>1</v>
      </c>
      <c r="BB1183">
        <v>1</v>
      </c>
      <c r="BC1183" s="7">
        <v>0.32</v>
      </c>
      <c r="BD1183">
        <v>30</v>
      </c>
      <c r="BE1183">
        <v>0</v>
      </c>
      <c r="BF1183">
        <v>0</v>
      </c>
      <c r="BG1183">
        <v>0</v>
      </c>
      <c r="BH1183">
        <v>5</v>
      </c>
      <c r="BI1183">
        <v>2.4</v>
      </c>
      <c r="BJ1183">
        <v>31</v>
      </c>
      <c r="BK1183">
        <v>0</v>
      </c>
      <c r="BL1183">
        <v>0</v>
      </c>
      <c r="BM1183">
        <v>0</v>
      </c>
      <c r="BN1183">
        <v>5</v>
      </c>
      <c r="BO1183">
        <v>2.4</v>
      </c>
      <c r="BP1183">
        <v>36</v>
      </c>
      <c r="BQ1183">
        <v>0</v>
      </c>
      <c r="BR1183">
        <v>0</v>
      </c>
      <c r="BS1183">
        <v>0</v>
      </c>
      <c r="BT1183">
        <v>5</v>
      </c>
      <c r="BU1183">
        <v>1.8</v>
      </c>
    </row>
    <row r="1184" spans="1:73" ht="14.25" x14ac:dyDescent="0.15">
      <c r="A1184" s="12">
        <v>20831</v>
      </c>
      <c r="B1184">
        <v>7</v>
      </c>
      <c r="C1184" s="1">
        <v>45</v>
      </c>
      <c r="D1184">
        <v>0</v>
      </c>
      <c r="E1184">
        <v>0</v>
      </c>
      <c r="F1184">
        <v>1</v>
      </c>
      <c r="G1184" s="7">
        <v>0.05</v>
      </c>
      <c r="H1184">
        <v>12</v>
      </c>
      <c r="I1184">
        <v>0</v>
      </c>
      <c r="J1184">
        <v>0</v>
      </c>
      <c r="K1184">
        <v>0</v>
      </c>
      <c r="L1184">
        <v>1</v>
      </c>
      <c r="M1184">
        <v>2</v>
      </c>
      <c r="N1184" s="7">
        <v>9</v>
      </c>
      <c r="O1184" s="7">
        <v>0</v>
      </c>
      <c r="P1184" s="7">
        <v>0</v>
      </c>
      <c r="Q1184" s="7">
        <v>0</v>
      </c>
      <c r="R1184" s="7">
        <v>1</v>
      </c>
      <c r="S1184" s="7">
        <v>4.5</v>
      </c>
      <c r="T1184">
        <v>7</v>
      </c>
      <c r="U1184" s="1">
        <v>33</v>
      </c>
      <c r="V1184">
        <v>0</v>
      </c>
      <c r="W1184">
        <v>0</v>
      </c>
      <c r="X1184">
        <v>1</v>
      </c>
      <c r="Y1184">
        <v>0.16</v>
      </c>
      <c r="Z1184">
        <v>23</v>
      </c>
      <c r="AA1184">
        <v>0</v>
      </c>
      <c r="AB1184">
        <v>0</v>
      </c>
      <c r="AC1184">
        <v>0</v>
      </c>
      <c r="AD1184">
        <v>1</v>
      </c>
      <c r="AE1184">
        <v>0.05</v>
      </c>
      <c r="AF1184">
        <v>15</v>
      </c>
      <c r="AG1184">
        <v>0</v>
      </c>
      <c r="AH1184">
        <v>0</v>
      </c>
      <c r="AI1184">
        <v>0</v>
      </c>
      <c r="AJ1184">
        <v>1</v>
      </c>
      <c r="AK1184">
        <v>0.02</v>
      </c>
      <c r="AL1184">
        <v>16</v>
      </c>
      <c r="AM1184">
        <v>0</v>
      </c>
      <c r="AN1184">
        <v>0</v>
      </c>
      <c r="AO1184">
        <v>0</v>
      </c>
      <c r="AP1184">
        <v>1</v>
      </c>
      <c r="AQ1184">
        <v>0.01</v>
      </c>
      <c r="AX1184">
        <v>7</v>
      </c>
      <c r="AY1184" s="1">
        <v>17</v>
      </c>
      <c r="AZ1184">
        <v>0</v>
      </c>
      <c r="BA1184">
        <v>0</v>
      </c>
      <c r="BB1184">
        <v>1</v>
      </c>
      <c r="BC1184" s="7">
        <v>0.32</v>
      </c>
      <c r="BD1184">
        <v>30</v>
      </c>
      <c r="BE1184">
        <v>0</v>
      </c>
      <c r="BF1184">
        <v>0</v>
      </c>
      <c r="BG1184">
        <v>0</v>
      </c>
      <c r="BH1184">
        <v>5</v>
      </c>
      <c r="BI1184">
        <v>2.4</v>
      </c>
      <c r="BJ1184">
        <v>31</v>
      </c>
      <c r="BK1184">
        <v>0</v>
      </c>
      <c r="BL1184">
        <v>0</v>
      </c>
      <c r="BM1184">
        <v>0</v>
      </c>
      <c r="BN1184">
        <v>5</v>
      </c>
      <c r="BO1184">
        <v>2.4</v>
      </c>
      <c r="BP1184">
        <v>36</v>
      </c>
      <c r="BQ1184">
        <v>0</v>
      </c>
      <c r="BR1184">
        <v>0</v>
      </c>
      <c r="BS1184">
        <v>0</v>
      </c>
      <c r="BT1184">
        <v>5</v>
      </c>
      <c r="BU1184">
        <v>1.8</v>
      </c>
    </row>
    <row r="1185" spans="1:73" ht="14.25" x14ac:dyDescent="0.15">
      <c r="A1185" s="12">
        <v>20832</v>
      </c>
      <c r="B1185">
        <v>7</v>
      </c>
      <c r="C1185" s="1">
        <v>46</v>
      </c>
      <c r="D1185">
        <v>0</v>
      </c>
      <c r="E1185">
        <v>0</v>
      </c>
      <c r="F1185">
        <v>1</v>
      </c>
      <c r="G1185" s="7">
        <v>0.05</v>
      </c>
      <c r="H1185">
        <v>12</v>
      </c>
      <c r="I1185">
        <v>0</v>
      </c>
      <c r="J1185">
        <v>0</v>
      </c>
      <c r="K1185">
        <v>0</v>
      </c>
      <c r="L1185">
        <v>1</v>
      </c>
      <c r="M1185">
        <v>2</v>
      </c>
      <c r="N1185" s="7">
        <v>9</v>
      </c>
      <c r="O1185" s="7">
        <v>0</v>
      </c>
      <c r="P1185" s="7">
        <v>0</v>
      </c>
      <c r="Q1185" s="7">
        <v>0</v>
      </c>
      <c r="R1185" s="7">
        <v>1</v>
      </c>
      <c r="S1185" s="7">
        <v>4.5</v>
      </c>
      <c r="T1185">
        <v>7</v>
      </c>
      <c r="U1185" s="1">
        <v>34</v>
      </c>
      <c r="V1185">
        <v>0</v>
      </c>
      <c r="W1185">
        <v>0</v>
      </c>
      <c r="X1185">
        <v>1</v>
      </c>
      <c r="Y1185">
        <v>0.16</v>
      </c>
      <c r="Z1185">
        <v>23</v>
      </c>
      <c r="AA1185">
        <v>0</v>
      </c>
      <c r="AB1185">
        <v>0</v>
      </c>
      <c r="AC1185">
        <v>0</v>
      </c>
      <c r="AD1185">
        <v>1</v>
      </c>
      <c r="AE1185">
        <v>0.05</v>
      </c>
      <c r="AF1185">
        <v>15</v>
      </c>
      <c r="AG1185">
        <v>0</v>
      </c>
      <c r="AH1185">
        <v>0</v>
      </c>
      <c r="AI1185">
        <v>0</v>
      </c>
      <c r="AJ1185">
        <v>1</v>
      </c>
      <c r="AK1185">
        <v>0.02</v>
      </c>
      <c r="AL1185">
        <v>16</v>
      </c>
      <c r="AM1185">
        <v>0</v>
      </c>
      <c r="AN1185">
        <v>0</v>
      </c>
      <c r="AO1185">
        <v>0</v>
      </c>
      <c r="AP1185">
        <v>1</v>
      </c>
      <c r="AQ1185">
        <v>0.01</v>
      </c>
      <c r="AX1185">
        <v>7</v>
      </c>
      <c r="AY1185" s="1">
        <v>18</v>
      </c>
      <c r="AZ1185">
        <v>0</v>
      </c>
      <c r="BA1185">
        <v>0</v>
      </c>
      <c r="BB1185">
        <v>1</v>
      </c>
      <c r="BC1185" s="7">
        <v>0.32</v>
      </c>
      <c r="BD1185">
        <v>30</v>
      </c>
      <c r="BE1185">
        <v>0</v>
      </c>
      <c r="BF1185">
        <v>0</v>
      </c>
      <c r="BG1185">
        <v>0</v>
      </c>
      <c r="BH1185">
        <v>5</v>
      </c>
      <c r="BI1185">
        <v>2.4</v>
      </c>
      <c r="BJ1185">
        <v>31</v>
      </c>
      <c r="BK1185">
        <v>0</v>
      </c>
      <c r="BL1185">
        <v>0</v>
      </c>
      <c r="BM1185">
        <v>0</v>
      </c>
      <c r="BN1185">
        <v>5</v>
      </c>
      <c r="BO1185">
        <v>2.4</v>
      </c>
      <c r="BP1185">
        <v>36</v>
      </c>
      <c r="BQ1185">
        <v>0</v>
      </c>
      <c r="BR1185">
        <v>0</v>
      </c>
      <c r="BS1185">
        <v>0</v>
      </c>
      <c r="BT1185">
        <v>5</v>
      </c>
      <c r="BU1185">
        <v>1.8</v>
      </c>
    </row>
    <row r="1186" spans="1:73" ht="14.25" x14ac:dyDescent="0.15">
      <c r="A1186" s="12">
        <v>20833</v>
      </c>
      <c r="B1186">
        <v>7</v>
      </c>
      <c r="C1186" s="1">
        <v>47</v>
      </c>
      <c r="D1186">
        <v>0</v>
      </c>
      <c r="E1186">
        <v>0</v>
      </c>
      <c r="F1186">
        <v>1</v>
      </c>
      <c r="G1186" s="7">
        <v>0.05</v>
      </c>
      <c r="H1186">
        <v>12</v>
      </c>
      <c r="I1186">
        <v>0</v>
      </c>
      <c r="J1186">
        <v>0</v>
      </c>
      <c r="K1186">
        <v>0</v>
      </c>
      <c r="L1186">
        <v>1</v>
      </c>
      <c r="M1186">
        <v>2</v>
      </c>
      <c r="N1186" s="7">
        <v>9</v>
      </c>
      <c r="O1186" s="7">
        <v>0</v>
      </c>
      <c r="P1186" s="7">
        <v>0</v>
      </c>
      <c r="Q1186" s="7">
        <v>0</v>
      </c>
      <c r="R1186" s="7">
        <v>1</v>
      </c>
      <c r="S1186" s="7">
        <v>4.5</v>
      </c>
      <c r="T1186">
        <v>7</v>
      </c>
      <c r="U1186" s="1">
        <v>35</v>
      </c>
      <c r="V1186">
        <v>0</v>
      </c>
      <c r="W1186">
        <v>0</v>
      </c>
      <c r="X1186">
        <v>1</v>
      </c>
      <c r="Y1186">
        <v>0.16</v>
      </c>
      <c r="Z1186">
        <v>23</v>
      </c>
      <c r="AA1186">
        <v>0</v>
      </c>
      <c r="AB1186">
        <v>0</v>
      </c>
      <c r="AC1186">
        <v>0</v>
      </c>
      <c r="AD1186">
        <v>1</v>
      </c>
      <c r="AE1186">
        <v>0.05</v>
      </c>
      <c r="AF1186">
        <v>15</v>
      </c>
      <c r="AG1186">
        <v>0</v>
      </c>
      <c r="AH1186">
        <v>0</v>
      </c>
      <c r="AI1186">
        <v>0</v>
      </c>
      <c r="AJ1186">
        <v>1</v>
      </c>
      <c r="AK1186">
        <v>0.02</v>
      </c>
      <c r="AL1186">
        <v>16</v>
      </c>
      <c r="AM1186">
        <v>0</v>
      </c>
      <c r="AN1186">
        <v>0</v>
      </c>
      <c r="AO1186">
        <v>0</v>
      </c>
      <c r="AP1186">
        <v>1</v>
      </c>
      <c r="AQ1186">
        <v>0.01</v>
      </c>
      <c r="AX1186">
        <v>7</v>
      </c>
      <c r="AY1186" s="1">
        <v>19</v>
      </c>
      <c r="AZ1186">
        <v>0</v>
      </c>
      <c r="BA1186">
        <v>0</v>
      </c>
      <c r="BB1186">
        <v>1</v>
      </c>
      <c r="BC1186" s="7">
        <v>0.32</v>
      </c>
      <c r="BD1186">
        <v>30</v>
      </c>
      <c r="BE1186">
        <v>0</v>
      </c>
      <c r="BF1186">
        <v>0</v>
      </c>
      <c r="BG1186">
        <v>0</v>
      </c>
      <c r="BH1186">
        <v>5</v>
      </c>
      <c r="BI1186">
        <v>2.4</v>
      </c>
      <c r="BJ1186">
        <v>31</v>
      </c>
      <c r="BK1186">
        <v>0</v>
      </c>
      <c r="BL1186">
        <v>0</v>
      </c>
      <c r="BM1186">
        <v>0</v>
      </c>
      <c r="BN1186">
        <v>5</v>
      </c>
      <c r="BO1186">
        <v>2.4</v>
      </c>
      <c r="BP1186">
        <v>36</v>
      </c>
      <c r="BQ1186">
        <v>0</v>
      </c>
      <c r="BR1186">
        <v>0</v>
      </c>
      <c r="BS1186">
        <v>0</v>
      </c>
      <c r="BT1186">
        <v>5</v>
      </c>
      <c r="BU1186">
        <v>1.8</v>
      </c>
    </row>
    <row r="1187" spans="1:73" ht="14.25" x14ac:dyDescent="0.15">
      <c r="A1187" s="12">
        <v>20834</v>
      </c>
      <c r="B1187">
        <v>7</v>
      </c>
      <c r="C1187" s="1">
        <v>48</v>
      </c>
      <c r="D1187">
        <v>0</v>
      </c>
      <c r="E1187">
        <v>0</v>
      </c>
      <c r="F1187">
        <v>1</v>
      </c>
      <c r="G1187" s="7">
        <v>0.05</v>
      </c>
      <c r="H1187">
        <v>12</v>
      </c>
      <c r="I1187">
        <v>0</v>
      </c>
      <c r="J1187">
        <v>0</v>
      </c>
      <c r="K1187">
        <v>0</v>
      </c>
      <c r="L1187">
        <v>1</v>
      </c>
      <c r="M1187">
        <v>2</v>
      </c>
      <c r="N1187" s="7">
        <v>9</v>
      </c>
      <c r="O1187" s="7">
        <v>0</v>
      </c>
      <c r="P1187" s="7">
        <v>0</v>
      </c>
      <c r="Q1187" s="7">
        <v>0</v>
      </c>
      <c r="R1187" s="7">
        <v>1</v>
      </c>
      <c r="S1187" s="7">
        <v>4.5</v>
      </c>
      <c r="T1187">
        <v>7</v>
      </c>
      <c r="U1187" s="1">
        <v>36</v>
      </c>
      <c r="V1187">
        <v>0</v>
      </c>
      <c r="W1187">
        <v>0</v>
      </c>
      <c r="X1187">
        <v>1</v>
      </c>
      <c r="Y1187">
        <v>0.16</v>
      </c>
      <c r="Z1187">
        <v>23</v>
      </c>
      <c r="AA1187">
        <v>0</v>
      </c>
      <c r="AB1187">
        <v>0</v>
      </c>
      <c r="AC1187">
        <v>0</v>
      </c>
      <c r="AD1187">
        <v>1</v>
      </c>
      <c r="AE1187">
        <v>0.05</v>
      </c>
      <c r="AF1187">
        <v>15</v>
      </c>
      <c r="AG1187">
        <v>0</v>
      </c>
      <c r="AH1187">
        <v>0</v>
      </c>
      <c r="AI1187">
        <v>0</v>
      </c>
      <c r="AJ1187">
        <v>1</v>
      </c>
      <c r="AK1187">
        <v>0.02</v>
      </c>
      <c r="AL1187">
        <v>16</v>
      </c>
      <c r="AM1187">
        <v>0</v>
      </c>
      <c r="AN1187">
        <v>0</v>
      </c>
      <c r="AO1187">
        <v>0</v>
      </c>
      <c r="AP1187">
        <v>1</v>
      </c>
      <c r="AQ1187">
        <v>0.01</v>
      </c>
      <c r="AX1187">
        <v>7</v>
      </c>
      <c r="AY1187" s="1">
        <v>20</v>
      </c>
      <c r="AZ1187">
        <v>0</v>
      </c>
      <c r="BA1187">
        <v>0</v>
      </c>
      <c r="BB1187">
        <v>1</v>
      </c>
      <c r="BC1187" s="7">
        <v>0.32</v>
      </c>
      <c r="BD1187">
        <v>30</v>
      </c>
      <c r="BE1187">
        <v>0</v>
      </c>
      <c r="BF1187">
        <v>0</v>
      </c>
      <c r="BG1187">
        <v>0</v>
      </c>
      <c r="BH1187">
        <v>5</v>
      </c>
      <c r="BI1187">
        <v>2.4</v>
      </c>
      <c r="BJ1187">
        <v>31</v>
      </c>
      <c r="BK1187">
        <v>0</v>
      </c>
      <c r="BL1187">
        <v>0</v>
      </c>
      <c r="BM1187">
        <v>0</v>
      </c>
      <c r="BN1187">
        <v>5</v>
      </c>
      <c r="BO1187">
        <v>2.4</v>
      </c>
      <c r="BP1187">
        <v>36</v>
      </c>
      <c r="BQ1187">
        <v>0</v>
      </c>
      <c r="BR1187">
        <v>0</v>
      </c>
      <c r="BS1187">
        <v>0</v>
      </c>
      <c r="BT1187">
        <v>5</v>
      </c>
      <c r="BU1187">
        <v>1.8</v>
      </c>
    </row>
    <row r="1188" spans="1:73" ht="14.25" x14ac:dyDescent="0.15">
      <c r="A1188" s="12">
        <v>20835</v>
      </c>
      <c r="B1188">
        <v>7</v>
      </c>
      <c r="C1188" s="1">
        <v>0</v>
      </c>
      <c r="D1188">
        <v>5</v>
      </c>
      <c r="E1188">
        <v>1</v>
      </c>
      <c r="F1188">
        <v>1</v>
      </c>
      <c r="G1188" s="7">
        <v>0.05</v>
      </c>
      <c r="H1188">
        <v>12</v>
      </c>
      <c r="I1188">
        <v>0</v>
      </c>
      <c r="J1188">
        <v>0</v>
      </c>
      <c r="K1188">
        <v>0</v>
      </c>
      <c r="L1188">
        <v>1</v>
      </c>
      <c r="M1188">
        <v>2</v>
      </c>
      <c r="N1188" s="7">
        <v>9</v>
      </c>
      <c r="O1188" s="7">
        <v>0</v>
      </c>
      <c r="P1188" s="7">
        <v>0</v>
      </c>
      <c r="Q1188" s="7">
        <v>0</v>
      </c>
      <c r="R1188" s="7">
        <v>1</v>
      </c>
      <c r="S1188" s="7">
        <v>4.5</v>
      </c>
      <c r="T1188">
        <v>7</v>
      </c>
      <c r="U1188" s="1">
        <v>0</v>
      </c>
      <c r="V1188">
        <v>4</v>
      </c>
      <c r="W1188">
        <v>2</v>
      </c>
      <c r="X1188">
        <v>1</v>
      </c>
      <c r="Y1188">
        <v>0.16</v>
      </c>
      <c r="Z1188">
        <v>23</v>
      </c>
      <c r="AA1188">
        <v>0</v>
      </c>
      <c r="AB1188">
        <v>0</v>
      </c>
      <c r="AC1188">
        <v>0</v>
      </c>
      <c r="AD1188">
        <v>1</v>
      </c>
      <c r="AE1188">
        <v>0.05</v>
      </c>
      <c r="AF1188">
        <v>15</v>
      </c>
      <c r="AG1188">
        <v>0</v>
      </c>
      <c r="AH1188">
        <v>0</v>
      </c>
      <c r="AI1188">
        <v>0</v>
      </c>
      <c r="AJ1188">
        <v>1</v>
      </c>
      <c r="AK1188">
        <v>0.02</v>
      </c>
      <c r="AL1188">
        <v>16</v>
      </c>
      <c r="AM1188">
        <v>0</v>
      </c>
      <c r="AN1188">
        <v>0</v>
      </c>
      <c r="AO1188">
        <v>0</v>
      </c>
      <c r="AP1188">
        <v>1</v>
      </c>
      <c r="AQ1188">
        <v>0.01</v>
      </c>
      <c r="AR1188">
        <v>6</v>
      </c>
      <c r="AS1188">
        <v>2</v>
      </c>
      <c r="AT1188">
        <v>2</v>
      </c>
      <c r="AU1188">
        <v>5</v>
      </c>
      <c r="AV1188">
        <v>1</v>
      </c>
      <c r="AW1188">
        <v>0.05</v>
      </c>
      <c r="AX1188">
        <v>7</v>
      </c>
      <c r="AY1188" s="1">
        <v>0</v>
      </c>
      <c r="AZ1188">
        <v>3</v>
      </c>
      <c r="BA1188">
        <v>1</v>
      </c>
      <c r="BB1188">
        <v>1</v>
      </c>
      <c r="BC1188" s="7">
        <v>0.32</v>
      </c>
      <c r="BD1188">
        <v>30</v>
      </c>
      <c r="BE1188">
        <v>0</v>
      </c>
      <c r="BF1188">
        <v>0</v>
      </c>
      <c r="BG1188">
        <v>0</v>
      </c>
      <c r="BH1188">
        <v>5</v>
      </c>
      <c r="BI1188">
        <v>2.4</v>
      </c>
      <c r="BJ1188">
        <v>31</v>
      </c>
      <c r="BK1188">
        <v>0</v>
      </c>
      <c r="BL1188">
        <v>0</v>
      </c>
      <c r="BM1188">
        <v>0</v>
      </c>
      <c r="BN1188">
        <v>5</v>
      </c>
      <c r="BO1188">
        <v>2.4</v>
      </c>
      <c r="BP1188">
        <v>36</v>
      </c>
      <c r="BQ1188">
        <v>0</v>
      </c>
      <c r="BR1188">
        <v>0</v>
      </c>
      <c r="BS1188">
        <v>0</v>
      </c>
      <c r="BT1188">
        <v>5</v>
      </c>
      <c r="BU1188">
        <v>1.8</v>
      </c>
    </row>
    <row r="1189" spans="1:73" ht="14.25" x14ac:dyDescent="0.15">
      <c r="A1189" s="12">
        <v>20836</v>
      </c>
      <c r="B1189">
        <v>7</v>
      </c>
      <c r="C1189" s="1">
        <v>45</v>
      </c>
      <c r="D1189">
        <v>0</v>
      </c>
      <c r="E1189">
        <v>0</v>
      </c>
      <c r="F1189">
        <v>1</v>
      </c>
      <c r="G1189" s="7">
        <v>0.05</v>
      </c>
      <c r="H1189">
        <v>12</v>
      </c>
      <c r="I1189">
        <v>0</v>
      </c>
      <c r="J1189">
        <v>0</v>
      </c>
      <c r="K1189">
        <v>0</v>
      </c>
      <c r="L1189">
        <v>1</v>
      </c>
      <c r="M1189">
        <v>2</v>
      </c>
      <c r="N1189" s="7">
        <v>9</v>
      </c>
      <c r="O1189" s="7">
        <v>0</v>
      </c>
      <c r="P1189" s="7">
        <v>0</v>
      </c>
      <c r="Q1189" s="7">
        <v>0</v>
      </c>
      <c r="R1189" s="7">
        <v>1</v>
      </c>
      <c r="S1189" s="7">
        <v>4.5</v>
      </c>
      <c r="T1189">
        <v>7</v>
      </c>
      <c r="U1189" s="1">
        <v>33</v>
      </c>
      <c r="V1189">
        <v>0</v>
      </c>
      <c r="W1189">
        <v>0</v>
      </c>
      <c r="X1189">
        <v>1</v>
      </c>
      <c r="Y1189">
        <v>0.16</v>
      </c>
      <c r="Z1189">
        <v>23</v>
      </c>
      <c r="AA1189">
        <v>0</v>
      </c>
      <c r="AB1189">
        <v>0</v>
      </c>
      <c r="AC1189">
        <v>0</v>
      </c>
      <c r="AD1189">
        <v>1</v>
      </c>
      <c r="AE1189">
        <v>0.05</v>
      </c>
      <c r="AF1189">
        <v>15</v>
      </c>
      <c r="AG1189">
        <v>0</v>
      </c>
      <c r="AH1189">
        <v>0</v>
      </c>
      <c r="AI1189">
        <v>0</v>
      </c>
      <c r="AJ1189">
        <v>1</v>
      </c>
      <c r="AK1189">
        <v>0.02</v>
      </c>
      <c r="AL1189">
        <v>16</v>
      </c>
      <c r="AM1189">
        <v>0</v>
      </c>
      <c r="AN1189">
        <v>0</v>
      </c>
      <c r="AO1189">
        <v>0</v>
      </c>
      <c r="AP1189">
        <v>1</v>
      </c>
      <c r="AQ1189">
        <v>0.01</v>
      </c>
      <c r="AX1189">
        <v>7</v>
      </c>
      <c r="AY1189" s="1">
        <v>17</v>
      </c>
      <c r="AZ1189">
        <v>0</v>
      </c>
      <c r="BA1189">
        <v>0</v>
      </c>
      <c r="BB1189">
        <v>1</v>
      </c>
      <c r="BC1189" s="7">
        <v>0.32</v>
      </c>
      <c r="BD1189">
        <v>30</v>
      </c>
      <c r="BE1189">
        <v>0</v>
      </c>
      <c r="BF1189">
        <v>0</v>
      </c>
      <c r="BG1189">
        <v>0</v>
      </c>
      <c r="BH1189">
        <v>5</v>
      </c>
      <c r="BI1189">
        <v>2.4</v>
      </c>
      <c r="BJ1189">
        <v>31</v>
      </c>
      <c r="BK1189">
        <v>0</v>
      </c>
      <c r="BL1189">
        <v>0</v>
      </c>
      <c r="BM1189">
        <v>0</v>
      </c>
      <c r="BN1189">
        <v>5</v>
      </c>
      <c r="BO1189">
        <v>2.4</v>
      </c>
      <c r="BP1189">
        <v>36</v>
      </c>
      <c r="BQ1189">
        <v>0</v>
      </c>
      <c r="BR1189">
        <v>0</v>
      </c>
      <c r="BS1189">
        <v>0</v>
      </c>
      <c r="BT1189">
        <v>5</v>
      </c>
      <c r="BU1189">
        <v>1.8</v>
      </c>
    </row>
    <row r="1190" spans="1:73" ht="14.25" x14ac:dyDescent="0.15">
      <c r="A1190" s="12">
        <v>20837</v>
      </c>
      <c r="B1190">
        <v>7</v>
      </c>
      <c r="C1190" s="1">
        <v>46</v>
      </c>
      <c r="D1190">
        <v>0</v>
      </c>
      <c r="E1190">
        <v>0</v>
      </c>
      <c r="F1190">
        <v>1</v>
      </c>
      <c r="G1190" s="7">
        <v>0.05</v>
      </c>
      <c r="H1190">
        <v>12</v>
      </c>
      <c r="I1190">
        <v>0</v>
      </c>
      <c r="J1190">
        <v>0</v>
      </c>
      <c r="K1190">
        <v>0</v>
      </c>
      <c r="L1190">
        <v>1</v>
      </c>
      <c r="M1190">
        <v>2</v>
      </c>
      <c r="N1190" s="7">
        <v>9</v>
      </c>
      <c r="O1190" s="7">
        <v>0</v>
      </c>
      <c r="P1190" s="7">
        <v>0</v>
      </c>
      <c r="Q1190" s="7">
        <v>0</v>
      </c>
      <c r="R1190" s="7">
        <v>1</v>
      </c>
      <c r="S1190" s="7">
        <v>4.5</v>
      </c>
      <c r="T1190">
        <v>7</v>
      </c>
      <c r="U1190" s="1">
        <v>34</v>
      </c>
      <c r="V1190">
        <v>0</v>
      </c>
      <c r="W1190">
        <v>0</v>
      </c>
      <c r="X1190">
        <v>1</v>
      </c>
      <c r="Y1190">
        <v>0.16</v>
      </c>
      <c r="Z1190">
        <v>23</v>
      </c>
      <c r="AA1190">
        <v>0</v>
      </c>
      <c r="AB1190">
        <v>0</v>
      </c>
      <c r="AC1190">
        <v>0</v>
      </c>
      <c r="AD1190">
        <v>1</v>
      </c>
      <c r="AE1190">
        <v>0.05</v>
      </c>
      <c r="AF1190">
        <v>15</v>
      </c>
      <c r="AG1190">
        <v>0</v>
      </c>
      <c r="AH1190">
        <v>0</v>
      </c>
      <c r="AI1190">
        <v>0</v>
      </c>
      <c r="AJ1190">
        <v>1</v>
      </c>
      <c r="AK1190">
        <v>0.02</v>
      </c>
      <c r="AL1190">
        <v>16</v>
      </c>
      <c r="AM1190">
        <v>0</v>
      </c>
      <c r="AN1190">
        <v>0</v>
      </c>
      <c r="AO1190">
        <v>0</v>
      </c>
      <c r="AP1190">
        <v>1</v>
      </c>
      <c r="AQ1190">
        <v>0.01</v>
      </c>
      <c r="AX1190">
        <v>7</v>
      </c>
      <c r="AY1190" s="1">
        <v>18</v>
      </c>
      <c r="AZ1190">
        <v>0</v>
      </c>
      <c r="BA1190">
        <v>0</v>
      </c>
      <c r="BB1190">
        <v>1</v>
      </c>
      <c r="BC1190" s="7">
        <v>0.32</v>
      </c>
      <c r="BD1190">
        <v>30</v>
      </c>
      <c r="BE1190">
        <v>0</v>
      </c>
      <c r="BF1190">
        <v>0</v>
      </c>
      <c r="BG1190">
        <v>0</v>
      </c>
      <c r="BH1190">
        <v>5</v>
      </c>
      <c r="BI1190">
        <v>2.4</v>
      </c>
      <c r="BJ1190">
        <v>31</v>
      </c>
      <c r="BK1190">
        <v>0</v>
      </c>
      <c r="BL1190">
        <v>0</v>
      </c>
      <c r="BM1190">
        <v>0</v>
      </c>
      <c r="BN1190">
        <v>5</v>
      </c>
      <c r="BO1190">
        <v>2.4</v>
      </c>
      <c r="BP1190">
        <v>36</v>
      </c>
      <c r="BQ1190">
        <v>0</v>
      </c>
      <c r="BR1190">
        <v>0</v>
      </c>
      <c r="BS1190">
        <v>0</v>
      </c>
      <c r="BT1190">
        <v>5</v>
      </c>
      <c r="BU1190">
        <v>1.8</v>
      </c>
    </row>
    <row r="1191" spans="1:73" ht="14.25" x14ac:dyDescent="0.15">
      <c r="A1191" s="12">
        <v>20838</v>
      </c>
      <c r="B1191">
        <v>7</v>
      </c>
      <c r="C1191" s="1">
        <v>47</v>
      </c>
      <c r="D1191">
        <v>0</v>
      </c>
      <c r="E1191">
        <v>0</v>
      </c>
      <c r="F1191">
        <v>1</v>
      </c>
      <c r="G1191" s="7">
        <v>0.05</v>
      </c>
      <c r="H1191">
        <v>12</v>
      </c>
      <c r="I1191">
        <v>0</v>
      </c>
      <c r="J1191">
        <v>0</v>
      </c>
      <c r="K1191">
        <v>0</v>
      </c>
      <c r="L1191">
        <v>1</v>
      </c>
      <c r="M1191">
        <v>2</v>
      </c>
      <c r="N1191" s="7">
        <v>9</v>
      </c>
      <c r="O1191" s="7">
        <v>0</v>
      </c>
      <c r="P1191" s="7">
        <v>0</v>
      </c>
      <c r="Q1191" s="7">
        <v>0</v>
      </c>
      <c r="R1191" s="7">
        <v>1</v>
      </c>
      <c r="S1191" s="7">
        <v>4.5</v>
      </c>
      <c r="T1191">
        <v>7</v>
      </c>
      <c r="U1191" s="1">
        <v>35</v>
      </c>
      <c r="V1191">
        <v>0</v>
      </c>
      <c r="W1191">
        <v>0</v>
      </c>
      <c r="X1191">
        <v>1</v>
      </c>
      <c r="Y1191">
        <v>0.16</v>
      </c>
      <c r="Z1191">
        <v>23</v>
      </c>
      <c r="AA1191">
        <v>0</v>
      </c>
      <c r="AB1191">
        <v>0</v>
      </c>
      <c r="AC1191">
        <v>0</v>
      </c>
      <c r="AD1191">
        <v>1</v>
      </c>
      <c r="AE1191">
        <v>0.05</v>
      </c>
      <c r="AF1191">
        <v>15</v>
      </c>
      <c r="AG1191">
        <v>0</v>
      </c>
      <c r="AH1191">
        <v>0</v>
      </c>
      <c r="AI1191">
        <v>0</v>
      </c>
      <c r="AJ1191">
        <v>1</v>
      </c>
      <c r="AK1191">
        <v>0.02</v>
      </c>
      <c r="AL1191">
        <v>16</v>
      </c>
      <c r="AM1191">
        <v>0</v>
      </c>
      <c r="AN1191">
        <v>0</v>
      </c>
      <c r="AO1191">
        <v>0</v>
      </c>
      <c r="AP1191">
        <v>1</v>
      </c>
      <c r="AQ1191">
        <v>0.01</v>
      </c>
      <c r="AX1191">
        <v>7</v>
      </c>
      <c r="AY1191" s="1">
        <v>19</v>
      </c>
      <c r="AZ1191">
        <v>0</v>
      </c>
      <c r="BA1191">
        <v>0</v>
      </c>
      <c r="BB1191">
        <v>1</v>
      </c>
      <c r="BC1191" s="7">
        <v>0.32</v>
      </c>
      <c r="BD1191">
        <v>30</v>
      </c>
      <c r="BE1191">
        <v>0</v>
      </c>
      <c r="BF1191">
        <v>0</v>
      </c>
      <c r="BG1191">
        <v>0</v>
      </c>
      <c r="BH1191">
        <v>5</v>
      </c>
      <c r="BI1191">
        <v>2.4</v>
      </c>
      <c r="BJ1191">
        <v>31</v>
      </c>
      <c r="BK1191">
        <v>0</v>
      </c>
      <c r="BL1191">
        <v>0</v>
      </c>
      <c r="BM1191">
        <v>0</v>
      </c>
      <c r="BN1191">
        <v>5</v>
      </c>
      <c r="BO1191">
        <v>2.4</v>
      </c>
      <c r="BP1191">
        <v>36</v>
      </c>
      <c r="BQ1191">
        <v>0</v>
      </c>
      <c r="BR1191">
        <v>0</v>
      </c>
      <c r="BS1191">
        <v>0</v>
      </c>
      <c r="BT1191">
        <v>5</v>
      </c>
      <c r="BU1191">
        <v>1.8</v>
      </c>
    </row>
    <row r="1192" spans="1:73" ht="14.25" x14ac:dyDescent="0.15">
      <c r="A1192" s="12">
        <v>20839</v>
      </c>
      <c r="B1192">
        <v>7</v>
      </c>
      <c r="C1192" s="1">
        <v>48</v>
      </c>
      <c r="D1192">
        <v>0</v>
      </c>
      <c r="E1192">
        <v>0</v>
      </c>
      <c r="F1192">
        <v>1</v>
      </c>
      <c r="G1192" s="7">
        <v>0.05</v>
      </c>
      <c r="H1192">
        <v>12</v>
      </c>
      <c r="I1192">
        <v>0</v>
      </c>
      <c r="J1192">
        <v>0</v>
      </c>
      <c r="K1192">
        <v>0</v>
      </c>
      <c r="L1192">
        <v>1</v>
      </c>
      <c r="M1192">
        <v>2</v>
      </c>
      <c r="N1192" s="7">
        <v>9</v>
      </c>
      <c r="O1192" s="7">
        <v>0</v>
      </c>
      <c r="P1192" s="7">
        <v>0</v>
      </c>
      <c r="Q1192" s="7">
        <v>0</v>
      </c>
      <c r="R1192" s="7">
        <v>1</v>
      </c>
      <c r="S1192" s="7">
        <v>4.5</v>
      </c>
      <c r="T1192">
        <v>7</v>
      </c>
      <c r="U1192" s="1">
        <v>36</v>
      </c>
      <c r="V1192">
        <v>0</v>
      </c>
      <c r="W1192">
        <v>0</v>
      </c>
      <c r="X1192">
        <v>1</v>
      </c>
      <c r="Y1192">
        <v>0.16</v>
      </c>
      <c r="Z1192">
        <v>23</v>
      </c>
      <c r="AA1192">
        <v>0</v>
      </c>
      <c r="AB1192">
        <v>0</v>
      </c>
      <c r="AC1192">
        <v>0</v>
      </c>
      <c r="AD1192">
        <v>1</v>
      </c>
      <c r="AE1192">
        <v>0.05</v>
      </c>
      <c r="AF1192">
        <v>15</v>
      </c>
      <c r="AG1192">
        <v>0</v>
      </c>
      <c r="AH1192">
        <v>0</v>
      </c>
      <c r="AI1192">
        <v>0</v>
      </c>
      <c r="AJ1192">
        <v>1</v>
      </c>
      <c r="AK1192">
        <v>0.02</v>
      </c>
      <c r="AL1192">
        <v>16</v>
      </c>
      <c r="AM1192">
        <v>0</v>
      </c>
      <c r="AN1192">
        <v>0</v>
      </c>
      <c r="AO1192">
        <v>0</v>
      </c>
      <c r="AP1192">
        <v>1</v>
      </c>
      <c r="AQ1192">
        <v>0.01</v>
      </c>
      <c r="AX1192">
        <v>7</v>
      </c>
      <c r="AY1192" s="1">
        <v>20</v>
      </c>
      <c r="AZ1192">
        <v>0</v>
      </c>
      <c r="BA1192">
        <v>0</v>
      </c>
      <c r="BB1192">
        <v>1</v>
      </c>
      <c r="BC1192" s="7">
        <v>0.32</v>
      </c>
      <c r="BD1192">
        <v>30</v>
      </c>
      <c r="BE1192">
        <v>0</v>
      </c>
      <c r="BF1192">
        <v>0</v>
      </c>
      <c r="BG1192">
        <v>0</v>
      </c>
      <c r="BH1192">
        <v>5</v>
      </c>
      <c r="BI1192">
        <v>2.4</v>
      </c>
      <c r="BJ1192">
        <v>31</v>
      </c>
      <c r="BK1192">
        <v>0</v>
      </c>
      <c r="BL1192">
        <v>0</v>
      </c>
      <c r="BM1192">
        <v>0</v>
      </c>
      <c r="BN1192">
        <v>5</v>
      </c>
      <c r="BO1192">
        <v>2.4</v>
      </c>
      <c r="BP1192">
        <v>36</v>
      </c>
      <c r="BQ1192">
        <v>0</v>
      </c>
      <c r="BR1192">
        <v>0</v>
      </c>
      <c r="BS1192">
        <v>0</v>
      </c>
      <c r="BT1192">
        <v>5</v>
      </c>
      <c r="BU1192">
        <v>1.8</v>
      </c>
    </row>
    <row r="1193" spans="1:73" ht="14.25" x14ac:dyDescent="0.15">
      <c r="A1193" s="12">
        <v>20840</v>
      </c>
      <c r="B1193">
        <v>7</v>
      </c>
      <c r="C1193" s="1">
        <v>0</v>
      </c>
      <c r="D1193">
        <v>5</v>
      </c>
      <c r="E1193">
        <v>1</v>
      </c>
      <c r="F1193">
        <v>1</v>
      </c>
      <c r="G1193" s="7">
        <v>0.05</v>
      </c>
      <c r="H1193">
        <v>12</v>
      </c>
      <c r="I1193">
        <v>0</v>
      </c>
      <c r="J1193">
        <v>0</v>
      </c>
      <c r="K1193">
        <v>0</v>
      </c>
      <c r="L1193">
        <v>1</v>
      </c>
      <c r="M1193">
        <v>2</v>
      </c>
      <c r="N1193" s="7">
        <v>9</v>
      </c>
      <c r="O1193" s="7">
        <v>0</v>
      </c>
      <c r="P1193" s="7">
        <v>0</v>
      </c>
      <c r="Q1193" s="7">
        <v>0</v>
      </c>
      <c r="R1193" s="7">
        <v>1</v>
      </c>
      <c r="S1193" s="7">
        <v>4.5</v>
      </c>
      <c r="T1193">
        <v>7</v>
      </c>
      <c r="U1193" s="1">
        <v>0</v>
      </c>
      <c r="V1193">
        <v>4</v>
      </c>
      <c r="W1193">
        <v>2</v>
      </c>
      <c r="X1193">
        <v>1</v>
      </c>
      <c r="Y1193">
        <v>0.16</v>
      </c>
      <c r="Z1193">
        <v>23</v>
      </c>
      <c r="AA1193">
        <v>0</v>
      </c>
      <c r="AB1193">
        <v>0</v>
      </c>
      <c r="AC1193">
        <v>0</v>
      </c>
      <c r="AD1193">
        <v>1</v>
      </c>
      <c r="AE1193">
        <v>0.05</v>
      </c>
      <c r="AF1193">
        <v>15</v>
      </c>
      <c r="AG1193">
        <v>0</v>
      </c>
      <c r="AH1193">
        <v>0</v>
      </c>
      <c r="AI1193">
        <v>0</v>
      </c>
      <c r="AJ1193">
        <v>1</v>
      </c>
      <c r="AK1193">
        <v>0.02</v>
      </c>
      <c r="AL1193">
        <v>16</v>
      </c>
      <c r="AM1193">
        <v>0</v>
      </c>
      <c r="AN1193">
        <v>0</v>
      </c>
      <c r="AO1193">
        <v>0</v>
      </c>
      <c r="AP1193">
        <v>1</v>
      </c>
      <c r="AQ1193">
        <v>0.01</v>
      </c>
      <c r="AR1193">
        <v>6</v>
      </c>
      <c r="AS1193">
        <v>2</v>
      </c>
      <c r="AT1193">
        <v>3</v>
      </c>
      <c r="AU1193">
        <v>5</v>
      </c>
      <c r="AV1193">
        <v>1</v>
      </c>
      <c r="AW1193">
        <v>0.05</v>
      </c>
      <c r="AX1193">
        <v>7</v>
      </c>
      <c r="AY1193" s="1">
        <v>0</v>
      </c>
      <c r="AZ1193">
        <v>3</v>
      </c>
      <c r="BA1193">
        <v>1</v>
      </c>
      <c r="BB1193">
        <v>1</v>
      </c>
      <c r="BC1193" s="7">
        <v>0.32</v>
      </c>
      <c r="BD1193">
        <v>30</v>
      </c>
      <c r="BE1193">
        <v>0</v>
      </c>
      <c r="BF1193">
        <v>0</v>
      </c>
      <c r="BG1193">
        <v>0</v>
      </c>
      <c r="BH1193">
        <v>5</v>
      </c>
      <c r="BI1193">
        <v>2.4</v>
      </c>
      <c r="BJ1193">
        <v>31</v>
      </c>
      <c r="BK1193">
        <v>0</v>
      </c>
      <c r="BL1193">
        <v>0</v>
      </c>
      <c r="BM1193">
        <v>0</v>
      </c>
      <c r="BN1193">
        <v>5</v>
      </c>
      <c r="BO1193">
        <v>2.4</v>
      </c>
      <c r="BP1193">
        <v>36</v>
      </c>
      <c r="BQ1193">
        <v>0</v>
      </c>
      <c r="BR1193">
        <v>0</v>
      </c>
      <c r="BS1193">
        <v>0</v>
      </c>
      <c r="BT1193">
        <v>5</v>
      </c>
      <c r="BU1193">
        <v>1.8</v>
      </c>
    </row>
    <row r="1194" spans="1:73" ht="14.25" x14ac:dyDescent="0.15">
      <c r="A1194" s="12">
        <v>20841</v>
      </c>
      <c r="B1194">
        <v>7</v>
      </c>
      <c r="C1194" s="1">
        <v>45</v>
      </c>
      <c r="D1194">
        <v>0</v>
      </c>
      <c r="E1194">
        <v>0</v>
      </c>
      <c r="F1194">
        <v>1</v>
      </c>
      <c r="G1194" s="7">
        <v>0.05</v>
      </c>
      <c r="H1194">
        <v>12</v>
      </c>
      <c r="I1194">
        <v>0</v>
      </c>
      <c r="J1194">
        <v>0</v>
      </c>
      <c r="K1194">
        <v>0</v>
      </c>
      <c r="L1194">
        <v>1</v>
      </c>
      <c r="M1194">
        <v>2</v>
      </c>
      <c r="N1194" s="7">
        <v>9</v>
      </c>
      <c r="O1194" s="7">
        <v>0</v>
      </c>
      <c r="P1194" s="7">
        <v>0</v>
      </c>
      <c r="Q1194" s="7">
        <v>0</v>
      </c>
      <c r="R1194" s="7">
        <v>1</v>
      </c>
      <c r="S1194" s="7">
        <v>4.5</v>
      </c>
      <c r="T1194">
        <v>7</v>
      </c>
      <c r="U1194" s="1">
        <v>33</v>
      </c>
      <c r="V1194">
        <v>0</v>
      </c>
      <c r="W1194">
        <v>0</v>
      </c>
      <c r="X1194">
        <v>1</v>
      </c>
      <c r="Y1194">
        <v>0.16</v>
      </c>
      <c r="Z1194">
        <v>23</v>
      </c>
      <c r="AA1194">
        <v>0</v>
      </c>
      <c r="AB1194">
        <v>0</v>
      </c>
      <c r="AC1194">
        <v>0</v>
      </c>
      <c r="AD1194">
        <v>1</v>
      </c>
      <c r="AE1194">
        <v>0.05</v>
      </c>
      <c r="AF1194">
        <v>15</v>
      </c>
      <c r="AG1194">
        <v>0</v>
      </c>
      <c r="AH1194">
        <v>0</v>
      </c>
      <c r="AI1194">
        <v>0</v>
      </c>
      <c r="AJ1194">
        <v>1</v>
      </c>
      <c r="AK1194">
        <v>0.02</v>
      </c>
      <c r="AL1194">
        <v>16</v>
      </c>
      <c r="AM1194">
        <v>0</v>
      </c>
      <c r="AN1194">
        <v>0</v>
      </c>
      <c r="AO1194">
        <v>0</v>
      </c>
      <c r="AP1194">
        <v>1</v>
      </c>
      <c r="AQ1194">
        <v>0.01</v>
      </c>
      <c r="AX1194">
        <v>7</v>
      </c>
      <c r="AY1194" s="1">
        <v>17</v>
      </c>
      <c r="AZ1194">
        <v>0</v>
      </c>
      <c r="BA1194">
        <v>0</v>
      </c>
      <c r="BB1194">
        <v>1</v>
      </c>
      <c r="BC1194" s="7">
        <v>0.32</v>
      </c>
      <c r="BD1194">
        <v>30</v>
      </c>
      <c r="BE1194">
        <v>0</v>
      </c>
      <c r="BF1194">
        <v>0</v>
      </c>
      <c r="BG1194">
        <v>0</v>
      </c>
      <c r="BH1194">
        <v>5</v>
      </c>
      <c r="BI1194">
        <v>2.4</v>
      </c>
      <c r="BJ1194">
        <v>31</v>
      </c>
      <c r="BK1194">
        <v>0</v>
      </c>
      <c r="BL1194">
        <v>0</v>
      </c>
      <c r="BM1194">
        <v>0</v>
      </c>
      <c r="BN1194">
        <v>5</v>
      </c>
      <c r="BO1194">
        <v>2.4</v>
      </c>
      <c r="BP1194">
        <v>36</v>
      </c>
      <c r="BQ1194">
        <v>0</v>
      </c>
      <c r="BR1194">
        <v>0</v>
      </c>
      <c r="BS1194">
        <v>0</v>
      </c>
      <c r="BT1194">
        <v>5</v>
      </c>
      <c r="BU1194">
        <v>1.8</v>
      </c>
    </row>
    <row r="1195" spans="1:73" ht="14.25" x14ac:dyDescent="0.15">
      <c r="A1195" s="12">
        <v>20842</v>
      </c>
      <c r="B1195">
        <v>7</v>
      </c>
      <c r="C1195" s="1">
        <v>46</v>
      </c>
      <c r="D1195">
        <v>0</v>
      </c>
      <c r="E1195">
        <v>0</v>
      </c>
      <c r="F1195">
        <v>1</v>
      </c>
      <c r="G1195" s="7">
        <v>0.05</v>
      </c>
      <c r="H1195">
        <v>12</v>
      </c>
      <c r="I1195">
        <v>0</v>
      </c>
      <c r="J1195">
        <v>0</v>
      </c>
      <c r="K1195">
        <v>0</v>
      </c>
      <c r="L1195">
        <v>1</v>
      </c>
      <c r="M1195">
        <v>2</v>
      </c>
      <c r="N1195" s="7">
        <v>9</v>
      </c>
      <c r="O1195" s="7">
        <v>0</v>
      </c>
      <c r="P1195" s="7">
        <v>0</v>
      </c>
      <c r="Q1195" s="7">
        <v>0</v>
      </c>
      <c r="R1195" s="7">
        <v>1</v>
      </c>
      <c r="S1195" s="7">
        <v>4.5</v>
      </c>
      <c r="T1195">
        <v>7</v>
      </c>
      <c r="U1195" s="1">
        <v>34</v>
      </c>
      <c r="V1195">
        <v>0</v>
      </c>
      <c r="W1195">
        <v>0</v>
      </c>
      <c r="X1195">
        <v>1</v>
      </c>
      <c r="Y1195">
        <v>0.16</v>
      </c>
      <c r="Z1195">
        <v>23</v>
      </c>
      <c r="AA1195">
        <v>0</v>
      </c>
      <c r="AB1195">
        <v>0</v>
      </c>
      <c r="AC1195">
        <v>0</v>
      </c>
      <c r="AD1195">
        <v>1</v>
      </c>
      <c r="AE1195">
        <v>0.05</v>
      </c>
      <c r="AF1195">
        <v>15</v>
      </c>
      <c r="AG1195">
        <v>0</v>
      </c>
      <c r="AH1195">
        <v>0</v>
      </c>
      <c r="AI1195">
        <v>0</v>
      </c>
      <c r="AJ1195">
        <v>1</v>
      </c>
      <c r="AK1195">
        <v>0.02</v>
      </c>
      <c r="AL1195">
        <v>16</v>
      </c>
      <c r="AM1195">
        <v>0</v>
      </c>
      <c r="AN1195">
        <v>0</v>
      </c>
      <c r="AO1195">
        <v>0</v>
      </c>
      <c r="AP1195">
        <v>1</v>
      </c>
      <c r="AQ1195">
        <v>0.01</v>
      </c>
      <c r="AX1195">
        <v>7</v>
      </c>
      <c r="AY1195" s="1">
        <v>18</v>
      </c>
      <c r="AZ1195">
        <v>0</v>
      </c>
      <c r="BA1195">
        <v>0</v>
      </c>
      <c r="BB1195">
        <v>1</v>
      </c>
      <c r="BC1195" s="7">
        <v>0.32</v>
      </c>
      <c r="BD1195">
        <v>30</v>
      </c>
      <c r="BE1195">
        <v>0</v>
      </c>
      <c r="BF1195">
        <v>0</v>
      </c>
      <c r="BG1195">
        <v>0</v>
      </c>
      <c r="BH1195">
        <v>5</v>
      </c>
      <c r="BI1195">
        <v>2.4</v>
      </c>
      <c r="BJ1195">
        <v>31</v>
      </c>
      <c r="BK1195">
        <v>0</v>
      </c>
      <c r="BL1195">
        <v>0</v>
      </c>
      <c r="BM1195">
        <v>0</v>
      </c>
      <c r="BN1195">
        <v>5</v>
      </c>
      <c r="BO1195">
        <v>2.4</v>
      </c>
      <c r="BP1195">
        <v>36</v>
      </c>
      <c r="BQ1195">
        <v>0</v>
      </c>
      <c r="BR1195">
        <v>0</v>
      </c>
      <c r="BS1195">
        <v>0</v>
      </c>
      <c r="BT1195">
        <v>5</v>
      </c>
      <c r="BU1195">
        <v>1.8</v>
      </c>
    </row>
    <row r="1196" spans="1:73" ht="14.25" x14ac:dyDescent="0.15">
      <c r="A1196" s="12">
        <v>20843</v>
      </c>
      <c r="B1196">
        <v>7</v>
      </c>
      <c r="C1196" s="1">
        <v>47</v>
      </c>
      <c r="D1196">
        <v>0</v>
      </c>
      <c r="E1196">
        <v>0</v>
      </c>
      <c r="F1196">
        <v>1</v>
      </c>
      <c r="G1196" s="7">
        <v>0.05</v>
      </c>
      <c r="H1196">
        <v>12</v>
      </c>
      <c r="I1196">
        <v>0</v>
      </c>
      <c r="J1196">
        <v>0</v>
      </c>
      <c r="K1196">
        <v>0</v>
      </c>
      <c r="L1196">
        <v>1</v>
      </c>
      <c r="M1196">
        <v>2</v>
      </c>
      <c r="N1196" s="7">
        <v>9</v>
      </c>
      <c r="O1196" s="7">
        <v>0</v>
      </c>
      <c r="P1196" s="7">
        <v>0</v>
      </c>
      <c r="Q1196" s="7">
        <v>0</v>
      </c>
      <c r="R1196" s="7">
        <v>1</v>
      </c>
      <c r="S1196" s="7">
        <v>4.5</v>
      </c>
      <c r="T1196">
        <v>7</v>
      </c>
      <c r="U1196" s="1">
        <v>35</v>
      </c>
      <c r="V1196">
        <v>0</v>
      </c>
      <c r="W1196">
        <v>0</v>
      </c>
      <c r="X1196">
        <v>1</v>
      </c>
      <c r="Y1196">
        <v>0.16</v>
      </c>
      <c r="Z1196">
        <v>23</v>
      </c>
      <c r="AA1196">
        <v>0</v>
      </c>
      <c r="AB1196">
        <v>0</v>
      </c>
      <c r="AC1196">
        <v>0</v>
      </c>
      <c r="AD1196">
        <v>1</v>
      </c>
      <c r="AE1196">
        <v>0.05</v>
      </c>
      <c r="AF1196">
        <v>15</v>
      </c>
      <c r="AG1196">
        <v>0</v>
      </c>
      <c r="AH1196">
        <v>0</v>
      </c>
      <c r="AI1196">
        <v>0</v>
      </c>
      <c r="AJ1196">
        <v>1</v>
      </c>
      <c r="AK1196">
        <v>0.02</v>
      </c>
      <c r="AL1196">
        <v>16</v>
      </c>
      <c r="AM1196">
        <v>0</v>
      </c>
      <c r="AN1196">
        <v>0</v>
      </c>
      <c r="AO1196">
        <v>0</v>
      </c>
      <c r="AP1196">
        <v>1</v>
      </c>
      <c r="AQ1196">
        <v>0.01</v>
      </c>
      <c r="AX1196">
        <v>7</v>
      </c>
      <c r="AY1196" s="1">
        <v>19</v>
      </c>
      <c r="AZ1196">
        <v>0</v>
      </c>
      <c r="BA1196">
        <v>0</v>
      </c>
      <c r="BB1196">
        <v>1</v>
      </c>
      <c r="BC1196" s="7">
        <v>0.32</v>
      </c>
      <c r="BD1196">
        <v>30</v>
      </c>
      <c r="BE1196">
        <v>0</v>
      </c>
      <c r="BF1196">
        <v>0</v>
      </c>
      <c r="BG1196">
        <v>0</v>
      </c>
      <c r="BH1196">
        <v>5</v>
      </c>
      <c r="BI1196">
        <v>2.4</v>
      </c>
      <c r="BJ1196">
        <v>31</v>
      </c>
      <c r="BK1196">
        <v>0</v>
      </c>
      <c r="BL1196">
        <v>0</v>
      </c>
      <c r="BM1196">
        <v>0</v>
      </c>
      <c r="BN1196">
        <v>5</v>
      </c>
      <c r="BO1196">
        <v>2.4</v>
      </c>
      <c r="BP1196">
        <v>36</v>
      </c>
      <c r="BQ1196">
        <v>0</v>
      </c>
      <c r="BR1196">
        <v>0</v>
      </c>
      <c r="BS1196">
        <v>0</v>
      </c>
      <c r="BT1196">
        <v>5</v>
      </c>
      <c r="BU1196">
        <v>1.8</v>
      </c>
    </row>
    <row r="1197" spans="1:73" ht="14.25" x14ac:dyDescent="0.15">
      <c r="A1197" s="12">
        <v>20844</v>
      </c>
      <c r="B1197">
        <v>7</v>
      </c>
      <c r="C1197" s="1">
        <v>48</v>
      </c>
      <c r="D1197">
        <v>0</v>
      </c>
      <c r="E1197">
        <v>0</v>
      </c>
      <c r="F1197">
        <v>1</v>
      </c>
      <c r="G1197" s="7">
        <v>0.05</v>
      </c>
      <c r="H1197">
        <v>12</v>
      </c>
      <c r="I1197">
        <v>0</v>
      </c>
      <c r="J1197">
        <v>0</v>
      </c>
      <c r="K1197">
        <v>0</v>
      </c>
      <c r="L1197">
        <v>1</v>
      </c>
      <c r="M1197">
        <v>2</v>
      </c>
      <c r="N1197" s="7">
        <v>9</v>
      </c>
      <c r="O1197" s="7">
        <v>0</v>
      </c>
      <c r="P1197" s="7">
        <v>0</v>
      </c>
      <c r="Q1197" s="7">
        <v>0</v>
      </c>
      <c r="R1197" s="7">
        <v>1</v>
      </c>
      <c r="S1197" s="7">
        <v>4.5</v>
      </c>
      <c r="T1197">
        <v>7</v>
      </c>
      <c r="U1197" s="1">
        <v>36</v>
      </c>
      <c r="V1197">
        <v>0</v>
      </c>
      <c r="W1197">
        <v>0</v>
      </c>
      <c r="X1197">
        <v>1</v>
      </c>
      <c r="Y1197">
        <v>0.16</v>
      </c>
      <c r="Z1197">
        <v>23</v>
      </c>
      <c r="AA1197">
        <v>0</v>
      </c>
      <c r="AB1197">
        <v>0</v>
      </c>
      <c r="AC1197">
        <v>0</v>
      </c>
      <c r="AD1197">
        <v>1</v>
      </c>
      <c r="AE1197">
        <v>0.05</v>
      </c>
      <c r="AF1197">
        <v>15</v>
      </c>
      <c r="AG1197">
        <v>0</v>
      </c>
      <c r="AH1197">
        <v>0</v>
      </c>
      <c r="AI1197">
        <v>0</v>
      </c>
      <c r="AJ1197">
        <v>1</v>
      </c>
      <c r="AK1197">
        <v>0.02</v>
      </c>
      <c r="AL1197">
        <v>16</v>
      </c>
      <c r="AM1197">
        <v>0</v>
      </c>
      <c r="AN1197">
        <v>0</v>
      </c>
      <c r="AO1197">
        <v>0</v>
      </c>
      <c r="AP1197">
        <v>1</v>
      </c>
      <c r="AQ1197">
        <v>0.01</v>
      </c>
      <c r="AX1197">
        <v>7</v>
      </c>
      <c r="AY1197" s="1">
        <v>20</v>
      </c>
      <c r="AZ1197">
        <v>0</v>
      </c>
      <c r="BA1197">
        <v>0</v>
      </c>
      <c r="BB1197">
        <v>1</v>
      </c>
      <c r="BC1197" s="7">
        <v>0.32</v>
      </c>
      <c r="BD1197">
        <v>30</v>
      </c>
      <c r="BE1197">
        <v>0</v>
      </c>
      <c r="BF1197">
        <v>0</v>
      </c>
      <c r="BG1197">
        <v>0</v>
      </c>
      <c r="BH1197">
        <v>5</v>
      </c>
      <c r="BI1197">
        <v>2.4</v>
      </c>
      <c r="BJ1197">
        <v>31</v>
      </c>
      <c r="BK1197">
        <v>0</v>
      </c>
      <c r="BL1197">
        <v>0</v>
      </c>
      <c r="BM1197">
        <v>0</v>
      </c>
      <c r="BN1197">
        <v>5</v>
      </c>
      <c r="BO1197">
        <v>2.4</v>
      </c>
      <c r="BP1197">
        <v>36</v>
      </c>
      <c r="BQ1197">
        <v>0</v>
      </c>
      <c r="BR1197">
        <v>0</v>
      </c>
      <c r="BS1197">
        <v>0</v>
      </c>
      <c r="BT1197">
        <v>5</v>
      </c>
      <c r="BU1197">
        <v>1.8</v>
      </c>
    </row>
    <row r="1198" spans="1:73" ht="14.25" x14ac:dyDescent="0.15">
      <c r="A1198" s="12">
        <v>20845</v>
      </c>
      <c r="B1198">
        <v>7</v>
      </c>
      <c r="C1198" s="1">
        <v>0</v>
      </c>
      <c r="D1198">
        <v>5</v>
      </c>
      <c r="E1198">
        <v>1</v>
      </c>
      <c r="F1198">
        <v>1</v>
      </c>
      <c r="G1198" s="7">
        <v>0.05</v>
      </c>
      <c r="H1198">
        <v>12</v>
      </c>
      <c r="I1198">
        <v>0</v>
      </c>
      <c r="J1198">
        <v>0</v>
      </c>
      <c r="K1198">
        <v>0</v>
      </c>
      <c r="L1198">
        <v>1</v>
      </c>
      <c r="M1198">
        <v>2</v>
      </c>
      <c r="N1198" s="7">
        <v>9</v>
      </c>
      <c r="O1198" s="7">
        <v>0</v>
      </c>
      <c r="P1198" s="7">
        <v>0</v>
      </c>
      <c r="Q1198" s="7">
        <v>0</v>
      </c>
      <c r="R1198" s="7">
        <v>1</v>
      </c>
      <c r="S1198" s="7">
        <v>4.5</v>
      </c>
      <c r="T1198">
        <v>7</v>
      </c>
      <c r="U1198" s="1">
        <v>0</v>
      </c>
      <c r="V1198">
        <v>4</v>
      </c>
      <c r="W1198">
        <v>2</v>
      </c>
      <c r="X1198">
        <v>1</v>
      </c>
      <c r="Y1198">
        <v>0.16</v>
      </c>
      <c r="Z1198">
        <v>23</v>
      </c>
      <c r="AA1198">
        <v>0</v>
      </c>
      <c r="AB1198">
        <v>0</v>
      </c>
      <c r="AC1198">
        <v>0</v>
      </c>
      <c r="AD1198">
        <v>1</v>
      </c>
      <c r="AE1198">
        <v>0.05</v>
      </c>
      <c r="AF1198">
        <v>15</v>
      </c>
      <c r="AG1198">
        <v>0</v>
      </c>
      <c r="AH1198">
        <v>0</v>
      </c>
      <c r="AI1198">
        <v>0</v>
      </c>
      <c r="AJ1198">
        <v>1</v>
      </c>
      <c r="AK1198">
        <v>0.02</v>
      </c>
      <c r="AL1198">
        <v>16</v>
      </c>
      <c r="AM1198">
        <v>0</v>
      </c>
      <c r="AN1198">
        <v>0</v>
      </c>
      <c r="AO1198">
        <v>0</v>
      </c>
      <c r="AP1198">
        <v>1</v>
      </c>
      <c r="AQ1198">
        <v>0.01</v>
      </c>
      <c r="AR1198">
        <v>6</v>
      </c>
      <c r="AS1198">
        <v>2</v>
      </c>
      <c r="AT1198">
        <v>4</v>
      </c>
      <c r="AU1198">
        <v>5</v>
      </c>
      <c r="AV1198">
        <v>1</v>
      </c>
      <c r="AW1198">
        <v>0.01</v>
      </c>
      <c r="AX1198">
        <v>7</v>
      </c>
      <c r="AY1198" s="1">
        <v>0</v>
      </c>
      <c r="AZ1198">
        <v>3</v>
      </c>
      <c r="BA1198">
        <v>1</v>
      </c>
      <c r="BB1198">
        <v>1</v>
      </c>
      <c r="BC1198" s="7">
        <v>0.32</v>
      </c>
      <c r="BD1198">
        <v>30</v>
      </c>
      <c r="BE1198">
        <v>0</v>
      </c>
      <c r="BF1198">
        <v>0</v>
      </c>
      <c r="BG1198">
        <v>0</v>
      </c>
      <c r="BH1198">
        <v>5</v>
      </c>
      <c r="BI1198">
        <v>2.4</v>
      </c>
      <c r="BJ1198">
        <v>31</v>
      </c>
      <c r="BK1198">
        <v>0</v>
      </c>
      <c r="BL1198">
        <v>0</v>
      </c>
      <c r="BM1198">
        <v>0</v>
      </c>
      <c r="BN1198">
        <v>5</v>
      </c>
      <c r="BO1198">
        <v>2.4</v>
      </c>
      <c r="BP1198">
        <v>36</v>
      </c>
      <c r="BQ1198">
        <v>0</v>
      </c>
      <c r="BR1198">
        <v>0</v>
      </c>
      <c r="BS1198">
        <v>0</v>
      </c>
      <c r="BT1198">
        <v>5</v>
      </c>
      <c r="BU1198">
        <v>1.8</v>
      </c>
    </row>
    <row r="1199" spans="1:73" ht="14.25" x14ac:dyDescent="0.15">
      <c r="A1199" s="12">
        <v>20846</v>
      </c>
      <c r="B1199">
        <v>7</v>
      </c>
      <c r="C1199" s="1">
        <v>45</v>
      </c>
      <c r="D1199">
        <v>0</v>
      </c>
      <c r="E1199">
        <v>0</v>
      </c>
      <c r="F1199">
        <v>1</v>
      </c>
      <c r="G1199" s="7">
        <v>0.05</v>
      </c>
      <c r="H1199">
        <v>12</v>
      </c>
      <c r="I1199">
        <v>0</v>
      </c>
      <c r="J1199">
        <v>0</v>
      </c>
      <c r="K1199">
        <v>0</v>
      </c>
      <c r="L1199">
        <v>1</v>
      </c>
      <c r="M1199">
        <v>2</v>
      </c>
      <c r="N1199" s="7">
        <v>9</v>
      </c>
      <c r="O1199" s="7">
        <v>0</v>
      </c>
      <c r="P1199" s="7">
        <v>0</v>
      </c>
      <c r="Q1199" s="7">
        <v>0</v>
      </c>
      <c r="R1199" s="7">
        <v>1</v>
      </c>
      <c r="S1199" s="7">
        <v>4.5</v>
      </c>
      <c r="T1199">
        <v>7</v>
      </c>
      <c r="U1199" s="1">
        <v>33</v>
      </c>
      <c r="V1199">
        <v>0</v>
      </c>
      <c r="W1199">
        <v>0</v>
      </c>
      <c r="X1199">
        <v>1</v>
      </c>
      <c r="Y1199">
        <v>0.16</v>
      </c>
      <c r="Z1199">
        <v>23</v>
      </c>
      <c r="AA1199">
        <v>0</v>
      </c>
      <c r="AB1199">
        <v>0</v>
      </c>
      <c r="AC1199">
        <v>0</v>
      </c>
      <c r="AD1199">
        <v>1</v>
      </c>
      <c r="AE1199">
        <v>0.05</v>
      </c>
      <c r="AF1199">
        <v>15</v>
      </c>
      <c r="AG1199">
        <v>0</v>
      </c>
      <c r="AH1199">
        <v>0</v>
      </c>
      <c r="AI1199">
        <v>0</v>
      </c>
      <c r="AJ1199">
        <v>1</v>
      </c>
      <c r="AK1199">
        <v>0.02</v>
      </c>
      <c r="AL1199">
        <v>16</v>
      </c>
      <c r="AM1199">
        <v>0</v>
      </c>
      <c r="AN1199">
        <v>0</v>
      </c>
      <c r="AO1199">
        <v>0</v>
      </c>
      <c r="AP1199">
        <v>1</v>
      </c>
      <c r="AQ1199">
        <v>0.01</v>
      </c>
      <c r="AX1199">
        <v>7</v>
      </c>
      <c r="AY1199" s="1">
        <v>17</v>
      </c>
      <c r="AZ1199">
        <v>0</v>
      </c>
      <c r="BA1199">
        <v>0</v>
      </c>
      <c r="BB1199">
        <v>1</v>
      </c>
      <c r="BC1199" s="7">
        <v>0.32</v>
      </c>
      <c r="BD1199">
        <v>30</v>
      </c>
      <c r="BE1199">
        <v>0</v>
      </c>
      <c r="BF1199">
        <v>0</v>
      </c>
      <c r="BG1199">
        <v>0</v>
      </c>
      <c r="BH1199">
        <v>5</v>
      </c>
      <c r="BI1199">
        <v>2.4</v>
      </c>
      <c r="BJ1199">
        <v>31</v>
      </c>
      <c r="BK1199">
        <v>0</v>
      </c>
      <c r="BL1199">
        <v>0</v>
      </c>
      <c r="BM1199">
        <v>0</v>
      </c>
      <c r="BN1199">
        <v>5</v>
      </c>
      <c r="BO1199">
        <v>2.4</v>
      </c>
      <c r="BP1199">
        <v>36</v>
      </c>
      <c r="BQ1199">
        <v>0</v>
      </c>
      <c r="BR1199">
        <v>0</v>
      </c>
      <c r="BS1199">
        <v>0</v>
      </c>
      <c r="BT1199">
        <v>5</v>
      </c>
      <c r="BU1199">
        <v>1.8</v>
      </c>
    </row>
    <row r="1200" spans="1:73" ht="14.25" x14ac:dyDescent="0.15">
      <c r="A1200" s="12">
        <v>20847</v>
      </c>
      <c r="B1200">
        <v>7</v>
      </c>
      <c r="C1200" s="1">
        <v>46</v>
      </c>
      <c r="D1200">
        <v>0</v>
      </c>
      <c r="E1200">
        <v>0</v>
      </c>
      <c r="F1200">
        <v>1</v>
      </c>
      <c r="G1200" s="7">
        <v>0.05</v>
      </c>
      <c r="H1200">
        <v>12</v>
      </c>
      <c r="I1200">
        <v>0</v>
      </c>
      <c r="J1200">
        <v>0</v>
      </c>
      <c r="K1200">
        <v>0</v>
      </c>
      <c r="L1200">
        <v>1</v>
      </c>
      <c r="M1200">
        <v>2</v>
      </c>
      <c r="N1200" s="7">
        <v>9</v>
      </c>
      <c r="O1200" s="7">
        <v>0</v>
      </c>
      <c r="P1200" s="7">
        <v>0</v>
      </c>
      <c r="Q1200" s="7">
        <v>0</v>
      </c>
      <c r="R1200" s="7">
        <v>1</v>
      </c>
      <c r="S1200" s="7">
        <v>4.5</v>
      </c>
      <c r="T1200">
        <v>7</v>
      </c>
      <c r="U1200" s="1">
        <v>34</v>
      </c>
      <c r="V1200">
        <v>0</v>
      </c>
      <c r="W1200">
        <v>0</v>
      </c>
      <c r="X1200">
        <v>1</v>
      </c>
      <c r="Y1200">
        <v>0.16</v>
      </c>
      <c r="Z1200">
        <v>23</v>
      </c>
      <c r="AA1200">
        <v>0</v>
      </c>
      <c r="AB1200">
        <v>0</v>
      </c>
      <c r="AC1200">
        <v>0</v>
      </c>
      <c r="AD1200">
        <v>1</v>
      </c>
      <c r="AE1200">
        <v>0.05</v>
      </c>
      <c r="AF1200">
        <v>15</v>
      </c>
      <c r="AG1200">
        <v>0</v>
      </c>
      <c r="AH1200">
        <v>0</v>
      </c>
      <c r="AI1200">
        <v>0</v>
      </c>
      <c r="AJ1200">
        <v>1</v>
      </c>
      <c r="AK1200">
        <v>0.02</v>
      </c>
      <c r="AL1200">
        <v>16</v>
      </c>
      <c r="AM1200">
        <v>0</v>
      </c>
      <c r="AN1200">
        <v>0</v>
      </c>
      <c r="AO1200">
        <v>0</v>
      </c>
      <c r="AP1200">
        <v>1</v>
      </c>
      <c r="AQ1200">
        <v>0.01</v>
      </c>
      <c r="AX1200">
        <v>7</v>
      </c>
      <c r="AY1200" s="1">
        <v>18</v>
      </c>
      <c r="AZ1200">
        <v>0</v>
      </c>
      <c r="BA1200">
        <v>0</v>
      </c>
      <c r="BB1200">
        <v>1</v>
      </c>
      <c r="BC1200" s="7">
        <v>0.32</v>
      </c>
      <c r="BD1200">
        <v>30</v>
      </c>
      <c r="BE1200">
        <v>0</v>
      </c>
      <c r="BF1200">
        <v>0</v>
      </c>
      <c r="BG1200">
        <v>0</v>
      </c>
      <c r="BH1200">
        <v>5</v>
      </c>
      <c r="BI1200">
        <v>2.4</v>
      </c>
      <c r="BJ1200">
        <v>31</v>
      </c>
      <c r="BK1200">
        <v>0</v>
      </c>
      <c r="BL1200">
        <v>0</v>
      </c>
      <c r="BM1200">
        <v>0</v>
      </c>
      <c r="BN1200">
        <v>5</v>
      </c>
      <c r="BO1200">
        <v>2.4</v>
      </c>
      <c r="BP1200">
        <v>36</v>
      </c>
      <c r="BQ1200">
        <v>0</v>
      </c>
      <c r="BR1200">
        <v>0</v>
      </c>
      <c r="BS1200">
        <v>0</v>
      </c>
      <c r="BT1200">
        <v>5</v>
      </c>
      <c r="BU1200">
        <v>1.8</v>
      </c>
    </row>
    <row r="1201" spans="1:73" ht="14.25" x14ac:dyDescent="0.15">
      <c r="A1201" s="12">
        <v>20848</v>
      </c>
      <c r="B1201">
        <v>7</v>
      </c>
      <c r="C1201" s="1">
        <v>47</v>
      </c>
      <c r="D1201">
        <v>0</v>
      </c>
      <c r="E1201">
        <v>0</v>
      </c>
      <c r="F1201">
        <v>1</v>
      </c>
      <c r="G1201" s="7">
        <v>0.05</v>
      </c>
      <c r="H1201">
        <v>12</v>
      </c>
      <c r="I1201">
        <v>0</v>
      </c>
      <c r="J1201">
        <v>0</v>
      </c>
      <c r="K1201">
        <v>0</v>
      </c>
      <c r="L1201">
        <v>1</v>
      </c>
      <c r="M1201">
        <v>2</v>
      </c>
      <c r="N1201" s="7">
        <v>9</v>
      </c>
      <c r="O1201" s="7">
        <v>0</v>
      </c>
      <c r="P1201" s="7">
        <v>0</v>
      </c>
      <c r="Q1201" s="7">
        <v>0</v>
      </c>
      <c r="R1201" s="7">
        <v>1</v>
      </c>
      <c r="S1201" s="7">
        <v>4.5</v>
      </c>
      <c r="T1201">
        <v>7</v>
      </c>
      <c r="U1201" s="1">
        <v>35</v>
      </c>
      <c r="V1201">
        <v>0</v>
      </c>
      <c r="W1201">
        <v>0</v>
      </c>
      <c r="X1201">
        <v>1</v>
      </c>
      <c r="Y1201">
        <v>0.16</v>
      </c>
      <c r="Z1201">
        <v>23</v>
      </c>
      <c r="AA1201">
        <v>0</v>
      </c>
      <c r="AB1201">
        <v>0</v>
      </c>
      <c r="AC1201">
        <v>0</v>
      </c>
      <c r="AD1201">
        <v>1</v>
      </c>
      <c r="AE1201">
        <v>0.05</v>
      </c>
      <c r="AF1201">
        <v>15</v>
      </c>
      <c r="AG1201">
        <v>0</v>
      </c>
      <c r="AH1201">
        <v>0</v>
      </c>
      <c r="AI1201">
        <v>0</v>
      </c>
      <c r="AJ1201">
        <v>1</v>
      </c>
      <c r="AK1201">
        <v>0.02</v>
      </c>
      <c r="AL1201">
        <v>16</v>
      </c>
      <c r="AM1201">
        <v>0</v>
      </c>
      <c r="AN1201">
        <v>0</v>
      </c>
      <c r="AO1201">
        <v>0</v>
      </c>
      <c r="AP1201">
        <v>1</v>
      </c>
      <c r="AQ1201">
        <v>0.01</v>
      </c>
      <c r="AX1201">
        <v>7</v>
      </c>
      <c r="AY1201" s="1">
        <v>19</v>
      </c>
      <c r="AZ1201">
        <v>0</v>
      </c>
      <c r="BA1201">
        <v>0</v>
      </c>
      <c r="BB1201">
        <v>1</v>
      </c>
      <c r="BC1201" s="7">
        <v>0.32</v>
      </c>
      <c r="BD1201">
        <v>30</v>
      </c>
      <c r="BE1201">
        <v>0</v>
      </c>
      <c r="BF1201">
        <v>0</v>
      </c>
      <c r="BG1201">
        <v>0</v>
      </c>
      <c r="BH1201">
        <v>5</v>
      </c>
      <c r="BI1201">
        <v>2.4</v>
      </c>
      <c r="BJ1201">
        <v>31</v>
      </c>
      <c r="BK1201">
        <v>0</v>
      </c>
      <c r="BL1201">
        <v>0</v>
      </c>
      <c r="BM1201">
        <v>0</v>
      </c>
      <c r="BN1201">
        <v>5</v>
      </c>
      <c r="BO1201">
        <v>2.4</v>
      </c>
      <c r="BP1201">
        <v>36</v>
      </c>
      <c r="BQ1201">
        <v>0</v>
      </c>
      <c r="BR1201">
        <v>0</v>
      </c>
      <c r="BS1201">
        <v>0</v>
      </c>
      <c r="BT1201">
        <v>5</v>
      </c>
      <c r="BU1201">
        <v>1.8</v>
      </c>
    </row>
    <row r="1202" spans="1:73" ht="14.25" x14ac:dyDescent="0.15">
      <c r="A1202" s="12">
        <v>20849</v>
      </c>
      <c r="B1202">
        <v>7</v>
      </c>
      <c r="C1202" s="1">
        <v>48</v>
      </c>
      <c r="D1202">
        <v>0</v>
      </c>
      <c r="E1202">
        <v>0</v>
      </c>
      <c r="F1202">
        <v>1</v>
      </c>
      <c r="G1202" s="7">
        <v>0.05</v>
      </c>
      <c r="H1202">
        <v>12</v>
      </c>
      <c r="I1202">
        <v>0</v>
      </c>
      <c r="J1202">
        <v>0</v>
      </c>
      <c r="K1202">
        <v>0</v>
      </c>
      <c r="L1202">
        <v>1</v>
      </c>
      <c r="M1202">
        <v>2</v>
      </c>
      <c r="N1202" s="7">
        <v>9</v>
      </c>
      <c r="O1202" s="7">
        <v>0</v>
      </c>
      <c r="P1202" s="7">
        <v>0</v>
      </c>
      <c r="Q1202" s="7">
        <v>0</v>
      </c>
      <c r="R1202" s="7">
        <v>1</v>
      </c>
      <c r="S1202" s="7">
        <v>4.5</v>
      </c>
      <c r="T1202">
        <v>7</v>
      </c>
      <c r="U1202" s="1">
        <v>36</v>
      </c>
      <c r="V1202">
        <v>0</v>
      </c>
      <c r="W1202">
        <v>0</v>
      </c>
      <c r="X1202">
        <v>1</v>
      </c>
      <c r="Y1202">
        <v>0.16</v>
      </c>
      <c r="Z1202">
        <v>23</v>
      </c>
      <c r="AA1202">
        <v>0</v>
      </c>
      <c r="AB1202">
        <v>0</v>
      </c>
      <c r="AC1202">
        <v>0</v>
      </c>
      <c r="AD1202">
        <v>1</v>
      </c>
      <c r="AE1202">
        <v>0.05</v>
      </c>
      <c r="AF1202">
        <v>15</v>
      </c>
      <c r="AG1202">
        <v>0</v>
      </c>
      <c r="AH1202">
        <v>0</v>
      </c>
      <c r="AI1202">
        <v>0</v>
      </c>
      <c r="AJ1202">
        <v>1</v>
      </c>
      <c r="AK1202">
        <v>0.02</v>
      </c>
      <c r="AL1202">
        <v>16</v>
      </c>
      <c r="AM1202">
        <v>0</v>
      </c>
      <c r="AN1202">
        <v>0</v>
      </c>
      <c r="AO1202">
        <v>0</v>
      </c>
      <c r="AP1202">
        <v>1</v>
      </c>
      <c r="AQ1202">
        <v>0.01</v>
      </c>
      <c r="AX1202">
        <v>7</v>
      </c>
      <c r="AY1202" s="1">
        <v>20</v>
      </c>
      <c r="AZ1202">
        <v>0</v>
      </c>
      <c r="BA1202">
        <v>0</v>
      </c>
      <c r="BB1202">
        <v>1</v>
      </c>
      <c r="BC1202" s="7">
        <v>0.32</v>
      </c>
      <c r="BD1202">
        <v>30</v>
      </c>
      <c r="BE1202">
        <v>0</v>
      </c>
      <c r="BF1202">
        <v>0</v>
      </c>
      <c r="BG1202">
        <v>0</v>
      </c>
      <c r="BH1202">
        <v>5</v>
      </c>
      <c r="BI1202">
        <v>2.4</v>
      </c>
      <c r="BJ1202">
        <v>31</v>
      </c>
      <c r="BK1202">
        <v>0</v>
      </c>
      <c r="BL1202">
        <v>0</v>
      </c>
      <c r="BM1202">
        <v>0</v>
      </c>
      <c r="BN1202">
        <v>5</v>
      </c>
      <c r="BO1202">
        <v>2.4</v>
      </c>
      <c r="BP1202">
        <v>36</v>
      </c>
      <c r="BQ1202">
        <v>0</v>
      </c>
      <c r="BR1202">
        <v>0</v>
      </c>
      <c r="BS1202">
        <v>0</v>
      </c>
      <c r="BT1202">
        <v>5</v>
      </c>
      <c r="BU1202">
        <v>1.8</v>
      </c>
    </row>
    <row r="1203" spans="1:73" ht="14.25" x14ac:dyDescent="0.15">
      <c r="A1203" s="12">
        <v>20850</v>
      </c>
      <c r="B1203">
        <v>7</v>
      </c>
      <c r="C1203" s="1">
        <v>0</v>
      </c>
      <c r="D1203">
        <v>5</v>
      </c>
      <c r="E1203">
        <v>1</v>
      </c>
      <c r="F1203">
        <v>1</v>
      </c>
      <c r="G1203" s="7">
        <v>0.05</v>
      </c>
      <c r="H1203">
        <v>12</v>
      </c>
      <c r="I1203">
        <v>0</v>
      </c>
      <c r="J1203">
        <v>0</v>
      </c>
      <c r="K1203">
        <v>0</v>
      </c>
      <c r="L1203">
        <v>1</v>
      </c>
      <c r="M1203">
        <v>2</v>
      </c>
      <c r="N1203" s="7">
        <v>9</v>
      </c>
      <c r="O1203" s="7">
        <v>0</v>
      </c>
      <c r="P1203" s="7">
        <v>0</v>
      </c>
      <c r="Q1203" s="7">
        <v>0</v>
      </c>
      <c r="R1203" s="7">
        <v>1</v>
      </c>
      <c r="S1203" s="7">
        <v>4.5</v>
      </c>
      <c r="T1203">
        <v>7</v>
      </c>
      <c r="U1203" s="1">
        <v>0</v>
      </c>
      <c r="V1203">
        <v>4</v>
      </c>
      <c r="W1203">
        <v>2</v>
      </c>
      <c r="X1203">
        <v>1</v>
      </c>
      <c r="Y1203">
        <v>0.16</v>
      </c>
      <c r="Z1203">
        <v>23</v>
      </c>
      <c r="AA1203">
        <v>0</v>
      </c>
      <c r="AB1203">
        <v>0</v>
      </c>
      <c r="AC1203">
        <v>0</v>
      </c>
      <c r="AD1203">
        <v>1</v>
      </c>
      <c r="AE1203">
        <v>0.05</v>
      </c>
      <c r="AF1203">
        <v>15</v>
      </c>
      <c r="AG1203">
        <v>0</v>
      </c>
      <c r="AH1203">
        <v>0</v>
      </c>
      <c r="AI1203">
        <v>0</v>
      </c>
      <c r="AJ1203">
        <v>1</v>
      </c>
      <c r="AK1203">
        <v>0.02</v>
      </c>
      <c r="AL1203">
        <v>16</v>
      </c>
      <c r="AM1203">
        <v>0</v>
      </c>
      <c r="AN1203">
        <v>0</v>
      </c>
      <c r="AO1203">
        <v>0</v>
      </c>
      <c r="AP1203">
        <v>1</v>
      </c>
      <c r="AQ1203">
        <v>0.01</v>
      </c>
      <c r="AR1203">
        <v>6</v>
      </c>
      <c r="AS1203">
        <v>2</v>
      </c>
      <c r="AT1203">
        <v>5</v>
      </c>
      <c r="AU1203">
        <v>5</v>
      </c>
      <c r="AV1203">
        <v>1</v>
      </c>
      <c r="AW1203">
        <v>0.01</v>
      </c>
      <c r="AX1203">
        <v>7</v>
      </c>
      <c r="AY1203" s="1">
        <v>0</v>
      </c>
      <c r="AZ1203">
        <v>3</v>
      </c>
      <c r="BA1203">
        <v>1</v>
      </c>
      <c r="BB1203">
        <v>1</v>
      </c>
      <c r="BC1203" s="7">
        <v>0.32</v>
      </c>
      <c r="BD1203">
        <v>30</v>
      </c>
      <c r="BE1203">
        <v>0</v>
      </c>
      <c r="BF1203">
        <v>0</v>
      </c>
      <c r="BG1203">
        <v>0</v>
      </c>
      <c r="BH1203">
        <v>5</v>
      </c>
      <c r="BI1203">
        <v>2.4</v>
      </c>
      <c r="BJ1203">
        <v>31</v>
      </c>
      <c r="BK1203">
        <v>0</v>
      </c>
      <c r="BL1203">
        <v>0</v>
      </c>
      <c r="BM1203">
        <v>0</v>
      </c>
      <c r="BN1203">
        <v>5</v>
      </c>
      <c r="BO1203">
        <v>2.4</v>
      </c>
      <c r="BP1203">
        <v>36</v>
      </c>
      <c r="BQ1203">
        <v>0</v>
      </c>
      <c r="BR1203">
        <v>0</v>
      </c>
      <c r="BS1203">
        <v>0</v>
      </c>
      <c r="BT1203">
        <v>5</v>
      </c>
      <c r="BU1203">
        <v>1.8</v>
      </c>
    </row>
    <row r="1204" spans="1:73" ht="14.25" x14ac:dyDescent="0.15">
      <c r="A1204" s="12">
        <v>20901</v>
      </c>
      <c r="B1204">
        <v>7</v>
      </c>
      <c r="C1204" s="1">
        <v>45</v>
      </c>
      <c r="D1204">
        <v>0</v>
      </c>
      <c r="E1204">
        <v>0</v>
      </c>
      <c r="F1204">
        <v>1</v>
      </c>
      <c r="G1204" s="7">
        <v>0.05</v>
      </c>
      <c r="H1204">
        <v>12</v>
      </c>
      <c r="I1204">
        <v>0</v>
      </c>
      <c r="J1204">
        <v>0</v>
      </c>
      <c r="K1204">
        <v>0</v>
      </c>
      <c r="L1204">
        <v>1</v>
      </c>
      <c r="M1204">
        <v>2</v>
      </c>
      <c r="N1204" s="7">
        <v>9</v>
      </c>
      <c r="O1204" s="7">
        <v>0</v>
      </c>
      <c r="P1204" s="7">
        <v>0</v>
      </c>
      <c r="Q1204" s="7">
        <v>0</v>
      </c>
      <c r="R1204" s="7">
        <v>1</v>
      </c>
      <c r="S1204" s="7">
        <v>4.5</v>
      </c>
      <c r="T1204">
        <v>7</v>
      </c>
      <c r="U1204" s="1">
        <v>33</v>
      </c>
      <c r="V1204">
        <v>0</v>
      </c>
      <c r="W1204">
        <v>0</v>
      </c>
      <c r="X1204">
        <v>1</v>
      </c>
      <c r="Y1204">
        <v>0.16</v>
      </c>
      <c r="Z1204">
        <v>23</v>
      </c>
      <c r="AA1204">
        <v>0</v>
      </c>
      <c r="AB1204">
        <v>0</v>
      </c>
      <c r="AC1204">
        <v>0</v>
      </c>
      <c r="AD1204">
        <v>1</v>
      </c>
      <c r="AE1204">
        <v>0.05</v>
      </c>
      <c r="AF1204">
        <v>15</v>
      </c>
      <c r="AG1204">
        <v>0</v>
      </c>
      <c r="AH1204">
        <v>0</v>
      </c>
      <c r="AI1204">
        <v>0</v>
      </c>
      <c r="AJ1204">
        <v>1</v>
      </c>
      <c r="AK1204">
        <v>0.02</v>
      </c>
      <c r="AL1204">
        <v>16</v>
      </c>
      <c r="AM1204">
        <v>0</v>
      </c>
      <c r="AN1204">
        <v>0</v>
      </c>
      <c r="AO1204">
        <v>0</v>
      </c>
      <c r="AP1204">
        <v>1</v>
      </c>
      <c r="AQ1204">
        <v>0.01</v>
      </c>
      <c r="AX1204">
        <v>7</v>
      </c>
      <c r="AY1204" s="1">
        <v>17</v>
      </c>
      <c r="AZ1204">
        <v>0</v>
      </c>
      <c r="BA1204">
        <v>0</v>
      </c>
      <c r="BB1204">
        <v>1</v>
      </c>
      <c r="BC1204" s="7">
        <v>0.32</v>
      </c>
      <c r="BD1204">
        <v>30</v>
      </c>
      <c r="BE1204">
        <v>0</v>
      </c>
      <c r="BF1204">
        <v>0</v>
      </c>
      <c r="BG1204">
        <v>0</v>
      </c>
      <c r="BH1204">
        <v>5</v>
      </c>
      <c r="BI1204">
        <v>2.4</v>
      </c>
      <c r="BJ1204">
        <v>31</v>
      </c>
      <c r="BK1204">
        <v>0</v>
      </c>
      <c r="BL1204">
        <v>0</v>
      </c>
      <c r="BM1204">
        <v>0</v>
      </c>
      <c r="BN1204">
        <v>5</v>
      </c>
      <c r="BO1204">
        <v>2.4</v>
      </c>
      <c r="BP1204">
        <v>36</v>
      </c>
      <c r="BQ1204">
        <v>0</v>
      </c>
      <c r="BR1204">
        <v>0</v>
      </c>
      <c r="BS1204">
        <v>0</v>
      </c>
      <c r="BT1204">
        <v>5</v>
      </c>
      <c r="BU1204">
        <v>1.8</v>
      </c>
    </row>
    <row r="1205" spans="1:73" ht="14.25" x14ac:dyDescent="0.15">
      <c r="A1205" s="12">
        <v>20902</v>
      </c>
      <c r="B1205">
        <v>7</v>
      </c>
      <c r="C1205" s="1">
        <v>46</v>
      </c>
      <c r="D1205">
        <v>0</v>
      </c>
      <c r="E1205">
        <v>0</v>
      </c>
      <c r="F1205">
        <v>1</v>
      </c>
      <c r="G1205" s="7">
        <v>0.05</v>
      </c>
      <c r="H1205">
        <v>12</v>
      </c>
      <c r="I1205">
        <v>0</v>
      </c>
      <c r="J1205">
        <v>0</v>
      </c>
      <c r="K1205">
        <v>0</v>
      </c>
      <c r="L1205">
        <v>1</v>
      </c>
      <c r="M1205">
        <v>2</v>
      </c>
      <c r="N1205" s="7">
        <v>9</v>
      </c>
      <c r="O1205" s="7">
        <v>0</v>
      </c>
      <c r="P1205" s="7">
        <v>0</v>
      </c>
      <c r="Q1205" s="7">
        <v>0</v>
      </c>
      <c r="R1205" s="7">
        <v>1</v>
      </c>
      <c r="S1205" s="7">
        <v>4.5</v>
      </c>
      <c r="T1205">
        <v>7</v>
      </c>
      <c r="U1205" s="1">
        <v>34</v>
      </c>
      <c r="V1205">
        <v>0</v>
      </c>
      <c r="W1205">
        <v>0</v>
      </c>
      <c r="X1205">
        <v>1</v>
      </c>
      <c r="Y1205">
        <v>0.16</v>
      </c>
      <c r="Z1205">
        <v>23</v>
      </c>
      <c r="AA1205">
        <v>0</v>
      </c>
      <c r="AB1205">
        <v>0</v>
      </c>
      <c r="AC1205">
        <v>0</v>
      </c>
      <c r="AD1205">
        <v>1</v>
      </c>
      <c r="AE1205">
        <v>0.05</v>
      </c>
      <c r="AF1205">
        <v>15</v>
      </c>
      <c r="AG1205">
        <v>0</v>
      </c>
      <c r="AH1205">
        <v>0</v>
      </c>
      <c r="AI1205">
        <v>0</v>
      </c>
      <c r="AJ1205">
        <v>1</v>
      </c>
      <c r="AK1205">
        <v>0.02</v>
      </c>
      <c r="AL1205">
        <v>16</v>
      </c>
      <c r="AM1205">
        <v>0</v>
      </c>
      <c r="AN1205">
        <v>0</v>
      </c>
      <c r="AO1205">
        <v>0</v>
      </c>
      <c r="AP1205">
        <v>1</v>
      </c>
      <c r="AQ1205">
        <v>0.01</v>
      </c>
      <c r="AX1205">
        <v>7</v>
      </c>
      <c r="AY1205" s="1">
        <v>18</v>
      </c>
      <c r="AZ1205">
        <v>0</v>
      </c>
      <c r="BA1205">
        <v>0</v>
      </c>
      <c r="BB1205">
        <v>1</v>
      </c>
      <c r="BC1205" s="7">
        <v>0.32</v>
      </c>
      <c r="BD1205">
        <v>30</v>
      </c>
      <c r="BE1205">
        <v>0</v>
      </c>
      <c r="BF1205">
        <v>0</v>
      </c>
      <c r="BG1205">
        <v>0</v>
      </c>
      <c r="BH1205">
        <v>5</v>
      </c>
      <c r="BI1205">
        <v>2.4</v>
      </c>
      <c r="BJ1205">
        <v>31</v>
      </c>
      <c r="BK1205">
        <v>0</v>
      </c>
      <c r="BL1205">
        <v>0</v>
      </c>
      <c r="BM1205">
        <v>0</v>
      </c>
      <c r="BN1205">
        <v>5</v>
      </c>
      <c r="BO1205">
        <v>2.4</v>
      </c>
      <c r="BP1205">
        <v>36</v>
      </c>
      <c r="BQ1205">
        <v>0</v>
      </c>
      <c r="BR1205">
        <v>0</v>
      </c>
      <c r="BS1205">
        <v>0</v>
      </c>
      <c r="BT1205">
        <v>5</v>
      </c>
      <c r="BU1205">
        <v>1.8</v>
      </c>
    </row>
    <row r="1206" spans="1:73" ht="14.25" x14ac:dyDescent="0.15">
      <c r="A1206" s="12">
        <v>20903</v>
      </c>
      <c r="B1206">
        <v>7</v>
      </c>
      <c r="C1206" s="1">
        <v>47</v>
      </c>
      <c r="D1206">
        <v>0</v>
      </c>
      <c r="E1206">
        <v>0</v>
      </c>
      <c r="F1206">
        <v>1</v>
      </c>
      <c r="G1206" s="7">
        <v>0.05</v>
      </c>
      <c r="H1206">
        <v>12</v>
      </c>
      <c r="I1206">
        <v>0</v>
      </c>
      <c r="J1206">
        <v>0</v>
      </c>
      <c r="K1206">
        <v>0</v>
      </c>
      <c r="L1206">
        <v>1</v>
      </c>
      <c r="M1206">
        <v>2</v>
      </c>
      <c r="N1206" s="7">
        <v>9</v>
      </c>
      <c r="O1206" s="7">
        <v>0</v>
      </c>
      <c r="P1206" s="7">
        <v>0</v>
      </c>
      <c r="Q1206" s="7">
        <v>0</v>
      </c>
      <c r="R1206" s="7">
        <v>1</v>
      </c>
      <c r="S1206" s="7">
        <v>4.5</v>
      </c>
      <c r="T1206">
        <v>7</v>
      </c>
      <c r="U1206" s="1">
        <v>35</v>
      </c>
      <c r="V1206">
        <v>0</v>
      </c>
      <c r="W1206">
        <v>0</v>
      </c>
      <c r="X1206">
        <v>1</v>
      </c>
      <c r="Y1206">
        <v>0.16</v>
      </c>
      <c r="Z1206">
        <v>23</v>
      </c>
      <c r="AA1206">
        <v>0</v>
      </c>
      <c r="AB1206">
        <v>0</v>
      </c>
      <c r="AC1206">
        <v>0</v>
      </c>
      <c r="AD1206">
        <v>1</v>
      </c>
      <c r="AE1206">
        <v>0.05</v>
      </c>
      <c r="AF1206">
        <v>15</v>
      </c>
      <c r="AG1206">
        <v>0</v>
      </c>
      <c r="AH1206">
        <v>0</v>
      </c>
      <c r="AI1206">
        <v>0</v>
      </c>
      <c r="AJ1206">
        <v>1</v>
      </c>
      <c r="AK1206">
        <v>0.02</v>
      </c>
      <c r="AL1206">
        <v>16</v>
      </c>
      <c r="AM1206">
        <v>0</v>
      </c>
      <c r="AN1206">
        <v>0</v>
      </c>
      <c r="AO1206">
        <v>0</v>
      </c>
      <c r="AP1206">
        <v>1</v>
      </c>
      <c r="AQ1206">
        <v>0.01</v>
      </c>
      <c r="AX1206">
        <v>7</v>
      </c>
      <c r="AY1206" s="1">
        <v>19</v>
      </c>
      <c r="AZ1206">
        <v>0</v>
      </c>
      <c r="BA1206">
        <v>0</v>
      </c>
      <c r="BB1206">
        <v>1</v>
      </c>
      <c r="BC1206" s="7">
        <v>0.32</v>
      </c>
      <c r="BD1206">
        <v>30</v>
      </c>
      <c r="BE1206">
        <v>0</v>
      </c>
      <c r="BF1206">
        <v>0</v>
      </c>
      <c r="BG1206">
        <v>0</v>
      </c>
      <c r="BH1206">
        <v>5</v>
      </c>
      <c r="BI1206">
        <v>2.4</v>
      </c>
      <c r="BJ1206">
        <v>31</v>
      </c>
      <c r="BK1206">
        <v>0</v>
      </c>
      <c r="BL1206">
        <v>0</v>
      </c>
      <c r="BM1206">
        <v>0</v>
      </c>
      <c r="BN1206">
        <v>5</v>
      </c>
      <c r="BO1206">
        <v>2.4</v>
      </c>
      <c r="BP1206">
        <v>36</v>
      </c>
      <c r="BQ1206">
        <v>0</v>
      </c>
      <c r="BR1206">
        <v>0</v>
      </c>
      <c r="BS1206">
        <v>0</v>
      </c>
      <c r="BT1206">
        <v>5</v>
      </c>
      <c r="BU1206">
        <v>1.8</v>
      </c>
    </row>
    <row r="1207" spans="1:73" ht="14.25" x14ac:dyDescent="0.15">
      <c r="A1207" s="12">
        <v>20904</v>
      </c>
      <c r="B1207">
        <v>7</v>
      </c>
      <c r="C1207" s="1">
        <v>48</v>
      </c>
      <c r="D1207">
        <v>0</v>
      </c>
      <c r="E1207">
        <v>0</v>
      </c>
      <c r="F1207">
        <v>1</v>
      </c>
      <c r="G1207" s="7">
        <v>0.05</v>
      </c>
      <c r="H1207">
        <v>12</v>
      </c>
      <c r="I1207">
        <v>0</v>
      </c>
      <c r="J1207">
        <v>0</v>
      </c>
      <c r="K1207">
        <v>0</v>
      </c>
      <c r="L1207">
        <v>1</v>
      </c>
      <c r="M1207">
        <v>2</v>
      </c>
      <c r="N1207" s="7">
        <v>9</v>
      </c>
      <c r="O1207" s="7">
        <v>0</v>
      </c>
      <c r="P1207" s="7">
        <v>0</v>
      </c>
      <c r="Q1207" s="7">
        <v>0</v>
      </c>
      <c r="R1207" s="7">
        <v>1</v>
      </c>
      <c r="S1207" s="7">
        <v>4.5</v>
      </c>
      <c r="T1207">
        <v>7</v>
      </c>
      <c r="U1207" s="1">
        <v>36</v>
      </c>
      <c r="V1207">
        <v>0</v>
      </c>
      <c r="W1207">
        <v>0</v>
      </c>
      <c r="X1207">
        <v>1</v>
      </c>
      <c r="Y1207">
        <v>0.16</v>
      </c>
      <c r="Z1207">
        <v>23</v>
      </c>
      <c r="AA1207">
        <v>0</v>
      </c>
      <c r="AB1207">
        <v>0</v>
      </c>
      <c r="AC1207">
        <v>0</v>
      </c>
      <c r="AD1207">
        <v>1</v>
      </c>
      <c r="AE1207">
        <v>0.05</v>
      </c>
      <c r="AF1207">
        <v>15</v>
      </c>
      <c r="AG1207">
        <v>0</v>
      </c>
      <c r="AH1207">
        <v>0</v>
      </c>
      <c r="AI1207">
        <v>0</v>
      </c>
      <c r="AJ1207">
        <v>1</v>
      </c>
      <c r="AK1207">
        <v>0.02</v>
      </c>
      <c r="AL1207">
        <v>16</v>
      </c>
      <c r="AM1207">
        <v>0</v>
      </c>
      <c r="AN1207">
        <v>0</v>
      </c>
      <c r="AO1207">
        <v>0</v>
      </c>
      <c r="AP1207">
        <v>1</v>
      </c>
      <c r="AQ1207">
        <v>0.01</v>
      </c>
      <c r="AX1207">
        <v>7</v>
      </c>
      <c r="AY1207" s="1">
        <v>20</v>
      </c>
      <c r="AZ1207">
        <v>0</v>
      </c>
      <c r="BA1207">
        <v>0</v>
      </c>
      <c r="BB1207">
        <v>1</v>
      </c>
      <c r="BC1207" s="7">
        <v>0.32</v>
      </c>
      <c r="BD1207">
        <v>30</v>
      </c>
      <c r="BE1207">
        <v>0</v>
      </c>
      <c r="BF1207">
        <v>0</v>
      </c>
      <c r="BG1207">
        <v>0</v>
      </c>
      <c r="BH1207">
        <v>5</v>
      </c>
      <c r="BI1207">
        <v>2.4</v>
      </c>
      <c r="BJ1207">
        <v>31</v>
      </c>
      <c r="BK1207">
        <v>0</v>
      </c>
      <c r="BL1207">
        <v>0</v>
      </c>
      <c r="BM1207">
        <v>0</v>
      </c>
      <c r="BN1207">
        <v>5</v>
      </c>
      <c r="BO1207">
        <v>2.4</v>
      </c>
      <c r="BP1207">
        <v>36</v>
      </c>
      <c r="BQ1207">
        <v>0</v>
      </c>
      <c r="BR1207">
        <v>0</v>
      </c>
      <c r="BS1207">
        <v>0</v>
      </c>
      <c r="BT1207">
        <v>5</v>
      </c>
      <c r="BU1207">
        <v>1.8</v>
      </c>
    </row>
    <row r="1208" spans="1:73" ht="14.25" x14ac:dyDescent="0.15">
      <c r="A1208" s="12">
        <v>20905</v>
      </c>
      <c r="B1208">
        <v>7</v>
      </c>
      <c r="C1208" s="1">
        <v>0</v>
      </c>
      <c r="D1208">
        <v>5</v>
      </c>
      <c r="E1208">
        <v>1</v>
      </c>
      <c r="F1208">
        <v>1</v>
      </c>
      <c r="G1208" s="7">
        <v>0.05</v>
      </c>
      <c r="H1208">
        <v>12</v>
      </c>
      <c r="I1208">
        <v>0</v>
      </c>
      <c r="J1208">
        <v>0</v>
      </c>
      <c r="K1208">
        <v>0</v>
      </c>
      <c r="L1208">
        <v>1</v>
      </c>
      <c r="M1208">
        <v>2</v>
      </c>
      <c r="N1208" s="7">
        <v>9</v>
      </c>
      <c r="O1208" s="7">
        <v>0</v>
      </c>
      <c r="P1208" s="7">
        <v>0</v>
      </c>
      <c r="Q1208" s="7">
        <v>0</v>
      </c>
      <c r="R1208" s="7">
        <v>1</v>
      </c>
      <c r="S1208" s="7">
        <v>4.5</v>
      </c>
      <c r="T1208">
        <v>7</v>
      </c>
      <c r="U1208" s="1">
        <v>0</v>
      </c>
      <c r="V1208">
        <v>4</v>
      </c>
      <c r="W1208">
        <v>2</v>
      </c>
      <c r="X1208">
        <v>1</v>
      </c>
      <c r="Y1208">
        <v>0.16</v>
      </c>
      <c r="Z1208">
        <v>23</v>
      </c>
      <c r="AA1208">
        <v>0</v>
      </c>
      <c r="AB1208">
        <v>0</v>
      </c>
      <c r="AC1208">
        <v>0</v>
      </c>
      <c r="AD1208">
        <v>1</v>
      </c>
      <c r="AE1208">
        <v>0.05</v>
      </c>
      <c r="AF1208">
        <v>15</v>
      </c>
      <c r="AG1208">
        <v>0</v>
      </c>
      <c r="AH1208">
        <v>0</v>
      </c>
      <c r="AI1208">
        <v>0</v>
      </c>
      <c r="AJ1208">
        <v>1</v>
      </c>
      <c r="AK1208">
        <v>0.02</v>
      </c>
      <c r="AL1208">
        <v>16</v>
      </c>
      <c r="AM1208">
        <v>0</v>
      </c>
      <c r="AN1208">
        <v>0</v>
      </c>
      <c r="AO1208">
        <v>0</v>
      </c>
      <c r="AP1208">
        <v>1</v>
      </c>
      <c r="AQ1208">
        <v>0.01</v>
      </c>
      <c r="AR1208">
        <v>6</v>
      </c>
      <c r="AS1208">
        <v>2</v>
      </c>
      <c r="AT1208">
        <v>1</v>
      </c>
      <c r="AU1208">
        <v>5</v>
      </c>
      <c r="AV1208">
        <v>1</v>
      </c>
      <c r="AW1208">
        <v>0.05</v>
      </c>
      <c r="AX1208">
        <v>7</v>
      </c>
      <c r="AY1208" s="1">
        <v>0</v>
      </c>
      <c r="AZ1208">
        <v>3</v>
      </c>
      <c r="BA1208">
        <v>1</v>
      </c>
      <c r="BB1208">
        <v>1</v>
      </c>
      <c r="BC1208" s="7">
        <v>0.32</v>
      </c>
      <c r="BD1208">
        <v>30</v>
      </c>
      <c r="BE1208">
        <v>0</v>
      </c>
      <c r="BF1208">
        <v>0</v>
      </c>
      <c r="BG1208">
        <v>0</v>
      </c>
      <c r="BH1208">
        <v>5</v>
      </c>
      <c r="BI1208">
        <v>2.4</v>
      </c>
      <c r="BJ1208">
        <v>31</v>
      </c>
      <c r="BK1208">
        <v>0</v>
      </c>
      <c r="BL1208">
        <v>0</v>
      </c>
      <c r="BM1208">
        <v>0</v>
      </c>
      <c r="BN1208">
        <v>5</v>
      </c>
      <c r="BO1208">
        <v>2.4</v>
      </c>
      <c r="BP1208">
        <v>36</v>
      </c>
      <c r="BQ1208">
        <v>0</v>
      </c>
      <c r="BR1208">
        <v>0</v>
      </c>
      <c r="BS1208">
        <v>0</v>
      </c>
      <c r="BT1208">
        <v>5</v>
      </c>
      <c r="BU1208">
        <v>1.8</v>
      </c>
    </row>
    <row r="1209" spans="1:73" ht="14.25" x14ac:dyDescent="0.15">
      <c r="A1209" s="12">
        <v>20906</v>
      </c>
      <c r="B1209">
        <v>7</v>
      </c>
      <c r="C1209" s="1">
        <v>45</v>
      </c>
      <c r="D1209">
        <v>0</v>
      </c>
      <c r="E1209">
        <v>0</v>
      </c>
      <c r="F1209">
        <v>1</v>
      </c>
      <c r="G1209" s="7">
        <v>0.05</v>
      </c>
      <c r="H1209">
        <v>12</v>
      </c>
      <c r="I1209">
        <v>0</v>
      </c>
      <c r="J1209">
        <v>0</v>
      </c>
      <c r="K1209">
        <v>0</v>
      </c>
      <c r="L1209">
        <v>1</v>
      </c>
      <c r="M1209">
        <v>2</v>
      </c>
      <c r="N1209" s="7">
        <v>9</v>
      </c>
      <c r="O1209" s="7">
        <v>0</v>
      </c>
      <c r="P1209" s="7">
        <v>0</v>
      </c>
      <c r="Q1209" s="7">
        <v>0</v>
      </c>
      <c r="R1209" s="7">
        <v>1</v>
      </c>
      <c r="S1209" s="7">
        <v>4.5</v>
      </c>
      <c r="T1209">
        <v>7</v>
      </c>
      <c r="U1209" s="1">
        <v>33</v>
      </c>
      <c r="V1209">
        <v>0</v>
      </c>
      <c r="W1209">
        <v>0</v>
      </c>
      <c r="X1209">
        <v>1</v>
      </c>
      <c r="Y1209">
        <v>0.16</v>
      </c>
      <c r="Z1209">
        <v>23</v>
      </c>
      <c r="AA1209">
        <v>0</v>
      </c>
      <c r="AB1209">
        <v>0</v>
      </c>
      <c r="AC1209">
        <v>0</v>
      </c>
      <c r="AD1209">
        <v>1</v>
      </c>
      <c r="AE1209">
        <v>0.05</v>
      </c>
      <c r="AF1209">
        <v>15</v>
      </c>
      <c r="AG1209">
        <v>0</v>
      </c>
      <c r="AH1209">
        <v>0</v>
      </c>
      <c r="AI1209">
        <v>0</v>
      </c>
      <c r="AJ1209">
        <v>1</v>
      </c>
      <c r="AK1209">
        <v>0.02</v>
      </c>
      <c r="AL1209">
        <v>16</v>
      </c>
      <c r="AM1209">
        <v>0</v>
      </c>
      <c r="AN1209">
        <v>0</v>
      </c>
      <c r="AO1209">
        <v>0</v>
      </c>
      <c r="AP1209">
        <v>1</v>
      </c>
      <c r="AQ1209">
        <v>0.01</v>
      </c>
      <c r="AX1209">
        <v>7</v>
      </c>
      <c r="AY1209" s="1">
        <v>17</v>
      </c>
      <c r="AZ1209">
        <v>0</v>
      </c>
      <c r="BA1209">
        <v>0</v>
      </c>
      <c r="BB1209">
        <v>1</v>
      </c>
      <c r="BC1209" s="7">
        <v>0.32</v>
      </c>
      <c r="BD1209">
        <v>30</v>
      </c>
      <c r="BE1209">
        <v>0</v>
      </c>
      <c r="BF1209">
        <v>0</v>
      </c>
      <c r="BG1209">
        <v>0</v>
      </c>
      <c r="BH1209">
        <v>5</v>
      </c>
      <c r="BI1209">
        <v>2.4</v>
      </c>
      <c r="BJ1209">
        <v>31</v>
      </c>
      <c r="BK1209">
        <v>0</v>
      </c>
      <c r="BL1209">
        <v>0</v>
      </c>
      <c r="BM1209">
        <v>0</v>
      </c>
      <c r="BN1209">
        <v>5</v>
      </c>
      <c r="BO1209">
        <v>2.4</v>
      </c>
      <c r="BP1209">
        <v>36</v>
      </c>
      <c r="BQ1209">
        <v>0</v>
      </c>
      <c r="BR1209">
        <v>0</v>
      </c>
      <c r="BS1209">
        <v>0</v>
      </c>
      <c r="BT1209">
        <v>5</v>
      </c>
      <c r="BU1209">
        <v>1.8</v>
      </c>
    </row>
    <row r="1210" spans="1:73" ht="14.25" x14ac:dyDescent="0.15">
      <c r="A1210" s="12">
        <v>20907</v>
      </c>
      <c r="B1210">
        <v>7</v>
      </c>
      <c r="C1210" s="1">
        <v>46</v>
      </c>
      <c r="D1210">
        <v>0</v>
      </c>
      <c r="E1210">
        <v>0</v>
      </c>
      <c r="F1210">
        <v>1</v>
      </c>
      <c r="G1210" s="7">
        <v>0.05</v>
      </c>
      <c r="H1210">
        <v>12</v>
      </c>
      <c r="I1210">
        <v>0</v>
      </c>
      <c r="J1210">
        <v>0</v>
      </c>
      <c r="K1210">
        <v>0</v>
      </c>
      <c r="L1210">
        <v>1</v>
      </c>
      <c r="M1210">
        <v>2</v>
      </c>
      <c r="N1210" s="7">
        <v>9</v>
      </c>
      <c r="O1210" s="7">
        <v>0</v>
      </c>
      <c r="P1210" s="7">
        <v>0</v>
      </c>
      <c r="Q1210" s="7">
        <v>0</v>
      </c>
      <c r="R1210" s="7">
        <v>1</v>
      </c>
      <c r="S1210" s="7">
        <v>4.5</v>
      </c>
      <c r="T1210">
        <v>7</v>
      </c>
      <c r="U1210" s="1">
        <v>34</v>
      </c>
      <c r="V1210">
        <v>0</v>
      </c>
      <c r="W1210">
        <v>0</v>
      </c>
      <c r="X1210">
        <v>1</v>
      </c>
      <c r="Y1210">
        <v>0.16</v>
      </c>
      <c r="Z1210">
        <v>23</v>
      </c>
      <c r="AA1210">
        <v>0</v>
      </c>
      <c r="AB1210">
        <v>0</v>
      </c>
      <c r="AC1210">
        <v>0</v>
      </c>
      <c r="AD1210">
        <v>1</v>
      </c>
      <c r="AE1210">
        <v>0.05</v>
      </c>
      <c r="AF1210">
        <v>15</v>
      </c>
      <c r="AG1210">
        <v>0</v>
      </c>
      <c r="AH1210">
        <v>0</v>
      </c>
      <c r="AI1210">
        <v>0</v>
      </c>
      <c r="AJ1210">
        <v>1</v>
      </c>
      <c r="AK1210">
        <v>0.02</v>
      </c>
      <c r="AL1210">
        <v>16</v>
      </c>
      <c r="AM1210">
        <v>0</v>
      </c>
      <c r="AN1210">
        <v>0</v>
      </c>
      <c r="AO1210">
        <v>0</v>
      </c>
      <c r="AP1210">
        <v>1</v>
      </c>
      <c r="AQ1210">
        <v>0.01</v>
      </c>
      <c r="AX1210">
        <v>7</v>
      </c>
      <c r="AY1210" s="1">
        <v>18</v>
      </c>
      <c r="AZ1210">
        <v>0</v>
      </c>
      <c r="BA1210">
        <v>0</v>
      </c>
      <c r="BB1210">
        <v>1</v>
      </c>
      <c r="BC1210" s="7">
        <v>0.32</v>
      </c>
      <c r="BD1210">
        <v>30</v>
      </c>
      <c r="BE1210">
        <v>0</v>
      </c>
      <c r="BF1210">
        <v>0</v>
      </c>
      <c r="BG1210">
        <v>0</v>
      </c>
      <c r="BH1210">
        <v>5</v>
      </c>
      <c r="BI1210">
        <v>2.4</v>
      </c>
      <c r="BJ1210">
        <v>31</v>
      </c>
      <c r="BK1210">
        <v>0</v>
      </c>
      <c r="BL1210">
        <v>0</v>
      </c>
      <c r="BM1210">
        <v>0</v>
      </c>
      <c r="BN1210">
        <v>5</v>
      </c>
      <c r="BO1210">
        <v>2.4</v>
      </c>
      <c r="BP1210">
        <v>36</v>
      </c>
      <c r="BQ1210">
        <v>0</v>
      </c>
      <c r="BR1210">
        <v>0</v>
      </c>
      <c r="BS1210">
        <v>0</v>
      </c>
      <c r="BT1210">
        <v>5</v>
      </c>
      <c r="BU1210">
        <v>1.8</v>
      </c>
    </row>
    <row r="1211" spans="1:73" ht="14.25" x14ac:dyDescent="0.15">
      <c r="A1211" s="12">
        <v>20908</v>
      </c>
      <c r="B1211">
        <v>7</v>
      </c>
      <c r="C1211" s="1">
        <v>47</v>
      </c>
      <c r="D1211">
        <v>0</v>
      </c>
      <c r="E1211">
        <v>0</v>
      </c>
      <c r="F1211">
        <v>1</v>
      </c>
      <c r="G1211" s="7">
        <v>0.05</v>
      </c>
      <c r="H1211">
        <v>12</v>
      </c>
      <c r="I1211">
        <v>0</v>
      </c>
      <c r="J1211">
        <v>0</v>
      </c>
      <c r="K1211">
        <v>0</v>
      </c>
      <c r="L1211">
        <v>1</v>
      </c>
      <c r="M1211">
        <v>2</v>
      </c>
      <c r="N1211" s="7">
        <v>9</v>
      </c>
      <c r="O1211" s="7">
        <v>0</v>
      </c>
      <c r="P1211" s="7">
        <v>0</v>
      </c>
      <c r="Q1211" s="7">
        <v>0</v>
      </c>
      <c r="R1211" s="7">
        <v>1</v>
      </c>
      <c r="S1211" s="7">
        <v>4.5</v>
      </c>
      <c r="T1211">
        <v>7</v>
      </c>
      <c r="U1211" s="1">
        <v>35</v>
      </c>
      <c r="V1211">
        <v>0</v>
      </c>
      <c r="W1211">
        <v>0</v>
      </c>
      <c r="X1211">
        <v>1</v>
      </c>
      <c r="Y1211">
        <v>0.16</v>
      </c>
      <c r="Z1211">
        <v>23</v>
      </c>
      <c r="AA1211">
        <v>0</v>
      </c>
      <c r="AB1211">
        <v>0</v>
      </c>
      <c r="AC1211">
        <v>0</v>
      </c>
      <c r="AD1211">
        <v>1</v>
      </c>
      <c r="AE1211">
        <v>0.05</v>
      </c>
      <c r="AF1211">
        <v>15</v>
      </c>
      <c r="AG1211">
        <v>0</v>
      </c>
      <c r="AH1211">
        <v>0</v>
      </c>
      <c r="AI1211">
        <v>0</v>
      </c>
      <c r="AJ1211">
        <v>1</v>
      </c>
      <c r="AK1211">
        <v>0.02</v>
      </c>
      <c r="AL1211">
        <v>16</v>
      </c>
      <c r="AM1211">
        <v>0</v>
      </c>
      <c r="AN1211">
        <v>0</v>
      </c>
      <c r="AO1211">
        <v>0</v>
      </c>
      <c r="AP1211">
        <v>1</v>
      </c>
      <c r="AQ1211">
        <v>0.01</v>
      </c>
      <c r="AX1211">
        <v>7</v>
      </c>
      <c r="AY1211" s="1">
        <v>19</v>
      </c>
      <c r="AZ1211">
        <v>0</v>
      </c>
      <c r="BA1211">
        <v>0</v>
      </c>
      <c r="BB1211">
        <v>1</v>
      </c>
      <c r="BC1211" s="7">
        <v>0.32</v>
      </c>
      <c r="BD1211">
        <v>30</v>
      </c>
      <c r="BE1211">
        <v>0</v>
      </c>
      <c r="BF1211">
        <v>0</v>
      </c>
      <c r="BG1211">
        <v>0</v>
      </c>
      <c r="BH1211">
        <v>5</v>
      </c>
      <c r="BI1211">
        <v>2.4</v>
      </c>
      <c r="BJ1211">
        <v>31</v>
      </c>
      <c r="BK1211">
        <v>0</v>
      </c>
      <c r="BL1211">
        <v>0</v>
      </c>
      <c r="BM1211">
        <v>0</v>
      </c>
      <c r="BN1211">
        <v>5</v>
      </c>
      <c r="BO1211">
        <v>2.4</v>
      </c>
      <c r="BP1211">
        <v>36</v>
      </c>
      <c r="BQ1211">
        <v>0</v>
      </c>
      <c r="BR1211">
        <v>0</v>
      </c>
      <c r="BS1211">
        <v>0</v>
      </c>
      <c r="BT1211">
        <v>5</v>
      </c>
      <c r="BU1211">
        <v>1.8</v>
      </c>
    </row>
    <row r="1212" spans="1:73" ht="14.25" x14ac:dyDescent="0.15">
      <c r="A1212" s="12">
        <v>20909</v>
      </c>
      <c r="B1212">
        <v>7</v>
      </c>
      <c r="C1212" s="1">
        <v>48</v>
      </c>
      <c r="D1212">
        <v>0</v>
      </c>
      <c r="E1212">
        <v>0</v>
      </c>
      <c r="F1212">
        <v>1</v>
      </c>
      <c r="G1212" s="7">
        <v>0.05</v>
      </c>
      <c r="H1212">
        <v>12</v>
      </c>
      <c r="I1212">
        <v>0</v>
      </c>
      <c r="J1212">
        <v>0</v>
      </c>
      <c r="K1212">
        <v>0</v>
      </c>
      <c r="L1212">
        <v>1</v>
      </c>
      <c r="M1212">
        <v>2</v>
      </c>
      <c r="N1212" s="7">
        <v>9</v>
      </c>
      <c r="O1212" s="7">
        <v>0</v>
      </c>
      <c r="P1212" s="7">
        <v>0</v>
      </c>
      <c r="Q1212" s="7">
        <v>0</v>
      </c>
      <c r="R1212" s="7">
        <v>1</v>
      </c>
      <c r="S1212" s="7">
        <v>4.5</v>
      </c>
      <c r="T1212">
        <v>7</v>
      </c>
      <c r="U1212" s="1">
        <v>36</v>
      </c>
      <c r="V1212">
        <v>0</v>
      </c>
      <c r="W1212">
        <v>0</v>
      </c>
      <c r="X1212">
        <v>1</v>
      </c>
      <c r="Y1212">
        <v>0.16</v>
      </c>
      <c r="Z1212">
        <v>23</v>
      </c>
      <c r="AA1212">
        <v>0</v>
      </c>
      <c r="AB1212">
        <v>0</v>
      </c>
      <c r="AC1212">
        <v>0</v>
      </c>
      <c r="AD1212">
        <v>1</v>
      </c>
      <c r="AE1212">
        <v>0.05</v>
      </c>
      <c r="AF1212">
        <v>15</v>
      </c>
      <c r="AG1212">
        <v>0</v>
      </c>
      <c r="AH1212">
        <v>0</v>
      </c>
      <c r="AI1212">
        <v>0</v>
      </c>
      <c r="AJ1212">
        <v>1</v>
      </c>
      <c r="AK1212">
        <v>0.02</v>
      </c>
      <c r="AL1212">
        <v>16</v>
      </c>
      <c r="AM1212">
        <v>0</v>
      </c>
      <c r="AN1212">
        <v>0</v>
      </c>
      <c r="AO1212">
        <v>0</v>
      </c>
      <c r="AP1212">
        <v>1</v>
      </c>
      <c r="AQ1212">
        <v>0.01</v>
      </c>
      <c r="AX1212">
        <v>7</v>
      </c>
      <c r="AY1212" s="1">
        <v>20</v>
      </c>
      <c r="AZ1212">
        <v>0</v>
      </c>
      <c r="BA1212">
        <v>0</v>
      </c>
      <c r="BB1212">
        <v>1</v>
      </c>
      <c r="BC1212" s="7">
        <v>0.32</v>
      </c>
      <c r="BD1212">
        <v>30</v>
      </c>
      <c r="BE1212">
        <v>0</v>
      </c>
      <c r="BF1212">
        <v>0</v>
      </c>
      <c r="BG1212">
        <v>0</v>
      </c>
      <c r="BH1212">
        <v>5</v>
      </c>
      <c r="BI1212">
        <v>2.4</v>
      </c>
      <c r="BJ1212">
        <v>31</v>
      </c>
      <c r="BK1212">
        <v>0</v>
      </c>
      <c r="BL1212">
        <v>0</v>
      </c>
      <c r="BM1212">
        <v>0</v>
      </c>
      <c r="BN1212">
        <v>5</v>
      </c>
      <c r="BO1212">
        <v>2.4</v>
      </c>
      <c r="BP1212">
        <v>36</v>
      </c>
      <c r="BQ1212">
        <v>0</v>
      </c>
      <c r="BR1212">
        <v>0</v>
      </c>
      <c r="BS1212">
        <v>0</v>
      </c>
      <c r="BT1212">
        <v>5</v>
      </c>
      <c r="BU1212">
        <v>1.8</v>
      </c>
    </row>
    <row r="1213" spans="1:73" ht="14.25" x14ac:dyDescent="0.15">
      <c r="A1213" s="12">
        <v>20910</v>
      </c>
      <c r="B1213">
        <v>7</v>
      </c>
      <c r="C1213" s="1">
        <v>0</v>
      </c>
      <c r="D1213">
        <v>5</v>
      </c>
      <c r="E1213">
        <v>1</v>
      </c>
      <c r="F1213">
        <v>1</v>
      </c>
      <c r="G1213" s="7">
        <v>0.05</v>
      </c>
      <c r="H1213">
        <v>12</v>
      </c>
      <c r="I1213">
        <v>0</v>
      </c>
      <c r="J1213">
        <v>0</v>
      </c>
      <c r="K1213">
        <v>0</v>
      </c>
      <c r="L1213">
        <v>1</v>
      </c>
      <c r="M1213">
        <v>2</v>
      </c>
      <c r="N1213" s="7">
        <v>9</v>
      </c>
      <c r="O1213" s="7">
        <v>0</v>
      </c>
      <c r="P1213" s="7">
        <v>0</v>
      </c>
      <c r="Q1213" s="7">
        <v>0</v>
      </c>
      <c r="R1213" s="7">
        <v>1</v>
      </c>
      <c r="S1213" s="7">
        <v>4.5</v>
      </c>
      <c r="T1213">
        <v>7</v>
      </c>
      <c r="U1213" s="1">
        <v>0</v>
      </c>
      <c r="V1213">
        <v>4</v>
      </c>
      <c r="W1213">
        <v>2</v>
      </c>
      <c r="X1213">
        <v>1</v>
      </c>
      <c r="Y1213">
        <v>0.16</v>
      </c>
      <c r="Z1213">
        <v>23</v>
      </c>
      <c r="AA1213">
        <v>0</v>
      </c>
      <c r="AB1213">
        <v>0</v>
      </c>
      <c r="AC1213">
        <v>0</v>
      </c>
      <c r="AD1213">
        <v>1</v>
      </c>
      <c r="AE1213">
        <v>0.05</v>
      </c>
      <c r="AF1213">
        <v>15</v>
      </c>
      <c r="AG1213">
        <v>0</v>
      </c>
      <c r="AH1213">
        <v>0</v>
      </c>
      <c r="AI1213">
        <v>0</v>
      </c>
      <c r="AJ1213">
        <v>1</v>
      </c>
      <c r="AK1213">
        <v>0.02</v>
      </c>
      <c r="AL1213">
        <v>16</v>
      </c>
      <c r="AM1213">
        <v>0</v>
      </c>
      <c r="AN1213">
        <v>0</v>
      </c>
      <c r="AO1213">
        <v>0</v>
      </c>
      <c r="AP1213">
        <v>1</v>
      </c>
      <c r="AQ1213">
        <v>0.01</v>
      </c>
      <c r="AR1213">
        <v>6</v>
      </c>
      <c r="AS1213">
        <v>2</v>
      </c>
      <c r="AT1213">
        <v>2</v>
      </c>
      <c r="AU1213">
        <v>5</v>
      </c>
      <c r="AV1213">
        <v>1</v>
      </c>
      <c r="AW1213">
        <v>0.05</v>
      </c>
      <c r="AX1213">
        <v>7</v>
      </c>
      <c r="AY1213" s="1">
        <v>0</v>
      </c>
      <c r="AZ1213">
        <v>3</v>
      </c>
      <c r="BA1213">
        <v>1</v>
      </c>
      <c r="BB1213">
        <v>1</v>
      </c>
      <c r="BC1213" s="7">
        <v>0.32</v>
      </c>
      <c r="BD1213">
        <v>30</v>
      </c>
      <c r="BE1213">
        <v>0</v>
      </c>
      <c r="BF1213">
        <v>0</v>
      </c>
      <c r="BG1213">
        <v>0</v>
      </c>
      <c r="BH1213">
        <v>5</v>
      </c>
      <c r="BI1213">
        <v>2.4</v>
      </c>
      <c r="BJ1213">
        <v>31</v>
      </c>
      <c r="BK1213">
        <v>0</v>
      </c>
      <c r="BL1213">
        <v>0</v>
      </c>
      <c r="BM1213">
        <v>0</v>
      </c>
      <c r="BN1213">
        <v>5</v>
      </c>
      <c r="BO1213">
        <v>2.4</v>
      </c>
      <c r="BP1213">
        <v>36</v>
      </c>
      <c r="BQ1213">
        <v>0</v>
      </c>
      <c r="BR1213">
        <v>0</v>
      </c>
      <c r="BS1213">
        <v>0</v>
      </c>
      <c r="BT1213">
        <v>5</v>
      </c>
      <c r="BU1213">
        <v>1.8</v>
      </c>
    </row>
    <row r="1214" spans="1:73" ht="14.25" x14ac:dyDescent="0.15">
      <c r="A1214" s="12">
        <v>20911</v>
      </c>
      <c r="B1214">
        <v>7</v>
      </c>
      <c r="C1214" s="1">
        <v>45</v>
      </c>
      <c r="D1214">
        <v>0</v>
      </c>
      <c r="E1214">
        <v>0</v>
      </c>
      <c r="F1214">
        <v>1</v>
      </c>
      <c r="G1214" s="7">
        <v>0.05</v>
      </c>
      <c r="H1214">
        <v>12</v>
      </c>
      <c r="I1214">
        <v>0</v>
      </c>
      <c r="J1214">
        <v>0</v>
      </c>
      <c r="K1214">
        <v>0</v>
      </c>
      <c r="L1214">
        <v>1</v>
      </c>
      <c r="M1214">
        <v>2</v>
      </c>
      <c r="N1214" s="7">
        <v>9</v>
      </c>
      <c r="O1214" s="7">
        <v>0</v>
      </c>
      <c r="P1214" s="7">
        <v>0</v>
      </c>
      <c r="Q1214" s="7">
        <v>0</v>
      </c>
      <c r="R1214" s="7">
        <v>1</v>
      </c>
      <c r="S1214" s="7">
        <v>4.5</v>
      </c>
      <c r="T1214">
        <v>7</v>
      </c>
      <c r="U1214" s="1">
        <v>33</v>
      </c>
      <c r="V1214">
        <v>0</v>
      </c>
      <c r="W1214">
        <v>0</v>
      </c>
      <c r="X1214">
        <v>1</v>
      </c>
      <c r="Y1214">
        <v>0.16</v>
      </c>
      <c r="Z1214">
        <v>23</v>
      </c>
      <c r="AA1214">
        <v>0</v>
      </c>
      <c r="AB1214">
        <v>0</v>
      </c>
      <c r="AC1214">
        <v>0</v>
      </c>
      <c r="AD1214">
        <v>1</v>
      </c>
      <c r="AE1214">
        <v>0.05</v>
      </c>
      <c r="AF1214">
        <v>15</v>
      </c>
      <c r="AG1214">
        <v>0</v>
      </c>
      <c r="AH1214">
        <v>0</v>
      </c>
      <c r="AI1214">
        <v>0</v>
      </c>
      <c r="AJ1214">
        <v>1</v>
      </c>
      <c r="AK1214">
        <v>0.02</v>
      </c>
      <c r="AL1214">
        <v>16</v>
      </c>
      <c r="AM1214">
        <v>0</v>
      </c>
      <c r="AN1214">
        <v>0</v>
      </c>
      <c r="AO1214">
        <v>0</v>
      </c>
      <c r="AP1214">
        <v>1</v>
      </c>
      <c r="AQ1214">
        <v>0.01</v>
      </c>
      <c r="AX1214">
        <v>7</v>
      </c>
      <c r="AY1214" s="1">
        <v>17</v>
      </c>
      <c r="AZ1214">
        <v>0</v>
      </c>
      <c r="BA1214">
        <v>0</v>
      </c>
      <c r="BB1214">
        <v>1</v>
      </c>
      <c r="BC1214" s="7">
        <v>0.32</v>
      </c>
      <c r="BD1214">
        <v>30</v>
      </c>
      <c r="BE1214">
        <v>0</v>
      </c>
      <c r="BF1214">
        <v>0</v>
      </c>
      <c r="BG1214">
        <v>0</v>
      </c>
      <c r="BH1214">
        <v>5</v>
      </c>
      <c r="BI1214">
        <v>2.4</v>
      </c>
      <c r="BJ1214">
        <v>31</v>
      </c>
      <c r="BK1214">
        <v>0</v>
      </c>
      <c r="BL1214">
        <v>0</v>
      </c>
      <c r="BM1214">
        <v>0</v>
      </c>
      <c r="BN1214">
        <v>5</v>
      </c>
      <c r="BO1214">
        <v>2.4</v>
      </c>
      <c r="BP1214">
        <v>36</v>
      </c>
      <c r="BQ1214">
        <v>0</v>
      </c>
      <c r="BR1214">
        <v>0</v>
      </c>
      <c r="BS1214">
        <v>0</v>
      </c>
      <c r="BT1214">
        <v>5</v>
      </c>
      <c r="BU1214">
        <v>1.8</v>
      </c>
    </row>
    <row r="1215" spans="1:73" ht="14.25" x14ac:dyDescent="0.15">
      <c r="A1215" s="12">
        <v>20912</v>
      </c>
      <c r="B1215">
        <v>7</v>
      </c>
      <c r="C1215" s="1">
        <v>46</v>
      </c>
      <c r="D1215">
        <v>0</v>
      </c>
      <c r="E1215">
        <v>0</v>
      </c>
      <c r="F1215">
        <v>1</v>
      </c>
      <c r="G1215" s="7">
        <v>0.05</v>
      </c>
      <c r="H1215">
        <v>12</v>
      </c>
      <c r="I1215">
        <v>0</v>
      </c>
      <c r="J1215">
        <v>0</v>
      </c>
      <c r="K1215">
        <v>0</v>
      </c>
      <c r="L1215">
        <v>1</v>
      </c>
      <c r="M1215">
        <v>2</v>
      </c>
      <c r="N1215" s="7">
        <v>9</v>
      </c>
      <c r="O1215" s="7">
        <v>0</v>
      </c>
      <c r="P1215" s="7">
        <v>0</v>
      </c>
      <c r="Q1215" s="7">
        <v>0</v>
      </c>
      <c r="R1215" s="7">
        <v>1</v>
      </c>
      <c r="S1215" s="7">
        <v>4.5</v>
      </c>
      <c r="T1215">
        <v>7</v>
      </c>
      <c r="U1215" s="1">
        <v>34</v>
      </c>
      <c r="V1215">
        <v>0</v>
      </c>
      <c r="W1215">
        <v>0</v>
      </c>
      <c r="X1215">
        <v>1</v>
      </c>
      <c r="Y1215">
        <v>0.16</v>
      </c>
      <c r="Z1215">
        <v>23</v>
      </c>
      <c r="AA1215">
        <v>0</v>
      </c>
      <c r="AB1215">
        <v>0</v>
      </c>
      <c r="AC1215">
        <v>0</v>
      </c>
      <c r="AD1215">
        <v>1</v>
      </c>
      <c r="AE1215">
        <v>0.05</v>
      </c>
      <c r="AF1215">
        <v>15</v>
      </c>
      <c r="AG1215">
        <v>0</v>
      </c>
      <c r="AH1215">
        <v>0</v>
      </c>
      <c r="AI1215">
        <v>0</v>
      </c>
      <c r="AJ1215">
        <v>1</v>
      </c>
      <c r="AK1215">
        <v>0.02</v>
      </c>
      <c r="AL1215">
        <v>16</v>
      </c>
      <c r="AM1215">
        <v>0</v>
      </c>
      <c r="AN1215">
        <v>0</v>
      </c>
      <c r="AO1215">
        <v>0</v>
      </c>
      <c r="AP1215">
        <v>1</v>
      </c>
      <c r="AQ1215">
        <v>0.01</v>
      </c>
      <c r="AX1215">
        <v>7</v>
      </c>
      <c r="AY1215" s="1">
        <v>18</v>
      </c>
      <c r="AZ1215">
        <v>0</v>
      </c>
      <c r="BA1215">
        <v>0</v>
      </c>
      <c r="BB1215">
        <v>1</v>
      </c>
      <c r="BC1215" s="7">
        <v>0.32</v>
      </c>
      <c r="BD1215">
        <v>30</v>
      </c>
      <c r="BE1215">
        <v>0</v>
      </c>
      <c r="BF1215">
        <v>0</v>
      </c>
      <c r="BG1215">
        <v>0</v>
      </c>
      <c r="BH1215">
        <v>5</v>
      </c>
      <c r="BI1215">
        <v>2.4</v>
      </c>
      <c r="BJ1215">
        <v>31</v>
      </c>
      <c r="BK1215">
        <v>0</v>
      </c>
      <c r="BL1215">
        <v>0</v>
      </c>
      <c r="BM1215">
        <v>0</v>
      </c>
      <c r="BN1215">
        <v>5</v>
      </c>
      <c r="BO1215">
        <v>2.4</v>
      </c>
      <c r="BP1215">
        <v>36</v>
      </c>
      <c r="BQ1215">
        <v>0</v>
      </c>
      <c r="BR1215">
        <v>0</v>
      </c>
      <c r="BS1215">
        <v>0</v>
      </c>
      <c r="BT1215">
        <v>5</v>
      </c>
      <c r="BU1215">
        <v>1.8</v>
      </c>
    </row>
    <row r="1216" spans="1:73" ht="14.25" x14ac:dyDescent="0.15">
      <c r="A1216" s="12">
        <v>20913</v>
      </c>
      <c r="B1216">
        <v>7</v>
      </c>
      <c r="C1216" s="1">
        <v>47</v>
      </c>
      <c r="D1216">
        <v>0</v>
      </c>
      <c r="E1216">
        <v>0</v>
      </c>
      <c r="F1216">
        <v>1</v>
      </c>
      <c r="G1216" s="7">
        <v>0.05</v>
      </c>
      <c r="H1216">
        <v>12</v>
      </c>
      <c r="I1216">
        <v>0</v>
      </c>
      <c r="J1216">
        <v>0</v>
      </c>
      <c r="K1216">
        <v>0</v>
      </c>
      <c r="L1216">
        <v>1</v>
      </c>
      <c r="M1216">
        <v>2</v>
      </c>
      <c r="N1216" s="7">
        <v>9</v>
      </c>
      <c r="O1216" s="7">
        <v>0</v>
      </c>
      <c r="P1216" s="7">
        <v>0</v>
      </c>
      <c r="Q1216" s="7">
        <v>0</v>
      </c>
      <c r="R1216" s="7">
        <v>1</v>
      </c>
      <c r="S1216" s="7">
        <v>4.5</v>
      </c>
      <c r="T1216">
        <v>7</v>
      </c>
      <c r="U1216" s="1">
        <v>35</v>
      </c>
      <c r="V1216">
        <v>0</v>
      </c>
      <c r="W1216">
        <v>0</v>
      </c>
      <c r="X1216">
        <v>1</v>
      </c>
      <c r="Y1216">
        <v>0.16</v>
      </c>
      <c r="Z1216">
        <v>23</v>
      </c>
      <c r="AA1216">
        <v>0</v>
      </c>
      <c r="AB1216">
        <v>0</v>
      </c>
      <c r="AC1216">
        <v>0</v>
      </c>
      <c r="AD1216">
        <v>1</v>
      </c>
      <c r="AE1216">
        <v>0.05</v>
      </c>
      <c r="AF1216">
        <v>15</v>
      </c>
      <c r="AG1216">
        <v>0</v>
      </c>
      <c r="AH1216">
        <v>0</v>
      </c>
      <c r="AI1216">
        <v>0</v>
      </c>
      <c r="AJ1216">
        <v>1</v>
      </c>
      <c r="AK1216">
        <v>0.02</v>
      </c>
      <c r="AL1216">
        <v>16</v>
      </c>
      <c r="AM1216">
        <v>0</v>
      </c>
      <c r="AN1216">
        <v>0</v>
      </c>
      <c r="AO1216">
        <v>0</v>
      </c>
      <c r="AP1216">
        <v>1</v>
      </c>
      <c r="AQ1216">
        <v>0.01</v>
      </c>
      <c r="AX1216">
        <v>7</v>
      </c>
      <c r="AY1216" s="1">
        <v>19</v>
      </c>
      <c r="AZ1216">
        <v>0</v>
      </c>
      <c r="BA1216">
        <v>0</v>
      </c>
      <c r="BB1216">
        <v>1</v>
      </c>
      <c r="BC1216" s="7">
        <v>0.32</v>
      </c>
      <c r="BD1216">
        <v>30</v>
      </c>
      <c r="BE1216">
        <v>0</v>
      </c>
      <c r="BF1216">
        <v>0</v>
      </c>
      <c r="BG1216">
        <v>0</v>
      </c>
      <c r="BH1216">
        <v>5</v>
      </c>
      <c r="BI1216">
        <v>2.4</v>
      </c>
      <c r="BJ1216">
        <v>31</v>
      </c>
      <c r="BK1216">
        <v>0</v>
      </c>
      <c r="BL1216">
        <v>0</v>
      </c>
      <c r="BM1216">
        <v>0</v>
      </c>
      <c r="BN1216">
        <v>5</v>
      </c>
      <c r="BO1216">
        <v>2.4</v>
      </c>
      <c r="BP1216">
        <v>36</v>
      </c>
      <c r="BQ1216">
        <v>0</v>
      </c>
      <c r="BR1216">
        <v>0</v>
      </c>
      <c r="BS1216">
        <v>0</v>
      </c>
      <c r="BT1216">
        <v>5</v>
      </c>
      <c r="BU1216">
        <v>1.8</v>
      </c>
    </row>
    <row r="1217" spans="1:73" ht="14.25" x14ac:dyDescent="0.15">
      <c r="A1217" s="12">
        <v>20914</v>
      </c>
      <c r="B1217">
        <v>7</v>
      </c>
      <c r="C1217" s="1">
        <v>48</v>
      </c>
      <c r="D1217">
        <v>0</v>
      </c>
      <c r="E1217">
        <v>0</v>
      </c>
      <c r="F1217">
        <v>1</v>
      </c>
      <c r="G1217" s="7">
        <v>0.05</v>
      </c>
      <c r="H1217">
        <v>12</v>
      </c>
      <c r="I1217">
        <v>0</v>
      </c>
      <c r="J1217">
        <v>0</v>
      </c>
      <c r="K1217">
        <v>0</v>
      </c>
      <c r="L1217">
        <v>1</v>
      </c>
      <c r="M1217">
        <v>2</v>
      </c>
      <c r="N1217" s="7">
        <v>9</v>
      </c>
      <c r="O1217" s="7">
        <v>0</v>
      </c>
      <c r="P1217" s="7">
        <v>0</v>
      </c>
      <c r="Q1217" s="7">
        <v>0</v>
      </c>
      <c r="R1217" s="7">
        <v>1</v>
      </c>
      <c r="S1217" s="7">
        <v>4.5</v>
      </c>
      <c r="T1217">
        <v>7</v>
      </c>
      <c r="U1217" s="1">
        <v>36</v>
      </c>
      <c r="V1217">
        <v>0</v>
      </c>
      <c r="W1217">
        <v>0</v>
      </c>
      <c r="X1217">
        <v>1</v>
      </c>
      <c r="Y1217">
        <v>0.16</v>
      </c>
      <c r="Z1217">
        <v>23</v>
      </c>
      <c r="AA1217">
        <v>0</v>
      </c>
      <c r="AB1217">
        <v>0</v>
      </c>
      <c r="AC1217">
        <v>0</v>
      </c>
      <c r="AD1217">
        <v>1</v>
      </c>
      <c r="AE1217">
        <v>0.05</v>
      </c>
      <c r="AF1217">
        <v>15</v>
      </c>
      <c r="AG1217">
        <v>0</v>
      </c>
      <c r="AH1217">
        <v>0</v>
      </c>
      <c r="AI1217">
        <v>0</v>
      </c>
      <c r="AJ1217">
        <v>1</v>
      </c>
      <c r="AK1217">
        <v>0.02</v>
      </c>
      <c r="AL1217">
        <v>16</v>
      </c>
      <c r="AM1217">
        <v>0</v>
      </c>
      <c r="AN1217">
        <v>0</v>
      </c>
      <c r="AO1217">
        <v>0</v>
      </c>
      <c r="AP1217">
        <v>1</v>
      </c>
      <c r="AQ1217">
        <v>0.01</v>
      </c>
      <c r="AX1217">
        <v>7</v>
      </c>
      <c r="AY1217" s="1">
        <v>20</v>
      </c>
      <c r="AZ1217">
        <v>0</v>
      </c>
      <c r="BA1217">
        <v>0</v>
      </c>
      <c r="BB1217">
        <v>1</v>
      </c>
      <c r="BC1217" s="7">
        <v>0.32</v>
      </c>
      <c r="BD1217">
        <v>30</v>
      </c>
      <c r="BE1217">
        <v>0</v>
      </c>
      <c r="BF1217">
        <v>0</v>
      </c>
      <c r="BG1217">
        <v>0</v>
      </c>
      <c r="BH1217">
        <v>5</v>
      </c>
      <c r="BI1217">
        <v>2.4</v>
      </c>
      <c r="BJ1217">
        <v>31</v>
      </c>
      <c r="BK1217">
        <v>0</v>
      </c>
      <c r="BL1217">
        <v>0</v>
      </c>
      <c r="BM1217">
        <v>0</v>
      </c>
      <c r="BN1217">
        <v>5</v>
      </c>
      <c r="BO1217">
        <v>2.4</v>
      </c>
      <c r="BP1217">
        <v>36</v>
      </c>
      <c r="BQ1217">
        <v>0</v>
      </c>
      <c r="BR1217">
        <v>0</v>
      </c>
      <c r="BS1217">
        <v>0</v>
      </c>
      <c r="BT1217">
        <v>5</v>
      </c>
      <c r="BU1217">
        <v>1.8</v>
      </c>
    </row>
    <row r="1218" spans="1:73" ht="14.25" x14ac:dyDescent="0.15">
      <c r="A1218" s="12">
        <v>20915</v>
      </c>
      <c r="B1218">
        <v>7</v>
      </c>
      <c r="C1218" s="1">
        <v>0</v>
      </c>
      <c r="D1218">
        <v>5</v>
      </c>
      <c r="E1218">
        <v>1</v>
      </c>
      <c r="F1218">
        <v>1</v>
      </c>
      <c r="G1218" s="7">
        <v>0.05</v>
      </c>
      <c r="H1218">
        <v>12</v>
      </c>
      <c r="I1218">
        <v>0</v>
      </c>
      <c r="J1218">
        <v>0</v>
      </c>
      <c r="K1218">
        <v>0</v>
      </c>
      <c r="L1218">
        <v>1</v>
      </c>
      <c r="M1218">
        <v>2</v>
      </c>
      <c r="N1218" s="7">
        <v>9</v>
      </c>
      <c r="O1218" s="7">
        <v>0</v>
      </c>
      <c r="P1218" s="7">
        <v>0</v>
      </c>
      <c r="Q1218" s="7">
        <v>0</v>
      </c>
      <c r="R1218" s="7">
        <v>1</v>
      </c>
      <c r="S1218" s="7">
        <v>4.5</v>
      </c>
      <c r="T1218">
        <v>7</v>
      </c>
      <c r="U1218" s="1">
        <v>0</v>
      </c>
      <c r="V1218">
        <v>4</v>
      </c>
      <c r="W1218">
        <v>2</v>
      </c>
      <c r="X1218">
        <v>1</v>
      </c>
      <c r="Y1218">
        <v>0.16</v>
      </c>
      <c r="Z1218">
        <v>23</v>
      </c>
      <c r="AA1218">
        <v>0</v>
      </c>
      <c r="AB1218">
        <v>0</v>
      </c>
      <c r="AC1218">
        <v>0</v>
      </c>
      <c r="AD1218">
        <v>1</v>
      </c>
      <c r="AE1218">
        <v>0.05</v>
      </c>
      <c r="AF1218">
        <v>15</v>
      </c>
      <c r="AG1218">
        <v>0</v>
      </c>
      <c r="AH1218">
        <v>0</v>
      </c>
      <c r="AI1218">
        <v>0</v>
      </c>
      <c r="AJ1218">
        <v>1</v>
      </c>
      <c r="AK1218">
        <v>0.02</v>
      </c>
      <c r="AL1218">
        <v>16</v>
      </c>
      <c r="AM1218">
        <v>0</v>
      </c>
      <c r="AN1218">
        <v>0</v>
      </c>
      <c r="AO1218">
        <v>0</v>
      </c>
      <c r="AP1218">
        <v>1</v>
      </c>
      <c r="AQ1218">
        <v>0.01</v>
      </c>
      <c r="AR1218">
        <v>6</v>
      </c>
      <c r="AS1218">
        <v>2</v>
      </c>
      <c r="AT1218">
        <v>3</v>
      </c>
      <c r="AU1218">
        <v>5</v>
      </c>
      <c r="AV1218">
        <v>1</v>
      </c>
      <c r="AW1218">
        <v>0.05</v>
      </c>
      <c r="AX1218">
        <v>7</v>
      </c>
      <c r="AY1218" s="1">
        <v>0</v>
      </c>
      <c r="AZ1218">
        <v>3</v>
      </c>
      <c r="BA1218">
        <v>1</v>
      </c>
      <c r="BB1218">
        <v>1</v>
      </c>
      <c r="BC1218" s="7">
        <v>0.32</v>
      </c>
      <c r="BD1218">
        <v>30</v>
      </c>
      <c r="BE1218">
        <v>0</v>
      </c>
      <c r="BF1218">
        <v>0</v>
      </c>
      <c r="BG1218">
        <v>0</v>
      </c>
      <c r="BH1218">
        <v>5</v>
      </c>
      <c r="BI1218">
        <v>2.4</v>
      </c>
      <c r="BJ1218">
        <v>31</v>
      </c>
      <c r="BK1218">
        <v>0</v>
      </c>
      <c r="BL1218">
        <v>0</v>
      </c>
      <c r="BM1218">
        <v>0</v>
      </c>
      <c r="BN1218">
        <v>5</v>
      </c>
      <c r="BO1218">
        <v>2.4</v>
      </c>
      <c r="BP1218">
        <v>36</v>
      </c>
      <c r="BQ1218">
        <v>0</v>
      </c>
      <c r="BR1218">
        <v>0</v>
      </c>
      <c r="BS1218">
        <v>0</v>
      </c>
      <c r="BT1218">
        <v>5</v>
      </c>
      <c r="BU1218">
        <v>1.8</v>
      </c>
    </row>
    <row r="1219" spans="1:73" ht="14.25" x14ac:dyDescent="0.15">
      <c r="A1219" s="12">
        <v>20916</v>
      </c>
      <c r="B1219">
        <v>7</v>
      </c>
      <c r="C1219" s="1">
        <v>45</v>
      </c>
      <c r="D1219">
        <v>0</v>
      </c>
      <c r="E1219">
        <v>0</v>
      </c>
      <c r="F1219">
        <v>1</v>
      </c>
      <c r="G1219" s="7">
        <v>0.05</v>
      </c>
      <c r="H1219">
        <v>12</v>
      </c>
      <c r="I1219">
        <v>0</v>
      </c>
      <c r="J1219">
        <v>0</v>
      </c>
      <c r="K1219">
        <v>0</v>
      </c>
      <c r="L1219">
        <v>1</v>
      </c>
      <c r="M1219">
        <v>2</v>
      </c>
      <c r="N1219" s="7">
        <v>9</v>
      </c>
      <c r="O1219" s="7">
        <v>0</v>
      </c>
      <c r="P1219" s="7">
        <v>0</v>
      </c>
      <c r="Q1219" s="7">
        <v>0</v>
      </c>
      <c r="R1219" s="7">
        <v>1</v>
      </c>
      <c r="S1219" s="7">
        <v>4.5</v>
      </c>
      <c r="T1219">
        <v>7</v>
      </c>
      <c r="U1219" s="1">
        <v>33</v>
      </c>
      <c r="V1219">
        <v>0</v>
      </c>
      <c r="W1219">
        <v>0</v>
      </c>
      <c r="X1219">
        <v>1</v>
      </c>
      <c r="Y1219">
        <v>0.16</v>
      </c>
      <c r="Z1219">
        <v>23</v>
      </c>
      <c r="AA1219">
        <v>0</v>
      </c>
      <c r="AB1219">
        <v>0</v>
      </c>
      <c r="AC1219">
        <v>0</v>
      </c>
      <c r="AD1219">
        <v>1</v>
      </c>
      <c r="AE1219">
        <v>0.05</v>
      </c>
      <c r="AF1219">
        <v>15</v>
      </c>
      <c r="AG1219">
        <v>0</v>
      </c>
      <c r="AH1219">
        <v>0</v>
      </c>
      <c r="AI1219">
        <v>0</v>
      </c>
      <c r="AJ1219">
        <v>1</v>
      </c>
      <c r="AK1219">
        <v>0.02</v>
      </c>
      <c r="AL1219">
        <v>16</v>
      </c>
      <c r="AM1219">
        <v>0</v>
      </c>
      <c r="AN1219">
        <v>0</v>
      </c>
      <c r="AO1219">
        <v>0</v>
      </c>
      <c r="AP1219">
        <v>1</v>
      </c>
      <c r="AQ1219">
        <v>0.01</v>
      </c>
      <c r="AX1219">
        <v>7</v>
      </c>
      <c r="AY1219" s="1">
        <v>17</v>
      </c>
      <c r="AZ1219">
        <v>0</v>
      </c>
      <c r="BA1219">
        <v>0</v>
      </c>
      <c r="BB1219">
        <v>1</v>
      </c>
      <c r="BC1219" s="7">
        <v>0.32</v>
      </c>
      <c r="BD1219">
        <v>30</v>
      </c>
      <c r="BE1219">
        <v>0</v>
      </c>
      <c r="BF1219">
        <v>0</v>
      </c>
      <c r="BG1219">
        <v>0</v>
      </c>
      <c r="BH1219">
        <v>5</v>
      </c>
      <c r="BI1219">
        <v>2.4</v>
      </c>
      <c r="BJ1219">
        <v>31</v>
      </c>
      <c r="BK1219">
        <v>0</v>
      </c>
      <c r="BL1219">
        <v>0</v>
      </c>
      <c r="BM1219">
        <v>0</v>
      </c>
      <c r="BN1219">
        <v>5</v>
      </c>
      <c r="BO1219">
        <v>2.4</v>
      </c>
      <c r="BP1219">
        <v>36</v>
      </c>
      <c r="BQ1219">
        <v>0</v>
      </c>
      <c r="BR1219">
        <v>0</v>
      </c>
      <c r="BS1219">
        <v>0</v>
      </c>
      <c r="BT1219">
        <v>5</v>
      </c>
      <c r="BU1219">
        <v>1.8</v>
      </c>
    </row>
    <row r="1220" spans="1:73" ht="14.25" x14ac:dyDescent="0.15">
      <c r="A1220" s="12">
        <v>20917</v>
      </c>
      <c r="B1220">
        <v>7</v>
      </c>
      <c r="C1220" s="1">
        <v>46</v>
      </c>
      <c r="D1220">
        <v>0</v>
      </c>
      <c r="E1220">
        <v>0</v>
      </c>
      <c r="F1220">
        <v>1</v>
      </c>
      <c r="G1220" s="7">
        <v>0.05</v>
      </c>
      <c r="H1220">
        <v>12</v>
      </c>
      <c r="I1220">
        <v>0</v>
      </c>
      <c r="J1220">
        <v>0</v>
      </c>
      <c r="K1220">
        <v>0</v>
      </c>
      <c r="L1220">
        <v>1</v>
      </c>
      <c r="M1220">
        <v>2</v>
      </c>
      <c r="N1220" s="7">
        <v>9</v>
      </c>
      <c r="O1220" s="7">
        <v>0</v>
      </c>
      <c r="P1220" s="7">
        <v>0</v>
      </c>
      <c r="Q1220" s="7">
        <v>0</v>
      </c>
      <c r="R1220" s="7">
        <v>1</v>
      </c>
      <c r="S1220" s="7">
        <v>4.5</v>
      </c>
      <c r="T1220">
        <v>7</v>
      </c>
      <c r="U1220" s="1">
        <v>34</v>
      </c>
      <c r="V1220">
        <v>0</v>
      </c>
      <c r="W1220">
        <v>0</v>
      </c>
      <c r="X1220">
        <v>1</v>
      </c>
      <c r="Y1220">
        <v>0.16</v>
      </c>
      <c r="Z1220">
        <v>23</v>
      </c>
      <c r="AA1220">
        <v>0</v>
      </c>
      <c r="AB1220">
        <v>0</v>
      </c>
      <c r="AC1220">
        <v>0</v>
      </c>
      <c r="AD1220">
        <v>1</v>
      </c>
      <c r="AE1220">
        <v>0.05</v>
      </c>
      <c r="AF1220">
        <v>15</v>
      </c>
      <c r="AG1220">
        <v>0</v>
      </c>
      <c r="AH1220">
        <v>0</v>
      </c>
      <c r="AI1220">
        <v>0</v>
      </c>
      <c r="AJ1220">
        <v>1</v>
      </c>
      <c r="AK1220">
        <v>0.02</v>
      </c>
      <c r="AL1220">
        <v>16</v>
      </c>
      <c r="AM1220">
        <v>0</v>
      </c>
      <c r="AN1220">
        <v>0</v>
      </c>
      <c r="AO1220">
        <v>0</v>
      </c>
      <c r="AP1220">
        <v>1</v>
      </c>
      <c r="AQ1220">
        <v>0.01</v>
      </c>
      <c r="AX1220">
        <v>7</v>
      </c>
      <c r="AY1220" s="1">
        <v>18</v>
      </c>
      <c r="AZ1220">
        <v>0</v>
      </c>
      <c r="BA1220">
        <v>0</v>
      </c>
      <c r="BB1220">
        <v>1</v>
      </c>
      <c r="BC1220" s="7">
        <v>0.32</v>
      </c>
      <c r="BD1220">
        <v>30</v>
      </c>
      <c r="BE1220">
        <v>0</v>
      </c>
      <c r="BF1220">
        <v>0</v>
      </c>
      <c r="BG1220">
        <v>0</v>
      </c>
      <c r="BH1220">
        <v>5</v>
      </c>
      <c r="BI1220">
        <v>2.4</v>
      </c>
      <c r="BJ1220">
        <v>31</v>
      </c>
      <c r="BK1220">
        <v>0</v>
      </c>
      <c r="BL1220">
        <v>0</v>
      </c>
      <c r="BM1220">
        <v>0</v>
      </c>
      <c r="BN1220">
        <v>5</v>
      </c>
      <c r="BO1220">
        <v>2.4</v>
      </c>
      <c r="BP1220">
        <v>36</v>
      </c>
      <c r="BQ1220">
        <v>0</v>
      </c>
      <c r="BR1220">
        <v>0</v>
      </c>
      <c r="BS1220">
        <v>0</v>
      </c>
      <c r="BT1220">
        <v>5</v>
      </c>
      <c r="BU1220">
        <v>1.8</v>
      </c>
    </row>
    <row r="1221" spans="1:73" ht="14.25" x14ac:dyDescent="0.15">
      <c r="A1221" s="12">
        <v>20918</v>
      </c>
      <c r="B1221">
        <v>7</v>
      </c>
      <c r="C1221" s="1">
        <v>47</v>
      </c>
      <c r="D1221">
        <v>0</v>
      </c>
      <c r="E1221">
        <v>0</v>
      </c>
      <c r="F1221">
        <v>1</v>
      </c>
      <c r="G1221" s="7">
        <v>0.05</v>
      </c>
      <c r="H1221">
        <v>12</v>
      </c>
      <c r="I1221">
        <v>0</v>
      </c>
      <c r="J1221">
        <v>0</v>
      </c>
      <c r="K1221">
        <v>0</v>
      </c>
      <c r="L1221">
        <v>1</v>
      </c>
      <c r="M1221">
        <v>2</v>
      </c>
      <c r="N1221" s="7">
        <v>9</v>
      </c>
      <c r="O1221" s="7">
        <v>0</v>
      </c>
      <c r="P1221" s="7">
        <v>0</v>
      </c>
      <c r="Q1221" s="7">
        <v>0</v>
      </c>
      <c r="R1221" s="7">
        <v>1</v>
      </c>
      <c r="S1221" s="7">
        <v>4.5</v>
      </c>
      <c r="T1221">
        <v>7</v>
      </c>
      <c r="U1221" s="1">
        <v>35</v>
      </c>
      <c r="V1221">
        <v>0</v>
      </c>
      <c r="W1221">
        <v>0</v>
      </c>
      <c r="X1221">
        <v>1</v>
      </c>
      <c r="Y1221">
        <v>0.16</v>
      </c>
      <c r="Z1221">
        <v>23</v>
      </c>
      <c r="AA1221">
        <v>0</v>
      </c>
      <c r="AB1221">
        <v>0</v>
      </c>
      <c r="AC1221">
        <v>0</v>
      </c>
      <c r="AD1221">
        <v>1</v>
      </c>
      <c r="AE1221">
        <v>0.05</v>
      </c>
      <c r="AF1221">
        <v>15</v>
      </c>
      <c r="AG1221">
        <v>0</v>
      </c>
      <c r="AH1221">
        <v>0</v>
      </c>
      <c r="AI1221">
        <v>0</v>
      </c>
      <c r="AJ1221">
        <v>1</v>
      </c>
      <c r="AK1221">
        <v>0.02</v>
      </c>
      <c r="AL1221">
        <v>16</v>
      </c>
      <c r="AM1221">
        <v>0</v>
      </c>
      <c r="AN1221">
        <v>0</v>
      </c>
      <c r="AO1221">
        <v>0</v>
      </c>
      <c r="AP1221">
        <v>1</v>
      </c>
      <c r="AQ1221">
        <v>0.01</v>
      </c>
      <c r="AX1221">
        <v>7</v>
      </c>
      <c r="AY1221" s="1">
        <v>19</v>
      </c>
      <c r="AZ1221">
        <v>0</v>
      </c>
      <c r="BA1221">
        <v>0</v>
      </c>
      <c r="BB1221">
        <v>1</v>
      </c>
      <c r="BC1221" s="7">
        <v>0.32</v>
      </c>
      <c r="BD1221">
        <v>30</v>
      </c>
      <c r="BE1221">
        <v>0</v>
      </c>
      <c r="BF1221">
        <v>0</v>
      </c>
      <c r="BG1221">
        <v>0</v>
      </c>
      <c r="BH1221">
        <v>5</v>
      </c>
      <c r="BI1221">
        <v>2.4</v>
      </c>
      <c r="BJ1221">
        <v>31</v>
      </c>
      <c r="BK1221">
        <v>0</v>
      </c>
      <c r="BL1221">
        <v>0</v>
      </c>
      <c r="BM1221">
        <v>0</v>
      </c>
      <c r="BN1221">
        <v>5</v>
      </c>
      <c r="BO1221">
        <v>2.4</v>
      </c>
      <c r="BP1221">
        <v>36</v>
      </c>
      <c r="BQ1221">
        <v>0</v>
      </c>
      <c r="BR1221">
        <v>0</v>
      </c>
      <c r="BS1221">
        <v>0</v>
      </c>
      <c r="BT1221">
        <v>5</v>
      </c>
      <c r="BU1221">
        <v>1.8</v>
      </c>
    </row>
    <row r="1222" spans="1:73" ht="14.25" x14ac:dyDescent="0.15">
      <c r="A1222" s="12">
        <v>20919</v>
      </c>
      <c r="B1222">
        <v>7</v>
      </c>
      <c r="C1222" s="1">
        <v>48</v>
      </c>
      <c r="D1222">
        <v>0</v>
      </c>
      <c r="E1222">
        <v>0</v>
      </c>
      <c r="F1222">
        <v>1</v>
      </c>
      <c r="G1222" s="7">
        <v>0.05</v>
      </c>
      <c r="H1222">
        <v>12</v>
      </c>
      <c r="I1222">
        <v>0</v>
      </c>
      <c r="J1222">
        <v>0</v>
      </c>
      <c r="K1222">
        <v>0</v>
      </c>
      <c r="L1222">
        <v>1</v>
      </c>
      <c r="M1222">
        <v>2</v>
      </c>
      <c r="N1222" s="7">
        <v>9</v>
      </c>
      <c r="O1222" s="7">
        <v>0</v>
      </c>
      <c r="P1222" s="7">
        <v>0</v>
      </c>
      <c r="Q1222" s="7">
        <v>0</v>
      </c>
      <c r="R1222" s="7">
        <v>1</v>
      </c>
      <c r="S1222" s="7">
        <v>4.5</v>
      </c>
      <c r="T1222">
        <v>7</v>
      </c>
      <c r="U1222" s="1">
        <v>36</v>
      </c>
      <c r="V1222">
        <v>0</v>
      </c>
      <c r="W1222">
        <v>0</v>
      </c>
      <c r="X1222">
        <v>1</v>
      </c>
      <c r="Y1222">
        <v>0.16</v>
      </c>
      <c r="Z1222">
        <v>23</v>
      </c>
      <c r="AA1222">
        <v>0</v>
      </c>
      <c r="AB1222">
        <v>0</v>
      </c>
      <c r="AC1222">
        <v>0</v>
      </c>
      <c r="AD1222">
        <v>1</v>
      </c>
      <c r="AE1222">
        <v>0.05</v>
      </c>
      <c r="AF1222">
        <v>15</v>
      </c>
      <c r="AG1222">
        <v>0</v>
      </c>
      <c r="AH1222">
        <v>0</v>
      </c>
      <c r="AI1222">
        <v>0</v>
      </c>
      <c r="AJ1222">
        <v>1</v>
      </c>
      <c r="AK1222">
        <v>0.02</v>
      </c>
      <c r="AL1222">
        <v>16</v>
      </c>
      <c r="AM1222">
        <v>0</v>
      </c>
      <c r="AN1222">
        <v>0</v>
      </c>
      <c r="AO1222">
        <v>0</v>
      </c>
      <c r="AP1222">
        <v>1</v>
      </c>
      <c r="AQ1222">
        <v>0.01</v>
      </c>
      <c r="AX1222">
        <v>7</v>
      </c>
      <c r="AY1222" s="1">
        <v>20</v>
      </c>
      <c r="AZ1222">
        <v>0</v>
      </c>
      <c r="BA1222">
        <v>0</v>
      </c>
      <c r="BB1222">
        <v>1</v>
      </c>
      <c r="BC1222" s="7">
        <v>0.32</v>
      </c>
      <c r="BD1222">
        <v>30</v>
      </c>
      <c r="BE1222">
        <v>0</v>
      </c>
      <c r="BF1222">
        <v>0</v>
      </c>
      <c r="BG1222">
        <v>0</v>
      </c>
      <c r="BH1222">
        <v>5</v>
      </c>
      <c r="BI1222">
        <v>2.4</v>
      </c>
      <c r="BJ1222">
        <v>31</v>
      </c>
      <c r="BK1222">
        <v>0</v>
      </c>
      <c r="BL1222">
        <v>0</v>
      </c>
      <c r="BM1222">
        <v>0</v>
      </c>
      <c r="BN1222">
        <v>5</v>
      </c>
      <c r="BO1222">
        <v>2.4</v>
      </c>
      <c r="BP1222">
        <v>36</v>
      </c>
      <c r="BQ1222">
        <v>0</v>
      </c>
      <c r="BR1222">
        <v>0</v>
      </c>
      <c r="BS1222">
        <v>0</v>
      </c>
      <c r="BT1222">
        <v>5</v>
      </c>
      <c r="BU1222">
        <v>1.8</v>
      </c>
    </row>
    <row r="1223" spans="1:73" ht="14.25" x14ac:dyDescent="0.15">
      <c r="A1223" s="12">
        <v>20920</v>
      </c>
      <c r="B1223">
        <v>7</v>
      </c>
      <c r="C1223" s="1">
        <v>0</v>
      </c>
      <c r="D1223">
        <v>5</v>
      </c>
      <c r="E1223">
        <v>1</v>
      </c>
      <c r="F1223">
        <v>1</v>
      </c>
      <c r="G1223" s="7">
        <v>0.05</v>
      </c>
      <c r="H1223">
        <v>12</v>
      </c>
      <c r="I1223">
        <v>0</v>
      </c>
      <c r="J1223">
        <v>0</v>
      </c>
      <c r="K1223">
        <v>0</v>
      </c>
      <c r="L1223">
        <v>1</v>
      </c>
      <c r="M1223">
        <v>2</v>
      </c>
      <c r="N1223" s="7">
        <v>9</v>
      </c>
      <c r="O1223" s="7">
        <v>0</v>
      </c>
      <c r="P1223" s="7">
        <v>0</v>
      </c>
      <c r="Q1223" s="7">
        <v>0</v>
      </c>
      <c r="R1223" s="7">
        <v>1</v>
      </c>
      <c r="S1223" s="7">
        <v>4.5</v>
      </c>
      <c r="T1223">
        <v>7</v>
      </c>
      <c r="U1223" s="1">
        <v>0</v>
      </c>
      <c r="V1223">
        <v>4</v>
      </c>
      <c r="W1223">
        <v>2</v>
      </c>
      <c r="X1223">
        <v>1</v>
      </c>
      <c r="Y1223">
        <v>0.16</v>
      </c>
      <c r="Z1223">
        <v>23</v>
      </c>
      <c r="AA1223">
        <v>0</v>
      </c>
      <c r="AB1223">
        <v>0</v>
      </c>
      <c r="AC1223">
        <v>0</v>
      </c>
      <c r="AD1223">
        <v>1</v>
      </c>
      <c r="AE1223">
        <v>0.05</v>
      </c>
      <c r="AF1223">
        <v>15</v>
      </c>
      <c r="AG1223">
        <v>0</v>
      </c>
      <c r="AH1223">
        <v>0</v>
      </c>
      <c r="AI1223">
        <v>0</v>
      </c>
      <c r="AJ1223">
        <v>1</v>
      </c>
      <c r="AK1223">
        <v>0.02</v>
      </c>
      <c r="AL1223">
        <v>16</v>
      </c>
      <c r="AM1223">
        <v>0</v>
      </c>
      <c r="AN1223">
        <v>0</v>
      </c>
      <c r="AO1223">
        <v>0</v>
      </c>
      <c r="AP1223">
        <v>1</v>
      </c>
      <c r="AQ1223">
        <v>0.01</v>
      </c>
      <c r="AR1223">
        <v>6</v>
      </c>
      <c r="AS1223">
        <v>2</v>
      </c>
      <c r="AT1223">
        <v>4</v>
      </c>
      <c r="AU1223">
        <v>5</v>
      </c>
      <c r="AV1223">
        <v>1</v>
      </c>
      <c r="AW1223">
        <v>0.01</v>
      </c>
      <c r="AX1223">
        <v>7</v>
      </c>
      <c r="AY1223" s="1">
        <v>0</v>
      </c>
      <c r="AZ1223">
        <v>3</v>
      </c>
      <c r="BA1223">
        <v>1</v>
      </c>
      <c r="BB1223">
        <v>1</v>
      </c>
      <c r="BC1223" s="7">
        <v>0.32</v>
      </c>
      <c r="BD1223">
        <v>30</v>
      </c>
      <c r="BE1223">
        <v>0</v>
      </c>
      <c r="BF1223">
        <v>0</v>
      </c>
      <c r="BG1223">
        <v>0</v>
      </c>
      <c r="BH1223">
        <v>5</v>
      </c>
      <c r="BI1223">
        <v>2.4</v>
      </c>
      <c r="BJ1223">
        <v>31</v>
      </c>
      <c r="BK1223">
        <v>0</v>
      </c>
      <c r="BL1223">
        <v>0</v>
      </c>
      <c r="BM1223">
        <v>0</v>
      </c>
      <c r="BN1223">
        <v>5</v>
      </c>
      <c r="BO1223">
        <v>2.4</v>
      </c>
      <c r="BP1223">
        <v>36</v>
      </c>
      <c r="BQ1223">
        <v>0</v>
      </c>
      <c r="BR1223">
        <v>0</v>
      </c>
      <c r="BS1223">
        <v>0</v>
      </c>
      <c r="BT1223">
        <v>5</v>
      </c>
      <c r="BU1223">
        <v>1.8</v>
      </c>
    </row>
    <row r="1224" spans="1:73" ht="14.25" x14ac:dyDescent="0.15">
      <c r="A1224" s="12">
        <v>20921</v>
      </c>
      <c r="B1224">
        <v>7</v>
      </c>
      <c r="C1224" s="1">
        <v>45</v>
      </c>
      <c r="D1224">
        <v>0</v>
      </c>
      <c r="E1224">
        <v>0</v>
      </c>
      <c r="F1224">
        <v>1</v>
      </c>
      <c r="G1224" s="7">
        <v>0.05</v>
      </c>
      <c r="H1224">
        <v>12</v>
      </c>
      <c r="I1224">
        <v>0</v>
      </c>
      <c r="J1224">
        <v>0</v>
      </c>
      <c r="K1224">
        <v>0</v>
      </c>
      <c r="L1224">
        <v>1</v>
      </c>
      <c r="M1224">
        <v>2</v>
      </c>
      <c r="N1224" s="7">
        <v>9</v>
      </c>
      <c r="O1224" s="7">
        <v>0</v>
      </c>
      <c r="P1224" s="7">
        <v>0</v>
      </c>
      <c r="Q1224" s="7">
        <v>0</v>
      </c>
      <c r="R1224" s="7">
        <v>1</v>
      </c>
      <c r="S1224" s="7">
        <v>4.5</v>
      </c>
      <c r="T1224">
        <v>7</v>
      </c>
      <c r="U1224" s="1">
        <v>33</v>
      </c>
      <c r="V1224">
        <v>0</v>
      </c>
      <c r="W1224">
        <v>0</v>
      </c>
      <c r="X1224">
        <v>1</v>
      </c>
      <c r="Y1224">
        <v>0.16</v>
      </c>
      <c r="Z1224">
        <v>23</v>
      </c>
      <c r="AA1224">
        <v>0</v>
      </c>
      <c r="AB1224">
        <v>0</v>
      </c>
      <c r="AC1224">
        <v>0</v>
      </c>
      <c r="AD1224">
        <v>1</v>
      </c>
      <c r="AE1224">
        <v>0.05</v>
      </c>
      <c r="AF1224">
        <v>15</v>
      </c>
      <c r="AG1224">
        <v>0</v>
      </c>
      <c r="AH1224">
        <v>0</v>
      </c>
      <c r="AI1224">
        <v>0</v>
      </c>
      <c r="AJ1224">
        <v>1</v>
      </c>
      <c r="AK1224">
        <v>0.02</v>
      </c>
      <c r="AL1224">
        <v>16</v>
      </c>
      <c r="AM1224">
        <v>0</v>
      </c>
      <c r="AN1224">
        <v>0</v>
      </c>
      <c r="AO1224">
        <v>0</v>
      </c>
      <c r="AP1224">
        <v>1</v>
      </c>
      <c r="AQ1224">
        <v>0.01</v>
      </c>
      <c r="AX1224">
        <v>7</v>
      </c>
      <c r="AY1224" s="1">
        <v>17</v>
      </c>
      <c r="AZ1224">
        <v>0</v>
      </c>
      <c r="BA1224">
        <v>0</v>
      </c>
      <c r="BB1224">
        <v>1</v>
      </c>
      <c r="BC1224" s="7">
        <v>0.32</v>
      </c>
      <c r="BD1224">
        <v>30</v>
      </c>
      <c r="BE1224">
        <v>0</v>
      </c>
      <c r="BF1224">
        <v>0</v>
      </c>
      <c r="BG1224">
        <v>0</v>
      </c>
      <c r="BH1224">
        <v>5</v>
      </c>
      <c r="BI1224">
        <v>2.4</v>
      </c>
      <c r="BJ1224">
        <v>31</v>
      </c>
      <c r="BK1224">
        <v>0</v>
      </c>
      <c r="BL1224">
        <v>0</v>
      </c>
      <c r="BM1224">
        <v>0</v>
      </c>
      <c r="BN1224">
        <v>5</v>
      </c>
      <c r="BO1224">
        <v>2.4</v>
      </c>
      <c r="BP1224">
        <v>36</v>
      </c>
      <c r="BQ1224">
        <v>0</v>
      </c>
      <c r="BR1224">
        <v>0</v>
      </c>
      <c r="BS1224">
        <v>0</v>
      </c>
      <c r="BT1224">
        <v>5</v>
      </c>
      <c r="BU1224">
        <v>1.8</v>
      </c>
    </row>
    <row r="1225" spans="1:73" ht="14.25" x14ac:dyDescent="0.15">
      <c r="A1225" s="12">
        <v>20922</v>
      </c>
      <c r="B1225">
        <v>7</v>
      </c>
      <c r="C1225" s="1">
        <v>46</v>
      </c>
      <c r="D1225">
        <v>0</v>
      </c>
      <c r="E1225">
        <v>0</v>
      </c>
      <c r="F1225">
        <v>1</v>
      </c>
      <c r="G1225" s="7">
        <v>0.05</v>
      </c>
      <c r="H1225">
        <v>12</v>
      </c>
      <c r="I1225">
        <v>0</v>
      </c>
      <c r="J1225">
        <v>0</v>
      </c>
      <c r="K1225">
        <v>0</v>
      </c>
      <c r="L1225">
        <v>1</v>
      </c>
      <c r="M1225">
        <v>2</v>
      </c>
      <c r="N1225" s="7">
        <v>9</v>
      </c>
      <c r="O1225" s="7">
        <v>0</v>
      </c>
      <c r="P1225" s="7">
        <v>0</v>
      </c>
      <c r="Q1225" s="7">
        <v>0</v>
      </c>
      <c r="R1225" s="7">
        <v>1</v>
      </c>
      <c r="S1225" s="7">
        <v>4.5</v>
      </c>
      <c r="T1225">
        <v>7</v>
      </c>
      <c r="U1225" s="1">
        <v>34</v>
      </c>
      <c r="V1225">
        <v>0</v>
      </c>
      <c r="W1225">
        <v>0</v>
      </c>
      <c r="X1225">
        <v>1</v>
      </c>
      <c r="Y1225">
        <v>0.16</v>
      </c>
      <c r="Z1225">
        <v>23</v>
      </c>
      <c r="AA1225">
        <v>0</v>
      </c>
      <c r="AB1225">
        <v>0</v>
      </c>
      <c r="AC1225">
        <v>0</v>
      </c>
      <c r="AD1225">
        <v>1</v>
      </c>
      <c r="AE1225">
        <v>0.05</v>
      </c>
      <c r="AF1225">
        <v>15</v>
      </c>
      <c r="AG1225">
        <v>0</v>
      </c>
      <c r="AH1225">
        <v>0</v>
      </c>
      <c r="AI1225">
        <v>0</v>
      </c>
      <c r="AJ1225">
        <v>1</v>
      </c>
      <c r="AK1225">
        <v>0.02</v>
      </c>
      <c r="AL1225">
        <v>16</v>
      </c>
      <c r="AM1225">
        <v>0</v>
      </c>
      <c r="AN1225">
        <v>0</v>
      </c>
      <c r="AO1225">
        <v>0</v>
      </c>
      <c r="AP1225">
        <v>1</v>
      </c>
      <c r="AQ1225">
        <v>0.01</v>
      </c>
      <c r="AX1225">
        <v>7</v>
      </c>
      <c r="AY1225" s="1">
        <v>18</v>
      </c>
      <c r="AZ1225">
        <v>0</v>
      </c>
      <c r="BA1225">
        <v>0</v>
      </c>
      <c r="BB1225">
        <v>1</v>
      </c>
      <c r="BC1225" s="7">
        <v>0.32</v>
      </c>
      <c r="BD1225">
        <v>30</v>
      </c>
      <c r="BE1225">
        <v>0</v>
      </c>
      <c r="BF1225">
        <v>0</v>
      </c>
      <c r="BG1225">
        <v>0</v>
      </c>
      <c r="BH1225">
        <v>5</v>
      </c>
      <c r="BI1225">
        <v>2.4</v>
      </c>
      <c r="BJ1225">
        <v>31</v>
      </c>
      <c r="BK1225">
        <v>0</v>
      </c>
      <c r="BL1225">
        <v>0</v>
      </c>
      <c r="BM1225">
        <v>0</v>
      </c>
      <c r="BN1225">
        <v>5</v>
      </c>
      <c r="BO1225">
        <v>2.4</v>
      </c>
      <c r="BP1225">
        <v>36</v>
      </c>
      <c r="BQ1225">
        <v>0</v>
      </c>
      <c r="BR1225">
        <v>0</v>
      </c>
      <c r="BS1225">
        <v>0</v>
      </c>
      <c r="BT1225">
        <v>5</v>
      </c>
      <c r="BU1225">
        <v>1.8</v>
      </c>
    </row>
    <row r="1226" spans="1:73" ht="14.25" x14ac:dyDescent="0.15">
      <c r="A1226" s="12">
        <v>20923</v>
      </c>
      <c r="B1226">
        <v>7</v>
      </c>
      <c r="C1226" s="1">
        <v>47</v>
      </c>
      <c r="D1226">
        <v>0</v>
      </c>
      <c r="E1226">
        <v>0</v>
      </c>
      <c r="F1226">
        <v>1</v>
      </c>
      <c r="G1226" s="7">
        <v>0.05</v>
      </c>
      <c r="H1226">
        <v>12</v>
      </c>
      <c r="I1226">
        <v>0</v>
      </c>
      <c r="J1226">
        <v>0</v>
      </c>
      <c r="K1226">
        <v>0</v>
      </c>
      <c r="L1226">
        <v>1</v>
      </c>
      <c r="M1226">
        <v>2</v>
      </c>
      <c r="N1226" s="7">
        <v>9</v>
      </c>
      <c r="O1226" s="7">
        <v>0</v>
      </c>
      <c r="P1226" s="7">
        <v>0</v>
      </c>
      <c r="Q1226" s="7">
        <v>0</v>
      </c>
      <c r="R1226" s="7">
        <v>1</v>
      </c>
      <c r="S1226" s="7">
        <v>4.5</v>
      </c>
      <c r="T1226">
        <v>7</v>
      </c>
      <c r="U1226" s="1">
        <v>35</v>
      </c>
      <c r="V1226">
        <v>0</v>
      </c>
      <c r="W1226">
        <v>0</v>
      </c>
      <c r="X1226">
        <v>1</v>
      </c>
      <c r="Y1226">
        <v>0.16</v>
      </c>
      <c r="Z1226">
        <v>23</v>
      </c>
      <c r="AA1226">
        <v>0</v>
      </c>
      <c r="AB1226">
        <v>0</v>
      </c>
      <c r="AC1226">
        <v>0</v>
      </c>
      <c r="AD1226">
        <v>1</v>
      </c>
      <c r="AE1226">
        <v>0.05</v>
      </c>
      <c r="AF1226">
        <v>15</v>
      </c>
      <c r="AG1226">
        <v>0</v>
      </c>
      <c r="AH1226">
        <v>0</v>
      </c>
      <c r="AI1226">
        <v>0</v>
      </c>
      <c r="AJ1226">
        <v>1</v>
      </c>
      <c r="AK1226">
        <v>0.02</v>
      </c>
      <c r="AL1226">
        <v>16</v>
      </c>
      <c r="AM1226">
        <v>0</v>
      </c>
      <c r="AN1226">
        <v>0</v>
      </c>
      <c r="AO1226">
        <v>0</v>
      </c>
      <c r="AP1226">
        <v>1</v>
      </c>
      <c r="AQ1226">
        <v>0.01</v>
      </c>
      <c r="AX1226">
        <v>7</v>
      </c>
      <c r="AY1226" s="1">
        <v>19</v>
      </c>
      <c r="AZ1226">
        <v>0</v>
      </c>
      <c r="BA1226">
        <v>0</v>
      </c>
      <c r="BB1226">
        <v>1</v>
      </c>
      <c r="BC1226" s="7">
        <v>0.32</v>
      </c>
      <c r="BD1226">
        <v>30</v>
      </c>
      <c r="BE1226">
        <v>0</v>
      </c>
      <c r="BF1226">
        <v>0</v>
      </c>
      <c r="BG1226">
        <v>0</v>
      </c>
      <c r="BH1226">
        <v>5</v>
      </c>
      <c r="BI1226">
        <v>2.4</v>
      </c>
      <c r="BJ1226">
        <v>31</v>
      </c>
      <c r="BK1226">
        <v>0</v>
      </c>
      <c r="BL1226">
        <v>0</v>
      </c>
      <c r="BM1226">
        <v>0</v>
      </c>
      <c r="BN1226">
        <v>5</v>
      </c>
      <c r="BO1226">
        <v>2.4</v>
      </c>
      <c r="BP1226">
        <v>36</v>
      </c>
      <c r="BQ1226">
        <v>0</v>
      </c>
      <c r="BR1226">
        <v>0</v>
      </c>
      <c r="BS1226">
        <v>0</v>
      </c>
      <c r="BT1226">
        <v>5</v>
      </c>
      <c r="BU1226">
        <v>1.8</v>
      </c>
    </row>
    <row r="1227" spans="1:73" ht="14.25" x14ac:dyDescent="0.15">
      <c r="A1227" s="12">
        <v>20924</v>
      </c>
      <c r="B1227">
        <v>7</v>
      </c>
      <c r="C1227" s="1">
        <v>48</v>
      </c>
      <c r="D1227">
        <v>0</v>
      </c>
      <c r="E1227">
        <v>0</v>
      </c>
      <c r="F1227">
        <v>1</v>
      </c>
      <c r="G1227" s="7">
        <v>0.05</v>
      </c>
      <c r="H1227">
        <v>12</v>
      </c>
      <c r="I1227">
        <v>0</v>
      </c>
      <c r="J1227">
        <v>0</v>
      </c>
      <c r="K1227">
        <v>0</v>
      </c>
      <c r="L1227">
        <v>1</v>
      </c>
      <c r="M1227">
        <v>2</v>
      </c>
      <c r="N1227" s="7">
        <v>9</v>
      </c>
      <c r="O1227" s="7">
        <v>0</v>
      </c>
      <c r="P1227" s="7">
        <v>0</v>
      </c>
      <c r="Q1227" s="7">
        <v>0</v>
      </c>
      <c r="R1227" s="7">
        <v>1</v>
      </c>
      <c r="S1227" s="7">
        <v>4.5</v>
      </c>
      <c r="T1227">
        <v>7</v>
      </c>
      <c r="U1227" s="1">
        <v>36</v>
      </c>
      <c r="V1227">
        <v>0</v>
      </c>
      <c r="W1227">
        <v>0</v>
      </c>
      <c r="X1227">
        <v>1</v>
      </c>
      <c r="Y1227">
        <v>0.16</v>
      </c>
      <c r="Z1227">
        <v>23</v>
      </c>
      <c r="AA1227">
        <v>0</v>
      </c>
      <c r="AB1227">
        <v>0</v>
      </c>
      <c r="AC1227">
        <v>0</v>
      </c>
      <c r="AD1227">
        <v>1</v>
      </c>
      <c r="AE1227">
        <v>0.05</v>
      </c>
      <c r="AF1227">
        <v>15</v>
      </c>
      <c r="AG1227">
        <v>0</v>
      </c>
      <c r="AH1227">
        <v>0</v>
      </c>
      <c r="AI1227">
        <v>0</v>
      </c>
      <c r="AJ1227">
        <v>1</v>
      </c>
      <c r="AK1227">
        <v>0.02</v>
      </c>
      <c r="AL1227">
        <v>16</v>
      </c>
      <c r="AM1227">
        <v>0</v>
      </c>
      <c r="AN1227">
        <v>0</v>
      </c>
      <c r="AO1227">
        <v>0</v>
      </c>
      <c r="AP1227">
        <v>1</v>
      </c>
      <c r="AQ1227">
        <v>0.01</v>
      </c>
      <c r="AX1227">
        <v>7</v>
      </c>
      <c r="AY1227" s="1">
        <v>20</v>
      </c>
      <c r="AZ1227">
        <v>0</v>
      </c>
      <c r="BA1227">
        <v>0</v>
      </c>
      <c r="BB1227">
        <v>1</v>
      </c>
      <c r="BC1227" s="7">
        <v>0.32</v>
      </c>
      <c r="BD1227">
        <v>30</v>
      </c>
      <c r="BE1227">
        <v>0</v>
      </c>
      <c r="BF1227">
        <v>0</v>
      </c>
      <c r="BG1227">
        <v>0</v>
      </c>
      <c r="BH1227">
        <v>5</v>
      </c>
      <c r="BI1227">
        <v>2.4</v>
      </c>
      <c r="BJ1227">
        <v>31</v>
      </c>
      <c r="BK1227">
        <v>0</v>
      </c>
      <c r="BL1227">
        <v>0</v>
      </c>
      <c r="BM1227">
        <v>0</v>
      </c>
      <c r="BN1227">
        <v>5</v>
      </c>
      <c r="BO1227">
        <v>2.4</v>
      </c>
      <c r="BP1227">
        <v>36</v>
      </c>
      <c r="BQ1227">
        <v>0</v>
      </c>
      <c r="BR1227">
        <v>0</v>
      </c>
      <c r="BS1227">
        <v>0</v>
      </c>
      <c r="BT1227">
        <v>5</v>
      </c>
      <c r="BU1227">
        <v>1.8</v>
      </c>
    </row>
    <row r="1228" spans="1:73" ht="14.25" x14ac:dyDescent="0.15">
      <c r="A1228" s="12">
        <v>20925</v>
      </c>
      <c r="B1228">
        <v>7</v>
      </c>
      <c r="C1228" s="1">
        <v>0</v>
      </c>
      <c r="D1228">
        <v>5</v>
      </c>
      <c r="E1228">
        <v>1</v>
      </c>
      <c r="F1228">
        <v>1</v>
      </c>
      <c r="G1228" s="7">
        <v>0.05</v>
      </c>
      <c r="H1228">
        <v>12</v>
      </c>
      <c r="I1228">
        <v>0</v>
      </c>
      <c r="J1228">
        <v>0</v>
      </c>
      <c r="K1228">
        <v>0</v>
      </c>
      <c r="L1228">
        <v>1</v>
      </c>
      <c r="M1228">
        <v>2</v>
      </c>
      <c r="N1228" s="7">
        <v>9</v>
      </c>
      <c r="O1228" s="7">
        <v>0</v>
      </c>
      <c r="P1228" s="7">
        <v>0</v>
      </c>
      <c r="Q1228" s="7">
        <v>0</v>
      </c>
      <c r="R1228" s="7">
        <v>1</v>
      </c>
      <c r="S1228" s="7">
        <v>4.5</v>
      </c>
      <c r="T1228">
        <v>7</v>
      </c>
      <c r="U1228" s="1">
        <v>0</v>
      </c>
      <c r="V1228">
        <v>4</v>
      </c>
      <c r="W1228">
        <v>2</v>
      </c>
      <c r="X1228">
        <v>1</v>
      </c>
      <c r="Y1228">
        <v>0.16</v>
      </c>
      <c r="Z1228">
        <v>23</v>
      </c>
      <c r="AA1228">
        <v>0</v>
      </c>
      <c r="AB1228">
        <v>0</v>
      </c>
      <c r="AC1228">
        <v>0</v>
      </c>
      <c r="AD1228">
        <v>1</v>
      </c>
      <c r="AE1228">
        <v>0.05</v>
      </c>
      <c r="AF1228">
        <v>15</v>
      </c>
      <c r="AG1228">
        <v>0</v>
      </c>
      <c r="AH1228">
        <v>0</v>
      </c>
      <c r="AI1228">
        <v>0</v>
      </c>
      <c r="AJ1228">
        <v>1</v>
      </c>
      <c r="AK1228">
        <v>0.02</v>
      </c>
      <c r="AL1228">
        <v>16</v>
      </c>
      <c r="AM1228">
        <v>0</v>
      </c>
      <c r="AN1228">
        <v>0</v>
      </c>
      <c r="AO1228">
        <v>0</v>
      </c>
      <c r="AP1228">
        <v>1</v>
      </c>
      <c r="AQ1228">
        <v>0.01</v>
      </c>
      <c r="AR1228">
        <v>6</v>
      </c>
      <c r="AS1228">
        <v>2</v>
      </c>
      <c r="AT1228">
        <v>5</v>
      </c>
      <c r="AU1228">
        <v>5</v>
      </c>
      <c r="AV1228">
        <v>1</v>
      </c>
      <c r="AW1228">
        <v>0.01</v>
      </c>
      <c r="AX1228">
        <v>7</v>
      </c>
      <c r="AY1228" s="1">
        <v>0</v>
      </c>
      <c r="AZ1228">
        <v>3</v>
      </c>
      <c r="BA1228">
        <v>1</v>
      </c>
      <c r="BB1228">
        <v>1</v>
      </c>
      <c r="BC1228" s="7">
        <v>0.32</v>
      </c>
      <c r="BD1228">
        <v>30</v>
      </c>
      <c r="BE1228">
        <v>0</v>
      </c>
      <c r="BF1228">
        <v>0</v>
      </c>
      <c r="BG1228">
        <v>0</v>
      </c>
      <c r="BH1228">
        <v>5</v>
      </c>
      <c r="BI1228">
        <v>2.4</v>
      </c>
      <c r="BJ1228">
        <v>31</v>
      </c>
      <c r="BK1228">
        <v>0</v>
      </c>
      <c r="BL1228">
        <v>0</v>
      </c>
      <c r="BM1228">
        <v>0</v>
      </c>
      <c r="BN1228">
        <v>5</v>
      </c>
      <c r="BO1228">
        <v>2.4</v>
      </c>
      <c r="BP1228">
        <v>36</v>
      </c>
      <c r="BQ1228">
        <v>0</v>
      </c>
      <c r="BR1228">
        <v>0</v>
      </c>
      <c r="BS1228">
        <v>0</v>
      </c>
      <c r="BT1228">
        <v>5</v>
      </c>
      <c r="BU1228">
        <v>1.8</v>
      </c>
    </row>
    <row r="1229" spans="1:73" ht="14.25" x14ac:dyDescent="0.15">
      <c r="A1229" s="12">
        <v>20926</v>
      </c>
      <c r="B1229">
        <v>7</v>
      </c>
      <c r="C1229" s="1">
        <v>45</v>
      </c>
      <c r="D1229">
        <v>0</v>
      </c>
      <c r="E1229">
        <v>0</v>
      </c>
      <c r="F1229">
        <v>1</v>
      </c>
      <c r="G1229" s="7">
        <v>0.05</v>
      </c>
      <c r="H1229">
        <v>12</v>
      </c>
      <c r="I1229">
        <v>0</v>
      </c>
      <c r="J1229">
        <v>0</v>
      </c>
      <c r="K1229">
        <v>0</v>
      </c>
      <c r="L1229">
        <v>1</v>
      </c>
      <c r="M1229">
        <v>2</v>
      </c>
      <c r="N1229" s="7">
        <v>9</v>
      </c>
      <c r="O1229" s="7">
        <v>0</v>
      </c>
      <c r="P1229" s="7">
        <v>0</v>
      </c>
      <c r="Q1229" s="7">
        <v>0</v>
      </c>
      <c r="R1229" s="7">
        <v>1</v>
      </c>
      <c r="S1229" s="7">
        <v>4.5</v>
      </c>
      <c r="T1229">
        <v>7</v>
      </c>
      <c r="U1229" s="1">
        <v>33</v>
      </c>
      <c r="V1229">
        <v>0</v>
      </c>
      <c r="W1229">
        <v>0</v>
      </c>
      <c r="X1229">
        <v>1</v>
      </c>
      <c r="Y1229">
        <v>0.16</v>
      </c>
      <c r="Z1229">
        <v>23</v>
      </c>
      <c r="AA1229">
        <v>0</v>
      </c>
      <c r="AB1229">
        <v>0</v>
      </c>
      <c r="AC1229">
        <v>0</v>
      </c>
      <c r="AD1229">
        <v>1</v>
      </c>
      <c r="AE1229">
        <v>0.05</v>
      </c>
      <c r="AF1229">
        <v>15</v>
      </c>
      <c r="AG1229">
        <v>0</v>
      </c>
      <c r="AH1229">
        <v>0</v>
      </c>
      <c r="AI1229">
        <v>0</v>
      </c>
      <c r="AJ1229">
        <v>1</v>
      </c>
      <c r="AK1229">
        <v>0.02</v>
      </c>
      <c r="AL1229">
        <v>16</v>
      </c>
      <c r="AM1229">
        <v>0</v>
      </c>
      <c r="AN1229">
        <v>0</v>
      </c>
      <c r="AO1229">
        <v>0</v>
      </c>
      <c r="AP1229">
        <v>1</v>
      </c>
      <c r="AQ1229">
        <v>0.01</v>
      </c>
      <c r="AX1229">
        <v>7</v>
      </c>
      <c r="AY1229" s="1">
        <v>17</v>
      </c>
      <c r="AZ1229">
        <v>0</v>
      </c>
      <c r="BA1229">
        <v>0</v>
      </c>
      <c r="BB1229">
        <v>1</v>
      </c>
      <c r="BC1229" s="7">
        <v>0.32</v>
      </c>
      <c r="BD1229">
        <v>30</v>
      </c>
      <c r="BE1229">
        <v>0</v>
      </c>
      <c r="BF1229">
        <v>0</v>
      </c>
      <c r="BG1229">
        <v>0</v>
      </c>
      <c r="BH1229">
        <v>5</v>
      </c>
      <c r="BI1229">
        <v>2.4</v>
      </c>
      <c r="BJ1229">
        <v>31</v>
      </c>
      <c r="BK1229">
        <v>0</v>
      </c>
      <c r="BL1229">
        <v>0</v>
      </c>
      <c r="BM1229">
        <v>0</v>
      </c>
      <c r="BN1229">
        <v>5</v>
      </c>
      <c r="BO1229">
        <v>2.4</v>
      </c>
      <c r="BP1229">
        <v>36</v>
      </c>
      <c r="BQ1229">
        <v>0</v>
      </c>
      <c r="BR1229">
        <v>0</v>
      </c>
      <c r="BS1229">
        <v>0</v>
      </c>
      <c r="BT1229">
        <v>5</v>
      </c>
      <c r="BU1229">
        <v>1.8</v>
      </c>
    </row>
    <row r="1230" spans="1:73" ht="14.25" x14ac:dyDescent="0.15">
      <c r="A1230" s="12">
        <v>20927</v>
      </c>
      <c r="B1230">
        <v>7</v>
      </c>
      <c r="C1230" s="1">
        <v>46</v>
      </c>
      <c r="D1230">
        <v>0</v>
      </c>
      <c r="E1230">
        <v>0</v>
      </c>
      <c r="F1230">
        <v>1</v>
      </c>
      <c r="G1230" s="7">
        <v>0.05</v>
      </c>
      <c r="H1230">
        <v>12</v>
      </c>
      <c r="I1230">
        <v>0</v>
      </c>
      <c r="J1230">
        <v>0</v>
      </c>
      <c r="K1230">
        <v>0</v>
      </c>
      <c r="L1230">
        <v>1</v>
      </c>
      <c r="M1230">
        <v>2</v>
      </c>
      <c r="N1230" s="7">
        <v>9</v>
      </c>
      <c r="O1230" s="7">
        <v>0</v>
      </c>
      <c r="P1230" s="7">
        <v>0</v>
      </c>
      <c r="Q1230" s="7">
        <v>0</v>
      </c>
      <c r="R1230" s="7">
        <v>1</v>
      </c>
      <c r="S1230" s="7">
        <v>4.5</v>
      </c>
      <c r="T1230">
        <v>7</v>
      </c>
      <c r="U1230" s="1">
        <v>34</v>
      </c>
      <c r="V1230">
        <v>0</v>
      </c>
      <c r="W1230">
        <v>0</v>
      </c>
      <c r="X1230">
        <v>1</v>
      </c>
      <c r="Y1230">
        <v>0.16</v>
      </c>
      <c r="Z1230">
        <v>23</v>
      </c>
      <c r="AA1230">
        <v>0</v>
      </c>
      <c r="AB1230">
        <v>0</v>
      </c>
      <c r="AC1230">
        <v>0</v>
      </c>
      <c r="AD1230">
        <v>1</v>
      </c>
      <c r="AE1230">
        <v>0.05</v>
      </c>
      <c r="AF1230">
        <v>15</v>
      </c>
      <c r="AG1230">
        <v>0</v>
      </c>
      <c r="AH1230">
        <v>0</v>
      </c>
      <c r="AI1230">
        <v>0</v>
      </c>
      <c r="AJ1230">
        <v>1</v>
      </c>
      <c r="AK1230">
        <v>0.02</v>
      </c>
      <c r="AL1230">
        <v>16</v>
      </c>
      <c r="AM1230">
        <v>0</v>
      </c>
      <c r="AN1230">
        <v>0</v>
      </c>
      <c r="AO1230">
        <v>0</v>
      </c>
      <c r="AP1230">
        <v>1</v>
      </c>
      <c r="AQ1230">
        <v>0.01</v>
      </c>
      <c r="AX1230">
        <v>7</v>
      </c>
      <c r="AY1230" s="1">
        <v>18</v>
      </c>
      <c r="AZ1230">
        <v>0</v>
      </c>
      <c r="BA1230">
        <v>0</v>
      </c>
      <c r="BB1230">
        <v>1</v>
      </c>
      <c r="BC1230" s="7">
        <v>0.32</v>
      </c>
      <c r="BD1230">
        <v>30</v>
      </c>
      <c r="BE1230">
        <v>0</v>
      </c>
      <c r="BF1230">
        <v>0</v>
      </c>
      <c r="BG1230">
        <v>0</v>
      </c>
      <c r="BH1230">
        <v>5</v>
      </c>
      <c r="BI1230">
        <v>2.4</v>
      </c>
      <c r="BJ1230">
        <v>31</v>
      </c>
      <c r="BK1230">
        <v>0</v>
      </c>
      <c r="BL1230">
        <v>0</v>
      </c>
      <c r="BM1230">
        <v>0</v>
      </c>
      <c r="BN1230">
        <v>5</v>
      </c>
      <c r="BO1230">
        <v>2.4</v>
      </c>
      <c r="BP1230">
        <v>36</v>
      </c>
      <c r="BQ1230">
        <v>0</v>
      </c>
      <c r="BR1230">
        <v>0</v>
      </c>
      <c r="BS1230">
        <v>0</v>
      </c>
      <c r="BT1230">
        <v>5</v>
      </c>
      <c r="BU1230">
        <v>1.8</v>
      </c>
    </row>
    <row r="1231" spans="1:73" ht="14.25" x14ac:dyDescent="0.15">
      <c r="A1231" s="12">
        <v>20928</v>
      </c>
      <c r="B1231">
        <v>7</v>
      </c>
      <c r="C1231" s="1">
        <v>47</v>
      </c>
      <c r="D1231">
        <v>0</v>
      </c>
      <c r="E1231">
        <v>0</v>
      </c>
      <c r="F1231">
        <v>1</v>
      </c>
      <c r="G1231" s="7">
        <v>0.05</v>
      </c>
      <c r="H1231">
        <v>12</v>
      </c>
      <c r="I1231">
        <v>0</v>
      </c>
      <c r="J1231">
        <v>0</v>
      </c>
      <c r="K1231">
        <v>0</v>
      </c>
      <c r="L1231">
        <v>1</v>
      </c>
      <c r="M1231">
        <v>2</v>
      </c>
      <c r="N1231" s="7">
        <v>9</v>
      </c>
      <c r="O1231" s="7">
        <v>0</v>
      </c>
      <c r="P1231" s="7">
        <v>0</v>
      </c>
      <c r="Q1231" s="7">
        <v>0</v>
      </c>
      <c r="R1231" s="7">
        <v>1</v>
      </c>
      <c r="S1231" s="7">
        <v>4.5</v>
      </c>
      <c r="T1231">
        <v>7</v>
      </c>
      <c r="U1231" s="1">
        <v>35</v>
      </c>
      <c r="V1231">
        <v>0</v>
      </c>
      <c r="W1231">
        <v>0</v>
      </c>
      <c r="X1231">
        <v>1</v>
      </c>
      <c r="Y1231">
        <v>0.16</v>
      </c>
      <c r="Z1231">
        <v>23</v>
      </c>
      <c r="AA1231">
        <v>0</v>
      </c>
      <c r="AB1231">
        <v>0</v>
      </c>
      <c r="AC1231">
        <v>0</v>
      </c>
      <c r="AD1231">
        <v>1</v>
      </c>
      <c r="AE1231">
        <v>0.05</v>
      </c>
      <c r="AF1231">
        <v>15</v>
      </c>
      <c r="AG1231">
        <v>0</v>
      </c>
      <c r="AH1231">
        <v>0</v>
      </c>
      <c r="AI1231">
        <v>0</v>
      </c>
      <c r="AJ1231">
        <v>1</v>
      </c>
      <c r="AK1231">
        <v>0.02</v>
      </c>
      <c r="AL1231">
        <v>16</v>
      </c>
      <c r="AM1231">
        <v>0</v>
      </c>
      <c r="AN1231">
        <v>0</v>
      </c>
      <c r="AO1231">
        <v>0</v>
      </c>
      <c r="AP1231">
        <v>1</v>
      </c>
      <c r="AQ1231">
        <v>0.01</v>
      </c>
      <c r="AX1231">
        <v>7</v>
      </c>
      <c r="AY1231" s="1">
        <v>19</v>
      </c>
      <c r="AZ1231">
        <v>0</v>
      </c>
      <c r="BA1231">
        <v>0</v>
      </c>
      <c r="BB1231">
        <v>1</v>
      </c>
      <c r="BC1231" s="7">
        <v>0.32</v>
      </c>
      <c r="BD1231">
        <v>30</v>
      </c>
      <c r="BE1231">
        <v>0</v>
      </c>
      <c r="BF1231">
        <v>0</v>
      </c>
      <c r="BG1231">
        <v>0</v>
      </c>
      <c r="BH1231">
        <v>5</v>
      </c>
      <c r="BI1231">
        <v>2.4</v>
      </c>
      <c r="BJ1231">
        <v>31</v>
      </c>
      <c r="BK1231">
        <v>0</v>
      </c>
      <c r="BL1231">
        <v>0</v>
      </c>
      <c r="BM1231">
        <v>0</v>
      </c>
      <c r="BN1231">
        <v>5</v>
      </c>
      <c r="BO1231">
        <v>2.4</v>
      </c>
      <c r="BP1231">
        <v>36</v>
      </c>
      <c r="BQ1231">
        <v>0</v>
      </c>
      <c r="BR1231">
        <v>0</v>
      </c>
      <c r="BS1231">
        <v>0</v>
      </c>
      <c r="BT1231">
        <v>5</v>
      </c>
      <c r="BU1231">
        <v>1.8</v>
      </c>
    </row>
    <row r="1232" spans="1:73" ht="14.25" x14ac:dyDescent="0.15">
      <c r="A1232" s="12">
        <v>20929</v>
      </c>
      <c r="B1232">
        <v>7</v>
      </c>
      <c r="C1232" s="1">
        <v>48</v>
      </c>
      <c r="D1232">
        <v>0</v>
      </c>
      <c r="E1232">
        <v>0</v>
      </c>
      <c r="F1232">
        <v>1</v>
      </c>
      <c r="G1232" s="7">
        <v>0.05</v>
      </c>
      <c r="H1232">
        <v>12</v>
      </c>
      <c r="I1232">
        <v>0</v>
      </c>
      <c r="J1232">
        <v>0</v>
      </c>
      <c r="K1232">
        <v>0</v>
      </c>
      <c r="L1232">
        <v>1</v>
      </c>
      <c r="M1232">
        <v>2</v>
      </c>
      <c r="N1232" s="7">
        <v>9</v>
      </c>
      <c r="O1232" s="7">
        <v>0</v>
      </c>
      <c r="P1232" s="7">
        <v>0</v>
      </c>
      <c r="Q1232" s="7">
        <v>0</v>
      </c>
      <c r="R1232" s="7">
        <v>1</v>
      </c>
      <c r="S1232" s="7">
        <v>4.5</v>
      </c>
      <c r="T1232">
        <v>7</v>
      </c>
      <c r="U1232" s="1">
        <v>36</v>
      </c>
      <c r="V1232">
        <v>0</v>
      </c>
      <c r="W1232">
        <v>0</v>
      </c>
      <c r="X1232">
        <v>1</v>
      </c>
      <c r="Y1232">
        <v>0.16</v>
      </c>
      <c r="Z1232">
        <v>23</v>
      </c>
      <c r="AA1232">
        <v>0</v>
      </c>
      <c r="AB1232">
        <v>0</v>
      </c>
      <c r="AC1232">
        <v>0</v>
      </c>
      <c r="AD1232">
        <v>1</v>
      </c>
      <c r="AE1232">
        <v>0.05</v>
      </c>
      <c r="AF1232">
        <v>15</v>
      </c>
      <c r="AG1232">
        <v>0</v>
      </c>
      <c r="AH1232">
        <v>0</v>
      </c>
      <c r="AI1232">
        <v>0</v>
      </c>
      <c r="AJ1232">
        <v>1</v>
      </c>
      <c r="AK1232">
        <v>0.02</v>
      </c>
      <c r="AL1232">
        <v>16</v>
      </c>
      <c r="AM1232">
        <v>0</v>
      </c>
      <c r="AN1232">
        <v>0</v>
      </c>
      <c r="AO1232">
        <v>0</v>
      </c>
      <c r="AP1232">
        <v>1</v>
      </c>
      <c r="AQ1232">
        <v>0.01</v>
      </c>
      <c r="AX1232">
        <v>7</v>
      </c>
      <c r="AY1232" s="1">
        <v>20</v>
      </c>
      <c r="AZ1232">
        <v>0</v>
      </c>
      <c r="BA1232">
        <v>0</v>
      </c>
      <c r="BB1232">
        <v>1</v>
      </c>
      <c r="BC1232" s="7">
        <v>0.32</v>
      </c>
      <c r="BD1232">
        <v>30</v>
      </c>
      <c r="BE1232">
        <v>0</v>
      </c>
      <c r="BF1232">
        <v>0</v>
      </c>
      <c r="BG1232">
        <v>0</v>
      </c>
      <c r="BH1232">
        <v>5</v>
      </c>
      <c r="BI1232">
        <v>2.4</v>
      </c>
      <c r="BJ1232">
        <v>31</v>
      </c>
      <c r="BK1232">
        <v>0</v>
      </c>
      <c r="BL1232">
        <v>0</v>
      </c>
      <c r="BM1232">
        <v>0</v>
      </c>
      <c r="BN1232">
        <v>5</v>
      </c>
      <c r="BO1232">
        <v>2.4</v>
      </c>
      <c r="BP1232">
        <v>36</v>
      </c>
      <c r="BQ1232">
        <v>0</v>
      </c>
      <c r="BR1232">
        <v>0</v>
      </c>
      <c r="BS1232">
        <v>0</v>
      </c>
      <c r="BT1232">
        <v>5</v>
      </c>
      <c r="BU1232">
        <v>1.8</v>
      </c>
    </row>
    <row r="1233" spans="1:73" ht="14.25" x14ac:dyDescent="0.15">
      <c r="A1233" s="12">
        <v>20930</v>
      </c>
      <c r="B1233">
        <v>7</v>
      </c>
      <c r="C1233" s="1">
        <v>0</v>
      </c>
      <c r="D1233">
        <v>5</v>
      </c>
      <c r="E1233">
        <v>1</v>
      </c>
      <c r="F1233">
        <v>1</v>
      </c>
      <c r="G1233" s="7">
        <v>0.05</v>
      </c>
      <c r="H1233">
        <v>12</v>
      </c>
      <c r="I1233">
        <v>0</v>
      </c>
      <c r="J1233">
        <v>0</v>
      </c>
      <c r="K1233">
        <v>0</v>
      </c>
      <c r="L1233">
        <v>1</v>
      </c>
      <c r="M1233">
        <v>2</v>
      </c>
      <c r="N1233" s="7">
        <v>9</v>
      </c>
      <c r="O1233" s="7">
        <v>0</v>
      </c>
      <c r="P1233" s="7">
        <v>0</v>
      </c>
      <c r="Q1233" s="7">
        <v>0</v>
      </c>
      <c r="R1233" s="7">
        <v>1</v>
      </c>
      <c r="S1233" s="7">
        <v>4.5</v>
      </c>
      <c r="T1233">
        <v>7</v>
      </c>
      <c r="U1233" s="1">
        <v>0</v>
      </c>
      <c r="V1233">
        <v>4</v>
      </c>
      <c r="W1233">
        <v>2</v>
      </c>
      <c r="X1233">
        <v>1</v>
      </c>
      <c r="Y1233">
        <v>0.16</v>
      </c>
      <c r="Z1233">
        <v>23</v>
      </c>
      <c r="AA1233">
        <v>0</v>
      </c>
      <c r="AB1233">
        <v>0</v>
      </c>
      <c r="AC1233">
        <v>0</v>
      </c>
      <c r="AD1233">
        <v>1</v>
      </c>
      <c r="AE1233">
        <v>0.05</v>
      </c>
      <c r="AF1233">
        <v>15</v>
      </c>
      <c r="AG1233">
        <v>0</v>
      </c>
      <c r="AH1233">
        <v>0</v>
      </c>
      <c r="AI1233">
        <v>0</v>
      </c>
      <c r="AJ1233">
        <v>1</v>
      </c>
      <c r="AK1233">
        <v>0.02</v>
      </c>
      <c r="AL1233">
        <v>16</v>
      </c>
      <c r="AM1233">
        <v>0</v>
      </c>
      <c r="AN1233">
        <v>0</v>
      </c>
      <c r="AO1233">
        <v>0</v>
      </c>
      <c r="AP1233">
        <v>1</v>
      </c>
      <c r="AQ1233">
        <v>0.01</v>
      </c>
      <c r="AR1233">
        <v>6</v>
      </c>
      <c r="AS1233">
        <v>2</v>
      </c>
      <c r="AT1233">
        <v>1</v>
      </c>
      <c r="AU1233">
        <v>5</v>
      </c>
      <c r="AV1233">
        <v>1</v>
      </c>
      <c r="AW1233">
        <v>0.05</v>
      </c>
      <c r="AX1233">
        <v>7</v>
      </c>
      <c r="AY1233" s="1">
        <v>0</v>
      </c>
      <c r="AZ1233">
        <v>3</v>
      </c>
      <c r="BA1233">
        <v>1</v>
      </c>
      <c r="BB1233">
        <v>1</v>
      </c>
      <c r="BC1233" s="7">
        <v>0.32</v>
      </c>
      <c r="BD1233">
        <v>30</v>
      </c>
      <c r="BE1233">
        <v>0</v>
      </c>
      <c r="BF1233">
        <v>0</v>
      </c>
      <c r="BG1233">
        <v>0</v>
      </c>
      <c r="BH1233">
        <v>5</v>
      </c>
      <c r="BI1233">
        <v>2.4</v>
      </c>
      <c r="BJ1233">
        <v>31</v>
      </c>
      <c r="BK1233">
        <v>0</v>
      </c>
      <c r="BL1233">
        <v>0</v>
      </c>
      <c r="BM1233">
        <v>0</v>
      </c>
      <c r="BN1233">
        <v>5</v>
      </c>
      <c r="BO1233">
        <v>2.4</v>
      </c>
      <c r="BP1233">
        <v>36</v>
      </c>
      <c r="BQ1233">
        <v>0</v>
      </c>
      <c r="BR1233">
        <v>0</v>
      </c>
      <c r="BS1233">
        <v>0</v>
      </c>
      <c r="BT1233">
        <v>5</v>
      </c>
      <c r="BU1233">
        <v>1.8</v>
      </c>
    </row>
    <row r="1234" spans="1:73" ht="14.25" x14ac:dyDescent="0.15">
      <c r="A1234" s="12">
        <v>20931</v>
      </c>
      <c r="B1234">
        <v>7</v>
      </c>
      <c r="C1234" s="1">
        <v>45</v>
      </c>
      <c r="D1234">
        <v>0</v>
      </c>
      <c r="E1234">
        <v>0</v>
      </c>
      <c r="F1234">
        <v>1</v>
      </c>
      <c r="G1234" s="7">
        <v>0.05</v>
      </c>
      <c r="H1234">
        <v>12</v>
      </c>
      <c r="I1234">
        <v>0</v>
      </c>
      <c r="J1234">
        <v>0</v>
      </c>
      <c r="K1234">
        <v>0</v>
      </c>
      <c r="L1234">
        <v>1</v>
      </c>
      <c r="M1234">
        <v>2</v>
      </c>
      <c r="N1234" s="7">
        <v>9</v>
      </c>
      <c r="O1234" s="7">
        <v>0</v>
      </c>
      <c r="P1234" s="7">
        <v>0</v>
      </c>
      <c r="Q1234" s="7">
        <v>0</v>
      </c>
      <c r="R1234" s="7">
        <v>1</v>
      </c>
      <c r="S1234" s="7">
        <v>4.5</v>
      </c>
      <c r="T1234">
        <v>7</v>
      </c>
      <c r="U1234" s="1">
        <v>33</v>
      </c>
      <c r="V1234">
        <v>0</v>
      </c>
      <c r="W1234">
        <v>0</v>
      </c>
      <c r="X1234">
        <v>1</v>
      </c>
      <c r="Y1234">
        <v>0.16</v>
      </c>
      <c r="Z1234">
        <v>23</v>
      </c>
      <c r="AA1234">
        <v>0</v>
      </c>
      <c r="AB1234">
        <v>0</v>
      </c>
      <c r="AC1234">
        <v>0</v>
      </c>
      <c r="AD1234">
        <v>1</v>
      </c>
      <c r="AE1234">
        <v>0.05</v>
      </c>
      <c r="AF1234">
        <v>15</v>
      </c>
      <c r="AG1234">
        <v>0</v>
      </c>
      <c r="AH1234">
        <v>0</v>
      </c>
      <c r="AI1234">
        <v>0</v>
      </c>
      <c r="AJ1234">
        <v>1</v>
      </c>
      <c r="AK1234">
        <v>0.02</v>
      </c>
      <c r="AL1234">
        <v>16</v>
      </c>
      <c r="AM1234">
        <v>0</v>
      </c>
      <c r="AN1234">
        <v>0</v>
      </c>
      <c r="AO1234">
        <v>0</v>
      </c>
      <c r="AP1234">
        <v>1</v>
      </c>
      <c r="AQ1234">
        <v>0.01</v>
      </c>
      <c r="AX1234">
        <v>7</v>
      </c>
      <c r="AY1234" s="1">
        <v>17</v>
      </c>
      <c r="AZ1234">
        <v>0</v>
      </c>
      <c r="BA1234">
        <v>0</v>
      </c>
      <c r="BB1234">
        <v>1</v>
      </c>
      <c r="BC1234" s="7">
        <v>0.32</v>
      </c>
      <c r="BD1234">
        <v>30</v>
      </c>
      <c r="BE1234">
        <v>0</v>
      </c>
      <c r="BF1234">
        <v>0</v>
      </c>
      <c r="BG1234">
        <v>0</v>
      </c>
      <c r="BH1234">
        <v>5</v>
      </c>
      <c r="BI1234">
        <v>2.4</v>
      </c>
      <c r="BJ1234">
        <v>31</v>
      </c>
      <c r="BK1234">
        <v>0</v>
      </c>
      <c r="BL1234">
        <v>0</v>
      </c>
      <c r="BM1234">
        <v>0</v>
      </c>
      <c r="BN1234">
        <v>5</v>
      </c>
      <c r="BO1234">
        <v>2.4</v>
      </c>
      <c r="BP1234">
        <v>36</v>
      </c>
      <c r="BQ1234">
        <v>0</v>
      </c>
      <c r="BR1234">
        <v>0</v>
      </c>
      <c r="BS1234">
        <v>0</v>
      </c>
      <c r="BT1234">
        <v>5</v>
      </c>
      <c r="BU1234">
        <v>1.8</v>
      </c>
    </row>
    <row r="1235" spans="1:73" ht="14.25" x14ac:dyDescent="0.15">
      <c r="A1235" s="12">
        <v>20932</v>
      </c>
      <c r="B1235">
        <v>7</v>
      </c>
      <c r="C1235" s="1">
        <v>46</v>
      </c>
      <c r="D1235">
        <v>0</v>
      </c>
      <c r="E1235">
        <v>0</v>
      </c>
      <c r="F1235">
        <v>1</v>
      </c>
      <c r="G1235" s="7">
        <v>0.05</v>
      </c>
      <c r="H1235">
        <v>12</v>
      </c>
      <c r="I1235">
        <v>0</v>
      </c>
      <c r="J1235">
        <v>0</v>
      </c>
      <c r="K1235">
        <v>0</v>
      </c>
      <c r="L1235">
        <v>1</v>
      </c>
      <c r="M1235">
        <v>2</v>
      </c>
      <c r="N1235" s="7">
        <v>9</v>
      </c>
      <c r="O1235" s="7">
        <v>0</v>
      </c>
      <c r="P1235" s="7">
        <v>0</v>
      </c>
      <c r="Q1235" s="7">
        <v>0</v>
      </c>
      <c r="R1235" s="7">
        <v>1</v>
      </c>
      <c r="S1235" s="7">
        <v>4.5</v>
      </c>
      <c r="T1235">
        <v>7</v>
      </c>
      <c r="U1235" s="1">
        <v>34</v>
      </c>
      <c r="V1235">
        <v>0</v>
      </c>
      <c r="W1235">
        <v>0</v>
      </c>
      <c r="X1235">
        <v>1</v>
      </c>
      <c r="Y1235">
        <v>0.16</v>
      </c>
      <c r="Z1235">
        <v>23</v>
      </c>
      <c r="AA1235">
        <v>0</v>
      </c>
      <c r="AB1235">
        <v>0</v>
      </c>
      <c r="AC1235">
        <v>0</v>
      </c>
      <c r="AD1235">
        <v>1</v>
      </c>
      <c r="AE1235">
        <v>0.05</v>
      </c>
      <c r="AF1235">
        <v>15</v>
      </c>
      <c r="AG1235">
        <v>0</v>
      </c>
      <c r="AH1235">
        <v>0</v>
      </c>
      <c r="AI1235">
        <v>0</v>
      </c>
      <c r="AJ1235">
        <v>1</v>
      </c>
      <c r="AK1235">
        <v>0.02</v>
      </c>
      <c r="AL1235">
        <v>16</v>
      </c>
      <c r="AM1235">
        <v>0</v>
      </c>
      <c r="AN1235">
        <v>0</v>
      </c>
      <c r="AO1235">
        <v>0</v>
      </c>
      <c r="AP1235">
        <v>1</v>
      </c>
      <c r="AQ1235">
        <v>0.01</v>
      </c>
      <c r="AX1235">
        <v>7</v>
      </c>
      <c r="AY1235" s="1">
        <v>18</v>
      </c>
      <c r="AZ1235">
        <v>0</v>
      </c>
      <c r="BA1235">
        <v>0</v>
      </c>
      <c r="BB1235">
        <v>1</v>
      </c>
      <c r="BC1235" s="7">
        <v>0.32</v>
      </c>
      <c r="BD1235">
        <v>30</v>
      </c>
      <c r="BE1235">
        <v>0</v>
      </c>
      <c r="BF1235">
        <v>0</v>
      </c>
      <c r="BG1235">
        <v>0</v>
      </c>
      <c r="BH1235">
        <v>5</v>
      </c>
      <c r="BI1235">
        <v>2.4</v>
      </c>
      <c r="BJ1235">
        <v>31</v>
      </c>
      <c r="BK1235">
        <v>0</v>
      </c>
      <c r="BL1235">
        <v>0</v>
      </c>
      <c r="BM1235">
        <v>0</v>
      </c>
      <c r="BN1235">
        <v>5</v>
      </c>
      <c r="BO1235">
        <v>2.4</v>
      </c>
      <c r="BP1235">
        <v>36</v>
      </c>
      <c r="BQ1235">
        <v>0</v>
      </c>
      <c r="BR1235">
        <v>0</v>
      </c>
      <c r="BS1235">
        <v>0</v>
      </c>
      <c r="BT1235">
        <v>5</v>
      </c>
      <c r="BU1235">
        <v>1.8</v>
      </c>
    </row>
    <row r="1236" spans="1:73" ht="14.25" x14ac:dyDescent="0.15">
      <c r="A1236" s="12">
        <v>20933</v>
      </c>
      <c r="B1236">
        <v>7</v>
      </c>
      <c r="C1236" s="1">
        <v>47</v>
      </c>
      <c r="D1236">
        <v>0</v>
      </c>
      <c r="E1236">
        <v>0</v>
      </c>
      <c r="F1236">
        <v>1</v>
      </c>
      <c r="G1236" s="7">
        <v>0.05</v>
      </c>
      <c r="H1236">
        <v>12</v>
      </c>
      <c r="I1236">
        <v>0</v>
      </c>
      <c r="J1236">
        <v>0</v>
      </c>
      <c r="K1236">
        <v>0</v>
      </c>
      <c r="L1236">
        <v>1</v>
      </c>
      <c r="M1236">
        <v>2</v>
      </c>
      <c r="N1236" s="7">
        <v>9</v>
      </c>
      <c r="O1236" s="7">
        <v>0</v>
      </c>
      <c r="P1236" s="7">
        <v>0</v>
      </c>
      <c r="Q1236" s="7">
        <v>0</v>
      </c>
      <c r="R1236" s="7">
        <v>1</v>
      </c>
      <c r="S1236" s="7">
        <v>4.5</v>
      </c>
      <c r="T1236">
        <v>7</v>
      </c>
      <c r="U1236" s="1">
        <v>35</v>
      </c>
      <c r="V1236">
        <v>0</v>
      </c>
      <c r="W1236">
        <v>0</v>
      </c>
      <c r="X1236">
        <v>1</v>
      </c>
      <c r="Y1236">
        <v>0.16</v>
      </c>
      <c r="Z1236">
        <v>23</v>
      </c>
      <c r="AA1236">
        <v>0</v>
      </c>
      <c r="AB1236">
        <v>0</v>
      </c>
      <c r="AC1236">
        <v>0</v>
      </c>
      <c r="AD1236">
        <v>1</v>
      </c>
      <c r="AE1236">
        <v>0.05</v>
      </c>
      <c r="AF1236">
        <v>15</v>
      </c>
      <c r="AG1236">
        <v>0</v>
      </c>
      <c r="AH1236">
        <v>0</v>
      </c>
      <c r="AI1236">
        <v>0</v>
      </c>
      <c r="AJ1236">
        <v>1</v>
      </c>
      <c r="AK1236">
        <v>0.02</v>
      </c>
      <c r="AL1236">
        <v>16</v>
      </c>
      <c r="AM1236">
        <v>0</v>
      </c>
      <c r="AN1236">
        <v>0</v>
      </c>
      <c r="AO1236">
        <v>0</v>
      </c>
      <c r="AP1236">
        <v>1</v>
      </c>
      <c r="AQ1236">
        <v>0.01</v>
      </c>
      <c r="AX1236">
        <v>7</v>
      </c>
      <c r="AY1236" s="1">
        <v>19</v>
      </c>
      <c r="AZ1236">
        <v>0</v>
      </c>
      <c r="BA1236">
        <v>0</v>
      </c>
      <c r="BB1236">
        <v>1</v>
      </c>
      <c r="BC1236" s="7">
        <v>0.32</v>
      </c>
      <c r="BD1236">
        <v>30</v>
      </c>
      <c r="BE1236">
        <v>0</v>
      </c>
      <c r="BF1236">
        <v>0</v>
      </c>
      <c r="BG1236">
        <v>0</v>
      </c>
      <c r="BH1236">
        <v>5</v>
      </c>
      <c r="BI1236">
        <v>2.4</v>
      </c>
      <c r="BJ1236">
        <v>31</v>
      </c>
      <c r="BK1236">
        <v>0</v>
      </c>
      <c r="BL1236">
        <v>0</v>
      </c>
      <c r="BM1236">
        <v>0</v>
      </c>
      <c r="BN1236">
        <v>5</v>
      </c>
      <c r="BO1236">
        <v>2.4</v>
      </c>
      <c r="BP1236">
        <v>36</v>
      </c>
      <c r="BQ1236">
        <v>0</v>
      </c>
      <c r="BR1236">
        <v>0</v>
      </c>
      <c r="BS1236">
        <v>0</v>
      </c>
      <c r="BT1236">
        <v>5</v>
      </c>
      <c r="BU1236">
        <v>1.8</v>
      </c>
    </row>
    <row r="1237" spans="1:73" ht="14.25" x14ac:dyDescent="0.15">
      <c r="A1237" s="12">
        <v>20934</v>
      </c>
      <c r="B1237">
        <v>7</v>
      </c>
      <c r="C1237" s="1">
        <v>48</v>
      </c>
      <c r="D1237">
        <v>0</v>
      </c>
      <c r="E1237">
        <v>0</v>
      </c>
      <c r="F1237">
        <v>1</v>
      </c>
      <c r="G1237" s="7">
        <v>0.05</v>
      </c>
      <c r="H1237">
        <v>12</v>
      </c>
      <c r="I1237">
        <v>0</v>
      </c>
      <c r="J1237">
        <v>0</v>
      </c>
      <c r="K1237">
        <v>0</v>
      </c>
      <c r="L1237">
        <v>1</v>
      </c>
      <c r="M1237">
        <v>2</v>
      </c>
      <c r="N1237" s="7">
        <v>9</v>
      </c>
      <c r="O1237" s="7">
        <v>0</v>
      </c>
      <c r="P1237" s="7">
        <v>0</v>
      </c>
      <c r="Q1237" s="7">
        <v>0</v>
      </c>
      <c r="R1237" s="7">
        <v>1</v>
      </c>
      <c r="S1237" s="7">
        <v>4.5</v>
      </c>
      <c r="T1237">
        <v>7</v>
      </c>
      <c r="U1237" s="1">
        <v>36</v>
      </c>
      <c r="V1237">
        <v>0</v>
      </c>
      <c r="W1237">
        <v>0</v>
      </c>
      <c r="X1237">
        <v>1</v>
      </c>
      <c r="Y1237">
        <v>0.16</v>
      </c>
      <c r="Z1237">
        <v>23</v>
      </c>
      <c r="AA1237">
        <v>0</v>
      </c>
      <c r="AB1237">
        <v>0</v>
      </c>
      <c r="AC1237">
        <v>0</v>
      </c>
      <c r="AD1237">
        <v>1</v>
      </c>
      <c r="AE1237">
        <v>0.05</v>
      </c>
      <c r="AF1237">
        <v>15</v>
      </c>
      <c r="AG1237">
        <v>0</v>
      </c>
      <c r="AH1237">
        <v>0</v>
      </c>
      <c r="AI1237">
        <v>0</v>
      </c>
      <c r="AJ1237">
        <v>1</v>
      </c>
      <c r="AK1237">
        <v>0.02</v>
      </c>
      <c r="AL1237">
        <v>16</v>
      </c>
      <c r="AM1237">
        <v>0</v>
      </c>
      <c r="AN1237">
        <v>0</v>
      </c>
      <c r="AO1237">
        <v>0</v>
      </c>
      <c r="AP1237">
        <v>1</v>
      </c>
      <c r="AQ1237">
        <v>0.01</v>
      </c>
      <c r="AX1237">
        <v>7</v>
      </c>
      <c r="AY1237" s="1">
        <v>20</v>
      </c>
      <c r="AZ1237">
        <v>0</v>
      </c>
      <c r="BA1237">
        <v>0</v>
      </c>
      <c r="BB1237">
        <v>1</v>
      </c>
      <c r="BC1237" s="7">
        <v>0.32</v>
      </c>
      <c r="BD1237">
        <v>30</v>
      </c>
      <c r="BE1237">
        <v>0</v>
      </c>
      <c r="BF1237">
        <v>0</v>
      </c>
      <c r="BG1237">
        <v>0</v>
      </c>
      <c r="BH1237">
        <v>5</v>
      </c>
      <c r="BI1237">
        <v>2.4</v>
      </c>
      <c r="BJ1237">
        <v>31</v>
      </c>
      <c r="BK1237">
        <v>0</v>
      </c>
      <c r="BL1237">
        <v>0</v>
      </c>
      <c r="BM1237">
        <v>0</v>
      </c>
      <c r="BN1237">
        <v>5</v>
      </c>
      <c r="BO1237">
        <v>2.4</v>
      </c>
      <c r="BP1237">
        <v>36</v>
      </c>
      <c r="BQ1237">
        <v>0</v>
      </c>
      <c r="BR1237">
        <v>0</v>
      </c>
      <c r="BS1237">
        <v>0</v>
      </c>
      <c r="BT1237">
        <v>5</v>
      </c>
      <c r="BU1237">
        <v>1.8</v>
      </c>
    </row>
    <row r="1238" spans="1:73" ht="14.25" x14ac:dyDescent="0.15">
      <c r="A1238" s="12">
        <v>20935</v>
      </c>
      <c r="B1238">
        <v>7</v>
      </c>
      <c r="C1238" s="1">
        <v>0</v>
      </c>
      <c r="D1238">
        <v>5</v>
      </c>
      <c r="E1238">
        <v>1</v>
      </c>
      <c r="F1238">
        <v>1</v>
      </c>
      <c r="G1238" s="7">
        <v>0.05</v>
      </c>
      <c r="H1238">
        <v>12</v>
      </c>
      <c r="I1238">
        <v>0</v>
      </c>
      <c r="J1238">
        <v>0</v>
      </c>
      <c r="K1238">
        <v>0</v>
      </c>
      <c r="L1238">
        <v>1</v>
      </c>
      <c r="M1238">
        <v>2</v>
      </c>
      <c r="N1238" s="7">
        <v>9</v>
      </c>
      <c r="O1238" s="7">
        <v>0</v>
      </c>
      <c r="P1238" s="7">
        <v>0</v>
      </c>
      <c r="Q1238" s="7">
        <v>0</v>
      </c>
      <c r="R1238" s="7">
        <v>1</v>
      </c>
      <c r="S1238" s="7">
        <v>4.5</v>
      </c>
      <c r="T1238">
        <v>7</v>
      </c>
      <c r="U1238" s="1">
        <v>0</v>
      </c>
      <c r="V1238">
        <v>4</v>
      </c>
      <c r="W1238">
        <v>2</v>
      </c>
      <c r="X1238">
        <v>1</v>
      </c>
      <c r="Y1238">
        <v>0.16</v>
      </c>
      <c r="Z1238">
        <v>23</v>
      </c>
      <c r="AA1238">
        <v>0</v>
      </c>
      <c r="AB1238">
        <v>0</v>
      </c>
      <c r="AC1238">
        <v>0</v>
      </c>
      <c r="AD1238">
        <v>1</v>
      </c>
      <c r="AE1238">
        <v>0.05</v>
      </c>
      <c r="AF1238">
        <v>15</v>
      </c>
      <c r="AG1238">
        <v>0</v>
      </c>
      <c r="AH1238">
        <v>0</v>
      </c>
      <c r="AI1238">
        <v>0</v>
      </c>
      <c r="AJ1238">
        <v>1</v>
      </c>
      <c r="AK1238">
        <v>0.02</v>
      </c>
      <c r="AL1238">
        <v>16</v>
      </c>
      <c r="AM1238">
        <v>0</v>
      </c>
      <c r="AN1238">
        <v>0</v>
      </c>
      <c r="AO1238">
        <v>0</v>
      </c>
      <c r="AP1238">
        <v>1</v>
      </c>
      <c r="AQ1238">
        <v>0.01</v>
      </c>
      <c r="AR1238">
        <v>6</v>
      </c>
      <c r="AS1238">
        <v>2</v>
      </c>
      <c r="AT1238">
        <v>2</v>
      </c>
      <c r="AU1238">
        <v>5</v>
      </c>
      <c r="AV1238">
        <v>1</v>
      </c>
      <c r="AW1238">
        <v>0.05</v>
      </c>
      <c r="AX1238">
        <v>7</v>
      </c>
      <c r="AY1238" s="1">
        <v>0</v>
      </c>
      <c r="AZ1238">
        <v>3</v>
      </c>
      <c r="BA1238">
        <v>1</v>
      </c>
      <c r="BB1238">
        <v>1</v>
      </c>
      <c r="BC1238" s="7">
        <v>0.32</v>
      </c>
      <c r="BD1238">
        <v>30</v>
      </c>
      <c r="BE1238">
        <v>0</v>
      </c>
      <c r="BF1238">
        <v>0</v>
      </c>
      <c r="BG1238">
        <v>0</v>
      </c>
      <c r="BH1238">
        <v>5</v>
      </c>
      <c r="BI1238">
        <v>2.4</v>
      </c>
      <c r="BJ1238">
        <v>31</v>
      </c>
      <c r="BK1238">
        <v>0</v>
      </c>
      <c r="BL1238">
        <v>0</v>
      </c>
      <c r="BM1238">
        <v>0</v>
      </c>
      <c r="BN1238">
        <v>5</v>
      </c>
      <c r="BO1238">
        <v>2.4</v>
      </c>
      <c r="BP1238">
        <v>36</v>
      </c>
      <c r="BQ1238">
        <v>0</v>
      </c>
      <c r="BR1238">
        <v>0</v>
      </c>
      <c r="BS1238">
        <v>0</v>
      </c>
      <c r="BT1238">
        <v>5</v>
      </c>
      <c r="BU1238">
        <v>1.8</v>
      </c>
    </row>
    <row r="1239" spans="1:73" ht="14.25" x14ac:dyDescent="0.15">
      <c r="A1239" s="12">
        <v>20936</v>
      </c>
      <c r="B1239">
        <v>7</v>
      </c>
      <c r="C1239" s="1">
        <v>45</v>
      </c>
      <c r="D1239">
        <v>0</v>
      </c>
      <c r="E1239">
        <v>0</v>
      </c>
      <c r="F1239">
        <v>1</v>
      </c>
      <c r="G1239" s="7">
        <v>0.05</v>
      </c>
      <c r="H1239">
        <v>12</v>
      </c>
      <c r="I1239">
        <v>0</v>
      </c>
      <c r="J1239">
        <v>0</v>
      </c>
      <c r="K1239">
        <v>0</v>
      </c>
      <c r="L1239">
        <v>1</v>
      </c>
      <c r="M1239">
        <v>2</v>
      </c>
      <c r="N1239" s="7">
        <v>9</v>
      </c>
      <c r="O1239" s="7">
        <v>0</v>
      </c>
      <c r="P1239" s="7">
        <v>0</v>
      </c>
      <c r="Q1239" s="7">
        <v>0</v>
      </c>
      <c r="R1239" s="7">
        <v>1</v>
      </c>
      <c r="S1239" s="7">
        <v>4.5</v>
      </c>
      <c r="T1239">
        <v>7</v>
      </c>
      <c r="U1239" s="1">
        <v>33</v>
      </c>
      <c r="V1239">
        <v>0</v>
      </c>
      <c r="W1239">
        <v>0</v>
      </c>
      <c r="X1239">
        <v>1</v>
      </c>
      <c r="Y1239">
        <v>0.16</v>
      </c>
      <c r="Z1239">
        <v>23</v>
      </c>
      <c r="AA1239">
        <v>0</v>
      </c>
      <c r="AB1239">
        <v>0</v>
      </c>
      <c r="AC1239">
        <v>0</v>
      </c>
      <c r="AD1239">
        <v>1</v>
      </c>
      <c r="AE1239">
        <v>0.05</v>
      </c>
      <c r="AF1239">
        <v>15</v>
      </c>
      <c r="AG1239">
        <v>0</v>
      </c>
      <c r="AH1239">
        <v>0</v>
      </c>
      <c r="AI1239">
        <v>0</v>
      </c>
      <c r="AJ1239">
        <v>1</v>
      </c>
      <c r="AK1239">
        <v>0.02</v>
      </c>
      <c r="AL1239">
        <v>16</v>
      </c>
      <c r="AM1239">
        <v>0</v>
      </c>
      <c r="AN1239">
        <v>0</v>
      </c>
      <c r="AO1239">
        <v>0</v>
      </c>
      <c r="AP1239">
        <v>1</v>
      </c>
      <c r="AQ1239">
        <v>0.01</v>
      </c>
      <c r="AX1239">
        <v>7</v>
      </c>
      <c r="AY1239" s="1">
        <v>17</v>
      </c>
      <c r="AZ1239">
        <v>0</v>
      </c>
      <c r="BA1239">
        <v>0</v>
      </c>
      <c r="BB1239">
        <v>1</v>
      </c>
      <c r="BC1239" s="7">
        <v>0.32</v>
      </c>
      <c r="BD1239">
        <v>30</v>
      </c>
      <c r="BE1239">
        <v>0</v>
      </c>
      <c r="BF1239">
        <v>0</v>
      </c>
      <c r="BG1239">
        <v>0</v>
      </c>
      <c r="BH1239">
        <v>5</v>
      </c>
      <c r="BI1239">
        <v>2.4</v>
      </c>
      <c r="BJ1239">
        <v>31</v>
      </c>
      <c r="BK1239">
        <v>0</v>
      </c>
      <c r="BL1239">
        <v>0</v>
      </c>
      <c r="BM1239">
        <v>0</v>
      </c>
      <c r="BN1239">
        <v>5</v>
      </c>
      <c r="BO1239">
        <v>2.4</v>
      </c>
      <c r="BP1239">
        <v>36</v>
      </c>
      <c r="BQ1239">
        <v>0</v>
      </c>
      <c r="BR1239">
        <v>0</v>
      </c>
      <c r="BS1239">
        <v>0</v>
      </c>
      <c r="BT1239">
        <v>5</v>
      </c>
      <c r="BU1239">
        <v>1.8</v>
      </c>
    </row>
    <row r="1240" spans="1:73" ht="14.25" x14ac:dyDescent="0.15">
      <c r="A1240" s="12">
        <v>20937</v>
      </c>
      <c r="B1240">
        <v>7</v>
      </c>
      <c r="C1240" s="1">
        <v>46</v>
      </c>
      <c r="D1240">
        <v>0</v>
      </c>
      <c r="E1240">
        <v>0</v>
      </c>
      <c r="F1240">
        <v>1</v>
      </c>
      <c r="G1240" s="7">
        <v>0.05</v>
      </c>
      <c r="H1240">
        <v>12</v>
      </c>
      <c r="I1240">
        <v>0</v>
      </c>
      <c r="J1240">
        <v>0</v>
      </c>
      <c r="K1240">
        <v>0</v>
      </c>
      <c r="L1240">
        <v>1</v>
      </c>
      <c r="M1240">
        <v>2</v>
      </c>
      <c r="N1240" s="7">
        <v>9</v>
      </c>
      <c r="O1240" s="7">
        <v>0</v>
      </c>
      <c r="P1240" s="7">
        <v>0</v>
      </c>
      <c r="Q1240" s="7">
        <v>0</v>
      </c>
      <c r="R1240" s="7">
        <v>1</v>
      </c>
      <c r="S1240" s="7">
        <v>4.5</v>
      </c>
      <c r="T1240">
        <v>7</v>
      </c>
      <c r="U1240" s="1">
        <v>34</v>
      </c>
      <c r="V1240">
        <v>0</v>
      </c>
      <c r="W1240">
        <v>0</v>
      </c>
      <c r="X1240">
        <v>1</v>
      </c>
      <c r="Y1240">
        <v>0.16</v>
      </c>
      <c r="Z1240">
        <v>23</v>
      </c>
      <c r="AA1240">
        <v>0</v>
      </c>
      <c r="AB1240">
        <v>0</v>
      </c>
      <c r="AC1240">
        <v>0</v>
      </c>
      <c r="AD1240">
        <v>1</v>
      </c>
      <c r="AE1240">
        <v>0.05</v>
      </c>
      <c r="AF1240">
        <v>15</v>
      </c>
      <c r="AG1240">
        <v>0</v>
      </c>
      <c r="AH1240">
        <v>0</v>
      </c>
      <c r="AI1240">
        <v>0</v>
      </c>
      <c r="AJ1240">
        <v>1</v>
      </c>
      <c r="AK1240">
        <v>0.02</v>
      </c>
      <c r="AL1240">
        <v>16</v>
      </c>
      <c r="AM1240">
        <v>0</v>
      </c>
      <c r="AN1240">
        <v>0</v>
      </c>
      <c r="AO1240">
        <v>0</v>
      </c>
      <c r="AP1240">
        <v>1</v>
      </c>
      <c r="AQ1240">
        <v>0.01</v>
      </c>
      <c r="AX1240">
        <v>7</v>
      </c>
      <c r="AY1240" s="1">
        <v>18</v>
      </c>
      <c r="AZ1240">
        <v>0</v>
      </c>
      <c r="BA1240">
        <v>0</v>
      </c>
      <c r="BB1240">
        <v>1</v>
      </c>
      <c r="BC1240" s="7">
        <v>0.32</v>
      </c>
      <c r="BD1240">
        <v>30</v>
      </c>
      <c r="BE1240">
        <v>0</v>
      </c>
      <c r="BF1240">
        <v>0</v>
      </c>
      <c r="BG1240">
        <v>0</v>
      </c>
      <c r="BH1240">
        <v>5</v>
      </c>
      <c r="BI1240">
        <v>2.4</v>
      </c>
      <c r="BJ1240">
        <v>31</v>
      </c>
      <c r="BK1240">
        <v>0</v>
      </c>
      <c r="BL1240">
        <v>0</v>
      </c>
      <c r="BM1240">
        <v>0</v>
      </c>
      <c r="BN1240">
        <v>5</v>
      </c>
      <c r="BO1240">
        <v>2.4</v>
      </c>
      <c r="BP1240">
        <v>36</v>
      </c>
      <c r="BQ1240">
        <v>0</v>
      </c>
      <c r="BR1240">
        <v>0</v>
      </c>
      <c r="BS1240">
        <v>0</v>
      </c>
      <c r="BT1240">
        <v>5</v>
      </c>
      <c r="BU1240">
        <v>1.8</v>
      </c>
    </row>
    <row r="1241" spans="1:73" ht="14.25" x14ac:dyDescent="0.15">
      <c r="A1241" s="12">
        <v>20938</v>
      </c>
      <c r="B1241">
        <v>7</v>
      </c>
      <c r="C1241" s="1">
        <v>47</v>
      </c>
      <c r="D1241">
        <v>0</v>
      </c>
      <c r="E1241">
        <v>0</v>
      </c>
      <c r="F1241">
        <v>1</v>
      </c>
      <c r="G1241" s="7">
        <v>0.05</v>
      </c>
      <c r="H1241">
        <v>12</v>
      </c>
      <c r="I1241">
        <v>0</v>
      </c>
      <c r="J1241">
        <v>0</v>
      </c>
      <c r="K1241">
        <v>0</v>
      </c>
      <c r="L1241">
        <v>1</v>
      </c>
      <c r="M1241">
        <v>2</v>
      </c>
      <c r="N1241" s="7">
        <v>9</v>
      </c>
      <c r="O1241" s="7">
        <v>0</v>
      </c>
      <c r="P1241" s="7">
        <v>0</v>
      </c>
      <c r="Q1241" s="7">
        <v>0</v>
      </c>
      <c r="R1241" s="7">
        <v>1</v>
      </c>
      <c r="S1241" s="7">
        <v>4.5</v>
      </c>
      <c r="T1241">
        <v>7</v>
      </c>
      <c r="U1241" s="1">
        <v>35</v>
      </c>
      <c r="V1241">
        <v>0</v>
      </c>
      <c r="W1241">
        <v>0</v>
      </c>
      <c r="X1241">
        <v>1</v>
      </c>
      <c r="Y1241">
        <v>0.16</v>
      </c>
      <c r="Z1241">
        <v>23</v>
      </c>
      <c r="AA1241">
        <v>0</v>
      </c>
      <c r="AB1241">
        <v>0</v>
      </c>
      <c r="AC1241">
        <v>0</v>
      </c>
      <c r="AD1241">
        <v>1</v>
      </c>
      <c r="AE1241">
        <v>0.05</v>
      </c>
      <c r="AF1241">
        <v>15</v>
      </c>
      <c r="AG1241">
        <v>0</v>
      </c>
      <c r="AH1241">
        <v>0</v>
      </c>
      <c r="AI1241">
        <v>0</v>
      </c>
      <c r="AJ1241">
        <v>1</v>
      </c>
      <c r="AK1241">
        <v>0.02</v>
      </c>
      <c r="AL1241">
        <v>16</v>
      </c>
      <c r="AM1241">
        <v>0</v>
      </c>
      <c r="AN1241">
        <v>0</v>
      </c>
      <c r="AO1241">
        <v>0</v>
      </c>
      <c r="AP1241">
        <v>1</v>
      </c>
      <c r="AQ1241">
        <v>0.01</v>
      </c>
      <c r="AX1241">
        <v>7</v>
      </c>
      <c r="AY1241" s="1">
        <v>19</v>
      </c>
      <c r="AZ1241">
        <v>0</v>
      </c>
      <c r="BA1241">
        <v>0</v>
      </c>
      <c r="BB1241">
        <v>1</v>
      </c>
      <c r="BC1241" s="7">
        <v>0.32</v>
      </c>
      <c r="BD1241">
        <v>30</v>
      </c>
      <c r="BE1241">
        <v>0</v>
      </c>
      <c r="BF1241">
        <v>0</v>
      </c>
      <c r="BG1241">
        <v>0</v>
      </c>
      <c r="BH1241">
        <v>5</v>
      </c>
      <c r="BI1241">
        <v>2.4</v>
      </c>
      <c r="BJ1241">
        <v>31</v>
      </c>
      <c r="BK1241">
        <v>0</v>
      </c>
      <c r="BL1241">
        <v>0</v>
      </c>
      <c r="BM1241">
        <v>0</v>
      </c>
      <c r="BN1241">
        <v>5</v>
      </c>
      <c r="BO1241">
        <v>2.4</v>
      </c>
      <c r="BP1241">
        <v>36</v>
      </c>
      <c r="BQ1241">
        <v>0</v>
      </c>
      <c r="BR1241">
        <v>0</v>
      </c>
      <c r="BS1241">
        <v>0</v>
      </c>
      <c r="BT1241">
        <v>5</v>
      </c>
      <c r="BU1241">
        <v>1.8</v>
      </c>
    </row>
    <row r="1242" spans="1:73" ht="14.25" x14ac:dyDescent="0.15">
      <c r="A1242" s="12">
        <v>20939</v>
      </c>
      <c r="B1242">
        <v>7</v>
      </c>
      <c r="C1242" s="1">
        <v>48</v>
      </c>
      <c r="D1242">
        <v>0</v>
      </c>
      <c r="E1242">
        <v>0</v>
      </c>
      <c r="F1242">
        <v>1</v>
      </c>
      <c r="G1242" s="7">
        <v>0.05</v>
      </c>
      <c r="H1242">
        <v>12</v>
      </c>
      <c r="I1242">
        <v>0</v>
      </c>
      <c r="J1242">
        <v>0</v>
      </c>
      <c r="K1242">
        <v>0</v>
      </c>
      <c r="L1242">
        <v>1</v>
      </c>
      <c r="M1242">
        <v>2</v>
      </c>
      <c r="N1242" s="7">
        <v>9</v>
      </c>
      <c r="O1242" s="7">
        <v>0</v>
      </c>
      <c r="P1242" s="7">
        <v>0</v>
      </c>
      <c r="Q1242" s="7">
        <v>0</v>
      </c>
      <c r="R1242" s="7">
        <v>1</v>
      </c>
      <c r="S1242" s="7">
        <v>4.5</v>
      </c>
      <c r="T1242">
        <v>7</v>
      </c>
      <c r="U1242" s="1">
        <v>36</v>
      </c>
      <c r="V1242">
        <v>0</v>
      </c>
      <c r="W1242">
        <v>0</v>
      </c>
      <c r="X1242">
        <v>1</v>
      </c>
      <c r="Y1242">
        <v>0.16</v>
      </c>
      <c r="Z1242">
        <v>23</v>
      </c>
      <c r="AA1242">
        <v>0</v>
      </c>
      <c r="AB1242">
        <v>0</v>
      </c>
      <c r="AC1242">
        <v>0</v>
      </c>
      <c r="AD1242">
        <v>1</v>
      </c>
      <c r="AE1242">
        <v>0.05</v>
      </c>
      <c r="AF1242">
        <v>15</v>
      </c>
      <c r="AG1242">
        <v>0</v>
      </c>
      <c r="AH1242">
        <v>0</v>
      </c>
      <c r="AI1242">
        <v>0</v>
      </c>
      <c r="AJ1242">
        <v>1</v>
      </c>
      <c r="AK1242">
        <v>0.02</v>
      </c>
      <c r="AL1242">
        <v>16</v>
      </c>
      <c r="AM1242">
        <v>0</v>
      </c>
      <c r="AN1242">
        <v>0</v>
      </c>
      <c r="AO1242">
        <v>0</v>
      </c>
      <c r="AP1242">
        <v>1</v>
      </c>
      <c r="AQ1242">
        <v>0.01</v>
      </c>
      <c r="AX1242">
        <v>7</v>
      </c>
      <c r="AY1242" s="1">
        <v>20</v>
      </c>
      <c r="AZ1242">
        <v>0</v>
      </c>
      <c r="BA1242">
        <v>0</v>
      </c>
      <c r="BB1242">
        <v>1</v>
      </c>
      <c r="BC1242" s="7">
        <v>0.32</v>
      </c>
      <c r="BD1242">
        <v>30</v>
      </c>
      <c r="BE1242">
        <v>0</v>
      </c>
      <c r="BF1242">
        <v>0</v>
      </c>
      <c r="BG1242">
        <v>0</v>
      </c>
      <c r="BH1242">
        <v>5</v>
      </c>
      <c r="BI1242">
        <v>2.4</v>
      </c>
      <c r="BJ1242">
        <v>31</v>
      </c>
      <c r="BK1242">
        <v>0</v>
      </c>
      <c r="BL1242">
        <v>0</v>
      </c>
      <c r="BM1242">
        <v>0</v>
      </c>
      <c r="BN1242">
        <v>5</v>
      </c>
      <c r="BO1242">
        <v>2.4</v>
      </c>
      <c r="BP1242">
        <v>36</v>
      </c>
      <c r="BQ1242">
        <v>0</v>
      </c>
      <c r="BR1242">
        <v>0</v>
      </c>
      <c r="BS1242">
        <v>0</v>
      </c>
      <c r="BT1242">
        <v>5</v>
      </c>
      <c r="BU1242">
        <v>1.8</v>
      </c>
    </row>
    <row r="1243" spans="1:73" ht="14.25" x14ac:dyDescent="0.15">
      <c r="A1243" s="12">
        <v>20940</v>
      </c>
      <c r="B1243">
        <v>7</v>
      </c>
      <c r="C1243" s="1">
        <v>0</v>
      </c>
      <c r="D1243">
        <v>5</v>
      </c>
      <c r="E1243">
        <v>1</v>
      </c>
      <c r="F1243">
        <v>1</v>
      </c>
      <c r="G1243" s="7">
        <v>0.05</v>
      </c>
      <c r="H1243">
        <v>12</v>
      </c>
      <c r="I1243">
        <v>0</v>
      </c>
      <c r="J1243">
        <v>0</v>
      </c>
      <c r="K1243">
        <v>0</v>
      </c>
      <c r="L1243">
        <v>1</v>
      </c>
      <c r="M1243">
        <v>2</v>
      </c>
      <c r="N1243" s="7">
        <v>9</v>
      </c>
      <c r="O1243" s="7">
        <v>0</v>
      </c>
      <c r="P1243" s="7">
        <v>0</v>
      </c>
      <c r="Q1243" s="7">
        <v>0</v>
      </c>
      <c r="R1243" s="7">
        <v>1</v>
      </c>
      <c r="S1243" s="7">
        <v>4.5</v>
      </c>
      <c r="T1243">
        <v>7</v>
      </c>
      <c r="U1243" s="1">
        <v>0</v>
      </c>
      <c r="V1243">
        <v>4</v>
      </c>
      <c r="W1243">
        <v>2</v>
      </c>
      <c r="X1243">
        <v>1</v>
      </c>
      <c r="Y1243">
        <v>0.16</v>
      </c>
      <c r="Z1243">
        <v>23</v>
      </c>
      <c r="AA1243">
        <v>0</v>
      </c>
      <c r="AB1243">
        <v>0</v>
      </c>
      <c r="AC1243">
        <v>0</v>
      </c>
      <c r="AD1243">
        <v>1</v>
      </c>
      <c r="AE1243">
        <v>0.05</v>
      </c>
      <c r="AF1243">
        <v>15</v>
      </c>
      <c r="AG1243">
        <v>0</v>
      </c>
      <c r="AH1243">
        <v>0</v>
      </c>
      <c r="AI1243">
        <v>0</v>
      </c>
      <c r="AJ1243">
        <v>1</v>
      </c>
      <c r="AK1243">
        <v>0.02</v>
      </c>
      <c r="AL1243">
        <v>16</v>
      </c>
      <c r="AM1243">
        <v>0</v>
      </c>
      <c r="AN1243">
        <v>0</v>
      </c>
      <c r="AO1243">
        <v>0</v>
      </c>
      <c r="AP1243">
        <v>1</v>
      </c>
      <c r="AQ1243">
        <v>0.01</v>
      </c>
      <c r="AR1243">
        <v>6</v>
      </c>
      <c r="AS1243">
        <v>2</v>
      </c>
      <c r="AT1243">
        <v>3</v>
      </c>
      <c r="AU1243">
        <v>5</v>
      </c>
      <c r="AV1243">
        <v>1</v>
      </c>
      <c r="AW1243">
        <v>0.05</v>
      </c>
      <c r="AX1243">
        <v>7</v>
      </c>
      <c r="AY1243" s="1">
        <v>0</v>
      </c>
      <c r="AZ1243">
        <v>3</v>
      </c>
      <c r="BA1243">
        <v>1</v>
      </c>
      <c r="BB1243">
        <v>1</v>
      </c>
      <c r="BC1243" s="7">
        <v>0.32</v>
      </c>
      <c r="BD1243">
        <v>30</v>
      </c>
      <c r="BE1243">
        <v>0</v>
      </c>
      <c r="BF1243">
        <v>0</v>
      </c>
      <c r="BG1243">
        <v>0</v>
      </c>
      <c r="BH1243">
        <v>5</v>
      </c>
      <c r="BI1243">
        <v>2.4</v>
      </c>
      <c r="BJ1243">
        <v>31</v>
      </c>
      <c r="BK1243">
        <v>0</v>
      </c>
      <c r="BL1243">
        <v>0</v>
      </c>
      <c r="BM1243">
        <v>0</v>
      </c>
      <c r="BN1243">
        <v>5</v>
      </c>
      <c r="BO1243">
        <v>2.4</v>
      </c>
      <c r="BP1243">
        <v>36</v>
      </c>
      <c r="BQ1243">
        <v>0</v>
      </c>
      <c r="BR1243">
        <v>0</v>
      </c>
      <c r="BS1243">
        <v>0</v>
      </c>
      <c r="BT1243">
        <v>5</v>
      </c>
      <c r="BU1243">
        <v>1.8</v>
      </c>
    </row>
    <row r="1244" spans="1:73" ht="14.25" x14ac:dyDescent="0.15">
      <c r="A1244" s="12">
        <v>20941</v>
      </c>
      <c r="B1244">
        <v>7</v>
      </c>
      <c r="C1244" s="1">
        <v>45</v>
      </c>
      <c r="D1244">
        <v>0</v>
      </c>
      <c r="E1244">
        <v>0</v>
      </c>
      <c r="F1244">
        <v>1</v>
      </c>
      <c r="G1244" s="7">
        <v>0.05</v>
      </c>
      <c r="H1244">
        <v>12</v>
      </c>
      <c r="I1244">
        <v>0</v>
      </c>
      <c r="J1244">
        <v>0</v>
      </c>
      <c r="K1244">
        <v>0</v>
      </c>
      <c r="L1244">
        <v>1</v>
      </c>
      <c r="M1244">
        <v>2</v>
      </c>
      <c r="N1244" s="7">
        <v>9</v>
      </c>
      <c r="O1244" s="7">
        <v>0</v>
      </c>
      <c r="P1244" s="7">
        <v>0</v>
      </c>
      <c r="Q1244" s="7">
        <v>0</v>
      </c>
      <c r="R1244" s="7">
        <v>1</v>
      </c>
      <c r="S1244" s="7">
        <v>4.5</v>
      </c>
      <c r="T1244">
        <v>7</v>
      </c>
      <c r="U1244" s="1">
        <v>33</v>
      </c>
      <c r="V1244">
        <v>0</v>
      </c>
      <c r="W1244">
        <v>0</v>
      </c>
      <c r="X1244">
        <v>1</v>
      </c>
      <c r="Y1244">
        <v>0.16</v>
      </c>
      <c r="Z1244">
        <v>23</v>
      </c>
      <c r="AA1244">
        <v>0</v>
      </c>
      <c r="AB1244">
        <v>0</v>
      </c>
      <c r="AC1244">
        <v>0</v>
      </c>
      <c r="AD1244">
        <v>1</v>
      </c>
      <c r="AE1244">
        <v>0.05</v>
      </c>
      <c r="AF1244">
        <v>15</v>
      </c>
      <c r="AG1244">
        <v>0</v>
      </c>
      <c r="AH1244">
        <v>0</v>
      </c>
      <c r="AI1244">
        <v>0</v>
      </c>
      <c r="AJ1244">
        <v>1</v>
      </c>
      <c r="AK1244">
        <v>0.02</v>
      </c>
      <c r="AL1244">
        <v>16</v>
      </c>
      <c r="AM1244">
        <v>0</v>
      </c>
      <c r="AN1244">
        <v>0</v>
      </c>
      <c r="AO1244">
        <v>0</v>
      </c>
      <c r="AP1244">
        <v>1</v>
      </c>
      <c r="AQ1244">
        <v>0.01</v>
      </c>
      <c r="AX1244">
        <v>7</v>
      </c>
      <c r="AY1244" s="1">
        <v>17</v>
      </c>
      <c r="AZ1244">
        <v>0</v>
      </c>
      <c r="BA1244">
        <v>0</v>
      </c>
      <c r="BB1244">
        <v>1</v>
      </c>
      <c r="BC1244" s="7">
        <v>0.32</v>
      </c>
      <c r="BD1244">
        <v>30</v>
      </c>
      <c r="BE1244">
        <v>0</v>
      </c>
      <c r="BF1244">
        <v>0</v>
      </c>
      <c r="BG1244">
        <v>0</v>
      </c>
      <c r="BH1244">
        <v>5</v>
      </c>
      <c r="BI1244">
        <v>2.4</v>
      </c>
      <c r="BJ1244">
        <v>31</v>
      </c>
      <c r="BK1244">
        <v>0</v>
      </c>
      <c r="BL1244">
        <v>0</v>
      </c>
      <c r="BM1244">
        <v>0</v>
      </c>
      <c r="BN1244">
        <v>5</v>
      </c>
      <c r="BO1244">
        <v>2.4</v>
      </c>
      <c r="BP1244">
        <v>36</v>
      </c>
      <c r="BQ1244">
        <v>0</v>
      </c>
      <c r="BR1244">
        <v>0</v>
      </c>
      <c r="BS1244">
        <v>0</v>
      </c>
      <c r="BT1244">
        <v>5</v>
      </c>
      <c r="BU1244">
        <v>1.8</v>
      </c>
    </row>
    <row r="1245" spans="1:73" ht="14.25" x14ac:dyDescent="0.15">
      <c r="A1245" s="12">
        <v>20942</v>
      </c>
      <c r="B1245">
        <v>7</v>
      </c>
      <c r="C1245" s="1">
        <v>46</v>
      </c>
      <c r="D1245">
        <v>0</v>
      </c>
      <c r="E1245">
        <v>0</v>
      </c>
      <c r="F1245">
        <v>1</v>
      </c>
      <c r="G1245" s="7">
        <v>0.05</v>
      </c>
      <c r="H1245">
        <v>12</v>
      </c>
      <c r="I1245">
        <v>0</v>
      </c>
      <c r="J1245">
        <v>0</v>
      </c>
      <c r="K1245">
        <v>0</v>
      </c>
      <c r="L1245">
        <v>1</v>
      </c>
      <c r="M1245">
        <v>2</v>
      </c>
      <c r="N1245" s="7">
        <v>9</v>
      </c>
      <c r="O1245" s="7">
        <v>0</v>
      </c>
      <c r="P1245" s="7">
        <v>0</v>
      </c>
      <c r="Q1245" s="7">
        <v>0</v>
      </c>
      <c r="R1245" s="7">
        <v>1</v>
      </c>
      <c r="S1245" s="7">
        <v>4.5</v>
      </c>
      <c r="T1245">
        <v>7</v>
      </c>
      <c r="U1245" s="1">
        <v>34</v>
      </c>
      <c r="V1245">
        <v>0</v>
      </c>
      <c r="W1245">
        <v>0</v>
      </c>
      <c r="X1245">
        <v>1</v>
      </c>
      <c r="Y1245">
        <v>0.16</v>
      </c>
      <c r="Z1245">
        <v>23</v>
      </c>
      <c r="AA1245">
        <v>0</v>
      </c>
      <c r="AB1245">
        <v>0</v>
      </c>
      <c r="AC1245">
        <v>0</v>
      </c>
      <c r="AD1245">
        <v>1</v>
      </c>
      <c r="AE1245">
        <v>0.05</v>
      </c>
      <c r="AF1245">
        <v>15</v>
      </c>
      <c r="AG1245">
        <v>0</v>
      </c>
      <c r="AH1245">
        <v>0</v>
      </c>
      <c r="AI1245">
        <v>0</v>
      </c>
      <c r="AJ1245">
        <v>1</v>
      </c>
      <c r="AK1245">
        <v>0.02</v>
      </c>
      <c r="AL1245">
        <v>16</v>
      </c>
      <c r="AM1245">
        <v>0</v>
      </c>
      <c r="AN1245">
        <v>0</v>
      </c>
      <c r="AO1245">
        <v>0</v>
      </c>
      <c r="AP1245">
        <v>1</v>
      </c>
      <c r="AQ1245">
        <v>0.01</v>
      </c>
      <c r="AX1245">
        <v>7</v>
      </c>
      <c r="AY1245" s="1">
        <v>18</v>
      </c>
      <c r="AZ1245">
        <v>0</v>
      </c>
      <c r="BA1245">
        <v>0</v>
      </c>
      <c r="BB1245">
        <v>1</v>
      </c>
      <c r="BC1245" s="7">
        <v>0.32</v>
      </c>
      <c r="BD1245">
        <v>30</v>
      </c>
      <c r="BE1245">
        <v>0</v>
      </c>
      <c r="BF1245">
        <v>0</v>
      </c>
      <c r="BG1245">
        <v>0</v>
      </c>
      <c r="BH1245">
        <v>5</v>
      </c>
      <c r="BI1245">
        <v>2.4</v>
      </c>
      <c r="BJ1245">
        <v>31</v>
      </c>
      <c r="BK1245">
        <v>0</v>
      </c>
      <c r="BL1245">
        <v>0</v>
      </c>
      <c r="BM1245">
        <v>0</v>
      </c>
      <c r="BN1245">
        <v>5</v>
      </c>
      <c r="BO1245">
        <v>2.4</v>
      </c>
      <c r="BP1245">
        <v>36</v>
      </c>
      <c r="BQ1245">
        <v>0</v>
      </c>
      <c r="BR1245">
        <v>0</v>
      </c>
      <c r="BS1245">
        <v>0</v>
      </c>
      <c r="BT1245">
        <v>5</v>
      </c>
      <c r="BU1245">
        <v>1.8</v>
      </c>
    </row>
    <row r="1246" spans="1:73" ht="14.25" x14ac:dyDescent="0.15">
      <c r="A1246" s="12">
        <v>20943</v>
      </c>
      <c r="B1246">
        <v>7</v>
      </c>
      <c r="C1246" s="1">
        <v>47</v>
      </c>
      <c r="D1246">
        <v>0</v>
      </c>
      <c r="E1246">
        <v>0</v>
      </c>
      <c r="F1246">
        <v>1</v>
      </c>
      <c r="G1246" s="7">
        <v>0.05</v>
      </c>
      <c r="H1246">
        <v>12</v>
      </c>
      <c r="I1246">
        <v>0</v>
      </c>
      <c r="J1246">
        <v>0</v>
      </c>
      <c r="K1246">
        <v>0</v>
      </c>
      <c r="L1246">
        <v>1</v>
      </c>
      <c r="M1246">
        <v>2</v>
      </c>
      <c r="N1246" s="7">
        <v>9</v>
      </c>
      <c r="O1246" s="7">
        <v>0</v>
      </c>
      <c r="P1246" s="7">
        <v>0</v>
      </c>
      <c r="Q1246" s="7">
        <v>0</v>
      </c>
      <c r="R1246" s="7">
        <v>1</v>
      </c>
      <c r="S1246" s="7">
        <v>4.5</v>
      </c>
      <c r="T1246">
        <v>7</v>
      </c>
      <c r="U1246" s="1">
        <v>35</v>
      </c>
      <c r="V1246">
        <v>0</v>
      </c>
      <c r="W1246">
        <v>0</v>
      </c>
      <c r="X1246">
        <v>1</v>
      </c>
      <c r="Y1246">
        <v>0.16</v>
      </c>
      <c r="Z1246">
        <v>23</v>
      </c>
      <c r="AA1246">
        <v>0</v>
      </c>
      <c r="AB1246">
        <v>0</v>
      </c>
      <c r="AC1246">
        <v>0</v>
      </c>
      <c r="AD1246">
        <v>1</v>
      </c>
      <c r="AE1246">
        <v>0.05</v>
      </c>
      <c r="AF1246">
        <v>15</v>
      </c>
      <c r="AG1246">
        <v>0</v>
      </c>
      <c r="AH1246">
        <v>0</v>
      </c>
      <c r="AI1246">
        <v>0</v>
      </c>
      <c r="AJ1246">
        <v>1</v>
      </c>
      <c r="AK1246">
        <v>0.02</v>
      </c>
      <c r="AL1246">
        <v>16</v>
      </c>
      <c r="AM1246">
        <v>0</v>
      </c>
      <c r="AN1246">
        <v>0</v>
      </c>
      <c r="AO1246">
        <v>0</v>
      </c>
      <c r="AP1246">
        <v>1</v>
      </c>
      <c r="AQ1246">
        <v>0.01</v>
      </c>
      <c r="AX1246">
        <v>7</v>
      </c>
      <c r="AY1246" s="1">
        <v>19</v>
      </c>
      <c r="AZ1246">
        <v>0</v>
      </c>
      <c r="BA1246">
        <v>0</v>
      </c>
      <c r="BB1246">
        <v>1</v>
      </c>
      <c r="BC1246" s="7">
        <v>0.32</v>
      </c>
      <c r="BD1246">
        <v>30</v>
      </c>
      <c r="BE1246">
        <v>0</v>
      </c>
      <c r="BF1246">
        <v>0</v>
      </c>
      <c r="BG1246">
        <v>0</v>
      </c>
      <c r="BH1246">
        <v>5</v>
      </c>
      <c r="BI1246">
        <v>2.4</v>
      </c>
      <c r="BJ1246">
        <v>31</v>
      </c>
      <c r="BK1246">
        <v>0</v>
      </c>
      <c r="BL1246">
        <v>0</v>
      </c>
      <c r="BM1246">
        <v>0</v>
      </c>
      <c r="BN1246">
        <v>5</v>
      </c>
      <c r="BO1246">
        <v>2.4</v>
      </c>
      <c r="BP1246">
        <v>36</v>
      </c>
      <c r="BQ1246">
        <v>0</v>
      </c>
      <c r="BR1246">
        <v>0</v>
      </c>
      <c r="BS1246">
        <v>0</v>
      </c>
      <c r="BT1246">
        <v>5</v>
      </c>
      <c r="BU1246">
        <v>1.8</v>
      </c>
    </row>
    <row r="1247" spans="1:73" ht="14.25" x14ac:dyDescent="0.15">
      <c r="A1247" s="12">
        <v>20944</v>
      </c>
      <c r="B1247">
        <v>7</v>
      </c>
      <c r="C1247" s="1">
        <v>48</v>
      </c>
      <c r="D1247">
        <v>0</v>
      </c>
      <c r="E1247">
        <v>0</v>
      </c>
      <c r="F1247">
        <v>1</v>
      </c>
      <c r="G1247" s="7">
        <v>0.05</v>
      </c>
      <c r="H1247">
        <v>12</v>
      </c>
      <c r="I1247">
        <v>0</v>
      </c>
      <c r="J1247">
        <v>0</v>
      </c>
      <c r="K1247">
        <v>0</v>
      </c>
      <c r="L1247">
        <v>1</v>
      </c>
      <c r="M1247">
        <v>2</v>
      </c>
      <c r="N1247" s="7">
        <v>9</v>
      </c>
      <c r="O1247" s="7">
        <v>0</v>
      </c>
      <c r="P1247" s="7">
        <v>0</v>
      </c>
      <c r="Q1247" s="7">
        <v>0</v>
      </c>
      <c r="R1247" s="7">
        <v>1</v>
      </c>
      <c r="S1247" s="7">
        <v>4.5</v>
      </c>
      <c r="T1247">
        <v>7</v>
      </c>
      <c r="U1247" s="1">
        <v>36</v>
      </c>
      <c r="V1247">
        <v>0</v>
      </c>
      <c r="W1247">
        <v>0</v>
      </c>
      <c r="X1247">
        <v>1</v>
      </c>
      <c r="Y1247">
        <v>0.16</v>
      </c>
      <c r="Z1247">
        <v>23</v>
      </c>
      <c r="AA1247">
        <v>0</v>
      </c>
      <c r="AB1247">
        <v>0</v>
      </c>
      <c r="AC1247">
        <v>0</v>
      </c>
      <c r="AD1247">
        <v>1</v>
      </c>
      <c r="AE1247">
        <v>0.05</v>
      </c>
      <c r="AF1247">
        <v>15</v>
      </c>
      <c r="AG1247">
        <v>0</v>
      </c>
      <c r="AH1247">
        <v>0</v>
      </c>
      <c r="AI1247">
        <v>0</v>
      </c>
      <c r="AJ1247">
        <v>1</v>
      </c>
      <c r="AK1247">
        <v>0.02</v>
      </c>
      <c r="AL1247">
        <v>16</v>
      </c>
      <c r="AM1247">
        <v>0</v>
      </c>
      <c r="AN1247">
        <v>0</v>
      </c>
      <c r="AO1247">
        <v>0</v>
      </c>
      <c r="AP1247">
        <v>1</v>
      </c>
      <c r="AQ1247">
        <v>0.01</v>
      </c>
      <c r="AX1247">
        <v>7</v>
      </c>
      <c r="AY1247" s="1">
        <v>20</v>
      </c>
      <c r="AZ1247">
        <v>0</v>
      </c>
      <c r="BA1247">
        <v>0</v>
      </c>
      <c r="BB1247">
        <v>1</v>
      </c>
      <c r="BC1247" s="7">
        <v>0.32</v>
      </c>
      <c r="BD1247">
        <v>30</v>
      </c>
      <c r="BE1247">
        <v>0</v>
      </c>
      <c r="BF1247">
        <v>0</v>
      </c>
      <c r="BG1247">
        <v>0</v>
      </c>
      <c r="BH1247">
        <v>5</v>
      </c>
      <c r="BI1247">
        <v>2.4</v>
      </c>
      <c r="BJ1247">
        <v>31</v>
      </c>
      <c r="BK1247">
        <v>0</v>
      </c>
      <c r="BL1247">
        <v>0</v>
      </c>
      <c r="BM1247">
        <v>0</v>
      </c>
      <c r="BN1247">
        <v>5</v>
      </c>
      <c r="BO1247">
        <v>2.4</v>
      </c>
      <c r="BP1247">
        <v>36</v>
      </c>
      <c r="BQ1247">
        <v>0</v>
      </c>
      <c r="BR1247">
        <v>0</v>
      </c>
      <c r="BS1247">
        <v>0</v>
      </c>
      <c r="BT1247">
        <v>5</v>
      </c>
      <c r="BU1247">
        <v>1.8</v>
      </c>
    </row>
    <row r="1248" spans="1:73" ht="14.25" x14ac:dyDescent="0.15">
      <c r="A1248" s="12">
        <v>20945</v>
      </c>
      <c r="B1248">
        <v>7</v>
      </c>
      <c r="C1248" s="1">
        <v>0</v>
      </c>
      <c r="D1248">
        <v>5</v>
      </c>
      <c r="E1248">
        <v>1</v>
      </c>
      <c r="F1248">
        <v>1</v>
      </c>
      <c r="G1248" s="7">
        <v>0.05</v>
      </c>
      <c r="H1248">
        <v>12</v>
      </c>
      <c r="I1248">
        <v>0</v>
      </c>
      <c r="J1248">
        <v>0</v>
      </c>
      <c r="K1248">
        <v>0</v>
      </c>
      <c r="L1248">
        <v>1</v>
      </c>
      <c r="M1248">
        <v>2</v>
      </c>
      <c r="N1248" s="7">
        <v>9</v>
      </c>
      <c r="O1248" s="7">
        <v>0</v>
      </c>
      <c r="P1248" s="7">
        <v>0</v>
      </c>
      <c r="Q1248" s="7">
        <v>0</v>
      </c>
      <c r="R1248" s="7">
        <v>1</v>
      </c>
      <c r="S1248" s="7">
        <v>4.5</v>
      </c>
      <c r="T1248">
        <v>7</v>
      </c>
      <c r="U1248" s="1">
        <v>0</v>
      </c>
      <c r="V1248">
        <v>4</v>
      </c>
      <c r="W1248">
        <v>2</v>
      </c>
      <c r="X1248">
        <v>1</v>
      </c>
      <c r="Y1248">
        <v>0.16</v>
      </c>
      <c r="Z1248">
        <v>23</v>
      </c>
      <c r="AA1248">
        <v>0</v>
      </c>
      <c r="AB1248">
        <v>0</v>
      </c>
      <c r="AC1248">
        <v>0</v>
      </c>
      <c r="AD1248">
        <v>1</v>
      </c>
      <c r="AE1248">
        <v>0.05</v>
      </c>
      <c r="AF1248">
        <v>15</v>
      </c>
      <c r="AG1248">
        <v>0</v>
      </c>
      <c r="AH1248">
        <v>0</v>
      </c>
      <c r="AI1248">
        <v>0</v>
      </c>
      <c r="AJ1248">
        <v>1</v>
      </c>
      <c r="AK1248">
        <v>0.02</v>
      </c>
      <c r="AL1248">
        <v>16</v>
      </c>
      <c r="AM1248">
        <v>0</v>
      </c>
      <c r="AN1248">
        <v>0</v>
      </c>
      <c r="AO1248">
        <v>0</v>
      </c>
      <c r="AP1248">
        <v>1</v>
      </c>
      <c r="AQ1248">
        <v>0.01</v>
      </c>
      <c r="AR1248">
        <v>6</v>
      </c>
      <c r="AS1248">
        <v>2</v>
      </c>
      <c r="AT1248">
        <v>4</v>
      </c>
      <c r="AU1248">
        <v>5</v>
      </c>
      <c r="AV1248">
        <v>1</v>
      </c>
      <c r="AW1248">
        <v>0.01</v>
      </c>
      <c r="AX1248">
        <v>7</v>
      </c>
      <c r="AY1248" s="1">
        <v>0</v>
      </c>
      <c r="AZ1248">
        <v>3</v>
      </c>
      <c r="BA1248">
        <v>1</v>
      </c>
      <c r="BB1248">
        <v>1</v>
      </c>
      <c r="BC1248" s="7">
        <v>0.32</v>
      </c>
      <c r="BD1248">
        <v>30</v>
      </c>
      <c r="BE1248">
        <v>0</v>
      </c>
      <c r="BF1248">
        <v>0</v>
      </c>
      <c r="BG1248">
        <v>0</v>
      </c>
      <c r="BH1248">
        <v>5</v>
      </c>
      <c r="BI1248">
        <v>2.4</v>
      </c>
      <c r="BJ1248">
        <v>31</v>
      </c>
      <c r="BK1248">
        <v>0</v>
      </c>
      <c r="BL1248">
        <v>0</v>
      </c>
      <c r="BM1248">
        <v>0</v>
      </c>
      <c r="BN1248">
        <v>5</v>
      </c>
      <c r="BO1248">
        <v>2.4</v>
      </c>
      <c r="BP1248">
        <v>36</v>
      </c>
      <c r="BQ1248">
        <v>0</v>
      </c>
      <c r="BR1248">
        <v>0</v>
      </c>
      <c r="BS1248">
        <v>0</v>
      </c>
      <c r="BT1248">
        <v>5</v>
      </c>
      <c r="BU1248">
        <v>1.8</v>
      </c>
    </row>
    <row r="1249" spans="1:73" ht="14.25" x14ac:dyDescent="0.15">
      <c r="A1249" s="12">
        <v>20946</v>
      </c>
      <c r="B1249">
        <v>7</v>
      </c>
      <c r="C1249" s="1">
        <v>45</v>
      </c>
      <c r="D1249">
        <v>0</v>
      </c>
      <c r="E1249">
        <v>0</v>
      </c>
      <c r="F1249">
        <v>1</v>
      </c>
      <c r="G1249" s="7">
        <v>0.05</v>
      </c>
      <c r="H1249">
        <v>12</v>
      </c>
      <c r="I1249">
        <v>0</v>
      </c>
      <c r="J1249">
        <v>0</v>
      </c>
      <c r="K1249">
        <v>0</v>
      </c>
      <c r="L1249">
        <v>1</v>
      </c>
      <c r="M1249">
        <v>2</v>
      </c>
      <c r="N1249" s="7">
        <v>9</v>
      </c>
      <c r="O1249" s="7">
        <v>0</v>
      </c>
      <c r="P1249" s="7">
        <v>0</v>
      </c>
      <c r="Q1249" s="7">
        <v>0</v>
      </c>
      <c r="R1249" s="7">
        <v>1</v>
      </c>
      <c r="S1249" s="7">
        <v>4.5</v>
      </c>
      <c r="T1249">
        <v>7</v>
      </c>
      <c r="U1249" s="1">
        <v>33</v>
      </c>
      <c r="V1249">
        <v>0</v>
      </c>
      <c r="W1249">
        <v>0</v>
      </c>
      <c r="X1249">
        <v>1</v>
      </c>
      <c r="Y1249">
        <v>0.16</v>
      </c>
      <c r="Z1249">
        <v>23</v>
      </c>
      <c r="AA1249">
        <v>0</v>
      </c>
      <c r="AB1249">
        <v>0</v>
      </c>
      <c r="AC1249">
        <v>0</v>
      </c>
      <c r="AD1249">
        <v>1</v>
      </c>
      <c r="AE1249">
        <v>0.05</v>
      </c>
      <c r="AF1249">
        <v>15</v>
      </c>
      <c r="AG1249">
        <v>0</v>
      </c>
      <c r="AH1249">
        <v>0</v>
      </c>
      <c r="AI1249">
        <v>0</v>
      </c>
      <c r="AJ1249">
        <v>1</v>
      </c>
      <c r="AK1249">
        <v>0.02</v>
      </c>
      <c r="AL1249">
        <v>16</v>
      </c>
      <c r="AM1249">
        <v>0</v>
      </c>
      <c r="AN1249">
        <v>0</v>
      </c>
      <c r="AO1249">
        <v>0</v>
      </c>
      <c r="AP1249">
        <v>1</v>
      </c>
      <c r="AQ1249">
        <v>0.01</v>
      </c>
      <c r="AX1249">
        <v>7</v>
      </c>
      <c r="AY1249" s="1">
        <v>17</v>
      </c>
      <c r="AZ1249">
        <v>0</v>
      </c>
      <c r="BA1249">
        <v>0</v>
      </c>
      <c r="BB1249">
        <v>1</v>
      </c>
      <c r="BC1249" s="7">
        <v>0.32</v>
      </c>
      <c r="BD1249">
        <v>30</v>
      </c>
      <c r="BE1249">
        <v>0</v>
      </c>
      <c r="BF1249">
        <v>0</v>
      </c>
      <c r="BG1249">
        <v>0</v>
      </c>
      <c r="BH1249">
        <v>5</v>
      </c>
      <c r="BI1249">
        <v>2.4</v>
      </c>
      <c r="BJ1249">
        <v>31</v>
      </c>
      <c r="BK1249">
        <v>0</v>
      </c>
      <c r="BL1249">
        <v>0</v>
      </c>
      <c r="BM1249">
        <v>0</v>
      </c>
      <c r="BN1249">
        <v>5</v>
      </c>
      <c r="BO1249">
        <v>2.4</v>
      </c>
      <c r="BP1249">
        <v>36</v>
      </c>
      <c r="BQ1249">
        <v>0</v>
      </c>
      <c r="BR1249">
        <v>0</v>
      </c>
      <c r="BS1249">
        <v>0</v>
      </c>
      <c r="BT1249">
        <v>5</v>
      </c>
      <c r="BU1249">
        <v>1.8</v>
      </c>
    </row>
    <row r="1250" spans="1:73" ht="14.25" x14ac:dyDescent="0.15">
      <c r="A1250" s="12">
        <v>20947</v>
      </c>
      <c r="B1250">
        <v>7</v>
      </c>
      <c r="C1250" s="1">
        <v>46</v>
      </c>
      <c r="D1250">
        <v>0</v>
      </c>
      <c r="E1250">
        <v>0</v>
      </c>
      <c r="F1250">
        <v>1</v>
      </c>
      <c r="G1250" s="7">
        <v>0.05</v>
      </c>
      <c r="H1250">
        <v>12</v>
      </c>
      <c r="I1250">
        <v>0</v>
      </c>
      <c r="J1250">
        <v>0</v>
      </c>
      <c r="K1250">
        <v>0</v>
      </c>
      <c r="L1250">
        <v>1</v>
      </c>
      <c r="M1250">
        <v>2</v>
      </c>
      <c r="N1250" s="7">
        <v>9</v>
      </c>
      <c r="O1250" s="7">
        <v>0</v>
      </c>
      <c r="P1250" s="7">
        <v>0</v>
      </c>
      <c r="Q1250" s="7">
        <v>0</v>
      </c>
      <c r="R1250" s="7">
        <v>1</v>
      </c>
      <c r="S1250" s="7">
        <v>4.5</v>
      </c>
      <c r="T1250">
        <v>7</v>
      </c>
      <c r="U1250" s="1">
        <v>34</v>
      </c>
      <c r="V1250">
        <v>0</v>
      </c>
      <c r="W1250">
        <v>0</v>
      </c>
      <c r="X1250">
        <v>1</v>
      </c>
      <c r="Y1250">
        <v>0.16</v>
      </c>
      <c r="Z1250">
        <v>23</v>
      </c>
      <c r="AA1250">
        <v>0</v>
      </c>
      <c r="AB1250">
        <v>0</v>
      </c>
      <c r="AC1250">
        <v>0</v>
      </c>
      <c r="AD1250">
        <v>1</v>
      </c>
      <c r="AE1250">
        <v>0.05</v>
      </c>
      <c r="AF1250">
        <v>15</v>
      </c>
      <c r="AG1250">
        <v>0</v>
      </c>
      <c r="AH1250">
        <v>0</v>
      </c>
      <c r="AI1250">
        <v>0</v>
      </c>
      <c r="AJ1250">
        <v>1</v>
      </c>
      <c r="AK1250">
        <v>0.02</v>
      </c>
      <c r="AL1250">
        <v>16</v>
      </c>
      <c r="AM1250">
        <v>0</v>
      </c>
      <c r="AN1250">
        <v>0</v>
      </c>
      <c r="AO1250">
        <v>0</v>
      </c>
      <c r="AP1250">
        <v>1</v>
      </c>
      <c r="AQ1250">
        <v>0.01</v>
      </c>
      <c r="AX1250">
        <v>7</v>
      </c>
      <c r="AY1250" s="1">
        <v>18</v>
      </c>
      <c r="AZ1250">
        <v>0</v>
      </c>
      <c r="BA1250">
        <v>0</v>
      </c>
      <c r="BB1250">
        <v>1</v>
      </c>
      <c r="BC1250" s="7">
        <v>0.32</v>
      </c>
      <c r="BD1250">
        <v>30</v>
      </c>
      <c r="BE1250">
        <v>0</v>
      </c>
      <c r="BF1250">
        <v>0</v>
      </c>
      <c r="BG1250">
        <v>0</v>
      </c>
      <c r="BH1250">
        <v>5</v>
      </c>
      <c r="BI1250">
        <v>2.4</v>
      </c>
      <c r="BJ1250">
        <v>31</v>
      </c>
      <c r="BK1250">
        <v>0</v>
      </c>
      <c r="BL1250">
        <v>0</v>
      </c>
      <c r="BM1250">
        <v>0</v>
      </c>
      <c r="BN1250">
        <v>5</v>
      </c>
      <c r="BO1250">
        <v>2.4</v>
      </c>
      <c r="BP1250">
        <v>36</v>
      </c>
      <c r="BQ1250">
        <v>0</v>
      </c>
      <c r="BR1250">
        <v>0</v>
      </c>
      <c r="BS1250">
        <v>0</v>
      </c>
      <c r="BT1250">
        <v>5</v>
      </c>
      <c r="BU1250">
        <v>1.8</v>
      </c>
    </row>
    <row r="1251" spans="1:73" ht="14.25" x14ac:dyDescent="0.15">
      <c r="A1251" s="12">
        <v>20948</v>
      </c>
      <c r="B1251">
        <v>7</v>
      </c>
      <c r="C1251" s="1">
        <v>47</v>
      </c>
      <c r="D1251">
        <v>0</v>
      </c>
      <c r="E1251">
        <v>0</v>
      </c>
      <c r="F1251">
        <v>1</v>
      </c>
      <c r="G1251" s="7">
        <v>0.05</v>
      </c>
      <c r="H1251">
        <v>12</v>
      </c>
      <c r="I1251">
        <v>0</v>
      </c>
      <c r="J1251">
        <v>0</v>
      </c>
      <c r="K1251">
        <v>0</v>
      </c>
      <c r="L1251">
        <v>1</v>
      </c>
      <c r="M1251">
        <v>2</v>
      </c>
      <c r="N1251" s="7">
        <v>9</v>
      </c>
      <c r="O1251" s="7">
        <v>0</v>
      </c>
      <c r="P1251" s="7">
        <v>0</v>
      </c>
      <c r="Q1251" s="7">
        <v>0</v>
      </c>
      <c r="R1251" s="7">
        <v>1</v>
      </c>
      <c r="S1251" s="7">
        <v>4.5</v>
      </c>
      <c r="T1251">
        <v>7</v>
      </c>
      <c r="U1251" s="1">
        <v>35</v>
      </c>
      <c r="V1251">
        <v>0</v>
      </c>
      <c r="W1251">
        <v>0</v>
      </c>
      <c r="X1251">
        <v>1</v>
      </c>
      <c r="Y1251">
        <v>0.16</v>
      </c>
      <c r="Z1251">
        <v>23</v>
      </c>
      <c r="AA1251">
        <v>0</v>
      </c>
      <c r="AB1251">
        <v>0</v>
      </c>
      <c r="AC1251">
        <v>0</v>
      </c>
      <c r="AD1251">
        <v>1</v>
      </c>
      <c r="AE1251">
        <v>0.05</v>
      </c>
      <c r="AF1251">
        <v>15</v>
      </c>
      <c r="AG1251">
        <v>0</v>
      </c>
      <c r="AH1251">
        <v>0</v>
      </c>
      <c r="AI1251">
        <v>0</v>
      </c>
      <c r="AJ1251">
        <v>1</v>
      </c>
      <c r="AK1251">
        <v>0.02</v>
      </c>
      <c r="AL1251">
        <v>16</v>
      </c>
      <c r="AM1251">
        <v>0</v>
      </c>
      <c r="AN1251">
        <v>0</v>
      </c>
      <c r="AO1251">
        <v>0</v>
      </c>
      <c r="AP1251">
        <v>1</v>
      </c>
      <c r="AQ1251">
        <v>0.01</v>
      </c>
      <c r="AX1251">
        <v>7</v>
      </c>
      <c r="AY1251" s="1">
        <v>19</v>
      </c>
      <c r="AZ1251">
        <v>0</v>
      </c>
      <c r="BA1251">
        <v>0</v>
      </c>
      <c r="BB1251">
        <v>1</v>
      </c>
      <c r="BC1251" s="7">
        <v>0.32</v>
      </c>
      <c r="BD1251">
        <v>30</v>
      </c>
      <c r="BE1251">
        <v>0</v>
      </c>
      <c r="BF1251">
        <v>0</v>
      </c>
      <c r="BG1251">
        <v>0</v>
      </c>
      <c r="BH1251">
        <v>5</v>
      </c>
      <c r="BI1251">
        <v>2.4</v>
      </c>
      <c r="BJ1251">
        <v>31</v>
      </c>
      <c r="BK1251">
        <v>0</v>
      </c>
      <c r="BL1251">
        <v>0</v>
      </c>
      <c r="BM1251">
        <v>0</v>
      </c>
      <c r="BN1251">
        <v>5</v>
      </c>
      <c r="BO1251">
        <v>2.4</v>
      </c>
      <c r="BP1251">
        <v>36</v>
      </c>
      <c r="BQ1251">
        <v>0</v>
      </c>
      <c r="BR1251">
        <v>0</v>
      </c>
      <c r="BS1251">
        <v>0</v>
      </c>
      <c r="BT1251">
        <v>5</v>
      </c>
      <c r="BU1251">
        <v>1.8</v>
      </c>
    </row>
    <row r="1252" spans="1:73" ht="14.25" x14ac:dyDescent="0.15">
      <c r="A1252" s="12">
        <v>20949</v>
      </c>
      <c r="B1252">
        <v>7</v>
      </c>
      <c r="C1252" s="1">
        <v>48</v>
      </c>
      <c r="D1252">
        <v>0</v>
      </c>
      <c r="E1252">
        <v>0</v>
      </c>
      <c r="F1252">
        <v>1</v>
      </c>
      <c r="G1252" s="7">
        <v>0.05</v>
      </c>
      <c r="H1252">
        <v>12</v>
      </c>
      <c r="I1252">
        <v>0</v>
      </c>
      <c r="J1252">
        <v>0</v>
      </c>
      <c r="K1252">
        <v>0</v>
      </c>
      <c r="L1252">
        <v>1</v>
      </c>
      <c r="M1252">
        <v>2</v>
      </c>
      <c r="N1252" s="7">
        <v>9</v>
      </c>
      <c r="O1252" s="7">
        <v>0</v>
      </c>
      <c r="P1252" s="7">
        <v>0</v>
      </c>
      <c r="Q1252" s="7">
        <v>0</v>
      </c>
      <c r="R1252" s="7">
        <v>1</v>
      </c>
      <c r="S1252" s="7">
        <v>4.5</v>
      </c>
      <c r="T1252">
        <v>7</v>
      </c>
      <c r="U1252" s="1">
        <v>36</v>
      </c>
      <c r="V1252">
        <v>0</v>
      </c>
      <c r="W1252">
        <v>0</v>
      </c>
      <c r="X1252">
        <v>1</v>
      </c>
      <c r="Y1252">
        <v>0.16</v>
      </c>
      <c r="Z1252">
        <v>23</v>
      </c>
      <c r="AA1252">
        <v>0</v>
      </c>
      <c r="AB1252">
        <v>0</v>
      </c>
      <c r="AC1252">
        <v>0</v>
      </c>
      <c r="AD1252">
        <v>1</v>
      </c>
      <c r="AE1252">
        <v>0.05</v>
      </c>
      <c r="AF1252">
        <v>15</v>
      </c>
      <c r="AG1252">
        <v>0</v>
      </c>
      <c r="AH1252">
        <v>0</v>
      </c>
      <c r="AI1252">
        <v>0</v>
      </c>
      <c r="AJ1252">
        <v>1</v>
      </c>
      <c r="AK1252">
        <v>0.02</v>
      </c>
      <c r="AL1252">
        <v>16</v>
      </c>
      <c r="AM1252">
        <v>0</v>
      </c>
      <c r="AN1252">
        <v>0</v>
      </c>
      <c r="AO1252">
        <v>0</v>
      </c>
      <c r="AP1252">
        <v>1</v>
      </c>
      <c r="AQ1252">
        <v>0.01</v>
      </c>
      <c r="AX1252">
        <v>7</v>
      </c>
      <c r="AY1252" s="1">
        <v>20</v>
      </c>
      <c r="AZ1252">
        <v>0</v>
      </c>
      <c r="BA1252">
        <v>0</v>
      </c>
      <c r="BB1252">
        <v>1</v>
      </c>
      <c r="BC1252" s="7">
        <v>0.32</v>
      </c>
      <c r="BD1252">
        <v>30</v>
      </c>
      <c r="BE1252">
        <v>0</v>
      </c>
      <c r="BF1252">
        <v>0</v>
      </c>
      <c r="BG1252">
        <v>0</v>
      </c>
      <c r="BH1252">
        <v>5</v>
      </c>
      <c r="BI1252">
        <v>2.4</v>
      </c>
      <c r="BJ1252">
        <v>31</v>
      </c>
      <c r="BK1252">
        <v>0</v>
      </c>
      <c r="BL1252">
        <v>0</v>
      </c>
      <c r="BM1252">
        <v>0</v>
      </c>
      <c r="BN1252">
        <v>5</v>
      </c>
      <c r="BO1252">
        <v>2.4</v>
      </c>
      <c r="BP1252">
        <v>36</v>
      </c>
      <c r="BQ1252">
        <v>0</v>
      </c>
      <c r="BR1252">
        <v>0</v>
      </c>
      <c r="BS1252">
        <v>0</v>
      </c>
      <c r="BT1252">
        <v>5</v>
      </c>
      <c r="BU1252">
        <v>1.8</v>
      </c>
    </row>
    <row r="1253" spans="1:73" ht="14.25" x14ac:dyDescent="0.15">
      <c r="A1253" s="12">
        <v>20950</v>
      </c>
      <c r="B1253">
        <v>7</v>
      </c>
      <c r="C1253" s="1">
        <v>0</v>
      </c>
      <c r="D1253">
        <v>5</v>
      </c>
      <c r="E1253">
        <v>1</v>
      </c>
      <c r="F1253">
        <v>1</v>
      </c>
      <c r="G1253" s="7">
        <v>0.05</v>
      </c>
      <c r="H1253">
        <v>12</v>
      </c>
      <c r="I1253">
        <v>0</v>
      </c>
      <c r="J1253">
        <v>0</v>
      </c>
      <c r="K1253">
        <v>0</v>
      </c>
      <c r="L1253">
        <v>1</v>
      </c>
      <c r="M1253">
        <v>2</v>
      </c>
      <c r="N1253" s="7">
        <v>9</v>
      </c>
      <c r="O1253" s="7">
        <v>0</v>
      </c>
      <c r="P1253" s="7">
        <v>0</v>
      </c>
      <c r="Q1253" s="7">
        <v>0</v>
      </c>
      <c r="R1253" s="7">
        <v>1</v>
      </c>
      <c r="S1253" s="7">
        <v>4.5</v>
      </c>
      <c r="T1253">
        <v>7</v>
      </c>
      <c r="U1253" s="1">
        <v>0</v>
      </c>
      <c r="V1253">
        <v>4</v>
      </c>
      <c r="W1253">
        <v>2</v>
      </c>
      <c r="X1253">
        <v>1</v>
      </c>
      <c r="Y1253">
        <v>0.16</v>
      </c>
      <c r="Z1253">
        <v>23</v>
      </c>
      <c r="AA1253">
        <v>0</v>
      </c>
      <c r="AB1253">
        <v>0</v>
      </c>
      <c r="AC1253">
        <v>0</v>
      </c>
      <c r="AD1253">
        <v>1</v>
      </c>
      <c r="AE1253">
        <v>0.05</v>
      </c>
      <c r="AF1253">
        <v>15</v>
      </c>
      <c r="AG1253">
        <v>0</v>
      </c>
      <c r="AH1253">
        <v>0</v>
      </c>
      <c r="AI1253">
        <v>0</v>
      </c>
      <c r="AJ1253">
        <v>1</v>
      </c>
      <c r="AK1253">
        <v>0.02</v>
      </c>
      <c r="AL1253">
        <v>16</v>
      </c>
      <c r="AM1253">
        <v>0</v>
      </c>
      <c r="AN1253">
        <v>0</v>
      </c>
      <c r="AO1253">
        <v>0</v>
      </c>
      <c r="AP1253">
        <v>1</v>
      </c>
      <c r="AQ1253">
        <v>0.01</v>
      </c>
      <c r="AR1253">
        <v>6</v>
      </c>
      <c r="AS1253">
        <v>2</v>
      </c>
      <c r="AT1253">
        <v>5</v>
      </c>
      <c r="AU1253">
        <v>5</v>
      </c>
      <c r="AV1253">
        <v>1</v>
      </c>
      <c r="AW1253">
        <v>0.01</v>
      </c>
      <c r="AX1253">
        <v>7</v>
      </c>
      <c r="AY1253" s="1">
        <v>0</v>
      </c>
      <c r="AZ1253">
        <v>3</v>
      </c>
      <c r="BA1253">
        <v>1</v>
      </c>
      <c r="BB1253">
        <v>1</v>
      </c>
      <c r="BC1253" s="7">
        <v>0.32</v>
      </c>
      <c r="BD1253">
        <v>30</v>
      </c>
      <c r="BE1253">
        <v>0</v>
      </c>
      <c r="BF1253">
        <v>0</v>
      </c>
      <c r="BG1253">
        <v>0</v>
      </c>
      <c r="BH1253">
        <v>5</v>
      </c>
      <c r="BI1253">
        <v>2.4</v>
      </c>
      <c r="BJ1253">
        <v>31</v>
      </c>
      <c r="BK1253">
        <v>0</v>
      </c>
      <c r="BL1253">
        <v>0</v>
      </c>
      <c r="BM1253">
        <v>0</v>
      </c>
      <c r="BN1253">
        <v>5</v>
      </c>
      <c r="BO1253">
        <v>2.4</v>
      </c>
      <c r="BP1253">
        <v>36</v>
      </c>
      <c r="BQ1253">
        <v>0</v>
      </c>
      <c r="BR1253">
        <v>0</v>
      </c>
      <c r="BS1253">
        <v>0</v>
      </c>
      <c r="BT1253">
        <v>5</v>
      </c>
      <c r="BU1253">
        <v>1.8</v>
      </c>
    </row>
    <row r="1254" spans="1:73" ht="14.25" x14ac:dyDescent="0.15">
      <c r="A1254" s="12">
        <v>21001</v>
      </c>
      <c r="B1254">
        <v>7</v>
      </c>
      <c r="C1254" s="1">
        <v>45</v>
      </c>
      <c r="D1254">
        <v>0</v>
      </c>
      <c r="E1254">
        <v>0</v>
      </c>
      <c r="F1254">
        <v>1</v>
      </c>
      <c r="G1254" s="7">
        <v>0.05</v>
      </c>
      <c r="H1254">
        <v>12</v>
      </c>
      <c r="I1254">
        <v>0</v>
      </c>
      <c r="J1254">
        <v>0</v>
      </c>
      <c r="K1254">
        <v>0</v>
      </c>
      <c r="L1254">
        <v>1</v>
      </c>
      <c r="M1254">
        <v>2</v>
      </c>
      <c r="N1254" s="7">
        <v>9</v>
      </c>
      <c r="O1254" s="7">
        <v>0</v>
      </c>
      <c r="P1254" s="7">
        <v>0</v>
      </c>
      <c r="Q1254" s="7">
        <v>0</v>
      </c>
      <c r="R1254" s="7">
        <v>1</v>
      </c>
      <c r="S1254" s="7">
        <v>4.5</v>
      </c>
      <c r="T1254">
        <v>7</v>
      </c>
      <c r="U1254" s="1">
        <v>33</v>
      </c>
      <c r="V1254">
        <v>0</v>
      </c>
      <c r="W1254">
        <v>0</v>
      </c>
      <c r="X1254">
        <v>1</v>
      </c>
      <c r="Y1254">
        <v>0.16</v>
      </c>
      <c r="Z1254">
        <v>23</v>
      </c>
      <c r="AA1254">
        <v>0</v>
      </c>
      <c r="AB1254">
        <v>0</v>
      </c>
      <c r="AC1254">
        <v>0</v>
      </c>
      <c r="AD1254">
        <v>1</v>
      </c>
      <c r="AE1254">
        <v>0.05</v>
      </c>
      <c r="AF1254">
        <v>15</v>
      </c>
      <c r="AG1254">
        <v>0</v>
      </c>
      <c r="AH1254">
        <v>0</v>
      </c>
      <c r="AI1254">
        <v>0</v>
      </c>
      <c r="AJ1254">
        <v>1</v>
      </c>
      <c r="AK1254">
        <v>0.02</v>
      </c>
      <c r="AL1254">
        <v>16</v>
      </c>
      <c r="AM1254">
        <v>0</v>
      </c>
      <c r="AN1254">
        <v>0</v>
      </c>
      <c r="AO1254">
        <v>0</v>
      </c>
      <c r="AP1254">
        <v>1</v>
      </c>
      <c r="AQ1254">
        <v>0.01</v>
      </c>
      <c r="AX1254">
        <v>7</v>
      </c>
      <c r="AY1254" s="1">
        <v>17</v>
      </c>
      <c r="AZ1254">
        <v>0</v>
      </c>
      <c r="BA1254">
        <v>0</v>
      </c>
      <c r="BB1254">
        <v>1</v>
      </c>
      <c r="BC1254" s="7">
        <v>0.32</v>
      </c>
      <c r="BD1254">
        <v>30</v>
      </c>
      <c r="BE1254">
        <v>0</v>
      </c>
      <c r="BF1254">
        <v>0</v>
      </c>
      <c r="BG1254">
        <v>0</v>
      </c>
      <c r="BH1254">
        <v>5</v>
      </c>
      <c r="BI1254">
        <v>2.4</v>
      </c>
      <c r="BJ1254">
        <v>31</v>
      </c>
      <c r="BK1254">
        <v>0</v>
      </c>
      <c r="BL1254">
        <v>0</v>
      </c>
      <c r="BM1254">
        <v>0</v>
      </c>
      <c r="BN1254">
        <v>5</v>
      </c>
      <c r="BO1254">
        <v>2.4</v>
      </c>
      <c r="BP1254">
        <v>36</v>
      </c>
      <c r="BQ1254">
        <v>0</v>
      </c>
      <c r="BR1254">
        <v>0</v>
      </c>
      <c r="BS1254">
        <v>0</v>
      </c>
      <c r="BT1254">
        <v>5</v>
      </c>
      <c r="BU1254">
        <v>1.8</v>
      </c>
    </row>
    <row r="1255" spans="1:73" ht="14.25" x14ac:dyDescent="0.15">
      <c r="A1255" s="12">
        <v>21002</v>
      </c>
      <c r="B1255">
        <v>7</v>
      </c>
      <c r="C1255" s="1">
        <v>46</v>
      </c>
      <c r="D1255">
        <v>0</v>
      </c>
      <c r="E1255">
        <v>0</v>
      </c>
      <c r="F1255">
        <v>1</v>
      </c>
      <c r="G1255" s="7">
        <v>0.05</v>
      </c>
      <c r="H1255">
        <v>12</v>
      </c>
      <c r="I1255">
        <v>0</v>
      </c>
      <c r="J1255">
        <v>0</v>
      </c>
      <c r="K1255">
        <v>0</v>
      </c>
      <c r="L1255">
        <v>1</v>
      </c>
      <c r="M1255">
        <v>2</v>
      </c>
      <c r="N1255" s="7">
        <v>9</v>
      </c>
      <c r="O1255" s="7">
        <v>0</v>
      </c>
      <c r="P1255" s="7">
        <v>0</v>
      </c>
      <c r="Q1255" s="7">
        <v>0</v>
      </c>
      <c r="R1255" s="7">
        <v>1</v>
      </c>
      <c r="S1255" s="7">
        <v>4.5</v>
      </c>
      <c r="T1255">
        <v>7</v>
      </c>
      <c r="U1255" s="1">
        <v>34</v>
      </c>
      <c r="V1255">
        <v>0</v>
      </c>
      <c r="W1255">
        <v>0</v>
      </c>
      <c r="X1255">
        <v>1</v>
      </c>
      <c r="Y1255">
        <v>0.16</v>
      </c>
      <c r="Z1255">
        <v>23</v>
      </c>
      <c r="AA1255">
        <v>0</v>
      </c>
      <c r="AB1255">
        <v>0</v>
      </c>
      <c r="AC1255">
        <v>0</v>
      </c>
      <c r="AD1255">
        <v>1</v>
      </c>
      <c r="AE1255">
        <v>0.05</v>
      </c>
      <c r="AF1255">
        <v>15</v>
      </c>
      <c r="AG1255">
        <v>0</v>
      </c>
      <c r="AH1255">
        <v>0</v>
      </c>
      <c r="AI1255">
        <v>0</v>
      </c>
      <c r="AJ1255">
        <v>1</v>
      </c>
      <c r="AK1255">
        <v>0.02</v>
      </c>
      <c r="AL1255">
        <v>16</v>
      </c>
      <c r="AM1255">
        <v>0</v>
      </c>
      <c r="AN1255">
        <v>0</v>
      </c>
      <c r="AO1255">
        <v>0</v>
      </c>
      <c r="AP1255">
        <v>1</v>
      </c>
      <c r="AQ1255">
        <v>0.01</v>
      </c>
      <c r="AX1255">
        <v>7</v>
      </c>
      <c r="AY1255" s="1">
        <v>18</v>
      </c>
      <c r="AZ1255">
        <v>0</v>
      </c>
      <c r="BA1255">
        <v>0</v>
      </c>
      <c r="BB1255">
        <v>1</v>
      </c>
      <c r="BC1255" s="7">
        <v>0.32</v>
      </c>
      <c r="BD1255">
        <v>30</v>
      </c>
      <c r="BE1255">
        <v>0</v>
      </c>
      <c r="BF1255">
        <v>0</v>
      </c>
      <c r="BG1255">
        <v>0</v>
      </c>
      <c r="BH1255">
        <v>5</v>
      </c>
      <c r="BI1255">
        <v>2.4</v>
      </c>
      <c r="BJ1255">
        <v>31</v>
      </c>
      <c r="BK1255">
        <v>0</v>
      </c>
      <c r="BL1255">
        <v>0</v>
      </c>
      <c r="BM1255">
        <v>0</v>
      </c>
      <c r="BN1255">
        <v>5</v>
      </c>
      <c r="BO1255">
        <v>2.4</v>
      </c>
      <c r="BP1255">
        <v>36</v>
      </c>
      <c r="BQ1255">
        <v>0</v>
      </c>
      <c r="BR1255">
        <v>0</v>
      </c>
      <c r="BS1255">
        <v>0</v>
      </c>
      <c r="BT1255">
        <v>5</v>
      </c>
      <c r="BU1255">
        <v>1.8</v>
      </c>
    </row>
    <row r="1256" spans="1:73" ht="14.25" x14ac:dyDescent="0.15">
      <c r="A1256" s="12">
        <v>21003</v>
      </c>
      <c r="B1256">
        <v>7</v>
      </c>
      <c r="C1256" s="1">
        <v>47</v>
      </c>
      <c r="D1256">
        <v>0</v>
      </c>
      <c r="E1256">
        <v>0</v>
      </c>
      <c r="F1256">
        <v>1</v>
      </c>
      <c r="G1256" s="7">
        <v>0.05</v>
      </c>
      <c r="H1256">
        <v>12</v>
      </c>
      <c r="I1256">
        <v>0</v>
      </c>
      <c r="J1256">
        <v>0</v>
      </c>
      <c r="K1256">
        <v>0</v>
      </c>
      <c r="L1256">
        <v>1</v>
      </c>
      <c r="M1256">
        <v>2</v>
      </c>
      <c r="N1256" s="7">
        <v>9</v>
      </c>
      <c r="O1256" s="7">
        <v>0</v>
      </c>
      <c r="P1256" s="7">
        <v>0</v>
      </c>
      <c r="Q1256" s="7">
        <v>0</v>
      </c>
      <c r="R1256" s="7">
        <v>1</v>
      </c>
      <c r="S1256" s="7">
        <v>4.5</v>
      </c>
      <c r="T1256">
        <v>7</v>
      </c>
      <c r="U1256" s="1">
        <v>35</v>
      </c>
      <c r="V1256">
        <v>0</v>
      </c>
      <c r="W1256">
        <v>0</v>
      </c>
      <c r="X1256">
        <v>1</v>
      </c>
      <c r="Y1256">
        <v>0.16</v>
      </c>
      <c r="Z1256">
        <v>23</v>
      </c>
      <c r="AA1256">
        <v>0</v>
      </c>
      <c r="AB1256">
        <v>0</v>
      </c>
      <c r="AC1256">
        <v>0</v>
      </c>
      <c r="AD1256">
        <v>1</v>
      </c>
      <c r="AE1256">
        <v>0.05</v>
      </c>
      <c r="AF1256">
        <v>15</v>
      </c>
      <c r="AG1256">
        <v>0</v>
      </c>
      <c r="AH1256">
        <v>0</v>
      </c>
      <c r="AI1256">
        <v>0</v>
      </c>
      <c r="AJ1256">
        <v>1</v>
      </c>
      <c r="AK1256">
        <v>0.02</v>
      </c>
      <c r="AL1256">
        <v>16</v>
      </c>
      <c r="AM1256">
        <v>0</v>
      </c>
      <c r="AN1256">
        <v>0</v>
      </c>
      <c r="AO1256">
        <v>0</v>
      </c>
      <c r="AP1256">
        <v>1</v>
      </c>
      <c r="AQ1256">
        <v>0.01</v>
      </c>
      <c r="AX1256">
        <v>7</v>
      </c>
      <c r="AY1256" s="1">
        <v>19</v>
      </c>
      <c r="AZ1256">
        <v>0</v>
      </c>
      <c r="BA1256">
        <v>0</v>
      </c>
      <c r="BB1256">
        <v>1</v>
      </c>
      <c r="BC1256" s="7">
        <v>0.32</v>
      </c>
      <c r="BD1256">
        <v>30</v>
      </c>
      <c r="BE1256">
        <v>0</v>
      </c>
      <c r="BF1256">
        <v>0</v>
      </c>
      <c r="BG1256">
        <v>0</v>
      </c>
      <c r="BH1256">
        <v>5</v>
      </c>
      <c r="BI1256">
        <v>2.4</v>
      </c>
      <c r="BJ1256">
        <v>31</v>
      </c>
      <c r="BK1256">
        <v>0</v>
      </c>
      <c r="BL1256">
        <v>0</v>
      </c>
      <c r="BM1256">
        <v>0</v>
      </c>
      <c r="BN1256">
        <v>5</v>
      </c>
      <c r="BO1256">
        <v>2.4</v>
      </c>
      <c r="BP1256">
        <v>36</v>
      </c>
      <c r="BQ1256">
        <v>0</v>
      </c>
      <c r="BR1256">
        <v>0</v>
      </c>
      <c r="BS1256">
        <v>0</v>
      </c>
      <c r="BT1256">
        <v>5</v>
      </c>
      <c r="BU1256">
        <v>1.8</v>
      </c>
    </row>
    <row r="1257" spans="1:73" ht="14.25" x14ac:dyDescent="0.15">
      <c r="A1257" s="12">
        <v>21004</v>
      </c>
      <c r="B1257">
        <v>7</v>
      </c>
      <c r="C1257" s="1">
        <v>48</v>
      </c>
      <c r="D1257">
        <v>0</v>
      </c>
      <c r="E1257">
        <v>0</v>
      </c>
      <c r="F1257">
        <v>1</v>
      </c>
      <c r="G1257" s="7">
        <v>0.05</v>
      </c>
      <c r="H1257">
        <v>12</v>
      </c>
      <c r="I1257">
        <v>0</v>
      </c>
      <c r="J1257">
        <v>0</v>
      </c>
      <c r="K1257">
        <v>0</v>
      </c>
      <c r="L1257">
        <v>1</v>
      </c>
      <c r="M1257">
        <v>2</v>
      </c>
      <c r="N1257" s="7">
        <v>9</v>
      </c>
      <c r="O1257" s="7">
        <v>0</v>
      </c>
      <c r="P1257" s="7">
        <v>0</v>
      </c>
      <c r="Q1257" s="7">
        <v>0</v>
      </c>
      <c r="R1257" s="7">
        <v>1</v>
      </c>
      <c r="S1257" s="7">
        <v>4.5</v>
      </c>
      <c r="T1257">
        <v>7</v>
      </c>
      <c r="U1257" s="1">
        <v>36</v>
      </c>
      <c r="V1257">
        <v>0</v>
      </c>
      <c r="W1257">
        <v>0</v>
      </c>
      <c r="X1257">
        <v>1</v>
      </c>
      <c r="Y1257">
        <v>0.16</v>
      </c>
      <c r="Z1257">
        <v>23</v>
      </c>
      <c r="AA1257">
        <v>0</v>
      </c>
      <c r="AB1257">
        <v>0</v>
      </c>
      <c r="AC1257">
        <v>0</v>
      </c>
      <c r="AD1257">
        <v>1</v>
      </c>
      <c r="AE1257">
        <v>0.05</v>
      </c>
      <c r="AF1257">
        <v>15</v>
      </c>
      <c r="AG1257">
        <v>0</v>
      </c>
      <c r="AH1257">
        <v>0</v>
      </c>
      <c r="AI1257">
        <v>0</v>
      </c>
      <c r="AJ1257">
        <v>1</v>
      </c>
      <c r="AK1257">
        <v>0.02</v>
      </c>
      <c r="AL1257">
        <v>16</v>
      </c>
      <c r="AM1257">
        <v>0</v>
      </c>
      <c r="AN1257">
        <v>0</v>
      </c>
      <c r="AO1257">
        <v>0</v>
      </c>
      <c r="AP1257">
        <v>1</v>
      </c>
      <c r="AQ1257">
        <v>0.01</v>
      </c>
      <c r="AX1257">
        <v>7</v>
      </c>
      <c r="AY1257" s="1">
        <v>20</v>
      </c>
      <c r="AZ1257">
        <v>0</v>
      </c>
      <c r="BA1257">
        <v>0</v>
      </c>
      <c r="BB1257">
        <v>1</v>
      </c>
      <c r="BC1257" s="7">
        <v>0.32</v>
      </c>
      <c r="BD1257">
        <v>30</v>
      </c>
      <c r="BE1257">
        <v>0</v>
      </c>
      <c r="BF1257">
        <v>0</v>
      </c>
      <c r="BG1257">
        <v>0</v>
      </c>
      <c r="BH1257">
        <v>5</v>
      </c>
      <c r="BI1257">
        <v>2.4</v>
      </c>
      <c r="BJ1257">
        <v>31</v>
      </c>
      <c r="BK1257">
        <v>0</v>
      </c>
      <c r="BL1257">
        <v>0</v>
      </c>
      <c r="BM1257">
        <v>0</v>
      </c>
      <c r="BN1257">
        <v>5</v>
      </c>
      <c r="BO1257">
        <v>2.4</v>
      </c>
      <c r="BP1257">
        <v>36</v>
      </c>
      <c r="BQ1257">
        <v>0</v>
      </c>
      <c r="BR1257">
        <v>0</v>
      </c>
      <c r="BS1257">
        <v>0</v>
      </c>
      <c r="BT1257">
        <v>5</v>
      </c>
      <c r="BU1257">
        <v>1.8</v>
      </c>
    </row>
    <row r="1258" spans="1:73" ht="14.25" x14ac:dyDescent="0.15">
      <c r="A1258" s="12">
        <v>21005</v>
      </c>
      <c r="B1258">
        <v>7</v>
      </c>
      <c r="C1258" s="1">
        <v>0</v>
      </c>
      <c r="D1258">
        <v>5</v>
      </c>
      <c r="E1258">
        <v>1</v>
      </c>
      <c r="F1258">
        <v>1</v>
      </c>
      <c r="G1258" s="7">
        <v>0.05</v>
      </c>
      <c r="H1258">
        <v>12</v>
      </c>
      <c r="I1258">
        <v>0</v>
      </c>
      <c r="J1258">
        <v>0</v>
      </c>
      <c r="K1258">
        <v>0</v>
      </c>
      <c r="L1258">
        <v>1</v>
      </c>
      <c r="M1258">
        <v>2</v>
      </c>
      <c r="N1258" s="7">
        <v>9</v>
      </c>
      <c r="O1258" s="7">
        <v>0</v>
      </c>
      <c r="P1258" s="7">
        <v>0</v>
      </c>
      <c r="Q1258" s="7">
        <v>0</v>
      </c>
      <c r="R1258" s="7">
        <v>1</v>
      </c>
      <c r="S1258" s="7">
        <v>4.5</v>
      </c>
      <c r="T1258">
        <v>7</v>
      </c>
      <c r="U1258" s="1">
        <v>0</v>
      </c>
      <c r="V1258">
        <v>4</v>
      </c>
      <c r="W1258">
        <v>2</v>
      </c>
      <c r="X1258">
        <v>1</v>
      </c>
      <c r="Y1258">
        <v>0.16</v>
      </c>
      <c r="Z1258">
        <v>23</v>
      </c>
      <c r="AA1258">
        <v>0</v>
      </c>
      <c r="AB1258">
        <v>0</v>
      </c>
      <c r="AC1258">
        <v>0</v>
      </c>
      <c r="AD1258">
        <v>1</v>
      </c>
      <c r="AE1258">
        <v>0.05</v>
      </c>
      <c r="AF1258">
        <v>15</v>
      </c>
      <c r="AG1258">
        <v>0</v>
      </c>
      <c r="AH1258">
        <v>0</v>
      </c>
      <c r="AI1258">
        <v>0</v>
      </c>
      <c r="AJ1258">
        <v>1</v>
      </c>
      <c r="AK1258">
        <v>0.02</v>
      </c>
      <c r="AL1258">
        <v>16</v>
      </c>
      <c r="AM1258">
        <v>0</v>
      </c>
      <c r="AN1258">
        <v>0</v>
      </c>
      <c r="AO1258">
        <v>0</v>
      </c>
      <c r="AP1258">
        <v>1</v>
      </c>
      <c r="AQ1258">
        <v>0.01</v>
      </c>
      <c r="AR1258">
        <v>6</v>
      </c>
      <c r="AS1258">
        <v>2</v>
      </c>
      <c r="AT1258">
        <v>1</v>
      </c>
      <c r="AU1258">
        <v>5</v>
      </c>
      <c r="AV1258">
        <v>1</v>
      </c>
      <c r="AW1258">
        <v>0.05</v>
      </c>
      <c r="AX1258">
        <v>7</v>
      </c>
      <c r="AY1258" s="1">
        <v>0</v>
      </c>
      <c r="AZ1258">
        <v>3</v>
      </c>
      <c r="BA1258">
        <v>1</v>
      </c>
      <c r="BB1258">
        <v>1</v>
      </c>
      <c r="BC1258" s="7">
        <v>0.32</v>
      </c>
      <c r="BD1258">
        <v>30</v>
      </c>
      <c r="BE1258">
        <v>0</v>
      </c>
      <c r="BF1258">
        <v>0</v>
      </c>
      <c r="BG1258">
        <v>0</v>
      </c>
      <c r="BH1258">
        <v>5</v>
      </c>
      <c r="BI1258">
        <v>2.4</v>
      </c>
      <c r="BJ1258">
        <v>31</v>
      </c>
      <c r="BK1258">
        <v>0</v>
      </c>
      <c r="BL1258">
        <v>0</v>
      </c>
      <c r="BM1258">
        <v>0</v>
      </c>
      <c r="BN1258">
        <v>5</v>
      </c>
      <c r="BO1258">
        <v>2.4</v>
      </c>
      <c r="BP1258">
        <v>36</v>
      </c>
      <c r="BQ1258">
        <v>0</v>
      </c>
      <c r="BR1258">
        <v>0</v>
      </c>
      <c r="BS1258">
        <v>0</v>
      </c>
      <c r="BT1258">
        <v>5</v>
      </c>
      <c r="BU1258">
        <v>1.8</v>
      </c>
    </row>
    <row r="1259" spans="1:73" ht="14.25" x14ac:dyDescent="0.15">
      <c r="A1259" s="12">
        <v>21006</v>
      </c>
      <c r="B1259">
        <v>7</v>
      </c>
      <c r="C1259" s="1">
        <v>45</v>
      </c>
      <c r="D1259">
        <v>0</v>
      </c>
      <c r="E1259">
        <v>0</v>
      </c>
      <c r="F1259">
        <v>1</v>
      </c>
      <c r="G1259" s="7">
        <v>0.05</v>
      </c>
      <c r="H1259">
        <v>12</v>
      </c>
      <c r="I1259">
        <v>0</v>
      </c>
      <c r="J1259">
        <v>0</v>
      </c>
      <c r="K1259">
        <v>0</v>
      </c>
      <c r="L1259">
        <v>1</v>
      </c>
      <c r="M1259">
        <v>2</v>
      </c>
      <c r="N1259" s="7">
        <v>9</v>
      </c>
      <c r="O1259" s="7">
        <v>0</v>
      </c>
      <c r="P1259" s="7">
        <v>0</v>
      </c>
      <c r="Q1259" s="7">
        <v>0</v>
      </c>
      <c r="R1259" s="7">
        <v>1</v>
      </c>
      <c r="S1259" s="7">
        <v>4.5</v>
      </c>
      <c r="T1259">
        <v>7</v>
      </c>
      <c r="U1259" s="1">
        <v>33</v>
      </c>
      <c r="V1259">
        <v>0</v>
      </c>
      <c r="W1259">
        <v>0</v>
      </c>
      <c r="X1259">
        <v>1</v>
      </c>
      <c r="Y1259">
        <v>0.16</v>
      </c>
      <c r="Z1259">
        <v>23</v>
      </c>
      <c r="AA1259">
        <v>0</v>
      </c>
      <c r="AB1259">
        <v>0</v>
      </c>
      <c r="AC1259">
        <v>0</v>
      </c>
      <c r="AD1259">
        <v>1</v>
      </c>
      <c r="AE1259">
        <v>0.05</v>
      </c>
      <c r="AF1259">
        <v>15</v>
      </c>
      <c r="AG1259">
        <v>0</v>
      </c>
      <c r="AH1259">
        <v>0</v>
      </c>
      <c r="AI1259">
        <v>0</v>
      </c>
      <c r="AJ1259">
        <v>1</v>
      </c>
      <c r="AK1259">
        <v>0.02</v>
      </c>
      <c r="AL1259">
        <v>16</v>
      </c>
      <c r="AM1259">
        <v>0</v>
      </c>
      <c r="AN1259">
        <v>0</v>
      </c>
      <c r="AO1259">
        <v>0</v>
      </c>
      <c r="AP1259">
        <v>1</v>
      </c>
      <c r="AQ1259">
        <v>0.01</v>
      </c>
      <c r="AX1259">
        <v>7</v>
      </c>
      <c r="AY1259" s="1">
        <v>17</v>
      </c>
      <c r="AZ1259">
        <v>0</v>
      </c>
      <c r="BA1259">
        <v>0</v>
      </c>
      <c r="BB1259">
        <v>1</v>
      </c>
      <c r="BC1259" s="7">
        <v>0.32</v>
      </c>
      <c r="BD1259">
        <v>30</v>
      </c>
      <c r="BE1259">
        <v>0</v>
      </c>
      <c r="BF1259">
        <v>0</v>
      </c>
      <c r="BG1259">
        <v>0</v>
      </c>
      <c r="BH1259">
        <v>5</v>
      </c>
      <c r="BI1259">
        <v>2.4</v>
      </c>
      <c r="BJ1259">
        <v>31</v>
      </c>
      <c r="BK1259">
        <v>0</v>
      </c>
      <c r="BL1259">
        <v>0</v>
      </c>
      <c r="BM1259">
        <v>0</v>
      </c>
      <c r="BN1259">
        <v>5</v>
      </c>
      <c r="BO1259">
        <v>2.4</v>
      </c>
      <c r="BP1259">
        <v>36</v>
      </c>
      <c r="BQ1259">
        <v>0</v>
      </c>
      <c r="BR1259">
        <v>0</v>
      </c>
      <c r="BS1259">
        <v>0</v>
      </c>
      <c r="BT1259">
        <v>5</v>
      </c>
      <c r="BU1259">
        <v>1.8</v>
      </c>
    </row>
    <row r="1260" spans="1:73" ht="14.25" x14ac:dyDescent="0.15">
      <c r="A1260" s="12">
        <v>21007</v>
      </c>
      <c r="B1260">
        <v>7</v>
      </c>
      <c r="C1260" s="1">
        <v>46</v>
      </c>
      <c r="D1260">
        <v>0</v>
      </c>
      <c r="E1260">
        <v>0</v>
      </c>
      <c r="F1260">
        <v>1</v>
      </c>
      <c r="G1260" s="7">
        <v>0.05</v>
      </c>
      <c r="H1260">
        <v>12</v>
      </c>
      <c r="I1260">
        <v>0</v>
      </c>
      <c r="J1260">
        <v>0</v>
      </c>
      <c r="K1260">
        <v>0</v>
      </c>
      <c r="L1260">
        <v>1</v>
      </c>
      <c r="M1260">
        <v>2</v>
      </c>
      <c r="N1260" s="7">
        <v>9</v>
      </c>
      <c r="O1260" s="7">
        <v>0</v>
      </c>
      <c r="P1260" s="7">
        <v>0</v>
      </c>
      <c r="Q1260" s="7">
        <v>0</v>
      </c>
      <c r="R1260" s="7">
        <v>1</v>
      </c>
      <c r="S1260" s="7">
        <v>4.5</v>
      </c>
      <c r="T1260">
        <v>7</v>
      </c>
      <c r="U1260" s="1">
        <v>34</v>
      </c>
      <c r="V1260">
        <v>0</v>
      </c>
      <c r="W1260">
        <v>0</v>
      </c>
      <c r="X1260">
        <v>1</v>
      </c>
      <c r="Y1260">
        <v>0.16</v>
      </c>
      <c r="Z1260">
        <v>23</v>
      </c>
      <c r="AA1260">
        <v>0</v>
      </c>
      <c r="AB1260">
        <v>0</v>
      </c>
      <c r="AC1260">
        <v>0</v>
      </c>
      <c r="AD1260">
        <v>1</v>
      </c>
      <c r="AE1260">
        <v>0.05</v>
      </c>
      <c r="AF1260">
        <v>15</v>
      </c>
      <c r="AG1260">
        <v>0</v>
      </c>
      <c r="AH1260">
        <v>0</v>
      </c>
      <c r="AI1260">
        <v>0</v>
      </c>
      <c r="AJ1260">
        <v>1</v>
      </c>
      <c r="AK1260">
        <v>0.02</v>
      </c>
      <c r="AL1260">
        <v>16</v>
      </c>
      <c r="AM1260">
        <v>0</v>
      </c>
      <c r="AN1260">
        <v>0</v>
      </c>
      <c r="AO1260">
        <v>0</v>
      </c>
      <c r="AP1260">
        <v>1</v>
      </c>
      <c r="AQ1260">
        <v>0.01</v>
      </c>
      <c r="AX1260">
        <v>7</v>
      </c>
      <c r="AY1260" s="1">
        <v>18</v>
      </c>
      <c r="AZ1260">
        <v>0</v>
      </c>
      <c r="BA1260">
        <v>0</v>
      </c>
      <c r="BB1260">
        <v>1</v>
      </c>
      <c r="BC1260" s="7">
        <v>0.32</v>
      </c>
      <c r="BD1260">
        <v>30</v>
      </c>
      <c r="BE1260">
        <v>0</v>
      </c>
      <c r="BF1260">
        <v>0</v>
      </c>
      <c r="BG1260">
        <v>0</v>
      </c>
      <c r="BH1260">
        <v>5</v>
      </c>
      <c r="BI1260">
        <v>2.4</v>
      </c>
      <c r="BJ1260">
        <v>31</v>
      </c>
      <c r="BK1260">
        <v>0</v>
      </c>
      <c r="BL1260">
        <v>0</v>
      </c>
      <c r="BM1260">
        <v>0</v>
      </c>
      <c r="BN1260">
        <v>5</v>
      </c>
      <c r="BO1260">
        <v>2.4</v>
      </c>
      <c r="BP1260">
        <v>36</v>
      </c>
      <c r="BQ1260">
        <v>0</v>
      </c>
      <c r="BR1260">
        <v>0</v>
      </c>
      <c r="BS1260">
        <v>0</v>
      </c>
      <c r="BT1260">
        <v>5</v>
      </c>
      <c r="BU1260">
        <v>1.8</v>
      </c>
    </row>
    <row r="1261" spans="1:73" ht="14.25" x14ac:dyDescent="0.15">
      <c r="A1261" s="12">
        <v>21008</v>
      </c>
      <c r="B1261">
        <v>7</v>
      </c>
      <c r="C1261" s="1">
        <v>47</v>
      </c>
      <c r="D1261">
        <v>0</v>
      </c>
      <c r="E1261">
        <v>0</v>
      </c>
      <c r="F1261">
        <v>1</v>
      </c>
      <c r="G1261" s="7">
        <v>0.05</v>
      </c>
      <c r="H1261">
        <v>12</v>
      </c>
      <c r="I1261">
        <v>0</v>
      </c>
      <c r="J1261">
        <v>0</v>
      </c>
      <c r="K1261">
        <v>0</v>
      </c>
      <c r="L1261">
        <v>1</v>
      </c>
      <c r="M1261">
        <v>2</v>
      </c>
      <c r="N1261" s="7">
        <v>9</v>
      </c>
      <c r="O1261" s="7">
        <v>0</v>
      </c>
      <c r="P1261" s="7">
        <v>0</v>
      </c>
      <c r="Q1261" s="7">
        <v>0</v>
      </c>
      <c r="R1261" s="7">
        <v>1</v>
      </c>
      <c r="S1261" s="7">
        <v>4.5</v>
      </c>
      <c r="T1261">
        <v>7</v>
      </c>
      <c r="U1261" s="1">
        <v>35</v>
      </c>
      <c r="V1261">
        <v>0</v>
      </c>
      <c r="W1261">
        <v>0</v>
      </c>
      <c r="X1261">
        <v>1</v>
      </c>
      <c r="Y1261">
        <v>0.16</v>
      </c>
      <c r="Z1261">
        <v>23</v>
      </c>
      <c r="AA1261">
        <v>0</v>
      </c>
      <c r="AB1261">
        <v>0</v>
      </c>
      <c r="AC1261">
        <v>0</v>
      </c>
      <c r="AD1261">
        <v>1</v>
      </c>
      <c r="AE1261">
        <v>0.05</v>
      </c>
      <c r="AF1261">
        <v>15</v>
      </c>
      <c r="AG1261">
        <v>0</v>
      </c>
      <c r="AH1261">
        <v>0</v>
      </c>
      <c r="AI1261">
        <v>0</v>
      </c>
      <c r="AJ1261">
        <v>1</v>
      </c>
      <c r="AK1261">
        <v>0.02</v>
      </c>
      <c r="AL1261">
        <v>16</v>
      </c>
      <c r="AM1261">
        <v>0</v>
      </c>
      <c r="AN1261">
        <v>0</v>
      </c>
      <c r="AO1261">
        <v>0</v>
      </c>
      <c r="AP1261">
        <v>1</v>
      </c>
      <c r="AQ1261">
        <v>0.01</v>
      </c>
      <c r="AX1261">
        <v>7</v>
      </c>
      <c r="AY1261" s="1">
        <v>19</v>
      </c>
      <c r="AZ1261">
        <v>0</v>
      </c>
      <c r="BA1261">
        <v>0</v>
      </c>
      <c r="BB1261">
        <v>1</v>
      </c>
      <c r="BC1261" s="7">
        <v>0.32</v>
      </c>
      <c r="BD1261">
        <v>30</v>
      </c>
      <c r="BE1261">
        <v>0</v>
      </c>
      <c r="BF1261">
        <v>0</v>
      </c>
      <c r="BG1261">
        <v>0</v>
      </c>
      <c r="BH1261">
        <v>5</v>
      </c>
      <c r="BI1261">
        <v>2.4</v>
      </c>
      <c r="BJ1261">
        <v>31</v>
      </c>
      <c r="BK1261">
        <v>0</v>
      </c>
      <c r="BL1261">
        <v>0</v>
      </c>
      <c r="BM1261">
        <v>0</v>
      </c>
      <c r="BN1261">
        <v>5</v>
      </c>
      <c r="BO1261">
        <v>2.4</v>
      </c>
      <c r="BP1261">
        <v>36</v>
      </c>
      <c r="BQ1261">
        <v>0</v>
      </c>
      <c r="BR1261">
        <v>0</v>
      </c>
      <c r="BS1261">
        <v>0</v>
      </c>
      <c r="BT1261">
        <v>5</v>
      </c>
      <c r="BU1261">
        <v>1.8</v>
      </c>
    </row>
    <row r="1262" spans="1:73" ht="14.25" x14ac:dyDescent="0.15">
      <c r="A1262" s="12">
        <v>21009</v>
      </c>
      <c r="B1262">
        <v>7</v>
      </c>
      <c r="C1262" s="1">
        <v>48</v>
      </c>
      <c r="D1262">
        <v>0</v>
      </c>
      <c r="E1262">
        <v>0</v>
      </c>
      <c r="F1262">
        <v>1</v>
      </c>
      <c r="G1262" s="7">
        <v>0.05</v>
      </c>
      <c r="H1262">
        <v>12</v>
      </c>
      <c r="I1262">
        <v>0</v>
      </c>
      <c r="J1262">
        <v>0</v>
      </c>
      <c r="K1262">
        <v>0</v>
      </c>
      <c r="L1262">
        <v>1</v>
      </c>
      <c r="M1262">
        <v>2</v>
      </c>
      <c r="N1262" s="7">
        <v>9</v>
      </c>
      <c r="O1262" s="7">
        <v>0</v>
      </c>
      <c r="P1262" s="7">
        <v>0</v>
      </c>
      <c r="Q1262" s="7">
        <v>0</v>
      </c>
      <c r="R1262" s="7">
        <v>1</v>
      </c>
      <c r="S1262" s="7">
        <v>4.5</v>
      </c>
      <c r="T1262">
        <v>7</v>
      </c>
      <c r="U1262" s="1">
        <v>36</v>
      </c>
      <c r="V1262">
        <v>0</v>
      </c>
      <c r="W1262">
        <v>0</v>
      </c>
      <c r="X1262">
        <v>1</v>
      </c>
      <c r="Y1262">
        <v>0.16</v>
      </c>
      <c r="Z1262">
        <v>23</v>
      </c>
      <c r="AA1262">
        <v>0</v>
      </c>
      <c r="AB1262">
        <v>0</v>
      </c>
      <c r="AC1262">
        <v>0</v>
      </c>
      <c r="AD1262">
        <v>1</v>
      </c>
      <c r="AE1262">
        <v>0.05</v>
      </c>
      <c r="AF1262">
        <v>15</v>
      </c>
      <c r="AG1262">
        <v>0</v>
      </c>
      <c r="AH1262">
        <v>0</v>
      </c>
      <c r="AI1262">
        <v>0</v>
      </c>
      <c r="AJ1262">
        <v>1</v>
      </c>
      <c r="AK1262">
        <v>0.02</v>
      </c>
      <c r="AL1262">
        <v>16</v>
      </c>
      <c r="AM1262">
        <v>0</v>
      </c>
      <c r="AN1262">
        <v>0</v>
      </c>
      <c r="AO1262">
        <v>0</v>
      </c>
      <c r="AP1262">
        <v>1</v>
      </c>
      <c r="AQ1262">
        <v>0.01</v>
      </c>
      <c r="AX1262">
        <v>7</v>
      </c>
      <c r="AY1262" s="1">
        <v>20</v>
      </c>
      <c r="AZ1262">
        <v>0</v>
      </c>
      <c r="BA1262">
        <v>0</v>
      </c>
      <c r="BB1262">
        <v>1</v>
      </c>
      <c r="BC1262" s="7">
        <v>0.32</v>
      </c>
      <c r="BD1262">
        <v>30</v>
      </c>
      <c r="BE1262">
        <v>0</v>
      </c>
      <c r="BF1262">
        <v>0</v>
      </c>
      <c r="BG1262">
        <v>0</v>
      </c>
      <c r="BH1262">
        <v>5</v>
      </c>
      <c r="BI1262">
        <v>2.4</v>
      </c>
      <c r="BJ1262">
        <v>31</v>
      </c>
      <c r="BK1262">
        <v>0</v>
      </c>
      <c r="BL1262">
        <v>0</v>
      </c>
      <c r="BM1262">
        <v>0</v>
      </c>
      <c r="BN1262">
        <v>5</v>
      </c>
      <c r="BO1262">
        <v>2.4</v>
      </c>
      <c r="BP1262">
        <v>36</v>
      </c>
      <c r="BQ1262">
        <v>0</v>
      </c>
      <c r="BR1262">
        <v>0</v>
      </c>
      <c r="BS1262">
        <v>0</v>
      </c>
      <c r="BT1262">
        <v>5</v>
      </c>
      <c r="BU1262">
        <v>1.8</v>
      </c>
    </row>
    <row r="1263" spans="1:73" ht="14.25" x14ac:dyDescent="0.15">
      <c r="A1263" s="12">
        <v>21010</v>
      </c>
      <c r="B1263">
        <v>7</v>
      </c>
      <c r="C1263" s="1">
        <v>0</v>
      </c>
      <c r="D1263">
        <v>5</v>
      </c>
      <c r="E1263">
        <v>1</v>
      </c>
      <c r="F1263">
        <v>1</v>
      </c>
      <c r="G1263" s="7">
        <v>0.05</v>
      </c>
      <c r="H1263">
        <v>12</v>
      </c>
      <c r="I1263">
        <v>0</v>
      </c>
      <c r="J1263">
        <v>0</v>
      </c>
      <c r="K1263">
        <v>0</v>
      </c>
      <c r="L1263">
        <v>1</v>
      </c>
      <c r="M1263">
        <v>2</v>
      </c>
      <c r="N1263" s="7">
        <v>9</v>
      </c>
      <c r="O1263" s="7">
        <v>0</v>
      </c>
      <c r="P1263" s="7">
        <v>0</v>
      </c>
      <c r="Q1263" s="7">
        <v>0</v>
      </c>
      <c r="R1263" s="7">
        <v>1</v>
      </c>
      <c r="S1263" s="7">
        <v>4.5</v>
      </c>
      <c r="T1263">
        <v>7</v>
      </c>
      <c r="U1263" s="1">
        <v>0</v>
      </c>
      <c r="V1263">
        <v>4</v>
      </c>
      <c r="W1263">
        <v>2</v>
      </c>
      <c r="X1263">
        <v>1</v>
      </c>
      <c r="Y1263">
        <v>0.16</v>
      </c>
      <c r="Z1263">
        <v>23</v>
      </c>
      <c r="AA1263">
        <v>0</v>
      </c>
      <c r="AB1263">
        <v>0</v>
      </c>
      <c r="AC1263">
        <v>0</v>
      </c>
      <c r="AD1263">
        <v>1</v>
      </c>
      <c r="AE1263">
        <v>0.05</v>
      </c>
      <c r="AF1263">
        <v>15</v>
      </c>
      <c r="AG1263">
        <v>0</v>
      </c>
      <c r="AH1263">
        <v>0</v>
      </c>
      <c r="AI1263">
        <v>0</v>
      </c>
      <c r="AJ1263">
        <v>1</v>
      </c>
      <c r="AK1263">
        <v>0.02</v>
      </c>
      <c r="AL1263">
        <v>16</v>
      </c>
      <c r="AM1263">
        <v>0</v>
      </c>
      <c r="AN1263">
        <v>0</v>
      </c>
      <c r="AO1263">
        <v>0</v>
      </c>
      <c r="AP1263">
        <v>1</v>
      </c>
      <c r="AQ1263">
        <v>0.01</v>
      </c>
      <c r="AR1263">
        <v>6</v>
      </c>
      <c r="AS1263">
        <v>2</v>
      </c>
      <c r="AT1263">
        <v>2</v>
      </c>
      <c r="AU1263">
        <v>5</v>
      </c>
      <c r="AV1263">
        <v>1</v>
      </c>
      <c r="AW1263">
        <v>0.05</v>
      </c>
      <c r="AX1263">
        <v>7</v>
      </c>
      <c r="AY1263" s="1">
        <v>0</v>
      </c>
      <c r="AZ1263">
        <v>3</v>
      </c>
      <c r="BA1263">
        <v>1</v>
      </c>
      <c r="BB1263">
        <v>1</v>
      </c>
      <c r="BC1263" s="7">
        <v>0.32</v>
      </c>
      <c r="BD1263">
        <v>30</v>
      </c>
      <c r="BE1263">
        <v>0</v>
      </c>
      <c r="BF1263">
        <v>0</v>
      </c>
      <c r="BG1263">
        <v>0</v>
      </c>
      <c r="BH1263">
        <v>5</v>
      </c>
      <c r="BI1263">
        <v>2.4</v>
      </c>
      <c r="BJ1263">
        <v>31</v>
      </c>
      <c r="BK1263">
        <v>0</v>
      </c>
      <c r="BL1263">
        <v>0</v>
      </c>
      <c r="BM1263">
        <v>0</v>
      </c>
      <c r="BN1263">
        <v>5</v>
      </c>
      <c r="BO1263">
        <v>2.4</v>
      </c>
      <c r="BP1263">
        <v>36</v>
      </c>
      <c r="BQ1263">
        <v>0</v>
      </c>
      <c r="BR1263">
        <v>0</v>
      </c>
      <c r="BS1263">
        <v>0</v>
      </c>
      <c r="BT1263">
        <v>5</v>
      </c>
      <c r="BU1263">
        <v>1.8</v>
      </c>
    </row>
    <row r="1264" spans="1:73" ht="14.25" x14ac:dyDescent="0.15">
      <c r="A1264" s="12">
        <v>21011</v>
      </c>
      <c r="B1264">
        <v>7</v>
      </c>
      <c r="C1264" s="1">
        <v>45</v>
      </c>
      <c r="D1264">
        <v>0</v>
      </c>
      <c r="E1264">
        <v>0</v>
      </c>
      <c r="F1264">
        <v>1</v>
      </c>
      <c r="G1264" s="7">
        <v>0.05</v>
      </c>
      <c r="H1264">
        <v>12</v>
      </c>
      <c r="I1264">
        <v>0</v>
      </c>
      <c r="J1264">
        <v>0</v>
      </c>
      <c r="K1264">
        <v>0</v>
      </c>
      <c r="L1264">
        <v>1</v>
      </c>
      <c r="M1264">
        <v>2</v>
      </c>
      <c r="N1264" s="7">
        <v>9</v>
      </c>
      <c r="O1264" s="7">
        <v>0</v>
      </c>
      <c r="P1264" s="7">
        <v>0</v>
      </c>
      <c r="Q1264" s="7">
        <v>0</v>
      </c>
      <c r="R1264" s="7">
        <v>1</v>
      </c>
      <c r="S1264" s="7">
        <v>4.5</v>
      </c>
      <c r="T1264">
        <v>7</v>
      </c>
      <c r="U1264" s="1">
        <v>33</v>
      </c>
      <c r="V1264">
        <v>0</v>
      </c>
      <c r="W1264">
        <v>0</v>
      </c>
      <c r="X1264">
        <v>1</v>
      </c>
      <c r="Y1264">
        <v>0.16</v>
      </c>
      <c r="Z1264">
        <v>23</v>
      </c>
      <c r="AA1264">
        <v>0</v>
      </c>
      <c r="AB1264">
        <v>0</v>
      </c>
      <c r="AC1264">
        <v>0</v>
      </c>
      <c r="AD1264">
        <v>1</v>
      </c>
      <c r="AE1264">
        <v>0.05</v>
      </c>
      <c r="AF1264">
        <v>15</v>
      </c>
      <c r="AG1264">
        <v>0</v>
      </c>
      <c r="AH1264">
        <v>0</v>
      </c>
      <c r="AI1264">
        <v>0</v>
      </c>
      <c r="AJ1264">
        <v>1</v>
      </c>
      <c r="AK1264">
        <v>0.02</v>
      </c>
      <c r="AL1264">
        <v>16</v>
      </c>
      <c r="AM1264">
        <v>0</v>
      </c>
      <c r="AN1264">
        <v>0</v>
      </c>
      <c r="AO1264">
        <v>0</v>
      </c>
      <c r="AP1264">
        <v>1</v>
      </c>
      <c r="AQ1264">
        <v>0.01</v>
      </c>
      <c r="AX1264">
        <v>7</v>
      </c>
      <c r="AY1264" s="1">
        <v>17</v>
      </c>
      <c r="AZ1264">
        <v>0</v>
      </c>
      <c r="BA1264">
        <v>0</v>
      </c>
      <c r="BB1264">
        <v>1</v>
      </c>
      <c r="BC1264" s="7">
        <v>0.32</v>
      </c>
      <c r="BD1264">
        <v>30</v>
      </c>
      <c r="BE1264">
        <v>0</v>
      </c>
      <c r="BF1264">
        <v>0</v>
      </c>
      <c r="BG1264">
        <v>0</v>
      </c>
      <c r="BH1264">
        <v>5</v>
      </c>
      <c r="BI1264">
        <v>2.4</v>
      </c>
      <c r="BJ1264">
        <v>31</v>
      </c>
      <c r="BK1264">
        <v>0</v>
      </c>
      <c r="BL1264">
        <v>0</v>
      </c>
      <c r="BM1264">
        <v>0</v>
      </c>
      <c r="BN1264">
        <v>5</v>
      </c>
      <c r="BO1264">
        <v>2.4</v>
      </c>
      <c r="BP1264">
        <v>36</v>
      </c>
      <c r="BQ1264">
        <v>0</v>
      </c>
      <c r="BR1264">
        <v>0</v>
      </c>
      <c r="BS1264">
        <v>0</v>
      </c>
      <c r="BT1264">
        <v>5</v>
      </c>
      <c r="BU1264">
        <v>1.8</v>
      </c>
    </row>
    <row r="1265" spans="1:73" ht="14.25" x14ac:dyDescent="0.15">
      <c r="A1265" s="12">
        <v>21012</v>
      </c>
      <c r="B1265">
        <v>7</v>
      </c>
      <c r="C1265" s="1">
        <v>46</v>
      </c>
      <c r="D1265">
        <v>0</v>
      </c>
      <c r="E1265">
        <v>0</v>
      </c>
      <c r="F1265">
        <v>1</v>
      </c>
      <c r="G1265" s="7">
        <v>0.05</v>
      </c>
      <c r="H1265">
        <v>12</v>
      </c>
      <c r="I1265">
        <v>0</v>
      </c>
      <c r="J1265">
        <v>0</v>
      </c>
      <c r="K1265">
        <v>0</v>
      </c>
      <c r="L1265">
        <v>1</v>
      </c>
      <c r="M1265">
        <v>2</v>
      </c>
      <c r="N1265" s="7">
        <v>9</v>
      </c>
      <c r="O1265" s="7">
        <v>0</v>
      </c>
      <c r="P1265" s="7">
        <v>0</v>
      </c>
      <c r="Q1265" s="7">
        <v>0</v>
      </c>
      <c r="R1265" s="7">
        <v>1</v>
      </c>
      <c r="S1265" s="7">
        <v>4.5</v>
      </c>
      <c r="T1265">
        <v>7</v>
      </c>
      <c r="U1265" s="1">
        <v>34</v>
      </c>
      <c r="V1265">
        <v>0</v>
      </c>
      <c r="W1265">
        <v>0</v>
      </c>
      <c r="X1265">
        <v>1</v>
      </c>
      <c r="Y1265">
        <v>0.16</v>
      </c>
      <c r="Z1265">
        <v>23</v>
      </c>
      <c r="AA1265">
        <v>0</v>
      </c>
      <c r="AB1265">
        <v>0</v>
      </c>
      <c r="AC1265">
        <v>0</v>
      </c>
      <c r="AD1265">
        <v>1</v>
      </c>
      <c r="AE1265">
        <v>0.05</v>
      </c>
      <c r="AF1265">
        <v>15</v>
      </c>
      <c r="AG1265">
        <v>0</v>
      </c>
      <c r="AH1265">
        <v>0</v>
      </c>
      <c r="AI1265">
        <v>0</v>
      </c>
      <c r="AJ1265">
        <v>1</v>
      </c>
      <c r="AK1265">
        <v>0.02</v>
      </c>
      <c r="AL1265">
        <v>16</v>
      </c>
      <c r="AM1265">
        <v>0</v>
      </c>
      <c r="AN1265">
        <v>0</v>
      </c>
      <c r="AO1265">
        <v>0</v>
      </c>
      <c r="AP1265">
        <v>1</v>
      </c>
      <c r="AQ1265">
        <v>0.01</v>
      </c>
      <c r="AX1265">
        <v>7</v>
      </c>
      <c r="AY1265" s="1">
        <v>18</v>
      </c>
      <c r="AZ1265">
        <v>0</v>
      </c>
      <c r="BA1265">
        <v>0</v>
      </c>
      <c r="BB1265">
        <v>1</v>
      </c>
      <c r="BC1265" s="7">
        <v>0.32</v>
      </c>
      <c r="BD1265">
        <v>30</v>
      </c>
      <c r="BE1265">
        <v>0</v>
      </c>
      <c r="BF1265">
        <v>0</v>
      </c>
      <c r="BG1265">
        <v>0</v>
      </c>
      <c r="BH1265">
        <v>5</v>
      </c>
      <c r="BI1265">
        <v>2.4</v>
      </c>
      <c r="BJ1265">
        <v>31</v>
      </c>
      <c r="BK1265">
        <v>0</v>
      </c>
      <c r="BL1265">
        <v>0</v>
      </c>
      <c r="BM1265">
        <v>0</v>
      </c>
      <c r="BN1265">
        <v>5</v>
      </c>
      <c r="BO1265">
        <v>2.4</v>
      </c>
      <c r="BP1265">
        <v>36</v>
      </c>
      <c r="BQ1265">
        <v>0</v>
      </c>
      <c r="BR1265">
        <v>0</v>
      </c>
      <c r="BS1265">
        <v>0</v>
      </c>
      <c r="BT1265">
        <v>5</v>
      </c>
      <c r="BU1265">
        <v>1.8</v>
      </c>
    </row>
    <row r="1266" spans="1:73" ht="14.25" x14ac:dyDescent="0.15">
      <c r="A1266" s="12">
        <v>21013</v>
      </c>
      <c r="B1266">
        <v>7</v>
      </c>
      <c r="C1266" s="1">
        <v>47</v>
      </c>
      <c r="D1266">
        <v>0</v>
      </c>
      <c r="E1266">
        <v>0</v>
      </c>
      <c r="F1266">
        <v>1</v>
      </c>
      <c r="G1266" s="7">
        <v>0.05</v>
      </c>
      <c r="H1266">
        <v>12</v>
      </c>
      <c r="I1266">
        <v>0</v>
      </c>
      <c r="J1266">
        <v>0</v>
      </c>
      <c r="K1266">
        <v>0</v>
      </c>
      <c r="L1266">
        <v>1</v>
      </c>
      <c r="M1266">
        <v>2</v>
      </c>
      <c r="N1266" s="7">
        <v>9</v>
      </c>
      <c r="O1266" s="7">
        <v>0</v>
      </c>
      <c r="P1266" s="7">
        <v>0</v>
      </c>
      <c r="Q1266" s="7">
        <v>0</v>
      </c>
      <c r="R1266" s="7">
        <v>1</v>
      </c>
      <c r="S1266" s="7">
        <v>4.5</v>
      </c>
      <c r="T1266">
        <v>7</v>
      </c>
      <c r="U1266" s="1">
        <v>35</v>
      </c>
      <c r="V1266">
        <v>0</v>
      </c>
      <c r="W1266">
        <v>0</v>
      </c>
      <c r="X1266">
        <v>1</v>
      </c>
      <c r="Y1266">
        <v>0.16</v>
      </c>
      <c r="Z1266">
        <v>23</v>
      </c>
      <c r="AA1266">
        <v>0</v>
      </c>
      <c r="AB1266">
        <v>0</v>
      </c>
      <c r="AC1266">
        <v>0</v>
      </c>
      <c r="AD1266">
        <v>1</v>
      </c>
      <c r="AE1266">
        <v>0.05</v>
      </c>
      <c r="AF1266">
        <v>15</v>
      </c>
      <c r="AG1266">
        <v>0</v>
      </c>
      <c r="AH1266">
        <v>0</v>
      </c>
      <c r="AI1266">
        <v>0</v>
      </c>
      <c r="AJ1266">
        <v>1</v>
      </c>
      <c r="AK1266">
        <v>0.02</v>
      </c>
      <c r="AL1266">
        <v>16</v>
      </c>
      <c r="AM1266">
        <v>0</v>
      </c>
      <c r="AN1266">
        <v>0</v>
      </c>
      <c r="AO1266">
        <v>0</v>
      </c>
      <c r="AP1266">
        <v>1</v>
      </c>
      <c r="AQ1266">
        <v>0.01</v>
      </c>
      <c r="AX1266">
        <v>7</v>
      </c>
      <c r="AY1266" s="1">
        <v>19</v>
      </c>
      <c r="AZ1266">
        <v>0</v>
      </c>
      <c r="BA1266">
        <v>0</v>
      </c>
      <c r="BB1266">
        <v>1</v>
      </c>
      <c r="BC1266" s="7">
        <v>0.32</v>
      </c>
      <c r="BD1266">
        <v>30</v>
      </c>
      <c r="BE1266">
        <v>0</v>
      </c>
      <c r="BF1266">
        <v>0</v>
      </c>
      <c r="BG1266">
        <v>0</v>
      </c>
      <c r="BH1266">
        <v>5</v>
      </c>
      <c r="BI1266">
        <v>2.4</v>
      </c>
      <c r="BJ1266">
        <v>31</v>
      </c>
      <c r="BK1266">
        <v>0</v>
      </c>
      <c r="BL1266">
        <v>0</v>
      </c>
      <c r="BM1266">
        <v>0</v>
      </c>
      <c r="BN1266">
        <v>5</v>
      </c>
      <c r="BO1266">
        <v>2.4</v>
      </c>
      <c r="BP1266">
        <v>36</v>
      </c>
      <c r="BQ1266">
        <v>0</v>
      </c>
      <c r="BR1266">
        <v>0</v>
      </c>
      <c r="BS1266">
        <v>0</v>
      </c>
      <c r="BT1266">
        <v>5</v>
      </c>
      <c r="BU1266">
        <v>1.8</v>
      </c>
    </row>
    <row r="1267" spans="1:73" ht="14.25" x14ac:dyDescent="0.15">
      <c r="A1267" s="12">
        <v>21014</v>
      </c>
      <c r="B1267">
        <v>7</v>
      </c>
      <c r="C1267" s="1">
        <v>48</v>
      </c>
      <c r="D1267">
        <v>0</v>
      </c>
      <c r="E1267">
        <v>0</v>
      </c>
      <c r="F1267">
        <v>1</v>
      </c>
      <c r="G1267" s="7">
        <v>0.05</v>
      </c>
      <c r="H1267">
        <v>12</v>
      </c>
      <c r="I1267">
        <v>0</v>
      </c>
      <c r="J1267">
        <v>0</v>
      </c>
      <c r="K1267">
        <v>0</v>
      </c>
      <c r="L1267">
        <v>1</v>
      </c>
      <c r="M1267">
        <v>2</v>
      </c>
      <c r="N1267" s="7">
        <v>9</v>
      </c>
      <c r="O1267" s="7">
        <v>0</v>
      </c>
      <c r="P1267" s="7">
        <v>0</v>
      </c>
      <c r="Q1267" s="7">
        <v>0</v>
      </c>
      <c r="R1267" s="7">
        <v>1</v>
      </c>
      <c r="S1267" s="7">
        <v>4.5</v>
      </c>
      <c r="T1267">
        <v>7</v>
      </c>
      <c r="U1267" s="1">
        <v>36</v>
      </c>
      <c r="V1267">
        <v>0</v>
      </c>
      <c r="W1267">
        <v>0</v>
      </c>
      <c r="X1267">
        <v>1</v>
      </c>
      <c r="Y1267">
        <v>0.16</v>
      </c>
      <c r="Z1267">
        <v>23</v>
      </c>
      <c r="AA1267">
        <v>0</v>
      </c>
      <c r="AB1267">
        <v>0</v>
      </c>
      <c r="AC1267">
        <v>0</v>
      </c>
      <c r="AD1267">
        <v>1</v>
      </c>
      <c r="AE1267">
        <v>0.05</v>
      </c>
      <c r="AF1267">
        <v>15</v>
      </c>
      <c r="AG1267">
        <v>0</v>
      </c>
      <c r="AH1267">
        <v>0</v>
      </c>
      <c r="AI1267">
        <v>0</v>
      </c>
      <c r="AJ1267">
        <v>1</v>
      </c>
      <c r="AK1267">
        <v>0.02</v>
      </c>
      <c r="AL1267">
        <v>16</v>
      </c>
      <c r="AM1267">
        <v>0</v>
      </c>
      <c r="AN1267">
        <v>0</v>
      </c>
      <c r="AO1267">
        <v>0</v>
      </c>
      <c r="AP1267">
        <v>1</v>
      </c>
      <c r="AQ1267">
        <v>0.01</v>
      </c>
      <c r="AX1267">
        <v>7</v>
      </c>
      <c r="AY1267" s="1">
        <v>20</v>
      </c>
      <c r="AZ1267">
        <v>0</v>
      </c>
      <c r="BA1267">
        <v>0</v>
      </c>
      <c r="BB1267">
        <v>1</v>
      </c>
      <c r="BC1267" s="7">
        <v>0.32</v>
      </c>
      <c r="BD1267">
        <v>30</v>
      </c>
      <c r="BE1267">
        <v>0</v>
      </c>
      <c r="BF1267">
        <v>0</v>
      </c>
      <c r="BG1267">
        <v>0</v>
      </c>
      <c r="BH1267">
        <v>5</v>
      </c>
      <c r="BI1267">
        <v>2.4</v>
      </c>
      <c r="BJ1267">
        <v>31</v>
      </c>
      <c r="BK1267">
        <v>0</v>
      </c>
      <c r="BL1267">
        <v>0</v>
      </c>
      <c r="BM1267">
        <v>0</v>
      </c>
      <c r="BN1267">
        <v>5</v>
      </c>
      <c r="BO1267">
        <v>2.4</v>
      </c>
      <c r="BP1267">
        <v>36</v>
      </c>
      <c r="BQ1267">
        <v>0</v>
      </c>
      <c r="BR1267">
        <v>0</v>
      </c>
      <c r="BS1267">
        <v>0</v>
      </c>
      <c r="BT1267">
        <v>5</v>
      </c>
      <c r="BU1267">
        <v>1.8</v>
      </c>
    </row>
    <row r="1268" spans="1:73" ht="14.25" x14ac:dyDescent="0.15">
      <c r="A1268" s="12">
        <v>21015</v>
      </c>
      <c r="B1268">
        <v>7</v>
      </c>
      <c r="C1268" s="1">
        <v>0</v>
      </c>
      <c r="D1268">
        <v>5</v>
      </c>
      <c r="E1268">
        <v>1</v>
      </c>
      <c r="F1268">
        <v>1</v>
      </c>
      <c r="G1268" s="7">
        <v>0.05</v>
      </c>
      <c r="H1268">
        <v>12</v>
      </c>
      <c r="I1268">
        <v>0</v>
      </c>
      <c r="J1268">
        <v>0</v>
      </c>
      <c r="K1268">
        <v>0</v>
      </c>
      <c r="L1268">
        <v>1</v>
      </c>
      <c r="M1268">
        <v>2</v>
      </c>
      <c r="N1268" s="7">
        <v>9</v>
      </c>
      <c r="O1268" s="7">
        <v>0</v>
      </c>
      <c r="P1268" s="7">
        <v>0</v>
      </c>
      <c r="Q1268" s="7">
        <v>0</v>
      </c>
      <c r="R1268" s="7">
        <v>1</v>
      </c>
      <c r="S1268" s="7">
        <v>4.5</v>
      </c>
      <c r="T1268">
        <v>7</v>
      </c>
      <c r="U1268" s="1">
        <v>0</v>
      </c>
      <c r="V1268">
        <v>4</v>
      </c>
      <c r="W1268">
        <v>2</v>
      </c>
      <c r="X1268">
        <v>1</v>
      </c>
      <c r="Y1268">
        <v>0.16</v>
      </c>
      <c r="Z1268">
        <v>23</v>
      </c>
      <c r="AA1268">
        <v>0</v>
      </c>
      <c r="AB1268">
        <v>0</v>
      </c>
      <c r="AC1268">
        <v>0</v>
      </c>
      <c r="AD1268">
        <v>1</v>
      </c>
      <c r="AE1268">
        <v>0.05</v>
      </c>
      <c r="AF1268">
        <v>15</v>
      </c>
      <c r="AG1268">
        <v>0</v>
      </c>
      <c r="AH1268">
        <v>0</v>
      </c>
      <c r="AI1268">
        <v>0</v>
      </c>
      <c r="AJ1268">
        <v>1</v>
      </c>
      <c r="AK1268">
        <v>0.02</v>
      </c>
      <c r="AL1268">
        <v>16</v>
      </c>
      <c r="AM1268">
        <v>0</v>
      </c>
      <c r="AN1268">
        <v>0</v>
      </c>
      <c r="AO1268">
        <v>0</v>
      </c>
      <c r="AP1268">
        <v>1</v>
      </c>
      <c r="AQ1268">
        <v>0.01</v>
      </c>
      <c r="AR1268">
        <v>6</v>
      </c>
      <c r="AS1268">
        <v>2</v>
      </c>
      <c r="AT1268">
        <v>3</v>
      </c>
      <c r="AU1268">
        <v>5</v>
      </c>
      <c r="AV1268">
        <v>1</v>
      </c>
      <c r="AW1268">
        <v>0.05</v>
      </c>
      <c r="AX1268">
        <v>7</v>
      </c>
      <c r="AY1268" s="1">
        <v>0</v>
      </c>
      <c r="AZ1268">
        <v>3</v>
      </c>
      <c r="BA1268">
        <v>1</v>
      </c>
      <c r="BB1268">
        <v>1</v>
      </c>
      <c r="BC1268" s="7">
        <v>0.32</v>
      </c>
      <c r="BD1268">
        <v>30</v>
      </c>
      <c r="BE1268">
        <v>0</v>
      </c>
      <c r="BF1268">
        <v>0</v>
      </c>
      <c r="BG1268">
        <v>0</v>
      </c>
      <c r="BH1268">
        <v>5</v>
      </c>
      <c r="BI1268">
        <v>2.4</v>
      </c>
      <c r="BJ1268">
        <v>31</v>
      </c>
      <c r="BK1268">
        <v>0</v>
      </c>
      <c r="BL1268">
        <v>0</v>
      </c>
      <c r="BM1268">
        <v>0</v>
      </c>
      <c r="BN1268">
        <v>5</v>
      </c>
      <c r="BO1268">
        <v>2.4</v>
      </c>
      <c r="BP1268">
        <v>36</v>
      </c>
      <c r="BQ1268">
        <v>0</v>
      </c>
      <c r="BR1268">
        <v>0</v>
      </c>
      <c r="BS1268">
        <v>0</v>
      </c>
      <c r="BT1268">
        <v>5</v>
      </c>
      <c r="BU1268">
        <v>1.8</v>
      </c>
    </row>
    <row r="1269" spans="1:73" ht="14.25" x14ac:dyDescent="0.15">
      <c r="A1269" s="12">
        <v>21016</v>
      </c>
      <c r="B1269">
        <v>7</v>
      </c>
      <c r="C1269" s="1">
        <v>45</v>
      </c>
      <c r="D1269">
        <v>0</v>
      </c>
      <c r="E1269">
        <v>0</v>
      </c>
      <c r="F1269">
        <v>1</v>
      </c>
      <c r="G1269" s="7">
        <v>0.05</v>
      </c>
      <c r="H1269">
        <v>12</v>
      </c>
      <c r="I1269">
        <v>0</v>
      </c>
      <c r="J1269">
        <v>0</v>
      </c>
      <c r="K1269">
        <v>0</v>
      </c>
      <c r="L1269">
        <v>1</v>
      </c>
      <c r="M1269">
        <v>2</v>
      </c>
      <c r="N1269" s="7">
        <v>9</v>
      </c>
      <c r="O1269" s="7">
        <v>0</v>
      </c>
      <c r="P1269" s="7">
        <v>0</v>
      </c>
      <c r="Q1269" s="7">
        <v>0</v>
      </c>
      <c r="R1269" s="7">
        <v>1</v>
      </c>
      <c r="S1269" s="7">
        <v>4.5</v>
      </c>
      <c r="T1269">
        <v>7</v>
      </c>
      <c r="U1269" s="1">
        <v>33</v>
      </c>
      <c r="V1269">
        <v>0</v>
      </c>
      <c r="W1269">
        <v>0</v>
      </c>
      <c r="X1269">
        <v>1</v>
      </c>
      <c r="Y1269">
        <v>0.16</v>
      </c>
      <c r="Z1269">
        <v>23</v>
      </c>
      <c r="AA1269">
        <v>0</v>
      </c>
      <c r="AB1269">
        <v>0</v>
      </c>
      <c r="AC1269">
        <v>0</v>
      </c>
      <c r="AD1269">
        <v>1</v>
      </c>
      <c r="AE1269">
        <v>0.05</v>
      </c>
      <c r="AF1269">
        <v>15</v>
      </c>
      <c r="AG1269">
        <v>0</v>
      </c>
      <c r="AH1269">
        <v>0</v>
      </c>
      <c r="AI1269">
        <v>0</v>
      </c>
      <c r="AJ1269">
        <v>1</v>
      </c>
      <c r="AK1269">
        <v>0.02</v>
      </c>
      <c r="AL1269">
        <v>16</v>
      </c>
      <c r="AM1269">
        <v>0</v>
      </c>
      <c r="AN1269">
        <v>0</v>
      </c>
      <c r="AO1269">
        <v>0</v>
      </c>
      <c r="AP1269">
        <v>1</v>
      </c>
      <c r="AQ1269">
        <v>0.01</v>
      </c>
      <c r="AX1269">
        <v>7</v>
      </c>
      <c r="AY1269" s="1">
        <v>17</v>
      </c>
      <c r="AZ1269">
        <v>0</v>
      </c>
      <c r="BA1269">
        <v>0</v>
      </c>
      <c r="BB1269">
        <v>1</v>
      </c>
      <c r="BC1269" s="7">
        <v>0.32</v>
      </c>
      <c r="BD1269">
        <v>30</v>
      </c>
      <c r="BE1269">
        <v>0</v>
      </c>
      <c r="BF1269">
        <v>0</v>
      </c>
      <c r="BG1269">
        <v>0</v>
      </c>
      <c r="BH1269">
        <v>5</v>
      </c>
      <c r="BI1269">
        <v>2.4</v>
      </c>
      <c r="BJ1269">
        <v>31</v>
      </c>
      <c r="BK1269">
        <v>0</v>
      </c>
      <c r="BL1269">
        <v>0</v>
      </c>
      <c r="BM1269">
        <v>0</v>
      </c>
      <c r="BN1269">
        <v>5</v>
      </c>
      <c r="BO1269">
        <v>2.4</v>
      </c>
      <c r="BP1269">
        <v>36</v>
      </c>
      <c r="BQ1269">
        <v>0</v>
      </c>
      <c r="BR1269">
        <v>0</v>
      </c>
      <c r="BS1269">
        <v>0</v>
      </c>
      <c r="BT1269">
        <v>5</v>
      </c>
      <c r="BU1269">
        <v>1.8</v>
      </c>
    </row>
    <row r="1270" spans="1:73" ht="14.25" x14ac:dyDescent="0.15">
      <c r="A1270" s="12">
        <v>21017</v>
      </c>
      <c r="B1270">
        <v>7</v>
      </c>
      <c r="C1270" s="1">
        <v>46</v>
      </c>
      <c r="D1270">
        <v>0</v>
      </c>
      <c r="E1270">
        <v>0</v>
      </c>
      <c r="F1270">
        <v>1</v>
      </c>
      <c r="G1270" s="7">
        <v>0.05</v>
      </c>
      <c r="H1270">
        <v>12</v>
      </c>
      <c r="I1270">
        <v>0</v>
      </c>
      <c r="J1270">
        <v>0</v>
      </c>
      <c r="K1270">
        <v>0</v>
      </c>
      <c r="L1270">
        <v>1</v>
      </c>
      <c r="M1270">
        <v>2</v>
      </c>
      <c r="N1270" s="7">
        <v>9</v>
      </c>
      <c r="O1270" s="7">
        <v>0</v>
      </c>
      <c r="P1270" s="7">
        <v>0</v>
      </c>
      <c r="Q1270" s="7">
        <v>0</v>
      </c>
      <c r="R1270" s="7">
        <v>1</v>
      </c>
      <c r="S1270" s="7">
        <v>4.5</v>
      </c>
      <c r="T1270">
        <v>7</v>
      </c>
      <c r="U1270" s="1">
        <v>34</v>
      </c>
      <c r="V1270">
        <v>0</v>
      </c>
      <c r="W1270">
        <v>0</v>
      </c>
      <c r="X1270">
        <v>1</v>
      </c>
      <c r="Y1270">
        <v>0.16</v>
      </c>
      <c r="Z1270">
        <v>23</v>
      </c>
      <c r="AA1270">
        <v>0</v>
      </c>
      <c r="AB1270">
        <v>0</v>
      </c>
      <c r="AC1270">
        <v>0</v>
      </c>
      <c r="AD1270">
        <v>1</v>
      </c>
      <c r="AE1270">
        <v>0.05</v>
      </c>
      <c r="AF1270">
        <v>15</v>
      </c>
      <c r="AG1270">
        <v>0</v>
      </c>
      <c r="AH1270">
        <v>0</v>
      </c>
      <c r="AI1270">
        <v>0</v>
      </c>
      <c r="AJ1270">
        <v>1</v>
      </c>
      <c r="AK1270">
        <v>0.02</v>
      </c>
      <c r="AL1270">
        <v>16</v>
      </c>
      <c r="AM1270">
        <v>0</v>
      </c>
      <c r="AN1270">
        <v>0</v>
      </c>
      <c r="AO1270">
        <v>0</v>
      </c>
      <c r="AP1270">
        <v>1</v>
      </c>
      <c r="AQ1270">
        <v>0.01</v>
      </c>
      <c r="AX1270">
        <v>7</v>
      </c>
      <c r="AY1270" s="1">
        <v>18</v>
      </c>
      <c r="AZ1270">
        <v>0</v>
      </c>
      <c r="BA1270">
        <v>0</v>
      </c>
      <c r="BB1270">
        <v>1</v>
      </c>
      <c r="BC1270" s="7">
        <v>0.32</v>
      </c>
      <c r="BD1270">
        <v>30</v>
      </c>
      <c r="BE1270">
        <v>0</v>
      </c>
      <c r="BF1270">
        <v>0</v>
      </c>
      <c r="BG1270">
        <v>0</v>
      </c>
      <c r="BH1270">
        <v>5</v>
      </c>
      <c r="BI1270">
        <v>2.4</v>
      </c>
      <c r="BJ1270">
        <v>31</v>
      </c>
      <c r="BK1270">
        <v>0</v>
      </c>
      <c r="BL1270">
        <v>0</v>
      </c>
      <c r="BM1270">
        <v>0</v>
      </c>
      <c r="BN1270">
        <v>5</v>
      </c>
      <c r="BO1270">
        <v>2.4</v>
      </c>
      <c r="BP1270">
        <v>36</v>
      </c>
      <c r="BQ1270">
        <v>0</v>
      </c>
      <c r="BR1270">
        <v>0</v>
      </c>
      <c r="BS1270">
        <v>0</v>
      </c>
      <c r="BT1270">
        <v>5</v>
      </c>
      <c r="BU1270">
        <v>1.8</v>
      </c>
    </row>
    <row r="1271" spans="1:73" ht="14.25" x14ac:dyDescent="0.15">
      <c r="A1271" s="12">
        <v>21018</v>
      </c>
      <c r="B1271">
        <v>7</v>
      </c>
      <c r="C1271" s="1">
        <v>47</v>
      </c>
      <c r="D1271">
        <v>0</v>
      </c>
      <c r="E1271">
        <v>0</v>
      </c>
      <c r="F1271">
        <v>1</v>
      </c>
      <c r="G1271" s="7">
        <v>0.05</v>
      </c>
      <c r="H1271">
        <v>12</v>
      </c>
      <c r="I1271">
        <v>0</v>
      </c>
      <c r="J1271">
        <v>0</v>
      </c>
      <c r="K1271">
        <v>0</v>
      </c>
      <c r="L1271">
        <v>1</v>
      </c>
      <c r="M1271">
        <v>2</v>
      </c>
      <c r="N1271" s="7">
        <v>9</v>
      </c>
      <c r="O1271" s="7">
        <v>0</v>
      </c>
      <c r="P1271" s="7">
        <v>0</v>
      </c>
      <c r="Q1271" s="7">
        <v>0</v>
      </c>
      <c r="R1271" s="7">
        <v>1</v>
      </c>
      <c r="S1271" s="7">
        <v>4.5</v>
      </c>
      <c r="T1271">
        <v>7</v>
      </c>
      <c r="U1271" s="1">
        <v>35</v>
      </c>
      <c r="V1271">
        <v>0</v>
      </c>
      <c r="W1271">
        <v>0</v>
      </c>
      <c r="X1271">
        <v>1</v>
      </c>
      <c r="Y1271">
        <v>0.16</v>
      </c>
      <c r="Z1271">
        <v>23</v>
      </c>
      <c r="AA1271">
        <v>0</v>
      </c>
      <c r="AB1271">
        <v>0</v>
      </c>
      <c r="AC1271">
        <v>0</v>
      </c>
      <c r="AD1271">
        <v>1</v>
      </c>
      <c r="AE1271">
        <v>0.05</v>
      </c>
      <c r="AF1271">
        <v>15</v>
      </c>
      <c r="AG1271">
        <v>0</v>
      </c>
      <c r="AH1271">
        <v>0</v>
      </c>
      <c r="AI1271">
        <v>0</v>
      </c>
      <c r="AJ1271">
        <v>1</v>
      </c>
      <c r="AK1271">
        <v>0.02</v>
      </c>
      <c r="AL1271">
        <v>16</v>
      </c>
      <c r="AM1271">
        <v>0</v>
      </c>
      <c r="AN1271">
        <v>0</v>
      </c>
      <c r="AO1271">
        <v>0</v>
      </c>
      <c r="AP1271">
        <v>1</v>
      </c>
      <c r="AQ1271">
        <v>0.01</v>
      </c>
      <c r="AX1271">
        <v>7</v>
      </c>
      <c r="AY1271" s="1">
        <v>19</v>
      </c>
      <c r="AZ1271">
        <v>0</v>
      </c>
      <c r="BA1271">
        <v>0</v>
      </c>
      <c r="BB1271">
        <v>1</v>
      </c>
      <c r="BC1271" s="7">
        <v>0.32</v>
      </c>
      <c r="BD1271">
        <v>30</v>
      </c>
      <c r="BE1271">
        <v>0</v>
      </c>
      <c r="BF1271">
        <v>0</v>
      </c>
      <c r="BG1271">
        <v>0</v>
      </c>
      <c r="BH1271">
        <v>5</v>
      </c>
      <c r="BI1271">
        <v>2.4</v>
      </c>
      <c r="BJ1271">
        <v>31</v>
      </c>
      <c r="BK1271">
        <v>0</v>
      </c>
      <c r="BL1271">
        <v>0</v>
      </c>
      <c r="BM1271">
        <v>0</v>
      </c>
      <c r="BN1271">
        <v>5</v>
      </c>
      <c r="BO1271">
        <v>2.4</v>
      </c>
      <c r="BP1271">
        <v>36</v>
      </c>
      <c r="BQ1271">
        <v>0</v>
      </c>
      <c r="BR1271">
        <v>0</v>
      </c>
      <c r="BS1271">
        <v>0</v>
      </c>
      <c r="BT1271">
        <v>5</v>
      </c>
      <c r="BU1271">
        <v>1.8</v>
      </c>
    </row>
    <row r="1272" spans="1:73" ht="14.25" x14ac:dyDescent="0.15">
      <c r="A1272" s="12">
        <v>21019</v>
      </c>
      <c r="B1272">
        <v>7</v>
      </c>
      <c r="C1272" s="1">
        <v>48</v>
      </c>
      <c r="D1272">
        <v>0</v>
      </c>
      <c r="E1272">
        <v>0</v>
      </c>
      <c r="F1272">
        <v>1</v>
      </c>
      <c r="G1272" s="7">
        <v>0.05</v>
      </c>
      <c r="H1272">
        <v>12</v>
      </c>
      <c r="I1272">
        <v>0</v>
      </c>
      <c r="J1272">
        <v>0</v>
      </c>
      <c r="K1272">
        <v>0</v>
      </c>
      <c r="L1272">
        <v>1</v>
      </c>
      <c r="M1272">
        <v>2</v>
      </c>
      <c r="N1272" s="7">
        <v>9</v>
      </c>
      <c r="O1272" s="7">
        <v>0</v>
      </c>
      <c r="P1272" s="7">
        <v>0</v>
      </c>
      <c r="Q1272" s="7">
        <v>0</v>
      </c>
      <c r="R1272" s="7">
        <v>1</v>
      </c>
      <c r="S1272" s="7">
        <v>4.5</v>
      </c>
      <c r="T1272">
        <v>7</v>
      </c>
      <c r="U1272" s="1">
        <v>36</v>
      </c>
      <c r="V1272">
        <v>0</v>
      </c>
      <c r="W1272">
        <v>0</v>
      </c>
      <c r="X1272">
        <v>1</v>
      </c>
      <c r="Y1272">
        <v>0.16</v>
      </c>
      <c r="Z1272">
        <v>23</v>
      </c>
      <c r="AA1272">
        <v>0</v>
      </c>
      <c r="AB1272">
        <v>0</v>
      </c>
      <c r="AC1272">
        <v>0</v>
      </c>
      <c r="AD1272">
        <v>1</v>
      </c>
      <c r="AE1272">
        <v>0.05</v>
      </c>
      <c r="AF1272">
        <v>15</v>
      </c>
      <c r="AG1272">
        <v>0</v>
      </c>
      <c r="AH1272">
        <v>0</v>
      </c>
      <c r="AI1272">
        <v>0</v>
      </c>
      <c r="AJ1272">
        <v>1</v>
      </c>
      <c r="AK1272">
        <v>0.02</v>
      </c>
      <c r="AL1272">
        <v>16</v>
      </c>
      <c r="AM1272">
        <v>0</v>
      </c>
      <c r="AN1272">
        <v>0</v>
      </c>
      <c r="AO1272">
        <v>0</v>
      </c>
      <c r="AP1272">
        <v>1</v>
      </c>
      <c r="AQ1272">
        <v>0.01</v>
      </c>
      <c r="AX1272">
        <v>7</v>
      </c>
      <c r="AY1272" s="1">
        <v>20</v>
      </c>
      <c r="AZ1272">
        <v>0</v>
      </c>
      <c r="BA1272">
        <v>0</v>
      </c>
      <c r="BB1272">
        <v>1</v>
      </c>
      <c r="BC1272" s="7">
        <v>0.32</v>
      </c>
      <c r="BD1272">
        <v>30</v>
      </c>
      <c r="BE1272">
        <v>0</v>
      </c>
      <c r="BF1272">
        <v>0</v>
      </c>
      <c r="BG1272">
        <v>0</v>
      </c>
      <c r="BH1272">
        <v>5</v>
      </c>
      <c r="BI1272">
        <v>2.4</v>
      </c>
      <c r="BJ1272">
        <v>31</v>
      </c>
      <c r="BK1272">
        <v>0</v>
      </c>
      <c r="BL1272">
        <v>0</v>
      </c>
      <c r="BM1272">
        <v>0</v>
      </c>
      <c r="BN1272">
        <v>5</v>
      </c>
      <c r="BO1272">
        <v>2.4</v>
      </c>
      <c r="BP1272">
        <v>36</v>
      </c>
      <c r="BQ1272">
        <v>0</v>
      </c>
      <c r="BR1272">
        <v>0</v>
      </c>
      <c r="BS1272">
        <v>0</v>
      </c>
      <c r="BT1272">
        <v>5</v>
      </c>
      <c r="BU1272">
        <v>1.8</v>
      </c>
    </row>
    <row r="1273" spans="1:73" ht="14.25" x14ac:dyDescent="0.15">
      <c r="A1273" s="12">
        <v>21020</v>
      </c>
      <c r="B1273">
        <v>7</v>
      </c>
      <c r="C1273" s="1">
        <v>0</v>
      </c>
      <c r="D1273">
        <v>5</v>
      </c>
      <c r="E1273">
        <v>1</v>
      </c>
      <c r="F1273">
        <v>1</v>
      </c>
      <c r="G1273" s="7">
        <v>0.05</v>
      </c>
      <c r="H1273">
        <v>12</v>
      </c>
      <c r="I1273">
        <v>0</v>
      </c>
      <c r="J1273">
        <v>0</v>
      </c>
      <c r="K1273">
        <v>0</v>
      </c>
      <c r="L1273">
        <v>1</v>
      </c>
      <c r="M1273">
        <v>2</v>
      </c>
      <c r="N1273" s="7">
        <v>9</v>
      </c>
      <c r="O1273" s="7">
        <v>0</v>
      </c>
      <c r="P1273" s="7">
        <v>0</v>
      </c>
      <c r="Q1273" s="7">
        <v>0</v>
      </c>
      <c r="R1273" s="7">
        <v>1</v>
      </c>
      <c r="S1273" s="7">
        <v>4.5</v>
      </c>
      <c r="T1273">
        <v>7</v>
      </c>
      <c r="U1273" s="1">
        <v>0</v>
      </c>
      <c r="V1273">
        <v>4</v>
      </c>
      <c r="W1273">
        <v>2</v>
      </c>
      <c r="X1273">
        <v>1</v>
      </c>
      <c r="Y1273">
        <v>0.16</v>
      </c>
      <c r="Z1273">
        <v>23</v>
      </c>
      <c r="AA1273">
        <v>0</v>
      </c>
      <c r="AB1273">
        <v>0</v>
      </c>
      <c r="AC1273">
        <v>0</v>
      </c>
      <c r="AD1273">
        <v>1</v>
      </c>
      <c r="AE1273">
        <v>0.05</v>
      </c>
      <c r="AF1273">
        <v>15</v>
      </c>
      <c r="AG1273">
        <v>0</v>
      </c>
      <c r="AH1273">
        <v>0</v>
      </c>
      <c r="AI1273">
        <v>0</v>
      </c>
      <c r="AJ1273">
        <v>1</v>
      </c>
      <c r="AK1273">
        <v>0.02</v>
      </c>
      <c r="AL1273">
        <v>16</v>
      </c>
      <c r="AM1273">
        <v>0</v>
      </c>
      <c r="AN1273">
        <v>0</v>
      </c>
      <c r="AO1273">
        <v>0</v>
      </c>
      <c r="AP1273">
        <v>1</v>
      </c>
      <c r="AQ1273">
        <v>0.01</v>
      </c>
      <c r="AR1273">
        <v>6</v>
      </c>
      <c r="AS1273">
        <v>2</v>
      </c>
      <c r="AT1273">
        <v>4</v>
      </c>
      <c r="AU1273">
        <v>5</v>
      </c>
      <c r="AV1273">
        <v>1</v>
      </c>
      <c r="AW1273">
        <v>0.01</v>
      </c>
      <c r="AX1273">
        <v>7</v>
      </c>
      <c r="AY1273" s="1">
        <v>0</v>
      </c>
      <c r="AZ1273">
        <v>3</v>
      </c>
      <c r="BA1273">
        <v>1</v>
      </c>
      <c r="BB1273">
        <v>1</v>
      </c>
      <c r="BC1273" s="7">
        <v>0.32</v>
      </c>
      <c r="BD1273">
        <v>30</v>
      </c>
      <c r="BE1273">
        <v>0</v>
      </c>
      <c r="BF1273">
        <v>0</v>
      </c>
      <c r="BG1273">
        <v>0</v>
      </c>
      <c r="BH1273">
        <v>5</v>
      </c>
      <c r="BI1273">
        <v>2.4</v>
      </c>
      <c r="BJ1273">
        <v>31</v>
      </c>
      <c r="BK1273">
        <v>0</v>
      </c>
      <c r="BL1273">
        <v>0</v>
      </c>
      <c r="BM1273">
        <v>0</v>
      </c>
      <c r="BN1273">
        <v>5</v>
      </c>
      <c r="BO1273">
        <v>2.4</v>
      </c>
      <c r="BP1273">
        <v>36</v>
      </c>
      <c r="BQ1273">
        <v>0</v>
      </c>
      <c r="BR1273">
        <v>0</v>
      </c>
      <c r="BS1273">
        <v>0</v>
      </c>
      <c r="BT1273">
        <v>5</v>
      </c>
      <c r="BU1273">
        <v>1.8</v>
      </c>
    </row>
    <row r="1274" spans="1:73" ht="14.25" x14ac:dyDescent="0.15">
      <c r="A1274" s="12">
        <v>21021</v>
      </c>
      <c r="B1274">
        <v>7</v>
      </c>
      <c r="C1274" s="1">
        <v>45</v>
      </c>
      <c r="D1274">
        <v>0</v>
      </c>
      <c r="E1274">
        <v>0</v>
      </c>
      <c r="F1274">
        <v>1</v>
      </c>
      <c r="G1274" s="7">
        <v>0.05</v>
      </c>
      <c r="H1274">
        <v>12</v>
      </c>
      <c r="I1274">
        <v>0</v>
      </c>
      <c r="J1274">
        <v>0</v>
      </c>
      <c r="K1274">
        <v>0</v>
      </c>
      <c r="L1274">
        <v>1</v>
      </c>
      <c r="M1274">
        <v>2</v>
      </c>
      <c r="N1274" s="7">
        <v>9</v>
      </c>
      <c r="O1274" s="7">
        <v>0</v>
      </c>
      <c r="P1274" s="7">
        <v>0</v>
      </c>
      <c r="Q1274" s="7">
        <v>0</v>
      </c>
      <c r="R1274" s="7">
        <v>1</v>
      </c>
      <c r="S1274" s="7">
        <v>4.5</v>
      </c>
      <c r="T1274">
        <v>7</v>
      </c>
      <c r="U1274" s="1">
        <v>33</v>
      </c>
      <c r="V1274">
        <v>0</v>
      </c>
      <c r="W1274">
        <v>0</v>
      </c>
      <c r="X1274">
        <v>1</v>
      </c>
      <c r="Y1274">
        <v>0.16</v>
      </c>
      <c r="Z1274">
        <v>23</v>
      </c>
      <c r="AA1274">
        <v>0</v>
      </c>
      <c r="AB1274">
        <v>0</v>
      </c>
      <c r="AC1274">
        <v>0</v>
      </c>
      <c r="AD1274">
        <v>1</v>
      </c>
      <c r="AE1274">
        <v>0.05</v>
      </c>
      <c r="AF1274">
        <v>15</v>
      </c>
      <c r="AG1274">
        <v>0</v>
      </c>
      <c r="AH1274">
        <v>0</v>
      </c>
      <c r="AI1274">
        <v>0</v>
      </c>
      <c r="AJ1274">
        <v>1</v>
      </c>
      <c r="AK1274">
        <v>0.02</v>
      </c>
      <c r="AL1274">
        <v>16</v>
      </c>
      <c r="AM1274">
        <v>0</v>
      </c>
      <c r="AN1274">
        <v>0</v>
      </c>
      <c r="AO1274">
        <v>0</v>
      </c>
      <c r="AP1274">
        <v>1</v>
      </c>
      <c r="AQ1274">
        <v>0.01</v>
      </c>
      <c r="AX1274">
        <v>7</v>
      </c>
      <c r="AY1274" s="1">
        <v>17</v>
      </c>
      <c r="AZ1274">
        <v>0</v>
      </c>
      <c r="BA1274">
        <v>0</v>
      </c>
      <c r="BB1274">
        <v>1</v>
      </c>
      <c r="BC1274" s="7">
        <v>0.32</v>
      </c>
      <c r="BD1274">
        <v>30</v>
      </c>
      <c r="BE1274">
        <v>0</v>
      </c>
      <c r="BF1274">
        <v>0</v>
      </c>
      <c r="BG1274">
        <v>0</v>
      </c>
      <c r="BH1274">
        <v>5</v>
      </c>
      <c r="BI1274">
        <v>2.4</v>
      </c>
      <c r="BJ1274">
        <v>31</v>
      </c>
      <c r="BK1274">
        <v>0</v>
      </c>
      <c r="BL1274">
        <v>0</v>
      </c>
      <c r="BM1274">
        <v>0</v>
      </c>
      <c r="BN1274">
        <v>5</v>
      </c>
      <c r="BO1274">
        <v>2.4</v>
      </c>
      <c r="BP1274">
        <v>36</v>
      </c>
      <c r="BQ1274">
        <v>0</v>
      </c>
      <c r="BR1274">
        <v>0</v>
      </c>
      <c r="BS1274">
        <v>0</v>
      </c>
      <c r="BT1274">
        <v>5</v>
      </c>
      <c r="BU1274">
        <v>1.8</v>
      </c>
    </row>
    <row r="1275" spans="1:73" ht="14.25" x14ac:dyDescent="0.15">
      <c r="A1275" s="12">
        <v>21022</v>
      </c>
      <c r="B1275">
        <v>7</v>
      </c>
      <c r="C1275" s="1">
        <v>46</v>
      </c>
      <c r="D1275">
        <v>0</v>
      </c>
      <c r="E1275">
        <v>0</v>
      </c>
      <c r="F1275">
        <v>1</v>
      </c>
      <c r="G1275" s="7">
        <v>0.05</v>
      </c>
      <c r="H1275">
        <v>12</v>
      </c>
      <c r="I1275">
        <v>0</v>
      </c>
      <c r="J1275">
        <v>0</v>
      </c>
      <c r="K1275">
        <v>0</v>
      </c>
      <c r="L1275">
        <v>1</v>
      </c>
      <c r="M1275">
        <v>2</v>
      </c>
      <c r="N1275" s="7">
        <v>9</v>
      </c>
      <c r="O1275" s="7">
        <v>0</v>
      </c>
      <c r="P1275" s="7">
        <v>0</v>
      </c>
      <c r="Q1275" s="7">
        <v>0</v>
      </c>
      <c r="R1275" s="7">
        <v>1</v>
      </c>
      <c r="S1275" s="7">
        <v>4.5</v>
      </c>
      <c r="T1275">
        <v>7</v>
      </c>
      <c r="U1275" s="1">
        <v>34</v>
      </c>
      <c r="V1275">
        <v>0</v>
      </c>
      <c r="W1275">
        <v>0</v>
      </c>
      <c r="X1275">
        <v>1</v>
      </c>
      <c r="Y1275">
        <v>0.16</v>
      </c>
      <c r="Z1275">
        <v>23</v>
      </c>
      <c r="AA1275">
        <v>0</v>
      </c>
      <c r="AB1275">
        <v>0</v>
      </c>
      <c r="AC1275">
        <v>0</v>
      </c>
      <c r="AD1275">
        <v>1</v>
      </c>
      <c r="AE1275">
        <v>0.05</v>
      </c>
      <c r="AF1275">
        <v>15</v>
      </c>
      <c r="AG1275">
        <v>0</v>
      </c>
      <c r="AH1275">
        <v>0</v>
      </c>
      <c r="AI1275">
        <v>0</v>
      </c>
      <c r="AJ1275">
        <v>1</v>
      </c>
      <c r="AK1275">
        <v>0.02</v>
      </c>
      <c r="AL1275">
        <v>16</v>
      </c>
      <c r="AM1275">
        <v>0</v>
      </c>
      <c r="AN1275">
        <v>0</v>
      </c>
      <c r="AO1275">
        <v>0</v>
      </c>
      <c r="AP1275">
        <v>1</v>
      </c>
      <c r="AQ1275">
        <v>0.01</v>
      </c>
      <c r="AX1275">
        <v>7</v>
      </c>
      <c r="AY1275" s="1">
        <v>18</v>
      </c>
      <c r="AZ1275">
        <v>0</v>
      </c>
      <c r="BA1275">
        <v>0</v>
      </c>
      <c r="BB1275">
        <v>1</v>
      </c>
      <c r="BC1275" s="7">
        <v>0.32</v>
      </c>
      <c r="BD1275">
        <v>30</v>
      </c>
      <c r="BE1275">
        <v>0</v>
      </c>
      <c r="BF1275">
        <v>0</v>
      </c>
      <c r="BG1275">
        <v>0</v>
      </c>
      <c r="BH1275">
        <v>5</v>
      </c>
      <c r="BI1275">
        <v>2.4</v>
      </c>
      <c r="BJ1275">
        <v>31</v>
      </c>
      <c r="BK1275">
        <v>0</v>
      </c>
      <c r="BL1275">
        <v>0</v>
      </c>
      <c r="BM1275">
        <v>0</v>
      </c>
      <c r="BN1275">
        <v>5</v>
      </c>
      <c r="BO1275">
        <v>2.4</v>
      </c>
      <c r="BP1275">
        <v>36</v>
      </c>
      <c r="BQ1275">
        <v>0</v>
      </c>
      <c r="BR1275">
        <v>0</v>
      </c>
      <c r="BS1275">
        <v>0</v>
      </c>
      <c r="BT1275">
        <v>5</v>
      </c>
      <c r="BU1275">
        <v>1.8</v>
      </c>
    </row>
    <row r="1276" spans="1:73" ht="14.25" x14ac:dyDescent="0.15">
      <c r="A1276" s="12">
        <v>21023</v>
      </c>
      <c r="B1276">
        <v>7</v>
      </c>
      <c r="C1276" s="1">
        <v>47</v>
      </c>
      <c r="D1276">
        <v>0</v>
      </c>
      <c r="E1276">
        <v>0</v>
      </c>
      <c r="F1276">
        <v>1</v>
      </c>
      <c r="G1276" s="7">
        <v>0.05</v>
      </c>
      <c r="H1276">
        <v>12</v>
      </c>
      <c r="I1276">
        <v>0</v>
      </c>
      <c r="J1276">
        <v>0</v>
      </c>
      <c r="K1276">
        <v>0</v>
      </c>
      <c r="L1276">
        <v>1</v>
      </c>
      <c r="M1276">
        <v>2</v>
      </c>
      <c r="N1276" s="7">
        <v>9</v>
      </c>
      <c r="O1276" s="7">
        <v>0</v>
      </c>
      <c r="P1276" s="7">
        <v>0</v>
      </c>
      <c r="Q1276" s="7">
        <v>0</v>
      </c>
      <c r="R1276" s="7">
        <v>1</v>
      </c>
      <c r="S1276" s="7">
        <v>4.5</v>
      </c>
      <c r="T1276">
        <v>7</v>
      </c>
      <c r="U1276" s="1">
        <v>35</v>
      </c>
      <c r="V1276">
        <v>0</v>
      </c>
      <c r="W1276">
        <v>0</v>
      </c>
      <c r="X1276">
        <v>1</v>
      </c>
      <c r="Y1276">
        <v>0.16</v>
      </c>
      <c r="Z1276">
        <v>23</v>
      </c>
      <c r="AA1276">
        <v>0</v>
      </c>
      <c r="AB1276">
        <v>0</v>
      </c>
      <c r="AC1276">
        <v>0</v>
      </c>
      <c r="AD1276">
        <v>1</v>
      </c>
      <c r="AE1276">
        <v>0.05</v>
      </c>
      <c r="AF1276">
        <v>15</v>
      </c>
      <c r="AG1276">
        <v>0</v>
      </c>
      <c r="AH1276">
        <v>0</v>
      </c>
      <c r="AI1276">
        <v>0</v>
      </c>
      <c r="AJ1276">
        <v>1</v>
      </c>
      <c r="AK1276">
        <v>0.02</v>
      </c>
      <c r="AL1276">
        <v>16</v>
      </c>
      <c r="AM1276">
        <v>0</v>
      </c>
      <c r="AN1276">
        <v>0</v>
      </c>
      <c r="AO1276">
        <v>0</v>
      </c>
      <c r="AP1276">
        <v>1</v>
      </c>
      <c r="AQ1276">
        <v>0.01</v>
      </c>
      <c r="AX1276">
        <v>7</v>
      </c>
      <c r="AY1276" s="1">
        <v>19</v>
      </c>
      <c r="AZ1276">
        <v>0</v>
      </c>
      <c r="BA1276">
        <v>0</v>
      </c>
      <c r="BB1276">
        <v>1</v>
      </c>
      <c r="BC1276" s="7">
        <v>0.32</v>
      </c>
      <c r="BD1276">
        <v>30</v>
      </c>
      <c r="BE1276">
        <v>0</v>
      </c>
      <c r="BF1276">
        <v>0</v>
      </c>
      <c r="BG1276">
        <v>0</v>
      </c>
      <c r="BH1276">
        <v>5</v>
      </c>
      <c r="BI1276">
        <v>2.4</v>
      </c>
      <c r="BJ1276">
        <v>31</v>
      </c>
      <c r="BK1276">
        <v>0</v>
      </c>
      <c r="BL1276">
        <v>0</v>
      </c>
      <c r="BM1276">
        <v>0</v>
      </c>
      <c r="BN1276">
        <v>5</v>
      </c>
      <c r="BO1276">
        <v>2.4</v>
      </c>
      <c r="BP1276">
        <v>36</v>
      </c>
      <c r="BQ1276">
        <v>0</v>
      </c>
      <c r="BR1276">
        <v>0</v>
      </c>
      <c r="BS1276">
        <v>0</v>
      </c>
      <c r="BT1276">
        <v>5</v>
      </c>
      <c r="BU1276">
        <v>1.8</v>
      </c>
    </row>
    <row r="1277" spans="1:73" ht="14.25" x14ac:dyDescent="0.15">
      <c r="A1277" s="12">
        <v>21024</v>
      </c>
      <c r="B1277">
        <v>7</v>
      </c>
      <c r="C1277" s="1">
        <v>48</v>
      </c>
      <c r="D1277">
        <v>0</v>
      </c>
      <c r="E1277">
        <v>0</v>
      </c>
      <c r="F1277">
        <v>1</v>
      </c>
      <c r="G1277" s="7">
        <v>0.05</v>
      </c>
      <c r="H1277">
        <v>12</v>
      </c>
      <c r="I1277">
        <v>0</v>
      </c>
      <c r="J1277">
        <v>0</v>
      </c>
      <c r="K1277">
        <v>0</v>
      </c>
      <c r="L1277">
        <v>1</v>
      </c>
      <c r="M1277">
        <v>2</v>
      </c>
      <c r="N1277" s="7">
        <v>9</v>
      </c>
      <c r="O1277" s="7">
        <v>0</v>
      </c>
      <c r="P1277" s="7">
        <v>0</v>
      </c>
      <c r="Q1277" s="7">
        <v>0</v>
      </c>
      <c r="R1277" s="7">
        <v>1</v>
      </c>
      <c r="S1277" s="7">
        <v>4.5</v>
      </c>
      <c r="T1277">
        <v>7</v>
      </c>
      <c r="U1277" s="1">
        <v>36</v>
      </c>
      <c r="V1277">
        <v>0</v>
      </c>
      <c r="W1277">
        <v>0</v>
      </c>
      <c r="X1277">
        <v>1</v>
      </c>
      <c r="Y1277">
        <v>0.16</v>
      </c>
      <c r="Z1277">
        <v>23</v>
      </c>
      <c r="AA1277">
        <v>0</v>
      </c>
      <c r="AB1277">
        <v>0</v>
      </c>
      <c r="AC1277">
        <v>0</v>
      </c>
      <c r="AD1277">
        <v>1</v>
      </c>
      <c r="AE1277">
        <v>0.05</v>
      </c>
      <c r="AF1277">
        <v>15</v>
      </c>
      <c r="AG1277">
        <v>0</v>
      </c>
      <c r="AH1277">
        <v>0</v>
      </c>
      <c r="AI1277">
        <v>0</v>
      </c>
      <c r="AJ1277">
        <v>1</v>
      </c>
      <c r="AK1277">
        <v>0.02</v>
      </c>
      <c r="AL1277">
        <v>16</v>
      </c>
      <c r="AM1277">
        <v>0</v>
      </c>
      <c r="AN1277">
        <v>0</v>
      </c>
      <c r="AO1277">
        <v>0</v>
      </c>
      <c r="AP1277">
        <v>1</v>
      </c>
      <c r="AQ1277">
        <v>0.01</v>
      </c>
      <c r="AX1277">
        <v>7</v>
      </c>
      <c r="AY1277" s="1">
        <v>20</v>
      </c>
      <c r="AZ1277">
        <v>0</v>
      </c>
      <c r="BA1277">
        <v>0</v>
      </c>
      <c r="BB1277">
        <v>1</v>
      </c>
      <c r="BC1277" s="7">
        <v>0.32</v>
      </c>
      <c r="BD1277">
        <v>30</v>
      </c>
      <c r="BE1277">
        <v>0</v>
      </c>
      <c r="BF1277">
        <v>0</v>
      </c>
      <c r="BG1277">
        <v>0</v>
      </c>
      <c r="BH1277">
        <v>5</v>
      </c>
      <c r="BI1277">
        <v>2.4</v>
      </c>
      <c r="BJ1277">
        <v>31</v>
      </c>
      <c r="BK1277">
        <v>0</v>
      </c>
      <c r="BL1277">
        <v>0</v>
      </c>
      <c r="BM1277">
        <v>0</v>
      </c>
      <c r="BN1277">
        <v>5</v>
      </c>
      <c r="BO1277">
        <v>2.4</v>
      </c>
      <c r="BP1277">
        <v>36</v>
      </c>
      <c r="BQ1277">
        <v>0</v>
      </c>
      <c r="BR1277">
        <v>0</v>
      </c>
      <c r="BS1277">
        <v>0</v>
      </c>
      <c r="BT1277">
        <v>5</v>
      </c>
      <c r="BU1277">
        <v>1.8</v>
      </c>
    </row>
    <row r="1278" spans="1:73" ht="14.25" x14ac:dyDescent="0.15">
      <c r="A1278" s="12">
        <v>21025</v>
      </c>
      <c r="B1278">
        <v>7</v>
      </c>
      <c r="C1278" s="1">
        <v>0</v>
      </c>
      <c r="D1278">
        <v>5</v>
      </c>
      <c r="E1278">
        <v>1</v>
      </c>
      <c r="F1278">
        <v>1</v>
      </c>
      <c r="G1278" s="7">
        <v>0.05</v>
      </c>
      <c r="H1278">
        <v>12</v>
      </c>
      <c r="I1278">
        <v>0</v>
      </c>
      <c r="J1278">
        <v>0</v>
      </c>
      <c r="K1278">
        <v>0</v>
      </c>
      <c r="L1278">
        <v>1</v>
      </c>
      <c r="M1278">
        <v>2</v>
      </c>
      <c r="N1278" s="7">
        <v>9</v>
      </c>
      <c r="O1278" s="7">
        <v>0</v>
      </c>
      <c r="P1278" s="7">
        <v>0</v>
      </c>
      <c r="Q1278" s="7">
        <v>0</v>
      </c>
      <c r="R1278" s="7">
        <v>1</v>
      </c>
      <c r="S1278" s="7">
        <v>4.5</v>
      </c>
      <c r="T1278">
        <v>7</v>
      </c>
      <c r="U1278" s="1">
        <v>0</v>
      </c>
      <c r="V1278">
        <v>4</v>
      </c>
      <c r="W1278">
        <v>2</v>
      </c>
      <c r="X1278">
        <v>1</v>
      </c>
      <c r="Y1278">
        <v>0.16</v>
      </c>
      <c r="Z1278">
        <v>23</v>
      </c>
      <c r="AA1278">
        <v>0</v>
      </c>
      <c r="AB1278">
        <v>0</v>
      </c>
      <c r="AC1278">
        <v>0</v>
      </c>
      <c r="AD1278">
        <v>1</v>
      </c>
      <c r="AE1278">
        <v>0.05</v>
      </c>
      <c r="AF1278">
        <v>15</v>
      </c>
      <c r="AG1278">
        <v>0</v>
      </c>
      <c r="AH1278">
        <v>0</v>
      </c>
      <c r="AI1278">
        <v>0</v>
      </c>
      <c r="AJ1278">
        <v>1</v>
      </c>
      <c r="AK1278">
        <v>0.02</v>
      </c>
      <c r="AL1278">
        <v>16</v>
      </c>
      <c r="AM1278">
        <v>0</v>
      </c>
      <c r="AN1278">
        <v>0</v>
      </c>
      <c r="AO1278">
        <v>0</v>
      </c>
      <c r="AP1278">
        <v>1</v>
      </c>
      <c r="AQ1278">
        <v>0.01</v>
      </c>
      <c r="AR1278">
        <v>6</v>
      </c>
      <c r="AS1278">
        <v>2</v>
      </c>
      <c r="AT1278">
        <v>5</v>
      </c>
      <c r="AU1278">
        <v>5</v>
      </c>
      <c r="AV1278">
        <v>1</v>
      </c>
      <c r="AW1278">
        <v>0.01</v>
      </c>
      <c r="AX1278">
        <v>7</v>
      </c>
      <c r="AY1278" s="1">
        <v>0</v>
      </c>
      <c r="AZ1278">
        <v>3</v>
      </c>
      <c r="BA1278">
        <v>1</v>
      </c>
      <c r="BB1278">
        <v>1</v>
      </c>
      <c r="BC1278" s="7">
        <v>0.32</v>
      </c>
      <c r="BD1278">
        <v>30</v>
      </c>
      <c r="BE1278">
        <v>0</v>
      </c>
      <c r="BF1278">
        <v>0</v>
      </c>
      <c r="BG1278">
        <v>0</v>
      </c>
      <c r="BH1278">
        <v>5</v>
      </c>
      <c r="BI1278">
        <v>2.4</v>
      </c>
      <c r="BJ1278">
        <v>31</v>
      </c>
      <c r="BK1278">
        <v>0</v>
      </c>
      <c r="BL1278">
        <v>0</v>
      </c>
      <c r="BM1278">
        <v>0</v>
      </c>
      <c r="BN1278">
        <v>5</v>
      </c>
      <c r="BO1278">
        <v>2.4</v>
      </c>
      <c r="BP1278">
        <v>36</v>
      </c>
      <c r="BQ1278">
        <v>0</v>
      </c>
      <c r="BR1278">
        <v>0</v>
      </c>
      <c r="BS1278">
        <v>0</v>
      </c>
      <c r="BT1278">
        <v>5</v>
      </c>
      <c r="BU1278">
        <v>1.8</v>
      </c>
    </row>
    <row r="1279" spans="1:73" ht="14.25" x14ac:dyDescent="0.15">
      <c r="A1279" s="12">
        <v>21026</v>
      </c>
      <c r="B1279">
        <v>7</v>
      </c>
      <c r="C1279" s="1">
        <v>45</v>
      </c>
      <c r="D1279">
        <v>0</v>
      </c>
      <c r="E1279">
        <v>0</v>
      </c>
      <c r="F1279">
        <v>1</v>
      </c>
      <c r="G1279" s="7">
        <v>0.05</v>
      </c>
      <c r="H1279">
        <v>12</v>
      </c>
      <c r="I1279">
        <v>0</v>
      </c>
      <c r="J1279">
        <v>0</v>
      </c>
      <c r="K1279">
        <v>0</v>
      </c>
      <c r="L1279">
        <v>1</v>
      </c>
      <c r="M1279">
        <v>2</v>
      </c>
      <c r="N1279" s="7">
        <v>9</v>
      </c>
      <c r="O1279" s="7">
        <v>0</v>
      </c>
      <c r="P1279" s="7">
        <v>0</v>
      </c>
      <c r="Q1279" s="7">
        <v>0</v>
      </c>
      <c r="R1279" s="7">
        <v>1</v>
      </c>
      <c r="S1279" s="7">
        <v>4.5</v>
      </c>
      <c r="T1279">
        <v>7</v>
      </c>
      <c r="U1279" s="1">
        <v>33</v>
      </c>
      <c r="V1279">
        <v>0</v>
      </c>
      <c r="W1279">
        <v>0</v>
      </c>
      <c r="X1279">
        <v>1</v>
      </c>
      <c r="Y1279">
        <v>0.16</v>
      </c>
      <c r="Z1279">
        <v>23</v>
      </c>
      <c r="AA1279">
        <v>0</v>
      </c>
      <c r="AB1279">
        <v>0</v>
      </c>
      <c r="AC1279">
        <v>0</v>
      </c>
      <c r="AD1279">
        <v>1</v>
      </c>
      <c r="AE1279">
        <v>0.05</v>
      </c>
      <c r="AF1279">
        <v>15</v>
      </c>
      <c r="AG1279">
        <v>0</v>
      </c>
      <c r="AH1279">
        <v>0</v>
      </c>
      <c r="AI1279">
        <v>0</v>
      </c>
      <c r="AJ1279">
        <v>1</v>
      </c>
      <c r="AK1279">
        <v>0.02</v>
      </c>
      <c r="AL1279">
        <v>16</v>
      </c>
      <c r="AM1279">
        <v>0</v>
      </c>
      <c r="AN1279">
        <v>0</v>
      </c>
      <c r="AO1279">
        <v>0</v>
      </c>
      <c r="AP1279">
        <v>1</v>
      </c>
      <c r="AQ1279">
        <v>0.01</v>
      </c>
      <c r="AX1279">
        <v>7</v>
      </c>
      <c r="AY1279" s="1">
        <v>17</v>
      </c>
      <c r="AZ1279">
        <v>0</v>
      </c>
      <c r="BA1279">
        <v>0</v>
      </c>
      <c r="BB1279">
        <v>1</v>
      </c>
      <c r="BC1279" s="7">
        <v>0.32</v>
      </c>
      <c r="BD1279">
        <v>30</v>
      </c>
      <c r="BE1279">
        <v>0</v>
      </c>
      <c r="BF1279">
        <v>0</v>
      </c>
      <c r="BG1279">
        <v>0</v>
      </c>
      <c r="BH1279">
        <v>5</v>
      </c>
      <c r="BI1279">
        <v>2.4</v>
      </c>
      <c r="BJ1279">
        <v>31</v>
      </c>
      <c r="BK1279">
        <v>0</v>
      </c>
      <c r="BL1279">
        <v>0</v>
      </c>
      <c r="BM1279">
        <v>0</v>
      </c>
      <c r="BN1279">
        <v>5</v>
      </c>
      <c r="BO1279">
        <v>2.4</v>
      </c>
      <c r="BP1279">
        <v>36</v>
      </c>
      <c r="BQ1279">
        <v>0</v>
      </c>
      <c r="BR1279">
        <v>0</v>
      </c>
      <c r="BS1279">
        <v>0</v>
      </c>
      <c r="BT1279">
        <v>5</v>
      </c>
      <c r="BU1279">
        <v>1.8</v>
      </c>
    </row>
    <row r="1280" spans="1:73" ht="14.25" x14ac:dyDescent="0.15">
      <c r="A1280" s="12">
        <v>21027</v>
      </c>
      <c r="B1280">
        <v>7</v>
      </c>
      <c r="C1280" s="1">
        <v>46</v>
      </c>
      <c r="D1280">
        <v>0</v>
      </c>
      <c r="E1280">
        <v>0</v>
      </c>
      <c r="F1280">
        <v>1</v>
      </c>
      <c r="G1280" s="7">
        <v>0.05</v>
      </c>
      <c r="H1280">
        <v>12</v>
      </c>
      <c r="I1280">
        <v>0</v>
      </c>
      <c r="J1280">
        <v>0</v>
      </c>
      <c r="K1280">
        <v>0</v>
      </c>
      <c r="L1280">
        <v>1</v>
      </c>
      <c r="M1280">
        <v>2</v>
      </c>
      <c r="N1280" s="7">
        <v>9</v>
      </c>
      <c r="O1280" s="7">
        <v>0</v>
      </c>
      <c r="P1280" s="7">
        <v>0</v>
      </c>
      <c r="Q1280" s="7">
        <v>0</v>
      </c>
      <c r="R1280" s="7">
        <v>1</v>
      </c>
      <c r="S1280" s="7">
        <v>4.5</v>
      </c>
      <c r="T1280">
        <v>7</v>
      </c>
      <c r="U1280" s="1">
        <v>34</v>
      </c>
      <c r="V1280">
        <v>0</v>
      </c>
      <c r="W1280">
        <v>0</v>
      </c>
      <c r="X1280">
        <v>1</v>
      </c>
      <c r="Y1280">
        <v>0.16</v>
      </c>
      <c r="Z1280">
        <v>23</v>
      </c>
      <c r="AA1280">
        <v>0</v>
      </c>
      <c r="AB1280">
        <v>0</v>
      </c>
      <c r="AC1280">
        <v>0</v>
      </c>
      <c r="AD1280">
        <v>1</v>
      </c>
      <c r="AE1280">
        <v>0.05</v>
      </c>
      <c r="AF1280">
        <v>15</v>
      </c>
      <c r="AG1280">
        <v>0</v>
      </c>
      <c r="AH1280">
        <v>0</v>
      </c>
      <c r="AI1280">
        <v>0</v>
      </c>
      <c r="AJ1280">
        <v>1</v>
      </c>
      <c r="AK1280">
        <v>0.02</v>
      </c>
      <c r="AL1280">
        <v>16</v>
      </c>
      <c r="AM1280">
        <v>0</v>
      </c>
      <c r="AN1280">
        <v>0</v>
      </c>
      <c r="AO1280">
        <v>0</v>
      </c>
      <c r="AP1280">
        <v>1</v>
      </c>
      <c r="AQ1280">
        <v>0.01</v>
      </c>
      <c r="AX1280">
        <v>7</v>
      </c>
      <c r="AY1280" s="1">
        <v>18</v>
      </c>
      <c r="AZ1280">
        <v>0</v>
      </c>
      <c r="BA1280">
        <v>0</v>
      </c>
      <c r="BB1280">
        <v>1</v>
      </c>
      <c r="BC1280" s="7">
        <v>0.32</v>
      </c>
      <c r="BD1280">
        <v>30</v>
      </c>
      <c r="BE1280">
        <v>0</v>
      </c>
      <c r="BF1280">
        <v>0</v>
      </c>
      <c r="BG1280">
        <v>0</v>
      </c>
      <c r="BH1280">
        <v>5</v>
      </c>
      <c r="BI1280">
        <v>2.4</v>
      </c>
      <c r="BJ1280">
        <v>31</v>
      </c>
      <c r="BK1280">
        <v>0</v>
      </c>
      <c r="BL1280">
        <v>0</v>
      </c>
      <c r="BM1280">
        <v>0</v>
      </c>
      <c r="BN1280">
        <v>5</v>
      </c>
      <c r="BO1280">
        <v>2.4</v>
      </c>
      <c r="BP1280">
        <v>36</v>
      </c>
      <c r="BQ1280">
        <v>0</v>
      </c>
      <c r="BR1280">
        <v>0</v>
      </c>
      <c r="BS1280">
        <v>0</v>
      </c>
      <c r="BT1280">
        <v>5</v>
      </c>
      <c r="BU1280">
        <v>1.8</v>
      </c>
    </row>
    <row r="1281" spans="1:73" ht="14.25" x14ac:dyDescent="0.15">
      <c r="A1281" s="12">
        <v>21028</v>
      </c>
      <c r="B1281">
        <v>7</v>
      </c>
      <c r="C1281" s="1">
        <v>47</v>
      </c>
      <c r="D1281">
        <v>0</v>
      </c>
      <c r="E1281">
        <v>0</v>
      </c>
      <c r="F1281">
        <v>1</v>
      </c>
      <c r="G1281" s="7">
        <v>0.05</v>
      </c>
      <c r="H1281">
        <v>12</v>
      </c>
      <c r="I1281">
        <v>0</v>
      </c>
      <c r="J1281">
        <v>0</v>
      </c>
      <c r="K1281">
        <v>0</v>
      </c>
      <c r="L1281">
        <v>1</v>
      </c>
      <c r="M1281">
        <v>2</v>
      </c>
      <c r="N1281" s="7">
        <v>9</v>
      </c>
      <c r="O1281" s="7">
        <v>0</v>
      </c>
      <c r="P1281" s="7">
        <v>0</v>
      </c>
      <c r="Q1281" s="7">
        <v>0</v>
      </c>
      <c r="R1281" s="7">
        <v>1</v>
      </c>
      <c r="S1281" s="7">
        <v>4.5</v>
      </c>
      <c r="T1281">
        <v>7</v>
      </c>
      <c r="U1281" s="1">
        <v>35</v>
      </c>
      <c r="V1281">
        <v>0</v>
      </c>
      <c r="W1281">
        <v>0</v>
      </c>
      <c r="X1281">
        <v>1</v>
      </c>
      <c r="Y1281">
        <v>0.16</v>
      </c>
      <c r="Z1281">
        <v>23</v>
      </c>
      <c r="AA1281">
        <v>0</v>
      </c>
      <c r="AB1281">
        <v>0</v>
      </c>
      <c r="AC1281">
        <v>0</v>
      </c>
      <c r="AD1281">
        <v>1</v>
      </c>
      <c r="AE1281">
        <v>0.05</v>
      </c>
      <c r="AF1281">
        <v>15</v>
      </c>
      <c r="AG1281">
        <v>0</v>
      </c>
      <c r="AH1281">
        <v>0</v>
      </c>
      <c r="AI1281">
        <v>0</v>
      </c>
      <c r="AJ1281">
        <v>1</v>
      </c>
      <c r="AK1281">
        <v>0.02</v>
      </c>
      <c r="AL1281">
        <v>16</v>
      </c>
      <c r="AM1281">
        <v>0</v>
      </c>
      <c r="AN1281">
        <v>0</v>
      </c>
      <c r="AO1281">
        <v>0</v>
      </c>
      <c r="AP1281">
        <v>1</v>
      </c>
      <c r="AQ1281">
        <v>0.01</v>
      </c>
      <c r="AX1281">
        <v>7</v>
      </c>
      <c r="AY1281" s="1">
        <v>19</v>
      </c>
      <c r="AZ1281">
        <v>0</v>
      </c>
      <c r="BA1281">
        <v>0</v>
      </c>
      <c r="BB1281">
        <v>1</v>
      </c>
      <c r="BC1281" s="7">
        <v>0.32</v>
      </c>
      <c r="BD1281">
        <v>30</v>
      </c>
      <c r="BE1281">
        <v>0</v>
      </c>
      <c r="BF1281">
        <v>0</v>
      </c>
      <c r="BG1281">
        <v>0</v>
      </c>
      <c r="BH1281">
        <v>5</v>
      </c>
      <c r="BI1281">
        <v>2.4</v>
      </c>
      <c r="BJ1281">
        <v>31</v>
      </c>
      <c r="BK1281">
        <v>0</v>
      </c>
      <c r="BL1281">
        <v>0</v>
      </c>
      <c r="BM1281">
        <v>0</v>
      </c>
      <c r="BN1281">
        <v>5</v>
      </c>
      <c r="BO1281">
        <v>2.4</v>
      </c>
      <c r="BP1281">
        <v>36</v>
      </c>
      <c r="BQ1281">
        <v>0</v>
      </c>
      <c r="BR1281">
        <v>0</v>
      </c>
      <c r="BS1281">
        <v>0</v>
      </c>
      <c r="BT1281">
        <v>5</v>
      </c>
      <c r="BU1281">
        <v>1.8</v>
      </c>
    </row>
    <row r="1282" spans="1:73" ht="14.25" x14ac:dyDescent="0.15">
      <c r="A1282" s="12">
        <v>21029</v>
      </c>
      <c r="B1282">
        <v>7</v>
      </c>
      <c r="C1282" s="1">
        <v>48</v>
      </c>
      <c r="D1282">
        <v>0</v>
      </c>
      <c r="E1282">
        <v>0</v>
      </c>
      <c r="F1282">
        <v>1</v>
      </c>
      <c r="G1282" s="7">
        <v>0.05</v>
      </c>
      <c r="H1282">
        <v>12</v>
      </c>
      <c r="I1282">
        <v>0</v>
      </c>
      <c r="J1282">
        <v>0</v>
      </c>
      <c r="K1282">
        <v>0</v>
      </c>
      <c r="L1282">
        <v>1</v>
      </c>
      <c r="M1282">
        <v>2</v>
      </c>
      <c r="N1282" s="7">
        <v>9</v>
      </c>
      <c r="O1282" s="7">
        <v>0</v>
      </c>
      <c r="P1282" s="7">
        <v>0</v>
      </c>
      <c r="Q1282" s="7">
        <v>0</v>
      </c>
      <c r="R1282" s="7">
        <v>1</v>
      </c>
      <c r="S1282" s="7">
        <v>4.5</v>
      </c>
      <c r="T1282">
        <v>7</v>
      </c>
      <c r="U1282" s="1">
        <v>36</v>
      </c>
      <c r="V1282">
        <v>0</v>
      </c>
      <c r="W1282">
        <v>0</v>
      </c>
      <c r="X1282">
        <v>1</v>
      </c>
      <c r="Y1282">
        <v>0.16</v>
      </c>
      <c r="Z1282">
        <v>23</v>
      </c>
      <c r="AA1282">
        <v>0</v>
      </c>
      <c r="AB1282">
        <v>0</v>
      </c>
      <c r="AC1282">
        <v>0</v>
      </c>
      <c r="AD1282">
        <v>1</v>
      </c>
      <c r="AE1282">
        <v>0.05</v>
      </c>
      <c r="AF1282">
        <v>15</v>
      </c>
      <c r="AG1282">
        <v>0</v>
      </c>
      <c r="AH1282">
        <v>0</v>
      </c>
      <c r="AI1282">
        <v>0</v>
      </c>
      <c r="AJ1282">
        <v>1</v>
      </c>
      <c r="AK1282">
        <v>0.02</v>
      </c>
      <c r="AL1282">
        <v>16</v>
      </c>
      <c r="AM1282">
        <v>0</v>
      </c>
      <c r="AN1282">
        <v>0</v>
      </c>
      <c r="AO1282">
        <v>0</v>
      </c>
      <c r="AP1282">
        <v>1</v>
      </c>
      <c r="AQ1282">
        <v>0.01</v>
      </c>
      <c r="AX1282">
        <v>7</v>
      </c>
      <c r="AY1282" s="1">
        <v>20</v>
      </c>
      <c r="AZ1282">
        <v>0</v>
      </c>
      <c r="BA1282">
        <v>0</v>
      </c>
      <c r="BB1282">
        <v>1</v>
      </c>
      <c r="BC1282" s="7">
        <v>0.32</v>
      </c>
      <c r="BD1282">
        <v>30</v>
      </c>
      <c r="BE1282">
        <v>0</v>
      </c>
      <c r="BF1282">
        <v>0</v>
      </c>
      <c r="BG1282">
        <v>0</v>
      </c>
      <c r="BH1282">
        <v>5</v>
      </c>
      <c r="BI1282">
        <v>2.4</v>
      </c>
      <c r="BJ1282">
        <v>31</v>
      </c>
      <c r="BK1282">
        <v>0</v>
      </c>
      <c r="BL1282">
        <v>0</v>
      </c>
      <c r="BM1282">
        <v>0</v>
      </c>
      <c r="BN1282">
        <v>5</v>
      </c>
      <c r="BO1282">
        <v>2.4</v>
      </c>
      <c r="BP1282">
        <v>36</v>
      </c>
      <c r="BQ1282">
        <v>0</v>
      </c>
      <c r="BR1282">
        <v>0</v>
      </c>
      <c r="BS1282">
        <v>0</v>
      </c>
      <c r="BT1282">
        <v>5</v>
      </c>
      <c r="BU1282">
        <v>1.8</v>
      </c>
    </row>
    <row r="1283" spans="1:73" ht="14.25" x14ac:dyDescent="0.15">
      <c r="A1283" s="12">
        <v>21030</v>
      </c>
      <c r="B1283">
        <v>7</v>
      </c>
      <c r="C1283" s="1">
        <v>0</v>
      </c>
      <c r="D1283">
        <v>5</v>
      </c>
      <c r="E1283">
        <v>1</v>
      </c>
      <c r="F1283">
        <v>1</v>
      </c>
      <c r="G1283" s="7">
        <v>0.05</v>
      </c>
      <c r="H1283">
        <v>12</v>
      </c>
      <c r="I1283">
        <v>0</v>
      </c>
      <c r="J1283">
        <v>0</v>
      </c>
      <c r="K1283">
        <v>0</v>
      </c>
      <c r="L1283">
        <v>1</v>
      </c>
      <c r="M1283">
        <v>2</v>
      </c>
      <c r="N1283" s="7">
        <v>9</v>
      </c>
      <c r="O1283" s="7">
        <v>0</v>
      </c>
      <c r="P1283" s="7">
        <v>0</v>
      </c>
      <c r="Q1283" s="7">
        <v>0</v>
      </c>
      <c r="R1283" s="7">
        <v>1</v>
      </c>
      <c r="S1283" s="7">
        <v>4.5</v>
      </c>
      <c r="T1283">
        <v>7</v>
      </c>
      <c r="U1283" s="1">
        <v>0</v>
      </c>
      <c r="V1283">
        <v>4</v>
      </c>
      <c r="W1283">
        <v>2</v>
      </c>
      <c r="X1283">
        <v>1</v>
      </c>
      <c r="Y1283">
        <v>0.16</v>
      </c>
      <c r="Z1283">
        <v>23</v>
      </c>
      <c r="AA1283">
        <v>0</v>
      </c>
      <c r="AB1283">
        <v>0</v>
      </c>
      <c r="AC1283">
        <v>0</v>
      </c>
      <c r="AD1283">
        <v>1</v>
      </c>
      <c r="AE1283">
        <v>0.05</v>
      </c>
      <c r="AF1283">
        <v>15</v>
      </c>
      <c r="AG1283">
        <v>0</v>
      </c>
      <c r="AH1283">
        <v>0</v>
      </c>
      <c r="AI1283">
        <v>0</v>
      </c>
      <c r="AJ1283">
        <v>1</v>
      </c>
      <c r="AK1283">
        <v>0.02</v>
      </c>
      <c r="AL1283">
        <v>16</v>
      </c>
      <c r="AM1283">
        <v>0</v>
      </c>
      <c r="AN1283">
        <v>0</v>
      </c>
      <c r="AO1283">
        <v>0</v>
      </c>
      <c r="AP1283">
        <v>1</v>
      </c>
      <c r="AQ1283">
        <v>0.01</v>
      </c>
      <c r="AR1283">
        <v>6</v>
      </c>
      <c r="AS1283">
        <v>2</v>
      </c>
      <c r="AT1283">
        <v>1</v>
      </c>
      <c r="AU1283">
        <v>5</v>
      </c>
      <c r="AV1283">
        <v>1</v>
      </c>
      <c r="AW1283">
        <v>0.05</v>
      </c>
      <c r="AX1283">
        <v>7</v>
      </c>
      <c r="AY1283" s="1">
        <v>0</v>
      </c>
      <c r="AZ1283">
        <v>3</v>
      </c>
      <c r="BA1283">
        <v>1</v>
      </c>
      <c r="BB1283">
        <v>1</v>
      </c>
      <c r="BC1283" s="7">
        <v>0.32</v>
      </c>
      <c r="BD1283">
        <v>30</v>
      </c>
      <c r="BE1283">
        <v>0</v>
      </c>
      <c r="BF1283">
        <v>0</v>
      </c>
      <c r="BG1283">
        <v>0</v>
      </c>
      <c r="BH1283">
        <v>5</v>
      </c>
      <c r="BI1283">
        <v>2.4</v>
      </c>
      <c r="BJ1283">
        <v>31</v>
      </c>
      <c r="BK1283">
        <v>0</v>
      </c>
      <c r="BL1283">
        <v>0</v>
      </c>
      <c r="BM1283">
        <v>0</v>
      </c>
      <c r="BN1283">
        <v>5</v>
      </c>
      <c r="BO1283">
        <v>2.4</v>
      </c>
      <c r="BP1283">
        <v>36</v>
      </c>
      <c r="BQ1283">
        <v>0</v>
      </c>
      <c r="BR1283">
        <v>0</v>
      </c>
      <c r="BS1283">
        <v>0</v>
      </c>
      <c r="BT1283">
        <v>5</v>
      </c>
      <c r="BU1283">
        <v>1.8</v>
      </c>
    </row>
    <row r="1284" spans="1:73" ht="14.25" x14ac:dyDescent="0.15">
      <c r="A1284" s="12">
        <v>21031</v>
      </c>
      <c r="B1284">
        <v>7</v>
      </c>
      <c r="C1284" s="1">
        <v>45</v>
      </c>
      <c r="D1284">
        <v>0</v>
      </c>
      <c r="E1284">
        <v>0</v>
      </c>
      <c r="F1284">
        <v>1</v>
      </c>
      <c r="G1284" s="7">
        <v>0.05</v>
      </c>
      <c r="H1284">
        <v>12</v>
      </c>
      <c r="I1284">
        <v>0</v>
      </c>
      <c r="J1284">
        <v>0</v>
      </c>
      <c r="K1284">
        <v>0</v>
      </c>
      <c r="L1284">
        <v>1</v>
      </c>
      <c r="M1284">
        <v>2</v>
      </c>
      <c r="N1284" s="7">
        <v>9</v>
      </c>
      <c r="O1284" s="7">
        <v>0</v>
      </c>
      <c r="P1284" s="7">
        <v>0</v>
      </c>
      <c r="Q1284" s="7">
        <v>0</v>
      </c>
      <c r="R1284" s="7">
        <v>1</v>
      </c>
      <c r="S1284" s="7">
        <v>4.5</v>
      </c>
      <c r="T1284">
        <v>7</v>
      </c>
      <c r="U1284" s="1">
        <v>33</v>
      </c>
      <c r="V1284">
        <v>0</v>
      </c>
      <c r="W1284">
        <v>0</v>
      </c>
      <c r="X1284">
        <v>1</v>
      </c>
      <c r="Y1284">
        <v>0.16</v>
      </c>
      <c r="Z1284">
        <v>23</v>
      </c>
      <c r="AA1284">
        <v>0</v>
      </c>
      <c r="AB1284">
        <v>0</v>
      </c>
      <c r="AC1284">
        <v>0</v>
      </c>
      <c r="AD1284">
        <v>1</v>
      </c>
      <c r="AE1284">
        <v>0.05</v>
      </c>
      <c r="AF1284">
        <v>15</v>
      </c>
      <c r="AG1284">
        <v>0</v>
      </c>
      <c r="AH1284">
        <v>0</v>
      </c>
      <c r="AI1284">
        <v>0</v>
      </c>
      <c r="AJ1284">
        <v>1</v>
      </c>
      <c r="AK1284">
        <v>0.02</v>
      </c>
      <c r="AL1284">
        <v>16</v>
      </c>
      <c r="AM1284">
        <v>0</v>
      </c>
      <c r="AN1284">
        <v>0</v>
      </c>
      <c r="AO1284">
        <v>0</v>
      </c>
      <c r="AP1284">
        <v>1</v>
      </c>
      <c r="AQ1284">
        <v>0.01</v>
      </c>
      <c r="AX1284">
        <v>7</v>
      </c>
      <c r="AY1284" s="1">
        <v>17</v>
      </c>
      <c r="AZ1284">
        <v>0</v>
      </c>
      <c r="BA1284">
        <v>0</v>
      </c>
      <c r="BB1284">
        <v>1</v>
      </c>
      <c r="BC1284" s="7">
        <v>0.32</v>
      </c>
      <c r="BD1284">
        <v>30</v>
      </c>
      <c r="BE1284">
        <v>0</v>
      </c>
      <c r="BF1284">
        <v>0</v>
      </c>
      <c r="BG1284">
        <v>0</v>
      </c>
      <c r="BH1284">
        <v>5</v>
      </c>
      <c r="BI1284">
        <v>2.4</v>
      </c>
      <c r="BJ1284">
        <v>31</v>
      </c>
      <c r="BK1284">
        <v>0</v>
      </c>
      <c r="BL1284">
        <v>0</v>
      </c>
      <c r="BM1284">
        <v>0</v>
      </c>
      <c r="BN1284">
        <v>5</v>
      </c>
      <c r="BO1284">
        <v>2.4</v>
      </c>
      <c r="BP1284">
        <v>36</v>
      </c>
      <c r="BQ1284">
        <v>0</v>
      </c>
      <c r="BR1284">
        <v>0</v>
      </c>
      <c r="BS1284">
        <v>0</v>
      </c>
      <c r="BT1284">
        <v>5</v>
      </c>
      <c r="BU1284">
        <v>1.8</v>
      </c>
    </row>
    <row r="1285" spans="1:73" ht="14.25" x14ac:dyDescent="0.15">
      <c r="A1285" s="12">
        <v>21032</v>
      </c>
      <c r="B1285">
        <v>7</v>
      </c>
      <c r="C1285" s="1">
        <v>46</v>
      </c>
      <c r="D1285">
        <v>0</v>
      </c>
      <c r="E1285">
        <v>0</v>
      </c>
      <c r="F1285">
        <v>1</v>
      </c>
      <c r="G1285" s="7">
        <v>0.05</v>
      </c>
      <c r="H1285">
        <v>12</v>
      </c>
      <c r="I1285">
        <v>0</v>
      </c>
      <c r="J1285">
        <v>0</v>
      </c>
      <c r="K1285">
        <v>0</v>
      </c>
      <c r="L1285">
        <v>1</v>
      </c>
      <c r="M1285">
        <v>2</v>
      </c>
      <c r="N1285" s="7">
        <v>9</v>
      </c>
      <c r="O1285" s="7">
        <v>0</v>
      </c>
      <c r="P1285" s="7">
        <v>0</v>
      </c>
      <c r="Q1285" s="7">
        <v>0</v>
      </c>
      <c r="R1285" s="7">
        <v>1</v>
      </c>
      <c r="S1285" s="7">
        <v>4.5</v>
      </c>
      <c r="T1285">
        <v>7</v>
      </c>
      <c r="U1285" s="1">
        <v>34</v>
      </c>
      <c r="V1285">
        <v>0</v>
      </c>
      <c r="W1285">
        <v>0</v>
      </c>
      <c r="X1285">
        <v>1</v>
      </c>
      <c r="Y1285">
        <v>0.16</v>
      </c>
      <c r="Z1285">
        <v>23</v>
      </c>
      <c r="AA1285">
        <v>0</v>
      </c>
      <c r="AB1285">
        <v>0</v>
      </c>
      <c r="AC1285">
        <v>0</v>
      </c>
      <c r="AD1285">
        <v>1</v>
      </c>
      <c r="AE1285">
        <v>0.05</v>
      </c>
      <c r="AF1285">
        <v>15</v>
      </c>
      <c r="AG1285">
        <v>0</v>
      </c>
      <c r="AH1285">
        <v>0</v>
      </c>
      <c r="AI1285">
        <v>0</v>
      </c>
      <c r="AJ1285">
        <v>1</v>
      </c>
      <c r="AK1285">
        <v>0.02</v>
      </c>
      <c r="AL1285">
        <v>16</v>
      </c>
      <c r="AM1285">
        <v>0</v>
      </c>
      <c r="AN1285">
        <v>0</v>
      </c>
      <c r="AO1285">
        <v>0</v>
      </c>
      <c r="AP1285">
        <v>1</v>
      </c>
      <c r="AQ1285">
        <v>0.01</v>
      </c>
      <c r="AX1285">
        <v>7</v>
      </c>
      <c r="AY1285" s="1">
        <v>18</v>
      </c>
      <c r="AZ1285">
        <v>0</v>
      </c>
      <c r="BA1285">
        <v>0</v>
      </c>
      <c r="BB1285">
        <v>1</v>
      </c>
      <c r="BC1285" s="7">
        <v>0.32</v>
      </c>
      <c r="BD1285">
        <v>30</v>
      </c>
      <c r="BE1285">
        <v>0</v>
      </c>
      <c r="BF1285">
        <v>0</v>
      </c>
      <c r="BG1285">
        <v>0</v>
      </c>
      <c r="BH1285">
        <v>5</v>
      </c>
      <c r="BI1285">
        <v>2.4</v>
      </c>
      <c r="BJ1285">
        <v>31</v>
      </c>
      <c r="BK1285">
        <v>0</v>
      </c>
      <c r="BL1285">
        <v>0</v>
      </c>
      <c r="BM1285">
        <v>0</v>
      </c>
      <c r="BN1285">
        <v>5</v>
      </c>
      <c r="BO1285">
        <v>2.4</v>
      </c>
      <c r="BP1285">
        <v>36</v>
      </c>
      <c r="BQ1285">
        <v>0</v>
      </c>
      <c r="BR1285">
        <v>0</v>
      </c>
      <c r="BS1285">
        <v>0</v>
      </c>
      <c r="BT1285">
        <v>5</v>
      </c>
      <c r="BU1285">
        <v>1.8</v>
      </c>
    </row>
    <row r="1286" spans="1:73" ht="14.25" x14ac:dyDescent="0.15">
      <c r="A1286" s="12">
        <v>21033</v>
      </c>
      <c r="B1286">
        <v>7</v>
      </c>
      <c r="C1286" s="1">
        <v>47</v>
      </c>
      <c r="D1286">
        <v>0</v>
      </c>
      <c r="E1286">
        <v>0</v>
      </c>
      <c r="F1286">
        <v>1</v>
      </c>
      <c r="G1286" s="7">
        <v>0.05</v>
      </c>
      <c r="H1286">
        <v>12</v>
      </c>
      <c r="I1286">
        <v>0</v>
      </c>
      <c r="J1286">
        <v>0</v>
      </c>
      <c r="K1286">
        <v>0</v>
      </c>
      <c r="L1286">
        <v>1</v>
      </c>
      <c r="M1286">
        <v>2</v>
      </c>
      <c r="N1286" s="7">
        <v>9</v>
      </c>
      <c r="O1286" s="7">
        <v>0</v>
      </c>
      <c r="P1286" s="7">
        <v>0</v>
      </c>
      <c r="Q1286" s="7">
        <v>0</v>
      </c>
      <c r="R1286" s="7">
        <v>1</v>
      </c>
      <c r="S1286" s="7">
        <v>4.5</v>
      </c>
      <c r="T1286">
        <v>7</v>
      </c>
      <c r="U1286" s="1">
        <v>35</v>
      </c>
      <c r="V1286">
        <v>0</v>
      </c>
      <c r="W1286">
        <v>0</v>
      </c>
      <c r="X1286">
        <v>1</v>
      </c>
      <c r="Y1286">
        <v>0.16</v>
      </c>
      <c r="Z1286">
        <v>23</v>
      </c>
      <c r="AA1286">
        <v>0</v>
      </c>
      <c r="AB1286">
        <v>0</v>
      </c>
      <c r="AC1286">
        <v>0</v>
      </c>
      <c r="AD1286">
        <v>1</v>
      </c>
      <c r="AE1286">
        <v>0.05</v>
      </c>
      <c r="AF1286">
        <v>15</v>
      </c>
      <c r="AG1286">
        <v>0</v>
      </c>
      <c r="AH1286">
        <v>0</v>
      </c>
      <c r="AI1286">
        <v>0</v>
      </c>
      <c r="AJ1286">
        <v>1</v>
      </c>
      <c r="AK1286">
        <v>0.02</v>
      </c>
      <c r="AL1286">
        <v>16</v>
      </c>
      <c r="AM1286">
        <v>0</v>
      </c>
      <c r="AN1286">
        <v>0</v>
      </c>
      <c r="AO1286">
        <v>0</v>
      </c>
      <c r="AP1286">
        <v>1</v>
      </c>
      <c r="AQ1286">
        <v>0.01</v>
      </c>
      <c r="AX1286">
        <v>7</v>
      </c>
      <c r="AY1286" s="1">
        <v>19</v>
      </c>
      <c r="AZ1286">
        <v>0</v>
      </c>
      <c r="BA1286">
        <v>0</v>
      </c>
      <c r="BB1286">
        <v>1</v>
      </c>
      <c r="BC1286" s="7">
        <v>0.32</v>
      </c>
      <c r="BD1286">
        <v>30</v>
      </c>
      <c r="BE1286">
        <v>0</v>
      </c>
      <c r="BF1286">
        <v>0</v>
      </c>
      <c r="BG1286">
        <v>0</v>
      </c>
      <c r="BH1286">
        <v>5</v>
      </c>
      <c r="BI1286">
        <v>2.4</v>
      </c>
      <c r="BJ1286">
        <v>31</v>
      </c>
      <c r="BK1286">
        <v>0</v>
      </c>
      <c r="BL1286">
        <v>0</v>
      </c>
      <c r="BM1286">
        <v>0</v>
      </c>
      <c r="BN1286">
        <v>5</v>
      </c>
      <c r="BO1286">
        <v>2.4</v>
      </c>
      <c r="BP1286">
        <v>36</v>
      </c>
      <c r="BQ1286">
        <v>0</v>
      </c>
      <c r="BR1286">
        <v>0</v>
      </c>
      <c r="BS1286">
        <v>0</v>
      </c>
      <c r="BT1286">
        <v>5</v>
      </c>
      <c r="BU1286">
        <v>1.8</v>
      </c>
    </row>
    <row r="1287" spans="1:73" ht="14.25" x14ac:dyDescent="0.15">
      <c r="A1287" s="12">
        <v>21034</v>
      </c>
      <c r="B1287">
        <v>7</v>
      </c>
      <c r="C1287" s="1">
        <v>48</v>
      </c>
      <c r="D1287">
        <v>0</v>
      </c>
      <c r="E1287">
        <v>0</v>
      </c>
      <c r="F1287">
        <v>1</v>
      </c>
      <c r="G1287" s="7">
        <v>0.05</v>
      </c>
      <c r="H1287">
        <v>12</v>
      </c>
      <c r="I1287">
        <v>0</v>
      </c>
      <c r="J1287">
        <v>0</v>
      </c>
      <c r="K1287">
        <v>0</v>
      </c>
      <c r="L1287">
        <v>1</v>
      </c>
      <c r="M1287">
        <v>2</v>
      </c>
      <c r="N1287" s="7">
        <v>9</v>
      </c>
      <c r="O1287" s="7">
        <v>0</v>
      </c>
      <c r="P1287" s="7">
        <v>0</v>
      </c>
      <c r="Q1287" s="7">
        <v>0</v>
      </c>
      <c r="R1287" s="7">
        <v>1</v>
      </c>
      <c r="S1287" s="7">
        <v>4.5</v>
      </c>
      <c r="T1287">
        <v>7</v>
      </c>
      <c r="U1287" s="1">
        <v>36</v>
      </c>
      <c r="V1287">
        <v>0</v>
      </c>
      <c r="W1287">
        <v>0</v>
      </c>
      <c r="X1287">
        <v>1</v>
      </c>
      <c r="Y1287">
        <v>0.16</v>
      </c>
      <c r="Z1287">
        <v>23</v>
      </c>
      <c r="AA1287">
        <v>0</v>
      </c>
      <c r="AB1287">
        <v>0</v>
      </c>
      <c r="AC1287">
        <v>0</v>
      </c>
      <c r="AD1287">
        <v>1</v>
      </c>
      <c r="AE1287">
        <v>0.05</v>
      </c>
      <c r="AF1287">
        <v>15</v>
      </c>
      <c r="AG1287">
        <v>0</v>
      </c>
      <c r="AH1287">
        <v>0</v>
      </c>
      <c r="AI1287">
        <v>0</v>
      </c>
      <c r="AJ1287">
        <v>1</v>
      </c>
      <c r="AK1287">
        <v>0.02</v>
      </c>
      <c r="AL1287">
        <v>16</v>
      </c>
      <c r="AM1287">
        <v>0</v>
      </c>
      <c r="AN1287">
        <v>0</v>
      </c>
      <c r="AO1287">
        <v>0</v>
      </c>
      <c r="AP1287">
        <v>1</v>
      </c>
      <c r="AQ1287">
        <v>0.01</v>
      </c>
      <c r="AX1287">
        <v>7</v>
      </c>
      <c r="AY1287" s="1">
        <v>20</v>
      </c>
      <c r="AZ1287">
        <v>0</v>
      </c>
      <c r="BA1287">
        <v>0</v>
      </c>
      <c r="BB1287">
        <v>1</v>
      </c>
      <c r="BC1287" s="7">
        <v>0.32</v>
      </c>
      <c r="BD1287">
        <v>30</v>
      </c>
      <c r="BE1287">
        <v>0</v>
      </c>
      <c r="BF1287">
        <v>0</v>
      </c>
      <c r="BG1287">
        <v>0</v>
      </c>
      <c r="BH1287">
        <v>5</v>
      </c>
      <c r="BI1287">
        <v>2.4</v>
      </c>
      <c r="BJ1287">
        <v>31</v>
      </c>
      <c r="BK1287">
        <v>0</v>
      </c>
      <c r="BL1287">
        <v>0</v>
      </c>
      <c r="BM1287">
        <v>0</v>
      </c>
      <c r="BN1287">
        <v>5</v>
      </c>
      <c r="BO1287">
        <v>2.4</v>
      </c>
      <c r="BP1287">
        <v>36</v>
      </c>
      <c r="BQ1287">
        <v>0</v>
      </c>
      <c r="BR1287">
        <v>0</v>
      </c>
      <c r="BS1287">
        <v>0</v>
      </c>
      <c r="BT1287">
        <v>5</v>
      </c>
      <c r="BU1287">
        <v>1.8</v>
      </c>
    </row>
    <row r="1288" spans="1:73" ht="14.25" x14ac:dyDescent="0.15">
      <c r="A1288" s="12">
        <v>21035</v>
      </c>
      <c r="B1288">
        <v>7</v>
      </c>
      <c r="C1288" s="1">
        <v>0</v>
      </c>
      <c r="D1288">
        <v>5</v>
      </c>
      <c r="E1288">
        <v>1</v>
      </c>
      <c r="F1288">
        <v>1</v>
      </c>
      <c r="G1288" s="7">
        <v>0.05</v>
      </c>
      <c r="H1288">
        <v>12</v>
      </c>
      <c r="I1288">
        <v>0</v>
      </c>
      <c r="J1288">
        <v>0</v>
      </c>
      <c r="K1288">
        <v>0</v>
      </c>
      <c r="L1288">
        <v>1</v>
      </c>
      <c r="M1288">
        <v>2</v>
      </c>
      <c r="N1288" s="7">
        <v>9</v>
      </c>
      <c r="O1288" s="7">
        <v>0</v>
      </c>
      <c r="P1288" s="7">
        <v>0</v>
      </c>
      <c r="Q1288" s="7">
        <v>0</v>
      </c>
      <c r="R1288" s="7">
        <v>1</v>
      </c>
      <c r="S1288" s="7">
        <v>4.5</v>
      </c>
      <c r="T1288">
        <v>7</v>
      </c>
      <c r="U1288" s="1">
        <v>0</v>
      </c>
      <c r="V1288">
        <v>4</v>
      </c>
      <c r="W1288">
        <v>2</v>
      </c>
      <c r="X1288">
        <v>1</v>
      </c>
      <c r="Y1288">
        <v>0.16</v>
      </c>
      <c r="Z1288">
        <v>23</v>
      </c>
      <c r="AA1288">
        <v>0</v>
      </c>
      <c r="AB1288">
        <v>0</v>
      </c>
      <c r="AC1288">
        <v>0</v>
      </c>
      <c r="AD1288">
        <v>1</v>
      </c>
      <c r="AE1288">
        <v>0.05</v>
      </c>
      <c r="AF1288">
        <v>15</v>
      </c>
      <c r="AG1288">
        <v>0</v>
      </c>
      <c r="AH1288">
        <v>0</v>
      </c>
      <c r="AI1288">
        <v>0</v>
      </c>
      <c r="AJ1288">
        <v>1</v>
      </c>
      <c r="AK1288">
        <v>0.02</v>
      </c>
      <c r="AL1288">
        <v>16</v>
      </c>
      <c r="AM1288">
        <v>0</v>
      </c>
      <c r="AN1288">
        <v>0</v>
      </c>
      <c r="AO1288">
        <v>0</v>
      </c>
      <c r="AP1288">
        <v>1</v>
      </c>
      <c r="AQ1288">
        <v>0.01</v>
      </c>
      <c r="AR1288">
        <v>6</v>
      </c>
      <c r="AS1288">
        <v>2</v>
      </c>
      <c r="AT1288">
        <v>2</v>
      </c>
      <c r="AU1288">
        <v>5</v>
      </c>
      <c r="AV1288">
        <v>1</v>
      </c>
      <c r="AW1288">
        <v>0.05</v>
      </c>
      <c r="AX1288">
        <v>7</v>
      </c>
      <c r="AY1288" s="1">
        <v>0</v>
      </c>
      <c r="AZ1288">
        <v>3</v>
      </c>
      <c r="BA1288">
        <v>1</v>
      </c>
      <c r="BB1288">
        <v>1</v>
      </c>
      <c r="BC1288" s="7">
        <v>0.32</v>
      </c>
      <c r="BD1288">
        <v>30</v>
      </c>
      <c r="BE1288">
        <v>0</v>
      </c>
      <c r="BF1288">
        <v>0</v>
      </c>
      <c r="BG1288">
        <v>0</v>
      </c>
      <c r="BH1288">
        <v>5</v>
      </c>
      <c r="BI1288">
        <v>2.4</v>
      </c>
      <c r="BJ1288">
        <v>31</v>
      </c>
      <c r="BK1288">
        <v>0</v>
      </c>
      <c r="BL1288">
        <v>0</v>
      </c>
      <c r="BM1288">
        <v>0</v>
      </c>
      <c r="BN1288">
        <v>5</v>
      </c>
      <c r="BO1288">
        <v>2.4</v>
      </c>
      <c r="BP1288">
        <v>36</v>
      </c>
      <c r="BQ1288">
        <v>0</v>
      </c>
      <c r="BR1288">
        <v>0</v>
      </c>
      <c r="BS1288">
        <v>0</v>
      </c>
      <c r="BT1288">
        <v>5</v>
      </c>
      <c r="BU1288">
        <v>1.8</v>
      </c>
    </row>
    <row r="1289" spans="1:73" ht="14.25" x14ac:dyDescent="0.15">
      <c r="A1289" s="12">
        <v>21036</v>
      </c>
      <c r="B1289">
        <v>7</v>
      </c>
      <c r="C1289" s="1">
        <v>45</v>
      </c>
      <c r="D1289">
        <v>0</v>
      </c>
      <c r="E1289">
        <v>0</v>
      </c>
      <c r="F1289">
        <v>1</v>
      </c>
      <c r="G1289" s="7">
        <v>0.05</v>
      </c>
      <c r="H1289">
        <v>12</v>
      </c>
      <c r="I1289">
        <v>0</v>
      </c>
      <c r="J1289">
        <v>0</v>
      </c>
      <c r="K1289">
        <v>0</v>
      </c>
      <c r="L1289">
        <v>1</v>
      </c>
      <c r="M1289">
        <v>2</v>
      </c>
      <c r="N1289" s="7">
        <v>9</v>
      </c>
      <c r="O1289" s="7">
        <v>0</v>
      </c>
      <c r="P1289" s="7">
        <v>0</v>
      </c>
      <c r="Q1289" s="7">
        <v>0</v>
      </c>
      <c r="R1289" s="7">
        <v>1</v>
      </c>
      <c r="S1289" s="7">
        <v>4.5</v>
      </c>
      <c r="T1289">
        <v>7</v>
      </c>
      <c r="U1289" s="1">
        <v>33</v>
      </c>
      <c r="V1289">
        <v>0</v>
      </c>
      <c r="W1289">
        <v>0</v>
      </c>
      <c r="X1289">
        <v>1</v>
      </c>
      <c r="Y1289">
        <v>0.16</v>
      </c>
      <c r="Z1289">
        <v>23</v>
      </c>
      <c r="AA1289">
        <v>0</v>
      </c>
      <c r="AB1289">
        <v>0</v>
      </c>
      <c r="AC1289">
        <v>0</v>
      </c>
      <c r="AD1289">
        <v>1</v>
      </c>
      <c r="AE1289">
        <v>0.05</v>
      </c>
      <c r="AF1289">
        <v>15</v>
      </c>
      <c r="AG1289">
        <v>0</v>
      </c>
      <c r="AH1289">
        <v>0</v>
      </c>
      <c r="AI1289">
        <v>0</v>
      </c>
      <c r="AJ1289">
        <v>1</v>
      </c>
      <c r="AK1289">
        <v>0.02</v>
      </c>
      <c r="AL1289">
        <v>16</v>
      </c>
      <c r="AM1289">
        <v>0</v>
      </c>
      <c r="AN1289">
        <v>0</v>
      </c>
      <c r="AO1289">
        <v>0</v>
      </c>
      <c r="AP1289">
        <v>1</v>
      </c>
      <c r="AQ1289">
        <v>0.01</v>
      </c>
      <c r="AX1289">
        <v>7</v>
      </c>
      <c r="AY1289" s="1">
        <v>17</v>
      </c>
      <c r="AZ1289">
        <v>0</v>
      </c>
      <c r="BA1289">
        <v>0</v>
      </c>
      <c r="BB1289">
        <v>1</v>
      </c>
      <c r="BC1289" s="7">
        <v>0.32</v>
      </c>
      <c r="BD1289">
        <v>30</v>
      </c>
      <c r="BE1289">
        <v>0</v>
      </c>
      <c r="BF1289">
        <v>0</v>
      </c>
      <c r="BG1289">
        <v>0</v>
      </c>
      <c r="BH1289">
        <v>5</v>
      </c>
      <c r="BI1289">
        <v>2.4</v>
      </c>
      <c r="BJ1289">
        <v>31</v>
      </c>
      <c r="BK1289">
        <v>0</v>
      </c>
      <c r="BL1289">
        <v>0</v>
      </c>
      <c r="BM1289">
        <v>0</v>
      </c>
      <c r="BN1289">
        <v>5</v>
      </c>
      <c r="BO1289">
        <v>2.4</v>
      </c>
      <c r="BP1289">
        <v>36</v>
      </c>
      <c r="BQ1289">
        <v>0</v>
      </c>
      <c r="BR1289">
        <v>0</v>
      </c>
      <c r="BS1289">
        <v>0</v>
      </c>
      <c r="BT1289">
        <v>5</v>
      </c>
      <c r="BU1289">
        <v>1.8</v>
      </c>
    </row>
    <row r="1290" spans="1:73" ht="14.25" x14ac:dyDescent="0.15">
      <c r="A1290" s="12">
        <v>21037</v>
      </c>
      <c r="B1290">
        <v>7</v>
      </c>
      <c r="C1290" s="1">
        <v>46</v>
      </c>
      <c r="D1290">
        <v>0</v>
      </c>
      <c r="E1290">
        <v>0</v>
      </c>
      <c r="F1290">
        <v>1</v>
      </c>
      <c r="G1290" s="7">
        <v>0.05</v>
      </c>
      <c r="H1290">
        <v>12</v>
      </c>
      <c r="I1290">
        <v>0</v>
      </c>
      <c r="J1290">
        <v>0</v>
      </c>
      <c r="K1290">
        <v>0</v>
      </c>
      <c r="L1290">
        <v>1</v>
      </c>
      <c r="M1290">
        <v>2</v>
      </c>
      <c r="N1290" s="7">
        <v>9</v>
      </c>
      <c r="O1290" s="7">
        <v>0</v>
      </c>
      <c r="P1290" s="7">
        <v>0</v>
      </c>
      <c r="Q1290" s="7">
        <v>0</v>
      </c>
      <c r="R1290" s="7">
        <v>1</v>
      </c>
      <c r="S1290" s="7">
        <v>4.5</v>
      </c>
      <c r="T1290">
        <v>7</v>
      </c>
      <c r="U1290" s="1">
        <v>34</v>
      </c>
      <c r="V1290">
        <v>0</v>
      </c>
      <c r="W1290">
        <v>0</v>
      </c>
      <c r="X1290">
        <v>1</v>
      </c>
      <c r="Y1290">
        <v>0.16</v>
      </c>
      <c r="Z1290">
        <v>23</v>
      </c>
      <c r="AA1290">
        <v>0</v>
      </c>
      <c r="AB1290">
        <v>0</v>
      </c>
      <c r="AC1290">
        <v>0</v>
      </c>
      <c r="AD1290">
        <v>1</v>
      </c>
      <c r="AE1290">
        <v>0.05</v>
      </c>
      <c r="AF1290">
        <v>15</v>
      </c>
      <c r="AG1290">
        <v>0</v>
      </c>
      <c r="AH1290">
        <v>0</v>
      </c>
      <c r="AI1290">
        <v>0</v>
      </c>
      <c r="AJ1290">
        <v>1</v>
      </c>
      <c r="AK1290">
        <v>0.02</v>
      </c>
      <c r="AL1290">
        <v>16</v>
      </c>
      <c r="AM1290">
        <v>0</v>
      </c>
      <c r="AN1290">
        <v>0</v>
      </c>
      <c r="AO1290">
        <v>0</v>
      </c>
      <c r="AP1290">
        <v>1</v>
      </c>
      <c r="AQ1290">
        <v>0.01</v>
      </c>
      <c r="AX1290">
        <v>7</v>
      </c>
      <c r="AY1290" s="1">
        <v>18</v>
      </c>
      <c r="AZ1290">
        <v>0</v>
      </c>
      <c r="BA1290">
        <v>0</v>
      </c>
      <c r="BB1290">
        <v>1</v>
      </c>
      <c r="BC1290" s="7">
        <v>0.32</v>
      </c>
      <c r="BD1290">
        <v>30</v>
      </c>
      <c r="BE1290">
        <v>0</v>
      </c>
      <c r="BF1290">
        <v>0</v>
      </c>
      <c r="BG1290">
        <v>0</v>
      </c>
      <c r="BH1290">
        <v>5</v>
      </c>
      <c r="BI1290">
        <v>2.4</v>
      </c>
      <c r="BJ1290">
        <v>31</v>
      </c>
      <c r="BK1290">
        <v>0</v>
      </c>
      <c r="BL1290">
        <v>0</v>
      </c>
      <c r="BM1290">
        <v>0</v>
      </c>
      <c r="BN1290">
        <v>5</v>
      </c>
      <c r="BO1290">
        <v>2.4</v>
      </c>
      <c r="BP1290">
        <v>36</v>
      </c>
      <c r="BQ1290">
        <v>0</v>
      </c>
      <c r="BR1290">
        <v>0</v>
      </c>
      <c r="BS1290">
        <v>0</v>
      </c>
      <c r="BT1290">
        <v>5</v>
      </c>
      <c r="BU1290">
        <v>1.8</v>
      </c>
    </row>
    <row r="1291" spans="1:73" ht="14.25" x14ac:dyDescent="0.15">
      <c r="A1291" s="12">
        <v>21038</v>
      </c>
      <c r="B1291">
        <v>7</v>
      </c>
      <c r="C1291" s="1">
        <v>47</v>
      </c>
      <c r="D1291">
        <v>0</v>
      </c>
      <c r="E1291">
        <v>0</v>
      </c>
      <c r="F1291">
        <v>1</v>
      </c>
      <c r="G1291" s="7">
        <v>0.05</v>
      </c>
      <c r="H1291">
        <v>12</v>
      </c>
      <c r="I1291">
        <v>0</v>
      </c>
      <c r="J1291">
        <v>0</v>
      </c>
      <c r="K1291">
        <v>0</v>
      </c>
      <c r="L1291">
        <v>1</v>
      </c>
      <c r="M1291">
        <v>2</v>
      </c>
      <c r="N1291" s="7">
        <v>9</v>
      </c>
      <c r="O1291" s="7">
        <v>0</v>
      </c>
      <c r="P1291" s="7">
        <v>0</v>
      </c>
      <c r="Q1291" s="7">
        <v>0</v>
      </c>
      <c r="R1291" s="7">
        <v>1</v>
      </c>
      <c r="S1291" s="7">
        <v>4.5</v>
      </c>
      <c r="T1291">
        <v>7</v>
      </c>
      <c r="U1291" s="1">
        <v>35</v>
      </c>
      <c r="V1291">
        <v>0</v>
      </c>
      <c r="W1291">
        <v>0</v>
      </c>
      <c r="X1291">
        <v>1</v>
      </c>
      <c r="Y1291">
        <v>0.16</v>
      </c>
      <c r="Z1291">
        <v>23</v>
      </c>
      <c r="AA1291">
        <v>0</v>
      </c>
      <c r="AB1291">
        <v>0</v>
      </c>
      <c r="AC1291">
        <v>0</v>
      </c>
      <c r="AD1291">
        <v>1</v>
      </c>
      <c r="AE1291">
        <v>0.05</v>
      </c>
      <c r="AF1291">
        <v>15</v>
      </c>
      <c r="AG1291">
        <v>0</v>
      </c>
      <c r="AH1291">
        <v>0</v>
      </c>
      <c r="AI1291">
        <v>0</v>
      </c>
      <c r="AJ1291">
        <v>1</v>
      </c>
      <c r="AK1291">
        <v>0.02</v>
      </c>
      <c r="AL1291">
        <v>16</v>
      </c>
      <c r="AM1291">
        <v>0</v>
      </c>
      <c r="AN1291">
        <v>0</v>
      </c>
      <c r="AO1291">
        <v>0</v>
      </c>
      <c r="AP1291">
        <v>1</v>
      </c>
      <c r="AQ1291">
        <v>0.01</v>
      </c>
      <c r="AX1291">
        <v>7</v>
      </c>
      <c r="AY1291" s="1">
        <v>19</v>
      </c>
      <c r="AZ1291">
        <v>0</v>
      </c>
      <c r="BA1291">
        <v>0</v>
      </c>
      <c r="BB1291">
        <v>1</v>
      </c>
      <c r="BC1291" s="7">
        <v>0.32</v>
      </c>
      <c r="BD1291">
        <v>30</v>
      </c>
      <c r="BE1291">
        <v>0</v>
      </c>
      <c r="BF1291">
        <v>0</v>
      </c>
      <c r="BG1291">
        <v>0</v>
      </c>
      <c r="BH1291">
        <v>5</v>
      </c>
      <c r="BI1291">
        <v>2.4</v>
      </c>
      <c r="BJ1291">
        <v>31</v>
      </c>
      <c r="BK1291">
        <v>0</v>
      </c>
      <c r="BL1291">
        <v>0</v>
      </c>
      <c r="BM1291">
        <v>0</v>
      </c>
      <c r="BN1291">
        <v>5</v>
      </c>
      <c r="BO1291">
        <v>2.4</v>
      </c>
      <c r="BP1291">
        <v>36</v>
      </c>
      <c r="BQ1291">
        <v>0</v>
      </c>
      <c r="BR1291">
        <v>0</v>
      </c>
      <c r="BS1291">
        <v>0</v>
      </c>
      <c r="BT1291">
        <v>5</v>
      </c>
      <c r="BU1291">
        <v>1.8</v>
      </c>
    </row>
    <row r="1292" spans="1:73" ht="14.25" x14ac:dyDescent="0.15">
      <c r="A1292" s="12">
        <v>21039</v>
      </c>
      <c r="B1292">
        <v>7</v>
      </c>
      <c r="C1292" s="1">
        <v>48</v>
      </c>
      <c r="D1292">
        <v>0</v>
      </c>
      <c r="E1292">
        <v>0</v>
      </c>
      <c r="F1292">
        <v>1</v>
      </c>
      <c r="G1292" s="7">
        <v>0.05</v>
      </c>
      <c r="H1292">
        <v>12</v>
      </c>
      <c r="I1292">
        <v>0</v>
      </c>
      <c r="J1292">
        <v>0</v>
      </c>
      <c r="K1292">
        <v>0</v>
      </c>
      <c r="L1292">
        <v>1</v>
      </c>
      <c r="M1292">
        <v>2</v>
      </c>
      <c r="N1292" s="7">
        <v>9</v>
      </c>
      <c r="O1292" s="7">
        <v>0</v>
      </c>
      <c r="P1292" s="7">
        <v>0</v>
      </c>
      <c r="Q1292" s="7">
        <v>0</v>
      </c>
      <c r="R1292" s="7">
        <v>1</v>
      </c>
      <c r="S1292" s="7">
        <v>4.5</v>
      </c>
      <c r="T1292">
        <v>7</v>
      </c>
      <c r="U1292" s="1">
        <v>36</v>
      </c>
      <c r="V1292">
        <v>0</v>
      </c>
      <c r="W1292">
        <v>0</v>
      </c>
      <c r="X1292">
        <v>1</v>
      </c>
      <c r="Y1292">
        <v>0.16</v>
      </c>
      <c r="Z1292">
        <v>23</v>
      </c>
      <c r="AA1292">
        <v>0</v>
      </c>
      <c r="AB1292">
        <v>0</v>
      </c>
      <c r="AC1292">
        <v>0</v>
      </c>
      <c r="AD1292">
        <v>1</v>
      </c>
      <c r="AE1292">
        <v>0.05</v>
      </c>
      <c r="AF1292">
        <v>15</v>
      </c>
      <c r="AG1292">
        <v>0</v>
      </c>
      <c r="AH1292">
        <v>0</v>
      </c>
      <c r="AI1292">
        <v>0</v>
      </c>
      <c r="AJ1292">
        <v>1</v>
      </c>
      <c r="AK1292">
        <v>0.02</v>
      </c>
      <c r="AL1292">
        <v>16</v>
      </c>
      <c r="AM1292">
        <v>0</v>
      </c>
      <c r="AN1292">
        <v>0</v>
      </c>
      <c r="AO1292">
        <v>0</v>
      </c>
      <c r="AP1292">
        <v>1</v>
      </c>
      <c r="AQ1292">
        <v>0.01</v>
      </c>
      <c r="AX1292">
        <v>7</v>
      </c>
      <c r="AY1292" s="1">
        <v>20</v>
      </c>
      <c r="AZ1292">
        <v>0</v>
      </c>
      <c r="BA1292">
        <v>0</v>
      </c>
      <c r="BB1292">
        <v>1</v>
      </c>
      <c r="BC1292" s="7">
        <v>0.32</v>
      </c>
      <c r="BD1292">
        <v>30</v>
      </c>
      <c r="BE1292">
        <v>0</v>
      </c>
      <c r="BF1292">
        <v>0</v>
      </c>
      <c r="BG1292">
        <v>0</v>
      </c>
      <c r="BH1292">
        <v>5</v>
      </c>
      <c r="BI1292">
        <v>2.4</v>
      </c>
      <c r="BJ1292">
        <v>31</v>
      </c>
      <c r="BK1292">
        <v>0</v>
      </c>
      <c r="BL1292">
        <v>0</v>
      </c>
      <c r="BM1292">
        <v>0</v>
      </c>
      <c r="BN1292">
        <v>5</v>
      </c>
      <c r="BO1292">
        <v>2.4</v>
      </c>
      <c r="BP1292">
        <v>36</v>
      </c>
      <c r="BQ1292">
        <v>0</v>
      </c>
      <c r="BR1292">
        <v>0</v>
      </c>
      <c r="BS1292">
        <v>0</v>
      </c>
      <c r="BT1292">
        <v>5</v>
      </c>
      <c r="BU1292">
        <v>1.8</v>
      </c>
    </row>
    <row r="1293" spans="1:73" ht="14.25" x14ac:dyDescent="0.15">
      <c r="A1293" s="12">
        <v>21040</v>
      </c>
      <c r="B1293">
        <v>7</v>
      </c>
      <c r="C1293" s="1">
        <v>0</v>
      </c>
      <c r="D1293">
        <v>5</v>
      </c>
      <c r="E1293">
        <v>1</v>
      </c>
      <c r="F1293">
        <v>1</v>
      </c>
      <c r="G1293" s="7">
        <v>0.05</v>
      </c>
      <c r="H1293">
        <v>12</v>
      </c>
      <c r="I1293">
        <v>0</v>
      </c>
      <c r="J1293">
        <v>0</v>
      </c>
      <c r="K1293">
        <v>0</v>
      </c>
      <c r="L1293">
        <v>1</v>
      </c>
      <c r="M1293">
        <v>2</v>
      </c>
      <c r="N1293" s="7">
        <v>9</v>
      </c>
      <c r="O1293" s="7">
        <v>0</v>
      </c>
      <c r="P1293" s="7">
        <v>0</v>
      </c>
      <c r="Q1293" s="7">
        <v>0</v>
      </c>
      <c r="R1293" s="7">
        <v>1</v>
      </c>
      <c r="S1293" s="7">
        <v>4.5</v>
      </c>
      <c r="T1293">
        <v>7</v>
      </c>
      <c r="U1293" s="1">
        <v>0</v>
      </c>
      <c r="V1293">
        <v>4</v>
      </c>
      <c r="W1293">
        <v>2</v>
      </c>
      <c r="X1293">
        <v>1</v>
      </c>
      <c r="Y1293">
        <v>0.16</v>
      </c>
      <c r="Z1293">
        <v>23</v>
      </c>
      <c r="AA1293">
        <v>0</v>
      </c>
      <c r="AB1293">
        <v>0</v>
      </c>
      <c r="AC1293">
        <v>0</v>
      </c>
      <c r="AD1293">
        <v>1</v>
      </c>
      <c r="AE1293">
        <v>0.05</v>
      </c>
      <c r="AF1293">
        <v>15</v>
      </c>
      <c r="AG1293">
        <v>0</v>
      </c>
      <c r="AH1293">
        <v>0</v>
      </c>
      <c r="AI1293">
        <v>0</v>
      </c>
      <c r="AJ1293">
        <v>1</v>
      </c>
      <c r="AK1293">
        <v>0.02</v>
      </c>
      <c r="AL1293">
        <v>16</v>
      </c>
      <c r="AM1293">
        <v>0</v>
      </c>
      <c r="AN1293">
        <v>0</v>
      </c>
      <c r="AO1293">
        <v>0</v>
      </c>
      <c r="AP1293">
        <v>1</v>
      </c>
      <c r="AQ1293">
        <v>0.01</v>
      </c>
      <c r="AR1293">
        <v>6</v>
      </c>
      <c r="AS1293">
        <v>2</v>
      </c>
      <c r="AT1293">
        <v>3</v>
      </c>
      <c r="AU1293">
        <v>5</v>
      </c>
      <c r="AV1293">
        <v>1</v>
      </c>
      <c r="AW1293">
        <v>0.05</v>
      </c>
      <c r="AX1293">
        <v>7</v>
      </c>
      <c r="AY1293" s="1">
        <v>0</v>
      </c>
      <c r="AZ1293">
        <v>3</v>
      </c>
      <c r="BA1293">
        <v>1</v>
      </c>
      <c r="BB1293">
        <v>1</v>
      </c>
      <c r="BC1293" s="7">
        <v>0.32</v>
      </c>
      <c r="BD1293">
        <v>30</v>
      </c>
      <c r="BE1293">
        <v>0</v>
      </c>
      <c r="BF1293">
        <v>0</v>
      </c>
      <c r="BG1293">
        <v>0</v>
      </c>
      <c r="BH1293">
        <v>5</v>
      </c>
      <c r="BI1293">
        <v>2.4</v>
      </c>
      <c r="BJ1293">
        <v>31</v>
      </c>
      <c r="BK1293">
        <v>0</v>
      </c>
      <c r="BL1293">
        <v>0</v>
      </c>
      <c r="BM1293">
        <v>0</v>
      </c>
      <c r="BN1293">
        <v>5</v>
      </c>
      <c r="BO1293">
        <v>2.4</v>
      </c>
      <c r="BP1293">
        <v>36</v>
      </c>
      <c r="BQ1293">
        <v>0</v>
      </c>
      <c r="BR1293">
        <v>0</v>
      </c>
      <c r="BS1293">
        <v>0</v>
      </c>
      <c r="BT1293">
        <v>5</v>
      </c>
      <c r="BU1293">
        <v>1.8</v>
      </c>
    </row>
    <row r="1294" spans="1:73" ht="14.25" x14ac:dyDescent="0.15">
      <c r="A1294" s="12">
        <v>21041</v>
      </c>
      <c r="B1294">
        <v>7</v>
      </c>
      <c r="C1294" s="1">
        <v>45</v>
      </c>
      <c r="D1294">
        <v>0</v>
      </c>
      <c r="E1294">
        <v>0</v>
      </c>
      <c r="F1294">
        <v>1</v>
      </c>
      <c r="G1294" s="7">
        <v>0.05</v>
      </c>
      <c r="H1294">
        <v>12</v>
      </c>
      <c r="I1294">
        <v>0</v>
      </c>
      <c r="J1294">
        <v>0</v>
      </c>
      <c r="K1294">
        <v>0</v>
      </c>
      <c r="L1294">
        <v>1</v>
      </c>
      <c r="M1294">
        <v>2</v>
      </c>
      <c r="N1294" s="7">
        <v>9</v>
      </c>
      <c r="O1294" s="7">
        <v>0</v>
      </c>
      <c r="P1294" s="7">
        <v>0</v>
      </c>
      <c r="Q1294" s="7">
        <v>0</v>
      </c>
      <c r="R1294" s="7">
        <v>1</v>
      </c>
      <c r="S1294" s="7">
        <v>4.5</v>
      </c>
      <c r="T1294">
        <v>7</v>
      </c>
      <c r="U1294" s="1">
        <v>33</v>
      </c>
      <c r="V1294">
        <v>0</v>
      </c>
      <c r="W1294">
        <v>0</v>
      </c>
      <c r="X1294">
        <v>1</v>
      </c>
      <c r="Y1294">
        <v>0.16</v>
      </c>
      <c r="Z1294">
        <v>23</v>
      </c>
      <c r="AA1294">
        <v>0</v>
      </c>
      <c r="AB1294">
        <v>0</v>
      </c>
      <c r="AC1294">
        <v>0</v>
      </c>
      <c r="AD1294">
        <v>1</v>
      </c>
      <c r="AE1294">
        <v>0.05</v>
      </c>
      <c r="AF1294">
        <v>15</v>
      </c>
      <c r="AG1294">
        <v>0</v>
      </c>
      <c r="AH1294">
        <v>0</v>
      </c>
      <c r="AI1294">
        <v>0</v>
      </c>
      <c r="AJ1294">
        <v>1</v>
      </c>
      <c r="AK1294">
        <v>0.02</v>
      </c>
      <c r="AL1294">
        <v>16</v>
      </c>
      <c r="AM1294">
        <v>0</v>
      </c>
      <c r="AN1294">
        <v>0</v>
      </c>
      <c r="AO1294">
        <v>0</v>
      </c>
      <c r="AP1294">
        <v>1</v>
      </c>
      <c r="AQ1294">
        <v>0.01</v>
      </c>
      <c r="AX1294">
        <v>7</v>
      </c>
      <c r="AY1294" s="1">
        <v>17</v>
      </c>
      <c r="AZ1294">
        <v>0</v>
      </c>
      <c r="BA1294">
        <v>0</v>
      </c>
      <c r="BB1294">
        <v>1</v>
      </c>
      <c r="BC1294" s="7">
        <v>0.32</v>
      </c>
      <c r="BD1294">
        <v>30</v>
      </c>
      <c r="BE1294">
        <v>0</v>
      </c>
      <c r="BF1294">
        <v>0</v>
      </c>
      <c r="BG1294">
        <v>0</v>
      </c>
      <c r="BH1294">
        <v>5</v>
      </c>
      <c r="BI1294">
        <v>2.4</v>
      </c>
      <c r="BJ1294">
        <v>31</v>
      </c>
      <c r="BK1294">
        <v>0</v>
      </c>
      <c r="BL1294">
        <v>0</v>
      </c>
      <c r="BM1294">
        <v>0</v>
      </c>
      <c r="BN1294">
        <v>5</v>
      </c>
      <c r="BO1294">
        <v>2.4</v>
      </c>
      <c r="BP1294">
        <v>36</v>
      </c>
      <c r="BQ1294">
        <v>0</v>
      </c>
      <c r="BR1294">
        <v>0</v>
      </c>
      <c r="BS1294">
        <v>0</v>
      </c>
      <c r="BT1294">
        <v>5</v>
      </c>
      <c r="BU1294">
        <v>1.8</v>
      </c>
    </row>
    <row r="1295" spans="1:73" ht="14.25" x14ac:dyDescent="0.15">
      <c r="A1295" s="12">
        <v>21042</v>
      </c>
      <c r="B1295">
        <v>7</v>
      </c>
      <c r="C1295" s="1">
        <v>46</v>
      </c>
      <c r="D1295">
        <v>0</v>
      </c>
      <c r="E1295">
        <v>0</v>
      </c>
      <c r="F1295">
        <v>1</v>
      </c>
      <c r="G1295" s="7">
        <v>0.05</v>
      </c>
      <c r="H1295">
        <v>12</v>
      </c>
      <c r="I1295">
        <v>0</v>
      </c>
      <c r="J1295">
        <v>0</v>
      </c>
      <c r="K1295">
        <v>0</v>
      </c>
      <c r="L1295">
        <v>1</v>
      </c>
      <c r="M1295">
        <v>2</v>
      </c>
      <c r="N1295" s="7">
        <v>9</v>
      </c>
      <c r="O1295" s="7">
        <v>0</v>
      </c>
      <c r="P1295" s="7">
        <v>0</v>
      </c>
      <c r="Q1295" s="7">
        <v>0</v>
      </c>
      <c r="R1295" s="7">
        <v>1</v>
      </c>
      <c r="S1295" s="7">
        <v>4.5</v>
      </c>
      <c r="T1295">
        <v>7</v>
      </c>
      <c r="U1295" s="1">
        <v>34</v>
      </c>
      <c r="V1295">
        <v>0</v>
      </c>
      <c r="W1295">
        <v>0</v>
      </c>
      <c r="X1295">
        <v>1</v>
      </c>
      <c r="Y1295">
        <v>0.16</v>
      </c>
      <c r="Z1295">
        <v>23</v>
      </c>
      <c r="AA1295">
        <v>0</v>
      </c>
      <c r="AB1295">
        <v>0</v>
      </c>
      <c r="AC1295">
        <v>0</v>
      </c>
      <c r="AD1295">
        <v>1</v>
      </c>
      <c r="AE1295">
        <v>0.05</v>
      </c>
      <c r="AF1295">
        <v>15</v>
      </c>
      <c r="AG1295">
        <v>0</v>
      </c>
      <c r="AH1295">
        <v>0</v>
      </c>
      <c r="AI1295">
        <v>0</v>
      </c>
      <c r="AJ1295">
        <v>1</v>
      </c>
      <c r="AK1295">
        <v>0.02</v>
      </c>
      <c r="AL1295">
        <v>16</v>
      </c>
      <c r="AM1295">
        <v>0</v>
      </c>
      <c r="AN1295">
        <v>0</v>
      </c>
      <c r="AO1295">
        <v>0</v>
      </c>
      <c r="AP1295">
        <v>1</v>
      </c>
      <c r="AQ1295">
        <v>0.01</v>
      </c>
      <c r="AX1295">
        <v>7</v>
      </c>
      <c r="AY1295" s="1">
        <v>18</v>
      </c>
      <c r="AZ1295">
        <v>0</v>
      </c>
      <c r="BA1295">
        <v>0</v>
      </c>
      <c r="BB1295">
        <v>1</v>
      </c>
      <c r="BC1295" s="7">
        <v>0.32</v>
      </c>
      <c r="BD1295">
        <v>30</v>
      </c>
      <c r="BE1295">
        <v>0</v>
      </c>
      <c r="BF1295">
        <v>0</v>
      </c>
      <c r="BG1295">
        <v>0</v>
      </c>
      <c r="BH1295">
        <v>5</v>
      </c>
      <c r="BI1295">
        <v>2.4</v>
      </c>
      <c r="BJ1295">
        <v>31</v>
      </c>
      <c r="BK1295">
        <v>0</v>
      </c>
      <c r="BL1295">
        <v>0</v>
      </c>
      <c r="BM1295">
        <v>0</v>
      </c>
      <c r="BN1295">
        <v>5</v>
      </c>
      <c r="BO1295">
        <v>2.4</v>
      </c>
      <c r="BP1295">
        <v>36</v>
      </c>
      <c r="BQ1295">
        <v>0</v>
      </c>
      <c r="BR1295">
        <v>0</v>
      </c>
      <c r="BS1295">
        <v>0</v>
      </c>
      <c r="BT1295">
        <v>5</v>
      </c>
      <c r="BU1295">
        <v>1.8</v>
      </c>
    </row>
    <row r="1296" spans="1:73" ht="14.25" x14ac:dyDescent="0.15">
      <c r="A1296" s="12">
        <v>21043</v>
      </c>
      <c r="B1296">
        <v>7</v>
      </c>
      <c r="C1296" s="1">
        <v>47</v>
      </c>
      <c r="D1296">
        <v>0</v>
      </c>
      <c r="E1296">
        <v>0</v>
      </c>
      <c r="F1296">
        <v>1</v>
      </c>
      <c r="G1296" s="7">
        <v>0.05</v>
      </c>
      <c r="H1296">
        <v>12</v>
      </c>
      <c r="I1296">
        <v>0</v>
      </c>
      <c r="J1296">
        <v>0</v>
      </c>
      <c r="K1296">
        <v>0</v>
      </c>
      <c r="L1296">
        <v>1</v>
      </c>
      <c r="M1296">
        <v>2</v>
      </c>
      <c r="N1296" s="7">
        <v>9</v>
      </c>
      <c r="O1296" s="7">
        <v>0</v>
      </c>
      <c r="P1296" s="7">
        <v>0</v>
      </c>
      <c r="Q1296" s="7">
        <v>0</v>
      </c>
      <c r="R1296" s="7">
        <v>1</v>
      </c>
      <c r="S1296" s="7">
        <v>4.5</v>
      </c>
      <c r="T1296">
        <v>7</v>
      </c>
      <c r="U1296" s="1">
        <v>35</v>
      </c>
      <c r="V1296">
        <v>0</v>
      </c>
      <c r="W1296">
        <v>0</v>
      </c>
      <c r="X1296">
        <v>1</v>
      </c>
      <c r="Y1296">
        <v>0.16</v>
      </c>
      <c r="Z1296">
        <v>23</v>
      </c>
      <c r="AA1296">
        <v>0</v>
      </c>
      <c r="AB1296">
        <v>0</v>
      </c>
      <c r="AC1296">
        <v>0</v>
      </c>
      <c r="AD1296">
        <v>1</v>
      </c>
      <c r="AE1296">
        <v>0.05</v>
      </c>
      <c r="AF1296">
        <v>15</v>
      </c>
      <c r="AG1296">
        <v>0</v>
      </c>
      <c r="AH1296">
        <v>0</v>
      </c>
      <c r="AI1296">
        <v>0</v>
      </c>
      <c r="AJ1296">
        <v>1</v>
      </c>
      <c r="AK1296">
        <v>0.02</v>
      </c>
      <c r="AL1296">
        <v>16</v>
      </c>
      <c r="AM1296">
        <v>0</v>
      </c>
      <c r="AN1296">
        <v>0</v>
      </c>
      <c r="AO1296">
        <v>0</v>
      </c>
      <c r="AP1296">
        <v>1</v>
      </c>
      <c r="AQ1296">
        <v>0.01</v>
      </c>
      <c r="AX1296">
        <v>7</v>
      </c>
      <c r="AY1296" s="1">
        <v>19</v>
      </c>
      <c r="AZ1296">
        <v>0</v>
      </c>
      <c r="BA1296">
        <v>0</v>
      </c>
      <c r="BB1296">
        <v>1</v>
      </c>
      <c r="BC1296" s="7">
        <v>0.32</v>
      </c>
      <c r="BD1296">
        <v>30</v>
      </c>
      <c r="BE1296">
        <v>0</v>
      </c>
      <c r="BF1296">
        <v>0</v>
      </c>
      <c r="BG1296">
        <v>0</v>
      </c>
      <c r="BH1296">
        <v>5</v>
      </c>
      <c r="BI1296">
        <v>2.4</v>
      </c>
      <c r="BJ1296">
        <v>31</v>
      </c>
      <c r="BK1296">
        <v>0</v>
      </c>
      <c r="BL1296">
        <v>0</v>
      </c>
      <c r="BM1296">
        <v>0</v>
      </c>
      <c r="BN1296">
        <v>5</v>
      </c>
      <c r="BO1296">
        <v>2.4</v>
      </c>
      <c r="BP1296">
        <v>36</v>
      </c>
      <c r="BQ1296">
        <v>0</v>
      </c>
      <c r="BR1296">
        <v>0</v>
      </c>
      <c r="BS1296">
        <v>0</v>
      </c>
      <c r="BT1296">
        <v>5</v>
      </c>
      <c r="BU1296">
        <v>1.8</v>
      </c>
    </row>
    <row r="1297" spans="1:73" ht="14.25" x14ac:dyDescent="0.15">
      <c r="A1297" s="12">
        <v>21044</v>
      </c>
      <c r="B1297">
        <v>7</v>
      </c>
      <c r="C1297" s="1">
        <v>48</v>
      </c>
      <c r="D1297">
        <v>0</v>
      </c>
      <c r="E1297">
        <v>0</v>
      </c>
      <c r="F1297">
        <v>1</v>
      </c>
      <c r="G1297" s="7">
        <v>0.05</v>
      </c>
      <c r="H1297">
        <v>12</v>
      </c>
      <c r="I1297">
        <v>0</v>
      </c>
      <c r="J1297">
        <v>0</v>
      </c>
      <c r="K1297">
        <v>0</v>
      </c>
      <c r="L1297">
        <v>1</v>
      </c>
      <c r="M1297">
        <v>2</v>
      </c>
      <c r="N1297" s="7">
        <v>9</v>
      </c>
      <c r="O1297" s="7">
        <v>0</v>
      </c>
      <c r="P1297" s="7">
        <v>0</v>
      </c>
      <c r="Q1297" s="7">
        <v>0</v>
      </c>
      <c r="R1297" s="7">
        <v>1</v>
      </c>
      <c r="S1297" s="7">
        <v>4.5</v>
      </c>
      <c r="T1297">
        <v>7</v>
      </c>
      <c r="U1297" s="1">
        <v>36</v>
      </c>
      <c r="V1297">
        <v>0</v>
      </c>
      <c r="W1297">
        <v>0</v>
      </c>
      <c r="X1297">
        <v>1</v>
      </c>
      <c r="Y1297">
        <v>0.16</v>
      </c>
      <c r="Z1297">
        <v>23</v>
      </c>
      <c r="AA1297">
        <v>0</v>
      </c>
      <c r="AB1297">
        <v>0</v>
      </c>
      <c r="AC1297">
        <v>0</v>
      </c>
      <c r="AD1297">
        <v>1</v>
      </c>
      <c r="AE1297">
        <v>0.05</v>
      </c>
      <c r="AF1297">
        <v>15</v>
      </c>
      <c r="AG1297">
        <v>0</v>
      </c>
      <c r="AH1297">
        <v>0</v>
      </c>
      <c r="AI1297">
        <v>0</v>
      </c>
      <c r="AJ1297">
        <v>1</v>
      </c>
      <c r="AK1297">
        <v>0.02</v>
      </c>
      <c r="AL1297">
        <v>16</v>
      </c>
      <c r="AM1297">
        <v>0</v>
      </c>
      <c r="AN1297">
        <v>0</v>
      </c>
      <c r="AO1297">
        <v>0</v>
      </c>
      <c r="AP1297">
        <v>1</v>
      </c>
      <c r="AQ1297">
        <v>0.01</v>
      </c>
      <c r="AX1297">
        <v>7</v>
      </c>
      <c r="AY1297" s="1">
        <v>20</v>
      </c>
      <c r="AZ1297">
        <v>0</v>
      </c>
      <c r="BA1297">
        <v>0</v>
      </c>
      <c r="BB1297">
        <v>1</v>
      </c>
      <c r="BC1297" s="7">
        <v>0.32</v>
      </c>
      <c r="BD1297">
        <v>30</v>
      </c>
      <c r="BE1297">
        <v>0</v>
      </c>
      <c r="BF1297">
        <v>0</v>
      </c>
      <c r="BG1297">
        <v>0</v>
      </c>
      <c r="BH1297">
        <v>5</v>
      </c>
      <c r="BI1297">
        <v>2.4</v>
      </c>
      <c r="BJ1297">
        <v>31</v>
      </c>
      <c r="BK1297">
        <v>0</v>
      </c>
      <c r="BL1297">
        <v>0</v>
      </c>
      <c r="BM1297">
        <v>0</v>
      </c>
      <c r="BN1297">
        <v>5</v>
      </c>
      <c r="BO1297">
        <v>2.4</v>
      </c>
      <c r="BP1297">
        <v>36</v>
      </c>
      <c r="BQ1297">
        <v>0</v>
      </c>
      <c r="BR1297">
        <v>0</v>
      </c>
      <c r="BS1297">
        <v>0</v>
      </c>
      <c r="BT1297">
        <v>5</v>
      </c>
      <c r="BU1297">
        <v>1.8</v>
      </c>
    </row>
    <row r="1298" spans="1:73" ht="14.25" x14ac:dyDescent="0.15">
      <c r="A1298" s="12">
        <v>21045</v>
      </c>
      <c r="B1298">
        <v>7</v>
      </c>
      <c r="C1298" s="1">
        <v>0</v>
      </c>
      <c r="D1298">
        <v>5</v>
      </c>
      <c r="E1298">
        <v>1</v>
      </c>
      <c r="F1298">
        <v>1</v>
      </c>
      <c r="G1298" s="7">
        <v>0.05</v>
      </c>
      <c r="H1298">
        <v>12</v>
      </c>
      <c r="I1298">
        <v>0</v>
      </c>
      <c r="J1298">
        <v>0</v>
      </c>
      <c r="K1298">
        <v>0</v>
      </c>
      <c r="L1298">
        <v>1</v>
      </c>
      <c r="M1298">
        <v>2</v>
      </c>
      <c r="N1298" s="7">
        <v>9</v>
      </c>
      <c r="O1298" s="7">
        <v>0</v>
      </c>
      <c r="P1298" s="7">
        <v>0</v>
      </c>
      <c r="Q1298" s="7">
        <v>0</v>
      </c>
      <c r="R1298" s="7">
        <v>1</v>
      </c>
      <c r="S1298" s="7">
        <v>4.5</v>
      </c>
      <c r="T1298">
        <v>7</v>
      </c>
      <c r="U1298" s="1">
        <v>0</v>
      </c>
      <c r="V1298">
        <v>4</v>
      </c>
      <c r="W1298">
        <v>2</v>
      </c>
      <c r="X1298">
        <v>1</v>
      </c>
      <c r="Y1298">
        <v>0.16</v>
      </c>
      <c r="Z1298">
        <v>23</v>
      </c>
      <c r="AA1298">
        <v>0</v>
      </c>
      <c r="AB1298">
        <v>0</v>
      </c>
      <c r="AC1298">
        <v>0</v>
      </c>
      <c r="AD1298">
        <v>1</v>
      </c>
      <c r="AE1298">
        <v>0.05</v>
      </c>
      <c r="AF1298">
        <v>15</v>
      </c>
      <c r="AG1298">
        <v>0</v>
      </c>
      <c r="AH1298">
        <v>0</v>
      </c>
      <c r="AI1298">
        <v>0</v>
      </c>
      <c r="AJ1298">
        <v>1</v>
      </c>
      <c r="AK1298">
        <v>0.02</v>
      </c>
      <c r="AL1298">
        <v>16</v>
      </c>
      <c r="AM1298">
        <v>0</v>
      </c>
      <c r="AN1298">
        <v>0</v>
      </c>
      <c r="AO1298">
        <v>0</v>
      </c>
      <c r="AP1298">
        <v>1</v>
      </c>
      <c r="AQ1298">
        <v>0.01</v>
      </c>
      <c r="AR1298">
        <v>6</v>
      </c>
      <c r="AS1298">
        <v>2</v>
      </c>
      <c r="AT1298">
        <v>4</v>
      </c>
      <c r="AU1298">
        <v>5</v>
      </c>
      <c r="AV1298">
        <v>1</v>
      </c>
      <c r="AW1298">
        <v>0.01</v>
      </c>
      <c r="AX1298">
        <v>7</v>
      </c>
      <c r="AY1298" s="1">
        <v>0</v>
      </c>
      <c r="AZ1298">
        <v>3</v>
      </c>
      <c r="BA1298">
        <v>1</v>
      </c>
      <c r="BB1298">
        <v>1</v>
      </c>
      <c r="BC1298" s="7">
        <v>0.32</v>
      </c>
      <c r="BD1298">
        <v>30</v>
      </c>
      <c r="BE1298">
        <v>0</v>
      </c>
      <c r="BF1298">
        <v>0</v>
      </c>
      <c r="BG1298">
        <v>0</v>
      </c>
      <c r="BH1298">
        <v>5</v>
      </c>
      <c r="BI1298">
        <v>2.4</v>
      </c>
      <c r="BJ1298">
        <v>31</v>
      </c>
      <c r="BK1298">
        <v>0</v>
      </c>
      <c r="BL1298">
        <v>0</v>
      </c>
      <c r="BM1298">
        <v>0</v>
      </c>
      <c r="BN1298">
        <v>5</v>
      </c>
      <c r="BO1298">
        <v>2.4</v>
      </c>
      <c r="BP1298">
        <v>36</v>
      </c>
      <c r="BQ1298">
        <v>0</v>
      </c>
      <c r="BR1298">
        <v>0</v>
      </c>
      <c r="BS1298">
        <v>0</v>
      </c>
      <c r="BT1298">
        <v>5</v>
      </c>
      <c r="BU1298">
        <v>1.8</v>
      </c>
    </row>
    <row r="1299" spans="1:73" ht="14.25" x14ac:dyDescent="0.15">
      <c r="A1299" s="12">
        <v>21046</v>
      </c>
      <c r="B1299">
        <v>7</v>
      </c>
      <c r="C1299" s="1">
        <v>45</v>
      </c>
      <c r="D1299">
        <v>0</v>
      </c>
      <c r="E1299">
        <v>0</v>
      </c>
      <c r="F1299">
        <v>1</v>
      </c>
      <c r="G1299" s="7">
        <v>0.05</v>
      </c>
      <c r="H1299">
        <v>12</v>
      </c>
      <c r="I1299">
        <v>0</v>
      </c>
      <c r="J1299">
        <v>0</v>
      </c>
      <c r="K1299">
        <v>0</v>
      </c>
      <c r="L1299">
        <v>1</v>
      </c>
      <c r="M1299">
        <v>2</v>
      </c>
      <c r="N1299" s="7">
        <v>9</v>
      </c>
      <c r="O1299" s="7">
        <v>0</v>
      </c>
      <c r="P1299" s="7">
        <v>0</v>
      </c>
      <c r="Q1299" s="7">
        <v>0</v>
      </c>
      <c r="R1299" s="7">
        <v>1</v>
      </c>
      <c r="S1299" s="7">
        <v>4.5</v>
      </c>
      <c r="T1299">
        <v>7</v>
      </c>
      <c r="U1299" s="1">
        <v>33</v>
      </c>
      <c r="V1299">
        <v>0</v>
      </c>
      <c r="W1299">
        <v>0</v>
      </c>
      <c r="X1299">
        <v>1</v>
      </c>
      <c r="Y1299">
        <v>0.16</v>
      </c>
      <c r="Z1299">
        <v>23</v>
      </c>
      <c r="AA1299">
        <v>0</v>
      </c>
      <c r="AB1299">
        <v>0</v>
      </c>
      <c r="AC1299">
        <v>0</v>
      </c>
      <c r="AD1299">
        <v>1</v>
      </c>
      <c r="AE1299">
        <v>0.05</v>
      </c>
      <c r="AF1299">
        <v>15</v>
      </c>
      <c r="AG1299">
        <v>0</v>
      </c>
      <c r="AH1299">
        <v>0</v>
      </c>
      <c r="AI1299">
        <v>0</v>
      </c>
      <c r="AJ1299">
        <v>1</v>
      </c>
      <c r="AK1299">
        <v>0.02</v>
      </c>
      <c r="AL1299">
        <v>16</v>
      </c>
      <c r="AM1299">
        <v>0</v>
      </c>
      <c r="AN1299">
        <v>0</v>
      </c>
      <c r="AO1299">
        <v>0</v>
      </c>
      <c r="AP1299">
        <v>1</v>
      </c>
      <c r="AQ1299">
        <v>0.01</v>
      </c>
      <c r="AX1299">
        <v>7</v>
      </c>
      <c r="AY1299" s="1">
        <v>17</v>
      </c>
      <c r="AZ1299">
        <v>0</v>
      </c>
      <c r="BA1299">
        <v>0</v>
      </c>
      <c r="BB1299">
        <v>1</v>
      </c>
      <c r="BC1299" s="7">
        <v>0.32</v>
      </c>
      <c r="BD1299">
        <v>30</v>
      </c>
      <c r="BE1299">
        <v>0</v>
      </c>
      <c r="BF1299">
        <v>0</v>
      </c>
      <c r="BG1299">
        <v>0</v>
      </c>
      <c r="BH1299">
        <v>5</v>
      </c>
      <c r="BI1299">
        <v>2.4</v>
      </c>
      <c r="BJ1299">
        <v>31</v>
      </c>
      <c r="BK1299">
        <v>0</v>
      </c>
      <c r="BL1299">
        <v>0</v>
      </c>
      <c r="BM1299">
        <v>0</v>
      </c>
      <c r="BN1299">
        <v>5</v>
      </c>
      <c r="BO1299">
        <v>2.4</v>
      </c>
      <c r="BP1299">
        <v>36</v>
      </c>
      <c r="BQ1299">
        <v>0</v>
      </c>
      <c r="BR1299">
        <v>0</v>
      </c>
      <c r="BS1299">
        <v>0</v>
      </c>
      <c r="BT1299">
        <v>5</v>
      </c>
      <c r="BU1299">
        <v>1.8</v>
      </c>
    </row>
    <row r="1300" spans="1:73" ht="14.25" x14ac:dyDescent="0.15">
      <c r="A1300" s="12">
        <v>21047</v>
      </c>
      <c r="B1300">
        <v>7</v>
      </c>
      <c r="C1300" s="1">
        <v>46</v>
      </c>
      <c r="D1300">
        <v>0</v>
      </c>
      <c r="E1300">
        <v>0</v>
      </c>
      <c r="F1300">
        <v>1</v>
      </c>
      <c r="G1300" s="7">
        <v>0.05</v>
      </c>
      <c r="H1300">
        <v>12</v>
      </c>
      <c r="I1300">
        <v>0</v>
      </c>
      <c r="J1300">
        <v>0</v>
      </c>
      <c r="K1300">
        <v>0</v>
      </c>
      <c r="L1300">
        <v>1</v>
      </c>
      <c r="M1300">
        <v>2</v>
      </c>
      <c r="N1300" s="7">
        <v>9</v>
      </c>
      <c r="O1300" s="7">
        <v>0</v>
      </c>
      <c r="P1300" s="7">
        <v>0</v>
      </c>
      <c r="Q1300" s="7">
        <v>0</v>
      </c>
      <c r="R1300" s="7">
        <v>1</v>
      </c>
      <c r="S1300" s="7">
        <v>4.5</v>
      </c>
      <c r="T1300">
        <v>7</v>
      </c>
      <c r="U1300" s="1">
        <v>34</v>
      </c>
      <c r="V1300">
        <v>0</v>
      </c>
      <c r="W1300">
        <v>0</v>
      </c>
      <c r="X1300">
        <v>1</v>
      </c>
      <c r="Y1300">
        <v>0.16</v>
      </c>
      <c r="Z1300">
        <v>23</v>
      </c>
      <c r="AA1300">
        <v>0</v>
      </c>
      <c r="AB1300">
        <v>0</v>
      </c>
      <c r="AC1300">
        <v>0</v>
      </c>
      <c r="AD1300">
        <v>1</v>
      </c>
      <c r="AE1300">
        <v>0.05</v>
      </c>
      <c r="AF1300">
        <v>15</v>
      </c>
      <c r="AG1300">
        <v>0</v>
      </c>
      <c r="AH1300">
        <v>0</v>
      </c>
      <c r="AI1300">
        <v>0</v>
      </c>
      <c r="AJ1300">
        <v>1</v>
      </c>
      <c r="AK1300">
        <v>0.02</v>
      </c>
      <c r="AL1300">
        <v>16</v>
      </c>
      <c r="AM1300">
        <v>0</v>
      </c>
      <c r="AN1300">
        <v>0</v>
      </c>
      <c r="AO1300">
        <v>0</v>
      </c>
      <c r="AP1300">
        <v>1</v>
      </c>
      <c r="AQ1300">
        <v>0.01</v>
      </c>
      <c r="AX1300">
        <v>7</v>
      </c>
      <c r="AY1300" s="1">
        <v>18</v>
      </c>
      <c r="AZ1300">
        <v>0</v>
      </c>
      <c r="BA1300">
        <v>0</v>
      </c>
      <c r="BB1300">
        <v>1</v>
      </c>
      <c r="BC1300" s="7">
        <v>0.32</v>
      </c>
      <c r="BD1300">
        <v>30</v>
      </c>
      <c r="BE1300">
        <v>0</v>
      </c>
      <c r="BF1300">
        <v>0</v>
      </c>
      <c r="BG1300">
        <v>0</v>
      </c>
      <c r="BH1300">
        <v>5</v>
      </c>
      <c r="BI1300">
        <v>2.4</v>
      </c>
      <c r="BJ1300">
        <v>31</v>
      </c>
      <c r="BK1300">
        <v>0</v>
      </c>
      <c r="BL1300">
        <v>0</v>
      </c>
      <c r="BM1300">
        <v>0</v>
      </c>
      <c r="BN1300">
        <v>5</v>
      </c>
      <c r="BO1300">
        <v>2.4</v>
      </c>
      <c r="BP1300">
        <v>36</v>
      </c>
      <c r="BQ1300">
        <v>0</v>
      </c>
      <c r="BR1300">
        <v>0</v>
      </c>
      <c r="BS1300">
        <v>0</v>
      </c>
      <c r="BT1300">
        <v>5</v>
      </c>
      <c r="BU1300">
        <v>1.8</v>
      </c>
    </row>
    <row r="1301" spans="1:73" ht="14.25" x14ac:dyDescent="0.15">
      <c r="A1301" s="12">
        <v>21048</v>
      </c>
      <c r="B1301">
        <v>7</v>
      </c>
      <c r="C1301" s="1">
        <v>47</v>
      </c>
      <c r="D1301">
        <v>0</v>
      </c>
      <c r="E1301">
        <v>0</v>
      </c>
      <c r="F1301">
        <v>1</v>
      </c>
      <c r="G1301" s="7">
        <v>0.05</v>
      </c>
      <c r="H1301">
        <v>12</v>
      </c>
      <c r="I1301">
        <v>0</v>
      </c>
      <c r="J1301">
        <v>0</v>
      </c>
      <c r="K1301">
        <v>0</v>
      </c>
      <c r="L1301">
        <v>1</v>
      </c>
      <c r="M1301">
        <v>2</v>
      </c>
      <c r="N1301" s="7">
        <v>9</v>
      </c>
      <c r="O1301" s="7">
        <v>0</v>
      </c>
      <c r="P1301" s="7">
        <v>0</v>
      </c>
      <c r="Q1301" s="7">
        <v>0</v>
      </c>
      <c r="R1301" s="7">
        <v>1</v>
      </c>
      <c r="S1301" s="7">
        <v>4.5</v>
      </c>
      <c r="T1301">
        <v>7</v>
      </c>
      <c r="U1301" s="1">
        <v>35</v>
      </c>
      <c r="V1301">
        <v>0</v>
      </c>
      <c r="W1301">
        <v>0</v>
      </c>
      <c r="X1301">
        <v>1</v>
      </c>
      <c r="Y1301">
        <v>0.16</v>
      </c>
      <c r="Z1301">
        <v>23</v>
      </c>
      <c r="AA1301">
        <v>0</v>
      </c>
      <c r="AB1301">
        <v>0</v>
      </c>
      <c r="AC1301">
        <v>0</v>
      </c>
      <c r="AD1301">
        <v>1</v>
      </c>
      <c r="AE1301">
        <v>0.05</v>
      </c>
      <c r="AF1301">
        <v>15</v>
      </c>
      <c r="AG1301">
        <v>0</v>
      </c>
      <c r="AH1301">
        <v>0</v>
      </c>
      <c r="AI1301">
        <v>0</v>
      </c>
      <c r="AJ1301">
        <v>1</v>
      </c>
      <c r="AK1301">
        <v>0.02</v>
      </c>
      <c r="AL1301">
        <v>16</v>
      </c>
      <c r="AM1301">
        <v>0</v>
      </c>
      <c r="AN1301">
        <v>0</v>
      </c>
      <c r="AO1301">
        <v>0</v>
      </c>
      <c r="AP1301">
        <v>1</v>
      </c>
      <c r="AQ1301">
        <v>0.01</v>
      </c>
      <c r="AX1301">
        <v>7</v>
      </c>
      <c r="AY1301" s="1">
        <v>19</v>
      </c>
      <c r="AZ1301">
        <v>0</v>
      </c>
      <c r="BA1301">
        <v>0</v>
      </c>
      <c r="BB1301">
        <v>1</v>
      </c>
      <c r="BC1301" s="7">
        <v>0.32</v>
      </c>
      <c r="BD1301">
        <v>30</v>
      </c>
      <c r="BE1301">
        <v>0</v>
      </c>
      <c r="BF1301">
        <v>0</v>
      </c>
      <c r="BG1301">
        <v>0</v>
      </c>
      <c r="BH1301">
        <v>5</v>
      </c>
      <c r="BI1301">
        <v>2.4</v>
      </c>
      <c r="BJ1301">
        <v>31</v>
      </c>
      <c r="BK1301">
        <v>0</v>
      </c>
      <c r="BL1301">
        <v>0</v>
      </c>
      <c r="BM1301">
        <v>0</v>
      </c>
      <c r="BN1301">
        <v>5</v>
      </c>
      <c r="BO1301">
        <v>2.4</v>
      </c>
      <c r="BP1301">
        <v>36</v>
      </c>
      <c r="BQ1301">
        <v>0</v>
      </c>
      <c r="BR1301">
        <v>0</v>
      </c>
      <c r="BS1301">
        <v>0</v>
      </c>
      <c r="BT1301">
        <v>5</v>
      </c>
      <c r="BU1301">
        <v>1.8</v>
      </c>
    </row>
    <row r="1302" spans="1:73" ht="14.25" x14ac:dyDescent="0.15">
      <c r="A1302" s="12">
        <v>21049</v>
      </c>
      <c r="B1302">
        <v>7</v>
      </c>
      <c r="C1302" s="1">
        <v>48</v>
      </c>
      <c r="D1302">
        <v>0</v>
      </c>
      <c r="E1302">
        <v>0</v>
      </c>
      <c r="F1302">
        <v>1</v>
      </c>
      <c r="G1302" s="7">
        <v>0.05</v>
      </c>
      <c r="H1302">
        <v>12</v>
      </c>
      <c r="I1302">
        <v>0</v>
      </c>
      <c r="J1302">
        <v>0</v>
      </c>
      <c r="K1302">
        <v>0</v>
      </c>
      <c r="L1302">
        <v>1</v>
      </c>
      <c r="M1302">
        <v>2</v>
      </c>
      <c r="N1302" s="7">
        <v>9</v>
      </c>
      <c r="O1302" s="7">
        <v>0</v>
      </c>
      <c r="P1302" s="7">
        <v>0</v>
      </c>
      <c r="Q1302" s="7">
        <v>0</v>
      </c>
      <c r="R1302" s="7">
        <v>1</v>
      </c>
      <c r="S1302" s="7">
        <v>4.5</v>
      </c>
      <c r="T1302">
        <v>7</v>
      </c>
      <c r="U1302" s="1">
        <v>36</v>
      </c>
      <c r="V1302">
        <v>0</v>
      </c>
      <c r="W1302">
        <v>0</v>
      </c>
      <c r="X1302">
        <v>1</v>
      </c>
      <c r="Y1302">
        <v>0.16</v>
      </c>
      <c r="Z1302">
        <v>23</v>
      </c>
      <c r="AA1302">
        <v>0</v>
      </c>
      <c r="AB1302">
        <v>0</v>
      </c>
      <c r="AC1302">
        <v>0</v>
      </c>
      <c r="AD1302">
        <v>1</v>
      </c>
      <c r="AE1302">
        <v>0.05</v>
      </c>
      <c r="AF1302">
        <v>15</v>
      </c>
      <c r="AG1302">
        <v>0</v>
      </c>
      <c r="AH1302">
        <v>0</v>
      </c>
      <c r="AI1302">
        <v>0</v>
      </c>
      <c r="AJ1302">
        <v>1</v>
      </c>
      <c r="AK1302">
        <v>0.02</v>
      </c>
      <c r="AL1302">
        <v>16</v>
      </c>
      <c r="AM1302">
        <v>0</v>
      </c>
      <c r="AN1302">
        <v>0</v>
      </c>
      <c r="AO1302">
        <v>0</v>
      </c>
      <c r="AP1302">
        <v>1</v>
      </c>
      <c r="AQ1302">
        <v>0.01</v>
      </c>
      <c r="AX1302">
        <v>7</v>
      </c>
      <c r="AY1302" s="1">
        <v>20</v>
      </c>
      <c r="AZ1302">
        <v>0</v>
      </c>
      <c r="BA1302">
        <v>0</v>
      </c>
      <c r="BB1302">
        <v>1</v>
      </c>
      <c r="BC1302" s="7">
        <v>0.32</v>
      </c>
      <c r="BD1302">
        <v>30</v>
      </c>
      <c r="BE1302">
        <v>0</v>
      </c>
      <c r="BF1302">
        <v>0</v>
      </c>
      <c r="BG1302">
        <v>0</v>
      </c>
      <c r="BH1302">
        <v>5</v>
      </c>
      <c r="BI1302">
        <v>2.4</v>
      </c>
      <c r="BJ1302">
        <v>31</v>
      </c>
      <c r="BK1302">
        <v>0</v>
      </c>
      <c r="BL1302">
        <v>0</v>
      </c>
      <c r="BM1302">
        <v>0</v>
      </c>
      <c r="BN1302">
        <v>5</v>
      </c>
      <c r="BO1302">
        <v>2.4</v>
      </c>
      <c r="BP1302">
        <v>36</v>
      </c>
      <c r="BQ1302">
        <v>0</v>
      </c>
      <c r="BR1302">
        <v>0</v>
      </c>
      <c r="BS1302">
        <v>0</v>
      </c>
      <c r="BT1302">
        <v>5</v>
      </c>
      <c r="BU1302">
        <v>1.8</v>
      </c>
    </row>
    <row r="1303" spans="1:73" ht="14.25" x14ac:dyDescent="0.15">
      <c r="A1303" s="12">
        <v>21050</v>
      </c>
      <c r="B1303">
        <v>7</v>
      </c>
      <c r="C1303" s="1">
        <v>0</v>
      </c>
      <c r="D1303">
        <v>5</v>
      </c>
      <c r="E1303">
        <v>1</v>
      </c>
      <c r="F1303">
        <v>1</v>
      </c>
      <c r="G1303" s="7">
        <v>0.05</v>
      </c>
      <c r="H1303">
        <v>12</v>
      </c>
      <c r="I1303">
        <v>0</v>
      </c>
      <c r="J1303">
        <v>0</v>
      </c>
      <c r="K1303">
        <v>0</v>
      </c>
      <c r="L1303">
        <v>1</v>
      </c>
      <c r="M1303">
        <v>2</v>
      </c>
      <c r="N1303" s="7">
        <v>9</v>
      </c>
      <c r="O1303" s="7">
        <v>0</v>
      </c>
      <c r="P1303" s="7">
        <v>0</v>
      </c>
      <c r="Q1303" s="7">
        <v>0</v>
      </c>
      <c r="R1303" s="7">
        <v>1</v>
      </c>
      <c r="S1303" s="7">
        <v>4.5</v>
      </c>
      <c r="T1303">
        <v>7</v>
      </c>
      <c r="U1303" s="1">
        <v>0</v>
      </c>
      <c r="V1303">
        <v>4</v>
      </c>
      <c r="W1303">
        <v>2</v>
      </c>
      <c r="X1303">
        <v>1</v>
      </c>
      <c r="Y1303">
        <v>0.16</v>
      </c>
      <c r="Z1303">
        <v>23</v>
      </c>
      <c r="AA1303">
        <v>0</v>
      </c>
      <c r="AB1303">
        <v>0</v>
      </c>
      <c r="AC1303">
        <v>0</v>
      </c>
      <c r="AD1303">
        <v>1</v>
      </c>
      <c r="AE1303">
        <v>0.05</v>
      </c>
      <c r="AF1303">
        <v>15</v>
      </c>
      <c r="AG1303">
        <v>0</v>
      </c>
      <c r="AH1303">
        <v>0</v>
      </c>
      <c r="AI1303">
        <v>0</v>
      </c>
      <c r="AJ1303">
        <v>1</v>
      </c>
      <c r="AK1303">
        <v>0.02</v>
      </c>
      <c r="AL1303">
        <v>16</v>
      </c>
      <c r="AM1303">
        <v>0</v>
      </c>
      <c r="AN1303">
        <v>0</v>
      </c>
      <c r="AO1303">
        <v>0</v>
      </c>
      <c r="AP1303">
        <v>1</v>
      </c>
      <c r="AQ1303">
        <v>0.01</v>
      </c>
      <c r="AR1303">
        <v>6</v>
      </c>
      <c r="AS1303">
        <v>2</v>
      </c>
      <c r="AT1303">
        <v>5</v>
      </c>
      <c r="AU1303">
        <v>5</v>
      </c>
      <c r="AV1303">
        <v>1</v>
      </c>
      <c r="AW1303">
        <v>0.01</v>
      </c>
      <c r="AX1303">
        <v>7</v>
      </c>
      <c r="AY1303" s="1">
        <v>0</v>
      </c>
      <c r="AZ1303">
        <v>3</v>
      </c>
      <c r="BA1303">
        <v>1</v>
      </c>
      <c r="BB1303">
        <v>1</v>
      </c>
      <c r="BC1303" s="7">
        <v>0.32</v>
      </c>
      <c r="BD1303">
        <v>30</v>
      </c>
      <c r="BE1303">
        <v>0</v>
      </c>
      <c r="BF1303">
        <v>0</v>
      </c>
      <c r="BG1303">
        <v>0</v>
      </c>
      <c r="BH1303">
        <v>5</v>
      </c>
      <c r="BI1303">
        <v>2.4</v>
      </c>
      <c r="BJ1303">
        <v>31</v>
      </c>
      <c r="BK1303">
        <v>0</v>
      </c>
      <c r="BL1303">
        <v>0</v>
      </c>
      <c r="BM1303">
        <v>0</v>
      </c>
      <c r="BN1303">
        <v>5</v>
      </c>
      <c r="BO1303">
        <v>2.4</v>
      </c>
      <c r="BP1303">
        <v>36</v>
      </c>
      <c r="BQ1303">
        <v>0</v>
      </c>
      <c r="BR1303">
        <v>0</v>
      </c>
      <c r="BS1303">
        <v>0</v>
      </c>
      <c r="BT1303">
        <v>5</v>
      </c>
      <c r="BU1303">
        <v>1.8</v>
      </c>
    </row>
    <row r="1304" spans="1:73" ht="14.25" x14ac:dyDescent="0.15">
      <c r="A1304" s="12">
        <v>30101</v>
      </c>
      <c r="B1304">
        <v>7</v>
      </c>
      <c r="C1304" s="1">
        <v>45</v>
      </c>
      <c r="D1304">
        <v>0</v>
      </c>
      <c r="E1304">
        <v>0</v>
      </c>
      <c r="F1304">
        <v>1</v>
      </c>
      <c r="G1304" s="7">
        <v>0.05</v>
      </c>
      <c r="H1304">
        <v>12</v>
      </c>
      <c r="I1304">
        <v>0</v>
      </c>
      <c r="J1304">
        <v>0</v>
      </c>
      <c r="K1304">
        <v>0</v>
      </c>
      <c r="L1304">
        <v>1</v>
      </c>
      <c r="M1304">
        <v>2</v>
      </c>
      <c r="N1304" s="7">
        <v>9</v>
      </c>
      <c r="O1304" s="7">
        <v>0</v>
      </c>
      <c r="P1304" s="7">
        <v>0</v>
      </c>
      <c r="Q1304" s="7">
        <v>0</v>
      </c>
      <c r="R1304" s="7">
        <v>1</v>
      </c>
      <c r="S1304" s="7">
        <v>4.5</v>
      </c>
      <c r="T1304">
        <v>7</v>
      </c>
      <c r="U1304" s="1">
        <v>33</v>
      </c>
      <c r="V1304">
        <v>0</v>
      </c>
      <c r="W1304">
        <v>0</v>
      </c>
      <c r="X1304">
        <v>1</v>
      </c>
      <c r="Y1304">
        <v>0.16</v>
      </c>
      <c r="Z1304">
        <v>23</v>
      </c>
      <c r="AA1304">
        <v>0</v>
      </c>
      <c r="AB1304">
        <v>0</v>
      </c>
      <c r="AC1304">
        <v>0</v>
      </c>
      <c r="AD1304">
        <v>1</v>
      </c>
      <c r="AE1304">
        <v>0.05</v>
      </c>
      <c r="AF1304">
        <v>15</v>
      </c>
      <c r="AG1304">
        <v>0</v>
      </c>
      <c r="AH1304">
        <v>0</v>
      </c>
      <c r="AI1304">
        <v>0</v>
      </c>
      <c r="AJ1304">
        <v>1</v>
      </c>
      <c r="AK1304">
        <v>0.02</v>
      </c>
      <c r="AL1304">
        <v>16</v>
      </c>
      <c r="AM1304">
        <v>0</v>
      </c>
      <c r="AN1304">
        <v>0</v>
      </c>
      <c r="AO1304">
        <v>0</v>
      </c>
      <c r="AP1304">
        <v>1</v>
      </c>
      <c r="AQ1304">
        <v>0.01</v>
      </c>
      <c r="AX1304">
        <v>7</v>
      </c>
      <c r="AY1304" s="1">
        <v>17</v>
      </c>
      <c r="AZ1304">
        <v>0</v>
      </c>
      <c r="BA1304">
        <v>0</v>
      </c>
      <c r="BB1304">
        <v>1</v>
      </c>
      <c r="BC1304" s="7">
        <v>0.32</v>
      </c>
      <c r="BD1304">
        <v>30</v>
      </c>
      <c r="BE1304">
        <v>0</v>
      </c>
      <c r="BF1304">
        <v>0</v>
      </c>
      <c r="BG1304">
        <v>0</v>
      </c>
      <c r="BH1304">
        <v>5</v>
      </c>
      <c r="BI1304">
        <v>2.4</v>
      </c>
      <c r="BJ1304">
        <v>31</v>
      </c>
      <c r="BK1304">
        <v>0</v>
      </c>
      <c r="BL1304">
        <v>0</v>
      </c>
      <c r="BM1304">
        <v>0</v>
      </c>
      <c r="BN1304">
        <v>5</v>
      </c>
      <c r="BO1304">
        <v>2.4</v>
      </c>
      <c r="BP1304">
        <v>36</v>
      </c>
      <c r="BQ1304">
        <v>0</v>
      </c>
      <c r="BR1304">
        <v>0</v>
      </c>
      <c r="BS1304">
        <v>0</v>
      </c>
      <c r="BT1304">
        <v>5</v>
      </c>
      <c r="BU1304">
        <v>1.7</v>
      </c>
    </row>
    <row r="1305" spans="1:73" ht="14.25" x14ac:dyDescent="0.15">
      <c r="A1305" s="12">
        <v>30102</v>
      </c>
      <c r="B1305">
        <v>7</v>
      </c>
      <c r="C1305" s="1">
        <v>46</v>
      </c>
      <c r="D1305">
        <v>0</v>
      </c>
      <c r="E1305">
        <v>0</v>
      </c>
      <c r="F1305">
        <v>1</v>
      </c>
      <c r="G1305" s="7">
        <v>0.05</v>
      </c>
      <c r="H1305">
        <v>12</v>
      </c>
      <c r="I1305">
        <v>0</v>
      </c>
      <c r="J1305">
        <v>0</v>
      </c>
      <c r="K1305">
        <v>0</v>
      </c>
      <c r="L1305">
        <v>1</v>
      </c>
      <c r="M1305">
        <v>2</v>
      </c>
      <c r="N1305" s="7">
        <v>9</v>
      </c>
      <c r="O1305" s="7">
        <v>0</v>
      </c>
      <c r="P1305" s="7">
        <v>0</v>
      </c>
      <c r="Q1305" s="7">
        <v>0</v>
      </c>
      <c r="R1305" s="7">
        <v>1</v>
      </c>
      <c r="S1305" s="7">
        <v>4.5</v>
      </c>
      <c r="T1305">
        <v>7</v>
      </c>
      <c r="U1305" s="1">
        <v>34</v>
      </c>
      <c r="V1305">
        <v>0</v>
      </c>
      <c r="W1305">
        <v>0</v>
      </c>
      <c r="X1305">
        <v>1</v>
      </c>
      <c r="Y1305">
        <v>0.16</v>
      </c>
      <c r="Z1305">
        <v>23</v>
      </c>
      <c r="AA1305">
        <v>0</v>
      </c>
      <c r="AB1305">
        <v>0</v>
      </c>
      <c r="AC1305">
        <v>0</v>
      </c>
      <c r="AD1305">
        <v>1</v>
      </c>
      <c r="AE1305">
        <v>0.05</v>
      </c>
      <c r="AF1305">
        <v>15</v>
      </c>
      <c r="AG1305">
        <v>0</v>
      </c>
      <c r="AH1305">
        <v>0</v>
      </c>
      <c r="AI1305">
        <v>0</v>
      </c>
      <c r="AJ1305">
        <v>1</v>
      </c>
      <c r="AK1305">
        <v>0.02</v>
      </c>
      <c r="AL1305">
        <v>16</v>
      </c>
      <c r="AM1305">
        <v>0</v>
      </c>
      <c r="AN1305">
        <v>0</v>
      </c>
      <c r="AO1305">
        <v>0</v>
      </c>
      <c r="AP1305">
        <v>1</v>
      </c>
      <c r="AQ1305">
        <v>0.01</v>
      </c>
      <c r="AX1305">
        <v>7</v>
      </c>
      <c r="AY1305" s="1">
        <v>18</v>
      </c>
      <c r="AZ1305">
        <v>0</v>
      </c>
      <c r="BA1305">
        <v>0</v>
      </c>
      <c r="BB1305">
        <v>1</v>
      </c>
      <c r="BC1305" s="7">
        <v>0.32</v>
      </c>
      <c r="BD1305">
        <v>30</v>
      </c>
      <c r="BE1305">
        <v>0</v>
      </c>
      <c r="BF1305">
        <v>0</v>
      </c>
      <c r="BG1305">
        <v>0</v>
      </c>
      <c r="BH1305">
        <v>5</v>
      </c>
      <c r="BI1305">
        <v>2.4</v>
      </c>
      <c r="BJ1305">
        <v>31</v>
      </c>
      <c r="BK1305">
        <v>0</v>
      </c>
      <c r="BL1305">
        <v>0</v>
      </c>
      <c r="BM1305">
        <v>0</v>
      </c>
      <c r="BN1305">
        <v>5</v>
      </c>
      <c r="BO1305">
        <v>2.4</v>
      </c>
      <c r="BP1305">
        <v>36</v>
      </c>
      <c r="BQ1305">
        <v>0</v>
      </c>
      <c r="BR1305">
        <v>0</v>
      </c>
      <c r="BS1305">
        <v>0</v>
      </c>
      <c r="BT1305">
        <v>5</v>
      </c>
      <c r="BU1305">
        <v>1.7</v>
      </c>
    </row>
    <row r="1306" spans="1:73" ht="14.25" x14ac:dyDescent="0.15">
      <c r="A1306" s="12">
        <v>30103</v>
      </c>
      <c r="B1306">
        <v>7</v>
      </c>
      <c r="C1306" s="1">
        <v>47</v>
      </c>
      <c r="D1306">
        <v>0</v>
      </c>
      <c r="E1306">
        <v>0</v>
      </c>
      <c r="F1306">
        <v>1</v>
      </c>
      <c r="G1306" s="7">
        <v>0.05</v>
      </c>
      <c r="H1306">
        <v>12</v>
      </c>
      <c r="I1306">
        <v>0</v>
      </c>
      <c r="J1306">
        <v>0</v>
      </c>
      <c r="K1306">
        <v>0</v>
      </c>
      <c r="L1306">
        <v>1</v>
      </c>
      <c r="M1306">
        <v>2</v>
      </c>
      <c r="N1306" s="7">
        <v>9</v>
      </c>
      <c r="O1306" s="7">
        <v>0</v>
      </c>
      <c r="P1306" s="7">
        <v>0</v>
      </c>
      <c r="Q1306" s="7">
        <v>0</v>
      </c>
      <c r="R1306" s="7">
        <v>1</v>
      </c>
      <c r="S1306" s="7">
        <v>4.5</v>
      </c>
      <c r="T1306">
        <v>7</v>
      </c>
      <c r="U1306" s="1">
        <v>35</v>
      </c>
      <c r="V1306">
        <v>0</v>
      </c>
      <c r="W1306">
        <v>0</v>
      </c>
      <c r="X1306">
        <v>1</v>
      </c>
      <c r="Y1306">
        <v>0.16</v>
      </c>
      <c r="Z1306">
        <v>23</v>
      </c>
      <c r="AA1306">
        <v>0</v>
      </c>
      <c r="AB1306">
        <v>0</v>
      </c>
      <c r="AC1306">
        <v>0</v>
      </c>
      <c r="AD1306">
        <v>1</v>
      </c>
      <c r="AE1306">
        <v>0.05</v>
      </c>
      <c r="AF1306">
        <v>15</v>
      </c>
      <c r="AG1306">
        <v>0</v>
      </c>
      <c r="AH1306">
        <v>0</v>
      </c>
      <c r="AI1306">
        <v>0</v>
      </c>
      <c r="AJ1306">
        <v>1</v>
      </c>
      <c r="AK1306">
        <v>0.02</v>
      </c>
      <c r="AL1306">
        <v>16</v>
      </c>
      <c r="AM1306">
        <v>0</v>
      </c>
      <c r="AN1306">
        <v>0</v>
      </c>
      <c r="AO1306">
        <v>0</v>
      </c>
      <c r="AP1306">
        <v>1</v>
      </c>
      <c r="AQ1306">
        <v>0.01</v>
      </c>
      <c r="AX1306">
        <v>7</v>
      </c>
      <c r="AY1306" s="1">
        <v>19</v>
      </c>
      <c r="AZ1306">
        <v>0</v>
      </c>
      <c r="BA1306">
        <v>0</v>
      </c>
      <c r="BB1306">
        <v>1</v>
      </c>
      <c r="BC1306" s="7">
        <v>0.32</v>
      </c>
      <c r="BD1306">
        <v>30</v>
      </c>
      <c r="BE1306">
        <v>0</v>
      </c>
      <c r="BF1306">
        <v>0</v>
      </c>
      <c r="BG1306">
        <v>0</v>
      </c>
      <c r="BH1306">
        <v>5</v>
      </c>
      <c r="BI1306">
        <v>2.4</v>
      </c>
      <c r="BJ1306">
        <v>31</v>
      </c>
      <c r="BK1306">
        <v>0</v>
      </c>
      <c r="BL1306">
        <v>0</v>
      </c>
      <c r="BM1306">
        <v>0</v>
      </c>
      <c r="BN1306">
        <v>5</v>
      </c>
      <c r="BO1306">
        <v>2.4</v>
      </c>
      <c r="BP1306">
        <v>36</v>
      </c>
      <c r="BQ1306">
        <v>0</v>
      </c>
      <c r="BR1306">
        <v>0</v>
      </c>
      <c r="BS1306">
        <v>0</v>
      </c>
      <c r="BT1306">
        <v>5</v>
      </c>
      <c r="BU1306">
        <v>1.7</v>
      </c>
    </row>
    <row r="1307" spans="1:73" ht="14.25" x14ac:dyDescent="0.15">
      <c r="A1307" s="12">
        <v>30104</v>
      </c>
      <c r="B1307">
        <v>7</v>
      </c>
      <c r="C1307" s="1">
        <v>48</v>
      </c>
      <c r="D1307">
        <v>0</v>
      </c>
      <c r="E1307">
        <v>0</v>
      </c>
      <c r="F1307">
        <v>1</v>
      </c>
      <c r="G1307" s="7">
        <v>0.05</v>
      </c>
      <c r="H1307">
        <v>12</v>
      </c>
      <c r="I1307">
        <v>0</v>
      </c>
      <c r="J1307">
        <v>0</v>
      </c>
      <c r="K1307">
        <v>0</v>
      </c>
      <c r="L1307">
        <v>1</v>
      </c>
      <c r="M1307">
        <v>2</v>
      </c>
      <c r="N1307" s="7">
        <v>9</v>
      </c>
      <c r="O1307" s="7">
        <v>0</v>
      </c>
      <c r="P1307" s="7">
        <v>0</v>
      </c>
      <c r="Q1307" s="7">
        <v>0</v>
      </c>
      <c r="R1307" s="7">
        <v>1</v>
      </c>
      <c r="S1307" s="7">
        <v>4.5</v>
      </c>
      <c r="T1307">
        <v>7</v>
      </c>
      <c r="U1307" s="1">
        <v>36</v>
      </c>
      <c r="V1307">
        <v>0</v>
      </c>
      <c r="W1307">
        <v>0</v>
      </c>
      <c r="X1307">
        <v>1</v>
      </c>
      <c r="Y1307">
        <v>0.16</v>
      </c>
      <c r="Z1307">
        <v>23</v>
      </c>
      <c r="AA1307">
        <v>0</v>
      </c>
      <c r="AB1307">
        <v>0</v>
      </c>
      <c r="AC1307">
        <v>0</v>
      </c>
      <c r="AD1307">
        <v>1</v>
      </c>
      <c r="AE1307">
        <v>0.05</v>
      </c>
      <c r="AF1307">
        <v>15</v>
      </c>
      <c r="AG1307">
        <v>0</v>
      </c>
      <c r="AH1307">
        <v>0</v>
      </c>
      <c r="AI1307">
        <v>0</v>
      </c>
      <c r="AJ1307">
        <v>1</v>
      </c>
      <c r="AK1307">
        <v>0.02</v>
      </c>
      <c r="AL1307">
        <v>16</v>
      </c>
      <c r="AM1307">
        <v>0</v>
      </c>
      <c r="AN1307">
        <v>0</v>
      </c>
      <c r="AO1307">
        <v>0</v>
      </c>
      <c r="AP1307">
        <v>1</v>
      </c>
      <c r="AQ1307">
        <v>0.01</v>
      </c>
      <c r="AX1307">
        <v>7</v>
      </c>
      <c r="AY1307" s="1">
        <v>20</v>
      </c>
      <c r="AZ1307">
        <v>0</v>
      </c>
      <c r="BA1307">
        <v>0</v>
      </c>
      <c r="BB1307">
        <v>1</v>
      </c>
      <c r="BC1307" s="7">
        <v>0.32</v>
      </c>
      <c r="BD1307">
        <v>30</v>
      </c>
      <c r="BE1307">
        <v>0</v>
      </c>
      <c r="BF1307">
        <v>0</v>
      </c>
      <c r="BG1307">
        <v>0</v>
      </c>
      <c r="BH1307">
        <v>5</v>
      </c>
      <c r="BI1307">
        <v>2.4</v>
      </c>
      <c r="BJ1307">
        <v>31</v>
      </c>
      <c r="BK1307">
        <v>0</v>
      </c>
      <c r="BL1307">
        <v>0</v>
      </c>
      <c r="BM1307">
        <v>0</v>
      </c>
      <c r="BN1307">
        <v>5</v>
      </c>
      <c r="BO1307">
        <v>2.4</v>
      </c>
      <c r="BP1307">
        <v>36</v>
      </c>
      <c r="BQ1307">
        <v>0</v>
      </c>
      <c r="BR1307">
        <v>0</v>
      </c>
      <c r="BS1307">
        <v>0</v>
      </c>
      <c r="BT1307">
        <v>5</v>
      </c>
      <c r="BU1307">
        <v>1.7</v>
      </c>
    </row>
    <row r="1308" spans="1:73" ht="14.25" x14ac:dyDescent="0.15">
      <c r="A1308" s="12">
        <v>30105</v>
      </c>
      <c r="B1308">
        <v>7</v>
      </c>
      <c r="C1308" s="1">
        <v>0</v>
      </c>
      <c r="D1308">
        <v>5</v>
      </c>
      <c r="E1308">
        <v>1</v>
      </c>
      <c r="F1308">
        <v>1</v>
      </c>
      <c r="G1308" s="7">
        <v>0.05</v>
      </c>
      <c r="H1308">
        <v>12</v>
      </c>
      <c r="I1308">
        <v>0</v>
      </c>
      <c r="J1308">
        <v>0</v>
      </c>
      <c r="K1308">
        <v>0</v>
      </c>
      <c r="L1308">
        <v>1</v>
      </c>
      <c r="M1308">
        <v>2</v>
      </c>
      <c r="N1308" s="7">
        <v>9</v>
      </c>
      <c r="O1308" s="7">
        <v>0</v>
      </c>
      <c r="P1308" s="7">
        <v>0</v>
      </c>
      <c r="Q1308" s="7">
        <v>0</v>
      </c>
      <c r="R1308" s="7">
        <v>1</v>
      </c>
      <c r="S1308" s="7">
        <v>4.5</v>
      </c>
      <c r="T1308">
        <v>7</v>
      </c>
      <c r="U1308" s="1">
        <v>0</v>
      </c>
      <c r="V1308">
        <v>4</v>
      </c>
      <c r="W1308">
        <v>2</v>
      </c>
      <c r="X1308">
        <v>1</v>
      </c>
      <c r="Y1308">
        <v>0.16</v>
      </c>
      <c r="Z1308">
        <v>23</v>
      </c>
      <c r="AA1308">
        <v>0</v>
      </c>
      <c r="AB1308">
        <v>0</v>
      </c>
      <c r="AC1308">
        <v>0</v>
      </c>
      <c r="AD1308">
        <v>1</v>
      </c>
      <c r="AE1308">
        <v>0.05</v>
      </c>
      <c r="AF1308">
        <v>15</v>
      </c>
      <c r="AG1308">
        <v>0</v>
      </c>
      <c r="AH1308">
        <v>0</v>
      </c>
      <c r="AI1308">
        <v>0</v>
      </c>
      <c r="AJ1308">
        <v>1</v>
      </c>
      <c r="AK1308">
        <v>0.02</v>
      </c>
      <c r="AL1308">
        <v>16</v>
      </c>
      <c r="AM1308">
        <v>0</v>
      </c>
      <c r="AN1308">
        <v>0</v>
      </c>
      <c r="AO1308">
        <v>0</v>
      </c>
      <c r="AP1308">
        <v>1</v>
      </c>
      <c r="AQ1308">
        <v>0.01</v>
      </c>
      <c r="AR1308">
        <v>6</v>
      </c>
      <c r="AS1308">
        <v>2</v>
      </c>
      <c r="AT1308">
        <v>1</v>
      </c>
      <c r="AU1308">
        <v>5</v>
      </c>
      <c r="AV1308">
        <v>1</v>
      </c>
      <c r="AW1308">
        <v>0.05</v>
      </c>
      <c r="AX1308">
        <v>7</v>
      </c>
      <c r="AY1308" s="1">
        <v>0</v>
      </c>
      <c r="AZ1308">
        <v>3</v>
      </c>
      <c r="BA1308">
        <v>1</v>
      </c>
      <c r="BB1308">
        <v>1</v>
      </c>
      <c r="BC1308" s="7">
        <v>0.32</v>
      </c>
      <c r="BD1308">
        <v>30</v>
      </c>
      <c r="BE1308">
        <v>0</v>
      </c>
      <c r="BF1308">
        <v>0</v>
      </c>
      <c r="BG1308">
        <v>0</v>
      </c>
      <c r="BH1308">
        <v>5</v>
      </c>
      <c r="BI1308">
        <v>2.4</v>
      </c>
      <c r="BJ1308">
        <v>31</v>
      </c>
      <c r="BK1308">
        <v>0</v>
      </c>
      <c r="BL1308">
        <v>0</v>
      </c>
      <c r="BM1308">
        <v>0</v>
      </c>
      <c r="BN1308">
        <v>5</v>
      </c>
      <c r="BO1308">
        <v>2.4</v>
      </c>
      <c r="BP1308">
        <v>36</v>
      </c>
      <c r="BQ1308">
        <v>0</v>
      </c>
      <c r="BR1308">
        <v>0</v>
      </c>
      <c r="BS1308">
        <v>0</v>
      </c>
      <c r="BT1308">
        <v>5</v>
      </c>
      <c r="BU1308">
        <v>1.7</v>
      </c>
    </row>
    <row r="1309" spans="1:73" ht="14.25" x14ac:dyDescent="0.15">
      <c r="A1309" s="12">
        <v>30106</v>
      </c>
      <c r="B1309">
        <v>7</v>
      </c>
      <c r="C1309" s="1">
        <v>45</v>
      </c>
      <c r="D1309">
        <v>0</v>
      </c>
      <c r="E1309">
        <v>0</v>
      </c>
      <c r="F1309">
        <v>1</v>
      </c>
      <c r="G1309" s="7">
        <v>0.05</v>
      </c>
      <c r="H1309">
        <v>12</v>
      </c>
      <c r="I1309">
        <v>0</v>
      </c>
      <c r="J1309">
        <v>0</v>
      </c>
      <c r="K1309">
        <v>0</v>
      </c>
      <c r="L1309">
        <v>1</v>
      </c>
      <c r="M1309">
        <v>2</v>
      </c>
      <c r="N1309" s="7">
        <v>9</v>
      </c>
      <c r="O1309" s="7">
        <v>0</v>
      </c>
      <c r="P1309" s="7">
        <v>0</v>
      </c>
      <c r="Q1309" s="7">
        <v>0</v>
      </c>
      <c r="R1309" s="7">
        <v>1</v>
      </c>
      <c r="S1309" s="7">
        <v>4.5</v>
      </c>
      <c r="T1309">
        <v>7</v>
      </c>
      <c r="U1309" s="1">
        <v>33</v>
      </c>
      <c r="V1309">
        <v>0</v>
      </c>
      <c r="W1309">
        <v>0</v>
      </c>
      <c r="X1309">
        <v>1</v>
      </c>
      <c r="Y1309">
        <v>0.16</v>
      </c>
      <c r="Z1309">
        <v>23</v>
      </c>
      <c r="AA1309">
        <v>0</v>
      </c>
      <c r="AB1309">
        <v>0</v>
      </c>
      <c r="AC1309">
        <v>0</v>
      </c>
      <c r="AD1309">
        <v>1</v>
      </c>
      <c r="AE1309">
        <v>0.05</v>
      </c>
      <c r="AF1309">
        <v>15</v>
      </c>
      <c r="AG1309">
        <v>0</v>
      </c>
      <c r="AH1309">
        <v>0</v>
      </c>
      <c r="AI1309">
        <v>0</v>
      </c>
      <c r="AJ1309">
        <v>1</v>
      </c>
      <c r="AK1309">
        <v>0.02</v>
      </c>
      <c r="AL1309">
        <v>16</v>
      </c>
      <c r="AM1309">
        <v>0</v>
      </c>
      <c r="AN1309">
        <v>0</v>
      </c>
      <c r="AO1309">
        <v>0</v>
      </c>
      <c r="AP1309">
        <v>1</v>
      </c>
      <c r="AQ1309">
        <v>0.01</v>
      </c>
      <c r="AX1309">
        <v>7</v>
      </c>
      <c r="AY1309" s="1">
        <v>17</v>
      </c>
      <c r="AZ1309">
        <v>0</v>
      </c>
      <c r="BA1309">
        <v>0</v>
      </c>
      <c r="BB1309">
        <v>1</v>
      </c>
      <c r="BC1309" s="7">
        <v>0.32</v>
      </c>
      <c r="BD1309">
        <v>30</v>
      </c>
      <c r="BE1309">
        <v>0</v>
      </c>
      <c r="BF1309">
        <v>0</v>
      </c>
      <c r="BG1309">
        <v>0</v>
      </c>
      <c r="BH1309">
        <v>5</v>
      </c>
      <c r="BI1309">
        <v>2.4</v>
      </c>
      <c r="BJ1309">
        <v>31</v>
      </c>
      <c r="BK1309">
        <v>0</v>
      </c>
      <c r="BL1309">
        <v>0</v>
      </c>
      <c r="BM1309">
        <v>0</v>
      </c>
      <c r="BN1309">
        <v>5</v>
      </c>
      <c r="BO1309">
        <v>2.4</v>
      </c>
      <c r="BP1309">
        <v>36</v>
      </c>
      <c r="BQ1309">
        <v>0</v>
      </c>
      <c r="BR1309">
        <v>0</v>
      </c>
      <c r="BS1309">
        <v>0</v>
      </c>
      <c r="BT1309">
        <v>5</v>
      </c>
      <c r="BU1309">
        <v>1.7</v>
      </c>
    </row>
    <row r="1310" spans="1:73" ht="14.25" x14ac:dyDescent="0.15">
      <c r="A1310" s="12">
        <v>30107</v>
      </c>
      <c r="B1310">
        <v>7</v>
      </c>
      <c r="C1310" s="1">
        <v>46</v>
      </c>
      <c r="D1310">
        <v>0</v>
      </c>
      <c r="E1310">
        <v>0</v>
      </c>
      <c r="F1310">
        <v>1</v>
      </c>
      <c r="G1310" s="7">
        <v>0.05</v>
      </c>
      <c r="H1310">
        <v>12</v>
      </c>
      <c r="I1310">
        <v>0</v>
      </c>
      <c r="J1310">
        <v>0</v>
      </c>
      <c r="K1310">
        <v>0</v>
      </c>
      <c r="L1310">
        <v>1</v>
      </c>
      <c r="M1310">
        <v>2</v>
      </c>
      <c r="N1310" s="7">
        <v>9</v>
      </c>
      <c r="O1310" s="7">
        <v>0</v>
      </c>
      <c r="P1310" s="7">
        <v>0</v>
      </c>
      <c r="Q1310" s="7">
        <v>0</v>
      </c>
      <c r="R1310" s="7">
        <v>1</v>
      </c>
      <c r="S1310" s="7">
        <v>4.5</v>
      </c>
      <c r="T1310">
        <v>7</v>
      </c>
      <c r="U1310" s="1">
        <v>34</v>
      </c>
      <c r="V1310">
        <v>0</v>
      </c>
      <c r="W1310">
        <v>0</v>
      </c>
      <c r="X1310">
        <v>1</v>
      </c>
      <c r="Y1310">
        <v>0.16</v>
      </c>
      <c r="Z1310">
        <v>23</v>
      </c>
      <c r="AA1310">
        <v>0</v>
      </c>
      <c r="AB1310">
        <v>0</v>
      </c>
      <c r="AC1310">
        <v>0</v>
      </c>
      <c r="AD1310">
        <v>1</v>
      </c>
      <c r="AE1310">
        <v>0.05</v>
      </c>
      <c r="AF1310">
        <v>15</v>
      </c>
      <c r="AG1310">
        <v>0</v>
      </c>
      <c r="AH1310">
        <v>0</v>
      </c>
      <c r="AI1310">
        <v>0</v>
      </c>
      <c r="AJ1310">
        <v>1</v>
      </c>
      <c r="AK1310">
        <v>0.02</v>
      </c>
      <c r="AL1310">
        <v>16</v>
      </c>
      <c r="AM1310">
        <v>0</v>
      </c>
      <c r="AN1310">
        <v>0</v>
      </c>
      <c r="AO1310">
        <v>0</v>
      </c>
      <c r="AP1310">
        <v>1</v>
      </c>
      <c r="AQ1310">
        <v>0.01</v>
      </c>
      <c r="AX1310">
        <v>7</v>
      </c>
      <c r="AY1310" s="1">
        <v>18</v>
      </c>
      <c r="AZ1310">
        <v>0</v>
      </c>
      <c r="BA1310">
        <v>0</v>
      </c>
      <c r="BB1310">
        <v>1</v>
      </c>
      <c r="BC1310" s="7">
        <v>0.32</v>
      </c>
      <c r="BD1310">
        <v>30</v>
      </c>
      <c r="BE1310">
        <v>0</v>
      </c>
      <c r="BF1310">
        <v>0</v>
      </c>
      <c r="BG1310">
        <v>0</v>
      </c>
      <c r="BH1310">
        <v>5</v>
      </c>
      <c r="BI1310">
        <v>2.4</v>
      </c>
      <c r="BJ1310">
        <v>31</v>
      </c>
      <c r="BK1310">
        <v>0</v>
      </c>
      <c r="BL1310">
        <v>0</v>
      </c>
      <c r="BM1310">
        <v>0</v>
      </c>
      <c r="BN1310">
        <v>5</v>
      </c>
      <c r="BO1310">
        <v>2.4</v>
      </c>
      <c r="BP1310">
        <v>36</v>
      </c>
      <c r="BQ1310">
        <v>0</v>
      </c>
      <c r="BR1310">
        <v>0</v>
      </c>
      <c r="BS1310">
        <v>0</v>
      </c>
      <c r="BT1310">
        <v>5</v>
      </c>
      <c r="BU1310">
        <v>1.7</v>
      </c>
    </row>
    <row r="1311" spans="1:73" ht="14.25" x14ac:dyDescent="0.15">
      <c r="A1311" s="12">
        <v>30108</v>
      </c>
      <c r="B1311">
        <v>7</v>
      </c>
      <c r="C1311" s="1">
        <v>47</v>
      </c>
      <c r="D1311">
        <v>0</v>
      </c>
      <c r="E1311">
        <v>0</v>
      </c>
      <c r="F1311">
        <v>1</v>
      </c>
      <c r="G1311" s="7">
        <v>0.05</v>
      </c>
      <c r="H1311">
        <v>12</v>
      </c>
      <c r="I1311">
        <v>0</v>
      </c>
      <c r="J1311">
        <v>0</v>
      </c>
      <c r="K1311">
        <v>0</v>
      </c>
      <c r="L1311">
        <v>1</v>
      </c>
      <c r="M1311">
        <v>2</v>
      </c>
      <c r="N1311" s="7">
        <v>9</v>
      </c>
      <c r="O1311" s="7">
        <v>0</v>
      </c>
      <c r="P1311" s="7">
        <v>0</v>
      </c>
      <c r="Q1311" s="7">
        <v>0</v>
      </c>
      <c r="R1311" s="7">
        <v>1</v>
      </c>
      <c r="S1311" s="7">
        <v>4.5</v>
      </c>
      <c r="T1311">
        <v>7</v>
      </c>
      <c r="U1311" s="1">
        <v>35</v>
      </c>
      <c r="V1311">
        <v>0</v>
      </c>
      <c r="W1311">
        <v>0</v>
      </c>
      <c r="X1311">
        <v>1</v>
      </c>
      <c r="Y1311">
        <v>0.16</v>
      </c>
      <c r="Z1311">
        <v>23</v>
      </c>
      <c r="AA1311">
        <v>0</v>
      </c>
      <c r="AB1311">
        <v>0</v>
      </c>
      <c r="AC1311">
        <v>0</v>
      </c>
      <c r="AD1311">
        <v>1</v>
      </c>
      <c r="AE1311">
        <v>0.05</v>
      </c>
      <c r="AF1311">
        <v>15</v>
      </c>
      <c r="AG1311">
        <v>0</v>
      </c>
      <c r="AH1311">
        <v>0</v>
      </c>
      <c r="AI1311">
        <v>0</v>
      </c>
      <c r="AJ1311">
        <v>1</v>
      </c>
      <c r="AK1311">
        <v>0.02</v>
      </c>
      <c r="AL1311">
        <v>16</v>
      </c>
      <c r="AM1311">
        <v>0</v>
      </c>
      <c r="AN1311">
        <v>0</v>
      </c>
      <c r="AO1311">
        <v>0</v>
      </c>
      <c r="AP1311">
        <v>1</v>
      </c>
      <c r="AQ1311">
        <v>0.01</v>
      </c>
      <c r="AX1311">
        <v>7</v>
      </c>
      <c r="AY1311" s="1">
        <v>19</v>
      </c>
      <c r="AZ1311">
        <v>0</v>
      </c>
      <c r="BA1311">
        <v>0</v>
      </c>
      <c r="BB1311">
        <v>1</v>
      </c>
      <c r="BC1311" s="7">
        <v>0.32</v>
      </c>
      <c r="BD1311">
        <v>30</v>
      </c>
      <c r="BE1311">
        <v>0</v>
      </c>
      <c r="BF1311">
        <v>0</v>
      </c>
      <c r="BG1311">
        <v>0</v>
      </c>
      <c r="BH1311">
        <v>5</v>
      </c>
      <c r="BI1311">
        <v>2.4</v>
      </c>
      <c r="BJ1311">
        <v>31</v>
      </c>
      <c r="BK1311">
        <v>0</v>
      </c>
      <c r="BL1311">
        <v>0</v>
      </c>
      <c r="BM1311">
        <v>0</v>
      </c>
      <c r="BN1311">
        <v>5</v>
      </c>
      <c r="BO1311">
        <v>2.4</v>
      </c>
      <c r="BP1311">
        <v>36</v>
      </c>
      <c r="BQ1311">
        <v>0</v>
      </c>
      <c r="BR1311">
        <v>0</v>
      </c>
      <c r="BS1311">
        <v>0</v>
      </c>
      <c r="BT1311">
        <v>5</v>
      </c>
      <c r="BU1311">
        <v>1.7</v>
      </c>
    </row>
    <row r="1312" spans="1:73" ht="14.25" x14ac:dyDescent="0.15">
      <c r="A1312" s="12">
        <v>30109</v>
      </c>
      <c r="B1312">
        <v>7</v>
      </c>
      <c r="C1312" s="1">
        <v>48</v>
      </c>
      <c r="D1312">
        <v>0</v>
      </c>
      <c r="E1312">
        <v>0</v>
      </c>
      <c r="F1312">
        <v>1</v>
      </c>
      <c r="G1312" s="7">
        <v>0.05</v>
      </c>
      <c r="H1312">
        <v>12</v>
      </c>
      <c r="I1312">
        <v>0</v>
      </c>
      <c r="J1312">
        <v>0</v>
      </c>
      <c r="K1312">
        <v>0</v>
      </c>
      <c r="L1312">
        <v>1</v>
      </c>
      <c r="M1312">
        <v>2</v>
      </c>
      <c r="N1312" s="7">
        <v>9</v>
      </c>
      <c r="O1312" s="7">
        <v>0</v>
      </c>
      <c r="P1312" s="7">
        <v>0</v>
      </c>
      <c r="Q1312" s="7">
        <v>0</v>
      </c>
      <c r="R1312" s="7">
        <v>1</v>
      </c>
      <c r="S1312" s="7">
        <v>4.5</v>
      </c>
      <c r="T1312">
        <v>7</v>
      </c>
      <c r="U1312" s="1">
        <v>36</v>
      </c>
      <c r="V1312">
        <v>0</v>
      </c>
      <c r="W1312">
        <v>0</v>
      </c>
      <c r="X1312">
        <v>1</v>
      </c>
      <c r="Y1312">
        <v>0.16</v>
      </c>
      <c r="Z1312">
        <v>23</v>
      </c>
      <c r="AA1312">
        <v>0</v>
      </c>
      <c r="AB1312">
        <v>0</v>
      </c>
      <c r="AC1312">
        <v>0</v>
      </c>
      <c r="AD1312">
        <v>1</v>
      </c>
      <c r="AE1312">
        <v>0.05</v>
      </c>
      <c r="AF1312">
        <v>15</v>
      </c>
      <c r="AG1312">
        <v>0</v>
      </c>
      <c r="AH1312">
        <v>0</v>
      </c>
      <c r="AI1312">
        <v>0</v>
      </c>
      <c r="AJ1312">
        <v>1</v>
      </c>
      <c r="AK1312">
        <v>0.02</v>
      </c>
      <c r="AL1312">
        <v>16</v>
      </c>
      <c r="AM1312">
        <v>0</v>
      </c>
      <c r="AN1312">
        <v>0</v>
      </c>
      <c r="AO1312">
        <v>0</v>
      </c>
      <c r="AP1312">
        <v>1</v>
      </c>
      <c r="AQ1312">
        <v>0.01</v>
      </c>
      <c r="AX1312">
        <v>7</v>
      </c>
      <c r="AY1312" s="1">
        <v>20</v>
      </c>
      <c r="AZ1312">
        <v>0</v>
      </c>
      <c r="BA1312">
        <v>0</v>
      </c>
      <c r="BB1312">
        <v>1</v>
      </c>
      <c r="BC1312" s="7">
        <v>0.32</v>
      </c>
      <c r="BD1312">
        <v>30</v>
      </c>
      <c r="BE1312">
        <v>0</v>
      </c>
      <c r="BF1312">
        <v>0</v>
      </c>
      <c r="BG1312">
        <v>0</v>
      </c>
      <c r="BH1312">
        <v>5</v>
      </c>
      <c r="BI1312">
        <v>2.4</v>
      </c>
      <c r="BJ1312">
        <v>31</v>
      </c>
      <c r="BK1312">
        <v>0</v>
      </c>
      <c r="BL1312">
        <v>0</v>
      </c>
      <c r="BM1312">
        <v>0</v>
      </c>
      <c r="BN1312">
        <v>5</v>
      </c>
      <c r="BO1312">
        <v>2.4</v>
      </c>
      <c r="BP1312">
        <v>36</v>
      </c>
      <c r="BQ1312">
        <v>0</v>
      </c>
      <c r="BR1312">
        <v>0</v>
      </c>
      <c r="BS1312">
        <v>0</v>
      </c>
      <c r="BT1312">
        <v>5</v>
      </c>
      <c r="BU1312">
        <v>1.7</v>
      </c>
    </row>
    <row r="1313" spans="1:73" ht="14.25" x14ac:dyDescent="0.15">
      <c r="A1313" s="12">
        <v>30110</v>
      </c>
      <c r="B1313">
        <v>7</v>
      </c>
      <c r="C1313" s="1">
        <v>0</v>
      </c>
      <c r="D1313">
        <v>5</v>
      </c>
      <c r="E1313">
        <v>1</v>
      </c>
      <c r="F1313">
        <v>1</v>
      </c>
      <c r="G1313" s="7">
        <v>0.05</v>
      </c>
      <c r="H1313">
        <v>12</v>
      </c>
      <c r="I1313">
        <v>0</v>
      </c>
      <c r="J1313">
        <v>0</v>
      </c>
      <c r="K1313">
        <v>0</v>
      </c>
      <c r="L1313">
        <v>1</v>
      </c>
      <c r="M1313">
        <v>2</v>
      </c>
      <c r="N1313" s="7">
        <v>9</v>
      </c>
      <c r="O1313" s="7">
        <v>0</v>
      </c>
      <c r="P1313" s="7">
        <v>0</v>
      </c>
      <c r="Q1313" s="7">
        <v>0</v>
      </c>
      <c r="R1313" s="7">
        <v>1</v>
      </c>
      <c r="S1313" s="7">
        <v>4.5</v>
      </c>
      <c r="T1313">
        <v>7</v>
      </c>
      <c r="U1313" s="1">
        <v>0</v>
      </c>
      <c r="V1313">
        <v>4</v>
      </c>
      <c r="W1313">
        <v>2</v>
      </c>
      <c r="X1313">
        <v>1</v>
      </c>
      <c r="Y1313">
        <v>0.16</v>
      </c>
      <c r="Z1313">
        <v>23</v>
      </c>
      <c r="AA1313">
        <v>0</v>
      </c>
      <c r="AB1313">
        <v>0</v>
      </c>
      <c r="AC1313">
        <v>0</v>
      </c>
      <c r="AD1313">
        <v>1</v>
      </c>
      <c r="AE1313">
        <v>0.05</v>
      </c>
      <c r="AF1313">
        <v>15</v>
      </c>
      <c r="AG1313">
        <v>0</v>
      </c>
      <c r="AH1313">
        <v>0</v>
      </c>
      <c r="AI1313">
        <v>0</v>
      </c>
      <c r="AJ1313">
        <v>1</v>
      </c>
      <c r="AK1313">
        <v>0.02</v>
      </c>
      <c r="AL1313">
        <v>16</v>
      </c>
      <c r="AM1313">
        <v>0</v>
      </c>
      <c r="AN1313">
        <v>0</v>
      </c>
      <c r="AO1313">
        <v>0</v>
      </c>
      <c r="AP1313">
        <v>1</v>
      </c>
      <c r="AQ1313">
        <v>0.01</v>
      </c>
      <c r="AR1313">
        <v>6</v>
      </c>
      <c r="AS1313">
        <v>2</v>
      </c>
      <c r="AT1313">
        <v>2</v>
      </c>
      <c r="AU1313">
        <v>5</v>
      </c>
      <c r="AV1313">
        <v>1</v>
      </c>
      <c r="AW1313">
        <v>0.05</v>
      </c>
      <c r="AX1313">
        <v>7</v>
      </c>
      <c r="AY1313" s="1">
        <v>0</v>
      </c>
      <c r="AZ1313">
        <v>3</v>
      </c>
      <c r="BA1313">
        <v>1</v>
      </c>
      <c r="BB1313">
        <v>1</v>
      </c>
      <c r="BC1313" s="7">
        <v>0.32</v>
      </c>
      <c r="BD1313">
        <v>30</v>
      </c>
      <c r="BE1313">
        <v>0</v>
      </c>
      <c r="BF1313">
        <v>0</v>
      </c>
      <c r="BG1313">
        <v>0</v>
      </c>
      <c r="BH1313">
        <v>5</v>
      </c>
      <c r="BI1313">
        <v>2.4</v>
      </c>
      <c r="BJ1313">
        <v>31</v>
      </c>
      <c r="BK1313">
        <v>0</v>
      </c>
      <c r="BL1313">
        <v>0</v>
      </c>
      <c r="BM1313">
        <v>0</v>
      </c>
      <c r="BN1313">
        <v>5</v>
      </c>
      <c r="BO1313">
        <v>2.4</v>
      </c>
      <c r="BP1313">
        <v>36</v>
      </c>
      <c r="BQ1313">
        <v>0</v>
      </c>
      <c r="BR1313">
        <v>0</v>
      </c>
      <c r="BS1313">
        <v>0</v>
      </c>
      <c r="BT1313">
        <v>5</v>
      </c>
      <c r="BU1313">
        <v>1.7</v>
      </c>
    </row>
    <row r="1314" spans="1:73" ht="14.25" x14ac:dyDescent="0.15">
      <c r="A1314" s="12">
        <v>30111</v>
      </c>
      <c r="B1314">
        <v>7</v>
      </c>
      <c r="C1314" s="1">
        <v>45</v>
      </c>
      <c r="D1314">
        <v>0</v>
      </c>
      <c r="E1314">
        <v>0</v>
      </c>
      <c r="F1314">
        <v>1</v>
      </c>
      <c r="G1314" s="7">
        <v>0.05</v>
      </c>
      <c r="H1314">
        <v>12</v>
      </c>
      <c r="I1314">
        <v>0</v>
      </c>
      <c r="J1314">
        <v>0</v>
      </c>
      <c r="K1314">
        <v>0</v>
      </c>
      <c r="L1314">
        <v>1</v>
      </c>
      <c r="M1314">
        <v>2</v>
      </c>
      <c r="N1314" s="7">
        <v>9</v>
      </c>
      <c r="O1314" s="7">
        <v>0</v>
      </c>
      <c r="P1314" s="7">
        <v>0</v>
      </c>
      <c r="Q1314" s="7">
        <v>0</v>
      </c>
      <c r="R1314" s="7">
        <v>1</v>
      </c>
      <c r="S1314" s="7">
        <v>4.5</v>
      </c>
      <c r="T1314">
        <v>7</v>
      </c>
      <c r="U1314" s="1">
        <v>33</v>
      </c>
      <c r="V1314">
        <v>0</v>
      </c>
      <c r="W1314">
        <v>0</v>
      </c>
      <c r="X1314">
        <v>1</v>
      </c>
      <c r="Y1314">
        <v>0.16</v>
      </c>
      <c r="Z1314">
        <v>23</v>
      </c>
      <c r="AA1314">
        <v>0</v>
      </c>
      <c r="AB1314">
        <v>0</v>
      </c>
      <c r="AC1314">
        <v>0</v>
      </c>
      <c r="AD1314">
        <v>1</v>
      </c>
      <c r="AE1314">
        <v>0.05</v>
      </c>
      <c r="AF1314">
        <v>15</v>
      </c>
      <c r="AG1314">
        <v>0</v>
      </c>
      <c r="AH1314">
        <v>0</v>
      </c>
      <c r="AI1314">
        <v>0</v>
      </c>
      <c r="AJ1314">
        <v>1</v>
      </c>
      <c r="AK1314">
        <v>0.02</v>
      </c>
      <c r="AL1314">
        <v>16</v>
      </c>
      <c r="AM1314">
        <v>0</v>
      </c>
      <c r="AN1314">
        <v>0</v>
      </c>
      <c r="AO1314">
        <v>0</v>
      </c>
      <c r="AP1314">
        <v>1</v>
      </c>
      <c r="AQ1314">
        <v>0.01</v>
      </c>
      <c r="AX1314">
        <v>7</v>
      </c>
      <c r="AY1314" s="1">
        <v>17</v>
      </c>
      <c r="AZ1314">
        <v>0</v>
      </c>
      <c r="BA1314">
        <v>0</v>
      </c>
      <c r="BB1314">
        <v>1</v>
      </c>
      <c r="BC1314" s="7">
        <v>0.32</v>
      </c>
      <c r="BD1314">
        <v>30</v>
      </c>
      <c r="BE1314">
        <v>0</v>
      </c>
      <c r="BF1314">
        <v>0</v>
      </c>
      <c r="BG1314">
        <v>0</v>
      </c>
      <c r="BH1314">
        <v>5</v>
      </c>
      <c r="BI1314">
        <v>2.4</v>
      </c>
      <c r="BJ1314">
        <v>31</v>
      </c>
      <c r="BK1314">
        <v>0</v>
      </c>
      <c r="BL1314">
        <v>0</v>
      </c>
      <c r="BM1314">
        <v>0</v>
      </c>
      <c r="BN1314">
        <v>5</v>
      </c>
      <c r="BO1314">
        <v>2.4</v>
      </c>
      <c r="BP1314">
        <v>36</v>
      </c>
      <c r="BQ1314">
        <v>0</v>
      </c>
      <c r="BR1314">
        <v>0</v>
      </c>
      <c r="BS1314">
        <v>0</v>
      </c>
      <c r="BT1314">
        <v>5</v>
      </c>
      <c r="BU1314">
        <v>1.7</v>
      </c>
    </row>
    <row r="1315" spans="1:73" ht="14.25" x14ac:dyDescent="0.15">
      <c r="A1315" s="12">
        <v>30112</v>
      </c>
      <c r="B1315">
        <v>7</v>
      </c>
      <c r="C1315" s="1">
        <v>46</v>
      </c>
      <c r="D1315">
        <v>0</v>
      </c>
      <c r="E1315">
        <v>0</v>
      </c>
      <c r="F1315">
        <v>1</v>
      </c>
      <c r="G1315" s="7">
        <v>0.05</v>
      </c>
      <c r="H1315">
        <v>12</v>
      </c>
      <c r="I1315">
        <v>0</v>
      </c>
      <c r="J1315">
        <v>0</v>
      </c>
      <c r="K1315">
        <v>0</v>
      </c>
      <c r="L1315">
        <v>1</v>
      </c>
      <c r="M1315">
        <v>2</v>
      </c>
      <c r="N1315" s="7">
        <v>9</v>
      </c>
      <c r="O1315" s="7">
        <v>0</v>
      </c>
      <c r="P1315" s="7">
        <v>0</v>
      </c>
      <c r="Q1315" s="7">
        <v>0</v>
      </c>
      <c r="R1315" s="7">
        <v>1</v>
      </c>
      <c r="S1315" s="7">
        <v>4.5</v>
      </c>
      <c r="T1315">
        <v>7</v>
      </c>
      <c r="U1315" s="1">
        <v>34</v>
      </c>
      <c r="V1315">
        <v>0</v>
      </c>
      <c r="W1315">
        <v>0</v>
      </c>
      <c r="X1315">
        <v>1</v>
      </c>
      <c r="Y1315">
        <v>0.16</v>
      </c>
      <c r="Z1315">
        <v>23</v>
      </c>
      <c r="AA1315">
        <v>0</v>
      </c>
      <c r="AB1315">
        <v>0</v>
      </c>
      <c r="AC1315">
        <v>0</v>
      </c>
      <c r="AD1315">
        <v>1</v>
      </c>
      <c r="AE1315">
        <v>0.05</v>
      </c>
      <c r="AF1315">
        <v>15</v>
      </c>
      <c r="AG1315">
        <v>0</v>
      </c>
      <c r="AH1315">
        <v>0</v>
      </c>
      <c r="AI1315">
        <v>0</v>
      </c>
      <c r="AJ1315">
        <v>1</v>
      </c>
      <c r="AK1315">
        <v>0.02</v>
      </c>
      <c r="AL1315">
        <v>16</v>
      </c>
      <c r="AM1315">
        <v>0</v>
      </c>
      <c r="AN1315">
        <v>0</v>
      </c>
      <c r="AO1315">
        <v>0</v>
      </c>
      <c r="AP1315">
        <v>1</v>
      </c>
      <c r="AQ1315">
        <v>0.01</v>
      </c>
      <c r="AX1315">
        <v>7</v>
      </c>
      <c r="AY1315" s="1">
        <v>18</v>
      </c>
      <c r="AZ1315">
        <v>0</v>
      </c>
      <c r="BA1315">
        <v>0</v>
      </c>
      <c r="BB1315">
        <v>1</v>
      </c>
      <c r="BC1315" s="7">
        <v>0.32</v>
      </c>
      <c r="BD1315">
        <v>30</v>
      </c>
      <c r="BE1315">
        <v>0</v>
      </c>
      <c r="BF1315">
        <v>0</v>
      </c>
      <c r="BG1315">
        <v>0</v>
      </c>
      <c r="BH1315">
        <v>5</v>
      </c>
      <c r="BI1315">
        <v>2.4</v>
      </c>
      <c r="BJ1315">
        <v>31</v>
      </c>
      <c r="BK1315">
        <v>0</v>
      </c>
      <c r="BL1315">
        <v>0</v>
      </c>
      <c r="BM1315">
        <v>0</v>
      </c>
      <c r="BN1315">
        <v>5</v>
      </c>
      <c r="BO1315">
        <v>2.4</v>
      </c>
      <c r="BP1315">
        <v>36</v>
      </c>
      <c r="BQ1315">
        <v>0</v>
      </c>
      <c r="BR1315">
        <v>0</v>
      </c>
      <c r="BS1315">
        <v>0</v>
      </c>
      <c r="BT1315">
        <v>5</v>
      </c>
      <c r="BU1315">
        <v>1.7</v>
      </c>
    </row>
    <row r="1316" spans="1:73" ht="14.25" x14ac:dyDescent="0.15">
      <c r="A1316" s="12">
        <v>30113</v>
      </c>
      <c r="B1316">
        <v>7</v>
      </c>
      <c r="C1316" s="1">
        <v>47</v>
      </c>
      <c r="D1316">
        <v>0</v>
      </c>
      <c r="E1316">
        <v>0</v>
      </c>
      <c r="F1316">
        <v>1</v>
      </c>
      <c r="G1316" s="7">
        <v>0.05</v>
      </c>
      <c r="H1316">
        <v>12</v>
      </c>
      <c r="I1316">
        <v>0</v>
      </c>
      <c r="J1316">
        <v>0</v>
      </c>
      <c r="K1316">
        <v>0</v>
      </c>
      <c r="L1316">
        <v>1</v>
      </c>
      <c r="M1316">
        <v>2</v>
      </c>
      <c r="N1316" s="7">
        <v>9</v>
      </c>
      <c r="O1316" s="7">
        <v>0</v>
      </c>
      <c r="P1316" s="7">
        <v>0</v>
      </c>
      <c r="Q1316" s="7">
        <v>0</v>
      </c>
      <c r="R1316" s="7">
        <v>1</v>
      </c>
      <c r="S1316" s="7">
        <v>4.5</v>
      </c>
      <c r="T1316">
        <v>7</v>
      </c>
      <c r="U1316" s="1">
        <v>35</v>
      </c>
      <c r="V1316">
        <v>0</v>
      </c>
      <c r="W1316">
        <v>0</v>
      </c>
      <c r="X1316">
        <v>1</v>
      </c>
      <c r="Y1316">
        <v>0.16</v>
      </c>
      <c r="Z1316">
        <v>23</v>
      </c>
      <c r="AA1316">
        <v>0</v>
      </c>
      <c r="AB1316">
        <v>0</v>
      </c>
      <c r="AC1316">
        <v>0</v>
      </c>
      <c r="AD1316">
        <v>1</v>
      </c>
      <c r="AE1316">
        <v>0.05</v>
      </c>
      <c r="AF1316">
        <v>15</v>
      </c>
      <c r="AG1316">
        <v>0</v>
      </c>
      <c r="AH1316">
        <v>0</v>
      </c>
      <c r="AI1316">
        <v>0</v>
      </c>
      <c r="AJ1316">
        <v>1</v>
      </c>
      <c r="AK1316">
        <v>0.02</v>
      </c>
      <c r="AL1316">
        <v>16</v>
      </c>
      <c r="AM1316">
        <v>0</v>
      </c>
      <c r="AN1316">
        <v>0</v>
      </c>
      <c r="AO1316">
        <v>0</v>
      </c>
      <c r="AP1316">
        <v>1</v>
      </c>
      <c r="AQ1316">
        <v>0.01</v>
      </c>
      <c r="AX1316">
        <v>7</v>
      </c>
      <c r="AY1316" s="1">
        <v>19</v>
      </c>
      <c r="AZ1316">
        <v>0</v>
      </c>
      <c r="BA1316">
        <v>0</v>
      </c>
      <c r="BB1316">
        <v>1</v>
      </c>
      <c r="BC1316" s="7">
        <v>0.32</v>
      </c>
      <c r="BD1316">
        <v>30</v>
      </c>
      <c r="BE1316">
        <v>0</v>
      </c>
      <c r="BF1316">
        <v>0</v>
      </c>
      <c r="BG1316">
        <v>0</v>
      </c>
      <c r="BH1316">
        <v>5</v>
      </c>
      <c r="BI1316">
        <v>2.4</v>
      </c>
      <c r="BJ1316">
        <v>31</v>
      </c>
      <c r="BK1316">
        <v>0</v>
      </c>
      <c r="BL1316">
        <v>0</v>
      </c>
      <c r="BM1316">
        <v>0</v>
      </c>
      <c r="BN1316">
        <v>5</v>
      </c>
      <c r="BO1316">
        <v>2.4</v>
      </c>
      <c r="BP1316">
        <v>36</v>
      </c>
      <c r="BQ1316">
        <v>0</v>
      </c>
      <c r="BR1316">
        <v>0</v>
      </c>
      <c r="BS1316">
        <v>0</v>
      </c>
      <c r="BT1316">
        <v>5</v>
      </c>
      <c r="BU1316">
        <v>1.7</v>
      </c>
    </row>
    <row r="1317" spans="1:73" ht="14.25" x14ac:dyDescent="0.15">
      <c r="A1317" s="12">
        <v>30114</v>
      </c>
      <c r="B1317">
        <v>7</v>
      </c>
      <c r="C1317" s="1">
        <v>48</v>
      </c>
      <c r="D1317">
        <v>0</v>
      </c>
      <c r="E1317">
        <v>0</v>
      </c>
      <c r="F1317">
        <v>1</v>
      </c>
      <c r="G1317" s="7">
        <v>0.05</v>
      </c>
      <c r="H1317">
        <v>12</v>
      </c>
      <c r="I1317">
        <v>0</v>
      </c>
      <c r="J1317">
        <v>0</v>
      </c>
      <c r="K1317">
        <v>0</v>
      </c>
      <c r="L1317">
        <v>1</v>
      </c>
      <c r="M1317">
        <v>2</v>
      </c>
      <c r="N1317" s="7">
        <v>9</v>
      </c>
      <c r="O1317" s="7">
        <v>0</v>
      </c>
      <c r="P1317" s="7">
        <v>0</v>
      </c>
      <c r="Q1317" s="7">
        <v>0</v>
      </c>
      <c r="R1317" s="7">
        <v>1</v>
      </c>
      <c r="S1317" s="7">
        <v>4.5</v>
      </c>
      <c r="T1317">
        <v>7</v>
      </c>
      <c r="U1317" s="1">
        <v>36</v>
      </c>
      <c r="V1317">
        <v>0</v>
      </c>
      <c r="W1317">
        <v>0</v>
      </c>
      <c r="X1317">
        <v>1</v>
      </c>
      <c r="Y1317">
        <v>0.16</v>
      </c>
      <c r="Z1317">
        <v>23</v>
      </c>
      <c r="AA1317">
        <v>0</v>
      </c>
      <c r="AB1317">
        <v>0</v>
      </c>
      <c r="AC1317">
        <v>0</v>
      </c>
      <c r="AD1317">
        <v>1</v>
      </c>
      <c r="AE1317">
        <v>0.05</v>
      </c>
      <c r="AF1317">
        <v>15</v>
      </c>
      <c r="AG1317">
        <v>0</v>
      </c>
      <c r="AH1317">
        <v>0</v>
      </c>
      <c r="AI1317">
        <v>0</v>
      </c>
      <c r="AJ1317">
        <v>1</v>
      </c>
      <c r="AK1317">
        <v>0.02</v>
      </c>
      <c r="AL1317">
        <v>16</v>
      </c>
      <c r="AM1317">
        <v>0</v>
      </c>
      <c r="AN1317">
        <v>0</v>
      </c>
      <c r="AO1317">
        <v>0</v>
      </c>
      <c r="AP1317">
        <v>1</v>
      </c>
      <c r="AQ1317">
        <v>0.01</v>
      </c>
      <c r="AX1317">
        <v>7</v>
      </c>
      <c r="AY1317" s="1">
        <v>20</v>
      </c>
      <c r="AZ1317">
        <v>0</v>
      </c>
      <c r="BA1317">
        <v>0</v>
      </c>
      <c r="BB1317">
        <v>1</v>
      </c>
      <c r="BC1317" s="7">
        <v>0.32</v>
      </c>
      <c r="BD1317">
        <v>30</v>
      </c>
      <c r="BE1317">
        <v>0</v>
      </c>
      <c r="BF1317">
        <v>0</v>
      </c>
      <c r="BG1317">
        <v>0</v>
      </c>
      <c r="BH1317">
        <v>5</v>
      </c>
      <c r="BI1317">
        <v>2.4</v>
      </c>
      <c r="BJ1317">
        <v>31</v>
      </c>
      <c r="BK1317">
        <v>0</v>
      </c>
      <c r="BL1317">
        <v>0</v>
      </c>
      <c r="BM1317">
        <v>0</v>
      </c>
      <c r="BN1317">
        <v>5</v>
      </c>
      <c r="BO1317">
        <v>2.4</v>
      </c>
      <c r="BP1317">
        <v>36</v>
      </c>
      <c r="BQ1317">
        <v>0</v>
      </c>
      <c r="BR1317">
        <v>0</v>
      </c>
      <c r="BS1317">
        <v>0</v>
      </c>
      <c r="BT1317">
        <v>5</v>
      </c>
      <c r="BU1317">
        <v>1.7</v>
      </c>
    </row>
    <row r="1318" spans="1:73" ht="14.25" x14ac:dyDescent="0.15">
      <c r="A1318" s="12">
        <v>30115</v>
      </c>
      <c r="B1318">
        <v>7</v>
      </c>
      <c r="C1318" s="1">
        <v>0</v>
      </c>
      <c r="D1318">
        <v>5</v>
      </c>
      <c r="E1318">
        <v>1</v>
      </c>
      <c r="F1318">
        <v>1</v>
      </c>
      <c r="G1318" s="7">
        <v>0.05</v>
      </c>
      <c r="H1318">
        <v>12</v>
      </c>
      <c r="I1318">
        <v>0</v>
      </c>
      <c r="J1318">
        <v>0</v>
      </c>
      <c r="K1318">
        <v>0</v>
      </c>
      <c r="L1318">
        <v>1</v>
      </c>
      <c r="M1318">
        <v>2</v>
      </c>
      <c r="N1318" s="7">
        <v>9</v>
      </c>
      <c r="O1318" s="7">
        <v>0</v>
      </c>
      <c r="P1318" s="7">
        <v>0</v>
      </c>
      <c r="Q1318" s="7">
        <v>0</v>
      </c>
      <c r="R1318" s="7">
        <v>1</v>
      </c>
      <c r="S1318" s="7">
        <v>4.5</v>
      </c>
      <c r="T1318">
        <v>7</v>
      </c>
      <c r="U1318" s="1">
        <v>0</v>
      </c>
      <c r="V1318">
        <v>4</v>
      </c>
      <c r="W1318">
        <v>2</v>
      </c>
      <c r="X1318">
        <v>1</v>
      </c>
      <c r="Y1318">
        <v>0.16</v>
      </c>
      <c r="Z1318">
        <v>23</v>
      </c>
      <c r="AA1318">
        <v>0</v>
      </c>
      <c r="AB1318">
        <v>0</v>
      </c>
      <c r="AC1318">
        <v>0</v>
      </c>
      <c r="AD1318">
        <v>1</v>
      </c>
      <c r="AE1318">
        <v>0.05</v>
      </c>
      <c r="AF1318">
        <v>15</v>
      </c>
      <c r="AG1318">
        <v>0</v>
      </c>
      <c r="AH1318">
        <v>0</v>
      </c>
      <c r="AI1318">
        <v>0</v>
      </c>
      <c r="AJ1318">
        <v>1</v>
      </c>
      <c r="AK1318">
        <v>0.02</v>
      </c>
      <c r="AL1318">
        <v>16</v>
      </c>
      <c r="AM1318">
        <v>0</v>
      </c>
      <c r="AN1318">
        <v>0</v>
      </c>
      <c r="AO1318">
        <v>0</v>
      </c>
      <c r="AP1318">
        <v>1</v>
      </c>
      <c r="AQ1318">
        <v>0.01</v>
      </c>
      <c r="AR1318">
        <v>6</v>
      </c>
      <c r="AS1318">
        <v>2</v>
      </c>
      <c r="AT1318">
        <v>3</v>
      </c>
      <c r="AU1318">
        <v>5</v>
      </c>
      <c r="AV1318">
        <v>1</v>
      </c>
      <c r="AW1318">
        <v>0.05</v>
      </c>
      <c r="AX1318">
        <v>7</v>
      </c>
      <c r="AY1318" s="1">
        <v>0</v>
      </c>
      <c r="AZ1318">
        <v>3</v>
      </c>
      <c r="BA1318">
        <v>1</v>
      </c>
      <c r="BB1318">
        <v>1</v>
      </c>
      <c r="BC1318" s="7">
        <v>0.32</v>
      </c>
      <c r="BD1318">
        <v>30</v>
      </c>
      <c r="BE1318">
        <v>0</v>
      </c>
      <c r="BF1318">
        <v>0</v>
      </c>
      <c r="BG1318">
        <v>0</v>
      </c>
      <c r="BH1318">
        <v>5</v>
      </c>
      <c r="BI1318">
        <v>2.4</v>
      </c>
      <c r="BJ1318">
        <v>31</v>
      </c>
      <c r="BK1318">
        <v>0</v>
      </c>
      <c r="BL1318">
        <v>0</v>
      </c>
      <c r="BM1318">
        <v>0</v>
      </c>
      <c r="BN1318">
        <v>5</v>
      </c>
      <c r="BO1318">
        <v>2.4</v>
      </c>
      <c r="BP1318">
        <v>36</v>
      </c>
      <c r="BQ1318">
        <v>0</v>
      </c>
      <c r="BR1318">
        <v>0</v>
      </c>
      <c r="BS1318">
        <v>0</v>
      </c>
      <c r="BT1318">
        <v>5</v>
      </c>
      <c r="BU1318">
        <v>1.7</v>
      </c>
    </row>
    <row r="1319" spans="1:73" ht="14.25" x14ac:dyDescent="0.15">
      <c r="A1319" s="12">
        <v>30116</v>
      </c>
      <c r="B1319">
        <v>7</v>
      </c>
      <c r="C1319" s="1">
        <v>45</v>
      </c>
      <c r="D1319">
        <v>0</v>
      </c>
      <c r="E1319">
        <v>0</v>
      </c>
      <c r="F1319">
        <v>1</v>
      </c>
      <c r="G1319" s="7">
        <v>0.05</v>
      </c>
      <c r="H1319">
        <v>12</v>
      </c>
      <c r="I1319">
        <v>0</v>
      </c>
      <c r="J1319">
        <v>0</v>
      </c>
      <c r="K1319">
        <v>0</v>
      </c>
      <c r="L1319">
        <v>1</v>
      </c>
      <c r="M1319">
        <v>2</v>
      </c>
      <c r="N1319" s="7">
        <v>9</v>
      </c>
      <c r="O1319" s="7">
        <v>0</v>
      </c>
      <c r="P1319" s="7">
        <v>0</v>
      </c>
      <c r="Q1319" s="7">
        <v>0</v>
      </c>
      <c r="R1319" s="7">
        <v>1</v>
      </c>
      <c r="S1319" s="7">
        <v>4.5</v>
      </c>
      <c r="T1319">
        <v>7</v>
      </c>
      <c r="U1319" s="1">
        <v>33</v>
      </c>
      <c r="V1319">
        <v>0</v>
      </c>
      <c r="W1319">
        <v>0</v>
      </c>
      <c r="X1319">
        <v>1</v>
      </c>
      <c r="Y1319">
        <v>0.16</v>
      </c>
      <c r="Z1319">
        <v>23</v>
      </c>
      <c r="AA1319">
        <v>0</v>
      </c>
      <c r="AB1319">
        <v>0</v>
      </c>
      <c r="AC1319">
        <v>0</v>
      </c>
      <c r="AD1319">
        <v>1</v>
      </c>
      <c r="AE1319">
        <v>0.05</v>
      </c>
      <c r="AF1319">
        <v>15</v>
      </c>
      <c r="AG1319">
        <v>0</v>
      </c>
      <c r="AH1319">
        <v>0</v>
      </c>
      <c r="AI1319">
        <v>0</v>
      </c>
      <c r="AJ1319">
        <v>1</v>
      </c>
      <c r="AK1319">
        <v>0.02</v>
      </c>
      <c r="AL1319">
        <v>16</v>
      </c>
      <c r="AM1319">
        <v>0</v>
      </c>
      <c r="AN1319">
        <v>0</v>
      </c>
      <c r="AO1319">
        <v>0</v>
      </c>
      <c r="AP1319">
        <v>1</v>
      </c>
      <c r="AQ1319">
        <v>0.01</v>
      </c>
      <c r="AX1319">
        <v>7</v>
      </c>
      <c r="AY1319" s="1">
        <v>17</v>
      </c>
      <c r="AZ1319">
        <v>0</v>
      </c>
      <c r="BA1319">
        <v>0</v>
      </c>
      <c r="BB1319">
        <v>1</v>
      </c>
      <c r="BC1319" s="7">
        <v>0.32</v>
      </c>
      <c r="BD1319">
        <v>30</v>
      </c>
      <c r="BE1319">
        <v>0</v>
      </c>
      <c r="BF1319">
        <v>0</v>
      </c>
      <c r="BG1319">
        <v>0</v>
      </c>
      <c r="BH1319">
        <v>5</v>
      </c>
      <c r="BI1319">
        <v>2.4</v>
      </c>
      <c r="BJ1319">
        <v>31</v>
      </c>
      <c r="BK1319">
        <v>0</v>
      </c>
      <c r="BL1319">
        <v>0</v>
      </c>
      <c r="BM1319">
        <v>0</v>
      </c>
      <c r="BN1319">
        <v>5</v>
      </c>
      <c r="BO1319">
        <v>2.4</v>
      </c>
      <c r="BP1319">
        <v>36</v>
      </c>
      <c r="BQ1319">
        <v>0</v>
      </c>
      <c r="BR1319">
        <v>0</v>
      </c>
      <c r="BS1319">
        <v>0</v>
      </c>
      <c r="BT1319">
        <v>5</v>
      </c>
      <c r="BU1319">
        <v>1.7</v>
      </c>
    </row>
    <row r="1320" spans="1:73" ht="14.25" x14ac:dyDescent="0.15">
      <c r="A1320" s="12">
        <v>30117</v>
      </c>
      <c r="B1320">
        <v>7</v>
      </c>
      <c r="C1320" s="1">
        <v>46</v>
      </c>
      <c r="D1320">
        <v>0</v>
      </c>
      <c r="E1320">
        <v>0</v>
      </c>
      <c r="F1320">
        <v>1</v>
      </c>
      <c r="G1320" s="7">
        <v>0.05</v>
      </c>
      <c r="H1320">
        <v>12</v>
      </c>
      <c r="I1320">
        <v>0</v>
      </c>
      <c r="J1320">
        <v>0</v>
      </c>
      <c r="K1320">
        <v>0</v>
      </c>
      <c r="L1320">
        <v>1</v>
      </c>
      <c r="M1320">
        <v>2</v>
      </c>
      <c r="N1320" s="7">
        <v>9</v>
      </c>
      <c r="O1320" s="7">
        <v>0</v>
      </c>
      <c r="P1320" s="7">
        <v>0</v>
      </c>
      <c r="Q1320" s="7">
        <v>0</v>
      </c>
      <c r="R1320" s="7">
        <v>1</v>
      </c>
      <c r="S1320" s="7">
        <v>4.5</v>
      </c>
      <c r="T1320">
        <v>7</v>
      </c>
      <c r="U1320" s="1">
        <v>34</v>
      </c>
      <c r="V1320">
        <v>0</v>
      </c>
      <c r="W1320">
        <v>0</v>
      </c>
      <c r="X1320">
        <v>1</v>
      </c>
      <c r="Y1320">
        <v>0.16</v>
      </c>
      <c r="Z1320">
        <v>23</v>
      </c>
      <c r="AA1320">
        <v>0</v>
      </c>
      <c r="AB1320">
        <v>0</v>
      </c>
      <c r="AC1320">
        <v>0</v>
      </c>
      <c r="AD1320">
        <v>1</v>
      </c>
      <c r="AE1320">
        <v>0.05</v>
      </c>
      <c r="AF1320">
        <v>15</v>
      </c>
      <c r="AG1320">
        <v>0</v>
      </c>
      <c r="AH1320">
        <v>0</v>
      </c>
      <c r="AI1320">
        <v>0</v>
      </c>
      <c r="AJ1320">
        <v>1</v>
      </c>
      <c r="AK1320">
        <v>0.02</v>
      </c>
      <c r="AL1320">
        <v>16</v>
      </c>
      <c r="AM1320">
        <v>0</v>
      </c>
      <c r="AN1320">
        <v>0</v>
      </c>
      <c r="AO1320">
        <v>0</v>
      </c>
      <c r="AP1320">
        <v>1</v>
      </c>
      <c r="AQ1320">
        <v>0.01</v>
      </c>
      <c r="AX1320">
        <v>7</v>
      </c>
      <c r="AY1320" s="1">
        <v>18</v>
      </c>
      <c r="AZ1320">
        <v>0</v>
      </c>
      <c r="BA1320">
        <v>0</v>
      </c>
      <c r="BB1320">
        <v>1</v>
      </c>
      <c r="BC1320" s="7">
        <v>0.32</v>
      </c>
      <c r="BD1320">
        <v>30</v>
      </c>
      <c r="BE1320">
        <v>0</v>
      </c>
      <c r="BF1320">
        <v>0</v>
      </c>
      <c r="BG1320">
        <v>0</v>
      </c>
      <c r="BH1320">
        <v>5</v>
      </c>
      <c r="BI1320">
        <v>2.4</v>
      </c>
      <c r="BJ1320">
        <v>31</v>
      </c>
      <c r="BK1320">
        <v>0</v>
      </c>
      <c r="BL1320">
        <v>0</v>
      </c>
      <c r="BM1320">
        <v>0</v>
      </c>
      <c r="BN1320">
        <v>5</v>
      </c>
      <c r="BO1320">
        <v>2.4</v>
      </c>
      <c r="BP1320">
        <v>36</v>
      </c>
      <c r="BQ1320">
        <v>0</v>
      </c>
      <c r="BR1320">
        <v>0</v>
      </c>
      <c r="BS1320">
        <v>0</v>
      </c>
      <c r="BT1320">
        <v>5</v>
      </c>
      <c r="BU1320">
        <v>1.7</v>
      </c>
    </row>
    <row r="1321" spans="1:73" ht="14.25" x14ac:dyDescent="0.15">
      <c r="A1321" s="12">
        <v>30118</v>
      </c>
      <c r="B1321">
        <v>7</v>
      </c>
      <c r="C1321" s="1">
        <v>47</v>
      </c>
      <c r="D1321">
        <v>0</v>
      </c>
      <c r="E1321">
        <v>0</v>
      </c>
      <c r="F1321">
        <v>1</v>
      </c>
      <c r="G1321" s="7">
        <v>0.05</v>
      </c>
      <c r="H1321">
        <v>12</v>
      </c>
      <c r="I1321">
        <v>0</v>
      </c>
      <c r="J1321">
        <v>0</v>
      </c>
      <c r="K1321">
        <v>0</v>
      </c>
      <c r="L1321">
        <v>1</v>
      </c>
      <c r="M1321">
        <v>2</v>
      </c>
      <c r="N1321" s="7">
        <v>9</v>
      </c>
      <c r="O1321" s="7">
        <v>0</v>
      </c>
      <c r="P1321" s="7">
        <v>0</v>
      </c>
      <c r="Q1321" s="7">
        <v>0</v>
      </c>
      <c r="R1321" s="7">
        <v>1</v>
      </c>
      <c r="S1321" s="7">
        <v>4.5</v>
      </c>
      <c r="T1321">
        <v>7</v>
      </c>
      <c r="U1321" s="1">
        <v>35</v>
      </c>
      <c r="V1321">
        <v>0</v>
      </c>
      <c r="W1321">
        <v>0</v>
      </c>
      <c r="X1321">
        <v>1</v>
      </c>
      <c r="Y1321">
        <v>0.16</v>
      </c>
      <c r="Z1321">
        <v>23</v>
      </c>
      <c r="AA1321">
        <v>0</v>
      </c>
      <c r="AB1321">
        <v>0</v>
      </c>
      <c r="AC1321">
        <v>0</v>
      </c>
      <c r="AD1321">
        <v>1</v>
      </c>
      <c r="AE1321">
        <v>0.05</v>
      </c>
      <c r="AF1321">
        <v>15</v>
      </c>
      <c r="AG1321">
        <v>0</v>
      </c>
      <c r="AH1321">
        <v>0</v>
      </c>
      <c r="AI1321">
        <v>0</v>
      </c>
      <c r="AJ1321">
        <v>1</v>
      </c>
      <c r="AK1321">
        <v>0.02</v>
      </c>
      <c r="AL1321">
        <v>16</v>
      </c>
      <c r="AM1321">
        <v>0</v>
      </c>
      <c r="AN1321">
        <v>0</v>
      </c>
      <c r="AO1321">
        <v>0</v>
      </c>
      <c r="AP1321">
        <v>1</v>
      </c>
      <c r="AQ1321">
        <v>0.01</v>
      </c>
      <c r="AX1321">
        <v>7</v>
      </c>
      <c r="AY1321" s="1">
        <v>19</v>
      </c>
      <c r="AZ1321">
        <v>0</v>
      </c>
      <c r="BA1321">
        <v>0</v>
      </c>
      <c r="BB1321">
        <v>1</v>
      </c>
      <c r="BC1321" s="7">
        <v>0.32</v>
      </c>
      <c r="BD1321">
        <v>30</v>
      </c>
      <c r="BE1321">
        <v>0</v>
      </c>
      <c r="BF1321">
        <v>0</v>
      </c>
      <c r="BG1321">
        <v>0</v>
      </c>
      <c r="BH1321">
        <v>5</v>
      </c>
      <c r="BI1321">
        <v>2.4</v>
      </c>
      <c r="BJ1321">
        <v>31</v>
      </c>
      <c r="BK1321">
        <v>0</v>
      </c>
      <c r="BL1321">
        <v>0</v>
      </c>
      <c r="BM1321">
        <v>0</v>
      </c>
      <c r="BN1321">
        <v>5</v>
      </c>
      <c r="BO1321">
        <v>2.4</v>
      </c>
      <c r="BP1321">
        <v>36</v>
      </c>
      <c r="BQ1321">
        <v>0</v>
      </c>
      <c r="BR1321">
        <v>0</v>
      </c>
      <c r="BS1321">
        <v>0</v>
      </c>
      <c r="BT1321">
        <v>5</v>
      </c>
      <c r="BU1321">
        <v>1.7</v>
      </c>
    </row>
    <row r="1322" spans="1:73" ht="14.25" x14ac:dyDescent="0.15">
      <c r="A1322" s="12">
        <v>30119</v>
      </c>
      <c r="B1322">
        <v>7</v>
      </c>
      <c r="C1322" s="1">
        <v>48</v>
      </c>
      <c r="D1322">
        <v>0</v>
      </c>
      <c r="E1322">
        <v>0</v>
      </c>
      <c r="F1322">
        <v>1</v>
      </c>
      <c r="G1322" s="7">
        <v>0.05</v>
      </c>
      <c r="H1322">
        <v>12</v>
      </c>
      <c r="I1322">
        <v>0</v>
      </c>
      <c r="J1322">
        <v>0</v>
      </c>
      <c r="K1322">
        <v>0</v>
      </c>
      <c r="L1322">
        <v>1</v>
      </c>
      <c r="M1322">
        <v>2</v>
      </c>
      <c r="N1322" s="7">
        <v>9</v>
      </c>
      <c r="O1322" s="7">
        <v>0</v>
      </c>
      <c r="P1322" s="7">
        <v>0</v>
      </c>
      <c r="Q1322" s="7">
        <v>0</v>
      </c>
      <c r="R1322" s="7">
        <v>1</v>
      </c>
      <c r="S1322" s="7">
        <v>4.5</v>
      </c>
      <c r="T1322">
        <v>7</v>
      </c>
      <c r="U1322" s="1">
        <v>36</v>
      </c>
      <c r="V1322">
        <v>0</v>
      </c>
      <c r="W1322">
        <v>0</v>
      </c>
      <c r="X1322">
        <v>1</v>
      </c>
      <c r="Y1322">
        <v>0.16</v>
      </c>
      <c r="Z1322">
        <v>23</v>
      </c>
      <c r="AA1322">
        <v>0</v>
      </c>
      <c r="AB1322">
        <v>0</v>
      </c>
      <c r="AC1322">
        <v>0</v>
      </c>
      <c r="AD1322">
        <v>1</v>
      </c>
      <c r="AE1322">
        <v>0.05</v>
      </c>
      <c r="AF1322">
        <v>15</v>
      </c>
      <c r="AG1322">
        <v>0</v>
      </c>
      <c r="AH1322">
        <v>0</v>
      </c>
      <c r="AI1322">
        <v>0</v>
      </c>
      <c r="AJ1322">
        <v>1</v>
      </c>
      <c r="AK1322">
        <v>0.02</v>
      </c>
      <c r="AL1322">
        <v>16</v>
      </c>
      <c r="AM1322">
        <v>0</v>
      </c>
      <c r="AN1322">
        <v>0</v>
      </c>
      <c r="AO1322">
        <v>0</v>
      </c>
      <c r="AP1322">
        <v>1</v>
      </c>
      <c r="AQ1322">
        <v>0.01</v>
      </c>
      <c r="AX1322">
        <v>7</v>
      </c>
      <c r="AY1322" s="1">
        <v>20</v>
      </c>
      <c r="AZ1322">
        <v>0</v>
      </c>
      <c r="BA1322">
        <v>0</v>
      </c>
      <c r="BB1322">
        <v>1</v>
      </c>
      <c r="BC1322" s="7">
        <v>0.32</v>
      </c>
      <c r="BD1322">
        <v>30</v>
      </c>
      <c r="BE1322">
        <v>0</v>
      </c>
      <c r="BF1322">
        <v>0</v>
      </c>
      <c r="BG1322">
        <v>0</v>
      </c>
      <c r="BH1322">
        <v>5</v>
      </c>
      <c r="BI1322">
        <v>2.4</v>
      </c>
      <c r="BJ1322">
        <v>31</v>
      </c>
      <c r="BK1322">
        <v>0</v>
      </c>
      <c r="BL1322">
        <v>0</v>
      </c>
      <c r="BM1322">
        <v>0</v>
      </c>
      <c r="BN1322">
        <v>5</v>
      </c>
      <c r="BO1322">
        <v>2.4</v>
      </c>
      <c r="BP1322">
        <v>36</v>
      </c>
      <c r="BQ1322">
        <v>0</v>
      </c>
      <c r="BR1322">
        <v>0</v>
      </c>
      <c r="BS1322">
        <v>0</v>
      </c>
      <c r="BT1322">
        <v>5</v>
      </c>
      <c r="BU1322">
        <v>1.7</v>
      </c>
    </row>
    <row r="1323" spans="1:73" ht="14.25" x14ac:dyDescent="0.15">
      <c r="A1323" s="12">
        <v>30120</v>
      </c>
      <c r="B1323">
        <v>7</v>
      </c>
      <c r="C1323" s="1">
        <v>0</v>
      </c>
      <c r="D1323">
        <v>5</v>
      </c>
      <c r="E1323">
        <v>1</v>
      </c>
      <c r="F1323">
        <v>1</v>
      </c>
      <c r="G1323" s="7">
        <v>0.05</v>
      </c>
      <c r="H1323">
        <v>12</v>
      </c>
      <c r="I1323">
        <v>0</v>
      </c>
      <c r="J1323">
        <v>0</v>
      </c>
      <c r="K1323">
        <v>0</v>
      </c>
      <c r="L1323">
        <v>1</v>
      </c>
      <c r="M1323">
        <v>2</v>
      </c>
      <c r="N1323" s="7">
        <v>9</v>
      </c>
      <c r="O1323" s="7">
        <v>0</v>
      </c>
      <c r="P1323" s="7">
        <v>0</v>
      </c>
      <c r="Q1323" s="7">
        <v>0</v>
      </c>
      <c r="R1323" s="7">
        <v>1</v>
      </c>
      <c r="S1323" s="7">
        <v>4.5</v>
      </c>
      <c r="T1323">
        <v>7</v>
      </c>
      <c r="U1323" s="1">
        <v>0</v>
      </c>
      <c r="V1323">
        <v>4</v>
      </c>
      <c r="W1323">
        <v>2</v>
      </c>
      <c r="X1323">
        <v>1</v>
      </c>
      <c r="Y1323">
        <v>0.16</v>
      </c>
      <c r="Z1323">
        <v>23</v>
      </c>
      <c r="AA1323">
        <v>0</v>
      </c>
      <c r="AB1323">
        <v>0</v>
      </c>
      <c r="AC1323">
        <v>0</v>
      </c>
      <c r="AD1323">
        <v>1</v>
      </c>
      <c r="AE1323">
        <v>0.05</v>
      </c>
      <c r="AF1323">
        <v>15</v>
      </c>
      <c r="AG1323">
        <v>0</v>
      </c>
      <c r="AH1323">
        <v>0</v>
      </c>
      <c r="AI1323">
        <v>0</v>
      </c>
      <c r="AJ1323">
        <v>1</v>
      </c>
      <c r="AK1323">
        <v>0.02</v>
      </c>
      <c r="AL1323">
        <v>16</v>
      </c>
      <c r="AM1323">
        <v>0</v>
      </c>
      <c r="AN1323">
        <v>0</v>
      </c>
      <c r="AO1323">
        <v>0</v>
      </c>
      <c r="AP1323">
        <v>1</v>
      </c>
      <c r="AQ1323">
        <v>0.01</v>
      </c>
      <c r="AR1323">
        <v>6</v>
      </c>
      <c r="AS1323">
        <v>2</v>
      </c>
      <c r="AT1323">
        <v>4</v>
      </c>
      <c r="AU1323">
        <v>5</v>
      </c>
      <c r="AV1323">
        <v>1</v>
      </c>
      <c r="AW1323">
        <v>0.01</v>
      </c>
      <c r="AX1323">
        <v>7</v>
      </c>
      <c r="AY1323" s="1">
        <v>0</v>
      </c>
      <c r="AZ1323">
        <v>3</v>
      </c>
      <c r="BA1323">
        <v>1</v>
      </c>
      <c r="BB1323">
        <v>1</v>
      </c>
      <c r="BC1323" s="7">
        <v>0.32</v>
      </c>
      <c r="BD1323">
        <v>30</v>
      </c>
      <c r="BE1323">
        <v>0</v>
      </c>
      <c r="BF1323">
        <v>0</v>
      </c>
      <c r="BG1323">
        <v>0</v>
      </c>
      <c r="BH1323">
        <v>5</v>
      </c>
      <c r="BI1323">
        <v>2.4</v>
      </c>
      <c r="BJ1323">
        <v>31</v>
      </c>
      <c r="BK1323">
        <v>0</v>
      </c>
      <c r="BL1323">
        <v>0</v>
      </c>
      <c r="BM1323">
        <v>0</v>
      </c>
      <c r="BN1323">
        <v>5</v>
      </c>
      <c r="BO1323">
        <v>2.4</v>
      </c>
      <c r="BP1323">
        <v>36</v>
      </c>
      <c r="BQ1323">
        <v>0</v>
      </c>
      <c r="BR1323">
        <v>0</v>
      </c>
      <c r="BS1323">
        <v>0</v>
      </c>
      <c r="BT1323">
        <v>5</v>
      </c>
      <c r="BU1323">
        <v>1.7</v>
      </c>
    </row>
    <row r="1324" spans="1:73" ht="14.25" x14ac:dyDescent="0.15">
      <c r="A1324" s="12">
        <v>30121</v>
      </c>
      <c r="B1324">
        <v>7</v>
      </c>
      <c r="C1324" s="1">
        <v>45</v>
      </c>
      <c r="D1324">
        <v>0</v>
      </c>
      <c r="E1324">
        <v>0</v>
      </c>
      <c r="F1324">
        <v>1</v>
      </c>
      <c r="G1324" s="7">
        <v>0.05</v>
      </c>
      <c r="H1324">
        <v>12</v>
      </c>
      <c r="I1324">
        <v>0</v>
      </c>
      <c r="J1324">
        <v>0</v>
      </c>
      <c r="K1324">
        <v>0</v>
      </c>
      <c r="L1324">
        <v>1</v>
      </c>
      <c r="M1324">
        <v>2</v>
      </c>
      <c r="N1324" s="7">
        <v>9</v>
      </c>
      <c r="O1324" s="7">
        <v>0</v>
      </c>
      <c r="P1324" s="7">
        <v>0</v>
      </c>
      <c r="Q1324" s="7">
        <v>0</v>
      </c>
      <c r="R1324" s="7">
        <v>1</v>
      </c>
      <c r="S1324" s="7">
        <v>4.5</v>
      </c>
      <c r="T1324">
        <v>7</v>
      </c>
      <c r="U1324" s="1">
        <v>33</v>
      </c>
      <c r="V1324">
        <v>0</v>
      </c>
      <c r="W1324">
        <v>0</v>
      </c>
      <c r="X1324">
        <v>1</v>
      </c>
      <c r="Y1324">
        <v>0.16</v>
      </c>
      <c r="Z1324">
        <v>23</v>
      </c>
      <c r="AA1324">
        <v>0</v>
      </c>
      <c r="AB1324">
        <v>0</v>
      </c>
      <c r="AC1324">
        <v>0</v>
      </c>
      <c r="AD1324">
        <v>1</v>
      </c>
      <c r="AE1324">
        <v>0.05</v>
      </c>
      <c r="AF1324">
        <v>15</v>
      </c>
      <c r="AG1324">
        <v>0</v>
      </c>
      <c r="AH1324">
        <v>0</v>
      </c>
      <c r="AI1324">
        <v>0</v>
      </c>
      <c r="AJ1324">
        <v>1</v>
      </c>
      <c r="AK1324">
        <v>0.02</v>
      </c>
      <c r="AL1324">
        <v>16</v>
      </c>
      <c r="AM1324">
        <v>0</v>
      </c>
      <c r="AN1324">
        <v>0</v>
      </c>
      <c r="AO1324">
        <v>0</v>
      </c>
      <c r="AP1324">
        <v>1</v>
      </c>
      <c r="AQ1324">
        <v>0.01</v>
      </c>
      <c r="AX1324">
        <v>7</v>
      </c>
      <c r="AY1324" s="1">
        <v>17</v>
      </c>
      <c r="AZ1324">
        <v>0</v>
      </c>
      <c r="BA1324">
        <v>0</v>
      </c>
      <c r="BB1324">
        <v>1</v>
      </c>
      <c r="BC1324" s="7">
        <v>0.32</v>
      </c>
      <c r="BD1324">
        <v>30</v>
      </c>
      <c r="BE1324">
        <v>0</v>
      </c>
      <c r="BF1324">
        <v>0</v>
      </c>
      <c r="BG1324">
        <v>0</v>
      </c>
      <c r="BH1324">
        <v>5</v>
      </c>
      <c r="BI1324">
        <v>2.4</v>
      </c>
      <c r="BJ1324">
        <v>31</v>
      </c>
      <c r="BK1324">
        <v>0</v>
      </c>
      <c r="BL1324">
        <v>0</v>
      </c>
      <c r="BM1324">
        <v>0</v>
      </c>
      <c r="BN1324">
        <v>5</v>
      </c>
      <c r="BO1324">
        <v>2.4</v>
      </c>
      <c r="BP1324">
        <v>36</v>
      </c>
      <c r="BQ1324">
        <v>0</v>
      </c>
      <c r="BR1324">
        <v>0</v>
      </c>
      <c r="BS1324">
        <v>0</v>
      </c>
      <c r="BT1324">
        <v>5</v>
      </c>
      <c r="BU1324">
        <v>1.7</v>
      </c>
    </row>
    <row r="1325" spans="1:73" ht="14.25" x14ac:dyDescent="0.15">
      <c r="A1325" s="12">
        <v>30122</v>
      </c>
      <c r="B1325">
        <v>7</v>
      </c>
      <c r="C1325" s="1">
        <v>46</v>
      </c>
      <c r="D1325">
        <v>0</v>
      </c>
      <c r="E1325">
        <v>0</v>
      </c>
      <c r="F1325">
        <v>1</v>
      </c>
      <c r="G1325" s="7">
        <v>0.05</v>
      </c>
      <c r="H1325">
        <v>12</v>
      </c>
      <c r="I1325">
        <v>0</v>
      </c>
      <c r="J1325">
        <v>0</v>
      </c>
      <c r="K1325">
        <v>0</v>
      </c>
      <c r="L1325">
        <v>1</v>
      </c>
      <c r="M1325">
        <v>2</v>
      </c>
      <c r="N1325" s="7">
        <v>9</v>
      </c>
      <c r="O1325" s="7">
        <v>0</v>
      </c>
      <c r="P1325" s="7">
        <v>0</v>
      </c>
      <c r="Q1325" s="7">
        <v>0</v>
      </c>
      <c r="R1325" s="7">
        <v>1</v>
      </c>
      <c r="S1325" s="7">
        <v>4.5</v>
      </c>
      <c r="T1325">
        <v>7</v>
      </c>
      <c r="U1325" s="1">
        <v>34</v>
      </c>
      <c r="V1325">
        <v>0</v>
      </c>
      <c r="W1325">
        <v>0</v>
      </c>
      <c r="X1325">
        <v>1</v>
      </c>
      <c r="Y1325">
        <v>0.16</v>
      </c>
      <c r="Z1325">
        <v>23</v>
      </c>
      <c r="AA1325">
        <v>0</v>
      </c>
      <c r="AB1325">
        <v>0</v>
      </c>
      <c r="AC1325">
        <v>0</v>
      </c>
      <c r="AD1325">
        <v>1</v>
      </c>
      <c r="AE1325">
        <v>0.05</v>
      </c>
      <c r="AF1325">
        <v>15</v>
      </c>
      <c r="AG1325">
        <v>0</v>
      </c>
      <c r="AH1325">
        <v>0</v>
      </c>
      <c r="AI1325">
        <v>0</v>
      </c>
      <c r="AJ1325">
        <v>1</v>
      </c>
      <c r="AK1325">
        <v>0.02</v>
      </c>
      <c r="AL1325">
        <v>16</v>
      </c>
      <c r="AM1325">
        <v>0</v>
      </c>
      <c r="AN1325">
        <v>0</v>
      </c>
      <c r="AO1325">
        <v>0</v>
      </c>
      <c r="AP1325">
        <v>1</v>
      </c>
      <c r="AQ1325">
        <v>0.01</v>
      </c>
      <c r="AX1325">
        <v>7</v>
      </c>
      <c r="AY1325" s="1">
        <v>18</v>
      </c>
      <c r="AZ1325">
        <v>0</v>
      </c>
      <c r="BA1325">
        <v>0</v>
      </c>
      <c r="BB1325">
        <v>1</v>
      </c>
      <c r="BC1325" s="7">
        <v>0.32</v>
      </c>
      <c r="BD1325">
        <v>30</v>
      </c>
      <c r="BE1325">
        <v>0</v>
      </c>
      <c r="BF1325">
        <v>0</v>
      </c>
      <c r="BG1325">
        <v>0</v>
      </c>
      <c r="BH1325">
        <v>5</v>
      </c>
      <c r="BI1325">
        <v>2.4</v>
      </c>
      <c r="BJ1325">
        <v>31</v>
      </c>
      <c r="BK1325">
        <v>0</v>
      </c>
      <c r="BL1325">
        <v>0</v>
      </c>
      <c r="BM1325">
        <v>0</v>
      </c>
      <c r="BN1325">
        <v>5</v>
      </c>
      <c r="BO1325">
        <v>2.4</v>
      </c>
      <c r="BP1325">
        <v>36</v>
      </c>
      <c r="BQ1325">
        <v>0</v>
      </c>
      <c r="BR1325">
        <v>0</v>
      </c>
      <c r="BS1325">
        <v>0</v>
      </c>
      <c r="BT1325">
        <v>5</v>
      </c>
      <c r="BU1325">
        <v>1.7</v>
      </c>
    </row>
    <row r="1326" spans="1:73" ht="14.25" x14ac:dyDescent="0.15">
      <c r="A1326" s="12">
        <v>30123</v>
      </c>
      <c r="B1326">
        <v>7</v>
      </c>
      <c r="C1326" s="1">
        <v>47</v>
      </c>
      <c r="D1326">
        <v>0</v>
      </c>
      <c r="E1326">
        <v>0</v>
      </c>
      <c r="F1326">
        <v>1</v>
      </c>
      <c r="G1326" s="7">
        <v>0.05</v>
      </c>
      <c r="H1326">
        <v>12</v>
      </c>
      <c r="I1326">
        <v>0</v>
      </c>
      <c r="J1326">
        <v>0</v>
      </c>
      <c r="K1326">
        <v>0</v>
      </c>
      <c r="L1326">
        <v>1</v>
      </c>
      <c r="M1326">
        <v>2</v>
      </c>
      <c r="N1326" s="7">
        <v>9</v>
      </c>
      <c r="O1326" s="7">
        <v>0</v>
      </c>
      <c r="P1326" s="7">
        <v>0</v>
      </c>
      <c r="Q1326" s="7">
        <v>0</v>
      </c>
      <c r="R1326" s="7">
        <v>1</v>
      </c>
      <c r="S1326" s="7">
        <v>4.5</v>
      </c>
      <c r="T1326">
        <v>7</v>
      </c>
      <c r="U1326" s="1">
        <v>35</v>
      </c>
      <c r="V1326">
        <v>0</v>
      </c>
      <c r="W1326">
        <v>0</v>
      </c>
      <c r="X1326">
        <v>1</v>
      </c>
      <c r="Y1326">
        <v>0.16</v>
      </c>
      <c r="Z1326">
        <v>23</v>
      </c>
      <c r="AA1326">
        <v>0</v>
      </c>
      <c r="AB1326">
        <v>0</v>
      </c>
      <c r="AC1326">
        <v>0</v>
      </c>
      <c r="AD1326">
        <v>1</v>
      </c>
      <c r="AE1326">
        <v>0.05</v>
      </c>
      <c r="AF1326">
        <v>15</v>
      </c>
      <c r="AG1326">
        <v>0</v>
      </c>
      <c r="AH1326">
        <v>0</v>
      </c>
      <c r="AI1326">
        <v>0</v>
      </c>
      <c r="AJ1326">
        <v>1</v>
      </c>
      <c r="AK1326">
        <v>0.02</v>
      </c>
      <c r="AL1326">
        <v>16</v>
      </c>
      <c r="AM1326">
        <v>0</v>
      </c>
      <c r="AN1326">
        <v>0</v>
      </c>
      <c r="AO1326">
        <v>0</v>
      </c>
      <c r="AP1326">
        <v>1</v>
      </c>
      <c r="AQ1326">
        <v>0.01</v>
      </c>
      <c r="AX1326">
        <v>7</v>
      </c>
      <c r="AY1326" s="1">
        <v>19</v>
      </c>
      <c r="AZ1326">
        <v>0</v>
      </c>
      <c r="BA1326">
        <v>0</v>
      </c>
      <c r="BB1326">
        <v>1</v>
      </c>
      <c r="BC1326" s="7">
        <v>0.32</v>
      </c>
      <c r="BD1326">
        <v>30</v>
      </c>
      <c r="BE1326">
        <v>0</v>
      </c>
      <c r="BF1326">
        <v>0</v>
      </c>
      <c r="BG1326">
        <v>0</v>
      </c>
      <c r="BH1326">
        <v>5</v>
      </c>
      <c r="BI1326">
        <v>2.4</v>
      </c>
      <c r="BJ1326">
        <v>31</v>
      </c>
      <c r="BK1326">
        <v>0</v>
      </c>
      <c r="BL1326">
        <v>0</v>
      </c>
      <c r="BM1326">
        <v>0</v>
      </c>
      <c r="BN1326">
        <v>5</v>
      </c>
      <c r="BO1326">
        <v>2.4</v>
      </c>
      <c r="BP1326">
        <v>36</v>
      </c>
      <c r="BQ1326">
        <v>0</v>
      </c>
      <c r="BR1326">
        <v>0</v>
      </c>
      <c r="BS1326">
        <v>0</v>
      </c>
      <c r="BT1326">
        <v>5</v>
      </c>
      <c r="BU1326">
        <v>1.7</v>
      </c>
    </row>
    <row r="1327" spans="1:73" ht="14.25" x14ac:dyDescent="0.15">
      <c r="A1327" s="12">
        <v>30124</v>
      </c>
      <c r="B1327">
        <v>7</v>
      </c>
      <c r="C1327" s="1">
        <v>48</v>
      </c>
      <c r="D1327">
        <v>0</v>
      </c>
      <c r="E1327">
        <v>0</v>
      </c>
      <c r="F1327">
        <v>1</v>
      </c>
      <c r="G1327" s="7">
        <v>0.05</v>
      </c>
      <c r="H1327">
        <v>12</v>
      </c>
      <c r="I1327">
        <v>0</v>
      </c>
      <c r="J1327">
        <v>0</v>
      </c>
      <c r="K1327">
        <v>0</v>
      </c>
      <c r="L1327">
        <v>1</v>
      </c>
      <c r="M1327">
        <v>2</v>
      </c>
      <c r="N1327" s="7">
        <v>9</v>
      </c>
      <c r="O1327" s="7">
        <v>0</v>
      </c>
      <c r="P1327" s="7">
        <v>0</v>
      </c>
      <c r="Q1327" s="7">
        <v>0</v>
      </c>
      <c r="R1327" s="7">
        <v>1</v>
      </c>
      <c r="S1327" s="7">
        <v>4.5</v>
      </c>
      <c r="T1327">
        <v>7</v>
      </c>
      <c r="U1327" s="1">
        <v>36</v>
      </c>
      <c r="V1327">
        <v>0</v>
      </c>
      <c r="W1327">
        <v>0</v>
      </c>
      <c r="X1327">
        <v>1</v>
      </c>
      <c r="Y1327">
        <v>0.16</v>
      </c>
      <c r="Z1327">
        <v>23</v>
      </c>
      <c r="AA1327">
        <v>0</v>
      </c>
      <c r="AB1327">
        <v>0</v>
      </c>
      <c r="AC1327">
        <v>0</v>
      </c>
      <c r="AD1327">
        <v>1</v>
      </c>
      <c r="AE1327">
        <v>0.05</v>
      </c>
      <c r="AF1327">
        <v>15</v>
      </c>
      <c r="AG1327">
        <v>0</v>
      </c>
      <c r="AH1327">
        <v>0</v>
      </c>
      <c r="AI1327">
        <v>0</v>
      </c>
      <c r="AJ1327">
        <v>1</v>
      </c>
      <c r="AK1327">
        <v>0.02</v>
      </c>
      <c r="AL1327">
        <v>16</v>
      </c>
      <c r="AM1327">
        <v>0</v>
      </c>
      <c r="AN1327">
        <v>0</v>
      </c>
      <c r="AO1327">
        <v>0</v>
      </c>
      <c r="AP1327">
        <v>1</v>
      </c>
      <c r="AQ1327">
        <v>0.01</v>
      </c>
      <c r="AX1327">
        <v>7</v>
      </c>
      <c r="AY1327" s="1">
        <v>20</v>
      </c>
      <c r="AZ1327">
        <v>0</v>
      </c>
      <c r="BA1327">
        <v>0</v>
      </c>
      <c r="BB1327">
        <v>1</v>
      </c>
      <c r="BC1327" s="7">
        <v>0.32</v>
      </c>
      <c r="BD1327">
        <v>30</v>
      </c>
      <c r="BE1327">
        <v>0</v>
      </c>
      <c r="BF1327">
        <v>0</v>
      </c>
      <c r="BG1327">
        <v>0</v>
      </c>
      <c r="BH1327">
        <v>5</v>
      </c>
      <c r="BI1327">
        <v>2.4</v>
      </c>
      <c r="BJ1327">
        <v>31</v>
      </c>
      <c r="BK1327">
        <v>0</v>
      </c>
      <c r="BL1327">
        <v>0</v>
      </c>
      <c r="BM1327">
        <v>0</v>
      </c>
      <c r="BN1327">
        <v>5</v>
      </c>
      <c r="BO1327">
        <v>2.4</v>
      </c>
      <c r="BP1327">
        <v>36</v>
      </c>
      <c r="BQ1327">
        <v>0</v>
      </c>
      <c r="BR1327">
        <v>0</v>
      </c>
      <c r="BS1327">
        <v>0</v>
      </c>
      <c r="BT1327">
        <v>5</v>
      </c>
      <c r="BU1327">
        <v>1.7</v>
      </c>
    </row>
    <row r="1328" spans="1:73" ht="14.25" x14ac:dyDescent="0.15">
      <c r="A1328" s="12">
        <v>30125</v>
      </c>
      <c r="B1328">
        <v>7</v>
      </c>
      <c r="C1328" s="1">
        <v>0</v>
      </c>
      <c r="D1328">
        <v>5</v>
      </c>
      <c r="E1328">
        <v>1</v>
      </c>
      <c r="F1328">
        <v>1</v>
      </c>
      <c r="G1328" s="7">
        <v>0.05</v>
      </c>
      <c r="H1328">
        <v>12</v>
      </c>
      <c r="I1328">
        <v>0</v>
      </c>
      <c r="J1328">
        <v>0</v>
      </c>
      <c r="K1328">
        <v>0</v>
      </c>
      <c r="L1328">
        <v>1</v>
      </c>
      <c r="M1328">
        <v>2</v>
      </c>
      <c r="N1328" s="7">
        <v>9</v>
      </c>
      <c r="O1328" s="7">
        <v>0</v>
      </c>
      <c r="P1328" s="7">
        <v>0</v>
      </c>
      <c r="Q1328" s="7">
        <v>0</v>
      </c>
      <c r="R1328" s="7">
        <v>1</v>
      </c>
      <c r="S1328" s="7">
        <v>4.5</v>
      </c>
      <c r="T1328">
        <v>7</v>
      </c>
      <c r="U1328" s="1">
        <v>0</v>
      </c>
      <c r="V1328">
        <v>4</v>
      </c>
      <c r="W1328">
        <v>2</v>
      </c>
      <c r="X1328">
        <v>1</v>
      </c>
      <c r="Y1328">
        <v>0.16</v>
      </c>
      <c r="Z1328">
        <v>23</v>
      </c>
      <c r="AA1328">
        <v>0</v>
      </c>
      <c r="AB1328">
        <v>0</v>
      </c>
      <c r="AC1328">
        <v>0</v>
      </c>
      <c r="AD1328">
        <v>1</v>
      </c>
      <c r="AE1328">
        <v>0.05</v>
      </c>
      <c r="AF1328">
        <v>15</v>
      </c>
      <c r="AG1328">
        <v>0</v>
      </c>
      <c r="AH1328">
        <v>0</v>
      </c>
      <c r="AI1328">
        <v>0</v>
      </c>
      <c r="AJ1328">
        <v>1</v>
      </c>
      <c r="AK1328">
        <v>0.02</v>
      </c>
      <c r="AL1328">
        <v>16</v>
      </c>
      <c r="AM1328">
        <v>0</v>
      </c>
      <c r="AN1328">
        <v>0</v>
      </c>
      <c r="AO1328">
        <v>0</v>
      </c>
      <c r="AP1328">
        <v>1</v>
      </c>
      <c r="AQ1328">
        <v>0.01</v>
      </c>
      <c r="AR1328">
        <v>6</v>
      </c>
      <c r="AS1328">
        <v>2</v>
      </c>
      <c r="AT1328">
        <v>5</v>
      </c>
      <c r="AU1328">
        <v>5</v>
      </c>
      <c r="AV1328">
        <v>1</v>
      </c>
      <c r="AW1328">
        <v>0.01</v>
      </c>
      <c r="AX1328">
        <v>7</v>
      </c>
      <c r="AY1328" s="1">
        <v>0</v>
      </c>
      <c r="AZ1328">
        <v>3</v>
      </c>
      <c r="BA1328">
        <v>1</v>
      </c>
      <c r="BB1328">
        <v>1</v>
      </c>
      <c r="BC1328" s="7">
        <v>0.32</v>
      </c>
      <c r="BD1328">
        <v>30</v>
      </c>
      <c r="BE1328">
        <v>0</v>
      </c>
      <c r="BF1328">
        <v>0</v>
      </c>
      <c r="BG1328">
        <v>0</v>
      </c>
      <c r="BH1328">
        <v>5</v>
      </c>
      <c r="BI1328">
        <v>2.4</v>
      </c>
      <c r="BJ1328">
        <v>31</v>
      </c>
      <c r="BK1328">
        <v>0</v>
      </c>
      <c r="BL1328">
        <v>0</v>
      </c>
      <c r="BM1328">
        <v>0</v>
      </c>
      <c r="BN1328">
        <v>5</v>
      </c>
      <c r="BO1328">
        <v>2.4</v>
      </c>
      <c r="BP1328">
        <v>36</v>
      </c>
      <c r="BQ1328">
        <v>0</v>
      </c>
      <c r="BR1328">
        <v>0</v>
      </c>
      <c r="BS1328">
        <v>0</v>
      </c>
      <c r="BT1328">
        <v>5</v>
      </c>
      <c r="BU1328">
        <v>1.7</v>
      </c>
    </row>
    <row r="1329" spans="1:73" ht="14.25" x14ac:dyDescent="0.15">
      <c r="A1329" s="12">
        <v>30126</v>
      </c>
      <c r="B1329">
        <v>7</v>
      </c>
      <c r="C1329" s="1">
        <v>45</v>
      </c>
      <c r="D1329">
        <v>0</v>
      </c>
      <c r="E1329">
        <v>0</v>
      </c>
      <c r="F1329">
        <v>1</v>
      </c>
      <c r="G1329" s="7">
        <v>0.05</v>
      </c>
      <c r="H1329">
        <v>12</v>
      </c>
      <c r="I1329">
        <v>0</v>
      </c>
      <c r="J1329">
        <v>0</v>
      </c>
      <c r="K1329">
        <v>0</v>
      </c>
      <c r="L1329">
        <v>1</v>
      </c>
      <c r="M1329">
        <v>2</v>
      </c>
      <c r="N1329" s="7">
        <v>9</v>
      </c>
      <c r="O1329" s="7">
        <v>0</v>
      </c>
      <c r="P1329" s="7">
        <v>0</v>
      </c>
      <c r="Q1329" s="7">
        <v>0</v>
      </c>
      <c r="R1329" s="7">
        <v>1</v>
      </c>
      <c r="S1329" s="7">
        <v>4.5</v>
      </c>
      <c r="T1329">
        <v>7</v>
      </c>
      <c r="U1329" s="1">
        <v>33</v>
      </c>
      <c r="V1329">
        <v>0</v>
      </c>
      <c r="W1329">
        <v>0</v>
      </c>
      <c r="X1329">
        <v>1</v>
      </c>
      <c r="Y1329">
        <v>0.16</v>
      </c>
      <c r="Z1329">
        <v>23</v>
      </c>
      <c r="AA1329">
        <v>0</v>
      </c>
      <c r="AB1329">
        <v>0</v>
      </c>
      <c r="AC1329">
        <v>0</v>
      </c>
      <c r="AD1329">
        <v>1</v>
      </c>
      <c r="AE1329">
        <v>0.05</v>
      </c>
      <c r="AF1329">
        <v>15</v>
      </c>
      <c r="AG1329">
        <v>0</v>
      </c>
      <c r="AH1329">
        <v>0</v>
      </c>
      <c r="AI1329">
        <v>0</v>
      </c>
      <c r="AJ1329">
        <v>1</v>
      </c>
      <c r="AK1329">
        <v>0.02</v>
      </c>
      <c r="AL1329">
        <v>16</v>
      </c>
      <c r="AM1329">
        <v>0</v>
      </c>
      <c r="AN1329">
        <v>0</v>
      </c>
      <c r="AO1329">
        <v>0</v>
      </c>
      <c r="AP1329">
        <v>1</v>
      </c>
      <c r="AQ1329">
        <v>0.01</v>
      </c>
      <c r="AX1329">
        <v>7</v>
      </c>
      <c r="AY1329" s="1">
        <v>17</v>
      </c>
      <c r="AZ1329">
        <v>0</v>
      </c>
      <c r="BA1329">
        <v>0</v>
      </c>
      <c r="BB1329">
        <v>1</v>
      </c>
      <c r="BC1329" s="7">
        <v>0.32</v>
      </c>
      <c r="BD1329">
        <v>30</v>
      </c>
      <c r="BE1329">
        <v>0</v>
      </c>
      <c r="BF1329">
        <v>0</v>
      </c>
      <c r="BG1329">
        <v>0</v>
      </c>
      <c r="BH1329">
        <v>5</v>
      </c>
      <c r="BI1329">
        <v>2.4</v>
      </c>
      <c r="BJ1329">
        <v>31</v>
      </c>
      <c r="BK1329">
        <v>0</v>
      </c>
      <c r="BL1329">
        <v>0</v>
      </c>
      <c r="BM1329">
        <v>0</v>
      </c>
      <c r="BN1329">
        <v>5</v>
      </c>
      <c r="BO1329">
        <v>2.4</v>
      </c>
      <c r="BP1329">
        <v>36</v>
      </c>
      <c r="BQ1329">
        <v>0</v>
      </c>
      <c r="BR1329">
        <v>0</v>
      </c>
      <c r="BS1329">
        <v>0</v>
      </c>
      <c r="BT1329">
        <v>5</v>
      </c>
      <c r="BU1329">
        <v>1.7</v>
      </c>
    </row>
    <row r="1330" spans="1:73" ht="14.25" x14ac:dyDescent="0.15">
      <c r="A1330" s="12">
        <v>30127</v>
      </c>
      <c r="B1330">
        <v>7</v>
      </c>
      <c r="C1330" s="1">
        <v>46</v>
      </c>
      <c r="D1330">
        <v>0</v>
      </c>
      <c r="E1330">
        <v>0</v>
      </c>
      <c r="F1330">
        <v>1</v>
      </c>
      <c r="G1330" s="7">
        <v>0.05</v>
      </c>
      <c r="H1330">
        <v>12</v>
      </c>
      <c r="I1330">
        <v>0</v>
      </c>
      <c r="J1330">
        <v>0</v>
      </c>
      <c r="K1330">
        <v>0</v>
      </c>
      <c r="L1330">
        <v>1</v>
      </c>
      <c r="M1330">
        <v>2</v>
      </c>
      <c r="N1330" s="7">
        <v>9</v>
      </c>
      <c r="O1330" s="7">
        <v>0</v>
      </c>
      <c r="P1330" s="7">
        <v>0</v>
      </c>
      <c r="Q1330" s="7">
        <v>0</v>
      </c>
      <c r="R1330" s="7">
        <v>1</v>
      </c>
      <c r="S1330" s="7">
        <v>4.5</v>
      </c>
      <c r="T1330">
        <v>7</v>
      </c>
      <c r="U1330" s="1">
        <v>34</v>
      </c>
      <c r="V1330">
        <v>0</v>
      </c>
      <c r="W1330">
        <v>0</v>
      </c>
      <c r="X1330">
        <v>1</v>
      </c>
      <c r="Y1330">
        <v>0.16</v>
      </c>
      <c r="Z1330">
        <v>23</v>
      </c>
      <c r="AA1330">
        <v>0</v>
      </c>
      <c r="AB1330">
        <v>0</v>
      </c>
      <c r="AC1330">
        <v>0</v>
      </c>
      <c r="AD1330">
        <v>1</v>
      </c>
      <c r="AE1330">
        <v>0.05</v>
      </c>
      <c r="AF1330">
        <v>15</v>
      </c>
      <c r="AG1330">
        <v>0</v>
      </c>
      <c r="AH1330">
        <v>0</v>
      </c>
      <c r="AI1330">
        <v>0</v>
      </c>
      <c r="AJ1330">
        <v>1</v>
      </c>
      <c r="AK1330">
        <v>0.02</v>
      </c>
      <c r="AL1330">
        <v>16</v>
      </c>
      <c r="AM1330">
        <v>0</v>
      </c>
      <c r="AN1330">
        <v>0</v>
      </c>
      <c r="AO1330">
        <v>0</v>
      </c>
      <c r="AP1330">
        <v>1</v>
      </c>
      <c r="AQ1330">
        <v>0.01</v>
      </c>
      <c r="AX1330">
        <v>7</v>
      </c>
      <c r="AY1330" s="1">
        <v>18</v>
      </c>
      <c r="AZ1330">
        <v>0</v>
      </c>
      <c r="BA1330">
        <v>0</v>
      </c>
      <c r="BB1330">
        <v>1</v>
      </c>
      <c r="BC1330" s="7">
        <v>0.32</v>
      </c>
      <c r="BD1330">
        <v>30</v>
      </c>
      <c r="BE1330">
        <v>0</v>
      </c>
      <c r="BF1330">
        <v>0</v>
      </c>
      <c r="BG1330">
        <v>0</v>
      </c>
      <c r="BH1330">
        <v>5</v>
      </c>
      <c r="BI1330">
        <v>2.4</v>
      </c>
      <c r="BJ1330">
        <v>31</v>
      </c>
      <c r="BK1330">
        <v>0</v>
      </c>
      <c r="BL1330">
        <v>0</v>
      </c>
      <c r="BM1330">
        <v>0</v>
      </c>
      <c r="BN1330">
        <v>5</v>
      </c>
      <c r="BO1330">
        <v>2.4</v>
      </c>
      <c r="BP1330">
        <v>36</v>
      </c>
      <c r="BQ1330">
        <v>0</v>
      </c>
      <c r="BR1330">
        <v>0</v>
      </c>
      <c r="BS1330">
        <v>0</v>
      </c>
      <c r="BT1330">
        <v>5</v>
      </c>
      <c r="BU1330">
        <v>1.7</v>
      </c>
    </row>
    <row r="1331" spans="1:73" ht="14.25" x14ac:dyDescent="0.15">
      <c r="A1331" s="12">
        <v>30128</v>
      </c>
      <c r="B1331">
        <v>7</v>
      </c>
      <c r="C1331" s="1">
        <v>47</v>
      </c>
      <c r="D1331">
        <v>0</v>
      </c>
      <c r="E1331">
        <v>0</v>
      </c>
      <c r="F1331">
        <v>1</v>
      </c>
      <c r="G1331" s="7">
        <v>0.05</v>
      </c>
      <c r="H1331">
        <v>12</v>
      </c>
      <c r="I1331">
        <v>0</v>
      </c>
      <c r="J1331">
        <v>0</v>
      </c>
      <c r="K1331">
        <v>0</v>
      </c>
      <c r="L1331">
        <v>1</v>
      </c>
      <c r="M1331">
        <v>2</v>
      </c>
      <c r="N1331" s="7">
        <v>9</v>
      </c>
      <c r="O1331" s="7">
        <v>0</v>
      </c>
      <c r="P1331" s="7">
        <v>0</v>
      </c>
      <c r="Q1331" s="7">
        <v>0</v>
      </c>
      <c r="R1331" s="7">
        <v>1</v>
      </c>
      <c r="S1331" s="7">
        <v>4.5</v>
      </c>
      <c r="T1331">
        <v>7</v>
      </c>
      <c r="U1331" s="1">
        <v>35</v>
      </c>
      <c r="V1331">
        <v>0</v>
      </c>
      <c r="W1331">
        <v>0</v>
      </c>
      <c r="X1331">
        <v>1</v>
      </c>
      <c r="Y1331">
        <v>0.16</v>
      </c>
      <c r="Z1331">
        <v>23</v>
      </c>
      <c r="AA1331">
        <v>0</v>
      </c>
      <c r="AB1331">
        <v>0</v>
      </c>
      <c r="AC1331">
        <v>0</v>
      </c>
      <c r="AD1331">
        <v>1</v>
      </c>
      <c r="AE1331">
        <v>0.05</v>
      </c>
      <c r="AF1331">
        <v>15</v>
      </c>
      <c r="AG1331">
        <v>0</v>
      </c>
      <c r="AH1331">
        <v>0</v>
      </c>
      <c r="AI1331">
        <v>0</v>
      </c>
      <c r="AJ1331">
        <v>1</v>
      </c>
      <c r="AK1331">
        <v>0.02</v>
      </c>
      <c r="AL1331">
        <v>16</v>
      </c>
      <c r="AM1331">
        <v>0</v>
      </c>
      <c r="AN1331">
        <v>0</v>
      </c>
      <c r="AO1331">
        <v>0</v>
      </c>
      <c r="AP1331">
        <v>1</v>
      </c>
      <c r="AQ1331">
        <v>0.01</v>
      </c>
      <c r="AX1331">
        <v>7</v>
      </c>
      <c r="AY1331" s="1">
        <v>19</v>
      </c>
      <c r="AZ1331">
        <v>0</v>
      </c>
      <c r="BA1331">
        <v>0</v>
      </c>
      <c r="BB1331">
        <v>1</v>
      </c>
      <c r="BC1331" s="7">
        <v>0.32</v>
      </c>
      <c r="BD1331">
        <v>30</v>
      </c>
      <c r="BE1331">
        <v>0</v>
      </c>
      <c r="BF1331">
        <v>0</v>
      </c>
      <c r="BG1331">
        <v>0</v>
      </c>
      <c r="BH1331">
        <v>5</v>
      </c>
      <c r="BI1331">
        <v>2.4</v>
      </c>
      <c r="BJ1331">
        <v>31</v>
      </c>
      <c r="BK1331">
        <v>0</v>
      </c>
      <c r="BL1331">
        <v>0</v>
      </c>
      <c r="BM1331">
        <v>0</v>
      </c>
      <c r="BN1331">
        <v>5</v>
      </c>
      <c r="BO1331">
        <v>2.4</v>
      </c>
      <c r="BP1331">
        <v>36</v>
      </c>
      <c r="BQ1331">
        <v>0</v>
      </c>
      <c r="BR1331">
        <v>0</v>
      </c>
      <c r="BS1331">
        <v>0</v>
      </c>
      <c r="BT1331">
        <v>5</v>
      </c>
      <c r="BU1331">
        <v>1.7</v>
      </c>
    </row>
    <row r="1332" spans="1:73" ht="14.25" x14ac:dyDescent="0.15">
      <c r="A1332" s="12">
        <v>30129</v>
      </c>
      <c r="B1332">
        <v>7</v>
      </c>
      <c r="C1332" s="1">
        <v>48</v>
      </c>
      <c r="D1332">
        <v>0</v>
      </c>
      <c r="E1332">
        <v>0</v>
      </c>
      <c r="F1332">
        <v>1</v>
      </c>
      <c r="G1332" s="7">
        <v>0.05</v>
      </c>
      <c r="H1332">
        <v>12</v>
      </c>
      <c r="I1332">
        <v>0</v>
      </c>
      <c r="J1332">
        <v>0</v>
      </c>
      <c r="K1332">
        <v>0</v>
      </c>
      <c r="L1332">
        <v>1</v>
      </c>
      <c r="M1332">
        <v>2</v>
      </c>
      <c r="N1332" s="7">
        <v>9</v>
      </c>
      <c r="O1332" s="7">
        <v>0</v>
      </c>
      <c r="P1332" s="7">
        <v>0</v>
      </c>
      <c r="Q1332" s="7">
        <v>0</v>
      </c>
      <c r="R1332" s="7">
        <v>1</v>
      </c>
      <c r="S1332" s="7">
        <v>4.5</v>
      </c>
      <c r="T1332">
        <v>7</v>
      </c>
      <c r="U1332" s="1">
        <v>36</v>
      </c>
      <c r="V1332">
        <v>0</v>
      </c>
      <c r="W1332">
        <v>0</v>
      </c>
      <c r="X1332">
        <v>1</v>
      </c>
      <c r="Y1332">
        <v>0.16</v>
      </c>
      <c r="Z1332">
        <v>23</v>
      </c>
      <c r="AA1332">
        <v>0</v>
      </c>
      <c r="AB1332">
        <v>0</v>
      </c>
      <c r="AC1332">
        <v>0</v>
      </c>
      <c r="AD1332">
        <v>1</v>
      </c>
      <c r="AE1332">
        <v>0.05</v>
      </c>
      <c r="AF1332">
        <v>15</v>
      </c>
      <c r="AG1332">
        <v>0</v>
      </c>
      <c r="AH1332">
        <v>0</v>
      </c>
      <c r="AI1332">
        <v>0</v>
      </c>
      <c r="AJ1332">
        <v>1</v>
      </c>
      <c r="AK1332">
        <v>0.02</v>
      </c>
      <c r="AL1332">
        <v>16</v>
      </c>
      <c r="AM1332">
        <v>0</v>
      </c>
      <c r="AN1332">
        <v>0</v>
      </c>
      <c r="AO1332">
        <v>0</v>
      </c>
      <c r="AP1332">
        <v>1</v>
      </c>
      <c r="AQ1332">
        <v>0.01</v>
      </c>
      <c r="AX1332">
        <v>7</v>
      </c>
      <c r="AY1332" s="1">
        <v>20</v>
      </c>
      <c r="AZ1332">
        <v>0</v>
      </c>
      <c r="BA1332">
        <v>0</v>
      </c>
      <c r="BB1332">
        <v>1</v>
      </c>
      <c r="BC1332" s="7">
        <v>0.32</v>
      </c>
      <c r="BD1332">
        <v>30</v>
      </c>
      <c r="BE1332">
        <v>0</v>
      </c>
      <c r="BF1332">
        <v>0</v>
      </c>
      <c r="BG1332">
        <v>0</v>
      </c>
      <c r="BH1332">
        <v>5</v>
      </c>
      <c r="BI1332">
        <v>2.4</v>
      </c>
      <c r="BJ1332">
        <v>31</v>
      </c>
      <c r="BK1332">
        <v>0</v>
      </c>
      <c r="BL1332">
        <v>0</v>
      </c>
      <c r="BM1332">
        <v>0</v>
      </c>
      <c r="BN1332">
        <v>5</v>
      </c>
      <c r="BO1332">
        <v>2.4</v>
      </c>
      <c r="BP1332">
        <v>36</v>
      </c>
      <c r="BQ1332">
        <v>0</v>
      </c>
      <c r="BR1332">
        <v>0</v>
      </c>
      <c r="BS1332">
        <v>0</v>
      </c>
      <c r="BT1332">
        <v>5</v>
      </c>
      <c r="BU1332">
        <v>1.7</v>
      </c>
    </row>
    <row r="1333" spans="1:73" ht="14.25" x14ac:dyDescent="0.15">
      <c r="A1333" s="12">
        <v>30130</v>
      </c>
      <c r="B1333">
        <v>7</v>
      </c>
      <c r="C1333" s="1">
        <v>0</v>
      </c>
      <c r="D1333">
        <v>5</v>
      </c>
      <c r="E1333">
        <v>1</v>
      </c>
      <c r="F1333">
        <v>1</v>
      </c>
      <c r="G1333" s="7">
        <v>0.05</v>
      </c>
      <c r="H1333">
        <v>12</v>
      </c>
      <c r="I1333">
        <v>0</v>
      </c>
      <c r="J1333">
        <v>0</v>
      </c>
      <c r="K1333">
        <v>0</v>
      </c>
      <c r="L1333">
        <v>1</v>
      </c>
      <c r="M1333">
        <v>2</v>
      </c>
      <c r="N1333" s="7">
        <v>9</v>
      </c>
      <c r="O1333" s="7">
        <v>0</v>
      </c>
      <c r="P1333" s="7">
        <v>0</v>
      </c>
      <c r="Q1333" s="7">
        <v>0</v>
      </c>
      <c r="R1333" s="7">
        <v>1</v>
      </c>
      <c r="S1333" s="7">
        <v>4.5</v>
      </c>
      <c r="T1333">
        <v>7</v>
      </c>
      <c r="U1333" s="1">
        <v>0</v>
      </c>
      <c r="V1333">
        <v>4</v>
      </c>
      <c r="W1333">
        <v>2</v>
      </c>
      <c r="X1333">
        <v>1</v>
      </c>
      <c r="Y1333">
        <v>0.16</v>
      </c>
      <c r="Z1333">
        <v>23</v>
      </c>
      <c r="AA1333">
        <v>0</v>
      </c>
      <c r="AB1333">
        <v>0</v>
      </c>
      <c r="AC1333">
        <v>0</v>
      </c>
      <c r="AD1333">
        <v>1</v>
      </c>
      <c r="AE1333">
        <v>0.05</v>
      </c>
      <c r="AF1333">
        <v>15</v>
      </c>
      <c r="AG1333">
        <v>0</v>
      </c>
      <c r="AH1333">
        <v>0</v>
      </c>
      <c r="AI1333">
        <v>0</v>
      </c>
      <c r="AJ1333">
        <v>1</v>
      </c>
      <c r="AK1333">
        <v>0.02</v>
      </c>
      <c r="AL1333">
        <v>16</v>
      </c>
      <c r="AM1333">
        <v>0</v>
      </c>
      <c r="AN1333">
        <v>0</v>
      </c>
      <c r="AO1333">
        <v>0</v>
      </c>
      <c r="AP1333">
        <v>1</v>
      </c>
      <c r="AQ1333">
        <v>0.01</v>
      </c>
      <c r="AR1333">
        <v>6</v>
      </c>
      <c r="AS1333">
        <v>2</v>
      </c>
      <c r="AT1333">
        <v>1</v>
      </c>
      <c r="AU1333">
        <v>5</v>
      </c>
      <c r="AV1333">
        <v>1</v>
      </c>
      <c r="AW1333">
        <v>0.05</v>
      </c>
      <c r="AX1333">
        <v>7</v>
      </c>
      <c r="AY1333" s="1">
        <v>0</v>
      </c>
      <c r="AZ1333">
        <v>3</v>
      </c>
      <c r="BA1333">
        <v>1</v>
      </c>
      <c r="BB1333">
        <v>1</v>
      </c>
      <c r="BC1333" s="7">
        <v>0.32</v>
      </c>
      <c r="BD1333">
        <v>30</v>
      </c>
      <c r="BE1333">
        <v>0</v>
      </c>
      <c r="BF1333">
        <v>0</v>
      </c>
      <c r="BG1333">
        <v>0</v>
      </c>
      <c r="BH1333">
        <v>5</v>
      </c>
      <c r="BI1333">
        <v>2.4</v>
      </c>
      <c r="BJ1333">
        <v>31</v>
      </c>
      <c r="BK1333">
        <v>0</v>
      </c>
      <c r="BL1333">
        <v>0</v>
      </c>
      <c r="BM1333">
        <v>0</v>
      </c>
      <c r="BN1333">
        <v>5</v>
      </c>
      <c r="BO1333">
        <v>2.4</v>
      </c>
      <c r="BP1333">
        <v>36</v>
      </c>
      <c r="BQ1333">
        <v>0</v>
      </c>
      <c r="BR1333">
        <v>0</v>
      </c>
      <c r="BS1333">
        <v>0</v>
      </c>
      <c r="BT1333">
        <v>5</v>
      </c>
      <c r="BU1333">
        <v>1.7</v>
      </c>
    </row>
    <row r="1334" spans="1:73" ht="14.25" x14ac:dyDescent="0.15">
      <c r="A1334" s="12">
        <v>30131</v>
      </c>
      <c r="B1334">
        <v>7</v>
      </c>
      <c r="C1334" s="1">
        <v>45</v>
      </c>
      <c r="D1334">
        <v>0</v>
      </c>
      <c r="E1334">
        <v>0</v>
      </c>
      <c r="F1334">
        <v>1</v>
      </c>
      <c r="G1334" s="7">
        <v>0.05</v>
      </c>
      <c r="H1334">
        <v>12</v>
      </c>
      <c r="I1334">
        <v>0</v>
      </c>
      <c r="J1334">
        <v>0</v>
      </c>
      <c r="K1334">
        <v>0</v>
      </c>
      <c r="L1334">
        <v>1</v>
      </c>
      <c r="M1334">
        <v>2</v>
      </c>
      <c r="N1334" s="7">
        <v>9</v>
      </c>
      <c r="O1334" s="7">
        <v>0</v>
      </c>
      <c r="P1334" s="7">
        <v>0</v>
      </c>
      <c r="Q1334" s="7">
        <v>0</v>
      </c>
      <c r="R1334" s="7">
        <v>1</v>
      </c>
      <c r="S1334" s="7">
        <v>4.5</v>
      </c>
      <c r="T1334">
        <v>7</v>
      </c>
      <c r="U1334" s="1">
        <v>33</v>
      </c>
      <c r="V1334">
        <v>0</v>
      </c>
      <c r="W1334">
        <v>0</v>
      </c>
      <c r="X1334">
        <v>1</v>
      </c>
      <c r="Y1334">
        <v>0.16</v>
      </c>
      <c r="Z1334">
        <v>23</v>
      </c>
      <c r="AA1334">
        <v>0</v>
      </c>
      <c r="AB1334">
        <v>0</v>
      </c>
      <c r="AC1334">
        <v>0</v>
      </c>
      <c r="AD1334">
        <v>1</v>
      </c>
      <c r="AE1334">
        <v>0.05</v>
      </c>
      <c r="AF1334">
        <v>15</v>
      </c>
      <c r="AG1334">
        <v>0</v>
      </c>
      <c r="AH1334">
        <v>0</v>
      </c>
      <c r="AI1334">
        <v>0</v>
      </c>
      <c r="AJ1334">
        <v>1</v>
      </c>
      <c r="AK1334">
        <v>0.02</v>
      </c>
      <c r="AL1334">
        <v>16</v>
      </c>
      <c r="AM1334">
        <v>0</v>
      </c>
      <c r="AN1334">
        <v>0</v>
      </c>
      <c r="AO1334">
        <v>0</v>
      </c>
      <c r="AP1334">
        <v>1</v>
      </c>
      <c r="AQ1334">
        <v>0.01</v>
      </c>
      <c r="AX1334">
        <v>7</v>
      </c>
      <c r="AY1334" s="1">
        <v>17</v>
      </c>
      <c r="AZ1334">
        <v>0</v>
      </c>
      <c r="BA1334">
        <v>0</v>
      </c>
      <c r="BB1334">
        <v>1</v>
      </c>
      <c r="BC1334" s="7">
        <v>0.32</v>
      </c>
      <c r="BD1334">
        <v>30</v>
      </c>
      <c r="BE1334">
        <v>0</v>
      </c>
      <c r="BF1334">
        <v>0</v>
      </c>
      <c r="BG1334">
        <v>0</v>
      </c>
      <c r="BH1334">
        <v>5</v>
      </c>
      <c r="BI1334">
        <v>2.4</v>
      </c>
      <c r="BJ1334">
        <v>31</v>
      </c>
      <c r="BK1334">
        <v>0</v>
      </c>
      <c r="BL1334">
        <v>0</v>
      </c>
      <c r="BM1334">
        <v>0</v>
      </c>
      <c r="BN1334">
        <v>5</v>
      </c>
      <c r="BO1334">
        <v>2.4</v>
      </c>
      <c r="BP1334">
        <v>36</v>
      </c>
      <c r="BQ1334">
        <v>0</v>
      </c>
      <c r="BR1334">
        <v>0</v>
      </c>
      <c r="BS1334">
        <v>0</v>
      </c>
      <c r="BT1334">
        <v>5</v>
      </c>
      <c r="BU1334">
        <v>1.7</v>
      </c>
    </row>
    <row r="1335" spans="1:73" ht="14.25" x14ac:dyDescent="0.15">
      <c r="A1335" s="12">
        <v>30132</v>
      </c>
      <c r="B1335">
        <v>7</v>
      </c>
      <c r="C1335" s="1">
        <v>46</v>
      </c>
      <c r="D1335">
        <v>0</v>
      </c>
      <c r="E1335">
        <v>0</v>
      </c>
      <c r="F1335">
        <v>1</v>
      </c>
      <c r="G1335" s="7">
        <v>0.05</v>
      </c>
      <c r="H1335">
        <v>12</v>
      </c>
      <c r="I1335">
        <v>0</v>
      </c>
      <c r="J1335">
        <v>0</v>
      </c>
      <c r="K1335">
        <v>0</v>
      </c>
      <c r="L1335">
        <v>1</v>
      </c>
      <c r="M1335">
        <v>2</v>
      </c>
      <c r="N1335" s="7">
        <v>9</v>
      </c>
      <c r="O1335" s="7">
        <v>0</v>
      </c>
      <c r="P1335" s="7">
        <v>0</v>
      </c>
      <c r="Q1335" s="7">
        <v>0</v>
      </c>
      <c r="R1335" s="7">
        <v>1</v>
      </c>
      <c r="S1335" s="7">
        <v>4.5</v>
      </c>
      <c r="T1335">
        <v>7</v>
      </c>
      <c r="U1335" s="1">
        <v>34</v>
      </c>
      <c r="V1335">
        <v>0</v>
      </c>
      <c r="W1335">
        <v>0</v>
      </c>
      <c r="X1335">
        <v>1</v>
      </c>
      <c r="Y1335">
        <v>0.16</v>
      </c>
      <c r="Z1335">
        <v>23</v>
      </c>
      <c r="AA1335">
        <v>0</v>
      </c>
      <c r="AB1335">
        <v>0</v>
      </c>
      <c r="AC1335">
        <v>0</v>
      </c>
      <c r="AD1335">
        <v>1</v>
      </c>
      <c r="AE1335">
        <v>0.05</v>
      </c>
      <c r="AF1335">
        <v>15</v>
      </c>
      <c r="AG1335">
        <v>0</v>
      </c>
      <c r="AH1335">
        <v>0</v>
      </c>
      <c r="AI1335">
        <v>0</v>
      </c>
      <c r="AJ1335">
        <v>1</v>
      </c>
      <c r="AK1335">
        <v>0.02</v>
      </c>
      <c r="AL1335">
        <v>16</v>
      </c>
      <c r="AM1335">
        <v>0</v>
      </c>
      <c r="AN1335">
        <v>0</v>
      </c>
      <c r="AO1335">
        <v>0</v>
      </c>
      <c r="AP1335">
        <v>1</v>
      </c>
      <c r="AQ1335">
        <v>0.01</v>
      </c>
      <c r="AX1335">
        <v>7</v>
      </c>
      <c r="AY1335" s="1">
        <v>18</v>
      </c>
      <c r="AZ1335">
        <v>0</v>
      </c>
      <c r="BA1335">
        <v>0</v>
      </c>
      <c r="BB1335">
        <v>1</v>
      </c>
      <c r="BC1335" s="7">
        <v>0.32</v>
      </c>
      <c r="BD1335">
        <v>30</v>
      </c>
      <c r="BE1335">
        <v>0</v>
      </c>
      <c r="BF1335">
        <v>0</v>
      </c>
      <c r="BG1335">
        <v>0</v>
      </c>
      <c r="BH1335">
        <v>5</v>
      </c>
      <c r="BI1335">
        <v>2.4</v>
      </c>
      <c r="BJ1335">
        <v>31</v>
      </c>
      <c r="BK1335">
        <v>0</v>
      </c>
      <c r="BL1335">
        <v>0</v>
      </c>
      <c r="BM1335">
        <v>0</v>
      </c>
      <c r="BN1335">
        <v>5</v>
      </c>
      <c r="BO1335">
        <v>2.4</v>
      </c>
      <c r="BP1335">
        <v>36</v>
      </c>
      <c r="BQ1335">
        <v>0</v>
      </c>
      <c r="BR1335">
        <v>0</v>
      </c>
      <c r="BS1335">
        <v>0</v>
      </c>
      <c r="BT1335">
        <v>5</v>
      </c>
      <c r="BU1335">
        <v>1.7</v>
      </c>
    </row>
    <row r="1336" spans="1:73" ht="14.25" x14ac:dyDescent="0.15">
      <c r="A1336" s="12">
        <v>30133</v>
      </c>
      <c r="B1336">
        <v>7</v>
      </c>
      <c r="C1336" s="1">
        <v>47</v>
      </c>
      <c r="D1336">
        <v>0</v>
      </c>
      <c r="E1336">
        <v>0</v>
      </c>
      <c r="F1336">
        <v>1</v>
      </c>
      <c r="G1336" s="7">
        <v>0.05</v>
      </c>
      <c r="H1336">
        <v>12</v>
      </c>
      <c r="I1336">
        <v>0</v>
      </c>
      <c r="J1336">
        <v>0</v>
      </c>
      <c r="K1336">
        <v>0</v>
      </c>
      <c r="L1336">
        <v>1</v>
      </c>
      <c r="M1336">
        <v>2</v>
      </c>
      <c r="N1336" s="7">
        <v>9</v>
      </c>
      <c r="O1336" s="7">
        <v>0</v>
      </c>
      <c r="P1336" s="7">
        <v>0</v>
      </c>
      <c r="Q1336" s="7">
        <v>0</v>
      </c>
      <c r="R1336" s="7">
        <v>1</v>
      </c>
      <c r="S1336" s="7">
        <v>4.5</v>
      </c>
      <c r="T1336">
        <v>7</v>
      </c>
      <c r="U1336" s="1">
        <v>35</v>
      </c>
      <c r="V1336">
        <v>0</v>
      </c>
      <c r="W1336">
        <v>0</v>
      </c>
      <c r="X1336">
        <v>1</v>
      </c>
      <c r="Y1336">
        <v>0.16</v>
      </c>
      <c r="Z1336">
        <v>23</v>
      </c>
      <c r="AA1336">
        <v>0</v>
      </c>
      <c r="AB1336">
        <v>0</v>
      </c>
      <c r="AC1336">
        <v>0</v>
      </c>
      <c r="AD1336">
        <v>1</v>
      </c>
      <c r="AE1336">
        <v>0.05</v>
      </c>
      <c r="AF1336">
        <v>15</v>
      </c>
      <c r="AG1336">
        <v>0</v>
      </c>
      <c r="AH1336">
        <v>0</v>
      </c>
      <c r="AI1336">
        <v>0</v>
      </c>
      <c r="AJ1336">
        <v>1</v>
      </c>
      <c r="AK1336">
        <v>0.02</v>
      </c>
      <c r="AL1336">
        <v>16</v>
      </c>
      <c r="AM1336">
        <v>0</v>
      </c>
      <c r="AN1336">
        <v>0</v>
      </c>
      <c r="AO1336">
        <v>0</v>
      </c>
      <c r="AP1336">
        <v>1</v>
      </c>
      <c r="AQ1336">
        <v>0.01</v>
      </c>
      <c r="AX1336">
        <v>7</v>
      </c>
      <c r="AY1336" s="1">
        <v>19</v>
      </c>
      <c r="AZ1336">
        <v>0</v>
      </c>
      <c r="BA1336">
        <v>0</v>
      </c>
      <c r="BB1336">
        <v>1</v>
      </c>
      <c r="BC1336" s="7">
        <v>0.32</v>
      </c>
      <c r="BD1336">
        <v>30</v>
      </c>
      <c r="BE1336">
        <v>0</v>
      </c>
      <c r="BF1336">
        <v>0</v>
      </c>
      <c r="BG1336">
        <v>0</v>
      </c>
      <c r="BH1336">
        <v>5</v>
      </c>
      <c r="BI1336">
        <v>2.4</v>
      </c>
      <c r="BJ1336">
        <v>31</v>
      </c>
      <c r="BK1336">
        <v>0</v>
      </c>
      <c r="BL1336">
        <v>0</v>
      </c>
      <c r="BM1336">
        <v>0</v>
      </c>
      <c r="BN1336">
        <v>5</v>
      </c>
      <c r="BO1336">
        <v>2.4</v>
      </c>
      <c r="BP1336">
        <v>36</v>
      </c>
      <c r="BQ1336">
        <v>0</v>
      </c>
      <c r="BR1336">
        <v>0</v>
      </c>
      <c r="BS1336">
        <v>0</v>
      </c>
      <c r="BT1336">
        <v>5</v>
      </c>
      <c r="BU1336">
        <v>1.7</v>
      </c>
    </row>
    <row r="1337" spans="1:73" ht="14.25" x14ac:dyDescent="0.15">
      <c r="A1337" s="12">
        <v>30134</v>
      </c>
      <c r="B1337">
        <v>7</v>
      </c>
      <c r="C1337" s="1">
        <v>48</v>
      </c>
      <c r="D1337">
        <v>0</v>
      </c>
      <c r="E1337">
        <v>0</v>
      </c>
      <c r="F1337">
        <v>1</v>
      </c>
      <c r="G1337" s="7">
        <v>0.05</v>
      </c>
      <c r="H1337">
        <v>12</v>
      </c>
      <c r="I1337">
        <v>0</v>
      </c>
      <c r="J1337">
        <v>0</v>
      </c>
      <c r="K1337">
        <v>0</v>
      </c>
      <c r="L1337">
        <v>1</v>
      </c>
      <c r="M1337">
        <v>2</v>
      </c>
      <c r="N1337" s="7">
        <v>9</v>
      </c>
      <c r="O1337" s="7">
        <v>0</v>
      </c>
      <c r="P1337" s="7">
        <v>0</v>
      </c>
      <c r="Q1337" s="7">
        <v>0</v>
      </c>
      <c r="R1337" s="7">
        <v>1</v>
      </c>
      <c r="S1337" s="7">
        <v>4.5</v>
      </c>
      <c r="T1337">
        <v>7</v>
      </c>
      <c r="U1337" s="1">
        <v>36</v>
      </c>
      <c r="V1337">
        <v>0</v>
      </c>
      <c r="W1337">
        <v>0</v>
      </c>
      <c r="X1337">
        <v>1</v>
      </c>
      <c r="Y1337">
        <v>0.16</v>
      </c>
      <c r="Z1337">
        <v>23</v>
      </c>
      <c r="AA1337">
        <v>0</v>
      </c>
      <c r="AB1337">
        <v>0</v>
      </c>
      <c r="AC1337">
        <v>0</v>
      </c>
      <c r="AD1337">
        <v>1</v>
      </c>
      <c r="AE1337">
        <v>0.05</v>
      </c>
      <c r="AF1337">
        <v>15</v>
      </c>
      <c r="AG1337">
        <v>0</v>
      </c>
      <c r="AH1337">
        <v>0</v>
      </c>
      <c r="AI1337">
        <v>0</v>
      </c>
      <c r="AJ1337">
        <v>1</v>
      </c>
      <c r="AK1337">
        <v>0.02</v>
      </c>
      <c r="AL1337">
        <v>16</v>
      </c>
      <c r="AM1337">
        <v>0</v>
      </c>
      <c r="AN1337">
        <v>0</v>
      </c>
      <c r="AO1337">
        <v>0</v>
      </c>
      <c r="AP1337">
        <v>1</v>
      </c>
      <c r="AQ1337">
        <v>0.01</v>
      </c>
      <c r="AX1337">
        <v>7</v>
      </c>
      <c r="AY1337" s="1">
        <v>20</v>
      </c>
      <c r="AZ1337">
        <v>0</v>
      </c>
      <c r="BA1337">
        <v>0</v>
      </c>
      <c r="BB1337">
        <v>1</v>
      </c>
      <c r="BC1337" s="7">
        <v>0.32</v>
      </c>
      <c r="BD1337">
        <v>30</v>
      </c>
      <c r="BE1337">
        <v>0</v>
      </c>
      <c r="BF1337">
        <v>0</v>
      </c>
      <c r="BG1337">
        <v>0</v>
      </c>
      <c r="BH1337">
        <v>5</v>
      </c>
      <c r="BI1337">
        <v>2.4</v>
      </c>
      <c r="BJ1337">
        <v>31</v>
      </c>
      <c r="BK1337">
        <v>0</v>
      </c>
      <c r="BL1337">
        <v>0</v>
      </c>
      <c r="BM1337">
        <v>0</v>
      </c>
      <c r="BN1337">
        <v>5</v>
      </c>
      <c r="BO1337">
        <v>2.4</v>
      </c>
      <c r="BP1337">
        <v>36</v>
      </c>
      <c r="BQ1337">
        <v>0</v>
      </c>
      <c r="BR1337">
        <v>0</v>
      </c>
      <c r="BS1337">
        <v>0</v>
      </c>
      <c r="BT1337">
        <v>5</v>
      </c>
      <c r="BU1337">
        <v>1.7</v>
      </c>
    </row>
    <row r="1338" spans="1:73" ht="14.25" x14ac:dyDescent="0.15">
      <c r="A1338" s="12">
        <v>30135</v>
      </c>
      <c r="B1338">
        <v>7</v>
      </c>
      <c r="C1338" s="1">
        <v>0</v>
      </c>
      <c r="D1338">
        <v>5</v>
      </c>
      <c r="E1338">
        <v>1</v>
      </c>
      <c r="F1338">
        <v>1</v>
      </c>
      <c r="G1338" s="7">
        <v>0.05</v>
      </c>
      <c r="H1338">
        <v>12</v>
      </c>
      <c r="I1338">
        <v>0</v>
      </c>
      <c r="J1338">
        <v>0</v>
      </c>
      <c r="K1338">
        <v>0</v>
      </c>
      <c r="L1338">
        <v>1</v>
      </c>
      <c r="M1338">
        <v>2</v>
      </c>
      <c r="N1338" s="7">
        <v>9</v>
      </c>
      <c r="O1338" s="7">
        <v>0</v>
      </c>
      <c r="P1338" s="7">
        <v>0</v>
      </c>
      <c r="Q1338" s="7">
        <v>0</v>
      </c>
      <c r="R1338" s="7">
        <v>1</v>
      </c>
      <c r="S1338" s="7">
        <v>4.5</v>
      </c>
      <c r="T1338">
        <v>7</v>
      </c>
      <c r="U1338" s="1">
        <v>0</v>
      </c>
      <c r="V1338">
        <v>4</v>
      </c>
      <c r="W1338">
        <v>2</v>
      </c>
      <c r="X1338">
        <v>1</v>
      </c>
      <c r="Y1338">
        <v>0.16</v>
      </c>
      <c r="Z1338">
        <v>23</v>
      </c>
      <c r="AA1338">
        <v>0</v>
      </c>
      <c r="AB1338">
        <v>0</v>
      </c>
      <c r="AC1338">
        <v>0</v>
      </c>
      <c r="AD1338">
        <v>1</v>
      </c>
      <c r="AE1338">
        <v>0.05</v>
      </c>
      <c r="AF1338">
        <v>15</v>
      </c>
      <c r="AG1338">
        <v>0</v>
      </c>
      <c r="AH1338">
        <v>0</v>
      </c>
      <c r="AI1338">
        <v>0</v>
      </c>
      <c r="AJ1338">
        <v>1</v>
      </c>
      <c r="AK1338">
        <v>0.02</v>
      </c>
      <c r="AL1338">
        <v>16</v>
      </c>
      <c r="AM1338">
        <v>0</v>
      </c>
      <c r="AN1338">
        <v>0</v>
      </c>
      <c r="AO1338">
        <v>0</v>
      </c>
      <c r="AP1338">
        <v>1</v>
      </c>
      <c r="AQ1338">
        <v>0.01</v>
      </c>
      <c r="AR1338">
        <v>6</v>
      </c>
      <c r="AS1338">
        <v>2</v>
      </c>
      <c r="AT1338">
        <v>2</v>
      </c>
      <c r="AU1338">
        <v>5</v>
      </c>
      <c r="AV1338">
        <v>1</v>
      </c>
      <c r="AW1338">
        <v>0.05</v>
      </c>
      <c r="AX1338">
        <v>7</v>
      </c>
      <c r="AY1338" s="1">
        <v>0</v>
      </c>
      <c r="AZ1338">
        <v>3</v>
      </c>
      <c r="BA1338">
        <v>1</v>
      </c>
      <c r="BB1338">
        <v>1</v>
      </c>
      <c r="BC1338" s="7">
        <v>0.32</v>
      </c>
      <c r="BD1338">
        <v>30</v>
      </c>
      <c r="BE1338">
        <v>0</v>
      </c>
      <c r="BF1338">
        <v>0</v>
      </c>
      <c r="BG1338">
        <v>0</v>
      </c>
      <c r="BH1338">
        <v>5</v>
      </c>
      <c r="BI1338">
        <v>2.4</v>
      </c>
      <c r="BJ1338">
        <v>31</v>
      </c>
      <c r="BK1338">
        <v>0</v>
      </c>
      <c r="BL1338">
        <v>0</v>
      </c>
      <c r="BM1338">
        <v>0</v>
      </c>
      <c r="BN1338">
        <v>5</v>
      </c>
      <c r="BO1338">
        <v>2.4</v>
      </c>
      <c r="BP1338">
        <v>36</v>
      </c>
      <c r="BQ1338">
        <v>0</v>
      </c>
      <c r="BR1338">
        <v>0</v>
      </c>
      <c r="BS1338">
        <v>0</v>
      </c>
      <c r="BT1338">
        <v>5</v>
      </c>
      <c r="BU1338">
        <v>1.7</v>
      </c>
    </row>
    <row r="1339" spans="1:73" ht="14.25" x14ac:dyDescent="0.15">
      <c r="A1339" s="12">
        <v>30136</v>
      </c>
      <c r="B1339">
        <v>7</v>
      </c>
      <c r="C1339" s="1">
        <v>45</v>
      </c>
      <c r="D1339">
        <v>0</v>
      </c>
      <c r="E1339">
        <v>0</v>
      </c>
      <c r="F1339">
        <v>1</v>
      </c>
      <c r="G1339" s="7">
        <v>0.05</v>
      </c>
      <c r="H1339">
        <v>12</v>
      </c>
      <c r="I1339">
        <v>0</v>
      </c>
      <c r="J1339">
        <v>0</v>
      </c>
      <c r="K1339">
        <v>0</v>
      </c>
      <c r="L1339">
        <v>1</v>
      </c>
      <c r="M1339">
        <v>2</v>
      </c>
      <c r="N1339" s="7">
        <v>9</v>
      </c>
      <c r="O1339" s="7">
        <v>0</v>
      </c>
      <c r="P1339" s="7">
        <v>0</v>
      </c>
      <c r="Q1339" s="7">
        <v>0</v>
      </c>
      <c r="R1339" s="7">
        <v>1</v>
      </c>
      <c r="S1339" s="7">
        <v>4.5</v>
      </c>
      <c r="T1339">
        <v>7</v>
      </c>
      <c r="U1339" s="1">
        <v>33</v>
      </c>
      <c r="V1339">
        <v>0</v>
      </c>
      <c r="W1339">
        <v>0</v>
      </c>
      <c r="X1339">
        <v>1</v>
      </c>
      <c r="Y1339">
        <v>0.16</v>
      </c>
      <c r="Z1339">
        <v>23</v>
      </c>
      <c r="AA1339">
        <v>0</v>
      </c>
      <c r="AB1339">
        <v>0</v>
      </c>
      <c r="AC1339">
        <v>0</v>
      </c>
      <c r="AD1339">
        <v>1</v>
      </c>
      <c r="AE1339">
        <v>0.05</v>
      </c>
      <c r="AF1339">
        <v>15</v>
      </c>
      <c r="AG1339">
        <v>0</v>
      </c>
      <c r="AH1339">
        <v>0</v>
      </c>
      <c r="AI1339">
        <v>0</v>
      </c>
      <c r="AJ1339">
        <v>1</v>
      </c>
      <c r="AK1339">
        <v>0.02</v>
      </c>
      <c r="AL1339">
        <v>16</v>
      </c>
      <c r="AM1339">
        <v>0</v>
      </c>
      <c r="AN1339">
        <v>0</v>
      </c>
      <c r="AO1339">
        <v>0</v>
      </c>
      <c r="AP1339">
        <v>1</v>
      </c>
      <c r="AQ1339">
        <v>0.01</v>
      </c>
      <c r="AX1339">
        <v>7</v>
      </c>
      <c r="AY1339" s="1">
        <v>17</v>
      </c>
      <c r="AZ1339">
        <v>0</v>
      </c>
      <c r="BA1339">
        <v>0</v>
      </c>
      <c r="BB1339">
        <v>1</v>
      </c>
      <c r="BC1339" s="7">
        <v>0.32</v>
      </c>
      <c r="BD1339">
        <v>30</v>
      </c>
      <c r="BE1339">
        <v>0</v>
      </c>
      <c r="BF1339">
        <v>0</v>
      </c>
      <c r="BG1339">
        <v>0</v>
      </c>
      <c r="BH1339">
        <v>5</v>
      </c>
      <c r="BI1339">
        <v>2.4</v>
      </c>
      <c r="BJ1339">
        <v>31</v>
      </c>
      <c r="BK1339">
        <v>0</v>
      </c>
      <c r="BL1339">
        <v>0</v>
      </c>
      <c r="BM1339">
        <v>0</v>
      </c>
      <c r="BN1339">
        <v>5</v>
      </c>
      <c r="BO1339">
        <v>2.4</v>
      </c>
      <c r="BP1339">
        <v>36</v>
      </c>
      <c r="BQ1339">
        <v>0</v>
      </c>
      <c r="BR1339">
        <v>0</v>
      </c>
      <c r="BS1339">
        <v>0</v>
      </c>
      <c r="BT1339">
        <v>5</v>
      </c>
      <c r="BU1339">
        <v>1.7</v>
      </c>
    </row>
    <row r="1340" spans="1:73" ht="14.25" x14ac:dyDescent="0.15">
      <c r="A1340" s="12">
        <v>30137</v>
      </c>
      <c r="B1340">
        <v>7</v>
      </c>
      <c r="C1340" s="1">
        <v>46</v>
      </c>
      <c r="D1340">
        <v>0</v>
      </c>
      <c r="E1340">
        <v>0</v>
      </c>
      <c r="F1340">
        <v>1</v>
      </c>
      <c r="G1340" s="7">
        <v>0.05</v>
      </c>
      <c r="H1340">
        <v>12</v>
      </c>
      <c r="I1340">
        <v>0</v>
      </c>
      <c r="J1340">
        <v>0</v>
      </c>
      <c r="K1340">
        <v>0</v>
      </c>
      <c r="L1340">
        <v>1</v>
      </c>
      <c r="M1340">
        <v>2</v>
      </c>
      <c r="N1340" s="7">
        <v>9</v>
      </c>
      <c r="O1340" s="7">
        <v>0</v>
      </c>
      <c r="P1340" s="7">
        <v>0</v>
      </c>
      <c r="Q1340" s="7">
        <v>0</v>
      </c>
      <c r="R1340" s="7">
        <v>1</v>
      </c>
      <c r="S1340" s="7">
        <v>4.5</v>
      </c>
      <c r="T1340">
        <v>7</v>
      </c>
      <c r="U1340" s="1">
        <v>34</v>
      </c>
      <c r="V1340">
        <v>0</v>
      </c>
      <c r="W1340">
        <v>0</v>
      </c>
      <c r="X1340">
        <v>1</v>
      </c>
      <c r="Y1340">
        <v>0.16</v>
      </c>
      <c r="Z1340">
        <v>23</v>
      </c>
      <c r="AA1340">
        <v>0</v>
      </c>
      <c r="AB1340">
        <v>0</v>
      </c>
      <c r="AC1340">
        <v>0</v>
      </c>
      <c r="AD1340">
        <v>1</v>
      </c>
      <c r="AE1340">
        <v>0.05</v>
      </c>
      <c r="AF1340">
        <v>15</v>
      </c>
      <c r="AG1340">
        <v>0</v>
      </c>
      <c r="AH1340">
        <v>0</v>
      </c>
      <c r="AI1340">
        <v>0</v>
      </c>
      <c r="AJ1340">
        <v>1</v>
      </c>
      <c r="AK1340">
        <v>0.02</v>
      </c>
      <c r="AL1340">
        <v>16</v>
      </c>
      <c r="AM1340">
        <v>0</v>
      </c>
      <c r="AN1340">
        <v>0</v>
      </c>
      <c r="AO1340">
        <v>0</v>
      </c>
      <c r="AP1340">
        <v>1</v>
      </c>
      <c r="AQ1340">
        <v>0.01</v>
      </c>
      <c r="AX1340">
        <v>7</v>
      </c>
      <c r="AY1340" s="1">
        <v>18</v>
      </c>
      <c r="AZ1340">
        <v>0</v>
      </c>
      <c r="BA1340">
        <v>0</v>
      </c>
      <c r="BB1340">
        <v>1</v>
      </c>
      <c r="BC1340" s="7">
        <v>0.32</v>
      </c>
      <c r="BD1340">
        <v>30</v>
      </c>
      <c r="BE1340">
        <v>0</v>
      </c>
      <c r="BF1340">
        <v>0</v>
      </c>
      <c r="BG1340">
        <v>0</v>
      </c>
      <c r="BH1340">
        <v>5</v>
      </c>
      <c r="BI1340">
        <v>2.4</v>
      </c>
      <c r="BJ1340">
        <v>31</v>
      </c>
      <c r="BK1340">
        <v>0</v>
      </c>
      <c r="BL1340">
        <v>0</v>
      </c>
      <c r="BM1340">
        <v>0</v>
      </c>
      <c r="BN1340">
        <v>5</v>
      </c>
      <c r="BO1340">
        <v>2.4</v>
      </c>
      <c r="BP1340">
        <v>36</v>
      </c>
      <c r="BQ1340">
        <v>0</v>
      </c>
      <c r="BR1340">
        <v>0</v>
      </c>
      <c r="BS1340">
        <v>0</v>
      </c>
      <c r="BT1340">
        <v>5</v>
      </c>
      <c r="BU1340">
        <v>1.7</v>
      </c>
    </row>
    <row r="1341" spans="1:73" ht="14.25" x14ac:dyDescent="0.15">
      <c r="A1341" s="12">
        <v>30138</v>
      </c>
      <c r="B1341">
        <v>7</v>
      </c>
      <c r="C1341" s="1">
        <v>47</v>
      </c>
      <c r="D1341">
        <v>0</v>
      </c>
      <c r="E1341">
        <v>0</v>
      </c>
      <c r="F1341">
        <v>1</v>
      </c>
      <c r="G1341" s="7">
        <v>0.05</v>
      </c>
      <c r="H1341">
        <v>12</v>
      </c>
      <c r="I1341">
        <v>0</v>
      </c>
      <c r="J1341">
        <v>0</v>
      </c>
      <c r="K1341">
        <v>0</v>
      </c>
      <c r="L1341">
        <v>1</v>
      </c>
      <c r="M1341">
        <v>2</v>
      </c>
      <c r="N1341" s="7">
        <v>9</v>
      </c>
      <c r="O1341" s="7">
        <v>0</v>
      </c>
      <c r="P1341" s="7">
        <v>0</v>
      </c>
      <c r="Q1341" s="7">
        <v>0</v>
      </c>
      <c r="R1341" s="7">
        <v>1</v>
      </c>
      <c r="S1341" s="7">
        <v>4.5</v>
      </c>
      <c r="T1341">
        <v>7</v>
      </c>
      <c r="U1341" s="1">
        <v>35</v>
      </c>
      <c r="V1341">
        <v>0</v>
      </c>
      <c r="W1341">
        <v>0</v>
      </c>
      <c r="X1341">
        <v>1</v>
      </c>
      <c r="Y1341">
        <v>0.16</v>
      </c>
      <c r="Z1341">
        <v>23</v>
      </c>
      <c r="AA1341">
        <v>0</v>
      </c>
      <c r="AB1341">
        <v>0</v>
      </c>
      <c r="AC1341">
        <v>0</v>
      </c>
      <c r="AD1341">
        <v>1</v>
      </c>
      <c r="AE1341">
        <v>0.05</v>
      </c>
      <c r="AF1341">
        <v>15</v>
      </c>
      <c r="AG1341">
        <v>0</v>
      </c>
      <c r="AH1341">
        <v>0</v>
      </c>
      <c r="AI1341">
        <v>0</v>
      </c>
      <c r="AJ1341">
        <v>1</v>
      </c>
      <c r="AK1341">
        <v>0.02</v>
      </c>
      <c r="AL1341">
        <v>16</v>
      </c>
      <c r="AM1341">
        <v>0</v>
      </c>
      <c r="AN1341">
        <v>0</v>
      </c>
      <c r="AO1341">
        <v>0</v>
      </c>
      <c r="AP1341">
        <v>1</v>
      </c>
      <c r="AQ1341">
        <v>0.01</v>
      </c>
      <c r="AX1341">
        <v>7</v>
      </c>
      <c r="AY1341" s="1">
        <v>19</v>
      </c>
      <c r="AZ1341">
        <v>0</v>
      </c>
      <c r="BA1341">
        <v>0</v>
      </c>
      <c r="BB1341">
        <v>1</v>
      </c>
      <c r="BC1341" s="7">
        <v>0.32</v>
      </c>
      <c r="BD1341">
        <v>30</v>
      </c>
      <c r="BE1341">
        <v>0</v>
      </c>
      <c r="BF1341">
        <v>0</v>
      </c>
      <c r="BG1341">
        <v>0</v>
      </c>
      <c r="BH1341">
        <v>5</v>
      </c>
      <c r="BI1341">
        <v>2.4</v>
      </c>
      <c r="BJ1341">
        <v>31</v>
      </c>
      <c r="BK1341">
        <v>0</v>
      </c>
      <c r="BL1341">
        <v>0</v>
      </c>
      <c r="BM1341">
        <v>0</v>
      </c>
      <c r="BN1341">
        <v>5</v>
      </c>
      <c r="BO1341">
        <v>2.4</v>
      </c>
      <c r="BP1341">
        <v>36</v>
      </c>
      <c r="BQ1341">
        <v>0</v>
      </c>
      <c r="BR1341">
        <v>0</v>
      </c>
      <c r="BS1341">
        <v>0</v>
      </c>
      <c r="BT1341">
        <v>5</v>
      </c>
      <c r="BU1341">
        <v>1.7</v>
      </c>
    </row>
    <row r="1342" spans="1:73" ht="14.25" x14ac:dyDescent="0.15">
      <c r="A1342" s="12">
        <v>30139</v>
      </c>
      <c r="B1342">
        <v>7</v>
      </c>
      <c r="C1342" s="1">
        <v>48</v>
      </c>
      <c r="D1342">
        <v>0</v>
      </c>
      <c r="E1342">
        <v>0</v>
      </c>
      <c r="F1342">
        <v>1</v>
      </c>
      <c r="G1342" s="7">
        <v>0.05</v>
      </c>
      <c r="H1342">
        <v>12</v>
      </c>
      <c r="I1342">
        <v>0</v>
      </c>
      <c r="J1342">
        <v>0</v>
      </c>
      <c r="K1342">
        <v>0</v>
      </c>
      <c r="L1342">
        <v>1</v>
      </c>
      <c r="M1342">
        <v>2</v>
      </c>
      <c r="N1342" s="7">
        <v>9</v>
      </c>
      <c r="O1342" s="7">
        <v>0</v>
      </c>
      <c r="P1342" s="7">
        <v>0</v>
      </c>
      <c r="Q1342" s="7">
        <v>0</v>
      </c>
      <c r="R1342" s="7">
        <v>1</v>
      </c>
      <c r="S1342" s="7">
        <v>4.5</v>
      </c>
      <c r="T1342">
        <v>7</v>
      </c>
      <c r="U1342" s="1">
        <v>36</v>
      </c>
      <c r="V1342">
        <v>0</v>
      </c>
      <c r="W1342">
        <v>0</v>
      </c>
      <c r="X1342">
        <v>1</v>
      </c>
      <c r="Y1342">
        <v>0.16</v>
      </c>
      <c r="Z1342">
        <v>23</v>
      </c>
      <c r="AA1342">
        <v>0</v>
      </c>
      <c r="AB1342">
        <v>0</v>
      </c>
      <c r="AC1342">
        <v>0</v>
      </c>
      <c r="AD1342">
        <v>1</v>
      </c>
      <c r="AE1342">
        <v>0.05</v>
      </c>
      <c r="AF1342">
        <v>15</v>
      </c>
      <c r="AG1342">
        <v>0</v>
      </c>
      <c r="AH1342">
        <v>0</v>
      </c>
      <c r="AI1342">
        <v>0</v>
      </c>
      <c r="AJ1342">
        <v>1</v>
      </c>
      <c r="AK1342">
        <v>0.02</v>
      </c>
      <c r="AL1342">
        <v>16</v>
      </c>
      <c r="AM1342">
        <v>0</v>
      </c>
      <c r="AN1342">
        <v>0</v>
      </c>
      <c r="AO1342">
        <v>0</v>
      </c>
      <c r="AP1342">
        <v>1</v>
      </c>
      <c r="AQ1342">
        <v>0.01</v>
      </c>
      <c r="AX1342">
        <v>7</v>
      </c>
      <c r="AY1342" s="1">
        <v>20</v>
      </c>
      <c r="AZ1342">
        <v>0</v>
      </c>
      <c r="BA1342">
        <v>0</v>
      </c>
      <c r="BB1342">
        <v>1</v>
      </c>
      <c r="BC1342" s="7">
        <v>0.32</v>
      </c>
      <c r="BD1342">
        <v>30</v>
      </c>
      <c r="BE1342">
        <v>0</v>
      </c>
      <c r="BF1342">
        <v>0</v>
      </c>
      <c r="BG1342">
        <v>0</v>
      </c>
      <c r="BH1342">
        <v>5</v>
      </c>
      <c r="BI1342">
        <v>2.4</v>
      </c>
      <c r="BJ1342">
        <v>31</v>
      </c>
      <c r="BK1342">
        <v>0</v>
      </c>
      <c r="BL1342">
        <v>0</v>
      </c>
      <c r="BM1342">
        <v>0</v>
      </c>
      <c r="BN1342">
        <v>5</v>
      </c>
      <c r="BO1342">
        <v>2.4</v>
      </c>
      <c r="BP1342">
        <v>36</v>
      </c>
      <c r="BQ1342">
        <v>0</v>
      </c>
      <c r="BR1342">
        <v>0</v>
      </c>
      <c r="BS1342">
        <v>0</v>
      </c>
      <c r="BT1342">
        <v>5</v>
      </c>
      <c r="BU1342">
        <v>1.7</v>
      </c>
    </row>
    <row r="1343" spans="1:73" ht="14.25" x14ac:dyDescent="0.15">
      <c r="A1343" s="12">
        <v>30140</v>
      </c>
      <c r="B1343">
        <v>7</v>
      </c>
      <c r="C1343" s="1">
        <v>0</v>
      </c>
      <c r="D1343">
        <v>5</v>
      </c>
      <c r="E1343">
        <v>1</v>
      </c>
      <c r="F1343">
        <v>1</v>
      </c>
      <c r="G1343" s="7">
        <v>0.05</v>
      </c>
      <c r="H1343">
        <v>12</v>
      </c>
      <c r="I1343">
        <v>0</v>
      </c>
      <c r="J1343">
        <v>0</v>
      </c>
      <c r="K1343">
        <v>0</v>
      </c>
      <c r="L1343">
        <v>1</v>
      </c>
      <c r="M1343">
        <v>2</v>
      </c>
      <c r="N1343" s="7">
        <v>9</v>
      </c>
      <c r="O1343" s="7">
        <v>0</v>
      </c>
      <c r="P1343" s="7">
        <v>0</v>
      </c>
      <c r="Q1343" s="7">
        <v>0</v>
      </c>
      <c r="R1343" s="7">
        <v>1</v>
      </c>
      <c r="S1343" s="7">
        <v>4.5</v>
      </c>
      <c r="T1343">
        <v>7</v>
      </c>
      <c r="U1343" s="1">
        <v>0</v>
      </c>
      <c r="V1343">
        <v>4</v>
      </c>
      <c r="W1343">
        <v>2</v>
      </c>
      <c r="X1343">
        <v>1</v>
      </c>
      <c r="Y1343">
        <v>0.16</v>
      </c>
      <c r="Z1343">
        <v>23</v>
      </c>
      <c r="AA1343">
        <v>0</v>
      </c>
      <c r="AB1343">
        <v>0</v>
      </c>
      <c r="AC1343">
        <v>0</v>
      </c>
      <c r="AD1343">
        <v>1</v>
      </c>
      <c r="AE1343">
        <v>0.05</v>
      </c>
      <c r="AF1343">
        <v>15</v>
      </c>
      <c r="AG1343">
        <v>0</v>
      </c>
      <c r="AH1343">
        <v>0</v>
      </c>
      <c r="AI1343">
        <v>0</v>
      </c>
      <c r="AJ1343">
        <v>1</v>
      </c>
      <c r="AK1343">
        <v>0.02</v>
      </c>
      <c r="AL1343">
        <v>16</v>
      </c>
      <c r="AM1343">
        <v>0</v>
      </c>
      <c r="AN1343">
        <v>0</v>
      </c>
      <c r="AO1343">
        <v>0</v>
      </c>
      <c r="AP1343">
        <v>1</v>
      </c>
      <c r="AQ1343">
        <v>0.01</v>
      </c>
      <c r="AR1343">
        <v>6</v>
      </c>
      <c r="AS1343">
        <v>2</v>
      </c>
      <c r="AT1343">
        <v>3</v>
      </c>
      <c r="AU1343">
        <v>5</v>
      </c>
      <c r="AV1343">
        <v>1</v>
      </c>
      <c r="AW1343">
        <v>0.05</v>
      </c>
      <c r="AX1343">
        <v>7</v>
      </c>
      <c r="AY1343" s="1">
        <v>0</v>
      </c>
      <c r="AZ1343">
        <v>3</v>
      </c>
      <c r="BA1343">
        <v>1</v>
      </c>
      <c r="BB1343">
        <v>1</v>
      </c>
      <c r="BC1343" s="7">
        <v>0.32</v>
      </c>
      <c r="BD1343">
        <v>30</v>
      </c>
      <c r="BE1343">
        <v>0</v>
      </c>
      <c r="BF1343">
        <v>0</v>
      </c>
      <c r="BG1343">
        <v>0</v>
      </c>
      <c r="BH1343">
        <v>5</v>
      </c>
      <c r="BI1343">
        <v>2.4</v>
      </c>
      <c r="BJ1343">
        <v>31</v>
      </c>
      <c r="BK1343">
        <v>0</v>
      </c>
      <c r="BL1343">
        <v>0</v>
      </c>
      <c r="BM1343">
        <v>0</v>
      </c>
      <c r="BN1343">
        <v>5</v>
      </c>
      <c r="BO1343">
        <v>2.4</v>
      </c>
      <c r="BP1343">
        <v>36</v>
      </c>
      <c r="BQ1343">
        <v>0</v>
      </c>
      <c r="BR1343">
        <v>0</v>
      </c>
      <c r="BS1343">
        <v>0</v>
      </c>
      <c r="BT1343">
        <v>5</v>
      </c>
      <c r="BU1343">
        <v>1.7</v>
      </c>
    </row>
    <row r="1344" spans="1:73" ht="14.25" x14ac:dyDescent="0.15">
      <c r="A1344" s="12">
        <v>30141</v>
      </c>
      <c r="B1344">
        <v>7</v>
      </c>
      <c r="C1344" s="1">
        <v>45</v>
      </c>
      <c r="D1344">
        <v>0</v>
      </c>
      <c r="E1344">
        <v>0</v>
      </c>
      <c r="F1344">
        <v>1</v>
      </c>
      <c r="G1344" s="7">
        <v>0.05</v>
      </c>
      <c r="H1344">
        <v>12</v>
      </c>
      <c r="I1344">
        <v>0</v>
      </c>
      <c r="J1344">
        <v>0</v>
      </c>
      <c r="K1344">
        <v>0</v>
      </c>
      <c r="L1344">
        <v>1</v>
      </c>
      <c r="M1344">
        <v>2</v>
      </c>
      <c r="N1344" s="7">
        <v>9</v>
      </c>
      <c r="O1344" s="7">
        <v>0</v>
      </c>
      <c r="P1344" s="7">
        <v>0</v>
      </c>
      <c r="Q1344" s="7">
        <v>0</v>
      </c>
      <c r="R1344" s="7">
        <v>1</v>
      </c>
      <c r="S1344" s="7">
        <v>4.5</v>
      </c>
      <c r="T1344">
        <v>7</v>
      </c>
      <c r="U1344" s="1">
        <v>33</v>
      </c>
      <c r="V1344">
        <v>0</v>
      </c>
      <c r="W1344">
        <v>0</v>
      </c>
      <c r="X1344">
        <v>1</v>
      </c>
      <c r="Y1344">
        <v>0.16</v>
      </c>
      <c r="Z1344">
        <v>23</v>
      </c>
      <c r="AA1344">
        <v>0</v>
      </c>
      <c r="AB1344">
        <v>0</v>
      </c>
      <c r="AC1344">
        <v>0</v>
      </c>
      <c r="AD1344">
        <v>1</v>
      </c>
      <c r="AE1344">
        <v>0.05</v>
      </c>
      <c r="AF1344">
        <v>15</v>
      </c>
      <c r="AG1344">
        <v>0</v>
      </c>
      <c r="AH1344">
        <v>0</v>
      </c>
      <c r="AI1344">
        <v>0</v>
      </c>
      <c r="AJ1344">
        <v>1</v>
      </c>
      <c r="AK1344">
        <v>0.02</v>
      </c>
      <c r="AL1344">
        <v>16</v>
      </c>
      <c r="AM1344">
        <v>0</v>
      </c>
      <c r="AN1344">
        <v>0</v>
      </c>
      <c r="AO1344">
        <v>0</v>
      </c>
      <c r="AP1344">
        <v>1</v>
      </c>
      <c r="AQ1344">
        <v>0.01</v>
      </c>
      <c r="AX1344">
        <v>7</v>
      </c>
      <c r="AY1344" s="1">
        <v>17</v>
      </c>
      <c r="AZ1344">
        <v>0</v>
      </c>
      <c r="BA1344">
        <v>0</v>
      </c>
      <c r="BB1344">
        <v>1</v>
      </c>
      <c r="BC1344" s="7">
        <v>0.32</v>
      </c>
      <c r="BD1344">
        <v>30</v>
      </c>
      <c r="BE1344">
        <v>0</v>
      </c>
      <c r="BF1344">
        <v>0</v>
      </c>
      <c r="BG1344">
        <v>0</v>
      </c>
      <c r="BH1344">
        <v>5</v>
      </c>
      <c r="BI1344">
        <v>2.4</v>
      </c>
      <c r="BJ1344">
        <v>31</v>
      </c>
      <c r="BK1344">
        <v>0</v>
      </c>
      <c r="BL1344">
        <v>0</v>
      </c>
      <c r="BM1344">
        <v>0</v>
      </c>
      <c r="BN1344">
        <v>5</v>
      </c>
      <c r="BO1344">
        <v>2.4</v>
      </c>
      <c r="BP1344">
        <v>36</v>
      </c>
      <c r="BQ1344">
        <v>0</v>
      </c>
      <c r="BR1344">
        <v>0</v>
      </c>
      <c r="BS1344">
        <v>0</v>
      </c>
      <c r="BT1344">
        <v>5</v>
      </c>
      <c r="BU1344">
        <v>1.7</v>
      </c>
    </row>
    <row r="1345" spans="1:73" ht="14.25" x14ac:dyDescent="0.15">
      <c r="A1345" s="12">
        <v>30142</v>
      </c>
      <c r="B1345">
        <v>7</v>
      </c>
      <c r="C1345" s="1">
        <v>46</v>
      </c>
      <c r="D1345">
        <v>0</v>
      </c>
      <c r="E1345">
        <v>0</v>
      </c>
      <c r="F1345">
        <v>1</v>
      </c>
      <c r="G1345" s="7">
        <v>0.05</v>
      </c>
      <c r="H1345">
        <v>12</v>
      </c>
      <c r="I1345">
        <v>0</v>
      </c>
      <c r="J1345">
        <v>0</v>
      </c>
      <c r="K1345">
        <v>0</v>
      </c>
      <c r="L1345">
        <v>1</v>
      </c>
      <c r="M1345">
        <v>2</v>
      </c>
      <c r="N1345" s="7">
        <v>9</v>
      </c>
      <c r="O1345" s="7">
        <v>0</v>
      </c>
      <c r="P1345" s="7">
        <v>0</v>
      </c>
      <c r="Q1345" s="7">
        <v>0</v>
      </c>
      <c r="R1345" s="7">
        <v>1</v>
      </c>
      <c r="S1345" s="7">
        <v>4.5</v>
      </c>
      <c r="T1345">
        <v>7</v>
      </c>
      <c r="U1345" s="1">
        <v>34</v>
      </c>
      <c r="V1345">
        <v>0</v>
      </c>
      <c r="W1345">
        <v>0</v>
      </c>
      <c r="X1345">
        <v>1</v>
      </c>
      <c r="Y1345">
        <v>0.16</v>
      </c>
      <c r="Z1345">
        <v>23</v>
      </c>
      <c r="AA1345">
        <v>0</v>
      </c>
      <c r="AB1345">
        <v>0</v>
      </c>
      <c r="AC1345">
        <v>0</v>
      </c>
      <c r="AD1345">
        <v>1</v>
      </c>
      <c r="AE1345">
        <v>0.05</v>
      </c>
      <c r="AF1345">
        <v>15</v>
      </c>
      <c r="AG1345">
        <v>0</v>
      </c>
      <c r="AH1345">
        <v>0</v>
      </c>
      <c r="AI1345">
        <v>0</v>
      </c>
      <c r="AJ1345">
        <v>1</v>
      </c>
      <c r="AK1345">
        <v>0.02</v>
      </c>
      <c r="AL1345">
        <v>16</v>
      </c>
      <c r="AM1345">
        <v>0</v>
      </c>
      <c r="AN1345">
        <v>0</v>
      </c>
      <c r="AO1345">
        <v>0</v>
      </c>
      <c r="AP1345">
        <v>1</v>
      </c>
      <c r="AQ1345">
        <v>0.01</v>
      </c>
      <c r="AX1345">
        <v>7</v>
      </c>
      <c r="AY1345" s="1">
        <v>18</v>
      </c>
      <c r="AZ1345">
        <v>0</v>
      </c>
      <c r="BA1345">
        <v>0</v>
      </c>
      <c r="BB1345">
        <v>1</v>
      </c>
      <c r="BC1345" s="7">
        <v>0.32</v>
      </c>
      <c r="BD1345">
        <v>30</v>
      </c>
      <c r="BE1345">
        <v>0</v>
      </c>
      <c r="BF1345">
        <v>0</v>
      </c>
      <c r="BG1345">
        <v>0</v>
      </c>
      <c r="BH1345">
        <v>5</v>
      </c>
      <c r="BI1345">
        <v>2.4</v>
      </c>
      <c r="BJ1345">
        <v>31</v>
      </c>
      <c r="BK1345">
        <v>0</v>
      </c>
      <c r="BL1345">
        <v>0</v>
      </c>
      <c r="BM1345">
        <v>0</v>
      </c>
      <c r="BN1345">
        <v>5</v>
      </c>
      <c r="BO1345">
        <v>2.4</v>
      </c>
      <c r="BP1345">
        <v>36</v>
      </c>
      <c r="BQ1345">
        <v>0</v>
      </c>
      <c r="BR1345">
        <v>0</v>
      </c>
      <c r="BS1345">
        <v>0</v>
      </c>
      <c r="BT1345">
        <v>5</v>
      </c>
      <c r="BU1345">
        <v>1.7</v>
      </c>
    </row>
    <row r="1346" spans="1:73" ht="14.25" x14ac:dyDescent="0.15">
      <c r="A1346" s="12">
        <v>30143</v>
      </c>
      <c r="B1346">
        <v>7</v>
      </c>
      <c r="C1346" s="1">
        <v>47</v>
      </c>
      <c r="D1346">
        <v>0</v>
      </c>
      <c r="E1346">
        <v>0</v>
      </c>
      <c r="F1346">
        <v>1</v>
      </c>
      <c r="G1346" s="7">
        <v>0.05</v>
      </c>
      <c r="H1346">
        <v>12</v>
      </c>
      <c r="I1346">
        <v>0</v>
      </c>
      <c r="J1346">
        <v>0</v>
      </c>
      <c r="K1346">
        <v>0</v>
      </c>
      <c r="L1346">
        <v>1</v>
      </c>
      <c r="M1346">
        <v>2</v>
      </c>
      <c r="N1346" s="7">
        <v>9</v>
      </c>
      <c r="O1346" s="7">
        <v>0</v>
      </c>
      <c r="P1346" s="7">
        <v>0</v>
      </c>
      <c r="Q1346" s="7">
        <v>0</v>
      </c>
      <c r="R1346" s="7">
        <v>1</v>
      </c>
      <c r="S1346" s="7">
        <v>4.5</v>
      </c>
      <c r="T1346">
        <v>7</v>
      </c>
      <c r="U1346" s="1">
        <v>35</v>
      </c>
      <c r="V1346">
        <v>0</v>
      </c>
      <c r="W1346">
        <v>0</v>
      </c>
      <c r="X1346">
        <v>1</v>
      </c>
      <c r="Y1346">
        <v>0.16</v>
      </c>
      <c r="Z1346">
        <v>23</v>
      </c>
      <c r="AA1346">
        <v>0</v>
      </c>
      <c r="AB1346">
        <v>0</v>
      </c>
      <c r="AC1346">
        <v>0</v>
      </c>
      <c r="AD1346">
        <v>1</v>
      </c>
      <c r="AE1346">
        <v>0.05</v>
      </c>
      <c r="AF1346">
        <v>15</v>
      </c>
      <c r="AG1346">
        <v>0</v>
      </c>
      <c r="AH1346">
        <v>0</v>
      </c>
      <c r="AI1346">
        <v>0</v>
      </c>
      <c r="AJ1346">
        <v>1</v>
      </c>
      <c r="AK1346">
        <v>0.02</v>
      </c>
      <c r="AL1346">
        <v>16</v>
      </c>
      <c r="AM1346">
        <v>0</v>
      </c>
      <c r="AN1346">
        <v>0</v>
      </c>
      <c r="AO1346">
        <v>0</v>
      </c>
      <c r="AP1346">
        <v>1</v>
      </c>
      <c r="AQ1346">
        <v>0.01</v>
      </c>
      <c r="AX1346">
        <v>7</v>
      </c>
      <c r="AY1346" s="1">
        <v>19</v>
      </c>
      <c r="AZ1346">
        <v>0</v>
      </c>
      <c r="BA1346">
        <v>0</v>
      </c>
      <c r="BB1346">
        <v>1</v>
      </c>
      <c r="BC1346" s="7">
        <v>0.32</v>
      </c>
      <c r="BD1346">
        <v>30</v>
      </c>
      <c r="BE1346">
        <v>0</v>
      </c>
      <c r="BF1346">
        <v>0</v>
      </c>
      <c r="BG1346">
        <v>0</v>
      </c>
      <c r="BH1346">
        <v>5</v>
      </c>
      <c r="BI1346">
        <v>2.4</v>
      </c>
      <c r="BJ1346">
        <v>31</v>
      </c>
      <c r="BK1346">
        <v>0</v>
      </c>
      <c r="BL1346">
        <v>0</v>
      </c>
      <c r="BM1346">
        <v>0</v>
      </c>
      <c r="BN1346">
        <v>5</v>
      </c>
      <c r="BO1346">
        <v>2.4</v>
      </c>
      <c r="BP1346">
        <v>36</v>
      </c>
      <c r="BQ1346">
        <v>0</v>
      </c>
      <c r="BR1346">
        <v>0</v>
      </c>
      <c r="BS1346">
        <v>0</v>
      </c>
      <c r="BT1346">
        <v>5</v>
      </c>
      <c r="BU1346">
        <v>1.7</v>
      </c>
    </row>
    <row r="1347" spans="1:73" ht="14.25" x14ac:dyDescent="0.15">
      <c r="A1347" s="12">
        <v>30144</v>
      </c>
      <c r="B1347">
        <v>7</v>
      </c>
      <c r="C1347" s="1">
        <v>48</v>
      </c>
      <c r="D1347">
        <v>0</v>
      </c>
      <c r="E1347">
        <v>0</v>
      </c>
      <c r="F1347">
        <v>1</v>
      </c>
      <c r="G1347" s="7">
        <v>0.05</v>
      </c>
      <c r="H1347">
        <v>12</v>
      </c>
      <c r="I1347">
        <v>0</v>
      </c>
      <c r="J1347">
        <v>0</v>
      </c>
      <c r="K1347">
        <v>0</v>
      </c>
      <c r="L1347">
        <v>1</v>
      </c>
      <c r="M1347">
        <v>2</v>
      </c>
      <c r="N1347" s="7">
        <v>9</v>
      </c>
      <c r="O1347" s="7">
        <v>0</v>
      </c>
      <c r="P1347" s="7">
        <v>0</v>
      </c>
      <c r="Q1347" s="7">
        <v>0</v>
      </c>
      <c r="R1347" s="7">
        <v>1</v>
      </c>
      <c r="S1347" s="7">
        <v>4.5</v>
      </c>
      <c r="T1347">
        <v>7</v>
      </c>
      <c r="U1347" s="1">
        <v>36</v>
      </c>
      <c r="V1347">
        <v>0</v>
      </c>
      <c r="W1347">
        <v>0</v>
      </c>
      <c r="X1347">
        <v>1</v>
      </c>
      <c r="Y1347">
        <v>0.16</v>
      </c>
      <c r="Z1347">
        <v>23</v>
      </c>
      <c r="AA1347">
        <v>0</v>
      </c>
      <c r="AB1347">
        <v>0</v>
      </c>
      <c r="AC1347">
        <v>0</v>
      </c>
      <c r="AD1347">
        <v>1</v>
      </c>
      <c r="AE1347">
        <v>0.05</v>
      </c>
      <c r="AF1347">
        <v>15</v>
      </c>
      <c r="AG1347">
        <v>0</v>
      </c>
      <c r="AH1347">
        <v>0</v>
      </c>
      <c r="AI1347">
        <v>0</v>
      </c>
      <c r="AJ1347">
        <v>1</v>
      </c>
      <c r="AK1347">
        <v>0.02</v>
      </c>
      <c r="AL1347">
        <v>16</v>
      </c>
      <c r="AM1347">
        <v>0</v>
      </c>
      <c r="AN1347">
        <v>0</v>
      </c>
      <c r="AO1347">
        <v>0</v>
      </c>
      <c r="AP1347">
        <v>1</v>
      </c>
      <c r="AQ1347">
        <v>0.01</v>
      </c>
      <c r="AX1347">
        <v>7</v>
      </c>
      <c r="AY1347" s="1">
        <v>20</v>
      </c>
      <c r="AZ1347">
        <v>0</v>
      </c>
      <c r="BA1347">
        <v>0</v>
      </c>
      <c r="BB1347">
        <v>1</v>
      </c>
      <c r="BC1347" s="7">
        <v>0.32</v>
      </c>
      <c r="BD1347">
        <v>30</v>
      </c>
      <c r="BE1347">
        <v>0</v>
      </c>
      <c r="BF1347">
        <v>0</v>
      </c>
      <c r="BG1347">
        <v>0</v>
      </c>
      <c r="BH1347">
        <v>5</v>
      </c>
      <c r="BI1347">
        <v>2.4</v>
      </c>
      <c r="BJ1347">
        <v>31</v>
      </c>
      <c r="BK1347">
        <v>0</v>
      </c>
      <c r="BL1347">
        <v>0</v>
      </c>
      <c r="BM1347">
        <v>0</v>
      </c>
      <c r="BN1347">
        <v>5</v>
      </c>
      <c r="BO1347">
        <v>2.4</v>
      </c>
      <c r="BP1347">
        <v>36</v>
      </c>
      <c r="BQ1347">
        <v>0</v>
      </c>
      <c r="BR1347">
        <v>0</v>
      </c>
      <c r="BS1347">
        <v>0</v>
      </c>
      <c r="BT1347">
        <v>5</v>
      </c>
      <c r="BU1347">
        <v>1.7</v>
      </c>
    </row>
    <row r="1348" spans="1:73" ht="14.25" x14ac:dyDescent="0.15">
      <c r="A1348" s="12">
        <v>30145</v>
      </c>
      <c r="B1348">
        <v>7</v>
      </c>
      <c r="C1348" s="1">
        <v>0</v>
      </c>
      <c r="D1348">
        <v>5</v>
      </c>
      <c r="E1348">
        <v>1</v>
      </c>
      <c r="F1348">
        <v>1</v>
      </c>
      <c r="G1348" s="7">
        <v>0.05</v>
      </c>
      <c r="H1348">
        <v>12</v>
      </c>
      <c r="I1348">
        <v>0</v>
      </c>
      <c r="J1348">
        <v>0</v>
      </c>
      <c r="K1348">
        <v>0</v>
      </c>
      <c r="L1348">
        <v>1</v>
      </c>
      <c r="M1348">
        <v>2</v>
      </c>
      <c r="N1348" s="7">
        <v>9</v>
      </c>
      <c r="O1348" s="7">
        <v>0</v>
      </c>
      <c r="P1348" s="7">
        <v>0</v>
      </c>
      <c r="Q1348" s="7">
        <v>0</v>
      </c>
      <c r="R1348" s="7">
        <v>1</v>
      </c>
      <c r="S1348" s="7">
        <v>4.5</v>
      </c>
      <c r="T1348">
        <v>7</v>
      </c>
      <c r="U1348" s="1">
        <v>0</v>
      </c>
      <c r="V1348">
        <v>4</v>
      </c>
      <c r="W1348">
        <v>2</v>
      </c>
      <c r="X1348">
        <v>1</v>
      </c>
      <c r="Y1348">
        <v>0.16</v>
      </c>
      <c r="Z1348">
        <v>23</v>
      </c>
      <c r="AA1348">
        <v>0</v>
      </c>
      <c r="AB1348">
        <v>0</v>
      </c>
      <c r="AC1348">
        <v>0</v>
      </c>
      <c r="AD1348">
        <v>1</v>
      </c>
      <c r="AE1348">
        <v>0.05</v>
      </c>
      <c r="AF1348">
        <v>15</v>
      </c>
      <c r="AG1348">
        <v>0</v>
      </c>
      <c r="AH1348">
        <v>0</v>
      </c>
      <c r="AI1348">
        <v>0</v>
      </c>
      <c r="AJ1348">
        <v>1</v>
      </c>
      <c r="AK1348">
        <v>0.02</v>
      </c>
      <c r="AL1348">
        <v>16</v>
      </c>
      <c r="AM1348">
        <v>0</v>
      </c>
      <c r="AN1348">
        <v>0</v>
      </c>
      <c r="AO1348">
        <v>0</v>
      </c>
      <c r="AP1348">
        <v>1</v>
      </c>
      <c r="AQ1348">
        <v>0.01</v>
      </c>
      <c r="AR1348">
        <v>6</v>
      </c>
      <c r="AS1348">
        <v>2</v>
      </c>
      <c r="AT1348">
        <v>4</v>
      </c>
      <c r="AU1348">
        <v>5</v>
      </c>
      <c r="AV1348">
        <v>1</v>
      </c>
      <c r="AW1348">
        <v>0.01</v>
      </c>
      <c r="AX1348">
        <v>7</v>
      </c>
      <c r="AY1348" s="1">
        <v>0</v>
      </c>
      <c r="AZ1348">
        <v>3</v>
      </c>
      <c r="BA1348">
        <v>1</v>
      </c>
      <c r="BB1348">
        <v>1</v>
      </c>
      <c r="BC1348" s="7">
        <v>0.32</v>
      </c>
      <c r="BD1348">
        <v>30</v>
      </c>
      <c r="BE1348">
        <v>0</v>
      </c>
      <c r="BF1348">
        <v>0</v>
      </c>
      <c r="BG1348">
        <v>0</v>
      </c>
      <c r="BH1348">
        <v>5</v>
      </c>
      <c r="BI1348">
        <v>2.4</v>
      </c>
      <c r="BJ1348">
        <v>31</v>
      </c>
      <c r="BK1348">
        <v>0</v>
      </c>
      <c r="BL1348">
        <v>0</v>
      </c>
      <c r="BM1348">
        <v>0</v>
      </c>
      <c r="BN1348">
        <v>5</v>
      </c>
      <c r="BO1348">
        <v>2.4</v>
      </c>
      <c r="BP1348">
        <v>36</v>
      </c>
      <c r="BQ1348">
        <v>0</v>
      </c>
      <c r="BR1348">
        <v>0</v>
      </c>
      <c r="BS1348">
        <v>0</v>
      </c>
      <c r="BT1348">
        <v>5</v>
      </c>
      <c r="BU1348">
        <v>1.7</v>
      </c>
    </row>
    <row r="1349" spans="1:73" ht="14.25" x14ac:dyDescent="0.15">
      <c r="A1349" s="12">
        <v>30146</v>
      </c>
      <c r="B1349">
        <v>7</v>
      </c>
      <c r="C1349" s="1">
        <v>45</v>
      </c>
      <c r="D1349">
        <v>0</v>
      </c>
      <c r="E1349">
        <v>0</v>
      </c>
      <c r="F1349">
        <v>1</v>
      </c>
      <c r="G1349" s="7">
        <v>0.05</v>
      </c>
      <c r="H1349">
        <v>12</v>
      </c>
      <c r="I1349">
        <v>0</v>
      </c>
      <c r="J1349">
        <v>0</v>
      </c>
      <c r="K1349">
        <v>0</v>
      </c>
      <c r="L1349">
        <v>1</v>
      </c>
      <c r="M1349">
        <v>2</v>
      </c>
      <c r="N1349" s="7">
        <v>9</v>
      </c>
      <c r="O1349" s="7">
        <v>0</v>
      </c>
      <c r="P1349" s="7">
        <v>0</v>
      </c>
      <c r="Q1349" s="7">
        <v>0</v>
      </c>
      <c r="R1349" s="7">
        <v>1</v>
      </c>
      <c r="S1349" s="7">
        <v>4.5</v>
      </c>
      <c r="T1349">
        <v>7</v>
      </c>
      <c r="U1349" s="1">
        <v>33</v>
      </c>
      <c r="V1349">
        <v>0</v>
      </c>
      <c r="W1349">
        <v>0</v>
      </c>
      <c r="X1349">
        <v>1</v>
      </c>
      <c r="Y1349">
        <v>0.16</v>
      </c>
      <c r="Z1349">
        <v>23</v>
      </c>
      <c r="AA1349">
        <v>0</v>
      </c>
      <c r="AB1349">
        <v>0</v>
      </c>
      <c r="AC1349">
        <v>0</v>
      </c>
      <c r="AD1349">
        <v>1</v>
      </c>
      <c r="AE1349">
        <v>0.05</v>
      </c>
      <c r="AF1349">
        <v>15</v>
      </c>
      <c r="AG1349">
        <v>0</v>
      </c>
      <c r="AH1349">
        <v>0</v>
      </c>
      <c r="AI1349">
        <v>0</v>
      </c>
      <c r="AJ1349">
        <v>1</v>
      </c>
      <c r="AK1349">
        <v>0.02</v>
      </c>
      <c r="AL1349">
        <v>16</v>
      </c>
      <c r="AM1349">
        <v>0</v>
      </c>
      <c r="AN1349">
        <v>0</v>
      </c>
      <c r="AO1349">
        <v>0</v>
      </c>
      <c r="AP1349">
        <v>1</v>
      </c>
      <c r="AQ1349">
        <v>0.01</v>
      </c>
      <c r="AX1349">
        <v>7</v>
      </c>
      <c r="AY1349" s="1">
        <v>17</v>
      </c>
      <c r="AZ1349">
        <v>0</v>
      </c>
      <c r="BA1349">
        <v>0</v>
      </c>
      <c r="BB1349">
        <v>1</v>
      </c>
      <c r="BC1349" s="7">
        <v>0.32</v>
      </c>
      <c r="BD1349">
        <v>30</v>
      </c>
      <c r="BE1349">
        <v>0</v>
      </c>
      <c r="BF1349">
        <v>0</v>
      </c>
      <c r="BG1349">
        <v>0</v>
      </c>
      <c r="BH1349">
        <v>5</v>
      </c>
      <c r="BI1349">
        <v>2.4</v>
      </c>
      <c r="BJ1349">
        <v>31</v>
      </c>
      <c r="BK1349">
        <v>0</v>
      </c>
      <c r="BL1349">
        <v>0</v>
      </c>
      <c r="BM1349">
        <v>0</v>
      </c>
      <c r="BN1349">
        <v>5</v>
      </c>
      <c r="BO1349">
        <v>2.4</v>
      </c>
      <c r="BP1349">
        <v>36</v>
      </c>
      <c r="BQ1349">
        <v>0</v>
      </c>
      <c r="BR1349">
        <v>0</v>
      </c>
      <c r="BS1349">
        <v>0</v>
      </c>
      <c r="BT1349">
        <v>5</v>
      </c>
      <c r="BU1349">
        <v>1.7</v>
      </c>
    </row>
    <row r="1350" spans="1:73" ht="14.25" x14ac:dyDescent="0.15">
      <c r="A1350" s="12">
        <v>30147</v>
      </c>
      <c r="B1350">
        <v>7</v>
      </c>
      <c r="C1350" s="1">
        <v>46</v>
      </c>
      <c r="D1350">
        <v>0</v>
      </c>
      <c r="E1350">
        <v>0</v>
      </c>
      <c r="F1350">
        <v>1</v>
      </c>
      <c r="G1350" s="7">
        <v>0.05</v>
      </c>
      <c r="H1350">
        <v>12</v>
      </c>
      <c r="I1350">
        <v>0</v>
      </c>
      <c r="J1350">
        <v>0</v>
      </c>
      <c r="K1350">
        <v>0</v>
      </c>
      <c r="L1350">
        <v>1</v>
      </c>
      <c r="M1350">
        <v>2</v>
      </c>
      <c r="N1350" s="7">
        <v>9</v>
      </c>
      <c r="O1350" s="7">
        <v>0</v>
      </c>
      <c r="P1350" s="7">
        <v>0</v>
      </c>
      <c r="Q1350" s="7">
        <v>0</v>
      </c>
      <c r="R1350" s="7">
        <v>1</v>
      </c>
      <c r="S1350" s="7">
        <v>4.5</v>
      </c>
      <c r="T1350">
        <v>7</v>
      </c>
      <c r="U1350" s="1">
        <v>34</v>
      </c>
      <c r="V1350">
        <v>0</v>
      </c>
      <c r="W1350">
        <v>0</v>
      </c>
      <c r="X1350">
        <v>1</v>
      </c>
      <c r="Y1350">
        <v>0.16</v>
      </c>
      <c r="Z1350">
        <v>23</v>
      </c>
      <c r="AA1350">
        <v>0</v>
      </c>
      <c r="AB1350">
        <v>0</v>
      </c>
      <c r="AC1350">
        <v>0</v>
      </c>
      <c r="AD1350">
        <v>1</v>
      </c>
      <c r="AE1350">
        <v>0.05</v>
      </c>
      <c r="AF1350">
        <v>15</v>
      </c>
      <c r="AG1350">
        <v>0</v>
      </c>
      <c r="AH1350">
        <v>0</v>
      </c>
      <c r="AI1350">
        <v>0</v>
      </c>
      <c r="AJ1350">
        <v>1</v>
      </c>
      <c r="AK1350">
        <v>0.02</v>
      </c>
      <c r="AL1350">
        <v>16</v>
      </c>
      <c r="AM1350">
        <v>0</v>
      </c>
      <c r="AN1350">
        <v>0</v>
      </c>
      <c r="AO1350">
        <v>0</v>
      </c>
      <c r="AP1350">
        <v>1</v>
      </c>
      <c r="AQ1350">
        <v>0.01</v>
      </c>
      <c r="AX1350">
        <v>7</v>
      </c>
      <c r="AY1350" s="1">
        <v>18</v>
      </c>
      <c r="AZ1350">
        <v>0</v>
      </c>
      <c r="BA1350">
        <v>0</v>
      </c>
      <c r="BB1350">
        <v>1</v>
      </c>
      <c r="BC1350" s="7">
        <v>0.32</v>
      </c>
      <c r="BD1350">
        <v>30</v>
      </c>
      <c r="BE1350">
        <v>0</v>
      </c>
      <c r="BF1350">
        <v>0</v>
      </c>
      <c r="BG1350">
        <v>0</v>
      </c>
      <c r="BH1350">
        <v>5</v>
      </c>
      <c r="BI1350">
        <v>2.4</v>
      </c>
      <c r="BJ1350">
        <v>31</v>
      </c>
      <c r="BK1350">
        <v>0</v>
      </c>
      <c r="BL1350">
        <v>0</v>
      </c>
      <c r="BM1350">
        <v>0</v>
      </c>
      <c r="BN1350">
        <v>5</v>
      </c>
      <c r="BO1350">
        <v>2.4</v>
      </c>
      <c r="BP1350">
        <v>36</v>
      </c>
      <c r="BQ1350">
        <v>0</v>
      </c>
      <c r="BR1350">
        <v>0</v>
      </c>
      <c r="BS1350">
        <v>0</v>
      </c>
      <c r="BT1350">
        <v>5</v>
      </c>
      <c r="BU1350">
        <v>1.7</v>
      </c>
    </row>
    <row r="1351" spans="1:73" ht="14.25" x14ac:dyDescent="0.15">
      <c r="A1351" s="12">
        <v>30148</v>
      </c>
      <c r="B1351">
        <v>7</v>
      </c>
      <c r="C1351" s="1">
        <v>47</v>
      </c>
      <c r="D1351">
        <v>0</v>
      </c>
      <c r="E1351">
        <v>0</v>
      </c>
      <c r="F1351">
        <v>1</v>
      </c>
      <c r="G1351" s="7">
        <v>0.05</v>
      </c>
      <c r="H1351">
        <v>12</v>
      </c>
      <c r="I1351">
        <v>0</v>
      </c>
      <c r="J1351">
        <v>0</v>
      </c>
      <c r="K1351">
        <v>0</v>
      </c>
      <c r="L1351">
        <v>1</v>
      </c>
      <c r="M1351">
        <v>2</v>
      </c>
      <c r="N1351" s="7">
        <v>9</v>
      </c>
      <c r="O1351" s="7">
        <v>0</v>
      </c>
      <c r="P1351" s="7">
        <v>0</v>
      </c>
      <c r="Q1351" s="7">
        <v>0</v>
      </c>
      <c r="R1351" s="7">
        <v>1</v>
      </c>
      <c r="S1351" s="7">
        <v>4.5</v>
      </c>
      <c r="T1351">
        <v>7</v>
      </c>
      <c r="U1351" s="1">
        <v>35</v>
      </c>
      <c r="V1351">
        <v>0</v>
      </c>
      <c r="W1351">
        <v>0</v>
      </c>
      <c r="X1351">
        <v>1</v>
      </c>
      <c r="Y1351">
        <v>0.16</v>
      </c>
      <c r="Z1351">
        <v>23</v>
      </c>
      <c r="AA1351">
        <v>0</v>
      </c>
      <c r="AB1351">
        <v>0</v>
      </c>
      <c r="AC1351">
        <v>0</v>
      </c>
      <c r="AD1351">
        <v>1</v>
      </c>
      <c r="AE1351">
        <v>0.05</v>
      </c>
      <c r="AF1351">
        <v>15</v>
      </c>
      <c r="AG1351">
        <v>0</v>
      </c>
      <c r="AH1351">
        <v>0</v>
      </c>
      <c r="AI1351">
        <v>0</v>
      </c>
      <c r="AJ1351">
        <v>1</v>
      </c>
      <c r="AK1351">
        <v>0.02</v>
      </c>
      <c r="AL1351">
        <v>16</v>
      </c>
      <c r="AM1351">
        <v>0</v>
      </c>
      <c r="AN1351">
        <v>0</v>
      </c>
      <c r="AO1351">
        <v>0</v>
      </c>
      <c r="AP1351">
        <v>1</v>
      </c>
      <c r="AQ1351">
        <v>0.01</v>
      </c>
      <c r="AX1351">
        <v>7</v>
      </c>
      <c r="AY1351" s="1">
        <v>19</v>
      </c>
      <c r="AZ1351">
        <v>0</v>
      </c>
      <c r="BA1351">
        <v>0</v>
      </c>
      <c r="BB1351">
        <v>1</v>
      </c>
      <c r="BC1351" s="7">
        <v>0.32</v>
      </c>
      <c r="BD1351">
        <v>30</v>
      </c>
      <c r="BE1351">
        <v>0</v>
      </c>
      <c r="BF1351">
        <v>0</v>
      </c>
      <c r="BG1351">
        <v>0</v>
      </c>
      <c r="BH1351">
        <v>5</v>
      </c>
      <c r="BI1351">
        <v>2.4</v>
      </c>
      <c r="BJ1351">
        <v>31</v>
      </c>
      <c r="BK1351">
        <v>0</v>
      </c>
      <c r="BL1351">
        <v>0</v>
      </c>
      <c r="BM1351">
        <v>0</v>
      </c>
      <c r="BN1351">
        <v>5</v>
      </c>
      <c r="BO1351">
        <v>2.4</v>
      </c>
      <c r="BP1351">
        <v>36</v>
      </c>
      <c r="BQ1351">
        <v>0</v>
      </c>
      <c r="BR1351">
        <v>0</v>
      </c>
      <c r="BS1351">
        <v>0</v>
      </c>
      <c r="BT1351">
        <v>5</v>
      </c>
      <c r="BU1351">
        <v>1.7</v>
      </c>
    </row>
    <row r="1352" spans="1:73" ht="14.25" x14ac:dyDescent="0.15">
      <c r="A1352" s="12">
        <v>30149</v>
      </c>
      <c r="B1352">
        <v>7</v>
      </c>
      <c r="C1352" s="1">
        <v>48</v>
      </c>
      <c r="D1352">
        <v>0</v>
      </c>
      <c r="E1352">
        <v>0</v>
      </c>
      <c r="F1352">
        <v>1</v>
      </c>
      <c r="G1352" s="7">
        <v>0.05</v>
      </c>
      <c r="H1352">
        <v>12</v>
      </c>
      <c r="I1352">
        <v>0</v>
      </c>
      <c r="J1352">
        <v>0</v>
      </c>
      <c r="K1352">
        <v>0</v>
      </c>
      <c r="L1352">
        <v>1</v>
      </c>
      <c r="M1352">
        <v>2</v>
      </c>
      <c r="N1352" s="7">
        <v>9</v>
      </c>
      <c r="O1352" s="7">
        <v>0</v>
      </c>
      <c r="P1352" s="7">
        <v>0</v>
      </c>
      <c r="Q1352" s="7">
        <v>0</v>
      </c>
      <c r="R1352" s="7">
        <v>1</v>
      </c>
      <c r="S1352" s="7">
        <v>4.5</v>
      </c>
      <c r="T1352">
        <v>7</v>
      </c>
      <c r="U1352" s="1">
        <v>36</v>
      </c>
      <c r="V1352">
        <v>0</v>
      </c>
      <c r="W1352">
        <v>0</v>
      </c>
      <c r="X1352">
        <v>1</v>
      </c>
      <c r="Y1352">
        <v>0.16</v>
      </c>
      <c r="Z1352">
        <v>23</v>
      </c>
      <c r="AA1352">
        <v>0</v>
      </c>
      <c r="AB1352">
        <v>0</v>
      </c>
      <c r="AC1352">
        <v>0</v>
      </c>
      <c r="AD1352">
        <v>1</v>
      </c>
      <c r="AE1352">
        <v>0.05</v>
      </c>
      <c r="AF1352">
        <v>15</v>
      </c>
      <c r="AG1352">
        <v>0</v>
      </c>
      <c r="AH1352">
        <v>0</v>
      </c>
      <c r="AI1352">
        <v>0</v>
      </c>
      <c r="AJ1352">
        <v>1</v>
      </c>
      <c r="AK1352">
        <v>0.02</v>
      </c>
      <c r="AL1352">
        <v>16</v>
      </c>
      <c r="AM1352">
        <v>0</v>
      </c>
      <c r="AN1352">
        <v>0</v>
      </c>
      <c r="AO1352">
        <v>0</v>
      </c>
      <c r="AP1352">
        <v>1</v>
      </c>
      <c r="AQ1352">
        <v>0.01</v>
      </c>
      <c r="AX1352">
        <v>7</v>
      </c>
      <c r="AY1352" s="1">
        <v>20</v>
      </c>
      <c r="AZ1352">
        <v>0</v>
      </c>
      <c r="BA1352">
        <v>0</v>
      </c>
      <c r="BB1352">
        <v>1</v>
      </c>
      <c r="BC1352" s="7">
        <v>0.32</v>
      </c>
      <c r="BD1352">
        <v>30</v>
      </c>
      <c r="BE1352">
        <v>0</v>
      </c>
      <c r="BF1352">
        <v>0</v>
      </c>
      <c r="BG1352">
        <v>0</v>
      </c>
      <c r="BH1352">
        <v>5</v>
      </c>
      <c r="BI1352">
        <v>2.4</v>
      </c>
      <c r="BJ1352">
        <v>31</v>
      </c>
      <c r="BK1352">
        <v>0</v>
      </c>
      <c r="BL1352">
        <v>0</v>
      </c>
      <c r="BM1352">
        <v>0</v>
      </c>
      <c r="BN1352">
        <v>5</v>
      </c>
      <c r="BO1352">
        <v>2.4</v>
      </c>
      <c r="BP1352">
        <v>36</v>
      </c>
      <c r="BQ1352">
        <v>0</v>
      </c>
      <c r="BR1352">
        <v>0</v>
      </c>
      <c r="BS1352">
        <v>0</v>
      </c>
      <c r="BT1352">
        <v>5</v>
      </c>
      <c r="BU1352">
        <v>1.7</v>
      </c>
    </row>
    <row r="1353" spans="1:73" ht="14.25" x14ac:dyDescent="0.15">
      <c r="A1353" s="12">
        <v>30150</v>
      </c>
      <c r="B1353">
        <v>7</v>
      </c>
      <c r="C1353" s="1">
        <v>0</v>
      </c>
      <c r="D1353">
        <v>5</v>
      </c>
      <c r="E1353">
        <v>1</v>
      </c>
      <c r="F1353">
        <v>1</v>
      </c>
      <c r="G1353" s="7">
        <v>0.05</v>
      </c>
      <c r="H1353">
        <v>12</v>
      </c>
      <c r="I1353">
        <v>0</v>
      </c>
      <c r="J1353">
        <v>0</v>
      </c>
      <c r="K1353">
        <v>0</v>
      </c>
      <c r="L1353">
        <v>1</v>
      </c>
      <c r="M1353">
        <v>2</v>
      </c>
      <c r="N1353" s="7">
        <v>9</v>
      </c>
      <c r="O1353" s="7">
        <v>0</v>
      </c>
      <c r="P1353" s="7">
        <v>0</v>
      </c>
      <c r="Q1353" s="7">
        <v>0</v>
      </c>
      <c r="R1353" s="7">
        <v>1</v>
      </c>
      <c r="S1353" s="7">
        <v>4.5</v>
      </c>
      <c r="T1353">
        <v>7</v>
      </c>
      <c r="U1353" s="1">
        <v>0</v>
      </c>
      <c r="V1353">
        <v>4</v>
      </c>
      <c r="W1353">
        <v>2</v>
      </c>
      <c r="X1353">
        <v>1</v>
      </c>
      <c r="Y1353">
        <v>0.16</v>
      </c>
      <c r="Z1353">
        <v>23</v>
      </c>
      <c r="AA1353">
        <v>0</v>
      </c>
      <c r="AB1353">
        <v>0</v>
      </c>
      <c r="AC1353">
        <v>0</v>
      </c>
      <c r="AD1353">
        <v>1</v>
      </c>
      <c r="AE1353">
        <v>0.05</v>
      </c>
      <c r="AF1353">
        <v>15</v>
      </c>
      <c r="AG1353">
        <v>0</v>
      </c>
      <c r="AH1353">
        <v>0</v>
      </c>
      <c r="AI1353">
        <v>0</v>
      </c>
      <c r="AJ1353">
        <v>1</v>
      </c>
      <c r="AK1353">
        <v>0.02</v>
      </c>
      <c r="AL1353">
        <v>16</v>
      </c>
      <c r="AM1353">
        <v>0</v>
      </c>
      <c r="AN1353">
        <v>0</v>
      </c>
      <c r="AO1353">
        <v>0</v>
      </c>
      <c r="AP1353">
        <v>1</v>
      </c>
      <c r="AQ1353">
        <v>0.01</v>
      </c>
      <c r="AR1353">
        <v>6</v>
      </c>
      <c r="AS1353">
        <v>2</v>
      </c>
      <c r="AT1353">
        <v>5</v>
      </c>
      <c r="AU1353">
        <v>5</v>
      </c>
      <c r="AV1353">
        <v>1</v>
      </c>
      <c r="AW1353">
        <v>0.01</v>
      </c>
      <c r="AX1353">
        <v>7</v>
      </c>
      <c r="AY1353" s="1">
        <v>0</v>
      </c>
      <c r="AZ1353">
        <v>3</v>
      </c>
      <c r="BA1353">
        <v>1</v>
      </c>
      <c r="BB1353">
        <v>1</v>
      </c>
      <c r="BC1353" s="7">
        <v>0.32</v>
      </c>
      <c r="BD1353">
        <v>30</v>
      </c>
      <c r="BE1353">
        <v>0</v>
      </c>
      <c r="BF1353">
        <v>0</v>
      </c>
      <c r="BG1353">
        <v>0</v>
      </c>
      <c r="BH1353">
        <v>5</v>
      </c>
      <c r="BI1353">
        <v>2.4</v>
      </c>
      <c r="BJ1353">
        <v>31</v>
      </c>
      <c r="BK1353">
        <v>0</v>
      </c>
      <c r="BL1353">
        <v>0</v>
      </c>
      <c r="BM1353">
        <v>0</v>
      </c>
      <c r="BN1353">
        <v>5</v>
      </c>
      <c r="BO1353">
        <v>2.4</v>
      </c>
      <c r="BP1353">
        <v>36</v>
      </c>
      <c r="BQ1353">
        <v>0</v>
      </c>
      <c r="BR1353">
        <v>0</v>
      </c>
      <c r="BS1353">
        <v>0</v>
      </c>
      <c r="BT1353">
        <v>5</v>
      </c>
      <c r="BU1353">
        <v>1.7</v>
      </c>
    </row>
    <row r="1354" spans="1:73" ht="14.25" x14ac:dyDescent="0.15">
      <c r="A1354" s="12">
        <v>30201</v>
      </c>
      <c r="B1354">
        <v>7</v>
      </c>
      <c r="C1354" s="1">
        <v>45</v>
      </c>
      <c r="D1354">
        <v>0</v>
      </c>
      <c r="E1354">
        <v>0</v>
      </c>
      <c r="F1354">
        <v>1</v>
      </c>
      <c r="G1354" s="7">
        <v>0.05</v>
      </c>
      <c r="H1354">
        <v>12</v>
      </c>
      <c r="I1354">
        <v>0</v>
      </c>
      <c r="J1354">
        <v>0</v>
      </c>
      <c r="K1354">
        <v>0</v>
      </c>
      <c r="L1354">
        <v>1</v>
      </c>
      <c r="M1354">
        <v>2</v>
      </c>
      <c r="N1354" s="7">
        <v>9</v>
      </c>
      <c r="O1354" s="7">
        <v>0</v>
      </c>
      <c r="P1354" s="7">
        <v>0</v>
      </c>
      <c r="Q1354" s="7">
        <v>0</v>
      </c>
      <c r="R1354" s="7">
        <v>1</v>
      </c>
      <c r="S1354" s="7">
        <v>4.5</v>
      </c>
      <c r="T1354">
        <v>7</v>
      </c>
      <c r="U1354" s="1">
        <v>33</v>
      </c>
      <c r="V1354">
        <v>0</v>
      </c>
      <c r="W1354">
        <v>0</v>
      </c>
      <c r="X1354">
        <v>1</v>
      </c>
      <c r="Y1354">
        <v>0.16</v>
      </c>
      <c r="Z1354">
        <v>23</v>
      </c>
      <c r="AA1354">
        <v>0</v>
      </c>
      <c r="AB1354">
        <v>0</v>
      </c>
      <c r="AC1354">
        <v>0</v>
      </c>
      <c r="AD1354">
        <v>1</v>
      </c>
      <c r="AE1354">
        <v>0.05</v>
      </c>
      <c r="AF1354">
        <v>15</v>
      </c>
      <c r="AG1354">
        <v>0</v>
      </c>
      <c r="AH1354">
        <v>0</v>
      </c>
      <c r="AI1354">
        <v>0</v>
      </c>
      <c r="AJ1354">
        <v>1</v>
      </c>
      <c r="AK1354">
        <v>0.02</v>
      </c>
      <c r="AL1354">
        <v>16</v>
      </c>
      <c r="AM1354">
        <v>0</v>
      </c>
      <c r="AN1354">
        <v>0</v>
      </c>
      <c r="AO1354">
        <v>0</v>
      </c>
      <c r="AP1354">
        <v>1</v>
      </c>
      <c r="AQ1354">
        <v>0.01</v>
      </c>
      <c r="AX1354">
        <v>7</v>
      </c>
      <c r="AY1354" s="1">
        <v>17</v>
      </c>
      <c r="AZ1354">
        <v>0</v>
      </c>
      <c r="BA1354">
        <v>0</v>
      </c>
      <c r="BB1354">
        <v>1</v>
      </c>
      <c r="BC1354" s="7">
        <v>0.32</v>
      </c>
      <c r="BD1354">
        <v>30</v>
      </c>
      <c r="BE1354">
        <v>0</v>
      </c>
      <c r="BF1354">
        <v>0</v>
      </c>
      <c r="BG1354">
        <v>0</v>
      </c>
      <c r="BH1354">
        <v>5</v>
      </c>
      <c r="BI1354">
        <v>2.4</v>
      </c>
      <c r="BJ1354">
        <v>31</v>
      </c>
      <c r="BK1354">
        <v>0</v>
      </c>
      <c r="BL1354">
        <v>0</v>
      </c>
      <c r="BM1354">
        <v>0</v>
      </c>
      <c r="BN1354">
        <v>5</v>
      </c>
      <c r="BO1354">
        <v>2.4</v>
      </c>
      <c r="BP1354">
        <v>36</v>
      </c>
      <c r="BQ1354">
        <v>0</v>
      </c>
      <c r="BR1354">
        <v>0</v>
      </c>
      <c r="BS1354">
        <v>0</v>
      </c>
      <c r="BT1354">
        <v>5</v>
      </c>
      <c r="BU1354">
        <v>1.7</v>
      </c>
    </row>
    <row r="1355" spans="1:73" ht="14.25" x14ac:dyDescent="0.15">
      <c r="A1355" s="12">
        <v>30202</v>
      </c>
      <c r="B1355">
        <v>7</v>
      </c>
      <c r="C1355" s="1">
        <v>46</v>
      </c>
      <c r="D1355">
        <v>0</v>
      </c>
      <c r="E1355">
        <v>0</v>
      </c>
      <c r="F1355">
        <v>1</v>
      </c>
      <c r="G1355" s="7">
        <v>0.05</v>
      </c>
      <c r="H1355">
        <v>12</v>
      </c>
      <c r="I1355">
        <v>0</v>
      </c>
      <c r="J1355">
        <v>0</v>
      </c>
      <c r="K1355">
        <v>0</v>
      </c>
      <c r="L1355">
        <v>1</v>
      </c>
      <c r="M1355">
        <v>2</v>
      </c>
      <c r="N1355" s="7">
        <v>9</v>
      </c>
      <c r="O1355" s="7">
        <v>0</v>
      </c>
      <c r="P1355" s="7">
        <v>0</v>
      </c>
      <c r="Q1355" s="7">
        <v>0</v>
      </c>
      <c r="R1355" s="7">
        <v>1</v>
      </c>
      <c r="S1355" s="7">
        <v>4.5</v>
      </c>
      <c r="T1355">
        <v>7</v>
      </c>
      <c r="U1355" s="1">
        <v>34</v>
      </c>
      <c r="V1355">
        <v>0</v>
      </c>
      <c r="W1355">
        <v>0</v>
      </c>
      <c r="X1355">
        <v>1</v>
      </c>
      <c r="Y1355">
        <v>0.16</v>
      </c>
      <c r="Z1355">
        <v>23</v>
      </c>
      <c r="AA1355">
        <v>0</v>
      </c>
      <c r="AB1355">
        <v>0</v>
      </c>
      <c r="AC1355">
        <v>0</v>
      </c>
      <c r="AD1355">
        <v>1</v>
      </c>
      <c r="AE1355">
        <v>0.05</v>
      </c>
      <c r="AF1355">
        <v>15</v>
      </c>
      <c r="AG1355">
        <v>0</v>
      </c>
      <c r="AH1355">
        <v>0</v>
      </c>
      <c r="AI1355">
        <v>0</v>
      </c>
      <c r="AJ1355">
        <v>1</v>
      </c>
      <c r="AK1355">
        <v>0.02</v>
      </c>
      <c r="AL1355">
        <v>16</v>
      </c>
      <c r="AM1355">
        <v>0</v>
      </c>
      <c r="AN1355">
        <v>0</v>
      </c>
      <c r="AO1355">
        <v>0</v>
      </c>
      <c r="AP1355">
        <v>1</v>
      </c>
      <c r="AQ1355">
        <v>0.01</v>
      </c>
      <c r="AX1355">
        <v>7</v>
      </c>
      <c r="AY1355" s="1">
        <v>18</v>
      </c>
      <c r="AZ1355">
        <v>0</v>
      </c>
      <c r="BA1355">
        <v>0</v>
      </c>
      <c r="BB1355">
        <v>1</v>
      </c>
      <c r="BC1355" s="7">
        <v>0.32</v>
      </c>
      <c r="BD1355">
        <v>30</v>
      </c>
      <c r="BE1355">
        <v>0</v>
      </c>
      <c r="BF1355">
        <v>0</v>
      </c>
      <c r="BG1355">
        <v>0</v>
      </c>
      <c r="BH1355">
        <v>5</v>
      </c>
      <c r="BI1355">
        <v>2.4</v>
      </c>
      <c r="BJ1355">
        <v>31</v>
      </c>
      <c r="BK1355">
        <v>0</v>
      </c>
      <c r="BL1355">
        <v>0</v>
      </c>
      <c r="BM1355">
        <v>0</v>
      </c>
      <c r="BN1355">
        <v>5</v>
      </c>
      <c r="BO1355">
        <v>2.4</v>
      </c>
      <c r="BP1355">
        <v>36</v>
      </c>
      <c r="BQ1355">
        <v>0</v>
      </c>
      <c r="BR1355">
        <v>0</v>
      </c>
      <c r="BS1355">
        <v>0</v>
      </c>
      <c r="BT1355">
        <v>5</v>
      </c>
      <c r="BU1355">
        <v>1.7</v>
      </c>
    </row>
    <row r="1356" spans="1:73" ht="14.25" x14ac:dyDescent="0.15">
      <c r="A1356" s="12">
        <v>30203</v>
      </c>
      <c r="B1356">
        <v>7</v>
      </c>
      <c r="C1356" s="1">
        <v>47</v>
      </c>
      <c r="D1356">
        <v>0</v>
      </c>
      <c r="E1356">
        <v>0</v>
      </c>
      <c r="F1356">
        <v>1</v>
      </c>
      <c r="G1356" s="7">
        <v>0.05</v>
      </c>
      <c r="H1356">
        <v>12</v>
      </c>
      <c r="I1356">
        <v>0</v>
      </c>
      <c r="J1356">
        <v>0</v>
      </c>
      <c r="K1356">
        <v>0</v>
      </c>
      <c r="L1356">
        <v>1</v>
      </c>
      <c r="M1356">
        <v>2</v>
      </c>
      <c r="N1356" s="7">
        <v>9</v>
      </c>
      <c r="O1356" s="7">
        <v>0</v>
      </c>
      <c r="P1356" s="7">
        <v>0</v>
      </c>
      <c r="Q1356" s="7">
        <v>0</v>
      </c>
      <c r="R1356" s="7">
        <v>1</v>
      </c>
      <c r="S1356" s="7">
        <v>4.5</v>
      </c>
      <c r="T1356">
        <v>7</v>
      </c>
      <c r="U1356" s="1">
        <v>35</v>
      </c>
      <c r="V1356">
        <v>0</v>
      </c>
      <c r="W1356">
        <v>0</v>
      </c>
      <c r="X1356">
        <v>1</v>
      </c>
      <c r="Y1356">
        <v>0.16</v>
      </c>
      <c r="Z1356">
        <v>23</v>
      </c>
      <c r="AA1356">
        <v>0</v>
      </c>
      <c r="AB1356">
        <v>0</v>
      </c>
      <c r="AC1356">
        <v>0</v>
      </c>
      <c r="AD1356">
        <v>1</v>
      </c>
      <c r="AE1356">
        <v>0.05</v>
      </c>
      <c r="AF1356">
        <v>15</v>
      </c>
      <c r="AG1356">
        <v>0</v>
      </c>
      <c r="AH1356">
        <v>0</v>
      </c>
      <c r="AI1356">
        <v>0</v>
      </c>
      <c r="AJ1356">
        <v>1</v>
      </c>
      <c r="AK1356">
        <v>0.02</v>
      </c>
      <c r="AL1356">
        <v>16</v>
      </c>
      <c r="AM1356">
        <v>0</v>
      </c>
      <c r="AN1356">
        <v>0</v>
      </c>
      <c r="AO1356">
        <v>0</v>
      </c>
      <c r="AP1356">
        <v>1</v>
      </c>
      <c r="AQ1356">
        <v>0.01</v>
      </c>
      <c r="AX1356">
        <v>7</v>
      </c>
      <c r="AY1356" s="1">
        <v>19</v>
      </c>
      <c r="AZ1356">
        <v>0</v>
      </c>
      <c r="BA1356">
        <v>0</v>
      </c>
      <c r="BB1356">
        <v>1</v>
      </c>
      <c r="BC1356" s="7">
        <v>0.32</v>
      </c>
      <c r="BD1356">
        <v>30</v>
      </c>
      <c r="BE1356">
        <v>0</v>
      </c>
      <c r="BF1356">
        <v>0</v>
      </c>
      <c r="BG1356">
        <v>0</v>
      </c>
      <c r="BH1356">
        <v>5</v>
      </c>
      <c r="BI1356">
        <v>2.4</v>
      </c>
      <c r="BJ1356">
        <v>31</v>
      </c>
      <c r="BK1356">
        <v>0</v>
      </c>
      <c r="BL1356">
        <v>0</v>
      </c>
      <c r="BM1356">
        <v>0</v>
      </c>
      <c r="BN1356">
        <v>5</v>
      </c>
      <c r="BO1356">
        <v>2.4</v>
      </c>
      <c r="BP1356">
        <v>36</v>
      </c>
      <c r="BQ1356">
        <v>0</v>
      </c>
      <c r="BR1356">
        <v>0</v>
      </c>
      <c r="BS1356">
        <v>0</v>
      </c>
      <c r="BT1356">
        <v>5</v>
      </c>
      <c r="BU1356">
        <v>1.7</v>
      </c>
    </row>
    <row r="1357" spans="1:73" ht="14.25" x14ac:dyDescent="0.15">
      <c r="A1357" s="12">
        <v>30204</v>
      </c>
      <c r="B1357">
        <v>7</v>
      </c>
      <c r="C1357" s="1">
        <v>48</v>
      </c>
      <c r="D1357">
        <v>0</v>
      </c>
      <c r="E1357">
        <v>0</v>
      </c>
      <c r="F1357">
        <v>1</v>
      </c>
      <c r="G1357" s="7">
        <v>0.05</v>
      </c>
      <c r="H1357">
        <v>12</v>
      </c>
      <c r="I1357">
        <v>0</v>
      </c>
      <c r="J1357">
        <v>0</v>
      </c>
      <c r="K1357">
        <v>0</v>
      </c>
      <c r="L1357">
        <v>1</v>
      </c>
      <c r="M1357">
        <v>2</v>
      </c>
      <c r="N1357" s="7">
        <v>9</v>
      </c>
      <c r="O1357" s="7">
        <v>0</v>
      </c>
      <c r="P1357" s="7">
        <v>0</v>
      </c>
      <c r="Q1357" s="7">
        <v>0</v>
      </c>
      <c r="R1357" s="7">
        <v>1</v>
      </c>
      <c r="S1357" s="7">
        <v>4.5</v>
      </c>
      <c r="T1357">
        <v>7</v>
      </c>
      <c r="U1357" s="1">
        <v>36</v>
      </c>
      <c r="V1357">
        <v>0</v>
      </c>
      <c r="W1357">
        <v>0</v>
      </c>
      <c r="X1357">
        <v>1</v>
      </c>
      <c r="Y1357">
        <v>0.16</v>
      </c>
      <c r="Z1357">
        <v>23</v>
      </c>
      <c r="AA1357">
        <v>0</v>
      </c>
      <c r="AB1357">
        <v>0</v>
      </c>
      <c r="AC1357">
        <v>0</v>
      </c>
      <c r="AD1357">
        <v>1</v>
      </c>
      <c r="AE1357">
        <v>0.05</v>
      </c>
      <c r="AF1357">
        <v>15</v>
      </c>
      <c r="AG1357">
        <v>0</v>
      </c>
      <c r="AH1357">
        <v>0</v>
      </c>
      <c r="AI1357">
        <v>0</v>
      </c>
      <c r="AJ1357">
        <v>1</v>
      </c>
      <c r="AK1357">
        <v>0.02</v>
      </c>
      <c r="AL1357">
        <v>16</v>
      </c>
      <c r="AM1357">
        <v>0</v>
      </c>
      <c r="AN1357">
        <v>0</v>
      </c>
      <c r="AO1357">
        <v>0</v>
      </c>
      <c r="AP1357">
        <v>1</v>
      </c>
      <c r="AQ1357">
        <v>0.01</v>
      </c>
      <c r="AX1357">
        <v>7</v>
      </c>
      <c r="AY1357" s="1">
        <v>20</v>
      </c>
      <c r="AZ1357">
        <v>0</v>
      </c>
      <c r="BA1357">
        <v>0</v>
      </c>
      <c r="BB1357">
        <v>1</v>
      </c>
      <c r="BC1357" s="7">
        <v>0.32</v>
      </c>
      <c r="BD1357">
        <v>30</v>
      </c>
      <c r="BE1357">
        <v>0</v>
      </c>
      <c r="BF1357">
        <v>0</v>
      </c>
      <c r="BG1357">
        <v>0</v>
      </c>
      <c r="BH1357">
        <v>5</v>
      </c>
      <c r="BI1357">
        <v>2.4</v>
      </c>
      <c r="BJ1357">
        <v>31</v>
      </c>
      <c r="BK1357">
        <v>0</v>
      </c>
      <c r="BL1357">
        <v>0</v>
      </c>
      <c r="BM1357">
        <v>0</v>
      </c>
      <c r="BN1357">
        <v>5</v>
      </c>
      <c r="BO1357">
        <v>2.4</v>
      </c>
      <c r="BP1357">
        <v>36</v>
      </c>
      <c r="BQ1357">
        <v>0</v>
      </c>
      <c r="BR1357">
        <v>0</v>
      </c>
      <c r="BS1357">
        <v>0</v>
      </c>
      <c r="BT1357">
        <v>5</v>
      </c>
      <c r="BU1357">
        <v>1.7</v>
      </c>
    </row>
    <row r="1358" spans="1:73" ht="14.25" x14ac:dyDescent="0.15">
      <c r="A1358" s="12">
        <v>30205</v>
      </c>
      <c r="B1358">
        <v>7</v>
      </c>
      <c r="C1358" s="1">
        <v>0</v>
      </c>
      <c r="D1358">
        <v>5</v>
      </c>
      <c r="E1358">
        <v>1</v>
      </c>
      <c r="F1358">
        <v>1</v>
      </c>
      <c r="G1358" s="7">
        <v>0.05</v>
      </c>
      <c r="H1358">
        <v>12</v>
      </c>
      <c r="I1358">
        <v>0</v>
      </c>
      <c r="J1358">
        <v>0</v>
      </c>
      <c r="K1358">
        <v>0</v>
      </c>
      <c r="L1358">
        <v>1</v>
      </c>
      <c r="M1358">
        <v>2</v>
      </c>
      <c r="N1358" s="7">
        <v>9</v>
      </c>
      <c r="O1358" s="7">
        <v>0</v>
      </c>
      <c r="P1358" s="7">
        <v>0</v>
      </c>
      <c r="Q1358" s="7">
        <v>0</v>
      </c>
      <c r="R1358" s="7">
        <v>1</v>
      </c>
      <c r="S1358" s="7">
        <v>4.5</v>
      </c>
      <c r="T1358">
        <v>7</v>
      </c>
      <c r="U1358" s="1">
        <v>0</v>
      </c>
      <c r="V1358">
        <v>4</v>
      </c>
      <c r="W1358">
        <v>2</v>
      </c>
      <c r="X1358">
        <v>1</v>
      </c>
      <c r="Y1358">
        <v>0.16</v>
      </c>
      <c r="Z1358">
        <v>23</v>
      </c>
      <c r="AA1358">
        <v>0</v>
      </c>
      <c r="AB1358">
        <v>0</v>
      </c>
      <c r="AC1358">
        <v>0</v>
      </c>
      <c r="AD1358">
        <v>1</v>
      </c>
      <c r="AE1358">
        <v>0.05</v>
      </c>
      <c r="AF1358">
        <v>15</v>
      </c>
      <c r="AG1358">
        <v>0</v>
      </c>
      <c r="AH1358">
        <v>0</v>
      </c>
      <c r="AI1358">
        <v>0</v>
      </c>
      <c r="AJ1358">
        <v>1</v>
      </c>
      <c r="AK1358">
        <v>0.02</v>
      </c>
      <c r="AL1358">
        <v>16</v>
      </c>
      <c r="AM1358">
        <v>0</v>
      </c>
      <c r="AN1358">
        <v>0</v>
      </c>
      <c r="AO1358">
        <v>0</v>
      </c>
      <c r="AP1358">
        <v>1</v>
      </c>
      <c r="AQ1358">
        <v>0.01</v>
      </c>
      <c r="AR1358">
        <v>6</v>
      </c>
      <c r="AS1358">
        <v>2</v>
      </c>
      <c r="AT1358">
        <v>1</v>
      </c>
      <c r="AU1358">
        <v>5</v>
      </c>
      <c r="AV1358">
        <v>1</v>
      </c>
      <c r="AW1358">
        <v>0.05</v>
      </c>
      <c r="AX1358">
        <v>7</v>
      </c>
      <c r="AY1358" s="1">
        <v>0</v>
      </c>
      <c r="AZ1358">
        <v>3</v>
      </c>
      <c r="BA1358">
        <v>1</v>
      </c>
      <c r="BB1358">
        <v>1</v>
      </c>
      <c r="BC1358" s="7">
        <v>0.32</v>
      </c>
      <c r="BD1358">
        <v>30</v>
      </c>
      <c r="BE1358">
        <v>0</v>
      </c>
      <c r="BF1358">
        <v>0</v>
      </c>
      <c r="BG1358">
        <v>0</v>
      </c>
      <c r="BH1358">
        <v>5</v>
      </c>
      <c r="BI1358">
        <v>2.4</v>
      </c>
      <c r="BJ1358">
        <v>31</v>
      </c>
      <c r="BK1358">
        <v>0</v>
      </c>
      <c r="BL1358">
        <v>0</v>
      </c>
      <c r="BM1358">
        <v>0</v>
      </c>
      <c r="BN1358">
        <v>5</v>
      </c>
      <c r="BO1358">
        <v>2.4</v>
      </c>
      <c r="BP1358">
        <v>36</v>
      </c>
      <c r="BQ1358">
        <v>0</v>
      </c>
      <c r="BR1358">
        <v>0</v>
      </c>
      <c r="BS1358">
        <v>0</v>
      </c>
      <c r="BT1358">
        <v>5</v>
      </c>
      <c r="BU1358">
        <v>1.7</v>
      </c>
    </row>
    <row r="1359" spans="1:73" ht="14.25" x14ac:dyDescent="0.15">
      <c r="A1359" s="12">
        <v>30206</v>
      </c>
      <c r="B1359">
        <v>7</v>
      </c>
      <c r="C1359" s="1">
        <v>45</v>
      </c>
      <c r="D1359">
        <v>0</v>
      </c>
      <c r="E1359">
        <v>0</v>
      </c>
      <c r="F1359">
        <v>1</v>
      </c>
      <c r="G1359" s="7">
        <v>0.05</v>
      </c>
      <c r="H1359">
        <v>12</v>
      </c>
      <c r="I1359">
        <v>0</v>
      </c>
      <c r="J1359">
        <v>0</v>
      </c>
      <c r="K1359">
        <v>0</v>
      </c>
      <c r="L1359">
        <v>1</v>
      </c>
      <c r="M1359">
        <v>2</v>
      </c>
      <c r="N1359" s="7">
        <v>9</v>
      </c>
      <c r="O1359" s="7">
        <v>0</v>
      </c>
      <c r="P1359" s="7">
        <v>0</v>
      </c>
      <c r="Q1359" s="7">
        <v>0</v>
      </c>
      <c r="R1359" s="7">
        <v>1</v>
      </c>
      <c r="S1359" s="7">
        <v>4.5</v>
      </c>
      <c r="T1359">
        <v>7</v>
      </c>
      <c r="U1359" s="1">
        <v>33</v>
      </c>
      <c r="V1359">
        <v>0</v>
      </c>
      <c r="W1359">
        <v>0</v>
      </c>
      <c r="X1359">
        <v>1</v>
      </c>
      <c r="Y1359">
        <v>0.16</v>
      </c>
      <c r="Z1359">
        <v>23</v>
      </c>
      <c r="AA1359">
        <v>0</v>
      </c>
      <c r="AB1359">
        <v>0</v>
      </c>
      <c r="AC1359">
        <v>0</v>
      </c>
      <c r="AD1359">
        <v>1</v>
      </c>
      <c r="AE1359">
        <v>0.05</v>
      </c>
      <c r="AF1359">
        <v>15</v>
      </c>
      <c r="AG1359">
        <v>0</v>
      </c>
      <c r="AH1359">
        <v>0</v>
      </c>
      <c r="AI1359">
        <v>0</v>
      </c>
      <c r="AJ1359">
        <v>1</v>
      </c>
      <c r="AK1359">
        <v>0.02</v>
      </c>
      <c r="AL1359">
        <v>16</v>
      </c>
      <c r="AM1359">
        <v>0</v>
      </c>
      <c r="AN1359">
        <v>0</v>
      </c>
      <c r="AO1359">
        <v>0</v>
      </c>
      <c r="AP1359">
        <v>1</v>
      </c>
      <c r="AQ1359">
        <v>0.01</v>
      </c>
      <c r="AX1359">
        <v>7</v>
      </c>
      <c r="AY1359" s="1">
        <v>17</v>
      </c>
      <c r="AZ1359">
        <v>0</v>
      </c>
      <c r="BA1359">
        <v>0</v>
      </c>
      <c r="BB1359">
        <v>1</v>
      </c>
      <c r="BC1359" s="7">
        <v>0.32</v>
      </c>
      <c r="BD1359">
        <v>30</v>
      </c>
      <c r="BE1359">
        <v>0</v>
      </c>
      <c r="BF1359">
        <v>0</v>
      </c>
      <c r="BG1359">
        <v>0</v>
      </c>
      <c r="BH1359">
        <v>5</v>
      </c>
      <c r="BI1359">
        <v>2.4</v>
      </c>
      <c r="BJ1359">
        <v>31</v>
      </c>
      <c r="BK1359">
        <v>0</v>
      </c>
      <c r="BL1359">
        <v>0</v>
      </c>
      <c r="BM1359">
        <v>0</v>
      </c>
      <c r="BN1359">
        <v>5</v>
      </c>
      <c r="BO1359">
        <v>2.4</v>
      </c>
      <c r="BP1359">
        <v>36</v>
      </c>
      <c r="BQ1359">
        <v>0</v>
      </c>
      <c r="BR1359">
        <v>0</v>
      </c>
      <c r="BS1359">
        <v>0</v>
      </c>
      <c r="BT1359">
        <v>5</v>
      </c>
      <c r="BU1359">
        <v>1.7</v>
      </c>
    </row>
    <row r="1360" spans="1:73" ht="14.25" x14ac:dyDescent="0.15">
      <c r="A1360" s="12">
        <v>30207</v>
      </c>
      <c r="B1360">
        <v>7</v>
      </c>
      <c r="C1360" s="1">
        <v>46</v>
      </c>
      <c r="D1360">
        <v>0</v>
      </c>
      <c r="E1360">
        <v>0</v>
      </c>
      <c r="F1360">
        <v>1</v>
      </c>
      <c r="G1360" s="7">
        <v>0.05</v>
      </c>
      <c r="H1360">
        <v>12</v>
      </c>
      <c r="I1360">
        <v>0</v>
      </c>
      <c r="J1360">
        <v>0</v>
      </c>
      <c r="K1360">
        <v>0</v>
      </c>
      <c r="L1360">
        <v>1</v>
      </c>
      <c r="M1360">
        <v>2</v>
      </c>
      <c r="N1360" s="7">
        <v>9</v>
      </c>
      <c r="O1360" s="7">
        <v>0</v>
      </c>
      <c r="P1360" s="7">
        <v>0</v>
      </c>
      <c r="Q1360" s="7">
        <v>0</v>
      </c>
      <c r="R1360" s="7">
        <v>1</v>
      </c>
      <c r="S1360" s="7">
        <v>4.5</v>
      </c>
      <c r="T1360">
        <v>7</v>
      </c>
      <c r="U1360" s="1">
        <v>34</v>
      </c>
      <c r="V1360">
        <v>0</v>
      </c>
      <c r="W1360">
        <v>0</v>
      </c>
      <c r="X1360">
        <v>1</v>
      </c>
      <c r="Y1360">
        <v>0.16</v>
      </c>
      <c r="Z1360">
        <v>23</v>
      </c>
      <c r="AA1360">
        <v>0</v>
      </c>
      <c r="AB1360">
        <v>0</v>
      </c>
      <c r="AC1360">
        <v>0</v>
      </c>
      <c r="AD1360">
        <v>1</v>
      </c>
      <c r="AE1360">
        <v>0.05</v>
      </c>
      <c r="AF1360">
        <v>15</v>
      </c>
      <c r="AG1360">
        <v>0</v>
      </c>
      <c r="AH1360">
        <v>0</v>
      </c>
      <c r="AI1360">
        <v>0</v>
      </c>
      <c r="AJ1360">
        <v>1</v>
      </c>
      <c r="AK1360">
        <v>0.02</v>
      </c>
      <c r="AL1360">
        <v>16</v>
      </c>
      <c r="AM1360">
        <v>0</v>
      </c>
      <c r="AN1360">
        <v>0</v>
      </c>
      <c r="AO1360">
        <v>0</v>
      </c>
      <c r="AP1360">
        <v>1</v>
      </c>
      <c r="AQ1360">
        <v>0.01</v>
      </c>
      <c r="AX1360">
        <v>7</v>
      </c>
      <c r="AY1360" s="1">
        <v>18</v>
      </c>
      <c r="AZ1360">
        <v>0</v>
      </c>
      <c r="BA1360">
        <v>0</v>
      </c>
      <c r="BB1360">
        <v>1</v>
      </c>
      <c r="BC1360" s="7">
        <v>0.32</v>
      </c>
      <c r="BD1360">
        <v>30</v>
      </c>
      <c r="BE1360">
        <v>0</v>
      </c>
      <c r="BF1360">
        <v>0</v>
      </c>
      <c r="BG1360">
        <v>0</v>
      </c>
      <c r="BH1360">
        <v>5</v>
      </c>
      <c r="BI1360">
        <v>2.4</v>
      </c>
      <c r="BJ1360">
        <v>31</v>
      </c>
      <c r="BK1360">
        <v>0</v>
      </c>
      <c r="BL1360">
        <v>0</v>
      </c>
      <c r="BM1360">
        <v>0</v>
      </c>
      <c r="BN1360">
        <v>5</v>
      </c>
      <c r="BO1360">
        <v>2.4</v>
      </c>
      <c r="BP1360">
        <v>36</v>
      </c>
      <c r="BQ1360">
        <v>0</v>
      </c>
      <c r="BR1360">
        <v>0</v>
      </c>
      <c r="BS1360">
        <v>0</v>
      </c>
      <c r="BT1360">
        <v>5</v>
      </c>
      <c r="BU1360">
        <v>1.7</v>
      </c>
    </row>
    <row r="1361" spans="1:73" ht="14.25" x14ac:dyDescent="0.15">
      <c r="A1361" s="12">
        <v>30208</v>
      </c>
      <c r="B1361">
        <v>7</v>
      </c>
      <c r="C1361" s="1">
        <v>47</v>
      </c>
      <c r="D1361">
        <v>0</v>
      </c>
      <c r="E1361">
        <v>0</v>
      </c>
      <c r="F1361">
        <v>1</v>
      </c>
      <c r="G1361" s="7">
        <v>0.05</v>
      </c>
      <c r="H1361">
        <v>12</v>
      </c>
      <c r="I1361">
        <v>0</v>
      </c>
      <c r="J1361">
        <v>0</v>
      </c>
      <c r="K1361">
        <v>0</v>
      </c>
      <c r="L1361">
        <v>1</v>
      </c>
      <c r="M1361">
        <v>2</v>
      </c>
      <c r="N1361" s="7">
        <v>9</v>
      </c>
      <c r="O1361" s="7">
        <v>0</v>
      </c>
      <c r="P1361" s="7">
        <v>0</v>
      </c>
      <c r="Q1361" s="7">
        <v>0</v>
      </c>
      <c r="R1361" s="7">
        <v>1</v>
      </c>
      <c r="S1361" s="7">
        <v>4.5</v>
      </c>
      <c r="T1361">
        <v>7</v>
      </c>
      <c r="U1361" s="1">
        <v>35</v>
      </c>
      <c r="V1361">
        <v>0</v>
      </c>
      <c r="W1361">
        <v>0</v>
      </c>
      <c r="X1361">
        <v>1</v>
      </c>
      <c r="Y1361">
        <v>0.16</v>
      </c>
      <c r="Z1361">
        <v>23</v>
      </c>
      <c r="AA1361">
        <v>0</v>
      </c>
      <c r="AB1361">
        <v>0</v>
      </c>
      <c r="AC1361">
        <v>0</v>
      </c>
      <c r="AD1361">
        <v>1</v>
      </c>
      <c r="AE1361">
        <v>0.05</v>
      </c>
      <c r="AF1361">
        <v>15</v>
      </c>
      <c r="AG1361">
        <v>0</v>
      </c>
      <c r="AH1361">
        <v>0</v>
      </c>
      <c r="AI1361">
        <v>0</v>
      </c>
      <c r="AJ1361">
        <v>1</v>
      </c>
      <c r="AK1361">
        <v>0.02</v>
      </c>
      <c r="AL1361">
        <v>16</v>
      </c>
      <c r="AM1361">
        <v>0</v>
      </c>
      <c r="AN1361">
        <v>0</v>
      </c>
      <c r="AO1361">
        <v>0</v>
      </c>
      <c r="AP1361">
        <v>1</v>
      </c>
      <c r="AQ1361">
        <v>0.01</v>
      </c>
      <c r="AX1361">
        <v>7</v>
      </c>
      <c r="AY1361" s="1">
        <v>19</v>
      </c>
      <c r="AZ1361">
        <v>0</v>
      </c>
      <c r="BA1361">
        <v>0</v>
      </c>
      <c r="BB1361">
        <v>1</v>
      </c>
      <c r="BC1361" s="7">
        <v>0.32</v>
      </c>
      <c r="BD1361">
        <v>30</v>
      </c>
      <c r="BE1361">
        <v>0</v>
      </c>
      <c r="BF1361">
        <v>0</v>
      </c>
      <c r="BG1361">
        <v>0</v>
      </c>
      <c r="BH1361">
        <v>5</v>
      </c>
      <c r="BI1361">
        <v>2.4</v>
      </c>
      <c r="BJ1361">
        <v>31</v>
      </c>
      <c r="BK1361">
        <v>0</v>
      </c>
      <c r="BL1361">
        <v>0</v>
      </c>
      <c r="BM1361">
        <v>0</v>
      </c>
      <c r="BN1361">
        <v>5</v>
      </c>
      <c r="BO1361">
        <v>2.4</v>
      </c>
      <c r="BP1361">
        <v>36</v>
      </c>
      <c r="BQ1361">
        <v>0</v>
      </c>
      <c r="BR1361">
        <v>0</v>
      </c>
      <c r="BS1361">
        <v>0</v>
      </c>
      <c r="BT1361">
        <v>5</v>
      </c>
      <c r="BU1361">
        <v>1.7</v>
      </c>
    </row>
    <row r="1362" spans="1:73" ht="14.25" x14ac:dyDescent="0.15">
      <c r="A1362" s="12">
        <v>30209</v>
      </c>
      <c r="B1362">
        <v>7</v>
      </c>
      <c r="C1362" s="1">
        <v>48</v>
      </c>
      <c r="D1362">
        <v>0</v>
      </c>
      <c r="E1362">
        <v>0</v>
      </c>
      <c r="F1362">
        <v>1</v>
      </c>
      <c r="G1362" s="7">
        <v>0.05</v>
      </c>
      <c r="H1362">
        <v>12</v>
      </c>
      <c r="I1362">
        <v>0</v>
      </c>
      <c r="J1362">
        <v>0</v>
      </c>
      <c r="K1362">
        <v>0</v>
      </c>
      <c r="L1362">
        <v>1</v>
      </c>
      <c r="M1362">
        <v>2</v>
      </c>
      <c r="N1362" s="7">
        <v>9</v>
      </c>
      <c r="O1362" s="7">
        <v>0</v>
      </c>
      <c r="P1362" s="7">
        <v>0</v>
      </c>
      <c r="Q1362" s="7">
        <v>0</v>
      </c>
      <c r="R1362" s="7">
        <v>1</v>
      </c>
      <c r="S1362" s="7">
        <v>4.5</v>
      </c>
      <c r="T1362">
        <v>7</v>
      </c>
      <c r="U1362" s="1">
        <v>36</v>
      </c>
      <c r="V1362">
        <v>0</v>
      </c>
      <c r="W1362">
        <v>0</v>
      </c>
      <c r="X1362">
        <v>1</v>
      </c>
      <c r="Y1362">
        <v>0.16</v>
      </c>
      <c r="Z1362">
        <v>23</v>
      </c>
      <c r="AA1362">
        <v>0</v>
      </c>
      <c r="AB1362">
        <v>0</v>
      </c>
      <c r="AC1362">
        <v>0</v>
      </c>
      <c r="AD1362">
        <v>1</v>
      </c>
      <c r="AE1362">
        <v>0.05</v>
      </c>
      <c r="AF1362">
        <v>15</v>
      </c>
      <c r="AG1362">
        <v>0</v>
      </c>
      <c r="AH1362">
        <v>0</v>
      </c>
      <c r="AI1362">
        <v>0</v>
      </c>
      <c r="AJ1362">
        <v>1</v>
      </c>
      <c r="AK1362">
        <v>0.02</v>
      </c>
      <c r="AL1362">
        <v>16</v>
      </c>
      <c r="AM1362">
        <v>0</v>
      </c>
      <c r="AN1362">
        <v>0</v>
      </c>
      <c r="AO1362">
        <v>0</v>
      </c>
      <c r="AP1362">
        <v>1</v>
      </c>
      <c r="AQ1362">
        <v>0.01</v>
      </c>
      <c r="AX1362">
        <v>7</v>
      </c>
      <c r="AY1362" s="1">
        <v>20</v>
      </c>
      <c r="AZ1362">
        <v>0</v>
      </c>
      <c r="BA1362">
        <v>0</v>
      </c>
      <c r="BB1362">
        <v>1</v>
      </c>
      <c r="BC1362" s="7">
        <v>0.32</v>
      </c>
      <c r="BD1362">
        <v>30</v>
      </c>
      <c r="BE1362">
        <v>0</v>
      </c>
      <c r="BF1362">
        <v>0</v>
      </c>
      <c r="BG1362">
        <v>0</v>
      </c>
      <c r="BH1362">
        <v>5</v>
      </c>
      <c r="BI1362">
        <v>2.4</v>
      </c>
      <c r="BJ1362">
        <v>31</v>
      </c>
      <c r="BK1362">
        <v>0</v>
      </c>
      <c r="BL1362">
        <v>0</v>
      </c>
      <c r="BM1362">
        <v>0</v>
      </c>
      <c r="BN1362">
        <v>5</v>
      </c>
      <c r="BO1362">
        <v>2.4</v>
      </c>
      <c r="BP1362">
        <v>36</v>
      </c>
      <c r="BQ1362">
        <v>0</v>
      </c>
      <c r="BR1362">
        <v>0</v>
      </c>
      <c r="BS1362">
        <v>0</v>
      </c>
      <c r="BT1362">
        <v>5</v>
      </c>
      <c r="BU1362">
        <v>1.7</v>
      </c>
    </row>
    <row r="1363" spans="1:73" ht="14.25" x14ac:dyDescent="0.15">
      <c r="A1363" s="12">
        <v>30210</v>
      </c>
      <c r="B1363">
        <v>7</v>
      </c>
      <c r="C1363" s="1">
        <v>0</v>
      </c>
      <c r="D1363">
        <v>5</v>
      </c>
      <c r="E1363">
        <v>1</v>
      </c>
      <c r="F1363">
        <v>1</v>
      </c>
      <c r="G1363" s="7">
        <v>0.05</v>
      </c>
      <c r="H1363">
        <v>12</v>
      </c>
      <c r="I1363">
        <v>0</v>
      </c>
      <c r="J1363">
        <v>0</v>
      </c>
      <c r="K1363">
        <v>0</v>
      </c>
      <c r="L1363">
        <v>1</v>
      </c>
      <c r="M1363">
        <v>2</v>
      </c>
      <c r="N1363" s="7">
        <v>9</v>
      </c>
      <c r="O1363" s="7">
        <v>0</v>
      </c>
      <c r="P1363" s="7">
        <v>0</v>
      </c>
      <c r="Q1363" s="7">
        <v>0</v>
      </c>
      <c r="R1363" s="7">
        <v>1</v>
      </c>
      <c r="S1363" s="7">
        <v>4.5</v>
      </c>
      <c r="T1363">
        <v>7</v>
      </c>
      <c r="U1363" s="1">
        <v>0</v>
      </c>
      <c r="V1363">
        <v>4</v>
      </c>
      <c r="W1363">
        <v>2</v>
      </c>
      <c r="X1363">
        <v>1</v>
      </c>
      <c r="Y1363">
        <v>0.16</v>
      </c>
      <c r="Z1363">
        <v>23</v>
      </c>
      <c r="AA1363">
        <v>0</v>
      </c>
      <c r="AB1363">
        <v>0</v>
      </c>
      <c r="AC1363">
        <v>0</v>
      </c>
      <c r="AD1363">
        <v>1</v>
      </c>
      <c r="AE1363">
        <v>0.05</v>
      </c>
      <c r="AF1363">
        <v>15</v>
      </c>
      <c r="AG1363">
        <v>0</v>
      </c>
      <c r="AH1363">
        <v>0</v>
      </c>
      <c r="AI1363">
        <v>0</v>
      </c>
      <c r="AJ1363">
        <v>1</v>
      </c>
      <c r="AK1363">
        <v>0.02</v>
      </c>
      <c r="AL1363">
        <v>16</v>
      </c>
      <c r="AM1363">
        <v>0</v>
      </c>
      <c r="AN1363">
        <v>0</v>
      </c>
      <c r="AO1363">
        <v>0</v>
      </c>
      <c r="AP1363">
        <v>1</v>
      </c>
      <c r="AQ1363">
        <v>0.01</v>
      </c>
      <c r="AR1363">
        <v>6</v>
      </c>
      <c r="AS1363">
        <v>2</v>
      </c>
      <c r="AT1363">
        <v>2</v>
      </c>
      <c r="AU1363">
        <v>5</v>
      </c>
      <c r="AV1363">
        <v>1</v>
      </c>
      <c r="AW1363">
        <v>0.05</v>
      </c>
      <c r="AX1363">
        <v>7</v>
      </c>
      <c r="AY1363" s="1">
        <v>0</v>
      </c>
      <c r="AZ1363">
        <v>3</v>
      </c>
      <c r="BA1363">
        <v>1</v>
      </c>
      <c r="BB1363">
        <v>1</v>
      </c>
      <c r="BC1363" s="7">
        <v>0.32</v>
      </c>
      <c r="BD1363">
        <v>30</v>
      </c>
      <c r="BE1363">
        <v>0</v>
      </c>
      <c r="BF1363">
        <v>0</v>
      </c>
      <c r="BG1363">
        <v>0</v>
      </c>
      <c r="BH1363">
        <v>5</v>
      </c>
      <c r="BI1363">
        <v>2.4</v>
      </c>
      <c r="BJ1363">
        <v>31</v>
      </c>
      <c r="BK1363">
        <v>0</v>
      </c>
      <c r="BL1363">
        <v>0</v>
      </c>
      <c r="BM1363">
        <v>0</v>
      </c>
      <c r="BN1363">
        <v>5</v>
      </c>
      <c r="BO1363">
        <v>2.4</v>
      </c>
      <c r="BP1363">
        <v>36</v>
      </c>
      <c r="BQ1363">
        <v>0</v>
      </c>
      <c r="BR1363">
        <v>0</v>
      </c>
      <c r="BS1363">
        <v>0</v>
      </c>
      <c r="BT1363">
        <v>5</v>
      </c>
      <c r="BU1363">
        <v>1.7</v>
      </c>
    </row>
    <row r="1364" spans="1:73" ht="14.25" x14ac:dyDescent="0.15">
      <c r="A1364" s="12">
        <v>30211</v>
      </c>
      <c r="B1364">
        <v>7</v>
      </c>
      <c r="C1364" s="1">
        <v>45</v>
      </c>
      <c r="D1364">
        <v>0</v>
      </c>
      <c r="E1364">
        <v>0</v>
      </c>
      <c r="F1364">
        <v>1</v>
      </c>
      <c r="G1364" s="7">
        <v>0.05</v>
      </c>
      <c r="H1364">
        <v>12</v>
      </c>
      <c r="I1364">
        <v>0</v>
      </c>
      <c r="J1364">
        <v>0</v>
      </c>
      <c r="K1364">
        <v>0</v>
      </c>
      <c r="L1364">
        <v>1</v>
      </c>
      <c r="M1364">
        <v>2</v>
      </c>
      <c r="N1364" s="7">
        <v>9</v>
      </c>
      <c r="O1364" s="7">
        <v>0</v>
      </c>
      <c r="P1364" s="7">
        <v>0</v>
      </c>
      <c r="Q1364" s="7">
        <v>0</v>
      </c>
      <c r="R1364" s="7">
        <v>1</v>
      </c>
      <c r="S1364" s="7">
        <v>4.5</v>
      </c>
      <c r="T1364">
        <v>7</v>
      </c>
      <c r="U1364" s="1">
        <v>33</v>
      </c>
      <c r="V1364">
        <v>0</v>
      </c>
      <c r="W1364">
        <v>0</v>
      </c>
      <c r="X1364">
        <v>1</v>
      </c>
      <c r="Y1364">
        <v>0.16</v>
      </c>
      <c r="Z1364">
        <v>23</v>
      </c>
      <c r="AA1364">
        <v>0</v>
      </c>
      <c r="AB1364">
        <v>0</v>
      </c>
      <c r="AC1364">
        <v>0</v>
      </c>
      <c r="AD1364">
        <v>1</v>
      </c>
      <c r="AE1364">
        <v>0.05</v>
      </c>
      <c r="AF1364">
        <v>15</v>
      </c>
      <c r="AG1364">
        <v>0</v>
      </c>
      <c r="AH1364">
        <v>0</v>
      </c>
      <c r="AI1364">
        <v>0</v>
      </c>
      <c r="AJ1364">
        <v>1</v>
      </c>
      <c r="AK1364">
        <v>0.02</v>
      </c>
      <c r="AL1364">
        <v>16</v>
      </c>
      <c r="AM1364">
        <v>0</v>
      </c>
      <c r="AN1364">
        <v>0</v>
      </c>
      <c r="AO1364">
        <v>0</v>
      </c>
      <c r="AP1364">
        <v>1</v>
      </c>
      <c r="AQ1364">
        <v>0.01</v>
      </c>
      <c r="AX1364">
        <v>7</v>
      </c>
      <c r="AY1364" s="1">
        <v>17</v>
      </c>
      <c r="AZ1364">
        <v>0</v>
      </c>
      <c r="BA1364">
        <v>0</v>
      </c>
      <c r="BB1364">
        <v>1</v>
      </c>
      <c r="BC1364" s="7">
        <v>0.32</v>
      </c>
      <c r="BD1364">
        <v>30</v>
      </c>
      <c r="BE1364">
        <v>0</v>
      </c>
      <c r="BF1364">
        <v>0</v>
      </c>
      <c r="BG1364">
        <v>0</v>
      </c>
      <c r="BH1364">
        <v>5</v>
      </c>
      <c r="BI1364">
        <v>2.4</v>
      </c>
      <c r="BJ1364">
        <v>31</v>
      </c>
      <c r="BK1364">
        <v>0</v>
      </c>
      <c r="BL1364">
        <v>0</v>
      </c>
      <c r="BM1364">
        <v>0</v>
      </c>
      <c r="BN1364">
        <v>5</v>
      </c>
      <c r="BO1364">
        <v>2.4</v>
      </c>
      <c r="BP1364">
        <v>36</v>
      </c>
      <c r="BQ1364">
        <v>0</v>
      </c>
      <c r="BR1364">
        <v>0</v>
      </c>
      <c r="BS1364">
        <v>0</v>
      </c>
      <c r="BT1364">
        <v>5</v>
      </c>
      <c r="BU1364">
        <v>1.7</v>
      </c>
    </row>
    <row r="1365" spans="1:73" ht="14.25" x14ac:dyDescent="0.15">
      <c r="A1365" s="12">
        <v>30212</v>
      </c>
      <c r="B1365">
        <v>7</v>
      </c>
      <c r="C1365" s="1">
        <v>46</v>
      </c>
      <c r="D1365">
        <v>0</v>
      </c>
      <c r="E1365">
        <v>0</v>
      </c>
      <c r="F1365">
        <v>1</v>
      </c>
      <c r="G1365" s="7">
        <v>0.05</v>
      </c>
      <c r="H1365">
        <v>12</v>
      </c>
      <c r="I1365">
        <v>0</v>
      </c>
      <c r="J1365">
        <v>0</v>
      </c>
      <c r="K1365">
        <v>0</v>
      </c>
      <c r="L1365">
        <v>1</v>
      </c>
      <c r="M1365">
        <v>2</v>
      </c>
      <c r="N1365" s="7">
        <v>9</v>
      </c>
      <c r="O1365" s="7">
        <v>0</v>
      </c>
      <c r="P1365" s="7">
        <v>0</v>
      </c>
      <c r="Q1365" s="7">
        <v>0</v>
      </c>
      <c r="R1365" s="7">
        <v>1</v>
      </c>
      <c r="S1365" s="7">
        <v>4.5</v>
      </c>
      <c r="T1365">
        <v>7</v>
      </c>
      <c r="U1365" s="1">
        <v>34</v>
      </c>
      <c r="V1365">
        <v>0</v>
      </c>
      <c r="W1365">
        <v>0</v>
      </c>
      <c r="X1365">
        <v>1</v>
      </c>
      <c r="Y1365">
        <v>0.16</v>
      </c>
      <c r="Z1365">
        <v>23</v>
      </c>
      <c r="AA1365">
        <v>0</v>
      </c>
      <c r="AB1365">
        <v>0</v>
      </c>
      <c r="AC1365">
        <v>0</v>
      </c>
      <c r="AD1365">
        <v>1</v>
      </c>
      <c r="AE1365">
        <v>0.05</v>
      </c>
      <c r="AF1365">
        <v>15</v>
      </c>
      <c r="AG1365">
        <v>0</v>
      </c>
      <c r="AH1365">
        <v>0</v>
      </c>
      <c r="AI1365">
        <v>0</v>
      </c>
      <c r="AJ1365">
        <v>1</v>
      </c>
      <c r="AK1365">
        <v>0.02</v>
      </c>
      <c r="AL1365">
        <v>16</v>
      </c>
      <c r="AM1365">
        <v>0</v>
      </c>
      <c r="AN1365">
        <v>0</v>
      </c>
      <c r="AO1365">
        <v>0</v>
      </c>
      <c r="AP1365">
        <v>1</v>
      </c>
      <c r="AQ1365">
        <v>0.01</v>
      </c>
      <c r="AX1365">
        <v>7</v>
      </c>
      <c r="AY1365" s="1">
        <v>18</v>
      </c>
      <c r="AZ1365">
        <v>0</v>
      </c>
      <c r="BA1365">
        <v>0</v>
      </c>
      <c r="BB1365">
        <v>1</v>
      </c>
      <c r="BC1365" s="7">
        <v>0.32</v>
      </c>
      <c r="BD1365">
        <v>30</v>
      </c>
      <c r="BE1365">
        <v>0</v>
      </c>
      <c r="BF1365">
        <v>0</v>
      </c>
      <c r="BG1365">
        <v>0</v>
      </c>
      <c r="BH1365">
        <v>5</v>
      </c>
      <c r="BI1365">
        <v>2.4</v>
      </c>
      <c r="BJ1365">
        <v>31</v>
      </c>
      <c r="BK1365">
        <v>0</v>
      </c>
      <c r="BL1365">
        <v>0</v>
      </c>
      <c r="BM1365">
        <v>0</v>
      </c>
      <c r="BN1365">
        <v>5</v>
      </c>
      <c r="BO1365">
        <v>2.4</v>
      </c>
      <c r="BP1365">
        <v>36</v>
      </c>
      <c r="BQ1365">
        <v>0</v>
      </c>
      <c r="BR1365">
        <v>0</v>
      </c>
      <c r="BS1365">
        <v>0</v>
      </c>
      <c r="BT1365">
        <v>5</v>
      </c>
      <c r="BU1365">
        <v>1.7</v>
      </c>
    </row>
    <row r="1366" spans="1:73" ht="14.25" x14ac:dyDescent="0.15">
      <c r="A1366" s="12">
        <v>30213</v>
      </c>
      <c r="B1366">
        <v>7</v>
      </c>
      <c r="C1366" s="1">
        <v>47</v>
      </c>
      <c r="D1366">
        <v>0</v>
      </c>
      <c r="E1366">
        <v>0</v>
      </c>
      <c r="F1366">
        <v>1</v>
      </c>
      <c r="G1366" s="7">
        <v>0.05</v>
      </c>
      <c r="H1366">
        <v>12</v>
      </c>
      <c r="I1366">
        <v>0</v>
      </c>
      <c r="J1366">
        <v>0</v>
      </c>
      <c r="K1366">
        <v>0</v>
      </c>
      <c r="L1366">
        <v>1</v>
      </c>
      <c r="M1366">
        <v>2</v>
      </c>
      <c r="N1366" s="7">
        <v>9</v>
      </c>
      <c r="O1366" s="7">
        <v>0</v>
      </c>
      <c r="P1366" s="7">
        <v>0</v>
      </c>
      <c r="Q1366" s="7">
        <v>0</v>
      </c>
      <c r="R1366" s="7">
        <v>1</v>
      </c>
      <c r="S1366" s="7">
        <v>4.5</v>
      </c>
      <c r="T1366">
        <v>7</v>
      </c>
      <c r="U1366" s="1">
        <v>35</v>
      </c>
      <c r="V1366">
        <v>0</v>
      </c>
      <c r="W1366">
        <v>0</v>
      </c>
      <c r="X1366">
        <v>1</v>
      </c>
      <c r="Y1366">
        <v>0.16</v>
      </c>
      <c r="Z1366">
        <v>23</v>
      </c>
      <c r="AA1366">
        <v>0</v>
      </c>
      <c r="AB1366">
        <v>0</v>
      </c>
      <c r="AC1366">
        <v>0</v>
      </c>
      <c r="AD1366">
        <v>1</v>
      </c>
      <c r="AE1366">
        <v>0.05</v>
      </c>
      <c r="AF1366">
        <v>15</v>
      </c>
      <c r="AG1366">
        <v>0</v>
      </c>
      <c r="AH1366">
        <v>0</v>
      </c>
      <c r="AI1366">
        <v>0</v>
      </c>
      <c r="AJ1366">
        <v>1</v>
      </c>
      <c r="AK1366">
        <v>0.02</v>
      </c>
      <c r="AL1366">
        <v>16</v>
      </c>
      <c r="AM1366">
        <v>0</v>
      </c>
      <c r="AN1366">
        <v>0</v>
      </c>
      <c r="AO1366">
        <v>0</v>
      </c>
      <c r="AP1366">
        <v>1</v>
      </c>
      <c r="AQ1366">
        <v>0.01</v>
      </c>
      <c r="AX1366">
        <v>7</v>
      </c>
      <c r="AY1366" s="1">
        <v>19</v>
      </c>
      <c r="AZ1366">
        <v>0</v>
      </c>
      <c r="BA1366">
        <v>0</v>
      </c>
      <c r="BB1366">
        <v>1</v>
      </c>
      <c r="BC1366" s="7">
        <v>0.32</v>
      </c>
      <c r="BD1366">
        <v>30</v>
      </c>
      <c r="BE1366">
        <v>0</v>
      </c>
      <c r="BF1366">
        <v>0</v>
      </c>
      <c r="BG1366">
        <v>0</v>
      </c>
      <c r="BH1366">
        <v>5</v>
      </c>
      <c r="BI1366">
        <v>2.4</v>
      </c>
      <c r="BJ1366">
        <v>31</v>
      </c>
      <c r="BK1366">
        <v>0</v>
      </c>
      <c r="BL1366">
        <v>0</v>
      </c>
      <c r="BM1366">
        <v>0</v>
      </c>
      <c r="BN1366">
        <v>5</v>
      </c>
      <c r="BO1366">
        <v>2.4</v>
      </c>
      <c r="BP1366">
        <v>36</v>
      </c>
      <c r="BQ1366">
        <v>0</v>
      </c>
      <c r="BR1366">
        <v>0</v>
      </c>
      <c r="BS1366">
        <v>0</v>
      </c>
      <c r="BT1366">
        <v>5</v>
      </c>
      <c r="BU1366">
        <v>1.7</v>
      </c>
    </row>
    <row r="1367" spans="1:73" ht="14.25" x14ac:dyDescent="0.15">
      <c r="A1367" s="12">
        <v>30214</v>
      </c>
      <c r="B1367">
        <v>7</v>
      </c>
      <c r="C1367" s="1">
        <v>48</v>
      </c>
      <c r="D1367">
        <v>0</v>
      </c>
      <c r="E1367">
        <v>0</v>
      </c>
      <c r="F1367">
        <v>1</v>
      </c>
      <c r="G1367" s="7">
        <v>0.05</v>
      </c>
      <c r="H1367">
        <v>12</v>
      </c>
      <c r="I1367">
        <v>0</v>
      </c>
      <c r="J1367">
        <v>0</v>
      </c>
      <c r="K1367">
        <v>0</v>
      </c>
      <c r="L1367">
        <v>1</v>
      </c>
      <c r="M1367">
        <v>2</v>
      </c>
      <c r="N1367" s="7">
        <v>9</v>
      </c>
      <c r="O1367" s="7">
        <v>0</v>
      </c>
      <c r="P1367" s="7">
        <v>0</v>
      </c>
      <c r="Q1367" s="7">
        <v>0</v>
      </c>
      <c r="R1367" s="7">
        <v>1</v>
      </c>
      <c r="S1367" s="7">
        <v>4.5</v>
      </c>
      <c r="T1367">
        <v>7</v>
      </c>
      <c r="U1367" s="1">
        <v>36</v>
      </c>
      <c r="V1367">
        <v>0</v>
      </c>
      <c r="W1367">
        <v>0</v>
      </c>
      <c r="X1367">
        <v>1</v>
      </c>
      <c r="Y1367">
        <v>0.16</v>
      </c>
      <c r="Z1367">
        <v>23</v>
      </c>
      <c r="AA1367">
        <v>0</v>
      </c>
      <c r="AB1367">
        <v>0</v>
      </c>
      <c r="AC1367">
        <v>0</v>
      </c>
      <c r="AD1367">
        <v>1</v>
      </c>
      <c r="AE1367">
        <v>0.05</v>
      </c>
      <c r="AF1367">
        <v>15</v>
      </c>
      <c r="AG1367">
        <v>0</v>
      </c>
      <c r="AH1367">
        <v>0</v>
      </c>
      <c r="AI1367">
        <v>0</v>
      </c>
      <c r="AJ1367">
        <v>1</v>
      </c>
      <c r="AK1367">
        <v>0.02</v>
      </c>
      <c r="AL1367">
        <v>16</v>
      </c>
      <c r="AM1367">
        <v>0</v>
      </c>
      <c r="AN1367">
        <v>0</v>
      </c>
      <c r="AO1367">
        <v>0</v>
      </c>
      <c r="AP1367">
        <v>1</v>
      </c>
      <c r="AQ1367">
        <v>0.01</v>
      </c>
      <c r="AX1367">
        <v>7</v>
      </c>
      <c r="AY1367" s="1">
        <v>20</v>
      </c>
      <c r="AZ1367">
        <v>0</v>
      </c>
      <c r="BA1367">
        <v>0</v>
      </c>
      <c r="BB1367">
        <v>1</v>
      </c>
      <c r="BC1367" s="7">
        <v>0.32</v>
      </c>
      <c r="BD1367">
        <v>30</v>
      </c>
      <c r="BE1367">
        <v>0</v>
      </c>
      <c r="BF1367">
        <v>0</v>
      </c>
      <c r="BG1367">
        <v>0</v>
      </c>
      <c r="BH1367">
        <v>5</v>
      </c>
      <c r="BI1367">
        <v>2.4</v>
      </c>
      <c r="BJ1367">
        <v>31</v>
      </c>
      <c r="BK1367">
        <v>0</v>
      </c>
      <c r="BL1367">
        <v>0</v>
      </c>
      <c r="BM1367">
        <v>0</v>
      </c>
      <c r="BN1367">
        <v>5</v>
      </c>
      <c r="BO1367">
        <v>2.4</v>
      </c>
      <c r="BP1367">
        <v>36</v>
      </c>
      <c r="BQ1367">
        <v>0</v>
      </c>
      <c r="BR1367">
        <v>0</v>
      </c>
      <c r="BS1367">
        <v>0</v>
      </c>
      <c r="BT1367">
        <v>5</v>
      </c>
      <c r="BU1367">
        <v>1.7</v>
      </c>
    </row>
    <row r="1368" spans="1:73" ht="14.25" x14ac:dyDescent="0.15">
      <c r="A1368" s="12">
        <v>30215</v>
      </c>
      <c r="B1368">
        <v>7</v>
      </c>
      <c r="C1368" s="1">
        <v>0</v>
      </c>
      <c r="D1368">
        <v>5</v>
      </c>
      <c r="E1368">
        <v>1</v>
      </c>
      <c r="F1368">
        <v>1</v>
      </c>
      <c r="G1368" s="7">
        <v>0.05</v>
      </c>
      <c r="H1368">
        <v>12</v>
      </c>
      <c r="I1368">
        <v>0</v>
      </c>
      <c r="J1368">
        <v>0</v>
      </c>
      <c r="K1368">
        <v>0</v>
      </c>
      <c r="L1368">
        <v>1</v>
      </c>
      <c r="M1368">
        <v>2</v>
      </c>
      <c r="N1368" s="7">
        <v>9</v>
      </c>
      <c r="O1368" s="7">
        <v>0</v>
      </c>
      <c r="P1368" s="7">
        <v>0</v>
      </c>
      <c r="Q1368" s="7">
        <v>0</v>
      </c>
      <c r="R1368" s="7">
        <v>1</v>
      </c>
      <c r="S1368" s="7">
        <v>4.5</v>
      </c>
      <c r="T1368">
        <v>7</v>
      </c>
      <c r="U1368" s="1">
        <v>0</v>
      </c>
      <c r="V1368">
        <v>4</v>
      </c>
      <c r="W1368">
        <v>2</v>
      </c>
      <c r="X1368">
        <v>1</v>
      </c>
      <c r="Y1368">
        <v>0.16</v>
      </c>
      <c r="Z1368">
        <v>23</v>
      </c>
      <c r="AA1368">
        <v>0</v>
      </c>
      <c r="AB1368">
        <v>0</v>
      </c>
      <c r="AC1368">
        <v>0</v>
      </c>
      <c r="AD1368">
        <v>1</v>
      </c>
      <c r="AE1368">
        <v>0.05</v>
      </c>
      <c r="AF1368">
        <v>15</v>
      </c>
      <c r="AG1368">
        <v>0</v>
      </c>
      <c r="AH1368">
        <v>0</v>
      </c>
      <c r="AI1368">
        <v>0</v>
      </c>
      <c r="AJ1368">
        <v>1</v>
      </c>
      <c r="AK1368">
        <v>0.02</v>
      </c>
      <c r="AL1368">
        <v>16</v>
      </c>
      <c r="AM1368">
        <v>0</v>
      </c>
      <c r="AN1368">
        <v>0</v>
      </c>
      <c r="AO1368">
        <v>0</v>
      </c>
      <c r="AP1368">
        <v>1</v>
      </c>
      <c r="AQ1368">
        <v>0.01</v>
      </c>
      <c r="AR1368">
        <v>6</v>
      </c>
      <c r="AS1368">
        <v>2</v>
      </c>
      <c r="AT1368">
        <v>3</v>
      </c>
      <c r="AU1368">
        <v>5</v>
      </c>
      <c r="AV1368">
        <v>1</v>
      </c>
      <c r="AW1368">
        <v>0.05</v>
      </c>
      <c r="AX1368">
        <v>7</v>
      </c>
      <c r="AY1368" s="1">
        <v>0</v>
      </c>
      <c r="AZ1368">
        <v>3</v>
      </c>
      <c r="BA1368">
        <v>1</v>
      </c>
      <c r="BB1368">
        <v>1</v>
      </c>
      <c r="BC1368" s="7">
        <v>0.32</v>
      </c>
      <c r="BD1368">
        <v>30</v>
      </c>
      <c r="BE1368">
        <v>0</v>
      </c>
      <c r="BF1368">
        <v>0</v>
      </c>
      <c r="BG1368">
        <v>0</v>
      </c>
      <c r="BH1368">
        <v>5</v>
      </c>
      <c r="BI1368">
        <v>2.4</v>
      </c>
      <c r="BJ1368">
        <v>31</v>
      </c>
      <c r="BK1368">
        <v>0</v>
      </c>
      <c r="BL1368">
        <v>0</v>
      </c>
      <c r="BM1368">
        <v>0</v>
      </c>
      <c r="BN1368">
        <v>5</v>
      </c>
      <c r="BO1368">
        <v>2.4</v>
      </c>
      <c r="BP1368">
        <v>36</v>
      </c>
      <c r="BQ1368">
        <v>0</v>
      </c>
      <c r="BR1368">
        <v>0</v>
      </c>
      <c r="BS1368">
        <v>0</v>
      </c>
      <c r="BT1368">
        <v>5</v>
      </c>
      <c r="BU1368">
        <v>1.7</v>
      </c>
    </row>
    <row r="1369" spans="1:73" ht="14.25" x14ac:dyDescent="0.15">
      <c r="A1369" s="12">
        <v>30216</v>
      </c>
      <c r="B1369">
        <v>7</v>
      </c>
      <c r="C1369" s="1">
        <v>45</v>
      </c>
      <c r="D1369">
        <v>0</v>
      </c>
      <c r="E1369">
        <v>0</v>
      </c>
      <c r="F1369">
        <v>1</v>
      </c>
      <c r="G1369" s="7">
        <v>0.05</v>
      </c>
      <c r="H1369">
        <v>12</v>
      </c>
      <c r="I1369">
        <v>0</v>
      </c>
      <c r="J1369">
        <v>0</v>
      </c>
      <c r="K1369">
        <v>0</v>
      </c>
      <c r="L1369">
        <v>1</v>
      </c>
      <c r="M1369">
        <v>2</v>
      </c>
      <c r="N1369" s="7">
        <v>9</v>
      </c>
      <c r="O1369" s="7">
        <v>0</v>
      </c>
      <c r="P1369" s="7">
        <v>0</v>
      </c>
      <c r="Q1369" s="7">
        <v>0</v>
      </c>
      <c r="R1369" s="7">
        <v>1</v>
      </c>
      <c r="S1369" s="7">
        <v>4.5</v>
      </c>
      <c r="T1369">
        <v>7</v>
      </c>
      <c r="U1369" s="1">
        <v>33</v>
      </c>
      <c r="V1369">
        <v>0</v>
      </c>
      <c r="W1369">
        <v>0</v>
      </c>
      <c r="X1369">
        <v>1</v>
      </c>
      <c r="Y1369">
        <v>0.16</v>
      </c>
      <c r="Z1369">
        <v>23</v>
      </c>
      <c r="AA1369">
        <v>0</v>
      </c>
      <c r="AB1369">
        <v>0</v>
      </c>
      <c r="AC1369">
        <v>0</v>
      </c>
      <c r="AD1369">
        <v>1</v>
      </c>
      <c r="AE1369">
        <v>0.05</v>
      </c>
      <c r="AF1369">
        <v>15</v>
      </c>
      <c r="AG1369">
        <v>0</v>
      </c>
      <c r="AH1369">
        <v>0</v>
      </c>
      <c r="AI1369">
        <v>0</v>
      </c>
      <c r="AJ1369">
        <v>1</v>
      </c>
      <c r="AK1369">
        <v>0.02</v>
      </c>
      <c r="AL1369">
        <v>16</v>
      </c>
      <c r="AM1369">
        <v>0</v>
      </c>
      <c r="AN1369">
        <v>0</v>
      </c>
      <c r="AO1369">
        <v>0</v>
      </c>
      <c r="AP1369">
        <v>1</v>
      </c>
      <c r="AQ1369">
        <v>0.01</v>
      </c>
      <c r="AX1369">
        <v>7</v>
      </c>
      <c r="AY1369" s="1">
        <v>17</v>
      </c>
      <c r="AZ1369">
        <v>0</v>
      </c>
      <c r="BA1369">
        <v>0</v>
      </c>
      <c r="BB1369">
        <v>1</v>
      </c>
      <c r="BC1369" s="7">
        <v>0.32</v>
      </c>
      <c r="BD1369">
        <v>30</v>
      </c>
      <c r="BE1369">
        <v>0</v>
      </c>
      <c r="BF1369">
        <v>0</v>
      </c>
      <c r="BG1369">
        <v>0</v>
      </c>
      <c r="BH1369">
        <v>5</v>
      </c>
      <c r="BI1369">
        <v>2.4</v>
      </c>
      <c r="BJ1369">
        <v>31</v>
      </c>
      <c r="BK1369">
        <v>0</v>
      </c>
      <c r="BL1369">
        <v>0</v>
      </c>
      <c r="BM1369">
        <v>0</v>
      </c>
      <c r="BN1369">
        <v>5</v>
      </c>
      <c r="BO1369">
        <v>2.4</v>
      </c>
      <c r="BP1369">
        <v>36</v>
      </c>
      <c r="BQ1369">
        <v>0</v>
      </c>
      <c r="BR1369">
        <v>0</v>
      </c>
      <c r="BS1369">
        <v>0</v>
      </c>
      <c r="BT1369">
        <v>5</v>
      </c>
      <c r="BU1369">
        <v>1.7</v>
      </c>
    </row>
    <row r="1370" spans="1:73" ht="14.25" x14ac:dyDescent="0.15">
      <c r="A1370" s="12">
        <v>30217</v>
      </c>
      <c r="B1370">
        <v>7</v>
      </c>
      <c r="C1370" s="1">
        <v>46</v>
      </c>
      <c r="D1370">
        <v>0</v>
      </c>
      <c r="E1370">
        <v>0</v>
      </c>
      <c r="F1370">
        <v>1</v>
      </c>
      <c r="G1370" s="7">
        <v>0.05</v>
      </c>
      <c r="H1370">
        <v>12</v>
      </c>
      <c r="I1370">
        <v>0</v>
      </c>
      <c r="J1370">
        <v>0</v>
      </c>
      <c r="K1370">
        <v>0</v>
      </c>
      <c r="L1370">
        <v>1</v>
      </c>
      <c r="M1370">
        <v>2</v>
      </c>
      <c r="N1370" s="7">
        <v>9</v>
      </c>
      <c r="O1370" s="7">
        <v>0</v>
      </c>
      <c r="P1370" s="7">
        <v>0</v>
      </c>
      <c r="Q1370" s="7">
        <v>0</v>
      </c>
      <c r="R1370" s="7">
        <v>1</v>
      </c>
      <c r="S1370" s="7">
        <v>4.5</v>
      </c>
      <c r="T1370">
        <v>7</v>
      </c>
      <c r="U1370" s="1">
        <v>34</v>
      </c>
      <c r="V1370">
        <v>0</v>
      </c>
      <c r="W1370">
        <v>0</v>
      </c>
      <c r="X1370">
        <v>1</v>
      </c>
      <c r="Y1370">
        <v>0.16</v>
      </c>
      <c r="Z1370">
        <v>23</v>
      </c>
      <c r="AA1370">
        <v>0</v>
      </c>
      <c r="AB1370">
        <v>0</v>
      </c>
      <c r="AC1370">
        <v>0</v>
      </c>
      <c r="AD1370">
        <v>1</v>
      </c>
      <c r="AE1370">
        <v>0.05</v>
      </c>
      <c r="AF1370">
        <v>15</v>
      </c>
      <c r="AG1370">
        <v>0</v>
      </c>
      <c r="AH1370">
        <v>0</v>
      </c>
      <c r="AI1370">
        <v>0</v>
      </c>
      <c r="AJ1370">
        <v>1</v>
      </c>
      <c r="AK1370">
        <v>0.02</v>
      </c>
      <c r="AL1370">
        <v>16</v>
      </c>
      <c r="AM1370">
        <v>0</v>
      </c>
      <c r="AN1370">
        <v>0</v>
      </c>
      <c r="AO1370">
        <v>0</v>
      </c>
      <c r="AP1370">
        <v>1</v>
      </c>
      <c r="AQ1370">
        <v>0.01</v>
      </c>
      <c r="AX1370">
        <v>7</v>
      </c>
      <c r="AY1370" s="1">
        <v>18</v>
      </c>
      <c r="AZ1370">
        <v>0</v>
      </c>
      <c r="BA1370">
        <v>0</v>
      </c>
      <c r="BB1370">
        <v>1</v>
      </c>
      <c r="BC1370" s="7">
        <v>0.32</v>
      </c>
      <c r="BD1370">
        <v>30</v>
      </c>
      <c r="BE1370">
        <v>0</v>
      </c>
      <c r="BF1370">
        <v>0</v>
      </c>
      <c r="BG1370">
        <v>0</v>
      </c>
      <c r="BH1370">
        <v>5</v>
      </c>
      <c r="BI1370">
        <v>2.4</v>
      </c>
      <c r="BJ1370">
        <v>31</v>
      </c>
      <c r="BK1370">
        <v>0</v>
      </c>
      <c r="BL1370">
        <v>0</v>
      </c>
      <c r="BM1370">
        <v>0</v>
      </c>
      <c r="BN1370">
        <v>5</v>
      </c>
      <c r="BO1370">
        <v>2.4</v>
      </c>
      <c r="BP1370">
        <v>36</v>
      </c>
      <c r="BQ1370">
        <v>0</v>
      </c>
      <c r="BR1370">
        <v>0</v>
      </c>
      <c r="BS1370">
        <v>0</v>
      </c>
      <c r="BT1370">
        <v>5</v>
      </c>
      <c r="BU1370">
        <v>1.7</v>
      </c>
    </row>
    <row r="1371" spans="1:73" ht="14.25" x14ac:dyDescent="0.15">
      <c r="A1371" s="12">
        <v>30218</v>
      </c>
      <c r="B1371">
        <v>7</v>
      </c>
      <c r="C1371" s="1">
        <v>47</v>
      </c>
      <c r="D1371">
        <v>0</v>
      </c>
      <c r="E1371">
        <v>0</v>
      </c>
      <c r="F1371">
        <v>1</v>
      </c>
      <c r="G1371" s="7">
        <v>0.05</v>
      </c>
      <c r="H1371">
        <v>12</v>
      </c>
      <c r="I1371">
        <v>0</v>
      </c>
      <c r="J1371">
        <v>0</v>
      </c>
      <c r="K1371">
        <v>0</v>
      </c>
      <c r="L1371">
        <v>1</v>
      </c>
      <c r="M1371">
        <v>2</v>
      </c>
      <c r="N1371" s="7">
        <v>9</v>
      </c>
      <c r="O1371" s="7">
        <v>0</v>
      </c>
      <c r="P1371" s="7">
        <v>0</v>
      </c>
      <c r="Q1371" s="7">
        <v>0</v>
      </c>
      <c r="R1371" s="7">
        <v>1</v>
      </c>
      <c r="S1371" s="7">
        <v>4.5</v>
      </c>
      <c r="T1371">
        <v>7</v>
      </c>
      <c r="U1371" s="1">
        <v>35</v>
      </c>
      <c r="V1371">
        <v>0</v>
      </c>
      <c r="W1371">
        <v>0</v>
      </c>
      <c r="X1371">
        <v>1</v>
      </c>
      <c r="Y1371">
        <v>0.16</v>
      </c>
      <c r="Z1371">
        <v>23</v>
      </c>
      <c r="AA1371">
        <v>0</v>
      </c>
      <c r="AB1371">
        <v>0</v>
      </c>
      <c r="AC1371">
        <v>0</v>
      </c>
      <c r="AD1371">
        <v>1</v>
      </c>
      <c r="AE1371">
        <v>0.05</v>
      </c>
      <c r="AF1371">
        <v>15</v>
      </c>
      <c r="AG1371">
        <v>0</v>
      </c>
      <c r="AH1371">
        <v>0</v>
      </c>
      <c r="AI1371">
        <v>0</v>
      </c>
      <c r="AJ1371">
        <v>1</v>
      </c>
      <c r="AK1371">
        <v>0.02</v>
      </c>
      <c r="AL1371">
        <v>16</v>
      </c>
      <c r="AM1371">
        <v>0</v>
      </c>
      <c r="AN1371">
        <v>0</v>
      </c>
      <c r="AO1371">
        <v>0</v>
      </c>
      <c r="AP1371">
        <v>1</v>
      </c>
      <c r="AQ1371">
        <v>0.01</v>
      </c>
      <c r="AX1371">
        <v>7</v>
      </c>
      <c r="AY1371" s="1">
        <v>19</v>
      </c>
      <c r="AZ1371">
        <v>0</v>
      </c>
      <c r="BA1371">
        <v>0</v>
      </c>
      <c r="BB1371">
        <v>1</v>
      </c>
      <c r="BC1371" s="7">
        <v>0.32</v>
      </c>
      <c r="BD1371">
        <v>30</v>
      </c>
      <c r="BE1371">
        <v>0</v>
      </c>
      <c r="BF1371">
        <v>0</v>
      </c>
      <c r="BG1371">
        <v>0</v>
      </c>
      <c r="BH1371">
        <v>5</v>
      </c>
      <c r="BI1371">
        <v>2.4</v>
      </c>
      <c r="BJ1371">
        <v>31</v>
      </c>
      <c r="BK1371">
        <v>0</v>
      </c>
      <c r="BL1371">
        <v>0</v>
      </c>
      <c r="BM1371">
        <v>0</v>
      </c>
      <c r="BN1371">
        <v>5</v>
      </c>
      <c r="BO1371">
        <v>2.4</v>
      </c>
      <c r="BP1371">
        <v>36</v>
      </c>
      <c r="BQ1371">
        <v>0</v>
      </c>
      <c r="BR1371">
        <v>0</v>
      </c>
      <c r="BS1371">
        <v>0</v>
      </c>
      <c r="BT1371">
        <v>5</v>
      </c>
      <c r="BU1371">
        <v>1.7</v>
      </c>
    </row>
    <row r="1372" spans="1:73" ht="14.25" x14ac:dyDescent="0.15">
      <c r="A1372" s="12">
        <v>30219</v>
      </c>
      <c r="B1372">
        <v>7</v>
      </c>
      <c r="C1372" s="1">
        <v>48</v>
      </c>
      <c r="D1372">
        <v>0</v>
      </c>
      <c r="E1372">
        <v>0</v>
      </c>
      <c r="F1372">
        <v>1</v>
      </c>
      <c r="G1372" s="7">
        <v>0.05</v>
      </c>
      <c r="H1372">
        <v>12</v>
      </c>
      <c r="I1372">
        <v>0</v>
      </c>
      <c r="J1372">
        <v>0</v>
      </c>
      <c r="K1372">
        <v>0</v>
      </c>
      <c r="L1372">
        <v>1</v>
      </c>
      <c r="M1372">
        <v>2</v>
      </c>
      <c r="N1372" s="7">
        <v>9</v>
      </c>
      <c r="O1372" s="7">
        <v>0</v>
      </c>
      <c r="P1372" s="7">
        <v>0</v>
      </c>
      <c r="Q1372" s="7">
        <v>0</v>
      </c>
      <c r="R1372" s="7">
        <v>1</v>
      </c>
      <c r="S1372" s="7">
        <v>4.5</v>
      </c>
      <c r="T1372">
        <v>7</v>
      </c>
      <c r="U1372" s="1">
        <v>36</v>
      </c>
      <c r="V1372">
        <v>0</v>
      </c>
      <c r="W1372">
        <v>0</v>
      </c>
      <c r="X1372">
        <v>1</v>
      </c>
      <c r="Y1372">
        <v>0.16</v>
      </c>
      <c r="Z1372">
        <v>23</v>
      </c>
      <c r="AA1372">
        <v>0</v>
      </c>
      <c r="AB1372">
        <v>0</v>
      </c>
      <c r="AC1372">
        <v>0</v>
      </c>
      <c r="AD1372">
        <v>1</v>
      </c>
      <c r="AE1372">
        <v>0.05</v>
      </c>
      <c r="AF1372">
        <v>15</v>
      </c>
      <c r="AG1372">
        <v>0</v>
      </c>
      <c r="AH1372">
        <v>0</v>
      </c>
      <c r="AI1372">
        <v>0</v>
      </c>
      <c r="AJ1372">
        <v>1</v>
      </c>
      <c r="AK1372">
        <v>0.02</v>
      </c>
      <c r="AL1372">
        <v>16</v>
      </c>
      <c r="AM1372">
        <v>0</v>
      </c>
      <c r="AN1372">
        <v>0</v>
      </c>
      <c r="AO1372">
        <v>0</v>
      </c>
      <c r="AP1372">
        <v>1</v>
      </c>
      <c r="AQ1372">
        <v>0.01</v>
      </c>
      <c r="AX1372">
        <v>7</v>
      </c>
      <c r="AY1372" s="1">
        <v>20</v>
      </c>
      <c r="AZ1372">
        <v>0</v>
      </c>
      <c r="BA1372">
        <v>0</v>
      </c>
      <c r="BB1372">
        <v>1</v>
      </c>
      <c r="BC1372" s="7">
        <v>0.32</v>
      </c>
      <c r="BD1372">
        <v>30</v>
      </c>
      <c r="BE1372">
        <v>0</v>
      </c>
      <c r="BF1372">
        <v>0</v>
      </c>
      <c r="BG1372">
        <v>0</v>
      </c>
      <c r="BH1372">
        <v>5</v>
      </c>
      <c r="BI1372">
        <v>2.4</v>
      </c>
      <c r="BJ1372">
        <v>31</v>
      </c>
      <c r="BK1372">
        <v>0</v>
      </c>
      <c r="BL1372">
        <v>0</v>
      </c>
      <c r="BM1372">
        <v>0</v>
      </c>
      <c r="BN1372">
        <v>5</v>
      </c>
      <c r="BO1372">
        <v>2.4</v>
      </c>
      <c r="BP1372">
        <v>36</v>
      </c>
      <c r="BQ1372">
        <v>0</v>
      </c>
      <c r="BR1372">
        <v>0</v>
      </c>
      <c r="BS1372">
        <v>0</v>
      </c>
      <c r="BT1372">
        <v>5</v>
      </c>
      <c r="BU1372">
        <v>1.7</v>
      </c>
    </row>
    <row r="1373" spans="1:73" ht="14.25" x14ac:dyDescent="0.15">
      <c r="A1373" s="12">
        <v>30220</v>
      </c>
      <c r="B1373">
        <v>7</v>
      </c>
      <c r="C1373" s="1">
        <v>0</v>
      </c>
      <c r="D1373">
        <v>5</v>
      </c>
      <c r="E1373">
        <v>1</v>
      </c>
      <c r="F1373">
        <v>1</v>
      </c>
      <c r="G1373" s="7">
        <v>0.05</v>
      </c>
      <c r="H1373">
        <v>12</v>
      </c>
      <c r="I1373">
        <v>0</v>
      </c>
      <c r="J1373">
        <v>0</v>
      </c>
      <c r="K1373">
        <v>0</v>
      </c>
      <c r="L1373">
        <v>1</v>
      </c>
      <c r="M1373">
        <v>2</v>
      </c>
      <c r="N1373" s="7">
        <v>9</v>
      </c>
      <c r="O1373" s="7">
        <v>0</v>
      </c>
      <c r="P1373" s="7">
        <v>0</v>
      </c>
      <c r="Q1373" s="7">
        <v>0</v>
      </c>
      <c r="R1373" s="7">
        <v>1</v>
      </c>
      <c r="S1373" s="7">
        <v>4.5</v>
      </c>
      <c r="T1373">
        <v>7</v>
      </c>
      <c r="U1373" s="1">
        <v>0</v>
      </c>
      <c r="V1373">
        <v>4</v>
      </c>
      <c r="W1373">
        <v>2</v>
      </c>
      <c r="X1373">
        <v>1</v>
      </c>
      <c r="Y1373">
        <v>0.16</v>
      </c>
      <c r="Z1373">
        <v>23</v>
      </c>
      <c r="AA1373">
        <v>0</v>
      </c>
      <c r="AB1373">
        <v>0</v>
      </c>
      <c r="AC1373">
        <v>0</v>
      </c>
      <c r="AD1373">
        <v>1</v>
      </c>
      <c r="AE1373">
        <v>0.05</v>
      </c>
      <c r="AF1373">
        <v>15</v>
      </c>
      <c r="AG1373">
        <v>0</v>
      </c>
      <c r="AH1373">
        <v>0</v>
      </c>
      <c r="AI1373">
        <v>0</v>
      </c>
      <c r="AJ1373">
        <v>1</v>
      </c>
      <c r="AK1373">
        <v>0.02</v>
      </c>
      <c r="AL1373">
        <v>16</v>
      </c>
      <c r="AM1373">
        <v>0</v>
      </c>
      <c r="AN1373">
        <v>0</v>
      </c>
      <c r="AO1373">
        <v>0</v>
      </c>
      <c r="AP1373">
        <v>1</v>
      </c>
      <c r="AQ1373">
        <v>0.01</v>
      </c>
      <c r="AR1373">
        <v>6</v>
      </c>
      <c r="AS1373">
        <v>2</v>
      </c>
      <c r="AT1373">
        <v>4</v>
      </c>
      <c r="AU1373">
        <v>5</v>
      </c>
      <c r="AV1373">
        <v>1</v>
      </c>
      <c r="AW1373">
        <v>0.01</v>
      </c>
      <c r="AX1373">
        <v>7</v>
      </c>
      <c r="AY1373" s="1">
        <v>0</v>
      </c>
      <c r="AZ1373">
        <v>3</v>
      </c>
      <c r="BA1373">
        <v>1</v>
      </c>
      <c r="BB1373">
        <v>1</v>
      </c>
      <c r="BC1373" s="7">
        <v>0.32</v>
      </c>
      <c r="BD1373">
        <v>30</v>
      </c>
      <c r="BE1373">
        <v>0</v>
      </c>
      <c r="BF1373">
        <v>0</v>
      </c>
      <c r="BG1373">
        <v>0</v>
      </c>
      <c r="BH1373">
        <v>5</v>
      </c>
      <c r="BI1373">
        <v>2.4</v>
      </c>
      <c r="BJ1373">
        <v>31</v>
      </c>
      <c r="BK1373">
        <v>0</v>
      </c>
      <c r="BL1373">
        <v>0</v>
      </c>
      <c r="BM1373">
        <v>0</v>
      </c>
      <c r="BN1373">
        <v>5</v>
      </c>
      <c r="BO1373">
        <v>2.4</v>
      </c>
      <c r="BP1373">
        <v>36</v>
      </c>
      <c r="BQ1373">
        <v>0</v>
      </c>
      <c r="BR1373">
        <v>0</v>
      </c>
      <c r="BS1373">
        <v>0</v>
      </c>
      <c r="BT1373">
        <v>5</v>
      </c>
      <c r="BU1373">
        <v>1.7</v>
      </c>
    </row>
    <row r="1374" spans="1:73" ht="14.25" x14ac:dyDescent="0.15">
      <c r="A1374" s="12">
        <v>30221</v>
      </c>
      <c r="B1374">
        <v>7</v>
      </c>
      <c r="C1374" s="1">
        <v>45</v>
      </c>
      <c r="D1374">
        <v>0</v>
      </c>
      <c r="E1374">
        <v>0</v>
      </c>
      <c r="F1374">
        <v>1</v>
      </c>
      <c r="G1374" s="7">
        <v>0.05</v>
      </c>
      <c r="H1374">
        <v>12</v>
      </c>
      <c r="I1374">
        <v>0</v>
      </c>
      <c r="J1374">
        <v>0</v>
      </c>
      <c r="K1374">
        <v>0</v>
      </c>
      <c r="L1374">
        <v>1</v>
      </c>
      <c r="M1374">
        <v>2</v>
      </c>
      <c r="N1374" s="7">
        <v>9</v>
      </c>
      <c r="O1374" s="7">
        <v>0</v>
      </c>
      <c r="P1374" s="7">
        <v>0</v>
      </c>
      <c r="Q1374" s="7">
        <v>0</v>
      </c>
      <c r="R1374" s="7">
        <v>1</v>
      </c>
      <c r="S1374" s="7">
        <v>4.5</v>
      </c>
      <c r="T1374">
        <v>7</v>
      </c>
      <c r="U1374" s="1">
        <v>33</v>
      </c>
      <c r="V1374">
        <v>0</v>
      </c>
      <c r="W1374">
        <v>0</v>
      </c>
      <c r="X1374">
        <v>1</v>
      </c>
      <c r="Y1374">
        <v>0.16</v>
      </c>
      <c r="Z1374">
        <v>23</v>
      </c>
      <c r="AA1374">
        <v>0</v>
      </c>
      <c r="AB1374">
        <v>0</v>
      </c>
      <c r="AC1374">
        <v>0</v>
      </c>
      <c r="AD1374">
        <v>1</v>
      </c>
      <c r="AE1374">
        <v>0.05</v>
      </c>
      <c r="AF1374">
        <v>15</v>
      </c>
      <c r="AG1374">
        <v>0</v>
      </c>
      <c r="AH1374">
        <v>0</v>
      </c>
      <c r="AI1374">
        <v>0</v>
      </c>
      <c r="AJ1374">
        <v>1</v>
      </c>
      <c r="AK1374">
        <v>0.02</v>
      </c>
      <c r="AL1374">
        <v>16</v>
      </c>
      <c r="AM1374">
        <v>0</v>
      </c>
      <c r="AN1374">
        <v>0</v>
      </c>
      <c r="AO1374">
        <v>0</v>
      </c>
      <c r="AP1374">
        <v>1</v>
      </c>
      <c r="AQ1374">
        <v>0.01</v>
      </c>
      <c r="AX1374">
        <v>7</v>
      </c>
      <c r="AY1374" s="1">
        <v>17</v>
      </c>
      <c r="AZ1374">
        <v>0</v>
      </c>
      <c r="BA1374">
        <v>0</v>
      </c>
      <c r="BB1374">
        <v>1</v>
      </c>
      <c r="BC1374" s="7">
        <v>0.32</v>
      </c>
      <c r="BD1374">
        <v>30</v>
      </c>
      <c r="BE1374">
        <v>0</v>
      </c>
      <c r="BF1374">
        <v>0</v>
      </c>
      <c r="BG1374">
        <v>0</v>
      </c>
      <c r="BH1374">
        <v>5</v>
      </c>
      <c r="BI1374">
        <v>2.4</v>
      </c>
      <c r="BJ1374">
        <v>31</v>
      </c>
      <c r="BK1374">
        <v>0</v>
      </c>
      <c r="BL1374">
        <v>0</v>
      </c>
      <c r="BM1374">
        <v>0</v>
      </c>
      <c r="BN1374">
        <v>5</v>
      </c>
      <c r="BO1374">
        <v>2.4</v>
      </c>
      <c r="BP1374">
        <v>36</v>
      </c>
      <c r="BQ1374">
        <v>0</v>
      </c>
      <c r="BR1374">
        <v>0</v>
      </c>
      <c r="BS1374">
        <v>0</v>
      </c>
      <c r="BT1374">
        <v>5</v>
      </c>
      <c r="BU1374">
        <v>1.7</v>
      </c>
    </row>
    <row r="1375" spans="1:73" ht="14.25" x14ac:dyDescent="0.15">
      <c r="A1375" s="12">
        <v>30222</v>
      </c>
      <c r="B1375">
        <v>7</v>
      </c>
      <c r="C1375" s="1">
        <v>46</v>
      </c>
      <c r="D1375">
        <v>0</v>
      </c>
      <c r="E1375">
        <v>0</v>
      </c>
      <c r="F1375">
        <v>1</v>
      </c>
      <c r="G1375" s="7">
        <v>0.05</v>
      </c>
      <c r="H1375">
        <v>12</v>
      </c>
      <c r="I1375">
        <v>0</v>
      </c>
      <c r="J1375">
        <v>0</v>
      </c>
      <c r="K1375">
        <v>0</v>
      </c>
      <c r="L1375">
        <v>1</v>
      </c>
      <c r="M1375">
        <v>2</v>
      </c>
      <c r="N1375" s="7">
        <v>9</v>
      </c>
      <c r="O1375" s="7">
        <v>0</v>
      </c>
      <c r="P1375" s="7">
        <v>0</v>
      </c>
      <c r="Q1375" s="7">
        <v>0</v>
      </c>
      <c r="R1375" s="7">
        <v>1</v>
      </c>
      <c r="S1375" s="7">
        <v>4.5</v>
      </c>
      <c r="T1375">
        <v>7</v>
      </c>
      <c r="U1375" s="1">
        <v>34</v>
      </c>
      <c r="V1375">
        <v>0</v>
      </c>
      <c r="W1375">
        <v>0</v>
      </c>
      <c r="X1375">
        <v>1</v>
      </c>
      <c r="Y1375">
        <v>0.16</v>
      </c>
      <c r="Z1375">
        <v>23</v>
      </c>
      <c r="AA1375">
        <v>0</v>
      </c>
      <c r="AB1375">
        <v>0</v>
      </c>
      <c r="AC1375">
        <v>0</v>
      </c>
      <c r="AD1375">
        <v>1</v>
      </c>
      <c r="AE1375">
        <v>0.05</v>
      </c>
      <c r="AF1375">
        <v>15</v>
      </c>
      <c r="AG1375">
        <v>0</v>
      </c>
      <c r="AH1375">
        <v>0</v>
      </c>
      <c r="AI1375">
        <v>0</v>
      </c>
      <c r="AJ1375">
        <v>1</v>
      </c>
      <c r="AK1375">
        <v>0.02</v>
      </c>
      <c r="AL1375">
        <v>16</v>
      </c>
      <c r="AM1375">
        <v>0</v>
      </c>
      <c r="AN1375">
        <v>0</v>
      </c>
      <c r="AO1375">
        <v>0</v>
      </c>
      <c r="AP1375">
        <v>1</v>
      </c>
      <c r="AQ1375">
        <v>0.01</v>
      </c>
      <c r="AX1375">
        <v>7</v>
      </c>
      <c r="AY1375" s="1">
        <v>18</v>
      </c>
      <c r="AZ1375">
        <v>0</v>
      </c>
      <c r="BA1375">
        <v>0</v>
      </c>
      <c r="BB1375">
        <v>1</v>
      </c>
      <c r="BC1375" s="7">
        <v>0.32</v>
      </c>
      <c r="BD1375">
        <v>30</v>
      </c>
      <c r="BE1375">
        <v>0</v>
      </c>
      <c r="BF1375">
        <v>0</v>
      </c>
      <c r="BG1375">
        <v>0</v>
      </c>
      <c r="BH1375">
        <v>5</v>
      </c>
      <c r="BI1375">
        <v>2.4</v>
      </c>
      <c r="BJ1375">
        <v>31</v>
      </c>
      <c r="BK1375">
        <v>0</v>
      </c>
      <c r="BL1375">
        <v>0</v>
      </c>
      <c r="BM1375">
        <v>0</v>
      </c>
      <c r="BN1375">
        <v>5</v>
      </c>
      <c r="BO1375">
        <v>2.4</v>
      </c>
      <c r="BP1375">
        <v>36</v>
      </c>
      <c r="BQ1375">
        <v>0</v>
      </c>
      <c r="BR1375">
        <v>0</v>
      </c>
      <c r="BS1375">
        <v>0</v>
      </c>
      <c r="BT1375">
        <v>5</v>
      </c>
      <c r="BU1375">
        <v>1.7</v>
      </c>
    </row>
    <row r="1376" spans="1:73" ht="14.25" x14ac:dyDescent="0.15">
      <c r="A1376" s="12">
        <v>30223</v>
      </c>
      <c r="B1376">
        <v>7</v>
      </c>
      <c r="C1376" s="1">
        <v>47</v>
      </c>
      <c r="D1376">
        <v>0</v>
      </c>
      <c r="E1376">
        <v>0</v>
      </c>
      <c r="F1376">
        <v>1</v>
      </c>
      <c r="G1376" s="7">
        <v>0.05</v>
      </c>
      <c r="H1376">
        <v>12</v>
      </c>
      <c r="I1376">
        <v>0</v>
      </c>
      <c r="J1376">
        <v>0</v>
      </c>
      <c r="K1376">
        <v>0</v>
      </c>
      <c r="L1376">
        <v>1</v>
      </c>
      <c r="M1376">
        <v>2</v>
      </c>
      <c r="N1376" s="7">
        <v>9</v>
      </c>
      <c r="O1376" s="7">
        <v>0</v>
      </c>
      <c r="P1376" s="7">
        <v>0</v>
      </c>
      <c r="Q1376" s="7">
        <v>0</v>
      </c>
      <c r="R1376" s="7">
        <v>1</v>
      </c>
      <c r="S1376" s="7">
        <v>4.5</v>
      </c>
      <c r="T1376">
        <v>7</v>
      </c>
      <c r="U1376" s="1">
        <v>35</v>
      </c>
      <c r="V1376">
        <v>0</v>
      </c>
      <c r="W1376">
        <v>0</v>
      </c>
      <c r="X1376">
        <v>1</v>
      </c>
      <c r="Y1376">
        <v>0.16</v>
      </c>
      <c r="Z1376">
        <v>23</v>
      </c>
      <c r="AA1376">
        <v>0</v>
      </c>
      <c r="AB1376">
        <v>0</v>
      </c>
      <c r="AC1376">
        <v>0</v>
      </c>
      <c r="AD1376">
        <v>1</v>
      </c>
      <c r="AE1376">
        <v>0.05</v>
      </c>
      <c r="AF1376">
        <v>15</v>
      </c>
      <c r="AG1376">
        <v>0</v>
      </c>
      <c r="AH1376">
        <v>0</v>
      </c>
      <c r="AI1376">
        <v>0</v>
      </c>
      <c r="AJ1376">
        <v>1</v>
      </c>
      <c r="AK1376">
        <v>0.02</v>
      </c>
      <c r="AL1376">
        <v>16</v>
      </c>
      <c r="AM1376">
        <v>0</v>
      </c>
      <c r="AN1376">
        <v>0</v>
      </c>
      <c r="AO1376">
        <v>0</v>
      </c>
      <c r="AP1376">
        <v>1</v>
      </c>
      <c r="AQ1376">
        <v>0.01</v>
      </c>
      <c r="AX1376">
        <v>7</v>
      </c>
      <c r="AY1376" s="1">
        <v>19</v>
      </c>
      <c r="AZ1376">
        <v>0</v>
      </c>
      <c r="BA1376">
        <v>0</v>
      </c>
      <c r="BB1376">
        <v>1</v>
      </c>
      <c r="BC1376" s="7">
        <v>0.32</v>
      </c>
      <c r="BD1376">
        <v>30</v>
      </c>
      <c r="BE1376">
        <v>0</v>
      </c>
      <c r="BF1376">
        <v>0</v>
      </c>
      <c r="BG1376">
        <v>0</v>
      </c>
      <c r="BH1376">
        <v>5</v>
      </c>
      <c r="BI1376">
        <v>2.4</v>
      </c>
      <c r="BJ1376">
        <v>31</v>
      </c>
      <c r="BK1376">
        <v>0</v>
      </c>
      <c r="BL1376">
        <v>0</v>
      </c>
      <c r="BM1376">
        <v>0</v>
      </c>
      <c r="BN1376">
        <v>5</v>
      </c>
      <c r="BO1376">
        <v>2.4</v>
      </c>
      <c r="BP1376">
        <v>36</v>
      </c>
      <c r="BQ1376">
        <v>0</v>
      </c>
      <c r="BR1376">
        <v>0</v>
      </c>
      <c r="BS1376">
        <v>0</v>
      </c>
      <c r="BT1376">
        <v>5</v>
      </c>
      <c r="BU1376">
        <v>1.7</v>
      </c>
    </row>
    <row r="1377" spans="1:73" ht="14.25" x14ac:dyDescent="0.15">
      <c r="A1377" s="12">
        <v>30224</v>
      </c>
      <c r="B1377">
        <v>7</v>
      </c>
      <c r="C1377" s="1">
        <v>48</v>
      </c>
      <c r="D1377">
        <v>0</v>
      </c>
      <c r="E1377">
        <v>0</v>
      </c>
      <c r="F1377">
        <v>1</v>
      </c>
      <c r="G1377" s="7">
        <v>0.05</v>
      </c>
      <c r="H1377">
        <v>12</v>
      </c>
      <c r="I1377">
        <v>0</v>
      </c>
      <c r="J1377">
        <v>0</v>
      </c>
      <c r="K1377">
        <v>0</v>
      </c>
      <c r="L1377">
        <v>1</v>
      </c>
      <c r="M1377">
        <v>2</v>
      </c>
      <c r="N1377" s="7">
        <v>9</v>
      </c>
      <c r="O1377" s="7">
        <v>0</v>
      </c>
      <c r="P1377" s="7">
        <v>0</v>
      </c>
      <c r="Q1377" s="7">
        <v>0</v>
      </c>
      <c r="R1377" s="7">
        <v>1</v>
      </c>
      <c r="S1377" s="7">
        <v>4.5</v>
      </c>
      <c r="T1377">
        <v>7</v>
      </c>
      <c r="U1377" s="1">
        <v>36</v>
      </c>
      <c r="V1377">
        <v>0</v>
      </c>
      <c r="W1377">
        <v>0</v>
      </c>
      <c r="X1377">
        <v>1</v>
      </c>
      <c r="Y1377">
        <v>0.16</v>
      </c>
      <c r="Z1377">
        <v>23</v>
      </c>
      <c r="AA1377">
        <v>0</v>
      </c>
      <c r="AB1377">
        <v>0</v>
      </c>
      <c r="AC1377">
        <v>0</v>
      </c>
      <c r="AD1377">
        <v>1</v>
      </c>
      <c r="AE1377">
        <v>0.05</v>
      </c>
      <c r="AF1377">
        <v>15</v>
      </c>
      <c r="AG1377">
        <v>0</v>
      </c>
      <c r="AH1377">
        <v>0</v>
      </c>
      <c r="AI1377">
        <v>0</v>
      </c>
      <c r="AJ1377">
        <v>1</v>
      </c>
      <c r="AK1377">
        <v>0.02</v>
      </c>
      <c r="AL1377">
        <v>16</v>
      </c>
      <c r="AM1377">
        <v>0</v>
      </c>
      <c r="AN1377">
        <v>0</v>
      </c>
      <c r="AO1377">
        <v>0</v>
      </c>
      <c r="AP1377">
        <v>1</v>
      </c>
      <c r="AQ1377">
        <v>0.01</v>
      </c>
      <c r="AX1377">
        <v>7</v>
      </c>
      <c r="AY1377" s="1">
        <v>20</v>
      </c>
      <c r="AZ1377">
        <v>0</v>
      </c>
      <c r="BA1377">
        <v>0</v>
      </c>
      <c r="BB1377">
        <v>1</v>
      </c>
      <c r="BC1377" s="7">
        <v>0.32</v>
      </c>
      <c r="BD1377">
        <v>30</v>
      </c>
      <c r="BE1377">
        <v>0</v>
      </c>
      <c r="BF1377">
        <v>0</v>
      </c>
      <c r="BG1377">
        <v>0</v>
      </c>
      <c r="BH1377">
        <v>5</v>
      </c>
      <c r="BI1377">
        <v>2.4</v>
      </c>
      <c r="BJ1377">
        <v>31</v>
      </c>
      <c r="BK1377">
        <v>0</v>
      </c>
      <c r="BL1377">
        <v>0</v>
      </c>
      <c r="BM1377">
        <v>0</v>
      </c>
      <c r="BN1377">
        <v>5</v>
      </c>
      <c r="BO1377">
        <v>2.4</v>
      </c>
      <c r="BP1377">
        <v>36</v>
      </c>
      <c r="BQ1377">
        <v>0</v>
      </c>
      <c r="BR1377">
        <v>0</v>
      </c>
      <c r="BS1377">
        <v>0</v>
      </c>
      <c r="BT1377">
        <v>5</v>
      </c>
      <c r="BU1377">
        <v>1.7</v>
      </c>
    </row>
    <row r="1378" spans="1:73" ht="14.25" x14ac:dyDescent="0.15">
      <c r="A1378" s="12">
        <v>30225</v>
      </c>
      <c r="B1378">
        <v>7</v>
      </c>
      <c r="C1378" s="1">
        <v>0</v>
      </c>
      <c r="D1378">
        <v>5</v>
      </c>
      <c r="E1378">
        <v>1</v>
      </c>
      <c r="F1378">
        <v>1</v>
      </c>
      <c r="G1378" s="7">
        <v>0.05</v>
      </c>
      <c r="H1378">
        <v>12</v>
      </c>
      <c r="I1378">
        <v>0</v>
      </c>
      <c r="J1378">
        <v>0</v>
      </c>
      <c r="K1378">
        <v>0</v>
      </c>
      <c r="L1378">
        <v>1</v>
      </c>
      <c r="M1378">
        <v>2</v>
      </c>
      <c r="N1378" s="7">
        <v>9</v>
      </c>
      <c r="O1378" s="7">
        <v>0</v>
      </c>
      <c r="P1378" s="7">
        <v>0</v>
      </c>
      <c r="Q1378" s="7">
        <v>0</v>
      </c>
      <c r="R1378" s="7">
        <v>1</v>
      </c>
      <c r="S1378" s="7">
        <v>4.5</v>
      </c>
      <c r="T1378">
        <v>7</v>
      </c>
      <c r="U1378" s="1">
        <v>0</v>
      </c>
      <c r="V1378">
        <v>4</v>
      </c>
      <c r="W1378">
        <v>2</v>
      </c>
      <c r="X1378">
        <v>1</v>
      </c>
      <c r="Y1378">
        <v>0.16</v>
      </c>
      <c r="Z1378">
        <v>23</v>
      </c>
      <c r="AA1378">
        <v>0</v>
      </c>
      <c r="AB1378">
        <v>0</v>
      </c>
      <c r="AC1378">
        <v>0</v>
      </c>
      <c r="AD1378">
        <v>1</v>
      </c>
      <c r="AE1378">
        <v>0.05</v>
      </c>
      <c r="AF1378">
        <v>15</v>
      </c>
      <c r="AG1378">
        <v>0</v>
      </c>
      <c r="AH1378">
        <v>0</v>
      </c>
      <c r="AI1378">
        <v>0</v>
      </c>
      <c r="AJ1378">
        <v>1</v>
      </c>
      <c r="AK1378">
        <v>0.02</v>
      </c>
      <c r="AL1378">
        <v>16</v>
      </c>
      <c r="AM1378">
        <v>0</v>
      </c>
      <c r="AN1378">
        <v>0</v>
      </c>
      <c r="AO1378">
        <v>0</v>
      </c>
      <c r="AP1378">
        <v>1</v>
      </c>
      <c r="AQ1378">
        <v>0.01</v>
      </c>
      <c r="AR1378">
        <v>6</v>
      </c>
      <c r="AS1378">
        <v>2</v>
      </c>
      <c r="AT1378">
        <v>5</v>
      </c>
      <c r="AU1378">
        <v>5</v>
      </c>
      <c r="AV1378">
        <v>1</v>
      </c>
      <c r="AW1378">
        <v>0.01</v>
      </c>
      <c r="AX1378">
        <v>7</v>
      </c>
      <c r="AY1378" s="1">
        <v>0</v>
      </c>
      <c r="AZ1378">
        <v>3</v>
      </c>
      <c r="BA1378">
        <v>1</v>
      </c>
      <c r="BB1378">
        <v>1</v>
      </c>
      <c r="BC1378" s="7">
        <v>0.32</v>
      </c>
      <c r="BD1378">
        <v>30</v>
      </c>
      <c r="BE1378">
        <v>0</v>
      </c>
      <c r="BF1378">
        <v>0</v>
      </c>
      <c r="BG1378">
        <v>0</v>
      </c>
      <c r="BH1378">
        <v>5</v>
      </c>
      <c r="BI1378">
        <v>2.4</v>
      </c>
      <c r="BJ1378">
        <v>31</v>
      </c>
      <c r="BK1378">
        <v>0</v>
      </c>
      <c r="BL1378">
        <v>0</v>
      </c>
      <c r="BM1378">
        <v>0</v>
      </c>
      <c r="BN1378">
        <v>5</v>
      </c>
      <c r="BO1378">
        <v>2.4</v>
      </c>
      <c r="BP1378">
        <v>36</v>
      </c>
      <c r="BQ1378">
        <v>0</v>
      </c>
      <c r="BR1378">
        <v>0</v>
      </c>
      <c r="BS1378">
        <v>0</v>
      </c>
      <c r="BT1378">
        <v>5</v>
      </c>
      <c r="BU1378">
        <v>1.7</v>
      </c>
    </row>
    <row r="1379" spans="1:73" ht="14.25" x14ac:dyDescent="0.15">
      <c r="A1379" s="12">
        <v>30226</v>
      </c>
      <c r="B1379">
        <v>7</v>
      </c>
      <c r="C1379" s="1">
        <v>45</v>
      </c>
      <c r="D1379">
        <v>0</v>
      </c>
      <c r="E1379">
        <v>0</v>
      </c>
      <c r="F1379">
        <v>1</v>
      </c>
      <c r="G1379" s="7">
        <v>0.05</v>
      </c>
      <c r="H1379">
        <v>12</v>
      </c>
      <c r="I1379">
        <v>0</v>
      </c>
      <c r="J1379">
        <v>0</v>
      </c>
      <c r="K1379">
        <v>0</v>
      </c>
      <c r="L1379">
        <v>1</v>
      </c>
      <c r="M1379">
        <v>2</v>
      </c>
      <c r="N1379" s="7">
        <v>9</v>
      </c>
      <c r="O1379" s="7">
        <v>0</v>
      </c>
      <c r="P1379" s="7">
        <v>0</v>
      </c>
      <c r="Q1379" s="7">
        <v>0</v>
      </c>
      <c r="R1379" s="7">
        <v>1</v>
      </c>
      <c r="S1379" s="7">
        <v>4.5</v>
      </c>
      <c r="T1379">
        <v>7</v>
      </c>
      <c r="U1379" s="1">
        <v>33</v>
      </c>
      <c r="V1379">
        <v>0</v>
      </c>
      <c r="W1379">
        <v>0</v>
      </c>
      <c r="X1379">
        <v>1</v>
      </c>
      <c r="Y1379">
        <v>0.16</v>
      </c>
      <c r="Z1379">
        <v>23</v>
      </c>
      <c r="AA1379">
        <v>0</v>
      </c>
      <c r="AB1379">
        <v>0</v>
      </c>
      <c r="AC1379">
        <v>0</v>
      </c>
      <c r="AD1379">
        <v>1</v>
      </c>
      <c r="AE1379">
        <v>0.05</v>
      </c>
      <c r="AF1379">
        <v>15</v>
      </c>
      <c r="AG1379">
        <v>0</v>
      </c>
      <c r="AH1379">
        <v>0</v>
      </c>
      <c r="AI1379">
        <v>0</v>
      </c>
      <c r="AJ1379">
        <v>1</v>
      </c>
      <c r="AK1379">
        <v>0.02</v>
      </c>
      <c r="AL1379">
        <v>16</v>
      </c>
      <c r="AM1379">
        <v>0</v>
      </c>
      <c r="AN1379">
        <v>0</v>
      </c>
      <c r="AO1379">
        <v>0</v>
      </c>
      <c r="AP1379">
        <v>1</v>
      </c>
      <c r="AQ1379">
        <v>0.01</v>
      </c>
      <c r="AX1379">
        <v>7</v>
      </c>
      <c r="AY1379" s="1">
        <v>17</v>
      </c>
      <c r="AZ1379">
        <v>0</v>
      </c>
      <c r="BA1379">
        <v>0</v>
      </c>
      <c r="BB1379">
        <v>1</v>
      </c>
      <c r="BC1379" s="7">
        <v>0.32</v>
      </c>
      <c r="BD1379">
        <v>30</v>
      </c>
      <c r="BE1379">
        <v>0</v>
      </c>
      <c r="BF1379">
        <v>0</v>
      </c>
      <c r="BG1379">
        <v>0</v>
      </c>
      <c r="BH1379">
        <v>5</v>
      </c>
      <c r="BI1379">
        <v>2.4</v>
      </c>
      <c r="BJ1379">
        <v>31</v>
      </c>
      <c r="BK1379">
        <v>0</v>
      </c>
      <c r="BL1379">
        <v>0</v>
      </c>
      <c r="BM1379">
        <v>0</v>
      </c>
      <c r="BN1379">
        <v>5</v>
      </c>
      <c r="BO1379">
        <v>2.4</v>
      </c>
      <c r="BP1379">
        <v>36</v>
      </c>
      <c r="BQ1379">
        <v>0</v>
      </c>
      <c r="BR1379">
        <v>0</v>
      </c>
      <c r="BS1379">
        <v>0</v>
      </c>
      <c r="BT1379">
        <v>5</v>
      </c>
      <c r="BU1379">
        <v>1.7</v>
      </c>
    </row>
    <row r="1380" spans="1:73" ht="14.25" x14ac:dyDescent="0.15">
      <c r="A1380" s="12">
        <v>30227</v>
      </c>
      <c r="B1380">
        <v>7</v>
      </c>
      <c r="C1380" s="1">
        <v>46</v>
      </c>
      <c r="D1380">
        <v>0</v>
      </c>
      <c r="E1380">
        <v>0</v>
      </c>
      <c r="F1380">
        <v>1</v>
      </c>
      <c r="G1380" s="7">
        <v>0.05</v>
      </c>
      <c r="H1380">
        <v>12</v>
      </c>
      <c r="I1380">
        <v>0</v>
      </c>
      <c r="J1380">
        <v>0</v>
      </c>
      <c r="K1380">
        <v>0</v>
      </c>
      <c r="L1380">
        <v>1</v>
      </c>
      <c r="M1380">
        <v>2</v>
      </c>
      <c r="N1380" s="7">
        <v>9</v>
      </c>
      <c r="O1380" s="7">
        <v>0</v>
      </c>
      <c r="P1380" s="7">
        <v>0</v>
      </c>
      <c r="Q1380" s="7">
        <v>0</v>
      </c>
      <c r="R1380" s="7">
        <v>1</v>
      </c>
      <c r="S1380" s="7">
        <v>4.5</v>
      </c>
      <c r="T1380">
        <v>7</v>
      </c>
      <c r="U1380" s="1">
        <v>34</v>
      </c>
      <c r="V1380">
        <v>0</v>
      </c>
      <c r="W1380">
        <v>0</v>
      </c>
      <c r="X1380">
        <v>1</v>
      </c>
      <c r="Y1380">
        <v>0.16</v>
      </c>
      <c r="Z1380">
        <v>23</v>
      </c>
      <c r="AA1380">
        <v>0</v>
      </c>
      <c r="AB1380">
        <v>0</v>
      </c>
      <c r="AC1380">
        <v>0</v>
      </c>
      <c r="AD1380">
        <v>1</v>
      </c>
      <c r="AE1380">
        <v>0.05</v>
      </c>
      <c r="AF1380">
        <v>15</v>
      </c>
      <c r="AG1380">
        <v>0</v>
      </c>
      <c r="AH1380">
        <v>0</v>
      </c>
      <c r="AI1380">
        <v>0</v>
      </c>
      <c r="AJ1380">
        <v>1</v>
      </c>
      <c r="AK1380">
        <v>0.02</v>
      </c>
      <c r="AL1380">
        <v>16</v>
      </c>
      <c r="AM1380">
        <v>0</v>
      </c>
      <c r="AN1380">
        <v>0</v>
      </c>
      <c r="AO1380">
        <v>0</v>
      </c>
      <c r="AP1380">
        <v>1</v>
      </c>
      <c r="AQ1380">
        <v>0.01</v>
      </c>
      <c r="AX1380">
        <v>7</v>
      </c>
      <c r="AY1380" s="1">
        <v>18</v>
      </c>
      <c r="AZ1380">
        <v>0</v>
      </c>
      <c r="BA1380">
        <v>0</v>
      </c>
      <c r="BB1380">
        <v>1</v>
      </c>
      <c r="BC1380" s="7">
        <v>0.32</v>
      </c>
      <c r="BD1380">
        <v>30</v>
      </c>
      <c r="BE1380">
        <v>0</v>
      </c>
      <c r="BF1380">
        <v>0</v>
      </c>
      <c r="BG1380">
        <v>0</v>
      </c>
      <c r="BH1380">
        <v>5</v>
      </c>
      <c r="BI1380">
        <v>2.4</v>
      </c>
      <c r="BJ1380">
        <v>31</v>
      </c>
      <c r="BK1380">
        <v>0</v>
      </c>
      <c r="BL1380">
        <v>0</v>
      </c>
      <c r="BM1380">
        <v>0</v>
      </c>
      <c r="BN1380">
        <v>5</v>
      </c>
      <c r="BO1380">
        <v>2.4</v>
      </c>
      <c r="BP1380">
        <v>36</v>
      </c>
      <c r="BQ1380">
        <v>0</v>
      </c>
      <c r="BR1380">
        <v>0</v>
      </c>
      <c r="BS1380">
        <v>0</v>
      </c>
      <c r="BT1380">
        <v>5</v>
      </c>
      <c r="BU1380">
        <v>1.7</v>
      </c>
    </row>
    <row r="1381" spans="1:73" ht="14.25" x14ac:dyDescent="0.15">
      <c r="A1381" s="12">
        <v>30228</v>
      </c>
      <c r="B1381">
        <v>7</v>
      </c>
      <c r="C1381" s="1">
        <v>47</v>
      </c>
      <c r="D1381">
        <v>0</v>
      </c>
      <c r="E1381">
        <v>0</v>
      </c>
      <c r="F1381">
        <v>1</v>
      </c>
      <c r="G1381" s="7">
        <v>0.05</v>
      </c>
      <c r="H1381">
        <v>12</v>
      </c>
      <c r="I1381">
        <v>0</v>
      </c>
      <c r="J1381">
        <v>0</v>
      </c>
      <c r="K1381">
        <v>0</v>
      </c>
      <c r="L1381">
        <v>1</v>
      </c>
      <c r="M1381">
        <v>2</v>
      </c>
      <c r="N1381" s="7">
        <v>9</v>
      </c>
      <c r="O1381" s="7">
        <v>0</v>
      </c>
      <c r="P1381" s="7">
        <v>0</v>
      </c>
      <c r="Q1381" s="7">
        <v>0</v>
      </c>
      <c r="R1381" s="7">
        <v>1</v>
      </c>
      <c r="S1381" s="7">
        <v>4.5</v>
      </c>
      <c r="T1381">
        <v>7</v>
      </c>
      <c r="U1381" s="1">
        <v>35</v>
      </c>
      <c r="V1381">
        <v>0</v>
      </c>
      <c r="W1381">
        <v>0</v>
      </c>
      <c r="X1381">
        <v>1</v>
      </c>
      <c r="Y1381">
        <v>0.16</v>
      </c>
      <c r="Z1381">
        <v>23</v>
      </c>
      <c r="AA1381">
        <v>0</v>
      </c>
      <c r="AB1381">
        <v>0</v>
      </c>
      <c r="AC1381">
        <v>0</v>
      </c>
      <c r="AD1381">
        <v>1</v>
      </c>
      <c r="AE1381">
        <v>0.05</v>
      </c>
      <c r="AF1381">
        <v>15</v>
      </c>
      <c r="AG1381">
        <v>0</v>
      </c>
      <c r="AH1381">
        <v>0</v>
      </c>
      <c r="AI1381">
        <v>0</v>
      </c>
      <c r="AJ1381">
        <v>1</v>
      </c>
      <c r="AK1381">
        <v>0.02</v>
      </c>
      <c r="AL1381">
        <v>16</v>
      </c>
      <c r="AM1381">
        <v>0</v>
      </c>
      <c r="AN1381">
        <v>0</v>
      </c>
      <c r="AO1381">
        <v>0</v>
      </c>
      <c r="AP1381">
        <v>1</v>
      </c>
      <c r="AQ1381">
        <v>0.01</v>
      </c>
      <c r="AX1381">
        <v>7</v>
      </c>
      <c r="AY1381" s="1">
        <v>19</v>
      </c>
      <c r="AZ1381">
        <v>0</v>
      </c>
      <c r="BA1381">
        <v>0</v>
      </c>
      <c r="BB1381">
        <v>1</v>
      </c>
      <c r="BC1381" s="7">
        <v>0.32</v>
      </c>
      <c r="BD1381">
        <v>30</v>
      </c>
      <c r="BE1381">
        <v>0</v>
      </c>
      <c r="BF1381">
        <v>0</v>
      </c>
      <c r="BG1381">
        <v>0</v>
      </c>
      <c r="BH1381">
        <v>5</v>
      </c>
      <c r="BI1381">
        <v>2.4</v>
      </c>
      <c r="BJ1381">
        <v>31</v>
      </c>
      <c r="BK1381">
        <v>0</v>
      </c>
      <c r="BL1381">
        <v>0</v>
      </c>
      <c r="BM1381">
        <v>0</v>
      </c>
      <c r="BN1381">
        <v>5</v>
      </c>
      <c r="BO1381">
        <v>2.4</v>
      </c>
      <c r="BP1381">
        <v>36</v>
      </c>
      <c r="BQ1381">
        <v>0</v>
      </c>
      <c r="BR1381">
        <v>0</v>
      </c>
      <c r="BS1381">
        <v>0</v>
      </c>
      <c r="BT1381">
        <v>5</v>
      </c>
      <c r="BU1381">
        <v>1.7</v>
      </c>
    </row>
    <row r="1382" spans="1:73" ht="14.25" x14ac:dyDescent="0.15">
      <c r="A1382" s="12">
        <v>30229</v>
      </c>
      <c r="B1382">
        <v>7</v>
      </c>
      <c r="C1382" s="1">
        <v>48</v>
      </c>
      <c r="D1382">
        <v>0</v>
      </c>
      <c r="E1382">
        <v>0</v>
      </c>
      <c r="F1382">
        <v>1</v>
      </c>
      <c r="G1382" s="7">
        <v>0.05</v>
      </c>
      <c r="H1382">
        <v>12</v>
      </c>
      <c r="I1382">
        <v>0</v>
      </c>
      <c r="J1382">
        <v>0</v>
      </c>
      <c r="K1382">
        <v>0</v>
      </c>
      <c r="L1382">
        <v>1</v>
      </c>
      <c r="M1382">
        <v>2</v>
      </c>
      <c r="N1382" s="7">
        <v>9</v>
      </c>
      <c r="O1382" s="7">
        <v>0</v>
      </c>
      <c r="P1382" s="7">
        <v>0</v>
      </c>
      <c r="Q1382" s="7">
        <v>0</v>
      </c>
      <c r="R1382" s="7">
        <v>1</v>
      </c>
      <c r="S1382" s="7">
        <v>4.5</v>
      </c>
      <c r="T1382">
        <v>7</v>
      </c>
      <c r="U1382" s="1">
        <v>36</v>
      </c>
      <c r="V1382">
        <v>0</v>
      </c>
      <c r="W1382">
        <v>0</v>
      </c>
      <c r="X1382">
        <v>1</v>
      </c>
      <c r="Y1382">
        <v>0.16</v>
      </c>
      <c r="Z1382">
        <v>23</v>
      </c>
      <c r="AA1382">
        <v>0</v>
      </c>
      <c r="AB1382">
        <v>0</v>
      </c>
      <c r="AC1382">
        <v>0</v>
      </c>
      <c r="AD1382">
        <v>1</v>
      </c>
      <c r="AE1382">
        <v>0.05</v>
      </c>
      <c r="AF1382">
        <v>15</v>
      </c>
      <c r="AG1382">
        <v>0</v>
      </c>
      <c r="AH1382">
        <v>0</v>
      </c>
      <c r="AI1382">
        <v>0</v>
      </c>
      <c r="AJ1382">
        <v>1</v>
      </c>
      <c r="AK1382">
        <v>0.02</v>
      </c>
      <c r="AL1382">
        <v>16</v>
      </c>
      <c r="AM1382">
        <v>0</v>
      </c>
      <c r="AN1382">
        <v>0</v>
      </c>
      <c r="AO1382">
        <v>0</v>
      </c>
      <c r="AP1382">
        <v>1</v>
      </c>
      <c r="AQ1382">
        <v>0.01</v>
      </c>
      <c r="AX1382">
        <v>7</v>
      </c>
      <c r="AY1382" s="1">
        <v>20</v>
      </c>
      <c r="AZ1382">
        <v>0</v>
      </c>
      <c r="BA1382">
        <v>0</v>
      </c>
      <c r="BB1382">
        <v>1</v>
      </c>
      <c r="BC1382" s="7">
        <v>0.32</v>
      </c>
      <c r="BD1382">
        <v>30</v>
      </c>
      <c r="BE1382">
        <v>0</v>
      </c>
      <c r="BF1382">
        <v>0</v>
      </c>
      <c r="BG1382">
        <v>0</v>
      </c>
      <c r="BH1382">
        <v>5</v>
      </c>
      <c r="BI1382">
        <v>2.4</v>
      </c>
      <c r="BJ1382">
        <v>31</v>
      </c>
      <c r="BK1382">
        <v>0</v>
      </c>
      <c r="BL1382">
        <v>0</v>
      </c>
      <c r="BM1382">
        <v>0</v>
      </c>
      <c r="BN1382">
        <v>5</v>
      </c>
      <c r="BO1382">
        <v>2.4</v>
      </c>
      <c r="BP1382">
        <v>36</v>
      </c>
      <c r="BQ1382">
        <v>0</v>
      </c>
      <c r="BR1382">
        <v>0</v>
      </c>
      <c r="BS1382">
        <v>0</v>
      </c>
      <c r="BT1382">
        <v>5</v>
      </c>
      <c r="BU1382">
        <v>1.7</v>
      </c>
    </row>
    <row r="1383" spans="1:73" ht="14.25" x14ac:dyDescent="0.15">
      <c r="A1383" s="12">
        <v>30230</v>
      </c>
      <c r="B1383">
        <v>7</v>
      </c>
      <c r="C1383" s="1">
        <v>0</v>
      </c>
      <c r="D1383">
        <v>5</v>
      </c>
      <c r="E1383">
        <v>1</v>
      </c>
      <c r="F1383">
        <v>1</v>
      </c>
      <c r="G1383" s="7">
        <v>0.05</v>
      </c>
      <c r="H1383">
        <v>12</v>
      </c>
      <c r="I1383">
        <v>0</v>
      </c>
      <c r="J1383">
        <v>0</v>
      </c>
      <c r="K1383">
        <v>0</v>
      </c>
      <c r="L1383">
        <v>1</v>
      </c>
      <c r="M1383">
        <v>2</v>
      </c>
      <c r="N1383" s="7">
        <v>9</v>
      </c>
      <c r="O1383" s="7">
        <v>0</v>
      </c>
      <c r="P1383" s="7">
        <v>0</v>
      </c>
      <c r="Q1383" s="7">
        <v>0</v>
      </c>
      <c r="R1383" s="7">
        <v>1</v>
      </c>
      <c r="S1383" s="7">
        <v>4.5</v>
      </c>
      <c r="T1383">
        <v>7</v>
      </c>
      <c r="U1383" s="1">
        <v>0</v>
      </c>
      <c r="V1383">
        <v>4</v>
      </c>
      <c r="W1383">
        <v>2</v>
      </c>
      <c r="X1383">
        <v>1</v>
      </c>
      <c r="Y1383">
        <v>0.16</v>
      </c>
      <c r="Z1383">
        <v>23</v>
      </c>
      <c r="AA1383">
        <v>0</v>
      </c>
      <c r="AB1383">
        <v>0</v>
      </c>
      <c r="AC1383">
        <v>0</v>
      </c>
      <c r="AD1383">
        <v>1</v>
      </c>
      <c r="AE1383">
        <v>0.05</v>
      </c>
      <c r="AF1383">
        <v>15</v>
      </c>
      <c r="AG1383">
        <v>0</v>
      </c>
      <c r="AH1383">
        <v>0</v>
      </c>
      <c r="AI1383">
        <v>0</v>
      </c>
      <c r="AJ1383">
        <v>1</v>
      </c>
      <c r="AK1383">
        <v>0.02</v>
      </c>
      <c r="AL1383">
        <v>16</v>
      </c>
      <c r="AM1383">
        <v>0</v>
      </c>
      <c r="AN1383">
        <v>0</v>
      </c>
      <c r="AO1383">
        <v>0</v>
      </c>
      <c r="AP1383">
        <v>1</v>
      </c>
      <c r="AQ1383">
        <v>0.01</v>
      </c>
      <c r="AR1383">
        <v>6</v>
      </c>
      <c r="AS1383">
        <v>2</v>
      </c>
      <c r="AT1383">
        <v>1</v>
      </c>
      <c r="AU1383">
        <v>5</v>
      </c>
      <c r="AV1383">
        <v>1</v>
      </c>
      <c r="AW1383">
        <v>0.05</v>
      </c>
      <c r="AX1383">
        <v>7</v>
      </c>
      <c r="AY1383" s="1">
        <v>0</v>
      </c>
      <c r="AZ1383">
        <v>3</v>
      </c>
      <c r="BA1383">
        <v>1</v>
      </c>
      <c r="BB1383">
        <v>1</v>
      </c>
      <c r="BC1383" s="7">
        <v>0.32</v>
      </c>
      <c r="BD1383">
        <v>30</v>
      </c>
      <c r="BE1383">
        <v>0</v>
      </c>
      <c r="BF1383">
        <v>0</v>
      </c>
      <c r="BG1383">
        <v>0</v>
      </c>
      <c r="BH1383">
        <v>5</v>
      </c>
      <c r="BI1383">
        <v>2.4</v>
      </c>
      <c r="BJ1383">
        <v>31</v>
      </c>
      <c r="BK1383">
        <v>0</v>
      </c>
      <c r="BL1383">
        <v>0</v>
      </c>
      <c r="BM1383">
        <v>0</v>
      </c>
      <c r="BN1383">
        <v>5</v>
      </c>
      <c r="BO1383">
        <v>2.4</v>
      </c>
      <c r="BP1383">
        <v>36</v>
      </c>
      <c r="BQ1383">
        <v>0</v>
      </c>
      <c r="BR1383">
        <v>0</v>
      </c>
      <c r="BS1383">
        <v>0</v>
      </c>
      <c r="BT1383">
        <v>5</v>
      </c>
      <c r="BU1383">
        <v>1.7</v>
      </c>
    </row>
    <row r="1384" spans="1:73" ht="14.25" x14ac:dyDescent="0.15">
      <c r="A1384" s="12">
        <v>30231</v>
      </c>
      <c r="B1384">
        <v>7</v>
      </c>
      <c r="C1384" s="1">
        <v>45</v>
      </c>
      <c r="D1384">
        <v>0</v>
      </c>
      <c r="E1384">
        <v>0</v>
      </c>
      <c r="F1384">
        <v>1</v>
      </c>
      <c r="G1384" s="7">
        <v>0.05</v>
      </c>
      <c r="H1384">
        <v>12</v>
      </c>
      <c r="I1384">
        <v>0</v>
      </c>
      <c r="J1384">
        <v>0</v>
      </c>
      <c r="K1384">
        <v>0</v>
      </c>
      <c r="L1384">
        <v>1</v>
      </c>
      <c r="M1384">
        <v>2</v>
      </c>
      <c r="N1384" s="7">
        <v>9</v>
      </c>
      <c r="O1384" s="7">
        <v>0</v>
      </c>
      <c r="P1384" s="7">
        <v>0</v>
      </c>
      <c r="Q1384" s="7">
        <v>0</v>
      </c>
      <c r="R1384" s="7">
        <v>1</v>
      </c>
      <c r="S1384" s="7">
        <v>4.5</v>
      </c>
      <c r="T1384">
        <v>7</v>
      </c>
      <c r="U1384" s="1">
        <v>33</v>
      </c>
      <c r="V1384">
        <v>0</v>
      </c>
      <c r="W1384">
        <v>0</v>
      </c>
      <c r="X1384">
        <v>1</v>
      </c>
      <c r="Y1384">
        <v>0.16</v>
      </c>
      <c r="Z1384">
        <v>23</v>
      </c>
      <c r="AA1384">
        <v>0</v>
      </c>
      <c r="AB1384">
        <v>0</v>
      </c>
      <c r="AC1384">
        <v>0</v>
      </c>
      <c r="AD1384">
        <v>1</v>
      </c>
      <c r="AE1384">
        <v>0.05</v>
      </c>
      <c r="AF1384">
        <v>15</v>
      </c>
      <c r="AG1384">
        <v>0</v>
      </c>
      <c r="AH1384">
        <v>0</v>
      </c>
      <c r="AI1384">
        <v>0</v>
      </c>
      <c r="AJ1384">
        <v>1</v>
      </c>
      <c r="AK1384">
        <v>0.02</v>
      </c>
      <c r="AL1384">
        <v>16</v>
      </c>
      <c r="AM1384">
        <v>0</v>
      </c>
      <c r="AN1384">
        <v>0</v>
      </c>
      <c r="AO1384">
        <v>0</v>
      </c>
      <c r="AP1384">
        <v>1</v>
      </c>
      <c r="AQ1384">
        <v>0.01</v>
      </c>
      <c r="AX1384">
        <v>7</v>
      </c>
      <c r="AY1384" s="1">
        <v>17</v>
      </c>
      <c r="AZ1384">
        <v>0</v>
      </c>
      <c r="BA1384">
        <v>0</v>
      </c>
      <c r="BB1384">
        <v>1</v>
      </c>
      <c r="BC1384" s="7">
        <v>0.32</v>
      </c>
      <c r="BD1384">
        <v>30</v>
      </c>
      <c r="BE1384">
        <v>0</v>
      </c>
      <c r="BF1384">
        <v>0</v>
      </c>
      <c r="BG1384">
        <v>0</v>
      </c>
      <c r="BH1384">
        <v>5</v>
      </c>
      <c r="BI1384">
        <v>2.4</v>
      </c>
      <c r="BJ1384">
        <v>31</v>
      </c>
      <c r="BK1384">
        <v>0</v>
      </c>
      <c r="BL1384">
        <v>0</v>
      </c>
      <c r="BM1384">
        <v>0</v>
      </c>
      <c r="BN1384">
        <v>5</v>
      </c>
      <c r="BO1384">
        <v>2.4</v>
      </c>
      <c r="BP1384">
        <v>36</v>
      </c>
      <c r="BQ1384">
        <v>0</v>
      </c>
      <c r="BR1384">
        <v>0</v>
      </c>
      <c r="BS1384">
        <v>0</v>
      </c>
      <c r="BT1384">
        <v>5</v>
      </c>
      <c r="BU1384">
        <v>1.7</v>
      </c>
    </row>
    <row r="1385" spans="1:73" ht="14.25" x14ac:dyDescent="0.15">
      <c r="A1385" s="12">
        <v>30232</v>
      </c>
      <c r="B1385">
        <v>7</v>
      </c>
      <c r="C1385" s="1">
        <v>46</v>
      </c>
      <c r="D1385">
        <v>0</v>
      </c>
      <c r="E1385">
        <v>0</v>
      </c>
      <c r="F1385">
        <v>1</v>
      </c>
      <c r="G1385" s="7">
        <v>0.05</v>
      </c>
      <c r="H1385">
        <v>12</v>
      </c>
      <c r="I1385">
        <v>0</v>
      </c>
      <c r="J1385">
        <v>0</v>
      </c>
      <c r="K1385">
        <v>0</v>
      </c>
      <c r="L1385">
        <v>1</v>
      </c>
      <c r="M1385">
        <v>2</v>
      </c>
      <c r="N1385" s="7">
        <v>9</v>
      </c>
      <c r="O1385" s="7">
        <v>0</v>
      </c>
      <c r="P1385" s="7">
        <v>0</v>
      </c>
      <c r="Q1385" s="7">
        <v>0</v>
      </c>
      <c r="R1385" s="7">
        <v>1</v>
      </c>
      <c r="S1385" s="7">
        <v>4.5</v>
      </c>
      <c r="T1385">
        <v>7</v>
      </c>
      <c r="U1385" s="1">
        <v>34</v>
      </c>
      <c r="V1385">
        <v>0</v>
      </c>
      <c r="W1385">
        <v>0</v>
      </c>
      <c r="X1385">
        <v>1</v>
      </c>
      <c r="Y1385">
        <v>0.16</v>
      </c>
      <c r="Z1385">
        <v>23</v>
      </c>
      <c r="AA1385">
        <v>0</v>
      </c>
      <c r="AB1385">
        <v>0</v>
      </c>
      <c r="AC1385">
        <v>0</v>
      </c>
      <c r="AD1385">
        <v>1</v>
      </c>
      <c r="AE1385">
        <v>0.05</v>
      </c>
      <c r="AF1385">
        <v>15</v>
      </c>
      <c r="AG1385">
        <v>0</v>
      </c>
      <c r="AH1385">
        <v>0</v>
      </c>
      <c r="AI1385">
        <v>0</v>
      </c>
      <c r="AJ1385">
        <v>1</v>
      </c>
      <c r="AK1385">
        <v>0.02</v>
      </c>
      <c r="AL1385">
        <v>16</v>
      </c>
      <c r="AM1385">
        <v>0</v>
      </c>
      <c r="AN1385">
        <v>0</v>
      </c>
      <c r="AO1385">
        <v>0</v>
      </c>
      <c r="AP1385">
        <v>1</v>
      </c>
      <c r="AQ1385">
        <v>0.01</v>
      </c>
      <c r="AX1385">
        <v>7</v>
      </c>
      <c r="AY1385" s="1">
        <v>18</v>
      </c>
      <c r="AZ1385">
        <v>0</v>
      </c>
      <c r="BA1385">
        <v>0</v>
      </c>
      <c r="BB1385">
        <v>1</v>
      </c>
      <c r="BC1385" s="7">
        <v>0.32</v>
      </c>
      <c r="BD1385">
        <v>30</v>
      </c>
      <c r="BE1385">
        <v>0</v>
      </c>
      <c r="BF1385">
        <v>0</v>
      </c>
      <c r="BG1385">
        <v>0</v>
      </c>
      <c r="BH1385">
        <v>5</v>
      </c>
      <c r="BI1385">
        <v>2.4</v>
      </c>
      <c r="BJ1385">
        <v>31</v>
      </c>
      <c r="BK1385">
        <v>0</v>
      </c>
      <c r="BL1385">
        <v>0</v>
      </c>
      <c r="BM1385">
        <v>0</v>
      </c>
      <c r="BN1385">
        <v>5</v>
      </c>
      <c r="BO1385">
        <v>2.4</v>
      </c>
      <c r="BP1385">
        <v>36</v>
      </c>
      <c r="BQ1385">
        <v>0</v>
      </c>
      <c r="BR1385">
        <v>0</v>
      </c>
      <c r="BS1385">
        <v>0</v>
      </c>
      <c r="BT1385">
        <v>5</v>
      </c>
      <c r="BU1385">
        <v>1.7</v>
      </c>
    </row>
    <row r="1386" spans="1:73" ht="14.25" x14ac:dyDescent="0.15">
      <c r="A1386" s="12">
        <v>30233</v>
      </c>
      <c r="B1386">
        <v>7</v>
      </c>
      <c r="C1386" s="1">
        <v>47</v>
      </c>
      <c r="D1386">
        <v>0</v>
      </c>
      <c r="E1386">
        <v>0</v>
      </c>
      <c r="F1386">
        <v>1</v>
      </c>
      <c r="G1386" s="7">
        <v>0.05</v>
      </c>
      <c r="H1386">
        <v>12</v>
      </c>
      <c r="I1386">
        <v>0</v>
      </c>
      <c r="J1386">
        <v>0</v>
      </c>
      <c r="K1386">
        <v>0</v>
      </c>
      <c r="L1386">
        <v>1</v>
      </c>
      <c r="M1386">
        <v>2</v>
      </c>
      <c r="N1386" s="7">
        <v>9</v>
      </c>
      <c r="O1386" s="7">
        <v>0</v>
      </c>
      <c r="P1386" s="7">
        <v>0</v>
      </c>
      <c r="Q1386" s="7">
        <v>0</v>
      </c>
      <c r="R1386" s="7">
        <v>1</v>
      </c>
      <c r="S1386" s="7">
        <v>4.5</v>
      </c>
      <c r="T1386">
        <v>7</v>
      </c>
      <c r="U1386" s="1">
        <v>35</v>
      </c>
      <c r="V1386">
        <v>0</v>
      </c>
      <c r="W1386">
        <v>0</v>
      </c>
      <c r="X1386">
        <v>1</v>
      </c>
      <c r="Y1386">
        <v>0.16</v>
      </c>
      <c r="Z1386">
        <v>23</v>
      </c>
      <c r="AA1386">
        <v>0</v>
      </c>
      <c r="AB1386">
        <v>0</v>
      </c>
      <c r="AC1386">
        <v>0</v>
      </c>
      <c r="AD1386">
        <v>1</v>
      </c>
      <c r="AE1386">
        <v>0.05</v>
      </c>
      <c r="AF1386">
        <v>15</v>
      </c>
      <c r="AG1386">
        <v>0</v>
      </c>
      <c r="AH1386">
        <v>0</v>
      </c>
      <c r="AI1386">
        <v>0</v>
      </c>
      <c r="AJ1386">
        <v>1</v>
      </c>
      <c r="AK1386">
        <v>0.02</v>
      </c>
      <c r="AL1386">
        <v>16</v>
      </c>
      <c r="AM1386">
        <v>0</v>
      </c>
      <c r="AN1386">
        <v>0</v>
      </c>
      <c r="AO1386">
        <v>0</v>
      </c>
      <c r="AP1386">
        <v>1</v>
      </c>
      <c r="AQ1386">
        <v>0.01</v>
      </c>
      <c r="AX1386">
        <v>7</v>
      </c>
      <c r="AY1386" s="1">
        <v>19</v>
      </c>
      <c r="AZ1386">
        <v>0</v>
      </c>
      <c r="BA1386">
        <v>0</v>
      </c>
      <c r="BB1386">
        <v>1</v>
      </c>
      <c r="BC1386" s="7">
        <v>0.32</v>
      </c>
      <c r="BD1386">
        <v>30</v>
      </c>
      <c r="BE1386">
        <v>0</v>
      </c>
      <c r="BF1386">
        <v>0</v>
      </c>
      <c r="BG1386">
        <v>0</v>
      </c>
      <c r="BH1386">
        <v>5</v>
      </c>
      <c r="BI1386">
        <v>2.4</v>
      </c>
      <c r="BJ1386">
        <v>31</v>
      </c>
      <c r="BK1386">
        <v>0</v>
      </c>
      <c r="BL1386">
        <v>0</v>
      </c>
      <c r="BM1386">
        <v>0</v>
      </c>
      <c r="BN1386">
        <v>5</v>
      </c>
      <c r="BO1386">
        <v>2.4</v>
      </c>
      <c r="BP1386">
        <v>36</v>
      </c>
      <c r="BQ1386">
        <v>0</v>
      </c>
      <c r="BR1386">
        <v>0</v>
      </c>
      <c r="BS1386">
        <v>0</v>
      </c>
      <c r="BT1386">
        <v>5</v>
      </c>
      <c r="BU1386">
        <v>1.7</v>
      </c>
    </row>
    <row r="1387" spans="1:73" ht="14.25" x14ac:dyDescent="0.15">
      <c r="A1387" s="12">
        <v>30234</v>
      </c>
      <c r="B1387">
        <v>7</v>
      </c>
      <c r="C1387" s="1">
        <v>48</v>
      </c>
      <c r="D1387">
        <v>0</v>
      </c>
      <c r="E1387">
        <v>0</v>
      </c>
      <c r="F1387">
        <v>1</v>
      </c>
      <c r="G1387" s="7">
        <v>0.05</v>
      </c>
      <c r="H1387">
        <v>12</v>
      </c>
      <c r="I1387">
        <v>0</v>
      </c>
      <c r="J1387">
        <v>0</v>
      </c>
      <c r="K1387">
        <v>0</v>
      </c>
      <c r="L1387">
        <v>1</v>
      </c>
      <c r="M1387">
        <v>2</v>
      </c>
      <c r="N1387" s="7">
        <v>9</v>
      </c>
      <c r="O1387" s="7">
        <v>0</v>
      </c>
      <c r="P1387" s="7">
        <v>0</v>
      </c>
      <c r="Q1387" s="7">
        <v>0</v>
      </c>
      <c r="R1387" s="7">
        <v>1</v>
      </c>
      <c r="S1387" s="7">
        <v>4.5</v>
      </c>
      <c r="T1387">
        <v>7</v>
      </c>
      <c r="U1387" s="1">
        <v>36</v>
      </c>
      <c r="V1387">
        <v>0</v>
      </c>
      <c r="W1387">
        <v>0</v>
      </c>
      <c r="X1387">
        <v>1</v>
      </c>
      <c r="Y1387">
        <v>0.16</v>
      </c>
      <c r="Z1387">
        <v>23</v>
      </c>
      <c r="AA1387">
        <v>0</v>
      </c>
      <c r="AB1387">
        <v>0</v>
      </c>
      <c r="AC1387">
        <v>0</v>
      </c>
      <c r="AD1387">
        <v>1</v>
      </c>
      <c r="AE1387">
        <v>0.05</v>
      </c>
      <c r="AF1387">
        <v>15</v>
      </c>
      <c r="AG1387">
        <v>0</v>
      </c>
      <c r="AH1387">
        <v>0</v>
      </c>
      <c r="AI1387">
        <v>0</v>
      </c>
      <c r="AJ1387">
        <v>1</v>
      </c>
      <c r="AK1387">
        <v>0.02</v>
      </c>
      <c r="AL1387">
        <v>16</v>
      </c>
      <c r="AM1387">
        <v>0</v>
      </c>
      <c r="AN1387">
        <v>0</v>
      </c>
      <c r="AO1387">
        <v>0</v>
      </c>
      <c r="AP1387">
        <v>1</v>
      </c>
      <c r="AQ1387">
        <v>0.01</v>
      </c>
      <c r="AX1387">
        <v>7</v>
      </c>
      <c r="AY1387" s="1">
        <v>20</v>
      </c>
      <c r="AZ1387">
        <v>0</v>
      </c>
      <c r="BA1387">
        <v>0</v>
      </c>
      <c r="BB1387">
        <v>1</v>
      </c>
      <c r="BC1387" s="7">
        <v>0.32</v>
      </c>
      <c r="BD1387">
        <v>30</v>
      </c>
      <c r="BE1387">
        <v>0</v>
      </c>
      <c r="BF1387">
        <v>0</v>
      </c>
      <c r="BG1387">
        <v>0</v>
      </c>
      <c r="BH1387">
        <v>5</v>
      </c>
      <c r="BI1387">
        <v>2.4</v>
      </c>
      <c r="BJ1387">
        <v>31</v>
      </c>
      <c r="BK1387">
        <v>0</v>
      </c>
      <c r="BL1387">
        <v>0</v>
      </c>
      <c r="BM1387">
        <v>0</v>
      </c>
      <c r="BN1387">
        <v>5</v>
      </c>
      <c r="BO1387">
        <v>2.4</v>
      </c>
      <c r="BP1387">
        <v>36</v>
      </c>
      <c r="BQ1387">
        <v>0</v>
      </c>
      <c r="BR1387">
        <v>0</v>
      </c>
      <c r="BS1387">
        <v>0</v>
      </c>
      <c r="BT1387">
        <v>5</v>
      </c>
      <c r="BU1387">
        <v>1.7</v>
      </c>
    </row>
    <row r="1388" spans="1:73" ht="14.25" x14ac:dyDescent="0.15">
      <c r="A1388" s="12">
        <v>30235</v>
      </c>
      <c r="B1388">
        <v>7</v>
      </c>
      <c r="C1388" s="1">
        <v>0</v>
      </c>
      <c r="D1388">
        <v>5</v>
      </c>
      <c r="E1388">
        <v>1</v>
      </c>
      <c r="F1388">
        <v>1</v>
      </c>
      <c r="G1388" s="7">
        <v>0.05</v>
      </c>
      <c r="H1388">
        <v>12</v>
      </c>
      <c r="I1388">
        <v>0</v>
      </c>
      <c r="J1388">
        <v>0</v>
      </c>
      <c r="K1388">
        <v>0</v>
      </c>
      <c r="L1388">
        <v>1</v>
      </c>
      <c r="M1388">
        <v>2</v>
      </c>
      <c r="N1388" s="7">
        <v>9</v>
      </c>
      <c r="O1388" s="7">
        <v>0</v>
      </c>
      <c r="P1388" s="7">
        <v>0</v>
      </c>
      <c r="Q1388" s="7">
        <v>0</v>
      </c>
      <c r="R1388" s="7">
        <v>1</v>
      </c>
      <c r="S1388" s="7">
        <v>4.5</v>
      </c>
      <c r="T1388">
        <v>7</v>
      </c>
      <c r="U1388" s="1">
        <v>0</v>
      </c>
      <c r="V1388">
        <v>4</v>
      </c>
      <c r="W1388">
        <v>2</v>
      </c>
      <c r="X1388">
        <v>1</v>
      </c>
      <c r="Y1388">
        <v>0.16</v>
      </c>
      <c r="Z1388">
        <v>23</v>
      </c>
      <c r="AA1388">
        <v>0</v>
      </c>
      <c r="AB1388">
        <v>0</v>
      </c>
      <c r="AC1388">
        <v>0</v>
      </c>
      <c r="AD1388">
        <v>1</v>
      </c>
      <c r="AE1388">
        <v>0.05</v>
      </c>
      <c r="AF1388">
        <v>15</v>
      </c>
      <c r="AG1388">
        <v>0</v>
      </c>
      <c r="AH1388">
        <v>0</v>
      </c>
      <c r="AI1388">
        <v>0</v>
      </c>
      <c r="AJ1388">
        <v>1</v>
      </c>
      <c r="AK1388">
        <v>0.02</v>
      </c>
      <c r="AL1388">
        <v>16</v>
      </c>
      <c r="AM1388">
        <v>0</v>
      </c>
      <c r="AN1388">
        <v>0</v>
      </c>
      <c r="AO1388">
        <v>0</v>
      </c>
      <c r="AP1388">
        <v>1</v>
      </c>
      <c r="AQ1388">
        <v>0.01</v>
      </c>
      <c r="AR1388">
        <v>6</v>
      </c>
      <c r="AS1388">
        <v>2</v>
      </c>
      <c r="AT1388">
        <v>2</v>
      </c>
      <c r="AU1388">
        <v>5</v>
      </c>
      <c r="AV1388">
        <v>1</v>
      </c>
      <c r="AW1388">
        <v>0.05</v>
      </c>
      <c r="AX1388">
        <v>7</v>
      </c>
      <c r="AY1388" s="1">
        <v>0</v>
      </c>
      <c r="AZ1388">
        <v>3</v>
      </c>
      <c r="BA1388">
        <v>1</v>
      </c>
      <c r="BB1388">
        <v>1</v>
      </c>
      <c r="BC1388" s="7">
        <v>0.32</v>
      </c>
      <c r="BD1388">
        <v>30</v>
      </c>
      <c r="BE1388">
        <v>0</v>
      </c>
      <c r="BF1388">
        <v>0</v>
      </c>
      <c r="BG1388">
        <v>0</v>
      </c>
      <c r="BH1388">
        <v>5</v>
      </c>
      <c r="BI1388">
        <v>2.4</v>
      </c>
      <c r="BJ1388">
        <v>31</v>
      </c>
      <c r="BK1388">
        <v>0</v>
      </c>
      <c r="BL1388">
        <v>0</v>
      </c>
      <c r="BM1388">
        <v>0</v>
      </c>
      <c r="BN1388">
        <v>5</v>
      </c>
      <c r="BO1388">
        <v>2.4</v>
      </c>
      <c r="BP1388">
        <v>36</v>
      </c>
      <c r="BQ1388">
        <v>0</v>
      </c>
      <c r="BR1388">
        <v>0</v>
      </c>
      <c r="BS1388">
        <v>0</v>
      </c>
      <c r="BT1388">
        <v>5</v>
      </c>
      <c r="BU1388">
        <v>1.7</v>
      </c>
    </row>
    <row r="1389" spans="1:73" ht="14.25" x14ac:dyDescent="0.15">
      <c r="A1389" s="12">
        <v>30236</v>
      </c>
      <c r="B1389">
        <v>7</v>
      </c>
      <c r="C1389" s="1">
        <v>45</v>
      </c>
      <c r="D1389">
        <v>0</v>
      </c>
      <c r="E1389">
        <v>0</v>
      </c>
      <c r="F1389">
        <v>1</v>
      </c>
      <c r="G1389" s="7">
        <v>0.05</v>
      </c>
      <c r="H1389">
        <v>12</v>
      </c>
      <c r="I1389">
        <v>0</v>
      </c>
      <c r="J1389">
        <v>0</v>
      </c>
      <c r="K1389">
        <v>0</v>
      </c>
      <c r="L1389">
        <v>1</v>
      </c>
      <c r="M1389">
        <v>2</v>
      </c>
      <c r="N1389" s="7">
        <v>9</v>
      </c>
      <c r="O1389" s="7">
        <v>0</v>
      </c>
      <c r="P1389" s="7">
        <v>0</v>
      </c>
      <c r="Q1389" s="7">
        <v>0</v>
      </c>
      <c r="R1389" s="7">
        <v>1</v>
      </c>
      <c r="S1389" s="7">
        <v>4.5</v>
      </c>
      <c r="T1389">
        <v>7</v>
      </c>
      <c r="U1389" s="1">
        <v>33</v>
      </c>
      <c r="V1389">
        <v>0</v>
      </c>
      <c r="W1389">
        <v>0</v>
      </c>
      <c r="X1389">
        <v>1</v>
      </c>
      <c r="Y1389">
        <v>0.16</v>
      </c>
      <c r="Z1389">
        <v>23</v>
      </c>
      <c r="AA1389">
        <v>0</v>
      </c>
      <c r="AB1389">
        <v>0</v>
      </c>
      <c r="AC1389">
        <v>0</v>
      </c>
      <c r="AD1389">
        <v>1</v>
      </c>
      <c r="AE1389">
        <v>0.05</v>
      </c>
      <c r="AF1389">
        <v>15</v>
      </c>
      <c r="AG1389">
        <v>0</v>
      </c>
      <c r="AH1389">
        <v>0</v>
      </c>
      <c r="AI1389">
        <v>0</v>
      </c>
      <c r="AJ1389">
        <v>1</v>
      </c>
      <c r="AK1389">
        <v>0.02</v>
      </c>
      <c r="AL1389">
        <v>16</v>
      </c>
      <c r="AM1389">
        <v>0</v>
      </c>
      <c r="AN1389">
        <v>0</v>
      </c>
      <c r="AO1389">
        <v>0</v>
      </c>
      <c r="AP1389">
        <v>1</v>
      </c>
      <c r="AQ1389">
        <v>0.01</v>
      </c>
      <c r="AX1389">
        <v>7</v>
      </c>
      <c r="AY1389" s="1">
        <v>17</v>
      </c>
      <c r="AZ1389">
        <v>0</v>
      </c>
      <c r="BA1389">
        <v>0</v>
      </c>
      <c r="BB1389">
        <v>1</v>
      </c>
      <c r="BC1389" s="7">
        <v>0.32</v>
      </c>
      <c r="BD1389">
        <v>30</v>
      </c>
      <c r="BE1389">
        <v>0</v>
      </c>
      <c r="BF1389">
        <v>0</v>
      </c>
      <c r="BG1389">
        <v>0</v>
      </c>
      <c r="BH1389">
        <v>5</v>
      </c>
      <c r="BI1389">
        <v>2.4</v>
      </c>
      <c r="BJ1389">
        <v>31</v>
      </c>
      <c r="BK1389">
        <v>0</v>
      </c>
      <c r="BL1389">
        <v>0</v>
      </c>
      <c r="BM1389">
        <v>0</v>
      </c>
      <c r="BN1389">
        <v>5</v>
      </c>
      <c r="BO1389">
        <v>2.4</v>
      </c>
      <c r="BP1389">
        <v>36</v>
      </c>
      <c r="BQ1389">
        <v>0</v>
      </c>
      <c r="BR1389">
        <v>0</v>
      </c>
      <c r="BS1389">
        <v>0</v>
      </c>
      <c r="BT1389">
        <v>5</v>
      </c>
      <c r="BU1389">
        <v>1.7</v>
      </c>
    </row>
    <row r="1390" spans="1:73" ht="14.25" x14ac:dyDescent="0.15">
      <c r="A1390" s="12">
        <v>30237</v>
      </c>
      <c r="B1390">
        <v>7</v>
      </c>
      <c r="C1390" s="1">
        <v>46</v>
      </c>
      <c r="D1390">
        <v>0</v>
      </c>
      <c r="E1390">
        <v>0</v>
      </c>
      <c r="F1390">
        <v>1</v>
      </c>
      <c r="G1390" s="7">
        <v>0.05</v>
      </c>
      <c r="H1390">
        <v>12</v>
      </c>
      <c r="I1390">
        <v>0</v>
      </c>
      <c r="J1390">
        <v>0</v>
      </c>
      <c r="K1390">
        <v>0</v>
      </c>
      <c r="L1390">
        <v>1</v>
      </c>
      <c r="M1390">
        <v>2</v>
      </c>
      <c r="N1390" s="7">
        <v>9</v>
      </c>
      <c r="O1390" s="7">
        <v>0</v>
      </c>
      <c r="P1390" s="7">
        <v>0</v>
      </c>
      <c r="Q1390" s="7">
        <v>0</v>
      </c>
      <c r="R1390" s="7">
        <v>1</v>
      </c>
      <c r="S1390" s="7">
        <v>4.5</v>
      </c>
      <c r="T1390">
        <v>7</v>
      </c>
      <c r="U1390" s="1">
        <v>34</v>
      </c>
      <c r="V1390">
        <v>0</v>
      </c>
      <c r="W1390">
        <v>0</v>
      </c>
      <c r="X1390">
        <v>1</v>
      </c>
      <c r="Y1390">
        <v>0.16</v>
      </c>
      <c r="Z1390">
        <v>23</v>
      </c>
      <c r="AA1390">
        <v>0</v>
      </c>
      <c r="AB1390">
        <v>0</v>
      </c>
      <c r="AC1390">
        <v>0</v>
      </c>
      <c r="AD1390">
        <v>1</v>
      </c>
      <c r="AE1390">
        <v>0.05</v>
      </c>
      <c r="AF1390">
        <v>15</v>
      </c>
      <c r="AG1390">
        <v>0</v>
      </c>
      <c r="AH1390">
        <v>0</v>
      </c>
      <c r="AI1390">
        <v>0</v>
      </c>
      <c r="AJ1390">
        <v>1</v>
      </c>
      <c r="AK1390">
        <v>0.02</v>
      </c>
      <c r="AL1390">
        <v>16</v>
      </c>
      <c r="AM1390">
        <v>0</v>
      </c>
      <c r="AN1390">
        <v>0</v>
      </c>
      <c r="AO1390">
        <v>0</v>
      </c>
      <c r="AP1390">
        <v>1</v>
      </c>
      <c r="AQ1390">
        <v>0.01</v>
      </c>
      <c r="AX1390">
        <v>7</v>
      </c>
      <c r="AY1390" s="1">
        <v>18</v>
      </c>
      <c r="AZ1390">
        <v>0</v>
      </c>
      <c r="BA1390">
        <v>0</v>
      </c>
      <c r="BB1390">
        <v>1</v>
      </c>
      <c r="BC1390" s="7">
        <v>0.32</v>
      </c>
      <c r="BD1390">
        <v>30</v>
      </c>
      <c r="BE1390">
        <v>0</v>
      </c>
      <c r="BF1390">
        <v>0</v>
      </c>
      <c r="BG1390">
        <v>0</v>
      </c>
      <c r="BH1390">
        <v>5</v>
      </c>
      <c r="BI1390">
        <v>2.4</v>
      </c>
      <c r="BJ1390">
        <v>31</v>
      </c>
      <c r="BK1390">
        <v>0</v>
      </c>
      <c r="BL1390">
        <v>0</v>
      </c>
      <c r="BM1390">
        <v>0</v>
      </c>
      <c r="BN1390">
        <v>5</v>
      </c>
      <c r="BO1390">
        <v>2.4</v>
      </c>
      <c r="BP1390">
        <v>36</v>
      </c>
      <c r="BQ1390">
        <v>0</v>
      </c>
      <c r="BR1390">
        <v>0</v>
      </c>
      <c r="BS1390">
        <v>0</v>
      </c>
      <c r="BT1390">
        <v>5</v>
      </c>
      <c r="BU1390">
        <v>1.7</v>
      </c>
    </row>
    <row r="1391" spans="1:73" ht="14.25" x14ac:dyDescent="0.15">
      <c r="A1391" s="12">
        <v>30238</v>
      </c>
      <c r="B1391">
        <v>7</v>
      </c>
      <c r="C1391" s="1">
        <v>47</v>
      </c>
      <c r="D1391">
        <v>0</v>
      </c>
      <c r="E1391">
        <v>0</v>
      </c>
      <c r="F1391">
        <v>1</v>
      </c>
      <c r="G1391" s="7">
        <v>0.05</v>
      </c>
      <c r="H1391">
        <v>12</v>
      </c>
      <c r="I1391">
        <v>0</v>
      </c>
      <c r="J1391">
        <v>0</v>
      </c>
      <c r="K1391">
        <v>0</v>
      </c>
      <c r="L1391">
        <v>1</v>
      </c>
      <c r="M1391">
        <v>2</v>
      </c>
      <c r="N1391" s="7">
        <v>9</v>
      </c>
      <c r="O1391" s="7">
        <v>0</v>
      </c>
      <c r="P1391" s="7">
        <v>0</v>
      </c>
      <c r="Q1391" s="7">
        <v>0</v>
      </c>
      <c r="R1391" s="7">
        <v>1</v>
      </c>
      <c r="S1391" s="7">
        <v>4.5</v>
      </c>
      <c r="T1391">
        <v>7</v>
      </c>
      <c r="U1391" s="1">
        <v>35</v>
      </c>
      <c r="V1391">
        <v>0</v>
      </c>
      <c r="W1391">
        <v>0</v>
      </c>
      <c r="X1391">
        <v>1</v>
      </c>
      <c r="Y1391">
        <v>0.16</v>
      </c>
      <c r="Z1391">
        <v>23</v>
      </c>
      <c r="AA1391">
        <v>0</v>
      </c>
      <c r="AB1391">
        <v>0</v>
      </c>
      <c r="AC1391">
        <v>0</v>
      </c>
      <c r="AD1391">
        <v>1</v>
      </c>
      <c r="AE1391">
        <v>0.05</v>
      </c>
      <c r="AF1391">
        <v>15</v>
      </c>
      <c r="AG1391">
        <v>0</v>
      </c>
      <c r="AH1391">
        <v>0</v>
      </c>
      <c r="AI1391">
        <v>0</v>
      </c>
      <c r="AJ1391">
        <v>1</v>
      </c>
      <c r="AK1391">
        <v>0.02</v>
      </c>
      <c r="AL1391">
        <v>16</v>
      </c>
      <c r="AM1391">
        <v>0</v>
      </c>
      <c r="AN1391">
        <v>0</v>
      </c>
      <c r="AO1391">
        <v>0</v>
      </c>
      <c r="AP1391">
        <v>1</v>
      </c>
      <c r="AQ1391">
        <v>0.01</v>
      </c>
      <c r="AX1391">
        <v>7</v>
      </c>
      <c r="AY1391" s="1">
        <v>19</v>
      </c>
      <c r="AZ1391">
        <v>0</v>
      </c>
      <c r="BA1391">
        <v>0</v>
      </c>
      <c r="BB1391">
        <v>1</v>
      </c>
      <c r="BC1391" s="7">
        <v>0.32</v>
      </c>
      <c r="BD1391">
        <v>30</v>
      </c>
      <c r="BE1391">
        <v>0</v>
      </c>
      <c r="BF1391">
        <v>0</v>
      </c>
      <c r="BG1391">
        <v>0</v>
      </c>
      <c r="BH1391">
        <v>5</v>
      </c>
      <c r="BI1391">
        <v>2.4</v>
      </c>
      <c r="BJ1391">
        <v>31</v>
      </c>
      <c r="BK1391">
        <v>0</v>
      </c>
      <c r="BL1391">
        <v>0</v>
      </c>
      <c r="BM1391">
        <v>0</v>
      </c>
      <c r="BN1391">
        <v>5</v>
      </c>
      <c r="BO1391">
        <v>2.4</v>
      </c>
      <c r="BP1391">
        <v>36</v>
      </c>
      <c r="BQ1391">
        <v>0</v>
      </c>
      <c r="BR1391">
        <v>0</v>
      </c>
      <c r="BS1391">
        <v>0</v>
      </c>
      <c r="BT1391">
        <v>5</v>
      </c>
      <c r="BU1391">
        <v>1.7</v>
      </c>
    </row>
    <row r="1392" spans="1:73" ht="14.25" x14ac:dyDescent="0.15">
      <c r="A1392" s="12">
        <v>30239</v>
      </c>
      <c r="B1392">
        <v>7</v>
      </c>
      <c r="C1392" s="1">
        <v>48</v>
      </c>
      <c r="D1392">
        <v>0</v>
      </c>
      <c r="E1392">
        <v>0</v>
      </c>
      <c r="F1392">
        <v>1</v>
      </c>
      <c r="G1392" s="7">
        <v>0.05</v>
      </c>
      <c r="H1392">
        <v>12</v>
      </c>
      <c r="I1392">
        <v>0</v>
      </c>
      <c r="J1392">
        <v>0</v>
      </c>
      <c r="K1392">
        <v>0</v>
      </c>
      <c r="L1392">
        <v>1</v>
      </c>
      <c r="M1392">
        <v>2</v>
      </c>
      <c r="N1392" s="7">
        <v>9</v>
      </c>
      <c r="O1392" s="7">
        <v>0</v>
      </c>
      <c r="P1392" s="7">
        <v>0</v>
      </c>
      <c r="Q1392" s="7">
        <v>0</v>
      </c>
      <c r="R1392" s="7">
        <v>1</v>
      </c>
      <c r="S1392" s="7">
        <v>4.5</v>
      </c>
      <c r="T1392">
        <v>7</v>
      </c>
      <c r="U1392" s="1">
        <v>36</v>
      </c>
      <c r="V1392">
        <v>0</v>
      </c>
      <c r="W1392">
        <v>0</v>
      </c>
      <c r="X1392">
        <v>1</v>
      </c>
      <c r="Y1392">
        <v>0.16</v>
      </c>
      <c r="Z1392">
        <v>23</v>
      </c>
      <c r="AA1392">
        <v>0</v>
      </c>
      <c r="AB1392">
        <v>0</v>
      </c>
      <c r="AC1392">
        <v>0</v>
      </c>
      <c r="AD1392">
        <v>1</v>
      </c>
      <c r="AE1392">
        <v>0.05</v>
      </c>
      <c r="AF1392">
        <v>15</v>
      </c>
      <c r="AG1392">
        <v>0</v>
      </c>
      <c r="AH1392">
        <v>0</v>
      </c>
      <c r="AI1392">
        <v>0</v>
      </c>
      <c r="AJ1392">
        <v>1</v>
      </c>
      <c r="AK1392">
        <v>0.02</v>
      </c>
      <c r="AL1392">
        <v>16</v>
      </c>
      <c r="AM1392">
        <v>0</v>
      </c>
      <c r="AN1392">
        <v>0</v>
      </c>
      <c r="AO1392">
        <v>0</v>
      </c>
      <c r="AP1392">
        <v>1</v>
      </c>
      <c r="AQ1392">
        <v>0.01</v>
      </c>
      <c r="AX1392">
        <v>7</v>
      </c>
      <c r="AY1392" s="1">
        <v>20</v>
      </c>
      <c r="AZ1392">
        <v>0</v>
      </c>
      <c r="BA1392">
        <v>0</v>
      </c>
      <c r="BB1392">
        <v>1</v>
      </c>
      <c r="BC1392" s="7">
        <v>0.32</v>
      </c>
      <c r="BD1392">
        <v>30</v>
      </c>
      <c r="BE1392">
        <v>0</v>
      </c>
      <c r="BF1392">
        <v>0</v>
      </c>
      <c r="BG1392">
        <v>0</v>
      </c>
      <c r="BH1392">
        <v>5</v>
      </c>
      <c r="BI1392">
        <v>2.4</v>
      </c>
      <c r="BJ1392">
        <v>31</v>
      </c>
      <c r="BK1392">
        <v>0</v>
      </c>
      <c r="BL1392">
        <v>0</v>
      </c>
      <c r="BM1392">
        <v>0</v>
      </c>
      <c r="BN1392">
        <v>5</v>
      </c>
      <c r="BO1392">
        <v>2.4</v>
      </c>
      <c r="BP1392">
        <v>36</v>
      </c>
      <c r="BQ1392">
        <v>0</v>
      </c>
      <c r="BR1392">
        <v>0</v>
      </c>
      <c r="BS1392">
        <v>0</v>
      </c>
      <c r="BT1392">
        <v>5</v>
      </c>
      <c r="BU1392">
        <v>1.7</v>
      </c>
    </row>
    <row r="1393" spans="1:73" ht="14.25" x14ac:dyDescent="0.15">
      <c r="A1393" s="12">
        <v>30240</v>
      </c>
      <c r="B1393">
        <v>7</v>
      </c>
      <c r="C1393" s="1">
        <v>0</v>
      </c>
      <c r="D1393">
        <v>5</v>
      </c>
      <c r="E1393">
        <v>1</v>
      </c>
      <c r="F1393">
        <v>1</v>
      </c>
      <c r="G1393" s="7">
        <v>0.05</v>
      </c>
      <c r="H1393">
        <v>12</v>
      </c>
      <c r="I1393">
        <v>0</v>
      </c>
      <c r="J1393">
        <v>0</v>
      </c>
      <c r="K1393">
        <v>0</v>
      </c>
      <c r="L1393">
        <v>1</v>
      </c>
      <c r="M1393">
        <v>2</v>
      </c>
      <c r="N1393" s="7">
        <v>9</v>
      </c>
      <c r="O1393" s="7">
        <v>0</v>
      </c>
      <c r="P1393" s="7">
        <v>0</v>
      </c>
      <c r="Q1393" s="7">
        <v>0</v>
      </c>
      <c r="R1393" s="7">
        <v>1</v>
      </c>
      <c r="S1393" s="7">
        <v>4.5</v>
      </c>
      <c r="T1393">
        <v>7</v>
      </c>
      <c r="U1393" s="1">
        <v>0</v>
      </c>
      <c r="V1393">
        <v>4</v>
      </c>
      <c r="W1393">
        <v>2</v>
      </c>
      <c r="X1393">
        <v>1</v>
      </c>
      <c r="Y1393">
        <v>0.16</v>
      </c>
      <c r="Z1393">
        <v>23</v>
      </c>
      <c r="AA1393">
        <v>0</v>
      </c>
      <c r="AB1393">
        <v>0</v>
      </c>
      <c r="AC1393">
        <v>0</v>
      </c>
      <c r="AD1393">
        <v>1</v>
      </c>
      <c r="AE1393">
        <v>0.05</v>
      </c>
      <c r="AF1393">
        <v>15</v>
      </c>
      <c r="AG1393">
        <v>0</v>
      </c>
      <c r="AH1393">
        <v>0</v>
      </c>
      <c r="AI1393">
        <v>0</v>
      </c>
      <c r="AJ1393">
        <v>1</v>
      </c>
      <c r="AK1393">
        <v>0.02</v>
      </c>
      <c r="AL1393">
        <v>16</v>
      </c>
      <c r="AM1393">
        <v>0</v>
      </c>
      <c r="AN1393">
        <v>0</v>
      </c>
      <c r="AO1393">
        <v>0</v>
      </c>
      <c r="AP1393">
        <v>1</v>
      </c>
      <c r="AQ1393">
        <v>0.01</v>
      </c>
      <c r="AR1393">
        <v>6</v>
      </c>
      <c r="AS1393">
        <v>2</v>
      </c>
      <c r="AT1393">
        <v>3</v>
      </c>
      <c r="AU1393">
        <v>5</v>
      </c>
      <c r="AV1393">
        <v>1</v>
      </c>
      <c r="AW1393">
        <v>0.05</v>
      </c>
      <c r="AX1393">
        <v>7</v>
      </c>
      <c r="AY1393" s="1">
        <v>0</v>
      </c>
      <c r="AZ1393">
        <v>3</v>
      </c>
      <c r="BA1393">
        <v>1</v>
      </c>
      <c r="BB1393">
        <v>1</v>
      </c>
      <c r="BC1393" s="7">
        <v>0.32</v>
      </c>
      <c r="BD1393">
        <v>30</v>
      </c>
      <c r="BE1393">
        <v>0</v>
      </c>
      <c r="BF1393">
        <v>0</v>
      </c>
      <c r="BG1393">
        <v>0</v>
      </c>
      <c r="BH1393">
        <v>5</v>
      </c>
      <c r="BI1393">
        <v>2.4</v>
      </c>
      <c r="BJ1393">
        <v>31</v>
      </c>
      <c r="BK1393">
        <v>0</v>
      </c>
      <c r="BL1393">
        <v>0</v>
      </c>
      <c r="BM1393">
        <v>0</v>
      </c>
      <c r="BN1393">
        <v>5</v>
      </c>
      <c r="BO1393">
        <v>2.4</v>
      </c>
      <c r="BP1393">
        <v>36</v>
      </c>
      <c r="BQ1393">
        <v>0</v>
      </c>
      <c r="BR1393">
        <v>0</v>
      </c>
      <c r="BS1393">
        <v>0</v>
      </c>
      <c r="BT1393">
        <v>5</v>
      </c>
      <c r="BU1393">
        <v>1.7</v>
      </c>
    </row>
    <row r="1394" spans="1:73" ht="14.25" x14ac:dyDescent="0.15">
      <c r="A1394" s="12">
        <v>30241</v>
      </c>
      <c r="B1394">
        <v>7</v>
      </c>
      <c r="C1394" s="1">
        <v>45</v>
      </c>
      <c r="D1394">
        <v>0</v>
      </c>
      <c r="E1394">
        <v>0</v>
      </c>
      <c r="F1394">
        <v>1</v>
      </c>
      <c r="G1394" s="7">
        <v>0.05</v>
      </c>
      <c r="H1394">
        <v>12</v>
      </c>
      <c r="I1394">
        <v>0</v>
      </c>
      <c r="J1394">
        <v>0</v>
      </c>
      <c r="K1394">
        <v>0</v>
      </c>
      <c r="L1394">
        <v>1</v>
      </c>
      <c r="M1394">
        <v>2</v>
      </c>
      <c r="N1394" s="7">
        <v>9</v>
      </c>
      <c r="O1394" s="7">
        <v>0</v>
      </c>
      <c r="P1394" s="7">
        <v>0</v>
      </c>
      <c r="Q1394" s="7">
        <v>0</v>
      </c>
      <c r="R1394" s="7">
        <v>1</v>
      </c>
      <c r="S1394" s="7">
        <v>4.5</v>
      </c>
      <c r="T1394">
        <v>7</v>
      </c>
      <c r="U1394" s="1">
        <v>33</v>
      </c>
      <c r="V1394">
        <v>0</v>
      </c>
      <c r="W1394">
        <v>0</v>
      </c>
      <c r="X1394">
        <v>1</v>
      </c>
      <c r="Y1394">
        <v>0.16</v>
      </c>
      <c r="Z1394">
        <v>23</v>
      </c>
      <c r="AA1394">
        <v>0</v>
      </c>
      <c r="AB1394">
        <v>0</v>
      </c>
      <c r="AC1394">
        <v>0</v>
      </c>
      <c r="AD1394">
        <v>1</v>
      </c>
      <c r="AE1394">
        <v>0.05</v>
      </c>
      <c r="AF1394">
        <v>15</v>
      </c>
      <c r="AG1394">
        <v>0</v>
      </c>
      <c r="AH1394">
        <v>0</v>
      </c>
      <c r="AI1394">
        <v>0</v>
      </c>
      <c r="AJ1394">
        <v>1</v>
      </c>
      <c r="AK1394">
        <v>0.02</v>
      </c>
      <c r="AL1394">
        <v>16</v>
      </c>
      <c r="AM1394">
        <v>0</v>
      </c>
      <c r="AN1394">
        <v>0</v>
      </c>
      <c r="AO1394">
        <v>0</v>
      </c>
      <c r="AP1394">
        <v>1</v>
      </c>
      <c r="AQ1394">
        <v>0.01</v>
      </c>
      <c r="AX1394">
        <v>7</v>
      </c>
      <c r="AY1394" s="1">
        <v>17</v>
      </c>
      <c r="AZ1394">
        <v>0</v>
      </c>
      <c r="BA1394">
        <v>0</v>
      </c>
      <c r="BB1394">
        <v>1</v>
      </c>
      <c r="BC1394" s="7">
        <v>0.32</v>
      </c>
      <c r="BD1394">
        <v>30</v>
      </c>
      <c r="BE1394">
        <v>0</v>
      </c>
      <c r="BF1394">
        <v>0</v>
      </c>
      <c r="BG1394">
        <v>0</v>
      </c>
      <c r="BH1394">
        <v>5</v>
      </c>
      <c r="BI1394">
        <v>2.4</v>
      </c>
      <c r="BJ1394">
        <v>31</v>
      </c>
      <c r="BK1394">
        <v>0</v>
      </c>
      <c r="BL1394">
        <v>0</v>
      </c>
      <c r="BM1394">
        <v>0</v>
      </c>
      <c r="BN1394">
        <v>5</v>
      </c>
      <c r="BO1394">
        <v>2.4</v>
      </c>
      <c r="BP1394">
        <v>36</v>
      </c>
      <c r="BQ1394">
        <v>0</v>
      </c>
      <c r="BR1394">
        <v>0</v>
      </c>
      <c r="BS1394">
        <v>0</v>
      </c>
      <c r="BT1394">
        <v>5</v>
      </c>
      <c r="BU1394">
        <v>1.7</v>
      </c>
    </row>
    <row r="1395" spans="1:73" ht="14.25" x14ac:dyDescent="0.15">
      <c r="A1395" s="12">
        <v>30242</v>
      </c>
      <c r="B1395">
        <v>7</v>
      </c>
      <c r="C1395" s="1">
        <v>46</v>
      </c>
      <c r="D1395">
        <v>0</v>
      </c>
      <c r="E1395">
        <v>0</v>
      </c>
      <c r="F1395">
        <v>1</v>
      </c>
      <c r="G1395" s="7">
        <v>0.05</v>
      </c>
      <c r="H1395">
        <v>12</v>
      </c>
      <c r="I1395">
        <v>0</v>
      </c>
      <c r="J1395">
        <v>0</v>
      </c>
      <c r="K1395">
        <v>0</v>
      </c>
      <c r="L1395">
        <v>1</v>
      </c>
      <c r="M1395">
        <v>2</v>
      </c>
      <c r="N1395" s="7">
        <v>9</v>
      </c>
      <c r="O1395" s="7">
        <v>0</v>
      </c>
      <c r="P1395" s="7">
        <v>0</v>
      </c>
      <c r="Q1395" s="7">
        <v>0</v>
      </c>
      <c r="R1395" s="7">
        <v>1</v>
      </c>
      <c r="S1395" s="7">
        <v>4.5</v>
      </c>
      <c r="T1395">
        <v>7</v>
      </c>
      <c r="U1395" s="1">
        <v>34</v>
      </c>
      <c r="V1395">
        <v>0</v>
      </c>
      <c r="W1395">
        <v>0</v>
      </c>
      <c r="X1395">
        <v>1</v>
      </c>
      <c r="Y1395">
        <v>0.16</v>
      </c>
      <c r="Z1395">
        <v>23</v>
      </c>
      <c r="AA1395">
        <v>0</v>
      </c>
      <c r="AB1395">
        <v>0</v>
      </c>
      <c r="AC1395">
        <v>0</v>
      </c>
      <c r="AD1395">
        <v>1</v>
      </c>
      <c r="AE1395">
        <v>0.05</v>
      </c>
      <c r="AF1395">
        <v>15</v>
      </c>
      <c r="AG1395">
        <v>0</v>
      </c>
      <c r="AH1395">
        <v>0</v>
      </c>
      <c r="AI1395">
        <v>0</v>
      </c>
      <c r="AJ1395">
        <v>1</v>
      </c>
      <c r="AK1395">
        <v>0.02</v>
      </c>
      <c r="AL1395">
        <v>16</v>
      </c>
      <c r="AM1395">
        <v>0</v>
      </c>
      <c r="AN1395">
        <v>0</v>
      </c>
      <c r="AO1395">
        <v>0</v>
      </c>
      <c r="AP1395">
        <v>1</v>
      </c>
      <c r="AQ1395">
        <v>0.01</v>
      </c>
      <c r="AX1395">
        <v>7</v>
      </c>
      <c r="AY1395" s="1">
        <v>18</v>
      </c>
      <c r="AZ1395">
        <v>0</v>
      </c>
      <c r="BA1395">
        <v>0</v>
      </c>
      <c r="BB1395">
        <v>1</v>
      </c>
      <c r="BC1395" s="7">
        <v>0.32</v>
      </c>
      <c r="BD1395">
        <v>30</v>
      </c>
      <c r="BE1395">
        <v>0</v>
      </c>
      <c r="BF1395">
        <v>0</v>
      </c>
      <c r="BG1395">
        <v>0</v>
      </c>
      <c r="BH1395">
        <v>5</v>
      </c>
      <c r="BI1395">
        <v>2.4</v>
      </c>
      <c r="BJ1395">
        <v>31</v>
      </c>
      <c r="BK1395">
        <v>0</v>
      </c>
      <c r="BL1395">
        <v>0</v>
      </c>
      <c r="BM1395">
        <v>0</v>
      </c>
      <c r="BN1395">
        <v>5</v>
      </c>
      <c r="BO1395">
        <v>2.4</v>
      </c>
      <c r="BP1395">
        <v>36</v>
      </c>
      <c r="BQ1395">
        <v>0</v>
      </c>
      <c r="BR1395">
        <v>0</v>
      </c>
      <c r="BS1395">
        <v>0</v>
      </c>
      <c r="BT1395">
        <v>5</v>
      </c>
      <c r="BU1395">
        <v>1.7</v>
      </c>
    </row>
    <row r="1396" spans="1:73" ht="14.25" x14ac:dyDescent="0.15">
      <c r="A1396" s="12">
        <v>30243</v>
      </c>
      <c r="B1396">
        <v>7</v>
      </c>
      <c r="C1396" s="1">
        <v>47</v>
      </c>
      <c r="D1396">
        <v>0</v>
      </c>
      <c r="E1396">
        <v>0</v>
      </c>
      <c r="F1396">
        <v>1</v>
      </c>
      <c r="G1396" s="7">
        <v>0.05</v>
      </c>
      <c r="H1396">
        <v>12</v>
      </c>
      <c r="I1396">
        <v>0</v>
      </c>
      <c r="J1396">
        <v>0</v>
      </c>
      <c r="K1396">
        <v>0</v>
      </c>
      <c r="L1396">
        <v>1</v>
      </c>
      <c r="M1396">
        <v>2</v>
      </c>
      <c r="N1396" s="7">
        <v>9</v>
      </c>
      <c r="O1396" s="7">
        <v>0</v>
      </c>
      <c r="P1396" s="7">
        <v>0</v>
      </c>
      <c r="Q1396" s="7">
        <v>0</v>
      </c>
      <c r="R1396" s="7">
        <v>1</v>
      </c>
      <c r="S1396" s="7">
        <v>4.5</v>
      </c>
      <c r="T1396">
        <v>7</v>
      </c>
      <c r="U1396" s="1">
        <v>35</v>
      </c>
      <c r="V1396">
        <v>0</v>
      </c>
      <c r="W1396">
        <v>0</v>
      </c>
      <c r="X1396">
        <v>1</v>
      </c>
      <c r="Y1396">
        <v>0.16</v>
      </c>
      <c r="Z1396">
        <v>23</v>
      </c>
      <c r="AA1396">
        <v>0</v>
      </c>
      <c r="AB1396">
        <v>0</v>
      </c>
      <c r="AC1396">
        <v>0</v>
      </c>
      <c r="AD1396">
        <v>1</v>
      </c>
      <c r="AE1396">
        <v>0.05</v>
      </c>
      <c r="AF1396">
        <v>15</v>
      </c>
      <c r="AG1396">
        <v>0</v>
      </c>
      <c r="AH1396">
        <v>0</v>
      </c>
      <c r="AI1396">
        <v>0</v>
      </c>
      <c r="AJ1396">
        <v>1</v>
      </c>
      <c r="AK1396">
        <v>0.02</v>
      </c>
      <c r="AL1396">
        <v>16</v>
      </c>
      <c r="AM1396">
        <v>0</v>
      </c>
      <c r="AN1396">
        <v>0</v>
      </c>
      <c r="AO1396">
        <v>0</v>
      </c>
      <c r="AP1396">
        <v>1</v>
      </c>
      <c r="AQ1396">
        <v>0.01</v>
      </c>
      <c r="AX1396">
        <v>7</v>
      </c>
      <c r="AY1396" s="1">
        <v>19</v>
      </c>
      <c r="AZ1396">
        <v>0</v>
      </c>
      <c r="BA1396">
        <v>0</v>
      </c>
      <c r="BB1396">
        <v>1</v>
      </c>
      <c r="BC1396" s="7">
        <v>0.32</v>
      </c>
      <c r="BD1396">
        <v>30</v>
      </c>
      <c r="BE1396">
        <v>0</v>
      </c>
      <c r="BF1396">
        <v>0</v>
      </c>
      <c r="BG1396">
        <v>0</v>
      </c>
      <c r="BH1396">
        <v>5</v>
      </c>
      <c r="BI1396">
        <v>2.4</v>
      </c>
      <c r="BJ1396">
        <v>31</v>
      </c>
      <c r="BK1396">
        <v>0</v>
      </c>
      <c r="BL1396">
        <v>0</v>
      </c>
      <c r="BM1396">
        <v>0</v>
      </c>
      <c r="BN1396">
        <v>5</v>
      </c>
      <c r="BO1396">
        <v>2.4</v>
      </c>
      <c r="BP1396">
        <v>36</v>
      </c>
      <c r="BQ1396">
        <v>0</v>
      </c>
      <c r="BR1396">
        <v>0</v>
      </c>
      <c r="BS1396">
        <v>0</v>
      </c>
      <c r="BT1396">
        <v>5</v>
      </c>
      <c r="BU1396">
        <v>1.7</v>
      </c>
    </row>
    <row r="1397" spans="1:73" ht="14.25" x14ac:dyDescent="0.15">
      <c r="A1397" s="12">
        <v>30244</v>
      </c>
      <c r="B1397">
        <v>7</v>
      </c>
      <c r="C1397" s="1">
        <v>48</v>
      </c>
      <c r="D1397">
        <v>0</v>
      </c>
      <c r="E1397">
        <v>0</v>
      </c>
      <c r="F1397">
        <v>1</v>
      </c>
      <c r="G1397" s="7">
        <v>0.05</v>
      </c>
      <c r="H1397">
        <v>12</v>
      </c>
      <c r="I1397">
        <v>0</v>
      </c>
      <c r="J1397">
        <v>0</v>
      </c>
      <c r="K1397">
        <v>0</v>
      </c>
      <c r="L1397">
        <v>1</v>
      </c>
      <c r="M1397">
        <v>2</v>
      </c>
      <c r="N1397" s="7">
        <v>9</v>
      </c>
      <c r="O1397" s="7">
        <v>0</v>
      </c>
      <c r="P1397" s="7">
        <v>0</v>
      </c>
      <c r="Q1397" s="7">
        <v>0</v>
      </c>
      <c r="R1397" s="7">
        <v>1</v>
      </c>
      <c r="S1397" s="7">
        <v>4.5</v>
      </c>
      <c r="T1397">
        <v>7</v>
      </c>
      <c r="U1397" s="1">
        <v>36</v>
      </c>
      <c r="V1397">
        <v>0</v>
      </c>
      <c r="W1397">
        <v>0</v>
      </c>
      <c r="X1397">
        <v>1</v>
      </c>
      <c r="Y1397">
        <v>0.16</v>
      </c>
      <c r="Z1397">
        <v>23</v>
      </c>
      <c r="AA1397">
        <v>0</v>
      </c>
      <c r="AB1397">
        <v>0</v>
      </c>
      <c r="AC1397">
        <v>0</v>
      </c>
      <c r="AD1397">
        <v>1</v>
      </c>
      <c r="AE1397">
        <v>0.05</v>
      </c>
      <c r="AF1397">
        <v>15</v>
      </c>
      <c r="AG1397">
        <v>0</v>
      </c>
      <c r="AH1397">
        <v>0</v>
      </c>
      <c r="AI1397">
        <v>0</v>
      </c>
      <c r="AJ1397">
        <v>1</v>
      </c>
      <c r="AK1397">
        <v>0.02</v>
      </c>
      <c r="AL1397">
        <v>16</v>
      </c>
      <c r="AM1397">
        <v>0</v>
      </c>
      <c r="AN1397">
        <v>0</v>
      </c>
      <c r="AO1397">
        <v>0</v>
      </c>
      <c r="AP1397">
        <v>1</v>
      </c>
      <c r="AQ1397">
        <v>0.01</v>
      </c>
      <c r="AX1397">
        <v>7</v>
      </c>
      <c r="AY1397" s="1">
        <v>20</v>
      </c>
      <c r="AZ1397">
        <v>0</v>
      </c>
      <c r="BA1397">
        <v>0</v>
      </c>
      <c r="BB1397">
        <v>1</v>
      </c>
      <c r="BC1397" s="7">
        <v>0.32</v>
      </c>
      <c r="BD1397">
        <v>30</v>
      </c>
      <c r="BE1397">
        <v>0</v>
      </c>
      <c r="BF1397">
        <v>0</v>
      </c>
      <c r="BG1397">
        <v>0</v>
      </c>
      <c r="BH1397">
        <v>5</v>
      </c>
      <c r="BI1397">
        <v>2.4</v>
      </c>
      <c r="BJ1397">
        <v>31</v>
      </c>
      <c r="BK1397">
        <v>0</v>
      </c>
      <c r="BL1397">
        <v>0</v>
      </c>
      <c r="BM1397">
        <v>0</v>
      </c>
      <c r="BN1397">
        <v>5</v>
      </c>
      <c r="BO1397">
        <v>2.4</v>
      </c>
      <c r="BP1397">
        <v>36</v>
      </c>
      <c r="BQ1397">
        <v>0</v>
      </c>
      <c r="BR1397">
        <v>0</v>
      </c>
      <c r="BS1397">
        <v>0</v>
      </c>
      <c r="BT1397">
        <v>5</v>
      </c>
      <c r="BU1397">
        <v>1.7</v>
      </c>
    </row>
    <row r="1398" spans="1:73" ht="14.25" x14ac:dyDescent="0.15">
      <c r="A1398" s="12">
        <v>30245</v>
      </c>
      <c r="B1398">
        <v>7</v>
      </c>
      <c r="C1398" s="1">
        <v>0</v>
      </c>
      <c r="D1398">
        <v>5</v>
      </c>
      <c r="E1398">
        <v>1</v>
      </c>
      <c r="F1398">
        <v>1</v>
      </c>
      <c r="G1398" s="7">
        <v>0.05</v>
      </c>
      <c r="H1398">
        <v>12</v>
      </c>
      <c r="I1398">
        <v>0</v>
      </c>
      <c r="J1398">
        <v>0</v>
      </c>
      <c r="K1398">
        <v>0</v>
      </c>
      <c r="L1398">
        <v>1</v>
      </c>
      <c r="M1398">
        <v>2</v>
      </c>
      <c r="N1398" s="7">
        <v>9</v>
      </c>
      <c r="O1398" s="7">
        <v>0</v>
      </c>
      <c r="P1398" s="7">
        <v>0</v>
      </c>
      <c r="Q1398" s="7">
        <v>0</v>
      </c>
      <c r="R1398" s="7">
        <v>1</v>
      </c>
      <c r="S1398" s="7">
        <v>4.5</v>
      </c>
      <c r="T1398">
        <v>7</v>
      </c>
      <c r="U1398" s="1">
        <v>0</v>
      </c>
      <c r="V1398">
        <v>4</v>
      </c>
      <c r="W1398">
        <v>2</v>
      </c>
      <c r="X1398">
        <v>1</v>
      </c>
      <c r="Y1398">
        <v>0.16</v>
      </c>
      <c r="Z1398">
        <v>23</v>
      </c>
      <c r="AA1398">
        <v>0</v>
      </c>
      <c r="AB1398">
        <v>0</v>
      </c>
      <c r="AC1398">
        <v>0</v>
      </c>
      <c r="AD1398">
        <v>1</v>
      </c>
      <c r="AE1398">
        <v>0.05</v>
      </c>
      <c r="AF1398">
        <v>15</v>
      </c>
      <c r="AG1398">
        <v>0</v>
      </c>
      <c r="AH1398">
        <v>0</v>
      </c>
      <c r="AI1398">
        <v>0</v>
      </c>
      <c r="AJ1398">
        <v>1</v>
      </c>
      <c r="AK1398">
        <v>0.02</v>
      </c>
      <c r="AL1398">
        <v>16</v>
      </c>
      <c r="AM1398">
        <v>0</v>
      </c>
      <c r="AN1398">
        <v>0</v>
      </c>
      <c r="AO1398">
        <v>0</v>
      </c>
      <c r="AP1398">
        <v>1</v>
      </c>
      <c r="AQ1398">
        <v>0.01</v>
      </c>
      <c r="AR1398">
        <v>6</v>
      </c>
      <c r="AS1398">
        <v>2</v>
      </c>
      <c r="AT1398">
        <v>4</v>
      </c>
      <c r="AU1398">
        <v>5</v>
      </c>
      <c r="AV1398">
        <v>1</v>
      </c>
      <c r="AW1398">
        <v>0.01</v>
      </c>
      <c r="AX1398">
        <v>7</v>
      </c>
      <c r="AY1398" s="1">
        <v>0</v>
      </c>
      <c r="AZ1398">
        <v>3</v>
      </c>
      <c r="BA1398">
        <v>1</v>
      </c>
      <c r="BB1398">
        <v>1</v>
      </c>
      <c r="BC1398" s="7">
        <v>0.32</v>
      </c>
      <c r="BD1398">
        <v>30</v>
      </c>
      <c r="BE1398">
        <v>0</v>
      </c>
      <c r="BF1398">
        <v>0</v>
      </c>
      <c r="BG1398">
        <v>0</v>
      </c>
      <c r="BH1398">
        <v>5</v>
      </c>
      <c r="BI1398">
        <v>2.4</v>
      </c>
      <c r="BJ1398">
        <v>31</v>
      </c>
      <c r="BK1398">
        <v>0</v>
      </c>
      <c r="BL1398">
        <v>0</v>
      </c>
      <c r="BM1398">
        <v>0</v>
      </c>
      <c r="BN1398">
        <v>5</v>
      </c>
      <c r="BO1398">
        <v>2.4</v>
      </c>
      <c r="BP1398">
        <v>36</v>
      </c>
      <c r="BQ1398">
        <v>0</v>
      </c>
      <c r="BR1398">
        <v>0</v>
      </c>
      <c r="BS1398">
        <v>0</v>
      </c>
      <c r="BT1398">
        <v>5</v>
      </c>
      <c r="BU1398">
        <v>1.7</v>
      </c>
    </row>
    <row r="1399" spans="1:73" ht="14.25" x14ac:dyDescent="0.15">
      <c r="A1399" s="12">
        <v>30246</v>
      </c>
      <c r="B1399">
        <v>7</v>
      </c>
      <c r="C1399" s="1">
        <v>45</v>
      </c>
      <c r="D1399">
        <v>0</v>
      </c>
      <c r="E1399">
        <v>0</v>
      </c>
      <c r="F1399">
        <v>1</v>
      </c>
      <c r="G1399" s="7">
        <v>0.05</v>
      </c>
      <c r="H1399">
        <v>12</v>
      </c>
      <c r="I1399">
        <v>0</v>
      </c>
      <c r="J1399">
        <v>0</v>
      </c>
      <c r="K1399">
        <v>0</v>
      </c>
      <c r="L1399">
        <v>1</v>
      </c>
      <c r="M1399">
        <v>2</v>
      </c>
      <c r="N1399" s="7">
        <v>9</v>
      </c>
      <c r="O1399" s="7">
        <v>0</v>
      </c>
      <c r="P1399" s="7">
        <v>0</v>
      </c>
      <c r="Q1399" s="7">
        <v>0</v>
      </c>
      <c r="R1399" s="7">
        <v>1</v>
      </c>
      <c r="S1399" s="7">
        <v>4.5</v>
      </c>
      <c r="T1399">
        <v>7</v>
      </c>
      <c r="U1399" s="1">
        <v>33</v>
      </c>
      <c r="V1399">
        <v>0</v>
      </c>
      <c r="W1399">
        <v>0</v>
      </c>
      <c r="X1399">
        <v>1</v>
      </c>
      <c r="Y1399">
        <v>0.16</v>
      </c>
      <c r="Z1399">
        <v>23</v>
      </c>
      <c r="AA1399">
        <v>0</v>
      </c>
      <c r="AB1399">
        <v>0</v>
      </c>
      <c r="AC1399">
        <v>0</v>
      </c>
      <c r="AD1399">
        <v>1</v>
      </c>
      <c r="AE1399">
        <v>0.05</v>
      </c>
      <c r="AF1399">
        <v>15</v>
      </c>
      <c r="AG1399">
        <v>0</v>
      </c>
      <c r="AH1399">
        <v>0</v>
      </c>
      <c r="AI1399">
        <v>0</v>
      </c>
      <c r="AJ1399">
        <v>1</v>
      </c>
      <c r="AK1399">
        <v>0.02</v>
      </c>
      <c r="AL1399">
        <v>16</v>
      </c>
      <c r="AM1399">
        <v>0</v>
      </c>
      <c r="AN1399">
        <v>0</v>
      </c>
      <c r="AO1399">
        <v>0</v>
      </c>
      <c r="AP1399">
        <v>1</v>
      </c>
      <c r="AQ1399">
        <v>0.01</v>
      </c>
      <c r="AX1399">
        <v>7</v>
      </c>
      <c r="AY1399" s="1">
        <v>17</v>
      </c>
      <c r="AZ1399">
        <v>0</v>
      </c>
      <c r="BA1399">
        <v>0</v>
      </c>
      <c r="BB1399">
        <v>1</v>
      </c>
      <c r="BC1399" s="7">
        <v>0.32</v>
      </c>
      <c r="BD1399">
        <v>30</v>
      </c>
      <c r="BE1399">
        <v>0</v>
      </c>
      <c r="BF1399">
        <v>0</v>
      </c>
      <c r="BG1399">
        <v>0</v>
      </c>
      <c r="BH1399">
        <v>5</v>
      </c>
      <c r="BI1399">
        <v>2.4</v>
      </c>
      <c r="BJ1399">
        <v>31</v>
      </c>
      <c r="BK1399">
        <v>0</v>
      </c>
      <c r="BL1399">
        <v>0</v>
      </c>
      <c r="BM1399">
        <v>0</v>
      </c>
      <c r="BN1399">
        <v>5</v>
      </c>
      <c r="BO1399">
        <v>2.4</v>
      </c>
      <c r="BP1399">
        <v>36</v>
      </c>
      <c r="BQ1399">
        <v>0</v>
      </c>
      <c r="BR1399">
        <v>0</v>
      </c>
      <c r="BS1399">
        <v>0</v>
      </c>
      <c r="BT1399">
        <v>5</v>
      </c>
      <c r="BU1399">
        <v>1.7</v>
      </c>
    </row>
    <row r="1400" spans="1:73" ht="14.25" x14ac:dyDescent="0.15">
      <c r="A1400" s="12">
        <v>30247</v>
      </c>
      <c r="B1400">
        <v>7</v>
      </c>
      <c r="C1400" s="1">
        <v>46</v>
      </c>
      <c r="D1400">
        <v>0</v>
      </c>
      <c r="E1400">
        <v>0</v>
      </c>
      <c r="F1400">
        <v>1</v>
      </c>
      <c r="G1400" s="7">
        <v>0.05</v>
      </c>
      <c r="H1400">
        <v>12</v>
      </c>
      <c r="I1400">
        <v>0</v>
      </c>
      <c r="J1400">
        <v>0</v>
      </c>
      <c r="K1400">
        <v>0</v>
      </c>
      <c r="L1400">
        <v>1</v>
      </c>
      <c r="M1400">
        <v>2</v>
      </c>
      <c r="N1400" s="7">
        <v>9</v>
      </c>
      <c r="O1400" s="7">
        <v>0</v>
      </c>
      <c r="P1400" s="7">
        <v>0</v>
      </c>
      <c r="Q1400" s="7">
        <v>0</v>
      </c>
      <c r="R1400" s="7">
        <v>1</v>
      </c>
      <c r="S1400" s="7">
        <v>4.5</v>
      </c>
      <c r="T1400">
        <v>7</v>
      </c>
      <c r="U1400" s="1">
        <v>34</v>
      </c>
      <c r="V1400">
        <v>0</v>
      </c>
      <c r="W1400">
        <v>0</v>
      </c>
      <c r="X1400">
        <v>1</v>
      </c>
      <c r="Y1400">
        <v>0.16</v>
      </c>
      <c r="Z1400">
        <v>23</v>
      </c>
      <c r="AA1400">
        <v>0</v>
      </c>
      <c r="AB1400">
        <v>0</v>
      </c>
      <c r="AC1400">
        <v>0</v>
      </c>
      <c r="AD1400">
        <v>1</v>
      </c>
      <c r="AE1400">
        <v>0.05</v>
      </c>
      <c r="AF1400">
        <v>15</v>
      </c>
      <c r="AG1400">
        <v>0</v>
      </c>
      <c r="AH1400">
        <v>0</v>
      </c>
      <c r="AI1400">
        <v>0</v>
      </c>
      <c r="AJ1400">
        <v>1</v>
      </c>
      <c r="AK1400">
        <v>0.02</v>
      </c>
      <c r="AL1400">
        <v>16</v>
      </c>
      <c r="AM1400">
        <v>0</v>
      </c>
      <c r="AN1400">
        <v>0</v>
      </c>
      <c r="AO1400">
        <v>0</v>
      </c>
      <c r="AP1400">
        <v>1</v>
      </c>
      <c r="AQ1400">
        <v>0.01</v>
      </c>
      <c r="AX1400">
        <v>7</v>
      </c>
      <c r="AY1400" s="1">
        <v>18</v>
      </c>
      <c r="AZ1400">
        <v>0</v>
      </c>
      <c r="BA1400">
        <v>0</v>
      </c>
      <c r="BB1400">
        <v>1</v>
      </c>
      <c r="BC1400" s="7">
        <v>0.32</v>
      </c>
      <c r="BD1400">
        <v>30</v>
      </c>
      <c r="BE1400">
        <v>0</v>
      </c>
      <c r="BF1400">
        <v>0</v>
      </c>
      <c r="BG1400">
        <v>0</v>
      </c>
      <c r="BH1400">
        <v>5</v>
      </c>
      <c r="BI1400">
        <v>2.4</v>
      </c>
      <c r="BJ1400">
        <v>31</v>
      </c>
      <c r="BK1400">
        <v>0</v>
      </c>
      <c r="BL1400">
        <v>0</v>
      </c>
      <c r="BM1400">
        <v>0</v>
      </c>
      <c r="BN1400">
        <v>5</v>
      </c>
      <c r="BO1400">
        <v>2.4</v>
      </c>
      <c r="BP1400">
        <v>36</v>
      </c>
      <c r="BQ1400">
        <v>0</v>
      </c>
      <c r="BR1400">
        <v>0</v>
      </c>
      <c r="BS1400">
        <v>0</v>
      </c>
      <c r="BT1400">
        <v>5</v>
      </c>
      <c r="BU1400">
        <v>1.7</v>
      </c>
    </row>
    <row r="1401" spans="1:73" ht="14.25" x14ac:dyDescent="0.15">
      <c r="A1401" s="12">
        <v>30248</v>
      </c>
      <c r="B1401">
        <v>7</v>
      </c>
      <c r="C1401" s="1">
        <v>47</v>
      </c>
      <c r="D1401">
        <v>0</v>
      </c>
      <c r="E1401">
        <v>0</v>
      </c>
      <c r="F1401">
        <v>1</v>
      </c>
      <c r="G1401" s="7">
        <v>0.05</v>
      </c>
      <c r="H1401">
        <v>12</v>
      </c>
      <c r="I1401">
        <v>0</v>
      </c>
      <c r="J1401">
        <v>0</v>
      </c>
      <c r="K1401">
        <v>0</v>
      </c>
      <c r="L1401">
        <v>1</v>
      </c>
      <c r="M1401">
        <v>2</v>
      </c>
      <c r="N1401" s="7">
        <v>9</v>
      </c>
      <c r="O1401" s="7">
        <v>0</v>
      </c>
      <c r="P1401" s="7">
        <v>0</v>
      </c>
      <c r="Q1401" s="7">
        <v>0</v>
      </c>
      <c r="R1401" s="7">
        <v>1</v>
      </c>
      <c r="S1401" s="7">
        <v>4.5</v>
      </c>
      <c r="T1401">
        <v>7</v>
      </c>
      <c r="U1401" s="1">
        <v>35</v>
      </c>
      <c r="V1401">
        <v>0</v>
      </c>
      <c r="W1401">
        <v>0</v>
      </c>
      <c r="X1401">
        <v>1</v>
      </c>
      <c r="Y1401">
        <v>0.16</v>
      </c>
      <c r="Z1401">
        <v>23</v>
      </c>
      <c r="AA1401">
        <v>0</v>
      </c>
      <c r="AB1401">
        <v>0</v>
      </c>
      <c r="AC1401">
        <v>0</v>
      </c>
      <c r="AD1401">
        <v>1</v>
      </c>
      <c r="AE1401">
        <v>0.05</v>
      </c>
      <c r="AF1401">
        <v>15</v>
      </c>
      <c r="AG1401">
        <v>0</v>
      </c>
      <c r="AH1401">
        <v>0</v>
      </c>
      <c r="AI1401">
        <v>0</v>
      </c>
      <c r="AJ1401">
        <v>1</v>
      </c>
      <c r="AK1401">
        <v>0.02</v>
      </c>
      <c r="AL1401">
        <v>16</v>
      </c>
      <c r="AM1401">
        <v>0</v>
      </c>
      <c r="AN1401">
        <v>0</v>
      </c>
      <c r="AO1401">
        <v>0</v>
      </c>
      <c r="AP1401">
        <v>1</v>
      </c>
      <c r="AQ1401">
        <v>0.01</v>
      </c>
      <c r="AX1401">
        <v>7</v>
      </c>
      <c r="AY1401" s="1">
        <v>19</v>
      </c>
      <c r="AZ1401">
        <v>0</v>
      </c>
      <c r="BA1401">
        <v>0</v>
      </c>
      <c r="BB1401">
        <v>1</v>
      </c>
      <c r="BC1401" s="7">
        <v>0.32</v>
      </c>
      <c r="BD1401">
        <v>30</v>
      </c>
      <c r="BE1401">
        <v>0</v>
      </c>
      <c r="BF1401">
        <v>0</v>
      </c>
      <c r="BG1401">
        <v>0</v>
      </c>
      <c r="BH1401">
        <v>5</v>
      </c>
      <c r="BI1401">
        <v>2.4</v>
      </c>
      <c r="BJ1401">
        <v>31</v>
      </c>
      <c r="BK1401">
        <v>0</v>
      </c>
      <c r="BL1401">
        <v>0</v>
      </c>
      <c r="BM1401">
        <v>0</v>
      </c>
      <c r="BN1401">
        <v>5</v>
      </c>
      <c r="BO1401">
        <v>2.4</v>
      </c>
      <c r="BP1401">
        <v>36</v>
      </c>
      <c r="BQ1401">
        <v>0</v>
      </c>
      <c r="BR1401">
        <v>0</v>
      </c>
      <c r="BS1401">
        <v>0</v>
      </c>
      <c r="BT1401">
        <v>5</v>
      </c>
      <c r="BU1401">
        <v>1.7</v>
      </c>
    </row>
    <row r="1402" spans="1:73" ht="14.25" x14ac:dyDescent="0.15">
      <c r="A1402" s="12">
        <v>30249</v>
      </c>
      <c r="B1402">
        <v>7</v>
      </c>
      <c r="C1402" s="1">
        <v>48</v>
      </c>
      <c r="D1402">
        <v>0</v>
      </c>
      <c r="E1402">
        <v>0</v>
      </c>
      <c r="F1402">
        <v>1</v>
      </c>
      <c r="G1402" s="7">
        <v>0.05</v>
      </c>
      <c r="H1402">
        <v>12</v>
      </c>
      <c r="I1402">
        <v>0</v>
      </c>
      <c r="J1402">
        <v>0</v>
      </c>
      <c r="K1402">
        <v>0</v>
      </c>
      <c r="L1402">
        <v>1</v>
      </c>
      <c r="M1402">
        <v>2</v>
      </c>
      <c r="N1402" s="7">
        <v>9</v>
      </c>
      <c r="O1402" s="7">
        <v>0</v>
      </c>
      <c r="P1402" s="7">
        <v>0</v>
      </c>
      <c r="Q1402" s="7">
        <v>0</v>
      </c>
      <c r="R1402" s="7">
        <v>1</v>
      </c>
      <c r="S1402" s="7">
        <v>4.5</v>
      </c>
      <c r="T1402">
        <v>7</v>
      </c>
      <c r="U1402" s="1">
        <v>36</v>
      </c>
      <c r="V1402">
        <v>0</v>
      </c>
      <c r="W1402">
        <v>0</v>
      </c>
      <c r="X1402">
        <v>1</v>
      </c>
      <c r="Y1402">
        <v>0.16</v>
      </c>
      <c r="Z1402">
        <v>23</v>
      </c>
      <c r="AA1402">
        <v>0</v>
      </c>
      <c r="AB1402">
        <v>0</v>
      </c>
      <c r="AC1402">
        <v>0</v>
      </c>
      <c r="AD1402">
        <v>1</v>
      </c>
      <c r="AE1402">
        <v>0.05</v>
      </c>
      <c r="AF1402">
        <v>15</v>
      </c>
      <c r="AG1402">
        <v>0</v>
      </c>
      <c r="AH1402">
        <v>0</v>
      </c>
      <c r="AI1402">
        <v>0</v>
      </c>
      <c r="AJ1402">
        <v>1</v>
      </c>
      <c r="AK1402">
        <v>0.02</v>
      </c>
      <c r="AL1402">
        <v>16</v>
      </c>
      <c r="AM1402">
        <v>0</v>
      </c>
      <c r="AN1402">
        <v>0</v>
      </c>
      <c r="AO1402">
        <v>0</v>
      </c>
      <c r="AP1402">
        <v>1</v>
      </c>
      <c r="AQ1402">
        <v>0.01</v>
      </c>
      <c r="AX1402">
        <v>7</v>
      </c>
      <c r="AY1402" s="1">
        <v>20</v>
      </c>
      <c r="AZ1402">
        <v>0</v>
      </c>
      <c r="BA1402">
        <v>0</v>
      </c>
      <c r="BB1402">
        <v>1</v>
      </c>
      <c r="BC1402" s="7">
        <v>0.32</v>
      </c>
      <c r="BD1402">
        <v>30</v>
      </c>
      <c r="BE1402">
        <v>0</v>
      </c>
      <c r="BF1402">
        <v>0</v>
      </c>
      <c r="BG1402">
        <v>0</v>
      </c>
      <c r="BH1402">
        <v>5</v>
      </c>
      <c r="BI1402">
        <v>2.4</v>
      </c>
      <c r="BJ1402">
        <v>31</v>
      </c>
      <c r="BK1402">
        <v>0</v>
      </c>
      <c r="BL1402">
        <v>0</v>
      </c>
      <c r="BM1402">
        <v>0</v>
      </c>
      <c r="BN1402">
        <v>5</v>
      </c>
      <c r="BO1402">
        <v>2.4</v>
      </c>
      <c r="BP1402">
        <v>36</v>
      </c>
      <c r="BQ1402">
        <v>0</v>
      </c>
      <c r="BR1402">
        <v>0</v>
      </c>
      <c r="BS1402">
        <v>0</v>
      </c>
      <c r="BT1402">
        <v>5</v>
      </c>
      <c r="BU1402">
        <v>1.7</v>
      </c>
    </row>
    <row r="1403" spans="1:73" ht="14.25" x14ac:dyDescent="0.15">
      <c r="A1403" s="12">
        <v>30250</v>
      </c>
      <c r="B1403">
        <v>7</v>
      </c>
      <c r="C1403" s="1">
        <v>0</v>
      </c>
      <c r="D1403">
        <v>5</v>
      </c>
      <c r="E1403">
        <v>1</v>
      </c>
      <c r="F1403">
        <v>1</v>
      </c>
      <c r="G1403" s="7">
        <v>0.05</v>
      </c>
      <c r="H1403">
        <v>12</v>
      </c>
      <c r="I1403">
        <v>0</v>
      </c>
      <c r="J1403">
        <v>0</v>
      </c>
      <c r="K1403">
        <v>0</v>
      </c>
      <c r="L1403">
        <v>1</v>
      </c>
      <c r="M1403">
        <v>2</v>
      </c>
      <c r="N1403" s="7">
        <v>9</v>
      </c>
      <c r="O1403" s="7">
        <v>0</v>
      </c>
      <c r="P1403" s="7">
        <v>0</v>
      </c>
      <c r="Q1403" s="7">
        <v>0</v>
      </c>
      <c r="R1403" s="7">
        <v>1</v>
      </c>
      <c r="S1403" s="7">
        <v>4.5</v>
      </c>
      <c r="T1403">
        <v>7</v>
      </c>
      <c r="U1403" s="1">
        <v>0</v>
      </c>
      <c r="V1403">
        <v>4</v>
      </c>
      <c r="W1403">
        <v>2</v>
      </c>
      <c r="X1403">
        <v>1</v>
      </c>
      <c r="Y1403">
        <v>0.16</v>
      </c>
      <c r="Z1403">
        <v>23</v>
      </c>
      <c r="AA1403">
        <v>0</v>
      </c>
      <c r="AB1403">
        <v>0</v>
      </c>
      <c r="AC1403">
        <v>0</v>
      </c>
      <c r="AD1403">
        <v>1</v>
      </c>
      <c r="AE1403">
        <v>0.05</v>
      </c>
      <c r="AF1403">
        <v>15</v>
      </c>
      <c r="AG1403">
        <v>0</v>
      </c>
      <c r="AH1403">
        <v>0</v>
      </c>
      <c r="AI1403">
        <v>0</v>
      </c>
      <c r="AJ1403">
        <v>1</v>
      </c>
      <c r="AK1403">
        <v>0.02</v>
      </c>
      <c r="AL1403">
        <v>16</v>
      </c>
      <c r="AM1403">
        <v>0</v>
      </c>
      <c r="AN1403">
        <v>0</v>
      </c>
      <c r="AO1403">
        <v>0</v>
      </c>
      <c r="AP1403">
        <v>1</v>
      </c>
      <c r="AQ1403">
        <v>0.01</v>
      </c>
      <c r="AR1403">
        <v>6</v>
      </c>
      <c r="AS1403">
        <v>2</v>
      </c>
      <c r="AT1403">
        <v>5</v>
      </c>
      <c r="AU1403">
        <v>5</v>
      </c>
      <c r="AV1403">
        <v>1</v>
      </c>
      <c r="AW1403">
        <v>0.01</v>
      </c>
      <c r="AX1403">
        <v>7</v>
      </c>
      <c r="AY1403" s="1">
        <v>0</v>
      </c>
      <c r="AZ1403">
        <v>3</v>
      </c>
      <c r="BA1403">
        <v>1</v>
      </c>
      <c r="BB1403">
        <v>1</v>
      </c>
      <c r="BC1403" s="7">
        <v>0.32</v>
      </c>
      <c r="BD1403">
        <v>30</v>
      </c>
      <c r="BE1403">
        <v>0</v>
      </c>
      <c r="BF1403">
        <v>0</v>
      </c>
      <c r="BG1403">
        <v>0</v>
      </c>
      <c r="BH1403">
        <v>5</v>
      </c>
      <c r="BI1403">
        <v>2.4</v>
      </c>
      <c r="BJ1403">
        <v>31</v>
      </c>
      <c r="BK1403">
        <v>0</v>
      </c>
      <c r="BL1403">
        <v>0</v>
      </c>
      <c r="BM1403">
        <v>0</v>
      </c>
      <c r="BN1403">
        <v>5</v>
      </c>
      <c r="BO1403">
        <v>2.4</v>
      </c>
      <c r="BP1403">
        <v>36</v>
      </c>
      <c r="BQ1403">
        <v>0</v>
      </c>
      <c r="BR1403">
        <v>0</v>
      </c>
      <c r="BS1403">
        <v>0</v>
      </c>
      <c r="BT1403">
        <v>5</v>
      </c>
      <c r="BU1403">
        <v>1.7</v>
      </c>
    </row>
    <row r="1404" spans="1:73" ht="14.25" x14ac:dyDescent="0.15">
      <c r="A1404" s="12">
        <v>30301</v>
      </c>
      <c r="B1404">
        <v>7</v>
      </c>
      <c r="C1404" s="1">
        <v>45</v>
      </c>
      <c r="D1404">
        <v>0</v>
      </c>
      <c r="E1404">
        <v>0</v>
      </c>
      <c r="F1404">
        <v>1</v>
      </c>
      <c r="G1404" s="7">
        <v>0.05</v>
      </c>
      <c r="H1404">
        <v>12</v>
      </c>
      <c r="I1404">
        <v>0</v>
      </c>
      <c r="J1404">
        <v>0</v>
      </c>
      <c r="K1404">
        <v>0</v>
      </c>
      <c r="L1404">
        <v>1</v>
      </c>
      <c r="M1404">
        <v>2</v>
      </c>
      <c r="N1404" s="7">
        <v>9</v>
      </c>
      <c r="O1404" s="7">
        <v>0</v>
      </c>
      <c r="P1404" s="7">
        <v>0</v>
      </c>
      <c r="Q1404" s="7">
        <v>0</v>
      </c>
      <c r="R1404" s="7">
        <v>1</v>
      </c>
      <c r="S1404" s="7">
        <v>4.5</v>
      </c>
      <c r="T1404">
        <v>7</v>
      </c>
      <c r="U1404" s="1">
        <v>33</v>
      </c>
      <c r="V1404">
        <v>0</v>
      </c>
      <c r="W1404">
        <v>0</v>
      </c>
      <c r="X1404">
        <v>1</v>
      </c>
      <c r="Y1404">
        <v>0.16</v>
      </c>
      <c r="Z1404">
        <v>23</v>
      </c>
      <c r="AA1404">
        <v>0</v>
      </c>
      <c r="AB1404">
        <v>0</v>
      </c>
      <c r="AC1404">
        <v>0</v>
      </c>
      <c r="AD1404">
        <v>1</v>
      </c>
      <c r="AE1404">
        <v>0.05</v>
      </c>
      <c r="AF1404">
        <v>15</v>
      </c>
      <c r="AG1404">
        <v>0</v>
      </c>
      <c r="AH1404">
        <v>0</v>
      </c>
      <c r="AI1404">
        <v>0</v>
      </c>
      <c r="AJ1404">
        <v>1</v>
      </c>
      <c r="AK1404">
        <v>0.02</v>
      </c>
      <c r="AL1404">
        <v>16</v>
      </c>
      <c r="AM1404">
        <v>0</v>
      </c>
      <c r="AN1404">
        <v>0</v>
      </c>
      <c r="AO1404">
        <v>0</v>
      </c>
      <c r="AP1404">
        <v>1</v>
      </c>
      <c r="AQ1404">
        <v>0.01</v>
      </c>
      <c r="AX1404">
        <v>7</v>
      </c>
      <c r="AY1404" s="1">
        <v>17</v>
      </c>
      <c r="AZ1404">
        <v>0</v>
      </c>
      <c r="BA1404">
        <v>0</v>
      </c>
      <c r="BB1404">
        <v>1</v>
      </c>
      <c r="BC1404" s="7">
        <v>0.32</v>
      </c>
      <c r="BD1404">
        <v>30</v>
      </c>
      <c r="BE1404">
        <v>0</v>
      </c>
      <c r="BF1404">
        <v>0</v>
      </c>
      <c r="BG1404">
        <v>0</v>
      </c>
      <c r="BH1404">
        <v>5</v>
      </c>
      <c r="BI1404">
        <v>2.4</v>
      </c>
      <c r="BJ1404">
        <v>31</v>
      </c>
      <c r="BK1404">
        <v>0</v>
      </c>
      <c r="BL1404">
        <v>0</v>
      </c>
      <c r="BM1404">
        <v>0</v>
      </c>
      <c r="BN1404">
        <v>5</v>
      </c>
      <c r="BO1404">
        <v>2.4</v>
      </c>
      <c r="BP1404">
        <v>36</v>
      </c>
      <c r="BQ1404">
        <v>0</v>
      </c>
      <c r="BR1404">
        <v>0</v>
      </c>
      <c r="BS1404">
        <v>0</v>
      </c>
      <c r="BT1404">
        <v>5</v>
      </c>
      <c r="BU1404">
        <v>1.7</v>
      </c>
    </row>
    <row r="1405" spans="1:73" ht="14.25" x14ac:dyDescent="0.15">
      <c r="A1405" s="12">
        <v>30302</v>
      </c>
      <c r="B1405">
        <v>7</v>
      </c>
      <c r="C1405" s="1">
        <v>46</v>
      </c>
      <c r="D1405">
        <v>0</v>
      </c>
      <c r="E1405">
        <v>0</v>
      </c>
      <c r="F1405">
        <v>1</v>
      </c>
      <c r="G1405" s="7">
        <v>0.05</v>
      </c>
      <c r="H1405">
        <v>12</v>
      </c>
      <c r="I1405">
        <v>0</v>
      </c>
      <c r="J1405">
        <v>0</v>
      </c>
      <c r="K1405">
        <v>0</v>
      </c>
      <c r="L1405">
        <v>1</v>
      </c>
      <c r="M1405">
        <v>2</v>
      </c>
      <c r="N1405" s="7">
        <v>9</v>
      </c>
      <c r="O1405" s="7">
        <v>0</v>
      </c>
      <c r="P1405" s="7">
        <v>0</v>
      </c>
      <c r="Q1405" s="7">
        <v>0</v>
      </c>
      <c r="R1405" s="7">
        <v>1</v>
      </c>
      <c r="S1405" s="7">
        <v>4.5</v>
      </c>
      <c r="T1405">
        <v>7</v>
      </c>
      <c r="U1405" s="1">
        <v>34</v>
      </c>
      <c r="V1405">
        <v>0</v>
      </c>
      <c r="W1405">
        <v>0</v>
      </c>
      <c r="X1405">
        <v>1</v>
      </c>
      <c r="Y1405">
        <v>0.16</v>
      </c>
      <c r="Z1405">
        <v>23</v>
      </c>
      <c r="AA1405">
        <v>0</v>
      </c>
      <c r="AB1405">
        <v>0</v>
      </c>
      <c r="AC1405">
        <v>0</v>
      </c>
      <c r="AD1405">
        <v>1</v>
      </c>
      <c r="AE1405">
        <v>0.05</v>
      </c>
      <c r="AF1405">
        <v>15</v>
      </c>
      <c r="AG1405">
        <v>0</v>
      </c>
      <c r="AH1405">
        <v>0</v>
      </c>
      <c r="AI1405">
        <v>0</v>
      </c>
      <c r="AJ1405">
        <v>1</v>
      </c>
      <c r="AK1405">
        <v>0.02</v>
      </c>
      <c r="AL1405">
        <v>16</v>
      </c>
      <c r="AM1405">
        <v>0</v>
      </c>
      <c r="AN1405">
        <v>0</v>
      </c>
      <c r="AO1405">
        <v>0</v>
      </c>
      <c r="AP1405">
        <v>1</v>
      </c>
      <c r="AQ1405">
        <v>0.01</v>
      </c>
      <c r="AX1405">
        <v>7</v>
      </c>
      <c r="AY1405" s="1">
        <v>18</v>
      </c>
      <c r="AZ1405">
        <v>0</v>
      </c>
      <c r="BA1405">
        <v>0</v>
      </c>
      <c r="BB1405">
        <v>1</v>
      </c>
      <c r="BC1405" s="7">
        <v>0.32</v>
      </c>
      <c r="BD1405">
        <v>30</v>
      </c>
      <c r="BE1405">
        <v>0</v>
      </c>
      <c r="BF1405">
        <v>0</v>
      </c>
      <c r="BG1405">
        <v>0</v>
      </c>
      <c r="BH1405">
        <v>5</v>
      </c>
      <c r="BI1405">
        <v>2.4</v>
      </c>
      <c r="BJ1405">
        <v>31</v>
      </c>
      <c r="BK1405">
        <v>0</v>
      </c>
      <c r="BL1405">
        <v>0</v>
      </c>
      <c r="BM1405">
        <v>0</v>
      </c>
      <c r="BN1405">
        <v>5</v>
      </c>
      <c r="BO1405">
        <v>2.4</v>
      </c>
      <c r="BP1405">
        <v>36</v>
      </c>
      <c r="BQ1405">
        <v>0</v>
      </c>
      <c r="BR1405">
        <v>0</v>
      </c>
      <c r="BS1405">
        <v>0</v>
      </c>
      <c r="BT1405">
        <v>5</v>
      </c>
      <c r="BU1405">
        <v>1.7</v>
      </c>
    </row>
    <row r="1406" spans="1:73" ht="14.25" x14ac:dyDescent="0.15">
      <c r="A1406" s="12">
        <v>30303</v>
      </c>
      <c r="B1406">
        <v>7</v>
      </c>
      <c r="C1406" s="1">
        <v>47</v>
      </c>
      <c r="D1406">
        <v>0</v>
      </c>
      <c r="E1406">
        <v>0</v>
      </c>
      <c r="F1406">
        <v>1</v>
      </c>
      <c r="G1406" s="7">
        <v>0.05</v>
      </c>
      <c r="H1406">
        <v>12</v>
      </c>
      <c r="I1406">
        <v>0</v>
      </c>
      <c r="J1406">
        <v>0</v>
      </c>
      <c r="K1406">
        <v>0</v>
      </c>
      <c r="L1406">
        <v>1</v>
      </c>
      <c r="M1406">
        <v>2</v>
      </c>
      <c r="N1406" s="7">
        <v>9</v>
      </c>
      <c r="O1406" s="7">
        <v>0</v>
      </c>
      <c r="P1406" s="7">
        <v>0</v>
      </c>
      <c r="Q1406" s="7">
        <v>0</v>
      </c>
      <c r="R1406" s="7">
        <v>1</v>
      </c>
      <c r="S1406" s="7">
        <v>4.5</v>
      </c>
      <c r="T1406">
        <v>7</v>
      </c>
      <c r="U1406" s="1">
        <v>35</v>
      </c>
      <c r="V1406">
        <v>0</v>
      </c>
      <c r="W1406">
        <v>0</v>
      </c>
      <c r="X1406">
        <v>1</v>
      </c>
      <c r="Y1406">
        <v>0.16</v>
      </c>
      <c r="Z1406">
        <v>23</v>
      </c>
      <c r="AA1406">
        <v>0</v>
      </c>
      <c r="AB1406">
        <v>0</v>
      </c>
      <c r="AC1406">
        <v>0</v>
      </c>
      <c r="AD1406">
        <v>1</v>
      </c>
      <c r="AE1406">
        <v>0.05</v>
      </c>
      <c r="AF1406">
        <v>15</v>
      </c>
      <c r="AG1406">
        <v>0</v>
      </c>
      <c r="AH1406">
        <v>0</v>
      </c>
      <c r="AI1406">
        <v>0</v>
      </c>
      <c r="AJ1406">
        <v>1</v>
      </c>
      <c r="AK1406">
        <v>0.02</v>
      </c>
      <c r="AL1406">
        <v>16</v>
      </c>
      <c r="AM1406">
        <v>0</v>
      </c>
      <c r="AN1406">
        <v>0</v>
      </c>
      <c r="AO1406">
        <v>0</v>
      </c>
      <c r="AP1406">
        <v>1</v>
      </c>
      <c r="AQ1406">
        <v>0.01</v>
      </c>
      <c r="AX1406">
        <v>7</v>
      </c>
      <c r="AY1406" s="1">
        <v>19</v>
      </c>
      <c r="AZ1406">
        <v>0</v>
      </c>
      <c r="BA1406">
        <v>0</v>
      </c>
      <c r="BB1406">
        <v>1</v>
      </c>
      <c r="BC1406" s="7">
        <v>0.32</v>
      </c>
      <c r="BD1406">
        <v>30</v>
      </c>
      <c r="BE1406">
        <v>0</v>
      </c>
      <c r="BF1406">
        <v>0</v>
      </c>
      <c r="BG1406">
        <v>0</v>
      </c>
      <c r="BH1406">
        <v>5</v>
      </c>
      <c r="BI1406">
        <v>2.4</v>
      </c>
      <c r="BJ1406">
        <v>31</v>
      </c>
      <c r="BK1406">
        <v>0</v>
      </c>
      <c r="BL1406">
        <v>0</v>
      </c>
      <c r="BM1406">
        <v>0</v>
      </c>
      <c r="BN1406">
        <v>5</v>
      </c>
      <c r="BO1406">
        <v>2.4</v>
      </c>
      <c r="BP1406">
        <v>36</v>
      </c>
      <c r="BQ1406">
        <v>0</v>
      </c>
      <c r="BR1406">
        <v>0</v>
      </c>
      <c r="BS1406">
        <v>0</v>
      </c>
      <c r="BT1406">
        <v>5</v>
      </c>
      <c r="BU1406">
        <v>1.7</v>
      </c>
    </row>
    <row r="1407" spans="1:73" ht="14.25" x14ac:dyDescent="0.15">
      <c r="A1407" s="12">
        <v>30304</v>
      </c>
      <c r="B1407">
        <v>7</v>
      </c>
      <c r="C1407" s="1">
        <v>48</v>
      </c>
      <c r="D1407">
        <v>0</v>
      </c>
      <c r="E1407">
        <v>0</v>
      </c>
      <c r="F1407">
        <v>1</v>
      </c>
      <c r="G1407" s="7">
        <v>0.05</v>
      </c>
      <c r="H1407">
        <v>12</v>
      </c>
      <c r="I1407">
        <v>0</v>
      </c>
      <c r="J1407">
        <v>0</v>
      </c>
      <c r="K1407">
        <v>0</v>
      </c>
      <c r="L1407">
        <v>1</v>
      </c>
      <c r="M1407">
        <v>2</v>
      </c>
      <c r="N1407" s="7">
        <v>9</v>
      </c>
      <c r="O1407" s="7">
        <v>0</v>
      </c>
      <c r="P1407" s="7">
        <v>0</v>
      </c>
      <c r="Q1407" s="7">
        <v>0</v>
      </c>
      <c r="R1407" s="7">
        <v>1</v>
      </c>
      <c r="S1407" s="7">
        <v>4.5</v>
      </c>
      <c r="T1407">
        <v>7</v>
      </c>
      <c r="U1407" s="1">
        <v>36</v>
      </c>
      <c r="V1407">
        <v>0</v>
      </c>
      <c r="W1407">
        <v>0</v>
      </c>
      <c r="X1407">
        <v>1</v>
      </c>
      <c r="Y1407">
        <v>0.16</v>
      </c>
      <c r="Z1407">
        <v>23</v>
      </c>
      <c r="AA1407">
        <v>0</v>
      </c>
      <c r="AB1407">
        <v>0</v>
      </c>
      <c r="AC1407">
        <v>0</v>
      </c>
      <c r="AD1407">
        <v>1</v>
      </c>
      <c r="AE1407">
        <v>0.05</v>
      </c>
      <c r="AF1407">
        <v>15</v>
      </c>
      <c r="AG1407">
        <v>0</v>
      </c>
      <c r="AH1407">
        <v>0</v>
      </c>
      <c r="AI1407">
        <v>0</v>
      </c>
      <c r="AJ1407">
        <v>1</v>
      </c>
      <c r="AK1407">
        <v>0.02</v>
      </c>
      <c r="AL1407">
        <v>16</v>
      </c>
      <c r="AM1407">
        <v>0</v>
      </c>
      <c r="AN1407">
        <v>0</v>
      </c>
      <c r="AO1407">
        <v>0</v>
      </c>
      <c r="AP1407">
        <v>1</v>
      </c>
      <c r="AQ1407">
        <v>0.01</v>
      </c>
      <c r="AX1407">
        <v>7</v>
      </c>
      <c r="AY1407" s="1">
        <v>20</v>
      </c>
      <c r="AZ1407">
        <v>0</v>
      </c>
      <c r="BA1407">
        <v>0</v>
      </c>
      <c r="BB1407">
        <v>1</v>
      </c>
      <c r="BC1407" s="7">
        <v>0.32</v>
      </c>
      <c r="BD1407">
        <v>30</v>
      </c>
      <c r="BE1407">
        <v>0</v>
      </c>
      <c r="BF1407">
        <v>0</v>
      </c>
      <c r="BG1407">
        <v>0</v>
      </c>
      <c r="BH1407">
        <v>5</v>
      </c>
      <c r="BI1407">
        <v>2.4</v>
      </c>
      <c r="BJ1407">
        <v>31</v>
      </c>
      <c r="BK1407">
        <v>0</v>
      </c>
      <c r="BL1407">
        <v>0</v>
      </c>
      <c r="BM1407">
        <v>0</v>
      </c>
      <c r="BN1407">
        <v>5</v>
      </c>
      <c r="BO1407">
        <v>2.4</v>
      </c>
      <c r="BP1407">
        <v>36</v>
      </c>
      <c r="BQ1407">
        <v>0</v>
      </c>
      <c r="BR1407">
        <v>0</v>
      </c>
      <c r="BS1407">
        <v>0</v>
      </c>
      <c r="BT1407">
        <v>5</v>
      </c>
      <c r="BU1407">
        <v>1.7</v>
      </c>
    </row>
    <row r="1408" spans="1:73" ht="14.25" x14ac:dyDescent="0.15">
      <c r="A1408" s="12">
        <v>30305</v>
      </c>
      <c r="B1408">
        <v>7</v>
      </c>
      <c r="C1408" s="1">
        <v>0</v>
      </c>
      <c r="D1408">
        <v>5</v>
      </c>
      <c r="E1408">
        <v>1</v>
      </c>
      <c r="F1408">
        <v>1</v>
      </c>
      <c r="G1408" s="7">
        <v>0.05</v>
      </c>
      <c r="H1408">
        <v>12</v>
      </c>
      <c r="I1408">
        <v>0</v>
      </c>
      <c r="J1408">
        <v>0</v>
      </c>
      <c r="K1408">
        <v>0</v>
      </c>
      <c r="L1408">
        <v>1</v>
      </c>
      <c r="M1408">
        <v>2</v>
      </c>
      <c r="N1408" s="7">
        <v>9</v>
      </c>
      <c r="O1408" s="7">
        <v>0</v>
      </c>
      <c r="P1408" s="7">
        <v>0</v>
      </c>
      <c r="Q1408" s="7">
        <v>0</v>
      </c>
      <c r="R1408" s="7">
        <v>1</v>
      </c>
      <c r="S1408" s="7">
        <v>4.5</v>
      </c>
      <c r="T1408">
        <v>7</v>
      </c>
      <c r="U1408" s="1">
        <v>0</v>
      </c>
      <c r="V1408">
        <v>4</v>
      </c>
      <c r="W1408">
        <v>2</v>
      </c>
      <c r="X1408">
        <v>1</v>
      </c>
      <c r="Y1408">
        <v>0.16</v>
      </c>
      <c r="Z1408">
        <v>23</v>
      </c>
      <c r="AA1408">
        <v>0</v>
      </c>
      <c r="AB1408">
        <v>0</v>
      </c>
      <c r="AC1408">
        <v>0</v>
      </c>
      <c r="AD1408">
        <v>1</v>
      </c>
      <c r="AE1408">
        <v>0.05</v>
      </c>
      <c r="AF1408">
        <v>15</v>
      </c>
      <c r="AG1408">
        <v>0</v>
      </c>
      <c r="AH1408">
        <v>0</v>
      </c>
      <c r="AI1408">
        <v>0</v>
      </c>
      <c r="AJ1408">
        <v>1</v>
      </c>
      <c r="AK1408">
        <v>0.02</v>
      </c>
      <c r="AL1408">
        <v>16</v>
      </c>
      <c r="AM1408">
        <v>0</v>
      </c>
      <c r="AN1408">
        <v>0</v>
      </c>
      <c r="AO1408">
        <v>0</v>
      </c>
      <c r="AP1408">
        <v>1</v>
      </c>
      <c r="AQ1408">
        <v>0.01</v>
      </c>
      <c r="AR1408">
        <v>6</v>
      </c>
      <c r="AS1408">
        <v>2</v>
      </c>
      <c r="AT1408">
        <v>1</v>
      </c>
      <c r="AU1408">
        <v>5</v>
      </c>
      <c r="AV1408">
        <v>1</v>
      </c>
      <c r="AW1408">
        <v>0.05</v>
      </c>
      <c r="AX1408">
        <v>7</v>
      </c>
      <c r="AY1408" s="1">
        <v>0</v>
      </c>
      <c r="AZ1408">
        <v>3</v>
      </c>
      <c r="BA1408">
        <v>1</v>
      </c>
      <c r="BB1408">
        <v>1</v>
      </c>
      <c r="BC1408" s="7">
        <v>0.32</v>
      </c>
      <c r="BD1408">
        <v>30</v>
      </c>
      <c r="BE1408">
        <v>0</v>
      </c>
      <c r="BF1408">
        <v>0</v>
      </c>
      <c r="BG1408">
        <v>0</v>
      </c>
      <c r="BH1408">
        <v>5</v>
      </c>
      <c r="BI1408">
        <v>2.4</v>
      </c>
      <c r="BJ1408">
        <v>31</v>
      </c>
      <c r="BK1408">
        <v>0</v>
      </c>
      <c r="BL1408">
        <v>0</v>
      </c>
      <c r="BM1408">
        <v>0</v>
      </c>
      <c r="BN1408">
        <v>5</v>
      </c>
      <c r="BO1408">
        <v>2.4</v>
      </c>
      <c r="BP1408">
        <v>36</v>
      </c>
      <c r="BQ1408">
        <v>0</v>
      </c>
      <c r="BR1408">
        <v>0</v>
      </c>
      <c r="BS1408">
        <v>0</v>
      </c>
      <c r="BT1408">
        <v>5</v>
      </c>
      <c r="BU1408">
        <v>1.7</v>
      </c>
    </row>
    <row r="1409" spans="1:73" ht="14.25" x14ac:dyDescent="0.15">
      <c r="A1409" s="12">
        <v>30306</v>
      </c>
      <c r="B1409">
        <v>7</v>
      </c>
      <c r="C1409" s="1">
        <v>45</v>
      </c>
      <c r="D1409">
        <v>0</v>
      </c>
      <c r="E1409">
        <v>0</v>
      </c>
      <c r="F1409">
        <v>1</v>
      </c>
      <c r="G1409" s="7">
        <v>0.05</v>
      </c>
      <c r="H1409">
        <v>12</v>
      </c>
      <c r="I1409">
        <v>0</v>
      </c>
      <c r="J1409">
        <v>0</v>
      </c>
      <c r="K1409">
        <v>0</v>
      </c>
      <c r="L1409">
        <v>1</v>
      </c>
      <c r="M1409">
        <v>2</v>
      </c>
      <c r="N1409" s="7">
        <v>9</v>
      </c>
      <c r="O1409" s="7">
        <v>0</v>
      </c>
      <c r="P1409" s="7">
        <v>0</v>
      </c>
      <c r="Q1409" s="7">
        <v>0</v>
      </c>
      <c r="R1409" s="7">
        <v>1</v>
      </c>
      <c r="S1409" s="7">
        <v>4.5</v>
      </c>
      <c r="T1409">
        <v>7</v>
      </c>
      <c r="U1409" s="1">
        <v>33</v>
      </c>
      <c r="V1409">
        <v>0</v>
      </c>
      <c r="W1409">
        <v>0</v>
      </c>
      <c r="X1409">
        <v>1</v>
      </c>
      <c r="Y1409">
        <v>0.16</v>
      </c>
      <c r="Z1409">
        <v>23</v>
      </c>
      <c r="AA1409">
        <v>0</v>
      </c>
      <c r="AB1409">
        <v>0</v>
      </c>
      <c r="AC1409">
        <v>0</v>
      </c>
      <c r="AD1409">
        <v>1</v>
      </c>
      <c r="AE1409">
        <v>0.05</v>
      </c>
      <c r="AF1409">
        <v>15</v>
      </c>
      <c r="AG1409">
        <v>0</v>
      </c>
      <c r="AH1409">
        <v>0</v>
      </c>
      <c r="AI1409">
        <v>0</v>
      </c>
      <c r="AJ1409">
        <v>1</v>
      </c>
      <c r="AK1409">
        <v>0.02</v>
      </c>
      <c r="AL1409">
        <v>16</v>
      </c>
      <c r="AM1409">
        <v>0</v>
      </c>
      <c r="AN1409">
        <v>0</v>
      </c>
      <c r="AO1409">
        <v>0</v>
      </c>
      <c r="AP1409">
        <v>1</v>
      </c>
      <c r="AQ1409">
        <v>0.01</v>
      </c>
      <c r="AX1409">
        <v>7</v>
      </c>
      <c r="AY1409" s="1">
        <v>17</v>
      </c>
      <c r="AZ1409">
        <v>0</v>
      </c>
      <c r="BA1409">
        <v>0</v>
      </c>
      <c r="BB1409">
        <v>1</v>
      </c>
      <c r="BC1409" s="7">
        <v>0.32</v>
      </c>
      <c r="BD1409">
        <v>30</v>
      </c>
      <c r="BE1409">
        <v>0</v>
      </c>
      <c r="BF1409">
        <v>0</v>
      </c>
      <c r="BG1409">
        <v>0</v>
      </c>
      <c r="BH1409">
        <v>5</v>
      </c>
      <c r="BI1409">
        <v>2.4</v>
      </c>
      <c r="BJ1409">
        <v>31</v>
      </c>
      <c r="BK1409">
        <v>0</v>
      </c>
      <c r="BL1409">
        <v>0</v>
      </c>
      <c r="BM1409">
        <v>0</v>
      </c>
      <c r="BN1409">
        <v>5</v>
      </c>
      <c r="BO1409">
        <v>2.4</v>
      </c>
      <c r="BP1409">
        <v>36</v>
      </c>
      <c r="BQ1409">
        <v>0</v>
      </c>
      <c r="BR1409">
        <v>0</v>
      </c>
      <c r="BS1409">
        <v>0</v>
      </c>
      <c r="BT1409">
        <v>5</v>
      </c>
      <c r="BU1409">
        <v>1.7</v>
      </c>
    </row>
    <row r="1410" spans="1:73" ht="14.25" x14ac:dyDescent="0.15">
      <c r="A1410" s="12">
        <v>30307</v>
      </c>
      <c r="B1410">
        <v>7</v>
      </c>
      <c r="C1410" s="1">
        <v>46</v>
      </c>
      <c r="D1410">
        <v>0</v>
      </c>
      <c r="E1410">
        <v>0</v>
      </c>
      <c r="F1410">
        <v>1</v>
      </c>
      <c r="G1410" s="7">
        <v>0.05</v>
      </c>
      <c r="H1410">
        <v>12</v>
      </c>
      <c r="I1410">
        <v>0</v>
      </c>
      <c r="J1410">
        <v>0</v>
      </c>
      <c r="K1410">
        <v>0</v>
      </c>
      <c r="L1410">
        <v>1</v>
      </c>
      <c r="M1410">
        <v>2</v>
      </c>
      <c r="N1410" s="7">
        <v>9</v>
      </c>
      <c r="O1410" s="7">
        <v>0</v>
      </c>
      <c r="P1410" s="7">
        <v>0</v>
      </c>
      <c r="Q1410" s="7">
        <v>0</v>
      </c>
      <c r="R1410" s="7">
        <v>1</v>
      </c>
      <c r="S1410" s="7">
        <v>4.5</v>
      </c>
      <c r="T1410">
        <v>7</v>
      </c>
      <c r="U1410" s="1">
        <v>34</v>
      </c>
      <c r="V1410">
        <v>0</v>
      </c>
      <c r="W1410">
        <v>0</v>
      </c>
      <c r="X1410">
        <v>1</v>
      </c>
      <c r="Y1410">
        <v>0.16</v>
      </c>
      <c r="Z1410">
        <v>23</v>
      </c>
      <c r="AA1410">
        <v>0</v>
      </c>
      <c r="AB1410">
        <v>0</v>
      </c>
      <c r="AC1410">
        <v>0</v>
      </c>
      <c r="AD1410">
        <v>1</v>
      </c>
      <c r="AE1410">
        <v>0.05</v>
      </c>
      <c r="AF1410">
        <v>15</v>
      </c>
      <c r="AG1410">
        <v>0</v>
      </c>
      <c r="AH1410">
        <v>0</v>
      </c>
      <c r="AI1410">
        <v>0</v>
      </c>
      <c r="AJ1410">
        <v>1</v>
      </c>
      <c r="AK1410">
        <v>0.02</v>
      </c>
      <c r="AL1410">
        <v>16</v>
      </c>
      <c r="AM1410">
        <v>0</v>
      </c>
      <c r="AN1410">
        <v>0</v>
      </c>
      <c r="AO1410">
        <v>0</v>
      </c>
      <c r="AP1410">
        <v>1</v>
      </c>
      <c r="AQ1410">
        <v>0.01</v>
      </c>
      <c r="AX1410">
        <v>7</v>
      </c>
      <c r="AY1410" s="1">
        <v>18</v>
      </c>
      <c r="AZ1410">
        <v>0</v>
      </c>
      <c r="BA1410">
        <v>0</v>
      </c>
      <c r="BB1410">
        <v>1</v>
      </c>
      <c r="BC1410" s="7">
        <v>0.32</v>
      </c>
      <c r="BD1410">
        <v>30</v>
      </c>
      <c r="BE1410">
        <v>0</v>
      </c>
      <c r="BF1410">
        <v>0</v>
      </c>
      <c r="BG1410">
        <v>0</v>
      </c>
      <c r="BH1410">
        <v>5</v>
      </c>
      <c r="BI1410">
        <v>2.4</v>
      </c>
      <c r="BJ1410">
        <v>31</v>
      </c>
      <c r="BK1410">
        <v>0</v>
      </c>
      <c r="BL1410">
        <v>0</v>
      </c>
      <c r="BM1410">
        <v>0</v>
      </c>
      <c r="BN1410">
        <v>5</v>
      </c>
      <c r="BO1410">
        <v>2.4</v>
      </c>
      <c r="BP1410">
        <v>36</v>
      </c>
      <c r="BQ1410">
        <v>0</v>
      </c>
      <c r="BR1410">
        <v>0</v>
      </c>
      <c r="BS1410">
        <v>0</v>
      </c>
      <c r="BT1410">
        <v>5</v>
      </c>
      <c r="BU1410">
        <v>1.7</v>
      </c>
    </row>
    <row r="1411" spans="1:73" ht="14.25" x14ac:dyDescent="0.15">
      <c r="A1411" s="12">
        <v>30308</v>
      </c>
      <c r="B1411">
        <v>7</v>
      </c>
      <c r="C1411" s="1">
        <v>47</v>
      </c>
      <c r="D1411">
        <v>0</v>
      </c>
      <c r="E1411">
        <v>0</v>
      </c>
      <c r="F1411">
        <v>1</v>
      </c>
      <c r="G1411" s="7">
        <v>0.05</v>
      </c>
      <c r="H1411">
        <v>12</v>
      </c>
      <c r="I1411">
        <v>0</v>
      </c>
      <c r="J1411">
        <v>0</v>
      </c>
      <c r="K1411">
        <v>0</v>
      </c>
      <c r="L1411">
        <v>1</v>
      </c>
      <c r="M1411">
        <v>2</v>
      </c>
      <c r="N1411" s="7">
        <v>9</v>
      </c>
      <c r="O1411" s="7">
        <v>0</v>
      </c>
      <c r="P1411" s="7">
        <v>0</v>
      </c>
      <c r="Q1411" s="7">
        <v>0</v>
      </c>
      <c r="R1411" s="7">
        <v>1</v>
      </c>
      <c r="S1411" s="7">
        <v>4.5</v>
      </c>
      <c r="T1411">
        <v>7</v>
      </c>
      <c r="U1411" s="1">
        <v>35</v>
      </c>
      <c r="V1411">
        <v>0</v>
      </c>
      <c r="W1411">
        <v>0</v>
      </c>
      <c r="X1411">
        <v>1</v>
      </c>
      <c r="Y1411">
        <v>0.16</v>
      </c>
      <c r="Z1411">
        <v>23</v>
      </c>
      <c r="AA1411">
        <v>0</v>
      </c>
      <c r="AB1411">
        <v>0</v>
      </c>
      <c r="AC1411">
        <v>0</v>
      </c>
      <c r="AD1411">
        <v>1</v>
      </c>
      <c r="AE1411">
        <v>0.05</v>
      </c>
      <c r="AF1411">
        <v>15</v>
      </c>
      <c r="AG1411">
        <v>0</v>
      </c>
      <c r="AH1411">
        <v>0</v>
      </c>
      <c r="AI1411">
        <v>0</v>
      </c>
      <c r="AJ1411">
        <v>1</v>
      </c>
      <c r="AK1411">
        <v>0.02</v>
      </c>
      <c r="AL1411">
        <v>16</v>
      </c>
      <c r="AM1411">
        <v>0</v>
      </c>
      <c r="AN1411">
        <v>0</v>
      </c>
      <c r="AO1411">
        <v>0</v>
      </c>
      <c r="AP1411">
        <v>1</v>
      </c>
      <c r="AQ1411">
        <v>0.01</v>
      </c>
      <c r="AX1411">
        <v>7</v>
      </c>
      <c r="AY1411" s="1">
        <v>19</v>
      </c>
      <c r="AZ1411">
        <v>0</v>
      </c>
      <c r="BA1411">
        <v>0</v>
      </c>
      <c r="BB1411">
        <v>1</v>
      </c>
      <c r="BC1411" s="7">
        <v>0.32</v>
      </c>
      <c r="BD1411">
        <v>30</v>
      </c>
      <c r="BE1411">
        <v>0</v>
      </c>
      <c r="BF1411">
        <v>0</v>
      </c>
      <c r="BG1411">
        <v>0</v>
      </c>
      <c r="BH1411">
        <v>5</v>
      </c>
      <c r="BI1411">
        <v>2.4</v>
      </c>
      <c r="BJ1411">
        <v>31</v>
      </c>
      <c r="BK1411">
        <v>0</v>
      </c>
      <c r="BL1411">
        <v>0</v>
      </c>
      <c r="BM1411">
        <v>0</v>
      </c>
      <c r="BN1411">
        <v>5</v>
      </c>
      <c r="BO1411">
        <v>2.4</v>
      </c>
      <c r="BP1411">
        <v>36</v>
      </c>
      <c r="BQ1411">
        <v>0</v>
      </c>
      <c r="BR1411">
        <v>0</v>
      </c>
      <c r="BS1411">
        <v>0</v>
      </c>
      <c r="BT1411">
        <v>5</v>
      </c>
      <c r="BU1411">
        <v>1.7</v>
      </c>
    </row>
    <row r="1412" spans="1:73" ht="14.25" x14ac:dyDescent="0.15">
      <c r="A1412" s="12">
        <v>30309</v>
      </c>
      <c r="B1412">
        <v>7</v>
      </c>
      <c r="C1412" s="1">
        <v>48</v>
      </c>
      <c r="D1412">
        <v>0</v>
      </c>
      <c r="E1412">
        <v>0</v>
      </c>
      <c r="F1412">
        <v>1</v>
      </c>
      <c r="G1412" s="7">
        <v>0.05</v>
      </c>
      <c r="H1412">
        <v>12</v>
      </c>
      <c r="I1412">
        <v>0</v>
      </c>
      <c r="J1412">
        <v>0</v>
      </c>
      <c r="K1412">
        <v>0</v>
      </c>
      <c r="L1412">
        <v>1</v>
      </c>
      <c r="M1412">
        <v>2</v>
      </c>
      <c r="N1412" s="7">
        <v>9</v>
      </c>
      <c r="O1412" s="7">
        <v>0</v>
      </c>
      <c r="P1412" s="7">
        <v>0</v>
      </c>
      <c r="Q1412" s="7">
        <v>0</v>
      </c>
      <c r="R1412" s="7">
        <v>1</v>
      </c>
      <c r="S1412" s="7">
        <v>4.5</v>
      </c>
      <c r="T1412">
        <v>7</v>
      </c>
      <c r="U1412" s="1">
        <v>36</v>
      </c>
      <c r="V1412">
        <v>0</v>
      </c>
      <c r="W1412">
        <v>0</v>
      </c>
      <c r="X1412">
        <v>1</v>
      </c>
      <c r="Y1412">
        <v>0.16</v>
      </c>
      <c r="Z1412">
        <v>23</v>
      </c>
      <c r="AA1412">
        <v>0</v>
      </c>
      <c r="AB1412">
        <v>0</v>
      </c>
      <c r="AC1412">
        <v>0</v>
      </c>
      <c r="AD1412">
        <v>1</v>
      </c>
      <c r="AE1412">
        <v>0.05</v>
      </c>
      <c r="AF1412">
        <v>15</v>
      </c>
      <c r="AG1412">
        <v>0</v>
      </c>
      <c r="AH1412">
        <v>0</v>
      </c>
      <c r="AI1412">
        <v>0</v>
      </c>
      <c r="AJ1412">
        <v>1</v>
      </c>
      <c r="AK1412">
        <v>0.02</v>
      </c>
      <c r="AL1412">
        <v>16</v>
      </c>
      <c r="AM1412">
        <v>0</v>
      </c>
      <c r="AN1412">
        <v>0</v>
      </c>
      <c r="AO1412">
        <v>0</v>
      </c>
      <c r="AP1412">
        <v>1</v>
      </c>
      <c r="AQ1412">
        <v>0.01</v>
      </c>
      <c r="AX1412">
        <v>7</v>
      </c>
      <c r="AY1412" s="1">
        <v>20</v>
      </c>
      <c r="AZ1412">
        <v>0</v>
      </c>
      <c r="BA1412">
        <v>0</v>
      </c>
      <c r="BB1412">
        <v>1</v>
      </c>
      <c r="BC1412" s="7">
        <v>0.32</v>
      </c>
      <c r="BD1412">
        <v>30</v>
      </c>
      <c r="BE1412">
        <v>0</v>
      </c>
      <c r="BF1412">
        <v>0</v>
      </c>
      <c r="BG1412">
        <v>0</v>
      </c>
      <c r="BH1412">
        <v>5</v>
      </c>
      <c r="BI1412">
        <v>2.4</v>
      </c>
      <c r="BJ1412">
        <v>31</v>
      </c>
      <c r="BK1412">
        <v>0</v>
      </c>
      <c r="BL1412">
        <v>0</v>
      </c>
      <c r="BM1412">
        <v>0</v>
      </c>
      <c r="BN1412">
        <v>5</v>
      </c>
      <c r="BO1412">
        <v>2.4</v>
      </c>
      <c r="BP1412">
        <v>36</v>
      </c>
      <c r="BQ1412">
        <v>0</v>
      </c>
      <c r="BR1412">
        <v>0</v>
      </c>
      <c r="BS1412">
        <v>0</v>
      </c>
      <c r="BT1412">
        <v>5</v>
      </c>
      <c r="BU1412">
        <v>1.7</v>
      </c>
    </row>
    <row r="1413" spans="1:73" ht="14.25" x14ac:dyDescent="0.15">
      <c r="A1413" s="12">
        <v>30310</v>
      </c>
      <c r="B1413">
        <v>7</v>
      </c>
      <c r="C1413" s="1">
        <v>0</v>
      </c>
      <c r="D1413">
        <v>5</v>
      </c>
      <c r="E1413">
        <v>1</v>
      </c>
      <c r="F1413">
        <v>1</v>
      </c>
      <c r="G1413" s="7">
        <v>0.05</v>
      </c>
      <c r="H1413">
        <v>12</v>
      </c>
      <c r="I1413">
        <v>0</v>
      </c>
      <c r="J1413">
        <v>0</v>
      </c>
      <c r="K1413">
        <v>0</v>
      </c>
      <c r="L1413">
        <v>1</v>
      </c>
      <c r="M1413">
        <v>2</v>
      </c>
      <c r="N1413" s="7">
        <v>9</v>
      </c>
      <c r="O1413" s="7">
        <v>0</v>
      </c>
      <c r="P1413" s="7">
        <v>0</v>
      </c>
      <c r="Q1413" s="7">
        <v>0</v>
      </c>
      <c r="R1413" s="7">
        <v>1</v>
      </c>
      <c r="S1413" s="7">
        <v>4.5</v>
      </c>
      <c r="T1413">
        <v>7</v>
      </c>
      <c r="U1413" s="1">
        <v>0</v>
      </c>
      <c r="V1413">
        <v>4</v>
      </c>
      <c r="W1413">
        <v>2</v>
      </c>
      <c r="X1413">
        <v>1</v>
      </c>
      <c r="Y1413">
        <v>0.16</v>
      </c>
      <c r="Z1413">
        <v>23</v>
      </c>
      <c r="AA1413">
        <v>0</v>
      </c>
      <c r="AB1413">
        <v>0</v>
      </c>
      <c r="AC1413">
        <v>0</v>
      </c>
      <c r="AD1413">
        <v>1</v>
      </c>
      <c r="AE1413">
        <v>0.05</v>
      </c>
      <c r="AF1413">
        <v>15</v>
      </c>
      <c r="AG1413">
        <v>0</v>
      </c>
      <c r="AH1413">
        <v>0</v>
      </c>
      <c r="AI1413">
        <v>0</v>
      </c>
      <c r="AJ1413">
        <v>1</v>
      </c>
      <c r="AK1413">
        <v>0.02</v>
      </c>
      <c r="AL1413">
        <v>16</v>
      </c>
      <c r="AM1413">
        <v>0</v>
      </c>
      <c r="AN1413">
        <v>0</v>
      </c>
      <c r="AO1413">
        <v>0</v>
      </c>
      <c r="AP1413">
        <v>1</v>
      </c>
      <c r="AQ1413">
        <v>0.01</v>
      </c>
      <c r="AR1413">
        <v>6</v>
      </c>
      <c r="AS1413">
        <v>2</v>
      </c>
      <c r="AT1413">
        <v>2</v>
      </c>
      <c r="AU1413">
        <v>5</v>
      </c>
      <c r="AV1413">
        <v>1</v>
      </c>
      <c r="AW1413">
        <v>0.05</v>
      </c>
      <c r="AX1413">
        <v>7</v>
      </c>
      <c r="AY1413" s="1">
        <v>0</v>
      </c>
      <c r="AZ1413">
        <v>3</v>
      </c>
      <c r="BA1413">
        <v>1</v>
      </c>
      <c r="BB1413">
        <v>1</v>
      </c>
      <c r="BC1413" s="7">
        <v>0.32</v>
      </c>
      <c r="BD1413">
        <v>30</v>
      </c>
      <c r="BE1413">
        <v>0</v>
      </c>
      <c r="BF1413">
        <v>0</v>
      </c>
      <c r="BG1413">
        <v>0</v>
      </c>
      <c r="BH1413">
        <v>5</v>
      </c>
      <c r="BI1413">
        <v>2.4</v>
      </c>
      <c r="BJ1413">
        <v>31</v>
      </c>
      <c r="BK1413">
        <v>0</v>
      </c>
      <c r="BL1413">
        <v>0</v>
      </c>
      <c r="BM1413">
        <v>0</v>
      </c>
      <c r="BN1413">
        <v>5</v>
      </c>
      <c r="BO1413">
        <v>2.4</v>
      </c>
      <c r="BP1413">
        <v>36</v>
      </c>
      <c r="BQ1413">
        <v>0</v>
      </c>
      <c r="BR1413">
        <v>0</v>
      </c>
      <c r="BS1413">
        <v>0</v>
      </c>
      <c r="BT1413">
        <v>5</v>
      </c>
      <c r="BU1413">
        <v>1.7</v>
      </c>
    </row>
    <row r="1414" spans="1:73" ht="14.25" x14ac:dyDescent="0.15">
      <c r="A1414" s="12">
        <v>30311</v>
      </c>
      <c r="B1414">
        <v>7</v>
      </c>
      <c r="C1414" s="1">
        <v>45</v>
      </c>
      <c r="D1414">
        <v>0</v>
      </c>
      <c r="E1414">
        <v>0</v>
      </c>
      <c r="F1414">
        <v>1</v>
      </c>
      <c r="G1414" s="7">
        <v>0.05</v>
      </c>
      <c r="H1414">
        <v>12</v>
      </c>
      <c r="I1414">
        <v>0</v>
      </c>
      <c r="J1414">
        <v>0</v>
      </c>
      <c r="K1414">
        <v>0</v>
      </c>
      <c r="L1414">
        <v>1</v>
      </c>
      <c r="M1414">
        <v>2</v>
      </c>
      <c r="N1414" s="7">
        <v>9</v>
      </c>
      <c r="O1414" s="7">
        <v>0</v>
      </c>
      <c r="P1414" s="7">
        <v>0</v>
      </c>
      <c r="Q1414" s="7">
        <v>0</v>
      </c>
      <c r="R1414" s="7">
        <v>1</v>
      </c>
      <c r="S1414" s="7">
        <v>4.5</v>
      </c>
      <c r="T1414">
        <v>7</v>
      </c>
      <c r="U1414" s="1">
        <v>33</v>
      </c>
      <c r="V1414">
        <v>0</v>
      </c>
      <c r="W1414">
        <v>0</v>
      </c>
      <c r="X1414">
        <v>1</v>
      </c>
      <c r="Y1414">
        <v>0.16</v>
      </c>
      <c r="Z1414">
        <v>23</v>
      </c>
      <c r="AA1414">
        <v>0</v>
      </c>
      <c r="AB1414">
        <v>0</v>
      </c>
      <c r="AC1414">
        <v>0</v>
      </c>
      <c r="AD1414">
        <v>1</v>
      </c>
      <c r="AE1414">
        <v>0.05</v>
      </c>
      <c r="AF1414">
        <v>15</v>
      </c>
      <c r="AG1414">
        <v>0</v>
      </c>
      <c r="AH1414">
        <v>0</v>
      </c>
      <c r="AI1414">
        <v>0</v>
      </c>
      <c r="AJ1414">
        <v>1</v>
      </c>
      <c r="AK1414">
        <v>0.02</v>
      </c>
      <c r="AL1414">
        <v>16</v>
      </c>
      <c r="AM1414">
        <v>0</v>
      </c>
      <c r="AN1414">
        <v>0</v>
      </c>
      <c r="AO1414">
        <v>0</v>
      </c>
      <c r="AP1414">
        <v>1</v>
      </c>
      <c r="AQ1414">
        <v>0.01</v>
      </c>
      <c r="AX1414">
        <v>7</v>
      </c>
      <c r="AY1414" s="1">
        <v>17</v>
      </c>
      <c r="AZ1414">
        <v>0</v>
      </c>
      <c r="BA1414">
        <v>0</v>
      </c>
      <c r="BB1414">
        <v>1</v>
      </c>
      <c r="BC1414" s="7">
        <v>0.32</v>
      </c>
      <c r="BD1414">
        <v>30</v>
      </c>
      <c r="BE1414">
        <v>0</v>
      </c>
      <c r="BF1414">
        <v>0</v>
      </c>
      <c r="BG1414">
        <v>0</v>
      </c>
      <c r="BH1414">
        <v>5</v>
      </c>
      <c r="BI1414">
        <v>2.4</v>
      </c>
      <c r="BJ1414">
        <v>31</v>
      </c>
      <c r="BK1414">
        <v>0</v>
      </c>
      <c r="BL1414">
        <v>0</v>
      </c>
      <c r="BM1414">
        <v>0</v>
      </c>
      <c r="BN1414">
        <v>5</v>
      </c>
      <c r="BO1414">
        <v>2.4</v>
      </c>
      <c r="BP1414">
        <v>36</v>
      </c>
      <c r="BQ1414">
        <v>0</v>
      </c>
      <c r="BR1414">
        <v>0</v>
      </c>
      <c r="BS1414">
        <v>0</v>
      </c>
      <c r="BT1414">
        <v>5</v>
      </c>
      <c r="BU1414">
        <v>1.7</v>
      </c>
    </row>
    <row r="1415" spans="1:73" ht="14.25" x14ac:dyDescent="0.15">
      <c r="A1415" s="12">
        <v>30312</v>
      </c>
      <c r="B1415">
        <v>7</v>
      </c>
      <c r="C1415" s="1">
        <v>46</v>
      </c>
      <c r="D1415">
        <v>0</v>
      </c>
      <c r="E1415">
        <v>0</v>
      </c>
      <c r="F1415">
        <v>1</v>
      </c>
      <c r="G1415" s="7">
        <v>0.05</v>
      </c>
      <c r="H1415">
        <v>12</v>
      </c>
      <c r="I1415">
        <v>0</v>
      </c>
      <c r="J1415">
        <v>0</v>
      </c>
      <c r="K1415">
        <v>0</v>
      </c>
      <c r="L1415">
        <v>1</v>
      </c>
      <c r="M1415">
        <v>2</v>
      </c>
      <c r="N1415" s="7">
        <v>9</v>
      </c>
      <c r="O1415" s="7">
        <v>0</v>
      </c>
      <c r="P1415" s="7">
        <v>0</v>
      </c>
      <c r="Q1415" s="7">
        <v>0</v>
      </c>
      <c r="R1415" s="7">
        <v>1</v>
      </c>
      <c r="S1415" s="7">
        <v>4.5</v>
      </c>
      <c r="T1415">
        <v>7</v>
      </c>
      <c r="U1415" s="1">
        <v>34</v>
      </c>
      <c r="V1415">
        <v>0</v>
      </c>
      <c r="W1415">
        <v>0</v>
      </c>
      <c r="X1415">
        <v>1</v>
      </c>
      <c r="Y1415">
        <v>0.16</v>
      </c>
      <c r="Z1415">
        <v>23</v>
      </c>
      <c r="AA1415">
        <v>0</v>
      </c>
      <c r="AB1415">
        <v>0</v>
      </c>
      <c r="AC1415">
        <v>0</v>
      </c>
      <c r="AD1415">
        <v>1</v>
      </c>
      <c r="AE1415">
        <v>0.05</v>
      </c>
      <c r="AF1415">
        <v>15</v>
      </c>
      <c r="AG1415">
        <v>0</v>
      </c>
      <c r="AH1415">
        <v>0</v>
      </c>
      <c r="AI1415">
        <v>0</v>
      </c>
      <c r="AJ1415">
        <v>1</v>
      </c>
      <c r="AK1415">
        <v>0.02</v>
      </c>
      <c r="AL1415">
        <v>16</v>
      </c>
      <c r="AM1415">
        <v>0</v>
      </c>
      <c r="AN1415">
        <v>0</v>
      </c>
      <c r="AO1415">
        <v>0</v>
      </c>
      <c r="AP1415">
        <v>1</v>
      </c>
      <c r="AQ1415">
        <v>0.01</v>
      </c>
      <c r="AX1415">
        <v>7</v>
      </c>
      <c r="AY1415" s="1">
        <v>18</v>
      </c>
      <c r="AZ1415">
        <v>0</v>
      </c>
      <c r="BA1415">
        <v>0</v>
      </c>
      <c r="BB1415">
        <v>1</v>
      </c>
      <c r="BC1415" s="7">
        <v>0.32</v>
      </c>
      <c r="BD1415">
        <v>30</v>
      </c>
      <c r="BE1415">
        <v>0</v>
      </c>
      <c r="BF1415">
        <v>0</v>
      </c>
      <c r="BG1415">
        <v>0</v>
      </c>
      <c r="BH1415">
        <v>5</v>
      </c>
      <c r="BI1415">
        <v>2.4</v>
      </c>
      <c r="BJ1415">
        <v>31</v>
      </c>
      <c r="BK1415">
        <v>0</v>
      </c>
      <c r="BL1415">
        <v>0</v>
      </c>
      <c r="BM1415">
        <v>0</v>
      </c>
      <c r="BN1415">
        <v>5</v>
      </c>
      <c r="BO1415">
        <v>2.4</v>
      </c>
      <c r="BP1415">
        <v>36</v>
      </c>
      <c r="BQ1415">
        <v>0</v>
      </c>
      <c r="BR1415">
        <v>0</v>
      </c>
      <c r="BS1415">
        <v>0</v>
      </c>
      <c r="BT1415">
        <v>5</v>
      </c>
      <c r="BU1415">
        <v>1.7</v>
      </c>
    </row>
    <row r="1416" spans="1:73" ht="14.25" x14ac:dyDescent="0.15">
      <c r="A1416" s="12">
        <v>30313</v>
      </c>
      <c r="B1416">
        <v>7</v>
      </c>
      <c r="C1416" s="1">
        <v>47</v>
      </c>
      <c r="D1416">
        <v>0</v>
      </c>
      <c r="E1416">
        <v>0</v>
      </c>
      <c r="F1416">
        <v>1</v>
      </c>
      <c r="G1416" s="7">
        <v>0.05</v>
      </c>
      <c r="H1416">
        <v>12</v>
      </c>
      <c r="I1416">
        <v>0</v>
      </c>
      <c r="J1416">
        <v>0</v>
      </c>
      <c r="K1416">
        <v>0</v>
      </c>
      <c r="L1416">
        <v>1</v>
      </c>
      <c r="M1416">
        <v>2</v>
      </c>
      <c r="N1416" s="7">
        <v>9</v>
      </c>
      <c r="O1416" s="7">
        <v>0</v>
      </c>
      <c r="P1416" s="7">
        <v>0</v>
      </c>
      <c r="Q1416" s="7">
        <v>0</v>
      </c>
      <c r="R1416" s="7">
        <v>1</v>
      </c>
      <c r="S1416" s="7">
        <v>4.5</v>
      </c>
      <c r="T1416">
        <v>7</v>
      </c>
      <c r="U1416" s="1">
        <v>35</v>
      </c>
      <c r="V1416">
        <v>0</v>
      </c>
      <c r="W1416">
        <v>0</v>
      </c>
      <c r="X1416">
        <v>1</v>
      </c>
      <c r="Y1416">
        <v>0.16</v>
      </c>
      <c r="Z1416">
        <v>23</v>
      </c>
      <c r="AA1416">
        <v>0</v>
      </c>
      <c r="AB1416">
        <v>0</v>
      </c>
      <c r="AC1416">
        <v>0</v>
      </c>
      <c r="AD1416">
        <v>1</v>
      </c>
      <c r="AE1416">
        <v>0.05</v>
      </c>
      <c r="AF1416">
        <v>15</v>
      </c>
      <c r="AG1416">
        <v>0</v>
      </c>
      <c r="AH1416">
        <v>0</v>
      </c>
      <c r="AI1416">
        <v>0</v>
      </c>
      <c r="AJ1416">
        <v>1</v>
      </c>
      <c r="AK1416">
        <v>0.02</v>
      </c>
      <c r="AL1416">
        <v>16</v>
      </c>
      <c r="AM1416">
        <v>0</v>
      </c>
      <c r="AN1416">
        <v>0</v>
      </c>
      <c r="AO1416">
        <v>0</v>
      </c>
      <c r="AP1416">
        <v>1</v>
      </c>
      <c r="AQ1416">
        <v>0.01</v>
      </c>
      <c r="AX1416">
        <v>7</v>
      </c>
      <c r="AY1416" s="1">
        <v>19</v>
      </c>
      <c r="AZ1416">
        <v>0</v>
      </c>
      <c r="BA1416">
        <v>0</v>
      </c>
      <c r="BB1416">
        <v>1</v>
      </c>
      <c r="BC1416" s="7">
        <v>0.32</v>
      </c>
      <c r="BD1416">
        <v>30</v>
      </c>
      <c r="BE1416">
        <v>0</v>
      </c>
      <c r="BF1416">
        <v>0</v>
      </c>
      <c r="BG1416">
        <v>0</v>
      </c>
      <c r="BH1416">
        <v>5</v>
      </c>
      <c r="BI1416">
        <v>2.4</v>
      </c>
      <c r="BJ1416">
        <v>31</v>
      </c>
      <c r="BK1416">
        <v>0</v>
      </c>
      <c r="BL1416">
        <v>0</v>
      </c>
      <c r="BM1416">
        <v>0</v>
      </c>
      <c r="BN1416">
        <v>5</v>
      </c>
      <c r="BO1416">
        <v>2.4</v>
      </c>
      <c r="BP1416">
        <v>36</v>
      </c>
      <c r="BQ1416">
        <v>0</v>
      </c>
      <c r="BR1416">
        <v>0</v>
      </c>
      <c r="BS1416">
        <v>0</v>
      </c>
      <c r="BT1416">
        <v>5</v>
      </c>
      <c r="BU1416">
        <v>1.7</v>
      </c>
    </row>
    <row r="1417" spans="1:73" ht="14.25" x14ac:dyDescent="0.15">
      <c r="A1417" s="12">
        <v>30314</v>
      </c>
      <c r="B1417">
        <v>7</v>
      </c>
      <c r="C1417" s="1">
        <v>48</v>
      </c>
      <c r="D1417">
        <v>0</v>
      </c>
      <c r="E1417">
        <v>0</v>
      </c>
      <c r="F1417">
        <v>1</v>
      </c>
      <c r="G1417" s="7">
        <v>0.05</v>
      </c>
      <c r="H1417">
        <v>12</v>
      </c>
      <c r="I1417">
        <v>0</v>
      </c>
      <c r="J1417">
        <v>0</v>
      </c>
      <c r="K1417">
        <v>0</v>
      </c>
      <c r="L1417">
        <v>1</v>
      </c>
      <c r="M1417">
        <v>2</v>
      </c>
      <c r="N1417" s="7">
        <v>9</v>
      </c>
      <c r="O1417" s="7">
        <v>0</v>
      </c>
      <c r="P1417" s="7">
        <v>0</v>
      </c>
      <c r="Q1417" s="7">
        <v>0</v>
      </c>
      <c r="R1417" s="7">
        <v>1</v>
      </c>
      <c r="S1417" s="7">
        <v>4.5</v>
      </c>
      <c r="T1417">
        <v>7</v>
      </c>
      <c r="U1417" s="1">
        <v>36</v>
      </c>
      <c r="V1417">
        <v>0</v>
      </c>
      <c r="W1417">
        <v>0</v>
      </c>
      <c r="X1417">
        <v>1</v>
      </c>
      <c r="Y1417">
        <v>0.16</v>
      </c>
      <c r="Z1417">
        <v>23</v>
      </c>
      <c r="AA1417">
        <v>0</v>
      </c>
      <c r="AB1417">
        <v>0</v>
      </c>
      <c r="AC1417">
        <v>0</v>
      </c>
      <c r="AD1417">
        <v>1</v>
      </c>
      <c r="AE1417">
        <v>0.05</v>
      </c>
      <c r="AF1417">
        <v>15</v>
      </c>
      <c r="AG1417">
        <v>0</v>
      </c>
      <c r="AH1417">
        <v>0</v>
      </c>
      <c r="AI1417">
        <v>0</v>
      </c>
      <c r="AJ1417">
        <v>1</v>
      </c>
      <c r="AK1417">
        <v>0.02</v>
      </c>
      <c r="AL1417">
        <v>16</v>
      </c>
      <c r="AM1417">
        <v>0</v>
      </c>
      <c r="AN1417">
        <v>0</v>
      </c>
      <c r="AO1417">
        <v>0</v>
      </c>
      <c r="AP1417">
        <v>1</v>
      </c>
      <c r="AQ1417">
        <v>0.01</v>
      </c>
      <c r="AX1417">
        <v>7</v>
      </c>
      <c r="AY1417" s="1">
        <v>20</v>
      </c>
      <c r="AZ1417">
        <v>0</v>
      </c>
      <c r="BA1417">
        <v>0</v>
      </c>
      <c r="BB1417">
        <v>1</v>
      </c>
      <c r="BC1417" s="7">
        <v>0.32</v>
      </c>
      <c r="BD1417">
        <v>30</v>
      </c>
      <c r="BE1417">
        <v>0</v>
      </c>
      <c r="BF1417">
        <v>0</v>
      </c>
      <c r="BG1417">
        <v>0</v>
      </c>
      <c r="BH1417">
        <v>5</v>
      </c>
      <c r="BI1417">
        <v>2.4</v>
      </c>
      <c r="BJ1417">
        <v>31</v>
      </c>
      <c r="BK1417">
        <v>0</v>
      </c>
      <c r="BL1417">
        <v>0</v>
      </c>
      <c r="BM1417">
        <v>0</v>
      </c>
      <c r="BN1417">
        <v>5</v>
      </c>
      <c r="BO1417">
        <v>2.4</v>
      </c>
      <c r="BP1417">
        <v>36</v>
      </c>
      <c r="BQ1417">
        <v>0</v>
      </c>
      <c r="BR1417">
        <v>0</v>
      </c>
      <c r="BS1417">
        <v>0</v>
      </c>
      <c r="BT1417">
        <v>5</v>
      </c>
      <c r="BU1417">
        <v>1.7</v>
      </c>
    </row>
    <row r="1418" spans="1:73" ht="14.25" x14ac:dyDescent="0.15">
      <c r="A1418" s="12">
        <v>30315</v>
      </c>
      <c r="B1418">
        <v>7</v>
      </c>
      <c r="C1418" s="1">
        <v>0</v>
      </c>
      <c r="D1418">
        <v>5</v>
      </c>
      <c r="E1418">
        <v>1</v>
      </c>
      <c r="F1418">
        <v>1</v>
      </c>
      <c r="G1418" s="7">
        <v>0.05</v>
      </c>
      <c r="H1418">
        <v>12</v>
      </c>
      <c r="I1418">
        <v>0</v>
      </c>
      <c r="J1418">
        <v>0</v>
      </c>
      <c r="K1418">
        <v>0</v>
      </c>
      <c r="L1418">
        <v>1</v>
      </c>
      <c r="M1418">
        <v>2</v>
      </c>
      <c r="N1418" s="7">
        <v>9</v>
      </c>
      <c r="O1418" s="7">
        <v>0</v>
      </c>
      <c r="P1418" s="7">
        <v>0</v>
      </c>
      <c r="Q1418" s="7">
        <v>0</v>
      </c>
      <c r="R1418" s="7">
        <v>1</v>
      </c>
      <c r="S1418" s="7">
        <v>4.5</v>
      </c>
      <c r="T1418">
        <v>7</v>
      </c>
      <c r="U1418" s="1">
        <v>0</v>
      </c>
      <c r="V1418">
        <v>4</v>
      </c>
      <c r="W1418">
        <v>2</v>
      </c>
      <c r="X1418">
        <v>1</v>
      </c>
      <c r="Y1418">
        <v>0.16</v>
      </c>
      <c r="Z1418">
        <v>23</v>
      </c>
      <c r="AA1418">
        <v>0</v>
      </c>
      <c r="AB1418">
        <v>0</v>
      </c>
      <c r="AC1418">
        <v>0</v>
      </c>
      <c r="AD1418">
        <v>1</v>
      </c>
      <c r="AE1418">
        <v>0.05</v>
      </c>
      <c r="AF1418">
        <v>15</v>
      </c>
      <c r="AG1418">
        <v>0</v>
      </c>
      <c r="AH1418">
        <v>0</v>
      </c>
      <c r="AI1418">
        <v>0</v>
      </c>
      <c r="AJ1418">
        <v>1</v>
      </c>
      <c r="AK1418">
        <v>0.02</v>
      </c>
      <c r="AL1418">
        <v>16</v>
      </c>
      <c r="AM1418">
        <v>0</v>
      </c>
      <c r="AN1418">
        <v>0</v>
      </c>
      <c r="AO1418">
        <v>0</v>
      </c>
      <c r="AP1418">
        <v>1</v>
      </c>
      <c r="AQ1418">
        <v>0.01</v>
      </c>
      <c r="AR1418">
        <v>6</v>
      </c>
      <c r="AS1418">
        <v>2</v>
      </c>
      <c r="AT1418">
        <v>3</v>
      </c>
      <c r="AU1418">
        <v>5</v>
      </c>
      <c r="AV1418">
        <v>1</v>
      </c>
      <c r="AW1418">
        <v>0.05</v>
      </c>
      <c r="AX1418">
        <v>7</v>
      </c>
      <c r="AY1418" s="1">
        <v>0</v>
      </c>
      <c r="AZ1418">
        <v>3</v>
      </c>
      <c r="BA1418">
        <v>1</v>
      </c>
      <c r="BB1418">
        <v>1</v>
      </c>
      <c r="BC1418" s="7">
        <v>0.32</v>
      </c>
      <c r="BD1418">
        <v>30</v>
      </c>
      <c r="BE1418">
        <v>0</v>
      </c>
      <c r="BF1418">
        <v>0</v>
      </c>
      <c r="BG1418">
        <v>0</v>
      </c>
      <c r="BH1418">
        <v>5</v>
      </c>
      <c r="BI1418">
        <v>2.4</v>
      </c>
      <c r="BJ1418">
        <v>31</v>
      </c>
      <c r="BK1418">
        <v>0</v>
      </c>
      <c r="BL1418">
        <v>0</v>
      </c>
      <c r="BM1418">
        <v>0</v>
      </c>
      <c r="BN1418">
        <v>5</v>
      </c>
      <c r="BO1418">
        <v>2.4</v>
      </c>
      <c r="BP1418">
        <v>36</v>
      </c>
      <c r="BQ1418">
        <v>0</v>
      </c>
      <c r="BR1418">
        <v>0</v>
      </c>
      <c r="BS1418">
        <v>0</v>
      </c>
      <c r="BT1418">
        <v>5</v>
      </c>
      <c r="BU1418">
        <v>1.7</v>
      </c>
    </row>
    <row r="1419" spans="1:73" ht="14.25" x14ac:dyDescent="0.15">
      <c r="A1419" s="12">
        <v>30316</v>
      </c>
      <c r="B1419">
        <v>7</v>
      </c>
      <c r="C1419" s="1">
        <v>45</v>
      </c>
      <c r="D1419">
        <v>0</v>
      </c>
      <c r="E1419">
        <v>0</v>
      </c>
      <c r="F1419">
        <v>1</v>
      </c>
      <c r="G1419" s="7">
        <v>0.05</v>
      </c>
      <c r="H1419">
        <v>12</v>
      </c>
      <c r="I1419">
        <v>0</v>
      </c>
      <c r="J1419">
        <v>0</v>
      </c>
      <c r="K1419">
        <v>0</v>
      </c>
      <c r="L1419">
        <v>1</v>
      </c>
      <c r="M1419">
        <v>2</v>
      </c>
      <c r="N1419" s="7">
        <v>9</v>
      </c>
      <c r="O1419" s="7">
        <v>0</v>
      </c>
      <c r="P1419" s="7">
        <v>0</v>
      </c>
      <c r="Q1419" s="7">
        <v>0</v>
      </c>
      <c r="R1419" s="7">
        <v>1</v>
      </c>
      <c r="S1419" s="7">
        <v>4.5</v>
      </c>
      <c r="T1419">
        <v>7</v>
      </c>
      <c r="U1419" s="1">
        <v>33</v>
      </c>
      <c r="V1419">
        <v>0</v>
      </c>
      <c r="W1419">
        <v>0</v>
      </c>
      <c r="X1419">
        <v>1</v>
      </c>
      <c r="Y1419">
        <v>0.16</v>
      </c>
      <c r="Z1419">
        <v>23</v>
      </c>
      <c r="AA1419">
        <v>0</v>
      </c>
      <c r="AB1419">
        <v>0</v>
      </c>
      <c r="AC1419">
        <v>0</v>
      </c>
      <c r="AD1419">
        <v>1</v>
      </c>
      <c r="AE1419">
        <v>0.05</v>
      </c>
      <c r="AF1419">
        <v>15</v>
      </c>
      <c r="AG1419">
        <v>0</v>
      </c>
      <c r="AH1419">
        <v>0</v>
      </c>
      <c r="AI1419">
        <v>0</v>
      </c>
      <c r="AJ1419">
        <v>1</v>
      </c>
      <c r="AK1419">
        <v>0.02</v>
      </c>
      <c r="AL1419">
        <v>16</v>
      </c>
      <c r="AM1419">
        <v>0</v>
      </c>
      <c r="AN1419">
        <v>0</v>
      </c>
      <c r="AO1419">
        <v>0</v>
      </c>
      <c r="AP1419">
        <v>1</v>
      </c>
      <c r="AQ1419">
        <v>0.01</v>
      </c>
      <c r="AX1419">
        <v>7</v>
      </c>
      <c r="AY1419" s="1">
        <v>17</v>
      </c>
      <c r="AZ1419">
        <v>0</v>
      </c>
      <c r="BA1419">
        <v>0</v>
      </c>
      <c r="BB1419">
        <v>1</v>
      </c>
      <c r="BC1419" s="7">
        <v>0.32</v>
      </c>
      <c r="BD1419">
        <v>30</v>
      </c>
      <c r="BE1419">
        <v>0</v>
      </c>
      <c r="BF1419">
        <v>0</v>
      </c>
      <c r="BG1419">
        <v>0</v>
      </c>
      <c r="BH1419">
        <v>5</v>
      </c>
      <c r="BI1419">
        <v>2.4</v>
      </c>
      <c r="BJ1419">
        <v>31</v>
      </c>
      <c r="BK1419">
        <v>0</v>
      </c>
      <c r="BL1419">
        <v>0</v>
      </c>
      <c r="BM1419">
        <v>0</v>
      </c>
      <c r="BN1419">
        <v>5</v>
      </c>
      <c r="BO1419">
        <v>2.4</v>
      </c>
      <c r="BP1419">
        <v>36</v>
      </c>
      <c r="BQ1419">
        <v>0</v>
      </c>
      <c r="BR1419">
        <v>0</v>
      </c>
      <c r="BS1419">
        <v>0</v>
      </c>
      <c r="BT1419">
        <v>5</v>
      </c>
      <c r="BU1419">
        <v>1.7</v>
      </c>
    </row>
    <row r="1420" spans="1:73" ht="14.25" x14ac:dyDescent="0.15">
      <c r="A1420" s="12">
        <v>30317</v>
      </c>
      <c r="B1420">
        <v>7</v>
      </c>
      <c r="C1420" s="1">
        <v>46</v>
      </c>
      <c r="D1420">
        <v>0</v>
      </c>
      <c r="E1420">
        <v>0</v>
      </c>
      <c r="F1420">
        <v>1</v>
      </c>
      <c r="G1420" s="7">
        <v>0.05</v>
      </c>
      <c r="H1420">
        <v>12</v>
      </c>
      <c r="I1420">
        <v>0</v>
      </c>
      <c r="J1420">
        <v>0</v>
      </c>
      <c r="K1420">
        <v>0</v>
      </c>
      <c r="L1420">
        <v>1</v>
      </c>
      <c r="M1420">
        <v>2</v>
      </c>
      <c r="N1420" s="7">
        <v>9</v>
      </c>
      <c r="O1420" s="7">
        <v>0</v>
      </c>
      <c r="P1420" s="7">
        <v>0</v>
      </c>
      <c r="Q1420" s="7">
        <v>0</v>
      </c>
      <c r="R1420" s="7">
        <v>1</v>
      </c>
      <c r="S1420" s="7">
        <v>4.5</v>
      </c>
      <c r="T1420">
        <v>7</v>
      </c>
      <c r="U1420" s="1">
        <v>34</v>
      </c>
      <c r="V1420">
        <v>0</v>
      </c>
      <c r="W1420">
        <v>0</v>
      </c>
      <c r="X1420">
        <v>1</v>
      </c>
      <c r="Y1420">
        <v>0.16</v>
      </c>
      <c r="Z1420">
        <v>23</v>
      </c>
      <c r="AA1420">
        <v>0</v>
      </c>
      <c r="AB1420">
        <v>0</v>
      </c>
      <c r="AC1420">
        <v>0</v>
      </c>
      <c r="AD1420">
        <v>1</v>
      </c>
      <c r="AE1420">
        <v>0.05</v>
      </c>
      <c r="AF1420">
        <v>15</v>
      </c>
      <c r="AG1420">
        <v>0</v>
      </c>
      <c r="AH1420">
        <v>0</v>
      </c>
      <c r="AI1420">
        <v>0</v>
      </c>
      <c r="AJ1420">
        <v>1</v>
      </c>
      <c r="AK1420">
        <v>0.02</v>
      </c>
      <c r="AL1420">
        <v>16</v>
      </c>
      <c r="AM1420">
        <v>0</v>
      </c>
      <c r="AN1420">
        <v>0</v>
      </c>
      <c r="AO1420">
        <v>0</v>
      </c>
      <c r="AP1420">
        <v>1</v>
      </c>
      <c r="AQ1420">
        <v>0.01</v>
      </c>
      <c r="AX1420">
        <v>7</v>
      </c>
      <c r="AY1420" s="1">
        <v>18</v>
      </c>
      <c r="AZ1420">
        <v>0</v>
      </c>
      <c r="BA1420">
        <v>0</v>
      </c>
      <c r="BB1420">
        <v>1</v>
      </c>
      <c r="BC1420" s="7">
        <v>0.32</v>
      </c>
      <c r="BD1420">
        <v>30</v>
      </c>
      <c r="BE1420">
        <v>0</v>
      </c>
      <c r="BF1420">
        <v>0</v>
      </c>
      <c r="BG1420">
        <v>0</v>
      </c>
      <c r="BH1420">
        <v>5</v>
      </c>
      <c r="BI1420">
        <v>2.4</v>
      </c>
      <c r="BJ1420">
        <v>31</v>
      </c>
      <c r="BK1420">
        <v>0</v>
      </c>
      <c r="BL1420">
        <v>0</v>
      </c>
      <c r="BM1420">
        <v>0</v>
      </c>
      <c r="BN1420">
        <v>5</v>
      </c>
      <c r="BO1420">
        <v>2.4</v>
      </c>
      <c r="BP1420">
        <v>36</v>
      </c>
      <c r="BQ1420">
        <v>0</v>
      </c>
      <c r="BR1420">
        <v>0</v>
      </c>
      <c r="BS1420">
        <v>0</v>
      </c>
      <c r="BT1420">
        <v>5</v>
      </c>
      <c r="BU1420">
        <v>1.7</v>
      </c>
    </row>
    <row r="1421" spans="1:73" ht="14.25" x14ac:dyDescent="0.15">
      <c r="A1421" s="12">
        <v>30318</v>
      </c>
      <c r="B1421">
        <v>7</v>
      </c>
      <c r="C1421" s="1">
        <v>47</v>
      </c>
      <c r="D1421">
        <v>0</v>
      </c>
      <c r="E1421">
        <v>0</v>
      </c>
      <c r="F1421">
        <v>1</v>
      </c>
      <c r="G1421" s="7">
        <v>0.05</v>
      </c>
      <c r="H1421">
        <v>12</v>
      </c>
      <c r="I1421">
        <v>0</v>
      </c>
      <c r="J1421">
        <v>0</v>
      </c>
      <c r="K1421">
        <v>0</v>
      </c>
      <c r="L1421">
        <v>1</v>
      </c>
      <c r="M1421">
        <v>2</v>
      </c>
      <c r="N1421" s="7">
        <v>9</v>
      </c>
      <c r="O1421" s="7">
        <v>0</v>
      </c>
      <c r="P1421" s="7">
        <v>0</v>
      </c>
      <c r="Q1421" s="7">
        <v>0</v>
      </c>
      <c r="R1421" s="7">
        <v>1</v>
      </c>
      <c r="S1421" s="7">
        <v>4.5</v>
      </c>
      <c r="T1421">
        <v>7</v>
      </c>
      <c r="U1421" s="1">
        <v>35</v>
      </c>
      <c r="V1421">
        <v>0</v>
      </c>
      <c r="W1421">
        <v>0</v>
      </c>
      <c r="X1421">
        <v>1</v>
      </c>
      <c r="Y1421">
        <v>0.16</v>
      </c>
      <c r="Z1421">
        <v>23</v>
      </c>
      <c r="AA1421">
        <v>0</v>
      </c>
      <c r="AB1421">
        <v>0</v>
      </c>
      <c r="AC1421">
        <v>0</v>
      </c>
      <c r="AD1421">
        <v>1</v>
      </c>
      <c r="AE1421">
        <v>0.05</v>
      </c>
      <c r="AF1421">
        <v>15</v>
      </c>
      <c r="AG1421">
        <v>0</v>
      </c>
      <c r="AH1421">
        <v>0</v>
      </c>
      <c r="AI1421">
        <v>0</v>
      </c>
      <c r="AJ1421">
        <v>1</v>
      </c>
      <c r="AK1421">
        <v>0.02</v>
      </c>
      <c r="AL1421">
        <v>16</v>
      </c>
      <c r="AM1421">
        <v>0</v>
      </c>
      <c r="AN1421">
        <v>0</v>
      </c>
      <c r="AO1421">
        <v>0</v>
      </c>
      <c r="AP1421">
        <v>1</v>
      </c>
      <c r="AQ1421">
        <v>0.01</v>
      </c>
      <c r="AX1421">
        <v>7</v>
      </c>
      <c r="AY1421" s="1">
        <v>19</v>
      </c>
      <c r="AZ1421">
        <v>0</v>
      </c>
      <c r="BA1421">
        <v>0</v>
      </c>
      <c r="BB1421">
        <v>1</v>
      </c>
      <c r="BC1421" s="7">
        <v>0.32</v>
      </c>
      <c r="BD1421">
        <v>30</v>
      </c>
      <c r="BE1421">
        <v>0</v>
      </c>
      <c r="BF1421">
        <v>0</v>
      </c>
      <c r="BG1421">
        <v>0</v>
      </c>
      <c r="BH1421">
        <v>5</v>
      </c>
      <c r="BI1421">
        <v>2.4</v>
      </c>
      <c r="BJ1421">
        <v>31</v>
      </c>
      <c r="BK1421">
        <v>0</v>
      </c>
      <c r="BL1421">
        <v>0</v>
      </c>
      <c r="BM1421">
        <v>0</v>
      </c>
      <c r="BN1421">
        <v>5</v>
      </c>
      <c r="BO1421">
        <v>2.4</v>
      </c>
      <c r="BP1421">
        <v>36</v>
      </c>
      <c r="BQ1421">
        <v>0</v>
      </c>
      <c r="BR1421">
        <v>0</v>
      </c>
      <c r="BS1421">
        <v>0</v>
      </c>
      <c r="BT1421">
        <v>5</v>
      </c>
      <c r="BU1421">
        <v>1.7</v>
      </c>
    </row>
    <row r="1422" spans="1:73" ht="14.25" x14ac:dyDescent="0.15">
      <c r="A1422" s="12">
        <v>30319</v>
      </c>
      <c r="B1422">
        <v>7</v>
      </c>
      <c r="C1422" s="1">
        <v>48</v>
      </c>
      <c r="D1422">
        <v>0</v>
      </c>
      <c r="E1422">
        <v>0</v>
      </c>
      <c r="F1422">
        <v>1</v>
      </c>
      <c r="G1422" s="7">
        <v>0.05</v>
      </c>
      <c r="H1422">
        <v>12</v>
      </c>
      <c r="I1422">
        <v>0</v>
      </c>
      <c r="J1422">
        <v>0</v>
      </c>
      <c r="K1422">
        <v>0</v>
      </c>
      <c r="L1422">
        <v>1</v>
      </c>
      <c r="M1422">
        <v>2</v>
      </c>
      <c r="N1422" s="7">
        <v>9</v>
      </c>
      <c r="O1422" s="7">
        <v>0</v>
      </c>
      <c r="P1422" s="7">
        <v>0</v>
      </c>
      <c r="Q1422" s="7">
        <v>0</v>
      </c>
      <c r="R1422" s="7">
        <v>1</v>
      </c>
      <c r="S1422" s="7">
        <v>4.5</v>
      </c>
      <c r="T1422">
        <v>7</v>
      </c>
      <c r="U1422" s="1">
        <v>36</v>
      </c>
      <c r="V1422">
        <v>0</v>
      </c>
      <c r="W1422">
        <v>0</v>
      </c>
      <c r="X1422">
        <v>1</v>
      </c>
      <c r="Y1422">
        <v>0.16</v>
      </c>
      <c r="Z1422">
        <v>23</v>
      </c>
      <c r="AA1422">
        <v>0</v>
      </c>
      <c r="AB1422">
        <v>0</v>
      </c>
      <c r="AC1422">
        <v>0</v>
      </c>
      <c r="AD1422">
        <v>1</v>
      </c>
      <c r="AE1422">
        <v>0.05</v>
      </c>
      <c r="AF1422">
        <v>15</v>
      </c>
      <c r="AG1422">
        <v>0</v>
      </c>
      <c r="AH1422">
        <v>0</v>
      </c>
      <c r="AI1422">
        <v>0</v>
      </c>
      <c r="AJ1422">
        <v>1</v>
      </c>
      <c r="AK1422">
        <v>0.02</v>
      </c>
      <c r="AL1422">
        <v>16</v>
      </c>
      <c r="AM1422">
        <v>0</v>
      </c>
      <c r="AN1422">
        <v>0</v>
      </c>
      <c r="AO1422">
        <v>0</v>
      </c>
      <c r="AP1422">
        <v>1</v>
      </c>
      <c r="AQ1422">
        <v>0.01</v>
      </c>
      <c r="AX1422">
        <v>7</v>
      </c>
      <c r="AY1422" s="1">
        <v>20</v>
      </c>
      <c r="AZ1422">
        <v>0</v>
      </c>
      <c r="BA1422">
        <v>0</v>
      </c>
      <c r="BB1422">
        <v>1</v>
      </c>
      <c r="BC1422" s="7">
        <v>0.32</v>
      </c>
      <c r="BD1422">
        <v>30</v>
      </c>
      <c r="BE1422">
        <v>0</v>
      </c>
      <c r="BF1422">
        <v>0</v>
      </c>
      <c r="BG1422">
        <v>0</v>
      </c>
      <c r="BH1422">
        <v>5</v>
      </c>
      <c r="BI1422">
        <v>2.4</v>
      </c>
      <c r="BJ1422">
        <v>31</v>
      </c>
      <c r="BK1422">
        <v>0</v>
      </c>
      <c r="BL1422">
        <v>0</v>
      </c>
      <c r="BM1422">
        <v>0</v>
      </c>
      <c r="BN1422">
        <v>5</v>
      </c>
      <c r="BO1422">
        <v>2.4</v>
      </c>
      <c r="BP1422">
        <v>36</v>
      </c>
      <c r="BQ1422">
        <v>0</v>
      </c>
      <c r="BR1422">
        <v>0</v>
      </c>
      <c r="BS1422">
        <v>0</v>
      </c>
      <c r="BT1422">
        <v>5</v>
      </c>
      <c r="BU1422">
        <v>1.7</v>
      </c>
    </row>
    <row r="1423" spans="1:73" ht="14.25" x14ac:dyDescent="0.15">
      <c r="A1423" s="12">
        <v>30320</v>
      </c>
      <c r="B1423">
        <v>7</v>
      </c>
      <c r="C1423" s="1">
        <v>0</v>
      </c>
      <c r="D1423">
        <v>5</v>
      </c>
      <c r="E1423">
        <v>1</v>
      </c>
      <c r="F1423">
        <v>1</v>
      </c>
      <c r="G1423" s="7">
        <v>0.05</v>
      </c>
      <c r="H1423">
        <v>12</v>
      </c>
      <c r="I1423">
        <v>0</v>
      </c>
      <c r="J1423">
        <v>0</v>
      </c>
      <c r="K1423">
        <v>0</v>
      </c>
      <c r="L1423">
        <v>1</v>
      </c>
      <c r="M1423">
        <v>2</v>
      </c>
      <c r="N1423" s="7">
        <v>9</v>
      </c>
      <c r="O1423" s="7">
        <v>0</v>
      </c>
      <c r="P1423" s="7">
        <v>0</v>
      </c>
      <c r="Q1423" s="7">
        <v>0</v>
      </c>
      <c r="R1423" s="7">
        <v>1</v>
      </c>
      <c r="S1423" s="7">
        <v>4.5</v>
      </c>
      <c r="T1423">
        <v>7</v>
      </c>
      <c r="U1423" s="1">
        <v>0</v>
      </c>
      <c r="V1423">
        <v>4</v>
      </c>
      <c r="W1423">
        <v>2</v>
      </c>
      <c r="X1423">
        <v>1</v>
      </c>
      <c r="Y1423">
        <v>0.16</v>
      </c>
      <c r="Z1423">
        <v>23</v>
      </c>
      <c r="AA1423">
        <v>0</v>
      </c>
      <c r="AB1423">
        <v>0</v>
      </c>
      <c r="AC1423">
        <v>0</v>
      </c>
      <c r="AD1423">
        <v>1</v>
      </c>
      <c r="AE1423">
        <v>0.05</v>
      </c>
      <c r="AF1423">
        <v>15</v>
      </c>
      <c r="AG1423">
        <v>0</v>
      </c>
      <c r="AH1423">
        <v>0</v>
      </c>
      <c r="AI1423">
        <v>0</v>
      </c>
      <c r="AJ1423">
        <v>1</v>
      </c>
      <c r="AK1423">
        <v>0.02</v>
      </c>
      <c r="AL1423">
        <v>16</v>
      </c>
      <c r="AM1423">
        <v>0</v>
      </c>
      <c r="AN1423">
        <v>0</v>
      </c>
      <c r="AO1423">
        <v>0</v>
      </c>
      <c r="AP1423">
        <v>1</v>
      </c>
      <c r="AQ1423">
        <v>0.01</v>
      </c>
      <c r="AR1423">
        <v>6</v>
      </c>
      <c r="AS1423">
        <v>2</v>
      </c>
      <c r="AT1423">
        <v>4</v>
      </c>
      <c r="AU1423">
        <v>5</v>
      </c>
      <c r="AV1423">
        <v>1</v>
      </c>
      <c r="AW1423">
        <v>0.01</v>
      </c>
      <c r="AX1423">
        <v>7</v>
      </c>
      <c r="AY1423" s="1">
        <v>0</v>
      </c>
      <c r="AZ1423">
        <v>3</v>
      </c>
      <c r="BA1423">
        <v>1</v>
      </c>
      <c r="BB1423">
        <v>1</v>
      </c>
      <c r="BC1423" s="7">
        <v>0.32</v>
      </c>
      <c r="BD1423">
        <v>30</v>
      </c>
      <c r="BE1423">
        <v>0</v>
      </c>
      <c r="BF1423">
        <v>0</v>
      </c>
      <c r="BG1423">
        <v>0</v>
      </c>
      <c r="BH1423">
        <v>5</v>
      </c>
      <c r="BI1423">
        <v>2.4</v>
      </c>
      <c r="BJ1423">
        <v>31</v>
      </c>
      <c r="BK1423">
        <v>0</v>
      </c>
      <c r="BL1423">
        <v>0</v>
      </c>
      <c r="BM1423">
        <v>0</v>
      </c>
      <c r="BN1423">
        <v>5</v>
      </c>
      <c r="BO1423">
        <v>2.4</v>
      </c>
      <c r="BP1423">
        <v>36</v>
      </c>
      <c r="BQ1423">
        <v>0</v>
      </c>
      <c r="BR1423">
        <v>0</v>
      </c>
      <c r="BS1423">
        <v>0</v>
      </c>
      <c r="BT1423">
        <v>5</v>
      </c>
      <c r="BU1423">
        <v>1.7</v>
      </c>
    </row>
    <row r="1424" spans="1:73" ht="14.25" x14ac:dyDescent="0.15">
      <c r="A1424" s="12">
        <v>30321</v>
      </c>
      <c r="B1424">
        <v>7</v>
      </c>
      <c r="C1424" s="1">
        <v>45</v>
      </c>
      <c r="D1424">
        <v>0</v>
      </c>
      <c r="E1424">
        <v>0</v>
      </c>
      <c r="F1424">
        <v>1</v>
      </c>
      <c r="G1424" s="7">
        <v>0.05</v>
      </c>
      <c r="H1424">
        <v>12</v>
      </c>
      <c r="I1424">
        <v>0</v>
      </c>
      <c r="J1424">
        <v>0</v>
      </c>
      <c r="K1424">
        <v>0</v>
      </c>
      <c r="L1424">
        <v>1</v>
      </c>
      <c r="M1424">
        <v>2</v>
      </c>
      <c r="N1424" s="7">
        <v>9</v>
      </c>
      <c r="O1424" s="7">
        <v>0</v>
      </c>
      <c r="P1424" s="7">
        <v>0</v>
      </c>
      <c r="Q1424" s="7">
        <v>0</v>
      </c>
      <c r="R1424" s="7">
        <v>1</v>
      </c>
      <c r="S1424" s="7">
        <v>4.5</v>
      </c>
      <c r="T1424">
        <v>7</v>
      </c>
      <c r="U1424" s="1">
        <v>33</v>
      </c>
      <c r="V1424">
        <v>0</v>
      </c>
      <c r="W1424">
        <v>0</v>
      </c>
      <c r="X1424">
        <v>1</v>
      </c>
      <c r="Y1424">
        <v>0.16</v>
      </c>
      <c r="Z1424">
        <v>23</v>
      </c>
      <c r="AA1424">
        <v>0</v>
      </c>
      <c r="AB1424">
        <v>0</v>
      </c>
      <c r="AC1424">
        <v>0</v>
      </c>
      <c r="AD1424">
        <v>1</v>
      </c>
      <c r="AE1424">
        <v>0.05</v>
      </c>
      <c r="AF1424">
        <v>15</v>
      </c>
      <c r="AG1424">
        <v>0</v>
      </c>
      <c r="AH1424">
        <v>0</v>
      </c>
      <c r="AI1424">
        <v>0</v>
      </c>
      <c r="AJ1424">
        <v>1</v>
      </c>
      <c r="AK1424">
        <v>0.02</v>
      </c>
      <c r="AL1424">
        <v>16</v>
      </c>
      <c r="AM1424">
        <v>0</v>
      </c>
      <c r="AN1424">
        <v>0</v>
      </c>
      <c r="AO1424">
        <v>0</v>
      </c>
      <c r="AP1424">
        <v>1</v>
      </c>
      <c r="AQ1424">
        <v>0.01</v>
      </c>
      <c r="AX1424">
        <v>7</v>
      </c>
      <c r="AY1424" s="1">
        <v>17</v>
      </c>
      <c r="AZ1424">
        <v>0</v>
      </c>
      <c r="BA1424">
        <v>0</v>
      </c>
      <c r="BB1424">
        <v>1</v>
      </c>
      <c r="BC1424" s="7">
        <v>0.32</v>
      </c>
      <c r="BD1424">
        <v>30</v>
      </c>
      <c r="BE1424">
        <v>0</v>
      </c>
      <c r="BF1424">
        <v>0</v>
      </c>
      <c r="BG1424">
        <v>0</v>
      </c>
      <c r="BH1424">
        <v>5</v>
      </c>
      <c r="BI1424">
        <v>2.4</v>
      </c>
      <c r="BJ1424">
        <v>31</v>
      </c>
      <c r="BK1424">
        <v>0</v>
      </c>
      <c r="BL1424">
        <v>0</v>
      </c>
      <c r="BM1424">
        <v>0</v>
      </c>
      <c r="BN1424">
        <v>5</v>
      </c>
      <c r="BO1424">
        <v>2.4</v>
      </c>
      <c r="BP1424">
        <v>36</v>
      </c>
      <c r="BQ1424">
        <v>0</v>
      </c>
      <c r="BR1424">
        <v>0</v>
      </c>
      <c r="BS1424">
        <v>0</v>
      </c>
      <c r="BT1424">
        <v>5</v>
      </c>
      <c r="BU1424">
        <v>1.7</v>
      </c>
    </row>
    <row r="1425" spans="1:73" ht="14.25" x14ac:dyDescent="0.15">
      <c r="A1425" s="12">
        <v>30322</v>
      </c>
      <c r="B1425">
        <v>7</v>
      </c>
      <c r="C1425" s="1">
        <v>46</v>
      </c>
      <c r="D1425">
        <v>0</v>
      </c>
      <c r="E1425">
        <v>0</v>
      </c>
      <c r="F1425">
        <v>1</v>
      </c>
      <c r="G1425" s="7">
        <v>0.05</v>
      </c>
      <c r="H1425">
        <v>12</v>
      </c>
      <c r="I1425">
        <v>0</v>
      </c>
      <c r="J1425">
        <v>0</v>
      </c>
      <c r="K1425">
        <v>0</v>
      </c>
      <c r="L1425">
        <v>1</v>
      </c>
      <c r="M1425">
        <v>2</v>
      </c>
      <c r="N1425" s="7">
        <v>9</v>
      </c>
      <c r="O1425" s="7">
        <v>0</v>
      </c>
      <c r="P1425" s="7">
        <v>0</v>
      </c>
      <c r="Q1425" s="7">
        <v>0</v>
      </c>
      <c r="R1425" s="7">
        <v>1</v>
      </c>
      <c r="S1425" s="7">
        <v>4.5</v>
      </c>
      <c r="T1425">
        <v>7</v>
      </c>
      <c r="U1425" s="1">
        <v>34</v>
      </c>
      <c r="V1425">
        <v>0</v>
      </c>
      <c r="W1425">
        <v>0</v>
      </c>
      <c r="X1425">
        <v>1</v>
      </c>
      <c r="Y1425">
        <v>0.16</v>
      </c>
      <c r="Z1425">
        <v>23</v>
      </c>
      <c r="AA1425">
        <v>0</v>
      </c>
      <c r="AB1425">
        <v>0</v>
      </c>
      <c r="AC1425">
        <v>0</v>
      </c>
      <c r="AD1425">
        <v>1</v>
      </c>
      <c r="AE1425">
        <v>0.05</v>
      </c>
      <c r="AF1425">
        <v>15</v>
      </c>
      <c r="AG1425">
        <v>0</v>
      </c>
      <c r="AH1425">
        <v>0</v>
      </c>
      <c r="AI1425">
        <v>0</v>
      </c>
      <c r="AJ1425">
        <v>1</v>
      </c>
      <c r="AK1425">
        <v>0.02</v>
      </c>
      <c r="AL1425">
        <v>16</v>
      </c>
      <c r="AM1425">
        <v>0</v>
      </c>
      <c r="AN1425">
        <v>0</v>
      </c>
      <c r="AO1425">
        <v>0</v>
      </c>
      <c r="AP1425">
        <v>1</v>
      </c>
      <c r="AQ1425">
        <v>0.01</v>
      </c>
      <c r="AX1425">
        <v>7</v>
      </c>
      <c r="AY1425" s="1">
        <v>18</v>
      </c>
      <c r="AZ1425">
        <v>0</v>
      </c>
      <c r="BA1425">
        <v>0</v>
      </c>
      <c r="BB1425">
        <v>1</v>
      </c>
      <c r="BC1425" s="7">
        <v>0.32</v>
      </c>
      <c r="BD1425">
        <v>30</v>
      </c>
      <c r="BE1425">
        <v>0</v>
      </c>
      <c r="BF1425">
        <v>0</v>
      </c>
      <c r="BG1425">
        <v>0</v>
      </c>
      <c r="BH1425">
        <v>5</v>
      </c>
      <c r="BI1425">
        <v>2.4</v>
      </c>
      <c r="BJ1425">
        <v>31</v>
      </c>
      <c r="BK1425">
        <v>0</v>
      </c>
      <c r="BL1425">
        <v>0</v>
      </c>
      <c r="BM1425">
        <v>0</v>
      </c>
      <c r="BN1425">
        <v>5</v>
      </c>
      <c r="BO1425">
        <v>2.4</v>
      </c>
      <c r="BP1425">
        <v>36</v>
      </c>
      <c r="BQ1425">
        <v>0</v>
      </c>
      <c r="BR1425">
        <v>0</v>
      </c>
      <c r="BS1425">
        <v>0</v>
      </c>
      <c r="BT1425">
        <v>5</v>
      </c>
      <c r="BU1425">
        <v>1.7</v>
      </c>
    </row>
    <row r="1426" spans="1:73" ht="14.25" x14ac:dyDescent="0.15">
      <c r="A1426" s="12">
        <v>30323</v>
      </c>
      <c r="B1426">
        <v>7</v>
      </c>
      <c r="C1426" s="1">
        <v>47</v>
      </c>
      <c r="D1426">
        <v>0</v>
      </c>
      <c r="E1426">
        <v>0</v>
      </c>
      <c r="F1426">
        <v>1</v>
      </c>
      <c r="G1426" s="7">
        <v>0.05</v>
      </c>
      <c r="H1426">
        <v>12</v>
      </c>
      <c r="I1426">
        <v>0</v>
      </c>
      <c r="J1426">
        <v>0</v>
      </c>
      <c r="K1426">
        <v>0</v>
      </c>
      <c r="L1426">
        <v>1</v>
      </c>
      <c r="M1426">
        <v>2</v>
      </c>
      <c r="N1426" s="7">
        <v>9</v>
      </c>
      <c r="O1426" s="7">
        <v>0</v>
      </c>
      <c r="P1426" s="7">
        <v>0</v>
      </c>
      <c r="Q1426" s="7">
        <v>0</v>
      </c>
      <c r="R1426" s="7">
        <v>1</v>
      </c>
      <c r="S1426" s="7">
        <v>4.5</v>
      </c>
      <c r="T1426">
        <v>7</v>
      </c>
      <c r="U1426" s="1">
        <v>35</v>
      </c>
      <c r="V1426">
        <v>0</v>
      </c>
      <c r="W1426">
        <v>0</v>
      </c>
      <c r="X1426">
        <v>1</v>
      </c>
      <c r="Y1426">
        <v>0.16</v>
      </c>
      <c r="Z1426">
        <v>23</v>
      </c>
      <c r="AA1426">
        <v>0</v>
      </c>
      <c r="AB1426">
        <v>0</v>
      </c>
      <c r="AC1426">
        <v>0</v>
      </c>
      <c r="AD1426">
        <v>1</v>
      </c>
      <c r="AE1426">
        <v>0.05</v>
      </c>
      <c r="AF1426">
        <v>15</v>
      </c>
      <c r="AG1426">
        <v>0</v>
      </c>
      <c r="AH1426">
        <v>0</v>
      </c>
      <c r="AI1426">
        <v>0</v>
      </c>
      <c r="AJ1426">
        <v>1</v>
      </c>
      <c r="AK1426">
        <v>0.02</v>
      </c>
      <c r="AL1426">
        <v>16</v>
      </c>
      <c r="AM1426">
        <v>0</v>
      </c>
      <c r="AN1426">
        <v>0</v>
      </c>
      <c r="AO1426">
        <v>0</v>
      </c>
      <c r="AP1426">
        <v>1</v>
      </c>
      <c r="AQ1426">
        <v>0.01</v>
      </c>
      <c r="AX1426">
        <v>7</v>
      </c>
      <c r="AY1426" s="1">
        <v>19</v>
      </c>
      <c r="AZ1426">
        <v>0</v>
      </c>
      <c r="BA1426">
        <v>0</v>
      </c>
      <c r="BB1426">
        <v>1</v>
      </c>
      <c r="BC1426" s="7">
        <v>0.32</v>
      </c>
      <c r="BD1426">
        <v>30</v>
      </c>
      <c r="BE1426">
        <v>0</v>
      </c>
      <c r="BF1426">
        <v>0</v>
      </c>
      <c r="BG1426">
        <v>0</v>
      </c>
      <c r="BH1426">
        <v>5</v>
      </c>
      <c r="BI1426">
        <v>2.4</v>
      </c>
      <c r="BJ1426">
        <v>31</v>
      </c>
      <c r="BK1426">
        <v>0</v>
      </c>
      <c r="BL1426">
        <v>0</v>
      </c>
      <c r="BM1426">
        <v>0</v>
      </c>
      <c r="BN1426">
        <v>5</v>
      </c>
      <c r="BO1426">
        <v>2.4</v>
      </c>
      <c r="BP1426">
        <v>36</v>
      </c>
      <c r="BQ1426">
        <v>0</v>
      </c>
      <c r="BR1426">
        <v>0</v>
      </c>
      <c r="BS1426">
        <v>0</v>
      </c>
      <c r="BT1426">
        <v>5</v>
      </c>
      <c r="BU1426">
        <v>1.7</v>
      </c>
    </row>
    <row r="1427" spans="1:73" ht="14.25" x14ac:dyDescent="0.15">
      <c r="A1427" s="12">
        <v>30324</v>
      </c>
      <c r="B1427">
        <v>7</v>
      </c>
      <c r="C1427" s="1">
        <v>48</v>
      </c>
      <c r="D1427">
        <v>0</v>
      </c>
      <c r="E1427">
        <v>0</v>
      </c>
      <c r="F1427">
        <v>1</v>
      </c>
      <c r="G1427" s="7">
        <v>0.05</v>
      </c>
      <c r="H1427">
        <v>12</v>
      </c>
      <c r="I1427">
        <v>0</v>
      </c>
      <c r="J1427">
        <v>0</v>
      </c>
      <c r="K1427">
        <v>0</v>
      </c>
      <c r="L1427">
        <v>1</v>
      </c>
      <c r="M1427">
        <v>2</v>
      </c>
      <c r="N1427" s="7">
        <v>9</v>
      </c>
      <c r="O1427" s="7">
        <v>0</v>
      </c>
      <c r="P1427" s="7">
        <v>0</v>
      </c>
      <c r="Q1427" s="7">
        <v>0</v>
      </c>
      <c r="R1427" s="7">
        <v>1</v>
      </c>
      <c r="S1427" s="7">
        <v>4.5</v>
      </c>
      <c r="T1427">
        <v>7</v>
      </c>
      <c r="U1427" s="1">
        <v>36</v>
      </c>
      <c r="V1427">
        <v>0</v>
      </c>
      <c r="W1427">
        <v>0</v>
      </c>
      <c r="X1427">
        <v>1</v>
      </c>
      <c r="Y1427">
        <v>0.16</v>
      </c>
      <c r="Z1427">
        <v>23</v>
      </c>
      <c r="AA1427">
        <v>0</v>
      </c>
      <c r="AB1427">
        <v>0</v>
      </c>
      <c r="AC1427">
        <v>0</v>
      </c>
      <c r="AD1427">
        <v>1</v>
      </c>
      <c r="AE1427">
        <v>0.05</v>
      </c>
      <c r="AF1427">
        <v>15</v>
      </c>
      <c r="AG1427">
        <v>0</v>
      </c>
      <c r="AH1427">
        <v>0</v>
      </c>
      <c r="AI1427">
        <v>0</v>
      </c>
      <c r="AJ1427">
        <v>1</v>
      </c>
      <c r="AK1427">
        <v>0.02</v>
      </c>
      <c r="AL1427">
        <v>16</v>
      </c>
      <c r="AM1427">
        <v>0</v>
      </c>
      <c r="AN1427">
        <v>0</v>
      </c>
      <c r="AO1427">
        <v>0</v>
      </c>
      <c r="AP1427">
        <v>1</v>
      </c>
      <c r="AQ1427">
        <v>0.01</v>
      </c>
      <c r="AX1427">
        <v>7</v>
      </c>
      <c r="AY1427" s="1">
        <v>20</v>
      </c>
      <c r="AZ1427">
        <v>0</v>
      </c>
      <c r="BA1427">
        <v>0</v>
      </c>
      <c r="BB1427">
        <v>1</v>
      </c>
      <c r="BC1427" s="7">
        <v>0.32</v>
      </c>
      <c r="BD1427">
        <v>30</v>
      </c>
      <c r="BE1427">
        <v>0</v>
      </c>
      <c r="BF1427">
        <v>0</v>
      </c>
      <c r="BG1427">
        <v>0</v>
      </c>
      <c r="BH1427">
        <v>5</v>
      </c>
      <c r="BI1427">
        <v>2.4</v>
      </c>
      <c r="BJ1427">
        <v>31</v>
      </c>
      <c r="BK1427">
        <v>0</v>
      </c>
      <c r="BL1427">
        <v>0</v>
      </c>
      <c r="BM1427">
        <v>0</v>
      </c>
      <c r="BN1427">
        <v>5</v>
      </c>
      <c r="BO1427">
        <v>2.4</v>
      </c>
      <c r="BP1427">
        <v>36</v>
      </c>
      <c r="BQ1427">
        <v>0</v>
      </c>
      <c r="BR1427">
        <v>0</v>
      </c>
      <c r="BS1427">
        <v>0</v>
      </c>
      <c r="BT1427">
        <v>5</v>
      </c>
      <c r="BU1427">
        <v>1.7</v>
      </c>
    </row>
    <row r="1428" spans="1:73" ht="14.25" x14ac:dyDescent="0.15">
      <c r="A1428" s="12">
        <v>30325</v>
      </c>
      <c r="B1428">
        <v>7</v>
      </c>
      <c r="C1428" s="1">
        <v>0</v>
      </c>
      <c r="D1428">
        <v>5</v>
      </c>
      <c r="E1428">
        <v>1</v>
      </c>
      <c r="F1428">
        <v>1</v>
      </c>
      <c r="G1428" s="7">
        <v>0.05</v>
      </c>
      <c r="H1428">
        <v>12</v>
      </c>
      <c r="I1428">
        <v>0</v>
      </c>
      <c r="J1428">
        <v>0</v>
      </c>
      <c r="K1428">
        <v>0</v>
      </c>
      <c r="L1428">
        <v>1</v>
      </c>
      <c r="M1428">
        <v>2</v>
      </c>
      <c r="N1428" s="7">
        <v>9</v>
      </c>
      <c r="O1428" s="7">
        <v>0</v>
      </c>
      <c r="P1428" s="7">
        <v>0</v>
      </c>
      <c r="Q1428" s="7">
        <v>0</v>
      </c>
      <c r="R1428" s="7">
        <v>1</v>
      </c>
      <c r="S1428" s="7">
        <v>4.5</v>
      </c>
      <c r="T1428">
        <v>7</v>
      </c>
      <c r="U1428" s="1">
        <v>0</v>
      </c>
      <c r="V1428">
        <v>4</v>
      </c>
      <c r="W1428">
        <v>2</v>
      </c>
      <c r="X1428">
        <v>1</v>
      </c>
      <c r="Y1428">
        <v>0.16</v>
      </c>
      <c r="Z1428">
        <v>23</v>
      </c>
      <c r="AA1428">
        <v>0</v>
      </c>
      <c r="AB1428">
        <v>0</v>
      </c>
      <c r="AC1428">
        <v>0</v>
      </c>
      <c r="AD1428">
        <v>1</v>
      </c>
      <c r="AE1428">
        <v>0.05</v>
      </c>
      <c r="AF1428">
        <v>15</v>
      </c>
      <c r="AG1428">
        <v>0</v>
      </c>
      <c r="AH1428">
        <v>0</v>
      </c>
      <c r="AI1428">
        <v>0</v>
      </c>
      <c r="AJ1428">
        <v>1</v>
      </c>
      <c r="AK1428">
        <v>0.02</v>
      </c>
      <c r="AL1428">
        <v>16</v>
      </c>
      <c r="AM1428">
        <v>0</v>
      </c>
      <c r="AN1428">
        <v>0</v>
      </c>
      <c r="AO1428">
        <v>0</v>
      </c>
      <c r="AP1428">
        <v>1</v>
      </c>
      <c r="AQ1428">
        <v>0.01</v>
      </c>
      <c r="AR1428">
        <v>6</v>
      </c>
      <c r="AS1428">
        <v>2</v>
      </c>
      <c r="AT1428">
        <v>5</v>
      </c>
      <c r="AU1428">
        <v>5</v>
      </c>
      <c r="AV1428">
        <v>1</v>
      </c>
      <c r="AW1428">
        <v>0.01</v>
      </c>
      <c r="AX1428">
        <v>7</v>
      </c>
      <c r="AY1428" s="1">
        <v>0</v>
      </c>
      <c r="AZ1428">
        <v>3</v>
      </c>
      <c r="BA1428">
        <v>1</v>
      </c>
      <c r="BB1428">
        <v>1</v>
      </c>
      <c r="BC1428" s="7">
        <v>0.32</v>
      </c>
      <c r="BD1428">
        <v>30</v>
      </c>
      <c r="BE1428">
        <v>0</v>
      </c>
      <c r="BF1428">
        <v>0</v>
      </c>
      <c r="BG1428">
        <v>0</v>
      </c>
      <c r="BH1428">
        <v>5</v>
      </c>
      <c r="BI1428">
        <v>2.4</v>
      </c>
      <c r="BJ1428">
        <v>31</v>
      </c>
      <c r="BK1428">
        <v>0</v>
      </c>
      <c r="BL1428">
        <v>0</v>
      </c>
      <c r="BM1428">
        <v>0</v>
      </c>
      <c r="BN1428">
        <v>5</v>
      </c>
      <c r="BO1428">
        <v>2.4</v>
      </c>
      <c r="BP1428">
        <v>36</v>
      </c>
      <c r="BQ1428">
        <v>0</v>
      </c>
      <c r="BR1428">
        <v>0</v>
      </c>
      <c r="BS1428">
        <v>0</v>
      </c>
      <c r="BT1428">
        <v>5</v>
      </c>
      <c r="BU1428">
        <v>1.7</v>
      </c>
    </row>
    <row r="1429" spans="1:73" ht="14.25" x14ac:dyDescent="0.15">
      <c r="A1429" s="12">
        <v>30326</v>
      </c>
      <c r="B1429">
        <v>7</v>
      </c>
      <c r="C1429" s="1">
        <v>45</v>
      </c>
      <c r="D1429">
        <v>0</v>
      </c>
      <c r="E1429">
        <v>0</v>
      </c>
      <c r="F1429">
        <v>1</v>
      </c>
      <c r="G1429" s="7">
        <v>0.05</v>
      </c>
      <c r="H1429">
        <v>12</v>
      </c>
      <c r="I1429">
        <v>0</v>
      </c>
      <c r="J1429">
        <v>0</v>
      </c>
      <c r="K1429">
        <v>0</v>
      </c>
      <c r="L1429">
        <v>1</v>
      </c>
      <c r="M1429">
        <v>2</v>
      </c>
      <c r="N1429" s="7">
        <v>9</v>
      </c>
      <c r="O1429" s="7">
        <v>0</v>
      </c>
      <c r="P1429" s="7">
        <v>0</v>
      </c>
      <c r="Q1429" s="7">
        <v>0</v>
      </c>
      <c r="R1429" s="7">
        <v>1</v>
      </c>
      <c r="S1429" s="7">
        <v>4.5</v>
      </c>
      <c r="T1429">
        <v>7</v>
      </c>
      <c r="U1429" s="1">
        <v>33</v>
      </c>
      <c r="V1429">
        <v>0</v>
      </c>
      <c r="W1429">
        <v>0</v>
      </c>
      <c r="X1429">
        <v>1</v>
      </c>
      <c r="Y1429">
        <v>0.16</v>
      </c>
      <c r="Z1429">
        <v>23</v>
      </c>
      <c r="AA1429">
        <v>0</v>
      </c>
      <c r="AB1429">
        <v>0</v>
      </c>
      <c r="AC1429">
        <v>0</v>
      </c>
      <c r="AD1429">
        <v>1</v>
      </c>
      <c r="AE1429">
        <v>0.05</v>
      </c>
      <c r="AF1429">
        <v>15</v>
      </c>
      <c r="AG1429">
        <v>0</v>
      </c>
      <c r="AH1429">
        <v>0</v>
      </c>
      <c r="AI1429">
        <v>0</v>
      </c>
      <c r="AJ1429">
        <v>1</v>
      </c>
      <c r="AK1429">
        <v>0.02</v>
      </c>
      <c r="AL1429">
        <v>16</v>
      </c>
      <c r="AM1429">
        <v>0</v>
      </c>
      <c r="AN1429">
        <v>0</v>
      </c>
      <c r="AO1429">
        <v>0</v>
      </c>
      <c r="AP1429">
        <v>1</v>
      </c>
      <c r="AQ1429">
        <v>0.01</v>
      </c>
      <c r="AX1429">
        <v>7</v>
      </c>
      <c r="AY1429" s="1">
        <v>17</v>
      </c>
      <c r="AZ1429">
        <v>0</v>
      </c>
      <c r="BA1429">
        <v>0</v>
      </c>
      <c r="BB1429">
        <v>1</v>
      </c>
      <c r="BC1429" s="7">
        <v>0.32</v>
      </c>
      <c r="BD1429">
        <v>30</v>
      </c>
      <c r="BE1429">
        <v>0</v>
      </c>
      <c r="BF1429">
        <v>0</v>
      </c>
      <c r="BG1429">
        <v>0</v>
      </c>
      <c r="BH1429">
        <v>5</v>
      </c>
      <c r="BI1429">
        <v>2.4</v>
      </c>
      <c r="BJ1429">
        <v>31</v>
      </c>
      <c r="BK1429">
        <v>0</v>
      </c>
      <c r="BL1429">
        <v>0</v>
      </c>
      <c r="BM1429">
        <v>0</v>
      </c>
      <c r="BN1429">
        <v>5</v>
      </c>
      <c r="BO1429">
        <v>2.4</v>
      </c>
      <c r="BP1429">
        <v>36</v>
      </c>
      <c r="BQ1429">
        <v>0</v>
      </c>
      <c r="BR1429">
        <v>0</v>
      </c>
      <c r="BS1429">
        <v>0</v>
      </c>
      <c r="BT1429">
        <v>5</v>
      </c>
      <c r="BU1429">
        <v>1.7</v>
      </c>
    </row>
    <row r="1430" spans="1:73" ht="14.25" x14ac:dyDescent="0.15">
      <c r="A1430" s="12">
        <v>30327</v>
      </c>
      <c r="B1430">
        <v>7</v>
      </c>
      <c r="C1430" s="1">
        <v>46</v>
      </c>
      <c r="D1430">
        <v>0</v>
      </c>
      <c r="E1430">
        <v>0</v>
      </c>
      <c r="F1430">
        <v>1</v>
      </c>
      <c r="G1430" s="7">
        <v>0.05</v>
      </c>
      <c r="H1430">
        <v>12</v>
      </c>
      <c r="I1430">
        <v>0</v>
      </c>
      <c r="J1430">
        <v>0</v>
      </c>
      <c r="K1430">
        <v>0</v>
      </c>
      <c r="L1430">
        <v>1</v>
      </c>
      <c r="M1430">
        <v>2</v>
      </c>
      <c r="N1430" s="7">
        <v>9</v>
      </c>
      <c r="O1430" s="7">
        <v>0</v>
      </c>
      <c r="P1430" s="7">
        <v>0</v>
      </c>
      <c r="Q1430" s="7">
        <v>0</v>
      </c>
      <c r="R1430" s="7">
        <v>1</v>
      </c>
      <c r="S1430" s="7">
        <v>4.5</v>
      </c>
      <c r="T1430">
        <v>7</v>
      </c>
      <c r="U1430" s="1">
        <v>34</v>
      </c>
      <c r="V1430">
        <v>0</v>
      </c>
      <c r="W1430">
        <v>0</v>
      </c>
      <c r="X1430">
        <v>1</v>
      </c>
      <c r="Y1430">
        <v>0.16</v>
      </c>
      <c r="Z1430">
        <v>23</v>
      </c>
      <c r="AA1430">
        <v>0</v>
      </c>
      <c r="AB1430">
        <v>0</v>
      </c>
      <c r="AC1430">
        <v>0</v>
      </c>
      <c r="AD1430">
        <v>1</v>
      </c>
      <c r="AE1430">
        <v>0.05</v>
      </c>
      <c r="AF1430">
        <v>15</v>
      </c>
      <c r="AG1430">
        <v>0</v>
      </c>
      <c r="AH1430">
        <v>0</v>
      </c>
      <c r="AI1430">
        <v>0</v>
      </c>
      <c r="AJ1430">
        <v>1</v>
      </c>
      <c r="AK1430">
        <v>0.02</v>
      </c>
      <c r="AL1430">
        <v>16</v>
      </c>
      <c r="AM1430">
        <v>0</v>
      </c>
      <c r="AN1430">
        <v>0</v>
      </c>
      <c r="AO1430">
        <v>0</v>
      </c>
      <c r="AP1430">
        <v>1</v>
      </c>
      <c r="AQ1430">
        <v>0.01</v>
      </c>
      <c r="AX1430">
        <v>7</v>
      </c>
      <c r="AY1430" s="1">
        <v>18</v>
      </c>
      <c r="AZ1430">
        <v>0</v>
      </c>
      <c r="BA1430">
        <v>0</v>
      </c>
      <c r="BB1430">
        <v>1</v>
      </c>
      <c r="BC1430" s="7">
        <v>0.32</v>
      </c>
      <c r="BD1430">
        <v>30</v>
      </c>
      <c r="BE1430">
        <v>0</v>
      </c>
      <c r="BF1430">
        <v>0</v>
      </c>
      <c r="BG1430">
        <v>0</v>
      </c>
      <c r="BH1430">
        <v>5</v>
      </c>
      <c r="BI1430">
        <v>2.4</v>
      </c>
      <c r="BJ1430">
        <v>31</v>
      </c>
      <c r="BK1430">
        <v>0</v>
      </c>
      <c r="BL1430">
        <v>0</v>
      </c>
      <c r="BM1430">
        <v>0</v>
      </c>
      <c r="BN1430">
        <v>5</v>
      </c>
      <c r="BO1430">
        <v>2.4</v>
      </c>
      <c r="BP1430">
        <v>36</v>
      </c>
      <c r="BQ1430">
        <v>0</v>
      </c>
      <c r="BR1430">
        <v>0</v>
      </c>
      <c r="BS1430">
        <v>0</v>
      </c>
      <c r="BT1430">
        <v>5</v>
      </c>
      <c r="BU1430">
        <v>1.7</v>
      </c>
    </row>
    <row r="1431" spans="1:73" ht="14.25" x14ac:dyDescent="0.15">
      <c r="A1431" s="12">
        <v>30328</v>
      </c>
      <c r="B1431">
        <v>7</v>
      </c>
      <c r="C1431" s="1">
        <v>47</v>
      </c>
      <c r="D1431">
        <v>0</v>
      </c>
      <c r="E1431">
        <v>0</v>
      </c>
      <c r="F1431">
        <v>1</v>
      </c>
      <c r="G1431" s="7">
        <v>0.05</v>
      </c>
      <c r="H1431">
        <v>12</v>
      </c>
      <c r="I1431">
        <v>0</v>
      </c>
      <c r="J1431">
        <v>0</v>
      </c>
      <c r="K1431">
        <v>0</v>
      </c>
      <c r="L1431">
        <v>1</v>
      </c>
      <c r="M1431">
        <v>2</v>
      </c>
      <c r="N1431" s="7">
        <v>9</v>
      </c>
      <c r="O1431" s="7">
        <v>0</v>
      </c>
      <c r="P1431" s="7">
        <v>0</v>
      </c>
      <c r="Q1431" s="7">
        <v>0</v>
      </c>
      <c r="R1431" s="7">
        <v>1</v>
      </c>
      <c r="S1431" s="7">
        <v>4.5</v>
      </c>
      <c r="T1431">
        <v>7</v>
      </c>
      <c r="U1431" s="1">
        <v>35</v>
      </c>
      <c r="V1431">
        <v>0</v>
      </c>
      <c r="W1431">
        <v>0</v>
      </c>
      <c r="X1431">
        <v>1</v>
      </c>
      <c r="Y1431">
        <v>0.16</v>
      </c>
      <c r="Z1431">
        <v>23</v>
      </c>
      <c r="AA1431">
        <v>0</v>
      </c>
      <c r="AB1431">
        <v>0</v>
      </c>
      <c r="AC1431">
        <v>0</v>
      </c>
      <c r="AD1431">
        <v>1</v>
      </c>
      <c r="AE1431">
        <v>0.05</v>
      </c>
      <c r="AF1431">
        <v>15</v>
      </c>
      <c r="AG1431">
        <v>0</v>
      </c>
      <c r="AH1431">
        <v>0</v>
      </c>
      <c r="AI1431">
        <v>0</v>
      </c>
      <c r="AJ1431">
        <v>1</v>
      </c>
      <c r="AK1431">
        <v>0.02</v>
      </c>
      <c r="AL1431">
        <v>16</v>
      </c>
      <c r="AM1431">
        <v>0</v>
      </c>
      <c r="AN1431">
        <v>0</v>
      </c>
      <c r="AO1431">
        <v>0</v>
      </c>
      <c r="AP1431">
        <v>1</v>
      </c>
      <c r="AQ1431">
        <v>0.01</v>
      </c>
      <c r="AX1431">
        <v>7</v>
      </c>
      <c r="AY1431" s="1">
        <v>19</v>
      </c>
      <c r="AZ1431">
        <v>0</v>
      </c>
      <c r="BA1431">
        <v>0</v>
      </c>
      <c r="BB1431">
        <v>1</v>
      </c>
      <c r="BC1431" s="7">
        <v>0.32</v>
      </c>
      <c r="BD1431">
        <v>30</v>
      </c>
      <c r="BE1431">
        <v>0</v>
      </c>
      <c r="BF1431">
        <v>0</v>
      </c>
      <c r="BG1431">
        <v>0</v>
      </c>
      <c r="BH1431">
        <v>5</v>
      </c>
      <c r="BI1431">
        <v>2.4</v>
      </c>
      <c r="BJ1431">
        <v>31</v>
      </c>
      <c r="BK1431">
        <v>0</v>
      </c>
      <c r="BL1431">
        <v>0</v>
      </c>
      <c r="BM1431">
        <v>0</v>
      </c>
      <c r="BN1431">
        <v>5</v>
      </c>
      <c r="BO1431">
        <v>2.4</v>
      </c>
      <c r="BP1431">
        <v>36</v>
      </c>
      <c r="BQ1431">
        <v>0</v>
      </c>
      <c r="BR1431">
        <v>0</v>
      </c>
      <c r="BS1431">
        <v>0</v>
      </c>
      <c r="BT1431">
        <v>5</v>
      </c>
      <c r="BU1431">
        <v>1.7</v>
      </c>
    </row>
    <row r="1432" spans="1:73" ht="14.25" x14ac:dyDescent="0.15">
      <c r="A1432" s="12">
        <v>30329</v>
      </c>
      <c r="B1432">
        <v>7</v>
      </c>
      <c r="C1432" s="1">
        <v>48</v>
      </c>
      <c r="D1432">
        <v>0</v>
      </c>
      <c r="E1432">
        <v>0</v>
      </c>
      <c r="F1432">
        <v>1</v>
      </c>
      <c r="G1432" s="7">
        <v>0.05</v>
      </c>
      <c r="H1432">
        <v>12</v>
      </c>
      <c r="I1432">
        <v>0</v>
      </c>
      <c r="J1432">
        <v>0</v>
      </c>
      <c r="K1432">
        <v>0</v>
      </c>
      <c r="L1432">
        <v>1</v>
      </c>
      <c r="M1432">
        <v>2</v>
      </c>
      <c r="N1432" s="7">
        <v>9</v>
      </c>
      <c r="O1432" s="7">
        <v>0</v>
      </c>
      <c r="P1432" s="7">
        <v>0</v>
      </c>
      <c r="Q1432" s="7">
        <v>0</v>
      </c>
      <c r="R1432" s="7">
        <v>1</v>
      </c>
      <c r="S1432" s="7">
        <v>4.5</v>
      </c>
      <c r="T1432">
        <v>7</v>
      </c>
      <c r="U1432" s="1">
        <v>36</v>
      </c>
      <c r="V1432">
        <v>0</v>
      </c>
      <c r="W1432">
        <v>0</v>
      </c>
      <c r="X1432">
        <v>1</v>
      </c>
      <c r="Y1432">
        <v>0.16</v>
      </c>
      <c r="Z1432">
        <v>23</v>
      </c>
      <c r="AA1432">
        <v>0</v>
      </c>
      <c r="AB1432">
        <v>0</v>
      </c>
      <c r="AC1432">
        <v>0</v>
      </c>
      <c r="AD1432">
        <v>1</v>
      </c>
      <c r="AE1432">
        <v>0.05</v>
      </c>
      <c r="AF1432">
        <v>15</v>
      </c>
      <c r="AG1432">
        <v>0</v>
      </c>
      <c r="AH1432">
        <v>0</v>
      </c>
      <c r="AI1432">
        <v>0</v>
      </c>
      <c r="AJ1432">
        <v>1</v>
      </c>
      <c r="AK1432">
        <v>0.02</v>
      </c>
      <c r="AL1432">
        <v>16</v>
      </c>
      <c r="AM1432">
        <v>0</v>
      </c>
      <c r="AN1432">
        <v>0</v>
      </c>
      <c r="AO1432">
        <v>0</v>
      </c>
      <c r="AP1432">
        <v>1</v>
      </c>
      <c r="AQ1432">
        <v>0.01</v>
      </c>
      <c r="AX1432">
        <v>7</v>
      </c>
      <c r="AY1432" s="1">
        <v>20</v>
      </c>
      <c r="AZ1432">
        <v>0</v>
      </c>
      <c r="BA1432">
        <v>0</v>
      </c>
      <c r="BB1432">
        <v>1</v>
      </c>
      <c r="BC1432" s="7">
        <v>0.32</v>
      </c>
      <c r="BD1432">
        <v>30</v>
      </c>
      <c r="BE1432">
        <v>0</v>
      </c>
      <c r="BF1432">
        <v>0</v>
      </c>
      <c r="BG1432">
        <v>0</v>
      </c>
      <c r="BH1432">
        <v>5</v>
      </c>
      <c r="BI1432">
        <v>2.4</v>
      </c>
      <c r="BJ1432">
        <v>31</v>
      </c>
      <c r="BK1432">
        <v>0</v>
      </c>
      <c r="BL1432">
        <v>0</v>
      </c>
      <c r="BM1432">
        <v>0</v>
      </c>
      <c r="BN1432">
        <v>5</v>
      </c>
      <c r="BO1432">
        <v>2.4</v>
      </c>
      <c r="BP1432">
        <v>36</v>
      </c>
      <c r="BQ1432">
        <v>0</v>
      </c>
      <c r="BR1432">
        <v>0</v>
      </c>
      <c r="BS1432">
        <v>0</v>
      </c>
      <c r="BT1432">
        <v>5</v>
      </c>
      <c r="BU1432">
        <v>1.7</v>
      </c>
    </row>
    <row r="1433" spans="1:73" ht="14.25" x14ac:dyDescent="0.15">
      <c r="A1433" s="12">
        <v>30330</v>
      </c>
      <c r="B1433">
        <v>7</v>
      </c>
      <c r="C1433" s="1">
        <v>0</v>
      </c>
      <c r="D1433">
        <v>5</v>
      </c>
      <c r="E1433">
        <v>1</v>
      </c>
      <c r="F1433">
        <v>1</v>
      </c>
      <c r="G1433" s="7">
        <v>0.05</v>
      </c>
      <c r="H1433">
        <v>12</v>
      </c>
      <c r="I1433">
        <v>0</v>
      </c>
      <c r="J1433">
        <v>0</v>
      </c>
      <c r="K1433">
        <v>0</v>
      </c>
      <c r="L1433">
        <v>1</v>
      </c>
      <c r="M1433">
        <v>2</v>
      </c>
      <c r="N1433" s="7">
        <v>9</v>
      </c>
      <c r="O1433" s="7">
        <v>0</v>
      </c>
      <c r="P1433" s="7">
        <v>0</v>
      </c>
      <c r="Q1433" s="7">
        <v>0</v>
      </c>
      <c r="R1433" s="7">
        <v>1</v>
      </c>
      <c r="S1433" s="7">
        <v>4.5</v>
      </c>
      <c r="T1433">
        <v>7</v>
      </c>
      <c r="U1433" s="1">
        <v>0</v>
      </c>
      <c r="V1433">
        <v>4</v>
      </c>
      <c r="W1433">
        <v>2</v>
      </c>
      <c r="X1433">
        <v>1</v>
      </c>
      <c r="Y1433">
        <v>0.16</v>
      </c>
      <c r="Z1433">
        <v>23</v>
      </c>
      <c r="AA1433">
        <v>0</v>
      </c>
      <c r="AB1433">
        <v>0</v>
      </c>
      <c r="AC1433">
        <v>0</v>
      </c>
      <c r="AD1433">
        <v>1</v>
      </c>
      <c r="AE1433">
        <v>0.05</v>
      </c>
      <c r="AF1433">
        <v>15</v>
      </c>
      <c r="AG1433">
        <v>0</v>
      </c>
      <c r="AH1433">
        <v>0</v>
      </c>
      <c r="AI1433">
        <v>0</v>
      </c>
      <c r="AJ1433">
        <v>1</v>
      </c>
      <c r="AK1433">
        <v>0.02</v>
      </c>
      <c r="AL1433">
        <v>16</v>
      </c>
      <c r="AM1433">
        <v>0</v>
      </c>
      <c r="AN1433">
        <v>0</v>
      </c>
      <c r="AO1433">
        <v>0</v>
      </c>
      <c r="AP1433">
        <v>1</v>
      </c>
      <c r="AQ1433">
        <v>0.01</v>
      </c>
      <c r="AR1433">
        <v>6</v>
      </c>
      <c r="AS1433">
        <v>2</v>
      </c>
      <c r="AT1433">
        <v>1</v>
      </c>
      <c r="AU1433">
        <v>5</v>
      </c>
      <c r="AV1433">
        <v>1</v>
      </c>
      <c r="AW1433">
        <v>0.05</v>
      </c>
      <c r="AX1433">
        <v>7</v>
      </c>
      <c r="AY1433" s="1">
        <v>0</v>
      </c>
      <c r="AZ1433">
        <v>3</v>
      </c>
      <c r="BA1433">
        <v>1</v>
      </c>
      <c r="BB1433">
        <v>1</v>
      </c>
      <c r="BC1433" s="7">
        <v>0.32</v>
      </c>
      <c r="BD1433">
        <v>30</v>
      </c>
      <c r="BE1433">
        <v>0</v>
      </c>
      <c r="BF1433">
        <v>0</v>
      </c>
      <c r="BG1433">
        <v>0</v>
      </c>
      <c r="BH1433">
        <v>5</v>
      </c>
      <c r="BI1433">
        <v>2.4</v>
      </c>
      <c r="BJ1433">
        <v>31</v>
      </c>
      <c r="BK1433">
        <v>0</v>
      </c>
      <c r="BL1433">
        <v>0</v>
      </c>
      <c r="BM1433">
        <v>0</v>
      </c>
      <c r="BN1433">
        <v>5</v>
      </c>
      <c r="BO1433">
        <v>2.4</v>
      </c>
      <c r="BP1433">
        <v>36</v>
      </c>
      <c r="BQ1433">
        <v>0</v>
      </c>
      <c r="BR1433">
        <v>0</v>
      </c>
      <c r="BS1433">
        <v>0</v>
      </c>
      <c r="BT1433">
        <v>5</v>
      </c>
      <c r="BU1433">
        <v>1.7</v>
      </c>
    </row>
    <row r="1434" spans="1:73" ht="14.25" x14ac:dyDescent="0.15">
      <c r="A1434" s="12">
        <v>30331</v>
      </c>
      <c r="B1434">
        <v>7</v>
      </c>
      <c r="C1434" s="1">
        <v>45</v>
      </c>
      <c r="D1434">
        <v>0</v>
      </c>
      <c r="E1434">
        <v>0</v>
      </c>
      <c r="F1434">
        <v>1</v>
      </c>
      <c r="G1434" s="7">
        <v>0.05</v>
      </c>
      <c r="H1434">
        <v>12</v>
      </c>
      <c r="I1434">
        <v>0</v>
      </c>
      <c r="J1434">
        <v>0</v>
      </c>
      <c r="K1434">
        <v>0</v>
      </c>
      <c r="L1434">
        <v>1</v>
      </c>
      <c r="M1434">
        <v>2</v>
      </c>
      <c r="N1434" s="7">
        <v>9</v>
      </c>
      <c r="O1434" s="7">
        <v>0</v>
      </c>
      <c r="P1434" s="7">
        <v>0</v>
      </c>
      <c r="Q1434" s="7">
        <v>0</v>
      </c>
      <c r="R1434" s="7">
        <v>1</v>
      </c>
      <c r="S1434" s="7">
        <v>4.5</v>
      </c>
      <c r="T1434">
        <v>7</v>
      </c>
      <c r="U1434" s="1">
        <v>33</v>
      </c>
      <c r="V1434">
        <v>0</v>
      </c>
      <c r="W1434">
        <v>0</v>
      </c>
      <c r="X1434">
        <v>1</v>
      </c>
      <c r="Y1434">
        <v>0.16</v>
      </c>
      <c r="Z1434">
        <v>23</v>
      </c>
      <c r="AA1434">
        <v>0</v>
      </c>
      <c r="AB1434">
        <v>0</v>
      </c>
      <c r="AC1434">
        <v>0</v>
      </c>
      <c r="AD1434">
        <v>1</v>
      </c>
      <c r="AE1434">
        <v>0.05</v>
      </c>
      <c r="AF1434">
        <v>15</v>
      </c>
      <c r="AG1434">
        <v>0</v>
      </c>
      <c r="AH1434">
        <v>0</v>
      </c>
      <c r="AI1434">
        <v>0</v>
      </c>
      <c r="AJ1434">
        <v>1</v>
      </c>
      <c r="AK1434">
        <v>0.02</v>
      </c>
      <c r="AL1434">
        <v>16</v>
      </c>
      <c r="AM1434">
        <v>0</v>
      </c>
      <c r="AN1434">
        <v>0</v>
      </c>
      <c r="AO1434">
        <v>0</v>
      </c>
      <c r="AP1434">
        <v>1</v>
      </c>
      <c r="AQ1434">
        <v>0.01</v>
      </c>
      <c r="AX1434">
        <v>7</v>
      </c>
      <c r="AY1434" s="1">
        <v>17</v>
      </c>
      <c r="AZ1434">
        <v>0</v>
      </c>
      <c r="BA1434">
        <v>0</v>
      </c>
      <c r="BB1434">
        <v>1</v>
      </c>
      <c r="BC1434" s="7">
        <v>0.32</v>
      </c>
      <c r="BD1434">
        <v>30</v>
      </c>
      <c r="BE1434">
        <v>0</v>
      </c>
      <c r="BF1434">
        <v>0</v>
      </c>
      <c r="BG1434">
        <v>0</v>
      </c>
      <c r="BH1434">
        <v>5</v>
      </c>
      <c r="BI1434">
        <v>2.4</v>
      </c>
      <c r="BJ1434">
        <v>31</v>
      </c>
      <c r="BK1434">
        <v>0</v>
      </c>
      <c r="BL1434">
        <v>0</v>
      </c>
      <c r="BM1434">
        <v>0</v>
      </c>
      <c r="BN1434">
        <v>5</v>
      </c>
      <c r="BO1434">
        <v>2.4</v>
      </c>
      <c r="BP1434">
        <v>36</v>
      </c>
      <c r="BQ1434">
        <v>0</v>
      </c>
      <c r="BR1434">
        <v>0</v>
      </c>
      <c r="BS1434">
        <v>0</v>
      </c>
      <c r="BT1434">
        <v>5</v>
      </c>
      <c r="BU1434">
        <v>1.7</v>
      </c>
    </row>
    <row r="1435" spans="1:73" ht="14.25" x14ac:dyDescent="0.15">
      <c r="A1435" s="12">
        <v>30332</v>
      </c>
      <c r="B1435">
        <v>7</v>
      </c>
      <c r="C1435" s="1">
        <v>46</v>
      </c>
      <c r="D1435">
        <v>0</v>
      </c>
      <c r="E1435">
        <v>0</v>
      </c>
      <c r="F1435">
        <v>1</v>
      </c>
      <c r="G1435" s="7">
        <v>0.05</v>
      </c>
      <c r="H1435">
        <v>12</v>
      </c>
      <c r="I1435">
        <v>0</v>
      </c>
      <c r="J1435">
        <v>0</v>
      </c>
      <c r="K1435">
        <v>0</v>
      </c>
      <c r="L1435">
        <v>1</v>
      </c>
      <c r="M1435">
        <v>2</v>
      </c>
      <c r="N1435" s="7">
        <v>9</v>
      </c>
      <c r="O1435" s="7">
        <v>0</v>
      </c>
      <c r="P1435" s="7">
        <v>0</v>
      </c>
      <c r="Q1435" s="7">
        <v>0</v>
      </c>
      <c r="R1435" s="7">
        <v>1</v>
      </c>
      <c r="S1435" s="7">
        <v>4.5</v>
      </c>
      <c r="T1435">
        <v>7</v>
      </c>
      <c r="U1435" s="1">
        <v>34</v>
      </c>
      <c r="V1435">
        <v>0</v>
      </c>
      <c r="W1435">
        <v>0</v>
      </c>
      <c r="X1435">
        <v>1</v>
      </c>
      <c r="Y1435">
        <v>0.16</v>
      </c>
      <c r="Z1435">
        <v>23</v>
      </c>
      <c r="AA1435">
        <v>0</v>
      </c>
      <c r="AB1435">
        <v>0</v>
      </c>
      <c r="AC1435">
        <v>0</v>
      </c>
      <c r="AD1435">
        <v>1</v>
      </c>
      <c r="AE1435">
        <v>0.05</v>
      </c>
      <c r="AF1435">
        <v>15</v>
      </c>
      <c r="AG1435">
        <v>0</v>
      </c>
      <c r="AH1435">
        <v>0</v>
      </c>
      <c r="AI1435">
        <v>0</v>
      </c>
      <c r="AJ1435">
        <v>1</v>
      </c>
      <c r="AK1435">
        <v>0.02</v>
      </c>
      <c r="AL1435">
        <v>16</v>
      </c>
      <c r="AM1435">
        <v>0</v>
      </c>
      <c r="AN1435">
        <v>0</v>
      </c>
      <c r="AO1435">
        <v>0</v>
      </c>
      <c r="AP1435">
        <v>1</v>
      </c>
      <c r="AQ1435">
        <v>0.01</v>
      </c>
      <c r="AX1435">
        <v>7</v>
      </c>
      <c r="AY1435" s="1">
        <v>18</v>
      </c>
      <c r="AZ1435">
        <v>0</v>
      </c>
      <c r="BA1435">
        <v>0</v>
      </c>
      <c r="BB1435">
        <v>1</v>
      </c>
      <c r="BC1435" s="7">
        <v>0.32</v>
      </c>
      <c r="BD1435">
        <v>30</v>
      </c>
      <c r="BE1435">
        <v>0</v>
      </c>
      <c r="BF1435">
        <v>0</v>
      </c>
      <c r="BG1435">
        <v>0</v>
      </c>
      <c r="BH1435">
        <v>5</v>
      </c>
      <c r="BI1435">
        <v>2.4</v>
      </c>
      <c r="BJ1435">
        <v>31</v>
      </c>
      <c r="BK1435">
        <v>0</v>
      </c>
      <c r="BL1435">
        <v>0</v>
      </c>
      <c r="BM1435">
        <v>0</v>
      </c>
      <c r="BN1435">
        <v>5</v>
      </c>
      <c r="BO1435">
        <v>2.4</v>
      </c>
      <c r="BP1435">
        <v>36</v>
      </c>
      <c r="BQ1435">
        <v>0</v>
      </c>
      <c r="BR1435">
        <v>0</v>
      </c>
      <c r="BS1435">
        <v>0</v>
      </c>
      <c r="BT1435">
        <v>5</v>
      </c>
      <c r="BU1435">
        <v>1.7</v>
      </c>
    </row>
    <row r="1436" spans="1:73" ht="14.25" x14ac:dyDescent="0.15">
      <c r="A1436" s="12">
        <v>30333</v>
      </c>
      <c r="B1436">
        <v>7</v>
      </c>
      <c r="C1436" s="1">
        <v>47</v>
      </c>
      <c r="D1436">
        <v>0</v>
      </c>
      <c r="E1436">
        <v>0</v>
      </c>
      <c r="F1436">
        <v>1</v>
      </c>
      <c r="G1436" s="7">
        <v>0.05</v>
      </c>
      <c r="H1436">
        <v>12</v>
      </c>
      <c r="I1436">
        <v>0</v>
      </c>
      <c r="J1436">
        <v>0</v>
      </c>
      <c r="K1436">
        <v>0</v>
      </c>
      <c r="L1436">
        <v>1</v>
      </c>
      <c r="M1436">
        <v>2</v>
      </c>
      <c r="N1436" s="7">
        <v>9</v>
      </c>
      <c r="O1436" s="7">
        <v>0</v>
      </c>
      <c r="P1436" s="7">
        <v>0</v>
      </c>
      <c r="Q1436" s="7">
        <v>0</v>
      </c>
      <c r="R1436" s="7">
        <v>1</v>
      </c>
      <c r="S1436" s="7">
        <v>4.5</v>
      </c>
      <c r="T1436">
        <v>7</v>
      </c>
      <c r="U1436" s="1">
        <v>35</v>
      </c>
      <c r="V1436">
        <v>0</v>
      </c>
      <c r="W1436">
        <v>0</v>
      </c>
      <c r="X1436">
        <v>1</v>
      </c>
      <c r="Y1436">
        <v>0.16</v>
      </c>
      <c r="Z1436">
        <v>23</v>
      </c>
      <c r="AA1436">
        <v>0</v>
      </c>
      <c r="AB1436">
        <v>0</v>
      </c>
      <c r="AC1436">
        <v>0</v>
      </c>
      <c r="AD1436">
        <v>1</v>
      </c>
      <c r="AE1436">
        <v>0.05</v>
      </c>
      <c r="AF1436">
        <v>15</v>
      </c>
      <c r="AG1436">
        <v>0</v>
      </c>
      <c r="AH1436">
        <v>0</v>
      </c>
      <c r="AI1436">
        <v>0</v>
      </c>
      <c r="AJ1436">
        <v>1</v>
      </c>
      <c r="AK1436">
        <v>0.02</v>
      </c>
      <c r="AL1436">
        <v>16</v>
      </c>
      <c r="AM1436">
        <v>0</v>
      </c>
      <c r="AN1436">
        <v>0</v>
      </c>
      <c r="AO1436">
        <v>0</v>
      </c>
      <c r="AP1436">
        <v>1</v>
      </c>
      <c r="AQ1436">
        <v>0.01</v>
      </c>
      <c r="AX1436">
        <v>7</v>
      </c>
      <c r="AY1436" s="1">
        <v>19</v>
      </c>
      <c r="AZ1436">
        <v>0</v>
      </c>
      <c r="BA1436">
        <v>0</v>
      </c>
      <c r="BB1436">
        <v>1</v>
      </c>
      <c r="BC1436" s="7">
        <v>0.32</v>
      </c>
      <c r="BD1436">
        <v>30</v>
      </c>
      <c r="BE1436">
        <v>0</v>
      </c>
      <c r="BF1436">
        <v>0</v>
      </c>
      <c r="BG1436">
        <v>0</v>
      </c>
      <c r="BH1436">
        <v>5</v>
      </c>
      <c r="BI1436">
        <v>2.4</v>
      </c>
      <c r="BJ1436">
        <v>31</v>
      </c>
      <c r="BK1436">
        <v>0</v>
      </c>
      <c r="BL1436">
        <v>0</v>
      </c>
      <c r="BM1436">
        <v>0</v>
      </c>
      <c r="BN1436">
        <v>5</v>
      </c>
      <c r="BO1436">
        <v>2.4</v>
      </c>
      <c r="BP1436">
        <v>36</v>
      </c>
      <c r="BQ1436">
        <v>0</v>
      </c>
      <c r="BR1436">
        <v>0</v>
      </c>
      <c r="BS1436">
        <v>0</v>
      </c>
      <c r="BT1436">
        <v>5</v>
      </c>
      <c r="BU1436">
        <v>1.7</v>
      </c>
    </row>
    <row r="1437" spans="1:73" ht="14.25" x14ac:dyDescent="0.15">
      <c r="A1437" s="12">
        <v>30334</v>
      </c>
      <c r="B1437">
        <v>7</v>
      </c>
      <c r="C1437" s="1">
        <v>48</v>
      </c>
      <c r="D1437">
        <v>0</v>
      </c>
      <c r="E1437">
        <v>0</v>
      </c>
      <c r="F1437">
        <v>1</v>
      </c>
      <c r="G1437" s="7">
        <v>0.05</v>
      </c>
      <c r="H1437">
        <v>12</v>
      </c>
      <c r="I1437">
        <v>0</v>
      </c>
      <c r="J1437">
        <v>0</v>
      </c>
      <c r="K1437">
        <v>0</v>
      </c>
      <c r="L1437">
        <v>1</v>
      </c>
      <c r="M1437">
        <v>2</v>
      </c>
      <c r="N1437" s="7">
        <v>9</v>
      </c>
      <c r="O1437" s="7">
        <v>0</v>
      </c>
      <c r="P1437" s="7">
        <v>0</v>
      </c>
      <c r="Q1437" s="7">
        <v>0</v>
      </c>
      <c r="R1437" s="7">
        <v>1</v>
      </c>
      <c r="S1437" s="7">
        <v>4.5</v>
      </c>
      <c r="T1437">
        <v>7</v>
      </c>
      <c r="U1437" s="1">
        <v>36</v>
      </c>
      <c r="V1437">
        <v>0</v>
      </c>
      <c r="W1437">
        <v>0</v>
      </c>
      <c r="X1437">
        <v>1</v>
      </c>
      <c r="Y1437">
        <v>0.16</v>
      </c>
      <c r="Z1437">
        <v>23</v>
      </c>
      <c r="AA1437">
        <v>0</v>
      </c>
      <c r="AB1437">
        <v>0</v>
      </c>
      <c r="AC1437">
        <v>0</v>
      </c>
      <c r="AD1437">
        <v>1</v>
      </c>
      <c r="AE1437">
        <v>0.05</v>
      </c>
      <c r="AF1437">
        <v>15</v>
      </c>
      <c r="AG1437">
        <v>0</v>
      </c>
      <c r="AH1437">
        <v>0</v>
      </c>
      <c r="AI1437">
        <v>0</v>
      </c>
      <c r="AJ1437">
        <v>1</v>
      </c>
      <c r="AK1437">
        <v>0.02</v>
      </c>
      <c r="AL1437">
        <v>16</v>
      </c>
      <c r="AM1437">
        <v>0</v>
      </c>
      <c r="AN1437">
        <v>0</v>
      </c>
      <c r="AO1437">
        <v>0</v>
      </c>
      <c r="AP1437">
        <v>1</v>
      </c>
      <c r="AQ1437">
        <v>0.01</v>
      </c>
      <c r="AX1437">
        <v>7</v>
      </c>
      <c r="AY1437" s="1">
        <v>20</v>
      </c>
      <c r="AZ1437">
        <v>0</v>
      </c>
      <c r="BA1437">
        <v>0</v>
      </c>
      <c r="BB1437">
        <v>1</v>
      </c>
      <c r="BC1437" s="7">
        <v>0.32</v>
      </c>
      <c r="BD1437">
        <v>30</v>
      </c>
      <c r="BE1437">
        <v>0</v>
      </c>
      <c r="BF1437">
        <v>0</v>
      </c>
      <c r="BG1437">
        <v>0</v>
      </c>
      <c r="BH1437">
        <v>5</v>
      </c>
      <c r="BI1437">
        <v>2.4</v>
      </c>
      <c r="BJ1437">
        <v>31</v>
      </c>
      <c r="BK1437">
        <v>0</v>
      </c>
      <c r="BL1437">
        <v>0</v>
      </c>
      <c r="BM1437">
        <v>0</v>
      </c>
      <c r="BN1437">
        <v>5</v>
      </c>
      <c r="BO1437">
        <v>2.4</v>
      </c>
      <c r="BP1437">
        <v>36</v>
      </c>
      <c r="BQ1437">
        <v>0</v>
      </c>
      <c r="BR1437">
        <v>0</v>
      </c>
      <c r="BS1437">
        <v>0</v>
      </c>
      <c r="BT1437">
        <v>5</v>
      </c>
      <c r="BU1437">
        <v>1.7</v>
      </c>
    </row>
    <row r="1438" spans="1:73" ht="14.25" x14ac:dyDescent="0.15">
      <c r="A1438" s="12">
        <v>30335</v>
      </c>
      <c r="B1438">
        <v>7</v>
      </c>
      <c r="C1438" s="1">
        <v>0</v>
      </c>
      <c r="D1438">
        <v>5</v>
      </c>
      <c r="E1438">
        <v>1</v>
      </c>
      <c r="F1438">
        <v>1</v>
      </c>
      <c r="G1438" s="7">
        <v>0.05</v>
      </c>
      <c r="H1438">
        <v>12</v>
      </c>
      <c r="I1438">
        <v>0</v>
      </c>
      <c r="J1438">
        <v>0</v>
      </c>
      <c r="K1438">
        <v>0</v>
      </c>
      <c r="L1438">
        <v>1</v>
      </c>
      <c r="M1438">
        <v>2</v>
      </c>
      <c r="N1438" s="7">
        <v>9</v>
      </c>
      <c r="O1438" s="7">
        <v>0</v>
      </c>
      <c r="P1438" s="7">
        <v>0</v>
      </c>
      <c r="Q1438" s="7">
        <v>0</v>
      </c>
      <c r="R1438" s="7">
        <v>1</v>
      </c>
      <c r="S1438" s="7">
        <v>4.5</v>
      </c>
      <c r="T1438">
        <v>7</v>
      </c>
      <c r="U1438" s="1">
        <v>0</v>
      </c>
      <c r="V1438">
        <v>4</v>
      </c>
      <c r="W1438">
        <v>2</v>
      </c>
      <c r="X1438">
        <v>1</v>
      </c>
      <c r="Y1438">
        <v>0.16</v>
      </c>
      <c r="Z1438">
        <v>23</v>
      </c>
      <c r="AA1438">
        <v>0</v>
      </c>
      <c r="AB1438">
        <v>0</v>
      </c>
      <c r="AC1438">
        <v>0</v>
      </c>
      <c r="AD1438">
        <v>1</v>
      </c>
      <c r="AE1438">
        <v>0.05</v>
      </c>
      <c r="AF1438">
        <v>15</v>
      </c>
      <c r="AG1438">
        <v>0</v>
      </c>
      <c r="AH1438">
        <v>0</v>
      </c>
      <c r="AI1438">
        <v>0</v>
      </c>
      <c r="AJ1438">
        <v>1</v>
      </c>
      <c r="AK1438">
        <v>0.02</v>
      </c>
      <c r="AL1438">
        <v>16</v>
      </c>
      <c r="AM1438">
        <v>0</v>
      </c>
      <c r="AN1438">
        <v>0</v>
      </c>
      <c r="AO1438">
        <v>0</v>
      </c>
      <c r="AP1438">
        <v>1</v>
      </c>
      <c r="AQ1438">
        <v>0.01</v>
      </c>
      <c r="AR1438">
        <v>6</v>
      </c>
      <c r="AS1438">
        <v>2</v>
      </c>
      <c r="AT1438">
        <v>2</v>
      </c>
      <c r="AU1438">
        <v>5</v>
      </c>
      <c r="AV1438">
        <v>1</v>
      </c>
      <c r="AW1438">
        <v>0.05</v>
      </c>
      <c r="AX1438">
        <v>7</v>
      </c>
      <c r="AY1438" s="1">
        <v>0</v>
      </c>
      <c r="AZ1438">
        <v>3</v>
      </c>
      <c r="BA1438">
        <v>1</v>
      </c>
      <c r="BB1438">
        <v>1</v>
      </c>
      <c r="BC1438" s="7">
        <v>0.32</v>
      </c>
      <c r="BD1438">
        <v>30</v>
      </c>
      <c r="BE1438">
        <v>0</v>
      </c>
      <c r="BF1438">
        <v>0</v>
      </c>
      <c r="BG1438">
        <v>0</v>
      </c>
      <c r="BH1438">
        <v>5</v>
      </c>
      <c r="BI1438">
        <v>2.4</v>
      </c>
      <c r="BJ1438">
        <v>31</v>
      </c>
      <c r="BK1438">
        <v>0</v>
      </c>
      <c r="BL1438">
        <v>0</v>
      </c>
      <c r="BM1438">
        <v>0</v>
      </c>
      <c r="BN1438">
        <v>5</v>
      </c>
      <c r="BO1438">
        <v>2.4</v>
      </c>
      <c r="BP1438">
        <v>36</v>
      </c>
      <c r="BQ1438">
        <v>0</v>
      </c>
      <c r="BR1438">
        <v>0</v>
      </c>
      <c r="BS1438">
        <v>0</v>
      </c>
      <c r="BT1438">
        <v>5</v>
      </c>
      <c r="BU1438">
        <v>1.7</v>
      </c>
    </row>
    <row r="1439" spans="1:73" ht="14.25" x14ac:dyDescent="0.15">
      <c r="A1439" s="12">
        <v>30336</v>
      </c>
      <c r="B1439">
        <v>7</v>
      </c>
      <c r="C1439" s="1">
        <v>45</v>
      </c>
      <c r="D1439">
        <v>0</v>
      </c>
      <c r="E1439">
        <v>0</v>
      </c>
      <c r="F1439">
        <v>1</v>
      </c>
      <c r="G1439" s="7">
        <v>0.05</v>
      </c>
      <c r="H1439">
        <v>12</v>
      </c>
      <c r="I1439">
        <v>0</v>
      </c>
      <c r="J1439">
        <v>0</v>
      </c>
      <c r="K1439">
        <v>0</v>
      </c>
      <c r="L1439">
        <v>1</v>
      </c>
      <c r="M1439">
        <v>2</v>
      </c>
      <c r="N1439" s="7">
        <v>9</v>
      </c>
      <c r="O1439" s="7">
        <v>0</v>
      </c>
      <c r="P1439" s="7">
        <v>0</v>
      </c>
      <c r="Q1439" s="7">
        <v>0</v>
      </c>
      <c r="R1439" s="7">
        <v>1</v>
      </c>
      <c r="S1439" s="7">
        <v>4.5</v>
      </c>
      <c r="T1439">
        <v>7</v>
      </c>
      <c r="U1439" s="1">
        <v>33</v>
      </c>
      <c r="V1439">
        <v>0</v>
      </c>
      <c r="W1439">
        <v>0</v>
      </c>
      <c r="X1439">
        <v>1</v>
      </c>
      <c r="Y1439">
        <v>0.16</v>
      </c>
      <c r="Z1439">
        <v>23</v>
      </c>
      <c r="AA1439">
        <v>0</v>
      </c>
      <c r="AB1439">
        <v>0</v>
      </c>
      <c r="AC1439">
        <v>0</v>
      </c>
      <c r="AD1439">
        <v>1</v>
      </c>
      <c r="AE1439">
        <v>0.05</v>
      </c>
      <c r="AF1439">
        <v>15</v>
      </c>
      <c r="AG1439">
        <v>0</v>
      </c>
      <c r="AH1439">
        <v>0</v>
      </c>
      <c r="AI1439">
        <v>0</v>
      </c>
      <c r="AJ1439">
        <v>1</v>
      </c>
      <c r="AK1439">
        <v>0.02</v>
      </c>
      <c r="AL1439">
        <v>16</v>
      </c>
      <c r="AM1439">
        <v>0</v>
      </c>
      <c r="AN1439">
        <v>0</v>
      </c>
      <c r="AO1439">
        <v>0</v>
      </c>
      <c r="AP1439">
        <v>1</v>
      </c>
      <c r="AQ1439">
        <v>0.01</v>
      </c>
      <c r="AX1439">
        <v>7</v>
      </c>
      <c r="AY1439" s="1">
        <v>17</v>
      </c>
      <c r="AZ1439">
        <v>0</v>
      </c>
      <c r="BA1439">
        <v>0</v>
      </c>
      <c r="BB1439">
        <v>1</v>
      </c>
      <c r="BC1439" s="7">
        <v>0.32</v>
      </c>
      <c r="BD1439">
        <v>30</v>
      </c>
      <c r="BE1439">
        <v>0</v>
      </c>
      <c r="BF1439">
        <v>0</v>
      </c>
      <c r="BG1439">
        <v>0</v>
      </c>
      <c r="BH1439">
        <v>5</v>
      </c>
      <c r="BI1439">
        <v>2.4</v>
      </c>
      <c r="BJ1439">
        <v>31</v>
      </c>
      <c r="BK1439">
        <v>0</v>
      </c>
      <c r="BL1439">
        <v>0</v>
      </c>
      <c r="BM1439">
        <v>0</v>
      </c>
      <c r="BN1439">
        <v>5</v>
      </c>
      <c r="BO1439">
        <v>2.4</v>
      </c>
      <c r="BP1439">
        <v>36</v>
      </c>
      <c r="BQ1439">
        <v>0</v>
      </c>
      <c r="BR1439">
        <v>0</v>
      </c>
      <c r="BS1439">
        <v>0</v>
      </c>
      <c r="BT1439">
        <v>5</v>
      </c>
      <c r="BU1439">
        <v>1.7</v>
      </c>
    </row>
    <row r="1440" spans="1:73" ht="14.25" x14ac:dyDescent="0.15">
      <c r="A1440" s="12">
        <v>30337</v>
      </c>
      <c r="B1440">
        <v>7</v>
      </c>
      <c r="C1440" s="1">
        <v>46</v>
      </c>
      <c r="D1440">
        <v>0</v>
      </c>
      <c r="E1440">
        <v>0</v>
      </c>
      <c r="F1440">
        <v>1</v>
      </c>
      <c r="G1440" s="7">
        <v>0.05</v>
      </c>
      <c r="H1440">
        <v>12</v>
      </c>
      <c r="I1440">
        <v>0</v>
      </c>
      <c r="J1440">
        <v>0</v>
      </c>
      <c r="K1440">
        <v>0</v>
      </c>
      <c r="L1440">
        <v>1</v>
      </c>
      <c r="M1440">
        <v>2</v>
      </c>
      <c r="N1440" s="7">
        <v>9</v>
      </c>
      <c r="O1440" s="7">
        <v>0</v>
      </c>
      <c r="P1440" s="7">
        <v>0</v>
      </c>
      <c r="Q1440" s="7">
        <v>0</v>
      </c>
      <c r="R1440" s="7">
        <v>1</v>
      </c>
      <c r="S1440" s="7">
        <v>4.5</v>
      </c>
      <c r="T1440">
        <v>7</v>
      </c>
      <c r="U1440" s="1">
        <v>34</v>
      </c>
      <c r="V1440">
        <v>0</v>
      </c>
      <c r="W1440">
        <v>0</v>
      </c>
      <c r="X1440">
        <v>1</v>
      </c>
      <c r="Y1440">
        <v>0.16</v>
      </c>
      <c r="Z1440">
        <v>23</v>
      </c>
      <c r="AA1440">
        <v>0</v>
      </c>
      <c r="AB1440">
        <v>0</v>
      </c>
      <c r="AC1440">
        <v>0</v>
      </c>
      <c r="AD1440">
        <v>1</v>
      </c>
      <c r="AE1440">
        <v>0.05</v>
      </c>
      <c r="AF1440">
        <v>15</v>
      </c>
      <c r="AG1440">
        <v>0</v>
      </c>
      <c r="AH1440">
        <v>0</v>
      </c>
      <c r="AI1440">
        <v>0</v>
      </c>
      <c r="AJ1440">
        <v>1</v>
      </c>
      <c r="AK1440">
        <v>0.02</v>
      </c>
      <c r="AL1440">
        <v>16</v>
      </c>
      <c r="AM1440">
        <v>0</v>
      </c>
      <c r="AN1440">
        <v>0</v>
      </c>
      <c r="AO1440">
        <v>0</v>
      </c>
      <c r="AP1440">
        <v>1</v>
      </c>
      <c r="AQ1440">
        <v>0.01</v>
      </c>
      <c r="AX1440">
        <v>7</v>
      </c>
      <c r="AY1440" s="1">
        <v>18</v>
      </c>
      <c r="AZ1440">
        <v>0</v>
      </c>
      <c r="BA1440">
        <v>0</v>
      </c>
      <c r="BB1440">
        <v>1</v>
      </c>
      <c r="BC1440" s="7">
        <v>0.32</v>
      </c>
      <c r="BD1440">
        <v>30</v>
      </c>
      <c r="BE1440">
        <v>0</v>
      </c>
      <c r="BF1440">
        <v>0</v>
      </c>
      <c r="BG1440">
        <v>0</v>
      </c>
      <c r="BH1440">
        <v>5</v>
      </c>
      <c r="BI1440">
        <v>2.4</v>
      </c>
      <c r="BJ1440">
        <v>31</v>
      </c>
      <c r="BK1440">
        <v>0</v>
      </c>
      <c r="BL1440">
        <v>0</v>
      </c>
      <c r="BM1440">
        <v>0</v>
      </c>
      <c r="BN1440">
        <v>5</v>
      </c>
      <c r="BO1440">
        <v>2.4</v>
      </c>
      <c r="BP1440">
        <v>36</v>
      </c>
      <c r="BQ1440">
        <v>0</v>
      </c>
      <c r="BR1440">
        <v>0</v>
      </c>
      <c r="BS1440">
        <v>0</v>
      </c>
      <c r="BT1440">
        <v>5</v>
      </c>
      <c r="BU1440">
        <v>1.7</v>
      </c>
    </row>
    <row r="1441" spans="1:73" ht="14.25" x14ac:dyDescent="0.15">
      <c r="A1441" s="12">
        <v>30338</v>
      </c>
      <c r="B1441">
        <v>7</v>
      </c>
      <c r="C1441" s="1">
        <v>47</v>
      </c>
      <c r="D1441">
        <v>0</v>
      </c>
      <c r="E1441">
        <v>0</v>
      </c>
      <c r="F1441">
        <v>1</v>
      </c>
      <c r="G1441" s="7">
        <v>0.05</v>
      </c>
      <c r="H1441">
        <v>12</v>
      </c>
      <c r="I1441">
        <v>0</v>
      </c>
      <c r="J1441">
        <v>0</v>
      </c>
      <c r="K1441">
        <v>0</v>
      </c>
      <c r="L1441">
        <v>1</v>
      </c>
      <c r="M1441">
        <v>2</v>
      </c>
      <c r="N1441" s="7">
        <v>9</v>
      </c>
      <c r="O1441" s="7">
        <v>0</v>
      </c>
      <c r="P1441" s="7">
        <v>0</v>
      </c>
      <c r="Q1441" s="7">
        <v>0</v>
      </c>
      <c r="R1441" s="7">
        <v>1</v>
      </c>
      <c r="S1441" s="7">
        <v>4.5</v>
      </c>
      <c r="T1441">
        <v>7</v>
      </c>
      <c r="U1441" s="1">
        <v>35</v>
      </c>
      <c r="V1441">
        <v>0</v>
      </c>
      <c r="W1441">
        <v>0</v>
      </c>
      <c r="X1441">
        <v>1</v>
      </c>
      <c r="Y1441">
        <v>0.16</v>
      </c>
      <c r="Z1441">
        <v>23</v>
      </c>
      <c r="AA1441">
        <v>0</v>
      </c>
      <c r="AB1441">
        <v>0</v>
      </c>
      <c r="AC1441">
        <v>0</v>
      </c>
      <c r="AD1441">
        <v>1</v>
      </c>
      <c r="AE1441">
        <v>0.05</v>
      </c>
      <c r="AF1441">
        <v>15</v>
      </c>
      <c r="AG1441">
        <v>0</v>
      </c>
      <c r="AH1441">
        <v>0</v>
      </c>
      <c r="AI1441">
        <v>0</v>
      </c>
      <c r="AJ1441">
        <v>1</v>
      </c>
      <c r="AK1441">
        <v>0.02</v>
      </c>
      <c r="AL1441">
        <v>16</v>
      </c>
      <c r="AM1441">
        <v>0</v>
      </c>
      <c r="AN1441">
        <v>0</v>
      </c>
      <c r="AO1441">
        <v>0</v>
      </c>
      <c r="AP1441">
        <v>1</v>
      </c>
      <c r="AQ1441">
        <v>0.01</v>
      </c>
      <c r="AX1441">
        <v>7</v>
      </c>
      <c r="AY1441" s="1">
        <v>19</v>
      </c>
      <c r="AZ1441">
        <v>0</v>
      </c>
      <c r="BA1441">
        <v>0</v>
      </c>
      <c r="BB1441">
        <v>1</v>
      </c>
      <c r="BC1441" s="7">
        <v>0.32</v>
      </c>
      <c r="BD1441">
        <v>30</v>
      </c>
      <c r="BE1441">
        <v>0</v>
      </c>
      <c r="BF1441">
        <v>0</v>
      </c>
      <c r="BG1441">
        <v>0</v>
      </c>
      <c r="BH1441">
        <v>5</v>
      </c>
      <c r="BI1441">
        <v>2.4</v>
      </c>
      <c r="BJ1441">
        <v>31</v>
      </c>
      <c r="BK1441">
        <v>0</v>
      </c>
      <c r="BL1441">
        <v>0</v>
      </c>
      <c r="BM1441">
        <v>0</v>
      </c>
      <c r="BN1441">
        <v>5</v>
      </c>
      <c r="BO1441">
        <v>2.4</v>
      </c>
      <c r="BP1441">
        <v>36</v>
      </c>
      <c r="BQ1441">
        <v>0</v>
      </c>
      <c r="BR1441">
        <v>0</v>
      </c>
      <c r="BS1441">
        <v>0</v>
      </c>
      <c r="BT1441">
        <v>5</v>
      </c>
      <c r="BU1441">
        <v>1.7</v>
      </c>
    </row>
    <row r="1442" spans="1:73" ht="14.25" x14ac:dyDescent="0.15">
      <c r="A1442" s="12">
        <v>30339</v>
      </c>
      <c r="B1442">
        <v>7</v>
      </c>
      <c r="C1442" s="1">
        <v>48</v>
      </c>
      <c r="D1442">
        <v>0</v>
      </c>
      <c r="E1442">
        <v>0</v>
      </c>
      <c r="F1442">
        <v>1</v>
      </c>
      <c r="G1442" s="7">
        <v>0.05</v>
      </c>
      <c r="H1442">
        <v>12</v>
      </c>
      <c r="I1442">
        <v>0</v>
      </c>
      <c r="J1442">
        <v>0</v>
      </c>
      <c r="K1442">
        <v>0</v>
      </c>
      <c r="L1442">
        <v>1</v>
      </c>
      <c r="M1442">
        <v>2</v>
      </c>
      <c r="N1442" s="7">
        <v>9</v>
      </c>
      <c r="O1442" s="7">
        <v>0</v>
      </c>
      <c r="P1442" s="7">
        <v>0</v>
      </c>
      <c r="Q1442" s="7">
        <v>0</v>
      </c>
      <c r="R1442" s="7">
        <v>1</v>
      </c>
      <c r="S1442" s="7">
        <v>4.5</v>
      </c>
      <c r="T1442">
        <v>7</v>
      </c>
      <c r="U1442" s="1">
        <v>36</v>
      </c>
      <c r="V1442">
        <v>0</v>
      </c>
      <c r="W1442">
        <v>0</v>
      </c>
      <c r="X1442">
        <v>1</v>
      </c>
      <c r="Y1442">
        <v>0.16</v>
      </c>
      <c r="Z1442">
        <v>23</v>
      </c>
      <c r="AA1442">
        <v>0</v>
      </c>
      <c r="AB1442">
        <v>0</v>
      </c>
      <c r="AC1442">
        <v>0</v>
      </c>
      <c r="AD1442">
        <v>1</v>
      </c>
      <c r="AE1442">
        <v>0.05</v>
      </c>
      <c r="AF1442">
        <v>15</v>
      </c>
      <c r="AG1442">
        <v>0</v>
      </c>
      <c r="AH1442">
        <v>0</v>
      </c>
      <c r="AI1442">
        <v>0</v>
      </c>
      <c r="AJ1442">
        <v>1</v>
      </c>
      <c r="AK1442">
        <v>0.02</v>
      </c>
      <c r="AL1442">
        <v>16</v>
      </c>
      <c r="AM1442">
        <v>0</v>
      </c>
      <c r="AN1442">
        <v>0</v>
      </c>
      <c r="AO1442">
        <v>0</v>
      </c>
      <c r="AP1442">
        <v>1</v>
      </c>
      <c r="AQ1442">
        <v>0.01</v>
      </c>
      <c r="AX1442">
        <v>7</v>
      </c>
      <c r="AY1442" s="1">
        <v>20</v>
      </c>
      <c r="AZ1442">
        <v>0</v>
      </c>
      <c r="BA1442">
        <v>0</v>
      </c>
      <c r="BB1442">
        <v>1</v>
      </c>
      <c r="BC1442" s="7">
        <v>0.32</v>
      </c>
      <c r="BD1442">
        <v>30</v>
      </c>
      <c r="BE1442">
        <v>0</v>
      </c>
      <c r="BF1442">
        <v>0</v>
      </c>
      <c r="BG1442">
        <v>0</v>
      </c>
      <c r="BH1442">
        <v>5</v>
      </c>
      <c r="BI1442">
        <v>2.4</v>
      </c>
      <c r="BJ1442">
        <v>31</v>
      </c>
      <c r="BK1442">
        <v>0</v>
      </c>
      <c r="BL1442">
        <v>0</v>
      </c>
      <c r="BM1442">
        <v>0</v>
      </c>
      <c r="BN1442">
        <v>5</v>
      </c>
      <c r="BO1442">
        <v>2.4</v>
      </c>
      <c r="BP1442">
        <v>36</v>
      </c>
      <c r="BQ1442">
        <v>0</v>
      </c>
      <c r="BR1442">
        <v>0</v>
      </c>
      <c r="BS1442">
        <v>0</v>
      </c>
      <c r="BT1442">
        <v>5</v>
      </c>
      <c r="BU1442">
        <v>1.7</v>
      </c>
    </row>
    <row r="1443" spans="1:73" ht="14.25" x14ac:dyDescent="0.15">
      <c r="A1443" s="12">
        <v>30340</v>
      </c>
      <c r="B1443">
        <v>7</v>
      </c>
      <c r="C1443" s="1">
        <v>0</v>
      </c>
      <c r="D1443">
        <v>5</v>
      </c>
      <c r="E1443">
        <v>1</v>
      </c>
      <c r="F1443">
        <v>1</v>
      </c>
      <c r="G1443" s="7">
        <v>0.05</v>
      </c>
      <c r="H1443">
        <v>12</v>
      </c>
      <c r="I1443">
        <v>0</v>
      </c>
      <c r="J1443">
        <v>0</v>
      </c>
      <c r="K1443">
        <v>0</v>
      </c>
      <c r="L1443">
        <v>1</v>
      </c>
      <c r="M1443">
        <v>2</v>
      </c>
      <c r="N1443" s="7">
        <v>9</v>
      </c>
      <c r="O1443" s="7">
        <v>0</v>
      </c>
      <c r="P1443" s="7">
        <v>0</v>
      </c>
      <c r="Q1443" s="7">
        <v>0</v>
      </c>
      <c r="R1443" s="7">
        <v>1</v>
      </c>
      <c r="S1443" s="7">
        <v>4.5</v>
      </c>
      <c r="T1443">
        <v>7</v>
      </c>
      <c r="U1443" s="1">
        <v>0</v>
      </c>
      <c r="V1443">
        <v>4</v>
      </c>
      <c r="W1443">
        <v>2</v>
      </c>
      <c r="X1443">
        <v>1</v>
      </c>
      <c r="Y1443">
        <v>0.16</v>
      </c>
      <c r="Z1443">
        <v>23</v>
      </c>
      <c r="AA1443">
        <v>0</v>
      </c>
      <c r="AB1443">
        <v>0</v>
      </c>
      <c r="AC1443">
        <v>0</v>
      </c>
      <c r="AD1443">
        <v>1</v>
      </c>
      <c r="AE1443">
        <v>0.05</v>
      </c>
      <c r="AF1443">
        <v>15</v>
      </c>
      <c r="AG1443">
        <v>0</v>
      </c>
      <c r="AH1443">
        <v>0</v>
      </c>
      <c r="AI1443">
        <v>0</v>
      </c>
      <c r="AJ1443">
        <v>1</v>
      </c>
      <c r="AK1443">
        <v>0.02</v>
      </c>
      <c r="AL1443">
        <v>16</v>
      </c>
      <c r="AM1443">
        <v>0</v>
      </c>
      <c r="AN1443">
        <v>0</v>
      </c>
      <c r="AO1443">
        <v>0</v>
      </c>
      <c r="AP1443">
        <v>1</v>
      </c>
      <c r="AQ1443">
        <v>0.01</v>
      </c>
      <c r="AR1443">
        <v>6</v>
      </c>
      <c r="AS1443">
        <v>2</v>
      </c>
      <c r="AT1443">
        <v>3</v>
      </c>
      <c r="AU1443">
        <v>5</v>
      </c>
      <c r="AV1443">
        <v>1</v>
      </c>
      <c r="AW1443">
        <v>0.05</v>
      </c>
      <c r="AX1443">
        <v>7</v>
      </c>
      <c r="AY1443" s="1">
        <v>0</v>
      </c>
      <c r="AZ1443">
        <v>3</v>
      </c>
      <c r="BA1443">
        <v>1</v>
      </c>
      <c r="BB1443">
        <v>1</v>
      </c>
      <c r="BC1443" s="7">
        <v>0.32</v>
      </c>
      <c r="BD1443">
        <v>30</v>
      </c>
      <c r="BE1443">
        <v>0</v>
      </c>
      <c r="BF1443">
        <v>0</v>
      </c>
      <c r="BG1443">
        <v>0</v>
      </c>
      <c r="BH1443">
        <v>5</v>
      </c>
      <c r="BI1443">
        <v>2.4</v>
      </c>
      <c r="BJ1443">
        <v>31</v>
      </c>
      <c r="BK1443">
        <v>0</v>
      </c>
      <c r="BL1443">
        <v>0</v>
      </c>
      <c r="BM1443">
        <v>0</v>
      </c>
      <c r="BN1443">
        <v>5</v>
      </c>
      <c r="BO1443">
        <v>2.4</v>
      </c>
      <c r="BP1443">
        <v>36</v>
      </c>
      <c r="BQ1443">
        <v>0</v>
      </c>
      <c r="BR1443">
        <v>0</v>
      </c>
      <c r="BS1443">
        <v>0</v>
      </c>
      <c r="BT1443">
        <v>5</v>
      </c>
      <c r="BU1443">
        <v>1.7</v>
      </c>
    </row>
    <row r="1444" spans="1:73" ht="14.25" x14ac:dyDescent="0.15">
      <c r="A1444" s="12">
        <v>30341</v>
      </c>
      <c r="B1444">
        <v>7</v>
      </c>
      <c r="C1444" s="1">
        <v>45</v>
      </c>
      <c r="D1444">
        <v>0</v>
      </c>
      <c r="E1444">
        <v>0</v>
      </c>
      <c r="F1444">
        <v>1</v>
      </c>
      <c r="G1444" s="7">
        <v>0.05</v>
      </c>
      <c r="H1444">
        <v>12</v>
      </c>
      <c r="I1444">
        <v>0</v>
      </c>
      <c r="J1444">
        <v>0</v>
      </c>
      <c r="K1444">
        <v>0</v>
      </c>
      <c r="L1444">
        <v>1</v>
      </c>
      <c r="M1444">
        <v>2</v>
      </c>
      <c r="N1444" s="7">
        <v>9</v>
      </c>
      <c r="O1444" s="7">
        <v>0</v>
      </c>
      <c r="P1444" s="7">
        <v>0</v>
      </c>
      <c r="Q1444" s="7">
        <v>0</v>
      </c>
      <c r="R1444" s="7">
        <v>1</v>
      </c>
      <c r="S1444" s="7">
        <v>4.5</v>
      </c>
      <c r="T1444">
        <v>7</v>
      </c>
      <c r="U1444" s="1">
        <v>33</v>
      </c>
      <c r="V1444">
        <v>0</v>
      </c>
      <c r="W1444">
        <v>0</v>
      </c>
      <c r="X1444">
        <v>1</v>
      </c>
      <c r="Y1444">
        <v>0.16</v>
      </c>
      <c r="Z1444">
        <v>23</v>
      </c>
      <c r="AA1444">
        <v>0</v>
      </c>
      <c r="AB1444">
        <v>0</v>
      </c>
      <c r="AC1444">
        <v>0</v>
      </c>
      <c r="AD1444">
        <v>1</v>
      </c>
      <c r="AE1444">
        <v>0.05</v>
      </c>
      <c r="AF1444">
        <v>15</v>
      </c>
      <c r="AG1444">
        <v>0</v>
      </c>
      <c r="AH1444">
        <v>0</v>
      </c>
      <c r="AI1444">
        <v>0</v>
      </c>
      <c r="AJ1444">
        <v>1</v>
      </c>
      <c r="AK1444">
        <v>0.02</v>
      </c>
      <c r="AL1444">
        <v>16</v>
      </c>
      <c r="AM1444">
        <v>0</v>
      </c>
      <c r="AN1444">
        <v>0</v>
      </c>
      <c r="AO1444">
        <v>0</v>
      </c>
      <c r="AP1444">
        <v>1</v>
      </c>
      <c r="AQ1444">
        <v>0.01</v>
      </c>
      <c r="AX1444">
        <v>7</v>
      </c>
      <c r="AY1444" s="1">
        <v>17</v>
      </c>
      <c r="AZ1444">
        <v>0</v>
      </c>
      <c r="BA1444">
        <v>0</v>
      </c>
      <c r="BB1444">
        <v>1</v>
      </c>
      <c r="BC1444" s="7">
        <v>0.32</v>
      </c>
      <c r="BD1444">
        <v>30</v>
      </c>
      <c r="BE1444">
        <v>0</v>
      </c>
      <c r="BF1444">
        <v>0</v>
      </c>
      <c r="BG1444">
        <v>0</v>
      </c>
      <c r="BH1444">
        <v>5</v>
      </c>
      <c r="BI1444">
        <v>2.4</v>
      </c>
      <c r="BJ1444">
        <v>31</v>
      </c>
      <c r="BK1444">
        <v>0</v>
      </c>
      <c r="BL1444">
        <v>0</v>
      </c>
      <c r="BM1444">
        <v>0</v>
      </c>
      <c r="BN1444">
        <v>5</v>
      </c>
      <c r="BO1444">
        <v>2.4</v>
      </c>
      <c r="BP1444">
        <v>36</v>
      </c>
      <c r="BQ1444">
        <v>0</v>
      </c>
      <c r="BR1444">
        <v>0</v>
      </c>
      <c r="BS1444">
        <v>0</v>
      </c>
      <c r="BT1444">
        <v>5</v>
      </c>
      <c r="BU1444">
        <v>1.7</v>
      </c>
    </row>
    <row r="1445" spans="1:73" ht="14.25" x14ac:dyDescent="0.15">
      <c r="A1445" s="12">
        <v>30342</v>
      </c>
      <c r="B1445">
        <v>7</v>
      </c>
      <c r="C1445" s="1">
        <v>46</v>
      </c>
      <c r="D1445">
        <v>0</v>
      </c>
      <c r="E1445">
        <v>0</v>
      </c>
      <c r="F1445">
        <v>1</v>
      </c>
      <c r="G1445" s="7">
        <v>0.05</v>
      </c>
      <c r="H1445">
        <v>12</v>
      </c>
      <c r="I1445">
        <v>0</v>
      </c>
      <c r="J1445">
        <v>0</v>
      </c>
      <c r="K1445">
        <v>0</v>
      </c>
      <c r="L1445">
        <v>1</v>
      </c>
      <c r="M1445">
        <v>2</v>
      </c>
      <c r="N1445" s="7">
        <v>9</v>
      </c>
      <c r="O1445" s="7">
        <v>0</v>
      </c>
      <c r="P1445" s="7">
        <v>0</v>
      </c>
      <c r="Q1445" s="7">
        <v>0</v>
      </c>
      <c r="R1445" s="7">
        <v>1</v>
      </c>
      <c r="S1445" s="7">
        <v>4.5</v>
      </c>
      <c r="T1445">
        <v>7</v>
      </c>
      <c r="U1445" s="1">
        <v>34</v>
      </c>
      <c r="V1445">
        <v>0</v>
      </c>
      <c r="W1445">
        <v>0</v>
      </c>
      <c r="X1445">
        <v>1</v>
      </c>
      <c r="Y1445">
        <v>0.16</v>
      </c>
      <c r="Z1445">
        <v>23</v>
      </c>
      <c r="AA1445">
        <v>0</v>
      </c>
      <c r="AB1445">
        <v>0</v>
      </c>
      <c r="AC1445">
        <v>0</v>
      </c>
      <c r="AD1445">
        <v>1</v>
      </c>
      <c r="AE1445">
        <v>0.05</v>
      </c>
      <c r="AF1445">
        <v>15</v>
      </c>
      <c r="AG1445">
        <v>0</v>
      </c>
      <c r="AH1445">
        <v>0</v>
      </c>
      <c r="AI1445">
        <v>0</v>
      </c>
      <c r="AJ1445">
        <v>1</v>
      </c>
      <c r="AK1445">
        <v>0.02</v>
      </c>
      <c r="AL1445">
        <v>16</v>
      </c>
      <c r="AM1445">
        <v>0</v>
      </c>
      <c r="AN1445">
        <v>0</v>
      </c>
      <c r="AO1445">
        <v>0</v>
      </c>
      <c r="AP1445">
        <v>1</v>
      </c>
      <c r="AQ1445">
        <v>0.01</v>
      </c>
      <c r="AX1445">
        <v>7</v>
      </c>
      <c r="AY1445" s="1">
        <v>18</v>
      </c>
      <c r="AZ1445">
        <v>0</v>
      </c>
      <c r="BA1445">
        <v>0</v>
      </c>
      <c r="BB1445">
        <v>1</v>
      </c>
      <c r="BC1445" s="7">
        <v>0.32</v>
      </c>
      <c r="BD1445">
        <v>30</v>
      </c>
      <c r="BE1445">
        <v>0</v>
      </c>
      <c r="BF1445">
        <v>0</v>
      </c>
      <c r="BG1445">
        <v>0</v>
      </c>
      <c r="BH1445">
        <v>5</v>
      </c>
      <c r="BI1445">
        <v>2.4</v>
      </c>
      <c r="BJ1445">
        <v>31</v>
      </c>
      <c r="BK1445">
        <v>0</v>
      </c>
      <c r="BL1445">
        <v>0</v>
      </c>
      <c r="BM1445">
        <v>0</v>
      </c>
      <c r="BN1445">
        <v>5</v>
      </c>
      <c r="BO1445">
        <v>2.4</v>
      </c>
      <c r="BP1445">
        <v>36</v>
      </c>
      <c r="BQ1445">
        <v>0</v>
      </c>
      <c r="BR1445">
        <v>0</v>
      </c>
      <c r="BS1445">
        <v>0</v>
      </c>
      <c r="BT1445">
        <v>5</v>
      </c>
      <c r="BU1445">
        <v>1.7</v>
      </c>
    </row>
    <row r="1446" spans="1:73" ht="14.25" x14ac:dyDescent="0.15">
      <c r="A1446" s="12">
        <v>30343</v>
      </c>
      <c r="B1446">
        <v>7</v>
      </c>
      <c r="C1446" s="1">
        <v>47</v>
      </c>
      <c r="D1446">
        <v>0</v>
      </c>
      <c r="E1446">
        <v>0</v>
      </c>
      <c r="F1446">
        <v>1</v>
      </c>
      <c r="G1446" s="7">
        <v>0.05</v>
      </c>
      <c r="H1446">
        <v>12</v>
      </c>
      <c r="I1446">
        <v>0</v>
      </c>
      <c r="J1446">
        <v>0</v>
      </c>
      <c r="K1446">
        <v>0</v>
      </c>
      <c r="L1446">
        <v>1</v>
      </c>
      <c r="M1446">
        <v>2</v>
      </c>
      <c r="N1446" s="7">
        <v>9</v>
      </c>
      <c r="O1446" s="7">
        <v>0</v>
      </c>
      <c r="P1446" s="7">
        <v>0</v>
      </c>
      <c r="Q1446" s="7">
        <v>0</v>
      </c>
      <c r="R1446" s="7">
        <v>1</v>
      </c>
      <c r="S1446" s="7">
        <v>4.5</v>
      </c>
      <c r="T1446">
        <v>7</v>
      </c>
      <c r="U1446" s="1">
        <v>35</v>
      </c>
      <c r="V1446">
        <v>0</v>
      </c>
      <c r="W1446">
        <v>0</v>
      </c>
      <c r="X1446">
        <v>1</v>
      </c>
      <c r="Y1446">
        <v>0.16</v>
      </c>
      <c r="Z1446">
        <v>23</v>
      </c>
      <c r="AA1446">
        <v>0</v>
      </c>
      <c r="AB1446">
        <v>0</v>
      </c>
      <c r="AC1446">
        <v>0</v>
      </c>
      <c r="AD1446">
        <v>1</v>
      </c>
      <c r="AE1446">
        <v>0.05</v>
      </c>
      <c r="AF1446">
        <v>15</v>
      </c>
      <c r="AG1446">
        <v>0</v>
      </c>
      <c r="AH1446">
        <v>0</v>
      </c>
      <c r="AI1446">
        <v>0</v>
      </c>
      <c r="AJ1446">
        <v>1</v>
      </c>
      <c r="AK1446">
        <v>0.02</v>
      </c>
      <c r="AL1446">
        <v>16</v>
      </c>
      <c r="AM1446">
        <v>0</v>
      </c>
      <c r="AN1446">
        <v>0</v>
      </c>
      <c r="AO1446">
        <v>0</v>
      </c>
      <c r="AP1446">
        <v>1</v>
      </c>
      <c r="AQ1446">
        <v>0.01</v>
      </c>
      <c r="AX1446">
        <v>7</v>
      </c>
      <c r="AY1446" s="1">
        <v>19</v>
      </c>
      <c r="AZ1446">
        <v>0</v>
      </c>
      <c r="BA1446">
        <v>0</v>
      </c>
      <c r="BB1446">
        <v>1</v>
      </c>
      <c r="BC1446" s="7">
        <v>0.32</v>
      </c>
      <c r="BD1446">
        <v>30</v>
      </c>
      <c r="BE1446">
        <v>0</v>
      </c>
      <c r="BF1446">
        <v>0</v>
      </c>
      <c r="BG1446">
        <v>0</v>
      </c>
      <c r="BH1446">
        <v>5</v>
      </c>
      <c r="BI1446">
        <v>2.4</v>
      </c>
      <c r="BJ1446">
        <v>31</v>
      </c>
      <c r="BK1446">
        <v>0</v>
      </c>
      <c r="BL1446">
        <v>0</v>
      </c>
      <c r="BM1446">
        <v>0</v>
      </c>
      <c r="BN1446">
        <v>5</v>
      </c>
      <c r="BO1446">
        <v>2.4</v>
      </c>
      <c r="BP1446">
        <v>36</v>
      </c>
      <c r="BQ1446">
        <v>0</v>
      </c>
      <c r="BR1446">
        <v>0</v>
      </c>
      <c r="BS1446">
        <v>0</v>
      </c>
      <c r="BT1446">
        <v>5</v>
      </c>
      <c r="BU1446">
        <v>1.7</v>
      </c>
    </row>
    <row r="1447" spans="1:73" ht="14.25" x14ac:dyDescent="0.15">
      <c r="A1447" s="12">
        <v>30344</v>
      </c>
      <c r="B1447">
        <v>7</v>
      </c>
      <c r="C1447" s="1">
        <v>48</v>
      </c>
      <c r="D1447">
        <v>0</v>
      </c>
      <c r="E1447">
        <v>0</v>
      </c>
      <c r="F1447">
        <v>1</v>
      </c>
      <c r="G1447" s="7">
        <v>0.05</v>
      </c>
      <c r="H1447">
        <v>12</v>
      </c>
      <c r="I1447">
        <v>0</v>
      </c>
      <c r="J1447">
        <v>0</v>
      </c>
      <c r="K1447">
        <v>0</v>
      </c>
      <c r="L1447">
        <v>1</v>
      </c>
      <c r="M1447">
        <v>2</v>
      </c>
      <c r="N1447" s="7">
        <v>9</v>
      </c>
      <c r="O1447" s="7">
        <v>0</v>
      </c>
      <c r="P1447" s="7">
        <v>0</v>
      </c>
      <c r="Q1447" s="7">
        <v>0</v>
      </c>
      <c r="R1447" s="7">
        <v>1</v>
      </c>
      <c r="S1447" s="7">
        <v>4.5</v>
      </c>
      <c r="T1447">
        <v>7</v>
      </c>
      <c r="U1447" s="1">
        <v>36</v>
      </c>
      <c r="V1447">
        <v>0</v>
      </c>
      <c r="W1447">
        <v>0</v>
      </c>
      <c r="X1447">
        <v>1</v>
      </c>
      <c r="Y1447">
        <v>0.16</v>
      </c>
      <c r="Z1447">
        <v>23</v>
      </c>
      <c r="AA1447">
        <v>0</v>
      </c>
      <c r="AB1447">
        <v>0</v>
      </c>
      <c r="AC1447">
        <v>0</v>
      </c>
      <c r="AD1447">
        <v>1</v>
      </c>
      <c r="AE1447">
        <v>0.05</v>
      </c>
      <c r="AF1447">
        <v>15</v>
      </c>
      <c r="AG1447">
        <v>0</v>
      </c>
      <c r="AH1447">
        <v>0</v>
      </c>
      <c r="AI1447">
        <v>0</v>
      </c>
      <c r="AJ1447">
        <v>1</v>
      </c>
      <c r="AK1447">
        <v>0.02</v>
      </c>
      <c r="AL1447">
        <v>16</v>
      </c>
      <c r="AM1447">
        <v>0</v>
      </c>
      <c r="AN1447">
        <v>0</v>
      </c>
      <c r="AO1447">
        <v>0</v>
      </c>
      <c r="AP1447">
        <v>1</v>
      </c>
      <c r="AQ1447">
        <v>0.01</v>
      </c>
      <c r="AX1447">
        <v>7</v>
      </c>
      <c r="AY1447" s="1">
        <v>20</v>
      </c>
      <c r="AZ1447">
        <v>0</v>
      </c>
      <c r="BA1447">
        <v>0</v>
      </c>
      <c r="BB1447">
        <v>1</v>
      </c>
      <c r="BC1447" s="7">
        <v>0.32</v>
      </c>
      <c r="BD1447">
        <v>30</v>
      </c>
      <c r="BE1447">
        <v>0</v>
      </c>
      <c r="BF1447">
        <v>0</v>
      </c>
      <c r="BG1447">
        <v>0</v>
      </c>
      <c r="BH1447">
        <v>5</v>
      </c>
      <c r="BI1447">
        <v>2.4</v>
      </c>
      <c r="BJ1447">
        <v>31</v>
      </c>
      <c r="BK1447">
        <v>0</v>
      </c>
      <c r="BL1447">
        <v>0</v>
      </c>
      <c r="BM1447">
        <v>0</v>
      </c>
      <c r="BN1447">
        <v>5</v>
      </c>
      <c r="BO1447">
        <v>2.4</v>
      </c>
      <c r="BP1447">
        <v>36</v>
      </c>
      <c r="BQ1447">
        <v>0</v>
      </c>
      <c r="BR1447">
        <v>0</v>
      </c>
      <c r="BS1447">
        <v>0</v>
      </c>
      <c r="BT1447">
        <v>5</v>
      </c>
      <c r="BU1447">
        <v>1.7</v>
      </c>
    </row>
    <row r="1448" spans="1:73" ht="14.25" x14ac:dyDescent="0.15">
      <c r="A1448" s="12">
        <v>30345</v>
      </c>
      <c r="B1448">
        <v>7</v>
      </c>
      <c r="C1448" s="1">
        <v>0</v>
      </c>
      <c r="D1448">
        <v>5</v>
      </c>
      <c r="E1448">
        <v>1</v>
      </c>
      <c r="F1448">
        <v>1</v>
      </c>
      <c r="G1448" s="7">
        <v>0.05</v>
      </c>
      <c r="H1448">
        <v>12</v>
      </c>
      <c r="I1448">
        <v>0</v>
      </c>
      <c r="J1448">
        <v>0</v>
      </c>
      <c r="K1448">
        <v>0</v>
      </c>
      <c r="L1448">
        <v>1</v>
      </c>
      <c r="M1448">
        <v>2</v>
      </c>
      <c r="N1448" s="7">
        <v>9</v>
      </c>
      <c r="O1448" s="7">
        <v>0</v>
      </c>
      <c r="P1448" s="7">
        <v>0</v>
      </c>
      <c r="Q1448" s="7">
        <v>0</v>
      </c>
      <c r="R1448" s="7">
        <v>1</v>
      </c>
      <c r="S1448" s="7">
        <v>4.5</v>
      </c>
      <c r="T1448">
        <v>7</v>
      </c>
      <c r="U1448" s="1">
        <v>0</v>
      </c>
      <c r="V1448">
        <v>4</v>
      </c>
      <c r="W1448">
        <v>2</v>
      </c>
      <c r="X1448">
        <v>1</v>
      </c>
      <c r="Y1448">
        <v>0.16</v>
      </c>
      <c r="Z1448">
        <v>23</v>
      </c>
      <c r="AA1448">
        <v>0</v>
      </c>
      <c r="AB1448">
        <v>0</v>
      </c>
      <c r="AC1448">
        <v>0</v>
      </c>
      <c r="AD1448">
        <v>1</v>
      </c>
      <c r="AE1448">
        <v>0.05</v>
      </c>
      <c r="AF1448">
        <v>15</v>
      </c>
      <c r="AG1448">
        <v>0</v>
      </c>
      <c r="AH1448">
        <v>0</v>
      </c>
      <c r="AI1448">
        <v>0</v>
      </c>
      <c r="AJ1448">
        <v>1</v>
      </c>
      <c r="AK1448">
        <v>0.02</v>
      </c>
      <c r="AL1448">
        <v>16</v>
      </c>
      <c r="AM1448">
        <v>0</v>
      </c>
      <c r="AN1448">
        <v>0</v>
      </c>
      <c r="AO1448">
        <v>0</v>
      </c>
      <c r="AP1448">
        <v>1</v>
      </c>
      <c r="AQ1448">
        <v>0.01</v>
      </c>
      <c r="AR1448">
        <v>6</v>
      </c>
      <c r="AS1448">
        <v>2</v>
      </c>
      <c r="AT1448">
        <v>4</v>
      </c>
      <c r="AU1448">
        <v>5</v>
      </c>
      <c r="AV1448">
        <v>1</v>
      </c>
      <c r="AW1448">
        <v>0.01</v>
      </c>
      <c r="AX1448">
        <v>7</v>
      </c>
      <c r="AY1448" s="1">
        <v>0</v>
      </c>
      <c r="AZ1448">
        <v>3</v>
      </c>
      <c r="BA1448">
        <v>1</v>
      </c>
      <c r="BB1448">
        <v>1</v>
      </c>
      <c r="BC1448" s="7">
        <v>0.32</v>
      </c>
      <c r="BD1448">
        <v>30</v>
      </c>
      <c r="BE1448">
        <v>0</v>
      </c>
      <c r="BF1448">
        <v>0</v>
      </c>
      <c r="BG1448">
        <v>0</v>
      </c>
      <c r="BH1448">
        <v>5</v>
      </c>
      <c r="BI1448">
        <v>2.4</v>
      </c>
      <c r="BJ1448">
        <v>31</v>
      </c>
      <c r="BK1448">
        <v>0</v>
      </c>
      <c r="BL1448">
        <v>0</v>
      </c>
      <c r="BM1448">
        <v>0</v>
      </c>
      <c r="BN1448">
        <v>5</v>
      </c>
      <c r="BO1448">
        <v>2.4</v>
      </c>
      <c r="BP1448">
        <v>36</v>
      </c>
      <c r="BQ1448">
        <v>0</v>
      </c>
      <c r="BR1448">
        <v>0</v>
      </c>
      <c r="BS1448">
        <v>0</v>
      </c>
      <c r="BT1448">
        <v>5</v>
      </c>
      <c r="BU1448">
        <v>1.7</v>
      </c>
    </row>
    <row r="1449" spans="1:73" ht="14.25" x14ac:dyDescent="0.15">
      <c r="A1449" s="12">
        <v>30346</v>
      </c>
      <c r="B1449">
        <v>7</v>
      </c>
      <c r="C1449" s="1">
        <v>45</v>
      </c>
      <c r="D1449">
        <v>0</v>
      </c>
      <c r="E1449">
        <v>0</v>
      </c>
      <c r="F1449">
        <v>1</v>
      </c>
      <c r="G1449" s="7">
        <v>0.05</v>
      </c>
      <c r="H1449">
        <v>12</v>
      </c>
      <c r="I1449">
        <v>0</v>
      </c>
      <c r="J1449">
        <v>0</v>
      </c>
      <c r="K1449">
        <v>0</v>
      </c>
      <c r="L1449">
        <v>1</v>
      </c>
      <c r="M1449">
        <v>2</v>
      </c>
      <c r="N1449" s="7">
        <v>9</v>
      </c>
      <c r="O1449" s="7">
        <v>0</v>
      </c>
      <c r="P1449" s="7">
        <v>0</v>
      </c>
      <c r="Q1449" s="7">
        <v>0</v>
      </c>
      <c r="R1449" s="7">
        <v>1</v>
      </c>
      <c r="S1449" s="7">
        <v>4.5</v>
      </c>
      <c r="T1449">
        <v>7</v>
      </c>
      <c r="U1449" s="1">
        <v>33</v>
      </c>
      <c r="V1449">
        <v>0</v>
      </c>
      <c r="W1449">
        <v>0</v>
      </c>
      <c r="X1449">
        <v>1</v>
      </c>
      <c r="Y1449">
        <v>0.16</v>
      </c>
      <c r="Z1449">
        <v>23</v>
      </c>
      <c r="AA1449">
        <v>0</v>
      </c>
      <c r="AB1449">
        <v>0</v>
      </c>
      <c r="AC1449">
        <v>0</v>
      </c>
      <c r="AD1449">
        <v>1</v>
      </c>
      <c r="AE1449">
        <v>0.05</v>
      </c>
      <c r="AF1449">
        <v>15</v>
      </c>
      <c r="AG1449">
        <v>0</v>
      </c>
      <c r="AH1449">
        <v>0</v>
      </c>
      <c r="AI1449">
        <v>0</v>
      </c>
      <c r="AJ1449">
        <v>1</v>
      </c>
      <c r="AK1449">
        <v>0.02</v>
      </c>
      <c r="AL1449">
        <v>16</v>
      </c>
      <c r="AM1449">
        <v>0</v>
      </c>
      <c r="AN1449">
        <v>0</v>
      </c>
      <c r="AO1449">
        <v>0</v>
      </c>
      <c r="AP1449">
        <v>1</v>
      </c>
      <c r="AQ1449">
        <v>0.01</v>
      </c>
      <c r="AX1449">
        <v>7</v>
      </c>
      <c r="AY1449" s="1">
        <v>17</v>
      </c>
      <c r="AZ1449">
        <v>0</v>
      </c>
      <c r="BA1449">
        <v>0</v>
      </c>
      <c r="BB1449">
        <v>1</v>
      </c>
      <c r="BC1449" s="7">
        <v>0.32</v>
      </c>
      <c r="BD1449">
        <v>30</v>
      </c>
      <c r="BE1449">
        <v>0</v>
      </c>
      <c r="BF1449">
        <v>0</v>
      </c>
      <c r="BG1449">
        <v>0</v>
      </c>
      <c r="BH1449">
        <v>5</v>
      </c>
      <c r="BI1449">
        <v>2.4</v>
      </c>
      <c r="BJ1449">
        <v>31</v>
      </c>
      <c r="BK1449">
        <v>0</v>
      </c>
      <c r="BL1449">
        <v>0</v>
      </c>
      <c r="BM1449">
        <v>0</v>
      </c>
      <c r="BN1449">
        <v>5</v>
      </c>
      <c r="BO1449">
        <v>2.4</v>
      </c>
      <c r="BP1449">
        <v>36</v>
      </c>
      <c r="BQ1449">
        <v>0</v>
      </c>
      <c r="BR1449">
        <v>0</v>
      </c>
      <c r="BS1449">
        <v>0</v>
      </c>
      <c r="BT1449">
        <v>5</v>
      </c>
      <c r="BU1449">
        <v>1.7</v>
      </c>
    </row>
    <row r="1450" spans="1:73" ht="14.25" x14ac:dyDescent="0.15">
      <c r="A1450" s="12">
        <v>30347</v>
      </c>
      <c r="B1450">
        <v>7</v>
      </c>
      <c r="C1450" s="1">
        <v>46</v>
      </c>
      <c r="D1450">
        <v>0</v>
      </c>
      <c r="E1450">
        <v>0</v>
      </c>
      <c r="F1450">
        <v>1</v>
      </c>
      <c r="G1450" s="7">
        <v>0.05</v>
      </c>
      <c r="H1450">
        <v>12</v>
      </c>
      <c r="I1450">
        <v>0</v>
      </c>
      <c r="J1450">
        <v>0</v>
      </c>
      <c r="K1450">
        <v>0</v>
      </c>
      <c r="L1450">
        <v>1</v>
      </c>
      <c r="M1450">
        <v>2</v>
      </c>
      <c r="N1450" s="7">
        <v>9</v>
      </c>
      <c r="O1450" s="7">
        <v>0</v>
      </c>
      <c r="P1450" s="7">
        <v>0</v>
      </c>
      <c r="Q1450" s="7">
        <v>0</v>
      </c>
      <c r="R1450" s="7">
        <v>1</v>
      </c>
      <c r="S1450" s="7">
        <v>4.5</v>
      </c>
      <c r="T1450">
        <v>7</v>
      </c>
      <c r="U1450" s="1">
        <v>34</v>
      </c>
      <c r="V1450">
        <v>0</v>
      </c>
      <c r="W1450">
        <v>0</v>
      </c>
      <c r="X1450">
        <v>1</v>
      </c>
      <c r="Y1450">
        <v>0.16</v>
      </c>
      <c r="Z1450">
        <v>23</v>
      </c>
      <c r="AA1450">
        <v>0</v>
      </c>
      <c r="AB1450">
        <v>0</v>
      </c>
      <c r="AC1450">
        <v>0</v>
      </c>
      <c r="AD1450">
        <v>1</v>
      </c>
      <c r="AE1450">
        <v>0.05</v>
      </c>
      <c r="AF1450">
        <v>15</v>
      </c>
      <c r="AG1450">
        <v>0</v>
      </c>
      <c r="AH1450">
        <v>0</v>
      </c>
      <c r="AI1450">
        <v>0</v>
      </c>
      <c r="AJ1450">
        <v>1</v>
      </c>
      <c r="AK1450">
        <v>0.02</v>
      </c>
      <c r="AL1450">
        <v>16</v>
      </c>
      <c r="AM1450">
        <v>0</v>
      </c>
      <c r="AN1450">
        <v>0</v>
      </c>
      <c r="AO1450">
        <v>0</v>
      </c>
      <c r="AP1450">
        <v>1</v>
      </c>
      <c r="AQ1450">
        <v>0.01</v>
      </c>
      <c r="AX1450">
        <v>7</v>
      </c>
      <c r="AY1450" s="1">
        <v>18</v>
      </c>
      <c r="AZ1450">
        <v>0</v>
      </c>
      <c r="BA1450">
        <v>0</v>
      </c>
      <c r="BB1450">
        <v>1</v>
      </c>
      <c r="BC1450" s="7">
        <v>0.32</v>
      </c>
      <c r="BD1450">
        <v>30</v>
      </c>
      <c r="BE1450">
        <v>0</v>
      </c>
      <c r="BF1450">
        <v>0</v>
      </c>
      <c r="BG1450">
        <v>0</v>
      </c>
      <c r="BH1450">
        <v>5</v>
      </c>
      <c r="BI1450">
        <v>2.4</v>
      </c>
      <c r="BJ1450">
        <v>31</v>
      </c>
      <c r="BK1450">
        <v>0</v>
      </c>
      <c r="BL1450">
        <v>0</v>
      </c>
      <c r="BM1450">
        <v>0</v>
      </c>
      <c r="BN1450">
        <v>5</v>
      </c>
      <c r="BO1450">
        <v>2.4</v>
      </c>
      <c r="BP1450">
        <v>36</v>
      </c>
      <c r="BQ1450">
        <v>0</v>
      </c>
      <c r="BR1450">
        <v>0</v>
      </c>
      <c r="BS1450">
        <v>0</v>
      </c>
      <c r="BT1450">
        <v>5</v>
      </c>
      <c r="BU1450">
        <v>1.7</v>
      </c>
    </row>
    <row r="1451" spans="1:73" ht="14.25" x14ac:dyDescent="0.15">
      <c r="A1451" s="12">
        <v>30348</v>
      </c>
      <c r="B1451">
        <v>7</v>
      </c>
      <c r="C1451" s="1">
        <v>47</v>
      </c>
      <c r="D1451">
        <v>0</v>
      </c>
      <c r="E1451">
        <v>0</v>
      </c>
      <c r="F1451">
        <v>1</v>
      </c>
      <c r="G1451" s="7">
        <v>0.05</v>
      </c>
      <c r="H1451">
        <v>12</v>
      </c>
      <c r="I1451">
        <v>0</v>
      </c>
      <c r="J1451">
        <v>0</v>
      </c>
      <c r="K1451">
        <v>0</v>
      </c>
      <c r="L1451">
        <v>1</v>
      </c>
      <c r="M1451">
        <v>2</v>
      </c>
      <c r="N1451" s="7">
        <v>9</v>
      </c>
      <c r="O1451" s="7">
        <v>0</v>
      </c>
      <c r="P1451" s="7">
        <v>0</v>
      </c>
      <c r="Q1451" s="7">
        <v>0</v>
      </c>
      <c r="R1451" s="7">
        <v>1</v>
      </c>
      <c r="S1451" s="7">
        <v>4.5</v>
      </c>
      <c r="T1451">
        <v>7</v>
      </c>
      <c r="U1451" s="1">
        <v>35</v>
      </c>
      <c r="V1451">
        <v>0</v>
      </c>
      <c r="W1451">
        <v>0</v>
      </c>
      <c r="X1451">
        <v>1</v>
      </c>
      <c r="Y1451">
        <v>0.16</v>
      </c>
      <c r="Z1451">
        <v>23</v>
      </c>
      <c r="AA1451">
        <v>0</v>
      </c>
      <c r="AB1451">
        <v>0</v>
      </c>
      <c r="AC1451">
        <v>0</v>
      </c>
      <c r="AD1451">
        <v>1</v>
      </c>
      <c r="AE1451">
        <v>0.05</v>
      </c>
      <c r="AF1451">
        <v>15</v>
      </c>
      <c r="AG1451">
        <v>0</v>
      </c>
      <c r="AH1451">
        <v>0</v>
      </c>
      <c r="AI1451">
        <v>0</v>
      </c>
      <c r="AJ1451">
        <v>1</v>
      </c>
      <c r="AK1451">
        <v>0.02</v>
      </c>
      <c r="AL1451">
        <v>16</v>
      </c>
      <c r="AM1451">
        <v>0</v>
      </c>
      <c r="AN1451">
        <v>0</v>
      </c>
      <c r="AO1451">
        <v>0</v>
      </c>
      <c r="AP1451">
        <v>1</v>
      </c>
      <c r="AQ1451">
        <v>0.01</v>
      </c>
      <c r="AX1451">
        <v>7</v>
      </c>
      <c r="AY1451" s="1">
        <v>19</v>
      </c>
      <c r="AZ1451">
        <v>0</v>
      </c>
      <c r="BA1451">
        <v>0</v>
      </c>
      <c r="BB1451">
        <v>1</v>
      </c>
      <c r="BC1451" s="7">
        <v>0.32</v>
      </c>
      <c r="BD1451">
        <v>30</v>
      </c>
      <c r="BE1451">
        <v>0</v>
      </c>
      <c r="BF1451">
        <v>0</v>
      </c>
      <c r="BG1451">
        <v>0</v>
      </c>
      <c r="BH1451">
        <v>5</v>
      </c>
      <c r="BI1451">
        <v>2.4</v>
      </c>
      <c r="BJ1451">
        <v>31</v>
      </c>
      <c r="BK1451">
        <v>0</v>
      </c>
      <c r="BL1451">
        <v>0</v>
      </c>
      <c r="BM1451">
        <v>0</v>
      </c>
      <c r="BN1451">
        <v>5</v>
      </c>
      <c r="BO1451">
        <v>2.4</v>
      </c>
      <c r="BP1451">
        <v>36</v>
      </c>
      <c r="BQ1451">
        <v>0</v>
      </c>
      <c r="BR1451">
        <v>0</v>
      </c>
      <c r="BS1451">
        <v>0</v>
      </c>
      <c r="BT1451">
        <v>5</v>
      </c>
      <c r="BU1451">
        <v>1.7</v>
      </c>
    </row>
    <row r="1452" spans="1:73" ht="14.25" x14ac:dyDescent="0.15">
      <c r="A1452" s="12">
        <v>30349</v>
      </c>
      <c r="B1452">
        <v>7</v>
      </c>
      <c r="C1452" s="1">
        <v>48</v>
      </c>
      <c r="D1452">
        <v>0</v>
      </c>
      <c r="E1452">
        <v>0</v>
      </c>
      <c r="F1452">
        <v>1</v>
      </c>
      <c r="G1452" s="7">
        <v>0.05</v>
      </c>
      <c r="H1452">
        <v>12</v>
      </c>
      <c r="I1452">
        <v>0</v>
      </c>
      <c r="J1452">
        <v>0</v>
      </c>
      <c r="K1452">
        <v>0</v>
      </c>
      <c r="L1452">
        <v>1</v>
      </c>
      <c r="M1452">
        <v>2</v>
      </c>
      <c r="N1452" s="7">
        <v>9</v>
      </c>
      <c r="O1452" s="7">
        <v>0</v>
      </c>
      <c r="P1452" s="7">
        <v>0</v>
      </c>
      <c r="Q1452" s="7">
        <v>0</v>
      </c>
      <c r="R1452" s="7">
        <v>1</v>
      </c>
      <c r="S1452" s="7">
        <v>4.5</v>
      </c>
      <c r="T1452">
        <v>7</v>
      </c>
      <c r="U1452" s="1">
        <v>36</v>
      </c>
      <c r="V1452">
        <v>0</v>
      </c>
      <c r="W1452">
        <v>0</v>
      </c>
      <c r="X1452">
        <v>1</v>
      </c>
      <c r="Y1452">
        <v>0.16</v>
      </c>
      <c r="Z1452">
        <v>23</v>
      </c>
      <c r="AA1452">
        <v>0</v>
      </c>
      <c r="AB1452">
        <v>0</v>
      </c>
      <c r="AC1452">
        <v>0</v>
      </c>
      <c r="AD1452">
        <v>1</v>
      </c>
      <c r="AE1452">
        <v>0.05</v>
      </c>
      <c r="AF1452">
        <v>15</v>
      </c>
      <c r="AG1452">
        <v>0</v>
      </c>
      <c r="AH1452">
        <v>0</v>
      </c>
      <c r="AI1452">
        <v>0</v>
      </c>
      <c r="AJ1452">
        <v>1</v>
      </c>
      <c r="AK1452">
        <v>0.02</v>
      </c>
      <c r="AL1452">
        <v>16</v>
      </c>
      <c r="AM1452">
        <v>0</v>
      </c>
      <c r="AN1452">
        <v>0</v>
      </c>
      <c r="AO1452">
        <v>0</v>
      </c>
      <c r="AP1452">
        <v>1</v>
      </c>
      <c r="AQ1452">
        <v>0.01</v>
      </c>
      <c r="AX1452">
        <v>7</v>
      </c>
      <c r="AY1452" s="1">
        <v>20</v>
      </c>
      <c r="AZ1452">
        <v>0</v>
      </c>
      <c r="BA1452">
        <v>0</v>
      </c>
      <c r="BB1452">
        <v>1</v>
      </c>
      <c r="BC1452" s="7">
        <v>0.32</v>
      </c>
      <c r="BD1452">
        <v>30</v>
      </c>
      <c r="BE1452">
        <v>0</v>
      </c>
      <c r="BF1452">
        <v>0</v>
      </c>
      <c r="BG1452">
        <v>0</v>
      </c>
      <c r="BH1452">
        <v>5</v>
      </c>
      <c r="BI1452">
        <v>2.4</v>
      </c>
      <c r="BJ1452">
        <v>31</v>
      </c>
      <c r="BK1452">
        <v>0</v>
      </c>
      <c r="BL1452">
        <v>0</v>
      </c>
      <c r="BM1452">
        <v>0</v>
      </c>
      <c r="BN1452">
        <v>5</v>
      </c>
      <c r="BO1452">
        <v>2.4</v>
      </c>
      <c r="BP1452">
        <v>36</v>
      </c>
      <c r="BQ1452">
        <v>0</v>
      </c>
      <c r="BR1452">
        <v>0</v>
      </c>
      <c r="BS1452">
        <v>0</v>
      </c>
      <c r="BT1452">
        <v>5</v>
      </c>
      <c r="BU1452">
        <v>1.7</v>
      </c>
    </row>
    <row r="1453" spans="1:73" ht="14.25" x14ac:dyDescent="0.15">
      <c r="A1453" s="12">
        <v>30350</v>
      </c>
      <c r="B1453">
        <v>7</v>
      </c>
      <c r="C1453" s="1">
        <v>0</v>
      </c>
      <c r="D1453">
        <v>5</v>
      </c>
      <c r="E1453">
        <v>1</v>
      </c>
      <c r="F1453">
        <v>1</v>
      </c>
      <c r="G1453" s="7">
        <v>0.05</v>
      </c>
      <c r="H1453">
        <v>12</v>
      </c>
      <c r="I1453">
        <v>0</v>
      </c>
      <c r="J1453">
        <v>0</v>
      </c>
      <c r="K1453">
        <v>0</v>
      </c>
      <c r="L1453">
        <v>1</v>
      </c>
      <c r="M1453">
        <v>2</v>
      </c>
      <c r="N1453" s="7">
        <v>9</v>
      </c>
      <c r="O1453" s="7">
        <v>0</v>
      </c>
      <c r="P1453" s="7">
        <v>0</v>
      </c>
      <c r="Q1453" s="7">
        <v>0</v>
      </c>
      <c r="R1453" s="7">
        <v>1</v>
      </c>
      <c r="S1453" s="7">
        <v>4.5</v>
      </c>
      <c r="T1453">
        <v>7</v>
      </c>
      <c r="U1453" s="1">
        <v>0</v>
      </c>
      <c r="V1453">
        <v>4</v>
      </c>
      <c r="W1453">
        <v>2</v>
      </c>
      <c r="X1453">
        <v>1</v>
      </c>
      <c r="Y1453">
        <v>0.16</v>
      </c>
      <c r="Z1453">
        <v>23</v>
      </c>
      <c r="AA1453">
        <v>0</v>
      </c>
      <c r="AB1453">
        <v>0</v>
      </c>
      <c r="AC1453">
        <v>0</v>
      </c>
      <c r="AD1453">
        <v>1</v>
      </c>
      <c r="AE1453">
        <v>0.05</v>
      </c>
      <c r="AF1453">
        <v>15</v>
      </c>
      <c r="AG1453">
        <v>0</v>
      </c>
      <c r="AH1453">
        <v>0</v>
      </c>
      <c r="AI1453">
        <v>0</v>
      </c>
      <c r="AJ1453">
        <v>1</v>
      </c>
      <c r="AK1453">
        <v>0.02</v>
      </c>
      <c r="AL1453">
        <v>16</v>
      </c>
      <c r="AM1453">
        <v>0</v>
      </c>
      <c r="AN1453">
        <v>0</v>
      </c>
      <c r="AO1453">
        <v>0</v>
      </c>
      <c r="AP1453">
        <v>1</v>
      </c>
      <c r="AQ1453">
        <v>0.01</v>
      </c>
      <c r="AR1453">
        <v>6</v>
      </c>
      <c r="AS1453">
        <v>2</v>
      </c>
      <c r="AT1453">
        <v>5</v>
      </c>
      <c r="AU1453">
        <v>5</v>
      </c>
      <c r="AV1453">
        <v>1</v>
      </c>
      <c r="AW1453">
        <v>0.01</v>
      </c>
      <c r="AX1453">
        <v>7</v>
      </c>
      <c r="AY1453" s="1">
        <v>0</v>
      </c>
      <c r="AZ1453">
        <v>3</v>
      </c>
      <c r="BA1453">
        <v>1</v>
      </c>
      <c r="BB1453">
        <v>1</v>
      </c>
      <c r="BC1453" s="7">
        <v>0.32</v>
      </c>
      <c r="BD1453">
        <v>30</v>
      </c>
      <c r="BE1453">
        <v>0</v>
      </c>
      <c r="BF1453">
        <v>0</v>
      </c>
      <c r="BG1453">
        <v>0</v>
      </c>
      <c r="BH1453">
        <v>5</v>
      </c>
      <c r="BI1453">
        <v>2.4</v>
      </c>
      <c r="BJ1453">
        <v>31</v>
      </c>
      <c r="BK1453">
        <v>0</v>
      </c>
      <c r="BL1453">
        <v>0</v>
      </c>
      <c r="BM1453">
        <v>0</v>
      </c>
      <c r="BN1453">
        <v>5</v>
      </c>
      <c r="BO1453">
        <v>2.4</v>
      </c>
      <c r="BP1453">
        <v>36</v>
      </c>
      <c r="BQ1453">
        <v>0</v>
      </c>
      <c r="BR1453">
        <v>0</v>
      </c>
      <c r="BS1453">
        <v>0</v>
      </c>
      <c r="BT1453">
        <v>5</v>
      </c>
      <c r="BU1453">
        <v>1.7</v>
      </c>
    </row>
    <row r="1454" spans="1:73" ht="14.25" x14ac:dyDescent="0.15">
      <c r="A1454" s="12">
        <v>30401</v>
      </c>
      <c r="B1454">
        <v>7</v>
      </c>
      <c r="C1454" s="1">
        <v>45</v>
      </c>
      <c r="D1454">
        <v>0</v>
      </c>
      <c r="E1454">
        <v>0</v>
      </c>
      <c r="F1454">
        <v>1</v>
      </c>
      <c r="G1454" s="7">
        <v>0.05</v>
      </c>
      <c r="H1454">
        <v>12</v>
      </c>
      <c r="I1454">
        <v>0</v>
      </c>
      <c r="J1454">
        <v>0</v>
      </c>
      <c r="K1454">
        <v>0</v>
      </c>
      <c r="L1454">
        <v>1</v>
      </c>
      <c r="M1454">
        <v>2</v>
      </c>
      <c r="N1454" s="7">
        <v>9</v>
      </c>
      <c r="O1454" s="7">
        <v>0</v>
      </c>
      <c r="P1454" s="7">
        <v>0</v>
      </c>
      <c r="Q1454" s="7">
        <v>0</v>
      </c>
      <c r="R1454" s="7">
        <v>1</v>
      </c>
      <c r="S1454" s="7">
        <v>4.5</v>
      </c>
      <c r="T1454">
        <v>7</v>
      </c>
      <c r="U1454" s="1">
        <v>33</v>
      </c>
      <c r="V1454">
        <v>0</v>
      </c>
      <c r="W1454">
        <v>0</v>
      </c>
      <c r="X1454">
        <v>1</v>
      </c>
      <c r="Y1454">
        <v>0.16</v>
      </c>
      <c r="Z1454">
        <v>23</v>
      </c>
      <c r="AA1454">
        <v>0</v>
      </c>
      <c r="AB1454">
        <v>0</v>
      </c>
      <c r="AC1454">
        <v>0</v>
      </c>
      <c r="AD1454">
        <v>1</v>
      </c>
      <c r="AE1454">
        <v>0.05</v>
      </c>
      <c r="AF1454">
        <v>15</v>
      </c>
      <c r="AG1454">
        <v>0</v>
      </c>
      <c r="AH1454">
        <v>0</v>
      </c>
      <c r="AI1454">
        <v>0</v>
      </c>
      <c r="AJ1454">
        <v>1</v>
      </c>
      <c r="AK1454">
        <v>0.02</v>
      </c>
      <c r="AL1454">
        <v>16</v>
      </c>
      <c r="AM1454">
        <v>0</v>
      </c>
      <c r="AN1454">
        <v>0</v>
      </c>
      <c r="AO1454">
        <v>0</v>
      </c>
      <c r="AP1454">
        <v>1</v>
      </c>
      <c r="AQ1454">
        <v>0.01</v>
      </c>
      <c r="AX1454">
        <v>7</v>
      </c>
      <c r="AY1454" s="1">
        <v>17</v>
      </c>
      <c r="AZ1454">
        <v>0</v>
      </c>
      <c r="BA1454">
        <v>0</v>
      </c>
      <c r="BB1454">
        <v>1</v>
      </c>
      <c r="BC1454" s="7">
        <v>0.32</v>
      </c>
      <c r="BD1454">
        <v>30</v>
      </c>
      <c r="BE1454">
        <v>0</v>
      </c>
      <c r="BF1454">
        <v>0</v>
      </c>
      <c r="BG1454">
        <v>0</v>
      </c>
      <c r="BH1454">
        <v>5</v>
      </c>
      <c r="BI1454">
        <v>2.4</v>
      </c>
      <c r="BJ1454">
        <v>31</v>
      </c>
      <c r="BK1454">
        <v>0</v>
      </c>
      <c r="BL1454">
        <v>0</v>
      </c>
      <c r="BM1454">
        <v>0</v>
      </c>
      <c r="BN1454">
        <v>5</v>
      </c>
      <c r="BO1454">
        <v>2.4</v>
      </c>
      <c r="BP1454">
        <v>36</v>
      </c>
      <c r="BQ1454">
        <v>0</v>
      </c>
      <c r="BR1454">
        <v>0</v>
      </c>
      <c r="BS1454">
        <v>0</v>
      </c>
      <c r="BT1454">
        <v>5</v>
      </c>
      <c r="BU1454">
        <v>1.7</v>
      </c>
    </row>
    <row r="1455" spans="1:73" ht="14.25" x14ac:dyDescent="0.15">
      <c r="A1455" s="12">
        <v>30402</v>
      </c>
      <c r="B1455">
        <v>7</v>
      </c>
      <c r="C1455" s="1">
        <v>46</v>
      </c>
      <c r="D1455">
        <v>0</v>
      </c>
      <c r="E1455">
        <v>0</v>
      </c>
      <c r="F1455">
        <v>1</v>
      </c>
      <c r="G1455" s="7">
        <v>0.05</v>
      </c>
      <c r="H1455">
        <v>12</v>
      </c>
      <c r="I1455">
        <v>0</v>
      </c>
      <c r="J1455">
        <v>0</v>
      </c>
      <c r="K1455">
        <v>0</v>
      </c>
      <c r="L1455">
        <v>1</v>
      </c>
      <c r="M1455">
        <v>2</v>
      </c>
      <c r="N1455" s="7">
        <v>9</v>
      </c>
      <c r="O1455" s="7">
        <v>0</v>
      </c>
      <c r="P1455" s="7">
        <v>0</v>
      </c>
      <c r="Q1455" s="7">
        <v>0</v>
      </c>
      <c r="R1455" s="7">
        <v>1</v>
      </c>
      <c r="S1455" s="7">
        <v>4.5</v>
      </c>
      <c r="T1455">
        <v>7</v>
      </c>
      <c r="U1455" s="1">
        <v>34</v>
      </c>
      <c r="V1455">
        <v>0</v>
      </c>
      <c r="W1455">
        <v>0</v>
      </c>
      <c r="X1455">
        <v>1</v>
      </c>
      <c r="Y1455">
        <v>0.16</v>
      </c>
      <c r="Z1455">
        <v>23</v>
      </c>
      <c r="AA1455">
        <v>0</v>
      </c>
      <c r="AB1455">
        <v>0</v>
      </c>
      <c r="AC1455">
        <v>0</v>
      </c>
      <c r="AD1455">
        <v>1</v>
      </c>
      <c r="AE1455">
        <v>0.05</v>
      </c>
      <c r="AF1455">
        <v>15</v>
      </c>
      <c r="AG1455">
        <v>0</v>
      </c>
      <c r="AH1455">
        <v>0</v>
      </c>
      <c r="AI1455">
        <v>0</v>
      </c>
      <c r="AJ1455">
        <v>1</v>
      </c>
      <c r="AK1455">
        <v>0.02</v>
      </c>
      <c r="AL1455">
        <v>16</v>
      </c>
      <c r="AM1455">
        <v>0</v>
      </c>
      <c r="AN1455">
        <v>0</v>
      </c>
      <c r="AO1455">
        <v>0</v>
      </c>
      <c r="AP1455">
        <v>1</v>
      </c>
      <c r="AQ1455">
        <v>0.01</v>
      </c>
      <c r="AX1455">
        <v>7</v>
      </c>
      <c r="AY1455" s="1">
        <v>18</v>
      </c>
      <c r="AZ1455">
        <v>0</v>
      </c>
      <c r="BA1455">
        <v>0</v>
      </c>
      <c r="BB1455">
        <v>1</v>
      </c>
      <c r="BC1455" s="7">
        <v>0.32</v>
      </c>
      <c r="BD1455">
        <v>30</v>
      </c>
      <c r="BE1455">
        <v>0</v>
      </c>
      <c r="BF1455">
        <v>0</v>
      </c>
      <c r="BG1455">
        <v>0</v>
      </c>
      <c r="BH1455">
        <v>5</v>
      </c>
      <c r="BI1455">
        <v>2.4</v>
      </c>
      <c r="BJ1455">
        <v>31</v>
      </c>
      <c r="BK1455">
        <v>0</v>
      </c>
      <c r="BL1455">
        <v>0</v>
      </c>
      <c r="BM1455">
        <v>0</v>
      </c>
      <c r="BN1455">
        <v>5</v>
      </c>
      <c r="BO1455">
        <v>2.4</v>
      </c>
      <c r="BP1455">
        <v>36</v>
      </c>
      <c r="BQ1455">
        <v>0</v>
      </c>
      <c r="BR1455">
        <v>0</v>
      </c>
      <c r="BS1455">
        <v>0</v>
      </c>
      <c r="BT1455">
        <v>5</v>
      </c>
      <c r="BU1455">
        <v>1.7</v>
      </c>
    </row>
    <row r="1456" spans="1:73" ht="14.25" x14ac:dyDescent="0.15">
      <c r="A1456" s="12">
        <v>30403</v>
      </c>
      <c r="B1456">
        <v>7</v>
      </c>
      <c r="C1456" s="1">
        <v>47</v>
      </c>
      <c r="D1456">
        <v>0</v>
      </c>
      <c r="E1456">
        <v>0</v>
      </c>
      <c r="F1456">
        <v>1</v>
      </c>
      <c r="G1456" s="7">
        <v>0.05</v>
      </c>
      <c r="H1456">
        <v>12</v>
      </c>
      <c r="I1456">
        <v>0</v>
      </c>
      <c r="J1456">
        <v>0</v>
      </c>
      <c r="K1456">
        <v>0</v>
      </c>
      <c r="L1456">
        <v>1</v>
      </c>
      <c r="M1456">
        <v>2</v>
      </c>
      <c r="N1456" s="7">
        <v>9</v>
      </c>
      <c r="O1456" s="7">
        <v>0</v>
      </c>
      <c r="P1456" s="7">
        <v>0</v>
      </c>
      <c r="Q1456" s="7">
        <v>0</v>
      </c>
      <c r="R1456" s="7">
        <v>1</v>
      </c>
      <c r="S1456" s="7">
        <v>4.5</v>
      </c>
      <c r="T1456">
        <v>7</v>
      </c>
      <c r="U1456" s="1">
        <v>35</v>
      </c>
      <c r="V1456">
        <v>0</v>
      </c>
      <c r="W1456">
        <v>0</v>
      </c>
      <c r="X1456">
        <v>1</v>
      </c>
      <c r="Y1456">
        <v>0.16</v>
      </c>
      <c r="Z1456">
        <v>23</v>
      </c>
      <c r="AA1456">
        <v>0</v>
      </c>
      <c r="AB1456">
        <v>0</v>
      </c>
      <c r="AC1456">
        <v>0</v>
      </c>
      <c r="AD1456">
        <v>1</v>
      </c>
      <c r="AE1456">
        <v>0.05</v>
      </c>
      <c r="AF1456">
        <v>15</v>
      </c>
      <c r="AG1456">
        <v>0</v>
      </c>
      <c r="AH1456">
        <v>0</v>
      </c>
      <c r="AI1456">
        <v>0</v>
      </c>
      <c r="AJ1456">
        <v>1</v>
      </c>
      <c r="AK1456">
        <v>0.02</v>
      </c>
      <c r="AL1456">
        <v>16</v>
      </c>
      <c r="AM1456">
        <v>0</v>
      </c>
      <c r="AN1456">
        <v>0</v>
      </c>
      <c r="AO1456">
        <v>0</v>
      </c>
      <c r="AP1456">
        <v>1</v>
      </c>
      <c r="AQ1456">
        <v>0.01</v>
      </c>
      <c r="AX1456">
        <v>7</v>
      </c>
      <c r="AY1456" s="1">
        <v>19</v>
      </c>
      <c r="AZ1456">
        <v>0</v>
      </c>
      <c r="BA1456">
        <v>0</v>
      </c>
      <c r="BB1456">
        <v>1</v>
      </c>
      <c r="BC1456" s="7">
        <v>0.32</v>
      </c>
      <c r="BD1456">
        <v>30</v>
      </c>
      <c r="BE1456">
        <v>0</v>
      </c>
      <c r="BF1456">
        <v>0</v>
      </c>
      <c r="BG1456">
        <v>0</v>
      </c>
      <c r="BH1456">
        <v>5</v>
      </c>
      <c r="BI1456">
        <v>2.4</v>
      </c>
      <c r="BJ1456">
        <v>31</v>
      </c>
      <c r="BK1456">
        <v>0</v>
      </c>
      <c r="BL1456">
        <v>0</v>
      </c>
      <c r="BM1456">
        <v>0</v>
      </c>
      <c r="BN1456">
        <v>5</v>
      </c>
      <c r="BO1456">
        <v>2.4</v>
      </c>
      <c r="BP1456">
        <v>36</v>
      </c>
      <c r="BQ1456">
        <v>0</v>
      </c>
      <c r="BR1456">
        <v>0</v>
      </c>
      <c r="BS1456">
        <v>0</v>
      </c>
      <c r="BT1456">
        <v>5</v>
      </c>
      <c r="BU1456">
        <v>1.7</v>
      </c>
    </row>
    <row r="1457" spans="1:73" ht="14.25" x14ac:dyDescent="0.15">
      <c r="A1457" s="12">
        <v>30404</v>
      </c>
      <c r="B1457">
        <v>7</v>
      </c>
      <c r="C1457" s="1">
        <v>48</v>
      </c>
      <c r="D1457">
        <v>0</v>
      </c>
      <c r="E1457">
        <v>0</v>
      </c>
      <c r="F1457">
        <v>1</v>
      </c>
      <c r="G1457" s="7">
        <v>0.05</v>
      </c>
      <c r="H1457">
        <v>12</v>
      </c>
      <c r="I1457">
        <v>0</v>
      </c>
      <c r="J1457">
        <v>0</v>
      </c>
      <c r="K1457">
        <v>0</v>
      </c>
      <c r="L1457">
        <v>1</v>
      </c>
      <c r="M1457">
        <v>2</v>
      </c>
      <c r="N1457" s="7">
        <v>9</v>
      </c>
      <c r="O1457" s="7">
        <v>0</v>
      </c>
      <c r="P1457" s="7">
        <v>0</v>
      </c>
      <c r="Q1457" s="7">
        <v>0</v>
      </c>
      <c r="R1457" s="7">
        <v>1</v>
      </c>
      <c r="S1457" s="7">
        <v>4.5</v>
      </c>
      <c r="T1457">
        <v>7</v>
      </c>
      <c r="U1457" s="1">
        <v>36</v>
      </c>
      <c r="V1457">
        <v>0</v>
      </c>
      <c r="W1457">
        <v>0</v>
      </c>
      <c r="X1457">
        <v>1</v>
      </c>
      <c r="Y1457">
        <v>0.16</v>
      </c>
      <c r="Z1457">
        <v>23</v>
      </c>
      <c r="AA1457">
        <v>0</v>
      </c>
      <c r="AB1457">
        <v>0</v>
      </c>
      <c r="AC1457">
        <v>0</v>
      </c>
      <c r="AD1457">
        <v>1</v>
      </c>
      <c r="AE1457">
        <v>0.05</v>
      </c>
      <c r="AF1457">
        <v>15</v>
      </c>
      <c r="AG1457">
        <v>0</v>
      </c>
      <c r="AH1457">
        <v>0</v>
      </c>
      <c r="AI1457">
        <v>0</v>
      </c>
      <c r="AJ1457">
        <v>1</v>
      </c>
      <c r="AK1457">
        <v>0.02</v>
      </c>
      <c r="AL1457">
        <v>16</v>
      </c>
      <c r="AM1457">
        <v>0</v>
      </c>
      <c r="AN1457">
        <v>0</v>
      </c>
      <c r="AO1457">
        <v>0</v>
      </c>
      <c r="AP1457">
        <v>1</v>
      </c>
      <c r="AQ1457">
        <v>0.01</v>
      </c>
      <c r="AX1457">
        <v>7</v>
      </c>
      <c r="AY1457" s="1">
        <v>20</v>
      </c>
      <c r="AZ1457">
        <v>0</v>
      </c>
      <c r="BA1457">
        <v>0</v>
      </c>
      <c r="BB1457">
        <v>1</v>
      </c>
      <c r="BC1457" s="7">
        <v>0.32</v>
      </c>
      <c r="BD1457">
        <v>30</v>
      </c>
      <c r="BE1457">
        <v>0</v>
      </c>
      <c r="BF1457">
        <v>0</v>
      </c>
      <c r="BG1457">
        <v>0</v>
      </c>
      <c r="BH1457">
        <v>5</v>
      </c>
      <c r="BI1457">
        <v>2.4</v>
      </c>
      <c r="BJ1457">
        <v>31</v>
      </c>
      <c r="BK1457">
        <v>0</v>
      </c>
      <c r="BL1457">
        <v>0</v>
      </c>
      <c r="BM1457">
        <v>0</v>
      </c>
      <c r="BN1457">
        <v>5</v>
      </c>
      <c r="BO1457">
        <v>2.4</v>
      </c>
      <c r="BP1457">
        <v>36</v>
      </c>
      <c r="BQ1457">
        <v>0</v>
      </c>
      <c r="BR1457">
        <v>0</v>
      </c>
      <c r="BS1457">
        <v>0</v>
      </c>
      <c r="BT1457">
        <v>5</v>
      </c>
      <c r="BU1457">
        <v>1.7</v>
      </c>
    </row>
    <row r="1458" spans="1:73" ht="14.25" x14ac:dyDescent="0.15">
      <c r="A1458" s="12">
        <v>30405</v>
      </c>
      <c r="B1458">
        <v>7</v>
      </c>
      <c r="C1458" s="1">
        <v>0</v>
      </c>
      <c r="D1458">
        <v>5</v>
      </c>
      <c r="E1458">
        <v>1</v>
      </c>
      <c r="F1458">
        <v>1</v>
      </c>
      <c r="G1458" s="7">
        <v>0.05</v>
      </c>
      <c r="H1458">
        <v>12</v>
      </c>
      <c r="I1458">
        <v>0</v>
      </c>
      <c r="J1458">
        <v>0</v>
      </c>
      <c r="K1458">
        <v>0</v>
      </c>
      <c r="L1458">
        <v>1</v>
      </c>
      <c r="M1458">
        <v>2</v>
      </c>
      <c r="N1458" s="7">
        <v>9</v>
      </c>
      <c r="O1458" s="7">
        <v>0</v>
      </c>
      <c r="P1458" s="7">
        <v>0</v>
      </c>
      <c r="Q1458" s="7">
        <v>0</v>
      </c>
      <c r="R1458" s="7">
        <v>1</v>
      </c>
      <c r="S1458" s="7">
        <v>4.5</v>
      </c>
      <c r="T1458">
        <v>7</v>
      </c>
      <c r="U1458" s="1">
        <v>0</v>
      </c>
      <c r="V1458">
        <v>4</v>
      </c>
      <c r="W1458">
        <v>2</v>
      </c>
      <c r="X1458">
        <v>1</v>
      </c>
      <c r="Y1458">
        <v>0.16</v>
      </c>
      <c r="Z1458">
        <v>23</v>
      </c>
      <c r="AA1458">
        <v>0</v>
      </c>
      <c r="AB1458">
        <v>0</v>
      </c>
      <c r="AC1458">
        <v>0</v>
      </c>
      <c r="AD1458">
        <v>1</v>
      </c>
      <c r="AE1458">
        <v>0.05</v>
      </c>
      <c r="AF1458">
        <v>15</v>
      </c>
      <c r="AG1458">
        <v>0</v>
      </c>
      <c r="AH1458">
        <v>0</v>
      </c>
      <c r="AI1458">
        <v>0</v>
      </c>
      <c r="AJ1458">
        <v>1</v>
      </c>
      <c r="AK1458">
        <v>0.02</v>
      </c>
      <c r="AL1458">
        <v>16</v>
      </c>
      <c r="AM1458">
        <v>0</v>
      </c>
      <c r="AN1458">
        <v>0</v>
      </c>
      <c r="AO1458">
        <v>0</v>
      </c>
      <c r="AP1458">
        <v>1</v>
      </c>
      <c r="AQ1458">
        <v>0.01</v>
      </c>
      <c r="AR1458">
        <v>6</v>
      </c>
      <c r="AS1458">
        <v>2</v>
      </c>
      <c r="AT1458">
        <v>1</v>
      </c>
      <c r="AU1458">
        <v>5</v>
      </c>
      <c r="AV1458">
        <v>1</v>
      </c>
      <c r="AW1458">
        <v>0.05</v>
      </c>
      <c r="AX1458">
        <v>7</v>
      </c>
      <c r="AY1458" s="1">
        <v>0</v>
      </c>
      <c r="AZ1458">
        <v>3</v>
      </c>
      <c r="BA1458">
        <v>1</v>
      </c>
      <c r="BB1458">
        <v>1</v>
      </c>
      <c r="BC1458" s="7">
        <v>0.32</v>
      </c>
      <c r="BD1458">
        <v>30</v>
      </c>
      <c r="BE1458">
        <v>0</v>
      </c>
      <c r="BF1458">
        <v>0</v>
      </c>
      <c r="BG1458">
        <v>0</v>
      </c>
      <c r="BH1458">
        <v>5</v>
      </c>
      <c r="BI1458">
        <v>2.4</v>
      </c>
      <c r="BJ1458">
        <v>31</v>
      </c>
      <c r="BK1458">
        <v>0</v>
      </c>
      <c r="BL1458">
        <v>0</v>
      </c>
      <c r="BM1458">
        <v>0</v>
      </c>
      <c r="BN1458">
        <v>5</v>
      </c>
      <c r="BO1458">
        <v>2.4</v>
      </c>
      <c r="BP1458">
        <v>36</v>
      </c>
      <c r="BQ1458">
        <v>0</v>
      </c>
      <c r="BR1458">
        <v>0</v>
      </c>
      <c r="BS1458">
        <v>0</v>
      </c>
      <c r="BT1458">
        <v>5</v>
      </c>
      <c r="BU1458">
        <v>1.7</v>
      </c>
    </row>
    <row r="1459" spans="1:73" ht="14.25" x14ac:dyDescent="0.15">
      <c r="A1459" s="12">
        <v>30406</v>
      </c>
      <c r="B1459">
        <v>7</v>
      </c>
      <c r="C1459" s="1">
        <v>45</v>
      </c>
      <c r="D1459">
        <v>0</v>
      </c>
      <c r="E1459">
        <v>0</v>
      </c>
      <c r="F1459">
        <v>1</v>
      </c>
      <c r="G1459" s="7">
        <v>0.05</v>
      </c>
      <c r="H1459">
        <v>12</v>
      </c>
      <c r="I1459">
        <v>0</v>
      </c>
      <c r="J1459">
        <v>0</v>
      </c>
      <c r="K1459">
        <v>0</v>
      </c>
      <c r="L1459">
        <v>1</v>
      </c>
      <c r="M1459">
        <v>2</v>
      </c>
      <c r="N1459" s="7">
        <v>9</v>
      </c>
      <c r="O1459" s="7">
        <v>0</v>
      </c>
      <c r="P1459" s="7">
        <v>0</v>
      </c>
      <c r="Q1459" s="7">
        <v>0</v>
      </c>
      <c r="R1459" s="7">
        <v>1</v>
      </c>
      <c r="S1459" s="7">
        <v>4.5</v>
      </c>
      <c r="T1459">
        <v>7</v>
      </c>
      <c r="U1459" s="1">
        <v>33</v>
      </c>
      <c r="V1459">
        <v>0</v>
      </c>
      <c r="W1459">
        <v>0</v>
      </c>
      <c r="X1459">
        <v>1</v>
      </c>
      <c r="Y1459">
        <v>0.16</v>
      </c>
      <c r="Z1459">
        <v>23</v>
      </c>
      <c r="AA1459">
        <v>0</v>
      </c>
      <c r="AB1459">
        <v>0</v>
      </c>
      <c r="AC1459">
        <v>0</v>
      </c>
      <c r="AD1459">
        <v>1</v>
      </c>
      <c r="AE1459">
        <v>0.05</v>
      </c>
      <c r="AF1459">
        <v>15</v>
      </c>
      <c r="AG1459">
        <v>0</v>
      </c>
      <c r="AH1459">
        <v>0</v>
      </c>
      <c r="AI1459">
        <v>0</v>
      </c>
      <c r="AJ1459">
        <v>1</v>
      </c>
      <c r="AK1459">
        <v>0.02</v>
      </c>
      <c r="AL1459">
        <v>16</v>
      </c>
      <c r="AM1459">
        <v>0</v>
      </c>
      <c r="AN1459">
        <v>0</v>
      </c>
      <c r="AO1459">
        <v>0</v>
      </c>
      <c r="AP1459">
        <v>1</v>
      </c>
      <c r="AQ1459">
        <v>0.01</v>
      </c>
      <c r="AX1459">
        <v>7</v>
      </c>
      <c r="AY1459" s="1">
        <v>17</v>
      </c>
      <c r="AZ1459">
        <v>0</v>
      </c>
      <c r="BA1459">
        <v>0</v>
      </c>
      <c r="BB1459">
        <v>1</v>
      </c>
      <c r="BC1459" s="7">
        <v>0.32</v>
      </c>
      <c r="BD1459">
        <v>30</v>
      </c>
      <c r="BE1459">
        <v>0</v>
      </c>
      <c r="BF1459">
        <v>0</v>
      </c>
      <c r="BG1459">
        <v>0</v>
      </c>
      <c r="BH1459">
        <v>5</v>
      </c>
      <c r="BI1459">
        <v>2.4</v>
      </c>
      <c r="BJ1459">
        <v>31</v>
      </c>
      <c r="BK1459">
        <v>0</v>
      </c>
      <c r="BL1459">
        <v>0</v>
      </c>
      <c r="BM1459">
        <v>0</v>
      </c>
      <c r="BN1459">
        <v>5</v>
      </c>
      <c r="BO1459">
        <v>2.4</v>
      </c>
      <c r="BP1459">
        <v>36</v>
      </c>
      <c r="BQ1459">
        <v>0</v>
      </c>
      <c r="BR1459">
        <v>0</v>
      </c>
      <c r="BS1459">
        <v>0</v>
      </c>
      <c r="BT1459">
        <v>5</v>
      </c>
      <c r="BU1459">
        <v>1.7</v>
      </c>
    </row>
    <row r="1460" spans="1:73" ht="14.25" x14ac:dyDescent="0.15">
      <c r="A1460" s="12">
        <v>30407</v>
      </c>
      <c r="B1460">
        <v>7</v>
      </c>
      <c r="C1460" s="1">
        <v>46</v>
      </c>
      <c r="D1460">
        <v>0</v>
      </c>
      <c r="E1460">
        <v>0</v>
      </c>
      <c r="F1460">
        <v>1</v>
      </c>
      <c r="G1460" s="7">
        <v>0.05</v>
      </c>
      <c r="H1460">
        <v>12</v>
      </c>
      <c r="I1460">
        <v>0</v>
      </c>
      <c r="J1460">
        <v>0</v>
      </c>
      <c r="K1460">
        <v>0</v>
      </c>
      <c r="L1460">
        <v>1</v>
      </c>
      <c r="M1460">
        <v>2</v>
      </c>
      <c r="N1460" s="7">
        <v>9</v>
      </c>
      <c r="O1460" s="7">
        <v>0</v>
      </c>
      <c r="P1460" s="7">
        <v>0</v>
      </c>
      <c r="Q1460" s="7">
        <v>0</v>
      </c>
      <c r="R1460" s="7">
        <v>1</v>
      </c>
      <c r="S1460" s="7">
        <v>4.5</v>
      </c>
      <c r="T1460">
        <v>7</v>
      </c>
      <c r="U1460" s="1">
        <v>34</v>
      </c>
      <c r="V1460">
        <v>0</v>
      </c>
      <c r="W1460">
        <v>0</v>
      </c>
      <c r="X1460">
        <v>1</v>
      </c>
      <c r="Y1460">
        <v>0.16</v>
      </c>
      <c r="Z1460">
        <v>23</v>
      </c>
      <c r="AA1460">
        <v>0</v>
      </c>
      <c r="AB1460">
        <v>0</v>
      </c>
      <c r="AC1460">
        <v>0</v>
      </c>
      <c r="AD1460">
        <v>1</v>
      </c>
      <c r="AE1460">
        <v>0.05</v>
      </c>
      <c r="AF1460">
        <v>15</v>
      </c>
      <c r="AG1460">
        <v>0</v>
      </c>
      <c r="AH1460">
        <v>0</v>
      </c>
      <c r="AI1460">
        <v>0</v>
      </c>
      <c r="AJ1460">
        <v>1</v>
      </c>
      <c r="AK1460">
        <v>0.02</v>
      </c>
      <c r="AL1460">
        <v>16</v>
      </c>
      <c r="AM1460">
        <v>0</v>
      </c>
      <c r="AN1460">
        <v>0</v>
      </c>
      <c r="AO1460">
        <v>0</v>
      </c>
      <c r="AP1460">
        <v>1</v>
      </c>
      <c r="AQ1460">
        <v>0.01</v>
      </c>
      <c r="AX1460">
        <v>7</v>
      </c>
      <c r="AY1460" s="1">
        <v>18</v>
      </c>
      <c r="AZ1460">
        <v>0</v>
      </c>
      <c r="BA1460">
        <v>0</v>
      </c>
      <c r="BB1460">
        <v>1</v>
      </c>
      <c r="BC1460" s="7">
        <v>0.32</v>
      </c>
      <c r="BD1460">
        <v>30</v>
      </c>
      <c r="BE1460">
        <v>0</v>
      </c>
      <c r="BF1460">
        <v>0</v>
      </c>
      <c r="BG1460">
        <v>0</v>
      </c>
      <c r="BH1460">
        <v>5</v>
      </c>
      <c r="BI1460">
        <v>2.4</v>
      </c>
      <c r="BJ1460">
        <v>31</v>
      </c>
      <c r="BK1460">
        <v>0</v>
      </c>
      <c r="BL1460">
        <v>0</v>
      </c>
      <c r="BM1460">
        <v>0</v>
      </c>
      <c r="BN1460">
        <v>5</v>
      </c>
      <c r="BO1460">
        <v>2.4</v>
      </c>
      <c r="BP1460">
        <v>36</v>
      </c>
      <c r="BQ1460">
        <v>0</v>
      </c>
      <c r="BR1460">
        <v>0</v>
      </c>
      <c r="BS1460">
        <v>0</v>
      </c>
      <c r="BT1460">
        <v>5</v>
      </c>
      <c r="BU1460">
        <v>1.7</v>
      </c>
    </row>
    <row r="1461" spans="1:73" ht="14.25" x14ac:dyDescent="0.15">
      <c r="A1461" s="12">
        <v>30408</v>
      </c>
      <c r="B1461">
        <v>7</v>
      </c>
      <c r="C1461" s="1">
        <v>47</v>
      </c>
      <c r="D1461">
        <v>0</v>
      </c>
      <c r="E1461">
        <v>0</v>
      </c>
      <c r="F1461">
        <v>1</v>
      </c>
      <c r="G1461" s="7">
        <v>0.05</v>
      </c>
      <c r="H1461">
        <v>12</v>
      </c>
      <c r="I1461">
        <v>0</v>
      </c>
      <c r="J1461">
        <v>0</v>
      </c>
      <c r="K1461">
        <v>0</v>
      </c>
      <c r="L1461">
        <v>1</v>
      </c>
      <c r="M1461">
        <v>2</v>
      </c>
      <c r="N1461" s="7">
        <v>9</v>
      </c>
      <c r="O1461" s="7">
        <v>0</v>
      </c>
      <c r="P1461" s="7">
        <v>0</v>
      </c>
      <c r="Q1461" s="7">
        <v>0</v>
      </c>
      <c r="R1461" s="7">
        <v>1</v>
      </c>
      <c r="S1461" s="7">
        <v>4.5</v>
      </c>
      <c r="T1461">
        <v>7</v>
      </c>
      <c r="U1461" s="1">
        <v>35</v>
      </c>
      <c r="V1461">
        <v>0</v>
      </c>
      <c r="W1461">
        <v>0</v>
      </c>
      <c r="X1461">
        <v>1</v>
      </c>
      <c r="Y1461">
        <v>0.16</v>
      </c>
      <c r="Z1461">
        <v>23</v>
      </c>
      <c r="AA1461">
        <v>0</v>
      </c>
      <c r="AB1461">
        <v>0</v>
      </c>
      <c r="AC1461">
        <v>0</v>
      </c>
      <c r="AD1461">
        <v>1</v>
      </c>
      <c r="AE1461">
        <v>0.05</v>
      </c>
      <c r="AF1461">
        <v>15</v>
      </c>
      <c r="AG1461">
        <v>0</v>
      </c>
      <c r="AH1461">
        <v>0</v>
      </c>
      <c r="AI1461">
        <v>0</v>
      </c>
      <c r="AJ1461">
        <v>1</v>
      </c>
      <c r="AK1461">
        <v>0.02</v>
      </c>
      <c r="AL1461">
        <v>16</v>
      </c>
      <c r="AM1461">
        <v>0</v>
      </c>
      <c r="AN1461">
        <v>0</v>
      </c>
      <c r="AO1461">
        <v>0</v>
      </c>
      <c r="AP1461">
        <v>1</v>
      </c>
      <c r="AQ1461">
        <v>0.01</v>
      </c>
      <c r="AX1461">
        <v>7</v>
      </c>
      <c r="AY1461" s="1">
        <v>19</v>
      </c>
      <c r="AZ1461">
        <v>0</v>
      </c>
      <c r="BA1461">
        <v>0</v>
      </c>
      <c r="BB1461">
        <v>1</v>
      </c>
      <c r="BC1461" s="7">
        <v>0.32</v>
      </c>
      <c r="BD1461">
        <v>30</v>
      </c>
      <c r="BE1461">
        <v>0</v>
      </c>
      <c r="BF1461">
        <v>0</v>
      </c>
      <c r="BG1461">
        <v>0</v>
      </c>
      <c r="BH1461">
        <v>5</v>
      </c>
      <c r="BI1461">
        <v>2.4</v>
      </c>
      <c r="BJ1461">
        <v>31</v>
      </c>
      <c r="BK1461">
        <v>0</v>
      </c>
      <c r="BL1461">
        <v>0</v>
      </c>
      <c r="BM1461">
        <v>0</v>
      </c>
      <c r="BN1461">
        <v>5</v>
      </c>
      <c r="BO1461">
        <v>2.4</v>
      </c>
      <c r="BP1461">
        <v>36</v>
      </c>
      <c r="BQ1461">
        <v>0</v>
      </c>
      <c r="BR1461">
        <v>0</v>
      </c>
      <c r="BS1461">
        <v>0</v>
      </c>
      <c r="BT1461">
        <v>5</v>
      </c>
      <c r="BU1461">
        <v>1.7</v>
      </c>
    </row>
    <row r="1462" spans="1:73" ht="14.25" x14ac:dyDescent="0.15">
      <c r="A1462" s="12">
        <v>30409</v>
      </c>
      <c r="B1462">
        <v>7</v>
      </c>
      <c r="C1462" s="1">
        <v>48</v>
      </c>
      <c r="D1462">
        <v>0</v>
      </c>
      <c r="E1462">
        <v>0</v>
      </c>
      <c r="F1462">
        <v>1</v>
      </c>
      <c r="G1462" s="7">
        <v>0.05</v>
      </c>
      <c r="H1462">
        <v>12</v>
      </c>
      <c r="I1462">
        <v>0</v>
      </c>
      <c r="J1462">
        <v>0</v>
      </c>
      <c r="K1462">
        <v>0</v>
      </c>
      <c r="L1462">
        <v>1</v>
      </c>
      <c r="M1462">
        <v>2</v>
      </c>
      <c r="N1462" s="7">
        <v>9</v>
      </c>
      <c r="O1462" s="7">
        <v>0</v>
      </c>
      <c r="P1462" s="7">
        <v>0</v>
      </c>
      <c r="Q1462" s="7">
        <v>0</v>
      </c>
      <c r="R1462" s="7">
        <v>1</v>
      </c>
      <c r="S1462" s="7">
        <v>4.5</v>
      </c>
      <c r="T1462">
        <v>7</v>
      </c>
      <c r="U1462" s="1">
        <v>36</v>
      </c>
      <c r="V1462">
        <v>0</v>
      </c>
      <c r="W1462">
        <v>0</v>
      </c>
      <c r="X1462">
        <v>1</v>
      </c>
      <c r="Y1462">
        <v>0.16</v>
      </c>
      <c r="Z1462">
        <v>23</v>
      </c>
      <c r="AA1462">
        <v>0</v>
      </c>
      <c r="AB1462">
        <v>0</v>
      </c>
      <c r="AC1462">
        <v>0</v>
      </c>
      <c r="AD1462">
        <v>1</v>
      </c>
      <c r="AE1462">
        <v>0.05</v>
      </c>
      <c r="AF1462">
        <v>15</v>
      </c>
      <c r="AG1462">
        <v>0</v>
      </c>
      <c r="AH1462">
        <v>0</v>
      </c>
      <c r="AI1462">
        <v>0</v>
      </c>
      <c r="AJ1462">
        <v>1</v>
      </c>
      <c r="AK1462">
        <v>0.02</v>
      </c>
      <c r="AL1462">
        <v>16</v>
      </c>
      <c r="AM1462">
        <v>0</v>
      </c>
      <c r="AN1462">
        <v>0</v>
      </c>
      <c r="AO1462">
        <v>0</v>
      </c>
      <c r="AP1462">
        <v>1</v>
      </c>
      <c r="AQ1462">
        <v>0.01</v>
      </c>
      <c r="AX1462">
        <v>7</v>
      </c>
      <c r="AY1462" s="1">
        <v>20</v>
      </c>
      <c r="AZ1462">
        <v>0</v>
      </c>
      <c r="BA1462">
        <v>0</v>
      </c>
      <c r="BB1462">
        <v>1</v>
      </c>
      <c r="BC1462" s="7">
        <v>0.32</v>
      </c>
      <c r="BD1462">
        <v>30</v>
      </c>
      <c r="BE1462">
        <v>0</v>
      </c>
      <c r="BF1462">
        <v>0</v>
      </c>
      <c r="BG1462">
        <v>0</v>
      </c>
      <c r="BH1462">
        <v>5</v>
      </c>
      <c r="BI1462">
        <v>2.4</v>
      </c>
      <c r="BJ1462">
        <v>31</v>
      </c>
      <c r="BK1462">
        <v>0</v>
      </c>
      <c r="BL1462">
        <v>0</v>
      </c>
      <c r="BM1462">
        <v>0</v>
      </c>
      <c r="BN1462">
        <v>5</v>
      </c>
      <c r="BO1462">
        <v>2.4</v>
      </c>
      <c r="BP1462">
        <v>36</v>
      </c>
      <c r="BQ1462">
        <v>0</v>
      </c>
      <c r="BR1462">
        <v>0</v>
      </c>
      <c r="BS1462">
        <v>0</v>
      </c>
      <c r="BT1462">
        <v>5</v>
      </c>
      <c r="BU1462">
        <v>1.7</v>
      </c>
    </row>
    <row r="1463" spans="1:73" ht="14.25" x14ac:dyDescent="0.15">
      <c r="A1463" s="12">
        <v>30410</v>
      </c>
      <c r="B1463">
        <v>7</v>
      </c>
      <c r="C1463" s="1">
        <v>0</v>
      </c>
      <c r="D1463">
        <v>5</v>
      </c>
      <c r="E1463">
        <v>1</v>
      </c>
      <c r="F1463">
        <v>1</v>
      </c>
      <c r="G1463" s="7">
        <v>0.05</v>
      </c>
      <c r="H1463">
        <v>12</v>
      </c>
      <c r="I1463">
        <v>0</v>
      </c>
      <c r="J1463">
        <v>0</v>
      </c>
      <c r="K1463">
        <v>0</v>
      </c>
      <c r="L1463">
        <v>1</v>
      </c>
      <c r="M1463">
        <v>2</v>
      </c>
      <c r="N1463" s="7">
        <v>9</v>
      </c>
      <c r="O1463" s="7">
        <v>0</v>
      </c>
      <c r="P1463" s="7">
        <v>0</v>
      </c>
      <c r="Q1463" s="7">
        <v>0</v>
      </c>
      <c r="R1463" s="7">
        <v>1</v>
      </c>
      <c r="S1463" s="7">
        <v>4.5</v>
      </c>
      <c r="T1463">
        <v>7</v>
      </c>
      <c r="U1463" s="1">
        <v>0</v>
      </c>
      <c r="V1463">
        <v>4</v>
      </c>
      <c r="W1463">
        <v>2</v>
      </c>
      <c r="X1463">
        <v>1</v>
      </c>
      <c r="Y1463">
        <v>0.16</v>
      </c>
      <c r="Z1463">
        <v>23</v>
      </c>
      <c r="AA1463">
        <v>0</v>
      </c>
      <c r="AB1463">
        <v>0</v>
      </c>
      <c r="AC1463">
        <v>0</v>
      </c>
      <c r="AD1463">
        <v>1</v>
      </c>
      <c r="AE1463">
        <v>0.05</v>
      </c>
      <c r="AF1463">
        <v>15</v>
      </c>
      <c r="AG1463">
        <v>0</v>
      </c>
      <c r="AH1463">
        <v>0</v>
      </c>
      <c r="AI1463">
        <v>0</v>
      </c>
      <c r="AJ1463">
        <v>1</v>
      </c>
      <c r="AK1463">
        <v>0.02</v>
      </c>
      <c r="AL1463">
        <v>16</v>
      </c>
      <c r="AM1463">
        <v>0</v>
      </c>
      <c r="AN1463">
        <v>0</v>
      </c>
      <c r="AO1463">
        <v>0</v>
      </c>
      <c r="AP1463">
        <v>1</v>
      </c>
      <c r="AQ1463">
        <v>0.01</v>
      </c>
      <c r="AR1463">
        <v>6</v>
      </c>
      <c r="AS1463">
        <v>2</v>
      </c>
      <c r="AT1463">
        <v>2</v>
      </c>
      <c r="AU1463">
        <v>5</v>
      </c>
      <c r="AV1463">
        <v>1</v>
      </c>
      <c r="AW1463">
        <v>0.05</v>
      </c>
      <c r="AX1463">
        <v>7</v>
      </c>
      <c r="AY1463" s="1">
        <v>0</v>
      </c>
      <c r="AZ1463">
        <v>3</v>
      </c>
      <c r="BA1463">
        <v>1</v>
      </c>
      <c r="BB1463">
        <v>1</v>
      </c>
      <c r="BC1463" s="7">
        <v>0.32</v>
      </c>
      <c r="BD1463">
        <v>30</v>
      </c>
      <c r="BE1463">
        <v>0</v>
      </c>
      <c r="BF1463">
        <v>0</v>
      </c>
      <c r="BG1463">
        <v>0</v>
      </c>
      <c r="BH1463">
        <v>5</v>
      </c>
      <c r="BI1463">
        <v>2.4</v>
      </c>
      <c r="BJ1463">
        <v>31</v>
      </c>
      <c r="BK1463">
        <v>0</v>
      </c>
      <c r="BL1463">
        <v>0</v>
      </c>
      <c r="BM1463">
        <v>0</v>
      </c>
      <c r="BN1463">
        <v>5</v>
      </c>
      <c r="BO1463">
        <v>2.4</v>
      </c>
      <c r="BP1463">
        <v>36</v>
      </c>
      <c r="BQ1463">
        <v>0</v>
      </c>
      <c r="BR1463">
        <v>0</v>
      </c>
      <c r="BS1463">
        <v>0</v>
      </c>
      <c r="BT1463">
        <v>5</v>
      </c>
      <c r="BU1463">
        <v>1.7</v>
      </c>
    </row>
    <row r="1464" spans="1:73" ht="14.25" x14ac:dyDescent="0.15">
      <c r="A1464" s="12">
        <v>30411</v>
      </c>
      <c r="B1464">
        <v>7</v>
      </c>
      <c r="C1464" s="1">
        <v>45</v>
      </c>
      <c r="D1464">
        <v>0</v>
      </c>
      <c r="E1464">
        <v>0</v>
      </c>
      <c r="F1464">
        <v>1</v>
      </c>
      <c r="G1464" s="7">
        <v>0.05</v>
      </c>
      <c r="H1464">
        <v>12</v>
      </c>
      <c r="I1464">
        <v>0</v>
      </c>
      <c r="J1464">
        <v>0</v>
      </c>
      <c r="K1464">
        <v>0</v>
      </c>
      <c r="L1464">
        <v>1</v>
      </c>
      <c r="M1464">
        <v>2</v>
      </c>
      <c r="N1464" s="7">
        <v>9</v>
      </c>
      <c r="O1464" s="7">
        <v>0</v>
      </c>
      <c r="P1464" s="7">
        <v>0</v>
      </c>
      <c r="Q1464" s="7">
        <v>0</v>
      </c>
      <c r="R1464" s="7">
        <v>1</v>
      </c>
      <c r="S1464" s="7">
        <v>4.5</v>
      </c>
      <c r="T1464">
        <v>7</v>
      </c>
      <c r="U1464" s="1">
        <v>33</v>
      </c>
      <c r="V1464">
        <v>0</v>
      </c>
      <c r="W1464">
        <v>0</v>
      </c>
      <c r="X1464">
        <v>1</v>
      </c>
      <c r="Y1464">
        <v>0.16</v>
      </c>
      <c r="Z1464">
        <v>23</v>
      </c>
      <c r="AA1464">
        <v>0</v>
      </c>
      <c r="AB1464">
        <v>0</v>
      </c>
      <c r="AC1464">
        <v>0</v>
      </c>
      <c r="AD1464">
        <v>1</v>
      </c>
      <c r="AE1464">
        <v>0.05</v>
      </c>
      <c r="AF1464">
        <v>15</v>
      </c>
      <c r="AG1464">
        <v>0</v>
      </c>
      <c r="AH1464">
        <v>0</v>
      </c>
      <c r="AI1464">
        <v>0</v>
      </c>
      <c r="AJ1464">
        <v>1</v>
      </c>
      <c r="AK1464">
        <v>0.02</v>
      </c>
      <c r="AL1464">
        <v>16</v>
      </c>
      <c r="AM1464">
        <v>0</v>
      </c>
      <c r="AN1464">
        <v>0</v>
      </c>
      <c r="AO1464">
        <v>0</v>
      </c>
      <c r="AP1464">
        <v>1</v>
      </c>
      <c r="AQ1464">
        <v>0.01</v>
      </c>
      <c r="AX1464">
        <v>7</v>
      </c>
      <c r="AY1464" s="1">
        <v>17</v>
      </c>
      <c r="AZ1464">
        <v>0</v>
      </c>
      <c r="BA1464">
        <v>0</v>
      </c>
      <c r="BB1464">
        <v>1</v>
      </c>
      <c r="BC1464" s="7">
        <v>0.32</v>
      </c>
      <c r="BD1464">
        <v>30</v>
      </c>
      <c r="BE1464">
        <v>0</v>
      </c>
      <c r="BF1464">
        <v>0</v>
      </c>
      <c r="BG1464">
        <v>0</v>
      </c>
      <c r="BH1464">
        <v>5</v>
      </c>
      <c r="BI1464">
        <v>2.4</v>
      </c>
      <c r="BJ1464">
        <v>31</v>
      </c>
      <c r="BK1464">
        <v>0</v>
      </c>
      <c r="BL1464">
        <v>0</v>
      </c>
      <c r="BM1464">
        <v>0</v>
      </c>
      <c r="BN1464">
        <v>5</v>
      </c>
      <c r="BO1464">
        <v>2.4</v>
      </c>
      <c r="BP1464">
        <v>36</v>
      </c>
      <c r="BQ1464">
        <v>0</v>
      </c>
      <c r="BR1464">
        <v>0</v>
      </c>
      <c r="BS1464">
        <v>0</v>
      </c>
      <c r="BT1464">
        <v>5</v>
      </c>
      <c r="BU1464">
        <v>1.7</v>
      </c>
    </row>
    <row r="1465" spans="1:73" ht="14.25" x14ac:dyDescent="0.15">
      <c r="A1465" s="12">
        <v>30412</v>
      </c>
      <c r="B1465">
        <v>7</v>
      </c>
      <c r="C1465" s="1">
        <v>46</v>
      </c>
      <c r="D1465">
        <v>0</v>
      </c>
      <c r="E1465">
        <v>0</v>
      </c>
      <c r="F1465">
        <v>1</v>
      </c>
      <c r="G1465" s="7">
        <v>0.05</v>
      </c>
      <c r="H1465">
        <v>12</v>
      </c>
      <c r="I1465">
        <v>0</v>
      </c>
      <c r="J1465">
        <v>0</v>
      </c>
      <c r="K1465">
        <v>0</v>
      </c>
      <c r="L1465">
        <v>1</v>
      </c>
      <c r="M1465">
        <v>2</v>
      </c>
      <c r="N1465" s="7">
        <v>9</v>
      </c>
      <c r="O1465" s="7">
        <v>0</v>
      </c>
      <c r="P1465" s="7">
        <v>0</v>
      </c>
      <c r="Q1465" s="7">
        <v>0</v>
      </c>
      <c r="R1465" s="7">
        <v>1</v>
      </c>
      <c r="S1465" s="7">
        <v>4.5</v>
      </c>
      <c r="T1465">
        <v>7</v>
      </c>
      <c r="U1465" s="1">
        <v>34</v>
      </c>
      <c r="V1465">
        <v>0</v>
      </c>
      <c r="W1465">
        <v>0</v>
      </c>
      <c r="X1465">
        <v>1</v>
      </c>
      <c r="Y1465">
        <v>0.16</v>
      </c>
      <c r="Z1465">
        <v>23</v>
      </c>
      <c r="AA1465">
        <v>0</v>
      </c>
      <c r="AB1465">
        <v>0</v>
      </c>
      <c r="AC1465">
        <v>0</v>
      </c>
      <c r="AD1465">
        <v>1</v>
      </c>
      <c r="AE1465">
        <v>0.05</v>
      </c>
      <c r="AF1465">
        <v>15</v>
      </c>
      <c r="AG1465">
        <v>0</v>
      </c>
      <c r="AH1465">
        <v>0</v>
      </c>
      <c r="AI1465">
        <v>0</v>
      </c>
      <c r="AJ1465">
        <v>1</v>
      </c>
      <c r="AK1465">
        <v>0.02</v>
      </c>
      <c r="AL1465">
        <v>16</v>
      </c>
      <c r="AM1465">
        <v>0</v>
      </c>
      <c r="AN1465">
        <v>0</v>
      </c>
      <c r="AO1465">
        <v>0</v>
      </c>
      <c r="AP1465">
        <v>1</v>
      </c>
      <c r="AQ1465">
        <v>0.01</v>
      </c>
      <c r="AX1465">
        <v>7</v>
      </c>
      <c r="AY1465" s="1">
        <v>18</v>
      </c>
      <c r="AZ1465">
        <v>0</v>
      </c>
      <c r="BA1465">
        <v>0</v>
      </c>
      <c r="BB1465">
        <v>1</v>
      </c>
      <c r="BC1465" s="7">
        <v>0.32</v>
      </c>
      <c r="BD1465">
        <v>30</v>
      </c>
      <c r="BE1465">
        <v>0</v>
      </c>
      <c r="BF1465">
        <v>0</v>
      </c>
      <c r="BG1465">
        <v>0</v>
      </c>
      <c r="BH1465">
        <v>5</v>
      </c>
      <c r="BI1465">
        <v>2.4</v>
      </c>
      <c r="BJ1465">
        <v>31</v>
      </c>
      <c r="BK1465">
        <v>0</v>
      </c>
      <c r="BL1465">
        <v>0</v>
      </c>
      <c r="BM1465">
        <v>0</v>
      </c>
      <c r="BN1465">
        <v>5</v>
      </c>
      <c r="BO1465">
        <v>2.4</v>
      </c>
      <c r="BP1465">
        <v>36</v>
      </c>
      <c r="BQ1465">
        <v>0</v>
      </c>
      <c r="BR1465">
        <v>0</v>
      </c>
      <c r="BS1465">
        <v>0</v>
      </c>
      <c r="BT1465">
        <v>5</v>
      </c>
      <c r="BU1465">
        <v>1.7</v>
      </c>
    </row>
    <row r="1466" spans="1:73" ht="14.25" x14ac:dyDescent="0.15">
      <c r="A1466" s="12">
        <v>30413</v>
      </c>
      <c r="B1466">
        <v>7</v>
      </c>
      <c r="C1466" s="1">
        <v>47</v>
      </c>
      <c r="D1466">
        <v>0</v>
      </c>
      <c r="E1466">
        <v>0</v>
      </c>
      <c r="F1466">
        <v>1</v>
      </c>
      <c r="G1466" s="7">
        <v>0.05</v>
      </c>
      <c r="H1466">
        <v>12</v>
      </c>
      <c r="I1466">
        <v>0</v>
      </c>
      <c r="J1466">
        <v>0</v>
      </c>
      <c r="K1466">
        <v>0</v>
      </c>
      <c r="L1466">
        <v>1</v>
      </c>
      <c r="M1466">
        <v>2</v>
      </c>
      <c r="N1466" s="7">
        <v>9</v>
      </c>
      <c r="O1466" s="7">
        <v>0</v>
      </c>
      <c r="P1466" s="7">
        <v>0</v>
      </c>
      <c r="Q1466" s="7">
        <v>0</v>
      </c>
      <c r="R1466" s="7">
        <v>1</v>
      </c>
      <c r="S1466" s="7">
        <v>4.5</v>
      </c>
      <c r="T1466">
        <v>7</v>
      </c>
      <c r="U1466" s="1">
        <v>35</v>
      </c>
      <c r="V1466">
        <v>0</v>
      </c>
      <c r="W1466">
        <v>0</v>
      </c>
      <c r="X1466">
        <v>1</v>
      </c>
      <c r="Y1466">
        <v>0.16</v>
      </c>
      <c r="Z1466">
        <v>23</v>
      </c>
      <c r="AA1466">
        <v>0</v>
      </c>
      <c r="AB1466">
        <v>0</v>
      </c>
      <c r="AC1466">
        <v>0</v>
      </c>
      <c r="AD1466">
        <v>1</v>
      </c>
      <c r="AE1466">
        <v>0.05</v>
      </c>
      <c r="AF1466">
        <v>15</v>
      </c>
      <c r="AG1466">
        <v>0</v>
      </c>
      <c r="AH1466">
        <v>0</v>
      </c>
      <c r="AI1466">
        <v>0</v>
      </c>
      <c r="AJ1466">
        <v>1</v>
      </c>
      <c r="AK1466">
        <v>0.02</v>
      </c>
      <c r="AL1466">
        <v>16</v>
      </c>
      <c r="AM1466">
        <v>0</v>
      </c>
      <c r="AN1466">
        <v>0</v>
      </c>
      <c r="AO1466">
        <v>0</v>
      </c>
      <c r="AP1466">
        <v>1</v>
      </c>
      <c r="AQ1466">
        <v>0.01</v>
      </c>
      <c r="AX1466">
        <v>7</v>
      </c>
      <c r="AY1466" s="1">
        <v>19</v>
      </c>
      <c r="AZ1466">
        <v>0</v>
      </c>
      <c r="BA1466">
        <v>0</v>
      </c>
      <c r="BB1466">
        <v>1</v>
      </c>
      <c r="BC1466" s="7">
        <v>0.32</v>
      </c>
      <c r="BD1466">
        <v>30</v>
      </c>
      <c r="BE1466">
        <v>0</v>
      </c>
      <c r="BF1466">
        <v>0</v>
      </c>
      <c r="BG1466">
        <v>0</v>
      </c>
      <c r="BH1466">
        <v>5</v>
      </c>
      <c r="BI1466">
        <v>2.4</v>
      </c>
      <c r="BJ1466">
        <v>31</v>
      </c>
      <c r="BK1466">
        <v>0</v>
      </c>
      <c r="BL1466">
        <v>0</v>
      </c>
      <c r="BM1466">
        <v>0</v>
      </c>
      <c r="BN1466">
        <v>5</v>
      </c>
      <c r="BO1466">
        <v>2.4</v>
      </c>
      <c r="BP1466">
        <v>36</v>
      </c>
      <c r="BQ1466">
        <v>0</v>
      </c>
      <c r="BR1466">
        <v>0</v>
      </c>
      <c r="BS1466">
        <v>0</v>
      </c>
      <c r="BT1466">
        <v>5</v>
      </c>
      <c r="BU1466">
        <v>1.7</v>
      </c>
    </row>
    <row r="1467" spans="1:73" ht="14.25" x14ac:dyDescent="0.15">
      <c r="A1467" s="12">
        <v>30414</v>
      </c>
      <c r="B1467">
        <v>7</v>
      </c>
      <c r="C1467" s="1">
        <v>48</v>
      </c>
      <c r="D1467">
        <v>0</v>
      </c>
      <c r="E1467">
        <v>0</v>
      </c>
      <c r="F1467">
        <v>1</v>
      </c>
      <c r="G1467" s="7">
        <v>0.05</v>
      </c>
      <c r="H1467">
        <v>12</v>
      </c>
      <c r="I1467">
        <v>0</v>
      </c>
      <c r="J1467">
        <v>0</v>
      </c>
      <c r="K1467">
        <v>0</v>
      </c>
      <c r="L1467">
        <v>1</v>
      </c>
      <c r="M1467">
        <v>2</v>
      </c>
      <c r="N1467" s="7">
        <v>9</v>
      </c>
      <c r="O1467" s="7">
        <v>0</v>
      </c>
      <c r="P1467" s="7">
        <v>0</v>
      </c>
      <c r="Q1467" s="7">
        <v>0</v>
      </c>
      <c r="R1467" s="7">
        <v>1</v>
      </c>
      <c r="S1467" s="7">
        <v>4.5</v>
      </c>
      <c r="T1467">
        <v>7</v>
      </c>
      <c r="U1467" s="1">
        <v>36</v>
      </c>
      <c r="V1467">
        <v>0</v>
      </c>
      <c r="W1467">
        <v>0</v>
      </c>
      <c r="X1467">
        <v>1</v>
      </c>
      <c r="Y1467">
        <v>0.16</v>
      </c>
      <c r="Z1467">
        <v>23</v>
      </c>
      <c r="AA1467">
        <v>0</v>
      </c>
      <c r="AB1467">
        <v>0</v>
      </c>
      <c r="AC1467">
        <v>0</v>
      </c>
      <c r="AD1467">
        <v>1</v>
      </c>
      <c r="AE1467">
        <v>0.05</v>
      </c>
      <c r="AF1467">
        <v>15</v>
      </c>
      <c r="AG1467">
        <v>0</v>
      </c>
      <c r="AH1467">
        <v>0</v>
      </c>
      <c r="AI1467">
        <v>0</v>
      </c>
      <c r="AJ1467">
        <v>1</v>
      </c>
      <c r="AK1467">
        <v>0.02</v>
      </c>
      <c r="AL1467">
        <v>16</v>
      </c>
      <c r="AM1467">
        <v>0</v>
      </c>
      <c r="AN1467">
        <v>0</v>
      </c>
      <c r="AO1467">
        <v>0</v>
      </c>
      <c r="AP1467">
        <v>1</v>
      </c>
      <c r="AQ1467">
        <v>0.01</v>
      </c>
      <c r="AX1467">
        <v>7</v>
      </c>
      <c r="AY1467" s="1">
        <v>20</v>
      </c>
      <c r="AZ1467">
        <v>0</v>
      </c>
      <c r="BA1467">
        <v>0</v>
      </c>
      <c r="BB1467">
        <v>1</v>
      </c>
      <c r="BC1467" s="7">
        <v>0.32</v>
      </c>
      <c r="BD1467">
        <v>30</v>
      </c>
      <c r="BE1467">
        <v>0</v>
      </c>
      <c r="BF1467">
        <v>0</v>
      </c>
      <c r="BG1467">
        <v>0</v>
      </c>
      <c r="BH1467">
        <v>5</v>
      </c>
      <c r="BI1467">
        <v>2.4</v>
      </c>
      <c r="BJ1467">
        <v>31</v>
      </c>
      <c r="BK1467">
        <v>0</v>
      </c>
      <c r="BL1467">
        <v>0</v>
      </c>
      <c r="BM1467">
        <v>0</v>
      </c>
      <c r="BN1467">
        <v>5</v>
      </c>
      <c r="BO1467">
        <v>2.4</v>
      </c>
      <c r="BP1467">
        <v>36</v>
      </c>
      <c r="BQ1467">
        <v>0</v>
      </c>
      <c r="BR1467">
        <v>0</v>
      </c>
      <c r="BS1467">
        <v>0</v>
      </c>
      <c r="BT1467">
        <v>5</v>
      </c>
      <c r="BU1467">
        <v>1.7</v>
      </c>
    </row>
    <row r="1468" spans="1:73" ht="14.25" x14ac:dyDescent="0.15">
      <c r="A1468" s="12">
        <v>30415</v>
      </c>
      <c r="B1468">
        <v>7</v>
      </c>
      <c r="C1468" s="1">
        <v>0</v>
      </c>
      <c r="D1468">
        <v>5</v>
      </c>
      <c r="E1468">
        <v>1</v>
      </c>
      <c r="F1468">
        <v>1</v>
      </c>
      <c r="G1468" s="7">
        <v>0.05</v>
      </c>
      <c r="H1468">
        <v>12</v>
      </c>
      <c r="I1468">
        <v>0</v>
      </c>
      <c r="J1468">
        <v>0</v>
      </c>
      <c r="K1468">
        <v>0</v>
      </c>
      <c r="L1468">
        <v>1</v>
      </c>
      <c r="M1468">
        <v>2</v>
      </c>
      <c r="N1468" s="7">
        <v>9</v>
      </c>
      <c r="O1468" s="7">
        <v>0</v>
      </c>
      <c r="P1468" s="7">
        <v>0</v>
      </c>
      <c r="Q1468" s="7">
        <v>0</v>
      </c>
      <c r="R1468" s="7">
        <v>1</v>
      </c>
      <c r="S1468" s="7">
        <v>4.5</v>
      </c>
      <c r="T1468">
        <v>7</v>
      </c>
      <c r="U1468" s="1">
        <v>0</v>
      </c>
      <c r="V1468">
        <v>4</v>
      </c>
      <c r="W1468">
        <v>2</v>
      </c>
      <c r="X1468">
        <v>1</v>
      </c>
      <c r="Y1468">
        <v>0.16</v>
      </c>
      <c r="Z1468">
        <v>23</v>
      </c>
      <c r="AA1468">
        <v>0</v>
      </c>
      <c r="AB1468">
        <v>0</v>
      </c>
      <c r="AC1468">
        <v>0</v>
      </c>
      <c r="AD1468">
        <v>1</v>
      </c>
      <c r="AE1468">
        <v>0.05</v>
      </c>
      <c r="AF1468">
        <v>15</v>
      </c>
      <c r="AG1468">
        <v>0</v>
      </c>
      <c r="AH1468">
        <v>0</v>
      </c>
      <c r="AI1468">
        <v>0</v>
      </c>
      <c r="AJ1468">
        <v>1</v>
      </c>
      <c r="AK1468">
        <v>0.02</v>
      </c>
      <c r="AL1468">
        <v>16</v>
      </c>
      <c r="AM1468">
        <v>0</v>
      </c>
      <c r="AN1468">
        <v>0</v>
      </c>
      <c r="AO1468">
        <v>0</v>
      </c>
      <c r="AP1468">
        <v>1</v>
      </c>
      <c r="AQ1468">
        <v>0.01</v>
      </c>
      <c r="AR1468">
        <v>6</v>
      </c>
      <c r="AS1468">
        <v>2</v>
      </c>
      <c r="AT1468">
        <v>3</v>
      </c>
      <c r="AU1468">
        <v>5</v>
      </c>
      <c r="AV1468">
        <v>1</v>
      </c>
      <c r="AW1468">
        <v>0.05</v>
      </c>
      <c r="AX1468">
        <v>7</v>
      </c>
      <c r="AY1468" s="1">
        <v>0</v>
      </c>
      <c r="AZ1468">
        <v>3</v>
      </c>
      <c r="BA1468">
        <v>1</v>
      </c>
      <c r="BB1468">
        <v>1</v>
      </c>
      <c r="BC1468" s="7">
        <v>0.32</v>
      </c>
      <c r="BD1468">
        <v>30</v>
      </c>
      <c r="BE1468">
        <v>0</v>
      </c>
      <c r="BF1468">
        <v>0</v>
      </c>
      <c r="BG1468">
        <v>0</v>
      </c>
      <c r="BH1468">
        <v>5</v>
      </c>
      <c r="BI1468">
        <v>2.4</v>
      </c>
      <c r="BJ1468">
        <v>31</v>
      </c>
      <c r="BK1468">
        <v>0</v>
      </c>
      <c r="BL1468">
        <v>0</v>
      </c>
      <c r="BM1468">
        <v>0</v>
      </c>
      <c r="BN1468">
        <v>5</v>
      </c>
      <c r="BO1468">
        <v>2.4</v>
      </c>
      <c r="BP1468">
        <v>36</v>
      </c>
      <c r="BQ1468">
        <v>0</v>
      </c>
      <c r="BR1468">
        <v>0</v>
      </c>
      <c r="BS1468">
        <v>0</v>
      </c>
      <c r="BT1468">
        <v>5</v>
      </c>
      <c r="BU1468">
        <v>1.7</v>
      </c>
    </row>
    <row r="1469" spans="1:73" ht="14.25" x14ac:dyDescent="0.15">
      <c r="A1469" s="12">
        <v>30416</v>
      </c>
      <c r="B1469">
        <v>7</v>
      </c>
      <c r="C1469" s="1">
        <v>45</v>
      </c>
      <c r="D1469">
        <v>0</v>
      </c>
      <c r="E1469">
        <v>0</v>
      </c>
      <c r="F1469">
        <v>1</v>
      </c>
      <c r="G1469" s="7">
        <v>0.05</v>
      </c>
      <c r="H1469">
        <v>12</v>
      </c>
      <c r="I1469">
        <v>0</v>
      </c>
      <c r="J1469">
        <v>0</v>
      </c>
      <c r="K1469">
        <v>0</v>
      </c>
      <c r="L1469">
        <v>1</v>
      </c>
      <c r="M1469">
        <v>2</v>
      </c>
      <c r="N1469" s="7">
        <v>9</v>
      </c>
      <c r="O1469" s="7">
        <v>0</v>
      </c>
      <c r="P1469" s="7">
        <v>0</v>
      </c>
      <c r="Q1469" s="7">
        <v>0</v>
      </c>
      <c r="R1469" s="7">
        <v>1</v>
      </c>
      <c r="S1469" s="7">
        <v>4.5</v>
      </c>
      <c r="T1469">
        <v>7</v>
      </c>
      <c r="U1469" s="1">
        <v>33</v>
      </c>
      <c r="V1469">
        <v>0</v>
      </c>
      <c r="W1469">
        <v>0</v>
      </c>
      <c r="X1469">
        <v>1</v>
      </c>
      <c r="Y1469">
        <v>0.16</v>
      </c>
      <c r="Z1469">
        <v>23</v>
      </c>
      <c r="AA1469">
        <v>0</v>
      </c>
      <c r="AB1469">
        <v>0</v>
      </c>
      <c r="AC1469">
        <v>0</v>
      </c>
      <c r="AD1469">
        <v>1</v>
      </c>
      <c r="AE1469">
        <v>0.05</v>
      </c>
      <c r="AF1469">
        <v>15</v>
      </c>
      <c r="AG1469">
        <v>0</v>
      </c>
      <c r="AH1469">
        <v>0</v>
      </c>
      <c r="AI1469">
        <v>0</v>
      </c>
      <c r="AJ1469">
        <v>1</v>
      </c>
      <c r="AK1469">
        <v>0.02</v>
      </c>
      <c r="AL1469">
        <v>16</v>
      </c>
      <c r="AM1469">
        <v>0</v>
      </c>
      <c r="AN1469">
        <v>0</v>
      </c>
      <c r="AO1469">
        <v>0</v>
      </c>
      <c r="AP1469">
        <v>1</v>
      </c>
      <c r="AQ1469">
        <v>0.01</v>
      </c>
      <c r="AX1469">
        <v>7</v>
      </c>
      <c r="AY1469" s="1">
        <v>17</v>
      </c>
      <c r="AZ1469">
        <v>0</v>
      </c>
      <c r="BA1469">
        <v>0</v>
      </c>
      <c r="BB1469">
        <v>1</v>
      </c>
      <c r="BC1469" s="7">
        <v>0.32</v>
      </c>
      <c r="BD1469">
        <v>30</v>
      </c>
      <c r="BE1469">
        <v>0</v>
      </c>
      <c r="BF1469">
        <v>0</v>
      </c>
      <c r="BG1469">
        <v>0</v>
      </c>
      <c r="BH1469">
        <v>5</v>
      </c>
      <c r="BI1469">
        <v>2.4</v>
      </c>
      <c r="BJ1469">
        <v>31</v>
      </c>
      <c r="BK1469">
        <v>0</v>
      </c>
      <c r="BL1469">
        <v>0</v>
      </c>
      <c r="BM1469">
        <v>0</v>
      </c>
      <c r="BN1469">
        <v>5</v>
      </c>
      <c r="BO1469">
        <v>2.4</v>
      </c>
      <c r="BP1469">
        <v>36</v>
      </c>
      <c r="BQ1469">
        <v>0</v>
      </c>
      <c r="BR1469">
        <v>0</v>
      </c>
      <c r="BS1469">
        <v>0</v>
      </c>
      <c r="BT1469">
        <v>5</v>
      </c>
      <c r="BU1469">
        <v>1.7</v>
      </c>
    </row>
    <row r="1470" spans="1:73" ht="14.25" x14ac:dyDescent="0.15">
      <c r="A1470" s="12">
        <v>30417</v>
      </c>
      <c r="B1470">
        <v>7</v>
      </c>
      <c r="C1470" s="1">
        <v>46</v>
      </c>
      <c r="D1470">
        <v>0</v>
      </c>
      <c r="E1470">
        <v>0</v>
      </c>
      <c r="F1470">
        <v>1</v>
      </c>
      <c r="G1470" s="7">
        <v>0.05</v>
      </c>
      <c r="H1470">
        <v>12</v>
      </c>
      <c r="I1470">
        <v>0</v>
      </c>
      <c r="J1470">
        <v>0</v>
      </c>
      <c r="K1470">
        <v>0</v>
      </c>
      <c r="L1470">
        <v>1</v>
      </c>
      <c r="M1470">
        <v>2</v>
      </c>
      <c r="N1470" s="7">
        <v>9</v>
      </c>
      <c r="O1470" s="7">
        <v>0</v>
      </c>
      <c r="P1470" s="7">
        <v>0</v>
      </c>
      <c r="Q1470" s="7">
        <v>0</v>
      </c>
      <c r="R1470" s="7">
        <v>1</v>
      </c>
      <c r="S1470" s="7">
        <v>4.5</v>
      </c>
      <c r="T1470">
        <v>7</v>
      </c>
      <c r="U1470" s="1">
        <v>34</v>
      </c>
      <c r="V1470">
        <v>0</v>
      </c>
      <c r="W1470">
        <v>0</v>
      </c>
      <c r="X1470">
        <v>1</v>
      </c>
      <c r="Y1470">
        <v>0.16</v>
      </c>
      <c r="Z1470">
        <v>23</v>
      </c>
      <c r="AA1470">
        <v>0</v>
      </c>
      <c r="AB1470">
        <v>0</v>
      </c>
      <c r="AC1470">
        <v>0</v>
      </c>
      <c r="AD1470">
        <v>1</v>
      </c>
      <c r="AE1470">
        <v>0.05</v>
      </c>
      <c r="AF1470">
        <v>15</v>
      </c>
      <c r="AG1470">
        <v>0</v>
      </c>
      <c r="AH1470">
        <v>0</v>
      </c>
      <c r="AI1470">
        <v>0</v>
      </c>
      <c r="AJ1470">
        <v>1</v>
      </c>
      <c r="AK1470">
        <v>0.02</v>
      </c>
      <c r="AL1470">
        <v>16</v>
      </c>
      <c r="AM1470">
        <v>0</v>
      </c>
      <c r="AN1470">
        <v>0</v>
      </c>
      <c r="AO1470">
        <v>0</v>
      </c>
      <c r="AP1470">
        <v>1</v>
      </c>
      <c r="AQ1470">
        <v>0.01</v>
      </c>
      <c r="AX1470">
        <v>7</v>
      </c>
      <c r="AY1470" s="1">
        <v>18</v>
      </c>
      <c r="AZ1470">
        <v>0</v>
      </c>
      <c r="BA1470">
        <v>0</v>
      </c>
      <c r="BB1470">
        <v>1</v>
      </c>
      <c r="BC1470" s="7">
        <v>0.32</v>
      </c>
      <c r="BD1470">
        <v>30</v>
      </c>
      <c r="BE1470">
        <v>0</v>
      </c>
      <c r="BF1470">
        <v>0</v>
      </c>
      <c r="BG1470">
        <v>0</v>
      </c>
      <c r="BH1470">
        <v>5</v>
      </c>
      <c r="BI1470">
        <v>2.4</v>
      </c>
      <c r="BJ1470">
        <v>31</v>
      </c>
      <c r="BK1470">
        <v>0</v>
      </c>
      <c r="BL1470">
        <v>0</v>
      </c>
      <c r="BM1470">
        <v>0</v>
      </c>
      <c r="BN1470">
        <v>5</v>
      </c>
      <c r="BO1470">
        <v>2.4</v>
      </c>
      <c r="BP1470">
        <v>36</v>
      </c>
      <c r="BQ1470">
        <v>0</v>
      </c>
      <c r="BR1470">
        <v>0</v>
      </c>
      <c r="BS1470">
        <v>0</v>
      </c>
      <c r="BT1470">
        <v>5</v>
      </c>
      <c r="BU1470">
        <v>1.7</v>
      </c>
    </row>
    <row r="1471" spans="1:73" ht="14.25" x14ac:dyDescent="0.15">
      <c r="A1471" s="12">
        <v>30418</v>
      </c>
      <c r="B1471">
        <v>7</v>
      </c>
      <c r="C1471" s="1">
        <v>47</v>
      </c>
      <c r="D1471">
        <v>0</v>
      </c>
      <c r="E1471">
        <v>0</v>
      </c>
      <c r="F1471">
        <v>1</v>
      </c>
      <c r="G1471" s="7">
        <v>0.05</v>
      </c>
      <c r="H1471">
        <v>12</v>
      </c>
      <c r="I1471">
        <v>0</v>
      </c>
      <c r="J1471">
        <v>0</v>
      </c>
      <c r="K1471">
        <v>0</v>
      </c>
      <c r="L1471">
        <v>1</v>
      </c>
      <c r="M1471">
        <v>2</v>
      </c>
      <c r="N1471" s="7">
        <v>9</v>
      </c>
      <c r="O1471" s="7">
        <v>0</v>
      </c>
      <c r="P1471" s="7">
        <v>0</v>
      </c>
      <c r="Q1471" s="7">
        <v>0</v>
      </c>
      <c r="R1471" s="7">
        <v>1</v>
      </c>
      <c r="S1471" s="7">
        <v>4.5</v>
      </c>
      <c r="T1471">
        <v>7</v>
      </c>
      <c r="U1471" s="1">
        <v>35</v>
      </c>
      <c r="V1471">
        <v>0</v>
      </c>
      <c r="W1471">
        <v>0</v>
      </c>
      <c r="X1471">
        <v>1</v>
      </c>
      <c r="Y1471">
        <v>0.16</v>
      </c>
      <c r="Z1471">
        <v>23</v>
      </c>
      <c r="AA1471">
        <v>0</v>
      </c>
      <c r="AB1471">
        <v>0</v>
      </c>
      <c r="AC1471">
        <v>0</v>
      </c>
      <c r="AD1471">
        <v>1</v>
      </c>
      <c r="AE1471">
        <v>0.05</v>
      </c>
      <c r="AF1471">
        <v>15</v>
      </c>
      <c r="AG1471">
        <v>0</v>
      </c>
      <c r="AH1471">
        <v>0</v>
      </c>
      <c r="AI1471">
        <v>0</v>
      </c>
      <c r="AJ1471">
        <v>1</v>
      </c>
      <c r="AK1471">
        <v>0.02</v>
      </c>
      <c r="AL1471">
        <v>16</v>
      </c>
      <c r="AM1471">
        <v>0</v>
      </c>
      <c r="AN1471">
        <v>0</v>
      </c>
      <c r="AO1471">
        <v>0</v>
      </c>
      <c r="AP1471">
        <v>1</v>
      </c>
      <c r="AQ1471">
        <v>0.01</v>
      </c>
      <c r="AX1471">
        <v>7</v>
      </c>
      <c r="AY1471" s="1">
        <v>19</v>
      </c>
      <c r="AZ1471">
        <v>0</v>
      </c>
      <c r="BA1471">
        <v>0</v>
      </c>
      <c r="BB1471">
        <v>1</v>
      </c>
      <c r="BC1471" s="7">
        <v>0.32</v>
      </c>
      <c r="BD1471">
        <v>30</v>
      </c>
      <c r="BE1471">
        <v>0</v>
      </c>
      <c r="BF1471">
        <v>0</v>
      </c>
      <c r="BG1471">
        <v>0</v>
      </c>
      <c r="BH1471">
        <v>5</v>
      </c>
      <c r="BI1471">
        <v>2.4</v>
      </c>
      <c r="BJ1471">
        <v>31</v>
      </c>
      <c r="BK1471">
        <v>0</v>
      </c>
      <c r="BL1471">
        <v>0</v>
      </c>
      <c r="BM1471">
        <v>0</v>
      </c>
      <c r="BN1471">
        <v>5</v>
      </c>
      <c r="BO1471">
        <v>2.4</v>
      </c>
      <c r="BP1471">
        <v>36</v>
      </c>
      <c r="BQ1471">
        <v>0</v>
      </c>
      <c r="BR1471">
        <v>0</v>
      </c>
      <c r="BS1471">
        <v>0</v>
      </c>
      <c r="BT1471">
        <v>5</v>
      </c>
      <c r="BU1471">
        <v>1.7</v>
      </c>
    </row>
    <row r="1472" spans="1:73" ht="14.25" x14ac:dyDescent="0.15">
      <c r="A1472" s="12">
        <v>30419</v>
      </c>
      <c r="B1472">
        <v>7</v>
      </c>
      <c r="C1472" s="1">
        <v>48</v>
      </c>
      <c r="D1472">
        <v>0</v>
      </c>
      <c r="E1472">
        <v>0</v>
      </c>
      <c r="F1472">
        <v>1</v>
      </c>
      <c r="G1472" s="7">
        <v>0.05</v>
      </c>
      <c r="H1472">
        <v>12</v>
      </c>
      <c r="I1472">
        <v>0</v>
      </c>
      <c r="J1472">
        <v>0</v>
      </c>
      <c r="K1472">
        <v>0</v>
      </c>
      <c r="L1472">
        <v>1</v>
      </c>
      <c r="M1472">
        <v>2</v>
      </c>
      <c r="N1472" s="7">
        <v>9</v>
      </c>
      <c r="O1472" s="7">
        <v>0</v>
      </c>
      <c r="P1472" s="7">
        <v>0</v>
      </c>
      <c r="Q1472" s="7">
        <v>0</v>
      </c>
      <c r="R1472" s="7">
        <v>1</v>
      </c>
      <c r="S1472" s="7">
        <v>4.5</v>
      </c>
      <c r="T1472">
        <v>7</v>
      </c>
      <c r="U1472" s="1">
        <v>36</v>
      </c>
      <c r="V1472">
        <v>0</v>
      </c>
      <c r="W1472">
        <v>0</v>
      </c>
      <c r="X1472">
        <v>1</v>
      </c>
      <c r="Y1472">
        <v>0.16</v>
      </c>
      <c r="Z1472">
        <v>23</v>
      </c>
      <c r="AA1472">
        <v>0</v>
      </c>
      <c r="AB1472">
        <v>0</v>
      </c>
      <c r="AC1472">
        <v>0</v>
      </c>
      <c r="AD1472">
        <v>1</v>
      </c>
      <c r="AE1472">
        <v>0.05</v>
      </c>
      <c r="AF1472">
        <v>15</v>
      </c>
      <c r="AG1472">
        <v>0</v>
      </c>
      <c r="AH1472">
        <v>0</v>
      </c>
      <c r="AI1472">
        <v>0</v>
      </c>
      <c r="AJ1472">
        <v>1</v>
      </c>
      <c r="AK1472">
        <v>0.02</v>
      </c>
      <c r="AL1472">
        <v>16</v>
      </c>
      <c r="AM1472">
        <v>0</v>
      </c>
      <c r="AN1472">
        <v>0</v>
      </c>
      <c r="AO1472">
        <v>0</v>
      </c>
      <c r="AP1472">
        <v>1</v>
      </c>
      <c r="AQ1472">
        <v>0.01</v>
      </c>
      <c r="AX1472">
        <v>7</v>
      </c>
      <c r="AY1472" s="1">
        <v>20</v>
      </c>
      <c r="AZ1472">
        <v>0</v>
      </c>
      <c r="BA1472">
        <v>0</v>
      </c>
      <c r="BB1472">
        <v>1</v>
      </c>
      <c r="BC1472" s="7">
        <v>0.32</v>
      </c>
      <c r="BD1472">
        <v>30</v>
      </c>
      <c r="BE1472">
        <v>0</v>
      </c>
      <c r="BF1472">
        <v>0</v>
      </c>
      <c r="BG1472">
        <v>0</v>
      </c>
      <c r="BH1472">
        <v>5</v>
      </c>
      <c r="BI1472">
        <v>2.4</v>
      </c>
      <c r="BJ1472">
        <v>31</v>
      </c>
      <c r="BK1472">
        <v>0</v>
      </c>
      <c r="BL1472">
        <v>0</v>
      </c>
      <c r="BM1472">
        <v>0</v>
      </c>
      <c r="BN1472">
        <v>5</v>
      </c>
      <c r="BO1472">
        <v>2.4</v>
      </c>
      <c r="BP1472">
        <v>36</v>
      </c>
      <c r="BQ1472">
        <v>0</v>
      </c>
      <c r="BR1472">
        <v>0</v>
      </c>
      <c r="BS1472">
        <v>0</v>
      </c>
      <c r="BT1472">
        <v>5</v>
      </c>
      <c r="BU1472">
        <v>1.7</v>
      </c>
    </row>
    <row r="1473" spans="1:73" ht="14.25" x14ac:dyDescent="0.15">
      <c r="A1473" s="12">
        <v>30420</v>
      </c>
      <c r="B1473">
        <v>7</v>
      </c>
      <c r="C1473" s="1">
        <v>0</v>
      </c>
      <c r="D1473">
        <v>5</v>
      </c>
      <c r="E1473">
        <v>1</v>
      </c>
      <c r="F1473">
        <v>1</v>
      </c>
      <c r="G1473" s="7">
        <v>0.05</v>
      </c>
      <c r="H1473">
        <v>12</v>
      </c>
      <c r="I1473">
        <v>0</v>
      </c>
      <c r="J1473">
        <v>0</v>
      </c>
      <c r="K1473">
        <v>0</v>
      </c>
      <c r="L1473">
        <v>1</v>
      </c>
      <c r="M1473">
        <v>2</v>
      </c>
      <c r="N1473" s="7">
        <v>9</v>
      </c>
      <c r="O1473" s="7">
        <v>0</v>
      </c>
      <c r="P1473" s="7">
        <v>0</v>
      </c>
      <c r="Q1473" s="7">
        <v>0</v>
      </c>
      <c r="R1473" s="7">
        <v>1</v>
      </c>
      <c r="S1473" s="7">
        <v>4.5</v>
      </c>
      <c r="T1473">
        <v>7</v>
      </c>
      <c r="U1473" s="1">
        <v>0</v>
      </c>
      <c r="V1473">
        <v>4</v>
      </c>
      <c r="W1473">
        <v>2</v>
      </c>
      <c r="X1473">
        <v>1</v>
      </c>
      <c r="Y1473">
        <v>0.16</v>
      </c>
      <c r="Z1473">
        <v>23</v>
      </c>
      <c r="AA1473">
        <v>0</v>
      </c>
      <c r="AB1473">
        <v>0</v>
      </c>
      <c r="AC1473">
        <v>0</v>
      </c>
      <c r="AD1473">
        <v>1</v>
      </c>
      <c r="AE1473">
        <v>0.05</v>
      </c>
      <c r="AF1473">
        <v>15</v>
      </c>
      <c r="AG1473">
        <v>0</v>
      </c>
      <c r="AH1473">
        <v>0</v>
      </c>
      <c r="AI1473">
        <v>0</v>
      </c>
      <c r="AJ1473">
        <v>1</v>
      </c>
      <c r="AK1473">
        <v>0.02</v>
      </c>
      <c r="AL1473">
        <v>16</v>
      </c>
      <c r="AM1473">
        <v>0</v>
      </c>
      <c r="AN1473">
        <v>0</v>
      </c>
      <c r="AO1473">
        <v>0</v>
      </c>
      <c r="AP1473">
        <v>1</v>
      </c>
      <c r="AQ1473">
        <v>0.01</v>
      </c>
      <c r="AR1473">
        <v>6</v>
      </c>
      <c r="AS1473">
        <v>2</v>
      </c>
      <c r="AT1473">
        <v>4</v>
      </c>
      <c r="AU1473">
        <v>5</v>
      </c>
      <c r="AV1473">
        <v>1</v>
      </c>
      <c r="AW1473">
        <v>0.01</v>
      </c>
      <c r="AX1473">
        <v>7</v>
      </c>
      <c r="AY1473" s="1">
        <v>0</v>
      </c>
      <c r="AZ1473">
        <v>3</v>
      </c>
      <c r="BA1473">
        <v>1</v>
      </c>
      <c r="BB1473">
        <v>1</v>
      </c>
      <c r="BC1473" s="7">
        <v>0.32</v>
      </c>
      <c r="BD1473">
        <v>30</v>
      </c>
      <c r="BE1473">
        <v>0</v>
      </c>
      <c r="BF1473">
        <v>0</v>
      </c>
      <c r="BG1473">
        <v>0</v>
      </c>
      <c r="BH1473">
        <v>5</v>
      </c>
      <c r="BI1473">
        <v>2.4</v>
      </c>
      <c r="BJ1473">
        <v>31</v>
      </c>
      <c r="BK1473">
        <v>0</v>
      </c>
      <c r="BL1473">
        <v>0</v>
      </c>
      <c r="BM1473">
        <v>0</v>
      </c>
      <c r="BN1473">
        <v>5</v>
      </c>
      <c r="BO1473">
        <v>2.4</v>
      </c>
      <c r="BP1473">
        <v>36</v>
      </c>
      <c r="BQ1473">
        <v>0</v>
      </c>
      <c r="BR1473">
        <v>0</v>
      </c>
      <c r="BS1473">
        <v>0</v>
      </c>
      <c r="BT1473">
        <v>5</v>
      </c>
      <c r="BU1473">
        <v>1.7</v>
      </c>
    </row>
    <row r="1474" spans="1:73" ht="14.25" x14ac:dyDescent="0.15">
      <c r="A1474" s="12">
        <v>30421</v>
      </c>
      <c r="B1474">
        <v>7</v>
      </c>
      <c r="C1474" s="1">
        <v>45</v>
      </c>
      <c r="D1474">
        <v>0</v>
      </c>
      <c r="E1474">
        <v>0</v>
      </c>
      <c r="F1474">
        <v>1</v>
      </c>
      <c r="G1474" s="7">
        <v>0.05</v>
      </c>
      <c r="H1474">
        <v>12</v>
      </c>
      <c r="I1474">
        <v>0</v>
      </c>
      <c r="J1474">
        <v>0</v>
      </c>
      <c r="K1474">
        <v>0</v>
      </c>
      <c r="L1474">
        <v>1</v>
      </c>
      <c r="M1474">
        <v>2</v>
      </c>
      <c r="N1474" s="7">
        <v>9</v>
      </c>
      <c r="O1474" s="7">
        <v>0</v>
      </c>
      <c r="P1474" s="7">
        <v>0</v>
      </c>
      <c r="Q1474" s="7">
        <v>0</v>
      </c>
      <c r="R1474" s="7">
        <v>1</v>
      </c>
      <c r="S1474" s="7">
        <v>4.5</v>
      </c>
      <c r="T1474">
        <v>7</v>
      </c>
      <c r="U1474" s="1">
        <v>33</v>
      </c>
      <c r="V1474">
        <v>0</v>
      </c>
      <c r="W1474">
        <v>0</v>
      </c>
      <c r="X1474">
        <v>1</v>
      </c>
      <c r="Y1474">
        <v>0.16</v>
      </c>
      <c r="Z1474">
        <v>23</v>
      </c>
      <c r="AA1474">
        <v>0</v>
      </c>
      <c r="AB1474">
        <v>0</v>
      </c>
      <c r="AC1474">
        <v>0</v>
      </c>
      <c r="AD1474">
        <v>1</v>
      </c>
      <c r="AE1474">
        <v>0.05</v>
      </c>
      <c r="AF1474">
        <v>15</v>
      </c>
      <c r="AG1474">
        <v>0</v>
      </c>
      <c r="AH1474">
        <v>0</v>
      </c>
      <c r="AI1474">
        <v>0</v>
      </c>
      <c r="AJ1474">
        <v>1</v>
      </c>
      <c r="AK1474">
        <v>0.02</v>
      </c>
      <c r="AL1474">
        <v>16</v>
      </c>
      <c r="AM1474">
        <v>0</v>
      </c>
      <c r="AN1474">
        <v>0</v>
      </c>
      <c r="AO1474">
        <v>0</v>
      </c>
      <c r="AP1474">
        <v>1</v>
      </c>
      <c r="AQ1474">
        <v>0.01</v>
      </c>
      <c r="AX1474">
        <v>7</v>
      </c>
      <c r="AY1474" s="1">
        <v>17</v>
      </c>
      <c r="AZ1474">
        <v>0</v>
      </c>
      <c r="BA1474">
        <v>0</v>
      </c>
      <c r="BB1474">
        <v>1</v>
      </c>
      <c r="BC1474" s="7">
        <v>0.32</v>
      </c>
      <c r="BD1474">
        <v>30</v>
      </c>
      <c r="BE1474">
        <v>0</v>
      </c>
      <c r="BF1474">
        <v>0</v>
      </c>
      <c r="BG1474">
        <v>0</v>
      </c>
      <c r="BH1474">
        <v>5</v>
      </c>
      <c r="BI1474">
        <v>2.4</v>
      </c>
      <c r="BJ1474">
        <v>31</v>
      </c>
      <c r="BK1474">
        <v>0</v>
      </c>
      <c r="BL1474">
        <v>0</v>
      </c>
      <c r="BM1474">
        <v>0</v>
      </c>
      <c r="BN1474">
        <v>5</v>
      </c>
      <c r="BO1474">
        <v>2.4</v>
      </c>
      <c r="BP1474">
        <v>36</v>
      </c>
      <c r="BQ1474">
        <v>0</v>
      </c>
      <c r="BR1474">
        <v>0</v>
      </c>
      <c r="BS1474">
        <v>0</v>
      </c>
      <c r="BT1474">
        <v>5</v>
      </c>
      <c r="BU1474">
        <v>1.7</v>
      </c>
    </row>
    <row r="1475" spans="1:73" ht="14.25" x14ac:dyDescent="0.15">
      <c r="A1475" s="12">
        <v>30422</v>
      </c>
      <c r="B1475">
        <v>7</v>
      </c>
      <c r="C1475" s="1">
        <v>46</v>
      </c>
      <c r="D1475">
        <v>0</v>
      </c>
      <c r="E1475">
        <v>0</v>
      </c>
      <c r="F1475">
        <v>1</v>
      </c>
      <c r="G1475" s="7">
        <v>0.05</v>
      </c>
      <c r="H1475">
        <v>12</v>
      </c>
      <c r="I1475">
        <v>0</v>
      </c>
      <c r="J1475">
        <v>0</v>
      </c>
      <c r="K1475">
        <v>0</v>
      </c>
      <c r="L1475">
        <v>1</v>
      </c>
      <c r="M1475">
        <v>2</v>
      </c>
      <c r="N1475" s="7">
        <v>9</v>
      </c>
      <c r="O1475" s="7">
        <v>0</v>
      </c>
      <c r="P1475" s="7">
        <v>0</v>
      </c>
      <c r="Q1475" s="7">
        <v>0</v>
      </c>
      <c r="R1475" s="7">
        <v>1</v>
      </c>
      <c r="S1475" s="7">
        <v>4.5</v>
      </c>
      <c r="T1475">
        <v>7</v>
      </c>
      <c r="U1475" s="1">
        <v>34</v>
      </c>
      <c r="V1475">
        <v>0</v>
      </c>
      <c r="W1475">
        <v>0</v>
      </c>
      <c r="X1475">
        <v>1</v>
      </c>
      <c r="Y1475">
        <v>0.16</v>
      </c>
      <c r="Z1475">
        <v>23</v>
      </c>
      <c r="AA1475">
        <v>0</v>
      </c>
      <c r="AB1475">
        <v>0</v>
      </c>
      <c r="AC1475">
        <v>0</v>
      </c>
      <c r="AD1475">
        <v>1</v>
      </c>
      <c r="AE1475">
        <v>0.05</v>
      </c>
      <c r="AF1475">
        <v>15</v>
      </c>
      <c r="AG1475">
        <v>0</v>
      </c>
      <c r="AH1475">
        <v>0</v>
      </c>
      <c r="AI1475">
        <v>0</v>
      </c>
      <c r="AJ1475">
        <v>1</v>
      </c>
      <c r="AK1475">
        <v>0.02</v>
      </c>
      <c r="AL1475">
        <v>16</v>
      </c>
      <c r="AM1475">
        <v>0</v>
      </c>
      <c r="AN1475">
        <v>0</v>
      </c>
      <c r="AO1475">
        <v>0</v>
      </c>
      <c r="AP1475">
        <v>1</v>
      </c>
      <c r="AQ1475">
        <v>0.01</v>
      </c>
      <c r="AX1475">
        <v>7</v>
      </c>
      <c r="AY1475" s="1">
        <v>18</v>
      </c>
      <c r="AZ1475">
        <v>0</v>
      </c>
      <c r="BA1475">
        <v>0</v>
      </c>
      <c r="BB1475">
        <v>1</v>
      </c>
      <c r="BC1475" s="7">
        <v>0.32</v>
      </c>
      <c r="BD1475">
        <v>30</v>
      </c>
      <c r="BE1475">
        <v>0</v>
      </c>
      <c r="BF1475">
        <v>0</v>
      </c>
      <c r="BG1475">
        <v>0</v>
      </c>
      <c r="BH1475">
        <v>5</v>
      </c>
      <c r="BI1475">
        <v>2.4</v>
      </c>
      <c r="BJ1475">
        <v>31</v>
      </c>
      <c r="BK1475">
        <v>0</v>
      </c>
      <c r="BL1475">
        <v>0</v>
      </c>
      <c r="BM1475">
        <v>0</v>
      </c>
      <c r="BN1475">
        <v>5</v>
      </c>
      <c r="BO1475">
        <v>2.4</v>
      </c>
      <c r="BP1475">
        <v>36</v>
      </c>
      <c r="BQ1475">
        <v>0</v>
      </c>
      <c r="BR1475">
        <v>0</v>
      </c>
      <c r="BS1475">
        <v>0</v>
      </c>
      <c r="BT1475">
        <v>5</v>
      </c>
      <c r="BU1475">
        <v>1.7</v>
      </c>
    </row>
    <row r="1476" spans="1:73" ht="14.25" x14ac:dyDescent="0.15">
      <c r="A1476" s="12">
        <v>30423</v>
      </c>
      <c r="B1476">
        <v>7</v>
      </c>
      <c r="C1476" s="1">
        <v>47</v>
      </c>
      <c r="D1476">
        <v>0</v>
      </c>
      <c r="E1476">
        <v>0</v>
      </c>
      <c r="F1476">
        <v>1</v>
      </c>
      <c r="G1476" s="7">
        <v>0.05</v>
      </c>
      <c r="H1476">
        <v>12</v>
      </c>
      <c r="I1476">
        <v>0</v>
      </c>
      <c r="J1476">
        <v>0</v>
      </c>
      <c r="K1476">
        <v>0</v>
      </c>
      <c r="L1476">
        <v>1</v>
      </c>
      <c r="M1476">
        <v>2</v>
      </c>
      <c r="N1476" s="7">
        <v>9</v>
      </c>
      <c r="O1476" s="7">
        <v>0</v>
      </c>
      <c r="P1476" s="7">
        <v>0</v>
      </c>
      <c r="Q1476" s="7">
        <v>0</v>
      </c>
      <c r="R1476" s="7">
        <v>1</v>
      </c>
      <c r="S1476" s="7">
        <v>4.5</v>
      </c>
      <c r="T1476">
        <v>7</v>
      </c>
      <c r="U1476" s="1">
        <v>35</v>
      </c>
      <c r="V1476">
        <v>0</v>
      </c>
      <c r="W1476">
        <v>0</v>
      </c>
      <c r="X1476">
        <v>1</v>
      </c>
      <c r="Y1476">
        <v>0.16</v>
      </c>
      <c r="Z1476">
        <v>23</v>
      </c>
      <c r="AA1476">
        <v>0</v>
      </c>
      <c r="AB1476">
        <v>0</v>
      </c>
      <c r="AC1476">
        <v>0</v>
      </c>
      <c r="AD1476">
        <v>1</v>
      </c>
      <c r="AE1476">
        <v>0.05</v>
      </c>
      <c r="AF1476">
        <v>15</v>
      </c>
      <c r="AG1476">
        <v>0</v>
      </c>
      <c r="AH1476">
        <v>0</v>
      </c>
      <c r="AI1476">
        <v>0</v>
      </c>
      <c r="AJ1476">
        <v>1</v>
      </c>
      <c r="AK1476">
        <v>0.02</v>
      </c>
      <c r="AL1476">
        <v>16</v>
      </c>
      <c r="AM1476">
        <v>0</v>
      </c>
      <c r="AN1476">
        <v>0</v>
      </c>
      <c r="AO1476">
        <v>0</v>
      </c>
      <c r="AP1476">
        <v>1</v>
      </c>
      <c r="AQ1476">
        <v>0.01</v>
      </c>
      <c r="AX1476">
        <v>7</v>
      </c>
      <c r="AY1476" s="1">
        <v>19</v>
      </c>
      <c r="AZ1476">
        <v>0</v>
      </c>
      <c r="BA1476">
        <v>0</v>
      </c>
      <c r="BB1476">
        <v>1</v>
      </c>
      <c r="BC1476" s="7">
        <v>0.32</v>
      </c>
      <c r="BD1476">
        <v>30</v>
      </c>
      <c r="BE1476">
        <v>0</v>
      </c>
      <c r="BF1476">
        <v>0</v>
      </c>
      <c r="BG1476">
        <v>0</v>
      </c>
      <c r="BH1476">
        <v>5</v>
      </c>
      <c r="BI1476">
        <v>2.4</v>
      </c>
      <c r="BJ1476">
        <v>31</v>
      </c>
      <c r="BK1476">
        <v>0</v>
      </c>
      <c r="BL1476">
        <v>0</v>
      </c>
      <c r="BM1476">
        <v>0</v>
      </c>
      <c r="BN1476">
        <v>5</v>
      </c>
      <c r="BO1476">
        <v>2.4</v>
      </c>
      <c r="BP1476">
        <v>36</v>
      </c>
      <c r="BQ1476">
        <v>0</v>
      </c>
      <c r="BR1476">
        <v>0</v>
      </c>
      <c r="BS1476">
        <v>0</v>
      </c>
      <c r="BT1476">
        <v>5</v>
      </c>
      <c r="BU1476">
        <v>1.7</v>
      </c>
    </row>
    <row r="1477" spans="1:73" ht="14.25" x14ac:dyDescent="0.15">
      <c r="A1477" s="12">
        <v>30424</v>
      </c>
      <c r="B1477">
        <v>7</v>
      </c>
      <c r="C1477" s="1">
        <v>48</v>
      </c>
      <c r="D1477">
        <v>0</v>
      </c>
      <c r="E1477">
        <v>0</v>
      </c>
      <c r="F1477">
        <v>1</v>
      </c>
      <c r="G1477" s="7">
        <v>0.05</v>
      </c>
      <c r="H1477">
        <v>12</v>
      </c>
      <c r="I1477">
        <v>0</v>
      </c>
      <c r="J1477">
        <v>0</v>
      </c>
      <c r="K1477">
        <v>0</v>
      </c>
      <c r="L1477">
        <v>1</v>
      </c>
      <c r="M1477">
        <v>2</v>
      </c>
      <c r="N1477" s="7">
        <v>9</v>
      </c>
      <c r="O1477" s="7">
        <v>0</v>
      </c>
      <c r="P1477" s="7">
        <v>0</v>
      </c>
      <c r="Q1477" s="7">
        <v>0</v>
      </c>
      <c r="R1477" s="7">
        <v>1</v>
      </c>
      <c r="S1477" s="7">
        <v>4.5</v>
      </c>
      <c r="T1477">
        <v>7</v>
      </c>
      <c r="U1477" s="1">
        <v>36</v>
      </c>
      <c r="V1477">
        <v>0</v>
      </c>
      <c r="W1477">
        <v>0</v>
      </c>
      <c r="X1477">
        <v>1</v>
      </c>
      <c r="Y1477">
        <v>0.16</v>
      </c>
      <c r="Z1477">
        <v>23</v>
      </c>
      <c r="AA1477">
        <v>0</v>
      </c>
      <c r="AB1477">
        <v>0</v>
      </c>
      <c r="AC1477">
        <v>0</v>
      </c>
      <c r="AD1477">
        <v>1</v>
      </c>
      <c r="AE1477">
        <v>0.05</v>
      </c>
      <c r="AF1477">
        <v>15</v>
      </c>
      <c r="AG1477">
        <v>0</v>
      </c>
      <c r="AH1477">
        <v>0</v>
      </c>
      <c r="AI1477">
        <v>0</v>
      </c>
      <c r="AJ1477">
        <v>1</v>
      </c>
      <c r="AK1477">
        <v>0.02</v>
      </c>
      <c r="AL1477">
        <v>16</v>
      </c>
      <c r="AM1477">
        <v>0</v>
      </c>
      <c r="AN1477">
        <v>0</v>
      </c>
      <c r="AO1477">
        <v>0</v>
      </c>
      <c r="AP1477">
        <v>1</v>
      </c>
      <c r="AQ1477">
        <v>0.01</v>
      </c>
      <c r="AX1477">
        <v>7</v>
      </c>
      <c r="AY1477" s="1">
        <v>20</v>
      </c>
      <c r="AZ1477">
        <v>0</v>
      </c>
      <c r="BA1477">
        <v>0</v>
      </c>
      <c r="BB1477">
        <v>1</v>
      </c>
      <c r="BC1477" s="7">
        <v>0.32</v>
      </c>
      <c r="BD1477">
        <v>30</v>
      </c>
      <c r="BE1477">
        <v>0</v>
      </c>
      <c r="BF1477">
        <v>0</v>
      </c>
      <c r="BG1477">
        <v>0</v>
      </c>
      <c r="BH1477">
        <v>5</v>
      </c>
      <c r="BI1477">
        <v>2.4</v>
      </c>
      <c r="BJ1477">
        <v>31</v>
      </c>
      <c r="BK1477">
        <v>0</v>
      </c>
      <c r="BL1477">
        <v>0</v>
      </c>
      <c r="BM1477">
        <v>0</v>
      </c>
      <c r="BN1477">
        <v>5</v>
      </c>
      <c r="BO1477">
        <v>2.4</v>
      </c>
      <c r="BP1477">
        <v>36</v>
      </c>
      <c r="BQ1477">
        <v>0</v>
      </c>
      <c r="BR1477">
        <v>0</v>
      </c>
      <c r="BS1477">
        <v>0</v>
      </c>
      <c r="BT1477">
        <v>5</v>
      </c>
      <c r="BU1477">
        <v>1.7</v>
      </c>
    </row>
    <row r="1478" spans="1:73" ht="14.25" x14ac:dyDescent="0.15">
      <c r="A1478" s="12">
        <v>30425</v>
      </c>
      <c r="B1478">
        <v>7</v>
      </c>
      <c r="C1478" s="1">
        <v>0</v>
      </c>
      <c r="D1478">
        <v>5</v>
      </c>
      <c r="E1478">
        <v>1</v>
      </c>
      <c r="F1478">
        <v>1</v>
      </c>
      <c r="G1478" s="7">
        <v>0.05</v>
      </c>
      <c r="H1478">
        <v>12</v>
      </c>
      <c r="I1478">
        <v>0</v>
      </c>
      <c r="J1478">
        <v>0</v>
      </c>
      <c r="K1478">
        <v>0</v>
      </c>
      <c r="L1478">
        <v>1</v>
      </c>
      <c r="M1478">
        <v>2</v>
      </c>
      <c r="N1478" s="7">
        <v>9</v>
      </c>
      <c r="O1478" s="7">
        <v>0</v>
      </c>
      <c r="P1478" s="7">
        <v>0</v>
      </c>
      <c r="Q1478" s="7">
        <v>0</v>
      </c>
      <c r="R1478" s="7">
        <v>1</v>
      </c>
      <c r="S1478" s="7">
        <v>4.5</v>
      </c>
      <c r="T1478">
        <v>7</v>
      </c>
      <c r="U1478" s="1">
        <v>0</v>
      </c>
      <c r="V1478">
        <v>4</v>
      </c>
      <c r="W1478">
        <v>2</v>
      </c>
      <c r="X1478">
        <v>1</v>
      </c>
      <c r="Y1478">
        <v>0.16</v>
      </c>
      <c r="Z1478">
        <v>23</v>
      </c>
      <c r="AA1478">
        <v>0</v>
      </c>
      <c r="AB1478">
        <v>0</v>
      </c>
      <c r="AC1478">
        <v>0</v>
      </c>
      <c r="AD1478">
        <v>1</v>
      </c>
      <c r="AE1478">
        <v>0.05</v>
      </c>
      <c r="AF1478">
        <v>15</v>
      </c>
      <c r="AG1478">
        <v>0</v>
      </c>
      <c r="AH1478">
        <v>0</v>
      </c>
      <c r="AI1478">
        <v>0</v>
      </c>
      <c r="AJ1478">
        <v>1</v>
      </c>
      <c r="AK1478">
        <v>0.02</v>
      </c>
      <c r="AL1478">
        <v>16</v>
      </c>
      <c r="AM1478">
        <v>0</v>
      </c>
      <c r="AN1478">
        <v>0</v>
      </c>
      <c r="AO1478">
        <v>0</v>
      </c>
      <c r="AP1478">
        <v>1</v>
      </c>
      <c r="AQ1478">
        <v>0.01</v>
      </c>
      <c r="AR1478">
        <v>6</v>
      </c>
      <c r="AS1478">
        <v>2</v>
      </c>
      <c r="AT1478">
        <v>5</v>
      </c>
      <c r="AU1478">
        <v>5</v>
      </c>
      <c r="AV1478">
        <v>1</v>
      </c>
      <c r="AW1478">
        <v>0.01</v>
      </c>
      <c r="AX1478">
        <v>7</v>
      </c>
      <c r="AY1478" s="1">
        <v>0</v>
      </c>
      <c r="AZ1478">
        <v>3</v>
      </c>
      <c r="BA1478">
        <v>1</v>
      </c>
      <c r="BB1478">
        <v>1</v>
      </c>
      <c r="BC1478" s="7">
        <v>0.32</v>
      </c>
      <c r="BD1478">
        <v>30</v>
      </c>
      <c r="BE1478">
        <v>0</v>
      </c>
      <c r="BF1478">
        <v>0</v>
      </c>
      <c r="BG1478">
        <v>0</v>
      </c>
      <c r="BH1478">
        <v>5</v>
      </c>
      <c r="BI1478">
        <v>2.4</v>
      </c>
      <c r="BJ1478">
        <v>31</v>
      </c>
      <c r="BK1478">
        <v>0</v>
      </c>
      <c r="BL1478">
        <v>0</v>
      </c>
      <c r="BM1478">
        <v>0</v>
      </c>
      <c r="BN1478">
        <v>5</v>
      </c>
      <c r="BO1478">
        <v>2.4</v>
      </c>
      <c r="BP1478">
        <v>36</v>
      </c>
      <c r="BQ1478">
        <v>0</v>
      </c>
      <c r="BR1478">
        <v>0</v>
      </c>
      <c r="BS1478">
        <v>0</v>
      </c>
      <c r="BT1478">
        <v>5</v>
      </c>
      <c r="BU1478">
        <v>1.7</v>
      </c>
    </row>
    <row r="1479" spans="1:73" ht="14.25" x14ac:dyDescent="0.15">
      <c r="A1479" s="12">
        <v>30426</v>
      </c>
      <c r="B1479">
        <v>7</v>
      </c>
      <c r="C1479" s="1">
        <v>45</v>
      </c>
      <c r="D1479">
        <v>0</v>
      </c>
      <c r="E1479">
        <v>0</v>
      </c>
      <c r="F1479">
        <v>1</v>
      </c>
      <c r="G1479" s="7">
        <v>0.05</v>
      </c>
      <c r="H1479">
        <v>12</v>
      </c>
      <c r="I1479">
        <v>0</v>
      </c>
      <c r="J1479">
        <v>0</v>
      </c>
      <c r="K1479">
        <v>0</v>
      </c>
      <c r="L1479">
        <v>1</v>
      </c>
      <c r="M1479">
        <v>2</v>
      </c>
      <c r="N1479" s="7">
        <v>9</v>
      </c>
      <c r="O1479" s="7">
        <v>0</v>
      </c>
      <c r="P1479" s="7">
        <v>0</v>
      </c>
      <c r="Q1479" s="7">
        <v>0</v>
      </c>
      <c r="R1479" s="7">
        <v>1</v>
      </c>
      <c r="S1479" s="7">
        <v>4.5</v>
      </c>
      <c r="T1479">
        <v>7</v>
      </c>
      <c r="U1479" s="1">
        <v>33</v>
      </c>
      <c r="V1479">
        <v>0</v>
      </c>
      <c r="W1479">
        <v>0</v>
      </c>
      <c r="X1479">
        <v>1</v>
      </c>
      <c r="Y1479">
        <v>0.16</v>
      </c>
      <c r="Z1479">
        <v>23</v>
      </c>
      <c r="AA1479">
        <v>0</v>
      </c>
      <c r="AB1479">
        <v>0</v>
      </c>
      <c r="AC1479">
        <v>0</v>
      </c>
      <c r="AD1479">
        <v>1</v>
      </c>
      <c r="AE1479">
        <v>0.05</v>
      </c>
      <c r="AF1479">
        <v>15</v>
      </c>
      <c r="AG1479">
        <v>0</v>
      </c>
      <c r="AH1479">
        <v>0</v>
      </c>
      <c r="AI1479">
        <v>0</v>
      </c>
      <c r="AJ1479">
        <v>1</v>
      </c>
      <c r="AK1479">
        <v>0.02</v>
      </c>
      <c r="AL1479">
        <v>16</v>
      </c>
      <c r="AM1479">
        <v>0</v>
      </c>
      <c r="AN1479">
        <v>0</v>
      </c>
      <c r="AO1479">
        <v>0</v>
      </c>
      <c r="AP1479">
        <v>1</v>
      </c>
      <c r="AQ1479">
        <v>0.01</v>
      </c>
      <c r="AX1479">
        <v>7</v>
      </c>
      <c r="AY1479" s="1">
        <v>17</v>
      </c>
      <c r="AZ1479">
        <v>0</v>
      </c>
      <c r="BA1479">
        <v>0</v>
      </c>
      <c r="BB1479">
        <v>1</v>
      </c>
      <c r="BC1479" s="7">
        <v>0.32</v>
      </c>
      <c r="BD1479">
        <v>30</v>
      </c>
      <c r="BE1479">
        <v>0</v>
      </c>
      <c r="BF1479">
        <v>0</v>
      </c>
      <c r="BG1479">
        <v>0</v>
      </c>
      <c r="BH1479">
        <v>5</v>
      </c>
      <c r="BI1479">
        <v>2.4</v>
      </c>
      <c r="BJ1479">
        <v>31</v>
      </c>
      <c r="BK1479">
        <v>0</v>
      </c>
      <c r="BL1479">
        <v>0</v>
      </c>
      <c r="BM1479">
        <v>0</v>
      </c>
      <c r="BN1479">
        <v>5</v>
      </c>
      <c r="BO1479">
        <v>2.4</v>
      </c>
      <c r="BP1479">
        <v>36</v>
      </c>
      <c r="BQ1479">
        <v>0</v>
      </c>
      <c r="BR1479">
        <v>0</v>
      </c>
      <c r="BS1479">
        <v>0</v>
      </c>
      <c r="BT1479">
        <v>5</v>
      </c>
      <c r="BU1479">
        <v>1.7</v>
      </c>
    </row>
    <row r="1480" spans="1:73" ht="14.25" x14ac:dyDescent="0.15">
      <c r="A1480" s="12">
        <v>30427</v>
      </c>
      <c r="B1480">
        <v>7</v>
      </c>
      <c r="C1480" s="1">
        <v>46</v>
      </c>
      <c r="D1480">
        <v>0</v>
      </c>
      <c r="E1480">
        <v>0</v>
      </c>
      <c r="F1480">
        <v>1</v>
      </c>
      <c r="G1480" s="7">
        <v>0.05</v>
      </c>
      <c r="H1480">
        <v>12</v>
      </c>
      <c r="I1480">
        <v>0</v>
      </c>
      <c r="J1480">
        <v>0</v>
      </c>
      <c r="K1480">
        <v>0</v>
      </c>
      <c r="L1480">
        <v>1</v>
      </c>
      <c r="M1480">
        <v>2</v>
      </c>
      <c r="N1480" s="7">
        <v>9</v>
      </c>
      <c r="O1480" s="7">
        <v>0</v>
      </c>
      <c r="P1480" s="7">
        <v>0</v>
      </c>
      <c r="Q1480" s="7">
        <v>0</v>
      </c>
      <c r="R1480" s="7">
        <v>1</v>
      </c>
      <c r="S1480" s="7">
        <v>4.5</v>
      </c>
      <c r="T1480">
        <v>7</v>
      </c>
      <c r="U1480" s="1">
        <v>34</v>
      </c>
      <c r="V1480">
        <v>0</v>
      </c>
      <c r="W1480">
        <v>0</v>
      </c>
      <c r="X1480">
        <v>1</v>
      </c>
      <c r="Y1480">
        <v>0.16</v>
      </c>
      <c r="Z1480">
        <v>23</v>
      </c>
      <c r="AA1480">
        <v>0</v>
      </c>
      <c r="AB1480">
        <v>0</v>
      </c>
      <c r="AC1480">
        <v>0</v>
      </c>
      <c r="AD1480">
        <v>1</v>
      </c>
      <c r="AE1480">
        <v>0.05</v>
      </c>
      <c r="AF1480">
        <v>15</v>
      </c>
      <c r="AG1480">
        <v>0</v>
      </c>
      <c r="AH1480">
        <v>0</v>
      </c>
      <c r="AI1480">
        <v>0</v>
      </c>
      <c r="AJ1480">
        <v>1</v>
      </c>
      <c r="AK1480">
        <v>0.02</v>
      </c>
      <c r="AL1480">
        <v>16</v>
      </c>
      <c r="AM1480">
        <v>0</v>
      </c>
      <c r="AN1480">
        <v>0</v>
      </c>
      <c r="AO1480">
        <v>0</v>
      </c>
      <c r="AP1480">
        <v>1</v>
      </c>
      <c r="AQ1480">
        <v>0.01</v>
      </c>
      <c r="AX1480">
        <v>7</v>
      </c>
      <c r="AY1480" s="1">
        <v>18</v>
      </c>
      <c r="AZ1480">
        <v>0</v>
      </c>
      <c r="BA1480">
        <v>0</v>
      </c>
      <c r="BB1480">
        <v>1</v>
      </c>
      <c r="BC1480" s="7">
        <v>0.32</v>
      </c>
      <c r="BD1480">
        <v>30</v>
      </c>
      <c r="BE1480">
        <v>0</v>
      </c>
      <c r="BF1480">
        <v>0</v>
      </c>
      <c r="BG1480">
        <v>0</v>
      </c>
      <c r="BH1480">
        <v>5</v>
      </c>
      <c r="BI1480">
        <v>2.4</v>
      </c>
      <c r="BJ1480">
        <v>31</v>
      </c>
      <c r="BK1480">
        <v>0</v>
      </c>
      <c r="BL1480">
        <v>0</v>
      </c>
      <c r="BM1480">
        <v>0</v>
      </c>
      <c r="BN1480">
        <v>5</v>
      </c>
      <c r="BO1480">
        <v>2.4</v>
      </c>
      <c r="BP1480">
        <v>36</v>
      </c>
      <c r="BQ1480">
        <v>0</v>
      </c>
      <c r="BR1480">
        <v>0</v>
      </c>
      <c r="BS1480">
        <v>0</v>
      </c>
      <c r="BT1480">
        <v>5</v>
      </c>
      <c r="BU1480">
        <v>1.7</v>
      </c>
    </row>
    <row r="1481" spans="1:73" ht="14.25" x14ac:dyDescent="0.15">
      <c r="A1481" s="12">
        <v>30428</v>
      </c>
      <c r="B1481">
        <v>7</v>
      </c>
      <c r="C1481" s="1">
        <v>47</v>
      </c>
      <c r="D1481">
        <v>0</v>
      </c>
      <c r="E1481">
        <v>0</v>
      </c>
      <c r="F1481">
        <v>1</v>
      </c>
      <c r="G1481" s="7">
        <v>0.05</v>
      </c>
      <c r="H1481">
        <v>12</v>
      </c>
      <c r="I1481">
        <v>0</v>
      </c>
      <c r="J1481">
        <v>0</v>
      </c>
      <c r="K1481">
        <v>0</v>
      </c>
      <c r="L1481">
        <v>1</v>
      </c>
      <c r="M1481">
        <v>2</v>
      </c>
      <c r="N1481" s="7">
        <v>9</v>
      </c>
      <c r="O1481" s="7">
        <v>0</v>
      </c>
      <c r="P1481" s="7">
        <v>0</v>
      </c>
      <c r="Q1481" s="7">
        <v>0</v>
      </c>
      <c r="R1481" s="7">
        <v>1</v>
      </c>
      <c r="S1481" s="7">
        <v>4.5</v>
      </c>
      <c r="T1481">
        <v>7</v>
      </c>
      <c r="U1481" s="1">
        <v>35</v>
      </c>
      <c r="V1481">
        <v>0</v>
      </c>
      <c r="W1481">
        <v>0</v>
      </c>
      <c r="X1481">
        <v>1</v>
      </c>
      <c r="Y1481">
        <v>0.16</v>
      </c>
      <c r="Z1481">
        <v>23</v>
      </c>
      <c r="AA1481">
        <v>0</v>
      </c>
      <c r="AB1481">
        <v>0</v>
      </c>
      <c r="AC1481">
        <v>0</v>
      </c>
      <c r="AD1481">
        <v>1</v>
      </c>
      <c r="AE1481">
        <v>0.05</v>
      </c>
      <c r="AF1481">
        <v>15</v>
      </c>
      <c r="AG1481">
        <v>0</v>
      </c>
      <c r="AH1481">
        <v>0</v>
      </c>
      <c r="AI1481">
        <v>0</v>
      </c>
      <c r="AJ1481">
        <v>1</v>
      </c>
      <c r="AK1481">
        <v>0.02</v>
      </c>
      <c r="AL1481">
        <v>16</v>
      </c>
      <c r="AM1481">
        <v>0</v>
      </c>
      <c r="AN1481">
        <v>0</v>
      </c>
      <c r="AO1481">
        <v>0</v>
      </c>
      <c r="AP1481">
        <v>1</v>
      </c>
      <c r="AQ1481">
        <v>0.01</v>
      </c>
      <c r="AX1481">
        <v>7</v>
      </c>
      <c r="AY1481" s="1">
        <v>19</v>
      </c>
      <c r="AZ1481">
        <v>0</v>
      </c>
      <c r="BA1481">
        <v>0</v>
      </c>
      <c r="BB1481">
        <v>1</v>
      </c>
      <c r="BC1481" s="7">
        <v>0.32</v>
      </c>
      <c r="BD1481">
        <v>30</v>
      </c>
      <c r="BE1481">
        <v>0</v>
      </c>
      <c r="BF1481">
        <v>0</v>
      </c>
      <c r="BG1481">
        <v>0</v>
      </c>
      <c r="BH1481">
        <v>5</v>
      </c>
      <c r="BI1481">
        <v>2.4</v>
      </c>
      <c r="BJ1481">
        <v>31</v>
      </c>
      <c r="BK1481">
        <v>0</v>
      </c>
      <c r="BL1481">
        <v>0</v>
      </c>
      <c r="BM1481">
        <v>0</v>
      </c>
      <c r="BN1481">
        <v>5</v>
      </c>
      <c r="BO1481">
        <v>2.4</v>
      </c>
      <c r="BP1481">
        <v>36</v>
      </c>
      <c r="BQ1481">
        <v>0</v>
      </c>
      <c r="BR1481">
        <v>0</v>
      </c>
      <c r="BS1481">
        <v>0</v>
      </c>
      <c r="BT1481">
        <v>5</v>
      </c>
      <c r="BU1481">
        <v>1.7</v>
      </c>
    </row>
    <row r="1482" spans="1:73" ht="14.25" x14ac:dyDescent="0.15">
      <c r="A1482" s="12">
        <v>30429</v>
      </c>
      <c r="B1482">
        <v>7</v>
      </c>
      <c r="C1482" s="1">
        <v>48</v>
      </c>
      <c r="D1482">
        <v>0</v>
      </c>
      <c r="E1482">
        <v>0</v>
      </c>
      <c r="F1482">
        <v>1</v>
      </c>
      <c r="G1482" s="7">
        <v>0.05</v>
      </c>
      <c r="H1482">
        <v>12</v>
      </c>
      <c r="I1482">
        <v>0</v>
      </c>
      <c r="J1482">
        <v>0</v>
      </c>
      <c r="K1482">
        <v>0</v>
      </c>
      <c r="L1482">
        <v>1</v>
      </c>
      <c r="M1482">
        <v>2</v>
      </c>
      <c r="N1482" s="7">
        <v>9</v>
      </c>
      <c r="O1482" s="7">
        <v>0</v>
      </c>
      <c r="P1482" s="7">
        <v>0</v>
      </c>
      <c r="Q1482" s="7">
        <v>0</v>
      </c>
      <c r="R1482" s="7">
        <v>1</v>
      </c>
      <c r="S1482" s="7">
        <v>4.5</v>
      </c>
      <c r="T1482">
        <v>7</v>
      </c>
      <c r="U1482" s="1">
        <v>36</v>
      </c>
      <c r="V1482">
        <v>0</v>
      </c>
      <c r="W1482">
        <v>0</v>
      </c>
      <c r="X1482">
        <v>1</v>
      </c>
      <c r="Y1482">
        <v>0.16</v>
      </c>
      <c r="Z1482">
        <v>23</v>
      </c>
      <c r="AA1482">
        <v>0</v>
      </c>
      <c r="AB1482">
        <v>0</v>
      </c>
      <c r="AC1482">
        <v>0</v>
      </c>
      <c r="AD1482">
        <v>1</v>
      </c>
      <c r="AE1482">
        <v>0.05</v>
      </c>
      <c r="AF1482">
        <v>15</v>
      </c>
      <c r="AG1482">
        <v>0</v>
      </c>
      <c r="AH1482">
        <v>0</v>
      </c>
      <c r="AI1482">
        <v>0</v>
      </c>
      <c r="AJ1482">
        <v>1</v>
      </c>
      <c r="AK1482">
        <v>0.02</v>
      </c>
      <c r="AL1482">
        <v>16</v>
      </c>
      <c r="AM1482">
        <v>0</v>
      </c>
      <c r="AN1482">
        <v>0</v>
      </c>
      <c r="AO1482">
        <v>0</v>
      </c>
      <c r="AP1482">
        <v>1</v>
      </c>
      <c r="AQ1482">
        <v>0.01</v>
      </c>
      <c r="AX1482">
        <v>7</v>
      </c>
      <c r="AY1482" s="1">
        <v>20</v>
      </c>
      <c r="AZ1482">
        <v>0</v>
      </c>
      <c r="BA1482">
        <v>0</v>
      </c>
      <c r="BB1482">
        <v>1</v>
      </c>
      <c r="BC1482" s="7">
        <v>0.32</v>
      </c>
      <c r="BD1482">
        <v>30</v>
      </c>
      <c r="BE1482">
        <v>0</v>
      </c>
      <c r="BF1482">
        <v>0</v>
      </c>
      <c r="BG1482">
        <v>0</v>
      </c>
      <c r="BH1482">
        <v>5</v>
      </c>
      <c r="BI1482">
        <v>2.4</v>
      </c>
      <c r="BJ1482">
        <v>31</v>
      </c>
      <c r="BK1482">
        <v>0</v>
      </c>
      <c r="BL1482">
        <v>0</v>
      </c>
      <c r="BM1482">
        <v>0</v>
      </c>
      <c r="BN1482">
        <v>5</v>
      </c>
      <c r="BO1482">
        <v>2.4</v>
      </c>
      <c r="BP1482">
        <v>36</v>
      </c>
      <c r="BQ1482">
        <v>0</v>
      </c>
      <c r="BR1482">
        <v>0</v>
      </c>
      <c r="BS1482">
        <v>0</v>
      </c>
      <c r="BT1482">
        <v>5</v>
      </c>
      <c r="BU1482">
        <v>1.7</v>
      </c>
    </row>
    <row r="1483" spans="1:73" ht="14.25" x14ac:dyDescent="0.15">
      <c r="A1483" s="12">
        <v>30430</v>
      </c>
      <c r="B1483">
        <v>7</v>
      </c>
      <c r="C1483" s="1">
        <v>0</v>
      </c>
      <c r="D1483">
        <v>5</v>
      </c>
      <c r="E1483">
        <v>1</v>
      </c>
      <c r="F1483">
        <v>1</v>
      </c>
      <c r="G1483" s="7">
        <v>0.05</v>
      </c>
      <c r="H1483">
        <v>12</v>
      </c>
      <c r="I1483">
        <v>0</v>
      </c>
      <c r="J1483">
        <v>0</v>
      </c>
      <c r="K1483">
        <v>0</v>
      </c>
      <c r="L1483">
        <v>1</v>
      </c>
      <c r="M1483">
        <v>2</v>
      </c>
      <c r="N1483" s="7">
        <v>9</v>
      </c>
      <c r="O1483" s="7">
        <v>0</v>
      </c>
      <c r="P1483" s="7">
        <v>0</v>
      </c>
      <c r="Q1483" s="7">
        <v>0</v>
      </c>
      <c r="R1483" s="7">
        <v>1</v>
      </c>
      <c r="S1483" s="7">
        <v>4.5</v>
      </c>
      <c r="T1483">
        <v>7</v>
      </c>
      <c r="U1483" s="1">
        <v>0</v>
      </c>
      <c r="V1483">
        <v>4</v>
      </c>
      <c r="W1483">
        <v>2</v>
      </c>
      <c r="X1483">
        <v>1</v>
      </c>
      <c r="Y1483">
        <v>0.16</v>
      </c>
      <c r="Z1483">
        <v>23</v>
      </c>
      <c r="AA1483">
        <v>0</v>
      </c>
      <c r="AB1483">
        <v>0</v>
      </c>
      <c r="AC1483">
        <v>0</v>
      </c>
      <c r="AD1483">
        <v>1</v>
      </c>
      <c r="AE1483">
        <v>0.05</v>
      </c>
      <c r="AF1483">
        <v>15</v>
      </c>
      <c r="AG1483">
        <v>0</v>
      </c>
      <c r="AH1483">
        <v>0</v>
      </c>
      <c r="AI1483">
        <v>0</v>
      </c>
      <c r="AJ1483">
        <v>1</v>
      </c>
      <c r="AK1483">
        <v>0.02</v>
      </c>
      <c r="AL1483">
        <v>16</v>
      </c>
      <c r="AM1483">
        <v>0</v>
      </c>
      <c r="AN1483">
        <v>0</v>
      </c>
      <c r="AO1483">
        <v>0</v>
      </c>
      <c r="AP1483">
        <v>1</v>
      </c>
      <c r="AQ1483">
        <v>0.01</v>
      </c>
      <c r="AR1483">
        <v>6</v>
      </c>
      <c r="AS1483">
        <v>2</v>
      </c>
      <c r="AT1483">
        <v>1</v>
      </c>
      <c r="AU1483">
        <v>5</v>
      </c>
      <c r="AV1483">
        <v>1</v>
      </c>
      <c r="AW1483">
        <v>0.05</v>
      </c>
      <c r="AX1483">
        <v>7</v>
      </c>
      <c r="AY1483" s="1">
        <v>0</v>
      </c>
      <c r="AZ1483">
        <v>3</v>
      </c>
      <c r="BA1483">
        <v>1</v>
      </c>
      <c r="BB1483">
        <v>1</v>
      </c>
      <c r="BC1483" s="7">
        <v>0.32</v>
      </c>
      <c r="BD1483">
        <v>30</v>
      </c>
      <c r="BE1483">
        <v>0</v>
      </c>
      <c r="BF1483">
        <v>0</v>
      </c>
      <c r="BG1483">
        <v>0</v>
      </c>
      <c r="BH1483">
        <v>5</v>
      </c>
      <c r="BI1483">
        <v>2.4</v>
      </c>
      <c r="BJ1483">
        <v>31</v>
      </c>
      <c r="BK1483">
        <v>0</v>
      </c>
      <c r="BL1483">
        <v>0</v>
      </c>
      <c r="BM1483">
        <v>0</v>
      </c>
      <c r="BN1483">
        <v>5</v>
      </c>
      <c r="BO1483">
        <v>2.4</v>
      </c>
      <c r="BP1483">
        <v>36</v>
      </c>
      <c r="BQ1483">
        <v>0</v>
      </c>
      <c r="BR1483">
        <v>0</v>
      </c>
      <c r="BS1483">
        <v>0</v>
      </c>
      <c r="BT1483">
        <v>5</v>
      </c>
      <c r="BU1483">
        <v>1.7</v>
      </c>
    </row>
    <row r="1484" spans="1:73" ht="14.25" x14ac:dyDescent="0.15">
      <c r="A1484" s="12">
        <v>30431</v>
      </c>
      <c r="B1484">
        <v>7</v>
      </c>
      <c r="C1484" s="1">
        <v>45</v>
      </c>
      <c r="D1484">
        <v>0</v>
      </c>
      <c r="E1484">
        <v>0</v>
      </c>
      <c r="F1484">
        <v>1</v>
      </c>
      <c r="G1484" s="7">
        <v>0.05</v>
      </c>
      <c r="H1484">
        <v>12</v>
      </c>
      <c r="I1484">
        <v>0</v>
      </c>
      <c r="J1484">
        <v>0</v>
      </c>
      <c r="K1484">
        <v>0</v>
      </c>
      <c r="L1484">
        <v>1</v>
      </c>
      <c r="M1484">
        <v>2</v>
      </c>
      <c r="N1484" s="7">
        <v>9</v>
      </c>
      <c r="O1484" s="7">
        <v>0</v>
      </c>
      <c r="P1484" s="7">
        <v>0</v>
      </c>
      <c r="Q1484" s="7">
        <v>0</v>
      </c>
      <c r="R1484" s="7">
        <v>1</v>
      </c>
      <c r="S1484" s="7">
        <v>4.5</v>
      </c>
      <c r="T1484">
        <v>7</v>
      </c>
      <c r="U1484" s="1">
        <v>33</v>
      </c>
      <c r="V1484">
        <v>0</v>
      </c>
      <c r="W1484">
        <v>0</v>
      </c>
      <c r="X1484">
        <v>1</v>
      </c>
      <c r="Y1484">
        <v>0.16</v>
      </c>
      <c r="Z1484">
        <v>23</v>
      </c>
      <c r="AA1484">
        <v>0</v>
      </c>
      <c r="AB1484">
        <v>0</v>
      </c>
      <c r="AC1484">
        <v>0</v>
      </c>
      <c r="AD1484">
        <v>1</v>
      </c>
      <c r="AE1484">
        <v>0.05</v>
      </c>
      <c r="AF1484">
        <v>15</v>
      </c>
      <c r="AG1484">
        <v>0</v>
      </c>
      <c r="AH1484">
        <v>0</v>
      </c>
      <c r="AI1484">
        <v>0</v>
      </c>
      <c r="AJ1484">
        <v>1</v>
      </c>
      <c r="AK1484">
        <v>0.02</v>
      </c>
      <c r="AL1484">
        <v>16</v>
      </c>
      <c r="AM1484">
        <v>0</v>
      </c>
      <c r="AN1484">
        <v>0</v>
      </c>
      <c r="AO1484">
        <v>0</v>
      </c>
      <c r="AP1484">
        <v>1</v>
      </c>
      <c r="AQ1484">
        <v>0.01</v>
      </c>
      <c r="AX1484">
        <v>7</v>
      </c>
      <c r="AY1484" s="1">
        <v>17</v>
      </c>
      <c r="AZ1484">
        <v>0</v>
      </c>
      <c r="BA1484">
        <v>0</v>
      </c>
      <c r="BB1484">
        <v>1</v>
      </c>
      <c r="BC1484" s="7">
        <v>0.32</v>
      </c>
      <c r="BD1484">
        <v>30</v>
      </c>
      <c r="BE1484">
        <v>0</v>
      </c>
      <c r="BF1484">
        <v>0</v>
      </c>
      <c r="BG1484">
        <v>0</v>
      </c>
      <c r="BH1484">
        <v>5</v>
      </c>
      <c r="BI1484">
        <v>2.4</v>
      </c>
      <c r="BJ1484">
        <v>31</v>
      </c>
      <c r="BK1484">
        <v>0</v>
      </c>
      <c r="BL1484">
        <v>0</v>
      </c>
      <c r="BM1484">
        <v>0</v>
      </c>
      <c r="BN1484">
        <v>5</v>
      </c>
      <c r="BO1484">
        <v>2.4</v>
      </c>
      <c r="BP1484">
        <v>36</v>
      </c>
      <c r="BQ1484">
        <v>0</v>
      </c>
      <c r="BR1484">
        <v>0</v>
      </c>
      <c r="BS1484">
        <v>0</v>
      </c>
      <c r="BT1484">
        <v>5</v>
      </c>
      <c r="BU1484">
        <v>1.7</v>
      </c>
    </row>
    <row r="1485" spans="1:73" ht="14.25" x14ac:dyDescent="0.15">
      <c r="A1485" s="12">
        <v>30432</v>
      </c>
      <c r="B1485">
        <v>7</v>
      </c>
      <c r="C1485" s="1">
        <v>46</v>
      </c>
      <c r="D1485">
        <v>0</v>
      </c>
      <c r="E1485">
        <v>0</v>
      </c>
      <c r="F1485">
        <v>1</v>
      </c>
      <c r="G1485" s="7">
        <v>0.05</v>
      </c>
      <c r="H1485">
        <v>12</v>
      </c>
      <c r="I1485">
        <v>0</v>
      </c>
      <c r="J1485">
        <v>0</v>
      </c>
      <c r="K1485">
        <v>0</v>
      </c>
      <c r="L1485">
        <v>1</v>
      </c>
      <c r="M1485">
        <v>2</v>
      </c>
      <c r="N1485" s="7">
        <v>9</v>
      </c>
      <c r="O1485" s="7">
        <v>0</v>
      </c>
      <c r="P1485" s="7">
        <v>0</v>
      </c>
      <c r="Q1485" s="7">
        <v>0</v>
      </c>
      <c r="R1485" s="7">
        <v>1</v>
      </c>
      <c r="S1485" s="7">
        <v>4.5</v>
      </c>
      <c r="T1485">
        <v>7</v>
      </c>
      <c r="U1485" s="1">
        <v>34</v>
      </c>
      <c r="V1485">
        <v>0</v>
      </c>
      <c r="W1485">
        <v>0</v>
      </c>
      <c r="X1485">
        <v>1</v>
      </c>
      <c r="Y1485">
        <v>0.16</v>
      </c>
      <c r="Z1485">
        <v>23</v>
      </c>
      <c r="AA1485">
        <v>0</v>
      </c>
      <c r="AB1485">
        <v>0</v>
      </c>
      <c r="AC1485">
        <v>0</v>
      </c>
      <c r="AD1485">
        <v>1</v>
      </c>
      <c r="AE1485">
        <v>0.05</v>
      </c>
      <c r="AF1485">
        <v>15</v>
      </c>
      <c r="AG1485">
        <v>0</v>
      </c>
      <c r="AH1485">
        <v>0</v>
      </c>
      <c r="AI1485">
        <v>0</v>
      </c>
      <c r="AJ1485">
        <v>1</v>
      </c>
      <c r="AK1485">
        <v>0.02</v>
      </c>
      <c r="AL1485">
        <v>16</v>
      </c>
      <c r="AM1485">
        <v>0</v>
      </c>
      <c r="AN1485">
        <v>0</v>
      </c>
      <c r="AO1485">
        <v>0</v>
      </c>
      <c r="AP1485">
        <v>1</v>
      </c>
      <c r="AQ1485">
        <v>0.01</v>
      </c>
      <c r="AX1485">
        <v>7</v>
      </c>
      <c r="AY1485" s="1">
        <v>18</v>
      </c>
      <c r="AZ1485">
        <v>0</v>
      </c>
      <c r="BA1485">
        <v>0</v>
      </c>
      <c r="BB1485">
        <v>1</v>
      </c>
      <c r="BC1485" s="7">
        <v>0.32</v>
      </c>
      <c r="BD1485">
        <v>30</v>
      </c>
      <c r="BE1485">
        <v>0</v>
      </c>
      <c r="BF1485">
        <v>0</v>
      </c>
      <c r="BG1485">
        <v>0</v>
      </c>
      <c r="BH1485">
        <v>5</v>
      </c>
      <c r="BI1485">
        <v>2.4</v>
      </c>
      <c r="BJ1485">
        <v>31</v>
      </c>
      <c r="BK1485">
        <v>0</v>
      </c>
      <c r="BL1485">
        <v>0</v>
      </c>
      <c r="BM1485">
        <v>0</v>
      </c>
      <c r="BN1485">
        <v>5</v>
      </c>
      <c r="BO1485">
        <v>2.4</v>
      </c>
      <c r="BP1485">
        <v>36</v>
      </c>
      <c r="BQ1485">
        <v>0</v>
      </c>
      <c r="BR1485">
        <v>0</v>
      </c>
      <c r="BS1485">
        <v>0</v>
      </c>
      <c r="BT1485">
        <v>5</v>
      </c>
      <c r="BU1485">
        <v>1.7</v>
      </c>
    </row>
    <row r="1486" spans="1:73" ht="14.25" x14ac:dyDescent="0.15">
      <c r="A1486" s="12">
        <v>30433</v>
      </c>
      <c r="B1486">
        <v>7</v>
      </c>
      <c r="C1486" s="1">
        <v>47</v>
      </c>
      <c r="D1486">
        <v>0</v>
      </c>
      <c r="E1486">
        <v>0</v>
      </c>
      <c r="F1486">
        <v>1</v>
      </c>
      <c r="G1486" s="7">
        <v>0.05</v>
      </c>
      <c r="H1486">
        <v>12</v>
      </c>
      <c r="I1486">
        <v>0</v>
      </c>
      <c r="J1486">
        <v>0</v>
      </c>
      <c r="K1486">
        <v>0</v>
      </c>
      <c r="L1486">
        <v>1</v>
      </c>
      <c r="M1486">
        <v>2</v>
      </c>
      <c r="N1486" s="7">
        <v>9</v>
      </c>
      <c r="O1486" s="7">
        <v>0</v>
      </c>
      <c r="P1486" s="7">
        <v>0</v>
      </c>
      <c r="Q1486" s="7">
        <v>0</v>
      </c>
      <c r="R1486" s="7">
        <v>1</v>
      </c>
      <c r="S1486" s="7">
        <v>4.5</v>
      </c>
      <c r="T1486">
        <v>7</v>
      </c>
      <c r="U1486" s="1">
        <v>35</v>
      </c>
      <c r="V1486">
        <v>0</v>
      </c>
      <c r="W1486">
        <v>0</v>
      </c>
      <c r="X1486">
        <v>1</v>
      </c>
      <c r="Y1486">
        <v>0.16</v>
      </c>
      <c r="Z1486">
        <v>23</v>
      </c>
      <c r="AA1486">
        <v>0</v>
      </c>
      <c r="AB1486">
        <v>0</v>
      </c>
      <c r="AC1486">
        <v>0</v>
      </c>
      <c r="AD1486">
        <v>1</v>
      </c>
      <c r="AE1486">
        <v>0.05</v>
      </c>
      <c r="AF1486">
        <v>15</v>
      </c>
      <c r="AG1486">
        <v>0</v>
      </c>
      <c r="AH1486">
        <v>0</v>
      </c>
      <c r="AI1486">
        <v>0</v>
      </c>
      <c r="AJ1486">
        <v>1</v>
      </c>
      <c r="AK1486">
        <v>0.02</v>
      </c>
      <c r="AL1486">
        <v>16</v>
      </c>
      <c r="AM1486">
        <v>0</v>
      </c>
      <c r="AN1486">
        <v>0</v>
      </c>
      <c r="AO1486">
        <v>0</v>
      </c>
      <c r="AP1486">
        <v>1</v>
      </c>
      <c r="AQ1486">
        <v>0.01</v>
      </c>
      <c r="AX1486">
        <v>7</v>
      </c>
      <c r="AY1486" s="1">
        <v>19</v>
      </c>
      <c r="AZ1486">
        <v>0</v>
      </c>
      <c r="BA1486">
        <v>0</v>
      </c>
      <c r="BB1486">
        <v>1</v>
      </c>
      <c r="BC1486" s="7">
        <v>0.32</v>
      </c>
      <c r="BD1486">
        <v>30</v>
      </c>
      <c r="BE1486">
        <v>0</v>
      </c>
      <c r="BF1486">
        <v>0</v>
      </c>
      <c r="BG1486">
        <v>0</v>
      </c>
      <c r="BH1486">
        <v>5</v>
      </c>
      <c r="BI1486">
        <v>2.4</v>
      </c>
      <c r="BJ1486">
        <v>31</v>
      </c>
      <c r="BK1486">
        <v>0</v>
      </c>
      <c r="BL1486">
        <v>0</v>
      </c>
      <c r="BM1486">
        <v>0</v>
      </c>
      <c r="BN1486">
        <v>5</v>
      </c>
      <c r="BO1486">
        <v>2.4</v>
      </c>
      <c r="BP1486">
        <v>36</v>
      </c>
      <c r="BQ1486">
        <v>0</v>
      </c>
      <c r="BR1486">
        <v>0</v>
      </c>
      <c r="BS1486">
        <v>0</v>
      </c>
      <c r="BT1486">
        <v>5</v>
      </c>
      <c r="BU1486">
        <v>1.7</v>
      </c>
    </row>
    <row r="1487" spans="1:73" ht="14.25" x14ac:dyDescent="0.15">
      <c r="A1487" s="12">
        <v>30434</v>
      </c>
      <c r="B1487">
        <v>7</v>
      </c>
      <c r="C1487" s="1">
        <v>48</v>
      </c>
      <c r="D1487">
        <v>0</v>
      </c>
      <c r="E1487">
        <v>0</v>
      </c>
      <c r="F1487">
        <v>1</v>
      </c>
      <c r="G1487" s="7">
        <v>0.05</v>
      </c>
      <c r="H1487">
        <v>12</v>
      </c>
      <c r="I1487">
        <v>0</v>
      </c>
      <c r="J1487">
        <v>0</v>
      </c>
      <c r="K1487">
        <v>0</v>
      </c>
      <c r="L1487">
        <v>1</v>
      </c>
      <c r="M1487">
        <v>2</v>
      </c>
      <c r="N1487" s="7">
        <v>9</v>
      </c>
      <c r="O1487" s="7">
        <v>0</v>
      </c>
      <c r="P1487" s="7">
        <v>0</v>
      </c>
      <c r="Q1487" s="7">
        <v>0</v>
      </c>
      <c r="R1487" s="7">
        <v>1</v>
      </c>
      <c r="S1487" s="7">
        <v>4.5</v>
      </c>
      <c r="T1487">
        <v>7</v>
      </c>
      <c r="U1487" s="1">
        <v>36</v>
      </c>
      <c r="V1487">
        <v>0</v>
      </c>
      <c r="W1487">
        <v>0</v>
      </c>
      <c r="X1487">
        <v>1</v>
      </c>
      <c r="Y1487">
        <v>0.16</v>
      </c>
      <c r="Z1487">
        <v>23</v>
      </c>
      <c r="AA1487">
        <v>0</v>
      </c>
      <c r="AB1487">
        <v>0</v>
      </c>
      <c r="AC1487">
        <v>0</v>
      </c>
      <c r="AD1487">
        <v>1</v>
      </c>
      <c r="AE1487">
        <v>0.05</v>
      </c>
      <c r="AF1487">
        <v>15</v>
      </c>
      <c r="AG1487">
        <v>0</v>
      </c>
      <c r="AH1487">
        <v>0</v>
      </c>
      <c r="AI1487">
        <v>0</v>
      </c>
      <c r="AJ1487">
        <v>1</v>
      </c>
      <c r="AK1487">
        <v>0.02</v>
      </c>
      <c r="AL1487">
        <v>16</v>
      </c>
      <c r="AM1487">
        <v>0</v>
      </c>
      <c r="AN1487">
        <v>0</v>
      </c>
      <c r="AO1487">
        <v>0</v>
      </c>
      <c r="AP1487">
        <v>1</v>
      </c>
      <c r="AQ1487">
        <v>0.01</v>
      </c>
      <c r="AX1487">
        <v>7</v>
      </c>
      <c r="AY1487" s="1">
        <v>20</v>
      </c>
      <c r="AZ1487">
        <v>0</v>
      </c>
      <c r="BA1487">
        <v>0</v>
      </c>
      <c r="BB1487">
        <v>1</v>
      </c>
      <c r="BC1487" s="7">
        <v>0.32</v>
      </c>
      <c r="BD1487">
        <v>30</v>
      </c>
      <c r="BE1487">
        <v>0</v>
      </c>
      <c r="BF1487">
        <v>0</v>
      </c>
      <c r="BG1487">
        <v>0</v>
      </c>
      <c r="BH1487">
        <v>5</v>
      </c>
      <c r="BI1487">
        <v>2.4</v>
      </c>
      <c r="BJ1487">
        <v>31</v>
      </c>
      <c r="BK1487">
        <v>0</v>
      </c>
      <c r="BL1487">
        <v>0</v>
      </c>
      <c r="BM1487">
        <v>0</v>
      </c>
      <c r="BN1487">
        <v>5</v>
      </c>
      <c r="BO1487">
        <v>2.4</v>
      </c>
      <c r="BP1487">
        <v>36</v>
      </c>
      <c r="BQ1487">
        <v>0</v>
      </c>
      <c r="BR1487">
        <v>0</v>
      </c>
      <c r="BS1487">
        <v>0</v>
      </c>
      <c r="BT1487">
        <v>5</v>
      </c>
      <c r="BU1487">
        <v>1.7</v>
      </c>
    </row>
    <row r="1488" spans="1:73" ht="14.25" x14ac:dyDescent="0.15">
      <c r="A1488" s="12">
        <v>30435</v>
      </c>
      <c r="B1488">
        <v>7</v>
      </c>
      <c r="C1488" s="1">
        <v>0</v>
      </c>
      <c r="D1488">
        <v>5</v>
      </c>
      <c r="E1488">
        <v>1</v>
      </c>
      <c r="F1488">
        <v>1</v>
      </c>
      <c r="G1488" s="7">
        <v>0.05</v>
      </c>
      <c r="H1488">
        <v>12</v>
      </c>
      <c r="I1488">
        <v>0</v>
      </c>
      <c r="J1488">
        <v>0</v>
      </c>
      <c r="K1488">
        <v>0</v>
      </c>
      <c r="L1488">
        <v>1</v>
      </c>
      <c r="M1488">
        <v>2</v>
      </c>
      <c r="N1488" s="7">
        <v>9</v>
      </c>
      <c r="O1488" s="7">
        <v>0</v>
      </c>
      <c r="P1488" s="7">
        <v>0</v>
      </c>
      <c r="Q1488" s="7">
        <v>0</v>
      </c>
      <c r="R1488" s="7">
        <v>1</v>
      </c>
      <c r="S1488" s="7">
        <v>4.5</v>
      </c>
      <c r="T1488">
        <v>7</v>
      </c>
      <c r="U1488" s="1">
        <v>0</v>
      </c>
      <c r="V1488">
        <v>4</v>
      </c>
      <c r="W1488">
        <v>2</v>
      </c>
      <c r="X1488">
        <v>1</v>
      </c>
      <c r="Y1488">
        <v>0.16</v>
      </c>
      <c r="Z1488">
        <v>23</v>
      </c>
      <c r="AA1488">
        <v>0</v>
      </c>
      <c r="AB1488">
        <v>0</v>
      </c>
      <c r="AC1488">
        <v>0</v>
      </c>
      <c r="AD1488">
        <v>1</v>
      </c>
      <c r="AE1488">
        <v>0.05</v>
      </c>
      <c r="AF1488">
        <v>15</v>
      </c>
      <c r="AG1488">
        <v>0</v>
      </c>
      <c r="AH1488">
        <v>0</v>
      </c>
      <c r="AI1488">
        <v>0</v>
      </c>
      <c r="AJ1488">
        <v>1</v>
      </c>
      <c r="AK1488">
        <v>0.02</v>
      </c>
      <c r="AL1488">
        <v>16</v>
      </c>
      <c r="AM1488">
        <v>0</v>
      </c>
      <c r="AN1488">
        <v>0</v>
      </c>
      <c r="AO1488">
        <v>0</v>
      </c>
      <c r="AP1488">
        <v>1</v>
      </c>
      <c r="AQ1488">
        <v>0.01</v>
      </c>
      <c r="AR1488">
        <v>6</v>
      </c>
      <c r="AS1488">
        <v>2</v>
      </c>
      <c r="AT1488">
        <v>2</v>
      </c>
      <c r="AU1488">
        <v>5</v>
      </c>
      <c r="AV1488">
        <v>1</v>
      </c>
      <c r="AW1488">
        <v>0.05</v>
      </c>
      <c r="AX1488">
        <v>7</v>
      </c>
      <c r="AY1488" s="1">
        <v>0</v>
      </c>
      <c r="AZ1488">
        <v>3</v>
      </c>
      <c r="BA1488">
        <v>1</v>
      </c>
      <c r="BB1488">
        <v>1</v>
      </c>
      <c r="BC1488" s="7">
        <v>0.32</v>
      </c>
      <c r="BD1488">
        <v>30</v>
      </c>
      <c r="BE1488">
        <v>0</v>
      </c>
      <c r="BF1488">
        <v>0</v>
      </c>
      <c r="BG1488">
        <v>0</v>
      </c>
      <c r="BH1488">
        <v>5</v>
      </c>
      <c r="BI1488">
        <v>2.4</v>
      </c>
      <c r="BJ1488">
        <v>31</v>
      </c>
      <c r="BK1488">
        <v>0</v>
      </c>
      <c r="BL1488">
        <v>0</v>
      </c>
      <c r="BM1488">
        <v>0</v>
      </c>
      <c r="BN1488">
        <v>5</v>
      </c>
      <c r="BO1488">
        <v>2.4</v>
      </c>
      <c r="BP1488">
        <v>36</v>
      </c>
      <c r="BQ1488">
        <v>0</v>
      </c>
      <c r="BR1488">
        <v>0</v>
      </c>
      <c r="BS1488">
        <v>0</v>
      </c>
      <c r="BT1488">
        <v>5</v>
      </c>
      <c r="BU1488">
        <v>1.7</v>
      </c>
    </row>
    <row r="1489" spans="1:73" ht="14.25" x14ac:dyDescent="0.15">
      <c r="A1489" s="12">
        <v>30436</v>
      </c>
      <c r="B1489">
        <v>7</v>
      </c>
      <c r="C1489" s="1">
        <v>45</v>
      </c>
      <c r="D1489">
        <v>0</v>
      </c>
      <c r="E1489">
        <v>0</v>
      </c>
      <c r="F1489">
        <v>1</v>
      </c>
      <c r="G1489" s="7">
        <v>0.05</v>
      </c>
      <c r="H1489">
        <v>12</v>
      </c>
      <c r="I1489">
        <v>0</v>
      </c>
      <c r="J1489">
        <v>0</v>
      </c>
      <c r="K1489">
        <v>0</v>
      </c>
      <c r="L1489">
        <v>1</v>
      </c>
      <c r="M1489">
        <v>2</v>
      </c>
      <c r="N1489" s="7">
        <v>9</v>
      </c>
      <c r="O1489" s="7">
        <v>0</v>
      </c>
      <c r="P1489" s="7">
        <v>0</v>
      </c>
      <c r="Q1489" s="7">
        <v>0</v>
      </c>
      <c r="R1489" s="7">
        <v>1</v>
      </c>
      <c r="S1489" s="7">
        <v>4.5</v>
      </c>
      <c r="T1489">
        <v>7</v>
      </c>
      <c r="U1489" s="1">
        <v>33</v>
      </c>
      <c r="V1489">
        <v>0</v>
      </c>
      <c r="W1489">
        <v>0</v>
      </c>
      <c r="X1489">
        <v>1</v>
      </c>
      <c r="Y1489">
        <v>0.16</v>
      </c>
      <c r="Z1489">
        <v>23</v>
      </c>
      <c r="AA1489">
        <v>0</v>
      </c>
      <c r="AB1489">
        <v>0</v>
      </c>
      <c r="AC1489">
        <v>0</v>
      </c>
      <c r="AD1489">
        <v>1</v>
      </c>
      <c r="AE1489">
        <v>0.05</v>
      </c>
      <c r="AF1489">
        <v>15</v>
      </c>
      <c r="AG1489">
        <v>0</v>
      </c>
      <c r="AH1489">
        <v>0</v>
      </c>
      <c r="AI1489">
        <v>0</v>
      </c>
      <c r="AJ1489">
        <v>1</v>
      </c>
      <c r="AK1489">
        <v>0.02</v>
      </c>
      <c r="AL1489">
        <v>16</v>
      </c>
      <c r="AM1489">
        <v>0</v>
      </c>
      <c r="AN1489">
        <v>0</v>
      </c>
      <c r="AO1489">
        <v>0</v>
      </c>
      <c r="AP1489">
        <v>1</v>
      </c>
      <c r="AQ1489">
        <v>0.01</v>
      </c>
      <c r="AX1489">
        <v>7</v>
      </c>
      <c r="AY1489" s="1">
        <v>17</v>
      </c>
      <c r="AZ1489">
        <v>0</v>
      </c>
      <c r="BA1489">
        <v>0</v>
      </c>
      <c r="BB1489">
        <v>1</v>
      </c>
      <c r="BC1489" s="7">
        <v>0.32</v>
      </c>
      <c r="BD1489">
        <v>30</v>
      </c>
      <c r="BE1489">
        <v>0</v>
      </c>
      <c r="BF1489">
        <v>0</v>
      </c>
      <c r="BG1489">
        <v>0</v>
      </c>
      <c r="BH1489">
        <v>5</v>
      </c>
      <c r="BI1489">
        <v>2.4</v>
      </c>
      <c r="BJ1489">
        <v>31</v>
      </c>
      <c r="BK1489">
        <v>0</v>
      </c>
      <c r="BL1489">
        <v>0</v>
      </c>
      <c r="BM1489">
        <v>0</v>
      </c>
      <c r="BN1489">
        <v>5</v>
      </c>
      <c r="BO1489">
        <v>2.4</v>
      </c>
      <c r="BP1489">
        <v>36</v>
      </c>
      <c r="BQ1489">
        <v>0</v>
      </c>
      <c r="BR1489">
        <v>0</v>
      </c>
      <c r="BS1489">
        <v>0</v>
      </c>
      <c r="BT1489">
        <v>5</v>
      </c>
      <c r="BU1489">
        <v>1.7</v>
      </c>
    </row>
    <row r="1490" spans="1:73" ht="14.25" x14ac:dyDescent="0.15">
      <c r="A1490" s="12">
        <v>30437</v>
      </c>
      <c r="B1490">
        <v>7</v>
      </c>
      <c r="C1490" s="1">
        <v>46</v>
      </c>
      <c r="D1490">
        <v>0</v>
      </c>
      <c r="E1490">
        <v>0</v>
      </c>
      <c r="F1490">
        <v>1</v>
      </c>
      <c r="G1490" s="7">
        <v>0.05</v>
      </c>
      <c r="H1490">
        <v>12</v>
      </c>
      <c r="I1490">
        <v>0</v>
      </c>
      <c r="J1490">
        <v>0</v>
      </c>
      <c r="K1490">
        <v>0</v>
      </c>
      <c r="L1490">
        <v>1</v>
      </c>
      <c r="M1490">
        <v>2</v>
      </c>
      <c r="N1490" s="7">
        <v>9</v>
      </c>
      <c r="O1490" s="7">
        <v>0</v>
      </c>
      <c r="P1490" s="7">
        <v>0</v>
      </c>
      <c r="Q1490" s="7">
        <v>0</v>
      </c>
      <c r="R1490" s="7">
        <v>1</v>
      </c>
      <c r="S1490" s="7">
        <v>4.5</v>
      </c>
      <c r="T1490">
        <v>7</v>
      </c>
      <c r="U1490" s="1">
        <v>34</v>
      </c>
      <c r="V1490">
        <v>0</v>
      </c>
      <c r="W1490">
        <v>0</v>
      </c>
      <c r="X1490">
        <v>1</v>
      </c>
      <c r="Y1490">
        <v>0.16</v>
      </c>
      <c r="Z1490">
        <v>23</v>
      </c>
      <c r="AA1490">
        <v>0</v>
      </c>
      <c r="AB1490">
        <v>0</v>
      </c>
      <c r="AC1490">
        <v>0</v>
      </c>
      <c r="AD1490">
        <v>1</v>
      </c>
      <c r="AE1490">
        <v>0.05</v>
      </c>
      <c r="AF1490">
        <v>15</v>
      </c>
      <c r="AG1490">
        <v>0</v>
      </c>
      <c r="AH1490">
        <v>0</v>
      </c>
      <c r="AI1490">
        <v>0</v>
      </c>
      <c r="AJ1490">
        <v>1</v>
      </c>
      <c r="AK1490">
        <v>0.02</v>
      </c>
      <c r="AL1490">
        <v>16</v>
      </c>
      <c r="AM1490">
        <v>0</v>
      </c>
      <c r="AN1490">
        <v>0</v>
      </c>
      <c r="AO1490">
        <v>0</v>
      </c>
      <c r="AP1490">
        <v>1</v>
      </c>
      <c r="AQ1490">
        <v>0.01</v>
      </c>
      <c r="AX1490">
        <v>7</v>
      </c>
      <c r="AY1490" s="1">
        <v>18</v>
      </c>
      <c r="AZ1490">
        <v>0</v>
      </c>
      <c r="BA1490">
        <v>0</v>
      </c>
      <c r="BB1490">
        <v>1</v>
      </c>
      <c r="BC1490" s="7">
        <v>0.32</v>
      </c>
      <c r="BD1490">
        <v>30</v>
      </c>
      <c r="BE1490">
        <v>0</v>
      </c>
      <c r="BF1490">
        <v>0</v>
      </c>
      <c r="BG1490">
        <v>0</v>
      </c>
      <c r="BH1490">
        <v>5</v>
      </c>
      <c r="BI1490">
        <v>2.4</v>
      </c>
      <c r="BJ1490">
        <v>31</v>
      </c>
      <c r="BK1490">
        <v>0</v>
      </c>
      <c r="BL1490">
        <v>0</v>
      </c>
      <c r="BM1490">
        <v>0</v>
      </c>
      <c r="BN1490">
        <v>5</v>
      </c>
      <c r="BO1490">
        <v>2.4</v>
      </c>
      <c r="BP1490">
        <v>36</v>
      </c>
      <c r="BQ1490">
        <v>0</v>
      </c>
      <c r="BR1490">
        <v>0</v>
      </c>
      <c r="BS1490">
        <v>0</v>
      </c>
      <c r="BT1490">
        <v>5</v>
      </c>
      <c r="BU1490">
        <v>1.7</v>
      </c>
    </row>
    <row r="1491" spans="1:73" ht="14.25" x14ac:dyDescent="0.15">
      <c r="A1491" s="12">
        <v>30438</v>
      </c>
      <c r="B1491">
        <v>7</v>
      </c>
      <c r="C1491" s="1">
        <v>47</v>
      </c>
      <c r="D1491">
        <v>0</v>
      </c>
      <c r="E1491">
        <v>0</v>
      </c>
      <c r="F1491">
        <v>1</v>
      </c>
      <c r="G1491" s="7">
        <v>0.05</v>
      </c>
      <c r="H1491">
        <v>12</v>
      </c>
      <c r="I1491">
        <v>0</v>
      </c>
      <c r="J1491">
        <v>0</v>
      </c>
      <c r="K1491">
        <v>0</v>
      </c>
      <c r="L1491">
        <v>1</v>
      </c>
      <c r="M1491">
        <v>2</v>
      </c>
      <c r="N1491" s="7">
        <v>9</v>
      </c>
      <c r="O1491" s="7">
        <v>0</v>
      </c>
      <c r="P1491" s="7">
        <v>0</v>
      </c>
      <c r="Q1491" s="7">
        <v>0</v>
      </c>
      <c r="R1491" s="7">
        <v>1</v>
      </c>
      <c r="S1491" s="7">
        <v>4.5</v>
      </c>
      <c r="T1491">
        <v>7</v>
      </c>
      <c r="U1491" s="1">
        <v>35</v>
      </c>
      <c r="V1491">
        <v>0</v>
      </c>
      <c r="W1491">
        <v>0</v>
      </c>
      <c r="X1491">
        <v>1</v>
      </c>
      <c r="Y1491">
        <v>0.16</v>
      </c>
      <c r="Z1491">
        <v>23</v>
      </c>
      <c r="AA1491">
        <v>0</v>
      </c>
      <c r="AB1491">
        <v>0</v>
      </c>
      <c r="AC1491">
        <v>0</v>
      </c>
      <c r="AD1491">
        <v>1</v>
      </c>
      <c r="AE1491">
        <v>0.05</v>
      </c>
      <c r="AF1491">
        <v>15</v>
      </c>
      <c r="AG1491">
        <v>0</v>
      </c>
      <c r="AH1491">
        <v>0</v>
      </c>
      <c r="AI1491">
        <v>0</v>
      </c>
      <c r="AJ1491">
        <v>1</v>
      </c>
      <c r="AK1491">
        <v>0.02</v>
      </c>
      <c r="AL1491">
        <v>16</v>
      </c>
      <c r="AM1491">
        <v>0</v>
      </c>
      <c r="AN1491">
        <v>0</v>
      </c>
      <c r="AO1491">
        <v>0</v>
      </c>
      <c r="AP1491">
        <v>1</v>
      </c>
      <c r="AQ1491">
        <v>0.01</v>
      </c>
      <c r="AX1491">
        <v>7</v>
      </c>
      <c r="AY1491" s="1">
        <v>19</v>
      </c>
      <c r="AZ1491">
        <v>0</v>
      </c>
      <c r="BA1491">
        <v>0</v>
      </c>
      <c r="BB1491">
        <v>1</v>
      </c>
      <c r="BC1491" s="7">
        <v>0.32</v>
      </c>
      <c r="BD1491">
        <v>30</v>
      </c>
      <c r="BE1491">
        <v>0</v>
      </c>
      <c r="BF1491">
        <v>0</v>
      </c>
      <c r="BG1491">
        <v>0</v>
      </c>
      <c r="BH1491">
        <v>5</v>
      </c>
      <c r="BI1491">
        <v>2.4</v>
      </c>
      <c r="BJ1491">
        <v>31</v>
      </c>
      <c r="BK1491">
        <v>0</v>
      </c>
      <c r="BL1491">
        <v>0</v>
      </c>
      <c r="BM1491">
        <v>0</v>
      </c>
      <c r="BN1491">
        <v>5</v>
      </c>
      <c r="BO1491">
        <v>2.4</v>
      </c>
      <c r="BP1491">
        <v>36</v>
      </c>
      <c r="BQ1491">
        <v>0</v>
      </c>
      <c r="BR1491">
        <v>0</v>
      </c>
      <c r="BS1491">
        <v>0</v>
      </c>
      <c r="BT1491">
        <v>5</v>
      </c>
      <c r="BU1491">
        <v>1.7</v>
      </c>
    </row>
    <row r="1492" spans="1:73" ht="14.25" x14ac:dyDescent="0.15">
      <c r="A1492" s="12">
        <v>30439</v>
      </c>
      <c r="B1492">
        <v>7</v>
      </c>
      <c r="C1492" s="1">
        <v>48</v>
      </c>
      <c r="D1492">
        <v>0</v>
      </c>
      <c r="E1492">
        <v>0</v>
      </c>
      <c r="F1492">
        <v>1</v>
      </c>
      <c r="G1492" s="7">
        <v>0.05</v>
      </c>
      <c r="H1492">
        <v>12</v>
      </c>
      <c r="I1492">
        <v>0</v>
      </c>
      <c r="J1492">
        <v>0</v>
      </c>
      <c r="K1492">
        <v>0</v>
      </c>
      <c r="L1492">
        <v>1</v>
      </c>
      <c r="M1492">
        <v>2</v>
      </c>
      <c r="N1492" s="7">
        <v>9</v>
      </c>
      <c r="O1492" s="7">
        <v>0</v>
      </c>
      <c r="P1492" s="7">
        <v>0</v>
      </c>
      <c r="Q1492" s="7">
        <v>0</v>
      </c>
      <c r="R1492" s="7">
        <v>1</v>
      </c>
      <c r="S1492" s="7">
        <v>4.5</v>
      </c>
      <c r="T1492">
        <v>7</v>
      </c>
      <c r="U1492" s="1">
        <v>36</v>
      </c>
      <c r="V1492">
        <v>0</v>
      </c>
      <c r="W1492">
        <v>0</v>
      </c>
      <c r="X1492">
        <v>1</v>
      </c>
      <c r="Y1492">
        <v>0.16</v>
      </c>
      <c r="Z1492">
        <v>23</v>
      </c>
      <c r="AA1492">
        <v>0</v>
      </c>
      <c r="AB1492">
        <v>0</v>
      </c>
      <c r="AC1492">
        <v>0</v>
      </c>
      <c r="AD1492">
        <v>1</v>
      </c>
      <c r="AE1492">
        <v>0.05</v>
      </c>
      <c r="AF1492">
        <v>15</v>
      </c>
      <c r="AG1492">
        <v>0</v>
      </c>
      <c r="AH1492">
        <v>0</v>
      </c>
      <c r="AI1492">
        <v>0</v>
      </c>
      <c r="AJ1492">
        <v>1</v>
      </c>
      <c r="AK1492">
        <v>0.02</v>
      </c>
      <c r="AL1492">
        <v>16</v>
      </c>
      <c r="AM1492">
        <v>0</v>
      </c>
      <c r="AN1492">
        <v>0</v>
      </c>
      <c r="AO1492">
        <v>0</v>
      </c>
      <c r="AP1492">
        <v>1</v>
      </c>
      <c r="AQ1492">
        <v>0.01</v>
      </c>
      <c r="AX1492">
        <v>7</v>
      </c>
      <c r="AY1492" s="1">
        <v>20</v>
      </c>
      <c r="AZ1492">
        <v>0</v>
      </c>
      <c r="BA1492">
        <v>0</v>
      </c>
      <c r="BB1492">
        <v>1</v>
      </c>
      <c r="BC1492" s="7">
        <v>0.32</v>
      </c>
      <c r="BD1492">
        <v>30</v>
      </c>
      <c r="BE1492">
        <v>0</v>
      </c>
      <c r="BF1492">
        <v>0</v>
      </c>
      <c r="BG1492">
        <v>0</v>
      </c>
      <c r="BH1492">
        <v>5</v>
      </c>
      <c r="BI1492">
        <v>2.4</v>
      </c>
      <c r="BJ1492">
        <v>31</v>
      </c>
      <c r="BK1492">
        <v>0</v>
      </c>
      <c r="BL1492">
        <v>0</v>
      </c>
      <c r="BM1492">
        <v>0</v>
      </c>
      <c r="BN1492">
        <v>5</v>
      </c>
      <c r="BO1492">
        <v>2.4</v>
      </c>
      <c r="BP1492">
        <v>36</v>
      </c>
      <c r="BQ1492">
        <v>0</v>
      </c>
      <c r="BR1492">
        <v>0</v>
      </c>
      <c r="BS1492">
        <v>0</v>
      </c>
      <c r="BT1492">
        <v>5</v>
      </c>
      <c r="BU1492">
        <v>1.7</v>
      </c>
    </row>
    <row r="1493" spans="1:73" ht="14.25" x14ac:dyDescent="0.15">
      <c r="A1493" s="12">
        <v>30440</v>
      </c>
      <c r="B1493">
        <v>7</v>
      </c>
      <c r="C1493" s="1">
        <v>0</v>
      </c>
      <c r="D1493">
        <v>5</v>
      </c>
      <c r="E1493">
        <v>1</v>
      </c>
      <c r="F1493">
        <v>1</v>
      </c>
      <c r="G1493" s="7">
        <v>0.05</v>
      </c>
      <c r="H1493">
        <v>12</v>
      </c>
      <c r="I1493">
        <v>0</v>
      </c>
      <c r="J1493">
        <v>0</v>
      </c>
      <c r="K1493">
        <v>0</v>
      </c>
      <c r="L1493">
        <v>1</v>
      </c>
      <c r="M1493">
        <v>2</v>
      </c>
      <c r="N1493" s="7">
        <v>9</v>
      </c>
      <c r="O1493" s="7">
        <v>0</v>
      </c>
      <c r="P1493" s="7">
        <v>0</v>
      </c>
      <c r="Q1493" s="7">
        <v>0</v>
      </c>
      <c r="R1493" s="7">
        <v>1</v>
      </c>
      <c r="S1493" s="7">
        <v>4.5</v>
      </c>
      <c r="T1493">
        <v>7</v>
      </c>
      <c r="U1493" s="1">
        <v>0</v>
      </c>
      <c r="V1493">
        <v>4</v>
      </c>
      <c r="W1493">
        <v>2</v>
      </c>
      <c r="X1493">
        <v>1</v>
      </c>
      <c r="Y1493">
        <v>0.16</v>
      </c>
      <c r="Z1493">
        <v>23</v>
      </c>
      <c r="AA1493">
        <v>0</v>
      </c>
      <c r="AB1493">
        <v>0</v>
      </c>
      <c r="AC1493">
        <v>0</v>
      </c>
      <c r="AD1493">
        <v>1</v>
      </c>
      <c r="AE1493">
        <v>0.05</v>
      </c>
      <c r="AF1493">
        <v>15</v>
      </c>
      <c r="AG1493">
        <v>0</v>
      </c>
      <c r="AH1493">
        <v>0</v>
      </c>
      <c r="AI1493">
        <v>0</v>
      </c>
      <c r="AJ1493">
        <v>1</v>
      </c>
      <c r="AK1493">
        <v>0.02</v>
      </c>
      <c r="AL1493">
        <v>16</v>
      </c>
      <c r="AM1493">
        <v>0</v>
      </c>
      <c r="AN1493">
        <v>0</v>
      </c>
      <c r="AO1493">
        <v>0</v>
      </c>
      <c r="AP1493">
        <v>1</v>
      </c>
      <c r="AQ1493">
        <v>0.01</v>
      </c>
      <c r="AR1493">
        <v>6</v>
      </c>
      <c r="AS1493">
        <v>2</v>
      </c>
      <c r="AT1493">
        <v>3</v>
      </c>
      <c r="AU1493">
        <v>5</v>
      </c>
      <c r="AV1493">
        <v>1</v>
      </c>
      <c r="AW1493">
        <v>0.05</v>
      </c>
      <c r="AX1493">
        <v>7</v>
      </c>
      <c r="AY1493" s="1">
        <v>0</v>
      </c>
      <c r="AZ1493">
        <v>3</v>
      </c>
      <c r="BA1493">
        <v>1</v>
      </c>
      <c r="BB1493">
        <v>1</v>
      </c>
      <c r="BC1493" s="7">
        <v>0.32</v>
      </c>
      <c r="BD1493">
        <v>30</v>
      </c>
      <c r="BE1493">
        <v>0</v>
      </c>
      <c r="BF1493">
        <v>0</v>
      </c>
      <c r="BG1493">
        <v>0</v>
      </c>
      <c r="BH1493">
        <v>5</v>
      </c>
      <c r="BI1493">
        <v>2.4</v>
      </c>
      <c r="BJ1493">
        <v>31</v>
      </c>
      <c r="BK1493">
        <v>0</v>
      </c>
      <c r="BL1493">
        <v>0</v>
      </c>
      <c r="BM1493">
        <v>0</v>
      </c>
      <c r="BN1493">
        <v>5</v>
      </c>
      <c r="BO1493">
        <v>2.4</v>
      </c>
      <c r="BP1493">
        <v>36</v>
      </c>
      <c r="BQ1493">
        <v>0</v>
      </c>
      <c r="BR1493">
        <v>0</v>
      </c>
      <c r="BS1493">
        <v>0</v>
      </c>
      <c r="BT1493">
        <v>5</v>
      </c>
      <c r="BU1493">
        <v>1.7</v>
      </c>
    </row>
    <row r="1494" spans="1:73" ht="14.25" x14ac:dyDescent="0.15">
      <c r="A1494" s="12">
        <v>30441</v>
      </c>
      <c r="B1494">
        <v>7</v>
      </c>
      <c r="C1494" s="1">
        <v>45</v>
      </c>
      <c r="D1494">
        <v>0</v>
      </c>
      <c r="E1494">
        <v>0</v>
      </c>
      <c r="F1494">
        <v>1</v>
      </c>
      <c r="G1494" s="7">
        <v>0.05</v>
      </c>
      <c r="H1494">
        <v>12</v>
      </c>
      <c r="I1494">
        <v>0</v>
      </c>
      <c r="J1494">
        <v>0</v>
      </c>
      <c r="K1494">
        <v>0</v>
      </c>
      <c r="L1494">
        <v>1</v>
      </c>
      <c r="M1494">
        <v>2</v>
      </c>
      <c r="N1494" s="7">
        <v>9</v>
      </c>
      <c r="O1494" s="7">
        <v>0</v>
      </c>
      <c r="P1494" s="7">
        <v>0</v>
      </c>
      <c r="Q1494" s="7">
        <v>0</v>
      </c>
      <c r="R1494" s="7">
        <v>1</v>
      </c>
      <c r="S1494" s="7">
        <v>4.5</v>
      </c>
      <c r="T1494">
        <v>7</v>
      </c>
      <c r="U1494" s="1">
        <v>33</v>
      </c>
      <c r="V1494">
        <v>0</v>
      </c>
      <c r="W1494">
        <v>0</v>
      </c>
      <c r="X1494">
        <v>1</v>
      </c>
      <c r="Y1494">
        <v>0.16</v>
      </c>
      <c r="Z1494">
        <v>23</v>
      </c>
      <c r="AA1494">
        <v>0</v>
      </c>
      <c r="AB1494">
        <v>0</v>
      </c>
      <c r="AC1494">
        <v>0</v>
      </c>
      <c r="AD1494">
        <v>1</v>
      </c>
      <c r="AE1494">
        <v>0.05</v>
      </c>
      <c r="AF1494">
        <v>15</v>
      </c>
      <c r="AG1494">
        <v>0</v>
      </c>
      <c r="AH1494">
        <v>0</v>
      </c>
      <c r="AI1494">
        <v>0</v>
      </c>
      <c r="AJ1494">
        <v>1</v>
      </c>
      <c r="AK1494">
        <v>0.02</v>
      </c>
      <c r="AL1494">
        <v>16</v>
      </c>
      <c r="AM1494">
        <v>0</v>
      </c>
      <c r="AN1494">
        <v>0</v>
      </c>
      <c r="AO1494">
        <v>0</v>
      </c>
      <c r="AP1494">
        <v>1</v>
      </c>
      <c r="AQ1494">
        <v>0.01</v>
      </c>
      <c r="AX1494">
        <v>7</v>
      </c>
      <c r="AY1494" s="1">
        <v>17</v>
      </c>
      <c r="AZ1494">
        <v>0</v>
      </c>
      <c r="BA1494">
        <v>0</v>
      </c>
      <c r="BB1494">
        <v>1</v>
      </c>
      <c r="BC1494" s="7">
        <v>0.32</v>
      </c>
      <c r="BD1494">
        <v>30</v>
      </c>
      <c r="BE1494">
        <v>0</v>
      </c>
      <c r="BF1494">
        <v>0</v>
      </c>
      <c r="BG1494">
        <v>0</v>
      </c>
      <c r="BH1494">
        <v>5</v>
      </c>
      <c r="BI1494">
        <v>2.4</v>
      </c>
      <c r="BJ1494">
        <v>31</v>
      </c>
      <c r="BK1494">
        <v>0</v>
      </c>
      <c r="BL1494">
        <v>0</v>
      </c>
      <c r="BM1494">
        <v>0</v>
      </c>
      <c r="BN1494">
        <v>5</v>
      </c>
      <c r="BO1494">
        <v>2.4</v>
      </c>
      <c r="BP1494">
        <v>36</v>
      </c>
      <c r="BQ1494">
        <v>0</v>
      </c>
      <c r="BR1494">
        <v>0</v>
      </c>
      <c r="BS1494">
        <v>0</v>
      </c>
      <c r="BT1494">
        <v>5</v>
      </c>
      <c r="BU1494">
        <v>1.7</v>
      </c>
    </row>
    <row r="1495" spans="1:73" ht="14.25" x14ac:dyDescent="0.15">
      <c r="A1495" s="12">
        <v>30442</v>
      </c>
      <c r="B1495">
        <v>7</v>
      </c>
      <c r="C1495" s="1">
        <v>46</v>
      </c>
      <c r="D1495">
        <v>0</v>
      </c>
      <c r="E1495">
        <v>0</v>
      </c>
      <c r="F1495">
        <v>1</v>
      </c>
      <c r="G1495" s="7">
        <v>0.05</v>
      </c>
      <c r="H1495">
        <v>12</v>
      </c>
      <c r="I1495">
        <v>0</v>
      </c>
      <c r="J1495">
        <v>0</v>
      </c>
      <c r="K1495">
        <v>0</v>
      </c>
      <c r="L1495">
        <v>1</v>
      </c>
      <c r="M1495">
        <v>2</v>
      </c>
      <c r="N1495" s="7">
        <v>9</v>
      </c>
      <c r="O1495" s="7">
        <v>0</v>
      </c>
      <c r="P1495" s="7">
        <v>0</v>
      </c>
      <c r="Q1495" s="7">
        <v>0</v>
      </c>
      <c r="R1495" s="7">
        <v>1</v>
      </c>
      <c r="S1495" s="7">
        <v>4.5</v>
      </c>
      <c r="T1495">
        <v>7</v>
      </c>
      <c r="U1495" s="1">
        <v>34</v>
      </c>
      <c r="V1495">
        <v>0</v>
      </c>
      <c r="W1495">
        <v>0</v>
      </c>
      <c r="X1495">
        <v>1</v>
      </c>
      <c r="Y1495">
        <v>0.16</v>
      </c>
      <c r="Z1495">
        <v>23</v>
      </c>
      <c r="AA1495">
        <v>0</v>
      </c>
      <c r="AB1495">
        <v>0</v>
      </c>
      <c r="AC1495">
        <v>0</v>
      </c>
      <c r="AD1495">
        <v>1</v>
      </c>
      <c r="AE1495">
        <v>0.05</v>
      </c>
      <c r="AF1495">
        <v>15</v>
      </c>
      <c r="AG1495">
        <v>0</v>
      </c>
      <c r="AH1495">
        <v>0</v>
      </c>
      <c r="AI1495">
        <v>0</v>
      </c>
      <c r="AJ1495">
        <v>1</v>
      </c>
      <c r="AK1495">
        <v>0.02</v>
      </c>
      <c r="AL1495">
        <v>16</v>
      </c>
      <c r="AM1495">
        <v>0</v>
      </c>
      <c r="AN1495">
        <v>0</v>
      </c>
      <c r="AO1495">
        <v>0</v>
      </c>
      <c r="AP1495">
        <v>1</v>
      </c>
      <c r="AQ1495">
        <v>0.01</v>
      </c>
      <c r="AX1495">
        <v>7</v>
      </c>
      <c r="AY1495" s="1">
        <v>18</v>
      </c>
      <c r="AZ1495">
        <v>0</v>
      </c>
      <c r="BA1495">
        <v>0</v>
      </c>
      <c r="BB1495">
        <v>1</v>
      </c>
      <c r="BC1495" s="7">
        <v>0.32</v>
      </c>
      <c r="BD1495">
        <v>30</v>
      </c>
      <c r="BE1495">
        <v>0</v>
      </c>
      <c r="BF1495">
        <v>0</v>
      </c>
      <c r="BG1495">
        <v>0</v>
      </c>
      <c r="BH1495">
        <v>5</v>
      </c>
      <c r="BI1495">
        <v>2.4</v>
      </c>
      <c r="BJ1495">
        <v>31</v>
      </c>
      <c r="BK1495">
        <v>0</v>
      </c>
      <c r="BL1495">
        <v>0</v>
      </c>
      <c r="BM1495">
        <v>0</v>
      </c>
      <c r="BN1495">
        <v>5</v>
      </c>
      <c r="BO1495">
        <v>2.4</v>
      </c>
      <c r="BP1495">
        <v>36</v>
      </c>
      <c r="BQ1495">
        <v>0</v>
      </c>
      <c r="BR1495">
        <v>0</v>
      </c>
      <c r="BS1495">
        <v>0</v>
      </c>
      <c r="BT1495">
        <v>5</v>
      </c>
      <c r="BU1495">
        <v>1.7</v>
      </c>
    </row>
    <row r="1496" spans="1:73" ht="14.25" x14ac:dyDescent="0.15">
      <c r="A1496" s="12">
        <v>30443</v>
      </c>
      <c r="B1496">
        <v>7</v>
      </c>
      <c r="C1496" s="1">
        <v>47</v>
      </c>
      <c r="D1496">
        <v>0</v>
      </c>
      <c r="E1496">
        <v>0</v>
      </c>
      <c r="F1496">
        <v>1</v>
      </c>
      <c r="G1496" s="7">
        <v>0.05</v>
      </c>
      <c r="H1496">
        <v>12</v>
      </c>
      <c r="I1496">
        <v>0</v>
      </c>
      <c r="J1496">
        <v>0</v>
      </c>
      <c r="K1496">
        <v>0</v>
      </c>
      <c r="L1496">
        <v>1</v>
      </c>
      <c r="M1496">
        <v>2</v>
      </c>
      <c r="N1496" s="7">
        <v>9</v>
      </c>
      <c r="O1496" s="7">
        <v>0</v>
      </c>
      <c r="P1496" s="7">
        <v>0</v>
      </c>
      <c r="Q1496" s="7">
        <v>0</v>
      </c>
      <c r="R1496" s="7">
        <v>1</v>
      </c>
      <c r="S1496" s="7">
        <v>4.5</v>
      </c>
      <c r="T1496">
        <v>7</v>
      </c>
      <c r="U1496" s="1">
        <v>35</v>
      </c>
      <c r="V1496">
        <v>0</v>
      </c>
      <c r="W1496">
        <v>0</v>
      </c>
      <c r="X1496">
        <v>1</v>
      </c>
      <c r="Y1496">
        <v>0.16</v>
      </c>
      <c r="Z1496">
        <v>23</v>
      </c>
      <c r="AA1496">
        <v>0</v>
      </c>
      <c r="AB1496">
        <v>0</v>
      </c>
      <c r="AC1496">
        <v>0</v>
      </c>
      <c r="AD1496">
        <v>1</v>
      </c>
      <c r="AE1496">
        <v>0.05</v>
      </c>
      <c r="AF1496">
        <v>15</v>
      </c>
      <c r="AG1496">
        <v>0</v>
      </c>
      <c r="AH1496">
        <v>0</v>
      </c>
      <c r="AI1496">
        <v>0</v>
      </c>
      <c r="AJ1496">
        <v>1</v>
      </c>
      <c r="AK1496">
        <v>0.02</v>
      </c>
      <c r="AL1496">
        <v>16</v>
      </c>
      <c r="AM1496">
        <v>0</v>
      </c>
      <c r="AN1496">
        <v>0</v>
      </c>
      <c r="AO1496">
        <v>0</v>
      </c>
      <c r="AP1496">
        <v>1</v>
      </c>
      <c r="AQ1496">
        <v>0.01</v>
      </c>
      <c r="AX1496">
        <v>7</v>
      </c>
      <c r="AY1496" s="1">
        <v>19</v>
      </c>
      <c r="AZ1496">
        <v>0</v>
      </c>
      <c r="BA1496">
        <v>0</v>
      </c>
      <c r="BB1496">
        <v>1</v>
      </c>
      <c r="BC1496" s="7">
        <v>0.32</v>
      </c>
      <c r="BD1496">
        <v>30</v>
      </c>
      <c r="BE1496">
        <v>0</v>
      </c>
      <c r="BF1496">
        <v>0</v>
      </c>
      <c r="BG1496">
        <v>0</v>
      </c>
      <c r="BH1496">
        <v>5</v>
      </c>
      <c r="BI1496">
        <v>2.4</v>
      </c>
      <c r="BJ1496">
        <v>31</v>
      </c>
      <c r="BK1496">
        <v>0</v>
      </c>
      <c r="BL1496">
        <v>0</v>
      </c>
      <c r="BM1496">
        <v>0</v>
      </c>
      <c r="BN1496">
        <v>5</v>
      </c>
      <c r="BO1496">
        <v>2.4</v>
      </c>
      <c r="BP1496">
        <v>36</v>
      </c>
      <c r="BQ1496">
        <v>0</v>
      </c>
      <c r="BR1496">
        <v>0</v>
      </c>
      <c r="BS1496">
        <v>0</v>
      </c>
      <c r="BT1496">
        <v>5</v>
      </c>
      <c r="BU1496">
        <v>1.7</v>
      </c>
    </row>
    <row r="1497" spans="1:73" ht="14.25" x14ac:dyDescent="0.15">
      <c r="A1497" s="12">
        <v>30444</v>
      </c>
      <c r="B1497">
        <v>7</v>
      </c>
      <c r="C1497" s="1">
        <v>48</v>
      </c>
      <c r="D1497">
        <v>0</v>
      </c>
      <c r="E1497">
        <v>0</v>
      </c>
      <c r="F1497">
        <v>1</v>
      </c>
      <c r="G1497" s="7">
        <v>0.05</v>
      </c>
      <c r="H1497">
        <v>12</v>
      </c>
      <c r="I1497">
        <v>0</v>
      </c>
      <c r="J1497">
        <v>0</v>
      </c>
      <c r="K1497">
        <v>0</v>
      </c>
      <c r="L1497">
        <v>1</v>
      </c>
      <c r="M1497">
        <v>2</v>
      </c>
      <c r="N1497" s="7">
        <v>9</v>
      </c>
      <c r="O1497" s="7">
        <v>0</v>
      </c>
      <c r="P1497" s="7">
        <v>0</v>
      </c>
      <c r="Q1497" s="7">
        <v>0</v>
      </c>
      <c r="R1497" s="7">
        <v>1</v>
      </c>
      <c r="S1497" s="7">
        <v>4.5</v>
      </c>
      <c r="T1497">
        <v>7</v>
      </c>
      <c r="U1497" s="1">
        <v>36</v>
      </c>
      <c r="V1497">
        <v>0</v>
      </c>
      <c r="W1497">
        <v>0</v>
      </c>
      <c r="X1497">
        <v>1</v>
      </c>
      <c r="Y1497">
        <v>0.16</v>
      </c>
      <c r="Z1497">
        <v>23</v>
      </c>
      <c r="AA1497">
        <v>0</v>
      </c>
      <c r="AB1497">
        <v>0</v>
      </c>
      <c r="AC1497">
        <v>0</v>
      </c>
      <c r="AD1497">
        <v>1</v>
      </c>
      <c r="AE1497">
        <v>0.05</v>
      </c>
      <c r="AF1497">
        <v>15</v>
      </c>
      <c r="AG1497">
        <v>0</v>
      </c>
      <c r="AH1497">
        <v>0</v>
      </c>
      <c r="AI1497">
        <v>0</v>
      </c>
      <c r="AJ1497">
        <v>1</v>
      </c>
      <c r="AK1497">
        <v>0.02</v>
      </c>
      <c r="AL1497">
        <v>16</v>
      </c>
      <c r="AM1497">
        <v>0</v>
      </c>
      <c r="AN1497">
        <v>0</v>
      </c>
      <c r="AO1497">
        <v>0</v>
      </c>
      <c r="AP1497">
        <v>1</v>
      </c>
      <c r="AQ1497">
        <v>0.01</v>
      </c>
      <c r="AX1497">
        <v>7</v>
      </c>
      <c r="AY1497" s="1">
        <v>20</v>
      </c>
      <c r="AZ1497">
        <v>0</v>
      </c>
      <c r="BA1497">
        <v>0</v>
      </c>
      <c r="BB1497">
        <v>1</v>
      </c>
      <c r="BC1497" s="7">
        <v>0.32</v>
      </c>
      <c r="BD1497">
        <v>30</v>
      </c>
      <c r="BE1497">
        <v>0</v>
      </c>
      <c r="BF1497">
        <v>0</v>
      </c>
      <c r="BG1497">
        <v>0</v>
      </c>
      <c r="BH1497">
        <v>5</v>
      </c>
      <c r="BI1497">
        <v>2.4</v>
      </c>
      <c r="BJ1497">
        <v>31</v>
      </c>
      <c r="BK1497">
        <v>0</v>
      </c>
      <c r="BL1497">
        <v>0</v>
      </c>
      <c r="BM1497">
        <v>0</v>
      </c>
      <c r="BN1497">
        <v>5</v>
      </c>
      <c r="BO1497">
        <v>2.4</v>
      </c>
      <c r="BP1497">
        <v>36</v>
      </c>
      <c r="BQ1497">
        <v>0</v>
      </c>
      <c r="BR1497">
        <v>0</v>
      </c>
      <c r="BS1497">
        <v>0</v>
      </c>
      <c r="BT1497">
        <v>5</v>
      </c>
      <c r="BU1497">
        <v>1.7</v>
      </c>
    </row>
    <row r="1498" spans="1:73" ht="14.25" x14ac:dyDescent="0.15">
      <c r="A1498" s="12">
        <v>30445</v>
      </c>
      <c r="B1498">
        <v>7</v>
      </c>
      <c r="C1498" s="1">
        <v>0</v>
      </c>
      <c r="D1498">
        <v>5</v>
      </c>
      <c r="E1498">
        <v>1</v>
      </c>
      <c r="F1498">
        <v>1</v>
      </c>
      <c r="G1498" s="7">
        <v>0.05</v>
      </c>
      <c r="H1498">
        <v>12</v>
      </c>
      <c r="I1498">
        <v>0</v>
      </c>
      <c r="J1498">
        <v>0</v>
      </c>
      <c r="K1498">
        <v>0</v>
      </c>
      <c r="L1498">
        <v>1</v>
      </c>
      <c r="M1498">
        <v>2</v>
      </c>
      <c r="N1498" s="7">
        <v>9</v>
      </c>
      <c r="O1498" s="7">
        <v>0</v>
      </c>
      <c r="P1498" s="7">
        <v>0</v>
      </c>
      <c r="Q1498" s="7">
        <v>0</v>
      </c>
      <c r="R1498" s="7">
        <v>1</v>
      </c>
      <c r="S1498" s="7">
        <v>4.5</v>
      </c>
      <c r="T1498">
        <v>7</v>
      </c>
      <c r="U1498" s="1">
        <v>0</v>
      </c>
      <c r="V1498">
        <v>4</v>
      </c>
      <c r="W1498">
        <v>2</v>
      </c>
      <c r="X1498">
        <v>1</v>
      </c>
      <c r="Y1498">
        <v>0.16</v>
      </c>
      <c r="Z1498">
        <v>23</v>
      </c>
      <c r="AA1498">
        <v>0</v>
      </c>
      <c r="AB1498">
        <v>0</v>
      </c>
      <c r="AC1498">
        <v>0</v>
      </c>
      <c r="AD1498">
        <v>1</v>
      </c>
      <c r="AE1498">
        <v>0.05</v>
      </c>
      <c r="AF1498">
        <v>15</v>
      </c>
      <c r="AG1498">
        <v>0</v>
      </c>
      <c r="AH1498">
        <v>0</v>
      </c>
      <c r="AI1498">
        <v>0</v>
      </c>
      <c r="AJ1498">
        <v>1</v>
      </c>
      <c r="AK1498">
        <v>0.02</v>
      </c>
      <c r="AL1498">
        <v>16</v>
      </c>
      <c r="AM1498">
        <v>0</v>
      </c>
      <c r="AN1498">
        <v>0</v>
      </c>
      <c r="AO1498">
        <v>0</v>
      </c>
      <c r="AP1498">
        <v>1</v>
      </c>
      <c r="AQ1498">
        <v>0.01</v>
      </c>
      <c r="AR1498">
        <v>6</v>
      </c>
      <c r="AS1498">
        <v>2</v>
      </c>
      <c r="AT1498">
        <v>4</v>
      </c>
      <c r="AU1498">
        <v>5</v>
      </c>
      <c r="AV1498">
        <v>1</v>
      </c>
      <c r="AW1498">
        <v>0.01</v>
      </c>
      <c r="AX1498">
        <v>7</v>
      </c>
      <c r="AY1498" s="1">
        <v>0</v>
      </c>
      <c r="AZ1498">
        <v>3</v>
      </c>
      <c r="BA1498">
        <v>1</v>
      </c>
      <c r="BB1498">
        <v>1</v>
      </c>
      <c r="BC1498" s="7">
        <v>0.32</v>
      </c>
      <c r="BD1498">
        <v>30</v>
      </c>
      <c r="BE1498">
        <v>0</v>
      </c>
      <c r="BF1498">
        <v>0</v>
      </c>
      <c r="BG1498">
        <v>0</v>
      </c>
      <c r="BH1498">
        <v>5</v>
      </c>
      <c r="BI1498">
        <v>2.4</v>
      </c>
      <c r="BJ1498">
        <v>31</v>
      </c>
      <c r="BK1498">
        <v>0</v>
      </c>
      <c r="BL1498">
        <v>0</v>
      </c>
      <c r="BM1498">
        <v>0</v>
      </c>
      <c r="BN1498">
        <v>5</v>
      </c>
      <c r="BO1498">
        <v>2.4</v>
      </c>
      <c r="BP1498">
        <v>36</v>
      </c>
      <c r="BQ1498">
        <v>0</v>
      </c>
      <c r="BR1498">
        <v>0</v>
      </c>
      <c r="BS1498">
        <v>0</v>
      </c>
      <c r="BT1498">
        <v>5</v>
      </c>
      <c r="BU1498">
        <v>1.7</v>
      </c>
    </row>
    <row r="1499" spans="1:73" ht="14.25" x14ac:dyDescent="0.15">
      <c r="A1499" s="12">
        <v>30446</v>
      </c>
      <c r="B1499">
        <v>7</v>
      </c>
      <c r="C1499" s="1">
        <v>45</v>
      </c>
      <c r="D1499">
        <v>0</v>
      </c>
      <c r="E1499">
        <v>0</v>
      </c>
      <c r="F1499">
        <v>1</v>
      </c>
      <c r="G1499" s="7">
        <v>0.05</v>
      </c>
      <c r="H1499">
        <v>12</v>
      </c>
      <c r="I1499">
        <v>0</v>
      </c>
      <c r="J1499">
        <v>0</v>
      </c>
      <c r="K1499">
        <v>0</v>
      </c>
      <c r="L1499">
        <v>1</v>
      </c>
      <c r="M1499">
        <v>2</v>
      </c>
      <c r="N1499" s="7">
        <v>9</v>
      </c>
      <c r="O1499" s="7">
        <v>0</v>
      </c>
      <c r="P1499" s="7">
        <v>0</v>
      </c>
      <c r="Q1499" s="7">
        <v>0</v>
      </c>
      <c r="R1499" s="7">
        <v>1</v>
      </c>
      <c r="S1499" s="7">
        <v>4.5</v>
      </c>
      <c r="T1499">
        <v>7</v>
      </c>
      <c r="U1499" s="1">
        <v>33</v>
      </c>
      <c r="V1499">
        <v>0</v>
      </c>
      <c r="W1499">
        <v>0</v>
      </c>
      <c r="X1499">
        <v>1</v>
      </c>
      <c r="Y1499">
        <v>0.16</v>
      </c>
      <c r="Z1499">
        <v>23</v>
      </c>
      <c r="AA1499">
        <v>0</v>
      </c>
      <c r="AB1499">
        <v>0</v>
      </c>
      <c r="AC1499">
        <v>0</v>
      </c>
      <c r="AD1499">
        <v>1</v>
      </c>
      <c r="AE1499">
        <v>0.05</v>
      </c>
      <c r="AF1499">
        <v>15</v>
      </c>
      <c r="AG1499">
        <v>0</v>
      </c>
      <c r="AH1499">
        <v>0</v>
      </c>
      <c r="AI1499">
        <v>0</v>
      </c>
      <c r="AJ1499">
        <v>1</v>
      </c>
      <c r="AK1499">
        <v>0.02</v>
      </c>
      <c r="AL1499">
        <v>16</v>
      </c>
      <c r="AM1499">
        <v>0</v>
      </c>
      <c r="AN1499">
        <v>0</v>
      </c>
      <c r="AO1499">
        <v>0</v>
      </c>
      <c r="AP1499">
        <v>1</v>
      </c>
      <c r="AQ1499">
        <v>0.01</v>
      </c>
      <c r="AX1499">
        <v>7</v>
      </c>
      <c r="AY1499" s="1">
        <v>17</v>
      </c>
      <c r="AZ1499">
        <v>0</v>
      </c>
      <c r="BA1499">
        <v>0</v>
      </c>
      <c r="BB1499">
        <v>1</v>
      </c>
      <c r="BC1499" s="7">
        <v>0.32</v>
      </c>
      <c r="BD1499">
        <v>30</v>
      </c>
      <c r="BE1499">
        <v>0</v>
      </c>
      <c r="BF1499">
        <v>0</v>
      </c>
      <c r="BG1499">
        <v>0</v>
      </c>
      <c r="BH1499">
        <v>5</v>
      </c>
      <c r="BI1499">
        <v>2.4</v>
      </c>
      <c r="BJ1499">
        <v>31</v>
      </c>
      <c r="BK1499">
        <v>0</v>
      </c>
      <c r="BL1499">
        <v>0</v>
      </c>
      <c r="BM1499">
        <v>0</v>
      </c>
      <c r="BN1499">
        <v>5</v>
      </c>
      <c r="BO1499">
        <v>2.4</v>
      </c>
      <c r="BP1499">
        <v>36</v>
      </c>
      <c r="BQ1499">
        <v>0</v>
      </c>
      <c r="BR1499">
        <v>0</v>
      </c>
      <c r="BS1499">
        <v>0</v>
      </c>
      <c r="BT1499">
        <v>5</v>
      </c>
      <c r="BU1499">
        <v>1.7</v>
      </c>
    </row>
    <row r="1500" spans="1:73" ht="14.25" x14ac:dyDescent="0.15">
      <c r="A1500" s="12">
        <v>30447</v>
      </c>
      <c r="B1500">
        <v>7</v>
      </c>
      <c r="C1500" s="1">
        <v>46</v>
      </c>
      <c r="D1500">
        <v>0</v>
      </c>
      <c r="E1500">
        <v>0</v>
      </c>
      <c r="F1500">
        <v>1</v>
      </c>
      <c r="G1500" s="7">
        <v>0.05</v>
      </c>
      <c r="H1500">
        <v>12</v>
      </c>
      <c r="I1500">
        <v>0</v>
      </c>
      <c r="J1500">
        <v>0</v>
      </c>
      <c r="K1500">
        <v>0</v>
      </c>
      <c r="L1500">
        <v>1</v>
      </c>
      <c r="M1500">
        <v>2</v>
      </c>
      <c r="N1500" s="7">
        <v>9</v>
      </c>
      <c r="O1500" s="7">
        <v>0</v>
      </c>
      <c r="P1500" s="7">
        <v>0</v>
      </c>
      <c r="Q1500" s="7">
        <v>0</v>
      </c>
      <c r="R1500" s="7">
        <v>1</v>
      </c>
      <c r="S1500" s="7">
        <v>4.5</v>
      </c>
      <c r="T1500">
        <v>7</v>
      </c>
      <c r="U1500" s="1">
        <v>34</v>
      </c>
      <c r="V1500">
        <v>0</v>
      </c>
      <c r="W1500">
        <v>0</v>
      </c>
      <c r="X1500">
        <v>1</v>
      </c>
      <c r="Y1500">
        <v>0.16</v>
      </c>
      <c r="Z1500">
        <v>23</v>
      </c>
      <c r="AA1500">
        <v>0</v>
      </c>
      <c r="AB1500">
        <v>0</v>
      </c>
      <c r="AC1500">
        <v>0</v>
      </c>
      <c r="AD1500">
        <v>1</v>
      </c>
      <c r="AE1500">
        <v>0.05</v>
      </c>
      <c r="AF1500">
        <v>15</v>
      </c>
      <c r="AG1500">
        <v>0</v>
      </c>
      <c r="AH1500">
        <v>0</v>
      </c>
      <c r="AI1500">
        <v>0</v>
      </c>
      <c r="AJ1500">
        <v>1</v>
      </c>
      <c r="AK1500">
        <v>0.02</v>
      </c>
      <c r="AL1500">
        <v>16</v>
      </c>
      <c r="AM1500">
        <v>0</v>
      </c>
      <c r="AN1500">
        <v>0</v>
      </c>
      <c r="AO1500">
        <v>0</v>
      </c>
      <c r="AP1500">
        <v>1</v>
      </c>
      <c r="AQ1500">
        <v>0.01</v>
      </c>
      <c r="AX1500">
        <v>7</v>
      </c>
      <c r="AY1500" s="1">
        <v>18</v>
      </c>
      <c r="AZ1500">
        <v>0</v>
      </c>
      <c r="BA1500">
        <v>0</v>
      </c>
      <c r="BB1500">
        <v>1</v>
      </c>
      <c r="BC1500" s="7">
        <v>0.32</v>
      </c>
      <c r="BD1500">
        <v>30</v>
      </c>
      <c r="BE1500">
        <v>0</v>
      </c>
      <c r="BF1500">
        <v>0</v>
      </c>
      <c r="BG1500">
        <v>0</v>
      </c>
      <c r="BH1500">
        <v>5</v>
      </c>
      <c r="BI1500">
        <v>2.4</v>
      </c>
      <c r="BJ1500">
        <v>31</v>
      </c>
      <c r="BK1500">
        <v>0</v>
      </c>
      <c r="BL1500">
        <v>0</v>
      </c>
      <c r="BM1500">
        <v>0</v>
      </c>
      <c r="BN1500">
        <v>5</v>
      </c>
      <c r="BO1500">
        <v>2.4</v>
      </c>
      <c r="BP1500">
        <v>36</v>
      </c>
      <c r="BQ1500">
        <v>0</v>
      </c>
      <c r="BR1500">
        <v>0</v>
      </c>
      <c r="BS1500">
        <v>0</v>
      </c>
      <c r="BT1500">
        <v>5</v>
      </c>
      <c r="BU1500">
        <v>1.7</v>
      </c>
    </row>
    <row r="1501" spans="1:73" ht="14.25" x14ac:dyDescent="0.15">
      <c r="A1501" s="12">
        <v>30448</v>
      </c>
      <c r="B1501">
        <v>7</v>
      </c>
      <c r="C1501" s="1">
        <v>47</v>
      </c>
      <c r="D1501">
        <v>0</v>
      </c>
      <c r="E1501">
        <v>0</v>
      </c>
      <c r="F1501">
        <v>1</v>
      </c>
      <c r="G1501" s="7">
        <v>0.05</v>
      </c>
      <c r="H1501">
        <v>12</v>
      </c>
      <c r="I1501">
        <v>0</v>
      </c>
      <c r="J1501">
        <v>0</v>
      </c>
      <c r="K1501">
        <v>0</v>
      </c>
      <c r="L1501">
        <v>1</v>
      </c>
      <c r="M1501">
        <v>2</v>
      </c>
      <c r="N1501" s="7">
        <v>9</v>
      </c>
      <c r="O1501" s="7">
        <v>0</v>
      </c>
      <c r="P1501" s="7">
        <v>0</v>
      </c>
      <c r="Q1501" s="7">
        <v>0</v>
      </c>
      <c r="R1501" s="7">
        <v>1</v>
      </c>
      <c r="S1501" s="7">
        <v>4.5</v>
      </c>
      <c r="T1501">
        <v>7</v>
      </c>
      <c r="U1501" s="1">
        <v>35</v>
      </c>
      <c r="V1501">
        <v>0</v>
      </c>
      <c r="W1501">
        <v>0</v>
      </c>
      <c r="X1501">
        <v>1</v>
      </c>
      <c r="Y1501">
        <v>0.16</v>
      </c>
      <c r="Z1501">
        <v>23</v>
      </c>
      <c r="AA1501">
        <v>0</v>
      </c>
      <c r="AB1501">
        <v>0</v>
      </c>
      <c r="AC1501">
        <v>0</v>
      </c>
      <c r="AD1501">
        <v>1</v>
      </c>
      <c r="AE1501">
        <v>0.05</v>
      </c>
      <c r="AF1501">
        <v>15</v>
      </c>
      <c r="AG1501">
        <v>0</v>
      </c>
      <c r="AH1501">
        <v>0</v>
      </c>
      <c r="AI1501">
        <v>0</v>
      </c>
      <c r="AJ1501">
        <v>1</v>
      </c>
      <c r="AK1501">
        <v>0.02</v>
      </c>
      <c r="AL1501">
        <v>16</v>
      </c>
      <c r="AM1501">
        <v>0</v>
      </c>
      <c r="AN1501">
        <v>0</v>
      </c>
      <c r="AO1501">
        <v>0</v>
      </c>
      <c r="AP1501">
        <v>1</v>
      </c>
      <c r="AQ1501">
        <v>0.01</v>
      </c>
      <c r="AX1501">
        <v>7</v>
      </c>
      <c r="AY1501" s="1">
        <v>19</v>
      </c>
      <c r="AZ1501">
        <v>0</v>
      </c>
      <c r="BA1501">
        <v>0</v>
      </c>
      <c r="BB1501">
        <v>1</v>
      </c>
      <c r="BC1501" s="7">
        <v>0.32</v>
      </c>
      <c r="BD1501">
        <v>30</v>
      </c>
      <c r="BE1501">
        <v>0</v>
      </c>
      <c r="BF1501">
        <v>0</v>
      </c>
      <c r="BG1501">
        <v>0</v>
      </c>
      <c r="BH1501">
        <v>5</v>
      </c>
      <c r="BI1501">
        <v>2.4</v>
      </c>
      <c r="BJ1501">
        <v>31</v>
      </c>
      <c r="BK1501">
        <v>0</v>
      </c>
      <c r="BL1501">
        <v>0</v>
      </c>
      <c r="BM1501">
        <v>0</v>
      </c>
      <c r="BN1501">
        <v>5</v>
      </c>
      <c r="BO1501">
        <v>2.4</v>
      </c>
      <c r="BP1501">
        <v>36</v>
      </c>
      <c r="BQ1501">
        <v>0</v>
      </c>
      <c r="BR1501">
        <v>0</v>
      </c>
      <c r="BS1501">
        <v>0</v>
      </c>
      <c r="BT1501">
        <v>5</v>
      </c>
      <c r="BU1501">
        <v>1.7</v>
      </c>
    </row>
    <row r="1502" spans="1:73" ht="14.25" x14ac:dyDescent="0.15">
      <c r="A1502" s="12">
        <v>30449</v>
      </c>
      <c r="B1502">
        <v>7</v>
      </c>
      <c r="C1502" s="1">
        <v>48</v>
      </c>
      <c r="D1502">
        <v>0</v>
      </c>
      <c r="E1502">
        <v>0</v>
      </c>
      <c r="F1502">
        <v>1</v>
      </c>
      <c r="G1502" s="7">
        <v>0.05</v>
      </c>
      <c r="H1502">
        <v>12</v>
      </c>
      <c r="I1502">
        <v>0</v>
      </c>
      <c r="J1502">
        <v>0</v>
      </c>
      <c r="K1502">
        <v>0</v>
      </c>
      <c r="L1502">
        <v>1</v>
      </c>
      <c r="M1502">
        <v>2</v>
      </c>
      <c r="N1502" s="7">
        <v>9</v>
      </c>
      <c r="O1502" s="7">
        <v>0</v>
      </c>
      <c r="P1502" s="7">
        <v>0</v>
      </c>
      <c r="Q1502" s="7">
        <v>0</v>
      </c>
      <c r="R1502" s="7">
        <v>1</v>
      </c>
      <c r="S1502" s="7">
        <v>4.5</v>
      </c>
      <c r="T1502">
        <v>7</v>
      </c>
      <c r="U1502" s="1">
        <v>36</v>
      </c>
      <c r="V1502">
        <v>0</v>
      </c>
      <c r="W1502">
        <v>0</v>
      </c>
      <c r="X1502">
        <v>1</v>
      </c>
      <c r="Y1502">
        <v>0.16</v>
      </c>
      <c r="Z1502">
        <v>23</v>
      </c>
      <c r="AA1502">
        <v>0</v>
      </c>
      <c r="AB1502">
        <v>0</v>
      </c>
      <c r="AC1502">
        <v>0</v>
      </c>
      <c r="AD1502">
        <v>1</v>
      </c>
      <c r="AE1502">
        <v>0.05</v>
      </c>
      <c r="AF1502">
        <v>15</v>
      </c>
      <c r="AG1502">
        <v>0</v>
      </c>
      <c r="AH1502">
        <v>0</v>
      </c>
      <c r="AI1502">
        <v>0</v>
      </c>
      <c r="AJ1502">
        <v>1</v>
      </c>
      <c r="AK1502">
        <v>0.02</v>
      </c>
      <c r="AL1502">
        <v>16</v>
      </c>
      <c r="AM1502">
        <v>0</v>
      </c>
      <c r="AN1502">
        <v>0</v>
      </c>
      <c r="AO1502">
        <v>0</v>
      </c>
      <c r="AP1502">
        <v>1</v>
      </c>
      <c r="AQ1502">
        <v>0.01</v>
      </c>
      <c r="AX1502">
        <v>7</v>
      </c>
      <c r="AY1502" s="1">
        <v>20</v>
      </c>
      <c r="AZ1502">
        <v>0</v>
      </c>
      <c r="BA1502">
        <v>0</v>
      </c>
      <c r="BB1502">
        <v>1</v>
      </c>
      <c r="BC1502" s="7">
        <v>0.32</v>
      </c>
      <c r="BD1502">
        <v>30</v>
      </c>
      <c r="BE1502">
        <v>0</v>
      </c>
      <c r="BF1502">
        <v>0</v>
      </c>
      <c r="BG1502">
        <v>0</v>
      </c>
      <c r="BH1502">
        <v>5</v>
      </c>
      <c r="BI1502">
        <v>2.4</v>
      </c>
      <c r="BJ1502">
        <v>31</v>
      </c>
      <c r="BK1502">
        <v>0</v>
      </c>
      <c r="BL1502">
        <v>0</v>
      </c>
      <c r="BM1502">
        <v>0</v>
      </c>
      <c r="BN1502">
        <v>5</v>
      </c>
      <c r="BO1502">
        <v>2.4</v>
      </c>
      <c r="BP1502">
        <v>36</v>
      </c>
      <c r="BQ1502">
        <v>0</v>
      </c>
      <c r="BR1502">
        <v>0</v>
      </c>
      <c r="BS1502">
        <v>0</v>
      </c>
      <c r="BT1502">
        <v>5</v>
      </c>
      <c r="BU1502">
        <v>1.7</v>
      </c>
    </row>
    <row r="1503" spans="1:73" ht="14.25" x14ac:dyDescent="0.15">
      <c r="A1503" s="12">
        <v>30450</v>
      </c>
      <c r="B1503">
        <v>7</v>
      </c>
      <c r="C1503" s="1">
        <v>0</v>
      </c>
      <c r="D1503">
        <v>5</v>
      </c>
      <c r="E1503">
        <v>1</v>
      </c>
      <c r="F1503">
        <v>1</v>
      </c>
      <c r="G1503" s="7">
        <v>0.05</v>
      </c>
      <c r="H1503">
        <v>12</v>
      </c>
      <c r="I1503">
        <v>0</v>
      </c>
      <c r="J1503">
        <v>0</v>
      </c>
      <c r="K1503">
        <v>0</v>
      </c>
      <c r="L1503">
        <v>1</v>
      </c>
      <c r="M1503">
        <v>2</v>
      </c>
      <c r="N1503" s="7">
        <v>9</v>
      </c>
      <c r="O1503" s="7">
        <v>0</v>
      </c>
      <c r="P1503" s="7">
        <v>0</v>
      </c>
      <c r="Q1503" s="7">
        <v>0</v>
      </c>
      <c r="R1503" s="7">
        <v>1</v>
      </c>
      <c r="S1503" s="7">
        <v>4.5</v>
      </c>
      <c r="T1503">
        <v>7</v>
      </c>
      <c r="U1503" s="1">
        <v>0</v>
      </c>
      <c r="V1503">
        <v>4</v>
      </c>
      <c r="W1503">
        <v>2</v>
      </c>
      <c r="X1503">
        <v>1</v>
      </c>
      <c r="Y1503">
        <v>0.16</v>
      </c>
      <c r="Z1503">
        <v>23</v>
      </c>
      <c r="AA1503">
        <v>0</v>
      </c>
      <c r="AB1503">
        <v>0</v>
      </c>
      <c r="AC1503">
        <v>0</v>
      </c>
      <c r="AD1503">
        <v>1</v>
      </c>
      <c r="AE1503">
        <v>0.05</v>
      </c>
      <c r="AF1503">
        <v>15</v>
      </c>
      <c r="AG1503">
        <v>0</v>
      </c>
      <c r="AH1503">
        <v>0</v>
      </c>
      <c r="AI1503">
        <v>0</v>
      </c>
      <c r="AJ1503">
        <v>1</v>
      </c>
      <c r="AK1503">
        <v>0.02</v>
      </c>
      <c r="AL1503">
        <v>16</v>
      </c>
      <c r="AM1503">
        <v>0</v>
      </c>
      <c r="AN1503">
        <v>0</v>
      </c>
      <c r="AO1503">
        <v>0</v>
      </c>
      <c r="AP1503">
        <v>1</v>
      </c>
      <c r="AQ1503">
        <v>0.01</v>
      </c>
      <c r="AR1503">
        <v>6</v>
      </c>
      <c r="AS1503">
        <v>2</v>
      </c>
      <c r="AT1503">
        <v>5</v>
      </c>
      <c r="AU1503">
        <v>5</v>
      </c>
      <c r="AV1503">
        <v>1</v>
      </c>
      <c r="AW1503">
        <v>0.01</v>
      </c>
      <c r="AX1503">
        <v>7</v>
      </c>
      <c r="AY1503" s="1">
        <v>0</v>
      </c>
      <c r="AZ1503">
        <v>3</v>
      </c>
      <c r="BA1503">
        <v>1</v>
      </c>
      <c r="BB1503">
        <v>1</v>
      </c>
      <c r="BC1503" s="7">
        <v>0.32</v>
      </c>
      <c r="BD1503">
        <v>30</v>
      </c>
      <c r="BE1503">
        <v>0</v>
      </c>
      <c r="BF1503">
        <v>0</v>
      </c>
      <c r="BG1503">
        <v>0</v>
      </c>
      <c r="BH1503">
        <v>5</v>
      </c>
      <c r="BI1503">
        <v>2.4</v>
      </c>
      <c r="BJ1503">
        <v>31</v>
      </c>
      <c r="BK1503">
        <v>0</v>
      </c>
      <c r="BL1503">
        <v>0</v>
      </c>
      <c r="BM1503">
        <v>0</v>
      </c>
      <c r="BN1503">
        <v>5</v>
      </c>
      <c r="BO1503">
        <v>2.4</v>
      </c>
      <c r="BP1503">
        <v>36</v>
      </c>
      <c r="BQ1503">
        <v>0</v>
      </c>
      <c r="BR1503">
        <v>0</v>
      </c>
      <c r="BS1503">
        <v>0</v>
      </c>
      <c r="BT1503">
        <v>5</v>
      </c>
      <c r="BU1503">
        <v>1.7</v>
      </c>
    </row>
    <row r="1504" spans="1:73" ht="14.25" x14ac:dyDescent="0.15">
      <c r="A1504" s="12">
        <v>30501</v>
      </c>
      <c r="B1504">
        <v>7</v>
      </c>
      <c r="C1504" s="1">
        <v>45</v>
      </c>
      <c r="D1504">
        <v>0</v>
      </c>
      <c r="E1504">
        <v>0</v>
      </c>
      <c r="F1504">
        <v>1</v>
      </c>
      <c r="G1504" s="7">
        <v>0.05</v>
      </c>
      <c r="H1504">
        <v>12</v>
      </c>
      <c r="I1504">
        <v>0</v>
      </c>
      <c r="J1504">
        <v>0</v>
      </c>
      <c r="K1504">
        <v>0</v>
      </c>
      <c r="L1504">
        <v>1</v>
      </c>
      <c r="M1504">
        <v>2</v>
      </c>
      <c r="N1504" s="7">
        <v>9</v>
      </c>
      <c r="O1504" s="7">
        <v>0</v>
      </c>
      <c r="P1504" s="7">
        <v>0</v>
      </c>
      <c r="Q1504" s="7">
        <v>0</v>
      </c>
      <c r="R1504" s="7">
        <v>1</v>
      </c>
      <c r="S1504" s="7">
        <v>4.5</v>
      </c>
      <c r="T1504">
        <v>7</v>
      </c>
      <c r="U1504" s="1">
        <v>33</v>
      </c>
      <c r="V1504">
        <v>0</v>
      </c>
      <c r="W1504">
        <v>0</v>
      </c>
      <c r="X1504">
        <v>1</v>
      </c>
      <c r="Y1504">
        <v>0.16</v>
      </c>
      <c r="Z1504">
        <v>23</v>
      </c>
      <c r="AA1504">
        <v>0</v>
      </c>
      <c r="AB1504">
        <v>0</v>
      </c>
      <c r="AC1504">
        <v>0</v>
      </c>
      <c r="AD1504">
        <v>1</v>
      </c>
      <c r="AE1504">
        <v>0.05</v>
      </c>
      <c r="AF1504">
        <v>15</v>
      </c>
      <c r="AG1504">
        <v>0</v>
      </c>
      <c r="AH1504">
        <v>0</v>
      </c>
      <c r="AI1504">
        <v>0</v>
      </c>
      <c r="AJ1504">
        <v>1</v>
      </c>
      <c r="AK1504">
        <v>0.02</v>
      </c>
      <c r="AL1504">
        <v>16</v>
      </c>
      <c r="AM1504">
        <v>0</v>
      </c>
      <c r="AN1504">
        <v>0</v>
      </c>
      <c r="AO1504">
        <v>0</v>
      </c>
      <c r="AP1504">
        <v>1</v>
      </c>
      <c r="AQ1504">
        <v>0.01</v>
      </c>
      <c r="AX1504">
        <v>7</v>
      </c>
      <c r="AY1504" s="1">
        <v>17</v>
      </c>
      <c r="AZ1504">
        <v>0</v>
      </c>
      <c r="BA1504">
        <v>0</v>
      </c>
      <c r="BB1504">
        <v>1</v>
      </c>
      <c r="BC1504" s="7">
        <v>0.32</v>
      </c>
      <c r="BD1504">
        <v>30</v>
      </c>
      <c r="BE1504">
        <v>0</v>
      </c>
      <c r="BF1504">
        <v>0</v>
      </c>
      <c r="BG1504">
        <v>0</v>
      </c>
      <c r="BH1504">
        <v>5</v>
      </c>
      <c r="BI1504">
        <v>2.4</v>
      </c>
      <c r="BJ1504">
        <v>31</v>
      </c>
      <c r="BK1504">
        <v>0</v>
      </c>
      <c r="BL1504">
        <v>0</v>
      </c>
      <c r="BM1504">
        <v>0</v>
      </c>
      <c r="BN1504">
        <v>5</v>
      </c>
      <c r="BO1504">
        <v>2.4</v>
      </c>
      <c r="BP1504">
        <v>36</v>
      </c>
      <c r="BQ1504">
        <v>0</v>
      </c>
      <c r="BR1504">
        <v>0</v>
      </c>
      <c r="BS1504">
        <v>0</v>
      </c>
      <c r="BT1504">
        <v>5</v>
      </c>
      <c r="BU1504">
        <v>1.6</v>
      </c>
    </row>
    <row r="1505" spans="1:73" ht="14.25" x14ac:dyDescent="0.15">
      <c r="A1505" s="12">
        <v>30502</v>
      </c>
      <c r="B1505">
        <v>7</v>
      </c>
      <c r="C1505" s="1">
        <v>46</v>
      </c>
      <c r="D1505">
        <v>0</v>
      </c>
      <c r="E1505">
        <v>0</v>
      </c>
      <c r="F1505">
        <v>1</v>
      </c>
      <c r="G1505" s="7">
        <v>0.05</v>
      </c>
      <c r="H1505">
        <v>12</v>
      </c>
      <c r="I1505">
        <v>0</v>
      </c>
      <c r="J1505">
        <v>0</v>
      </c>
      <c r="K1505">
        <v>0</v>
      </c>
      <c r="L1505">
        <v>1</v>
      </c>
      <c r="M1505">
        <v>2</v>
      </c>
      <c r="N1505" s="7">
        <v>9</v>
      </c>
      <c r="O1505" s="7">
        <v>0</v>
      </c>
      <c r="P1505" s="7">
        <v>0</v>
      </c>
      <c r="Q1505" s="7">
        <v>0</v>
      </c>
      <c r="R1505" s="7">
        <v>1</v>
      </c>
      <c r="S1505" s="7">
        <v>4.5</v>
      </c>
      <c r="T1505">
        <v>7</v>
      </c>
      <c r="U1505" s="1">
        <v>34</v>
      </c>
      <c r="V1505">
        <v>0</v>
      </c>
      <c r="W1505">
        <v>0</v>
      </c>
      <c r="X1505">
        <v>1</v>
      </c>
      <c r="Y1505">
        <v>0.16</v>
      </c>
      <c r="Z1505">
        <v>23</v>
      </c>
      <c r="AA1505">
        <v>0</v>
      </c>
      <c r="AB1505">
        <v>0</v>
      </c>
      <c r="AC1505">
        <v>0</v>
      </c>
      <c r="AD1505">
        <v>1</v>
      </c>
      <c r="AE1505">
        <v>0.05</v>
      </c>
      <c r="AF1505">
        <v>15</v>
      </c>
      <c r="AG1505">
        <v>0</v>
      </c>
      <c r="AH1505">
        <v>0</v>
      </c>
      <c r="AI1505">
        <v>0</v>
      </c>
      <c r="AJ1505">
        <v>1</v>
      </c>
      <c r="AK1505">
        <v>0.02</v>
      </c>
      <c r="AL1505">
        <v>16</v>
      </c>
      <c r="AM1505">
        <v>0</v>
      </c>
      <c r="AN1505">
        <v>0</v>
      </c>
      <c r="AO1505">
        <v>0</v>
      </c>
      <c r="AP1505">
        <v>1</v>
      </c>
      <c r="AQ1505">
        <v>0.01</v>
      </c>
      <c r="AX1505">
        <v>7</v>
      </c>
      <c r="AY1505" s="1">
        <v>18</v>
      </c>
      <c r="AZ1505">
        <v>0</v>
      </c>
      <c r="BA1505">
        <v>0</v>
      </c>
      <c r="BB1505">
        <v>1</v>
      </c>
      <c r="BC1505" s="7">
        <v>0.32</v>
      </c>
      <c r="BD1505">
        <v>30</v>
      </c>
      <c r="BE1505">
        <v>0</v>
      </c>
      <c r="BF1505">
        <v>0</v>
      </c>
      <c r="BG1505">
        <v>0</v>
      </c>
      <c r="BH1505">
        <v>5</v>
      </c>
      <c r="BI1505">
        <v>2.4</v>
      </c>
      <c r="BJ1505">
        <v>31</v>
      </c>
      <c r="BK1505">
        <v>0</v>
      </c>
      <c r="BL1505">
        <v>0</v>
      </c>
      <c r="BM1505">
        <v>0</v>
      </c>
      <c r="BN1505">
        <v>5</v>
      </c>
      <c r="BO1505">
        <v>2.4</v>
      </c>
      <c r="BP1505">
        <v>36</v>
      </c>
      <c r="BQ1505">
        <v>0</v>
      </c>
      <c r="BR1505">
        <v>0</v>
      </c>
      <c r="BS1505">
        <v>0</v>
      </c>
      <c r="BT1505">
        <v>5</v>
      </c>
      <c r="BU1505">
        <v>1.6</v>
      </c>
    </row>
    <row r="1506" spans="1:73" ht="14.25" x14ac:dyDescent="0.15">
      <c r="A1506" s="12">
        <v>30503</v>
      </c>
      <c r="B1506">
        <v>7</v>
      </c>
      <c r="C1506" s="1">
        <v>47</v>
      </c>
      <c r="D1506">
        <v>0</v>
      </c>
      <c r="E1506">
        <v>0</v>
      </c>
      <c r="F1506">
        <v>1</v>
      </c>
      <c r="G1506" s="7">
        <v>0.05</v>
      </c>
      <c r="H1506">
        <v>12</v>
      </c>
      <c r="I1506">
        <v>0</v>
      </c>
      <c r="J1506">
        <v>0</v>
      </c>
      <c r="K1506">
        <v>0</v>
      </c>
      <c r="L1506">
        <v>1</v>
      </c>
      <c r="M1506">
        <v>2</v>
      </c>
      <c r="N1506" s="7">
        <v>9</v>
      </c>
      <c r="O1506" s="7">
        <v>0</v>
      </c>
      <c r="P1506" s="7">
        <v>0</v>
      </c>
      <c r="Q1506" s="7">
        <v>0</v>
      </c>
      <c r="R1506" s="7">
        <v>1</v>
      </c>
      <c r="S1506" s="7">
        <v>4.5</v>
      </c>
      <c r="T1506">
        <v>7</v>
      </c>
      <c r="U1506" s="1">
        <v>35</v>
      </c>
      <c r="V1506">
        <v>0</v>
      </c>
      <c r="W1506">
        <v>0</v>
      </c>
      <c r="X1506">
        <v>1</v>
      </c>
      <c r="Y1506">
        <v>0.16</v>
      </c>
      <c r="Z1506">
        <v>23</v>
      </c>
      <c r="AA1506">
        <v>0</v>
      </c>
      <c r="AB1506">
        <v>0</v>
      </c>
      <c r="AC1506">
        <v>0</v>
      </c>
      <c r="AD1506">
        <v>1</v>
      </c>
      <c r="AE1506">
        <v>0.05</v>
      </c>
      <c r="AF1506">
        <v>15</v>
      </c>
      <c r="AG1506">
        <v>0</v>
      </c>
      <c r="AH1506">
        <v>0</v>
      </c>
      <c r="AI1506">
        <v>0</v>
      </c>
      <c r="AJ1506">
        <v>1</v>
      </c>
      <c r="AK1506">
        <v>0.02</v>
      </c>
      <c r="AL1506">
        <v>16</v>
      </c>
      <c r="AM1506">
        <v>0</v>
      </c>
      <c r="AN1506">
        <v>0</v>
      </c>
      <c r="AO1506">
        <v>0</v>
      </c>
      <c r="AP1506">
        <v>1</v>
      </c>
      <c r="AQ1506">
        <v>0.01</v>
      </c>
      <c r="AX1506">
        <v>7</v>
      </c>
      <c r="AY1506" s="1">
        <v>19</v>
      </c>
      <c r="AZ1506">
        <v>0</v>
      </c>
      <c r="BA1506">
        <v>0</v>
      </c>
      <c r="BB1506">
        <v>1</v>
      </c>
      <c r="BC1506" s="7">
        <v>0.32</v>
      </c>
      <c r="BD1506">
        <v>30</v>
      </c>
      <c r="BE1506">
        <v>0</v>
      </c>
      <c r="BF1506">
        <v>0</v>
      </c>
      <c r="BG1506">
        <v>0</v>
      </c>
      <c r="BH1506">
        <v>5</v>
      </c>
      <c r="BI1506">
        <v>2.4</v>
      </c>
      <c r="BJ1506">
        <v>31</v>
      </c>
      <c r="BK1506">
        <v>0</v>
      </c>
      <c r="BL1506">
        <v>0</v>
      </c>
      <c r="BM1506">
        <v>0</v>
      </c>
      <c r="BN1506">
        <v>5</v>
      </c>
      <c r="BO1506">
        <v>2.4</v>
      </c>
      <c r="BP1506">
        <v>36</v>
      </c>
      <c r="BQ1506">
        <v>0</v>
      </c>
      <c r="BR1506">
        <v>0</v>
      </c>
      <c r="BS1506">
        <v>0</v>
      </c>
      <c r="BT1506">
        <v>5</v>
      </c>
      <c r="BU1506">
        <v>1.6</v>
      </c>
    </row>
    <row r="1507" spans="1:73" ht="14.25" x14ac:dyDescent="0.15">
      <c r="A1507" s="12">
        <v>30504</v>
      </c>
      <c r="B1507">
        <v>7</v>
      </c>
      <c r="C1507" s="1">
        <v>48</v>
      </c>
      <c r="D1507">
        <v>0</v>
      </c>
      <c r="E1507">
        <v>0</v>
      </c>
      <c r="F1507">
        <v>1</v>
      </c>
      <c r="G1507" s="7">
        <v>0.05</v>
      </c>
      <c r="H1507">
        <v>12</v>
      </c>
      <c r="I1507">
        <v>0</v>
      </c>
      <c r="J1507">
        <v>0</v>
      </c>
      <c r="K1507">
        <v>0</v>
      </c>
      <c r="L1507">
        <v>1</v>
      </c>
      <c r="M1507">
        <v>2</v>
      </c>
      <c r="N1507" s="7">
        <v>9</v>
      </c>
      <c r="O1507" s="7">
        <v>0</v>
      </c>
      <c r="P1507" s="7">
        <v>0</v>
      </c>
      <c r="Q1507" s="7">
        <v>0</v>
      </c>
      <c r="R1507" s="7">
        <v>1</v>
      </c>
      <c r="S1507" s="7">
        <v>4.5</v>
      </c>
      <c r="T1507">
        <v>7</v>
      </c>
      <c r="U1507" s="1">
        <v>36</v>
      </c>
      <c r="V1507">
        <v>0</v>
      </c>
      <c r="W1507">
        <v>0</v>
      </c>
      <c r="X1507">
        <v>1</v>
      </c>
      <c r="Y1507">
        <v>0.16</v>
      </c>
      <c r="Z1507">
        <v>23</v>
      </c>
      <c r="AA1507">
        <v>0</v>
      </c>
      <c r="AB1507">
        <v>0</v>
      </c>
      <c r="AC1507">
        <v>0</v>
      </c>
      <c r="AD1507">
        <v>1</v>
      </c>
      <c r="AE1507">
        <v>0.05</v>
      </c>
      <c r="AF1507">
        <v>15</v>
      </c>
      <c r="AG1507">
        <v>0</v>
      </c>
      <c r="AH1507">
        <v>0</v>
      </c>
      <c r="AI1507">
        <v>0</v>
      </c>
      <c r="AJ1507">
        <v>1</v>
      </c>
      <c r="AK1507">
        <v>0.02</v>
      </c>
      <c r="AL1507">
        <v>16</v>
      </c>
      <c r="AM1507">
        <v>0</v>
      </c>
      <c r="AN1507">
        <v>0</v>
      </c>
      <c r="AO1507">
        <v>0</v>
      </c>
      <c r="AP1507">
        <v>1</v>
      </c>
      <c r="AQ1507">
        <v>0.01</v>
      </c>
      <c r="AX1507">
        <v>7</v>
      </c>
      <c r="AY1507" s="1">
        <v>20</v>
      </c>
      <c r="AZ1507">
        <v>0</v>
      </c>
      <c r="BA1507">
        <v>0</v>
      </c>
      <c r="BB1507">
        <v>1</v>
      </c>
      <c r="BC1507" s="7">
        <v>0.32</v>
      </c>
      <c r="BD1507">
        <v>30</v>
      </c>
      <c r="BE1507">
        <v>0</v>
      </c>
      <c r="BF1507">
        <v>0</v>
      </c>
      <c r="BG1507">
        <v>0</v>
      </c>
      <c r="BH1507">
        <v>5</v>
      </c>
      <c r="BI1507">
        <v>2.4</v>
      </c>
      <c r="BJ1507">
        <v>31</v>
      </c>
      <c r="BK1507">
        <v>0</v>
      </c>
      <c r="BL1507">
        <v>0</v>
      </c>
      <c r="BM1507">
        <v>0</v>
      </c>
      <c r="BN1507">
        <v>5</v>
      </c>
      <c r="BO1507">
        <v>2.4</v>
      </c>
      <c r="BP1507">
        <v>36</v>
      </c>
      <c r="BQ1507">
        <v>0</v>
      </c>
      <c r="BR1507">
        <v>0</v>
      </c>
      <c r="BS1507">
        <v>0</v>
      </c>
      <c r="BT1507">
        <v>5</v>
      </c>
      <c r="BU1507">
        <v>1.6</v>
      </c>
    </row>
    <row r="1508" spans="1:73" ht="14.25" x14ac:dyDescent="0.15">
      <c r="A1508" s="12">
        <v>30505</v>
      </c>
      <c r="B1508">
        <v>7</v>
      </c>
      <c r="C1508" s="1">
        <v>0</v>
      </c>
      <c r="D1508">
        <v>5</v>
      </c>
      <c r="E1508">
        <v>1</v>
      </c>
      <c r="F1508">
        <v>1</v>
      </c>
      <c r="G1508" s="7">
        <v>0.05</v>
      </c>
      <c r="H1508">
        <v>12</v>
      </c>
      <c r="I1508">
        <v>0</v>
      </c>
      <c r="J1508">
        <v>0</v>
      </c>
      <c r="K1508">
        <v>0</v>
      </c>
      <c r="L1508">
        <v>1</v>
      </c>
      <c r="M1508">
        <v>2</v>
      </c>
      <c r="N1508" s="7">
        <v>9</v>
      </c>
      <c r="O1508" s="7">
        <v>0</v>
      </c>
      <c r="P1508" s="7">
        <v>0</v>
      </c>
      <c r="Q1508" s="7">
        <v>0</v>
      </c>
      <c r="R1508" s="7">
        <v>1</v>
      </c>
      <c r="S1508" s="7">
        <v>4.5</v>
      </c>
      <c r="T1508">
        <v>7</v>
      </c>
      <c r="U1508" s="1">
        <v>0</v>
      </c>
      <c r="V1508">
        <v>4</v>
      </c>
      <c r="W1508">
        <v>2</v>
      </c>
      <c r="X1508">
        <v>1</v>
      </c>
      <c r="Y1508">
        <v>0.16</v>
      </c>
      <c r="Z1508">
        <v>23</v>
      </c>
      <c r="AA1508">
        <v>0</v>
      </c>
      <c r="AB1508">
        <v>0</v>
      </c>
      <c r="AC1508">
        <v>0</v>
      </c>
      <c r="AD1508">
        <v>1</v>
      </c>
      <c r="AE1508">
        <v>0.05</v>
      </c>
      <c r="AF1508">
        <v>15</v>
      </c>
      <c r="AG1508">
        <v>0</v>
      </c>
      <c r="AH1508">
        <v>0</v>
      </c>
      <c r="AI1508">
        <v>0</v>
      </c>
      <c r="AJ1508">
        <v>1</v>
      </c>
      <c r="AK1508">
        <v>0.02</v>
      </c>
      <c r="AL1508">
        <v>16</v>
      </c>
      <c r="AM1508">
        <v>0</v>
      </c>
      <c r="AN1508">
        <v>0</v>
      </c>
      <c r="AO1508">
        <v>0</v>
      </c>
      <c r="AP1508">
        <v>1</v>
      </c>
      <c r="AQ1508">
        <v>0.01</v>
      </c>
      <c r="AR1508">
        <v>6</v>
      </c>
      <c r="AS1508">
        <v>2</v>
      </c>
      <c r="AT1508">
        <v>1</v>
      </c>
      <c r="AU1508">
        <v>5</v>
      </c>
      <c r="AV1508">
        <v>1</v>
      </c>
      <c r="AW1508">
        <v>0.05</v>
      </c>
      <c r="AX1508">
        <v>7</v>
      </c>
      <c r="AY1508" s="1">
        <v>0</v>
      </c>
      <c r="AZ1508">
        <v>3</v>
      </c>
      <c r="BA1508">
        <v>1</v>
      </c>
      <c r="BB1508">
        <v>1</v>
      </c>
      <c r="BC1508" s="7">
        <v>0.32</v>
      </c>
      <c r="BD1508">
        <v>30</v>
      </c>
      <c r="BE1508">
        <v>0</v>
      </c>
      <c r="BF1508">
        <v>0</v>
      </c>
      <c r="BG1508">
        <v>0</v>
      </c>
      <c r="BH1508">
        <v>5</v>
      </c>
      <c r="BI1508">
        <v>2.4</v>
      </c>
      <c r="BJ1508">
        <v>31</v>
      </c>
      <c r="BK1508">
        <v>0</v>
      </c>
      <c r="BL1508">
        <v>0</v>
      </c>
      <c r="BM1508">
        <v>0</v>
      </c>
      <c r="BN1508">
        <v>5</v>
      </c>
      <c r="BO1508">
        <v>2.4</v>
      </c>
      <c r="BP1508">
        <v>36</v>
      </c>
      <c r="BQ1508">
        <v>0</v>
      </c>
      <c r="BR1508">
        <v>0</v>
      </c>
      <c r="BS1508">
        <v>0</v>
      </c>
      <c r="BT1508">
        <v>5</v>
      </c>
      <c r="BU1508">
        <v>1.6</v>
      </c>
    </row>
    <row r="1509" spans="1:73" ht="14.25" x14ac:dyDescent="0.15">
      <c r="A1509" s="12">
        <v>30506</v>
      </c>
      <c r="B1509">
        <v>7</v>
      </c>
      <c r="C1509" s="1">
        <v>45</v>
      </c>
      <c r="D1509">
        <v>0</v>
      </c>
      <c r="E1509">
        <v>0</v>
      </c>
      <c r="F1509">
        <v>1</v>
      </c>
      <c r="G1509" s="7">
        <v>0.05</v>
      </c>
      <c r="H1509">
        <v>12</v>
      </c>
      <c r="I1509">
        <v>0</v>
      </c>
      <c r="J1509">
        <v>0</v>
      </c>
      <c r="K1509">
        <v>0</v>
      </c>
      <c r="L1509">
        <v>1</v>
      </c>
      <c r="M1509">
        <v>2</v>
      </c>
      <c r="N1509" s="7">
        <v>9</v>
      </c>
      <c r="O1509" s="7">
        <v>0</v>
      </c>
      <c r="P1509" s="7">
        <v>0</v>
      </c>
      <c r="Q1509" s="7">
        <v>0</v>
      </c>
      <c r="R1509" s="7">
        <v>1</v>
      </c>
      <c r="S1509" s="7">
        <v>4.5</v>
      </c>
      <c r="T1509">
        <v>7</v>
      </c>
      <c r="U1509" s="1">
        <v>33</v>
      </c>
      <c r="V1509">
        <v>0</v>
      </c>
      <c r="W1509">
        <v>0</v>
      </c>
      <c r="X1509">
        <v>1</v>
      </c>
      <c r="Y1509">
        <v>0.16</v>
      </c>
      <c r="Z1509">
        <v>23</v>
      </c>
      <c r="AA1509">
        <v>0</v>
      </c>
      <c r="AB1509">
        <v>0</v>
      </c>
      <c r="AC1509">
        <v>0</v>
      </c>
      <c r="AD1509">
        <v>1</v>
      </c>
      <c r="AE1509">
        <v>0.05</v>
      </c>
      <c r="AF1509">
        <v>15</v>
      </c>
      <c r="AG1509">
        <v>0</v>
      </c>
      <c r="AH1509">
        <v>0</v>
      </c>
      <c r="AI1509">
        <v>0</v>
      </c>
      <c r="AJ1509">
        <v>1</v>
      </c>
      <c r="AK1509">
        <v>0.02</v>
      </c>
      <c r="AL1509">
        <v>16</v>
      </c>
      <c r="AM1509">
        <v>0</v>
      </c>
      <c r="AN1509">
        <v>0</v>
      </c>
      <c r="AO1509">
        <v>0</v>
      </c>
      <c r="AP1509">
        <v>1</v>
      </c>
      <c r="AQ1509">
        <v>0.01</v>
      </c>
      <c r="AX1509">
        <v>7</v>
      </c>
      <c r="AY1509" s="1">
        <v>17</v>
      </c>
      <c r="AZ1509">
        <v>0</v>
      </c>
      <c r="BA1509">
        <v>0</v>
      </c>
      <c r="BB1509">
        <v>1</v>
      </c>
      <c r="BC1509" s="7">
        <v>0.32</v>
      </c>
      <c r="BD1509">
        <v>30</v>
      </c>
      <c r="BE1509">
        <v>0</v>
      </c>
      <c r="BF1509">
        <v>0</v>
      </c>
      <c r="BG1509">
        <v>0</v>
      </c>
      <c r="BH1509">
        <v>5</v>
      </c>
      <c r="BI1509">
        <v>2.4</v>
      </c>
      <c r="BJ1509">
        <v>31</v>
      </c>
      <c r="BK1509">
        <v>0</v>
      </c>
      <c r="BL1509">
        <v>0</v>
      </c>
      <c r="BM1509">
        <v>0</v>
      </c>
      <c r="BN1509">
        <v>5</v>
      </c>
      <c r="BO1509">
        <v>2.4</v>
      </c>
      <c r="BP1509">
        <v>36</v>
      </c>
      <c r="BQ1509">
        <v>0</v>
      </c>
      <c r="BR1509">
        <v>0</v>
      </c>
      <c r="BS1509">
        <v>0</v>
      </c>
      <c r="BT1509">
        <v>5</v>
      </c>
      <c r="BU1509">
        <v>1.6</v>
      </c>
    </row>
    <row r="1510" spans="1:73" ht="14.25" x14ac:dyDescent="0.15">
      <c r="A1510" s="12">
        <v>30507</v>
      </c>
      <c r="B1510">
        <v>7</v>
      </c>
      <c r="C1510" s="1">
        <v>46</v>
      </c>
      <c r="D1510">
        <v>0</v>
      </c>
      <c r="E1510">
        <v>0</v>
      </c>
      <c r="F1510">
        <v>1</v>
      </c>
      <c r="G1510" s="7">
        <v>0.05</v>
      </c>
      <c r="H1510">
        <v>12</v>
      </c>
      <c r="I1510">
        <v>0</v>
      </c>
      <c r="J1510">
        <v>0</v>
      </c>
      <c r="K1510">
        <v>0</v>
      </c>
      <c r="L1510">
        <v>1</v>
      </c>
      <c r="M1510">
        <v>2</v>
      </c>
      <c r="N1510" s="7">
        <v>9</v>
      </c>
      <c r="O1510" s="7">
        <v>0</v>
      </c>
      <c r="P1510" s="7">
        <v>0</v>
      </c>
      <c r="Q1510" s="7">
        <v>0</v>
      </c>
      <c r="R1510" s="7">
        <v>1</v>
      </c>
      <c r="S1510" s="7">
        <v>4.5</v>
      </c>
      <c r="T1510">
        <v>7</v>
      </c>
      <c r="U1510" s="1">
        <v>34</v>
      </c>
      <c r="V1510">
        <v>0</v>
      </c>
      <c r="W1510">
        <v>0</v>
      </c>
      <c r="X1510">
        <v>1</v>
      </c>
      <c r="Y1510">
        <v>0.16</v>
      </c>
      <c r="Z1510">
        <v>23</v>
      </c>
      <c r="AA1510">
        <v>0</v>
      </c>
      <c r="AB1510">
        <v>0</v>
      </c>
      <c r="AC1510">
        <v>0</v>
      </c>
      <c r="AD1510">
        <v>1</v>
      </c>
      <c r="AE1510">
        <v>0.05</v>
      </c>
      <c r="AF1510">
        <v>15</v>
      </c>
      <c r="AG1510">
        <v>0</v>
      </c>
      <c r="AH1510">
        <v>0</v>
      </c>
      <c r="AI1510">
        <v>0</v>
      </c>
      <c r="AJ1510">
        <v>1</v>
      </c>
      <c r="AK1510">
        <v>0.02</v>
      </c>
      <c r="AL1510">
        <v>16</v>
      </c>
      <c r="AM1510">
        <v>0</v>
      </c>
      <c r="AN1510">
        <v>0</v>
      </c>
      <c r="AO1510">
        <v>0</v>
      </c>
      <c r="AP1510">
        <v>1</v>
      </c>
      <c r="AQ1510">
        <v>0.01</v>
      </c>
      <c r="AX1510">
        <v>7</v>
      </c>
      <c r="AY1510" s="1">
        <v>18</v>
      </c>
      <c r="AZ1510">
        <v>0</v>
      </c>
      <c r="BA1510">
        <v>0</v>
      </c>
      <c r="BB1510">
        <v>1</v>
      </c>
      <c r="BC1510" s="7">
        <v>0.32</v>
      </c>
      <c r="BD1510">
        <v>30</v>
      </c>
      <c r="BE1510">
        <v>0</v>
      </c>
      <c r="BF1510">
        <v>0</v>
      </c>
      <c r="BG1510">
        <v>0</v>
      </c>
      <c r="BH1510">
        <v>5</v>
      </c>
      <c r="BI1510">
        <v>2.4</v>
      </c>
      <c r="BJ1510">
        <v>31</v>
      </c>
      <c r="BK1510">
        <v>0</v>
      </c>
      <c r="BL1510">
        <v>0</v>
      </c>
      <c r="BM1510">
        <v>0</v>
      </c>
      <c r="BN1510">
        <v>5</v>
      </c>
      <c r="BO1510">
        <v>2.4</v>
      </c>
      <c r="BP1510">
        <v>36</v>
      </c>
      <c r="BQ1510">
        <v>0</v>
      </c>
      <c r="BR1510">
        <v>0</v>
      </c>
      <c r="BS1510">
        <v>0</v>
      </c>
      <c r="BT1510">
        <v>5</v>
      </c>
      <c r="BU1510">
        <v>1.6</v>
      </c>
    </row>
    <row r="1511" spans="1:73" ht="14.25" x14ac:dyDescent="0.15">
      <c r="A1511" s="12">
        <v>30508</v>
      </c>
      <c r="B1511">
        <v>7</v>
      </c>
      <c r="C1511" s="1">
        <v>47</v>
      </c>
      <c r="D1511">
        <v>0</v>
      </c>
      <c r="E1511">
        <v>0</v>
      </c>
      <c r="F1511">
        <v>1</v>
      </c>
      <c r="G1511" s="7">
        <v>0.05</v>
      </c>
      <c r="H1511">
        <v>12</v>
      </c>
      <c r="I1511">
        <v>0</v>
      </c>
      <c r="J1511">
        <v>0</v>
      </c>
      <c r="K1511">
        <v>0</v>
      </c>
      <c r="L1511">
        <v>1</v>
      </c>
      <c r="M1511">
        <v>2</v>
      </c>
      <c r="N1511" s="7">
        <v>9</v>
      </c>
      <c r="O1511" s="7">
        <v>0</v>
      </c>
      <c r="P1511" s="7">
        <v>0</v>
      </c>
      <c r="Q1511" s="7">
        <v>0</v>
      </c>
      <c r="R1511" s="7">
        <v>1</v>
      </c>
      <c r="S1511" s="7">
        <v>4.5</v>
      </c>
      <c r="T1511">
        <v>7</v>
      </c>
      <c r="U1511" s="1">
        <v>35</v>
      </c>
      <c r="V1511">
        <v>0</v>
      </c>
      <c r="W1511">
        <v>0</v>
      </c>
      <c r="X1511">
        <v>1</v>
      </c>
      <c r="Y1511">
        <v>0.16</v>
      </c>
      <c r="Z1511">
        <v>23</v>
      </c>
      <c r="AA1511">
        <v>0</v>
      </c>
      <c r="AB1511">
        <v>0</v>
      </c>
      <c r="AC1511">
        <v>0</v>
      </c>
      <c r="AD1511">
        <v>1</v>
      </c>
      <c r="AE1511">
        <v>0.05</v>
      </c>
      <c r="AF1511">
        <v>15</v>
      </c>
      <c r="AG1511">
        <v>0</v>
      </c>
      <c r="AH1511">
        <v>0</v>
      </c>
      <c r="AI1511">
        <v>0</v>
      </c>
      <c r="AJ1511">
        <v>1</v>
      </c>
      <c r="AK1511">
        <v>0.02</v>
      </c>
      <c r="AL1511">
        <v>16</v>
      </c>
      <c r="AM1511">
        <v>0</v>
      </c>
      <c r="AN1511">
        <v>0</v>
      </c>
      <c r="AO1511">
        <v>0</v>
      </c>
      <c r="AP1511">
        <v>1</v>
      </c>
      <c r="AQ1511">
        <v>0.01</v>
      </c>
      <c r="AX1511">
        <v>7</v>
      </c>
      <c r="AY1511" s="1">
        <v>19</v>
      </c>
      <c r="AZ1511">
        <v>0</v>
      </c>
      <c r="BA1511">
        <v>0</v>
      </c>
      <c r="BB1511">
        <v>1</v>
      </c>
      <c r="BC1511" s="7">
        <v>0.32</v>
      </c>
      <c r="BD1511">
        <v>30</v>
      </c>
      <c r="BE1511">
        <v>0</v>
      </c>
      <c r="BF1511">
        <v>0</v>
      </c>
      <c r="BG1511">
        <v>0</v>
      </c>
      <c r="BH1511">
        <v>5</v>
      </c>
      <c r="BI1511">
        <v>2.4</v>
      </c>
      <c r="BJ1511">
        <v>31</v>
      </c>
      <c r="BK1511">
        <v>0</v>
      </c>
      <c r="BL1511">
        <v>0</v>
      </c>
      <c r="BM1511">
        <v>0</v>
      </c>
      <c r="BN1511">
        <v>5</v>
      </c>
      <c r="BO1511">
        <v>2.4</v>
      </c>
      <c r="BP1511">
        <v>36</v>
      </c>
      <c r="BQ1511">
        <v>0</v>
      </c>
      <c r="BR1511">
        <v>0</v>
      </c>
      <c r="BS1511">
        <v>0</v>
      </c>
      <c r="BT1511">
        <v>5</v>
      </c>
      <c r="BU1511">
        <v>1.6</v>
      </c>
    </row>
    <row r="1512" spans="1:73" ht="14.25" x14ac:dyDescent="0.15">
      <c r="A1512" s="12">
        <v>30509</v>
      </c>
      <c r="B1512">
        <v>7</v>
      </c>
      <c r="C1512" s="1">
        <v>48</v>
      </c>
      <c r="D1512">
        <v>0</v>
      </c>
      <c r="E1512">
        <v>0</v>
      </c>
      <c r="F1512">
        <v>1</v>
      </c>
      <c r="G1512" s="7">
        <v>0.05</v>
      </c>
      <c r="H1512">
        <v>12</v>
      </c>
      <c r="I1512">
        <v>0</v>
      </c>
      <c r="J1512">
        <v>0</v>
      </c>
      <c r="K1512">
        <v>0</v>
      </c>
      <c r="L1512">
        <v>1</v>
      </c>
      <c r="M1512">
        <v>2</v>
      </c>
      <c r="N1512" s="7">
        <v>9</v>
      </c>
      <c r="O1512" s="7">
        <v>0</v>
      </c>
      <c r="P1512" s="7">
        <v>0</v>
      </c>
      <c r="Q1512" s="7">
        <v>0</v>
      </c>
      <c r="R1512" s="7">
        <v>1</v>
      </c>
      <c r="S1512" s="7">
        <v>4.5</v>
      </c>
      <c r="T1512">
        <v>7</v>
      </c>
      <c r="U1512" s="1">
        <v>36</v>
      </c>
      <c r="V1512">
        <v>0</v>
      </c>
      <c r="W1512">
        <v>0</v>
      </c>
      <c r="X1512">
        <v>1</v>
      </c>
      <c r="Y1512">
        <v>0.16</v>
      </c>
      <c r="Z1512">
        <v>23</v>
      </c>
      <c r="AA1512">
        <v>0</v>
      </c>
      <c r="AB1512">
        <v>0</v>
      </c>
      <c r="AC1512">
        <v>0</v>
      </c>
      <c r="AD1512">
        <v>1</v>
      </c>
      <c r="AE1512">
        <v>0.05</v>
      </c>
      <c r="AF1512">
        <v>15</v>
      </c>
      <c r="AG1512">
        <v>0</v>
      </c>
      <c r="AH1512">
        <v>0</v>
      </c>
      <c r="AI1512">
        <v>0</v>
      </c>
      <c r="AJ1512">
        <v>1</v>
      </c>
      <c r="AK1512">
        <v>0.02</v>
      </c>
      <c r="AL1512">
        <v>16</v>
      </c>
      <c r="AM1512">
        <v>0</v>
      </c>
      <c r="AN1512">
        <v>0</v>
      </c>
      <c r="AO1512">
        <v>0</v>
      </c>
      <c r="AP1512">
        <v>1</v>
      </c>
      <c r="AQ1512">
        <v>0.01</v>
      </c>
      <c r="AX1512">
        <v>7</v>
      </c>
      <c r="AY1512" s="1">
        <v>20</v>
      </c>
      <c r="AZ1512">
        <v>0</v>
      </c>
      <c r="BA1512">
        <v>0</v>
      </c>
      <c r="BB1512">
        <v>1</v>
      </c>
      <c r="BC1512" s="7">
        <v>0.32</v>
      </c>
      <c r="BD1512">
        <v>30</v>
      </c>
      <c r="BE1512">
        <v>0</v>
      </c>
      <c r="BF1512">
        <v>0</v>
      </c>
      <c r="BG1512">
        <v>0</v>
      </c>
      <c r="BH1512">
        <v>5</v>
      </c>
      <c r="BI1512">
        <v>2.4</v>
      </c>
      <c r="BJ1512">
        <v>31</v>
      </c>
      <c r="BK1512">
        <v>0</v>
      </c>
      <c r="BL1512">
        <v>0</v>
      </c>
      <c r="BM1512">
        <v>0</v>
      </c>
      <c r="BN1512">
        <v>5</v>
      </c>
      <c r="BO1512">
        <v>2.4</v>
      </c>
      <c r="BP1512">
        <v>36</v>
      </c>
      <c r="BQ1512">
        <v>0</v>
      </c>
      <c r="BR1512">
        <v>0</v>
      </c>
      <c r="BS1512">
        <v>0</v>
      </c>
      <c r="BT1512">
        <v>5</v>
      </c>
      <c r="BU1512">
        <v>1.6</v>
      </c>
    </row>
    <row r="1513" spans="1:73" ht="14.25" x14ac:dyDescent="0.15">
      <c r="A1513" s="12">
        <v>30510</v>
      </c>
      <c r="B1513">
        <v>7</v>
      </c>
      <c r="C1513" s="1">
        <v>0</v>
      </c>
      <c r="D1513">
        <v>5</v>
      </c>
      <c r="E1513">
        <v>1</v>
      </c>
      <c r="F1513">
        <v>1</v>
      </c>
      <c r="G1513" s="7">
        <v>0.05</v>
      </c>
      <c r="H1513">
        <v>12</v>
      </c>
      <c r="I1513">
        <v>0</v>
      </c>
      <c r="J1513">
        <v>0</v>
      </c>
      <c r="K1513">
        <v>0</v>
      </c>
      <c r="L1513">
        <v>1</v>
      </c>
      <c r="M1513">
        <v>2</v>
      </c>
      <c r="N1513" s="7">
        <v>9</v>
      </c>
      <c r="O1513" s="7">
        <v>0</v>
      </c>
      <c r="P1513" s="7">
        <v>0</v>
      </c>
      <c r="Q1513" s="7">
        <v>0</v>
      </c>
      <c r="R1513" s="7">
        <v>1</v>
      </c>
      <c r="S1513" s="7">
        <v>4.5</v>
      </c>
      <c r="T1513">
        <v>7</v>
      </c>
      <c r="U1513" s="1">
        <v>0</v>
      </c>
      <c r="V1513">
        <v>4</v>
      </c>
      <c r="W1513">
        <v>2</v>
      </c>
      <c r="X1513">
        <v>1</v>
      </c>
      <c r="Y1513">
        <v>0.16</v>
      </c>
      <c r="Z1513">
        <v>23</v>
      </c>
      <c r="AA1513">
        <v>0</v>
      </c>
      <c r="AB1513">
        <v>0</v>
      </c>
      <c r="AC1513">
        <v>0</v>
      </c>
      <c r="AD1513">
        <v>1</v>
      </c>
      <c r="AE1513">
        <v>0.05</v>
      </c>
      <c r="AF1513">
        <v>15</v>
      </c>
      <c r="AG1513">
        <v>0</v>
      </c>
      <c r="AH1513">
        <v>0</v>
      </c>
      <c r="AI1513">
        <v>0</v>
      </c>
      <c r="AJ1513">
        <v>1</v>
      </c>
      <c r="AK1513">
        <v>0.02</v>
      </c>
      <c r="AL1513">
        <v>16</v>
      </c>
      <c r="AM1513">
        <v>0</v>
      </c>
      <c r="AN1513">
        <v>0</v>
      </c>
      <c r="AO1513">
        <v>0</v>
      </c>
      <c r="AP1513">
        <v>1</v>
      </c>
      <c r="AQ1513">
        <v>0.01</v>
      </c>
      <c r="AR1513">
        <v>6</v>
      </c>
      <c r="AS1513">
        <v>2</v>
      </c>
      <c r="AT1513">
        <v>2</v>
      </c>
      <c r="AU1513">
        <v>5</v>
      </c>
      <c r="AV1513">
        <v>1</v>
      </c>
      <c r="AW1513">
        <v>0.05</v>
      </c>
      <c r="AX1513">
        <v>7</v>
      </c>
      <c r="AY1513" s="1">
        <v>0</v>
      </c>
      <c r="AZ1513">
        <v>3</v>
      </c>
      <c r="BA1513">
        <v>1</v>
      </c>
      <c r="BB1513">
        <v>1</v>
      </c>
      <c r="BC1513" s="7">
        <v>0.32</v>
      </c>
      <c r="BD1513">
        <v>30</v>
      </c>
      <c r="BE1513">
        <v>0</v>
      </c>
      <c r="BF1513">
        <v>0</v>
      </c>
      <c r="BG1513">
        <v>0</v>
      </c>
      <c r="BH1513">
        <v>5</v>
      </c>
      <c r="BI1513">
        <v>2.4</v>
      </c>
      <c r="BJ1513">
        <v>31</v>
      </c>
      <c r="BK1513">
        <v>0</v>
      </c>
      <c r="BL1513">
        <v>0</v>
      </c>
      <c r="BM1513">
        <v>0</v>
      </c>
      <c r="BN1513">
        <v>5</v>
      </c>
      <c r="BO1513">
        <v>2.4</v>
      </c>
      <c r="BP1513">
        <v>36</v>
      </c>
      <c r="BQ1513">
        <v>0</v>
      </c>
      <c r="BR1513">
        <v>0</v>
      </c>
      <c r="BS1513">
        <v>0</v>
      </c>
      <c r="BT1513">
        <v>5</v>
      </c>
      <c r="BU1513">
        <v>1.6</v>
      </c>
    </row>
    <row r="1514" spans="1:73" ht="14.25" x14ac:dyDescent="0.15">
      <c r="A1514" s="12">
        <v>30511</v>
      </c>
      <c r="B1514">
        <v>7</v>
      </c>
      <c r="C1514" s="1">
        <v>45</v>
      </c>
      <c r="D1514">
        <v>0</v>
      </c>
      <c r="E1514">
        <v>0</v>
      </c>
      <c r="F1514">
        <v>1</v>
      </c>
      <c r="G1514" s="7">
        <v>0.05</v>
      </c>
      <c r="H1514">
        <v>12</v>
      </c>
      <c r="I1514">
        <v>0</v>
      </c>
      <c r="J1514">
        <v>0</v>
      </c>
      <c r="K1514">
        <v>0</v>
      </c>
      <c r="L1514">
        <v>1</v>
      </c>
      <c r="M1514">
        <v>2</v>
      </c>
      <c r="N1514" s="7">
        <v>9</v>
      </c>
      <c r="O1514" s="7">
        <v>0</v>
      </c>
      <c r="P1514" s="7">
        <v>0</v>
      </c>
      <c r="Q1514" s="7">
        <v>0</v>
      </c>
      <c r="R1514" s="7">
        <v>1</v>
      </c>
      <c r="S1514" s="7">
        <v>4.5</v>
      </c>
      <c r="T1514">
        <v>7</v>
      </c>
      <c r="U1514" s="1">
        <v>33</v>
      </c>
      <c r="V1514">
        <v>0</v>
      </c>
      <c r="W1514">
        <v>0</v>
      </c>
      <c r="X1514">
        <v>1</v>
      </c>
      <c r="Y1514">
        <v>0.16</v>
      </c>
      <c r="Z1514">
        <v>23</v>
      </c>
      <c r="AA1514">
        <v>0</v>
      </c>
      <c r="AB1514">
        <v>0</v>
      </c>
      <c r="AC1514">
        <v>0</v>
      </c>
      <c r="AD1514">
        <v>1</v>
      </c>
      <c r="AE1514">
        <v>0.05</v>
      </c>
      <c r="AF1514">
        <v>15</v>
      </c>
      <c r="AG1514">
        <v>0</v>
      </c>
      <c r="AH1514">
        <v>0</v>
      </c>
      <c r="AI1514">
        <v>0</v>
      </c>
      <c r="AJ1514">
        <v>1</v>
      </c>
      <c r="AK1514">
        <v>0.02</v>
      </c>
      <c r="AL1514">
        <v>16</v>
      </c>
      <c r="AM1514">
        <v>0</v>
      </c>
      <c r="AN1514">
        <v>0</v>
      </c>
      <c r="AO1514">
        <v>0</v>
      </c>
      <c r="AP1514">
        <v>1</v>
      </c>
      <c r="AQ1514">
        <v>0.01</v>
      </c>
      <c r="AX1514">
        <v>7</v>
      </c>
      <c r="AY1514" s="1">
        <v>17</v>
      </c>
      <c r="AZ1514">
        <v>0</v>
      </c>
      <c r="BA1514">
        <v>0</v>
      </c>
      <c r="BB1514">
        <v>1</v>
      </c>
      <c r="BC1514" s="7">
        <v>0.32</v>
      </c>
      <c r="BD1514">
        <v>30</v>
      </c>
      <c r="BE1514">
        <v>0</v>
      </c>
      <c r="BF1514">
        <v>0</v>
      </c>
      <c r="BG1514">
        <v>0</v>
      </c>
      <c r="BH1514">
        <v>5</v>
      </c>
      <c r="BI1514">
        <v>2.4</v>
      </c>
      <c r="BJ1514">
        <v>31</v>
      </c>
      <c r="BK1514">
        <v>0</v>
      </c>
      <c r="BL1514">
        <v>0</v>
      </c>
      <c r="BM1514">
        <v>0</v>
      </c>
      <c r="BN1514">
        <v>5</v>
      </c>
      <c r="BO1514">
        <v>2.4</v>
      </c>
      <c r="BP1514">
        <v>36</v>
      </c>
      <c r="BQ1514">
        <v>0</v>
      </c>
      <c r="BR1514">
        <v>0</v>
      </c>
      <c r="BS1514">
        <v>0</v>
      </c>
      <c r="BT1514">
        <v>5</v>
      </c>
      <c r="BU1514">
        <v>1.6</v>
      </c>
    </row>
    <row r="1515" spans="1:73" ht="14.25" x14ac:dyDescent="0.15">
      <c r="A1515" s="12">
        <v>30512</v>
      </c>
      <c r="B1515">
        <v>7</v>
      </c>
      <c r="C1515" s="1">
        <v>46</v>
      </c>
      <c r="D1515">
        <v>0</v>
      </c>
      <c r="E1515">
        <v>0</v>
      </c>
      <c r="F1515">
        <v>1</v>
      </c>
      <c r="G1515" s="7">
        <v>0.05</v>
      </c>
      <c r="H1515">
        <v>12</v>
      </c>
      <c r="I1515">
        <v>0</v>
      </c>
      <c r="J1515">
        <v>0</v>
      </c>
      <c r="K1515">
        <v>0</v>
      </c>
      <c r="L1515">
        <v>1</v>
      </c>
      <c r="M1515">
        <v>2</v>
      </c>
      <c r="N1515" s="7">
        <v>9</v>
      </c>
      <c r="O1515" s="7">
        <v>0</v>
      </c>
      <c r="P1515" s="7">
        <v>0</v>
      </c>
      <c r="Q1515" s="7">
        <v>0</v>
      </c>
      <c r="R1515" s="7">
        <v>1</v>
      </c>
      <c r="S1515" s="7">
        <v>4.5</v>
      </c>
      <c r="T1515">
        <v>7</v>
      </c>
      <c r="U1515" s="1">
        <v>34</v>
      </c>
      <c r="V1515">
        <v>0</v>
      </c>
      <c r="W1515">
        <v>0</v>
      </c>
      <c r="X1515">
        <v>1</v>
      </c>
      <c r="Y1515">
        <v>0.16</v>
      </c>
      <c r="Z1515">
        <v>23</v>
      </c>
      <c r="AA1515">
        <v>0</v>
      </c>
      <c r="AB1515">
        <v>0</v>
      </c>
      <c r="AC1515">
        <v>0</v>
      </c>
      <c r="AD1515">
        <v>1</v>
      </c>
      <c r="AE1515">
        <v>0.05</v>
      </c>
      <c r="AF1515">
        <v>15</v>
      </c>
      <c r="AG1515">
        <v>0</v>
      </c>
      <c r="AH1515">
        <v>0</v>
      </c>
      <c r="AI1515">
        <v>0</v>
      </c>
      <c r="AJ1515">
        <v>1</v>
      </c>
      <c r="AK1515">
        <v>0.02</v>
      </c>
      <c r="AL1515">
        <v>16</v>
      </c>
      <c r="AM1515">
        <v>0</v>
      </c>
      <c r="AN1515">
        <v>0</v>
      </c>
      <c r="AO1515">
        <v>0</v>
      </c>
      <c r="AP1515">
        <v>1</v>
      </c>
      <c r="AQ1515">
        <v>0.01</v>
      </c>
      <c r="AX1515">
        <v>7</v>
      </c>
      <c r="AY1515" s="1">
        <v>18</v>
      </c>
      <c r="AZ1515">
        <v>0</v>
      </c>
      <c r="BA1515">
        <v>0</v>
      </c>
      <c r="BB1515">
        <v>1</v>
      </c>
      <c r="BC1515" s="7">
        <v>0.32</v>
      </c>
      <c r="BD1515">
        <v>30</v>
      </c>
      <c r="BE1515">
        <v>0</v>
      </c>
      <c r="BF1515">
        <v>0</v>
      </c>
      <c r="BG1515">
        <v>0</v>
      </c>
      <c r="BH1515">
        <v>5</v>
      </c>
      <c r="BI1515">
        <v>2.4</v>
      </c>
      <c r="BJ1515">
        <v>31</v>
      </c>
      <c r="BK1515">
        <v>0</v>
      </c>
      <c r="BL1515">
        <v>0</v>
      </c>
      <c r="BM1515">
        <v>0</v>
      </c>
      <c r="BN1515">
        <v>5</v>
      </c>
      <c r="BO1515">
        <v>2.4</v>
      </c>
      <c r="BP1515">
        <v>36</v>
      </c>
      <c r="BQ1515">
        <v>0</v>
      </c>
      <c r="BR1515">
        <v>0</v>
      </c>
      <c r="BS1515">
        <v>0</v>
      </c>
      <c r="BT1515">
        <v>5</v>
      </c>
      <c r="BU1515">
        <v>1.6</v>
      </c>
    </row>
    <row r="1516" spans="1:73" ht="14.25" x14ac:dyDescent="0.15">
      <c r="A1516" s="12">
        <v>30513</v>
      </c>
      <c r="B1516">
        <v>7</v>
      </c>
      <c r="C1516" s="1">
        <v>47</v>
      </c>
      <c r="D1516">
        <v>0</v>
      </c>
      <c r="E1516">
        <v>0</v>
      </c>
      <c r="F1516">
        <v>1</v>
      </c>
      <c r="G1516" s="7">
        <v>0.05</v>
      </c>
      <c r="H1516">
        <v>12</v>
      </c>
      <c r="I1516">
        <v>0</v>
      </c>
      <c r="J1516">
        <v>0</v>
      </c>
      <c r="K1516">
        <v>0</v>
      </c>
      <c r="L1516">
        <v>1</v>
      </c>
      <c r="M1516">
        <v>2</v>
      </c>
      <c r="N1516" s="7">
        <v>9</v>
      </c>
      <c r="O1516" s="7">
        <v>0</v>
      </c>
      <c r="P1516" s="7">
        <v>0</v>
      </c>
      <c r="Q1516" s="7">
        <v>0</v>
      </c>
      <c r="R1516" s="7">
        <v>1</v>
      </c>
      <c r="S1516" s="7">
        <v>4.5</v>
      </c>
      <c r="T1516">
        <v>7</v>
      </c>
      <c r="U1516" s="1">
        <v>35</v>
      </c>
      <c r="V1516">
        <v>0</v>
      </c>
      <c r="W1516">
        <v>0</v>
      </c>
      <c r="X1516">
        <v>1</v>
      </c>
      <c r="Y1516">
        <v>0.16</v>
      </c>
      <c r="Z1516">
        <v>23</v>
      </c>
      <c r="AA1516">
        <v>0</v>
      </c>
      <c r="AB1516">
        <v>0</v>
      </c>
      <c r="AC1516">
        <v>0</v>
      </c>
      <c r="AD1516">
        <v>1</v>
      </c>
      <c r="AE1516">
        <v>0.05</v>
      </c>
      <c r="AF1516">
        <v>15</v>
      </c>
      <c r="AG1516">
        <v>0</v>
      </c>
      <c r="AH1516">
        <v>0</v>
      </c>
      <c r="AI1516">
        <v>0</v>
      </c>
      <c r="AJ1516">
        <v>1</v>
      </c>
      <c r="AK1516">
        <v>0.02</v>
      </c>
      <c r="AL1516">
        <v>16</v>
      </c>
      <c r="AM1516">
        <v>0</v>
      </c>
      <c r="AN1516">
        <v>0</v>
      </c>
      <c r="AO1516">
        <v>0</v>
      </c>
      <c r="AP1516">
        <v>1</v>
      </c>
      <c r="AQ1516">
        <v>0.01</v>
      </c>
      <c r="AX1516">
        <v>7</v>
      </c>
      <c r="AY1516" s="1">
        <v>19</v>
      </c>
      <c r="AZ1516">
        <v>0</v>
      </c>
      <c r="BA1516">
        <v>0</v>
      </c>
      <c r="BB1516">
        <v>1</v>
      </c>
      <c r="BC1516" s="7">
        <v>0.32</v>
      </c>
      <c r="BD1516">
        <v>30</v>
      </c>
      <c r="BE1516">
        <v>0</v>
      </c>
      <c r="BF1516">
        <v>0</v>
      </c>
      <c r="BG1516">
        <v>0</v>
      </c>
      <c r="BH1516">
        <v>5</v>
      </c>
      <c r="BI1516">
        <v>2.4</v>
      </c>
      <c r="BJ1516">
        <v>31</v>
      </c>
      <c r="BK1516">
        <v>0</v>
      </c>
      <c r="BL1516">
        <v>0</v>
      </c>
      <c r="BM1516">
        <v>0</v>
      </c>
      <c r="BN1516">
        <v>5</v>
      </c>
      <c r="BO1516">
        <v>2.4</v>
      </c>
      <c r="BP1516">
        <v>36</v>
      </c>
      <c r="BQ1516">
        <v>0</v>
      </c>
      <c r="BR1516">
        <v>0</v>
      </c>
      <c r="BS1516">
        <v>0</v>
      </c>
      <c r="BT1516">
        <v>5</v>
      </c>
      <c r="BU1516">
        <v>1.6</v>
      </c>
    </row>
    <row r="1517" spans="1:73" ht="14.25" x14ac:dyDescent="0.15">
      <c r="A1517" s="12">
        <v>30514</v>
      </c>
      <c r="B1517">
        <v>7</v>
      </c>
      <c r="C1517" s="1">
        <v>48</v>
      </c>
      <c r="D1517">
        <v>0</v>
      </c>
      <c r="E1517">
        <v>0</v>
      </c>
      <c r="F1517">
        <v>1</v>
      </c>
      <c r="G1517" s="7">
        <v>0.05</v>
      </c>
      <c r="H1517">
        <v>12</v>
      </c>
      <c r="I1517">
        <v>0</v>
      </c>
      <c r="J1517">
        <v>0</v>
      </c>
      <c r="K1517">
        <v>0</v>
      </c>
      <c r="L1517">
        <v>1</v>
      </c>
      <c r="M1517">
        <v>2</v>
      </c>
      <c r="N1517" s="7">
        <v>9</v>
      </c>
      <c r="O1517" s="7">
        <v>0</v>
      </c>
      <c r="P1517" s="7">
        <v>0</v>
      </c>
      <c r="Q1517" s="7">
        <v>0</v>
      </c>
      <c r="R1517" s="7">
        <v>1</v>
      </c>
      <c r="S1517" s="7">
        <v>4.5</v>
      </c>
      <c r="T1517">
        <v>7</v>
      </c>
      <c r="U1517" s="1">
        <v>36</v>
      </c>
      <c r="V1517">
        <v>0</v>
      </c>
      <c r="W1517">
        <v>0</v>
      </c>
      <c r="X1517">
        <v>1</v>
      </c>
      <c r="Y1517">
        <v>0.16</v>
      </c>
      <c r="Z1517">
        <v>23</v>
      </c>
      <c r="AA1517">
        <v>0</v>
      </c>
      <c r="AB1517">
        <v>0</v>
      </c>
      <c r="AC1517">
        <v>0</v>
      </c>
      <c r="AD1517">
        <v>1</v>
      </c>
      <c r="AE1517">
        <v>0.05</v>
      </c>
      <c r="AF1517">
        <v>15</v>
      </c>
      <c r="AG1517">
        <v>0</v>
      </c>
      <c r="AH1517">
        <v>0</v>
      </c>
      <c r="AI1517">
        <v>0</v>
      </c>
      <c r="AJ1517">
        <v>1</v>
      </c>
      <c r="AK1517">
        <v>0.02</v>
      </c>
      <c r="AL1517">
        <v>16</v>
      </c>
      <c r="AM1517">
        <v>0</v>
      </c>
      <c r="AN1517">
        <v>0</v>
      </c>
      <c r="AO1517">
        <v>0</v>
      </c>
      <c r="AP1517">
        <v>1</v>
      </c>
      <c r="AQ1517">
        <v>0.01</v>
      </c>
      <c r="AX1517">
        <v>7</v>
      </c>
      <c r="AY1517" s="1">
        <v>20</v>
      </c>
      <c r="AZ1517">
        <v>0</v>
      </c>
      <c r="BA1517">
        <v>0</v>
      </c>
      <c r="BB1517">
        <v>1</v>
      </c>
      <c r="BC1517" s="7">
        <v>0.32</v>
      </c>
      <c r="BD1517">
        <v>30</v>
      </c>
      <c r="BE1517">
        <v>0</v>
      </c>
      <c r="BF1517">
        <v>0</v>
      </c>
      <c r="BG1517">
        <v>0</v>
      </c>
      <c r="BH1517">
        <v>5</v>
      </c>
      <c r="BI1517">
        <v>2.4</v>
      </c>
      <c r="BJ1517">
        <v>31</v>
      </c>
      <c r="BK1517">
        <v>0</v>
      </c>
      <c r="BL1517">
        <v>0</v>
      </c>
      <c r="BM1517">
        <v>0</v>
      </c>
      <c r="BN1517">
        <v>5</v>
      </c>
      <c r="BO1517">
        <v>2.4</v>
      </c>
      <c r="BP1517">
        <v>36</v>
      </c>
      <c r="BQ1517">
        <v>0</v>
      </c>
      <c r="BR1517">
        <v>0</v>
      </c>
      <c r="BS1517">
        <v>0</v>
      </c>
      <c r="BT1517">
        <v>5</v>
      </c>
      <c r="BU1517">
        <v>1.6</v>
      </c>
    </row>
    <row r="1518" spans="1:73" ht="14.25" x14ac:dyDescent="0.15">
      <c r="A1518" s="12">
        <v>30515</v>
      </c>
      <c r="B1518">
        <v>7</v>
      </c>
      <c r="C1518" s="1">
        <v>0</v>
      </c>
      <c r="D1518">
        <v>5</v>
      </c>
      <c r="E1518">
        <v>1</v>
      </c>
      <c r="F1518">
        <v>1</v>
      </c>
      <c r="G1518" s="7">
        <v>0.05</v>
      </c>
      <c r="H1518">
        <v>12</v>
      </c>
      <c r="I1518">
        <v>0</v>
      </c>
      <c r="J1518">
        <v>0</v>
      </c>
      <c r="K1518">
        <v>0</v>
      </c>
      <c r="L1518">
        <v>1</v>
      </c>
      <c r="M1518">
        <v>2</v>
      </c>
      <c r="N1518" s="7">
        <v>9</v>
      </c>
      <c r="O1518" s="7">
        <v>0</v>
      </c>
      <c r="P1518" s="7">
        <v>0</v>
      </c>
      <c r="Q1518" s="7">
        <v>0</v>
      </c>
      <c r="R1518" s="7">
        <v>1</v>
      </c>
      <c r="S1518" s="7">
        <v>4.5</v>
      </c>
      <c r="T1518">
        <v>7</v>
      </c>
      <c r="U1518" s="1">
        <v>0</v>
      </c>
      <c r="V1518">
        <v>4</v>
      </c>
      <c r="W1518">
        <v>2</v>
      </c>
      <c r="X1518">
        <v>1</v>
      </c>
      <c r="Y1518">
        <v>0.16</v>
      </c>
      <c r="Z1518">
        <v>23</v>
      </c>
      <c r="AA1518">
        <v>0</v>
      </c>
      <c r="AB1518">
        <v>0</v>
      </c>
      <c r="AC1518">
        <v>0</v>
      </c>
      <c r="AD1518">
        <v>1</v>
      </c>
      <c r="AE1518">
        <v>0.05</v>
      </c>
      <c r="AF1518">
        <v>15</v>
      </c>
      <c r="AG1518">
        <v>0</v>
      </c>
      <c r="AH1518">
        <v>0</v>
      </c>
      <c r="AI1518">
        <v>0</v>
      </c>
      <c r="AJ1518">
        <v>1</v>
      </c>
      <c r="AK1518">
        <v>0.02</v>
      </c>
      <c r="AL1518">
        <v>16</v>
      </c>
      <c r="AM1518">
        <v>0</v>
      </c>
      <c r="AN1518">
        <v>0</v>
      </c>
      <c r="AO1518">
        <v>0</v>
      </c>
      <c r="AP1518">
        <v>1</v>
      </c>
      <c r="AQ1518">
        <v>0.01</v>
      </c>
      <c r="AR1518">
        <v>6</v>
      </c>
      <c r="AS1518">
        <v>2</v>
      </c>
      <c r="AT1518">
        <v>3</v>
      </c>
      <c r="AU1518">
        <v>5</v>
      </c>
      <c r="AV1518">
        <v>1</v>
      </c>
      <c r="AW1518">
        <v>0.05</v>
      </c>
      <c r="AX1518">
        <v>7</v>
      </c>
      <c r="AY1518" s="1">
        <v>0</v>
      </c>
      <c r="AZ1518">
        <v>3</v>
      </c>
      <c r="BA1518">
        <v>1</v>
      </c>
      <c r="BB1518">
        <v>1</v>
      </c>
      <c r="BC1518" s="7">
        <v>0.32</v>
      </c>
      <c r="BD1518">
        <v>30</v>
      </c>
      <c r="BE1518">
        <v>0</v>
      </c>
      <c r="BF1518">
        <v>0</v>
      </c>
      <c r="BG1518">
        <v>0</v>
      </c>
      <c r="BH1518">
        <v>5</v>
      </c>
      <c r="BI1518">
        <v>2.4</v>
      </c>
      <c r="BJ1518">
        <v>31</v>
      </c>
      <c r="BK1518">
        <v>0</v>
      </c>
      <c r="BL1518">
        <v>0</v>
      </c>
      <c r="BM1518">
        <v>0</v>
      </c>
      <c r="BN1518">
        <v>5</v>
      </c>
      <c r="BO1518">
        <v>2.4</v>
      </c>
      <c r="BP1518">
        <v>36</v>
      </c>
      <c r="BQ1518">
        <v>0</v>
      </c>
      <c r="BR1518">
        <v>0</v>
      </c>
      <c r="BS1518">
        <v>0</v>
      </c>
      <c r="BT1518">
        <v>5</v>
      </c>
      <c r="BU1518">
        <v>1.6</v>
      </c>
    </row>
    <row r="1519" spans="1:73" ht="14.25" x14ac:dyDescent="0.15">
      <c r="A1519" s="12">
        <v>30516</v>
      </c>
      <c r="B1519">
        <v>7</v>
      </c>
      <c r="C1519" s="1">
        <v>45</v>
      </c>
      <c r="D1519">
        <v>0</v>
      </c>
      <c r="E1519">
        <v>0</v>
      </c>
      <c r="F1519">
        <v>1</v>
      </c>
      <c r="G1519" s="7">
        <v>0.05</v>
      </c>
      <c r="H1519">
        <v>12</v>
      </c>
      <c r="I1519">
        <v>0</v>
      </c>
      <c r="J1519">
        <v>0</v>
      </c>
      <c r="K1519">
        <v>0</v>
      </c>
      <c r="L1519">
        <v>1</v>
      </c>
      <c r="M1519">
        <v>2</v>
      </c>
      <c r="N1519" s="7">
        <v>9</v>
      </c>
      <c r="O1519" s="7">
        <v>0</v>
      </c>
      <c r="P1519" s="7">
        <v>0</v>
      </c>
      <c r="Q1519" s="7">
        <v>0</v>
      </c>
      <c r="R1519" s="7">
        <v>1</v>
      </c>
      <c r="S1519" s="7">
        <v>4.5</v>
      </c>
      <c r="T1519">
        <v>7</v>
      </c>
      <c r="U1519" s="1">
        <v>33</v>
      </c>
      <c r="V1519">
        <v>0</v>
      </c>
      <c r="W1519">
        <v>0</v>
      </c>
      <c r="X1519">
        <v>1</v>
      </c>
      <c r="Y1519">
        <v>0.16</v>
      </c>
      <c r="Z1519">
        <v>23</v>
      </c>
      <c r="AA1519">
        <v>0</v>
      </c>
      <c r="AB1519">
        <v>0</v>
      </c>
      <c r="AC1519">
        <v>0</v>
      </c>
      <c r="AD1519">
        <v>1</v>
      </c>
      <c r="AE1519">
        <v>0.05</v>
      </c>
      <c r="AF1519">
        <v>15</v>
      </c>
      <c r="AG1519">
        <v>0</v>
      </c>
      <c r="AH1519">
        <v>0</v>
      </c>
      <c r="AI1519">
        <v>0</v>
      </c>
      <c r="AJ1519">
        <v>1</v>
      </c>
      <c r="AK1519">
        <v>0.02</v>
      </c>
      <c r="AL1519">
        <v>16</v>
      </c>
      <c r="AM1519">
        <v>0</v>
      </c>
      <c r="AN1519">
        <v>0</v>
      </c>
      <c r="AO1519">
        <v>0</v>
      </c>
      <c r="AP1519">
        <v>1</v>
      </c>
      <c r="AQ1519">
        <v>0.01</v>
      </c>
      <c r="AX1519">
        <v>7</v>
      </c>
      <c r="AY1519" s="1">
        <v>17</v>
      </c>
      <c r="AZ1519">
        <v>0</v>
      </c>
      <c r="BA1519">
        <v>0</v>
      </c>
      <c r="BB1519">
        <v>1</v>
      </c>
      <c r="BC1519" s="7">
        <v>0.32</v>
      </c>
      <c r="BD1519">
        <v>30</v>
      </c>
      <c r="BE1519">
        <v>0</v>
      </c>
      <c r="BF1519">
        <v>0</v>
      </c>
      <c r="BG1519">
        <v>0</v>
      </c>
      <c r="BH1519">
        <v>5</v>
      </c>
      <c r="BI1519">
        <v>2.4</v>
      </c>
      <c r="BJ1519">
        <v>31</v>
      </c>
      <c r="BK1519">
        <v>0</v>
      </c>
      <c r="BL1519">
        <v>0</v>
      </c>
      <c r="BM1519">
        <v>0</v>
      </c>
      <c r="BN1519">
        <v>5</v>
      </c>
      <c r="BO1519">
        <v>2.4</v>
      </c>
      <c r="BP1519">
        <v>36</v>
      </c>
      <c r="BQ1519">
        <v>0</v>
      </c>
      <c r="BR1519">
        <v>0</v>
      </c>
      <c r="BS1519">
        <v>0</v>
      </c>
      <c r="BT1519">
        <v>5</v>
      </c>
      <c r="BU1519">
        <v>1.6</v>
      </c>
    </row>
    <row r="1520" spans="1:73" ht="14.25" x14ac:dyDescent="0.15">
      <c r="A1520" s="12">
        <v>30517</v>
      </c>
      <c r="B1520">
        <v>7</v>
      </c>
      <c r="C1520" s="1">
        <v>46</v>
      </c>
      <c r="D1520">
        <v>0</v>
      </c>
      <c r="E1520">
        <v>0</v>
      </c>
      <c r="F1520">
        <v>1</v>
      </c>
      <c r="G1520" s="7">
        <v>0.05</v>
      </c>
      <c r="H1520">
        <v>12</v>
      </c>
      <c r="I1520">
        <v>0</v>
      </c>
      <c r="J1520">
        <v>0</v>
      </c>
      <c r="K1520">
        <v>0</v>
      </c>
      <c r="L1520">
        <v>1</v>
      </c>
      <c r="M1520">
        <v>2</v>
      </c>
      <c r="N1520" s="7">
        <v>9</v>
      </c>
      <c r="O1520" s="7">
        <v>0</v>
      </c>
      <c r="P1520" s="7">
        <v>0</v>
      </c>
      <c r="Q1520" s="7">
        <v>0</v>
      </c>
      <c r="R1520" s="7">
        <v>1</v>
      </c>
      <c r="S1520" s="7">
        <v>4.5</v>
      </c>
      <c r="T1520">
        <v>7</v>
      </c>
      <c r="U1520" s="1">
        <v>34</v>
      </c>
      <c r="V1520">
        <v>0</v>
      </c>
      <c r="W1520">
        <v>0</v>
      </c>
      <c r="X1520">
        <v>1</v>
      </c>
      <c r="Y1520">
        <v>0.16</v>
      </c>
      <c r="Z1520">
        <v>23</v>
      </c>
      <c r="AA1520">
        <v>0</v>
      </c>
      <c r="AB1520">
        <v>0</v>
      </c>
      <c r="AC1520">
        <v>0</v>
      </c>
      <c r="AD1520">
        <v>1</v>
      </c>
      <c r="AE1520">
        <v>0.05</v>
      </c>
      <c r="AF1520">
        <v>15</v>
      </c>
      <c r="AG1520">
        <v>0</v>
      </c>
      <c r="AH1520">
        <v>0</v>
      </c>
      <c r="AI1520">
        <v>0</v>
      </c>
      <c r="AJ1520">
        <v>1</v>
      </c>
      <c r="AK1520">
        <v>0.02</v>
      </c>
      <c r="AL1520">
        <v>16</v>
      </c>
      <c r="AM1520">
        <v>0</v>
      </c>
      <c r="AN1520">
        <v>0</v>
      </c>
      <c r="AO1520">
        <v>0</v>
      </c>
      <c r="AP1520">
        <v>1</v>
      </c>
      <c r="AQ1520">
        <v>0.01</v>
      </c>
      <c r="AX1520">
        <v>7</v>
      </c>
      <c r="AY1520" s="1">
        <v>18</v>
      </c>
      <c r="AZ1520">
        <v>0</v>
      </c>
      <c r="BA1520">
        <v>0</v>
      </c>
      <c r="BB1520">
        <v>1</v>
      </c>
      <c r="BC1520" s="7">
        <v>0.32</v>
      </c>
      <c r="BD1520">
        <v>30</v>
      </c>
      <c r="BE1520">
        <v>0</v>
      </c>
      <c r="BF1520">
        <v>0</v>
      </c>
      <c r="BG1520">
        <v>0</v>
      </c>
      <c r="BH1520">
        <v>5</v>
      </c>
      <c r="BI1520">
        <v>2.4</v>
      </c>
      <c r="BJ1520">
        <v>31</v>
      </c>
      <c r="BK1520">
        <v>0</v>
      </c>
      <c r="BL1520">
        <v>0</v>
      </c>
      <c r="BM1520">
        <v>0</v>
      </c>
      <c r="BN1520">
        <v>5</v>
      </c>
      <c r="BO1520">
        <v>2.4</v>
      </c>
      <c r="BP1520">
        <v>36</v>
      </c>
      <c r="BQ1520">
        <v>0</v>
      </c>
      <c r="BR1520">
        <v>0</v>
      </c>
      <c r="BS1520">
        <v>0</v>
      </c>
      <c r="BT1520">
        <v>5</v>
      </c>
      <c r="BU1520">
        <v>1.6</v>
      </c>
    </row>
    <row r="1521" spans="1:73" ht="14.25" x14ac:dyDescent="0.15">
      <c r="A1521" s="12">
        <v>30518</v>
      </c>
      <c r="B1521">
        <v>7</v>
      </c>
      <c r="C1521" s="1">
        <v>47</v>
      </c>
      <c r="D1521">
        <v>0</v>
      </c>
      <c r="E1521">
        <v>0</v>
      </c>
      <c r="F1521">
        <v>1</v>
      </c>
      <c r="G1521" s="7">
        <v>0.05</v>
      </c>
      <c r="H1521">
        <v>12</v>
      </c>
      <c r="I1521">
        <v>0</v>
      </c>
      <c r="J1521">
        <v>0</v>
      </c>
      <c r="K1521">
        <v>0</v>
      </c>
      <c r="L1521">
        <v>1</v>
      </c>
      <c r="M1521">
        <v>2</v>
      </c>
      <c r="N1521" s="7">
        <v>9</v>
      </c>
      <c r="O1521" s="7">
        <v>0</v>
      </c>
      <c r="P1521" s="7">
        <v>0</v>
      </c>
      <c r="Q1521" s="7">
        <v>0</v>
      </c>
      <c r="R1521" s="7">
        <v>1</v>
      </c>
      <c r="S1521" s="7">
        <v>4.5</v>
      </c>
      <c r="T1521">
        <v>7</v>
      </c>
      <c r="U1521" s="1">
        <v>35</v>
      </c>
      <c r="V1521">
        <v>0</v>
      </c>
      <c r="W1521">
        <v>0</v>
      </c>
      <c r="X1521">
        <v>1</v>
      </c>
      <c r="Y1521">
        <v>0.16</v>
      </c>
      <c r="Z1521">
        <v>23</v>
      </c>
      <c r="AA1521">
        <v>0</v>
      </c>
      <c r="AB1521">
        <v>0</v>
      </c>
      <c r="AC1521">
        <v>0</v>
      </c>
      <c r="AD1521">
        <v>1</v>
      </c>
      <c r="AE1521">
        <v>0.05</v>
      </c>
      <c r="AF1521">
        <v>15</v>
      </c>
      <c r="AG1521">
        <v>0</v>
      </c>
      <c r="AH1521">
        <v>0</v>
      </c>
      <c r="AI1521">
        <v>0</v>
      </c>
      <c r="AJ1521">
        <v>1</v>
      </c>
      <c r="AK1521">
        <v>0.02</v>
      </c>
      <c r="AL1521">
        <v>16</v>
      </c>
      <c r="AM1521">
        <v>0</v>
      </c>
      <c r="AN1521">
        <v>0</v>
      </c>
      <c r="AO1521">
        <v>0</v>
      </c>
      <c r="AP1521">
        <v>1</v>
      </c>
      <c r="AQ1521">
        <v>0.01</v>
      </c>
      <c r="AX1521">
        <v>7</v>
      </c>
      <c r="AY1521" s="1">
        <v>19</v>
      </c>
      <c r="AZ1521">
        <v>0</v>
      </c>
      <c r="BA1521">
        <v>0</v>
      </c>
      <c r="BB1521">
        <v>1</v>
      </c>
      <c r="BC1521" s="7">
        <v>0.32</v>
      </c>
      <c r="BD1521">
        <v>30</v>
      </c>
      <c r="BE1521">
        <v>0</v>
      </c>
      <c r="BF1521">
        <v>0</v>
      </c>
      <c r="BG1521">
        <v>0</v>
      </c>
      <c r="BH1521">
        <v>5</v>
      </c>
      <c r="BI1521">
        <v>2.4</v>
      </c>
      <c r="BJ1521">
        <v>31</v>
      </c>
      <c r="BK1521">
        <v>0</v>
      </c>
      <c r="BL1521">
        <v>0</v>
      </c>
      <c r="BM1521">
        <v>0</v>
      </c>
      <c r="BN1521">
        <v>5</v>
      </c>
      <c r="BO1521">
        <v>2.4</v>
      </c>
      <c r="BP1521">
        <v>36</v>
      </c>
      <c r="BQ1521">
        <v>0</v>
      </c>
      <c r="BR1521">
        <v>0</v>
      </c>
      <c r="BS1521">
        <v>0</v>
      </c>
      <c r="BT1521">
        <v>5</v>
      </c>
      <c r="BU1521">
        <v>1.6</v>
      </c>
    </row>
    <row r="1522" spans="1:73" ht="14.25" x14ac:dyDescent="0.15">
      <c r="A1522" s="12">
        <v>30519</v>
      </c>
      <c r="B1522">
        <v>7</v>
      </c>
      <c r="C1522" s="1">
        <v>48</v>
      </c>
      <c r="D1522">
        <v>0</v>
      </c>
      <c r="E1522">
        <v>0</v>
      </c>
      <c r="F1522">
        <v>1</v>
      </c>
      <c r="G1522" s="7">
        <v>0.05</v>
      </c>
      <c r="H1522">
        <v>12</v>
      </c>
      <c r="I1522">
        <v>0</v>
      </c>
      <c r="J1522">
        <v>0</v>
      </c>
      <c r="K1522">
        <v>0</v>
      </c>
      <c r="L1522">
        <v>1</v>
      </c>
      <c r="M1522">
        <v>2</v>
      </c>
      <c r="N1522" s="7">
        <v>9</v>
      </c>
      <c r="O1522" s="7">
        <v>0</v>
      </c>
      <c r="P1522" s="7">
        <v>0</v>
      </c>
      <c r="Q1522" s="7">
        <v>0</v>
      </c>
      <c r="R1522" s="7">
        <v>1</v>
      </c>
      <c r="S1522" s="7">
        <v>4.5</v>
      </c>
      <c r="T1522">
        <v>7</v>
      </c>
      <c r="U1522" s="1">
        <v>36</v>
      </c>
      <c r="V1522">
        <v>0</v>
      </c>
      <c r="W1522">
        <v>0</v>
      </c>
      <c r="X1522">
        <v>1</v>
      </c>
      <c r="Y1522">
        <v>0.16</v>
      </c>
      <c r="Z1522">
        <v>23</v>
      </c>
      <c r="AA1522">
        <v>0</v>
      </c>
      <c r="AB1522">
        <v>0</v>
      </c>
      <c r="AC1522">
        <v>0</v>
      </c>
      <c r="AD1522">
        <v>1</v>
      </c>
      <c r="AE1522">
        <v>0.05</v>
      </c>
      <c r="AF1522">
        <v>15</v>
      </c>
      <c r="AG1522">
        <v>0</v>
      </c>
      <c r="AH1522">
        <v>0</v>
      </c>
      <c r="AI1522">
        <v>0</v>
      </c>
      <c r="AJ1522">
        <v>1</v>
      </c>
      <c r="AK1522">
        <v>0.02</v>
      </c>
      <c r="AL1522">
        <v>16</v>
      </c>
      <c r="AM1522">
        <v>0</v>
      </c>
      <c r="AN1522">
        <v>0</v>
      </c>
      <c r="AO1522">
        <v>0</v>
      </c>
      <c r="AP1522">
        <v>1</v>
      </c>
      <c r="AQ1522">
        <v>0.01</v>
      </c>
      <c r="AX1522">
        <v>7</v>
      </c>
      <c r="AY1522" s="1">
        <v>20</v>
      </c>
      <c r="AZ1522">
        <v>0</v>
      </c>
      <c r="BA1522">
        <v>0</v>
      </c>
      <c r="BB1522">
        <v>1</v>
      </c>
      <c r="BC1522" s="7">
        <v>0.32</v>
      </c>
      <c r="BD1522">
        <v>30</v>
      </c>
      <c r="BE1522">
        <v>0</v>
      </c>
      <c r="BF1522">
        <v>0</v>
      </c>
      <c r="BG1522">
        <v>0</v>
      </c>
      <c r="BH1522">
        <v>5</v>
      </c>
      <c r="BI1522">
        <v>2.4</v>
      </c>
      <c r="BJ1522">
        <v>31</v>
      </c>
      <c r="BK1522">
        <v>0</v>
      </c>
      <c r="BL1522">
        <v>0</v>
      </c>
      <c r="BM1522">
        <v>0</v>
      </c>
      <c r="BN1522">
        <v>5</v>
      </c>
      <c r="BO1522">
        <v>2.4</v>
      </c>
      <c r="BP1522">
        <v>36</v>
      </c>
      <c r="BQ1522">
        <v>0</v>
      </c>
      <c r="BR1522">
        <v>0</v>
      </c>
      <c r="BS1522">
        <v>0</v>
      </c>
      <c r="BT1522">
        <v>5</v>
      </c>
      <c r="BU1522">
        <v>1.6</v>
      </c>
    </row>
    <row r="1523" spans="1:73" ht="14.25" x14ac:dyDescent="0.15">
      <c r="A1523" s="12">
        <v>30520</v>
      </c>
      <c r="B1523">
        <v>7</v>
      </c>
      <c r="C1523" s="1">
        <v>0</v>
      </c>
      <c r="D1523">
        <v>5</v>
      </c>
      <c r="E1523">
        <v>1</v>
      </c>
      <c r="F1523">
        <v>1</v>
      </c>
      <c r="G1523" s="7">
        <v>0.05</v>
      </c>
      <c r="H1523">
        <v>12</v>
      </c>
      <c r="I1523">
        <v>0</v>
      </c>
      <c r="J1523">
        <v>0</v>
      </c>
      <c r="K1523">
        <v>0</v>
      </c>
      <c r="L1523">
        <v>1</v>
      </c>
      <c r="M1523">
        <v>2</v>
      </c>
      <c r="N1523" s="7">
        <v>9</v>
      </c>
      <c r="O1523" s="7">
        <v>0</v>
      </c>
      <c r="P1523" s="7">
        <v>0</v>
      </c>
      <c r="Q1523" s="7">
        <v>0</v>
      </c>
      <c r="R1523" s="7">
        <v>1</v>
      </c>
      <c r="S1523" s="7">
        <v>4.5</v>
      </c>
      <c r="T1523">
        <v>7</v>
      </c>
      <c r="U1523" s="1">
        <v>0</v>
      </c>
      <c r="V1523">
        <v>4</v>
      </c>
      <c r="W1523">
        <v>2</v>
      </c>
      <c r="X1523">
        <v>1</v>
      </c>
      <c r="Y1523">
        <v>0.16</v>
      </c>
      <c r="Z1523">
        <v>23</v>
      </c>
      <c r="AA1523">
        <v>0</v>
      </c>
      <c r="AB1523">
        <v>0</v>
      </c>
      <c r="AC1523">
        <v>0</v>
      </c>
      <c r="AD1523">
        <v>1</v>
      </c>
      <c r="AE1523">
        <v>0.05</v>
      </c>
      <c r="AF1523">
        <v>15</v>
      </c>
      <c r="AG1523">
        <v>0</v>
      </c>
      <c r="AH1523">
        <v>0</v>
      </c>
      <c r="AI1523">
        <v>0</v>
      </c>
      <c r="AJ1523">
        <v>1</v>
      </c>
      <c r="AK1523">
        <v>0.02</v>
      </c>
      <c r="AL1523">
        <v>16</v>
      </c>
      <c r="AM1523">
        <v>0</v>
      </c>
      <c r="AN1523">
        <v>0</v>
      </c>
      <c r="AO1523">
        <v>0</v>
      </c>
      <c r="AP1523">
        <v>1</v>
      </c>
      <c r="AQ1523">
        <v>0.01</v>
      </c>
      <c r="AR1523">
        <v>6</v>
      </c>
      <c r="AS1523">
        <v>2</v>
      </c>
      <c r="AT1523">
        <v>4</v>
      </c>
      <c r="AU1523">
        <v>5</v>
      </c>
      <c r="AV1523">
        <v>1</v>
      </c>
      <c r="AW1523">
        <v>0.01</v>
      </c>
      <c r="AX1523">
        <v>7</v>
      </c>
      <c r="AY1523" s="1">
        <v>0</v>
      </c>
      <c r="AZ1523">
        <v>3</v>
      </c>
      <c r="BA1523">
        <v>1</v>
      </c>
      <c r="BB1523">
        <v>1</v>
      </c>
      <c r="BC1523" s="7">
        <v>0.32</v>
      </c>
      <c r="BD1523">
        <v>30</v>
      </c>
      <c r="BE1523">
        <v>0</v>
      </c>
      <c r="BF1523">
        <v>0</v>
      </c>
      <c r="BG1523">
        <v>0</v>
      </c>
      <c r="BH1523">
        <v>5</v>
      </c>
      <c r="BI1523">
        <v>2.4</v>
      </c>
      <c r="BJ1523">
        <v>31</v>
      </c>
      <c r="BK1523">
        <v>0</v>
      </c>
      <c r="BL1523">
        <v>0</v>
      </c>
      <c r="BM1523">
        <v>0</v>
      </c>
      <c r="BN1523">
        <v>5</v>
      </c>
      <c r="BO1523">
        <v>2.4</v>
      </c>
      <c r="BP1523">
        <v>36</v>
      </c>
      <c r="BQ1523">
        <v>0</v>
      </c>
      <c r="BR1523">
        <v>0</v>
      </c>
      <c r="BS1523">
        <v>0</v>
      </c>
      <c r="BT1523">
        <v>5</v>
      </c>
      <c r="BU1523">
        <v>1.6</v>
      </c>
    </row>
    <row r="1524" spans="1:73" ht="14.25" x14ac:dyDescent="0.15">
      <c r="A1524" s="12">
        <v>30521</v>
      </c>
      <c r="B1524">
        <v>7</v>
      </c>
      <c r="C1524" s="1">
        <v>45</v>
      </c>
      <c r="D1524">
        <v>0</v>
      </c>
      <c r="E1524">
        <v>0</v>
      </c>
      <c r="F1524">
        <v>1</v>
      </c>
      <c r="G1524" s="7">
        <v>0.05</v>
      </c>
      <c r="H1524">
        <v>12</v>
      </c>
      <c r="I1524">
        <v>0</v>
      </c>
      <c r="J1524">
        <v>0</v>
      </c>
      <c r="K1524">
        <v>0</v>
      </c>
      <c r="L1524">
        <v>1</v>
      </c>
      <c r="M1524">
        <v>2</v>
      </c>
      <c r="N1524" s="7">
        <v>9</v>
      </c>
      <c r="O1524" s="7">
        <v>0</v>
      </c>
      <c r="P1524" s="7">
        <v>0</v>
      </c>
      <c r="Q1524" s="7">
        <v>0</v>
      </c>
      <c r="R1524" s="7">
        <v>1</v>
      </c>
      <c r="S1524" s="7">
        <v>4.5</v>
      </c>
      <c r="T1524">
        <v>7</v>
      </c>
      <c r="U1524" s="1">
        <v>33</v>
      </c>
      <c r="V1524">
        <v>0</v>
      </c>
      <c r="W1524">
        <v>0</v>
      </c>
      <c r="X1524">
        <v>1</v>
      </c>
      <c r="Y1524">
        <v>0.16</v>
      </c>
      <c r="Z1524">
        <v>23</v>
      </c>
      <c r="AA1524">
        <v>0</v>
      </c>
      <c r="AB1524">
        <v>0</v>
      </c>
      <c r="AC1524">
        <v>0</v>
      </c>
      <c r="AD1524">
        <v>1</v>
      </c>
      <c r="AE1524">
        <v>0.05</v>
      </c>
      <c r="AF1524">
        <v>15</v>
      </c>
      <c r="AG1524">
        <v>0</v>
      </c>
      <c r="AH1524">
        <v>0</v>
      </c>
      <c r="AI1524">
        <v>0</v>
      </c>
      <c r="AJ1524">
        <v>1</v>
      </c>
      <c r="AK1524">
        <v>0.02</v>
      </c>
      <c r="AL1524">
        <v>16</v>
      </c>
      <c r="AM1524">
        <v>0</v>
      </c>
      <c r="AN1524">
        <v>0</v>
      </c>
      <c r="AO1524">
        <v>0</v>
      </c>
      <c r="AP1524">
        <v>1</v>
      </c>
      <c r="AQ1524">
        <v>0.01</v>
      </c>
      <c r="AX1524">
        <v>7</v>
      </c>
      <c r="AY1524" s="1">
        <v>17</v>
      </c>
      <c r="AZ1524">
        <v>0</v>
      </c>
      <c r="BA1524">
        <v>0</v>
      </c>
      <c r="BB1524">
        <v>1</v>
      </c>
      <c r="BC1524" s="7">
        <v>0.32</v>
      </c>
      <c r="BD1524">
        <v>30</v>
      </c>
      <c r="BE1524">
        <v>0</v>
      </c>
      <c r="BF1524">
        <v>0</v>
      </c>
      <c r="BG1524">
        <v>0</v>
      </c>
      <c r="BH1524">
        <v>5</v>
      </c>
      <c r="BI1524">
        <v>2.4</v>
      </c>
      <c r="BJ1524">
        <v>31</v>
      </c>
      <c r="BK1524">
        <v>0</v>
      </c>
      <c r="BL1524">
        <v>0</v>
      </c>
      <c r="BM1524">
        <v>0</v>
      </c>
      <c r="BN1524">
        <v>5</v>
      </c>
      <c r="BO1524">
        <v>2.4</v>
      </c>
      <c r="BP1524">
        <v>36</v>
      </c>
      <c r="BQ1524">
        <v>0</v>
      </c>
      <c r="BR1524">
        <v>0</v>
      </c>
      <c r="BS1524">
        <v>0</v>
      </c>
      <c r="BT1524">
        <v>5</v>
      </c>
      <c r="BU1524">
        <v>1.6</v>
      </c>
    </row>
    <row r="1525" spans="1:73" ht="14.25" x14ac:dyDescent="0.15">
      <c r="A1525" s="12">
        <v>30522</v>
      </c>
      <c r="B1525">
        <v>7</v>
      </c>
      <c r="C1525" s="1">
        <v>46</v>
      </c>
      <c r="D1525">
        <v>0</v>
      </c>
      <c r="E1525">
        <v>0</v>
      </c>
      <c r="F1525">
        <v>1</v>
      </c>
      <c r="G1525" s="7">
        <v>0.05</v>
      </c>
      <c r="H1525">
        <v>12</v>
      </c>
      <c r="I1525">
        <v>0</v>
      </c>
      <c r="J1525">
        <v>0</v>
      </c>
      <c r="K1525">
        <v>0</v>
      </c>
      <c r="L1525">
        <v>1</v>
      </c>
      <c r="M1525">
        <v>2</v>
      </c>
      <c r="N1525" s="7">
        <v>9</v>
      </c>
      <c r="O1525" s="7">
        <v>0</v>
      </c>
      <c r="P1525" s="7">
        <v>0</v>
      </c>
      <c r="Q1525" s="7">
        <v>0</v>
      </c>
      <c r="R1525" s="7">
        <v>1</v>
      </c>
      <c r="S1525" s="7">
        <v>4.5</v>
      </c>
      <c r="T1525">
        <v>7</v>
      </c>
      <c r="U1525" s="1">
        <v>34</v>
      </c>
      <c r="V1525">
        <v>0</v>
      </c>
      <c r="W1525">
        <v>0</v>
      </c>
      <c r="X1525">
        <v>1</v>
      </c>
      <c r="Y1525">
        <v>0.16</v>
      </c>
      <c r="Z1525">
        <v>23</v>
      </c>
      <c r="AA1525">
        <v>0</v>
      </c>
      <c r="AB1525">
        <v>0</v>
      </c>
      <c r="AC1525">
        <v>0</v>
      </c>
      <c r="AD1525">
        <v>1</v>
      </c>
      <c r="AE1525">
        <v>0.05</v>
      </c>
      <c r="AF1525">
        <v>15</v>
      </c>
      <c r="AG1525">
        <v>0</v>
      </c>
      <c r="AH1525">
        <v>0</v>
      </c>
      <c r="AI1525">
        <v>0</v>
      </c>
      <c r="AJ1525">
        <v>1</v>
      </c>
      <c r="AK1525">
        <v>0.02</v>
      </c>
      <c r="AL1525">
        <v>16</v>
      </c>
      <c r="AM1525">
        <v>0</v>
      </c>
      <c r="AN1525">
        <v>0</v>
      </c>
      <c r="AO1525">
        <v>0</v>
      </c>
      <c r="AP1525">
        <v>1</v>
      </c>
      <c r="AQ1525">
        <v>0.01</v>
      </c>
      <c r="AX1525">
        <v>7</v>
      </c>
      <c r="AY1525" s="1">
        <v>18</v>
      </c>
      <c r="AZ1525">
        <v>0</v>
      </c>
      <c r="BA1525">
        <v>0</v>
      </c>
      <c r="BB1525">
        <v>1</v>
      </c>
      <c r="BC1525" s="7">
        <v>0.32</v>
      </c>
      <c r="BD1525">
        <v>30</v>
      </c>
      <c r="BE1525">
        <v>0</v>
      </c>
      <c r="BF1525">
        <v>0</v>
      </c>
      <c r="BG1525">
        <v>0</v>
      </c>
      <c r="BH1525">
        <v>5</v>
      </c>
      <c r="BI1525">
        <v>2.4</v>
      </c>
      <c r="BJ1525">
        <v>31</v>
      </c>
      <c r="BK1525">
        <v>0</v>
      </c>
      <c r="BL1525">
        <v>0</v>
      </c>
      <c r="BM1525">
        <v>0</v>
      </c>
      <c r="BN1525">
        <v>5</v>
      </c>
      <c r="BO1525">
        <v>2.4</v>
      </c>
      <c r="BP1525">
        <v>36</v>
      </c>
      <c r="BQ1525">
        <v>0</v>
      </c>
      <c r="BR1525">
        <v>0</v>
      </c>
      <c r="BS1525">
        <v>0</v>
      </c>
      <c r="BT1525">
        <v>5</v>
      </c>
      <c r="BU1525">
        <v>1.6</v>
      </c>
    </row>
    <row r="1526" spans="1:73" ht="14.25" x14ac:dyDescent="0.15">
      <c r="A1526" s="12">
        <v>30523</v>
      </c>
      <c r="B1526">
        <v>7</v>
      </c>
      <c r="C1526" s="1">
        <v>47</v>
      </c>
      <c r="D1526">
        <v>0</v>
      </c>
      <c r="E1526">
        <v>0</v>
      </c>
      <c r="F1526">
        <v>1</v>
      </c>
      <c r="G1526" s="7">
        <v>0.05</v>
      </c>
      <c r="H1526">
        <v>12</v>
      </c>
      <c r="I1526">
        <v>0</v>
      </c>
      <c r="J1526">
        <v>0</v>
      </c>
      <c r="K1526">
        <v>0</v>
      </c>
      <c r="L1526">
        <v>1</v>
      </c>
      <c r="M1526">
        <v>2</v>
      </c>
      <c r="N1526" s="7">
        <v>9</v>
      </c>
      <c r="O1526" s="7">
        <v>0</v>
      </c>
      <c r="P1526" s="7">
        <v>0</v>
      </c>
      <c r="Q1526" s="7">
        <v>0</v>
      </c>
      <c r="R1526" s="7">
        <v>1</v>
      </c>
      <c r="S1526" s="7">
        <v>4.5</v>
      </c>
      <c r="T1526">
        <v>7</v>
      </c>
      <c r="U1526" s="1">
        <v>35</v>
      </c>
      <c r="V1526">
        <v>0</v>
      </c>
      <c r="W1526">
        <v>0</v>
      </c>
      <c r="X1526">
        <v>1</v>
      </c>
      <c r="Y1526">
        <v>0.16</v>
      </c>
      <c r="Z1526">
        <v>23</v>
      </c>
      <c r="AA1526">
        <v>0</v>
      </c>
      <c r="AB1526">
        <v>0</v>
      </c>
      <c r="AC1526">
        <v>0</v>
      </c>
      <c r="AD1526">
        <v>1</v>
      </c>
      <c r="AE1526">
        <v>0.05</v>
      </c>
      <c r="AF1526">
        <v>15</v>
      </c>
      <c r="AG1526">
        <v>0</v>
      </c>
      <c r="AH1526">
        <v>0</v>
      </c>
      <c r="AI1526">
        <v>0</v>
      </c>
      <c r="AJ1526">
        <v>1</v>
      </c>
      <c r="AK1526">
        <v>0.02</v>
      </c>
      <c r="AL1526">
        <v>16</v>
      </c>
      <c r="AM1526">
        <v>0</v>
      </c>
      <c r="AN1526">
        <v>0</v>
      </c>
      <c r="AO1526">
        <v>0</v>
      </c>
      <c r="AP1526">
        <v>1</v>
      </c>
      <c r="AQ1526">
        <v>0.01</v>
      </c>
      <c r="AX1526">
        <v>7</v>
      </c>
      <c r="AY1526" s="1">
        <v>19</v>
      </c>
      <c r="AZ1526">
        <v>0</v>
      </c>
      <c r="BA1526">
        <v>0</v>
      </c>
      <c r="BB1526">
        <v>1</v>
      </c>
      <c r="BC1526" s="7">
        <v>0.32</v>
      </c>
      <c r="BD1526">
        <v>30</v>
      </c>
      <c r="BE1526">
        <v>0</v>
      </c>
      <c r="BF1526">
        <v>0</v>
      </c>
      <c r="BG1526">
        <v>0</v>
      </c>
      <c r="BH1526">
        <v>5</v>
      </c>
      <c r="BI1526">
        <v>2.4</v>
      </c>
      <c r="BJ1526">
        <v>31</v>
      </c>
      <c r="BK1526">
        <v>0</v>
      </c>
      <c r="BL1526">
        <v>0</v>
      </c>
      <c r="BM1526">
        <v>0</v>
      </c>
      <c r="BN1526">
        <v>5</v>
      </c>
      <c r="BO1526">
        <v>2.4</v>
      </c>
      <c r="BP1526">
        <v>36</v>
      </c>
      <c r="BQ1526">
        <v>0</v>
      </c>
      <c r="BR1526">
        <v>0</v>
      </c>
      <c r="BS1526">
        <v>0</v>
      </c>
      <c r="BT1526">
        <v>5</v>
      </c>
      <c r="BU1526">
        <v>1.6</v>
      </c>
    </row>
    <row r="1527" spans="1:73" ht="14.25" x14ac:dyDescent="0.15">
      <c r="A1527" s="12">
        <v>30524</v>
      </c>
      <c r="B1527">
        <v>7</v>
      </c>
      <c r="C1527" s="1">
        <v>48</v>
      </c>
      <c r="D1527">
        <v>0</v>
      </c>
      <c r="E1527">
        <v>0</v>
      </c>
      <c r="F1527">
        <v>1</v>
      </c>
      <c r="G1527" s="7">
        <v>0.05</v>
      </c>
      <c r="H1527">
        <v>12</v>
      </c>
      <c r="I1527">
        <v>0</v>
      </c>
      <c r="J1527">
        <v>0</v>
      </c>
      <c r="K1527">
        <v>0</v>
      </c>
      <c r="L1527">
        <v>1</v>
      </c>
      <c r="M1527">
        <v>2</v>
      </c>
      <c r="N1527" s="7">
        <v>9</v>
      </c>
      <c r="O1527" s="7">
        <v>0</v>
      </c>
      <c r="P1527" s="7">
        <v>0</v>
      </c>
      <c r="Q1527" s="7">
        <v>0</v>
      </c>
      <c r="R1527" s="7">
        <v>1</v>
      </c>
      <c r="S1527" s="7">
        <v>4.5</v>
      </c>
      <c r="T1527">
        <v>7</v>
      </c>
      <c r="U1527" s="1">
        <v>36</v>
      </c>
      <c r="V1527">
        <v>0</v>
      </c>
      <c r="W1527">
        <v>0</v>
      </c>
      <c r="X1527">
        <v>1</v>
      </c>
      <c r="Y1527">
        <v>0.16</v>
      </c>
      <c r="Z1527">
        <v>23</v>
      </c>
      <c r="AA1527">
        <v>0</v>
      </c>
      <c r="AB1527">
        <v>0</v>
      </c>
      <c r="AC1527">
        <v>0</v>
      </c>
      <c r="AD1527">
        <v>1</v>
      </c>
      <c r="AE1527">
        <v>0.05</v>
      </c>
      <c r="AF1527">
        <v>15</v>
      </c>
      <c r="AG1527">
        <v>0</v>
      </c>
      <c r="AH1527">
        <v>0</v>
      </c>
      <c r="AI1527">
        <v>0</v>
      </c>
      <c r="AJ1527">
        <v>1</v>
      </c>
      <c r="AK1527">
        <v>0.02</v>
      </c>
      <c r="AL1527">
        <v>16</v>
      </c>
      <c r="AM1527">
        <v>0</v>
      </c>
      <c r="AN1527">
        <v>0</v>
      </c>
      <c r="AO1527">
        <v>0</v>
      </c>
      <c r="AP1527">
        <v>1</v>
      </c>
      <c r="AQ1527">
        <v>0.01</v>
      </c>
      <c r="AX1527">
        <v>7</v>
      </c>
      <c r="AY1527" s="1">
        <v>20</v>
      </c>
      <c r="AZ1527">
        <v>0</v>
      </c>
      <c r="BA1527">
        <v>0</v>
      </c>
      <c r="BB1527">
        <v>1</v>
      </c>
      <c r="BC1527" s="7">
        <v>0.32</v>
      </c>
      <c r="BD1527">
        <v>30</v>
      </c>
      <c r="BE1527">
        <v>0</v>
      </c>
      <c r="BF1527">
        <v>0</v>
      </c>
      <c r="BG1527">
        <v>0</v>
      </c>
      <c r="BH1527">
        <v>5</v>
      </c>
      <c r="BI1527">
        <v>2.4</v>
      </c>
      <c r="BJ1527">
        <v>31</v>
      </c>
      <c r="BK1527">
        <v>0</v>
      </c>
      <c r="BL1527">
        <v>0</v>
      </c>
      <c r="BM1527">
        <v>0</v>
      </c>
      <c r="BN1527">
        <v>5</v>
      </c>
      <c r="BO1527">
        <v>2.4</v>
      </c>
      <c r="BP1527">
        <v>36</v>
      </c>
      <c r="BQ1527">
        <v>0</v>
      </c>
      <c r="BR1527">
        <v>0</v>
      </c>
      <c r="BS1527">
        <v>0</v>
      </c>
      <c r="BT1527">
        <v>5</v>
      </c>
      <c r="BU1527">
        <v>1.6</v>
      </c>
    </row>
    <row r="1528" spans="1:73" ht="14.25" x14ac:dyDescent="0.15">
      <c r="A1528" s="12">
        <v>30525</v>
      </c>
      <c r="B1528">
        <v>7</v>
      </c>
      <c r="C1528" s="1">
        <v>0</v>
      </c>
      <c r="D1528">
        <v>5</v>
      </c>
      <c r="E1528">
        <v>1</v>
      </c>
      <c r="F1528">
        <v>1</v>
      </c>
      <c r="G1528" s="7">
        <v>0.05</v>
      </c>
      <c r="H1528">
        <v>12</v>
      </c>
      <c r="I1528">
        <v>0</v>
      </c>
      <c r="J1528">
        <v>0</v>
      </c>
      <c r="K1528">
        <v>0</v>
      </c>
      <c r="L1528">
        <v>1</v>
      </c>
      <c r="M1528">
        <v>2</v>
      </c>
      <c r="N1528" s="7">
        <v>9</v>
      </c>
      <c r="O1528" s="7">
        <v>0</v>
      </c>
      <c r="P1528" s="7">
        <v>0</v>
      </c>
      <c r="Q1528" s="7">
        <v>0</v>
      </c>
      <c r="R1528" s="7">
        <v>1</v>
      </c>
      <c r="S1528" s="7">
        <v>4.5</v>
      </c>
      <c r="T1528">
        <v>7</v>
      </c>
      <c r="U1528" s="1">
        <v>0</v>
      </c>
      <c r="V1528">
        <v>4</v>
      </c>
      <c r="W1528">
        <v>2</v>
      </c>
      <c r="X1528">
        <v>1</v>
      </c>
      <c r="Y1528">
        <v>0.16</v>
      </c>
      <c r="Z1528">
        <v>23</v>
      </c>
      <c r="AA1528">
        <v>0</v>
      </c>
      <c r="AB1528">
        <v>0</v>
      </c>
      <c r="AC1528">
        <v>0</v>
      </c>
      <c r="AD1528">
        <v>1</v>
      </c>
      <c r="AE1528">
        <v>0.05</v>
      </c>
      <c r="AF1528">
        <v>15</v>
      </c>
      <c r="AG1528">
        <v>0</v>
      </c>
      <c r="AH1528">
        <v>0</v>
      </c>
      <c r="AI1528">
        <v>0</v>
      </c>
      <c r="AJ1528">
        <v>1</v>
      </c>
      <c r="AK1528">
        <v>0.02</v>
      </c>
      <c r="AL1528">
        <v>16</v>
      </c>
      <c r="AM1528">
        <v>0</v>
      </c>
      <c r="AN1528">
        <v>0</v>
      </c>
      <c r="AO1528">
        <v>0</v>
      </c>
      <c r="AP1528">
        <v>1</v>
      </c>
      <c r="AQ1528">
        <v>0.01</v>
      </c>
      <c r="AR1528">
        <v>6</v>
      </c>
      <c r="AS1528">
        <v>2</v>
      </c>
      <c r="AT1528">
        <v>5</v>
      </c>
      <c r="AU1528">
        <v>5</v>
      </c>
      <c r="AV1528">
        <v>1</v>
      </c>
      <c r="AW1528">
        <v>0.01</v>
      </c>
      <c r="AX1528">
        <v>7</v>
      </c>
      <c r="AY1528" s="1">
        <v>0</v>
      </c>
      <c r="AZ1528">
        <v>3</v>
      </c>
      <c r="BA1528">
        <v>1</v>
      </c>
      <c r="BB1528">
        <v>1</v>
      </c>
      <c r="BC1528" s="7">
        <v>0.32</v>
      </c>
      <c r="BD1528">
        <v>30</v>
      </c>
      <c r="BE1528">
        <v>0</v>
      </c>
      <c r="BF1528">
        <v>0</v>
      </c>
      <c r="BG1528">
        <v>0</v>
      </c>
      <c r="BH1528">
        <v>5</v>
      </c>
      <c r="BI1528">
        <v>2.4</v>
      </c>
      <c r="BJ1528">
        <v>31</v>
      </c>
      <c r="BK1528">
        <v>0</v>
      </c>
      <c r="BL1528">
        <v>0</v>
      </c>
      <c r="BM1528">
        <v>0</v>
      </c>
      <c r="BN1528">
        <v>5</v>
      </c>
      <c r="BO1528">
        <v>2.4</v>
      </c>
      <c r="BP1528">
        <v>36</v>
      </c>
      <c r="BQ1528">
        <v>0</v>
      </c>
      <c r="BR1528">
        <v>0</v>
      </c>
      <c r="BS1528">
        <v>0</v>
      </c>
      <c r="BT1528">
        <v>5</v>
      </c>
      <c r="BU1528">
        <v>1.6</v>
      </c>
    </row>
    <row r="1529" spans="1:73" ht="14.25" x14ac:dyDescent="0.15">
      <c r="A1529" s="12">
        <v>30526</v>
      </c>
      <c r="B1529">
        <v>7</v>
      </c>
      <c r="C1529" s="1">
        <v>45</v>
      </c>
      <c r="D1529">
        <v>0</v>
      </c>
      <c r="E1529">
        <v>0</v>
      </c>
      <c r="F1529">
        <v>1</v>
      </c>
      <c r="G1529" s="7">
        <v>0.05</v>
      </c>
      <c r="H1529">
        <v>12</v>
      </c>
      <c r="I1529">
        <v>0</v>
      </c>
      <c r="J1529">
        <v>0</v>
      </c>
      <c r="K1529">
        <v>0</v>
      </c>
      <c r="L1529">
        <v>1</v>
      </c>
      <c r="M1529">
        <v>2</v>
      </c>
      <c r="N1529" s="7">
        <v>9</v>
      </c>
      <c r="O1529" s="7">
        <v>0</v>
      </c>
      <c r="P1529" s="7">
        <v>0</v>
      </c>
      <c r="Q1529" s="7">
        <v>0</v>
      </c>
      <c r="R1529" s="7">
        <v>1</v>
      </c>
      <c r="S1529" s="7">
        <v>4.5</v>
      </c>
      <c r="T1529">
        <v>7</v>
      </c>
      <c r="U1529" s="1">
        <v>33</v>
      </c>
      <c r="V1529">
        <v>0</v>
      </c>
      <c r="W1529">
        <v>0</v>
      </c>
      <c r="X1529">
        <v>1</v>
      </c>
      <c r="Y1529">
        <v>0.16</v>
      </c>
      <c r="Z1529">
        <v>23</v>
      </c>
      <c r="AA1529">
        <v>0</v>
      </c>
      <c r="AB1529">
        <v>0</v>
      </c>
      <c r="AC1529">
        <v>0</v>
      </c>
      <c r="AD1529">
        <v>1</v>
      </c>
      <c r="AE1529">
        <v>0.05</v>
      </c>
      <c r="AF1529">
        <v>15</v>
      </c>
      <c r="AG1529">
        <v>0</v>
      </c>
      <c r="AH1529">
        <v>0</v>
      </c>
      <c r="AI1529">
        <v>0</v>
      </c>
      <c r="AJ1529">
        <v>1</v>
      </c>
      <c r="AK1529">
        <v>0.02</v>
      </c>
      <c r="AL1529">
        <v>16</v>
      </c>
      <c r="AM1529">
        <v>0</v>
      </c>
      <c r="AN1529">
        <v>0</v>
      </c>
      <c r="AO1529">
        <v>0</v>
      </c>
      <c r="AP1529">
        <v>1</v>
      </c>
      <c r="AQ1529">
        <v>0.01</v>
      </c>
      <c r="AX1529">
        <v>7</v>
      </c>
      <c r="AY1529" s="1">
        <v>17</v>
      </c>
      <c r="AZ1529">
        <v>0</v>
      </c>
      <c r="BA1529">
        <v>0</v>
      </c>
      <c r="BB1529">
        <v>1</v>
      </c>
      <c r="BC1529" s="7">
        <v>0.32</v>
      </c>
      <c r="BD1529">
        <v>30</v>
      </c>
      <c r="BE1529">
        <v>0</v>
      </c>
      <c r="BF1529">
        <v>0</v>
      </c>
      <c r="BG1529">
        <v>0</v>
      </c>
      <c r="BH1529">
        <v>5</v>
      </c>
      <c r="BI1529">
        <v>2.4</v>
      </c>
      <c r="BJ1529">
        <v>31</v>
      </c>
      <c r="BK1529">
        <v>0</v>
      </c>
      <c r="BL1529">
        <v>0</v>
      </c>
      <c r="BM1529">
        <v>0</v>
      </c>
      <c r="BN1529">
        <v>5</v>
      </c>
      <c r="BO1529">
        <v>2.4</v>
      </c>
      <c r="BP1529">
        <v>36</v>
      </c>
      <c r="BQ1529">
        <v>0</v>
      </c>
      <c r="BR1529">
        <v>0</v>
      </c>
      <c r="BS1529">
        <v>0</v>
      </c>
      <c r="BT1529">
        <v>5</v>
      </c>
      <c r="BU1529">
        <v>1.6</v>
      </c>
    </row>
    <row r="1530" spans="1:73" ht="14.25" x14ac:dyDescent="0.15">
      <c r="A1530" s="12">
        <v>30527</v>
      </c>
      <c r="B1530">
        <v>7</v>
      </c>
      <c r="C1530" s="1">
        <v>46</v>
      </c>
      <c r="D1530">
        <v>0</v>
      </c>
      <c r="E1530">
        <v>0</v>
      </c>
      <c r="F1530">
        <v>1</v>
      </c>
      <c r="G1530" s="7">
        <v>0.05</v>
      </c>
      <c r="H1530">
        <v>12</v>
      </c>
      <c r="I1530">
        <v>0</v>
      </c>
      <c r="J1530">
        <v>0</v>
      </c>
      <c r="K1530">
        <v>0</v>
      </c>
      <c r="L1530">
        <v>1</v>
      </c>
      <c r="M1530">
        <v>2</v>
      </c>
      <c r="N1530" s="7">
        <v>9</v>
      </c>
      <c r="O1530" s="7">
        <v>0</v>
      </c>
      <c r="P1530" s="7">
        <v>0</v>
      </c>
      <c r="Q1530" s="7">
        <v>0</v>
      </c>
      <c r="R1530" s="7">
        <v>1</v>
      </c>
      <c r="S1530" s="7">
        <v>4.5</v>
      </c>
      <c r="T1530">
        <v>7</v>
      </c>
      <c r="U1530" s="1">
        <v>34</v>
      </c>
      <c r="V1530">
        <v>0</v>
      </c>
      <c r="W1530">
        <v>0</v>
      </c>
      <c r="X1530">
        <v>1</v>
      </c>
      <c r="Y1530">
        <v>0.16</v>
      </c>
      <c r="Z1530">
        <v>23</v>
      </c>
      <c r="AA1530">
        <v>0</v>
      </c>
      <c r="AB1530">
        <v>0</v>
      </c>
      <c r="AC1530">
        <v>0</v>
      </c>
      <c r="AD1530">
        <v>1</v>
      </c>
      <c r="AE1530">
        <v>0.05</v>
      </c>
      <c r="AF1530">
        <v>15</v>
      </c>
      <c r="AG1530">
        <v>0</v>
      </c>
      <c r="AH1530">
        <v>0</v>
      </c>
      <c r="AI1530">
        <v>0</v>
      </c>
      <c r="AJ1530">
        <v>1</v>
      </c>
      <c r="AK1530">
        <v>0.02</v>
      </c>
      <c r="AL1530">
        <v>16</v>
      </c>
      <c r="AM1530">
        <v>0</v>
      </c>
      <c r="AN1530">
        <v>0</v>
      </c>
      <c r="AO1530">
        <v>0</v>
      </c>
      <c r="AP1530">
        <v>1</v>
      </c>
      <c r="AQ1530">
        <v>0.01</v>
      </c>
      <c r="AX1530">
        <v>7</v>
      </c>
      <c r="AY1530" s="1">
        <v>18</v>
      </c>
      <c r="AZ1530">
        <v>0</v>
      </c>
      <c r="BA1530">
        <v>0</v>
      </c>
      <c r="BB1530">
        <v>1</v>
      </c>
      <c r="BC1530" s="7">
        <v>0.32</v>
      </c>
      <c r="BD1530">
        <v>30</v>
      </c>
      <c r="BE1530">
        <v>0</v>
      </c>
      <c r="BF1530">
        <v>0</v>
      </c>
      <c r="BG1530">
        <v>0</v>
      </c>
      <c r="BH1530">
        <v>5</v>
      </c>
      <c r="BI1530">
        <v>2.4</v>
      </c>
      <c r="BJ1530">
        <v>31</v>
      </c>
      <c r="BK1530">
        <v>0</v>
      </c>
      <c r="BL1530">
        <v>0</v>
      </c>
      <c r="BM1530">
        <v>0</v>
      </c>
      <c r="BN1530">
        <v>5</v>
      </c>
      <c r="BO1530">
        <v>2.4</v>
      </c>
      <c r="BP1530">
        <v>36</v>
      </c>
      <c r="BQ1530">
        <v>0</v>
      </c>
      <c r="BR1530">
        <v>0</v>
      </c>
      <c r="BS1530">
        <v>0</v>
      </c>
      <c r="BT1530">
        <v>5</v>
      </c>
      <c r="BU1530">
        <v>1.6</v>
      </c>
    </row>
    <row r="1531" spans="1:73" ht="14.25" x14ac:dyDescent="0.15">
      <c r="A1531" s="12">
        <v>30528</v>
      </c>
      <c r="B1531">
        <v>7</v>
      </c>
      <c r="C1531" s="1">
        <v>47</v>
      </c>
      <c r="D1531">
        <v>0</v>
      </c>
      <c r="E1531">
        <v>0</v>
      </c>
      <c r="F1531">
        <v>1</v>
      </c>
      <c r="G1531" s="7">
        <v>0.05</v>
      </c>
      <c r="H1531">
        <v>12</v>
      </c>
      <c r="I1531">
        <v>0</v>
      </c>
      <c r="J1531">
        <v>0</v>
      </c>
      <c r="K1531">
        <v>0</v>
      </c>
      <c r="L1531">
        <v>1</v>
      </c>
      <c r="M1531">
        <v>2</v>
      </c>
      <c r="N1531" s="7">
        <v>9</v>
      </c>
      <c r="O1531" s="7">
        <v>0</v>
      </c>
      <c r="P1531" s="7">
        <v>0</v>
      </c>
      <c r="Q1531" s="7">
        <v>0</v>
      </c>
      <c r="R1531" s="7">
        <v>1</v>
      </c>
      <c r="S1531" s="7">
        <v>4.5</v>
      </c>
      <c r="T1531">
        <v>7</v>
      </c>
      <c r="U1531" s="1">
        <v>35</v>
      </c>
      <c r="V1531">
        <v>0</v>
      </c>
      <c r="W1531">
        <v>0</v>
      </c>
      <c r="X1531">
        <v>1</v>
      </c>
      <c r="Y1531">
        <v>0.16</v>
      </c>
      <c r="Z1531">
        <v>23</v>
      </c>
      <c r="AA1531">
        <v>0</v>
      </c>
      <c r="AB1531">
        <v>0</v>
      </c>
      <c r="AC1531">
        <v>0</v>
      </c>
      <c r="AD1531">
        <v>1</v>
      </c>
      <c r="AE1531">
        <v>0.05</v>
      </c>
      <c r="AF1531">
        <v>15</v>
      </c>
      <c r="AG1531">
        <v>0</v>
      </c>
      <c r="AH1531">
        <v>0</v>
      </c>
      <c r="AI1531">
        <v>0</v>
      </c>
      <c r="AJ1531">
        <v>1</v>
      </c>
      <c r="AK1531">
        <v>0.02</v>
      </c>
      <c r="AL1531">
        <v>16</v>
      </c>
      <c r="AM1531">
        <v>0</v>
      </c>
      <c r="AN1531">
        <v>0</v>
      </c>
      <c r="AO1531">
        <v>0</v>
      </c>
      <c r="AP1531">
        <v>1</v>
      </c>
      <c r="AQ1531">
        <v>0.01</v>
      </c>
      <c r="AX1531">
        <v>7</v>
      </c>
      <c r="AY1531" s="1">
        <v>19</v>
      </c>
      <c r="AZ1531">
        <v>0</v>
      </c>
      <c r="BA1531">
        <v>0</v>
      </c>
      <c r="BB1531">
        <v>1</v>
      </c>
      <c r="BC1531" s="7">
        <v>0.32</v>
      </c>
      <c r="BD1531">
        <v>30</v>
      </c>
      <c r="BE1531">
        <v>0</v>
      </c>
      <c r="BF1531">
        <v>0</v>
      </c>
      <c r="BG1531">
        <v>0</v>
      </c>
      <c r="BH1531">
        <v>5</v>
      </c>
      <c r="BI1531">
        <v>2.4</v>
      </c>
      <c r="BJ1531">
        <v>31</v>
      </c>
      <c r="BK1531">
        <v>0</v>
      </c>
      <c r="BL1531">
        <v>0</v>
      </c>
      <c r="BM1531">
        <v>0</v>
      </c>
      <c r="BN1531">
        <v>5</v>
      </c>
      <c r="BO1531">
        <v>2.4</v>
      </c>
      <c r="BP1531">
        <v>36</v>
      </c>
      <c r="BQ1531">
        <v>0</v>
      </c>
      <c r="BR1531">
        <v>0</v>
      </c>
      <c r="BS1531">
        <v>0</v>
      </c>
      <c r="BT1531">
        <v>5</v>
      </c>
      <c r="BU1531">
        <v>1.6</v>
      </c>
    </row>
    <row r="1532" spans="1:73" ht="14.25" x14ac:dyDescent="0.15">
      <c r="A1532" s="12">
        <v>30529</v>
      </c>
      <c r="B1532">
        <v>7</v>
      </c>
      <c r="C1532" s="1">
        <v>48</v>
      </c>
      <c r="D1532">
        <v>0</v>
      </c>
      <c r="E1532">
        <v>0</v>
      </c>
      <c r="F1532">
        <v>1</v>
      </c>
      <c r="G1532" s="7">
        <v>0.05</v>
      </c>
      <c r="H1532">
        <v>12</v>
      </c>
      <c r="I1532">
        <v>0</v>
      </c>
      <c r="J1532">
        <v>0</v>
      </c>
      <c r="K1532">
        <v>0</v>
      </c>
      <c r="L1532">
        <v>1</v>
      </c>
      <c r="M1532">
        <v>2</v>
      </c>
      <c r="N1532" s="7">
        <v>9</v>
      </c>
      <c r="O1532" s="7">
        <v>0</v>
      </c>
      <c r="P1532" s="7">
        <v>0</v>
      </c>
      <c r="Q1532" s="7">
        <v>0</v>
      </c>
      <c r="R1532" s="7">
        <v>1</v>
      </c>
      <c r="S1532" s="7">
        <v>4.5</v>
      </c>
      <c r="T1532">
        <v>7</v>
      </c>
      <c r="U1532" s="1">
        <v>36</v>
      </c>
      <c r="V1532">
        <v>0</v>
      </c>
      <c r="W1532">
        <v>0</v>
      </c>
      <c r="X1532">
        <v>1</v>
      </c>
      <c r="Y1532">
        <v>0.16</v>
      </c>
      <c r="Z1532">
        <v>23</v>
      </c>
      <c r="AA1532">
        <v>0</v>
      </c>
      <c r="AB1532">
        <v>0</v>
      </c>
      <c r="AC1532">
        <v>0</v>
      </c>
      <c r="AD1532">
        <v>1</v>
      </c>
      <c r="AE1532">
        <v>0.05</v>
      </c>
      <c r="AF1532">
        <v>15</v>
      </c>
      <c r="AG1532">
        <v>0</v>
      </c>
      <c r="AH1532">
        <v>0</v>
      </c>
      <c r="AI1532">
        <v>0</v>
      </c>
      <c r="AJ1532">
        <v>1</v>
      </c>
      <c r="AK1532">
        <v>0.02</v>
      </c>
      <c r="AL1532">
        <v>16</v>
      </c>
      <c r="AM1532">
        <v>0</v>
      </c>
      <c r="AN1532">
        <v>0</v>
      </c>
      <c r="AO1532">
        <v>0</v>
      </c>
      <c r="AP1532">
        <v>1</v>
      </c>
      <c r="AQ1532">
        <v>0.01</v>
      </c>
      <c r="AX1532">
        <v>7</v>
      </c>
      <c r="AY1532" s="1">
        <v>20</v>
      </c>
      <c r="AZ1532">
        <v>0</v>
      </c>
      <c r="BA1532">
        <v>0</v>
      </c>
      <c r="BB1532">
        <v>1</v>
      </c>
      <c r="BC1532" s="7">
        <v>0.32</v>
      </c>
      <c r="BD1532">
        <v>30</v>
      </c>
      <c r="BE1532">
        <v>0</v>
      </c>
      <c r="BF1532">
        <v>0</v>
      </c>
      <c r="BG1532">
        <v>0</v>
      </c>
      <c r="BH1532">
        <v>5</v>
      </c>
      <c r="BI1532">
        <v>2.4</v>
      </c>
      <c r="BJ1532">
        <v>31</v>
      </c>
      <c r="BK1532">
        <v>0</v>
      </c>
      <c r="BL1532">
        <v>0</v>
      </c>
      <c r="BM1532">
        <v>0</v>
      </c>
      <c r="BN1532">
        <v>5</v>
      </c>
      <c r="BO1532">
        <v>2.4</v>
      </c>
      <c r="BP1532">
        <v>36</v>
      </c>
      <c r="BQ1532">
        <v>0</v>
      </c>
      <c r="BR1532">
        <v>0</v>
      </c>
      <c r="BS1532">
        <v>0</v>
      </c>
      <c r="BT1532">
        <v>5</v>
      </c>
      <c r="BU1532">
        <v>1.6</v>
      </c>
    </row>
    <row r="1533" spans="1:73" ht="14.25" x14ac:dyDescent="0.15">
      <c r="A1533" s="12">
        <v>30530</v>
      </c>
      <c r="B1533">
        <v>7</v>
      </c>
      <c r="C1533" s="1">
        <v>0</v>
      </c>
      <c r="D1533">
        <v>5</v>
      </c>
      <c r="E1533">
        <v>1</v>
      </c>
      <c r="F1533">
        <v>1</v>
      </c>
      <c r="G1533" s="7">
        <v>0.05</v>
      </c>
      <c r="H1533">
        <v>12</v>
      </c>
      <c r="I1533">
        <v>0</v>
      </c>
      <c r="J1533">
        <v>0</v>
      </c>
      <c r="K1533">
        <v>0</v>
      </c>
      <c r="L1533">
        <v>1</v>
      </c>
      <c r="M1533">
        <v>2</v>
      </c>
      <c r="N1533" s="7">
        <v>9</v>
      </c>
      <c r="O1533" s="7">
        <v>0</v>
      </c>
      <c r="P1533" s="7">
        <v>0</v>
      </c>
      <c r="Q1533" s="7">
        <v>0</v>
      </c>
      <c r="R1533" s="7">
        <v>1</v>
      </c>
      <c r="S1533" s="7">
        <v>4.5</v>
      </c>
      <c r="T1533">
        <v>7</v>
      </c>
      <c r="U1533" s="1">
        <v>0</v>
      </c>
      <c r="V1533">
        <v>4</v>
      </c>
      <c r="W1533">
        <v>2</v>
      </c>
      <c r="X1533">
        <v>1</v>
      </c>
      <c r="Y1533">
        <v>0.16</v>
      </c>
      <c r="Z1533">
        <v>23</v>
      </c>
      <c r="AA1533">
        <v>0</v>
      </c>
      <c r="AB1533">
        <v>0</v>
      </c>
      <c r="AC1533">
        <v>0</v>
      </c>
      <c r="AD1533">
        <v>1</v>
      </c>
      <c r="AE1533">
        <v>0.05</v>
      </c>
      <c r="AF1533">
        <v>15</v>
      </c>
      <c r="AG1533">
        <v>0</v>
      </c>
      <c r="AH1533">
        <v>0</v>
      </c>
      <c r="AI1533">
        <v>0</v>
      </c>
      <c r="AJ1533">
        <v>1</v>
      </c>
      <c r="AK1533">
        <v>0.02</v>
      </c>
      <c r="AL1533">
        <v>16</v>
      </c>
      <c r="AM1533">
        <v>0</v>
      </c>
      <c r="AN1533">
        <v>0</v>
      </c>
      <c r="AO1533">
        <v>0</v>
      </c>
      <c r="AP1533">
        <v>1</v>
      </c>
      <c r="AQ1533">
        <v>0.01</v>
      </c>
      <c r="AR1533">
        <v>6</v>
      </c>
      <c r="AS1533">
        <v>2</v>
      </c>
      <c r="AT1533">
        <v>1</v>
      </c>
      <c r="AU1533">
        <v>5</v>
      </c>
      <c r="AV1533">
        <v>1</v>
      </c>
      <c r="AW1533">
        <v>0.05</v>
      </c>
      <c r="AX1533">
        <v>7</v>
      </c>
      <c r="AY1533" s="1">
        <v>0</v>
      </c>
      <c r="AZ1533">
        <v>3</v>
      </c>
      <c r="BA1533">
        <v>1</v>
      </c>
      <c r="BB1533">
        <v>1</v>
      </c>
      <c r="BC1533" s="7">
        <v>0.32</v>
      </c>
      <c r="BD1533">
        <v>30</v>
      </c>
      <c r="BE1533">
        <v>0</v>
      </c>
      <c r="BF1533">
        <v>0</v>
      </c>
      <c r="BG1533">
        <v>0</v>
      </c>
      <c r="BH1533">
        <v>5</v>
      </c>
      <c r="BI1533">
        <v>2.4</v>
      </c>
      <c r="BJ1533">
        <v>31</v>
      </c>
      <c r="BK1533">
        <v>0</v>
      </c>
      <c r="BL1533">
        <v>0</v>
      </c>
      <c r="BM1533">
        <v>0</v>
      </c>
      <c r="BN1533">
        <v>5</v>
      </c>
      <c r="BO1533">
        <v>2.4</v>
      </c>
      <c r="BP1533">
        <v>36</v>
      </c>
      <c r="BQ1533">
        <v>0</v>
      </c>
      <c r="BR1533">
        <v>0</v>
      </c>
      <c r="BS1533">
        <v>0</v>
      </c>
      <c r="BT1533">
        <v>5</v>
      </c>
      <c r="BU1533">
        <v>1.6</v>
      </c>
    </row>
    <row r="1534" spans="1:73" ht="14.25" x14ac:dyDescent="0.15">
      <c r="A1534" s="12">
        <v>30531</v>
      </c>
      <c r="B1534">
        <v>7</v>
      </c>
      <c r="C1534" s="1">
        <v>45</v>
      </c>
      <c r="D1534">
        <v>0</v>
      </c>
      <c r="E1534">
        <v>0</v>
      </c>
      <c r="F1534">
        <v>1</v>
      </c>
      <c r="G1534" s="7">
        <v>0.05</v>
      </c>
      <c r="H1534">
        <v>12</v>
      </c>
      <c r="I1534">
        <v>0</v>
      </c>
      <c r="J1534">
        <v>0</v>
      </c>
      <c r="K1534">
        <v>0</v>
      </c>
      <c r="L1534">
        <v>1</v>
      </c>
      <c r="M1534">
        <v>2</v>
      </c>
      <c r="N1534" s="7">
        <v>9</v>
      </c>
      <c r="O1534" s="7">
        <v>0</v>
      </c>
      <c r="P1534" s="7">
        <v>0</v>
      </c>
      <c r="Q1534" s="7">
        <v>0</v>
      </c>
      <c r="R1534" s="7">
        <v>1</v>
      </c>
      <c r="S1534" s="7">
        <v>4.5</v>
      </c>
      <c r="T1534">
        <v>7</v>
      </c>
      <c r="U1534" s="1">
        <v>33</v>
      </c>
      <c r="V1534">
        <v>0</v>
      </c>
      <c r="W1534">
        <v>0</v>
      </c>
      <c r="X1534">
        <v>1</v>
      </c>
      <c r="Y1534">
        <v>0.16</v>
      </c>
      <c r="Z1534">
        <v>23</v>
      </c>
      <c r="AA1534">
        <v>0</v>
      </c>
      <c r="AB1534">
        <v>0</v>
      </c>
      <c r="AC1534">
        <v>0</v>
      </c>
      <c r="AD1534">
        <v>1</v>
      </c>
      <c r="AE1534">
        <v>0.05</v>
      </c>
      <c r="AF1534">
        <v>15</v>
      </c>
      <c r="AG1534">
        <v>0</v>
      </c>
      <c r="AH1534">
        <v>0</v>
      </c>
      <c r="AI1534">
        <v>0</v>
      </c>
      <c r="AJ1534">
        <v>1</v>
      </c>
      <c r="AK1534">
        <v>0.02</v>
      </c>
      <c r="AL1534">
        <v>16</v>
      </c>
      <c r="AM1534">
        <v>0</v>
      </c>
      <c r="AN1534">
        <v>0</v>
      </c>
      <c r="AO1534">
        <v>0</v>
      </c>
      <c r="AP1534">
        <v>1</v>
      </c>
      <c r="AQ1534">
        <v>0.01</v>
      </c>
      <c r="AX1534">
        <v>7</v>
      </c>
      <c r="AY1534" s="1">
        <v>17</v>
      </c>
      <c r="AZ1534">
        <v>0</v>
      </c>
      <c r="BA1534">
        <v>0</v>
      </c>
      <c r="BB1534">
        <v>1</v>
      </c>
      <c r="BC1534" s="7">
        <v>0.32</v>
      </c>
      <c r="BD1534">
        <v>30</v>
      </c>
      <c r="BE1534">
        <v>0</v>
      </c>
      <c r="BF1534">
        <v>0</v>
      </c>
      <c r="BG1534">
        <v>0</v>
      </c>
      <c r="BH1534">
        <v>5</v>
      </c>
      <c r="BI1534">
        <v>2.4</v>
      </c>
      <c r="BJ1534">
        <v>31</v>
      </c>
      <c r="BK1534">
        <v>0</v>
      </c>
      <c r="BL1534">
        <v>0</v>
      </c>
      <c r="BM1534">
        <v>0</v>
      </c>
      <c r="BN1534">
        <v>5</v>
      </c>
      <c r="BO1534">
        <v>2.4</v>
      </c>
      <c r="BP1534">
        <v>36</v>
      </c>
      <c r="BQ1534">
        <v>0</v>
      </c>
      <c r="BR1534">
        <v>0</v>
      </c>
      <c r="BS1534">
        <v>0</v>
      </c>
      <c r="BT1534">
        <v>5</v>
      </c>
      <c r="BU1534">
        <v>1.6</v>
      </c>
    </row>
    <row r="1535" spans="1:73" ht="14.25" x14ac:dyDescent="0.15">
      <c r="A1535" s="12">
        <v>30532</v>
      </c>
      <c r="B1535">
        <v>7</v>
      </c>
      <c r="C1535" s="1">
        <v>46</v>
      </c>
      <c r="D1535">
        <v>0</v>
      </c>
      <c r="E1535">
        <v>0</v>
      </c>
      <c r="F1535">
        <v>1</v>
      </c>
      <c r="G1535" s="7">
        <v>0.05</v>
      </c>
      <c r="H1535">
        <v>12</v>
      </c>
      <c r="I1535">
        <v>0</v>
      </c>
      <c r="J1535">
        <v>0</v>
      </c>
      <c r="K1535">
        <v>0</v>
      </c>
      <c r="L1535">
        <v>1</v>
      </c>
      <c r="M1535">
        <v>2</v>
      </c>
      <c r="N1535" s="7">
        <v>9</v>
      </c>
      <c r="O1535" s="7">
        <v>0</v>
      </c>
      <c r="P1535" s="7">
        <v>0</v>
      </c>
      <c r="Q1535" s="7">
        <v>0</v>
      </c>
      <c r="R1535" s="7">
        <v>1</v>
      </c>
      <c r="S1535" s="7">
        <v>4.5</v>
      </c>
      <c r="T1535">
        <v>7</v>
      </c>
      <c r="U1535" s="1">
        <v>34</v>
      </c>
      <c r="V1535">
        <v>0</v>
      </c>
      <c r="W1535">
        <v>0</v>
      </c>
      <c r="X1535">
        <v>1</v>
      </c>
      <c r="Y1535">
        <v>0.16</v>
      </c>
      <c r="Z1535">
        <v>23</v>
      </c>
      <c r="AA1535">
        <v>0</v>
      </c>
      <c r="AB1535">
        <v>0</v>
      </c>
      <c r="AC1535">
        <v>0</v>
      </c>
      <c r="AD1535">
        <v>1</v>
      </c>
      <c r="AE1535">
        <v>0.05</v>
      </c>
      <c r="AF1535">
        <v>15</v>
      </c>
      <c r="AG1535">
        <v>0</v>
      </c>
      <c r="AH1535">
        <v>0</v>
      </c>
      <c r="AI1535">
        <v>0</v>
      </c>
      <c r="AJ1535">
        <v>1</v>
      </c>
      <c r="AK1535">
        <v>0.02</v>
      </c>
      <c r="AL1535">
        <v>16</v>
      </c>
      <c r="AM1535">
        <v>0</v>
      </c>
      <c r="AN1535">
        <v>0</v>
      </c>
      <c r="AO1535">
        <v>0</v>
      </c>
      <c r="AP1535">
        <v>1</v>
      </c>
      <c r="AQ1535">
        <v>0.01</v>
      </c>
      <c r="AX1535">
        <v>7</v>
      </c>
      <c r="AY1535" s="1">
        <v>18</v>
      </c>
      <c r="AZ1535">
        <v>0</v>
      </c>
      <c r="BA1535">
        <v>0</v>
      </c>
      <c r="BB1535">
        <v>1</v>
      </c>
      <c r="BC1535" s="7">
        <v>0.32</v>
      </c>
      <c r="BD1535">
        <v>30</v>
      </c>
      <c r="BE1535">
        <v>0</v>
      </c>
      <c r="BF1535">
        <v>0</v>
      </c>
      <c r="BG1535">
        <v>0</v>
      </c>
      <c r="BH1535">
        <v>5</v>
      </c>
      <c r="BI1535">
        <v>2.4</v>
      </c>
      <c r="BJ1535">
        <v>31</v>
      </c>
      <c r="BK1535">
        <v>0</v>
      </c>
      <c r="BL1535">
        <v>0</v>
      </c>
      <c r="BM1535">
        <v>0</v>
      </c>
      <c r="BN1535">
        <v>5</v>
      </c>
      <c r="BO1535">
        <v>2.4</v>
      </c>
      <c r="BP1535">
        <v>36</v>
      </c>
      <c r="BQ1535">
        <v>0</v>
      </c>
      <c r="BR1535">
        <v>0</v>
      </c>
      <c r="BS1535">
        <v>0</v>
      </c>
      <c r="BT1535">
        <v>5</v>
      </c>
      <c r="BU1535">
        <v>1.6</v>
      </c>
    </row>
    <row r="1536" spans="1:73" ht="14.25" x14ac:dyDescent="0.15">
      <c r="A1536" s="12">
        <v>30533</v>
      </c>
      <c r="B1536">
        <v>7</v>
      </c>
      <c r="C1536" s="1">
        <v>47</v>
      </c>
      <c r="D1536">
        <v>0</v>
      </c>
      <c r="E1536">
        <v>0</v>
      </c>
      <c r="F1536">
        <v>1</v>
      </c>
      <c r="G1536" s="7">
        <v>0.05</v>
      </c>
      <c r="H1536">
        <v>12</v>
      </c>
      <c r="I1536">
        <v>0</v>
      </c>
      <c r="J1536">
        <v>0</v>
      </c>
      <c r="K1536">
        <v>0</v>
      </c>
      <c r="L1536">
        <v>1</v>
      </c>
      <c r="M1536">
        <v>2</v>
      </c>
      <c r="N1536" s="7">
        <v>9</v>
      </c>
      <c r="O1536" s="7">
        <v>0</v>
      </c>
      <c r="P1536" s="7">
        <v>0</v>
      </c>
      <c r="Q1536" s="7">
        <v>0</v>
      </c>
      <c r="R1536" s="7">
        <v>1</v>
      </c>
      <c r="S1536" s="7">
        <v>4.5</v>
      </c>
      <c r="T1536">
        <v>7</v>
      </c>
      <c r="U1536" s="1">
        <v>35</v>
      </c>
      <c r="V1536">
        <v>0</v>
      </c>
      <c r="W1536">
        <v>0</v>
      </c>
      <c r="X1536">
        <v>1</v>
      </c>
      <c r="Y1536">
        <v>0.16</v>
      </c>
      <c r="Z1536">
        <v>23</v>
      </c>
      <c r="AA1536">
        <v>0</v>
      </c>
      <c r="AB1536">
        <v>0</v>
      </c>
      <c r="AC1536">
        <v>0</v>
      </c>
      <c r="AD1536">
        <v>1</v>
      </c>
      <c r="AE1536">
        <v>0.05</v>
      </c>
      <c r="AF1536">
        <v>15</v>
      </c>
      <c r="AG1536">
        <v>0</v>
      </c>
      <c r="AH1536">
        <v>0</v>
      </c>
      <c r="AI1536">
        <v>0</v>
      </c>
      <c r="AJ1536">
        <v>1</v>
      </c>
      <c r="AK1536">
        <v>0.02</v>
      </c>
      <c r="AL1536">
        <v>16</v>
      </c>
      <c r="AM1536">
        <v>0</v>
      </c>
      <c r="AN1536">
        <v>0</v>
      </c>
      <c r="AO1536">
        <v>0</v>
      </c>
      <c r="AP1536">
        <v>1</v>
      </c>
      <c r="AQ1536">
        <v>0.01</v>
      </c>
      <c r="AX1536">
        <v>7</v>
      </c>
      <c r="AY1536" s="1">
        <v>19</v>
      </c>
      <c r="AZ1536">
        <v>0</v>
      </c>
      <c r="BA1536">
        <v>0</v>
      </c>
      <c r="BB1536">
        <v>1</v>
      </c>
      <c r="BC1536" s="7">
        <v>0.32</v>
      </c>
      <c r="BD1536">
        <v>30</v>
      </c>
      <c r="BE1536">
        <v>0</v>
      </c>
      <c r="BF1536">
        <v>0</v>
      </c>
      <c r="BG1536">
        <v>0</v>
      </c>
      <c r="BH1536">
        <v>5</v>
      </c>
      <c r="BI1536">
        <v>2.4</v>
      </c>
      <c r="BJ1536">
        <v>31</v>
      </c>
      <c r="BK1536">
        <v>0</v>
      </c>
      <c r="BL1536">
        <v>0</v>
      </c>
      <c r="BM1536">
        <v>0</v>
      </c>
      <c r="BN1536">
        <v>5</v>
      </c>
      <c r="BO1536">
        <v>2.4</v>
      </c>
      <c r="BP1536">
        <v>36</v>
      </c>
      <c r="BQ1536">
        <v>0</v>
      </c>
      <c r="BR1536">
        <v>0</v>
      </c>
      <c r="BS1536">
        <v>0</v>
      </c>
      <c r="BT1536">
        <v>5</v>
      </c>
      <c r="BU1536">
        <v>1.6</v>
      </c>
    </row>
    <row r="1537" spans="1:73" ht="14.25" x14ac:dyDescent="0.15">
      <c r="A1537" s="12">
        <v>30534</v>
      </c>
      <c r="B1537">
        <v>7</v>
      </c>
      <c r="C1537" s="1">
        <v>48</v>
      </c>
      <c r="D1537">
        <v>0</v>
      </c>
      <c r="E1537">
        <v>0</v>
      </c>
      <c r="F1537">
        <v>1</v>
      </c>
      <c r="G1537" s="7">
        <v>0.05</v>
      </c>
      <c r="H1537">
        <v>12</v>
      </c>
      <c r="I1537">
        <v>0</v>
      </c>
      <c r="J1537">
        <v>0</v>
      </c>
      <c r="K1537">
        <v>0</v>
      </c>
      <c r="L1537">
        <v>1</v>
      </c>
      <c r="M1537">
        <v>2</v>
      </c>
      <c r="N1537" s="7">
        <v>9</v>
      </c>
      <c r="O1537" s="7">
        <v>0</v>
      </c>
      <c r="P1537" s="7">
        <v>0</v>
      </c>
      <c r="Q1537" s="7">
        <v>0</v>
      </c>
      <c r="R1537" s="7">
        <v>1</v>
      </c>
      <c r="S1537" s="7">
        <v>4.5</v>
      </c>
      <c r="T1537">
        <v>7</v>
      </c>
      <c r="U1537" s="1">
        <v>36</v>
      </c>
      <c r="V1537">
        <v>0</v>
      </c>
      <c r="W1537">
        <v>0</v>
      </c>
      <c r="X1537">
        <v>1</v>
      </c>
      <c r="Y1537">
        <v>0.16</v>
      </c>
      <c r="Z1537">
        <v>23</v>
      </c>
      <c r="AA1537">
        <v>0</v>
      </c>
      <c r="AB1537">
        <v>0</v>
      </c>
      <c r="AC1537">
        <v>0</v>
      </c>
      <c r="AD1537">
        <v>1</v>
      </c>
      <c r="AE1537">
        <v>0.05</v>
      </c>
      <c r="AF1537">
        <v>15</v>
      </c>
      <c r="AG1537">
        <v>0</v>
      </c>
      <c r="AH1537">
        <v>0</v>
      </c>
      <c r="AI1537">
        <v>0</v>
      </c>
      <c r="AJ1537">
        <v>1</v>
      </c>
      <c r="AK1537">
        <v>0.02</v>
      </c>
      <c r="AL1537">
        <v>16</v>
      </c>
      <c r="AM1537">
        <v>0</v>
      </c>
      <c r="AN1537">
        <v>0</v>
      </c>
      <c r="AO1537">
        <v>0</v>
      </c>
      <c r="AP1537">
        <v>1</v>
      </c>
      <c r="AQ1537">
        <v>0.01</v>
      </c>
      <c r="AX1537">
        <v>7</v>
      </c>
      <c r="AY1537" s="1">
        <v>20</v>
      </c>
      <c r="AZ1537">
        <v>0</v>
      </c>
      <c r="BA1537">
        <v>0</v>
      </c>
      <c r="BB1537">
        <v>1</v>
      </c>
      <c r="BC1537" s="7">
        <v>0.32</v>
      </c>
      <c r="BD1537">
        <v>30</v>
      </c>
      <c r="BE1537">
        <v>0</v>
      </c>
      <c r="BF1537">
        <v>0</v>
      </c>
      <c r="BG1537">
        <v>0</v>
      </c>
      <c r="BH1537">
        <v>5</v>
      </c>
      <c r="BI1537">
        <v>2.4</v>
      </c>
      <c r="BJ1537">
        <v>31</v>
      </c>
      <c r="BK1537">
        <v>0</v>
      </c>
      <c r="BL1537">
        <v>0</v>
      </c>
      <c r="BM1537">
        <v>0</v>
      </c>
      <c r="BN1537">
        <v>5</v>
      </c>
      <c r="BO1537">
        <v>2.4</v>
      </c>
      <c r="BP1537">
        <v>36</v>
      </c>
      <c r="BQ1537">
        <v>0</v>
      </c>
      <c r="BR1537">
        <v>0</v>
      </c>
      <c r="BS1537">
        <v>0</v>
      </c>
      <c r="BT1537">
        <v>5</v>
      </c>
      <c r="BU1537">
        <v>1.6</v>
      </c>
    </row>
    <row r="1538" spans="1:73" ht="14.25" x14ac:dyDescent="0.15">
      <c r="A1538" s="12">
        <v>30535</v>
      </c>
      <c r="B1538">
        <v>7</v>
      </c>
      <c r="C1538" s="1">
        <v>0</v>
      </c>
      <c r="D1538">
        <v>5</v>
      </c>
      <c r="E1538">
        <v>1</v>
      </c>
      <c r="F1538">
        <v>1</v>
      </c>
      <c r="G1538" s="7">
        <v>0.05</v>
      </c>
      <c r="H1538">
        <v>12</v>
      </c>
      <c r="I1538">
        <v>0</v>
      </c>
      <c r="J1538">
        <v>0</v>
      </c>
      <c r="K1538">
        <v>0</v>
      </c>
      <c r="L1538">
        <v>1</v>
      </c>
      <c r="M1538">
        <v>2</v>
      </c>
      <c r="N1538" s="7">
        <v>9</v>
      </c>
      <c r="O1538" s="7">
        <v>0</v>
      </c>
      <c r="P1538" s="7">
        <v>0</v>
      </c>
      <c r="Q1538" s="7">
        <v>0</v>
      </c>
      <c r="R1538" s="7">
        <v>1</v>
      </c>
      <c r="S1538" s="7">
        <v>4.5</v>
      </c>
      <c r="T1538">
        <v>7</v>
      </c>
      <c r="U1538" s="1">
        <v>0</v>
      </c>
      <c r="V1538">
        <v>4</v>
      </c>
      <c r="W1538">
        <v>2</v>
      </c>
      <c r="X1538">
        <v>1</v>
      </c>
      <c r="Y1538">
        <v>0.16</v>
      </c>
      <c r="Z1538">
        <v>23</v>
      </c>
      <c r="AA1538">
        <v>0</v>
      </c>
      <c r="AB1538">
        <v>0</v>
      </c>
      <c r="AC1538">
        <v>0</v>
      </c>
      <c r="AD1538">
        <v>1</v>
      </c>
      <c r="AE1538">
        <v>0.05</v>
      </c>
      <c r="AF1538">
        <v>15</v>
      </c>
      <c r="AG1538">
        <v>0</v>
      </c>
      <c r="AH1538">
        <v>0</v>
      </c>
      <c r="AI1538">
        <v>0</v>
      </c>
      <c r="AJ1538">
        <v>1</v>
      </c>
      <c r="AK1538">
        <v>0.02</v>
      </c>
      <c r="AL1538">
        <v>16</v>
      </c>
      <c r="AM1538">
        <v>0</v>
      </c>
      <c r="AN1538">
        <v>0</v>
      </c>
      <c r="AO1538">
        <v>0</v>
      </c>
      <c r="AP1538">
        <v>1</v>
      </c>
      <c r="AQ1538">
        <v>0.01</v>
      </c>
      <c r="AR1538">
        <v>6</v>
      </c>
      <c r="AS1538">
        <v>2</v>
      </c>
      <c r="AT1538">
        <v>2</v>
      </c>
      <c r="AU1538">
        <v>5</v>
      </c>
      <c r="AV1538">
        <v>1</v>
      </c>
      <c r="AW1538">
        <v>0.05</v>
      </c>
      <c r="AX1538">
        <v>7</v>
      </c>
      <c r="AY1538" s="1">
        <v>0</v>
      </c>
      <c r="AZ1538">
        <v>3</v>
      </c>
      <c r="BA1538">
        <v>1</v>
      </c>
      <c r="BB1538">
        <v>1</v>
      </c>
      <c r="BC1538" s="7">
        <v>0.32</v>
      </c>
      <c r="BD1538">
        <v>30</v>
      </c>
      <c r="BE1538">
        <v>0</v>
      </c>
      <c r="BF1538">
        <v>0</v>
      </c>
      <c r="BG1538">
        <v>0</v>
      </c>
      <c r="BH1538">
        <v>5</v>
      </c>
      <c r="BI1538">
        <v>2.4</v>
      </c>
      <c r="BJ1538">
        <v>31</v>
      </c>
      <c r="BK1538">
        <v>0</v>
      </c>
      <c r="BL1538">
        <v>0</v>
      </c>
      <c r="BM1538">
        <v>0</v>
      </c>
      <c r="BN1538">
        <v>5</v>
      </c>
      <c r="BO1538">
        <v>2.4</v>
      </c>
      <c r="BP1538">
        <v>36</v>
      </c>
      <c r="BQ1538">
        <v>0</v>
      </c>
      <c r="BR1538">
        <v>0</v>
      </c>
      <c r="BS1538">
        <v>0</v>
      </c>
      <c r="BT1538">
        <v>5</v>
      </c>
      <c r="BU1538">
        <v>1.6</v>
      </c>
    </row>
    <row r="1539" spans="1:73" ht="14.25" x14ac:dyDescent="0.15">
      <c r="A1539" s="12">
        <v>30536</v>
      </c>
      <c r="B1539">
        <v>7</v>
      </c>
      <c r="C1539" s="1">
        <v>45</v>
      </c>
      <c r="D1539">
        <v>0</v>
      </c>
      <c r="E1539">
        <v>0</v>
      </c>
      <c r="F1539">
        <v>1</v>
      </c>
      <c r="G1539" s="7">
        <v>0.05</v>
      </c>
      <c r="H1539">
        <v>12</v>
      </c>
      <c r="I1539">
        <v>0</v>
      </c>
      <c r="J1539">
        <v>0</v>
      </c>
      <c r="K1539">
        <v>0</v>
      </c>
      <c r="L1539">
        <v>1</v>
      </c>
      <c r="M1539">
        <v>2</v>
      </c>
      <c r="N1539" s="7">
        <v>9</v>
      </c>
      <c r="O1539" s="7">
        <v>0</v>
      </c>
      <c r="P1539" s="7">
        <v>0</v>
      </c>
      <c r="Q1539" s="7">
        <v>0</v>
      </c>
      <c r="R1539" s="7">
        <v>1</v>
      </c>
      <c r="S1539" s="7">
        <v>4.5</v>
      </c>
      <c r="T1539">
        <v>7</v>
      </c>
      <c r="U1539" s="1">
        <v>33</v>
      </c>
      <c r="V1539">
        <v>0</v>
      </c>
      <c r="W1539">
        <v>0</v>
      </c>
      <c r="X1539">
        <v>1</v>
      </c>
      <c r="Y1539">
        <v>0.16</v>
      </c>
      <c r="Z1539">
        <v>23</v>
      </c>
      <c r="AA1539">
        <v>0</v>
      </c>
      <c r="AB1539">
        <v>0</v>
      </c>
      <c r="AC1539">
        <v>0</v>
      </c>
      <c r="AD1539">
        <v>1</v>
      </c>
      <c r="AE1539">
        <v>0.05</v>
      </c>
      <c r="AF1539">
        <v>15</v>
      </c>
      <c r="AG1539">
        <v>0</v>
      </c>
      <c r="AH1539">
        <v>0</v>
      </c>
      <c r="AI1539">
        <v>0</v>
      </c>
      <c r="AJ1539">
        <v>1</v>
      </c>
      <c r="AK1539">
        <v>0.02</v>
      </c>
      <c r="AL1539">
        <v>16</v>
      </c>
      <c r="AM1539">
        <v>0</v>
      </c>
      <c r="AN1539">
        <v>0</v>
      </c>
      <c r="AO1539">
        <v>0</v>
      </c>
      <c r="AP1539">
        <v>1</v>
      </c>
      <c r="AQ1539">
        <v>0.01</v>
      </c>
      <c r="AX1539">
        <v>7</v>
      </c>
      <c r="AY1539" s="1">
        <v>17</v>
      </c>
      <c r="AZ1539">
        <v>0</v>
      </c>
      <c r="BA1539">
        <v>0</v>
      </c>
      <c r="BB1539">
        <v>1</v>
      </c>
      <c r="BC1539" s="7">
        <v>0.32</v>
      </c>
      <c r="BD1539">
        <v>30</v>
      </c>
      <c r="BE1539">
        <v>0</v>
      </c>
      <c r="BF1539">
        <v>0</v>
      </c>
      <c r="BG1539">
        <v>0</v>
      </c>
      <c r="BH1539">
        <v>5</v>
      </c>
      <c r="BI1539">
        <v>2.4</v>
      </c>
      <c r="BJ1539">
        <v>31</v>
      </c>
      <c r="BK1539">
        <v>0</v>
      </c>
      <c r="BL1539">
        <v>0</v>
      </c>
      <c r="BM1539">
        <v>0</v>
      </c>
      <c r="BN1539">
        <v>5</v>
      </c>
      <c r="BO1539">
        <v>2.4</v>
      </c>
      <c r="BP1539">
        <v>36</v>
      </c>
      <c r="BQ1539">
        <v>0</v>
      </c>
      <c r="BR1539">
        <v>0</v>
      </c>
      <c r="BS1539">
        <v>0</v>
      </c>
      <c r="BT1539">
        <v>5</v>
      </c>
      <c r="BU1539">
        <v>1.6</v>
      </c>
    </row>
    <row r="1540" spans="1:73" ht="14.25" x14ac:dyDescent="0.15">
      <c r="A1540" s="12">
        <v>30537</v>
      </c>
      <c r="B1540">
        <v>7</v>
      </c>
      <c r="C1540" s="1">
        <v>46</v>
      </c>
      <c r="D1540">
        <v>0</v>
      </c>
      <c r="E1540">
        <v>0</v>
      </c>
      <c r="F1540">
        <v>1</v>
      </c>
      <c r="G1540" s="7">
        <v>0.05</v>
      </c>
      <c r="H1540">
        <v>12</v>
      </c>
      <c r="I1540">
        <v>0</v>
      </c>
      <c r="J1540">
        <v>0</v>
      </c>
      <c r="K1540">
        <v>0</v>
      </c>
      <c r="L1540">
        <v>1</v>
      </c>
      <c r="M1540">
        <v>2</v>
      </c>
      <c r="N1540" s="7">
        <v>9</v>
      </c>
      <c r="O1540" s="7">
        <v>0</v>
      </c>
      <c r="P1540" s="7">
        <v>0</v>
      </c>
      <c r="Q1540" s="7">
        <v>0</v>
      </c>
      <c r="R1540" s="7">
        <v>1</v>
      </c>
      <c r="S1540" s="7">
        <v>4.5</v>
      </c>
      <c r="T1540">
        <v>7</v>
      </c>
      <c r="U1540" s="1">
        <v>34</v>
      </c>
      <c r="V1540">
        <v>0</v>
      </c>
      <c r="W1540">
        <v>0</v>
      </c>
      <c r="X1540">
        <v>1</v>
      </c>
      <c r="Y1540">
        <v>0.16</v>
      </c>
      <c r="Z1540">
        <v>23</v>
      </c>
      <c r="AA1540">
        <v>0</v>
      </c>
      <c r="AB1540">
        <v>0</v>
      </c>
      <c r="AC1540">
        <v>0</v>
      </c>
      <c r="AD1540">
        <v>1</v>
      </c>
      <c r="AE1540">
        <v>0.05</v>
      </c>
      <c r="AF1540">
        <v>15</v>
      </c>
      <c r="AG1540">
        <v>0</v>
      </c>
      <c r="AH1540">
        <v>0</v>
      </c>
      <c r="AI1540">
        <v>0</v>
      </c>
      <c r="AJ1540">
        <v>1</v>
      </c>
      <c r="AK1540">
        <v>0.02</v>
      </c>
      <c r="AL1540">
        <v>16</v>
      </c>
      <c r="AM1540">
        <v>0</v>
      </c>
      <c r="AN1540">
        <v>0</v>
      </c>
      <c r="AO1540">
        <v>0</v>
      </c>
      <c r="AP1540">
        <v>1</v>
      </c>
      <c r="AQ1540">
        <v>0.01</v>
      </c>
      <c r="AX1540">
        <v>7</v>
      </c>
      <c r="AY1540" s="1">
        <v>18</v>
      </c>
      <c r="AZ1540">
        <v>0</v>
      </c>
      <c r="BA1540">
        <v>0</v>
      </c>
      <c r="BB1540">
        <v>1</v>
      </c>
      <c r="BC1540" s="7">
        <v>0.32</v>
      </c>
      <c r="BD1540">
        <v>30</v>
      </c>
      <c r="BE1540">
        <v>0</v>
      </c>
      <c r="BF1540">
        <v>0</v>
      </c>
      <c r="BG1540">
        <v>0</v>
      </c>
      <c r="BH1540">
        <v>5</v>
      </c>
      <c r="BI1540">
        <v>2.4</v>
      </c>
      <c r="BJ1540">
        <v>31</v>
      </c>
      <c r="BK1540">
        <v>0</v>
      </c>
      <c r="BL1540">
        <v>0</v>
      </c>
      <c r="BM1540">
        <v>0</v>
      </c>
      <c r="BN1540">
        <v>5</v>
      </c>
      <c r="BO1540">
        <v>2.4</v>
      </c>
      <c r="BP1540">
        <v>36</v>
      </c>
      <c r="BQ1540">
        <v>0</v>
      </c>
      <c r="BR1540">
        <v>0</v>
      </c>
      <c r="BS1540">
        <v>0</v>
      </c>
      <c r="BT1540">
        <v>5</v>
      </c>
      <c r="BU1540">
        <v>1.6</v>
      </c>
    </row>
    <row r="1541" spans="1:73" ht="14.25" x14ac:dyDescent="0.15">
      <c r="A1541" s="12">
        <v>30538</v>
      </c>
      <c r="B1541">
        <v>7</v>
      </c>
      <c r="C1541" s="1">
        <v>47</v>
      </c>
      <c r="D1541">
        <v>0</v>
      </c>
      <c r="E1541">
        <v>0</v>
      </c>
      <c r="F1541">
        <v>1</v>
      </c>
      <c r="G1541" s="7">
        <v>0.05</v>
      </c>
      <c r="H1541">
        <v>12</v>
      </c>
      <c r="I1541">
        <v>0</v>
      </c>
      <c r="J1541">
        <v>0</v>
      </c>
      <c r="K1541">
        <v>0</v>
      </c>
      <c r="L1541">
        <v>1</v>
      </c>
      <c r="M1541">
        <v>2</v>
      </c>
      <c r="N1541" s="7">
        <v>9</v>
      </c>
      <c r="O1541" s="7">
        <v>0</v>
      </c>
      <c r="P1541" s="7">
        <v>0</v>
      </c>
      <c r="Q1541" s="7">
        <v>0</v>
      </c>
      <c r="R1541" s="7">
        <v>1</v>
      </c>
      <c r="S1541" s="7">
        <v>4.5</v>
      </c>
      <c r="T1541">
        <v>7</v>
      </c>
      <c r="U1541" s="1">
        <v>35</v>
      </c>
      <c r="V1541">
        <v>0</v>
      </c>
      <c r="W1541">
        <v>0</v>
      </c>
      <c r="X1541">
        <v>1</v>
      </c>
      <c r="Y1541">
        <v>0.16</v>
      </c>
      <c r="Z1541">
        <v>23</v>
      </c>
      <c r="AA1541">
        <v>0</v>
      </c>
      <c r="AB1541">
        <v>0</v>
      </c>
      <c r="AC1541">
        <v>0</v>
      </c>
      <c r="AD1541">
        <v>1</v>
      </c>
      <c r="AE1541">
        <v>0.05</v>
      </c>
      <c r="AF1541">
        <v>15</v>
      </c>
      <c r="AG1541">
        <v>0</v>
      </c>
      <c r="AH1541">
        <v>0</v>
      </c>
      <c r="AI1541">
        <v>0</v>
      </c>
      <c r="AJ1541">
        <v>1</v>
      </c>
      <c r="AK1541">
        <v>0.02</v>
      </c>
      <c r="AL1541">
        <v>16</v>
      </c>
      <c r="AM1541">
        <v>0</v>
      </c>
      <c r="AN1541">
        <v>0</v>
      </c>
      <c r="AO1541">
        <v>0</v>
      </c>
      <c r="AP1541">
        <v>1</v>
      </c>
      <c r="AQ1541">
        <v>0.01</v>
      </c>
      <c r="AX1541">
        <v>7</v>
      </c>
      <c r="AY1541" s="1">
        <v>19</v>
      </c>
      <c r="AZ1541">
        <v>0</v>
      </c>
      <c r="BA1541">
        <v>0</v>
      </c>
      <c r="BB1541">
        <v>1</v>
      </c>
      <c r="BC1541" s="7">
        <v>0.32</v>
      </c>
      <c r="BD1541">
        <v>30</v>
      </c>
      <c r="BE1541">
        <v>0</v>
      </c>
      <c r="BF1541">
        <v>0</v>
      </c>
      <c r="BG1541">
        <v>0</v>
      </c>
      <c r="BH1541">
        <v>5</v>
      </c>
      <c r="BI1541">
        <v>2.4</v>
      </c>
      <c r="BJ1541">
        <v>31</v>
      </c>
      <c r="BK1541">
        <v>0</v>
      </c>
      <c r="BL1541">
        <v>0</v>
      </c>
      <c r="BM1541">
        <v>0</v>
      </c>
      <c r="BN1541">
        <v>5</v>
      </c>
      <c r="BO1541">
        <v>2.4</v>
      </c>
      <c r="BP1541">
        <v>36</v>
      </c>
      <c r="BQ1541">
        <v>0</v>
      </c>
      <c r="BR1541">
        <v>0</v>
      </c>
      <c r="BS1541">
        <v>0</v>
      </c>
      <c r="BT1541">
        <v>5</v>
      </c>
      <c r="BU1541">
        <v>1.6</v>
      </c>
    </row>
    <row r="1542" spans="1:73" ht="14.25" x14ac:dyDescent="0.15">
      <c r="A1542" s="12">
        <v>30539</v>
      </c>
      <c r="B1542">
        <v>7</v>
      </c>
      <c r="C1542" s="1">
        <v>48</v>
      </c>
      <c r="D1542">
        <v>0</v>
      </c>
      <c r="E1542">
        <v>0</v>
      </c>
      <c r="F1542">
        <v>1</v>
      </c>
      <c r="G1542" s="7">
        <v>0.05</v>
      </c>
      <c r="H1542">
        <v>12</v>
      </c>
      <c r="I1542">
        <v>0</v>
      </c>
      <c r="J1542">
        <v>0</v>
      </c>
      <c r="K1542">
        <v>0</v>
      </c>
      <c r="L1542">
        <v>1</v>
      </c>
      <c r="M1542">
        <v>2</v>
      </c>
      <c r="N1542" s="7">
        <v>9</v>
      </c>
      <c r="O1542" s="7">
        <v>0</v>
      </c>
      <c r="P1542" s="7">
        <v>0</v>
      </c>
      <c r="Q1542" s="7">
        <v>0</v>
      </c>
      <c r="R1542" s="7">
        <v>1</v>
      </c>
      <c r="S1542" s="7">
        <v>4.5</v>
      </c>
      <c r="T1542">
        <v>7</v>
      </c>
      <c r="U1542" s="1">
        <v>36</v>
      </c>
      <c r="V1542">
        <v>0</v>
      </c>
      <c r="W1542">
        <v>0</v>
      </c>
      <c r="X1542">
        <v>1</v>
      </c>
      <c r="Y1542">
        <v>0.16</v>
      </c>
      <c r="Z1542">
        <v>23</v>
      </c>
      <c r="AA1542">
        <v>0</v>
      </c>
      <c r="AB1542">
        <v>0</v>
      </c>
      <c r="AC1542">
        <v>0</v>
      </c>
      <c r="AD1542">
        <v>1</v>
      </c>
      <c r="AE1542">
        <v>0.05</v>
      </c>
      <c r="AF1542">
        <v>15</v>
      </c>
      <c r="AG1542">
        <v>0</v>
      </c>
      <c r="AH1542">
        <v>0</v>
      </c>
      <c r="AI1542">
        <v>0</v>
      </c>
      <c r="AJ1542">
        <v>1</v>
      </c>
      <c r="AK1542">
        <v>0.02</v>
      </c>
      <c r="AL1542">
        <v>16</v>
      </c>
      <c r="AM1542">
        <v>0</v>
      </c>
      <c r="AN1542">
        <v>0</v>
      </c>
      <c r="AO1542">
        <v>0</v>
      </c>
      <c r="AP1542">
        <v>1</v>
      </c>
      <c r="AQ1542">
        <v>0.01</v>
      </c>
      <c r="AX1542">
        <v>7</v>
      </c>
      <c r="AY1542" s="1">
        <v>20</v>
      </c>
      <c r="AZ1542">
        <v>0</v>
      </c>
      <c r="BA1542">
        <v>0</v>
      </c>
      <c r="BB1542">
        <v>1</v>
      </c>
      <c r="BC1542" s="7">
        <v>0.32</v>
      </c>
      <c r="BD1542">
        <v>30</v>
      </c>
      <c r="BE1542">
        <v>0</v>
      </c>
      <c r="BF1542">
        <v>0</v>
      </c>
      <c r="BG1542">
        <v>0</v>
      </c>
      <c r="BH1542">
        <v>5</v>
      </c>
      <c r="BI1542">
        <v>2.4</v>
      </c>
      <c r="BJ1542">
        <v>31</v>
      </c>
      <c r="BK1542">
        <v>0</v>
      </c>
      <c r="BL1542">
        <v>0</v>
      </c>
      <c r="BM1542">
        <v>0</v>
      </c>
      <c r="BN1542">
        <v>5</v>
      </c>
      <c r="BO1542">
        <v>2.4</v>
      </c>
      <c r="BP1542">
        <v>36</v>
      </c>
      <c r="BQ1542">
        <v>0</v>
      </c>
      <c r="BR1542">
        <v>0</v>
      </c>
      <c r="BS1542">
        <v>0</v>
      </c>
      <c r="BT1542">
        <v>5</v>
      </c>
      <c r="BU1542">
        <v>1.6</v>
      </c>
    </row>
    <row r="1543" spans="1:73" ht="14.25" x14ac:dyDescent="0.15">
      <c r="A1543" s="12">
        <v>30540</v>
      </c>
      <c r="B1543">
        <v>7</v>
      </c>
      <c r="C1543" s="1">
        <v>0</v>
      </c>
      <c r="D1543">
        <v>5</v>
      </c>
      <c r="E1543">
        <v>1</v>
      </c>
      <c r="F1543">
        <v>1</v>
      </c>
      <c r="G1543" s="7">
        <v>0.05</v>
      </c>
      <c r="H1543">
        <v>12</v>
      </c>
      <c r="I1543">
        <v>0</v>
      </c>
      <c r="J1543">
        <v>0</v>
      </c>
      <c r="K1543">
        <v>0</v>
      </c>
      <c r="L1543">
        <v>1</v>
      </c>
      <c r="M1543">
        <v>2</v>
      </c>
      <c r="N1543" s="7">
        <v>9</v>
      </c>
      <c r="O1543" s="7">
        <v>0</v>
      </c>
      <c r="P1543" s="7">
        <v>0</v>
      </c>
      <c r="Q1543" s="7">
        <v>0</v>
      </c>
      <c r="R1543" s="7">
        <v>1</v>
      </c>
      <c r="S1543" s="7">
        <v>4.5</v>
      </c>
      <c r="T1543">
        <v>7</v>
      </c>
      <c r="U1543" s="1">
        <v>0</v>
      </c>
      <c r="V1543">
        <v>4</v>
      </c>
      <c r="W1543">
        <v>2</v>
      </c>
      <c r="X1543">
        <v>1</v>
      </c>
      <c r="Y1543">
        <v>0.16</v>
      </c>
      <c r="Z1543">
        <v>23</v>
      </c>
      <c r="AA1543">
        <v>0</v>
      </c>
      <c r="AB1543">
        <v>0</v>
      </c>
      <c r="AC1543">
        <v>0</v>
      </c>
      <c r="AD1543">
        <v>1</v>
      </c>
      <c r="AE1543">
        <v>0.05</v>
      </c>
      <c r="AF1543">
        <v>15</v>
      </c>
      <c r="AG1543">
        <v>0</v>
      </c>
      <c r="AH1543">
        <v>0</v>
      </c>
      <c r="AI1543">
        <v>0</v>
      </c>
      <c r="AJ1543">
        <v>1</v>
      </c>
      <c r="AK1543">
        <v>0.02</v>
      </c>
      <c r="AL1543">
        <v>16</v>
      </c>
      <c r="AM1543">
        <v>0</v>
      </c>
      <c r="AN1543">
        <v>0</v>
      </c>
      <c r="AO1543">
        <v>0</v>
      </c>
      <c r="AP1543">
        <v>1</v>
      </c>
      <c r="AQ1543">
        <v>0.01</v>
      </c>
      <c r="AR1543">
        <v>6</v>
      </c>
      <c r="AS1543">
        <v>2</v>
      </c>
      <c r="AT1543">
        <v>3</v>
      </c>
      <c r="AU1543">
        <v>5</v>
      </c>
      <c r="AV1543">
        <v>1</v>
      </c>
      <c r="AW1543">
        <v>0.05</v>
      </c>
      <c r="AX1543">
        <v>7</v>
      </c>
      <c r="AY1543" s="1">
        <v>0</v>
      </c>
      <c r="AZ1543">
        <v>3</v>
      </c>
      <c r="BA1543">
        <v>1</v>
      </c>
      <c r="BB1543">
        <v>1</v>
      </c>
      <c r="BC1543" s="7">
        <v>0.32</v>
      </c>
      <c r="BD1543">
        <v>30</v>
      </c>
      <c r="BE1543">
        <v>0</v>
      </c>
      <c r="BF1543">
        <v>0</v>
      </c>
      <c r="BG1543">
        <v>0</v>
      </c>
      <c r="BH1543">
        <v>5</v>
      </c>
      <c r="BI1543">
        <v>2.4</v>
      </c>
      <c r="BJ1543">
        <v>31</v>
      </c>
      <c r="BK1543">
        <v>0</v>
      </c>
      <c r="BL1543">
        <v>0</v>
      </c>
      <c r="BM1543">
        <v>0</v>
      </c>
      <c r="BN1543">
        <v>5</v>
      </c>
      <c r="BO1543">
        <v>2.4</v>
      </c>
      <c r="BP1543">
        <v>36</v>
      </c>
      <c r="BQ1543">
        <v>0</v>
      </c>
      <c r="BR1543">
        <v>0</v>
      </c>
      <c r="BS1543">
        <v>0</v>
      </c>
      <c r="BT1543">
        <v>5</v>
      </c>
      <c r="BU1543">
        <v>1.6</v>
      </c>
    </row>
    <row r="1544" spans="1:73" ht="14.25" x14ac:dyDescent="0.15">
      <c r="A1544" s="12">
        <v>30541</v>
      </c>
      <c r="B1544">
        <v>7</v>
      </c>
      <c r="C1544" s="1">
        <v>45</v>
      </c>
      <c r="D1544">
        <v>0</v>
      </c>
      <c r="E1544">
        <v>0</v>
      </c>
      <c r="F1544">
        <v>1</v>
      </c>
      <c r="G1544" s="7">
        <v>0.05</v>
      </c>
      <c r="H1544">
        <v>12</v>
      </c>
      <c r="I1544">
        <v>0</v>
      </c>
      <c r="J1544">
        <v>0</v>
      </c>
      <c r="K1544">
        <v>0</v>
      </c>
      <c r="L1544">
        <v>1</v>
      </c>
      <c r="M1544">
        <v>2</v>
      </c>
      <c r="N1544" s="7">
        <v>9</v>
      </c>
      <c r="O1544" s="7">
        <v>0</v>
      </c>
      <c r="P1544" s="7">
        <v>0</v>
      </c>
      <c r="Q1544" s="7">
        <v>0</v>
      </c>
      <c r="R1544" s="7">
        <v>1</v>
      </c>
      <c r="S1544" s="7">
        <v>4.5</v>
      </c>
      <c r="T1544">
        <v>7</v>
      </c>
      <c r="U1544" s="1">
        <v>33</v>
      </c>
      <c r="V1544">
        <v>0</v>
      </c>
      <c r="W1544">
        <v>0</v>
      </c>
      <c r="X1544">
        <v>1</v>
      </c>
      <c r="Y1544">
        <v>0.16</v>
      </c>
      <c r="Z1544">
        <v>23</v>
      </c>
      <c r="AA1544">
        <v>0</v>
      </c>
      <c r="AB1544">
        <v>0</v>
      </c>
      <c r="AC1544">
        <v>0</v>
      </c>
      <c r="AD1544">
        <v>1</v>
      </c>
      <c r="AE1544">
        <v>0.05</v>
      </c>
      <c r="AF1544">
        <v>15</v>
      </c>
      <c r="AG1544">
        <v>0</v>
      </c>
      <c r="AH1544">
        <v>0</v>
      </c>
      <c r="AI1544">
        <v>0</v>
      </c>
      <c r="AJ1544">
        <v>1</v>
      </c>
      <c r="AK1544">
        <v>0.02</v>
      </c>
      <c r="AL1544">
        <v>16</v>
      </c>
      <c r="AM1544">
        <v>0</v>
      </c>
      <c r="AN1544">
        <v>0</v>
      </c>
      <c r="AO1544">
        <v>0</v>
      </c>
      <c r="AP1544">
        <v>1</v>
      </c>
      <c r="AQ1544">
        <v>0.01</v>
      </c>
      <c r="AX1544">
        <v>7</v>
      </c>
      <c r="AY1544" s="1">
        <v>17</v>
      </c>
      <c r="AZ1544">
        <v>0</v>
      </c>
      <c r="BA1544">
        <v>0</v>
      </c>
      <c r="BB1544">
        <v>1</v>
      </c>
      <c r="BC1544" s="7">
        <v>0.32</v>
      </c>
      <c r="BD1544">
        <v>30</v>
      </c>
      <c r="BE1544">
        <v>0</v>
      </c>
      <c r="BF1544">
        <v>0</v>
      </c>
      <c r="BG1544">
        <v>0</v>
      </c>
      <c r="BH1544">
        <v>5</v>
      </c>
      <c r="BI1544">
        <v>2.4</v>
      </c>
      <c r="BJ1544">
        <v>31</v>
      </c>
      <c r="BK1544">
        <v>0</v>
      </c>
      <c r="BL1544">
        <v>0</v>
      </c>
      <c r="BM1544">
        <v>0</v>
      </c>
      <c r="BN1544">
        <v>5</v>
      </c>
      <c r="BO1544">
        <v>2.4</v>
      </c>
      <c r="BP1544">
        <v>36</v>
      </c>
      <c r="BQ1544">
        <v>0</v>
      </c>
      <c r="BR1544">
        <v>0</v>
      </c>
      <c r="BS1544">
        <v>0</v>
      </c>
      <c r="BT1544">
        <v>5</v>
      </c>
      <c r="BU1544">
        <v>1.6</v>
      </c>
    </row>
    <row r="1545" spans="1:73" ht="14.25" x14ac:dyDescent="0.15">
      <c r="A1545" s="12">
        <v>30542</v>
      </c>
      <c r="B1545">
        <v>7</v>
      </c>
      <c r="C1545" s="1">
        <v>46</v>
      </c>
      <c r="D1545">
        <v>0</v>
      </c>
      <c r="E1545">
        <v>0</v>
      </c>
      <c r="F1545">
        <v>1</v>
      </c>
      <c r="G1545" s="7">
        <v>0.05</v>
      </c>
      <c r="H1545">
        <v>12</v>
      </c>
      <c r="I1545">
        <v>0</v>
      </c>
      <c r="J1545">
        <v>0</v>
      </c>
      <c r="K1545">
        <v>0</v>
      </c>
      <c r="L1545">
        <v>1</v>
      </c>
      <c r="M1545">
        <v>2</v>
      </c>
      <c r="N1545" s="7">
        <v>9</v>
      </c>
      <c r="O1545" s="7">
        <v>0</v>
      </c>
      <c r="P1545" s="7">
        <v>0</v>
      </c>
      <c r="Q1545" s="7">
        <v>0</v>
      </c>
      <c r="R1545" s="7">
        <v>1</v>
      </c>
      <c r="S1545" s="7">
        <v>4.5</v>
      </c>
      <c r="T1545">
        <v>7</v>
      </c>
      <c r="U1545" s="1">
        <v>34</v>
      </c>
      <c r="V1545">
        <v>0</v>
      </c>
      <c r="W1545">
        <v>0</v>
      </c>
      <c r="X1545">
        <v>1</v>
      </c>
      <c r="Y1545">
        <v>0.16</v>
      </c>
      <c r="Z1545">
        <v>23</v>
      </c>
      <c r="AA1545">
        <v>0</v>
      </c>
      <c r="AB1545">
        <v>0</v>
      </c>
      <c r="AC1545">
        <v>0</v>
      </c>
      <c r="AD1545">
        <v>1</v>
      </c>
      <c r="AE1545">
        <v>0.05</v>
      </c>
      <c r="AF1545">
        <v>15</v>
      </c>
      <c r="AG1545">
        <v>0</v>
      </c>
      <c r="AH1545">
        <v>0</v>
      </c>
      <c r="AI1545">
        <v>0</v>
      </c>
      <c r="AJ1545">
        <v>1</v>
      </c>
      <c r="AK1545">
        <v>0.02</v>
      </c>
      <c r="AL1545">
        <v>16</v>
      </c>
      <c r="AM1545">
        <v>0</v>
      </c>
      <c r="AN1545">
        <v>0</v>
      </c>
      <c r="AO1545">
        <v>0</v>
      </c>
      <c r="AP1545">
        <v>1</v>
      </c>
      <c r="AQ1545">
        <v>0.01</v>
      </c>
      <c r="AX1545">
        <v>7</v>
      </c>
      <c r="AY1545" s="1">
        <v>18</v>
      </c>
      <c r="AZ1545">
        <v>0</v>
      </c>
      <c r="BA1545">
        <v>0</v>
      </c>
      <c r="BB1545">
        <v>1</v>
      </c>
      <c r="BC1545" s="7">
        <v>0.32</v>
      </c>
      <c r="BD1545">
        <v>30</v>
      </c>
      <c r="BE1545">
        <v>0</v>
      </c>
      <c r="BF1545">
        <v>0</v>
      </c>
      <c r="BG1545">
        <v>0</v>
      </c>
      <c r="BH1545">
        <v>5</v>
      </c>
      <c r="BI1545">
        <v>2.4</v>
      </c>
      <c r="BJ1545">
        <v>31</v>
      </c>
      <c r="BK1545">
        <v>0</v>
      </c>
      <c r="BL1545">
        <v>0</v>
      </c>
      <c r="BM1545">
        <v>0</v>
      </c>
      <c r="BN1545">
        <v>5</v>
      </c>
      <c r="BO1545">
        <v>2.4</v>
      </c>
      <c r="BP1545">
        <v>36</v>
      </c>
      <c r="BQ1545">
        <v>0</v>
      </c>
      <c r="BR1545">
        <v>0</v>
      </c>
      <c r="BS1545">
        <v>0</v>
      </c>
      <c r="BT1545">
        <v>5</v>
      </c>
      <c r="BU1545">
        <v>1.6</v>
      </c>
    </row>
    <row r="1546" spans="1:73" ht="14.25" x14ac:dyDescent="0.15">
      <c r="A1546" s="12">
        <v>30543</v>
      </c>
      <c r="B1546">
        <v>7</v>
      </c>
      <c r="C1546" s="1">
        <v>47</v>
      </c>
      <c r="D1546">
        <v>0</v>
      </c>
      <c r="E1546">
        <v>0</v>
      </c>
      <c r="F1546">
        <v>1</v>
      </c>
      <c r="G1546" s="7">
        <v>0.05</v>
      </c>
      <c r="H1546">
        <v>12</v>
      </c>
      <c r="I1546">
        <v>0</v>
      </c>
      <c r="J1546">
        <v>0</v>
      </c>
      <c r="K1546">
        <v>0</v>
      </c>
      <c r="L1546">
        <v>1</v>
      </c>
      <c r="M1546">
        <v>2</v>
      </c>
      <c r="N1546" s="7">
        <v>9</v>
      </c>
      <c r="O1546" s="7">
        <v>0</v>
      </c>
      <c r="P1546" s="7">
        <v>0</v>
      </c>
      <c r="Q1546" s="7">
        <v>0</v>
      </c>
      <c r="R1546" s="7">
        <v>1</v>
      </c>
      <c r="S1546" s="7">
        <v>4.5</v>
      </c>
      <c r="T1546">
        <v>7</v>
      </c>
      <c r="U1546" s="1">
        <v>35</v>
      </c>
      <c r="V1546">
        <v>0</v>
      </c>
      <c r="W1546">
        <v>0</v>
      </c>
      <c r="X1546">
        <v>1</v>
      </c>
      <c r="Y1546">
        <v>0.16</v>
      </c>
      <c r="Z1546">
        <v>23</v>
      </c>
      <c r="AA1546">
        <v>0</v>
      </c>
      <c r="AB1546">
        <v>0</v>
      </c>
      <c r="AC1546">
        <v>0</v>
      </c>
      <c r="AD1546">
        <v>1</v>
      </c>
      <c r="AE1546">
        <v>0.05</v>
      </c>
      <c r="AF1546">
        <v>15</v>
      </c>
      <c r="AG1546">
        <v>0</v>
      </c>
      <c r="AH1546">
        <v>0</v>
      </c>
      <c r="AI1546">
        <v>0</v>
      </c>
      <c r="AJ1546">
        <v>1</v>
      </c>
      <c r="AK1546">
        <v>0.02</v>
      </c>
      <c r="AL1546">
        <v>16</v>
      </c>
      <c r="AM1546">
        <v>0</v>
      </c>
      <c r="AN1546">
        <v>0</v>
      </c>
      <c r="AO1546">
        <v>0</v>
      </c>
      <c r="AP1546">
        <v>1</v>
      </c>
      <c r="AQ1546">
        <v>0.01</v>
      </c>
      <c r="AX1546">
        <v>7</v>
      </c>
      <c r="AY1546" s="1">
        <v>19</v>
      </c>
      <c r="AZ1546">
        <v>0</v>
      </c>
      <c r="BA1546">
        <v>0</v>
      </c>
      <c r="BB1546">
        <v>1</v>
      </c>
      <c r="BC1546" s="7">
        <v>0.32</v>
      </c>
      <c r="BD1546">
        <v>30</v>
      </c>
      <c r="BE1546">
        <v>0</v>
      </c>
      <c r="BF1546">
        <v>0</v>
      </c>
      <c r="BG1546">
        <v>0</v>
      </c>
      <c r="BH1546">
        <v>5</v>
      </c>
      <c r="BI1546">
        <v>2.4</v>
      </c>
      <c r="BJ1546">
        <v>31</v>
      </c>
      <c r="BK1546">
        <v>0</v>
      </c>
      <c r="BL1546">
        <v>0</v>
      </c>
      <c r="BM1546">
        <v>0</v>
      </c>
      <c r="BN1546">
        <v>5</v>
      </c>
      <c r="BO1546">
        <v>2.4</v>
      </c>
      <c r="BP1546">
        <v>36</v>
      </c>
      <c r="BQ1546">
        <v>0</v>
      </c>
      <c r="BR1546">
        <v>0</v>
      </c>
      <c r="BS1546">
        <v>0</v>
      </c>
      <c r="BT1546">
        <v>5</v>
      </c>
      <c r="BU1546">
        <v>1.6</v>
      </c>
    </row>
    <row r="1547" spans="1:73" ht="14.25" x14ac:dyDescent="0.15">
      <c r="A1547" s="12">
        <v>30544</v>
      </c>
      <c r="B1547">
        <v>7</v>
      </c>
      <c r="C1547" s="1">
        <v>48</v>
      </c>
      <c r="D1547">
        <v>0</v>
      </c>
      <c r="E1547">
        <v>0</v>
      </c>
      <c r="F1547">
        <v>1</v>
      </c>
      <c r="G1547" s="7">
        <v>0.05</v>
      </c>
      <c r="H1547">
        <v>12</v>
      </c>
      <c r="I1547">
        <v>0</v>
      </c>
      <c r="J1547">
        <v>0</v>
      </c>
      <c r="K1547">
        <v>0</v>
      </c>
      <c r="L1547">
        <v>1</v>
      </c>
      <c r="M1547">
        <v>2</v>
      </c>
      <c r="N1547" s="7">
        <v>9</v>
      </c>
      <c r="O1547" s="7">
        <v>0</v>
      </c>
      <c r="P1547" s="7">
        <v>0</v>
      </c>
      <c r="Q1547" s="7">
        <v>0</v>
      </c>
      <c r="R1547" s="7">
        <v>1</v>
      </c>
      <c r="S1547" s="7">
        <v>4.5</v>
      </c>
      <c r="T1547">
        <v>7</v>
      </c>
      <c r="U1547" s="1">
        <v>36</v>
      </c>
      <c r="V1547">
        <v>0</v>
      </c>
      <c r="W1547">
        <v>0</v>
      </c>
      <c r="X1547">
        <v>1</v>
      </c>
      <c r="Y1547">
        <v>0.16</v>
      </c>
      <c r="Z1547">
        <v>23</v>
      </c>
      <c r="AA1547">
        <v>0</v>
      </c>
      <c r="AB1547">
        <v>0</v>
      </c>
      <c r="AC1547">
        <v>0</v>
      </c>
      <c r="AD1547">
        <v>1</v>
      </c>
      <c r="AE1547">
        <v>0.05</v>
      </c>
      <c r="AF1547">
        <v>15</v>
      </c>
      <c r="AG1547">
        <v>0</v>
      </c>
      <c r="AH1547">
        <v>0</v>
      </c>
      <c r="AI1547">
        <v>0</v>
      </c>
      <c r="AJ1547">
        <v>1</v>
      </c>
      <c r="AK1547">
        <v>0.02</v>
      </c>
      <c r="AL1547">
        <v>16</v>
      </c>
      <c r="AM1547">
        <v>0</v>
      </c>
      <c r="AN1547">
        <v>0</v>
      </c>
      <c r="AO1547">
        <v>0</v>
      </c>
      <c r="AP1547">
        <v>1</v>
      </c>
      <c r="AQ1547">
        <v>0.01</v>
      </c>
      <c r="AX1547">
        <v>7</v>
      </c>
      <c r="AY1547" s="1">
        <v>20</v>
      </c>
      <c r="AZ1547">
        <v>0</v>
      </c>
      <c r="BA1547">
        <v>0</v>
      </c>
      <c r="BB1547">
        <v>1</v>
      </c>
      <c r="BC1547" s="7">
        <v>0.32</v>
      </c>
      <c r="BD1547">
        <v>30</v>
      </c>
      <c r="BE1547">
        <v>0</v>
      </c>
      <c r="BF1547">
        <v>0</v>
      </c>
      <c r="BG1547">
        <v>0</v>
      </c>
      <c r="BH1547">
        <v>5</v>
      </c>
      <c r="BI1547">
        <v>2.4</v>
      </c>
      <c r="BJ1547">
        <v>31</v>
      </c>
      <c r="BK1547">
        <v>0</v>
      </c>
      <c r="BL1547">
        <v>0</v>
      </c>
      <c r="BM1547">
        <v>0</v>
      </c>
      <c r="BN1547">
        <v>5</v>
      </c>
      <c r="BO1547">
        <v>2.4</v>
      </c>
      <c r="BP1547">
        <v>36</v>
      </c>
      <c r="BQ1547">
        <v>0</v>
      </c>
      <c r="BR1547">
        <v>0</v>
      </c>
      <c r="BS1547">
        <v>0</v>
      </c>
      <c r="BT1547">
        <v>5</v>
      </c>
      <c r="BU1547">
        <v>1.6</v>
      </c>
    </row>
    <row r="1548" spans="1:73" ht="14.25" x14ac:dyDescent="0.15">
      <c r="A1548" s="12">
        <v>30545</v>
      </c>
      <c r="B1548">
        <v>7</v>
      </c>
      <c r="C1548" s="1">
        <v>0</v>
      </c>
      <c r="D1548">
        <v>5</v>
      </c>
      <c r="E1548">
        <v>1</v>
      </c>
      <c r="F1548">
        <v>1</v>
      </c>
      <c r="G1548" s="7">
        <v>0.05</v>
      </c>
      <c r="H1548">
        <v>12</v>
      </c>
      <c r="I1548">
        <v>0</v>
      </c>
      <c r="J1548">
        <v>0</v>
      </c>
      <c r="K1548">
        <v>0</v>
      </c>
      <c r="L1548">
        <v>1</v>
      </c>
      <c r="M1548">
        <v>2</v>
      </c>
      <c r="N1548" s="7">
        <v>9</v>
      </c>
      <c r="O1548" s="7">
        <v>0</v>
      </c>
      <c r="P1548" s="7">
        <v>0</v>
      </c>
      <c r="Q1548" s="7">
        <v>0</v>
      </c>
      <c r="R1548" s="7">
        <v>1</v>
      </c>
      <c r="S1548" s="7">
        <v>4.5</v>
      </c>
      <c r="T1548">
        <v>7</v>
      </c>
      <c r="U1548" s="1">
        <v>0</v>
      </c>
      <c r="V1548">
        <v>4</v>
      </c>
      <c r="W1548">
        <v>2</v>
      </c>
      <c r="X1548">
        <v>1</v>
      </c>
      <c r="Y1548">
        <v>0.16</v>
      </c>
      <c r="Z1548">
        <v>23</v>
      </c>
      <c r="AA1548">
        <v>0</v>
      </c>
      <c r="AB1548">
        <v>0</v>
      </c>
      <c r="AC1548">
        <v>0</v>
      </c>
      <c r="AD1548">
        <v>1</v>
      </c>
      <c r="AE1548">
        <v>0.05</v>
      </c>
      <c r="AF1548">
        <v>15</v>
      </c>
      <c r="AG1548">
        <v>0</v>
      </c>
      <c r="AH1548">
        <v>0</v>
      </c>
      <c r="AI1548">
        <v>0</v>
      </c>
      <c r="AJ1548">
        <v>1</v>
      </c>
      <c r="AK1548">
        <v>0.02</v>
      </c>
      <c r="AL1548">
        <v>16</v>
      </c>
      <c r="AM1548">
        <v>0</v>
      </c>
      <c r="AN1548">
        <v>0</v>
      </c>
      <c r="AO1548">
        <v>0</v>
      </c>
      <c r="AP1548">
        <v>1</v>
      </c>
      <c r="AQ1548">
        <v>0.01</v>
      </c>
      <c r="AR1548">
        <v>6</v>
      </c>
      <c r="AS1548">
        <v>2</v>
      </c>
      <c r="AT1548">
        <v>4</v>
      </c>
      <c r="AU1548">
        <v>5</v>
      </c>
      <c r="AV1548">
        <v>1</v>
      </c>
      <c r="AW1548">
        <v>0.01</v>
      </c>
      <c r="AX1548">
        <v>7</v>
      </c>
      <c r="AY1548" s="1">
        <v>0</v>
      </c>
      <c r="AZ1548">
        <v>3</v>
      </c>
      <c r="BA1548">
        <v>1</v>
      </c>
      <c r="BB1548">
        <v>1</v>
      </c>
      <c r="BC1548" s="7">
        <v>0.32</v>
      </c>
      <c r="BD1548">
        <v>30</v>
      </c>
      <c r="BE1548">
        <v>0</v>
      </c>
      <c r="BF1548">
        <v>0</v>
      </c>
      <c r="BG1548">
        <v>0</v>
      </c>
      <c r="BH1548">
        <v>5</v>
      </c>
      <c r="BI1548">
        <v>2.4</v>
      </c>
      <c r="BJ1548">
        <v>31</v>
      </c>
      <c r="BK1548">
        <v>0</v>
      </c>
      <c r="BL1548">
        <v>0</v>
      </c>
      <c r="BM1548">
        <v>0</v>
      </c>
      <c r="BN1548">
        <v>5</v>
      </c>
      <c r="BO1548">
        <v>2.4</v>
      </c>
      <c r="BP1548">
        <v>36</v>
      </c>
      <c r="BQ1548">
        <v>0</v>
      </c>
      <c r="BR1548">
        <v>0</v>
      </c>
      <c r="BS1548">
        <v>0</v>
      </c>
      <c r="BT1548">
        <v>5</v>
      </c>
      <c r="BU1548">
        <v>1.6</v>
      </c>
    </row>
    <row r="1549" spans="1:73" ht="14.25" x14ac:dyDescent="0.15">
      <c r="A1549" s="12">
        <v>30546</v>
      </c>
      <c r="B1549">
        <v>7</v>
      </c>
      <c r="C1549" s="1">
        <v>45</v>
      </c>
      <c r="D1549">
        <v>0</v>
      </c>
      <c r="E1549">
        <v>0</v>
      </c>
      <c r="F1549">
        <v>1</v>
      </c>
      <c r="G1549" s="7">
        <v>0.05</v>
      </c>
      <c r="H1549">
        <v>12</v>
      </c>
      <c r="I1549">
        <v>0</v>
      </c>
      <c r="J1549">
        <v>0</v>
      </c>
      <c r="K1549">
        <v>0</v>
      </c>
      <c r="L1549">
        <v>1</v>
      </c>
      <c r="M1549">
        <v>2</v>
      </c>
      <c r="N1549" s="7">
        <v>9</v>
      </c>
      <c r="O1549" s="7">
        <v>0</v>
      </c>
      <c r="P1549" s="7">
        <v>0</v>
      </c>
      <c r="Q1549" s="7">
        <v>0</v>
      </c>
      <c r="R1549" s="7">
        <v>1</v>
      </c>
      <c r="S1549" s="7">
        <v>4.5</v>
      </c>
      <c r="T1549">
        <v>7</v>
      </c>
      <c r="U1549" s="1">
        <v>33</v>
      </c>
      <c r="V1549">
        <v>0</v>
      </c>
      <c r="W1549">
        <v>0</v>
      </c>
      <c r="X1549">
        <v>1</v>
      </c>
      <c r="Y1549">
        <v>0.16</v>
      </c>
      <c r="Z1549">
        <v>23</v>
      </c>
      <c r="AA1549">
        <v>0</v>
      </c>
      <c r="AB1549">
        <v>0</v>
      </c>
      <c r="AC1549">
        <v>0</v>
      </c>
      <c r="AD1549">
        <v>1</v>
      </c>
      <c r="AE1549">
        <v>0.05</v>
      </c>
      <c r="AF1549">
        <v>15</v>
      </c>
      <c r="AG1549">
        <v>0</v>
      </c>
      <c r="AH1549">
        <v>0</v>
      </c>
      <c r="AI1549">
        <v>0</v>
      </c>
      <c r="AJ1549">
        <v>1</v>
      </c>
      <c r="AK1549">
        <v>0.02</v>
      </c>
      <c r="AL1549">
        <v>16</v>
      </c>
      <c r="AM1549">
        <v>0</v>
      </c>
      <c r="AN1549">
        <v>0</v>
      </c>
      <c r="AO1549">
        <v>0</v>
      </c>
      <c r="AP1549">
        <v>1</v>
      </c>
      <c r="AQ1549">
        <v>0.01</v>
      </c>
      <c r="AX1549">
        <v>7</v>
      </c>
      <c r="AY1549" s="1">
        <v>17</v>
      </c>
      <c r="AZ1549">
        <v>0</v>
      </c>
      <c r="BA1549">
        <v>0</v>
      </c>
      <c r="BB1549">
        <v>1</v>
      </c>
      <c r="BC1549" s="7">
        <v>0.32</v>
      </c>
      <c r="BD1549">
        <v>30</v>
      </c>
      <c r="BE1549">
        <v>0</v>
      </c>
      <c r="BF1549">
        <v>0</v>
      </c>
      <c r="BG1549">
        <v>0</v>
      </c>
      <c r="BH1549">
        <v>5</v>
      </c>
      <c r="BI1549">
        <v>2.4</v>
      </c>
      <c r="BJ1549">
        <v>31</v>
      </c>
      <c r="BK1549">
        <v>0</v>
      </c>
      <c r="BL1549">
        <v>0</v>
      </c>
      <c r="BM1549">
        <v>0</v>
      </c>
      <c r="BN1549">
        <v>5</v>
      </c>
      <c r="BO1549">
        <v>2.4</v>
      </c>
      <c r="BP1549">
        <v>36</v>
      </c>
      <c r="BQ1549">
        <v>0</v>
      </c>
      <c r="BR1549">
        <v>0</v>
      </c>
      <c r="BS1549">
        <v>0</v>
      </c>
      <c r="BT1549">
        <v>5</v>
      </c>
      <c r="BU1549">
        <v>1.6</v>
      </c>
    </row>
    <row r="1550" spans="1:73" ht="14.25" x14ac:dyDescent="0.15">
      <c r="A1550" s="12">
        <v>30547</v>
      </c>
      <c r="B1550">
        <v>7</v>
      </c>
      <c r="C1550" s="1">
        <v>46</v>
      </c>
      <c r="D1550">
        <v>0</v>
      </c>
      <c r="E1550">
        <v>0</v>
      </c>
      <c r="F1550">
        <v>1</v>
      </c>
      <c r="G1550" s="7">
        <v>0.05</v>
      </c>
      <c r="H1550">
        <v>12</v>
      </c>
      <c r="I1550">
        <v>0</v>
      </c>
      <c r="J1550">
        <v>0</v>
      </c>
      <c r="K1550">
        <v>0</v>
      </c>
      <c r="L1550">
        <v>1</v>
      </c>
      <c r="M1550">
        <v>2</v>
      </c>
      <c r="N1550" s="7">
        <v>9</v>
      </c>
      <c r="O1550" s="7">
        <v>0</v>
      </c>
      <c r="P1550" s="7">
        <v>0</v>
      </c>
      <c r="Q1550" s="7">
        <v>0</v>
      </c>
      <c r="R1550" s="7">
        <v>1</v>
      </c>
      <c r="S1550" s="7">
        <v>4.5</v>
      </c>
      <c r="T1550">
        <v>7</v>
      </c>
      <c r="U1550" s="1">
        <v>34</v>
      </c>
      <c r="V1550">
        <v>0</v>
      </c>
      <c r="W1550">
        <v>0</v>
      </c>
      <c r="X1550">
        <v>1</v>
      </c>
      <c r="Y1550">
        <v>0.16</v>
      </c>
      <c r="Z1550">
        <v>23</v>
      </c>
      <c r="AA1550">
        <v>0</v>
      </c>
      <c r="AB1550">
        <v>0</v>
      </c>
      <c r="AC1550">
        <v>0</v>
      </c>
      <c r="AD1550">
        <v>1</v>
      </c>
      <c r="AE1550">
        <v>0.05</v>
      </c>
      <c r="AF1550">
        <v>15</v>
      </c>
      <c r="AG1550">
        <v>0</v>
      </c>
      <c r="AH1550">
        <v>0</v>
      </c>
      <c r="AI1550">
        <v>0</v>
      </c>
      <c r="AJ1550">
        <v>1</v>
      </c>
      <c r="AK1550">
        <v>0.02</v>
      </c>
      <c r="AL1550">
        <v>16</v>
      </c>
      <c r="AM1550">
        <v>0</v>
      </c>
      <c r="AN1550">
        <v>0</v>
      </c>
      <c r="AO1550">
        <v>0</v>
      </c>
      <c r="AP1550">
        <v>1</v>
      </c>
      <c r="AQ1550">
        <v>0.01</v>
      </c>
      <c r="AX1550">
        <v>7</v>
      </c>
      <c r="AY1550" s="1">
        <v>18</v>
      </c>
      <c r="AZ1550">
        <v>0</v>
      </c>
      <c r="BA1550">
        <v>0</v>
      </c>
      <c r="BB1550">
        <v>1</v>
      </c>
      <c r="BC1550" s="7">
        <v>0.32</v>
      </c>
      <c r="BD1550">
        <v>30</v>
      </c>
      <c r="BE1550">
        <v>0</v>
      </c>
      <c r="BF1550">
        <v>0</v>
      </c>
      <c r="BG1550">
        <v>0</v>
      </c>
      <c r="BH1550">
        <v>5</v>
      </c>
      <c r="BI1550">
        <v>2.4</v>
      </c>
      <c r="BJ1550">
        <v>31</v>
      </c>
      <c r="BK1550">
        <v>0</v>
      </c>
      <c r="BL1550">
        <v>0</v>
      </c>
      <c r="BM1550">
        <v>0</v>
      </c>
      <c r="BN1550">
        <v>5</v>
      </c>
      <c r="BO1550">
        <v>2.4</v>
      </c>
      <c r="BP1550">
        <v>36</v>
      </c>
      <c r="BQ1550">
        <v>0</v>
      </c>
      <c r="BR1550">
        <v>0</v>
      </c>
      <c r="BS1550">
        <v>0</v>
      </c>
      <c r="BT1550">
        <v>5</v>
      </c>
      <c r="BU1550">
        <v>1.6</v>
      </c>
    </row>
    <row r="1551" spans="1:73" ht="14.25" x14ac:dyDescent="0.15">
      <c r="A1551" s="12">
        <v>30548</v>
      </c>
      <c r="B1551">
        <v>7</v>
      </c>
      <c r="C1551" s="1">
        <v>47</v>
      </c>
      <c r="D1551">
        <v>0</v>
      </c>
      <c r="E1551">
        <v>0</v>
      </c>
      <c r="F1551">
        <v>1</v>
      </c>
      <c r="G1551" s="7">
        <v>0.05</v>
      </c>
      <c r="H1551">
        <v>12</v>
      </c>
      <c r="I1551">
        <v>0</v>
      </c>
      <c r="J1551">
        <v>0</v>
      </c>
      <c r="K1551">
        <v>0</v>
      </c>
      <c r="L1551">
        <v>1</v>
      </c>
      <c r="M1551">
        <v>2</v>
      </c>
      <c r="N1551" s="7">
        <v>9</v>
      </c>
      <c r="O1551" s="7">
        <v>0</v>
      </c>
      <c r="P1551" s="7">
        <v>0</v>
      </c>
      <c r="Q1551" s="7">
        <v>0</v>
      </c>
      <c r="R1551" s="7">
        <v>1</v>
      </c>
      <c r="S1551" s="7">
        <v>4.5</v>
      </c>
      <c r="T1551">
        <v>7</v>
      </c>
      <c r="U1551" s="1">
        <v>35</v>
      </c>
      <c r="V1551">
        <v>0</v>
      </c>
      <c r="W1551">
        <v>0</v>
      </c>
      <c r="X1551">
        <v>1</v>
      </c>
      <c r="Y1551">
        <v>0.16</v>
      </c>
      <c r="Z1551">
        <v>23</v>
      </c>
      <c r="AA1551">
        <v>0</v>
      </c>
      <c r="AB1551">
        <v>0</v>
      </c>
      <c r="AC1551">
        <v>0</v>
      </c>
      <c r="AD1551">
        <v>1</v>
      </c>
      <c r="AE1551">
        <v>0.05</v>
      </c>
      <c r="AF1551">
        <v>15</v>
      </c>
      <c r="AG1551">
        <v>0</v>
      </c>
      <c r="AH1551">
        <v>0</v>
      </c>
      <c r="AI1551">
        <v>0</v>
      </c>
      <c r="AJ1551">
        <v>1</v>
      </c>
      <c r="AK1551">
        <v>0.02</v>
      </c>
      <c r="AL1551">
        <v>16</v>
      </c>
      <c r="AM1551">
        <v>0</v>
      </c>
      <c r="AN1551">
        <v>0</v>
      </c>
      <c r="AO1551">
        <v>0</v>
      </c>
      <c r="AP1551">
        <v>1</v>
      </c>
      <c r="AQ1551">
        <v>0.01</v>
      </c>
      <c r="AX1551">
        <v>7</v>
      </c>
      <c r="AY1551" s="1">
        <v>19</v>
      </c>
      <c r="AZ1551">
        <v>0</v>
      </c>
      <c r="BA1551">
        <v>0</v>
      </c>
      <c r="BB1551">
        <v>1</v>
      </c>
      <c r="BC1551" s="7">
        <v>0.32</v>
      </c>
      <c r="BD1551">
        <v>30</v>
      </c>
      <c r="BE1551">
        <v>0</v>
      </c>
      <c r="BF1551">
        <v>0</v>
      </c>
      <c r="BG1551">
        <v>0</v>
      </c>
      <c r="BH1551">
        <v>5</v>
      </c>
      <c r="BI1551">
        <v>2.4</v>
      </c>
      <c r="BJ1551">
        <v>31</v>
      </c>
      <c r="BK1551">
        <v>0</v>
      </c>
      <c r="BL1551">
        <v>0</v>
      </c>
      <c r="BM1551">
        <v>0</v>
      </c>
      <c r="BN1551">
        <v>5</v>
      </c>
      <c r="BO1551">
        <v>2.4</v>
      </c>
      <c r="BP1551">
        <v>36</v>
      </c>
      <c r="BQ1551">
        <v>0</v>
      </c>
      <c r="BR1551">
        <v>0</v>
      </c>
      <c r="BS1551">
        <v>0</v>
      </c>
      <c r="BT1551">
        <v>5</v>
      </c>
      <c r="BU1551">
        <v>1.6</v>
      </c>
    </row>
    <row r="1552" spans="1:73" ht="14.25" x14ac:dyDescent="0.15">
      <c r="A1552" s="12">
        <v>30549</v>
      </c>
      <c r="B1552">
        <v>7</v>
      </c>
      <c r="C1552" s="1">
        <v>48</v>
      </c>
      <c r="D1552">
        <v>0</v>
      </c>
      <c r="E1552">
        <v>0</v>
      </c>
      <c r="F1552">
        <v>1</v>
      </c>
      <c r="G1552" s="7">
        <v>0.05</v>
      </c>
      <c r="H1552">
        <v>12</v>
      </c>
      <c r="I1552">
        <v>0</v>
      </c>
      <c r="J1552">
        <v>0</v>
      </c>
      <c r="K1552">
        <v>0</v>
      </c>
      <c r="L1552">
        <v>1</v>
      </c>
      <c r="M1552">
        <v>2</v>
      </c>
      <c r="N1552" s="7">
        <v>9</v>
      </c>
      <c r="O1552" s="7">
        <v>0</v>
      </c>
      <c r="P1552" s="7">
        <v>0</v>
      </c>
      <c r="Q1552" s="7">
        <v>0</v>
      </c>
      <c r="R1552" s="7">
        <v>1</v>
      </c>
      <c r="S1552" s="7">
        <v>4.5</v>
      </c>
      <c r="T1552">
        <v>7</v>
      </c>
      <c r="U1552" s="1">
        <v>36</v>
      </c>
      <c r="V1552">
        <v>0</v>
      </c>
      <c r="W1552">
        <v>0</v>
      </c>
      <c r="X1552">
        <v>1</v>
      </c>
      <c r="Y1552">
        <v>0.16</v>
      </c>
      <c r="Z1552">
        <v>23</v>
      </c>
      <c r="AA1552">
        <v>0</v>
      </c>
      <c r="AB1552">
        <v>0</v>
      </c>
      <c r="AC1552">
        <v>0</v>
      </c>
      <c r="AD1552">
        <v>1</v>
      </c>
      <c r="AE1552">
        <v>0.05</v>
      </c>
      <c r="AF1552">
        <v>15</v>
      </c>
      <c r="AG1552">
        <v>0</v>
      </c>
      <c r="AH1552">
        <v>0</v>
      </c>
      <c r="AI1552">
        <v>0</v>
      </c>
      <c r="AJ1552">
        <v>1</v>
      </c>
      <c r="AK1552">
        <v>0.02</v>
      </c>
      <c r="AL1552">
        <v>16</v>
      </c>
      <c r="AM1552">
        <v>0</v>
      </c>
      <c r="AN1552">
        <v>0</v>
      </c>
      <c r="AO1552">
        <v>0</v>
      </c>
      <c r="AP1552">
        <v>1</v>
      </c>
      <c r="AQ1552">
        <v>0.01</v>
      </c>
      <c r="AX1552">
        <v>7</v>
      </c>
      <c r="AY1552" s="1">
        <v>20</v>
      </c>
      <c r="AZ1552">
        <v>0</v>
      </c>
      <c r="BA1552">
        <v>0</v>
      </c>
      <c r="BB1552">
        <v>1</v>
      </c>
      <c r="BC1552" s="7">
        <v>0.32</v>
      </c>
      <c r="BD1552">
        <v>30</v>
      </c>
      <c r="BE1552">
        <v>0</v>
      </c>
      <c r="BF1552">
        <v>0</v>
      </c>
      <c r="BG1552">
        <v>0</v>
      </c>
      <c r="BH1552">
        <v>5</v>
      </c>
      <c r="BI1552">
        <v>2.4</v>
      </c>
      <c r="BJ1552">
        <v>31</v>
      </c>
      <c r="BK1552">
        <v>0</v>
      </c>
      <c r="BL1552">
        <v>0</v>
      </c>
      <c r="BM1552">
        <v>0</v>
      </c>
      <c r="BN1552">
        <v>5</v>
      </c>
      <c r="BO1552">
        <v>2.4</v>
      </c>
      <c r="BP1552">
        <v>36</v>
      </c>
      <c r="BQ1552">
        <v>0</v>
      </c>
      <c r="BR1552">
        <v>0</v>
      </c>
      <c r="BS1552">
        <v>0</v>
      </c>
      <c r="BT1552">
        <v>5</v>
      </c>
      <c r="BU1552">
        <v>1.6</v>
      </c>
    </row>
    <row r="1553" spans="1:73" ht="14.25" x14ac:dyDescent="0.15">
      <c r="A1553" s="12">
        <v>30550</v>
      </c>
      <c r="B1553">
        <v>7</v>
      </c>
      <c r="C1553" s="1">
        <v>0</v>
      </c>
      <c r="D1553">
        <v>5</v>
      </c>
      <c r="E1553">
        <v>1</v>
      </c>
      <c r="F1553">
        <v>1</v>
      </c>
      <c r="G1553" s="7">
        <v>0.05</v>
      </c>
      <c r="H1553">
        <v>12</v>
      </c>
      <c r="I1553">
        <v>0</v>
      </c>
      <c r="J1553">
        <v>0</v>
      </c>
      <c r="K1553">
        <v>0</v>
      </c>
      <c r="L1553">
        <v>1</v>
      </c>
      <c r="M1553">
        <v>2</v>
      </c>
      <c r="N1553" s="7">
        <v>9</v>
      </c>
      <c r="O1553" s="7">
        <v>0</v>
      </c>
      <c r="P1553" s="7">
        <v>0</v>
      </c>
      <c r="Q1553" s="7">
        <v>0</v>
      </c>
      <c r="R1553" s="7">
        <v>1</v>
      </c>
      <c r="S1553" s="7">
        <v>4.5</v>
      </c>
      <c r="T1553">
        <v>7</v>
      </c>
      <c r="U1553" s="1">
        <v>0</v>
      </c>
      <c r="V1553">
        <v>4</v>
      </c>
      <c r="W1553">
        <v>2</v>
      </c>
      <c r="X1553">
        <v>1</v>
      </c>
      <c r="Y1553">
        <v>0.16</v>
      </c>
      <c r="Z1553">
        <v>23</v>
      </c>
      <c r="AA1553">
        <v>0</v>
      </c>
      <c r="AB1553">
        <v>0</v>
      </c>
      <c r="AC1553">
        <v>0</v>
      </c>
      <c r="AD1553">
        <v>1</v>
      </c>
      <c r="AE1553">
        <v>0.05</v>
      </c>
      <c r="AF1553">
        <v>15</v>
      </c>
      <c r="AG1553">
        <v>0</v>
      </c>
      <c r="AH1553">
        <v>0</v>
      </c>
      <c r="AI1553">
        <v>0</v>
      </c>
      <c r="AJ1553">
        <v>1</v>
      </c>
      <c r="AK1553">
        <v>0.02</v>
      </c>
      <c r="AL1553">
        <v>16</v>
      </c>
      <c r="AM1553">
        <v>0</v>
      </c>
      <c r="AN1553">
        <v>0</v>
      </c>
      <c r="AO1553">
        <v>0</v>
      </c>
      <c r="AP1553">
        <v>1</v>
      </c>
      <c r="AQ1553">
        <v>0.01</v>
      </c>
      <c r="AR1553">
        <v>6</v>
      </c>
      <c r="AS1553">
        <v>2</v>
      </c>
      <c r="AT1553">
        <v>5</v>
      </c>
      <c r="AU1553">
        <v>5</v>
      </c>
      <c r="AV1553">
        <v>1</v>
      </c>
      <c r="AW1553">
        <v>0.01</v>
      </c>
      <c r="AX1553">
        <v>7</v>
      </c>
      <c r="AY1553" s="1">
        <v>0</v>
      </c>
      <c r="AZ1553">
        <v>3</v>
      </c>
      <c r="BA1553">
        <v>1</v>
      </c>
      <c r="BB1553">
        <v>1</v>
      </c>
      <c r="BC1553" s="7">
        <v>0.32</v>
      </c>
      <c r="BD1553">
        <v>30</v>
      </c>
      <c r="BE1553">
        <v>0</v>
      </c>
      <c r="BF1553">
        <v>0</v>
      </c>
      <c r="BG1553">
        <v>0</v>
      </c>
      <c r="BH1553">
        <v>5</v>
      </c>
      <c r="BI1553">
        <v>2.4</v>
      </c>
      <c r="BJ1553">
        <v>31</v>
      </c>
      <c r="BK1553">
        <v>0</v>
      </c>
      <c r="BL1553">
        <v>0</v>
      </c>
      <c r="BM1553">
        <v>0</v>
      </c>
      <c r="BN1553">
        <v>5</v>
      </c>
      <c r="BO1553">
        <v>2.4</v>
      </c>
      <c r="BP1553">
        <v>36</v>
      </c>
      <c r="BQ1553">
        <v>0</v>
      </c>
      <c r="BR1553">
        <v>0</v>
      </c>
      <c r="BS1553">
        <v>0</v>
      </c>
      <c r="BT1553">
        <v>5</v>
      </c>
      <c r="BU1553">
        <v>1.6</v>
      </c>
    </row>
    <row r="1554" spans="1:73" ht="14.25" x14ac:dyDescent="0.15">
      <c r="A1554" s="12">
        <v>30601</v>
      </c>
      <c r="B1554">
        <v>7</v>
      </c>
      <c r="C1554" s="1">
        <v>45</v>
      </c>
      <c r="D1554">
        <v>0</v>
      </c>
      <c r="E1554">
        <v>0</v>
      </c>
      <c r="F1554">
        <v>1</v>
      </c>
      <c r="G1554" s="7">
        <v>0.05</v>
      </c>
      <c r="H1554">
        <v>12</v>
      </c>
      <c r="I1554">
        <v>0</v>
      </c>
      <c r="J1554">
        <v>0</v>
      </c>
      <c r="K1554">
        <v>0</v>
      </c>
      <c r="L1554">
        <v>1</v>
      </c>
      <c r="M1554">
        <v>2</v>
      </c>
      <c r="N1554" s="7">
        <v>9</v>
      </c>
      <c r="O1554" s="7">
        <v>0</v>
      </c>
      <c r="P1554" s="7">
        <v>0</v>
      </c>
      <c r="Q1554" s="7">
        <v>0</v>
      </c>
      <c r="R1554" s="7">
        <v>1</v>
      </c>
      <c r="S1554" s="7">
        <v>4.5</v>
      </c>
      <c r="T1554">
        <v>7</v>
      </c>
      <c r="U1554" s="1">
        <v>33</v>
      </c>
      <c r="V1554">
        <v>0</v>
      </c>
      <c r="W1554">
        <v>0</v>
      </c>
      <c r="X1554">
        <v>1</v>
      </c>
      <c r="Y1554">
        <v>0.16</v>
      </c>
      <c r="Z1554">
        <v>23</v>
      </c>
      <c r="AA1554">
        <v>0</v>
      </c>
      <c r="AB1554">
        <v>0</v>
      </c>
      <c r="AC1554">
        <v>0</v>
      </c>
      <c r="AD1554">
        <v>1</v>
      </c>
      <c r="AE1554">
        <v>0.05</v>
      </c>
      <c r="AF1554">
        <v>15</v>
      </c>
      <c r="AG1554">
        <v>0</v>
      </c>
      <c r="AH1554">
        <v>0</v>
      </c>
      <c r="AI1554">
        <v>0</v>
      </c>
      <c r="AJ1554">
        <v>1</v>
      </c>
      <c r="AK1554">
        <v>0.02</v>
      </c>
      <c r="AL1554">
        <v>16</v>
      </c>
      <c r="AM1554">
        <v>0</v>
      </c>
      <c r="AN1554">
        <v>0</v>
      </c>
      <c r="AO1554">
        <v>0</v>
      </c>
      <c r="AP1554">
        <v>1</v>
      </c>
      <c r="AQ1554">
        <v>0.01</v>
      </c>
      <c r="AX1554">
        <v>7</v>
      </c>
      <c r="AY1554" s="1">
        <v>17</v>
      </c>
      <c r="AZ1554">
        <v>0</v>
      </c>
      <c r="BA1554">
        <v>0</v>
      </c>
      <c r="BB1554">
        <v>1</v>
      </c>
      <c r="BC1554" s="7">
        <v>0.32</v>
      </c>
      <c r="BD1554">
        <v>30</v>
      </c>
      <c r="BE1554">
        <v>0</v>
      </c>
      <c r="BF1554">
        <v>0</v>
      </c>
      <c r="BG1554">
        <v>0</v>
      </c>
      <c r="BH1554">
        <v>5</v>
      </c>
      <c r="BI1554">
        <v>2.4</v>
      </c>
      <c r="BJ1554">
        <v>31</v>
      </c>
      <c r="BK1554">
        <v>0</v>
      </c>
      <c r="BL1554">
        <v>0</v>
      </c>
      <c r="BM1554">
        <v>0</v>
      </c>
      <c r="BN1554">
        <v>5</v>
      </c>
      <c r="BO1554">
        <v>2.4</v>
      </c>
      <c r="BP1554">
        <v>36</v>
      </c>
      <c r="BQ1554">
        <v>0</v>
      </c>
      <c r="BR1554">
        <v>0</v>
      </c>
      <c r="BS1554">
        <v>0</v>
      </c>
      <c r="BT1554">
        <v>5</v>
      </c>
      <c r="BU1554">
        <v>1.6</v>
      </c>
    </row>
    <row r="1555" spans="1:73" ht="14.25" x14ac:dyDescent="0.15">
      <c r="A1555" s="12">
        <v>30602</v>
      </c>
      <c r="B1555">
        <v>7</v>
      </c>
      <c r="C1555" s="1">
        <v>46</v>
      </c>
      <c r="D1555">
        <v>0</v>
      </c>
      <c r="E1555">
        <v>0</v>
      </c>
      <c r="F1555">
        <v>1</v>
      </c>
      <c r="G1555" s="7">
        <v>0.05</v>
      </c>
      <c r="H1555">
        <v>12</v>
      </c>
      <c r="I1555">
        <v>0</v>
      </c>
      <c r="J1555">
        <v>0</v>
      </c>
      <c r="K1555">
        <v>0</v>
      </c>
      <c r="L1555">
        <v>1</v>
      </c>
      <c r="M1555">
        <v>2</v>
      </c>
      <c r="N1555" s="7">
        <v>9</v>
      </c>
      <c r="O1555" s="7">
        <v>0</v>
      </c>
      <c r="P1555" s="7">
        <v>0</v>
      </c>
      <c r="Q1555" s="7">
        <v>0</v>
      </c>
      <c r="R1555" s="7">
        <v>1</v>
      </c>
      <c r="S1555" s="7">
        <v>4.5</v>
      </c>
      <c r="T1555">
        <v>7</v>
      </c>
      <c r="U1555" s="1">
        <v>34</v>
      </c>
      <c r="V1555">
        <v>0</v>
      </c>
      <c r="W1555">
        <v>0</v>
      </c>
      <c r="X1555">
        <v>1</v>
      </c>
      <c r="Y1555">
        <v>0.16</v>
      </c>
      <c r="Z1555">
        <v>23</v>
      </c>
      <c r="AA1555">
        <v>0</v>
      </c>
      <c r="AB1555">
        <v>0</v>
      </c>
      <c r="AC1555">
        <v>0</v>
      </c>
      <c r="AD1555">
        <v>1</v>
      </c>
      <c r="AE1555">
        <v>0.05</v>
      </c>
      <c r="AF1555">
        <v>15</v>
      </c>
      <c r="AG1555">
        <v>0</v>
      </c>
      <c r="AH1555">
        <v>0</v>
      </c>
      <c r="AI1555">
        <v>0</v>
      </c>
      <c r="AJ1555">
        <v>1</v>
      </c>
      <c r="AK1555">
        <v>0.02</v>
      </c>
      <c r="AL1555">
        <v>16</v>
      </c>
      <c r="AM1555">
        <v>0</v>
      </c>
      <c r="AN1555">
        <v>0</v>
      </c>
      <c r="AO1555">
        <v>0</v>
      </c>
      <c r="AP1555">
        <v>1</v>
      </c>
      <c r="AQ1555">
        <v>0.01</v>
      </c>
      <c r="AX1555">
        <v>7</v>
      </c>
      <c r="AY1555" s="1">
        <v>18</v>
      </c>
      <c r="AZ1555">
        <v>0</v>
      </c>
      <c r="BA1555">
        <v>0</v>
      </c>
      <c r="BB1555">
        <v>1</v>
      </c>
      <c r="BC1555" s="7">
        <v>0.32</v>
      </c>
      <c r="BD1555">
        <v>30</v>
      </c>
      <c r="BE1555">
        <v>0</v>
      </c>
      <c r="BF1555">
        <v>0</v>
      </c>
      <c r="BG1555">
        <v>0</v>
      </c>
      <c r="BH1555">
        <v>5</v>
      </c>
      <c r="BI1555">
        <v>2.4</v>
      </c>
      <c r="BJ1555">
        <v>31</v>
      </c>
      <c r="BK1555">
        <v>0</v>
      </c>
      <c r="BL1555">
        <v>0</v>
      </c>
      <c r="BM1555">
        <v>0</v>
      </c>
      <c r="BN1555">
        <v>5</v>
      </c>
      <c r="BO1555">
        <v>2.4</v>
      </c>
      <c r="BP1555">
        <v>36</v>
      </c>
      <c r="BQ1555">
        <v>0</v>
      </c>
      <c r="BR1555">
        <v>0</v>
      </c>
      <c r="BS1555">
        <v>0</v>
      </c>
      <c r="BT1555">
        <v>5</v>
      </c>
      <c r="BU1555">
        <v>1.6</v>
      </c>
    </row>
    <row r="1556" spans="1:73" ht="14.25" x14ac:dyDescent="0.15">
      <c r="A1556" s="12">
        <v>30603</v>
      </c>
      <c r="B1556">
        <v>7</v>
      </c>
      <c r="C1556" s="1">
        <v>47</v>
      </c>
      <c r="D1556">
        <v>0</v>
      </c>
      <c r="E1556">
        <v>0</v>
      </c>
      <c r="F1556">
        <v>1</v>
      </c>
      <c r="G1556" s="7">
        <v>0.05</v>
      </c>
      <c r="H1556">
        <v>12</v>
      </c>
      <c r="I1556">
        <v>0</v>
      </c>
      <c r="J1556">
        <v>0</v>
      </c>
      <c r="K1556">
        <v>0</v>
      </c>
      <c r="L1556">
        <v>1</v>
      </c>
      <c r="M1556">
        <v>2</v>
      </c>
      <c r="N1556" s="7">
        <v>9</v>
      </c>
      <c r="O1556" s="7">
        <v>0</v>
      </c>
      <c r="P1556" s="7">
        <v>0</v>
      </c>
      <c r="Q1556" s="7">
        <v>0</v>
      </c>
      <c r="R1556" s="7">
        <v>1</v>
      </c>
      <c r="S1556" s="7">
        <v>4.5</v>
      </c>
      <c r="T1556">
        <v>7</v>
      </c>
      <c r="U1556" s="1">
        <v>35</v>
      </c>
      <c r="V1556">
        <v>0</v>
      </c>
      <c r="W1556">
        <v>0</v>
      </c>
      <c r="X1556">
        <v>1</v>
      </c>
      <c r="Y1556">
        <v>0.16</v>
      </c>
      <c r="Z1556">
        <v>23</v>
      </c>
      <c r="AA1556">
        <v>0</v>
      </c>
      <c r="AB1556">
        <v>0</v>
      </c>
      <c r="AC1556">
        <v>0</v>
      </c>
      <c r="AD1556">
        <v>1</v>
      </c>
      <c r="AE1556">
        <v>0.05</v>
      </c>
      <c r="AF1556">
        <v>15</v>
      </c>
      <c r="AG1556">
        <v>0</v>
      </c>
      <c r="AH1556">
        <v>0</v>
      </c>
      <c r="AI1556">
        <v>0</v>
      </c>
      <c r="AJ1556">
        <v>1</v>
      </c>
      <c r="AK1556">
        <v>0.02</v>
      </c>
      <c r="AL1556">
        <v>16</v>
      </c>
      <c r="AM1556">
        <v>0</v>
      </c>
      <c r="AN1556">
        <v>0</v>
      </c>
      <c r="AO1556">
        <v>0</v>
      </c>
      <c r="AP1556">
        <v>1</v>
      </c>
      <c r="AQ1556">
        <v>0.01</v>
      </c>
      <c r="AX1556">
        <v>7</v>
      </c>
      <c r="AY1556" s="1">
        <v>19</v>
      </c>
      <c r="AZ1556">
        <v>0</v>
      </c>
      <c r="BA1556">
        <v>0</v>
      </c>
      <c r="BB1556">
        <v>1</v>
      </c>
      <c r="BC1556" s="7">
        <v>0.32</v>
      </c>
      <c r="BD1556">
        <v>30</v>
      </c>
      <c r="BE1556">
        <v>0</v>
      </c>
      <c r="BF1556">
        <v>0</v>
      </c>
      <c r="BG1556">
        <v>0</v>
      </c>
      <c r="BH1556">
        <v>5</v>
      </c>
      <c r="BI1556">
        <v>2.4</v>
      </c>
      <c r="BJ1556">
        <v>31</v>
      </c>
      <c r="BK1556">
        <v>0</v>
      </c>
      <c r="BL1556">
        <v>0</v>
      </c>
      <c r="BM1556">
        <v>0</v>
      </c>
      <c r="BN1556">
        <v>5</v>
      </c>
      <c r="BO1556">
        <v>2.4</v>
      </c>
      <c r="BP1556">
        <v>36</v>
      </c>
      <c r="BQ1556">
        <v>0</v>
      </c>
      <c r="BR1556">
        <v>0</v>
      </c>
      <c r="BS1556">
        <v>0</v>
      </c>
      <c r="BT1556">
        <v>5</v>
      </c>
      <c r="BU1556">
        <v>1.6</v>
      </c>
    </row>
    <row r="1557" spans="1:73" ht="14.25" x14ac:dyDescent="0.15">
      <c r="A1557" s="12">
        <v>30604</v>
      </c>
      <c r="B1557">
        <v>7</v>
      </c>
      <c r="C1557" s="1">
        <v>48</v>
      </c>
      <c r="D1557">
        <v>0</v>
      </c>
      <c r="E1557">
        <v>0</v>
      </c>
      <c r="F1557">
        <v>1</v>
      </c>
      <c r="G1557" s="7">
        <v>0.05</v>
      </c>
      <c r="H1557">
        <v>12</v>
      </c>
      <c r="I1557">
        <v>0</v>
      </c>
      <c r="J1557">
        <v>0</v>
      </c>
      <c r="K1557">
        <v>0</v>
      </c>
      <c r="L1557">
        <v>1</v>
      </c>
      <c r="M1557">
        <v>2</v>
      </c>
      <c r="N1557" s="7">
        <v>9</v>
      </c>
      <c r="O1557" s="7">
        <v>0</v>
      </c>
      <c r="P1557" s="7">
        <v>0</v>
      </c>
      <c r="Q1557" s="7">
        <v>0</v>
      </c>
      <c r="R1557" s="7">
        <v>1</v>
      </c>
      <c r="S1557" s="7">
        <v>4.5</v>
      </c>
      <c r="T1557">
        <v>7</v>
      </c>
      <c r="U1557" s="1">
        <v>36</v>
      </c>
      <c r="V1557">
        <v>0</v>
      </c>
      <c r="W1557">
        <v>0</v>
      </c>
      <c r="X1557">
        <v>1</v>
      </c>
      <c r="Y1557">
        <v>0.16</v>
      </c>
      <c r="Z1557">
        <v>23</v>
      </c>
      <c r="AA1557">
        <v>0</v>
      </c>
      <c r="AB1557">
        <v>0</v>
      </c>
      <c r="AC1557">
        <v>0</v>
      </c>
      <c r="AD1557">
        <v>1</v>
      </c>
      <c r="AE1557">
        <v>0.05</v>
      </c>
      <c r="AF1557">
        <v>15</v>
      </c>
      <c r="AG1557">
        <v>0</v>
      </c>
      <c r="AH1557">
        <v>0</v>
      </c>
      <c r="AI1557">
        <v>0</v>
      </c>
      <c r="AJ1557">
        <v>1</v>
      </c>
      <c r="AK1557">
        <v>0.02</v>
      </c>
      <c r="AL1557">
        <v>16</v>
      </c>
      <c r="AM1557">
        <v>0</v>
      </c>
      <c r="AN1557">
        <v>0</v>
      </c>
      <c r="AO1557">
        <v>0</v>
      </c>
      <c r="AP1557">
        <v>1</v>
      </c>
      <c r="AQ1557">
        <v>0.01</v>
      </c>
      <c r="AX1557">
        <v>7</v>
      </c>
      <c r="AY1557" s="1">
        <v>20</v>
      </c>
      <c r="AZ1557">
        <v>0</v>
      </c>
      <c r="BA1557">
        <v>0</v>
      </c>
      <c r="BB1557">
        <v>1</v>
      </c>
      <c r="BC1557" s="7">
        <v>0.32</v>
      </c>
      <c r="BD1557">
        <v>30</v>
      </c>
      <c r="BE1557">
        <v>0</v>
      </c>
      <c r="BF1557">
        <v>0</v>
      </c>
      <c r="BG1557">
        <v>0</v>
      </c>
      <c r="BH1557">
        <v>5</v>
      </c>
      <c r="BI1557">
        <v>2.4</v>
      </c>
      <c r="BJ1557">
        <v>31</v>
      </c>
      <c r="BK1557">
        <v>0</v>
      </c>
      <c r="BL1557">
        <v>0</v>
      </c>
      <c r="BM1557">
        <v>0</v>
      </c>
      <c r="BN1557">
        <v>5</v>
      </c>
      <c r="BO1557">
        <v>2.4</v>
      </c>
      <c r="BP1557">
        <v>36</v>
      </c>
      <c r="BQ1557">
        <v>0</v>
      </c>
      <c r="BR1557">
        <v>0</v>
      </c>
      <c r="BS1557">
        <v>0</v>
      </c>
      <c r="BT1557">
        <v>5</v>
      </c>
      <c r="BU1557">
        <v>1.6</v>
      </c>
    </row>
    <row r="1558" spans="1:73" ht="14.25" x14ac:dyDescent="0.15">
      <c r="A1558" s="12">
        <v>30605</v>
      </c>
      <c r="B1558">
        <v>7</v>
      </c>
      <c r="C1558" s="1">
        <v>0</v>
      </c>
      <c r="D1558">
        <v>5</v>
      </c>
      <c r="E1558">
        <v>1</v>
      </c>
      <c r="F1558">
        <v>1</v>
      </c>
      <c r="G1558" s="7">
        <v>0.05</v>
      </c>
      <c r="H1558">
        <v>12</v>
      </c>
      <c r="I1558">
        <v>0</v>
      </c>
      <c r="J1558">
        <v>0</v>
      </c>
      <c r="K1558">
        <v>0</v>
      </c>
      <c r="L1558">
        <v>1</v>
      </c>
      <c r="M1558">
        <v>2</v>
      </c>
      <c r="N1558" s="7">
        <v>9</v>
      </c>
      <c r="O1558" s="7">
        <v>0</v>
      </c>
      <c r="P1558" s="7">
        <v>0</v>
      </c>
      <c r="Q1558" s="7">
        <v>0</v>
      </c>
      <c r="R1558" s="7">
        <v>1</v>
      </c>
      <c r="S1558" s="7">
        <v>4.5</v>
      </c>
      <c r="T1558">
        <v>7</v>
      </c>
      <c r="U1558" s="1">
        <v>0</v>
      </c>
      <c r="V1558">
        <v>4</v>
      </c>
      <c r="W1558">
        <v>2</v>
      </c>
      <c r="X1558">
        <v>1</v>
      </c>
      <c r="Y1558">
        <v>0.16</v>
      </c>
      <c r="Z1558">
        <v>23</v>
      </c>
      <c r="AA1558">
        <v>0</v>
      </c>
      <c r="AB1558">
        <v>0</v>
      </c>
      <c r="AC1558">
        <v>0</v>
      </c>
      <c r="AD1558">
        <v>1</v>
      </c>
      <c r="AE1558">
        <v>0.05</v>
      </c>
      <c r="AF1558">
        <v>15</v>
      </c>
      <c r="AG1558">
        <v>0</v>
      </c>
      <c r="AH1558">
        <v>0</v>
      </c>
      <c r="AI1558">
        <v>0</v>
      </c>
      <c r="AJ1558">
        <v>1</v>
      </c>
      <c r="AK1558">
        <v>0.02</v>
      </c>
      <c r="AL1558">
        <v>16</v>
      </c>
      <c r="AM1558">
        <v>0</v>
      </c>
      <c r="AN1558">
        <v>0</v>
      </c>
      <c r="AO1558">
        <v>0</v>
      </c>
      <c r="AP1558">
        <v>1</v>
      </c>
      <c r="AQ1558">
        <v>0.01</v>
      </c>
      <c r="AR1558">
        <v>6</v>
      </c>
      <c r="AS1558">
        <v>2</v>
      </c>
      <c r="AT1558">
        <v>1</v>
      </c>
      <c r="AU1558">
        <v>5</v>
      </c>
      <c r="AV1558">
        <v>1</v>
      </c>
      <c r="AW1558">
        <v>0.05</v>
      </c>
      <c r="AX1558">
        <v>7</v>
      </c>
      <c r="AY1558" s="1">
        <v>0</v>
      </c>
      <c r="AZ1558">
        <v>3</v>
      </c>
      <c r="BA1558">
        <v>1</v>
      </c>
      <c r="BB1558">
        <v>1</v>
      </c>
      <c r="BC1558" s="7">
        <v>0.32</v>
      </c>
      <c r="BD1558">
        <v>30</v>
      </c>
      <c r="BE1558">
        <v>0</v>
      </c>
      <c r="BF1558">
        <v>0</v>
      </c>
      <c r="BG1558">
        <v>0</v>
      </c>
      <c r="BH1558">
        <v>5</v>
      </c>
      <c r="BI1558">
        <v>2.4</v>
      </c>
      <c r="BJ1558">
        <v>31</v>
      </c>
      <c r="BK1558">
        <v>0</v>
      </c>
      <c r="BL1558">
        <v>0</v>
      </c>
      <c r="BM1558">
        <v>0</v>
      </c>
      <c r="BN1558">
        <v>5</v>
      </c>
      <c r="BO1558">
        <v>2.4</v>
      </c>
      <c r="BP1558">
        <v>36</v>
      </c>
      <c r="BQ1558">
        <v>0</v>
      </c>
      <c r="BR1558">
        <v>0</v>
      </c>
      <c r="BS1558">
        <v>0</v>
      </c>
      <c r="BT1558">
        <v>5</v>
      </c>
      <c r="BU1558">
        <v>1.6</v>
      </c>
    </row>
    <row r="1559" spans="1:73" ht="14.25" x14ac:dyDescent="0.15">
      <c r="A1559" s="12">
        <v>30606</v>
      </c>
      <c r="B1559">
        <v>7</v>
      </c>
      <c r="C1559" s="1">
        <v>45</v>
      </c>
      <c r="D1559">
        <v>0</v>
      </c>
      <c r="E1559">
        <v>0</v>
      </c>
      <c r="F1559">
        <v>1</v>
      </c>
      <c r="G1559" s="7">
        <v>0.05</v>
      </c>
      <c r="H1559">
        <v>12</v>
      </c>
      <c r="I1559">
        <v>0</v>
      </c>
      <c r="J1559">
        <v>0</v>
      </c>
      <c r="K1559">
        <v>0</v>
      </c>
      <c r="L1559">
        <v>1</v>
      </c>
      <c r="M1559">
        <v>2</v>
      </c>
      <c r="N1559" s="7">
        <v>9</v>
      </c>
      <c r="O1559" s="7">
        <v>0</v>
      </c>
      <c r="P1559" s="7">
        <v>0</v>
      </c>
      <c r="Q1559" s="7">
        <v>0</v>
      </c>
      <c r="R1559" s="7">
        <v>1</v>
      </c>
      <c r="S1559" s="7">
        <v>4.5</v>
      </c>
      <c r="T1559">
        <v>7</v>
      </c>
      <c r="U1559" s="1">
        <v>33</v>
      </c>
      <c r="V1559">
        <v>0</v>
      </c>
      <c r="W1559">
        <v>0</v>
      </c>
      <c r="X1559">
        <v>1</v>
      </c>
      <c r="Y1559">
        <v>0.16</v>
      </c>
      <c r="Z1559">
        <v>23</v>
      </c>
      <c r="AA1559">
        <v>0</v>
      </c>
      <c r="AB1559">
        <v>0</v>
      </c>
      <c r="AC1559">
        <v>0</v>
      </c>
      <c r="AD1559">
        <v>1</v>
      </c>
      <c r="AE1559">
        <v>0.05</v>
      </c>
      <c r="AF1559">
        <v>15</v>
      </c>
      <c r="AG1559">
        <v>0</v>
      </c>
      <c r="AH1559">
        <v>0</v>
      </c>
      <c r="AI1559">
        <v>0</v>
      </c>
      <c r="AJ1559">
        <v>1</v>
      </c>
      <c r="AK1559">
        <v>0.02</v>
      </c>
      <c r="AL1559">
        <v>16</v>
      </c>
      <c r="AM1559">
        <v>0</v>
      </c>
      <c r="AN1559">
        <v>0</v>
      </c>
      <c r="AO1559">
        <v>0</v>
      </c>
      <c r="AP1559">
        <v>1</v>
      </c>
      <c r="AQ1559">
        <v>0.01</v>
      </c>
      <c r="AX1559">
        <v>7</v>
      </c>
      <c r="AY1559" s="1">
        <v>17</v>
      </c>
      <c r="AZ1559">
        <v>0</v>
      </c>
      <c r="BA1559">
        <v>0</v>
      </c>
      <c r="BB1559">
        <v>1</v>
      </c>
      <c r="BC1559" s="7">
        <v>0.32</v>
      </c>
      <c r="BD1559">
        <v>30</v>
      </c>
      <c r="BE1559">
        <v>0</v>
      </c>
      <c r="BF1559">
        <v>0</v>
      </c>
      <c r="BG1559">
        <v>0</v>
      </c>
      <c r="BH1559">
        <v>5</v>
      </c>
      <c r="BI1559">
        <v>2.4</v>
      </c>
      <c r="BJ1559">
        <v>31</v>
      </c>
      <c r="BK1559">
        <v>0</v>
      </c>
      <c r="BL1559">
        <v>0</v>
      </c>
      <c r="BM1559">
        <v>0</v>
      </c>
      <c r="BN1559">
        <v>5</v>
      </c>
      <c r="BO1559">
        <v>2.4</v>
      </c>
      <c r="BP1559">
        <v>36</v>
      </c>
      <c r="BQ1559">
        <v>0</v>
      </c>
      <c r="BR1559">
        <v>0</v>
      </c>
      <c r="BS1559">
        <v>0</v>
      </c>
      <c r="BT1559">
        <v>5</v>
      </c>
      <c r="BU1559">
        <v>1.6</v>
      </c>
    </row>
    <row r="1560" spans="1:73" ht="14.25" x14ac:dyDescent="0.15">
      <c r="A1560" s="12">
        <v>30607</v>
      </c>
      <c r="B1560">
        <v>7</v>
      </c>
      <c r="C1560" s="1">
        <v>46</v>
      </c>
      <c r="D1560">
        <v>0</v>
      </c>
      <c r="E1560">
        <v>0</v>
      </c>
      <c r="F1560">
        <v>1</v>
      </c>
      <c r="G1560" s="7">
        <v>0.05</v>
      </c>
      <c r="H1560">
        <v>12</v>
      </c>
      <c r="I1560">
        <v>0</v>
      </c>
      <c r="J1560">
        <v>0</v>
      </c>
      <c r="K1560">
        <v>0</v>
      </c>
      <c r="L1560">
        <v>1</v>
      </c>
      <c r="M1560">
        <v>2</v>
      </c>
      <c r="N1560" s="7">
        <v>9</v>
      </c>
      <c r="O1560" s="7">
        <v>0</v>
      </c>
      <c r="P1560" s="7">
        <v>0</v>
      </c>
      <c r="Q1560" s="7">
        <v>0</v>
      </c>
      <c r="R1560" s="7">
        <v>1</v>
      </c>
      <c r="S1560" s="7">
        <v>4.5</v>
      </c>
      <c r="T1560">
        <v>7</v>
      </c>
      <c r="U1560" s="1">
        <v>34</v>
      </c>
      <c r="V1560">
        <v>0</v>
      </c>
      <c r="W1560">
        <v>0</v>
      </c>
      <c r="X1560">
        <v>1</v>
      </c>
      <c r="Y1560">
        <v>0.16</v>
      </c>
      <c r="Z1560">
        <v>23</v>
      </c>
      <c r="AA1560">
        <v>0</v>
      </c>
      <c r="AB1560">
        <v>0</v>
      </c>
      <c r="AC1560">
        <v>0</v>
      </c>
      <c r="AD1560">
        <v>1</v>
      </c>
      <c r="AE1560">
        <v>0.05</v>
      </c>
      <c r="AF1560">
        <v>15</v>
      </c>
      <c r="AG1560">
        <v>0</v>
      </c>
      <c r="AH1560">
        <v>0</v>
      </c>
      <c r="AI1560">
        <v>0</v>
      </c>
      <c r="AJ1560">
        <v>1</v>
      </c>
      <c r="AK1560">
        <v>0.02</v>
      </c>
      <c r="AL1560">
        <v>16</v>
      </c>
      <c r="AM1560">
        <v>0</v>
      </c>
      <c r="AN1560">
        <v>0</v>
      </c>
      <c r="AO1560">
        <v>0</v>
      </c>
      <c r="AP1560">
        <v>1</v>
      </c>
      <c r="AQ1560">
        <v>0.01</v>
      </c>
      <c r="AX1560">
        <v>7</v>
      </c>
      <c r="AY1560" s="1">
        <v>18</v>
      </c>
      <c r="AZ1560">
        <v>0</v>
      </c>
      <c r="BA1560">
        <v>0</v>
      </c>
      <c r="BB1560">
        <v>1</v>
      </c>
      <c r="BC1560" s="7">
        <v>0.32</v>
      </c>
      <c r="BD1560">
        <v>30</v>
      </c>
      <c r="BE1560">
        <v>0</v>
      </c>
      <c r="BF1560">
        <v>0</v>
      </c>
      <c r="BG1560">
        <v>0</v>
      </c>
      <c r="BH1560">
        <v>5</v>
      </c>
      <c r="BI1560">
        <v>2.4</v>
      </c>
      <c r="BJ1560">
        <v>31</v>
      </c>
      <c r="BK1560">
        <v>0</v>
      </c>
      <c r="BL1560">
        <v>0</v>
      </c>
      <c r="BM1560">
        <v>0</v>
      </c>
      <c r="BN1560">
        <v>5</v>
      </c>
      <c r="BO1560">
        <v>2.4</v>
      </c>
      <c r="BP1560">
        <v>36</v>
      </c>
      <c r="BQ1560">
        <v>0</v>
      </c>
      <c r="BR1560">
        <v>0</v>
      </c>
      <c r="BS1560">
        <v>0</v>
      </c>
      <c r="BT1560">
        <v>5</v>
      </c>
      <c r="BU1560">
        <v>1.6</v>
      </c>
    </row>
    <row r="1561" spans="1:73" ht="14.25" x14ac:dyDescent="0.15">
      <c r="A1561" s="12">
        <v>30608</v>
      </c>
      <c r="B1561">
        <v>7</v>
      </c>
      <c r="C1561" s="1">
        <v>47</v>
      </c>
      <c r="D1561">
        <v>0</v>
      </c>
      <c r="E1561">
        <v>0</v>
      </c>
      <c r="F1561">
        <v>1</v>
      </c>
      <c r="G1561" s="7">
        <v>0.05</v>
      </c>
      <c r="H1561">
        <v>12</v>
      </c>
      <c r="I1561">
        <v>0</v>
      </c>
      <c r="J1561">
        <v>0</v>
      </c>
      <c r="K1561">
        <v>0</v>
      </c>
      <c r="L1561">
        <v>1</v>
      </c>
      <c r="M1561">
        <v>2</v>
      </c>
      <c r="N1561" s="7">
        <v>9</v>
      </c>
      <c r="O1561" s="7">
        <v>0</v>
      </c>
      <c r="P1561" s="7">
        <v>0</v>
      </c>
      <c r="Q1561" s="7">
        <v>0</v>
      </c>
      <c r="R1561" s="7">
        <v>1</v>
      </c>
      <c r="S1561" s="7">
        <v>4.5</v>
      </c>
      <c r="T1561">
        <v>7</v>
      </c>
      <c r="U1561" s="1">
        <v>35</v>
      </c>
      <c r="V1561">
        <v>0</v>
      </c>
      <c r="W1561">
        <v>0</v>
      </c>
      <c r="X1561">
        <v>1</v>
      </c>
      <c r="Y1561">
        <v>0.16</v>
      </c>
      <c r="Z1561">
        <v>23</v>
      </c>
      <c r="AA1561">
        <v>0</v>
      </c>
      <c r="AB1561">
        <v>0</v>
      </c>
      <c r="AC1561">
        <v>0</v>
      </c>
      <c r="AD1561">
        <v>1</v>
      </c>
      <c r="AE1561">
        <v>0.05</v>
      </c>
      <c r="AF1561">
        <v>15</v>
      </c>
      <c r="AG1561">
        <v>0</v>
      </c>
      <c r="AH1561">
        <v>0</v>
      </c>
      <c r="AI1561">
        <v>0</v>
      </c>
      <c r="AJ1561">
        <v>1</v>
      </c>
      <c r="AK1561">
        <v>0.02</v>
      </c>
      <c r="AL1561">
        <v>16</v>
      </c>
      <c r="AM1561">
        <v>0</v>
      </c>
      <c r="AN1561">
        <v>0</v>
      </c>
      <c r="AO1561">
        <v>0</v>
      </c>
      <c r="AP1561">
        <v>1</v>
      </c>
      <c r="AQ1561">
        <v>0.01</v>
      </c>
      <c r="AX1561">
        <v>7</v>
      </c>
      <c r="AY1561" s="1">
        <v>19</v>
      </c>
      <c r="AZ1561">
        <v>0</v>
      </c>
      <c r="BA1561">
        <v>0</v>
      </c>
      <c r="BB1561">
        <v>1</v>
      </c>
      <c r="BC1561" s="7">
        <v>0.32</v>
      </c>
      <c r="BD1561">
        <v>30</v>
      </c>
      <c r="BE1561">
        <v>0</v>
      </c>
      <c r="BF1561">
        <v>0</v>
      </c>
      <c r="BG1561">
        <v>0</v>
      </c>
      <c r="BH1561">
        <v>5</v>
      </c>
      <c r="BI1561">
        <v>2.4</v>
      </c>
      <c r="BJ1561">
        <v>31</v>
      </c>
      <c r="BK1561">
        <v>0</v>
      </c>
      <c r="BL1561">
        <v>0</v>
      </c>
      <c r="BM1561">
        <v>0</v>
      </c>
      <c r="BN1561">
        <v>5</v>
      </c>
      <c r="BO1561">
        <v>2.4</v>
      </c>
      <c r="BP1561">
        <v>36</v>
      </c>
      <c r="BQ1561">
        <v>0</v>
      </c>
      <c r="BR1561">
        <v>0</v>
      </c>
      <c r="BS1561">
        <v>0</v>
      </c>
      <c r="BT1561">
        <v>5</v>
      </c>
      <c r="BU1561">
        <v>1.6</v>
      </c>
    </row>
    <row r="1562" spans="1:73" ht="14.25" x14ac:dyDescent="0.15">
      <c r="A1562" s="12">
        <v>30609</v>
      </c>
      <c r="B1562">
        <v>7</v>
      </c>
      <c r="C1562" s="1">
        <v>48</v>
      </c>
      <c r="D1562">
        <v>0</v>
      </c>
      <c r="E1562">
        <v>0</v>
      </c>
      <c r="F1562">
        <v>1</v>
      </c>
      <c r="G1562" s="7">
        <v>0.05</v>
      </c>
      <c r="H1562">
        <v>12</v>
      </c>
      <c r="I1562">
        <v>0</v>
      </c>
      <c r="J1562">
        <v>0</v>
      </c>
      <c r="K1562">
        <v>0</v>
      </c>
      <c r="L1562">
        <v>1</v>
      </c>
      <c r="M1562">
        <v>2</v>
      </c>
      <c r="N1562" s="7">
        <v>9</v>
      </c>
      <c r="O1562" s="7">
        <v>0</v>
      </c>
      <c r="P1562" s="7">
        <v>0</v>
      </c>
      <c r="Q1562" s="7">
        <v>0</v>
      </c>
      <c r="R1562" s="7">
        <v>1</v>
      </c>
      <c r="S1562" s="7">
        <v>4.5</v>
      </c>
      <c r="T1562">
        <v>7</v>
      </c>
      <c r="U1562" s="1">
        <v>36</v>
      </c>
      <c r="V1562">
        <v>0</v>
      </c>
      <c r="W1562">
        <v>0</v>
      </c>
      <c r="X1562">
        <v>1</v>
      </c>
      <c r="Y1562">
        <v>0.16</v>
      </c>
      <c r="Z1562">
        <v>23</v>
      </c>
      <c r="AA1562">
        <v>0</v>
      </c>
      <c r="AB1562">
        <v>0</v>
      </c>
      <c r="AC1562">
        <v>0</v>
      </c>
      <c r="AD1562">
        <v>1</v>
      </c>
      <c r="AE1562">
        <v>0.05</v>
      </c>
      <c r="AF1562">
        <v>15</v>
      </c>
      <c r="AG1562">
        <v>0</v>
      </c>
      <c r="AH1562">
        <v>0</v>
      </c>
      <c r="AI1562">
        <v>0</v>
      </c>
      <c r="AJ1562">
        <v>1</v>
      </c>
      <c r="AK1562">
        <v>0.02</v>
      </c>
      <c r="AL1562">
        <v>16</v>
      </c>
      <c r="AM1562">
        <v>0</v>
      </c>
      <c r="AN1562">
        <v>0</v>
      </c>
      <c r="AO1562">
        <v>0</v>
      </c>
      <c r="AP1562">
        <v>1</v>
      </c>
      <c r="AQ1562">
        <v>0.01</v>
      </c>
      <c r="AX1562">
        <v>7</v>
      </c>
      <c r="AY1562" s="1">
        <v>20</v>
      </c>
      <c r="AZ1562">
        <v>0</v>
      </c>
      <c r="BA1562">
        <v>0</v>
      </c>
      <c r="BB1562">
        <v>1</v>
      </c>
      <c r="BC1562" s="7">
        <v>0.32</v>
      </c>
      <c r="BD1562">
        <v>30</v>
      </c>
      <c r="BE1562">
        <v>0</v>
      </c>
      <c r="BF1562">
        <v>0</v>
      </c>
      <c r="BG1562">
        <v>0</v>
      </c>
      <c r="BH1562">
        <v>5</v>
      </c>
      <c r="BI1562">
        <v>2.4</v>
      </c>
      <c r="BJ1562">
        <v>31</v>
      </c>
      <c r="BK1562">
        <v>0</v>
      </c>
      <c r="BL1562">
        <v>0</v>
      </c>
      <c r="BM1562">
        <v>0</v>
      </c>
      <c r="BN1562">
        <v>5</v>
      </c>
      <c r="BO1562">
        <v>2.4</v>
      </c>
      <c r="BP1562">
        <v>36</v>
      </c>
      <c r="BQ1562">
        <v>0</v>
      </c>
      <c r="BR1562">
        <v>0</v>
      </c>
      <c r="BS1562">
        <v>0</v>
      </c>
      <c r="BT1562">
        <v>5</v>
      </c>
      <c r="BU1562">
        <v>1.6</v>
      </c>
    </row>
    <row r="1563" spans="1:73" ht="14.25" x14ac:dyDescent="0.15">
      <c r="A1563" s="12">
        <v>30610</v>
      </c>
      <c r="B1563">
        <v>7</v>
      </c>
      <c r="C1563" s="1">
        <v>0</v>
      </c>
      <c r="D1563">
        <v>5</v>
      </c>
      <c r="E1563">
        <v>1</v>
      </c>
      <c r="F1563">
        <v>1</v>
      </c>
      <c r="G1563" s="7">
        <v>0.05</v>
      </c>
      <c r="H1563">
        <v>12</v>
      </c>
      <c r="I1563">
        <v>0</v>
      </c>
      <c r="J1563">
        <v>0</v>
      </c>
      <c r="K1563">
        <v>0</v>
      </c>
      <c r="L1563">
        <v>1</v>
      </c>
      <c r="M1563">
        <v>2</v>
      </c>
      <c r="N1563" s="7">
        <v>9</v>
      </c>
      <c r="O1563" s="7">
        <v>0</v>
      </c>
      <c r="P1563" s="7">
        <v>0</v>
      </c>
      <c r="Q1563" s="7">
        <v>0</v>
      </c>
      <c r="R1563" s="7">
        <v>1</v>
      </c>
      <c r="S1563" s="7">
        <v>4.5</v>
      </c>
      <c r="T1563">
        <v>7</v>
      </c>
      <c r="U1563" s="1">
        <v>0</v>
      </c>
      <c r="V1563">
        <v>4</v>
      </c>
      <c r="W1563">
        <v>2</v>
      </c>
      <c r="X1563">
        <v>1</v>
      </c>
      <c r="Y1563">
        <v>0.16</v>
      </c>
      <c r="Z1563">
        <v>23</v>
      </c>
      <c r="AA1563">
        <v>0</v>
      </c>
      <c r="AB1563">
        <v>0</v>
      </c>
      <c r="AC1563">
        <v>0</v>
      </c>
      <c r="AD1563">
        <v>1</v>
      </c>
      <c r="AE1563">
        <v>0.05</v>
      </c>
      <c r="AF1563">
        <v>15</v>
      </c>
      <c r="AG1563">
        <v>0</v>
      </c>
      <c r="AH1563">
        <v>0</v>
      </c>
      <c r="AI1563">
        <v>0</v>
      </c>
      <c r="AJ1563">
        <v>1</v>
      </c>
      <c r="AK1563">
        <v>0.02</v>
      </c>
      <c r="AL1563">
        <v>16</v>
      </c>
      <c r="AM1563">
        <v>0</v>
      </c>
      <c r="AN1563">
        <v>0</v>
      </c>
      <c r="AO1563">
        <v>0</v>
      </c>
      <c r="AP1563">
        <v>1</v>
      </c>
      <c r="AQ1563">
        <v>0.01</v>
      </c>
      <c r="AR1563">
        <v>6</v>
      </c>
      <c r="AS1563">
        <v>2</v>
      </c>
      <c r="AT1563">
        <v>2</v>
      </c>
      <c r="AU1563">
        <v>5</v>
      </c>
      <c r="AV1563">
        <v>1</v>
      </c>
      <c r="AW1563">
        <v>0.05</v>
      </c>
      <c r="AX1563">
        <v>7</v>
      </c>
      <c r="AY1563" s="1">
        <v>0</v>
      </c>
      <c r="AZ1563">
        <v>3</v>
      </c>
      <c r="BA1563">
        <v>1</v>
      </c>
      <c r="BB1563">
        <v>1</v>
      </c>
      <c r="BC1563" s="7">
        <v>0.32</v>
      </c>
      <c r="BD1563">
        <v>30</v>
      </c>
      <c r="BE1563">
        <v>0</v>
      </c>
      <c r="BF1563">
        <v>0</v>
      </c>
      <c r="BG1563">
        <v>0</v>
      </c>
      <c r="BH1563">
        <v>5</v>
      </c>
      <c r="BI1563">
        <v>2.4</v>
      </c>
      <c r="BJ1563">
        <v>31</v>
      </c>
      <c r="BK1563">
        <v>0</v>
      </c>
      <c r="BL1563">
        <v>0</v>
      </c>
      <c r="BM1563">
        <v>0</v>
      </c>
      <c r="BN1563">
        <v>5</v>
      </c>
      <c r="BO1563">
        <v>2.4</v>
      </c>
      <c r="BP1563">
        <v>36</v>
      </c>
      <c r="BQ1563">
        <v>0</v>
      </c>
      <c r="BR1563">
        <v>0</v>
      </c>
      <c r="BS1563">
        <v>0</v>
      </c>
      <c r="BT1563">
        <v>5</v>
      </c>
      <c r="BU1563">
        <v>1.6</v>
      </c>
    </row>
    <row r="1564" spans="1:73" ht="14.25" x14ac:dyDescent="0.15">
      <c r="A1564" s="12">
        <v>30611</v>
      </c>
      <c r="B1564">
        <v>7</v>
      </c>
      <c r="C1564" s="1">
        <v>45</v>
      </c>
      <c r="D1564">
        <v>0</v>
      </c>
      <c r="E1564">
        <v>0</v>
      </c>
      <c r="F1564">
        <v>1</v>
      </c>
      <c r="G1564" s="7">
        <v>0.05</v>
      </c>
      <c r="H1564">
        <v>12</v>
      </c>
      <c r="I1564">
        <v>0</v>
      </c>
      <c r="J1564">
        <v>0</v>
      </c>
      <c r="K1564">
        <v>0</v>
      </c>
      <c r="L1564">
        <v>1</v>
      </c>
      <c r="M1564">
        <v>2</v>
      </c>
      <c r="N1564" s="7">
        <v>9</v>
      </c>
      <c r="O1564" s="7">
        <v>0</v>
      </c>
      <c r="P1564" s="7">
        <v>0</v>
      </c>
      <c r="Q1564" s="7">
        <v>0</v>
      </c>
      <c r="R1564" s="7">
        <v>1</v>
      </c>
      <c r="S1564" s="7">
        <v>4.5</v>
      </c>
      <c r="T1564">
        <v>7</v>
      </c>
      <c r="U1564" s="1">
        <v>33</v>
      </c>
      <c r="V1564">
        <v>0</v>
      </c>
      <c r="W1564">
        <v>0</v>
      </c>
      <c r="X1564">
        <v>1</v>
      </c>
      <c r="Y1564">
        <v>0.16</v>
      </c>
      <c r="Z1564">
        <v>23</v>
      </c>
      <c r="AA1564">
        <v>0</v>
      </c>
      <c r="AB1564">
        <v>0</v>
      </c>
      <c r="AC1564">
        <v>0</v>
      </c>
      <c r="AD1564">
        <v>1</v>
      </c>
      <c r="AE1564">
        <v>0.05</v>
      </c>
      <c r="AF1564">
        <v>15</v>
      </c>
      <c r="AG1564">
        <v>0</v>
      </c>
      <c r="AH1564">
        <v>0</v>
      </c>
      <c r="AI1564">
        <v>0</v>
      </c>
      <c r="AJ1564">
        <v>1</v>
      </c>
      <c r="AK1564">
        <v>0.02</v>
      </c>
      <c r="AL1564">
        <v>16</v>
      </c>
      <c r="AM1564">
        <v>0</v>
      </c>
      <c r="AN1564">
        <v>0</v>
      </c>
      <c r="AO1564">
        <v>0</v>
      </c>
      <c r="AP1564">
        <v>1</v>
      </c>
      <c r="AQ1564">
        <v>0.01</v>
      </c>
      <c r="AX1564">
        <v>7</v>
      </c>
      <c r="AY1564" s="1">
        <v>17</v>
      </c>
      <c r="AZ1564">
        <v>0</v>
      </c>
      <c r="BA1564">
        <v>0</v>
      </c>
      <c r="BB1564">
        <v>1</v>
      </c>
      <c r="BC1564" s="7">
        <v>0.32</v>
      </c>
      <c r="BD1564">
        <v>30</v>
      </c>
      <c r="BE1564">
        <v>0</v>
      </c>
      <c r="BF1564">
        <v>0</v>
      </c>
      <c r="BG1564">
        <v>0</v>
      </c>
      <c r="BH1564">
        <v>5</v>
      </c>
      <c r="BI1564">
        <v>2.4</v>
      </c>
      <c r="BJ1564">
        <v>31</v>
      </c>
      <c r="BK1564">
        <v>0</v>
      </c>
      <c r="BL1564">
        <v>0</v>
      </c>
      <c r="BM1564">
        <v>0</v>
      </c>
      <c r="BN1564">
        <v>5</v>
      </c>
      <c r="BO1564">
        <v>2.4</v>
      </c>
      <c r="BP1564">
        <v>36</v>
      </c>
      <c r="BQ1564">
        <v>0</v>
      </c>
      <c r="BR1564">
        <v>0</v>
      </c>
      <c r="BS1564">
        <v>0</v>
      </c>
      <c r="BT1564">
        <v>5</v>
      </c>
      <c r="BU1564">
        <v>1.6</v>
      </c>
    </row>
    <row r="1565" spans="1:73" ht="14.25" x14ac:dyDescent="0.15">
      <c r="A1565" s="12">
        <v>30612</v>
      </c>
      <c r="B1565">
        <v>7</v>
      </c>
      <c r="C1565" s="1">
        <v>46</v>
      </c>
      <c r="D1565">
        <v>0</v>
      </c>
      <c r="E1565">
        <v>0</v>
      </c>
      <c r="F1565">
        <v>1</v>
      </c>
      <c r="G1565" s="7">
        <v>0.05</v>
      </c>
      <c r="H1565">
        <v>12</v>
      </c>
      <c r="I1565">
        <v>0</v>
      </c>
      <c r="J1565">
        <v>0</v>
      </c>
      <c r="K1565">
        <v>0</v>
      </c>
      <c r="L1565">
        <v>1</v>
      </c>
      <c r="M1565">
        <v>2</v>
      </c>
      <c r="N1565" s="7">
        <v>9</v>
      </c>
      <c r="O1565" s="7">
        <v>0</v>
      </c>
      <c r="P1565" s="7">
        <v>0</v>
      </c>
      <c r="Q1565" s="7">
        <v>0</v>
      </c>
      <c r="R1565" s="7">
        <v>1</v>
      </c>
      <c r="S1565" s="7">
        <v>4.5</v>
      </c>
      <c r="T1565">
        <v>7</v>
      </c>
      <c r="U1565" s="1">
        <v>34</v>
      </c>
      <c r="V1565">
        <v>0</v>
      </c>
      <c r="W1565">
        <v>0</v>
      </c>
      <c r="X1565">
        <v>1</v>
      </c>
      <c r="Y1565">
        <v>0.16</v>
      </c>
      <c r="Z1565">
        <v>23</v>
      </c>
      <c r="AA1565">
        <v>0</v>
      </c>
      <c r="AB1565">
        <v>0</v>
      </c>
      <c r="AC1565">
        <v>0</v>
      </c>
      <c r="AD1565">
        <v>1</v>
      </c>
      <c r="AE1565">
        <v>0.05</v>
      </c>
      <c r="AF1565">
        <v>15</v>
      </c>
      <c r="AG1565">
        <v>0</v>
      </c>
      <c r="AH1565">
        <v>0</v>
      </c>
      <c r="AI1565">
        <v>0</v>
      </c>
      <c r="AJ1565">
        <v>1</v>
      </c>
      <c r="AK1565">
        <v>0.02</v>
      </c>
      <c r="AL1565">
        <v>16</v>
      </c>
      <c r="AM1565">
        <v>0</v>
      </c>
      <c r="AN1565">
        <v>0</v>
      </c>
      <c r="AO1565">
        <v>0</v>
      </c>
      <c r="AP1565">
        <v>1</v>
      </c>
      <c r="AQ1565">
        <v>0.01</v>
      </c>
      <c r="AX1565">
        <v>7</v>
      </c>
      <c r="AY1565" s="1">
        <v>18</v>
      </c>
      <c r="AZ1565">
        <v>0</v>
      </c>
      <c r="BA1565">
        <v>0</v>
      </c>
      <c r="BB1565">
        <v>1</v>
      </c>
      <c r="BC1565" s="7">
        <v>0.32</v>
      </c>
      <c r="BD1565">
        <v>30</v>
      </c>
      <c r="BE1565">
        <v>0</v>
      </c>
      <c r="BF1565">
        <v>0</v>
      </c>
      <c r="BG1565">
        <v>0</v>
      </c>
      <c r="BH1565">
        <v>5</v>
      </c>
      <c r="BI1565">
        <v>2.4</v>
      </c>
      <c r="BJ1565">
        <v>31</v>
      </c>
      <c r="BK1565">
        <v>0</v>
      </c>
      <c r="BL1565">
        <v>0</v>
      </c>
      <c r="BM1565">
        <v>0</v>
      </c>
      <c r="BN1565">
        <v>5</v>
      </c>
      <c r="BO1565">
        <v>2.4</v>
      </c>
      <c r="BP1565">
        <v>36</v>
      </c>
      <c r="BQ1565">
        <v>0</v>
      </c>
      <c r="BR1565">
        <v>0</v>
      </c>
      <c r="BS1565">
        <v>0</v>
      </c>
      <c r="BT1565">
        <v>5</v>
      </c>
      <c r="BU1565">
        <v>1.6</v>
      </c>
    </row>
    <row r="1566" spans="1:73" ht="14.25" x14ac:dyDescent="0.15">
      <c r="A1566" s="12">
        <v>30613</v>
      </c>
      <c r="B1566">
        <v>7</v>
      </c>
      <c r="C1566" s="1">
        <v>47</v>
      </c>
      <c r="D1566">
        <v>0</v>
      </c>
      <c r="E1566">
        <v>0</v>
      </c>
      <c r="F1566">
        <v>1</v>
      </c>
      <c r="G1566" s="7">
        <v>0.05</v>
      </c>
      <c r="H1566">
        <v>12</v>
      </c>
      <c r="I1566">
        <v>0</v>
      </c>
      <c r="J1566">
        <v>0</v>
      </c>
      <c r="K1566">
        <v>0</v>
      </c>
      <c r="L1566">
        <v>1</v>
      </c>
      <c r="M1566">
        <v>2</v>
      </c>
      <c r="N1566" s="7">
        <v>9</v>
      </c>
      <c r="O1566" s="7">
        <v>0</v>
      </c>
      <c r="P1566" s="7">
        <v>0</v>
      </c>
      <c r="Q1566" s="7">
        <v>0</v>
      </c>
      <c r="R1566" s="7">
        <v>1</v>
      </c>
      <c r="S1566" s="7">
        <v>4.5</v>
      </c>
      <c r="T1566">
        <v>7</v>
      </c>
      <c r="U1566" s="1">
        <v>35</v>
      </c>
      <c r="V1566">
        <v>0</v>
      </c>
      <c r="W1566">
        <v>0</v>
      </c>
      <c r="X1566">
        <v>1</v>
      </c>
      <c r="Y1566">
        <v>0.16</v>
      </c>
      <c r="Z1566">
        <v>23</v>
      </c>
      <c r="AA1566">
        <v>0</v>
      </c>
      <c r="AB1566">
        <v>0</v>
      </c>
      <c r="AC1566">
        <v>0</v>
      </c>
      <c r="AD1566">
        <v>1</v>
      </c>
      <c r="AE1566">
        <v>0.05</v>
      </c>
      <c r="AF1566">
        <v>15</v>
      </c>
      <c r="AG1566">
        <v>0</v>
      </c>
      <c r="AH1566">
        <v>0</v>
      </c>
      <c r="AI1566">
        <v>0</v>
      </c>
      <c r="AJ1566">
        <v>1</v>
      </c>
      <c r="AK1566">
        <v>0.02</v>
      </c>
      <c r="AL1566">
        <v>16</v>
      </c>
      <c r="AM1566">
        <v>0</v>
      </c>
      <c r="AN1566">
        <v>0</v>
      </c>
      <c r="AO1566">
        <v>0</v>
      </c>
      <c r="AP1566">
        <v>1</v>
      </c>
      <c r="AQ1566">
        <v>0.01</v>
      </c>
      <c r="AX1566">
        <v>7</v>
      </c>
      <c r="AY1566" s="1">
        <v>19</v>
      </c>
      <c r="AZ1566">
        <v>0</v>
      </c>
      <c r="BA1566">
        <v>0</v>
      </c>
      <c r="BB1566">
        <v>1</v>
      </c>
      <c r="BC1566" s="7">
        <v>0.32</v>
      </c>
      <c r="BD1566">
        <v>30</v>
      </c>
      <c r="BE1566">
        <v>0</v>
      </c>
      <c r="BF1566">
        <v>0</v>
      </c>
      <c r="BG1566">
        <v>0</v>
      </c>
      <c r="BH1566">
        <v>5</v>
      </c>
      <c r="BI1566">
        <v>2.4</v>
      </c>
      <c r="BJ1566">
        <v>31</v>
      </c>
      <c r="BK1566">
        <v>0</v>
      </c>
      <c r="BL1566">
        <v>0</v>
      </c>
      <c r="BM1566">
        <v>0</v>
      </c>
      <c r="BN1566">
        <v>5</v>
      </c>
      <c r="BO1566">
        <v>2.4</v>
      </c>
      <c r="BP1566">
        <v>36</v>
      </c>
      <c r="BQ1566">
        <v>0</v>
      </c>
      <c r="BR1566">
        <v>0</v>
      </c>
      <c r="BS1566">
        <v>0</v>
      </c>
      <c r="BT1566">
        <v>5</v>
      </c>
      <c r="BU1566">
        <v>1.6</v>
      </c>
    </row>
    <row r="1567" spans="1:73" ht="14.25" x14ac:dyDescent="0.15">
      <c r="A1567" s="12">
        <v>30614</v>
      </c>
      <c r="B1567">
        <v>7</v>
      </c>
      <c r="C1567" s="1">
        <v>48</v>
      </c>
      <c r="D1567">
        <v>0</v>
      </c>
      <c r="E1567">
        <v>0</v>
      </c>
      <c r="F1567">
        <v>1</v>
      </c>
      <c r="G1567" s="7">
        <v>0.05</v>
      </c>
      <c r="H1567">
        <v>12</v>
      </c>
      <c r="I1567">
        <v>0</v>
      </c>
      <c r="J1567">
        <v>0</v>
      </c>
      <c r="K1567">
        <v>0</v>
      </c>
      <c r="L1567">
        <v>1</v>
      </c>
      <c r="M1567">
        <v>2</v>
      </c>
      <c r="N1567" s="7">
        <v>9</v>
      </c>
      <c r="O1567" s="7">
        <v>0</v>
      </c>
      <c r="P1567" s="7">
        <v>0</v>
      </c>
      <c r="Q1567" s="7">
        <v>0</v>
      </c>
      <c r="R1567" s="7">
        <v>1</v>
      </c>
      <c r="S1567" s="7">
        <v>4.5</v>
      </c>
      <c r="T1567">
        <v>7</v>
      </c>
      <c r="U1567" s="1">
        <v>36</v>
      </c>
      <c r="V1567">
        <v>0</v>
      </c>
      <c r="W1567">
        <v>0</v>
      </c>
      <c r="X1567">
        <v>1</v>
      </c>
      <c r="Y1567">
        <v>0.16</v>
      </c>
      <c r="Z1567">
        <v>23</v>
      </c>
      <c r="AA1567">
        <v>0</v>
      </c>
      <c r="AB1567">
        <v>0</v>
      </c>
      <c r="AC1567">
        <v>0</v>
      </c>
      <c r="AD1567">
        <v>1</v>
      </c>
      <c r="AE1567">
        <v>0.05</v>
      </c>
      <c r="AF1567">
        <v>15</v>
      </c>
      <c r="AG1567">
        <v>0</v>
      </c>
      <c r="AH1567">
        <v>0</v>
      </c>
      <c r="AI1567">
        <v>0</v>
      </c>
      <c r="AJ1567">
        <v>1</v>
      </c>
      <c r="AK1567">
        <v>0.02</v>
      </c>
      <c r="AL1567">
        <v>16</v>
      </c>
      <c r="AM1567">
        <v>0</v>
      </c>
      <c r="AN1567">
        <v>0</v>
      </c>
      <c r="AO1567">
        <v>0</v>
      </c>
      <c r="AP1567">
        <v>1</v>
      </c>
      <c r="AQ1567">
        <v>0.01</v>
      </c>
      <c r="AX1567">
        <v>7</v>
      </c>
      <c r="AY1567" s="1">
        <v>20</v>
      </c>
      <c r="AZ1567">
        <v>0</v>
      </c>
      <c r="BA1567">
        <v>0</v>
      </c>
      <c r="BB1567">
        <v>1</v>
      </c>
      <c r="BC1567" s="7">
        <v>0.32</v>
      </c>
      <c r="BD1567">
        <v>30</v>
      </c>
      <c r="BE1567">
        <v>0</v>
      </c>
      <c r="BF1567">
        <v>0</v>
      </c>
      <c r="BG1567">
        <v>0</v>
      </c>
      <c r="BH1567">
        <v>5</v>
      </c>
      <c r="BI1567">
        <v>2.4</v>
      </c>
      <c r="BJ1567">
        <v>31</v>
      </c>
      <c r="BK1567">
        <v>0</v>
      </c>
      <c r="BL1567">
        <v>0</v>
      </c>
      <c r="BM1567">
        <v>0</v>
      </c>
      <c r="BN1567">
        <v>5</v>
      </c>
      <c r="BO1567">
        <v>2.4</v>
      </c>
      <c r="BP1567">
        <v>36</v>
      </c>
      <c r="BQ1567">
        <v>0</v>
      </c>
      <c r="BR1567">
        <v>0</v>
      </c>
      <c r="BS1567">
        <v>0</v>
      </c>
      <c r="BT1567">
        <v>5</v>
      </c>
      <c r="BU1567">
        <v>1.6</v>
      </c>
    </row>
    <row r="1568" spans="1:73" ht="14.25" x14ac:dyDescent="0.15">
      <c r="A1568" s="12">
        <v>30615</v>
      </c>
      <c r="B1568">
        <v>7</v>
      </c>
      <c r="C1568" s="1">
        <v>0</v>
      </c>
      <c r="D1568">
        <v>5</v>
      </c>
      <c r="E1568">
        <v>1</v>
      </c>
      <c r="F1568">
        <v>1</v>
      </c>
      <c r="G1568" s="7">
        <v>0.05</v>
      </c>
      <c r="H1568">
        <v>12</v>
      </c>
      <c r="I1568">
        <v>0</v>
      </c>
      <c r="J1568">
        <v>0</v>
      </c>
      <c r="K1568">
        <v>0</v>
      </c>
      <c r="L1568">
        <v>1</v>
      </c>
      <c r="M1568">
        <v>2</v>
      </c>
      <c r="N1568" s="7">
        <v>9</v>
      </c>
      <c r="O1568" s="7">
        <v>0</v>
      </c>
      <c r="P1568" s="7">
        <v>0</v>
      </c>
      <c r="Q1568" s="7">
        <v>0</v>
      </c>
      <c r="R1568" s="7">
        <v>1</v>
      </c>
      <c r="S1568" s="7">
        <v>4.5</v>
      </c>
      <c r="T1568">
        <v>7</v>
      </c>
      <c r="U1568" s="1">
        <v>0</v>
      </c>
      <c r="V1568">
        <v>4</v>
      </c>
      <c r="W1568">
        <v>2</v>
      </c>
      <c r="X1568">
        <v>1</v>
      </c>
      <c r="Y1568">
        <v>0.16</v>
      </c>
      <c r="Z1568">
        <v>23</v>
      </c>
      <c r="AA1568">
        <v>0</v>
      </c>
      <c r="AB1568">
        <v>0</v>
      </c>
      <c r="AC1568">
        <v>0</v>
      </c>
      <c r="AD1568">
        <v>1</v>
      </c>
      <c r="AE1568">
        <v>0.05</v>
      </c>
      <c r="AF1568">
        <v>15</v>
      </c>
      <c r="AG1568">
        <v>0</v>
      </c>
      <c r="AH1568">
        <v>0</v>
      </c>
      <c r="AI1568">
        <v>0</v>
      </c>
      <c r="AJ1568">
        <v>1</v>
      </c>
      <c r="AK1568">
        <v>0.02</v>
      </c>
      <c r="AL1568">
        <v>16</v>
      </c>
      <c r="AM1568">
        <v>0</v>
      </c>
      <c r="AN1568">
        <v>0</v>
      </c>
      <c r="AO1568">
        <v>0</v>
      </c>
      <c r="AP1568">
        <v>1</v>
      </c>
      <c r="AQ1568">
        <v>0.01</v>
      </c>
      <c r="AR1568">
        <v>6</v>
      </c>
      <c r="AS1568">
        <v>2</v>
      </c>
      <c r="AT1568">
        <v>3</v>
      </c>
      <c r="AU1568">
        <v>5</v>
      </c>
      <c r="AV1568">
        <v>1</v>
      </c>
      <c r="AW1568">
        <v>0.05</v>
      </c>
      <c r="AX1568">
        <v>7</v>
      </c>
      <c r="AY1568" s="1">
        <v>0</v>
      </c>
      <c r="AZ1568">
        <v>3</v>
      </c>
      <c r="BA1568">
        <v>1</v>
      </c>
      <c r="BB1568">
        <v>1</v>
      </c>
      <c r="BC1568" s="7">
        <v>0.32</v>
      </c>
      <c r="BD1568">
        <v>30</v>
      </c>
      <c r="BE1568">
        <v>0</v>
      </c>
      <c r="BF1568">
        <v>0</v>
      </c>
      <c r="BG1568">
        <v>0</v>
      </c>
      <c r="BH1568">
        <v>5</v>
      </c>
      <c r="BI1568">
        <v>2.4</v>
      </c>
      <c r="BJ1568">
        <v>31</v>
      </c>
      <c r="BK1568">
        <v>0</v>
      </c>
      <c r="BL1568">
        <v>0</v>
      </c>
      <c r="BM1568">
        <v>0</v>
      </c>
      <c r="BN1568">
        <v>5</v>
      </c>
      <c r="BO1568">
        <v>2.4</v>
      </c>
      <c r="BP1568">
        <v>36</v>
      </c>
      <c r="BQ1568">
        <v>0</v>
      </c>
      <c r="BR1568">
        <v>0</v>
      </c>
      <c r="BS1568">
        <v>0</v>
      </c>
      <c r="BT1568">
        <v>5</v>
      </c>
      <c r="BU1568">
        <v>1.6</v>
      </c>
    </row>
    <row r="1569" spans="1:73" ht="14.25" x14ac:dyDescent="0.15">
      <c r="A1569" s="12">
        <v>30616</v>
      </c>
      <c r="B1569">
        <v>7</v>
      </c>
      <c r="C1569" s="1">
        <v>45</v>
      </c>
      <c r="D1569">
        <v>0</v>
      </c>
      <c r="E1569">
        <v>0</v>
      </c>
      <c r="F1569">
        <v>1</v>
      </c>
      <c r="G1569" s="7">
        <v>0.05</v>
      </c>
      <c r="H1569">
        <v>12</v>
      </c>
      <c r="I1569">
        <v>0</v>
      </c>
      <c r="J1569">
        <v>0</v>
      </c>
      <c r="K1569">
        <v>0</v>
      </c>
      <c r="L1569">
        <v>1</v>
      </c>
      <c r="M1569">
        <v>2</v>
      </c>
      <c r="N1569" s="7">
        <v>9</v>
      </c>
      <c r="O1569" s="7">
        <v>0</v>
      </c>
      <c r="P1569" s="7">
        <v>0</v>
      </c>
      <c r="Q1569" s="7">
        <v>0</v>
      </c>
      <c r="R1569" s="7">
        <v>1</v>
      </c>
      <c r="S1569" s="7">
        <v>4.5</v>
      </c>
      <c r="T1569">
        <v>7</v>
      </c>
      <c r="U1569" s="1">
        <v>33</v>
      </c>
      <c r="V1569">
        <v>0</v>
      </c>
      <c r="W1569">
        <v>0</v>
      </c>
      <c r="X1569">
        <v>1</v>
      </c>
      <c r="Y1569">
        <v>0.16</v>
      </c>
      <c r="Z1569">
        <v>23</v>
      </c>
      <c r="AA1569">
        <v>0</v>
      </c>
      <c r="AB1569">
        <v>0</v>
      </c>
      <c r="AC1569">
        <v>0</v>
      </c>
      <c r="AD1569">
        <v>1</v>
      </c>
      <c r="AE1569">
        <v>0.05</v>
      </c>
      <c r="AF1569">
        <v>15</v>
      </c>
      <c r="AG1569">
        <v>0</v>
      </c>
      <c r="AH1569">
        <v>0</v>
      </c>
      <c r="AI1569">
        <v>0</v>
      </c>
      <c r="AJ1569">
        <v>1</v>
      </c>
      <c r="AK1569">
        <v>0.02</v>
      </c>
      <c r="AL1569">
        <v>16</v>
      </c>
      <c r="AM1569">
        <v>0</v>
      </c>
      <c r="AN1569">
        <v>0</v>
      </c>
      <c r="AO1569">
        <v>0</v>
      </c>
      <c r="AP1569">
        <v>1</v>
      </c>
      <c r="AQ1569">
        <v>0.01</v>
      </c>
      <c r="AX1569">
        <v>7</v>
      </c>
      <c r="AY1569" s="1">
        <v>17</v>
      </c>
      <c r="AZ1569">
        <v>0</v>
      </c>
      <c r="BA1569">
        <v>0</v>
      </c>
      <c r="BB1569">
        <v>1</v>
      </c>
      <c r="BC1569" s="7">
        <v>0.32</v>
      </c>
      <c r="BD1569">
        <v>30</v>
      </c>
      <c r="BE1569">
        <v>0</v>
      </c>
      <c r="BF1569">
        <v>0</v>
      </c>
      <c r="BG1569">
        <v>0</v>
      </c>
      <c r="BH1569">
        <v>5</v>
      </c>
      <c r="BI1569">
        <v>2.4</v>
      </c>
      <c r="BJ1569">
        <v>31</v>
      </c>
      <c r="BK1569">
        <v>0</v>
      </c>
      <c r="BL1569">
        <v>0</v>
      </c>
      <c r="BM1569">
        <v>0</v>
      </c>
      <c r="BN1569">
        <v>5</v>
      </c>
      <c r="BO1569">
        <v>2.4</v>
      </c>
      <c r="BP1569">
        <v>36</v>
      </c>
      <c r="BQ1569">
        <v>0</v>
      </c>
      <c r="BR1569">
        <v>0</v>
      </c>
      <c r="BS1569">
        <v>0</v>
      </c>
      <c r="BT1569">
        <v>5</v>
      </c>
      <c r="BU1569">
        <v>1.6</v>
      </c>
    </row>
    <row r="1570" spans="1:73" ht="14.25" x14ac:dyDescent="0.15">
      <c r="A1570" s="12">
        <v>30617</v>
      </c>
      <c r="B1570">
        <v>7</v>
      </c>
      <c r="C1570" s="1">
        <v>46</v>
      </c>
      <c r="D1570">
        <v>0</v>
      </c>
      <c r="E1570">
        <v>0</v>
      </c>
      <c r="F1570">
        <v>1</v>
      </c>
      <c r="G1570" s="7">
        <v>0.05</v>
      </c>
      <c r="H1570">
        <v>12</v>
      </c>
      <c r="I1570">
        <v>0</v>
      </c>
      <c r="J1570">
        <v>0</v>
      </c>
      <c r="K1570">
        <v>0</v>
      </c>
      <c r="L1570">
        <v>1</v>
      </c>
      <c r="M1570">
        <v>2</v>
      </c>
      <c r="N1570" s="7">
        <v>9</v>
      </c>
      <c r="O1570" s="7">
        <v>0</v>
      </c>
      <c r="P1570" s="7">
        <v>0</v>
      </c>
      <c r="Q1570" s="7">
        <v>0</v>
      </c>
      <c r="R1570" s="7">
        <v>1</v>
      </c>
      <c r="S1570" s="7">
        <v>4.5</v>
      </c>
      <c r="T1570">
        <v>7</v>
      </c>
      <c r="U1570" s="1">
        <v>34</v>
      </c>
      <c r="V1570">
        <v>0</v>
      </c>
      <c r="W1570">
        <v>0</v>
      </c>
      <c r="X1570">
        <v>1</v>
      </c>
      <c r="Y1570">
        <v>0.16</v>
      </c>
      <c r="Z1570">
        <v>23</v>
      </c>
      <c r="AA1570">
        <v>0</v>
      </c>
      <c r="AB1570">
        <v>0</v>
      </c>
      <c r="AC1570">
        <v>0</v>
      </c>
      <c r="AD1570">
        <v>1</v>
      </c>
      <c r="AE1570">
        <v>0.05</v>
      </c>
      <c r="AF1570">
        <v>15</v>
      </c>
      <c r="AG1570">
        <v>0</v>
      </c>
      <c r="AH1570">
        <v>0</v>
      </c>
      <c r="AI1570">
        <v>0</v>
      </c>
      <c r="AJ1570">
        <v>1</v>
      </c>
      <c r="AK1570">
        <v>0.02</v>
      </c>
      <c r="AL1570">
        <v>16</v>
      </c>
      <c r="AM1570">
        <v>0</v>
      </c>
      <c r="AN1570">
        <v>0</v>
      </c>
      <c r="AO1570">
        <v>0</v>
      </c>
      <c r="AP1570">
        <v>1</v>
      </c>
      <c r="AQ1570">
        <v>0.01</v>
      </c>
      <c r="AX1570">
        <v>7</v>
      </c>
      <c r="AY1570" s="1">
        <v>18</v>
      </c>
      <c r="AZ1570">
        <v>0</v>
      </c>
      <c r="BA1570">
        <v>0</v>
      </c>
      <c r="BB1570">
        <v>1</v>
      </c>
      <c r="BC1570" s="7">
        <v>0.32</v>
      </c>
      <c r="BD1570">
        <v>30</v>
      </c>
      <c r="BE1570">
        <v>0</v>
      </c>
      <c r="BF1570">
        <v>0</v>
      </c>
      <c r="BG1570">
        <v>0</v>
      </c>
      <c r="BH1570">
        <v>5</v>
      </c>
      <c r="BI1570">
        <v>2.4</v>
      </c>
      <c r="BJ1570">
        <v>31</v>
      </c>
      <c r="BK1570">
        <v>0</v>
      </c>
      <c r="BL1570">
        <v>0</v>
      </c>
      <c r="BM1570">
        <v>0</v>
      </c>
      <c r="BN1570">
        <v>5</v>
      </c>
      <c r="BO1570">
        <v>2.4</v>
      </c>
      <c r="BP1570">
        <v>36</v>
      </c>
      <c r="BQ1570">
        <v>0</v>
      </c>
      <c r="BR1570">
        <v>0</v>
      </c>
      <c r="BS1570">
        <v>0</v>
      </c>
      <c r="BT1570">
        <v>5</v>
      </c>
      <c r="BU1570">
        <v>1.6</v>
      </c>
    </row>
    <row r="1571" spans="1:73" ht="14.25" x14ac:dyDescent="0.15">
      <c r="A1571" s="12">
        <v>30618</v>
      </c>
      <c r="B1571">
        <v>7</v>
      </c>
      <c r="C1571" s="1">
        <v>47</v>
      </c>
      <c r="D1571">
        <v>0</v>
      </c>
      <c r="E1571">
        <v>0</v>
      </c>
      <c r="F1571">
        <v>1</v>
      </c>
      <c r="G1571" s="7">
        <v>0.05</v>
      </c>
      <c r="H1571">
        <v>12</v>
      </c>
      <c r="I1571">
        <v>0</v>
      </c>
      <c r="J1571">
        <v>0</v>
      </c>
      <c r="K1571">
        <v>0</v>
      </c>
      <c r="L1571">
        <v>1</v>
      </c>
      <c r="M1571">
        <v>2</v>
      </c>
      <c r="N1571" s="7">
        <v>9</v>
      </c>
      <c r="O1571" s="7">
        <v>0</v>
      </c>
      <c r="P1571" s="7">
        <v>0</v>
      </c>
      <c r="Q1571" s="7">
        <v>0</v>
      </c>
      <c r="R1571" s="7">
        <v>1</v>
      </c>
      <c r="S1571" s="7">
        <v>4.5</v>
      </c>
      <c r="T1571">
        <v>7</v>
      </c>
      <c r="U1571" s="1">
        <v>35</v>
      </c>
      <c r="V1571">
        <v>0</v>
      </c>
      <c r="W1571">
        <v>0</v>
      </c>
      <c r="X1571">
        <v>1</v>
      </c>
      <c r="Y1571">
        <v>0.16</v>
      </c>
      <c r="Z1571">
        <v>23</v>
      </c>
      <c r="AA1571">
        <v>0</v>
      </c>
      <c r="AB1571">
        <v>0</v>
      </c>
      <c r="AC1571">
        <v>0</v>
      </c>
      <c r="AD1571">
        <v>1</v>
      </c>
      <c r="AE1571">
        <v>0.05</v>
      </c>
      <c r="AF1571">
        <v>15</v>
      </c>
      <c r="AG1571">
        <v>0</v>
      </c>
      <c r="AH1571">
        <v>0</v>
      </c>
      <c r="AI1571">
        <v>0</v>
      </c>
      <c r="AJ1571">
        <v>1</v>
      </c>
      <c r="AK1571">
        <v>0.02</v>
      </c>
      <c r="AL1571">
        <v>16</v>
      </c>
      <c r="AM1571">
        <v>0</v>
      </c>
      <c r="AN1571">
        <v>0</v>
      </c>
      <c r="AO1571">
        <v>0</v>
      </c>
      <c r="AP1571">
        <v>1</v>
      </c>
      <c r="AQ1571">
        <v>0.01</v>
      </c>
      <c r="AX1571">
        <v>7</v>
      </c>
      <c r="AY1571" s="1">
        <v>19</v>
      </c>
      <c r="AZ1571">
        <v>0</v>
      </c>
      <c r="BA1571">
        <v>0</v>
      </c>
      <c r="BB1571">
        <v>1</v>
      </c>
      <c r="BC1571" s="7">
        <v>0.32</v>
      </c>
      <c r="BD1571">
        <v>30</v>
      </c>
      <c r="BE1571">
        <v>0</v>
      </c>
      <c r="BF1571">
        <v>0</v>
      </c>
      <c r="BG1571">
        <v>0</v>
      </c>
      <c r="BH1571">
        <v>5</v>
      </c>
      <c r="BI1571">
        <v>2.4</v>
      </c>
      <c r="BJ1571">
        <v>31</v>
      </c>
      <c r="BK1571">
        <v>0</v>
      </c>
      <c r="BL1571">
        <v>0</v>
      </c>
      <c r="BM1571">
        <v>0</v>
      </c>
      <c r="BN1571">
        <v>5</v>
      </c>
      <c r="BO1571">
        <v>2.4</v>
      </c>
      <c r="BP1571">
        <v>36</v>
      </c>
      <c r="BQ1571">
        <v>0</v>
      </c>
      <c r="BR1571">
        <v>0</v>
      </c>
      <c r="BS1571">
        <v>0</v>
      </c>
      <c r="BT1571">
        <v>5</v>
      </c>
      <c r="BU1571">
        <v>1.6</v>
      </c>
    </row>
    <row r="1572" spans="1:73" ht="14.25" x14ac:dyDescent="0.15">
      <c r="A1572" s="12">
        <v>30619</v>
      </c>
      <c r="B1572">
        <v>7</v>
      </c>
      <c r="C1572" s="1">
        <v>48</v>
      </c>
      <c r="D1572">
        <v>0</v>
      </c>
      <c r="E1572">
        <v>0</v>
      </c>
      <c r="F1572">
        <v>1</v>
      </c>
      <c r="G1572" s="7">
        <v>0.05</v>
      </c>
      <c r="H1572">
        <v>12</v>
      </c>
      <c r="I1572">
        <v>0</v>
      </c>
      <c r="J1572">
        <v>0</v>
      </c>
      <c r="K1572">
        <v>0</v>
      </c>
      <c r="L1572">
        <v>1</v>
      </c>
      <c r="M1572">
        <v>2</v>
      </c>
      <c r="N1572" s="7">
        <v>9</v>
      </c>
      <c r="O1572" s="7">
        <v>0</v>
      </c>
      <c r="P1572" s="7">
        <v>0</v>
      </c>
      <c r="Q1572" s="7">
        <v>0</v>
      </c>
      <c r="R1572" s="7">
        <v>1</v>
      </c>
      <c r="S1572" s="7">
        <v>4.5</v>
      </c>
      <c r="T1572">
        <v>7</v>
      </c>
      <c r="U1572" s="1">
        <v>36</v>
      </c>
      <c r="V1572">
        <v>0</v>
      </c>
      <c r="W1572">
        <v>0</v>
      </c>
      <c r="X1572">
        <v>1</v>
      </c>
      <c r="Y1572">
        <v>0.16</v>
      </c>
      <c r="Z1572">
        <v>23</v>
      </c>
      <c r="AA1572">
        <v>0</v>
      </c>
      <c r="AB1572">
        <v>0</v>
      </c>
      <c r="AC1572">
        <v>0</v>
      </c>
      <c r="AD1572">
        <v>1</v>
      </c>
      <c r="AE1572">
        <v>0.05</v>
      </c>
      <c r="AF1572">
        <v>15</v>
      </c>
      <c r="AG1572">
        <v>0</v>
      </c>
      <c r="AH1572">
        <v>0</v>
      </c>
      <c r="AI1572">
        <v>0</v>
      </c>
      <c r="AJ1572">
        <v>1</v>
      </c>
      <c r="AK1572">
        <v>0.02</v>
      </c>
      <c r="AL1572">
        <v>16</v>
      </c>
      <c r="AM1572">
        <v>0</v>
      </c>
      <c r="AN1572">
        <v>0</v>
      </c>
      <c r="AO1572">
        <v>0</v>
      </c>
      <c r="AP1572">
        <v>1</v>
      </c>
      <c r="AQ1572">
        <v>0.01</v>
      </c>
      <c r="AX1572">
        <v>7</v>
      </c>
      <c r="AY1572" s="1">
        <v>20</v>
      </c>
      <c r="AZ1572">
        <v>0</v>
      </c>
      <c r="BA1572">
        <v>0</v>
      </c>
      <c r="BB1572">
        <v>1</v>
      </c>
      <c r="BC1572" s="7">
        <v>0.32</v>
      </c>
      <c r="BD1572">
        <v>30</v>
      </c>
      <c r="BE1572">
        <v>0</v>
      </c>
      <c r="BF1572">
        <v>0</v>
      </c>
      <c r="BG1572">
        <v>0</v>
      </c>
      <c r="BH1572">
        <v>5</v>
      </c>
      <c r="BI1572">
        <v>2.4</v>
      </c>
      <c r="BJ1572">
        <v>31</v>
      </c>
      <c r="BK1572">
        <v>0</v>
      </c>
      <c r="BL1572">
        <v>0</v>
      </c>
      <c r="BM1572">
        <v>0</v>
      </c>
      <c r="BN1572">
        <v>5</v>
      </c>
      <c r="BO1572">
        <v>2.4</v>
      </c>
      <c r="BP1572">
        <v>36</v>
      </c>
      <c r="BQ1572">
        <v>0</v>
      </c>
      <c r="BR1572">
        <v>0</v>
      </c>
      <c r="BS1572">
        <v>0</v>
      </c>
      <c r="BT1572">
        <v>5</v>
      </c>
      <c r="BU1572">
        <v>1.6</v>
      </c>
    </row>
    <row r="1573" spans="1:73" ht="14.25" x14ac:dyDescent="0.15">
      <c r="A1573" s="12">
        <v>30620</v>
      </c>
      <c r="B1573">
        <v>7</v>
      </c>
      <c r="C1573" s="1">
        <v>0</v>
      </c>
      <c r="D1573">
        <v>5</v>
      </c>
      <c r="E1573">
        <v>1</v>
      </c>
      <c r="F1573">
        <v>1</v>
      </c>
      <c r="G1573" s="7">
        <v>0.05</v>
      </c>
      <c r="H1573">
        <v>12</v>
      </c>
      <c r="I1573">
        <v>0</v>
      </c>
      <c r="J1573">
        <v>0</v>
      </c>
      <c r="K1573">
        <v>0</v>
      </c>
      <c r="L1573">
        <v>1</v>
      </c>
      <c r="M1573">
        <v>2</v>
      </c>
      <c r="N1573" s="7">
        <v>9</v>
      </c>
      <c r="O1573" s="7">
        <v>0</v>
      </c>
      <c r="P1573" s="7">
        <v>0</v>
      </c>
      <c r="Q1573" s="7">
        <v>0</v>
      </c>
      <c r="R1573" s="7">
        <v>1</v>
      </c>
      <c r="S1573" s="7">
        <v>4.5</v>
      </c>
      <c r="T1573">
        <v>7</v>
      </c>
      <c r="U1573" s="1">
        <v>0</v>
      </c>
      <c r="V1573">
        <v>4</v>
      </c>
      <c r="W1573">
        <v>2</v>
      </c>
      <c r="X1573">
        <v>1</v>
      </c>
      <c r="Y1573">
        <v>0.16</v>
      </c>
      <c r="Z1573">
        <v>23</v>
      </c>
      <c r="AA1573">
        <v>0</v>
      </c>
      <c r="AB1573">
        <v>0</v>
      </c>
      <c r="AC1573">
        <v>0</v>
      </c>
      <c r="AD1573">
        <v>1</v>
      </c>
      <c r="AE1573">
        <v>0.05</v>
      </c>
      <c r="AF1573">
        <v>15</v>
      </c>
      <c r="AG1573">
        <v>0</v>
      </c>
      <c r="AH1573">
        <v>0</v>
      </c>
      <c r="AI1573">
        <v>0</v>
      </c>
      <c r="AJ1573">
        <v>1</v>
      </c>
      <c r="AK1573">
        <v>0.02</v>
      </c>
      <c r="AL1573">
        <v>16</v>
      </c>
      <c r="AM1573">
        <v>0</v>
      </c>
      <c r="AN1573">
        <v>0</v>
      </c>
      <c r="AO1573">
        <v>0</v>
      </c>
      <c r="AP1573">
        <v>1</v>
      </c>
      <c r="AQ1573">
        <v>0.01</v>
      </c>
      <c r="AR1573">
        <v>6</v>
      </c>
      <c r="AS1573">
        <v>2</v>
      </c>
      <c r="AT1573">
        <v>4</v>
      </c>
      <c r="AU1573">
        <v>5</v>
      </c>
      <c r="AV1573">
        <v>1</v>
      </c>
      <c r="AW1573">
        <v>0.01</v>
      </c>
      <c r="AX1573">
        <v>7</v>
      </c>
      <c r="AY1573" s="1">
        <v>0</v>
      </c>
      <c r="AZ1573">
        <v>3</v>
      </c>
      <c r="BA1573">
        <v>1</v>
      </c>
      <c r="BB1573">
        <v>1</v>
      </c>
      <c r="BC1573" s="7">
        <v>0.32</v>
      </c>
      <c r="BD1573">
        <v>30</v>
      </c>
      <c r="BE1573">
        <v>0</v>
      </c>
      <c r="BF1573">
        <v>0</v>
      </c>
      <c r="BG1573">
        <v>0</v>
      </c>
      <c r="BH1573">
        <v>5</v>
      </c>
      <c r="BI1573">
        <v>2.4</v>
      </c>
      <c r="BJ1573">
        <v>31</v>
      </c>
      <c r="BK1573">
        <v>0</v>
      </c>
      <c r="BL1573">
        <v>0</v>
      </c>
      <c r="BM1573">
        <v>0</v>
      </c>
      <c r="BN1573">
        <v>5</v>
      </c>
      <c r="BO1573">
        <v>2.4</v>
      </c>
      <c r="BP1573">
        <v>36</v>
      </c>
      <c r="BQ1573">
        <v>0</v>
      </c>
      <c r="BR1573">
        <v>0</v>
      </c>
      <c r="BS1573">
        <v>0</v>
      </c>
      <c r="BT1573">
        <v>5</v>
      </c>
      <c r="BU1573">
        <v>1.6</v>
      </c>
    </row>
    <row r="1574" spans="1:73" ht="14.25" x14ac:dyDescent="0.15">
      <c r="A1574" s="12">
        <v>30621</v>
      </c>
      <c r="B1574">
        <v>7</v>
      </c>
      <c r="C1574" s="1">
        <v>45</v>
      </c>
      <c r="D1574">
        <v>0</v>
      </c>
      <c r="E1574">
        <v>0</v>
      </c>
      <c r="F1574">
        <v>1</v>
      </c>
      <c r="G1574" s="7">
        <v>0.05</v>
      </c>
      <c r="H1574">
        <v>12</v>
      </c>
      <c r="I1574">
        <v>0</v>
      </c>
      <c r="J1574">
        <v>0</v>
      </c>
      <c r="K1574">
        <v>0</v>
      </c>
      <c r="L1574">
        <v>1</v>
      </c>
      <c r="M1574">
        <v>2</v>
      </c>
      <c r="N1574" s="7">
        <v>9</v>
      </c>
      <c r="O1574" s="7">
        <v>0</v>
      </c>
      <c r="P1574" s="7">
        <v>0</v>
      </c>
      <c r="Q1574" s="7">
        <v>0</v>
      </c>
      <c r="R1574" s="7">
        <v>1</v>
      </c>
      <c r="S1574" s="7">
        <v>4.5</v>
      </c>
      <c r="T1574">
        <v>7</v>
      </c>
      <c r="U1574" s="1">
        <v>33</v>
      </c>
      <c r="V1574">
        <v>0</v>
      </c>
      <c r="W1574">
        <v>0</v>
      </c>
      <c r="X1574">
        <v>1</v>
      </c>
      <c r="Y1574">
        <v>0.16</v>
      </c>
      <c r="Z1574">
        <v>23</v>
      </c>
      <c r="AA1574">
        <v>0</v>
      </c>
      <c r="AB1574">
        <v>0</v>
      </c>
      <c r="AC1574">
        <v>0</v>
      </c>
      <c r="AD1574">
        <v>1</v>
      </c>
      <c r="AE1574">
        <v>0.05</v>
      </c>
      <c r="AF1574">
        <v>15</v>
      </c>
      <c r="AG1574">
        <v>0</v>
      </c>
      <c r="AH1574">
        <v>0</v>
      </c>
      <c r="AI1574">
        <v>0</v>
      </c>
      <c r="AJ1574">
        <v>1</v>
      </c>
      <c r="AK1574">
        <v>0.02</v>
      </c>
      <c r="AL1574">
        <v>16</v>
      </c>
      <c r="AM1574">
        <v>0</v>
      </c>
      <c r="AN1574">
        <v>0</v>
      </c>
      <c r="AO1574">
        <v>0</v>
      </c>
      <c r="AP1574">
        <v>1</v>
      </c>
      <c r="AQ1574">
        <v>0.01</v>
      </c>
      <c r="AX1574">
        <v>7</v>
      </c>
      <c r="AY1574" s="1">
        <v>17</v>
      </c>
      <c r="AZ1574">
        <v>0</v>
      </c>
      <c r="BA1574">
        <v>0</v>
      </c>
      <c r="BB1574">
        <v>1</v>
      </c>
      <c r="BC1574" s="7">
        <v>0.32</v>
      </c>
      <c r="BD1574">
        <v>30</v>
      </c>
      <c r="BE1574">
        <v>0</v>
      </c>
      <c r="BF1574">
        <v>0</v>
      </c>
      <c r="BG1574">
        <v>0</v>
      </c>
      <c r="BH1574">
        <v>5</v>
      </c>
      <c r="BI1574">
        <v>2.4</v>
      </c>
      <c r="BJ1574">
        <v>31</v>
      </c>
      <c r="BK1574">
        <v>0</v>
      </c>
      <c r="BL1574">
        <v>0</v>
      </c>
      <c r="BM1574">
        <v>0</v>
      </c>
      <c r="BN1574">
        <v>5</v>
      </c>
      <c r="BO1574">
        <v>2.4</v>
      </c>
      <c r="BP1574">
        <v>36</v>
      </c>
      <c r="BQ1574">
        <v>0</v>
      </c>
      <c r="BR1574">
        <v>0</v>
      </c>
      <c r="BS1574">
        <v>0</v>
      </c>
      <c r="BT1574">
        <v>5</v>
      </c>
      <c r="BU1574">
        <v>1.6</v>
      </c>
    </row>
    <row r="1575" spans="1:73" ht="14.25" x14ac:dyDescent="0.15">
      <c r="A1575" s="12">
        <v>30622</v>
      </c>
      <c r="B1575">
        <v>7</v>
      </c>
      <c r="C1575" s="1">
        <v>46</v>
      </c>
      <c r="D1575">
        <v>0</v>
      </c>
      <c r="E1575">
        <v>0</v>
      </c>
      <c r="F1575">
        <v>1</v>
      </c>
      <c r="G1575" s="7">
        <v>0.05</v>
      </c>
      <c r="H1575">
        <v>12</v>
      </c>
      <c r="I1575">
        <v>0</v>
      </c>
      <c r="J1575">
        <v>0</v>
      </c>
      <c r="K1575">
        <v>0</v>
      </c>
      <c r="L1575">
        <v>1</v>
      </c>
      <c r="M1575">
        <v>2</v>
      </c>
      <c r="N1575" s="7">
        <v>9</v>
      </c>
      <c r="O1575" s="7">
        <v>0</v>
      </c>
      <c r="P1575" s="7">
        <v>0</v>
      </c>
      <c r="Q1575" s="7">
        <v>0</v>
      </c>
      <c r="R1575" s="7">
        <v>1</v>
      </c>
      <c r="S1575" s="7">
        <v>4.5</v>
      </c>
      <c r="T1575">
        <v>7</v>
      </c>
      <c r="U1575" s="1">
        <v>34</v>
      </c>
      <c r="V1575">
        <v>0</v>
      </c>
      <c r="W1575">
        <v>0</v>
      </c>
      <c r="X1575">
        <v>1</v>
      </c>
      <c r="Y1575">
        <v>0.16</v>
      </c>
      <c r="Z1575">
        <v>23</v>
      </c>
      <c r="AA1575">
        <v>0</v>
      </c>
      <c r="AB1575">
        <v>0</v>
      </c>
      <c r="AC1575">
        <v>0</v>
      </c>
      <c r="AD1575">
        <v>1</v>
      </c>
      <c r="AE1575">
        <v>0.05</v>
      </c>
      <c r="AF1575">
        <v>15</v>
      </c>
      <c r="AG1575">
        <v>0</v>
      </c>
      <c r="AH1575">
        <v>0</v>
      </c>
      <c r="AI1575">
        <v>0</v>
      </c>
      <c r="AJ1575">
        <v>1</v>
      </c>
      <c r="AK1575">
        <v>0.02</v>
      </c>
      <c r="AL1575">
        <v>16</v>
      </c>
      <c r="AM1575">
        <v>0</v>
      </c>
      <c r="AN1575">
        <v>0</v>
      </c>
      <c r="AO1575">
        <v>0</v>
      </c>
      <c r="AP1575">
        <v>1</v>
      </c>
      <c r="AQ1575">
        <v>0.01</v>
      </c>
      <c r="AX1575">
        <v>7</v>
      </c>
      <c r="AY1575" s="1">
        <v>18</v>
      </c>
      <c r="AZ1575">
        <v>0</v>
      </c>
      <c r="BA1575">
        <v>0</v>
      </c>
      <c r="BB1575">
        <v>1</v>
      </c>
      <c r="BC1575" s="7">
        <v>0.32</v>
      </c>
      <c r="BD1575">
        <v>30</v>
      </c>
      <c r="BE1575">
        <v>0</v>
      </c>
      <c r="BF1575">
        <v>0</v>
      </c>
      <c r="BG1575">
        <v>0</v>
      </c>
      <c r="BH1575">
        <v>5</v>
      </c>
      <c r="BI1575">
        <v>2.4</v>
      </c>
      <c r="BJ1575">
        <v>31</v>
      </c>
      <c r="BK1575">
        <v>0</v>
      </c>
      <c r="BL1575">
        <v>0</v>
      </c>
      <c r="BM1575">
        <v>0</v>
      </c>
      <c r="BN1575">
        <v>5</v>
      </c>
      <c r="BO1575">
        <v>2.4</v>
      </c>
      <c r="BP1575">
        <v>36</v>
      </c>
      <c r="BQ1575">
        <v>0</v>
      </c>
      <c r="BR1575">
        <v>0</v>
      </c>
      <c r="BS1575">
        <v>0</v>
      </c>
      <c r="BT1575">
        <v>5</v>
      </c>
      <c r="BU1575">
        <v>1.6</v>
      </c>
    </row>
    <row r="1576" spans="1:73" ht="14.25" x14ac:dyDescent="0.15">
      <c r="A1576" s="12">
        <v>30623</v>
      </c>
      <c r="B1576">
        <v>7</v>
      </c>
      <c r="C1576" s="1">
        <v>47</v>
      </c>
      <c r="D1576">
        <v>0</v>
      </c>
      <c r="E1576">
        <v>0</v>
      </c>
      <c r="F1576">
        <v>1</v>
      </c>
      <c r="G1576" s="7">
        <v>0.05</v>
      </c>
      <c r="H1576">
        <v>12</v>
      </c>
      <c r="I1576">
        <v>0</v>
      </c>
      <c r="J1576">
        <v>0</v>
      </c>
      <c r="K1576">
        <v>0</v>
      </c>
      <c r="L1576">
        <v>1</v>
      </c>
      <c r="M1576">
        <v>2</v>
      </c>
      <c r="N1576" s="7">
        <v>9</v>
      </c>
      <c r="O1576" s="7">
        <v>0</v>
      </c>
      <c r="P1576" s="7">
        <v>0</v>
      </c>
      <c r="Q1576" s="7">
        <v>0</v>
      </c>
      <c r="R1576" s="7">
        <v>1</v>
      </c>
      <c r="S1576" s="7">
        <v>4.5</v>
      </c>
      <c r="T1576">
        <v>7</v>
      </c>
      <c r="U1576" s="1">
        <v>35</v>
      </c>
      <c r="V1576">
        <v>0</v>
      </c>
      <c r="W1576">
        <v>0</v>
      </c>
      <c r="X1576">
        <v>1</v>
      </c>
      <c r="Y1576">
        <v>0.16</v>
      </c>
      <c r="Z1576">
        <v>23</v>
      </c>
      <c r="AA1576">
        <v>0</v>
      </c>
      <c r="AB1576">
        <v>0</v>
      </c>
      <c r="AC1576">
        <v>0</v>
      </c>
      <c r="AD1576">
        <v>1</v>
      </c>
      <c r="AE1576">
        <v>0.05</v>
      </c>
      <c r="AF1576">
        <v>15</v>
      </c>
      <c r="AG1576">
        <v>0</v>
      </c>
      <c r="AH1576">
        <v>0</v>
      </c>
      <c r="AI1576">
        <v>0</v>
      </c>
      <c r="AJ1576">
        <v>1</v>
      </c>
      <c r="AK1576">
        <v>0.02</v>
      </c>
      <c r="AL1576">
        <v>16</v>
      </c>
      <c r="AM1576">
        <v>0</v>
      </c>
      <c r="AN1576">
        <v>0</v>
      </c>
      <c r="AO1576">
        <v>0</v>
      </c>
      <c r="AP1576">
        <v>1</v>
      </c>
      <c r="AQ1576">
        <v>0.01</v>
      </c>
      <c r="AX1576">
        <v>7</v>
      </c>
      <c r="AY1576" s="1">
        <v>19</v>
      </c>
      <c r="AZ1576">
        <v>0</v>
      </c>
      <c r="BA1576">
        <v>0</v>
      </c>
      <c r="BB1576">
        <v>1</v>
      </c>
      <c r="BC1576" s="7">
        <v>0.32</v>
      </c>
      <c r="BD1576">
        <v>30</v>
      </c>
      <c r="BE1576">
        <v>0</v>
      </c>
      <c r="BF1576">
        <v>0</v>
      </c>
      <c r="BG1576">
        <v>0</v>
      </c>
      <c r="BH1576">
        <v>5</v>
      </c>
      <c r="BI1576">
        <v>2.4</v>
      </c>
      <c r="BJ1576">
        <v>31</v>
      </c>
      <c r="BK1576">
        <v>0</v>
      </c>
      <c r="BL1576">
        <v>0</v>
      </c>
      <c r="BM1576">
        <v>0</v>
      </c>
      <c r="BN1576">
        <v>5</v>
      </c>
      <c r="BO1576">
        <v>2.4</v>
      </c>
      <c r="BP1576">
        <v>36</v>
      </c>
      <c r="BQ1576">
        <v>0</v>
      </c>
      <c r="BR1576">
        <v>0</v>
      </c>
      <c r="BS1576">
        <v>0</v>
      </c>
      <c r="BT1576">
        <v>5</v>
      </c>
      <c r="BU1576">
        <v>1.6</v>
      </c>
    </row>
    <row r="1577" spans="1:73" ht="14.25" x14ac:dyDescent="0.15">
      <c r="A1577" s="12">
        <v>30624</v>
      </c>
      <c r="B1577">
        <v>7</v>
      </c>
      <c r="C1577" s="1">
        <v>48</v>
      </c>
      <c r="D1577">
        <v>0</v>
      </c>
      <c r="E1577">
        <v>0</v>
      </c>
      <c r="F1577">
        <v>1</v>
      </c>
      <c r="G1577" s="7">
        <v>0.05</v>
      </c>
      <c r="H1577">
        <v>12</v>
      </c>
      <c r="I1577">
        <v>0</v>
      </c>
      <c r="J1577">
        <v>0</v>
      </c>
      <c r="K1577">
        <v>0</v>
      </c>
      <c r="L1577">
        <v>1</v>
      </c>
      <c r="M1577">
        <v>2</v>
      </c>
      <c r="N1577" s="7">
        <v>9</v>
      </c>
      <c r="O1577" s="7">
        <v>0</v>
      </c>
      <c r="P1577" s="7">
        <v>0</v>
      </c>
      <c r="Q1577" s="7">
        <v>0</v>
      </c>
      <c r="R1577" s="7">
        <v>1</v>
      </c>
      <c r="S1577" s="7">
        <v>4.5</v>
      </c>
      <c r="T1577">
        <v>7</v>
      </c>
      <c r="U1577" s="1">
        <v>36</v>
      </c>
      <c r="V1577">
        <v>0</v>
      </c>
      <c r="W1577">
        <v>0</v>
      </c>
      <c r="X1577">
        <v>1</v>
      </c>
      <c r="Y1577">
        <v>0.16</v>
      </c>
      <c r="Z1577">
        <v>23</v>
      </c>
      <c r="AA1577">
        <v>0</v>
      </c>
      <c r="AB1577">
        <v>0</v>
      </c>
      <c r="AC1577">
        <v>0</v>
      </c>
      <c r="AD1577">
        <v>1</v>
      </c>
      <c r="AE1577">
        <v>0.05</v>
      </c>
      <c r="AF1577">
        <v>15</v>
      </c>
      <c r="AG1577">
        <v>0</v>
      </c>
      <c r="AH1577">
        <v>0</v>
      </c>
      <c r="AI1577">
        <v>0</v>
      </c>
      <c r="AJ1577">
        <v>1</v>
      </c>
      <c r="AK1577">
        <v>0.02</v>
      </c>
      <c r="AL1577">
        <v>16</v>
      </c>
      <c r="AM1577">
        <v>0</v>
      </c>
      <c r="AN1577">
        <v>0</v>
      </c>
      <c r="AO1577">
        <v>0</v>
      </c>
      <c r="AP1577">
        <v>1</v>
      </c>
      <c r="AQ1577">
        <v>0.01</v>
      </c>
      <c r="AX1577">
        <v>7</v>
      </c>
      <c r="AY1577" s="1">
        <v>20</v>
      </c>
      <c r="AZ1577">
        <v>0</v>
      </c>
      <c r="BA1577">
        <v>0</v>
      </c>
      <c r="BB1577">
        <v>1</v>
      </c>
      <c r="BC1577" s="7">
        <v>0.32</v>
      </c>
      <c r="BD1577">
        <v>30</v>
      </c>
      <c r="BE1577">
        <v>0</v>
      </c>
      <c r="BF1577">
        <v>0</v>
      </c>
      <c r="BG1577">
        <v>0</v>
      </c>
      <c r="BH1577">
        <v>5</v>
      </c>
      <c r="BI1577">
        <v>2.4</v>
      </c>
      <c r="BJ1577">
        <v>31</v>
      </c>
      <c r="BK1577">
        <v>0</v>
      </c>
      <c r="BL1577">
        <v>0</v>
      </c>
      <c r="BM1577">
        <v>0</v>
      </c>
      <c r="BN1577">
        <v>5</v>
      </c>
      <c r="BO1577">
        <v>2.4</v>
      </c>
      <c r="BP1577">
        <v>36</v>
      </c>
      <c r="BQ1577">
        <v>0</v>
      </c>
      <c r="BR1577">
        <v>0</v>
      </c>
      <c r="BS1577">
        <v>0</v>
      </c>
      <c r="BT1577">
        <v>5</v>
      </c>
      <c r="BU1577">
        <v>1.6</v>
      </c>
    </row>
    <row r="1578" spans="1:73" ht="14.25" x14ac:dyDescent="0.15">
      <c r="A1578" s="12">
        <v>30625</v>
      </c>
      <c r="B1578">
        <v>7</v>
      </c>
      <c r="C1578" s="1">
        <v>0</v>
      </c>
      <c r="D1578">
        <v>5</v>
      </c>
      <c r="E1578">
        <v>1</v>
      </c>
      <c r="F1578">
        <v>1</v>
      </c>
      <c r="G1578" s="7">
        <v>0.05</v>
      </c>
      <c r="H1578">
        <v>12</v>
      </c>
      <c r="I1578">
        <v>0</v>
      </c>
      <c r="J1578">
        <v>0</v>
      </c>
      <c r="K1578">
        <v>0</v>
      </c>
      <c r="L1578">
        <v>1</v>
      </c>
      <c r="M1578">
        <v>2</v>
      </c>
      <c r="N1578" s="7">
        <v>9</v>
      </c>
      <c r="O1578" s="7">
        <v>0</v>
      </c>
      <c r="P1578" s="7">
        <v>0</v>
      </c>
      <c r="Q1578" s="7">
        <v>0</v>
      </c>
      <c r="R1578" s="7">
        <v>1</v>
      </c>
      <c r="S1578" s="7">
        <v>4.5</v>
      </c>
      <c r="T1578">
        <v>7</v>
      </c>
      <c r="U1578" s="1">
        <v>0</v>
      </c>
      <c r="V1578">
        <v>4</v>
      </c>
      <c r="W1578">
        <v>2</v>
      </c>
      <c r="X1578">
        <v>1</v>
      </c>
      <c r="Y1578">
        <v>0.16</v>
      </c>
      <c r="Z1578">
        <v>23</v>
      </c>
      <c r="AA1578">
        <v>0</v>
      </c>
      <c r="AB1578">
        <v>0</v>
      </c>
      <c r="AC1578">
        <v>0</v>
      </c>
      <c r="AD1578">
        <v>1</v>
      </c>
      <c r="AE1578">
        <v>0.05</v>
      </c>
      <c r="AF1578">
        <v>15</v>
      </c>
      <c r="AG1578">
        <v>0</v>
      </c>
      <c r="AH1578">
        <v>0</v>
      </c>
      <c r="AI1578">
        <v>0</v>
      </c>
      <c r="AJ1578">
        <v>1</v>
      </c>
      <c r="AK1578">
        <v>0.02</v>
      </c>
      <c r="AL1578">
        <v>16</v>
      </c>
      <c r="AM1578">
        <v>0</v>
      </c>
      <c r="AN1578">
        <v>0</v>
      </c>
      <c r="AO1578">
        <v>0</v>
      </c>
      <c r="AP1578">
        <v>1</v>
      </c>
      <c r="AQ1578">
        <v>0.01</v>
      </c>
      <c r="AR1578">
        <v>6</v>
      </c>
      <c r="AS1578">
        <v>2</v>
      </c>
      <c r="AT1578">
        <v>5</v>
      </c>
      <c r="AU1578">
        <v>5</v>
      </c>
      <c r="AV1578">
        <v>1</v>
      </c>
      <c r="AW1578">
        <v>0.01</v>
      </c>
      <c r="AX1578">
        <v>7</v>
      </c>
      <c r="AY1578" s="1">
        <v>0</v>
      </c>
      <c r="AZ1578">
        <v>3</v>
      </c>
      <c r="BA1578">
        <v>1</v>
      </c>
      <c r="BB1578">
        <v>1</v>
      </c>
      <c r="BC1578" s="7">
        <v>0.32</v>
      </c>
      <c r="BD1578">
        <v>30</v>
      </c>
      <c r="BE1578">
        <v>0</v>
      </c>
      <c r="BF1578">
        <v>0</v>
      </c>
      <c r="BG1578">
        <v>0</v>
      </c>
      <c r="BH1578">
        <v>5</v>
      </c>
      <c r="BI1578">
        <v>2.4</v>
      </c>
      <c r="BJ1578">
        <v>31</v>
      </c>
      <c r="BK1578">
        <v>0</v>
      </c>
      <c r="BL1578">
        <v>0</v>
      </c>
      <c r="BM1578">
        <v>0</v>
      </c>
      <c r="BN1578">
        <v>5</v>
      </c>
      <c r="BO1578">
        <v>2.4</v>
      </c>
      <c r="BP1578">
        <v>36</v>
      </c>
      <c r="BQ1578">
        <v>0</v>
      </c>
      <c r="BR1578">
        <v>0</v>
      </c>
      <c r="BS1578">
        <v>0</v>
      </c>
      <c r="BT1578">
        <v>5</v>
      </c>
      <c r="BU1578">
        <v>1.6</v>
      </c>
    </row>
    <row r="1579" spans="1:73" ht="14.25" x14ac:dyDescent="0.15">
      <c r="A1579" s="12">
        <v>30626</v>
      </c>
      <c r="B1579">
        <v>7</v>
      </c>
      <c r="C1579" s="1">
        <v>45</v>
      </c>
      <c r="D1579">
        <v>0</v>
      </c>
      <c r="E1579">
        <v>0</v>
      </c>
      <c r="F1579">
        <v>1</v>
      </c>
      <c r="G1579" s="7">
        <v>0.05</v>
      </c>
      <c r="H1579">
        <v>12</v>
      </c>
      <c r="I1579">
        <v>0</v>
      </c>
      <c r="J1579">
        <v>0</v>
      </c>
      <c r="K1579">
        <v>0</v>
      </c>
      <c r="L1579">
        <v>1</v>
      </c>
      <c r="M1579">
        <v>2</v>
      </c>
      <c r="N1579" s="7">
        <v>9</v>
      </c>
      <c r="O1579" s="7">
        <v>0</v>
      </c>
      <c r="P1579" s="7">
        <v>0</v>
      </c>
      <c r="Q1579" s="7">
        <v>0</v>
      </c>
      <c r="R1579" s="7">
        <v>1</v>
      </c>
      <c r="S1579" s="7">
        <v>4.5</v>
      </c>
      <c r="T1579">
        <v>7</v>
      </c>
      <c r="U1579" s="1">
        <v>33</v>
      </c>
      <c r="V1579">
        <v>0</v>
      </c>
      <c r="W1579">
        <v>0</v>
      </c>
      <c r="X1579">
        <v>1</v>
      </c>
      <c r="Y1579">
        <v>0.16</v>
      </c>
      <c r="Z1579">
        <v>23</v>
      </c>
      <c r="AA1579">
        <v>0</v>
      </c>
      <c r="AB1579">
        <v>0</v>
      </c>
      <c r="AC1579">
        <v>0</v>
      </c>
      <c r="AD1579">
        <v>1</v>
      </c>
      <c r="AE1579">
        <v>0.05</v>
      </c>
      <c r="AF1579">
        <v>15</v>
      </c>
      <c r="AG1579">
        <v>0</v>
      </c>
      <c r="AH1579">
        <v>0</v>
      </c>
      <c r="AI1579">
        <v>0</v>
      </c>
      <c r="AJ1579">
        <v>1</v>
      </c>
      <c r="AK1579">
        <v>0.02</v>
      </c>
      <c r="AL1579">
        <v>16</v>
      </c>
      <c r="AM1579">
        <v>0</v>
      </c>
      <c r="AN1579">
        <v>0</v>
      </c>
      <c r="AO1579">
        <v>0</v>
      </c>
      <c r="AP1579">
        <v>1</v>
      </c>
      <c r="AQ1579">
        <v>0.01</v>
      </c>
      <c r="AX1579">
        <v>7</v>
      </c>
      <c r="AY1579" s="1">
        <v>17</v>
      </c>
      <c r="AZ1579">
        <v>0</v>
      </c>
      <c r="BA1579">
        <v>0</v>
      </c>
      <c r="BB1579">
        <v>1</v>
      </c>
      <c r="BC1579" s="7">
        <v>0.32</v>
      </c>
      <c r="BD1579">
        <v>30</v>
      </c>
      <c r="BE1579">
        <v>0</v>
      </c>
      <c r="BF1579">
        <v>0</v>
      </c>
      <c r="BG1579">
        <v>0</v>
      </c>
      <c r="BH1579">
        <v>5</v>
      </c>
      <c r="BI1579">
        <v>2.4</v>
      </c>
      <c r="BJ1579">
        <v>31</v>
      </c>
      <c r="BK1579">
        <v>0</v>
      </c>
      <c r="BL1579">
        <v>0</v>
      </c>
      <c r="BM1579">
        <v>0</v>
      </c>
      <c r="BN1579">
        <v>5</v>
      </c>
      <c r="BO1579">
        <v>2.4</v>
      </c>
      <c r="BP1579">
        <v>36</v>
      </c>
      <c r="BQ1579">
        <v>0</v>
      </c>
      <c r="BR1579">
        <v>0</v>
      </c>
      <c r="BS1579">
        <v>0</v>
      </c>
      <c r="BT1579">
        <v>5</v>
      </c>
      <c r="BU1579">
        <v>1.6</v>
      </c>
    </row>
    <row r="1580" spans="1:73" ht="14.25" x14ac:dyDescent="0.15">
      <c r="A1580" s="12">
        <v>30627</v>
      </c>
      <c r="B1580">
        <v>7</v>
      </c>
      <c r="C1580" s="1">
        <v>46</v>
      </c>
      <c r="D1580">
        <v>0</v>
      </c>
      <c r="E1580">
        <v>0</v>
      </c>
      <c r="F1580">
        <v>1</v>
      </c>
      <c r="G1580" s="7">
        <v>0.05</v>
      </c>
      <c r="H1580">
        <v>12</v>
      </c>
      <c r="I1580">
        <v>0</v>
      </c>
      <c r="J1580">
        <v>0</v>
      </c>
      <c r="K1580">
        <v>0</v>
      </c>
      <c r="L1580">
        <v>1</v>
      </c>
      <c r="M1580">
        <v>2</v>
      </c>
      <c r="N1580" s="7">
        <v>9</v>
      </c>
      <c r="O1580" s="7">
        <v>0</v>
      </c>
      <c r="P1580" s="7">
        <v>0</v>
      </c>
      <c r="Q1580" s="7">
        <v>0</v>
      </c>
      <c r="R1580" s="7">
        <v>1</v>
      </c>
      <c r="S1580" s="7">
        <v>4.5</v>
      </c>
      <c r="T1580">
        <v>7</v>
      </c>
      <c r="U1580" s="1">
        <v>34</v>
      </c>
      <c r="V1580">
        <v>0</v>
      </c>
      <c r="W1580">
        <v>0</v>
      </c>
      <c r="X1580">
        <v>1</v>
      </c>
      <c r="Y1580">
        <v>0.16</v>
      </c>
      <c r="Z1580">
        <v>23</v>
      </c>
      <c r="AA1580">
        <v>0</v>
      </c>
      <c r="AB1580">
        <v>0</v>
      </c>
      <c r="AC1580">
        <v>0</v>
      </c>
      <c r="AD1580">
        <v>1</v>
      </c>
      <c r="AE1580">
        <v>0.05</v>
      </c>
      <c r="AF1580">
        <v>15</v>
      </c>
      <c r="AG1580">
        <v>0</v>
      </c>
      <c r="AH1580">
        <v>0</v>
      </c>
      <c r="AI1580">
        <v>0</v>
      </c>
      <c r="AJ1580">
        <v>1</v>
      </c>
      <c r="AK1580">
        <v>0.02</v>
      </c>
      <c r="AL1580">
        <v>16</v>
      </c>
      <c r="AM1580">
        <v>0</v>
      </c>
      <c r="AN1580">
        <v>0</v>
      </c>
      <c r="AO1580">
        <v>0</v>
      </c>
      <c r="AP1580">
        <v>1</v>
      </c>
      <c r="AQ1580">
        <v>0.01</v>
      </c>
      <c r="AX1580">
        <v>7</v>
      </c>
      <c r="AY1580" s="1">
        <v>18</v>
      </c>
      <c r="AZ1580">
        <v>0</v>
      </c>
      <c r="BA1580">
        <v>0</v>
      </c>
      <c r="BB1580">
        <v>1</v>
      </c>
      <c r="BC1580" s="7">
        <v>0.32</v>
      </c>
      <c r="BD1580">
        <v>30</v>
      </c>
      <c r="BE1580">
        <v>0</v>
      </c>
      <c r="BF1580">
        <v>0</v>
      </c>
      <c r="BG1580">
        <v>0</v>
      </c>
      <c r="BH1580">
        <v>5</v>
      </c>
      <c r="BI1580">
        <v>2.4</v>
      </c>
      <c r="BJ1580">
        <v>31</v>
      </c>
      <c r="BK1580">
        <v>0</v>
      </c>
      <c r="BL1580">
        <v>0</v>
      </c>
      <c r="BM1580">
        <v>0</v>
      </c>
      <c r="BN1580">
        <v>5</v>
      </c>
      <c r="BO1580">
        <v>2.4</v>
      </c>
      <c r="BP1580">
        <v>36</v>
      </c>
      <c r="BQ1580">
        <v>0</v>
      </c>
      <c r="BR1580">
        <v>0</v>
      </c>
      <c r="BS1580">
        <v>0</v>
      </c>
      <c r="BT1580">
        <v>5</v>
      </c>
      <c r="BU1580">
        <v>1.6</v>
      </c>
    </row>
    <row r="1581" spans="1:73" ht="14.25" x14ac:dyDescent="0.15">
      <c r="A1581" s="12">
        <v>30628</v>
      </c>
      <c r="B1581">
        <v>7</v>
      </c>
      <c r="C1581" s="1">
        <v>47</v>
      </c>
      <c r="D1581">
        <v>0</v>
      </c>
      <c r="E1581">
        <v>0</v>
      </c>
      <c r="F1581">
        <v>1</v>
      </c>
      <c r="G1581" s="7">
        <v>0.05</v>
      </c>
      <c r="H1581">
        <v>12</v>
      </c>
      <c r="I1581">
        <v>0</v>
      </c>
      <c r="J1581">
        <v>0</v>
      </c>
      <c r="K1581">
        <v>0</v>
      </c>
      <c r="L1581">
        <v>1</v>
      </c>
      <c r="M1581">
        <v>2</v>
      </c>
      <c r="N1581" s="7">
        <v>9</v>
      </c>
      <c r="O1581" s="7">
        <v>0</v>
      </c>
      <c r="P1581" s="7">
        <v>0</v>
      </c>
      <c r="Q1581" s="7">
        <v>0</v>
      </c>
      <c r="R1581" s="7">
        <v>1</v>
      </c>
      <c r="S1581" s="7">
        <v>4.5</v>
      </c>
      <c r="T1581">
        <v>7</v>
      </c>
      <c r="U1581" s="1">
        <v>35</v>
      </c>
      <c r="V1581">
        <v>0</v>
      </c>
      <c r="W1581">
        <v>0</v>
      </c>
      <c r="X1581">
        <v>1</v>
      </c>
      <c r="Y1581">
        <v>0.16</v>
      </c>
      <c r="Z1581">
        <v>23</v>
      </c>
      <c r="AA1581">
        <v>0</v>
      </c>
      <c r="AB1581">
        <v>0</v>
      </c>
      <c r="AC1581">
        <v>0</v>
      </c>
      <c r="AD1581">
        <v>1</v>
      </c>
      <c r="AE1581">
        <v>0.05</v>
      </c>
      <c r="AF1581">
        <v>15</v>
      </c>
      <c r="AG1581">
        <v>0</v>
      </c>
      <c r="AH1581">
        <v>0</v>
      </c>
      <c r="AI1581">
        <v>0</v>
      </c>
      <c r="AJ1581">
        <v>1</v>
      </c>
      <c r="AK1581">
        <v>0.02</v>
      </c>
      <c r="AL1581">
        <v>16</v>
      </c>
      <c r="AM1581">
        <v>0</v>
      </c>
      <c r="AN1581">
        <v>0</v>
      </c>
      <c r="AO1581">
        <v>0</v>
      </c>
      <c r="AP1581">
        <v>1</v>
      </c>
      <c r="AQ1581">
        <v>0.01</v>
      </c>
      <c r="AX1581">
        <v>7</v>
      </c>
      <c r="AY1581" s="1">
        <v>19</v>
      </c>
      <c r="AZ1581">
        <v>0</v>
      </c>
      <c r="BA1581">
        <v>0</v>
      </c>
      <c r="BB1581">
        <v>1</v>
      </c>
      <c r="BC1581" s="7">
        <v>0.32</v>
      </c>
      <c r="BD1581">
        <v>30</v>
      </c>
      <c r="BE1581">
        <v>0</v>
      </c>
      <c r="BF1581">
        <v>0</v>
      </c>
      <c r="BG1581">
        <v>0</v>
      </c>
      <c r="BH1581">
        <v>5</v>
      </c>
      <c r="BI1581">
        <v>2.4</v>
      </c>
      <c r="BJ1581">
        <v>31</v>
      </c>
      <c r="BK1581">
        <v>0</v>
      </c>
      <c r="BL1581">
        <v>0</v>
      </c>
      <c r="BM1581">
        <v>0</v>
      </c>
      <c r="BN1581">
        <v>5</v>
      </c>
      <c r="BO1581">
        <v>2.4</v>
      </c>
      <c r="BP1581">
        <v>36</v>
      </c>
      <c r="BQ1581">
        <v>0</v>
      </c>
      <c r="BR1581">
        <v>0</v>
      </c>
      <c r="BS1581">
        <v>0</v>
      </c>
      <c r="BT1581">
        <v>5</v>
      </c>
      <c r="BU1581">
        <v>1.6</v>
      </c>
    </row>
    <row r="1582" spans="1:73" ht="14.25" x14ac:dyDescent="0.15">
      <c r="A1582" s="12">
        <v>30629</v>
      </c>
      <c r="B1582">
        <v>7</v>
      </c>
      <c r="C1582" s="1">
        <v>48</v>
      </c>
      <c r="D1582">
        <v>0</v>
      </c>
      <c r="E1582">
        <v>0</v>
      </c>
      <c r="F1582">
        <v>1</v>
      </c>
      <c r="G1582" s="7">
        <v>0.05</v>
      </c>
      <c r="H1582">
        <v>12</v>
      </c>
      <c r="I1582">
        <v>0</v>
      </c>
      <c r="J1582">
        <v>0</v>
      </c>
      <c r="K1582">
        <v>0</v>
      </c>
      <c r="L1582">
        <v>1</v>
      </c>
      <c r="M1582">
        <v>2</v>
      </c>
      <c r="N1582" s="7">
        <v>9</v>
      </c>
      <c r="O1582" s="7">
        <v>0</v>
      </c>
      <c r="P1582" s="7">
        <v>0</v>
      </c>
      <c r="Q1582" s="7">
        <v>0</v>
      </c>
      <c r="R1582" s="7">
        <v>1</v>
      </c>
      <c r="S1582" s="7">
        <v>4.5</v>
      </c>
      <c r="T1582">
        <v>7</v>
      </c>
      <c r="U1582" s="1">
        <v>36</v>
      </c>
      <c r="V1582">
        <v>0</v>
      </c>
      <c r="W1582">
        <v>0</v>
      </c>
      <c r="X1582">
        <v>1</v>
      </c>
      <c r="Y1582">
        <v>0.16</v>
      </c>
      <c r="Z1582">
        <v>23</v>
      </c>
      <c r="AA1582">
        <v>0</v>
      </c>
      <c r="AB1582">
        <v>0</v>
      </c>
      <c r="AC1582">
        <v>0</v>
      </c>
      <c r="AD1582">
        <v>1</v>
      </c>
      <c r="AE1582">
        <v>0.05</v>
      </c>
      <c r="AF1582">
        <v>15</v>
      </c>
      <c r="AG1582">
        <v>0</v>
      </c>
      <c r="AH1582">
        <v>0</v>
      </c>
      <c r="AI1582">
        <v>0</v>
      </c>
      <c r="AJ1582">
        <v>1</v>
      </c>
      <c r="AK1582">
        <v>0.02</v>
      </c>
      <c r="AL1582">
        <v>16</v>
      </c>
      <c r="AM1582">
        <v>0</v>
      </c>
      <c r="AN1582">
        <v>0</v>
      </c>
      <c r="AO1582">
        <v>0</v>
      </c>
      <c r="AP1582">
        <v>1</v>
      </c>
      <c r="AQ1582">
        <v>0.01</v>
      </c>
      <c r="AX1582">
        <v>7</v>
      </c>
      <c r="AY1582" s="1">
        <v>20</v>
      </c>
      <c r="AZ1582">
        <v>0</v>
      </c>
      <c r="BA1582">
        <v>0</v>
      </c>
      <c r="BB1582">
        <v>1</v>
      </c>
      <c r="BC1582" s="7">
        <v>0.32</v>
      </c>
      <c r="BD1582">
        <v>30</v>
      </c>
      <c r="BE1582">
        <v>0</v>
      </c>
      <c r="BF1582">
        <v>0</v>
      </c>
      <c r="BG1582">
        <v>0</v>
      </c>
      <c r="BH1582">
        <v>5</v>
      </c>
      <c r="BI1582">
        <v>2.4</v>
      </c>
      <c r="BJ1582">
        <v>31</v>
      </c>
      <c r="BK1582">
        <v>0</v>
      </c>
      <c r="BL1582">
        <v>0</v>
      </c>
      <c r="BM1582">
        <v>0</v>
      </c>
      <c r="BN1582">
        <v>5</v>
      </c>
      <c r="BO1582">
        <v>2.4</v>
      </c>
      <c r="BP1582">
        <v>36</v>
      </c>
      <c r="BQ1582">
        <v>0</v>
      </c>
      <c r="BR1582">
        <v>0</v>
      </c>
      <c r="BS1582">
        <v>0</v>
      </c>
      <c r="BT1582">
        <v>5</v>
      </c>
      <c r="BU1582">
        <v>1.6</v>
      </c>
    </row>
    <row r="1583" spans="1:73" ht="14.25" x14ac:dyDescent="0.15">
      <c r="A1583" s="12">
        <v>30630</v>
      </c>
      <c r="B1583">
        <v>7</v>
      </c>
      <c r="C1583" s="1">
        <v>0</v>
      </c>
      <c r="D1583">
        <v>5</v>
      </c>
      <c r="E1583">
        <v>1</v>
      </c>
      <c r="F1583">
        <v>1</v>
      </c>
      <c r="G1583" s="7">
        <v>0.05</v>
      </c>
      <c r="H1583">
        <v>12</v>
      </c>
      <c r="I1583">
        <v>0</v>
      </c>
      <c r="J1583">
        <v>0</v>
      </c>
      <c r="K1583">
        <v>0</v>
      </c>
      <c r="L1583">
        <v>1</v>
      </c>
      <c r="M1583">
        <v>2</v>
      </c>
      <c r="N1583" s="7">
        <v>9</v>
      </c>
      <c r="O1583" s="7">
        <v>0</v>
      </c>
      <c r="P1583" s="7">
        <v>0</v>
      </c>
      <c r="Q1583" s="7">
        <v>0</v>
      </c>
      <c r="R1583" s="7">
        <v>1</v>
      </c>
      <c r="S1583" s="7">
        <v>4.5</v>
      </c>
      <c r="T1583">
        <v>7</v>
      </c>
      <c r="U1583" s="1">
        <v>0</v>
      </c>
      <c r="V1583">
        <v>4</v>
      </c>
      <c r="W1583">
        <v>2</v>
      </c>
      <c r="X1583">
        <v>1</v>
      </c>
      <c r="Y1583">
        <v>0.16</v>
      </c>
      <c r="Z1583">
        <v>23</v>
      </c>
      <c r="AA1583">
        <v>0</v>
      </c>
      <c r="AB1583">
        <v>0</v>
      </c>
      <c r="AC1583">
        <v>0</v>
      </c>
      <c r="AD1583">
        <v>1</v>
      </c>
      <c r="AE1583">
        <v>0.05</v>
      </c>
      <c r="AF1583">
        <v>15</v>
      </c>
      <c r="AG1583">
        <v>0</v>
      </c>
      <c r="AH1583">
        <v>0</v>
      </c>
      <c r="AI1583">
        <v>0</v>
      </c>
      <c r="AJ1583">
        <v>1</v>
      </c>
      <c r="AK1583">
        <v>0.02</v>
      </c>
      <c r="AL1583">
        <v>16</v>
      </c>
      <c r="AM1583">
        <v>0</v>
      </c>
      <c r="AN1583">
        <v>0</v>
      </c>
      <c r="AO1583">
        <v>0</v>
      </c>
      <c r="AP1583">
        <v>1</v>
      </c>
      <c r="AQ1583">
        <v>0.01</v>
      </c>
      <c r="AR1583">
        <v>6</v>
      </c>
      <c r="AS1583">
        <v>2</v>
      </c>
      <c r="AT1583">
        <v>1</v>
      </c>
      <c r="AU1583">
        <v>5</v>
      </c>
      <c r="AV1583">
        <v>1</v>
      </c>
      <c r="AW1583">
        <v>0.05</v>
      </c>
      <c r="AX1583">
        <v>7</v>
      </c>
      <c r="AY1583" s="1">
        <v>0</v>
      </c>
      <c r="AZ1583">
        <v>3</v>
      </c>
      <c r="BA1583">
        <v>1</v>
      </c>
      <c r="BB1583">
        <v>1</v>
      </c>
      <c r="BC1583" s="7">
        <v>0.32</v>
      </c>
      <c r="BD1583">
        <v>30</v>
      </c>
      <c r="BE1583">
        <v>0</v>
      </c>
      <c r="BF1583">
        <v>0</v>
      </c>
      <c r="BG1583">
        <v>0</v>
      </c>
      <c r="BH1583">
        <v>5</v>
      </c>
      <c r="BI1583">
        <v>2.4</v>
      </c>
      <c r="BJ1583">
        <v>31</v>
      </c>
      <c r="BK1583">
        <v>0</v>
      </c>
      <c r="BL1583">
        <v>0</v>
      </c>
      <c r="BM1583">
        <v>0</v>
      </c>
      <c r="BN1583">
        <v>5</v>
      </c>
      <c r="BO1583">
        <v>2.4</v>
      </c>
      <c r="BP1583">
        <v>36</v>
      </c>
      <c r="BQ1583">
        <v>0</v>
      </c>
      <c r="BR1583">
        <v>0</v>
      </c>
      <c r="BS1583">
        <v>0</v>
      </c>
      <c r="BT1583">
        <v>5</v>
      </c>
      <c r="BU1583">
        <v>1.6</v>
      </c>
    </row>
    <row r="1584" spans="1:73" ht="14.25" x14ac:dyDescent="0.15">
      <c r="A1584" s="12">
        <v>30631</v>
      </c>
      <c r="B1584">
        <v>7</v>
      </c>
      <c r="C1584" s="1">
        <v>45</v>
      </c>
      <c r="D1584">
        <v>0</v>
      </c>
      <c r="E1584">
        <v>0</v>
      </c>
      <c r="F1584">
        <v>1</v>
      </c>
      <c r="G1584" s="7">
        <v>0.05</v>
      </c>
      <c r="H1584">
        <v>12</v>
      </c>
      <c r="I1584">
        <v>0</v>
      </c>
      <c r="J1584">
        <v>0</v>
      </c>
      <c r="K1584">
        <v>0</v>
      </c>
      <c r="L1584">
        <v>1</v>
      </c>
      <c r="M1584">
        <v>2</v>
      </c>
      <c r="N1584" s="7">
        <v>9</v>
      </c>
      <c r="O1584" s="7">
        <v>0</v>
      </c>
      <c r="P1584" s="7">
        <v>0</v>
      </c>
      <c r="Q1584" s="7">
        <v>0</v>
      </c>
      <c r="R1584" s="7">
        <v>1</v>
      </c>
      <c r="S1584" s="7">
        <v>4.5</v>
      </c>
      <c r="T1584">
        <v>7</v>
      </c>
      <c r="U1584" s="1">
        <v>33</v>
      </c>
      <c r="V1584">
        <v>0</v>
      </c>
      <c r="W1584">
        <v>0</v>
      </c>
      <c r="X1584">
        <v>1</v>
      </c>
      <c r="Y1584">
        <v>0.16</v>
      </c>
      <c r="Z1584">
        <v>23</v>
      </c>
      <c r="AA1584">
        <v>0</v>
      </c>
      <c r="AB1584">
        <v>0</v>
      </c>
      <c r="AC1584">
        <v>0</v>
      </c>
      <c r="AD1584">
        <v>1</v>
      </c>
      <c r="AE1584">
        <v>0.05</v>
      </c>
      <c r="AF1584">
        <v>15</v>
      </c>
      <c r="AG1584">
        <v>0</v>
      </c>
      <c r="AH1584">
        <v>0</v>
      </c>
      <c r="AI1584">
        <v>0</v>
      </c>
      <c r="AJ1584">
        <v>1</v>
      </c>
      <c r="AK1584">
        <v>0.02</v>
      </c>
      <c r="AL1584">
        <v>16</v>
      </c>
      <c r="AM1584">
        <v>0</v>
      </c>
      <c r="AN1584">
        <v>0</v>
      </c>
      <c r="AO1584">
        <v>0</v>
      </c>
      <c r="AP1584">
        <v>1</v>
      </c>
      <c r="AQ1584">
        <v>0.01</v>
      </c>
      <c r="AX1584">
        <v>7</v>
      </c>
      <c r="AY1584" s="1">
        <v>17</v>
      </c>
      <c r="AZ1584">
        <v>0</v>
      </c>
      <c r="BA1584">
        <v>0</v>
      </c>
      <c r="BB1584">
        <v>1</v>
      </c>
      <c r="BC1584" s="7">
        <v>0.32</v>
      </c>
      <c r="BD1584">
        <v>30</v>
      </c>
      <c r="BE1584">
        <v>0</v>
      </c>
      <c r="BF1584">
        <v>0</v>
      </c>
      <c r="BG1584">
        <v>0</v>
      </c>
      <c r="BH1584">
        <v>5</v>
      </c>
      <c r="BI1584">
        <v>2.4</v>
      </c>
      <c r="BJ1584">
        <v>31</v>
      </c>
      <c r="BK1584">
        <v>0</v>
      </c>
      <c r="BL1584">
        <v>0</v>
      </c>
      <c r="BM1584">
        <v>0</v>
      </c>
      <c r="BN1584">
        <v>5</v>
      </c>
      <c r="BO1584">
        <v>2.4</v>
      </c>
      <c r="BP1584">
        <v>36</v>
      </c>
      <c r="BQ1584">
        <v>0</v>
      </c>
      <c r="BR1584">
        <v>0</v>
      </c>
      <c r="BS1584">
        <v>0</v>
      </c>
      <c r="BT1584">
        <v>5</v>
      </c>
      <c r="BU1584">
        <v>1.6</v>
      </c>
    </row>
    <row r="1585" spans="1:73" ht="14.25" x14ac:dyDescent="0.15">
      <c r="A1585" s="12">
        <v>30632</v>
      </c>
      <c r="B1585">
        <v>7</v>
      </c>
      <c r="C1585" s="1">
        <v>46</v>
      </c>
      <c r="D1585">
        <v>0</v>
      </c>
      <c r="E1585">
        <v>0</v>
      </c>
      <c r="F1585">
        <v>1</v>
      </c>
      <c r="G1585" s="7">
        <v>0.05</v>
      </c>
      <c r="H1585">
        <v>12</v>
      </c>
      <c r="I1585">
        <v>0</v>
      </c>
      <c r="J1585">
        <v>0</v>
      </c>
      <c r="K1585">
        <v>0</v>
      </c>
      <c r="L1585">
        <v>1</v>
      </c>
      <c r="M1585">
        <v>2</v>
      </c>
      <c r="N1585" s="7">
        <v>9</v>
      </c>
      <c r="O1585" s="7">
        <v>0</v>
      </c>
      <c r="P1585" s="7">
        <v>0</v>
      </c>
      <c r="Q1585" s="7">
        <v>0</v>
      </c>
      <c r="R1585" s="7">
        <v>1</v>
      </c>
      <c r="S1585" s="7">
        <v>4.5</v>
      </c>
      <c r="T1585">
        <v>7</v>
      </c>
      <c r="U1585" s="1">
        <v>34</v>
      </c>
      <c r="V1585">
        <v>0</v>
      </c>
      <c r="W1585">
        <v>0</v>
      </c>
      <c r="X1585">
        <v>1</v>
      </c>
      <c r="Y1585">
        <v>0.16</v>
      </c>
      <c r="Z1585">
        <v>23</v>
      </c>
      <c r="AA1585">
        <v>0</v>
      </c>
      <c r="AB1585">
        <v>0</v>
      </c>
      <c r="AC1585">
        <v>0</v>
      </c>
      <c r="AD1585">
        <v>1</v>
      </c>
      <c r="AE1585">
        <v>0.05</v>
      </c>
      <c r="AF1585">
        <v>15</v>
      </c>
      <c r="AG1585">
        <v>0</v>
      </c>
      <c r="AH1585">
        <v>0</v>
      </c>
      <c r="AI1585">
        <v>0</v>
      </c>
      <c r="AJ1585">
        <v>1</v>
      </c>
      <c r="AK1585">
        <v>0.02</v>
      </c>
      <c r="AL1585">
        <v>16</v>
      </c>
      <c r="AM1585">
        <v>0</v>
      </c>
      <c r="AN1585">
        <v>0</v>
      </c>
      <c r="AO1585">
        <v>0</v>
      </c>
      <c r="AP1585">
        <v>1</v>
      </c>
      <c r="AQ1585">
        <v>0.01</v>
      </c>
      <c r="AX1585">
        <v>7</v>
      </c>
      <c r="AY1585" s="1">
        <v>18</v>
      </c>
      <c r="AZ1585">
        <v>0</v>
      </c>
      <c r="BA1585">
        <v>0</v>
      </c>
      <c r="BB1585">
        <v>1</v>
      </c>
      <c r="BC1585" s="7">
        <v>0.32</v>
      </c>
      <c r="BD1585">
        <v>30</v>
      </c>
      <c r="BE1585">
        <v>0</v>
      </c>
      <c r="BF1585">
        <v>0</v>
      </c>
      <c r="BG1585">
        <v>0</v>
      </c>
      <c r="BH1585">
        <v>5</v>
      </c>
      <c r="BI1585">
        <v>2.4</v>
      </c>
      <c r="BJ1585">
        <v>31</v>
      </c>
      <c r="BK1585">
        <v>0</v>
      </c>
      <c r="BL1585">
        <v>0</v>
      </c>
      <c r="BM1585">
        <v>0</v>
      </c>
      <c r="BN1585">
        <v>5</v>
      </c>
      <c r="BO1585">
        <v>2.4</v>
      </c>
      <c r="BP1585">
        <v>36</v>
      </c>
      <c r="BQ1585">
        <v>0</v>
      </c>
      <c r="BR1585">
        <v>0</v>
      </c>
      <c r="BS1585">
        <v>0</v>
      </c>
      <c r="BT1585">
        <v>5</v>
      </c>
      <c r="BU1585">
        <v>1.6</v>
      </c>
    </row>
    <row r="1586" spans="1:73" ht="14.25" x14ac:dyDescent="0.15">
      <c r="A1586" s="12">
        <v>30633</v>
      </c>
      <c r="B1586">
        <v>7</v>
      </c>
      <c r="C1586" s="1">
        <v>47</v>
      </c>
      <c r="D1586">
        <v>0</v>
      </c>
      <c r="E1586">
        <v>0</v>
      </c>
      <c r="F1586">
        <v>1</v>
      </c>
      <c r="G1586" s="7">
        <v>0.05</v>
      </c>
      <c r="H1586">
        <v>12</v>
      </c>
      <c r="I1586">
        <v>0</v>
      </c>
      <c r="J1586">
        <v>0</v>
      </c>
      <c r="K1586">
        <v>0</v>
      </c>
      <c r="L1586">
        <v>1</v>
      </c>
      <c r="M1586">
        <v>2</v>
      </c>
      <c r="N1586" s="7">
        <v>9</v>
      </c>
      <c r="O1586" s="7">
        <v>0</v>
      </c>
      <c r="P1586" s="7">
        <v>0</v>
      </c>
      <c r="Q1586" s="7">
        <v>0</v>
      </c>
      <c r="R1586" s="7">
        <v>1</v>
      </c>
      <c r="S1586" s="7">
        <v>4.5</v>
      </c>
      <c r="T1586">
        <v>7</v>
      </c>
      <c r="U1586" s="1">
        <v>35</v>
      </c>
      <c r="V1586">
        <v>0</v>
      </c>
      <c r="W1586">
        <v>0</v>
      </c>
      <c r="X1586">
        <v>1</v>
      </c>
      <c r="Y1586">
        <v>0.16</v>
      </c>
      <c r="Z1586">
        <v>23</v>
      </c>
      <c r="AA1586">
        <v>0</v>
      </c>
      <c r="AB1586">
        <v>0</v>
      </c>
      <c r="AC1586">
        <v>0</v>
      </c>
      <c r="AD1586">
        <v>1</v>
      </c>
      <c r="AE1586">
        <v>0.05</v>
      </c>
      <c r="AF1586">
        <v>15</v>
      </c>
      <c r="AG1586">
        <v>0</v>
      </c>
      <c r="AH1586">
        <v>0</v>
      </c>
      <c r="AI1586">
        <v>0</v>
      </c>
      <c r="AJ1586">
        <v>1</v>
      </c>
      <c r="AK1586">
        <v>0.02</v>
      </c>
      <c r="AL1586">
        <v>16</v>
      </c>
      <c r="AM1586">
        <v>0</v>
      </c>
      <c r="AN1586">
        <v>0</v>
      </c>
      <c r="AO1586">
        <v>0</v>
      </c>
      <c r="AP1586">
        <v>1</v>
      </c>
      <c r="AQ1586">
        <v>0.01</v>
      </c>
      <c r="AX1586">
        <v>7</v>
      </c>
      <c r="AY1586" s="1">
        <v>19</v>
      </c>
      <c r="AZ1586">
        <v>0</v>
      </c>
      <c r="BA1586">
        <v>0</v>
      </c>
      <c r="BB1586">
        <v>1</v>
      </c>
      <c r="BC1586" s="7">
        <v>0.32</v>
      </c>
      <c r="BD1586">
        <v>30</v>
      </c>
      <c r="BE1586">
        <v>0</v>
      </c>
      <c r="BF1586">
        <v>0</v>
      </c>
      <c r="BG1586">
        <v>0</v>
      </c>
      <c r="BH1586">
        <v>5</v>
      </c>
      <c r="BI1586">
        <v>2.4</v>
      </c>
      <c r="BJ1586">
        <v>31</v>
      </c>
      <c r="BK1586">
        <v>0</v>
      </c>
      <c r="BL1586">
        <v>0</v>
      </c>
      <c r="BM1586">
        <v>0</v>
      </c>
      <c r="BN1586">
        <v>5</v>
      </c>
      <c r="BO1586">
        <v>2.4</v>
      </c>
      <c r="BP1586">
        <v>36</v>
      </c>
      <c r="BQ1586">
        <v>0</v>
      </c>
      <c r="BR1586">
        <v>0</v>
      </c>
      <c r="BS1586">
        <v>0</v>
      </c>
      <c r="BT1586">
        <v>5</v>
      </c>
      <c r="BU1586">
        <v>1.6</v>
      </c>
    </row>
    <row r="1587" spans="1:73" ht="14.25" x14ac:dyDescent="0.15">
      <c r="A1587" s="12">
        <v>30634</v>
      </c>
      <c r="B1587">
        <v>7</v>
      </c>
      <c r="C1587" s="1">
        <v>48</v>
      </c>
      <c r="D1587">
        <v>0</v>
      </c>
      <c r="E1587">
        <v>0</v>
      </c>
      <c r="F1587">
        <v>1</v>
      </c>
      <c r="G1587" s="7">
        <v>0.05</v>
      </c>
      <c r="H1587">
        <v>12</v>
      </c>
      <c r="I1587">
        <v>0</v>
      </c>
      <c r="J1587">
        <v>0</v>
      </c>
      <c r="K1587">
        <v>0</v>
      </c>
      <c r="L1587">
        <v>1</v>
      </c>
      <c r="M1587">
        <v>2</v>
      </c>
      <c r="N1587" s="7">
        <v>9</v>
      </c>
      <c r="O1587" s="7">
        <v>0</v>
      </c>
      <c r="P1587" s="7">
        <v>0</v>
      </c>
      <c r="Q1587" s="7">
        <v>0</v>
      </c>
      <c r="R1587" s="7">
        <v>1</v>
      </c>
      <c r="S1587" s="7">
        <v>4.5</v>
      </c>
      <c r="T1587">
        <v>7</v>
      </c>
      <c r="U1587" s="1">
        <v>36</v>
      </c>
      <c r="V1587">
        <v>0</v>
      </c>
      <c r="W1587">
        <v>0</v>
      </c>
      <c r="X1587">
        <v>1</v>
      </c>
      <c r="Y1587">
        <v>0.16</v>
      </c>
      <c r="Z1587">
        <v>23</v>
      </c>
      <c r="AA1587">
        <v>0</v>
      </c>
      <c r="AB1587">
        <v>0</v>
      </c>
      <c r="AC1587">
        <v>0</v>
      </c>
      <c r="AD1587">
        <v>1</v>
      </c>
      <c r="AE1587">
        <v>0.05</v>
      </c>
      <c r="AF1587">
        <v>15</v>
      </c>
      <c r="AG1587">
        <v>0</v>
      </c>
      <c r="AH1587">
        <v>0</v>
      </c>
      <c r="AI1587">
        <v>0</v>
      </c>
      <c r="AJ1587">
        <v>1</v>
      </c>
      <c r="AK1587">
        <v>0.02</v>
      </c>
      <c r="AL1587">
        <v>16</v>
      </c>
      <c r="AM1587">
        <v>0</v>
      </c>
      <c r="AN1587">
        <v>0</v>
      </c>
      <c r="AO1587">
        <v>0</v>
      </c>
      <c r="AP1587">
        <v>1</v>
      </c>
      <c r="AQ1587">
        <v>0.01</v>
      </c>
      <c r="AX1587">
        <v>7</v>
      </c>
      <c r="AY1587" s="1">
        <v>20</v>
      </c>
      <c r="AZ1587">
        <v>0</v>
      </c>
      <c r="BA1587">
        <v>0</v>
      </c>
      <c r="BB1587">
        <v>1</v>
      </c>
      <c r="BC1587" s="7">
        <v>0.32</v>
      </c>
      <c r="BD1587">
        <v>30</v>
      </c>
      <c r="BE1587">
        <v>0</v>
      </c>
      <c r="BF1587">
        <v>0</v>
      </c>
      <c r="BG1587">
        <v>0</v>
      </c>
      <c r="BH1587">
        <v>5</v>
      </c>
      <c r="BI1587">
        <v>2.4</v>
      </c>
      <c r="BJ1587">
        <v>31</v>
      </c>
      <c r="BK1587">
        <v>0</v>
      </c>
      <c r="BL1587">
        <v>0</v>
      </c>
      <c r="BM1587">
        <v>0</v>
      </c>
      <c r="BN1587">
        <v>5</v>
      </c>
      <c r="BO1587">
        <v>2.4</v>
      </c>
      <c r="BP1587">
        <v>36</v>
      </c>
      <c r="BQ1587">
        <v>0</v>
      </c>
      <c r="BR1587">
        <v>0</v>
      </c>
      <c r="BS1587">
        <v>0</v>
      </c>
      <c r="BT1587">
        <v>5</v>
      </c>
      <c r="BU1587">
        <v>1.6</v>
      </c>
    </row>
    <row r="1588" spans="1:73" ht="14.25" x14ac:dyDescent="0.15">
      <c r="A1588" s="12">
        <v>30635</v>
      </c>
      <c r="B1588">
        <v>7</v>
      </c>
      <c r="C1588" s="1">
        <v>0</v>
      </c>
      <c r="D1588">
        <v>5</v>
      </c>
      <c r="E1588">
        <v>1</v>
      </c>
      <c r="F1588">
        <v>1</v>
      </c>
      <c r="G1588" s="7">
        <v>0.05</v>
      </c>
      <c r="H1588">
        <v>12</v>
      </c>
      <c r="I1588">
        <v>0</v>
      </c>
      <c r="J1588">
        <v>0</v>
      </c>
      <c r="K1588">
        <v>0</v>
      </c>
      <c r="L1588">
        <v>1</v>
      </c>
      <c r="M1588">
        <v>2</v>
      </c>
      <c r="N1588" s="7">
        <v>9</v>
      </c>
      <c r="O1588" s="7">
        <v>0</v>
      </c>
      <c r="P1588" s="7">
        <v>0</v>
      </c>
      <c r="Q1588" s="7">
        <v>0</v>
      </c>
      <c r="R1588" s="7">
        <v>1</v>
      </c>
      <c r="S1588" s="7">
        <v>4.5</v>
      </c>
      <c r="T1588">
        <v>7</v>
      </c>
      <c r="U1588" s="1">
        <v>0</v>
      </c>
      <c r="V1588">
        <v>4</v>
      </c>
      <c r="W1588">
        <v>2</v>
      </c>
      <c r="X1588">
        <v>1</v>
      </c>
      <c r="Y1588">
        <v>0.16</v>
      </c>
      <c r="Z1588">
        <v>23</v>
      </c>
      <c r="AA1588">
        <v>0</v>
      </c>
      <c r="AB1588">
        <v>0</v>
      </c>
      <c r="AC1588">
        <v>0</v>
      </c>
      <c r="AD1588">
        <v>1</v>
      </c>
      <c r="AE1588">
        <v>0.05</v>
      </c>
      <c r="AF1588">
        <v>15</v>
      </c>
      <c r="AG1588">
        <v>0</v>
      </c>
      <c r="AH1588">
        <v>0</v>
      </c>
      <c r="AI1588">
        <v>0</v>
      </c>
      <c r="AJ1588">
        <v>1</v>
      </c>
      <c r="AK1588">
        <v>0.02</v>
      </c>
      <c r="AL1588">
        <v>16</v>
      </c>
      <c r="AM1588">
        <v>0</v>
      </c>
      <c r="AN1588">
        <v>0</v>
      </c>
      <c r="AO1588">
        <v>0</v>
      </c>
      <c r="AP1588">
        <v>1</v>
      </c>
      <c r="AQ1588">
        <v>0.01</v>
      </c>
      <c r="AR1588">
        <v>6</v>
      </c>
      <c r="AS1588">
        <v>2</v>
      </c>
      <c r="AT1588">
        <v>2</v>
      </c>
      <c r="AU1588">
        <v>5</v>
      </c>
      <c r="AV1588">
        <v>1</v>
      </c>
      <c r="AW1588">
        <v>0.05</v>
      </c>
      <c r="AX1588">
        <v>7</v>
      </c>
      <c r="AY1588" s="1">
        <v>0</v>
      </c>
      <c r="AZ1588">
        <v>3</v>
      </c>
      <c r="BA1588">
        <v>1</v>
      </c>
      <c r="BB1588">
        <v>1</v>
      </c>
      <c r="BC1588" s="7">
        <v>0.32</v>
      </c>
      <c r="BD1588">
        <v>30</v>
      </c>
      <c r="BE1588">
        <v>0</v>
      </c>
      <c r="BF1588">
        <v>0</v>
      </c>
      <c r="BG1588">
        <v>0</v>
      </c>
      <c r="BH1588">
        <v>5</v>
      </c>
      <c r="BI1588">
        <v>2.4</v>
      </c>
      <c r="BJ1588">
        <v>31</v>
      </c>
      <c r="BK1588">
        <v>0</v>
      </c>
      <c r="BL1588">
        <v>0</v>
      </c>
      <c r="BM1588">
        <v>0</v>
      </c>
      <c r="BN1588">
        <v>5</v>
      </c>
      <c r="BO1588">
        <v>2.4</v>
      </c>
      <c r="BP1588">
        <v>36</v>
      </c>
      <c r="BQ1588">
        <v>0</v>
      </c>
      <c r="BR1588">
        <v>0</v>
      </c>
      <c r="BS1588">
        <v>0</v>
      </c>
      <c r="BT1588">
        <v>5</v>
      </c>
      <c r="BU1588">
        <v>1.6</v>
      </c>
    </row>
    <row r="1589" spans="1:73" ht="14.25" x14ac:dyDescent="0.15">
      <c r="A1589" s="12">
        <v>30636</v>
      </c>
      <c r="B1589">
        <v>7</v>
      </c>
      <c r="C1589" s="1">
        <v>45</v>
      </c>
      <c r="D1589">
        <v>0</v>
      </c>
      <c r="E1589">
        <v>0</v>
      </c>
      <c r="F1589">
        <v>1</v>
      </c>
      <c r="G1589" s="7">
        <v>0.05</v>
      </c>
      <c r="H1589">
        <v>12</v>
      </c>
      <c r="I1589">
        <v>0</v>
      </c>
      <c r="J1589">
        <v>0</v>
      </c>
      <c r="K1589">
        <v>0</v>
      </c>
      <c r="L1589">
        <v>1</v>
      </c>
      <c r="M1589">
        <v>2</v>
      </c>
      <c r="N1589" s="7">
        <v>9</v>
      </c>
      <c r="O1589" s="7">
        <v>0</v>
      </c>
      <c r="P1589" s="7">
        <v>0</v>
      </c>
      <c r="Q1589" s="7">
        <v>0</v>
      </c>
      <c r="R1589" s="7">
        <v>1</v>
      </c>
      <c r="S1589" s="7">
        <v>4.5</v>
      </c>
      <c r="T1589">
        <v>7</v>
      </c>
      <c r="U1589" s="1">
        <v>33</v>
      </c>
      <c r="V1589">
        <v>0</v>
      </c>
      <c r="W1589">
        <v>0</v>
      </c>
      <c r="X1589">
        <v>1</v>
      </c>
      <c r="Y1589">
        <v>0.16</v>
      </c>
      <c r="Z1589">
        <v>23</v>
      </c>
      <c r="AA1589">
        <v>0</v>
      </c>
      <c r="AB1589">
        <v>0</v>
      </c>
      <c r="AC1589">
        <v>0</v>
      </c>
      <c r="AD1589">
        <v>1</v>
      </c>
      <c r="AE1589">
        <v>0.05</v>
      </c>
      <c r="AF1589">
        <v>15</v>
      </c>
      <c r="AG1589">
        <v>0</v>
      </c>
      <c r="AH1589">
        <v>0</v>
      </c>
      <c r="AI1589">
        <v>0</v>
      </c>
      <c r="AJ1589">
        <v>1</v>
      </c>
      <c r="AK1589">
        <v>0.02</v>
      </c>
      <c r="AL1589">
        <v>16</v>
      </c>
      <c r="AM1589">
        <v>0</v>
      </c>
      <c r="AN1589">
        <v>0</v>
      </c>
      <c r="AO1589">
        <v>0</v>
      </c>
      <c r="AP1589">
        <v>1</v>
      </c>
      <c r="AQ1589">
        <v>0.01</v>
      </c>
      <c r="AX1589">
        <v>7</v>
      </c>
      <c r="AY1589" s="1">
        <v>17</v>
      </c>
      <c r="AZ1589">
        <v>0</v>
      </c>
      <c r="BA1589">
        <v>0</v>
      </c>
      <c r="BB1589">
        <v>1</v>
      </c>
      <c r="BC1589" s="7">
        <v>0.32</v>
      </c>
      <c r="BD1589">
        <v>30</v>
      </c>
      <c r="BE1589">
        <v>0</v>
      </c>
      <c r="BF1589">
        <v>0</v>
      </c>
      <c r="BG1589">
        <v>0</v>
      </c>
      <c r="BH1589">
        <v>5</v>
      </c>
      <c r="BI1589">
        <v>2.4</v>
      </c>
      <c r="BJ1589">
        <v>31</v>
      </c>
      <c r="BK1589">
        <v>0</v>
      </c>
      <c r="BL1589">
        <v>0</v>
      </c>
      <c r="BM1589">
        <v>0</v>
      </c>
      <c r="BN1589">
        <v>5</v>
      </c>
      <c r="BO1589">
        <v>2.4</v>
      </c>
      <c r="BP1589">
        <v>36</v>
      </c>
      <c r="BQ1589">
        <v>0</v>
      </c>
      <c r="BR1589">
        <v>0</v>
      </c>
      <c r="BS1589">
        <v>0</v>
      </c>
      <c r="BT1589">
        <v>5</v>
      </c>
      <c r="BU1589">
        <v>1.6</v>
      </c>
    </row>
    <row r="1590" spans="1:73" ht="14.25" x14ac:dyDescent="0.15">
      <c r="A1590" s="12">
        <v>30637</v>
      </c>
      <c r="B1590">
        <v>7</v>
      </c>
      <c r="C1590" s="1">
        <v>46</v>
      </c>
      <c r="D1590">
        <v>0</v>
      </c>
      <c r="E1590">
        <v>0</v>
      </c>
      <c r="F1590">
        <v>1</v>
      </c>
      <c r="G1590" s="7">
        <v>0.05</v>
      </c>
      <c r="H1590">
        <v>12</v>
      </c>
      <c r="I1590">
        <v>0</v>
      </c>
      <c r="J1590">
        <v>0</v>
      </c>
      <c r="K1590">
        <v>0</v>
      </c>
      <c r="L1590">
        <v>1</v>
      </c>
      <c r="M1590">
        <v>2</v>
      </c>
      <c r="N1590" s="7">
        <v>9</v>
      </c>
      <c r="O1590" s="7">
        <v>0</v>
      </c>
      <c r="P1590" s="7">
        <v>0</v>
      </c>
      <c r="Q1590" s="7">
        <v>0</v>
      </c>
      <c r="R1590" s="7">
        <v>1</v>
      </c>
      <c r="S1590" s="7">
        <v>4.5</v>
      </c>
      <c r="T1590">
        <v>7</v>
      </c>
      <c r="U1590" s="1">
        <v>34</v>
      </c>
      <c r="V1590">
        <v>0</v>
      </c>
      <c r="W1590">
        <v>0</v>
      </c>
      <c r="X1590">
        <v>1</v>
      </c>
      <c r="Y1590">
        <v>0.16</v>
      </c>
      <c r="Z1590">
        <v>23</v>
      </c>
      <c r="AA1590">
        <v>0</v>
      </c>
      <c r="AB1590">
        <v>0</v>
      </c>
      <c r="AC1590">
        <v>0</v>
      </c>
      <c r="AD1590">
        <v>1</v>
      </c>
      <c r="AE1590">
        <v>0.05</v>
      </c>
      <c r="AF1590">
        <v>15</v>
      </c>
      <c r="AG1590">
        <v>0</v>
      </c>
      <c r="AH1590">
        <v>0</v>
      </c>
      <c r="AI1590">
        <v>0</v>
      </c>
      <c r="AJ1590">
        <v>1</v>
      </c>
      <c r="AK1590">
        <v>0.02</v>
      </c>
      <c r="AL1590">
        <v>16</v>
      </c>
      <c r="AM1590">
        <v>0</v>
      </c>
      <c r="AN1590">
        <v>0</v>
      </c>
      <c r="AO1590">
        <v>0</v>
      </c>
      <c r="AP1590">
        <v>1</v>
      </c>
      <c r="AQ1590">
        <v>0.01</v>
      </c>
      <c r="AX1590">
        <v>7</v>
      </c>
      <c r="AY1590" s="1">
        <v>18</v>
      </c>
      <c r="AZ1590">
        <v>0</v>
      </c>
      <c r="BA1590">
        <v>0</v>
      </c>
      <c r="BB1590">
        <v>1</v>
      </c>
      <c r="BC1590" s="7">
        <v>0.32</v>
      </c>
      <c r="BD1590">
        <v>30</v>
      </c>
      <c r="BE1590">
        <v>0</v>
      </c>
      <c r="BF1590">
        <v>0</v>
      </c>
      <c r="BG1590">
        <v>0</v>
      </c>
      <c r="BH1590">
        <v>5</v>
      </c>
      <c r="BI1590">
        <v>2.4</v>
      </c>
      <c r="BJ1590">
        <v>31</v>
      </c>
      <c r="BK1590">
        <v>0</v>
      </c>
      <c r="BL1590">
        <v>0</v>
      </c>
      <c r="BM1590">
        <v>0</v>
      </c>
      <c r="BN1590">
        <v>5</v>
      </c>
      <c r="BO1590">
        <v>2.4</v>
      </c>
      <c r="BP1590">
        <v>36</v>
      </c>
      <c r="BQ1590">
        <v>0</v>
      </c>
      <c r="BR1590">
        <v>0</v>
      </c>
      <c r="BS1590">
        <v>0</v>
      </c>
      <c r="BT1590">
        <v>5</v>
      </c>
      <c r="BU1590">
        <v>1.6</v>
      </c>
    </row>
    <row r="1591" spans="1:73" ht="14.25" x14ac:dyDescent="0.15">
      <c r="A1591" s="12">
        <v>30638</v>
      </c>
      <c r="B1591">
        <v>7</v>
      </c>
      <c r="C1591" s="1">
        <v>47</v>
      </c>
      <c r="D1591">
        <v>0</v>
      </c>
      <c r="E1591">
        <v>0</v>
      </c>
      <c r="F1591">
        <v>1</v>
      </c>
      <c r="G1591" s="7">
        <v>0.05</v>
      </c>
      <c r="H1591">
        <v>12</v>
      </c>
      <c r="I1591">
        <v>0</v>
      </c>
      <c r="J1591">
        <v>0</v>
      </c>
      <c r="K1591">
        <v>0</v>
      </c>
      <c r="L1591">
        <v>1</v>
      </c>
      <c r="M1591">
        <v>2</v>
      </c>
      <c r="N1591" s="7">
        <v>9</v>
      </c>
      <c r="O1591" s="7">
        <v>0</v>
      </c>
      <c r="P1591" s="7">
        <v>0</v>
      </c>
      <c r="Q1591" s="7">
        <v>0</v>
      </c>
      <c r="R1591" s="7">
        <v>1</v>
      </c>
      <c r="S1591" s="7">
        <v>4.5</v>
      </c>
      <c r="T1591">
        <v>7</v>
      </c>
      <c r="U1591" s="1">
        <v>35</v>
      </c>
      <c r="V1591">
        <v>0</v>
      </c>
      <c r="W1591">
        <v>0</v>
      </c>
      <c r="X1591">
        <v>1</v>
      </c>
      <c r="Y1591">
        <v>0.16</v>
      </c>
      <c r="Z1591">
        <v>23</v>
      </c>
      <c r="AA1591">
        <v>0</v>
      </c>
      <c r="AB1591">
        <v>0</v>
      </c>
      <c r="AC1591">
        <v>0</v>
      </c>
      <c r="AD1591">
        <v>1</v>
      </c>
      <c r="AE1591">
        <v>0.05</v>
      </c>
      <c r="AF1591">
        <v>15</v>
      </c>
      <c r="AG1591">
        <v>0</v>
      </c>
      <c r="AH1591">
        <v>0</v>
      </c>
      <c r="AI1591">
        <v>0</v>
      </c>
      <c r="AJ1591">
        <v>1</v>
      </c>
      <c r="AK1591">
        <v>0.02</v>
      </c>
      <c r="AL1591">
        <v>16</v>
      </c>
      <c r="AM1591">
        <v>0</v>
      </c>
      <c r="AN1591">
        <v>0</v>
      </c>
      <c r="AO1591">
        <v>0</v>
      </c>
      <c r="AP1591">
        <v>1</v>
      </c>
      <c r="AQ1591">
        <v>0.01</v>
      </c>
      <c r="AX1591">
        <v>7</v>
      </c>
      <c r="AY1591" s="1">
        <v>19</v>
      </c>
      <c r="AZ1591">
        <v>0</v>
      </c>
      <c r="BA1591">
        <v>0</v>
      </c>
      <c r="BB1591">
        <v>1</v>
      </c>
      <c r="BC1591" s="7">
        <v>0.32</v>
      </c>
      <c r="BD1591">
        <v>30</v>
      </c>
      <c r="BE1591">
        <v>0</v>
      </c>
      <c r="BF1591">
        <v>0</v>
      </c>
      <c r="BG1591">
        <v>0</v>
      </c>
      <c r="BH1591">
        <v>5</v>
      </c>
      <c r="BI1591">
        <v>2.4</v>
      </c>
      <c r="BJ1591">
        <v>31</v>
      </c>
      <c r="BK1591">
        <v>0</v>
      </c>
      <c r="BL1591">
        <v>0</v>
      </c>
      <c r="BM1591">
        <v>0</v>
      </c>
      <c r="BN1591">
        <v>5</v>
      </c>
      <c r="BO1591">
        <v>2.4</v>
      </c>
      <c r="BP1591">
        <v>36</v>
      </c>
      <c r="BQ1591">
        <v>0</v>
      </c>
      <c r="BR1591">
        <v>0</v>
      </c>
      <c r="BS1591">
        <v>0</v>
      </c>
      <c r="BT1591">
        <v>5</v>
      </c>
      <c r="BU1591">
        <v>1.6</v>
      </c>
    </row>
    <row r="1592" spans="1:73" ht="14.25" x14ac:dyDescent="0.15">
      <c r="A1592" s="12">
        <v>30639</v>
      </c>
      <c r="B1592">
        <v>7</v>
      </c>
      <c r="C1592" s="1">
        <v>48</v>
      </c>
      <c r="D1592">
        <v>0</v>
      </c>
      <c r="E1592">
        <v>0</v>
      </c>
      <c r="F1592">
        <v>1</v>
      </c>
      <c r="G1592" s="7">
        <v>0.05</v>
      </c>
      <c r="H1592">
        <v>12</v>
      </c>
      <c r="I1592">
        <v>0</v>
      </c>
      <c r="J1592">
        <v>0</v>
      </c>
      <c r="K1592">
        <v>0</v>
      </c>
      <c r="L1592">
        <v>1</v>
      </c>
      <c r="M1592">
        <v>2</v>
      </c>
      <c r="N1592" s="7">
        <v>9</v>
      </c>
      <c r="O1592" s="7">
        <v>0</v>
      </c>
      <c r="P1592" s="7">
        <v>0</v>
      </c>
      <c r="Q1592" s="7">
        <v>0</v>
      </c>
      <c r="R1592" s="7">
        <v>1</v>
      </c>
      <c r="S1592" s="7">
        <v>4.5</v>
      </c>
      <c r="T1592">
        <v>7</v>
      </c>
      <c r="U1592" s="1">
        <v>36</v>
      </c>
      <c r="V1592">
        <v>0</v>
      </c>
      <c r="W1592">
        <v>0</v>
      </c>
      <c r="X1592">
        <v>1</v>
      </c>
      <c r="Y1592">
        <v>0.16</v>
      </c>
      <c r="Z1592">
        <v>23</v>
      </c>
      <c r="AA1592">
        <v>0</v>
      </c>
      <c r="AB1592">
        <v>0</v>
      </c>
      <c r="AC1592">
        <v>0</v>
      </c>
      <c r="AD1592">
        <v>1</v>
      </c>
      <c r="AE1592">
        <v>0.05</v>
      </c>
      <c r="AF1592">
        <v>15</v>
      </c>
      <c r="AG1592">
        <v>0</v>
      </c>
      <c r="AH1592">
        <v>0</v>
      </c>
      <c r="AI1592">
        <v>0</v>
      </c>
      <c r="AJ1592">
        <v>1</v>
      </c>
      <c r="AK1592">
        <v>0.02</v>
      </c>
      <c r="AL1592">
        <v>16</v>
      </c>
      <c r="AM1592">
        <v>0</v>
      </c>
      <c r="AN1592">
        <v>0</v>
      </c>
      <c r="AO1592">
        <v>0</v>
      </c>
      <c r="AP1592">
        <v>1</v>
      </c>
      <c r="AQ1592">
        <v>0.01</v>
      </c>
      <c r="AX1592">
        <v>7</v>
      </c>
      <c r="AY1592" s="1">
        <v>20</v>
      </c>
      <c r="AZ1592">
        <v>0</v>
      </c>
      <c r="BA1592">
        <v>0</v>
      </c>
      <c r="BB1592">
        <v>1</v>
      </c>
      <c r="BC1592" s="7">
        <v>0.32</v>
      </c>
      <c r="BD1592">
        <v>30</v>
      </c>
      <c r="BE1592">
        <v>0</v>
      </c>
      <c r="BF1592">
        <v>0</v>
      </c>
      <c r="BG1592">
        <v>0</v>
      </c>
      <c r="BH1592">
        <v>5</v>
      </c>
      <c r="BI1592">
        <v>2.4</v>
      </c>
      <c r="BJ1592">
        <v>31</v>
      </c>
      <c r="BK1592">
        <v>0</v>
      </c>
      <c r="BL1592">
        <v>0</v>
      </c>
      <c r="BM1592">
        <v>0</v>
      </c>
      <c r="BN1592">
        <v>5</v>
      </c>
      <c r="BO1592">
        <v>2.4</v>
      </c>
      <c r="BP1592">
        <v>36</v>
      </c>
      <c r="BQ1592">
        <v>0</v>
      </c>
      <c r="BR1592">
        <v>0</v>
      </c>
      <c r="BS1592">
        <v>0</v>
      </c>
      <c r="BT1592">
        <v>5</v>
      </c>
      <c r="BU1592">
        <v>1.6</v>
      </c>
    </row>
    <row r="1593" spans="1:73" ht="14.25" x14ac:dyDescent="0.15">
      <c r="A1593" s="12">
        <v>30640</v>
      </c>
      <c r="B1593">
        <v>7</v>
      </c>
      <c r="C1593" s="1">
        <v>0</v>
      </c>
      <c r="D1593">
        <v>5</v>
      </c>
      <c r="E1593">
        <v>1</v>
      </c>
      <c r="F1593">
        <v>1</v>
      </c>
      <c r="G1593" s="7">
        <v>0.05</v>
      </c>
      <c r="H1593">
        <v>12</v>
      </c>
      <c r="I1593">
        <v>0</v>
      </c>
      <c r="J1593">
        <v>0</v>
      </c>
      <c r="K1593">
        <v>0</v>
      </c>
      <c r="L1593">
        <v>1</v>
      </c>
      <c r="M1593">
        <v>2</v>
      </c>
      <c r="N1593" s="7">
        <v>9</v>
      </c>
      <c r="O1593" s="7">
        <v>0</v>
      </c>
      <c r="P1593" s="7">
        <v>0</v>
      </c>
      <c r="Q1593" s="7">
        <v>0</v>
      </c>
      <c r="R1593" s="7">
        <v>1</v>
      </c>
      <c r="S1593" s="7">
        <v>4.5</v>
      </c>
      <c r="T1593">
        <v>7</v>
      </c>
      <c r="U1593" s="1">
        <v>0</v>
      </c>
      <c r="V1593">
        <v>4</v>
      </c>
      <c r="W1593">
        <v>2</v>
      </c>
      <c r="X1593">
        <v>1</v>
      </c>
      <c r="Y1593">
        <v>0.16</v>
      </c>
      <c r="Z1593">
        <v>23</v>
      </c>
      <c r="AA1593">
        <v>0</v>
      </c>
      <c r="AB1593">
        <v>0</v>
      </c>
      <c r="AC1593">
        <v>0</v>
      </c>
      <c r="AD1593">
        <v>1</v>
      </c>
      <c r="AE1593">
        <v>0.05</v>
      </c>
      <c r="AF1593">
        <v>15</v>
      </c>
      <c r="AG1593">
        <v>0</v>
      </c>
      <c r="AH1593">
        <v>0</v>
      </c>
      <c r="AI1593">
        <v>0</v>
      </c>
      <c r="AJ1593">
        <v>1</v>
      </c>
      <c r="AK1593">
        <v>0.02</v>
      </c>
      <c r="AL1593">
        <v>16</v>
      </c>
      <c r="AM1593">
        <v>0</v>
      </c>
      <c r="AN1593">
        <v>0</v>
      </c>
      <c r="AO1593">
        <v>0</v>
      </c>
      <c r="AP1593">
        <v>1</v>
      </c>
      <c r="AQ1593">
        <v>0.01</v>
      </c>
      <c r="AR1593">
        <v>6</v>
      </c>
      <c r="AS1593">
        <v>2</v>
      </c>
      <c r="AT1593">
        <v>3</v>
      </c>
      <c r="AU1593">
        <v>5</v>
      </c>
      <c r="AV1593">
        <v>1</v>
      </c>
      <c r="AW1593">
        <v>0.05</v>
      </c>
      <c r="AX1593">
        <v>7</v>
      </c>
      <c r="AY1593" s="1">
        <v>0</v>
      </c>
      <c r="AZ1593">
        <v>3</v>
      </c>
      <c r="BA1593">
        <v>1</v>
      </c>
      <c r="BB1593">
        <v>1</v>
      </c>
      <c r="BC1593" s="7">
        <v>0.32</v>
      </c>
      <c r="BD1593">
        <v>30</v>
      </c>
      <c r="BE1593">
        <v>0</v>
      </c>
      <c r="BF1593">
        <v>0</v>
      </c>
      <c r="BG1593">
        <v>0</v>
      </c>
      <c r="BH1593">
        <v>5</v>
      </c>
      <c r="BI1593">
        <v>2.4</v>
      </c>
      <c r="BJ1593">
        <v>31</v>
      </c>
      <c r="BK1593">
        <v>0</v>
      </c>
      <c r="BL1593">
        <v>0</v>
      </c>
      <c r="BM1593">
        <v>0</v>
      </c>
      <c r="BN1593">
        <v>5</v>
      </c>
      <c r="BO1593">
        <v>2.4</v>
      </c>
      <c r="BP1593">
        <v>36</v>
      </c>
      <c r="BQ1593">
        <v>0</v>
      </c>
      <c r="BR1593">
        <v>0</v>
      </c>
      <c r="BS1593">
        <v>0</v>
      </c>
      <c r="BT1593">
        <v>5</v>
      </c>
      <c r="BU1593">
        <v>1.6</v>
      </c>
    </row>
    <row r="1594" spans="1:73" ht="14.25" x14ac:dyDescent="0.15">
      <c r="A1594" s="12">
        <v>30641</v>
      </c>
      <c r="B1594">
        <v>7</v>
      </c>
      <c r="C1594" s="1">
        <v>45</v>
      </c>
      <c r="D1594">
        <v>0</v>
      </c>
      <c r="E1594">
        <v>0</v>
      </c>
      <c r="F1594">
        <v>1</v>
      </c>
      <c r="G1594" s="7">
        <v>0.05</v>
      </c>
      <c r="H1594">
        <v>12</v>
      </c>
      <c r="I1594">
        <v>0</v>
      </c>
      <c r="J1594">
        <v>0</v>
      </c>
      <c r="K1594">
        <v>0</v>
      </c>
      <c r="L1594">
        <v>1</v>
      </c>
      <c r="M1594">
        <v>2</v>
      </c>
      <c r="N1594" s="7">
        <v>9</v>
      </c>
      <c r="O1594" s="7">
        <v>0</v>
      </c>
      <c r="P1594" s="7">
        <v>0</v>
      </c>
      <c r="Q1594" s="7">
        <v>0</v>
      </c>
      <c r="R1594" s="7">
        <v>1</v>
      </c>
      <c r="S1594" s="7">
        <v>4.5</v>
      </c>
      <c r="T1594">
        <v>7</v>
      </c>
      <c r="U1594" s="1">
        <v>33</v>
      </c>
      <c r="V1594">
        <v>0</v>
      </c>
      <c r="W1594">
        <v>0</v>
      </c>
      <c r="X1594">
        <v>1</v>
      </c>
      <c r="Y1594">
        <v>0.16</v>
      </c>
      <c r="Z1594">
        <v>23</v>
      </c>
      <c r="AA1594">
        <v>0</v>
      </c>
      <c r="AB1594">
        <v>0</v>
      </c>
      <c r="AC1594">
        <v>0</v>
      </c>
      <c r="AD1594">
        <v>1</v>
      </c>
      <c r="AE1594">
        <v>0.05</v>
      </c>
      <c r="AF1594">
        <v>15</v>
      </c>
      <c r="AG1594">
        <v>0</v>
      </c>
      <c r="AH1594">
        <v>0</v>
      </c>
      <c r="AI1594">
        <v>0</v>
      </c>
      <c r="AJ1594">
        <v>1</v>
      </c>
      <c r="AK1594">
        <v>0.02</v>
      </c>
      <c r="AL1594">
        <v>16</v>
      </c>
      <c r="AM1594">
        <v>0</v>
      </c>
      <c r="AN1594">
        <v>0</v>
      </c>
      <c r="AO1594">
        <v>0</v>
      </c>
      <c r="AP1594">
        <v>1</v>
      </c>
      <c r="AQ1594">
        <v>0.01</v>
      </c>
      <c r="AX1594">
        <v>7</v>
      </c>
      <c r="AY1594" s="1">
        <v>17</v>
      </c>
      <c r="AZ1594">
        <v>0</v>
      </c>
      <c r="BA1594">
        <v>0</v>
      </c>
      <c r="BB1594">
        <v>1</v>
      </c>
      <c r="BC1594" s="7">
        <v>0.32</v>
      </c>
      <c r="BD1594">
        <v>30</v>
      </c>
      <c r="BE1594">
        <v>0</v>
      </c>
      <c r="BF1594">
        <v>0</v>
      </c>
      <c r="BG1594">
        <v>0</v>
      </c>
      <c r="BH1594">
        <v>5</v>
      </c>
      <c r="BI1594">
        <v>2.4</v>
      </c>
      <c r="BJ1594">
        <v>31</v>
      </c>
      <c r="BK1594">
        <v>0</v>
      </c>
      <c r="BL1594">
        <v>0</v>
      </c>
      <c r="BM1594">
        <v>0</v>
      </c>
      <c r="BN1594">
        <v>5</v>
      </c>
      <c r="BO1594">
        <v>2.4</v>
      </c>
      <c r="BP1594">
        <v>36</v>
      </c>
      <c r="BQ1594">
        <v>0</v>
      </c>
      <c r="BR1594">
        <v>0</v>
      </c>
      <c r="BS1594">
        <v>0</v>
      </c>
      <c r="BT1594">
        <v>5</v>
      </c>
      <c r="BU1594">
        <v>1.6</v>
      </c>
    </row>
    <row r="1595" spans="1:73" ht="14.25" x14ac:dyDescent="0.15">
      <c r="A1595" s="12">
        <v>30642</v>
      </c>
      <c r="B1595">
        <v>7</v>
      </c>
      <c r="C1595" s="1">
        <v>46</v>
      </c>
      <c r="D1595">
        <v>0</v>
      </c>
      <c r="E1595">
        <v>0</v>
      </c>
      <c r="F1595">
        <v>1</v>
      </c>
      <c r="G1595" s="7">
        <v>0.05</v>
      </c>
      <c r="H1595">
        <v>12</v>
      </c>
      <c r="I1595">
        <v>0</v>
      </c>
      <c r="J1595">
        <v>0</v>
      </c>
      <c r="K1595">
        <v>0</v>
      </c>
      <c r="L1595">
        <v>1</v>
      </c>
      <c r="M1595">
        <v>2</v>
      </c>
      <c r="N1595" s="7">
        <v>9</v>
      </c>
      <c r="O1595" s="7">
        <v>0</v>
      </c>
      <c r="P1595" s="7">
        <v>0</v>
      </c>
      <c r="Q1595" s="7">
        <v>0</v>
      </c>
      <c r="R1595" s="7">
        <v>1</v>
      </c>
      <c r="S1595" s="7">
        <v>4.5</v>
      </c>
      <c r="T1595">
        <v>7</v>
      </c>
      <c r="U1595" s="1">
        <v>34</v>
      </c>
      <c r="V1595">
        <v>0</v>
      </c>
      <c r="W1595">
        <v>0</v>
      </c>
      <c r="X1595">
        <v>1</v>
      </c>
      <c r="Y1595">
        <v>0.16</v>
      </c>
      <c r="Z1595">
        <v>23</v>
      </c>
      <c r="AA1595">
        <v>0</v>
      </c>
      <c r="AB1595">
        <v>0</v>
      </c>
      <c r="AC1595">
        <v>0</v>
      </c>
      <c r="AD1595">
        <v>1</v>
      </c>
      <c r="AE1595">
        <v>0.05</v>
      </c>
      <c r="AF1595">
        <v>15</v>
      </c>
      <c r="AG1595">
        <v>0</v>
      </c>
      <c r="AH1595">
        <v>0</v>
      </c>
      <c r="AI1595">
        <v>0</v>
      </c>
      <c r="AJ1595">
        <v>1</v>
      </c>
      <c r="AK1595">
        <v>0.02</v>
      </c>
      <c r="AL1595">
        <v>16</v>
      </c>
      <c r="AM1595">
        <v>0</v>
      </c>
      <c r="AN1595">
        <v>0</v>
      </c>
      <c r="AO1595">
        <v>0</v>
      </c>
      <c r="AP1595">
        <v>1</v>
      </c>
      <c r="AQ1595">
        <v>0.01</v>
      </c>
      <c r="AX1595">
        <v>7</v>
      </c>
      <c r="AY1595" s="1">
        <v>18</v>
      </c>
      <c r="AZ1595">
        <v>0</v>
      </c>
      <c r="BA1595">
        <v>0</v>
      </c>
      <c r="BB1595">
        <v>1</v>
      </c>
      <c r="BC1595" s="7">
        <v>0.32</v>
      </c>
      <c r="BD1595">
        <v>30</v>
      </c>
      <c r="BE1595">
        <v>0</v>
      </c>
      <c r="BF1595">
        <v>0</v>
      </c>
      <c r="BG1595">
        <v>0</v>
      </c>
      <c r="BH1595">
        <v>5</v>
      </c>
      <c r="BI1595">
        <v>2.4</v>
      </c>
      <c r="BJ1595">
        <v>31</v>
      </c>
      <c r="BK1595">
        <v>0</v>
      </c>
      <c r="BL1595">
        <v>0</v>
      </c>
      <c r="BM1595">
        <v>0</v>
      </c>
      <c r="BN1595">
        <v>5</v>
      </c>
      <c r="BO1595">
        <v>2.4</v>
      </c>
      <c r="BP1595">
        <v>36</v>
      </c>
      <c r="BQ1595">
        <v>0</v>
      </c>
      <c r="BR1595">
        <v>0</v>
      </c>
      <c r="BS1595">
        <v>0</v>
      </c>
      <c r="BT1595">
        <v>5</v>
      </c>
      <c r="BU1595">
        <v>1.6</v>
      </c>
    </row>
    <row r="1596" spans="1:73" ht="14.25" x14ac:dyDescent="0.15">
      <c r="A1596" s="12">
        <v>30643</v>
      </c>
      <c r="B1596">
        <v>7</v>
      </c>
      <c r="C1596" s="1">
        <v>47</v>
      </c>
      <c r="D1596">
        <v>0</v>
      </c>
      <c r="E1596">
        <v>0</v>
      </c>
      <c r="F1596">
        <v>1</v>
      </c>
      <c r="G1596" s="7">
        <v>0.05</v>
      </c>
      <c r="H1596">
        <v>12</v>
      </c>
      <c r="I1596">
        <v>0</v>
      </c>
      <c r="J1596">
        <v>0</v>
      </c>
      <c r="K1596">
        <v>0</v>
      </c>
      <c r="L1596">
        <v>1</v>
      </c>
      <c r="M1596">
        <v>2</v>
      </c>
      <c r="N1596" s="7">
        <v>9</v>
      </c>
      <c r="O1596" s="7">
        <v>0</v>
      </c>
      <c r="P1596" s="7">
        <v>0</v>
      </c>
      <c r="Q1596" s="7">
        <v>0</v>
      </c>
      <c r="R1596" s="7">
        <v>1</v>
      </c>
      <c r="S1596" s="7">
        <v>4.5</v>
      </c>
      <c r="T1596">
        <v>7</v>
      </c>
      <c r="U1596" s="1">
        <v>35</v>
      </c>
      <c r="V1596">
        <v>0</v>
      </c>
      <c r="W1596">
        <v>0</v>
      </c>
      <c r="X1596">
        <v>1</v>
      </c>
      <c r="Y1596">
        <v>0.16</v>
      </c>
      <c r="Z1596">
        <v>23</v>
      </c>
      <c r="AA1596">
        <v>0</v>
      </c>
      <c r="AB1596">
        <v>0</v>
      </c>
      <c r="AC1596">
        <v>0</v>
      </c>
      <c r="AD1596">
        <v>1</v>
      </c>
      <c r="AE1596">
        <v>0.05</v>
      </c>
      <c r="AF1596">
        <v>15</v>
      </c>
      <c r="AG1596">
        <v>0</v>
      </c>
      <c r="AH1596">
        <v>0</v>
      </c>
      <c r="AI1596">
        <v>0</v>
      </c>
      <c r="AJ1596">
        <v>1</v>
      </c>
      <c r="AK1596">
        <v>0.02</v>
      </c>
      <c r="AL1596">
        <v>16</v>
      </c>
      <c r="AM1596">
        <v>0</v>
      </c>
      <c r="AN1596">
        <v>0</v>
      </c>
      <c r="AO1596">
        <v>0</v>
      </c>
      <c r="AP1596">
        <v>1</v>
      </c>
      <c r="AQ1596">
        <v>0.01</v>
      </c>
      <c r="AX1596">
        <v>7</v>
      </c>
      <c r="AY1596" s="1">
        <v>19</v>
      </c>
      <c r="AZ1596">
        <v>0</v>
      </c>
      <c r="BA1596">
        <v>0</v>
      </c>
      <c r="BB1596">
        <v>1</v>
      </c>
      <c r="BC1596" s="7">
        <v>0.32</v>
      </c>
      <c r="BD1596">
        <v>30</v>
      </c>
      <c r="BE1596">
        <v>0</v>
      </c>
      <c r="BF1596">
        <v>0</v>
      </c>
      <c r="BG1596">
        <v>0</v>
      </c>
      <c r="BH1596">
        <v>5</v>
      </c>
      <c r="BI1596">
        <v>2.4</v>
      </c>
      <c r="BJ1596">
        <v>31</v>
      </c>
      <c r="BK1596">
        <v>0</v>
      </c>
      <c r="BL1596">
        <v>0</v>
      </c>
      <c r="BM1596">
        <v>0</v>
      </c>
      <c r="BN1596">
        <v>5</v>
      </c>
      <c r="BO1596">
        <v>2.4</v>
      </c>
      <c r="BP1596">
        <v>36</v>
      </c>
      <c r="BQ1596">
        <v>0</v>
      </c>
      <c r="BR1596">
        <v>0</v>
      </c>
      <c r="BS1596">
        <v>0</v>
      </c>
      <c r="BT1596">
        <v>5</v>
      </c>
      <c r="BU1596">
        <v>1.6</v>
      </c>
    </row>
    <row r="1597" spans="1:73" ht="14.25" x14ac:dyDescent="0.15">
      <c r="A1597" s="12">
        <v>30644</v>
      </c>
      <c r="B1597">
        <v>7</v>
      </c>
      <c r="C1597" s="1">
        <v>48</v>
      </c>
      <c r="D1597">
        <v>0</v>
      </c>
      <c r="E1597">
        <v>0</v>
      </c>
      <c r="F1597">
        <v>1</v>
      </c>
      <c r="G1597" s="7">
        <v>0.05</v>
      </c>
      <c r="H1597">
        <v>12</v>
      </c>
      <c r="I1597">
        <v>0</v>
      </c>
      <c r="J1597">
        <v>0</v>
      </c>
      <c r="K1597">
        <v>0</v>
      </c>
      <c r="L1597">
        <v>1</v>
      </c>
      <c r="M1597">
        <v>2</v>
      </c>
      <c r="N1597" s="7">
        <v>9</v>
      </c>
      <c r="O1597" s="7">
        <v>0</v>
      </c>
      <c r="P1597" s="7">
        <v>0</v>
      </c>
      <c r="Q1597" s="7">
        <v>0</v>
      </c>
      <c r="R1597" s="7">
        <v>1</v>
      </c>
      <c r="S1597" s="7">
        <v>4.5</v>
      </c>
      <c r="T1597">
        <v>7</v>
      </c>
      <c r="U1597" s="1">
        <v>36</v>
      </c>
      <c r="V1597">
        <v>0</v>
      </c>
      <c r="W1597">
        <v>0</v>
      </c>
      <c r="X1597">
        <v>1</v>
      </c>
      <c r="Y1597">
        <v>0.16</v>
      </c>
      <c r="Z1597">
        <v>23</v>
      </c>
      <c r="AA1597">
        <v>0</v>
      </c>
      <c r="AB1597">
        <v>0</v>
      </c>
      <c r="AC1597">
        <v>0</v>
      </c>
      <c r="AD1597">
        <v>1</v>
      </c>
      <c r="AE1597">
        <v>0.05</v>
      </c>
      <c r="AF1597">
        <v>15</v>
      </c>
      <c r="AG1597">
        <v>0</v>
      </c>
      <c r="AH1597">
        <v>0</v>
      </c>
      <c r="AI1597">
        <v>0</v>
      </c>
      <c r="AJ1597">
        <v>1</v>
      </c>
      <c r="AK1597">
        <v>0.02</v>
      </c>
      <c r="AL1597">
        <v>16</v>
      </c>
      <c r="AM1597">
        <v>0</v>
      </c>
      <c r="AN1597">
        <v>0</v>
      </c>
      <c r="AO1597">
        <v>0</v>
      </c>
      <c r="AP1597">
        <v>1</v>
      </c>
      <c r="AQ1597">
        <v>0.01</v>
      </c>
      <c r="AX1597">
        <v>7</v>
      </c>
      <c r="AY1597" s="1">
        <v>20</v>
      </c>
      <c r="AZ1597">
        <v>0</v>
      </c>
      <c r="BA1597">
        <v>0</v>
      </c>
      <c r="BB1597">
        <v>1</v>
      </c>
      <c r="BC1597" s="7">
        <v>0.32</v>
      </c>
      <c r="BD1597">
        <v>30</v>
      </c>
      <c r="BE1597">
        <v>0</v>
      </c>
      <c r="BF1597">
        <v>0</v>
      </c>
      <c r="BG1597">
        <v>0</v>
      </c>
      <c r="BH1597">
        <v>5</v>
      </c>
      <c r="BI1597">
        <v>2.4</v>
      </c>
      <c r="BJ1597">
        <v>31</v>
      </c>
      <c r="BK1597">
        <v>0</v>
      </c>
      <c r="BL1597">
        <v>0</v>
      </c>
      <c r="BM1597">
        <v>0</v>
      </c>
      <c r="BN1597">
        <v>5</v>
      </c>
      <c r="BO1597">
        <v>2.4</v>
      </c>
      <c r="BP1597">
        <v>36</v>
      </c>
      <c r="BQ1597">
        <v>0</v>
      </c>
      <c r="BR1597">
        <v>0</v>
      </c>
      <c r="BS1597">
        <v>0</v>
      </c>
      <c r="BT1597">
        <v>5</v>
      </c>
      <c r="BU1597">
        <v>1.6</v>
      </c>
    </row>
    <row r="1598" spans="1:73" ht="14.25" x14ac:dyDescent="0.15">
      <c r="A1598" s="12">
        <v>30645</v>
      </c>
      <c r="B1598">
        <v>7</v>
      </c>
      <c r="C1598" s="1">
        <v>0</v>
      </c>
      <c r="D1598">
        <v>5</v>
      </c>
      <c r="E1598">
        <v>1</v>
      </c>
      <c r="F1598">
        <v>1</v>
      </c>
      <c r="G1598" s="7">
        <v>0.05</v>
      </c>
      <c r="H1598">
        <v>12</v>
      </c>
      <c r="I1598">
        <v>0</v>
      </c>
      <c r="J1598">
        <v>0</v>
      </c>
      <c r="K1598">
        <v>0</v>
      </c>
      <c r="L1598">
        <v>1</v>
      </c>
      <c r="M1598">
        <v>2</v>
      </c>
      <c r="N1598" s="7">
        <v>9</v>
      </c>
      <c r="O1598" s="7">
        <v>0</v>
      </c>
      <c r="P1598" s="7">
        <v>0</v>
      </c>
      <c r="Q1598" s="7">
        <v>0</v>
      </c>
      <c r="R1598" s="7">
        <v>1</v>
      </c>
      <c r="S1598" s="7">
        <v>4.5</v>
      </c>
      <c r="T1598">
        <v>7</v>
      </c>
      <c r="U1598" s="1">
        <v>0</v>
      </c>
      <c r="V1598">
        <v>4</v>
      </c>
      <c r="W1598">
        <v>2</v>
      </c>
      <c r="X1598">
        <v>1</v>
      </c>
      <c r="Y1598">
        <v>0.16</v>
      </c>
      <c r="Z1598">
        <v>23</v>
      </c>
      <c r="AA1598">
        <v>0</v>
      </c>
      <c r="AB1598">
        <v>0</v>
      </c>
      <c r="AC1598">
        <v>0</v>
      </c>
      <c r="AD1598">
        <v>1</v>
      </c>
      <c r="AE1598">
        <v>0.05</v>
      </c>
      <c r="AF1598">
        <v>15</v>
      </c>
      <c r="AG1598">
        <v>0</v>
      </c>
      <c r="AH1598">
        <v>0</v>
      </c>
      <c r="AI1598">
        <v>0</v>
      </c>
      <c r="AJ1598">
        <v>1</v>
      </c>
      <c r="AK1598">
        <v>0.02</v>
      </c>
      <c r="AL1598">
        <v>16</v>
      </c>
      <c r="AM1598">
        <v>0</v>
      </c>
      <c r="AN1598">
        <v>0</v>
      </c>
      <c r="AO1598">
        <v>0</v>
      </c>
      <c r="AP1598">
        <v>1</v>
      </c>
      <c r="AQ1598">
        <v>0.01</v>
      </c>
      <c r="AR1598">
        <v>6</v>
      </c>
      <c r="AS1598">
        <v>2</v>
      </c>
      <c r="AT1598">
        <v>4</v>
      </c>
      <c r="AU1598">
        <v>5</v>
      </c>
      <c r="AV1598">
        <v>1</v>
      </c>
      <c r="AW1598">
        <v>0.01</v>
      </c>
      <c r="AX1598">
        <v>7</v>
      </c>
      <c r="AY1598" s="1">
        <v>0</v>
      </c>
      <c r="AZ1598">
        <v>3</v>
      </c>
      <c r="BA1598">
        <v>1</v>
      </c>
      <c r="BB1598">
        <v>1</v>
      </c>
      <c r="BC1598" s="7">
        <v>0.32</v>
      </c>
      <c r="BD1598">
        <v>30</v>
      </c>
      <c r="BE1598">
        <v>0</v>
      </c>
      <c r="BF1598">
        <v>0</v>
      </c>
      <c r="BG1598">
        <v>0</v>
      </c>
      <c r="BH1598">
        <v>5</v>
      </c>
      <c r="BI1598">
        <v>2.4</v>
      </c>
      <c r="BJ1598">
        <v>31</v>
      </c>
      <c r="BK1598">
        <v>0</v>
      </c>
      <c r="BL1598">
        <v>0</v>
      </c>
      <c r="BM1598">
        <v>0</v>
      </c>
      <c r="BN1598">
        <v>5</v>
      </c>
      <c r="BO1598">
        <v>2.4</v>
      </c>
      <c r="BP1598">
        <v>36</v>
      </c>
      <c r="BQ1598">
        <v>0</v>
      </c>
      <c r="BR1598">
        <v>0</v>
      </c>
      <c r="BS1598">
        <v>0</v>
      </c>
      <c r="BT1598">
        <v>5</v>
      </c>
      <c r="BU1598">
        <v>1.6</v>
      </c>
    </row>
    <row r="1599" spans="1:73" ht="14.25" x14ac:dyDescent="0.15">
      <c r="A1599" s="12">
        <v>30646</v>
      </c>
      <c r="B1599">
        <v>7</v>
      </c>
      <c r="C1599" s="1">
        <v>45</v>
      </c>
      <c r="D1599">
        <v>0</v>
      </c>
      <c r="E1599">
        <v>0</v>
      </c>
      <c r="F1599">
        <v>1</v>
      </c>
      <c r="G1599" s="7">
        <v>0.05</v>
      </c>
      <c r="H1599">
        <v>12</v>
      </c>
      <c r="I1599">
        <v>0</v>
      </c>
      <c r="J1599">
        <v>0</v>
      </c>
      <c r="K1599">
        <v>0</v>
      </c>
      <c r="L1599">
        <v>1</v>
      </c>
      <c r="M1599">
        <v>2</v>
      </c>
      <c r="N1599" s="7">
        <v>9</v>
      </c>
      <c r="O1599" s="7">
        <v>0</v>
      </c>
      <c r="P1599" s="7">
        <v>0</v>
      </c>
      <c r="Q1599" s="7">
        <v>0</v>
      </c>
      <c r="R1599" s="7">
        <v>1</v>
      </c>
      <c r="S1599" s="7">
        <v>4.5</v>
      </c>
      <c r="T1599">
        <v>7</v>
      </c>
      <c r="U1599" s="1">
        <v>33</v>
      </c>
      <c r="V1599">
        <v>0</v>
      </c>
      <c r="W1599">
        <v>0</v>
      </c>
      <c r="X1599">
        <v>1</v>
      </c>
      <c r="Y1599">
        <v>0.16</v>
      </c>
      <c r="Z1599">
        <v>23</v>
      </c>
      <c r="AA1599">
        <v>0</v>
      </c>
      <c r="AB1599">
        <v>0</v>
      </c>
      <c r="AC1599">
        <v>0</v>
      </c>
      <c r="AD1599">
        <v>1</v>
      </c>
      <c r="AE1599">
        <v>0.05</v>
      </c>
      <c r="AF1599">
        <v>15</v>
      </c>
      <c r="AG1599">
        <v>0</v>
      </c>
      <c r="AH1599">
        <v>0</v>
      </c>
      <c r="AI1599">
        <v>0</v>
      </c>
      <c r="AJ1599">
        <v>1</v>
      </c>
      <c r="AK1599">
        <v>0.02</v>
      </c>
      <c r="AL1599">
        <v>16</v>
      </c>
      <c r="AM1599">
        <v>0</v>
      </c>
      <c r="AN1599">
        <v>0</v>
      </c>
      <c r="AO1599">
        <v>0</v>
      </c>
      <c r="AP1599">
        <v>1</v>
      </c>
      <c r="AQ1599">
        <v>0.01</v>
      </c>
      <c r="AX1599">
        <v>7</v>
      </c>
      <c r="AY1599" s="1">
        <v>17</v>
      </c>
      <c r="AZ1599">
        <v>0</v>
      </c>
      <c r="BA1599">
        <v>0</v>
      </c>
      <c r="BB1599">
        <v>1</v>
      </c>
      <c r="BC1599" s="7">
        <v>0.32</v>
      </c>
      <c r="BD1599">
        <v>30</v>
      </c>
      <c r="BE1599">
        <v>0</v>
      </c>
      <c r="BF1599">
        <v>0</v>
      </c>
      <c r="BG1599">
        <v>0</v>
      </c>
      <c r="BH1599">
        <v>5</v>
      </c>
      <c r="BI1599">
        <v>2.4</v>
      </c>
      <c r="BJ1599">
        <v>31</v>
      </c>
      <c r="BK1599">
        <v>0</v>
      </c>
      <c r="BL1599">
        <v>0</v>
      </c>
      <c r="BM1599">
        <v>0</v>
      </c>
      <c r="BN1599">
        <v>5</v>
      </c>
      <c r="BO1599">
        <v>2.4</v>
      </c>
      <c r="BP1599">
        <v>36</v>
      </c>
      <c r="BQ1599">
        <v>0</v>
      </c>
      <c r="BR1599">
        <v>0</v>
      </c>
      <c r="BS1599">
        <v>0</v>
      </c>
      <c r="BT1599">
        <v>5</v>
      </c>
      <c r="BU1599">
        <v>1.6</v>
      </c>
    </row>
    <row r="1600" spans="1:73" ht="14.25" x14ac:dyDescent="0.15">
      <c r="A1600" s="12">
        <v>30647</v>
      </c>
      <c r="B1600">
        <v>7</v>
      </c>
      <c r="C1600" s="1">
        <v>46</v>
      </c>
      <c r="D1600">
        <v>0</v>
      </c>
      <c r="E1600">
        <v>0</v>
      </c>
      <c r="F1600">
        <v>1</v>
      </c>
      <c r="G1600" s="7">
        <v>0.05</v>
      </c>
      <c r="H1600">
        <v>12</v>
      </c>
      <c r="I1600">
        <v>0</v>
      </c>
      <c r="J1600">
        <v>0</v>
      </c>
      <c r="K1600">
        <v>0</v>
      </c>
      <c r="L1600">
        <v>1</v>
      </c>
      <c r="M1600">
        <v>2</v>
      </c>
      <c r="N1600" s="7">
        <v>9</v>
      </c>
      <c r="O1600" s="7">
        <v>0</v>
      </c>
      <c r="P1600" s="7">
        <v>0</v>
      </c>
      <c r="Q1600" s="7">
        <v>0</v>
      </c>
      <c r="R1600" s="7">
        <v>1</v>
      </c>
      <c r="S1600" s="7">
        <v>4.5</v>
      </c>
      <c r="T1600">
        <v>7</v>
      </c>
      <c r="U1600" s="1">
        <v>34</v>
      </c>
      <c r="V1600">
        <v>0</v>
      </c>
      <c r="W1600">
        <v>0</v>
      </c>
      <c r="X1600">
        <v>1</v>
      </c>
      <c r="Y1600">
        <v>0.16</v>
      </c>
      <c r="Z1600">
        <v>23</v>
      </c>
      <c r="AA1600">
        <v>0</v>
      </c>
      <c r="AB1600">
        <v>0</v>
      </c>
      <c r="AC1600">
        <v>0</v>
      </c>
      <c r="AD1600">
        <v>1</v>
      </c>
      <c r="AE1600">
        <v>0.05</v>
      </c>
      <c r="AF1600">
        <v>15</v>
      </c>
      <c r="AG1600">
        <v>0</v>
      </c>
      <c r="AH1600">
        <v>0</v>
      </c>
      <c r="AI1600">
        <v>0</v>
      </c>
      <c r="AJ1600">
        <v>1</v>
      </c>
      <c r="AK1600">
        <v>0.02</v>
      </c>
      <c r="AL1600">
        <v>16</v>
      </c>
      <c r="AM1600">
        <v>0</v>
      </c>
      <c r="AN1600">
        <v>0</v>
      </c>
      <c r="AO1600">
        <v>0</v>
      </c>
      <c r="AP1600">
        <v>1</v>
      </c>
      <c r="AQ1600">
        <v>0.01</v>
      </c>
      <c r="AX1600">
        <v>7</v>
      </c>
      <c r="AY1600" s="1">
        <v>18</v>
      </c>
      <c r="AZ1600">
        <v>0</v>
      </c>
      <c r="BA1600">
        <v>0</v>
      </c>
      <c r="BB1600">
        <v>1</v>
      </c>
      <c r="BC1600" s="7">
        <v>0.32</v>
      </c>
      <c r="BD1600">
        <v>30</v>
      </c>
      <c r="BE1600">
        <v>0</v>
      </c>
      <c r="BF1600">
        <v>0</v>
      </c>
      <c r="BG1600">
        <v>0</v>
      </c>
      <c r="BH1600">
        <v>5</v>
      </c>
      <c r="BI1600">
        <v>2.4</v>
      </c>
      <c r="BJ1600">
        <v>31</v>
      </c>
      <c r="BK1600">
        <v>0</v>
      </c>
      <c r="BL1600">
        <v>0</v>
      </c>
      <c r="BM1600">
        <v>0</v>
      </c>
      <c r="BN1600">
        <v>5</v>
      </c>
      <c r="BO1600">
        <v>2.4</v>
      </c>
      <c r="BP1600">
        <v>36</v>
      </c>
      <c r="BQ1600">
        <v>0</v>
      </c>
      <c r="BR1600">
        <v>0</v>
      </c>
      <c r="BS1600">
        <v>0</v>
      </c>
      <c r="BT1600">
        <v>5</v>
      </c>
      <c r="BU1600">
        <v>1.6</v>
      </c>
    </row>
    <row r="1601" spans="1:73" ht="14.25" x14ac:dyDescent="0.15">
      <c r="A1601" s="12">
        <v>30648</v>
      </c>
      <c r="B1601">
        <v>7</v>
      </c>
      <c r="C1601" s="1">
        <v>47</v>
      </c>
      <c r="D1601">
        <v>0</v>
      </c>
      <c r="E1601">
        <v>0</v>
      </c>
      <c r="F1601">
        <v>1</v>
      </c>
      <c r="G1601" s="7">
        <v>0.05</v>
      </c>
      <c r="H1601">
        <v>12</v>
      </c>
      <c r="I1601">
        <v>0</v>
      </c>
      <c r="J1601">
        <v>0</v>
      </c>
      <c r="K1601">
        <v>0</v>
      </c>
      <c r="L1601">
        <v>1</v>
      </c>
      <c r="M1601">
        <v>2</v>
      </c>
      <c r="N1601" s="7">
        <v>9</v>
      </c>
      <c r="O1601" s="7">
        <v>0</v>
      </c>
      <c r="P1601" s="7">
        <v>0</v>
      </c>
      <c r="Q1601" s="7">
        <v>0</v>
      </c>
      <c r="R1601" s="7">
        <v>1</v>
      </c>
      <c r="S1601" s="7">
        <v>4.5</v>
      </c>
      <c r="T1601">
        <v>7</v>
      </c>
      <c r="U1601" s="1">
        <v>35</v>
      </c>
      <c r="V1601">
        <v>0</v>
      </c>
      <c r="W1601">
        <v>0</v>
      </c>
      <c r="X1601">
        <v>1</v>
      </c>
      <c r="Y1601">
        <v>0.16</v>
      </c>
      <c r="Z1601">
        <v>23</v>
      </c>
      <c r="AA1601">
        <v>0</v>
      </c>
      <c r="AB1601">
        <v>0</v>
      </c>
      <c r="AC1601">
        <v>0</v>
      </c>
      <c r="AD1601">
        <v>1</v>
      </c>
      <c r="AE1601">
        <v>0.05</v>
      </c>
      <c r="AF1601">
        <v>15</v>
      </c>
      <c r="AG1601">
        <v>0</v>
      </c>
      <c r="AH1601">
        <v>0</v>
      </c>
      <c r="AI1601">
        <v>0</v>
      </c>
      <c r="AJ1601">
        <v>1</v>
      </c>
      <c r="AK1601">
        <v>0.02</v>
      </c>
      <c r="AL1601">
        <v>16</v>
      </c>
      <c r="AM1601">
        <v>0</v>
      </c>
      <c r="AN1601">
        <v>0</v>
      </c>
      <c r="AO1601">
        <v>0</v>
      </c>
      <c r="AP1601">
        <v>1</v>
      </c>
      <c r="AQ1601">
        <v>0.01</v>
      </c>
      <c r="AX1601">
        <v>7</v>
      </c>
      <c r="AY1601" s="1">
        <v>19</v>
      </c>
      <c r="AZ1601">
        <v>0</v>
      </c>
      <c r="BA1601">
        <v>0</v>
      </c>
      <c r="BB1601">
        <v>1</v>
      </c>
      <c r="BC1601" s="7">
        <v>0.32</v>
      </c>
      <c r="BD1601">
        <v>30</v>
      </c>
      <c r="BE1601">
        <v>0</v>
      </c>
      <c r="BF1601">
        <v>0</v>
      </c>
      <c r="BG1601">
        <v>0</v>
      </c>
      <c r="BH1601">
        <v>5</v>
      </c>
      <c r="BI1601">
        <v>2.4</v>
      </c>
      <c r="BJ1601">
        <v>31</v>
      </c>
      <c r="BK1601">
        <v>0</v>
      </c>
      <c r="BL1601">
        <v>0</v>
      </c>
      <c r="BM1601">
        <v>0</v>
      </c>
      <c r="BN1601">
        <v>5</v>
      </c>
      <c r="BO1601">
        <v>2.4</v>
      </c>
      <c r="BP1601">
        <v>36</v>
      </c>
      <c r="BQ1601">
        <v>0</v>
      </c>
      <c r="BR1601">
        <v>0</v>
      </c>
      <c r="BS1601">
        <v>0</v>
      </c>
      <c r="BT1601">
        <v>5</v>
      </c>
      <c r="BU1601">
        <v>1.6</v>
      </c>
    </row>
    <row r="1602" spans="1:73" ht="14.25" x14ac:dyDescent="0.15">
      <c r="A1602" s="12">
        <v>30649</v>
      </c>
      <c r="B1602">
        <v>7</v>
      </c>
      <c r="C1602" s="1">
        <v>48</v>
      </c>
      <c r="D1602">
        <v>0</v>
      </c>
      <c r="E1602">
        <v>0</v>
      </c>
      <c r="F1602">
        <v>1</v>
      </c>
      <c r="G1602" s="7">
        <v>0.05</v>
      </c>
      <c r="H1602">
        <v>12</v>
      </c>
      <c r="I1602">
        <v>0</v>
      </c>
      <c r="J1602">
        <v>0</v>
      </c>
      <c r="K1602">
        <v>0</v>
      </c>
      <c r="L1602">
        <v>1</v>
      </c>
      <c r="M1602">
        <v>2</v>
      </c>
      <c r="N1602" s="7">
        <v>9</v>
      </c>
      <c r="O1602" s="7">
        <v>0</v>
      </c>
      <c r="P1602" s="7">
        <v>0</v>
      </c>
      <c r="Q1602" s="7">
        <v>0</v>
      </c>
      <c r="R1602" s="7">
        <v>1</v>
      </c>
      <c r="S1602" s="7">
        <v>4.5</v>
      </c>
      <c r="T1602">
        <v>7</v>
      </c>
      <c r="U1602" s="1">
        <v>36</v>
      </c>
      <c r="V1602">
        <v>0</v>
      </c>
      <c r="W1602">
        <v>0</v>
      </c>
      <c r="X1602">
        <v>1</v>
      </c>
      <c r="Y1602">
        <v>0.16</v>
      </c>
      <c r="Z1602">
        <v>23</v>
      </c>
      <c r="AA1602">
        <v>0</v>
      </c>
      <c r="AB1602">
        <v>0</v>
      </c>
      <c r="AC1602">
        <v>0</v>
      </c>
      <c r="AD1602">
        <v>1</v>
      </c>
      <c r="AE1602">
        <v>0.05</v>
      </c>
      <c r="AF1602">
        <v>15</v>
      </c>
      <c r="AG1602">
        <v>0</v>
      </c>
      <c r="AH1602">
        <v>0</v>
      </c>
      <c r="AI1602">
        <v>0</v>
      </c>
      <c r="AJ1602">
        <v>1</v>
      </c>
      <c r="AK1602">
        <v>0.02</v>
      </c>
      <c r="AL1602">
        <v>16</v>
      </c>
      <c r="AM1602">
        <v>0</v>
      </c>
      <c r="AN1602">
        <v>0</v>
      </c>
      <c r="AO1602">
        <v>0</v>
      </c>
      <c r="AP1602">
        <v>1</v>
      </c>
      <c r="AQ1602">
        <v>0.01</v>
      </c>
      <c r="AX1602">
        <v>7</v>
      </c>
      <c r="AY1602" s="1">
        <v>20</v>
      </c>
      <c r="AZ1602">
        <v>0</v>
      </c>
      <c r="BA1602">
        <v>0</v>
      </c>
      <c r="BB1602">
        <v>1</v>
      </c>
      <c r="BC1602" s="7">
        <v>0.32</v>
      </c>
      <c r="BD1602">
        <v>30</v>
      </c>
      <c r="BE1602">
        <v>0</v>
      </c>
      <c r="BF1602">
        <v>0</v>
      </c>
      <c r="BG1602">
        <v>0</v>
      </c>
      <c r="BH1602">
        <v>5</v>
      </c>
      <c r="BI1602">
        <v>2.4</v>
      </c>
      <c r="BJ1602">
        <v>31</v>
      </c>
      <c r="BK1602">
        <v>0</v>
      </c>
      <c r="BL1602">
        <v>0</v>
      </c>
      <c r="BM1602">
        <v>0</v>
      </c>
      <c r="BN1602">
        <v>5</v>
      </c>
      <c r="BO1602">
        <v>2.4</v>
      </c>
      <c r="BP1602">
        <v>36</v>
      </c>
      <c r="BQ1602">
        <v>0</v>
      </c>
      <c r="BR1602">
        <v>0</v>
      </c>
      <c r="BS1602">
        <v>0</v>
      </c>
      <c r="BT1602">
        <v>5</v>
      </c>
      <c r="BU1602">
        <v>1.6</v>
      </c>
    </row>
    <row r="1603" spans="1:73" ht="14.25" x14ac:dyDescent="0.15">
      <c r="A1603" s="12">
        <v>30650</v>
      </c>
      <c r="B1603">
        <v>7</v>
      </c>
      <c r="C1603" s="1">
        <v>0</v>
      </c>
      <c r="D1603">
        <v>5</v>
      </c>
      <c r="E1603">
        <v>1</v>
      </c>
      <c r="F1603">
        <v>1</v>
      </c>
      <c r="G1603" s="7">
        <v>0.05</v>
      </c>
      <c r="H1603">
        <v>12</v>
      </c>
      <c r="I1603">
        <v>0</v>
      </c>
      <c r="J1603">
        <v>0</v>
      </c>
      <c r="K1603">
        <v>0</v>
      </c>
      <c r="L1603">
        <v>1</v>
      </c>
      <c r="M1603">
        <v>2</v>
      </c>
      <c r="N1603" s="7">
        <v>9</v>
      </c>
      <c r="O1603" s="7">
        <v>0</v>
      </c>
      <c r="P1603" s="7">
        <v>0</v>
      </c>
      <c r="Q1603" s="7">
        <v>0</v>
      </c>
      <c r="R1603" s="7">
        <v>1</v>
      </c>
      <c r="S1603" s="7">
        <v>4.5</v>
      </c>
      <c r="T1603">
        <v>7</v>
      </c>
      <c r="U1603" s="1">
        <v>0</v>
      </c>
      <c r="V1603">
        <v>4</v>
      </c>
      <c r="W1603">
        <v>2</v>
      </c>
      <c r="X1603">
        <v>1</v>
      </c>
      <c r="Y1603">
        <v>0.16</v>
      </c>
      <c r="Z1603">
        <v>23</v>
      </c>
      <c r="AA1603">
        <v>0</v>
      </c>
      <c r="AB1603">
        <v>0</v>
      </c>
      <c r="AC1603">
        <v>0</v>
      </c>
      <c r="AD1603">
        <v>1</v>
      </c>
      <c r="AE1603">
        <v>0.05</v>
      </c>
      <c r="AF1603">
        <v>15</v>
      </c>
      <c r="AG1603">
        <v>0</v>
      </c>
      <c r="AH1603">
        <v>0</v>
      </c>
      <c r="AI1603">
        <v>0</v>
      </c>
      <c r="AJ1603">
        <v>1</v>
      </c>
      <c r="AK1603">
        <v>0.02</v>
      </c>
      <c r="AL1603">
        <v>16</v>
      </c>
      <c r="AM1603">
        <v>0</v>
      </c>
      <c r="AN1603">
        <v>0</v>
      </c>
      <c r="AO1603">
        <v>0</v>
      </c>
      <c r="AP1603">
        <v>1</v>
      </c>
      <c r="AQ1603">
        <v>0.01</v>
      </c>
      <c r="AR1603">
        <v>6</v>
      </c>
      <c r="AS1603">
        <v>2</v>
      </c>
      <c r="AT1603">
        <v>5</v>
      </c>
      <c r="AU1603">
        <v>5</v>
      </c>
      <c r="AV1603">
        <v>1</v>
      </c>
      <c r="AW1603">
        <v>0.01</v>
      </c>
      <c r="AX1603">
        <v>7</v>
      </c>
      <c r="AY1603" s="1">
        <v>0</v>
      </c>
      <c r="AZ1603">
        <v>3</v>
      </c>
      <c r="BA1603">
        <v>1</v>
      </c>
      <c r="BB1603">
        <v>1</v>
      </c>
      <c r="BC1603" s="7">
        <v>0.32</v>
      </c>
      <c r="BD1603">
        <v>30</v>
      </c>
      <c r="BE1603">
        <v>0</v>
      </c>
      <c r="BF1603">
        <v>0</v>
      </c>
      <c r="BG1603">
        <v>0</v>
      </c>
      <c r="BH1603">
        <v>5</v>
      </c>
      <c r="BI1603">
        <v>2.4</v>
      </c>
      <c r="BJ1603">
        <v>31</v>
      </c>
      <c r="BK1603">
        <v>0</v>
      </c>
      <c r="BL1603">
        <v>0</v>
      </c>
      <c r="BM1603">
        <v>0</v>
      </c>
      <c r="BN1603">
        <v>5</v>
      </c>
      <c r="BO1603">
        <v>2.4</v>
      </c>
      <c r="BP1603">
        <v>36</v>
      </c>
      <c r="BQ1603">
        <v>0</v>
      </c>
      <c r="BR1603">
        <v>0</v>
      </c>
      <c r="BS1603">
        <v>0</v>
      </c>
      <c r="BT1603">
        <v>5</v>
      </c>
      <c r="BU1603">
        <v>1.6</v>
      </c>
    </row>
    <row r="1604" spans="1:73" ht="14.25" x14ac:dyDescent="0.15">
      <c r="A1604" s="12">
        <v>30701</v>
      </c>
      <c r="B1604">
        <v>7</v>
      </c>
      <c r="C1604" s="1">
        <v>45</v>
      </c>
      <c r="D1604">
        <v>0</v>
      </c>
      <c r="E1604">
        <v>0</v>
      </c>
      <c r="F1604">
        <v>1</v>
      </c>
      <c r="G1604" s="7">
        <v>0.05</v>
      </c>
      <c r="H1604">
        <v>12</v>
      </c>
      <c r="I1604">
        <v>0</v>
      </c>
      <c r="J1604">
        <v>0</v>
      </c>
      <c r="K1604">
        <v>0</v>
      </c>
      <c r="L1604">
        <v>1</v>
      </c>
      <c r="M1604">
        <v>2</v>
      </c>
      <c r="N1604" s="7">
        <v>9</v>
      </c>
      <c r="O1604" s="7">
        <v>0</v>
      </c>
      <c r="P1604" s="7">
        <v>0</v>
      </c>
      <c r="Q1604" s="7">
        <v>0</v>
      </c>
      <c r="R1604" s="7">
        <v>1</v>
      </c>
      <c r="S1604" s="7">
        <v>4.5</v>
      </c>
      <c r="T1604">
        <v>7</v>
      </c>
      <c r="U1604" s="1">
        <v>33</v>
      </c>
      <c r="V1604">
        <v>0</v>
      </c>
      <c r="W1604">
        <v>0</v>
      </c>
      <c r="X1604">
        <v>1</v>
      </c>
      <c r="Y1604">
        <v>0.16</v>
      </c>
      <c r="Z1604">
        <v>23</v>
      </c>
      <c r="AA1604">
        <v>0</v>
      </c>
      <c r="AB1604">
        <v>0</v>
      </c>
      <c r="AC1604">
        <v>0</v>
      </c>
      <c r="AD1604">
        <v>1</v>
      </c>
      <c r="AE1604">
        <v>0.05</v>
      </c>
      <c r="AF1604">
        <v>15</v>
      </c>
      <c r="AG1604">
        <v>0</v>
      </c>
      <c r="AH1604">
        <v>0</v>
      </c>
      <c r="AI1604">
        <v>0</v>
      </c>
      <c r="AJ1604">
        <v>1</v>
      </c>
      <c r="AK1604">
        <v>0.02</v>
      </c>
      <c r="AL1604">
        <v>16</v>
      </c>
      <c r="AM1604">
        <v>0</v>
      </c>
      <c r="AN1604">
        <v>0</v>
      </c>
      <c r="AO1604">
        <v>0</v>
      </c>
      <c r="AP1604">
        <v>1</v>
      </c>
      <c r="AQ1604">
        <v>0.01</v>
      </c>
      <c r="AX1604">
        <v>7</v>
      </c>
      <c r="AY1604" s="1">
        <v>17</v>
      </c>
      <c r="AZ1604">
        <v>0</v>
      </c>
      <c r="BA1604">
        <v>0</v>
      </c>
      <c r="BB1604">
        <v>1</v>
      </c>
      <c r="BC1604" s="7">
        <v>0.32</v>
      </c>
      <c r="BD1604">
        <v>30</v>
      </c>
      <c r="BE1604">
        <v>0</v>
      </c>
      <c r="BF1604">
        <v>0</v>
      </c>
      <c r="BG1604">
        <v>0</v>
      </c>
      <c r="BH1604">
        <v>5</v>
      </c>
      <c r="BI1604">
        <v>2.4</v>
      </c>
      <c r="BJ1604">
        <v>31</v>
      </c>
      <c r="BK1604">
        <v>0</v>
      </c>
      <c r="BL1604">
        <v>0</v>
      </c>
      <c r="BM1604">
        <v>0</v>
      </c>
      <c r="BN1604">
        <v>5</v>
      </c>
      <c r="BO1604">
        <v>2.4</v>
      </c>
      <c r="BP1604">
        <v>36</v>
      </c>
      <c r="BQ1604">
        <v>0</v>
      </c>
      <c r="BR1604">
        <v>0</v>
      </c>
      <c r="BS1604">
        <v>0</v>
      </c>
      <c r="BT1604">
        <v>5</v>
      </c>
      <c r="BU1604">
        <v>1.6</v>
      </c>
    </row>
    <row r="1605" spans="1:73" ht="14.25" x14ac:dyDescent="0.15">
      <c r="A1605" s="12">
        <v>30702</v>
      </c>
      <c r="B1605">
        <v>7</v>
      </c>
      <c r="C1605" s="1">
        <v>46</v>
      </c>
      <c r="D1605">
        <v>0</v>
      </c>
      <c r="E1605">
        <v>0</v>
      </c>
      <c r="F1605">
        <v>1</v>
      </c>
      <c r="G1605" s="7">
        <v>0.05</v>
      </c>
      <c r="H1605">
        <v>12</v>
      </c>
      <c r="I1605">
        <v>0</v>
      </c>
      <c r="J1605">
        <v>0</v>
      </c>
      <c r="K1605">
        <v>0</v>
      </c>
      <c r="L1605">
        <v>1</v>
      </c>
      <c r="M1605">
        <v>2</v>
      </c>
      <c r="N1605" s="7">
        <v>9</v>
      </c>
      <c r="O1605" s="7">
        <v>0</v>
      </c>
      <c r="P1605" s="7">
        <v>0</v>
      </c>
      <c r="Q1605" s="7">
        <v>0</v>
      </c>
      <c r="R1605" s="7">
        <v>1</v>
      </c>
      <c r="S1605" s="7">
        <v>4.5</v>
      </c>
      <c r="T1605">
        <v>7</v>
      </c>
      <c r="U1605" s="1">
        <v>34</v>
      </c>
      <c r="V1605">
        <v>0</v>
      </c>
      <c r="W1605">
        <v>0</v>
      </c>
      <c r="X1605">
        <v>1</v>
      </c>
      <c r="Y1605">
        <v>0.16</v>
      </c>
      <c r="Z1605">
        <v>23</v>
      </c>
      <c r="AA1605">
        <v>0</v>
      </c>
      <c r="AB1605">
        <v>0</v>
      </c>
      <c r="AC1605">
        <v>0</v>
      </c>
      <c r="AD1605">
        <v>1</v>
      </c>
      <c r="AE1605">
        <v>0.05</v>
      </c>
      <c r="AF1605">
        <v>15</v>
      </c>
      <c r="AG1605">
        <v>0</v>
      </c>
      <c r="AH1605">
        <v>0</v>
      </c>
      <c r="AI1605">
        <v>0</v>
      </c>
      <c r="AJ1605">
        <v>1</v>
      </c>
      <c r="AK1605">
        <v>0.02</v>
      </c>
      <c r="AL1605">
        <v>16</v>
      </c>
      <c r="AM1605">
        <v>0</v>
      </c>
      <c r="AN1605">
        <v>0</v>
      </c>
      <c r="AO1605">
        <v>0</v>
      </c>
      <c r="AP1605">
        <v>1</v>
      </c>
      <c r="AQ1605">
        <v>0.01</v>
      </c>
      <c r="AX1605">
        <v>7</v>
      </c>
      <c r="AY1605" s="1">
        <v>18</v>
      </c>
      <c r="AZ1605">
        <v>0</v>
      </c>
      <c r="BA1605">
        <v>0</v>
      </c>
      <c r="BB1605">
        <v>1</v>
      </c>
      <c r="BC1605" s="7">
        <v>0.32</v>
      </c>
      <c r="BD1605">
        <v>30</v>
      </c>
      <c r="BE1605">
        <v>0</v>
      </c>
      <c r="BF1605">
        <v>0</v>
      </c>
      <c r="BG1605">
        <v>0</v>
      </c>
      <c r="BH1605">
        <v>5</v>
      </c>
      <c r="BI1605">
        <v>2.4</v>
      </c>
      <c r="BJ1605">
        <v>31</v>
      </c>
      <c r="BK1605">
        <v>0</v>
      </c>
      <c r="BL1605">
        <v>0</v>
      </c>
      <c r="BM1605">
        <v>0</v>
      </c>
      <c r="BN1605">
        <v>5</v>
      </c>
      <c r="BO1605">
        <v>2.4</v>
      </c>
      <c r="BP1605">
        <v>36</v>
      </c>
      <c r="BQ1605">
        <v>0</v>
      </c>
      <c r="BR1605">
        <v>0</v>
      </c>
      <c r="BS1605">
        <v>0</v>
      </c>
      <c r="BT1605">
        <v>5</v>
      </c>
      <c r="BU1605">
        <v>1.6</v>
      </c>
    </row>
    <row r="1606" spans="1:73" ht="14.25" x14ac:dyDescent="0.15">
      <c r="A1606" s="12">
        <v>30703</v>
      </c>
      <c r="B1606">
        <v>7</v>
      </c>
      <c r="C1606" s="1">
        <v>47</v>
      </c>
      <c r="D1606">
        <v>0</v>
      </c>
      <c r="E1606">
        <v>0</v>
      </c>
      <c r="F1606">
        <v>1</v>
      </c>
      <c r="G1606" s="7">
        <v>0.05</v>
      </c>
      <c r="H1606">
        <v>12</v>
      </c>
      <c r="I1606">
        <v>0</v>
      </c>
      <c r="J1606">
        <v>0</v>
      </c>
      <c r="K1606">
        <v>0</v>
      </c>
      <c r="L1606">
        <v>1</v>
      </c>
      <c r="M1606">
        <v>2</v>
      </c>
      <c r="N1606" s="7">
        <v>9</v>
      </c>
      <c r="O1606" s="7">
        <v>0</v>
      </c>
      <c r="P1606" s="7">
        <v>0</v>
      </c>
      <c r="Q1606" s="7">
        <v>0</v>
      </c>
      <c r="R1606" s="7">
        <v>1</v>
      </c>
      <c r="S1606" s="7">
        <v>4.5</v>
      </c>
      <c r="T1606">
        <v>7</v>
      </c>
      <c r="U1606" s="1">
        <v>35</v>
      </c>
      <c r="V1606">
        <v>0</v>
      </c>
      <c r="W1606">
        <v>0</v>
      </c>
      <c r="X1606">
        <v>1</v>
      </c>
      <c r="Y1606">
        <v>0.16</v>
      </c>
      <c r="Z1606">
        <v>23</v>
      </c>
      <c r="AA1606">
        <v>0</v>
      </c>
      <c r="AB1606">
        <v>0</v>
      </c>
      <c r="AC1606">
        <v>0</v>
      </c>
      <c r="AD1606">
        <v>1</v>
      </c>
      <c r="AE1606">
        <v>0.05</v>
      </c>
      <c r="AF1606">
        <v>15</v>
      </c>
      <c r="AG1606">
        <v>0</v>
      </c>
      <c r="AH1606">
        <v>0</v>
      </c>
      <c r="AI1606">
        <v>0</v>
      </c>
      <c r="AJ1606">
        <v>1</v>
      </c>
      <c r="AK1606">
        <v>0.02</v>
      </c>
      <c r="AL1606">
        <v>16</v>
      </c>
      <c r="AM1606">
        <v>0</v>
      </c>
      <c r="AN1606">
        <v>0</v>
      </c>
      <c r="AO1606">
        <v>0</v>
      </c>
      <c r="AP1606">
        <v>1</v>
      </c>
      <c r="AQ1606">
        <v>0.01</v>
      </c>
      <c r="AX1606">
        <v>7</v>
      </c>
      <c r="AY1606" s="1">
        <v>19</v>
      </c>
      <c r="AZ1606">
        <v>0</v>
      </c>
      <c r="BA1606">
        <v>0</v>
      </c>
      <c r="BB1606">
        <v>1</v>
      </c>
      <c r="BC1606" s="7">
        <v>0.32</v>
      </c>
      <c r="BD1606">
        <v>30</v>
      </c>
      <c r="BE1606">
        <v>0</v>
      </c>
      <c r="BF1606">
        <v>0</v>
      </c>
      <c r="BG1606">
        <v>0</v>
      </c>
      <c r="BH1606">
        <v>5</v>
      </c>
      <c r="BI1606">
        <v>2.4</v>
      </c>
      <c r="BJ1606">
        <v>31</v>
      </c>
      <c r="BK1606">
        <v>0</v>
      </c>
      <c r="BL1606">
        <v>0</v>
      </c>
      <c r="BM1606">
        <v>0</v>
      </c>
      <c r="BN1606">
        <v>5</v>
      </c>
      <c r="BO1606">
        <v>2.4</v>
      </c>
      <c r="BP1606">
        <v>36</v>
      </c>
      <c r="BQ1606">
        <v>0</v>
      </c>
      <c r="BR1606">
        <v>0</v>
      </c>
      <c r="BS1606">
        <v>0</v>
      </c>
      <c r="BT1606">
        <v>5</v>
      </c>
      <c r="BU1606">
        <v>1.6</v>
      </c>
    </row>
    <row r="1607" spans="1:73" ht="14.25" x14ac:dyDescent="0.15">
      <c r="A1607" s="12">
        <v>30704</v>
      </c>
      <c r="B1607">
        <v>7</v>
      </c>
      <c r="C1607" s="1">
        <v>48</v>
      </c>
      <c r="D1607">
        <v>0</v>
      </c>
      <c r="E1607">
        <v>0</v>
      </c>
      <c r="F1607">
        <v>1</v>
      </c>
      <c r="G1607" s="7">
        <v>0.05</v>
      </c>
      <c r="H1607">
        <v>12</v>
      </c>
      <c r="I1607">
        <v>0</v>
      </c>
      <c r="J1607">
        <v>0</v>
      </c>
      <c r="K1607">
        <v>0</v>
      </c>
      <c r="L1607">
        <v>1</v>
      </c>
      <c r="M1607">
        <v>2</v>
      </c>
      <c r="N1607" s="7">
        <v>9</v>
      </c>
      <c r="O1607" s="7">
        <v>0</v>
      </c>
      <c r="P1607" s="7">
        <v>0</v>
      </c>
      <c r="Q1607" s="7">
        <v>0</v>
      </c>
      <c r="R1607" s="7">
        <v>1</v>
      </c>
      <c r="S1607" s="7">
        <v>4.5</v>
      </c>
      <c r="T1607">
        <v>7</v>
      </c>
      <c r="U1607" s="1">
        <v>36</v>
      </c>
      <c r="V1607">
        <v>0</v>
      </c>
      <c r="W1607">
        <v>0</v>
      </c>
      <c r="X1607">
        <v>1</v>
      </c>
      <c r="Y1607">
        <v>0.16</v>
      </c>
      <c r="Z1607">
        <v>23</v>
      </c>
      <c r="AA1607">
        <v>0</v>
      </c>
      <c r="AB1607">
        <v>0</v>
      </c>
      <c r="AC1607">
        <v>0</v>
      </c>
      <c r="AD1607">
        <v>1</v>
      </c>
      <c r="AE1607">
        <v>0.05</v>
      </c>
      <c r="AF1607">
        <v>15</v>
      </c>
      <c r="AG1607">
        <v>0</v>
      </c>
      <c r="AH1607">
        <v>0</v>
      </c>
      <c r="AI1607">
        <v>0</v>
      </c>
      <c r="AJ1607">
        <v>1</v>
      </c>
      <c r="AK1607">
        <v>0.02</v>
      </c>
      <c r="AL1607">
        <v>16</v>
      </c>
      <c r="AM1607">
        <v>0</v>
      </c>
      <c r="AN1607">
        <v>0</v>
      </c>
      <c r="AO1607">
        <v>0</v>
      </c>
      <c r="AP1607">
        <v>1</v>
      </c>
      <c r="AQ1607">
        <v>0.01</v>
      </c>
      <c r="AX1607">
        <v>7</v>
      </c>
      <c r="AY1607" s="1">
        <v>20</v>
      </c>
      <c r="AZ1607">
        <v>0</v>
      </c>
      <c r="BA1607">
        <v>0</v>
      </c>
      <c r="BB1607">
        <v>1</v>
      </c>
      <c r="BC1607" s="7">
        <v>0.32</v>
      </c>
      <c r="BD1607">
        <v>30</v>
      </c>
      <c r="BE1607">
        <v>0</v>
      </c>
      <c r="BF1607">
        <v>0</v>
      </c>
      <c r="BG1607">
        <v>0</v>
      </c>
      <c r="BH1607">
        <v>5</v>
      </c>
      <c r="BI1607">
        <v>2.4</v>
      </c>
      <c r="BJ1607">
        <v>31</v>
      </c>
      <c r="BK1607">
        <v>0</v>
      </c>
      <c r="BL1607">
        <v>0</v>
      </c>
      <c r="BM1607">
        <v>0</v>
      </c>
      <c r="BN1607">
        <v>5</v>
      </c>
      <c r="BO1607">
        <v>2.4</v>
      </c>
      <c r="BP1607">
        <v>36</v>
      </c>
      <c r="BQ1607">
        <v>0</v>
      </c>
      <c r="BR1607">
        <v>0</v>
      </c>
      <c r="BS1607">
        <v>0</v>
      </c>
      <c r="BT1607">
        <v>5</v>
      </c>
      <c r="BU1607">
        <v>1.6</v>
      </c>
    </row>
    <row r="1608" spans="1:73" ht="14.25" x14ac:dyDescent="0.15">
      <c r="A1608" s="12">
        <v>30705</v>
      </c>
      <c r="B1608">
        <v>7</v>
      </c>
      <c r="C1608" s="1">
        <v>0</v>
      </c>
      <c r="D1608">
        <v>5</v>
      </c>
      <c r="E1608">
        <v>1</v>
      </c>
      <c r="F1608">
        <v>1</v>
      </c>
      <c r="G1608" s="7">
        <v>0.05</v>
      </c>
      <c r="H1608">
        <v>12</v>
      </c>
      <c r="I1608">
        <v>0</v>
      </c>
      <c r="J1608">
        <v>0</v>
      </c>
      <c r="K1608">
        <v>0</v>
      </c>
      <c r="L1608">
        <v>1</v>
      </c>
      <c r="M1608">
        <v>2</v>
      </c>
      <c r="N1608" s="7">
        <v>9</v>
      </c>
      <c r="O1608" s="7">
        <v>0</v>
      </c>
      <c r="P1608" s="7">
        <v>0</v>
      </c>
      <c r="Q1608" s="7">
        <v>0</v>
      </c>
      <c r="R1608" s="7">
        <v>1</v>
      </c>
      <c r="S1608" s="7">
        <v>4.5</v>
      </c>
      <c r="T1608">
        <v>7</v>
      </c>
      <c r="U1608" s="1">
        <v>0</v>
      </c>
      <c r="V1608">
        <v>4</v>
      </c>
      <c r="W1608">
        <v>2</v>
      </c>
      <c r="X1608">
        <v>1</v>
      </c>
      <c r="Y1608">
        <v>0.16</v>
      </c>
      <c r="Z1608">
        <v>23</v>
      </c>
      <c r="AA1608">
        <v>0</v>
      </c>
      <c r="AB1608">
        <v>0</v>
      </c>
      <c r="AC1608">
        <v>0</v>
      </c>
      <c r="AD1608">
        <v>1</v>
      </c>
      <c r="AE1608">
        <v>0.05</v>
      </c>
      <c r="AF1608">
        <v>15</v>
      </c>
      <c r="AG1608">
        <v>0</v>
      </c>
      <c r="AH1608">
        <v>0</v>
      </c>
      <c r="AI1608">
        <v>0</v>
      </c>
      <c r="AJ1608">
        <v>1</v>
      </c>
      <c r="AK1608">
        <v>0.02</v>
      </c>
      <c r="AL1608">
        <v>16</v>
      </c>
      <c r="AM1608">
        <v>0</v>
      </c>
      <c r="AN1608">
        <v>0</v>
      </c>
      <c r="AO1608">
        <v>0</v>
      </c>
      <c r="AP1608">
        <v>1</v>
      </c>
      <c r="AQ1608">
        <v>0.01</v>
      </c>
      <c r="AR1608">
        <v>6</v>
      </c>
      <c r="AS1608">
        <v>2</v>
      </c>
      <c r="AT1608">
        <v>1</v>
      </c>
      <c r="AU1608">
        <v>5</v>
      </c>
      <c r="AV1608">
        <v>1</v>
      </c>
      <c r="AW1608">
        <v>0.05</v>
      </c>
      <c r="AX1608">
        <v>7</v>
      </c>
      <c r="AY1608" s="1">
        <v>0</v>
      </c>
      <c r="AZ1608">
        <v>3</v>
      </c>
      <c r="BA1608">
        <v>1</v>
      </c>
      <c r="BB1608">
        <v>1</v>
      </c>
      <c r="BC1608" s="7">
        <v>0.32</v>
      </c>
      <c r="BD1608">
        <v>30</v>
      </c>
      <c r="BE1608">
        <v>0</v>
      </c>
      <c r="BF1608">
        <v>0</v>
      </c>
      <c r="BG1608">
        <v>0</v>
      </c>
      <c r="BH1608">
        <v>5</v>
      </c>
      <c r="BI1608">
        <v>2.4</v>
      </c>
      <c r="BJ1608">
        <v>31</v>
      </c>
      <c r="BK1608">
        <v>0</v>
      </c>
      <c r="BL1608">
        <v>0</v>
      </c>
      <c r="BM1608">
        <v>0</v>
      </c>
      <c r="BN1608">
        <v>5</v>
      </c>
      <c r="BO1608">
        <v>2.4</v>
      </c>
      <c r="BP1608">
        <v>36</v>
      </c>
      <c r="BQ1608">
        <v>0</v>
      </c>
      <c r="BR1608">
        <v>0</v>
      </c>
      <c r="BS1608">
        <v>0</v>
      </c>
      <c r="BT1608">
        <v>5</v>
      </c>
      <c r="BU1608">
        <v>1.6</v>
      </c>
    </row>
    <row r="1609" spans="1:73" ht="14.25" x14ac:dyDescent="0.15">
      <c r="A1609" s="12">
        <v>30706</v>
      </c>
      <c r="B1609">
        <v>7</v>
      </c>
      <c r="C1609" s="1">
        <v>45</v>
      </c>
      <c r="D1609">
        <v>0</v>
      </c>
      <c r="E1609">
        <v>0</v>
      </c>
      <c r="F1609">
        <v>1</v>
      </c>
      <c r="G1609" s="7">
        <v>0.05</v>
      </c>
      <c r="H1609">
        <v>12</v>
      </c>
      <c r="I1609">
        <v>0</v>
      </c>
      <c r="J1609">
        <v>0</v>
      </c>
      <c r="K1609">
        <v>0</v>
      </c>
      <c r="L1609">
        <v>1</v>
      </c>
      <c r="M1609">
        <v>2</v>
      </c>
      <c r="N1609" s="7">
        <v>9</v>
      </c>
      <c r="O1609" s="7">
        <v>0</v>
      </c>
      <c r="P1609" s="7">
        <v>0</v>
      </c>
      <c r="Q1609" s="7">
        <v>0</v>
      </c>
      <c r="R1609" s="7">
        <v>1</v>
      </c>
      <c r="S1609" s="7">
        <v>4.5</v>
      </c>
      <c r="T1609">
        <v>7</v>
      </c>
      <c r="U1609" s="1">
        <v>33</v>
      </c>
      <c r="V1609">
        <v>0</v>
      </c>
      <c r="W1609">
        <v>0</v>
      </c>
      <c r="X1609">
        <v>1</v>
      </c>
      <c r="Y1609">
        <v>0.16</v>
      </c>
      <c r="Z1609">
        <v>23</v>
      </c>
      <c r="AA1609">
        <v>0</v>
      </c>
      <c r="AB1609">
        <v>0</v>
      </c>
      <c r="AC1609">
        <v>0</v>
      </c>
      <c r="AD1609">
        <v>1</v>
      </c>
      <c r="AE1609">
        <v>0.05</v>
      </c>
      <c r="AF1609">
        <v>15</v>
      </c>
      <c r="AG1609">
        <v>0</v>
      </c>
      <c r="AH1609">
        <v>0</v>
      </c>
      <c r="AI1609">
        <v>0</v>
      </c>
      <c r="AJ1609">
        <v>1</v>
      </c>
      <c r="AK1609">
        <v>0.02</v>
      </c>
      <c r="AL1609">
        <v>16</v>
      </c>
      <c r="AM1609">
        <v>0</v>
      </c>
      <c r="AN1609">
        <v>0</v>
      </c>
      <c r="AO1609">
        <v>0</v>
      </c>
      <c r="AP1609">
        <v>1</v>
      </c>
      <c r="AQ1609">
        <v>0.01</v>
      </c>
      <c r="AX1609">
        <v>7</v>
      </c>
      <c r="AY1609" s="1">
        <v>17</v>
      </c>
      <c r="AZ1609">
        <v>0</v>
      </c>
      <c r="BA1609">
        <v>0</v>
      </c>
      <c r="BB1609">
        <v>1</v>
      </c>
      <c r="BC1609" s="7">
        <v>0.32</v>
      </c>
      <c r="BD1609">
        <v>30</v>
      </c>
      <c r="BE1609">
        <v>0</v>
      </c>
      <c r="BF1609">
        <v>0</v>
      </c>
      <c r="BG1609">
        <v>0</v>
      </c>
      <c r="BH1609">
        <v>5</v>
      </c>
      <c r="BI1609">
        <v>2.4</v>
      </c>
      <c r="BJ1609">
        <v>31</v>
      </c>
      <c r="BK1609">
        <v>0</v>
      </c>
      <c r="BL1609">
        <v>0</v>
      </c>
      <c r="BM1609">
        <v>0</v>
      </c>
      <c r="BN1609">
        <v>5</v>
      </c>
      <c r="BO1609">
        <v>2.4</v>
      </c>
      <c r="BP1609">
        <v>36</v>
      </c>
      <c r="BQ1609">
        <v>0</v>
      </c>
      <c r="BR1609">
        <v>0</v>
      </c>
      <c r="BS1609">
        <v>0</v>
      </c>
      <c r="BT1609">
        <v>5</v>
      </c>
      <c r="BU1609">
        <v>1.6</v>
      </c>
    </row>
    <row r="1610" spans="1:73" ht="14.25" x14ac:dyDescent="0.15">
      <c r="A1610" s="12">
        <v>30707</v>
      </c>
      <c r="B1610">
        <v>7</v>
      </c>
      <c r="C1610" s="1">
        <v>46</v>
      </c>
      <c r="D1610">
        <v>0</v>
      </c>
      <c r="E1610">
        <v>0</v>
      </c>
      <c r="F1610">
        <v>1</v>
      </c>
      <c r="G1610" s="7">
        <v>0.05</v>
      </c>
      <c r="H1610">
        <v>12</v>
      </c>
      <c r="I1610">
        <v>0</v>
      </c>
      <c r="J1610">
        <v>0</v>
      </c>
      <c r="K1610">
        <v>0</v>
      </c>
      <c r="L1610">
        <v>1</v>
      </c>
      <c r="M1610">
        <v>2</v>
      </c>
      <c r="N1610" s="7">
        <v>9</v>
      </c>
      <c r="O1610" s="7">
        <v>0</v>
      </c>
      <c r="P1610" s="7">
        <v>0</v>
      </c>
      <c r="Q1610" s="7">
        <v>0</v>
      </c>
      <c r="R1610" s="7">
        <v>1</v>
      </c>
      <c r="S1610" s="7">
        <v>4.5</v>
      </c>
      <c r="T1610">
        <v>7</v>
      </c>
      <c r="U1610" s="1">
        <v>34</v>
      </c>
      <c r="V1610">
        <v>0</v>
      </c>
      <c r="W1610">
        <v>0</v>
      </c>
      <c r="X1610">
        <v>1</v>
      </c>
      <c r="Y1610">
        <v>0.16</v>
      </c>
      <c r="Z1610">
        <v>23</v>
      </c>
      <c r="AA1610">
        <v>0</v>
      </c>
      <c r="AB1610">
        <v>0</v>
      </c>
      <c r="AC1610">
        <v>0</v>
      </c>
      <c r="AD1610">
        <v>1</v>
      </c>
      <c r="AE1610">
        <v>0.05</v>
      </c>
      <c r="AF1610">
        <v>15</v>
      </c>
      <c r="AG1610">
        <v>0</v>
      </c>
      <c r="AH1610">
        <v>0</v>
      </c>
      <c r="AI1610">
        <v>0</v>
      </c>
      <c r="AJ1610">
        <v>1</v>
      </c>
      <c r="AK1610">
        <v>0.02</v>
      </c>
      <c r="AL1610">
        <v>16</v>
      </c>
      <c r="AM1610">
        <v>0</v>
      </c>
      <c r="AN1610">
        <v>0</v>
      </c>
      <c r="AO1610">
        <v>0</v>
      </c>
      <c r="AP1610">
        <v>1</v>
      </c>
      <c r="AQ1610">
        <v>0.01</v>
      </c>
      <c r="AX1610">
        <v>7</v>
      </c>
      <c r="AY1610" s="1">
        <v>18</v>
      </c>
      <c r="AZ1610">
        <v>0</v>
      </c>
      <c r="BA1610">
        <v>0</v>
      </c>
      <c r="BB1610">
        <v>1</v>
      </c>
      <c r="BC1610" s="7">
        <v>0.32</v>
      </c>
      <c r="BD1610">
        <v>30</v>
      </c>
      <c r="BE1610">
        <v>0</v>
      </c>
      <c r="BF1610">
        <v>0</v>
      </c>
      <c r="BG1610">
        <v>0</v>
      </c>
      <c r="BH1610">
        <v>5</v>
      </c>
      <c r="BI1610">
        <v>2.4</v>
      </c>
      <c r="BJ1610">
        <v>31</v>
      </c>
      <c r="BK1610">
        <v>0</v>
      </c>
      <c r="BL1610">
        <v>0</v>
      </c>
      <c r="BM1610">
        <v>0</v>
      </c>
      <c r="BN1610">
        <v>5</v>
      </c>
      <c r="BO1610">
        <v>2.4</v>
      </c>
      <c r="BP1610">
        <v>36</v>
      </c>
      <c r="BQ1610">
        <v>0</v>
      </c>
      <c r="BR1610">
        <v>0</v>
      </c>
      <c r="BS1610">
        <v>0</v>
      </c>
      <c r="BT1610">
        <v>5</v>
      </c>
      <c r="BU1610">
        <v>1.6</v>
      </c>
    </row>
    <row r="1611" spans="1:73" ht="14.25" x14ac:dyDescent="0.15">
      <c r="A1611" s="12">
        <v>30708</v>
      </c>
      <c r="B1611">
        <v>7</v>
      </c>
      <c r="C1611" s="1">
        <v>47</v>
      </c>
      <c r="D1611">
        <v>0</v>
      </c>
      <c r="E1611">
        <v>0</v>
      </c>
      <c r="F1611">
        <v>1</v>
      </c>
      <c r="G1611" s="7">
        <v>0.05</v>
      </c>
      <c r="H1611">
        <v>12</v>
      </c>
      <c r="I1611">
        <v>0</v>
      </c>
      <c r="J1611">
        <v>0</v>
      </c>
      <c r="K1611">
        <v>0</v>
      </c>
      <c r="L1611">
        <v>1</v>
      </c>
      <c r="M1611">
        <v>2</v>
      </c>
      <c r="N1611" s="7">
        <v>9</v>
      </c>
      <c r="O1611" s="7">
        <v>0</v>
      </c>
      <c r="P1611" s="7">
        <v>0</v>
      </c>
      <c r="Q1611" s="7">
        <v>0</v>
      </c>
      <c r="R1611" s="7">
        <v>1</v>
      </c>
      <c r="S1611" s="7">
        <v>4.5</v>
      </c>
      <c r="T1611">
        <v>7</v>
      </c>
      <c r="U1611" s="1">
        <v>35</v>
      </c>
      <c r="V1611">
        <v>0</v>
      </c>
      <c r="W1611">
        <v>0</v>
      </c>
      <c r="X1611">
        <v>1</v>
      </c>
      <c r="Y1611">
        <v>0.16</v>
      </c>
      <c r="Z1611">
        <v>23</v>
      </c>
      <c r="AA1611">
        <v>0</v>
      </c>
      <c r="AB1611">
        <v>0</v>
      </c>
      <c r="AC1611">
        <v>0</v>
      </c>
      <c r="AD1611">
        <v>1</v>
      </c>
      <c r="AE1611">
        <v>0.05</v>
      </c>
      <c r="AF1611">
        <v>15</v>
      </c>
      <c r="AG1611">
        <v>0</v>
      </c>
      <c r="AH1611">
        <v>0</v>
      </c>
      <c r="AI1611">
        <v>0</v>
      </c>
      <c r="AJ1611">
        <v>1</v>
      </c>
      <c r="AK1611">
        <v>0.02</v>
      </c>
      <c r="AL1611">
        <v>16</v>
      </c>
      <c r="AM1611">
        <v>0</v>
      </c>
      <c r="AN1611">
        <v>0</v>
      </c>
      <c r="AO1611">
        <v>0</v>
      </c>
      <c r="AP1611">
        <v>1</v>
      </c>
      <c r="AQ1611">
        <v>0.01</v>
      </c>
      <c r="AX1611">
        <v>7</v>
      </c>
      <c r="AY1611" s="1">
        <v>19</v>
      </c>
      <c r="AZ1611">
        <v>0</v>
      </c>
      <c r="BA1611">
        <v>0</v>
      </c>
      <c r="BB1611">
        <v>1</v>
      </c>
      <c r="BC1611" s="7">
        <v>0.32</v>
      </c>
      <c r="BD1611">
        <v>30</v>
      </c>
      <c r="BE1611">
        <v>0</v>
      </c>
      <c r="BF1611">
        <v>0</v>
      </c>
      <c r="BG1611">
        <v>0</v>
      </c>
      <c r="BH1611">
        <v>5</v>
      </c>
      <c r="BI1611">
        <v>2.4</v>
      </c>
      <c r="BJ1611">
        <v>31</v>
      </c>
      <c r="BK1611">
        <v>0</v>
      </c>
      <c r="BL1611">
        <v>0</v>
      </c>
      <c r="BM1611">
        <v>0</v>
      </c>
      <c r="BN1611">
        <v>5</v>
      </c>
      <c r="BO1611">
        <v>2.4</v>
      </c>
      <c r="BP1611">
        <v>36</v>
      </c>
      <c r="BQ1611">
        <v>0</v>
      </c>
      <c r="BR1611">
        <v>0</v>
      </c>
      <c r="BS1611">
        <v>0</v>
      </c>
      <c r="BT1611">
        <v>5</v>
      </c>
      <c r="BU1611">
        <v>1.6</v>
      </c>
    </row>
    <row r="1612" spans="1:73" ht="14.25" x14ac:dyDescent="0.15">
      <c r="A1612" s="12">
        <v>30709</v>
      </c>
      <c r="B1612">
        <v>7</v>
      </c>
      <c r="C1612" s="1">
        <v>48</v>
      </c>
      <c r="D1612">
        <v>0</v>
      </c>
      <c r="E1612">
        <v>0</v>
      </c>
      <c r="F1612">
        <v>1</v>
      </c>
      <c r="G1612" s="7">
        <v>0.05</v>
      </c>
      <c r="H1612">
        <v>12</v>
      </c>
      <c r="I1612">
        <v>0</v>
      </c>
      <c r="J1612">
        <v>0</v>
      </c>
      <c r="K1612">
        <v>0</v>
      </c>
      <c r="L1612">
        <v>1</v>
      </c>
      <c r="M1612">
        <v>2</v>
      </c>
      <c r="N1612" s="7">
        <v>9</v>
      </c>
      <c r="O1612" s="7">
        <v>0</v>
      </c>
      <c r="P1612" s="7">
        <v>0</v>
      </c>
      <c r="Q1612" s="7">
        <v>0</v>
      </c>
      <c r="R1612" s="7">
        <v>1</v>
      </c>
      <c r="S1612" s="7">
        <v>4.5</v>
      </c>
      <c r="T1612">
        <v>7</v>
      </c>
      <c r="U1612" s="1">
        <v>36</v>
      </c>
      <c r="V1612">
        <v>0</v>
      </c>
      <c r="W1612">
        <v>0</v>
      </c>
      <c r="X1612">
        <v>1</v>
      </c>
      <c r="Y1612">
        <v>0.16</v>
      </c>
      <c r="Z1612">
        <v>23</v>
      </c>
      <c r="AA1612">
        <v>0</v>
      </c>
      <c r="AB1612">
        <v>0</v>
      </c>
      <c r="AC1612">
        <v>0</v>
      </c>
      <c r="AD1612">
        <v>1</v>
      </c>
      <c r="AE1612">
        <v>0.05</v>
      </c>
      <c r="AF1612">
        <v>15</v>
      </c>
      <c r="AG1612">
        <v>0</v>
      </c>
      <c r="AH1612">
        <v>0</v>
      </c>
      <c r="AI1612">
        <v>0</v>
      </c>
      <c r="AJ1612">
        <v>1</v>
      </c>
      <c r="AK1612">
        <v>0.02</v>
      </c>
      <c r="AL1612">
        <v>16</v>
      </c>
      <c r="AM1612">
        <v>0</v>
      </c>
      <c r="AN1612">
        <v>0</v>
      </c>
      <c r="AO1612">
        <v>0</v>
      </c>
      <c r="AP1612">
        <v>1</v>
      </c>
      <c r="AQ1612">
        <v>0.01</v>
      </c>
      <c r="AX1612">
        <v>7</v>
      </c>
      <c r="AY1612" s="1">
        <v>20</v>
      </c>
      <c r="AZ1612">
        <v>0</v>
      </c>
      <c r="BA1612">
        <v>0</v>
      </c>
      <c r="BB1612">
        <v>1</v>
      </c>
      <c r="BC1612" s="7">
        <v>0.32</v>
      </c>
      <c r="BD1612">
        <v>30</v>
      </c>
      <c r="BE1612">
        <v>0</v>
      </c>
      <c r="BF1612">
        <v>0</v>
      </c>
      <c r="BG1612">
        <v>0</v>
      </c>
      <c r="BH1612">
        <v>5</v>
      </c>
      <c r="BI1612">
        <v>2.4</v>
      </c>
      <c r="BJ1612">
        <v>31</v>
      </c>
      <c r="BK1612">
        <v>0</v>
      </c>
      <c r="BL1612">
        <v>0</v>
      </c>
      <c r="BM1612">
        <v>0</v>
      </c>
      <c r="BN1612">
        <v>5</v>
      </c>
      <c r="BO1612">
        <v>2.4</v>
      </c>
      <c r="BP1612">
        <v>36</v>
      </c>
      <c r="BQ1612">
        <v>0</v>
      </c>
      <c r="BR1612">
        <v>0</v>
      </c>
      <c r="BS1612">
        <v>0</v>
      </c>
      <c r="BT1612">
        <v>5</v>
      </c>
      <c r="BU1612">
        <v>1.6</v>
      </c>
    </row>
    <row r="1613" spans="1:73" ht="14.25" x14ac:dyDescent="0.15">
      <c r="A1613" s="12">
        <v>30710</v>
      </c>
      <c r="B1613">
        <v>7</v>
      </c>
      <c r="C1613" s="1">
        <v>0</v>
      </c>
      <c r="D1613">
        <v>5</v>
      </c>
      <c r="E1613">
        <v>1</v>
      </c>
      <c r="F1613">
        <v>1</v>
      </c>
      <c r="G1613" s="7">
        <v>0.05</v>
      </c>
      <c r="H1613">
        <v>12</v>
      </c>
      <c r="I1613">
        <v>0</v>
      </c>
      <c r="J1613">
        <v>0</v>
      </c>
      <c r="K1613">
        <v>0</v>
      </c>
      <c r="L1613">
        <v>1</v>
      </c>
      <c r="M1613">
        <v>2</v>
      </c>
      <c r="N1613" s="7">
        <v>9</v>
      </c>
      <c r="O1613" s="7">
        <v>0</v>
      </c>
      <c r="P1613" s="7">
        <v>0</v>
      </c>
      <c r="Q1613" s="7">
        <v>0</v>
      </c>
      <c r="R1613" s="7">
        <v>1</v>
      </c>
      <c r="S1613" s="7">
        <v>4.5</v>
      </c>
      <c r="T1613">
        <v>7</v>
      </c>
      <c r="U1613" s="1">
        <v>0</v>
      </c>
      <c r="V1613">
        <v>4</v>
      </c>
      <c r="W1613">
        <v>2</v>
      </c>
      <c r="X1613">
        <v>1</v>
      </c>
      <c r="Y1613">
        <v>0.16</v>
      </c>
      <c r="Z1613">
        <v>23</v>
      </c>
      <c r="AA1613">
        <v>0</v>
      </c>
      <c r="AB1613">
        <v>0</v>
      </c>
      <c r="AC1613">
        <v>0</v>
      </c>
      <c r="AD1613">
        <v>1</v>
      </c>
      <c r="AE1613">
        <v>0.05</v>
      </c>
      <c r="AF1613">
        <v>15</v>
      </c>
      <c r="AG1613">
        <v>0</v>
      </c>
      <c r="AH1613">
        <v>0</v>
      </c>
      <c r="AI1613">
        <v>0</v>
      </c>
      <c r="AJ1613">
        <v>1</v>
      </c>
      <c r="AK1613">
        <v>0.02</v>
      </c>
      <c r="AL1613">
        <v>16</v>
      </c>
      <c r="AM1613">
        <v>0</v>
      </c>
      <c r="AN1613">
        <v>0</v>
      </c>
      <c r="AO1613">
        <v>0</v>
      </c>
      <c r="AP1613">
        <v>1</v>
      </c>
      <c r="AQ1613">
        <v>0.01</v>
      </c>
      <c r="AR1613">
        <v>6</v>
      </c>
      <c r="AS1613">
        <v>2</v>
      </c>
      <c r="AT1613">
        <v>2</v>
      </c>
      <c r="AU1613">
        <v>5</v>
      </c>
      <c r="AV1613">
        <v>1</v>
      </c>
      <c r="AW1613">
        <v>0.05</v>
      </c>
      <c r="AX1613">
        <v>7</v>
      </c>
      <c r="AY1613" s="1">
        <v>0</v>
      </c>
      <c r="AZ1613">
        <v>3</v>
      </c>
      <c r="BA1613">
        <v>1</v>
      </c>
      <c r="BB1613">
        <v>1</v>
      </c>
      <c r="BC1613" s="7">
        <v>0.32</v>
      </c>
      <c r="BD1613">
        <v>30</v>
      </c>
      <c r="BE1613">
        <v>0</v>
      </c>
      <c r="BF1613">
        <v>0</v>
      </c>
      <c r="BG1613">
        <v>0</v>
      </c>
      <c r="BH1613">
        <v>5</v>
      </c>
      <c r="BI1613">
        <v>2.4</v>
      </c>
      <c r="BJ1613">
        <v>31</v>
      </c>
      <c r="BK1613">
        <v>0</v>
      </c>
      <c r="BL1613">
        <v>0</v>
      </c>
      <c r="BM1613">
        <v>0</v>
      </c>
      <c r="BN1613">
        <v>5</v>
      </c>
      <c r="BO1613">
        <v>2.4</v>
      </c>
      <c r="BP1613">
        <v>36</v>
      </c>
      <c r="BQ1613">
        <v>0</v>
      </c>
      <c r="BR1613">
        <v>0</v>
      </c>
      <c r="BS1613">
        <v>0</v>
      </c>
      <c r="BT1613">
        <v>5</v>
      </c>
      <c r="BU1613">
        <v>1.6</v>
      </c>
    </row>
    <row r="1614" spans="1:73" ht="14.25" x14ac:dyDescent="0.15">
      <c r="A1614" s="12">
        <v>30711</v>
      </c>
      <c r="B1614">
        <v>7</v>
      </c>
      <c r="C1614" s="1">
        <v>45</v>
      </c>
      <c r="D1614">
        <v>0</v>
      </c>
      <c r="E1614">
        <v>0</v>
      </c>
      <c r="F1614">
        <v>1</v>
      </c>
      <c r="G1614" s="7">
        <v>0.05</v>
      </c>
      <c r="H1614">
        <v>12</v>
      </c>
      <c r="I1614">
        <v>0</v>
      </c>
      <c r="J1614">
        <v>0</v>
      </c>
      <c r="K1614">
        <v>0</v>
      </c>
      <c r="L1614">
        <v>1</v>
      </c>
      <c r="M1614">
        <v>2</v>
      </c>
      <c r="N1614" s="7">
        <v>9</v>
      </c>
      <c r="O1614" s="7">
        <v>0</v>
      </c>
      <c r="P1614" s="7">
        <v>0</v>
      </c>
      <c r="Q1614" s="7">
        <v>0</v>
      </c>
      <c r="R1614" s="7">
        <v>1</v>
      </c>
      <c r="S1614" s="7">
        <v>4.5</v>
      </c>
      <c r="T1614">
        <v>7</v>
      </c>
      <c r="U1614" s="1">
        <v>33</v>
      </c>
      <c r="V1614">
        <v>0</v>
      </c>
      <c r="W1614">
        <v>0</v>
      </c>
      <c r="X1614">
        <v>1</v>
      </c>
      <c r="Y1614">
        <v>0.16</v>
      </c>
      <c r="Z1614">
        <v>23</v>
      </c>
      <c r="AA1614">
        <v>0</v>
      </c>
      <c r="AB1614">
        <v>0</v>
      </c>
      <c r="AC1614">
        <v>0</v>
      </c>
      <c r="AD1614">
        <v>1</v>
      </c>
      <c r="AE1614">
        <v>0.05</v>
      </c>
      <c r="AF1614">
        <v>15</v>
      </c>
      <c r="AG1614">
        <v>0</v>
      </c>
      <c r="AH1614">
        <v>0</v>
      </c>
      <c r="AI1614">
        <v>0</v>
      </c>
      <c r="AJ1614">
        <v>1</v>
      </c>
      <c r="AK1614">
        <v>0.02</v>
      </c>
      <c r="AL1614">
        <v>16</v>
      </c>
      <c r="AM1614">
        <v>0</v>
      </c>
      <c r="AN1614">
        <v>0</v>
      </c>
      <c r="AO1614">
        <v>0</v>
      </c>
      <c r="AP1614">
        <v>1</v>
      </c>
      <c r="AQ1614">
        <v>0.01</v>
      </c>
      <c r="AX1614">
        <v>7</v>
      </c>
      <c r="AY1614" s="1">
        <v>17</v>
      </c>
      <c r="AZ1614">
        <v>0</v>
      </c>
      <c r="BA1614">
        <v>0</v>
      </c>
      <c r="BB1614">
        <v>1</v>
      </c>
      <c r="BC1614" s="7">
        <v>0.32</v>
      </c>
      <c r="BD1614">
        <v>30</v>
      </c>
      <c r="BE1614">
        <v>0</v>
      </c>
      <c r="BF1614">
        <v>0</v>
      </c>
      <c r="BG1614">
        <v>0</v>
      </c>
      <c r="BH1614">
        <v>5</v>
      </c>
      <c r="BI1614">
        <v>2.4</v>
      </c>
      <c r="BJ1614">
        <v>31</v>
      </c>
      <c r="BK1614">
        <v>0</v>
      </c>
      <c r="BL1614">
        <v>0</v>
      </c>
      <c r="BM1614">
        <v>0</v>
      </c>
      <c r="BN1614">
        <v>5</v>
      </c>
      <c r="BO1614">
        <v>2.4</v>
      </c>
      <c r="BP1614">
        <v>36</v>
      </c>
      <c r="BQ1614">
        <v>0</v>
      </c>
      <c r="BR1614">
        <v>0</v>
      </c>
      <c r="BS1614">
        <v>0</v>
      </c>
      <c r="BT1614">
        <v>5</v>
      </c>
      <c r="BU1614">
        <v>1.6</v>
      </c>
    </row>
    <row r="1615" spans="1:73" ht="14.25" x14ac:dyDescent="0.15">
      <c r="A1615" s="12">
        <v>30712</v>
      </c>
      <c r="B1615">
        <v>7</v>
      </c>
      <c r="C1615" s="1">
        <v>46</v>
      </c>
      <c r="D1615">
        <v>0</v>
      </c>
      <c r="E1615">
        <v>0</v>
      </c>
      <c r="F1615">
        <v>1</v>
      </c>
      <c r="G1615" s="7">
        <v>0.05</v>
      </c>
      <c r="H1615">
        <v>12</v>
      </c>
      <c r="I1615">
        <v>0</v>
      </c>
      <c r="J1615">
        <v>0</v>
      </c>
      <c r="K1615">
        <v>0</v>
      </c>
      <c r="L1615">
        <v>1</v>
      </c>
      <c r="M1615">
        <v>2</v>
      </c>
      <c r="N1615" s="7">
        <v>9</v>
      </c>
      <c r="O1615" s="7">
        <v>0</v>
      </c>
      <c r="P1615" s="7">
        <v>0</v>
      </c>
      <c r="Q1615" s="7">
        <v>0</v>
      </c>
      <c r="R1615" s="7">
        <v>1</v>
      </c>
      <c r="S1615" s="7">
        <v>4.5</v>
      </c>
      <c r="T1615">
        <v>7</v>
      </c>
      <c r="U1615" s="1">
        <v>34</v>
      </c>
      <c r="V1615">
        <v>0</v>
      </c>
      <c r="W1615">
        <v>0</v>
      </c>
      <c r="X1615">
        <v>1</v>
      </c>
      <c r="Y1615">
        <v>0.16</v>
      </c>
      <c r="Z1615">
        <v>23</v>
      </c>
      <c r="AA1615">
        <v>0</v>
      </c>
      <c r="AB1615">
        <v>0</v>
      </c>
      <c r="AC1615">
        <v>0</v>
      </c>
      <c r="AD1615">
        <v>1</v>
      </c>
      <c r="AE1615">
        <v>0.05</v>
      </c>
      <c r="AF1615">
        <v>15</v>
      </c>
      <c r="AG1615">
        <v>0</v>
      </c>
      <c r="AH1615">
        <v>0</v>
      </c>
      <c r="AI1615">
        <v>0</v>
      </c>
      <c r="AJ1615">
        <v>1</v>
      </c>
      <c r="AK1615">
        <v>0.02</v>
      </c>
      <c r="AL1615">
        <v>16</v>
      </c>
      <c r="AM1615">
        <v>0</v>
      </c>
      <c r="AN1615">
        <v>0</v>
      </c>
      <c r="AO1615">
        <v>0</v>
      </c>
      <c r="AP1615">
        <v>1</v>
      </c>
      <c r="AQ1615">
        <v>0.01</v>
      </c>
      <c r="AX1615">
        <v>7</v>
      </c>
      <c r="AY1615" s="1">
        <v>18</v>
      </c>
      <c r="AZ1615">
        <v>0</v>
      </c>
      <c r="BA1615">
        <v>0</v>
      </c>
      <c r="BB1615">
        <v>1</v>
      </c>
      <c r="BC1615" s="7">
        <v>0.32</v>
      </c>
      <c r="BD1615">
        <v>30</v>
      </c>
      <c r="BE1615">
        <v>0</v>
      </c>
      <c r="BF1615">
        <v>0</v>
      </c>
      <c r="BG1615">
        <v>0</v>
      </c>
      <c r="BH1615">
        <v>5</v>
      </c>
      <c r="BI1615">
        <v>2.4</v>
      </c>
      <c r="BJ1615">
        <v>31</v>
      </c>
      <c r="BK1615">
        <v>0</v>
      </c>
      <c r="BL1615">
        <v>0</v>
      </c>
      <c r="BM1615">
        <v>0</v>
      </c>
      <c r="BN1615">
        <v>5</v>
      </c>
      <c r="BO1615">
        <v>2.4</v>
      </c>
      <c r="BP1615">
        <v>36</v>
      </c>
      <c r="BQ1615">
        <v>0</v>
      </c>
      <c r="BR1615">
        <v>0</v>
      </c>
      <c r="BS1615">
        <v>0</v>
      </c>
      <c r="BT1615">
        <v>5</v>
      </c>
      <c r="BU1615">
        <v>1.6</v>
      </c>
    </row>
    <row r="1616" spans="1:73" ht="14.25" x14ac:dyDescent="0.15">
      <c r="A1616" s="12">
        <v>30713</v>
      </c>
      <c r="B1616">
        <v>7</v>
      </c>
      <c r="C1616" s="1">
        <v>47</v>
      </c>
      <c r="D1616">
        <v>0</v>
      </c>
      <c r="E1616">
        <v>0</v>
      </c>
      <c r="F1616">
        <v>1</v>
      </c>
      <c r="G1616" s="7">
        <v>0.05</v>
      </c>
      <c r="H1616">
        <v>12</v>
      </c>
      <c r="I1616">
        <v>0</v>
      </c>
      <c r="J1616">
        <v>0</v>
      </c>
      <c r="K1616">
        <v>0</v>
      </c>
      <c r="L1616">
        <v>1</v>
      </c>
      <c r="M1616">
        <v>2</v>
      </c>
      <c r="N1616" s="7">
        <v>9</v>
      </c>
      <c r="O1616" s="7">
        <v>0</v>
      </c>
      <c r="P1616" s="7">
        <v>0</v>
      </c>
      <c r="Q1616" s="7">
        <v>0</v>
      </c>
      <c r="R1616" s="7">
        <v>1</v>
      </c>
      <c r="S1616" s="7">
        <v>4.5</v>
      </c>
      <c r="T1616">
        <v>7</v>
      </c>
      <c r="U1616" s="1">
        <v>35</v>
      </c>
      <c r="V1616">
        <v>0</v>
      </c>
      <c r="W1616">
        <v>0</v>
      </c>
      <c r="X1616">
        <v>1</v>
      </c>
      <c r="Y1616">
        <v>0.16</v>
      </c>
      <c r="Z1616">
        <v>23</v>
      </c>
      <c r="AA1616">
        <v>0</v>
      </c>
      <c r="AB1616">
        <v>0</v>
      </c>
      <c r="AC1616">
        <v>0</v>
      </c>
      <c r="AD1616">
        <v>1</v>
      </c>
      <c r="AE1616">
        <v>0.05</v>
      </c>
      <c r="AF1616">
        <v>15</v>
      </c>
      <c r="AG1616">
        <v>0</v>
      </c>
      <c r="AH1616">
        <v>0</v>
      </c>
      <c r="AI1616">
        <v>0</v>
      </c>
      <c r="AJ1616">
        <v>1</v>
      </c>
      <c r="AK1616">
        <v>0.02</v>
      </c>
      <c r="AL1616">
        <v>16</v>
      </c>
      <c r="AM1616">
        <v>0</v>
      </c>
      <c r="AN1616">
        <v>0</v>
      </c>
      <c r="AO1616">
        <v>0</v>
      </c>
      <c r="AP1616">
        <v>1</v>
      </c>
      <c r="AQ1616">
        <v>0.01</v>
      </c>
      <c r="AX1616">
        <v>7</v>
      </c>
      <c r="AY1616" s="1">
        <v>19</v>
      </c>
      <c r="AZ1616">
        <v>0</v>
      </c>
      <c r="BA1616">
        <v>0</v>
      </c>
      <c r="BB1616">
        <v>1</v>
      </c>
      <c r="BC1616" s="7">
        <v>0.32</v>
      </c>
      <c r="BD1616">
        <v>30</v>
      </c>
      <c r="BE1616">
        <v>0</v>
      </c>
      <c r="BF1616">
        <v>0</v>
      </c>
      <c r="BG1616">
        <v>0</v>
      </c>
      <c r="BH1616">
        <v>5</v>
      </c>
      <c r="BI1616">
        <v>2.4</v>
      </c>
      <c r="BJ1616">
        <v>31</v>
      </c>
      <c r="BK1616">
        <v>0</v>
      </c>
      <c r="BL1616">
        <v>0</v>
      </c>
      <c r="BM1616">
        <v>0</v>
      </c>
      <c r="BN1616">
        <v>5</v>
      </c>
      <c r="BO1616">
        <v>2.4</v>
      </c>
      <c r="BP1616">
        <v>36</v>
      </c>
      <c r="BQ1616">
        <v>0</v>
      </c>
      <c r="BR1616">
        <v>0</v>
      </c>
      <c r="BS1616">
        <v>0</v>
      </c>
      <c r="BT1616">
        <v>5</v>
      </c>
      <c r="BU1616">
        <v>1.6</v>
      </c>
    </row>
    <row r="1617" spans="1:73" ht="14.25" x14ac:dyDescent="0.15">
      <c r="A1617" s="12">
        <v>30714</v>
      </c>
      <c r="B1617">
        <v>7</v>
      </c>
      <c r="C1617" s="1">
        <v>48</v>
      </c>
      <c r="D1617">
        <v>0</v>
      </c>
      <c r="E1617">
        <v>0</v>
      </c>
      <c r="F1617">
        <v>1</v>
      </c>
      <c r="G1617" s="7">
        <v>0.05</v>
      </c>
      <c r="H1617">
        <v>12</v>
      </c>
      <c r="I1617">
        <v>0</v>
      </c>
      <c r="J1617">
        <v>0</v>
      </c>
      <c r="K1617">
        <v>0</v>
      </c>
      <c r="L1617">
        <v>1</v>
      </c>
      <c r="M1617">
        <v>2</v>
      </c>
      <c r="N1617" s="7">
        <v>9</v>
      </c>
      <c r="O1617" s="7">
        <v>0</v>
      </c>
      <c r="P1617" s="7">
        <v>0</v>
      </c>
      <c r="Q1617" s="7">
        <v>0</v>
      </c>
      <c r="R1617" s="7">
        <v>1</v>
      </c>
      <c r="S1617" s="7">
        <v>4.5</v>
      </c>
      <c r="T1617">
        <v>7</v>
      </c>
      <c r="U1617" s="1">
        <v>36</v>
      </c>
      <c r="V1617">
        <v>0</v>
      </c>
      <c r="W1617">
        <v>0</v>
      </c>
      <c r="X1617">
        <v>1</v>
      </c>
      <c r="Y1617">
        <v>0.16</v>
      </c>
      <c r="Z1617">
        <v>23</v>
      </c>
      <c r="AA1617">
        <v>0</v>
      </c>
      <c r="AB1617">
        <v>0</v>
      </c>
      <c r="AC1617">
        <v>0</v>
      </c>
      <c r="AD1617">
        <v>1</v>
      </c>
      <c r="AE1617">
        <v>0.05</v>
      </c>
      <c r="AF1617">
        <v>15</v>
      </c>
      <c r="AG1617">
        <v>0</v>
      </c>
      <c r="AH1617">
        <v>0</v>
      </c>
      <c r="AI1617">
        <v>0</v>
      </c>
      <c r="AJ1617">
        <v>1</v>
      </c>
      <c r="AK1617">
        <v>0.02</v>
      </c>
      <c r="AL1617">
        <v>16</v>
      </c>
      <c r="AM1617">
        <v>0</v>
      </c>
      <c r="AN1617">
        <v>0</v>
      </c>
      <c r="AO1617">
        <v>0</v>
      </c>
      <c r="AP1617">
        <v>1</v>
      </c>
      <c r="AQ1617">
        <v>0.01</v>
      </c>
      <c r="AX1617">
        <v>7</v>
      </c>
      <c r="AY1617" s="1">
        <v>20</v>
      </c>
      <c r="AZ1617">
        <v>0</v>
      </c>
      <c r="BA1617">
        <v>0</v>
      </c>
      <c r="BB1617">
        <v>1</v>
      </c>
      <c r="BC1617" s="7">
        <v>0.32</v>
      </c>
      <c r="BD1617">
        <v>30</v>
      </c>
      <c r="BE1617">
        <v>0</v>
      </c>
      <c r="BF1617">
        <v>0</v>
      </c>
      <c r="BG1617">
        <v>0</v>
      </c>
      <c r="BH1617">
        <v>5</v>
      </c>
      <c r="BI1617">
        <v>2.4</v>
      </c>
      <c r="BJ1617">
        <v>31</v>
      </c>
      <c r="BK1617">
        <v>0</v>
      </c>
      <c r="BL1617">
        <v>0</v>
      </c>
      <c r="BM1617">
        <v>0</v>
      </c>
      <c r="BN1617">
        <v>5</v>
      </c>
      <c r="BO1617">
        <v>2.4</v>
      </c>
      <c r="BP1617">
        <v>36</v>
      </c>
      <c r="BQ1617">
        <v>0</v>
      </c>
      <c r="BR1617">
        <v>0</v>
      </c>
      <c r="BS1617">
        <v>0</v>
      </c>
      <c r="BT1617">
        <v>5</v>
      </c>
      <c r="BU1617">
        <v>1.6</v>
      </c>
    </row>
    <row r="1618" spans="1:73" ht="14.25" x14ac:dyDescent="0.15">
      <c r="A1618" s="12">
        <v>30715</v>
      </c>
      <c r="B1618">
        <v>7</v>
      </c>
      <c r="C1618" s="1">
        <v>0</v>
      </c>
      <c r="D1618">
        <v>5</v>
      </c>
      <c r="E1618">
        <v>1</v>
      </c>
      <c r="F1618">
        <v>1</v>
      </c>
      <c r="G1618" s="7">
        <v>0.05</v>
      </c>
      <c r="H1618">
        <v>12</v>
      </c>
      <c r="I1618">
        <v>0</v>
      </c>
      <c r="J1618">
        <v>0</v>
      </c>
      <c r="K1618">
        <v>0</v>
      </c>
      <c r="L1618">
        <v>1</v>
      </c>
      <c r="M1618">
        <v>2</v>
      </c>
      <c r="N1618" s="7">
        <v>9</v>
      </c>
      <c r="O1618" s="7">
        <v>0</v>
      </c>
      <c r="P1618" s="7">
        <v>0</v>
      </c>
      <c r="Q1618" s="7">
        <v>0</v>
      </c>
      <c r="R1618" s="7">
        <v>1</v>
      </c>
      <c r="S1618" s="7">
        <v>4.5</v>
      </c>
      <c r="T1618">
        <v>7</v>
      </c>
      <c r="U1618" s="1">
        <v>0</v>
      </c>
      <c r="V1618">
        <v>4</v>
      </c>
      <c r="W1618">
        <v>2</v>
      </c>
      <c r="X1618">
        <v>1</v>
      </c>
      <c r="Y1618">
        <v>0.16</v>
      </c>
      <c r="Z1618">
        <v>23</v>
      </c>
      <c r="AA1618">
        <v>0</v>
      </c>
      <c r="AB1618">
        <v>0</v>
      </c>
      <c r="AC1618">
        <v>0</v>
      </c>
      <c r="AD1618">
        <v>1</v>
      </c>
      <c r="AE1618">
        <v>0.05</v>
      </c>
      <c r="AF1618">
        <v>15</v>
      </c>
      <c r="AG1618">
        <v>0</v>
      </c>
      <c r="AH1618">
        <v>0</v>
      </c>
      <c r="AI1618">
        <v>0</v>
      </c>
      <c r="AJ1618">
        <v>1</v>
      </c>
      <c r="AK1618">
        <v>0.02</v>
      </c>
      <c r="AL1618">
        <v>16</v>
      </c>
      <c r="AM1618">
        <v>0</v>
      </c>
      <c r="AN1618">
        <v>0</v>
      </c>
      <c r="AO1618">
        <v>0</v>
      </c>
      <c r="AP1618">
        <v>1</v>
      </c>
      <c r="AQ1618">
        <v>0.01</v>
      </c>
      <c r="AR1618">
        <v>6</v>
      </c>
      <c r="AS1618">
        <v>2</v>
      </c>
      <c r="AT1618">
        <v>3</v>
      </c>
      <c r="AU1618">
        <v>5</v>
      </c>
      <c r="AV1618">
        <v>1</v>
      </c>
      <c r="AW1618">
        <v>0.05</v>
      </c>
      <c r="AX1618">
        <v>7</v>
      </c>
      <c r="AY1618" s="1">
        <v>0</v>
      </c>
      <c r="AZ1618">
        <v>3</v>
      </c>
      <c r="BA1618">
        <v>1</v>
      </c>
      <c r="BB1618">
        <v>1</v>
      </c>
      <c r="BC1618" s="7">
        <v>0.32</v>
      </c>
      <c r="BD1618">
        <v>30</v>
      </c>
      <c r="BE1618">
        <v>0</v>
      </c>
      <c r="BF1618">
        <v>0</v>
      </c>
      <c r="BG1618">
        <v>0</v>
      </c>
      <c r="BH1618">
        <v>5</v>
      </c>
      <c r="BI1618">
        <v>2.4</v>
      </c>
      <c r="BJ1618">
        <v>31</v>
      </c>
      <c r="BK1618">
        <v>0</v>
      </c>
      <c r="BL1618">
        <v>0</v>
      </c>
      <c r="BM1618">
        <v>0</v>
      </c>
      <c r="BN1618">
        <v>5</v>
      </c>
      <c r="BO1618">
        <v>2.4</v>
      </c>
      <c r="BP1618">
        <v>36</v>
      </c>
      <c r="BQ1618">
        <v>0</v>
      </c>
      <c r="BR1618">
        <v>0</v>
      </c>
      <c r="BS1618">
        <v>0</v>
      </c>
      <c r="BT1618">
        <v>5</v>
      </c>
      <c r="BU1618">
        <v>1.6</v>
      </c>
    </row>
    <row r="1619" spans="1:73" ht="14.25" x14ac:dyDescent="0.15">
      <c r="A1619" s="12">
        <v>30716</v>
      </c>
      <c r="B1619">
        <v>7</v>
      </c>
      <c r="C1619" s="1">
        <v>45</v>
      </c>
      <c r="D1619">
        <v>0</v>
      </c>
      <c r="E1619">
        <v>0</v>
      </c>
      <c r="F1619">
        <v>1</v>
      </c>
      <c r="G1619" s="7">
        <v>0.05</v>
      </c>
      <c r="H1619">
        <v>12</v>
      </c>
      <c r="I1619">
        <v>0</v>
      </c>
      <c r="J1619">
        <v>0</v>
      </c>
      <c r="K1619">
        <v>0</v>
      </c>
      <c r="L1619">
        <v>1</v>
      </c>
      <c r="M1619">
        <v>2</v>
      </c>
      <c r="N1619" s="7">
        <v>9</v>
      </c>
      <c r="O1619" s="7">
        <v>0</v>
      </c>
      <c r="P1619" s="7">
        <v>0</v>
      </c>
      <c r="Q1619" s="7">
        <v>0</v>
      </c>
      <c r="R1619" s="7">
        <v>1</v>
      </c>
      <c r="S1619" s="7">
        <v>4.5</v>
      </c>
      <c r="T1619">
        <v>7</v>
      </c>
      <c r="U1619" s="1">
        <v>33</v>
      </c>
      <c r="V1619">
        <v>0</v>
      </c>
      <c r="W1619">
        <v>0</v>
      </c>
      <c r="X1619">
        <v>1</v>
      </c>
      <c r="Y1619">
        <v>0.16</v>
      </c>
      <c r="Z1619">
        <v>23</v>
      </c>
      <c r="AA1619">
        <v>0</v>
      </c>
      <c r="AB1619">
        <v>0</v>
      </c>
      <c r="AC1619">
        <v>0</v>
      </c>
      <c r="AD1619">
        <v>1</v>
      </c>
      <c r="AE1619">
        <v>0.05</v>
      </c>
      <c r="AF1619">
        <v>15</v>
      </c>
      <c r="AG1619">
        <v>0</v>
      </c>
      <c r="AH1619">
        <v>0</v>
      </c>
      <c r="AI1619">
        <v>0</v>
      </c>
      <c r="AJ1619">
        <v>1</v>
      </c>
      <c r="AK1619">
        <v>0.02</v>
      </c>
      <c r="AL1619">
        <v>16</v>
      </c>
      <c r="AM1619">
        <v>0</v>
      </c>
      <c r="AN1619">
        <v>0</v>
      </c>
      <c r="AO1619">
        <v>0</v>
      </c>
      <c r="AP1619">
        <v>1</v>
      </c>
      <c r="AQ1619">
        <v>0.01</v>
      </c>
      <c r="AX1619">
        <v>7</v>
      </c>
      <c r="AY1619" s="1">
        <v>17</v>
      </c>
      <c r="AZ1619">
        <v>0</v>
      </c>
      <c r="BA1619">
        <v>0</v>
      </c>
      <c r="BB1619">
        <v>1</v>
      </c>
      <c r="BC1619" s="7">
        <v>0.32</v>
      </c>
      <c r="BD1619">
        <v>30</v>
      </c>
      <c r="BE1619">
        <v>0</v>
      </c>
      <c r="BF1619">
        <v>0</v>
      </c>
      <c r="BG1619">
        <v>0</v>
      </c>
      <c r="BH1619">
        <v>5</v>
      </c>
      <c r="BI1619">
        <v>2.4</v>
      </c>
      <c r="BJ1619">
        <v>31</v>
      </c>
      <c r="BK1619">
        <v>0</v>
      </c>
      <c r="BL1619">
        <v>0</v>
      </c>
      <c r="BM1619">
        <v>0</v>
      </c>
      <c r="BN1619">
        <v>5</v>
      </c>
      <c r="BO1619">
        <v>2.4</v>
      </c>
      <c r="BP1619">
        <v>36</v>
      </c>
      <c r="BQ1619">
        <v>0</v>
      </c>
      <c r="BR1619">
        <v>0</v>
      </c>
      <c r="BS1619">
        <v>0</v>
      </c>
      <c r="BT1619">
        <v>5</v>
      </c>
      <c r="BU1619">
        <v>1.6</v>
      </c>
    </row>
    <row r="1620" spans="1:73" ht="14.25" x14ac:dyDescent="0.15">
      <c r="A1620" s="12">
        <v>30717</v>
      </c>
      <c r="B1620">
        <v>7</v>
      </c>
      <c r="C1620" s="1">
        <v>46</v>
      </c>
      <c r="D1620">
        <v>0</v>
      </c>
      <c r="E1620">
        <v>0</v>
      </c>
      <c r="F1620">
        <v>1</v>
      </c>
      <c r="G1620" s="7">
        <v>0.05</v>
      </c>
      <c r="H1620">
        <v>12</v>
      </c>
      <c r="I1620">
        <v>0</v>
      </c>
      <c r="J1620">
        <v>0</v>
      </c>
      <c r="K1620">
        <v>0</v>
      </c>
      <c r="L1620">
        <v>1</v>
      </c>
      <c r="M1620">
        <v>2</v>
      </c>
      <c r="N1620" s="7">
        <v>9</v>
      </c>
      <c r="O1620" s="7">
        <v>0</v>
      </c>
      <c r="P1620" s="7">
        <v>0</v>
      </c>
      <c r="Q1620" s="7">
        <v>0</v>
      </c>
      <c r="R1620" s="7">
        <v>1</v>
      </c>
      <c r="S1620" s="7">
        <v>4.5</v>
      </c>
      <c r="T1620">
        <v>7</v>
      </c>
      <c r="U1620" s="1">
        <v>34</v>
      </c>
      <c r="V1620">
        <v>0</v>
      </c>
      <c r="W1620">
        <v>0</v>
      </c>
      <c r="X1620">
        <v>1</v>
      </c>
      <c r="Y1620">
        <v>0.16</v>
      </c>
      <c r="Z1620">
        <v>23</v>
      </c>
      <c r="AA1620">
        <v>0</v>
      </c>
      <c r="AB1620">
        <v>0</v>
      </c>
      <c r="AC1620">
        <v>0</v>
      </c>
      <c r="AD1620">
        <v>1</v>
      </c>
      <c r="AE1620">
        <v>0.05</v>
      </c>
      <c r="AF1620">
        <v>15</v>
      </c>
      <c r="AG1620">
        <v>0</v>
      </c>
      <c r="AH1620">
        <v>0</v>
      </c>
      <c r="AI1620">
        <v>0</v>
      </c>
      <c r="AJ1620">
        <v>1</v>
      </c>
      <c r="AK1620">
        <v>0.02</v>
      </c>
      <c r="AL1620">
        <v>16</v>
      </c>
      <c r="AM1620">
        <v>0</v>
      </c>
      <c r="AN1620">
        <v>0</v>
      </c>
      <c r="AO1620">
        <v>0</v>
      </c>
      <c r="AP1620">
        <v>1</v>
      </c>
      <c r="AQ1620">
        <v>0.01</v>
      </c>
      <c r="AX1620">
        <v>7</v>
      </c>
      <c r="AY1620" s="1">
        <v>18</v>
      </c>
      <c r="AZ1620">
        <v>0</v>
      </c>
      <c r="BA1620">
        <v>0</v>
      </c>
      <c r="BB1620">
        <v>1</v>
      </c>
      <c r="BC1620" s="7">
        <v>0.32</v>
      </c>
      <c r="BD1620">
        <v>30</v>
      </c>
      <c r="BE1620">
        <v>0</v>
      </c>
      <c r="BF1620">
        <v>0</v>
      </c>
      <c r="BG1620">
        <v>0</v>
      </c>
      <c r="BH1620">
        <v>5</v>
      </c>
      <c r="BI1620">
        <v>2.4</v>
      </c>
      <c r="BJ1620">
        <v>31</v>
      </c>
      <c r="BK1620">
        <v>0</v>
      </c>
      <c r="BL1620">
        <v>0</v>
      </c>
      <c r="BM1620">
        <v>0</v>
      </c>
      <c r="BN1620">
        <v>5</v>
      </c>
      <c r="BO1620">
        <v>2.4</v>
      </c>
      <c r="BP1620">
        <v>36</v>
      </c>
      <c r="BQ1620">
        <v>0</v>
      </c>
      <c r="BR1620">
        <v>0</v>
      </c>
      <c r="BS1620">
        <v>0</v>
      </c>
      <c r="BT1620">
        <v>5</v>
      </c>
      <c r="BU1620">
        <v>1.6</v>
      </c>
    </row>
    <row r="1621" spans="1:73" ht="14.25" x14ac:dyDescent="0.15">
      <c r="A1621" s="12">
        <v>30718</v>
      </c>
      <c r="B1621">
        <v>7</v>
      </c>
      <c r="C1621" s="1">
        <v>47</v>
      </c>
      <c r="D1621">
        <v>0</v>
      </c>
      <c r="E1621">
        <v>0</v>
      </c>
      <c r="F1621">
        <v>1</v>
      </c>
      <c r="G1621" s="7">
        <v>0.05</v>
      </c>
      <c r="H1621">
        <v>12</v>
      </c>
      <c r="I1621">
        <v>0</v>
      </c>
      <c r="J1621">
        <v>0</v>
      </c>
      <c r="K1621">
        <v>0</v>
      </c>
      <c r="L1621">
        <v>1</v>
      </c>
      <c r="M1621">
        <v>2</v>
      </c>
      <c r="N1621" s="7">
        <v>9</v>
      </c>
      <c r="O1621" s="7">
        <v>0</v>
      </c>
      <c r="P1621" s="7">
        <v>0</v>
      </c>
      <c r="Q1621" s="7">
        <v>0</v>
      </c>
      <c r="R1621" s="7">
        <v>1</v>
      </c>
      <c r="S1621" s="7">
        <v>4.5</v>
      </c>
      <c r="T1621">
        <v>7</v>
      </c>
      <c r="U1621" s="1">
        <v>35</v>
      </c>
      <c r="V1621">
        <v>0</v>
      </c>
      <c r="W1621">
        <v>0</v>
      </c>
      <c r="X1621">
        <v>1</v>
      </c>
      <c r="Y1621">
        <v>0.16</v>
      </c>
      <c r="Z1621">
        <v>23</v>
      </c>
      <c r="AA1621">
        <v>0</v>
      </c>
      <c r="AB1621">
        <v>0</v>
      </c>
      <c r="AC1621">
        <v>0</v>
      </c>
      <c r="AD1621">
        <v>1</v>
      </c>
      <c r="AE1621">
        <v>0.05</v>
      </c>
      <c r="AF1621">
        <v>15</v>
      </c>
      <c r="AG1621">
        <v>0</v>
      </c>
      <c r="AH1621">
        <v>0</v>
      </c>
      <c r="AI1621">
        <v>0</v>
      </c>
      <c r="AJ1621">
        <v>1</v>
      </c>
      <c r="AK1621">
        <v>0.02</v>
      </c>
      <c r="AL1621">
        <v>16</v>
      </c>
      <c r="AM1621">
        <v>0</v>
      </c>
      <c r="AN1621">
        <v>0</v>
      </c>
      <c r="AO1621">
        <v>0</v>
      </c>
      <c r="AP1621">
        <v>1</v>
      </c>
      <c r="AQ1621">
        <v>0.01</v>
      </c>
      <c r="AX1621">
        <v>7</v>
      </c>
      <c r="AY1621" s="1">
        <v>19</v>
      </c>
      <c r="AZ1621">
        <v>0</v>
      </c>
      <c r="BA1621">
        <v>0</v>
      </c>
      <c r="BB1621">
        <v>1</v>
      </c>
      <c r="BC1621" s="7">
        <v>0.32</v>
      </c>
      <c r="BD1621">
        <v>30</v>
      </c>
      <c r="BE1621">
        <v>0</v>
      </c>
      <c r="BF1621">
        <v>0</v>
      </c>
      <c r="BG1621">
        <v>0</v>
      </c>
      <c r="BH1621">
        <v>5</v>
      </c>
      <c r="BI1621">
        <v>2.4</v>
      </c>
      <c r="BJ1621">
        <v>31</v>
      </c>
      <c r="BK1621">
        <v>0</v>
      </c>
      <c r="BL1621">
        <v>0</v>
      </c>
      <c r="BM1621">
        <v>0</v>
      </c>
      <c r="BN1621">
        <v>5</v>
      </c>
      <c r="BO1621">
        <v>2.4</v>
      </c>
      <c r="BP1621">
        <v>36</v>
      </c>
      <c r="BQ1621">
        <v>0</v>
      </c>
      <c r="BR1621">
        <v>0</v>
      </c>
      <c r="BS1621">
        <v>0</v>
      </c>
      <c r="BT1621">
        <v>5</v>
      </c>
      <c r="BU1621">
        <v>1.6</v>
      </c>
    </row>
    <row r="1622" spans="1:73" ht="14.25" x14ac:dyDescent="0.15">
      <c r="A1622" s="12">
        <v>30719</v>
      </c>
      <c r="B1622">
        <v>7</v>
      </c>
      <c r="C1622" s="1">
        <v>48</v>
      </c>
      <c r="D1622">
        <v>0</v>
      </c>
      <c r="E1622">
        <v>0</v>
      </c>
      <c r="F1622">
        <v>1</v>
      </c>
      <c r="G1622" s="7">
        <v>0.05</v>
      </c>
      <c r="H1622">
        <v>12</v>
      </c>
      <c r="I1622">
        <v>0</v>
      </c>
      <c r="J1622">
        <v>0</v>
      </c>
      <c r="K1622">
        <v>0</v>
      </c>
      <c r="L1622">
        <v>1</v>
      </c>
      <c r="M1622">
        <v>2</v>
      </c>
      <c r="N1622" s="7">
        <v>9</v>
      </c>
      <c r="O1622" s="7">
        <v>0</v>
      </c>
      <c r="P1622" s="7">
        <v>0</v>
      </c>
      <c r="Q1622" s="7">
        <v>0</v>
      </c>
      <c r="R1622" s="7">
        <v>1</v>
      </c>
      <c r="S1622" s="7">
        <v>4.5</v>
      </c>
      <c r="T1622">
        <v>7</v>
      </c>
      <c r="U1622" s="1">
        <v>36</v>
      </c>
      <c r="V1622">
        <v>0</v>
      </c>
      <c r="W1622">
        <v>0</v>
      </c>
      <c r="X1622">
        <v>1</v>
      </c>
      <c r="Y1622">
        <v>0.16</v>
      </c>
      <c r="Z1622">
        <v>23</v>
      </c>
      <c r="AA1622">
        <v>0</v>
      </c>
      <c r="AB1622">
        <v>0</v>
      </c>
      <c r="AC1622">
        <v>0</v>
      </c>
      <c r="AD1622">
        <v>1</v>
      </c>
      <c r="AE1622">
        <v>0.05</v>
      </c>
      <c r="AF1622">
        <v>15</v>
      </c>
      <c r="AG1622">
        <v>0</v>
      </c>
      <c r="AH1622">
        <v>0</v>
      </c>
      <c r="AI1622">
        <v>0</v>
      </c>
      <c r="AJ1622">
        <v>1</v>
      </c>
      <c r="AK1622">
        <v>0.02</v>
      </c>
      <c r="AL1622">
        <v>16</v>
      </c>
      <c r="AM1622">
        <v>0</v>
      </c>
      <c r="AN1622">
        <v>0</v>
      </c>
      <c r="AO1622">
        <v>0</v>
      </c>
      <c r="AP1622">
        <v>1</v>
      </c>
      <c r="AQ1622">
        <v>0.01</v>
      </c>
      <c r="AX1622">
        <v>7</v>
      </c>
      <c r="AY1622" s="1">
        <v>20</v>
      </c>
      <c r="AZ1622">
        <v>0</v>
      </c>
      <c r="BA1622">
        <v>0</v>
      </c>
      <c r="BB1622">
        <v>1</v>
      </c>
      <c r="BC1622" s="7">
        <v>0.32</v>
      </c>
      <c r="BD1622">
        <v>30</v>
      </c>
      <c r="BE1622">
        <v>0</v>
      </c>
      <c r="BF1622">
        <v>0</v>
      </c>
      <c r="BG1622">
        <v>0</v>
      </c>
      <c r="BH1622">
        <v>5</v>
      </c>
      <c r="BI1622">
        <v>2.4</v>
      </c>
      <c r="BJ1622">
        <v>31</v>
      </c>
      <c r="BK1622">
        <v>0</v>
      </c>
      <c r="BL1622">
        <v>0</v>
      </c>
      <c r="BM1622">
        <v>0</v>
      </c>
      <c r="BN1622">
        <v>5</v>
      </c>
      <c r="BO1622">
        <v>2.4</v>
      </c>
      <c r="BP1622">
        <v>36</v>
      </c>
      <c r="BQ1622">
        <v>0</v>
      </c>
      <c r="BR1622">
        <v>0</v>
      </c>
      <c r="BS1622">
        <v>0</v>
      </c>
      <c r="BT1622">
        <v>5</v>
      </c>
      <c r="BU1622">
        <v>1.6</v>
      </c>
    </row>
    <row r="1623" spans="1:73" ht="14.25" x14ac:dyDescent="0.15">
      <c r="A1623" s="12">
        <v>30720</v>
      </c>
      <c r="B1623">
        <v>7</v>
      </c>
      <c r="C1623" s="1">
        <v>0</v>
      </c>
      <c r="D1623">
        <v>5</v>
      </c>
      <c r="E1623">
        <v>1</v>
      </c>
      <c r="F1623">
        <v>1</v>
      </c>
      <c r="G1623" s="7">
        <v>0.05</v>
      </c>
      <c r="H1623">
        <v>12</v>
      </c>
      <c r="I1623">
        <v>0</v>
      </c>
      <c r="J1623">
        <v>0</v>
      </c>
      <c r="K1623">
        <v>0</v>
      </c>
      <c r="L1623">
        <v>1</v>
      </c>
      <c r="M1623">
        <v>2</v>
      </c>
      <c r="N1623" s="7">
        <v>9</v>
      </c>
      <c r="O1623" s="7">
        <v>0</v>
      </c>
      <c r="P1623" s="7">
        <v>0</v>
      </c>
      <c r="Q1623" s="7">
        <v>0</v>
      </c>
      <c r="R1623" s="7">
        <v>1</v>
      </c>
      <c r="S1623" s="7">
        <v>4.5</v>
      </c>
      <c r="T1623">
        <v>7</v>
      </c>
      <c r="U1623" s="1">
        <v>0</v>
      </c>
      <c r="V1623">
        <v>4</v>
      </c>
      <c r="W1623">
        <v>2</v>
      </c>
      <c r="X1623">
        <v>1</v>
      </c>
      <c r="Y1623">
        <v>0.16</v>
      </c>
      <c r="Z1623">
        <v>23</v>
      </c>
      <c r="AA1623">
        <v>0</v>
      </c>
      <c r="AB1623">
        <v>0</v>
      </c>
      <c r="AC1623">
        <v>0</v>
      </c>
      <c r="AD1623">
        <v>1</v>
      </c>
      <c r="AE1623">
        <v>0.05</v>
      </c>
      <c r="AF1623">
        <v>15</v>
      </c>
      <c r="AG1623">
        <v>0</v>
      </c>
      <c r="AH1623">
        <v>0</v>
      </c>
      <c r="AI1623">
        <v>0</v>
      </c>
      <c r="AJ1623">
        <v>1</v>
      </c>
      <c r="AK1623">
        <v>0.02</v>
      </c>
      <c r="AL1623">
        <v>16</v>
      </c>
      <c r="AM1623">
        <v>0</v>
      </c>
      <c r="AN1623">
        <v>0</v>
      </c>
      <c r="AO1623">
        <v>0</v>
      </c>
      <c r="AP1623">
        <v>1</v>
      </c>
      <c r="AQ1623">
        <v>0.01</v>
      </c>
      <c r="AR1623">
        <v>6</v>
      </c>
      <c r="AS1623">
        <v>2</v>
      </c>
      <c r="AT1623">
        <v>4</v>
      </c>
      <c r="AU1623">
        <v>5</v>
      </c>
      <c r="AV1623">
        <v>1</v>
      </c>
      <c r="AW1623">
        <v>0.01</v>
      </c>
      <c r="AX1623">
        <v>7</v>
      </c>
      <c r="AY1623" s="1">
        <v>0</v>
      </c>
      <c r="AZ1623">
        <v>3</v>
      </c>
      <c r="BA1623">
        <v>1</v>
      </c>
      <c r="BB1623">
        <v>1</v>
      </c>
      <c r="BC1623" s="7">
        <v>0.32</v>
      </c>
      <c r="BD1623">
        <v>30</v>
      </c>
      <c r="BE1623">
        <v>0</v>
      </c>
      <c r="BF1623">
        <v>0</v>
      </c>
      <c r="BG1623">
        <v>0</v>
      </c>
      <c r="BH1623">
        <v>5</v>
      </c>
      <c r="BI1623">
        <v>2.4</v>
      </c>
      <c r="BJ1623">
        <v>31</v>
      </c>
      <c r="BK1623">
        <v>0</v>
      </c>
      <c r="BL1623">
        <v>0</v>
      </c>
      <c r="BM1623">
        <v>0</v>
      </c>
      <c r="BN1623">
        <v>5</v>
      </c>
      <c r="BO1623">
        <v>2.4</v>
      </c>
      <c r="BP1623">
        <v>36</v>
      </c>
      <c r="BQ1623">
        <v>0</v>
      </c>
      <c r="BR1623">
        <v>0</v>
      </c>
      <c r="BS1623">
        <v>0</v>
      </c>
      <c r="BT1623">
        <v>5</v>
      </c>
      <c r="BU1623">
        <v>1.6</v>
      </c>
    </row>
    <row r="1624" spans="1:73" ht="14.25" x14ac:dyDescent="0.15">
      <c r="A1624" s="12">
        <v>30721</v>
      </c>
      <c r="B1624">
        <v>7</v>
      </c>
      <c r="C1624" s="1">
        <v>45</v>
      </c>
      <c r="D1624">
        <v>0</v>
      </c>
      <c r="E1624">
        <v>0</v>
      </c>
      <c r="F1624">
        <v>1</v>
      </c>
      <c r="G1624" s="7">
        <v>0.05</v>
      </c>
      <c r="H1624">
        <v>12</v>
      </c>
      <c r="I1624">
        <v>0</v>
      </c>
      <c r="J1624">
        <v>0</v>
      </c>
      <c r="K1624">
        <v>0</v>
      </c>
      <c r="L1624">
        <v>1</v>
      </c>
      <c r="M1624">
        <v>2</v>
      </c>
      <c r="N1624" s="7">
        <v>9</v>
      </c>
      <c r="O1624" s="7">
        <v>0</v>
      </c>
      <c r="P1624" s="7">
        <v>0</v>
      </c>
      <c r="Q1624" s="7">
        <v>0</v>
      </c>
      <c r="R1624" s="7">
        <v>1</v>
      </c>
      <c r="S1624" s="7">
        <v>4.5</v>
      </c>
      <c r="T1624">
        <v>7</v>
      </c>
      <c r="U1624" s="1">
        <v>33</v>
      </c>
      <c r="V1624">
        <v>0</v>
      </c>
      <c r="W1624">
        <v>0</v>
      </c>
      <c r="X1624">
        <v>1</v>
      </c>
      <c r="Y1624">
        <v>0.16</v>
      </c>
      <c r="Z1624">
        <v>23</v>
      </c>
      <c r="AA1624">
        <v>0</v>
      </c>
      <c r="AB1624">
        <v>0</v>
      </c>
      <c r="AC1624">
        <v>0</v>
      </c>
      <c r="AD1624">
        <v>1</v>
      </c>
      <c r="AE1624">
        <v>0.05</v>
      </c>
      <c r="AF1624">
        <v>15</v>
      </c>
      <c r="AG1624">
        <v>0</v>
      </c>
      <c r="AH1624">
        <v>0</v>
      </c>
      <c r="AI1624">
        <v>0</v>
      </c>
      <c r="AJ1624">
        <v>1</v>
      </c>
      <c r="AK1624">
        <v>0.02</v>
      </c>
      <c r="AL1624">
        <v>16</v>
      </c>
      <c r="AM1624">
        <v>0</v>
      </c>
      <c r="AN1624">
        <v>0</v>
      </c>
      <c r="AO1624">
        <v>0</v>
      </c>
      <c r="AP1624">
        <v>1</v>
      </c>
      <c r="AQ1624">
        <v>0.01</v>
      </c>
      <c r="AX1624">
        <v>7</v>
      </c>
      <c r="AY1624" s="1">
        <v>17</v>
      </c>
      <c r="AZ1624">
        <v>0</v>
      </c>
      <c r="BA1624">
        <v>0</v>
      </c>
      <c r="BB1624">
        <v>1</v>
      </c>
      <c r="BC1624" s="7">
        <v>0.32</v>
      </c>
      <c r="BD1624">
        <v>30</v>
      </c>
      <c r="BE1624">
        <v>0</v>
      </c>
      <c r="BF1624">
        <v>0</v>
      </c>
      <c r="BG1624">
        <v>0</v>
      </c>
      <c r="BH1624">
        <v>5</v>
      </c>
      <c r="BI1624">
        <v>2.4</v>
      </c>
      <c r="BJ1624">
        <v>31</v>
      </c>
      <c r="BK1624">
        <v>0</v>
      </c>
      <c r="BL1624">
        <v>0</v>
      </c>
      <c r="BM1624">
        <v>0</v>
      </c>
      <c r="BN1624">
        <v>5</v>
      </c>
      <c r="BO1624">
        <v>2.4</v>
      </c>
      <c r="BP1624">
        <v>36</v>
      </c>
      <c r="BQ1624">
        <v>0</v>
      </c>
      <c r="BR1624">
        <v>0</v>
      </c>
      <c r="BS1624">
        <v>0</v>
      </c>
      <c r="BT1624">
        <v>5</v>
      </c>
      <c r="BU1624">
        <v>1.6</v>
      </c>
    </row>
    <row r="1625" spans="1:73" ht="14.25" x14ac:dyDescent="0.15">
      <c r="A1625" s="12">
        <v>30722</v>
      </c>
      <c r="B1625">
        <v>7</v>
      </c>
      <c r="C1625" s="1">
        <v>46</v>
      </c>
      <c r="D1625">
        <v>0</v>
      </c>
      <c r="E1625">
        <v>0</v>
      </c>
      <c r="F1625">
        <v>1</v>
      </c>
      <c r="G1625" s="7">
        <v>0.05</v>
      </c>
      <c r="H1625">
        <v>12</v>
      </c>
      <c r="I1625">
        <v>0</v>
      </c>
      <c r="J1625">
        <v>0</v>
      </c>
      <c r="K1625">
        <v>0</v>
      </c>
      <c r="L1625">
        <v>1</v>
      </c>
      <c r="M1625">
        <v>2</v>
      </c>
      <c r="N1625" s="7">
        <v>9</v>
      </c>
      <c r="O1625" s="7">
        <v>0</v>
      </c>
      <c r="P1625" s="7">
        <v>0</v>
      </c>
      <c r="Q1625" s="7">
        <v>0</v>
      </c>
      <c r="R1625" s="7">
        <v>1</v>
      </c>
      <c r="S1625" s="7">
        <v>4.5</v>
      </c>
      <c r="T1625">
        <v>7</v>
      </c>
      <c r="U1625" s="1">
        <v>34</v>
      </c>
      <c r="V1625">
        <v>0</v>
      </c>
      <c r="W1625">
        <v>0</v>
      </c>
      <c r="X1625">
        <v>1</v>
      </c>
      <c r="Y1625">
        <v>0.16</v>
      </c>
      <c r="Z1625">
        <v>23</v>
      </c>
      <c r="AA1625">
        <v>0</v>
      </c>
      <c r="AB1625">
        <v>0</v>
      </c>
      <c r="AC1625">
        <v>0</v>
      </c>
      <c r="AD1625">
        <v>1</v>
      </c>
      <c r="AE1625">
        <v>0.05</v>
      </c>
      <c r="AF1625">
        <v>15</v>
      </c>
      <c r="AG1625">
        <v>0</v>
      </c>
      <c r="AH1625">
        <v>0</v>
      </c>
      <c r="AI1625">
        <v>0</v>
      </c>
      <c r="AJ1625">
        <v>1</v>
      </c>
      <c r="AK1625">
        <v>0.02</v>
      </c>
      <c r="AL1625">
        <v>16</v>
      </c>
      <c r="AM1625">
        <v>0</v>
      </c>
      <c r="AN1625">
        <v>0</v>
      </c>
      <c r="AO1625">
        <v>0</v>
      </c>
      <c r="AP1625">
        <v>1</v>
      </c>
      <c r="AQ1625">
        <v>0.01</v>
      </c>
      <c r="AX1625">
        <v>7</v>
      </c>
      <c r="AY1625" s="1">
        <v>18</v>
      </c>
      <c r="AZ1625">
        <v>0</v>
      </c>
      <c r="BA1625">
        <v>0</v>
      </c>
      <c r="BB1625">
        <v>1</v>
      </c>
      <c r="BC1625" s="7">
        <v>0.32</v>
      </c>
      <c r="BD1625">
        <v>30</v>
      </c>
      <c r="BE1625">
        <v>0</v>
      </c>
      <c r="BF1625">
        <v>0</v>
      </c>
      <c r="BG1625">
        <v>0</v>
      </c>
      <c r="BH1625">
        <v>5</v>
      </c>
      <c r="BI1625">
        <v>2.4</v>
      </c>
      <c r="BJ1625">
        <v>31</v>
      </c>
      <c r="BK1625">
        <v>0</v>
      </c>
      <c r="BL1625">
        <v>0</v>
      </c>
      <c r="BM1625">
        <v>0</v>
      </c>
      <c r="BN1625">
        <v>5</v>
      </c>
      <c r="BO1625">
        <v>2.4</v>
      </c>
      <c r="BP1625">
        <v>36</v>
      </c>
      <c r="BQ1625">
        <v>0</v>
      </c>
      <c r="BR1625">
        <v>0</v>
      </c>
      <c r="BS1625">
        <v>0</v>
      </c>
      <c r="BT1625">
        <v>5</v>
      </c>
      <c r="BU1625">
        <v>1.6</v>
      </c>
    </row>
    <row r="1626" spans="1:73" ht="14.25" x14ac:dyDescent="0.15">
      <c r="A1626" s="12">
        <v>30723</v>
      </c>
      <c r="B1626">
        <v>7</v>
      </c>
      <c r="C1626" s="1">
        <v>47</v>
      </c>
      <c r="D1626">
        <v>0</v>
      </c>
      <c r="E1626">
        <v>0</v>
      </c>
      <c r="F1626">
        <v>1</v>
      </c>
      <c r="G1626" s="7">
        <v>0.05</v>
      </c>
      <c r="H1626">
        <v>12</v>
      </c>
      <c r="I1626">
        <v>0</v>
      </c>
      <c r="J1626">
        <v>0</v>
      </c>
      <c r="K1626">
        <v>0</v>
      </c>
      <c r="L1626">
        <v>1</v>
      </c>
      <c r="M1626">
        <v>2</v>
      </c>
      <c r="N1626" s="7">
        <v>9</v>
      </c>
      <c r="O1626" s="7">
        <v>0</v>
      </c>
      <c r="P1626" s="7">
        <v>0</v>
      </c>
      <c r="Q1626" s="7">
        <v>0</v>
      </c>
      <c r="R1626" s="7">
        <v>1</v>
      </c>
      <c r="S1626" s="7">
        <v>4.5</v>
      </c>
      <c r="T1626">
        <v>7</v>
      </c>
      <c r="U1626" s="1">
        <v>35</v>
      </c>
      <c r="V1626">
        <v>0</v>
      </c>
      <c r="W1626">
        <v>0</v>
      </c>
      <c r="X1626">
        <v>1</v>
      </c>
      <c r="Y1626">
        <v>0.16</v>
      </c>
      <c r="Z1626">
        <v>23</v>
      </c>
      <c r="AA1626">
        <v>0</v>
      </c>
      <c r="AB1626">
        <v>0</v>
      </c>
      <c r="AC1626">
        <v>0</v>
      </c>
      <c r="AD1626">
        <v>1</v>
      </c>
      <c r="AE1626">
        <v>0.05</v>
      </c>
      <c r="AF1626">
        <v>15</v>
      </c>
      <c r="AG1626">
        <v>0</v>
      </c>
      <c r="AH1626">
        <v>0</v>
      </c>
      <c r="AI1626">
        <v>0</v>
      </c>
      <c r="AJ1626">
        <v>1</v>
      </c>
      <c r="AK1626">
        <v>0.02</v>
      </c>
      <c r="AL1626">
        <v>16</v>
      </c>
      <c r="AM1626">
        <v>0</v>
      </c>
      <c r="AN1626">
        <v>0</v>
      </c>
      <c r="AO1626">
        <v>0</v>
      </c>
      <c r="AP1626">
        <v>1</v>
      </c>
      <c r="AQ1626">
        <v>0.01</v>
      </c>
      <c r="AX1626">
        <v>7</v>
      </c>
      <c r="AY1626" s="1">
        <v>19</v>
      </c>
      <c r="AZ1626">
        <v>0</v>
      </c>
      <c r="BA1626">
        <v>0</v>
      </c>
      <c r="BB1626">
        <v>1</v>
      </c>
      <c r="BC1626" s="7">
        <v>0.32</v>
      </c>
      <c r="BD1626">
        <v>30</v>
      </c>
      <c r="BE1626">
        <v>0</v>
      </c>
      <c r="BF1626">
        <v>0</v>
      </c>
      <c r="BG1626">
        <v>0</v>
      </c>
      <c r="BH1626">
        <v>5</v>
      </c>
      <c r="BI1626">
        <v>2.4</v>
      </c>
      <c r="BJ1626">
        <v>31</v>
      </c>
      <c r="BK1626">
        <v>0</v>
      </c>
      <c r="BL1626">
        <v>0</v>
      </c>
      <c r="BM1626">
        <v>0</v>
      </c>
      <c r="BN1626">
        <v>5</v>
      </c>
      <c r="BO1626">
        <v>2.4</v>
      </c>
      <c r="BP1626">
        <v>36</v>
      </c>
      <c r="BQ1626">
        <v>0</v>
      </c>
      <c r="BR1626">
        <v>0</v>
      </c>
      <c r="BS1626">
        <v>0</v>
      </c>
      <c r="BT1626">
        <v>5</v>
      </c>
      <c r="BU1626">
        <v>1.6</v>
      </c>
    </row>
    <row r="1627" spans="1:73" ht="14.25" x14ac:dyDescent="0.15">
      <c r="A1627" s="12">
        <v>30724</v>
      </c>
      <c r="B1627">
        <v>7</v>
      </c>
      <c r="C1627" s="1">
        <v>48</v>
      </c>
      <c r="D1627">
        <v>0</v>
      </c>
      <c r="E1627">
        <v>0</v>
      </c>
      <c r="F1627">
        <v>1</v>
      </c>
      <c r="G1627" s="7">
        <v>0.05</v>
      </c>
      <c r="H1627">
        <v>12</v>
      </c>
      <c r="I1627">
        <v>0</v>
      </c>
      <c r="J1627">
        <v>0</v>
      </c>
      <c r="K1627">
        <v>0</v>
      </c>
      <c r="L1627">
        <v>1</v>
      </c>
      <c r="M1627">
        <v>2</v>
      </c>
      <c r="N1627" s="7">
        <v>9</v>
      </c>
      <c r="O1627" s="7">
        <v>0</v>
      </c>
      <c r="P1627" s="7">
        <v>0</v>
      </c>
      <c r="Q1627" s="7">
        <v>0</v>
      </c>
      <c r="R1627" s="7">
        <v>1</v>
      </c>
      <c r="S1627" s="7">
        <v>4.5</v>
      </c>
      <c r="T1627">
        <v>7</v>
      </c>
      <c r="U1627" s="1">
        <v>36</v>
      </c>
      <c r="V1627">
        <v>0</v>
      </c>
      <c r="W1627">
        <v>0</v>
      </c>
      <c r="X1627">
        <v>1</v>
      </c>
      <c r="Y1627">
        <v>0.16</v>
      </c>
      <c r="Z1627">
        <v>23</v>
      </c>
      <c r="AA1627">
        <v>0</v>
      </c>
      <c r="AB1627">
        <v>0</v>
      </c>
      <c r="AC1627">
        <v>0</v>
      </c>
      <c r="AD1627">
        <v>1</v>
      </c>
      <c r="AE1627">
        <v>0.05</v>
      </c>
      <c r="AF1627">
        <v>15</v>
      </c>
      <c r="AG1627">
        <v>0</v>
      </c>
      <c r="AH1627">
        <v>0</v>
      </c>
      <c r="AI1627">
        <v>0</v>
      </c>
      <c r="AJ1627">
        <v>1</v>
      </c>
      <c r="AK1627">
        <v>0.02</v>
      </c>
      <c r="AL1627">
        <v>16</v>
      </c>
      <c r="AM1627">
        <v>0</v>
      </c>
      <c r="AN1627">
        <v>0</v>
      </c>
      <c r="AO1627">
        <v>0</v>
      </c>
      <c r="AP1627">
        <v>1</v>
      </c>
      <c r="AQ1627">
        <v>0.01</v>
      </c>
      <c r="AX1627">
        <v>7</v>
      </c>
      <c r="AY1627" s="1">
        <v>20</v>
      </c>
      <c r="AZ1627">
        <v>0</v>
      </c>
      <c r="BA1627">
        <v>0</v>
      </c>
      <c r="BB1627">
        <v>1</v>
      </c>
      <c r="BC1627" s="7">
        <v>0.32</v>
      </c>
      <c r="BD1627">
        <v>30</v>
      </c>
      <c r="BE1627">
        <v>0</v>
      </c>
      <c r="BF1627">
        <v>0</v>
      </c>
      <c r="BG1627">
        <v>0</v>
      </c>
      <c r="BH1627">
        <v>5</v>
      </c>
      <c r="BI1627">
        <v>2.4</v>
      </c>
      <c r="BJ1627">
        <v>31</v>
      </c>
      <c r="BK1627">
        <v>0</v>
      </c>
      <c r="BL1627">
        <v>0</v>
      </c>
      <c r="BM1627">
        <v>0</v>
      </c>
      <c r="BN1627">
        <v>5</v>
      </c>
      <c r="BO1627">
        <v>2.4</v>
      </c>
      <c r="BP1627">
        <v>36</v>
      </c>
      <c r="BQ1627">
        <v>0</v>
      </c>
      <c r="BR1627">
        <v>0</v>
      </c>
      <c r="BS1627">
        <v>0</v>
      </c>
      <c r="BT1627">
        <v>5</v>
      </c>
      <c r="BU1627">
        <v>1.6</v>
      </c>
    </row>
    <row r="1628" spans="1:73" ht="14.25" x14ac:dyDescent="0.15">
      <c r="A1628" s="12">
        <v>30725</v>
      </c>
      <c r="B1628">
        <v>7</v>
      </c>
      <c r="C1628" s="1">
        <v>0</v>
      </c>
      <c r="D1628">
        <v>5</v>
      </c>
      <c r="E1628">
        <v>1</v>
      </c>
      <c r="F1628">
        <v>1</v>
      </c>
      <c r="G1628" s="7">
        <v>0.05</v>
      </c>
      <c r="H1628">
        <v>12</v>
      </c>
      <c r="I1628">
        <v>0</v>
      </c>
      <c r="J1628">
        <v>0</v>
      </c>
      <c r="K1628">
        <v>0</v>
      </c>
      <c r="L1628">
        <v>1</v>
      </c>
      <c r="M1628">
        <v>2</v>
      </c>
      <c r="N1628" s="7">
        <v>9</v>
      </c>
      <c r="O1628" s="7">
        <v>0</v>
      </c>
      <c r="P1628" s="7">
        <v>0</v>
      </c>
      <c r="Q1628" s="7">
        <v>0</v>
      </c>
      <c r="R1628" s="7">
        <v>1</v>
      </c>
      <c r="S1628" s="7">
        <v>4.5</v>
      </c>
      <c r="T1628">
        <v>7</v>
      </c>
      <c r="U1628" s="1">
        <v>0</v>
      </c>
      <c r="V1628">
        <v>4</v>
      </c>
      <c r="W1628">
        <v>2</v>
      </c>
      <c r="X1628">
        <v>1</v>
      </c>
      <c r="Y1628">
        <v>0.16</v>
      </c>
      <c r="Z1628">
        <v>23</v>
      </c>
      <c r="AA1628">
        <v>0</v>
      </c>
      <c r="AB1628">
        <v>0</v>
      </c>
      <c r="AC1628">
        <v>0</v>
      </c>
      <c r="AD1628">
        <v>1</v>
      </c>
      <c r="AE1628">
        <v>0.05</v>
      </c>
      <c r="AF1628">
        <v>15</v>
      </c>
      <c r="AG1628">
        <v>0</v>
      </c>
      <c r="AH1628">
        <v>0</v>
      </c>
      <c r="AI1628">
        <v>0</v>
      </c>
      <c r="AJ1628">
        <v>1</v>
      </c>
      <c r="AK1628">
        <v>0.02</v>
      </c>
      <c r="AL1628">
        <v>16</v>
      </c>
      <c r="AM1628">
        <v>0</v>
      </c>
      <c r="AN1628">
        <v>0</v>
      </c>
      <c r="AO1628">
        <v>0</v>
      </c>
      <c r="AP1628">
        <v>1</v>
      </c>
      <c r="AQ1628">
        <v>0.01</v>
      </c>
      <c r="AR1628">
        <v>6</v>
      </c>
      <c r="AS1628">
        <v>2</v>
      </c>
      <c r="AT1628">
        <v>5</v>
      </c>
      <c r="AU1628">
        <v>5</v>
      </c>
      <c r="AV1628">
        <v>1</v>
      </c>
      <c r="AW1628">
        <v>0.01</v>
      </c>
      <c r="AX1628">
        <v>7</v>
      </c>
      <c r="AY1628" s="1">
        <v>0</v>
      </c>
      <c r="AZ1628">
        <v>3</v>
      </c>
      <c r="BA1628">
        <v>1</v>
      </c>
      <c r="BB1628">
        <v>1</v>
      </c>
      <c r="BC1628" s="7">
        <v>0.32</v>
      </c>
      <c r="BD1628">
        <v>30</v>
      </c>
      <c r="BE1628">
        <v>0</v>
      </c>
      <c r="BF1628">
        <v>0</v>
      </c>
      <c r="BG1628">
        <v>0</v>
      </c>
      <c r="BH1628">
        <v>5</v>
      </c>
      <c r="BI1628">
        <v>2.4</v>
      </c>
      <c r="BJ1628">
        <v>31</v>
      </c>
      <c r="BK1628">
        <v>0</v>
      </c>
      <c r="BL1628">
        <v>0</v>
      </c>
      <c r="BM1628">
        <v>0</v>
      </c>
      <c r="BN1628">
        <v>5</v>
      </c>
      <c r="BO1628">
        <v>2.4</v>
      </c>
      <c r="BP1628">
        <v>36</v>
      </c>
      <c r="BQ1628">
        <v>0</v>
      </c>
      <c r="BR1628">
        <v>0</v>
      </c>
      <c r="BS1628">
        <v>0</v>
      </c>
      <c r="BT1628">
        <v>5</v>
      </c>
      <c r="BU1628">
        <v>1.6</v>
      </c>
    </row>
    <row r="1629" spans="1:73" ht="14.25" x14ac:dyDescent="0.15">
      <c r="A1629" s="12">
        <v>30726</v>
      </c>
      <c r="B1629">
        <v>7</v>
      </c>
      <c r="C1629" s="1">
        <v>45</v>
      </c>
      <c r="D1629">
        <v>0</v>
      </c>
      <c r="E1629">
        <v>0</v>
      </c>
      <c r="F1629">
        <v>1</v>
      </c>
      <c r="G1629" s="7">
        <v>0.05</v>
      </c>
      <c r="H1629">
        <v>12</v>
      </c>
      <c r="I1629">
        <v>0</v>
      </c>
      <c r="J1629">
        <v>0</v>
      </c>
      <c r="K1629">
        <v>0</v>
      </c>
      <c r="L1629">
        <v>1</v>
      </c>
      <c r="M1629">
        <v>2</v>
      </c>
      <c r="N1629" s="7">
        <v>9</v>
      </c>
      <c r="O1629" s="7">
        <v>0</v>
      </c>
      <c r="P1629" s="7">
        <v>0</v>
      </c>
      <c r="Q1629" s="7">
        <v>0</v>
      </c>
      <c r="R1629" s="7">
        <v>1</v>
      </c>
      <c r="S1629" s="7">
        <v>4.5</v>
      </c>
      <c r="T1629">
        <v>7</v>
      </c>
      <c r="U1629" s="1">
        <v>33</v>
      </c>
      <c r="V1629">
        <v>0</v>
      </c>
      <c r="W1629">
        <v>0</v>
      </c>
      <c r="X1629">
        <v>1</v>
      </c>
      <c r="Y1629">
        <v>0.16</v>
      </c>
      <c r="Z1629">
        <v>23</v>
      </c>
      <c r="AA1629">
        <v>0</v>
      </c>
      <c r="AB1629">
        <v>0</v>
      </c>
      <c r="AC1629">
        <v>0</v>
      </c>
      <c r="AD1629">
        <v>1</v>
      </c>
      <c r="AE1629">
        <v>0.05</v>
      </c>
      <c r="AF1629">
        <v>15</v>
      </c>
      <c r="AG1629">
        <v>0</v>
      </c>
      <c r="AH1629">
        <v>0</v>
      </c>
      <c r="AI1629">
        <v>0</v>
      </c>
      <c r="AJ1629">
        <v>1</v>
      </c>
      <c r="AK1629">
        <v>0.02</v>
      </c>
      <c r="AL1629">
        <v>16</v>
      </c>
      <c r="AM1629">
        <v>0</v>
      </c>
      <c r="AN1629">
        <v>0</v>
      </c>
      <c r="AO1629">
        <v>0</v>
      </c>
      <c r="AP1629">
        <v>1</v>
      </c>
      <c r="AQ1629">
        <v>0.01</v>
      </c>
      <c r="AX1629">
        <v>7</v>
      </c>
      <c r="AY1629" s="1">
        <v>17</v>
      </c>
      <c r="AZ1629">
        <v>0</v>
      </c>
      <c r="BA1629">
        <v>0</v>
      </c>
      <c r="BB1629">
        <v>1</v>
      </c>
      <c r="BC1629" s="7">
        <v>0.32</v>
      </c>
      <c r="BD1629">
        <v>30</v>
      </c>
      <c r="BE1629">
        <v>0</v>
      </c>
      <c r="BF1629">
        <v>0</v>
      </c>
      <c r="BG1629">
        <v>0</v>
      </c>
      <c r="BH1629">
        <v>5</v>
      </c>
      <c r="BI1629">
        <v>2.4</v>
      </c>
      <c r="BJ1629">
        <v>31</v>
      </c>
      <c r="BK1629">
        <v>0</v>
      </c>
      <c r="BL1629">
        <v>0</v>
      </c>
      <c r="BM1629">
        <v>0</v>
      </c>
      <c r="BN1629">
        <v>5</v>
      </c>
      <c r="BO1629">
        <v>2.4</v>
      </c>
      <c r="BP1629">
        <v>36</v>
      </c>
      <c r="BQ1629">
        <v>0</v>
      </c>
      <c r="BR1629">
        <v>0</v>
      </c>
      <c r="BS1629">
        <v>0</v>
      </c>
      <c r="BT1629">
        <v>5</v>
      </c>
      <c r="BU1629">
        <v>1.6</v>
      </c>
    </row>
    <row r="1630" spans="1:73" ht="14.25" x14ac:dyDescent="0.15">
      <c r="A1630" s="12">
        <v>30727</v>
      </c>
      <c r="B1630">
        <v>7</v>
      </c>
      <c r="C1630" s="1">
        <v>46</v>
      </c>
      <c r="D1630">
        <v>0</v>
      </c>
      <c r="E1630">
        <v>0</v>
      </c>
      <c r="F1630">
        <v>1</v>
      </c>
      <c r="G1630" s="7">
        <v>0.05</v>
      </c>
      <c r="H1630">
        <v>12</v>
      </c>
      <c r="I1630">
        <v>0</v>
      </c>
      <c r="J1630">
        <v>0</v>
      </c>
      <c r="K1630">
        <v>0</v>
      </c>
      <c r="L1630">
        <v>1</v>
      </c>
      <c r="M1630">
        <v>2</v>
      </c>
      <c r="N1630" s="7">
        <v>9</v>
      </c>
      <c r="O1630" s="7">
        <v>0</v>
      </c>
      <c r="P1630" s="7">
        <v>0</v>
      </c>
      <c r="Q1630" s="7">
        <v>0</v>
      </c>
      <c r="R1630" s="7">
        <v>1</v>
      </c>
      <c r="S1630" s="7">
        <v>4.5</v>
      </c>
      <c r="T1630">
        <v>7</v>
      </c>
      <c r="U1630" s="1">
        <v>34</v>
      </c>
      <c r="V1630">
        <v>0</v>
      </c>
      <c r="W1630">
        <v>0</v>
      </c>
      <c r="X1630">
        <v>1</v>
      </c>
      <c r="Y1630">
        <v>0.16</v>
      </c>
      <c r="Z1630">
        <v>23</v>
      </c>
      <c r="AA1630">
        <v>0</v>
      </c>
      <c r="AB1630">
        <v>0</v>
      </c>
      <c r="AC1630">
        <v>0</v>
      </c>
      <c r="AD1630">
        <v>1</v>
      </c>
      <c r="AE1630">
        <v>0.05</v>
      </c>
      <c r="AF1630">
        <v>15</v>
      </c>
      <c r="AG1630">
        <v>0</v>
      </c>
      <c r="AH1630">
        <v>0</v>
      </c>
      <c r="AI1630">
        <v>0</v>
      </c>
      <c r="AJ1630">
        <v>1</v>
      </c>
      <c r="AK1630">
        <v>0.02</v>
      </c>
      <c r="AL1630">
        <v>16</v>
      </c>
      <c r="AM1630">
        <v>0</v>
      </c>
      <c r="AN1630">
        <v>0</v>
      </c>
      <c r="AO1630">
        <v>0</v>
      </c>
      <c r="AP1630">
        <v>1</v>
      </c>
      <c r="AQ1630">
        <v>0.01</v>
      </c>
      <c r="AX1630">
        <v>7</v>
      </c>
      <c r="AY1630" s="1">
        <v>18</v>
      </c>
      <c r="AZ1630">
        <v>0</v>
      </c>
      <c r="BA1630">
        <v>0</v>
      </c>
      <c r="BB1630">
        <v>1</v>
      </c>
      <c r="BC1630" s="7">
        <v>0.32</v>
      </c>
      <c r="BD1630">
        <v>30</v>
      </c>
      <c r="BE1630">
        <v>0</v>
      </c>
      <c r="BF1630">
        <v>0</v>
      </c>
      <c r="BG1630">
        <v>0</v>
      </c>
      <c r="BH1630">
        <v>5</v>
      </c>
      <c r="BI1630">
        <v>2.4</v>
      </c>
      <c r="BJ1630">
        <v>31</v>
      </c>
      <c r="BK1630">
        <v>0</v>
      </c>
      <c r="BL1630">
        <v>0</v>
      </c>
      <c r="BM1630">
        <v>0</v>
      </c>
      <c r="BN1630">
        <v>5</v>
      </c>
      <c r="BO1630">
        <v>2.4</v>
      </c>
      <c r="BP1630">
        <v>36</v>
      </c>
      <c r="BQ1630">
        <v>0</v>
      </c>
      <c r="BR1630">
        <v>0</v>
      </c>
      <c r="BS1630">
        <v>0</v>
      </c>
      <c r="BT1630">
        <v>5</v>
      </c>
      <c r="BU1630">
        <v>1.6</v>
      </c>
    </row>
    <row r="1631" spans="1:73" ht="14.25" x14ac:dyDescent="0.15">
      <c r="A1631" s="12">
        <v>30728</v>
      </c>
      <c r="B1631">
        <v>7</v>
      </c>
      <c r="C1631" s="1">
        <v>47</v>
      </c>
      <c r="D1631">
        <v>0</v>
      </c>
      <c r="E1631">
        <v>0</v>
      </c>
      <c r="F1631">
        <v>1</v>
      </c>
      <c r="G1631" s="7">
        <v>0.05</v>
      </c>
      <c r="H1631">
        <v>12</v>
      </c>
      <c r="I1631">
        <v>0</v>
      </c>
      <c r="J1631">
        <v>0</v>
      </c>
      <c r="K1631">
        <v>0</v>
      </c>
      <c r="L1631">
        <v>1</v>
      </c>
      <c r="M1631">
        <v>2</v>
      </c>
      <c r="N1631" s="7">
        <v>9</v>
      </c>
      <c r="O1631" s="7">
        <v>0</v>
      </c>
      <c r="P1631" s="7">
        <v>0</v>
      </c>
      <c r="Q1631" s="7">
        <v>0</v>
      </c>
      <c r="R1631" s="7">
        <v>1</v>
      </c>
      <c r="S1631" s="7">
        <v>4.5</v>
      </c>
      <c r="T1631">
        <v>7</v>
      </c>
      <c r="U1631" s="1">
        <v>35</v>
      </c>
      <c r="V1631">
        <v>0</v>
      </c>
      <c r="W1631">
        <v>0</v>
      </c>
      <c r="X1631">
        <v>1</v>
      </c>
      <c r="Y1631">
        <v>0.16</v>
      </c>
      <c r="Z1631">
        <v>23</v>
      </c>
      <c r="AA1631">
        <v>0</v>
      </c>
      <c r="AB1631">
        <v>0</v>
      </c>
      <c r="AC1631">
        <v>0</v>
      </c>
      <c r="AD1631">
        <v>1</v>
      </c>
      <c r="AE1631">
        <v>0.05</v>
      </c>
      <c r="AF1631">
        <v>15</v>
      </c>
      <c r="AG1631">
        <v>0</v>
      </c>
      <c r="AH1631">
        <v>0</v>
      </c>
      <c r="AI1631">
        <v>0</v>
      </c>
      <c r="AJ1631">
        <v>1</v>
      </c>
      <c r="AK1631">
        <v>0.02</v>
      </c>
      <c r="AL1631">
        <v>16</v>
      </c>
      <c r="AM1631">
        <v>0</v>
      </c>
      <c r="AN1631">
        <v>0</v>
      </c>
      <c r="AO1631">
        <v>0</v>
      </c>
      <c r="AP1631">
        <v>1</v>
      </c>
      <c r="AQ1631">
        <v>0.01</v>
      </c>
      <c r="AX1631">
        <v>7</v>
      </c>
      <c r="AY1631" s="1">
        <v>19</v>
      </c>
      <c r="AZ1631">
        <v>0</v>
      </c>
      <c r="BA1631">
        <v>0</v>
      </c>
      <c r="BB1631">
        <v>1</v>
      </c>
      <c r="BC1631" s="7">
        <v>0.32</v>
      </c>
      <c r="BD1631">
        <v>30</v>
      </c>
      <c r="BE1631">
        <v>0</v>
      </c>
      <c r="BF1631">
        <v>0</v>
      </c>
      <c r="BG1631">
        <v>0</v>
      </c>
      <c r="BH1631">
        <v>5</v>
      </c>
      <c r="BI1631">
        <v>2.4</v>
      </c>
      <c r="BJ1631">
        <v>31</v>
      </c>
      <c r="BK1631">
        <v>0</v>
      </c>
      <c r="BL1631">
        <v>0</v>
      </c>
      <c r="BM1631">
        <v>0</v>
      </c>
      <c r="BN1631">
        <v>5</v>
      </c>
      <c r="BO1631">
        <v>2.4</v>
      </c>
      <c r="BP1631">
        <v>36</v>
      </c>
      <c r="BQ1631">
        <v>0</v>
      </c>
      <c r="BR1631">
        <v>0</v>
      </c>
      <c r="BS1631">
        <v>0</v>
      </c>
      <c r="BT1631">
        <v>5</v>
      </c>
      <c r="BU1631">
        <v>1.6</v>
      </c>
    </row>
    <row r="1632" spans="1:73" ht="14.25" x14ac:dyDescent="0.15">
      <c r="A1632" s="12">
        <v>30729</v>
      </c>
      <c r="B1632">
        <v>7</v>
      </c>
      <c r="C1632" s="1">
        <v>48</v>
      </c>
      <c r="D1632">
        <v>0</v>
      </c>
      <c r="E1632">
        <v>0</v>
      </c>
      <c r="F1632">
        <v>1</v>
      </c>
      <c r="G1632" s="7">
        <v>0.05</v>
      </c>
      <c r="H1632">
        <v>12</v>
      </c>
      <c r="I1632">
        <v>0</v>
      </c>
      <c r="J1632">
        <v>0</v>
      </c>
      <c r="K1632">
        <v>0</v>
      </c>
      <c r="L1632">
        <v>1</v>
      </c>
      <c r="M1632">
        <v>2</v>
      </c>
      <c r="N1632" s="7">
        <v>9</v>
      </c>
      <c r="O1632" s="7">
        <v>0</v>
      </c>
      <c r="P1632" s="7">
        <v>0</v>
      </c>
      <c r="Q1632" s="7">
        <v>0</v>
      </c>
      <c r="R1632" s="7">
        <v>1</v>
      </c>
      <c r="S1632" s="7">
        <v>4.5</v>
      </c>
      <c r="T1632">
        <v>7</v>
      </c>
      <c r="U1632" s="1">
        <v>36</v>
      </c>
      <c r="V1632">
        <v>0</v>
      </c>
      <c r="W1632">
        <v>0</v>
      </c>
      <c r="X1632">
        <v>1</v>
      </c>
      <c r="Y1632">
        <v>0.16</v>
      </c>
      <c r="Z1632">
        <v>23</v>
      </c>
      <c r="AA1632">
        <v>0</v>
      </c>
      <c r="AB1632">
        <v>0</v>
      </c>
      <c r="AC1632">
        <v>0</v>
      </c>
      <c r="AD1632">
        <v>1</v>
      </c>
      <c r="AE1632">
        <v>0.05</v>
      </c>
      <c r="AF1632">
        <v>15</v>
      </c>
      <c r="AG1632">
        <v>0</v>
      </c>
      <c r="AH1632">
        <v>0</v>
      </c>
      <c r="AI1632">
        <v>0</v>
      </c>
      <c r="AJ1632">
        <v>1</v>
      </c>
      <c r="AK1632">
        <v>0.02</v>
      </c>
      <c r="AL1632">
        <v>16</v>
      </c>
      <c r="AM1632">
        <v>0</v>
      </c>
      <c r="AN1632">
        <v>0</v>
      </c>
      <c r="AO1632">
        <v>0</v>
      </c>
      <c r="AP1632">
        <v>1</v>
      </c>
      <c r="AQ1632">
        <v>0.01</v>
      </c>
      <c r="AX1632">
        <v>7</v>
      </c>
      <c r="AY1632" s="1">
        <v>20</v>
      </c>
      <c r="AZ1632">
        <v>0</v>
      </c>
      <c r="BA1632">
        <v>0</v>
      </c>
      <c r="BB1632">
        <v>1</v>
      </c>
      <c r="BC1632" s="7">
        <v>0.32</v>
      </c>
      <c r="BD1632">
        <v>30</v>
      </c>
      <c r="BE1632">
        <v>0</v>
      </c>
      <c r="BF1632">
        <v>0</v>
      </c>
      <c r="BG1632">
        <v>0</v>
      </c>
      <c r="BH1632">
        <v>5</v>
      </c>
      <c r="BI1632">
        <v>2.4</v>
      </c>
      <c r="BJ1632">
        <v>31</v>
      </c>
      <c r="BK1632">
        <v>0</v>
      </c>
      <c r="BL1632">
        <v>0</v>
      </c>
      <c r="BM1632">
        <v>0</v>
      </c>
      <c r="BN1632">
        <v>5</v>
      </c>
      <c r="BO1632">
        <v>2.4</v>
      </c>
      <c r="BP1632">
        <v>36</v>
      </c>
      <c r="BQ1632">
        <v>0</v>
      </c>
      <c r="BR1632">
        <v>0</v>
      </c>
      <c r="BS1632">
        <v>0</v>
      </c>
      <c r="BT1632">
        <v>5</v>
      </c>
      <c r="BU1632">
        <v>1.6</v>
      </c>
    </row>
    <row r="1633" spans="1:73" ht="14.25" x14ac:dyDescent="0.15">
      <c r="A1633" s="12">
        <v>30730</v>
      </c>
      <c r="B1633">
        <v>7</v>
      </c>
      <c r="C1633" s="1">
        <v>0</v>
      </c>
      <c r="D1633">
        <v>5</v>
      </c>
      <c r="E1633">
        <v>1</v>
      </c>
      <c r="F1633">
        <v>1</v>
      </c>
      <c r="G1633" s="7">
        <v>0.05</v>
      </c>
      <c r="H1633">
        <v>12</v>
      </c>
      <c r="I1633">
        <v>0</v>
      </c>
      <c r="J1633">
        <v>0</v>
      </c>
      <c r="K1633">
        <v>0</v>
      </c>
      <c r="L1633">
        <v>1</v>
      </c>
      <c r="M1633">
        <v>2</v>
      </c>
      <c r="N1633" s="7">
        <v>9</v>
      </c>
      <c r="O1633" s="7">
        <v>0</v>
      </c>
      <c r="P1633" s="7">
        <v>0</v>
      </c>
      <c r="Q1633" s="7">
        <v>0</v>
      </c>
      <c r="R1633" s="7">
        <v>1</v>
      </c>
      <c r="S1633" s="7">
        <v>4.5</v>
      </c>
      <c r="T1633">
        <v>7</v>
      </c>
      <c r="U1633" s="1">
        <v>0</v>
      </c>
      <c r="V1633">
        <v>4</v>
      </c>
      <c r="W1633">
        <v>2</v>
      </c>
      <c r="X1633">
        <v>1</v>
      </c>
      <c r="Y1633">
        <v>0.16</v>
      </c>
      <c r="Z1633">
        <v>23</v>
      </c>
      <c r="AA1633">
        <v>0</v>
      </c>
      <c r="AB1633">
        <v>0</v>
      </c>
      <c r="AC1633">
        <v>0</v>
      </c>
      <c r="AD1633">
        <v>1</v>
      </c>
      <c r="AE1633">
        <v>0.05</v>
      </c>
      <c r="AF1633">
        <v>15</v>
      </c>
      <c r="AG1633">
        <v>0</v>
      </c>
      <c r="AH1633">
        <v>0</v>
      </c>
      <c r="AI1633">
        <v>0</v>
      </c>
      <c r="AJ1633">
        <v>1</v>
      </c>
      <c r="AK1633">
        <v>0.02</v>
      </c>
      <c r="AL1633">
        <v>16</v>
      </c>
      <c r="AM1633">
        <v>0</v>
      </c>
      <c r="AN1633">
        <v>0</v>
      </c>
      <c r="AO1633">
        <v>0</v>
      </c>
      <c r="AP1633">
        <v>1</v>
      </c>
      <c r="AQ1633">
        <v>0.01</v>
      </c>
      <c r="AR1633">
        <v>6</v>
      </c>
      <c r="AS1633">
        <v>2</v>
      </c>
      <c r="AT1633">
        <v>1</v>
      </c>
      <c r="AU1633">
        <v>5</v>
      </c>
      <c r="AV1633">
        <v>1</v>
      </c>
      <c r="AW1633">
        <v>0.05</v>
      </c>
      <c r="AX1633">
        <v>7</v>
      </c>
      <c r="AY1633" s="1">
        <v>0</v>
      </c>
      <c r="AZ1633">
        <v>3</v>
      </c>
      <c r="BA1633">
        <v>1</v>
      </c>
      <c r="BB1633">
        <v>1</v>
      </c>
      <c r="BC1633" s="7">
        <v>0.32</v>
      </c>
      <c r="BD1633">
        <v>30</v>
      </c>
      <c r="BE1633">
        <v>0</v>
      </c>
      <c r="BF1633">
        <v>0</v>
      </c>
      <c r="BG1633">
        <v>0</v>
      </c>
      <c r="BH1633">
        <v>5</v>
      </c>
      <c r="BI1633">
        <v>2.4</v>
      </c>
      <c r="BJ1633">
        <v>31</v>
      </c>
      <c r="BK1633">
        <v>0</v>
      </c>
      <c r="BL1633">
        <v>0</v>
      </c>
      <c r="BM1633">
        <v>0</v>
      </c>
      <c r="BN1633">
        <v>5</v>
      </c>
      <c r="BO1633">
        <v>2.4</v>
      </c>
      <c r="BP1633">
        <v>36</v>
      </c>
      <c r="BQ1633">
        <v>0</v>
      </c>
      <c r="BR1633">
        <v>0</v>
      </c>
      <c r="BS1633">
        <v>0</v>
      </c>
      <c r="BT1633">
        <v>5</v>
      </c>
      <c r="BU1633">
        <v>1.6</v>
      </c>
    </row>
    <row r="1634" spans="1:73" ht="14.25" x14ac:dyDescent="0.15">
      <c r="A1634" s="12">
        <v>30731</v>
      </c>
      <c r="B1634">
        <v>7</v>
      </c>
      <c r="C1634" s="1">
        <v>45</v>
      </c>
      <c r="D1634">
        <v>0</v>
      </c>
      <c r="E1634">
        <v>0</v>
      </c>
      <c r="F1634">
        <v>1</v>
      </c>
      <c r="G1634" s="7">
        <v>0.05</v>
      </c>
      <c r="H1634">
        <v>12</v>
      </c>
      <c r="I1634">
        <v>0</v>
      </c>
      <c r="J1634">
        <v>0</v>
      </c>
      <c r="K1634">
        <v>0</v>
      </c>
      <c r="L1634">
        <v>1</v>
      </c>
      <c r="M1634">
        <v>2</v>
      </c>
      <c r="N1634" s="7">
        <v>9</v>
      </c>
      <c r="O1634" s="7">
        <v>0</v>
      </c>
      <c r="P1634" s="7">
        <v>0</v>
      </c>
      <c r="Q1634" s="7">
        <v>0</v>
      </c>
      <c r="R1634" s="7">
        <v>1</v>
      </c>
      <c r="S1634" s="7">
        <v>4.5</v>
      </c>
      <c r="T1634">
        <v>7</v>
      </c>
      <c r="U1634" s="1">
        <v>33</v>
      </c>
      <c r="V1634">
        <v>0</v>
      </c>
      <c r="W1634">
        <v>0</v>
      </c>
      <c r="X1634">
        <v>1</v>
      </c>
      <c r="Y1634">
        <v>0.16</v>
      </c>
      <c r="Z1634">
        <v>23</v>
      </c>
      <c r="AA1634">
        <v>0</v>
      </c>
      <c r="AB1634">
        <v>0</v>
      </c>
      <c r="AC1634">
        <v>0</v>
      </c>
      <c r="AD1634">
        <v>1</v>
      </c>
      <c r="AE1634">
        <v>0.05</v>
      </c>
      <c r="AF1634">
        <v>15</v>
      </c>
      <c r="AG1634">
        <v>0</v>
      </c>
      <c r="AH1634">
        <v>0</v>
      </c>
      <c r="AI1634">
        <v>0</v>
      </c>
      <c r="AJ1634">
        <v>1</v>
      </c>
      <c r="AK1634">
        <v>0.02</v>
      </c>
      <c r="AL1634">
        <v>16</v>
      </c>
      <c r="AM1634">
        <v>0</v>
      </c>
      <c r="AN1634">
        <v>0</v>
      </c>
      <c r="AO1634">
        <v>0</v>
      </c>
      <c r="AP1634">
        <v>1</v>
      </c>
      <c r="AQ1634">
        <v>0.01</v>
      </c>
      <c r="AX1634">
        <v>7</v>
      </c>
      <c r="AY1634" s="1">
        <v>17</v>
      </c>
      <c r="AZ1634">
        <v>0</v>
      </c>
      <c r="BA1634">
        <v>0</v>
      </c>
      <c r="BB1634">
        <v>1</v>
      </c>
      <c r="BC1634" s="7">
        <v>0.32</v>
      </c>
      <c r="BD1634">
        <v>30</v>
      </c>
      <c r="BE1634">
        <v>0</v>
      </c>
      <c r="BF1634">
        <v>0</v>
      </c>
      <c r="BG1634">
        <v>0</v>
      </c>
      <c r="BH1634">
        <v>5</v>
      </c>
      <c r="BI1634">
        <v>2.4</v>
      </c>
      <c r="BJ1634">
        <v>31</v>
      </c>
      <c r="BK1634">
        <v>0</v>
      </c>
      <c r="BL1634">
        <v>0</v>
      </c>
      <c r="BM1634">
        <v>0</v>
      </c>
      <c r="BN1634">
        <v>5</v>
      </c>
      <c r="BO1634">
        <v>2.4</v>
      </c>
      <c r="BP1634">
        <v>36</v>
      </c>
      <c r="BQ1634">
        <v>0</v>
      </c>
      <c r="BR1634">
        <v>0</v>
      </c>
      <c r="BS1634">
        <v>0</v>
      </c>
      <c r="BT1634">
        <v>5</v>
      </c>
      <c r="BU1634">
        <v>1.6</v>
      </c>
    </row>
    <row r="1635" spans="1:73" ht="14.25" x14ac:dyDescent="0.15">
      <c r="A1635" s="12">
        <v>30732</v>
      </c>
      <c r="B1635">
        <v>7</v>
      </c>
      <c r="C1635" s="1">
        <v>46</v>
      </c>
      <c r="D1635">
        <v>0</v>
      </c>
      <c r="E1635">
        <v>0</v>
      </c>
      <c r="F1635">
        <v>1</v>
      </c>
      <c r="G1635" s="7">
        <v>0.05</v>
      </c>
      <c r="H1635">
        <v>12</v>
      </c>
      <c r="I1635">
        <v>0</v>
      </c>
      <c r="J1635">
        <v>0</v>
      </c>
      <c r="K1635">
        <v>0</v>
      </c>
      <c r="L1635">
        <v>1</v>
      </c>
      <c r="M1635">
        <v>2</v>
      </c>
      <c r="N1635" s="7">
        <v>9</v>
      </c>
      <c r="O1635" s="7">
        <v>0</v>
      </c>
      <c r="P1635" s="7">
        <v>0</v>
      </c>
      <c r="Q1635" s="7">
        <v>0</v>
      </c>
      <c r="R1635" s="7">
        <v>1</v>
      </c>
      <c r="S1635" s="7">
        <v>4.5</v>
      </c>
      <c r="T1635">
        <v>7</v>
      </c>
      <c r="U1635" s="1">
        <v>34</v>
      </c>
      <c r="V1635">
        <v>0</v>
      </c>
      <c r="W1635">
        <v>0</v>
      </c>
      <c r="X1635">
        <v>1</v>
      </c>
      <c r="Y1635">
        <v>0.16</v>
      </c>
      <c r="Z1635">
        <v>23</v>
      </c>
      <c r="AA1635">
        <v>0</v>
      </c>
      <c r="AB1635">
        <v>0</v>
      </c>
      <c r="AC1635">
        <v>0</v>
      </c>
      <c r="AD1635">
        <v>1</v>
      </c>
      <c r="AE1635">
        <v>0.05</v>
      </c>
      <c r="AF1635">
        <v>15</v>
      </c>
      <c r="AG1635">
        <v>0</v>
      </c>
      <c r="AH1635">
        <v>0</v>
      </c>
      <c r="AI1635">
        <v>0</v>
      </c>
      <c r="AJ1635">
        <v>1</v>
      </c>
      <c r="AK1635">
        <v>0.02</v>
      </c>
      <c r="AL1635">
        <v>16</v>
      </c>
      <c r="AM1635">
        <v>0</v>
      </c>
      <c r="AN1635">
        <v>0</v>
      </c>
      <c r="AO1635">
        <v>0</v>
      </c>
      <c r="AP1635">
        <v>1</v>
      </c>
      <c r="AQ1635">
        <v>0.01</v>
      </c>
      <c r="AX1635">
        <v>7</v>
      </c>
      <c r="AY1635" s="1">
        <v>18</v>
      </c>
      <c r="AZ1635">
        <v>0</v>
      </c>
      <c r="BA1635">
        <v>0</v>
      </c>
      <c r="BB1635">
        <v>1</v>
      </c>
      <c r="BC1635" s="7">
        <v>0.32</v>
      </c>
      <c r="BD1635">
        <v>30</v>
      </c>
      <c r="BE1635">
        <v>0</v>
      </c>
      <c r="BF1635">
        <v>0</v>
      </c>
      <c r="BG1635">
        <v>0</v>
      </c>
      <c r="BH1635">
        <v>5</v>
      </c>
      <c r="BI1635">
        <v>2.4</v>
      </c>
      <c r="BJ1635">
        <v>31</v>
      </c>
      <c r="BK1635">
        <v>0</v>
      </c>
      <c r="BL1635">
        <v>0</v>
      </c>
      <c r="BM1635">
        <v>0</v>
      </c>
      <c r="BN1635">
        <v>5</v>
      </c>
      <c r="BO1635">
        <v>2.4</v>
      </c>
      <c r="BP1635">
        <v>36</v>
      </c>
      <c r="BQ1635">
        <v>0</v>
      </c>
      <c r="BR1635">
        <v>0</v>
      </c>
      <c r="BS1635">
        <v>0</v>
      </c>
      <c r="BT1635">
        <v>5</v>
      </c>
      <c r="BU1635">
        <v>1.6</v>
      </c>
    </row>
    <row r="1636" spans="1:73" ht="14.25" x14ac:dyDescent="0.15">
      <c r="A1636" s="12">
        <v>30733</v>
      </c>
      <c r="B1636">
        <v>7</v>
      </c>
      <c r="C1636" s="1">
        <v>47</v>
      </c>
      <c r="D1636">
        <v>0</v>
      </c>
      <c r="E1636">
        <v>0</v>
      </c>
      <c r="F1636">
        <v>1</v>
      </c>
      <c r="G1636" s="7">
        <v>0.05</v>
      </c>
      <c r="H1636">
        <v>12</v>
      </c>
      <c r="I1636">
        <v>0</v>
      </c>
      <c r="J1636">
        <v>0</v>
      </c>
      <c r="K1636">
        <v>0</v>
      </c>
      <c r="L1636">
        <v>1</v>
      </c>
      <c r="M1636">
        <v>2</v>
      </c>
      <c r="N1636" s="7">
        <v>9</v>
      </c>
      <c r="O1636" s="7">
        <v>0</v>
      </c>
      <c r="P1636" s="7">
        <v>0</v>
      </c>
      <c r="Q1636" s="7">
        <v>0</v>
      </c>
      <c r="R1636" s="7">
        <v>1</v>
      </c>
      <c r="S1636" s="7">
        <v>4.5</v>
      </c>
      <c r="T1636">
        <v>7</v>
      </c>
      <c r="U1636" s="1">
        <v>35</v>
      </c>
      <c r="V1636">
        <v>0</v>
      </c>
      <c r="W1636">
        <v>0</v>
      </c>
      <c r="X1636">
        <v>1</v>
      </c>
      <c r="Y1636">
        <v>0.16</v>
      </c>
      <c r="Z1636">
        <v>23</v>
      </c>
      <c r="AA1636">
        <v>0</v>
      </c>
      <c r="AB1636">
        <v>0</v>
      </c>
      <c r="AC1636">
        <v>0</v>
      </c>
      <c r="AD1636">
        <v>1</v>
      </c>
      <c r="AE1636">
        <v>0.05</v>
      </c>
      <c r="AF1636">
        <v>15</v>
      </c>
      <c r="AG1636">
        <v>0</v>
      </c>
      <c r="AH1636">
        <v>0</v>
      </c>
      <c r="AI1636">
        <v>0</v>
      </c>
      <c r="AJ1636">
        <v>1</v>
      </c>
      <c r="AK1636">
        <v>0.02</v>
      </c>
      <c r="AL1636">
        <v>16</v>
      </c>
      <c r="AM1636">
        <v>0</v>
      </c>
      <c r="AN1636">
        <v>0</v>
      </c>
      <c r="AO1636">
        <v>0</v>
      </c>
      <c r="AP1636">
        <v>1</v>
      </c>
      <c r="AQ1636">
        <v>0.01</v>
      </c>
      <c r="AX1636">
        <v>7</v>
      </c>
      <c r="AY1636" s="1">
        <v>19</v>
      </c>
      <c r="AZ1636">
        <v>0</v>
      </c>
      <c r="BA1636">
        <v>0</v>
      </c>
      <c r="BB1636">
        <v>1</v>
      </c>
      <c r="BC1636" s="7">
        <v>0.32</v>
      </c>
      <c r="BD1636">
        <v>30</v>
      </c>
      <c r="BE1636">
        <v>0</v>
      </c>
      <c r="BF1636">
        <v>0</v>
      </c>
      <c r="BG1636">
        <v>0</v>
      </c>
      <c r="BH1636">
        <v>5</v>
      </c>
      <c r="BI1636">
        <v>2.4</v>
      </c>
      <c r="BJ1636">
        <v>31</v>
      </c>
      <c r="BK1636">
        <v>0</v>
      </c>
      <c r="BL1636">
        <v>0</v>
      </c>
      <c r="BM1636">
        <v>0</v>
      </c>
      <c r="BN1636">
        <v>5</v>
      </c>
      <c r="BO1636">
        <v>2.4</v>
      </c>
      <c r="BP1636">
        <v>36</v>
      </c>
      <c r="BQ1636">
        <v>0</v>
      </c>
      <c r="BR1636">
        <v>0</v>
      </c>
      <c r="BS1636">
        <v>0</v>
      </c>
      <c r="BT1636">
        <v>5</v>
      </c>
      <c r="BU1636">
        <v>1.6</v>
      </c>
    </row>
    <row r="1637" spans="1:73" ht="14.25" x14ac:dyDescent="0.15">
      <c r="A1637" s="12">
        <v>30734</v>
      </c>
      <c r="B1637">
        <v>7</v>
      </c>
      <c r="C1637" s="1">
        <v>48</v>
      </c>
      <c r="D1637">
        <v>0</v>
      </c>
      <c r="E1637">
        <v>0</v>
      </c>
      <c r="F1637">
        <v>1</v>
      </c>
      <c r="G1637" s="7">
        <v>0.05</v>
      </c>
      <c r="H1637">
        <v>12</v>
      </c>
      <c r="I1637">
        <v>0</v>
      </c>
      <c r="J1637">
        <v>0</v>
      </c>
      <c r="K1637">
        <v>0</v>
      </c>
      <c r="L1637">
        <v>1</v>
      </c>
      <c r="M1637">
        <v>2</v>
      </c>
      <c r="N1637" s="7">
        <v>9</v>
      </c>
      <c r="O1637" s="7">
        <v>0</v>
      </c>
      <c r="P1637" s="7">
        <v>0</v>
      </c>
      <c r="Q1637" s="7">
        <v>0</v>
      </c>
      <c r="R1637" s="7">
        <v>1</v>
      </c>
      <c r="S1637" s="7">
        <v>4.5</v>
      </c>
      <c r="T1637">
        <v>7</v>
      </c>
      <c r="U1637" s="1">
        <v>36</v>
      </c>
      <c r="V1637">
        <v>0</v>
      </c>
      <c r="W1637">
        <v>0</v>
      </c>
      <c r="X1637">
        <v>1</v>
      </c>
      <c r="Y1637">
        <v>0.16</v>
      </c>
      <c r="Z1637">
        <v>23</v>
      </c>
      <c r="AA1637">
        <v>0</v>
      </c>
      <c r="AB1637">
        <v>0</v>
      </c>
      <c r="AC1637">
        <v>0</v>
      </c>
      <c r="AD1637">
        <v>1</v>
      </c>
      <c r="AE1637">
        <v>0.05</v>
      </c>
      <c r="AF1637">
        <v>15</v>
      </c>
      <c r="AG1637">
        <v>0</v>
      </c>
      <c r="AH1637">
        <v>0</v>
      </c>
      <c r="AI1637">
        <v>0</v>
      </c>
      <c r="AJ1637">
        <v>1</v>
      </c>
      <c r="AK1637">
        <v>0.02</v>
      </c>
      <c r="AL1637">
        <v>16</v>
      </c>
      <c r="AM1637">
        <v>0</v>
      </c>
      <c r="AN1637">
        <v>0</v>
      </c>
      <c r="AO1637">
        <v>0</v>
      </c>
      <c r="AP1637">
        <v>1</v>
      </c>
      <c r="AQ1637">
        <v>0.01</v>
      </c>
      <c r="AX1637">
        <v>7</v>
      </c>
      <c r="AY1637" s="1">
        <v>20</v>
      </c>
      <c r="AZ1637">
        <v>0</v>
      </c>
      <c r="BA1637">
        <v>0</v>
      </c>
      <c r="BB1637">
        <v>1</v>
      </c>
      <c r="BC1637" s="7">
        <v>0.32</v>
      </c>
      <c r="BD1637">
        <v>30</v>
      </c>
      <c r="BE1637">
        <v>0</v>
      </c>
      <c r="BF1637">
        <v>0</v>
      </c>
      <c r="BG1637">
        <v>0</v>
      </c>
      <c r="BH1637">
        <v>5</v>
      </c>
      <c r="BI1637">
        <v>2.4</v>
      </c>
      <c r="BJ1637">
        <v>31</v>
      </c>
      <c r="BK1637">
        <v>0</v>
      </c>
      <c r="BL1637">
        <v>0</v>
      </c>
      <c r="BM1637">
        <v>0</v>
      </c>
      <c r="BN1637">
        <v>5</v>
      </c>
      <c r="BO1637">
        <v>2.4</v>
      </c>
      <c r="BP1637">
        <v>36</v>
      </c>
      <c r="BQ1637">
        <v>0</v>
      </c>
      <c r="BR1637">
        <v>0</v>
      </c>
      <c r="BS1637">
        <v>0</v>
      </c>
      <c r="BT1637">
        <v>5</v>
      </c>
      <c r="BU1637">
        <v>1.6</v>
      </c>
    </row>
    <row r="1638" spans="1:73" ht="14.25" x14ac:dyDescent="0.15">
      <c r="A1638" s="12">
        <v>30735</v>
      </c>
      <c r="B1638">
        <v>7</v>
      </c>
      <c r="C1638" s="1">
        <v>0</v>
      </c>
      <c r="D1638">
        <v>5</v>
      </c>
      <c r="E1638">
        <v>1</v>
      </c>
      <c r="F1638">
        <v>1</v>
      </c>
      <c r="G1638" s="7">
        <v>0.05</v>
      </c>
      <c r="H1638">
        <v>12</v>
      </c>
      <c r="I1638">
        <v>0</v>
      </c>
      <c r="J1638">
        <v>0</v>
      </c>
      <c r="K1638">
        <v>0</v>
      </c>
      <c r="L1638">
        <v>1</v>
      </c>
      <c r="M1638">
        <v>2</v>
      </c>
      <c r="N1638" s="7">
        <v>9</v>
      </c>
      <c r="O1638" s="7">
        <v>0</v>
      </c>
      <c r="P1638" s="7">
        <v>0</v>
      </c>
      <c r="Q1638" s="7">
        <v>0</v>
      </c>
      <c r="R1638" s="7">
        <v>1</v>
      </c>
      <c r="S1638" s="7">
        <v>4.5</v>
      </c>
      <c r="T1638">
        <v>7</v>
      </c>
      <c r="U1638" s="1">
        <v>0</v>
      </c>
      <c r="V1638">
        <v>4</v>
      </c>
      <c r="W1638">
        <v>2</v>
      </c>
      <c r="X1638">
        <v>1</v>
      </c>
      <c r="Y1638">
        <v>0.16</v>
      </c>
      <c r="Z1638">
        <v>23</v>
      </c>
      <c r="AA1638">
        <v>0</v>
      </c>
      <c r="AB1638">
        <v>0</v>
      </c>
      <c r="AC1638">
        <v>0</v>
      </c>
      <c r="AD1638">
        <v>1</v>
      </c>
      <c r="AE1638">
        <v>0.05</v>
      </c>
      <c r="AF1638">
        <v>15</v>
      </c>
      <c r="AG1638">
        <v>0</v>
      </c>
      <c r="AH1638">
        <v>0</v>
      </c>
      <c r="AI1638">
        <v>0</v>
      </c>
      <c r="AJ1638">
        <v>1</v>
      </c>
      <c r="AK1638">
        <v>0.02</v>
      </c>
      <c r="AL1638">
        <v>16</v>
      </c>
      <c r="AM1638">
        <v>0</v>
      </c>
      <c r="AN1638">
        <v>0</v>
      </c>
      <c r="AO1638">
        <v>0</v>
      </c>
      <c r="AP1638">
        <v>1</v>
      </c>
      <c r="AQ1638">
        <v>0.01</v>
      </c>
      <c r="AR1638">
        <v>6</v>
      </c>
      <c r="AS1638">
        <v>2</v>
      </c>
      <c r="AT1638">
        <v>2</v>
      </c>
      <c r="AU1638">
        <v>5</v>
      </c>
      <c r="AV1638">
        <v>1</v>
      </c>
      <c r="AW1638">
        <v>0.05</v>
      </c>
      <c r="AX1638">
        <v>7</v>
      </c>
      <c r="AY1638" s="1">
        <v>0</v>
      </c>
      <c r="AZ1638">
        <v>3</v>
      </c>
      <c r="BA1638">
        <v>1</v>
      </c>
      <c r="BB1638">
        <v>1</v>
      </c>
      <c r="BC1638" s="7">
        <v>0.32</v>
      </c>
      <c r="BD1638">
        <v>30</v>
      </c>
      <c r="BE1638">
        <v>0</v>
      </c>
      <c r="BF1638">
        <v>0</v>
      </c>
      <c r="BG1638">
        <v>0</v>
      </c>
      <c r="BH1638">
        <v>5</v>
      </c>
      <c r="BI1638">
        <v>2.4</v>
      </c>
      <c r="BJ1638">
        <v>31</v>
      </c>
      <c r="BK1638">
        <v>0</v>
      </c>
      <c r="BL1638">
        <v>0</v>
      </c>
      <c r="BM1638">
        <v>0</v>
      </c>
      <c r="BN1638">
        <v>5</v>
      </c>
      <c r="BO1638">
        <v>2.4</v>
      </c>
      <c r="BP1638">
        <v>36</v>
      </c>
      <c r="BQ1638">
        <v>0</v>
      </c>
      <c r="BR1638">
        <v>0</v>
      </c>
      <c r="BS1638">
        <v>0</v>
      </c>
      <c r="BT1638">
        <v>5</v>
      </c>
      <c r="BU1638">
        <v>1.6</v>
      </c>
    </row>
    <row r="1639" spans="1:73" ht="14.25" x14ac:dyDescent="0.15">
      <c r="A1639" s="12">
        <v>30736</v>
      </c>
      <c r="B1639">
        <v>7</v>
      </c>
      <c r="C1639" s="1">
        <v>45</v>
      </c>
      <c r="D1639">
        <v>0</v>
      </c>
      <c r="E1639">
        <v>0</v>
      </c>
      <c r="F1639">
        <v>1</v>
      </c>
      <c r="G1639" s="7">
        <v>0.05</v>
      </c>
      <c r="H1639">
        <v>12</v>
      </c>
      <c r="I1639">
        <v>0</v>
      </c>
      <c r="J1639">
        <v>0</v>
      </c>
      <c r="K1639">
        <v>0</v>
      </c>
      <c r="L1639">
        <v>1</v>
      </c>
      <c r="M1639">
        <v>2</v>
      </c>
      <c r="N1639" s="7">
        <v>9</v>
      </c>
      <c r="O1639" s="7">
        <v>0</v>
      </c>
      <c r="P1639" s="7">
        <v>0</v>
      </c>
      <c r="Q1639" s="7">
        <v>0</v>
      </c>
      <c r="R1639" s="7">
        <v>1</v>
      </c>
      <c r="S1639" s="7">
        <v>4.5</v>
      </c>
      <c r="T1639">
        <v>7</v>
      </c>
      <c r="U1639" s="1">
        <v>33</v>
      </c>
      <c r="V1639">
        <v>0</v>
      </c>
      <c r="W1639">
        <v>0</v>
      </c>
      <c r="X1639">
        <v>1</v>
      </c>
      <c r="Y1639">
        <v>0.16</v>
      </c>
      <c r="Z1639">
        <v>23</v>
      </c>
      <c r="AA1639">
        <v>0</v>
      </c>
      <c r="AB1639">
        <v>0</v>
      </c>
      <c r="AC1639">
        <v>0</v>
      </c>
      <c r="AD1639">
        <v>1</v>
      </c>
      <c r="AE1639">
        <v>0.05</v>
      </c>
      <c r="AF1639">
        <v>15</v>
      </c>
      <c r="AG1639">
        <v>0</v>
      </c>
      <c r="AH1639">
        <v>0</v>
      </c>
      <c r="AI1639">
        <v>0</v>
      </c>
      <c r="AJ1639">
        <v>1</v>
      </c>
      <c r="AK1639">
        <v>0.02</v>
      </c>
      <c r="AL1639">
        <v>16</v>
      </c>
      <c r="AM1639">
        <v>0</v>
      </c>
      <c r="AN1639">
        <v>0</v>
      </c>
      <c r="AO1639">
        <v>0</v>
      </c>
      <c r="AP1639">
        <v>1</v>
      </c>
      <c r="AQ1639">
        <v>0.01</v>
      </c>
      <c r="AX1639">
        <v>7</v>
      </c>
      <c r="AY1639" s="1">
        <v>17</v>
      </c>
      <c r="AZ1639">
        <v>0</v>
      </c>
      <c r="BA1639">
        <v>0</v>
      </c>
      <c r="BB1639">
        <v>1</v>
      </c>
      <c r="BC1639" s="7">
        <v>0.32</v>
      </c>
      <c r="BD1639">
        <v>30</v>
      </c>
      <c r="BE1639">
        <v>0</v>
      </c>
      <c r="BF1639">
        <v>0</v>
      </c>
      <c r="BG1639">
        <v>0</v>
      </c>
      <c r="BH1639">
        <v>5</v>
      </c>
      <c r="BI1639">
        <v>2.4</v>
      </c>
      <c r="BJ1639">
        <v>31</v>
      </c>
      <c r="BK1639">
        <v>0</v>
      </c>
      <c r="BL1639">
        <v>0</v>
      </c>
      <c r="BM1639">
        <v>0</v>
      </c>
      <c r="BN1639">
        <v>5</v>
      </c>
      <c r="BO1639">
        <v>2.4</v>
      </c>
      <c r="BP1639">
        <v>36</v>
      </c>
      <c r="BQ1639">
        <v>0</v>
      </c>
      <c r="BR1639">
        <v>0</v>
      </c>
      <c r="BS1639">
        <v>0</v>
      </c>
      <c r="BT1639">
        <v>5</v>
      </c>
      <c r="BU1639">
        <v>1.6</v>
      </c>
    </row>
    <row r="1640" spans="1:73" ht="14.25" x14ac:dyDescent="0.15">
      <c r="A1640" s="12">
        <v>30737</v>
      </c>
      <c r="B1640">
        <v>7</v>
      </c>
      <c r="C1640" s="1">
        <v>46</v>
      </c>
      <c r="D1640">
        <v>0</v>
      </c>
      <c r="E1640">
        <v>0</v>
      </c>
      <c r="F1640">
        <v>1</v>
      </c>
      <c r="G1640" s="7">
        <v>0.05</v>
      </c>
      <c r="H1640">
        <v>12</v>
      </c>
      <c r="I1640">
        <v>0</v>
      </c>
      <c r="J1640">
        <v>0</v>
      </c>
      <c r="K1640">
        <v>0</v>
      </c>
      <c r="L1640">
        <v>1</v>
      </c>
      <c r="M1640">
        <v>2</v>
      </c>
      <c r="N1640" s="7">
        <v>9</v>
      </c>
      <c r="O1640" s="7">
        <v>0</v>
      </c>
      <c r="P1640" s="7">
        <v>0</v>
      </c>
      <c r="Q1640" s="7">
        <v>0</v>
      </c>
      <c r="R1640" s="7">
        <v>1</v>
      </c>
      <c r="S1640" s="7">
        <v>4.5</v>
      </c>
      <c r="T1640">
        <v>7</v>
      </c>
      <c r="U1640" s="1">
        <v>34</v>
      </c>
      <c r="V1640">
        <v>0</v>
      </c>
      <c r="W1640">
        <v>0</v>
      </c>
      <c r="X1640">
        <v>1</v>
      </c>
      <c r="Y1640">
        <v>0.16</v>
      </c>
      <c r="Z1640">
        <v>23</v>
      </c>
      <c r="AA1640">
        <v>0</v>
      </c>
      <c r="AB1640">
        <v>0</v>
      </c>
      <c r="AC1640">
        <v>0</v>
      </c>
      <c r="AD1640">
        <v>1</v>
      </c>
      <c r="AE1640">
        <v>0.05</v>
      </c>
      <c r="AF1640">
        <v>15</v>
      </c>
      <c r="AG1640">
        <v>0</v>
      </c>
      <c r="AH1640">
        <v>0</v>
      </c>
      <c r="AI1640">
        <v>0</v>
      </c>
      <c r="AJ1640">
        <v>1</v>
      </c>
      <c r="AK1640">
        <v>0.02</v>
      </c>
      <c r="AL1640">
        <v>16</v>
      </c>
      <c r="AM1640">
        <v>0</v>
      </c>
      <c r="AN1640">
        <v>0</v>
      </c>
      <c r="AO1640">
        <v>0</v>
      </c>
      <c r="AP1640">
        <v>1</v>
      </c>
      <c r="AQ1640">
        <v>0.01</v>
      </c>
      <c r="AX1640">
        <v>7</v>
      </c>
      <c r="AY1640" s="1">
        <v>18</v>
      </c>
      <c r="AZ1640">
        <v>0</v>
      </c>
      <c r="BA1640">
        <v>0</v>
      </c>
      <c r="BB1640">
        <v>1</v>
      </c>
      <c r="BC1640" s="7">
        <v>0.32</v>
      </c>
      <c r="BD1640">
        <v>30</v>
      </c>
      <c r="BE1640">
        <v>0</v>
      </c>
      <c r="BF1640">
        <v>0</v>
      </c>
      <c r="BG1640">
        <v>0</v>
      </c>
      <c r="BH1640">
        <v>5</v>
      </c>
      <c r="BI1640">
        <v>2.4</v>
      </c>
      <c r="BJ1640">
        <v>31</v>
      </c>
      <c r="BK1640">
        <v>0</v>
      </c>
      <c r="BL1640">
        <v>0</v>
      </c>
      <c r="BM1640">
        <v>0</v>
      </c>
      <c r="BN1640">
        <v>5</v>
      </c>
      <c r="BO1640">
        <v>2.4</v>
      </c>
      <c r="BP1640">
        <v>36</v>
      </c>
      <c r="BQ1640">
        <v>0</v>
      </c>
      <c r="BR1640">
        <v>0</v>
      </c>
      <c r="BS1640">
        <v>0</v>
      </c>
      <c r="BT1640">
        <v>5</v>
      </c>
      <c r="BU1640">
        <v>1.6</v>
      </c>
    </row>
    <row r="1641" spans="1:73" ht="14.25" x14ac:dyDescent="0.15">
      <c r="A1641" s="12">
        <v>30738</v>
      </c>
      <c r="B1641">
        <v>7</v>
      </c>
      <c r="C1641" s="1">
        <v>47</v>
      </c>
      <c r="D1641">
        <v>0</v>
      </c>
      <c r="E1641">
        <v>0</v>
      </c>
      <c r="F1641">
        <v>1</v>
      </c>
      <c r="G1641" s="7">
        <v>0.05</v>
      </c>
      <c r="H1641">
        <v>12</v>
      </c>
      <c r="I1641">
        <v>0</v>
      </c>
      <c r="J1641">
        <v>0</v>
      </c>
      <c r="K1641">
        <v>0</v>
      </c>
      <c r="L1641">
        <v>1</v>
      </c>
      <c r="M1641">
        <v>2</v>
      </c>
      <c r="N1641" s="7">
        <v>9</v>
      </c>
      <c r="O1641" s="7">
        <v>0</v>
      </c>
      <c r="P1641" s="7">
        <v>0</v>
      </c>
      <c r="Q1641" s="7">
        <v>0</v>
      </c>
      <c r="R1641" s="7">
        <v>1</v>
      </c>
      <c r="S1641" s="7">
        <v>4.5</v>
      </c>
      <c r="T1641">
        <v>7</v>
      </c>
      <c r="U1641" s="1">
        <v>35</v>
      </c>
      <c r="V1641">
        <v>0</v>
      </c>
      <c r="W1641">
        <v>0</v>
      </c>
      <c r="X1641">
        <v>1</v>
      </c>
      <c r="Y1641">
        <v>0.16</v>
      </c>
      <c r="Z1641">
        <v>23</v>
      </c>
      <c r="AA1641">
        <v>0</v>
      </c>
      <c r="AB1641">
        <v>0</v>
      </c>
      <c r="AC1641">
        <v>0</v>
      </c>
      <c r="AD1641">
        <v>1</v>
      </c>
      <c r="AE1641">
        <v>0.05</v>
      </c>
      <c r="AF1641">
        <v>15</v>
      </c>
      <c r="AG1641">
        <v>0</v>
      </c>
      <c r="AH1641">
        <v>0</v>
      </c>
      <c r="AI1641">
        <v>0</v>
      </c>
      <c r="AJ1641">
        <v>1</v>
      </c>
      <c r="AK1641">
        <v>0.02</v>
      </c>
      <c r="AL1641">
        <v>16</v>
      </c>
      <c r="AM1641">
        <v>0</v>
      </c>
      <c r="AN1641">
        <v>0</v>
      </c>
      <c r="AO1641">
        <v>0</v>
      </c>
      <c r="AP1641">
        <v>1</v>
      </c>
      <c r="AQ1641">
        <v>0.01</v>
      </c>
      <c r="AX1641">
        <v>7</v>
      </c>
      <c r="AY1641" s="1">
        <v>19</v>
      </c>
      <c r="AZ1641">
        <v>0</v>
      </c>
      <c r="BA1641">
        <v>0</v>
      </c>
      <c r="BB1641">
        <v>1</v>
      </c>
      <c r="BC1641" s="7">
        <v>0.32</v>
      </c>
      <c r="BD1641">
        <v>30</v>
      </c>
      <c r="BE1641">
        <v>0</v>
      </c>
      <c r="BF1641">
        <v>0</v>
      </c>
      <c r="BG1641">
        <v>0</v>
      </c>
      <c r="BH1641">
        <v>5</v>
      </c>
      <c r="BI1641">
        <v>2.4</v>
      </c>
      <c r="BJ1641">
        <v>31</v>
      </c>
      <c r="BK1641">
        <v>0</v>
      </c>
      <c r="BL1641">
        <v>0</v>
      </c>
      <c r="BM1641">
        <v>0</v>
      </c>
      <c r="BN1641">
        <v>5</v>
      </c>
      <c r="BO1641">
        <v>2.4</v>
      </c>
      <c r="BP1641">
        <v>36</v>
      </c>
      <c r="BQ1641">
        <v>0</v>
      </c>
      <c r="BR1641">
        <v>0</v>
      </c>
      <c r="BS1641">
        <v>0</v>
      </c>
      <c r="BT1641">
        <v>5</v>
      </c>
      <c r="BU1641">
        <v>1.6</v>
      </c>
    </row>
    <row r="1642" spans="1:73" ht="14.25" x14ac:dyDescent="0.15">
      <c r="A1642" s="12">
        <v>30739</v>
      </c>
      <c r="B1642">
        <v>7</v>
      </c>
      <c r="C1642" s="1">
        <v>48</v>
      </c>
      <c r="D1642">
        <v>0</v>
      </c>
      <c r="E1642">
        <v>0</v>
      </c>
      <c r="F1642">
        <v>1</v>
      </c>
      <c r="G1642" s="7">
        <v>0.05</v>
      </c>
      <c r="H1642">
        <v>12</v>
      </c>
      <c r="I1642">
        <v>0</v>
      </c>
      <c r="J1642">
        <v>0</v>
      </c>
      <c r="K1642">
        <v>0</v>
      </c>
      <c r="L1642">
        <v>1</v>
      </c>
      <c r="M1642">
        <v>2</v>
      </c>
      <c r="N1642" s="7">
        <v>9</v>
      </c>
      <c r="O1642" s="7">
        <v>0</v>
      </c>
      <c r="P1642" s="7">
        <v>0</v>
      </c>
      <c r="Q1642" s="7">
        <v>0</v>
      </c>
      <c r="R1642" s="7">
        <v>1</v>
      </c>
      <c r="S1642" s="7">
        <v>4.5</v>
      </c>
      <c r="T1642">
        <v>7</v>
      </c>
      <c r="U1642" s="1">
        <v>36</v>
      </c>
      <c r="V1642">
        <v>0</v>
      </c>
      <c r="W1642">
        <v>0</v>
      </c>
      <c r="X1642">
        <v>1</v>
      </c>
      <c r="Y1642">
        <v>0.16</v>
      </c>
      <c r="Z1642">
        <v>23</v>
      </c>
      <c r="AA1642">
        <v>0</v>
      </c>
      <c r="AB1642">
        <v>0</v>
      </c>
      <c r="AC1642">
        <v>0</v>
      </c>
      <c r="AD1642">
        <v>1</v>
      </c>
      <c r="AE1642">
        <v>0.05</v>
      </c>
      <c r="AF1642">
        <v>15</v>
      </c>
      <c r="AG1642">
        <v>0</v>
      </c>
      <c r="AH1642">
        <v>0</v>
      </c>
      <c r="AI1642">
        <v>0</v>
      </c>
      <c r="AJ1642">
        <v>1</v>
      </c>
      <c r="AK1642">
        <v>0.02</v>
      </c>
      <c r="AL1642">
        <v>16</v>
      </c>
      <c r="AM1642">
        <v>0</v>
      </c>
      <c r="AN1642">
        <v>0</v>
      </c>
      <c r="AO1642">
        <v>0</v>
      </c>
      <c r="AP1642">
        <v>1</v>
      </c>
      <c r="AQ1642">
        <v>0.01</v>
      </c>
      <c r="AX1642">
        <v>7</v>
      </c>
      <c r="AY1642" s="1">
        <v>20</v>
      </c>
      <c r="AZ1642">
        <v>0</v>
      </c>
      <c r="BA1642">
        <v>0</v>
      </c>
      <c r="BB1642">
        <v>1</v>
      </c>
      <c r="BC1642" s="7">
        <v>0.32</v>
      </c>
      <c r="BD1642">
        <v>30</v>
      </c>
      <c r="BE1642">
        <v>0</v>
      </c>
      <c r="BF1642">
        <v>0</v>
      </c>
      <c r="BG1642">
        <v>0</v>
      </c>
      <c r="BH1642">
        <v>5</v>
      </c>
      <c r="BI1642">
        <v>2.4</v>
      </c>
      <c r="BJ1642">
        <v>31</v>
      </c>
      <c r="BK1642">
        <v>0</v>
      </c>
      <c r="BL1642">
        <v>0</v>
      </c>
      <c r="BM1642">
        <v>0</v>
      </c>
      <c r="BN1642">
        <v>5</v>
      </c>
      <c r="BO1642">
        <v>2.4</v>
      </c>
      <c r="BP1642">
        <v>36</v>
      </c>
      <c r="BQ1642">
        <v>0</v>
      </c>
      <c r="BR1642">
        <v>0</v>
      </c>
      <c r="BS1642">
        <v>0</v>
      </c>
      <c r="BT1642">
        <v>5</v>
      </c>
      <c r="BU1642">
        <v>1.6</v>
      </c>
    </row>
    <row r="1643" spans="1:73" ht="14.25" x14ac:dyDescent="0.15">
      <c r="A1643" s="12">
        <v>30740</v>
      </c>
      <c r="B1643">
        <v>7</v>
      </c>
      <c r="C1643" s="1">
        <v>0</v>
      </c>
      <c r="D1643">
        <v>5</v>
      </c>
      <c r="E1643">
        <v>1</v>
      </c>
      <c r="F1643">
        <v>1</v>
      </c>
      <c r="G1643" s="7">
        <v>0.05</v>
      </c>
      <c r="H1643">
        <v>12</v>
      </c>
      <c r="I1643">
        <v>0</v>
      </c>
      <c r="J1643">
        <v>0</v>
      </c>
      <c r="K1643">
        <v>0</v>
      </c>
      <c r="L1643">
        <v>1</v>
      </c>
      <c r="M1643">
        <v>2</v>
      </c>
      <c r="N1643" s="7">
        <v>9</v>
      </c>
      <c r="O1643" s="7">
        <v>0</v>
      </c>
      <c r="P1643" s="7">
        <v>0</v>
      </c>
      <c r="Q1643" s="7">
        <v>0</v>
      </c>
      <c r="R1643" s="7">
        <v>1</v>
      </c>
      <c r="S1643" s="7">
        <v>4.5</v>
      </c>
      <c r="T1643">
        <v>7</v>
      </c>
      <c r="U1643" s="1">
        <v>0</v>
      </c>
      <c r="V1643">
        <v>4</v>
      </c>
      <c r="W1643">
        <v>2</v>
      </c>
      <c r="X1643">
        <v>1</v>
      </c>
      <c r="Y1643">
        <v>0.16</v>
      </c>
      <c r="Z1643">
        <v>23</v>
      </c>
      <c r="AA1643">
        <v>0</v>
      </c>
      <c r="AB1643">
        <v>0</v>
      </c>
      <c r="AC1643">
        <v>0</v>
      </c>
      <c r="AD1643">
        <v>1</v>
      </c>
      <c r="AE1643">
        <v>0.05</v>
      </c>
      <c r="AF1643">
        <v>15</v>
      </c>
      <c r="AG1643">
        <v>0</v>
      </c>
      <c r="AH1643">
        <v>0</v>
      </c>
      <c r="AI1643">
        <v>0</v>
      </c>
      <c r="AJ1643">
        <v>1</v>
      </c>
      <c r="AK1643">
        <v>0.02</v>
      </c>
      <c r="AL1643">
        <v>16</v>
      </c>
      <c r="AM1643">
        <v>0</v>
      </c>
      <c r="AN1643">
        <v>0</v>
      </c>
      <c r="AO1643">
        <v>0</v>
      </c>
      <c r="AP1643">
        <v>1</v>
      </c>
      <c r="AQ1643">
        <v>0.01</v>
      </c>
      <c r="AR1643">
        <v>6</v>
      </c>
      <c r="AS1643">
        <v>2</v>
      </c>
      <c r="AT1643">
        <v>3</v>
      </c>
      <c r="AU1643">
        <v>5</v>
      </c>
      <c r="AV1643">
        <v>1</v>
      </c>
      <c r="AW1643">
        <v>0.05</v>
      </c>
      <c r="AX1643">
        <v>7</v>
      </c>
      <c r="AY1643" s="1">
        <v>0</v>
      </c>
      <c r="AZ1643">
        <v>3</v>
      </c>
      <c r="BA1643">
        <v>1</v>
      </c>
      <c r="BB1643">
        <v>1</v>
      </c>
      <c r="BC1643" s="7">
        <v>0.32</v>
      </c>
      <c r="BD1643">
        <v>30</v>
      </c>
      <c r="BE1643">
        <v>0</v>
      </c>
      <c r="BF1643">
        <v>0</v>
      </c>
      <c r="BG1643">
        <v>0</v>
      </c>
      <c r="BH1643">
        <v>5</v>
      </c>
      <c r="BI1643">
        <v>2.4</v>
      </c>
      <c r="BJ1643">
        <v>31</v>
      </c>
      <c r="BK1643">
        <v>0</v>
      </c>
      <c r="BL1643">
        <v>0</v>
      </c>
      <c r="BM1643">
        <v>0</v>
      </c>
      <c r="BN1643">
        <v>5</v>
      </c>
      <c r="BO1643">
        <v>2.4</v>
      </c>
      <c r="BP1643">
        <v>36</v>
      </c>
      <c r="BQ1643">
        <v>0</v>
      </c>
      <c r="BR1643">
        <v>0</v>
      </c>
      <c r="BS1643">
        <v>0</v>
      </c>
      <c r="BT1643">
        <v>5</v>
      </c>
      <c r="BU1643">
        <v>1.6</v>
      </c>
    </row>
    <row r="1644" spans="1:73" ht="14.25" x14ac:dyDescent="0.15">
      <c r="A1644" s="12">
        <v>30741</v>
      </c>
      <c r="B1644">
        <v>7</v>
      </c>
      <c r="C1644" s="1">
        <v>45</v>
      </c>
      <c r="D1644">
        <v>0</v>
      </c>
      <c r="E1644">
        <v>0</v>
      </c>
      <c r="F1644">
        <v>1</v>
      </c>
      <c r="G1644" s="7">
        <v>0.05</v>
      </c>
      <c r="H1644">
        <v>12</v>
      </c>
      <c r="I1644">
        <v>0</v>
      </c>
      <c r="J1644">
        <v>0</v>
      </c>
      <c r="K1644">
        <v>0</v>
      </c>
      <c r="L1644">
        <v>1</v>
      </c>
      <c r="M1644">
        <v>2</v>
      </c>
      <c r="N1644" s="7">
        <v>9</v>
      </c>
      <c r="O1644" s="7">
        <v>0</v>
      </c>
      <c r="P1644" s="7">
        <v>0</v>
      </c>
      <c r="Q1644" s="7">
        <v>0</v>
      </c>
      <c r="R1644" s="7">
        <v>1</v>
      </c>
      <c r="S1644" s="7">
        <v>4.5</v>
      </c>
      <c r="T1644">
        <v>7</v>
      </c>
      <c r="U1644" s="1">
        <v>33</v>
      </c>
      <c r="V1644">
        <v>0</v>
      </c>
      <c r="W1644">
        <v>0</v>
      </c>
      <c r="X1644">
        <v>1</v>
      </c>
      <c r="Y1644">
        <v>0.16</v>
      </c>
      <c r="Z1644">
        <v>23</v>
      </c>
      <c r="AA1644">
        <v>0</v>
      </c>
      <c r="AB1644">
        <v>0</v>
      </c>
      <c r="AC1644">
        <v>0</v>
      </c>
      <c r="AD1644">
        <v>1</v>
      </c>
      <c r="AE1644">
        <v>0.05</v>
      </c>
      <c r="AF1644">
        <v>15</v>
      </c>
      <c r="AG1644">
        <v>0</v>
      </c>
      <c r="AH1644">
        <v>0</v>
      </c>
      <c r="AI1644">
        <v>0</v>
      </c>
      <c r="AJ1644">
        <v>1</v>
      </c>
      <c r="AK1644">
        <v>0.02</v>
      </c>
      <c r="AL1644">
        <v>16</v>
      </c>
      <c r="AM1644">
        <v>0</v>
      </c>
      <c r="AN1644">
        <v>0</v>
      </c>
      <c r="AO1644">
        <v>0</v>
      </c>
      <c r="AP1644">
        <v>1</v>
      </c>
      <c r="AQ1644">
        <v>0.01</v>
      </c>
      <c r="AX1644">
        <v>7</v>
      </c>
      <c r="AY1644" s="1">
        <v>17</v>
      </c>
      <c r="AZ1644">
        <v>0</v>
      </c>
      <c r="BA1644">
        <v>0</v>
      </c>
      <c r="BB1644">
        <v>1</v>
      </c>
      <c r="BC1644" s="7">
        <v>0.32</v>
      </c>
      <c r="BD1644">
        <v>30</v>
      </c>
      <c r="BE1644">
        <v>0</v>
      </c>
      <c r="BF1644">
        <v>0</v>
      </c>
      <c r="BG1644">
        <v>0</v>
      </c>
      <c r="BH1644">
        <v>5</v>
      </c>
      <c r="BI1644">
        <v>2.4</v>
      </c>
      <c r="BJ1644">
        <v>31</v>
      </c>
      <c r="BK1644">
        <v>0</v>
      </c>
      <c r="BL1644">
        <v>0</v>
      </c>
      <c r="BM1644">
        <v>0</v>
      </c>
      <c r="BN1644">
        <v>5</v>
      </c>
      <c r="BO1644">
        <v>2.4</v>
      </c>
      <c r="BP1644">
        <v>36</v>
      </c>
      <c r="BQ1644">
        <v>0</v>
      </c>
      <c r="BR1644">
        <v>0</v>
      </c>
      <c r="BS1644">
        <v>0</v>
      </c>
      <c r="BT1644">
        <v>5</v>
      </c>
      <c r="BU1644">
        <v>1.6</v>
      </c>
    </row>
    <row r="1645" spans="1:73" ht="14.25" x14ac:dyDescent="0.15">
      <c r="A1645" s="12">
        <v>30742</v>
      </c>
      <c r="B1645">
        <v>7</v>
      </c>
      <c r="C1645" s="1">
        <v>46</v>
      </c>
      <c r="D1645">
        <v>0</v>
      </c>
      <c r="E1645">
        <v>0</v>
      </c>
      <c r="F1645">
        <v>1</v>
      </c>
      <c r="G1645" s="7">
        <v>0.05</v>
      </c>
      <c r="H1645">
        <v>12</v>
      </c>
      <c r="I1645">
        <v>0</v>
      </c>
      <c r="J1645">
        <v>0</v>
      </c>
      <c r="K1645">
        <v>0</v>
      </c>
      <c r="L1645">
        <v>1</v>
      </c>
      <c r="M1645">
        <v>2</v>
      </c>
      <c r="N1645" s="7">
        <v>9</v>
      </c>
      <c r="O1645" s="7">
        <v>0</v>
      </c>
      <c r="P1645" s="7">
        <v>0</v>
      </c>
      <c r="Q1645" s="7">
        <v>0</v>
      </c>
      <c r="R1645" s="7">
        <v>1</v>
      </c>
      <c r="S1645" s="7">
        <v>4.5</v>
      </c>
      <c r="T1645">
        <v>7</v>
      </c>
      <c r="U1645" s="1">
        <v>34</v>
      </c>
      <c r="V1645">
        <v>0</v>
      </c>
      <c r="W1645">
        <v>0</v>
      </c>
      <c r="X1645">
        <v>1</v>
      </c>
      <c r="Y1645">
        <v>0.16</v>
      </c>
      <c r="Z1645">
        <v>23</v>
      </c>
      <c r="AA1645">
        <v>0</v>
      </c>
      <c r="AB1645">
        <v>0</v>
      </c>
      <c r="AC1645">
        <v>0</v>
      </c>
      <c r="AD1645">
        <v>1</v>
      </c>
      <c r="AE1645">
        <v>0.05</v>
      </c>
      <c r="AF1645">
        <v>15</v>
      </c>
      <c r="AG1645">
        <v>0</v>
      </c>
      <c r="AH1645">
        <v>0</v>
      </c>
      <c r="AI1645">
        <v>0</v>
      </c>
      <c r="AJ1645">
        <v>1</v>
      </c>
      <c r="AK1645">
        <v>0.02</v>
      </c>
      <c r="AL1645">
        <v>16</v>
      </c>
      <c r="AM1645">
        <v>0</v>
      </c>
      <c r="AN1645">
        <v>0</v>
      </c>
      <c r="AO1645">
        <v>0</v>
      </c>
      <c r="AP1645">
        <v>1</v>
      </c>
      <c r="AQ1645">
        <v>0.01</v>
      </c>
      <c r="AX1645">
        <v>7</v>
      </c>
      <c r="AY1645" s="1">
        <v>18</v>
      </c>
      <c r="AZ1645">
        <v>0</v>
      </c>
      <c r="BA1645">
        <v>0</v>
      </c>
      <c r="BB1645">
        <v>1</v>
      </c>
      <c r="BC1645" s="7">
        <v>0.32</v>
      </c>
      <c r="BD1645">
        <v>30</v>
      </c>
      <c r="BE1645">
        <v>0</v>
      </c>
      <c r="BF1645">
        <v>0</v>
      </c>
      <c r="BG1645">
        <v>0</v>
      </c>
      <c r="BH1645">
        <v>5</v>
      </c>
      <c r="BI1645">
        <v>2.4</v>
      </c>
      <c r="BJ1645">
        <v>31</v>
      </c>
      <c r="BK1645">
        <v>0</v>
      </c>
      <c r="BL1645">
        <v>0</v>
      </c>
      <c r="BM1645">
        <v>0</v>
      </c>
      <c r="BN1645">
        <v>5</v>
      </c>
      <c r="BO1645">
        <v>2.4</v>
      </c>
      <c r="BP1645">
        <v>36</v>
      </c>
      <c r="BQ1645">
        <v>0</v>
      </c>
      <c r="BR1645">
        <v>0</v>
      </c>
      <c r="BS1645">
        <v>0</v>
      </c>
      <c r="BT1645">
        <v>5</v>
      </c>
      <c r="BU1645">
        <v>1.6</v>
      </c>
    </row>
    <row r="1646" spans="1:73" ht="14.25" x14ac:dyDescent="0.15">
      <c r="A1646" s="12">
        <v>30743</v>
      </c>
      <c r="B1646">
        <v>7</v>
      </c>
      <c r="C1646" s="1">
        <v>47</v>
      </c>
      <c r="D1646">
        <v>0</v>
      </c>
      <c r="E1646">
        <v>0</v>
      </c>
      <c r="F1646">
        <v>1</v>
      </c>
      <c r="G1646" s="7">
        <v>0.05</v>
      </c>
      <c r="H1646">
        <v>12</v>
      </c>
      <c r="I1646">
        <v>0</v>
      </c>
      <c r="J1646">
        <v>0</v>
      </c>
      <c r="K1646">
        <v>0</v>
      </c>
      <c r="L1646">
        <v>1</v>
      </c>
      <c r="M1646">
        <v>2</v>
      </c>
      <c r="N1646" s="7">
        <v>9</v>
      </c>
      <c r="O1646" s="7">
        <v>0</v>
      </c>
      <c r="P1646" s="7">
        <v>0</v>
      </c>
      <c r="Q1646" s="7">
        <v>0</v>
      </c>
      <c r="R1646" s="7">
        <v>1</v>
      </c>
      <c r="S1646" s="7">
        <v>4.5</v>
      </c>
      <c r="T1646">
        <v>7</v>
      </c>
      <c r="U1646" s="1">
        <v>35</v>
      </c>
      <c r="V1646">
        <v>0</v>
      </c>
      <c r="W1646">
        <v>0</v>
      </c>
      <c r="X1646">
        <v>1</v>
      </c>
      <c r="Y1646">
        <v>0.16</v>
      </c>
      <c r="Z1646">
        <v>23</v>
      </c>
      <c r="AA1646">
        <v>0</v>
      </c>
      <c r="AB1646">
        <v>0</v>
      </c>
      <c r="AC1646">
        <v>0</v>
      </c>
      <c r="AD1646">
        <v>1</v>
      </c>
      <c r="AE1646">
        <v>0.05</v>
      </c>
      <c r="AF1646">
        <v>15</v>
      </c>
      <c r="AG1646">
        <v>0</v>
      </c>
      <c r="AH1646">
        <v>0</v>
      </c>
      <c r="AI1646">
        <v>0</v>
      </c>
      <c r="AJ1646">
        <v>1</v>
      </c>
      <c r="AK1646">
        <v>0.02</v>
      </c>
      <c r="AL1646">
        <v>16</v>
      </c>
      <c r="AM1646">
        <v>0</v>
      </c>
      <c r="AN1646">
        <v>0</v>
      </c>
      <c r="AO1646">
        <v>0</v>
      </c>
      <c r="AP1646">
        <v>1</v>
      </c>
      <c r="AQ1646">
        <v>0.01</v>
      </c>
      <c r="AX1646">
        <v>7</v>
      </c>
      <c r="AY1646" s="1">
        <v>19</v>
      </c>
      <c r="AZ1646">
        <v>0</v>
      </c>
      <c r="BA1646">
        <v>0</v>
      </c>
      <c r="BB1646">
        <v>1</v>
      </c>
      <c r="BC1646" s="7">
        <v>0.32</v>
      </c>
      <c r="BD1646">
        <v>30</v>
      </c>
      <c r="BE1646">
        <v>0</v>
      </c>
      <c r="BF1646">
        <v>0</v>
      </c>
      <c r="BG1646">
        <v>0</v>
      </c>
      <c r="BH1646">
        <v>5</v>
      </c>
      <c r="BI1646">
        <v>2.4</v>
      </c>
      <c r="BJ1646">
        <v>31</v>
      </c>
      <c r="BK1646">
        <v>0</v>
      </c>
      <c r="BL1646">
        <v>0</v>
      </c>
      <c r="BM1646">
        <v>0</v>
      </c>
      <c r="BN1646">
        <v>5</v>
      </c>
      <c r="BO1646">
        <v>2.4</v>
      </c>
      <c r="BP1646">
        <v>36</v>
      </c>
      <c r="BQ1646">
        <v>0</v>
      </c>
      <c r="BR1646">
        <v>0</v>
      </c>
      <c r="BS1646">
        <v>0</v>
      </c>
      <c r="BT1646">
        <v>5</v>
      </c>
      <c r="BU1646">
        <v>1.6</v>
      </c>
    </row>
    <row r="1647" spans="1:73" ht="14.25" x14ac:dyDescent="0.15">
      <c r="A1647" s="12">
        <v>30744</v>
      </c>
      <c r="B1647">
        <v>7</v>
      </c>
      <c r="C1647" s="1">
        <v>48</v>
      </c>
      <c r="D1647">
        <v>0</v>
      </c>
      <c r="E1647">
        <v>0</v>
      </c>
      <c r="F1647">
        <v>1</v>
      </c>
      <c r="G1647" s="7">
        <v>0.05</v>
      </c>
      <c r="H1647">
        <v>12</v>
      </c>
      <c r="I1647">
        <v>0</v>
      </c>
      <c r="J1647">
        <v>0</v>
      </c>
      <c r="K1647">
        <v>0</v>
      </c>
      <c r="L1647">
        <v>1</v>
      </c>
      <c r="M1647">
        <v>2</v>
      </c>
      <c r="N1647" s="7">
        <v>9</v>
      </c>
      <c r="O1647" s="7">
        <v>0</v>
      </c>
      <c r="P1647" s="7">
        <v>0</v>
      </c>
      <c r="Q1647" s="7">
        <v>0</v>
      </c>
      <c r="R1647" s="7">
        <v>1</v>
      </c>
      <c r="S1647" s="7">
        <v>4.5</v>
      </c>
      <c r="T1647">
        <v>7</v>
      </c>
      <c r="U1647" s="1">
        <v>36</v>
      </c>
      <c r="V1647">
        <v>0</v>
      </c>
      <c r="W1647">
        <v>0</v>
      </c>
      <c r="X1647">
        <v>1</v>
      </c>
      <c r="Y1647">
        <v>0.16</v>
      </c>
      <c r="Z1647">
        <v>23</v>
      </c>
      <c r="AA1647">
        <v>0</v>
      </c>
      <c r="AB1647">
        <v>0</v>
      </c>
      <c r="AC1647">
        <v>0</v>
      </c>
      <c r="AD1647">
        <v>1</v>
      </c>
      <c r="AE1647">
        <v>0.05</v>
      </c>
      <c r="AF1647">
        <v>15</v>
      </c>
      <c r="AG1647">
        <v>0</v>
      </c>
      <c r="AH1647">
        <v>0</v>
      </c>
      <c r="AI1647">
        <v>0</v>
      </c>
      <c r="AJ1647">
        <v>1</v>
      </c>
      <c r="AK1647">
        <v>0.02</v>
      </c>
      <c r="AL1647">
        <v>16</v>
      </c>
      <c r="AM1647">
        <v>0</v>
      </c>
      <c r="AN1647">
        <v>0</v>
      </c>
      <c r="AO1647">
        <v>0</v>
      </c>
      <c r="AP1647">
        <v>1</v>
      </c>
      <c r="AQ1647">
        <v>0.01</v>
      </c>
      <c r="AX1647">
        <v>7</v>
      </c>
      <c r="AY1647" s="1">
        <v>20</v>
      </c>
      <c r="AZ1647">
        <v>0</v>
      </c>
      <c r="BA1647">
        <v>0</v>
      </c>
      <c r="BB1647">
        <v>1</v>
      </c>
      <c r="BC1647" s="7">
        <v>0.32</v>
      </c>
      <c r="BD1647">
        <v>30</v>
      </c>
      <c r="BE1647">
        <v>0</v>
      </c>
      <c r="BF1647">
        <v>0</v>
      </c>
      <c r="BG1647">
        <v>0</v>
      </c>
      <c r="BH1647">
        <v>5</v>
      </c>
      <c r="BI1647">
        <v>2.4</v>
      </c>
      <c r="BJ1647">
        <v>31</v>
      </c>
      <c r="BK1647">
        <v>0</v>
      </c>
      <c r="BL1647">
        <v>0</v>
      </c>
      <c r="BM1647">
        <v>0</v>
      </c>
      <c r="BN1647">
        <v>5</v>
      </c>
      <c r="BO1647">
        <v>2.4</v>
      </c>
      <c r="BP1647">
        <v>36</v>
      </c>
      <c r="BQ1647">
        <v>0</v>
      </c>
      <c r="BR1647">
        <v>0</v>
      </c>
      <c r="BS1647">
        <v>0</v>
      </c>
      <c r="BT1647">
        <v>5</v>
      </c>
      <c r="BU1647">
        <v>1.6</v>
      </c>
    </row>
    <row r="1648" spans="1:73" ht="14.25" x14ac:dyDescent="0.15">
      <c r="A1648" s="12">
        <v>30745</v>
      </c>
      <c r="B1648">
        <v>7</v>
      </c>
      <c r="C1648" s="1">
        <v>0</v>
      </c>
      <c r="D1648">
        <v>5</v>
      </c>
      <c r="E1648">
        <v>1</v>
      </c>
      <c r="F1648">
        <v>1</v>
      </c>
      <c r="G1648" s="7">
        <v>0.05</v>
      </c>
      <c r="H1648">
        <v>12</v>
      </c>
      <c r="I1648">
        <v>0</v>
      </c>
      <c r="J1648">
        <v>0</v>
      </c>
      <c r="K1648">
        <v>0</v>
      </c>
      <c r="L1648">
        <v>1</v>
      </c>
      <c r="M1648">
        <v>2</v>
      </c>
      <c r="N1648" s="7">
        <v>9</v>
      </c>
      <c r="O1648" s="7">
        <v>0</v>
      </c>
      <c r="P1648" s="7">
        <v>0</v>
      </c>
      <c r="Q1648" s="7">
        <v>0</v>
      </c>
      <c r="R1648" s="7">
        <v>1</v>
      </c>
      <c r="S1648" s="7">
        <v>4.5</v>
      </c>
      <c r="T1648">
        <v>7</v>
      </c>
      <c r="U1648" s="1">
        <v>0</v>
      </c>
      <c r="V1648">
        <v>4</v>
      </c>
      <c r="W1648">
        <v>2</v>
      </c>
      <c r="X1648">
        <v>1</v>
      </c>
      <c r="Y1648">
        <v>0.16</v>
      </c>
      <c r="Z1648">
        <v>23</v>
      </c>
      <c r="AA1648">
        <v>0</v>
      </c>
      <c r="AB1648">
        <v>0</v>
      </c>
      <c r="AC1648">
        <v>0</v>
      </c>
      <c r="AD1648">
        <v>1</v>
      </c>
      <c r="AE1648">
        <v>0.05</v>
      </c>
      <c r="AF1648">
        <v>15</v>
      </c>
      <c r="AG1648">
        <v>0</v>
      </c>
      <c r="AH1648">
        <v>0</v>
      </c>
      <c r="AI1648">
        <v>0</v>
      </c>
      <c r="AJ1648">
        <v>1</v>
      </c>
      <c r="AK1648">
        <v>0.02</v>
      </c>
      <c r="AL1648">
        <v>16</v>
      </c>
      <c r="AM1648">
        <v>0</v>
      </c>
      <c r="AN1648">
        <v>0</v>
      </c>
      <c r="AO1648">
        <v>0</v>
      </c>
      <c r="AP1648">
        <v>1</v>
      </c>
      <c r="AQ1648">
        <v>0.01</v>
      </c>
      <c r="AR1648">
        <v>6</v>
      </c>
      <c r="AS1648">
        <v>2</v>
      </c>
      <c r="AT1648">
        <v>4</v>
      </c>
      <c r="AU1648">
        <v>5</v>
      </c>
      <c r="AV1648">
        <v>1</v>
      </c>
      <c r="AW1648">
        <v>0.01</v>
      </c>
      <c r="AX1648">
        <v>7</v>
      </c>
      <c r="AY1648" s="1">
        <v>0</v>
      </c>
      <c r="AZ1648">
        <v>3</v>
      </c>
      <c r="BA1648">
        <v>1</v>
      </c>
      <c r="BB1648">
        <v>1</v>
      </c>
      <c r="BC1648" s="7">
        <v>0.32</v>
      </c>
      <c r="BD1648">
        <v>30</v>
      </c>
      <c r="BE1648">
        <v>0</v>
      </c>
      <c r="BF1648">
        <v>0</v>
      </c>
      <c r="BG1648">
        <v>0</v>
      </c>
      <c r="BH1648">
        <v>5</v>
      </c>
      <c r="BI1648">
        <v>2.4</v>
      </c>
      <c r="BJ1648">
        <v>31</v>
      </c>
      <c r="BK1648">
        <v>0</v>
      </c>
      <c r="BL1648">
        <v>0</v>
      </c>
      <c r="BM1648">
        <v>0</v>
      </c>
      <c r="BN1648">
        <v>5</v>
      </c>
      <c r="BO1648">
        <v>2.4</v>
      </c>
      <c r="BP1648">
        <v>36</v>
      </c>
      <c r="BQ1648">
        <v>0</v>
      </c>
      <c r="BR1648">
        <v>0</v>
      </c>
      <c r="BS1648">
        <v>0</v>
      </c>
      <c r="BT1648">
        <v>5</v>
      </c>
      <c r="BU1648">
        <v>1.6</v>
      </c>
    </row>
    <row r="1649" spans="1:73" ht="14.25" x14ac:dyDescent="0.15">
      <c r="A1649" s="12">
        <v>30746</v>
      </c>
      <c r="B1649">
        <v>7</v>
      </c>
      <c r="C1649" s="1">
        <v>45</v>
      </c>
      <c r="D1649">
        <v>0</v>
      </c>
      <c r="E1649">
        <v>0</v>
      </c>
      <c r="F1649">
        <v>1</v>
      </c>
      <c r="G1649" s="7">
        <v>0.05</v>
      </c>
      <c r="H1649">
        <v>12</v>
      </c>
      <c r="I1649">
        <v>0</v>
      </c>
      <c r="J1649">
        <v>0</v>
      </c>
      <c r="K1649">
        <v>0</v>
      </c>
      <c r="L1649">
        <v>1</v>
      </c>
      <c r="M1649">
        <v>2</v>
      </c>
      <c r="N1649" s="7">
        <v>9</v>
      </c>
      <c r="O1649" s="7">
        <v>0</v>
      </c>
      <c r="P1649" s="7">
        <v>0</v>
      </c>
      <c r="Q1649" s="7">
        <v>0</v>
      </c>
      <c r="R1649" s="7">
        <v>1</v>
      </c>
      <c r="S1649" s="7">
        <v>4.5</v>
      </c>
      <c r="T1649">
        <v>7</v>
      </c>
      <c r="U1649" s="1">
        <v>33</v>
      </c>
      <c r="V1649">
        <v>0</v>
      </c>
      <c r="W1649">
        <v>0</v>
      </c>
      <c r="X1649">
        <v>1</v>
      </c>
      <c r="Y1649">
        <v>0.16</v>
      </c>
      <c r="Z1649">
        <v>23</v>
      </c>
      <c r="AA1649">
        <v>0</v>
      </c>
      <c r="AB1649">
        <v>0</v>
      </c>
      <c r="AC1649">
        <v>0</v>
      </c>
      <c r="AD1649">
        <v>1</v>
      </c>
      <c r="AE1649">
        <v>0.05</v>
      </c>
      <c r="AF1649">
        <v>15</v>
      </c>
      <c r="AG1649">
        <v>0</v>
      </c>
      <c r="AH1649">
        <v>0</v>
      </c>
      <c r="AI1649">
        <v>0</v>
      </c>
      <c r="AJ1649">
        <v>1</v>
      </c>
      <c r="AK1649">
        <v>0.02</v>
      </c>
      <c r="AL1649">
        <v>16</v>
      </c>
      <c r="AM1649">
        <v>0</v>
      </c>
      <c r="AN1649">
        <v>0</v>
      </c>
      <c r="AO1649">
        <v>0</v>
      </c>
      <c r="AP1649">
        <v>1</v>
      </c>
      <c r="AQ1649">
        <v>0.01</v>
      </c>
      <c r="AX1649">
        <v>7</v>
      </c>
      <c r="AY1649" s="1">
        <v>17</v>
      </c>
      <c r="AZ1649">
        <v>0</v>
      </c>
      <c r="BA1649">
        <v>0</v>
      </c>
      <c r="BB1649">
        <v>1</v>
      </c>
      <c r="BC1649" s="7">
        <v>0.32</v>
      </c>
      <c r="BD1649">
        <v>30</v>
      </c>
      <c r="BE1649">
        <v>0</v>
      </c>
      <c r="BF1649">
        <v>0</v>
      </c>
      <c r="BG1649">
        <v>0</v>
      </c>
      <c r="BH1649">
        <v>5</v>
      </c>
      <c r="BI1649">
        <v>2.4</v>
      </c>
      <c r="BJ1649">
        <v>31</v>
      </c>
      <c r="BK1649">
        <v>0</v>
      </c>
      <c r="BL1649">
        <v>0</v>
      </c>
      <c r="BM1649">
        <v>0</v>
      </c>
      <c r="BN1649">
        <v>5</v>
      </c>
      <c r="BO1649">
        <v>2.4</v>
      </c>
      <c r="BP1649">
        <v>36</v>
      </c>
      <c r="BQ1649">
        <v>0</v>
      </c>
      <c r="BR1649">
        <v>0</v>
      </c>
      <c r="BS1649">
        <v>0</v>
      </c>
      <c r="BT1649">
        <v>5</v>
      </c>
      <c r="BU1649">
        <v>1.6</v>
      </c>
    </row>
    <row r="1650" spans="1:73" ht="14.25" x14ac:dyDescent="0.15">
      <c r="A1650" s="12">
        <v>30747</v>
      </c>
      <c r="B1650">
        <v>7</v>
      </c>
      <c r="C1650" s="1">
        <v>46</v>
      </c>
      <c r="D1650">
        <v>0</v>
      </c>
      <c r="E1650">
        <v>0</v>
      </c>
      <c r="F1650">
        <v>1</v>
      </c>
      <c r="G1650" s="7">
        <v>0.05</v>
      </c>
      <c r="H1650">
        <v>12</v>
      </c>
      <c r="I1650">
        <v>0</v>
      </c>
      <c r="J1650">
        <v>0</v>
      </c>
      <c r="K1650">
        <v>0</v>
      </c>
      <c r="L1650">
        <v>1</v>
      </c>
      <c r="M1650">
        <v>2</v>
      </c>
      <c r="N1650" s="7">
        <v>9</v>
      </c>
      <c r="O1650" s="7">
        <v>0</v>
      </c>
      <c r="P1650" s="7">
        <v>0</v>
      </c>
      <c r="Q1650" s="7">
        <v>0</v>
      </c>
      <c r="R1650" s="7">
        <v>1</v>
      </c>
      <c r="S1650" s="7">
        <v>4.5</v>
      </c>
      <c r="T1650">
        <v>7</v>
      </c>
      <c r="U1650" s="1">
        <v>34</v>
      </c>
      <c r="V1650">
        <v>0</v>
      </c>
      <c r="W1650">
        <v>0</v>
      </c>
      <c r="X1650">
        <v>1</v>
      </c>
      <c r="Y1650">
        <v>0.16</v>
      </c>
      <c r="Z1650">
        <v>23</v>
      </c>
      <c r="AA1650">
        <v>0</v>
      </c>
      <c r="AB1650">
        <v>0</v>
      </c>
      <c r="AC1650">
        <v>0</v>
      </c>
      <c r="AD1650">
        <v>1</v>
      </c>
      <c r="AE1650">
        <v>0.05</v>
      </c>
      <c r="AF1650">
        <v>15</v>
      </c>
      <c r="AG1650">
        <v>0</v>
      </c>
      <c r="AH1650">
        <v>0</v>
      </c>
      <c r="AI1650">
        <v>0</v>
      </c>
      <c r="AJ1650">
        <v>1</v>
      </c>
      <c r="AK1650">
        <v>0.02</v>
      </c>
      <c r="AL1650">
        <v>16</v>
      </c>
      <c r="AM1650">
        <v>0</v>
      </c>
      <c r="AN1650">
        <v>0</v>
      </c>
      <c r="AO1650">
        <v>0</v>
      </c>
      <c r="AP1650">
        <v>1</v>
      </c>
      <c r="AQ1650">
        <v>0.01</v>
      </c>
      <c r="AX1650">
        <v>7</v>
      </c>
      <c r="AY1650" s="1">
        <v>18</v>
      </c>
      <c r="AZ1650">
        <v>0</v>
      </c>
      <c r="BA1650">
        <v>0</v>
      </c>
      <c r="BB1650">
        <v>1</v>
      </c>
      <c r="BC1650" s="7">
        <v>0.32</v>
      </c>
      <c r="BD1650">
        <v>30</v>
      </c>
      <c r="BE1650">
        <v>0</v>
      </c>
      <c r="BF1650">
        <v>0</v>
      </c>
      <c r="BG1650">
        <v>0</v>
      </c>
      <c r="BH1650">
        <v>5</v>
      </c>
      <c r="BI1650">
        <v>2.4</v>
      </c>
      <c r="BJ1650">
        <v>31</v>
      </c>
      <c r="BK1650">
        <v>0</v>
      </c>
      <c r="BL1650">
        <v>0</v>
      </c>
      <c r="BM1650">
        <v>0</v>
      </c>
      <c r="BN1650">
        <v>5</v>
      </c>
      <c r="BO1650">
        <v>2.4</v>
      </c>
      <c r="BP1650">
        <v>36</v>
      </c>
      <c r="BQ1650">
        <v>0</v>
      </c>
      <c r="BR1650">
        <v>0</v>
      </c>
      <c r="BS1650">
        <v>0</v>
      </c>
      <c r="BT1650">
        <v>5</v>
      </c>
      <c r="BU1650">
        <v>1.6</v>
      </c>
    </row>
    <row r="1651" spans="1:73" ht="14.25" x14ac:dyDescent="0.15">
      <c r="A1651" s="12">
        <v>30748</v>
      </c>
      <c r="B1651">
        <v>7</v>
      </c>
      <c r="C1651" s="1">
        <v>47</v>
      </c>
      <c r="D1651">
        <v>0</v>
      </c>
      <c r="E1651">
        <v>0</v>
      </c>
      <c r="F1651">
        <v>1</v>
      </c>
      <c r="G1651" s="7">
        <v>0.05</v>
      </c>
      <c r="H1651">
        <v>12</v>
      </c>
      <c r="I1651">
        <v>0</v>
      </c>
      <c r="J1651">
        <v>0</v>
      </c>
      <c r="K1651">
        <v>0</v>
      </c>
      <c r="L1651">
        <v>1</v>
      </c>
      <c r="M1651">
        <v>2</v>
      </c>
      <c r="N1651" s="7">
        <v>9</v>
      </c>
      <c r="O1651" s="7">
        <v>0</v>
      </c>
      <c r="P1651" s="7">
        <v>0</v>
      </c>
      <c r="Q1651" s="7">
        <v>0</v>
      </c>
      <c r="R1651" s="7">
        <v>1</v>
      </c>
      <c r="S1651" s="7">
        <v>4.5</v>
      </c>
      <c r="T1651">
        <v>7</v>
      </c>
      <c r="U1651" s="1">
        <v>35</v>
      </c>
      <c r="V1651">
        <v>0</v>
      </c>
      <c r="W1651">
        <v>0</v>
      </c>
      <c r="X1651">
        <v>1</v>
      </c>
      <c r="Y1651">
        <v>0.16</v>
      </c>
      <c r="Z1651">
        <v>23</v>
      </c>
      <c r="AA1651">
        <v>0</v>
      </c>
      <c r="AB1651">
        <v>0</v>
      </c>
      <c r="AC1651">
        <v>0</v>
      </c>
      <c r="AD1651">
        <v>1</v>
      </c>
      <c r="AE1651">
        <v>0.05</v>
      </c>
      <c r="AF1651">
        <v>15</v>
      </c>
      <c r="AG1651">
        <v>0</v>
      </c>
      <c r="AH1651">
        <v>0</v>
      </c>
      <c r="AI1651">
        <v>0</v>
      </c>
      <c r="AJ1651">
        <v>1</v>
      </c>
      <c r="AK1651">
        <v>0.02</v>
      </c>
      <c r="AL1651">
        <v>16</v>
      </c>
      <c r="AM1651">
        <v>0</v>
      </c>
      <c r="AN1651">
        <v>0</v>
      </c>
      <c r="AO1651">
        <v>0</v>
      </c>
      <c r="AP1651">
        <v>1</v>
      </c>
      <c r="AQ1651">
        <v>0.01</v>
      </c>
      <c r="AX1651">
        <v>7</v>
      </c>
      <c r="AY1651" s="1">
        <v>19</v>
      </c>
      <c r="AZ1651">
        <v>0</v>
      </c>
      <c r="BA1651">
        <v>0</v>
      </c>
      <c r="BB1651">
        <v>1</v>
      </c>
      <c r="BC1651" s="7">
        <v>0.32</v>
      </c>
      <c r="BD1651">
        <v>30</v>
      </c>
      <c r="BE1651">
        <v>0</v>
      </c>
      <c r="BF1651">
        <v>0</v>
      </c>
      <c r="BG1651">
        <v>0</v>
      </c>
      <c r="BH1651">
        <v>5</v>
      </c>
      <c r="BI1651">
        <v>2.4</v>
      </c>
      <c r="BJ1651">
        <v>31</v>
      </c>
      <c r="BK1651">
        <v>0</v>
      </c>
      <c r="BL1651">
        <v>0</v>
      </c>
      <c r="BM1651">
        <v>0</v>
      </c>
      <c r="BN1651">
        <v>5</v>
      </c>
      <c r="BO1651">
        <v>2.4</v>
      </c>
      <c r="BP1651">
        <v>36</v>
      </c>
      <c r="BQ1651">
        <v>0</v>
      </c>
      <c r="BR1651">
        <v>0</v>
      </c>
      <c r="BS1651">
        <v>0</v>
      </c>
      <c r="BT1651">
        <v>5</v>
      </c>
      <c r="BU1651">
        <v>1.6</v>
      </c>
    </row>
    <row r="1652" spans="1:73" ht="14.25" x14ac:dyDescent="0.15">
      <c r="A1652" s="12">
        <v>30749</v>
      </c>
      <c r="B1652">
        <v>7</v>
      </c>
      <c r="C1652" s="1">
        <v>48</v>
      </c>
      <c r="D1652">
        <v>0</v>
      </c>
      <c r="E1652">
        <v>0</v>
      </c>
      <c r="F1652">
        <v>1</v>
      </c>
      <c r="G1652" s="7">
        <v>0.05</v>
      </c>
      <c r="H1652">
        <v>12</v>
      </c>
      <c r="I1652">
        <v>0</v>
      </c>
      <c r="J1652">
        <v>0</v>
      </c>
      <c r="K1652">
        <v>0</v>
      </c>
      <c r="L1652">
        <v>1</v>
      </c>
      <c r="M1652">
        <v>2</v>
      </c>
      <c r="N1652" s="7">
        <v>9</v>
      </c>
      <c r="O1652" s="7">
        <v>0</v>
      </c>
      <c r="P1652" s="7">
        <v>0</v>
      </c>
      <c r="Q1652" s="7">
        <v>0</v>
      </c>
      <c r="R1652" s="7">
        <v>1</v>
      </c>
      <c r="S1652" s="7">
        <v>4.5</v>
      </c>
      <c r="T1652">
        <v>7</v>
      </c>
      <c r="U1652" s="1">
        <v>36</v>
      </c>
      <c r="V1652">
        <v>0</v>
      </c>
      <c r="W1652">
        <v>0</v>
      </c>
      <c r="X1652">
        <v>1</v>
      </c>
      <c r="Y1652">
        <v>0.16</v>
      </c>
      <c r="Z1652">
        <v>23</v>
      </c>
      <c r="AA1652">
        <v>0</v>
      </c>
      <c r="AB1652">
        <v>0</v>
      </c>
      <c r="AC1652">
        <v>0</v>
      </c>
      <c r="AD1652">
        <v>1</v>
      </c>
      <c r="AE1652">
        <v>0.05</v>
      </c>
      <c r="AF1652">
        <v>15</v>
      </c>
      <c r="AG1652">
        <v>0</v>
      </c>
      <c r="AH1652">
        <v>0</v>
      </c>
      <c r="AI1652">
        <v>0</v>
      </c>
      <c r="AJ1652">
        <v>1</v>
      </c>
      <c r="AK1652">
        <v>0.02</v>
      </c>
      <c r="AL1652">
        <v>16</v>
      </c>
      <c r="AM1652">
        <v>0</v>
      </c>
      <c r="AN1652">
        <v>0</v>
      </c>
      <c r="AO1652">
        <v>0</v>
      </c>
      <c r="AP1652">
        <v>1</v>
      </c>
      <c r="AQ1652">
        <v>0.01</v>
      </c>
      <c r="AX1652">
        <v>7</v>
      </c>
      <c r="AY1652" s="1">
        <v>20</v>
      </c>
      <c r="AZ1652">
        <v>0</v>
      </c>
      <c r="BA1652">
        <v>0</v>
      </c>
      <c r="BB1652">
        <v>1</v>
      </c>
      <c r="BC1652" s="7">
        <v>0.32</v>
      </c>
      <c r="BD1652">
        <v>30</v>
      </c>
      <c r="BE1652">
        <v>0</v>
      </c>
      <c r="BF1652">
        <v>0</v>
      </c>
      <c r="BG1652">
        <v>0</v>
      </c>
      <c r="BH1652">
        <v>5</v>
      </c>
      <c r="BI1652">
        <v>2.4</v>
      </c>
      <c r="BJ1652">
        <v>31</v>
      </c>
      <c r="BK1652">
        <v>0</v>
      </c>
      <c r="BL1652">
        <v>0</v>
      </c>
      <c r="BM1652">
        <v>0</v>
      </c>
      <c r="BN1652">
        <v>5</v>
      </c>
      <c r="BO1652">
        <v>2.4</v>
      </c>
      <c r="BP1652">
        <v>36</v>
      </c>
      <c r="BQ1652">
        <v>0</v>
      </c>
      <c r="BR1652">
        <v>0</v>
      </c>
      <c r="BS1652">
        <v>0</v>
      </c>
      <c r="BT1652">
        <v>5</v>
      </c>
      <c r="BU1652">
        <v>1.6</v>
      </c>
    </row>
    <row r="1653" spans="1:73" ht="14.25" x14ac:dyDescent="0.15">
      <c r="A1653" s="12">
        <v>30750</v>
      </c>
      <c r="B1653">
        <v>7</v>
      </c>
      <c r="C1653" s="1">
        <v>0</v>
      </c>
      <c r="D1653">
        <v>5</v>
      </c>
      <c r="E1653">
        <v>1</v>
      </c>
      <c r="F1653">
        <v>1</v>
      </c>
      <c r="G1653" s="7">
        <v>0.05</v>
      </c>
      <c r="H1653">
        <v>12</v>
      </c>
      <c r="I1653">
        <v>0</v>
      </c>
      <c r="J1653">
        <v>0</v>
      </c>
      <c r="K1653">
        <v>0</v>
      </c>
      <c r="L1653">
        <v>1</v>
      </c>
      <c r="M1653">
        <v>2</v>
      </c>
      <c r="N1653" s="7">
        <v>9</v>
      </c>
      <c r="O1653" s="7">
        <v>0</v>
      </c>
      <c r="P1653" s="7">
        <v>0</v>
      </c>
      <c r="Q1653" s="7">
        <v>0</v>
      </c>
      <c r="R1653" s="7">
        <v>1</v>
      </c>
      <c r="S1653" s="7">
        <v>4.5</v>
      </c>
      <c r="T1653">
        <v>7</v>
      </c>
      <c r="U1653" s="1">
        <v>0</v>
      </c>
      <c r="V1653">
        <v>4</v>
      </c>
      <c r="W1653">
        <v>2</v>
      </c>
      <c r="X1653">
        <v>1</v>
      </c>
      <c r="Y1653">
        <v>0.16</v>
      </c>
      <c r="Z1653">
        <v>23</v>
      </c>
      <c r="AA1653">
        <v>0</v>
      </c>
      <c r="AB1653">
        <v>0</v>
      </c>
      <c r="AC1653">
        <v>0</v>
      </c>
      <c r="AD1653">
        <v>1</v>
      </c>
      <c r="AE1653">
        <v>0.05</v>
      </c>
      <c r="AF1653">
        <v>15</v>
      </c>
      <c r="AG1653">
        <v>0</v>
      </c>
      <c r="AH1653">
        <v>0</v>
      </c>
      <c r="AI1653">
        <v>0</v>
      </c>
      <c r="AJ1653">
        <v>1</v>
      </c>
      <c r="AK1653">
        <v>0.02</v>
      </c>
      <c r="AL1653">
        <v>16</v>
      </c>
      <c r="AM1653">
        <v>0</v>
      </c>
      <c r="AN1653">
        <v>0</v>
      </c>
      <c r="AO1653">
        <v>0</v>
      </c>
      <c r="AP1653">
        <v>1</v>
      </c>
      <c r="AQ1653">
        <v>0.01</v>
      </c>
      <c r="AR1653">
        <v>6</v>
      </c>
      <c r="AS1653">
        <v>2</v>
      </c>
      <c r="AT1653">
        <v>5</v>
      </c>
      <c r="AU1653">
        <v>5</v>
      </c>
      <c r="AV1653">
        <v>1</v>
      </c>
      <c r="AW1653">
        <v>0.01</v>
      </c>
      <c r="AX1653">
        <v>7</v>
      </c>
      <c r="AY1653" s="1">
        <v>0</v>
      </c>
      <c r="AZ1653">
        <v>3</v>
      </c>
      <c r="BA1653">
        <v>1</v>
      </c>
      <c r="BB1653">
        <v>1</v>
      </c>
      <c r="BC1653" s="7">
        <v>0.32</v>
      </c>
      <c r="BD1653">
        <v>30</v>
      </c>
      <c r="BE1653">
        <v>0</v>
      </c>
      <c r="BF1653">
        <v>0</v>
      </c>
      <c r="BG1653">
        <v>0</v>
      </c>
      <c r="BH1653">
        <v>5</v>
      </c>
      <c r="BI1653">
        <v>2.4</v>
      </c>
      <c r="BJ1653">
        <v>31</v>
      </c>
      <c r="BK1653">
        <v>0</v>
      </c>
      <c r="BL1653">
        <v>0</v>
      </c>
      <c r="BM1653">
        <v>0</v>
      </c>
      <c r="BN1653">
        <v>5</v>
      </c>
      <c r="BO1653">
        <v>2.4</v>
      </c>
      <c r="BP1653">
        <v>36</v>
      </c>
      <c r="BQ1653">
        <v>0</v>
      </c>
      <c r="BR1653">
        <v>0</v>
      </c>
      <c r="BS1653">
        <v>0</v>
      </c>
      <c r="BT1653">
        <v>5</v>
      </c>
      <c r="BU1653">
        <v>1.6</v>
      </c>
    </row>
    <row r="1654" spans="1:73" ht="14.25" x14ac:dyDescent="0.15">
      <c r="A1654" s="12">
        <v>30801</v>
      </c>
      <c r="B1654">
        <v>7</v>
      </c>
      <c r="C1654" s="1">
        <v>45</v>
      </c>
      <c r="D1654">
        <v>0</v>
      </c>
      <c r="E1654">
        <v>0</v>
      </c>
      <c r="F1654">
        <v>1</v>
      </c>
      <c r="G1654" s="7">
        <v>0.05</v>
      </c>
      <c r="H1654">
        <v>12</v>
      </c>
      <c r="I1654">
        <v>0</v>
      </c>
      <c r="J1654">
        <v>0</v>
      </c>
      <c r="K1654">
        <v>0</v>
      </c>
      <c r="L1654">
        <v>1</v>
      </c>
      <c r="M1654">
        <v>2</v>
      </c>
      <c r="N1654" s="7">
        <v>9</v>
      </c>
      <c r="O1654" s="7">
        <v>0</v>
      </c>
      <c r="P1654" s="7">
        <v>0</v>
      </c>
      <c r="Q1654" s="7">
        <v>0</v>
      </c>
      <c r="R1654" s="7">
        <v>1</v>
      </c>
      <c r="S1654" s="7">
        <v>4.5</v>
      </c>
      <c r="T1654">
        <v>7</v>
      </c>
      <c r="U1654" s="1">
        <v>33</v>
      </c>
      <c r="V1654">
        <v>0</v>
      </c>
      <c r="W1654">
        <v>0</v>
      </c>
      <c r="X1654">
        <v>1</v>
      </c>
      <c r="Y1654">
        <v>0.16</v>
      </c>
      <c r="Z1654">
        <v>23</v>
      </c>
      <c r="AA1654">
        <v>0</v>
      </c>
      <c r="AB1654">
        <v>0</v>
      </c>
      <c r="AC1654">
        <v>0</v>
      </c>
      <c r="AD1654">
        <v>1</v>
      </c>
      <c r="AE1654">
        <v>0.05</v>
      </c>
      <c r="AF1654">
        <v>15</v>
      </c>
      <c r="AG1654">
        <v>0</v>
      </c>
      <c r="AH1654">
        <v>0</v>
      </c>
      <c r="AI1654">
        <v>0</v>
      </c>
      <c r="AJ1654">
        <v>1</v>
      </c>
      <c r="AK1654">
        <v>0.02</v>
      </c>
      <c r="AL1654">
        <v>16</v>
      </c>
      <c r="AM1654">
        <v>0</v>
      </c>
      <c r="AN1654">
        <v>0</v>
      </c>
      <c r="AO1654">
        <v>0</v>
      </c>
      <c r="AP1654">
        <v>1</v>
      </c>
      <c r="AQ1654">
        <v>0.01</v>
      </c>
      <c r="AX1654">
        <v>7</v>
      </c>
      <c r="AY1654" s="1">
        <v>17</v>
      </c>
      <c r="AZ1654">
        <v>0</v>
      </c>
      <c r="BA1654">
        <v>0</v>
      </c>
      <c r="BB1654">
        <v>1</v>
      </c>
      <c r="BC1654" s="7">
        <v>0.32</v>
      </c>
      <c r="BD1654">
        <v>30</v>
      </c>
      <c r="BE1654">
        <v>0</v>
      </c>
      <c r="BF1654">
        <v>0</v>
      </c>
      <c r="BG1654">
        <v>0</v>
      </c>
      <c r="BH1654">
        <v>5</v>
      </c>
      <c r="BI1654">
        <v>2.4</v>
      </c>
      <c r="BJ1654">
        <v>31</v>
      </c>
      <c r="BK1654">
        <v>0</v>
      </c>
      <c r="BL1654">
        <v>0</v>
      </c>
      <c r="BM1654">
        <v>0</v>
      </c>
      <c r="BN1654">
        <v>5</v>
      </c>
      <c r="BO1654">
        <v>2.4</v>
      </c>
      <c r="BP1654">
        <v>36</v>
      </c>
      <c r="BQ1654">
        <v>0</v>
      </c>
      <c r="BR1654">
        <v>0</v>
      </c>
      <c r="BS1654">
        <v>0</v>
      </c>
      <c r="BT1654">
        <v>5</v>
      </c>
      <c r="BU1654">
        <v>1.6</v>
      </c>
    </row>
    <row r="1655" spans="1:73" ht="14.25" x14ac:dyDescent="0.15">
      <c r="A1655" s="12">
        <v>30802</v>
      </c>
      <c r="B1655">
        <v>7</v>
      </c>
      <c r="C1655" s="1">
        <v>46</v>
      </c>
      <c r="D1655">
        <v>0</v>
      </c>
      <c r="E1655">
        <v>0</v>
      </c>
      <c r="F1655">
        <v>1</v>
      </c>
      <c r="G1655" s="7">
        <v>0.05</v>
      </c>
      <c r="H1655">
        <v>12</v>
      </c>
      <c r="I1655">
        <v>0</v>
      </c>
      <c r="J1655">
        <v>0</v>
      </c>
      <c r="K1655">
        <v>0</v>
      </c>
      <c r="L1655">
        <v>1</v>
      </c>
      <c r="M1655">
        <v>2</v>
      </c>
      <c r="N1655" s="7">
        <v>9</v>
      </c>
      <c r="O1655" s="7">
        <v>0</v>
      </c>
      <c r="P1655" s="7">
        <v>0</v>
      </c>
      <c r="Q1655" s="7">
        <v>0</v>
      </c>
      <c r="R1655" s="7">
        <v>1</v>
      </c>
      <c r="S1655" s="7">
        <v>4.5</v>
      </c>
      <c r="T1655">
        <v>7</v>
      </c>
      <c r="U1655" s="1">
        <v>34</v>
      </c>
      <c r="V1655">
        <v>0</v>
      </c>
      <c r="W1655">
        <v>0</v>
      </c>
      <c r="X1655">
        <v>1</v>
      </c>
      <c r="Y1655">
        <v>0.16</v>
      </c>
      <c r="Z1655">
        <v>23</v>
      </c>
      <c r="AA1655">
        <v>0</v>
      </c>
      <c r="AB1655">
        <v>0</v>
      </c>
      <c r="AC1655">
        <v>0</v>
      </c>
      <c r="AD1655">
        <v>1</v>
      </c>
      <c r="AE1655">
        <v>0.05</v>
      </c>
      <c r="AF1655">
        <v>15</v>
      </c>
      <c r="AG1655">
        <v>0</v>
      </c>
      <c r="AH1655">
        <v>0</v>
      </c>
      <c r="AI1655">
        <v>0</v>
      </c>
      <c r="AJ1655">
        <v>1</v>
      </c>
      <c r="AK1655">
        <v>0.02</v>
      </c>
      <c r="AL1655">
        <v>16</v>
      </c>
      <c r="AM1655">
        <v>0</v>
      </c>
      <c r="AN1655">
        <v>0</v>
      </c>
      <c r="AO1655">
        <v>0</v>
      </c>
      <c r="AP1655">
        <v>1</v>
      </c>
      <c r="AQ1655">
        <v>0.01</v>
      </c>
      <c r="AX1655">
        <v>7</v>
      </c>
      <c r="AY1655" s="1">
        <v>18</v>
      </c>
      <c r="AZ1655">
        <v>0</v>
      </c>
      <c r="BA1655">
        <v>0</v>
      </c>
      <c r="BB1655">
        <v>1</v>
      </c>
      <c r="BC1655" s="7">
        <v>0.32</v>
      </c>
      <c r="BD1655">
        <v>30</v>
      </c>
      <c r="BE1655">
        <v>0</v>
      </c>
      <c r="BF1655">
        <v>0</v>
      </c>
      <c r="BG1655">
        <v>0</v>
      </c>
      <c r="BH1655">
        <v>5</v>
      </c>
      <c r="BI1655">
        <v>2.4</v>
      </c>
      <c r="BJ1655">
        <v>31</v>
      </c>
      <c r="BK1655">
        <v>0</v>
      </c>
      <c r="BL1655">
        <v>0</v>
      </c>
      <c r="BM1655">
        <v>0</v>
      </c>
      <c r="BN1655">
        <v>5</v>
      </c>
      <c r="BO1655">
        <v>2.4</v>
      </c>
      <c r="BP1655">
        <v>36</v>
      </c>
      <c r="BQ1655">
        <v>0</v>
      </c>
      <c r="BR1655">
        <v>0</v>
      </c>
      <c r="BS1655">
        <v>0</v>
      </c>
      <c r="BT1655">
        <v>5</v>
      </c>
      <c r="BU1655">
        <v>1.6</v>
      </c>
    </row>
    <row r="1656" spans="1:73" ht="14.25" x14ac:dyDescent="0.15">
      <c r="A1656" s="12">
        <v>30803</v>
      </c>
      <c r="B1656">
        <v>7</v>
      </c>
      <c r="C1656" s="1">
        <v>47</v>
      </c>
      <c r="D1656">
        <v>0</v>
      </c>
      <c r="E1656">
        <v>0</v>
      </c>
      <c r="F1656">
        <v>1</v>
      </c>
      <c r="G1656" s="7">
        <v>0.05</v>
      </c>
      <c r="H1656">
        <v>12</v>
      </c>
      <c r="I1656">
        <v>0</v>
      </c>
      <c r="J1656">
        <v>0</v>
      </c>
      <c r="K1656">
        <v>0</v>
      </c>
      <c r="L1656">
        <v>1</v>
      </c>
      <c r="M1656">
        <v>2</v>
      </c>
      <c r="N1656" s="7">
        <v>9</v>
      </c>
      <c r="O1656" s="7">
        <v>0</v>
      </c>
      <c r="P1656" s="7">
        <v>0</v>
      </c>
      <c r="Q1656" s="7">
        <v>0</v>
      </c>
      <c r="R1656" s="7">
        <v>1</v>
      </c>
      <c r="S1656" s="7">
        <v>4.5</v>
      </c>
      <c r="T1656">
        <v>7</v>
      </c>
      <c r="U1656" s="1">
        <v>35</v>
      </c>
      <c r="V1656">
        <v>0</v>
      </c>
      <c r="W1656">
        <v>0</v>
      </c>
      <c r="X1656">
        <v>1</v>
      </c>
      <c r="Y1656">
        <v>0.16</v>
      </c>
      <c r="Z1656">
        <v>23</v>
      </c>
      <c r="AA1656">
        <v>0</v>
      </c>
      <c r="AB1656">
        <v>0</v>
      </c>
      <c r="AC1656">
        <v>0</v>
      </c>
      <c r="AD1656">
        <v>1</v>
      </c>
      <c r="AE1656">
        <v>0.05</v>
      </c>
      <c r="AF1656">
        <v>15</v>
      </c>
      <c r="AG1656">
        <v>0</v>
      </c>
      <c r="AH1656">
        <v>0</v>
      </c>
      <c r="AI1656">
        <v>0</v>
      </c>
      <c r="AJ1656">
        <v>1</v>
      </c>
      <c r="AK1656">
        <v>0.02</v>
      </c>
      <c r="AL1656">
        <v>16</v>
      </c>
      <c r="AM1656">
        <v>0</v>
      </c>
      <c r="AN1656">
        <v>0</v>
      </c>
      <c r="AO1656">
        <v>0</v>
      </c>
      <c r="AP1656">
        <v>1</v>
      </c>
      <c r="AQ1656">
        <v>0.01</v>
      </c>
      <c r="AX1656">
        <v>7</v>
      </c>
      <c r="AY1656" s="1">
        <v>19</v>
      </c>
      <c r="AZ1656">
        <v>0</v>
      </c>
      <c r="BA1656">
        <v>0</v>
      </c>
      <c r="BB1656">
        <v>1</v>
      </c>
      <c r="BC1656" s="7">
        <v>0.32</v>
      </c>
      <c r="BD1656">
        <v>30</v>
      </c>
      <c r="BE1656">
        <v>0</v>
      </c>
      <c r="BF1656">
        <v>0</v>
      </c>
      <c r="BG1656">
        <v>0</v>
      </c>
      <c r="BH1656">
        <v>5</v>
      </c>
      <c r="BI1656">
        <v>2.4</v>
      </c>
      <c r="BJ1656">
        <v>31</v>
      </c>
      <c r="BK1656">
        <v>0</v>
      </c>
      <c r="BL1656">
        <v>0</v>
      </c>
      <c r="BM1656">
        <v>0</v>
      </c>
      <c r="BN1656">
        <v>5</v>
      </c>
      <c r="BO1656">
        <v>2.4</v>
      </c>
      <c r="BP1656">
        <v>36</v>
      </c>
      <c r="BQ1656">
        <v>0</v>
      </c>
      <c r="BR1656">
        <v>0</v>
      </c>
      <c r="BS1656">
        <v>0</v>
      </c>
      <c r="BT1656">
        <v>5</v>
      </c>
      <c r="BU1656">
        <v>1.6</v>
      </c>
    </row>
    <row r="1657" spans="1:73" ht="14.25" x14ac:dyDescent="0.15">
      <c r="A1657" s="12">
        <v>30804</v>
      </c>
      <c r="B1657">
        <v>7</v>
      </c>
      <c r="C1657" s="1">
        <v>48</v>
      </c>
      <c r="D1657">
        <v>0</v>
      </c>
      <c r="E1657">
        <v>0</v>
      </c>
      <c r="F1657">
        <v>1</v>
      </c>
      <c r="G1657" s="7">
        <v>0.05</v>
      </c>
      <c r="H1657">
        <v>12</v>
      </c>
      <c r="I1657">
        <v>0</v>
      </c>
      <c r="J1657">
        <v>0</v>
      </c>
      <c r="K1657">
        <v>0</v>
      </c>
      <c r="L1657">
        <v>1</v>
      </c>
      <c r="M1657">
        <v>2</v>
      </c>
      <c r="N1657" s="7">
        <v>9</v>
      </c>
      <c r="O1657" s="7">
        <v>0</v>
      </c>
      <c r="P1657" s="7">
        <v>0</v>
      </c>
      <c r="Q1657" s="7">
        <v>0</v>
      </c>
      <c r="R1657" s="7">
        <v>1</v>
      </c>
      <c r="S1657" s="7">
        <v>4.5</v>
      </c>
      <c r="T1657">
        <v>7</v>
      </c>
      <c r="U1657" s="1">
        <v>36</v>
      </c>
      <c r="V1657">
        <v>0</v>
      </c>
      <c r="W1657">
        <v>0</v>
      </c>
      <c r="X1657">
        <v>1</v>
      </c>
      <c r="Y1657">
        <v>0.16</v>
      </c>
      <c r="Z1657">
        <v>23</v>
      </c>
      <c r="AA1657">
        <v>0</v>
      </c>
      <c r="AB1657">
        <v>0</v>
      </c>
      <c r="AC1657">
        <v>0</v>
      </c>
      <c r="AD1657">
        <v>1</v>
      </c>
      <c r="AE1657">
        <v>0.05</v>
      </c>
      <c r="AF1657">
        <v>15</v>
      </c>
      <c r="AG1657">
        <v>0</v>
      </c>
      <c r="AH1657">
        <v>0</v>
      </c>
      <c r="AI1657">
        <v>0</v>
      </c>
      <c r="AJ1657">
        <v>1</v>
      </c>
      <c r="AK1657">
        <v>0.02</v>
      </c>
      <c r="AL1657">
        <v>16</v>
      </c>
      <c r="AM1657">
        <v>0</v>
      </c>
      <c r="AN1657">
        <v>0</v>
      </c>
      <c r="AO1657">
        <v>0</v>
      </c>
      <c r="AP1657">
        <v>1</v>
      </c>
      <c r="AQ1657">
        <v>0.01</v>
      </c>
      <c r="AX1657">
        <v>7</v>
      </c>
      <c r="AY1657" s="1">
        <v>20</v>
      </c>
      <c r="AZ1657">
        <v>0</v>
      </c>
      <c r="BA1657">
        <v>0</v>
      </c>
      <c r="BB1657">
        <v>1</v>
      </c>
      <c r="BC1657" s="7">
        <v>0.32</v>
      </c>
      <c r="BD1657">
        <v>30</v>
      </c>
      <c r="BE1657">
        <v>0</v>
      </c>
      <c r="BF1657">
        <v>0</v>
      </c>
      <c r="BG1657">
        <v>0</v>
      </c>
      <c r="BH1657">
        <v>5</v>
      </c>
      <c r="BI1657">
        <v>2.4</v>
      </c>
      <c r="BJ1657">
        <v>31</v>
      </c>
      <c r="BK1657">
        <v>0</v>
      </c>
      <c r="BL1657">
        <v>0</v>
      </c>
      <c r="BM1657">
        <v>0</v>
      </c>
      <c r="BN1657">
        <v>5</v>
      </c>
      <c r="BO1657">
        <v>2.4</v>
      </c>
      <c r="BP1657">
        <v>36</v>
      </c>
      <c r="BQ1657">
        <v>0</v>
      </c>
      <c r="BR1657">
        <v>0</v>
      </c>
      <c r="BS1657">
        <v>0</v>
      </c>
      <c r="BT1657">
        <v>5</v>
      </c>
      <c r="BU1657">
        <v>1.6</v>
      </c>
    </row>
    <row r="1658" spans="1:73" ht="14.25" x14ac:dyDescent="0.15">
      <c r="A1658" s="12">
        <v>30805</v>
      </c>
      <c r="B1658">
        <v>7</v>
      </c>
      <c r="C1658" s="1">
        <v>0</v>
      </c>
      <c r="D1658">
        <v>5</v>
      </c>
      <c r="E1658">
        <v>1</v>
      </c>
      <c r="F1658">
        <v>1</v>
      </c>
      <c r="G1658" s="7">
        <v>0.05</v>
      </c>
      <c r="H1658">
        <v>12</v>
      </c>
      <c r="I1658">
        <v>0</v>
      </c>
      <c r="J1658">
        <v>0</v>
      </c>
      <c r="K1658">
        <v>0</v>
      </c>
      <c r="L1658">
        <v>1</v>
      </c>
      <c r="M1658">
        <v>2</v>
      </c>
      <c r="N1658" s="7">
        <v>9</v>
      </c>
      <c r="O1658" s="7">
        <v>0</v>
      </c>
      <c r="P1658" s="7">
        <v>0</v>
      </c>
      <c r="Q1658" s="7">
        <v>0</v>
      </c>
      <c r="R1658" s="7">
        <v>1</v>
      </c>
      <c r="S1658" s="7">
        <v>4.5</v>
      </c>
      <c r="T1658">
        <v>7</v>
      </c>
      <c r="U1658" s="1">
        <v>0</v>
      </c>
      <c r="V1658">
        <v>4</v>
      </c>
      <c r="W1658">
        <v>2</v>
      </c>
      <c r="X1658">
        <v>1</v>
      </c>
      <c r="Y1658">
        <v>0.16</v>
      </c>
      <c r="Z1658">
        <v>23</v>
      </c>
      <c r="AA1658">
        <v>0</v>
      </c>
      <c r="AB1658">
        <v>0</v>
      </c>
      <c r="AC1658">
        <v>0</v>
      </c>
      <c r="AD1658">
        <v>1</v>
      </c>
      <c r="AE1658">
        <v>0.05</v>
      </c>
      <c r="AF1658">
        <v>15</v>
      </c>
      <c r="AG1658">
        <v>0</v>
      </c>
      <c r="AH1658">
        <v>0</v>
      </c>
      <c r="AI1658">
        <v>0</v>
      </c>
      <c r="AJ1658">
        <v>1</v>
      </c>
      <c r="AK1658">
        <v>0.02</v>
      </c>
      <c r="AL1658">
        <v>16</v>
      </c>
      <c r="AM1658">
        <v>0</v>
      </c>
      <c r="AN1658">
        <v>0</v>
      </c>
      <c r="AO1658">
        <v>0</v>
      </c>
      <c r="AP1658">
        <v>1</v>
      </c>
      <c r="AQ1658">
        <v>0.01</v>
      </c>
      <c r="AR1658">
        <v>6</v>
      </c>
      <c r="AS1658">
        <v>2</v>
      </c>
      <c r="AT1658">
        <v>1</v>
      </c>
      <c r="AU1658">
        <v>5</v>
      </c>
      <c r="AV1658">
        <v>1</v>
      </c>
      <c r="AW1658">
        <v>0.05</v>
      </c>
      <c r="AX1658">
        <v>7</v>
      </c>
      <c r="AY1658" s="1">
        <v>0</v>
      </c>
      <c r="AZ1658">
        <v>3</v>
      </c>
      <c r="BA1658">
        <v>1</v>
      </c>
      <c r="BB1658">
        <v>1</v>
      </c>
      <c r="BC1658" s="7">
        <v>0.32</v>
      </c>
      <c r="BD1658">
        <v>30</v>
      </c>
      <c r="BE1658">
        <v>0</v>
      </c>
      <c r="BF1658">
        <v>0</v>
      </c>
      <c r="BG1658">
        <v>0</v>
      </c>
      <c r="BH1658">
        <v>5</v>
      </c>
      <c r="BI1658">
        <v>2.4</v>
      </c>
      <c r="BJ1658">
        <v>31</v>
      </c>
      <c r="BK1658">
        <v>0</v>
      </c>
      <c r="BL1658">
        <v>0</v>
      </c>
      <c r="BM1658">
        <v>0</v>
      </c>
      <c r="BN1658">
        <v>5</v>
      </c>
      <c r="BO1658">
        <v>2.4</v>
      </c>
      <c r="BP1658">
        <v>36</v>
      </c>
      <c r="BQ1658">
        <v>0</v>
      </c>
      <c r="BR1658">
        <v>0</v>
      </c>
      <c r="BS1658">
        <v>0</v>
      </c>
      <c r="BT1658">
        <v>5</v>
      </c>
      <c r="BU1658">
        <v>1.6</v>
      </c>
    </row>
    <row r="1659" spans="1:73" ht="14.25" x14ac:dyDescent="0.15">
      <c r="A1659" s="12">
        <v>30806</v>
      </c>
      <c r="B1659">
        <v>7</v>
      </c>
      <c r="C1659" s="1">
        <v>45</v>
      </c>
      <c r="D1659">
        <v>0</v>
      </c>
      <c r="E1659">
        <v>0</v>
      </c>
      <c r="F1659">
        <v>1</v>
      </c>
      <c r="G1659" s="7">
        <v>0.05</v>
      </c>
      <c r="H1659">
        <v>12</v>
      </c>
      <c r="I1659">
        <v>0</v>
      </c>
      <c r="J1659">
        <v>0</v>
      </c>
      <c r="K1659">
        <v>0</v>
      </c>
      <c r="L1659">
        <v>1</v>
      </c>
      <c r="M1659">
        <v>2</v>
      </c>
      <c r="N1659" s="7">
        <v>9</v>
      </c>
      <c r="O1659" s="7">
        <v>0</v>
      </c>
      <c r="P1659" s="7">
        <v>0</v>
      </c>
      <c r="Q1659" s="7">
        <v>0</v>
      </c>
      <c r="R1659" s="7">
        <v>1</v>
      </c>
      <c r="S1659" s="7">
        <v>4.5</v>
      </c>
      <c r="T1659">
        <v>7</v>
      </c>
      <c r="U1659" s="1">
        <v>33</v>
      </c>
      <c r="V1659">
        <v>0</v>
      </c>
      <c r="W1659">
        <v>0</v>
      </c>
      <c r="X1659">
        <v>1</v>
      </c>
      <c r="Y1659">
        <v>0.16</v>
      </c>
      <c r="Z1659">
        <v>23</v>
      </c>
      <c r="AA1659">
        <v>0</v>
      </c>
      <c r="AB1659">
        <v>0</v>
      </c>
      <c r="AC1659">
        <v>0</v>
      </c>
      <c r="AD1659">
        <v>1</v>
      </c>
      <c r="AE1659">
        <v>0.05</v>
      </c>
      <c r="AF1659">
        <v>15</v>
      </c>
      <c r="AG1659">
        <v>0</v>
      </c>
      <c r="AH1659">
        <v>0</v>
      </c>
      <c r="AI1659">
        <v>0</v>
      </c>
      <c r="AJ1659">
        <v>1</v>
      </c>
      <c r="AK1659">
        <v>0.02</v>
      </c>
      <c r="AL1659">
        <v>16</v>
      </c>
      <c r="AM1659">
        <v>0</v>
      </c>
      <c r="AN1659">
        <v>0</v>
      </c>
      <c r="AO1659">
        <v>0</v>
      </c>
      <c r="AP1659">
        <v>1</v>
      </c>
      <c r="AQ1659">
        <v>0.01</v>
      </c>
      <c r="AX1659">
        <v>7</v>
      </c>
      <c r="AY1659" s="1">
        <v>17</v>
      </c>
      <c r="AZ1659">
        <v>0</v>
      </c>
      <c r="BA1659">
        <v>0</v>
      </c>
      <c r="BB1659">
        <v>1</v>
      </c>
      <c r="BC1659" s="7">
        <v>0.32</v>
      </c>
      <c r="BD1659">
        <v>30</v>
      </c>
      <c r="BE1659">
        <v>0</v>
      </c>
      <c r="BF1659">
        <v>0</v>
      </c>
      <c r="BG1659">
        <v>0</v>
      </c>
      <c r="BH1659">
        <v>5</v>
      </c>
      <c r="BI1659">
        <v>2.4</v>
      </c>
      <c r="BJ1659">
        <v>31</v>
      </c>
      <c r="BK1659">
        <v>0</v>
      </c>
      <c r="BL1659">
        <v>0</v>
      </c>
      <c r="BM1659">
        <v>0</v>
      </c>
      <c r="BN1659">
        <v>5</v>
      </c>
      <c r="BO1659">
        <v>2.4</v>
      </c>
      <c r="BP1659">
        <v>36</v>
      </c>
      <c r="BQ1659">
        <v>0</v>
      </c>
      <c r="BR1659">
        <v>0</v>
      </c>
      <c r="BS1659">
        <v>0</v>
      </c>
      <c r="BT1659">
        <v>5</v>
      </c>
      <c r="BU1659">
        <v>1.6</v>
      </c>
    </row>
    <row r="1660" spans="1:73" ht="14.25" x14ac:dyDescent="0.15">
      <c r="A1660" s="12">
        <v>30807</v>
      </c>
      <c r="B1660">
        <v>7</v>
      </c>
      <c r="C1660" s="1">
        <v>46</v>
      </c>
      <c r="D1660">
        <v>0</v>
      </c>
      <c r="E1660">
        <v>0</v>
      </c>
      <c r="F1660">
        <v>1</v>
      </c>
      <c r="G1660" s="7">
        <v>0.05</v>
      </c>
      <c r="H1660">
        <v>12</v>
      </c>
      <c r="I1660">
        <v>0</v>
      </c>
      <c r="J1660">
        <v>0</v>
      </c>
      <c r="K1660">
        <v>0</v>
      </c>
      <c r="L1660">
        <v>1</v>
      </c>
      <c r="M1660">
        <v>2</v>
      </c>
      <c r="N1660" s="7">
        <v>9</v>
      </c>
      <c r="O1660" s="7">
        <v>0</v>
      </c>
      <c r="P1660" s="7">
        <v>0</v>
      </c>
      <c r="Q1660" s="7">
        <v>0</v>
      </c>
      <c r="R1660" s="7">
        <v>1</v>
      </c>
      <c r="S1660" s="7">
        <v>4.5</v>
      </c>
      <c r="T1660">
        <v>7</v>
      </c>
      <c r="U1660" s="1">
        <v>34</v>
      </c>
      <c r="V1660">
        <v>0</v>
      </c>
      <c r="W1660">
        <v>0</v>
      </c>
      <c r="X1660">
        <v>1</v>
      </c>
      <c r="Y1660">
        <v>0.16</v>
      </c>
      <c r="Z1660">
        <v>23</v>
      </c>
      <c r="AA1660">
        <v>0</v>
      </c>
      <c r="AB1660">
        <v>0</v>
      </c>
      <c r="AC1660">
        <v>0</v>
      </c>
      <c r="AD1660">
        <v>1</v>
      </c>
      <c r="AE1660">
        <v>0.05</v>
      </c>
      <c r="AF1660">
        <v>15</v>
      </c>
      <c r="AG1660">
        <v>0</v>
      </c>
      <c r="AH1660">
        <v>0</v>
      </c>
      <c r="AI1660">
        <v>0</v>
      </c>
      <c r="AJ1660">
        <v>1</v>
      </c>
      <c r="AK1660">
        <v>0.02</v>
      </c>
      <c r="AL1660">
        <v>16</v>
      </c>
      <c r="AM1660">
        <v>0</v>
      </c>
      <c r="AN1660">
        <v>0</v>
      </c>
      <c r="AO1660">
        <v>0</v>
      </c>
      <c r="AP1660">
        <v>1</v>
      </c>
      <c r="AQ1660">
        <v>0.01</v>
      </c>
      <c r="AX1660">
        <v>7</v>
      </c>
      <c r="AY1660" s="1">
        <v>18</v>
      </c>
      <c r="AZ1660">
        <v>0</v>
      </c>
      <c r="BA1660">
        <v>0</v>
      </c>
      <c r="BB1660">
        <v>1</v>
      </c>
      <c r="BC1660" s="7">
        <v>0.32</v>
      </c>
      <c r="BD1660">
        <v>30</v>
      </c>
      <c r="BE1660">
        <v>0</v>
      </c>
      <c r="BF1660">
        <v>0</v>
      </c>
      <c r="BG1660">
        <v>0</v>
      </c>
      <c r="BH1660">
        <v>5</v>
      </c>
      <c r="BI1660">
        <v>2.4</v>
      </c>
      <c r="BJ1660">
        <v>31</v>
      </c>
      <c r="BK1660">
        <v>0</v>
      </c>
      <c r="BL1660">
        <v>0</v>
      </c>
      <c r="BM1660">
        <v>0</v>
      </c>
      <c r="BN1660">
        <v>5</v>
      </c>
      <c r="BO1660">
        <v>2.4</v>
      </c>
      <c r="BP1660">
        <v>36</v>
      </c>
      <c r="BQ1660">
        <v>0</v>
      </c>
      <c r="BR1660">
        <v>0</v>
      </c>
      <c r="BS1660">
        <v>0</v>
      </c>
      <c r="BT1660">
        <v>5</v>
      </c>
      <c r="BU1660">
        <v>1.6</v>
      </c>
    </row>
    <row r="1661" spans="1:73" ht="14.25" x14ac:dyDescent="0.15">
      <c r="A1661" s="12">
        <v>30808</v>
      </c>
      <c r="B1661">
        <v>7</v>
      </c>
      <c r="C1661" s="1">
        <v>47</v>
      </c>
      <c r="D1661">
        <v>0</v>
      </c>
      <c r="E1661">
        <v>0</v>
      </c>
      <c r="F1661">
        <v>1</v>
      </c>
      <c r="G1661" s="7">
        <v>0.05</v>
      </c>
      <c r="H1661">
        <v>12</v>
      </c>
      <c r="I1661">
        <v>0</v>
      </c>
      <c r="J1661">
        <v>0</v>
      </c>
      <c r="K1661">
        <v>0</v>
      </c>
      <c r="L1661">
        <v>1</v>
      </c>
      <c r="M1661">
        <v>2</v>
      </c>
      <c r="N1661" s="7">
        <v>9</v>
      </c>
      <c r="O1661" s="7">
        <v>0</v>
      </c>
      <c r="P1661" s="7">
        <v>0</v>
      </c>
      <c r="Q1661" s="7">
        <v>0</v>
      </c>
      <c r="R1661" s="7">
        <v>1</v>
      </c>
      <c r="S1661" s="7">
        <v>4.5</v>
      </c>
      <c r="T1661">
        <v>7</v>
      </c>
      <c r="U1661" s="1">
        <v>35</v>
      </c>
      <c r="V1661">
        <v>0</v>
      </c>
      <c r="W1661">
        <v>0</v>
      </c>
      <c r="X1661">
        <v>1</v>
      </c>
      <c r="Y1661">
        <v>0.16</v>
      </c>
      <c r="Z1661">
        <v>23</v>
      </c>
      <c r="AA1661">
        <v>0</v>
      </c>
      <c r="AB1661">
        <v>0</v>
      </c>
      <c r="AC1661">
        <v>0</v>
      </c>
      <c r="AD1661">
        <v>1</v>
      </c>
      <c r="AE1661">
        <v>0.05</v>
      </c>
      <c r="AF1661">
        <v>15</v>
      </c>
      <c r="AG1661">
        <v>0</v>
      </c>
      <c r="AH1661">
        <v>0</v>
      </c>
      <c r="AI1661">
        <v>0</v>
      </c>
      <c r="AJ1661">
        <v>1</v>
      </c>
      <c r="AK1661">
        <v>0.02</v>
      </c>
      <c r="AL1661">
        <v>16</v>
      </c>
      <c r="AM1661">
        <v>0</v>
      </c>
      <c r="AN1661">
        <v>0</v>
      </c>
      <c r="AO1661">
        <v>0</v>
      </c>
      <c r="AP1661">
        <v>1</v>
      </c>
      <c r="AQ1661">
        <v>0.01</v>
      </c>
      <c r="AX1661">
        <v>7</v>
      </c>
      <c r="AY1661" s="1">
        <v>19</v>
      </c>
      <c r="AZ1661">
        <v>0</v>
      </c>
      <c r="BA1661">
        <v>0</v>
      </c>
      <c r="BB1661">
        <v>1</v>
      </c>
      <c r="BC1661" s="7">
        <v>0.32</v>
      </c>
      <c r="BD1661">
        <v>30</v>
      </c>
      <c r="BE1661">
        <v>0</v>
      </c>
      <c r="BF1661">
        <v>0</v>
      </c>
      <c r="BG1661">
        <v>0</v>
      </c>
      <c r="BH1661">
        <v>5</v>
      </c>
      <c r="BI1661">
        <v>2.4</v>
      </c>
      <c r="BJ1661">
        <v>31</v>
      </c>
      <c r="BK1661">
        <v>0</v>
      </c>
      <c r="BL1661">
        <v>0</v>
      </c>
      <c r="BM1661">
        <v>0</v>
      </c>
      <c r="BN1661">
        <v>5</v>
      </c>
      <c r="BO1661">
        <v>2.4</v>
      </c>
      <c r="BP1661">
        <v>36</v>
      </c>
      <c r="BQ1661">
        <v>0</v>
      </c>
      <c r="BR1661">
        <v>0</v>
      </c>
      <c r="BS1661">
        <v>0</v>
      </c>
      <c r="BT1661">
        <v>5</v>
      </c>
      <c r="BU1661">
        <v>1.6</v>
      </c>
    </row>
    <row r="1662" spans="1:73" ht="14.25" x14ac:dyDescent="0.15">
      <c r="A1662" s="12">
        <v>30809</v>
      </c>
      <c r="B1662">
        <v>7</v>
      </c>
      <c r="C1662" s="1">
        <v>48</v>
      </c>
      <c r="D1662">
        <v>0</v>
      </c>
      <c r="E1662">
        <v>0</v>
      </c>
      <c r="F1662">
        <v>1</v>
      </c>
      <c r="G1662" s="7">
        <v>0.05</v>
      </c>
      <c r="H1662">
        <v>12</v>
      </c>
      <c r="I1662">
        <v>0</v>
      </c>
      <c r="J1662">
        <v>0</v>
      </c>
      <c r="K1662">
        <v>0</v>
      </c>
      <c r="L1662">
        <v>1</v>
      </c>
      <c r="M1662">
        <v>2</v>
      </c>
      <c r="N1662" s="7">
        <v>9</v>
      </c>
      <c r="O1662" s="7">
        <v>0</v>
      </c>
      <c r="P1662" s="7">
        <v>0</v>
      </c>
      <c r="Q1662" s="7">
        <v>0</v>
      </c>
      <c r="R1662" s="7">
        <v>1</v>
      </c>
      <c r="S1662" s="7">
        <v>4.5</v>
      </c>
      <c r="T1662">
        <v>7</v>
      </c>
      <c r="U1662" s="1">
        <v>36</v>
      </c>
      <c r="V1662">
        <v>0</v>
      </c>
      <c r="W1662">
        <v>0</v>
      </c>
      <c r="X1662">
        <v>1</v>
      </c>
      <c r="Y1662">
        <v>0.16</v>
      </c>
      <c r="Z1662">
        <v>23</v>
      </c>
      <c r="AA1662">
        <v>0</v>
      </c>
      <c r="AB1662">
        <v>0</v>
      </c>
      <c r="AC1662">
        <v>0</v>
      </c>
      <c r="AD1662">
        <v>1</v>
      </c>
      <c r="AE1662">
        <v>0.05</v>
      </c>
      <c r="AF1662">
        <v>15</v>
      </c>
      <c r="AG1662">
        <v>0</v>
      </c>
      <c r="AH1662">
        <v>0</v>
      </c>
      <c r="AI1662">
        <v>0</v>
      </c>
      <c r="AJ1662">
        <v>1</v>
      </c>
      <c r="AK1662">
        <v>0.02</v>
      </c>
      <c r="AL1662">
        <v>16</v>
      </c>
      <c r="AM1662">
        <v>0</v>
      </c>
      <c r="AN1662">
        <v>0</v>
      </c>
      <c r="AO1662">
        <v>0</v>
      </c>
      <c r="AP1662">
        <v>1</v>
      </c>
      <c r="AQ1662">
        <v>0.01</v>
      </c>
      <c r="AX1662">
        <v>7</v>
      </c>
      <c r="AY1662" s="1">
        <v>20</v>
      </c>
      <c r="AZ1662">
        <v>0</v>
      </c>
      <c r="BA1662">
        <v>0</v>
      </c>
      <c r="BB1662">
        <v>1</v>
      </c>
      <c r="BC1662" s="7">
        <v>0.32</v>
      </c>
      <c r="BD1662">
        <v>30</v>
      </c>
      <c r="BE1662">
        <v>0</v>
      </c>
      <c r="BF1662">
        <v>0</v>
      </c>
      <c r="BG1662">
        <v>0</v>
      </c>
      <c r="BH1662">
        <v>5</v>
      </c>
      <c r="BI1662">
        <v>2.4</v>
      </c>
      <c r="BJ1662">
        <v>31</v>
      </c>
      <c r="BK1662">
        <v>0</v>
      </c>
      <c r="BL1662">
        <v>0</v>
      </c>
      <c r="BM1662">
        <v>0</v>
      </c>
      <c r="BN1662">
        <v>5</v>
      </c>
      <c r="BO1662">
        <v>2.4</v>
      </c>
      <c r="BP1662">
        <v>36</v>
      </c>
      <c r="BQ1662">
        <v>0</v>
      </c>
      <c r="BR1662">
        <v>0</v>
      </c>
      <c r="BS1662">
        <v>0</v>
      </c>
      <c r="BT1662">
        <v>5</v>
      </c>
      <c r="BU1662">
        <v>1.6</v>
      </c>
    </row>
    <row r="1663" spans="1:73" ht="14.25" x14ac:dyDescent="0.15">
      <c r="A1663" s="12">
        <v>30810</v>
      </c>
      <c r="B1663">
        <v>7</v>
      </c>
      <c r="C1663" s="1">
        <v>0</v>
      </c>
      <c r="D1663">
        <v>5</v>
      </c>
      <c r="E1663">
        <v>1</v>
      </c>
      <c r="F1663">
        <v>1</v>
      </c>
      <c r="G1663" s="7">
        <v>0.05</v>
      </c>
      <c r="H1663">
        <v>12</v>
      </c>
      <c r="I1663">
        <v>0</v>
      </c>
      <c r="J1663">
        <v>0</v>
      </c>
      <c r="K1663">
        <v>0</v>
      </c>
      <c r="L1663">
        <v>1</v>
      </c>
      <c r="M1663">
        <v>2</v>
      </c>
      <c r="N1663" s="7">
        <v>9</v>
      </c>
      <c r="O1663" s="7">
        <v>0</v>
      </c>
      <c r="P1663" s="7">
        <v>0</v>
      </c>
      <c r="Q1663" s="7">
        <v>0</v>
      </c>
      <c r="R1663" s="7">
        <v>1</v>
      </c>
      <c r="S1663" s="7">
        <v>4.5</v>
      </c>
      <c r="T1663">
        <v>7</v>
      </c>
      <c r="U1663" s="1">
        <v>0</v>
      </c>
      <c r="V1663">
        <v>4</v>
      </c>
      <c r="W1663">
        <v>2</v>
      </c>
      <c r="X1663">
        <v>1</v>
      </c>
      <c r="Y1663">
        <v>0.16</v>
      </c>
      <c r="Z1663">
        <v>23</v>
      </c>
      <c r="AA1663">
        <v>0</v>
      </c>
      <c r="AB1663">
        <v>0</v>
      </c>
      <c r="AC1663">
        <v>0</v>
      </c>
      <c r="AD1663">
        <v>1</v>
      </c>
      <c r="AE1663">
        <v>0.05</v>
      </c>
      <c r="AF1663">
        <v>15</v>
      </c>
      <c r="AG1663">
        <v>0</v>
      </c>
      <c r="AH1663">
        <v>0</v>
      </c>
      <c r="AI1663">
        <v>0</v>
      </c>
      <c r="AJ1663">
        <v>1</v>
      </c>
      <c r="AK1663">
        <v>0.02</v>
      </c>
      <c r="AL1663">
        <v>16</v>
      </c>
      <c r="AM1663">
        <v>0</v>
      </c>
      <c r="AN1663">
        <v>0</v>
      </c>
      <c r="AO1663">
        <v>0</v>
      </c>
      <c r="AP1663">
        <v>1</v>
      </c>
      <c r="AQ1663">
        <v>0.01</v>
      </c>
      <c r="AR1663">
        <v>6</v>
      </c>
      <c r="AS1663">
        <v>2</v>
      </c>
      <c r="AT1663">
        <v>2</v>
      </c>
      <c r="AU1663">
        <v>5</v>
      </c>
      <c r="AV1663">
        <v>1</v>
      </c>
      <c r="AW1663">
        <v>0.05</v>
      </c>
      <c r="AX1663">
        <v>7</v>
      </c>
      <c r="AY1663" s="1">
        <v>0</v>
      </c>
      <c r="AZ1663">
        <v>3</v>
      </c>
      <c r="BA1663">
        <v>1</v>
      </c>
      <c r="BB1663">
        <v>1</v>
      </c>
      <c r="BC1663" s="7">
        <v>0.32</v>
      </c>
      <c r="BD1663">
        <v>30</v>
      </c>
      <c r="BE1663">
        <v>0</v>
      </c>
      <c r="BF1663">
        <v>0</v>
      </c>
      <c r="BG1663">
        <v>0</v>
      </c>
      <c r="BH1663">
        <v>5</v>
      </c>
      <c r="BI1663">
        <v>2.4</v>
      </c>
      <c r="BJ1663">
        <v>31</v>
      </c>
      <c r="BK1663">
        <v>0</v>
      </c>
      <c r="BL1663">
        <v>0</v>
      </c>
      <c r="BM1663">
        <v>0</v>
      </c>
      <c r="BN1663">
        <v>5</v>
      </c>
      <c r="BO1663">
        <v>2.4</v>
      </c>
      <c r="BP1663">
        <v>36</v>
      </c>
      <c r="BQ1663">
        <v>0</v>
      </c>
      <c r="BR1663">
        <v>0</v>
      </c>
      <c r="BS1663">
        <v>0</v>
      </c>
      <c r="BT1663">
        <v>5</v>
      </c>
      <c r="BU1663">
        <v>1.6</v>
      </c>
    </row>
    <row r="1664" spans="1:73" ht="14.25" x14ac:dyDescent="0.15">
      <c r="A1664" s="12">
        <v>30811</v>
      </c>
      <c r="B1664">
        <v>7</v>
      </c>
      <c r="C1664" s="1">
        <v>45</v>
      </c>
      <c r="D1664">
        <v>0</v>
      </c>
      <c r="E1664">
        <v>0</v>
      </c>
      <c r="F1664">
        <v>1</v>
      </c>
      <c r="G1664" s="7">
        <v>0.05</v>
      </c>
      <c r="H1664">
        <v>12</v>
      </c>
      <c r="I1664">
        <v>0</v>
      </c>
      <c r="J1664">
        <v>0</v>
      </c>
      <c r="K1664">
        <v>0</v>
      </c>
      <c r="L1664">
        <v>1</v>
      </c>
      <c r="M1664">
        <v>2</v>
      </c>
      <c r="N1664" s="7">
        <v>9</v>
      </c>
      <c r="O1664" s="7">
        <v>0</v>
      </c>
      <c r="P1664" s="7">
        <v>0</v>
      </c>
      <c r="Q1664" s="7">
        <v>0</v>
      </c>
      <c r="R1664" s="7">
        <v>1</v>
      </c>
      <c r="S1664" s="7">
        <v>4.5</v>
      </c>
      <c r="T1664">
        <v>7</v>
      </c>
      <c r="U1664" s="1">
        <v>33</v>
      </c>
      <c r="V1664">
        <v>0</v>
      </c>
      <c r="W1664">
        <v>0</v>
      </c>
      <c r="X1664">
        <v>1</v>
      </c>
      <c r="Y1664">
        <v>0.16</v>
      </c>
      <c r="Z1664">
        <v>23</v>
      </c>
      <c r="AA1664">
        <v>0</v>
      </c>
      <c r="AB1664">
        <v>0</v>
      </c>
      <c r="AC1664">
        <v>0</v>
      </c>
      <c r="AD1664">
        <v>1</v>
      </c>
      <c r="AE1664">
        <v>0.05</v>
      </c>
      <c r="AF1664">
        <v>15</v>
      </c>
      <c r="AG1664">
        <v>0</v>
      </c>
      <c r="AH1664">
        <v>0</v>
      </c>
      <c r="AI1664">
        <v>0</v>
      </c>
      <c r="AJ1664">
        <v>1</v>
      </c>
      <c r="AK1664">
        <v>0.02</v>
      </c>
      <c r="AL1664">
        <v>16</v>
      </c>
      <c r="AM1664">
        <v>0</v>
      </c>
      <c r="AN1664">
        <v>0</v>
      </c>
      <c r="AO1664">
        <v>0</v>
      </c>
      <c r="AP1664">
        <v>1</v>
      </c>
      <c r="AQ1664">
        <v>0.01</v>
      </c>
      <c r="AX1664">
        <v>7</v>
      </c>
      <c r="AY1664" s="1">
        <v>17</v>
      </c>
      <c r="AZ1664">
        <v>0</v>
      </c>
      <c r="BA1664">
        <v>0</v>
      </c>
      <c r="BB1664">
        <v>1</v>
      </c>
      <c r="BC1664" s="7">
        <v>0.32</v>
      </c>
      <c r="BD1664">
        <v>30</v>
      </c>
      <c r="BE1664">
        <v>0</v>
      </c>
      <c r="BF1664">
        <v>0</v>
      </c>
      <c r="BG1664">
        <v>0</v>
      </c>
      <c r="BH1664">
        <v>5</v>
      </c>
      <c r="BI1664">
        <v>2.4</v>
      </c>
      <c r="BJ1664">
        <v>31</v>
      </c>
      <c r="BK1664">
        <v>0</v>
      </c>
      <c r="BL1664">
        <v>0</v>
      </c>
      <c r="BM1664">
        <v>0</v>
      </c>
      <c r="BN1664">
        <v>5</v>
      </c>
      <c r="BO1664">
        <v>2.4</v>
      </c>
      <c r="BP1664">
        <v>36</v>
      </c>
      <c r="BQ1664">
        <v>0</v>
      </c>
      <c r="BR1664">
        <v>0</v>
      </c>
      <c r="BS1664">
        <v>0</v>
      </c>
      <c r="BT1664">
        <v>5</v>
      </c>
      <c r="BU1664">
        <v>1.6</v>
      </c>
    </row>
    <row r="1665" spans="1:73" ht="14.25" x14ac:dyDescent="0.15">
      <c r="A1665" s="12">
        <v>30812</v>
      </c>
      <c r="B1665">
        <v>7</v>
      </c>
      <c r="C1665" s="1">
        <v>46</v>
      </c>
      <c r="D1665">
        <v>0</v>
      </c>
      <c r="E1665">
        <v>0</v>
      </c>
      <c r="F1665">
        <v>1</v>
      </c>
      <c r="G1665" s="7">
        <v>0.05</v>
      </c>
      <c r="H1665">
        <v>12</v>
      </c>
      <c r="I1665">
        <v>0</v>
      </c>
      <c r="J1665">
        <v>0</v>
      </c>
      <c r="K1665">
        <v>0</v>
      </c>
      <c r="L1665">
        <v>1</v>
      </c>
      <c r="M1665">
        <v>2</v>
      </c>
      <c r="N1665" s="7">
        <v>9</v>
      </c>
      <c r="O1665" s="7">
        <v>0</v>
      </c>
      <c r="P1665" s="7">
        <v>0</v>
      </c>
      <c r="Q1665" s="7">
        <v>0</v>
      </c>
      <c r="R1665" s="7">
        <v>1</v>
      </c>
      <c r="S1665" s="7">
        <v>4.5</v>
      </c>
      <c r="T1665">
        <v>7</v>
      </c>
      <c r="U1665" s="1">
        <v>34</v>
      </c>
      <c r="V1665">
        <v>0</v>
      </c>
      <c r="W1665">
        <v>0</v>
      </c>
      <c r="X1665">
        <v>1</v>
      </c>
      <c r="Y1665">
        <v>0.16</v>
      </c>
      <c r="Z1665">
        <v>23</v>
      </c>
      <c r="AA1665">
        <v>0</v>
      </c>
      <c r="AB1665">
        <v>0</v>
      </c>
      <c r="AC1665">
        <v>0</v>
      </c>
      <c r="AD1665">
        <v>1</v>
      </c>
      <c r="AE1665">
        <v>0.05</v>
      </c>
      <c r="AF1665">
        <v>15</v>
      </c>
      <c r="AG1665">
        <v>0</v>
      </c>
      <c r="AH1665">
        <v>0</v>
      </c>
      <c r="AI1665">
        <v>0</v>
      </c>
      <c r="AJ1665">
        <v>1</v>
      </c>
      <c r="AK1665">
        <v>0.02</v>
      </c>
      <c r="AL1665">
        <v>16</v>
      </c>
      <c r="AM1665">
        <v>0</v>
      </c>
      <c r="AN1665">
        <v>0</v>
      </c>
      <c r="AO1665">
        <v>0</v>
      </c>
      <c r="AP1665">
        <v>1</v>
      </c>
      <c r="AQ1665">
        <v>0.01</v>
      </c>
      <c r="AX1665">
        <v>7</v>
      </c>
      <c r="AY1665" s="1">
        <v>18</v>
      </c>
      <c r="AZ1665">
        <v>0</v>
      </c>
      <c r="BA1665">
        <v>0</v>
      </c>
      <c r="BB1665">
        <v>1</v>
      </c>
      <c r="BC1665" s="7">
        <v>0.32</v>
      </c>
      <c r="BD1665">
        <v>30</v>
      </c>
      <c r="BE1665">
        <v>0</v>
      </c>
      <c r="BF1665">
        <v>0</v>
      </c>
      <c r="BG1665">
        <v>0</v>
      </c>
      <c r="BH1665">
        <v>5</v>
      </c>
      <c r="BI1665">
        <v>2.4</v>
      </c>
      <c r="BJ1665">
        <v>31</v>
      </c>
      <c r="BK1665">
        <v>0</v>
      </c>
      <c r="BL1665">
        <v>0</v>
      </c>
      <c r="BM1665">
        <v>0</v>
      </c>
      <c r="BN1665">
        <v>5</v>
      </c>
      <c r="BO1665">
        <v>2.4</v>
      </c>
      <c r="BP1665">
        <v>36</v>
      </c>
      <c r="BQ1665">
        <v>0</v>
      </c>
      <c r="BR1665">
        <v>0</v>
      </c>
      <c r="BS1665">
        <v>0</v>
      </c>
      <c r="BT1665">
        <v>5</v>
      </c>
      <c r="BU1665">
        <v>1.6</v>
      </c>
    </row>
    <row r="1666" spans="1:73" ht="14.25" x14ac:dyDescent="0.15">
      <c r="A1666" s="12">
        <v>30813</v>
      </c>
      <c r="B1666">
        <v>7</v>
      </c>
      <c r="C1666" s="1">
        <v>47</v>
      </c>
      <c r="D1666">
        <v>0</v>
      </c>
      <c r="E1666">
        <v>0</v>
      </c>
      <c r="F1666">
        <v>1</v>
      </c>
      <c r="G1666" s="7">
        <v>0.05</v>
      </c>
      <c r="H1666">
        <v>12</v>
      </c>
      <c r="I1666">
        <v>0</v>
      </c>
      <c r="J1666">
        <v>0</v>
      </c>
      <c r="K1666">
        <v>0</v>
      </c>
      <c r="L1666">
        <v>1</v>
      </c>
      <c r="M1666">
        <v>2</v>
      </c>
      <c r="N1666" s="7">
        <v>9</v>
      </c>
      <c r="O1666" s="7">
        <v>0</v>
      </c>
      <c r="P1666" s="7">
        <v>0</v>
      </c>
      <c r="Q1666" s="7">
        <v>0</v>
      </c>
      <c r="R1666" s="7">
        <v>1</v>
      </c>
      <c r="S1666" s="7">
        <v>4.5</v>
      </c>
      <c r="T1666">
        <v>7</v>
      </c>
      <c r="U1666" s="1">
        <v>35</v>
      </c>
      <c r="V1666">
        <v>0</v>
      </c>
      <c r="W1666">
        <v>0</v>
      </c>
      <c r="X1666">
        <v>1</v>
      </c>
      <c r="Y1666">
        <v>0.16</v>
      </c>
      <c r="Z1666">
        <v>23</v>
      </c>
      <c r="AA1666">
        <v>0</v>
      </c>
      <c r="AB1666">
        <v>0</v>
      </c>
      <c r="AC1666">
        <v>0</v>
      </c>
      <c r="AD1666">
        <v>1</v>
      </c>
      <c r="AE1666">
        <v>0.05</v>
      </c>
      <c r="AF1666">
        <v>15</v>
      </c>
      <c r="AG1666">
        <v>0</v>
      </c>
      <c r="AH1666">
        <v>0</v>
      </c>
      <c r="AI1666">
        <v>0</v>
      </c>
      <c r="AJ1666">
        <v>1</v>
      </c>
      <c r="AK1666">
        <v>0.02</v>
      </c>
      <c r="AL1666">
        <v>16</v>
      </c>
      <c r="AM1666">
        <v>0</v>
      </c>
      <c r="AN1666">
        <v>0</v>
      </c>
      <c r="AO1666">
        <v>0</v>
      </c>
      <c r="AP1666">
        <v>1</v>
      </c>
      <c r="AQ1666">
        <v>0.01</v>
      </c>
      <c r="AX1666">
        <v>7</v>
      </c>
      <c r="AY1666" s="1">
        <v>19</v>
      </c>
      <c r="AZ1666">
        <v>0</v>
      </c>
      <c r="BA1666">
        <v>0</v>
      </c>
      <c r="BB1666">
        <v>1</v>
      </c>
      <c r="BC1666" s="7">
        <v>0.32</v>
      </c>
      <c r="BD1666">
        <v>30</v>
      </c>
      <c r="BE1666">
        <v>0</v>
      </c>
      <c r="BF1666">
        <v>0</v>
      </c>
      <c r="BG1666">
        <v>0</v>
      </c>
      <c r="BH1666">
        <v>5</v>
      </c>
      <c r="BI1666">
        <v>2.4</v>
      </c>
      <c r="BJ1666">
        <v>31</v>
      </c>
      <c r="BK1666">
        <v>0</v>
      </c>
      <c r="BL1666">
        <v>0</v>
      </c>
      <c r="BM1666">
        <v>0</v>
      </c>
      <c r="BN1666">
        <v>5</v>
      </c>
      <c r="BO1666">
        <v>2.4</v>
      </c>
      <c r="BP1666">
        <v>36</v>
      </c>
      <c r="BQ1666">
        <v>0</v>
      </c>
      <c r="BR1666">
        <v>0</v>
      </c>
      <c r="BS1666">
        <v>0</v>
      </c>
      <c r="BT1666">
        <v>5</v>
      </c>
      <c r="BU1666">
        <v>1.6</v>
      </c>
    </row>
    <row r="1667" spans="1:73" ht="14.25" x14ac:dyDescent="0.15">
      <c r="A1667" s="12">
        <v>30814</v>
      </c>
      <c r="B1667">
        <v>7</v>
      </c>
      <c r="C1667" s="1">
        <v>48</v>
      </c>
      <c r="D1667">
        <v>0</v>
      </c>
      <c r="E1667">
        <v>0</v>
      </c>
      <c r="F1667">
        <v>1</v>
      </c>
      <c r="G1667" s="7">
        <v>0.05</v>
      </c>
      <c r="H1667">
        <v>12</v>
      </c>
      <c r="I1667">
        <v>0</v>
      </c>
      <c r="J1667">
        <v>0</v>
      </c>
      <c r="K1667">
        <v>0</v>
      </c>
      <c r="L1667">
        <v>1</v>
      </c>
      <c r="M1667">
        <v>2</v>
      </c>
      <c r="N1667" s="7">
        <v>9</v>
      </c>
      <c r="O1667" s="7">
        <v>0</v>
      </c>
      <c r="P1667" s="7">
        <v>0</v>
      </c>
      <c r="Q1667" s="7">
        <v>0</v>
      </c>
      <c r="R1667" s="7">
        <v>1</v>
      </c>
      <c r="S1667" s="7">
        <v>4.5</v>
      </c>
      <c r="T1667">
        <v>7</v>
      </c>
      <c r="U1667" s="1">
        <v>36</v>
      </c>
      <c r="V1667">
        <v>0</v>
      </c>
      <c r="W1667">
        <v>0</v>
      </c>
      <c r="X1667">
        <v>1</v>
      </c>
      <c r="Y1667">
        <v>0.16</v>
      </c>
      <c r="Z1667">
        <v>23</v>
      </c>
      <c r="AA1667">
        <v>0</v>
      </c>
      <c r="AB1667">
        <v>0</v>
      </c>
      <c r="AC1667">
        <v>0</v>
      </c>
      <c r="AD1667">
        <v>1</v>
      </c>
      <c r="AE1667">
        <v>0.05</v>
      </c>
      <c r="AF1667">
        <v>15</v>
      </c>
      <c r="AG1667">
        <v>0</v>
      </c>
      <c r="AH1667">
        <v>0</v>
      </c>
      <c r="AI1667">
        <v>0</v>
      </c>
      <c r="AJ1667">
        <v>1</v>
      </c>
      <c r="AK1667">
        <v>0.02</v>
      </c>
      <c r="AL1667">
        <v>16</v>
      </c>
      <c r="AM1667">
        <v>0</v>
      </c>
      <c r="AN1667">
        <v>0</v>
      </c>
      <c r="AO1667">
        <v>0</v>
      </c>
      <c r="AP1667">
        <v>1</v>
      </c>
      <c r="AQ1667">
        <v>0.01</v>
      </c>
      <c r="AX1667">
        <v>7</v>
      </c>
      <c r="AY1667" s="1">
        <v>20</v>
      </c>
      <c r="AZ1667">
        <v>0</v>
      </c>
      <c r="BA1667">
        <v>0</v>
      </c>
      <c r="BB1667">
        <v>1</v>
      </c>
      <c r="BC1667" s="7">
        <v>0.32</v>
      </c>
      <c r="BD1667">
        <v>30</v>
      </c>
      <c r="BE1667">
        <v>0</v>
      </c>
      <c r="BF1667">
        <v>0</v>
      </c>
      <c r="BG1667">
        <v>0</v>
      </c>
      <c r="BH1667">
        <v>5</v>
      </c>
      <c r="BI1667">
        <v>2.4</v>
      </c>
      <c r="BJ1667">
        <v>31</v>
      </c>
      <c r="BK1667">
        <v>0</v>
      </c>
      <c r="BL1667">
        <v>0</v>
      </c>
      <c r="BM1667">
        <v>0</v>
      </c>
      <c r="BN1667">
        <v>5</v>
      </c>
      <c r="BO1667">
        <v>2.4</v>
      </c>
      <c r="BP1667">
        <v>36</v>
      </c>
      <c r="BQ1667">
        <v>0</v>
      </c>
      <c r="BR1667">
        <v>0</v>
      </c>
      <c r="BS1667">
        <v>0</v>
      </c>
      <c r="BT1667">
        <v>5</v>
      </c>
      <c r="BU1667">
        <v>1.6</v>
      </c>
    </row>
    <row r="1668" spans="1:73" ht="14.25" x14ac:dyDescent="0.15">
      <c r="A1668" s="12">
        <v>30815</v>
      </c>
      <c r="B1668">
        <v>7</v>
      </c>
      <c r="C1668" s="1">
        <v>0</v>
      </c>
      <c r="D1668">
        <v>5</v>
      </c>
      <c r="E1668">
        <v>1</v>
      </c>
      <c r="F1668">
        <v>1</v>
      </c>
      <c r="G1668" s="7">
        <v>0.05</v>
      </c>
      <c r="H1668">
        <v>12</v>
      </c>
      <c r="I1668">
        <v>0</v>
      </c>
      <c r="J1668">
        <v>0</v>
      </c>
      <c r="K1668">
        <v>0</v>
      </c>
      <c r="L1668">
        <v>1</v>
      </c>
      <c r="M1668">
        <v>2</v>
      </c>
      <c r="N1668" s="7">
        <v>9</v>
      </c>
      <c r="O1668" s="7">
        <v>0</v>
      </c>
      <c r="P1668" s="7">
        <v>0</v>
      </c>
      <c r="Q1668" s="7">
        <v>0</v>
      </c>
      <c r="R1668" s="7">
        <v>1</v>
      </c>
      <c r="S1668" s="7">
        <v>4.5</v>
      </c>
      <c r="T1668">
        <v>7</v>
      </c>
      <c r="U1668" s="1">
        <v>0</v>
      </c>
      <c r="V1668">
        <v>4</v>
      </c>
      <c r="W1668">
        <v>2</v>
      </c>
      <c r="X1668">
        <v>1</v>
      </c>
      <c r="Y1668">
        <v>0.16</v>
      </c>
      <c r="Z1668">
        <v>23</v>
      </c>
      <c r="AA1668">
        <v>0</v>
      </c>
      <c r="AB1668">
        <v>0</v>
      </c>
      <c r="AC1668">
        <v>0</v>
      </c>
      <c r="AD1668">
        <v>1</v>
      </c>
      <c r="AE1668">
        <v>0.05</v>
      </c>
      <c r="AF1668">
        <v>15</v>
      </c>
      <c r="AG1668">
        <v>0</v>
      </c>
      <c r="AH1668">
        <v>0</v>
      </c>
      <c r="AI1668">
        <v>0</v>
      </c>
      <c r="AJ1668">
        <v>1</v>
      </c>
      <c r="AK1668">
        <v>0.02</v>
      </c>
      <c r="AL1668">
        <v>16</v>
      </c>
      <c r="AM1668">
        <v>0</v>
      </c>
      <c r="AN1668">
        <v>0</v>
      </c>
      <c r="AO1668">
        <v>0</v>
      </c>
      <c r="AP1668">
        <v>1</v>
      </c>
      <c r="AQ1668">
        <v>0.01</v>
      </c>
      <c r="AR1668">
        <v>6</v>
      </c>
      <c r="AS1668">
        <v>2</v>
      </c>
      <c r="AT1668">
        <v>3</v>
      </c>
      <c r="AU1668">
        <v>5</v>
      </c>
      <c r="AV1668">
        <v>1</v>
      </c>
      <c r="AW1668">
        <v>0.05</v>
      </c>
      <c r="AX1668">
        <v>7</v>
      </c>
      <c r="AY1668" s="1">
        <v>0</v>
      </c>
      <c r="AZ1668">
        <v>3</v>
      </c>
      <c r="BA1668">
        <v>1</v>
      </c>
      <c r="BB1668">
        <v>1</v>
      </c>
      <c r="BC1668" s="7">
        <v>0.32</v>
      </c>
      <c r="BD1668">
        <v>30</v>
      </c>
      <c r="BE1668">
        <v>0</v>
      </c>
      <c r="BF1668">
        <v>0</v>
      </c>
      <c r="BG1668">
        <v>0</v>
      </c>
      <c r="BH1668">
        <v>5</v>
      </c>
      <c r="BI1668">
        <v>2.4</v>
      </c>
      <c r="BJ1668">
        <v>31</v>
      </c>
      <c r="BK1668">
        <v>0</v>
      </c>
      <c r="BL1668">
        <v>0</v>
      </c>
      <c r="BM1668">
        <v>0</v>
      </c>
      <c r="BN1668">
        <v>5</v>
      </c>
      <c r="BO1668">
        <v>2.4</v>
      </c>
      <c r="BP1668">
        <v>36</v>
      </c>
      <c r="BQ1668">
        <v>0</v>
      </c>
      <c r="BR1668">
        <v>0</v>
      </c>
      <c r="BS1668">
        <v>0</v>
      </c>
      <c r="BT1668">
        <v>5</v>
      </c>
      <c r="BU1668">
        <v>1.6</v>
      </c>
    </row>
    <row r="1669" spans="1:73" ht="14.25" x14ac:dyDescent="0.15">
      <c r="A1669" s="12">
        <v>30816</v>
      </c>
      <c r="B1669">
        <v>7</v>
      </c>
      <c r="C1669" s="1">
        <v>45</v>
      </c>
      <c r="D1669">
        <v>0</v>
      </c>
      <c r="E1669">
        <v>0</v>
      </c>
      <c r="F1669">
        <v>1</v>
      </c>
      <c r="G1669" s="7">
        <v>0.05</v>
      </c>
      <c r="H1669">
        <v>12</v>
      </c>
      <c r="I1669">
        <v>0</v>
      </c>
      <c r="J1669">
        <v>0</v>
      </c>
      <c r="K1669">
        <v>0</v>
      </c>
      <c r="L1669">
        <v>1</v>
      </c>
      <c r="M1669">
        <v>2</v>
      </c>
      <c r="N1669" s="7">
        <v>9</v>
      </c>
      <c r="O1669" s="7">
        <v>0</v>
      </c>
      <c r="P1669" s="7">
        <v>0</v>
      </c>
      <c r="Q1669" s="7">
        <v>0</v>
      </c>
      <c r="R1669" s="7">
        <v>1</v>
      </c>
      <c r="S1669" s="7">
        <v>4.5</v>
      </c>
      <c r="T1669">
        <v>7</v>
      </c>
      <c r="U1669" s="1">
        <v>33</v>
      </c>
      <c r="V1669">
        <v>0</v>
      </c>
      <c r="W1669">
        <v>0</v>
      </c>
      <c r="X1669">
        <v>1</v>
      </c>
      <c r="Y1669">
        <v>0.16</v>
      </c>
      <c r="Z1669">
        <v>23</v>
      </c>
      <c r="AA1669">
        <v>0</v>
      </c>
      <c r="AB1669">
        <v>0</v>
      </c>
      <c r="AC1669">
        <v>0</v>
      </c>
      <c r="AD1669">
        <v>1</v>
      </c>
      <c r="AE1669">
        <v>0.05</v>
      </c>
      <c r="AF1669">
        <v>15</v>
      </c>
      <c r="AG1669">
        <v>0</v>
      </c>
      <c r="AH1669">
        <v>0</v>
      </c>
      <c r="AI1669">
        <v>0</v>
      </c>
      <c r="AJ1669">
        <v>1</v>
      </c>
      <c r="AK1669">
        <v>0.02</v>
      </c>
      <c r="AL1669">
        <v>16</v>
      </c>
      <c r="AM1669">
        <v>0</v>
      </c>
      <c r="AN1669">
        <v>0</v>
      </c>
      <c r="AO1669">
        <v>0</v>
      </c>
      <c r="AP1669">
        <v>1</v>
      </c>
      <c r="AQ1669">
        <v>0.01</v>
      </c>
      <c r="AX1669">
        <v>7</v>
      </c>
      <c r="AY1669" s="1">
        <v>17</v>
      </c>
      <c r="AZ1669">
        <v>0</v>
      </c>
      <c r="BA1669">
        <v>0</v>
      </c>
      <c r="BB1669">
        <v>1</v>
      </c>
      <c r="BC1669" s="7">
        <v>0.32</v>
      </c>
      <c r="BD1669">
        <v>30</v>
      </c>
      <c r="BE1669">
        <v>0</v>
      </c>
      <c r="BF1669">
        <v>0</v>
      </c>
      <c r="BG1669">
        <v>0</v>
      </c>
      <c r="BH1669">
        <v>5</v>
      </c>
      <c r="BI1669">
        <v>2.4</v>
      </c>
      <c r="BJ1669">
        <v>31</v>
      </c>
      <c r="BK1669">
        <v>0</v>
      </c>
      <c r="BL1669">
        <v>0</v>
      </c>
      <c r="BM1669">
        <v>0</v>
      </c>
      <c r="BN1669">
        <v>5</v>
      </c>
      <c r="BO1669">
        <v>2.4</v>
      </c>
      <c r="BP1669">
        <v>36</v>
      </c>
      <c r="BQ1669">
        <v>0</v>
      </c>
      <c r="BR1669">
        <v>0</v>
      </c>
      <c r="BS1669">
        <v>0</v>
      </c>
      <c r="BT1669">
        <v>5</v>
      </c>
      <c r="BU1669">
        <v>1.6</v>
      </c>
    </row>
    <row r="1670" spans="1:73" ht="14.25" x14ac:dyDescent="0.15">
      <c r="A1670" s="12">
        <v>30817</v>
      </c>
      <c r="B1670">
        <v>7</v>
      </c>
      <c r="C1670" s="1">
        <v>46</v>
      </c>
      <c r="D1670">
        <v>0</v>
      </c>
      <c r="E1670">
        <v>0</v>
      </c>
      <c r="F1670">
        <v>1</v>
      </c>
      <c r="G1670" s="7">
        <v>0.05</v>
      </c>
      <c r="H1670">
        <v>12</v>
      </c>
      <c r="I1670">
        <v>0</v>
      </c>
      <c r="J1670">
        <v>0</v>
      </c>
      <c r="K1670">
        <v>0</v>
      </c>
      <c r="L1670">
        <v>1</v>
      </c>
      <c r="M1670">
        <v>2</v>
      </c>
      <c r="N1670" s="7">
        <v>9</v>
      </c>
      <c r="O1670" s="7">
        <v>0</v>
      </c>
      <c r="P1670" s="7">
        <v>0</v>
      </c>
      <c r="Q1670" s="7">
        <v>0</v>
      </c>
      <c r="R1670" s="7">
        <v>1</v>
      </c>
      <c r="S1670" s="7">
        <v>4.5</v>
      </c>
      <c r="T1670">
        <v>7</v>
      </c>
      <c r="U1670" s="1">
        <v>34</v>
      </c>
      <c r="V1670">
        <v>0</v>
      </c>
      <c r="W1670">
        <v>0</v>
      </c>
      <c r="X1670">
        <v>1</v>
      </c>
      <c r="Y1670">
        <v>0.16</v>
      </c>
      <c r="Z1670">
        <v>23</v>
      </c>
      <c r="AA1670">
        <v>0</v>
      </c>
      <c r="AB1670">
        <v>0</v>
      </c>
      <c r="AC1670">
        <v>0</v>
      </c>
      <c r="AD1670">
        <v>1</v>
      </c>
      <c r="AE1670">
        <v>0.05</v>
      </c>
      <c r="AF1670">
        <v>15</v>
      </c>
      <c r="AG1670">
        <v>0</v>
      </c>
      <c r="AH1670">
        <v>0</v>
      </c>
      <c r="AI1670">
        <v>0</v>
      </c>
      <c r="AJ1670">
        <v>1</v>
      </c>
      <c r="AK1670">
        <v>0.02</v>
      </c>
      <c r="AL1670">
        <v>16</v>
      </c>
      <c r="AM1670">
        <v>0</v>
      </c>
      <c r="AN1670">
        <v>0</v>
      </c>
      <c r="AO1670">
        <v>0</v>
      </c>
      <c r="AP1670">
        <v>1</v>
      </c>
      <c r="AQ1670">
        <v>0.01</v>
      </c>
      <c r="AX1670">
        <v>7</v>
      </c>
      <c r="AY1670" s="1">
        <v>18</v>
      </c>
      <c r="AZ1670">
        <v>0</v>
      </c>
      <c r="BA1670">
        <v>0</v>
      </c>
      <c r="BB1670">
        <v>1</v>
      </c>
      <c r="BC1670" s="7">
        <v>0.32</v>
      </c>
      <c r="BD1670">
        <v>30</v>
      </c>
      <c r="BE1670">
        <v>0</v>
      </c>
      <c r="BF1670">
        <v>0</v>
      </c>
      <c r="BG1670">
        <v>0</v>
      </c>
      <c r="BH1670">
        <v>5</v>
      </c>
      <c r="BI1670">
        <v>2.4</v>
      </c>
      <c r="BJ1670">
        <v>31</v>
      </c>
      <c r="BK1670">
        <v>0</v>
      </c>
      <c r="BL1670">
        <v>0</v>
      </c>
      <c r="BM1670">
        <v>0</v>
      </c>
      <c r="BN1670">
        <v>5</v>
      </c>
      <c r="BO1670">
        <v>2.4</v>
      </c>
      <c r="BP1670">
        <v>36</v>
      </c>
      <c r="BQ1670">
        <v>0</v>
      </c>
      <c r="BR1670">
        <v>0</v>
      </c>
      <c r="BS1670">
        <v>0</v>
      </c>
      <c r="BT1670">
        <v>5</v>
      </c>
      <c r="BU1670">
        <v>1.6</v>
      </c>
    </row>
    <row r="1671" spans="1:73" ht="14.25" x14ac:dyDescent="0.15">
      <c r="A1671" s="12">
        <v>30818</v>
      </c>
      <c r="B1671">
        <v>7</v>
      </c>
      <c r="C1671" s="1">
        <v>47</v>
      </c>
      <c r="D1671">
        <v>0</v>
      </c>
      <c r="E1671">
        <v>0</v>
      </c>
      <c r="F1671">
        <v>1</v>
      </c>
      <c r="G1671" s="7">
        <v>0.05</v>
      </c>
      <c r="H1671">
        <v>12</v>
      </c>
      <c r="I1671">
        <v>0</v>
      </c>
      <c r="J1671">
        <v>0</v>
      </c>
      <c r="K1671">
        <v>0</v>
      </c>
      <c r="L1671">
        <v>1</v>
      </c>
      <c r="M1671">
        <v>2</v>
      </c>
      <c r="N1671" s="7">
        <v>9</v>
      </c>
      <c r="O1671" s="7">
        <v>0</v>
      </c>
      <c r="P1671" s="7">
        <v>0</v>
      </c>
      <c r="Q1671" s="7">
        <v>0</v>
      </c>
      <c r="R1671" s="7">
        <v>1</v>
      </c>
      <c r="S1671" s="7">
        <v>4.5</v>
      </c>
      <c r="T1671">
        <v>7</v>
      </c>
      <c r="U1671" s="1">
        <v>35</v>
      </c>
      <c r="V1671">
        <v>0</v>
      </c>
      <c r="W1671">
        <v>0</v>
      </c>
      <c r="X1671">
        <v>1</v>
      </c>
      <c r="Y1671">
        <v>0.16</v>
      </c>
      <c r="Z1671">
        <v>23</v>
      </c>
      <c r="AA1671">
        <v>0</v>
      </c>
      <c r="AB1671">
        <v>0</v>
      </c>
      <c r="AC1671">
        <v>0</v>
      </c>
      <c r="AD1671">
        <v>1</v>
      </c>
      <c r="AE1671">
        <v>0.05</v>
      </c>
      <c r="AF1671">
        <v>15</v>
      </c>
      <c r="AG1671">
        <v>0</v>
      </c>
      <c r="AH1671">
        <v>0</v>
      </c>
      <c r="AI1671">
        <v>0</v>
      </c>
      <c r="AJ1671">
        <v>1</v>
      </c>
      <c r="AK1671">
        <v>0.02</v>
      </c>
      <c r="AL1671">
        <v>16</v>
      </c>
      <c r="AM1671">
        <v>0</v>
      </c>
      <c r="AN1671">
        <v>0</v>
      </c>
      <c r="AO1671">
        <v>0</v>
      </c>
      <c r="AP1671">
        <v>1</v>
      </c>
      <c r="AQ1671">
        <v>0.01</v>
      </c>
      <c r="AX1671">
        <v>7</v>
      </c>
      <c r="AY1671" s="1">
        <v>19</v>
      </c>
      <c r="AZ1671">
        <v>0</v>
      </c>
      <c r="BA1671">
        <v>0</v>
      </c>
      <c r="BB1671">
        <v>1</v>
      </c>
      <c r="BC1671" s="7">
        <v>0.32</v>
      </c>
      <c r="BD1671">
        <v>30</v>
      </c>
      <c r="BE1671">
        <v>0</v>
      </c>
      <c r="BF1671">
        <v>0</v>
      </c>
      <c r="BG1671">
        <v>0</v>
      </c>
      <c r="BH1671">
        <v>5</v>
      </c>
      <c r="BI1671">
        <v>2.4</v>
      </c>
      <c r="BJ1671">
        <v>31</v>
      </c>
      <c r="BK1671">
        <v>0</v>
      </c>
      <c r="BL1671">
        <v>0</v>
      </c>
      <c r="BM1671">
        <v>0</v>
      </c>
      <c r="BN1671">
        <v>5</v>
      </c>
      <c r="BO1671">
        <v>2.4</v>
      </c>
      <c r="BP1671">
        <v>36</v>
      </c>
      <c r="BQ1671">
        <v>0</v>
      </c>
      <c r="BR1671">
        <v>0</v>
      </c>
      <c r="BS1671">
        <v>0</v>
      </c>
      <c r="BT1671">
        <v>5</v>
      </c>
      <c r="BU1671">
        <v>1.6</v>
      </c>
    </row>
    <row r="1672" spans="1:73" ht="14.25" x14ac:dyDescent="0.15">
      <c r="A1672" s="12">
        <v>30819</v>
      </c>
      <c r="B1672">
        <v>7</v>
      </c>
      <c r="C1672" s="1">
        <v>48</v>
      </c>
      <c r="D1672">
        <v>0</v>
      </c>
      <c r="E1672">
        <v>0</v>
      </c>
      <c r="F1672">
        <v>1</v>
      </c>
      <c r="G1672" s="7">
        <v>0.05</v>
      </c>
      <c r="H1672">
        <v>12</v>
      </c>
      <c r="I1672">
        <v>0</v>
      </c>
      <c r="J1672">
        <v>0</v>
      </c>
      <c r="K1672">
        <v>0</v>
      </c>
      <c r="L1672">
        <v>1</v>
      </c>
      <c r="M1672">
        <v>2</v>
      </c>
      <c r="N1672" s="7">
        <v>9</v>
      </c>
      <c r="O1672" s="7">
        <v>0</v>
      </c>
      <c r="P1672" s="7">
        <v>0</v>
      </c>
      <c r="Q1672" s="7">
        <v>0</v>
      </c>
      <c r="R1672" s="7">
        <v>1</v>
      </c>
      <c r="S1672" s="7">
        <v>4.5</v>
      </c>
      <c r="T1672">
        <v>7</v>
      </c>
      <c r="U1672" s="1">
        <v>36</v>
      </c>
      <c r="V1672">
        <v>0</v>
      </c>
      <c r="W1672">
        <v>0</v>
      </c>
      <c r="X1672">
        <v>1</v>
      </c>
      <c r="Y1672">
        <v>0.16</v>
      </c>
      <c r="Z1672">
        <v>23</v>
      </c>
      <c r="AA1672">
        <v>0</v>
      </c>
      <c r="AB1672">
        <v>0</v>
      </c>
      <c r="AC1672">
        <v>0</v>
      </c>
      <c r="AD1672">
        <v>1</v>
      </c>
      <c r="AE1672">
        <v>0.05</v>
      </c>
      <c r="AF1672">
        <v>15</v>
      </c>
      <c r="AG1672">
        <v>0</v>
      </c>
      <c r="AH1672">
        <v>0</v>
      </c>
      <c r="AI1672">
        <v>0</v>
      </c>
      <c r="AJ1672">
        <v>1</v>
      </c>
      <c r="AK1672">
        <v>0.02</v>
      </c>
      <c r="AL1672">
        <v>16</v>
      </c>
      <c r="AM1672">
        <v>0</v>
      </c>
      <c r="AN1672">
        <v>0</v>
      </c>
      <c r="AO1672">
        <v>0</v>
      </c>
      <c r="AP1672">
        <v>1</v>
      </c>
      <c r="AQ1672">
        <v>0.01</v>
      </c>
      <c r="AX1672">
        <v>7</v>
      </c>
      <c r="AY1672" s="1">
        <v>20</v>
      </c>
      <c r="AZ1672">
        <v>0</v>
      </c>
      <c r="BA1672">
        <v>0</v>
      </c>
      <c r="BB1672">
        <v>1</v>
      </c>
      <c r="BC1672" s="7">
        <v>0.32</v>
      </c>
      <c r="BD1672">
        <v>30</v>
      </c>
      <c r="BE1672">
        <v>0</v>
      </c>
      <c r="BF1672">
        <v>0</v>
      </c>
      <c r="BG1672">
        <v>0</v>
      </c>
      <c r="BH1672">
        <v>5</v>
      </c>
      <c r="BI1672">
        <v>2.4</v>
      </c>
      <c r="BJ1672">
        <v>31</v>
      </c>
      <c r="BK1672">
        <v>0</v>
      </c>
      <c r="BL1672">
        <v>0</v>
      </c>
      <c r="BM1672">
        <v>0</v>
      </c>
      <c r="BN1672">
        <v>5</v>
      </c>
      <c r="BO1672">
        <v>2.4</v>
      </c>
      <c r="BP1672">
        <v>36</v>
      </c>
      <c r="BQ1672">
        <v>0</v>
      </c>
      <c r="BR1672">
        <v>0</v>
      </c>
      <c r="BS1672">
        <v>0</v>
      </c>
      <c r="BT1672">
        <v>5</v>
      </c>
      <c r="BU1672">
        <v>1.6</v>
      </c>
    </row>
    <row r="1673" spans="1:73" ht="14.25" x14ac:dyDescent="0.15">
      <c r="A1673" s="12">
        <v>30820</v>
      </c>
      <c r="B1673">
        <v>7</v>
      </c>
      <c r="C1673" s="1">
        <v>0</v>
      </c>
      <c r="D1673">
        <v>5</v>
      </c>
      <c r="E1673">
        <v>1</v>
      </c>
      <c r="F1673">
        <v>1</v>
      </c>
      <c r="G1673" s="7">
        <v>0.05</v>
      </c>
      <c r="H1673">
        <v>12</v>
      </c>
      <c r="I1673">
        <v>0</v>
      </c>
      <c r="J1673">
        <v>0</v>
      </c>
      <c r="K1673">
        <v>0</v>
      </c>
      <c r="L1673">
        <v>1</v>
      </c>
      <c r="M1673">
        <v>2</v>
      </c>
      <c r="N1673" s="7">
        <v>9</v>
      </c>
      <c r="O1673" s="7">
        <v>0</v>
      </c>
      <c r="P1673" s="7">
        <v>0</v>
      </c>
      <c r="Q1673" s="7">
        <v>0</v>
      </c>
      <c r="R1673" s="7">
        <v>1</v>
      </c>
      <c r="S1673" s="7">
        <v>4.5</v>
      </c>
      <c r="T1673">
        <v>7</v>
      </c>
      <c r="U1673" s="1">
        <v>0</v>
      </c>
      <c r="V1673">
        <v>4</v>
      </c>
      <c r="W1673">
        <v>2</v>
      </c>
      <c r="X1673">
        <v>1</v>
      </c>
      <c r="Y1673">
        <v>0.16</v>
      </c>
      <c r="Z1673">
        <v>23</v>
      </c>
      <c r="AA1673">
        <v>0</v>
      </c>
      <c r="AB1673">
        <v>0</v>
      </c>
      <c r="AC1673">
        <v>0</v>
      </c>
      <c r="AD1673">
        <v>1</v>
      </c>
      <c r="AE1673">
        <v>0.05</v>
      </c>
      <c r="AF1673">
        <v>15</v>
      </c>
      <c r="AG1673">
        <v>0</v>
      </c>
      <c r="AH1673">
        <v>0</v>
      </c>
      <c r="AI1673">
        <v>0</v>
      </c>
      <c r="AJ1673">
        <v>1</v>
      </c>
      <c r="AK1673">
        <v>0.02</v>
      </c>
      <c r="AL1673">
        <v>16</v>
      </c>
      <c r="AM1673">
        <v>0</v>
      </c>
      <c r="AN1673">
        <v>0</v>
      </c>
      <c r="AO1673">
        <v>0</v>
      </c>
      <c r="AP1673">
        <v>1</v>
      </c>
      <c r="AQ1673">
        <v>0.01</v>
      </c>
      <c r="AR1673">
        <v>6</v>
      </c>
      <c r="AS1673">
        <v>2</v>
      </c>
      <c r="AT1673">
        <v>4</v>
      </c>
      <c r="AU1673">
        <v>5</v>
      </c>
      <c r="AV1673">
        <v>1</v>
      </c>
      <c r="AW1673">
        <v>0.01</v>
      </c>
      <c r="AX1673">
        <v>7</v>
      </c>
      <c r="AY1673" s="1">
        <v>0</v>
      </c>
      <c r="AZ1673">
        <v>3</v>
      </c>
      <c r="BA1673">
        <v>1</v>
      </c>
      <c r="BB1673">
        <v>1</v>
      </c>
      <c r="BC1673" s="7">
        <v>0.32</v>
      </c>
      <c r="BD1673">
        <v>30</v>
      </c>
      <c r="BE1673">
        <v>0</v>
      </c>
      <c r="BF1673">
        <v>0</v>
      </c>
      <c r="BG1673">
        <v>0</v>
      </c>
      <c r="BH1673">
        <v>5</v>
      </c>
      <c r="BI1673">
        <v>2.4</v>
      </c>
      <c r="BJ1673">
        <v>31</v>
      </c>
      <c r="BK1673">
        <v>0</v>
      </c>
      <c r="BL1673">
        <v>0</v>
      </c>
      <c r="BM1673">
        <v>0</v>
      </c>
      <c r="BN1673">
        <v>5</v>
      </c>
      <c r="BO1673">
        <v>2.4</v>
      </c>
      <c r="BP1673">
        <v>36</v>
      </c>
      <c r="BQ1673">
        <v>0</v>
      </c>
      <c r="BR1673">
        <v>0</v>
      </c>
      <c r="BS1673">
        <v>0</v>
      </c>
      <c r="BT1673">
        <v>5</v>
      </c>
      <c r="BU1673">
        <v>1.6</v>
      </c>
    </row>
    <row r="1674" spans="1:73" ht="14.25" x14ac:dyDescent="0.15">
      <c r="A1674" s="12">
        <v>30821</v>
      </c>
      <c r="B1674">
        <v>7</v>
      </c>
      <c r="C1674" s="1">
        <v>45</v>
      </c>
      <c r="D1674">
        <v>0</v>
      </c>
      <c r="E1674">
        <v>0</v>
      </c>
      <c r="F1674">
        <v>1</v>
      </c>
      <c r="G1674" s="7">
        <v>0.05</v>
      </c>
      <c r="H1674">
        <v>12</v>
      </c>
      <c r="I1674">
        <v>0</v>
      </c>
      <c r="J1674">
        <v>0</v>
      </c>
      <c r="K1674">
        <v>0</v>
      </c>
      <c r="L1674">
        <v>1</v>
      </c>
      <c r="M1674">
        <v>2</v>
      </c>
      <c r="N1674" s="7">
        <v>9</v>
      </c>
      <c r="O1674" s="7">
        <v>0</v>
      </c>
      <c r="P1674" s="7">
        <v>0</v>
      </c>
      <c r="Q1674" s="7">
        <v>0</v>
      </c>
      <c r="R1674" s="7">
        <v>1</v>
      </c>
      <c r="S1674" s="7">
        <v>4.5</v>
      </c>
      <c r="T1674">
        <v>7</v>
      </c>
      <c r="U1674" s="1">
        <v>33</v>
      </c>
      <c r="V1674">
        <v>0</v>
      </c>
      <c r="W1674">
        <v>0</v>
      </c>
      <c r="X1674">
        <v>1</v>
      </c>
      <c r="Y1674">
        <v>0.16</v>
      </c>
      <c r="Z1674">
        <v>23</v>
      </c>
      <c r="AA1674">
        <v>0</v>
      </c>
      <c r="AB1674">
        <v>0</v>
      </c>
      <c r="AC1674">
        <v>0</v>
      </c>
      <c r="AD1674">
        <v>1</v>
      </c>
      <c r="AE1674">
        <v>0.05</v>
      </c>
      <c r="AF1674">
        <v>15</v>
      </c>
      <c r="AG1674">
        <v>0</v>
      </c>
      <c r="AH1674">
        <v>0</v>
      </c>
      <c r="AI1674">
        <v>0</v>
      </c>
      <c r="AJ1674">
        <v>1</v>
      </c>
      <c r="AK1674">
        <v>0.02</v>
      </c>
      <c r="AL1674">
        <v>16</v>
      </c>
      <c r="AM1674">
        <v>0</v>
      </c>
      <c r="AN1674">
        <v>0</v>
      </c>
      <c r="AO1674">
        <v>0</v>
      </c>
      <c r="AP1674">
        <v>1</v>
      </c>
      <c r="AQ1674">
        <v>0.01</v>
      </c>
      <c r="AX1674">
        <v>7</v>
      </c>
      <c r="AY1674" s="1">
        <v>17</v>
      </c>
      <c r="AZ1674">
        <v>0</v>
      </c>
      <c r="BA1674">
        <v>0</v>
      </c>
      <c r="BB1674">
        <v>1</v>
      </c>
      <c r="BC1674" s="7">
        <v>0.32</v>
      </c>
      <c r="BD1674">
        <v>30</v>
      </c>
      <c r="BE1674">
        <v>0</v>
      </c>
      <c r="BF1674">
        <v>0</v>
      </c>
      <c r="BG1674">
        <v>0</v>
      </c>
      <c r="BH1674">
        <v>5</v>
      </c>
      <c r="BI1674">
        <v>2.4</v>
      </c>
      <c r="BJ1674">
        <v>31</v>
      </c>
      <c r="BK1674">
        <v>0</v>
      </c>
      <c r="BL1674">
        <v>0</v>
      </c>
      <c r="BM1674">
        <v>0</v>
      </c>
      <c r="BN1674">
        <v>5</v>
      </c>
      <c r="BO1674">
        <v>2.4</v>
      </c>
      <c r="BP1674">
        <v>36</v>
      </c>
      <c r="BQ1674">
        <v>0</v>
      </c>
      <c r="BR1674">
        <v>0</v>
      </c>
      <c r="BS1674">
        <v>0</v>
      </c>
      <c r="BT1674">
        <v>5</v>
      </c>
      <c r="BU1674">
        <v>1.6</v>
      </c>
    </row>
    <row r="1675" spans="1:73" ht="14.25" x14ac:dyDescent="0.15">
      <c r="A1675" s="12">
        <v>30822</v>
      </c>
      <c r="B1675">
        <v>7</v>
      </c>
      <c r="C1675" s="1">
        <v>46</v>
      </c>
      <c r="D1675">
        <v>0</v>
      </c>
      <c r="E1675">
        <v>0</v>
      </c>
      <c r="F1675">
        <v>1</v>
      </c>
      <c r="G1675" s="7">
        <v>0.05</v>
      </c>
      <c r="H1675">
        <v>12</v>
      </c>
      <c r="I1675">
        <v>0</v>
      </c>
      <c r="J1675">
        <v>0</v>
      </c>
      <c r="K1675">
        <v>0</v>
      </c>
      <c r="L1675">
        <v>1</v>
      </c>
      <c r="M1675">
        <v>2</v>
      </c>
      <c r="N1675" s="7">
        <v>9</v>
      </c>
      <c r="O1675" s="7">
        <v>0</v>
      </c>
      <c r="P1675" s="7">
        <v>0</v>
      </c>
      <c r="Q1675" s="7">
        <v>0</v>
      </c>
      <c r="R1675" s="7">
        <v>1</v>
      </c>
      <c r="S1675" s="7">
        <v>4.5</v>
      </c>
      <c r="T1675">
        <v>7</v>
      </c>
      <c r="U1675" s="1">
        <v>34</v>
      </c>
      <c r="V1675">
        <v>0</v>
      </c>
      <c r="W1675">
        <v>0</v>
      </c>
      <c r="X1675">
        <v>1</v>
      </c>
      <c r="Y1675">
        <v>0.16</v>
      </c>
      <c r="Z1675">
        <v>23</v>
      </c>
      <c r="AA1675">
        <v>0</v>
      </c>
      <c r="AB1675">
        <v>0</v>
      </c>
      <c r="AC1675">
        <v>0</v>
      </c>
      <c r="AD1675">
        <v>1</v>
      </c>
      <c r="AE1675">
        <v>0.05</v>
      </c>
      <c r="AF1675">
        <v>15</v>
      </c>
      <c r="AG1675">
        <v>0</v>
      </c>
      <c r="AH1675">
        <v>0</v>
      </c>
      <c r="AI1675">
        <v>0</v>
      </c>
      <c r="AJ1675">
        <v>1</v>
      </c>
      <c r="AK1675">
        <v>0.02</v>
      </c>
      <c r="AL1675">
        <v>16</v>
      </c>
      <c r="AM1675">
        <v>0</v>
      </c>
      <c r="AN1675">
        <v>0</v>
      </c>
      <c r="AO1675">
        <v>0</v>
      </c>
      <c r="AP1675">
        <v>1</v>
      </c>
      <c r="AQ1675">
        <v>0.01</v>
      </c>
      <c r="AX1675">
        <v>7</v>
      </c>
      <c r="AY1675" s="1">
        <v>18</v>
      </c>
      <c r="AZ1675">
        <v>0</v>
      </c>
      <c r="BA1675">
        <v>0</v>
      </c>
      <c r="BB1675">
        <v>1</v>
      </c>
      <c r="BC1675" s="7">
        <v>0.32</v>
      </c>
      <c r="BD1675">
        <v>30</v>
      </c>
      <c r="BE1675">
        <v>0</v>
      </c>
      <c r="BF1675">
        <v>0</v>
      </c>
      <c r="BG1675">
        <v>0</v>
      </c>
      <c r="BH1675">
        <v>5</v>
      </c>
      <c r="BI1675">
        <v>2.4</v>
      </c>
      <c r="BJ1675">
        <v>31</v>
      </c>
      <c r="BK1675">
        <v>0</v>
      </c>
      <c r="BL1675">
        <v>0</v>
      </c>
      <c r="BM1675">
        <v>0</v>
      </c>
      <c r="BN1675">
        <v>5</v>
      </c>
      <c r="BO1675">
        <v>2.4</v>
      </c>
      <c r="BP1675">
        <v>36</v>
      </c>
      <c r="BQ1675">
        <v>0</v>
      </c>
      <c r="BR1675">
        <v>0</v>
      </c>
      <c r="BS1675">
        <v>0</v>
      </c>
      <c r="BT1675">
        <v>5</v>
      </c>
      <c r="BU1675">
        <v>1.6</v>
      </c>
    </row>
    <row r="1676" spans="1:73" ht="14.25" x14ac:dyDescent="0.15">
      <c r="A1676" s="12">
        <v>30823</v>
      </c>
      <c r="B1676">
        <v>7</v>
      </c>
      <c r="C1676" s="1">
        <v>47</v>
      </c>
      <c r="D1676">
        <v>0</v>
      </c>
      <c r="E1676">
        <v>0</v>
      </c>
      <c r="F1676">
        <v>1</v>
      </c>
      <c r="G1676" s="7">
        <v>0.05</v>
      </c>
      <c r="H1676">
        <v>12</v>
      </c>
      <c r="I1676">
        <v>0</v>
      </c>
      <c r="J1676">
        <v>0</v>
      </c>
      <c r="K1676">
        <v>0</v>
      </c>
      <c r="L1676">
        <v>1</v>
      </c>
      <c r="M1676">
        <v>2</v>
      </c>
      <c r="N1676" s="7">
        <v>9</v>
      </c>
      <c r="O1676" s="7">
        <v>0</v>
      </c>
      <c r="P1676" s="7">
        <v>0</v>
      </c>
      <c r="Q1676" s="7">
        <v>0</v>
      </c>
      <c r="R1676" s="7">
        <v>1</v>
      </c>
      <c r="S1676" s="7">
        <v>4.5</v>
      </c>
      <c r="T1676">
        <v>7</v>
      </c>
      <c r="U1676" s="1">
        <v>35</v>
      </c>
      <c r="V1676">
        <v>0</v>
      </c>
      <c r="W1676">
        <v>0</v>
      </c>
      <c r="X1676">
        <v>1</v>
      </c>
      <c r="Y1676">
        <v>0.16</v>
      </c>
      <c r="Z1676">
        <v>23</v>
      </c>
      <c r="AA1676">
        <v>0</v>
      </c>
      <c r="AB1676">
        <v>0</v>
      </c>
      <c r="AC1676">
        <v>0</v>
      </c>
      <c r="AD1676">
        <v>1</v>
      </c>
      <c r="AE1676">
        <v>0.05</v>
      </c>
      <c r="AF1676">
        <v>15</v>
      </c>
      <c r="AG1676">
        <v>0</v>
      </c>
      <c r="AH1676">
        <v>0</v>
      </c>
      <c r="AI1676">
        <v>0</v>
      </c>
      <c r="AJ1676">
        <v>1</v>
      </c>
      <c r="AK1676">
        <v>0.02</v>
      </c>
      <c r="AL1676">
        <v>16</v>
      </c>
      <c r="AM1676">
        <v>0</v>
      </c>
      <c r="AN1676">
        <v>0</v>
      </c>
      <c r="AO1676">
        <v>0</v>
      </c>
      <c r="AP1676">
        <v>1</v>
      </c>
      <c r="AQ1676">
        <v>0.01</v>
      </c>
      <c r="AX1676">
        <v>7</v>
      </c>
      <c r="AY1676" s="1">
        <v>19</v>
      </c>
      <c r="AZ1676">
        <v>0</v>
      </c>
      <c r="BA1676">
        <v>0</v>
      </c>
      <c r="BB1676">
        <v>1</v>
      </c>
      <c r="BC1676" s="7">
        <v>0.32</v>
      </c>
      <c r="BD1676">
        <v>30</v>
      </c>
      <c r="BE1676">
        <v>0</v>
      </c>
      <c r="BF1676">
        <v>0</v>
      </c>
      <c r="BG1676">
        <v>0</v>
      </c>
      <c r="BH1676">
        <v>5</v>
      </c>
      <c r="BI1676">
        <v>2.4</v>
      </c>
      <c r="BJ1676">
        <v>31</v>
      </c>
      <c r="BK1676">
        <v>0</v>
      </c>
      <c r="BL1676">
        <v>0</v>
      </c>
      <c r="BM1676">
        <v>0</v>
      </c>
      <c r="BN1676">
        <v>5</v>
      </c>
      <c r="BO1676">
        <v>2.4</v>
      </c>
      <c r="BP1676">
        <v>36</v>
      </c>
      <c r="BQ1676">
        <v>0</v>
      </c>
      <c r="BR1676">
        <v>0</v>
      </c>
      <c r="BS1676">
        <v>0</v>
      </c>
      <c r="BT1676">
        <v>5</v>
      </c>
      <c r="BU1676">
        <v>1.6</v>
      </c>
    </row>
    <row r="1677" spans="1:73" ht="14.25" x14ac:dyDescent="0.15">
      <c r="A1677" s="12">
        <v>30824</v>
      </c>
      <c r="B1677">
        <v>7</v>
      </c>
      <c r="C1677" s="1">
        <v>48</v>
      </c>
      <c r="D1677">
        <v>0</v>
      </c>
      <c r="E1677">
        <v>0</v>
      </c>
      <c r="F1677">
        <v>1</v>
      </c>
      <c r="G1677" s="7">
        <v>0.05</v>
      </c>
      <c r="H1677">
        <v>12</v>
      </c>
      <c r="I1677">
        <v>0</v>
      </c>
      <c r="J1677">
        <v>0</v>
      </c>
      <c r="K1677">
        <v>0</v>
      </c>
      <c r="L1677">
        <v>1</v>
      </c>
      <c r="M1677">
        <v>2</v>
      </c>
      <c r="N1677" s="7">
        <v>9</v>
      </c>
      <c r="O1677" s="7">
        <v>0</v>
      </c>
      <c r="P1677" s="7">
        <v>0</v>
      </c>
      <c r="Q1677" s="7">
        <v>0</v>
      </c>
      <c r="R1677" s="7">
        <v>1</v>
      </c>
      <c r="S1677" s="7">
        <v>4.5</v>
      </c>
      <c r="T1677">
        <v>7</v>
      </c>
      <c r="U1677" s="1">
        <v>36</v>
      </c>
      <c r="V1677">
        <v>0</v>
      </c>
      <c r="W1677">
        <v>0</v>
      </c>
      <c r="X1677">
        <v>1</v>
      </c>
      <c r="Y1677">
        <v>0.16</v>
      </c>
      <c r="Z1677">
        <v>23</v>
      </c>
      <c r="AA1677">
        <v>0</v>
      </c>
      <c r="AB1677">
        <v>0</v>
      </c>
      <c r="AC1677">
        <v>0</v>
      </c>
      <c r="AD1677">
        <v>1</v>
      </c>
      <c r="AE1677">
        <v>0.05</v>
      </c>
      <c r="AF1677">
        <v>15</v>
      </c>
      <c r="AG1677">
        <v>0</v>
      </c>
      <c r="AH1677">
        <v>0</v>
      </c>
      <c r="AI1677">
        <v>0</v>
      </c>
      <c r="AJ1677">
        <v>1</v>
      </c>
      <c r="AK1677">
        <v>0.02</v>
      </c>
      <c r="AL1677">
        <v>16</v>
      </c>
      <c r="AM1677">
        <v>0</v>
      </c>
      <c r="AN1677">
        <v>0</v>
      </c>
      <c r="AO1677">
        <v>0</v>
      </c>
      <c r="AP1677">
        <v>1</v>
      </c>
      <c r="AQ1677">
        <v>0.01</v>
      </c>
      <c r="AX1677">
        <v>7</v>
      </c>
      <c r="AY1677" s="1">
        <v>20</v>
      </c>
      <c r="AZ1677">
        <v>0</v>
      </c>
      <c r="BA1677">
        <v>0</v>
      </c>
      <c r="BB1677">
        <v>1</v>
      </c>
      <c r="BC1677" s="7">
        <v>0.32</v>
      </c>
      <c r="BD1677">
        <v>30</v>
      </c>
      <c r="BE1677">
        <v>0</v>
      </c>
      <c r="BF1677">
        <v>0</v>
      </c>
      <c r="BG1677">
        <v>0</v>
      </c>
      <c r="BH1677">
        <v>5</v>
      </c>
      <c r="BI1677">
        <v>2.4</v>
      </c>
      <c r="BJ1677">
        <v>31</v>
      </c>
      <c r="BK1677">
        <v>0</v>
      </c>
      <c r="BL1677">
        <v>0</v>
      </c>
      <c r="BM1677">
        <v>0</v>
      </c>
      <c r="BN1677">
        <v>5</v>
      </c>
      <c r="BO1677">
        <v>2.4</v>
      </c>
      <c r="BP1677">
        <v>36</v>
      </c>
      <c r="BQ1677">
        <v>0</v>
      </c>
      <c r="BR1677">
        <v>0</v>
      </c>
      <c r="BS1677">
        <v>0</v>
      </c>
      <c r="BT1677">
        <v>5</v>
      </c>
      <c r="BU1677">
        <v>1.6</v>
      </c>
    </row>
    <row r="1678" spans="1:73" ht="14.25" x14ac:dyDescent="0.15">
      <c r="A1678" s="12">
        <v>30825</v>
      </c>
      <c r="B1678">
        <v>7</v>
      </c>
      <c r="C1678" s="1">
        <v>0</v>
      </c>
      <c r="D1678">
        <v>5</v>
      </c>
      <c r="E1678">
        <v>1</v>
      </c>
      <c r="F1678">
        <v>1</v>
      </c>
      <c r="G1678" s="7">
        <v>0.05</v>
      </c>
      <c r="H1678">
        <v>12</v>
      </c>
      <c r="I1678">
        <v>0</v>
      </c>
      <c r="J1678">
        <v>0</v>
      </c>
      <c r="K1678">
        <v>0</v>
      </c>
      <c r="L1678">
        <v>1</v>
      </c>
      <c r="M1678">
        <v>2</v>
      </c>
      <c r="N1678" s="7">
        <v>9</v>
      </c>
      <c r="O1678" s="7">
        <v>0</v>
      </c>
      <c r="P1678" s="7">
        <v>0</v>
      </c>
      <c r="Q1678" s="7">
        <v>0</v>
      </c>
      <c r="R1678" s="7">
        <v>1</v>
      </c>
      <c r="S1678" s="7">
        <v>4.5</v>
      </c>
      <c r="T1678">
        <v>7</v>
      </c>
      <c r="U1678" s="1">
        <v>0</v>
      </c>
      <c r="V1678">
        <v>4</v>
      </c>
      <c r="W1678">
        <v>2</v>
      </c>
      <c r="X1678">
        <v>1</v>
      </c>
      <c r="Y1678">
        <v>0.16</v>
      </c>
      <c r="Z1678">
        <v>23</v>
      </c>
      <c r="AA1678">
        <v>0</v>
      </c>
      <c r="AB1678">
        <v>0</v>
      </c>
      <c r="AC1678">
        <v>0</v>
      </c>
      <c r="AD1678">
        <v>1</v>
      </c>
      <c r="AE1678">
        <v>0.05</v>
      </c>
      <c r="AF1678">
        <v>15</v>
      </c>
      <c r="AG1678">
        <v>0</v>
      </c>
      <c r="AH1678">
        <v>0</v>
      </c>
      <c r="AI1678">
        <v>0</v>
      </c>
      <c r="AJ1678">
        <v>1</v>
      </c>
      <c r="AK1678">
        <v>0.02</v>
      </c>
      <c r="AL1678">
        <v>16</v>
      </c>
      <c r="AM1678">
        <v>0</v>
      </c>
      <c r="AN1678">
        <v>0</v>
      </c>
      <c r="AO1678">
        <v>0</v>
      </c>
      <c r="AP1678">
        <v>1</v>
      </c>
      <c r="AQ1678">
        <v>0.01</v>
      </c>
      <c r="AR1678">
        <v>6</v>
      </c>
      <c r="AS1678">
        <v>2</v>
      </c>
      <c r="AT1678">
        <v>5</v>
      </c>
      <c r="AU1678">
        <v>5</v>
      </c>
      <c r="AV1678">
        <v>1</v>
      </c>
      <c r="AW1678">
        <v>0.01</v>
      </c>
      <c r="AX1678">
        <v>7</v>
      </c>
      <c r="AY1678" s="1">
        <v>0</v>
      </c>
      <c r="AZ1678">
        <v>3</v>
      </c>
      <c r="BA1678">
        <v>1</v>
      </c>
      <c r="BB1678">
        <v>1</v>
      </c>
      <c r="BC1678" s="7">
        <v>0.32</v>
      </c>
      <c r="BD1678">
        <v>30</v>
      </c>
      <c r="BE1678">
        <v>0</v>
      </c>
      <c r="BF1678">
        <v>0</v>
      </c>
      <c r="BG1678">
        <v>0</v>
      </c>
      <c r="BH1678">
        <v>5</v>
      </c>
      <c r="BI1678">
        <v>2.4</v>
      </c>
      <c r="BJ1678">
        <v>31</v>
      </c>
      <c r="BK1678">
        <v>0</v>
      </c>
      <c r="BL1678">
        <v>0</v>
      </c>
      <c r="BM1678">
        <v>0</v>
      </c>
      <c r="BN1678">
        <v>5</v>
      </c>
      <c r="BO1678">
        <v>2.4</v>
      </c>
      <c r="BP1678">
        <v>36</v>
      </c>
      <c r="BQ1678">
        <v>0</v>
      </c>
      <c r="BR1678">
        <v>0</v>
      </c>
      <c r="BS1678">
        <v>0</v>
      </c>
      <c r="BT1678">
        <v>5</v>
      </c>
      <c r="BU1678">
        <v>1.6</v>
      </c>
    </row>
    <row r="1679" spans="1:73" ht="14.25" x14ac:dyDescent="0.15">
      <c r="A1679" s="12">
        <v>30826</v>
      </c>
      <c r="B1679">
        <v>7</v>
      </c>
      <c r="C1679" s="1">
        <v>45</v>
      </c>
      <c r="D1679">
        <v>0</v>
      </c>
      <c r="E1679">
        <v>0</v>
      </c>
      <c r="F1679">
        <v>1</v>
      </c>
      <c r="G1679" s="7">
        <v>0.05</v>
      </c>
      <c r="H1679">
        <v>12</v>
      </c>
      <c r="I1679">
        <v>0</v>
      </c>
      <c r="J1679">
        <v>0</v>
      </c>
      <c r="K1679">
        <v>0</v>
      </c>
      <c r="L1679">
        <v>1</v>
      </c>
      <c r="M1679">
        <v>2</v>
      </c>
      <c r="N1679" s="7">
        <v>9</v>
      </c>
      <c r="O1679" s="7">
        <v>0</v>
      </c>
      <c r="P1679" s="7">
        <v>0</v>
      </c>
      <c r="Q1679" s="7">
        <v>0</v>
      </c>
      <c r="R1679" s="7">
        <v>1</v>
      </c>
      <c r="S1679" s="7">
        <v>4.5</v>
      </c>
      <c r="T1679">
        <v>7</v>
      </c>
      <c r="U1679" s="1">
        <v>33</v>
      </c>
      <c r="V1679">
        <v>0</v>
      </c>
      <c r="W1679">
        <v>0</v>
      </c>
      <c r="X1679">
        <v>1</v>
      </c>
      <c r="Y1679">
        <v>0.16</v>
      </c>
      <c r="Z1679">
        <v>23</v>
      </c>
      <c r="AA1679">
        <v>0</v>
      </c>
      <c r="AB1679">
        <v>0</v>
      </c>
      <c r="AC1679">
        <v>0</v>
      </c>
      <c r="AD1679">
        <v>1</v>
      </c>
      <c r="AE1679">
        <v>0.05</v>
      </c>
      <c r="AF1679">
        <v>15</v>
      </c>
      <c r="AG1679">
        <v>0</v>
      </c>
      <c r="AH1679">
        <v>0</v>
      </c>
      <c r="AI1679">
        <v>0</v>
      </c>
      <c r="AJ1679">
        <v>1</v>
      </c>
      <c r="AK1679">
        <v>0.02</v>
      </c>
      <c r="AL1679">
        <v>16</v>
      </c>
      <c r="AM1679">
        <v>0</v>
      </c>
      <c r="AN1679">
        <v>0</v>
      </c>
      <c r="AO1679">
        <v>0</v>
      </c>
      <c r="AP1679">
        <v>1</v>
      </c>
      <c r="AQ1679">
        <v>0.01</v>
      </c>
      <c r="AX1679">
        <v>7</v>
      </c>
      <c r="AY1679" s="1">
        <v>17</v>
      </c>
      <c r="AZ1679">
        <v>0</v>
      </c>
      <c r="BA1679">
        <v>0</v>
      </c>
      <c r="BB1679">
        <v>1</v>
      </c>
      <c r="BC1679" s="7">
        <v>0.32</v>
      </c>
      <c r="BD1679">
        <v>30</v>
      </c>
      <c r="BE1679">
        <v>0</v>
      </c>
      <c r="BF1679">
        <v>0</v>
      </c>
      <c r="BG1679">
        <v>0</v>
      </c>
      <c r="BH1679">
        <v>5</v>
      </c>
      <c r="BI1679">
        <v>2.4</v>
      </c>
      <c r="BJ1679">
        <v>31</v>
      </c>
      <c r="BK1679">
        <v>0</v>
      </c>
      <c r="BL1679">
        <v>0</v>
      </c>
      <c r="BM1679">
        <v>0</v>
      </c>
      <c r="BN1679">
        <v>5</v>
      </c>
      <c r="BO1679">
        <v>2.4</v>
      </c>
      <c r="BP1679">
        <v>36</v>
      </c>
      <c r="BQ1679">
        <v>0</v>
      </c>
      <c r="BR1679">
        <v>0</v>
      </c>
      <c r="BS1679">
        <v>0</v>
      </c>
      <c r="BT1679">
        <v>5</v>
      </c>
      <c r="BU1679">
        <v>1.6</v>
      </c>
    </row>
    <row r="1680" spans="1:73" ht="14.25" x14ac:dyDescent="0.15">
      <c r="A1680" s="12">
        <v>30827</v>
      </c>
      <c r="B1680">
        <v>7</v>
      </c>
      <c r="C1680" s="1">
        <v>46</v>
      </c>
      <c r="D1680">
        <v>0</v>
      </c>
      <c r="E1680">
        <v>0</v>
      </c>
      <c r="F1680">
        <v>1</v>
      </c>
      <c r="G1680" s="7">
        <v>0.05</v>
      </c>
      <c r="H1680">
        <v>12</v>
      </c>
      <c r="I1680">
        <v>0</v>
      </c>
      <c r="J1680">
        <v>0</v>
      </c>
      <c r="K1680">
        <v>0</v>
      </c>
      <c r="L1680">
        <v>1</v>
      </c>
      <c r="M1680">
        <v>2</v>
      </c>
      <c r="N1680" s="7">
        <v>9</v>
      </c>
      <c r="O1680" s="7">
        <v>0</v>
      </c>
      <c r="P1680" s="7">
        <v>0</v>
      </c>
      <c r="Q1680" s="7">
        <v>0</v>
      </c>
      <c r="R1680" s="7">
        <v>1</v>
      </c>
      <c r="S1680" s="7">
        <v>4.5</v>
      </c>
      <c r="T1680">
        <v>7</v>
      </c>
      <c r="U1680" s="1">
        <v>34</v>
      </c>
      <c r="V1680">
        <v>0</v>
      </c>
      <c r="W1680">
        <v>0</v>
      </c>
      <c r="X1680">
        <v>1</v>
      </c>
      <c r="Y1680">
        <v>0.16</v>
      </c>
      <c r="Z1680">
        <v>23</v>
      </c>
      <c r="AA1680">
        <v>0</v>
      </c>
      <c r="AB1680">
        <v>0</v>
      </c>
      <c r="AC1680">
        <v>0</v>
      </c>
      <c r="AD1680">
        <v>1</v>
      </c>
      <c r="AE1680">
        <v>0.05</v>
      </c>
      <c r="AF1680">
        <v>15</v>
      </c>
      <c r="AG1680">
        <v>0</v>
      </c>
      <c r="AH1680">
        <v>0</v>
      </c>
      <c r="AI1680">
        <v>0</v>
      </c>
      <c r="AJ1680">
        <v>1</v>
      </c>
      <c r="AK1680">
        <v>0.02</v>
      </c>
      <c r="AL1680">
        <v>16</v>
      </c>
      <c r="AM1680">
        <v>0</v>
      </c>
      <c r="AN1680">
        <v>0</v>
      </c>
      <c r="AO1680">
        <v>0</v>
      </c>
      <c r="AP1680">
        <v>1</v>
      </c>
      <c r="AQ1680">
        <v>0.01</v>
      </c>
      <c r="AX1680">
        <v>7</v>
      </c>
      <c r="AY1680" s="1">
        <v>18</v>
      </c>
      <c r="AZ1680">
        <v>0</v>
      </c>
      <c r="BA1680">
        <v>0</v>
      </c>
      <c r="BB1680">
        <v>1</v>
      </c>
      <c r="BC1680" s="7">
        <v>0.32</v>
      </c>
      <c r="BD1680">
        <v>30</v>
      </c>
      <c r="BE1680">
        <v>0</v>
      </c>
      <c r="BF1680">
        <v>0</v>
      </c>
      <c r="BG1680">
        <v>0</v>
      </c>
      <c r="BH1680">
        <v>5</v>
      </c>
      <c r="BI1680">
        <v>2.4</v>
      </c>
      <c r="BJ1680">
        <v>31</v>
      </c>
      <c r="BK1680">
        <v>0</v>
      </c>
      <c r="BL1680">
        <v>0</v>
      </c>
      <c r="BM1680">
        <v>0</v>
      </c>
      <c r="BN1680">
        <v>5</v>
      </c>
      <c r="BO1680">
        <v>2.4</v>
      </c>
      <c r="BP1680">
        <v>36</v>
      </c>
      <c r="BQ1680">
        <v>0</v>
      </c>
      <c r="BR1680">
        <v>0</v>
      </c>
      <c r="BS1680">
        <v>0</v>
      </c>
      <c r="BT1680">
        <v>5</v>
      </c>
      <c r="BU1680">
        <v>1.6</v>
      </c>
    </row>
    <row r="1681" spans="1:73" ht="14.25" x14ac:dyDescent="0.15">
      <c r="A1681" s="12">
        <v>30828</v>
      </c>
      <c r="B1681">
        <v>7</v>
      </c>
      <c r="C1681" s="1">
        <v>47</v>
      </c>
      <c r="D1681">
        <v>0</v>
      </c>
      <c r="E1681">
        <v>0</v>
      </c>
      <c r="F1681">
        <v>1</v>
      </c>
      <c r="G1681" s="7">
        <v>0.05</v>
      </c>
      <c r="H1681">
        <v>12</v>
      </c>
      <c r="I1681">
        <v>0</v>
      </c>
      <c r="J1681">
        <v>0</v>
      </c>
      <c r="K1681">
        <v>0</v>
      </c>
      <c r="L1681">
        <v>1</v>
      </c>
      <c r="M1681">
        <v>2</v>
      </c>
      <c r="N1681" s="7">
        <v>9</v>
      </c>
      <c r="O1681" s="7">
        <v>0</v>
      </c>
      <c r="P1681" s="7">
        <v>0</v>
      </c>
      <c r="Q1681" s="7">
        <v>0</v>
      </c>
      <c r="R1681" s="7">
        <v>1</v>
      </c>
      <c r="S1681" s="7">
        <v>4.5</v>
      </c>
      <c r="T1681">
        <v>7</v>
      </c>
      <c r="U1681" s="1">
        <v>35</v>
      </c>
      <c r="V1681">
        <v>0</v>
      </c>
      <c r="W1681">
        <v>0</v>
      </c>
      <c r="X1681">
        <v>1</v>
      </c>
      <c r="Y1681">
        <v>0.16</v>
      </c>
      <c r="Z1681">
        <v>23</v>
      </c>
      <c r="AA1681">
        <v>0</v>
      </c>
      <c r="AB1681">
        <v>0</v>
      </c>
      <c r="AC1681">
        <v>0</v>
      </c>
      <c r="AD1681">
        <v>1</v>
      </c>
      <c r="AE1681">
        <v>0.05</v>
      </c>
      <c r="AF1681">
        <v>15</v>
      </c>
      <c r="AG1681">
        <v>0</v>
      </c>
      <c r="AH1681">
        <v>0</v>
      </c>
      <c r="AI1681">
        <v>0</v>
      </c>
      <c r="AJ1681">
        <v>1</v>
      </c>
      <c r="AK1681">
        <v>0.02</v>
      </c>
      <c r="AL1681">
        <v>16</v>
      </c>
      <c r="AM1681">
        <v>0</v>
      </c>
      <c r="AN1681">
        <v>0</v>
      </c>
      <c r="AO1681">
        <v>0</v>
      </c>
      <c r="AP1681">
        <v>1</v>
      </c>
      <c r="AQ1681">
        <v>0.01</v>
      </c>
      <c r="AX1681">
        <v>7</v>
      </c>
      <c r="AY1681" s="1">
        <v>19</v>
      </c>
      <c r="AZ1681">
        <v>0</v>
      </c>
      <c r="BA1681">
        <v>0</v>
      </c>
      <c r="BB1681">
        <v>1</v>
      </c>
      <c r="BC1681" s="7">
        <v>0.32</v>
      </c>
      <c r="BD1681">
        <v>30</v>
      </c>
      <c r="BE1681">
        <v>0</v>
      </c>
      <c r="BF1681">
        <v>0</v>
      </c>
      <c r="BG1681">
        <v>0</v>
      </c>
      <c r="BH1681">
        <v>5</v>
      </c>
      <c r="BI1681">
        <v>2.4</v>
      </c>
      <c r="BJ1681">
        <v>31</v>
      </c>
      <c r="BK1681">
        <v>0</v>
      </c>
      <c r="BL1681">
        <v>0</v>
      </c>
      <c r="BM1681">
        <v>0</v>
      </c>
      <c r="BN1681">
        <v>5</v>
      </c>
      <c r="BO1681">
        <v>2.4</v>
      </c>
      <c r="BP1681">
        <v>36</v>
      </c>
      <c r="BQ1681">
        <v>0</v>
      </c>
      <c r="BR1681">
        <v>0</v>
      </c>
      <c r="BS1681">
        <v>0</v>
      </c>
      <c r="BT1681">
        <v>5</v>
      </c>
      <c r="BU1681">
        <v>1.6</v>
      </c>
    </row>
    <row r="1682" spans="1:73" ht="14.25" x14ac:dyDescent="0.15">
      <c r="A1682" s="12">
        <v>30829</v>
      </c>
      <c r="B1682">
        <v>7</v>
      </c>
      <c r="C1682" s="1">
        <v>48</v>
      </c>
      <c r="D1682">
        <v>0</v>
      </c>
      <c r="E1682">
        <v>0</v>
      </c>
      <c r="F1682">
        <v>1</v>
      </c>
      <c r="G1682" s="7">
        <v>0.05</v>
      </c>
      <c r="H1682">
        <v>12</v>
      </c>
      <c r="I1682">
        <v>0</v>
      </c>
      <c r="J1682">
        <v>0</v>
      </c>
      <c r="K1682">
        <v>0</v>
      </c>
      <c r="L1682">
        <v>1</v>
      </c>
      <c r="M1682">
        <v>2</v>
      </c>
      <c r="N1682" s="7">
        <v>9</v>
      </c>
      <c r="O1682" s="7">
        <v>0</v>
      </c>
      <c r="P1682" s="7">
        <v>0</v>
      </c>
      <c r="Q1682" s="7">
        <v>0</v>
      </c>
      <c r="R1682" s="7">
        <v>1</v>
      </c>
      <c r="S1682" s="7">
        <v>4.5</v>
      </c>
      <c r="T1682">
        <v>7</v>
      </c>
      <c r="U1682" s="1">
        <v>36</v>
      </c>
      <c r="V1682">
        <v>0</v>
      </c>
      <c r="W1682">
        <v>0</v>
      </c>
      <c r="X1682">
        <v>1</v>
      </c>
      <c r="Y1682">
        <v>0.16</v>
      </c>
      <c r="Z1682">
        <v>23</v>
      </c>
      <c r="AA1682">
        <v>0</v>
      </c>
      <c r="AB1682">
        <v>0</v>
      </c>
      <c r="AC1682">
        <v>0</v>
      </c>
      <c r="AD1682">
        <v>1</v>
      </c>
      <c r="AE1682">
        <v>0.05</v>
      </c>
      <c r="AF1682">
        <v>15</v>
      </c>
      <c r="AG1682">
        <v>0</v>
      </c>
      <c r="AH1682">
        <v>0</v>
      </c>
      <c r="AI1682">
        <v>0</v>
      </c>
      <c r="AJ1682">
        <v>1</v>
      </c>
      <c r="AK1682">
        <v>0.02</v>
      </c>
      <c r="AL1682">
        <v>16</v>
      </c>
      <c r="AM1682">
        <v>0</v>
      </c>
      <c r="AN1682">
        <v>0</v>
      </c>
      <c r="AO1682">
        <v>0</v>
      </c>
      <c r="AP1682">
        <v>1</v>
      </c>
      <c r="AQ1682">
        <v>0.01</v>
      </c>
      <c r="AX1682">
        <v>7</v>
      </c>
      <c r="AY1682" s="1">
        <v>20</v>
      </c>
      <c r="AZ1682">
        <v>0</v>
      </c>
      <c r="BA1682">
        <v>0</v>
      </c>
      <c r="BB1682">
        <v>1</v>
      </c>
      <c r="BC1682" s="7">
        <v>0.32</v>
      </c>
      <c r="BD1682">
        <v>30</v>
      </c>
      <c r="BE1682">
        <v>0</v>
      </c>
      <c r="BF1682">
        <v>0</v>
      </c>
      <c r="BG1682">
        <v>0</v>
      </c>
      <c r="BH1682">
        <v>5</v>
      </c>
      <c r="BI1682">
        <v>2.4</v>
      </c>
      <c r="BJ1682">
        <v>31</v>
      </c>
      <c r="BK1682">
        <v>0</v>
      </c>
      <c r="BL1682">
        <v>0</v>
      </c>
      <c r="BM1682">
        <v>0</v>
      </c>
      <c r="BN1682">
        <v>5</v>
      </c>
      <c r="BO1682">
        <v>2.4</v>
      </c>
      <c r="BP1682">
        <v>36</v>
      </c>
      <c r="BQ1682">
        <v>0</v>
      </c>
      <c r="BR1682">
        <v>0</v>
      </c>
      <c r="BS1682">
        <v>0</v>
      </c>
      <c r="BT1682">
        <v>5</v>
      </c>
      <c r="BU1682">
        <v>1.6</v>
      </c>
    </row>
    <row r="1683" spans="1:73" ht="14.25" x14ac:dyDescent="0.15">
      <c r="A1683" s="12">
        <v>30830</v>
      </c>
      <c r="B1683">
        <v>7</v>
      </c>
      <c r="C1683" s="1">
        <v>0</v>
      </c>
      <c r="D1683">
        <v>5</v>
      </c>
      <c r="E1683">
        <v>1</v>
      </c>
      <c r="F1683">
        <v>1</v>
      </c>
      <c r="G1683" s="7">
        <v>0.05</v>
      </c>
      <c r="H1683">
        <v>12</v>
      </c>
      <c r="I1683">
        <v>0</v>
      </c>
      <c r="J1683">
        <v>0</v>
      </c>
      <c r="K1683">
        <v>0</v>
      </c>
      <c r="L1683">
        <v>1</v>
      </c>
      <c r="M1683">
        <v>2</v>
      </c>
      <c r="N1683" s="7">
        <v>9</v>
      </c>
      <c r="O1683" s="7">
        <v>0</v>
      </c>
      <c r="P1683" s="7">
        <v>0</v>
      </c>
      <c r="Q1683" s="7">
        <v>0</v>
      </c>
      <c r="R1683" s="7">
        <v>1</v>
      </c>
      <c r="S1683" s="7">
        <v>4.5</v>
      </c>
      <c r="T1683">
        <v>7</v>
      </c>
      <c r="U1683" s="1">
        <v>0</v>
      </c>
      <c r="V1683">
        <v>4</v>
      </c>
      <c r="W1683">
        <v>2</v>
      </c>
      <c r="X1683">
        <v>1</v>
      </c>
      <c r="Y1683">
        <v>0.16</v>
      </c>
      <c r="Z1683">
        <v>23</v>
      </c>
      <c r="AA1683">
        <v>0</v>
      </c>
      <c r="AB1683">
        <v>0</v>
      </c>
      <c r="AC1683">
        <v>0</v>
      </c>
      <c r="AD1683">
        <v>1</v>
      </c>
      <c r="AE1683">
        <v>0.05</v>
      </c>
      <c r="AF1683">
        <v>15</v>
      </c>
      <c r="AG1683">
        <v>0</v>
      </c>
      <c r="AH1683">
        <v>0</v>
      </c>
      <c r="AI1683">
        <v>0</v>
      </c>
      <c r="AJ1683">
        <v>1</v>
      </c>
      <c r="AK1683">
        <v>0.02</v>
      </c>
      <c r="AL1683">
        <v>16</v>
      </c>
      <c r="AM1683">
        <v>0</v>
      </c>
      <c r="AN1683">
        <v>0</v>
      </c>
      <c r="AO1683">
        <v>0</v>
      </c>
      <c r="AP1683">
        <v>1</v>
      </c>
      <c r="AQ1683">
        <v>0.01</v>
      </c>
      <c r="AR1683">
        <v>6</v>
      </c>
      <c r="AS1683">
        <v>2</v>
      </c>
      <c r="AT1683">
        <v>1</v>
      </c>
      <c r="AU1683">
        <v>5</v>
      </c>
      <c r="AV1683">
        <v>1</v>
      </c>
      <c r="AW1683">
        <v>0.05</v>
      </c>
      <c r="AX1683">
        <v>7</v>
      </c>
      <c r="AY1683" s="1">
        <v>0</v>
      </c>
      <c r="AZ1683">
        <v>3</v>
      </c>
      <c r="BA1683">
        <v>1</v>
      </c>
      <c r="BB1683">
        <v>1</v>
      </c>
      <c r="BC1683" s="7">
        <v>0.32</v>
      </c>
      <c r="BD1683">
        <v>30</v>
      </c>
      <c r="BE1683">
        <v>0</v>
      </c>
      <c r="BF1683">
        <v>0</v>
      </c>
      <c r="BG1683">
        <v>0</v>
      </c>
      <c r="BH1683">
        <v>5</v>
      </c>
      <c r="BI1683">
        <v>2.4</v>
      </c>
      <c r="BJ1683">
        <v>31</v>
      </c>
      <c r="BK1683">
        <v>0</v>
      </c>
      <c r="BL1683">
        <v>0</v>
      </c>
      <c r="BM1683">
        <v>0</v>
      </c>
      <c r="BN1683">
        <v>5</v>
      </c>
      <c r="BO1683">
        <v>2.4</v>
      </c>
      <c r="BP1683">
        <v>36</v>
      </c>
      <c r="BQ1683">
        <v>0</v>
      </c>
      <c r="BR1683">
        <v>0</v>
      </c>
      <c r="BS1683">
        <v>0</v>
      </c>
      <c r="BT1683">
        <v>5</v>
      </c>
      <c r="BU1683">
        <v>1.6</v>
      </c>
    </row>
    <row r="1684" spans="1:73" ht="14.25" x14ac:dyDescent="0.15">
      <c r="A1684" s="12">
        <v>30831</v>
      </c>
      <c r="B1684">
        <v>7</v>
      </c>
      <c r="C1684" s="1">
        <v>45</v>
      </c>
      <c r="D1684">
        <v>0</v>
      </c>
      <c r="E1684">
        <v>0</v>
      </c>
      <c r="F1684">
        <v>1</v>
      </c>
      <c r="G1684" s="7">
        <v>0.05</v>
      </c>
      <c r="H1684">
        <v>12</v>
      </c>
      <c r="I1684">
        <v>0</v>
      </c>
      <c r="J1684">
        <v>0</v>
      </c>
      <c r="K1684">
        <v>0</v>
      </c>
      <c r="L1684">
        <v>1</v>
      </c>
      <c r="M1684">
        <v>2</v>
      </c>
      <c r="N1684" s="7">
        <v>9</v>
      </c>
      <c r="O1684" s="7">
        <v>0</v>
      </c>
      <c r="P1684" s="7">
        <v>0</v>
      </c>
      <c r="Q1684" s="7">
        <v>0</v>
      </c>
      <c r="R1684" s="7">
        <v>1</v>
      </c>
      <c r="S1684" s="7">
        <v>4.5</v>
      </c>
      <c r="T1684">
        <v>7</v>
      </c>
      <c r="U1684" s="1">
        <v>33</v>
      </c>
      <c r="V1684">
        <v>0</v>
      </c>
      <c r="W1684">
        <v>0</v>
      </c>
      <c r="X1684">
        <v>1</v>
      </c>
      <c r="Y1684">
        <v>0.16</v>
      </c>
      <c r="Z1684">
        <v>23</v>
      </c>
      <c r="AA1684">
        <v>0</v>
      </c>
      <c r="AB1684">
        <v>0</v>
      </c>
      <c r="AC1684">
        <v>0</v>
      </c>
      <c r="AD1684">
        <v>1</v>
      </c>
      <c r="AE1684">
        <v>0.05</v>
      </c>
      <c r="AF1684">
        <v>15</v>
      </c>
      <c r="AG1684">
        <v>0</v>
      </c>
      <c r="AH1684">
        <v>0</v>
      </c>
      <c r="AI1684">
        <v>0</v>
      </c>
      <c r="AJ1684">
        <v>1</v>
      </c>
      <c r="AK1684">
        <v>0.02</v>
      </c>
      <c r="AL1684">
        <v>16</v>
      </c>
      <c r="AM1684">
        <v>0</v>
      </c>
      <c r="AN1684">
        <v>0</v>
      </c>
      <c r="AO1684">
        <v>0</v>
      </c>
      <c r="AP1684">
        <v>1</v>
      </c>
      <c r="AQ1684">
        <v>0.01</v>
      </c>
      <c r="AX1684">
        <v>7</v>
      </c>
      <c r="AY1684" s="1">
        <v>17</v>
      </c>
      <c r="AZ1684">
        <v>0</v>
      </c>
      <c r="BA1684">
        <v>0</v>
      </c>
      <c r="BB1684">
        <v>1</v>
      </c>
      <c r="BC1684" s="7">
        <v>0.32</v>
      </c>
      <c r="BD1684">
        <v>30</v>
      </c>
      <c r="BE1684">
        <v>0</v>
      </c>
      <c r="BF1684">
        <v>0</v>
      </c>
      <c r="BG1684">
        <v>0</v>
      </c>
      <c r="BH1684">
        <v>5</v>
      </c>
      <c r="BI1684">
        <v>2.4</v>
      </c>
      <c r="BJ1684">
        <v>31</v>
      </c>
      <c r="BK1684">
        <v>0</v>
      </c>
      <c r="BL1684">
        <v>0</v>
      </c>
      <c r="BM1684">
        <v>0</v>
      </c>
      <c r="BN1684">
        <v>5</v>
      </c>
      <c r="BO1684">
        <v>2.4</v>
      </c>
      <c r="BP1684">
        <v>36</v>
      </c>
      <c r="BQ1684">
        <v>0</v>
      </c>
      <c r="BR1684">
        <v>0</v>
      </c>
      <c r="BS1684">
        <v>0</v>
      </c>
      <c r="BT1684">
        <v>5</v>
      </c>
      <c r="BU1684">
        <v>1.6</v>
      </c>
    </row>
    <row r="1685" spans="1:73" ht="14.25" x14ac:dyDescent="0.15">
      <c r="A1685" s="12">
        <v>30832</v>
      </c>
      <c r="B1685">
        <v>7</v>
      </c>
      <c r="C1685" s="1">
        <v>46</v>
      </c>
      <c r="D1685">
        <v>0</v>
      </c>
      <c r="E1685">
        <v>0</v>
      </c>
      <c r="F1685">
        <v>1</v>
      </c>
      <c r="G1685" s="7">
        <v>0.05</v>
      </c>
      <c r="H1685">
        <v>12</v>
      </c>
      <c r="I1685">
        <v>0</v>
      </c>
      <c r="J1685">
        <v>0</v>
      </c>
      <c r="K1685">
        <v>0</v>
      </c>
      <c r="L1685">
        <v>1</v>
      </c>
      <c r="M1685">
        <v>2</v>
      </c>
      <c r="N1685" s="7">
        <v>9</v>
      </c>
      <c r="O1685" s="7">
        <v>0</v>
      </c>
      <c r="P1685" s="7">
        <v>0</v>
      </c>
      <c r="Q1685" s="7">
        <v>0</v>
      </c>
      <c r="R1685" s="7">
        <v>1</v>
      </c>
      <c r="S1685" s="7">
        <v>4.5</v>
      </c>
      <c r="T1685">
        <v>7</v>
      </c>
      <c r="U1685" s="1">
        <v>34</v>
      </c>
      <c r="V1685">
        <v>0</v>
      </c>
      <c r="W1685">
        <v>0</v>
      </c>
      <c r="X1685">
        <v>1</v>
      </c>
      <c r="Y1685">
        <v>0.16</v>
      </c>
      <c r="Z1685">
        <v>23</v>
      </c>
      <c r="AA1685">
        <v>0</v>
      </c>
      <c r="AB1685">
        <v>0</v>
      </c>
      <c r="AC1685">
        <v>0</v>
      </c>
      <c r="AD1685">
        <v>1</v>
      </c>
      <c r="AE1685">
        <v>0.05</v>
      </c>
      <c r="AF1685">
        <v>15</v>
      </c>
      <c r="AG1685">
        <v>0</v>
      </c>
      <c r="AH1685">
        <v>0</v>
      </c>
      <c r="AI1685">
        <v>0</v>
      </c>
      <c r="AJ1685">
        <v>1</v>
      </c>
      <c r="AK1685">
        <v>0.02</v>
      </c>
      <c r="AL1685">
        <v>16</v>
      </c>
      <c r="AM1685">
        <v>0</v>
      </c>
      <c r="AN1685">
        <v>0</v>
      </c>
      <c r="AO1685">
        <v>0</v>
      </c>
      <c r="AP1685">
        <v>1</v>
      </c>
      <c r="AQ1685">
        <v>0.01</v>
      </c>
      <c r="AX1685">
        <v>7</v>
      </c>
      <c r="AY1685" s="1">
        <v>18</v>
      </c>
      <c r="AZ1685">
        <v>0</v>
      </c>
      <c r="BA1685">
        <v>0</v>
      </c>
      <c r="BB1685">
        <v>1</v>
      </c>
      <c r="BC1685" s="7">
        <v>0.32</v>
      </c>
      <c r="BD1685">
        <v>30</v>
      </c>
      <c r="BE1685">
        <v>0</v>
      </c>
      <c r="BF1685">
        <v>0</v>
      </c>
      <c r="BG1685">
        <v>0</v>
      </c>
      <c r="BH1685">
        <v>5</v>
      </c>
      <c r="BI1685">
        <v>2.4</v>
      </c>
      <c r="BJ1685">
        <v>31</v>
      </c>
      <c r="BK1685">
        <v>0</v>
      </c>
      <c r="BL1685">
        <v>0</v>
      </c>
      <c r="BM1685">
        <v>0</v>
      </c>
      <c r="BN1685">
        <v>5</v>
      </c>
      <c r="BO1685">
        <v>2.4</v>
      </c>
      <c r="BP1685">
        <v>36</v>
      </c>
      <c r="BQ1685">
        <v>0</v>
      </c>
      <c r="BR1685">
        <v>0</v>
      </c>
      <c r="BS1685">
        <v>0</v>
      </c>
      <c r="BT1685">
        <v>5</v>
      </c>
      <c r="BU1685">
        <v>1.6</v>
      </c>
    </row>
    <row r="1686" spans="1:73" ht="14.25" x14ac:dyDescent="0.15">
      <c r="A1686" s="12">
        <v>30833</v>
      </c>
      <c r="B1686">
        <v>7</v>
      </c>
      <c r="C1686" s="1">
        <v>47</v>
      </c>
      <c r="D1686">
        <v>0</v>
      </c>
      <c r="E1686">
        <v>0</v>
      </c>
      <c r="F1686">
        <v>1</v>
      </c>
      <c r="G1686" s="7">
        <v>0.05</v>
      </c>
      <c r="H1686">
        <v>12</v>
      </c>
      <c r="I1686">
        <v>0</v>
      </c>
      <c r="J1686">
        <v>0</v>
      </c>
      <c r="K1686">
        <v>0</v>
      </c>
      <c r="L1686">
        <v>1</v>
      </c>
      <c r="M1686">
        <v>2</v>
      </c>
      <c r="N1686" s="7">
        <v>9</v>
      </c>
      <c r="O1686" s="7">
        <v>0</v>
      </c>
      <c r="P1686" s="7">
        <v>0</v>
      </c>
      <c r="Q1686" s="7">
        <v>0</v>
      </c>
      <c r="R1686" s="7">
        <v>1</v>
      </c>
      <c r="S1686" s="7">
        <v>4.5</v>
      </c>
      <c r="T1686">
        <v>7</v>
      </c>
      <c r="U1686" s="1">
        <v>35</v>
      </c>
      <c r="V1686">
        <v>0</v>
      </c>
      <c r="W1686">
        <v>0</v>
      </c>
      <c r="X1686">
        <v>1</v>
      </c>
      <c r="Y1686">
        <v>0.16</v>
      </c>
      <c r="Z1686">
        <v>23</v>
      </c>
      <c r="AA1686">
        <v>0</v>
      </c>
      <c r="AB1686">
        <v>0</v>
      </c>
      <c r="AC1686">
        <v>0</v>
      </c>
      <c r="AD1686">
        <v>1</v>
      </c>
      <c r="AE1686">
        <v>0.05</v>
      </c>
      <c r="AF1686">
        <v>15</v>
      </c>
      <c r="AG1686">
        <v>0</v>
      </c>
      <c r="AH1686">
        <v>0</v>
      </c>
      <c r="AI1686">
        <v>0</v>
      </c>
      <c r="AJ1686">
        <v>1</v>
      </c>
      <c r="AK1686">
        <v>0.02</v>
      </c>
      <c r="AL1686">
        <v>16</v>
      </c>
      <c r="AM1686">
        <v>0</v>
      </c>
      <c r="AN1686">
        <v>0</v>
      </c>
      <c r="AO1686">
        <v>0</v>
      </c>
      <c r="AP1686">
        <v>1</v>
      </c>
      <c r="AQ1686">
        <v>0.01</v>
      </c>
      <c r="AX1686">
        <v>7</v>
      </c>
      <c r="AY1686" s="1">
        <v>19</v>
      </c>
      <c r="AZ1686">
        <v>0</v>
      </c>
      <c r="BA1686">
        <v>0</v>
      </c>
      <c r="BB1686">
        <v>1</v>
      </c>
      <c r="BC1686" s="7">
        <v>0.32</v>
      </c>
      <c r="BD1686">
        <v>30</v>
      </c>
      <c r="BE1686">
        <v>0</v>
      </c>
      <c r="BF1686">
        <v>0</v>
      </c>
      <c r="BG1686">
        <v>0</v>
      </c>
      <c r="BH1686">
        <v>5</v>
      </c>
      <c r="BI1686">
        <v>2.4</v>
      </c>
      <c r="BJ1686">
        <v>31</v>
      </c>
      <c r="BK1686">
        <v>0</v>
      </c>
      <c r="BL1686">
        <v>0</v>
      </c>
      <c r="BM1686">
        <v>0</v>
      </c>
      <c r="BN1686">
        <v>5</v>
      </c>
      <c r="BO1686">
        <v>2.4</v>
      </c>
      <c r="BP1686">
        <v>36</v>
      </c>
      <c r="BQ1686">
        <v>0</v>
      </c>
      <c r="BR1686">
        <v>0</v>
      </c>
      <c r="BS1686">
        <v>0</v>
      </c>
      <c r="BT1686">
        <v>5</v>
      </c>
      <c r="BU1686">
        <v>1.6</v>
      </c>
    </row>
    <row r="1687" spans="1:73" ht="14.25" x14ac:dyDescent="0.15">
      <c r="A1687" s="12">
        <v>30834</v>
      </c>
      <c r="B1687">
        <v>7</v>
      </c>
      <c r="C1687" s="1">
        <v>48</v>
      </c>
      <c r="D1687">
        <v>0</v>
      </c>
      <c r="E1687">
        <v>0</v>
      </c>
      <c r="F1687">
        <v>1</v>
      </c>
      <c r="G1687" s="7">
        <v>0.05</v>
      </c>
      <c r="H1687">
        <v>12</v>
      </c>
      <c r="I1687">
        <v>0</v>
      </c>
      <c r="J1687">
        <v>0</v>
      </c>
      <c r="K1687">
        <v>0</v>
      </c>
      <c r="L1687">
        <v>1</v>
      </c>
      <c r="M1687">
        <v>2</v>
      </c>
      <c r="N1687" s="7">
        <v>9</v>
      </c>
      <c r="O1687" s="7">
        <v>0</v>
      </c>
      <c r="P1687" s="7">
        <v>0</v>
      </c>
      <c r="Q1687" s="7">
        <v>0</v>
      </c>
      <c r="R1687" s="7">
        <v>1</v>
      </c>
      <c r="S1687" s="7">
        <v>4.5</v>
      </c>
      <c r="T1687">
        <v>7</v>
      </c>
      <c r="U1687" s="1">
        <v>36</v>
      </c>
      <c r="V1687">
        <v>0</v>
      </c>
      <c r="W1687">
        <v>0</v>
      </c>
      <c r="X1687">
        <v>1</v>
      </c>
      <c r="Y1687">
        <v>0.16</v>
      </c>
      <c r="Z1687">
        <v>23</v>
      </c>
      <c r="AA1687">
        <v>0</v>
      </c>
      <c r="AB1687">
        <v>0</v>
      </c>
      <c r="AC1687">
        <v>0</v>
      </c>
      <c r="AD1687">
        <v>1</v>
      </c>
      <c r="AE1687">
        <v>0.05</v>
      </c>
      <c r="AF1687">
        <v>15</v>
      </c>
      <c r="AG1687">
        <v>0</v>
      </c>
      <c r="AH1687">
        <v>0</v>
      </c>
      <c r="AI1687">
        <v>0</v>
      </c>
      <c r="AJ1687">
        <v>1</v>
      </c>
      <c r="AK1687">
        <v>0.02</v>
      </c>
      <c r="AL1687">
        <v>16</v>
      </c>
      <c r="AM1687">
        <v>0</v>
      </c>
      <c r="AN1687">
        <v>0</v>
      </c>
      <c r="AO1687">
        <v>0</v>
      </c>
      <c r="AP1687">
        <v>1</v>
      </c>
      <c r="AQ1687">
        <v>0.01</v>
      </c>
      <c r="AX1687">
        <v>7</v>
      </c>
      <c r="AY1687" s="1">
        <v>20</v>
      </c>
      <c r="AZ1687">
        <v>0</v>
      </c>
      <c r="BA1687">
        <v>0</v>
      </c>
      <c r="BB1687">
        <v>1</v>
      </c>
      <c r="BC1687" s="7">
        <v>0.32</v>
      </c>
      <c r="BD1687">
        <v>30</v>
      </c>
      <c r="BE1687">
        <v>0</v>
      </c>
      <c r="BF1687">
        <v>0</v>
      </c>
      <c r="BG1687">
        <v>0</v>
      </c>
      <c r="BH1687">
        <v>5</v>
      </c>
      <c r="BI1687">
        <v>2.4</v>
      </c>
      <c r="BJ1687">
        <v>31</v>
      </c>
      <c r="BK1687">
        <v>0</v>
      </c>
      <c r="BL1687">
        <v>0</v>
      </c>
      <c r="BM1687">
        <v>0</v>
      </c>
      <c r="BN1687">
        <v>5</v>
      </c>
      <c r="BO1687">
        <v>2.4</v>
      </c>
      <c r="BP1687">
        <v>36</v>
      </c>
      <c r="BQ1687">
        <v>0</v>
      </c>
      <c r="BR1687">
        <v>0</v>
      </c>
      <c r="BS1687">
        <v>0</v>
      </c>
      <c r="BT1687">
        <v>5</v>
      </c>
      <c r="BU1687">
        <v>1.6</v>
      </c>
    </row>
    <row r="1688" spans="1:73" ht="14.25" x14ac:dyDescent="0.15">
      <c r="A1688" s="12">
        <v>30835</v>
      </c>
      <c r="B1688">
        <v>7</v>
      </c>
      <c r="C1688" s="1">
        <v>0</v>
      </c>
      <c r="D1688">
        <v>5</v>
      </c>
      <c r="E1688">
        <v>1</v>
      </c>
      <c r="F1688">
        <v>1</v>
      </c>
      <c r="G1688" s="7">
        <v>0.05</v>
      </c>
      <c r="H1688">
        <v>12</v>
      </c>
      <c r="I1688">
        <v>0</v>
      </c>
      <c r="J1688">
        <v>0</v>
      </c>
      <c r="K1688">
        <v>0</v>
      </c>
      <c r="L1688">
        <v>1</v>
      </c>
      <c r="M1688">
        <v>2</v>
      </c>
      <c r="N1688" s="7">
        <v>9</v>
      </c>
      <c r="O1688" s="7">
        <v>0</v>
      </c>
      <c r="P1688" s="7">
        <v>0</v>
      </c>
      <c r="Q1688" s="7">
        <v>0</v>
      </c>
      <c r="R1688" s="7">
        <v>1</v>
      </c>
      <c r="S1688" s="7">
        <v>4.5</v>
      </c>
      <c r="T1688">
        <v>7</v>
      </c>
      <c r="U1688" s="1">
        <v>0</v>
      </c>
      <c r="V1688">
        <v>4</v>
      </c>
      <c r="W1688">
        <v>2</v>
      </c>
      <c r="X1688">
        <v>1</v>
      </c>
      <c r="Y1688">
        <v>0.16</v>
      </c>
      <c r="Z1688">
        <v>23</v>
      </c>
      <c r="AA1688">
        <v>0</v>
      </c>
      <c r="AB1688">
        <v>0</v>
      </c>
      <c r="AC1688">
        <v>0</v>
      </c>
      <c r="AD1688">
        <v>1</v>
      </c>
      <c r="AE1688">
        <v>0.05</v>
      </c>
      <c r="AF1688">
        <v>15</v>
      </c>
      <c r="AG1688">
        <v>0</v>
      </c>
      <c r="AH1688">
        <v>0</v>
      </c>
      <c r="AI1688">
        <v>0</v>
      </c>
      <c r="AJ1688">
        <v>1</v>
      </c>
      <c r="AK1688">
        <v>0.02</v>
      </c>
      <c r="AL1688">
        <v>16</v>
      </c>
      <c r="AM1688">
        <v>0</v>
      </c>
      <c r="AN1688">
        <v>0</v>
      </c>
      <c r="AO1688">
        <v>0</v>
      </c>
      <c r="AP1688">
        <v>1</v>
      </c>
      <c r="AQ1688">
        <v>0.01</v>
      </c>
      <c r="AR1688">
        <v>6</v>
      </c>
      <c r="AS1688">
        <v>2</v>
      </c>
      <c r="AT1688">
        <v>2</v>
      </c>
      <c r="AU1688">
        <v>5</v>
      </c>
      <c r="AV1688">
        <v>1</v>
      </c>
      <c r="AW1688">
        <v>0.05</v>
      </c>
      <c r="AX1688">
        <v>7</v>
      </c>
      <c r="AY1688" s="1">
        <v>0</v>
      </c>
      <c r="AZ1688">
        <v>3</v>
      </c>
      <c r="BA1688">
        <v>1</v>
      </c>
      <c r="BB1688">
        <v>1</v>
      </c>
      <c r="BC1688" s="7">
        <v>0.32</v>
      </c>
      <c r="BD1688">
        <v>30</v>
      </c>
      <c r="BE1688">
        <v>0</v>
      </c>
      <c r="BF1688">
        <v>0</v>
      </c>
      <c r="BG1688">
        <v>0</v>
      </c>
      <c r="BH1688">
        <v>5</v>
      </c>
      <c r="BI1688">
        <v>2.4</v>
      </c>
      <c r="BJ1688">
        <v>31</v>
      </c>
      <c r="BK1688">
        <v>0</v>
      </c>
      <c r="BL1688">
        <v>0</v>
      </c>
      <c r="BM1688">
        <v>0</v>
      </c>
      <c r="BN1688">
        <v>5</v>
      </c>
      <c r="BO1688">
        <v>2.4</v>
      </c>
      <c r="BP1688">
        <v>36</v>
      </c>
      <c r="BQ1688">
        <v>0</v>
      </c>
      <c r="BR1688">
        <v>0</v>
      </c>
      <c r="BS1688">
        <v>0</v>
      </c>
      <c r="BT1688">
        <v>5</v>
      </c>
      <c r="BU1688">
        <v>1.6</v>
      </c>
    </row>
    <row r="1689" spans="1:73" ht="14.25" x14ac:dyDescent="0.15">
      <c r="A1689" s="12">
        <v>30836</v>
      </c>
      <c r="B1689">
        <v>7</v>
      </c>
      <c r="C1689" s="1">
        <v>45</v>
      </c>
      <c r="D1689">
        <v>0</v>
      </c>
      <c r="E1689">
        <v>0</v>
      </c>
      <c r="F1689">
        <v>1</v>
      </c>
      <c r="G1689" s="7">
        <v>0.05</v>
      </c>
      <c r="H1689">
        <v>12</v>
      </c>
      <c r="I1689">
        <v>0</v>
      </c>
      <c r="J1689">
        <v>0</v>
      </c>
      <c r="K1689">
        <v>0</v>
      </c>
      <c r="L1689">
        <v>1</v>
      </c>
      <c r="M1689">
        <v>2</v>
      </c>
      <c r="N1689" s="7">
        <v>9</v>
      </c>
      <c r="O1689" s="7">
        <v>0</v>
      </c>
      <c r="P1689" s="7">
        <v>0</v>
      </c>
      <c r="Q1689" s="7">
        <v>0</v>
      </c>
      <c r="R1689" s="7">
        <v>1</v>
      </c>
      <c r="S1689" s="7">
        <v>4.5</v>
      </c>
      <c r="T1689">
        <v>7</v>
      </c>
      <c r="U1689" s="1">
        <v>33</v>
      </c>
      <c r="V1689">
        <v>0</v>
      </c>
      <c r="W1689">
        <v>0</v>
      </c>
      <c r="X1689">
        <v>1</v>
      </c>
      <c r="Y1689">
        <v>0.16</v>
      </c>
      <c r="Z1689">
        <v>23</v>
      </c>
      <c r="AA1689">
        <v>0</v>
      </c>
      <c r="AB1689">
        <v>0</v>
      </c>
      <c r="AC1689">
        <v>0</v>
      </c>
      <c r="AD1689">
        <v>1</v>
      </c>
      <c r="AE1689">
        <v>0.05</v>
      </c>
      <c r="AF1689">
        <v>15</v>
      </c>
      <c r="AG1689">
        <v>0</v>
      </c>
      <c r="AH1689">
        <v>0</v>
      </c>
      <c r="AI1689">
        <v>0</v>
      </c>
      <c r="AJ1689">
        <v>1</v>
      </c>
      <c r="AK1689">
        <v>0.02</v>
      </c>
      <c r="AL1689">
        <v>16</v>
      </c>
      <c r="AM1689">
        <v>0</v>
      </c>
      <c r="AN1689">
        <v>0</v>
      </c>
      <c r="AO1689">
        <v>0</v>
      </c>
      <c r="AP1689">
        <v>1</v>
      </c>
      <c r="AQ1689">
        <v>0.01</v>
      </c>
      <c r="AX1689">
        <v>7</v>
      </c>
      <c r="AY1689" s="1">
        <v>17</v>
      </c>
      <c r="AZ1689">
        <v>0</v>
      </c>
      <c r="BA1689">
        <v>0</v>
      </c>
      <c r="BB1689">
        <v>1</v>
      </c>
      <c r="BC1689" s="7">
        <v>0.32</v>
      </c>
      <c r="BD1689">
        <v>30</v>
      </c>
      <c r="BE1689">
        <v>0</v>
      </c>
      <c r="BF1689">
        <v>0</v>
      </c>
      <c r="BG1689">
        <v>0</v>
      </c>
      <c r="BH1689">
        <v>5</v>
      </c>
      <c r="BI1689">
        <v>2.4</v>
      </c>
      <c r="BJ1689">
        <v>31</v>
      </c>
      <c r="BK1689">
        <v>0</v>
      </c>
      <c r="BL1689">
        <v>0</v>
      </c>
      <c r="BM1689">
        <v>0</v>
      </c>
      <c r="BN1689">
        <v>5</v>
      </c>
      <c r="BO1689">
        <v>2.4</v>
      </c>
      <c r="BP1689">
        <v>36</v>
      </c>
      <c r="BQ1689">
        <v>0</v>
      </c>
      <c r="BR1689">
        <v>0</v>
      </c>
      <c r="BS1689">
        <v>0</v>
      </c>
      <c r="BT1689">
        <v>5</v>
      </c>
      <c r="BU1689">
        <v>1.6</v>
      </c>
    </row>
    <row r="1690" spans="1:73" ht="14.25" x14ac:dyDescent="0.15">
      <c r="A1690" s="12">
        <v>30837</v>
      </c>
      <c r="B1690">
        <v>7</v>
      </c>
      <c r="C1690" s="1">
        <v>46</v>
      </c>
      <c r="D1690">
        <v>0</v>
      </c>
      <c r="E1690">
        <v>0</v>
      </c>
      <c r="F1690">
        <v>1</v>
      </c>
      <c r="G1690" s="7">
        <v>0.05</v>
      </c>
      <c r="H1690">
        <v>12</v>
      </c>
      <c r="I1690">
        <v>0</v>
      </c>
      <c r="J1690">
        <v>0</v>
      </c>
      <c r="K1690">
        <v>0</v>
      </c>
      <c r="L1690">
        <v>1</v>
      </c>
      <c r="M1690">
        <v>2</v>
      </c>
      <c r="N1690" s="7">
        <v>9</v>
      </c>
      <c r="O1690" s="7">
        <v>0</v>
      </c>
      <c r="P1690" s="7">
        <v>0</v>
      </c>
      <c r="Q1690" s="7">
        <v>0</v>
      </c>
      <c r="R1690" s="7">
        <v>1</v>
      </c>
      <c r="S1690" s="7">
        <v>4.5</v>
      </c>
      <c r="T1690">
        <v>7</v>
      </c>
      <c r="U1690" s="1">
        <v>34</v>
      </c>
      <c r="V1690">
        <v>0</v>
      </c>
      <c r="W1690">
        <v>0</v>
      </c>
      <c r="X1690">
        <v>1</v>
      </c>
      <c r="Y1690">
        <v>0.16</v>
      </c>
      <c r="Z1690">
        <v>23</v>
      </c>
      <c r="AA1690">
        <v>0</v>
      </c>
      <c r="AB1690">
        <v>0</v>
      </c>
      <c r="AC1690">
        <v>0</v>
      </c>
      <c r="AD1690">
        <v>1</v>
      </c>
      <c r="AE1690">
        <v>0.05</v>
      </c>
      <c r="AF1690">
        <v>15</v>
      </c>
      <c r="AG1690">
        <v>0</v>
      </c>
      <c r="AH1690">
        <v>0</v>
      </c>
      <c r="AI1690">
        <v>0</v>
      </c>
      <c r="AJ1690">
        <v>1</v>
      </c>
      <c r="AK1690">
        <v>0.02</v>
      </c>
      <c r="AL1690">
        <v>16</v>
      </c>
      <c r="AM1690">
        <v>0</v>
      </c>
      <c r="AN1690">
        <v>0</v>
      </c>
      <c r="AO1690">
        <v>0</v>
      </c>
      <c r="AP1690">
        <v>1</v>
      </c>
      <c r="AQ1690">
        <v>0.01</v>
      </c>
      <c r="AX1690">
        <v>7</v>
      </c>
      <c r="AY1690" s="1">
        <v>18</v>
      </c>
      <c r="AZ1690">
        <v>0</v>
      </c>
      <c r="BA1690">
        <v>0</v>
      </c>
      <c r="BB1690">
        <v>1</v>
      </c>
      <c r="BC1690" s="7">
        <v>0.32</v>
      </c>
      <c r="BD1690">
        <v>30</v>
      </c>
      <c r="BE1690">
        <v>0</v>
      </c>
      <c r="BF1690">
        <v>0</v>
      </c>
      <c r="BG1690">
        <v>0</v>
      </c>
      <c r="BH1690">
        <v>5</v>
      </c>
      <c r="BI1690">
        <v>2.4</v>
      </c>
      <c r="BJ1690">
        <v>31</v>
      </c>
      <c r="BK1690">
        <v>0</v>
      </c>
      <c r="BL1690">
        <v>0</v>
      </c>
      <c r="BM1690">
        <v>0</v>
      </c>
      <c r="BN1690">
        <v>5</v>
      </c>
      <c r="BO1690">
        <v>2.4</v>
      </c>
      <c r="BP1690">
        <v>36</v>
      </c>
      <c r="BQ1690">
        <v>0</v>
      </c>
      <c r="BR1690">
        <v>0</v>
      </c>
      <c r="BS1690">
        <v>0</v>
      </c>
      <c r="BT1690">
        <v>5</v>
      </c>
      <c r="BU1690">
        <v>1.6</v>
      </c>
    </row>
    <row r="1691" spans="1:73" ht="14.25" x14ac:dyDescent="0.15">
      <c r="A1691" s="12">
        <v>30838</v>
      </c>
      <c r="B1691">
        <v>7</v>
      </c>
      <c r="C1691" s="1">
        <v>47</v>
      </c>
      <c r="D1691">
        <v>0</v>
      </c>
      <c r="E1691">
        <v>0</v>
      </c>
      <c r="F1691">
        <v>1</v>
      </c>
      <c r="G1691" s="7">
        <v>0.05</v>
      </c>
      <c r="H1691">
        <v>12</v>
      </c>
      <c r="I1691">
        <v>0</v>
      </c>
      <c r="J1691">
        <v>0</v>
      </c>
      <c r="K1691">
        <v>0</v>
      </c>
      <c r="L1691">
        <v>1</v>
      </c>
      <c r="M1691">
        <v>2</v>
      </c>
      <c r="N1691" s="7">
        <v>9</v>
      </c>
      <c r="O1691" s="7">
        <v>0</v>
      </c>
      <c r="P1691" s="7">
        <v>0</v>
      </c>
      <c r="Q1691" s="7">
        <v>0</v>
      </c>
      <c r="R1691" s="7">
        <v>1</v>
      </c>
      <c r="S1691" s="7">
        <v>4.5</v>
      </c>
      <c r="T1691">
        <v>7</v>
      </c>
      <c r="U1691" s="1">
        <v>35</v>
      </c>
      <c r="V1691">
        <v>0</v>
      </c>
      <c r="W1691">
        <v>0</v>
      </c>
      <c r="X1691">
        <v>1</v>
      </c>
      <c r="Y1691">
        <v>0.16</v>
      </c>
      <c r="Z1691">
        <v>23</v>
      </c>
      <c r="AA1691">
        <v>0</v>
      </c>
      <c r="AB1691">
        <v>0</v>
      </c>
      <c r="AC1691">
        <v>0</v>
      </c>
      <c r="AD1691">
        <v>1</v>
      </c>
      <c r="AE1691">
        <v>0.05</v>
      </c>
      <c r="AF1691">
        <v>15</v>
      </c>
      <c r="AG1691">
        <v>0</v>
      </c>
      <c r="AH1691">
        <v>0</v>
      </c>
      <c r="AI1691">
        <v>0</v>
      </c>
      <c r="AJ1691">
        <v>1</v>
      </c>
      <c r="AK1691">
        <v>0.02</v>
      </c>
      <c r="AL1691">
        <v>16</v>
      </c>
      <c r="AM1691">
        <v>0</v>
      </c>
      <c r="AN1691">
        <v>0</v>
      </c>
      <c r="AO1691">
        <v>0</v>
      </c>
      <c r="AP1691">
        <v>1</v>
      </c>
      <c r="AQ1691">
        <v>0.01</v>
      </c>
      <c r="AX1691">
        <v>7</v>
      </c>
      <c r="AY1691" s="1">
        <v>19</v>
      </c>
      <c r="AZ1691">
        <v>0</v>
      </c>
      <c r="BA1691">
        <v>0</v>
      </c>
      <c r="BB1691">
        <v>1</v>
      </c>
      <c r="BC1691" s="7">
        <v>0.32</v>
      </c>
      <c r="BD1691">
        <v>30</v>
      </c>
      <c r="BE1691">
        <v>0</v>
      </c>
      <c r="BF1691">
        <v>0</v>
      </c>
      <c r="BG1691">
        <v>0</v>
      </c>
      <c r="BH1691">
        <v>5</v>
      </c>
      <c r="BI1691">
        <v>2.4</v>
      </c>
      <c r="BJ1691">
        <v>31</v>
      </c>
      <c r="BK1691">
        <v>0</v>
      </c>
      <c r="BL1691">
        <v>0</v>
      </c>
      <c r="BM1691">
        <v>0</v>
      </c>
      <c r="BN1691">
        <v>5</v>
      </c>
      <c r="BO1691">
        <v>2.4</v>
      </c>
      <c r="BP1691">
        <v>36</v>
      </c>
      <c r="BQ1691">
        <v>0</v>
      </c>
      <c r="BR1691">
        <v>0</v>
      </c>
      <c r="BS1691">
        <v>0</v>
      </c>
      <c r="BT1691">
        <v>5</v>
      </c>
      <c r="BU1691">
        <v>1.6</v>
      </c>
    </row>
    <row r="1692" spans="1:73" ht="14.25" x14ac:dyDescent="0.15">
      <c r="A1692" s="12">
        <v>30839</v>
      </c>
      <c r="B1692">
        <v>7</v>
      </c>
      <c r="C1692" s="1">
        <v>48</v>
      </c>
      <c r="D1692">
        <v>0</v>
      </c>
      <c r="E1692">
        <v>0</v>
      </c>
      <c r="F1692">
        <v>1</v>
      </c>
      <c r="G1692" s="7">
        <v>0.05</v>
      </c>
      <c r="H1692">
        <v>12</v>
      </c>
      <c r="I1692">
        <v>0</v>
      </c>
      <c r="J1692">
        <v>0</v>
      </c>
      <c r="K1692">
        <v>0</v>
      </c>
      <c r="L1692">
        <v>1</v>
      </c>
      <c r="M1692">
        <v>2</v>
      </c>
      <c r="N1692" s="7">
        <v>9</v>
      </c>
      <c r="O1692" s="7">
        <v>0</v>
      </c>
      <c r="P1692" s="7">
        <v>0</v>
      </c>
      <c r="Q1692" s="7">
        <v>0</v>
      </c>
      <c r="R1692" s="7">
        <v>1</v>
      </c>
      <c r="S1692" s="7">
        <v>4.5</v>
      </c>
      <c r="T1692">
        <v>7</v>
      </c>
      <c r="U1692" s="1">
        <v>36</v>
      </c>
      <c r="V1692">
        <v>0</v>
      </c>
      <c r="W1692">
        <v>0</v>
      </c>
      <c r="X1692">
        <v>1</v>
      </c>
      <c r="Y1692">
        <v>0.16</v>
      </c>
      <c r="Z1692">
        <v>23</v>
      </c>
      <c r="AA1692">
        <v>0</v>
      </c>
      <c r="AB1692">
        <v>0</v>
      </c>
      <c r="AC1692">
        <v>0</v>
      </c>
      <c r="AD1692">
        <v>1</v>
      </c>
      <c r="AE1692">
        <v>0.05</v>
      </c>
      <c r="AF1692">
        <v>15</v>
      </c>
      <c r="AG1692">
        <v>0</v>
      </c>
      <c r="AH1692">
        <v>0</v>
      </c>
      <c r="AI1692">
        <v>0</v>
      </c>
      <c r="AJ1692">
        <v>1</v>
      </c>
      <c r="AK1692">
        <v>0.02</v>
      </c>
      <c r="AL1692">
        <v>16</v>
      </c>
      <c r="AM1692">
        <v>0</v>
      </c>
      <c r="AN1692">
        <v>0</v>
      </c>
      <c r="AO1692">
        <v>0</v>
      </c>
      <c r="AP1692">
        <v>1</v>
      </c>
      <c r="AQ1692">
        <v>0.01</v>
      </c>
      <c r="AX1692">
        <v>7</v>
      </c>
      <c r="AY1692" s="1">
        <v>20</v>
      </c>
      <c r="AZ1692">
        <v>0</v>
      </c>
      <c r="BA1692">
        <v>0</v>
      </c>
      <c r="BB1692">
        <v>1</v>
      </c>
      <c r="BC1692" s="7">
        <v>0.32</v>
      </c>
      <c r="BD1692">
        <v>30</v>
      </c>
      <c r="BE1692">
        <v>0</v>
      </c>
      <c r="BF1692">
        <v>0</v>
      </c>
      <c r="BG1692">
        <v>0</v>
      </c>
      <c r="BH1692">
        <v>5</v>
      </c>
      <c r="BI1692">
        <v>2.4</v>
      </c>
      <c r="BJ1692">
        <v>31</v>
      </c>
      <c r="BK1692">
        <v>0</v>
      </c>
      <c r="BL1692">
        <v>0</v>
      </c>
      <c r="BM1692">
        <v>0</v>
      </c>
      <c r="BN1692">
        <v>5</v>
      </c>
      <c r="BO1692">
        <v>2.4</v>
      </c>
      <c r="BP1692">
        <v>36</v>
      </c>
      <c r="BQ1692">
        <v>0</v>
      </c>
      <c r="BR1692">
        <v>0</v>
      </c>
      <c r="BS1692">
        <v>0</v>
      </c>
      <c r="BT1692">
        <v>5</v>
      </c>
      <c r="BU1692">
        <v>1.6</v>
      </c>
    </row>
    <row r="1693" spans="1:73" ht="14.25" x14ac:dyDescent="0.15">
      <c r="A1693" s="12">
        <v>30840</v>
      </c>
      <c r="B1693">
        <v>7</v>
      </c>
      <c r="C1693" s="1">
        <v>0</v>
      </c>
      <c r="D1693">
        <v>5</v>
      </c>
      <c r="E1693">
        <v>1</v>
      </c>
      <c r="F1693">
        <v>1</v>
      </c>
      <c r="G1693" s="7">
        <v>0.05</v>
      </c>
      <c r="H1693">
        <v>12</v>
      </c>
      <c r="I1693">
        <v>0</v>
      </c>
      <c r="J1693">
        <v>0</v>
      </c>
      <c r="K1693">
        <v>0</v>
      </c>
      <c r="L1693">
        <v>1</v>
      </c>
      <c r="M1693">
        <v>2</v>
      </c>
      <c r="N1693" s="7">
        <v>9</v>
      </c>
      <c r="O1693" s="7">
        <v>0</v>
      </c>
      <c r="P1693" s="7">
        <v>0</v>
      </c>
      <c r="Q1693" s="7">
        <v>0</v>
      </c>
      <c r="R1693" s="7">
        <v>1</v>
      </c>
      <c r="S1693" s="7">
        <v>4.5</v>
      </c>
      <c r="T1693">
        <v>7</v>
      </c>
      <c r="U1693" s="1">
        <v>0</v>
      </c>
      <c r="V1693">
        <v>4</v>
      </c>
      <c r="W1693">
        <v>2</v>
      </c>
      <c r="X1693">
        <v>1</v>
      </c>
      <c r="Y1693">
        <v>0.16</v>
      </c>
      <c r="Z1693">
        <v>23</v>
      </c>
      <c r="AA1693">
        <v>0</v>
      </c>
      <c r="AB1693">
        <v>0</v>
      </c>
      <c r="AC1693">
        <v>0</v>
      </c>
      <c r="AD1693">
        <v>1</v>
      </c>
      <c r="AE1693">
        <v>0.05</v>
      </c>
      <c r="AF1693">
        <v>15</v>
      </c>
      <c r="AG1693">
        <v>0</v>
      </c>
      <c r="AH1693">
        <v>0</v>
      </c>
      <c r="AI1693">
        <v>0</v>
      </c>
      <c r="AJ1693">
        <v>1</v>
      </c>
      <c r="AK1693">
        <v>0.02</v>
      </c>
      <c r="AL1693">
        <v>16</v>
      </c>
      <c r="AM1693">
        <v>0</v>
      </c>
      <c r="AN1693">
        <v>0</v>
      </c>
      <c r="AO1693">
        <v>0</v>
      </c>
      <c r="AP1693">
        <v>1</v>
      </c>
      <c r="AQ1693">
        <v>0.01</v>
      </c>
      <c r="AR1693">
        <v>6</v>
      </c>
      <c r="AS1693">
        <v>2</v>
      </c>
      <c r="AT1693">
        <v>3</v>
      </c>
      <c r="AU1693">
        <v>5</v>
      </c>
      <c r="AV1693">
        <v>1</v>
      </c>
      <c r="AW1693">
        <v>0.05</v>
      </c>
      <c r="AX1693">
        <v>7</v>
      </c>
      <c r="AY1693" s="1">
        <v>0</v>
      </c>
      <c r="AZ1693">
        <v>3</v>
      </c>
      <c r="BA1693">
        <v>1</v>
      </c>
      <c r="BB1693">
        <v>1</v>
      </c>
      <c r="BC1693" s="7">
        <v>0.32</v>
      </c>
      <c r="BD1693">
        <v>30</v>
      </c>
      <c r="BE1693">
        <v>0</v>
      </c>
      <c r="BF1693">
        <v>0</v>
      </c>
      <c r="BG1693">
        <v>0</v>
      </c>
      <c r="BH1693">
        <v>5</v>
      </c>
      <c r="BI1693">
        <v>2.4</v>
      </c>
      <c r="BJ1693">
        <v>31</v>
      </c>
      <c r="BK1693">
        <v>0</v>
      </c>
      <c r="BL1693">
        <v>0</v>
      </c>
      <c r="BM1693">
        <v>0</v>
      </c>
      <c r="BN1693">
        <v>5</v>
      </c>
      <c r="BO1693">
        <v>2.4</v>
      </c>
      <c r="BP1693">
        <v>36</v>
      </c>
      <c r="BQ1693">
        <v>0</v>
      </c>
      <c r="BR1693">
        <v>0</v>
      </c>
      <c r="BS1693">
        <v>0</v>
      </c>
      <c r="BT1693">
        <v>5</v>
      </c>
      <c r="BU1693">
        <v>1.6</v>
      </c>
    </row>
    <row r="1694" spans="1:73" ht="14.25" x14ac:dyDescent="0.15">
      <c r="A1694" s="12">
        <v>30841</v>
      </c>
      <c r="B1694">
        <v>7</v>
      </c>
      <c r="C1694" s="1">
        <v>45</v>
      </c>
      <c r="D1694">
        <v>0</v>
      </c>
      <c r="E1694">
        <v>0</v>
      </c>
      <c r="F1694">
        <v>1</v>
      </c>
      <c r="G1694" s="7">
        <v>0.05</v>
      </c>
      <c r="H1694">
        <v>12</v>
      </c>
      <c r="I1694">
        <v>0</v>
      </c>
      <c r="J1694">
        <v>0</v>
      </c>
      <c r="K1694">
        <v>0</v>
      </c>
      <c r="L1694">
        <v>1</v>
      </c>
      <c r="M1694">
        <v>2</v>
      </c>
      <c r="N1694" s="7">
        <v>9</v>
      </c>
      <c r="O1694" s="7">
        <v>0</v>
      </c>
      <c r="P1694" s="7">
        <v>0</v>
      </c>
      <c r="Q1694" s="7">
        <v>0</v>
      </c>
      <c r="R1694" s="7">
        <v>1</v>
      </c>
      <c r="S1694" s="7">
        <v>4.5</v>
      </c>
      <c r="T1694">
        <v>7</v>
      </c>
      <c r="U1694" s="1">
        <v>33</v>
      </c>
      <c r="V1694">
        <v>0</v>
      </c>
      <c r="W1694">
        <v>0</v>
      </c>
      <c r="X1694">
        <v>1</v>
      </c>
      <c r="Y1694">
        <v>0.16</v>
      </c>
      <c r="Z1694">
        <v>23</v>
      </c>
      <c r="AA1694">
        <v>0</v>
      </c>
      <c r="AB1694">
        <v>0</v>
      </c>
      <c r="AC1694">
        <v>0</v>
      </c>
      <c r="AD1694">
        <v>1</v>
      </c>
      <c r="AE1694">
        <v>0.05</v>
      </c>
      <c r="AF1694">
        <v>15</v>
      </c>
      <c r="AG1694">
        <v>0</v>
      </c>
      <c r="AH1694">
        <v>0</v>
      </c>
      <c r="AI1694">
        <v>0</v>
      </c>
      <c r="AJ1694">
        <v>1</v>
      </c>
      <c r="AK1694">
        <v>0.02</v>
      </c>
      <c r="AL1694">
        <v>16</v>
      </c>
      <c r="AM1694">
        <v>0</v>
      </c>
      <c r="AN1694">
        <v>0</v>
      </c>
      <c r="AO1694">
        <v>0</v>
      </c>
      <c r="AP1694">
        <v>1</v>
      </c>
      <c r="AQ1694">
        <v>0.01</v>
      </c>
      <c r="AX1694">
        <v>7</v>
      </c>
      <c r="AY1694" s="1">
        <v>17</v>
      </c>
      <c r="AZ1694">
        <v>0</v>
      </c>
      <c r="BA1694">
        <v>0</v>
      </c>
      <c r="BB1694">
        <v>1</v>
      </c>
      <c r="BC1694" s="7">
        <v>0.32</v>
      </c>
      <c r="BD1694">
        <v>30</v>
      </c>
      <c r="BE1694">
        <v>0</v>
      </c>
      <c r="BF1694">
        <v>0</v>
      </c>
      <c r="BG1694">
        <v>0</v>
      </c>
      <c r="BH1694">
        <v>5</v>
      </c>
      <c r="BI1694">
        <v>2.4</v>
      </c>
      <c r="BJ1694">
        <v>31</v>
      </c>
      <c r="BK1694">
        <v>0</v>
      </c>
      <c r="BL1694">
        <v>0</v>
      </c>
      <c r="BM1694">
        <v>0</v>
      </c>
      <c r="BN1694">
        <v>5</v>
      </c>
      <c r="BO1694">
        <v>2.4</v>
      </c>
      <c r="BP1694">
        <v>36</v>
      </c>
      <c r="BQ1694">
        <v>0</v>
      </c>
      <c r="BR1694">
        <v>0</v>
      </c>
      <c r="BS1694">
        <v>0</v>
      </c>
      <c r="BT1694">
        <v>5</v>
      </c>
      <c r="BU1694">
        <v>1.6</v>
      </c>
    </row>
    <row r="1695" spans="1:73" ht="14.25" x14ac:dyDescent="0.15">
      <c r="A1695" s="12">
        <v>30842</v>
      </c>
      <c r="B1695">
        <v>7</v>
      </c>
      <c r="C1695" s="1">
        <v>46</v>
      </c>
      <c r="D1695">
        <v>0</v>
      </c>
      <c r="E1695">
        <v>0</v>
      </c>
      <c r="F1695">
        <v>1</v>
      </c>
      <c r="G1695" s="7">
        <v>0.05</v>
      </c>
      <c r="H1695">
        <v>12</v>
      </c>
      <c r="I1695">
        <v>0</v>
      </c>
      <c r="J1695">
        <v>0</v>
      </c>
      <c r="K1695">
        <v>0</v>
      </c>
      <c r="L1695">
        <v>1</v>
      </c>
      <c r="M1695">
        <v>2</v>
      </c>
      <c r="N1695" s="7">
        <v>9</v>
      </c>
      <c r="O1695" s="7">
        <v>0</v>
      </c>
      <c r="P1695" s="7">
        <v>0</v>
      </c>
      <c r="Q1695" s="7">
        <v>0</v>
      </c>
      <c r="R1695" s="7">
        <v>1</v>
      </c>
      <c r="S1695" s="7">
        <v>4.5</v>
      </c>
      <c r="T1695">
        <v>7</v>
      </c>
      <c r="U1695" s="1">
        <v>34</v>
      </c>
      <c r="V1695">
        <v>0</v>
      </c>
      <c r="W1695">
        <v>0</v>
      </c>
      <c r="X1695">
        <v>1</v>
      </c>
      <c r="Y1695">
        <v>0.16</v>
      </c>
      <c r="Z1695">
        <v>23</v>
      </c>
      <c r="AA1695">
        <v>0</v>
      </c>
      <c r="AB1695">
        <v>0</v>
      </c>
      <c r="AC1695">
        <v>0</v>
      </c>
      <c r="AD1695">
        <v>1</v>
      </c>
      <c r="AE1695">
        <v>0.05</v>
      </c>
      <c r="AF1695">
        <v>15</v>
      </c>
      <c r="AG1695">
        <v>0</v>
      </c>
      <c r="AH1695">
        <v>0</v>
      </c>
      <c r="AI1695">
        <v>0</v>
      </c>
      <c r="AJ1695">
        <v>1</v>
      </c>
      <c r="AK1695">
        <v>0.02</v>
      </c>
      <c r="AL1695">
        <v>16</v>
      </c>
      <c r="AM1695">
        <v>0</v>
      </c>
      <c r="AN1695">
        <v>0</v>
      </c>
      <c r="AO1695">
        <v>0</v>
      </c>
      <c r="AP1695">
        <v>1</v>
      </c>
      <c r="AQ1695">
        <v>0.01</v>
      </c>
      <c r="AX1695">
        <v>7</v>
      </c>
      <c r="AY1695" s="1">
        <v>18</v>
      </c>
      <c r="AZ1695">
        <v>0</v>
      </c>
      <c r="BA1695">
        <v>0</v>
      </c>
      <c r="BB1695">
        <v>1</v>
      </c>
      <c r="BC1695" s="7">
        <v>0.32</v>
      </c>
      <c r="BD1695">
        <v>30</v>
      </c>
      <c r="BE1695">
        <v>0</v>
      </c>
      <c r="BF1695">
        <v>0</v>
      </c>
      <c r="BG1695">
        <v>0</v>
      </c>
      <c r="BH1695">
        <v>5</v>
      </c>
      <c r="BI1695">
        <v>2.4</v>
      </c>
      <c r="BJ1695">
        <v>31</v>
      </c>
      <c r="BK1695">
        <v>0</v>
      </c>
      <c r="BL1695">
        <v>0</v>
      </c>
      <c r="BM1695">
        <v>0</v>
      </c>
      <c r="BN1695">
        <v>5</v>
      </c>
      <c r="BO1695">
        <v>2.4</v>
      </c>
      <c r="BP1695">
        <v>36</v>
      </c>
      <c r="BQ1695">
        <v>0</v>
      </c>
      <c r="BR1695">
        <v>0</v>
      </c>
      <c r="BS1695">
        <v>0</v>
      </c>
      <c r="BT1695">
        <v>5</v>
      </c>
      <c r="BU1695">
        <v>1.6</v>
      </c>
    </row>
    <row r="1696" spans="1:73" ht="14.25" x14ac:dyDescent="0.15">
      <c r="A1696" s="12">
        <v>30843</v>
      </c>
      <c r="B1696">
        <v>7</v>
      </c>
      <c r="C1696" s="1">
        <v>47</v>
      </c>
      <c r="D1696">
        <v>0</v>
      </c>
      <c r="E1696">
        <v>0</v>
      </c>
      <c r="F1696">
        <v>1</v>
      </c>
      <c r="G1696" s="7">
        <v>0.05</v>
      </c>
      <c r="H1696">
        <v>12</v>
      </c>
      <c r="I1696">
        <v>0</v>
      </c>
      <c r="J1696">
        <v>0</v>
      </c>
      <c r="K1696">
        <v>0</v>
      </c>
      <c r="L1696">
        <v>1</v>
      </c>
      <c r="M1696">
        <v>2</v>
      </c>
      <c r="N1696" s="7">
        <v>9</v>
      </c>
      <c r="O1696" s="7">
        <v>0</v>
      </c>
      <c r="P1696" s="7">
        <v>0</v>
      </c>
      <c r="Q1696" s="7">
        <v>0</v>
      </c>
      <c r="R1696" s="7">
        <v>1</v>
      </c>
      <c r="S1696" s="7">
        <v>4.5</v>
      </c>
      <c r="T1696">
        <v>7</v>
      </c>
      <c r="U1696" s="1">
        <v>35</v>
      </c>
      <c r="V1696">
        <v>0</v>
      </c>
      <c r="W1696">
        <v>0</v>
      </c>
      <c r="X1696">
        <v>1</v>
      </c>
      <c r="Y1696">
        <v>0.16</v>
      </c>
      <c r="Z1696">
        <v>23</v>
      </c>
      <c r="AA1696">
        <v>0</v>
      </c>
      <c r="AB1696">
        <v>0</v>
      </c>
      <c r="AC1696">
        <v>0</v>
      </c>
      <c r="AD1696">
        <v>1</v>
      </c>
      <c r="AE1696">
        <v>0.05</v>
      </c>
      <c r="AF1696">
        <v>15</v>
      </c>
      <c r="AG1696">
        <v>0</v>
      </c>
      <c r="AH1696">
        <v>0</v>
      </c>
      <c r="AI1696">
        <v>0</v>
      </c>
      <c r="AJ1696">
        <v>1</v>
      </c>
      <c r="AK1696">
        <v>0.02</v>
      </c>
      <c r="AL1696">
        <v>16</v>
      </c>
      <c r="AM1696">
        <v>0</v>
      </c>
      <c r="AN1696">
        <v>0</v>
      </c>
      <c r="AO1696">
        <v>0</v>
      </c>
      <c r="AP1696">
        <v>1</v>
      </c>
      <c r="AQ1696">
        <v>0.01</v>
      </c>
      <c r="AX1696">
        <v>7</v>
      </c>
      <c r="AY1696" s="1">
        <v>19</v>
      </c>
      <c r="AZ1696">
        <v>0</v>
      </c>
      <c r="BA1696">
        <v>0</v>
      </c>
      <c r="BB1696">
        <v>1</v>
      </c>
      <c r="BC1696" s="7">
        <v>0.32</v>
      </c>
      <c r="BD1696">
        <v>30</v>
      </c>
      <c r="BE1696">
        <v>0</v>
      </c>
      <c r="BF1696">
        <v>0</v>
      </c>
      <c r="BG1696">
        <v>0</v>
      </c>
      <c r="BH1696">
        <v>5</v>
      </c>
      <c r="BI1696">
        <v>2.4</v>
      </c>
      <c r="BJ1696">
        <v>31</v>
      </c>
      <c r="BK1696">
        <v>0</v>
      </c>
      <c r="BL1696">
        <v>0</v>
      </c>
      <c r="BM1696">
        <v>0</v>
      </c>
      <c r="BN1696">
        <v>5</v>
      </c>
      <c r="BO1696">
        <v>2.4</v>
      </c>
      <c r="BP1696">
        <v>36</v>
      </c>
      <c r="BQ1696">
        <v>0</v>
      </c>
      <c r="BR1696">
        <v>0</v>
      </c>
      <c r="BS1696">
        <v>0</v>
      </c>
      <c r="BT1696">
        <v>5</v>
      </c>
      <c r="BU1696">
        <v>1.6</v>
      </c>
    </row>
    <row r="1697" spans="1:73" ht="14.25" x14ac:dyDescent="0.15">
      <c r="A1697" s="12">
        <v>30844</v>
      </c>
      <c r="B1697">
        <v>7</v>
      </c>
      <c r="C1697" s="1">
        <v>48</v>
      </c>
      <c r="D1697">
        <v>0</v>
      </c>
      <c r="E1697">
        <v>0</v>
      </c>
      <c r="F1697">
        <v>1</v>
      </c>
      <c r="G1697" s="7">
        <v>0.05</v>
      </c>
      <c r="H1697">
        <v>12</v>
      </c>
      <c r="I1697">
        <v>0</v>
      </c>
      <c r="J1697">
        <v>0</v>
      </c>
      <c r="K1697">
        <v>0</v>
      </c>
      <c r="L1697">
        <v>1</v>
      </c>
      <c r="M1697">
        <v>2</v>
      </c>
      <c r="N1697" s="7">
        <v>9</v>
      </c>
      <c r="O1697" s="7">
        <v>0</v>
      </c>
      <c r="P1697" s="7">
        <v>0</v>
      </c>
      <c r="Q1697" s="7">
        <v>0</v>
      </c>
      <c r="R1697" s="7">
        <v>1</v>
      </c>
      <c r="S1697" s="7">
        <v>4.5</v>
      </c>
      <c r="T1697">
        <v>7</v>
      </c>
      <c r="U1697" s="1">
        <v>36</v>
      </c>
      <c r="V1697">
        <v>0</v>
      </c>
      <c r="W1697">
        <v>0</v>
      </c>
      <c r="X1697">
        <v>1</v>
      </c>
      <c r="Y1697">
        <v>0.16</v>
      </c>
      <c r="Z1697">
        <v>23</v>
      </c>
      <c r="AA1697">
        <v>0</v>
      </c>
      <c r="AB1697">
        <v>0</v>
      </c>
      <c r="AC1697">
        <v>0</v>
      </c>
      <c r="AD1697">
        <v>1</v>
      </c>
      <c r="AE1697">
        <v>0.05</v>
      </c>
      <c r="AF1697">
        <v>15</v>
      </c>
      <c r="AG1697">
        <v>0</v>
      </c>
      <c r="AH1697">
        <v>0</v>
      </c>
      <c r="AI1697">
        <v>0</v>
      </c>
      <c r="AJ1697">
        <v>1</v>
      </c>
      <c r="AK1697">
        <v>0.02</v>
      </c>
      <c r="AL1697">
        <v>16</v>
      </c>
      <c r="AM1697">
        <v>0</v>
      </c>
      <c r="AN1697">
        <v>0</v>
      </c>
      <c r="AO1697">
        <v>0</v>
      </c>
      <c r="AP1697">
        <v>1</v>
      </c>
      <c r="AQ1697">
        <v>0.01</v>
      </c>
      <c r="AX1697">
        <v>7</v>
      </c>
      <c r="AY1697" s="1">
        <v>20</v>
      </c>
      <c r="AZ1697">
        <v>0</v>
      </c>
      <c r="BA1697">
        <v>0</v>
      </c>
      <c r="BB1697">
        <v>1</v>
      </c>
      <c r="BC1697" s="7">
        <v>0.32</v>
      </c>
      <c r="BD1697">
        <v>30</v>
      </c>
      <c r="BE1697">
        <v>0</v>
      </c>
      <c r="BF1697">
        <v>0</v>
      </c>
      <c r="BG1697">
        <v>0</v>
      </c>
      <c r="BH1697">
        <v>5</v>
      </c>
      <c r="BI1697">
        <v>2.4</v>
      </c>
      <c r="BJ1697">
        <v>31</v>
      </c>
      <c r="BK1697">
        <v>0</v>
      </c>
      <c r="BL1697">
        <v>0</v>
      </c>
      <c r="BM1697">
        <v>0</v>
      </c>
      <c r="BN1697">
        <v>5</v>
      </c>
      <c r="BO1697">
        <v>2.4</v>
      </c>
      <c r="BP1697">
        <v>36</v>
      </c>
      <c r="BQ1697">
        <v>0</v>
      </c>
      <c r="BR1697">
        <v>0</v>
      </c>
      <c r="BS1697">
        <v>0</v>
      </c>
      <c r="BT1697">
        <v>5</v>
      </c>
      <c r="BU1697">
        <v>1.6</v>
      </c>
    </row>
    <row r="1698" spans="1:73" ht="14.25" x14ac:dyDescent="0.15">
      <c r="A1698" s="12">
        <v>30845</v>
      </c>
      <c r="B1698">
        <v>7</v>
      </c>
      <c r="C1698" s="1">
        <v>0</v>
      </c>
      <c r="D1698">
        <v>5</v>
      </c>
      <c r="E1698">
        <v>1</v>
      </c>
      <c r="F1698">
        <v>1</v>
      </c>
      <c r="G1698" s="7">
        <v>0.05</v>
      </c>
      <c r="H1698">
        <v>12</v>
      </c>
      <c r="I1698">
        <v>0</v>
      </c>
      <c r="J1698">
        <v>0</v>
      </c>
      <c r="K1698">
        <v>0</v>
      </c>
      <c r="L1698">
        <v>1</v>
      </c>
      <c r="M1698">
        <v>2</v>
      </c>
      <c r="N1698" s="7">
        <v>9</v>
      </c>
      <c r="O1698" s="7">
        <v>0</v>
      </c>
      <c r="P1698" s="7">
        <v>0</v>
      </c>
      <c r="Q1698" s="7">
        <v>0</v>
      </c>
      <c r="R1698" s="7">
        <v>1</v>
      </c>
      <c r="S1698" s="7">
        <v>4.5</v>
      </c>
      <c r="T1698">
        <v>7</v>
      </c>
      <c r="U1698" s="1">
        <v>0</v>
      </c>
      <c r="V1698">
        <v>4</v>
      </c>
      <c r="W1698">
        <v>2</v>
      </c>
      <c r="X1698">
        <v>1</v>
      </c>
      <c r="Y1698">
        <v>0.16</v>
      </c>
      <c r="Z1698">
        <v>23</v>
      </c>
      <c r="AA1698">
        <v>0</v>
      </c>
      <c r="AB1698">
        <v>0</v>
      </c>
      <c r="AC1698">
        <v>0</v>
      </c>
      <c r="AD1698">
        <v>1</v>
      </c>
      <c r="AE1698">
        <v>0.05</v>
      </c>
      <c r="AF1698">
        <v>15</v>
      </c>
      <c r="AG1698">
        <v>0</v>
      </c>
      <c r="AH1698">
        <v>0</v>
      </c>
      <c r="AI1698">
        <v>0</v>
      </c>
      <c r="AJ1698">
        <v>1</v>
      </c>
      <c r="AK1698">
        <v>0.02</v>
      </c>
      <c r="AL1698">
        <v>16</v>
      </c>
      <c r="AM1698">
        <v>0</v>
      </c>
      <c r="AN1698">
        <v>0</v>
      </c>
      <c r="AO1698">
        <v>0</v>
      </c>
      <c r="AP1698">
        <v>1</v>
      </c>
      <c r="AQ1698">
        <v>0.01</v>
      </c>
      <c r="AR1698">
        <v>6</v>
      </c>
      <c r="AS1698">
        <v>2</v>
      </c>
      <c r="AT1698">
        <v>4</v>
      </c>
      <c r="AU1698">
        <v>5</v>
      </c>
      <c r="AV1698">
        <v>1</v>
      </c>
      <c r="AW1698">
        <v>0.01</v>
      </c>
      <c r="AX1698">
        <v>7</v>
      </c>
      <c r="AY1698" s="1">
        <v>0</v>
      </c>
      <c r="AZ1698">
        <v>3</v>
      </c>
      <c r="BA1698">
        <v>1</v>
      </c>
      <c r="BB1698">
        <v>1</v>
      </c>
      <c r="BC1698" s="7">
        <v>0.32</v>
      </c>
      <c r="BD1698">
        <v>30</v>
      </c>
      <c r="BE1698">
        <v>0</v>
      </c>
      <c r="BF1698">
        <v>0</v>
      </c>
      <c r="BG1698">
        <v>0</v>
      </c>
      <c r="BH1698">
        <v>5</v>
      </c>
      <c r="BI1698">
        <v>2.4</v>
      </c>
      <c r="BJ1698">
        <v>31</v>
      </c>
      <c r="BK1698">
        <v>0</v>
      </c>
      <c r="BL1698">
        <v>0</v>
      </c>
      <c r="BM1698">
        <v>0</v>
      </c>
      <c r="BN1698">
        <v>5</v>
      </c>
      <c r="BO1698">
        <v>2.4</v>
      </c>
      <c r="BP1698">
        <v>36</v>
      </c>
      <c r="BQ1698">
        <v>0</v>
      </c>
      <c r="BR1698">
        <v>0</v>
      </c>
      <c r="BS1698">
        <v>0</v>
      </c>
      <c r="BT1698">
        <v>5</v>
      </c>
      <c r="BU1698">
        <v>1.6</v>
      </c>
    </row>
    <row r="1699" spans="1:73" ht="14.25" x14ac:dyDescent="0.15">
      <c r="A1699" s="12">
        <v>30846</v>
      </c>
      <c r="B1699">
        <v>7</v>
      </c>
      <c r="C1699" s="1">
        <v>45</v>
      </c>
      <c r="D1699">
        <v>0</v>
      </c>
      <c r="E1699">
        <v>0</v>
      </c>
      <c r="F1699">
        <v>1</v>
      </c>
      <c r="G1699" s="7">
        <v>0.05</v>
      </c>
      <c r="H1699">
        <v>12</v>
      </c>
      <c r="I1699">
        <v>0</v>
      </c>
      <c r="J1699">
        <v>0</v>
      </c>
      <c r="K1699">
        <v>0</v>
      </c>
      <c r="L1699">
        <v>1</v>
      </c>
      <c r="M1699">
        <v>2</v>
      </c>
      <c r="N1699" s="7">
        <v>9</v>
      </c>
      <c r="O1699" s="7">
        <v>0</v>
      </c>
      <c r="P1699" s="7">
        <v>0</v>
      </c>
      <c r="Q1699" s="7">
        <v>0</v>
      </c>
      <c r="R1699" s="7">
        <v>1</v>
      </c>
      <c r="S1699" s="7">
        <v>4.5</v>
      </c>
      <c r="T1699">
        <v>7</v>
      </c>
      <c r="U1699" s="1">
        <v>33</v>
      </c>
      <c r="V1699">
        <v>0</v>
      </c>
      <c r="W1699">
        <v>0</v>
      </c>
      <c r="X1699">
        <v>1</v>
      </c>
      <c r="Y1699">
        <v>0.16</v>
      </c>
      <c r="Z1699">
        <v>23</v>
      </c>
      <c r="AA1699">
        <v>0</v>
      </c>
      <c r="AB1699">
        <v>0</v>
      </c>
      <c r="AC1699">
        <v>0</v>
      </c>
      <c r="AD1699">
        <v>1</v>
      </c>
      <c r="AE1699">
        <v>0.05</v>
      </c>
      <c r="AF1699">
        <v>15</v>
      </c>
      <c r="AG1699">
        <v>0</v>
      </c>
      <c r="AH1699">
        <v>0</v>
      </c>
      <c r="AI1699">
        <v>0</v>
      </c>
      <c r="AJ1699">
        <v>1</v>
      </c>
      <c r="AK1699">
        <v>0.02</v>
      </c>
      <c r="AL1699">
        <v>16</v>
      </c>
      <c r="AM1699">
        <v>0</v>
      </c>
      <c r="AN1699">
        <v>0</v>
      </c>
      <c r="AO1699">
        <v>0</v>
      </c>
      <c r="AP1699">
        <v>1</v>
      </c>
      <c r="AQ1699">
        <v>0.01</v>
      </c>
      <c r="AX1699">
        <v>7</v>
      </c>
      <c r="AY1699" s="1">
        <v>17</v>
      </c>
      <c r="AZ1699">
        <v>0</v>
      </c>
      <c r="BA1699">
        <v>0</v>
      </c>
      <c r="BB1699">
        <v>1</v>
      </c>
      <c r="BC1699" s="7">
        <v>0.32</v>
      </c>
      <c r="BD1699">
        <v>30</v>
      </c>
      <c r="BE1699">
        <v>0</v>
      </c>
      <c r="BF1699">
        <v>0</v>
      </c>
      <c r="BG1699">
        <v>0</v>
      </c>
      <c r="BH1699">
        <v>5</v>
      </c>
      <c r="BI1699">
        <v>2.4</v>
      </c>
      <c r="BJ1699">
        <v>31</v>
      </c>
      <c r="BK1699">
        <v>0</v>
      </c>
      <c r="BL1699">
        <v>0</v>
      </c>
      <c r="BM1699">
        <v>0</v>
      </c>
      <c r="BN1699">
        <v>5</v>
      </c>
      <c r="BO1699">
        <v>2.4</v>
      </c>
      <c r="BP1699">
        <v>36</v>
      </c>
      <c r="BQ1699">
        <v>0</v>
      </c>
      <c r="BR1699">
        <v>0</v>
      </c>
      <c r="BS1699">
        <v>0</v>
      </c>
      <c r="BT1699">
        <v>5</v>
      </c>
      <c r="BU1699">
        <v>1.6</v>
      </c>
    </row>
    <row r="1700" spans="1:73" ht="14.25" x14ac:dyDescent="0.15">
      <c r="A1700" s="12">
        <v>30847</v>
      </c>
      <c r="B1700">
        <v>7</v>
      </c>
      <c r="C1700" s="1">
        <v>46</v>
      </c>
      <c r="D1700">
        <v>0</v>
      </c>
      <c r="E1700">
        <v>0</v>
      </c>
      <c r="F1700">
        <v>1</v>
      </c>
      <c r="G1700" s="7">
        <v>0.05</v>
      </c>
      <c r="H1700">
        <v>12</v>
      </c>
      <c r="I1700">
        <v>0</v>
      </c>
      <c r="J1700">
        <v>0</v>
      </c>
      <c r="K1700">
        <v>0</v>
      </c>
      <c r="L1700">
        <v>1</v>
      </c>
      <c r="M1700">
        <v>2</v>
      </c>
      <c r="N1700" s="7">
        <v>9</v>
      </c>
      <c r="O1700" s="7">
        <v>0</v>
      </c>
      <c r="P1700" s="7">
        <v>0</v>
      </c>
      <c r="Q1700" s="7">
        <v>0</v>
      </c>
      <c r="R1700" s="7">
        <v>1</v>
      </c>
      <c r="S1700" s="7">
        <v>4.5</v>
      </c>
      <c r="T1700">
        <v>7</v>
      </c>
      <c r="U1700" s="1">
        <v>34</v>
      </c>
      <c r="V1700">
        <v>0</v>
      </c>
      <c r="W1700">
        <v>0</v>
      </c>
      <c r="X1700">
        <v>1</v>
      </c>
      <c r="Y1700">
        <v>0.16</v>
      </c>
      <c r="Z1700">
        <v>23</v>
      </c>
      <c r="AA1700">
        <v>0</v>
      </c>
      <c r="AB1700">
        <v>0</v>
      </c>
      <c r="AC1700">
        <v>0</v>
      </c>
      <c r="AD1700">
        <v>1</v>
      </c>
      <c r="AE1700">
        <v>0.05</v>
      </c>
      <c r="AF1700">
        <v>15</v>
      </c>
      <c r="AG1700">
        <v>0</v>
      </c>
      <c r="AH1700">
        <v>0</v>
      </c>
      <c r="AI1700">
        <v>0</v>
      </c>
      <c r="AJ1700">
        <v>1</v>
      </c>
      <c r="AK1700">
        <v>0.02</v>
      </c>
      <c r="AL1700">
        <v>16</v>
      </c>
      <c r="AM1700">
        <v>0</v>
      </c>
      <c r="AN1700">
        <v>0</v>
      </c>
      <c r="AO1700">
        <v>0</v>
      </c>
      <c r="AP1700">
        <v>1</v>
      </c>
      <c r="AQ1700">
        <v>0.01</v>
      </c>
      <c r="AX1700">
        <v>7</v>
      </c>
      <c r="AY1700" s="1">
        <v>18</v>
      </c>
      <c r="AZ1700">
        <v>0</v>
      </c>
      <c r="BA1700">
        <v>0</v>
      </c>
      <c r="BB1700">
        <v>1</v>
      </c>
      <c r="BC1700" s="7">
        <v>0.32</v>
      </c>
      <c r="BD1700">
        <v>30</v>
      </c>
      <c r="BE1700">
        <v>0</v>
      </c>
      <c r="BF1700">
        <v>0</v>
      </c>
      <c r="BG1700">
        <v>0</v>
      </c>
      <c r="BH1700">
        <v>5</v>
      </c>
      <c r="BI1700">
        <v>2.4</v>
      </c>
      <c r="BJ1700">
        <v>31</v>
      </c>
      <c r="BK1700">
        <v>0</v>
      </c>
      <c r="BL1700">
        <v>0</v>
      </c>
      <c r="BM1700">
        <v>0</v>
      </c>
      <c r="BN1700">
        <v>5</v>
      </c>
      <c r="BO1700">
        <v>2.4</v>
      </c>
      <c r="BP1700">
        <v>36</v>
      </c>
      <c r="BQ1700">
        <v>0</v>
      </c>
      <c r="BR1700">
        <v>0</v>
      </c>
      <c r="BS1700">
        <v>0</v>
      </c>
      <c r="BT1700">
        <v>5</v>
      </c>
      <c r="BU1700">
        <v>1.6</v>
      </c>
    </row>
    <row r="1701" spans="1:73" ht="14.25" x14ac:dyDescent="0.15">
      <c r="A1701" s="12">
        <v>30848</v>
      </c>
      <c r="B1701">
        <v>7</v>
      </c>
      <c r="C1701" s="1">
        <v>47</v>
      </c>
      <c r="D1701">
        <v>0</v>
      </c>
      <c r="E1701">
        <v>0</v>
      </c>
      <c r="F1701">
        <v>1</v>
      </c>
      <c r="G1701" s="7">
        <v>0.05</v>
      </c>
      <c r="H1701">
        <v>12</v>
      </c>
      <c r="I1701">
        <v>0</v>
      </c>
      <c r="J1701">
        <v>0</v>
      </c>
      <c r="K1701">
        <v>0</v>
      </c>
      <c r="L1701">
        <v>1</v>
      </c>
      <c r="M1701">
        <v>2</v>
      </c>
      <c r="N1701" s="7">
        <v>9</v>
      </c>
      <c r="O1701" s="7">
        <v>0</v>
      </c>
      <c r="P1701" s="7">
        <v>0</v>
      </c>
      <c r="Q1701" s="7">
        <v>0</v>
      </c>
      <c r="R1701" s="7">
        <v>1</v>
      </c>
      <c r="S1701" s="7">
        <v>4.5</v>
      </c>
      <c r="T1701">
        <v>7</v>
      </c>
      <c r="U1701" s="1">
        <v>35</v>
      </c>
      <c r="V1701">
        <v>0</v>
      </c>
      <c r="W1701">
        <v>0</v>
      </c>
      <c r="X1701">
        <v>1</v>
      </c>
      <c r="Y1701">
        <v>0.16</v>
      </c>
      <c r="Z1701">
        <v>23</v>
      </c>
      <c r="AA1701">
        <v>0</v>
      </c>
      <c r="AB1701">
        <v>0</v>
      </c>
      <c r="AC1701">
        <v>0</v>
      </c>
      <c r="AD1701">
        <v>1</v>
      </c>
      <c r="AE1701">
        <v>0.05</v>
      </c>
      <c r="AF1701">
        <v>15</v>
      </c>
      <c r="AG1701">
        <v>0</v>
      </c>
      <c r="AH1701">
        <v>0</v>
      </c>
      <c r="AI1701">
        <v>0</v>
      </c>
      <c r="AJ1701">
        <v>1</v>
      </c>
      <c r="AK1701">
        <v>0.02</v>
      </c>
      <c r="AL1701">
        <v>16</v>
      </c>
      <c r="AM1701">
        <v>0</v>
      </c>
      <c r="AN1701">
        <v>0</v>
      </c>
      <c r="AO1701">
        <v>0</v>
      </c>
      <c r="AP1701">
        <v>1</v>
      </c>
      <c r="AQ1701">
        <v>0.01</v>
      </c>
      <c r="AX1701">
        <v>7</v>
      </c>
      <c r="AY1701" s="1">
        <v>19</v>
      </c>
      <c r="AZ1701">
        <v>0</v>
      </c>
      <c r="BA1701">
        <v>0</v>
      </c>
      <c r="BB1701">
        <v>1</v>
      </c>
      <c r="BC1701" s="7">
        <v>0.32</v>
      </c>
      <c r="BD1701">
        <v>30</v>
      </c>
      <c r="BE1701">
        <v>0</v>
      </c>
      <c r="BF1701">
        <v>0</v>
      </c>
      <c r="BG1701">
        <v>0</v>
      </c>
      <c r="BH1701">
        <v>5</v>
      </c>
      <c r="BI1701">
        <v>2.4</v>
      </c>
      <c r="BJ1701">
        <v>31</v>
      </c>
      <c r="BK1701">
        <v>0</v>
      </c>
      <c r="BL1701">
        <v>0</v>
      </c>
      <c r="BM1701">
        <v>0</v>
      </c>
      <c r="BN1701">
        <v>5</v>
      </c>
      <c r="BO1701">
        <v>2.4</v>
      </c>
      <c r="BP1701">
        <v>36</v>
      </c>
      <c r="BQ1701">
        <v>0</v>
      </c>
      <c r="BR1701">
        <v>0</v>
      </c>
      <c r="BS1701">
        <v>0</v>
      </c>
      <c r="BT1701">
        <v>5</v>
      </c>
      <c r="BU1701">
        <v>1.6</v>
      </c>
    </row>
    <row r="1702" spans="1:73" ht="14.25" x14ac:dyDescent="0.15">
      <c r="A1702" s="12">
        <v>30849</v>
      </c>
      <c r="B1702">
        <v>7</v>
      </c>
      <c r="C1702" s="1">
        <v>48</v>
      </c>
      <c r="D1702">
        <v>0</v>
      </c>
      <c r="E1702">
        <v>0</v>
      </c>
      <c r="F1702">
        <v>1</v>
      </c>
      <c r="G1702" s="7">
        <v>0.05</v>
      </c>
      <c r="H1702">
        <v>12</v>
      </c>
      <c r="I1702">
        <v>0</v>
      </c>
      <c r="J1702">
        <v>0</v>
      </c>
      <c r="K1702">
        <v>0</v>
      </c>
      <c r="L1702">
        <v>1</v>
      </c>
      <c r="M1702">
        <v>2</v>
      </c>
      <c r="N1702" s="7">
        <v>9</v>
      </c>
      <c r="O1702" s="7">
        <v>0</v>
      </c>
      <c r="P1702" s="7">
        <v>0</v>
      </c>
      <c r="Q1702" s="7">
        <v>0</v>
      </c>
      <c r="R1702" s="7">
        <v>1</v>
      </c>
      <c r="S1702" s="7">
        <v>4.5</v>
      </c>
      <c r="T1702">
        <v>7</v>
      </c>
      <c r="U1702" s="1">
        <v>36</v>
      </c>
      <c r="V1702">
        <v>0</v>
      </c>
      <c r="W1702">
        <v>0</v>
      </c>
      <c r="X1702">
        <v>1</v>
      </c>
      <c r="Y1702">
        <v>0.16</v>
      </c>
      <c r="Z1702">
        <v>23</v>
      </c>
      <c r="AA1702">
        <v>0</v>
      </c>
      <c r="AB1702">
        <v>0</v>
      </c>
      <c r="AC1702">
        <v>0</v>
      </c>
      <c r="AD1702">
        <v>1</v>
      </c>
      <c r="AE1702">
        <v>0.05</v>
      </c>
      <c r="AF1702">
        <v>15</v>
      </c>
      <c r="AG1702">
        <v>0</v>
      </c>
      <c r="AH1702">
        <v>0</v>
      </c>
      <c r="AI1702">
        <v>0</v>
      </c>
      <c r="AJ1702">
        <v>1</v>
      </c>
      <c r="AK1702">
        <v>0.02</v>
      </c>
      <c r="AL1702">
        <v>16</v>
      </c>
      <c r="AM1702">
        <v>0</v>
      </c>
      <c r="AN1702">
        <v>0</v>
      </c>
      <c r="AO1702">
        <v>0</v>
      </c>
      <c r="AP1702">
        <v>1</v>
      </c>
      <c r="AQ1702">
        <v>0.01</v>
      </c>
      <c r="AX1702">
        <v>7</v>
      </c>
      <c r="AY1702" s="1">
        <v>20</v>
      </c>
      <c r="AZ1702">
        <v>0</v>
      </c>
      <c r="BA1702">
        <v>0</v>
      </c>
      <c r="BB1702">
        <v>1</v>
      </c>
      <c r="BC1702" s="7">
        <v>0.32</v>
      </c>
      <c r="BD1702">
        <v>30</v>
      </c>
      <c r="BE1702">
        <v>0</v>
      </c>
      <c r="BF1702">
        <v>0</v>
      </c>
      <c r="BG1702">
        <v>0</v>
      </c>
      <c r="BH1702">
        <v>5</v>
      </c>
      <c r="BI1702">
        <v>2.4</v>
      </c>
      <c r="BJ1702">
        <v>31</v>
      </c>
      <c r="BK1702">
        <v>0</v>
      </c>
      <c r="BL1702">
        <v>0</v>
      </c>
      <c r="BM1702">
        <v>0</v>
      </c>
      <c r="BN1702">
        <v>5</v>
      </c>
      <c r="BO1702">
        <v>2.4</v>
      </c>
      <c r="BP1702">
        <v>36</v>
      </c>
      <c r="BQ1702">
        <v>0</v>
      </c>
      <c r="BR1702">
        <v>0</v>
      </c>
      <c r="BS1702">
        <v>0</v>
      </c>
      <c r="BT1702">
        <v>5</v>
      </c>
      <c r="BU1702">
        <v>1.6</v>
      </c>
    </row>
    <row r="1703" spans="1:73" ht="14.25" x14ac:dyDescent="0.15">
      <c r="A1703" s="12">
        <v>30850</v>
      </c>
      <c r="B1703">
        <v>7</v>
      </c>
      <c r="C1703" s="1">
        <v>0</v>
      </c>
      <c r="D1703">
        <v>5</v>
      </c>
      <c r="E1703">
        <v>1</v>
      </c>
      <c r="F1703">
        <v>1</v>
      </c>
      <c r="G1703" s="7">
        <v>0.05</v>
      </c>
      <c r="H1703">
        <v>12</v>
      </c>
      <c r="I1703">
        <v>0</v>
      </c>
      <c r="J1703">
        <v>0</v>
      </c>
      <c r="K1703">
        <v>0</v>
      </c>
      <c r="L1703">
        <v>1</v>
      </c>
      <c r="M1703">
        <v>2</v>
      </c>
      <c r="N1703" s="7">
        <v>9</v>
      </c>
      <c r="O1703" s="7">
        <v>0</v>
      </c>
      <c r="P1703" s="7">
        <v>0</v>
      </c>
      <c r="Q1703" s="7">
        <v>0</v>
      </c>
      <c r="R1703" s="7">
        <v>1</v>
      </c>
      <c r="S1703" s="7">
        <v>4.5</v>
      </c>
      <c r="T1703">
        <v>7</v>
      </c>
      <c r="U1703" s="1">
        <v>0</v>
      </c>
      <c r="V1703">
        <v>4</v>
      </c>
      <c r="W1703">
        <v>2</v>
      </c>
      <c r="X1703">
        <v>1</v>
      </c>
      <c r="Y1703">
        <v>0.16</v>
      </c>
      <c r="Z1703">
        <v>23</v>
      </c>
      <c r="AA1703">
        <v>0</v>
      </c>
      <c r="AB1703">
        <v>0</v>
      </c>
      <c r="AC1703">
        <v>0</v>
      </c>
      <c r="AD1703">
        <v>1</v>
      </c>
      <c r="AE1703">
        <v>0.05</v>
      </c>
      <c r="AF1703">
        <v>15</v>
      </c>
      <c r="AG1703">
        <v>0</v>
      </c>
      <c r="AH1703">
        <v>0</v>
      </c>
      <c r="AI1703">
        <v>0</v>
      </c>
      <c r="AJ1703">
        <v>1</v>
      </c>
      <c r="AK1703">
        <v>0.02</v>
      </c>
      <c r="AL1703">
        <v>16</v>
      </c>
      <c r="AM1703">
        <v>0</v>
      </c>
      <c r="AN1703">
        <v>0</v>
      </c>
      <c r="AO1703">
        <v>0</v>
      </c>
      <c r="AP1703">
        <v>1</v>
      </c>
      <c r="AQ1703">
        <v>0.01</v>
      </c>
      <c r="AR1703">
        <v>6</v>
      </c>
      <c r="AS1703">
        <v>2</v>
      </c>
      <c r="AT1703">
        <v>5</v>
      </c>
      <c r="AU1703">
        <v>5</v>
      </c>
      <c r="AV1703">
        <v>1</v>
      </c>
      <c r="AW1703">
        <v>0.01</v>
      </c>
      <c r="AX1703">
        <v>7</v>
      </c>
      <c r="AY1703" s="1">
        <v>0</v>
      </c>
      <c r="AZ1703">
        <v>3</v>
      </c>
      <c r="BA1703">
        <v>1</v>
      </c>
      <c r="BB1703">
        <v>1</v>
      </c>
      <c r="BC1703" s="7">
        <v>0.32</v>
      </c>
      <c r="BD1703">
        <v>30</v>
      </c>
      <c r="BE1703">
        <v>0</v>
      </c>
      <c r="BF1703">
        <v>0</v>
      </c>
      <c r="BG1703">
        <v>0</v>
      </c>
      <c r="BH1703">
        <v>5</v>
      </c>
      <c r="BI1703">
        <v>2.4</v>
      </c>
      <c r="BJ1703">
        <v>31</v>
      </c>
      <c r="BK1703">
        <v>0</v>
      </c>
      <c r="BL1703">
        <v>0</v>
      </c>
      <c r="BM1703">
        <v>0</v>
      </c>
      <c r="BN1703">
        <v>5</v>
      </c>
      <c r="BO1703">
        <v>2.4</v>
      </c>
      <c r="BP1703">
        <v>36</v>
      </c>
      <c r="BQ1703">
        <v>0</v>
      </c>
      <c r="BR1703">
        <v>0</v>
      </c>
      <c r="BS1703">
        <v>0</v>
      </c>
      <c r="BT1703">
        <v>5</v>
      </c>
      <c r="BU1703">
        <v>1.6</v>
      </c>
    </row>
    <row r="1704" spans="1:73" ht="14.25" x14ac:dyDescent="0.15">
      <c r="A1704" s="12">
        <v>30901</v>
      </c>
      <c r="B1704">
        <v>7</v>
      </c>
      <c r="C1704" s="1">
        <v>45</v>
      </c>
      <c r="D1704">
        <v>0</v>
      </c>
      <c r="E1704">
        <v>0</v>
      </c>
      <c r="F1704">
        <v>1</v>
      </c>
      <c r="G1704" s="7">
        <v>0.05</v>
      </c>
      <c r="H1704">
        <v>12</v>
      </c>
      <c r="I1704">
        <v>0</v>
      </c>
      <c r="J1704">
        <v>0</v>
      </c>
      <c r="K1704">
        <v>0</v>
      </c>
      <c r="L1704">
        <v>1</v>
      </c>
      <c r="M1704">
        <v>2</v>
      </c>
      <c r="N1704" s="7">
        <v>9</v>
      </c>
      <c r="O1704" s="7">
        <v>0</v>
      </c>
      <c r="P1704" s="7">
        <v>0</v>
      </c>
      <c r="Q1704" s="7">
        <v>0</v>
      </c>
      <c r="R1704" s="7">
        <v>1</v>
      </c>
      <c r="S1704" s="7">
        <v>4.5</v>
      </c>
      <c r="T1704">
        <v>7</v>
      </c>
      <c r="U1704" s="1">
        <v>33</v>
      </c>
      <c r="V1704">
        <v>0</v>
      </c>
      <c r="W1704">
        <v>0</v>
      </c>
      <c r="X1704">
        <v>1</v>
      </c>
      <c r="Y1704">
        <v>0.16</v>
      </c>
      <c r="Z1704">
        <v>23</v>
      </c>
      <c r="AA1704">
        <v>0</v>
      </c>
      <c r="AB1704">
        <v>0</v>
      </c>
      <c r="AC1704">
        <v>0</v>
      </c>
      <c r="AD1704">
        <v>1</v>
      </c>
      <c r="AE1704">
        <v>0.05</v>
      </c>
      <c r="AF1704">
        <v>15</v>
      </c>
      <c r="AG1704">
        <v>0</v>
      </c>
      <c r="AH1704">
        <v>0</v>
      </c>
      <c r="AI1704">
        <v>0</v>
      </c>
      <c r="AJ1704">
        <v>1</v>
      </c>
      <c r="AK1704">
        <v>0.02</v>
      </c>
      <c r="AL1704">
        <v>16</v>
      </c>
      <c r="AM1704">
        <v>0</v>
      </c>
      <c r="AN1704">
        <v>0</v>
      </c>
      <c r="AO1704">
        <v>0</v>
      </c>
      <c r="AP1704">
        <v>1</v>
      </c>
      <c r="AQ1704">
        <v>0.01</v>
      </c>
      <c r="AX1704">
        <v>7</v>
      </c>
      <c r="AY1704" s="1">
        <v>17</v>
      </c>
      <c r="AZ1704">
        <v>0</v>
      </c>
      <c r="BA1704">
        <v>0</v>
      </c>
      <c r="BB1704">
        <v>1</v>
      </c>
      <c r="BC1704" s="7">
        <v>0.32</v>
      </c>
      <c r="BD1704">
        <v>30</v>
      </c>
      <c r="BE1704">
        <v>0</v>
      </c>
      <c r="BF1704">
        <v>0</v>
      </c>
      <c r="BG1704">
        <v>0</v>
      </c>
      <c r="BH1704">
        <v>5</v>
      </c>
      <c r="BI1704">
        <v>2.4</v>
      </c>
      <c r="BJ1704">
        <v>31</v>
      </c>
      <c r="BK1704">
        <v>0</v>
      </c>
      <c r="BL1704">
        <v>0</v>
      </c>
      <c r="BM1704">
        <v>0</v>
      </c>
      <c r="BN1704">
        <v>5</v>
      </c>
      <c r="BO1704">
        <v>2.4</v>
      </c>
      <c r="BP1704">
        <v>36</v>
      </c>
      <c r="BQ1704">
        <v>0</v>
      </c>
      <c r="BR1704">
        <v>0</v>
      </c>
      <c r="BS1704">
        <v>0</v>
      </c>
      <c r="BT1704">
        <v>5</v>
      </c>
      <c r="BU1704">
        <v>1.5</v>
      </c>
    </row>
    <row r="1705" spans="1:73" ht="14.25" x14ac:dyDescent="0.15">
      <c r="A1705" s="12">
        <v>30902</v>
      </c>
      <c r="B1705">
        <v>7</v>
      </c>
      <c r="C1705" s="1">
        <v>46</v>
      </c>
      <c r="D1705">
        <v>0</v>
      </c>
      <c r="E1705">
        <v>0</v>
      </c>
      <c r="F1705">
        <v>1</v>
      </c>
      <c r="G1705" s="7">
        <v>0.05</v>
      </c>
      <c r="H1705">
        <v>12</v>
      </c>
      <c r="I1705">
        <v>0</v>
      </c>
      <c r="J1705">
        <v>0</v>
      </c>
      <c r="K1705">
        <v>0</v>
      </c>
      <c r="L1705">
        <v>1</v>
      </c>
      <c r="M1705">
        <v>2</v>
      </c>
      <c r="N1705" s="7">
        <v>9</v>
      </c>
      <c r="O1705" s="7">
        <v>0</v>
      </c>
      <c r="P1705" s="7">
        <v>0</v>
      </c>
      <c r="Q1705" s="7">
        <v>0</v>
      </c>
      <c r="R1705" s="7">
        <v>1</v>
      </c>
      <c r="S1705" s="7">
        <v>4.5</v>
      </c>
      <c r="T1705">
        <v>7</v>
      </c>
      <c r="U1705" s="1">
        <v>34</v>
      </c>
      <c r="V1705">
        <v>0</v>
      </c>
      <c r="W1705">
        <v>0</v>
      </c>
      <c r="X1705">
        <v>1</v>
      </c>
      <c r="Y1705">
        <v>0.16</v>
      </c>
      <c r="Z1705">
        <v>23</v>
      </c>
      <c r="AA1705">
        <v>0</v>
      </c>
      <c r="AB1705">
        <v>0</v>
      </c>
      <c r="AC1705">
        <v>0</v>
      </c>
      <c r="AD1705">
        <v>1</v>
      </c>
      <c r="AE1705">
        <v>0.05</v>
      </c>
      <c r="AF1705">
        <v>15</v>
      </c>
      <c r="AG1705">
        <v>0</v>
      </c>
      <c r="AH1705">
        <v>0</v>
      </c>
      <c r="AI1705">
        <v>0</v>
      </c>
      <c r="AJ1705">
        <v>1</v>
      </c>
      <c r="AK1705">
        <v>0.02</v>
      </c>
      <c r="AL1705">
        <v>16</v>
      </c>
      <c r="AM1705">
        <v>0</v>
      </c>
      <c r="AN1705">
        <v>0</v>
      </c>
      <c r="AO1705">
        <v>0</v>
      </c>
      <c r="AP1705">
        <v>1</v>
      </c>
      <c r="AQ1705">
        <v>0.01</v>
      </c>
      <c r="AX1705">
        <v>7</v>
      </c>
      <c r="AY1705" s="1">
        <v>18</v>
      </c>
      <c r="AZ1705">
        <v>0</v>
      </c>
      <c r="BA1705">
        <v>0</v>
      </c>
      <c r="BB1705">
        <v>1</v>
      </c>
      <c r="BC1705" s="7">
        <v>0.32</v>
      </c>
      <c r="BD1705">
        <v>30</v>
      </c>
      <c r="BE1705">
        <v>0</v>
      </c>
      <c r="BF1705">
        <v>0</v>
      </c>
      <c r="BG1705">
        <v>0</v>
      </c>
      <c r="BH1705">
        <v>5</v>
      </c>
      <c r="BI1705">
        <v>2.4</v>
      </c>
      <c r="BJ1705">
        <v>31</v>
      </c>
      <c r="BK1705">
        <v>0</v>
      </c>
      <c r="BL1705">
        <v>0</v>
      </c>
      <c r="BM1705">
        <v>0</v>
      </c>
      <c r="BN1705">
        <v>5</v>
      </c>
      <c r="BO1705">
        <v>2.4</v>
      </c>
      <c r="BP1705">
        <v>36</v>
      </c>
      <c r="BQ1705">
        <v>0</v>
      </c>
      <c r="BR1705">
        <v>0</v>
      </c>
      <c r="BS1705">
        <v>0</v>
      </c>
      <c r="BT1705">
        <v>5</v>
      </c>
      <c r="BU1705">
        <v>1.5</v>
      </c>
    </row>
    <row r="1706" spans="1:73" ht="14.25" x14ac:dyDescent="0.15">
      <c r="A1706" s="12">
        <v>30903</v>
      </c>
      <c r="B1706">
        <v>7</v>
      </c>
      <c r="C1706" s="1">
        <v>47</v>
      </c>
      <c r="D1706">
        <v>0</v>
      </c>
      <c r="E1706">
        <v>0</v>
      </c>
      <c r="F1706">
        <v>1</v>
      </c>
      <c r="G1706" s="7">
        <v>0.05</v>
      </c>
      <c r="H1706">
        <v>12</v>
      </c>
      <c r="I1706">
        <v>0</v>
      </c>
      <c r="J1706">
        <v>0</v>
      </c>
      <c r="K1706">
        <v>0</v>
      </c>
      <c r="L1706">
        <v>1</v>
      </c>
      <c r="M1706">
        <v>2</v>
      </c>
      <c r="N1706" s="7">
        <v>9</v>
      </c>
      <c r="O1706" s="7">
        <v>0</v>
      </c>
      <c r="P1706" s="7">
        <v>0</v>
      </c>
      <c r="Q1706" s="7">
        <v>0</v>
      </c>
      <c r="R1706" s="7">
        <v>1</v>
      </c>
      <c r="S1706" s="7">
        <v>4.5</v>
      </c>
      <c r="T1706">
        <v>7</v>
      </c>
      <c r="U1706" s="1">
        <v>35</v>
      </c>
      <c r="V1706">
        <v>0</v>
      </c>
      <c r="W1706">
        <v>0</v>
      </c>
      <c r="X1706">
        <v>1</v>
      </c>
      <c r="Y1706">
        <v>0.16</v>
      </c>
      <c r="Z1706">
        <v>23</v>
      </c>
      <c r="AA1706">
        <v>0</v>
      </c>
      <c r="AB1706">
        <v>0</v>
      </c>
      <c r="AC1706">
        <v>0</v>
      </c>
      <c r="AD1706">
        <v>1</v>
      </c>
      <c r="AE1706">
        <v>0.05</v>
      </c>
      <c r="AF1706">
        <v>15</v>
      </c>
      <c r="AG1706">
        <v>0</v>
      </c>
      <c r="AH1706">
        <v>0</v>
      </c>
      <c r="AI1706">
        <v>0</v>
      </c>
      <c r="AJ1706">
        <v>1</v>
      </c>
      <c r="AK1706">
        <v>0.02</v>
      </c>
      <c r="AL1706">
        <v>16</v>
      </c>
      <c r="AM1706">
        <v>0</v>
      </c>
      <c r="AN1706">
        <v>0</v>
      </c>
      <c r="AO1706">
        <v>0</v>
      </c>
      <c r="AP1706">
        <v>1</v>
      </c>
      <c r="AQ1706">
        <v>0.01</v>
      </c>
      <c r="AX1706">
        <v>7</v>
      </c>
      <c r="AY1706" s="1">
        <v>19</v>
      </c>
      <c r="AZ1706">
        <v>0</v>
      </c>
      <c r="BA1706">
        <v>0</v>
      </c>
      <c r="BB1706">
        <v>1</v>
      </c>
      <c r="BC1706" s="7">
        <v>0.32</v>
      </c>
      <c r="BD1706">
        <v>30</v>
      </c>
      <c r="BE1706">
        <v>0</v>
      </c>
      <c r="BF1706">
        <v>0</v>
      </c>
      <c r="BG1706">
        <v>0</v>
      </c>
      <c r="BH1706">
        <v>5</v>
      </c>
      <c r="BI1706">
        <v>2.4</v>
      </c>
      <c r="BJ1706">
        <v>31</v>
      </c>
      <c r="BK1706">
        <v>0</v>
      </c>
      <c r="BL1706">
        <v>0</v>
      </c>
      <c r="BM1706">
        <v>0</v>
      </c>
      <c r="BN1706">
        <v>5</v>
      </c>
      <c r="BO1706">
        <v>2.4</v>
      </c>
      <c r="BP1706">
        <v>36</v>
      </c>
      <c r="BQ1706">
        <v>0</v>
      </c>
      <c r="BR1706">
        <v>0</v>
      </c>
      <c r="BS1706">
        <v>0</v>
      </c>
      <c r="BT1706">
        <v>5</v>
      </c>
      <c r="BU1706">
        <v>1.5</v>
      </c>
    </row>
    <row r="1707" spans="1:73" ht="14.25" x14ac:dyDescent="0.15">
      <c r="A1707" s="12">
        <v>30904</v>
      </c>
      <c r="B1707">
        <v>7</v>
      </c>
      <c r="C1707" s="1">
        <v>48</v>
      </c>
      <c r="D1707">
        <v>0</v>
      </c>
      <c r="E1707">
        <v>0</v>
      </c>
      <c r="F1707">
        <v>1</v>
      </c>
      <c r="G1707" s="7">
        <v>0.05</v>
      </c>
      <c r="H1707">
        <v>12</v>
      </c>
      <c r="I1707">
        <v>0</v>
      </c>
      <c r="J1707">
        <v>0</v>
      </c>
      <c r="K1707">
        <v>0</v>
      </c>
      <c r="L1707">
        <v>1</v>
      </c>
      <c r="M1707">
        <v>2</v>
      </c>
      <c r="N1707" s="7">
        <v>9</v>
      </c>
      <c r="O1707" s="7">
        <v>0</v>
      </c>
      <c r="P1707" s="7">
        <v>0</v>
      </c>
      <c r="Q1707" s="7">
        <v>0</v>
      </c>
      <c r="R1707" s="7">
        <v>1</v>
      </c>
      <c r="S1707" s="7">
        <v>4.5</v>
      </c>
      <c r="T1707">
        <v>7</v>
      </c>
      <c r="U1707" s="1">
        <v>36</v>
      </c>
      <c r="V1707">
        <v>0</v>
      </c>
      <c r="W1707">
        <v>0</v>
      </c>
      <c r="X1707">
        <v>1</v>
      </c>
      <c r="Y1707">
        <v>0.16</v>
      </c>
      <c r="Z1707">
        <v>23</v>
      </c>
      <c r="AA1707">
        <v>0</v>
      </c>
      <c r="AB1707">
        <v>0</v>
      </c>
      <c r="AC1707">
        <v>0</v>
      </c>
      <c r="AD1707">
        <v>1</v>
      </c>
      <c r="AE1707">
        <v>0.05</v>
      </c>
      <c r="AF1707">
        <v>15</v>
      </c>
      <c r="AG1707">
        <v>0</v>
      </c>
      <c r="AH1707">
        <v>0</v>
      </c>
      <c r="AI1707">
        <v>0</v>
      </c>
      <c r="AJ1707">
        <v>1</v>
      </c>
      <c r="AK1707">
        <v>0.02</v>
      </c>
      <c r="AL1707">
        <v>16</v>
      </c>
      <c r="AM1707">
        <v>0</v>
      </c>
      <c r="AN1707">
        <v>0</v>
      </c>
      <c r="AO1707">
        <v>0</v>
      </c>
      <c r="AP1707">
        <v>1</v>
      </c>
      <c r="AQ1707">
        <v>0.01</v>
      </c>
      <c r="AX1707">
        <v>7</v>
      </c>
      <c r="AY1707" s="1">
        <v>20</v>
      </c>
      <c r="AZ1707">
        <v>0</v>
      </c>
      <c r="BA1707">
        <v>0</v>
      </c>
      <c r="BB1707">
        <v>1</v>
      </c>
      <c r="BC1707" s="7">
        <v>0.32</v>
      </c>
      <c r="BD1707">
        <v>30</v>
      </c>
      <c r="BE1707">
        <v>0</v>
      </c>
      <c r="BF1707">
        <v>0</v>
      </c>
      <c r="BG1707">
        <v>0</v>
      </c>
      <c r="BH1707">
        <v>5</v>
      </c>
      <c r="BI1707">
        <v>2.4</v>
      </c>
      <c r="BJ1707">
        <v>31</v>
      </c>
      <c r="BK1707">
        <v>0</v>
      </c>
      <c r="BL1707">
        <v>0</v>
      </c>
      <c r="BM1707">
        <v>0</v>
      </c>
      <c r="BN1707">
        <v>5</v>
      </c>
      <c r="BO1707">
        <v>2.4</v>
      </c>
      <c r="BP1707">
        <v>36</v>
      </c>
      <c r="BQ1707">
        <v>0</v>
      </c>
      <c r="BR1707">
        <v>0</v>
      </c>
      <c r="BS1707">
        <v>0</v>
      </c>
      <c r="BT1707">
        <v>5</v>
      </c>
      <c r="BU1707">
        <v>1.5</v>
      </c>
    </row>
    <row r="1708" spans="1:73" ht="14.25" x14ac:dyDescent="0.15">
      <c r="A1708" s="12">
        <v>30905</v>
      </c>
      <c r="B1708">
        <v>7</v>
      </c>
      <c r="C1708" s="1">
        <v>0</v>
      </c>
      <c r="D1708">
        <v>5</v>
      </c>
      <c r="E1708">
        <v>1</v>
      </c>
      <c r="F1708">
        <v>1</v>
      </c>
      <c r="G1708" s="7">
        <v>0.05</v>
      </c>
      <c r="H1708">
        <v>12</v>
      </c>
      <c r="I1708">
        <v>0</v>
      </c>
      <c r="J1708">
        <v>0</v>
      </c>
      <c r="K1708">
        <v>0</v>
      </c>
      <c r="L1708">
        <v>1</v>
      </c>
      <c r="M1708">
        <v>2</v>
      </c>
      <c r="N1708" s="7">
        <v>9</v>
      </c>
      <c r="O1708" s="7">
        <v>0</v>
      </c>
      <c r="P1708" s="7">
        <v>0</v>
      </c>
      <c r="Q1708" s="7">
        <v>0</v>
      </c>
      <c r="R1708" s="7">
        <v>1</v>
      </c>
      <c r="S1708" s="7">
        <v>4.5</v>
      </c>
      <c r="T1708">
        <v>7</v>
      </c>
      <c r="U1708" s="1">
        <v>0</v>
      </c>
      <c r="V1708">
        <v>4</v>
      </c>
      <c r="W1708">
        <v>2</v>
      </c>
      <c r="X1708">
        <v>1</v>
      </c>
      <c r="Y1708">
        <v>0.16</v>
      </c>
      <c r="Z1708">
        <v>23</v>
      </c>
      <c r="AA1708">
        <v>0</v>
      </c>
      <c r="AB1708">
        <v>0</v>
      </c>
      <c r="AC1708">
        <v>0</v>
      </c>
      <c r="AD1708">
        <v>1</v>
      </c>
      <c r="AE1708">
        <v>0.05</v>
      </c>
      <c r="AF1708">
        <v>15</v>
      </c>
      <c r="AG1708">
        <v>0</v>
      </c>
      <c r="AH1708">
        <v>0</v>
      </c>
      <c r="AI1708">
        <v>0</v>
      </c>
      <c r="AJ1708">
        <v>1</v>
      </c>
      <c r="AK1708">
        <v>0.02</v>
      </c>
      <c r="AL1708">
        <v>16</v>
      </c>
      <c r="AM1708">
        <v>0</v>
      </c>
      <c r="AN1708">
        <v>0</v>
      </c>
      <c r="AO1708">
        <v>0</v>
      </c>
      <c r="AP1708">
        <v>1</v>
      </c>
      <c r="AQ1708">
        <v>0.01</v>
      </c>
      <c r="AR1708">
        <v>6</v>
      </c>
      <c r="AS1708">
        <v>2</v>
      </c>
      <c r="AT1708">
        <v>1</v>
      </c>
      <c r="AU1708">
        <v>5</v>
      </c>
      <c r="AV1708">
        <v>1</v>
      </c>
      <c r="AW1708">
        <v>0.05</v>
      </c>
      <c r="AX1708">
        <v>7</v>
      </c>
      <c r="AY1708" s="1">
        <v>0</v>
      </c>
      <c r="AZ1708">
        <v>3</v>
      </c>
      <c r="BA1708">
        <v>1</v>
      </c>
      <c r="BB1708">
        <v>1</v>
      </c>
      <c r="BC1708" s="7">
        <v>0.32</v>
      </c>
      <c r="BD1708">
        <v>30</v>
      </c>
      <c r="BE1708">
        <v>0</v>
      </c>
      <c r="BF1708">
        <v>0</v>
      </c>
      <c r="BG1708">
        <v>0</v>
      </c>
      <c r="BH1708">
        <v>5</v>
      </c>
      <c r="BI1708">
        <v>2.4</v>
      </c>
      <c r="BJ1708">
        <v>31</v>
      </c>
      <c r="BK1708">
        <v>0</v>
      </c>
      <c r="BL1708">
        <v>0</v>
      </c>
      <c r="BM1708">
        <v>0</v>
      </c>
      <c r="BN1708">
        <v>5</v>
      </c>
      <c r="BO1708">
        <v>2.4</v>
      </c>
      <c r="BP1708">
        <v>36</v>
      </c>
      <c r="BQ1708">
        <v>0</v>
      </c>
      <c r="BR1708">
        <v>0</v>
      </c>
      <c r="BS1708">
        <v>0</v>
      </c>
      <c r="BT1708">
        <v>5</v>
      </c>
      <c r="BU1708">
        <v>1.5</v>
      </c>
    </row>
    <row r="1709" spans="1:73" ht="14.25" x14ac:dyDescent="0.15">
      <c r="A1709" s="12">
        <v>30906</v>
      </c>
      <c r="B1709">
        <v>7</v>
      </c>
      <c r="C1709" s="1">
        <v>45</v>
      </c>
      <c r="D1709">
        <v>0</v>
      </c>
      <c r="E1709">
        <v>0</v>
      </c>
      <c r="F1709">
        <v>1</v>
      </c>
      <c r="G1709" s="7">
        <v>0.05</v>
      </c>
      <c r="H1709">
        <v>12</v>
      </c>
      <c r="I1709">
        <v>0</v>
      </c>
      <c r="J1709">
        <v>0</v>
      </c>
      <c r="K1709">
        <v>0</v>
      </c>
      <c r="L1709">
        <v>1</v>
      </c>
      <c r="M1709">
        <v>2</v>
      </c>
      <c r="N1709" s="7">
        <v>9</v>
      </c>
      <c r="O1709" s="7">
        <v>0</v>
      </c>
      <c r="P1709" s="7">
        <v>0</v>
      </c>
      <c r="Q1709" s="7">
        <v>0</v>
      </c>
      <c r="R1709" s="7">
        <v>1</v>
      </c>
      <c r="S1709" s="7">
        <v>4.5</v>
      </c>
      <c r="T1709">
        <v>7</v>
      </c>
      <c r="U1709" s="1">
        <v>33</v>
      </c>
      <c r="V1709">
        <v>0</v>
      </c>
      <c r="W1709">
        <v>0</v>
      </c>
      <c r="X1709">
        <v>1</v>
      </c>
      <c r="Y1709">
        <v>0.16</v>
      </c>
      <c r="Z1709">
        <v>23</v>
      </c>
      <c r="AA1709">
        <v>0</v>
      </c>
      <c r="AB1709">
        <v>0</v>
      </c>
      <c r="AC1709">
        <v>0</v>
      </c>
      <c r="AD1709">
        <v>1</v>
      </c>
      <c r="AE1709">
        <v>0.05</v>
      </c>
      <c r="AF1709">
        <v>15</v>
      </c>
      <c r="AG1709">
        <v>0</v>
      </c>
      <c r="AH1709">
        <v>0</v>
      </c>
      <c r="AI1709">
        <v>0</v>
      </c>
      <c r="AJ1709">
        <v>1</v>
      </c>
      <c r="AK1709">
        <v>0.02</v>
      </c>
      <c r="AL1709">
        <v>16</v>
      </c>
      <c r="AM1709">
        <v>0</v>
      </c>
      <c r="AN1709">
        <v>0</v>
      </c>
      <c r="AO1709">
        <v>0</v>
      </c>
      <c r="AP1709">
        <v>1</v>
      </c>
      <c r="AQ1709">
        <v>0.01</v>
      </c>
      <c r="AX1709">
        <v>7</v>
      </c>
      <c r="AY1709" s="1">
        <v>17</v>
      </c>
      <c r="AZ1709">
        <v>0</v>
      </c>
      <c r="BA1709">
        <v>0</v>
      </c>
      <c r="BB1709">
        <v>1</v>
      </c>
      <c r="BC1709" s="7">
        <v>0.32</v>
      </c>
      <c r="BD1709">
        <v>30</v>
      </c>
      <c r="BE1709">
        <v>0</v>
      </c>
      <c r="BF1709">
        <v>0</v>
      </c>
      <c r="BG1709">
        <v>0</v>
      </c>
      <c r="BH1709">
        <v>5</v>
      </c>
      <c r="BI1709">
        <v>2.4</v>
      </c>
      <c r="BJ1709">
        <v>31</v>
      </c>
      <c r="BK1709">
        <v>0</v>
      </c>
      <c r="BL1709">
        <v>0</v>
      </c>
      <c r="BM1709">
        <v>0</v>
      </c>
      <c r="BN1709">
        <v>5</v>
      </c>
      <c r="BO1709">
        <v>2.4</v>
      </c>
      <c r="BP1709">
        <v>36</v>
      </c>
      <c r="BQ1709">
        <v>0</v>
      </c>
      <c r="BR1709">
        <v>0</v>
      </c>
      <c r="BS1709">
        <v>0</v>
      </c>
      <c r="BT1709">
        <v>5</v>
      </c>
      <c r="BU1709">
        <v>1.5</v>
      </c>
    </row>
    <row r="1710" spans="1:73" ht="14.25" x14ac:dyDescent="0.15">
      <c r="A1710" s="12">
        <v>30907</v>
      </c>
      <c r="B1710">
        <v>7</v>
      </c>
      <c r="C1710" s="1">
        <v>46</v>
      </c>
      <c r="D1710">
        <v>0</v>
      </c>
      <c r="E1710">
        <v>0</v>
      </c>
      <c r="F1710">
        <v>1</v>
      </c>
      <c r="G1710" s="7">
        <v>0.05</v>
      </c>
      <c r="H1710">
        <v>12</v>
      </c>
      <c r="I1710">
        <v>0</v>
      </c>
      <c r="J1710">
        <v>0</v>
      </c>
      <c r="K1710">
        <v>0</v>
      </c>
      <c r="L1710">
        <v>1</v>
      </c>
      <c r="M1710">
        <v>2</v>
      </c>
      <c r="N1710" s="7">
        <v>9</v>
      </c>
      <c r="O1710" s="7">
        <v>0</v>
      </c>
      <c r="P1710" s="7">
        <v>0</v>
      </c>
      <c r="Q1710" s="7">
        <v>0</v>
      </c>
      <c r="R1710" s="7">
        <v>1</v>
      </c>
      <c r="S1710" s="7">
        <v>4.5</v>
      </c>
      <c r="T1710">
        <v>7</v>
      </c>
      <c r="U1710" s="1">
        <v>34</v>
      </c>
      <c r="V1710">
        <v>0</v>
      </c>
      <c r="W1710">
        <v>0</v>
      </c>
      <c r="X1710">
        <v>1</v>
      </c>
      <c r="Y1710">
        <v>0.16</v>
      </c>
      <c r="Z1710">
        <v>23</v>
      </c>
      <c r="AA1710">
        <v>0</v>
      </c>
      <c r="AB1710">
        <v>0</v>
      </c>
      <c r="AC1710">
        <v>0</v>
      </c>
      <c r="AD1710">
        <v>1</v>
      </c>
      <c r="AE1710">
        <v>0.05</v>
      </c>
      <c r="AF1710">
        <v>15</v>
      </c>
      <c r="AG1710">
        <v>0</v>
      </c>
      <c r="AH1710">
        <v>0</v>
      </c>
      <c r="AI1710">
        <v>0</v>
      </c>
      <c r="AJ1710">
        <v>1</v>
      </c>
      <c r="AK1710">
        <v>0.02</v>
      </c>
      <c r="AL1710">
        <v>16</v>
      </c>
      <c r="AM1710">
        <v>0</v>
      </c>
      <c r="AN1710">
        <v>0</v>
      </c>
      <c r="AO1710">
        <v>0</v>
      </c>
      <c r="AP1710">
        <v>1</v>
      </c>
      <c r="AQ1710">
        <v>0.01</v>
      </c>
      <c r="AX1710">
        <v>7</v>
      </c>
      <c r="AY1710" s="1">
        <v>18</v>
      </c>
      <c r="AZ1710">
        <v>0</v>
      </c>
      <c r="BA1710">
        <v>0</v>
      </c>
      <c r="BB1710">
        <v>1</v>
      </c>
      <c r="BC1710" s="7">
        <v>0.32</v>
      </c>
      <c r="BD1710">
        <v>30</v>
      </c>
      <c r="BE1710">
        <v>0</v>
      </c>
      <c r="BF1710">
        <v>0</v>
      </c>
      <c r="BG1710">
        <v>0</v>
      </c>
      <c r="BH1710">
        <v>5</v>
      </c>
      <c r="BI1710">
        <v>2.4</v>
      </c>
      <c r="BJ1710">
        <v>31</v>
      </c>
      <c r="BK1710">
        <v>0</v>
      </c>
      <c r="BL1710">
        <v>0</v>
      </c>
      <c r="BM1710">
        <v>0</v>
      </c>
      <c r="BN1710">
        <v>5</v>
      </c>
      <c r="BO1710">
        <v>2.4</v>
      </c>
      <c r="BP1710">
        <v>36</v>
      </c>
      <c r="BQ1710">
        <v>0</v>
      </c>
      <c r="BR1710">
        <v>0</v>
      </c>
      <c r="BS1710">
        <v>0</v>
      </c>
      <c r="BT1710">
        <v>5</v>
      </c>
      <c r="BU1710">
        <v>1.5</v>
      </c>
    </row>
    <row r="1711" spans="1:73" ht="14.25" x14ac:dyDescent="0.15">
      <c r="A1711" s="12">
        <v>30908</v>
      </c>
      <c r="B1711">
        <v>7</v>
      </c>
      <c r="C1711" s="1">
        <v>47</v>
      </c>
      <c r="D1711">
        <v>0</v>
      </c>
      <c r="E1711">
        <v>0</v>
      </c>
      <c r="F1711">
        <v>1</v>
      </c>
      <c r="G1711" s="7">
        <v>0.05</v>
      </c>
      <c r="H1711">
        <v>12</v>
      </c>
      <c r="I1711">
        <v>0</v>
      </c>
      <c r="J1711">
        <v>0</v>
      </c>
      <c r="K1711">
        <v>0</v>
      </c>
      <c r="L1711">
        <v>1</v>
      </c>
      <c r="M1711">
        <v>2</v>
      </c>
      <c r="N1711" s="7">
        <v>9</v>
      </c>
      <c r="O1711" s="7">
        <v>0</v>
      </c>
      <c r="P1711" s="7">
        <v>0</v>
      </c>
      <c r="Q1711" s="7">
        <v>0</v>
      </c>
      <c r="R1711" s="7">
        <v>1</v>
      </c>
      <c r="S1711" s="7">
        <v>4.5</v>
      </c>
      <c r="T1711">
        <v>7</v>
      </c>
      <c r="U1711" s="1">
        <v>35</v>
      </c>
      <c r="V1711">
        <v>0</v>
      </c>
      <c r="W1711">
        <v>0</v>
      </c>
      <c r="X1711">
        <v>1</v>
      </c>
      <c r="Y1711">
        <v>0.16</v>
      </c>
      <c r="Z1711">
        <v>23</v>
      </c>
      <c r="AA1711">
        <v>0</v>
      </c>
      <c r="AB1711">
        <v>0</v>
      </c>
      <c r="AC1711">
        <v>0</v>
      </c>
      <c r="AD1711">
        <v>1</v>
      </c>
      <c r="AE1711">
        <v>0.05</v>
      </c>
      <c r="AF1711">
        <v>15</v>
      </c>
      <c r="AG1711">
        <v>0</v>
      </c>
      <c r="AH1711">
        <v>0</v>
      </c>
      <c r="AI1711">
        <v>0</v>
      </c>
      <c r="AJ1711">
        <v>1</v>
      </c>
      <c r="AK1711">
        <v>0.02</v>
      </c>
      <c r="AL1711">
        <v>16</v>
      </c>
      <c r="AM1711">
        <v>0</v>
      </c>
      <c r="AN1711">
        <v>0</v>
      </c>
      <c r="AO1711">
        <v>0</v>
      </c>
      <c r="AP1711">
        <v>1</v>
      </c>
      <c r="AQ1711">
        <v>0.01</v>
      </c>
      <c r="AX1711">
        <v>7</v>
      </c>
      <c r="AY1711" s="1">
        <v>19</v>
      </c>
      <c r="AZ1711">
        <v>0</v>
      </c>
      <c r="BA1711">
        <v>0</v>
      </c>
      <c r="BB1711">
        <v>1</v>
      </c>
      <c r="BC1711" s="7">
        <v>0.32</v>
      </c>
      <c r="BD1711">
        <v>30</v>
      </c>
      <c r="BE1711">
        <v>0</v>
      </c>
      <c r="BF1711">
        <v>0</v>
      </c>
      <c r="BG1711">
        <v>0</v>
      </c>
      <c r="BH1711">
        <v>5</v>
      </c>
      <c r="BI1711">
        <v>2.4</v>
      </c>
      <c r="BJ1711">
        <v>31</v>
      </c>
      <c r="BK1711">
        <v>0</v>
      </c>
      <c r="BL1711">
        <v>0</v>
      </c>
      <c r="BM1711">
        <v>0</v>
      </c>
      <c r="BN1711">
        <v>5</v>
      </c>
      <c r="BO1711">
        <v>2.4</v>
      </c>
      <c r="BP1711">
        <v>36</v>
      </c>
      <c r="BQ1711">
        <v>0</v>
      </c>
      <c r="BR1711">
        <v>0</v>
      </c>
      <c r="BS1711">
        <v>0</v>
      </c>
      <c r="BT1711">
        <v>5</v>
      </c>
      <c r="BU1711">
        <v>1.5</v>
      </c>
    </row>
    <row r="1712" spans="1:73" ht="14.25" x14ac:dyDescent="0.15">
      <c r="A1712" s="12">
        <v>30909</v>
      </c>
      <c r="B1712">
        <v>7</v>
      </c>
      <c r="C1712" s="1">
        <v>48</v>
      </c>
      <c r="D1712">
        <v>0</v>
      </c>
      <c r="E1712">
        <v>0</v>
      </c>
      <c r="F1712">
        <v>1</v>
      </c>
      <c r="G1712" s="7">
        <v>0.05</v>
      </c>
      <c r="H1712">
        <v>12</v>
      </c>
      <c r="I1712">
        <v>0</v>
      </c>
      <c r="J1712">
        <v>0</v>
      </c>
      <c r="K1712">
        <v>0</v>
      </c>
      <c r="L1712">
        <v>1</v>
      </c>
      <c r="M1712">
        <v>2</v>
      </c>
      <c r="N1712" s="7">
        <v>9</v>
      </c>
      <c r="O1712" s="7">
        <v>0</v>
      </c>
      <c r="P1712" s="7">
        <v>0</v>
      </c>
      <c r="Q1712" s="7">
        <v>0</v>
      </c>
      <c r="R1712" s="7">
        <v>1</v>
      </c>
      <c r="S1712" s="7">
        <v>4.5</v>
      </c>
      <c r="T1712">
        <v>7</v>
      </c>
      <c r="U1712" s="1">
        <v>36</v>
      </c>
      <c r="V1712">
        <v>0</v>
      </c>
      <c r="W1712">
        <v>0</v>
      </c>
      <c r="X1712">
        <v>1</v>
      </c>
      <c r="Y1712">
        <v>0.16</v>
      </c>
      <c r="Z1712">
        <v>23</v>
      </c>
      <c r="AA1712">
        <v>0</v>
      </c>
      <c r="AB1712">
        <v>0</v>
      </c>
      <c r="AC1712">
        <v>0</v>
      </c>
      <c r="AD1712">
        <v>1</v>
      </c>
      <c r="AE1712">
        <v>0.05</v>
      </c>
      <c r="AF1712">
        <v>15</v>
      </c>
      <c r="AG1712">
        <v>0</v>
      </c>
      <c r="AH1712">
        <v>0</v>
      </c>
      <c r="AI1712">
        <v>0</v>
      </c>
      <c r="AJ1712">
        <v>1</v>
      </c>
      <c r="AK1712">
        <v>0.02</v>
      </c>
      <c r="AL1712">
        <v>16</v>
      </c>
      <c r="AM1712">
        <v>0</v>
      </c>
      <c r="AN1712">
        <v>0</v>
      </c>
      <c r="AO1712">
        <v>0</v>
      </c>
      <c r="AP1712">
        <v>1</v>
      </c>
      <c r="AQ1712">
        <v>0.01</v>
      </c>
      <c r="AX1712">
        <v>7</v>
      </c>
      <c r="AY1712" s="1">
        <v>20</v>
      </c>
      <c r="AZ1712">
        <v>0</v>
      </c>
      <c r="BA1712">
        <v>0</v>
      </c>
      <c r="BB1712">
        <v>1</v>
      </c>
      <c r="BC1712" s="7">
        <v>0.32</v>
      </c>
      <c r="BD1712">
        <v>30</v>
      </c>
      <c r="BE1712">
        <v>0</v>
      </c>
      <c r="BF1712">
        <v>0</v>
      </c>
      <c r="BG1712">
        <v>0</v>
      </c>
      <c r="BH1712">
        <v>5</v>
      </c>
      <c r="BI1712">
        <v>2.4</v>
      </c>
      <c r="BJ1712">
        <v>31</v>
      </c>
      <c r="BK1712">
        <v>0</v>
      </c>
      <c r="BL1712">
        <v>0</v>
      </c>
      <c r="BM1712">
        <v>0</v>
      </c>
      <c r="BN1712">
        <v>5</v>
      </c>
      <c r="BO1712">
        <v>2.4</v>
      </c>
      <c r="BP1712">
        <v>36</v>
      </c>
      <c r="BQ1712">
        <v>0</v>
      </c>
      <c r="BR1712">
        <v>0</v>
      </c>
      <c r="BS1712">
        <v>0</v>
      </c>
      <c r="BT1712">
        <v>5</v>
      </c>
      <c r="BU1712">
        <v>1.5</v>
      </c>
    </row>
    <row r="1713" spans="1:73" ht="14.25" x14ac:dyDescent="0.15">
      <c r="A1713" s="12">
        <v>30910</v>
      </c>
      <c r="B1713">
        <v>7</v>
      </c>
      <c r="C1713" s="1">
        <v>0</v>
      </c>
      <c r="D1713">
        <v>5</v>
      </c>
      <c r="E1713">
        <v>1</v>
      </c>
      <c r="F1713">
        <v>1</v>
      </c>
      <c r="G1713" s="7">
        <v>0.05</v>
      </c>
      <c r="H1713">
        <v>12</v>
      </c>
      <c r="I1713">
        <v>0</v>
      </c>
      <c r="J1713">
        <v>0</v>
      </c>
      <c r="K1713">
        <v>0</v>
      </c>
      <c r="L1713">
        <v>1</v>
      </c>
      <c r="M1713">
        <v>2</v>
      </c>
      <c r="N1713" s="7">
        <v>9</v>
      </c>
      <c r="O1713" s="7">
        <v>0</v>
      </c>
      <c r="P1713" s="7">
        <v>0</v>
      </c>
      <c r="Q1713" s="7">
        <v>0</v>
      </c>
      <c r="R1713" s="7">
        <v>1</v>
      </c>
      <c r="S1713" s="7">
        <v>4.5</v>
      </c>
      <c r="T1713">
        <v>7</v>
      </c>
      <c r="U1713" s="1">
        <v>0</v>
      </c>
      <c r="V1713">
        <v>4</v>
      </c>
      <c r="W1713">
        <v>2</v>
      </c>
      <c r="X1713">
        <v>1</v>
      </c>
      <c r="Y1713">
        <v>0.16</v>
      </c>
      <c r="Z1713">
        <v>23</v>
      </c>
      <c r="AA1713">
        <v>0</v>
      </c>
      <c r="AB1713">
        <v>0</v>
      </c>
      <c r="AC1713">
        <v>0</v>
      </c>
      <c r="AD1713">
        <v>1</v>
      </c>
      <c r="AE1713">
        <v>0.05</v>
      </c>
      <c r="AF1713">
        <v>15</v>
      </c>
      <c r="AG1713">
        <v>0</v>
      </c>
      <c r="AH1713">
        <v>0</v>
      </c>
      <c r="AI1713">
        <v>0</v>
      </c>
      <c r="AJ1713">
        <v>1</v>
      </c>
      <c r="AK1713">
        <v>0.02</v>
      </c>
      <c r="AL1713">
        <v>16</v>
      </c>
      <c r="AM1713">
        <v>0</v>
      </c>
      <c r="AN1713">
        <v>0</v>
      </c>
      <c r="AO1713">
        <v>0</v>
      </c>
      <c r="AP1713">
        <v>1</v>
      </c>
      <c r="AQ1713">
        <v>0.01</v>
      </c>
      <c r="AR1713">
        <v>6</v>
      </c>
      <c r="AS1713">
        <v>2</v>
      </c>
      <c r="AT1713">
        <v>2</v>
      </c>
      <c r="AU1713">
        <v>5</v>
      </c>
      <c r="AV1713">
        <v>1</v>
      </c>
      <c r="AW1713">
        <v>0.05</v>
      </c>
      <c r="AX1713">
        <v>7</v>
      </c>
      <c r="AY1713" s="1">
        <v>0</v>
      </c>
      <c r="AZ1713">
        <v>3</v>
      </c>
      <c r="BA1713">
        <v>1</v>
      </c>
      <c r="BB1713">
        <v>1</v>
      </c>
      <c r="BC1713" s="7">
        <v>0.32</v>
      </c>
      <c r="BD1713">
        <v>30</v>
      </c>
      <c r="BE1713">
        <v>0</v>
      </c>
      <c r="BF1713">
        <v>0</v>
      </c>
      <c r="BG1713">
        <v>0</v>
      </c>
      <c r="BH1713">
        <v>5</v>
      </c>
      <c r="BI1713">
        <v>2.4</v>
      </c>
      <c r="BJ1713">
        <v>31</v>
      </c>
      <c r="BK1713">
        <v>0</v>
      </c>
      <c r="BL1713">
        <v>0</v>
      </c>
      <c r="BM1713">
        <v>0</v>
      </c>
      <c r="BN1713">
        <v>5</v>
      </c>
      <c r="BO1713">
        <v>2.4</v>
      </c>
      <c r="BP1713">
        <v>36</v>
      </c>
      <c r="BQ1713">
        <v>0</v>
      </c>
      <c r="BR1713">
        <v>0</v>
      </c>
      <c r="BS1713">
        <v>0</v>
      </c>
      <c r="BT1713">
        <v>5</v>
      </c>
      <c r="BU1713">
        <v>1.5</v>
      </c>
    </row>
    <row r="1714" spans="1:73" ht="14.25" x14ac:dyDescent="0.15">
      <c r="A1714" s="12">
        <v>30911</v>
      </c>
      <c r="B1714">
        <v>7</v>
      </c>
      <c r="C1714" s="1">
        <v>45</v>
      </c>
      <c r="D1714">
        <v>0</v>
      </c>
      <c r="E1714">
        <v>0</v>
      </c>
      <c r="F1714">
        <v>1</v>
      </c>
      <c r="G1714" s="7">
        <v>0.05</v>
      </c>
      <c r="H1714">
        <v>12</v>
      </c>
      <c r="I1714">
        <v>0</v>
      </c>
      <c r="J1714">
        <v>0</v>
      </c>
      <c r="K1714">
        <v>0</v>
      </c>
      <c r="L1714">
        <v>1</v>
      </c>
      <c r="M1714">
        <v>2</v>
      </c>
      <c r="N1714" s="7">
        <v>9</v>
      </c>
      <c r="O1714" s="7">
        <v>0</v>
      </c>
      <c r="P1714" s="7">
        <v>0</v>
      </c>
      <c r="Q1714" s="7">
        <v>0</v>
      </c>
      <c r="R1714" s="7">
        <v>1</v>
      </c>
      <c r="S1714" s="7">
        <v>4.5</v>
      </c>
      <c r="T1714">
        <v>7</v>
      </c>
      <c r="U1714" s="1">
        <v>33</v>
      </c>
      <c r="V1714">
        <v>0</v>
      </c>
      <c r="W1714">
        <v>0</v>
      </c>
      <c r="X1714">
        <v>1</v>
      </c>
      <c r="Y1714">
        <v>0.16</v>
      </c>
      <c r="Z1714">
        <v>23</v>
      </c>
      <c r="AA1714">
        <v>0</v>
      </c>
      <c r="AB1714">
        <v>0</v>
      </c>
      <c r="AC1714">
        <v>0</v>
      </c>
      <c r="AD1714">
        <v>1</v>
      </c>
      <c r="AE1714">
        <v>0.05</v>
      </c>
      <c r="AF1714">
        <v>15</v>
      </c>
      <c r="AG1714">
        <v>0</v>
      </c>
      <c r="AH1714">
        <v>0</v>
      </c>
      <c r="AI1714">
        <v>0</v>
      </c>
      <c r="AJ1714">
        <v>1</v>
      </c>
      <c r="AK1714">
        <v>0.02</v>
      </c>
      <c r="AL1714">
        <v>16</v>
      </c>
      <c r="AM1714">
        <v>0</v>
      </c>
      <c r="AN1714">
        <v>0</v>
      </c>
      <c r="AO1714">
        <v>0</v>
      </c>
      <c r="AP1714">
        <v>1</v>
      </c>
      <c r="AQ1714">
        <v>0.01</v>
      </c>
      <c r="AX1714">
        <v>7</v>
      </c>
      <c r="AY1714" s="1">
        <v>17</v>
      </c>
      <c r="AZ1714">
        <v>0</v>
      </c>
      <c r="BA1714">
        <v>0</v>
      </c>
      <c r="BB1714">
        <v>1</v>
      </c>
      <c r="BC1714" s="7">
        <v>0.32</v>
      </c>
      <c r="BD1714">
        <v>30</v>
      </c>
      <c r="BE1714">
        <v>0</v>
      </c>
      <c r="BF1714">
        <v>0</v>
      </c>
      <c r="BG1714">
        <v>0</v>
      </c>
      <c r="BH1714">
        <v>5</v>
      </c>
      <c r="BI1714">
        <v>2.4</v>
      </c>
      <c r="BJ1714">
        <v>31</v>
      </c>
      <c r="BK1714">
        <v>0</v>
      </c>
      <c r="BL1714">
        <v>0</v>
      </c>
      <c r="BM1714">
        <v>0</v>
      </c>
      <c r="BN1714">
        <v>5</v>
      </c>
      <c r="BO1714">
        <v>2.4</v>
      </c>
      <c r="BP1714">
        <v>36</v>
      </c>
      <c r="BQ1714">
        <v>0</v>
      </c>
      <c r="BR1714">
        <v>0</v>
      </c>
      <c r="BS1714">
        <v>0</v>
      </c>
      <c r="BT1714">
        <v>5</v>
      </c>
      <c r="BU1714">
        <v>1.5</v>
      </c>
    </row>
    <row r="1715" spans="1:73" ht="14.25" x14ac:dyDescent="0.15">
      <c r="A1715" s="12">
        <v>30912</v>
      </c>
      <c r="B1715">
        <v>7</v>
      </c>
      <c r="C1715" s="1">
        <v>46</v>
      </c>
      <c r="D1715">
        <v>0</v>
      </c>
      <c r="E1715">
        <v>0</v>
      </c>
      <c r="F1715">
        <v>1</v>
      </c>
      <c r="G1715" s="7">
        <v>0.05</v>
      </c>
      <c r="H1715">
        <v>12</v>
      </c>
      <c r="I1715">
        <v>0</v>
      </c>
      <c r="J1715">
        <v>0</v>
      </c>
      <c r="K1715">
        <v>0</v>
      </c>
      <c r="L1715">
        <v>1</v>
      </c>
      <c r="M1715">
        <v>2</v>
      </c>
      <c r="N1715" s="7">
        <v>9</v>
      </c>
      <c r="O1715" s="7">
        <v>0</v>
      </c>
      <c r="P1715" s="7">
        <v>0</v>
      </c>
      <c r="Q1715" s="7">
        <v>0</v>
      </c>
      <c r="R1715" s="7">
        <v>1</v>
      </c>
      <c r="S1715" s="7">
        <v>4.5</v>
      </c>
      <c r="T1715">
        <v>7</v>
      </c>
      <c r="U1715" s="1">
        <v>34</v>
      </c>
      <c r="V1715">
        <v>0</v>
      </c>
      <c r="W1715">
        <v>0</v>
      </c>
      <c r="X1715">
        <v>1</v>
      </c>
      <c r="Y1715">
        <v>0.16</v>
      </c>
      <c r="Z1715">
        <v>23</v>
      </c>
      <c r="AA1715">
        <v>0</v>
      </c>
      <c r="AB1715">
        <v>0</v>
      </c>
      <c r="AC1715">
        <v>0</v>
      </c>
      <c r="AD1715">
        <v>1</v>
      </c>
      <c r="AE1715">
        <v>0.05</v>
      </c>
      <c r="AF1715">
        <v>15</v>
      </c>
      <c r="AG1715">
        <v>0</v>
      </c>
      <c r="AH1715">
        <v>0</v>
      </c>
      <c r="AI1715">
        <v>0</v>
      </c>
      <c r="AJ1715">
        <v>1</v>
      </c>
      <c r="AK1715">
        <v>0.02</v>
      </c>
      <c r="AL1715">
        <v>16</v>
      </c>
      <c r="AM1715">
        <v>0</v>
      </c>
      <c r="AN1715">
        <v>0</v>
      </c>
      <c r="AO1715">
        <v>0</v>
      </c>
      <c r="AP1715">
        <v>1</v>
      </c>
      <c r="AQ1715">
        <v>0.01</v>
      </c>
      <c r="AX1715">
        <v>7</v>
      </c>
      <c r="AY1715" s="1">
        <v>18</v>
      </c>
      <c r="AZ1715">
        <v>0</v>
      </c>
      <c r="BA1715">
        <v>0</v>
      </c>
      <c r="BB1715">
        <v>1</v>
      </c>
      <c r="BC1715" s="7">
        <v>0.32</v>
      </c>
      <c r="BD1715">
        <v>30</v>
      </c>
      <c r="BE1715">
        <v>0</v>
      </c>
      <c r="BF1715">
        <v>0</v>
      </c>
      <c r="BG1715">
        <v>0</v>
      </c>
      <c r="BH1715">
        <v>5</v>
      </c>
      <c r="BI1715">
        <v>2.4</v>
      </c>
      <c r="BJ1715">
        <v>31</v>
      </c>
      <c r="BK1715">
        <v>0</v>
      </c>
      <c r="BL1715">
        <v>0</v>
      </c>
      <c r="BM1715">
        <v>0</v>
      </c>
      <c r="BN1715">
        <v>5</v>
      </c>
      <c r="BO1715">
        <v>2.4</v>
      </c>
      <c r="BP1715">
        <v>36</v>
      </c>
      <c r="BQ1715">
        <v>0</v>
      </c>
      <c r="BR1715">
        <v>0</v>
      </c>
      <c r="BS1715">
        <v>0</v>
      </c>
      <c r="BT1715">
        <v>5</v>
      </c>
      <c r="BU1715">
        <v>1.5</v>
      </c>
    </row>
    <row r="1716" spans="1:73" ht="14.25" x14ac:dyDescent="0.15">
      <c r="A1716" s="12">
        <v>30913</v>
      </c>
      <c r="B1716">
        <v>7</v>
      </c>
      <c r="C1716" s="1">
        <v>47</v>
      </c>
      <c r="D1716">
        <v>0</v>
      </c>
      <c r="E1716">
        <v>0</v>
      </c>
      <c r="F1716">
        <v>1</v>
      </c>
      <c r="G1716" s="7">
        <v>0.05</v>
      </c>
      <c r="H1716">
        <v>12</v>
      </c>
      <c r="I1716">
        <v>0</v>
      </c>
      <c r="J1716">
        <v>0</v>
      </c>
      <c r="K1716">
        <v>0</v>
      </c>
      <c r="L1716">
        <v>1</v>
      </c>
      <c r="M1716">
        <v>2</v>
      </c>
      <c r="N1716" s="7">
        <v>9</v>
      </c>
      <c r="O1716" s="7">
        <v>0</v>
      </c>
      <c r="P1716" s="7">
        <v>0</v>
      </c>
      <c r="Q1716" s="7">
        <v>0</v>
      </c>
      <c r="R1716" s="7">
        <v>1</v>
      </c>
      <c r="S1716" s="7">
        <v>4.5</v>
      </c>
      <c r="T1716">
        <v>7</v>
      </c>
      <c r="U1716" s="1">
        <v>35</v>
      </c>
      <c r="V1716">
        <v>0</v>
      </c>
      <c r="W1716">
        <v>0</v>
      </c>
      <c r="X1716">
        <v>1</v>
      </c>
      <c r="Y1716">
        <v>0.16</v>
      </c>
      <c r="Z1716">
        <v>23</v>
      </c>
      <c r="AA1716">
        <v>0</v>
      </c>
      <c r="AB1716">
        <v>0</v>
      </c>
      <c r="AC1716">
        <v>0</v>
      </c>
      <c r="AD1716">
        <v>1</v>
      </c>
      <c r="AE1716">
        <v>0.05</v>
      </c>
      <c r="AF1716">
        <v>15</v>
      </c>
      <c r="AG1716">
        <v>0</v>
      </c>
      <c r="AH1716">
        <v>0</v>
      </c>
      <c r="AI1716">
        <v>0</v>
      </c>
      <c r="AJ1716">
        <v>1</v>
      </c>
      <c r="AK1716">
        <v>0.02</v>
      </c>
      <c r="AL1716">
        <v>16</v>
      </c>
      <c r="AM1716">
        <v>0</v>
      </c>
      <c r="AN1716">
        <v>0</v>
      </c>
      <c r="AO1716">
        <v>0</v>
      </c>
      <c r="AP1716">
        <v>1</v>
      </c>
      <c r="AQ1716">
        <v>0.01</v>
      </c>
      <c r="AX1716">
        <v>7</v>
      </c>
      <c r="AY1716" s="1">
        <v>19</v>
      </c>
      <c r="AZ1716">
        <v>0</v>
      </c>
      <c r="BA1716">
        <v>0</v>
      </c>
      <c r="BB1716">
        <v>1</v>
      </c>
      <c r="BC1716" s="7">
        <v>0.32</v>
      </c>
      <c r="BD1716">
        <v>30</v>
      </c>
      <c r="BE1716">
        <v>0</v>
      </c>
      <c r="BF1716">
        <v>0</v>
      </c>
      <c r="BG1716">
        <v>0</v>
      </c>
      <c r="BH1716">
        <v>5</v>
      </c>
      <c r="BI1716">
        <v>2.4</v>
      </c>
      <c r="BJ1716">
        <v>31</v>
      </c>
      <c r="BK1716">
        <v>0</v>
      </c>
      <c r="BL1716">
        <v>0</v>
      </c>
      <c r="BM1716">
        <v>0</v>
      </c>
      <c r="BN1716">
        <v>5</v>
      </c>
      <c r="BO1716">
        <v>2.4</v>
      </c>
      <c r="BP1716">
        <v>36</v>
      </c>
      <c r="BQ1716">
        <v>0</v>
      </c>
      <c r="BR1716">
        <v>0</v>
      </c>
      <c r="BS1716">
        <v>0</v>
      </c>
      <c r="BT1716">
        <v>5</v>
      </c>
      <c r="BU1716">
        <v>1.5</v>
      </c>
    </row>
    <row r="1717" spans="1:73" ht="14.25" x14ac:dyDescent="0.15">
      <c r="A1717" s="12">
        <v>30914</v>
      </c>
      <c r="B1717">
        <v>7</v>
      </c>
      <c r="C1717" s="1">
        <v>48</v>
      </c>
      <c r="D1717">
        <v>0</v>
      </c>
      <c r="E1717">
        <v>0</v>
      </c>
      <c r="F1717">
        <v>1</v>
      </c>
      <c r="G1717" s="7">
        <v>0.05</v>
      </c>
      <c r="H1717">
        <v>12</v>
      </c>
      <c r="I1717">
        <v>0</v>
      </c>
      <c r="J1717">
        <v>0</v>
      </c>
      <c r="K1717">
        <v>0</v>
      </c>
      <c r="L1717">
        <v>1</v>
      </c>
      <c r="M1717">
        <v>2</v>
      </c>
      <c r="N1717" s="7">
        <v>9</v>
      </c>
      <c r="O1717" s="7">
        <v>0</v>
      </c>
      <c r="P1717" s="7">
        <v>0</v>
      </c>
      <c r="Q1717" s="7">
        <v>0</v>
      </c>
      <c r="R1717" s="7">
        <v>1</v>
      </c>
      <c r="S1717" s="7">
        <v>4.5</v>
      </c>
      <c r="T1717">
        <v>7</v>
      </c>
      <c r="U1717" s="1">
        <v>36</v>
      </c>
      <c r="V1717">
        <v>0</v>
      </c>
      <c r="W1717">
        <v>0</v>
      </c>
      <c r="X1717">
        <v>1</v>
      </c>
      <c r="Y1717">
        <v>0.16</v>
      </c>
      <c r="Z1717">
        <v>23</v>
      </c>
      <c r="AA1717">
        <v>0</v>
      </c>
      <c r="AB1717">
        <v>0</v>
      </c>
      <c r="AC1717">
        <v>0</v>
      </c>
      <c r="AD1717">
        <v>1</v>
      </c>
      <c r="AE1717">
        <v>0.05</v>
      </c>
      <c r="AF1717">
        <v>15</v>
      </c>
      <c r="AG1717">
        <v>0</v>
      </c>
      <c r="AH1717">
        <v>0</v>
      </c>
      <c r="AI1717">
        <v>0</v>
      </c>
      <c r="AJ1717">
        <v>1</v>
      </c>
      <c r="AK1717">
        <v>0.02</v>
      </c>
      <c r="AL1717">
        <v>16</v>
      </c>
      <c r="AM1717">
        <v>0</v>
      </c>
      <c r="AN1717">
        <v>0</v>
      </c>
      <c r="AO1717">
        <v>0</v>
      </c>
      <c r="AP1717">
        <v>1</v>
      </c>
      <c r="AQ1717">
        <v>0.01</v>
      </c>
      <c r="AX1717">
        <v>7</v>
      </c>
      <c r="AY1717" s="1">
        <v>20</v>
      </c>
      <c r="AZ1717">
        <v>0</v>
      </c>
      <c r="BA1717">
        <v>0</v>
      </c>
      <c r="BB1717">
        <v>1</v>
      </c>
      <c r="BC1717" s="7">
        <v>0.32</v>
      </c>
      <c r="BD1717">
        <v>30</v>
      </c>
      <c r="BE1717">
        <v>0</v>
      </c>
      <c r="BF1717">
        <v>0</v>
      </c>
      <c r="BG1717">
        <v>0</v>
      </c>
      <c r="BH1717">
        <v>5</v>
      </c>
      <c r="BI1717">
        <v>2.4</v>
      </c>
      <c r="BJ1717">
        <v>31</v>
      </c>
      <c r="BK1717">
        <v>0</v>
      </c>
      <c r="BL1717">
        <v>0</v>
      </c>
      <c r="BM1717">
        <v>0</v>
      </c>
      <c r="BN1717">
        <v>5</v>
      </c>
      <c r="BO1717">
        <v>2.4</v>
      </c>
      <c r="BP1717">
        <v>36</v>
      </c>
      <c r="BQ1717">
        <v>0</v>
      </c>
      <c r="BR1717">
        <v>0</v>
      </c>
      <c r="BS1717">
        <v>0</v>
      </c>
      <c r="BT1717">
        <v>5</v>
      </c>
      <c r="BU1717">
        <v>1.5</v>
      </c>
    </row>
    <row r="1718" spans="1:73" ht="14.25" x14ac:dyDescent="0.15">
      <c r="A1718" s="12">
        <v>30915</v>
      </c>
      <c r="B1718">
        <v>7</v>
      </c>
      <c r="C1718" s="1">
        <v>0</v>
      </c>
      <c r="D1718">
        <v>5</v>
      </c>
      <c r="E1718">
        <v>1</v>
      </c>
      <c r="F1718">
        <v>1</v>
      </c>
      <c r="G1718" s="7">
        <v>0.05</v>
      </c>
      <c r="H1718">
        <v>12</v>
      </c>
      <c r="I1718">
        <v>0</v>
      </c>
      <c r="J1718">
        <v>0</v>
      </c>
      <c r="K1718">
        <v>0</v>
      </c>
      <c r="L1718">
        <v>1</v>
      </c>
      <c r="M1718">
        <v>2</v>
      </c>
      <c r="N1718" s="7">
        <v>9</v>
      </c>
      <c r="O1718" s="7">
        <v>0</v>
      </c>
      <c r="P1718" s="7">
        <v>0</v>
      </c>
      <c r="Q1718" s="7">
        <v>0</v>
      </c>
      <c r="R1718" s="7">
        <v>1</v>
      </c>
      <c r="S1718" s="7">
        <v>4.5</v>
      </c>
      <c r="T1718">
        <v>7</v>
      </c>
      <c r="U1718" s="1">
        <v>0</v>
      </c>
      <c r="V1718">
        <v>4</v>
      </c>
      <c r="W1718">
        <v>2</v>
      </c>
      <c r="X1718">
        <v>1</v>
      </c>
      <c r="Y1718">
        <v>0.16</v>
      </c>
      <c r="Z1718">
        <v>23</v>
      </c>
      <c r="AA1718">
        <v>0</v>
      </c>
      <c r="AB1718">
        <v>0</v>
      </c>
      <c r="AC1718">
        <v>0</v>
      </c>
      <c r="AD1718">
        <v>1</v>
      </c>
      <c r="AE1718">
        <v>0.05</v>
      </c>
      <c r="AF1718">
        <v>15</v>
      </c>
      <c r="AG1718">
        <v>0</v>
      </c>
      <c r="AH1718">
        <v>0</v>
      </c>
      <c r="AI1718">
        <v>0</v>
      </c>
      <c r="AJ1718">
        <v>1</v>
      </c>
      <c r="AK1718">
        <v>0.02</v>
      </c>
      <c r="AL1718">
        <v>16</v>
      </c>
      <c r="AM1718">
        <v>0</v>
      </c>
      <c r="AN1718">
        <v>0</v>
      </c>
      <c r="AO1718">
        <v>0</v>
      </c>
      <c r="AP1718">
        <v>1</v>
      </c>
      <c r="AQ1718">
        <v>0.01</v>
      </c>
      <c r="AR1718">
        <v>6</v>
      </c>
      <c r="AS1718">
        <v>2</v>
      </c>
      <c r="AT1718">
        <v>3</v>
      </c>
      <c r="AU1718">
        <v>5</v>
      </c>
      <c r="AV1718">
        <v>1</v>
      </c>
      <c r="AW1718">
        <v>0.05</v>
      </c>
      <c r="AX1718">
        <v>7</v>
      </c>
      <c r="AY1718" s="1">
        <v>0</v>
      </c>
      <c r="AZ1718">
        <v>3</v>
      </c>
      <c r="BA1718">
        <v>1</v>
      </c>
      <c r="BB1718">
        <v>1</v>
      </c>
      <c r="BC1718" s="7">
        <v>0.32</v>
      </c>
      <c r="BD1718">
        <v>30</v>
      </c>
      <c r="BE1718">
        <v>0</v>
      </c>
      <c r="BF1718">
        <v>0</v>
      </c>
      <c r="BG1718">
        <v>0</v>
      </c>
      <c r="BH1718">
        <v>5</v>
      </c>
      <c r="BI1718">
        <v>2.4</v>
      </c>
      <c r="BJ1718">
        <v>31</v>
      </c>
      <c r="BK1718">
        <v>0</v>
      </c>
      <c r="BL1718">
        <v>0</v>
      </c>
      <c r="BM1718">
        <v>0</v>
      </c>
      <c r="BN1718">
        <v>5</v>
      </c>
      <c r="BO1718">
        <v>2.4</v>
      </c>
      <c r="BP1718">
        <v>36</v>
      </c>
      <c r="BQ1718">
        <v>0</v>
      </c>
      <c r="BR1718">
        <v>0</v>
      </c>
      <c r="BS1718">
        <v>0</v>
      </c>
      <c r="BT1718">
        <v>5</v>
      </c>
      <c r="BU1718">
        <v>1.5</v>
      </c>
    </row>
    <row r="1719" spans="1:73" ht="14.25" x14ac:dyDescent="0.15">
      <c r="A1719" s="12">
        <v>30916</v>
      </c>
      <c r="B1719">
        <v>7</v>
      </c>
      <c r="C1719" s="1">
        <v>45</v>
      </c>
      <c r="D1719">
        <v>0</v>
      </c>
      <c r="E1719">
        <v>0</v>
      </c>
      <c r="F1719">
        <v>1</v>
      </c>
      <c r="G1719" s="7">
        <v>0.05</v>
      </c>
      <c r="H1719">
        <v>12</v>
      </c>
      <c r="I1719">
        <v>0</v>
      </c>
      <c r="J1719">
        <v>0</v>
      </c>
      <c r="K1719">
        <v>0</v>
      </c>
      <c r="L1719">
        <v>1</v>
      </c>
      <c r="M1719">
        <v>2</v>
      </c>
      <c r="N1719" s="7">
        <v>9</v>
      </c>
      <c r="O1719" s="7">
        <v>0</v>
      </c>
      <c r="P1719" s="7">
        <v>0</v>
      </c>
      <c r="Q1719" s="7">
        <v>0</v>
      </c>
      <c r="R1719" s="7">
        <v>1</v>
      </c>
      <c r="S1719" s="7">
        <v>4.5</v>
      </c>
      <c r="T1719">
        <v>7</v>
      </c>
      <c r="U1719" s="1">
        <v>33</v>
      </c>
      <c r="V1719">
        <v>0</v>
      </c>
      <c r="W1719">
        <v>0</v>
      </c>
      <c r="X1719">
        <v>1</v>
      </c>
      <c r="Y1719">
        <v>0.16</v>
      </c>
      <c r="Z1719">
        <v>23</v>
      </c>
      <c r="AA1719">
        <v>0</v>
      </c>
      <c r="AB1719">
        <v>0</v>
      </c>
      <c r="AC1719">
        <v>0</v>
      </c>
      <c r="AD1719">
        <v>1</v>
      </c>
      <c r="AE1719">
        <v>0.05</v>
      </c>
      <c r="AF1719">
        <v>15</v>
      </c>
      <c r="AG1719">
        <v>0</v>
      </c>
      <c r="AH1719">
        <v>0</v>
      </c>
      <c r="AI1719">
        <v>0</v>
      </c>
      <c r="AJ1719">
        <v>1</v>
      </c>
      <c r="AK1719">
        <v>0.02</v>
      </c>
      <c r="AL1719">
        <v>16</v>
      </c>
      <c r="AM1719">
        <v>0</v>
      </c>
      <c r="AN1719">
        <v>0</v>
      </c>
      <c r="AO1719">
        <v>0</v>
      </c>
      <c r="AP1719">
        <v>1</v>
      </c>
      <c r="AQ1719">
        <v>0.01</v>
      </c>
      <c r="AX1719">
        <v>7</v>
      </c>
      <c r="AY1719" s="1">
        <v>17</v>
      </c>
      <c r="AZ1719">
        <v>0</v>
      </c>
      <c r="BA1719">
        <v>0</v>
      </c>
      <c r="BB1719">
        <v>1</v>
      </c>
      <c r="BC1719" s="7">
        <v>0.32</v>
      </c>
      <c r="BD1719">
        <v>30</v>
      </c>
      <c r="BE1719">
        <v>0</v>
      </c>
      <c r="BF1719">
        <v>0</v>
      </c>
      <c r="BG1719">
        <v>0</v>
      </c>
      <c r="BH1719">
        <v>5</v>
      </c>
      <c r="BI1719">
        <v>2.4</v>
      </c>
      <c r="BJ1719">
        <v>31</v>
      </c>
      <c r="BK1719">
        <v>0</v>
      </c>
      <c r="BL1719">
        <v>0</v>
      </c>
      <c r="BM1719">
        <v>0</v>
      </c>
      <c r="BN1719">
        <v>5</v>
      </c>
      <c r="BO1719">
        <v>2.4</v>
      </c>
      <c r="BP1719">
        <v>36</v>
      </c>
      <c r="BQ1719">
        <v>0</v>
      </c>
      <c r="BR1719">
        <v>0</v>
      </c>
      <c r="BS1719">
        <v>0</v>
      </c>
      <c r="BT1719">
        <v>5</v>
      </c>
      <c r="BU1719">
        <v>1.5</v>
      </c>
    </row>
    <row r="1720" spans="1:73" ht="14.25" x14ac:dyDescent="0.15">
      <c r="A1720" s="12">
        <v>30917</v>
      </c>
      <c r="B1720">
        <v>7</v>
      </c>
      <c r="C1720" s="1">
        <v>46</v>
      </c>
      <c r="D1720">
        <v>0</v>
      </c>
      <c r="E1720">
        <v>0</v>
      </c>
      <c r="F1720">
        <v>1</v>
      </c>
      <c r="G1720" s="7">
        <v>0.05</v>
      </c>
      <c r="H1720">
        <v>12</v>
      </c>
      <c r="I1720">
        <v>0</v>
      </c>
      <c r="J1720">
        <v>0</v>
      </c>
      <c r="K1720">
        <v>0</v>
      </c>
      <c r="L1720">
        <v>1</v>
      </c>
      <c r="M1720">
        <v>2</v>
      </c>
      <c r="N1720" s="7">
        <v>9</v>
      </c>
      <c r="O1720" s="7">
        <v>0</v>
      </c>
      <c r="P1720" s="7">
        <v>0</v>
      </c>
      <c r="Q1720" s="7">
        <v>0</v>
      </c>
      <c r="R1720" s="7">
        <v>1</v>
      </c>
      <c r="S1720" s="7">
        <v>4.5</v>
      </c>
      <c r="T1720">
        <v>7</v>
      </c>
      <c r="U1720" s="1">
        <v>34</v>
      </c>
      <c r="V1720">
        <v>0</v>
      </c>
      <c r="W1720">
        <v>0</v>
      </c>
      <c r="X1720">
        <v>1</v>
      </c>
      <c r="Y1720">
        <v>0.16</v>
      </c>
      <c r="Z1720">
        <v>23</v>
      </c>
      <c r="AA1720">
        <v>0</v>
      </c>
      <c r="AB1720">
        <v>0</v>
      </c>
      <c r="AC1720">
        <v>0</v>
      </c>
      <c r="AD1720">
        <v>1</v>
      </c>
      <c r="AE1720">
        <v>0.05</v>
      </c>
      <c r="AF1720">
        <v>15</v>
      </c>
      <c r="AG1720">
        <v>0</v>
      </c>
      <c r="AH1720">
        <v>0</v>
      </c>
      <c r="AI1720">
        <v>0</v>
      </c>
      <c r="AJ1720">
        <v>1</v>
      </c>
      <c r="AK1720">
        <v>0.02</v>
      </c>
      <c r="AL1720">
        <v>16</v>
      </c>
      <c r="AM1720">
        <v>0</v>
      </c>
      <c r="AN1720">
        <v>0</v>
      </c>
      <c r="AO1720">
        <v>0</v>
      </c>
      <c r="AP1720">
        <v>1</v>
      </c>
      <c r="AQ1720">
        <v>0.01</v>
      </c>
      <c r="AX1720">
        <v>7</v>
      </c>
      <c r="AY1720" s="1">
        <v>18</v>
      </c>
      <c r="AZ1720">
        <v>0</v>
      </c>
      <c r="BA1720">
        <v>0</v>
      </c>
      <c r="BB1720">
        <v>1</v>
      </c>
      <c r="BC1720" s="7">
        <v>0.32</v>
      </c>
      <c r="BD1720">
        <v>30</v>
      </c>
      <c r="BE1720">
        <v>0</v>
      </c>
      <c r="BF1720">
        <v>0</v>
      </c>
      <c r="BG1720">
        <v>0</v>
      </c>
      <c r="BH1720">
        <v>5</v>
      </c>
      <c r="BI1720">
        <v>2.4</v>
      </c>
      <c r="BJ1720">
        <v>31</v>
      </c>
      <c r="BK1720">
        <v>0</v>
      </c>
      <c r="BL1720">
        <v>0</v>
      </c>
      <c r="BM1720">
        <v>0</v>
      </c>
      <c r="BN1720">
        <v>5</v>
      </c>
      <c r="BO1720">
        <v>2.4</v>
      </c>
      <c r="BP1720">
        <v>36</v>
      </c>
      <c r="BQ1720">
        <v>0</v>
      </c>
      <c r="BR1720">
        <v>0</v>
      </c>
      <c r="BS1720">
        <v>0</v>
      </c>
      <c r="BT1720">
        <v>5</v>
      </c>
      <c r="BU1720">
        <v>1.5</v>
      </c>
    </row>
    <row r="1721" spans="1:73" ht="14.25" x14ac:dyDescent="0.15">
      <c r="A1721" s="12">
        <v>30918</v>
      </c>
      <c r="B1721">
        <v>7</v>
      </c>
      <c r="C1721" s="1">
        <v>47</v>
      </c>
      <c r="D1721">
        <v>0</v>
      </c>
      <c r="E1721">
        <v>0</v>
      </c>
      <c r="F1721">
        <v>1</v>
      </c>
      <c r="G1721" s="7">
        <v>0.05</v>
      </c>
      <c r="H1721">
        <v>12</v>
      </c>
      <c r="I1721">
        <v>0</v>
      </c>
      <c r="J1721">
        <v>0</v>
      </c>
      <c r="K1721">
        <v>0</v>
      </c>
      <c r="L1721">
        <v>1</v>
      </c>
      <c r="M1721">
        <v>2</v>
      </c>
      <c r="N1721" s="7">
        <v>9</v>
      </c>
      <c r="O1721" s="7">
        <v>0</v>
      </c>
      <c r="P1721" s="7">
        <v>0</v>
      </c>
      <c r="Q1721" s="7">
        <v>0</v>
      </c>
      <c r="R1721" s="7">
        <v>1</v>
      </c>
      <c r="S1721" s="7">
        <v>4.5</v>
      </c>
      <c r="T1721">
        <v>7</v>
      </c>
      <c r="U1721" s="1">
        <v>35</v>
      </c>
      <c r="V1721">
        <v>0</v>
      </c>
      <c r="W1721">
        <v>0</v>
      </c>
      <c r="X1721">
        <v>1</v>
      </c>
      <c r="Y1721">
        <v>0.16</v>
      </c>
      <c r="Z1721">
        <v>23</v>
      </c>
      <c r="AA1721">
        <v>0</v>
      </c>
      <c r="AB1721">
        <v>0</v>
      </c>
      <c r="AC1721">
        <v>0</v>
      </c>
      <c r="AD1721">
        <v>1</v>
      </c>
      <c r="AE1721">
        <v>0.05</v>
      </c>
      <c r="AF1721">
        <v>15</v>
      </c>
      <c r="AG1721">
        <v>0</v>
      </c>
      <c r="AH1721">
        <v>0</v>
      </c>
      <c r="AI1721">
        <v>0</v>
      </c>
      <c r="AJ1721">
        <v>1</v>
      </c>
      <c r="AK1721">
        <v>0.02</v>
      </c>
      <c r="AL1721">
        <v>16</v>
      </c>
      <c r="AM1721">
        <v>0</v>
      </c>
      <c r="AN1721">
        <v>0</v>
      </c>
      <c r="AO1721">
        <v>0</v>
      </c>
      <c r="AP1721">
        <v>1</v>
      </c>
      <c r="AQ1721">
        <v>0.01</v>
      </c>
      <c r="AX1721">
        <v>7</v>
      </c>
      <c r="AY1721" s="1">
        <v>19</v>
      </c>
      <c r="AZ1721">
        <v>0</v>
      </c>
      <c r="BA1721">
        <v>0</v>
      </c>
      <c r="BB1721">
        <v>1</v>
      </c>
      <c r="BC1721" s="7">
        <v>0.32</v>
      </c>
      <c r="BD1721">
        <v>30</v>
      </c>
      <c r="BE1721">
        <v>0</v>
      </c>
      <c r="BF1721">
        <v>0</v>
      </c>
      <c r="BG1721">
        <v>0</v>
      </c>
      <c r="BH1721">
        <v>5</v>
      </c>
      <c r="BI1721">
        <v>2.4</v>
      </c>
      <c r="BJ1721">
        <v>31</v>
      </c>
      <c r="BK1721">
        <v>0</v>
      </c>
      <c r="BL1721">
        <v>0</v>
      </c>
      <c r="BM1721">
        <v>0</v>
      </c>
      <c r="BN1721">
        <v>5</v>
      </c>
      <c r="BO1721">
        <v>2.4</v>
      </c>
      <c r="BP1721">
        <v>36</v>
      </c>
      <c r="BQ1721">
        <v>0</v>
      </c>
      <c r="BR1721">
        <v>0</v>
      </c>
      <c r="BS1721">
        <v>0</v>
      </c>
      <c r="BT1721">
        <v>5</v>
      </c>
      <c r="BU1721">
        <v>1.5</v>
      </c>
    </row>
    <row r="1722" spans="1:73" ht="14.25" x14ac:dyDescent="0.15">
      <c r="A1722" s="12">
        <v>30919</v>
      </c>
      <c r="B1722">
        <v>7</v>
      </c>
      <c r="C1722" s="1">
        <v>48</v>
      </c>
      <c r="D1722">
        <v>0</v>
      </c>
      <c r="E1722">
        <v>0</v>
      </c>
      <c r="F1722">
        <v>1</v>
      </c>
      <c r="G1722" s="7">
        <v>0.05</v>
      </c>
      <c r="H1722">
        <v>12</v>
      </c>
      <c r="I1722">
        <v>0</v>
      </c>
      <c r="J1722">
        <v>0</v>
      </c>
      <c r="K1722">
        <v>0</v>
      </c>
      <c r="L1722">
        <v>1</v>
      </c>
      <c r="M1722">
        <v>2</v>
      </c>
      <c r="N1722" s="7">
        <v>9</v>
      </c>
      <c r="O1722" s="7">
        <v>0</v>
      </c>
      <c r="P1722" s="7">
        <v>0</v>
      </c>
      <c r="Q1722" s="7">
        <v>0</v>
      </c>
      <c r="R1722" s="7">
        <v>1</v>
      </c>
      <c r="S1722" s="7">
        <v>4.5</v>
      </c>
      <c r="T1722">
        <v>7</v>
      </c>
      <c r="U1722" s="1">
        <v>36</v>
      </c>
      <c r="V1722">
        <v>0</v>
      </c>
      <c r="W1722">
        <v>0</v>
      </c>
      <c r="X1722">
        <v>1</v>
      </c>
      <c r="Y1722">
        <v>0.16</v>
      </c>
      <c r="Z1722">
        <v>23</v>
      </c>
      <c r="AA1722">
        <v>0</v>
      </c>
      <c r="AB1722">
        <v>0</v>
      </c>
      <c r="AC1722">
        <v>0</v>
      </c>
      <c r="AD1722">
        <v>1</v>
      </c>
      <c r="AE1722">
        <v>0.05</v>
      </c>
      <c r="AF1722">
        <v>15</v>
      </c>
      <c r="AG1722">
        <v>0</v>
      </c>
      <c r="AH1722">
        <v>0</v>
      </c>
      <c r="AI1722">
        <v>0</v>
      </c>
      <c r="AJ1722">
        <v>1</v>
      </c>
      <c r="AK1722">
        <v>0.02</v>
      </c>
      <c r="AL1722">
        <v>16</v>
      </c>
      <c r="AM1722">
        <v>0</v>
      </c>
      <c r="AN1722">
        <v>0</v>
      </c>
      <c r="AO1722">
        <v>0</v>
      </c>
      <c r="AP1722">
        <v>1</v>
      </c>
      <c r="AQ1722">
        <v>0.01</v>
      </c>
      <c r="AX1722">
        <v>7</v>
      </c>
      <c r="AY1722" s="1">
        <v>20</v>
      </c>
      <c r="AZ1722">
        <v>0</v>
      </c>
      <c r="BA1722">
        <v>0</v>
      </c>
      <c r="BB1722">
        <v>1</v>
      </c>
      <c r="BC1722" s="7">
        <v>0.32</v>
      </c>
      <c r="BD1722">
        <v>30</v>
      </c>
      <c r="BE1722">
        <v>0</v>
      </c>
      <c r="BF1722">
        <v>0</v>
      </c>
      <c r="BG1722">
        <v>0</v>
      </c>
      <c r="BH1722">
        <v>5</v>
      </c>
      <c r="BI1722">
        <v>2.4</v>
      </c>
      <c r="BJ1722">
        <v>31</v>
      </c>
      <c r="BK1722">
        <v>0</v>
      </c>
      <c r="BL1722">
        <v>0</v>
      </c>
      <c r="BM1722">
        <v>0</v>
      </c>
      <c r="BN1722">
        <v>5</v>
      </c>
      <c r="BO1722">
        <v>2.4</v>
      </c>
      <c r="BP1722">
        <v>36</v>
      </c>
      <c r="BQ1722">
        <v>0</v>
      </c>
      <c r="BR1722">
        <v>0</v>
      </c>
      <c r="BS1722">
        <v>0</v>
      </c>
      <c r="BT1722">
        <v>5</v>
      </c>
      <c r="BU1722">
        <v>1.5</v>
      </c>
    </row>
    <row r="1723" spans="1:73" ht="14.25" x14ac:dyDescent="0.15">
      <c r="A1723" s="12">
        <v>30920</v>
      </c>
      <c r="B1723">
        <v>7</v>
      </c>
      <c r="C1723" s="1">
        <v>0</v>
      </c>
      <c r="D1723">
        <v>5</v>
      </c>
      <c r="E1723">
        <v>1</v>
      </c>
      <c r="F1723">
        <v>1</v>
      </c>
      <c r="G1723" s="7">
        <v>0.05</v>
      </c>
      <c r="H1723">
        <v>12</v>
      </c>
      <c r="I1723">
        <v>0</v>
      </c>
      <c r="J1723">
        <v>0</v>
      </c>
      <c r="K1723">
        <v>0</v>
      </c>
      <c r="L1723">
        <v>1</v>
      </c>
      <c r="M1723">
        <v>2</v>
      </c>
      <c r="N1723" s="7">
        <v>9</v>
      </c>
      <c r="O1723" s="7">
        <v>0</v>
      </c>
      <c r="P1723" s="7">
        <v>0</v>
      </c>
      <c r="Q1723" s="7">
        <v>0</v>
      </c>
      <c r="R1723" s="7">
        <v>1</v>
      </c>
      <c r="S1723" s="7">
        <v>4.5</v>
      </c>
      <c r="T1723">
        <v>7</v>
      </c>
      <c r="U1723" s="1">
        <v>0</v>
      </c>
      <c r="V1723">
        <v>4</v>
      </c>
      <c r="W1723">
        <v>2</v>
      </c>
      <c r="X1723">
        <v>1</v>
      </c>
      <c r="Y1723">
        <v>0.16</v>
      </c>
      <c r="Z1723">
        <v>23</v>
      </c>
      <c r="AA1723">
        <v>0</v>
      </c>
      <c r="AB1723">
        <v>0</v>
      </c>
      <c r="AC1723">
        <v>0</v>
      </c>
      <c r="AD1723">
        <v>1</v>
      </c>
      <c r="AE1723">
        <v>0.05</v>
      </c>
      <c r="AF1723">
        <v>15</v>
      </c>
      <c r="AG1723">
        <v>0</v>
      </c>
      <c r="AH1723">
        <v>0</v>
      </c>
      <c r="AI1723">
        <v>0</v>
      </c>
      <c r="AJ1723">
        <v>1</v>
      </c>
      <c r="AK1723">
        <v>0.02</v>
      </c>
      <c r="AL1723">
        <v>16</v>
      </c>
      <c r="AM1723">
        <v>0</v>
      </c>
      <c r="AN1723">
        <v>0</v>
      </c>
      <c r="AO1723">
        <v>0</v>
      </c>
      <c r="AP1723">
        <v>1</v>
      </c>
      <c r="AQ1723">
        <v>0.01</v>
      </c>
      <c r="AR1723">
        <v>6</v>
      </c>
      <c r="AS1723">
        <v>2</v>
      </c>
      <c r="AT1723">
        <v>4</v>
      </c>
      <c r="AU1723">
        <v>5</v>
      </c>
      <c r="AV1723">
        <v>1</v>
      </c>
      <c r="AW1723">
        <v>0.01</v>
      </c>
      <c r="AX1723">
        <v>7</v>
      </c>
      <c r="AY1723" s="1">
        <v>0</v>
      </c>
      <c r="AZ1723">
        <v>3</v>
      </c>
      <c r="BA1723">
        <v>1</v>
      </c>
      <c r="BB1723">
        <v>1</v>
      </c>
      <c r="BC1723" s="7">
        <v>0.32</v>
      </c>
      <c r="BD1723">
        <v>30</v>
      </c>
      <c r="BE1723">
        <v>0</v>
      </c>
      <c r="BF1723">
        <v>0</v>
      </c>
      <c r="BG1723">
        <v>0</v>
      </c>
      <c r="BH1723">
        <v>5</v>
      </c>
      <c r="BI1723">
        <v>2.4</v>
      </c>
      <c r="BJ1723">
        <v>31</v>
      </c>
      <c r="BK1723">
        <v>0</v>
      </c>
      <c r="BL1723">
        <v>0</v>
      </c>
      <c r="BM1723">
        <v>0</v>
      </c>
      <c r="BN1723">
        <v>5</v>
      </c>
      <c r="BO1723">
        <v>2.4</v>
      </c>
      <c r="BP1723">
        <v>36</v>
      </c>
      <c r="BQ1723">
        <v>0</v>
      </c>
      <c r="BR1723">
        <v>0</v>
      </c>
      <c r="BS1723">
        <v>0</v>
      </c>
      <c r="BT1723">
        <v>5</v>
      </c>
      <c r="BU1723">
        <v>1.5</v>
      </c>
    </row>
    <row r="1724" spans="1:73" ht="14.25" x14ac:dyDescent="0.15">
      <c r="A1724" s="12">
        <v>30921</v>
      </c>
      <c r="B1724">
        <v>7</v>
      </c>
      <c r="C1724" s="1">
        <v>45</v>
      </c>
      <c r="D1724">
        <v>0</v>
      </c>
      <c r="E1724">
        <v>0</v>
      </c>
      <c r="F1724">
        <v>1</v>
      </c>
      <c r="G1724" s="7">
        <v>0.05</v>
      </c>
      <c r="H1724">
        <v>12</v>
      </c>
      <c r="I1724">
        <v>0</v>
      </c>
      <c r="J1724">
        <v>0</v>
      </c>
      <c r="K1724">
        <v>0</v>
      </c>
      <c r="L1724">
        <v>1</v>
      </c>
      <c r="M1724">
        <v>2</v>
      </c>
      <c r="N1724" s="7">
        <v>9</v>
      </c>
      <c r="O1724" s="7">
        <v>0</v>
      </c>
      <c r="P1724" s="7">
        <v>0</v>
      </c>
      <c r="Q1724" s="7">
        <v>0</v>
      </c>
      <c r="R1724" s="7">
        <v>1</v>
      </c>
      <c r="S1724" s="7">
        <v>4.5</v>
      </c>
      <c r="T1724">
        <v>7</v>
      </c>
      <c r="U1724" s="1">
        <v>33</v>
      </c>
      <c r="V1724">
        <v>0</v>
      </c>
      <c r="W1724">
        <v>0</v>
      </c>
      <c r="X1724">
        <v>1</v>
      </c>
      <c r="Y1724">
        <v>0.16</v>
      </c>
      <c r="Z1724">
        <v>23</v>
      </c>
      <c r="AA1724">
        <v>0</v>
      </c>
      <c r="AB1724">
        <v>0</v>
      </c>
      <c r="AC1724">
        <v>0</v>
      </c>
      <c r="AD1724">
        <v>1</v>
      </c>
      <c r="AE1724">
        <v>0.05</v>
      </c>
      <c r="AF1724">
        <v>15</v>
      </c>
      <c r="AG1724">
        <v>0</v>
      </c>
      <c r="AH1724">
        <v>0</v>
      </c>
      <c r="AI1724">
        <v>0</v>
      </c>
      <c r="AJ1724">
        <v>1</v>
      </c>
      <c r="AK1724">
        <v>0.02</v>
      </c>
      <c r="AL1724">
        <v>16</v>
      </c>
      <c r="AM1724">
        <v>0</v>
      </c>
      <c r="AN1724">
        <v>0</v>
      </c>
      <c r="AO1724">
        <v>0</v>
      </c>
      <c r="AP1724">
        <v>1</v>
      </c>
      <c r="AQ1724">
        <v>0.01</v>
      </c>
      <c r="AX1724">
        <v>7</v>
      </c>
      <c r="AY1724" s="1">
        <v>17</v>
      </c>
      <c r="AZ1724">
        <v>0</v>
      </c>
      <c r="BA1724">
        <v>0</v>
      </c>
      <c r="BB1724">
        <v>1</v>
      </c>
      <c r="BC1724" s="7">
        <v>0.32</v>
      </c>
      <c r="BD1724">
        <v>30</v>
      </c>
      <c r="BE1724">
        <v>0</v>
      </c>
      <c r="BF1724">
        <v>0</v>
      </c>
      <c r="BG1724">
        <v>0</v>
      </c>
      <c r="BH1724">
        <v>5</v>
      </c>
      <c r="BI1724">
        <v>2.4</v>
      </c>
      <c r="BJ1724">
        <v>31</v>
      </c>
      <c r="BK1724">
        <v>0</v>
      </c>
      <c r="BL1724">
        <v>0</v>
      </c>
      <c r="BM1724">
        <v>0</v>
      </c>
      <c r="BN1724">
        <v>5</v>
      </c>
      <c r="BO1724">
        <v>2.4</v>
      </c>
      <c r="BP1724">
        <v>36</v>
      </c>
      <c r="BQ1724">
        <v>0</v>
      </c>
      <c r="BR1724">
        <v>0</v>
      </c>
      <c r="BS1724">
        <v>0</v>
      </c>
      <c r="BT1724">
        <v>5</v>
      </c>
      <c r="BU1724">
        <v>1.5</v>
      </c>
    </row>
    <row r="1725" spans="1:73" ht="14.25" x14ac:dyDescent="0.15">
      <c r="A1725" s="12">
        <v>30922</v>
      </c>
      <c r="B1725">
        <v>7</v>
      </c>
      <c r="C1725" s="1">
        <v>46</v>
      </c>
      <c r="D1725">
        <v>0</v>
      </c>
      <c r="E1725">
        <v>0</v>
      </c>
      <c r="F1725">
        <v>1</v>
      </c>
      <c r="G1725" s="7">
        <v>0.05</v>
      </c>
      <c r="H1725">
        <v>12</v>
      </c>
      <c r="I1725">
        <v>0</v>
      </c>
      <c r="J1725">
        <v>0</v>
      </c>
      <c r="K1725">
        <v>0</v>
      </c>
      <c r="L1725">
        <v>1</v>
      </c>
      <c r="M1725">
        <v>2</v>
      </c>
      <c r="N1725" s="7">
        <v>9</v>
      </c>
      <c r="O1725" s="7">
        <v>0</v>
      </c>
      <c r="P1725" s="7">
        <v>0</v>
      </c>
      <c r="Q1725" s="7">
        <v>0</v>
      </c>
      <c r="R1725" s="7">
        <v>1</v>
      </c>
      <c r="S1725" s="7">
        <v>4.5</v>
      </c>
      <c r="T1725">
        <v>7</v>
      </c>
      <c r="U1725" s="1">
        <v>34</v>
      </c>
      <c r="V1725">
        <v>0</v>
      </c>
      <c r="W1725">
        <v>0</v>
      </c>
      <c r="X1725">
        <v>1</v>
      </c>
      <c r="Y1725">
        <v>0.16</v>
      </c>
      <c r="Z1725">
        <v>23</v>
      </c>
      <c r="AA1725">
        <v>0</v>
      </c>
      <c r="AB1725">
        <v>0</v>
      </c>
      <c r="AC1725">
        <v>0</v>
      </c>
      <c r="AD1725">
        <v>1</v>
      </c>
      <c r="AE1725">
        <v>0.05</v>
      </c>
      <c r="AF1725">
        <v>15</v>
      </c>
      <c r="AG1725">
        <v>0</v>
      </c>
      <c r="AH1725">
        <v>0</v>
      </c>
      <c r="AI1725">
        <v>0</v>
      </c>
      <c r="AJ1725">
        <v>1</v>
      </c>
      <c r="AK1725">
        <v>0.02</v>
      </c>
      <c r="AL1725">
        <v>16</v>
      </c>
      <c r="AM1725">
        <v>0</v>
      </c>
      <c r="AN1725">
        <v>0</v>
      </c>
      <c r="AO1725">
        <v>0</v>
      </c>
      <c r="AP1725">
        <v>1</v>
      </c>
      <c r="AQ1725">
        <v>0.01</v>
      </c>
      <c r="AX1725">
        <v>7</v>
      </c>
      <c r="AY1725" s="1">
        <v>18</v>
      </c>
      <c r="AZ1725">
        <v>0</v>
      </c>
      <c r="BA1725">
        <v>0</v>
      </c>
      <c r="BB1725">
        <v>1</v>
      </c>
      <c r="BC1725" s="7">
        <v>0.32</v>
      </c>
      <c r="BD1725">
        <v>30</v>
      </c>
      <c r="BE1725">
        <v>0</v>
      </c>
      <c r="BF1725">
        <v>0</v>
      </c>
      <c r="BG1725">
        <v>0</v>
      </c>
      <c r="BH1725">
        <v>5</v>
      </c>
      <c r="BI1725">
        <v>2.4</v>
      </c>
      <c r="BJ1725">
        <v>31</v>
      </c>
      <c r="BK1725">
        <v>0</v>
      </c>
      <c r="BL1725">
        <v>0</v>
      </c>
      <c r="BM1725">
        <v>0</v>
      </c>
      <c r="BN1725">
        <v>5</v>
      </c>
      <c r="BO1725">
        <v>2.4</v>
      </c>
      <c r="BP1725">
        <v>36</v>
      </c>
      <c r="BQ1725">
        <v>0</v>
      </c>
      <c r="BR1725">
        <v>0</v>
      </c>
      <c r="BS1725">
        <v>0</v>
      </c>
      <c r="BT1725">
        <v>5</v>
      </c>
      <c r="BU1725">
        <v>1.5</v>
      </c>
    </row>
    <row r="1726" spans="1:73" ht="14.25" x14ac:dyDescent="0.15">
      <c r="A1726" s="12">
        <v>30923</v>
      </c>
      <c r="B1726">
        <v>7</v>
      </c>
      <c r="C1726" s="1">
        <v>47</v>
      </c>
      <c r="D1726">
        <v>0</v>
      </c>
      <c r="E1726">
        <v>0</v>
      </c>
      <c r="F1726">
        <v>1</v>
      </c>
      <c r="G1726" s="7">
        <v>0.05</v>
      </c>
      <c r="H1726">
        <v>12</v>
      </c>
      <c r="I1726">
        <v>0</v>
      </c>
      <c r="J1726">
        <v>0</v>
      </c>
      <c r="K1726">
        <v>0</v>
      </c>
      <c r="L1726">
        <v>1</v>
      </c>
      <c r="M1726">
        <v>2</v>
      </c>
      <c r="N1726" s="7">
        <v>9</v>
      </c>
      <c r="O1726" s="7">
        <v>0</v>
      </c>
      <c r="P1726" s="7">
        <v>0</v>
      </c>
      <c r="Q1726" s="7">
        <v>0</v>
      </c>
      <c r="R1726" s="7">
        <v>1</v>
      </c>
      <c r="S1726" s="7">
        <v>4.5</v>
      </c>
      <c r="T1726">
        <v>7</v>
      </c>
      <c r="U1726" s="1">
        <v>35</v>
      </c>
      <c r="V1726">
        <v>0</v>
      </c>
      <c r="W1726">
        <v>0</v>
      </c>
      <c r="X1726">
        <v>1</v>
      </c>
      <c r="Y1726">
        <v>0.16</v>
      </c>
      <c r="Z1726">
        <v>23</v>
      </c>
      <c r="AA1726">
        <v>0</v>
      </c>
      <c r="AB1726">
        <v>0</v>
      </c>
      <c r="AC1726">
        <v>0</v>
      </c>
      <c r="AD1726">
        <v>1</v>
      </c>
      <c r="AE1726">
        <v>0.05</v>
      </c>
      <c r="AF1726">
        <v>15</v>
      </c>
      <c r="AG1726">
        <v>0</v>
      </c>
      <c r="AH1726">
        <v>0</v>
      </c>
      <c r="AI1726">
        <v>0</v>
      </c>
      <c r="AJ1726">
        <v>1</v>
      </c>
      <c r="AK1726">
        <v>0.02</v>
      </c>
      <c r="AL1726">
        <v>16</v>
      </c>
      <c r="AM1726">
        <v>0</v>
      </c>
      <c r="AN1726">
        <v>0</v>
      </c>
      <c r="AO1726">
        <v>0</v>
      </c>
      <c r="AP1726">
        <v>1</v>
      </c>
      <c r="AQ1726">
        <v>0.01</v>
      </c>
      <c r="AX1726">
        <v>7</v>
      </c>
      <c r="AY1726" s="1">
        <v>19</v>
      </c>
      <c r="AZ1726">
        <v>0</v>
      </c>
      <c r="BA1726">
        <v>0</v>
      </c>
      <c r="BB1726">
        <v>1</v>
      </c>
      <c r="BC1726" s="7">
        <v>0.32</v>
      </c>
      <c r="BD1726">
        <v>30</v>
      </c>
      <c r="BE1726">
        <v>0</v>
      </c>
      <c r="BF1726">
        <v>0</v>
      </c>
      <c r="BG1726">
        <v>0</v>
      </c>
      <c r="BH1726">
        <v>5</v>
      </c>
      <c r="BI1726">
        <v>2.4</v>
      </c>
      <c r="BJ1726">
        <v>31</v>
      </c>
      <c r="BK1726">
        <v>0</v>
      </c>
      <c r="BL1726">
        <v>0</v>
      </c>
      <c r="BM1726">
        <v>0</v>
      </c>
      <c r="BN1726">
        <v>5</v>
      </c>
      <c r="BO1726">
        <v>2.4</v>
      </c>
      <c r="BP1726">
        <v>36</v>
      </c>
      <c r="BQ1726">
        <v>0</v>
      </c>
      <c r="BR1726">
        <v>0</v>
      </c>
      <c r="BS1726">
        <v>0</v>
      </c>
      <c r="BT1726">
        <v>5</v>
      </c>
      <c r="BU1726">
        <v>1.5</v>
      </c>
    </row>
    <row r="1727" spans="1:73" ht="14.25" x14ac:dyDescent="0.15">
      <c r="A1727" s="12">
        <v>30924</v>
      </c>
      <c r="B1727">
        <v>7</v>
      </c>
      <c r="C1727" s="1">
        <v>48</v>
      </c>
      <c r="D1727">
        <v>0</v>
      </c>
      <c r="E1727">
        <v>0</v>
      </c>
      <c r="F1727">
        <v>1</v>
      </c>
      <c r="G1727" s="7">
        <v>0.05</v>
      </c>
      <c r="H1727">
        <v>12</v>
      </c>
      <c r="I1727">
        <v>0</v>
      </c>
      <c r="J1727">
        <v>0</v>
      </c>
      <c r="K1727">
        <v>0</v>
      </c>
      <c r="L1727">
        <v>1</v>
      </c>
      <c r="M1727">
        <v>2</v>
      </c>
      <c r="N1727" s="7">
        <v>9</v>
      </c>
      <c r="O1727" s="7">
        <v>0</v>
      </c>
      <c r="P1727" s="7">
        <v>0</v>
      </c>
      <c r="Q1727" s="7">
        <v>0</v>
      </c>
      <c r="R1727" s="7">
        <v>1</v>
      </c>
      <c r="S1727" s="7">
        <v>4.5</v>
      </c>
      <c r="T1727">
        <v>7</v>
      </c>
      <c r="U1727" s="1">
        <v>36</v>
      </c>
      <c r="V1727">
        <v>0</v>
      </c>
      <c r="W1727">
        <v>0</v>
      </c>
      <c r="X1727">
        <v>1</v>
      </c>
      <c r="Y1727">
        <v>0.16</v>
      </c>
      <c r="Z1727">
        <v>23</v>
      </c>
      <c r="AA1727">
        <v>0</v>
      </c>
      <c r="AB1727">
        <v>0</v>
      </c>
      <c r="AC1727">
        <v>0</v>
      </c>
      <c r="AD1727">
        <v>1</v>
      </c>
      <c r="AE1727">
        <v>0.05</v>
      </c>
      <c r="AF1727">
        <v>15</v>
      </c>
      <c r="AG1727">
        <v>0</v>
      </c>
      <c r="AH1727">
        <v>0</v>
      </c>
      <c r="AI1727">
        <v>0</v>
      </c>
      <c r="AJ1727">
        <v>1</v>
      </c>
      <c r="AK1727">
        <v>0.02</v>
      </c>
      <c r="AL1727">
        <v>16</v>
      </c>
      <c r="AM1727">
        <v>0</v>
      </c>
      <c r="AN1727">
        <v>0</v>
      </c>
      <c r="AO1727">
        <v>0</v>
      </c>
      <c r="AP1727">
        <v>1</v>
      </c>
      <c r="AQ1727">
        <v>0.01</v>
      </c>
      <c r="AX1727">
        <v>7</v>
      </c>
      <c r="AY1727" s="1">
        <v>20</v>
      </c>
      <c r="AZ1727">
        <v>0</v>
      </c>
      <c r="BA1727">
        <v>0</v>
      </c>
      <c r="BB1727">
        <v>1</v>
      </c>
      <c r="BC1727" s="7">
        <v>0.32</v>
      </c>
      <c r="BD1727">
        <v>30</v>
      </c>
      <c r="BE1727">
        <v>0</v>
      </c>
      <c r="BF1727">
        <v>0</v>
      </c>
      <c r="BG1727">
        <v>0</v>
      </c>
      <c r="BH1727">
        <v>5</v>
      </c>
      <c r="BI1727">
        <v>2.4</v>
      </c>
      <c r="BJ1727">
        <v>31</v>
      </c>
      <c r="BK1727">
        <v>0</v>
      </c>
      <c r="BL1727">
        <v>0</v>
      </c>
      <c r="BM1727">
        <v>0</v>
      </c>
      <c r="BN1727">
        <v>5</v>
      </c>
      <c r="BO1727">
        <v>2.4</v>
      </c>
      <c r="BP1727">
        <v>36</v>
      </c>
      <c r="BQ1727">
        <v>0</v>
      </c>
      <c r="BR1727">
        <v>0</v>
      </c>
      <c r="BS1727">
        <v>0</v>
      </c>
      <c r="BT1727">
        <v>5</v>
      </c>
      <c r="BU1727">
        <v>1.5</v>
      </c>
    </row>
    <row r="1728" spans="1:73" ht="14.25" x14ac:dyDescent="0.15">
      <c r="A1728" s="12">
        <v>30925</v>
      </c>
      <c r="B1728">
        <v>7</v>
      </c>
      <c r="C1728" s="1">
        <v>0</v>
      </c>
      <c r="D1728">
        <v>5</v>
      </c>
      <c r="E1728">
        <v>1</v>
      </c>
      <c r="F1728">
        <v>1</v>
      </c>
      <c r="G1728" s="7">
        <v>0.05</v>
      </c>
      <c r="H1728">
        <v>12</v>
      </c>
      <c r="I1728">
        <v>0</v>
      </c>
      <c r="J1728">
        <v>0</v>
      </c>
      <c r="K1728">
        <v>0</v>
      </c>
      <c r="L1728">
        <v>1</v>
      </c>
      <c r="M1728">
        <v>2</v>
      </c>
      <c r="N1728" s="7">
        <v>9</v>
      </c>
      <c r="O1728" s="7">
        <v>0</v>
      </c>
      <c r="P1728" s="7">
        <v>0</v>
      </c>
      <c r="Q1728" s="7">
        <v>0</v>
      </c>
      <c r="R1728" s="7">
        <v>1</v>
      </c>
      <c r="S1728" s="7">
        <v>4.5</v>
      </c>
      <c r="T1728">
        <v>7</v>
      </c>
      <c r="U1728" s="1">
        <v>0</v>
      </c>
      <c r="V1728">
        <v>4</v>
      </c>
      <c r="W1728">
        <v>2</v>
      </c>
      <c r="X1728">
        <v>1</v>
      </c>
      <c r="Y1728">
        <v>0.16</v>
      </c>
      <c r="Z1728">
        <v>23</v>
      </c>
      <c r="AA1728">
        <v>0</v>
      </c>
      <c r="AB1728">
        <v>0</v>
      </c>
      <c r="AC1728">
        <v>0</v>
      </c>
      <c r="AD1728">
        <v>1</v>
      </c>
      <c r="AE1728">
        <v>0.05</v>
      </c>
      <c r="AF1728">
        <v>15</v>
      </c>
      <c r="AG1728">
        <v>0</v>
      </c>
      <c r="AH1728">
        <v>0</v>
      </c>
      <c r="AI1728">
        <v>0</v>
      </c>
      <c r="AJ1728">
        <v>1</v>
      </c>
      <c r="AK1728">
        <v>0.02</v>
      </c>
      <c r="AL1728">
        <v>16</v>
      </c>
      <c r="AM1728">
        <v>0</v>
      </c>
      <c r="AN1728">
        <v>0</v>
      </c>
      <c r="AO1728">
        <v>0</v>
      </c>
      <c r="AP1728">
        <v>1</v>
      </c>
      <c r="AQ1728">
        <v>0.01</v>
      </c>
      <c r="AR1728">
        <v>6</v>
      </c>
      <c r="AS1728">
        <v>2</v>
      </c>
      <c r="AT1728">
        <v>5</v>
      </c>
      <c r="AU1728">
        <v>5</v>
      </c>
      <c r="AV1728">
        <v>1</v>
      </c>
      <c r="AW1728">
        <v>0.01</v>
      </c>
      <c r="AX1728">
        <v>7</v>
      </c>
      <c r="AY1728" s="1">
        <v>0</v>
      </c>
      <c r="AZ1728">
        <v>3</v>
      </c>
      <c r="BA1728">
        <v>1</v>
      </c>
      <c r="BB1728">
        <v>1</v>
      </c>
      <c r="BC1728" s="7">
        <v>0.32</v>
      </c>
      <c r="BD1728">
        <v>30</v>
      </c>
      <c r="BE1728">
        <v>0</v>
      </c>
      <c r="BF1728">
        <v>0</v>
      </c>
      <c r="BG1728">
        <v>0</v>
      </c>
      <c r="BH1728">
        <v>5</v>
      </c>
      <c r="BI1728">
        <v>2.4</v>
      </c>
      <c r="BJ1728">
        <v>31</v>
      </c>
      <c r="BK1728">
        <v>0</v>
      </c>
      <c r="BL1728">
        <v>0</v>
      </c>
      <c r="BM1728">
        <v>0</v>
      </c>
      <c r="BN1728">
        <v>5</v>
      </c>
      <c r="BO1728">
        <v>2.4</v>
      </c>
      <c r="BP1728">
        <v>36</v>
      </c>
      <c r="BQ1728">
        <v>0</v>
      </c>
      <c r="BR1728">
        <v>0</v>
      </c>
      <c r="BS1728">
        <v>0</v>
      </c>
      <c r="BT1728">
        <v>5</v>
      </c>
      <c r="BU1728">
        <v>1.5</v>
      </c>
    </row>
    <row r="1729" spans="1:73" ht="14.25" x14ac:dyDescent="0.15">
      <c r="A1729" s="12">
        <v>30926</v>
      </c>
      <c r="B1729">
        <v>7</v>
      </c>
      <c r="C1729" s="1">
        <v>45</v>
      </c>
      <c r="D1729">
        <v>0</v>
      </c>
      <c r="E1729">
        <v>0</v>
      </c>
      <c r="F1729">
        <v>1</v>
      </c>
      <c r="G1729" s="7">
        <v>0.05</v>
      </c>
      <c r="H1729">
        <v>12</v>
      </c>
      <c r="I1729">
        <v>0</v>
      </c>
      <c r="J1729">
        <v>0</v>
      </c>
      <c r="K1729">
        <v>0</v>
      </c>
      <c r="L1729">
        <v>1</v>
      </c>
      <c r="M1729">
        <v>2</v>
      </c>
      <c r="N1729" s="7">
        <v>9</v>
      </c>
      <c r="O1729" s="7">
        <v>0</v>
      </c>
      <c r="P1729" s="7">
        <v>0</v>
      </c>
      <c r="Q1729" s="7">
        <v>0</v>
      </c>
      <c r="R1729" s="7">
        <v>1</v>
      </c>
      <c r="S1729" s="7">
        <v>4.5</v>
      </c>
      <c r="T1729">
        <v>7</v>
      </c>
      <c r="U1729" s="1">
        <v>33</v>
      </c>
      <c r="V1729">
        <v>0</v>
      </c>
      <c r="W1729">
        <v>0</v>
      </c>
      <c r="X1729">
        <v>1</v>
      </c>
      <c r="Y1729">
        <v>0.16</v>
      </c>
      <c r="Z1729">
        <v>23</v>
      </c>
      <c r="AA1729">
        <v>0</v>
      </c>
      <c r="AB1729">
        <v>0</v>
      </c>
      <c r="AC1729">
        <v>0</v>
      </c>
      <c r="AD1729">
        <v>1</v>
      </c>
      <c r="AE1729">
        <v>0.05</v>
      </c>
      <c r="AF1729">
        <v>15</v>
      </c>
      <c r="AG1729">
        <v>0</v>
      </c>
      <c r="AH1729">
        <v>0</v>
      </c>
      <c r="AI1729">
        <v>0</v>
      </c>
      <c r="AJ1729">
        <v>1</v>
      </c>
      <c r="AK1729">
        <v>0.02</v>
      </c>
      <c r="AL1729">
        <v>16</v>
      </c>
      <c r="AM1729">
        <v>0</v>
      </c>
      <c r="AN1729">
        <v>0</v>
      </c>
      <c r="AO1729">
        <v>0</v>
      </c>
      <c r="AP1729">
        <v>1</v>
      </c>
      <c r="AQ1729">
        <v>0.01</v>
      </c>
      <c r="AX1729">
        <v>7</v>
      </c>
      <c r="AY1729" s="1">
        <v>17</v>
      </c>
      <c r="AZ1729">
        <v>0</v>
      </c>
      <c r="BA1729">
        <v>0</v>
      </c>
      <c r="BB1729">
        <v>1</v>
      </c>
      <c r="BC1729" s="7">
        <v>0.32</v>
      </c>
      <c r="BD1729">
        <v>30</v>
      </c>
      <c r="BE1729">
        <v>0</v>
      </c>
      <c r="BF1729">
        <v>0</v>
      </c>
      <c r="BG1729">
        <v>0</v>
      </c>
      <c r="BH1729">
        <v>5</v>
      </c>
      <c r="BI1729">
        <v>2.4</v>
      </c>
      <c r="BJ1729">
        <v>31</v>
      </c>
      <c r="BK1729">
        <v>0</v>
      </c>
      <c r="BL1729">
        <v>0</v>
      </c>
      <c r="BM1729">
        <v>0</v>
      </c>
      <c r="BN1729">
        <v>5</v>
      </c>
      <c r="BO1729">
        <v>2.4</v>
      </c>
      <c r="BP1729">
        <v>36</v>
      </c>
      <c r="BQ1729">
        <v>0</v>
      </c>
      <c r="BR1729">
        <v>0</v>
      </c>
      <c r="BS1729">
        <v>0</v>
      </c>
      <c r="BT1729">
        <v>5</v>
      </c>
      <c r="BU1729">
        <v>1.5</v>
      </c>
    </row>
    <row r="1730" spans="1:73" ht="14.25" x14ac:dyDescent="0.15">
      <c r="A1730" s="12">
        <v>30927</v>
      </c>
      <c r="B1730">
        <v>7</v>
      </c>
      <c r="C1730" s="1">
        <v>46</v>
      </c>
      <c r="D1730">
        <v>0</v>
      </c>
      <c r="E1730">
        <v>0</v>
      </c>
      <c r="F1730">
        <v>1</v>
      </c>
      <c r="G1730" s="7">
        <v>0.05</v>
      </c>
      <c r="H1730">
        <v>12</v>
      </c>
      <c r="I1730">
        <v>0</v>
      </c>
      <c r="J1730">
        <v>0</v>
      </c>
      <c r="K1730">
        <v>0</v>
      </c>
      <c r="L1730">
        <v>1</v>
      </c>
      <c r="M1730">
        <v>2</v>
      </c>
      <c r="N1730" s="7">
        <v>9</v>
      </c>
      <c r="O1730" s="7">
        <v>0</v>
      </c>
      <c r="P1730" s="7">
        <v>0</v>
      </c>
      <c r="Q1730" s="7">
        <v>0</v>
      </c>
      <c r="R1730" s="7">
        <v>1</v>
      </c>
      <c r="S1730" s="7">
        <v>4.5</v>
      </c>
      <c r="T1730">
        <v>7</v>
      </c>
      <c r="U1730" s="1">
        <v>34</v>
      </c>
      <c r="V1730">
        <v>0</v>
      </c>
      <c r="W1730">
        <v>0</v>
      </c>
      <c r="X1730">
        <v>1</v>
      </c>
      <c r="Y1730">
        <v>0.16</v>
      </c>
      <c r="Z1730">
        <v>23</v>
      </c>
      <c r="AA1730">
        <v>0</v>
      </c>
      <c r="AB1730">
        <v>0</v>
      </c>
      <c r="AC1730">
        <v>0</v>
      </c>
      <c r="AD1730">
        <v>1</v>
      </c>
      <c r="AE1730">
        <v>0.05</v>
      </c>
      <c r="AF1730">
        <v>15</v>
      </c>
      <c r="AG1730">
        <v>0</v>
      </c>
      <c r="AH1730">
        <v>0</v>
      </c>
      <c r="AI1730">
        <v>0</v>
      </c>
      <c r="AJ1730">
        <v>1</v>
      </c>
      <c r="AK1730">
        <v>0.02</v>
      </c>
      <c r="AL1730">
        <v>16</v>
      </c>
      <c r="AM1730">
        <v>0</v>
      </c>
      <c r="AN1730">
        <v>0</v>
      </c>
      <c r="AO1730">
        <v>0</v>
      </c>
      <c r="AP1730">
        <v>1</v>
      </c>
      <c r="AQ1730">
        <v>0.01</v>
      </c>
      <c r="AX1730">
        <v>7</v>
      </c>
      <c r="AY1730" s="1">
        <v>18</v>
      </c>
      <c r="AZ1730">
        <v>0</v>
      </c>
      <c r="BA1730">
        <v>0</v>
      </c>
      <c r="BB1730">
        <v>1</v>
      </c>
      <c r="BC1730" s="7">
        <v>0.32</v>
      </c>
      <c r="BD1730">
        <v>30</v>
      </c>
      <c r="BE1730">
        <v>0</v>
      </c>
      <c r="BF1730">
        <v>0</v>
      </c>
      <c r="BG1730">
        <v>0</v>
      </c>
      <c r="BH1730">
        <v>5</v>
      </c>
      <c r="BI1730">
        <v>2.4</v>
      </c>
      <c r="BJ1730">
        <v>31</v>
      </c>
      <c r="BK1730">
        <v>0</v>
      </c>
      <c r="BL1730">
        <v>0</v>
      </c>
      <c r="BM1730">
        <v>0</v>
      </c>
      <c r="BN1730">
        <v>5</v>
      </c>
      <c r="BO1730">
        <v>2.4</v>
      </c>
      <c r="BP1730">
        <v>36</v>
      </c>
      <c r="BQ1730">
        <v>0</v>
      </c>
      <c r="BR1730">
        <v>0</v>
      </c>
      <c r="BS1730">
        <v>0</v>
      </c>
      <c r="BT1730">
        <v>5</v>
      </c>
      <c r="BU1730">
        <v>1.5</v>
      </c>
    </row>
    <row r="1731" spans="1:73" ht="14.25" x14ac:dyDescent="0.15">
      <c r="A1731" s="12">
        <v>30928</v>
      </c>
      <c r="B1731">
        <v>7</v>
      </c>
      <c r="C1731" s="1">
        <v>47</v>
      </c>
      <c r="D1731">
        <v>0</v>
      </c>
      <c r="E1731">
        <v>0</v>
      </c>
      <c r="F1731">
        <v>1</v>
      </c>
      <c r="G1731" s="7">
        <v>0.05</v>
      </c>
      <c r="H1731">
        <v>12</v>
      </c>
      <c r="I1731">
        <v>0</v>
      </c>
      <c r="J1731">
        <v>0</v>
      </c>
      <c r="K1731">
        <v>0</v>
      </c>
      <c r="L1731">
        <v>1</v>
      </c>
      <c r="M1731">
        <v>2</v>
      </c>
      <c r="N1731" s="7">
        <v>9</v>
      </c>
      <c r="O1731" s="7">
        <v>0</v>
      </c>
      <c r="P1731" s="7">
        <v>0</v>
      </c>
      <c r="Q1731" s="7">
        <v>0</v>
      </c>
      <c r="R1731" s="7">
        <v>1</v>
      </c>
      <c r="S1731" s="7">
        <v>4.5</v>
      </c>
      <c r="T1731">
        <v>7</v>
      </c>
      <c r="U1731" s="1">
        <v>35</v>
      </c>
      <c r="V1731">
        <v>0</v>
      </c>
      <c r="W1731">
        <v>0</v>
      </c>
      <c r="X1731">
        <v>1</v>
      </c>
      <c r="Y1731">
        <v>0.16</v>
      </c>
      <c r="Z1731">
        <v>23</v>
      </c>
      <c r="AA1731">
        <v>0</v>
      </c>
      <c r="AB1731">
        <v>0</v>
      </c>
      <c r="AC1731">
        <v>0</v>
      </c>
      <c r="AD1731">
        <v>1</v>
      </c>
      <c r="AE1731">
        <v>0.05</v>
      </c>
      <c r="AF1731">
        <v>15</v>
      </c>
      <c r="AG1731">
        <v>0</v>
      </c>
      <c r="AH1731">
        <v>0</v>
      </c>
      <c r="AI1731">
        <v>0</v>
      </c>
      <c r="AJ1731">
        <v>1</v>
      </c>
      <c r="AK1731">
        <v>0.02</v>
      </c>
      <c r="AL1731">
        <v>16</v>
      </c>
      <c r="AM1731">
        <v>0</v>
      </c>
      <c r="AN1731">
        <v>0</v>
      </c>
      <c r="AO1731">
        <v>0</v>
      </c>
      <c r="AP1731">
        <v>1</v>
      </c>
      <c r="AQ1731">
        <v>0.01</v>
      </c>
      <c r="AX1731">
        <v>7</v>
      </c>
      <c r="AY1731" s="1">
        <v>19</v>
      </c>
      <c r="AZ1731">
        <v>0</v>
      </c>
      <c r="BA1731">
        <v>0</v>
      </c>
      <c r="BB1731">
        <v>1</v>
      </c>
      <c r="BC1731" s="7">
        <v>0.32</v>
      </c>
      <c r="BD1731">
        <v>30</v>
      </c>
      <c r="BE1731">
        <v>0</v>
      </c>
      <c r="BF1731">
        <v>0</v>
      </c>
      <c r="BG1731">
        <v>0</v>
      </c>
      <c r="BH1731">
        <v>5</v>
      </c>
      <c r="BI1731">
        <v>2.4</v>
      </c>
      <c r="BJ1731">
        <v>31</v>
      </c>
      <c r="BK1731">
        <v>0</v>
      </c>
      <c r="BL1731">
        <v>0</v>
      </c>
      <c r="BM1731">
        <v>0</v>
      </c>
      <c r="BN1731">
        <v>5</v>
      </c>
      <c r="BO1731">
        <v>2.4</v>
      </c>
      <c r="BP1731">
        <v>36</v>
      </c>
      <c r="BQ1731">
        <v>0</v>
      </c>
      <c r="BR1731">
        <v>0</v>
      </c>
      <c r="BS1731">
        <v>0</v>
      </c>
      <c r="BT1731">
        <v>5</v>
      </c>
      <c r="BU1731">
        <v>1.5</v>
      </c>
    </row>
    <row r="1732" spans="1:73" ht="14.25" x14ac:dyDescent="0.15">
      <c r="A1732" s="12">
        <v>30929</v>
      </c>
      <c r="B1732">
        <v>7</v>
      </c>
      <c r="C1732" s="1">
        <v>48</v>
      </c>
      <c r="D1732">
        <v>0</v>
      </c>
      <c r="E1732">
        <v>0</v>
      </c>
      <c r="F1732">
        <v>1</v>
      </c>
      <c r="G1732" s="7">
        <v>0.05</v>
      </c>
      <c r="H1732">
        <v>12</v>
      </c>
      <c r="I1732">
        <v>0</v>
      </c>
      <c r="J1732">
        <v>0</v>
      </c>
      <c r="K1732">
        <v>0</v>
      </c>
      <c r="L1732">
        <v>1</v>
      </c>
      <c r="M1732">
        <v>2</v>
      </c>
      <c r="N1732" s="7">
        <v>9</v>
      </c>
      <c r="O1732" s="7">
        <v>0</v>
      </c>
      <c r="P1732" s="7">
        <v>0</v>
      </c>
      <c r="Q1732" s="7">
        <v>0</v>
      </c>
      <c r="R1732" s="7">
        <v>1</v>
      </c>
      <c r="S1732" s="7">
        <v>4.5</v>
      </c>
      <c r="T1732">
        <v>7</v>
      </c>
      <c r="U1732" s="1">
        <v>36</v>
      </c>
      <c r="V1732">
        <v>0</v>
      </c>
      <c r="W1732">
        <v>0</v>
      </c>
      <c r="X1732">
        <v>1</v>
      </c>
      <c r="Y1732">
        <v>0.16</v>
      </c>
      <c r="Z1732">
        <v>23</v>
      </c>
      <c r="AA1732">
        <v>0</v>
      </c>
      <c r="AB1732">
        <v>0</v>
      </c>
      <c r="AC1732">
        <v>0</v>
      </c>
      <c r="AD1732">
        <v>1</v>
      </c>
      <c r="AE1732">
        <v>0.05</v>
      </c>
      <c r="AF1732">
        <v>15</v>
      </c>
      <c r="AG1732">
        <v>0</v>
      </c>
      <c r="AH1732">
        <v>0</v>
      </c>
      <c r="AI1732">
        <v>0</v>
      </c>
      <c r="AJ1732">
        <v>1</v>
      </c>
      <c r="AK1732">
        <v>0.02</v>
      </c>
      <c r="AL1732">
        <v>16</v>
      </c>
      <c r="AM1732">
        <v>0</v>
      </c>
      <c r="AN1732">
        <v>0</v>
      </c>
      <c r="AO1732">
        <v>0</v>
      </c>
      <c r="AP1732">
        <v>1</v>
      </c>
      <c r="AQ1732">
        <v>0.01</v>
      </c>
      <c r="AX1732">
        <v>7</v>
      </c>
      <c r="AY1732" s="1">
        <v>20</v>
      </c>
      <c r="AZ1732">
        <v>0</v>
      </c>
      <c r="BA1732">
        <v>0</v>
      </c>
      <c r="BB1732">
        <v>1</v>
      </c>
      <c r="BC1732" s="7">
        <v>0.32</v>
      </c>
      <c r="BD1732">
        <v>30</v>
      </c>
      <c r="BE1732">
        <v>0</v>
      </c>
      <c r="BF1732">
        <v>0</v>
      </c>
      <c r="BG1732">
        <v>0</v>
      </c>
      <c r="BH1732">
        <v>5</v>
      </c>
      <c r="BI1732">
        <v>2.4</v>
      </c>
      <c r="BJ1732">
        <v>31</v>
      </c>
      <c r="BK1732">
        <v>0</v>
      </c>
      <c r="BL1732">
        <v>0</v>
      </c>
      <c r="BM1732">
        <v>0</v>
      </c>
      <c r="BN1732">
        <v>5</v>
      </c>
      <c r="BO1732">
        <v>2.4</v>
      </c>
      <c r="BP1732">
        <v>36</v>
      </c>
      <c r="BQ1732">
        <v>0</v>
      </c>
      <c r="BR1732">
        <v>0</v>
      </c>
      <c r="BS1732">
        <v>0</v>
      </c>
      <c r="BT1732">
        <v>5</v>
      </c>
      <c r="BU1732">
        <v>1.5</v>
      </c>
    </row>
    <row r="1733" spans="1:73" ht="14.25" x14ac:dyDescent="0.15">
      <c r="A1733" s="12">
        <v>30930</v>
      </c>
      <c r="B1733">
        <v>7</v>
      </c>
      <c r="C1733" s="1">
        <v>0</v>
      </c>
      <c r="D1733">
        <v>5</v>
      </c>
      <c r="E1733">
        <v>1</v>
      </c>
      <c r="F1733">
        <v>1</v>
      </c>
      <c r="G1733" s="7">
        <v>0.05</v>
      </c>
      <c r="H1733">
        <v>12</v>
      </c>
      <c r="I1733">
        <v>0</v>
      </c>
      <c r="J1733">
        <v>0</v>
      </c>
      <c r="K1733">
        <v>0</v>
      </c>
      <c r="L1733">
        <v>1</v>
      </c>
      <c r="M1733">
        <v>2</v>
      </c>
      <c r="N1733" s="7">
        <v>9</v>
      </c>
      <c r="O1733" s="7">
        <v>0</v>
      </c>
      <c r="P1733" s="7">
        <v>0</v>
      </c>
      <c r="Q1733" s="7">
        <v>0</v>
      </c>
      <c r="R1733" s="7">
        <v>1</v>
      </c>
      <c r="S1733" s="7">
        <v>4.5</v>
      </c>
      <c r="T1733">
        <v>7</v>
      </c>
      <c r="U1733" s="1">
        <v>0</v>
      </c>
      <c r="V1733">
        <v>4</v>
      </c>
      <c r="W1733">
        <v>2</v>
      </c>
      <c r="X1733">
        <v>1</v>
      </c>
      <c r="Y1733">
        <v>0.16</v>
      </c>
      <c r="Z1733">
        <v>23</v>
      </c>
      <c r="AA1733">
        <v>0</v>
      </c>
      <c r="AB1733">
        <v>0</v>
      </c>
      <c r="AC1733">
        <v>0</v>
      </c>
      <c r="AD1733">
        <v>1</v>
      </c>
      <c r="AE1733">
        <v>0.05</v>
      </c>
      <c r="AF1733">
        <v>15</v>
      </c>
      <c r="AG1733">
        <v>0</v>
      </c>
      <c r="AH1733">
        <v>0</v>
      </c>
      <c r="AI1733">
        <v>0</v>
      </c>
      <c r="AJ1733">
        <v>1</v>
      </c>
      <c r="AK1733">
        <v>0.02</v>
      </c>
      <c r="AL1733">
        <v>16</v>
      </c>
      <c r="AM1733">
        <v>0</v>
      </c>
      <c r="AN1733">
        <v>0</v>
      </c>
      <c r="AO1733">
        <v>0</v>
      </c>
      <c r="AP1733">
        <v>1</v>
      </c>
      <c r="AQ1733">
        <v>0.01</v>
      </c>
      <c r="AR1733">
        <v>6</v>
      </c>
      <c r="AS1733">
        <v>2</v>
      </c>
      <c r="AT1733">
        <v>1</v>
      </c>
      <c r="AU1733">
        <v>5</v>
      </c>
      <c r="AV1733">
        <v>1</v>
      </c>
      <c r="AW1733">
        <v>0.05</v>
      </c>
      <c r="AX1733">
        <v>7</v>
      </c>
      <c r="AY1733" s="1">
        <v>0</v>
      </c>
      <c r="AZ1733">
        <v>3</v>
      </c>
      <c r="BA1733">
        <v>1</v>
      </c>
      <c r="BB1733">
        <v>1</v>
      </c>
      <c r="BC1733" s="7">
        <v>0.32</v>
      </c>
      <c r="BD1733">
        <v>30</v>
      </c>
      <c r="BE1733">
        <v>0</v>
      </c>
      <c r="BF1733">
        <v>0</v>
      </c>
      <c r="BG1733">
        <v>0</v>
      </c>
      <c r="BH1733">
        <v>5</v>
      </c>
      <c r="BI1733">
        <v>2.4</v>
      </c>
      <c r="BJ1733">
        <v>31</v>
      </c>
      <c r="BK1733">
        <v>0</v>
      </c>
      <c r="BL1733">
        <v>0</v>
      </c>
      <c r="BM1733">
        <v>0</v>
      </c>
      <c r="BN1733">
        <v>5</v>
      </c>
      <c r="BO1733">
        <v>2.4</v>
      </c>
      <c r="BP1733">
        <v>36</v>
      </c>
      <c r="BQ1733">
        <v>0</v>
      </c>
      <c r="BR1733">
        <v>0</v>
      </c>
      <c r="BS1733">
        <v>0</v>
      </c>
      <c r="BT1733">
        <v>5</v>
      </c>
      <c r="BU1733">
        <v>1.5</v>
      </c>
    </row>
    <row r="1734" spans="1:73" ht="14.25" x14ac:dyDescent="0.15">
      <c r="A1734" s="12">
        <v>30931</v>
      </c>
      <c r="B1734">
        <v>7</v>
      </c>
      <c r="C1734" s="1">
        <v>45</v>
      </c>
      <c r="D1734">
        <v>0</v>
      </c>
      <c r="E1734">
        <v>0</v>
      </c>
      <c r="F1734">
        <v>1</v>
      </c>
      <c r="G1734" s="7">
        <v>0.05</v>
      </c>
      <c r="H1734">
        <v>12</v>
      </c>
      <c r="I1734">
        <v>0</v>
      </c>
      <c r="J1734">
        <v>0</v>
      </c>
      <c r="K1734">
        <v>0</v>
      </c>
      <c r="L1734">
        <v>1</v>
      </c>
      <c r="M1734">
        <v>2</v>
      </c>
      <c r="N1734" s="7">
        <v>9</v>
      </c>
      <c r="O1734" s="7">
        <v>0</v>
      </c>
      <c r="P1734" s="7">
        <v>0</v>
      </c>
      <c r="Q1734" s="7">
        <v>0</v>
      </c>
      <c r="R1734" s="7">
        <v>1</v>
      </c>
      <c r="S1734" s="7">
        <v>4.5</v>
      </c>
      <c r="T1734">
        <v>7</v>
      </c>
      <c r="U1734" s="1">
        <v>33</v>
      </c>
      <c r="V1734">
        <v>0</v>
      </c>
      <c r="W1734">
        <v>0</v>
      </c>
      <c r="X1734">
        <v>1</v>
      </c>
      <c r="Y1734">
        <v>0.16</v>
      </c>
      <c r="Z1734">
        <v>23</v>
      </c>
      <c r="AA1734">
        <v>0</v>
      </c>
      <c r="AB1734">
        <v>0</v>
      </c>
      <c r="AC1734">
        <v>0</v>
      </c>
      <c r="AD1734">
        <v>1</v>
      </c>
      <c r="AE1734">
        <v>0.05</v>
      </c>
      <c r="AF1734">
        <v>15</v>
      </c>
      <c r="AG1734">
        <v>0</v>
      </c>
      <c r="AH1734">
        <v>0</v>
      </c>
      <c r="AI1734">
        <v>0</v>
      </c>
      <c r="AJ1734">
        <v>1</v>
      </c>
      <c r="AK1734">
        <v>0.02</v>
      </c>
      <c r="AL1734">
        <v>16</v>
      </c>
      <c r="AM1734">
        <v>0</v>
      </c>
      <c r="AN1734">
        <v>0</v>
      </c>
      <c r="AO1734">
        <v>0</v>
      </c>
      <c r="AP1734">
        <v>1</v>
      </c>
      <c r="AQ1734">
        <v>0.01</v>
      </c>
      <c r="AX1734">
        <v>7</v>
      </c>
      <c r="AY1734" s="1">
        <v>17</v>
      </c>
      <c r="AZ1734">
        <v>0</v>
      </c>
      <c r="BA1734">
        <v>0</v>
      </c>
      <c r="BB1734">
        <v>1</v>
      </c>
      <c r="BC1734" s="7">
        <v>0.32</v>
      </c>
      <c r="BD1734">
        <v>30</v>
      </c>
      <c r="BE1734">
        <v>0</v>
      </c>
      <c r="BF1734">
        <v>0</v>
      </c>
      <c r="BG1734">
        <v>0</v>
      </c>
      <c r="BH1734">
        <v>5</v>
      </c>
      <c r="BI1734">
        <v>2.4</v>
      </c>
      <c r="BJ1734">
        <v>31</v>
      </c>
      <c r="BK1734">
        <v>0</v>
      </c>
      <c r="BL1734">
        <v>0</v>
      </c>
      <c r="BM1734">
        <v>0</v>
      </c>
      <c r="BN1734">
        <v>5</v>
      </c>
      <c r="BO1734">
        <v>2.4</v>
      </c>
      <c r="BP1734">
        <v>36</v>
      </c>
      <c r="BQ1734">
        <v>0</v>
      </c>
      <c r="BR1734">
        <v>0</v>
      </c>
      <c r="BS1734">
        <v>0</v>
      </c>
      <c r="BT1734">
        <v>5</v>
      </c>
      <c r="BU1734">
        <v>1.5</v>
      </c>
    </row>
    <row r="1735" spans="1:73" ht="14.25" x14ac:dyDescent="0.15">
      <c r="A1735" s="12">
        <v>30932</v>
      </c>
      <c r="B1735">
        <v>7</v>
      </c>
      <c r="C1735" s="1">
        <v>46</v>
      </c>
      <c r="D1735">
        <v>0</v>
      </c>
      <c r="E1735">
        <v>0</v>
      </c>
      <c r="F1735">
        <v>1</v>
      </c>
      <c r="G1735" s="7">
        <v>0.05</v>
      </c>
      <c r="H1735">
        <v>12</v>
      </c>
      <c r="I1735">
        <v>0</v>
      </c>
      <c r="J1735">
        <v>0</v>
      </c>
      <c r="K1735">
        <v>0</v>
      </c>
      <c r="L1735">
        <v>1</v>
      </c>
      <c r="M1735">
        <v>2</v>
      </c>
      <c r="N1735" s="7">
        <v>9</v>
      </c>
      <c r="O1735" s="7">
        <v>0</v>
      </c>
      <c r="P1735" s="7">
        <v>0</v>
      </c>
      <c r="Q1735" s="7">
        <v>0</v>
      </c>
      <c r="R1735" s="7">
        <v>1</v>
      </c>
      <c r="S1735" s="7">
        <v>4.5</v>
      </c>
      <c r="T1735">
        <v>7</v>
      </c>
      <c r="U1735" s="1">
        <v>34</v>
      </c>
      <c r="V1735">
        <v>0</v>
      </c>
      <c r="W1735">
        <v>0</v>
      </c>
      <c r="X1735">
        <v>1</v>
      </c>
      <c r="Y1735">
        <v>0.16</v>
      </c>
      <c r="Z1735">
        <v>23</v>
      </c>
      <c r="AA1735">
        <v>0</v>
      </c>
      <c r="AB1735">
        <v>0</v>
      </c>
      <c r="AC1735">
        <v>0</v>
      </c>
      <c r="AD1735">
        <v>1</v>
      </c>
      <c r="AE1735">
        <v>0.05</v>
      </c>
      <c r="AF1735">
        <v>15</v>
      </c>
      <c r="AG1735">
        <v>0</v>
      </c>
      <c r="AH1735">
        <v>0</v>
      </c>
      <c r="AI1735">
        <v>0</v>
      </c>
      <c r="AJ1735">
        <v>1</v>
      </c>
      <c r="AK1735">
        <v>0.02</v>
      </c>
      <c r="AL1735">
        <v>16</v>
      </c>
      <c r="AM1735">
        <v>0</v>
      </c>
      <c r="AN1735">
        <v>0</v>
      </c>
      <c r="AO1735">
        <v>0</v>
      </c>
      <c r="AP1735">
        <v>1</v>
      </c>
      <c r="AQ1735">
        <v>0.01</v>
      </c>
      <c r="AX1735">
        <v>7</v>
      </c>
      <c r="AY1735" s="1">
        <v>18</v>
      </c>
      <c r="AZ1735">
        <v>0</v>
      </c>
      <c r="BA1735">
        <v>0</v>
      </c>
      <c r="BB1735">
        <v>1</v>
      </c>
      <c r="BC1735" s="7">
        <v>0.32</v>
      </c>
      <c r="BD1735">
        <v>30</v>
      </c>
      <c r="BE1735">
        <v>0</v>
      </c>
      <c r="BF1735">
        <v>0</v>
      </c>
      <c r="BG1735">
        <v>0</v>
      </c>
      <c r="BH1735">
        <v>5</v>
      </c>
      <c r="BI1735">
        <v>2.4</v>
      </c>
      <c r="BJ1735">
        <v>31</v>
      </c>
      <c r="BK1735">
        <v>0</v>
      </c>
      <c r="BL1735">
        <v>0</v>
      </c>
      <c r="BM1735">
        <v>0</v>
      </c>
      <c r="BN1735">
        <v>5</v>
      </c>
      <c r="BO1735">
        <v>2.4</v>
      </c>
      <c r="BP1735">
        <v>36</v>
      </c>
      <c r="BQ1735">
        <v>0</v>
      </c>
      <c r="BR1735">
        <v>0</v>
      </c>
      <c r="BS1735">
        <v>0</v>
      </c>
      <c r="BT1735">
        <v>5</v>
      </c>
      <c r="BU1735">
        <v>1.5</v>
      </c>
    </row>
    <row r="1736" spans="1:73" ht="14.25" x14ac:dyDescent="0.15">
      <c r="A1736" s="12">
        <v>30933</v>
      </c>
      <c r="B1736">
        <v>7</v>
      </c>
      <c r="C1736" s="1">
        <v>47</v>
      </c>
      <c r="D1736">
        <v>0</v>
      </c>
      <c r="E1736">
        <v>0</v>
      </c>
      <c r="F1736">
        <v>1</v>
      </c>
      <c r="G1736" s="7">
        <v>0.05</v>
      </c>
      <c r="H1736">
        <v>12</v>
      </c>
      <c r="I1736">
        <v>0</v>
      </c>
      <c r="J1736">
        <v>0</v>
      </c>
      <c r="K1736">
        <v>0</v>
      </c>
      <c r="L1736">
        <v>1</v>
      </c>
      <c r="M1736">
        <v>2</v>
      </c>
      <c r="N1736" s="7">
        <v>9</v>
      </c>
      <c r="O1736" s="7">
        <v>0</v>
      </c>
      <c r="P1736" s="7">
        <v>0</v>
      </c>
      <c r="Q1736" s="7">
        <v>0</v>
      </c>
      <c r="R1736" s="7">
        <v>1</v>
      </c>
      <c r="S1736" s="7">
        <v>4.5</v>
      </c>
      <c r="T1736">
        <v>7</v>
      </c>
      <c r="U1736" s="1">
        <v>35</v>
      </c>
      <c r="V1736">
        <v>0</v>
      </c>
      <c r="W1736">
        <v>0</v>
      </c>
      <c r="X1736">
        <v>1</v>
      </c>
      <c r="Y1736">
        <v>0.16</v>
      </c>
      <c r="Z1736">
        <v>23</v>
      </c>
      <c r="AA1736">
        <v>0</v>
      </c>
      <c r="AB1736">
        <v>0</v>
      </c>
      <c r="AC1736">
        <v>0</v>
      </c>
      <c r="AD1736">
        <v>1</v>
      </c>
      <c r="AE1736">
        <v>0.05</v>
      </c>
      <c r="AF1736">
        <v>15</v>
      </c>
      <c r="AG1736">
        <v>0</v>
      </c>
      <c r="AH1736">
        <v>0</v>
      </c>
      <c r="AI1736">
        <v>0</v>
      </c>
      <c r="AJ1736">
        <v>1</v>
      </c>
      <c r="AK1736">
        <v>0.02</v>
      </c>
      <c r="AL1736">
        <v>16</v>
      </c>
      <c r="AM1736">
        <v>0</v>
      </c>
      <c r="AN1736">
        <v>0</v>
      </c>
      <c r="AO1736">
        <v>0</v>
      </c>
      <c r="AP1736">
        <v>1</v>
      </c>
      <c r="AQ1736">
        <v>0.01</v>
      </c>
      <c r="AX1736">
        <v>7</v>
      </c>
      <c r="AY1736" s="1">
        <v>19</v>
      </c>
      <c r="AZ1736">
        <v>0</v>
      </c>
      <c r="BA1736">
        <v>0</v>
      </c>
      <c r="BB1736">
        <v>1</v>
      </c>
      <c r="BC1736" s="7">
        <v>0.32</v>
      </c>
      <c r="BD1736">
        <v>30</v>
      </c>
      <c r="BE1736">
        <v>0</v>
      </c>
      <c r="BF1736">
        <v>0</v>
      </c>
      <c r="BG1736">
        <v>0</v>
      </c>
      <c r="BH1736">
        <v>5</v>
      </c>
      <c r="BI1736">
        <v>2.4</v>
      </c>
      <c r="BJ1736">
        <v>31</v>
      </c>
      <c r="BK1736">
        <v>0</v>
      </c>
      <c r="BL1736">
        <v>0</v>
      </c>
      <c r="BM1736">
        <v>0</v>
      </c>
      <c r="BN1736">
        <v>5</v>
      </c>
      <c r="BO1736">
        <v>2.4</v>
      </c>
      <c r="BP1736">
        <v>36</v>
      </c>
      <c r="BQ1736">
        <v>0</v>
      </c>
      <c r="BR1736">
        <v>0</v>
      </c>
      <c r="BS1736">
        <v>0</v>
      </c>
      <c r="BT1736">
        <v>5</v>
      </c>
      <c r="BU1736">
        <v>1.5</v>
      </c>
    </row>
    <row r="1737" spans="1:73" ht="14.25" x14ac:dyDescent="0.15">
      <c r="A1737" s="12">
        <v>30934</v>
      </c>
      <c r="B1737">
        <v>7</v>
      </c>
      <c r="C1737" s="1">
        <v>48</v>
      </c>
      <c r="D1737">
        <v>0</v>
      </c>
      <c r="E1737">
        <v>0</v>
      </c>
      <c r="F1737">
        <v>1</v>
      </c>
      <c r="G1737" s="7">
        <v>0.05</v>
      </c>
      <c r="H1737">
        <v>12</v>
      </c>
      <c r="I1737">
        <v>0</v>
      </c>
      <c r="J1737">
        <v>0</v>
      </c>
      <c r="K1737">
        <v>0</v>
      </c>
      <c r="L1737">
        <v>1</v>
      </c>
      <c r="M1737">
        <v>2</v>
      </c>
      <c r="N1737" s="7">
        <v>9</v>
      </c>
      <c r="O1737" s="7">
        <v>0</v>
      </c>
      <c r="P1737" s="7">
        <v>0</v>
      </c>
      <c r="Q1737" s="7">
        <v>0</v>
      </c>
      <c r="R1737" s="7">
        <v>1</v>
      </c>
      <c r="S1737" s="7">
        <v>4.5</v>
      </c>
      <c r="T1737">
        <v>7</v>
      </c>
      <c r="U1737" s="1">
        <v>36</v>
      </c>
      <c r="V1737">
        <v>0</v>
      </c>
      <c r="W1737">
        <v>0</v>
      </c>
      <c r="X1737">
        <v>1</v>
      </c>
      <c r="Y1737">
        <v>0.16</v>
      </c>
      <c r="Z1737">
        <v>23</v>
      </c>
      <c r="AA1737">
        <v>0</v>
      </c>
      <c r="AB1737">
        <v>0</v>
      </c>
      <c r="AC1737">
        <v>0</v>
      </c>
      <c r="AD1737">
        <v>1</v>
      </c>
      <c r="AE1737">
        <v>0.05</v>
      </c>
      <c r="AF1737">
        <v>15</v>
      </c>
      <c r="AG1737">
        <v>0</v>
      </c>
      <c r="AH1737">
        <v>0</v>
      </c>
      <c r="AI1737">
        <v>0</v>
      </c>
      <c r="AJ1737">
        <v>1</v>
      </c>
      <c r="AK1737">
        <v>0.02</v>
      </c>
      <c r="AL1737">
        <v>16</v>
      </c>
      <c r="AM1737">
        <v>0</v>
      </c>
      <c r="AN1737">
        <v>0</v>
      </c>
      <c r="AO1737">
        <v>0</v>
      </c>
      <c r="AP1737">
        <v>1</v>
      </c>
      <c r="AQ1737">
        <v>0.01</v>
      </c>
      <c r="AX1737">
        <v>7</v>
      </c>
      <c r="AY1737" s="1">
        <v>20</v>
      </c>
      <c r="AZ1737">
        <v>0</v>
      </c>
      <c r="BA1737">
        <v>0</v>
      </c>
      <c r="BB1737">
        <v>1</v>
      </c>
      <c r="BC1737" s="7">
        <v>0.32</v>
      </c>
      <c r="BD1737">
        <v>30</v>
      </c>
      <c r="BE1737">
        <v>0</v>
      </c>
      <c r="BF1737">
        <v>0</v>
      </c>
      <c r="BG1737">
        <v>0</v>
      </c>
      <c r="BH1737">
        <v>5</v>
      </c>
      <c r="BI1737">
        <v>2.4</v>
      </c>
      <c r="BJ1737">
        <v>31</v>
      </c>
      <c r="BK1737">
        <v>0</v>
      </c>
      <c r="BL1737">
        <v>0</v>
      </c>
      <c r="BM1737">
        <v>0</v>
      </c>
      <c r="BN1737">
        <v>5</v>
      </c>
      <c r="BO1737">
        <v>2.4</v>
      </c>
      <c r="BP1737">
        <v>36</v>
      </c>
      <c r="BQ1737">
        <v>0</v>
      </c>
      <c r="BR1737">
        <v>0</v>
      </c>
      <c r="BS1737">
        <v>0</v>
      </c>
      <c r="BT1737">
        <v>5</v>
      </c>
      <c r="BU1737">
        <v>1.5</v>
      </c>
    </row>
    <row r="1738" spans="1:73" ht="14.25" x14ac:dyDescent="0.15">
      <c r="A1738" s="12">
        <v>30935</v>
      </c>
      <c r="B1738">
        <v>7</v>
      </c>
      <c r="C1738" s="1">
        <v>0</v>
      </c>
      <c r="D1738">
        <v>5</v>
      </c>
      <c r="E1738">
        <v>1</v>
      </c>
      <c r="F1738">
        <v>1</v>
      </c>
      <c r="G1738" s="7">
        <v>0.05</v>
      </c>
      <c r="H1738">
        <v>12</v>
      </c>
      <c r="I1738">
        <v>0</v>
      </c>
      <c r="J1738">
        <v>0</v>
      </c>
      <c r="K1738">
        <v>0</v>
      </c>
      <c r="L1738">
        <v>1</v>
      </c>
      <c r="M1738">
        <v>2</v>
      </c>
      <c r="N1738" s="7">
        <v>9</v>
      </c>
      <c r="O1738" s="7">
        <v>0</v>
      </c>
      <c r="P1738" s="7">
        <v>0</v>
      </c>
      <c r="Q1738" s="7">
        <v>0</v>
      </c>
      <c r="R1738" s="7">
        <v>1</v>
      </c>
      <c r="S1738" s="7">
        <v>4.5</v>
      </c>
      <c r="T1738">
        <v>7</v>
      </c>
      <c r="U1738" s="1">
        <v>0</v>
      </c>
      <c r="V1738">
        <v>4</v>
      </c>
      <c r="W1738">
        <v>2</v>
      </c>
      <c r="X1738">
        <v>1</v>
      </c>
      <c r="Y1738">
        <v>0.16</v>
      </c>
      <c r="Z1738">
        <v>23</v>
      </c>
      <c r="AA1738">
        <v>0</v>
      </c>
      <c r="AB1738">
        <v>0</v>
      </c>
      <c r="AC1738">
        <v>0</v>
      </c>
      <c r="AD1738">
        <v>1</v>
      </c>
      <c r="AE1738">
        <v>0.05</v>
      </c>
      <c r="AF1738">
        <v>15</v>
      </c>
      <c r="AG1738">
        <v>0</v>
      </c>
      <c r="AH1738">
        <v>0</v>
      </c>
      <c r="AI1738">
        <v>0</v>
      </c>
      <c r="AJ1738">
        <v>1</v>
      </c>
      <c r="AK1738">
        <v>0.02</v>
      </c>
      <c r="AL1738">
        <v>16</v>
      </c>
      <c r="AM1738">
        <v>0</v>
      </c>
      <c r="AN1738">
        <v>0</v>
      </c>
      <c r="AO1738">
        <v>0</v>
      </c>
      <c r="AP1738">
        <v>1</v>
      </c>
      <c r="AQ1738">
        <v>0.01</v>
      </c>
      <c r="AR1738">
        <v>6</v>
      </c>
      <c r="AS1738">
        <v>2</v>
      </c>
      <c r="AT1738">
        <v>2</v>
      </c>
      <c r="AU1738">
        <v>5</v>
      </c>
      <c r="AV1738">
        <v>1</v>
      </c>
      <c r="AW1738">
        <v>0.05</v>
      </c>
      <c r="AX1738">
        <v>7</v>
      </c>
      <c r="AY1738" s="1">
        <v>0</v>
      </c>
      <c r="AZ1738">
        <v>3</v>
      </c>
      <c r="BA1738">
        <v>1</v>
      </c>
      <c r="BB1738">
        <v>1</v>
      </c>
      <c r="BC1738" s="7">
        <v>0.32</v>
      </c>
      <c r="BD1738">
        <v>30</v>
      </c>
      <c r="BE1738">
        <v>0</v>
      </c>
      <c r="BF1738">
        <v>0</v>
      </c>
      <c r="BG1738">
        <v>0</v>
      </c>
      <c r="BH1738">
        <v>5</v>
      </c>
      <c r="BI1738">
        <v>2.4</v>
      </c>
      <c r="BJ1738">
        <v>31</v>
      </c>
      <c r="BK1738">
        <v>0</v>
      </c>
      <c r="BL1738">
        <v>0</v>
      </c>
      <c r="BM1738">
        <v>0</v>
      </c>
      <c r="BN1738">
        <v>5</v>
      </c>
      <c r="BO1738">
        <v>2.4</v>
      </c>
      <c r="BP1738">
        <v>36</v>
      </c>
      <c r="BQ1738">
        <v>0</v>
      </c>
      <c r="BR1738">
        <v>0</v>
      </c>
      <c r="BS1738">
        <v>0</v>
      </c>
      <c r="BT1738">
        <v>5</v>
      </c>
      <c r="BU1738">
        <v>1.5</v>
      </c>
    </row>
    <row r="1739" spans="1:73" ht="14.25" x14ac:dyDescent="0.15">
      <c r="A1739" s="12">
        <v>30936</v>
      </c>
      <c r="B1739">
        <v>7</v>
      </c>
      <c r="C1739" s="1">
        <v>45</v>
      </c>
      <c r="D1739">
        <v>0</v>
      </c>
      <c r="E1739">
        <v>0</v>
      </c>
      <c r="F1739">
        <v>1</v>
      </c>
      <c r="G1739" s="7">
        <v>0.05</v>
      </c>
      <c r="H1739">
        <v>12</v>
      </c>
      <c r="I1739">
        <v>0</v>
      </c>
      <c r="J1739">
        <v>0</v>
      </c>
      <c r="K1739">
        <v>0</v>
      </c>
      <c r="L1739">
        <v>1</v>
      </c>
      <c r="M1739">
        <v>2</v>
      </c>
      <c r="N1739" s="7">
        <v>9</v>
      </c>
      <c r="O1739" s="7">
        <v>0</v>
      </c>
      <c r="P1739" s="7">
        <v>0</v>
      </c>
      <c r="Q1739" s="7">
        <v>0</v>
      </c>
      <c r="R1739" s="7">
        <v>1</v>
      </c>
      <c r="S1739" s="7">
        <v>4.5</v>
      </c>
      <c r="T1739">
        <v>7</v>
      </c>
      <c r="U1739" s="1">
        <v>33</v>
      </c>
      <c r="V1739">
        <v>0</v>
      </c>
      <c r="W1739">
        <v>0</v>
      </c>
      <c r="X1739">
        <v>1</v>
      </c>
      <c r="Y1739">
        <v>0.16</v>
      </c>
      <c r="Z1739">
        <v>23</v>
      </c>
      <c r="AA1739">
        <v>0</v>
      </c>
      <c r="AB1739">
        <v>0</v>
      </c>
      <c r="AC1739">
        <v>0</v>
      </c>
      <c r="AD1739">
        <v>1</v>
      </c>
      <c r="AE1739">
        <v>0.05</v>
      </c>
      <c r="AF1739">
        <v>15</v>
      </c>
      <c r="AG1739">
        <v>0</v>
      </c>
      <c r="AH1739">
        <v>0</v>
      </c>
      <c r="AI1739">
        <v>0</v>
      </c>
      <c r="AJ1739">
        <v>1</v>
      </c>
      <c r="AK1739">
        <v>0.02</v>
      </c>
      <c r="AL1739">
        <v>16</v>
      </c>
      <c r="AM1739">
        <v>0</v>
      </c>
      <c r="AN1739">
        <v>0</v>
      </c>
      <c r="AO1739">
        <v>0</v>
      </c>
      <c r="AP1739">
        <v>1</v>
      </c>
      <c r="AQ1739">
        <v>0.01</v>
      </c>
      <c r="AX1739">
        <v>7</v>
      </c>
      <c r="AY1739" s="1">
        <v>17</v>
      </c>
      <c r="AZ1739">
        <v>0</v>
      </c>
      <c r="BA1739">
        <v>0</v>
      </c>
      <c r="BB1739">
        <v>1</v>
      </c>
      <c r="BC1739" s="7">
        <v>0.32</v>
      </c>
      <c r="BD1739">
        <v>30</v>
      </c>
      <c r="BE1739">
        <v>0</v>
      </c>
      <c r="BF1739">
        <v>0</v>
      </c>
      <c r="BG1739">
        <v>0</v>
      </c>
      <c r="BH1739">
        <v>5</v>
      </c>
      <c r="BI1739">
        <v>2.4</v>
      </c>
      <c r="BJ1739">
        <v>31</v>
      </c>
      <c r="BK1739">
        <v>0</v>
      </c>
      <c r="BL1739">
        <v>0</v>
      </c>
      <c r="BM1739">
        <v>0</v>
      </c>
      <c r="BN1739">
        <v>5</v>
      </c>
      <c r="BO1739">
        <v>2.4</v>
      </c>
      <c r="BP1739">
        <v>36</v>
      </c>
      <c r="BQ1739">
        <v>0</v>
      </c>
      <c r="BR1739">
        <v>0</v>
      </c>
      <c r="BS1739">
        <v>0</v>
      </c>
      <c r="BT1739">
        <v>5</v>
      </c>
      <c r="BU1739">
        <v>1.5</v>
      </c>
    </row>
    <row r="1740" spans="1:73" ht="14.25" x14ac:dyDescent="0.15">
      <c r="A1740" s="12">
        <v>30937</v>
      </c>
      <c r="B1740">
        <v>7</v>
      </c>
      <c r="C1740" s="1">
        <v>46</v>
      </c>
      <c r="D1740">
        <v>0</v>
      </c>
      <c r="E1740">
        <v>0</v>
      </c>
      <c r="F1740">
        <v>1</v>
      </c>
      <c r="G1740" s="7">
        <v>0.05</v>
      </c>
      <c r="H1740">
        <v>12</v>
      </c>
      <c r="I1740">
        <v>0</v>
      </c>
      <c r="J1740">
        <v>0</v>
      </c>
      <c r="K1740">
        <v>0</v>
      </c>
      <c r="L1740">
        <v>1</v>
      </c>
      <c r="M1740">
        <v>2</v>
      </c>
      <c r="N1740" s="7">
        <v>9</v>
      </c>
      <c r="O1740" s="7">
        <v>0</v>
      </c>
      <c r="P1740" s="7">
        <v>0</v>
      </c>
      <c r="Q1740" s="7">
        <v>0</v>
      </c>
      <c r="R1740" s="7">
        <v>1</v>
      </c>
      <c r="S1740" s="7">
        <v>4.5</v>
      </c>
      <c r="T1740">
        <v>7</v>
      </c>
      <c r="U1740" s="1">
        <v>34</v>
      </c>
      <c r="V1740">
        <v>0</v>
      </c>
      <c r="W1740">
        <v>0</v>
      </c>
      <c r="X1740">
        <v>1</v>
      </c>
      <c r="Y1740">
        <v>0.16</v>
      </c>
      <c r="Z1740">
        <v>23</v>
      </c>
      <c r="AA1740">
        <v>0</v>
      </c>
      <c r="AB1740">
        <v>0</v>
      </c>
      <c r="AC1740">
        <v>0</v>
      </c>
      <c r="AD1740">
        <v>1</v>
      </c>
      <c r="AE1740">
        <v>0.05</v>
      </c>
      <c r="AF1740">
        <v>15</v>
      </c>
      <c r="AG1740">
        <v>0</v>
      </c>
      <c r="AH1740">
        <v>0</v>
      </c>
      <c r="AI1740">
        <v>0</v>
      </c>
      <c r="AJ1740">
        <v>1</v>
      </c>
      <c r="AK1740">
        <v>0.02</v>
      </c>
      <c r="AL1740">
        <v>16</v>
      </c>
      <c r="AM1740">
        <v>0</v>
      </c>
      <c r="AN1740">
        <v>0</v>
      </c>
      <c r="AO1740">
        <v>0</v>
      </c>
      <c r="AP1740">
        <v>1</v>
      </c>
      <c r="AQ1740">
        <v>0.01</v>
      </c>
      <c r="AX1740">
        <v>7</v>
      </c>
      <c r="AY1740" s="1">
        <v>18</v>
      </c>
      <c r="AZ1740">
        <v>0</v>
      </c>
      <c r="BA1740">
        <v>0</v>
      </c>
      <c r="BB1740">
        <v>1</v>
      </c>
      <c r="BC1740" s="7">
        <v>0.32</v>
      </c>
      <c r="BD1740">
        <v>30</v>
      </c>
      <c r="BE1740">
        <v>0</v>
      </c>
      <c r="BF1740">
        <v>0</v>
      </c>
      <c r="BG1740">
        <v>0</v>
      </c>
      <c r="BH1740">
        <v>5</v>
      </c>
      <c r="BI1740">
        <v>2.4</v>
      </c>
      <c r="BJ1740">
        <v>31</v>
      </c>
      <c r="BK1740">
        <v>0</v>
      </c>
      <c r="BL1740">
        <v>0</v>
      </c>
      <c r="BM1740">
        <v>0</v>
      </c>
      <c r="BN1740">
        <v>5</v>
      </c>
      <c r="BO1740">
        <v>2.4</v>
      </c>
      <c r="BP1740">
        <v>36</v>
      </c>
      <c r="BQ1740">
        <v>0</v>
      </c>
      <c r="BR1740">
        <v>0</v>
      </c>
      <c r="BS1740">
        <v>0</v>
      </c>
      <c r="BT1740">
        <v>5</v>
      </c>
      <c r="BU1740">
        <v>1.5</v>
      </c>
    </row>
    <row r="1741" spans="1:73" ht="14.25" x14ac:dyDescent="0.15">
      <c r="A1741" s="12">
        <v>30938</v>
      </c>
      <c r="B1741">
        <v>7</v>
      </c>
      <c r="C1741" s="1">
        <v>47</v>
      </c>
      <c r="D1741">
        <v>0</v>
      </c>
      <c r="E1741">
        <v>0</v>
      </c>
      <c r="F1741">
        <v>1</v>
      </c>
      <c r="G1741" s="7">
        <v>0.05</v>
      </c>
      <c r="H1741">
        <v>12</v>
      </c>
      <c r="I1741">
        <v>0</v>
      </c>
      <c r="J1741">
        <v>0</v>
      </c>
      <c r="K1741">
        <v>0</v>
      </c>
      <c r="L1741">
        <v>1</v>
      </c>
      <c r="M1741">
        <v>2</v>
      </c>
      <c r="N1741" s="7">
        <v>9</v>
      </c>
      <c r="O1741" s="7">
        <v>0</v>
      </c>
      <c r="P1741" s="7">
        <v>0</v>
      </c>
      <c r="Q1741" s="7">
        <v>0</v>
      </c>
      <c r="R1741" s="7">
        <v>1</v>
      </c>
      <c r="S1741" s="7">
        <v>4.5</v>
      </c>
      <c r="T1741">
        <v>7</v>
      </c>
      <c r="U1741" s="1">
        <v>35</v>
      </c>
      <c r="V1741">
        <v>0</v>
      </c>
      <c r="W1741">
        <v>0</v>
      </c>
      <c r="X1741">
        <v>1</v>
      </c>
      <c r="Y1741">
        <v>0.16</v>
      </c>
      <c r="Z1741">
        <v>23</v>
      </c>
      <c r="AA1741">
        <v>0</v>
      </c>
      <c r="AB1741">
        <v>0</v>
      </c>
      <c r="AC1741">
        <v>0</v>
      </c>
      <c r="AD1741">
        <v>1</v>
      </c>
      <c r="AE1741">
        <v>0.05</v>
      </c>
      <c r="AF1741">
        <v>15</v>
      </c>
      <c r="AG1741">
        <v>0</v>
      </c>
      <c r="AH1741">
        <v>0</v>
      </c>
      <c r="AI1741">
        <v>0</v>
      </c>
      <c r="AJ1741">
        <v>1</v>
      </c>
      <c r="AK1741">
        <v>0.02</v>
      </c>
      <c r="AL1741">
        <v>16</v>
      </c>
      <c r="AM1741">
        <v>0</v>
      </c>
      <c r="AN1741">
        <v>0</v>
      </c>
      <c r="AO1741">
        <v>0</v>
      </c>
      <c r="AP1741">
        <v>1</v>
      </c>
      <c r="AQ1741">
        <v>0.01</v>
      </c>
      <c r="AX1741">
        <v>7</v>
      </c>
      <c r="AY1741" s="1">
        <v>19</v>
      </c>
      <c r="AZ1741">
        <v>0</v>
      </c>
      <c r="BA1741">
        <v>0</v>
      </c>
      <c r="BB1741">
        <v>1</v>
      </c>
      <c r="BC1741" s="7">
        <v>0.32</v>
      </c>
      <c r="BD1741">
        <v>30</v>
      </c>
      <c r="BE1741">
        <v>0</v>
      </c>
      <c r="BF1741">
        <v>0</v>
      </c>
      <c r="BG1741">
        <v>0</v>
      </c>
      <c r="BH1741">
        <v>5</v>
      </c>
      <c r="BI1741">
        <v>2.4</v>
      </c>
      <c r="BJ1741">
        <v>31</v>
      </c>
      <c r="BK1741">
        <v>0</v>
      </c>
      <c r="BL1741">
        <v>0</v>
      </c>
      <c r="BM1741">
        <v>0</v>
      </c>
      <c r="BN1741">
        <v>5</v>
      </c>
      <c r="BO1741">
        <v>2.4</v>
      </c>
      <c r="BP1741">
        <v>36</v>
      </c>
      <c r="BQ1741">
        <v>0</v>
      </c>
      <c r="BR1741">
        <v>0</v>
      </c>
      <c r="BS1741">
        <v>0</v>
      </c>
      <c r="BT1741">
        <v>5</v>
      </c>
      <c r="BU1741">
        <v>1.5</v>
      </c>
    </row>
    <row r="1742" spans="1:73" ht="14.25" x14ac:dyDescent="0.15">
      <c r="A1742" s="12">
        <v>30939</v>
      </c>
      <c r="B1742">
        <v>7</v>
      </c>
      <c r="C1742" s="1">
        <v>48</v>
      </c>
      <c r="D1742">
        <v>0</v>
      </c>
      <c r="E1742">
        <v>0</v>
      </c>
      <c r="F1742">
        <v>1</v>
      </c>
      <c r="G1742" s="7">
        <v>0.05</v>
      </c>
      <c r="H1742">
        <v>12</v>
      </c>
      <c r="I1742">
        <v>0</v>
      </c>
      <c r="J1742">
        <v>0</v>
      </c>
      <c r="K1742">
        <v>0</v>
      </c>
      <c r="L1742">
        <v>1</v>
      </c>
      <c r="M1742">
        <v>2</v>
      </c>
      <c r="N1742" s="7">
        <v>9</v>
      </c>
      <c r="O1742" s="7">
        <v>0</v>
      </c>
      <c r="P1742" s="7">
        <v>0</v>
      </c>
      <c r="Q1742" s="7">
        <v>0</v>
      </c>
      <c r="R1742" s="7">
        <v>1</v>
      </c>
      <c r="S1742" s="7">
        <v>4.5</v>
      </c>
      <c r="T1742">
        <v>7</v>
      </c>
      <c r="U1742" s="1">
        <v>36</v>
      </c>
      <c r="V1742">
        <v>0</v>
      </c>
      <c r="W1742">
        <v>0</v>
      </c>
      <c r="X1742">
        <v>1</v>
      </c>
      <c r="Y1742">
        <v>0.16</v>
      </c>
      <c r="Z1742">
        <v>23</v>
      </c>
      <c r="AA1742">
        <v>0</v>
      </c>
      <c r="AB1742">
        <v>0</v>
      </c>
      <c r="AC1742">
        <v>0</v>
      </c>
      <c r="AD1742">
        <v>1</v>
      </c>
      <c r="AE1742">
        <v>0.05</v>
      </c>
      <c r="AF1742">
        <v>15</v>
      </c>
      <c r="AG1742">
        <v>0</v>
      </c>
      <c r="AH1742">
        <v>0</v>
      </c>
      <c r="AI1742">
        <v>0</v>
      </c>
      <c r="AJ1742">
        <v>1</v>
      </c>
      <c r="AK1742">
        <v>0.02</v>
      </c>
      <c r="AL1742">
        <v>16</v>
      </c>
      <c r="AM1742">
        <v>0</v>
      </c>
      <c r="AN1742">
        <v>0</v>
      </c>
      <c r="AO1742">
        <v>0</v>
      </c>
      <c r="AP1742">
        <v>1</v>
      </c>
      <c r="AQ1742">
        <v>0.01</v>
      </c>
      <c r="AX1742">
        <v>7</v>
      </c>
      <c r="AY1742" s="1">
        <v>20</v>
      </c>
      <c r="AZ1742">
        <v>0</v>
      </c>
      <c r="BA1742">
        <v>0</v>
      </c>
      <c r="BB1742">
        <v>1</v>
      </c>
      <c r="BC1742" s="7">
        <v>0.32</v>
      </c>
      <c r="BD1742">
        <v>30</v>
      </c>
      <c r="BE1742">
        <v>0</v>
      </c>
      <c r="BF1742">
        <v>0</v>
      </c>
      <c r="BG1742">
        <v>0</v>
      </c>
      <c r="BH1742">
        <v>5</v>
      </c>
      <c r="BI1742">
        <v>2.4</v>
      </c>
      <c r="BJ1742">
        <v>31</v>
      </c>
      <c r="BK1742">
        <v>0</v>
      </c>
      <c r="BL1742">
        <v>0</v>
      </c>
      <c r="BM1742">
        <v>0</v>
      </c>
      <c r="BN1742">
        <v>5</v>
      </c>
      <c r="BO1742">
        <v>2.4</v>
      </c>
      <c r="BP1742">
        <v>36</v>
      </c>
      <c r="BQ1742">
        <v>0</v>
      </c>
      <c r="BR1742">
        <v>0</v>
      </c>
      <c r="BS1742">
        <v>0</v>
      </c>
      <c r="BT1742">
        <v>5</v>
      </c>
      <c r="BU1742">
        <v>1.5</v>
      </c>
    </row>
    <row r="1743" spans="1:73" ht="14.25" x14ac:dyDescent="0.15">
      <c r="A1743" s="12">
        <v>30940</v>
      </c>
      <c r="B1743">
        <v>7</v>
      </c>
      <c r="C1743" s="1">
        <v>0</v>
      </c>
      <c r="D1743">
        <v>5</v>
      </c>
      <c r="E1743">
        <v>1</v>
      </c>
      <c r="F1743">
        <v>1</v>
      </c>
      <c r="G1743" s="7">
        <v>0.05</v>
      </c>
      <c r="H1743">
        <v>12</v>
      </c>
      <c r="I1743">
        <v>0</v>
      </c>
      <c r="J1743">
        <v>0</v>
      </c>
      <c r="K1743">
        <v>0</v>
      </c>
      <c r="L1743">
        <v>1</v>
      </c>
      <c r="M1743">
        <v>2</v>
      </c>
      <c r="N1743" s="7">
        <v>9</v>
      </c>
      <c r="O1743" s="7">
        <v>0</v>
      </c>
      <c r="P1743" s="7">
        <v>0</v>
      </c>
      <c r="Q1743" s="7">
        <v>0</v>
      </c>
      <c r="R1743" s="7">
        <v>1</v>
      </c>
      <c r="S1743" s="7">
        <v>4.5</v>
      </c>
      <c r="T1743">
        <v>7</v>
      </c>
      <c r="U1743" s="1">
        <v>0</v>
      </c>
      <c r="V1743">
        <v>4</v>
      </c>
      <c r="W1743">
        <v>2</v>
      </c>
      <c r="X1743">
        <v>1</v>
      </c>
      <c r="Y1743">
        <v>0.16</v>
      </c>
      <c r="Z1743">
        <v>23</v>
      </c>
      <c r="AA1743">
        <v>0</v>
      </c>
      <c r="AB1743">
        <v>0</v>
      </c>
      <c r="AC1743">
        <v>0</v>
      </c>
      <c r="AD1743">
        <v>1</v>
      </c>
      <c r="AE1743">
        <v>0.05</v>
      </c>
      <c r="AF1743">
        <v>15</v>
      </c>
      <c r="AG1743">
        <v>0</v>
      </c>
      <c r="AH1743">
        <v>0</v>
      </c>
      <c r="AI1743">
        <v>0</v>
      </c>
      <c r="AJ1743">
        <v>1</v>
      </c>
      <c r="AK1743">
        <v>0.02</v>
      </c>
      <c r="AL1743">
        <v>16</v>
      </c>
      <c r="AM1743">
        <v>0</v>
      </c>
      <c r="AN1743">
        <v>0</v>
      </c>
      <c r="AO1743">
        <v>0</v>
      </c>
      <c r="AP1743">
        <v>1</v>
      </c>
      <c r="AQ1743">
        <v>0.01</v>
      </c>
      <c r="AR1743">
        <v>6</v>
      </c>
      <c r="AS1743">
        <v>2</v>
      </c>
      <c r="AT1743">
        <v>3</v>
      </c>
      <c r="AU1743">
        <v>5</v>
      </c>
      <c r="AV1743">
        <v>1</v>
      </c>
      <c r="AW1743">
        <v>0.05</v>
      </c>
      <c r="AX1743">
        <v>7</v>
      </c>
      <c r="AY1743" s="1">
        <v>0</v>
      </c>
      <c r="AZ1743">
        <v>3</v>
      </c>
      <c r="BA1743">
        <v>1</v>
      </c>
      <c r="BB1743">
        <v>1</v>
      </c>
      <c r="BC1743" s="7">
        <v>0.32</v>
      </c>
      <c r="BD1743">
        <v>30</v>
      </c>
      <c r="BE1743">
        <v>0</v>
      </c>
      <c r="BF1743">
        <v>0</v>
      </c>
      <c r="BG1743">
        <v>0</v>
      </c>
      <c r="BH1743">
        <v>5</v>
      </c>
      <c r="BI1743">
        <v>2.4</v>
      </c>
      <c r="BJ1743">
        <v>31</v>
      </c>
      <c r="BK1743">
        <v>0</v>
      </c>
      <c r="BL1743">
        <v>0</v>
      </c>
      <c r="BM1743">
        <v>0</v>
      </c>
      <c r="BN1743">
        <v>5</v>
      </c>
      <c r="BO1743">
        <v>2.4</v>
      </c>
      <c r="BP1743">
        <v>36</v>
      </c>
      <c r="BQ1743">
        <v>0</v>
      </c>
      <c r="BR1743">
        <v>0</v>
      </c>
      <c r="BS1743">
        <v>0</v>
      </c>
      <c r="BT1743">
        <v>5</v>
      </c>
      <c r="BU1743">
        <v>1.5</v>
      </c>
    </row>
    <row r="1744" spans="1:73" ht="14.25" x14ac:dyDescent="0.15">
      <c r="A1744" s="12">
        <v>30941</v>
      </c>
      <c r="B1744">
        <v>7</v>
      </c>
      <c r="C1744" s="1">
        <v>45</v>
      </c>
      <c r="D1744">
        <v>0</v>
      </c>
      <c r="E1744">
        <v>0</v>
      </c>
      <c r="F1744">
        <v>1</v>
      </c>
      <c r="G1744" s="7">
        <v>0.05</v>
      </c>
      <c r="H1744">
        <v>12</v>
      </c>
      <c r="I1744">
        <v>0</v>
      </c>
      <c r="J1744">
        <v>0</v>
      </c>
      <c r="K1744">
        <v>0</v>
      </c>
      <c r="L1744">
        <v>1</v>
      </c>
      <c r="M1744">
        <v>2</v>
      </c>
      <c r="N1744" s="7">
        <v>9</v>
      </c>
      <c r="O1744" s="7">
        <v>0</v>
      </c>
      <c r="P1744" s="7">
        <v>0</v>
      </c>
      <c r="Q1744" s="7">
        <v>0</v>
      </c>
      <c r="R1744" s="7">
        <v>1</v>
      </c>
      <c r="S1744" s="7">
        <v>4.5</v>
      </c>
      <c r="T1744">
        <v>7</v>
      </c>
      <c r="U1744" s="1">
        <v>33</v>
      </c>
      <c r="V1744">
        <v>0</v>
      </c>
      <c r="W1744">
        <v>0</v>
      </c>
      <c r="X1744">
        <v>1</v>
      </c>
      <c r="Y1744">
        <v>0.16</v>
      </c>
      <c r="Z1744">
        <v>23</v>
      </c>
      <c r="AA1744">
        <v>0</v>
      </c>
      <c r="AB1744">
        <v>0</v>
      </c>
      <c r="AC1744">
        <v>0</v>
      </c>
      <c r="AD1744">
        <v>1</v>
      </c>
      <c r="AE1744">
        <v>0.05</v>
      </c>
      <c r="AF1744">
        <v>15</v>
      </c>
      <c r="AG1744">
        <v>0</v>
      </c>
      <c r="AH1744">
        <v>0</v>
      </c>
      <c r="AI1744">
        <v>0</v>
      </c>
      <c r="AJ1744">
        <v>1</v>
      </c>
      <c r="AK1744">
        <v>0.02</v>
      </c>
      <c r="AL1744">
        <v>16</v>
      </c>
      <c r="AM1744">
        <v>0</v>
      </c>
      <c r="AN1744">
        <v>0</v>
      </c>
      <c r="AO1744">
        <v>0</v>
      </c>
      <c r="AP1744">
        <v>1</v>
      </c>
      <c r="AQ1744">
        <v>0.01</v>
      </c>
      <c r="AX1744">
        <v>7</v>
      </c>
      <c r="AY1744" s="1">
        <v>17</v>
      </c>
      <c r="AZ1744">
        <v>0</v>
      </c>
      <c r="BA1744">
        <v>0</v>
      </c>
      <c r="BB1744">
        <v>1</v>
      </c>
      <c r="BC1744" s="7">
        <v>0.32</v>
      </c>
      <c r="BD1744">
        <v>30</v>
      </c>
      <c r="BE1744">
        <v>0</v>
      </c>
      <c r="BF1744">
        <v>0</v>
      </c>
      <c r="BG1744">
        <v>0</v>
      </c>
      <c r="BH1744">
        <v>5</v>
      </c>
      <c r="BI1744">
        <v>2.4</v>
      </c>
      <c r="BJ1744">
        <v>31</v>
      </c>
      <c r="BK1744">
        <v>0</v>
      </c>
      <c r="BL1744">
        <v>0</v>
      </c>
      <c r="BM1744">
        <v>0</v>
      </c>
      <c r="BN1744">
        <v>5</v>
      </c>
      <c r="BO1744">
        <v>2.4</v>
      </c>
      <c r="BP1744">
        <v>36</v>
      </c>
      <c r="BQ1744">
        <v>0</v>
      </c>
      <c r="BR1744">
        <v>0</v>
      </c>
      <c r="BS1744">
        <v>0</v>
      </c>
      <c r="BT1744">
        <v>5</v>
      </c>
      <c r="BU1744">
        <v>1.5</v>
      </c>
    </row>
    <row r="1745" spans="1:73" ht="14.25" x14ac:dyDescent="0.15">
      <c r="A1745" s="12">
        <v>30942</v>
      </c>
      <c r="B1745">
        <v>7</v>
      </c>
      <c r="C1745" s="1">
        <v>46</v>
      </c>
      <c r="D1745">
        <v>0</v>
      </c>
      <c r="E1745">
        <v>0</v>
      </c>
      <c r="F1745">
        <v>1</v>
      </c>
      <c r="G1745" s="7">
        <v>0.05</v>
      </c>
      <c r="H1745">
        <v>12</v>
      </c>
      <c r="I1745">
        <v>0</v>
      </c>
      <c r="J1745">
        <v>0</v>
      </c>
      <c r="K1745">
        <v>0</v>
      </c>
      <c r="L1745">
        <v>1</v>
      </c>
      <c r="M1745">
        <v>2</v>
      </c>
      <c r="N1745" s="7">
        <v>9</v>
      </c>
      <c r="O1745" s="7">
        <v>0</v>
      </c>
      <c r="P1745" s="7">
        <v>0</v>
      </c>
      <c r="Q1745" s="7">
        <v>0</v>
      </c>
      <c r="R1745" s="7">
        <v>1</v>
      </c>
      <c r="S1745" s="7">
        <v>4.5</v>
      </c>
      <c r="T1745">
        <v>7</v>
      </c>
      <c r="U1745" s="1">
        <v>34</v>
      </c>
      <c r="V1745">
        <v>0</v>
      </c>
      <c r="W1745">
        <v>0</v>
      </c>
      <c r="X1745">
        <v>1</v>
      </c>
      <c r="Y1745">
        <v>0.16</v>
      </c>
      <c r="Z1745">
        <v>23</v>
      </c>
      <c r="AA1745">
        <v>0</v>
      </c>
      <c r="AB1745">
        <v>0</v>
      </c>
      <c r="AC1745">
        <v>0</v>
      </c>
      <c r="AD1745">
        <v>1</v>
      </c>
      <c r="AE1745">
        <v>0.05</v>
      </c>
      <c r="AF1745">
        <v>15</v>
      </c>
      <c r="AG1745">
        <v>0</v>
      </c>
      <c r="AH1745">
        <v>0</v>
      </c>
      <c r="AI1745">
        <v>0</v>
      </c>
      <c r="AJ1745">
        <v>1</v>
      </c>
      <c r="AK1745">
        <v>0.02</v>
      </c>
      <c r="AL1745">
        <v>16</v>
      </c>
      <c r="AM1745">
        <v>0</v>
      </c>
      <c r="AN1745">
        <v>0</v>
      </c>
      <c r="AO1745">
        <v>0</v>
      </c>
      <c r="AP1745">
        <v>1</v>
      </c>
      <c r="AQ1745">
        <v>0.01</v>
      </c>
      <c r="AX1745">
        <v>7</v>
      </c>
      <c r="AY1745" s="1">
        <v>18</v>
      </c>
      <c r="AZ1745">
        <v>0</v>
      </c>
      <c r="BA1745">
        <v>0</v>
      </c>
      <c r="BB1745">
        <v>1</v>
      </c>
      <c r="BC1745" s="7">
        <v>0.32</v>
      </c>
      <c r="BD1745">
        <v>30</v>
      </c>
      <c r="BE1745">
        <v>0</v>
      </c>
      <c r="BF1745">
        <v>0</v>
      </c>
      <c r="BG1745">
        <v>0</v>
      </c>
      <c r="BH1745">
        <v>5</v>
      </c>
      <c r="BI1745">
        <v>2.4</v>
      </c>
      <c r="BJ1745">
        <v>31</v>
      </c>
      <c r="BK1745">
        <v>0</v>
      </c>
      <c r="BL1745">
        <v>0</v>
      </c>
      <c r="BM1745">
        <v>0</v>
      </c>
      <c r="BN1745">
        <v>5</v>
      </c>
      <c r="BO1745">
        <v>2.4</v>
      </c>
      <c r="BP1745">
        <v>36</v>
      </c>
      <c r="BQ1745">
        <v>0</v>
      </c>
      <c r="BR1745">
        <v>0</v>
      </c>
      <c r="BS1745">
        <v>0</v>
      </c>
      <c r="BT1745">
        <v>5</v>
      </c>
      <c r="BU1745">
        <v>1.5</v>
      </c>
    </row>
    <row r="1746" spans="1:73" ht="14.25" x14ac:dyDescent="0.15">
      <c r="A1746" s="12">
        <v>30943</v>
      </c>
      <c r="B1746">
        <v>7</v>
      </c>
      <c r="C1746" s="1">
        <v>47</v>
      </c>
      <c r="D1746">
        <v>0</v>
      </c>
      <c r="E1746">
        <v>0</v>
      </c>
      <c r="F1746">
        <v>1</v>
      </c>
      <c r="G1746" s="7">
        <v>0.05</v>
      </c>
      <c r="H1746">
        <v>12</v>
      </c>
      <c r="I1746">
        <v>0</v>
      </c>
      <c r="J1746">
        <v>0</v>
      </c>
      <c r="K1746">
        <v>0</v>
      </c>
      <c r="L1746">
        <v>1</v>
      </c>
      <c r="M1746">
        <v>2</v>
      </c>
      <c r="N1746" s="7">
        <v>9</v>
      </c>
      <c r="O1746" s="7">
        <v>0</v>
      </c>
      <c r="P1746" s="7">
        <v>0</v>
      </c>
      <c r="Q1746" s="7">
        <v>0</v>
      </c>
      <c r="R1746" s="7">
        <v>1</v>
      </c>
      <c r="S1746" s="7">
        <v>4.5</v>
      </c>
      <c r="T1746">
        <v>7</v>
      </c>
      <c r="U1746" s="1">
        <v>35</v>
      </c>
      <c r="V1746">
        <v>0</v>
      </c>
      <c r="W1746">
        <v>0</v>
      </c>
      <c r="X1746">
        <v>1</v>
      </c>
      <c r="Y1746">
        <v>0.16</v>
      </c>
      <c r="Z1746">
        <v>23</v>
      </c>
      <c r="AA1746">
        <v>0</v>
      </c>
      <c r="AB1746">
        <v>0</v>
      </c>
      <c r="AC1746">
        <v>0</v>
      </c>
      <c r="AD1746">
        <v>1</v>
      </c>
      <c r="AE1746">
        <v>0.05</v>
      </c>
      <c r="AF1746">
        <v>15</v>
      </c>
      <c r="AG1746">
        <v>0</v>
      </c>
      <c r="AH1746">
        <v>0</v>
      </c>
      <c r="AI1746">
        <v>0</v>
      </c>
      <c r="AJ1746">
        <v>1</v>
      </c>
      <c r="AK1746">
        <v>0.02</v>
      </c>
      <c r="AL1746">
        <v>16</v>
      </c>
      <c r="AM1746">
        <v>0</v>
      </c>
      <c r="AN1746">
        <v>0</v>
      </c>
      <c r="AO1746">
        <v>0</v>
      </c>
      <c r="AP1746">
        <v>1</v>
      </c>
      <c r="AQ1746">
        <v>0.01</v>
      </c>
      <c r="AX1746">
        <v>7</v>
      </c>
      <c r="AY1746" s="1">
        <v>19</v>
      </c>
      <c r="AZ1746">
        <v>0</v>
      </c>
      <c r="BA1746">
        <v>0</v>
      </c>
      <c r="BB1746">
        <v>1</v>
      </c>
      <c r="BC1746" s="7">
        <v>0.32</v>
      </c>
      <c r="BD1746">
        <v>30</v>
      </c>
      <c r="BE1746">
        <v>0</v>
      </c>
      <c r="BF1746">
        <v>0</v>
      </c>
      <c r="BG1746">
        <v>0</v>
      </c>
      <c r="BH1746">
        <v>5</v>
      </c>
      <c r="BI1746">
        <v>2.4</v>
      </c>
      <c r="BJ1746">
        <v>31</v>
      </c>
      <c r="BK1746">
        <v>0</v>
      </c>
      <c r="BL1746">
        <v>0</v>
      </c>
      <c r="BM1746">
        <v>0</v>
      </c>
      <c r="BN1746">
        <v>5</v>
      </c>
      <c r="BO1746">
        <v>2.4</v>
      </c>
      <c r="BP1746">
        <v>36</v>
      </c>
      <c r="BQ1746">
        <v>0</v>
      </c>
      <c r="BR1746">
        <v>0</v>
      </c>
      <c r="BS1746">
        <v>0</v>
      </c>
      <c r="BT1746">
        <v>5</v>
      </c>
      <c r="BU1746">
        <v>1.5</v>
      </c>
    </row>
    <row r="1747" spans="1:73" ht="14.25" x14ac:dyDescent="0.15">
      <c r="A1747" s="12">
        <v>30944</v>
      </c>
      <c r="B1747">
        <v>7</v>
      </c>
      <c r="C1747" s="1">
        <v>48</v>
      </c>
      <c r="D1747">
        <v>0</v>
      </c>
      <c r="E1747">
        <v>0</v>
      </c>
      <c r="F1747">
        <v>1</v>
      </c>
      <c r="G1747" s="7">
        <v>0.05</v>
      </c>
      <c r="H1747">
        <v>12</v>
      </c>
      <c r="I1747">
        <v>0</v>
      </c>
      <c r="J1747">
        <v>0</v>
      </c>
      <c r="K1747">
        <v>0</v>
      </c>
      <c r="L1747">
        <v>1</v>
      </c>
      <c r="M1747">
        <v>2</v>
      </c>
      <c r="N1747" s="7">
        <v>9</v>
      </c>
      <c r="O1747" s="7">
        <v>0</v>
      </c>
      <c r="P1747" s="7">
        <v>0</v>
      </c>
      <c r="Q1747" s="7">
        <v>0</v>
      </c>
      <c r="R1747" s="7">
        <v>1</v>
      </c>
      <c r="S1747" s="7">
        <v>4.5</v>
      </c>
      <c r="T1747">
        <v>7</v>
      </c>
      <c r="U1747" s="1">
        <v>36</v>
      </c>
      <c r="V1747">
        <v>0</v>
      </c>
      <c r="W1747">
        <v>0</v>
      </c>
      <c r="X1747">
        <v>1</v>
      </c>
      <c r="Y1747">
        <v>0.16</v>
      </c>
      <c r="Z1747">
        <v>23</v>
      </c>
      <c r="AA1747">
        <v>0</v>
      </c>
      <c r="AB1747">
        <v>0</v>
      </c>
      <c r="AC1747">
        <v>0</v>
      </c>
      <c r="AD1747">
        <v>1</v>
      </c>
      <c r="AE1747">
        <v>0.05</v>
      </c>
      <c r="AF1747">
        <v>15</v>
      </c>
      <c r="AG1747">
        <v>0</v>
      </c>
      <c r="AH1747">
        <v>0</v>
      </c>
      <c r="AI1747">
        <v>0</v>
      </c>
      <c r="AJ1747">
        <v>1</v>
      </c>
      <c r="AK1747">
        <v>0.02</v>
      </c>
      <c r="AL1747">
        <v>16</v>
      </c>
      <c r="AM1747">
        <v>0</v>
      </c>
      <c r="AN1747">
        <v>0</v>
      </c>
      <c r="AO1747">
        <v>0</v>
      </c>
      <c r="AP1747">
        <v>1</v>
      </c>
      <c r="AQ1747">
        <v>0.01</v>
      </c>
      <c r="AX1747">
        <v>7</v>
      </c>
      <c r="AY1747" s="1">
        <v>20</v>
      </c>
      <c r="AZ1747">
        <v>0</v>
      </c>
      <c r="BA1747">
        <v>0</v>
      </c>
      <c r="BB1747">
        <v>1</v>
      </c>
      <c r="BC1747" s="7">
        <v>0.32</v>
      </c>
      <c r="BD1747">
        <v>30</v>
      </c>
      <c r="BE1747">
        <v>0</v>
      </c>
      <c r="BF1747">
        <v>0</v>
      </c>
      <c r="BG1747">
        <v>0</v>
      </c>
      <c r="BH1747">
        <v>5</v>
      </c>
      <c r="BI1747">
        <v>2.4</v>
      </c>
      <c r="BJ1747">
        <v>31</v>
      </c>
      <c r="BK1747">
        <v>0</v>
      </c>
      <c r="BL1747">
        <v>0</v>
      </c>
      <c r="BM1747">
        <v>0</v>
      </c>
      <c r="BN1747">
        <v>5</v>
      </c>
      <c r="BO1747">
        <v>2.4</v>
      </c>
      <c r="BP1747">
        <v>36</v>
      </c>
      <c r="BQ1747">
        <v>0</v>
      </c>
      <c r="BR1747">
        <v>0</v>
      </c>
      <c r="BS1747">
        <v>0</v>
      </c>
      <c r="BT1747">
        <v>5</v>
      </c>
      <c r="BU1747">
        <v>1.5</v>
      </c>
    </row>
    <row r="1748" spans="1:73" ht="14.25" x14ac:dyDescent="0.15">
      <c r="A1748" s="12">
        <v>30945</v>
      </c>
      <c r="B1748">
        <v>7</v>
      </c>
      <c r="C1748" s="1">
        <v>0</v>
      </c>
      <c r="D1748">
        <v>5</v>
      </c>
      <c r="E1748">
        <v>1</v>
      </c>
      <c r="F1748">
        <v>1</v>
      </c>
      <c r="G1748" s="7">
        <v>0.05</v>
      </c>
      <c r="H1748">
        <v>12</v>
      </c>
      <c r="I1748">
        <v>0</v>
      </c>
      <c r="J1748">
        <v>0</v>
      </c>
      <c r="K1748">
        <v>0</v>
      </c>
      <c r="L1748">
        <v>1</v>
      </c>
      <c r="M1748">
        <v>2</v>
      </c>
      <c r="N1748" s="7">
        <v>9</v>
      </c>
      <c r="O1748" s="7">
        <v>0</v>
      </c>
      <c r="P1748" s="7">
        <v>0</v>
      </c>
      <c r="Q1748" s="7">
        <v>0</v>
      </c>
      <c r="R1748" s="7">
        <v>1</v>
      </c>
      <c r="S1748" s="7">
        <v>4.5</v>
      </c>
      <c r="T1748">
        <v>7</v>
      </c>
      <c r="U1748" s="1">
        <v>0</v>
      </c>
      <c r="V1748">
        <v>4</v>
      </c>
      <c r="W1748">
        <v>2</v>
      </c>
      <c r="X1748">
        <v>1</v>
      </c>
      <c r="Y1748">
        <v>0.16</v>
      </c>
      <c r="Z1748">
        <v>23</v>
      </c>
      <c r="AA1748">
        <v>0</v>
      </c>
      <c r="AB1748">
        <v>0</v>
      </c>
      <c r="AC1748">
        <v>0</v>
      </c>
      <c r="AD1748">
        <v>1</v>
      </c>
      <c r="AE1748">
        <v>0.05</v>
      </c>
      <c r="AF1748">
        <v>15</v>
      </c>
      <c r="AG1748">
        <v>0</v>
      </c>
      <c r="AH1748">
        <v>0</v>
      </c>
      <c r="AI1748">
        <v>0</v>
      </c>
      <c r="AJ1748">
        <v>1</v>
      </c>
      <c r="AK1748">
        <v>0.02</v>
      </c>
      <c r="AL1748">
        <v>16</v>
      </c>
      <c r="AM1748">
        <v>0</v>
      </c>
      <c r="AN1748">
        <v>0</v>
      </c>
      <c r="AO1748">
        <v>0</v>
      </c>
      <c r="AP1748">
        <v>1</v>
      </c>
      <c r="AQ1748">
        <v>0.01</v>
      </c>
      <c r="AR1748">
        <v>6</v>
      </c>
      <c r="AS1748">
        <v>2</v>
      </c>
      <c r="AT1748">
        <v>4</v>
      </c>
      <c r="AU1748">
        <v>5</v>
      </c>
      <c r="AV1748">
        <v>1</v>
      </c>
      <c r="AW1748">
        <v>0.01</v>
      </c>
      <c r="AX1748">
        <v>7</v>
      </c>
      <c r="AY1748" s="1">
        <v>0</v>
      </c>
      <c r="AZ1748">
        <v>3</v>
      </c>
      <c r="BA1748">
        <v>1</v>
      </c>
      <c r="BB1748">
        <v>1</v>
      </c>
      <c r="BC1748" s="7">
        <v>0.32</v>
      </c>
      <c r="BD1748">
        <v>30</v>
      </c>
      <c r="BE1748">
        <v>0</v>
      </c>
      <c r="BF1748">
        <v>0</v>
      </c>
      <c r="BG1748">
        <v>0</v>
      </c>
      <c r="BH1748">
        <v>5</v>
      </c>
      <c r="BI1748">
        <v>2.4</v>
      </c>
      <c r="BJ1748">
        <v>31</v>
      </c>
      <c r="BK1748">
        <v>0</v>
      </c>
      <c r="BL1748">
        <v>0</v>
      </c>
      <c r="BM1748">
        <v>0</v>
      </c>
      <c r="BN1748">
        <v>5</v>
      </c>
      <c r="BO1748">
        <v>2.4</v>
      </c>
      <c r="BP1748">
        <v>36</v>
      </c>
      <c r="BQ1748">
        <v>0</v>
      </c>
      <c r="BR1748">
        <v>0</v>
      </c>
      <c r="BS1748">
        <v>0</v>
      </c>
      <c r="BT1748">
        <v>5</v>
      </c>
      <c r="BU1748">
        <v>1.5</v>
      </c>
    </row>
    <row r="1749" spans="1:73" ht="14.25" x14ac:dyDescent="0.15">
      <c r="A1749" s="12">
        <v>30946</v>
      </c>
      <c r="B1749">
        <v>7</v>
      </c>
      <c r="C1749" s="1">
        <v>45</v>
      </c>
      <c r="D1749">
        <v>0</v>
      </c>
      <c r="E1749">
        <v>0</v>
      </c>
      <c r="F1749">
        <v>1</v>
      </c>
      <c r="G1749" s="7">
        <v>0.05</v>
      </c>
      <c r="H1749">
        <v>12</v>
      </c>
      <c r="I1749">
        <v>0</v>
      </c>
      <c r="J1749">
        <v>0</v>
      </c>
      <c r="K1749">
        <v>0</v>
      </c>
      <c r="L1749">
        <v>1</v>
      </c>
      <c r="M1749">
        <v>2</v>
      </c>
      <c r="N1749" s="7">
        <v>9</v>
      </c>
      <c r="O1749" s="7">
        <v>0</v>
      </c>
      <c r="P1749" s="7">
        <v>0</v>
      </c>
      <c r="Q1749" s="7">
        <v>0</v>
      </c>
      <c r="R1749" s="7">
        <v>1</v>
      </c>
      <c r="S1749" s="7">
        <v>4.5</v>
      </c>
      <c r="T1749">
        <v>7</v>
      </c>
      <c r="U1749" s="1">
        <v>33</v>
      </c>
      <c r="V1749">
        <v>0</v>
      </c>
      <c r="W1749">
        <v>0</v>
      </c>
      <c r="X1749">
        <v>1</v>
      </c>
      <c r="Y1749">
        <v>0.16</v>
      </c>
      <c r="Z1749">
        <v>23</v>
      </c>
      <c r="AA1749">
        <v>0</v>
      </c>
      <c r="AB1749">
        <v>0</v>
      </c>
      <c r="AC1749">
        <v>0</v>
      </c>
      <c r="AD1749">
        <v>1</v>
      </c>
      <c r="AE1749">
        <v>0.05</v>
      </c>
      <c r="AF1749">
        <v>15</v>
      </c>
      <c r="AG1749">
        <v>0</v>
      </c>
      <c r="AH1749">
        <v>0</v>
      </c>
      <c r="AI1749">
        <v>0</v>
      </c>
      <c r="AJ1749">
        <v>1</v>
      </c>
      <c r="AK1749">
        <v>0.02</v>
      </c>
      <c r="AL1749">
        <v>16</v>
      </c>
      <c r="AM1749">
        <v>0</v>
      </c>
      <c r="AN1749">
        <v>0</v>
      </c>
      <c r="AO1749">
        <v>0</v>
      </c>
      <c r="AP1749">
        <v>1</v>
      </c>
      <c r="AQ1749">
        <v>0.01</v>
      </c>
      <c r="AX1749">
        <v>7</v>
      </c>
      <c r="AY1749" s="1">
        <v>17</v>
      </c>
      <c r="AZ1749">
        <v>0</v>
      </c>
      <c r="BA1749">
        <v>0</v>
      </c>
      <c r="BB1749">
        <v>1</v>
      </c>
      <c r="BC1749" s="7">
        <v>0.32</v>
      </c>
      <c r="BD1749">
        <v>30</v>
      </c>
      <c r="BE1749">
        <v>0</v>
      </c>
      <c r="BF1749">
        <v>0</v>
      </c>
      <c r="BG1749">
        <v>0</v>
      </c>
      <c r="BH1749">
        <v>5</v>
      </c>
      <c r="BI1749">
        <v>2.4</v>
      </c>
      <c r="BJ1749">
        <v>31</v>
      </c>
      <c r="BK1749">
        <v>0</v>
      </c>
      <c r="BL1749">
        <v>0</v>
      </c>
      <c r="BM1749">
        <v>0</v>
      </c>
      <c r="BN1749">
        <v>5</v>
      </c>
      <c r="BO1749">
        <v>2.4</v>
      </c>
      <c r="BP1749">
        <v>36</v>
      </c>
      <c r="BQ1749">
        <v>0</v>
      </c>
      <c r="BR1749">
        <v>0</v>
      </c>
      <c r="BS1749">
        <v>0</v>
      </c>
      <c r="BT1749">
        <v>5</v>
      </c>
      <c r="BU1749">
        <v>1.5</v>
      </c>
    </row>
    <row r="1750" spans="1:73" ht="14.25" x14ac:dyDescent="0.15">
      <c r="A1750" s="12">
        <v>30947</v>
      </c>
      <c r="B1750">
        <v>7</v>
      </c>
      <c r="C1750" s="1">
        <v>46</v>
      </c>
      <c r="D1750">
        <v>0</v>
      </c>
      <c r="E1750">
        <v>0</v>
      </c>
      <c r="F1750">
        <v>1</v>
      </c>
      <c r="G1750" s="7">
        <v>0.05</v>
      </c>
      <c r="H1750">
        <v>12</v>
      </c>
      <c r="I1750">
        <v>0</v>
      </c>
      <c r="J1750">
        <v>0</v>
      </c>
      <c r="K1750">
        <v>0</v>
      </c>
      <c r="L1750">
        <v>1</v>
      </c>
      <c r="M1750">
        <v>2</v>
      </c>
      <c r="N1750" s="7">
        <v>9</v>
      </c>
      <c r="O1750" s="7">
        <v>0</v>
      </c>
      <c r="P1750" s="7">
        <v>0</v>
      </c>
      <c r="Q1750" s="7">
        <v>0</v>
      </c>
      <c r="R1750" s="7">
        <v>1</v>
      </c>
      <c r="S1750" s="7">
        <v>4.5</v>
      </c>
      <c r="T1750">
        <v>7</v>
      </c>
      <c r="U1750" s="1">
        <v>34</v>
      </c>
      <c r="V1750">
        <v>0</v>
      </c>
      <c r="W1750">
        <v>0</v>
      </c>
      <c r="X1750">
        <v>1</v>
      </c>
      <c r="Y1750">
        <v>0.16</v>
      </c>
      <c r="Z1750">
        <v>23</v>
      </c>
      <c r="AA1750">
        <v>0</v>
      </c>
      <c r="AB1750">
        <v>0</v>
      </c>
      <c r="AC1750">
        <v>0</v>
      </c>
      <c r="AD1750">
        <v>1</v>
      </c>
      <c r="AE1750">
        <v>0.05</v>
      </c>
      <c r="AF1750">
        <v>15</v>
      </c>
      <c r="AG1750">
        <v>0</v>
      </c>
      <c r="AH1750">
        <v>0</v>
      </c>
      <c r="AI1750">
        <v>0</v>
      </c>
      <c r="AJ1750">
        <v>1</v>
      </c>
      <c r="AK1750">
        <v>0.02</v>
      </c>
      <c r="AL1750">
        <v>16</v>
      </c>
      <c r="AM1750">
        <v>0</v>
      </c>
      <c r="AN1750">
        <v>0</v>
      </c>
      <c r="AO1750">
        <v>0</v>
      </c>
      <c r="AP1750">
        <v>1</v>
      </c>
      <c r="AQ1750">
        <v>0.01</v>
      </c>
      <c r="AX1750">
        <v>7</v>
      </c>
      <c r="AY1750" s="1">
        <v>18</v>
      </c>
      <c r="AZ1750">
        <v>0</v>
      </c>
      <c r="BA1750">
        <v>0</v>
      </c>
      <c r="BB1750">
        <v>1</v>
      </c>
      <c r="BC1750" s="7">
        <v>0.32</v>
      </c>
      <c r="BD1750">
        <v>30</v>
      </c>
      <c r="BE1750">
        <v>0</v>
      </c>
      <c r="BF1750">
        <v>0</v>
      </c>
      <c r="BG1750">
        <v>0</v>
      </c>
      <c r="BH1750">
        <v>5</v>
      </c>
      <c r="BI1750">
        <v>2.4</v>
      </c>
      <c r="BJ1750">
        <v>31</v>
      </c>
      <c r="BK1750">
        <v>0</v>
      </c>
      <c r="BL1750">
        <v>0</v>
      </c>
      <c r="BM1750">
        <v>0</v>
      </c>
      <c r="BN1750">
        <v>5</v>
      </c>
      <c r="BO1750">
        <v>2.4</v>
      </c>
      <c r="BP1750">
        <v>36</v>
      </c>
      <c r="BQ1750">
        <v>0</v>
      </c>
      <c r="BR1750">
        <v>0</v>
      </c>
      <c r="BS1750">
        <v>0</v>
      </c>
      <c r="BT1750">
        <v>5</v>
      </c>
      <c r="BU1750">
        <v>1.5</v>
      </c>
    </row>
    <row r="1751" spans="1:73" ht="14.25" x14ac:dyDescent="0.15">
      <c r="A1751" s="12">
        <v>30948</v>
      </c>
      <c r="B1751">
        <v>7</v>
      </c>
      <c r="C1751" s="1">
        <v>47</v>
      </c>
      <c r="D1751">
        <v>0</v>
      </c>
      <c r="E1751">
        <v>0</v>
      </c>
      <c r="F1751">
        <v>1</v>
      </c>
      <c r="G1751" s="7">
        <v>0.05</v>
      </c>
      <c r="H1751">
        <v>12</v>
      </c>
      <c r="I1751">
        <v>0</v>
      </c>
      <c r="J1751">
        <v>0</v>
      </c>
      <c r="K1751">
        <v>0</v>
      </c>
      <c r="L1751">
        <v>1</v>
      </c>
      <c r="M1751">
        <v>2</v>
      </c>
      <c r="N1751" s="7">
        <v>9</v>
      </c>
      <c r="O1751" s="7">
        <v>0</v>
      </c>
      <c r="P1751" s="7">
        <v>0</v>
      </c>
      <c r="Q1751" s="7">
        <v>0</v>
      </c>
      <c r="R1751" s="7">
        <v>1</v>
      </c>
      <c r="S1751" s="7">
        <v>4.5</v>
      </c>
      <c r="T1751">
        <v>7</v>
      </c>
      <c r="U1751" s="1">
        <v>35</v>
      </c>
      <c r="V1751">
        <v>0</v>
      </c>
      <c r="W1751">
        <v>0</v>
      </c>
      <c r="X1751">
        <v>1</v>
      </c>
      <c r="Y1751">
        <v>0.16</v>
      </c>
      <c r="Z1751">
        <v>23</v>
      </c>
      <c r="AA1751">
        <v>0</v>
      </c>
      <c r="AB1751">
        <v>0</v>
      </c>
      <c r="AC1751">
        <v>0</v>
      </c>
      <c r="AD1751">
        <v>1</v>
      </c>
      <c r="AE1751">
        <v>0.05</v>
      </c>
      <c r="AF1751">
        <v>15</v>
      </c>
      <c r="AG1751">
        <v>0</v>
      </c>
      <c r="AH1751">
        <v>0</v>
      </c>
      <c r="AI1751">
        <v>0</v>
      </c>
      <c r="AJ1751">
        <v>1</v>
      </c>
      <c r="AK1751">
        <v>0.02</v>
      </c>
      <c r="AL1751">
        <v>16</v>
      </c>
      <c r="AM1751">
        <v>0</v>
      </c>
      <c r="AN1751">
        <v>0</v>
      </c>
      <c r="AO1751">
        <v>0</v>
      </c>
      <c r="AP1751">
        <v>1</v>
      </c>
      <c r="AQ1751">
        <v>0.01</v>
      </c>
      <c r="AX1751">
        <v>7</v>
      </c>
      <c r="AY1751" s="1">
        <v>19</v>
      </c>
      <c r="AZ1751">
        <v>0</v>
      </c>
      <c r="BA1751">
        <v>0</v>
      </c>
      <c r="BB1751">
        <v>1</v>
      </c>
      <c r="BC1751" s="7">
        <v>0.32</v>
      </c>
      <c r="BD1751">
        <v>30</v>
      </c>
      <c r="BE1751">
        <v>0</v>
      </c>
      <c r="BF1751">
        <v>0</v>
      </c>
      <c r="BG1751">
        <v>0</v>
      </c>
      <c r="BH1751">
        <v>5</v>
      </c>
      <c r="BI1751">
        <v>2.4</v>
      </c>
      <c r="BJ1751">
        <v>31</v>
      </c>
      <c r="BK1751">
        <v>0</v>
      </c>
      <c r="BL1751">
        <v>0</v>
      </c>
      <c r="BM1751">
        <v>0</v>
      </c>
      <c r="BN1751">
        <v>5</v>
      </c>
      <c r="BO1751">
        <v>2.4</v>
      </c>
      <c r="BP1751">
        <v>36</v>
      </c>
      <c r="BQ1751">
        <v>0</v>
      </c>
      <c r="BR1751">
        <v>0</v>
      </c>
      <c r="BS1751">
        <v>0</v>
      </c>
      <c r="BT1751">
        <v>5</v>
      </c>
      <c r="BU1751">
        <v>1.5</v>
      </c>
    </row>
    <row r="1752" spans="1:73" ht="14.25" x14ac:dyDescent="0.15">
      <c r="A1752" s="12">
        <v>30949</v>
      </c>
      <c r="B1752">
        <v>7</v>
      </c>
      <c r="C1752" s="1">
        <v>48</v>
      </c>
      <c r="D1752">
        <v>0</v>
      </c>
      <c r="E1752">
        <v>0</v>
      </c>
      <c r="F1752">
        <v>1</v>
      </c>
      <c r="G1752" s="7">
        <v>0.05</v>
      </c>
      <c r="H1752">
        <v>12</v>
      </c>
      <c r="I1752">
        <v>0</v>
      </c>
      <c r="J1752">
        <v>0</v>
      </c>
      <c r="K1752">
        <v>0</v>
      </c>
      <c r="L1752">
        <v>1</v>
      </c>
      <c r="M1752">
        <v>2</v>
      </c>
      <c r="N1752" s="7">
        <v>9</v>
      </c>
      <c r="O1752" s="7">
        <v>0</v>
      </c>
      <c r="P1752" s="7">
        <v>0</v>
      </c>
      <c r="Q1752" s="7">
        <v>0</v>
      </c>
      <c r="R1752" s="7">
        <v>1</v>
      </c>
      <c r="S1752" s="7">
        <v>4.5</v>
      </c>
      <c r="T1752">
        <v>7</v>
      </c>
      <c r="U1752" s="1">
        <v>36</v>
      </c>
      <c r="V1752">
        <v>0</v>
      </c>
      <c r="W1752">
        <v>0</v>
      </c>
      <c r="X1752">
        <v>1</v>
      </c>
      <c r="Y1752">
        <v>0.16</v>
      </c>
      <c r="Z1752">
        <v>23</v>
      </c>
      <c r="AA1752">
        <v>0</v>
      </c>
      <c r="AB1752">
        <v>0</v>
      </c>
      <c r="AC1752">
        <v>0</v>
      </c>
      <c r="AD1752">
        <v>1</v>
      </c>
      <c r="AE1752">
        <v>0.05</v>
      </c>
      <c r="AF1752">
        <v>15</v>
      </c>
      <c r="AG1752">
        <v>0</v>
      </c>
      <c r="AH1752">
        <v>0</v>
      </c>
      <c r="AI1752">
        <v>0</v>
      </c>
      <c r="AJ1752">
        <v>1</v>
      </c>
      <c r="AK1752">
        <v>0.02</v>
      </c>
      <c r="AL1752">
        <v>16</v>
      </c>
      <c r="AM1752">
        <v>0</v>
      </c>
      <c r="AN1752">
        <v>0</v>
      </c>
      <c r="AO1752">
        <v>0</v>
      </c>
      <c r="AP1752">
        <v>1</v>
      </c>
      <c r="AQ1752">
        <v>0.01</v>
      </c>
      <c r="AX1752">
        <v>7</v>
      </c>
      <c r="AY1752" s="1">
        <v>20</v>
      </c>
      <c r="AZ1752">
        <v>0</v>
      </c>
      <c r="BA1752">
        <v>0</v>
      </c>
      <c r="BB1752">
        <v>1</v>
      </c>
      <c r="BC1752" s="7">
        <v>0.32</v>
      </c>
      <c r="BD1752">
        <v>30</v>
      </c>
      <c r="BE1752">
        <v>0</v>
      </c>
      <c r="BF1752">
        <v>0</v>
      </c>
      <c r="BG1752">
        <v>0</v>
      </c>
      <c r="BH1752">
        <v>5</v>
      </c>
      <c r="BI1752">
        <v>2.4</v>
      </c>
      <c r="BJ1752">
        <v>31</v>
      </c>
      <c r="BK1752">
        <v>0</v>
      </c>
      <c r="BL1752">
        <v>0</v>
      </c>
      <c r="BM1752">
        <v>0</v>
      </c>
      <c r="BN1752">
        <v>5</v>
      </c>
      <c r="BO1752">
        <v>2.4</v>
      </c>
      <c r="BP1752">
        <v>36</v>
      </c>
      <c r="BQ1752">
        <v>0</v>
      </c>
      <c r="BR1752">
        <v>0</v>
      </c>
      <c r="BS1752">
        <v>0</v>
      </c>
      <c r="BT1752">
        <v>5</v>
      </c>
      <c r="BU1752">
        <v>1.5</v>
      </c>
    </row>
    <row r="1753" spans="1:73" ht="14.25" x14ac:dyDescent="0.15">
      <c r="A1753" s="12">
        <v>30950</v>
      </c>
      <c r="B1753">
        <v>7</v>
      </c>
      <c r="C1753" s="1">
        <v>0</v>
      </c>
      <c r="D1753">
        <v>5</v>
      </c>
      <c r="E1753">
        <v>1</v>
      </c>
      <c r="F1753">
        <v>1</v>
      </c>
      <c r="G1753" s="7">
        <v>0.05</v>
      </c>
      <c r="H1753">
        <v>12</v>
      </c>
      <c r="I1753">
        <v>0</v>
      </c>
      <c r="J1753">
        <v>0</v>
      </c>
      <c r="K1753">
        <v>0</v>
      </c>
      <c r="L1753">
        <v>1</v>
      </c>
      <c r="M1753">
        <v>2</v>
      </c>
      <c r="N1753" s="7">
        <v>9</v>
      </c>
      <c r="O1753" s="7">
        <v>0</v>
      </c>
      <c r="P1753" s="7">
        <v>0</v>
      </c>
      <c r="Q1753" s="7">
        <v>0</v>
      </c>
      <c r="R1753" s="7">
        <v>1</v>
      </c>
      <c r="S1753" s="7">
        <v>4.5</v>
      </c>
      <c r="T1753">
        <v>7</v>
      </c>
      <c r="U1753" s="1">
        <v>0</v>
      </c>
      <c r="V1753">
        <v>4</v>
      </c>
      <c r="W1753">
        <v>2</v>
      </c>
      <c r="X1753">
        <v>1</v>
      </c>
      <c r="Y1753">
        <v>0.16</v>
      </c>
      <c r="Z1753">
        <v>23</v>
      </c>
      <c r="AA1753">
        <v>0</v>
      </c>
      <c r="AB1753">
        <v>0</v>
      </c>
      <c r="AC1753">
        <v>0</v>
      </c>
      <c r="AD1753">
        <v>1</v>
      </c>
      <c r="AE1753">
        <v>0.05</v>
      </c>
      <c r="AF1753">
        <v>15</v>
      </c>
      <c r="AG1753">
        <v>0</v>
      </c>
      <c r="AH1753">
        <v>0</v>
      </c>
      <c r="AI1753">
        <v>0</v>
      </c>
      <c r="AJ1753">
        <v>1</v>
      </c>
      <c r="AK1753">
        <v>0.02</v>
      </c>
      <c r="AL1753">
        <v>16</v>
      </c>
      <c r="AM1753">
        <v>0</v>
      </c>
      <c r="AN1753">
        <v>0</v>
      </c>
      <c r="AO1753">
        <v>0</v>
      </c>
      <c r="AP1753">
        <v>1</v>
      </c>
      <c r="AQ1753">
        <v>0.01</v>
      </c>
      <c r="AR1753">
        <v>6</v>
      </c>
      <c r="AS1753">
        <v>2</v>
      </c>
      <c r="AT1753">
        <v>5</v>
      </c>
      <c r="AU1753">
        <v>5</v>
      </c>
      <c r="AV1753">
        <v>1</v>
      </c>
      <c r="AW1753">
        <v>0.01</v>
      </c>
      <c r="AX1753">
        <v>7</v>
      </c>
      <c r="AY1753" s="1">
        <v>0</v>
      </c>
      <c r="AZ1753">
        <v>3</v>
      </c>
      <c r="BA1753">
        <v>1</v>
      </c>
      <c r="BB1753">
        <v>1</v>
      </c>
      <c r="BC1753" s="7">
        <v>0.32</v>
      </c>
      <c r="BD1753">
        <v>30</v>
      </c>
      <c r="BE1753">
        <v>0</v>
      </c>
      <c r="BF1753">
        <v>0</v>
      </c>
      <c r="BG1753">
        <v>0</v>
      </c>
      <c r="BH1753">
        <v>5</v>
      </c>
      <c r="BI1753">
        <v>2.4</v>
      </c>
      <c r="BJ1753">
        <v>31</v>
      </c>
      <c r="BK1753">
        <v>0</v>
      </c>
      <c r="BL1753">
        <v>0</v>
      </c>
      <c r="BM1753">
        <v>0</v>
      </c>
      <c r="BN1753">
        <v>5</v>
      </c>
      <c r="BO1753">
        <v>2.4</v>
      </c>
      <c r="BP1753">
        <v>36</v>
      </c>
      <c r="BQ1753">
        <v>0</v>
      </c>
      <c r="BR1753">
        <v>0</v>
      </c>
      <c r="BS1753">
        <v>0</v>
      </c>
      <c r="BT1753">
        <v>5</v>
      </c>
      <c r="BU1753">
        <v>1.5</v>
      </c>
    </row>
    <row r="1754" spans="1:73" ht="14.25" x14ac:dyDescent="0.15">
      <c r="A1754" s="12">
        <v>31001</v>
      </c>
      <c r="B1754">
        <v>7</v>
      </c>
      <c r="C1754" s="1">
        <v>45</v>
      </c>
      <c r="D1754">
        <v>0</v>
      </c>
      <c r="E1754">
        <v>0</v>
      </c>
      <c r="F1754">
        <v>1</v>
      </c>
      <c r="G1754" s="7">
        <v>0.05</v>
      </c>
      <c r="H1754">
        <v>12</v>
      </c>
      <c r="I1754">
        <v>0</v>
      </c>
      <c r="J1754">
        <v>0</v>
      </c>
      <c r="K1754">
        <v>0</v>
      </c>
      <c r="L1754">
        <v>1</v>
      </c>
      <c r="M1754">
        <v>2</v>
      </c>
      <c r="N1754" s="7">
        <v>9</v>
      </c>
      <c r="O1754" s="7">
        <v>0</v>
      </c>
      <c r="P1754" s="7">
        <v>0</v>
      </c>
      <c r="Q1754" s="7">
        <v>0</v>
      </c>
      <c r="R1754" s="7">
        <v>1</v>
      </c>
      <c r="S1754" s="7">
        <v>4.5</v>
      </c>
      <c r="T1754">
        <v>7</v>
      </c>
      <c r="U1754" s="1">
        <v>33</v>
      </c>
      <c r="V1754">
        <v>0</v>
      </c>
      <c r="W1754">
        <v>0</v>
      </c>
      <c r="X1754">
        <v>1</v>
      </c>
      <c r="Y1754">
        <v>0.16</v>
      </c>
      <c r="Z1754">
        <v>23</v>
      </c>
      <c r="AA1754">
        <v>0</v>
      </c>
      <c r="AB1754">
        <v>0</v>
      </c>
      <c r="AC1754">
        <v>0</v>
      </c>
      <c r="AD1754">
        <v>1</v>
      </c>
      <c r="AE1754">
        <v>0.05</v>
      </c>
      <c r="AF1754">
        <v>15</v>
      </c>
      <c r="AG1754">
        <v>0</v>
      </c>
      <c r="AH1754">
        <v>0</v>
      </c>
      <c r="AI1754">
        <v>0</v>
      </c>
      <c r="AJ1754">
        <v>1</v>
      </c>
      <c r="AK1754">
        <v>0.02</v>
      </c>
      <c r="AL1754">
        <v>16</v>
      </c>
      <c r="AM1754">
        <v>0</v>
      </c>
      <c r="AN1754">
        <v>0</v>
      </c>
      <c r="AO1754">
        <v>0</v>
      </c>
      <c r="AP1754">
        <v>1</v>
      </c>
      <c r="AQ1754">
        <v>0.01</v>
      </c>
      <c r="AX1754">
        <v>7</v>
      </c>
      <c r="AY1754" s="1">
        <v>17</v>
      </c>
      <c r="AZ1754">
        <v>0</v>
      </c>
      <c r="BA1754">
        <v>0</v>
      </c>
      <c r="BB1754">
        <v>1</v>
      </c>
      <c r="BC1754" s="7">
        <v>0.32</v>
      </c>
      <c r="BD1754">
        <v>30</v>
      </c>
      <c r="BE1754">
        <v>0</v>
      </c>
      <c r="BF1754">
        <v>0</v>
      </c>
      <c r="BG1754">
        <v>0</v>
      </c>
      <c r="BH1754">
        <v>5</v>
      </c>
      <c r="BI1754">
        <v>2.4</v>
      </c>
      <c r="BJ1754">
        <v>31</v>
      </c>
      <c r="BK1754">
        <v>0</v>
      </c>
      <c r="BL1754">
        <v>0</v>
      </c>
      <c r="BM1754">
        <v>0</v>
      </c>
      <c r="BN1754">
        <v>5</v>
      </c>
      <c r="BO1754">
        <v>2.4</v>
      </c>
      <c r="BP1754">
        <v>36</v>
      </c>
      <c r="BQ1754">
        <v>0</v>
      </c>
      <c r="BR1754">
        <v>0</v>
      </c>
      <c r="BS1754">
        <v>0</v>
      </c>
      <c r="BT1754">
        <v>5</v>
      </c>
      <c r="BU1754">
        <v>1.5</v>
      </c>
    </row>
    <row r="1755" spans="1:73" ht="14.25" x14ac:dyDescent="0.15">
      <c r="A1755" s="12">
        <v>31002</v>
      </c>
      <c r="B1755">
        <v>7</v>
      </c>
      <c r="C1755" s="1">
        <v>46</v>
      </c>
      <c r="D1755">
        <v>0</v>
      </c>
      <c r="E1755">
        <v>0</v>
      </c>
      <c r="F1755">
        <v>1</v>
      </c>
      <c r="G1755" s="7">
        <v>0.05</v>
      </c>
      <c r="H1755">
        <v>12</v>
      </c>
      <c r="I1755">
        <v>0</v>
      </c>
      <c r="J1755">
        <v>0</v>
      </c>
      <c r="K1755">
        <v>0</v>
      </c>
      <c r="L1755">
        <v>1</v>
      </c>
      <c r="M1755">
        <v>2</v>
      </c>
      <c r="N1755" s="7">
        <v>9</v>
      </c>
      <c r="O1755" s="7">
        <v>0</v>
      </c>
      <c r="P1755" s="7">
        <v>0</v>
      </c>
      <c r="Q1755" s="7">
        <v>0</v>
      </c>
      <c r="R1755" s="7">
        <v>1</v>
      </c>
      <c r="S1755" s="7">
        <v>4.5</v>
      </c>
      <c r="T1755">
        <v>7</v>
      </c>
      <c r="U1755" s="1">
        <v>34</v>
      </c>
      <c r="V1755">
        <v>0</v>
      </c>
      <c r="W1755">
        <v>0</v>
      </c>
      <c r="X1755">
        <v>1</v>
      </c>
      <c r="Y1755">
        <v>0.16</v>
      </c>
      <c r="Z1755">
        <v>23</v>
      </c>
      <c r="AA1755">
        <v>0</v>
      </c>
      <c r="AB1755">
        <v>0</v>
      </c>
      <c r="AC1755">
        <v>0</v>
      </c>
      <c r="AD1755">
        <v>1</v>
      </c>
      <c r="AE1755">
        <v>0.05</v>
      </c>
      <c r="AF1755">
        <v>15</v>
      </c>
      <c r="AG1755">
        <v>0</v>
      </c>
      <c r="AH1755">
        <v>0</v>
      </c>
      <c r="AI1755">
        <v>0</v>
      </c>
      <c r="AJ1755">
        <v>1</v>
      </c>
      <c r="AK1755">
        <v>0.02</v>
      </c>
      <c r="AL1755">
        <v>16</v>
      </c>
      <c r="AM1755">
        <v>0</v>
      </c>
      <c r="AN1755">
        <v>0</v>
      </c>
      <c r="AO1755">
        <v>0</v>
      </c>
      <c r="AP1755">
        <v>1</v>
      </c>
      <c r="AQ1755">
        <v>0.01</v>
      </c>
      <c r="AX1755">
        <v>7</v>
      </c>
      <c r="AY1755" s="1">
        <v>18</v>
      </c>
      <c r="AZ1755">
        <v>0</v>
      </c>
      <c r="BA1755">
        <v>0</v>
      </c>
      <c r="BB1755">
        <v>1</v>
      </c>
      <c r="BC1755" s="7">
        <v>0.32</v>
      </c>
      <c r="BD1755">
        <v>30</v>
      </c>
      <c r="BE1755">
        <v>0</v>
      </c>
      <c r="BF1755">
        <v>0</v>
      </c>
      <c r="BG1755">
        <v>0</v>
      </c>
      <c r="BH1755">
        <v>5</v>
      </c>
      <c r="BI1755">
        <v>2.4</v>
      </c>
      <c r="BJ1755">
        <v>31</v>
      </c>
      <c r="BK1755">
        <v>0</v>
      </c>
      <c r="BL1755">
        <v>0</v>
      </c>
      <c r="BM1755">
        <v>0</v>
      </c>
      <c r="BN1755">
        <v>5</v>
      </c>
      <c r="BO1755">
        <v>2.4</v>
      </c>
      <c r="BP1755">
        <v>36</v>
      </c>
      <c r="BQ1755">
        <v>0</v>
      </c>
      <c r="BR1755">
        <v>0</v>
      </c>
      <c r="BS1755">
        <v>0</v>
      </c>
      <c r="BT1755">
        <v>5</v>
      </c>
      <c r="BU1755">
        <v>1.5</v>
      </c>
    </row>
    <row r="1756" spans="1:73" ht="14.25" x14ac:dyDescent="0.15">
      <c r="A1756" s="12">
        <v>31003</v>
      </c>
      <c r="B1756">
        <v>7</v>
      </c>
      <c r="C1756" s="1">
        <v>47</v>
      </c>
      <c r="D1756">
        <v>0</v>
      </c>
      <c r="E1756">
        <v>0</v>
      </c>
      <c r="F1756">
        <v>1</v>
      </c>
      <c r="G1756" s="7">
        <v>0.05</v>
      </c>
      <c r="H1756">
        <v>12</v>
      </c>
      <c r="I1756">
        <v>0</v>
      </c>
      <c r="J1756">
        <v>0</v>
      </c>
      <c r="K1756">
        <v>0</v>
      </c>
      <c r="L1756">
        <v>1</v>
      </c>
      <c r="M1756">
        <v>2</v>
      </c>
      <c r="N1756" s="7">
        <v>9</v>
      </c>
      <c r="O1756" s="7">
        <v>0</v>
      </c>
      <c r="P1756" s="7">
        <v>0</v>
      </c>
      <c r="Q1756" s="7">
        <v>0</v>
      </c>
      <c r="R1756" s="7">
        <v>1</v>
      </c>
      <c r="S1756" s="7">
        <v>4.5</v>
      </c>
      <c r="T1756">
        <v>7</v>
      </c>
      <c r="U1756" s="1">
        <v>35</v>
      </c>
      <c r="V1756">
        <v>0</v>
      </c>
      <c r="W1756">
        <v>0</v>
      </c>
      <c r="X1756">
        <v>1</v>
      </c>
      <c r="Y1756">
        <v>0.16</v>
      </c>
      <c r="Z1756">
        <v>23</v>
      </c>
      <c r="AA1756">
        <v>0</v>
      </c>
      <c r="AB1756">
        <v>0</v>
      </c>
      <c r="AC1756">
        <v>0</v>
      </c>
      <c r="AD1756">
        <v>1</v>
      </c>
      <c r="AE1756">
        <v>0.05</v>
      </c>
      <c r="AF1756">
        <v>15</v>
      </c>
      <c r="AG1756">
        <v>0</v>
      </c>
      <c r="AH1756">
        <v>0</v>
      </c>
      <c r="AI1756">
        <v>0</v>
      </c>
      <c r="AJ1756">
        <v>1</v>
      </c>
      <c r="AK1756">
        <v>0.02</v>
      </c>
      <c r="AL1756">
        <v>16</v>
      </c>
      <c r="AM1756">
        <v>0</v>
      </c>
      <c r="AN1756">
        <v>0</v>
      </c>
      <c r="AO1756">
        <v>0</v>
      </c>
      <c r="AP1756">
        <v>1</v>
      </c>
      <c r="AQ1756">
        <v>0.01</v>
      </c>
      <c r="AX1756">
        <v>7</v>
      </c>
      <c r="AY1756" s="1">
        <v>19</v>
      </c>
      <c r="AZ1756">
        <v>0</v>
      </c>
      <c r="BA1756">
        <v>0</v>
      </c>
      <c r="BB1756">
        <v>1</v>
      </c>
      <c r="BC1756" s="7">
        <v>0.32</v>
      </c>
      <c r="BD1756">
        <v>30</v>
      </c>
      <c r="BE1756">
        <v>0</v>
      </c>
      <c r="BF1756">
        <v>0</v>
      </c>
      <c r="BG1756">
        <v>0</v>
      </c>
      <c r="BH1756">
        <v>5</v>
      </c>
      <c r="BI1756">
        <v>2.4</v>
      </c>
      <c r="BJ1756">
        <v>31</v>
      </c>
      <c r="BK1756">
        <v>0</v>
      </c>
      <c r="BL1756">
        <v>0</v>
      </c>
      <c r="BM1756">
        <v>0</v>
      </c>
      <c r="BN1756">
        <v>5</v>
      </c>
      <c r="BO1756">
        <v>2.4</v>
      </c>
      <c r="BP1756">
        <v>36</v>
      </c>
      <c r="BQ1756">
        <v>0</v>
      </c>
      <c r="BR1756">
        <v>0</v>
      </c>
      <c r="BS1756">
        <v>0</v>
      </c>
      <c r="BT1756">
        <v>5</v>
      </c>
      <c r="BU1756">
        <v>1.5</v>
      </c>
    </row>
    <row r="1757" spans="1:73" ht="14.25" x14ac:dyDescent="0.15">
      <c r="A1757" s="12">
        <v>31004</v>
      </c>
      <c r="B1757">
        <v>7</v>
      </c>
      <c r="C1757" s="1">
        <v>48</v>
      </c>
      <c r="D1757">
        <v>0</v>
      </c>
      <c r="E1757">
        <v>0</v>
      </c>
      <c r="F1757">
        <v>1</v>
      </c>
      <c r="G1757" s="7">
        <v>0.05</v>
      </c>
      <c r="H1757">
        <v>12</v>
      </c>
      <c r="I1757">
        <v>0</v>
      </c>
      <c r="J1757">
        <v>0</v>
      </c>
      <c r="K1757">
        <v>0</v>
      </c>
      <c r="L1757">
        <v>1</v>
      </c>
      <c r="M1757">
        <v>2</v>
      </c>
      <c r="N1757" s="7">
        <v>9</v>
      </c>
      <c r="O1757" s="7">
        <v>0</v>
      </c>
      <c r="P1757" s="7">
        <v>0</v>
      </c>
      <c r="Q1757" s="7">
        <v>0</v>
      </c>
      <c r="R1757" s="7">
        <v>1</v>
      </c>
      <c r="S1757" s="7">
        <v>4.5</v>
      </c>
      <c r="T1757">
        <v>7</v>
      </c>
      <c r="U1757" s="1">
        <v>36</v>
      </c>
      <c r="V1757">
        <v>0</v>
      </c>
      <c r="W1757">
        <v>0</v>
      </c>
      <c r="X1757">
        <v>1</v>
      </c>
      <c r="Y1757">
        <v>0.16</v>
      </c>
      <c r="Z1757">
        <v>23</v>
      </c>
      <c r="AA1757">
        <v>0</v>
      </c>
      <c r="AB1757">
        <v>0</v>
      </c>
      <c r="AC1757">
        <v>0</v>
      </c>
      <c r="AD1757">
        <v>1</v>
      </c>
      <c r="AE1757">
        <v>0.05</v>
      </c>
      <c r="AF1757">
        <v>15</v>
      </c>
      <c r="AG1757">
        <v>0</v>
      </c>
      <c r="AH1757">
        <v>0</v>
      </c>
      <c r="AI1757">
        <v>0</v>
      </c>
      <c r="AJ1757">
        <v>1</v>
      </c>
      <c r="AK1757">
        <v>0.02</v>
      </c>
      <c r="AL1757">
        <v>16</v>
      </c>
      <c r="AM1757">
        <v>0</v>
      </c>
      <c r="AN1757">
        <v>0</v>
      </c>
      <c r="AO1757">
        <v>0</v>
      </c>
      <c r="AP1757">
        <v>1</v>
      </c>
      <c r="AQ1757">
        <v>0.01</v>
      </c>
      <c r="AX1757">
        <v>7</v>
      </c>
      <c r="AY1757" s="1">
        <v>20</v>
      </c>
      <c r="AZ1757">
        <v>0</v>
      </c>
      <c r="BA1757">
        <v>0</v>
      </c>
      <c r="BB1757">
        <v>1</v>
      </c>
      <c r="BC1757" s="7">
        <v>0.32</v>
      </c>
      <c r="BD1757">
        <v>30</v>
      </c>
      <c r="BE1757">
        <v>0</v>
      </c>
      <c r="BF1757">
        <v>0</v>
      </c>
      <c r="BG1757">
        <v>0</v>
      </c>
      <c r="BH1757">
        <v>5</v>
      </c>
      <c r="BI1757">
        <v>2.4</v>
      </c>
      <c r="BJ1757">
        <v>31</v>
      </c>
      <c r="BK1757">
        <v>0</v>
      </c>
      <c r="BL1757">
        <v>0</v>
      </c>
      <c r="BM1757">
        <v>0</v>
      </c>
      <c r="BN1757">
        <v>5</v>
      </c>
      <c r="BO1757">
        <v>2.4</v>
      </c>
      <c r="BP1757">
        <v>36</v>
      </c>
      <c r="BQ1757">
        <v>0</v>
      </c>
      <c r="BR1757">
        <v>0</v>
      </c>
      <c r="BS1757">
        <v>0</v>
      </c>
      <c r="BT1757">
        <v>5</v>
      </c>
      <c r="BU1757">
        <v>1.5</v>
      </c>
    </row>
    <row r="1758" spans="1:73" ht="14.25" x14ac:dyDescent="0.15">
      <c r="A1758" s="12">
        <v>31005</v>
      </c>
      <c r="B1758">
        <v>7</v>
      </c>
      <c r="C1758" s="1">
        <v>0</v>
      </c>
      <c r="D1758">
        <v>5</v>
      </c>
      <c r="E1758">
        <v>1</v>
      </c>
      <c r="F1758">
        <v>1</v>
      </c>
      <c r="G1758" s="7">
        <v>0.05</v>
      </c>
      <c r="H1758">
        <v>12</v>
      </c>
      <c r="I1758">
        <v>0</v>
      </c>
      <c r="J1758">
        <v>0</v>
      </c>
      <c r="K1758">
        <v>0</v>
      </c>
      <c r="L1758">
        <v>1</v>
      </c>
      <c r="M1758">
        <v>2</v>
      </c>
      <c r="N1758" s="7">
        <v>9</v>
      </c>
      <c r="O1758" s="7">
        <v>0</v>
      </c>
      <c r="P1758" s="7">
        <v>0</v>
      </c>
      <c r="Q1758" s="7">
        <v>0</v>
      </c>
      <c r="R1758" s="7">
        <v>1</v>
      </c>
      <c r="S1758" s="7">
        <v>4.5</v>
      </c>
      <c r="T1758">
        <v>7</v>
      </c>
      <c r="U1758" s="1">
        <v>0</v>
      </c>
      <c r="V1758">
        <v>4</v>
      </c>
      <c r="W1758">
        <v>2</v>
      </c>
      <c r="X1758">
        <v>1</v>
      </c>
      <c r="Y1758">
        <v>0.16</v>
      </c>
      <c r="Z1758">
        <v>23</v>
      </c>
      <c r="AA1758">
        <v>0</v>
      </c>
      <c r="AB1758">
        <v>0</v>
      </c>
      <c r="AC1758">
        <v>0</v>
      </c>
      <c r="AD1758">
        <v>1</v>
      </c>
      <c r="AE1758">
        <v>0.05</v>
      </c>
      <c r="AF1758">
        <v>15</v>
      </c>
      <c r="AG1758">
        <v>0</v>
      </c>
      <c r="AH1758">
        <v>0</v>
      </c>
      <c r="AI1758">
        <v>0</v>
      </c>
      <c r="AJ1758">
        <v>1</v>
      </c>
      <c r="AK1758">
        <v>0.02</v>
      </c>
      <c r="AL1758">
        <v>16</v>
      </c>
      <c r="AM1758">
        <v>0</v>
      </c>
      <c r="AN1758">
        <v>0</v>
      </c>
      <c r="AO1758">
        <v>0</v>
      </c>
      <c r="AP1758">
        <v>1</v>
      </c>
      <c r="AQ1758">
        <v>0.01</v>
      </c>
      <c r="AR1758">
        <v>6</v>
      </c>
      <c r="AS1758">
        <v>2</v>
      </c>
      <c r="AT1758">
        <v>1</v>
      </c>
      <c r="AU1758">
        <v>5</v>
      </c>
      <c r="AV1758">
        <v>1</v>
      </c>
      <c r="AW1758">
        <v>0.05</v>
      </c>
      <c r="AX1758">
        <v>7</v>
      </c>
      <c r="AY1758" s="1">
        <v>0</v>
      </c>
      <c r="AZ1758">
        <v>3</v>
      </c>
      <c r="BA1758">
        <v>1</v>
      </c>
      <c r="BB1758">
        <v>1</v>
      </c>
      <c r="BC1758" s="7">
        <v>0.32</v>
      </c>
      <c r="BD1758">
        <v>30</v>
      </c>
      <c r="BE1758">
        <v>0</v>
      </c>
      <c r="BF1758">
        <v>0</v>
      </c>
      <c r="BG1758">
        <v>0</v>
      </c>
      <c r="BH1758">
        <v>5</v>
      </c>
      <c r="BI1758">
        <v>2.4</v>
      </c>
      <c r="BJ1758">
        <v>31</v>
      </c>
      <c r="BK1758">
        <v>0</v>
      </c>
      <c r="BL1758">
        <v>0</v>
      </c>
      <c r="BM1758">
        <v>0</v>
      </c>
      <c r="BN1758">
        <v>5</v>
      </c>
      <c r="BO1758">
        <v>2.4</v>
      </c>
      <c r="BP1758">
        <v>36</v>
      </c>
      <c r="BQ1758">
        <v>0</v>
      </c>
      <c r="BR1758">
        <v>0</v>
      </c>
      <c r="BS1758">
        <v>0</v>
      </c>
      <c r="BT1758">
        <v>5</v>
      </c>
      <c r="BU1758">
        <v>1.5</v>
      </c>
    </row>
    <row r="1759" spans="1:73" ht="14.25" x14ac:dyDescent="0.15">
      <c r="A1759" s="12">
        <v>31006</v>
      </c>
      <c r="B1759">
        <v>7</v>
      </c>
      <c r="C1759" s="1">
        <v>45</v>
      </c>
      <c r="D1759">
        <v>0</v>
      </c>
      <c r="E1759">
        <v>0</v>
      </c>
      <c r="F1759">
        <v>1</v>
      </c>
      <c r="G1759" s="7">
        <v>0.05</v>
      </c>
      <c r="H1759">
        <v>12</v>
      </c>
      <c r="I1759">
        <v>0</v>
      </c>
      <c r="J1759">
        <v>0</v>
      </c>
      <c r="K1759">
        <v>0</v>
      </c>
      <c r="L1759">
        <v>1</v>
      </c>
      <c r="M1759">
        <v>2</v>
      </c>
      <c r="N1759" s="7">
        <v>9</v>
      </c>
      <c r="O1759" s="7">
        <v>0</v>
      </c>
      <c r="P1759" s="7">
        <v>0</v>
      </c>
      <c r="Q1759" s="7">
        <v>0</v>
      </c>
      <c r="R1759" s="7">
        <v>1</v>
      </c>
      <c r="S1759" s="7">
        <v>4.5</v>
      </c>
      <c r="T1759">
        <v>7</v>
      </c>
      <c r="U1759" s="1">
        <v>33</v>
      </c>
      <c r="V1759">
        <v>0</v>
      </c>
      <c r="W1759">
        <v>0</v>
      </c>
      <c r="X1759">
        <v>1</v>
      </c>
      <c r="Y1759">
        <v>0.16</v>
      </c>
      <c r="Z1759">
        <v>23</v>
      </c>
      <c r="AA1759">
        <v>0</v>
      </c>
      <c r="AB1759">
        <v>0</v>
      </c>
      <c r="AC1759">
        <v>0</v>
      </c>
      <c r="AD1759">
        <v>1</v>
      </c>
      <c r="AE1759">
        <v>0.05</v>
      </c>
      <c r="AF1759">
        <v>15</v>
      </c>
      <c r="AG1759">
        <v>0</v>
      </c>
      <c r="AH1759">
        <v>0</v>
      </c>
      <c r="AI1759">
        <v>0</v>
      </c>
      <c r="AJ1759">
        <v>1</v>
      </c>
      <c r="AK1759">
        <v>0.02</v>
      </c>
      <c r="AL1759">
        <v>16</v>
      </c>
      <c r="AM1759">
        <v>0</v>
      </c>
      <c r="AN1759">
        <v>0</v>
      </c>
      <c r="AO1759">
        <v>0</v>
      </c>
      <c r="AP1759">
        <v>1</v>
      </c>
      <c r="AQ1759">
        <v>0.01</v>
      </c>
      <c r="AX1759">
        <v>7</v>
      </c>
      <c r="AY1759" s="1">
        <v>17</v>
      </c>
      <c r="AZ1759">
        <v>0</v>
      </c>
      <c r="BA1759">
        <v>0</v>
      </c>
      <c r="BB1759">
        <v>1</v>
      </c>
      <c r="BC1759" s="7">
        <v>0.32</v>
      </c>
      <c r="BD1759">
        <v>30</v>
      </c>
      <c r="BE1759">
        <v>0</v>
      </c>
      <c r="BF1759">
        <v>0</v>
      </c>
      <c r="BG1759">
        <v>0</v>
      </c>
      <c r="BH1759">
        <v>5</v>
      </c>
      <c r="BI1759">
        <v>2.4</v>
      </c>
      <c r="BJ1759">
        <v>31</v>
      </c>
      <c r="BK1759">
        <v>0</v>
      </c>
      <c r="BL1759">
        <v>0</v>
      </c>
      <c r="BM1759">
        <v>0</v>
      </c>
      <c r="BN1759">
        <v>5</v>
      </c>
      <c r="BO1759">
        <v>2.4</v>
      </c>
      <c r="BP1759">
        <v>36</v>
      </c>
      <c r="BQ1759">
        <v>0</v>
      </c>
      <c r="BR1759">
        <v>0</v>
      </c>
      <c r="BS1759">
        <v>0</v>
      </c>
      <c r="BT1759">
        <v>5</v>
      </c>
      <c r="BU1759">
        <v>1.5</v>
      </c>
    </row>
    <row r="1760" spans="1:73" ht="14.25" x14ac:dyDescent="0.15">
      <c r="A1760" s="12">
        <v>31007</v>
      </c>
      <c r="B1760">
        <v>7</v>
      </c>
      <c r="C1760" s="1">
        <v>46</v>
      </c>
      <c r="D1760">
        <v>0</v>
      </c>
      <c r="E1760">
        <v>0</v>
      </c>
      <c r="F1760">
        <v>1</v>
      </c>
      <c r="G1760" s="7">
        <v>0.05</v>
      </c>
      <c r="H1760">
        <v>12</v>
      </c>
      <c r="I1760">
        <v>0</v>
      </c>
      <c r="J1760">
        <v>0</v>
      </c>
      <c r="K1760">
        <v>0</v>
      </c>
      <c r="L1760">
        <v>1</v>
      </c>
      <c r="M1760">
        <v>2</v>
      </c>
      <c r="N1760" s="7">
        <v>9</v>
      </c>
      <c r="O1760" s="7">
        <v>0</v>
      </c>
      <c r="P1760" s="7">
        <v>0</v>
      </c>
      <c r="Q1760" s="7">
        <v>0</v>
      </c>
      <c r="R1760" s="7">
        <v>1</v>
      </c>
      <c r="S1760" s="7">
        <v>4.5</v>
      </c>
      <c r="T1760">
        <v>7</v>
      </c>
      <c r="U1760" s="1">
        <v>34</v>
      </c>
      <c r="V1760">
        <v>0</v>
      </c>
      <c r="W1760">
        <v>0</v>
      </c>
      <c r="X1760">
        <v>1</v>
      </c>
      <c r="Y1760">
        <v>0.16</v>
      </c>
      <c r="Z1760">
        <v>23</v>
      </c>
      <c r="AA1760">
        <v>0</v>
      </c>
      <c r="AB1760">
        <v>0</v>
      </c>
      <c r="AC1760">
        <v>0</v>
      </c>
      <c r="AD1760">
        <v>1</v>
      </c>
      <c r="AE1760">
        <v>0.05</v>
      </c>
      <c r="AF1760">
        <v>15</v>
      </c>
      <c r="AG1760">
        <v>0</v>
      </c>
      <c r="AH1760">
        <v>0</v>
      </c>
      <c r="AI1760">
        <v>0</v>
      </c>
      <c r="AJ1760">
        <v>1</v>
      </c>
      <c r="AK1760">
        <v>0.02</v>
      </c>
      <c r="AL1760">
        <v>16</v>
      </c>
      <c r="AM1760">
        <v>0</v>
      </c>
      <c r="AN1760">
        <v>0</v>
      </c>
      <c r="AO1760">
        <v>0</v>
      </c>
      <c r="AP1760">
        <v>1</v>
      </c>
      <c r="AQ1760">
        <v>0.01</v>
      </c>
      <c r="AX1760">
        <v>7</v>
      </c>
      <c r="AY1760" s="1">
        <v>18</v>
      </c>
      <c r="AZ1760">
        <v>0</v>
      </c>
      <c r="BA1760">
        <v>0</v>
      </c>
      <c r="BB1760">
        <v>1</v>
      </c>
      <c r="BC1760" s="7">
        <v>0.32</v>
      </c>
      <c r="BD1760">
        <v>30</v>
      </c>
      <c r="BE1760">
        <v>0</v>
      </c>
      <c r="BF1760">
        <v>0</v>
      </c>
      <c r="BG1760">
        <v>0</v>
      </c>
      <c r="BH1760">
        <v>5</v>
      </c>
      <c r="BI1760">
        <v>2.4</v>
      </c>
      <c r="BJ1760">
        <v>31</v>
      </c>
      <c r="BK1760">
        <v>0</v>
      </c>
      <c r="BL1760">
        <v>0</v>
      </c>
      <c r="BM1760">
        <v>0</v>
      </c>
      <c r="BN1760">
        <v>5</v>
      </c>
      <c r="BO1760">
        <v>2.4</v>
      </c>
      <c r="BP1760">
        <v>36</v>
      </c>
      <c r="BQ1760">
        <v>0</v>
      </c>
      <c r="BR1760">
        <v>0</v>
      </c>
      <c r="BS1760">
        <v>0</v>
      </c>
      <c r="BT1760">
        <v>5</v>
      </c>
      <c r="BU1760">
        <v>1.5</v>
      </c>
    </row>
    <row r="1761" spans="1:73" ht="14.25" x14ac:dyDescent="0.15">
      <c r="A1761" s="12">
        <v>31008</v>
      </c>
      <c r="B1761">
        <v>7</v>
      </c>
      <c r="C1761" s="1">
        <v>47</v>
      </c>
      <c r="D1761">
        <v>0</v>
      </c>
      <c r="E1761">
        <v>0</v>
      </c>
      <c r="F1761">
        <v>1</v>
      </c>
      <c r="G1761" s="7">
        <v>0.05</v>
      </c>
      <c r="H1761">
        <v>12</v>
      </c>
      <c r="I1761">
        <v>0</v>
      </c>
      <c r="J1761">
        <v>0</v>
      </c>
      <c r="K1761">
        <v>0</v>
      </c>
      <c r="L1761">
        <v>1</v>
      </c>
      <c r="M1761">
        <v>2</v>
      </c>
      <c r="N1761" s="7">
        <v>9</v>
      </c>
      <c r="O1761" s="7">
        <v>0</v>
      </c>
      <c r="P1761" s="7">
        <v>0</v>
      </c>
      <c r="Q1761" s="7">
        <v>0</v>
      </c>
      <c r="R1761" s="7">
        <v>1</v>
      </c>
      <c r="S1761" s="7">
        <v>4.5</v>
      </c>
      <c r="T1761">
        <v>7</v>
      </c>
      <c r="U1761" s="1">
        <v>35</v>
      </c>
      <c r="V1761">
        <v>0</v>
      </c>
      <c r="W1761">
        <v>0</v>
      </c>
      <c r="X1761">
        <v>1</v>
      </c>
      <c r="Y1761">
        <v>0.16</v>
      </c>
      <c r="Z1761">
        <v>23</v>
      </c>
      <c r="AA1761">
        <v>0</v>
      </c>
      <c r="AB1761">
        <v>0</v>
      </c>
      <c r="AC1761">
        <v>0</v>
      </c>
      <c r="AD1761">
        <v>1</v>
      </c>
      <c r="AE1761">
        <v>0.05</v>
      </c>
      <c r="AF1761">
        <v>15</v>
      </c>
      <c r="AG1761">
        <v>0</v>
      </c>
      <c r="AH1761">
        <v>0</v>
      </c>
      <c r="AI1761">
        <v>0</v>
      </c>
      <c r="AJ1761">
        <v>1</v>
      </c>
      <c r="AK1761">
        <v>0.02</v>
      </c>
      <c r="AL1761">
        <v>16</v>
      </c>
      <c r="AM1761">
        <v>0</v>
      </c>
      <c r="AN1761">
        <v>0</v>
      </c>
      <c r="AO1761">
        <v>0</v>
      </c>
      <c r="AP1761">
        <v>1</v>
      </c>
      <c r="AQ1761">
        <v>0.01</v>
      </c>
      <c r="AX1761">
        <v>7</v>
      </c>
      <c r="AY1761" s="1">
        <v>19</v>
      </c>
      <c r="AZ1761">
        <v>0</v>
      </c>
      <c r="BA1761">
        <v>0</v>
      </c>
      <c r="BB1761">
        <v>1</v>
      </c>
      <c r="BC1761" s="7">
        <v>0.32</v>
      </c>
      <c r="BD1761">
        <v>30</v>
      </c>
      <c r="BE1761">
        <v>0</v>
      </c>
      <c r="BF1761">
        <v>0</v>
      </c>
      <c r="BG1761">
        <v>0</v>
      </c>
      <c r="BH1761">
        <v>5</v>
      </c>
      <c r="BI1761">
        <v>2.4</v>
      </c>
      <c r="BJ1761">
        <v>31</v>
      </c>
      <c r="BK1761">
        <v>0</v>
      </c>
      <c r="BL1761">
        <v>0</v>
      </c>
      <c r="BM1761">
        <v>0</v>
      </c>
      <c r="BN1761">
        <v>5</v>
      </c>
      <c r="BO1761">
        <v>2.4</v>
      </c>
      <c r="BP1761">
        <v>36</v>
      </c>
      <c r="BQ1761">
        <v>0</v>
      </c>
      <c r="BR1761">
        <v>0</v>
      </c>
      <c r="BS1761">
        <v>0</v>
      </c>
      <c r="BT1761">
        <v>5</v>
      </c>
      <c r="BU1761">
        <v>1.5</v>
      </c>
    </row>
    <row r="1762" spans="1:73" ht="14.25" x14ac:dyDescent="0.15">
      <c r="A1762" s="12">
        <v>31009</v>
      </c>
      <c r="B1762">
        <v>7</v>
      </c>
      <c r="C1762" s="1">
        <v>48</v>
      </c>
      <c r="D1762">
        <v>0</v>
      </c>
      <c r="E1762">
        <v>0</v>
      </c>
      <c r="F1762">
        <v>1</v>
      </c>
      <c r="G1762" s="7">
        <v>0.05</v>
      </c>
      <c r="H1762">
        <v>12</v>
      </c>
      <c r="I1762">
        <v>0</v>
      </c>
      <c r="J1762">
        <v>0</v>
      </c>
      <c r="K1762">
        <v>0</v>
      </c>
      <c r="L1762">
        <v>1</v>
      </c>
      <c r="M1762">
        <v>2</v>
      </c>
      <c r="N1762" s="7">
        <v>9</v>
      </c>
      <c r="O1762" s="7">
        <v>0</v>
      </c>
      <c r="P1762" s="7">
        <v>0</v>
      </c>
      <c r="Q1762" s="7">
        <v>0</v>
      </c>
      <c r="R1762" s="7">
        <v>1</v>
      </c>
      <c r="S1762" s="7">
        <v>4.5</v>
      </c>
      <c r="T1762">
        <v>7</v>
      </c>
      <c r="U1762" s="1">
        <v>36</v>
      </c>
      <c r="V1762">
        <v>0</v>
      </c>
      <c r="W1762">
        <v>0</v>
      </c>
      <c r="X1762">
        <v>1</v>
      </c>
      <c r="Y1762">
        <v>0.16</v>
      </c>
      <c r="Z1762">
        <v>23</v>
      </c>
      <c r="AA1762">
        <v>0</v>
      </c>
      <c r="AB1762">
        <v>0</v>
      </c>
      <c r="AC1762">
        <v>0</v>
      </c>
      <c r="AD1762">
        <v>1</v>
      </c>
      <c r="AE1762">
        <v>0.05</v>
      </c>
      <c r="AF1762">
        <v>15</v>
      </c>
      <c r="AG1762">
        <v>0</v>
      </c>
      <c r="AH1762">
        <v>0</v>
      </c>
      <c r="AI1762">
        <v>0</v>
      </c>
      <c r="AJ1762">
        <v>1</v>
      </c>
      <c r="AK1762">
        <v>0.02</v>
      </c>
      <c r="AL1762">
        <v>16</v>
      </c>
      <c r="AM1762">
        <v>0</v>
      </c>
      <c r="AN1762">
        <v>0</v>
      </c>
      <c r="AO1762">
        <v>0</v>
      </c>
      <c r="AP1762">
        <v>1</v>
      </c>
      <c r="AQ1762">
        <v>0.01</v>
      </c>
      <c r="AX1762">
        <v>7</v>
      </c>
      <c r="AY1762" s="1">
        <v>20</v>
      </c>
      <c r="AZ1762">
        <v>0</v>
      </c>
      <c r="BA1762">
        <v>0</v>
      </c>
      <c r="BB1762">
        <v>1</v>
      </c>
      <c r="BC1762" s="7">
        <v>0.32</v>
      </c>
      <c r="BD1762">
        <v>30</v>
      </c>
      <c r="BE1762">
        <v>0</v>
      </c>
      <c r="BF1762">
        <v>0</v>
      </c>
      <c r="BG1762">
        <v>0</v>
      </c>
      <c r="BH1762">
        <v>5</v>
      </c>
      <c r="BI1762">
        <v>2.4</v>
      </c>
      <c r="BJ1762">
        <v>31</v>
      </c>
      <c r="BK1762">
        <v>0</v>
      </c>
      <c r="BL1762">
        <v>0</v>
      </c>
      <c r="BM1762">
        <v>0</v>
      </c>
      <c r="BN1762">
        <v>5</v>
      </c>
      <c r="BO1762">
        <v>2.4</v>
      </c>
      <c r="BP1762">
        <v>36</v>
      </c>
      <c r="BQ1762">
        <v>0</v>
      </c>
      <c r="BR1762">
        <v>0</v>
      </c>
      <c r="BS1762">
        <v>0</v>
      </c>
      <c r="BT1762">
        <v>5</v>
      </c>
      <c r="BU1762">
        <v>1.5</v>
      </c>
    </row>
    <row r="1763" spans="1:73" ht="14.25" x14ac:dyDescent="0.15">
      <c r="A1763" s="12">
        <v>31010</v>
      </c>
      <c r="B1763">
        <v>7</v>
      </c>
      <c r="C1763" s="1">
        <v>0</v>
      </c>
      <c r="D1763">
        <v>5</v>
      </c>
      <c r="E1763">
        <v>1</v>
      </c>
      <c r="F1763">
        <v>1</v>
      </c>
      <c r="G1763" s="7">
        <v>0.05</v>
      </c>
      <c r="H1763">
        <v>12</v>
      </c>
      <c r="I1763">
        <v>0</v>
      </c>
      <c r="J1763">
        <v>0</v>
      </c>
      <c r="K1763">
        <v>0</v>
      </c>
      <c r="L1763">
        <v>1</v>
      </c>
      <c r="M1763">
        <v>2</v>
      </c>
      <c r="N1763" s="7">
        <v>9</v>
      </c>
      <c r="O1763" s="7">
        <v>0</v>
      </c>
      <c r="P1763" s="7">
        <v>0</v>
      </c>
      <c r="Q1763" s="7">
        <v>0</v>
      </c>
      <c r="R1763" s="7">
        <v>1</v>
      </c>
      <c r="S1763" s="7">
        <v>4.5</v>
      </c>
      <c r="T1763">
        <v>7</v>
      </c>
      <c r="U1763" s="1">
        <v>0</v>
      </c>
      <c r="V1763">
        <v>4</v>
      </c>
      <c r="W1763">
        <v>2</v>
      </c>
      <c r="X1763">
        <v>1</v>
      </c>
      <c r="Y1763">
        <v>0.16</v>
      </c>
      <c r="Z1763">
        <v>23</v>
      </c>
      <c r="AA1763">
        <v>0</v>
      </c>
      <c r="AB1763">
        <v>0</v>
      </c>
      <c r="AC1763">
        <v>0</v>
      </c>
      <c r="AD1763">
        <v>1</v>
      </c>
      <c r="AE1763">
        <v>0.05</v>
      </c>
      <c r="AF1763">
        <v>15</v>
      </c>
      <c r="AG1763">
        <v>0</v>
      </c>
      <c r="AH1763">
        <v>0</v>
      </c>
      <c r="AI1763">
        <v>0</v>
      </c>
      <c r="AJ1763">
        <v>1</v>
      </c>
      <c r="AK1763">
        <v>0.02</v>
      </c>
      <c r="AL1763">
        <v>16</v>
      </c>
      <c r="AM1763">
        <v>0</v>
      </c>
      <c r="AN1763">
        <v>0</v>
      </c>
      <c r="AO1763">
        <v>0</v>
      </c>
      <c r="AP1763">
        <v>1</v>
      </c>
      <c r="AQ1763">
        <v>0.01</v>
      </c>
      <c r="AR1763">
        <v>6</v>
      </c>
      <c r="AS1763">
        <v>2</v>
      </c>
      <c r="AT1763">
        <v>2</v>
      </c>
      <c r="AU1763">
        <v>5</v>
      </c>
      <c r="AV1763">
        <v>1</v>
      </c>
      <c r="AW1763">
        <v>0.05</v>
      </c>
      <c r="AX1763">
        <v>7</v>
      </c>
      <c r="AY1763" s="1">
        <v>0</v>
      </c>
      <c r="AZ1763">
        <v>3</v>
      </c>
      <c r="BA1763">
        <v>1</v>
      </c>
      <c r="BB1763">
        <v>1</v>
      </c>
      <c r="BC1763" s="7">
        <v>0.32</v>
      </c>
      <c r="BD1763">
        <v>30</v>
      </c>
      <c r="BE1763">
        <v>0</v>
      </c>
      <c r="BF1763">
        <v>0</v>
      </c>
      <c r="BG1763">
        <v>0</v>
      </c>
      <c r="BH1763">
        <v>5</v>
      </c>
      <c r="BI1763">
        <v>2.4</v>
      </c>
      <c r="BJ1763">
        <v>31</v>
      </c>
      <c r="BK1763">
        <v>0</v>
      </c>
      <c r="BL1763">
        <v>0</v>
      </c>
      <c r="BM1763">
        <v>0</v>
      </c>
      <c r="BN1763">
        <v>5</v>
      </c>
      <c r="BO1763">
        <v>2.4</v>
      </c>
      <c r="BP1763">
        <v>36</v>
      </c>
      <c r="BQ1763">
        <v>0</v>
      </c>
      <c r="BR1763">
        <v>0</v>
      </c>
      <c r="BS1763">
        <v>0</v>
      </c>
      <c r="BT1763">
        <v>5</v>
      </c>
      <c r="BU1763">
        <v>1.5</v>
      </c>
    </row>
    <row r="1764" spans="1:73" ht="14.25" x14ac:dyDescent="0.15">
      <c r="A1764" s="12">
        <v>31011</v>
      </c>
      <c r="B1764">
        <v>7</v>
      </c>
      <c r="C1764" s="1">
        <v>45</v>
      </c>
      <c r="D1764">
        <v>0</v>
      </c>
      <c r="E1764">
        <v>0</v>
      </c>
      <c r="F1764">
        <v>1</v>
      </c>
      <c r="G1764" s="7">
        <v>0.05</v>
      </c>
      <c r="H1764">
        <v>12</v>
      </c>
      <c r="I1764">
        <v>0</v>
      </c>
      <c r="J1764">
        <v>0</v>
      </c>
      <c r="K1764">
        <v>0</v>
      </c>
      <c r="L1764">
        <v>1</v>
      </c>
      <c r="M1764">
        <v>2</v>
      </c>
      <c r="N1764" s="7">
        <v>9</v>
      </c>
      <c r="O1764" s="7">
        <v>0</v>
      </c>
      <c r="P1764" s="7">
        <v>0</v>
      </c>
      <c r="Q1764" s="7">
        <v>0</v>
      </c>
      <c r="R1764" s="7">
        <v>1</v>
      </c>
      <c r="S1764" s="7">
        <v>4.5</v>
      </c>
      <c r="T1764">
        <v>7</v>
      </c>
      <c r="U1764" s="1">
        <v>33</v>
      </c>
      <c r="V1764">
        <v>0</v>
      </c>
      <c r="W1764">
        <v>0</v>
      </c>
      <c r="X1764">
        <v>1</v>
      </c>
      <c r="Y1764">
        <v>0.16</v>
      </c>
      <c r="Z1764">
        <v>23</v>
      </c>
      <c r="AA1764">
        <v>0</v>
      </c>
      <c r="AB1764">
        <v>0</v>
      </c>
      <c r="AC1764">
        <v>0</v>
      </c>
      <c r="AD1764">
        <v>1</v>
      </c>
      <c r="AE1764">
        <v>0.05</v>
      </c>
      <c r="AF1764">
        <v>15</v>
      </c>
      <c r="AG1764">
        <v>0</v>
      </c>
      <c r="AH1764">
        <v>0</v>
      </c>
      <c r="AI1764">
        <v>0</v>
      </c>
      <c r="AJ1764">
        <v>1</v>
      </c>
      <c r="AK1764">
        <v>0.02</v>
      </c>
      <c r="AL1764">
        <v>16</v>
      </c>
      <c r="AM1764">
        <v>0</v>
      </c>
      <c r="AN1764">
        <v>0</v>
      </c>
      <c r="AO1764">
        <v>0</v>
      </c>
      <c r="AP1764">
        <v>1</v>
      </c>
      <c r="AQ1764">
        <v>0.01</v>
      </c>
      <c r="AX1764">
        <v>7</v>
      </c>
      <c r="AY1764" s="1">
        <v>17</v>
      </c>
      <c r="AZ1764">
        <v>0</v>
      </c>
      <c r="BA1764">
        <v>0</v>
      </c>
      <c r="BB1764">
        <v>1</v>
      </c>
      <c r="BC1764" s="7">
        <v>0.32</v>
      </c>
      <c r="BD1764">
        <v>30</v>
      </c>
      <c r="BE1764">
        <v>0</v>
      </c>
      <c r="BF1764">
        <v>0</v>
      </c>
      <c r="BG1764">
        <v>0</v>
      </c>
      <c r="BH1764">
        <v>5</v>
      </c>
      <c r="BI1764">
        <v>2.4</v>
      </c>
      <c r="BJ1764">
        <v>31</v>
      </c>
      <c r="BK1764">
        <v>0</v>
      </c>
      <c r="BL1764">
        <v>0</v>
      </c>
      <c r="BM1764">
        <v>0</v>
      </c>
      <c r="BN1764">
        <v>5</v>
      </c>
      <c r="BO1764">
        <v>2.4</v>
      </c>
      <c r="BP1764">
        <v>36</v>
      </c>
      <c r="BQ1764">
        <v>0</v>
      </c>
      <c r="BR1764">
        <v>0</v>
      </c>
      <c r="BS1764">
        <v>0</v>
      </c>
      <c r="BT1764">
        <v>5</v>
      </c>
      <c r="BU1764">
        <v>1.5</v>
      </c>
    </row>
    <row r="1765" spans="1:73" ht="14.25" x14ac:dyDescent="0.15">
      <c r="A1765" s="12">
        <v>31012</v>
      </c>
      <c r="B1765">
        <v>7</v>
      </c>
      <c r="C1765" s="1">
        <v>46</v>
      </c>
      <c r="D1765">
        <v>0</v>
      </c>
      <c r="E1765">
        <v>0</v>
      </c>
      <c r="F1765">
        <v>1</v>
      </c>
      <c r="G1765" s="7">
        <v>0.05</v>
      </c>
      <c r="H1765">
        <v>12</v>
      </c>
      <c r="I1765">
        <v>0</v>
      </c>
      <c r="J1765">
        <v>0</v>
      </c>
      <c r="K1765">
        <v>0</v>
      </c>
      <c r="L1765">
        <v>1</v>
      </c>
      <c r="M1765">
        <v>2</v>
      </c>
      <c r="N1765" s="7">
        <v>9</v>
      </c>
      <c r="O1765" s="7">
        <v>0</v>
      </c>
      <c r="P1765" s="7">
        <v>0</v>
      </c>
      <c r="Q1765" s="7">
        <v>0</v>
      </c>
      <c r="R1765" s="7">
        <v>1</v>
      </c>
      <c r="S1765" s="7">
        <v>4.5</v>
      </c>
      <c r="T1765">
        <v>7</v>
      </c>
      <c r="U1765" s="1">
        <v>34</v>
      </c>
      <c r="V1765">
        <v>0</v>
      </c>
      <c r="W1765">
        <v>0</v>
      </c>
      <c r="X1765">
        <v>1</v>
      </c>
      <c r="Y1765">
        <v>0.16</v>
      </c>
      <c r="Z1765">
        <v>23</v>
      </c>
      <c r="AA1765">
        <v>0</v>
      </c>
      <c r="AB1765">
        <v>0</v>
      </c>
      <c r="AC1765">
        <v>0</v>
      </c>
      <c r="AD1765">
        <v>1</v>
      </c>
      <c r="AE1765">
        <v>0.05</v>
      </c>
      <c r="AF1765">
        <v>15</v>
      </c>
      <c r="AG1765">
        <v>0</v>
      </c>
      <c r="AH1765">
        <v>0</v>
      </c>
      <c r="AI1765">
        <v>0</v>
      </c>
      <c r="AJ1765">
        <v>1</v>
      </c>
      <c r="AK1765">
        <v>0.02</v>
      </c>
      <c r="AL1765">
        <v>16</v>
      </c>
      <c r="AM1765">
        <v>0</v>
      </c>
      <c r="AN1765">
        <v>0</v>
      </c>
      <c r="AO1765">
        <v>0</v>
      </c>
      <c r="AP1765">
        <v>1</v>
      </c>
      <c r="AQ1765">
        <v>0.01</v>
      </c>
      <c r="AX1765">
        <v>7</v>
      </c>
      <c r="AY1765" s="1">
        <v>18</v>
      </c>
      <c r="AZ1765">
        <v>0</v>
      </c>
      <c r="BA1765">
        <v>0</v>
      </c>
      <c r="BB1765">
        <v>1</v>
      </c>
      <c r="BC1765" s="7">
        <v>0.32</v>
      </c>
      <c r="BD1765">
        <v>30</v>
      </c>
      <c r="BE1765">
        <v>0</v>
      </c>
      <c r="BF1765">
        <v>0</v>
      </c>
      <c r="BG1765">
        <v>0</v>
      </c>
      <c r="BH1765">
        <v>5</v>
      </c>
      <c r="BI1765">
        <v>2.4</v>
      </c>
      <c r="BJ1765">
        <v>31</v>
      </c>
      <c r="BK1765">
        <v>0</v>
      </c>
      <c r="BL1765">
        <v>0</v>
      </c>
      <c r="BM1765">
        <v>0</v>
      </c>
      <c r="BN1765">
        <v>5</v>
      </c>
      <c r="BO1765">
        <v>2.4</v>
      </c>
      <c r="BP1765">
        <v>36</v>
      </c>
      <c r="BQ1765">
        <v>0</v>
      </c>
      <c r="BR1765">
        <v>0</v>
      </c>
      <c r="BS1765">
        <v>0</v>
      </c>
      <c r="BT1765">
        <v>5</v>
      </c>
      <c r="BU1765">
        <v>1.5</v>
      </c>
    </row>
    <row r="1766" spans="1:73" ht="14.25" x14ac:dyDescent="0.15">
      <c r="A1766" s="12">
        <v>31013</v>
      </c>
      <c r="B1766">
        <v>7</v>
      </c>
      <c r="C1766" s="1">
        <v>47</v>
      </c>
      <c r="D1766">
        <v>0</v>
      </c>
      <c r="E1766">
        <v>0</v>
      </c>
      <c r="F1766">
        <v>1</v>
      </c>
      <c r="G1766" s="7">
        <v>0.05</v>
      </c>
      <c r="H1766">
        <v>12</v>
      </c>
      <c r="I1766">
        <v>0</v>
      </c>
      <c r="J1766">
        <v>0</v>
      </c>
      <c r="K1766">
        <v>0</v>
      </c>
      <c r="L1766">
        <v>1</v>
      </c>
      <c r="M1766">
        <v>2</v>
      </c>
      <c r="N1766" s="7">
        <v>9</v>
      </c>
      <c r="O1766" s="7">
        <v>0</v>
      </c>
      <c r="P1766" s="7">
        <v>0</v>
      </c>
      <c r="Q1766" s="7">
        <v>0</v>
      </c>
      <c r="R1766" s="7">
        <v>1</v>
      </c>
      <c r="S1766" s="7">
        <v>4.5</v>
      </c>
      <c r="T1766">
        <v>7</v>
      </c>
      <c r="U1766" s="1">
        <v>35</v>
      </c>
      <c r="V1766">
        <v>0</v>
      </c>
      <c r="W1766">
        <v>0</v>
      </c>
      <c r="X1766">
        <v>1</v>
      </c>
      <c r="Y1766">
        <v>0.16</v>
      </c>
      <c r="Z1766">
        <v>23</v>
      </c>
      <c r="AA1766">
        <v>0</v>
      </c>
      <c r="AB1766">
        <v>0</v>
      </c>
      <c r="AC1766">
        <v>0</v>
      </c>
      <c r="AD1766">
        <v>1</v>
      </c>
      <c r="AE1766">
        <v>0.05</v>
      </c>
      <c r="AF1766">
        <v>15</v>
      </c>
      <c r="AG1766">
        <v>0</v>
      </c>
      <c r="AH1766">
        <v>0</v>
      </c>
      <c r="AI1766">
        <v>0</v>
      </c>
      <c r="AJ1766">
        <v>1</v>
      </c>
      <c r="AK1766">
        <v>0.02</v>
      </c>
      <c r="AL1766">
        <v>16</v>
      </c>
      <c r="AM1766">
        <v>0</v>
      </c>
      <c r="AN1766">
        <v>0</v>
      </c>
      <c r="AO1766">
        <v>0</v>
      </c>
      <c r="AP1766">
        <v>1</v>
      </c>
      <c r="AQ1766">
        <v>0.01</v>
      </c>
      <c r="AX1766">
        <v>7</v>
      </c>
      <c r="AY1766" s="1">
        <v>19</v>
      </c>
      <c r="AZ1766">
        <v>0</v>
      </c>
      <c r="BA1766">
        <v>0</v>
      </c>
      <c r="BB1766">
        <v>1</v>
      </c>
      <c r="BC1766" s="7">
        <v>0.32</v>
      </c>
      <c r="BD1766">
        <v>30</v>
      </c>
      <c r="BE1766">
        <v>0</v>
      </c>
      <c r="BF1766">
        <v>0</v>
      </c>
      <c r="BG1766">
        <v>0</v>
      </c>
      <c r="BH1766">
        <v>5</v>
      </c>
      <c r="BI1766">
        <v>2.4</v>
      </c>
      <c r="BJ1766">
        <v>31</v>
      </c>
      <c r="BK1766">
        <v>0</v>
      </c>
      <c r="BL1766">
        <v>0</v>
      </c>
      <c r="BM1766">
        <v>0</v>
      </c>
      <c r="BN1766">
        <v>5</v>
      </c>
      <c r="BO1766">
        <v>2.4</v>
      </c>
      <c r="BP1766">
        <v>36</v>
      </c>
      <c r="BQ1766">
        <v>0</v>
      </c>
      <c r="BR1766">
        <v>0</v>
      </c>
      <c r="BS1766">
        <v>0</v>
      </c>
      <c r="BT1766">
        <v>5</v>
      </c>
      <c r="BU1766">
        <v>1.5</v>
      </c>
    </row>
    <row r="1767" spans="1:73" ht="14.25" x14ac:dyDescent="0.15">
      <c r="A1767" s="12">
        <v>31014</v>
      </c>
      <c r="B1767">
        <v>7</v>
      </c>
      <c r="C1767" s="1">
        <v>48</v>
      </c>
      <c r="D1767">
        <v>0</v>
      </c>
      <c r="E1767">
        <v>0</v>
      </c>
      <c r="F1767">
        <v>1</v>
      </c>
      <c r="G1767" s="7">
        <v>0.05</v>
      </c>
      <c r="H1767">
        <v>12</v>
      </c>
      <c r="I1767">
        <v>0</v>
      </c>
      <c r="J1767">
        <v>0</v>
      </c>
      <c r="K1767">
        <v>0</v>
      </c>
      <c r="L1767">
        <v>1</v>
      </c>
      <c r="M1767">
        <v>2</v>
      </c>
      <c r="N1767" s="7">
        <v>9</v>
      </c>
      <c r="O1767" s="7">
        <v>0</v>
      </c>
      <c r="P1767" s="7">
        <v>0</v>
      </c>
      <c r="Q1767" s="7">
        <v>0</v>
      </c>
      <c r="R1767" s="7">
        <v>1</v>
      </c>
      <c r="S1767" s="7">
        <v>4.5</v>
      </c>
      <c r="T1767">
        <v>7</v>
      </c>
      <c r="U1767" s="1">
        <v>36</v>
      </c>
      <c r="V1767">
        <v>0</v>
      </c>
      <c r="W1767">
        <v>0</v>
      </c>
      <c r="X1767">
        <v>1</v>
      </c>
      <c r="Y1767">
        <v>0.16</v>
      </c>
      <c r="Z1767">
        <v>23</v>
      </c>
      <c r="AA1767">
        <v>0</v>
      </c>
      <c r="AB1767">
        <v>0</v>
      </c>
      <c r="AC1767">
        <v>0</v>
      </c>
      <c r="AD1767">
        <v>1</v>
      </c>
      <c r="AE1767">
        <v>0.05</v>
      </c>
      <c r="AF1767">
        <v>15</v>
      </c>
      <c r="AG1767">
        <v>0</v>
      </c>
      <c r="AH1767">
        <v>0</v>
      </c>
      <c r="AI1767">
        <v>0</v>
      </c>
      <c r="AJ1767">
        <v>1</v>
      </c>
      <c r="AK1767">
        <v>0.02</v>
      </c>
      <c r="AL1767">
        <v>16</v>
      </c>
      <c r="AM1767">
        <v>0</v>
      </c>
      <c r="AN1767">
        <v>0</v>
      </c>
      <c r="AO1767">
        <v>0</v>
      </c>
      <c r="AP1767">
        <v>1</v>
      </c>
      <c r="AQ1767">
        <v>0.01</v>
      </c>
      <c r="AX1767">
        <v>7</v>
      </c>
      <c r="AY1767" s="1">
        <v>20</v>
      </c>
      <c r="AZ1767">
        <v>0</v>
      </c>
      <c r="BA1767">
        <v>0</v>
      </c>
      <c r="BB1767">
        <v>1</v>
      </c>
      <c r="BC1767" s="7">
        <v>0.32</v>
      </c>
      <c r="BD1767">
        <v>30</v>
      </c>
      <c r="BE1767">
        <v>0</v>
      </c>
      <c r="BF1767">
        <v>0</v>
      </c>
      <c r="BG1767">
        <v>0</v>
      </c>
      <c r="BH1767">
        <v>5</v>
      </c>
      <c r="BI1767">
        <v>2.4</v>
      </c>
      <c r="BJ1767">
        <v>31</v>
      </c>
      <c r="BK1767">
        <v>0</v>
      </c>
      <c r="BL1767">
        <v>0</v>
      </c>
      <c r="BM1767">
        <v>0</v>
      </c>
      <c r="BN1767">
        <v>5</v>
      </c>
      <c r="BO1767">
        <v>2.4</v>
      </c>
      <c r="BP1767">
        <v>36</v>
      </c>
      <c r="BQ1767">
        <v>0</v>
      </c>
      <c r="BR1767">
        <v>0</v>
      </c>
      <c r="BS1767">
        <v>0</v>
      </c>
      <c r="BT1767">
        <v>5</v>
      </c>
      <c r="BU1767">
        <v>1.5</v>
      </c>
    </row>
    <row r="1768" spans="1:73" ht="14.25" x14ac:dyDescent="0.15">
      <c r="A1768" s="12">
        <v>31015</v>
      </c>
      <c r="B1768">
        <v>7</v>
      </c>
      <c r="C1768" s="1">
        <v>0</v>
      </c>
      <c r="D1768">
        <v>5</v>
      </c>
      <c r="E1768">
        <v>1</v>
      </c>
      <c r="F1768">
        <v>1</v>
      </c>
      <c r="G1768" s="7">
        <v>0.05</v>
      </c>
      <c r="H1768">
        <v>12</v>
      </c>
      <c r="I1768">
        <v>0</v>
      </c>
      <c r="J1768">
        <v>0</v>
      </c>
      <c r="K1768">
        <v>0</v>
      </c>
      <c r="L1768">
        <v>1</v>
      </c>
      <c r="M1768">
        <v>2</v>
      </c>
      <c r="N1768" s="7">
        <v>9</v>
      </c>
      <c r="O1768" s="7">
        <v>0</v>
      </c>
      <c r="P1768" s="7">
        <v>0</v>
      </c>
      <c r="Q1768" s="7">
        <v>0</v>
      </c>
      <c r="R1768" s="7">
        <v>1</v>
      </c>
      <c r="S1768" s="7">
        <v>4.5</v>
      </c>
      <c r="T1768">
        <v>7</v>
      </c>
      <c r="U1768" s="1">
        <v>0</v>
      </c>
      <c r="V1768">
        <v>4</v>
      </c>
      <c r="W1768">
        <v>2</v>
      </c>
      <c r="X1768">
        <v>1</v>
      </c>
      <c r="Y1768">
        <v>0.16</v>
      </c>
      <c r="Z1768">
        <v>23</v>
      </c>
      <c r="AA1768">
        <v>0</v>
      </c>
      <c r="AB1768">
        <v>0</v>
      </c>
      <c r="AC1768">
        <v>0</v>
      </c>
      <c r="AD1768">
        <v>1</v>
      </c>
      <c r="AE1768">
        <v>0.05</v>
      </c>
      <c r="AF1768">
        <v>15</v>
      </c>
      <c r="AG1768">
        <v>0</v>
      </c>
      <c r="AH1768">
        <v>0</v>
      </c>
      <c r="AI1768">
        <v>0</v>
      </c>
      <c r="AJ1768">
        <v>1</v>
      </c>
      <c r="AK1768">
        <v>0.02</v>
      </c>
      <c r="AL1768">
        <v>16</v>
      </c>
      <c r="AM1768">
        <v>0</v>
      </c>
      <c r="AN1768">
        <v>0</v>
      </c>
      <c r="AO1768">
        <v>0</v>
      </c>
      <c r="AP1768">
        <v>1</v>
      </c>
      <c r="AQ1768">
        <v>0.01</v>
      </c>
      <c r="AR1768">
        <v>6</v>
      </c>
      <c r="AS1768">
        <v>2</v>
      </c>
      <c r="AT1768">
        <v>3</v>
      </c>
      <c r="AU1768">
        <v>5</v>
      </c>
      <c r="AV1768">
        <v>1</v>
      </c>
      <c r="AW1768">
        <v>0.05</v>
      </c>
      <c r="AX1768">
        <v>7</v>
      </c>
      <c r="AY1768" s="1">
        <v>0</v>
      </c>
      <c r="AZ1768">
        <v>3</v>
      </c>
      <c r="BA1768">
        <v>1</v>
      </c>
      <c r="BB1768">
        <v>1</v>
      </c>
      <c r="BC1768" s="7">
        <v>0.32</v>
      </c>
      <c r="BD1768">
        <v>30</v>
      </c>
      <c r="BE1768">
        <v>0</v>
      </c>
      <c r="BF1768">
        <v>0</v>
      </c>
      <c r="BG1768">
        <v>0</v>
      </c>
      <c r="BH1768">
        <v>5</v>
      </c>
      <c r="BI1768">
        <v>2.4</v>
      </c>
      <c r="BJ1768">
        <v>31</v>
      </c>
      <c r="BK1768">
        <v>0</v>
      </c>
      <c r="BL1768">
        <v>0</v>
      </c>
      <c r="BM1768">
        <v>0</v>
      </c>
      <c r="BN1768">
        <v>5</v>
      </c>
      <c r="BO1768">
        <v>2.4</v>
      </c>
      <c r="BP1768">
        <v>36</v>
      </c>
      <c r="BQ1768">
        <v>0</v>
      </c>
      <c r="BR1768">
        <v>0</v>
      </c>
      <c r="BS1768">
        <v>0</v>
      </c>
      <c r="BT1768">
        <v>5</v>
      </c>
      <c r="BU1768">
        <v>1.5</v>
      </c>
    </row>
    <row r="1769" spans="1:73" ht="14.25" x14ac:dyDescent="0.15">
      <c r="A1769" s="12">
        <v>31016</v>
      </c>
      <c r="B1769">
        <v>7</v>
      </c>
      <c r="C1769" s="1">
        <v>45</v>
      </c>
      <c r="D1769">
        <v>0</v>
      </c>
      <c r="E1769">
        <v>0</v>
      </c>
      <c r="F1769">
        <v>1</v>
      </c>
      <c r="G1769" s="7">
        <v>0.05</v>
      </c>
      <c r="H1769">
        <v>12</v>
      </c>
      <c r="I1769">
        <v>0</v>
      </c>
      <c r="J1769">
        <v>0</v>
      </c>
      <c r="K1769">
        <v>0</v>
      </c>
      <c r="L1769">
        <v>1</v>
      </c>
      <c r="M1769">
        <v>2</v>
      </c>
      <c r="N1769" s="7">
        <v>9</v>
      </c>
      <c r="O1769" s="7">
        <v>0</v>
      </c>
      <c r="P1769" s="7">
        <v>0</v>
      </c>
      <c r="Q1769" s="7">
        <v>0</v>
      </c>
      <c r="R1769" s="7">
        <v>1</v>
      </c>
      <c r="S1769" s="7">
        <v>4.5</v>
      </c>
      <c r="T1769">
        <v>7</v>
      </c>
      <c r="U1769" s="1">
        <v>33</v>
      </c>
      <c r="V1769">
        <v>0</v>
      </c>
      <c r="W1769">
        <v>0</v>
      </c>
      <c r="X1769">
        <v>1</v>
      </c>
      <c r="Y1769">
        <v>0.16</v>
      </c>
      <c r="Z1769">
        <v>23</v>
      </c>
      <c r="AA1769">
        <v>0</v>
      </c>
      <c r="AB1769">
        <v>0</v>
      </c>
      <c r="AC1769">
        <v>0</v>
      </c>
      <c r="AD1769">
        <v>1</v>
      </c>
      <c r="AE1769">
        <v>0.05</v>
      </c>
      <c r="AF1769">
        <v>15</v>
      </c>
      <c r="AG1769">
        <v>0</v>
      </c>
      <c r="AH1769">
        <v>0</v>
      </c>
      <c r="AI1769">
        <v>0</v>
      </c>
      <c r="AJ1769">
        <v>1</v>
      </c>
      <c r="AK1769">
        <v>0.02</v>
      </c>
      <c r="AL1769">
        <v>16</v>
      </c>
      <c r="AM1769">
        <v>0</v>
      </c>
      <c r="AN1769">
        <v>0</v>
      </c>
      <c r="AO1769">
        <v>0</v>
      </c>
      <c r="AP1769">
        <v>1</v>
      </c>
      <c r="AQ1769">
        <v>0.01</v>
      </c>
      <c r="AX1769">
        <v>7</v>
      </c>
      <c r="AY1769" s="1">
        <v>17</v>
      </c>
      <c r="AZ1769">
        <v>0</v>
      </c>
      <c r="BA1769">
        <v>0</v>
      </c>
      <c r="BB1769">
        <v>1</v>
      </c>
      <c r="BC1769" s="7">
        <v>0.32</v>
      </c>
      <c r="BD1769">
        <v>30</v>
      </c>
      <c r="BE1769">
        <v>0</v>
      </c>
      <c r="BF1769">
        <v>0</v>
      </c>
      <c r="BG1769">
        <v>0</v>
      </c>
      <c r="BH1769">
        <v>5</v>
      </c>
      <c r="BI1769">
        <v>2.4</v>
      </c>
      <c r="BJ1769">
        <v>31</v>
      </c>
      <c r="BK1769">
        <v>0</v>
      </c>
      <c r="BL1769">
        <v>0</v>
      </c>
      <c r="BM1769">
        <v>0</v>
      </c>
      <c r="BN1769">
        <v>5</v>
      </c>
      <c r="BO1769">
        <v>2.4</v>
      </c>
      <c r="BP1769">
        <v>36</v>
      </c>
      <c r="BQ1769">
        <v>0</v>
      </c>
      <c r="BR1769">
        <v>0</v>
      </c>
      <c r="BS1769">
        <v>0</v>
      </c>
      <c r="BT1769">
        <v>5</v>
      </c>
      <c r="BU1769">
        <v>1.5</v>
      </c>
    </row>
    <row r="1770" spans="1:73" ht="14.25" x14ac:dyDescent="0.15">
      <c r="A1770" s="12">
        <v>31017</v>
      </c>
      <c r="B1770">
        <v>7</v>
      </c>
      <c r="C1770" s="1">
        <v>46</v>
      </c>
      <c r="D1770">
        <v>0</v>
      </c>
      <c r="E1770">
        <v>0</v>
      </c>
      <c r="F1770">
        <v>1</v>
      </c>
      <c r="G1770" s="7">
        <v>0.05</v>
      </c>
      <c r="H1770">
        <v>12</v>
      </c>
      <c r="I1770">
        <v>0</v>
      </c>
      <c r="J1770">
        <v>0</v>
      </c>
      <c r="K1770">
        <v>0</v>
      </c>
      <c r="L1770">
        <v>1</v>
      </c>
      <c r="M1770">
        <v>2</v>
      </c>
      <c r="N1770" s="7">
        <v>9</v>
      </c>
      <c r="O1770" s="7">
        <v>0</v>
      </c>
      <c r="P1770" s="7">
        <v>0</v>
      </c>
      <c r="Q1770" s="7">
        <v>0</v>
      </c>
      <c r="R1770" s="7">
        <v>1</v>
      </c>
      <c r="S1770" s="7">
        <v>4.5</v>
      </c>
      <c r="T1770">
        <v>7</v>
      </c>
      <c r="U1770" s="1">
        <v>34</v>
      </c>
      <c r="V1770">
        <v>0</v>
      </c>
      <c r="W1770">
        <v>0</v>
      </c>
      <c r="X1770">
        <v>1</v>
      </c>
      <c r="Y1770">
        <v>0.16</v>
      </c>
      <c r="Z1770">
        <v>23</v>
      </c>
      <c r="AA1770">
        <v>0</v>
      </c>
      <c r="AB1770">
        <v>0</v>
      </c>
      <c r="AC1770">
        <v>0</v>
      </c>
      <c r="AD1770">
        <v>1</v>
      </c>
      <c r="AE1770">
        <v>0.05</v>
      </c>
      <c r="AF1770">
        <v>15</v>
      </c>
      <c r="AG1770">
        <v>0</v>
      </c>
      <c r="AH1770">
        <v>0</v>
      </c>
      <c r="AI1770">
        <v>0</v>
      </c>
      <c r="AJ1770">
        <v>1</v>
      </c>
      <c r="AK1770">
        <v>0.02</v>
      </c>
      <c r="AL1770">
        <v>16</v>
      </c>
      <c r="AM1770">
        <v>0</v>
      </c>
      <c r="AN1770">
        <v>0</v>
      </c>
      <c r="AO1770">
        <v>0</v>
      </c>
      <c r="AP1770">
        <v>1</v>
      </c>
      <c r="AQ1770">
        <v>0.01</v>
      </c>
      <c r="AX1770">
        <v>7</v>
      </c>
      <c r="AY1770" s="1">
        <v>18</v>
      </c>
      <c r="AZ1770">
        <v>0</v>
      </c>
      <c r="BA1770">
        <v>0</v>
      </c>
      <c r="BB1770">
        <v>1</v>
      </c>
      <c r="BC1770" s="7">
        <v>0.32</v>
      </c>
      <c r="BD1770">
        <v>30</v>
      </c>
      <c r="BE1770">
        <v>0</v>
      </c>
      <c r="BF1770">
        <v>0</v>
      </c>
      <c r="BG1770">
        <v>0</v>
      </c>
      <c r="BH1770">
        <v>5</v>
      </c>
      <c r="BI1770">
        <v>2.4</v>
      </c>
      <c r="BJ1770">
        <v>31</v>
      </c>
      <c r="BK1770">
        <v>0</v>
      </c>
      <c r="BL1770">
        <v>0</v>
      </c>
      <c r="BM1770">
        <v>0</v>
      </c>
      <c r="BN1770">
        <v>5</v>
      </c>
      <c r="BO1770">
        <v>2.4</v>
      </c>
      <c r="BP1770">
        <v>36</v>
      </c>
      <c r="BQ1770">
        <v>0</v>
      </c>
      <c r="BR1770">
        <v>0</v>
      </c>
      <c r="BS1770">
        <v>0</v>
      </c>
      <c r="BT1770">
        <v>5</v>
      </c>
      <c r="BU1770">
        <v>1.5</v>
      </c>
    </row>
    <row r="1771" spans="1:73" ht="14.25" x14ac:dyDescent="0.15">
      <c r="A1771" s="12">
        <v>31018</v>
      </c>
      <c r="B1771">
        <v>7</v>
      </c>
      <c r="C1771" s="1">
        <v>47</v>
      </c>
      <c r="D1771">
        <v>0</v>
      </c>
      <c r="E1771">
        <v>0</v>
      </c>
      <c r="F1771">
        <v>1</v>
      </c>
      <c r="G1771" s="7">
        <v>0.05</v>
      </c>
      <c r="H1771">
        <v>12</v>
      </c>
      <c r="I1771">
        <v>0</v>
      </c>
      <c r="J1771">
        <v>0</v>
      </c>
      <c r="K1771">
        <v>0</v>
      </c>
      <c r="L1771">
        <v>1</v>
      </c>
      <c r="M1771">
        <v>2</v>
      </c>
      <c r="N1771" s="7">
        <v>9</v>
      </c>
      <c r="O1771" s="7">
        <v>0</v>
      </c>
      <c r="P1771" s="7">
        <v>0</v>
      </c>
      <c r="Q1771" s="7">
        <v>0</v>
      </c>
      <c r="R1771" s="7">
        <v>1</v>
      </c>
      <c r="S1771" s="7">
        <v>4.5</v>
      </c>
      <c r="T1771">
        <v>7</v>
      </c>
      <c r="U1771" s="1">
        <v>35</v>
      </c>
      <c r="V1771">
        <v>0</v>
      </c>
      <c r="W1771">
        <v>0</v>
      </c>
      <c r="X1771">
        <v>1</v>
      </c>
      <c r="Y1771">
        <v>0.16</v>
      </c>
      <c r="Z1771">
        <v>23</v>
      </c>
      <c r="AA1771">
        <v>0</v>
      </c>
      <c r="AB1771">
        <v>0</v>
      </c>
      <c r="AC1771">
        <v>0</v>
      </c>
      <c r="AD1771">
        <v>1</v>
      </c>
      <c r="AE1771">
        <v>0.05</v>
      </c>
      <c r="AF1771">
        <v>15</v>
      </c>
      <c r="AG1771">
        <v>0</v>
      </c>
      <c r="AH1771">
        <v>0</v>
      </c>
      <c r="AI1771">
        <v>0</v>
      </c>
      <c r="AJ1771">
        <v>1</v>
      </c>
      <c r="AK1771">
        <v>0.02</v>
      </c>
      <c r="AL1771">
        <v>16</v>
      </c>
      <c r="AM1771">
        <v>0</v>
      </c>
      <c r="AN1771">
        <v>0</v>
      </c>
      <c r="AO1771">
        <v>0</v>
      </c>
      <c r="AP1771">
        <v>1</v>
      </c>
      <c r="AQ1771">
        <v>0.01</v>
      </c>
      <c r="AX1771">
        <v>7</v>
      </c>
      <c r="AY1771" s="1">
        <v>19</v>
      </c>
      <c r="AZ1771">
        <v>0</v>
      </c>
      <c r="BA1771">
        <v>0</v>
      </c>
      <c r="BB1771">
        <v>1</v>
      </c>
      <c r="BC1771" s="7">
        <v>0.32</v>
      </c>
      <c r="BD1771">
        <v>30</v>
      </c>
      <c r="BE1771">
        <v>0</v>
      </c>
      <c r="BF1771">
        <v>0</v>
      </c>
      <c r="BG1771">
        <v>0</v>
      </c>
      <c r="BH1771">
        <v>5</v>
      </c>
      <c r="BI1771">
        <v>2.4</v>
      </c>
      <c r="BJ1771">
        <v>31</v>
      </c>
      <c r="BK1771">
        <v>0</v>
      </c>
      <c r="BL1771">
        <v>0</v>
      </c>
      <c r="BM1771">
        <v>0</v>
      </c>
      <c r="BN1771">
        <v>5</v>
      </c>
      <c r="BO1771">
        <v>2.4</v>
      </c>
      <c r="BP1771">
        <v>36</v>
      </c>
      <c r="BQ1771">
        <v>0</v>
      </c>
      <c r="BR1771">
        <v>0</v>
      </c>
      <c r="BS1771">
        <v>0</v>
      </c>
      <c r="BT1771">
        <v>5</v>
      </c>
      <c r="BU1771">
        <v>1.5</v>
      </c>
    </row>
    <row r="1772" spans="1:73" ht="14.25" x14ac:dyDescent="0.15">
      <c r="A1772" s="12">
        <v>31019</v>
      </c>
      <c r="B1772">
        <v>7</v>
      </c>
      <c r="C1772" s="1">
        <v>48</v>
      </c>
      <c r="D1772">
        <v>0</v>
      </c>
      <c r="E1772">
        <v>0</v>
      </c>
      <c r="F1772">
        <v>1</v>
      </c>
      <c r="G1772" s="7">
        <v>0.05</v>
      </c>
      <c r="H1772">
        <v>12</v>
      </c>
      <c r="I1772">
        <v>0</v>
      </c>
      <c r="J1772">
        <v>0</v>
      </c>
      <c r="K1772">
        <v>0</v>
      </c>
      <c r="L1772">
        <v>1</v>
      </c>
      <c r="M1772">
        <v>2</v>
      </c>
      <c r="N1772" s="7">
        <v>9</v>
      </c>
      <c r="O1772" s="7">
        <v>0</v>
      </c>
      <c r="P1772" s="7">
        <v>0</v>
      </c>
      <c r="Q1772" s="7">
        <v>0</v>
      </c>
      <c r="R1772" s="7">
        <v>1</v>
      </c>
      <c r="S1772" s="7">
        <v>4.5</v>
      </c>
      <c r="T1772">
        <v>7</v>
      </c>
      <c r="U1772" s="1">
        <v>36</v>
      </c>
      <c r="V1772">
        <v>0</v>
      </c>
      <c r="W1772">
        <v>0</v>
      </c>
      <c r="X1772">
        <v>1</v>
      </c>
      <c r="Y1772">
        <v>0.16</v>
      </c>
      <c r="Z1772">
        <v>23</v>
      </c>
      <c r="AA1772">
        <v>0</v>
      </c>
      <c r="AB1772">
        <v>0</v>
      </c>
      <c r="AC1772">
        <v>0</v>
      </c>
      <c r="AD1772">
        <v>1</v>
      </c>
      <c r="AE1772">
        <v>0.05</v>
      </c>
      <c r="AF1772">
        <v>15</v>
      </c>
      <c r="AG1772">
        <v>0</v>
      </c>
      <c r="AH1772">
        <v>0</v>
      </c>
      <c r="AI1772">
        <v>0</v>
      </c>
      <c r="AJ1772">
        <v>1</v>
      </c>
      <c r="AK1772">
        <v>0.02</v>
      </c>
      <c r="AL1772">
        <v>16</v>
      </c>
      <c r="AM1772">
        <v>0</v>
      </c>
      <c r="AN1772">
        <v>0</v>
      </c>
      <c r="AO1772">
        <v>0</v>
      </c>
      <c r="AP1772">
        <v>1</v>
      </c>
      <c r="AQ1772">
        <v>0.01</v>
      </c>
      <c r="AX1772">
        <v>7</v>
      </c>
      <c r="AY1772" s="1">
        <v>20</v>
      </c>
      <c r="AZ1772">
        <v>0</v>
      </c>
      <c r="BA1772">
        <v>0</v>
      </c>
      <c r="BB1772">
        <v>1</v>
      </c>
      <c r="BC1772" s="7">
        <v>0.32</v>
      </c>
      <c r="BD1772">
        <v>30</v>
      </c>
      <c r="BE1772">
        <v>0</v>
      </c>
      <c r="BF1772">
        <v>0</v>
      </c>
      <c r="BG1772">
        <v>0</v>
      </c>
      <c r="BH1772">
        <v>5</v>
      </c>
      <c r="BI1772">
        <v>2.4</v>
      </c>
      <c r="BJ1772">
        <v>31</v>
      </c>
      <c r="BK1772">
        <v>0</v>
      </c>
      <c r="BL1772">
        <v>0</v>
      </c>
      <c r="BM1772">
        <v>0</v>
      </c>
      <c r="BN1772">
        <v>5</v>
      </c>
      <c r="BO1772">
        <v>2.4</v>
      </c>
      <c r="BP1772">
        <v>36</v>
      </c>
      <c r="BQ1772">
        <v>0</v>
      </c>
      <c r="BR1772">
        <v>0</v>
      </c>
      <c r="BS1772">
        <v>0</v>
      </c>
      <c r="BT1772">
        <v>5</v>
      </c>
      <c r="BU1772">
        <v>1.5</v>
      </c>
    </row>
    <row r="1773" spans="1:73" ht="14.25" x14ac:dyDescent="0.15">
      <c r="A1773" s="12">
        <v>31020</v>
      </c>
      <c r="B1773">
        <v>7</v>
      </c>
      <c r="C1773" s="1">
        <v>0</v>
      </c>
      <c r="D1773">
        <v>5</v>
      </c>
      <c r="E1773">
        <v>1</v>
      </c>
      <c r="F1773">
        <v>1</v>
      </c>
      <c r="G1773" s="7">
        <v>0.05</v>
      </c>
      <c r="H1773">
        <v>12</v>
      </c>
      <c r="I1773">
        <v>0</v>
      </c>
      <c r="J1773">
        <v>0</v>
      </c>
      <c r="K1773">
        <v>0</v>
      </c>
      <c r="L1773">
        <v>1</v>
      </c>
      <c r="M1773">
        <v>2</v>
      </c>
      <c r="N1773" s="7">
        <v>9</v>
      </c>
      <c r="O1773" s="7">
        <v>0</v>
      </c>
      <c r="P1773" s="7">
        <v>0</v>
      </c>
      <c r="Q1773" s="7">
        <v>0</v>
      </c>
      <c r="R1773" s="7">
        <v>1</v>
      </c>
      <c r="S1773" s="7">
        <v>4.5</v>
      </c>
      <c r="T1773">
        <v>7</v>
      </c>
      <c r="U1773" s="1">
        <v>0</v>
      </c>
      <c r="V1773">
        <v>4</v>
      </c>
      <c r="W1773">
        <v>2</v>
      </c>
      <c r="X1773">
        <v>1</v>
      </c>
      <c r="Y1773">
        <v>0.16</v>
      </c>
      <c r="Z1773">
        <v>23</v>
      </c>
      <c r="AA1773">
        <v>0</v>
      </c>
      <c r="AB1773">
        <v>0</v>
      </c>
      <c r="AC1773">
        <v>0</v>
      </c>
      <c r="AD1773">
        <v>1</v>
      </c>
      <c r="AE1773">
        <v>0.05</v>
      </c>
      <c r="AF1773">
        <v>15</v>
      </c>
      <c r="AG1773">
        <v>0</v>
      </c>
      <c r="AH1773">
        <v>0</v>
      </c>
      <c r="AI1773">
        <v>0</v>
      </c>
      <c r="AJ1773">
        <v>1</v>
      </c>
      <c r="AK1773">
        <v>0.02</v>
      </c>
      <c r="AL1773">
        <v>16</v>
      </c>
      <c r="AM1773">
        <v>0</v>
      </c>
      <c r="AN1773">
        <v>0</v>
      </c>
      <c r="AO1773">
        <v>0</v>
      </c>
      <c r="AP1773">
        <v>1</v>
      </c>
      <c r="AQ1773">
        <v>0.01</v>
      </c>
      <c r="AR1773">
        <v>6</v>
      </c>
      <c r="AS1773">
        <v>2</v>
      </c>
      <c r="AT1773">
        <v>4</v>
      </c>
      <c r="AU1773">
        <v>5</v>
      </c>
      <c r="AV1773">
        <v>1</v>
      </c>
      <c r="AW1773">
        <v>0.01</v>
      </c>
      <c r="AX1773">
        <v>7</v>
      </c>
      <c r="AY1773" s="1">
        <v>0</v>
      </c>
      <c r="AZ1773">
        <v>3</v>
      </c>
      <c r="BA1773">
        <v>1</v>
      </c>
      <c r="BB1773">
        <v>1</v>
      </c>
      <c r="BC1773" s="7">
        <v>0.32</v>
      </c>
      <c r="BD1773">
        <v>30</v>
      </c>
      <c r="BE1773">
        <v>0</v>
      </c>
      <c r="BF1773">
        <v>0</v>
      </c>
      <c r="BG1773">
        <v>0</v>
      </c>
      <c r="BH1773">
        <v>5</v>
      </c>
      <c r="BI1773">
        <v>2.4</v>
      </c>
      <c r="BJ1773">
        <v>31</v>
      </c>
      <c r="BK1773">
        <v>0</v>
      </c>
      <c r="BL1773">
        <v>0</v>
      </c>
      <c r="BM1773">
        <v>0</v>
      </c>
      <c r="BN1773">
        <v>5</v>
      </c>
      <c r="BO1773">
        <v>2.4</v>
      </c>
      <c r="BP1773">
        <v>36</v>
      </c>
      <c r="BQ1773">
        <v>0</v>
      </c>
      <c r="BR1773">
        <v>0</v>
      </c>
      <c r="BS1773">
        <v>0</v>
      </c>
      <c r="BT1773">
        <v>5</v>
      </c>
      <c r="BU1773">
        <v>1.5</v>
      </c>
    </row>
    <row r="1774" spans="1:73" ht="14.25" x14ac:dyDescent="0.15">
      <c r="A1774" s="12">
        <v>31021</v>
      </c>
      <c r="B1774">
        <v>7</v>
      </c>
      <c r="C1774" s="1">
        <v>45</v>
      </c>
      <c r="D1774">
        <v>0</v>
      </c>
      <c r="E1774">
        <v>0</v>
      </c>
      <c r="F1774">
        <v>1</v>
      </c>
      <c r="G1774" s="7">
        <v>0.05</v>
      </c>
      <c r="H1774">
        <v>12</v>
      </c>
      <c r="I1774">
        <v>0</v>
      </c>
      <c r="J1774">
        <v>0</v>
      </c>
      <c r="K1774">
        <v>0</v>
      </c>
      <c r="L1774">
        <v>1</v>
      </c>
      <c r="M1774">
        <v>2</v>
      </c>
      <c r="N1774" s="7">
        <v>9</v>
      </c>
      <c r="O1774" s="7">
        <v>0</v>
      </c>
      <c r="P1774" s="7">
        <v>0</v>
      </c>
      <c r="Q1774" s="7">
        <v>0</v>
      </c>
      <c r="R1774" s="7">
        <v>1</v>
      </c>
      <c r="S1774" s="7">
        <v>4.5</v>
      </c>
      <c r="T1774">
        <v>7</v>
      </c>
      <c r="U1774" s="1">
        <v>33</v>
      </c>
      <c r="V1774">
        <v>0</v>
      </c>
      <c r="W1774">
        <v>0</v>
      </c>
      <c r="X1774">
        <v>1</v>
      </c>
      <c r="Y1774">
        <v>0.16</v>
      </c>
      <c r="Z1774">
        <v>23</v>
      </c>
      <c r="AA1774">
        <v>0</v>
      </c>
      <c r="AB1774">
        <v>0</v>
      </c>
      <c r="AC1774">
        <v>0</v>
      </c>
      <c r="AD1774">
        <v>1</v>
      </c>
      <c r="AE1774">
        <v>0.05</v>
      </c>
      <c r="AF1774">
        <v>15</v>
      </c>
      <c r="AG1774">
        <v>0</v>
      </c>
      <c r="AH1774">
        <v>0</v>
      </c>
      <c r="AI1774">
        <v>0</v>
      </c>
      <c r="AJ1774">
        <v>1</v>
      </c>
      <c r="AK1774">
        <v>0.02</v>
      </c>
      <c r="AL1774">
        <v>16</v>
      </c>
      <c r="AM1774">
        <v>0</v>
      </c>
      <c r="AN1774">
        <v>0</v>
      </c>
      <c r="AO1774">
        <v>0</v>
      </c>
      <c r="AP1774">
        <v>1</v>
      </c>
      <c r="AQ1774">
        <v>0.01</v>
      </c>
      <c r="AX1774">
        <v>7</v>
      </c>
      <c r="AY1774" s="1">
        <v>17</v>
      </c>
      <c r="AZ1774">
        <v>0</v>
      </c>
      <c r="BA1774">
        <v>0</v>
      </c>
      <c r="BB1774">
        <v>1</v>
      </c>
      <c r="BC1774" s="7">
        <v>0.32</v>
      </c>
      <c r="BD1774">
        <v>30</v>
      </c>
      <c r="BE1774">
        <v>0</v>
      </c>
      <c r="BF1774">
        <v>0</v>
      </c>
      <c r="BG1774">
        <v>0</v>
      </c>
      <c r="BH1774">
        <v>5</v>
      </c>
      <c r="BI1774">
        <v>2.4</v>
      </c>
      <c r="BJ1774">
        <v>31</v>
      </c>
      <c r="BK1774">
        <v>0</v>
      </c>
      <c r="BL1774">
        <v>0</v>
      </c>
      <c r="BM1774">
        <v>0</v>
      </c>
      <c r="BN1774">
        <v>5</v>
      </c>
      <c r="BO1774">
        <v>2.4</v>
      </c>
      <c r="BP1774">
        <v>36</v>
      </c>
      <c r="BQ1774">
        <v>0</v>
      </c>
      <c r="BR1774">
        <v>0</v>
      </c>
      <c r="BS1774">
        <v>0</v>
      </c>
      <c r="BT1774">
        <v>5</v>
      </c>
      <c r="BU1774">
        <v>1.5</v>
      </c>
    </row>
    <row r="1775" spans="1:73" ht="14.25" x14ac:dyDescent="0.15">
      <c r="A1775" s="12">
        <v>31022</v>
      </c>
      <c r="B1775">
        <v>7</v>
      </c>
      <c r="C1775" s="1">
        <v>46</v>
      </c>
      <c r="D1775">
        <v>0</v>
      </c>
      <c r="E1775">
        <v>0</v>
      </c>
      <c r="F1775">
        <v>1</v>
      </c>
      <c r="G1775" s="7">
        <v>0.05</v>
      </c>
      <c r="H1775">
        <v>12</v>
      </c>
      <c r="I1775">
        <v>0</v>
      </c>
      <c r="J1775">
        <v>0</v>
      </c>
      <c r="K1775">
        <v>0</v>
      </c>
      <c r="L1775">
        <v>1</v>
      </c>
      <c r="M1775">
        <v>2</v>
      </c>
      <c r="N1775" s="7">
        <v>9</v>
      </c>
      <c r="O1775" s="7">
        <v>0</v>
      </c>
      <c r="P1775" s="7">
        <v>0</v>
      </c>
      <c r="Q1775" s="7">
        <v>0</v>
      </c>
      <c r="R1775" s="7">
        <v>1</v>
      </c>
      <c r="S1775" s="7">
        <v>4.5</v>
      </c>
      <c r="T1775">
        <v>7</v>
      </c>
      <c r="U1775" s="1">
        <v>34</v>
      </c>
      <c r="V1775">
        <v>0</v>
      </c>
      <c r="W1775">
        <v>0</v>
      </c>
      <c r="X1775">
        <v>1</v>
      </c>
      <c r="Y1775">
        <v>0.16</v>
      </c>
      <c r="Z1775">
        <v>23</v>
      </c>
      <c r="AA1775">
        <v>0</v>
      </c>
      <c r="AB1775">
        <v>0</v>
      </c>
      <c r="AC1775">
        <v>0</v>
      </c>
      <c r="AD1775">
        <v>1</v>
      </c>
      <c r="AE1775">
        <v>0.05</v>
      </c>
      <c r="AF1775">
        <v>15</v>
      </c>
      <c r="AG1775">
        <v>0</v>
      </c>
      <c r="AH1775">
        <v>0</v>
      </c>
      <c r="AI1775">
        <v>0</v>
      </c>
      <c r="AJ1775">
        <v>1</v>
      </c>
      <c r="AK1775">
        <v>0.02</v>
      </c>
      <c r="AL1775">
        <v>16</v>
      </c>
      <c r="AM1775">
        <v>0</v>
      </c>
      <c r="AN1775">
        <v>0</v>
      </c>
      <c r="AO1775">
        <v>0</v>
      </c>
      <c r="AP1775">
        <v>1</v>
      </c>
      <c r="AQ1775">
        <v>0.01</v>
      </c>
      <c r="AX1775">
        <v>7</v>
      </c>
      <c r="AY1775" s="1">
        <v>18</v>
      </c>
      <c r="AZ1775">
        <v>0</v>
      </c>
      <c r="BA1775">
        <v>0</v>
      </c>
      <c r="BB1775">
        <v>1</v>
      </c>
      <c r="BC1775" s="7">
        <v>0.32</v>
      </c>
      <c r="BD1775">
        <v>30</v>
      </c>
      <c r="BE1775">
        <v>0</v>
      </c>
      <c r="BF1775">
        <v>0</v>
      </c>
      <c r="BG1775">
        <v>0</v>
      </c>
      <c r="BH1775">
        <v>5</v>
      </c>
      <c r="BI1775">
        <v>2.4</v>
      </c>
      <c r="BJ1775">
        <v>31</v>
      </c>
      <c r="BK1775">
        <v>0</v>
      </c>
      <c r="BL1775">
        <v>0</v>
      </c>
      <c r="BM1775">
        <v>0</v>
      </c>
      <c r="BN1775">
        <v>5</v>
      </c>
      <c r="BO1775">
        <v>2.4</v>
      </c>
      <c r="BP1775">
        <v>36</v>
      </c>
      <c r="BQ1775">
        <v>0</v>
      </c>
      <c r="BR1775">
        <v>0</v>
      </c>
      <c r="BS1775">
        <v>0</v>
      </c>
      <c r="BT1775">
        <v>5</v>
      </c>
      <c r="BU1775">
        <v>1.5</v>
      </c>
    </row>
    <row r="1776" spans="1:73" ht="14.25" x14ac:dyDescent="0.15">
      <c r="A1776" s="12">
        <v>31023</v>
      </c>
      <c r="B1776">
        <v>7</v>
      </c>
      <c r="C1776" s="1">
        <v>47</v>
      </c>
      <c r="D1776">
        <v>0</v>
      </c>
      <c r="E1776">
        <v>0</v>
      </c>
      <c r="F1776">
        <v>1</v>
      </c>
      <c r="G1776" s="7">
        <v>0.05</v>
      </c>
      <c r="H1776">
        <v>12</v>
      </c>
      <c r="I1776">
        <v>0</v>
      </c>
      <c r="J1776">
        <v>0</v>
      </c>
      <c r="K1776">
        <v>0</v>
      </c>
      <c r="L1776">
        <v>1</v>
      </c>
      <c r="M1776">
        <v>2</v>
      </c>
      <c r="N1776" s="7">
        <v>9</v>
      </c>
      <c r="O1776" s="7">
        <v>0</v>
      </c>
      <c r="P1776" s="7">
        <v>0</v>
      </c>
      <c r="Q1776" s="7">
        <v>0</v>
      </c>
      <c r="R1776" s="7">
        <v>1</v>
      </c>
      <c r="S1776" s="7">
        <v>4.5</v>
      </c>
      <c r="T1776">
        <v>7</v>
      </c>
      <c r="U1776" s="1">
        <v>35</v>
      </c>
      <c r="V1776">
        <v>0</v>
      </c>
      <c r="W1776">
        <v>0</v>
      </c>
      <c r="X1776">
        <v>1</v>
      </c>
      <c r="Y1776">
        <v>0.16</v>
      </c>
      <c r="Z1776">
        <v>23</v>
      </c>
      <c r="AA1776">
        <v>0</v>
      </c>
      <c r="AB1776">
        <v>0</v>
      </c>
      <c r="AC1776">
        <v>0</v>
      </c>
      <c r="AD1776">
        <v>1</v>
      </c>
      <c r="AE1776">
        <v>0.05</v>
      </c>
      <c r="AF1776">
        <v>15</v>
      </c>
      <c r="AG1776">
        <v>0</v>
      </c>
      <c r="AH1776">
        <v>0</v>
      </c>
      <c r="AI1776">
        <v>0</v>
      </c>
      <c r="AJ1776">
        <v>1</v>
      </c>
      <c r="AK1776">
        <v>0.02</v>
      </c>
      <c r="AL1776">
        <v>16</v>
      </c>
      <c r="AM1776">
        <v>0</v>
      </c>
      <c r="AN1776">
        <v>0</v>
      </c>
      <c r="AO1776">
        <v>0</v>
      </c>
      <c r="AP1776">
        <v>1</v>
      </c>
      <c r="AQ1776">
        <v>0.01</v>
      </c>
      <c r="AX1776">
        <v>7</v>
      </c>
      <c r="AY1776" s="1">
        <v>19</v>
      </c>
      <c r="AZ1776">
        <v>0</v>
      </c>
      <c r="BA1776">
        <v>0</v>
      </c>
      <c r="BB1776">
        <v>1</v>
      </c>
      <c r="BC1776" s="7">
        <v>0.32</v>
      </c>
      <c r="BD1776">
        <v>30</v>
      </c>
      <c r="BE1776">
        <v>0</v>
      </c>
      <c r="BF1776">
        <v>0</v>
      </c>
      <c r="BG1776">
        <v>0</v>
      </c>
      <c r="BH1776">
        <v>5</v>
      </c>
      <c r="BI1776">
        <v>2.4</v>
      </c>
      <c r="BJ1776">
        <v>31</v>
      </c>
      <c r="BK1776">
        <v>0</v>
      </c>
      <c r="BL1776">
        <v>0</v>
      </c>
      <c r="BM1776">
        <v>0</v>
      </c>
      <c r="BN1776">
        <v>5</v>
      </c>
      <c r="BO1776">
        <v>2.4</v>
      </c>
      <c r="BP1776">
        <v>36</v>
      </c>
      <c r="BQ1776">
        <v>0</v>
      </c>
      <c r="BR1776">
        <v>0</v>
      </c>
      <c r="BS1776">
        <v>0</v>
      </c>
      <c r="BT1776">
        <v>5</v>
      </c>
      <c r="BU1776">
        <v>1.5</v>
      </c>
    </row>
    <row r="1777" spans="1:73" ht="14.25" x14ac:dyDescent="0.15">
      <c r="A1777" s="12">
        <v>31024</v>
      </c>
      <c r="B1777">
        <v>7</v>
      </c>
      <c r="C1777" s="1">
        <v>48</v>
      </c>
      <c r="D1777">
        <v>0</v>
      </c>
      <c r="E1777">
        <v>0</v>
      </c>
      <c r="F1777">
        <v>1</v>
      </c>
      <c r="G1777" s="7">
        <v>0.05</v>
      </c>
      <c r="H1777">
        <v>12</v>
      </c>
      <c r="I1777">
        <v>0</v>
      </c>
      <c r="J1777">
        <v>0</v>
      </c>
      <c r="K1777">
        <v>0</v>
      </c>
      <c r="L1777">
        <v>1</v>
      </c>
      <c r="M1777">
        <v>2</v>
      </c>
      <c r="N1777" s="7">
        <v>9</v>
      </c>
      <c r="O1777" s="7">
        <v>0</v>
      </c>
      <c r="P1777" s="7">
        <v>0</v>
      </c>
      <c r="Q1777" s="7">
        <v>0</v>
      </c>
      <c r="R1777" s="7">
        <v>1</v>
      </c>
      <c r="S1777" s="7">
        <v>4.5</v>
      </c>
      <c r="T1777">
        <v>7</v>
      </c>
      <c r="U1777" s="1">
        <v>36</v>
      </c>
      <c r="V1777">
        <v>0</v>
      </c>
      <c r="W1777">
        <v>0</v>
      </c>
      <c r="X1777">
        <v>1</v>
      </c>
      <c r="Y1777">
        <v>0.16</v>
      </c>
      <c r="Z1777">
        <v>23</v>
      </c>
      <c r="AA1777">
        <v>0</v>
      </c>
      <c r="AB1777">
        <v>0</v>
      </c>
      <c r="AC1777">
        <v>0</v>
      </c>
      <c r="AD1777">
        <v>1</v>
      </c>
      <c r="AE1777">
        <v>0.05</v>
      </c>
      <c r="AF1777">
        <v>15</v>
      </c>
      <c r="AG1777">
        <v>0</v>
      </c>
      <c r="AH1777">
        <v>0</v>
      </c>
      <c r="AI1777">
        <v>0</v>
      </c>
      <c r="AJ1777">
        <v>1</v>
      </c>
      <c r="AK1777">
        <v>0.02</v>
      </c>
      <c r="AL1777">
        <v>16</v>
      </c>
      <c r="AM1777">
        <v>0</v>
      </c>
      <c r="AN1777">
        <v>0</v>
      </c>
      <c r="AO1777">
        <v>0</v>
      </c>
      <c r="AP1777">
        <v>1</v>
      </c>
      <c r="AQ1777">
        <v>0.01</v>
      </c>
      <c r="AX1777">
        <v>7</v>
      </c>
      <c r="AY1777" s="1">
        <v>20</v>
      </c>
      <c r="AZ1777">
        <v>0</v>
      </c>
      <c r="BA1777">
        <v>0</v>
      </c>
      <c r="BB1777">
        <v>1</v>
      </c>
      <c r="BC1777" s="7">
        <v>0.32</v>
      </c>
      <c r="BD1777">
        <v>30</v>
      </c>
      <c r="BE1777">
        <v>0</v>
      </c>
      <c r="BF1777">
        <v>0</v>
      </c>
      <c r="BG1777">
        <v>0</v>
      </c>
      <c r="BH1777">
        <v>5</v>
      </c>
      <c r="BI1777">
        <v>2.4</v>
      </c>
      <c r="BJ1777">
        <v>31</v>
      </c>
      <c r="BK1777">
        <v>0</v>
      </c>
      <c r="BL1777">
        <v>0</v>
      </c>
      <c r="BM1777">
        <v>0</v>
      </c>
      <c r="BN1777">
        <v>5</v>
      </c>
      <c r="BO1777">
        <v>2.4</v>
      </c>
      <c r="BP1777">
        <v>36</v>
      </c>
      <c r="BQ1777">
        <v>0</v>
      </c>
      <c r="BR1777">
        <v>0</v>
      </c>
      <c r="BS1777">
        <v>0</v>
      </c>
      <c r="BT1777">
        <v>5</v>
      </c>
      <c r="BU1777">
        <v>1.5</v>
      </c>
    </row>
    <row r="1778" spans="1:73" ht="14.25" x14ac:dyDescent="0.15">
      <c r="A1778" s="12">
        <v>31025</v>
      </c>
      <c r="B1778">
        <v>7</v>
      </c>
      <c r="C1778" s="1">
        <v>0</v>
      </c>
      <c r="D1778">
        <v>5</v>
      </c>
      <c r="E1778">
        <v>1</v>
      </c>
      <c r="F1778">
        <v>1</v>
      </c>
      <c r="G1778" s="7">
        <v>0.05</v>
      </c>
      <c r="H1778">
        <v>12</v>
      </c>
      <c r="I1778">
        <v>0</v>
      </c>
      <c r="J1778">
        <v>0</v>
      </c>
      <c r="K1778">
        <v>0</v>
      </c>
      <c r="L1778">
        <v>1</v>
      </c>
      <c r="M1778">
        <v>2</v>
      </c>
      <c r="N1778" s="7">
        <v>9</v>
      </c>
      <c r="O1778" s="7">
        <v>0</v>
      </c>
      <c r="P1778" s="7">
        <v>0</v>
      </c>
      <c r="Q1778" s="7">
        <v>0</v>
      </c>
      <c r="R1778" s="7">
        <v>1</v>
      </c>
      <c r="S1778" s="7">
        <v>4.5</v>
      </c>
      <c r="T1778">
        <v>7</v>
      </c>
      <c r="U1778" s="1">
        <v>0</v>
      </c>
      <c r="V1778">
        <v>4</v>
      </c>
      <c r="W1778">
        <v>2</v>
      </c>
      <c r="X1778">
        <v>1</v>
      </c>
      <c r="Y1778">
        <v>0.16</v>
      </c>
      <c r="Z1778">
        <v>23</v>
      </c>
      <c r="AA1778">
        <v>0</v>
      </c>
      <c r="AB1778">
        <v>0</v>
      </c>
      <c r="AC1778">
        <v>0</v>
      </c>
      <c r="AD1778">
        <v>1</v>
      </c>
      <c r="AE1778">
        <v>0.05</v>
      </c>
      <c r="AF1778">
        <v>15</v>
      </c>
      <c r="AG1778">
        <v>0</v>
      </c>
      <c r="AH1778">
        <v>0</v>
      </c>
      <c r="AI1778">
        <v>0</v>
      </c>
      <c r="AJ1778">
        <v>1</v>
      </c>
      <c r="AK1778">
        <v>0.02</v>
      </c>
      <c r="AL1778">
        <v>16</v>
      </c>
      <c r="AM1778">
        <v>0</v>
      </c>
      <c r="AN1778">
        <v>0</v>
      </c>
      <c r="AO1778">
        <v>0</v>
      </c>
      <c r="AP1778">
        <v>1</v>
      </c>
      <c r="AQ1778">
        <v>0.01</v>
      </c>
      <c r="AR1778">
        <v>6</v>
      </c>
      <c r="AS1778">
        <v>2</v>
      </c>
      <c r="AT1778">
        <v>5</v>
      </c>
      <c r="AU1778">
        <v>5</v>
      </c>
      <c r="AV1778">
        <v>1</v>
      </c>
      <c r="AW1778">
        <v>0.01</v>
      </c>
      <c r="AX1778">
        <v>7</v>
      </c>
      <c r="AY1778" s="1">
        <v>0</v>
      </c>
      <c r="AZ1778">
        <v>3</v>
      </c>
      <c r="BA1778">
        <v>1</v>
      </c>
      <c r="BB1778">
        <v>1</v>
      </c>
      <c r="BC1778" s="7">
        <v>0.32</v>
      </c>
      <c r="BD1778">
        <v>30</v>
      </c>
      <c r="BE1778">
        <v>0</v>
      </c>
      <c r="BF1778">
        <v>0</v>
      </c>
      <c r="BG1778">
        <v>0</v>
      </c>
      <c r="BH1778">
        <v>5</v>
      </c>
      <c r="BI1778">
        <v>2.4</v>
      </c>
      <c r="BJ1778">
        <v>31</v>
      </c>
      <c r="BK1778">
        <v>0</v>
      </c>
      <c r="BL1778">
        <v>0</v>
      </c>
      <c r="BM1778">
        <v>0</v>
      </c>
      <c r="BN1778">
        <v>5</v>
      </c>
      <c r="BO1778">
        <v>2.4</v>
      </c>
      <c r="BP1778">
        <v>36</v>
      </c>
      <c r="BQ1778">
        <v>0</v>
      </c>
      <c r="BR1778">
        <v>0</v>
      </c>
      <c r="BS1778">
        <v>0</v>
      </c>
      <c r="BT1778">
        <v>5</v>
      </c>
      <c r="BU1778">
        <v>1.5</v>
      </c>
    </row>
    <row r="1779" spans="1:73" ht="14.25" x14ac:dyDescent="0.15">
      <c r="A1779" s="12">
        <v>31026</v>
      </c>
      <c r="B1779">
        <v>7</v>
      </c>
      <c r="C1779" s="1">
        <v>45</v>
      </c>
      <c r="D1779">
        <v>0</v>
      </c>
      <c r="E1779">
        <v>0</v>
      </c>
      <c r="F1779">
        <v>1</v>
      </c>
      <c r="G1779" s="7">
        <v>0.05</v>
      </c>
      <c r="H1779">
        <v>12</v>
      </c>
      <c r="I1779">
        <v>0</v>
      </c>
      <c r="J1779">
        <v>0</v>
      </c>
      <c r="K1779">
        <v>0</v>
      </c>
      <c r="L1779">
        <v>1</v>
      </c>
      <c r="M1779">
        <v>2</v>
      </c>
      <c r="N1779" s="7">
        <v>9</v>
      </c>
      <c r="O1779" s="7">
        <v>0</v>
      </c>
      <c r="P1779" s="7">
        <v>0</v>
      </c>
      <c r="Q1779" s="7">
        <v>0</v>
      </c>
      <c r="R1779" s="7">
        <v>1</v>
      </c>
      <c r="S1779" s="7">
        <v>4.5</v>
      </c>
      <c r="T1779">
        <v>7</v>
      </c>
      <c r="U1779" s="1">
        <v>33</v>
      </c>
      <c r="V1779">
        <v>0</v>
      </c>
      <c r="W1779">
        <v>0</v>
      </c>
      <c r="X1779">
        <v>1</v>
      </c>
      <c r="Y1779">
        <v>0.16</v>
      </c>
      <c r="Z1779">
        <v>23</v>
      </c>
      <c r="AA1779">
        <v>0</v>
      </c>
      <c r="AB1779">
        <v>0</v>
      </c>
      <c r="AC1779">
        <v>0</v>
      </c>
      <c r="AD1779">
        <v>1</v>
      </c>
      <c r="AE1779">
        <v>0.05</v>
      </c>
      <c r="AF1779">
        <v>15</v>
      </c>
      <c r="AG1779">
        <v>0</v>
      </c>
      <c r="AH1779">
        <v>0</v>
      </c>
      <c r="AI1779">
        <v>0</v>
      </c>
      <c r="AJ1779">
        <v>1</v>
      </c>
      <c r="AK1779">
        <v>0.02</v>
      </c>
      <c r="AL1779">
        <v>16</v>
      </c>
      <c r="AM1779">
        <v>0</v>
      </c>
      <c r="AN1779">
        <v>0</v>
      </c>
      <c r="AO1779">
        <v>0</v>
      </c>
      <c r="AP1779">
        <v>1</v>
      </c>
      <c r="AQ1779">
        <v>0.01</v>
      </c>
      <c r="AX1779">
        <v>7</v>
      </c>
      <c r="AY1779" s="1">
        <v>17</v>
      </c>
      <c r="AZ1779">
        <v>0</v>
      </c>
      <c r="BA1779">
        <v>0</v>
      </c>
      <c r="BB1779">
        <v>1</v>
      </c>
      <c r="BC1779" s="7">
        <v>0.32</v>
      </c>
      <c r="BD1779">
        <v>30</v>
      </c>
      <c r="BE1779">
        <v>0</v>
      </c>
      <c r="BF1779">
        <v>0</v>
      </c>
      <c r="BG1779">
        <v>0</v>
      </c>
      <c r="BH1779">
        <v>5</v>
      </c>
      <c r="BI1779">
        <v>2.4</v>
      </c>
      <c r="BJ1779">
        <v>31</v>
      </c>
      <c r="BK1779">
        <v>0</v>
      </c>
      <c r="BL1779">
        <v>0</v>
      </c>
      <c r="BM1779">
        <v>0</v>
      </c>
      <c r="BN1779">
        <v>5</v>
      </c>
      <c r="BO1779">
        <v>2.4</v>
      </c>
      <c r="BP1779">
        <v>36</v>
      </c>
      <c r="BQ1779">
        <v>0</v>
      </c>
      <c r="BR1779">
        <v>0</v>
      </c>
      <c r="BS1779">
        <v>0</v>
      </c>
      <c r="BT1779">
        <v>5</v>
      </c>
      <c r="BU1779">
        <v>1.5</v>
      </c>
    </row>
    <row r="1780" spans="1:73" ht="14.25" x14ac:dyDescent="0.15">
      <c r="A1780" s="12">
        <v>31027</v>
      </c>
      <c r="B1780">
        <v>7</v>
      </c>
      <c r="C1780" s="1">
        <v>46</v>
      </c>
      <c r="D1780">
        <v>0</v>
      </c>
      <c r="E1780">
        <v>0</v>
      </c>
      <c r="F1780">
        <v>1</v>
      </c>
      <c r="G1780" s="7">
        <v>0.05</v>
      </c>
      <c r="H1780">
        <v>12</v>
      </c>
      <c r="I1780">
        <v>0</v>
      </c>
      <c r="J1780">
        <v>0</v>
      </c>
      <c r="K1780">
        <v>0</v>
      </c>
      <c r="L1780">
        <v>1</v>
      </c>
      <c r="M1780">
        <v>2</v>
      </c>
      <c r="N1780" s="7">
        <v>9</v>
      </c>
      <c r="O1780" s="7">
        <v>0</v>
      </c>
      <c r="P1780" s="7">
        <v>0</v>
      </c>
      <c r="Q1780" s="7">
        <v>0</v>
      </c>
      <c r="R1780" s="7">
        <v>1</v>
      </c>
      <c r="S1780" s="7">
        <v>4.5</v>
      </c>
      <c r="T1780">
        <v>7</v>
      </c>
      <c r="U1780" s="1">
        <v>34</v>
      </c>
      <c r="V1780">
        <v>0</v>
      </c>
      <c r="W1780">
        <v>0</v>
      </c>
      <c r="X1780">
        <v>1</v>
      </c>
      <c r="Y1780">
        <v>0.16</v>
      </c>
      <c r="Z1780">
        <v>23</v>
      </c>
      <c r="AA1780">
        <v>0</v>
      </c>
      <c r="AB1780">
        <v>0</v>
      </c>
      <c r="AC1780">
        <v>0</v>
      </c>
      <c r="AD1780">
        <v>1</v>
      </c>
      <c r="AE1780">
        <v>0.05</v>
      </c>
      <c r="AF1780">
        <v>15</v>
      </c>
      <c r="AG1780">
        <v>0</v>
      </c>
      <c r="AH1780">
        <v>0</v>
      </c>
      <c r="AI1780">
        <v>0</v>
      </c>
      <c r="AJ1780">
        <v>1</v>
      </c>
      <c r="AK1780">
        <v>0.02</v>
      </c>
      <c r="AL1780">
        <v>16</v>
      </c>
      <c r="AM1780">
        <v>0</v>
      </c>
      <c r="AN1780">
        <v>0</v>
      </c>
      <c r="AO1780">
        <v>0</v>
      </c>
      <c r="AP1780">
        <v>1</v>
      </c>
      <c r="AQ1780">
        <v>0.01</v>
      </c>
      <c r="AX1780">
        <v>7</v>
      </c>
      <c r="AY1780" s="1">
        <v>18</v>
      </c>
      <c r="AZ1780">
        <v>0</v>
      </c>
      <c r="BA1780">
        <v>0</v>
      </c>
      <c r="BB1780">
        <v>1</v>
      </c>
      <c r="BC1780" s="7">
        <v>0.32</v>
      </c>
      <c r="BD1780">
        <v>30</v>
      </c>
      <c r="BE1780">
        <v>0</v>
      </c>
      <c r="BF1780">
        <v>0</v>
      </c>
      <c r="BG1780">
        <v>0</v>
      </c>
      <c r="BH1780">
        <v>5</v>
      </c>
      <c r="BI1780">
        <v>2.4</v>
      </c>
      <c r="BJ1780">
        <v>31</v>
      </c>
      <c r="BK1780">
        <v>0</v>
      </c>
      <c r="BL1780">
        <v>0</v>
      </c>
      <c r="BM1780">
        <v>0</v>
      </c>
      <c r="BN1780">
        <v>5</v>
      </c>
      <c r="BO1780">
        <v>2.4</v>
      </c>
      <c r="BP1780">
        <v>36</v>
      </c>
      <c r="BQ1780">
        <v>0</v>
      </c>
      <c r="BR1780">
        <v>0</v>
      </c>
      <c r="BS1780">
        <v>0</v>
      </c>
      <c r="BT1780">
        <v>5</v>
      </c>
      <c r="BU1780">
        <v>1.5</v>
      </c>
    </row>
    <row r="1781" spans="1:73" ht="14.25" x14ac:dyDescent="0.15">
      <c r="A1781" s="12">
        <v>31028</v>
      </c>
      <c r="B1781">
        <v>7</v>
      </c>
      <c r="C1781" s="1">
        <v>47</v>
      </c>
      <c r="D1781">
        <v>0</v>
      </c>
      <c r="E1781">
        <v>0</v>
      </c>
      <c r="F1781">
        <v>1</v>
      </c>
      <c r="G1781" s="7">
        <v>0.05</v>
      </c>
      <c r="H1781">
        <v>12</v>
      </c>
      <c r="I1781">
        <v>0</v>
      </c>
      <c r="J1781">
        <v>0</v>
      </c>
      <c r="K1781">
        <v>0</v>
      </c>
      <c r="L1781">
        <v>1</v>
      </c>
      <c r="M1781">
        <v>2</v>
      </c>
      <c r="N1781" s="7">
        <v>9</v>
      </c>
      <c r="O1781" s="7">
        <v>0</v>
      </c>
      <c r="P1781" s="7">
        <v>0</v>
      </c>
      <c r="Q1781" s="7">
        <v>0</v>
      </c>
      <c r="R1781" s="7">
        <v>1</v>
      </c>
      <c r="S1781" s="7">
        <v>4.5</v>
      </c>
      <c r="T1781">
        <v>7</v>
      </c>
      <c r="U1781" s="1">
        <v>35</v>
      </c>
      <c r="V1781">
        <v>0</v>
      </c>
      <c r="W1781">
        <v>0</v>
      </c>
      <c r="X1781">
        <v>1</v>
      </c>
      <c r="Y1781">
        <v>0.16</v>
      </c>
      <c r="Z1781">
        <v>23</v>
      </c>
      <c r="AA1781">
        <v>0</v>
      </c>
      <c r="AB1781">
        <v>0</v>
      </c>
      <c r="AC1781">
        <v>0</v>
      </c>
      <c r="AD1781">
        <v>1</v>
      </c>
      <c r="AE1781">
        <v>0.05</v>
      </c>
      <c r="AF1781">
        <v>15</v>
      </c>
      <c r="AG1781">
        <v>0</v>
      </c>
      <c r="AH1781">
        <v>0</v>
      </c>
      <c r="AI1781">
        <v>0</v>
      </c>
      <c r="AJ1781">
        <v>1</v>
      </c>
      <c r="AK1781">
        <v>0.02</v>
      </c>
      <c r="AL1781">
        <v>16</v>
      </c>
      <c r="AM1781">
        <v>0</v>
      </c>
      <c r="AN1781">
        <v>0</v>
      </c>
      <c r="AO1781">
        <v>0</v>
      </c>
      <c r="AP1781">
        <v>1</v>
      </c>
      <c r="AQ1781">
        <v>0.01</v>
      </c>
      <c r="AX1781">
        <v>7</v>
      </c>
      <c r="AY1781" s="1">
        <v>19</v>
      </c>
      <c r="AZ1781">
        <v>0</v>
      </c>
      <c r="BA1781">
        <v>0</v>
      </c>
      <c r="BB1781">
        <v>1</v>
      </c>
      <c r="BC1781" s="7">
        <v>0.32</v>
      </c>
      <c r="BD1781">
        <v>30</v>
      </c>
      <c r="BE1781">
        <v>0</v>
      </c>
      <c r="BF1781">
        <v>0</v>
      </c>
      <c r="BG1781">
        <v>0</v>
      </c>
      <c r="BH1781">
        <v>5</v>
      </c>
      <c r="BI1781">
        <v>2.4</v>
      </c>
      <c r="BJ1781">
        <v>31</v>
      </c>
      <c r="BK1781">
        <v>0</v>
      </c>
      <c r="BL1781">
        <v>0</v>
      </c>
      <c r="BM1781">
        <v>0</v>
      </c>
      <c r="BN1781">
        <v>5</v>
      </c>
      <c r="BO1781">
        <v>2.4</v>
      </c>
      <c r="BP1781">
        <v>36</v>
      </c>
      <c r="BQ1781">
        <v>0</v>
      </c>
      <c r="BR1781">
        <v>0</v>
      </c>
      <c r="BS1781">
        <v>0</v>
      </c>
      <c r="BT1781">
        <v>5</v>
      </c>
      <c r="BU1781">
        <v>1.5</v>
      </c>
    </row>
    <row r="1782" spans="1:73" ht="14.25" x14ac:dyDescent="0.15">
      <c r="A1782" s="12">
        <v>31029</v>
      </c>
      <c r="B1782">
        <v>7</v>
      </c>
      <c r="C1782" s="1">
        <v>48</v>
      </c>
      <c r="D1782">
        <v>0</v>
      </c>
      <c r="E1782">
        <v>0</v>
      </c>
      <c r="F1782">
        <v>1</v>
      </c>
      <c r="G1782" s="7">
        <v>0.05</v>
      </c>
      <c r="H1782">
        <v>12</v>
      </c>
      <c r="I1782">
        <v>0</v>
      </c>
      <c r="J1782">
        <v>0</v>
      </c>
      <c r="K1782">
        <v>0</v>
      </c>
      <c r="L1782">
        <v>1</v>
      </c>
      <c r="M1782">
        <v>2</v>
      </c>
      <c r="N1782" s="7">
        <v>9</v>
      </c>
      <c r="O1782" s="7">
        <v>0</v>
      </c>
      <c r="P1782" s="7">
        <v>0</v>
      </c>
      <c r="Q1782" s="7">
        <v>0</v>
      </c>
      <c r="R1782" s="7">
        <v>1</v>
      </c>
      <c r="S1782" s="7">
        <v>4.5</v>
      </c>
      <c r="T1782">
        <v>7</v>
      </c>
      <c r="U1782" s="1">
        <v>36</v>
      </c>
      <c r="V1782">
        <v>0</v>
      </c>
      <c r="W1782">
        <v>0</v>
      </c>
      <c r="X1782">
        <v>1</v>
      </c>
      <c r="Y1782">
        <v>0.16</v>
      </c>
      <c r="Z1782">
        <v>23</v>
      </c>
      <c r="AA1782">
        <v>0</v>
      </c>
      <c r="AB1782">
        <v>0</v>
      </c>
      <c r="AC1782">
        <v>0</v>
      </c>
      <c r="AD1782">
        <v>1</v>
      </c>
      <c r="AE1782">
        <v>0.05</v>
      </c>
      <c r="AF1782">
        <v>15</v>
      </c>
      <c r="AG1782">
        <v>0</v>
      </c>
      <c r="AH1782">
        <v>0</v>
      </c>
      <c r="AI1782">
        <v>0</v>
      </c>
      <c r="AJ1782">
        <v>1</v>
      </c>
      <c r="AK1782">
        <v>0.02</v>
      </c>
      <c r="AL1782">
        <v>16</v>
      </c>
      <c r="AM1782">
        <v>0</v>
      </c>
      <c r="AN1782">
        <v>0</v>
      </c>
      <c r="AO1782">
        <v>0</v>
      </c>
      <c r="AP1782">
        <v>1</v>
      </c>
      <c r="AQ1782">
        <v>0.01</v>
      </c>
      <c r="AX1782">
        <v>7</v>
      </c>
      <c r="AY1782" s="1">
        <v>20</v>
      </c>
      <c r="AZ1782">
        <v>0</v>
      </c>
      <c r="BA1782">
        <v>0</v>
      </c>
      <c r="BB1782">
        <v>1</v>
      </c>
      <c r="BC1782" s="7">
        <v>0.32</v>
      </c>
      <c r="BD1782">
        <v>30</v>
      </c>
      <c r="BE1782">
        <v>0</v>
      </c>
      <c r="BF1782">
        <v>0</v>
      </c>
      <c r="BG1782">
        <v>0</v>
      </c>
      <c r="BH1782">
        <v>5</v>
      </c>
      <c r="BI1782">
        <v>2.4</v>
      </c>
      <c r="BJ1782">
        <v>31</v>
      </c>
      <c r="BK1782">
        <v>0</v>
      </c>
      <c r="BL1782">
        <v>0</v>
      </c>
      <c r="BM1782">
        <v>0</v>
      </c>
      <c r="BN1782">
        <v>5</v>
      </c>
      <c r="BO1782">
        <v>2.4</v>
      </c>
      <c r="BP1782">
        <v>36</v>
      </c>
      <c r="BQ1782">
        <v>0</v>
      </c>
      <c r="BR1782">
        <v>0</v>
      </c>
      <c r="BS1782">
        <v>0</v>
      </c>
      <c r="BT1782">
        <v>5</v>
      </c>
      <c r="BU1782">
        <v>1.5</v>
      </c>
    </row>
    <row r="1783" spans="1:73" ht="14.25" x14ac:dyDescent="0.15">
      <c r="A1783" s="12">
        <v>31030</v>
      </c>
      <c r="B1783">
        <v>7</v>
      </c>
      <c r="C1783" s="1">
        <v>0</v>
      </c>
      <c r="D1783">
        <v>5</v>
      </c>
      <c r="E1783">
        <v>1</v>
      </c>
      <c r="F1783">
        <v>1</v>
      </c>
      <c r="G1783" s="7">
        <v>0.05</v>
      </c>
      <c r="H1783">
        <v>12</v>
      </c>
      <c r="I1783">
        <v>0</v>
      </c>
      <c r="J1783">
        <v>0</v>
      </c>
      <c r="K1783">
        <v>0</v>
      </c>
      <c r="L1783">
        <v>1</v>
      </c>
      <c r="M1783">
        <v>2</v>
      </c>
      <c r="N1783" s="7">
        <v>9</v>
      </c>
      <c r="O1783" s="7">
        <v>0</v>
      </c>
      <c r="P1783" s="7">
        <v>0</v>
      </c>
      <c r="Q1783" s="7">
        <v>0</v>
      </c>
      <c r="R1783" s="7">
        <v>1</v>
      </c>
      <c r="S1783" s="7">
        <v>4.5</v>
      </c>
      <c r="T1783">
        <v>7</v>
      </c>
      <c r="U1783" s="1">
        <v>0</v>
      </c>
      <c r="V1783">
        <v>4</v>
      </c>
      <c r="W1783">
        <v>2</v>
      </c>
      <c r="X1783">
        <v>1</v>
      </c>
      <c r="Y1783">
        <v>0.16</v>
      </c>
      <c r="Z1783">
        <v>23</v>
      </c>
      <c r="AA1783">
        <v>0</v>
      </c>
      <c r="AB1783">
        <v>0</v>
      </c>
      <c r="AC1783">
        <v>0</v>
      </c>
      <c r="AD1783">
        <v>1</v>
      </c>
      <c r="AE1783">
        <v>0.05</v>
      </c>
      <c r="AF1783">
        <v>15</v>
      </c>
      <c r="AG1783">
        <v>0</v>
      </c>
      <c r="AH1783">
        <v>0</v>
      </c>
      <c r="AI1783">
        <v>0</v>
      </c>
      <c r="AJ1783">
        <v>1</v>
      </c>
      <c r="AK1783">
        <v>0.02</v>
      </c>
      <c r="AL1783">
        <v>16</v>
      </c>
      <c r="AM1783">
        <v>0</v>
      </c>
      <c r="AN1783">
        <v>0</v>
      </c>
      <c r="AO1783">
        <v>0</v>
      </c>
      <c r="AP1783">
        <v>1</v>
      </c>
      <c r="AQ1783">
        <v>0.01</v>
      </c>
      <c r="AR1783">
        <v>6</v>
      </c>
      <c r="AS1783">
        <v>2</v>
      </c>
      <c r="AT1783">
        <v>1</v>
      </c>
      <c r="AU1783">
        <v>5</v>
      </c>
      <c r="AV1783">
        <v>1</v>
      </c>
      <c r="AW1783">
        <v>0.05</v>
      </c>
      <c r="AX1783">
        <v>7</v>
      </c>
      <c r="AY1783" s="1">
        <v>0</v>
      </c>
      <c r="AZ1783">
        <v>3</v>
      </c>
      <c r="BA1783">
        <v>1</v>
      </c>
      <c r="BB1783">
        <v>1</v>
      </c>
      <c r="BC1783" s="7">
        <v>0.32</v>
      </c>
      <c r="BD1783">
        <v>30</v>
      </c>
      <c r="BE1783">
        <v>0</v>
      </c>
      <c r="BF1783">
        <v>0</v>
      </c>
      <c r="BG1783">
        <v>0</v>
      </c>
      <c r="BH1783">
        <v>5</v>
      </c>
      <c r="BI1783">
        <v>2.4</v>
      </c>
      <c r="BJ1783">
        <v>31</v>
      </c>
      <c r="BK1783">
        <v>0</v>
      </c>
      <c r="BL1783">
        <v>0</v>
      </c>
      <c r="BM1783">
        <v>0</v>
      </c>
      <c r="BN1783">
        <v>5</v>
      </c>
      <c r="BO1783">
        <v>2.4</v>
      </c>
      <c r="BP1783">
        <v>36</v>
      </c>
      <c r="BQ1783">
        <v>0</v>
      </c>
      <c r="BR1783">
        <v>0</v>
      </c>
      <c r="BS1783">
        <v>0</v>
      </c>
      <c r="BT1783">
        <v>5</v>
      </c>
      <c r="BU1783">
        <v>1.5</v>
      </c>
    </row>
    <row r="1784" spans="1:73" ht="14.25" x14ac:dyDescent="0.15">
      <c r="A1784" s="12">
        <v>31031</v>
      </c>
      <c r="B1784">
        <v>7</v>
      </c>
      <c r="C1784" s="1">
        <v>45</v>
      </c>
      <c r="D1784">
        <v>0</v>
      </c>
      <c r="E1784">
        <v>0</v>
      </c>
      <c r="F1784">
        <v>1</v>
      </c>
      <c r="G1784" s="7">
        <v>0.05</v>
      </c>
      <c r="H1784">
        <v>12</v>
      </c>
      <c r="I1784">
        <v>0</v>
      </c>
      <c r="J1784">
        <v>0</v>
      </c>
      <c r="K1784">
        <v>0</v>
      </c>
      <c r="L1784">
        <v>1</v>
      </c>
      <c r="M1784">
        <v>2</v>
      </c>
      <c r="N1784" s="7">
        <v>9</v>
      </c>
      <c r="O1784" s="7">
        <v>0</v>
      </c>
      <c r="P1784" s="7">
        <v>0</v>
      </c>
      <c r="Q1784" s="7">
        <v>0</v>
      </c>
      <c r="R1784" s="7">
        <v>1</v>
      </c>
      <c r="S1784" s="7">
        <v>4.5</v>
      </c>
      <c r="T1784">
        <v>7</v>
      </c>
      <c r="U1784" s="1">
        <v>33</v>
      </c>
      <c r="V1784">
        <v>0</v>
      </c>
      <c r="W1784">
        <v>0</v>
      </c>
      <c r="X1784">
        <v>1</v>
      </c>
      <c r="Y1784">
        <v>0.16</v>
      </c>
      <c r="Z1784">
        <v>23</v>
      </c>
      <c r="AA1784">
        <v>0</v>
      </c>
      <c r="AB1784">
        <v>0</v>
      </c>
      <c r="AC1784">
        <v>0</v>
      </c>
      <c r="AD1784">
        <v>1</v>
      </c>
      <c r="AE1784">
        <v>0.05</v>
      </c>
      <c r="AF1784">
        <v>15</v>
      </c>
      <c r="AG1784">
        <v>0</v>
      </c>
      <c r="AH1784">
        <v>0</v>
      </c>
      <c r="AI1784">
        <v>0</v>
      </c>
      <c r="AJ1784">
        <v>1</v>
      </c>
      <c r="AK1784">
        <v>0.02</v>
      </c>
      <c r="AL1784">
        <v>16</v>
      </c>
      <c r="AM1784">
        <v>0</v>
      </c>
      <c r="AN1784">
        <v>0</v>
      </c>
      <c r="AO1784">
        <v>0</v>
      </c>
      <c r="AP1784">
        <v>1</v>
      </c>
      <c r="AQ1784">
        <v>0.01</v>
      </c>
      <c r="AX1784">
        <v>7</v>
      </c>
      <c r="AY1784" s="1">
        <v>17</v>
      </c>
      <c r="AZ1784">
        <v>0</v>
      </c>
      <c r="BA1784">
        <v>0</v>
      </c>
      <c r="BB1784">
        <v>1</v>
      </c>
      <c r="BC1784" s="7">
        <v>0.32</v>
      </c>
      <c r="BD1784">
        <v>30</v>
      </c>
      <c r="BE1784">
        <v>0</v>
      </c>
      <c r="BF1784">
        <v>0</v>
      </c>
      <c r="BG1784">
        <v>0</v>
      </c>
      <c r="BH1784">
        <v>5</v>
      </c>
      <c r="BI1784">
        <v>2.4</v>
      </c>
      <c r="BJ1784">
        <v>31</v>
      </c>
      <c r="BK1784">
        <v>0</v>
      </c>
      <c r="BL1784">
        <v>0</v>
      </c>
      <c r="BM1784">
        <v>0</v>
      </c>
      <c r="BN1784">
        <v>5</v>
      </c>
      <c r="BO1784">
        <v>2.4</v>
      </c>
      <c r="BP1784">
        <v>36</v>
      </c>
      <c r="BQ1784">
        <v>0</v>
      </c>
      <c r="BR1784">
        <v>0</v>
      </c>
      <c r="BS1784">
        <v>0</v>
      </c>
      <c r="BT1784">
        <v>5</v>
      </c>
      <c r="BU1784">
        <v>1.5</v>
      </c>
    </row>
    <row r="1785" spans="1:73" ht="14.25" x14ac:dyDescent="0.15">
      <c r="A1785" s="12">
        <v>31032</v>
      </c>
      <c r="B1785">
        <v>7</v>
      </c>
      <c r="C1785" s="1">
        <v>46</v>
      </c>
      <c r="D1785">
        <v>0</v>
      </c>
      <c r="E1785">
        <v>0</v>
      </c>
      <c r="F1785">
        <v>1</v>
      </c>
      <c r="G1785" s="7">
        <v>0.05</v>
      </c>
      <c r="H1785">
        <v>12</v>
      </c>
      <c r="I1785">
        <v>0</v>
      </c>
      <c r="J1785">
        <v>0</v>
      </c>
      <c r="K1785">
        <v>0</v>
      </c>
      <c r="L1785">
        <v>1</v>
      </c>
      <c r="M1785">
        <v>2</v>
      </c>
      <c r="N1785" s="7">
        <v>9</v>
      </c>
      <c r="O1785" s="7">
        <v>0</v>
      </c>
      <c r="P1785" s="7">
        <v>0</v>
      </c>
      <c r="Q1785" s="7">
        <v>0</v>
      </c>
      <c r="R1785" s="7">
        <v>1</v>
      </c>
      <c r="S1785" s="7">
        <v>4.5</v>
      </c>
      <c r="T1785">
        <v>7</v>
      </c>
      <c r="U1785" s="1">
        <v>34</v>
      </c>
      <c r="V1785">
        <v>0</v>
      </c>
      <c r="W1785">
        <v>0</v>
      </c>
      <c r="X1785">
        <v>1</v>
      </c>
      <c r="Y1785">
        <v>0.16</v>
      </c>
      <c r="Z1785">
        <v>23</v>
      </c>
      <c r="AA1785">
        <v>0</v>
      </c>
      <c r="AB1785">
        <v>0</v>
      </c>
      <c r="AC1785">
        <v>0</v>
      </c>
      <c r="AD1785">
        <v>1</v>
      </c>
      <c r="AE1785">
        <v>0.05</v>
      </c>
      <c r="AF1785">
        <v>15</v>
      </c>
      <c r="AG1785">
        <v>0</v>
      </c>
      <c r="AH1785">
        <v>0</v>
      </c>
      <c r="AI1785">
        <v>0</v>
      </c>
      <c r="AJ1785">
        <v>1</v>
      </c>
      <c r="AK1785">
        <v>0.02</v>
      </c>
      <c r="AL1785">
        <v>16</v>
      </c>
      <c r="AM1785">
        <v>0</v>
      </c>
      <c r="AN1785">
        <v>0</v>
      </c>
      <c r="AO1785">
        <v>0</v>
      </c>
      <c r="AP1785">
        <v>1</v>
      </c>
      <c r="AQ1785">
        <v>0.01</v>
      </c>
      <c r="AX1785">
        <v>7</v>
      </c>
      <c r="AY1785" s="1">
        <v>18</v>
      </c>
      <c r="AZ1785">
        <v>0</v>
      </c>
      <c r="BA1785">
        <v>0</v>
      </c>
      <c r="BB1785">
        <v>1</v>
      </c>
      <c r="BC1785" s="7">
        <v>0.32</v>
      </c>
      <c r="BD1785">
        <v>30</v>
      </c>
      <c r="BE1785">
        <v>0</v>
      </c>
      <c r="BF1785">
        <v>0</v>
      </c>
      <c r="BG1785">
        <v>0</v>
      </c>
      <c r="BH1785">
        <v>5</v>
      </c>
      <c r="BI1785">
        <v>2.4</v>
      </c>
      <c r="BJ1785">
        <v>31</v>
      </c>
      <c r="BK1785">
        <v>0</v>
      </c>
      <c r="BL1785">
        <v>0</v>
      </c>
      <c r="BM1785">
        <v>0</v>
      </c>
      <c r="BN1785">
        <v>5</v>
      </c>
      <c r="BO1785">
        <v>2.4</v>
      </c>
      <c r="BP1785">
        <v>36</v>
      </c>
      <c r="BQ1785">
        <v>0</v>
      </c>
      <c r="BR1785">
        <v>0</v>
      </c>
      <c r="BS1785">
        <v>0</v>
      </c>
      <c r="BT1785">
        <v>5</v>
      </c>
      <c r="BU1785">
        <v>1.5</v>
      </c>
    </row>
    <row r="1786" spans="1:73" ht="14.25" x14ac:dyDescent="0.15">
      <c r="A1786" s="12">
        <v>31033</v>
      </c>
      <c r="B1786">
        <v>7</v>
      </c>
      <c r="C1786" s="1">
        <v>47</v>
      </c>
      <c r="D1786">
        <v>0</v>
      </c>
      <c r="E1786">
        <v>0</v>
      </c>
      <c r="F1786">
        <v>1</v>
      </c>
      <c r="G1786" s="7">
        <v>0.05</v>
      </c>
      <c r="H1786">
        <v>12</v>
      </c>
      <c r="I1786">
        <v>0</v>
      </c>
      <c r="J1786">
        <v>0</v>
      </c>
      <c r="K1786">
        <v>0</v>
      </c>
      <c r="L1786">
        <v>1</v>
      </c>
      <c r="M1786">
        <v>2</v>
      </c>
      <c r="N1786" s="7">
        <v>9</v>
      </c>
      <c r="O1786" s="7">
        <v>0</v>
      </c>
      <c r="P1786" s="7">
        <v>0</v>
      </c>
      <c r="Q1786" s="7">
        <v>0</v>
      </c>
      <c r="R1786" s="7">
        <v>1</v>
      </c>
      <c r="S1786" s="7">
        <v>4.5</v>
      </c>
      <c r="T1786">
        <v>7</v>
      </c>
      <c r="U1786" s="1">
        <v>35</v>
      </c>
      <c r="V1786">
        <v>0</v>
      </c>
      <c r="W1786">
        <v>0</v>
      </c>
      <c r="X1786">
        <v>1</v>
      </c>
      <c r="Y1786">
        <v>0.16</v>
      </c>
      <c r="Z1786">
        <v>23</v>
      </c>
      <c r="AA1786">
        <v>0</v>
      </c>
      <c r="AB1786">
        <v>0</v>
      </c>
      <c r="AC1786">
        <v>0</v>
      </c>
      <c r="AD1786">
        <v>1</v>
      </c>
      <c r="AE1786">
        <v>0.05</v>
      </c>
      <c r="AF1786">
        <v>15</v>
      </c>
      <c r="AG1786">
        <v>0</v>
      </c>
      <c r="AH1786">
        <v>0</v>
      </c>
      <c r="AI1786">
        <v>0</v>
      </c>
      <c r="AJ1786">
        <v>1</v>
      </c>
      <c r="AK1786">
        <v>0.02</v>
      </c>
      <c r="AL1786">
        <v>16</v>
      </c>
      <c r="AM1786">
        <v>0</v>
      </c>
      <c r="AN1786">
        <v>0</v>
      </c>
      <c r="AO1786">
        <v>0</v>
      </c>
      <c r="AP1786">
        <v>1</v>
      </c>
      <c r="AQ1786">
        <v>0.01</v>
      </c>
      <c r="AX1786">
        <v>7</v>
      </c>
      <c r="AY1786" s="1">
        <v>19</v>
      </c>
      <c r="AZ1786">
        <v>0</v>
      </c>
      <c r="BA1786">
        <v>0</v>
      </c>
      <c r="BB1786">
        <v>1</v>
      </c>
      <c r="BC1786" s="7">
        <v>0.32</v>
      </c>
      <c r="BD1786">
        <v>30</v>
      </c>
      <c r="BE1786">
        <v>0</v>
      </c>
      <c r="BF1786">
        <v>0</v>
      </c>
      <c r="BG1786">
        <v>0</v>
      </c>
      <c r="BH1786">
        <v>5</v>
      </c>
      <c r="BI1786">
        <v>2.4</v>
      </c>
      <c r="BJ1786">
        <v>31</v>
      </c>
      <c r="BK1786">
        <v>0</v>
      </c>
      <c r="BL1786">
        <v>0</v>
      </c>
      <c r="BM1786">
        <v>0</v>
      </c>
      <c r="BN1786">
        <v>5</v>
      </c>
      <c r="BO1786">
        <v>2.4</v>
      </c>
      <c r="BP1786">
        <v>36</v>
      </c>
      <c r="BQ1786">
        <v>0</v>
      </c>
      <c r="BR1786">
        <v>0</v>
      </c>
      <c r="BS1786">
        <v>0</v>
      </c>
      <c r="BT1786">
        <v>5</v>
      </c>
      <c r="BU1786">
        <v>1.5</v>
      </c>
    </row>
    <row r="1787" spans="1:73" ht="14.25" x14ac:dyDescent="0.15">
      <c r="A1787" s="12">
        <v>31034</v>
      </c>
      <c r="B1787">
        <v>7</v>
      </c>
      <c r="C1787" s="1">
        <v>48</v>
      </c>
      <c r="D1787">
        <v>0</v>
      </c>
      <c r="E1787">
        <v>0</v>
      </c>
      <c r="F1787">
        <v>1</v>
      </c>
      <c r="G1787" s="7">
        <v>0.05</v>
      </c>
      <c r="H1787">
        <v>12</v>
      </c>
      <c r="I1787">
        <v>0</v>
      </c>
      <c r="J1787">
        <v>0</v>
      </c>
      <c r="K1787">
        <v>0</v>
      </c>
      <c r="L1787">
        <v>1</v>
      </c>
      <c r="M1787">
        <v>2</v>
      </c>
      <c r="N1787" s="7">
        <v>9</v>
      </c>
      <c r="O1787" s="7">
        <v>0</v>
      </c>
      <c r="P1787" s="7">
        <v>0</v>
      </c>
      <c r="Q1787" s="7">
        <v>0</v>
      </c>
      <c r="R1787" s="7">
        <v>1</v>
      </c>
      <c r="S1787" s="7">
        <v>4.5</v>
      </c>
      <c r="T1787">
        <v>7</v>
      </c>
      <c r="U1787" s="1">
        <v>36</v>
      </c>
      <c r="V1787">
        <v>0</v>
      </c>
      <c r="W1787">
        <v>0</v>
      </c>
      <c r="X1787">
        <v>1</v>
      </c>
      <c r="Y1787">
        <v>0.16</v>
      </c>
      <c r="Z1787">
        <v>23</v>
      </c>
      <c r="AA1787">
        <v>0</v>
      </c>
      <c r="AB1787">
        <v>0</v>
      </c>
      <c r="AC1787">
        <v>0</v>
      </c>
      <c r="AD1787">
        <v>1</v>
      </c>
      <c r="AE1787">
        <v>0.05</v>
      </c>
      <c r="AF1787">
        <v>15</v>
      </c>
      <c r="AG1787">
        <v>0</v>
      </c>
      <c r="AH1787">
        <v>0</v>
      </c>
      <c r="AI1787">
        <v>0</v>
      </c>
      <c r="AJ1787">
        <v>1</v>
      </c>
      <c r="AK1787">
        <v>0.02</v>
      </c>
      <c r="AL1787">
        <v>16</v>
      </c>
      <c r="AM1787">
        <v>0</v>
      </c>
      <c r="AN1787">
        <v>0</v>
      </c>
      <c r="AO1787">
        <v>0</v>
      </c>
      <c r="AP1787">
        <v>1</v>
      </c>
      <c r="AQ1787">
        <v>0.01</v>
      </c>
      <c r="AX1787">
        <v>7</v>
      </c>
      <c r="AY1787" s="1">
        <v>20</v>
      </c>
      <c r="AZ1787">
        <v>0</v>
      </c>
      <c r="BA1787">
        <v>0</v>
      </c>
      <c r="BB1787">
        <v>1</v>
      </c>
      <c r="BC1787" s="7">
        <v>0.32</v>
      </c>
      <c r="BD1787">
        <v>30</v>
      </c>
      <c r="BE1787">
        <v>0</v>
      </c>
      <c r="BF1787">
        <v>0</v>
      </c>
      <c r="BG1787">
        <v>0</v>
      </c>
      <c r="BH1787">
        <v>5</v>
      </c>
      <c r="BI1787">
        <v>2.4</v>
      </c>
      <c r="BJ1787">
        <v>31</v>
      </c>
      <c r="BK1787">
        <v>0</v>
      </c>
      <c r="BL1787">
        <v>0</v>
      </c>
      <c r="BM1787">
        <v>0</v>
      </c>
      <c r="BN1787">
        <v>5</v>
      </c>
      <c r="BO1787">
        <v>2.4</v>
      </c>
      <c r="BP1787">
        <v>36</v>
      </c>
      <c r="BQ1787">
        <v>0</v>
      </c>
      <c r="BR1787">
        <v>0</v>
      </c>
      <c r="BS1787">
        <v>0</v>
      </c>
      <c r="BT1787">
        <v>5</v>
      </c>
      <c r="BU1787">
        <v>1.5</v>
      </c>
    </row>
    <row r="1788" spans="1:73" ht="14.25" x14ac:dyDescent="0.15">
      <c r="A1788" s="12">
        <v>31035</v>
      </c>
      <c r="B1788">
        <v>7</v>
      </c>
      <c r="C1788" s="1">
        <v>0</v>
      </c>
      <c r="D1788">
        <v>5</v>
      </c>
      <c r="E1788">
        <v>1</v>
      </c>
      <c r="F1788">
        <v>1</v>
      </c>
      <c r="G1788" s="7">
        <v>0.05</v>
      </c>
      <c r="H1788">
        <v>12</v>
      </c>
      <c r="I1788">
        <v>0</v>
      </c>
      <c r="J1788">
        <v>0</v>
      </c>
      <c r="K1788">
        <v>0</v>
      </c>
      <c r="L1788">
        <v>1</v>
      </c>
      <c r="M1788">
        <v>2</v>
      </c>
      <c r="N1788" s="7">
        <v>9</v>
      </c>
      <c r="O1788" s="7">
        <v>0</v>
      </c>
      <c r="P1788" s="7">
        <v>0</v>
      </c>
      <c r="Q1788" s="7">
        <v>0</v>
      </c>
      <c r="R1788" s="7">
        <v>1</v>
      </c>
      <c r="S1788" s="7">
        <v>4.5</v>
      </c>
      <c r="T1788">
        <v>7</v>
      </c>
      <c r="U1788" s="1">
        <v>0</v>
      </c>
      <c r="V1788">
        <v>4</v>
      </c>
      <c r="W1788">
        <v>2</v>
      </c>
      <c r="X1788">
        <v>1</v>
      </c>
      <c r="Y1788">
        <v>0.16</v>
      </c>
      <c r="Z1788">
        <v>23</v>
      </c>
      <c r="AA1788">
        <v>0</v>
      </c>
      <c r="AB1788">
        <v>0</v>
      </c>
      <c r="AC1788">
        <v>0</v>
      </c>
      <c r="AD1788">
        <v>1</v>
      </c>
      <c r="AE1788">
        <v>0.05</v>
      </c>
      <c r="AF1788">
        <v>15</v>
      </c>
      <c r="AG1788">
        <v>0</v>
      </c>
      <c r="AH1788">
        <v>0</v>
      </c>
      <c r="AI1788">
        <v>0</v>
      </c>
      <c r="AJ1788">
        <v>1</v>
      </c>
      <c r="AK1788">
        <v>0.02</v>
      </c>
      <c r="AL1788">
        <v>16</v>
      </c>
      <c r="AM1788">
        <v>0</v>
      </c>
      <c r="AN1788">
        <v>0</v>
      </c>
      <c r="AO1788">
        <v>0</v>
      </c>
      <c r="AP1788">
        <v>1</v>
      </c>
      <c r="AQ1788">
        <v>0.01</v>
      </c>
      <c r="AR1788">
        <v>6</v>
      </c>
      <c r="AS1788">
        <v>2</v>
      </c>
      <c r="AT1788">
        <v>2</v>
      </c>
      <c r="AU1788">
        <v>5</v>
      </c>
      <c r="AV1788">
        <v>1</v>
      </c>
      <c r="AW1788">
        <v>0.05</v>
      </c>
      <c r="AX1788">
        <v>7</v>
      </c>
      <c r="AY1788" s="1">
        <v>0</v>
      </c>
      <c r="AZ1788">
        <v>3</v>
      </c>
      <c r="BA1788">
        <v>1</v>
      </c>
      <c r="BB1788">
        <v>1</v>
      </c>
      <c r="BC1788" s="7">
        <v>0.32</v>
      </c>
      <c r="BD1788">
        <v>30</v>
      </c>
      <c r="BE1788">
        <v>0</v>
      </c>
      <c r="BF1788">
        <v>0</v>
      </c>
      <c r="BG1788">
        <v>0</v>
      </c>
      <c r="BH1788">
        <v>5</v>
      </c>
      <c r="BI1788">
        <v>2.4</v>
      </c>
      <c r="BJ1788">
        <v>31</v>
      </c>
      <c r="BK1788">
        <v>0</v>
      </c>
      <c r="BL1788">
        <v>0</v>
      </c>
      <c r="BM1788">
        <v>0</v>
      </c>
      <c r="BN1788">
        <v>5</v>
      </c>
      <c r="BO1788">
        <v>2.4</v>
      </c>
      <c r="BP1788">
        <v>36</v>
      </c>
      <c r="BQ1788">
        <v>0</v>
      </c>
      <c r="BR1788">
        <v>0</v>
      </c>
      <c r="BS1788">
        <v>0</v>
      </c>
      <c r="BT1788">
        <v>5</v>
      </c>
      <c r="BU1788">
        <v>1.5</v>
      </c>
    </row>
    <row r="1789" spans="1:73" ht="14.25" x14ac:dyDescent="0.15">
      <c r="A1789" s="12">
        <v>31036</v>
      </c>
      <c r="B1789">
        <v>7</v>
      </c>
      <c r="C1789" s="1">
        <v>45</v>
      </c>
      <c r="D1789">
        <v>0</v>
      </c>
      <c r="E1789">
        <v>0</v>
      </c>
      <c r="F1789">
        <v>1</v>
      </c>
      <c r="G1789" s="7">
        <v>0.05</v>
      </c>
      <c r="H1789">
        <v>12</v>
      </c>
      <c r="I1789">
        <v>0</v>
      </c>
      <c r="J1789">
        <v>0</v>
      </c>
      <c r="K1789">
        <v>0</v>
      </c>
      <c r="L1789">
        <v>1</v>
      </c>
      <c r="M1789">
        <v>2</v>
      </c>
      <c r="N1789" s="7">
        <v>9</v>
      </c>
      <c r="O1789" s="7">
        <v>0</v>
      </c>
      <c r="P1789" s="7">
        <v>0</v>
      </c>
      <c r="Q1789" s="7">
        <v>0</v>
      </c>
      <c r="R1789" s="7">
        <v>1</v>
      </c>
      <c r="S1789" s="7">
        <v>4.5</v>
      </c>
      <c r="T1789">
        <v>7</v>
      </c>
      <c r="U1789" s="1">
        <v>33</v>
      </c>
      <c r="V1789">
        <v>0</v>
      </c>
      <c r="W1789">
        <v>0</v>
      </c>
      <c r="X1789">
        <v>1</v>
      </c>
      <c r="Y1789">
        <v>0.16</v>
      </c>
      <c r="Z1789">
        <v>23</v>
      </c>
      <c r="AA1789">
        <v>0</v>
      </c>
      <c r="AB1789">
        <v>0</v>
      </c>
      <c r="AC1789">
        <v>0</v>
      </c>
      <c r="AD1789">
        <v>1</v>
      </c>
      <c r="AE1789">
        <v>0.05</v>
      </c>
      <c r="AF1789">
        <v>15</v>
      </c>
      <c r="AG1789">
        <v>0</v>
      </c>
      <c r="AH1789">
        <v>0</v>
      </c>
      <c r="AI1789">
        <v>0</v>
      </c>
      <c r="AJ1789">
        <v>1</v>
      </c>
      <c r="AK1789">
        <v>0.02</v>
      </c>
      <c r="AL1789">
        <v>16</v>
      </c>
      <c r="AM1789">
        <v>0</v>
      </c>
      <c r="AN1789">
        <v>0</v>
      </c>
      <c r="AO1789">
        <v>0</v>
      </c>
      <c r="AP1789">
        <v>1</v>
      </c>
      <c r="AQ1789">
        <v>0.01</v>
      </c>
      <c r="AX1789">
        <v>7</v>
      </c>
      <c r="AY1789" s="1">
        <v>17</v>
      </c>
      <c r="AZ1789">
        <v>0</v>
      </c>
      <c r="BA1789">
        <v>0</v>
      </c>
      <c r="BB1789">
        <v>1</v>
      </c>
      <c r="BC1789" s="7">
        <v>0.32</v>
      </c>
      <c r="BD1789">
        <v>30</v>
      </c>
      <c r="BE1789">
        <v>0</v>
      </c>
      <c r="BF1789">
        <v>0</v>
      </c>
      <c r="BG1789">
        <v>0</v>
      </c>
      <c r="BH1789">
        <v>5</v>
      </c>
      <c r="BI1789">
        <v>2.4</v>
      </c>
      <c r="BJ1789">
        <v>31</v>
      </c>
      <c r="BK1789">
        <v>0</v>
      </c>
      <c r="BL1789">
        <v>0</v>
      </c>
      <c r="BM1789">
        <v>0</v>
      </c>
      <c r="BN1789">
        <v>5</v>
      </c>
      <c r="BO1789">
        <v>2.4</v>
      </c>
      <c r="BP1789">
        <v>36</v>
      </c>
      <c r="BQ1789">
        <v>0</v>
      </c>
      <c r="BR1789">
        <v>0</v>
      </c>
      <c r="BS1789">
        <v>0</v>
      </c>
      <c r="BT1789">
        <v>5</v>
      </c>
      <c r="BU1789">
        <v>1.5</v>
      </c>
    </row>
    <row r="1790" spans="1:73" ht="14.25" x14ac:dyDescent="0.15">
      <c r="A1790" s="12">
        <v>31037</v>
      </c>
      <c r="B1790">
        <v>7</v>
      </c>
      <c r="C1790" s="1">
        <v>46</v>
      </c>
      <c r="D1790">
        <v>0</v>
      </c>
      <c r="E1790">
        <v>0</v>
      </c>
      <c r="F1790">
        <v>1</v>
      </c>
      <c r="G1790" s="7">
        <v>0.05</v>
      </c>
      <c r="H1790">
        <v>12</v>
      </c>
      <c r="I1790">
        <v>0</v>
      </c>
      <c r="J1790">
        <v>0</v>
      </c>
      <c r="K1790">
        <v>0</v>
      </c>
      <c r="L1790">
        <v>1</v>
      </c>
      <c r="M1790">
        <v>2</v>
      </c>
      <c r="N1790" s="7">
        <v>9</v>
      </c>
      <c r="O1790" s="7">
        <v>0</v>
      </c>
      <c r="P1790" s="7">
        <v>0</v>
      </c>
      <c r="Q1790" s="7">
        <v>0</v>
      </c>
      <c r="R1790" s="7">
        <v>1</v>
      </c>
      <c r="S1790" s="7">
        <v>4.5</v>
      </c>
      <c r="T1790">
        <v>7</v>
      </c>
      <c r="U1790" s="1">
        <v>34</v>
      </c>
      <c r="V1790">
        <v>0</v>
      </c>
      <c r="W1790">
        <v>0</v>
      </c>
      <c r="X1790">
        <v>1</v>
      </c>
      <c r="Y1790">
        <v>0.16</v>
      </c>
      <c r="Z1790">
        <v>23</v>
      </c>
      <c r="AA1790">
        <v>0</v>
      </c>
      <c r="AB1790">
        <v>0</v>
      </c>
      <c r="AC1790">
        <v>0</v>
      </c>
      <c r="AD1790">
        <v>1</v>
      </c>
      <c r="AE1790">
        <v>0.05</v>
      </c>
      <c r="AF1790">
        <v>15</v>
      </c>
      <c r="AG1790">
        <v>0</v>
      </c>
      <c r="AH1790">
        <v>0</v>
      </c>
      <c r="AI1790">
        <v>0</v>
      </c>
      <c r="AJ1790">
        <v>1</v>
      </c>
      <c r="AK1790">
        <v>0.02</v>
      </c>
      <c r="AL1790">
        <v>16</v>
      </c>
      <c r="AM1790">
        <v>0</v>
      </c>
      <c r="AN1790">
        <v>0</v>
      </c>
      <c r="AO1790">
        <v>0</v>
      </c>
      <c r="AP1790">
        <v>1</v>
      </c>
      <c r="AQ1790">
        <v>0.01</v>
      </c>
      <c r="AX1790">
        <v>7</v>
      </c>
      <c r="AY1790" s="1">
        <v>18</v>
      </c>
      <c r="AZ1790">
        <v>0</v>
      </c>
      <c r="BA1790">
        <v>0</v>
      </c>
      <c r="BB1790">
        <v>1</v>
      </c>
      <c r="BC1790" s="7">
        <v>0.32</v>
      </c>
      <c r="BD1790">
        <v>30</v>
      </c>
      <c r="BE1790">
        <v>0</v>
      </c>
      <c r="BF1790">
        <v>0</v>
      </c>
      <c r="BG1790">
        <v>0</v>
      </c>
      <c r="BH1790">
        <v>5</v>
      </c>
      <c r="BI1790">
        <v>2.4</v>
      </c>
      <c r="BJ1790">
        <v>31</v>
      </c>
      <c r="BK1790">
        <v>0</v>
      </c>
      <c r="BL1790">
        <v>0</v>
      </c>
      <c r="BM1790">
        <v>0</v>
      </c>
      <c r="BN1790">
        <v>5</v>
      </c>
      <c r="BO1790">
        <v>2.4</v>
      </c>
      <c r="BP1790">
        <v>36</v>
      </c>
      <c r="BQ1790">
        <v>0</v>
      </c>
      <c r="BR1790">
        <v>0</v>
      </c>
      <c r="BS1790">
        <v>0</v>
      </c>
      <c r="BT1790">
        <v>5</v>
      </c>
      <c r="BU1790">
        <v>1.5</v>
      </c>
    </row>
    <row r="1791" spans="1:73" ht="14.25" x14ac:dyDescent="0.15">
      <c r="A1791" s="12">
        <v>31038</v>
      </c>
      <c r="B1791">
        <v>7</v>
      </c>
      <c r="C1791" s="1">
        <v>47</v>
      </c>
      <c r="D1791">
        <v>0</v>
      </c>
      <c r="E1791">
        <v>0</v>
      </c>
      <c r="F1791">
        <v>1</v>
      </c>
      <c r="G1791" s="7">
        <v>0.05</v>
      </c>
      <c r="H1791">
        <v>12</v>
      </c>
      <c r="I1791">
        <v>0</v>
      </c>
      <c r="J1791">
        <v>0</v>
      </c>
      <c r="K1791">
        <v>0</v>
      </c>
      <c r="L1791">
        <v>1</v>
      </c>
      <c r="M1791">
        <v>2</v>
      </c>
      <c r="N1791" s="7">
        <v>9</v>
      </c>
      <c r="O1791" s="7">
        <v>0</v>
      </c>
      <c r="P1791" s="7">
        <v>0</v>
      </c>
      <c r="Q1791" s="7">
        <v>0</v>
      </c>
      <c r="R1791" s="7">
        <v>1</v>
      </c>
      <c r="S1791" s="7">
        <v>4.5</v>
      </c>
      <c r="T1791">
        <v>7</v>
      </c>
      <c r="U1791" s="1">
        <v>35</v>
      </c>
      <c r="V1791">
        <v>0</v>
      </c>
      <c r="W1791">
        <v>0</v>
      </c>
      <c r="X1791">
        <v>1</v>
      </c>
      <c r="Y1791">
        <v>0.16</v>
      </c>
      <c r="Z1791">
        <v>23</v>
      </c>
      <c r="AA1791">
        <v>0</v>
      </c>
      <c r="AB1791">
        <v>0</v>
      </c>
      <c r="AC1791">
        <v>0</v>
      </c>
      <c r="AD1791">
        <v>1</v>
      </c>
      <c r="AE1791">
        <v>0.05</v>
      </c>
      <c r="AF1791">
        <v>15</v>
      </c>
      <c r="AG1791">
        <v>0</v>
      </c>
      <c r="AH1791">
        <v>0</v>
      </c>
      <c r="AI1791">
        <v>0</v>
      </c>
      <c r="AJ1791">
        <v>1</v>
      </c>
      <c r="AK1791">
        <v>0.02</v>
      </c>
      <c r="AL1791">
        <v>16</v>
      </c>
      <c r="AM1791">
        <v>0</v>
      </c>
      <c r="AN1791">
        <v>0</v>
      </c>
      <c r="AO1791">
        <v>0</v>
      </c>
      <c r="AP1791">
        <v>1</v>
      </c>
      <c r="AQ1791">
        <v>0.01</v>
      </c>
      <c r="AX1791">
        <v>7</v>
      </c>
      <c r="AY1791" s="1">
        <v>19</v>
      </c>
      <c r="AZ1791">
        <v>0</v>
      </c>
      <c r="BA1791">
        <v>0</v>
      </c>
      <c r="BB1791">
        <v>1</v>
      </c>
      <c r="BC1791" s="7">
        <v>0.32</v>
      </c>
      <c r="BD1791">
        <v>30</v>
      </c>
      <c r="BE1791">
        <v>0</v>
      </c>
      <c r="BF1791">
        <v>0</v>
      </c>
      <c r="BG1791">
        <v>0</v>
      </c>
      <c r="BH1791">
        <v>5</v>
      </c>
      <c r="BI1791">
        <v>2.4</v>
      </c>
      <c r="BJ1791">
        <v>31</v>
      </c>
      <c r="BK1791">
        <v>0</v>
      </c>
      <c r="BL1791">
        <v>0</v>
      </c>
      <c r="BM1791">
        <v>0</v>
      </c>
      <c r="BN1791">
        <v>5</v>
      </c>
      <c r="BO1791">
        <v>2.4</v>
      </c>
      <c r="BP1791">
        <v>36</v>
      </c>
      <c r="BQ1791">
        <v>0</v>
      </c>
      <c r="BR1791">
        <v>0</v>
      </c>
      <c r="BS1791">
        <v>0</v>
      </c>
      <c r="BT1791">
        <v>5</v>
      </c>
      <c r="BU1791">
        <v>1.5</v>
      </c>
    </row>
    <row r="1792" spans="1:73" ht="14.25" x14ac:dyDescent="0.15">
      <c r="A1792" s="12">
        <v>31039</v>
      </c>
      <c r="B1792">
        <v>7</v>
      </c>
      <c r="C1792" s="1">
        <v>48</v>
      </c>
      <c r="D1792">
        <v>0</v>
      </c>
      <c r="E1792">
        <v>0</v>
      </c>
      <c r="F1792">
        <v>1</v>
      </c>
      <c r="G1792" s="7">
        <v>0.05</v>
      </c>
      <c r="H1792">
        <v>12</v>
      </c>
      <c r="I1792">
        <v>0</v>
      </c>
      <c r="J1792">
        <v>0</v>
      </c>
      <c r="K1792">
        <v>0</v>
      </c>
      <c r="L1792">
        <v>1</v>
      </c>
      <c r="M1792">
        <v>2</v>
      </c>
      <c r="N1792" s="7">
        <v>9</v>
      </c>
      <c r="O1792" s="7">
        <v>0</v>
      </c>
      <c r="P1792" s="7">
        <v>0</v>
      </c>
      <c r="Q1792" s="7">
        <v>0</v>
      </c>
      <c r="R1792" s="7">
        <v>1</v>
      </c>
      <c r="S1792" s="7">
        <v>4.5</v>
      </c>
      <c r="T1792">
        <v>7</v>
      </c>
      <c r="U1792" s="1">
        <v>36</v>
      </c>
      <c r="V1792">
        <v>0</v>
      </c>
      <c r="W1792">
        <v>0</v>
      </c>
      <c r="X1792">
        <v>1</v>
      </c>
      <c r="Y1792">
        <v>0.16</v>
      </c>
      <c r="Z1792">
        <v>23</v>
      </c>
      <c r="AA1792">
        <v>0</v>
      </c>
      <c r="AB1792">
        <v>0</v>
      </c>
      <c r="AC1792">
        <v>0</v>
      </c>
      <c r="AD1792">
        <v>1</v>
      </c>
      <c r="AE1792">
        <v>0.05</v>
      </c>
      <c r="AF1792">
        <v>15</v>
      </c>
      <c r="AG1792">
        <v>0</v>
      </c>
      <c r="AH1792">
        <v>0</v>
      </c>
      <c r="AI1792">
        <v>0</v>
      </c>
      <c r="AJ1792">
        <v>1</v>
      </c>
      <c r="AK1792">
        <v>0.02</v>
      </c>
      <c r="AL1792">
        <v>16</v>
      </c>
      <c r="AM1792">
        <v>0</v>
      </c>
      <c r="AN1792">
        <v>0</v>
      </c>
      <c r="AO1792">
        <v>0</v>
      </c>
      <c r="AP1792">
        <v>1</v>
      </c>
      <c r="AQ1792">
        <v>0.01</v>
      </c>
      <c r="AX1792">
        <v>7</v>
      </c>
      <c r="AY1792" s="1">
        <v>20</v>
      </c>
      <c r="AZ1792">
        <v>0</v>
      </c>
      <c r="BA1792">
        <v>0</v>
      </c>
      <c r="BB1792">
        <v>1</v>
      </c>
      <c r="BC1792" s="7">
        <v>0.32</v>
      </c>
      <c r="BD1792">
        <v>30</v>
      </c>
      <c r="BE1792">
        <v>0</v>
      </c>
      <c r="BF1792">
        <v>0</v>
      </c>
      <c r="BG1792">
        <v>0</v>
      </c>
      <c r="BH1792">
        <v>5</v>
      </c>
      <c r="BI1792">
        <v>2.4</v>
      </c>
      <c r="BJ1792">
        <v>31</v>
      </c>
      <c r="BK1792">
        <v>0</v>
      </c>
      <c r="BL1792">
        <v>0</v>
      </c>
      <c r="BM1792">
        <v>0</v>
      </c>
      <c r="BN1792">
        <v>5</v>
      </c>
      <c r="BO1792">
        <v>2.4</v>
      </c>
      <c r="BP1792">
        <v>36</v>
      </c>
      <c r="BQ1792">
        <v>0</v>
      </c>
      <c r="BR1792">
        <v>0</v>
      </c>
      <c r="BS1792">
        <v>0</v>
      </c>
      <c r="BT1792">
        <v>5</v>
      </c>
      <c r="BU1792">
        <v>1.5</v>
      </c>
    </row>
    <row r="1793" spans="1:73" ht="14.25" x14ac:dyDescent="0.15">
      <c r="A1793" s="12">
        <v>31040</v>
      </c>
      <c r="B1793">
        <v>7</v>
      </c>
      <c r="C1793" s="1">
        <v>0</v>
      </c>
      <c r="D1793">
        <v>5</v>
      </c>
      <c r="E1793">
        <v>1</v>
      </c>
      <c r="F1793">
        <v>1</v>
      </c>
      <c r="G1793" s="7">
        <v>0.05</v>
      </c>
      <c r="H1793">
        <v>12</v>
      </c>
      <c r="I1793">
        <v>0</v>
      </c>
      <c r="J1793">
        <v>0</v>
      </c>
      <c r="K1793">
        <v>0</v>
      </c>
      <c r="L1793">
        <v>1</v>
      </c>
      <c r="M1793">
        <v>2</v>
      </c>
      <c r="N1793" s="7">
        <v>9</v>
      </c>
      <c r="O1793" s="7">
        <v>0</v>
      </c>
      <c r="P1793" s="7">
        <v>0</v>
      </c>
      <c r="Q1793" s="7">
        <v>0</v>
      </c>
      <c r="R1793" s="7">
        <v>1</v>
      </c>
      <c r="S1793" s="7">
        <v>4.5</v>
      </c>
      <c r="T1793">
        <v>7</v>
      </c>
      <c r="U1793" s="1">
        <v>0</v>
      </c>
      <c r="V1793">
        <v>4</v>
      </c>
      <c r="W1793">
        <v>2</v>
      </c>
      <c r="X1793">
        <v>1</v>
      </c>
      <c r="Y1793">
        <v>0.16</v>
      </c>
      <c r="Z1793">
        <v>23</v>
      </c>
      <c r="AA1793">
        <v>0</v>
      </c>
      <c r="AB1793">
        <v>0</v>
      </c>
      <c r="AC1793">
        <v>0</v>
      </c>
      <c r="AD1793">
        <v>1</v>
      </c>
      <c r="AE1793">
        <v>0.05</v>
      </c>
      <c r="AF1793">
        <v>15</v>
      </c>
      <c r="AG1793">
        <v>0</v>
      </c>
      <c r="AH1793">
        <v>0</v>
      </c>
      <c r="AI1793">
        <v>0</v>
      </c>
      <c r="AJ1793">
        <v>1</v>
      </c>
      <c r="AK1793">
        <v>0.02</v>
      </c>
      <c r="AL1793">
        <v>16</v>
      </c>
      <c r="AM1793">
        <v>0</v>
      </c>
      <c r="AN1793">
        <v>0</v>
      </c>
      <c r="AO1793">
        <v>0</v>
      </c>
      <c r="AP1793">
        <v>1</v>
      </c>
      <c r="AQ1793">
        <v>0.01</v>
      </c>
      <c r="AR1793">
        <v>6</v>
      </c>
      <c r="AS1793">
        <v>2</v>
      </c>
      <c r="AT1793">
        <v>3</v>
      </c>
      <c r="AU1793">
        <v>5</v>
      </c>
      <c r="AV1793">
        <v>1</v>
      </c>
      <c r="AW1793">
        <v>0.05</v>
      </c>
      <c r="AX1793">
        <v>7</v>
      </c>
      <c r="AY1793" s="1">
        <v>0</v>
      </c>
      <c r="AZ1793">
        <v>3</v>
      </c>
      <c r="BA1793">
        <v>1</v>
      </c>
      <c r="BB1793">
        <v>1</v>
      </c>
      <c r="BC1793" s="7">
        <v>0.32</v>
      </c>
      <c r="BD1793">
        <v>30</v>
      </c>
      <c r="BE1793">
        <v>0</v>
      </c>
      <c r="BF1793">
        <v>0</v>
      </c>
      <c r="BG1793">
        <v>0</v>
      </c>
      <c r="BH1793">
        <v>5</v>
      </c>
      <c r="BI1793">
        <v>2.4</v>
      </c>
      <c r="BJ1793">
        <v>31</v>
      </c>
      <c r="BK1793">
        <v>0</v>
      </c>
      <c r="BL1793">
        <v>0</v>
      </c>
      <c r="BM1793">
        <v>0</v>
      </c>
      <c r="BN1793">
        <v>5</v>
      </c>
      <c r="BO1793">
        <v>2.4</v>
      </c>
      <c r="BP1793">
        <v>36</v>
      </c>
      <c r="BQ1793">
        <v>0</v>
      </c>
      <c r="BR1793">
        <v>0</v>
      </c>
      <c r="BS1793">
        <v>0</v>
      </c>
      <c r="BT1793">
        <v>5</v>
      </c>
      <c r="BU1793">
        <v>1.5</v>
      </c>
    </row>
    <row r="1794" spans="1:73" ht="14.25" x14ac:dyDescent="0.15">
      <c r="A1794" s="12">
        <v>31041</v>
      </c>
      <c r="B1794">
        <v>7</v>
      </c>
      <c r="C1794" s="1">
        <v>45</v>
      </c>
      <c r="D1794">
        <v>0</v>
      </c>
      <c r="E1794">
        <v>0</v>
      </c>
      <c r="F1794">
        <v>1</v>
      </c>
      <c r="G1794" s="7">
        <v>0.05</v>
      </c>
      <c r="H1794">
        <v>12</v>
      </c>
      <c r="I1794">
        <v>0</v>
      </c>
      <c r="J1794">
        <v>0</v>
      </c>
      <c r="K1794">
        <v>0</v>
      </c>
      <c r="L1794">
        <v>1</v>
      </c>
      <c r="M1794">
        <v>2</v>
      </c>
      <c r="N1794" s="7">
        <v>9</v>
      </c>
      <c r="O1794" s="7">
        <v>0</v>
      </c>
      <c r="P1794" s="7">
        <v>0</v>
      </c>
      <c r="Q1794" s="7">
        <v>0</v>
      </c>
      <c r="R1794" s="7">
        <v>1</v>
      </c>
      <c r="S1794" s="7">
        <v>4.5</v>
      </c>
      <c r="T1794">
        <v>7</v>
      </c>
      <c r="U1794" s="1">
        <v>33</v>
      </c>
      <c r="V1794">
        <v>0</v>
      </c>
      <c r="W1794">
        <v>0</v>
      </c>
      <c r="X1794">
        <v>1</v>
      </c>
      <c r="Y1794">
        <v>0.16</v>
      </c>
      <c r="Z1794">
        <v>23</v>
      </c>
      <c r="AA1794">
        <v>0</v>
      </c>
      <c r="AB1794">
        <v>0</v>
      </c>
      <c r="AC1794">
        <v>0</v>
      </c>
      <c r="AD1794">
        <v>1</v>
      </c>
      <c r="AE1794">
        <v>0.05</v>
      </c>
      <c r="AF1794">
        <v>15</v>
      </c>
      <c r="AG1794">
        <v>0</v>
      </c>
      <c r="AH1794">
        <v>0</v>
      </c>
      <c r="AI1794">
        <v>0</v>
      </c>
      <c r="AJ1794">
        <v>1</v>
      </c>
      <c r="AK1794">
        <v>0.02</v>
      </c>
      <c r="AL1794">
        <v>16</v>
      </c>
      <c r="AM1794">
        <v>0</v>
      </c>
      <c r="AN1794">
        <v>0</v>
      </c>
      <c r="AO1794">
        <v>0</v>
      </c>
      <c r="AP1794">
        <v>1</v>
      </c>
      <c r="AQ1794">
        <v>0.01</v>
      </c>
      <c r="AX1794">
        <v>7</v>
      </c>
      <c r="AY1794" s="1">
        <v>17</v>
      </c>
      <c r="AZ1794">
        <v>0</v>
      </c>
      <c r="BA1794">
        <v>0</v>
      </c>
      <c r="BB1794">
        <v>1</v>
      </c>
      <c r="BC1794" s="7">
        <v>0.32</v>
      </c>
      <c r="BD1794">
        <v>30</v>
      </c>
      <c r="BE1794">
        <v>0</v>
      </c>
      <c r="BF1794">
        <v>0</v>
      </c>
      <c r="BG1794">
        <v>0</v>
      </c>
      <c r="BH1794">
        <v>5</v>
      </c>
      <c r="BI1794">
        <v>2.4</v>
      </c>
      <c r="BJ1794">
        <v>31</v>
      </c>
      <c r="BK1794">
        <v>0</v>
      </c>
      <c r="BL1794">
        <v>0</v>
      </c>
      <c r="BM1794">
        <v>0</v>
      </c>
      <c r="BN1794">
        <v>5</v>
      </c>
      <c r="BO1794">
        <v>2.4</v>
      </c>
      <c r="BP1794">
        <v>36</v>
      </c>
      <c r="BQ1794">
        <v>0</v>
      </c>
      <c r="BR1794">
        <v>0</v>
      </c>
      <c r="BS1794">
        <v>0</v>
      </c>
      <c r="BT1794">
        <v>5</v>
      </c>
      <c r="BU1794">
        <v>1.5</v>
      </c>
    </row>
    <row r="1795" spans="1:73" ht="14.25" x14ac:dyDescent="0.15">
      <c r="A1795" s="12">
        <v>31042</v>
      </c>
      <c r="B1795">
        <v>7</v>
      </c>
      <c r="C1795" s="1">
        <v>46</v>
      </c>
      <c r="D1795">
        <v>0</v>
      </c>
      <c r="E1795">
        <v>0</v>
      </c>
      <c r="F1795">
        <v>1</v>
      </c>
      <c r="G1795" s="7">
        <v>0.05</v>
      </c>
      <c r="H1795">
        <v>12</v>
      </c>
      <c r="I1795">
        <v>0</v>
      </c>
      <c r="J1795">
        <v>0</v>
      </c>
      <c r="K1795">
        <v>0</v>
      </c>
      <c r="L1795">
        <v>1</v>
      </c>
      <c r="M1795">
        <v>2</v>
      </c>
      <c r="N1795" s="7">
        <v>9</v>
      </c>
      <c r="O1795" s="7">
        <v>0</v>
      </c>
      <c r="P1795" s="7">
        <v>0</v>
      </c>
      <c r="Q1795" s="7">
        <v>0</v>
      </c>
      <c r="R1795" s="7">
        <v>1</v>
      </c>
      <c r="S1795" s="7">
        <v>4.5</v>
      </c>
      <c r="T1795">
        <v>7</v>
      </c>
      <c r="U1795" s="1">
        <v>34</v>
      </c>
      <c r="V1795">
        <v>0</v>
      </c>
      <c r="W1795">
        <v>0</v>
      </c>
      <c r="X1795">
        <v>1</v>
      </c>
      <c r="Y1795">
        <v>0.16</v>
      </c>
      <c r="Z1795">
        <v>23</v>
      </c>
      <c r="AA1795">
        <v>0</v>
      </c>
      <c r="AB1795">
        <v>0</v>
      </c>
      <c r="AC1795">
        <v>0</v>
      </c>
      <c r="AD1795">
        <v>1</v>
      </c>
      <c r="AE1795">
        <v>0.05</v>
      </c>
      <c r="AF1795">
        <v>15</v>
      </c>
      <c r="AG1795">
        <v>0</v>
      </c>
      <c r="AH1795">
        <v>0</v>
      </c>
      <c r="AI1795">
        <v>0</v>
      </c>
      <c r="AJ1795">
        <v>1</v>
      </c>
      <c r="AK1795">
        <v>0.02</v>
      </c>
      <c r="AL1795">
        <v>16</v>
      </c>
      <c r="AM1795">
        <v>0</v>
      </c>
      <c r="AN1795">
        <v>0</v>
      </c>
      <c r="AO1795">
        <v>0</v>
      </c>
      <c r="AP1795">
        <v>1</v>
      </c>
      <c r="AQ1795">
        <v>0.01</v>
      </c>
      <c r="AX1795">
        <v>7</v>
      </c>
      <c r="AY1795" s="1">
        <v>18</v>
      </c>
      <c r="AZ1795">
        <v>0</v>
      </c>
      <c r="BA1795">
        <v>0</v>
      </c>
      <c r="BB1795">
        <v>1</v>
      </c>
      <c r="BC1795" s="7">
        <v>0.32</v>
      </c>
      <c r="BD1795">
        <v>30</v>
      </c>
      <c r="BE1795">
        <v>0</v>
      </c>
      <c r="BF1795">
        <v>0</v>
      </c>
      <c r="BG1795">
        <v>0</v>
      </c>
      <c r="BH1795">
        <v>5</v>
      </c>
      <c r="BI1795">
        <v>2.4</v>
      </c>
      <c r="BJ1795">
        <v>31</v>
      </c>
      <c r="BK1795">
        <v>0</v>
      </c>
      <c r="BL1795">
        <v>0</v>
      </c>
      <c r="BM1795">
        <v>0</v>
      </c>
      <c r="BN1795">
        <v>5</v>
      </c>
      <c r="BO1795">
        <v>2.4</v>
      </c>
      <c r="BP1795">
        <v>36</v>
      </c>
      <c r="BQ1795">
        <v>0</v>
      </c>
      <c r="BR1795">
        <v>0</v>
      </c>
      <c r="BS1795">
        <v>0</v>
      </c>
      <c r="BT1795">
        <v>5</v>
      </c>
      <c r="BU1795">
        <v>1.5</v>
      </c>
    </row>
    <row r="1796" spans="1:73" ht="14.25" x14ac:dyDescent="0.15">
      <c r="A1796" s="12">
        <v>31043</v>
      </c>
      <c r="B1796">
        <v>7</v>
      </c>
      <c r="C1796" s="1">
        <v>47</v>
      </c>
      <c r="D1796">
        <v>0</v>
      </c>
      <c r="E1796">
        <v>0</v>
      </c>
      <c r="F1796">
        <v>1</v>
      </c>
      <c r="G1796" s="7">
        <v>0.05</v>
      </c>
      <c r="H1796">
        <v>12</v>
      </c>
      <c r="I1796">
        <v>0</v>
      </c>
      <c r="J1796">
        <v>0</v>
      </c>
      <c r="K1796">
        <v>0</v>
      </c>
      <c r="L1796">
        <v>1</v>
      </c>
      <c r="M1796">
        <v>2</v>
      </c>
      <c r="N1796" s="7">
        <v>9</v>
      </c>
      <c r="O1796" s="7">
        <v>0</v>
      </c>
      <c r="P1796" s="7">
        <v>0</v>
      </c>
      <c r="Q1796" s="7">
        <v>0</v>
      </c>
      <c r="R1796" s="7">
        <v>1</v>
      </c>
      <c r="S1796" s="7">
        <v>4.5</v>
      </c>
      <c r="T1796">
        <v>7</v>
      </c>
      <c r="U1796" s="1">
        <v>35</v>
      </c>
      <c r="V1796">
        <v>0</v>
      </c>
      <c r="W1796">
        <v>0</v>
      </c>
      <c r="X1796">
        <v>1</v>
      </c>
      <c r="Y1796">
        <v>0.16</v>
      </c>
      <c r="Z1796">
        <v>23</v>
      </c>
      <c r="AA1796">
        <v>0</v>
      </c>
      <c r="AB1796">
        <v>0</v>
      </c>
      <c r="AC1796">
        <v>0</v>
      </c>
      <c r="AD1796">
        <v>1</v>
      </c>
      <c r="AE1796">
        <v>0.05</v>
      </c>
      <c r="AF1796">
        <v>15</v>
      </c>
      <c r="AG1796">
        <v>0</v>
      </c>
      <c r="AH1796">
        <v>0</v>
      </c>
      <c r="AI1796">
        <v>0</v>
      </c>
      <c r="AJ1796">
        <v>1</v>
      </c>
      <c r="AK1796">
        <v>0.02</v>
      </c>
      <c r="AL1796">
        <v>16</v>
      </c>
      <c r="AM1796">
        <v>0</v>
      </c>
      <c r="AN1796">
        <v>0</v>
      </c>
      <c r="AO1796">
        <v>0</v>
      </c>
      <c r="AP1796">
        <v>1</v>
      </c>
      <c r="AQ1796">
        <v>0.01</v>
      </c>
      <c r="AX1796">
        <v>7</v>
      </c>
      <c r="AY1796" s="1">
        <v>19</v>
      </c>
      <c r="AZ1796">
        <v>0</v>
      </c>
      <c r="BA1796">
        <v>0</v>
      </c>
      <c r="BB1796">
        <v>1</v>
      </c>
      <c r="BC1796" s="7">
        <v>0.32</v>
      </c>
      <c r="BD1796">
        <v>30</v>
      </c>
      <c r="BE1796">
        <v>0</v>
      </c>
      <c r="BF1796">
        <v>0</v>
      </c>
      <c r="BG1796">
        <v>0</v>
      </c>
      <c r="BH1796">
        <v>5</v>
      </c>
      <c r="BI1796">
        <v>2.4</v>
      </c>
      <c r="BJ1796">
        <v>31</v>
      </c>
      <c r="BK1796">
        <v>0</v>
      </c>
      <c r="BL1796">
        <v>0</v>
      </c>
      <c r="BM1796">
        <v>0</v>
      </c>
      <c r="BN1796">
        <v>5</v>
      </c>
      <c r="BO1796">
        <v>2.4</v>
      </c>
      <c r="BP1796">
        <v>36</v>
      </c>
      <c r="BQ1796">
        <v>0</v>
      </c>
      <c r="BR1796">
        <v>0</v>
      </c>
      <c r="BS1796">
        <v>0</v>
      </c>
      <c r="BT1796">
        <v>5</v>
      </c>
      <c r="BU1796">
        <v>1.5</v>
      </c>
    </row>
    <row r="1797" spans="1:73" ht="14.25" x14ac:dyDescent="0.15">
      <c r="A1797" s="12">
        <v>31044</v>
      </c>
      <c r="B1797">
        <v>7</v>
      </c>
      <c r="C1797" s="1">
        <v>48</v>
      </c>
      <c r="D1797">
        <v>0</v>
      </c>
      <c r="E1797">
        <v>0</v>
      </c>
      <c r="F1797">
        <v>1</v>
      </c>
      <c r="G1797" s="7">
        <v>0.05</v>
      </c>
      <c r="H1797">
        <v>12</v>
      </c>
      <c r="I1797">
        <v>0</v>
      </c>
      <c r="J1797">
        <v>0</v>
      </c>
      <c r="K1797">
        <v>0</v>
      </c>
      <c r="L1797">
        <v>1</v>
      </c>
      <c r="M1797">
        <v>2</v>
      </c>
      <c r="N1797" s="7">
        <v>9</v>
      </c>
      <c r="O1797" s="7">
        <v>0</v>
      </c>
      <c r="P1797" s="7">
        <v>0</v>
      </c>
      <c r="Q1797" s="7">
        <v>0</v>
      </c>
      <c r="R1797" s="7">
        <v>1</v>
      </c>
      <c r="S1797" s="7">
        <v>4.5</v>
      </c>
      <c r="T1797">
        <v>7</v>
      </c>
      <c r="U1797" s="1">
        <v>36</v>
      </c>
      <c r="V1797">
        <v>0</v>
      </c>
      <c r="W1797">
        <v>0</v>
      </c>
      <c r="X1797">
        <v>1</v>
      </c>
      <c r="Y1797">
        <v>0.16</v>
      </c>
      <c r="Z1797">
        <v>23</v>
      </c>
      <c r="AA1797">
        <v>0</v>
      </c>
      <c r="AB1797">
        <v>0</v>
      </c>
      <c r="AC1797">
        <v>0</v>
      </c>
      <c r="AD1797">
        <v>1</v>
      </c>
      <c r="AE1797">
        <v>0.05</v>
      </c>
      <c r="AF1797">
        <v>15</v>
      </c>
      <c r="AG1797">
        <v>0</v>
      </c>
      <c r="AH1797">
        <v>0</v>
      </c>
      <c r="AI1797">
        <v>0</v>
      </c>
      <c r="AJ1797">
        <v>1</v>
      </c>
      <c r="AK1797">
        <v>0.02</v>
      </c>
      <c r="AL1797">
        <v>16</v>
      </c>
      <c r="AM1797">
        <v>0</v>
      </c>
      <c r="AN1797">
        <v>0</v>
      </c>
      <c r="AO1797">
        <v>0</v>
      </c>
      <c r="AP1797">
        <v>1</v>
      </c>
      <c r="AQ1797">
        <v>0.01</v>
      </c>
      <c r="AX1797">
        <v>7</v>
      </c>
      <c r="AY1797" s="1">
        <v>20</v>
      </c>
      <c r="AZ1797">
        <v>0</v>
      </c>
      <c r="BA1797">
        <v>0</v>
      </c>
      <c r="BB1797">
        <v>1</v>
      </c>
      <c r="BC1797" s="7">
        <v>0.32</v>
      </c>
      <c r="BD1797">
        <v>30</v>
      </c>
      <c r="BE1797">
        <v>0</v>
      </c>
      <c r="BF1797">
        <v>0</v>
      </c>
      <c r="BG1797">
        <v>0</v>
      </c>
      <c r="BH1797">
        <v>5</v>
      </c>
      <c r="BI1797">
        <v>2.4</v>
      </c>
      <c r="BJ1797">
        <v>31</v>
      </c>
      <c r="BK1797">
        <v>0</v>
      </c>
      <c r="BL1797">
        <v>0</v>
      </c>
      <c r="BM1797">
        <v>0</v>
      </c>
      <c r="BN1797">
        <v>5</v>
      </c>
      <c r="BO1797">
        <v>2.4</v>
      </c>
      <c r="BP1797">
        <v>36</v>
      </c>
      <c r="BQ1797">
        <v>0</v>
      </c>
      <c r="BR1797">
        <v>0</v>
      </c>
      <c r="BS1797">
        <v>0</v>
      </c>
      <c r="BT1797">
        <v>5</v>
      </c>
      <c r="BU1797">
        <v>1.5</v>
      </c>
    </row>
    <row r="1798" spans="1:73" ht="14.25" x14ac:dyDescent="0.15">
      <c r="A1798" s="12">
        <v>31045</v>
      </c>
      <c r="B1798">
        <v>7</v>
      </c>
      <c r="C1798" s="1">
        <v>0</v>
      </c>
      <c r="D1798">
        <v>5</v>
      </c>
      <c r="E1798">
        <v>1</v>
      </c>
      <c r="F1798">
        <v>1</v>
      </c>
      <c r="G1798" s="7">
        <v>0.05</v>
      </c>
      <c r="H1798">
        <v>12</v>
      </c>
      <c r="I1798">
        <v>0</v>
      </c>
      <c r="J1798">
        <v>0</v>
      </c>
      <c r="K1798">
        <v>0</v>
      </c>
      <c r="L1798">
        <v>1</v>
      </c>
      <c r="M1798">
        <v>2</v>
      </c>
      <c r="N1798" s="7">
        <v>9</v>
      </c>
      <c r="O1798" s="7">
        <v>0</v>
      </c>
      <c r="P1798" s="7">
        <v>0</v>
      </c>
      <c r="Q1798" s="7">
        <v>0</v>
      </c>
      <c r="R1798" s="7">
        <v>1</v>
      </c>
      <c r="S1798" s="7">
        <v>4.5</v>
      </c>
      <c r="T1798">
        <v>7</v>
      </c>
      <c r="U1798" s="1">
        <v>0</v>
      </c>
      <c r="V1798">
        <v>4</v>
      </c>
      <c r="W1798">
        <v>2</v>
      </c>
      <c r="X1798">
        <v>1</v>
      </c>
      <c r="Y1798">
        <v>0.16</v>
      </c>
      <c r="Z1798">
        <v>23</v>
      </c>
      <c r="AA1798">
        <v>0</v>
      </c>
      <c r="AB1798">
        <v>0</v>
      </c>
      <c r="AC1798">
        <v>0</v>
      </c>
      <c r="AD1798">
        <v>1</v>
      </c>
      <c r="AE1798">
        <v>0.05</v>
      </c>
      <c r="AF1798">
        <v>15</v>
      </c>
      <c r="AG1798">
        <v>0</v>
      </c>
      <c r="AH1798">
        <v>0</v>
      </c>
      <c r="AI1798">
        <v>0</v>
      </c>
      <c r="AJ1798">
        <v>1</v>
      </c>
      <c r="AK1798">
        <v>0.02</v>
      </c>
      <c r="AL1798">
        <v>16</v>
      </c>
      <c r="AM1798">
        <v>0</v>
      </c>
      <c r="AN1798">
        <v>0</v>
      </c>
      <c r="AO1798">
        <v>0</v>
      </c>
      <c r="AP1798">
        <v>1</v>
      </c>
      <c r="AQ1798">
        <v>0.01</v>
      </c>
      <c r="AR1798">
        <v>6</v>
      </c>
      <c r="AS1798">
        <v>2</v>
      </c>
      <c r="AT1798">
        <v>4</v>
      </c>
      <c r="AU1798">
        <v>5</v>
      </c>
      <c r="AV1798">
        <v>1</v>
      </c>
      <c r="AW1798">
        <v>0.01</v>
      </c>
      <c r="AX1798">
        <v>7</v>
      </c>
      <c r="AY1798" s="1">
        <v>0</v>
      </c>
      <c r="AZ1798">
        <v>3</v>
      </c>
      <c r="BA1798">
        <v>1</v>
      </c>
      <c r="BB1798">
        <v>1</v>
      </c>
      <c r="BC1798" s="7">
        <v>0.32</v>
      </c>
      <c r="BD1798">
        <v>30</v>
      </c>
      <c r="BE1798">
        <v>0</v>
      </c>
      <c r="BF1798">
        <v>0</v>
      </c>
      <c r="BG1798">
        <v>0</v>
      </c>
      <c r="BH1798">
        <v>5</v>
      </c>
      <c r="BI1798">
        <v>2.4</v>
      </c>
      <c r="BJ1798">
        <v>31</v>
      </c>
      <c r="BK1798">
        <v>0</v>
      </c>
      <c r="BL1798">
        <v>0</v>
      </c>
      <c r="BM1798">
        <v>0</v>
      </c>
      <c r="BN1798">
        <v>5</v>
      </c>
      <c r="BO1798">
        <v>2.4</v>
      </c>
      <c r="BP1798">
        <v>36</v>
      </c>
      <c r="BQ1798">
        <v>0</v>
      </c>
      <c r="BR1798">
        <v>0</v>
      </c>
      <c r="BS1798">
        <v>0</v>
      </c>
      <c r="BT1798">
        <v>5</v>
      </c>
      <c r="BU1798">
        <v>1.5</v>
      </c>
    </row>
    <row r="1799" spans="1:73" ht="14.25" x14ac:dyDescent="0.15">
      <c r="A1799" s="12">
        <v>31046</v>
      </c>
      <c r="B1799">
        <v>7</v>
      </c>
      <c r="C1799" s="1">
        <v>45</v>
      </c>
      <c r="D1799">
        <v>0</v>
      </c>
      <c r="E1799">
        <v>0</v>
      </c>
      <c r="F1799">
        <v>1</v>
      </c>
      <c r="G1799" s="7">
        <v>0.05</v>
      </c>
      <c r="H1799">
        <v>12</v>
      </c>
      <c r="I1799">
        <v>0</v>
      </c>
      <c r="J1799">
        <v>0</v>
      </c>
      <c r="K1799">
        <v>0</v>
      </c>
      <c r="L1799">
        <v>1</v>
      </c>
      <c r="M1799">
        <v>2</v>
      </c>
      <c r="N1799" s="7">
        <v>9</v>
      </c>
      <c r="O1799" s="7">
        <v>0</v>
      </c>
      <c r="P1799" s="7">
        <v>0</v>
      </c>
      <c r="Q1799" s="7">
        <v>0</v>
      </c>
      <c r="R1799" s="7">
        <v>1</v>
      </c>
      <c r="S1799" s="7">
        <v>4.5</v>
      </c>
      <c r="T1799">
        <v>7</v>
      </c>
      <c r="U1799" s="1">
        <v>33</v>
      </c>
      <c r="V1799">
        <v>0</v>
      </c>
      <c r="W1799">
        <v>0</v>
      </c>
      <c r="X1799">
        <v>1</v>
      </c>
      <c r="Y1799">
        <v>0.16</v>
      </c>
      <c r="Z1799">
        <v>23</v>
      </c>
      <c r="AA1799">
        <v>0</v>
      </c>
      <c r="AB1799">
        <v>0</v>
      </c>
      <c r="AC1799">
        <v>0</v>
      </c>
      <c r="AD1799">
        <v>1</v>
      </c>
      <c r="AE1799">
        <v>0.05</v>
      </c>
      <c r="AF1799">
        <v>15</v>
      </c>
      <c r="AG1799">
        <v>0</v>
      </c>
      <c r="AH1799">
        <v>0</v>
      </c>
      <c r="AI1799">
        <v>0</v>
      </c>
      <c r="AJ1799">
        <v>1</v>
      </c>
      <c r="AK1799">
        <v>0.02</v>
      </c>
      <c r="AL1799">
        <v>16</v>
      </c>
      <c r="AM1799">
        <v>0</v>
      </c>
      <c r="AN1799">
        <v>0</v>
      </c>
      <c r="AO1799">
        <v>0</v>
      </c>
      <c r="AP1799">
        <v>1</v>
      </c>
      <c r="AQ1799">
        <v>0.01</v>
      </c>
      <c r="AX1799">
        <v>7</v>
      </c>
      <c r="AY1799" s="1">
        <v>17</v>
      </c>
      <c r="AZ1799">
        <v>0</v>
      </c>
      <c r="BA1799">
        <v>0</v>
      </c>
      <c r="BB1799">
        <v>1</v>
      </c>
      <c r="BC1799" s="7">
        <v>0.32</v>
      </c>
      <c r="BD1799">
        <v>30</v>
      </c>
      <c r="BE1799">
        <v>0</v>
      </c>
      <c r="BF1799">
        <v>0</v>
      </c>
      <c r="BG1799">
        <v>0</v>
      </c>
      <c r="BH1799">
        <v>5</v>
      </c>
      <c r="BI1799">
        <v>2.4</v>
      </c>
      <c r="BJ1799">
        <v>31</v>
      </c>
      <c r="BK1799">
        <v>0</v>
      </c>
      <c r="BL1799">
        <v>0</v>
      </c>
      <c r="BM1799">
        <v>0</v>
      </c>
      <c r="BN1799">
        <v>5</v>
      </c>
      <c r="BO1799">
        <v>2.4</v>
      </c>
      <c r="BP1799">
        <v>36</v>
      </c>
      <c r="BQ1799">
        <v>0</v>
      </c>
      <c r="BR1799">
        <v>0</v>
      </c>
      <c r="BS1799">
        <v>0</v>
      </c>
      <c r="BT1799">
        <v>5</v>
      </c>
      <c r="BU1799">
        <v>1.5</v>
      </c>
    </row>
    <row r="1800" spans="1:73" ht="14.25" x14ac:dyDescent="0.15">
      <c r="A1800" s="12">
        <v>31047</v>
      </c>
      <c r="B1800">
        <v>7</v>
      </c>
      <c r="C1800" s="1">
        <v>46</v>
      </c>
      <c r="D1800">
        <v>0</v>
      </c>
      <c r="E1800">
        <v>0</v>
      </c>
      <c r="F1800">
        <v>1</v>
      </c>
      <c r="G1800" s="7">
        <v>0.05</v>
      </c>
      <c r="H1800">
        <v>12</v>
      </c>
      <c r="I1800">
        <v>0</v>
      </c>
      <c r="J1800">
        <v>0</v>
      </c>
      <c r="K1800">
        <v>0</v>
      </c>
      <c r="L1800">
        <v>1</v>
      </c>
      <c r="M1800">
        <v>2</v>
      </c>
      <c r="N1800" s="7">
        <v>9</v>
      </c>
      <c r="O1800" s="7">
        <v>0</v>
      </c>
      <c r="P1800" s="7">
        <v>0</v>
      </c>
      <c r="Q1800" s="7">
        <v>0</v>
      </c>
      <c r="R1800" s="7">
        <v>1</v>
      </c>
      <c r="S1800" s="7">
        <v>4.5</v>
      </c>
      <c r="T1800">
        <v>7</v>
      </c>
      <c r="U1800" s="1">
        <v>34</v>
      </c>
      <c r="V1800">
        <v>0</v>
      </c>
      <c r="W1800">
        <v>0</v>
      </c>
      <c r="X1800">
        <v>1</v>
      </c>
      <c r="Y1800">
        <v>0.16</v>
      </c>
      <c r="Z1800">
        <v>23</v>
      </c>
      <c r="AA1800">
        <v>0</v>
      </c>
      <c r="AB1800">
        <v>0</v>
      </c>
      <c r="AC1800">
        <v>0</v>
      </c>
      <c r="AD1800">
        <v>1</v>
      </c>
      <c r="AE1800">
        <v>0.05</v>
      </c>
      <c r="AF1800">
        <v>15</v>
      </c>
      <c r="AG1800">
        <v>0</v>
      </c>
      <c r="AH1800">
        <v>0</v>
      </c>
      <c r="AI1800">
        <v>0</v>
      </c>
      <c r="AJ1800">
        <v>1</v>
      </c>
      <c r="AK1800">
        <v>0.02</v>
      </c>
      <c r="AL1800">
        <v>16</v>
      </c>
      <c r="AM1800">
        <v>0</v>
      </c>
      <c r="AN1800">
        <v>0</v>
      </c>
      <c r="AO1800">
        <v>0</v>
      </c>
      <c r="AP1800">
        <v>1</v>
      </c>
      <c r="AQ1800">
        <v>0.01</v>
      </c>
      <c r="AX1800">
        <v>7</v>
      </c>
      <c r="AY1800" s="1">
        <v>18</v>
      </c>
      <c r="AZ1800">
        <v>0</v>
      </c>
      <c r="BA1800">
        <v>0</v>
      </c>
      <c r="BB1800">
        <v>1</v>
      </c>
      <c r="BC1800" s="7">
        <v>0.32</v>
      </c>
      <c r="BD1800">
        <v>30</v>
      </c>
      <c r="BE1800">
        <v>0</v>
      </c>
      <c r="BF1800">
        <v>0</v>
      </c>
      <c r="BG1800">
        <v>0</v>
      </c>
      <c r="BH1800">
        <v>5</v>
      </c>
      <c r="BI1800">
        <v>2.4</v>
      </c>
      <c r="BJ1800">
        <v>31</v>
      </c>
      <c r="BK1800">
        <v>0</v>
      </c>
      <c r="BL1800">
        <v>0</v>
      </c>
      <c r="BM1800">
        <v>0</v>
      </c>
      <c r="BN1800">
        <v>5</v>
      </c>
      <c r="BO1800">
        <v>2.4</v>
      </c>
      <c r="BP1800">
        <v>36</v>
      </c>
      <c r="BQ1800">
        <v>0</v>
      </c>
      <c r="BR1800">
        <v>0</v>
      </c>
      <c r="BS1800">
        <v>0</v>
      </c>
      <c r="BT1800">
        <v>5</v>
      </c>
      <c r="BU1800">
        <v>1.5</v>
      </c>
    </row>
    <row r="1801" spans="1:73" ht="14.25" x14ac:dyDescent="0.15">
      <c r="A1801" s="12">
        <v>31048</v>
      </c>
      <c r="B1801">
        <v>7</v>
      </c>
      <c r="C1801" s="1">
        <v>47</v>
      </c>
      <c r="D1801">
        <v>0</v>
      </c>
      <c r="E1801">
        <v>0</v>
      </c>
      <c r="F1801">
        <v>1</v>
      </c>
      <c r="G1801" s="7">
        <v>0.05</v>
      </c>
      <c r="H1801">
        <v>12</v>
      </c>
      <c r="I1801">
        <v>0</v>
      </c>
      <c r="J1801">
        <v>0</v>
      </c>
      <c r="K1801">
        <v>0</v>
      </c>
      <c r="L1801">
        <v>1</v>
      </c>
      <c r="M1801">
        <v>2</v>
      </c>
      <c r="N1801" s="7">
        <v>9</v>
      </c>
      <c r="O1801" s="7">
        <v>0</v>
      </c>
      <c r="P1801" s="7">
        <v>0</v>
      </c>
      <c r="Q1801" s="7">
        <v>0</v>
      </c>
      <c r="R1801" s="7">
        <v>1</v>
      </c>
      <c r="S1801" s="7">
        <v>4.5</v>
      </c>
      <c r="T1801">
        <v>7</v>
      </c>
      <c r="U1801" s="1">
        <v>35</v>
      </c>
      <c r="V1801">
        <v>0</v>
      </c>
      <c r="W1801">
        <v>0</v>
      </c>
      <c r="X1801">
        <v>1</v>
      </c>
      <c r="Y1801">
        <v>0.16</v>
      </c>
      <c r="Z1801">
        <v>23</v>
      </c>
      <c r="AA1801">
        <v>0</v>
      </c>
      <c r="AB1801">
        <v>0</v>
      </c>
      <c r="AC1801">
        <v>0</v>
      </c>
      <c r="AD1801">
        <v>1</v>
      </c>
      <c r="AE1801">
        <v>0.05</v>
      </c>
      <c r="AF1801">
        <v>15</v>
      </c>
      <c r="AG1801">
        <v>0</v>
      </c>
      <c r="AH1801">
        <v>0</v>
      </c>
      <c r="AI1801">
        <v>0</v>
      </c>
      <c r="AJ1801">
        <v>1</v>
      </c>
      <c r="AK1801">
        <v>0.02</v>
      </c>
      <c r="AL1801">
        <v>16</v>
      </c>
      <c r="AM1801">
        <v>0</v>
      </c>
      <c r="AN1801">
        <v>0</v>
      </c>
      <c r="AO1801">
        <v>0</v>
      </c>
      <c r="AP1801">
        <v>1</v>
      </c>
      <c r="AQ1801">
        <v>0.01</v>
      </c>
      <c r="AX1801">
        <v>7</v>
      </c>
      <c r="AY1801" s="1">
        <v>19</v>
      </c>
      <c r="AZ1801">
        <v>0</v>
      </c>
      <c r="BA1801">
        <v>0</v>
      </c>
      <c r="BB1801">
        <v>1</v>
      </c>
      <c r="BC1801" s="7">
        <v>0.32</v>
      </c>
      <c r="BD1801">
        <v>30</v>
      </c>
      <c r="BE1801">
        <v>0</v>
      </c>
      <c r="BF1801">
        <v>0</v>
      </c>
      <c r="BG1801">
        <v>0</v>
      </c>
      <c r="BH1801">
        <v>5</v>
      </c>
      <c r="BI1801">
        <v>2.4</v>
      </c>
      <c r="BJ1801">
        <v>31</v>
      </c>
      <c r="BK1801">
        <v>0</v>
      </c>
      <c r="BL1801">
        <v>0</v>
      </c>
      <c r="BM1801">
        <v>0</v>
      </c>
      <c r="BN1801">
        <v>5</v>
      </c>
      <c r="BO1801">
        <v>2.4</v>
      </c>
      <c r="BP1801">
        <v>36</v>
      </c>
      <c r="BQ1801">
        <v>0</v>
      </c>
      <c r="BR1801">
        <v>0</v>
      </c>
      <c r="BS1801">
        <v>0</v>
      </c>
      <c r="BT1801">
        <v>5</v>
      </c>
      <c r="BU1801">
        <v>1.5</v>
      </c>
    </row>
    <row r="1802" spans="1:73" ht="14.25" x14ac:dyDescent="0.15">
      <c r="A1802" s="12">
        <v>31049</v>
      </c>
      <c r="B1802">
        <v>7</v>
      </c>
      <c r="C1802" s="1">
        <v>48</v>
      </c>
      <c r="D1802">
        <v>0</v>
      </c>
      <c r="E1802">
        <v>0</v>
      </c>
      <c r="F1802">
        <v>1</v>
      </c>
      <c r="G1802" s="7">
        <v>0.05</v>
      </c>
      <c r="H1802">
        <v>12</v>
      </c>
      <c r="I1802">
        <v>0</v>
      </c>
      <c r="J1802">
        <v>0</v>
      </c>
      <c r="K1802">
        <v>0</v>
      </c>
      <c r="L1802">
        <v>1</v>
      </c>
      <c r="M1802">
        <v>2</v>
      </c>
      <c r="N1802" s="7">
        <v>9</v>
      </c>
      <c r="O1802" s="7">
        <v>0</v>
      </c>
      <c r="P1802" s="7">
        <v>0</v>
      </c>
      <c r="Q1802" s="7">
        <v>0</v>
      </c>
      <c r="R1802" s="7">
        <v>1</v>
      </c>
      <c r="S1802" s="7">
        <v>4.5</v>
      </c>
      <c r="T1802">
        <v>7</v>
      </c>
      <c r="U1802" s="1">
        <v>36</v>
      </c>
      <c r="V1802">
        <v>0</v>
      </c>
      <c r="W1802">
        <v>0</v>
      </c>
      <c r="X1802">
        <v>1</v>
      </c>
      <c r="Y1802">
        <v>0.16</v>
      </c>
      <c r="Z1802">
        <v>23</v>
      </c>
      <c r="AA1802">
        <v>0</v>
      </c>
      <c r="AB1802">
        <v>0</v>
      </c>
      <c r="AC1802">
        <v>0</v>
      </c>
      <c r="AD1802">
        <v>1</v>
      </c>
      <c r="AE1802">
        <v>0.05</v>
      </c>
      <c r="AF1802">
        <v>15</v>
      </c>
      <c r="AG1802">
        <v>0</v>
      </c>
      <c r="AH1802">
        <v>0</v>
      </c>
      <c r="AI1802">
        <v>0</v>
      </c>
      <c r="AJ1802">
        <v>1</v>
      </c>
      <c r="AK1802">
        <v>0.02</v>
      </c>
      <c r="AL1802">
        <v>16</v>
      </c>
      <c r="AM1802">
        <v>0</v>
      </c>
      <c r="AN1802">
        <v>0</v>
      </c>
      <c r="AO1802">
        <v>0</v>
      </c>
      <c r="AP1802">
        <v>1</v>
      </c>
      <c r="AQ1802">
        <v>0.01</v>
      </c>
      <c r="AX1802">
        <v>7</v>
      </c>
      <c r="AY1802" s="1">
        <v>20</v>
      </c>
      <c r="AZ1802">
        <v>0</v>
      </c>
      <c r="BA1802">
        <v>0</v>
      </c>
      <c r="BB1802">
        <v>1</v>
      </c>
      <c r="BC1802" s="7">
        <v>0.32</v>
      </c>
      <c r="BD1802">
        <v>30</v>
      </c>
      <c r="BE1802">
        <v>0</v>
      </c>
      <c r="BF1802">
        <v>0</v>
      </c>
      <c r="BG1802">
        <v>0</v>
      </c>
      <c r="BH1802">
        <v>5</v>
      </c>
      <c r="BI1802">
        <v>2.4</v>
      </c>
      <c r="BJ1802">
        <v>31</v>
      </c>
      <c r="BK1802">
        <v>0</v>
      </c>
      <c r="BL1802">
        <v>0</v>
      </c>
      <c r="BM1802">
        <v>0</v>
      </c>
      <c r="BN1802">
        <v>5</v>
      </c>
      <c r="BO1802">
        <v>2.4</v>
      </c>
      <c r="BP1802">
        <v>36</v>
      </c>
      <c r="BQ1802">
        <v>0</v>
      </c>
      <c r="BR1802">
        <v>0</v>
      </c>
      <c r="BS1802">
        <v>0</v>
      </c>
      <c r="BT1802">
        <v>5</v>
      </c>
      <c r="BU1802">
        <v>1.5</v>
      </c>
    </row>
    <row r="1803" spans="1:73" ht="14.25" x14ac:dyDescent="0.15">
      <c r="A1803" s="12">
        <v>31050</v>
      </c>
      <c r="B1803">
        <v>7</v>
      </c>
      <c r="C1803" s="1">
        <v>0</v>
      </c>
      <c r="D1803">
        <v>5</v>
      </c>
      <c r="E1803">
        <v>1</v>
      </c>
      <c r="F1803">
        <v>1</v>
      </c>
      <c r="G1803" s="7">
        <v>0.05</v>
      </c>
      <c r="H1803">
        <v>12</v>
      </c>
      <c r="I1803">
        <v>0</v>
      </c>
      <c r="J1803">
        <v>0</v>
      </c>
      <c r="K1803">
        <v>0</v>
      </c>
      <c r="L1803">
        <v>1</v>
      </c>
      <c r="M1803">
        <v>2</v>
      </c>
      <c r="N1803" s="7">
        <v>9</v>
      </c>
      <c r="O1803" s="7">
        <v>0</v>
      </c>
      <c r="P1803" s="7">
        <v>0</v>
      </c>
      <c r="Q1803" s="7">
        <v>0</v>
      </c>
      <c r="R1803" s="7">
        <v>1</v>
      </c>
      <c r="S1803" s="7">
        <v>4.5</v>
      </c>
      <c r="T1803">
        <v>7</v>
      </c>
      <c r="U1803" s="1">
        <v>0</v>
      </c>
      <c r="V1803">
        <v>4</v>
      </c>
      <c r="W1803">
        <v>2</v>
      </c>
      <c r="X1803">
        <v>1</v>
      </c>
      <c r="Y1803">
        <v>0.16</v>
      </c>
      <c r="Z1803">
        <v>23</v>
      </c>
      <c r="AA1803">
        <v>0</v>
      </c>
      <c r="AB1803">
        <v>0</v>
      </c>
      <c r="AC1803">
        <v>0</v>
      </c>
      <c r="AD1803">
        <v>1</v>
      </c>
      <c r="AE1803">
        <v>0.05</v>
      </c>
      <c r="AF1803">
        <v>15</v>
      </c>
      <c r="AG1803">
        <v>0</v>
      </c>
      <c r="AH1803">
        <v>0</v>
      </c>
      <c r="AI1803">
        <v>0</v>
      </c>
      <c r="AJ1803">
        <v>1</v>
      </c>
      <c r="AK1803">
        <v>0.02</v>
      </c>
      <c r="AL1803">
        <v>16</v>
      </c>
      <c r="AM1803">
        <v>0</v>
      </c>
      <c r="AN1803">
        <v>0</v>
      </c>
      <c r="AO1803">
        <v>0</v>
      </c>
      <c r="AP1803">
        <v>1</v>
      </c>
      <c r="AQ1803">
        <v>0.01</v>
      </c>
      <c r="AR1803">
        <v>6</v>
      </c>
      <c r="AS1803">
        <v>2</v>
      </c>
      <c r="AT1803">
        <v>5</v>
      </c>
      <c r="AU1803">
        <v>5</v>
      </c>
      <c r="AV1803">
        <v>1</v>
      </c>
      <c r="AW1803">
        <v>0.01</v>
      </c>
      <c r="AX1803">
        <v>7</v>
      </c>
      <c r="AY1803" s="1">
        <v>0</v>
      </c>
      <c r="AZ1803">
        <v>3</v>
      </c>
      <c r="BA1803">
        <v>1</v>
      </c>
      <c r="BB1803">
        <v>1</v>
      </c>
      <c r="BC1803" s="7">
        <v>0.32</v>
      </c>
      <c r="BD1803">
        <v>30</v>
      </c>
      <c r="BE1803">
        <v>0</v>
      </c>
      <c r="BF1803">
        <v>0</v>
      </c>
      <c r="BG1803">
        <v>0</v>
      </c>
      <c r="BH1803">
        <v>5</v>
      </c>
      <c r="BI1803">
        <v>2.4</v>
      </c>
      <c r="BJ1803">
        <v>31</v>
      </c>
      <c r="BK1803">
        <v>0</v>
      </c>
      <c r="BL1803">
        <v>0</v>
      </c>
      <c r="BM1803">
        <v>0</v>
      </c>
      <c r="BN1803">
        <v>5</v>
      </c>
      <c r="BO1803">
        <v>2.4</v>
      </c>
      <c r="BP1803">
        <v>36</v>
      </c>
      <c r="BQ1803">
        <v>0</v>
      </c>
      <c r="BR1803">
        <v>0</v>
      </c>
      <c r="BS1803">
        <v>0</v>
      </c>
      <c r="BT1803">
        <v>5</v>
      </c>
      <c r="BU1803">
        <v>1.5</v>
      </c>
    </row>
  </sheetData>
  <autoFilter ref="A23:CA1803" xr:uid="{C905CCBC-1A8D-473F-AF09-C07905632338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783"/>
  <sheetViews>
    <sheetView workbookViewId="0">
      <pane xSplit="1" ySplit="3" topLeftCell="B1747" activePane="bottomRight" state="frozenSplit"/>
      <selection pane="topRight"/>
      <selection pane="bottomLeft"/>
      <selection pane="bottomRight" activeCell="F1783" sqref="B1783:F1783"/>
    </sheetView>
  </sheetViews>
  <sheetFormatPr defaultColWidth="9" defaultRowHeight="13.5" x14ac:dyDescent="0.15"/>
  <cols>
    <col min="2" max="2" width="17.25" customWidth="1"/>
    <col min="3" max="5" width="19.375" customWidth="1"/>
    <col min="6" max="6" width="21.625" style="4" bestFit="1" customWidth="1"/>
    <col min="7" max="7" width="16.125" customWidth="1"/>
    <col min="35" max="35" width="6.5" customWidth="1"/>
    <col min="36" max="36" width="5.5" customWidth="1"/>
    <col min="37" max="37" width="4.5" customWidth="1"/>
  </cols>
  <sheetData>
    <row r="1" spans="1:32" x14ac:dyDescent="0.15">
      <c r="B1" s="1" t="s">
        <v>10</v>
      </c>
      <c r="C1" s="1" t="s">
        <v>11</v>
      </c>
      <c r="D1" s="1" t="s">
        <v>12</v>
      </c>
      <c r="E1" s="1" t="s">
        <v>13</v>
      </c>
      <c r="F1" s="16" t="s">
        <v>105</v>
      </c>
      <c r="G1" s="1"/>
      <c r="I1" s="1"/>
    </row>
    <row r="2" spans="1:32" x14ac:dyDescent="0.15">
      <c r="B2" s="1" t="s">
        <v>21</v>
      </c>
      <c r="C2" s="1" t="s">
        <v>21</v>
      </c>
      <c r="D2" s="1" t="s">
        <v>21</v>
      </c>
      <c r="E2" s="1" t="s">
        <v>21</v>
      </c>
      <c r="F2" s="16" t="s">
        <v>21</v>
      </c>
      <c r="G2" s="1"/>
      <c r="H2">
        <v>1</v>
      </c>
      <c r="I2" s="1"/>
      <c r="M2">
        <v>2</v>
      </c>
      <c r="R2">
        <v>3</v>
      </c>
      <c r="W2">
        <v>4</v>
      </c>
      <c r="AB2">
        <v>5</v>
      </c>
    </row>
    <row r="3" spans="1:32" x14ac:dyDescent="0.15">
      <c r="B3" s="1" t="s">
        <v>34</v>
      </c>
      <c r="C3" s="1" t="s">
        <v>35</v>
      </c>
      <c r="D3" s="1" t="s">
        <v>36</v>
      </c>
      <c r="E3" s="1" t="s">
        <v>37</v>
      </c>
      <c r="F3" s="16" t="s">
        <v>38</v>
      </c>
      <c r="G3" s="1"/>
      <c r="H3" t="s">
        <v>99</v>
      </c>
      <c r="I3" t="s">
        <v>70</v>
      </c>
      <c r="J3" t="s">
        <v>71</v>
      </c>
      <c r="K3" t="s">
        <v>72</v>
      </c>
      <c r="L3" t="s">
        <v>100</v>
      </c>
      <c r="M3" t="s">
        <v>99</v>
      </c>
      <c r="N3" t="s">
        <v>70</v>
      </c>
      <c r="O3" t="s">
        <v>71</v>
      </c>
      <c r="P3" t="s">
        <v>72</v>
      </c>
      <c r="Q3" t="s">
        <v>100</v>
      </c>
      <c r="R3" t="s">
        <v>99</v>
      </c>
      <c r="S3" t="s">
        <v>70</v>
      </c>
      <c r="T3" t="s">
        <v>71</v>
      </c>
      <c r="U3" t="s">
        <v>72</v>
      </c>
      <c r="V3" t="s">
        <v>100</v>
      </c>
      <c r="W3" t="s">
        <v>99</v>
      </c>
      <c r="X3" t="s">
        <v>70</v>
      </c>
      <c r="Y3" t="s">
        <v>71</v>
      </c>
      <c r="Z3" t="s">
        <v>72</v>
      </c>
      <c r="AA3" t="s">
        <v>100</v>
      </c>
      <c r="AB3" t="s">
        <v>99</v>
      </c>
      <c r="AC3" t="s">
        <v>70</v>
      </c>
      <c r="AD3" t="s">
        <v>71</v>
      </c>
      <c r="AE3" t="s">
        <v>72</v>
      </c>
      <c r="AF3" t="s">
        <v>100</v>
      </c>
    </row>
    <row r="4" spans="1:32" ht="14.25" x14ac:dyDescent="0.2">
      <c r="A4" s="10">
        <v>101</v>
      </c>
      <c r="B4" s="2" t="s">
        <v>135</v>
      </c>
      <c r="C4" t="s">
        <v>183</v>
      </c>
      <c r="D4" t="s">
        <v>125</v>
      </c>
      <c r="E4" t="s">
        <v>121</v>
      </c>
      <c r="F4" s="4" t="s">
        <v>189</v>
      </c>
      <c r="H4">
        <v>2</v>
      </c>
      <c r="I4" s="1">
        <v>0</v>
      </c>
      <c r="J4">
        <v>0</v>
      </c>
      <c r="K4">
        <v>0</v>
      </c>
      <c r="L4" s="20">
        <v>120</v>
      </c>
      <c r="M4">
        <v>1</v>
      </c>
      <c r="N4">
        <v>0</v>
      </c>
      <c r="O4">
        <v>0</v>
      </c>
      <c r="P4">
        <v>0</v>
      </c>
      <c r="Q4" s="22">
        <v>800</v>
      </c>
      <c r="R4">
        <v>3</v>
      </c>
      <c r="S4" s="1">
        <v>0</v>
      </c>
      <c r="T4">
        <v>0</v>
      </c>
      <c r="U4">
        <v>0</v>
      </c>
      <c r="V4" s="21">
        <v>500</v>
      </c>
      <c r="W4">
        <v>5</v>
      </c>
      <c r="X4">
        <v>3032400</v>
      </c>
      <c r="Y4">
        <v>1</v>
      </c>
      <c r="Z4">
        <v>0</v>
      </c>
      <c r="AA4">
        <v>1</v>
      </c>
    </row>
    <row r="5" spans="1:32" ht="14.25" x14ac:dyDescent="0.2">
      <c r="A5" s="10">
        <v>102</v>
      </c>
      <c r="B5" t="s">
        <v>122</v>
      </c>
      <c r="C5" t="s">
        <v>121</v>
      </c>
      <c r="D5" t="s">
        <v>121</v>
      </c>
      <c r="E5" t="s">
        <v>121</v>
      </c>
      <c r="F5" s="4" t="s">
        <v>190</v>
      </c>
      <c r="H5">
        <v>2</v>
      </c>
      <c r="I5" s="1">
        <v>0</v>
      </c>
      <c r="J5">
        <v>0</v>
      </c>
      <c r="K5">
        <v>0</v>
      </c>
      <c r="L5" s="20">
        <v>120</v>
      </c>
      <c r="M5">
        <v>1</v>
      </c>
      <c r="N5">
        <v>0</v>
      </c>
      <c r="O5">
        <v>0</v>
      </c>
      <c r="P5">
        <v>0</v>
      </c>
      <c r="Q5" s="22">
        <v>800</v>
      </c>
      <c r="R5">
        <v>3</v>
      </c>
      <c r="S5" s="1">
        <v>0</v>
      </c>
      <c r="T5">
        <v>0</v>
      </c>
      <c r="U5">
        <v>0</v>
      </c>
      <c r="V5" s="21">
        <v>500</v>
      </c>
      <c r="W5">
        <v>4</v>
      </c>
      <c r="X5">
        <v>0</v>
      </c>
      <c r="Y5">
        <v>0</v>
      </c>
      <c r="Z5">
        <v>0</v>
      </c>
      <c r="AA5">
        <v>10</v>
      </c>
    </row>
    <row r="6" spans="1:32" ht="14.25" x14ac:dyDescent="0.2">
      <c r="A6" s="10">
        <v>103</v>
      </c>
      <c r="B6" t="s">
        <v>185</v>
      </c>
      <c r="C6" t="s">
        <v>186</v>
      </c>
      <c r="D6" s="2" t="s">
        <v>187</v>
      </c>
      <c r="E6" t="s">
        <v>188</v>
      </c>
      <c r="F6" s="4" t="s">
        <v>191</v>
      </c>
      <c r="H6">
        <v>2</v>
      </c>
      <c r="I6" s="1">
        <v>0</v>
      </c>
      <c r="J6">
        <v>0</v>
      </c>
      <c r="K6">
        <v>0</v>
      </c>
      <c r="L6" s="20">
        <v>120</v>
      </c>
      <c r="M6">
        <v>1</v>
      </c>
      <c r="N6">
        <v>0</v>
      </c>
      <c r="O6">
        <v>0</v>
      </c>
      <c r="P6">
        <v>0</v>
      </c>
      <c r="Q6" s="22">
        <v>800</v>
      </c>
      <c r="R6">
        <v>3</v>
      </c>
      <c r="S6" s="1">
        <v>0</v>
      </c>
      <c r="T6">
        <v>0</v>
      </c>
      <c r="U6">
        <v>0</v>
      </c>
      <c r="V6" s="21">
        <v>500</v>
      </c>
      <c r="W6">
        <v>5</v>
      </c>
      <c r="X6">
        <v>3031202</v>
      </c>
      <c r="Y6">
        <v>1</v>
      </c>
      <c r="Z6">
        <v>0</v>
      </c>
      <c r="AA6">
        <v>1</v>
      </c>
      <c r="AB6">
        <v>7</v>
      </c>
      <c r="AC6">
        <v>1</v>
      </c>
      <c r="AD6">
        <v>0</v>
      </c>
      <c r="AE6">
        <v>0</v>
      </c>
      <c r="AF6">
        <v>1</v>
      </c>
    </row>
    <row r="7" spans="1:32" ht="14.25" x14ac:dyDescent="0.2">
      <c r="A7" s="10">
        <v>104</v>
      </c>
      <c r="B7" t="s">
        <v>122</v>
      </c>
      <c r="C7" t="s">
        <v>121</v>
      </c>
      <c r="D7" t="s">
        <v>121</v>
      </c>
      <c r="E7" t="s">
        <v>121</v>
      </c>
      <c r="F7" s="4" t="s">
        <v>190</v>
      </c>
      <c r="H7">
        <v>2</v>
      </c>
      <c r="I7" s="1">
        <v>0</v>
      </c>
      <c r="J7">
        <v>0</v>
      </c>
      <c r="K7">
        <v>0</v>
      </c>
      <c r="L7" s="20">
        <v>120</v>
      </c>
      <c r="M7">
        <v>1</v>
      </c>
      <c r="N7">
        <v>0</v>
      </c>
      <c r="O7">
        <v>0</v>
      </c>
      <c r="P7">
        <v>0</v>
      </c>
      <c r="Q7" s="22">
        <v>800</v>
      </c>
      <c r="R7">
        <v>3</v>
      </c>
      <c r="S7" s="1">
        <v>0</v>
      </c>
      <c r="T7">
        <v>0</v>
      </c>
      <c r="U7">
        <v>0</v>
      </c>
      <c r="V7" s="21">
        <v>500</v>
      </c>
      <c r="W7">
        <v>4</v>
      </c>
      <c r="X7">
        <v>0</v>
      </c>
      <c r="Y7">
        <v>0</v>
      </c>
      <c r="Z7">
        <v>0</v>
      </c>
      <c r="AA7">
        <v>10</v>
      </c>
    </row>
    <row r="8" spans="1:32" ht="14.25" x14ac:dyDescent="0.2">
      <c r="A8" s="10">
        <v>105</v>
      </c>
      <c r="B8" s="5" t="s">
        <v>124</v>
      </c>
      <c r="C8" t="s">
        <v>127</v>
      </c>
      <c r="D8" t="s">
        <v>121</v>
      </c>
      <c r="E8" t="s">
        <v>121</v>
      </c>
      <c r="F8" s="4" t="s">
        <v>192</v>
      </c>
      <c r="H8">
        <v>2</v>
      </c>
      <c r="I8" s="1">
        <v>0</v>
      </c>
      <c r="J8">
        <v>0</v>
      </c>
      <c r="K8">
        <v>0</v>
      </c>
      <c r="L8" s="20">
        <v>240</v>
      </c>
      <c r="M8">
        <v>1</v>
      </c>
      <c r="N8">
        <v>0</v>
      </c>
      <c r="O8">
        <v>0</v>
      </c>
      <c r="P8">
        <v>0</v>
      </c>
      <c r="Q8" s="22">
        <v>800</v>
      </c>
      <c r="R8">
        <v>3</v>
      </c>
      <c r="S8" s="1">
        <v>0</v>
      </c>
      <c r="T8">
        <v>0</v>
      </c>
      <c r="U8">
        <v>0</v>
      </c>
      <c r="V8" s="21">
        <v>500</v>
      </c>
      <c r="W8">
        <v>7</v>
      </c>
      <c r="X8">
        <v>2</v>
      </c>
      <c r="Y8">
        <v>0</v>
      </c>
      <c r="Z8">
        <v>0</v>
      </c>
      <c r="AA8">
        <v>1</v>
      </c>
    </row>
    <row r="9" spans="1:32" ht="14.25" x14ac:dyDescent="0.2">
      <c r="A9" s="10">
        <v>106</v>
      </c>
      <c r="B9" t="s">
        <v>135</v>
      </c>
      <c r="C9" t="s">
        <v>184</v>
      </c>
      <c r="D9" t="s">
        <v>125</v>
      </c>
      <c r="E9" s="2" t="s">
        <v>121</v>
      </c>
      <c r="F9" s="4" t="s">
        <v>193</v>
      </c>
      <c r="H9">
        <v>2</v>
      </c>
      <c r="I9" s="1">
        <v>0</v>
      </c>
      <c r="J9">
        <v>0</v>
      </c>
      <c r="K9">
        <v>0</v>
      </c>
      <c r="L9" s="20">
        <v>240</v>
      </c>
      <c r="M9">
        <v>1</v>
      </c>
      <c r="N9">
        <v>0</v>
      </c>
      <c r="O9">
        <v>0</v>
      </c>
      <c r="P9">
        <v>0</v>
      </c>
      <c r="Q9" s="22">
        <v>1200</v>
      </c>
      <c r="R9">
        <v>3</v>
      </c>
      <c r="S9" s="1">
        <v>0</v>
      </c>
      <c r="T9">
        <v>0</v>
      </c>
      <c r="U9">
        <v>0</v>
      </c>
      <c r="V9" s="21">
        <v>600</v>
      </c>
      <c r="W9">
        <v>5</v>
      </c>
      <c r="X9">
        <v>3041301</v>
      </c>
      <c r="Y9">
        <v>1</v>
      </c>
      <c r="Z9">
        <v>0</v>
      </c>
      <c r="AA9">
        <v>1</v>
      </c>
    </row>
    <row r="10" spans="1:32" ht="14.25" x14ac:dyDescent="0.2">
      <c r="A10" s="10">
        <v>107</v>
      </c>
      <c r="B10" t="s">
        <v>124</v>
      </c>
      <c r="C10" t="s">
        <v>136</v>
      </c>
      <c r="D10" t="s">
        <v>121</v>
      </c>
      <c r="E10" t="s">
        <v>121</v>
      </c>
      <c r="F10" s="4" t="s">
        <v>193</v>
      </c>
      <c r="H10">
        <v>2</v>
      </c>
      <c r="I10" s="1">
        <v>0</v>
      </c>
      <c r="J10">
        <v>0</v>
      </c>
      <c r="K10">
        <v>0</v>
      </c>
      <c r="L10" s="20">
        <v>240</v>
      </c>
      <c r="M10">
        <v>1</v>
      </c>
      <c r="N10">
        <v>0</v>
      </c>
      <c r="O10">
        <v>0</v>
      </c>
      <c r="P10">
        <v>0</v>
      </c>
      <c r="Q10" s="22">
        <v>1200</v>
      </c>
      <c r="R10">
        <v>3</v>
      </c>
      <c r="S10" s="1">
        <v>0</v>
      </c>
      <c r="T10">
        <v>0</v>
      </c>
      <c r="U10">
        <v>0</v>
      </c>
      <c r="V10" s="21">
        <v>600</v>
      </c>
      <c r="W10">
        <v>7</v>
      </c>
      <c r="X10">
        <v>3</v>
      </c>
      <c r="Y10">
        <v>0</v>
      </c>
      <c r="Z10">
        <v>0</v>
      </c>
      <c r="AA10">
        <v>1</v>
      </c>
    </row>
    <row r="11" spans="1:32" ht="14.25" x14ac:dyDescent="0.2">
      <c r="A11" s="10">
        <v>108</v>
      </c>
      <c r="B11" t="s">
        <v>176</v>
      </c>
      <c r="C11" t="s">
        <v>121</v>
      </c>
      <c r="D11" t="s">
        <v>121</v>
      </c>
      <c r="E11" t="s">
        <v>121</v>
      </c>
      <c r="F11" s="4" t="s">
        <v>193</v>
      </c>
      <c r="H11">
        <v>2</v>
      </c>
      <c r="I11" s="1">
        <v>0</v>
      </c>
      <c r="J11">
        <v>0</v>
      </c>
      <c r="K11">
        <v>0</v>
      </c>
      <c r="L11" s="20">
        <v>240</v>
      </c>
      <c r="M11">
        <v>1</v>
      </c>
      <c r="N11">
        <v>0</v>
      </c>
      <c r="O11">
        <v>0</v>
      </c>
      <c r="P11">
        <v>0</v>
      </c>
      <c r="Q11" s="22">
        <v>1200</v>
      </c>
      <c r="R11">
        <v>3</v>
      </c>
      <c r="S11" s="1">
        <v>0</v>
      </c>
      <c r="T11">
        <v>0</v>
      </c>
      <c r="U11">
        <v>0</v>
      </c>
      <c r="V11" s="21">
        <v>600</v>
      </c>
      <c r="W11">
        <v>14</v>
      </c>
      <c r="X11">
        <v>0</v>
      </c>
      <c r="Y11">
        <v>0</v>
      </c>
      <c r="Z11">
        <v>0</v>
      </c>
      <c r="AA11">
        <v>1</v>
      </c>
    </row>
    <row r="12" spans="1:32" ht="14.25" x14ac:dyDescent="0.2">
      <c r="A12" s="10">
        <v>201</v>
      </c>
      <c r="B12" t="s">
        <v>123</v>
      </c>
      <c r="C12" t="s">
        <v>121</v>
      </c>
      <c r="D12" t="s">
        <v>121</v>
      </c>
      <c r="E12" t="s">
        <v>121</v>
      </c>
      <c r="F12" s="4" t="s">
        <v>200</v>
      </c>
      <c r="H12">
        <v>2</v>
      </c>
      <c r="I12" s="1">
        <v>0</v>
      </c>
      <c r="J12">
        <v>0</v>
      </c>
      <c r="K12">
        <v>0</v>
      </c>
      <c r="L12" s="20">
        <v>600</v>
      </c>
      <c r="M12">
        <v>1</v>
      </c>
      <c r="N12">
        <v>0</v>
      </c>
      <c r="O12">
        <v>0</v>
      </c>
      <c r="P12">
        <v>0</v>
      </c>
      <c r="Q12" s="22">
        <v>1200</v>
      </c>
      <c r="R12">
        <v>3</v>
      </c>
      <c r="S12" s="1">
        <v>0</v>
      </c>
      <c r="T12">
        <v>0</v>
      </c>
      <c r="U12">
        <v>0</v>
      </c>
      <c r="V12" s="21">
        <v>600</v>
      </c>
      <c r="W12">
        <v>12</v>
      </c>
      <c r="X12">
        <v>0</v>
      </c>
      <c r="Y12">
        <v>0</v>
      </c>
      <c r="Z12">
        <v>0</v>
      </c>
      <c r="AA12">
        <v>10</v>
      </c>
    </row>
    <row r="13" spans="1:32" ht="14.25" x14ac:dyDescent="0.2">
      <c r="A13" s="10">
        <v>202</v>
      </c>
      <c r="B13" t="s">
        <v>123</v>
      </c>
      <c r="C13" t="s">
        <v>121</v>
      </c>
      <c r="D13" t="s">
        <v>121</v>
      </c>
      <c r="E13" t="s">
        <v>121</v>
      </c>
      <c r="F13" s="4" t="s">
        <v>200</v>
      </c>
      <c r="H13">
        <v>2</v>
      </c>
      <c r="I13" s="1">
        <v>0</v>
      </c>
      <c r="J13">
        <v>0</v>
      </c>
      <c r="K13">
        <v>0</v>
      </c>
      <c r="L13" s="20">
        <v>600</v>
      </c>
      <c r="M13">
        <v>1</v>
      </c>
      <c r="N13">
        <v>0</v>
      </c>
      <c r="O13">
        <v>0</v>
      </c>
      <c r="P13">
        <v>0</v>
      </c>
      <c r="Q13" s="22">
        <v>1200</v>
      </c>
      <c r="R13">
        <v>3</v>
      </c>
      <c r="S13" s="1">
        <v>0</v>
      </c>
      <c r="T13">
        <v>0</v>
      </c>
      <c r="U13">
        <v>0</v>
      </c>
      <c r="V13" s="21">
        <v>600</v>
      </c>
      <c r="W13">
        <v>12</v>
      </c>
      <c r="X13">
        <v>0</v>
      </c>
      <c r="Y13">
        <v>0</v>
      </c>
      <c r="Z13">
        <v>0</v>
      </c>
      <c r="AA13">
        <v>10</v>
      </c>
    </row>
    <row r="14" spans="1:32" ht="14.25" x14ac:dyDescent="0.2">
      <c r="A14" s="10">
        <v>203</v>
      </c>
      <c r="B14" t="s">
        <v>124</v>
      </c>
      <c r="C14" t="s">
        <v>128</v>
      </c>
      <c r="D14" t="s">
        <v>121</v>
      </c>
      <c r="E14" t="s">
        <v>121</v>
      </c>
      <c r="F14" s="4" t="s">
        <v>202</v>
      </c>
      <c r="H14">
        <v>2</v>
      </c>
      <c r="I14" s="1">
        <v>0</v>
      </c>
      <c r="J14">
        <v>0</v>
      </c>
      <c r="K14">
        <v>0</v>
      </c>
      <c r="L14" s="20">
        <v>600</v>
      </c>
      <c r="M14">
        <v>1</v>
      </c>
      <c r="N14">
        <v>0</v>
      </c>
      <c r="O14">
        <v>0</v>
      </c>
      <c r="P14">
        <v>0</v>
      </c>
      <c r="Q14" s="22">
        <v>1800</v>
      </c>
      <c r="R14">
        <v>3</v>
      </c>
      <c r="S14" s="1">
        <v>0</v>
      </c>
      <c r="T14">
        <v>0</v>
      </c>
      <c r="U14">
        <v>0</v>
      </c>
      <c r="V14" s="21">
        <v>900</v>
      </c>
      <c r="W14">
        <v>7</v>
      </c>
      <c r="X14">
        <v>4</v>
      </c>
      <c r="Y14">
        <v>0</v>
      </c>
      <c r="Z14">
        <v>0</v>
      </c>
      <c r="AA14">
        <v>1</v>
      </c>
    </row>
    <row r="15" spans="1:32" ht="14.25" x14ac:dyDescent="0.2">
      <c r="A15" s="10">
        <v>204</v>
      </c>
      <c r="B15" t="s">
        <v>123</v>
      </c>
      <c r="C15" t="s">
        <v>121</v>
      </c>
      <c r="D15" t="s">
        <v>121</v>
      </c>
      <c r="E15" t="s">
        <v>121</v>
      </c>
      <c r="F15" s="4" t="s">
        <v>204</v>
      </c>
      <c r="H15">
        <v>2</v>
      </c>
      <c r="I15" s="1">
        <v>0</v>
      </c>
      <c r="J15">
        <v>0</v>
      </c>
      <c r="K15">
        <v>0</v>
      </c>
      <c r="L15" s="20">
        <v>600</v>
      </c>
      <c r="M15">
        <v>1</v>
      </c>
      <c r="N15">
        <v>0</v>
      </c>
      <c r="O15">
        <v>0</v>
      </c>
      <c r="P15">
        <v>0</v>
      </c>
      <c r="Q15" s="22">
        <v>1800</v>
      </c>
      <c r="R15">
        <v>3</v>
      </c>
      <c r="S15" s="1">
        <v>0</v>
      </c>
      <c r="T15">
        <v>0</v>
      </c>
      <c r="U15">
        <v>0</v>
      </c>
      <c r="V15" s="21">
        <v>900</v>
      </c>
      <c r="W15">
        <v>12</v>
      </c>
      <c r="X15">
        <v>0</v>
      </c>
      <c r="Y15">
        <v>0</v>
      </c>
      <c r="Z15">
        <v>0</v>
      </c>
      <c r="AA15">
        <v>10</v>
      </c>
    </row>
    <row r="16" spans="1:32" ht="14.25" x14ac:dyDescent="0.2">
      <c r="A16" s="10">
        <v>205</v>
      </c>
      <c r="B16" t="s">
        <v>124</v>
      </c>
      <c r="C16" t="s">
        <v>125</v>
      </c>
      <c r="D16" t="s">
        <v>121</v>
      </c>
      <c r="E16" t="s">
        <v>121</v>
      </c>
      <c r="F16" s="4" t="s">
        <v>206</v>
      </c>
      <c r="H16">
        <v>2</v>
      </c>
      <c r="I16" s="1">
        <v>0</v>
      </c>
      <c r="J16">
        <v>0</v>
      </c>
      <c r="K16">
        <v>0</v>
      </c>
      <c r="L16" s="20">
        <v>600</v>
      </c>
      <c r="M16">
        <v>1</v>
      </c>
      <c r="N16">
        <v>0</v>
      </c>
      <c r="O16">
        <v>0</v>
      </c>
      <c r="P16">
        <v>0</v>
      </c>
      <c r="Q16" s="22">
        <v>1800</v>
      </c>
      <c r="R16">
        <v>3</v>
      </c>
      <c r="S16" s="1">
        <v>0</v>
      </c>
      <c r="T16">
        <v>0</v>
      </c>
      <c r="U16">
        <v>0</v>
      </c>
      <c r="V16" s="21">
        <v>900</v>
      </c>
      <c r="W16">
        <v>7</v>
      </c>
      <c r="X16">
        <v>1</v>
      </c>
      <c r="Y16">
        <v>0</v>
      </c>
      <c r="Z16">
        <v>0</v>
      </c>
      <c r="AA16">
        <v>3</v>
      </c>
    </row>
    <row r="17" spans="1:27" ht="14.25" x14ac:dyDescent="0.2">
      <c r="A17" s="10">
        <v>206</v>
      </c>
      <c r="B17" t="s">
        <v>123</v>
      </c>
      <c r="C17" t="s">
        <v>121</v>
      </c>
      <c r="D17" t="s">
        <v>121</v>
      </c>
      <c r="E17" t="s">
        <v>121</v>
      </c>
      <c r="F17" s="4" t="s">
        <v>208</v>
      </c>
      <c r="H17">
        <v>2</v>
      </c>
      <c r="I17" s="1">
        <v>0</v>
      </c>
      <c r="J17">
        <v>0</v>
      </c>
      <c r="K17">
        <v>0</v>
      </c>
      <c r="L17" s="20">
        <v>800</v>
      </c>
      <c r="M17">
        <v>1</v>
      </c>
      <c r="N17">
        <v>0</v>
      </c>
      <c r="O17">
        <v>0</v>
      </c>
      <c r="P17">
        <v>0</v>
      </c>
      <c r="Q17" s="22">
        <v>1800</v>
      </c>
      <c r="R17">
        <v>3</v>
      </c>
      <c r="S17" s="1">
        <v>0</v>
      </c>
      <c r="T17">
        <v>0</v>
      </c>
      <c r="U17">
        <v>0</v>
      </c>
      <c r="V17" s="21">
        <v>900</v>
      </c>
      <c r="W17">
        <v>12</v>
      </c>
      <c r="X17">
        <v>0</v>
      </c>
      <c r="Y17">
        <v>0</v>
      </c>
      <c r="Z17">
        <v>0</v>
      </c>
      <c r="AA17">
        <v>10</v>
      </c>
    </row>
    <row r="18" spans="1:27" ht="14.25" x14ac:dyDescent="0.2">
      <c r="A18" s="10">
        <v>207</v>
      </c>
      <c r="B18" t="s">
        <v>123</v>
      </c>
      <c r="C18" t="s">
        <v>121</v>
      </c>
      <c r="D18" t="s">
        <v>121</v>
      </c>
      <c r="E18" t="s">
        <v>121</v>
      </c>
      <c r="F18" s="4" t="s">
        <v>208</v>
      </c>
      <c r="H18">
        <v>2</v>
      </c>
      <c r="I18" s="1">
        <v>0</v>
      </c>
      <c r="J18">
        <v>0</v>
      </c>
      <c r="K18">
        <v>0</v>
      </c>
      <c r="L18" s="20">
        <v>800</v>
      </c>
      <c r="M18">
        <v>1</v>
      </c>
      <c r="N18">
        <v>0</v>
      </c>
      <c r="O18">
        <v>0</v>
      </c>
      <c r="P18">
        <v>0</v>
      </c>
      <c r="Q18" s="22">
        <v>1800</v>
      </c>
      <c r="R18">
        <v>3</v>
      </c>
      <c r="S18" s="1">
        <v>0</v>
      </c>
      <c r="T18">
        <v>0</v>
      </c>
      <c r="U18">
        <v>0</v>
      </c>
      <c r="V18" s="21">
        <v>900</v>
      </c>
      <c r="W18">
        <v>12</v>
      </c>
      <c r="X18">
        <v>0</v>
      </c>
      <c r="Y18">
        <v>0</v>
      </c>
      <c r="Z18">
        <v>0</v>
      </c>
      <c r="AA18">
        <v>10</v>
      </c>
    </row>
    <row r="19" spans="1:27" ht="14.25" x14ac:dyDescent="0.2">
      <c r="A19" s="10">
        <v>208</v>
      </c>
      <c r="B19" t="s">
        <v>126</v>
      </c>
      <c r="C19" t="s">
        <v>121</v>
      </c>
      <c r="D19" t="s">
        <v>121</v>
      </c>
      <c r="E19" t="s">
        <v>121</v>
      </c>
      <c r="F19" s="4" t="s">
        <v>210</v>
      </c>
      <c r="H19">
        <v>2</v>
      </c>
      <c r="I19" s="1">
        <v>0</v>
      </c>
      <c r="J19">
        <v>0</v>
      </c>
      <c r="K19">
        <v>0</v>
      </c>
      <c r="L19" s="20">
        <v>800</v>
      </c>
      <c r="M19">
        <v>1</v>
      </c>
      <c r="N19">
        <v>0</v>
      </c>
      <c r="O19">
        <v>0</v>
      </c>
      <c r="P19">
        <v>0</v>
      </c>
      <c r="Q19" s="22">
        <v>2400</v>
      </c>
      <c r="R19">
        <v>3</v>
      </c>
      <c r="S19" s="1">
        <v>0</v>
      </c>
      <c r="T19">
        <v>0</v>
      </c>
      <c r="U19">
        <v>0</v>
      </c>
      <c r="V19" s="21">
        <v>1200</v>
      </c>
      <c r="W19">
        <v>23</v>
      </c>
      <c r="X19">
        <v>0</v>
      </c>
      <c r="Y19">
        <v>0</v>
      </c>
      <c r="Z19">
        <v>0</v>
      </c>
      <c r="AA19">
        <v>2</v>
      </c>
    </row>
    <row r="20" spans="1:27" ht="14.25" x14ac:dyDescent="0.2">
      <c r="A20" s="10">
        <v>209</v>
      </c>
      <c r="B20" t="s">
        <v>124</v>
      </c>
      <c r="C20" t="s">
        <v>127</v>
      </c>
      <c r="D20" t="s">
        <v>121</v>
      </c>
      <c r="E20" t="s">
        <v>121</v>
      </c>
      <c r="F20" s="4" t="s">
        <v>212</v>
      </c>
      <c r="H20">
        <v>2</v>
      </c>
      <c r="I20" s="1">
        <v>0</v>
      </c>
      <c r="J20">
        <v>0</v>
      </c>
      <c r="K20">
        <v>0</v>
      </c>
      <c r="L20" s="20">
        <v>800</v>
      </c>
      <c r="M20">
        <v>1</v>
      </c>
      <c r="N20">
        <v>0</v>
      </c>
      <c r="O20">
        <v>0</v>
      </c>
      <c r="P20">
        <v>0</v>
      </c>
      <c r="Q20" s="22">
        <v>2400</v>
      </c>
      <c r="R20">
        <v>3</v>
      </c>
      <c r="S20" s="1">
        <v>0</v>
      </c>
      <c r="T20">
        <v>0</v>
      </c>
      <c r="U20">
        <v>0</v>
      </c>
      <c r="V20" s="21">
        <v>1200</v>
      </c>
      <c r="W20">
        <v>7</v>
      </c>
      <c r="X20">
        <v>2</v>
      </c>
      <c r="Y20">
        <v>0</v>
      </c>
      <c r="Z20">
        <v>0</v>
      </c>
      <c r="AA20">
        <v>1</v>
      </c>
    </row>
    <row r="21" spans="1:27" ht="14.25" x14ac:dyDescent="0.2">
      <c r="A21" s="10">
        <v>210</v>
      </c>
      <c r="B21" t="s">
        <v>123</v>
      </c>
      <c r="C21" t="s">
        <v>121</v>
      </c>
      <c r="D21" t="s">
        <v>121</v>
      </c>
      <c r="E21" t="s">
        <v>121</v>
      </c>
      <c r="F21" s="17" t="s">
        <v>214</v>
      </c>
      <c r="H21">
        <v>2</v>
      </c>
      <c r="I21" s="1">
        <v>0</v>
      </c>
      <c r="J21">
        <v>0</v>
      </c>
      <c r="K21">
        <v>0</v>
      </c>
      <c r="L21" s="20">
        <v>800</v>
      </c>
      <c r="M21">
        <v>1</v>
      </c>
      <c r="N21">
        <v>0</v>
      </c>
      <c r="O21">
        <v>0</v>
      </c>
      <c r="P21">
        <v>0</v>
      </c>
      <c r="Q21" s="22">
        <v>2400</v>
      </c>
      <c r="R21">
        <v>3</v>
      </c>
      <c r="S21" s="1">
        <v>0</v>
      </c>
      <c r="T21">
        <v>0</v>
      </c>
      <c r="U21">
        <v>0</v>
      </c>
      <c r="V21" s="21">
        <v>1200</v>
      </c>
      <c r="W21">
        <v>12</v>
      </c>
      <c r="X21">
        <v>0</v>
      </c>
      <c r="Y21">
        <v>0</v>
      </c>
      <c r="Z21">
        <v>0</v>
      </c>
      <c r="AA21">
        <v>10</v>
      </c>
    </row>
    <row r="22" spans="1:27" ht="14.25" x14ac:dyDescent="0.2">
      <c r="A22" s="10">
        <v>211</v>
      </c>
      <c r="B22" t="s">
        <v>124</v>
      </c>
      <c r="C22" t="s">
        <v>136</v>
      </c>
      <c r="D22" t="s">
        <v>121</v>
      </c>
      <c r="E22" t="s">
        <v>121</v>
      </c>
      <c r="F22" s="17" t="s">
        <v>212</v>
      </c>
      <c r="H22">
        <v>2</v>
      </c>
      <c r="I22" s="1">
        <v>0</v>
      </c>
      <c r="J22">
        <v>0</v>
      </c>
      <c r="K22">
        <v>0</v>
      </c>
      <c r="L22" s="20">
        <v>800</v>
      </c>
      <c r="M22">
        <v>1</v>
      </c>
      <c r="N22">
        <v>0</v>
      </c>
      <c r="O22">
        <v>0</v>
      </c>
      <c r="P22">
        <v>0</v>
      </c>
      <c r="Q22" s="22">
        <v>2400</v>
      </c>
      <c r="R22">
        <v>3</v>
      </c>
      <c r="S22" s="1">
        <v>0</v>
      </c>
      <c r="T22">
        <v>0</v>
      </c>
      <c r="U22">
        <v>0</v>
      </c>
      <c r="V22" s="21">
        <v>1200</v>
      </c>
      <c r="W22">
        <v>7</v>
      </c>
      <c r="X22">
        <v>3</v>
      </c>
      <c r="Y22">
        <v>0</v>
      </c>
      <c r="Z22">
        <v>0</v>
      </c>
      <c r="AA22">
        <v>1</v>
      </c>
    </row>
    <row r="23" spans="1:27" ht="14.25" x14ac:dyDescent="0.2">
      <c r="A23" s="10">
        <v>212</v>
      </c>
      <c r="B23" t="s">
        <v>126</v>
      </c>
      <c r="C23" t="s">
        <v>121</v>
      </c>
      <c r="D23" t="s">
        <v>121</v>
      </c>
      <c r="E23" t="s">
        <v>121</v>
      </c>
      <c r="F23" s="17" t="s">
        <v>212</v>
      </c>
      <c r="H23">
        <v>2</v>
      </c>
      <c r="I23" s="1">
        <v>0</v>
      </c>
      <c r="J23">
        <v>0</v>
      </c>
      <c r="K23">
        <v>0</v>
      </c>
      <c r="L23" s="20">
        <v>800</v>
      </c>
      <c r="M23">
        <v>1</v>
      </c>
      <c r="N23">
        <v>0</v>
      </c>
      <c r="O23">
        <v>0</v>
      </c>
      <c r="P23">
        <v>0</v>
      </c>
      <c r="Q23" s="22">
        <v>2400</v>
      </c>
      <c r="R23">
        <v>3</v>
      </c>
      <c r="S23" s="1">
        <v>0</v>
      </c>
      <c r="T23">
        <v>0</v>
      </c>
      <c r="U23">
        <v>0</v>
      </c>
      <c r="V23" s="21">
        <v>1200</v>
      </c>
      <c r="W23">
        <v>23</v>
      </c>
      <c r="X23">
        <v>0</v>
      </c>
      <c r="Y23">
        <v>0</v>
      </c>
      <c r="Z23">
        <v>0</v>
      </c>
      <c r="AA23">
        <v>1</v>
      </c>
    </row>
    <row r="24" spans="1:27" ht="14.25" x14ac:dyDescent="0.2">
      <c r="A24" s="10">
        <v>301</v>
      </c>
      <c r="B24" t="s">
        <v>124</v>
      </c>
      <c r="C24" t="s">
        <v>128</v>
      </c>
      <c r="D24" t="s">
        <v>121</v>
      </c>
      <c r="E24" t="s">
        <v>121</v>
      </c>
      <c r="F24" s="4" t="s">
        <v>216</v>
      </c>
      <c r="H24">
        <v>2</v>
      </c>
      <c r="I24" s="1">
        <v>0</v>
      </c>
      <c r="J24">
        <v>0</v>
      </c>
      <c r="K24">
        <v>0</v>
      </c>
      <c r="L24" s="20">
        <v>1000</v>
      </c>
      <c r="M24">
        <v>1</v>
      </c>
      <c r="N24">
        <v>0</v>
      </c>
      <c r="O24">
        <v>0</v>
      </c>
      <c r="P24">
        <v>0</v>
      </c>
      <c r="Q24" s="22">
        <v>2400</v>
      </c>
      <c r="R24">
        <v>3</v>
      </c>
      <c r="S24" s="1">
        <v>0</v>
      </c>
      <c r="T24">
        <v>0</v>
      </c>
      <c r="U24">
        <v>0</v>
      </c>
      <c r="V24" s="21">
        <v>1200</v>
      </c>
      <c r="W24">
        <v>7</v>
      </c>
      <c r="X24">
        <v>4</v>
      </c>
      <c r="Y24">
        <v>0</v>
      </c>
      <c r="Z24">
        <v>0</v>
      </c>
      <c r="AA24">
        <v>1</v>
      </c>
    </row>
    <row r="25" spans="1:27" ht="14.25" x14ac:dyDescent="0.2">
      <c r="A25" s="10">
        <v>302</v>
      </c>
      <c r="B25" t="s">
        <v>123</v>
      </c>
      <c r="C25" t="s">
        <v>121</v>
      </c>
      <c r="D25" t="s">
        <v>121</v>
      </c>
      <c r="E25" t="s">
        <v>121</v>
      </c>
      <c r="F25" s="4" t="s">
        <v>218</v>
      </c>
      <c r="H25">
        <v>2</v>
      </c>
      <c r="I25" s="1">
        <v>0</v>
      </c>
      <c r="J25">
        <v>0</v>
      </c>
      <c r="K25">
        <v>0</v>
      </c>
      <c r="L25" s="20">
        <v>1000</v>
      </c>
      <c r="M25">
        <v>1</v>
      </c>
      <c r="N25">
        <v>0</v>
      </c>
      <c r="O25">
        <v>0</v>
      </c>
      <c r="P25">
        <v>0</v>
      </c>
      <c r="Q25" s="22">
        <v>2400</v>
      </c>
      <c r="R25">
        <v>3</v>
      </c>
      <c r="S25" s="1">
        <v>0</v>
      </c>
      <c r="T25">
        <v>0</v>
      </c>
      <c r="U25">
        <v>0</v>
      </c>
      <c r="V25" s="21">
        <v>1200</v>
      </c>
      <c r="W25">
        <v>12</v>
      </c>
      <c r="X25">
        <v>0</v>
      </c>
      <c r="Y25">
        <v>0</v>
      </c>
      <c r="Z25">
        <v>0</v>
      </c>
      <c r="AA25">
        <v>10</v>
      </c>
    </row>
    <row r="26" spans="1:27" ht="14.25" x14ac:dyDescent="0.2">
      <c r="A26" s="10">
        <v>303</v>
      </c>
      <c r="B26" t="s">
        <v>124</v>
      </c>
      <c r="C26" t="s">
        <v>129</v>
      </c>
      <c r="D26" t="s">
        <v>121</v>
      </c>
      <c r="E26" t="s">
        <v>121</v>
      </c>
      <c r="F26" s="4" t="s">
        <v>220</v>
      </c>
      <c r="H26">
        <v>2</v>
      </c>
      <c r="I26" s="1">
        <v>0</v>
      </c>
      <c r="J26">
        <v>0</v>
      </c>
      <c r="K26">
        <v>0</v>
      </c>
      <c r="L26" s="20">
        <v>1000</v>
      </c>
      <c r="M26">
        <v>1</v>
      </c>
      <c r="N26">
        <v>0</v>
      </c>
      <c r="O26">
        <v>0</v>
      </c>
      <c r="P26">
        <v>0</v>
      </c>
      <c r="Q26" s="22">
        <v>3000</v>
      </c>
      <c r="R26">
        <v>3</v>
      </c>
      <c r="S26" s="1">
        <v>0</v>
      </c>
      <c r="T26">
        <v>0</v>
      </c>
      <c r="U26">
        <v>0</v>
      </c>
      <c r="V26" s="21">
        <v>1500</v>
      </c>
      <c r="W26">
        <v>7</v>
      </c>
      <c r="X26">
        <v>5</v>
      </c>
      <c r="Y26">
        <v>0</v>
      </c>
      <c r="Z26">
        <v>0</v>
      </c>
      <c r="AA26">
        <v>1</v>
      </c>
    </row>
    <row r="27" spans="1:27" ht="14.25" x14ac:dyDescent="0.2">
      <c r="A27" s="10">
        <v>304</v>
      </c>
      <c r="B27" t="s">
        <v>123</v>
      </c>
      <c r="C27" t="s">
        <v>121</v>
      </c>
      <c r="D27" t="s">
        <v>121</v>
      </c>
      <c r="E27" t="s">
        <v>121</v>
      </c>
      <c r="F27" s="4" t="s">
        <v>222</v>
      </c>
      <c r="H27">
        <v>2</v>
      </c>
      <c r="I27" s="1">
        <v>0</v>
      </c>
      <c r="J27">
        <v>0</v>
      </c>
      <c r="K27">
        <v>0</v>
      </c>
      <c r="L27" s="20">
        <v>1000</v>
      </c>
      <c r="M27">
        <v>1</v>
      </c>
      <c r="N27">
        <v>0</v>
      </c>
      <c r="O27">
        <v>0</v>
      </c>
      <c r="P27">
        <v>0</v>
      </c>
      <c r="Q27" s="22">
        <v>3000</v>
      </c>
      <c r="R27">
        <v>3</v>
      </c>
      <c r="S27" s="1">
        <v>0</v>
      </c>
      <c r="T27">
        <v>0</v>
      </c>
      <c r="U27">
        <v>0</v>
      </c>
      <c r="V27" s="21">
        <v>1500</v>
      </c>
      <c r="W27">
        <v>12</v>
      </c>
      <c r="X27">
        <v>0</v>
      </c>
      <c r="Y27">
        <v>0</v>
      </c>
      <c r="Z27">
        <v>0</v>
      </c>
      <c r="AA27">
        <v>10</v>
      </c>
    </row>
    <row r="28" spans="1:27" ht="14.25" x14ac:dyDescent="0.2">
      <c r="A28" s="10">
        <v>305</v>
      </c>
      <c r="B28" s="5" t="s">
        <v>124</v>
      </c>
      <c r="C28" t="s">
        <v>137</v>
      </c>
      <c r="D28" t="s">
        <v>121</v>
      </c>
      <c r="E28" t="s">
        <v>121</v>
      </c>
      <c r="F28" s="4" t="s">
        <v>220</v>
      </c>
      <c r="H28">
        <v>2</v>
      </c>
      <c r="I28" s="1">
        <v>0</v>
      </c>
      <c r="J28">
        <v>0</v>
      </c>
      <c r="K28">
        <v>0</v>
      </c>
      <c r="L28" s="20">
        <v>1000</v>
      </c>
      <c r="M28">
        <v>1</v>
      </c>
      <c r="N28">
        <v>0</v>
      </c>
      <c r="O28">
        <v>0</v>
      </c>
      <c r="P28">
        <v>0</v>
      </c>
      <c r="Q28" s="22">
        <v>3000</v>
      </c>
      <c r="R28">
        <v>3</v>
      </c>
      <c r="S28" s="1">
        <v>0</v>
      </c>
      <c r="T28">
        <v>0</v>
      </c>
      <c r="U28">
        <v>0</v>
      </c>
      <c r="V28" s="21">
        <v>1500</v>
      </c>
      <c r="W28">
        <v>7</v>
      </c>
      <c r="X28">
        <v>6</v>
      </c>
      <c r="Y28">
        <v>0</v>
      </c>
      <c r="Z28">
        <v>0</v>
      </c>
      <c r="AA28">
        <v>1</v>
      </c>
    </row>
    <row r="29" spans="1:27" ht="14.25" x14ac:dyDescent="0.2">
      <c r="A29" s="10">
        <v>306</v>
      </c>
      <c r="B29" t="s">
        <v>124</v>
      </c>
      <c r="C29" t="s">
        <v>134</v>
      </c>
      <c r="D29" t="s">
        <v>121</v>
      </c>
      <c r="E29" t="s">
        <v>121</v>
      </c>
      <c r="F29" s="4" t="s">
        <v>224</v>
      </c>
      <c r="H29">
        <v>2</v>
      </c>
      <c r="I29" s="1">
        <v>0</v>
      </c>
      <c r="J29">
        <v>0</v>
      </c>
      <c r="K29">
        <v>0</v>
      </c>
      <c r="L29" s="20">
        <v>1200</v>
      </c>
      <c r="M29">
        <v>1</v>
      </c>
      <c r="N29">
        <v>0</v>
      </c>
      <c r="O29">
        <v>0</v>
      </c>
      <c r="P29">
        <v>0</v>
      </c>
      <c r="Q29" s="22">
        <v>3000</v>
      </c>
      <c r="R29">
        <v>3</v>
      </c>
      <c r="S29" s="1">
        <v>0</v>
      </c>
      <c r="T29">
        <v>0</v>
      </c>
      <c r="U29">
        <v>0</v>
      </c>
      <c r="V29" s="21">
        <v>1500</v>
      </c>
      <c r="W29">
        <v>7</v>
      </c>
      <c r="X29">
        <v>7</v>
      </c>
      <c r="Y29">
        <v>0</v>
      </c>
      <c r="Z29">
        <v>0</v>
      </c>
      <c r="AA29">
        <v>1</v>
      </c>
    </row>
    <row r="30" spans="1:27" ht="14.25" x14ac:dyDescent="0.2">
      <c r="A30" s="10">
        <v>307</v>
      </c>
      <c r="B30" t="s">
        <v>124</v>
      </c>
      <c r="C30" t="s">
        <v>133</v>
      </c>
      <c r="D30" t="s">
        <v>121</v>
      </c>
      <c r="E30" t="s">
        <v>121</v>
      </c>
      <c r="F30" s="4" t="s">
        <v>224</v>
      </c>
      <c r="H30">
        <v>2</v>
      </c>
      <c r="I30" s="1">
        <v>0</v>
      </c>
      <c r="J30">
        <v>0</v>
      </c>
      <c r="K30">
        <v>0</v>
      </c>
      <c r="L30" s="20">
        <v>1200</v>
      </c>
      <c r="M30">
        <v>1</v>
      </c>
      <c r="N30">
        <v>0</v>
      </c>
      <c r="O30">
        <v>0</v>
      </c>
      <c r="P30">
        <v>0</v>
      </c>
      <c r="Q30" s="22">
        <v>3000</v>
      </c>
      <c r="R30">
        <v>3</v>
      </c>
      <c r="S30" s="1">
        <v>0</v>
      </c>
      <c r="T30">
        <v>0</v>
      </c>
      <c r="U30">
        <v>0</v>
      </c>
      <c r="V30" s="21">
        <v>1500</v>
      </c>
      <c r="W30">
        <v>7</v>
      </c>
      <c r="X30">
        <v>8</v>
      </c>
      <c r="Y30">
        <v>0</v>
      </c>
      <c r="Z30">
        <v>0</v>
      </c>
      <c r="AA30">
        <v>1</v>
      </c>
    </row>
    <row r="31" spans="1:27" ht="14.25" x14ac:dyDescent="0.2">
      <c r="A31" s="10">
        <v>308</v>
      </c>
      <c r="B31" t="s">
        <v>130</v>
      </c>
      <c r="C31" t="s">
        <v>121</v>
      </c>
      <c r="D31" t="s">
        <v>121</v>
      </c>
      <c r="E31" t="s">
        <v>121</v>
      </c>
      <c r="F31" s="4" t="s">
        <v>226</v>
      </c>
      <c r="H31">
        <v>2</v>
      </c>
      <c r="I31" s="1">
        <v>0</v>
      </c>
      <c r="J31">
        <v>0</v>
      </c>
      <c r="K31">
        <v>0</v>
      </c>
      <c r="L31" s="20">
        <v>1200</v>
      </c>
      <c r="M31">
        <v>1</v>
      </c>
      <c r="N31">
        <v>0</v>
      </c>
      <c r="O31">
        <v>0</v>
      </c>
      <c r="P31">
        <v>0</v>
      </c>
      <c r="Q31" s="22">
        <v>3600</v>
      </c>
      <c r="R31">
        <v>3</v>
      </c>
      <c r="S31" s="1">
        <v>0</v>
      </c>
      <c r="T31">
        <v>0</v>
      </c>
      <c r="U31">
        <v>0</v>
      </c>
      <c r="V31" s="21">
        <v>1800</v>
      </c>
      <c r="W31">
        <v>9</v>
      </c>
      <c r="X31">
        <v>0</v>
      </c>
      <c r="Y31">
        <v>0</v>
      </c>
      <c r="Z31">
        <v>0</v>
      </c>
      <c r="AA31">
        <v>10</v>
      </c>
    </row>
    <row r="32" spans="1:27" ht="14.25" x14ac:dyDescent="0.2">
      <c r="A32" s="10">
        <v>309</v>
      </c>
      <c r="B32" t="s">
        <v>123</v>
      </c>
      <c r="C32" t="s">
        <v>121</v>
      </c>
      <c r="D32" t="s">
        <v>121</v>
      </c>
      <c r="E32" t="s">
        <v>121</v>
      </c>
      <c r="F32" s="4" t="s">
        <v>226</v>
      </c>
      <c r="H32">
        <v>2</v>
      </c>
      <c r="I32" s="1">
        <v>0</v>
      </c>
      <c r="J32">
        <v>0</v>
      </c>
      <c r="K32">
        <v>0</v>
      </c>
      <c r="L32" s="20">
        <v>1200</v>
      </c>
      <c r="M32">
        <v>1</v>
      </c>
      <c r="N32">
        <v>0</v>
      </c>
      <c r="O32">
        <v>0</v>
      </c>
      <c r="P32">
        <v>0</v>
      </c>
      <c r="Q32" s="22">
        <v>3600</v>
      </c>
      <c r="R32">
        <v>3</v>
      </c>
      <c r="S32" s="1">
        <v>0</v>
      </c>
      <c r="T32">
        <v>0</v>
      </c>
      <c r="U32">
        <v>0</v>
      </c>
      <c r="V32" s="21">
        <v>1800</v>
      </c>
      <c r="W32">
        <v>12</v>
      </c>
      <c r="X32">
        <v>0</v>
      </c>
      <c r="Y32">
        <v>0</v>
      </c>
      <c r="Z32">
        <v>0</v>
      </c>
      <c r="AA32">
        <v>10</v>
      </c>
    </row>
    <row r="33" spans="1:27" ht="14.25" x14ac:dyDescent="0.2">
      <c r="A33" s="10">
        <v>310</v>
      </c>
      <c r="B33" t="s">
        <v>126</v>
      </c>
      <c r="C33" t="s">
        <v>121</v>
      </c>
      <c r="D33" t="s">
        <v>121</v>
      </c>
      <c r="E33" t="s">
        <v>121</v>
      </c>
      <c r="F33" s="4" t="s">
        <v>228</v>
      </c>
      <c r="H33">
        <v>2</v>
      </c>
      <c r="I33" s="1">
        <v>0</v>
      </c>
      <c r="J33">
        <v>0</v>
      </c>
      <c r="K33">
        <v>0</v>
      </c>
      <c r="L33" s="20">
        <v>1200</v>
      </c>
      <c r="M33">
        <v>1</v>
      </c>
      <c r="N33">
        <v>0</v>
      </c>
      <c r="O33">
        <v>0</v>
      </c>
      <c r="P33">
        <v>0</v>
      </c>
      <c r="Q33" s="22">
        <v>3600</v>
      </c>
      <c r="R33">
        <v>3</v>
      </c>
      <c r="S33" s="1">
        <v>0</v>
      </c>
      <c r="T33">
        <v>0</v>
      </c>
      <c r="U33">
        <v>0</v>
      </c>
      <c r="V33" s="21">
        <v>1800</v>
      </c>
      <c r="W33">
        <v>23</v>
      </c>
      <c r="X33">
        <v>0</v>
      </c>
      <c r="Y33">
        <v>0</v>
      </c>
      <c r="Z33">
        <v>0</v>
      </c>
      <c r="AA33">
        <v>1</v>
      </c>
    </row>
    <row r="34" spans="1:27" ht="14.25" x14ac:dyDescent="0.2">
      <c r="A34" s="10">
        <v>311</v>
      </c>
      <c r="B34" t="s">
        <v>124</v>
      </c>
      <c r="C34" t="s">
        <v>129</v>
      </c>
      <c r="D34" t="s">
        <v>121</v>
      </c>
      <c r="E34" t="s">
        <v>121</v>
      </c>
      <c r="F34" s="4" t="s">
        <v>230</v>
      </c>
      <c r="H34">
        <v>2</v>
      </c>
      <c r="I34" s="1">
        <v>0</v>
      </c>
      <c r="J34">
        <v>0</v>
      </c>
      <c r="K34">
        <v>0</v>
      </c>
      <c r="L34" s="20">
        <v>1400</v>
      </c>
      <c r="M34">
        <v>1</v>
      </c>
      <c r="N34">
        <v>0</v>
      </c>
      <c r="O34">
        <v>0</v>
      </c>
      <c r="P34">
        <v>0</v>
      </c>
      <c r="Q34" s="22">
        <v>3600</v>
      </c>
      <c r="R34">
        <v>3</v>
      </c>
      <c r="S34" s="1">
        <v>0</v>
      </c>
      <c r="T34">
        <v>0</v>
      </c>
      <c r="U34">
        <v>0</v>
      </c>
      <c r="V34" s="21">
        <v>1800</v>
      </c>
      <c r="W34">
        <v>7</v>
      </c>
      <c r="X34">
        <v>5</v>
      </c>
      <c r="Y34">
        <v>0</v>
      </c>
      <c r="Z34">
        <v>0</v>
      </c>
      <c r="AA34">
        <v>1</v>
      </c>
    </row>
    <row r="35" spans="1:27" ht="14.25" x14ac:dyDescent="0.2">
      <c r="A35" s="10">
        <v>312</v>
      </c>
      <c r="B35" t="s">
        <v>124</v>
      </c>
      <c r="C35" t="s">
        <v>137</v>
      </c>
      <c r="D35" t="s">
        <v>121</v>
      </c>
      <c r="E35" t="s">
        <v>121</v>
      </c>
      <c r="F35" s="4" t="s">
        <v>230</v>
      </c>
      <c r="H35">
        <v>2</v>
      </c>
      <c r="I35" s="1">
        <v>0</v>
      </c>
      <c r="J35">
        <v>0</v>
      </c>
      <c r="K35">
        <v>0</v>
      </c>
      <c r="L35" s="20">
        <v>1400</v>
      </c>
      <c r="M35">
        <v>1</v>
      </c>
      <c r="N35">
        <v>0</v>
      </c>
      <c r="O35">
        <v>0</v>
      </c>
      <c r="P35">
        <v>0</v>
      </c>
      <c r="Q35" s="22">
        <v>3600</v>
      </c>
      <c r="R35">
        <v>3</v>
      </c>
      <c r="S35" s="1">
        <v>0</v>
      </c>
      <c r="T35">
        <v>0</v>
      </c>
      <c r="U35">
        <v>0</v>
      </c>
      <c r="V35" s="21">
        <v>1800</v>
      </c>
      <c r="W35">
        <v>7</v>
      </c>
      <c r="X35">
        <v>6</v>
      </c>
      <c r="Y35">
        <v>0</v>
      </c>
      <c r="Z35">
        <v>0</v>
      </c>
      <c r="AA35">
        <v>1</v>
      </c>
    </row>
    <row r="36" spans="1:27" ht="14.25" x14ac:dyDescent="0.2">
      <c r="A36" s="10">
        <v>313</v>
      </c>
      <c r="B36" t="s">
        <v>124</v>
      </c>
      <c r="C36" t="s">
        <v>134</v>
      </c>
      <c r="D36" t="s">
        <v>121</v>
      </c>
      <c r="E36" t="s">
        <v>121</v>
      </c>
      <c r="F36" s="4" t="s">
        <v>232</v>
      </c>
      <c r="H36">
        <v>2</v>
      </c>
      <c r="I36" s="1">
        <v>0</v>
      </c>
      <c r="J36">
        <v>0</v>
      </c>
      <c r="K36">
        <v>0</v>
      </c>
      <c r="L36" s="20">
        <v>1400</v>
      </c>
      <c r="M36">
        <v>1</v>
      </c>
      <c r="N36">
        <v>0</v>
      </c>
      <c r="O36">
        <v>0</v>
      </c>
      <c r="P36">
        <v>0</v>
      </c>
      <c r="Q36" s="22">
        <v>4200</v>
      </c>
      <c r="R36">
        <v>3</v>
      </c>
      <c r="S36" s="1">
        <v>0</v>
      </c>
      <c r="T36">
        <v>0</v>
      </c>
      <c r="U36">
        <v>0</v>
      </c>
      <c r="V36" s="21">
        <v>2100</v>
      </c>
      <c r="W36">
        <v>7</v>
      </c>
      <c r="X36">
        <v>7</v>
      </c>
      <c r="Y36">
        <v>0</v>
      </c>
      <c r="Z36">
        <v>0</v>
      </c>
      <c r="AA36">
        <v>1</v>
      </c>
    </row>
    <row r="37" spans="1:27" ht="14.25" x14ac:dyDescent="0.2">
      <c r="A37" s="10">
        <v>314</v>
      </c>
      <c r="B37" t="s">
        <v>124</v>
      </c>
      <c r="C37" t="s">
        <v>133</v>
      </c>
      <c r="D37" t="s">
        <v>121</v>
      </c>
      <c r="E37" t="s">
        <v>121</v>
      </c>
      <c r="F37" s="4" t="s">
        <v>232</v>
      </c>
      <c r="H37">
        <v>2</v>
      </c>
      <c r="I37" s="1">
        <v>0</v>
      </c>
      <c r="J37">
        <v>0</v>
      </c>
      <c r="K37">
        <v>0</v>
      </c>
      <c r="L37" s="20">
        <v>1400</v>
      </c>
      <c r="M37">
        <v>1</v>
      </c>
      <c r="N37">
        <v>0</v>
      </c>
      <c r="O37">
        <v>0</v>
      </c>
      <c r="P37">
        <v>0</v>
      </c>
      <c r="Q37" s="22">
        <v>4200</v>
      </c>
      <c r="R37">
        <v>3</v>
      </c>
      <c r="S37" s="1">
        <v>0</v>
      </c>
      <c r="T37">
        <v>0</v>
      </c>
      <c r="U37">
        <v>0</v>
      </c>
      <c r="V37" s="21">
        <v>2100</v>
      </c>
      <c r="W37">
        <v>7</v>
      </c>
      <c r="X37">
        <v>8</v>
      </c>
      <c r="Y37">
        <v>0</v>
      </c>
      <c r="Z37">
        <v>0</v>
      </c>
      <c r="AA37">
        <v>1</v>
      </c>
    </row>
    <row r="38" spans="1:27" ht="14.25" x14ac:dyDescent="0.2">
      <c r="A38" s="10">
        <v>315</v>
      </c>
      <c r="B38" t="s">
        <v>131</v>
      </c>
      <c r="C38" t="s">
        <v>125</v>
      </c>
      <c r="D38" t="s">
        <v>121</v>
      </c>
      <c r="E38" t="s">
        <v>136</v>
      </c>
      <c r="F38" s="4" t="s">
        <v>234</v>
      </c>
      <c r="H38">
        <v>2</v>
      </c>
      <c r="I38" s="1">
        <v>0</v>
      </c>
      <c r="J38">
        <v>0</v>
      </c>
      <c r="K38">
        <v>0</v>
      </c>
      <c r="L38" s="20">
        <v>1400</v>
      </c>
      <c r="M38">
        <v>1</v>
      </c>
      <c r="N38">
        <v>0</v>
      </c>
      <c r="O38">
        <v>0</v>
      </c>
      <c r="P38">
        <v>0</v>
      </c>
      <c r="Q38" s="22">
        <v>4200</v>
      </c>
      <c r="R38">
        <v>3</v>
      </c>
      <c r="S38" s="1">
        <v>0</v>
      </c>
      <c r="T38">
        <v>0</v>
      </c>
      <c r="U38">
        <v>0</v>
      </c>
      <c r="V38" s="21">
        <v>2100</v>
      </c>
      <c r="W38">
        <v>6</v>
      </c>
      <c r="X38">
        <v>1</v>
      </c>
      <c r="Y38">
        <v>0</v>
      </c>
      <c r="Z38">
        <v>3</v>
      </c>
      <c r="AA38">
        <v>10</v>
      </c>
    </row>
    <row r="39" spans="1:27" ht="14.25" x14ac:dyDescent="0.2">
      <c r="A39" s="10">
        <v>401</v>
      </c>
      <c r="B39" t="s">
        <v>130</v>
      </c>
      <c r="C39" t="s">
        <v>121</v>
      </c>
      <c r="D39" t="s">
        <v>121</v>
      </c>
      <c r="E39" t="s">
        <v>121</v>
      </c>
      <c r="F39" s="4" t="s">
        <v>236</v>
      </c>
      <c r="H39">
        <v>2</v>
      </c>
      <c r="I39" s="1">
        <v>0</v>
      </c>
      <c r="J39">
        <v>0</v>
      </c>
      <c r="K39">
        <v>0</v>
      </c>
      <c r="L39" s="20">
        <v>1600</v>
      </c>
      <c r="M39">
        <v>1</v>
      </c>
      <c r="N39">
        <v>0</v>
      </c>
      <c r="O39">
        <v>0</v>
      </c>
      <c r="P39">
        <v>0</v>
      </c>
      <c r="Q39" s="22">
        <v>4200</v>
      </c>
      <c r="R39">
        <v>3</v>
      </c>
      <c r="S39" s="1">
        <v>0</v>
      </c>
      <c r="T39">
        <v>0</v>
      </c>
      <c r="U39">
        <v>0</v>
      </c>
      <c r="V39" s="21">
        <v>2100</v>
      </c>
      <c r="W39">
        <v>9</v>
      </c>
      <c r="X39">
        <v>0</v>
      </c>
      <c r="Y39">
        <v>0</v>
      </c>
      <c r="Z39">
        <v>0</v>
      </c>
      <c r="AA39">
        <v>10</v>
      </c>
    </row>
    <row r="40" spans="1:27" ht="14.25" x14ac:dyDescent="0.2">
      <c r="A40" s="10">
        <v>402</v>
      </c>
      <c r="B40" t="s">
        <v>123</v>
      </c>
      <c r="C40" t="s">
        <v>121</v>
      </c>
      <c r="D40" t="s">
        <v>121</v>
      </c>
      <c r="E40" t="s">
        <v>121</v>
      </c>
      <c r="F40" s="4" t="s">
        <v>236</v>
      </c>
      <c r="H40">
        <v>2</v>
      </c>
      <c r="I40" s="1">
        <v>0</v>
      </c>
      <c r="J40">
        <v>0</v>
      </c>
      <c r="K40">
        <v>0</v>
      </c>
      <c r="L40" s="20">
        <v>1600</v>
      </c>
      <c r="M40">
        <v>1</v>
      </c>
      <c r="N40">
        <v>0</v>
      </c>
      <c r="O40">
        <v>0</v>
      </c>
      <c r="P40">
        <v>0</v>
      </c>
      <c r="Q40" s="22">
        <v>4200</v>
      </c>
      <c r="R40">
        <v>3</v>
      </c>
      <c r="S40" s="1">
        <v>0</v>
      </c>
      <c r="T40">
        <v>0</v>
      </c>
      <c r="U40">
        <v>0</v>
      </c>
      <c r="V40" s="21">
        <v>2100</v>
      </c>
      <c r="W40">
        <v>12</v>
      </c>
      <c r="X40">
        <v>0</v>
      </c>
      <c r="Y40">
        <v>0</v>
      </c>
      <c r="Z40">
        <v>0</v>
      </c>
      <c r="AA40">
        <v>10</v>
      </c>
    </row>
    <row r="41" spans="1:27" ht="14.25" x14ac:dyDescent="0.2">
      <c r="A41" s="10">
        <v>403</v>
      </c>
      <c r="B41" t="s">
        <v>126</v>
      </c>
      <c r="C41" t="s">
        <v>121</v>
      </c>
      <c r="D41" t="s">
        <v>121</v>
      </c>
      <c r="E41" t="s">
        <v>121</v>
      </c>
      <c r="F41" s="4" t="s">
        <v>238</v>
      </c>
      <c r="H41">
        <v>2</v>
      </c>
      <c r="I41" s="1">
        <v>0</v>
      </c>
      <c r="J41">
        <v>0</v>
      </c>
      <c r="K41">
        <v>0</v>
      </c>
      <c r="L41" s="20">
        <v>1600</v>
      </c>
      <c r="M41">
        <v>1</v>
      </c>
      <c r="N41">
        <v>0</v>
      </c>
      <c r="O41">
        <v>0</v>
      </c>
      <c r="P41">
        <v>0</v>
      </c>
      <c r="Q41" s="22">
        <v>4800</v>
      </c>
      <c r="R41">
        <v>3</v>
      </c>
      <c r="S41" s="1">
        <v>0</v>
      </c>
      <c r="T41">
        <v>0</v>
      </c>
      <c r="U41">
        <v>0</v>
      </c>
      <c r="V41" s="21">
        <v>2400</v>
      </c>
      <c r="W41">
        <v>23</v>
      </c>
      <c r="X41">
        <v>0</v>
      </c>
      <c r="Y41">
        <v>0</v>
      </c>
      <c r="Z41">
        <v>0</v>
      </c>
      <c r="AA41">
        <v>1</v>
      </c>
    </row>
    <row r="42" spans="1:27" ht="14.25" x14ac:dyDescent="0.2">
      <c r="A42" s="10">
        <v>404</v>
      </c>
      <c r="B42" t="s">
        <v>122</v>
      </c>
      <c r="C42" t="s">
        <v>121</v>
      </c>
      <c r="D42" t="s">
        <v>121</v>
      </c>
      <c r="E42" t="s">
        <v>121</v>
      </c>
      <c r="F42" s="4" t="s">
        <v>240</v>
      </c>
      <c r="H42">
        <v>2</v>
      </c>
      <c r="I42" s="1">
        <v>0</v>
      </c>
      <c r="J42">
        <v>0</v>
      </c>
      <c r="K42">
        <v>0</v>
      </c>
      <c r="L42" s="20">
        <v>1600</v>
      </c>
      <c r="M42">
        <v>1</v>
      </c>
      <c r="N42">
        <v>0</v>
      </c>
      <c r="O42">
        <v>0</v>
      </c>
      <c r="P42">
        <v>0</v>
      </c>
      <c r="Q42" s="22">
        <v>4800</v>
      </c>
      <c r="R42">
        <v>3</v>
      </c>
      <c r="S42" s="1">
        <v>0</v>
      </c>
      <c r="T42">
        <v>0</v>
      </c>
      <c r="U42">
        <v>0</v>
      </c>
      <c r="V42" s="21">
        <v>2400</v>
      </c>
      <c r="W42">
        <v>4</v>
      </c>
      <c r="X42">
        <v>0</v>
      </c>
      <c r="Y42">
        <v>0</v>
      </c>
      <c r="Z42">
        <v>0</v>
      </c>
      <c r="AA42">
        <v>10</v>
      </c>
    </row>
    <row r="43" spans="1:27" ht="14.25" x14ac:dyDescent="0.2">
      <c r="A43" s="10">
        <v>405</v>
      </c>
      <c r="B43" t="s">
        <v>178</v>
      </c>
      <c r="C43" t="s">
        <v>121</v>
      </c>
      <c r="D43" t="s">
        <v>121</v>
      </c>
      <c r="E43" t="s">
        <v>121</v>
      </c>
      <c r="F43" s="4" t="s">
        <v>238</v>
      </c>
      <c r="H43">
        <v>2</v>
      </c>
      <c r="I43" s="1">
        <v>0</v>
      </c>
      <c r="J43">
        <v>0</v>
      </c>
      <c r="K43">
        <v>0</v>
      </c>
      <c r="L43" s="20">
        <v>1600</v>
      </c>
      <c r="M43">
        <v>1</v>
      </c>
      <c r="N43">
        <v>0</v>
      </c>
      <c r="O43">
        <v>0</v>
      </c>
      <c r="P43">
        <v>0</v>
      </c>
      <c r="Q43" s="22">
        <v>4800</v>
      </c>
      <c r="R43">
        <v>3</v>
      </c>
      <c r="S43" s="1">
        <v>0</v>
      </c>
      <c r="T43">
        <v>0</v>
      </c>
      <c r="U43">
        <v>0</v>
      </c>
      <c r="V43" s="21">
        <v>2400</v>
      </c>
      <c r="W43">
        <v>21</v>
      </c>
      <c r="X43">
        <v>0</v>
      </c>
      <c r="Y43">
        <v>0</v>
      </c>
      <c r="Z43">
        <v>0</v>
      </c>
      <c r="AA43">
        <v>1</v>
      </c>
    </row>
    <row r="44" spans="1:27" ht="14.25" x14ac:dyDescent="0.2">
      <c r="A44" s="10">
        <v>406</v>
      </c>
      <c r="B44" t="s">
        <v>130</v>
      </c>
      <c r="C44" t="s">
        <v>121</v>
      </c>
      <c r="D44" t="s">
        <v>121</v>
      </c>
      <c r="E44" t="s">
        <v>121</v>
      </c>
      <c r="F44" s="4" t="s">
        <v>242</v>
      </c>
      <c r="H44">
        <v>2</v>
      </c>
      <c r="I44" s="1">
        <v>0</v>
      </c>
      <c r="J44">
        <v>0</v>
      </c>
      <c r="K44">
        <v>0</v>
      </c>
      <c r="L44" s="20">
        <v>1800</v>
      </c>
      <c r="M44">
        <v>1</v>
      </c>
      <c r="N44">
        <v>0</v>
      </c>
      <c r="O44">
        <v>0</v>
      </c>
      <c r="P44">
        <v>0</v>
      </c>
      <c r="Q44" s="22">
        <v>4800</v>
      </c>
      <c r="R44">
        <v>3</v>
      </c>
      <c r="S44" s="1">
        <v>0</v>
      </c>
      <c r="T44">
        <v>0</v>
      </c>
      <c r="U44">
        <v>0</v>
      </c>
      <c r="V44" s="21">
        <v>2400</v>
      </c>
      <c r="W44">
        <v>9</v>
      </c>
      <c r="X44">
        <v>0</v>
      </c>
      <c r="Y44">
        <v>0</v>
      </c>
      <c r="Z44">
        <v>0</v>
      </c>
      <c r="AA44">
        <v>10</v>
      </c>
    </row>
    <row r="45" spans="1:27" ht="14.25" x14ac:dyDescent="0.2">
      <c r="A45" s="10">
        <v>407</v>
      </c>
      <c r="B45" t="s">
        <v>123</v>
      </c>
      <c r="C45" t="s">
        <v>121</v>
      </c>
      <c r="D45" t="s">
        <v>121</v>
      </c>
      <c r="E45" t="s">
        <v>121</v>
      </c>
      <c r="F45" s="4" t="s">
        <v>242</v>
      </c>
      <c r="H45">
        <v>2</v>
      </c>
      <c r="I45" s="1">
        <v>0</v>
      </c>
      <c r="J45">
        <v>0</v>
      </c>
      <c r="K45">
        <v>0</v>
      </c>
      <c r="L45" s="20">
        <v>1800</v>
      </c>
      <c r="M45">
        <v>1</v>
      </c>
      <c r="N45">
        <v>0</v>
      </c>
      <c r="O45">
        <v>0</v>
      </c>
      <c r="P45">
        <v>0</v>
      </c>
      <c r="Q45" s="22">
        <v>4800</v>
      </c>
      <c r="R45">
        <v>3</v>
      </c>
      <c r="S45" s="1">
        <v>0</v>
      </c>
      <c r="T45">
        <v>0</v>
      </c>
      <c r="U45">
        <v>0</v>
      </c>
      <c r="V45" s="21">
        <v>2400</v>
      </c>
      <c r="W45">
        <v>12</v>
      </c>
      <c r="X45">
        <v>0</v>
      </c>
      <c r="Y45">
        <v>0</v>
      </c>
      <c r="Z45">
        <v>0</v>
      </c>
      <c r="AA45">
        <v>10</v>
      </c>
    </row>
    <row r="46" spans="1:27" ht="14.25" x14ac:dyDescent="0.2">
      <c r="A46" s="10">
        <v>408</v>
      </c>
      <c r="B46" t="s">
        <v>126</v>
      </c>
      <c r="C46" t="s">
        <v>121</v>
      </c>
      <c r="D46" t="s">
        <v>121</v>
      </c>
      <c r="E46" t="s">
        <v>121</v>
      </c>
      <c r="F46" s="4" t="s">
        <v>244</v>
      </c>
      <c r="H46">
        <v>2</v>
      </c>
      <c r="I46" s="1">
        <v>0</v>
      </c>
      <c r="J46">
        <v>0</v>
      </c>
      <c r="K46">
        <v>0</v>
      </c>
      <c r="L46" s="20">
        <v>1800</v>
      </c>
      <c r="M46">
        <v>1</v>
      </c>
      <c r="N46">
        <v>0</v>
      </c>
      <c r="O46">
        <v>0</v>
      </c>
      <c r="P46">
        <v>0</v>
      </c>
      <c r="Q46" s="22">
        <v>5400</v>
      </c>
      <c r="R46">
        <v>3</v>
      </c>
      <c r="S46" s="1">
        <v>0</v>
      </c>
      <c r="T46">
        <v>0</v>
      </c>
      <c r="U46">
        <v>0</v>
      </c>
      <c r="V46" s="21">
        <v>2700</v>
      </c>
      <c r="W46">
        <v>23</v>
      </c>
      <c r="X46">
        <v>0</v>
      </c>
      <c r="Y46">
        <v>0</v>
      </c>
      <c r="Z46">
        <v>0</v>
      </c>
      <c r="AA46">
        <v>1</v>
      </c>
    </row>
    <row r="47" spans="1:27" ht="14.25" x14ac:dyDescent="0.2">
      <c r="A47" s="10">
        <v>409</v>
      </c>
      <c r="B47" t="s">
        <v>131</v>
      </c>
      <c r="C47" t="s">
        <v>125</v>
      </c>
      <c r="D47" t="s">
        <v>121</v>
      </c>
      <c r="E47" t="s">
        <v>136</v>
      </c>
      <c r="F47" s="4" t="s">
        <v>246</v>
      </c>
      <c r="H47">
        <v>2</v>
      </c>
      <c r="I47" s="1">
        <v>0</v>
      </c>
      <c r="J47">
        <v>0</v>
      </c>
      <c r="K47">
        <v>0</v>
      </c>
      <c r="L47" s="20">
        <v>1800</v>
      </c>
      <c r="M47">
        <v>1</v>
      </c>
      <c r="N47">
        <v>0</v>
      </c>
      <c r="O47">
        <v>0</v>
      </c>
      <c r="P47">
        <v>0</v>
      </c>
      <c r="Q47" s="22">
        <v>5400</v>
      </c>
      <c r="R47">
        <v>3</v>
      </c>
      <c r="S47" s="1">
        <v>0</v>
      </c>
      <c r="T47">
        <v>0</v>
      </c>
      <c r="U47">
        <v>0</v>
      </c>
      <c r="V47" s="21">
        <v>2700</v>
      </c>
      <c r="W47">
        <v>6</v>
      </c>
      <c r="X47">
        <v>1</v>
      </c>
      <c r="Y47">
        <v>0</v>
      </c>
      <c r="Z47">
        <v>3</v>
      </c>
      <c r="AA47">
        <v>10</v>
      </c>
    </row>
    <row r="48" spans="1:27" ht="14.25" x14ac:dyDescent="0.2">
      <c r="A48" s="10">
        <v>410</v>
      </c>
      <c r="B48" t="s">
        <v>180</v>
      </c>
      <c r="C48" t="s">
        <v>121</v>
      </c>
      <c r="D48" t="s">
        <v>121</v>
      </c>
      <c r="E48" t="s">
        <v>121</v>
      </c>
      <c r="F48" s="4" t="s">
        <v>244</v>
      </c>
      <c r="H48">
        <v>2</v>
      </c>
      <c r="I48" s="1">
        <v>0</v>
      </c>
      <c r="J48">
        <v>0</v>
      </c>
      <c r="K48">
        <v>0</v>
      </c>
      <c r="L48" s="20">
        <v>1800</v>
      </c>
      <c r="M48">
        <v>1</v>
      </c>
      <c r="N48">
        <v>0</v>
      </c>
      <c r="O48">
        <v>0</v>
      </c>
      <c r="P48">
        <v>0</v>
      </c>
      <c r="Q48" s="22">
        <v>5400</v>
      </c>
      <c r="R48">
        <v>3</v>
      </c>
      <c r="S48" s="1">
        <v>0</v>
      </c>
      <c r="T48">
        <v>0</v>
      </c>
      <c r="U48">
        <v>0</v>
      </c>
      <c r="V48" s="21">
        <v>2700</v>
      </c>
      <c r="W48">
        <v>15</v>
      </c>
      <c r="X48">
        <v>0</v>
      </c>
      <c r="Y48">
        <v>0</v>
      </c>
      <c r="Z48">
        <v>0</v>
      </c>
      <c r="AA48">
        <v>1</v>
      </c>
    </row>
    <row r="49" spans="1:27" ht="14.25" x14ac:dyDescent="0.2">
      <c r="A49" s="10">
        <v>411</v>
      </c>
      <c r="B49" t="s">
        <v>122</v>
      </c>
      <c r="C49" t="s">
        <v>121</v>
      </c>
      <c r="D49" t="s">
        <v>121</v>
      </c>
      <c r="E49" t="s">
        <v>121</v>
      </c>
      <c r="F49" s="4" t="s">
        <v>248</v>
      </c>
      <c r="H49">
        <v>2</v>
      </c>
      <c r="I49" s="1">
        <v>0</v>
      </c>
      <c r="J49">
        <v>0</v>
      </c>
      <c r="K49">
        <v>0</v>
      </c>
      <c r="L49" s="20">
        <v>2000</v>
      </c>
      <c r="M49">
        <v>1</v>
      </c>
      <c r="N49">
        <v>0</v>
      </c>
      <c r="O49">
        <v>0</v>
      </c>
      <c r="P49">
        <v>0</v>
      </c>
      <c r="Q49" s="22">
        <v>5400</v>
      </c>
      <c r="R49">
        <v>3</v>
      </c>
      <c r="S49" s="1">
        <v>0</v>
      </c>
      <c r="T49">
        <v>0</v>
      </c>
      <c r="U49">
        <v>0</v>
      </c>
      <c r="V49" s="21">
        <v>2700</v>
      </c>
      <c r="W49">
        <v>4</v>
      </c>
      <c r="X49">
        <v>0</v>
      </c>
      <c r="Y49">
        <v>0</v>
      </c>
      <c r="Z49">
        <v>0</v>
      </c>
      <c r="AA49">
        <v>10</v>
      </c>
    </row>
    <row r="50" spans="1:27" ht="14.25" x14ac:dyDescent="0.2">
      <c r="A50" s="10">
        <v>412</v>
      </c>
      <c r="B50" t="s">
        <v>178</v>
      </c>
      <c r="C50" t="s">
        <v>121</v>
      </c>
      <c r="D50" t="s">
        <v>121</v>
      </c>
      <c r="E50" t="s">
        <v>121</v>
      </c>
      <c r="F50" s="4" t="s">
        <v>250</v>
      </c>
      <c r="H50">
        <v>2</v>
      </c>
      <c r="I50" s="1">
        <v>0</v>
      </c>
      <c r="J50">
        <v>0</v>
      </c>
      <c r="K50">
        <v>0</v>
      </c>
      <c r="L50" s="20">
        <v>2000</v>
      </c>
      <c r="M50">
        <v>1</v>
      </c>
      <c r="N50">
        <v>0</v>
      </c>
      <c r="O50">
        <v>0</v>
      </c>
      <c r="P50">
        <v>0</v>
      </c>
      <c r="Q50" s="22">
        <v>5400</v>
      </c>
      <c r="R50">
        <v>3</v>
      </c>
      <c r="S50" s="1">
        <v>0</v>
      </c>
      <c r="T50">
        <v>0</v>
      </c>
      <c r="U50">
        <v>0</v>
      </c>
      <c r="V50" s="21">
        <v>2700</v>
      </c>
      <c r="W50">
        <v>21</v>
      </c>
      <c r="X50">
        <v>0</v>
      </c>
      <c r="Y50">
        <v>0</v>
      </c>
      <c r="Z50">
        <v>0</v>
      </c>
      <c r="AA50">
        <v>1</v>
      </c>
    </row>
    <row r="51" spans="1:27" ht="14.25" x14ac:dyDescent="0.2">
      <c r="A51" s="10">
        <v>413</v>
      </c>
      <c r="B51" t="s">
        <v>130</v>
      </c>
      <c r="C51" t="s">
        <v>121</v>
      </c>
      <c r="D51" t="s">
        <v>121</v>
      </c>
      <c r="E51" t="s">
        <v>121</v>
      </c>
      <c r="F51" s="4" t="s">
        <v>252</v>
      </c>
      <c r="H51">
        <v>2</v>
      </c>
      <c r="I51" s="1">
        <v>0</v>
      </c>
      <c r="J51">
        <v>0</v>
      </c>
      <c r="K51">
        <v>0</v>
      </c>
      <c r="L51" s="20">
        <v>2000</v>
      </c>
      <c r="M51">
        <v>1</v>
      </c>
      <c r="N51">
        <v>0</v>
      </c>
      <c r="O51">
        <v>0</v>
      </c>
      <c r="P51">
        <v>0</v>
      </c>
      <c r="Q51" s="22">
        <v>6000</v>
      </c>
      <c r="R51">
        <v>3</v>
      </c>
      <c r="S51" s="1">
        <v>0</v>
      </c>
      <c r="T51">
        <v>0</v>
      </c>
      <c r="U51">
        <v>0</v>
      </c>
      <c r="V51" s="21">
        <v>3000</v>
      </c>
      <c r="W51">
        <v>9</v>
      </c>
      <c r="X51">
        <v>0</v>
      </c>
      <c r="Y51">
        <v>0</v>
      </c>
      <c r="Z51">
        <v>0</v>
      </c>
      <c r="AA51">
        <v>10</v>
      </c>
    </row>
    <row r="52" spans="1:27" ht="14.25" x14ac:dyDescent="0.2">
      <c r="A52" s="10">
        <v>414</v>
      </c>
      <c r="B52" t="s">
        <v>123</v>
      </c>
      <c r="C52" t="s">
        <v>121</v>
      </c>
      <c r="D52" t="s">
        <v>121</v>
      </c>
      <c r="E52" t="s">
        <v>121</v>
      </c>
      <c r="F52" s="4" t="s">
        <v>252</v>
      </c>
      <c r="H52">
        <v>2</v>
      </c>
      <c r="I52" s="1">
        <v>0</v>
      </c>
      <c r="J52">
        <v>0</v>
      </c>
      <c r="K52">
        <v>0</v>
      </c>
      <c r="L52" s="20">
        <v>2000</v>
      </c>
      <c r="M52">
        <v>1</v>
      </c>
      <c r="N52">
        <v>0</v>
      </c>
      <c r="O52">
        <v>0</v>
      </c>
      <c r="P52">
        <v>0</v>
      </c>
      <c r="Q52" s="22">
        <v>6000</v>
      </c>
      <c r="R52">
        <v>3</v>
      </c>
      <c r="S52" s="1">
        <v>0</v>
      </c>
      <c r="T52">
        <v>0</v>
      </c>
      <c r="U52">
        <v>0</v>
      </c>
      <c r="V52" s="21">
        <v>3000</v>
      </c>
      <c r="W52">
        <v>12</v>
      </c>
      <c r="X52">
        <v>0</v>
      </c>
      <c r="Y52">
        <v>0</v>
      </c>
      <c r="Z52">
        <v>0</v>
      </c>
      <c r="AA52">
        <v>10</v>
      </c>
    </row>
    <row r="53" spans="1:27" ht="14.25" x14ac:dyDescent="0.2">
      <c r="A53" s="10">
        <v>415</v>
      </c>
      <c r="B53" t="s">
        <v>126</v>
      </c>
      <c r="C53" t="s">
        <v>121</v>
      </c>
      <c r="D53" t="s">
        <v>121</v>
      </c>
      <c r="E53" t="s">
        <v>121</v>
      </c>
      <c r="F53" s="4" t="s">
        <v>254</v>
      </c>
      <c r="H53">
        <v>2</v>
      </c>
      <c r="I53" s="1">
        <v>0</v>
      </c>
      <c r="J53">
        <v>0</v>
      </c>
      <c r="K53">
        <v>0</v>
      </c>
      <c r="L53" s="20">
        <v>2000</v>
      </c>
      <c r="M53">
        <v>1</v>
      </c>
      <c r="N53">
        <v>0</v>
      </c>
      <c r="O53">
        <v>0</v>
      </c>
      <c r="P53">
        <v>0</v>
      </c>
      <c r="Q53" s="22">
        <v>6000</v>
      </c>
      <c r="R53">
        <v>3</v>
      </c>
      <c r="S53" s="1">
        <v>0</v>
      </c>
      <c r="T53">
        <v>0</v>
      </c>
      <c r="U53">
        <v>0</v>
      </c>
      <c r="V53" s="21">
        <v>3000</v>
      </c>
      <c r="W53">
        <v>23</v>
      </c>
      <c r="X53">
        <v>0</v>
      </c>
      <c r="Y53">
        <v>0</v>
      </c>
      <c r="Z53">
        <v>0</v>
      </c>
      <c r="AA53">
        <v>1</v>
      </c>
    </row>
    <row r="54" spans="1:27" ht="14.25" x14ac:dyDescent="0.2">
      <c r="A54" s="10">
        <v>416</v>
      </c>
      <c r="B54" t="s">
        <v>131</v>
      </c>
      <c r="C54" t="s">
        <v>125</v>
      </c>
      <c r="D54" t="s">
        <v>121</v>
      </c>
      <c r="E54" t="s">
        <v>136</v>
      </c>
      <c r="F54" s="4" t="s">
        <v>256</v>
      </c>
      <c r="H54">
        <v>2</v>
      </c>
      <c r="I54" s="1">
        <v>0</v>
      </c>
      <c r="J54">
        <v>0</v>
      </c>
      <c r="K54">
        <v>0</v>
      </c>
      <c r="L54" s="20">
        <v>2100</v>
      </c>
      <c r="M54">
        <v>1</v>
      </c>
      <c r="N54">
        <v>0</v>
      </c>
      <c r="O54">
        <v>0</v>
      </c>
      <c r="P54">
        <v>0</v>
      </c>
      <c r="Q54" s="22">
        <v>6000</v>
      </c>
      <c r="R54">
        <v>3</v>
      </c>
      <c r="S54" s="1">
        <v>0</v>
      </c>
      <c r="T54">
        <v>0</v>
      </c>
      <c r="U54">
        <v>0</v>
      </c>
      <c r="V54" s="21">
        <v>3000</v>
      </c>
      <c r="W54">
        <v>6</v>
      </c>
      <c r="X54">
        <v>1</v>
      </c>
      <c r="Y54">
        <v>0</v>
      </c>
      <c r="Z54">
        <v>3</v>
      </c>
      <c r="AA54">
        <v>10</v>
      </c>
    </row>
    <row r="55" spans="1:27" ht="14.25" x14ac:dyDescent="0.2">
      <c r="A55" s="10">
        <v>417</v>
      </c>
      <c r="B55" t="s">
        <v>180</v>
      </c>
      <c r="C55" t="s">
        <v>121</v>
      </c>
      <c r="D55" t="s">
        <v>121</v>
      </c>
      <c r="E55" t="s">
        <v>121</v>
      </c>
      <c r="F55" s="4" t="s">
        <v>258</v>
      </c>
      <c r="H55">
        <v>2</v>
      </c>
      <c r="I55" s="1">
        <v>0</v>
      </c>
      <c r="J55">
        <v>0</v>
      </c>
      <c r="K55">
        <v>0</v>
      </c>
      <c r="L55" s="20">
        <v>2100</v>
      </c>
      <c r="M55">
        <v>1</v>
      </c>
      <c r="N55">
        <v>0</v>
      </c>
      <c r="O55">
        <v>0</v>
      </c>
      <c r="P55">
        <v>0</v>
      </c>
      <c r="Q55" s="22">
        <v>6000</v>
      </c>
      <c r="R55">
        <v>3</v>
      </c>
      <c r="S55" s="1">
        <v>0</v>
      </c>
      <c r="T55">
        <v>0</v>
      </c>
      <c r="U55">
        <v>0</v>
      </c>
      <c r="V55" s="21">
        <v>3000</v>
      </c>
      <c r="W55">
        <v>15</v>
      </c>
      <c r="X55">
        <v>0</v>
      </c>
      <c r="Y55">
        <v>0</v>
      </c>
      <c r="Z55">
        <v>0</v>
      </c>
      <c r="AA55">
        <v>1</v>
      </c>
    </row>
    <row r="56" spans="1:27" ht="14.25" x14ac:dyDescent="0.2">
      <c r="A56" s="10">
        <v>418</v>
      </c>
      <c r="B56" t="s">
        <v>122</v>
      </c>
      <c r="C56" t="s">
        <v>121</v>
      </c>
      <c r="D56" t="s">
        <v>121</v>
      </c>
      <c r="E56" t="s">
        <v>121</v>
      </c>
      <c r="F56" s="4" t="s">
        <v>260</v>
      </c>
      <c r="H56">
        <v>2</v>
      </c>
      <c r="I56" s="1">
        <v>0</v>
      </c>
      <c r="J56">
        <v>0</v>
      </c>
      <c r="K56">
        <v>0</v>
      </c>
      <c r="L56" s="20">
        <v>2100</v>
      </c>
      <c r="M56">
        <v>1</v>
      </c>
      <c r="N56">
        <v>0</v>
      </c>
      <c r="O56">
        <v>0</v>
      </c>
      <c r="P56">
        <v>0</v>
      </c>
      <c r="Q56" s="22">
        <v>6300</v>
      </c>
      <c r="R56">
        <v>3</v>
      </c>
      <c r="S56" s="1">
        <v>0</v>
      </c>
      <c r="T56">
        <v>0</v>
      </c>
      <c r="U56">
        <v>0</v>
      </c>
      <c r="V56" s="21">
        <v>3150</v>
      </c>
      <c r="W56">
        <v>4</v>
      </c>
      <c r="X56">
        <v>0</v>
      </c>
      <c r="Y56">
        <v>0</v>
      </c>
      <c r="Z56">
        <v>0</v>
      </c>
      <c r="AA56">
        <v>10</v>
      </c>
    </row>
    <row r="57" spans="1:27" ht="14.25" x14ac:dyDescent="0.2">
      <c r="A57" s="10">
        <v>419</v>
      </c>
      <c r="B57" t="s">
        <v>178</v>
      </c>
      <c r="C57" t="s">
        <v>121</v>
      </c>
      <c r="D57" t="s">
        <v>121</v>
      </c>
      <c r="E57" t="s">
        <v>121</v>
      </c>
      <c r="F57" s="4" t="s">
        <v>262</v>
      </c>
      <c r="H57">
        <v>2</v>
      </c>
      <c r="I57" s="1">
        <v>0</v>
      </c>
      <c r="J57">
        <v>0</v>
      </c>
      <c r="K57">
        <v>0</v>
      </c>
      <c r="L57" s="20">
        <v>2100</v>
      </c>
      <c r="M57">
        <v>1</v>
      </c>
      <c r="N57">
        <v>0</v>
      </c>
      <c r="O57">
        <v>0</v>
      </c>
      <c r="P57">
        <v>0</v>
      </c>
      <c r="Q57" s="22">
        <v>6300</v>
      </c>
      <c r="R57">
        <v>3</v>
      </c>
      <c r="S57" s="1">
        <v>0</v>
      </c>
      <c r="T57">
        <v>0</v>
      </c>
      <c r="U57">
        <v>0</v>
      </c>
      <c r="V57" s="21">
        <v>3150</v>
      </c>
      <c r="W57">
        <v>21</v>
      </c>
      <c r="X57">
        <v>0</v>
      </c>
      <c r="Y57">
        <v>0</v>
      </c>
      <c r="Z57">
        <v>0</v>
      </c>
      <c r="AA57">
        <v>1</v>
      </c>
    </row>
    <row r="58" spans="1:27" ht="14.25" x14ac:dyDescent="0.2">
      <c r="A58" s="10">
        <v>420</v>
      </c>
      <c r="B58" t="s">
        <v>130</v>
      </c>
      <c r="C58" t="s">
        <v>121</v>
      </c>
      <c r="D58" t="s">
        <v>121</v>
      </c>
      <c r="E58" t="s">
        <v>121</v>
      </c>
      <c r="F58" s="4" t="s">
        <v>260</v>
      </c>
      <c r="H58">
        <v>2</v>
      </c>
      <c r="I58" s="1">
        <v>0</v>
      </c>
      <c r="J58">
        <v>0</v>
      </c>
      <c r="K58">
        <v>0</v>
      </c>
      <c r="L58" s="20">
        <v>2100</v>
      </c>
      <c r="M58">
        <v>1</v>
      </c>
      <c r="N58">
        <v>0</v>
      </c>
      <c r="O58">
        <v>0</v>
      </c>
      <c r="P58">
        <v>0</v>
      </c>
      <c r="Q58" s="22">
        <v>6300</v>
      </c>
      <c r="R58">
        <v>3</v>
      </c>
      <c r="S58" s="1">
        <v>0</v>
      </c>
      <c r="T58">
        <v>0</v>
      </c>
      <c r="U58">
        <v>0</v>
      </c>
      <c r="V58" s="21">
        <v>3150</v>
      </c>
      <c r="W58">
        <v>9</v>
      </c>
      <c r="X58">
        <v>0</v>
      </c>
      <c r="Y58">
        <v>0</v>
      </c>
      <c r="Z58">
        <v>0</v>
      </c>
      <c r="AA58">
        <v>10</v>
      </c>
    </row>
    <row r="59" spans="1:27" ht="14.25" x14ac:dyDescent="0.2">
      <c r="A59" s="10">
        <v>501</v>
      </c>
      <c r="B59" t="s">
        <v>123</v>
      </c>
      <c r="C59" t="s">
        <v>121</v>
      </c>
      <c r="D59" t="s">
        <v>121</v>
      </c>
      <c r="E59" t="s">
        <v>121</v>
      </c>
      <c r="F59" s="4" t="s">
        <v>264</v>
      </c>
      <c r="H59">
        <v>2</v>
      </c>
      <c r="I59" s="1">
        <v>0</v>
      </c>
      <c r="J59">
        <v>0</v>
      </c>
      <c r="K59">
        <v>0</v>
      </c>
      <c r="L59" s="20">
        <v>2200</v>
      </c>
      <c r="M59">
        <v>1</v>
      </c>
      <c r="N59">
        <v>0</v>
      </c>
      <c r="O59">
        <v>0</v>
      </c>
      <c r="P59">
        <v>0</v>
      </c>
      <c r="Q59" s="22">
        <v>6300</v>
      </c>
      <c r="R59">
        <v>3</v>
      </c>
      <c r="S59" s="1">
        <v>0</v>
      </c>
      <c r="T59">
        <v>0</v>
      </c>
      <c r="U59">
        <v>0</v>
      </c>
      <c r="V59" s="21">
        <v>3150</v>
      </c>
      <c r="W59">
        <v>12</v>
      </c>
      <c r="X59">
        <v>0</v>
      </c>
      <c r="Y59">
        <v>0</v>
      </c>
      <c r="Z59">
        <v>0</v>
      </c>
      <c r="AA59">
        <v>10</v>
      </c>
    </row>
    <row r="60" spans="1:27" ht="14.25" x14ac:dyDescent="0.2">
      <c r="A60" s="10">
        <v>502</v>
      </c>
      <c r="B60" t="s">
        <v>126</v>
      </c>
      <c r="C60" t="s">
        <v>121</v>
      </c>
      <c r="D60" t="s">
        <v>121</v>
      </c>
      <c r="E60" t="s">
        <v>121</v>
      </c>
      <c r="F60" s="4" t="s">
        <v>266</v>
      </c>
      <c r="H60">
        <v>2</v>
      </c>
      <c r="I60" s="1">
        <v>0</v>
      </c>
      <c r="J60">
        <v>0</v>
      </c>
      <c r="K60">
        <v>0</v>
      </c>
      <c r="L60" s="20">
        <v>2200</v>
      </c>
      <c r="M60">
        <v>1</v>
      </c>
      <c r="N60">
        <v>0</v>
      </c>
      <c r="O60">
        <v>0</v>
      </c>
      <c r="P60">
        <v>0</v>
      </c>
      <c r="Q60" s="22">
        <v>6300</v>
      </c>
      <c r="R60">
        <v>3</v>
      </c>
      <c r="S60" s="1">
        <v>0</v>
      </c>
      <c r="T60">
        <v>0</v>
      </c>
      <c r="U60">
        <v>0</v>
      </c>
      <c r="V60" s="21">
        <v>3150</v>
      </c>
      <c r="W60">
        <v>23</v>
      </c>
      <c r="X60">
        <v>0</v>
      </c>
      <c r="Y60">
        <v>0</v>
      </c>
      <c r="Z60">
        <v>0</v>
      </c>
      <c r="AA60">
        <v>1</v>
      </c>
    </row>
    <row r="61" spans="1:27" ht="14.25" x14ac:dyDescent="0.2">
      <c r="A61" s="10">
        <v>503</v>
      </c>
      <c r="B61" t="s">
        <v>131</v>
      </c>
      <c r="C61" t="s">
        <v>125</v>
      </c>
      <c r="D61" t="s">
        <v>121</v>
      </c>
      <c r="E61" t="s">
        <v>136</v>
      </c>
      <c r="F61" s="4" t="s">
        <v>268</v>
      </c>
      <c r="H61">
        <v>2</v>
      </c>
      <c r="I61" s="1">
        <v>0</v>
      </c>
      <c r="J61">
        <v>0</v>
      </c>
      <c r="K61">
        <v>0</v>
      </c>
      <c r="L61" s="20">
        <v>2200</v>
      </c>
      <c r="M61">
        <v>1</v>
      </c>
      <c r="N61">
        <v>0</v>
      </c>
      <c r="O61">
        <v>0</v>
      </c>
      <c r="P61">
        <v>0</v>
      </c>
      <c r="Q61" s="22">
        <v>6600</v>
      </c>
      <c r="R61">
        <v>3</v>
      </c>
      <c r="S61" s="1">
        <v>0</v>
      </c>
      <c r="T61">
        <v>0</v>
      </c>
      <c r="U61">
        <v>0</v>
      </c>
      <c r="V61" s="21">
        <v>3300</v>
      </c>
      <c r="W61">
        <v>6</v>
      </c>
      <c r="X61">
        <v>1</v>
      </c>
      <c r="Y61">
        <v>0</v>
      </c>
      <c r="Z61">
        <v>3</v>
      </c>
      <c r="AA61">
        <v>10</v>
      </c>
    </row>
    <row r="62" spans="1:27" ht="14.25" x14ac:dyDescent="0.2">
      <c r="A62" s="10">
        <v>504</v>
      </c>
      <c r="B62" t="s">
        <v>180</v>
      </c>
      <c r="C62" t="s">
        <v>121</v>
      </c>
      <c r="D62" t="s">
        <v>121</v>
      </c>
      <c r="E62" t="s">
        <v>121</v>
      </c>
      <c r="F62" s="4" t="s">
        <v>270</v>
      </c>
      <c r="H62">
        <v>2</v>
      </c>
      <c r="I62" s="1">
        <v>0</v>
      </c>
      <c r="J62">
        <v>0</v>
      </c>
      <c r="K62">
        <v>0</v>
      </c>
      <c r="L62" s="20">
        <v>2200</v>
      </c>
      <c r="M62">
        <v>1</v>
      </c>
      <c r="N62">
        <v>0</v>
      </c>
      <c r="O62">
        <v>0</v>
      </c>
      <c r="P62">
        <v>0</v>
      </c>
      <c r="Q62" s="22">
        <v>6600</v>
      </c>
      <c r="R62">
        <v>3</v>
      </c>
      <c r="S62" s="1">
        <v>0</v>
      </c>
      <c r="T62">
        <v>0</v>
      </c>
      <c r="U62">
        <v>0</v>
      </c>
      <c r="V62" s="21">
        <v>3300</v>
      </c>
      <c r="W62">
        <v>15</v>
      </c>
      <c r="X62">
        <v>0</v>
      </c>
      <c r="Y62">
        <v>0</v>
      </c>
      <c r="Z62">
        <v>0</v>
      </c>
      <c r="AA62">
        <v>1</v>
      </c>
    </row>
    <row r="63" spans="1:27" ht="14.25" x14ac:dyDescent="0.2">
      <c r="A63" s="10">
        <v>505</v>
      </c>
      <c r="B63" t="s">
        <v>122</v>
      </c>
      <c r="C63" t="s">
        <v>121</v>
      </c>
      <c r="D63" t="s">
        <v>121</v>
      </c>
      <c r="E63" t="s">
        <v>121</v>
      </c>
      <c r="F63" s="4" t="s">
        <v>268</v>
      </c>
      <c r="H63">
        <v>2</v>
      </c>
      <c r="I63" s="1">
        <v>0</v>
      </c>
      <c r="J63">
        <v>0</v>
      </c>
      <c r="K63">
        <v>0</v>
      </c>
      <c r="L63" s="20">
        <v>2200</v>
      </c>
      <c r="M63">
        <v>1</v>
      </c>
      <c r="N63">
        <v>0</v>
      </c>
      <c r="O63">
        <v>0</v>
      </c>
      <c r="P63">
        <v>0</v>
      </c>
      <c r="Q63" s="22">
        <v>6600</v>
      </c>
      <c r="R63">
        <v>3</v>
      </c>
      <c r="S63" s="1">
        <v>0</v>
      </c>
      <c r="T63">
        <v>0</v>
      </c>
      <c r="U63">
        <v>0</v>
      </c>
      <c r="V63" s="21">
        <v>3300</v>
      </c>
      <c r="W63">
        <v>4</v>
      </c>
      <c r="X63">
        <v>0</v>
      </c>
      <c r="Y63">
        <v>0</v>
      </c>
      <c r="Z63">
        <v>0</v>
      </c>
      <c r="AA63">
        <v>10</v>
      </c>
    </row>
    <row r="64" spans="1:27" ht="14.25" x14ac:dyDescent="0.2">
      <c r="A64" s="10">
        <v>506</v>
      </c>
      <c r="B64" t="s">
        <v>178</v>
      </c>
      <c r="C64" t="s">
        <v>121</v>
      </c>
      <c r="D64" t="s">
        <v>121</v>
      </c>
      <c r="E64" t="s">
        <v>121</v>
      </c>
      <c r="F64" s="4" t="s">
        <v>272</v>
      </c>
      <c r="H64">
        <v>2</v>
      </c>
      <c r="I64" s="1">
        <v>0</v>
      </c>
      <c r="J64">
        <v>0</v>
      </c>
      <c r="K64">
        <v>0</v>
      </c>
      <c r="L64" s="20">
        <v>2300</v>
      </c>
      <c r="M64">
        <v>1</v>
      </c>
      <c r="N64">
        <v>0</v>
      </c>
      <c r="O64">
        <v>0</v>
      </c>
      <c r="P64">
        <v>0</v>
      </c>
      <c r="Q64" s="22">
        <v>6600</v>
      </c>
      <c r="R64">
        <v>3</v>
      </c>
      <c r="S64" s="1">
        <v>0</v>
      </c>
      <c r="T64">
        <v>0</v>
      </c>
      <c r="U64">
        <v>0</v>
      </c>
      <c r="V64" s="21">
        <v>3300</v>
      </c>
      <c r="W64">
        <v>21</v>
      </c>
      <c r="X64">
        <v>0</v>
      </c>
      <c r="Y64">
        <v>0</v>
      </c>
      <c r="Z64">
        <v>0</v>
      </c>
      <c r="AA64">
        <v>1</v>
      </c>
    </row>
    <row r="65" spans="1:27" ht="14.25" x14ac:dyDescent="0.2">
      <c r="A65" s="10">
        <v>507</v>
      </c>
      <c r="B65" t="s">
        <v>130</v>
      </c>
      <c r="C65" t="s">
        <v>121</v>
      </c>
      <c r="D65" t="s">
        <v>121</v>
      </c>
      <c r="E65" t="s">
        <v>121</v>
      </c>
      <c r="F65" s="4" t="s">
        <v>274</v>
      </c>
      <c r="H65">
        <v>2</v>
      </c>
      <c r="I65" s="1">
        <v>0</v>
      </c>
      <c r="J65">
        <v>0</v>
      </c>
      <c r="K65">
        <v>0</v>
      </c>
      <c r="L65" s="20">
        <v>2300</v>
      </c>
      <c r="M65">
        <v>1</v>
      </c>
      <c r="N65">
        <v>0</v>
      </c>
      <c r="O65">
        <v>0</v>
      </c>
      <c r="P65">
        <v>0</v>
      </c>
      <c r="Q65" s="22">
        <v>6600</v>
      </c>
      <c r="R65">
        <v>3</v>
      </c>
      <c r="S65" s="1">
        <v>0</v>
      </c>
      <c r="T65">
        <v>0</v>
      </c>
      <c r="U65">
        <v>0</v>
      </c>
      <c r="V65" s="21">
        <v>3300</v>
      </c>
      <c r="W65">
        <v>9</v>
      </c>
      <c r="X65">
        <v>0</v>
      </c>
      <c r="Y65">
        <v>0</v>
      </c>
      <c r="Z65">
        <v>0</v>
      </c>
      <c r="AA65">
        <v>10</v>
      </c>
    </row>
    <row r="66" spans="1:27" ht="14.25" x14ac:dyDescent="0.2">
      <c r="A66" s="10">
        <v>508</v>
      </c>
      <c r="B66" t="s">
        <v>123</v>
      </c>
      <c r="C66" t="s">
        <v>121</v>
      </c>
      <c r="D66" t="s">
        <v>121</v>
      </c>
      <c r="E66" t="s">
        <v>121</v>
      </c>
      <c r="F66" s="4" t="s">
        <v>276</v>
      </c>
      <c r="H66">
        <v>2</v>
      </c>
      <c r="I66" s="1">
        <v>0</v>
      </c>
      <c r="J66">
        <v>0</v>
      </c>
      <c r="K66">
        <v>0</v>
      </c>
      <c r="L66" s="20">
        <v>2300</v>
      </c>
      <c r="M66">
        <v>1</v>
      </c>
      <c r="N66">
        <v>0</v>
      </c>
      <c r="O66">
        <v>0</v>
      </c>
      <c r="P66">
        <v>0</v>
      </c>
      <c r="Q66" s="22">
        <v>6900</v>
      </c>
      <c r="R66">
        <v>3</v>
      </c>
      <c r="S66" s="1">
        <v>0</v>
      </c>
      <c r="T66">
        <v>0</v>
      </c>
      <c r="U66">
        <v>0</v>
      </c>
      <c r="V66" s="21">
        <v>3450</v>
      </c>
      <c r="W66">
        <v>12</v>
      </c>
      <c r="X66">
        <v>0</v>
      </c>
      <c r="Y66">
        <v>0</v>
      </c>
      <c r="Z66">
        <v>0</v>
      </c>
      <c r="AA66">
        <v>10</v>
      </c>
    </row>
    <row r="67" spans="1:27" ht="14.25" x14ac:dyDescent="0.2">
      <c r="A67" s="11">
        <v>509</v>
      </c>
      <c r="B67" t="s">
        <v>126</v>
      </c>
      <c r="C67" t="s">
        <v>121</v>
      </c>
      <c r="D67" t="s">
        <v>121</v>
      </c>
      <c r="E67" t="s">
        <v>121</v>
      </c>
      <c r="F67" s="4" t="s">
        <v>278</v>
      </c>
      <c r="H67">
        <v>2</v>
      </c>
      <c r="I67" s="1">
        <v>0</v>
      </c>
      <c r="J67">
        <v>0</v>
      </c>
      <c r="K67">
        <v>0</v>
      </c>
      <c r="L67" s="20">
        <v>2300</v>
      </c>
      <c r="M67">
        <v>1</v>
      </c>
      <c r="N67">
        <v>0</v>
      </c>
      <c r="O67">
        <v>0</v>
      </c>
      <c r="P67">
        <v>0</v>
      </c>
      <c r="Q67" s="22">
        <v>6900</v>
      </c>
      <c r="R67">
        <v>3</v>
      </c>
      <c r="S67" s="1">
        <v>0</v>
      </c>
      <c r="T67">
        <v>0</v>
      </c>
      <c r="U67">
        <v>0</v>
      </c>
      <c r="V67" s="21">
        <v>3450</v>
      </c>
      <c r="W67">
        <v>23</v>
      </c>
      <c r="X67">
        <v>0</v>
      </c>
      <c r="Y67">
        <v>0</v>
      </c>
      <c r="Z67">
        <v>0</v>
      </c>
      <c r="AA67">
        <v>1</v>
      </c>
    </row>
    <row r="68" spans="1:27" ht="14.25" x14ac:dyDescent="0.2">
      <c r="A68" s="11">
        <v>510</v>
      </c>
      <c r="B68" t="s">
        <v>131</v>
      </c>
      <c r="C68" t="s">
        <v>125</v>
      </c>
      <c r="D68" t="s">
        <v>121</v>
      </c>
      <c r="E68" t="s">
        <v>136</v>
      </c>
      <c r="F68" s="4" t="s">
        <v>276</v>
      </c>
      <c r="H68">
        <v>2</v>
      </c>
      <c r="I68" s="1">
        <v>0</v>
      </c>
      <c r="J68">
        <v>0</v>
      </c>
      <c r="K68">
        <v>0</v>
      </c>
      <c r="L68" s="20">
        <v>2300</v>
      </c>
      <c r="M68">
        <v>1</v>
      </c>
      <c r="N68">
        <v>0</v>
      </c>
      <c r="O68">
        <v>0</v>
      </c>
      <c r="P68">
        <v>0</v>
      </c>
      <c r="Q68" s="22">
        <v>6900</v>
      </c>
      <c r="R68">
        <v>3</v>
      </c>
      <c r="S68" s="1">
        <v>0</v>
      </c>
      <c r="T68">
        <v>0</v>
      </c>
      <c r="U68">
        <v>0</v>
      </c>
      <c r="V68" s="21">
        <v>3450</v>
      </c>
      <c r="W68">
        <v>6</v>
      </c>
      <c r="X68">
        <v>1</v>
      </c>
      <c r="Y68">
        <v>0</v>
      </c>
      <c r="Z68">
        <v>3</v>
      </c>
      <c r="AA68">
        <v>10</v>
      </c>
    </row>
    <row r="69" spans="1:27" ht="14.25" x14ac:dyDescent="0.2">
      <c r="A69" s="11">
        <v>511</v>
      </c>
      <c r="B69" t="s">
        <v>180</v>
      </c>
      <c r="C69" t="s">
        <v>121</v>
      </c>
      <c r="D69" t="s">
        <v>121</v>
      </c>
      <c r="E69" t="s">
        <v>121</v>
      </c>
      <c r="F69" s="4" t="s">
        <v>280</v>
      </c>
      <c r="H69">
        <v>2</v>
      </c>
      <c r="I69" s="1">
        <v>0</v>
      </c>
      <c r="J69">
        <v>0</v>
      </c>
      <c r="K69">
        <v>0</v>
      </c>
      <c r="L69" s="20">
        <v>2400</v>
      </c>
      <c r="M69">
        <v>1</v>
      </c>
      <c r="N69">
        <v>0</v>
      </c>
      <c r="O69">
        <v>0</v>
      </c>
      <c r="P69">
        <v>0</v>
      </c>
      <c r="Q69" s="22">
        <v>6900</v>
      </c>
      <c r="R69">
        <v>3</v>
      </c>
      <c r="S69" s="1">
        <v>0</v>
      </c>
      <c r="T69">
        <v>0</v>
      </c>
      <c r="U69">
        <v>0</v>
      </c>
      <c r="V69" s="21">
        <v>3450</v>
      </c>
      <c r="W69">
        <v>15</v>
      </c>
      <c r="X69">
        <v>0</v>
      </c>
      <c r="Y69">
        <v>0</v>
      </c>
      <c r="Z69">
        <v>0</v>
      </c>
      <c r="AA69">
        <v>1</v>
      </c>
    </row>
    <row r="70" spans="1:27" ht="14.25" x14ac:dyDescent="0.2">
      <c r="A70" s="11">
        <v>512</v>
      </c>
      <c r="B70" t="s">
        <v>122</v>
      </c>
      <c r="C70" t="s">
        <v>121</v>
      </c>
      <c r="D70" t="s">
        <v>121</v>
      </c>
      <c r="E70" t="s">
        <v>121</v>
      </c>
      <c r="F70" s="4" t="s">
        <v>282</v>
      </c>
      <c r="H70">
        <v>2</v>
      </c>
      <c r="I70" s="1">
        <v>0</v>
      </c>
      <c r="J70">
        <v>0</v>
      </c>
      <c r="K70">
        <v>0</v>
      </c>
      <c r="L70" s="20">
        <v>2400</v>
      </c>
      <c r="M70">
        <v>1</v>
      </c>
      <c r="N70">
        <v>0</v>
      </c>
      <c r="O70">
        <v>0</v>
      </c>
      <c r="P70">
        <v>0</v>
      </c>
      <c r="Q70" s="22">
        <v>6900</v>
      </c>
      <c r="R70">
        <v>3</v>
      </c>
      <c r="S70" s="1">
        <v>0</v>
      </c>
      <c r="T70">
        <v>0</v>
      </c>
      <c r="U70">
        <v>0</v>
      </c>
      <c r="V70" s="21">
        <v>3450</v>
      </c>
      <c r="W70">
        <v>4</v>
      </c>
      <c r="X70">
        <v>0</v>
      </c>
      <c r="Y70">
        <v>0</v>
      </c>
      <c r="Z70">
        <v>0</v>
      </c>
      <c r="AA70">
        <v>10</v>
      </c>
    </row>
    <row r="71" spans="1:27" ht="14.25" x14ac:dyDescent="0.2">
      <c r="A71" s="11">
        <v>513</v>
      </c>
      <c r="B71" t="s">
        <v>178</v>
      </c>
      <c r="C71" t="s">
        <v>121</v>
      </c>
      <c r="D71" t="s">
        <v>121</v>
      </c>
      <c r="E71" t="s">
        <v>121</v>
      </c>
      <c r="F71" s="4" t="s">
        <v>284</v>
      </c>
      <c r="H71">
        <v>2</v>
      </c>
      <c r="I71" s="1">
        <v>0</v>
      </c>
      <c r="J71">
        <v>0</v>
      </c>
      <c r="K71">
        <v>0</v>
      </c>
      <c r="L71" s="20">
        <v>2400</v>
      </c>
      <c r="M71">
        <v>1</v>
      </c>
      <c r="N71">
        <v>0</v>
      </c>
      <c r="O71">
        <v>0</v>
      </c>
      <c r="P71">
        <v>0</v>
      </c>
      <c r="Q71" s="22">
        <v>7200</v>
      </c>
      <c r="R71">
        <v>3</v>
      </c>
      <c r="S71" s="1">
        <v>0</v>
      </c>
      <c r="T71">
        <v>0</v>
      </c>
      <c r="U71">
        <v>0</v>
      </c>
      <c r="V71" s="21">
        <v>3600</v>
      </c>
      <c r="W71">
        <v>21</v>
      </c>
      <c r="X71">
        <v>0</v>
      </c>
      <c r="Y71">
        <v>0</v>
      </c>
      <c r="Z71">
        <v>0</v>
      </c>
      <c r="AA71">
        <v>1</v>
      </c>
    </row>
    <row r="72" spans="1:27" ht="14.25" x14ac:dyDescent="0.2">
      <c r="A72" s="11">
        <v>514</v>
      </c>
      <c r="B72" t="s">
        <v>130</v>
      </c>
      <c r="C72" t="s">
        <v>121</v>
      </c>
      <c r="D72" t="s">
        <v>121</v>
      </c>
      <c r="E72" t="s">
        <v>121</v>
      </c>
      <c r="F72" s="4" t="s">
        <v>286</v>
      </c>
      <c r="H72">
        <v>2</v>
      </c>
      <c r="I72" s="1">
        <v>0</v>
      </c>
      <c r="J72">
        <v>0</v>
      </c>
      <c r="K72">
        <v>0</v>
      </c>
      <c r="L72" s="20">
        <v>2400</v>
      </c>
      <c r="M72">
        <v>1</v>
      </c>
      <c r="N72">
        <v>0</v>
      </c>
      <c r="O72">
        <v>0</v>
      </c>
      <c r="P72">
        <v>0</v>
      </c>
      <c r="Q72" s="22">
        <v>7200</v>
      </c>
      <c r="R72">
        <v>3</v>
      </c>
      <c r="S72" s="1">
        <v>0</v>
      </c>
      <c r="T72">
        <v>0</v>
      </c>
      <c r="U72">
        <v>0</v>
      </c>
      <c r="V72" s="21">
        <v>3600</v>
      </c>
      <c r="W72">
        <v>9</v>
      </c>
      <c r="X72">
        <v>0</v>
      </c>
      <c r="Y72">
        <v>0</v>
      </c>
      <c r="Z72">
        <v>0</v>
      </c>
      <c r="AA72">
        <v>10</v>
      </c>
    </row>
    <row r="73" spans="1:27" ht="14.25" x14ac:dyDescent="0.2">
      <c r="A73" s="11">
        <v>515</v>
      </c>
      <c r="B73" t="s">
        <v>123</v>
      </c>
      <c r="C73" t="s">
        <v>121</v>
      </c>
      <c r="D73" t="s">
        <v>121</v>
      </c>
      <c r="E73" t="s">
        <v>121</v>
      </c>
      <c r="F73" s="4" t="s">
        <v>286</v>
      </c>
      <c r="H73">
        <v>2</v>
      </c>
      <c r="I73" s="1">
        <v>0</v>
      </c>
      <c r="J73">
        <v>0</v>
      </c>
      <c r="K73">
        <v>0</v>
      </c>
      <c r="L73" s="20">
        <v>2400</v>
      </c>
      <c r="M73">
        <v>1</v>
      </c>
      <c r="N73">
        <v>0</v>
      </c>
      <c r="O73">
        <v>0</v>
      </c>
      <c r="P73">
        <v>0</v>
      </c>
      <c r="Q73" s="22">
        <v>7200</v>
      </c>
      <c r="R73">
        <v>3</v>
      </c>
      <c r="S73" s="1">
        <v>0</v>
      </c>
      <c r="T73">
        <v>0</v>
      </c>
      <c r="U73">
        <v>0</v>
      </c>
      <c r="V73" s="21">
        <v>3600</v>
      </c>
      <c r="W73">
        <v>12</v>
      </c>
      <c r="X73">
        <v>0</v>
      </c>
      <c r="Y73">
        <v>0</v>
      </c>
      <c r="Z73">
        <v>0</v>
      </c>
      <c r="AA73">
        <v>10</v>
      </c>
    </row>
    <row r="74" spans="1:27" ht="14.25" x14ac:dyDescent="0.2">
      <c r="A74" s="11">
        <v>516</v>
      </c>
      <c r="B74" t="s">
        <v>126</v>
      </c>
      <c r="C74" t="s">
        <v>121</v>
      </c>
      <c r="D74" t="s">
        <v>121</v>
      </c>
      <c r="E74" t="s">
        <v>121</v>
      </c>
      <c r="F74" s="4" t="s">
        <v>288</v>
      </c>
      <c r="H74">
        <v>2</v>
      </c>
      <c r="I74" s="1">
        <v>0</v>
      </c>
      <c r="J74">
        <v>0</v>
      </c>
      <c r="K74">
        <v>0</v>
      </c>
      <c r="L74" s="20">
        <v>2500</v>
      </c>
      <c r="M74">
        <v>1</v>
      </c>
      <c r="N74">
        <v>0</v>
      </c>
      <c r="O74">
        <v>0</v>
      </c>
      <c r="P74">
        <v>0</v>
      </c>
      <c r="Q74" s="22">
        <v>7200</v>
      </c>
      <c r="R74">
        <v>3</v>
      </c>
      <c r="S74" s="1">
        <v>0</v>
      </c>
      <c r="T74">
        <v>0</v>
      </c>
      <c r="U74">
        <v>0</v>
      </c>
      <c r="V74" s="21">
        <v>3600</v>
      </c>
      <c r="W74">
        <v>23</v>
      </c>
      <c r="X74">
        <v>0</v>
      </c>
      <c r="Y74">
        <v>0</v>
      </c>
      <c r="Z74">
        <v>0</v>
      </c>
      <c r="AA74">
        <v>1</v>
      </c>
    </row>
    <row r="75" spans="1:27" ht="14.25" x14ac:dyDescent="0.2">
      <c r="A75" s="11">
        <v>517</v>
      </c>
      <c r="B75" t="s">
        <v>131</v>
      </c>
      <c r="C75" t="s">
        <v>125</v>
      </c>
      <c r="D75" t="s">
        <v>121</v>
      </c>
      <c r="E75" t="s">
        <v>136</v>
      </c>
      <c r="F75" s="4" t="s">
        <v>290</v>
      </c>
      <c r="H75">
        <v>2</v>
      </c>
      <c r="I75" s="1">
        <v>0</v>
      </c>
      <c r="J75">
        <v>0</v>
      </c>
      <c r="K75">
        <v>0</v>
      </c>
      <c r="L75" s="20">
        <v>2500</v>
      </c>
      <c r="M75">
        <v>1</v>
      </c>
      <c r="N75">
        <v>0</v>
      </c>
      <c r="O75">
        <v>0</v>
      </c>
      <c r="P75">
        <v>0</v>
      </c>
      <c r="Q75" s="22">
        <v>7200</v>
      </c>
      <c r="R75">
        <v>3</v>
      </c>
      <c r="S75" s="1">
        <v>0</v>
      </c>
      <c r="T75">
        <v>0</v>
      </c>
      <c r="U75">
        <v>0</v>
      </c>
      <c r="V75" s="21">
        <v>3600</v>
      </c>
      <c r="W75">
        <v>6</v>
      </c>
      <c r="X75">
        <v>1</v>
      </c>
      <c r="Y75">
        <v>0</v>
      </c>
      <c r="Z75">
        <v>3</v>
      </c>
      <c r="AA75">
        <v>10</v>
      </c>
    </row>
    <row r="76" spans="1:27" ht="14.25" x14ac:dyDescent="0.2">
      <c r="A76" s="11">
        <v>518</v>
      </c>
      <c r="B76" t="s">
        <v>180</v>
      </c>
      <c r="C76" t="s">
        <v>121</v>
      </c>
      <c r="D76" t="s">
        <v>121</v>
      </c>
      <c r="E76" t="s">
        <v>121</v>
      </c>
      <c r="F76" s="4" t="s">
        <v>292</v>
      </c>
      <c r="H76">
        <v>2</v>
      </c>
      <c r="I76" s="1">
        <v>0</v>
      </c>
      <c r="J76">
        <v>0</v>
      </c>
      <c r="K76">
        <v>0</v>
      </c>
      <c r="L76" s="20">
        <v>2500</v>
      </c>
      <c r="M76">
        <v>1</v>
      </c>
      <c r="N76">
        <v>0</v>
      </c>
      <c r="O76">
        <v>0</v>
      </c>
      <c r="P76">
        <v>0</v>
      </c>
      <c r="Q76" s="22">
        <v>7500</v>
      </c>
      <c r="R76">
        <v>3</v>
      </c>
      <c r="S76" s="1">
        <v>0</v>
      </c>
      <c r="T76">
        <v>0</v>
      </c>
      <c r="U76">
        <v>0</v>
      </c>
      <c r="V76" s="21">
        <v>3750</v>
      </c>
      <c r="W76">
        <v>15</v>
      </c>
      <c r="X76">
        <v>0</v>
      </c>
      <c r="Y76">
        <v>0</v>
      </c>
      <c r="Z76">
        <v>0</v>
      </c>
      <c r="AA76">
        <v>1</v>
      </c>
    </row>
    <row r="77" spans="1:27" ht="14.25" x14ac:dyDescent="0.2">
      <c r="A77" s="11">
        <v>519</v>
      </c>
      <c r="B77" t="s">
        <v>122</v>
      </c>
      <c r="C77" t="s">
        <v>121</v>
      </c>
      <c r="D77" t="s">
        <v>121</v>
      </c>
      <c r="E77" t="s">
        <v>121</v>
      </c>
      <c r="F77" s="4" t="s">
        <v>294</v>
      </c>
      <c r="H77">
        <v>2</v>
      </c>
      <c r="I77" s="1">
        <v>0</v>
      </c>
      <c r="J77">
        <v>0</v>
      </c>
      <c r="K77">
        <v>0</v>
      </c>
      <c r="L77" s="20">
        <v>2500</v>
      </c>
      <c r="M77">
        <v>1</v>
      </c>
      <c r="N77">
        <v>0</v>
      </c>
      <c r="O77">
        <v>0</v>
      </c>
      <c r="P77">
        <v>0</v>
      </c>
      <c r="Q77" s="22">
        <v>7500</v>
      </c>
      <c r="R77">
        <v>3</v>
      </c>
      <c r="S77" s="1">
        <v>0</v>
      </c>
      <c r="T77">
        <v>0</v>
      </c>
      <c r="U77">
        <v>0</v>
      </c>
      <c r="V77" s="21">
        <v>3750</v>
      </c>
      <c r="W77">
        <v>4</v>
      </c>
      <c r="X77">
        <v>0</v>
      </c>
      <c r="Y77">
        <v>0</v>
      </c>
      <c r="Z77">
        <v>0</v>
      </c>
      <c r="AA77">
        <v>10</v>
      </c>
    </row>
    <row r="78" spans="1:27" ht="14.25" x14ac:dyDescent="0.2">
      <c r="A78" s="11">
        <v>520</v>
      </c>
      <c r="B78" t="s">
        <v>178</v>
      </c>
      <c r="C78" t="s">
        <v>121</v>
      </c>
      <c r="D78" t="s">
        <v>121</v>
      </c>
      <c r="E78" t="s">
        <v>121</v>
      </c>
      <c r="F78" s="4" t="s">
        <v>292</v>
      </c>
      <c r="H78">
        <v>2</v>
      </c>
      <c r="I78" s="1">
        <v>0</v>
      </c>
      <c r="J78">
        <v>0</v>
      </c>
      <c r="K78">
        <v>0</v>
      </c>
      <c r="L78" s="20">
        <v>2500</v>
      </c>
      <c r="M78">
        <v>1</v>
      </c>
      <c r="N78">
        <v>0</v>
      </c>
      <c r="O78">
        <v>0</v>
      </c>
      <c r="P78">
        <v>0</v>
      </c>
      <c r="Q78" s="22">
        <v>7500</v>
      </c>
      <c r="R78">
        <v>3</v>
      </c>
      <c r="S78" s="1">
        <v>0</v>
      </c>
      <c r="T78">
        <v>0</v>
      </c>
      <c r="U78">
        <v>0</v>
      </c>
      <c r="V78" s="21">
        <v>3750</v>
      </c>
      <c r="W78">
        <v>21</v>
      </c>
      <c r="X78">
        <v>0</v>
      </c>
      <c r="Y78">
        <v>0</v>
      </c>
      <c r="Z78">
        <v>0</v>
      </c>
      <c r="AA78">
        <v>1</v>
      </c>
    </row>
    <row r="79" spans="1:27" ht="14.25" x14ac:dyDescent="0.2">
      <c r="A79" s="11">
        <v>521</v>
      </c>
      <c r="B79" t="s">
        <v>130</v>
      </c>
      <c r="C79" t="s">
        <v>121</v>
      </c>
      <c r="D79" t="s">
        <v>121</v>
      </c>
      <c r="E79" t="s">
        <v>121</v>
      </c>
      <c r="F79" s="4" t="s">
        <v>296</v>
      </c>
      <c r="H79">
        <v>2</v>
      </c>
      <c r="I79" s="1">
        <v>0</v>
      </c>
      <c r="J79">
        <v>0</v>
      </c>
      <c r="K79">
        <v>0</v>
      </c>
      <c r="L79" s="20">
        <v>2600</v>
      </c>
      <c r="M79">
        <v>1</v>
      </c>
      <c r="N79">
        <v>0</v>
      </c>
      <c r="O79">
        <v>0</v>
      </c>
      <c r="P79">
        <v>0</v>
      </c>
      <c r="Q79" s="22">
        <v>7500</v>
      </c>
      <c r="R79">
        <v>3</v>
      </c>
      <c r="S79" s="1">
        <v>0</v>
      </c>
      <c r="T79">
        <v>0</v>
      </c>
      <c r="U79">
        <v>0</v>
      </c>
      <c r="V79" s="21">
        <v>3750</v>
      </c>
      <c r="W79">
        <v>9</v>
      </c>
      <c r="X79">
        <v>0</v>
      </c>
      <c r="Y79">
        <v>0</v>
      </c>
      <c r="Z79">
        <v>0</v>
      </c>
      <c r="AA79">
        <v>10</v>
      </c>
    </row>
    <row r="80" spans="1:27" ht="14.25" x14ac:dyDescent="0.2">
      <c r="A80" s="11">
        <v>522</v>
      </c>
      <c r="B80" t="s">
        <v>123</v>
      </c>
      <c r="C80" t="s">
        <v>121</v>
      </c>
      <c r="D80" t="s">
        <v>121</v>
      </c>
      <c r="E80" t="s">
        <v>121</v>
      </c>
      <c r="F80" s="4" t="s">
        <v>296</v>
      </c>
      <c r="H80">
        <v>2</v>
      </c>
      <c r="I80" s="1">
        <v>0</v>
      </c>
      <c r="J80">
        <v>0</v>
      </c>
      <c r="K80">
        <v>0</v>
      </c>
      <c r="L80" s="20">
        <v>2600</v>
      </c>
      <c r="M80">
        <v>1</v>
      </c>
      <c r="N80">
        <v>0</v>
      </c>
      <c r="O80">
        <v>0</v>
      </c>
      <c r="P80">
        <v>0</v>
      </c>
      <c r="Q80" s="22">
        <v>7500</v>
      </c>
      <c r="R80">
        <v>3</v>
      </c>
      <c r="S80" s="1">
        <v>0</v>
      </c>
      <c r="T80">
        <v>0</v>
      </c>
      <c r="U80">
        <v>0</v>
      </c>
      <c r="V80" s="21">
        <v>3750</v>
      </c>
      <c r="W80">
        <v>12</v>
      </c>
      <c r="X80">
        <v>0</v>
      </c>
      <c r="Y80">
        <v>0</v>
      </c>
      <c r="Z80">
        <v>0</v>
      </c>
      <c r="AA80">
        <v>10</v>
      </c>
    </row>
    <row r="81" spans="1:27" ht="14.25" x14ac:dyDescent="0.2">
      <c r="A81" s="11">
        <v>523</v>
      </c>
      <c r="B81" t="s">
        <v>126</v>
      </c>
      <c r="C81" t="s">
        <v>121</v>
      </c>
      <c r="D81" t="s">
        <v>121</v>
      </c>
      <c r="E81" t="s">
        <v>121</v>
      </c>
      <c r="F81" s="4" t="s">
        <v>298</v>
      </c>
      <c r="H81">
        <v>2</v>
      </c>
      <c r="I81" s="1">
        <v>0</v>
      </c>
      <c r="J81">
        <v>0</v>
      </c>
      <c r="K81">
        <v>0</v>
      </c>
      <c r="L81" s="20">
        <v>2600</v>
      </c>
      <c r="M81">
        <v>1</v>
      </c>
      <c r="N81">
        <v>0</v>
      </c>
      <c r="O81">
        <v>0</v>
      </c>
      <c r="P81">
        <v>0</v>
      </c>
      <c r="Q81" s="22">
        <v>7800</v>
      </c>
      <c r="R81">
        <v>3</v>
      </c>
      <c r="S81" s="1">
        <v>0</v>
      </c>
      <c r="T81">
        <v>0</v>
      </c>
      <c r="U81">
        <v>0</v>
      </c>
      <c r="V81" s="21">
        <v>3900</v>
      </c>
      <c r="W81">
        <v>23</v>
      </c>
      <c r="X81">
        <v>0</v>
      </c>
      <c r="Y81">
        <v>0</v>
      </c>
      <c r="Z81">
        <v>0</v>
      </c>
      <c r="AA81">
        <v>1</v>
      </c>
    </row>
    <row r="82" spans="1:27" ht="14.25" x14ac:dyDescent="0.2">
      <c r="A82" s="11">
        <v>524</v>
      </c>
      <c r="B82" t="s">
        <v>131</v>
      </c>
      <c r="C82" t="s">
        <v>125</v>
      </c>
      <c r="D82" t="s">
        <v>121</v>
      </c>
      <c r="E82" t="s">
        <v>136</v>
      </c>
      <c r="F82" s="4" t="s">
        <v>300</v>
      </c>
      <c r="H82">
        <v>2</v>
      </c>
      <c r="I82" s="1">
        <v>0</v>
      </c>
      <c r="J82">
        <v>0</v>
      </c>
      <c r="K82">
        <v>0</v>
      </c>
      <c r="L82" s="20">
        <v>2600</v>
      </c>
      <c r="M82">
        <v>1</v>
      </c>
      <c r="N82">
        <v>0</v>
      </c>
      <c r="O82">
        <v>0</v>
      </c>
      <c r="P82">
        <v>0</v>
      </c>
      <c r="Q82" s="22">
        <v>7800</v>
      </c>
      <c r="R82">
        <v>3</v>
      </c>
      <c r="S82" s="1">
        <v>0</v>
      </c>
      <c r="T82">
        <v>0</v>
      </c>
      <c r="U82">
        <v>0</v>
      </c>
      <c r="V82" s="21">
        <v>3900</v>
      </c>
      <c r="W82">
        <v>6</v>
      </c>
      <c r="X82">
        <v>1</v>
      </c>
      <c r="Y82">
        <v>0</v>
      </c>
      <c r="Z82">
        <v>3</v>
      </c>
      <c r="AA82">
        <v>10</v>
      </c>
    </row>
    <row r="83" spans="1:27" ht="14.25" x14ac:dyDescent="0.2">
      <c r="A83" s="11">
        <v>525</v>
      </c>
      <c r="B83" s="5" t="s">
        <v>2695</v>
      </c>
      <c r="C83" t="s">
        <v>121</v>
      </c>
      <c r="D83" t="s">
        <v>121</v>
      </c>
      <c r="E83" t="s">
        <v>121</v>
      </c>
      <c r="F83" s="17" t="s">
        <v>300</v>
      </c>
      <c r="H83">
        <v>2</v>
      </c>
      <c r="I83" s="1">
        <v>0</v>
      </c>
      <c r="J83">
        <v>0</v>
      </c>
      <c r="K83">
        <v>0</v>
      </c>
      <c r="L83" s="20">
        <v>2600</v>
      </c>
      <c r="M83">
        <v>1</v>
      </c>
      <c r="N83">
        <v>0</v>
      </c>
      <c r="O83">
        <v>0</v>
      </c>
      <c r="P83">
        <v>0</v>
      </c>
      <c r="Q83" s="22">
        <v>7800</v>
      </c>
      <c r="R83">
        <v>3</v>
      </c>
      <c r="S83" s="1">
        <v>0</v>
      </c>
      <c r="T83">
        <v>0</v>
      </c>
      <c r="U83">
        <v>0</v>
      </c>
      <c r="V83" s="21">
        <v>3900</v>
      </c>
      <c r="W83">
        <v>35</v>
      </c>
      <c r="X83">
        <v>0</v>
      </c>
      <c r="Y83">
        <v>0</v>
      </c>
      <c r="Z83">
        <v>0</v>
      </c>
      <c r="AA83">
        <v>10</v>
      </c>
    </row>
    <row r="84" spans="1:27" ht="14.25" x14ac:dyDescent="0.2">
      <c r="A84" s="11">
        <v>601</v>
      </c>
      <c r="B84" t="s">
        <v>122</v>
      </c>
      <c r="C84" t="s">
        <v>121</v>
      </c>
      <c r="D84" t="s">
        <v>121</v>
      </c>
      <c r="E84" t="s">
        <v>121</v>
      </c>
      <c r="F84" s="4" t="s">
        <v>302</v>
      </c>
      <c r="H84">
        <v>2</v>
      </c>
      <c r="I84" s="1">
        <v>0</v>
      </c>
      <c r="J84">
        <v>0</v>
      </c>
      <c r="K84">
        <v>0</v>
      </c>
      <c r="L84" s="20">
        <v>2700</v>
      </c>
      <c r="M84">
        <v>1</v>
      </c>
      <c r="N84">
        <v>0</v>
      </c>
      <c r="O84">
        <v>0</v>
      </c>
      <c r="P84">
        <v>0</v>
      </c>
      <c r="Q84" s="22">
        <v>7800</v>
      </c>
      <c r="R84">
        <v>3</v>
      </c>
      <c r="S84" s="1">
        <v>0</v>
      </c>
      <c r="T84">
        <v>0</v>
      </c>
      <c r="U84">
        <v>0</v>
      </c>
      <c r="V84" s="21">
        <v>3900</v>
      </c>
      <c r="W84">
        <v>4</v>
      </c>
      <c r="X84">
        <v>0</v>
      </c>
      <c r="Y84">
        <v>0</v>
      </c>
      <c r="Z84">
        <v>0</v>
      </c>
      <c r="AA84">
        <v>10</v>
      </c>
    </row>
    <row r="85" spans="1:27" ht="14.25" x14ac:dyDescent="0.2">
      <c r="A85" s="11">
        <v>602</v>
      </c>
      <c r="B85" t="s">
        <v>178</v>
      </c>
      <c r="C85" t="s">
        <v>121</v>
      </c>
      <c r="D85" t="s">
        <v>121</v>
      </c>
      <c r="E85" t="s">
        <v>121</v>
      </c>
      <c r="F85" s="4" t="s">
        <v>304</v>
      </c>
      <c r="H85">
        <v>2</v>
      </c>
      <c r="I85" s="1">
        <v>0</v>
      </c>
      <c r="J85">
        <v>0</v>
      </c>
      <c r="K85">
        <v>0</v>
      </c>
      <c r="L85" s="20">
        <v>2700</v>
      </c>
      <c r="M85">
        <v>1</v>
      </c>
      <c r="N85">
        <v>0</v>
      </c>
      <c r="O85">
        <v>0</v>
      </c>
      <c r="P85">
        <v>0</v>
      </c>
      <c r="Q85" s="22">
        <v>7800</v>
      </c>
      <c r="R85">
        <v>3</v>
      </c>
      <c r="S85" s="1">
        <v>0</v>
      </c>
      <c r="T85">
        <v>0</v>
      </c>
      <c r="U85">
        <v>0</v>
      </c>
      <c r="V85" s="21">
        <v>3900</v>
      </c>
      <c r="W85">
        <v>21</v>
      </c>
      <c r="X85">
        <v>0</v>
      </c>
      <c r="Y85">
        <v>0</v>
      </c>
      <c r="Z85">
        <v>0</v>
      </c>
      <c r="AA85">
        <v>1</v>
      </c>
    </row>
    <row r="86" spans="1:27" ht="14.25" x14ac:dyDescent="0.2">
      <c r="A86" s="11">
        <v>603</v>
      </c>
      <c r="B86" t="s">
        <v>130</v>
      </c>
      <c r="C86" t="s">
        <v>121</v>
      </c>
      <c r="D86" t="s">
        <v>121</v>
      </c>
      <c r="E86" t="s">
        <v>121</v>
      </c>
      <c r="F86" s="4" t="s">
        <v>306</v>
      </c>
      <c r="H86">
        <v>2</v>
      </c>
      <c r="I86" s="1">
        <v>0</v>
      </c>
      <c r="J86">
        <v>0</v>
      </c>
      <c r="K86">
        <v>0</v>
      </c>
      <c r="L86" s="20">
        <v>2700</v>
      </c>
      <c r="M86">
        <v>1</v>
      </c>
      <c r="N86">
        <v>0</v>
      </c>
      <c r="O86">
        <v>0</v>
      </c>
      <c r="P86">
        <v>0</v>
      </c>
      <c r="Q86" s="22">
        <v>8100</v>
      </c>
      <c r="R86">
        <v>3</v>
      </c>
      <c r="S86" s="1">
        <v>0</v>
      </c>
      <c r="T86">
        <v>0</v>
      </c>
      <c r="U86">
        <v>0</v>
      </c>
      <c r="V86" s="21">
        <v>4050</v>
      </c>
      <c r="W86">
        <v>9</v>
      </c>
      <c r="X86">
        <v>0</v>
      </c>
      <c r="Y86">
        <v>0</v>
      </c>
      <c r="Z86">
        <v>0</v>
      </c>
      <c r="AA86">
        <v>10</v>
      </c>
    </row>
    <row r="87" spans="1:27" ht="14.25" x14ac:dyDescent="0.2">
      <c r="A87" s="11">
        <v>604</v>
      </c>
      <c r="B87" t="s">
        <v>123</v>
      </c>
      <c r="C87" t="s">
        <v>121</v>
      </c>
      <c r="D87" t="s">
        <v>121</v>
      </c>
      <c r="E87" t="s">
        <v>121</v>
      </c>
      <c r="F87" s="4" t="s">
        <v>306</v>
      </c>
      <c r="H87">
        <v>2</v>
      </c>
      <c r="I87" s="1">
        <v>0</v>
      </c>
      <c r="J87">
        <v>0</v>
      </c>
      <c r="K87">
        <v>0</v>
      </c>
      <c r="L87" s="20">
        <v>2700</v>
      </c>
      <c r="M87">
        <v>1</v>
      </c>
      <c r="N87">
        <v>0</v>
      </c>
      <c r="O87">
        <v>0</v>
      </c>
      <c r="P87">
        <v>0</v>
      </c>
      <c r="Q87" s="22">
        <v>8100</v>
      </c>
      <c r="R87">
        <v>3</v>
      </c>
      <c r="S87" s="1">
        <v>0</v>
      </c>
      <c r="T87">
        <v>0</v>
      </c>
      <c r="U87">
        <v>0</v>
      </c>
      <c r="V87" s="21">
        <v>4050</v>
      </c>
      <c r="W87">
        <v>12</v>
      </c>
      <c r="X87">
        <v>0</v>
      </c>
      <c r="Y87">
        <v>0</v>
      </c>
      <c r="Z87">
        <v>0</v>
      </c>
      <c r="AA87">
        <v>10</v>
      </c>
    </row>
    <row r="88" spans="1:27" ht="14.25" x14ac:dyDescent="0.2">
      <c r="A88" s="11">
        <v>605</v>
      </c>
      <c r="B88" t="s">
        <v>126</v>
      </c>
      <c r="C88" t="s">
        <v>121</v>
      </c>
      <c r="D88" t="s">
        <v>121</v>
      </c>
      <c r="E88" t="s">
        <v>121</v>
      </c>
      <c r="F88" s="4" t="s">
        <v>308</v>
      </c>
      <c r="H88">
        <v>2</v>
      </c>
      <c r="I88" s="1">
        <v>0</v>
      </c>
      <c r="J88">
        <v>0</v>
      </c>
      <c r="K88">
        <v>0</v>
      </c>
      <c r="L88" s="20">
        <v>2700</v>
      </c>
      <c r="M88">
        <v>1</v>
      </c>
      <c r="N88">
        <v>0</v>
      </c>
      <c r="O88">
        <v>0</v>
      </c>
      <c r="P88">
        <v>0</v>
      </c>
      <c r="Q88" s="22">
        <v>8100</v>
      </c>
      <c r="R88">
        <v>3</v>
      </c>
      <c r="S88" s="1">
        <v>0</v>
      </c>
      <c r="T88">
        <v>0</v>
      </c>
      <c r="U88">
        <v>0</v>
      </c>
      <c r="V88" s="21">
        <v>4050</v>
      </c>
      <c r="W88">
        <v>23</v>
      </c>
      <c r="X88">
        <v>0</v>
      </c>
      <c r="Y88">
        <v>0</v>
      </c>
      <c r="Z88">
        <v>0</v>
      </c>
      <c r="AA88">
        <v>1</v>
      </c>
    </row>
    <row r="89" spans="1:27" ht="14.25" x14ac:dyDescent="0.2">
      <c r="A89" s="11">
        <v>606</v>
      </c>
      <c r="B89" t="s">
        <v>131</v>
      </c>
      <c r="C89" t="s">
        <v>125</v>
      </c>
      <c r="D89" t="s">
        <v>121</v>
      </c>
      <c r="E89" t="s">
        <v>136</v>
      </c>
      <c r="F89" s="4" t="s">
        <v>310</v>
      </c>
      <c r="H89">
        <v>2</v>
      </c>
      <c r="I89" s="1">
        <v>0</v>
      </c>
      <c r="J89">
        <v>0</v>
      </c>
      <c r="K89">
        <v>0</v>
      </c>
      <c r="L89" s="20">
        <v>2800</v>
      </c>
      <c r="M89">
        <v>1</v>
      </c>
      <c r="N89">
        <v>0</v>
      </c>
      <c r="O89">
        <v>0</v>
      </c>
      <c r="P89">
        <v>0</v>
      </c>
      <c r="Q89" s="22">
        <v>8100</v>
      </c>
      <c r="R89">
        <v>3</v>
      </c>
      <c r="S89" s="1">
        <v>0</v>
      </c>
      <c r="T89">
        <v>0</v>
      </c>
      <c r="U89">
        <v>0</v>
      </c>
      <c r="V89" s="21">
        <v>4050</v>
      </c>
      <c r="W89">
        <v>6</v>
      </c>
      <c r="X89">
        <v>1</v>
      </c>
      <c r="Y89">
        <v>0</v>
      </c>
      <c r="Z89">
        <v>3</v>
      </c>
      <c r="AA89">
        <v>10</v>
      </c>
    </row>
    <row r="90" spans="1:27" ht="14.25" x14ac:dyDescent="0.2">
      <c r="A90" s="11">
        <v>607</v>
      </c>
      <c r="B90" t="s">
        <v>180</v>
      </c>
      <c r="C90" t="s">
        <v>121</v>
      </c>
      <c r="D90" t="s">
        <v>121</v>
      </c>
      <c r="E90" t="s">
        <v>121</v>
      </c>
      <c r="F90" s="4" t="s">
        <v>312</v>
      </c>
      <c r="H90">
        <v>2</v>
      </c>
      <c r="I90" s="1">
        <v>0</v>
      </c>
      <c r="J90">
        <v>0</v>
      </c>
      <c r="K90">
        <v>0</v>
      </c>
      <c r="L90" s="20">
        <v>2800</v>
      </c>
      <c r="M90">
        <v>1</v>
      </c>
      <c r="N90">
        <v>0</v>
      </c>
      <c r="O90">
        <v>0</v>
      </c>
      <c r="P90">
        <v>0</v>
      </c>
      <c r="Q90" s="22">
        <v>8100</v>
      </c>
      <c r="R90">
        <v>3</v>
      </c>
      <c r="S90" s="1">
        <v>0</v>
      </c>
      <c r="T90">
        <v>0</v>
      </c>
      <c r="U90">
        <v>0</v>
      </c>
      <c r="V90" s="21">
        <v>4050</v>
      </c>
      <c r="W90">
        <v>15</v>
      </c>
      <c r="X90">
        <v>0</v>
      </c>
      <c r="Y90">
        <v>0</v>
      </c>
      <c r="Z90">
        <v>0</v>
      </c>
      <c r="AA90">
        <v>1</v>
      </c>
    </row>
    <row r="91" spans="1:27" ht="14.25" x14ac:dyDescent="0.2">
      <c r="A91" s="11">
        <v>608</v>
      </c>
      <c r="B91" t="s">
        <v>122</v>
      </c>
      <c r="C91" t="s">
        <v>121</v>
      </c>
      <c r="D91" t="s">
        <v>121</v>
      </c>
      <c r="E91" t="s">
        <v>121</v>
      </c>
      <c r="F91" s="4" t="s">
        <v>314</v>
      </c>
      <c r="H91">
        <v>2</v>
      </c>
      <c r="I91" s="1">
        <v>0</v>
      </c>
      <c r="J91">
        <v>0</v>
      </c>
      <c r="K91">
        <v>0</v>
      </c>
      <c r="L91" s="20">
        <v>2800</v>
      </c>
      <c r="M91">
        <v>1</v>
      </c>
      <c r="N91">
        <v>0</v>
      </c>
      <c r="O91">
        <v>0</v>
      </c>
      <c r="P91">
        <v>0</v>
      </c>
      <c r="Q91" s="22">
        <v>8400</v>
      </c>
      <c r="R91">
        <v>3</v>
      </c>
      <c r="S91" s="1">
        <v>0</v>
      </c>
      <c r="T91">
        <v>0</v>
      </c>
      <c r="U91">
        <v>0</v>
      </c>
      <c r="V91" s="21">
        <v>4200</v>
      </c>
      <c r="W91">
        <v>4</v>
      </c>
      <c r="X91">
        <v>0</v>
      </c>
      <c r="Y91">
        <v>0</v>
      </c>
      <c r="Z91">
        <v>0</v>
      </c>
      <c r="AA91">
        <v>10</v>
      </c>
    </row>
    <row r="92" spans="1:27" ht="14.25" x14ac:dyDescent="0.2">
      <c r="A92" s="11">
        <v>609</v>
      </c>
      <c r="B92" t="s">
        <v>178</v>
      </c>
      <c r="C92" t="s">
        <v>121</v>
      </c>
      <c r="D92" t="s">
        <v>121</v>
      </c>
      <c r="E92" t="s">
        <v>121</v>
      </c>
      <c r="F92" s="4" t="s">
        <v>316</v>
      </c>
      <c r="H92">
        <v>2</v>
      </c>
      <c r="I92" s="1">
        <v>0</v>
      </c>
      <c r="J92">
        <v>0</v>
      </c>
      <c r="K92">
        <v>0</v>
      </c>
      <c r="L92" s="20">
        <v>2800</v>
      </c>
      <c r="M92">
        <v>1</v>
      </c>
      <c r="N92">
        <v>0</v>
      </c>
      <c r="O92">
        <v>0</v>
      </c>
      <c r="P92">
        <v>0</v>
      </c>
      <c r="Q92" s="22">
        <v>8400</v>
      </c>
      <c r="R92">
        <v>3</v>
      </c>
      <c r="S92" s="1">
        <v>0</v>
      </c>
      <c r="T92">
        <v>0</v>
      </c>
      <c r="U92">
        <v>0</v>
      </c>
      <c r="V92" s="21">
        <v>4200</v>
      </c>
      <c r="W92">
        <v>21</v>
      </c>
      <c r="X92">
        <v>0</v>
      </c>
      <c r="Y92">
        <v>0</v>
      </c>
      <c r="Z92">
        <v>0</v>
      </c>
      <c r="AA92">
        <v>1</v>
      </c>
    </row>
    <row r="93" spans="1:27" ht="14.25" x14ac:dyDescent="0.2">
      <c r="A93" s="11">
        <v>610</v>
      </c>
      <c r="B93" t="s">
        <v>130</v>
      </c>
      <c r="C93" t="s">
        <v>121</v>
      </c>
      <c r="D93" t="s">
        <v>121</v>
      </c>
      <c r="E93" t="s">
        <v>121</v>
      </c>
      <c r="F93" s="4" t="s">
        <v>314</v>
      </c>
      <c r="H93">
        <v>2</v>
      </c>
      <c r="I93" s="1">
        <v>0</v>
      </c>
      <c r="J93">
        <v>0</v>
      </c>
      <c r="K93">
        <v>0</v>
      </c>
      <c r="L93" s="20">
        <v>2800</v>
      </c>
      <c r="M93">
        <v>1</v>
      </c>
      <c r="N93">
        <v>0</v>
      </c>
      <c r="O93">
        <v>0</v>
      </c>
      <c r="P93">
        <v>0</v>
      </c>
      <c r="Q93" s="22">
        <v>8400</v>
      </c>
      <c r="R93">
        <v>3</v>
      </c>
      <c r="S93" s="1">
        <v>0</v>
      </c>
      <c r="T93">
        <v>0</v>
      </c>
      <c r="U93">
        <v>0</v>
      </c>
      <c r="V93" s="21">
        <v>4200</v>
      </c>
      <c r="W93">
        <v>9</v>
      </c>
      <c r="X93">
        <v>0</v>
      </c>
      <c r="Y93">
        <v>0</v>
      </c>
      <c r="Z93">
        <v>0</v>
      </c>
      <c r="AA93">
        <v>10</v>
      </c>
    </row>
    <row r="94" spans="1:27" ht="14.25" x14ac:dyDescent="0.2">
      <c r="A94" s="11">
        <v>611</v>
      </c>
      <c r="B94" t="s">
        <v>123</v>
      </c>
      <c r="C94" t="s">
        <v>121</v>
      </c>
      <c r="D94" t="s">
        <v>121</v>
      </c>
      <c r="E94" t="s">
        <v>121</v>
      </c>
      <c r="F94" s="4" t="s">
        <v>318</v>
      </c>
      <c r="H94">
        <v>2</v>
      </c>
      <c r="I94" s="1">
        <v>0</v>
      </c>
      <c r="J94">
        <v>0</v>
      </c>
      <c r="K94">
        <v>0</v>
      </c>
      <c r="L94" s="20">
        <v>2900</v>
      </c>
      <c r="M94">
        <v>1</v>
      </c>
      <c r="N94">
        <v>0</v>
      </c>
      <c r="O94">
        <v>0</v>
      </c>
      <c r="P94">
        <v>0</v>
      </c>
      <c r="Q94" s="22">
        <v>8400</v>
      </c>
      <c r="R94">
        <v>3</v>
      </c>
      <c r="S94" s="1">
        <v>0</v>
      </c>
      <c r="T94">
        <v>0</v>
      </c>
      <c r="U94">
        <v>0</v>
      </c>
      <c r="V94" s="21">
        <v>4200</v>
      </c>
      <c r="W94">
        <v>12</v>
      </c>
      <c r="X94">
        <v>0</v>
      </c>
      <c r="Y94">
        <v>0</v>
      </c>
      <c r="Z94">
        <v>0</v>
      </c>
      <c r="AA94">
        <v>10</v>
      </c>
    </row>
    <row r="95" spans="1:27" ht="14.25" x14ac:dyDescent="0.2">
      <c r="A95" s="11">
        <v>612</v>
      </c>
      <c r="B95" t="s">
        <v>126</v>
      </c>
      <c r="C95" t="s">
        <v>121</v>
      </c>
      <c r="D95" t="s">
        <v>121</v>
      </c>
      <c r="E95" t="s">
        <v>121</v>
      </c>
      <c r="F95" s="4" t="s">
        <v>320</v>
      </c>
      <c r="H95">
        <v>2</v>
      </c>
      <c r="I95" s="1">
        <v>0</v>
      </c>
      <c r="J95">
        <v>0</v>
      </c>
      <c r="K95">
        <v>0</v>
      </c>
      <c r="L95" s="20">
        <v>2900</v>
      </c>
      <c r="M95">
        <v>1</v>
      </c>
      <c r="N95">
        <v>0</v>
      </c>
      <c r="O95">
        <v>0</v>
      </c>
      <c r="P95">
        <v>0</v>
      </c>
      <c r="Q95" s="22">
        <v>8400</v>
      </c>
      <c r="R95">
        <v>3</v>
      </c>
      <c r="S95" s="1">
        <v>0</v>
      </c>
      <c r="T95">
        <v>0</v>
      </c>
      <c r="U95">
        <v>0</v>
      </c>
      <c r="V95" s="21">
        <v>4200</v>
      </c>
      <c r="W95">
        <v>23</v>
      </c>
      <c r="X95">
        <v>0</v>
      </c>
      <c r="Y95">
        <v>0</v>
      </c>
      <c r="Z95">
        <v>0</v>
      </c>
      <c r="AA95">
        <v>1</v>
      </c>
    </row>
    <row r="96" spans="1:27" ht="14.25" x14ac:dyDescent="0.2">
      <c r="A96" s="11">
        <v>613</v>
      </c>
      <c r="B96" t="s">
        <v>131</v>
      </c>
      <c r="C96" t="s">
        <v>125</v>
      </c>
      <c r="D96" t="s">
        <v>121</v>
      </c>
      <c r="E96" t="s">
        <v>136</v>
      </c>
      <c r="F96" s="4" t="s">
        <v>322</v>
      </c>
      <c r="H96">
        <v>2</v>
      </c>
      <c r="I96" s="1">
        <v>0</v>
      </c>
      <c r="J96">
        <v>0</v>
      </c>
      <c r="K96">
        <v>0</v>
      </c>
      <c r="L96" s="20">
        <v>2900</v>
      </c>
      <c r="M96">
        <v>1</v>
      </c>
      <c r="N96">
        <v>0</v>
      </c>
      <c r="O96">
        <v>0</v>
      </c>
      <c r="P96">
        <v>0</v>
      </c>
      <c r="Q96" s="22">
        <v>8700</v>
      </c>
      <c r="R96">
        <v>3</v>
      </c>
      <c r="S96" s="1">
        <v>0</v>
      </c>
      <c r="T96">
        <v>0</v>
      </c>
      <c r="U96">
        <v>0</v>
      </c>
      <c r="V96" s="21">
        <v>4350</v>
      </c>
      <c r="W96">
        <v>6</v>
      </c>
      <c r="X96">
        <v>1</v>
      </c>
      <c r="Y96">
        <v>0</v>
      </c>
      <c r="Z96">
        <v>3</v>
      </c>
      <c r="AA96">
        <v>10</v>
      </c>
    </row>
    <row r="97" spans="1:27" ht="14.25" x14ac:dyDescent="0.2">
      <c r="A97" s="11">
        <v>614</v>
      </c>
      <c r="B97" t="s">
        <v>180</v>
      </c>
      <c r="C97" t="s">
        <v>121</v>
      </c>
      <c r="D97" t="s">
        <v>121</v>
      </c>
      <c r="E97" t="s">
        <v>121</v>
      </c>
      <c r="F97" s="4" t="s">
        <v>324</v>
      </c>
      <c r="H97">
        <v>2</v>
      </c>
      <c r="I97" s="1">
        <v>0</v>
      </c>
      <c r="J97">
        <v>0</v>
      </c>
      <c r="K97">
        <v>0</v>
      </c>
      <c r="L97" s="20">
        <v>2900</v>
      </c>
      <c r="M97">
        <v>1</v>
      </c>
      <c r="N97">
        <v>0</v>
      </c>
      <c r="O97">
        <v>0</v>
      </c>
      <c r="P97">
        <v>0</v>
      </c>
      <c r="Q97" s="22">
        <v>8700</v>
      </c>
      <c r="R97">
        <v>3</v>
      </c>
      <c r="S97" s="1">
        <v>0</v>
      </c>
      <c r="T97">
        <v>0</v>
      </c>
      <c r="U97">
        <v>0</v>
      </c>
      <c r="V97" s="21">
        <v>4350</v>
      </c>
      <c r="W97">
        <v>15</v>
      </c>
      <c r="X97">
        <v>0</v>
      </c>
      <c r="Y97">
        <v>0</v>
      </c>
      <c r="Z97">
        <v>0</v>
      </c>
      <c r="AA97">
        <v>1</v>
      </c>
    </row>
    <row r="98" spans="1:27" ht="14.25" x14ac:dyDescent="0.2">
      <c r="A98" s="11">
        <v>615</v>
      </c>
      <c r="B98" t="s">
        <v>122</v>
      </c>
      <c r="C98" t="s">
        <v>121</v>
      </c>
      <c r="D98" t="s">
        <v>121</v>
      </c>
      <c r="E98" t="s">
        <v>121</v>
      </c>
      <c r="F98" s="4" t="s">
        <v>322</v>
      </c>
      <c r="H98">
        <v>2</v>
      </c>
      <c r="I98" s="1">
        <v>0</v>
      </c>
      <c r="J98">
        <v>0</v>
      </c>
      <c r="K98">
        <v>0</v>
      </c>
      <c r="L98" s="20">
        <v>2900</v>
      </c>
      <c r="M98">
        <v>1</v>
      </c>
      <c r="N98">
        <v>0</v>
      </c>
      <c r="O98">
        <v>0</v>
      </c>
      <c r="P98">
        <v>0</v>
      </c>
      <c r="Q98" s="22">
        <v>8700</v>
      </c>
      <c r="R98">
        <v>3</v>
      </c>
      <c r="S98" s="1">
        <v>0</v>
      </c>
      <c r="T98">
        <v>0</v>
      </c>
      <c r="U98">
        <v>0</v>
      </c>
      <c r="V98" s="21">
        <v>4350</v>
      </c>
      <c r="W98">
        <v>4</v>
      </c>
      <c r="X98">
        <v>0</v>
      </c>
      <c r="Y98">
        <v>0</v>
      </c>
      <c r="Z98">
        <v>0</v>
      </c>
      <c r="AA98">
        <v>10</v>
      </c>
    </row>
    <row r="99" spans="1:27" ht="14.25" x14ac:dyDescent="0.2">
      <c r="A99" s="11">
        <v>616</v>
      </c>
      <c r="B99" t="s">
        <v>178</v>
      </c>
      <c r="C99" t="s">
        <v>121</v>
      </c>
      <c r="D99" t="s">
        <v>121</v>
      </c>
      <c r="E99" t="s">
        <v>121</v>
      </c>
      <c r="F99" s="4" t="s">
        <v>326</v>
      </c>
      <c r="H99">
        <v>2</v>
      </c>
      <c r="I99" s="1">
        <v>0</v>
      </c>
      <c r="J99">
        <v>0</v>
      </c>
      <c r="K99">
        <v>0</v>
      </c>
      <c r="L99" s="20">
        <v>3000</v>
      </c>
      <c r="M99">
        <v>1</v>
      </c>
      <c r="N99">
        <v>0</v>
      </c>
      <c r="O99">
        <v>0</v>
      </c>
      <c r="P99">
        <v>0</v>
      </c>
      <c r="Q99" s="22">
        <v>8700</v>
      </c>
      <c r="R99">
        <v>3</v>
      </c>
      <c r="S99" s="1">
        <v>0</v>
      </c>
      <c r="T99">
        <v>0</v>
      </c>
      <c r="U99">
        <v>0</v>
      </c>
      <c r="V99" s="21">
        <v>4350</v>
      </c>
      <c r="W99">
        <v>21</v>
      </c>
      <c r="X99">
        <v>0</v>
      </c>
      <c r="Y99">
        <v>0</v>
      </c>
      <c r="Z99">
        <v>0</v>
      </c>
      <c r="AA99">
        <v>1</v>
      </c>
    </row>
    <row r="100" spans="1:27" ht="14.25" x14ac:dyDescent="0.2">
      <c r="A100" s="11">
        <v>617</v>
      </c>
      <c r="B100" t="s">
        <v>130</v>
      </c>
      <c r="C100" t="s">
        <v>121</v>
      </c>
      <c r="D100" t="s">
        <v>121</v>
      </c>
      <c r="E100" t="s">
        <v>121</v>
      </c>
      <c r="F100" s="4" t="s">
        <v>328</v>
      </c>
      <c r="H100">
        <v>2</v>
      </c>
      <c r="I100" s="1">
        <v>0</v>
      </c>
      <c r="J100">
        <v>0</v>
      </c>
      <c r="K100">
        <v>0</v>
      </c>
      <c r="L100" s="20">
        <v>3000</v>
      </c>
      <c r="M100">
        <v>1</v>
      </c>
      <c r="N100">
        <v>0</v>
      </c>
      <c r="O100">
        <v>0</v>
      </c>
      <c r="P100">
        <v>0</v>
      </c>
      <c r="Q100" s="22">
        <v>8700</v>
      </c>
      <c r="R100">
        <v>3</v>
      </c>
      <c r="S100" s="1">
        <v>0</v>
      </c>
      <c r="T100">
        <v>0</v>
      </c>
      <c r="U100">
        <v>0</v>
      </c>
      <c r="V100" s="21">
        <v>4350</v>
      </c>
      <c r="W100">
        <v>9</v>
      </c>
      <c r="X100">
        <v>0</v>
      </c>
      <c r="Y100">
        <v>0</v>
      </c>
      <c r="Z100">
        <v>0</v>
      </c>
      <c r="AA100">
        <v>10</v>
      </c>
    </row>
    <row r="101" spans="1:27" ht="14.25" x14ac:dyDescent="0.2">
      <c r="A101" s="11">
        <v>618</v>
      </c>
      <c r="B101" t="s">
        <v>123</v>
      </c>
      <c r="C101" t="s">
        <v>121</v>
      </c>
      <c r="D101" t="s">
        <v>121</v>
      </c>
      <c r="E101" t="s">
        <v>121</v>
      </c>
      <c r="F101" s="4" t="s">
        <v>330</v>
      </c>
      <c r="H101">
        <v>2</v>
      </c>
      <c r="I101" s="1">
        <v>0</v>
      </c>
      <c r="J101">
        <v>0</v>
      </c>
      <c r="K101">
        <v>0</v>
      </c>
      <c r="L101" s="20">
        <v>3000</v>
      </c>
      <c r="M101">
        <v>1</v>
      </c>
      <c r="N101">
        <v>0</v>
      </c>
      <c r="O101">
        <v>0</v>
      </c>
      <c r="P101">
        <v>0</v>
      </c>
      <c r="Q101" s="22">
        <v>9000</v>
      </c>
      <c r="R101">
        <v>3</v>
      </c>
      <c r="S101" s="1">
        <v>0</v>
      </c>
      <c r="T101">
        <v>0</v>
      </c>
      <c r="U101">
        <v>0</v>
      </c>
      <c r="V101" s="21">
        <v>4500</v>
      </c>
      <c r="W101">
        <v>12</v>
      </c>
      <c r="X101">
        <v>0</v>
      </c>
      <c r="Y101">
        <v>0</v>
      </c>
      <c r="Z101">
        <v>0</v>
      </c>
      <c r="AA101">
        <v>10</v>
      </c>
    </row>
    <row r="102" spans="1:27" ht="14.25" x14ac:dyDescent="0.2">
      <c r="A102" s="11">
        <v>619</v>
      </c>
      <c r="B102" t="s">
        <v>126</v>
      </c>
      <c r="C102" t="s">
        <v>121</v>
      </c>
      <c r="D102" t="s">
        <v>121</v>
      </c>
      <c r="E102" t="s">
        <v>121</v>
      </c>
      <c r="F102" s="4" t="s">
        <v>332</v>
      </c>
      <c r="H102">
        <v>2</v>
      </c>
      <c r="I102" s="1">
        <v>0</v>
      </c>
      <c r="J102">
        <v>0</v>
      </c>
      <c r="K102">
        <v>0</v>
      </c>
      <c r="L102" s="20">
        <v>3000</v>
      </c>
      <c r="M102">
        <v>1</v>
      </c>
      <c r="N102">
        <v>0</v>
      </c>
      <c r="O102">
        <v>0</v>
      </c>
      <c r="P102">
        <v>0</v>
      </c>
      <c r="Q102" s="22">
        <v>9000</v>
      </c>
      <c r="R102">
        <v>3</v>
      </c>
      <c r="S102" s="1">
        <v>0</v>
      </c>
      <c r="T102">
        <v>0</v>
      </c>
      <c r="U102">
        <v>0</v>
      </c>
      <c r="V102" s="21">
        <v>4500</v>
      </c>
      <c r="W102">
        <v>23</v>
      </c>
      <c r="X102">
        <v>0</v>
      </c>
      <c r="Y102">
        <v>0</v>
      </c>
      <c r="Z102">
        <v>0</v>
      </c>
      <c r="AA102">
        <v>1</v>
      </c>
    </row>
    <row r="103" spans="1:27" ht="14.25" x14ac:dyDescent="0.2">
      <c r="A103" s="11">
        <v>620</v>
      </c>
      <c r="B103" t="s">
        <v>131</v>
      </c>
      <c r="C103" t="s">
        <v>125</v>
      </c>
      <c r="D103" t="s">
        <v>121</v>
      </c>
      <c r="E103" t="s">
        <v>136</v>
      </c>
      <c r="F103" s="4" t="s">
        <v>330</v>
      </c>
      <c r="H103">
        <v>2</v>
      </c>
      <c r="I103" s="1">
        <v>0</v>
      </c>
      <c r="J103">
        <v>0</v>
      </c>
      <c r="K103">
        <v>0</v>
      </c>
      <c r="L103" s="20">
        <v>3000</v>
      </c>
      <c r="M103">
        <v>1</v>
      </c>
      <c r="N103">
        <v>0</v>
      </c>
      <c r="O103">
        <v>0</v>
      </c>
      <c r="P103">
        <v>0</v>
      </c>
      <c r="Q103" s="22">
        <v>9000</v>
      </c>
      <c r="R103">
        <v>3</v>
      </c>
      <c r="S103" s="1">
        <v>0</v>
      </c>
      <c r="T103">
        <v>0</v>
      </c>
      <c r="U103">
        <v>0</v>
      </c>
      <c r="V103" s="21">
        <v>4500</v>
      </c>
      <c r="W103">
        <v>6</v>
      </c>
      <c r="X103">
        <v>1</v>
      </c>
      <c r="Y103">
        <v>0</v>
      </c>
      <c r="Z103">
        <v>3</v>
      </c>
      <c r="AA103">
        <v>10</v>
      </c>
    </row>
    <row r="104" spans="1:27" ht="14.25" x14ac:dyDescent="0.2">
      <c r="A104" s="11">
        <v>621</v>
      </c>
      <c r="B104" t="s">
        <v>180</v>
      </c>
      <c r="C104" t="s">
        <v>121</v>
      </c>
      <c r="D104" t="s">
        <v>121</v>
      </c>
      <c r="E104" t="s">
        <v>121</v>
      </c>
      <c r="F104" s="4" t="s">
        <v>334</v>
      </c>
      <c r="H104">
        <v>2</v>
      </c>
      <c r="I104" s="1">
        <v>0</v>
      </c>
      <c r="J104">
        <v>0</v>
      </c>
      <c r="K104">
        <v>0</v>
      </c>
      <c r="L104" s="20">
        <v>3100</v>
      </c>
      <c r="M104">
        <v>1</v>
      </c>
      <c r="N104">
        <v>0</v>
      </c>
      <c r="O104">
        <v>0</v>
      </c>
      <c r="P104">
        <v>0</v>
      </c>
      <c r="Q104" s="22">
        <v>9000</v>
      </c>
      <c r="R104">
        <v>3</v>
      </c>
      <c r="S104" s="1">
        <v>0</v>
      </c>
      <c r="T104">
        <v>0</v>
      </c>
      <c r="U104">
        <v>0</v>
      </c>
      <c r="V104" s="21">
        <v>4500</v>
      </c>
      <c r="W104">
        <v>15</v>
      </c>
      <c r="X104">
        <v>0</v>
      </c>
      <c r="Y104">
        <v>0</v>
      </c>
      <c r="Z104">
        <v>0</v>
      </c>
      <c r="AA104">
        <v>1</v>
      </c>
    </row>
    <row r="105" spans="1:27" ht="14.25" x14ac:dyDescent="0.2">
      <c r="A105" s="11">
        <v>622</v>
      </c>
      <c r="B105" t="s">
        <v>122</v>
      </c>
      <c r="C105" t="s">
        <v>121</v>
      </c>
      <c r="D105" t="s">
        <v>121</v>
      </c>
      <c r="E105" t="s">
        <v>121</v>
      </c>
      <c r="F105" s="4" t="s">
        <v>336</v>
      </c>
      <c r="H105">
        <v>2</v>
      </c>
      <c r="I105" s="1">
        <v>0</v>
      </c>
      <c r="J105">
        <v>0</v>
      </c>
      <c r="K105">
        <v>0</v>
      </c>
      <c r="L105" s="20">
        <v>3100</v>
      </c>
      <c r="M105">
        <v>1</v>
      </c>
      <c r="N105">
        <v>0</v>
      </c>
      <c r="O105">
        <v>0</v>
      </c>
      <c r="P105">
        <v>0</v>
      </c>
      <c r="Q105" s="22">
        <v>9000</v>
      </c>
      <c r="R105">
        <v>3</v>
      </c>
      <c r="S105" s="1">
        <v>0</v>
      </c>
      <c r="T105">
        <v>0</v>
      </c>
      <c r="U105">
        <v>0</v>
      </c>
      <c r="V105" s="21">
        <v>4500</v>
      </c>
      <c r="W105">
        <v>4</v>
      </c>
      <c r="X105">
        <v>0</v>
      </c>
      <c r="Y105">
        <v>0</v>
      </c>
      <c r="Z105">
        <v>0</v>
      </c>
      <c r="AA105">
        <v>10</v>
      </c>
    </row>
    <row r="106" spans="1:27" ht="14.25" x14ac:dyDescent="0.2">
      <c r="A106" s="11">
        <v>623</v>
      </c>
      <c r="B106" t="s">
        <v>178</v>
      </c>
      <c r="C106" t="s">
        <v>121</v>
      </c>
      <c r="D106" t="s">
        <v>121</v>
      </c>
      <c r="E106" t="s">
        <v>121</v>
      </c>
      <c r="F106" s="4" t="s">
        <v>338</v>
      </c>
      <c r="H106">
        <v>2</v>
      </c>
      <c r="I106" s="1">
        <v>0</v>
      </c>
      <c r="J106">
        <v>0</v>
      </c>
      <c r="K106">
        <v>0</v>
      </c>
      <c r="L106" s="20">
        <v>3100</v>
      </c>
      <c r="M106">
        <v>1</v>
      </c>
      <c r="N106">
        <v>0</v>
      </c>
      <c r="O106">
        <v>0</v>
      </c>
      <c r="P106">
        <v>0</v>
      </c>
      <c r="Q106" s="22">
        <v>9300</v>
      </c>
      <c r="R106">
        <v>3</v>
      </c>
      <c r="S106" s="1">
        <v>0</v>
      </c>
      <c r="T106">
        <v>0</v>
      </c>
      <c r="U106">
        <v>0</v>
      </c>
      <c r="V106" s="21">
        <v>4650</v>
      </c>
      <c r="W106">
        <v>21</v>
      </c>
      <c r="X106">
        <v>0</v>
      </c>
      <c r="Y106">
        <v>0</v>
      </c>
      <c r="Z106">
        <v>0</v>
      </c>
      <c r="AA106">
        <v>1</v>
      </c>
    </row>
    <row r="107" spans="1:27" ht="14.25" x14ac:dyDescent="0.2">
      <c r="A107" s="11">
        <v>624</v>
      </c>
      <c r="B107" t="s">
        <v>130</v>
      </c>
      <c r="C107" t="s">
        <v>121</v>
      </c>
      <c r="D107" t="s">
        <v>121</v>
      </c>
      <c r="E107" t="s">
        <v>121</v>
      </c>
      <c r="F107" s="4" t="s">
        <v>340</v>
      </c>
      <c r="H107">
        <v>2</v>
      </c>
      <c r="I107" s="1">
        <v>0</v>
      </c>
      <c r="J107">
        <v>0</v>
      </c>
      <c r="K107">
        <v>0</v>
      </c>
      <c r="L107" s="20">
        <v>3100</v>
      </c>
      <c r="M107">
        <v>1</v>
      </c>
      <c r="N107">
        <v>0</v>
      </c>
      <c r="O107">
        <v>0</v>
      </c>
      <c r="P107">
        <v>0</v>
      </c>
      <c r="Q107" s="22">
        <v>9300</v>
      </c>
      <c r="R107">
        <v>3</v>
      </c>
      <c r="S107" s="1">
        <v>0</v>
      </c>
      <c r="T107">
        <v>0</v>
      </c>
      <c r="U107">
        <v>0</v>
      </c>
      <c r="V107" s="21">
        <v>4650</v>
      </c>
      <c r="W107">
        <v>9</v>
      </c>
      <c r="X107">
        <v>0</v>
      </c>
      <c r="Y107">
        <v>0</v>
      </c>
      <c r="Z107">
        <v>0</v>
      </c>
      <c r="AA107">
        <v>10</v>
      </c>
    </row>
    <row r="108" spans="1:27" ht="14.25" x14ac:dyDescent="0.2">
      <c r="A108" s="11">
        <v>625</v>
      </c>
      <c r="B108" t="s">
        <v>123</v>
      </c>
      <c r="C108" t="s">
        <v>121</v>
      </c>
      <c r="D108" t="s">
        <v>121</v>
      </c>
      <c r="E108" t="s">
        <v>121</v>
      </c>
      <c r="F108" s="4" t="s">
        <v>340</v>
      </c>
      <c r="H108">
        <v>2</v>
      </c>
      <c r="I108" s="1">
        <v>0</v>
      </c>
      <c r="J108">
        <v>0</v>
      </c>
      <c r="K108">
        <v>0</v>
      </c>
      <c r="L108" s="20">
        <v>3100</v>
      </c>
      <c r="M108">
        <v>1</v>
      </c>
      <c r="N108">
        <v>0</v>
      </c>
      <c r="O108">
        <v>0</v>
      </c>
      <c r="P108">
        <v>0</v>
      </c>
      <c r="Q108" s="22">
        <v>9300</v>
      </c>
      <c r="R108">
        <v>3</v>
      </c>
      <c r="S108" s="1">
        <v>0</v>
      </c>
      <c r="T108">
        <v>0</v>
      </c>
      <c r="U108">
        <v>0</v>
      </c>
      <c r="V108" s="21">
        <v>4650</v>
      </c>
      <c r="W108">
        <v>12</v>
      </c>
      <c r="X108">
        <v>0</v>
      </c>
      <c r="Y108">
        <v>0</v>
      </c>
      <c r="Z108">
        <v>0</v>
      </c>
      <c r="AA108">
        <v>10</v>
      </c>
    </row>
    <row r="109" spans="1:27" ht="14.25" x14ac:dyDescent="0.2">
      <c r="A109" s="11">
        <v>626</v>
      </c>
      <c r="B109" t="s">
        <v>126</v>
      </c>
      <c r="C109" t="s">
        <v>121</v>
      </c>
      <c r="D109" t="s">
        <v>121</v>
      </c>
      <c r="E109" t="s">
        <v>121</v>
      </c>
      <c r="F109" s="4" t="s">
        <v>342</v>
      </c>
      <c r="H109">
        <v>2</v>
      </c>
      <c r="I109" s="1">
        <v>0</v>
      </c>
      <c r="J109">
        <v>0</v>
      </c>
      <c r="K109">
        <v>0</v>
      </c>
      <c r="L109" s="20">
        <v>3200</v>
      </c>
      <c r="M109">
        <v>1</v>
      </c>
      <c r="N109">
        <v>0</v>
      </c>
      <c r="O109">
        <v>0</v>
      </c>
      <c r="P109">
        <v>0</v>
      </c>
      <c r="Q109" s="22">
        <v>9300</v>
      </c>
      <c r="R109">
        <v>3</v>
      </c>
      <c r="S109" s="1">
        <v>0</v>
      </c>
      <c r="T109">
        <v>0</v>
      </c>
      <c r="U109">
        <v>0</v>
      </c>
      <c r="V109" s="21">
        <v>4650</v>
      </c>
      <c r="W109">
        <v>23</v>
      </c>
      <c r="X109">
        <v>0</v>
      </c>
      <c r="Y109">
        <v>0</v>
      </c>
      <c r="Z109">
        <v>0</v>
      </c>
      <c r="AA109">
        <v>1</v>
      </c>
    </row>
    <row r="110" spans="1:27" ht="14.25" x14ac:dyDescent="0.2">
      <c r="A110" s="11">
        <v>627</v>
      </c>
      <c r="B110" t="s">
        <v>131</v>
      </c>
      <c r="C110" t="s">
        <v>125</v>
      </c>
      <c r="D110" t="s">
        <v>121</v>
      </c>
      <c r="E110" t="s">
        <v>136</v>
      </c>
      <c r="F110" s="4" t="s">
        <v>344</v>
      </c>
      <c r="H110">
        <v>2</v>
      </c>
      <c r="I110" s="1">
        <v>0</v>
      </c>
      <c r="J110">
        <v>0</v>
      </c>
      <c r="K110">
        <v>0</v>
      </c>
      <c r="L110" s="20">
        <v>3200</v>
      </c>
      <c r="M110">
        <v>1</v>
      </c>
      <c r="N110">
        <v>0</v>
      </c>
      <c r="O110">
        <v>0</v>
      </c>
      <c r="P110">
        <v>0</v>
      </c>
      <c r="Q110" s="22">
        <v>9300</v>
      </c>
      <c r="R110">
        <v>3</v>
      </c>
      <c r="S110" s="1">
        <v>0</v>
      </c>
      <c r="T110">
        <v>0</v>
      </c>
      <c r="U110">
        <v>0</v>
      </c>
      <c r="V110" s="21">
        <v>4650</v>
      </c>
      <c r="W110">
        <v>6</v>
      </c>
      <c r="X110">
        <v>1</v>
      </c>
      <c r="Y110">
        <v>0</v>
      </c>
      <c r="Z110">
        <v>3</v>
      </c>
      <c r="AA110">
        <v>10</v>
      </c>
    </row>
    <row r="111" spans="1:27" ht="14.25" x14ac:dyDescent="0.2">
      <c r="A111" s="11">
        <v>628</v>
      </c>
      <c r="B111" t="s">
        <v>180</v>
      </c>
      <c r="C111" t="s">
        <v>121</v>
      </c>
      <c r="D111" t="s">
        <v>121</v>
      </c>
      <c r="E111" t="s">
        <v>121</v>
      </c>
      <c r="F111" s="4" t="s">
        <v>346</v>
      </c>
      <c r="H111">
        <v>2</v>
      </c>
      <c r="I111" s="1">
        <v>0</v>
      </c>
      <c r="J111">
        <v>0</v>
      </c>
      <c r="K111">
        <v>0</v>
      </c>
      <c r="L111" s="20">
        <v>3200</v>
      </c>
      <c r="M111">
        <v>1</v>
      </c>
      <c r="N111">
        <v>0</v>
      </c>
      <c r="O111">
        <v>0</v>
      </c>
      <c r="P111">
        <v>0</v>
      </c>
      <c r="Q111" s="22">
        <v>9600</v>
      </c>
      <c r="R111">
        <v>3</v>
      </c>
      <c r="S111" s="1">
        <v>0</v>
      </c>
      <c r="T111">
        <v>0</v>
      </c>
      <c r="U111">
        <v>0</v>
      </c>
      <c r="V111" s="21">
        <v>4800</v>
      </c>
      <c r="W111">
        <v>15</v>
      </c>
      <c r="X111">
        <v>0</v>
      </c>
      <c r="Y111">
        <v>0</v>
      </c>
      <c r="Z111">
        <v>0</v>
      </c>
      <c r="AA111">
        <v>1</v>
      </c>
    </row>
    <row r="112" spans="1:27" ht="14.25" x14ac:dyDescent="0.2">
      <c r="A112" s="11">
        <v>629</v>
      </c>
      <c r="B112" t="s">
        <v>122</v>
      </c>
      <c r="C112" t="s">
        <v>121</v>
      </c>
      <c r="D112" t="s">
        <v>121</v>
      </c>
      <c r="E112" t="s">
        <v>121</v>
      </c>
      <c r="F112" s="4" t="s">
        <v>348</v>
      </c>
      <c r="H112">
        <v>2</v>
      </c>
      <c r="I112" s="1">
        <v>0</v>
      </c>
      <c r="J112">
        <v>0</v>
      </c>
      <c r="K112">
        <v>0</v>
      </c>
      <c r="L112" s="20">
        <v>3200</v>
      </c>
      <c r="M112">
        <v>1</v>
      </c>
      <c r="N112">
        <v>0</v>
      </c>
      <c r="O112">
        <v>0</v>
      </c>
      <c r="P112">
        <v>0</v>
      </c>
      <c r="Q112" s="22">
        <v>9600</v>
      </c>
      <c r="R112">
        <v>3</v>
      </c>
      <c r="S112" s="1">
        <v>0</v>
      </c>
      <c r="T112">
        <v>0</v>
      </c>
      <c r="U112">
        <v>0</v>
      </c>
      <c r="V112" s="21">
        <v>4800</v>
      </c>
      <c r="W112">
        <v>4</v>
      </c>
      <c r="X112">
        <v>0</v>
      </c>
      <c r="Y112">
        <v>0</v>
      </c>
      <c r="Z112">
        <v>0</v>
      </c>
      <c r="AA112">
        <v>10</v>
      </c>
    </row>
    <row r="113" spans="1:27" ht="14.25" x14ac:dyDescent="0.2">
      <c r="A113" s="11">
        <v>630</v>
      </c>
      <c r="B113" t="s">
        <v>178</v>
      </c>
      <c r="C113" t="s">
        <v>121</v>
      </c>
      <c r="D113" t="s">
        <v>121</v>
      </c>
      <c r="E113" t="s">
        <v>121</v>
      </c>
      <c r="F113" s="4" t="s">
        <v>346</v>
      </c>
      <c r="H113">
        <v>2</v>
      </c>
      <c r="I113" s="1">
        <v>0</v>
      </c>
      <c r="J113">
        <v>0</v>
      </c>
      <c r="K113">
        <v>0</v>
      </c>
      <c r="L113" s="20">
        <v>3200</v>
      </c>
      <c r="M113">
        <v>1</v>
      </c>
      <c r="N113">
        <v>0</v>
      </c>
      <c r="O113">
        <v>0</v>
      </c>
      <c r="P113">
        <v>0</v>
      </c>
      <c r="Q113" s="22">
        <v>9600</v>
      </c>
      <c r="R113">
        <v>3</v>
      </c>
      <c r="S113" s="1">
        <v>0</v>
      </c>
      <c r="T113">
        <v>0</v>
      </c>
      <c r="U113">
        <v>0</v>
      </c>
      <c r="V113" s="21">
        <v>4800</v>
      </c>
      <c r="W113">
        <v>21</v>
      </c>
      <c r="X113">
        <v>0</v>
      </c>
      <c r="Y113">
        <v>0</v>
      </c>
      <c r="Z113">
        <v>0</v>
      </c>
      <c r="AA113">
        <v>1</v>
      </c>
    </row>
    <row r="114" spans="1:27" ht="14.25" x14ac:dyDescent="0.2">
      <c r="A114" s="11">
        <v>701</v>
      </c>
      <c r="B114" t="s">
        <v>130</v>
      </c>
      <c r="C114" t="s">
        <v>121</v>
      </c>
      <c r="D114" t="s">
        <v>121</v>
      </c>
      <c r="E114" t="s">
        <v>121</v>
      </c>
      <c r="F114" s="4" t="s">
        <v>350</v>
      </c>
      <c r="H114">
        <v>2</v>
      </c>
      <c r="I114" s="1">
        <v>0</v>
      </c>
      <c r="J114">
        <v>0</v>
      </c>
      <c r="K114">
        <v>0</v>
      </c>
      <c r="L114" s="20">
        <v>3300</v>
      </c>
      <c r="M114">
        <v>1</v>
      </c>
      <c r="N114">
        <v>0</v>
      </c>
      <c r="O114">
        <v>0</v>
      </c>
      <c r="P114">
        <v>0</v>
      </c>
      <c r="Q114" s="22">
        <v>9600</v>
      </c>
      <c r="R114">
        <v>3</v>
      </c>
      <c r="S114" s="1">
        <v>0</v>
      </c>
      <c r="T114">
        <v>0</v>
      </c>
      <c r="U114">
        <v>0</v>
      </c>
      <c r="V114" s="21">
        <v>4800</v>
      </c>
      <c r="W114">
        <v>9</v>
      </c>
      <c r="X114">
        <v>0</v>
      </c>
      <c r="Y114">
        <v>0</v>
      </c>
      <c r="Z114">
        <v>0</v>
      </c>
      <c r="AA114">
        <v>10</v>
      </c>
    </row>
    <row r="115" spans="1:27" ht="14.25" x14ac:dyDescent="0.2">
      <c r="A115" s="11">
        <v>702</v>
      </c>
      <c r="B115" t="s">
        <v>123</v>
      </c>
      <c r="C115" t="s">
        <v>121</v>
      </c>
      <c r="D115" t="s">
        <v>121</v>
      </c>
      <c r="E115" t="s">
        <v>121</v>
      </c>
      <c r="F115" s="4" t="s">
        <v>350</v>
      </c>
      <c r="H115">
        <v>2</v>
      </c>
      <c r="I115" s="1">
        <v>0</v>
      </c>
      <c r="J115">
        <v>0</v>
      </c>
      <c r="K115">
        <v>0</v>
      </c>
      <c r="L115" s="20">
        <v>3300</v>
      </c>
      <c r="M115">
        <v>1</v>
      </c>
      <c r="N115">
        <v>0</v>
      </c>
      <c r="O115">
        <v>0</v>
      </c>
      <c r="P115">
        <v>0</v>
      </c>
      <c r="Q115" s="22">
        <v>9600</v>
      </c>
      <c r="R115">
        <v>3</v>
      </c>
      <c r="S115" s="1">
        <v>0</v>
      </c>
      <c r="T115">
        <v>0</v>
      </c>
      <c r="U115">
        <v>0</v>
      </c>
      <c r="V115" s="21">
        <v>4800</v>
      </c>
      <c r="W115">
        <v>12</v>
      </c>
      <c r="X115">
        <v>0</v>
      </c>
      <c r="Y115">
        <v>0</v>
      </c>
      <c r="Z115">
        <v>0</v>
      </c>
      <c r="AA115">
        <v>10</v>
      </c>
    </row>
    <row r="116" spans="1:27" ht="14.25" x14ac:dyDescent="0.2">
      <c r="A116" s="11">
        <v>703</v>
      </c>
      <c r="B116" t="s">
        <v>126</v>
      </c>
      <c r="C116" t="s">
        <v>121</v>
      </c>
      <c r="D116" t="s">
        <v>121</v>
      </c>
      <c r="E116" t="s">
        <v>121</v>
      </c>
      <c r="F116" s="4" t="s">
        <v>352</v>
      </c>
      <c r="H116">
        <v>2</v>
      </c>
      <c r="I116" s="1">
        <v>0</v>
      </c>
      <c r="J116">
        <v>0</v>
      </c>
      <c r="K116">
        <v>0</v>
      </c>
      <c r="L116" s="20">
        <v>3300</v>
      </c>
      <c r="M116">
        <v>1</v>
      </c>
      <c r="N116">
        <v>0</v>
      </c>
      <c r="O116">
        <v>0</v>
      </c>
      <c r="P116">
        <v>0</v>
      </c>
      <c r="Q116" s="22">
        <v>9900</v>
      </c>
      <c r="R116">
        <v>3</v>
      </c>
      <c r="S116" s="1">
        <v>0</v>
      </c>
      <c r="T116">
        <v>0</v>
      </c>
      <c r="U116">
        <v>0</v>
      </c>
      <c r="V116" s="21">
        <v>4950</v>
      </c>
      <c r="W116">
        <v>23</v>
      </c>
      <c r="X116">
        <v>0</v>
      </c>
      <c r="Y116">
        <v>0</v>
      </c>
      <c r="Z116">
        <v>0</v>
      </c>
      <c r="AA116">
        <v>1</v>
      </c>
    </row>
    <row r="117" spans="1:27" ht="14.25" x14ac:dyDescent="0.2">
      <c r="A117" s="11">
        <v>704</v>
      </c>
      <c r="B117" t="s">
        <v>131</v>
      </c>
      <c r="C117" t="s">
        <v>125</v>
      </c>
      <c r="D117" t="s">
        <v>121</v>
      </c>
      <c r="E117" t="s">
        <v>136</v>
      </c>
      <c r="F117" s="4" t="s">
        <v>354</v>
      </c>
      <c r="H117">
        <v>2</v>
      </c>
      <c r="I117" s="1">
        <v>0</v>
      </c>
      <c r="J117">
        <v>0</v>
      </c>
      <c r="K117">
        <v>0</v>
      </c>
      <c r="L117" s="20">
        <v>3300</v>
      </c>
      <c r="M117">
        <v>1</v>
      </c>
      <c r="N117">
        <v>0</v>
      </c>
      <c r="O117">
        <v>0</v>
      </c>
      <c r="P117">
        <v>0</v>
      </c>
      <c r="Q117" s="22">
        <v>9900</v>
      </c>
      <c r="R117">
        <v>3</v>
      </c>
      <c r="S117" s="1">
        <v>0</v>
      </c>
      <c r="T117">
        <v>0</v>
      </c>
      <c r="U117">
        <v>0</v>
      </c>
      <c r="V117" s="21">
        <v>4950</v>
      </c>
      <c r="W117">
        <v>6</v>
      </c>
      <c r="X117">
        <v>1</v>
      </c>
      <c r="Y117">
        <v>0</v>
      </c>
      <c r="Z117">
        <v>3</v>
      </c>
      <c r="AA117">
        <v>10</v>
      </c>
    </row>
    <row r="118" spans="1:27" ht="14.25" x14ac:dyDescent="0.2">
      <c r="A118" s="11">
        <v>705</v>
      </c>
      <c r="B118" t="s">
        <v>180</v>
      </c>
      <c r="C118" t="s">
        <v>121</v>
      </c>
      <c r="D118" t="s">
        <v>121</v>
      </c>
      <c r="E118" t="s">
        <v>121</v>
      </c>
      <c r="F118" s="4" t="s">
        <v>352</v>
      </c>
      <c r="H118">
        <v>2</v>
      </c>
      <c r="I118" s="1">
        <v>0</v>
      </c>
      <c r="J118">
        <v>0</v>
      </c>
      <c r="K118">
        <v>0</v>
      </c>
      <c r="L118" s="20">
        <v>3300</v>
      </c>
      <c r="M118">
        <v>1</v>
      </c>
      <c r="N118">
        <v>0</v>
      </c>
      <c r="O118">
        <v>0</v>
      </c>
      <c r="P118">
        <v>0</v>
      </c>
      <c r="Q118" s="22">
        <v>9900</v>
      </c>
      <c r="R118">
        <v>3</v>
      </c>
      <c r="S118" s="1">
        <v>0</v>
      </c>
      <c r="T118">
        <v>0</v>
      </c>
      <c r="U118">
        <v>0</v>
      </c>
      <c r="V118" s="21">
        <v>4950</v>
      </c>
      <c r="W118">
        <v>15</v>
      </c>
      <c r="X118">
        <v>0</v>
      </c>
      <c r="Y118">
        <v>0</v>
      </c>
      <c r="Z118">
        <v>0</v>
      </c>
      <c r="AA118">
        <v>1</v>
      </c>
    </row>
    <row r="119" spans="1:27" ht="14.25" x14ac:dyDescent="0.2">
      <c r="A119" s="11">
        <v>706</v>
      </c>
      <c r="B119" t="s">
        <v>122</v>
      </c>
      <c r="C119" t="s">
        <v>121</v>
      </c>
      <c r="D119" t="s">
        <v>121</v>
      </c>
      <c r="E119" t="s">
        <v>121</v>
      </c>
      <c r="F119" s="4" t="s">
        <v>356</v>
      </c>
      <c r="H119">
        <v>2</v>
      </c>
      <c r="I119" s="1">
        <v>0</v>
      </c>
      <c r="J119">
        <v>0</v>
      </c>
      <c r="K119">
        <v>0</v>
      </c>
      <c r="L119" s="20">
        <v>3400</v>
      </c>
      <c r="M119">
        <v>1</v>
      </c>
      <c r="N119">
        <v>0</v>
      </c>
      <c r="O119">
        <v>0</v>
      </c>
      <c r="P119">
        <v>0</v>
      </c>
      <c r="Q119" s="22">
        <v>9900</v>
      </c>
      <c r="R119">
        <v>3</v>
      </c>
      <c r="S119" s="1">
        <v>0</v>
      </c>
      <c r="T119">
        <v>0</v>
      </c>
      <c r="U119">
        <v>0</v>
      </c>
      <c r="V119" s="21">
        <v>4950</v>
      </c>
      <c r="W119">
        <v>4</v>
      </c>
      <c r="X119">
        <v>0</v>
      </c>
      <c r="Y119">
        <v>0</v>
      </c>
      <c r="Z119">
        <v>0</v>
      </c>
      <c r="AA119">
        <v>10</v>
      </c>
    </row>
    <row r="120" spans="1:27" ht="14.25" x14ac:dyDescent="0.2">
      <c r="A120" s="11">
        <v>707</v>
      </c>
      <c r="B120" t="s">
        <v>178</v>
      </c>
      <c r="C120" t="s">
        <v>121</v>
      </c>
      <c r="D120" t="s">
        <v>121</v>
      </c>
      <c r="E120" t="s">
        <v>121</v>
      </c>
      <c r="F120" s="4" t="s">
        <v>358</v>
      </c>
      <c r="H120">
        <v>2</v>
      </c>
      <c r="I120" s="1">
        <v>0</v>
      </c>
      <c r="J120">
        <v>0</v>
      </c>
      <c r="K120">
        <v>0</v>
      </c>
      <c r="L120" s="20">
        <v>3400</v>
      </c>
      <c r="M120">
        <v>1</v>
      </c>
      <c r="N120">
        <v>0</v>
      </c>
      <c r="O120">
        <v>0</v>
      </c>
      <c r="P120">
        <v>0</v>
      </c>
      <c r="Q120" s="22">
        <v>9900</v>
      </c>
      <c r="R120">
        <v>3</v>
      </c>
      <c r="S120" s="1">
        <v>0</v>
      </c>
      <c r="T120">
        <v>0</v>
      </c>
      <c r="U120">
        <v>0</v>
      </c>
      <c r="V120" s="21">
        <v>4950</v>
      </c>
      <c r="W120">
        <v>21</v>
      </c>
      <c r="X120">
        <v>0</v>
      </c>
      <c r="Y120">
        <v>0</v>
      </c>
      <c r="Z120">
        <v>0</v>
      </c>
      <c r="AA120">
        <v>1</v>
      </c>
    </row>
    <row r="121" spans="1:27" ht="14.25" x14ac:dyDescent="0.2">
      <c r="A121" s="11">
        <v>708</v>
      </c>
      <c r="B121" t="s">
        <v>130</v>
      </c>
      <c r="C121" t="s">
        <v>121</v>
      </c>
      <c r="D121" t="s">
        <v>121</v>
      </c>
      <c r="E121" t="s">
        <v>121</v>
      </c>
      <c r="F121" s="4" t="s">
        <v>360</v>
      </c>
      <c r="H121">
        <v>2</v>
      </c>
      <c r="I121" s="1">
        <v>0</v>
      </c>
      <c r="J121">
        <v>0</v>
      </c>
      <c r="K121">
        <v>0</v>
      </c>
      <c r="L121" s="20">
        <v>3400</v>
      </c>
      <c r="M121">
        <v>1</v>
      </c>
      <c r="N121">
        <v>0</v>
      </c>
      <c r="O121">
        <v>0</v>
      </c>
      <c r="P121">
        <v>0</v>
      </c>
      <c r="Q121" s="22">
        <v>10200</v>
      </c>
      <c r="R121">
        <v>3</v>
      </c>
      <c r="S121" s="1">
        <v>0</v>
      </c>
      <c r="T121">
        <v>0</v>
      </c>
      <c r="U121">
        <v>0</v>
      </c>
      <c r="V121" s="21">
        <v>5100</v>
      </c>
      <c r="W121">
        <v>9</v>
      </c>
      <c r="X121">
        <v>0</v>
      </c>
      <c r="Y121">
        <v>0</v>
      </c>
      <c r="Z121">
        <v>0</v>
      </c>
      <c r="AA121">
        <v>10</v>
      </c>
    </row>
    <row r="122" spans="1:27" ht="14.25" x14ac:dyDescent="0.2">
      <c r="A122" s="11">
        <v>709</v>
      </c>
      <c r="B122" t="s">
        <v>123</v>
      </c>
      <c r="C122" t="s">
        <v>121</v>
      </c>
      <c r="D122" t="s">
        <v>121</v>
      </c>
      <c r="E122" t="s">
        <v>121</v>
      </c>
      <c r="F122" s="4" t="s">
        <v>360</v>
      </c>
      <c r="H122">
        <v>2</v>
      </c>
      <c r="I122" s="1">
        <v>0</v>
      </c>
      <c r="J122">
        <v>0</v>
      </c>
      <c r="K122">
        <v>0</v>
      </c>
      <c r="L122" s="20">
        <v>3400</v>
      </c>
      <c r="M122">
        <v>1</v>
      </c>
      <c r="N122">
        <v>0</v>
      </c>
      <c r="O122">
        <v>0</v>
      </c>
      <c r="P122">
        <v>0</v>
      </c>
      <c r="Q122" s="22">
        <v>10200</v>
      </c>
      <c r="R122">
        <v>3</v>
      </c>
      <c r="S122" s="1">
        <v>0</v>
      </c>
      <c r="T122">
        <v>0</v>
      </c>
      <c r="U122">
        <v>0</v>
      </c>
      <c r="V122" s="21">
        <v>5100</v>
      </c>
      <c r="W122">
        <v>12</v>
      </c>
      <c r="X122">
        <v>0</v>
      </c>
      <c r="Y122">
        <v>0</v>
      </c>
      <c r="Z122">
        <v>0</v>
      </c>
      <c r="AA122">
        <v>10</v>
      </c>
    </row>
    <row r="123" spans="1:27" ht="14.25" x14ac:dyDescent="0.2">
      <c r="A123" s="11">
        <v>710</v>
      </c>
      <c r="B123" t="s">
        <v>126</v>
      </c>
      <c r="C123" t="s">
        <v>121</v>
      </c>
      <c r="D123" t="s">
        <v>121</v>
      </c>
      <c r="E123" t="s">
        <v>121</v>
      </c>
      <c r="F123" s="4" t="s">
        <v>362</v>
      </c>
      <c r="H123">
        <v>2</v>
      </c>
      <c r="I123" s="1">
        <v>0</v>
      </c>
      <c r="J123">
        <v>0</v>
      </c>
      <c r="K123">
        <v>0</v>
      </c>
      <c r="L123" s="20">
        <v>3400</v>
      </c>
      <c r="M123">
        <v>1</v>
      </c>
      <c r="N123">
        <v>0</v>
      </c>
      <c r="O123">
        <v>0</v>
      </c>
      <c r="P123">
        <v>0</v>
      </c>
      <c r="Q123" s="22">
        <v>10200</v>
      </c>
      <c r="R123">
        <v>3</v>
      </c>
      <c r="S123" s="1">
        <v>0</v>
      </c>
      <c r="T123">
        <v>0</v>
      </c>
      <c r="U123">
        <v>0</v>
      </c>
      <c r="V123" s="21">
        <v>5100</v>
      </c>
      <c r="W123">
        <v>23</v>
      </c>
      <c r="X123">
        <v>0</v>
      </c>
      <c r="Y123">
        <v>0</v>
      </c>
      <c r="Z123">
        <v>0</v>
      </c>
      <c r="AA123">
        <v>1</v>
      </c>
    </row>
    <row r="124" spans="1:27" ht="14.25" x14ac:dyDescent="0.2">
      <c r="A124" s="11">
        <v>711</v>
      </c>
      <c r="B124" t="s">
        <v>131</v>
      </c>
      <c r="C124" t="s">
        <v>125</v>
      </c>
      <c r="D124" t="s">
        <v>121</v>
      </c>
      <c r="E124" t="s">
        <v>136</v>
      </c>
      <c r="F124" s="4" t="s">
        <v>364</v>
      </c>
      <c r="H124">
        <v>2</v>
      </c>
      <c r="I124" s="1">
        <v>0</v>
      </c>
      <c r="J124">
        <v>0</v>
      </c>
      <c r="K124">
        <v>0</v>
      </c>
      <c r="L124" s="20">
        <v>3500</v>
      </c>
      <c r="M124">
        <v>1</v>
      </c>
      <c r="N124">
        <v>0</v>
      </c>
      <c r="O124">
        <v>0</v>
      </c>
      <c r="P124">
        <v>0</v>
      </c>
      <c r="Q124" s="22">
        <v>10200</v>
      </c>
      <c r="R124">
        <v>3</v>
      </c>
      <c r="S124" s="1">
        <v>0</v>
      </c>
      <c r="T124">
        <v>0</v>
      </c>
      <c r="U124">
        <v>0</v>
      </c>
      <c r="V124" s="21">
        <v>5100</v>
      </c>
      <c r="W124">
        <v>6</v>
      </c>
      <c r="X124">
        <v>1</v>
      </c>
      <c r="Y124">
        <v>0</v>
      </c>
      <c r="Z124">
        <v>3</v>
      </c>
      <c r="AA124">
        <v>10</v>
      </c>
    </row>
    <row r="125" spans="1:27" ht="14.25" x14ac:dyDescent="0.2">
      <c r="A125" s="11">
        <v>712</v>
      </c>
      <c r="B125" t="s">
        <v>180</v>
      </c>
      <c r="C125" t="s">
        <v>121</v>
      </c>
      <c r="D125" t="s">
        <v>121</v>
      </c>
      <c r="E125" t="s">
        <v>121</v>
      </c>
      <c r="F125" s="4" t="s">
        <v>366</v>
      </c>
      <c r="H125">
        <v>2</v>
      </c>
      <c r="I125" s="1">
        <v>0</v>
      </c>
      <c r="J125">
        <v>0</v>
      </c>
      <c r="K125">
        <v>0</v>
      </c>
      <c r="L125" s="20">
        <v>3500</v>
      </c>
      <c r="M125">
        <v>1</v>
      </c>
      <c r="N125">
        <v>0</v>
      </c>
      <c r="O125">
        <v>0</v>
      </c>
      <c r="P125">
        <v>0</v>
      </c>
      <c r="Q125" s="22">
        <v>10200</v>
      </c>
      <c r="R125">
        <v>3</v>
      </c>
      <c r="S125" s="1">
        <v>0</v>
      </c>
      <c r="T125">
        <v>0</v>
      </c>
      <c r="U125">
        <v>0</v>
      </c>
      <c r="V125" s="21">
        <v>5100</v>
      </c>
      <c r="W125">
        <v>15</v>
      </c>
      <c r="X125">
        <v>0</v>
      </c>
      <c r="Y125">
        <v>0</v>
      </c>
      <c r="Z125">
        <v>0</v>
      </c>
      <c r="AA125">
        <v>1</v>
      </c>
    </row>
    <row r="126" spans="1:27" ht="14.25" x14ac:dyDescent="0.2">
      <c r="A126" s="11">
        <v>713</v>
      </c>
      <c r="B126" t="s">
        <v>122</v>
      </c>
      <c r="C126" t="s">
        <v>121</v>
      </c>
      <c r="D126" t="s">
        <v>121</v>
      </c>
      <c r="E126" t="s">
        <v>121</v>
      </c>
      <c r="F126" s="4" t="s">
        <v>368</v>
      </c>
      <c r="H126">
        <v>2</v>
      </c>
      <c r="I126" s="1">
        <v>0</v>
      </c>
      <c r="J126">
        <v>0</v>
      </c>
      <c r="K126">
        <v>0</v>
      </c>
      <c r="L126" s="20">
        <v>3500</v>
      </c>
      <c r="M126">
        <v>1</v>
      </c>
      <c r="N126">
        <v>0</v>
      </c>
      <c r="O126">
        <v>0</v>
      </c>
      <c r="P126">
        <v>0</v>
      </c>
      <c r="Q126" s="22">
        <v>10500</v>
      </c>
      <c r="R126">
        <v>3</v>
      </c>
      <c r="S126" s="1">
        <v>0</v>
      </c>
      <c r="T126">
        <v>0</v>
      </c>
      <c r="U126">
        <v>0</v>
      </c>
      <c r="V126" s="21">
        <v>5250</v>
      </c>
      <c r="W126">
        <v>4</v>
      </c>
      <c r="X126">
        <v>0</v>
      </c>
      <c r="Y126">
        <v>0</v>
      </c>
      <c r="Z126">
        <v>0</v>
      </c>
      <c r="AA126">
        <v>10</v>
      </c>
    </row>
    <row r="127" spans="1:27" ht="14.25" x14ac:dyDescent="0.2">
      <c r="A127" s="11">
        <v>714</v>
      </c>
      <c r="B127" t="s">
        <v>178</v>
      </c>
      <c r="C127" t="s">
        <v>121</v>
      </c>
      <c r="D127" t="s">
        <v>121</v>
      </c>
      <c r="E127" t="s">
        <v>121</v>
      </c>
      <c r="F127" s="4" t="s">
        <v>370</v>
      </c>
      <c r="H127">
        <v>2</v>
      </c>
      <c r="I127" s="1">
        <v>0</v>
      </c>
      <c r="J127">
        <v>0</v>
      </c>
      <c r="K127">
        <v>0</v>
      </c>
      <c r="L127" s="20">
        <v>3500</v>
      </c>
      <c r="M127">
        <v>1</v>
      </c>
      <c r="N127">
        <v>0</v>
      </c>
      <c r="O127">
        <v>0</v>
      </c>
      <c r="P127">
        <v>0</v>
      </c>
      <c r="Q127" s="22">
        <v>10500</v>
      </c>
      <c r="R127">
        <v>3</v>
      </c>
      <c r="S127" s="1">
        <v>0</v>
      </c>
      <c r="T127">
        <v>0</v>
      </c>
      <c r="U127">
        <v>0</v>
      </c>
      <c r="V127" s="21">
        <v>5250</v>
      </c>
      <c r="W127">
        <v>21</v>
      </c>
      <c r="X127">
        <v>0</v>
      </c>
      <c r="Y127">
        <v>0</v>
      </c>
      <c r="Z127">
        <v>0</v>
      </c>
      <c r="AA127">
        <v>1</v>
      </c>
    </row>
    <row r="128" spans="1:27" ht="14.25" x14ac:dyDescent="0.2">
      <c r="A128" s="11">
        <v>715</v>
      </c>
      <c r="B128" t="s">
        <v>130</v>
      </c>
      <c r="C128" t="s">
        <v>121</v>
      </c>
      <c r="D128" t="s">
        <v>121</v>
      </c>
      <c r="E128" t="s">
        <v>121</v>
      </c>
      <c r="F128" s="4" t="s">
        <v>368</v>
      </c>
      <c r="H128">
        <v>2</v>
      </c>
      <c r="I128" s="1">
        <v>0</v>
      </c>
      <c r="J128">
        <v>0</v>
      </c>
      <c r="K128">
        <v>0</v>
      </c>
      <c r="L128" s="20">
        <v>3500</v>
      </c>
      <c r="M128">
        <v>1</v>
      </c>
      <c r="N128">
        <v>0</v>
      </c>
      <c r="O128">
        <v>0</v>
      </c>
      <c r="P128">
        <v>0</v>
      </c>
      <c r="Q128" s="22">
        <v>10500</v>
      </c>
      <c r="R128">
        <v>3</v>
      </c>
      <c r="S128" s="1">
        <v>0</v>
      </c>
      <c r="T128">
        <v>0</v>
      </c>
      <c r="U128">
        <v>0</v>
      </c>
      <c r="V128" s="21">
        <v>5250</v>
      </c>
      <c r="W128">
        <v>9</v>
      </c>
      <c r="X128">
        <v>0</v>
      </c>
      <c r="Y128">
        <v>0</v>
      </c>
      <c r="Z128">
        <v>0</v>
      </c>
      <c r="AA128">
        <v>10</v>
      </c>
    </row>
    <row r="129" spans="1:27" ht="14.25" x14ac:dyDescent="0.2">
      <c r="A129" s="11">
        <v>716</v>
      </c>
      <c r="B129" t="s">
        <v>123</v>
      </c>
      <c r="C129" t="s">
        <v>121</v>
      </c>
      <c r="D129" t="s">
        <v>121</v>
      </c>
      <c r="E129" t="s">
        <v>121</v>
      </c>
      <c r="F129" s="4" t="s">
        <v>372</v>
      </c>
      <c r="H129">
        <v>2</v>
      </c>
      <c r="I129" s="1">
        <v>0</v>
      </c>
      <c r="J129">
        <v>0</v>
      </c>
      <c r="K129">
        <v>0</v>
      </c>
      <c r="L129" s="20">
        <v>3600</v>
      </c>
      <c r="M129">
        <v>1</v>
      </c>
      <c r="N129">
        <v>0</v>
      </c>
      <c r="O129">
        <v>0</v>
      </c>
      <c r="P129">
        <v>0</v>
      </c>
      <c r="Q129" s="22">
        <v>10500</v>
      </c>
      <c r="R129">
        <v>3</v>
      </c>
      <c r="S129" s="1">
        <v>0</v>
      </c>
      <c r="T129">
        <v>0</v>
      </c>
      <c r="U129">
        <v>0</v>
      </c>
      <c r="V129" s="21">
        <v>5250</v>
      </c>
      <c r="W129">
        <v>12</v>
      </c>
      <c r="X129">
        <v>0</v>
      </c>
      <c r="Y129">
        <v>0</v>
      </c>
      <c r="Z129">
        <v>0</v>
      </c>
      <c r="AA129">
        <v>10</v>
      </c>
    </row>
    <row r="130" spans="1:27" ht="14.25" x14ac:dyDescent="0.2">
      <c r="A130" s="11">
        <v>717</v>
      </c>
      <c r="B130" t="s">
        <v>126</v>
      </c>
      <c r="C130" t="s">
        <v>121</v>
      </c>
      <c r="D130" t="s">
        <v>121</v>
      </c>
      <c r="E130" t="s">
        <v>121</v>
      </c>
      <c r="F130" s="4" t="s">
        <v>374</v>
      </c>
      <c r="H130">
        <v>2</v>
      </c>
      <c r="I130" s="1">
        <v>0</v>
      </c>
      <c r="J130">
        <v>0</v>
      </c>
      <c r="K130">
        <v>0</v>
      </c>
      <c r="L130" s="20">
        <v>3600</v>
      </c>
      <c r="M130">
        <v>1</v>
      </c>
      <c r="N130">
        <v>0</v>
      </c>
      <c r="O130">
        <v>0</v>
      </c>
      <c r="P130">
        <v>0</v>
      </c>
      <c r="Q130" s="22">
        <v>10500</v>
      </c>
      <c r="R130">
        <v>3</v>
      </c>
      <c r="S130" s="1">
        <v>0</v>
      </c>
      <c r="T130">
        <v>0</v>
      </c>
      <c r="U130">
        <v>0</v>
      </c>
      <c r="V130" s="21">
        <v>5250</v>
      </c>
      <c r="W130">
        <v>23</v>
      </c>
      <c r="X130">
        <v>0</v>
      </c>
      <c r="Y130">
        <v>0</v>
      </c>
      <c r="Z130">
        <v>0</v>
      </c>
      <c r="AA130">
        <v>1</v>
      </c>
    </row>
    <row r="131" spans="1:27" ht="14.25" x14ac:dyDescent="0.2">
      <c r="A131" s="11">
        <v>718</v>
      </c>
      <c r="B131" t="s">
        <v>131</v>
      </c>
      <c r="C131" t="s">
        <v>125</v>
      </c>
      <c r="D131" t="s">
        <v>121</v>
      </c>
      <c r="E131" t="s">
        <v>136</v>
      </c>
      <c r="F131" s="4" t="s">
        <v>376</v>
      </c>
      <c r="H131">
        <v>2</v>
      </c>
      <c r="I131" s="1">
        <v>0</v>
      </c>
      <c r="J131">
        <v>0</v>
      </c>
      <c r="K131">
        <v>0</v>
      </c>
      <c r="L131" s="20">
        <v>3600</v>
      </c>
      <c r="M131">
        <v>1</v>
      </c>
      <c r="N131">
        <v>0</v>
      </c>
      <c r="O131">
        <v>0</v>
      </c>
      <c r="P131">
        <v>0</v>
      </c>
      <c r="Q131" s="22">
        <v>10800</v>
      </c>
      <c r="R131">
        <v>3</v>
      </c>
      <c r="S131" s="1">
        <v>0</v>
      </c>
      <c r="T131">
        <v>0</v>
      </c>
      <c r="U131">
        <v>0</v>
      </c>
      <c r="V131" s="21">
        <v>5400</v>
      </c>
      <c r="W131">
        <v>6</v>
      </c>
      <c r="X131">
        <v>1</v>
      </c>
      <c r="Y131">
        <v>0</v>
      </c>
      <c r="Z131">
        <v>3</v>
      </c>
      <c r="AA131">
        <v>10</v>
      </c>
    </row>
    <row r="132" spans="1:27" ht="14.25" x14ac:dyDescent="0.2">
      <c r="A132" s="11">
        <v>719</v>
      </c>
      <c r="B132" t="s">
        <v>180</v>
      </c>
      <c r="C132" t="s">
        <v>121</v>
      </c>
      <c r="D132" t="s">
        <v>121</v>
      </c>
      <c r="E132" t="s">
        <v>121</v>
      </c>
      <c r="F132" s="4" t="s">
        <v>378</v>
      </c>
      <c r="H132">
        <v>2</v>
      </c>
      <c r="I132" s="1">
        <v>0</v>
      </c>
      <c r="J132">
        <v>0</v>
      </c>
      <c r="K132">
        <v>0</v>
      </c>
      <c r="L132" s="20">
        <v>3600</v>
      </c>
      <c r="M132">
        <v>1</v>
      </c>
      <c r="N132">
        <v>0</v>
      </c>
      <c r="O132">
        <v>0</v>
      </c>
      <c r="P132">
        <v>0</v>
      </c>
      <c r="Q132" s="22">
        <v>10800</v>
      </c>
      <c r="R132">
        <v>3</v>
      </c>
      <c r="S132" s="1">
        <v>0</v>
      </c>
      <c r="T132">
        <v>0</v>
      </c>
      <c r="U132">
        <v>0</v>
      </c>
      <c r="V132" s="21">
        <v>5400</v>
      </c>
      <c r="W132">
        <v>15</v>
      </c>
      <c r="X132">
        <v>0</v>
      </c>
      <c r="Y132">
        <v>0</v>
      </c>
      <c r="Z132">
        <v>0</v>
      </c>
      <c r="AA132">
        <v>1</v>
      </c>
    </row>
    <row r="133" spans="1:27" ht="14.25" x14ac:dyDescent="0.2">
      <c r="A133" s="11">
        <v>720</v>
      </c>
      <c r="B133" t="s">
        <v>122</v>
      </c>
      <c r="C133" t="s">
        <v>121</v>
      </c>
      <c r="D133" t="s">
        <v>121</v>
      </c>
      <c r="E133" t="s">
        <v>121</v>
      </c>
      <c r="F133" s="4" t="s">
        <v>376</v>
      </c>
      <c r="H133">
        <v>2</v>
      </c>
      <c r="I133" s="1">
        <v>0</v>
      </c>
      <c r="J133">
        <v>0</v>
      </c>
      <c r="K133">
        <v>0</v>
      </c>
      <c r="L133" s="20">
        <v>3600</v>
      </c>
      <c r="M133">
        <v>1</v>
      </c>
      <c r="N133">
        <v>0</v>
      </c>
      <c r="O133">
        <v>0</v>
      </c>
      <c r="P133">
        <v>0</v>
      </c>
      <c r="Q133" s="22">
        <v>10800</v>
      </c>
      <c r="R133">
        <v>3</v>
      </c>
      <c r="S133" s="1">
        <v>0</v>
      </c>
      <c r="T133">
        <v>0</v>
      </c>
      <c r="U133">
        <v>0</v>
      </c>
      <c r="V133" s="21">
        <v>5400</v>
      </c>
      <c r="W133">
        <v>4</v>
      </c>
      <c r="X133">
        <v>0</v>
      </c>
      <c r="Y133">
        <v>0</v>
      </c>
      <c r="Z133">
        <v>0</v>
      </c>
      <c r="AA133">
        <v>10</v>
      </c>
    </row>
    <row r="134" spans="1:27" ht="14.25" x14ac:dyDescent="0.2">
      <c r="A134" s="11">
        <v>721</v>
      </c>
      <c r="B134" t="s">
        <v>178</v>
      </c>
      <c r="C134" t="s">
        <v>121</v>
      </c>
      <c r="D134" t="s">
        <v>121</v>
      </c>
      <c r="E134" t="s">
        <v>121</v>
      </c>
      <c r="F134" s="4" t="s">
        <v>380</v>
      </c>
      <c r="H134">
        <v>2</v>
      </c>
      <c r="I134" s="1">
        <v>0</v>
      </c>
      <c r="J134">
        <v>0</v>
      </c>
      <c r="K134">
        <v>0</v>
      </c>
      <c r="L134" s="20">
        <v>3700</v>
      </c>
      <c r="M134">
        <v>1</v>
      </c>
      <c r="N134">
        <v>0</v>
      </c>
      <c r="O134">
        <v>0</v>
      </c>
      <c r="P134">
        <v>0</v>
      </c>
      <c r="Q134" s="22">
        <v>10800</v>
      </c>
      <c r="R134">
        <v>3</v>
      </c>
      <c r="S134" s="1">
        <v>0</v>
      </c>
      <c r="T134">
        <v>0</v>
      </c>
      <c r="U134">
        <v>0</v>
      </c>
      <c r="V134" s="21">
        <v>5400</v>
      </c>
      <c r="W134">
        <v>21</v>
      </c>
      <c r="X134">
        <v>0</v>
      </c>
      <c r="Y134">
        <v>0</v>
      </c>
      <c r="Z134">
        <v>0</v>
      </c>
      <c r="AA134">
        <v>1</v>
      </c>
    </row>
    <row r="135" spans="1:27" ht="14.25" x14ac:dyDescent="0.2">
      <c r="A135" s="11">
        <v>722</v>
      </c>
      <c r="B135" t="s">
        <v>130</v>
      </c>
      <c r="C135" t="s">
        <v>121</v>
      </c>
      <c r="D135" t="s">
        <v>121</v>
      </c>
      <c r="E135" t="s">
        <v>121</v>
      </c>
      <c r="F135" s="4" t="s">
        <v>382</v>
      </c>
      <c r="H135">
        <v>2</v>
      </c>
      <c r="I135" s="1">
        <v>0</v>
      </c>
      <c r="J135">
        <v>0</v>
      </c>
      <c r="K135">
        <v>0</v>
      </c>
      <c r="L135" s="20">
        <v>3700</v>
      </c>
      <c r="M135">
        <v>1</v>
      </c>
      <c r="N135">
        <v>0</v>
      </c>
      <c r="O135">
        <v>0</v>
      </c>
      <c r="P135">
        <v>0</v>
      </c>
      <c r="Q135" s="22">
        <v>10800</v>
      </c>
      <c r="R135">
        <v>3</v>
      </c>
      <c r="S135" s="1">
        <v>0</v>
      </c>
      <c r="T135">
        <v>0</v>
      </c>
      <c r="U135">
        <v>0</v>
      </c>
      <c r="V135" s="21">
        <v>5400</v>
      </c>
      <c r="W135">
        <v>9</v>
      </c>
      <c r="X135">
        <v>0</v>
      </c>
      <c r="Y135">
        <v>0</v>
      </c>
      <c r="Z135">
        <v>0</v>
      </c>
      <c r="AA135">
        <v>10</v>
      </c>
    </row>
    <row r="136" spans="1:27" ht="14.25" x14ac:dyDescent="0.2">
      <c r="A136" s="11">
        <v>723</v>
      </c>
      <c r="B136" t="s">
        <v>123</v>
      </c>
      <c r="C136" t="s">
        <v>121</v>
      </c>
      <c r="D136" t="s">
        <v>121</v>
      </c>
      <c r="E136" t="s">
        <v>121</v>
      </c>
      <c r="F136" s="4" t="s">
        <v>384</v>
      </c>
      <c r="H136">
        <v>2</v>
      </c>
      <c r="I136" s="1">
        <v>0</v>
      </c>
      <c r="J136">
        <v>0</v>
      </c>
      <c r="K136">
        <v>0</v>
      </c>
      <c r="L136" s="20">
        <v>3700</v>
      </c>
      <c r="M136">
        <v>1</v>
      </c>
      <c r="N136">
        <v>0</v>
      </c>
      <c r="O136">
        <v>0</v>
      </c>
      <c r="P136">
        <v>0</v>
      </c>
      <c r="Q136" s="22">
        <v>11100</v>
      </c>
      <c r="R136">
        <v>3</v>
      </c>
      <c r="S136" s="1">
        <v>0</v>
      </c>
      <c r="T136">
        <v>0</v>
      </c>
      <c r="U136">
        <v>0</v>
      </c>
      <c r="V136" s="21">
        <v>5550</v>
      </c>
      <c r="W136">
        <v>12</v>
      </c>
      <c r="X136">
        <v>0</v>
      </c>
      <c r="Y136">
        <v>0</v>
      </c>
      <c r="Z136">
        <v>0</v>
      </c>
      <c r="AA136">
        <v>10</v>
      </c>
    </row>
    <row r="137" spans="1:27" ht="14.25" x14ac:dyDescent="0.2">
      <c r="A137" s="11">
        <v>724</v>
      </c>
      <c r="B137" t="s">
        <v>126</v>
      </c>
      <c r="C137" t="s">
        <v>121</v>
      </c>
      <c r="D137" t="s">
        <v>121</v>
      </c>
      <c r="E137" t="s">
        <v>121</v>
      </c>
      <c r="F137" s="4" t="s">
        <v>386</v>
      </c>
      <c r="H137">
        <v>2</v>
      </c>
      <c r="I137" s="1">
        <v>0</v>
      </c>
      <c r="J137">
        <v>0</v>
      </c>
      <c r="K137">
        <v>0</v>
      </c>
      <c r="L137" s="20">
        <v>3700</v>
      </c>
      <c r="M137">
        <v>1</v>
      </c>
      <c r="N137">
        <v>0</v>
      </c>
      <c r="O137">
        <v>0</v>
      </c>
      <c r="P137">
        <v>0</v>
      </c>
      <c r="Q137" s="22">
        <v>11100</v>
      </c>
      <c r="R137">
        <v>3</v>
      </c>
      <c r="S137" s="1">
        <v>0</v>
      </c>
      <c r="T137">
        <v>0</v>
      </c>
      <c r="U137">
        <v>0</v>
      </c>
      <c r="V137" s="21">
        <v>5550</v>
      </c>
      <c r="W137">
        <v>23</v>
      </c>
      <c r="X137">
        <v>0</v>
      </c>
      <c r="Y137">
        <v>0</v>
      </c>
      <c r="Z137">
        <v>0</v>
      </c>
      <c r="AA137">
        <v>1</v>
      </c>
    </row>
    <row r="138" spans="1:27" ht="14.25" x14ac:dyDescent="0.2">
      <c r="A138" s="11">
        <v>725</v>
      </c>
      <c r="B138" t="s">
        <v>131</v>
      </c>
      <c r="C138" t="s">
        <v>125</v>
      </c>
      <c r="D138" t="s">
        <v>121</v>
      </c>
      <c r="E138" t="s">
        <v>136</v>
      </c>
      <c r="F138" s="4" t="s">
        <v>384</v>
      </c>
      <c r="H138">
        <v>2</v>
      </c>
      <c r="I138" s="1">
        <v>0</v>
      </c>
      <c r="J138">
        <v>0</v>
      </c>
      <c r="K138">
        <v>0</v>
      </c>
      <c r="L138" s="20">
        <v>3700</v>
      </c>
      <c r="M138">
        <v>1</v>
      </c>
      <c r="N138">
        <v>0</v>
      </c>
      <c r="O138">
        <v>0</v>
      </c>
      <c r="P138">
        <v>0</v>
      </c>
      <c r="Q138" s="22">
        <v>11100</v>
      </c>
      <c r="R138">
        <v>3</v>
      </c>
      <c r="S138" s="1">
        <v>0</v>
      </c>
      <c r="T138">
        <v>0</v>
      </c>
      <c r="U138">
        <v>0</v>
      </c>
      <c r="V138" s="21">
        <v>5550</v>
      </c>
      <c r="W138">
        <v>6</v>
      </c>
      <c r="X138">
        <v>1</v>
      </c>
      <c r="Y138">
        <v>0</v>
      </c>
      <c r="Z138">
        <v>3</v>
      </c>
      <c r="AA138">
        <v>10</v>
      </c>
    </row>
    <row r="139" spans="1:27" ht="14.25" x14ac:dyDescent="0.2">
      <c r="A139" s="11">
        <v>726</v>
      </c>
      <c r="B139" t="s">
        <v>180</v>
      </c>
      <c r="C139" t="s">
        <v>121</v>
      </c>
      <c r="D139" t="s">
        <v>121</v>
      </c>
      <c r="E139" t="s">
        <v>121</v>
      </c>
      <c r="F139" s="4" t="s">
        <v>388</v>
      </c>
      <c r="H139">
        <v>2</v>
      </c>
      <c r="I139" s="1">
        <v>0</v>
      </c>
      <c r="J139">
        <v>0</v>
      </c>
      <c r="K139">
        <v>0</v>
      </c>
      <c r="L139" s="20">
        <v>3800</v>
      </c>
      <c r="M139">
        <v>1</v>
      </c>
      <c r="N139">
        <v>0</v>
      </c>
      <c r="O139">
        <v>0</v>
      </c>
      <c r="P139">
        <v>0</v>
      </c>
      <c r="Q139" s="22">
        <v>11100</v>
      </c>
      <c r="R139">
        <v>3</v>
      </c>
      <c r="S139" s="1">
        <v>0</v>
      </c>
      <c r="T139">
        <v>0</v>
      </c>
      <c r="U139">
        <v>0</v>
      </c>
      <c r="V139" s="21">
        <v>5550</v>
      </c>
      <c r="W139">
        <v>15</v>
      </c>
      <c r="X139">
        <v>0</v>
      </c>
      <c r="Y139">
        <v>0</v>
      </c>
      <c r="Z139">
        <v>0</v>
      </c>
      <c r="AA139">
        <v>1</v>
      </c>
    </row>
    <row r="140" spans="1:27" ht="14.25" x14ac:dyDescent="0.2">
      <c r="A140" s="11">
        <v>727</v>
      </c>
      <c r="B140" t="s">
        <v>122</v>
      </c>
      <c r="C140" t="s">
        <v>121</v>
      </c>
      <c r="D140" t="s">
        <v>121</v>
      </c>
      <c r="E140" t="s">
        <v>121</v>
      </c>
      <c r="F140" s="4" t="s">
        <v>390</v>
      </c>
      <c r="H140">
        <v>2</v>
      </c>
      <c r="I140" s="1">
        <v>0</v>
      </c>
      <c r="J140">
        <v>0</v>
      </c>
      <c r="K140">
        <v>0</v>
      </c>
      <c r="L140" s="20">
        <v>3800</v>
      </c>
      <c r="M140">
        <v>1</v>
      </c>
      <c r="N140">
        <v>0</v>
      </c>
      <c r="O140">
        <v>0</v>
      </c>
      <c r="P140">
        <v>0</v>
      </c>
      <c r="Q140" s="22">
        <v>11100</v>
      </c>
      <c r="R140">
        <v>3</v>
      </c>
      <c r="S140" s="1">
        <v>0</v>
      </c>
      <c r="T140">
        <v>0</v>
      </c>
      <c r="U140">
        <v>0</v>
      </c>
      <c r="V140" s="21">
        <v>5550</v>
      </c>
      <c r="W140">
        <v>4</v>
      </c>
      <c r="X140">
        <v>0</v>
      </c>
      <c r="Y140">
        <v>0</v>
      </c>
      <c r="Z140">
        <v>0</v>
      </c>
      <c r="AA140">
        <v>10</v>
      </c>
    </row>
    <row r="141" spans="1:27" ht="14.25" x14ac:dyDescent="0.2">
      <c r="A141" s="11">
        <v>728</v>
      </c>
      <c r="B141" t="s">
        <v>178</v>
      </c>
      <c r="C141" t="s">
        <v>121</v>
      </c>
      <c r="D141" t="s">
        <v>121</v>
      </c>
      <c r="E141" t="s">
        <v>121</v>
      </c>
      <c r="F141" s="4" t="s">
        <v>392</v>
      </c>
      <c r="H141">
        <v>2</v>
      </c>
      <c r="I141" s="1">
        <v>0</v>
      </c>
      <c r="J141">
        <v>0</v>
      </c>
      <c r="K141">
        <v>0</v>
      </c>
      <c r="L141" s="20">
        <v>3800</v>
      </c>
      <c r="M141">
        <v>1</v>
      </c>
      <c r="N141">
        <v>0</v>
      </c>
      <c r="O141">
        <v>0</v>
      </c>
      <c r="P141">
        <v>0</v>
      </c>
      <c r="Q141" s="22">
        <v>11400</v>
      </c>
      <c r="R141">
        <v>3</v>
      </c>
      <c r="S141" s="1">
        <v>0</v>
      </c>
      <c r="T141">
        <v>0</v>
      </c>
      <c r="U141">
        <v>0</v>
      </c>
      <c r="V141" s="21">
        <v>5700</v>
      </c>
      <c r="W141">
        <v>21</v>
      </c>
      <c r="X141">
        <v>0</v>
      </c>
      <c r="Y141">
        <v>0</v>
      </c>
      <c r="Z141">
        <v>0</v>
      </c>
      <c r="AA141">
        <v>1</v>
      </c>
    </row>
    <row r="142" spans="1:27" ht="14.25" x14ac:dyDescent="0.2">
      <c r="A142" s="11">
        <v>729</v>
      </c>
      <c r="B142" t="s">
        <v>130</v>
      </c>
      <c r="C142" t="s">
        <v>121</v>
      </c>
      <c r="D142" t="s">
        <v>121</v>
      </c>
      <c r="E142" t="s">
        <v>121</v>
      </c>
      <c r="F142" s="4" t="s">
        <v>394</v>
      </c>
      <c r="H142">
        <v>2</v>
      </c>
      <c r="I142" s="1">
        <v>0</v>
      </c>
      <c r="J142">
        <v>0</v>
      </c>
      <c r="K142">
        <v>0</v>
      </c>
      <c r="L142" s="20">
        <v>3800</v>
      </c>
      <c r="M142">
        <v>1</v>
      </c>
      <c r="N142">
        <v>0</v>
      </c>
      <c r="O142">
        <v>0</v>
      </c>
      <c r="P142">
        <v>0</v>
      </c>
      <c r="Q142" s="22">
        <v>11400</v>
      </c>
      <c r="R142">
        <v>3</v>
      </c>
      <c r="S142" s="1">
        <v>0</v>
      </c>
      <c r="T142">
        <v>0</v>
      </c>
      <c r="U142">
        <v>0</v>
      </c>
      <c r="V142" s="21">
        <v>5700</v>
      </c>
      <c r="W142">
        <v>9</v>
      </c>
      <c r="X142">
        <v>0</v>
      </c>
      <c r="Y142">
        <v>0</v>
      </c>
      <c r="Z142">
        <v>0</v>
      </c>
      <c r="AA142">
        <v>10</v>
      </c>
    </row>
    <row r="143" spans="1:27" ht="14.25" x14ac:dyDescent="0.2">
      <c r="A143" s="11">
        <v>730</v>
      </c>
      <c r="B143" t="s">
        <v>123</v>
      </c>
      <c r="C143" t="s">
        <v>121</v>
      </c>
      <c r="D143" t="s">
        <v>121</v>
      </c>
      <c r="E143" t="s">
        <v>121</v>
      </c>
      <c r="F143" s="4" t="s">
        <v>394</v>
      </c>
      <c r="H143">
        <v>2</v>
      </c>
      <c r="I143" s="1">
        <v>0</v>
      </c>
      <c r="J143">
        <v>0</v>
      </c>
      <c r="K143">
        <v>0</v>
      </c>
      <c r="L143" s="20">
        <v>3800</v>
      </c>
      <c r="M143">
        <v>1</v>
      </c>
      <c r="N143">
        <v>0</v>
      </c>
      <c r="O143">
        <v>0</v>
      </c>
      <c r="P143">
        <v>0</v>
      </c>
      <c r="Q143" s="22">
        <v>11400</v>
      </c>
      <c r="R143">
        <v>3</v>
      </c>
      <c r="S143" s="1">
        <v>0</v>
      </c>
      <c r="T143">
        <v>0</v>
      </c>
      <c r="U143">
        <v>0</v>
      </c>
      <c r="V143" s="21">
        <v>5700</v>
      </c>
      <c r="W143">
        <v>12</v>
      </c>
      <c r="X143">
        <v>0</v>
      </c>
      <c r="Y143">
        <v>0</v>
      </c>
      <c r="Z143">
        <v>0</v>
      </c>
      <c r="AA143">
        <v>10</v>
      </c>
    </row>
    <row r="144" spans="1:27" ht="14.25" x14ac:dyDescent="0.2">
      <c r="A144" s="11">
        <v>731</v>
      </c>
      <c r="B144" t="s">
        <v>126</v>
      </c>
      <c r="C144" t="s">
        <v>121</v>
      </c>
      <c r="D144" t="s">
        <v>121</v>
      </c>
      <c r="E144" t="s">
        <v>121</v>
      </c>
      <c r="F144" s="4" t="s">
        <v>396</v>
      </c>
      <c r="H144">
        <v>2</v>
      </c>
      <c r="I144" s="1">
        <v>0</v>
      </c>
      <c r="J144">
        <v>0</v>
      </c>
      <c r="K144">
        <v>0</v>
      </c>
      <c r="L144" s="20">
        <v>3900</v>
      </c>
      <c r="M144">
        <v>1</v>
      </c>
      <c r="N144">
        <v>0</v>
      </c>
      <c r="O144">
        <v>0</v>
      </c>
      <c r="P144">
        <v>0</v>
      </c>
      <c r="Q144" s="22">
        <v>11400</v>
      </c>
      <c r="R144">
        <v>3</v>
      </c>
      <c r="S144" s="1">
        <v>0</v>
      </c>
      <c r="T144">
        <v>0</v>
      </c>
      <c r="U144">
        <v>0</v>
      </c>
      <c r="V144" s="21">
        <v>5700</v>
      </c>
      <c r="W144">
        <v>23</v>
      </c>
      <c r="X144">
        <v>0</v>
      </c>
      <c r="Y144">
        <v>0</v>
      </c>
      <c r="Z144">
        <v>0</v>
      </c>
      <c r="AA144">
        <v>1</v>
      </c>
    </row>
    <row r="145" spans="1:27" ht="14.25" x14ac:dyDescent="0.2">
      <c r="A145" s="11">
        <v>732</v>
      </c>
      <c r="B145" t="s">
        <v>131</v>
      </c>
      <c r="C145" t="s">
        <v>125</v>
      </c>
      <c r="D145" t="s">
        <v>121</v>
      </c>
      <c r="E145" t="s">
        <v>136</v>
      </c>
      <c r="F145" s="4" t="s">
        <v>398</v>
      </c>
      <c r="H145">
        <v>2</v>
      </c>
      <c r="I145" s="1">
        <v>0</v>
      </c>
      <c r="J145">
        <v>0</v>
      </c>
      <c r="K145">
        <v>0</v>
      </c>
      <c r="L145" s="20">
        <v>3900</v>
      </c>
      <c r="M145">
        <v>1</v>
      </c>
      <c r="N145">
        <v>0</v>
      </c>
      <c r="O145">
        <v>0</v>
      </c>
      <c r="P145">
        <v>0</v>
      </c>
      <c r="Q145" s="22">
        <v>11400</v>
      </c>
      <c r="R145">
        <v>3</v>
      </c>
      <c r="S145" s="1">
        <v>0</v>
      </c>
      <c r="T145">
        <v>0</v>
      </c>
      <c r="U145">
        <v>0</v>
      </c>
      <c r="V145" s="21">
        <v>5700</v>
      </c>
      <c r="W145">
        <v>6</v>
      </c>
      <c r="X145">
        <v>1</v>
      </c>
      <c r="Y145">
        <v>0</v>
      </c>
      <c r="Z145">
        <v>3</v>
      </c>
      <c r="AA145">
        <v>10</v>
      </c>
    </row>
    <row r="146" spans="1:27" ht="14.25" x14ac:dyDescent="0.2">
      <c r="A146" s="11">
        <v>733</v>
      </c>
      <c r="B146" t="s">
        <v>180</v>
      </c>
      <c r="C146" t="s">
        <v>121</v>
      </c>
      <c r="D146" t="s">
        <v>121</v>
      </c>
      <c r="E146" t="s">
        <v>121</v>
      </c>
      <c r="F146" s="4" t="s">
        <v>400</v>
      </c>
      <c r="H146">
        <v>2</v>
      </c>
      <c r="I146" s="1">
        <v>0</v>
      </c>
      <c r="J146">
        <v>0</v>
      </c>
      <c r="K146">
        <v>0</v>
      </c>
      <c r="L146" s="20">
        <v>3900</v>
      </c>
      <c r="M146">
        <v>1</v>
      </c>
      <c r="N146">
        <v>0</v>
      </c>
      <c r="O146">
        <v>0</v>
      </c>
      <c r="P146">
        <v>0</v>
      </c>
      <c r="Q146" s="22">
        <v>11700</v>
      </c>
      <c r="R146">
        <v>3</v>
      </c>
      <c r="S146" s="1">
        <v>0</v>
      </c>
      <c r="T146">
        <v>0</v>
      </c>
      <c r="U146">
        <v>0</v>
      </c>
      <c r="V146" s="21">
        <v>5850</v>
      </c>
      <c r="W146">
        <v>15</v>
      </c>
      <c r="X146">
        <v>0</v>
      </c>
      <c r="Y146">
        <v>0</v>
      </c>
      <c r="Z146">
        <v>0</v>
      </c>
      <c r="AA146">
        <v>1</v>
      </c>
    </row>
    <row r="147" spans="1:27" ht="14.25" x14ac:dyDescent="0.2">
      <c r="A147" s="11">
        <v>734</v>
      </c>
      <c r="B147" t="s">
        <v>122</v>
      </c>
      <c r="C147" t="s">
        <v>121</v>
      </c>
      <c r="D147" t="s">
        <v>121</v>
      </c>
      <c r="E147" t="s">
        <v>121</v>
      </c>
      <c r="F147" s="4" t="s">
        <v>402</v>
      </c>
      <c r="H147">
        <v>2</v>
      </c>
      <c r="I147" s="1">
        <v>0</v>
      </c>
      <c r="J147">
        <v>0</v>
      </c>
      <c r="K147">
        <v>0</v>
      </c>
      <c r="L147" s="20">
        <v>3900</v>
      </c>
      <c r="M147">
        <v>1</v>
      </c>
      <c r="N147">
        <v>0</v>
      </c>
      <c r="O147">
        <v>0</v>
      </c>
      <c r="P147">
        <v>0</v>
      </c>
      <c r="Q147" s="22">
        <v>11700</v>
      </c>
      <c r="R147">
        <v>3</v>
      </c>
      <c r="S147" s="1">
        <v>0</v>
      </c>
      <c r="T147">
        <v>0</v>
      </c>
      <c r="U147">
        <v>0</v>
      </c>
      <c r="V147" s="21">
        <v>5850</v>
      </c>
      <c r="W147">
        <v>4</v>
      </c>
      <c r="X147">
        <v>0</v>
      </c>
      <c r="Y147">
        <v>0</v>
      </c>
      <c r="Z147">
        <v>0</v>
      </c>
      <c r="AA147">
        <v>10</v>
      </c>
    </row>
    <row r="148" spans="1:27" ht="14.25" x14ac:dyDescent="0.2">
      <c r="A148" s="11">
        <v>735</v>
      </c>
      <c r="B148" t="s">
        <v>178</v>
      </c>
      <c r="C148" t="s">
        <v>121</v>
      </c>
      <c r="D148" t="s">
        <v>121</v>
      </c>
      <c r="E148" t="s">
        <v>121</v>
      </c>
      <c r="F148" s="4" t="s">
        <v>400</v>
      </c>
      <c r="H148">
        <v>2</v>
      </c>
      <c r="I148" s="1">
        <v>0</v>
      </c>
      <c r="J148">
        <v>0</v>
      </c>
      <c r="K148">
        <v>0</v>
      </c>
      <c r="L148" s="20">
        <v>3900</v>
      </c>
      <c r="M148">
        <v>1</v>
      </c>
      <c r="N148">
        <v>0</v>
      </c>
      <c r="O148">
        <v>0</v>
      </c>
      <c r="P148">
        <v>0</v>
      </c>
      <c r="Q148" s="22">
        <v>11700</v>
      </c>
      <c r="R148">
        <v>3</v>
      </c>
      <c r="S148" s="1">
        <v>0</v>
      </c>
      <c r="T148">
        <v>0</v>
      </c>
      <c r="U148">
        <v>0</v>
      </c>
      <c r="V148" s="21">
        <v>5850</v>
      </c>
      <c r="W148">
        <v>21</v>
      </c>
      <c r="X148">
        <v>0</v>
      </c>
      <c r="Y148">
        <v>0</v>
      </c>
      <c r="Z148">
        <v>0</v>
      </c>
      <c r="AA148">
        <v>1</v>
      </c>
    </row>
    <row r="149" spans="1:27" ht="14.25" x14ac:dyDescent="0.2">
      <c r="A149" s="11">
        <v>801</v>
      </c>
      <c r="B149" t="s">
        <v>130</v>
      </c>
      <c r="C149" t="s">
        <v>121</v>
      </c>
      <c r="D149" t="s">
        <v>121</v>
      </c>
      <c r="E149" t="s">
        <v>121</v>
      </c>
      <c r="F149" s="4" t="s">
        <v>404</v>
      </c>
      <c r="H149">
        <v>2</v>
      </c>
      <c r="I149" s="1">
        <v>0</v>
      </c>
      <c r="J149">
        <v>0</v>
      </c>
      <c r="K149">
        <v>0</v>
      </c>
      <c r="L149" s="20">
        <v>4000</v>
      </c>
      <c r="M149">
        <v>1</v>
      </c>
      <c r="N149">
        <v>0</v>
      </c>
      <c r="O149">
        <v>0</v>
      </c>
      <c r="P149">
        <v>0</v>
      </c>
      <c r="Q149" s="22">
        <v>11700</v>
      </c>
      <c r="R149">
        <v>3</v>
      </c>
      <c r="S149" s="1">
        <v>0</v>
      </c>
      <c r="T149">
        <v>0</v>
      </c>
      <c r="U149">
        <v>0</v>
      </c>
      <c r="V149" s="21">
        <v>5850</v>
      </c>
      <c r="W149">
        <v>9</v>
      </c>
      <c r="X149">
        <v>0</v>
      </c>
      <c r="Y149">
        <v>0</v>
      </c>
      <c r="Z149">
        <v>0</v>
      </c>
      <c r="AA149">
        <v>10</v>
      </c>
    </row>
    <row r="150" spans="1:27" ht="14.25" x14ac:dyDescent="0.2">
      <c r="A150" s="11">
        <v>802</v>
      </c>
      <c r="B150" t="s">
        <v>123</v>
      </c>
      <c r="C150" t="s">
        <v>121</v>
      </c>
      <c r="D150" t="s">
        <v>121</v>
      </c>
      <c r="E150" t="s">
        <v>121</v>
      </c>
      <c r="F150" s="4" t="s">
        <v>404</v>
      </c>
      <c r="H150">
        <v>2</v>
      </c>
      <c r="I150" s="1">
        <v>0</v>
      </c>
      <c r="J150">
        <v>0</v>
      </c>
      <c r="K150">
        <v>0</v>
      </c>
      <c r="L150" s="20">
        <v>4000</v>
      </c>
      <c r="M150">
        <v>1</v>
      </c>
      <c r="N150">
        <v>0</v>
      </c>
      <c r="O150">
        <v>0</v>
      </c>
      <c r="P150">
        <v>0</v>
      </c>
      <c r="Q150" s="22">
        <v>11700</v>
      </c>
      <c r="R150">
        <v>3</v>
      </c>
      <c r="S150" s="1">
        <v>0</v>
      </c>
      <c r="T150">
        <v>0</v>
      </c>
      <c r="U150">
        <v>0</v>
      </c>
      <c r="V150" s="21">
        <v>5850</v>
      </c>
      <c r="W150">
        <v>12</v>
      </c>
      <c r="X150">
        <v>0</v>
      </c>
      <c r="Y150">
        <v>0</v>
      </c>
      <c r="Z150">
        <v>0</v>
      </c>
      <c r="AA150">
        <v>10</v>
      </c>
    </row>
    <row r="151" spans="1:27" ht="14.25" x14ac:dyDescent="0.2">
      <c r="A151" s="11">
        <v>803</v>
      </c>
      <c r="B151" t="s">
        <v>126</v>
      </c>
      <c r="C151" t="s">
        <v>121</v>
      </c>
      <c r="D151" t="s">
        <v>121</v>
      </c>
      <c r="E151" t="s">
        <v>121</v>
      </c>
      <c r="F151" s="4" t="s">
        <v>406</v>
      </c>
      <c r="H151">
        <v>2</v>
      </c>
      <c r="I151" s="1">
        <v>0</v>
      </c>
      <c r="J151">
        <v>0</v>
      </c>
      <c r="K151">
        <v>0</v>
      </c>
      <c r="L151" s="20">
        <v>4000</v>
      </c>
      <c r="M151">
        <v>1</v>
      </c>
      <c r="N151">
        <v>0</v>
      </c>
      <c r="O151">
        <v>0</v>
      </c>
      <c r="P151">
        <v>0</v>
      </c>
      <c r="Q151" s="22">
        <v>12000</v>
      </c>
      <c r="R151">
        <v>3</v>
      </c>
      <c r="S151" s="1">
        <v>0</v>
      </c>
      <c r="T151">
        <v>0</v>
      </c>
      <c r="U151">
        <v>0</v>
      </c>
      <c r="V151" s="21">
        <v>6000</v>
      </c>
      <c r="W151">
        <v>23</v>
      </c>
      <c r="X151">
        <v>0</v>
      </c>
      <c r="Y151">
        <v>0</v>
      </c>
      <c r="Z151">
        <v>0</v>
      </c>
      <c r="AA151">
        <v>1</v>
      </c>
    </row>
    <row r="152" spans="1:27" ht="14.25" x14ac:dyDescent="0.2">
      <c r="A152" s="11">
        <v>804</v>
      </c>
      <c r="B152" t="s">
        <v>131</v>
      </c>
      <c r="C152" t="s">
        <v>125</v>
      </c>
      <c r="D152" t="s">
        <v>121</v>
      </c>
      <c r="E152" t="s">
        <v>136</v>
      </c>
      <c r="F152" s="4" t="s">
        <v>408</v>
      </c>
      <c r="H152">
        <v>2</v>
      </c>
      <c r="I152" s="1">
        <v>0</v>
      </c>
      <c r="J152">
        <v>0</v>
      </c>
      <c r="K152">
        <v>0</v>
      </c>
      <c r="L152" s="20">
        <v>4000</v>
      </c>
      <c r="M152">
        <v>1</v>
      </c>
      <c r="N152">
        <v>0</v>
      </c>
      <c r="O152">
        <v>0</v>
      </c>
      <c r="P152">
        <v>0</v>
      </c>
      <c r="Q152" s="22">
        <v>12000</v>
      </c>
      <c r="R152">
        <v>3</v>
      </c>
      <c r="S152" s="1">
        <v>0</v>
      </c>
      <c r="T152">
        <v>0</v>
      </c>
      <c r="U152">
        <v>0</v>
      </c>
      <c r="V152" s="21">
        <v>6000</v>
      </c>
      <c r="W152">
        <v>6</v>
      </c>
      <c r="X152">
        <v>1</v>
      </c>
      <c r="Y152">
        <v>0</v>
      </c>
      <c r="Z152">
        <v>3</v>
      </c>
      <c r="AA152">
        <v>10</v>
      </c>
    </row>
    <row r="153" spans="1:27" ht="14.25" x14ac:dyDescent="0.2">
      <c r="A153" s="11">
        <v>805</v>
      </c>
      <c r="B153" t="s">
        <v>180</v>
      </c>
      <c r="C153" t="s">
        <v>121</v>
      </c>
      <c r="D153" t="s">
        <v>121</v>
      </c>
      <c r="E153" t="s">
        <v>121</v>
      </c>
      <c r="F153" s="4" t="s">
        <v>406</v>
      </c>
      <c r="H153">
        <v>2</v>
      </c>
      <c r="I153" s="1">
        <v>0</v>
      </c>
      <c r="J153">
        <v>0</v>
      </c>
      <c r="K153">
        <v>0</v>
      </c>
      <c r="L153" s="20">
        <v>4000</v>
      </c>
      <c r="M153">
        <v>1</v>
      </c>
      <c r="N153">
        <v>0</v>
      </c>
      <c r="O153">
        <v>0</v>
      </c>
      <c r="P153">
        <v>0</v>
      </c>
      <c r="Q153" s="22">
        <v>12000</v>
      </c>
      <c r="R153">
        <v>3</v>
      </c>
      <c r="S153" s="1">
        <v>0</v>
      </c>
      <c r="T153">
        <v>0</v>
      </c>
      <c r="U153">
        <v>0</v>
      </c>
      <c r="V153" s="21">
        <v>6000</v>
      </c>
      <c r="W153">
        <v>15</v>
      </c>
      <c r="X153">
        <v>0</v>
      </c>
      <c r="Y153">
        <v>0</v>
      </c>
      <c r="Z153">
        <v>0</v>
      </c>
      <c r="AA153">
        <v>1</v>
      </c>
    </row>
    <row r="154" spans="1:27" ht="14.25" x14ac:dyDescent="0.2">
      <c r="A154" s="11">
        <v>806</v>
      </c>
      <c r="B154" t="s">
        <v>122</v>
      </c>
      <c r="C154" t="s">
        <v>121</v>
      </c>
      <c r="D154" t="s">
        <v>121</v>
      </c>
      <c r="E154" t="s">
        <v>121</v>
      </c>
      <c r="F154" s="4" t="s">
        <v>410</v>
      </c>
      <c r="H154">
        <v>2</v>
      </c>
      <c r="I154" s="1">
        <v>0</v>
      </c>
      <c r="J154">
        <v>0</v>
      </c>
      <c r="K154">
        <v>0</v>
      </c>
      <c r="L154" s="20">
        <v>4100</v>
      </c>
      <c r="M154">
        <v>1</v>
      </c>
      <c r="N154">
        <v>0</v>
      </c>
      <c r="O154">
        <v>0</v>
      </c>
      <c r="P154">
        <v>0</v>
      </c>
      <c r="Q154" s="22">
        <v>12000</v>
      </c>
      <c r="R154">
        <v>3</v>
      </c>
      <c r="S154" s="1">
        <v>0</v>
      </c>
      <c r="T154">
        <v>0</v>
      </c>
      <c r="U154">
        <v>0</v>
      </c>
      <c r="V154" s="21">
        <v>6000</v>
      </c>
      <c r="W154">
        <v>4</v>
      </c>
      <c r="X154">
        <v>0</v>
      </c>
      <c r="Y154">
        <v>0</v>
      </c>
      <c r="Z154">
        <v>0</v>
      </c>
      <c r="AA154">
        <v>10</v>
      </c>
    </row>
    <row r="155" spans="1:27" ht="14.25" x14ac:dyDescent="0.2">
      <c r="A155" s="11">
        <v>807</v>
      </c>
      <c r="B155" t="s">
        <v>178</v>
      </c>
      <c r="C155" t="s">
        <v>121</v>
      </c>
      <c r="D155" t="s">
        <v>121</v>
      </c>
      <c r="E155" t="s">
        <v>121</v>
      </c>
      <c r="F155" s="4" t="s">
        <v>412</v>
      </c>
      <c r="H155">
        <v>2</v>
      </c>
      <c r="I155" s="1">
        <v>0</v>
      </c>
      <c r="J155">
        <v>0</v>
      </c>
      <c r="K155">
        <v>0</v>
      </c>
      <c r="L155" s="20">
        <v>4100</v>
      </c>
      <c r="M155">
        <v>1</v>
      </c>
      <c r="N155">
        <v>0</v>
      </c>
      <c r="O155">
        <v>0</v>
      </c>
      <c r="P155">
        <v>0</v>
      </c>
      <c r="Q155" s="22">
        <v>12000</v>
      </c>
      <c r="R155">
        <v>3</v>
      </c>
      <c r="S155" s="1">
        <v>0</v>
      </c>
      <c r="T155">
        <v>0</v>
      </c>
      <c r="U155">
        <v>0</v>
      </c>
      <c r="V155" s="21">
        <v>6000</v>
      </c>
      <c r="W155">
        <v>21</v>
      </c>
      <c r="X155">
        <v>0</v>
      </c>
      <c r="Y155">
        <v>0</v>
      </c>
      <c r="Z155">
        <v>0</v>
      </c>
      <c r="AA155">
        <v>1</v>
      </c>
    </row>
    <row r="156" spans="1:27" ht="14.25" x14ac:dyDescent="0.2">
      <c r="A156" s="11">
        <v>808</v>
      </c>
      <c r="B156" t="s">
        <v>130</v>
      </c>
      <c r="C156" t="s">
        <v>121</v>
      </c>
      <c r="D156" t="s">
        <v>121</v>
      </c>
      <c r="E156" t="s">
        <v>121</v>
      </c>
      <c r="F156" s="4" t="s">
        <v>414</v>
      </c>
      <c r="H156">
        <v>2</v>
      </c>
      <c r="I156" s="1">
        <v>0</v>
      </c>
      <c r="J156">
        <v>0</v>
      </c>
      <c r="K156">
        <v>0</v>
      </c>
      <c r="L156" s="20">
        <v>4100</v>
      </c>
      <c r="M156">
        <v>1</v>
      </c>
      <c r="N156">
        <v>0</v>
      </c>
      <c r="O156">
        <v>0</v>
      </c>
      <c r="P156">
        <v>0</v>
      </c>
      <c r="Q156" s="22">
        <v>12300</v>
      </c>
      <c r="R156">
        <v>3</v>
      </c>
      <c r="S156" s="1">
        <v>0</v>
      </c>
      <c r="T156">
        <v>0</v>
      </c>
      <c r="U156">
        <v>0</v>
      </c>
      <c r="V156" s="21">
        <v>6150</v>
      </c>
      <c r="W156">
        <v>9</v>
      </c>
      <c r="X156">
        <v>0</v>
      </c>
      <c r="Y156">
        <v>0</v>
      </c>
      <c r="Z156">
        <v>0</v>
      </c>
      <c r="AA156">
        <v>10</v>
      </c>
    </row>
    <row r="157" spans="1:27" ht="14.25" x14ac:dyDescent="0.2">
      <c r="A157" s="11">
        <v>809</v>
      </c>
      <c r="B157" t="s">
        <v>123</v>
      </c>
      <c r="C157" t="s">
        <v>121</v>
      </c>
      <c r="D157" t="s">
        <v>121</v>
      </c>
      <c r="E157" t="s">
        <v>121</v>
      </c>
      <c r="F157" s="4" t="s">
        <v>414</v>
      </c>
      <c r="H157">
        <v>2</v>
      </c>
      <c r="I157" s="1">
        <v>0</v>
      </c>
      <c r="J157">
        <v>0</v>
      </c>
      <c r="K157">
        <v>0</v>
      </c>
      <c r="L157" s="20">
        <v>4100</v>
      </c>
      <c r="M157">
        <v>1</v>
      </c>
      <c r="N157">
        <v>0</v>
      </c>
      <c r="O157">
        <v>0</v>
      </c>
      <c r="P157">
        <v>0</v>
      </c>
      <c r="Q157" s="22">
        <v>12300</v>
      </c>
      <c r="R157">
        <v>3</v>
      </c>
      <c r="S157" s="1">
        <v>0</v>
      </c>
      <c r="T157">
        <v>0</v>
      </c>
      <c r="U157">
        <v>0</v>
      </c>
      <c r="V157" s="21">
        <v>6150</v>
      </c>
      <c r="W157">
        <v>12</v>
      </c>
      <c r="X157">
        <v>0</v>
      </c>
      <c r="Y157">
        <v>0</v>
      </c>
      <c r="Z157">
        <v>0</v>
      </c>
      <c r="AA157">
        <v>10</v>
      </c>
    </row>
    <row r="158" spans="1:27" ht="14.25" x14ac:dyDescent="0.2">
      <c r="A158" s="11">
        <v>810</v>
      </c>
      <c r="B158" t="s">
        <v>126</v>
      </c>
      <c r="C158" t="s">
        <v>121</v>
      </c>
      <c r="D158" t="s">
        <v>121</v>
      </c>
      <c r="E158" t="s">
        <v>121</v>
      </c>
      <c r="F158" s="4" t="s">
        <v>416</v>
      </c>
      <c r="H158">
        <v>2</v>
      </c>
      <c r="I158" s="1">
        <v>0</v>
      </c>
      <c r="J158">
        <v>0</v>
      </c>
      <c r="K158">
        <v>0</v>
      </c>
      <c r="L158" s="20">
        <v>4100</v>
      </c>
      <c r="M158">
        <v>1</v>
      </c>
      <c r="N158">
        <v>0</v>
      </c>
      <c r="O158">
        <v>0</v>
      </c>
      <c r="P158">
        <v>0</v>
      </c>
      <c r="Q158" s="22">
        <v>12300</v>
      </c>
      <c r="R158">
        <v>3</v>
      </c>
      <c r="S158" s="1">
        <v>0</v>
      </c>
      <c r="T158">
        <v>0</v>
      </c>
      <c r="U158">
        <v>0</v>
      </c>
      <c r="V158" s="21">
        <v>6150</v>
      </c>
      <c r="W158">
        <v>23</v>
      </c>
      <c r="X158">
        <v>0</v>
      </c>
      <c r="Y158">
        <v>0</v>
      </c>
      <c r="Z158">
        <v>0</v>
      </c>
      <c r="AA158">
        <v>1</v>
      </c>
    </row>
    <row r="159" spans="1:27" ht="14.25" x14ac:dyDescent="0.2">
      <c r="A159" s="11">
        <v>811</v>
      </c>
      <c r="B159" t="s">
        <v>131</v>
      </c>
      <c r="C159" t="s">
        <v>125</v>
      </c>
      <c r="D159" t="s">
        <v>121</v>
      </c>
      <c r="E159" t="s">
        <v>136</v>
      </c>
      <c r="F159" s="4" t="s">
        <v>418</v>
      </c>
      <c r="H159">
        <v>2</v>
      </c>
      <c r="I159" s="1">
        <v>0</v>
      </c>
      <c r="J159">
        <v>0</v>
      </c>
      <c r="K159">
        <v>0</v>
      </c>
      <c r="L159" s="20">
        <v>4200</v>
      </c>
      <c r="M159">
        <v>1</v>
      </c>
      <c r="N159">
        <v>0</v>
      </c>
      <c r="O159">
        <v>0</v>
      </c>
      <c r="P159">
        <v>0</v>
      </c>
      <c r="Q159" s="22">
        <v>12300</v>
      </c>
      <c r="R159">
        <v>3</v>
      </c>
      <c r="S159" s="1">
        <v>0</v>
      </c>
      <c r="T159">
        <v>0</v>
      </c>
      <c r="U159">
        <v>0</v>
      </c>
      <c r="V159" s="21">
        <v>6150</v>
      </c>
      <c r="W159">
        <v>6</v>
      </c>
      <c r="X159">
        <v>1</v>
      </c>
      <c r="Y159">
        <v>0</v>
      </c>
      <c r="Z159">
        <v>3</v>
      </c>
      <c r="AA159">
        <v>10</v>
      </c>
    </row>
    <row r="160" spans="1:27" ht="14.25" x14ac:dyDescent="0.2">
      <c r="A160" s="11">
        <v>812</v>
      </c>
      <c r="B160" t="s">
        <v>180</v>
      </c>
      <c r="C160" t="s">
        <v>121</v>
      </c>
      <c r="D160" t="s">
        <v>121</v>
      </c>
      <c r="E160" t="s">
        <v>121</v>
      </c>
      <c r="F160" s="4" t="s">
        <v>420</v>
      </c>
      <c r="H160">
        <v>2</v>
      </c>
      <c r="I160" s="1">
        <v>0</v>
      </c>
      <c r="J160">
        <v>0</v>
      </c>
      <c r="K160">
        <v>0</v>
      </c>
      <c r="L160" s="20">
        <v>4200</v>
      </c>
      <c r="M160">
        <v>1</v>
      </c>
      <c r="N160">
        <v>0</v>
      </c>
      <c r="O160">
        <v>0</v>
      </c>
      <c r="P160">
        <v>0</v>
      </c>
      <c r="Q160" s="22">
        <v>12300</v>
      </c>
      <c r="R160">
        <v>3</v>
      </c>
      <c r="S160" s="1">
        <v>0</v>
      </c>
      <c r="T160">
        <v>0</v>
      </c>
      <c r="U160">
        <v>0</v>
      </c>
      <c r="V160" s="21">
        <v>6150</v>
      </c>
      <c r="W160">
        <v>15</v>
      </c>
      <c r="X160">
        <v>0</v>
      </c>
      <c r="Y160">
        <v>0</v>
      </c>
      <c r="Z160">
        <v>0</v>
      </c>
      <c r="AA160">
        <v>1</v>
      </c>
    </row>
    <row r="161" spans="1:27" ht="14.25" x14ac:dyDescent="0.2">
      <c r="A161" s="11">
        <v>813</v>
      </c>
      <c r="B161" t="s">
        <v>122</v>
      </c>
      <c r="C161" t="s">
        <v>121</v>
      </c>
      <c r="D161" t="s">
        <v>121</v>
      </c>
      <c r="E161" t="s">
        <v>121</v>
      </c>
      <c r="F161" s="4" t="s">
        <v>422</v>
      </c>
      <c r="H161">
        <v>2</v>
      </c>
      <c r="I161" s="1">
        <v>0</v>
      </c>
      <c r="J161">
        <v>0</v>
      </c>
      <c r="K161">
        <v>0</v>
      </c>
      <c r="L161" s="20">
        <v>4200</v>
      </c>
      <c r="M161">
        <v>1</v>
      </c>
      <c r="N161">
        <v>0</v>
      </c>
      <c r="O161">
        <v>0</v>
      </c>
      <c r="P161">
        <v>0</v>
      </c>
      <c r="Q161" s="22">
        <v>12600</v>
      </c>
      <c r="R161">
        <v>3</v>
      </c>
      <c r="S161" s="1">
        <v>0</v>
      </c>
      <c r="T161">
        <v>0</v>
      </c>
      <c r="U161">
        <v>0</v>
      </c>
      <c r="V161" s="21">
        <v>6300</v>
      </c>
      <c r="W161">
        <v>4</v>
      </c>
      <c r="X161">
        <v>0</v>
      </c>
      <c r="Y161">
        <v>0</v>
      </c>
      <c r="Z161">
        <v>0</v>
      </c>
      <c r="AA161">
        <v>10</v>
      </c>
    </row>
    <row r="162" spans="1:27" ht="14.25" x14ac:dyDescent="0.2">
      <c r="A162" s="11">
        <v>814</v>
      </c>
      <c r="B162" t="s">
        <v>178</v>
      </c>
      <c r="C162" t="s">
        <v>121</v>
      </c>
      <c r="D162" t="s">
        <v>121</v>
      </c>
      <c r="E162" t="s">
        <v>121</v>
      </c>
      <c r="F162" s="4" t="s">
        <v>424</v>
      </c>
      <c r="H162">
        <v>2</v>
      </c>
      <c r="I162" s="1">
        <v>0</v>
      </c>
      <c r="J162">
        <v>0</v>
      </c>
      <c r="K162">
        <v>0</v>
      </c>
      <c r="L162" s="20">
        <v>4200</v>
      </c>
      <c r="M162">
        <v>1</v>
      </c>
      <c r="N162">
        <v>0</v>
      </c>
      <c r="O162">
        <v>0</v>
      </c>
      <c r="P162">
        <v>0</v>
      </c>
      <c r="Q162" s="22">
        <v>12600</v>
      </c>
      <c r="R162">
        <v>3</v>
      </c>
      <c r="S162" s="1">
        <v>0</v>
      </c>
      <c r="T162">
        <v>0</v>
      </c>
      <c r="U162">
        <v>0</v>
      </c>
      <c r="V162" s="21">
        <v>6300</v>
      </c>
      <c r="W162">
        <v>21</v>
      </c>
      <c r="X162">
        <v>0</v>
      </c>
      <c r="Y162">
        <v>0</v>
      </c>
      <c r="Z162">
        <v>0</v>
      </c>
      <c r="AA162">
        <v>1</v>
      </c>
    </row>
    <row r="163" spans="1:27" ht="14.25" x14ac:dyDescent="0.2">
      <c r="A163" s="11">
        <v>815</v>
      </c>
      <c r="B163" t="s">
        <v>130</v>
      </c>
      <c r="C163" t="s">
        <v>121</v>
      </c>
      <c r="D163" t="s">
        <v>121</v>
      </c>
      <c r="E163" t="s">
        <v>121</v>
      </c>
      <c r="F163" s="4" t="s">
        <v>422</v>
      </c>
      <c r="H163">
        <v>2</v>
      </c>
      <c r="I163" s="1">
        <v>0</v>
      </c>
      <c r="J163">
        <v>0</v>
      </c>
      <c r="K163">
        <v>0</v>
      </c>
      <c r="L163" s="20">
        <v>4200</v>
      </c>
      <c r="M163">
        <v>1</v>
      </c>
      <c r="N163">
        <v>0</v>
      </c>
      <c r="O163">
        <v>0</v>
      </c>
      <c r="P163">
        <v>0</v>
      </c>
      <c r="Q163" s="22">
        <v>12600</v>
      </c>
      <c r="R163">
        <v>3</v>
      </c>
      <c r="S163" s="1">
        <v>0</v>
      </c>
      <c r="T163">
        <v>0</v>
      </c>
      <c r="U163">
        <v>0</v>
      </c>
      <c r="V163" s="21">
        <v>6300</v>
      </c>
      <c r="W163">
        <v>9</v>
      </c>
      <c r="X163">
        <v>0</v>
      </c>
      <c r="Y163">
        <v>0</v>
      </c>
      <c r="Z163">
        <v>0</v>
      </c>
      <c r="AA163">
        <v>10</v>
      </c>
    </row>
    <row r="164" spans="1:27" ht="14.25" x14ac:dyDescent="0.2">
      <c r="A164" s="11">
        <v>816</v>
      </c>
      <c r="B164" t="s">
        <v>123</v>
      </c>
      <c r="C164" t="s">
        <v>121</v>
      </c>
      <c r="D164" t="s">
        <v>121</v>
      </c>
      <c r="E164" t="s">
        <v>121</v>
      </c>
      <c r="F164" s="4" t="s">
        <v>426</v>
      </c>
      <c r="H164">
        <v>2</v>
      </c>
      <c r="I164" s="1">
        <v>0</v>
      </c>
      <c r="J164">
        <v>0</v>
      </c>
      <c r="K164">
        <v>0</v>
      </c>
      <c r="L164" s="20">
        <v>4300</v>
      </c>
      <c r="M164">
        <v>1</v>
      </c>
      <c r="N164">
        <v>0</v>
      </c>
      <c r="O164">
        <v>0</v>
      </c>
      <c r="P164">
        <v>0</v>
      </c>
      <c r="Q164" s="22">
        <v>12600</v>
      </c>
      <c r="R164">
        <v>3</v>
      </c>
      <c r="S164" s="1">
        <v>0</v>
      </c>
      <c r="T164">
        <v>0</v>
      </c>
      <c r="U164">
        <v>0</v>
      </c>
      <c r="V164" s="21">
        <v>6300</v>
      </c>
      <c r="W164">
        <v>12</v>
      </c>
      <c r="X164">
        <v>0</v>
      </c>
      <c r="Y164">
        <v>0</v>
      </c>
      <c r="Z164">
        <v>0</v>
      </c>
      <c r="AA164">
        <v>10</v>
      </c>
    </row>
    <row r="165" spans="1:27" ht="14.25" x14ac:dyDescent="0.2">
      <c r="A165" s="11">
        <v>817</v>
      </c>
      <c r="B165" t="s">
        <v>126</v>
      </c>
      <c r="C165" t="s">
        <v>121</v>
      </c>
      <c r="D165" t="s">
        <v>121</v>
      </c>
      <c r="E165" t="s">
        <v>121</v>
      </c>
      <c r="F165" s="4" t="s">
        <v>428</v>
      </c>
      <c r="H165">
        <v>2</v>
      </c>
      <c r="I165" s="1">
        <v>0</v>
      </c>
      <c r="J165">
        <v>0</v>
      </c>
      <c r="K165">
        <v>0</v>
      </c>
      <c r="L165" s="20">
        <v>4300</v>
      </c>
      <c r="M165">
        <v>1</v>
      </c>
      <c r="N165">
        <v>0</v>
      </c>
      <c r="O165">
        <v>0</v>
      </c>
      <c r="P165">
        <v>0</v>
      </c>
      <c r="Q165" s="22">
        <v>12600</v>
      </c>
      <c r="R165">
        <v>3</v>
      </c>
      <c r="S165" s="1">
        <v>0</v>
      </c>
      <c r="T165">
        <v>0</v>
      </c>
      <c r="U165">
        <v>0</v>
      </c>
      <c r="V165" s="21">
        <v>6300</v>
      </c>
      <c r="W165">
        <v>23</v>
      </c>
      <c r="X165">
        <v>0</v>
      </c>
      <c r="Y165">
        <v>0</v>
      </c>
      <c r="Z165">
        <v>0</v>
      </c>
      <c r="AA165">
        <v>1</v>
      </c>
    </row>
    <row r="166" spans="1:27" ht="14.25" x14ac:dyDescent="0.2">
      <c r="A166" s="11">
        <v>818</v>
      </c>
      <c r="B166" t="s">
        <v>131</v>
      </c>
      <c r="C166" t="s">
        <v>125</v>
      </c>
      <c r="D166" t="s">
        <v>121</v>
      </c>
      <c r="E166" t="s">
        <v>136</v>
      </c>
      <c r="F166" s="4" t="s">
        <v>430</v>
      </c>
      <c r="H166">
        <v>2</v>
      </c>
      <c r="I166" s="1">
        <v>0</v>
      </c>
      <c r="J166">
        <v>0</v>
      </c>
      <c r="K166">
        <v>0</v>
      </c>
      <c r="L166" s="20">
        <v>4300</v>
      </c>
      <c r="M166">
        <v>1</v>
      </c>
      <c r="N166">
        <v>0</v>
      </c>
      <c r="O166">
        <v>0</v>
      </c>
      <c r="P166">
        <v>0</v>
      </c>
      <c r="Q166" s="22">
        <v>12900</v>
      </c>
      <c r="R166">
        <v>3</v>
      </c>
      <c r="S166" s="1">
        <v>0</v>
      </c>
      <c r="T166">
        <v>0</v>
      </c>
      <c r="U166">
        <v>0</v>
      </c>
      <c r="V166" s="21">
        <v>6450</v>
      </c>
      <c r="W166">
        <v>6</v>
      </c>
      <c r="X166">
        <v>1</v>
      </c>
      <c r="Y166">
        <v>0</v>
      </c>
      <c r="Z166">
        <v>3</v>
      </c>
      <c r="AA166">
        <v>10</v>
      </c>
    </row>
    <row r="167" spans="1:27" ht="14.25" x14ac:dyDescent="0.2">
      <c r="A167" s="11">
        <v>819</v>
      </c>
      <c r="B167" t="s">
        <v>180</v>
      </c>
      <c r="C167" t="s">
        <v>121</v>
      </c>
      <c r="D167" t="s">
        <v>121</v>
      </c>
      <c r="E167" t="s">
        <v>121</v>
      </c>
      <c r="F167" s="4" t="s">
        <v>432</v>
      </c>
      <c r="H167">
        <v>2</v>
      </c>
      <c r="I167" s="1">
        <v>0</v>
      </c>
      <c r="J167">
        <v>0</v>
      </c>
      <c r="K167">
        <v>0</v>
      </c>
      <c r="L167" s="20">
        <v>4300</v>
      </c>
      <c r="M167">
        <v>1</v>
      </c>
      <c r="N167">
        <v>0</v>
      </c>
      <c r="O167">
        <v>0</v>
      </c>
      <c r="P167">
        <v>0</v>
      </c>
      <c r="Q167" s="22">
        <v>12900</v>
      </c>
      <c r="R167">
        <v>3</v>
      </c>
      <c r="S167" s="1">
        <v>0</v>
      </c>
      <c r="T167">
        <v>0</v>
      </c>
      <c r="U167">
        <v>0</v>
      </c>
      <c r="V167" s="21">
        <v>6450</v>
      </c>
      <c r="W167">
        <v>15</v>
      </c>
      <c r="X167">
        <v>0</v>
      </c>
      <c r="Y167">
        <v>0</v>
      </c>
      <c r="Z167">
        <v>0</v>
      </c>
      <c r="AA167">
        <v>1</v>
      </c>
    </row>
    <row r="168" spans="1:27" ht="14.25" x14ac:dyDescent="0.2">
      <c r="A168" s="11">
        <v>820</v>
      </c>
      <c r="B168" t="s">
        <v>122</v>
      </c>
      <c r="C168" t="s">
        <v>121</v>
      </c>
      <c r="D168" t="s">
        <v>121</v>
      </c>
      <c r="E168" t="s">
        <v>121</v>
      </c>
      <c r="F168" s="4" t="s">
        <v>430</v>
      </c>
      <c r="H168">
        <v>2</v>
      </c>
      <c r="I168" s="1">
        <v>0</v>
      </c>
      <c r="J168">
        <v>0</v>
      </c>
      <c r="K168">
        <v>0</v>
      </c>
      <c r="L168" s="20">
        <v>4300</v>
      </c>
      <c r="M168">
        <v>1</v>
      </c>
      <c r="N168">
        <v>0</v>
      </c>
      <c r="O168">
        <v>0</v>
      </c>
      <c r="P168">
        <v>0</v>
      </c>
      <c r="Q168" s="22">
        <v>12900</v>
      </c>
      <c r="R168">
        <v>3</v>
      </c>
      <c r="S168" s="1">
        <v>0</v>
      </c>
      <c r="T168">
        <v>0</v>
      </c>
      <c r="U168">
        <v>0</v>
      </c>
      <c r="V168" s="21">
        <v>6450</v>
      </c>
      <c r="W168">
        <v>4</v>
      </c>
      <c r="X168">
        <v>0</v>
      </c>
      <c r="Y168">
        <v>0</v>
      </c>
      <c r="Z168">
        <v>0</v>
      </c>
      <c r="AA168">
        <v>10</v>
      </c>
    </row>
    <row r="169" spans="1:27" ht="14.25" x14ac:dyDescent="0.2">
      <c r="A169" s="11">
        <v>821</v>
      </c>
      <c r="B169" t="s">
        <v>178</v>
      </c>
      <c r="C169" t="s">
        <v>121</v>
      </c>
      <c r="D169" t="s">
        <v>121</v>
      </c>
      <c r="E169" t="s">
        <v>121</v>
      </c>
      <c r="F169" s="4" t="s">
        <v>434</v>
      </c>
      <c r="H169">
        <v>2</v>
      </c>
      <c r="I169" s="1">
        <v>0</v>
      </c>
      <c r="J169">
        <v>0</v>
      </c>
      <c r="K169">
        <v>0</v>
      </c>
      <c r="L169" s="20">
        <v>4400</v>
      </c>
      <c r="M169">
        <v>1</v>
      </c>
      <c r="N169">
        <v>0</v>
      </c>
      <c r="O169">
        <v>0</v>
      </c>
      <c r="P169">
        <v>0</v>
      </c>
      <c r="Q169" s="22">
        <v>12900</v>
      </c>
      <c r="R169">
        <v>3</v>
      </c>
      <c r="S169" s="1">
        <v>0</v>
      </c>
      <c r="T169">
        <v>0</v>
      </c>
      <c r="U169">
        <v>0</v>
      </c>
      <c r="V169" s="21">
        <v>6450</v>
      </c>
      <c r="W169">
        <v>21</v>
      </c>
      <c r="X169">
        <v>0</v>
      </c>
      <c r="Y169">
        <v>0</v>
      </c>
      <c r="Z169">
        <v>0</v>
      </c>
      <c r="AA169">
        <v>1</v>
      </c>
    </row>
    <row r="170" spans="1:27" ht="14.25" x14ac:dyDescent="0.2">
      <c r="A170" s="11">
        <v>822</v>
      </c>
      <c r="B170" t="s">
        <v>130</v>
      </c>
      <c r="C170" t="s">
        <v>121</v>
      </c>
      <c r="D170" t="s">
        <v>121</v>
      </c>
      <c r="E170" t="s">
        <v>121</v>
      </c>
      <c r="F170" s="4" t="s">
        <v>436</v>
      </c>
      <c r="H170">
        <v>2</v>
      </c>
      <c r="I170" s="1">
        <v>0</v>
      </c>
      <c r="J170">
        <v>0</v>
      </c>
      <c r="K170">
        <v>0</v>
      </c>
      <c r="L170" s="20">
        <v>4400</v>
      </c>
      <c r="M170">
        <v>1</v>
      </c>
      <c r="N170">
        <v>0</v>
      </c>
      <c r="O170">
        <v>0</v>
      </c>
      <c r="P170">
        <v>0</v>
      </c>
      <c r="Q170" s="22">
        <v>12900</v>
      </c>
      <c r="R170">
        <v>3</v>
      </c>
      <c r="S170" s="1">
        <v>0</v>
      </c>
      <c r="T170">
        <v>0</v>
      </c>
      <c r="U170">
        <v>0</v>
      </c>
      <c r="V170" s="21">
        <v>6450</v>
      </c>
      <c r="W170">
        <v>9</v>
      </c>
      <c r="X170">
        <v>0</v>
      </c>
      <c r="Y170">
        <v>0</v>
      </c>
      <c r="Z170">
        <v>0</v>
      </c>
      <c r="AA170">
        <v>10</v>
      </c>
    </row>
    <row r="171" spans="1:27" ht="14.25" x14ac:dyDescent="0.2">
      <c r="A171" s="11">
        <v>823</v>
      </c>
      <c r="B171" t="s">
        <v>123</v>
      </c>
      <c r="C171" t="s">
        <v>121</v>
      </c>
      <c r="D171" t="s">
        <v>121</v>
      </c>
      <c r="E171" t="s">
        <v>121</v>
      </c>
      <c r="F171" s="4" t="s">
        <v>438</v>
      </c>
      <c r="H171">
        <v>2</v>
      </c>
      <c r="I171" s="1">
        <v>0</v>
      </c>
      <c r="J171">
        <v>0</v>
      </c>
      <c r="K171">
        <v>0</v>
      </c>
      <c r="L171" s="20">
        <v>4400</v>
      </c>
      <c r="M171">
        <v>1</v>
      </c>
      <c r="N171">
        <v>0</v>
      </c>
      <c r="O171">
        <v>0</v>
      </c>
      <c r="P171">
        <v>0</v>
      </c>
      <c r="Q171" s="22">
        <v>13200</v>
      </c>
      <c r="R171">
        <v>3</v>
      </c>
      <c r="S171" s="1">
        <v>0</v>
      </c>
      <c r="T171">
        <v>0</v>
      </c>
      <c r="U171">
        <v>0</v>
      </c>
      <c r="V171" s="21">
        <v>6600</v>
      </c>
      <c r="W171">
        <v>12</v>
      </c>
      <c r="X171">
        <v>0</v>
      </c>
      <c r="Y171">
        <v>0</v>
      </c>
      <c r="Z171">
        <v>0</v>
      </c>
      <c r="AA171">
        <v>10</v>
      </c>
    </row>
    <row r="172" spans="1:27" ht="14.25" x14ac:dyDescent="0.2">
      <c r="A172" s="11">
        <v>824</v>
      </c>
      <c r="B172" t="s">
        <v>126</v>
      </c>
      <c r="C172" t="s">
        <v>121</v>
      </c>
      <c r="D172" t="s">
        <v>121</v>
      </c>
      <c r="E172" t="s">
        <v>121</v>
      </c>
      <c r="F172" s="4" t="s">
        <v>440</v>
      </c>
      <c r="H172">
        <v>2</v>
      </c>
      <c r="I172" s="1">
        <v>0</v>
      </c>
      <c r="J172">
        <v>0</v>
      </c>
      <c r="K172">
        <v>0</v>
      </c>
      <c r="L172" s="20">
        <v>4400</v>
      </c>
      <c r="M172">
        <v>1</v>
      </c>
      <c r="N172">
        <v>0</v>
      </c>
      <c r="O172">
        <v>0</v>
      </c>
      <c r="P172">
        <v>0</v>
      </c>
      <c r="Q172" s="22">
        <v>13200</v>
      </c>
      <c r="R172">
        <v>3</v>
      </c>
      <c r="S172" s="1">
        <v>0</v>
      </c>
      <c r="T172">
        <v>0</v>
      </c>
      <c r="U172">
        <v>0</v>
      </c>
      <c r="V172" s="21">
        <v>6600</v>
      </c>
      <c r="W172">
        <v>23</v>
      </c>
      <c r="X172">
        <v>0</v>
      </c>
      <c r="Y172">
        <v>0</v>
      </c>
      <c r="Z172">
        <v>0</v>
      </c>
      <c r="AA172">
        <v>1</v>
      </c>
    </row>
    <row r="173" spans="1:27" ht="14.25" x14ac:dyDescent="0.2">
      <c r="A173" s="11">
        <v>825</v>
      </c>
      <c r="B173" t="s">
        <v>131</v>
      </c>
      <c r="C173" t="s">
        <v>125</v>
      </c>
      <c r="D173" t="s">
        <v>121</v>
      </c>
      <c r="E173" t="s">
        <v>136</v>
      </c>
      <c r="F173" s="4" t="s">
        <v>438</v>
      </c>
      <c r="H173">
        <v>2</v>
      </c>
      <c r="I173" s="1">
        <v>0</v>
      </c>
      <c r="J173">
        <v>0</v>
      </c>
      <c r="K173">
        <v>0</v>
      </c>
      <c r="L173" s="20">
        <v>4400</v>
      </c>
      <c r="M173">
        <v>1</v>
      </c>
      <c r="N173">
        <v>0</v>
      </c>
      <c r="O173">
        <v>0</v>
      </c>
      <c r="P173">
        <v>0</v>
      </c>
      <c r="Q173" s="22">
        <v>13200</v>
      </c>
      <c r="R173">
        <v>3</v>
      </c>
      <c r="S173" s="1">
        <v>0</v>
      </c>
      <c r="T173">
        <v>0</v>
      </c>
      <c r="U173">
        <v>0</v>
      </c>
      <c r="V173" s="21">
        <v>6600</v>
      </c>
      <c r="W173">
        <v>6</v>
      </c>
      <c r="X173">
        <v>1</v>
      </c>
      <c r="Y173">
        <v>0</v>
      </c>
      <c r="Z173">
        <v>3</v>
      </c>
      <c r="AA173">
        <v>10</v>
      </c>
    </row>
    <row r="174" spans="1:27" ht="14.25" x14ac:dyDescent="0.2">
      <c r="A174" s="11">
        <v>826</v>
      </c>
      <c r="B174" t="s">
        <v>180</v>
      </c>
      <c r="C174" t="s">
        <v>121</v>
      </c>
      <c r="D174" t="s">
        <v>121</v>
      </c>
      <c r="E174" t="s">
        <v>121</v>
      </c>
      <c r="F174" s="4" t="s">
        <v>442</v>
      </c>
      <c r="H174">
        <v>2</v>
      </c>
      <c r="I174" s="1">
        <v>0</v>
      </c>
      <c r="J174">
        <v>0</v>
      </c>
      <c r="K174">
        <v>0</v>
      </c>
      <c r="L174" s="20">
        <v>4500</v>
      </c>
      <c r="M174">
        <v>1</v>
      </c>
      <c r="N174">
        <v>0</v>
      </c>
      <c r="O174">
        <v>0</v>
      </c>
      <c r="P174">
        <v>0</v>
      </c>
      <c r="Q174" s="22">
        <v>13200</v>
      </c>
      <c r="R174">
        <v>3</v>
      </c>
      <c r="S174" s="1">
        <v>0</v>
      </c>
      <c r="T174">
        <v>0</v>
      </c>
      <c r="U174">
        <v>0</v>
      </c>
      <c r="V174" s="21">
        <v>6600</v>
      </c>
      <c r="W174">
        <v>15</v>
      </c>
      <c r="X174">
        <v>0</v>
      </c>
      <c r="Y174">
        <v>0</v>
      </c>
      <c r="Z174">
        <v>0</v>
      </c>
      <c r="AA174">
        <v>1</v>
      </c>
    </row>
    <row r="175" spans="1:27" ht="14.25" x14ac:dyDescent="0.2">
      <c r="A175" s="11">
        <v>827</v>
      </c>
      <c r="B175" t="s">
        <v>122</v>
      </c>
      <c r="C175" t="s">
        <v>121</v>
      </c>
      <c r="D175" t="s">
        <v>121</v>
      </c>
      <c r="E175" t="s">
        <v>121</v>
      </c>
      <c r="F175" s="4" t="s">
        <v>444</v>
      </c>
      <c r="H175">
        <v>2</v>
      </c>
      <c r="I175" s="1">
        <v>0</v>
      </c>
      <c r="J175">
        <v>0</v>
      </c>
      <c r="K175">
        <v>0</v>
      </c>
      <c r="L175" s="20">
        <v>4500</v>
      </c>
      <c r="M175">
        <v>1</v>
      </c>
      <c r="N175">
        <v>0</v>
      </c>
      <c r="O175">
        <v>0</v>
      </c>
      <c r="P175">
        <v>0</v>
      </c>
      <c r="Q175" s="22">
        <v>13200</v>
      </c>
      <c r="R175">
        <v>3</v>
      </c>
      <c r="S175" s="1">
        <v>0</v>
      </c>
      <c r="T175">
        <v>0</v>
      </c>
      <c r="U175">
        <v>0</v>
      </c>
      <c r="V175" s="21">
        <v>6600</v>
      </c>
      <c r="W175">
        <v>4</v>
      </c>
      <c r="X175">
        <v>0</v>
      </c>
      <c r="Y175">
        <v>0</v>
      </c>
      <c r="Z175">
        <v>0</v>
      </c>
      <c r="AA175">
        <v>10</v>
      </c>
    </row>
    <row r="176" spans="1:27" ht="14.25" x14ac:dyDescent="0.2">
      <c r="A176" s="11">
        <v>828</v>
      </c>
      <c r="B176" t="s">
        <v>178</v>
      </c>
      <c r="C176" t="s">
        <v>121</v>
      </c>
      <c r="D176" t="s">
        <v>121</v>
      </c>
      <c r="E176" t="s">
        <v>121</v>
      </c>
      <c r="F176" s="4" t="s">
        <v>446</v>
      </c>
      <c r="H176">
        <v>2</v>
      </c>
      <c r="I176" s="1">
        <v>0</v>
      </c>
      <c r="J176">
        <v>0</v>
      </c>
      <c r="K176">
        <v>0</v>
      </c>
      <c r="L176" s="20">
        <v>4500</v>
      </c>
      <c r="M176">
        <v>1</v>
      </c>
      <c r="N176">
        <v>0</v>
      </c>
      <c r="O176">
        <v>0</v>
      </c>
      <c r="P176">
        <v>0</v>
      </c>
      <c r="Q176" s="22">
        <v>13500</v>
      </c>
      <c r="R176">
        <v>3</v>
      </c>
      <c r="S176" s="1">
        <v>0</v>
      </c>
      <c r="T176">
        <v>0</v>
      </c>
      <c r="U176">
        <v>0</v>
      </c>
      <c r="V176" s="21">
        <v>6750</v>
      </c>
      <c r="W176">
        <v>21</v>
      </c>
      <c r="X176">
        <v>0</v>
      </c>
      <c r="Y176">
        <v>0</v>
      </c>
      <c r="Z176">
        <v>0</v>
      </c>
      <c r="AA176">
        <v>1</v>
      </c>
    </row>
    <row r="177" spans="1:27" ht="14.25" x14ac:dyDescent="0.2">
      <c r="A177" s="11">
        <v>829</v>
      </c>
      <c r="B177" t="s">
        <v>130</v>
      </c>
      <c r="C177" t="s">
        <v>121</v>
      </c>
      <c r="D177" t="s">
        <v>121</v>
      </c>
      <c r="E177" t="s">
        <v>121</v>
      </c>
      <c r="F177" s="4" t="s">
        <v>448</v>
      </c>
      <c r="H177">
        <v>2</v>
      </c>
      <c r="I177" s="1">
        <v>0</v>
      </c>
      <c r="J177">
        <v>0</v>
      </c>
      <c r="K177">
        <v>0</v>
      </c>
      <c r="L177" s="20">
        <v>4500</v>
      </c>
      <c r="M177">
        <v>1</v>
      </c>
      <c r="N177">
        <v>0</v>
      </c>
      <c r="O177">
        <v>0</v>
      </c>
      <c r="P177">
        <v>0</v>
      </c>
      <c r="Q177" s="22">
        <v>13500</v>
      </c>
      <c r="R177">
        <v>3</v>
      </c>
      <c r="S177" s="1">
        <v>0</v>
      </c>
      <c r="T177">
        <v>0</v>
      </c>
      <c r="U177">
        <v>0</v>
      </c>
      <c r="V177" s="21">
        <v>6750</v>
      </c>
      <c r="W177">
        <v>9</v>
      </c>
      <c r="X177">
        <v>0</v>
      </c>
      <c r="Y177">
        <v>0</v>
      </c>
      <c r="Z177">
        <v>0</v>
      </c>
      <c r="AA177">
        <v>10</v>
      </c>
    </row>
    <row r="178" spans="1:27" ht="14.25" x14ac:dyDescent="0.2">
      <c r="A178" s="11">
        <v>830</v>
      </c>
      <c r="B178" t="s">
        <v>123</v>
      </c>
      <c r="C178" t="s">
        <v>121</v>
      </c>
      <c r="D178" t="s">
        <v>121</v>
      </c>
      <c r="E178" t="s">
        <v>121</v>
      </c>
      <c r="F178" s="4" t="s">
        <v>448</v>
      </c>
      <c r="H178">
        <v>2</v>
      </c>
      <c r="I178" s="1">
        <v>0</v>
      </c>
      <c r="J178">
        <v>0</v>
      </c>
      <c r="K178">
        <v>0</v>
      </c>
      <c r="L178" s="20">
        <v>4500</v>
      </c>
      <c r="M178">
        <v>1</v>
      </c>
      <c r="N178">
        <v>0</v>
      </c>
      <c r="O178">
        <v>0</v>
      </c>
      <c r="P178">
        <v>0</v>
      </c>
      <c r="Q178" s="22">
        <v>13500</v>
      </c>
      <c r="R178">
        <v>3</v>
      </c>
      <c r="S178" s="1">
        <v>0</v>
      </c>
      <c r="T178">
        <v>0</v>
      </c>
      <c r="U178">
        <v>0</v>
      </c>
      <c r="V178" s="21">
        <v>6750</v>
      </c>
      <c r="W178">
        <v>12</v>
      </c>
      <c r="X178">
        <v>0</v>
      </c>
      <c r="Y178">
        <v>0</v>
      </c>
      <c r="Z178">
        <v>0</v>
      </c>
      <c r="AA178">
        <v>10</v>
      </c>
    </row>
    <row r="179" spans="1:27" ht="14.25" x14ac:dyDescent="0.2">
      <c r="A179" s="11">
        <v>831</v>
      </c>
      <c r="B179" t="s">
        <v>126</v>
      </c>
      <c r="C179" t="s">
        <v>121</v>
      </c>
      <c r="D179" t="s">
        <v>121</v>
      </c>
      <c r="E179" t="s">
        <v>121</v>
      </c>
      <c r="F179" s="4" t="s">
        <v>450</v>
      </c>
      <c r="H179">
        <v>2</v>
      </c>
      <c r="I179" s="1">
        <v>0</v>
      </c>
      <c r="J179">
        <v>0</v>
      </c>
      <c r="K179">
        <v>0</v>
      </c>
      <c r="L179" s="20">
        <v>4600</v>
      </c>
      <c r="M179">
        <v>1</v>
      </c>
      <c r="N179">
        <v>0</v>
      </c>
      <c r="O179">
        <v>0</v>
      </c>
      <c r="P179">
        <v>0</v>
      </c>
      <c r="Q179" s="22">
        <v>13500</v>
      </c>
      <c r="R179">
        <v>3</v>
      </c>
      <c r="S179" s="1">
        <v>0</v>
      </c>
      <c r="T179">
        <v>0</v>
      </c>
      <c r="U179">
        <v>0</v>
      </c>
      <c r="V179" s="21">
        <v>6750</v>
      </c>
      <c r="W179">
        <v>23</v>
      </c>
      <c r="X179">
        <v>0</v>
      </c>
      <c r="Y179">
        <v>0</v>
      </c>
      <c r="Z179">
        <v>0</v>
      </c>
      <c r="AA179">
        <v>1</v>
      </c>
    </row>
    <row r="180" spans="1:27" ht="14.25" x14ac:dyDescent="0.2">
      <c r="A180" s="11">
        <v>832</v>
      </c>
      <c r="B180" t="s">
        <v>131</v>
      </c>
      <c r="C180" t="s">
        <v>125</v>
      </c>
      <c r="D180" t="s">
        <v>121</v>
      </c>
      <c r="E180" t="s">
        <v>136</v>
      </c>
      <c r="F180" s="4" t="s">
        <v>452</v>
      </c>
      <c r="H180">
        <v>2</v>
      </c>
      <c r="I180" s="1">
        <v>0</v>
      </c>
      <c r="J180">
        <v>0</v>
      </c>
      <c r="K180">
        <v>0</v>
      </c>
      <c r="L180" s="20">
        <v>4600</v>
      </c>
      <c r="M180">
        <v>1</v>
      </c>
      <c r="N180">
        <v>0</v>
      </c>
      <c r="O180">
        <v>0</v>
      </c>
      <c r="P180">
        <v>0</v>
      </c>
      <c r="Q180" s="22">
        <v>13500</v>
      </c>
      <c r="R180">
        <v>3</v>
      </c>
      <c r="S180" s="1">
        <v>0</v>
      </c>
      <c r="T180">
        <v>0</v>
      </c>
      <c r="U180">
        <v>0</v>
      </c>
      <c r="V180" s="21">
        <v>6750</v>
      </c>
      <c r="W180">
        <v>6</v>
      </c>
      <c r="X180">
        <v>1</v>
      </c>
      <c r="Y180">
        <v>0</v>
      </c>
      <c r="Z180">
        <v>3</v>
      </c>
      <c r="AA180">
        <v>10</v>
      </c>
    </row>
    <row r="181" spans="1:27" ht="14.25" x14ac:dyDescent="0.2">
      <c r="A181" s="11">
        <v>833</v>
      </c>
      <c r="B181" t="s">
        <v>180</v>
      </c>
      <c r="C181" t="s">
        <v>121</v>
      </c>
      <c r="D181" t="s">
        <v>121</v>
      </c>
      <c r="E181" t="s">
        <v>121</v>
      </c>
      <c r="F181" s="4" t="s">
        <v>454</v>
      </c>
      <c r="H181">
        <v>2</v>
      </c>
      <c r="I181" s="1">
        <v>0</v>
      </c>
      <c r="J181">
        <v>0</v>
      </c>
      <c r="K181">
        <v>0</v>
      </c>
      <c r="L181" s="20">
        <v>4600</v>
      </c>
      <c r="M181">
        <v>1</v>
      </c>
      <c r="N181">
        <v>0</v>
      </c>
      <c r="O181">
        <v>0</v>
      </c>
      <c r="P181">
        <v>0</v>
      </c>
      <c r="Q181" s="22">
        <v>13800</v>
      </c>
      <c r="R181">
        <v>3</v>
      </c>
      <c r="S181" s="1">
        <v>0</v>
      </c>
      <c r="T181">
        <v>0</v>
      </c>
      <c r="U181">
        <v>0</v>
      </c>
      <c r="V181" s="21">
        <v>6900</v>
      </c>
      <c r="W181">
        <v>15</v>
      </c>
      <c r="X181">
        <v>0</v>
      </c>
      <c r="Y181">
        <v>0</v>
      </c>
      <c r="Z181">
        <v>0</v>
      </c>
      <c r="AA181">
        <v>1</v>
      </c>
    </row>
    <row r="182" spans="1:27" ht="14.25" x14ac:dyDescent="0.2">
      <c r="A182" s="11">
        <v>834</v>
      </c>
      <c r="B182" t="s">
        <v>122</v>
      </c>
      <c r="C182" t="s">
        <v>121</v>
      </c>
      <c r="D182" t="s">
        <v>121</v>
      </c>
      <c r="E182" t="s">
        <v>121</v>
      </c>
      <c r="F182" s="4" t="s">
        <v>456</v>
      </c>
      <c r="H182">
        <v>2</v>
      </c>
      <c r="I182" s="1">
        <v>0</v>
      </c>
      <c r="J182">
        <v>0</v>
      </c>
      <c r="K182">
        <v>0</v>
      </c>
      <c r="L182" s="20">
        <v>4600</v>
      </c>
      <c r="M182">
        <v>1</v>
      </c>
      <c r="N182">
        <v>0</v>
      </c>
      <c r="O182">
        <v>0</v>
      </c>
      <c r="P182">
        <v>0</v>
      </c>
      <c r="Q182" s="22">
        <v>13800</v>
      </c>
      <c r="R182">
        <v>3</v>
      </c>
      <c r="S182" s="1">
        <v>0</v>
      </c>
      <c r="T182">
        <v>0</v>
      </c>
      <c r="U182">
        <v>0</v>
      </c>
      <c r="V182" s="21">
        <v>6900</v>
      </c>
      <c r="W182">
        <v>4</v>
      </c>
      <c r="X182">
        <v>0</v>
      </c>
      <c r="Y182">
        <v>0</v>
      </c>
      <c r="Z182">
        <v>0</v>
      </c>
      <c r="AA182">
        <v>10</v>
      </c>
    </row>
    <row r="183" spans="1:27" ht="14.25" x14ac:dyDescent="0.2">
      <c r="A183" s="11">
        <v>835</v>
      </c>
      <c r="B183" t="s">
        <v>178</v>
      </c>
      <c r="C183" t="s">
        <v>121</v>
      </c>
      <c r="D183" t="s">
        <v>121</v>
      </c>
      <c r="E183" t="s">
        <v>121</v>
      </c>
      <c r="F183" s="4" t="s">
        <v>454</v>
      </c>
      <c r="H183">
        <v>2</v>
      </c>
      <c r="I183" s="1">
        <v>0</v>
      </c>
      <c r="J183">
        <v>0</v>
      </c>
      <c r="K183">
        <v>0</v>
      </c>
      <c r="L183" s="20">
        <v>4600</v>
      </c>
      <c r="M183">
        <v>1</v>
      </c>
      <c r="N183">
        <v>0</v>
      </c>
      <c r="O183">
        <v>0</v>
      </c>
      <c r="P183">
        <v>0</v>
      </c>
      <c r="Q183" s="22">
        <v>13800</v>
      </c>
      <c r="R183">
        <v>3</v>
      </c>
      <c r="S183" s="1">
        <v>0</v>
      </c>
      <c r="T183">
        <v>0</v>
      </c>
      <c r="U183">
        <v>0</v>
      </c>
      <c r="V183" s="21">
        <v>6900</v>
      </c>
      <c r="W183">
        <v>21</v>
      </c>
      <c r="X183">
        <v>0</v>
      </c>
      <c r="Y183">
        <v>0</v>
      </c>
      <c r="Z183">
        <v>0</v>
      </c>
      <c r="AA183">
        <v>1</v>
      </c>
    </row>
    <row r="184" spans="1:27" ht="14.25" x14ac:dyDescent="0.2">
      <c r="A184" s="11">
        <v>836</v>
      </c>
      <c r="B184" t="s">
        <v>130</v>
      </c>
      <c r="C184" t="s">
        <v>121</v>
      </c>
      <c r="D184" t="s">
        <v>121</v>
      </c>
      <c r="E184" t="s">
        <v>121</v>
      </c>
      <c r="F184" s="4" t="s">
        <v>458</v>
      </c>
      <c r="H184">
        <v>2</v>
      </c>
      <c r="I184" s="1">
        <v>0</v>
      </c>
      <c r="J184">
        <v>0</v>
      </c>
      <c r="K184">
        <v>0</v>
      </c>
      <c r="L184" s="20">
        <v>4700</v>
      </c>
      <c r="M184">
        <v>1</v>
      </c>
      <c r="N184">
        <v>0</v>
      </c>
      <c r="O184">
        <v>0</v>
      </c>
      <c r="P184">
        <v>0</v>
      </c>
      <c r="Q184" s="22">
        <v>13800</v>
      </c>
      <c r="R184">
        <v>3</v>
      </c>
      <c r="S184" s="1">
        <v>0</v>
      </c>
      <c r="T184">
        <v>0</v>
      </c>
      <c r="U184">
        <v>0</v>
      </c>
      <c r="V184" s="21">
        <v>6900</v>
      </c>
      <c r="W184">
        <v>9</v>
      </c>
      <c r="X184">
        <v>0</v>
      </c>
      <c r="Y184">
        <v>0</v>
      </c>
      <c r="Z184">
        <v>0</v>
      </c>
      <c r="AA184">
        <v>10</v>
      </c>
    </row>
    <row r="185" spans="1:27" ht="14.25" x14ac:dyDescent="0.2">
      <c r="A185" s="11">
        <v>837</v>
      </c>
      <c r="B185" t="s">
        <v>123</v>
      </c>
      <c r="C185" t="s">
        <v>121</v>
      </c>
      <c r="D185" t="s">
        <v>121</v>
      </c>
      <c r="E185" t="s">
        <v>121</v>
      </c>
      <c r="F185" s="4" t="s">
        <v>458</v>
      </c>
      <c r="H185">
        <v>2</v>
      </c>
      <c r="I185" s="1">
        <v>0</v>
      </c>
      <c r="J185">
        <v>0</v>
      </c>
      <c r="K185">
        <v>0</v>
      </c>
      <c r="L185" s="20">
        <v>4700</v>
      </c>
      <c r="M185">
        <v>1</v>
      </c>
      <c r="N185">
        <v>0</v>
      </c>
      <c r="O185">
        <v>0</v>
      </c>
      <c r="P185">
        <v>0</v>
      </c>
      <c r="Q185" s="22">
        <v>13800</v>
      </c>
      <c r="R185">
        <v>3</v>
      </c>
      <c r="S185" s="1">
        <v>0</v>
      </c>
      <c r="T185">
        <v>0</v>
      </c>
      <c r="U185">
        <v>0</v>
      </c>
      <c r="V185" s="21">
        <v>6900</v>
      </c>
      <c r="W185">
        <v>12</v>
      </c>
      <c r="X185">
        <v>0</v>
      </c>
      <c r="Y185">
        <v>0</v>
      </c>
      <c r="Z185">
        <v>0</v>
      </c>
      <c r="AA185">
        <v>10</v>
      </c>
    </row>
    <row r="186" spans="1:27" ht="14.25" x14ac:dyDescent="0.2">
      <c r="A186" s="11">
        <v>838</v>
      </c>
      <c r="B186" t="s">
        <v>126</v>
      </c>
      <c r="C186" t="s">
        <v>121</v>
      </c>
      <c r="D186" t="s">
        <v>121</v>
      </c>
      <c r="E186" t="s">
        <v>121</v>
      </c>
      <c r="F186" s="4" t="s">
        <v>460</v>
      </c>
      <c r="H186">
        <v>2</v>
      </c>
      <c r="I186" s="1">
        <v>0</v>
      </c>
      <c r="J186">
        <v>0</v>
      </c>
      <c r="K186">
        <v>0</v>
      </c>
      <c r="L186" s="20">
        <v>4700</v>
      </c>
      <c r="M186">
        <v>1</v>
      </c>
      <c r="N186">
        <v>0</v>
      </c>
      <c r="O186">
        <v>0</v>
      </c>
      <c r="P186">
        <v>0</v>
      </c>
      <c r="Q186" s="22">
        <v>14100</v>
      </c>
      <c r="R186">
        <v>3</v>
      </c>
      <c r="S186" s="1">
        <v>0</v>
      </c>
      <c r="T186">
        <v>0</v>
      </c>
      <c r="U186">
        <v>0</v>
      </c>
      <c r="V186" s="21">
        <v>7050</v>
      </c>
      <c r="W186">
        <v>23</v>
      </c>
      <c r="X186">
        <v>0</v>
      </c>
      <c r="Y186">
        <v>0</v>
      </c>
      <c r="Z186">
        <v>0</v>
      </c>
      <c r="AA186">
        <v>1</v>
      </c>
    </row>
    <row r="187" spans="1:27" ht="14.25" x14ac:dyDescent="0.2">
      <c r="A187" s="11">
        <v>839</v>
      </c>
      <c r="B187" t="s">
        <v>131</v>
      </c>
      <c r="C187" t="s">
        <v>125</v>
      </c>
      <c r="D187" t="s">
        <v>121</v>
      </c>
      <c r="E187" t="s">
        <v>136</v>
      </c>
      <c r="F187" s="4" t="s">
        <v>462</v>
      </c>
      <c r="H187">
        <v>2</v>
      </c>
      <c r="I187" s="1">
        <v>0</v>
      </c>
      <c r="J187">
        <v>0</v>
      </c>
      <c r="K187">
        <v>0</v>
      </c>
      <c r="L187" s="20">
        <v>4700</v>
      </c>
      <c r="M187">
        <v>1</v>
      </c>
      <c r="N187">
        <v>0</v>
      </c>
      <c r="O187">
        <v>0</v>
      </c>
      <c r="P187">
        <v>0</v>
      </c>
      <c r="Q187" s="22">
        <v>14100</v>
      </c>
      <c r="R187">
        <v>3</v>
      </c>
      <c r="S187" s="1">
        <v>0</v>
      </c>
      <c r="T187">
        <v>0</v>
      </c>
      <c r="U187">
        <v>0</v>
      </c>
      <c r="V187" s="21">
        <v>7050</v>
      </c>
      <c r="W187">
        <v>6</v>
      </c>
      <c r="X187">
        <v>1</v>
      </c>
      <c r="Y187">
        <v>0</v>
      </c>
      <c r="Z187">
        <v>3</v>
      </c>
      <c r="AA187">
        <v>10</v>
      </c>
    </row>
    <row r="188" spans="1:27" ht="14.25" x14ac:dyDescent="0.2">
      <c r="A188" s="11">
        <v>840</v>
      </c>
      <c r="B188" t="s">
        <v>180</v>
      </c>
      <c r="C188" t="s">
        <v>121</v>
      </c>
      <c r="D188" t="s">
        <v>121</v>
      </c>
      <c r="E188" t="s">
        <v>121</v>
      </c>
      <c r="F188" s="4" t="s">
        <v>460</v>
      </c>
      <c r="H188">
        <v>2</v>
      </c>
      <c r="I188" s="1">
        <v>0</v>
      </c>
      <c r="J188">
        <v>0</v>
      </c>
      <c r="K188">
        <v>0</v>
      </c>
      <c r="L188" s="20">
        <v>4700</v>
      </c>
      <c r="M188">
        <v>1</v>
      </c>
      <c r="N188">
        <v>0</v>
      </c>
      <c r="O188">
        <v>0</v>
      </c>
      <c r="P188">
        <v>0</v>
      </c>
      <c r="Q188" s="22">
        <v>14100</v>
      </c>
      <c r="R188">
        <v>3</v>
      </c>
      <c r="S188" s="1">
        <v>0</v>
      </c>
      <c r="T188">
        <v>0</v>
      </c>
      <c r="U188">
        <v>0</v>
      </c>
      <c r="V188" s="21">
        <v>7050</v>
      </c>
      <c r="W188">
        <v>15</v>
      </c>
      <c r="X188">
        <v>0</v>
      </c>
      <c r="Y188">
        <v>0</v>
      </c>
      <c r="Z188">
        <v>0</v>
      </c>
      <c r="AA188">
        <v>1</v>
      </c>
    </row>
    <row r="189" spans="1:27" ht="14.25" x14ac:dyDescent="0.2">
      <c r="A189" s="11">
        <v>901</v>
      </c>
      <c r="B189" t="s">
        <v>181</v>
      </c>
      <c r="C189" t="s">
        <v>121</v>
      </c>
      <c r="D189" t="s">
        <v>121</v>
      </c>
      <c r="E189" t="s">
        <v>121</v>
      </c>
      <c r="F189" s="4" t="s">
        <v>464</v>
      </c>
      <c r="H189">
        <v>2</v>
      </c>
      <c r="I189" s="1">
        <v>0</v>
      </c>
      <c r="J189">
        <v>0</v>
      </c>
      <c r="K189">
        <v>0</v>
      </c>
      <c r="L189" s="20">
        <v>4800</v>
      </c>
      <c r="M189">
        <v>1</v>
      </c>
      <c r="N189">
        <v>0</v>
      </c>
      <c r="O189">
        <v>0</v>
      </c>
      <c r="P189">
        <v>0</v>
      </c>
      <c r="Q189" s="22">
        <v>14100</v>
      </c>
      <c r="R189">
        <v>3</v>
      </c>
      <c r="S189" s="1">
        <v>0</v>
      </c>
      <c r="T189">
        <v>0</v>
      </c>
      <c r="U189">
        <v>0</v>
      </c>
      <c r="V189" s="21">
        <v>7050</v>
      </c>
      <c r="W189">
        <v>30</v>
      </c>
      <c r="X189">
        <v>0</v>
      </c>
      <c r="Y189">
        <v>0</v>
      </c>
      <c r="Z189">
        <v>0</v>
      </c>
      <c r="AA189">
        <v>10</v>
      </c>
    </row>
    <row r="190" spans="1:27" ht="14.25" x14ac:dyDescent="0.2">
      <c r="A190" s="11">
        <v>902</v>
      </c>
      <c r="B190" t="s">
        <v>122</v>
      </c>
      <c r="C190" t="s">
        <v>121</v>
      </c>
      <c r="D190" t="s">
        <v>121</v>
      </c>
      <c r="E190" t="s">
        <v>121</v>
      </c>
      <c r="F190" s="4" t="s">
        <v>464</v>
      </c>
      <c r="H190">
        <v>2</v>
      </c>
      <c r="I190" s="1">
        <v>0</v>
      </c>
      <c r="J190">
        <v>0</v>
      </c>
      <c r="K190">
        <v>0</v>
      </c>
      <c r="L190" s="20">
        <v>4800</v>
      </c>
      <c r="M190">
        <v>1</v>
      </c>
      <c r="N190">
        <v>0</v>
      </c>
      <c r="O190">
        <v>0</v>
      </c>
      <c r="P190">
        <v>0</v>
      </c>
      <c r="Q190" s="22">
        <v>14100</v>
      </c>
      <c r="R190">
        <v>3</v>
      </c>
      <c r="S190" s="1">
        <v>0</v>
      </c>
      <c r="T190">
        <v>0</v>
      </c>
      <c r="U190">
        <v>0</v>
      </c>
      <c r="V190" s="21">
        <v>7050</v>
      </c>
      <c r="W190">
        <v>4</v>
      </c>
      <c r="X190">
        <v>0</v>
      </c>
      <c r="Y190">
        <v>0</v>
      </c>
      <c r="Z190">
        <v>0</v>
      </c>
      <c r="AA190">
        <v>10</v>
      </c>
    </row>
    <row r="191" spans="1:27" ht="14.25" x14ac:dyDescent="0.2">
      <c r="A191" s="11">
        <v>903</v>
      </c>
      <c r="B191" t="s">
        <v>178</v>
      </c>
      <c r="C191" t="s">
        <v>121</v>
      </c>
      <c r="D191" t="s">
        <v>121</v>
      </c>
      <c r="E191" t="s">
        <v>121</v>
      </c>
      <c r="F191" s="4" t="s">
        <v>466</v>
      </c>
      <c r="H191">
        <v>2</v>
      </c>
      <c r="I191" s="1">
        <v>0</v>
      </c>
      <c r="J191">
        <v>0</v>
      </c>
      <c r="K191">
        <v>0</v>
      </c>
      <c r="L191" s="20">
        <v>4800</v>
      </c>
      <c r="M191">
        <v>1</v>
      </c>
      <c r="N191">
        <v>0</v>
      </c>
      <c r="O191">
        <v>0</v>
      </c>
      <c r="P191">
        <v>0</v>
      </c>
      <c r="Q191" s="22">
        <v>14400</v>
      </c>
      <c r="R191">
        <v>3</v>
      </c>
      <c r="S191" s="1">
        <v>0</v>
      </c>
      <c r="T191">
        <v>0</v>
      </c>
      <c r="U191">
        <v>0</v>
      </c>
      <c r="V191" s="21">
        <v>7200</v>
      </c>
      <c r="W191">
        <v>21</v>
      </c>
      <c r="X191">
        <v>0</v>
      </c>
      <c r="Y191">
        <v>0</v>
      </c>
      <c r="Z191">
        <v>0</v>
      </c>
      <c r="AA191">
        <v>1</v>
      </c>
    </row>
    <row r="192" spans="1:27" ht="14.25" x14ac:dyDescent="0.2">
      <c r="A192" s="11">
        <v>904</v>
      </c>
      <c r="B192" t="s">
        <v>130</v>
      </c>
      <c r="C192" t="s">
        <v>121</v>
      </c>
      <c r="D192" t="s">
        <v>121</v>
      </c>
      <c r="E192" t="s">
        <v>121</v>
      </c>
      <c r="F192" s="4" t="s">
        <v>468</v>
      </c>
      <c r="H192">
        <v>2</v>
      </c>
      <c r="I192" s="1">
        <v>0</v>
      </c>
      <c r="J192">
        <v>0</v>
      </c>
      <c r="K192">
        <v>0</v>
      </c>
      <c r="L192" s="20">
        <v>4800</v>
      </c>
      <c r="M192">
        <v>1</v>
      </c>
      <c r="N192">
        <v>0</v>
      </c>
      <c r="O192">
        <v>0</v>
      </c>
      <c r="P192">
        <v>0</v>
      </c>
      <c r="Q192" s="22">
        <v>14400</v>
      </c>
      <c r="R192">
        <v>3</v>
      </c>
      <c r="S192" s="1">
        <v>0</v>
      </c>
      <c r="T192">
        <v>0</v>
      </c>
      <c r="U192">
        <v>0</v>
      </c>
      <c r="V192" s="21">
        <v>7200</v>
      </c>
      <c r="W192">
        <v>9</v>
      </c>
      <c r="X192">
        <v>0</v>
      </c>
      <c r="Y192">
        <v>0</v>
      </c>
      <c r="Z192">
        <v>0</v>
      </c>
      <c r="AA192">
        <v>10</v>
      </c>
    </row>
    <row r="193" spans="1:47" ht="14.25" x14ac:dyDescent="0.2">
      <c r="A193" s="11">
        <v>905</v>
      </c>
      <c r="B193" t="s">
        <v>123</v>
      </c>
      <c r="C193" t="s">
        <v>121</v>
      </c>
      <c r="D193" t="s">
        <v>121</v>
      </c>
      <c r="E193" t="s">
        <v>121</v>
      </c>
      <c r="F193" s="6" t="s">
        <v>468</v>
      </c>
      <c r="H193">
        <v>2</v>
      </c>
      <c r="I193" s="1">
        <v>0</v>
      </c>
      <c r="J193">
        <v>0</v>
      </c>
      <c r="K193">
        <v>0</v>
      </c>
      <c r="L193" s="20">
        <v>4800</v>
      </c>
      <c r="M193">
        <v>1</v>
      </c>
      <c r="N193">
        <v>0</v>
      </c>
      <c r="O193">
        <v>0</v>
      </c>
      <c r="P193">
        <v>0</v>
      </c>
      <c r="Q193" s="22">
        <v>14400</v>
      </c>
      <c r="R193">
        <v>3</v>
      </c>
      <c r="S193" s="1">
        <v>0</v>
      </c>
      <c r="T193">
        <v>0</v>
      </c>
      <c r="U193">
        <v>0</v>
      </c>
      <c r="V193" s="21">
        <v>7200</v>
      </c>
      <c r="W193">
        <v>12</v>
      </c>
      <c r="X193">
        <v>0</v>
      </c>
      <c r="Y193">
        <v>0</v>
      </c>
      <c r="Z193">
        <v>0</v>
      </c>
      <c r="AA193">
        <v>10</v>
      </c>
    </row>
    <row r="194" spans="1:47" ht="14.25" x14ac:dyDescent="0.2">
      <c r="A194" s="11">
        <v>906</v>
      </c>
      <c r="B194" t="s">
        <v>126</v>
      </c>
      <c r="C194" t="s">
        <v>121</v>
      </c>
      <c r="D194" t="s">
        <v>121</v>
      </c>
      <c r="E194" t="s">
        <v>121</v>
      </c>
      <c r="F194" s="6" t="s">
        <v>470</v>
      </c>
      <c r="H194">
        <v>2</v>
      </c>
      <c r="I194" s="1">
        <v>0</v>
      </c>
      <c r="J194">
        <v>0</v>
      </c>
      <c r="K194">
        <v>0</v>
      </c>
      <c r="L194" s="20">
        <v>4900</v>
      </c>
      <c r="M194">
        <v>1</v>
      </c>
      <c r="N194">
        <v>0</v>
      </c>
      <c r="O194">
        <v>0</v>
      </c>
      <c r="P194">
        <v>0</v>
      </c>
      <c r="Q194" s="22">
        <v>14400</v>
      </c>
      <c r="R194">
        <v>3</v>
      </c>
      <c r="S194" s="1">
        <v>0</v>
      </c>
      <c r="T194">
        <v>0</v>
      </c>
      <c r="U194">
        <v>0</v>
      </c>
      <c r="V194" s="21">
        <v>7200</v>
      </c>
      <c r="W194">
        <v>23</v>
      </c>
      <c r="X194">
        <v>0</v>
      </c>
      <c r="Y194">
        <v>0</v>
      </c>
      <c r="Z194">
        <v>0</v>
      </c>
      <c r="AA194">
        <v>1</v>
      </c>
      <c r="AL194" s="1"/>
      <c r="AM194" s="1"/>
      <c r="AN194" s="2"/>
    </row>
    <row r="195" spans="1:47" ht="14.25" x14ac:dyDescent="0.2">
      <c r="A195" s="11">
        <v>907</v>
      </c>
      <c r="B195" t="s">
        <v>131</v>
      </c>
      <c r="C195" t="s">
        <v>125</v>
      </c>
      <c r="D195" t="s">
        <v>121</v>
      </c>
      <c r="E195" t="s">
        <v>136</v>
      </c>
      <c r="F195" s="6" t="s">
        <v>472</v>
      </c>
      <c r="H195">
        <v>2</v>
      </c>
      <c r="I195" s="1">
        <v>0</v>
      </c>
      <c r="J195">
        <v>0</v>
      </c>
      <c r="K195">
        <v>0</v>
      </c>
      <c r="L195" s="20">
        <v>4900</v>
      </c>
      <c r="M195">
        <v>1</v>
      </c>
      <c r="N195">
        <v>0</v>
      </c>
      <c r="O195">
        <v>0</v>
      </c>
      <c r="P195">
        <v>0</v>
      </c>
      <c r="Q195" s="22">
        <v>14400</v>
      </c>
      <c r="R195">
        <v>3</v>
      </c>
      <c r="S195" s="1">
        <v>0</v>
      </c>
      <c r="T195">
        <v>0</v>
      </c>
      <c r="U195">
        <v>0</v>
      </c>
      <c r="V195" s="21">
        <v>7200</v>
      </c>
      <c r="W195">
        <v>6</v>
      </c>
      <c r="X195">
        <v>1</v>
      </c>
      <c r="Y195">
        <v>0</v>
      </c>
      <c r="Z195">
        <v>3</v>
      </c>
      <c r="AA195">
        <v>10</v>
      </c>
      <c r="AL195" s="3"/>
      <c r="AM195" s="1"/>
      <c r="AS195" s="2"/>
    </row>
    <row r="196" spans="1:47" ht="14.25" x14ac:dyDescent="0.2">
      <c r="A196" s="11">
        <v>908</v>
      </c>
      <c r="B196" t="s">
        <v>180</v>
      </c>
      <c r="C196" t="s">
        <v>121</v>
      </c>
      <c r="D196" t="s">
        <v>121</v>
      </c>
      <c r="E196" t="s">
        <v>121</v>
      </c>
      <c r="F196" s="6" t="s">
        <v>474</v>
      </c>
      <c r="H196">
        <v>2</v>
      </c>
      <c r="I196" s="1">
        <v>0</v>
      </c>
      <c r="J196">
        <v>0</v>
      </c>
      <c r="K196">
        <v>0</v>
      </c>
      <c r="L196" s="20">
        <v>4900</v>
      </c>
      <c r="M196">
        <v>1</v>
      </c>
      <c r="N196">
        <v>0</v>
      </c>
      <c r="O196">
        <v>0</v>
      </c>
      <c r="P196">
        <v>0</v>
      </c>
      <c r="Q196" s="22">
        <v>14700</v>
      </c>
      <c r="R196">
        <v>3</v>
      </c>
      <c r="S196" s="1">
        <v>0</v>
      </c>
      <c r="T196">
        <v>0</v>
      </c>
      <c r="U196">
        <v>0</v>
      </c>
      <c r="V196" s="21">
        <v>7350</v>
      </c>
      <c r="W196">
        <v>15</v>
      </c>
      <c r="X196">
        <v>0</v>
      </c>
      <c r="Y196">
        <v>0</v>
      </c>
      <c r="Z196">
        <v>0</v>
      </c>
      <c r="AA196">
        <v>1</v>
      </c>
      <c r="AL196" s="3"/>
      <c r="AM196" s="1"/>
      <c r="AT196" s="2" t="s">
        <v>59</v>
      </c>
      <c r="AU196" s="2" t="s">
        <v>82</v>
      </c>
    </row>
    <row r="197" spans="1:47" ht="14.25" x14ac:dyDescent="0.2">
      <c r="A197" s="11">
        <v>909</v>
      </c>
      <c r="B197" t="s">
        <v>178</v>
      </c>
      <c r="C197" t="s">
        <v>121</v>
      </c>
      <c r="D197" t="s">
        <v>121</v>
      </c>
      <c r="E197" t="s">
        <v>121</v>
      </c>
      <c r="F197" s="6" t="s">
        <v>474</v>
      </c>
      <c r="H197">
        <v>2</v>
      </c>
      <c r="I197" s="1">
        <v>0</v>
      </c>
      <c r="J197">
        <v>0</v>
      </c>
      <c r="K197">
        <v>0</v>
      </c>
      <c r="L197" s="20">
        <v>4900</v>
      </c>
      <c r="M197">
        <v>1</v>
      </c>
      <c r="N197">
        <v>0</v>
      </c>
      <c r="O197">
        <v>0</v>
      </c>
      <c r="P197">
        <v>0</v>
      </c>
      <c r="Q197" s="22">
        <v>14700</v>
      </c>
      <c r="R197">
        <v>3</v>
      </c>
      <c r="S197" s="1">
        <v>0</v>
      </c>
      <c r="T197">
        <v>0</v>
      </c>
      <c r="U197">
        <v>0</v>
      </c>
      <c r="V197" s="21">
        <v>7350</v>
      </c>
      <c r="W197">
        <v>21</v>
      </c>
      <c r="X197">
        <v>0</v>
      </c>
      <c r="Y197">
        <v>0</v>
      </c>
      <c r="Z197">
        <v>0</v>
      </c>
      <c r="AA197">
        <v>1</v>
      </c>
      <c r="AJ197" s="1"/>
      <c r="AL197" s="3"/>
      <c r="AM197" s="1"/>
      <c r="AS197" s="2"/>
      <c r="AT197">
        <v>3000</v>
      </c>
    </row>
    <row r="198" spans="1:47" ht="14.25" x14ac:dyDescent="0.2">
      <c r="A198" s="11">
        <v>910</v>
      </c>
      <c r="B198" t="s">
        <v>130</v>
      </c>
      <c r="C198" t="s">
        <v>121</v>
      </c>
      <c r="D198" t="s">
        <v>121</v>
      </c>
      <c r="E198" t="s">
        <v>121</v>
      </c>
      <c r="F198" s="6" t="s">
        <v>476</v>
      </c>
      <c r="H198">
        <v>2</v>
      </c>
      <c r="I198" s="1">
        <v>0</v>
      </c>
      <c r="J198">
        <v>0</v>
      </c>
      <c r="K198">
        <v>0</v>
      </c>
      <c r="L198" s="20">
        <v>4900</v>
      </c>
      <c r="M198">
        <v>1</v>
      </c>
      <c r="N198">
        <v>0</v>
      </c>
      <c r="O198">
        <v>0</v>
      </c>
      <c r="P198">
        <v>0</v>
      </c>
      <c r="Q198" s="22">
        <v>14700</v>
      </c>
      <c r="R198">
        <v>3</v>
      </c>
      <c r="S198" s="1">
        <v>0</v>
      </c>
      <c r="T198">
        <v>0</v>
      </c>
      <c r="U198">
        <v>0</v>
      </c>
      <c r="V198" s="21">
        <v>7350</v>
      </c>
      <c r="W198">
        <v>9</v>
      </c>
      <c r="X198">
        <v>0</v>
      </c>
      <c r="Y198">
        <v>0</v>
      </c>
      <c r="Z198">
        <v>0</v>
      </c>
      <c r="AA198">
        <v>10</v>
      </c>
      <c r="AJ198" s="1"/>
      <c r="AL198" s="3"/>
      <c r="AM198" s="1"/>
      <c r="AS198" s="2"/>
      <c r="AT198">
        <v>5000</v>
      </c>
    </row>
    <row r="199" spans="1:47" ht="14.25" x14ac:dyDescent="0.2">
      <c r="A199" s="11">
        <v>911</v>
      </c>
      <c r="B199" t="s">
        <v>181</v>
      </c>
      <c r="C199" t="s">
        <v>121</v>
      </c>
      <c r="D199" t="s">
        <v>121</v>
      </c>
      <c r="E199" t="s">
        <v>121</v>
      </c>
      <c r="F199" s="6" t="s">
        <v>478</v>
      </c>
      <c r="H199">
        <v>2</v>
      </c>
      <c r="I199" s="1">
        <v>0</v>
      </c>
      <c r="J199">
        <v>0</v>
      </c>
      <c r="K199">
        <v>0</v>
      </c>
      <c r="L199" s="20">
        <v>5000</v>
      </c>
      <c r="M199">
        <v>1</v>
      </c>
      <c r="N199">
        <v>0</v>
      </c>
      <c r="O199">
        <v>0</v>
      </c>
      <c r="P199">
        <v>0</v>
      </c>
      <c r="Q199" s="22">
        <v>14700</v>
      </c>
      <c r="R199">
        <v>3</v>
      </c>
      <c r="S199" s="1">
        <v>0</v>
      </c>
      <c r="T199">
        <v>0</v>
      </c>
      <c r="U199">
        <v>0</v>
      </c>
      <c r="V199" s="21">
        <v>7350</v>
      </c>
      <c r="W199">
        <v>30</v>
      </c>
      <c r="X199">
        <v>0</v>
      </c>
      <c r="Y199">
        <v>0</v>
      </c>
      <c r="Z199">
        <v>0</v>
      </c>
      <c r="AA199">
        <v>10</v>
      </c>
      <c r="AJ199" s="1"/>
      <c r="AL199" s="3"/>
      <c r="AM199" s="1"/>
      <c r="AS199" s="2"/>
      <c r="AT199">
        <v>15000</v>
      </c>
    </row>
    <row r="200" spans="1:47" ht="14.25" x14ac:dyDescent="0.2">
      <c r="A200" s="11">
        <v>912</v>
      </c>
      <c r="B200" t="s">
        <v>122</v>
      </c>
      <c r="C200" t="s">
        <v>121</v>
      </c>
      <c r="D200" t="s">
        <v>121</v>
      </c>
      <c r="E200" t="s">
        <v>121</v>
      </c>
      <c r="F200" s="6" t="s">
        <v>478</v>
      </c>
      <c r="H200">
        <v>2</v>
      </c>
      <c r="I200" s="1">
        <v>0</v>
      </c>
      <c r="J200">
        <v>0</v>
      </c>
      <c r="K200">
        <v>0</v>
      </c>
      <c r="L200" s="20">
        <v>5000</v>
      </c>
      <c r="M200">
        <v>1</v>
      </c>
      <c r="N200">
        <v>0</v>
      </c>
      <c r="O200">
        <v>0</v>
      </c>
      <c r="P200">
        <v>0</v>
      </c>
      <c r="Q200" s="22">
        <v>14700</v>
      </c>
      <c r="R200">
        <v>3</v>
      </c>
      <c r="S200" s="1">
        <v>0</v>
      </c>
      <c r="T200">
        <v>0</v>
      </c>
      <c r="U200">
        <v>0</v>
      </c>
      <c r="V200" s="21">
        <v>7350</v>
      </c>
      <c r="W200">
        <v>4</v>
      </c>
      <c r="X200">
        <v>0</v>
      </c>
      <c r="Y200">
        <v>0</v>
      </c>
      <c r="Z200">
        <v>0</v>
      </c>
      <c r="AA200">
        <v>10</v>
      </c>
      <c r="AJ200" s="1"/>
      <c r="AL200" s="3"/>
      <c r="AM200" s="1"/>
      <c r="AS200" s="2"/>
      <c r="AT200">
        <v>30000</v>
      </c>
    </row>
    <row r="201" spans="1:47" ht="14.25" x14ac:dyDescent="0.2">
      <c r="A201" s="11">
        <v>913</v>
      </c>
      <c r="B201" t="s">
        <v>178</v>
      </c>
      <c r="C201" t="s">
        <v>121</v>
      </c>
      <c r="D201" t="s">
        <v>121</v>
      </c>
      <c r="E201" t="s">
        <v>121</v>
      </c>
      <c r="F201" s="6" t="s">
        <v>480</v>
      </c>
      <c r="H201">
        <v>2</v>
      </c>
      <c r="I201" s="1">
        <v>0</v>
      </c>
      <c r="J201">
        <v>0</v>
      </c>
      <c r="K201">
        <v>0</v>
      </c>
      <c r="L201" s="20">
        <v>5000</v>
      </c>
      <c r="M201">
        <v>1</v>
      </c>
      <c r="N201">
        <v>0</v>
      </c>
      <c r="O201">
        <v>0</v>
      </c>
      <c r="P201">
        <v>0</v>
      </c>
      <c r="Q201" s="22">
        <v>15000</v>
      </c>
      <c r="R201">
        <v>3</v>
      </c>
      <c r="S201" s="1">
        <v>0</v>
      </c>
      <c r="T201">
        <v>0</v>
      </c>
      <c r="U201">
        <v>0</v>
      </c>
      <c r="V201" s="21">
        <v>7500</v>
      </c>
      <c r="W201">
        <v>21</v>
      </c>
      <c r="X201">
        <v>0</v>
      </c>
      <c r="Y201">
        <v>0</v>
      </c>
      <c r="Z201">
        <v>0</v>
      </c>
      <c r="AA201">
        <v>1</v>
      </c>
      <c r="AJ201" s="1"/>
      <c r="AL201" s="3"/>
      <c r="AM201" s="1"/>
      <c r="AS201" s="2"/>
      <c r="AT201">
        <v>120000</v>
      </c>
    </row>
    <row r="202" spans="1:47" ht="14.25" x14ac:dyDescent="0.2">
      <c r="A202" s="11">
        <v>914</v>
      </c>
      <c r="B202" t="s">
        <v>130</v>
      </c>
      <c r="C202" t="s">
        <v>121</v>
      </c>
      <c r="D202" t="s">
        <v>121</v>
      </c>
      <c r="E202" t="s">
        <v>121</v>
      </c>
      <c r="F202" s="6" t="s">
        <v>482</v>
      </c>
      <c r="H202">
        <v>2</v>
      </c>
      <c r="I202" s="1">
        <v>0</v>
      </c>
      <c r="J202">
        <v>0</v>
      </c>
      <c r="K202">
        <v>0</v>
      </c>
      <c r="L202" s="20">
        <v>5000</v>
      </c>
      <c r="M202">
        <v>1</v>
      </c>
      <c r="N202">
        <v>0</v>
      </c>
      <c r="O202">
        <v>0</v>
      </c>
      <c r="P202">
        <v>0</v>
      </c>
      <c r="Q202" s="22">
        <v>15000</v>
      </c>
      <c r="R202">
        <v>3</v>
      </c>
      <c r="S202" s="1">
        <v>0</v>
      </c>
      <c r="T202">
        <v>0</v>
      </c>
      <c r="U202">
        <v>0</v>
      </c>
      <c r="V202" s="21">
        <v>7500</v>
      </c>
      <c r="W202">
        <v>9</v>
      </c>
      <c r="X202">
        <v>0</v>
      </c>
      <c r="Y202">
        <v>0</v>
      </c>
      <c r="Z202">
        <v>0</v>
      </c>
      <c r="AA202">
        <v>10</v>
      </c>
      <c r="AJ202" s="1"/>
      <c r="AL202" s="3"/>
      <c r="AM202" s="1"/>
      <c r="AS202" s="2"/>
    </row>
    <row r="203" spans="1:47" ht="14.25" x14ac:dyDescent="0.2">
      <c r="A203" s="11">
        <v>915</v>
      </c>
      <c r="B203" t="s">
        <v>123</v>
      </c>
      <c r="C203" t="s">
        <v>121</v>
      </c>
      <c r="D203" t="s">
        <v>121</v>
      </c>
      <c r="E203" t="s">
        <v>121</v>
      </c>
      <c r="F203" s="6" t="s">
        <v>482</v>
      </c>
      <c r="H203">
        <v>2</v>
      </c>
      <c r="I203" s="1">
        <v>0</v>
      </c>
      <c r="J203">
        <v>0</v>
      </c>
      <c r="K203">
        <v>0</v>
      </c>
      <c r="L203" s="20">
        <v>5000</v>
      </c>
      <c r="M203">
        <v>1</v>
      </c>
      <c r="N203">
        <v>0</v>
      </c>
      <c r="O203">
        <v>0</v>
      </c>
      <c r="P203">
        <v>0</v>
      </c>
      <c r="Q203" s="22">
        <v>15000</v>
      </c>
      <c r="R203">
        <v>3</v>
      </c>
      <c r="S203" s="1">
        <v>0</v>
      </c>
      <c r="T203">
        <v>0</v>
      </c>
      <c r="U203">
        <v>0</v>
      </c>
      <c r="V203" s="21">
        <v>7500</v>
      </c>
      <c r="W203">
        <v>12</v>
      </c>
      <c r="X203">
        <v>0</v>
      </c>
      <c r="Y203">
        <v>0</v>
      </c>
      <c r="Z203">
        <v>0</v>
      </c>
      <c r="AA203">
        <v>10</v>
      </c>
      <c r="AJ203" s="1"/>
      <c r="AL203" s="3"/>
      <c r="AM203" s="1"/>
      <c r="AS203" s="2"/>
      <c r="AT203">
        <v>800000</v>
      </c>
    </row>
    <row r="204" spans="1:47" ht="14.25" x14ac:dyDescent="0.2">
      <c r="A204" s="11">
        <v>916</v>
      </c>
      <c r="B204" t="s">
        <v>126</v>
      </c>
      <c r="C204" t="s">
        <v>121</v>
      </c>
      <c r="D204" t="s">
        <v>121</v>
      </c>
      <c r="E204" t="s">
        <v>121</v>
      </c>
      <c r="F204" s="6" t="s">
        <v>484</v>
      </c>
      <c r="H204">
        <v>2</v>
      </c>
      <c r="I204" s="1">
        <v>0</v>
      </c>
      <c r="J204">
        <v>0</v>
      </c>
      <c r="K204">
        <v>0</v>
      </c>
      <c r="L204" s="20">
        <v>5100</v>
      </c>
      <c r="M204">
        <v>1</v>
      </c>
      <c r="N204">
        <v>0</v>
      </c>
      <c r="O204">
        <v>0</v>
      </c>
      <c r="P204">
        <v>0</v>
      </c>
      <c r="Q204" s="22">
        <v>15000</v>
      </c>
      <c r="R204">
        <v>3</v>
      </c>
      <c r="S204" s="1">
        <v>0</v>
      </c>
      <c r="T204">
        <v>0</v>
      </c>
      <c r="U204">
        <v>0</v>
      </c>
      <c r="V204" s="21">
        <v>7500</v>
      </c>
      <c r="W204">
        <v>23</v>
      </c>
      <c r="X204">
        <v>0</v>
      </c>
      <c r="Y204">
        <v>0</v>
      </c>
      <c r="Z204">
        <v>0</v>
      </c>
      <c r="AA204">
        <v>1</v>
      </c>
      <c r="AJ204" s="1"/>
      <c r="AL204" s="3"/>
      <c r="AM204" s="1"/>
      <c r="AS204" s="2"/>
      <c r="AU204">
        <v>430</v>
      </c>
    </row>
    <row r="205" spans="1:47" ht="14.25" x14ac:dyDescent="0.2">
      <c r="A205" s="11">
        <v>917</v>
      </c>
      <c r="B205" t="s">
        <v>131</v>
      </c>
      <c r="C205" t="s">
        <v>125</v>
      </c>
      <c r="D205" t="s">
        <v>121</v>
      </c>
      <c r="E205" t="s">
        <v>136</v>
      </c>
      <c r="F205" s="6" t="s">
        <v>486</v>
      </c>
      <c r="H205">
        <v>2</v>
      </c>
      <c r="I205" s="1">
        <v>0</v>
      </c>
      <c r="J205">
        <v>0</v>
      </c>
      <c r="K205">
        <v>0</v>
      </c>
      <c r="L205" s="20">
        <v>5100</v>
      </c>
      <c r="M205">
        <v>1</v>
      </c>
      <c r="N205">
        <v>0</v>
      </c>
      <c r="O205">
        <v>0</v>
      </c>
      <c r="P205">
        <v>0</v>
      </c>
      <c r="Q205" s="22">
        <v>15000</v>
      </c>
      <c r="R205">
        <v>3</v>
      </c>
      <c r="S205" s="1">
        <v>0</v>
      </c>
      <c r="T205">
        <v>0</v>
      </c>
      <c r="U205">
        <v>0</v>
      </c>
      <c r="V205" s="21">
        <v>7500</v>
      </c>
      <c r="W205">
        <v>6</v>
      </c>
      <c r="X205">
        <v>1</v>
      </c>
      <c r="Y205">
        <v>0</v>
      </c>
      <c r="Z205">
        <v>3</v>
      </c>
      <c r="AA205">
        <v>10</v>
      </c>
      <c r="AJ205" s="1"/>
      <c r="AL205" s="3"/>
      <c r="AM205" s="1"/>
      <c r="AS205" s="2"/>
      <c r="AU205">
        <v>780</v>
      </c>
    </row>
    <row r="206" spans="1:47" ht="14.25" x14ac:dyDescent="0.2">
      <c r="A206" s="11">
        <v>918</v>
      </c>
      <c r="B206" t="s">
        <v>180</v>
      </c>
      <c r="C206" t="s">
        <v>121</v>
      </c>
      <c r="D206" t="s">
        <v>121</v>
      </c>
      <c r="E206" t="s">
        <v>121</v>
      </c>
      <c r="F206" s="6" t="s">
        <v>488</v>
      </c>
      <c r="H206">
        <v>2</v>
      </c>
      <c r="I206" s="1">
        <v>0</v>
      </c>
      <c r="J206">
        <v>0</v>
      </c>
      <c r="K206">
        <v>0</v>
      </c>
      <c r="L206" s="20">
        <v>5100</v>
      </c>
      <c r="M206">
        <v>1</v>
      </c>
      <c r="N206">
        <v>0</v>
      </c>
      <c r="O206">
        <v>0</v>
      </c>
      <c r="P206">
        <v>0</v>
      </c>
      <c r="Q206" s="22">
        <v>15300</v>
      </c>
      <c r="R206">
        <v>3</v>
      </c>
      <c r="S206" s="1">
        <v>0</v>
      </c>
      <c r="T206">
        <v>0</v>
      </c>
      <c r="U206">
        <v>0</v>
      </c>
      <c r="V206" s="21">
        <v>7650</v>
      </c>
      <c r="W206">
        <v>15</v>
      </c>
      <c r="X206">
        <v>0</v>
      </c>
      <c r="Y206">
        <v>0</v>
      </c>
      <c r="Z206">
        <v>0</v>
      </c>
      <c r="AA206">
        <v>1</v>
      </c>
      <c r="AJ206" s="1"/>
      <c r="AL206" s="3"/>
      <c r="AM206" s="1"/>
      <c r="AS206" s="2"/>
      <c r="AT206">
        <v>2400000</v>
      </c>
      <c r="AU206">
        <v>1420</v>
      </c>
    </row>
    <row r="207" spans="1:47" ht="14.25" x14ac:dyDescent="0.2">
      <c r="A207" s="11">
        <v>919</v>
      </c>
      <c r="B207" t="s">
        <v>178</v>
      </c>
      <c r="C207" t="s">
        <v>121</v>
      </c>
      <c r="D207" t="s">
        <v>121</v>
      </c>
      <c r="E207" t="s">
        <v>121</v>
      </c>
      <c r="F207" s="6" t="s">
        <v>488</v>
      </c>
      <c r="H207">
        <v>2</v>
      </c>
      <c r="I207" s="1">
        <v>0</v>
      </c>
      <c r="J207">
        <v>0</v>
      </c>
      <c r="K207">
        <v>0</v>
      </c>
      <c r="L207" s="20">
        <v>5100</v>
      </c>
      <c r="M207">
        <v>1</v>
      </c>
      <c r="N207">
        <v>0</v>
      </c>
      <c r="O207">
        <v>0</v>
      </c>
      <c r="P207">
        <v>0</v>
      </c>
      <c r="Q207" s="22">
        <v>15300</v>
      </c>
      <c r="R207">
        <v>3</v>
      </c>
      <c r="S207" s="1">
        <v>0</v>
      </c>
      <c r="T207">
        <v>0</v>
      </c>
      <c r="U207">
        <v>0</v>
      </c>
      <c r="V207" s="21">
        <v>7650</v>
      </c>
      <c r="W207">
        <v>21</v>
      </c>
      <c r="X207">
        <v>0</v>
      </c>
      <c r="Y207">
        <v>0</v>
      </c>
      <c r="Z207">
        <v>0</v>
      </c>
      <c r="AA207">
        <v>1</v>
      </c>
      <c r="AJ207" s="1"/>
      <c r="AL207" s="3"/>
      <c r="AM207" s="1"/>
    </row>
    <row r="208" spans="1:47" ht="14.25" x14ac:dyDescent="0.2">
      <c r="A208" s="11">
        <v>920</v>
      </c>
      <c r="B208" t="s">
        <v>130</v>
      </c>
      <c r="C208" t="s">
        <v>121</v>
      </c>
      <c r="D208" t="s">
        <v>121</v>
      </c>
      <c r="E208" t="s">
        <v>121</v>
      </c>
      <c r="F208" s="6" t="s">
        <v>490</v>
      </c>
      <c r="H208">
        <v>2</v>
      </c>
      <c r="I208" s="1">
        <v>0</v>
      </c>
      <c r="J208">
        <v>0</v>
      </c>
      <c r="K208">
        <v>0</v>
      </c>
      <c r="L208" s="20">
        <v>5100</v>
      </c>
      <c r="M208">
        <v>1</v>
      </c>
      <c r="N208">
        <v>0</v>
      </c>
      <c r="O208">
        <v>0</v>
      </c>
      <c r="P208">
        <v>0</v>
      </c>
      <c r="Q208" s="22">
        <v>15300</v>
      </c>
      <c r="R208">
        <v>3</v>
      </c>
      <c r="S208" s="1">
        <v>0</v>
      </c>
      <c r="T208">
        <v>0</v>
      </c>
      <c r="U208">
        <v>0</v>
      </c>
      <c r="V208" s="21">
        <v>7650</v>
      </c>
      <c r="W208">
        <v>9</v>
      </c>
      <c r="X208">
        <v>0</v>
      </c>
      <c r="Y208">
        <v>0</v>
      </c>
      <c r="Z208">
        <v>0</v>
      </c>
      <c r="AA208">
        <v>10</v>
      </c>
      <c r="AJ208" s="1"/>
      <c r="AL208" s="3"/>
      <c r="AM208" s="1"/>
    </row>
    <row r="209" spans="1:39" ht="14.25" x14ac:dyDescent="0.2">
      <c r="A209" s="11">
        <v>921</v>
      </c>
      <c r="B209" t="s">
        <v>181</v>
      </c>
      <c r="C209" t="s">
        <v>121</v>
      </c>
      <c r="D209" t="s">
        <v>121</v>
      </c>
      <c r="E209" t="s">
        <v>121</v>
      </c>
      <c r="F209" s="6" t="s">
        <v>492</v>
      </c>
      <c r="H209">
        <v>2</v>
      </c>
      <c r="I209" s="1">
        <v>0</v>
      </c>
      <c r="J209">
        <v>0</v>
      </c>
      <c r="K209">
        <v>0</v>
      </c>
      <c r="L209" s="20">
        <v>5200</v>
      </c>
      <c r="M209">
        <v>1</v>
      </c>
      <c r="N209">
        <v>0</v>
      </c>
      <c r="O209">
        <v>0</v>
      </c>
      <c r="P209">
        <v>0</v>
      </c>
      <c r="Q209" s="22">
        <v>15300</v>
      </c>
      <c r="R209">
        <v>3</v>
      </c>
      <c r="S209" s="1">
        <v>0</v>
      </c>
      <c r="T209">
        <v>0</v>
      </c>
      <c r="U209">
        <v>0</v>
      </c>
      <c r="V209" s="21">
        <v>7650</v>
      </c>
      <c r="W209">
        <v>30</v>
      </c>
      <c r="X209">
        <v>0</v>
      </c>
      <c r="Y209">
        <v>0</v>
      </c>
      <c r="Z209">
        <v>0</v>
      </c>
      <c r="AA209">
        <v>10</v>
      </c>
      <c r="AJ209" s="1"/>
      <c r="AL209" s="3"/>
      <c r="AM209" s="1"/>
    </row>
    <row r="210" spans="1:39" ht="14.25" x14ac:dyDescent="0.2">
      <c r="A210" s="11">
        <v>922</v>
      </c>
      <c r="B210" t="s">
        <v>122</v>
      </c>
      <c r="C210" t="s">
        <v>121</v>
      </c>
      <c r="D210" t="s">
        <v>121</v>
      </c>
      <c r="E210" t="s">
        <v>121</v>
      </c>
      <c r="F210" s="6" t="s">
        <v>492</v>
      </c>
      <c r="H210">
        <v>2</v>
      </c>
      <c r="I210" s="1">
        <v>0</v>
      </c>
      <c r="J210">
        <v>0</v>
      </c>
      <c r="K210">
        <v>0</v>
      </c>
      <c r="L210" s="20">
        <v>5200</v>
      </c>
      <c r="M210">
        <v>1</v>
      </c>
      <c r="N210">
        <v>0</v>
      </c>
      <c r="O210">
        <v>0</v>
      </c>
      <c r="P210">
        <v>0</v>
      </c>
      <c r="Q210" s="22">
        <v>15300</v>
      </c>
      <c r="R210">
        <v>3</v>
      </c>
      <c r="S210" s="1">
        <v>0</v>
      </c>
      <c r="T210">
        <v>0</v>
      </c>
      <c r="U210">
        <v>0</v>
      </c>
      <c r="V210" s="21">
        <v>7650</v>
      </c>
      <c r="W210">
        <v>4</v>
      </c>
      <c r="X210">
        <v>0</v>
      </c>
      <c r="Y210">
        <v>0</v>
      </c>
      <c r="Z210">
        <v>0</v>
      </c>
      <c r="AA210">
        <v>10</v>
      </c>
      <c r="AJ210" s="1"/>
      <c r="AL210" s="3"/>
      <c r="AM210" s="1"/>
    </row>
    <row r="211" spans="1:39" ht="14.25" x14ac:dyDescent="0.2">
      <c r="A211" s="11">
        <v>923</v>
      </c>
      <c r="B211" t="s">
        <v>178</v>
      </c>
      <c r="C211" t="s">
        <v>121</v>
      </c>
      <c r="D211" t="s">
        <v>121</v>
      </c>
      <c r="E211" t="s">
        <v>121</v>
      </c>
      <c r="F211" s="6" t="s">
        <v>494</v>
      </c>
      <c r="H211">
        <v>2</v>
      </c>
      <c r="I211" s="1">
        <v>0</v>
      </c>
      <c r="J211">
        <v>0</v>
      </c>
      <c r="K211">
        <v>0</v>
      </c>
      <c r="L211" s="20">
        <v>5200</v>
      </c>
      <c r="M211">
        <v>1</v>
      </c>
      <c r="N211">
        <v>0</v>
      </c>
      <c r="O211">
        <v>0</v>
      </c>
      <c r="P211">
        <v>0</v>
      </c>
      <c r="Q211" s="22">
        <v>15600</v>
      </c>
      <c r="R211">
        <v>3</v>
      </c>
      <c r="S211" s="1">
        <v>0</v>
      </c>
      <c r="T211">
        <v>0</v>
      </c>
      <c r="U211">
        <v>0</v>
      </c>
      <c r="V211" s="21">
        <v>7800</v>
      </c>
      <c r="W211">
        <v>21</v>
      </c>
      <c r="X211">
        <v>0</v>
      </c>
      <c r="Y211">
        <v>0</v>
      </c>
      <c r="Z211">
        <v>0</v>
      </c>
      <c r="AA211">
        <v>1</v>
      </c>
      <c r="AJ211" s="1"/>
      <c r="AL211" s="3"/>
      <c r="AM211" s="1"/>
    </row>
    <row r="212" spans="1:39" ht="14.25" x14ac:dyDescent="0.2">
      <c r="A212" s="11">
        <v>924</v>
      </c>
      <c r="B212" t="s">
        <v>130</v>
      </c>
      <c r="C212" t="s">
        <v>121</v>
      </c>
      <c r="D212" t="s">
        <v>121</v>
      </c>
      <c r="E212" t="s">
        <v>121</v>
      </c>
      <c r="F212" s="6" t="s">
        <v>496</v>
      </c>
      <c r="H212">
        <v>2</v>
      </c>
      <c r="I212" s="1">
        <v>0</v>
      </c>
      <c r="J212">
        <v>0</v>
      </c>
      <c r="K212">
        <v>0</v>
      </c>
      <c r="L212" s="20">
        <v>5200</v>
      </c>
      <c r="M212">
        <v>1</v>
      </c>
      <c r="N212">
        <v>0</v>
      </c>
      <c r="O212">
        <v>0</v>
      </c>
      <c r="P212">
        <v>0</v>
      </c>
      <c r="Q212" s="22">
        <v>15600</v>
      </c>
      <c r="R212">
        <v>3</v>
      </c>
      <c r="S212" s="1">
        <v>0</v>
      </c>
      <c r="T212">
        <v>0</v>
      </c>
      <c r="U212">
        <v>0</v>
      </c>
      <c r="V212" s="21">
        <v>7800</v>
      </c>
      <c r="W212">
        <v>9</v>
      </c>
      <c r="X212">
        <v>0</v>
      </c>
      <c r="Y212">
        <v>0</v>
      </c>
      <c r="Z212">
        <v>0</v>
      </c>
      <c r="AA212">
        <v>10</v>
      </c>
      <c r="AJ212" s="1"/>
      <c r="AL212" s="3"/>
      <c r="AM212" s="1"/>
    </row>
    <row r="213" spans="1:39" ht="14.25" x14ac:dyDescent="0.2">
      <c r="A213" s="11">
        <v>925</v>
      </c>
      <c r="B213" t="s">
        <v>123</v>
      </c>
      <c r="C213" t="s">
        <v>121</v>
      </c>
      <c r="D213" t="s">
        <v>121</v>
      </c>
      <c r="E213" t="s">
        <v>121</v>
      </c>
      <c r="F213" s="6" t="s">
        <v>496</v>
      </c>
      <c r="H213">
        <v>2</v>
      </c>
      <c r="I213" s="1">
        <v>0</v>
      </c>
      <c r="J213">
        <v>0</v>
      </c>
      <c r="K213">
        <v>0</v>
      </c>
      <c r="L213" s="20">
        <v>5200</v>
      </c>
      <c r="M213">
        <v>1</v>
      </c>
      <c r="N213">
        <v>0</v>
      </c>
      <c r="O213">
        <v>0</v>
      </c>
      <c r="P213">
        <v>0</v>
      </c>
      <c r="Q213" s="22">
        <v>15600</v>
      </c>
      <c r="R213">
        <v>3</v>
      </c>
      <c r="S213" s="1">
        <v>0</v>
      </c>
      <c r="T213">
        <v>0</v>
      </c>
      <c r="U213">
        <v>0</v>
      </c>
      <c r="V213" s="21">
        <v>7800</v>
      </c>
      <c r="W213">
        <v>12</v>
      </c>
      <c r="X213">
        <v>0</v>
      </c>
      <c r="Y213">
        <v>0</v>
      </c>
      <c r="Z213">
        <v>0</v>
      </c>
      <c r="AA213">
        <v>10</v>
      </c>
      <c r="AJ213" s="1"/>
      <c r="AL213" s="3"/>
      <c r="AM213" s="1"/>
    </row>
    <row r="214" spans="1:39" ht="14.25" x14ac:dyDescent="0.2">
      <c r="A214" s="11">
        <v>926</v>
      </c>
      <c r="B214" t="s">
        <v>126</v>
      </c>
      <c r="C214" t="s">
        <v>121</v>
      </c>
      <c r="D214" t="s">
        <v>121</v>
      </c>
      <c r="E214" t="s">
        <v>121</v>
      </c>
      <c r="F214" s="6" t="s">
        <v>498</v>
      </c>
      <c r="H214">
        <v>2</v>
      </c>
      <c r="I214" s="1">
        <v>0</v>
      </c>
      <c r="J214">
        <v>0</v>
      </c>
      <c r="K214">
        <v>0</v>
      </c>
      <c r="L214" s="20">
        <v>5300</v>
      </c>
      <c r="M214">
        <v>1</v>
      </c>
      <c r="N214">
        <v>0</v>
      </c>
      <c r="O214">
        <v>0</v>
      </c>
      <c r="P214">
        <v>0</v>
      </c>
      <c r="Q214" s="22">
        <v>15600</v>
      </c>
      <c r="R214">
        <v>3</v>
      </c>
      <c r="S214" s="1">
        <v>0</v>
      </c>
      <c r="T214">
        <v>0</v>
      </c>
      <c r="U214">
        <v>0</v>
      </c>
      <c r="V214" s="21">
        <v>7800</v>
      </c>
      <c r="W214">
        <v>23</v>
      </c>
      <c r="X214">
        <v>0</v>
      </c>
      <c r="Y214">
        <v>0</v>
      </c>
      <c r="Z214">
        <v>0</v>
      </c>
      <c r="AA214">
        <v>1</v>
      </c>
      <c r="AJ214" s="1"/>
      <c r="AL214" s="3"/>
      <c r="AM214" s="1"/>
    </row>
    <row r="215" spans="1:39" ht="14.25" x14ac:dyDescent="0.2">
      <c r="A215" s="11">
        <v>927</v>
      </c>
      <c r="B215" t="s">
        <v>131</v>
      </c>
      <c r="C215" t="s">
        <v>125</v>
      </c>
      <c r="D215" t="s">
        <v>121</v>
      </c>
      <c r="E215" t="s">
        <v>136</v>
      </c>
      <c r="F215" s="6" t="s">
        <v>500</v>
      </c>
      <c r="H215">
        <v>2</v>
      </c>
      <c r="I215" s="1">
        <v>0</v>
      </c>
      <c r="J215">
        <v>0</v>
      </c>
      <c r="K215">
        <v>0</v>
      </c>
      <c r="L215" s="20">
        <v>5300</v>
      </c>
      <c r="M215">
        <v>1</v>
      </c>
      <c r="N215">
        <v>0</v>
      </c>
      <c r="O215">
        <v>0</v>
      </c>
      <c r="P215">
        <v>0</v>
      </c>
      <c r="Q215" s="22">
        <v>15600</v>
      </c>
      <c r="R215">
        <v>3</v>
      </c>
      <c r="S215" s="1">
        <v>0</v>
      </c>
      <c r="T215">
        <v>0</v>
      </c>
      <c r="U215">
        <v>0</v>
      </c>
      <c r="V215" s="21">
        <v>7800</v>
      </c>
      <c r="W215">
        <v>6</v>
      </c>
      <c r="X215">
        <v>1</v>
      </c>
      <c r="Y215">
        <v>0</v>
      </c>
      <c r="Z215">
        <v>3</v>
      </c>
      <c r="AA215">
        <v>10</v>
      </c>
      <c r="AJ215" s="1"/>
      <c r="AL215" s="3"/>
      <c r="AM215" s="1"/>
    </row>
    <row r="216" spans="1:39" ht="14.25" x14ac:dyDescent="0.2">
      <c r="A216" s="11">
        <v>928</v>
      </c>
      <c r="B216" t="s">
        <v>180</v>
      </c>
      <c r="C216" t="s">
        <v>121</v>
      </c>
      <c r="D216" t="s">
        <v>121</v>
      </c>
      <c r="E216" t="s">
        <v>121</v>
      </c>
      <c r="F216" s="6" t="s">
        <v>502</v>
      </c>
      <c r="H216">
        <v>2</v>
      </c>
      <c r="I216" s="1">
        <v>0</v>
      </c>
      <c r="J216">
        <v>0</v>
      </c>
      <c r="K216">
        <v>0</v>
      </c>
      <c r="L216" s="20">
        <v>5300</v>
      </c>
      <c r="M216">
        <v>1</v>
      </c>
      <c r="N216">
        <v>0</v>
      </c>
      <c r="O216">
        <v>0</v>
      </c>
      <c r="P216">
        <v>0</v>
      </c>
      <c r="Q216" s="22">
        <v>15900</v>
      </c>
      <c r="R216">
        <v>3</v>
      </c>
      <c r="S216" s="1">
        <v>0</v>
      </c>
      <c r="T216">
        <v>0</v>
      </c>
      <c r="U216">
        <v>0</v>
      </c>
      <c r="V216" s="21">
        <v>7950</v>
      </c>
      <c r="W216">
        <v>15</v>
      </c>
      <c r="X216">
        <v>0</v>
      </c>
      <c r="Y216">
        <v>0</v>
      </c>
      <c r="Z216">
        <v>0</v>
      </c>
      <c r="AA216">
        <v>1</v>
      </c>
      <c r="AJ216" s="1"/>
      <c r="AL216" s="3"/>
      <c r="AM216" s="1"/>
    </row>
    <row r="217" spans="1:39" ht="14.25" x14ac:dyDescent="0.2">
      <c r="A217" s="11">
        <v>929</v>
      </c>
      <c r="B217" t="s">
        <v>178</v>
      </c>
      <c r="C217" t="s">
        <v>121</v>
      </c>
      <c r="D217" t="s">
        <v>121</v>
      </c>
      <c r="E217" t="s">
        <v>121</v>
      </c>
      <c r="F217" s="6" t="s">
        <v>502</v>
      </c>
      <c r="H217">
        <v>2</v>
      </c>
      <c r="I217" s="1">
        <v>0</v>
      </c>
      <c r="J217">
        <v>0</v>
      </c>
      <c r="K217">
        <v>0</v>
      </c>
      <c r="L217" s="20">
        <v>5300</v>
      </c>
      <c r="M217">
        <v>1</v>
      </c>
      <c r="N217">
        <v>0</v>
      </c>
      <c r="O217">
        <v>0</v>
      </c>
      <c r="P217">
        <v>0</v>
      </c>
      <c r="Q217" s="22">
        <v>15900</v>
      </c>
      <c r="R217">
        <v>3</v>
      </c>
      <c r="S217" s="1">
        <v>0</v>
      </c>
      <c r="T217">
        <v>0</v>
      </c>
      <c r="U217">
        <v>0</v>
      </c>
      <c r="V217" s="21">
        <v>7950</v>
      </c>
      <c r="W217">
        <v>21</v>
      </c>
      <c r="X217">
        <v>0</v>
      </c>
      <c r="Y217">
        <v>0</v>
      </c>
      <c r="Z217">
        <v>0</v>
      </c>
      <c r="AA217">
        <v>1</v>
      </c>
      <c r="AJ217" s="1"/>
      <c r="AL217" s="3"/>
      <c r="AM217" s="1"/>
    </row>
    <row r="218" spans="1:39" ht="14.25" x14ac:dyDescent="0.2">
      <c r="A218" s="11">
        <v>930</v>
      </c>
      <c r="B218" t="s">
        <v>130</v>
      </c>
      <c r="C218" t="s">
        <v>121</v>
      </c>
      <c r="D218" t="s">
        <v>121</v>
      </c>
      <c r="E218" t="s">
        <v>121</v>
      </c>
      <c r="F218" s="6" t="s">
        <v>504</v>
      </c>
      <c r="H218">
        <v>2</v>
      </c>
      <c r="I218" s="1">
        <v>0</v>
      </c>
      <c r="J218">
        <v>0</v>
      </c>
      <c r="K218">
        <v>0</v>
      </c>
      <c r="L218" s="20">
        <v>5300</v>
      </c>
      <c r="M218">
        <v>1</v>
      </c>
      <c r="N218">
        <v>0</v>
      </c>
      <c r="O218">
        <v>0</v>
      </c>
      <c r="P218">
        <v>0</v>
      </c>
      <c r="Q218" s="22">
        <v>15900</v>
      </c>
      <c r="R218">
        <v>3</v>
      </c>
      <c r="S218" s="1">
        <v>0</v>
      </c>
      <c r="T218">
        <v>0</v>
      </c>
      <c r="U218">
        <v>0</v>
      </c>
      <c r="V218" s="21">
        <v>7950</v>
      </c>
      <c r="W218">
        <v>9</v>
      </c>
      <c r="X218">
        <v>0</v>
      </c>
      <c r="Y218">
        <v>0</v>
      </c>
      <c r="Z218">
        <v>0</v>
      </c>
      <c r="AA218">
        <v>10</v>
      </c>
      <c r="AJ218" s="1"/>
      <c r="AL218" s="3"/>
      <c r="AM218" s="1"/>
    </row>
    <row r="219" spans="1:39" ht="14.25" x14ac:dyDescent="0.2">
      <c r="A219" s="11">
        <v>931</v>
      </c>
      <c r="B219" t="s">
        <v>181</v>
      </c>
      <c r="C219" t="s">
        <v>121</v>
      </c>
      <c r="D219" t="s">
        <v>121</v>
      </c>
      <c r="E219" t="s">
        <v>121</v>
      </c>
      <c r="F219" s="6" t="s">
        <v>506</v>
      </c>
      <c r="H219">
        <v>2</v>
      </c>
      <c r="I219" s="1">
        <v>0</v>
      </c>
      <c r="J219">
        <v>0</v>
      </c>
      <c r="K219">
        <v>0</v>
      </c>
      <c r="L219" s="20">
        <v>5400</v>
      </c>
      <c r="M219">
        <v>1</v>
      </c>
      <c r="N219">
        <v>0</v>
      </c>
      <c r="O219">
        <v>0</v>
      </c>
      <c r="P219">
        <v>0</v>
      </c>
      <c r="Q219" s="22">
        <v>15900</v>
      </c>
      <c r="R219">
        <v>3</v>
      </c>
      <c r="S219" s="1">
        <v>0</v>
      </c>
      <c r="T219">
        <v>0</v>
      </c>
      <c r="U219">
        <v>0</v>
      </c>
      <c r="V219" s="21">
        <v>7950</v>
      </c>
      <c r="W219">
        <v>30</v>
      </c>
      <c r="X219">
        <v>0</v>
      </c>
      <c r="Y219">
        <v>0</v>
      </c>
      <c r="Z219">
        <v>0</v>
      </c>
      <c r="AA219">
        <v>10</v>
      </c>
      <c r="AJ219" s="1"/>
      <c r="AL219" s="3"/>
      <c r="AM219" s="1"/>
    </row>
    <row r="220" spans="1:39" ht="14.25" x14ac:dyDescent="0.2">
      <c r="A220" s="11">
        <v>932</v>
      </c>
      <c r="B220" t="s">
        <v>122</v>
      </c>
      <c r="C220" t="s">
        <v>121</v>
      </c>
      <c r="D220" t="s">
        <v>121</v>
      </c>
      <c r="E220" t="s">
        <v>121</v>
      </c>
      <c r="F220" s="6" t="s">
        <v>506</v>
      </c>
      <c r="H220">
        <v>2</v>
      </c>
      <c r="I220" s="1">
        <v>0</v>
      </c>
      <c r="J220">
        <v>0</v>
      </c>
      <c r="K220">
        <v>0</v>
      </c>
      <c r="L220" s="20">
        <v>5400</v>
      </c>
      <c r="M220">
        <v>1</v>
      </c>
      <c r="N220">
        <v>0</v>
      </c>
      <c r="O220">
        <v>0</v>
      </c>
      <c r="P220">
        <v>0</v>
      </c>
      <c r="Q220" s="22">
        <v>15900</v>
      </c>
      <c r="R220">
        <v>3</v>
      </c>
      <c r="S220" s="1">
        <v>0</v>
      </c>
      <c r="T220">
        <v>0</v>
      </c>
      <c r="U220">
        <v>0</v>
      </c>
      <c r="V220" s="21">
        <v>7950</v>
      </c>
      <c r="W220">
        <v>4</v>
      </c>
      <c r="X220">
        <v>0</v>
      </c>
      <c r="Y220">
        <v>0</v>
      </c>
      <c r="Z220">
        <v>0</v>
      </c>
      <c r="AA220">
        <v>10</v>
      </c>
      <c r="AJ220" s="1"/>
      <c r="AL220" s="3"/>
      <c r="AM220" s="1"/>
    </row>
    <row r="221" spans="1:39" ht="14.25" x14ac:dyDescent="0.2">
      <c r="A221" s="11">
        <v>933</v>
      </c>
      <c r="B221" t="s">
        <v>178</v>
      </c>
      <c r="C221" t="s">
        <v>121</v>
      </c>
      <c r="D221" t="s">
        <v>121</v>
      </c>
      <c r="E221" t="s">
        <v>121</v>
      </c>
      <c r="F221" s="6" t="s">
        <v>508</v>
      </c>
      <c r="H221">
        <v>2</v>
      </c>
      <c r="I221" s="1">
        <v>0</v>
      </c>
      <c r="J221">
        <v>0</v>
      </c>
      <c r="K221">
        <v>0</v>
      </c>
      <c r="L221" s="20">
        <v>5400</v>
      </c>
      <c r="M221">
        <v>1</v>
      </c>
      <c r="N221">
        <v>0</v>
      </c>
      <c r="O221">
        <v>0</v>
      </c>
      <c r="P221">
        <v>0</v>
      </c>
      <c r="Q221" s="22">
        <v>16200</v>
      </c>
      <c r="R221">
        <v>3</v>
      </c>
      <c r="S221" s="1">
        <v>0</v>
      </c>
      <c r="T221">
        <v>0</v>
      </c>
      <c r="U221">
        <v>0</v>
      </c>
      <c r="V221" s="21">
        <v>8100</v>
      </c>
      <c r="W221">
        <v>21</v>
      </c>
      <c r="X221">
        <v>0</v>
      </c>
      <c r="Y221">
        <v>0</v>
      </c>
      <c r="Z221">
        <v>0</v>
      </c>
      <c r="AA221">
        <v>1</v>
      </c>
      <c r="AJ221" s="1"/>
      <c r="AL221" s="3"/>
      <c r="AM221" s="1"/>
    </row>
    <row r="222" spans="1:39" ht="14.25" x14ac:dyDescent="0.2">
      <c r="A222" s="11">
        <v>934</v>
      </c>
      <c r="B222" t="s">
        <v>130</v>
      </c>
      <c r="C222" t="s">
        <v>121</v>
      </c>
      <c r="D222" t="s">
        <v>121</v>
      </c>
      <c r="E222" t="s">
        <v>121</v>
      </c>
      <c r="F222" s="6" t="s">
        <v>510</v>
      </c>
      <c r="H222">
        <v>2</v>
      </c>
      <c r="I222" s="1">
        <v>0</v>
      </c>
      <c r="J222">
        <v>0</v>
      </c>
      <c r="K222">
        <v>0</v>
      </c>
      <c r="L222" s="20">
        <v>5400</v>
      </c>
      <c r="M222">
        <v>1</v>
      </c>
      <c r="N222">
        <v>0</v>
      </c>
      <c r="O222">
        <v>0</v>
      </c>
      <c r="P222">
        <v>0</v>
      </c>
      <c r="Q222" s="22">
        <v>16200</v>
      </c>
      <c r="R222">
        <v>3</v>
      </c>
      <c r="S222" s="1">
        <v>0</v>
      </c>
      <c r="T222">
        <v>0</v>
      </c>
      <c r="U222">
        <v>0</v>
      </c>
      <c r="V222" s="21">
        <v>8100</v>
      </c>
      <c r="W222">
        <v>9</v>
      </c>
      <c r="X222">
        <v>0</v>
      </c>
      <c r="Y222">
        <v>0</v>
      </c>
      <c r="Z222">
        <v>0</v>
      </c>
      <c r="AA222">
        <v>10</v>
      </c>
      <c r="AJ222" s="1"/>
      <c r="AL222" s="3"/>
      <c r="AM222" s="1"/>
    </row>
    <row r="223" spans="1:39" ht="14.25" x14ac:dyDescent="0.2">
      <c r="A223" s="11">
        <v>935</v>
      </c>
      <c r="B223" t="s">
        <v>123</v>
      </c>
      <c r="C223" t="s">
        <v>121</v>
      </c>
      <c r="D223" t="s">
        <v>121</v>
      </c>
      <c r="E223" t="s">
        <v>121</v>
      </c>
      <c r="F223" s="6" t="s">
        <v>510</v>
      </c>
      <c r="H223">
        <v>2</v>
      </c>
      <c r="I223" s="1">
        <v>0</v>
      </c>
      <c r="J223">
        <v>0</v>
      </c>
      <c r="K223">
        <v>0</v>
      </c>
      <c r="L223" s="20">
        <v>5400</v>
      </c>
      <c r="M223">
        <v>1</v>
      </c>
      <c r="N223">
        <v>0</v>
      </c>
      <c r="O223">
        <v>0</v>
      </c>
      <c r="P223">
        <v>0</v>
      </c>
      <c r="Q223" s="22">
        <v>16200</v>
      </c>
      <c r="R223">
        <v>3</v>
      </c>
      <c r="S223" s="1">
        <v>0</v>
      </c>
      <c r="T223">
        <v>0</v>
      </c>
      <c r="U223">
        <v>0</v>
      </c>
      <c r="V223" s="21">
        <v>8100</v>
      </c>
      <c r="W223">
        <v>12</v>
      </c>
      <c r="X223">
        <v>0</v>
      </c>
      <c r="Y223">
        <v>0</v>
      </c>
      <c r="Z223">
        <v>0</v>
      </c>
      <c r="AA223">
        <v>10</v>
      </c>
      <c r="AJ223" s="1"/>
      <c r="AL223" s="3"/>
      <c r="AM223" s="1"/>
    </row>
    <row r="224" spans="1:39" ht="14.25" x14ac:dyDescent="0.2">
      <c r="A224" s="11">
        <v>936</v>
      </c>
      <c r="B224" t="s">
        <v>126</v>
      </c>
      <c r="C224" t="s">
        <v>121</v>
      </c>
      <c r="D224" t="s">
        <v>121</v>
      </c>
      <c r="E224" t="s">
        <v>121</v>
      </c>
      <c r="F224" s="6" t="s">
        <v>512</v>
      </c>
      <c r="H224">
        <v>2</v>
      </c>
      <c r="I224" s="1">
        <v>0</v>
      </c>
      <c r="J224">
        <v>0</v>
      </c>
      <c r="K224">
        <v>0</v>
      </c>
      <c r="L224" s="20">
        <v>5500</v>
      </c>
      <c r="M224">
        <v>1</v>
      </c>
      <c r="N224">
        <v>0</v>
      </c>
      <c r="O224">
        <v>0</v>
      </c>
      <c r="P224">
        <v>0</v>
      </c>
      <c r="Q224" s="22">
        <v>16200</v>
      </c>
      <c r="R224">
        <v>3</v>
      </c>
      <c r="S224" s="1">
        <v>0</v>
      </c>
      <c r="T224">
        <v>0</v>
      </c>
      <c r="U224">
        <v>0</v>
      </c>
      <c r="V224" s="21">
        <v>8100</v>
      </c>
      <c r="W224">
        <v>23</v>
      </c>
      <c r="X224">
        <v>0</v>
      </c>
      <c r="Y224">
        <v>0</v>
      </c>
      <c r="Z224">
        <v>0</v>
      </c>
      <c r="AA224">
        <v>1</v>
      </c>
      <c r="AJ224" s="1"/>
      <c r="AL224" s="3"/>
      <c r="AM224" s="1"/>
    </row>
    <row r="225" spans="1:39" ht="14.25" x14ac:dyDescent="0.2">
      <c r="A225" s="11">
        <v>937</v>
      </c>
      <c r="B225" t="s">
        <v>131</v>
      </c>
      <c r="C225" t="s">
        <v>125</v>
      </c>
      <c r="D225" t="s">
        <v>121</v>
      </c>
      <c r="E225" t="s">
        <v>136</v>
      </c>
      <c r="F225" s="6" t="s">
        <v>514</v>
      </c>
      <c r="H225">
        <v>2</v>
      </c>
      <c r="I225" s="1">
        <v>0</v>
      </c>
      <c r="J225">
        <v>0</v>
      </c>
      <c r="K225">
        <v>0</v>
      </c>
      <c r="L225" s="20">
        <v>5500</v>
      </c>
      <c r="M225">
        <v>1</v>
      </c>
      <c r="N225">
        <v>0</v>
      </c>
      <c r="O225">
        <v>0</v>
      </c>
      <c r="P225">
        <v>0</v>
      </c>
      <c r="Q225" s="22">
        <v>16200</v>
      </c>
      <c r="R225">
        <v>3</v>
      </c>
      <c r="S225" s="1">
        <v>0</v>
      </c>
      <c r="T225">
        <v>0</v>
      </c>
      <c r="U225">
        <v>0</v>
      </c>
      <c r="V225" s="21">
        <v>8100</v>
      </c>
      <c r="W225">
        <v>6</v>
      </c>
      <c r="X225">
        <v>1</v>
      </c>
      <c r="Y225">
        <v>0</v>
      </c>
      <c r="Z225">
        <v>3</v>
      </c>
      <c r="AA225">
        <v>10</v>
      </c>
      <c r="AJ225" s="1"/>
      <c r="AL225" s="3"/>
      <c r="AM225" s="1"/>
    </row>
    <row r="226" spans="1:39" ht="14.25" x14ac:dyDescent="0.2">
      <c r="A226" s="11">
        <v>938</v>
      </c>
      <c r="B226" t="s">
        <v>180</v>
      </c>
      <c r="C226" t="s">
        <v>121</v>
      </c>
      <c r="D226" t="s">
        <v>121</v>
      </c>
      <c r="E226" t="s">
        <v>121</v>
      </c>
      <c r="F226" s="6" t="s">
        <v>516</v>
      </c>
      <c r="H226">
        <v>2</v>
      </c>
      <c r="I226" s="1">
        <v>0</v>
      </c>
      <c r="J226">
        <v>0</v>
      </c>
      <c r="K226">
        <v>0</v>
      </c>
      <c r="L226" s="20">
        <v>5500</v>
      </c>
      <c r="M226">
        <v>1</v>
      </c>
      <c r="N226">
        <v>0</v>
      </c>
      <c r="O226">
        <v>0</v>
      </c>
      <c r="P226">
        <v>0</v>
      </c>
      <c r="Q226" s="22">
        <v>16500</v>
      </c>
      <c r="R226">
        <v>3</v>
      </c>
      <c r="S226" s="1">
        <v>0</v>
      </c>
      <c r="T226">
        <v>0</v>
      </c>
      <c r="U226">
        <v>0</v>
      </c>
      <c r="V226" s="21">
        <v>8250</v>
      </c>
      <c r="W226">
        <v>15</v>
      </c>
      <c r="X226">
        <v>0</v>
      </c>
      <c r="Y226">
        <v>0</v>
      </c>
      <c r="Z226">
        <v>0</v>
      </c>
      <c r="AA226">
        <v>1</v>
      </c>
      <c r="AJ226" s="1"/>
      <c r="AL226" s="3"/>
      <c r="AM226" s="1"/>
    </row>
    <row r="227" spans="1:39" ht="14.25" x14ac:dyDescent="0.2">
      <c r="A227" s="11">
        <v>939</v>
      </c>
      <c r="B227" t="s">
        <v>178</v>
      </c>
      <c r="C227" t="s">
        <v>121</v>
      </c>
      <c r="D227" t="s">
        <v>121</v>
      </c>
      <c r="E227" t="s">
        <v>121</v>
      </c>
      <c r="F227" s="6" t="s">
        <v>516</v>
      </c>
      <c r="H227">
        <v>2</v>
      </c>
      <c r="I227" s="1">
        <v>0</v>
      </c>
      <c r="J227">
        <v>0</v>
      </c>
      <c r="K227">
        <v>0</v>
      </c>
      <c r="L227" s="20">
        <v>5500</v>
      </c>
      <c r="M227">
        <v>1</v>
      </c>
      <c r="N227">
        <v>0</v>
      </c>
      <c r="O227">
        <v>0</v>
      </c>
      <c r="P227">
        <v>0</v>
      </c>
      <c r="Q227" s="22">
        <v>16500</v>
      </c>
      <c r="R227">
        <v>3</v>
      </c>
      <c r="S227" s="1">
        <v>0</v>
      </c>
      <c r="T227">
        <v>0</v>
      </c>
      <c r="U227">
        <v>0</v>
      </c>
      <c r="V227" s="21">
        <v>8250</v>
      </c>
      <c r="W227">
        <v>21</v>
      </c>
      <c r="X227">
        <v>0</v>
      </c>
      <c r="Y227">
        <v>0</v>
      </c>
      <c r="Z227">
        <v>0</v>
      </c>
      <c r="AA227">
        <v>1</v>
      </c>
      <c r="AJ227" s="1"/>
      <c r="AL227" s="3"/>
      <c r="AM227" s="1"/>
    </row>
    <row r="228" spans="1:39" ht="14.25" x14ac:dyDescent="0.2">
      <c r="A228" s="11">
        <v>940</v>
      </c>
      <c r="B228" t="s">
        <v>130</v>
      </c>
      <c r="C228" t="s">
        <v>121</v>
      </c>
      <c r="D228" t="s">
        <v>121</v>
      </c>
      <c r="E228" t="s">
        <v>121</v>
      </c>
      <c r="F228" s="6" t="s">
        <v>518</v>
      </c>
      <c r="H228">
        <v>2</v>
      </c>
      <c r="I228" s="1">
        <v>0</v>
      </c>
      <c r="J228">
        <v>0</v>
      </c>
      <c r="K228">
        <v>0</v>
      </c>
      <c r="L228" s="20">
        <v>5500</v>
      </c>
      <c r="M228">
        <v>1</v>
      </c>
      <c r="N228">
        <v>0</v>
      </c>
      <c r="O228">
        <v>0</v>
      </c>
      <c r="P228">
        <v>0</v>
      </c>
      <c r="Q228" s="22">
        <v>16500</v>
      </c>
      <c r="R228">
        <v>3</v>
      </c>
      <c r="S228" s="1">
        <v>0</v>
      </c>
      <c r="T228">
        <v>0</v>
      </c>
      <c r="U228">
        <v>0</v>
      </c>
      <c r="V228" s="21">
        <v>8250</v>
      </c>
      <c r="W228">
        <v>9</v>
      </c>
      <c r="X228">
        <v>0</v>
      </c>
      <c r="Y228">
        <v>0</v>
      </c>
      <c r="Z228">
        <v>0</v>
      </c>
      <c r="AA228">
        <v>10</v>
      </c>
      <c r="AJ228" s="1"/>
      <c r="AL228" s="3"/>
      <c r="AM228" s="1"/>
    </row>
    <row r="229" spans="1:39" ht="14.25" x14ac:dyDescent="0.2">
      <c r="A229" s="11">
        <v>941</v>
      </c>
      <c r="B229" t="s">
        <v>181</v>
      </c>
      <c r="C229" t="s">
        <v>121</v>
      </c>
      <c r="D229" t="s">
        <v>121</v>
      </c>
      <c r="E229" t="s">
        <v>121</v>
      </c>
      <c r="F229" s="6" t="s">
        <v>520</v>
      </c>
      <c r="H229">
        <v>2</v>
      </c>
      <c r="I229" s="1">
        <v>0</v>
      </c>
      <c r="J229">
        <v>0</v>
      </c>
      <c r="K229">
        <v>0</v>
      </c>
      <c r="L229" s="20">
        <v>5600</v>
      </c>
      <c r="M229">
        <v>1</v>
      </c>
      <c r="N229">
        <v>0</v>
      </c>
      <c r="O229">
        <v>0</v>
      </c>
      <c r="P229">
        <v>0</v>
      </c>
      <c r="Q229" s="22">
        <v>16500</v>
      </c>
      <c r="R229">
        <v>3</v>
      </c>
      <c r="S229" s="1">
        <v>0</v>
      </c>
      <c r="T229">
        <v>0</v>
      </c>
      <c r="U229">
        <v>0</v>
      </c>
      <c r="V229" s="21">
        <v>8250</v>
      </c>
      <c r="W229">
        <v>30</v>
      </c>
      <c r="X229">
        <v>0</v>
      </c>
      <c r="Y229">
        <v>0</v>
      </c>
      <c r="Z229">
        <v>0</v>
      </c>
      <c r="AA229">
        <v>10</v>
      </c>
      <c r="AJ229" s="1"/>
      <c r="AL229" s="3"/>
      <c r="AM229" s="1"/>
    </row>
    <row r="230" spans="1:39" ht="14.25" x14ac:dyDescent="0.2">
      <c r="A230" s="11">
        <v>942</v>
      </c>
      <c r="B230" t="s">
        <v>122</v>
      </c>
      <c r="C230" t="s">
        <v>121</v>
      </c>
      <c r="D230" t="s">
        <v>121</v>
      </c>
      <c r="E230" t="s">
        <v>121</v>
      </c>
      <c r="F230" s="6" t="s">
        <v>520</v>
      </c>
      <c r="H230">
        <v>2</v>
      </c>
      <c r="I230" s="1">
        <v>0</v>
      </c>
      <c r="J230">
        <v>0</v>
      </c>
      <c r="K230">
        <v>0</v>
      </c>
      <c r="L230" s="20">
        <v>5600</v>
      </c>
      <c r="M230">
        <v>1</v>
      </c>
      <c r="N230">
        <v>0</v>
      </c>
      <c r="O230">
        <v>0</v>
      </c>
      <c r="P230">
        <v>0</v>
      </c>
      <c r="Q230" s="22">
        <v>16500</v>
      </c>
      <c r="R230">
        <v>3</v>
      </c>
      <c r="S230" s="1">
        <v>0</v>
      </c>
      <c r="T230">
        <v>0</v>
      </c>
      <c r="U230">
        <v>0</v>
      </c>
      <c r="V230" s="21">
        <v>8250</v>
      </c>
      <c r="W230">
        <v>4</v>
      </c>
      <c r="X230">
        <v>0</v>
      </c>
      <c r="Y230">
        <v>0</v>
      </c>
      <c r="Z230">
        <v>0</v>
      </c>
      <c r="AA230">
        <v>10</v>
      </c>
      <c r="AJ230" s="1"/>
      <c r="AL230" s="3"/>
      <c r="AM230" s="1"/>
    </row>
    <row r="231" spans="1:39" ht="14.25" x14ac:dyDescent="0.2">
      <c r="A231" s="11">
        <v>943</v>
      </c>
      <c r="B231" t="s">
        <v>178</v>
      </c>
      <c r="C231" t="s">
        <v>121</v>
      </c>
      <c r="D231" t="s">
        <v>121</v>
      </c>
      <c r="E231" t="s">
        <v>121</v>
      </c>
      <c r="F231" s="6" t="s">
        <v>522</v>
      </c>
      <c r="H231">
        <v>2</v>
      </c>
      <c r="I231" s="1">
        <v>0</v>
      </c>
      <c r="J231">
        <v>0</v>
      </c>
      <c r="K231">
        <v>0</v>
      </c>
      <c r="L231" s="20">
        <v>5600</v>
      </c>
      <c r="M231">
        <v>1</v>
      </c>
      <c r="N231">
        <v>0</v>
      </c>
      <c r="O231">
        <v>0</v>
      </c>
      <c r="P231">
        <v>0</v>
      </c>
      <c r="Q231" s="22">
        <v>16800</v>
      </c>
      <c r="R231">
        <v>3</v>
      </c>
      <c r="S231" s="1">
        <v>0</v>
      </c>
      <c r="T231">
        <v>0</v>
      </c>
      <c r="U231">
        <v>0</v>
      </c>
      <c r="V231" s="21">
        <v>8400</v>
      </c>
      <c r="W231">
        <v>21</v>
      </c>
      <c r="X231">
        <v>0</v>
      </c>
      <c r="Y231">
        <v>0</v>
      </c>
      <c r="Z231">
        <v>0</v>
      </c>
      <c r="AA231">
        <v>1</v>
      </c>
      <c r="AJ231" s="1"/>
      <c r="AL231" s="3"/>
      <c r="AM231" s="1"/>
    </row>
    <row r="232" spans="1:39" ht="14.25" x14ac:dyDescent="0.2">
      <c r="A232" s="11">
        <v>944</v>
      </c>
      <c r="B232" t="s">
        <v>130</v>
      </c>
      <c r="C232" t="s">
        <v>121</v>
      </c>
      <c r="D232" t="s">
        <v>121</v>
      </c>
      <c r="E232" t="s">
        <v>121</v>
      </c>
      <c r="F232" s="6" t="s">
        <v>524</v>
      </c>
      <c r="H232">
        <v>2</v>
      </c>
      <c r="I232" s="1">
        <v>0</v>
      </c>
      <c r="J232">
        <v>0</v>
      </c>
      <c r="K232">
        <v>0</v>
      </c>
      <c r="L232" s="20">
        <v>5600</v>
      </c>
      <c r="M232">
        <v>1</v>
      </c>
      <c r="N232">
        <v>0</v>
      </c>
      <c r="O232">
        <v>0</v>
      </c>
      <c r="P232">
        <v>0</v>
      </c>
      <c r="Q232" s="22">
        <v>16800</v>
      </c>
      <c r="R232">
        <v>3</v>
      </c>
      <c r="S232" s="1">
        <v>0</v>
      </c>
      <c r="T232">
        <v>0</v>
      </c>
      <c r="U232">
        <v>0</v>
      </c>
      <c r="V232" s="21">
        <v>8400</v>
      </c>
      <c r="W232">
        <v>9</v>
      </c>
      <c r="X232">
        <v>0</v>
      </c>
      <c r="Y232">
        <v>0</v>
      </c>
      <c r="Z232">
        <v>0</v>
      </c>
      <c r="AA232">
        <v>10</v>
      </c>
      <c r="AJ232" s="1"/>
      <c r="AL232" s="3"/>
      <c r="AM232" s="1"/>
    </row>
    <row r="233" spans="1:39" ht="14.25" x14ac:dyDescent="0.2">
      <c r="A233" s="11">
        <v>945</v>
      </c>
      <c r="B233" t="s">
        <v>123</v>
      </c>
      <c r="C233" t="s">
        <v>121</v>
      </c>
      <c r="D233" t="s">
        <v>121</v>
      </c>
      <c r="E233" t="s">
        <v>121</v>
      </c>
      <c r="F233" s="6" t="s">
        <v>524</v>
      </c>
      <c r="H233">
        <v>2</v>
      </c>
      <c r="I233" s="1">
        <v>0</v>
      </c>
      <c r="J233">
        <v>0</v>
      </c>
      <c r="K233">
        <v>0</v>
      </c>
      <c r="L233" s="20">
        <v>5600</v>
      </c>
      <c r="M233">
        <v>1</v>
      </c>
      <c r="N233">
        <v>0</v>
      </c>
      <c r="O233">
        <v>0</v>
      </c>
      <c r="P233">
        <v>0</v>
      </c>
      <c r="Q233" s="22">
        <v>16800</v>
      </c>
      <c r="R233">
        <v>3</v>
      </c>
      <c r="S233" s="1">
        <v>0</v>
      </c>
      <c r="T233">
        <v>0</v>
      </c>
      <c r="U233">
        <v>0</v>
      </c>
      <c r="V233" s="21">
        <v>8400</v>
      </c>
      <c r="W233">
        <v>12</v>
      </c>
      <c r="X233">
        <v>0</v>
      </c>
      <c r="Y233">
        <v>0</v>
      </c>
      <c r="Z233">
        <v>0</v>
      </c>
      <c r="AA233">
        <v>10</v>
      </c>
      <c r="AJ233" s="1"/>
      <c r="AL233" s="3"/>
      <c r="AM233" s="1"/>
    </row>
    <row r="234" spans="1:39" ht="14.25" x14ac:dyDescent="0.2">
      <c r="A234" s="11">
        <v>1001</v>
      </c>
      <c r="B234" t="s">
        <v>126</v>
      </c>
      <c r="C234" t="s">
        <v>121</v>
      </c>
      <c r="D234" t="s">
        <v>121</v>
      </c>
      <c r="E234" t="s">
        <v>121</v>
      </c>
      <c r="F234" s="6" t="s">
        <v>526</v>
      </c>
      <c r="H234">
        <v>2</v>
      </c>
      <c r="I234" s="1">
        <v>0</v>
      </c>
      <c r="J234">
        <v>0</v>
      </c>
      <c r="K234">
        <v>0</v>
      </c>
      <c r="L234" s="20">
        <v>5700</v>
      </c>
      <c r="M234">
        <v>1</v>
      </c>
      <c r="N234">
        <v>0</v>
      </c>
      <c r="O234">
        <v>0</v>
      </c>
      <c r="P234">
        <v>0</v>
      </c>
      <c r="Q234" s="22">
        <v>16800</v>
      </c>
      <c r="R234">
        <v>3</v>
      </c>
      <c r="S234" s="1">
        <v>0</v>
      </c>
      <c r="T234">
        <v>0</v>
      </c>
      <c r="U234">
        <v>0</v>
      </c>
      <c r="V234" s="21">
        <v>8400</v>
      </c>
      <c r="W234">
        <v>23</v>
      </c>
      <c r="X234">
        <v>0</v>
      </c>
      <c r="Y234">
        <v>0</v>
      </c>
      <c r="Z234">
        <v>0</v>
      </c>
      <c r="AA234">
        <v>1</v>
      </c>
      <c r="AJ234" s="1"/>
      <c r="AL234" s="3"/>
      <c r="AM234" s="1"/>
    </row>
    <row r="235" spans="1:39" ht="14.25" x14ac:dyDescent="0.2">
      <c r="A235" s="11">
        <v>1002</v>
      </c>
      <c r="B235" t="s">
        <v>131</v>
      </c>
      <c r="C235" t="s">
        <v>125</v>
      </c>
      <c r="D235" t="s">
        <v>121</v>
      </c>
      <c r="E235" t="s">
        <v>136</v>
      </c>
      <c r="F235" s="6" t="s">
        <v>528</v>
      </c>
      <c r="H235">
        <v>2</v>
      </c>
      <c r="I235" s="1">
        <v>0</v>
      </c>
      <c r="J235">
        <v>0</v>
      </c>
      <c r="K235">
        <v>0</v>
      </c>
      <c r="L235" s="20">
        <v>5700</v>
      </c>
      <c r="M235">
        <v>1</v>
      </c>
      <c r="N235">
        <v>0</v>
      </c>
      <c r="O235">
        <v>0</v>
      </c>
      <c r="P235">
        <v>0</v>
      </c>
      <c r="Q235" s="22">
        <v>16800</v>
      </c>
      <c r="R235">
        <v>3</v>
      </c>
      <c r="S235" s="1">
        <v>0</v>
      </c>
      <c r="T235">
        <v>0</v>
      </c>
      <c r="U235">
        <v>0</v>
      </c>
      <c r="V235" s="21">
        <v>8400</v>
      </c>
      <c r="W235">
        <v>6</v>
      </c>
      <c r="X235">
        <v>1</v>
      </c>
      <c r="Y235">
        <v>0</v>
      </c>
      <c r="Z235">
        <v>3</v>
      </c>
      <c r="AA235">
        <v>10</v>
      </c>
      <c r="AJ235" s="1"/>
      <c r="AL235" s="3"/>
      <c r="AM235" s="1"/>
    </row>
    <row r="236" spans="1:39" ht="14.25" x14ac:dyDescent="0.2">
      <c r="A236" s="11">
        <v>1003</v>
      </c>
      <c r="B236" t="s">
        <v>180</v>
      </c>
      <c r="C236" t="s">
        <v>121</v>
      </c>
      <c r="D236" t="s">
        <v>121</v>
      </c>
      <c r="E236" t="s">
        <v>121</v>
      </c>
      <c r="F236" s="6" t="s">
        <v>530</v>
      </c>
      <c r="H236">
        <v>2</v>
      </c>
      <c r="I236" s="1">
        <v>0</v>
      </c>
      <c r="J236">
        <v>0</v>
      </c>
      <c r="K236">
        <v>0</v>
      </c>
      <c r="L236" s="20">
        <v>5700</v>
      </c>
      <c r="M236">
        <v>1</v>
      </c>
      <c r="N236">
        <v>0</v>
      </c>
      <c r="O236">
        <v>0</v>
      </c>
      <c r="P236">
        <v>0</v>
      </c>
      <c r="Q236" s="22">
        <v>17100</v>
      </c>
      <c r="R236">
        <v>3</v>
      </c>
      <c r="S236" s="1">
        <v>0</v>
      </c>
      <c r="T236">
        <v>0</v>
      </c>
      <c r="U236">
        <v>0</v>
      </c>
      <c r="V236" s="21">
        <v>8550</v>
      </c>
      <c r="W236">
        <v>15</v>
      </c>
      <c r="X236">
        <v>0</v>
      </c>
      <c r="Y236">
        <v>0</v>
      </c>
      <c r="Z236">
        <v>0</v>
      </c>
      <c r="AA236">
        <v>1</v>
      </c>
      <c r="AJ236" s="1"/>
      <c r="AL236" s="3"/>
      <c r="AM236" s="1"/>
    </row>
    <row r="237" spans="1:39" ht="14.25" x14ac:dyDescent="0.2">
      <c r="A237" s="11">
        <v>1004</v>
      </c>
      <c r="B237" t="s">
        <v>178</v>
      </c>
      <c r="C237" t="s">
        <v>121</v>
      </c>
      <c r="D237" t="s">
        <v>121</v>
      </c>
      <c r="E237" t="s">
        <v>121</v>
      </c>
      <c r="F237" s="6" t="s">
        <v>530</v>
      </c>
      <c r="H237">
        <v>2</v>
      </c>
      <c r="I237" s="1">
        <v>0</v>
      </c>
      <c r="J237">
        <v>0</v>
      </c>
      <c r="K237">
        <v>0</v>
      </c>
      <c r="L237" s="20">
        <v>5700</v>
      </c>
      <c r="M237">
        <v>1</v>
      </c>
      <c r="N237">
        <v>0</v>
      </c>
      <c r="O237">
        <v>0</v>
      </c>
      <c r="P237">
        <v>0</v>
      </c>
      <c r="Q237" s="22">
        <v>17100</v>
      </c>
      <c r="R237">
        <v>3</v>
      </c>
      <c r="S237" s="1">
        <v>0</v>
      </c>
      <c r="T237">
        <v>0</v>
      </c>
      <c r="U237">
        <v>0</v>
      </c>
      <c r="V237" s="21">
        <v>8550</v>
      </c>
      <c r="W237">
        <v>21</v>
      </c>
      <c r="X237">
        <v>0</v>
      </c>
      <c r="Y237">
        <v>0</v>
      </c>
      <c r="Z237">
        <v>0</v>
      </c>
      <c r="AA237">
        <v>1</v>
      </c>
      <c r="AJ237" s="1"/>
      <c r="AL237" s="3"/>
      <c r="AM237" s="1"/>
    </row>
    <row r="238" spans="1:39" ht="14.25" x14ac:dyDescent="0.2">
      <c r="A238" s="11">
        <v>1005</v>
      </c>
      <c r="B238" t="s">
        <v>130</v>
      </c>
      <c r="C238" t="s">
        <v>121</v>
      </c>
      <c r="D238" t="s">
        <v>121</v>
      </c>
      <c r="E238" t="s">
        <v>121</v>
      </c>
      <c r="F238" s="6" t="s">
        <v>532</v>
      </c>
      <c r="H238">
        <v>2</v>
      </c>
      <c r="I238" s="1">
        <v>0</v>
      </c>
      <c r="J238">
        <v>0</v>
      </c>
      <c r="K238">
        <v>0</v>
      </c>
      <c r="L238" s="20">
        <v>5700</v>
      </c>
      <c r="M238">
        <v>1</v>
      </c>
      <c r="N238">
        <v>0</v>
      </c>
      <c r="O238">
        <v>0</v>
      </c>
      <c r="P238">
        <v>0</v>
      </c>
      <c r="Q238" s="22">
        <v>17100</v>
      </c>
      <c r="R238">
        <v>3</v>
      </c>
      <c r="S238" s="1">
        <v>0</v>
      </c>
      <c r="T238">
        <v>0</v>
      </c>
      <c r="U238">
        <v>0</v>
      </c>
      <c r="V238" s="21">
        <v>8550</v>
      </c>
      <c r="W238">
        <v>9</v>
      </c>
      <c r="X238">
        <v>0</v>
      </c>
      <c r="Y238">
        <v>0</v>
      </c>
      <c r="Z238">
        <v>0</v>
      </c>
      <c r="AA238">
        <v>10</v>
      </c>
      <c r="AJ238" s="1"/>
      <c r="AL238" s="3"/>
      <c r="AM238" s="1"/>
    </row>
    <row r="239" spans="1:39" ht="14.25" x14ac:dyDescent="0.2">
      <c r="A239" s="11">
        <v>1006</v>
      </c>
      <c r="B239" t="s">
        <v>181</v>
      </c>
      <c r="C239" t="s">
        <v>121</v>
      </c>
      <c r="D239" t="s">
        <v>121</v>
      </c>
      <c r="E239" t="s">
        <v>121</v>
      </c>
      <c r="F239" s="6" t="s">
        <v>534</v>
      </c>
      <c r="H239">
        <v>2</v>
      </c>
      <c r="I239" s="1">
        <v>0</v>
      </c>
      <c r="J239">
        <v>0</v>
      </c>
      <c r="K239">
        <v>0</v>
      </c>
      <c r="L239" s="20">
        <v>5800</v>
      </c>
      <c r="M239">
        <v>1</v>
      </c>
      <c r="N239">
        <v>0</v>
      </c>
      <c r="O239">
        <v>0</v>
      </c>
      <c r="P239">
        <v>0</v>
      </c>
      <c r="Q239" s="22">
        <v>17100</v>
      </c>
      <c r="R239">
        <v>3</v>
      </c>
      <c r="S239" s="1">
        <v>0</v>
      </c>
      <c r="T239">
        <v>0</v>
      </c>
      <c r="U239">
        <v>0</v>
      </c>
      <c r="V239" s="21">
        <v>8550</v>
      </c>
      <c r="W239">
        <v>30</v>
      </c>
      <c r="X239">
        <v>0</v>
      </c>
      <c r="Y239">
        <v>0</v>
      </c>
      <c r="Z239">
        <v>0</v>
      </c>
      <c r="AA239">
        <v>10</v>
      </c>
      <c r="AJ239" s="1"/>
      <c r="AL239" s="3"/>
      <c r="AM239" s="1"/>
    </row>
    <row r="240" spans="1:39" ht="14.25" x14ac:dyDescent="0.2">
      <c r="A240" s="11">
        <v>1007</v>
      </c>
      <c r="B240" t="s">
        <v>122</v>
      </c>
      <c r="C240" t="s">
        <v>121</v>
      </c>
      <c r="D240" t="s">
        <v>121</v>
      </c>
      <c r="E240" t="s">
        <v>121</v>
      </c>
      <c r="F240" s="6" t="s">
        <v>534</v>
      </c>
      <c r="H240">
        <v>2</v>
      </c>
      <c r="I240" s="1">
        <v>0</v>
      </c>
      <c r="J240">
        <v>0</v>
      </c>
      <c r="K240">
        <v>0</v>
      </c>
      <c r="L240" s="20">
        <v>5800</v>
      </c>
      <c r="M240">
        <v>1</v>
      </c>
      <c r="N240">
        <v>0</v>
      </c>
      <c r="O240">
        <v>0</v>
      </c>
      <c r="P240">
        <v>0</v>
      </c>
      <c r="Q240" s="22">
        <v>17100</v>
      </c>
      <c r="R240">
        <v>3</v>
      </c>
      <c r="S240" s="1">
        <v>0</v>
      </c>
      <c r="T240">
        <v>0</v>
      </c>
      <c r="U240">
        <v>0</v>
      </c>
      <c r="V240" s="21">
        <v>8550</v>
      </c>
      <c r="W240">
        <v>4</v>
      </c>
      <c r="X240">
        <v>0</v>
      </c>
      <c r="Y240">
        <v>0</v>
      </c>
      <c r="Z240">
        <v>0</v>
      </c>
      <c r="AA240">
        <v>10</v>
      </c>
      <c r="AJ240" s="1"/>
      <c r="AL240" s="3"/>
      <c r="AM240" s="1"/>
    </row>
    <row r="241" spans="1:39" ht="14.25" x14ac:dyDescent="0.2">
      <c r="A241" s="11">
        <v>1008</v>
      </c>
      <c r="B241" t="s">
        <v>178</v>
      </c>
      <c r="C241" t="s">
        <v>121</v>
      </c>
      <c r="D241" t="s">
        <v>121</v>
      </c>
      <c r="E241" t="s">
        <v>121</v>
      </c>
      <c r="F241" s="6" t="s">
        <v>536</v>
      </c>
      <c r="H241">
        <v>2</v>
      </c>
      <c r="I241" s="1">
        <v>0</v>
      </c>
      <c r="J241">
        <v>0</v>
      </c>
      <c r="K241">
        <v>0</v>
      </c>
      <c r="L241" s="20">
        <v>5800</v>
      </c>
      <c r="M241">
        <v>1</v>
      </c>
      <c r="N241">
        <v>0</v>
      </c>
      <c r="O241">
        <v>0</v>
      </c>
      <c r="P241">
        <v>0</v>
      </c>
      <c r="Q241" s="22">
        <v>17400</v>
      </c>
      <c r="R241">
        <v>3</v>
      </c>
      <c r="S241" s="1">
        <v>0</v>
      </c>
      <c r="T241">
        <v>0</v>
      </c>
      <c r="U241">
        <v>0</v>
      </c>
      <c r="V241" s="21">
        <v>8700</v>
      </c>
      <c r="W241">
        <v>21</v>
      </c>
      <c r="X241">
        <v>0</v>
      </c>
      <c r="Y241">
        <v>0</v>
      </c>
      <c r="Z241">
        <v>0</v>
      </c>
      <c r="AA241">
        <v>1</v>
      </c>
      <c r="AJ241" s="1"/>
      <c r="AL241" s="3"/>
      <c r="AM241" s="1"/>
    </row>
    <row r="242" spans="1:39" ht="14.25" x14ac:dyDescent="0.2">
      <c r="A242" s="11">
        <v>1009</v>
      </c>
      <c r="B242" t="s">
        <v>130</v>
      </c>
      <c r="C242" t="s">
        <v>121</v>
      </c>
      <c r="D242" t="s">
        <v>121</v>
      </c>
      <c r="E242" t="s">
        <v>121</v>
      </c>
      <c r="F242" s="6" t="s">
        <v>538</v>
      </c>
      <c r="H242">
        <v>2</v>
      </c>
      <c r="I242" s="1">
        <v>0</v>
      </c>
      <c r="J242">
        <v>0</v>
      </c>
      <c r="K242">
        <v>0</v>
      </c>
      <c r="L242" s="20">
        <v>5800</v>
      </c>
      <c r="M242">
        <v>1</v>
      </c>
      <c r="N242">
        <v>0</v>
      </c>
      <c r="O242">
        <v>0</v>
      </c>
      <c r="P242">
        <v>0</v>
      </c>
      <c r="Q242" s="22">
        <v>17400</v>
      </c>
      <c r="R242">
        <v>3</v>
      </c>
      <c r="S242" s="1">
        <v>0</v>
      </c>
      <c r="T242">
        <v>0</v>
      </c>
      <c r="U242">
        <v>0</v>
      </c>
      <c r="V242" s="21">
        <v>8700</v>
      </c>
      <c r="W242">
        <v>9</v>
      </c>
      <c r="X242">
        <v>0</v>
      </c>
      <c r="Y242">
        <v>0</v>
      </c>
      <c r="Z242">
        <v>0</v>
      </c>
      <c r="AA242">
        <v>10</v>
      </c>
      <c r="AJ242" s="1"/>
      <c r="AL242" s="3"/>
      <c r="AM242" s="1"/>
    </row>
    <row r="243" spans="1:39" ht="14.25" x14ac:dyDescent="0.2">
      <c r="A243" s="11">
        <v>1010</v>
      </c>
      <c r="B243" t="s">
        <v>123</v>
      </c>
      <c r="C243" t="s">
        <v>121</v>
      </c>
      <c r="D243" t="s">
        <v>121</v>
      </c>
      <c r="E243" t="s">
        <v>121</v>
      </c>
      <c r="F243" s="6" t="s">
        <v>538</v>
      </c>
      <c r="H243">
        <v>2</v>
      </c>
      <c r="I243" s="1">
        <v>0</v>
      </c>
      <c r="J243">
        <v>0</v>
      </c>
      <c r="K243">
        <v>0</v>
      </c>
      <c r="L243" s="20">
        <v>5800</v>
      </c>
      <c r="M243">
        <v>1</v>
      </c>
      <c r="N243">
        <v>0</v>
      </c>
      <c r="O243">
        <v>0</v>
      </c>
      <c r="P243">
        <v>0</v>
      </c>
      <c r="Q243" s="22">
        <v>17400</v>
      </c>
      <c r="R243">
        <v>3</v>
      </c>
      <c r="S243" s="1">
        <v>0</v>
      </c>
      <c r="T243">
        <v>0</v>
      </c>
      <c r="U243">
        <v>0</v>
      </c>
      <c r="V243" s="21">
        <v>8700</v>
      </c>
      <c r="W243">
        <v>12</v>
      </c>
      <c r="X243">
        <v>0</v>
      </c>
      <c r="Y243">
        <v>0</v>
      </c>
      <c r="Z243">
        <v>0</v>
      </c>
      <c r="AA243">
        <v>10</v>
      </c>
      <c r="AJ243" s="1"/>
      <c r="AL243" s="3"/>
      <c r="AM243" s="1"/>
    </row>
    <row r="244" spans="1:39" ht="14.25" x14ac:dyDescent="0.2">
      <c r="A244" s="11">
        <v>1011</v>
      </c>
      <c r="B244" t="s">
        <v>126</v>
      </c>
      <c r="C244" t="s">
        <v>121</v>
      </c>
      <c r="D244" t="s">
        <v>121</v>
      </c>
      <c r="E244" t="s">
        <v>121</v>
      </c>
      <c r="F244" s="6" t="s">
        <v>540</v>
      </c>
      <c r="H244">
        <v>2</v>
      </c>
      <c r="I244" s="1">
        <v>0</v>
      </c>
      <c r="J244">
        <v>0</v>
      </c>
      <c r="K244">
        <v>0</v>
      </c>
      <c r="L244" s="20">
        <v>5900</v>
      </c>
      <c r="M244">
        <v>1</v>
      </c>
      <c r="N244">
        <v>0</v>
      </c>
      <c r="O244">
        <v>0</v>
      </c>
      <c r="P244">
        <v>0</v>
      </c>
      <c r="Q244" s="22">
        <v>17400</v>
      </c>
      <c r="R244">
        <v>3</v>
      </c>
      <c r="S244" s="1">
        <v>0</v>
      </c>
      <c r="T244">
        <v>0</v>
      </c>
      <c r="U244">
        <v>0</v>
      </c>
      <c r="V244" s="21">
        <v>8700</v>
      </c>
      <c r="W244">
        <v>23</v>
      </c>
      <c r="X244">
        <v>0</v>
      </c>
      <c r="Y244">
        <v>0</v>
      </c>
      <c r="Z244">
        <v>0</v>
      </c>
      <c r="AA244">
        <v>1</v>
      </c>
      <c r="AJ244" s="1"/>
      <c r="AL244" s="3"/>
      <c r="AM244" s="1"/>
    </row>
    <row r="245" spans="1:39" ht="14.25" x14ac:dyDescent="0.2">
      <c r="A245" s="11">
        <v>1012</v>
      </c>
      <c r="B245" t="s">
        <v>131</v>
      </c>
      <c r="C245" t="s">
        <v>125</v>
      </c>
      <c r="D245" t="s">
        <v>121</v>
      </c>
      <c r="E245" t="s">
        <v>136</v>
      </c>
      <c r="F245" s="6" t="s">
        <v>542</v>
      </c>
      <c r="H245">
        <v>2</v>
      </c>
      <c r="I245" s="1">
        <v>0</v>
      </c>
      <c r="J245">
        <v>0</v>
      </c>
      <c r="K245">
        <v>0</v>
      </c>
      <c r="L245" s="20">
        <v>5900</v>
      </c>
      <c r="M245">
        <v>1</v>
      </c>
      <c r="N245">
        <v>0</v>
      </c>
      <c r="O245">
        <v>0</v>
      </c>
      <c r="P245">
        <v>0</v>
      </c>
      <c r="Q245" s="22">
        <v>17400</v>
      </c>
      <c r="R245">
        <v>3</v>
      </c>
      <c r="S245" s="1">
        <v>0</v>
      </c>
      <c r="T245">
        <v>0</v>
      </c>
      <c r="U245">
        <v>0</v>
      </c>
      <c r="V245" s="21">
        <v>8700</v>
      </c>
      <c r="W245">
        <v>6</v>
      </c>
      <c r="X245">
        <v>1</v>
      </c>
      <c r="Y245">
        <v>0</v>
      </c>
      <c r="Z245">
        <v>3</v>
      </c>
      <c r="AA245">
        <v>10</v>
      </c>
      <c r="AJ245" s="1"/>
      <c r="AL245" s="3"/>
      <c r="AM245" s="1"/>
    </row>
    <row r="246" spans="1:39" ht="14.25" x14ac:dyDescent="0.2">
      <c r="A246" s="11">
        <v>1013</v>
      </c>
      <c r="B246" t="s">
        <v>180</v>
      </c>
      <c r="C246" t="s">
        <v>121</v>
      </c>
      <c r="D246" t="s">
        <v>121</v>
      </c>
      <c r="E246" t="s">
        <v>121</v>
      </c>
      <c r="F246" s="6" t="s">
        <v>544</v>
      </c>
      <c r="H246">
        <v>2</v>
      </c>
      <c r="I246" s="1">
        <v>0</v>
      </c>
      <c r="J246">
        <v>0</v>
      </c>
      <c r="K246">
        <v>0</v>
      </c>
      <c r="L246" s="20">
        <v>5900</v>
      </c>
      <c r="M246">
        <v>1</v>
      </c>
      <c r="N246">
        <v>0</v>
      </c>
      <c r="O246">
        <v>0</v>
      </c>
      <c r="P246">
        <v>0</v>
      </c>
      <c r="Q246" s="22">
        <v>17700</v>
      </c>
      <c r="R246">
        <v>3</v>
      </c>
      <c r="S246" s="1">
        <v>0</v>
      </c>
      <c r="T246">
        <v>0</v>
      </c>
      <c r="U246">
        <v>0</v>
      </c>
      <c r="V246" s="21">
        <v>8850</v>
      </c>
      <c r="W246">
        <v>15</v>
      </c>
      <c r="X246">
        <v>0</v>
      </c>
      <c r="Y246">
        <v>0</v>
      </c>
      <c r="Z246">
        <v>0</v>
      </c>
      <c r="AA246">
        <v>1</v>
      </c>
      <c r="AJ246" s="1"/>
      <c r="AL246" s="3"/>
      <c r="AM246" s="1"/>
    </row>
    <row r="247" spans="1:39" ht="14.25" x14ac:dyDescent="0.2">
      <c r="A247" s="11">
        <v>1014</v>
      </c>
      <c r="B247" t="s">
        <v>178</v>
      </c>
      <c r="C247" t="s">
        <v>121</v>
      </c>
      <c r="D247" t="s">
        <v>121</v>
      </c>
      <c r="E247" t="s">
        <v>121</v>
      </c>
      <c r="F247" s="6" t="s">
        <v>544</v>
      </c>
      <c r="H247">
        <v>2</v>
      </c>
      <c r="I247" s="1">
        <v>0</v>
      </c>
      <c r="J247">
        <v>0</v>
      </c>
      <c r="K247">
        <v>0</v>
      </c>
      <c r="L247" s="20">
        <v>5900</v>
      </c>
      <c r="M247">
        <v>1</v>
      </c>
      <c r="N247">
        <v>0</v>
      </c>
      <c r="O247">
        <v>0</v>
      </c>
      <c r="P247">
        <v>0</v>
      </c>
      <c r="Q247" s="22">
        <v>17700</v>
      </c>
      <c r="R247">
        <v>3</v>
      </c>
      <c r="S247" s="1">
        <v>0</v>
      </c>
      <c r="T247">
        <v>0</v>
      </c>
      <c r="U247">
        <v>0</v>
      </c>
      <c r="V247" s="21">
        <v>8850</v>
      </c>
      <c r="W247">
        <v>21</v>
      </c>
      <c r="X247">
        <v>0</v>
      </c>
      <c r="Y247">
        <v>0</v>
      </c>
      <c r="Z247">
        <v>0</v>
      </c>
      <c r="AA247">
        <v>1</v>
      </c>
      <c r="AJ247" s="1"/>
      <c r="AL247" s="3"/>
      <c r="AM247" s="1"/>
    </row>
    <row r="248" spans="1:39" ht="14.25" x14ac:dyDescent="0.2">
      <c r="A248" s="11">
        <v>1015</v>
      </c>
      <c r="B248" t="s">
        <v>130</v>
      </c>
      <c r="C248" t="s">
        <v>121</v>
      </c>
      <c r="D248" t="s">
        <v>121</v>
      </c>
      <c r="E248" t="s">
        <v>121</v>
      </c>
      <c r="F248" s="6" t="s">
        <v>546</v>
      </c>
      <c r="H248">
        <v>2</v>
      </c>
      <c r="I248" s="1">
        <v>0</v>
      </c>
      <c r="J248">
        <v>0</v>
      </c>
      <c r="K248">
        <v>0</v>
      </c>
      <c r="L248" s="20">
        <v>5900</v>
      </c>
      <c r="M248">
        <v>1</v>
      </c>
      <c r="N248">
        <v>0</v>
      </c>
      <c r="O248">
        <v>0</v>
      </c>
      <c r="P248">
        <v>0</v>
      </c>
      <c r="Q248" s="22">
        <v>17700</v>
      </c>
      <c r="R248">
        <v>3</v>
      </c>
      <c r="S248" s="1">
        <v>0</v>
      </c>
      <c r="T248">
        <v>0</v>
      </c>
      <c r="U248">
        <v>0</v>
      </c>
      <c r="V248" s="21">
        <v>8850</v>
      </c>
      <c r="W248">
        <v>9</v>
      </c>
      <c r="X248">
        <v>0</v>
      </c>
      <c r="Y248">
        <v>0</v>
      </c>
      <c r="Z248">
        <v>0</v>
      </c>
      <c r="AA248">
        <v>10</v>
      </c>
      <c r="AJ248" s="1"/>
      <c r="AL248" s="3"/>
      <c r="AM248" s="1"/>
    </row>
    <row r="249" spans="1:39" ht="14.25" x14ac:dyDescent="0.2">
      <c r="A249" s="11">
        <v>1016</v>
      </c>
      <c r="B249" t="s">
        <v>181</v>
      </c>
      <c r="C249" t="s">
        <v>121</v>
      </c>
      <c r="D249" t="s">
        <v>121</v>
      </c>
      <c r="E249" t="s">
        <v>121</v>
      </c>
      <c r="F249" s="6" t="s">
        <v>548</v>
      </c>
      <c r="H249">
        <v>2</v>
      </c>
      <c r="I249" s="1">
        <v>0</v>
      </c>
      <c r="J249">
        <v>0</v>
      </c>
      <c r="K249">
        <v>0</v>
      </c>
      <c r="L249" s="20">
        <v>6000</v>
      </c>
      <c r="M249">
        <v>1</v>
      </c>
      <c r="N249">
        <v>0</v>
      </c>
      <c r="O249">
        <v>0</v>
      </c>
      <c r="P249">
        <v>0</v>
      </c>
      <c r="Q249" s="22">
        <v>17700</v>
      </c>
      <c r="R249">
        <v>3</v>
      </c>
      <c r="S249" s="1">
        <v>0</v>
      </c>
      <c r="T249">
        <v>0</v>
      </c>
      <c r="U249">
        <v>0</v>
      </c>
      <c r="V249" s="21">
        <v>8850</v>
      </c>
      <c r="W249">
        <v>30</v>
      </c>
      <c r="X249">
        <v>0</v>
      </c>
      <c r="Y249">
        <v>0</v>
      </c>
      <c r="Z249">
        <v>0</v>
      </c>
      <c r="AA249">
        <v>10</v>
      </c>
      <c r="AJ249" s="1"/>
      <c r="AL249" s="3"/>
      <c r="AM249" s="1"/>
    </row>
    <row r="250" spans="1:39" ht="14.25" x14ac:dyDescent="0.2">
      <c r="A250" s="11">
        <v>1017</v>
      </c>
      <c r="B250" t="s">
        <v>122</v>
      </c>
      <c r="C250" t="s">
        <v>121</v>
      </c>
      <c r="D250" t="s">
        <v>121</v>
      </c>
      <c r="E250" t="s">
        <v>121</v>
      </c>
      <c r="F250" s="6" t="s">
        <v>548</v>
      </c>
      <c r="H250">
        <v>2</v>
      </c>
      <c r="I250" s="1">
        <v>0</v>
      </c>
      <c r="J250">
        <v>0</v>
      </c>
      <c r="K250">
        <v>0</v>
      </c>
      <c r="L250" s="20">
        <v>6000</v>
      </c>
      <c r="M250">
        <v>1</v>
      </c>
      <c r="N250">
        <v>0</v>
      </c>
      <c r="O250">
        <v>0</v>
      </c>
      <c r="P250">
        <v>0</v>
      </c>
      <c r="Q250" s="22">
        <v>17700</v>
      </c>
      <c r="R250">
        <v>3</v>
      </c>
      <c r="S250" s="1">
        <v>0</v>
      </c>
      <c r="T250">
        <v>0</v>
      </c>
      <c r="U250">
        <v>0</v>
      </c>
      <c r="V250" s="21">
        <v>8850</v>
      </c>
      <c r="W250">
        <v>4</v>
      </c>
      <c r="X250">
        <v>0</v>
      </c>
      <c r="Y250">
        <v>0</v>
      </c>
      <c r="Z250">
        <v>0</v>
      </c>
      <c r="AA250">
        <v>10</v>
      </c>
      <c r="AJ250" s="1"/>
      <c r="AL250" s="3"/>
      <c r="AM250" s="1"/>
    </row>
    <row r="251" spans="1:39" ht="14.25" x14ac:dyDescent="0.2">
      <c r="A251" s="11">
        <v>1018</v>
      </c>
      <c r="B251" t="s">
        <v>178</v>
      </c>
      <c r="C251" t="s">
        <v>121</v>
      </c>
      <c r="D251" t="s">
        <v>121</v>
      </c>
      <c r="E251" t="s">
        <v>121</v>
      </c>
      <c r="F251" s="6" t="s">
        <v>550</v>
      </c>
      <c r="H251">
        <v>2</v>
      </c>
      <c r="I251" s="1">
        <v>0</v>
      </c>
      <c r="J251">
        <v>0</v>
      </c>
      <c r="K251">
        <v>0</v>
      </c>
      <c r="L251" s="20">
        <v>6000</v>
      </c>
      <c r="M251">
        <v>1</v>
      </c>
      <c r="N251">
        <v>0</v>
      </c>
      <c r="O251">
        <v>0</v>
      </c>
      <c r="P251">
        <v>0</v>
      </c>
      <c r="Q251" s="22">
        <v>18000</v>
      </c>
      <c r="R251">
        <v>3</v>
      </c>
      <c r="S251" s="1">
        <v>0</v>
      </c>
      <c r="T251">
        <v>0</v>
      </c>
      <c r="U251">
        <v>0</v>
      </c>
      <c r="V251" s="21">
        <v>9000</v>
      </c>
      <c r="W251">
        <v>21</v>
      </c>
      <c r="X251">
        <v>0</v>
      </c>
      <c r="Y251">
        <v>0</v>
      </c>
      <c r="Z251">
        <v>0</v>
      </c>
      <c r="AA251">
        <v>1</v>
      </c>
      <c r="AJ251" s="1"/>
      <c r="AL251" s="3"/>
      <c r="AM251" s="1"/>
    </row>
    <row r="252" spans="1:39" ht="14.25" x14ac:dyDescent="0.2">
      <c r="A252" s="11">
        <v>1019</v>
      </c>
      <c r="B252" t="s">
        <v>130</v>
      </c>
      <c r="C252" t="s">
        <v>121</v>
      </c>
      <c r="D252" t="s">
        <v>121</v>
      </c>
      <c r="E252" t="s">
        <v>121</v>
      </c>
      <c r="F252" s="6" t="s">
        <v>552</v>
      </c>
      <c r="H252">
        <v>2</v>
      </c>
      <c r="I252" s="1">
        <v>0</v>
      </c>
      <c r="J252">
        <v>0</v>
      </c>
      <c r="K252">
        <v>0</v>
      </c>
      <c r="L252" s="20">
        <v>6000</v>
      </c>
      <c r="M252">
        <v>1</v>
      </c>
      <c r="N252">
        <v>0</v>
      </c>
      <c r="O252">
        <v>0</v>
      </c>
      <c r="P252">
        <v>0</v>
      </c>
      <c r="Q252" s="22">
        <v>18000</v>
      </c>
      <c r="R252">
        <v>3</v>
      </c>
      <c r="S252" s="1">
        <v>0</v>
      </c>
      <c r="T252">
        <v>0</v>
      </c>
      <c r="U252">
        <v>0</v>
      </c>
      <c r="V252" s="21">
        <v>9000</v>
      </c>
      <c r="W252">
        <v>9</v>
      </c>
      <c r="X252">
        <v>0</v>
      </c>
      <c r="Y252">
        <v>0</v>
      </c>
      <c r="Z252">
        <v>0</v>
      </c>
      <c r="AA252">
        <v>10</v>
      </c>
      <c r="AJ252" s="1"/>
      <c r="AL252" s="3"/>
      <c r="AM252" s="1"/>
    </row>
    <row r="253" spans="1:39" ht="14.25" x14ac:dyDescent="0.2">
      <c r="A253" s="11">
        <v>1020</v>
      </c>
      <c r="B253" t="s">
        <v>123</v>
      </c>
      <c r="C253" t="s">
        <v>121</v>
      </c>
      <c r="D253" t="s">
        <v>121</v>
      </c>
      <c r="E253" t="s">
        <v>121</v>
      </c>
      <c r="F253" s="6" t="s">
        <v>552</v>
      </c>
      <c r="H253">
        <v>2</v>
      </c>
      <c r="I253" s="1">
        <v>0</v>
      </c>
      <c r="J253">
        <v>0</v>
      </c>
      <c r="K253">
        <v>0</v>
      </c>
      <c r="L253" s="20">
        <v>6000</v>
      </c>
      <c r="M253">
        <v>1</v>
      </c>
      <c r="N253">
        <v>0</v>
      </c>
      <c r="O253">
        <v>0</v>
      </c>
      <c r="P253">
        <v>0</v>
      </c>
      <c r="Q253" s="22">
        <v>18000</v>
      </c>
      <c r="R253">
        <v>3</v>
      </c>
      <c r="S253" s="1">
        <v>0</v>
      </c>
      <c r="T253">
        <v>0</v>
      </c>
      <c r="U253">
        <v>0</v>
      </c>
      <c r="V253" s="21">
        <v>9000</v>
      </c>
      <c r="W253">
        <v>12</v>
      </c>
      <c r="X253">
        <v>0</v>
      </c>
      <c r="Y253">
        <v>0</v>
      </c>
      <c r="Z253">
        <v>0</v>
      </c>
      <c r="AA253">
        <v>10</v>
      </c>
      <c r="AJ253" s="1"/>
      <c r="AL253" s="3"/>
      <c r="AM253" s="1"/>
    </row>
    <row r="254" spans="1:39" ht="14.25" x14ac:dyDescent="0.2">
      <c r="A254" s="11">
        <v>1021</v>
      </c>
      <c r="B254" t="s">
        <v>126</v>
      </c>
      <c r="C254" t="s">
        <v>121</v>
      </c>
      <c r="D254" t="s">
        <v>121</v>
      </c>
      <c r="E254" t="s">
        <v>121</v>
      </c>
      <c r="F254" s="6" t="s">
        <v>554</v>
      </c>
      <c r="H254">
        <v>2</v>
      </c>
      <c r="I254" s="1">
        <v>0</v>
      </c>
      <c r="J254">
        <v>0</v>
      </c>
      <c r="K254">
        <v>0</v>
      </c>
      <c r="L254" s="20">
        <v>6100</v>
      </c>
      <c r="M254">
        <v>1</v>
      </c>
      <c r="N254">
        <v>0</v>
      </c>
      <c r="O254">
        <v>0</v>
      </c>
      <c r="P254">
        <v>0</v>
      </c>
      <c r="Q254" s="22">
        <v>18000</v>
      </c>
      <c r="R254">
        <v>3</v>
      </c>
      <c r="S254" s="1">
        <v>0</v>
      </c>
      <c r="T254">
        <v>0</v>
      </c>
      <c r="U254">
        <v>0</v>
      </c>
      <c r="V254" s="21">
        <v>9000</v>
      </c>
      <c r="W254">
        <v>23</v>
      </c>
      <c r="X254">
        <v>0</v>
      </c>
      <c r="Y254">
        <v>0</v>
      </c>
      <c r="Z254">
        <v>0</v>
      </c>
      <c r="AA254">
        <v>1</v>
      </c>
      <c r="AJ254" s="1"/>
      <c r="AL254" s="3"/>
      <c r="AM254" s="1"/>
    </row>
    <row r="255" spans="1:39" ht="14.25" x14ac:dyDescent="0.2">
      <c r="A255" s="11">
        <v>1022</v>
      </c>
      <c r="B255" t="s">
        <v>131</v>
      </c>
      <c r="C255" t="s">
        <v>125</v>
      </c>
      <c r="D255" t="s">
        <v>121</v>
      </c>
      <c r="E255" t="s">
        <v>136</v>
      </c>
      <c r="F255" s="6" t="s">
        <v>556</v>
      </c>
      <c r="H255">
        <v>2</v>
      </c>
      <c r="I255" s="1">
        <v>0</v>
      </c>
      <c r="J255">
        <v>0</v>
      </c>
      <c r="K255">
        <v>0</v>
      </c>
      <c r="L255" s="20">
        <v>6100</v>
      </c>
      <c r="M255">
        <v>1</v>
      </c>
      <c r="N255">
        <v>0</v>
      </c>
      <c r="O255">
        <v>0</v>
      </c>
      <c r="P255">
        <v>0</v>
      </c>
      <c r="Q255" s="22">
        <v>18000</v>
      </c>
      <c r="R255">
        <v>3</v>
      </c>
      <c r="S255" s="1">
        <v>0</v>
      </c>
      <c r="T255">
        <v>0</v>
      </c>
      <c r="U255">
        <v>0</v>
      </c>
      <c r="V255" s="21">
        <v>9000</v>
      </c>
      <c r="W255">
        <v>6</v>
      </c>
      <c r="X255">
        <v>1</v>
      </c>
      <c r="Y255">
        <v>0</v>
      </c>
      <c r="Z255">
        <v>3</v>
      </c>
      <c r="AA255">
        <v>10</v>
      </c>
      <c r="AJ255" s="1"/>
      <c r="AL255" s="3"/>
      <c r="AM255" s="1"/>
    </row>
    <row r="256" spans="1:39" ht="14.25" x14ac:dyDescent="0.2">
      <c r="A256" s="11">
        <v>1023</v>
      </c>
      <c r="B256" t="s">
        <v>180</v>
      </c>
      <c r="C256" t="s">
        <v>121</v>
      </c>
      <c r="D256" t="s">
        <v>121</v>
      </c>
      <c r="E256" t="s">
        <v>121</v>
      </c>
      <c r="F256" s="6" t="s">
        <v>558</v>
      </c>
      <c r="H256">
        <v>2</v>
      </c>
      <c r="I256" s="1">
        <v>0</v>
      </c>
      <c r="J256">
        <v>0</v>
      </c>
      <c r="K256">
        <v>0</v>
      </c>
      <c r="L256" s="20">
        <v>6100</v>
      </c>
      <c r="M256">
        <v>1</v>
      </c>
      <c r="N256">
        <v>0</v>
      </c>
      <c r="O256">
        <v>0</v>
      </c>
      <c r="P256">
        <v>0</v>
      </c>
      <c r="Q256" s="22">
        <v>18300</v>
      </c>
      <c r="R256">
        <v>3</v>
      </c>
      <c r="S256" s="1">
        <v>0</v>
      </c>
      <c r="T256">
        <v>0</v>
      </c>
      <c r="U256">
        <v>0</v>
      </c>
      <c r="V256" s="21">
        <v>9150</v>
      </c>
      <c r="W256">
        <v>15</v>
      </c>
      <c r="X256">
        <v>0</v>
      </c>
      <c r="Y256">
        <v>0</v>
      </c>
      <c r="Z256">
        <v>0</v>
      </c>
      <c r="AA256">
        <v>1</v>
      </c>
      <c r="AJ256" s="1"/>
      <c r="AL256" s="3"/>
      <c r="AM256" s="1"/>
    </row>
    <row r="257" spans="1:39" ht="14.25" x14ac:dyDescent="0.2">
      <c r="A257" s="11">
        <v>1024</v>
      </c>
      <c r="B257" t="s">
        <v>178</v>
      </c>
      <c r="C257" t="s">
        <v>121</v>
      </c>
      <c r="D257" t="s">
        <v>121</v>
      </c>
      <c r="E257" t="s">
        <v>121</v>
      </c>
      <c r="F257" s="6" t="s">
        <v>558</v>
      </c>
      <c r="H257">
        <v>2</v>
      </c>
      <c r="I257" s="1">
        <v>0</v>
      </c>
      <c r="J257">
        <v>0</v>
      </c>
      <c r="K257">
        <v>0</v>
      </c>
      <c r="L257" s="20">
        <v>6100</v>
      </c>
      <c r="M257">
        <v>1</v>
      </c>
      <c r="N257">
        <v>0</v>
      </c>
      <c r="O257">
        <v>0</v>
      </c>
      <c r="P257">
        <v>0</v>
      </c>
      <c r="Q257" s="22">
        <v>18300</v>
      </c>
      <c r="R257">
        <v>3</v>
      </c>
      <c r="S257" s="1">
        <v>0</v>
      </c>
      <c r="T257">
        <v>0</v>
      </c>
      <c r="U257">
        <v>0</v>
      </c>
      <c r="V257" s="21">
        <v>9150</v>
      </c>
      <c r="W257">
        <v>21</v>
      </c>
      <c r="X257">
        <v>0</v>
      </c>
      <c r="Y257">
        <v>0</v>
      </c>
      <c r="Z257">
        <v>0</v>
      </c>
      <c r="AA257">
        <v>1</v>
      </c>
      <c r="AJ257" s="1"/>
      <c r="AL257" s="3"/>
      <c r="AM257" s="1"/>
    </row>
    <row r="258" spans="1:39" ht="14.25" x14ac:dyDescent="0.2">
      <c r="A258" s="11">
        <v>1025</v>
      </c>
      <c r="B258" t="s">
        <v>130</v>
      </c>
      <c r="C258" t="s">
        <v>121</v>
      </c>
      <c r="D258" t="s">
        <v>121</v>
      </c>
      <c r="E258" t="s">
        <v>121</v>
      </c>
      <c r="F258" s="6" t="s">
        <v>560</v>
      </c>
      <c r="H258">
        <v>2</v>
      </c>
      <c r="I258" s="1">
        <v>0</v>
      </c>
      <c r="J258">
        <v>0</v>
      </c>
      <c r="K258">
        <v>0</v>
      </c>
      <c r="L258" s="20">
        <v>6100</v>
      </c>
      <c r="M258">
        <v>1</v>
      </c>
      <c r="N258">
        <v>0</v>
      </c>
      <c r="O258">
        <v>0</v>
      </c>
      <c r="P258">
        <v>0</v>
      </c>
      <c r="Q258" s="22">
        <v>18300</v>
      </c>
      <c r="R258">
        <v>3</v>
      </c>
      <c r="S258" s="1">
        <v>0</v>
      </c>
      <c r="T258">
        <v>0</v>
      </c>
      <c r="U258">
        <v>0</v>
      </c>
      <c r="V258" s="21">
        <v>9150</v>
      </c>
      <c r="W258">
        <v>9</v>
      </c>
      <c r="X258">
        <v>0</v>
      </c>
      <c r="Y258">
        <v>0</v>
      </c>
      <c r="Z258">
        <v>0</v>
      </c>
      <c r="AA258">
        <v>10</v>
      </c>
      <c r="AJ258" s="1"/>
      <c r="AL258" s="3"/>
      <c r="AM258" s="1"/>
    </row>
    <row r="259" spans="1:39" ht="14.25" x14ac:dyDescent="0.2">
      <c r="A259" s="11">
        <v>1026</v>
      </c>
      <c r="B259" t="s">
        <v>181</v>
      </c>
      <c r="C259" t="s">
        <v>121</v>
      </c>
      <c r="D259" t="s">
        <v>121</v>
      </c>
      <c r="E259" t="s">
        <v>121</v>
      </c>
      <c r="F259" s="6" t="s">
        <v>562</v>
      </c>
      <c r="H259">
        <v>2</v>
      </c>
      <c r="I259" s="1">
        <v>0</v>
      </c>
      <c r="J259">
        <v>0</v>
      </c>
      <c r="K259">
        <v>0</v>
      </c>
      <c r="L259" s="20">
        <v>6200</v>
      </c>
      <c r="M259">
        <v>1</v>
      </c>
      <c r="N259">
        <v>0</v>
      </c>
      <c r="O259">
        <v>0</v>
      </c>
      <c r="P259">
        <v>0</v>
      </c>
      <c r="Q259" s="22">
        <v>18300</v>
      </c>
      <c r="R259">
        <v>3</v>
      </c>
      <c r="S259" s="1">
        <v>0</v>
      </c>
      <c r="T259">
        <v>0</v>
      </c>
      <c r="U259">
        <v>0</v>
      </c>
      <c r="V259" s="21">
        <v>9150</v>
      </c>
      <c r="W259">
        <v>30</v>
      </c>
      <c r="X259">
        <v>0</v>
      </c>
      <c r="Y259">
        <v>0</v>
      </c>
      <c r="Z259">
        <v>0</v>
      </c>
      <c r="AA259">
        <v>10</v>
      </c>
      <c r="AJ259" s="1"/>
      <c r="AL259" s="3"/>
      <c r="AM259" s="1"/>
    </row>
    <row r="260" spans="1:39" ht="14.25" x14ac:dyDescent="0.2">
      <c r="A260" s="11">
        <v>1027</v>
      </c>
      <c r="B260" t="s">
        <v>122</v>
      </c>
      <c r="C260" t="s">
        <v>121</v>
      </c>
      <c r="D260" t="s">
        <v>121</v>
      </c>
      <c r="E260" t="s">
        <v>121</v>
      </c>
      <c r="F260" s="6" t="s">
        <v>562</v>
      </c>
      <c r="H260">
        <v>2</v>
      </c>
      <c r="I260" s="1">
        <v>0</v>
      </c>
      <c r="J260">
        <v>0</v>
      </c>
      <c r="K260">
        <v>0</v>
      </c>
      <c r="L260" s="20">
        <v>6200</v>
      </c>
      <c r="M260">
        <v>1</v>
      </c>
      <c r="N260">
        <v>0</v>
      </c>
      <c r="O260">
        <v>0</v>
      </c>
      <c r="P260">
        <v>0</v>
      </c>
      <c r="Q260" s="22">
        <v>18300</v>
      </c>
      <c r="R260">
        <v>3</v>
      </c>
      <c r="S260" s="1">
        <v>0</v>
      </c>
      <c r="T260">
        <v>0</v>
      </c>
      <c r="U260">
        <v>0</v>
      </c>
      <c r="V260" s="21">
        <v>9150</v>
      </c>
      <c r="W260">
        <v>4</v>
      </c>
      <c r="X260">
        <v>0</v>
      </c>
      <c r="Y260">
        <v>0</v>
      </c>
      <c r="Z260">
        <v>0</v>
      </c>
      <c r="AA260">
        <v>10</v>
      </c>
      <c r="AJ260" s="1"/>
      <c r="AL260" s="3"/>
      <c r="AM260" s="1"/>
    </row>
    <row r="261" spans="1:39" ht="14.25" x14ac:dyDescent="0.2">
      <c r="A261" s="11">
        <v>1028</v>
      </c>
      <c r="B261" t="s">
        <v>178</v>
      </c>
      <c r="C261" t="s">
        <v>121</v>
      </c>
      <c r="D261" t="s">
        <v>121</v>
      </c>
      <c r="E261" t="s">
        <v>121</v>
      </c>
      <c r="F261" s="6" t="s">
        <v>564</v>
      </c>
      <c r="H261">
        <v>2</v>
      </c>
      <c r="I261" s="1">
        <v>0</v>
      </c>
      <c r="J261">
        <v>0</v>
      </c>
      <c r="K261">
        <v>0</v>
      </c>
      <c r="L261" s="20">
        <v>6200</v>
      </c>
      <c r="M261">
        <v>1</v>
      </c>
      <c r="N261">
        <v>0</v>
      </c>
      <c r="O261">
        <v>0</v>
      </c>
      <c r="P261">
        <v>0</v>
      </c>
      <c r="Q261" s="22">
        <v>18600</v>
      </c>
      <c r="R261">
        <v>3</v>
      </c>
      <c r="S261" s="1">
        <v>0</v>
      </c>
      <c r="T261">
        <v>0</v>
      </c>
      <c r="U261">
        <v>0</v>
      </c>
      <c r="V261" s="21">
        <v>9300</v>
      </c>
      <c r="W261">
        <v>21</v>
      </c>
      <c r="X261">
        <v>0</v>
      </c>
      <c r="Y261">
        <v>0</v>
      </c>
      <c r="Z261">
        <v>0</v>
      </c>
      <c r="AA261">
        <v>1</v>
      </c>
      <c r="AJ261" s="1"/>
      <c r="AL261" s="3"/>
      <c r="AM261" s="1"/>
    </row>
    <row r="262" spans="1:39" ht="14.25" x14ac:dyDescent="0.2">
      <c r="A262" s="11">
        <v>1029</v>
      </c>
      <c r="B262" t="s">
        <v>130</v>
      </c>
      <c r="C262" t="s">
        <v>121</v>
      </c>
      <c r="D262" t="s">
        <v>121</v>
      </c>
      <c r="E262" t="s">
        <v>121</v>
      </c>
      <c r="F262" s="6" t="s">
        <v>566</v>
      </c>
      <c r="H262">
        <v>2</v>
      </c>
      <c r="I262" s="1">
        <v>0</v>
      </c>
      <c r="J262">
        <v>0</v>
      </c>
      <c r="K262">
        <v>0</v>
      </c>
      <c r="L262" s="20">
        <v>6200</v>
      </c>
      <c r="M262">
        <v>1</v>
      </c>
      <c r="N262">
        <v>0</v>
      </c>
      <c r="O262">
        <v>0</v>
      </c>
      <c r="P262">
        <v>0</v>
      </c>
      <c r="Q262" s="22">
        <v>18600</v>
      </c>
      <c r="R262">
        <v>3</v>
      </c>
      <c r="S262" s="1">
        <v>0</v>
      </c>
      <c r="T262">
        <v>0</v>
      </c>
      <c r="U262">
        <v>0</v>
      </c>
      <c r="V262" s="21">
        <v>9300</v>
      </c>
      <c r="W262">
        <v>9</v>
      </c>
      <c r="X262">
        <v>0</v>
      </c>
      <c r="Y262">
        <v>0</v>
      </c>
      <c r="Z262">
        <v>0</v>
      </c>
      <c r="AA262">
        <v>10</v>
      </c>
      <c r="AJ262" s="1"/>
      <c r="AL262" s="3"/>
      <c r="AM262" s="1"/>
    </row>
    <row r="263" spans="1:39" ht="14.25" x14ac:dyDescent="0.2">
      <c r="A263" s="11">
        <v>1030</v>
      </c>
      <c r="B263" t="s">
        <v>123</v>
      </c>
      <c r="C263" t="s">
        <v>121</v>
      </c>
      <c r="D263" t="s">
        <v>121</v>
      </c>
      <c r="E263" t="s">
        <v>121</v>
      </c>
      <c r="F263" s="6" t="s">
        <v>566</v>
      </c>
      <c r="H263">
        <v>2</v>
      </c>
      <c r="I263" s="1">
        <v>0</v>
      </c>
      <c r="J263">
        <v>0</v>
      </c>
      <c r="K263">
        <v>0</v>
      </c>
      <c r="L263" s="20">
        <v>6200</v>
      </c>
      <c r="M263">
        <v>1</v>
      </c>
      <c r="N263">
        <v>0</v>
      </c>
      <c r="O263">
        <v>0</v>
      </c>
      <c r="P263">
        <v>0</v>
      </c>
      <c r="Q263" s="22">
        <v>18600</v>
      </c>
      <c r="R263">
        <v>3</v>
      </c>
      <c r="S263" s="1">
        <v>0</v>
      </c>
      <c r="T263">
        <v>0</v>
      </c>
      <c r="U263">
        <v>0</v>
      </c>
      <c r="V263" s="21">
        <v>9300</v>
      </c>
      <c r="W263">
        <v>12</v>
      </c>
      <c r="X263">
        <v>0</v>
      </c>
      <c r="Y263">
        <v>0</v>
      </c>
      <c r="Z263">
        <v>0</v>
      </c>
      <c r="AA263">
        <v>10</v>
      </c>
      <c r="AJ263" s="1"/>
      <c r="AL263" s="3"/>
      <c r="AM263" s="1"/>
    </row>
    <row r="264" spans="1:39" ht="14.25" x14ac:dyDescent="0.2">
      <c r="A264" s="11">
        <v>1031</v>
      </c>
      <c r="B264" t="s">
        <v>126</v>
      </c>
      <c r="C264" t="s">
        <v>121</v>
      </c>
      <c r="D264" t="s">
        <v>121</v>
      </c>
      <c r="E264" t="s">
        <v>121</v>
      </c>
      <c r="F264" s="6" t="s">
        <v>568</v>
      </c>
      <c r="H264">
        <v>2</v>
      </c>
      <c r="I264" s="1">
        <v>0</v>
      </c>
      <c r="J264">
        <v>0</v>
      </c>
      <c r="K264">
        <v>0</v>
      </c>
      <c r="L264" s="20">
        <v>6300</v>
      </c>
      <c r="M264">
        <v>1</v>
      </c>
      <c r="N264">
        <v>0</v>
      </c>
      <c r="O264">
        <v>0</v>
      </c>
      <c r="P264">
        <v>0</v>
      </c>
      <c r="Q264" s="22">
        <v>18600</v>
      </c>
      <c r="R264">
        <v>3</v>
      </c>
      <c r="S264" s="1">
        <v>0</v>
      </c>
      <c r="T264">
        <v>0</v>
      </c>
      <c r="U264">
        <v>0</v>
      </c>
      <c r="V264" s="21">
        <v>9300</v>
      </c>
      <c r="W264">
        <v>23</v>
      </c>
      <c r="X264">
        <v>0</v>
      </c>
      <c r="Y264">
        <v>0</v>
      </c>
      <c r="Z264">
        <v>0</v>
      </c>
      <c r="AA264">
        <v>1</v>
      </c>
      <c r="AJ264" s="1"/>
      <c r="AL264" s="3"/>
      <c r="AM264" s="1"/>
    </row>
    <row r="265" spans="1:39" ht="14.25" x14ac:dyDescent="0.2">
      <c r="A265" s="11">
        <v>1032</v>
      </c>
      <c r="B265" t="s">
        <v>131</v>
      </c>
      <c r="C265" t="s">
        <v>125</v>
      </c>
      <c r="D265" t="s">
        <v>121</v>
      </c>
      <c r="E265" t="s">
        <v>136</v>
      </c>
      <c r="F265" s="6" t="s">
        <v>570</v>
      </c>
      <c r="H265">
        <v>2</v>
      </c>
      <c r="I265" s="1">
        <v>0</v>
      </c>
      <c r="J265">
        <v>0</v>
      </c>
      <c r="K265">
        <v>0</v>
      </c>
      <c r="L265" s="20">
        <v>6300</v>
      </c>
      <c r="M265">
        <v>1</v>
      </c>
      <c r="N265">
        <v>0</v>
      </c>
      <c r="O265">
        <v>0</v>
      </c>
      <c r="P265">
        <v>0</v>
      </c>
      <c r="Q265" s="22">
        <v>18600</v>
      </c>
      <c r="R265">
        <v>3</v>
      </c>
      <c r="S265" s="1">
        <v>0</v>
      </c>
      <c r="T265">
        <v>0</v>
      </c>
      <c r="U265">
        <v>0</v>
      </c>
      <c r="V265" s="21">
        <v>9300</v>
      </c>
      <c r="W265">
        <v>6</v>
      </c>
      <c r="X265">
        <v>1</v>
      </c>
      <c r="Y265">
        <v>0</v>
      </c>
      <c r="Z265">
        <v>3</v>
      </c>
      <c r="AA265">
        <v>10</v>
      </c>
      <c r="AJ265" s="1"/>
      <c r="AL265" s="3"/>
      <c r="AM265" s="1"/>
    </row>
    <row r="266" spans="1:39" ht="14.25" x14ac:dyDescent="0.2">
      <c r="A266" s="11">
        <v>1033</v>
      </c>
      <c r="B266" t="s">
        <v>180</v>
      </c>
      <c r="C266" t="s">
        <v>121</v>
      </c>
      <c r="D266" t="s">
        <v>121</v>
      </c>
      <c r="E266" t="s">
        <v>121</v>
      </c>
      <c r="F266" s="6" t="s">
        <v>572</v>
      </c>
      <c r="H266">
        <v>2</v>
      </c>
      <c r="I266" s="1">
        <v>0</v>
      </c>
      <c r="J266">
        <v>0</v>
      </c>
      <c r="K266">
        <v>0</v>
      </c>
      <c r="L266" s="20">
        <v>6300</v>
      </c>
      <c r="M266">
        <v>1</v>
      </c>
      <c r="N266">
        <v>0</v>
      </c>
      <c r="O266">
        <v>0</v>
      </c>
      <c r="P266">
        <v>0</v>
      </c>
      <c r="Q266" s="22">
        <v>18900</v>
      </c>
      <c r="R266">
        <v>3</v>
      </c>
      <c r="S266" s="1">
        <v>0</v>
      </c>
      <c r="T266">
        <v>0</v>
      </c>
      <c r="U266">
        <v>0</v>
      </c>
      <c r="V266" s="21">
        <v>9450</v>
      </c>
      <c r="W266">
        <v>15</v>
      </c>
      <c r="X266">
        <v>0</v>
      </c>
      <c r="Y266">
        <v>0</v>
      </c>
      <c r="Z266">
        <v>0</v>
      </c>
      <c r="AA266">
        <v>1</v>
      </c>
      <c r="AJ266" s="1"/>
      <c r="AL266" s="3"/>
      <c r="AM266" s="1"/>
    </row>
    <row r="267" spans="1:39" ht="14.25" x14ac:dyDescent="0.2">
      <c r="A267" s="11">
        <v>1034</v>
      </c>
      <c r="B267" t="s">
        <v>178</v>
      </c>
      <c r="C267" t="s">
        <v>121</v>
      </c>
      <c r="D267" t="s">
        <v>121</v>
      </c>
      <c r="E267" t="s">
        <v>121</v>
      </c>
      <c r="F267" s="6" t="s">
        <v>572</v>
      </c>
      <c r="H267">
        <v>2</v>
      </c>
      <c r="I267" s="1">
        <v>0</v>
      </c>
      <c r="J267">
        <v>0</v>
      </c>
      <c r="K267">
        <v>0</v>
      </c>
      <c r="L267" s="20">
        <v>6300</v>
      </c>
      <c r="M267">
        <v>1</v>
      </c>
      <c r="N267">
        <v>0</v>
      </c>
      <c r="O267">
        <v>0</v>
      </c>
      <c r="P267">
        <v>0</v>
      </c>
      <c r="Q267" s="22">
        <v>18900</v>
      </c>
      <c r="R267">
        <v>3</v>
      </c>
      <c r="S267" s="1">
        <v>0</v>
      </c>
      <c r="T267">
        <v>0</v>
      </c>
      <c r="U267">
        <v>0</v>
      </c>
      <c r="V267" s="21">
        <v>9450</v>
      </c>
      <c r="W267">
        <v>21</v>
      </c>
      <c r="X267">
        <v>0</v>
      </c>
      <c r="Y267">
        <v>0</v>
      </c>
      <c r="Z267">
        <v>0</v>
      </c>
      <c r="AA267">
        <v>1</v>
      </c>
      <c r="AL267" s="3"/>
      <c r="AM267" s="1"/>
    </row>
    <row r="268" spans="1:39" ht="14.25" x14ac:dyDescent="0.2">
      <c r="A268" s="11">
        <v>1035</v>
      </c>
      <c r="B268" t="s">
        <v>130</v>
      </c>
      <c r="C268" t="s">
        <v>121</v>
      </c>
      <c r="D268" t="s">
        <v>121</v>
      </c>
      <c r="E268" t="s">
        <v>121</v>
      </c>
      <c r="F268" s="6" t="s">
        <v>574</v>
      </c>
      <c r="H268">
        <v>2</v>
      </c>
      <c r="I268" s="1">
        <v>0</v>
      </c>
      <c r="J268">
        <v>0</v>
      </c>
      <c r="K268">
        <v>0</v>
      </c>
      <c r="L268" s="20">
        <v>6300</v>
      </c>
      <c r="M268">
        <v>1</v>
      </c>
      <c r="N268">
        <v>0</v>
      </c>
      <c r="O268">
        <v>0</v>
      </c>
      <c r="P268">
        <v>0</v>
      </c>
      <c r="Q268" s="22">
        <v>18900</v>
      </c>
      <c r="R268">
        <v>3</v>
      </c>
      <c r="S268" s="1">
        <v>0</v>
      </c>
      <c r="T268">
        <v>0</v>
      </c>
      <c r="U268">
        <v>0</v>
      </c>
      <c r="V268" s="21">
        <v>9450</v>
      </c>
      <c r="W268">
        <v>9</v>
      </c>
      <c r="X268">
        <v>0</v>
      </c>
      <c r="Y268">
        <v>0</v>
      </c>
      <c r="Z268">
        <v>0</v>
      </c>
      <c r="AA268">
        <v>10</v>
      </c>
      <c r="AL268" s="3"/>
      <c r="AM268" s="1"/>
    </row>
    <row r="269" spans="1:39" ht="14.25" x14ac:dyDescent="0.2">
      <c r="A269" s="11">
        <v>1036</v>
      </c>
      <c r="B269" t="s">
        <v>181</v>
      </c>
      <c r="C269" t="s">
        <v>121</v>
      </c>
      <c r="D269" t="s">
        <v>121</v>
      </c>
      <c r="E269" t="s">
        <v>121</v>
      </c>
      <c r="F269" s="6" t="s">
        <v>576</v>
      </c>
      <c r="H269">
        <v>2</v>
      </c>
      <c r="I269" s="1">
        <v>0</v>
      </c>
      <c r="J269">
        <v>0</v>
      </c>
      <c r="K269">
        <v>0</v>
      </c>
      <c r="L269" s="20">
        <v>6400</v>
      </c>
      <c r="M269">
        <v>1</v>
      </c>
      <c r="N269">
        <v>0</v>
      </c>
      <c r="O269">
        <v>0</v>
      </c>
      <c r="P269">
        <v>0</v>
      </c>
      <c r="Q269" s="22">
        <v>18900</v>
      </c>
      <c r="R269">
        <v>3</v>
      </c>
      <c r="S269" s="1">
        <v>0</v>
      </c>
      <c r="T269">
        <v>0</v>
      </c>
      <c r="U269">
        <v>0</v>
      </c>
      <c r="V269" s="21">
        <v>9450</v>
      </c>
      <c r="W269">
        <v>30</v>
      </c>
      <c r="X269">
        <v>0</v>
      </c>
      <c r="Y269">
        <v>0</v>
      </c>
      <c r="Z269">
        <v>0</v>
      </c>
      <c r="AA269">
        <v>10</v>
      </c>
      <c r="AL269" s="3"/>
      <c r="AM269" s="1"/>
    </row>
    <row r="270" spans="1:39" ht="14.25" x14ac:dyDescent="0.2">
      <c r="A270" s="11">
        <v>1037</v>
      </c>
      <c r="B270" t="s">
        <v>122</v>
      </c>
      <c r="C270" t="s">
        <v>121</v>
      </c>
      <c r="D270" t="s">
        <v>121</v>
      </c>
      <c r="E270" t="s">
        <v>121</v>
      </c>
      <c r="F270" s="6" t="s">
        <v>576</v>
      </c>
      <c r="H270">
        <v>2</v>
      </c>
      <c r="I270" s="1">
        <v>0</v>
      </c>
      <c r="J270">
        <v>0</v>
      </c>
      <c r="K270">
        <v>0</v>
      </c>
      <c r="L270" s="20">
        <v>6400</v>
      </c>
      <c r="M270">
        <v>1</v>
      </c>
      <c r="N270">
        <v>0</v>
      </c>
      <c r="O270">
        <v>0</v>
      </c>
      <c r="P270">
        <v>0</v>
      </c>
      <c r="Q270" s="22">
        <v>18900</v>
      </c>
      <c r="R270">
        <v>3</v>
      </c>
      <c r="S270" s="1">
        <v>0</v>
      </c>
      <c r="T270">
        <v>0</v>
      </c>
      <c r="U270">
        <v>0</v>
      </c>
      <c r="V270" s="21">
        <v>9450</v>
      </c>
      <c r="W270">
        <v>4</v>
      </c>
      <c r="X270">
        <v>0</v>
      </c>
      <c r="Y270">
        <v>0</v>
      </c>
      <c r="Z270">
        <v>0</v>
      </c>
      <c r="AA270">
        <v>10</v>
      </c>
      <c r="AL270" s="3"/>
      <c r="AM270" s="1"/>
    </row>
    <row r="271" spans="1:39" ht="14.25" x14ac:dyDescent="0.2">
      <c r="A271" s="11">
        <v>1038</v>
      </c>
      <c r="B271" t="s">
        <v>178</v>
      </c>
      <c r="C271" t="s">
        <v>121</v>
      </c>
      <c r="D271" t="s">
        <v>121</v>
      </c>
      <c r="E271" t="s">
        <v>121</v>
      </c>
      <c r="F271" s="6" t="s">
        <v>578</v>
      </c>
      <c r="H271">
        <v>2</v>
      </c>
      <c r="I271" s="1">
        <v>0</v>
      </c>
      <c r="J271">
        <v>0</v>
      </c>
      <c r="K271">
        <v>0</v>
      </c>
      <c r="L271" s="20">
        <v>6400</v>
      </c>
      <c r="M271">
        <v>1</v>
      </c>
      <c r="N271">
        <v>0</v>
      </c>
      <c r="O271">
        <v>0</v>
      </c>
      <c r="P271">
        <v>0</v>
      </c>
      <c r="Q271" s="22">
        <v>19200</v>
      </c>
      <c r="R271">
        <v>3</v>
      </c>
      <c r="S271" s="1">
        <v>0</v>
      </c>
      <c r="T271">
        <v>0</v>
      </c>
      <c r="U271">
        <v>0</v>
      </c>
      <c r="V271" s="21">
        <v>9600</v>
      </c>
      <c r="W271">
        <v>21</v>
      </c>
      <c r="X271">
        <v>0</v>
      </c>
      <c r="Y271">
        <v>0</v>
      </c>
      <c r="Z271">
        <v>0</v>
      </c>
      <c r="AA271">
        <v>1</v>
      </c>
      <c r="AL271" s="3"/>
      <c r="AM271" s="1"/>
    </row>
    <row r="272" spans="1:39" ht="14.25" x14ac:dyDescent="0.2">
      <c r="A272" s="11">
        <v>1039</v>
      </c>
      <c r="B272" t="s">
        <v>130</v>
      </c>
      <c r="C272" t="s">
        <v>121</v>
      </c>
      <c r="D272" t="s">
        <v>121</v>
      </c>
      <c r="E272" t="s">
        <v>121</v>
      </c>
      <c r="F272" s="6" t="s">
        <v>580</v>
      </c>
      <c r="H272">
        <v>2</v>
      </c>
      <c r="I272" s="1">
        <v>0</v>
      </c>
      <c r="J272">
        <v>0</v>
      </c>
      <c r="K272">
        <v>0</v>
      </c>
      <c r="L272" s="20">
        <v>6400</v>
      </c>
      <c r="M272">
        <v>1</v>
      </c>
      <c r="N272">
        <v>0</v>
      </c>
      <c r="O272">
        <v>0</v>
      </c>
      <c r="P272">
        <v>0</v>
      </c>
      <c r="Q272" s="22">
        <v>19200</v>
      </c>
      <c r="R272">
        <v>3</v>
      </c>
      <c r="S272" s="1">
        <v>0</v>
      </c>
      <c r="T272">
        <v>0</v>
      </c>
      <c r="U272">
        <v>0</v>
      </c>
      <c r="V272" s="21">
        <v>9600</v>
      </c>
      <c r="W272">
        <v>9</v>
      </c>
      <c r="X272">
        <v>0</v>
      </c>
      <c r="Y272">
        <v>0</v>
      </c>
      <c r="Z272">
        <v>0</v>
      </c>
      <c r="AA272">
        <v>10</v>
      </c>
      <c r="AL272" s="3"/>
      <c r="AM272" s="1"/>
    </row>
    <row r="273" spans="1:39" ht="14.25" x14ac:dyDescent="0.2">
      <c r="A273" s="11">
        <v>1040</v>
      </c>
      <c r="B273" t="s">
        <v>123</v>
      </c>
      <c r="C273" t="s">
        <v>121</v>
      </c>
      <c r="D273" t="s">
        <v>121</v>
      </c>
      <c r="E273" t="s">
        <v>121</v>
      </c>
      <c r="F273" s="6" t="s">
        <v>580</v>
      </c>
      <c r="H273">
        <v>2</v>
      </c>
      <c r="I273" s="1">
        <v>0</v>
      </c>
      <c r="J273">
        <v>0</v>
      </c>
      <c r="K273">
        <v>0</v>
      </c>
      <c r="L273" s="20">
        <v>6400</v>
      </c>
      <c r="M273">
        <v>1</v>
      </c>
      <c r="N273">
        <v>0</v>
      </c>
      <c r="O273">
        <v>0</v>
      </c>
      <c r="P273">
        <v>0</v>
      </c>
      <c r="Q273" s="22">
        <v>19200</v>
      </c>
      <c r="R273">
        <v>3</v>
      </c>
      <c r="S273" s="1">
        <v>0</v>
      </c>
      <c r="T273">
        <v>0</v>
      </c>
      <c r="U273">
        <v>0</v>
      </c>
      <c r="V273" s="21">
        <v>9600</v>
      </c>
      <c r="W273">
        <v>12</v>
      </c>
      <c r="X273">
        <v>0</v>
      </c>
      <c r="Y273">
        <v>0</v>
      </c>
      <c r="Z273">
        <v>0</v>
      </c>
      <c r="AA273">
        <v>10</v>
      </c>
      <c r="AL273" s="3"/>
      <c r="AM273" s="1"/>
    </row>
    <row r="274" spans="1:39" ht="14.25" x14ac:dyDescent="0.2">
      <c r="A274" s="11">
        <v>1041</v>
      </c>
      <c r="B274" t="s">
        <v>126</v>
      </c>
      <c r="C274" t="s">
        <v>121</v>
      </c>
      <c r="D274" t="s">
        <v>121</v>
      </c>
      <c r="E274" t="s">
        <v>121</v>
      </c>
      <c r="F274" s="6" t="s">
        <v>582</v>
      </c>
      <c r="H274">
        <v>2</v>
      </c>
      <c r="I274" s="1">
        <v>0</v>
      </c>
      <c r="J274">
        <v>0</v>
      </c>
      <c r="K274">
        <v>0</v>
      </c>
      <c r="L274" s="20">
        <v>6500</v>
      </c>
      <c r="M274">
        <v>1</v>
      </c>
      <c r="N274">
        <v>0</v>
      </c>
      <c r="O274">
        <v>0</v>
      </c>
      <c r="P274">
        <v>0</v>
      </c>
      <c r="Q274" s="22">
        <v>19200</v>
      </c>
      <c r="R274">
        <v>3</v>
      </c>
      <c r="S274" s="1">
        <v>0</v>
      </c>
      <c r="T274">
        <v>0</v>
      </c>
      <c r="U274">
        <v>0</v>
      </c>
      <c r="V274" s="21">
        <v>9600</v>
      </c>
      <c r="W274">
        <v>23</v>
      </c>
      <c r="X274">
        <v>0</v>
      </c>
      <c r="Y274">
        <v>0</v>
      </c>
      <c r="Z274">
        <v>0</v>
      </c>
      <c r="AA274">
        <v>1</v>
      </c>
      <c r="AL274" s="3"/>
      <c r="AM274" s="1"/>
    </row>
    <row r="275" spans="1:39" ht="14.25" x14ac:dyDescent="0.2">
      <c r="A275" s="11">
        <v>1042</v>
      </c>
      <c r="B275" t="s">
        <v>131</v>
      </c>
      <c r="C275" t="s">
        <v>125</v>
      </c>
      <c r="D275" t="s">
        <v>121</v>
      </c>
      <c r="E275" t="s">
        <v>136</v>
      </c>
      <c r="F275" s="6" t="s">
        <v>584</v>
      </c>
      <c r="H275">
        <v>2</v>
      </c>
      <c r="I275" s="1">
        <v>0</v>
      </c>
      <c r="J275">
        <v>0</v>
      </c>
      <c r="K275">
        <v>0</v>
      </c>
      <c r="L275" s="20">
        <v>6500</v>
      </c>
      <c r="M275">
        <v>1</v>
      </c>
      <c r="N275">
        <v>0</v>
      </c>
      <c r="O275">
        <v>0</v>
      </c>
      <c r="P275">
        <v>0</v>
      </c>
      <c r="Q275" s="22">
        <v>19200</v>
      </c>
      <c r="R275">
        <v>3</v>
      </c>
      <c r="S275" s="1">
        <v>0</v>
      </c>
      <c r="T275">
        <v>0</v>
      </c>
      <c r="U275">
        <v>0</v>
      </c>
      <c r="V275" s="21">
        <v>9600</v>
      </c>
      <c r="W275">
        <v>6</v>
      </c>
      <c r="X275">
        <v>1</v>
      </c>
      <c r="Y275">
        <v>0</v>
      </c>
      <c r="Z275">
        <v>3</v>
      </c>
      <c r="AA275">
        <v>10</v>
      </c>
      <c r="AL275" s="3"/>
      <c r="AM275" s="1"/>
    </row>
    <row r="276" spans="1:39" ht="14.25" x14ac:dyDescent="0.2">
      <c r="A276" s="11">
        <v>1043</v>
      </c>
      <c r="B276" t="s">
        <v>180</v>
      </c>
      <c r="C276" t="s">
        <v>121</v>
      </c>
      <c r="D276" t="s">
        <v>121</v>
      </c>
      <c r="E276" t="s">
        <v>121</v>
      </c>
      <c r="F276" s="6" t="s">
        <v>586</v>
      </c>
      <c r="H276">
        <v>2</v>
      </c>
      <c r="I276" s="1">
        <v>0</v>
      </c>
      <c r="J276">
        <v>0</v>
      </c>
      <c r="K276">
        <v>0</v>
      </c>
      <c r="L276" s="20">
        <v>6500</v>
      </c>
      <c r="M276">
        <v>1</v>
      </c>
      <c r="N276">
        <v>0</v>
      </c>
      <c r="O276">
        <v>0</v>
      </c>
      <c r="P276">
        <v>0</v>
      </c>
      <c r="Q276" s="22">
        <v>19500</v>
      </c>
      <c r="R276">
        <v>3</v>
      </c>
      <c r="S276" s="1">
        <v>0</v>
      </c>
      <c r="T276">
        <v>0</v>
      </c>
      <c r="U276">
        <v>0</v>
      </c>
      <c r="V276" s="21">
        <v>9750</v>
      </c>
      <c r="W276">
        <v>15</v>
      </c>
      <c r="X276">
        <v>0</v>
      </c>
      <c r="Y276">
        <v>0</v>
      </c>
      <c r="Z276">
        <v>0</v>
      </c>
      <c r="AA276">
        <v>1</v>
      </c>
      <c r="AL276" s="3"/>
      <c r="AM276" s="1"/>
    </row>
    <row r="277" spans="1:39" ht="14.25" x14ac:dyDescent="0.2">
      <c r="A277" s="11">
        <v>1044</v>
      </c>
      <c r="B277" t="s">
        <v>178</v>
      </c>
      <c r="C277" t="s">
        <v>121</v>
      </c>
      <c r="D277" t="s">
        <v>121</v>
      </c>
      <c r="E277" t="s">
        <v>121</v>
      </c>
      <c r="F277" s="6" t="s">
        <v>586</v>
      </c>
      <c r="H277">
        <v>2</v>
      </c>
      <c r="I277" s="1">
        <v>0</v>
      </c>
      <c r="J277">
        <v>0</v>
      </c>
      <c r="K277">
        <v>0</v>
      </c>
      <c r="L277" s="20">
        <v>6500</v>
      </c>
      <c r="M277">
        <v>1</v>
      </c>
      <c r="N277">
        <v>0</v>
      </c>
      <c r="O277">
        <v>0</v>
      </c>
      <c r="P277">
        <v>0</v>
      </c>
      <c r="Q277" s="22">
        <v>19500</v>
      </c>
      <c r="R277">
        <v>3</v>
      </c>
      <c r="S277" s="1">
        <v>0</v>
      </c>
      <c r="T277">
        <v>0</v>
      </c>
      <c r="U277">
        <v>0</v>
      </c>
      <c r="V277" s="21">
        <v>9750</v>
      </c>
      <c r="W277">
        <v>21</v>
      </c>
      <c r="X277">
        <v>0</v>
      </c>
      <c r="Y277">
        <v>0</v>
      </c>
      <c r="Z277">
        <v>0</v>
      </c>
      <c r="AA277">
        <v>1</v>
      </c>
      <c r="AL277" s="3"/>
      <c r="AM277" s="1"/>
    </row>
    <row r="278" spans="1:39" ht="14.25" x14ac:dyDescent="0.2">
      <c r="A278" s="11">
        <v>1045</v>
      </c>
      <c r="B278" t="s">
        <v>130</v>
      </c>
      <c r="C278" t="s">
        <v>121</v>
      </c>
      <c r="D278" t="s">
        <v>121</v>
      </c>
      <c r="E278" t="s">
        <v>121</v>
      </c>
      <c r="F278" s="6" t="s">
        <v>588</v>
      </c>
      <c r="H278">
        <v>2</v>
      </c>
      <c r="I278" s="1">
        <v>0</v>
      </c>
      <c r="J278">
        <v>0</v>
      </c>
      <c r="K278">
        <v>0</v>
      </c>
      <c r="L278" s="20">
        <v>6500</v>
      </c>
      <c r="M278">
        <v>1</v>
      </c>
      <c r="N278">
        <v>0</v>
      </c>
      <c r="O278">
        <v>0</v>
      </c>
      <c r="P278">
        <v>0</v>
      </c>
      <c r="Q278" s="22">
        <v>19500</v>
      </c>
      <c r="R278">
        <v>3</v>
      </c>
      <c r="S278" s="1">
        <v>0</v>
      </c>
      <c r="T278">
        <v>0</v>
      </c>
      <c r="U278">
        <v>0</v>
      </c>
      <c r="V278" s="21">
        <v>9750</v>
      </c>
      <c r="W278">
        <v>9</v>
      </c>
      <c r="X278">
        <v>0</v>
      </c>
      <c r="Y278">
        <v>0</v>
      </c>
      <c r="Z278">
        <v>0</v>
      </c>
      <c r="AA278">
        <v>10</v>
      </c>
      <c r="AL278" s="3"/>
      <c r="AM278" s="1"/>
    </row>
    <row r="279" spans="1:39" ht="14.25" x14ac:dyDescent="0.2">
      <c r="A279" s="11">
        <v>1046</v>
      </c>
      <c r="B279" t="s">
        <v>181</v>
      </c>
      <c r="C279" t="s">
        <v>121</v>
      </c>
      <c r="D279" t="s">
        <v>121</v>
      </c>
      <c r="E279" t="s">
        <v>121</v>
      </c>
      <c r="F279" s="6" t="s">
        <v>590</v>
      </c>
      <c r="H279">
        <v>2</v>
      </c>
      <c r="I279" s="1">
        <v>0</v>
      </c>
      <c r="J279">
        <v>0</v>
      </c>
      <c r="K279">
        <v>0</v>
      </c>
      <c r="L279" s="20">
        <v>6600</v>
      </c>
      <c r="M279">
        <v>1</v>
      </c>
      <c r="N279">
        <v>0</v>
      </c>
      <c r="O279">
        <v>0</v>
      </c>
      <c r="P279">
        <v>0</v>
      </c>
      <c r="Q279" s="22">
        <v>19500</v>
      </c>
      <c r="R279">
        <v>3</v>
      </c>
      <c r="S279" s="1">
        <v>0</v>
      </c>
      <c r="T279">
        <v>0</v>
      </c>
      <c r="U279">
        <v>0</v>
      </c>
      <c r="V279" s="21">
        <v>9750</v>
      </c>
      <c r="W279">
        <v>30</v>
      </c>
      <c r="X279">
        <v>0</v>
      </c>
      <c r="Y279">
        <v>0</v>
      </c>
      <c r="Z279">
        <v>0</v>
      </c>
      <c r="AA279">
        <v>10</v>
      </c>
      <c r="AL279" s="3"/>
      <c r="AM279" s="1"/>
    </row>
    <row r="280" spans="1:39" ht="14.25" x14ac:dyDescent="0.2">
      <c r="A280" s="11">
        <v>1047</v>
      </c>
      <c r="B280" t="s">
        <v>122</v>
      </c>
      <c r="C280" t="s">
        <v>121</v>
      </c>
      <c r="D280" t="s">
        <v>121</v>
      </c>
      <c r="E280" t="s">
        <v>121</v>
      </c>
      <c r="F280" s="6" t="s">
        <v>590</v>
      </c>
      <c r="H280">
        <v>2</v>
      </c>
      <c r="I280" s="1">
        <v>0</v>
      </c>
      <c r="J280">
        <v>0</v>
      </c>
      <c r="K280">
        <v>0</v>
      </c>
      <c r="L280" s="20">
        <v>6600</v>
      </c>
      <c r="M280">
        <v>1</v>
      </c>
      <c r="N280">
        <v>0</v>
      </c>
      <c r="O280">
        <v>0</v>
      </c>
      <c r="P280">
        <v>0</v>
      </c>
      <c r="Q280" s="22">
        <v>19500</v>
      </c>
      <c r="R280">
        <v>3</v>
      </c>
      <c r="S280" s="1">
        <v>0</v>
      </c>
      <c r="T280">
        <v>0</v>
      </c>
      <c r="U280">
        <v>0</v>
      </c>
      <c r="V280" s="21">
        <v>9750</v>
      </c>
      <c r="W280">
        <v>4</v>
      </c>
      <c r="X280">
        <v>0</v>
      </c>
      <c r="Y280">
        <v>0</v>
      </c>
      <c r="Z280">
        <v>0</v>
      </c>
      <c r="AA280">
        <v>10</v>
      </c>
      <c r="AL280" s="3"/>
      <c r="AM280" s="1"/>
    </row>
    <row r="281" spans="1:39" ht="14.25" x14ac:dyDescent="0.2">
      <c r="A281" s="11">
        <v>1048</v>
      </c>
      <c r="B281" t="s">
        <v>178</v>
      </c>
      <c r="C281" t="s">
        <v>121</v>
      </c>
      <c r="D281" t="s">
        <v>121</v>
      </c>
      <c r="E281" t="s">
        <v>121</v>
      </c>
      <c r="F281" s="6" t="s">
        <v>592</v>
      </c>
      <c r="H281">
        <v>2</v>
      </c>
      <c r="I281" s="1">
        <v>0</v>
      </c>
      <c r="J281">
        <v>0</v>
      </c>
      <c r="K281">
        <v>0</v>
      </c>
      <c r="L281" s="20">
        <v>6600</v>
      </c>
      <c r="M281">
        <v>1</v>
      </c>
      <c r="N281">
        <v>0</v>
      </c>
      <c r="O281">
        <v>0</v>
      </c>
      <c r="P281">
        <v>0</v>
      </c>
      <c r="Q281" s="22">
        <v>19800</v>
      </c>
      <c r="R281">
        <v>3</v>
      </c>
      <c r="S281" s="1">
        <v>0</v>
      </c>
      <c r="T281">
        <v>0</v>
      </c>
      <c r="U281">
        <v>0</v>
      </c>
      <c r="V281" s="21">
        <v>9900</v>
      </c>
      <c r="W281">
        <v>21</v>
      </c>
      <c r="X281">
        <v>0</v>
      </c>
      <c r="Y281">
        <v>0</v>
      </c>
      <c r="Z281">
        <v>0</v>
      </c>
      <c r="AA281">
        <v>1</v>
      </c>
      <c r="AL281" s="3"/>
      <c r="AM281" s="1"/>
    </row>
    <row r="282" spans="1:39" ht="14.25" x14ac:dyDescent="0.2">
      <c r="A282" s="11">
        <v>1049</v>
      </c>
      <c r="B282" t="s">
        <v>130</v>
      </c>
      <c r="C282" t="s">
        <v>121</v>
      </c>
      <c r="D282" t="s">
        <v>121</v>
      </c>
      <c r="E282" t="s">
        <v>121</v>
      </c>
      <c r="F282" s="6" t="s">
        <v>594</v>
      </c>
      <c r="H282">
        <v>2</v>
      </c>
      <c r="I282" s="1">
        <v>0</v>
      </c>
      <c r="J282">
        <v>0</v>
      </c>
      <c r="K282">
        <v>0</v>
      </c>
      <c r="L282" s="20">
        <v>6600</v>
      </c>
      <c r="M282">
        <v>1</v>
      </c>
      <c r="N282">
        <v>0</v>
      </c>
      <c r="O282">
        <v>0</v>
      </c>
      <c r="P282">
        <v>0</v>
      </c>
      <c r="Q282" s="22">
        <v>19800</v>
      </c>
      <c r="R282">
        <v>3</v>
      </c>
      <c r="S282" s="1">
        <v>0</v>
      </c>
      <c r="T282">
        <v>0</v>
      </c>
      <c r="U282">
        <v>0</v>
      </c>
      <c r="V282" s="21">
        <v>9900</v>
      </c>
      <c r="W282">
        <v>9</v>
      </c>
      <c r="X282">
        <v>0</v>
      </c>
      <c r="Y282">
        <v>0</v>
      </c>
      <c r="Z282">
        <v>0</v>
      </c>
      <c r="AA282">
        <v>10</v>
      </c>
      <c r="AL282" s="3"/>
      <c r="AM282" s="1"/>
    </row>
    <row r="283" spans="1:39" ht="14.25" x14ac:dyDescent="0.2">
      <c r="A283" s="11">
        <v>1050</v>
      </c>
      <c r="B283" t="s">
        <v>123</v>
      </c>
      <c r="C283" t="s">
        <v>121</v>
      </c>
      <c r="D283" t="s">
        <v>121</v>
      </c>
      <c r="E283" t="s">
        <v>121</v>
      </c>
      <c r="F283" s="6" t="s">
        <v>594</v>
      </c>
      <c r="H283">
        <v>2</v>
      </c>
      <c r="I283" s="1">
        <v>0</v>
      </c>
      <c r="J283">
        <v>0</v>
      </c>
      <c r="K283">
        <v>0</v>
      </c>
      <c r="L283" s="20">
        <v>6600</v>
      </c>
      <c r="M283">
        <v>1</v>
      </c>
      <c r="N283">
        <v>0</v>
      </c>
      <c r="O283">
        <v>0</v>
      </c>
      <c r="P283">
        <v>0</v>
      </c>
      <c r="Q283" s="22">
        <v>19800</v>
      </c>
      <c r="R283">
        <v>3</v>
      </c>
      <c r="S283" s="1">
        <v>0</v>
      </c>
      <c r="T283">
        <v>0</v>
      </c>
      <c r="U283">
        <v>0</v>
      </c>
      <c r="V283" s="21">
        <v>9900</v>
      </c>
      <c r="W283">
        <v>12</v>
      </c>
      <c r="X283">
        <v>0</v>
      </c>
      <c r="Y283">
        <v>0</v>
      </c>
      <c r="Z283">
        <v>0</v>
      </c>
      <c r="AA283">
        <v>10</v>
      </c>
      <c r="AL283" s="3"/>
      <c r="AM283" s="1"/>
    </row>
    <row r="284" spans="1:39" ht="14.25" x14ac:dyDescent="0.2">
      <c r="A284" s="11">
        <v>10101</v>
      </c>
      <c r="B284" t="s">
        <v>126</v>
      </c>
      <c r="C284" t="s">
        <v>121</v>
      </c>
      <c r="D284" t="s">
        <v>121</v>
      </c>
      <c r="E284" t="s">
        <v>121</v>
      </c>
      <c r="F284" s="6" t="s">
        <v>596</v>
      </c>
      <c r="H284">
        <v>2</v>
      </c>
      <c r="I284" s="1">
        <v>0</v>
      </c>
      <c r="J284">
        <v>0</v>
      </c>
      <c r="K284">
        <v>0</v>
      </c>
      <c r="L284" s="20">
        <v>6680</v>
      </c>
      <c r="M284">
        <v>1</v>
      </c>
      <c r="N284">
        <v>0</v>
      </c>
      <c r="O284">
        <v>0</v>
      </c>
      <c r="P284">
        <v>0</v>
      </c>
      <c r="Q284" s="22">
        <v>19800</v>
      </c>
      <c r="R284">
        <v>3</v>
      </c>
      <c r="S284" s="1">
        <v>0</v>
      </c>
      <c r="T284">
        <v>0</v>
      </c>
      <c r="U284">
        <v>0</v>
      </c>
      <c r="V284" s="21">
        <v>9900</v>
      </c>
      <c r="W284">
        <v>23</v>
      </c>
      <c r="X284">
        <v>0</v>
      </c>
      <c r="Y284">
        <v>0</v>
      </c>
      <c r="Z284">
        <v>0</v>
      </c>
      <c r="AA284">
        <v>1</v>
      </c>
      <c r="AL284" s="3"/>
      <c r="AM284" s="1"/>
    </row>
    <row r="285" spans="1:39" ht="14.25" x14ac:dyDescent="0.2">
      <c r="A285" s="11">
        <v>10102</v>
      </c>
      <c r="B285" t="s">
        <v>131</v>
      </c>
      <c r="C285" t="s">
        <v>125</v>
      </c>
      <c r="D285" t="s">
        <v>121</v>
      </c>
      <c r="E285" t="s">
        <v>136</v>
      </c>
      <c r="F285" s="6" t="s">
        <v>598</v>
      </c>
      <c r="H285">
        <v>2</v>
      </c>
      <c r="I285" s="1">
        <v>0</v>
      </c>
      <c r="J285">
        <v>0</v>
      </c>
      <c r="K285">
        <v>0</v>
      </c>
      <c r="L285" s="20">
        <v>6680</v>
      </c>
      <c r="M285">
        <v>1</v>
      </c>
      <c r="N285">
        <v>0</v>
      </c>
      <c r="O285">
        <v>0</v>
      </c>
      <c r="P285">
        <v>0</v>
      </c>
      <c r="Q285" s="22">
        <v>19800</v>
      </c>
      <c r="R285">
        <v>3</v>
      </c>
      <c r="S285" s="1">
        <v>0</v>
      </c>
      <c r="T285">
        <v>0</v>
      </c>
      <c r="U285">
        <v>0</v>
      </c>
      <c r="V285" s="21">
        <v>9900</v>
      </c>
      <c r="W285">
        <v>6</v>
      </c>
      <c r="X285">
        <v>1</v>
      </c>
      <c r="Y285">
        <v>0</v>
      </c>
      <c r="Z285">
        <v>3</v>
      </c>
      <c r="AA285">
        <v>10</v>
      </c>
      <c r="AL285" s="3"/>
      <c r="AM285" s="1"/>
    </row>
    <row r="286" spans="1:39" ht="14.25" x14ac:dyDescent="0.2">
      <c r="A286" s="11">
        <v>10103</v>
      </c>
      <c r="B286" t="s">
        <v>180</v>
      </c>
      <c r="C286" t="s">
        <v>121</v>
      </c>
      <c r="D286" t="s">
        <v>121</v>
      </c>
      <c r="E286" t="s">
        <v>121</v>
      </c>
      <c r="F286" s="6" t="s">
        <v>600</v>
      </c>
      <c r="H286">
        <v>2</v>
      </c>
      <c r="I286" s="1">
        <v>0</v>
      </c>
      <c r="J286">
        <v>0</v>
      </c>
      <c r="K286">
        <v>0</v>
      </c>
      <c r="L286" s="20">
        <v>6680</v>
      </c>
      <c r="M286">
        <v>1</v>
      </c>
      <c r="N286">
        <v>0</v>
      </c>
      <c r="O286">
        <v>0</v>
      </c>
      <c r="P286">
        <v>0</v>
      </c>
      <c r="Q286" s="22">
        <v>20040</v>
      </c>
      <c r="R286">
        <v>3</v>
      </c>
      <c r="S286" s="1">
        <v>0</v>
      </c>
      <c r="T286">
        <v>0</v>
      </c>
      <c r="U286">
        <v>0</v>
      </c>
      <c r="V286" s="21">
        <v>10020</v>
      </c>
      <c r="W286">
        <v>15</v>
      </c>
      <c r="X286">
        <v>0</v>
      </c>
      <c r="Y286">
        <v>0</v>
      </c>
      <c r="Z286">
        <v>0</v>
      </c>
      <c r="AA286">
        <v>1</v>
      </c>
      <c r="AL286" s="3"/>
      <c r="AM286" s="1"/>
    </row>
    <row r="287" spans="1:39" ht="14.25" x14ac:dyDescent="0.2">
      <c r="A287" s="11">
        <v>10104</v>
      </c>
      <c r="B287" t="s">
        <v>178</v>
      </c>
      <c r="C287" t="s">
        <v>121</v>
      </c>
      <c r="D287" t="s">
        <v>121</v>
      </c>
      <c r="E287" t="s">
        <v>121</v>
      </c>
      <c r="F287" s="6" t="s">
        <v>600</v>
      </c>
      <c r="H287">
        <v>2</v>
      </c>
      <c r="I287" s="1">
        <v>0</v>
      </c>
      <c r="J287">
        <v>0</v>
      </c>
      <c r="K287">
        <v>0</v>
      </c>
      <c r="L287" s="20">
        <v>6680</v>
      </c>
      <c r="M287">
        <v>1</v>
      </c>
      <c r="N287">
        <v>0</v>
      </c>
      <c r="O287">
        <v>0</v>
      </c>
      <c r="P287">
        <v>0</v>
      </c>
      <c r="Q287" s="22">
        <v>20040</v>
      </c>
      <c r="R287">
        <v>3</v>
      </c>
      <c r="S287" s="1">
        <v>0</v>
      </c>
      <c r="T287">
        <v>0</v>
      </c>
      <c r="U287">
        <v>0</v>
      </c>
      <c r="V287" s="21">
        <v>10020</v>
      </c>
      <c r="W287">
        <v>21</v>
      </c>
      <c r="X287">
        <v>0</v>
      </c>
      <c r="Y287">
        <v>0</v>
      </c>
      <c r="Z287">
        <v>0</v>
      </c>
      <c r="AA287">
        <v>1</v>
      </c>
      <c r="AL287" s="3"/>
      <c r="AM287" s="1"/>
    </row>
    <row r="288" spans="1:39" ht="14.25" x14ac:dyDescent="0.2">
      <c r="A288" s="11">
        <v>10105</v>
      </c>
      <c r="B288" t="s">
        <v>130</v>
      </c>
      <c r="C288" t="s">
        <v>121</v>
      </c>
      <c r="D288" t="s">
        <v>121</v>
      </c>
      <c r="E288" t="s">
        <v>121</v>
      </c>
      <c r="F288" s="6" t="s">
        <v>602</v>
      </c>
      <c r="H288">
        <v>2</v>
      </c>
      <c r="I288" s="1">
        <v>0</v>
      </c>
      <c r="J288">
        <v>0</v>
      </c>
      <c r="K288">
        <v>0</v>
      </c>
      <c r="L288" s="20">
        <v>6680</v>
      </c>
      <c r="M288">
        <v>1</v>
      </c>
      <c r="N288">
        <v>0</v>
      </c>
      <c r="O288">
        <v>0</v>
      </c>
      <c r="P288">
        <v>0</v>
      </c>
      <c r="Q288" s="22">
        <v>20040</v>
      </c>
      <c r="R288">
        <v>3</v>
      </c>
      <c r="S288" s="1">
        <v>0</v>
      </c>
      <c r="T288">
        <v>0</v>
      </c>
      <c r="U288">
        <v>0</v>
      </c>
      <c r="V288" s="21">
        <v>10020</v>
      </c>
      <c r="W288">
        <v>9</v>
      </c>
      <c r="X288">
        <v>0</v>
      </c>
      <c r="Y288">
        <v>0</v>
      </c>
      <c r="Z288">
        <v>0</v>
      </c>
      <c r="AA288">
        <v>10</v>
      </c>
      <c r="AL288" s="3"/>
      <c r="AM288" s="1"/>
    </row>
    <row r="289" spans="1:39" ht="14.25" x14ac:dyDescent="0.2">
      <c r="A289" s="11">
        <v>10106</v>
      </c>
      <c r="B289" t="s">
        <v>181</v>
      </c>
      <c r="C289" t="s">
        <v>121</v>
      </c>
      <c r="D289" t="s">
        <v>121</v>
      </c>
      <c r="E289" t="s">
        <v>121</v>
      </c>
      <c r="F289" s="6" t="s">
        <v>604</v>
      </c>
      <c r="H289">
        <v>2</v>
      </c>
      <c r="I289" s="1">
        <v>0</v>
      </c>
      <c r="J289">
        <v>0</v>
      </c>
      <c r="K289">
        <v>0</v>
      </c>
      <c r="L289" s="20">
        <v>6760</v>
      </c>
      <c r="M289">
        <v>1</v>
      </c>
      <c r="N289">
        <v>0</v>
      </c>
      <c r="O289">
        <v>0</v>
      </c>
      <c r="P289">
        <v>0</v>
      </c>
      <c r="Q289" s="22">
        <v>20040</v>
      </c>
      <c r="R289">
        <v>3</v>
      </c>
      <c r="S289" s="1">
        <v>0</v>
      </c>
      <c r="T289">
        <v>0</v>
      </c>
      <c r="U289">
        <v>0</v>
      </c>
      <c r="V289" s="21">
        <v>10020</v>
      </c>
      <c r="W289">
        <v>30</v>
      </c>
      <c r="X289">
        <v>0</v>
      </c>
      <c r="Y289">
        <v>0</v>
      </c>
      <c r="Z289">
        <v>0</v>
      </c>
      <c r="AA289">
        <v>10</v>
      </c>
      <c r="AL289" s="3"/>
      <c r="AM289" s="1"/>
    </row>
    <row r="290" spans="1:39" ht="14.25" x14ac:dyDescent="0.2">
      <c r="A290" s="11">
        <v>10107</v>
      </c>
      <c r="B290" t="s">
        <v>122</v>
      </c>
      <c r="C290" t="s">
        <v>121</v>
      </c>
      <c r="D290" t="s">
        <v>121</v>
      </c>
      <c r="E290" t="s">
        <v>121</v>
      </c>
      <c r="F290" s="6" t="s">
        <v>604</v>
      </c>
      <c r="H290">
        <v>2</v>
      </c>
      <c r="I290" s="1">
        <v>0</v>
      </c>
      <c r="J290">
        <v>0</v>
      </c>
      <c r="K290">
        <v>0</v>
      </c>
      <c r="L290" s="20">
        <v>6760</v>
      </c>
      <c r="M290">
        <v>1</v>
      </c>
      <c r="N290">
        <v>0</v>
      </c>
      <c r="O290">
        <v>0</v>
      </c>
      <c r="P290">
        <v>0</v>
      </c>
      <c r="Q290" s="22">
        <v>20040</v>
      </c>
      <c r="R290">
        <v>3</v>
      </c>
      <c r="S290" s="1">
        <v>0</v>
      </c>
      <c r="T290">
        <v>0</v>
      </c>
      <c r="U290">
        <v>0</v>
      </c>
      <c r="V290" s="21">
        <v>10020</v>
      </c>
      <c r="W290">
        <v>4</v>
      </c>
      <c r="X290">
        <v>0</v>
      </c>
      <c r="Y290">
        <v>0</v>
      </c>
      <c r="Z290">
        <v>0</v>
      </c>
      <c r="AA290">
        <v>10</v>
      </c>
      <c r="AL290" s="3"/>
      <c r="AM290" s="1"/>
    </row>
    <row r="291" spans="1:39" ht="14.25" x14ac:dyDescent="0.2">
      <c r="A291" s="11">
        <v>10108</v>
      </c>
      <c r="B291" t="s">
        <v>178</v>
      </c>
      <c r="C291" t="s">
        <v>121</v>
      </c>
      <c r="D291" t="s">
        <v>121</v>
      </c>
      <c r="E291" t="s">
        <v>121</v>
      </c>
      <c r="F291" s="6" t="s">
        <v>606</v>
      </c>
      <c r="H291">
        <v>2</v>
      </c>
      <c r="I291" s="1">
        <v>0</v>
      </c>
      <c r="J291">
        <v>0</v>
      </c>
      <c r="K291">
        <v>0</v>
      </c>
      <c r="L291" s="20">
        <v>6760</v>
      </c>
      <c r="M291">
        <v>1</v>
      </c>
      <c r="N291">
        <v>0</v>
      </c>
      <c r="O291">
        <v>0</v>
      </c>
      <c r="P291">
        <v>0</v>
      </c>
      <c r="Q291" s="22">
        <v>20280</v>
      </c>
      <c r="R291">
        <v>3</v>
      </c>
      <c r="S291" s="1">
        <v>0</v>
      </c>
      <c r="T291">
        <v>0</v>
      </c>
      <c r="U291">
        <v>0</v>
      </c>
      <c r="V291" s="21">
        <v>10140</v>
      </c>
      <c r="W291">
        <v>21</v>
      </c>
      <c r="X291">
        <v>0</v>
      </c>
      <c r="Y291">
        <v>0</v>
      </c>
      <c r="Z291">
        <v>0</v>
      </c>
      <c r="AA291">
        <v>1</v>
      </c>
      <c r="AL291" s="3"/>
      <c r="AM291" s="1"/>
    </row>
    <row r="292" spans="1:39" ht="14.25" x14ac:dyDescent="0.2">
      <c r="A292" s="11">
        <v>10109</v>
      </c>
      <c r="B292" t="s">
        <v>130</v>
      </c>
      <c r="C292" t="s">
        <v>121</v>
      </c>
      <c r="D292" t="s">
        <v>121</v>
      </c>
      <c r="E292" t="s">
        <v>121</v>
      </c>
      <c r="F292" s="6" t="s">
        <v>608</v>
      </c>
      <c r="H292">
        <v>2</v>
      </c>
      <c r="I292" s="1">
        <v>0</v>
      </c>
      <c r="J292">
        <v>0</v>
      </c>
      <c r="K292">
        <v>0</v>
      </c>
      <c r="L292" s="20">
        <v>6760</v>
      </c>
      <c r="M292">
        <v>1</v>
      </c>
      <c r="N292">
        <v>0</v>
      </c>
      <c r="O292">
        <v>0</v>
      </c>
      <c r="P292">
        <v>0</v>
      </c>
      <c r="Q292" s="22">
        <v>20280</v>
      </c>
      <c r="R292">
        <v>3</v>
      </c>
      <c r="S292" s="1">
        <v>0</v>
      </c>
      <c r="T292">
        <v>0</v>
      </c>
      <c r="U292">
        <v>0</v>
      </c>
      <c r="V292" s="21">
        <v>10140</v>
      </c>
      <c r="W292">
        <v>9</v>
      </c>
      <c r="X292">
        <v>0</v>
      </c>
      <c r="Y292">
        <v>0</v>
      </c>
      <c r="Z292">
        <v>0</v>
      </c>
      <c r="AA292">
        <v>10</v>
      </c>
      <c r="AL292" s="3"/>
      <c r="AM292" s="1"/>
    </row>
    <row r="293" spans="1:39" ht="14.25" x14ac:dyDescent="0.2">
      <c r="A293" s="11">
        <v>10110</v>
      </c>
      <c r="B293" t="s">
        <v>123</v>
      </c>
      <c r="C293" t="s">
        <v>121</v>
      </c>
      <c r="D293" t="s">
        <v>121</v>
      </c>
      <c r="E293" t="s">
        <v>121</v>
      </c>
      <c r="F293" s="6" t="s">
        <v>608</v>
      </c>
      <c r="H293">
        <v>2</v>
      </c>
      <c r="I293" s="1">
        <v>0</v>
      </c>
      <c r="J293">
        <v>0</v>
      </c>
      <c r="K293">
        <v>0</v>
      </c>
      <c r="L293" s="20">
        <v>6760</v>
      </c>
      <c r="M293">
        <v>1</v>
      </c>
      <c r="N293">
        <v>0</v>
      </c>
      <c r="O293">
        <v>0</v>
      </c>
      <c r="P293">
        <v>0</v>
      </c>
      <c r="Q293" s="22">
        <v>20280</v>
      </c>
      <c r="R293">
        <v>3</v>
      </c>
      <c r="S293" s="1">
        <v>0</v>
      </c>
      <c r="T293">
        <v>0</v>
      </c>
      <c r="U293">
        <v>0</v>
      </c>
      <c r="V293" s="21">
        <v>10140</v>
      </c>
      <c r="W293">
        <v>12</v>
      </c>
      <c r="X293">
        <v>0</v>
      </c>
      <c r="Y293">
        <v>0</v>
      </c>
      <c r="Z293">
        <v>0</v>
      </c>
      <c r="AA293">
        <v>10</v>
      </c>
      <c r="AL293" s="3"/>
      <c r="AM293" s="1"/>
    </row>
    <row r="294" spans="1:39" ht="14.25" x14ac:dyDescent="0.2">
      <c r="A294" s="11">
        <v>10111</v>
      </c>
      <c r="B294" t="s">
        <v>126</v>
      </c>
      <c r="C294" t="s">
        <v>121</v>
      </c>
      <c r="D294" t="s">
        <v>121</v>
      </c>
      <c r="E294" t="s">
        <v>121</v>
      </c>
      <c r="F294" s="6" t="s">
        <v>610</v>
      </c>
      <c r="H294">
        <v>2</v>
      </c>
      <c r="I294" s="1">
        <v>0</v>
      </c>
      <c r="J294">
        <v>0</v>
      </c>
      <c r="K294">
        <v>0</v>
      </c>
      <c r="L294" s="20">
        <v>6840</v>
      </c>
      <c r="M294">
        <v>1</v>
      </c>
      <c r="N294">
        <v>0</v>
      </c>
      <c r="O294">
        <v>0</v>
      </c>
      <c r="P294">
        <v>0</v>
      </c>
      <c r="Q294" s="22">
        <v>20280</v>
      </c>
      <c r="R294">
        <v>3</v>
      </c>
      <c r="S294" s="1">
        <v>0</v>
      </c>
      <c r="T294">
        <v>0</v>
      </c>
      <c r="U294">
        <v>0</v>
      </c>
      <c r="V294" s="21">
        <v>10140</v>
      </c>
      <c r="W294">
        <v>23</v>
      </c>
      <c r="X294">
        <v>0</v>
      </c>
      <c r="Y294">
        <v>0</v>
      </c>
      <c r="Z294">
        <v>0</v>
      </c>
      <c r="AA294">
        <v>1</v>
      </c>
      <c r="AL294" s="3"/>
      <c r="AM294" s="1"/>
    </row>
    <row r="295" spans="1:39" ht="14.25" x14ac:dyDescent="0.2">
      <c r="A295" s="11">
        <v>10112</v>
      </c>
      <c r="B295" t="s">
        <v>131</v>
      </c>
      <c r="C295" t="s">
        <v>125</v>
      </c>
      <c r="D295" t="s">
        <v>121</v>
      </c>
      <c r="E295" t="s">
        <v>136</v>
      </c>
      <c r="F295" s="6" t="s">
        <v>612</v>
      </c>
      <c r="H295">
        <v>2</v>
      </c>
      <c r="I295" s="1">
        <v>0</v>
      </c>
      <c r="J295">
        <v>0</v>
      </c>
      <c r="K295">
        <v>0</v>
      </c>
      <c r="L295" s="20">
        <v>6840</v>
      </c>
      <c r="M295">
        <v>1</v>
      </c>
      <c r="N295">
        <v>0</v>
      </c>
      <c r="O295">
        <v>0</v>
      </c>
      <c r="P295">
        <v>0</v>
      </c>
      <c r="Q295" s="22">
        <v>20280</v>
      </c>
      <c r="R295">
        <v>3</v>
      </c>
      <c r="S295" s="1">
        <v>0</v>
      </c>
      <c r="T295">
        <v>0</v>
      </c>
      <c r="U295">
        <v>0</v>
      </c>
      <c r="V295" s="21">
        <v>10140</v>
      </c>
      <c r="W295">
        <v>6</v>
      </c>
      <c r="X295">
        <v>1</v>
      </c>
      <c r="Y295">
        <v>0</v>
      </c>
      <c r="Z295">
        <v>3</v>
      </c>
      <c r="AA295">
        <v>10</v>
      </c>
      <c r="AL295" s="3"/>
      <c r="AM295" s="1"/>
    </row>
    <row r="296" spans="1:39" ht="14.25" x14ac:dyDescent="0.2">
      <c r="A296" s="11">
        <v>10113</v>
      </c>
      <c r="B296" t="s">
        <v>180</v>
      </c>
      <c r="C296" t="s">
        <v>121</v>
      </c>
      <c r="D296" t="s">
        <v>121</v>
      </c>
      <c r="E296" t="s">
        <v>121</v>
      </c>
      <c r="F296" s="6" t="s">
        <v>614</v>
      </c>
      <c r="H296">
        <v>2</v>
      </c>
      <c r="I296" s="1">
        <v>0</v>
      </c>
      <c r="J296">
        <v>0</v>
      </c>
      <c r="K296">
        <v>0</v>
      </c>
      <c r="L296" s="20">
        <v>6840</v>
      </c>
      <c r="M296">
        <v>1</v>
      </c>
      <c r="N296">
        <v>0</v>
      </c>
      <c r="O296">
        <v>0</v>
      </c>
      <c r="P296">
        <v>0</v>
      </c>
      <c r="Q296" s="22">
        <v>20520</v>
      </c>
      <c r="R296">
        <v>3</v>
      </c>
      <c r="S296" s="1">
        <v>0</v>
      </c>
      <c r="T296">
        <v>0</v>
      </c>
      <c r="U296">
        <v>0</v>
      </c>
      <c r="V296" s="21">
        <v>10260</v>
      </c>
      <c r="W296">
        <v>15</v>
      </c>
      <c r="X296">
        <v>0</v>
      </c>
      <c r="Y296">
        <v>0</v>
      </c>
      <c r="Z296">
        <v>0</v>
      </c>
      <c r="AA296">
        <v>1</v>
      </c>
      <c r="AL296" s="3"/>
      <c r="AM296" s="1"/>
    </row>
    <row r="297" spans="1:39" ht="14.25" x14ac:dyDescent="0.2">
      <c r="A297" s="11">
        <v>10114</v>
      </c>
      <c r="B297" t="s">
        <v>178</v>
      </c>
      <c r="C297" t="s">
        <v>121</v>
      </c>
      <c r="D297" t="s">
        <v>121</v>
      </c>
      <c r="E297" t="s">
        <v>121</v>
      </c>
      <c r="F297" s="6" t="s">
        <v>614</v>
      </c>
      <c r="H297">
        <v>2</v>
      </c>
      <c r="I297" s="1">
        <v>0</v>
      </c>
      <c r="J297">
        <v>0</v>
      </c>
      <c r="K297">
        <v>0</v>
      </c>
      <c r="L297" s="20">
        <v>6840</v>
      </c>
      <c r="M297">
        <v>1</v>
      </c>
      <c r="N297">
        <v>0</v>
      </c>
      <c r="O297">
        <v>0</v>
      </c>
      <c r="P297">
        <v>0</v>
      </c>
      <c r="Q297" s="22">
        <v>20520</v>
      </c>
      <c r="R297">
        <v>3</v>
      </c>
      <c r="S297" s="1">
        <v>0</v>
      </c>
      <c r="T297">
        <v>0</v>
      </c>
      <c r="U297">
        <v>0</v>
      </c>
      <c r="V297" s="21">
        <v>10260</v>
      </c>
      <c r="W297">
        <v>21</v>
      </c>
      <c r="X297">
        <v>0</v>
      </c>
      <c r="Y297">
        <v>0</v>
      </c>
      <c r="Z297">
        <v>0</v>
      </c>
      <c r="AA297">
        <v>1</v>
      </c>
      <c r="AL297" s="3"/>
      <c r="AM297" s="1"/>
    </row>
    <row r="298" spans="1:39" ht="14.25" x14ac:dyDescent="0.2">
      <c r="A298" s="11">
        <v>10115</v>
      </c>
      <c r="B298" t="s">
        <v>130</v>
      </c>
      <c r="C298" t="s">
        <v>121</v>
      </c>
      <c r="D298" t="s">
        <v>121</v>
      </c>
      <c r="E298" t="s">
        <v>121</v>
      </c>
      <c r="F298" s="6" t="s">
        <v>616</v>
      </c>
      <c r="H298">
        <v>2</v>
      </c>
      <c r="I298" s="1">
        <v>0</v>
      </c>
      <c r="J298">
        <v>0</v>
      </c>
      <c r="K298">
        <v>0</v>
      </c>
      <c r="L298" s="20">
        <v>6840</v>
      </c>
      <c r="M298">
        <v>1</v>
      </c>
      <c r="N298">
        <v>0</v>
      </c>
      <c r="O298">
        <v>0</v>
      </c>
      <c r="P298">
        <v>0</v>
      </c>
      <c r="Q298" s="22">
        <v>20520</v>
      </c>
      <c r="R298">
        <v>3</v>
      </c>
      <c r="S298" s="1">
        <v>0</v>
      </c>
      <c r="T298">
        <v>0</v>
      </c>
      <c r="U298">
        <v>0</v>
      </c>
      <c r="V298" s="21">
        <v>10260</v>
      </c>
      <c r="W298">
        <v>9</v>
      </c>
      <c r="X298">
        <v>0</v>
      </c>
      <c r="Y298">
        <v>0</v>
      </c>
      <c r="Z298">
        <v>0</v>
      </c>
      <c r="AA298">
        <v>10</v>
      </c>
      <c r="AL298" s="3"/>
      <c r="AM298" s="1"/>
    </row>
    <row r="299" spans="1:39" ht="14.25" x14ac:dyDescent="0.2">
      <c r="A299" s="11">
        <v>10116</v>
      </c>
      <c r="B299" t="s">
        <v>181</v>
      </c>
      <c r="C299" t="s">
        <v>121</v>
      </c>
      <c r="D299" t="s">
        <v>121</v>
      </c>
      <c r="E299" t="s">
        <v>121</v>
      </c>
      <c r="F299" s="6" t="s">
        <v>618</v>
      </c>
      <c r="H299">
        <v>2</v>
      </c>
      <c r="I299" s="1">
        <v>0</v>
      </c>
      <c r="J299">
        <v>0</v>
      </c>
      <c r="K299">
        <v>0</v>
      </c>
      <c r="L299" s="20">
        <v>6920</v>
      </c>
      <c r="M299">
        <v>1</v>
      </c>
      <c r="N299">
        <v>0</v>
      </c>
      <c r="O299">
        <v>0</v>
      </c>
      <c r="P299">
        <v>0</v>
      </c>
      <c r="Q299" s="22">
        <v>20520</v>
      </c>
      <c r="R299">
        <v>3</v>
      </c>
      <c r="S299" s="1">
        <v>0</v>
      </c>
      <c r="T299">
        <v>0</v>
      </c>
      <c r="U299">
        <v>0</v>
      </c>
      <c r="V299" s="21">
        <v>10260</v>
      </c>
      <c r="W299">
        <v>30</v>
      </c>
      <c r="X299">
        <v>0</v>
      </c>
      <c r="Y299">
        <v>0</v>
      </c>
      <c r="Z299">
        <v>0</v>
      </c>
      <c r="AA299">
        <v>10</v>
      </c>
      <c r="AL299" s="3"/>
      <c r="AM299" s="1"/>
    </row>
    <row r="300" spans="1:39" ht="14.25" x14ac:dyDescent="0.2">
      <c r="A300" s="11">
        <v>10117</v>
      </c>
      <c r="B300" t="s">
        <v>122</v>
      </c>
      <c r="C300" t="s">
        <v>121</v>
      </c>
      <c r="D300" t="s">
        <v>121</v>
      </c>
      <c r="E300" t="s">
        <v>121</v>
      </c>
      <c r="F300" s="6" t="s">
        <v>618</v>
      </c>
      <c r="H300">
        <v>2</v>
      </c>
      <c r="I300" s="1">
        <v>0</v>
      </c>
      <c r="J300">
        <v>0</v>
      </c>
      <c r="K300">
        <v>0</v>
      </c>
      <c r="L300" s="20">
        <v>6920</v>
      </c>
      <c r="M300">
        <v>1</v>
      </c>
      <c r="N300">
        <v>0</v>
      </c>
      <c r="O300">
        <v>0</v>
      </c>
      <c r="P300">
        <v>0</v>
      </c>
      <c r="Q300" s="22">
        <v>20520</v>
      </c>
      <c r="R300">
        <v>3</v>
      </c>
      <c r="S300" s="1">
        <v>0</v>
      </c>
      <c r="T300">
        <v>0</v>
      </c>
      <c r="U300">
        <v>0</v>
      </c>
      <c r="V300" s="21">
        <v>10260</v>
      </c>
      <c r="W300">
        <v>4</v>
      </c>
      <c r="X300">
        <v>0</v>
      </c>
      <c r="Y300">
        <v>0</v>
      </c>
      <c r="Z300">
        <v>0</v>
      </c>
      <c r="AA300">
        <v>10</v>
      </c>
      <c r="AL300" s="3"/>
      <c r="AM300" s="1"/>
    </row>
    <row r="301" spans="1:39" ht="14.25" x14ac:dyDescent="0.2">
      <c r="A301" s="11">
        <v>10118</v>
      </c>
      <c r="B301" t="s">
        <v>178</v>
      </c>
      <c r="C301" t="s">
        <v>121</v>
      </c>
      <c r="D301" t="s">
        <v>121</v>
      </c>
      <c r="E301" t="s">
        <v>121</v>
      </c>
      <c r="F301" s="6" t="s">
        <v>620</v>
      </c>
      <c r="H301">
        <v>2</v>
      </c>
      <c r="I301" s="1">
        <v>0</v>
      </c>
      <c r="J301">
        <v>0</v>
      </c>
      <c r="K301">
        <v>0</v>
      </c>
      <c r="L301" s="20">
        <v>6920</v>
      </c>
      <c r="M301">
        <v>1</v>
      </c>
      <c r="N301">
        <v>0</v>
      </c>
      <c r="O301">
        <v>0</v>
      </c>
      <c r="P301">
        <v>0</v>
      </c>
      <c r="Q301" s="22">
        <v>20760</v>
      </c>
      <c r="R301">
        <v>3</v>
      </c>
      <c r="S301" s="1">
        <v>0</v>
      </c>
      <c r="T301">
        <v>0</v>
      </c>
      <c r="U301">
        <v>0</v>
      </c>
      <c r="V301" s="21">
        <v>10380</v>
      </c>
      <c r="W301">
        <v>21</v>
      </c>
      <c r="X301">
        <v>0</v>
      </c>
      <c r="Y301">
        <v>0</v>
      </c>
      <c r="Z301">
        <v>0</v>
      </c>
      <c r="AA301">
        <v>1</v>
      </c>
      <c r="AL301" s="3"/>
      <c r="AM301" s="1"/>
    </row>
    <row r="302" spans="1:39" ht="14.25" x14ac:dyDescent="0.2">
      <c r="A302" s="11">
        <v>10119</v>
      </c>
      <c r="B302" t="s">
        <v>130</v>
      </c>
      <c r="C302" t="s">
        <v>121</v>
      </c>
      <c r="D302" t="s">
        <v>121</v>
      </c>
      <c r="E302" t="s">
        <v>121</v>
      </c>
      <c r="F302" s="6" t="s">
        <v>622</v>
      </c>
      <c r="H302">
        <v>2</v>
      </c>
      <c r="I302" s="1">
        <v>0</v>
      </c>
      <c r="J302">
        <v>0</v>
      </c>
      <c r="K302">
        <v>0</v>
      </c>
      <c r="L302" s="20">
        <v>6920</v>
      </c>
      <c r="M302">
        <v>1</v>
      </c>
      <c r="N302">
        <v>0</v>
      </c>
      <c r="O302">
        <v>0</v>
      </c>
      <c r="P302">
        <v>0</v>
      </c>
      <c r="Q302" s="22">
        <v>20760</v>
      </c>
      <c r="R302">
        <v>3</v>
      </c>
      <c r="S302" s="1">
        <v>0</v>
      </c>
      <c r="T302">
        <v>0</v>
      </c>
      <c r="U302">
        <v>0</v>
      </c>
      <c r="V302" s="21">
        <v>10380</v>
      </c>
      <c r="W302">
        <v>9</v>
      </c>
      <c r="X302">
        <v>0</v>
      </c>
      <c r="Y302">
        <v>0</v>
      </c>
      <c r="Z302">
        <v>0</v>
      </c>
      <c r="AA302">
        <v>10</v>
      </c>
      <c r="AL302" s="3"/>
      <c r="AM302" s="1"/>
    </row>
    <row r="303" spans="1:39" ht="14.25" x14ac:dyDescent="0.2">
      <c r="A303" s="11">
        <v>10120</v>
      </c>
      <c r="B303" t="s">
        <v>123</v>
      </c>
      <c r="C303" t="s">
        <v>121</v>
      </c>
      <c r="D303" t="s">
        <v>121</v>
      </c>
      <c r="E303" t="s">
        <v>121</v>
      </c>
      <c r="F303" s="6" t="s">
        <v>622</v>
      </c>
      <c r="H303">
        <v>2</v>
      </c>
      <c r="I303" s="1">
        <v>0</v>
      </c>
      <c r="J303">
        <v>0</v>
      </c>
      <c r="K303">
        <v>0</v>
      </c>
      <c r="L303" s="20">
        <v>6920</v>
      </c>
      <c r="M303">
        <v>1</v>
      </c>
      <c r="N303">
        <v>0</v>
      </c>
      <c r="O303">
        <v>0</v>
      </c>
      <c r="P303">
        <v>0</v>
      </c>
      <c r="Q303" s="22">
        <v>20760</v>
      </c>
      <c r="R303">
        <v>3</v>
      </c>
      <c r="S303" s="1">
        <v>0</v>
      </c>
      <c r="T303">
        <v>0</v>
      </c>
      <c r="U303">
        <v>0</v>
      </c>
      <c r="V303" s="21">
        <v>10380</v>
      </c>
      <c r="W303">
        <v>12</v>
      </c>
      <c r="X303">
        <v>0</v>
      </c>
      <c r="Y303">
        <v>0</v>
      </c>
      <c r="Z303">
        <v>0</v>
      </c>
      <c r="AA303">
        <v>10</v>
      </c>
      <c r="AL303" s="3"/>
      <c r="AM303" s="1"/>
    </row>
    <row r="304" spans="1:39" ht="14.25" x14ac:dyDescent="0.2">
      <c r="A304" s="11">
        <v>10121</v>
      </c>
      <c r="B304" t="s">
        <v>126</v>
      </c>
      <c r="C304" t="s">
        <v>121</v>
      </c>
      <c r="D304" t="s">
        <v>121</v>
      </c>
      <c r="E304" t="s">
        <v>121</v>
      </c>
      <c r="F304" s="6" t="s">
        <v>624</v>
      </c>
      <c r="H304">
        <v>2</v>
      </c>
      <c r="I304" s="1">
        <v>0</v>
      </c>
      <c r="J304">
        <v>0</v>
      </c>
      <c r="K304">
        <v>0</v>
      </c>
      <c r="L304" s="20">
        <v>7000</v>
      </c>
      <c r="M304">
        <v>1</v>
      </c>
      <c r="N304">
        <v>0</v>
      </c>
      <c r="O304">
        <v>0</v>
      </c>
      <c r="P304">
        <v>0</v>
      </c>
      <c r="Q304" s="22">
        <v>20760</v>
      </c>
      <c r="R304">
        <v>3</v>
      </c>
      <c r="S304" s="1">
        <v>0</v>
      </c>
      <c r="T304">
        <v>0</v>
      </c>
      <c r="U304">
        <v>0</v>
      </c>
      <c r="V304" s="21">
        <v>10380</v>
      </c>
      <c r="W304">
        <v>23</v>
      </c>
      <c r="X304">
        <v>0</v>
      </c>
      <c r="Y304">
        <v>0</v>
      </c>
      <c r="Z304">
        <v>0</v>
      </c>
      <c r="AA304">
        <v>1</v>
      </c>
      <c r="AL304" s="3"/>
      <c r="AM304" s="1"/>
    </row>
    <row r="305" spans="1:39" ht="14.25" x14ac:dyDescent="0.2">
      <c r="A305" s="11">
        <v>10122</v>
      </c>
      <c r="B305" t="s">
        <v>131</v>
      </c>
      <c r="C305" t="s">
        <v>125</v>
      </c>
      <c r="D305" t="s">
        <v>121</v>
      </c>
      <c r="E305" t="s">
        <v>136</v>
      </c>
      <c r="F305" s="6" t="s">
        <v>626</v>
      </c>
      <c r="H305">
        <v>2</v>
      </c>
      <c r="I305" s="1">
        <v>0</v>
      </c>
      <c r="J305">
        <v>0</v>
      </c>
      <c r="K305">
        <v>0</v>
      </c>
      <c r="L305" s="20">
        <v>7000</v>
      </c>
      <c r="M305">
        <v>1</v>
      </c>
      <c r="N305">
        <v>0</v>
      </c>
      <c r="O305">
        <v>0</v>
      </c>
      <c r="P305">
        <v>0</v>
      </c>
      <c r="Q305" s="22">
        <v>20760</v>
      </c>
      <c r="R305">
        <v>3</v>
      </c>
      <c r="S305" s="1">
        <v>0</v>
      </c>
      <c r="T305">
        <v>0</v>
      </c>
      <c r="U305">
        <v>0</v>
      </c>
      <c r="V305" s="21">
        <v>10380</v>
      </c>
      <c r="W305">
        <v>6</v>
      </c>
      <c r="X305">
        <v>1</v>
      </c>
      <c r="Y305">
        <v>0</v>
      </c>
      <c r="Z305">
        <v>3</v>
      </c>
      <c r="AA305">
        <v>10</v>
      </c>
      <c r="AL305" s="3"/>
      <c r="AM305" s="1"/>
    </row>
    <row r="306" spans="1:39" ht="14.25" x14ac:dyDescent="0.2">
      <c r="A306" s="11">
        <v>10123</v>
      </c>
      <c r="B306" t="s">
        <v>180</v>
      </c>
      <c r="C306" t="s">
        <v>121</v>
      </c>
      <c r="D306" t="s">
        <v>121</v>
      </c>
      <c r="E306" t="s">
        <v>121</v>
      </c>
      <c r="F306" s="6" t="s">
        <v>628</v>
      </c>
      <c r="H306">
        <v>2</v>
      </c>
      <c r="I306" s="1">
        <v>0</v>
      </c>
      <c r="J306">
        <v>0</v>
      </c>
      <c r="K306">
        <v>0</v>
      </c>
      <c r="L306" s="20">
        <v>7000</v>
      </c>
      <c r="M306">
        <v>1</v>
      </c>
      <c r="N306">
        <v>0</v>
      </c>
      <c r="O306">
        <v>0</v>
      </c>
      <c r="P306">
        <v>0</v>
      </c>
      <c r="Q306" s="22">
        <v>21000</v>
      </c>
      <c r="R306">
        <v>3</v>
      </c>
      <c r="S306" s="1">
        <v>0</v>
      </c>
      <c r="T306">
        <v>0</v>
      </c>
      <c r="U306">
        <v>0</v>
      </c>
      <c r="V306" s="21">
        <v>10500</v>
      </c>
      <c r="W306">
        <v>15</v>
      </c>
      <c r="X306">
        <v>0</v>
      </c>
      <c r="Y306">
        <v>0</v>
      </c>
      <c r="Z306">
        <v>0</v>
      </c>
      <c r="AA306">
        <v>1</v>
      </c>
      <c r="AL306" s="3"/>
      <c r="AM306" s="1"/>
    </row>
    <row r="307" spans="1:39" ht="14.25" x14ac:dyDescent="0.2">
      <c r="A307" s="11">
        <v>10124</v>
      </c>
      <c r="B307" t="s">
        <v>178</v>
      </c>
      <c r="C307" t="s">
        <v>121</v>
      </c>
      <c r="D307" t="s">
        <v>121</v>
      </c>
      <c r="E307" t="s">
        <v>121</v>
      </c>
      <c r="F307" s="6" t="s">
        <v>628</v>
      </c>
      <c r="H307">
        <v>2</v>
      </c>
      <c r="I307" s="1">
        <v>0</v>
      </c>
      <c r="J307">
        <v>0</v>
      </c>
      <c r="K307">
        <v>0</v>
      </c>
      <c r="L307" s="20">
        <v>7000</v>
      </c>
      <c r="M307">
        <v>1</v>
      </c>
      <c r="N307">
        <v>0</v>
      </c>
      <c r="O307">
        <v>0</v>
      </c>
      <c r="P307">
        <v>0</v>
      </c>
      <c r="Q307" s="22">
        <v>21000</v>
      </c>
      <c r="R307">
        <v>3</v>
      </c>
      <c r="S307" s="1">
        <v>0</v>
      </c>
      <c r="T307">
        <v>0</v>
      </c>
      <c r="U307">
        <v>0</v>
      </c>
      <c r="V307" s="21">
        <v>10500</v>
      </c>
      <c r="W307">
        <v>21</v>
      </c>
      <c r="X307">
        <v>0</v>
      </c>
      <c r="Y307">
        <v>0</v>
      </c>
      <c r="Z307">
        <v>0</v>
      </c>
      <c r="AA307">
        <v>1</v>
      </c>
      <c r="AL307" s="3"/>
      <c r="AM307" s="1"/>
    </row>
    <row r="308" spans="1:39" ht="14.25" x14ac:dyDescent="0.2">
      <c r="A308" s="11">
        <v>10125</v>
      </c>
      <c r="B308" t="s">
        <v>130</v>
      </c>
      <c r="C308" t="s">
        <v>121</v>
      </c>
      <c r="D308" t="s">
        <v>121</v>
      </c>
      <c r="E308" t="s">
        <v>121</v>
      </c>
      <c r="F308" s="6" t="s">
        <v>630</v>
      </c>
      <c r="H308">
        <v>2</v>
      </c>
      <c r="I308" s="1">
        <v>0</v>
      </c>
      <c r="J308">
        <v>0</v>
      </c>
      <c r="K308">
        <v>0</v>
      </c>
      <c r="L308" s="20">
        <v>7000</v>
      </c>
      <c r="M308">
        <v>1</v>
      </c>
      <c r="N308">
        <v>0</v>
      </c>
      <c r="O308">
        <v>0</v>
      </c>
      <c r="P308">
        <v>0</v>
      </c>
      <c r="Q308" s="22">
        <v>21000</v>
      </c>
      <c r="R308">
        <v>3</v>
      </c>
      <c r="S308" s="1">
        <v>0</v>
      </c>
      <c r="T308">
        <v>0</v>
      </c>
      <c r="U308">
        <v>0</v>
      </c>
      <c r="V308" s="21">
        <v>10500</v>
      </c>
      <c r="W308">
        <v>9</v>
      </c>
      <c r="X308">
        <v>0</v>
      </c>
      <c r="Y308">
        <v>0</v>
      </c>
      <c r="Z308">
        <v>0</v>
      </c>
      <c r="AA308">
        <v>10</v>
      </c>
      <c r="AL308" s="3"/>
      <c r="AM308" s="1"/>
    </row>
    <row r="309" spans="1:39" ht="14.25" x14ac:dyDescent="0.2">
      <c r="A309" s="11">
        <v>10126</v>
      </c>
      <c r="B309" t="s">
        <v>181</v>
      </c>
      <c r="C309" t="s">
        <v>121</v>
      </c>
      <c r="D309" t="s">
        <v>121</v>
      </c>
      <c r="E309" t="s">
        <v>121</v>
      </c>
      <c r="F309" s="6" t="s">
        <v>632</v>
      </c>
      <c r="H309">
        <v>2</v>
      </c>
      <c r="I309" s="1">
        <v>0</v>
      </c>
      <c r="J309">
        <v>0</v>
      </c>
      <c r="K309">
        <v>0</v>
      </c>
      <c r="L309" s="20">
        <v>7080</v>
      </c>
      <c r="M309">
        <v>1</v>
      </c>
      <c r="N309">
        <v>0</v>
      </c>
      <c r="O309">
        <v>0</v>
      </c>
      <c r="P309">
        <v>0</v>
      </c>
      <c r="Q309" s="22">
        <v>21000</v>
      </c>
      <c r="R309">
        <v>3</v>
      </c>
      <c r="S309" s="1">
        <v>0</v>
      </c>
      <c r="T309">
        <v>0</v>
      </c>
      <c r="U309">
        <v>0</v>
      </c>
      <c r="V309" s="21">
        <v>10500</v>
      </c>
      <c r="W309">
        <v>30</v>
      </c>
      <c r="X309">
        <v>0</v>
      </c>
      <c r="Y309">
        <v>0</v>
      </c>
      <c r="Z309">
        <v>0</v>
      </c>
      <c r="AA309">
        <v>10</v>
      </c>
      <c r="AL309" s="3"/>
      <c r="AM309" s="1"/>
    </row>
    <row r="310" spans="1:39" ht="14.25" x14ac:dyDescent="0.2">
      <c r="A310" s="11">
        <v>10127</v>
      </c>
      <c r="B310" t="s">
        <v>122</v>
      </c>
      <c r="C310" t="s">
        <v>121</v>
      </c>
      <c r="D310" t="s">
        <v>121</v>
      </c>
      <c r="E310" t="s">
        <v>121</v>
      </c>
      <c r="F310" s="6" t="s">
        <v>632</v>
      </c>
      <c r="H310">
        <v>2</v>
      </c>
      <c r="I310" s="1">
        <v>0</v>
      </c>
      <c r="J310">
        <v>0</v>
      </c>
      <c r="K310">
        <v>0</v>
      </c>
      <c r="L310" s="20">
        <v>7080</v>
      </c>
      <c r="M310">
        <v>1</v>
      </c>
      <c r="N310">
        <v>0</v>
      </c>
      <c r="O310">
        <v>0</v>
      </c>
      <c r="P310">
        <v>0</v>
      </c>
      <c r="Q310" s="22">
        <v>21000</v>
      </c>
      <c r="R310">
        <v>3</v>
      </c>
      <c r="S310" s="1">
        <v>0</v>
      </c>
      <c r="T310">
        <v>0</v>
      </c>
      <c r="U310">
        <v>0</v>
      </c>
      <c r="V310" s="21">
        <v>10500</v>
      </c>
      <c r="W310">
        <v>4</v>
      </c>
      <c r="X310">
        <v>0</v>
      </c>
      <c r="Y310">
        <v>0</v>
      </c>
      <c r="Z310">
        <v>0</v>
      </c>
      <c r="AA310">
        <v>10</v>
      </c>
      <c r="AL310" s="3"/>
      <c r="AM310" s="1"/>
    </row>
    <row r="311" spans="1:39" ht="14.25" x14ac:dyDescent="0.2">
      <c r="A311" s="11">
        <v>10128</v>
      </c>
      <c r="B311" t="s">
        <v>178</v>
      </c>
      <c r="C311" t="s">
        <v>121</v>
      </c>
      <c r="D311" t="s">
        <v>121</v>
      </c>
      <c r="E311" t="s">
        <v>121</v>
      </c>
      <c r="F311" s="6" t="s">
        <v>634</v>
      </c>
      <c r="H311">
        <v>2</v>
      </c>
      <c r="I311" s="1">
        <v>0</v>
      </c>
      <c r="J311">
        <v>0</v>
      </c>
      <c r="K311">
        <v>0</v>
      </c>
      <c r="L311" s="20">
        <v>7080</v>
      </c>
      <c r="M311">
        <v>1</v>
      </c>
      <c r="N311">
        <v>0</v>
      </c>
      <c r="O311">
        <v>0</v>
      </c>
      <c r="P311">
        <v>0</v>
      </c>
      <c r="Q311" s="22">
        <v>21240</v>
      </c>
      <c r="R311">
        <v>3</v>
      </c>
      <c r="S311" s="1">
        <v>0</v>
      </c>
      <c r="T311">
        <v>0</v>
      </c>
      <c r="U311">
        <v>0</v>
      </c>
      <c r="V311" s="21">
        <v>10620</v>
      </c>
      <c r="W311">
        <v>21</v>
      </c>
      <c r="X311">
        <v>0</v>
      </c>
      <c r="Y311">
        <v>0</v>
      </c>
      <c r="Z311">
        <v>0</v>
      </c>
      <c r="AA311">
        <v>1</v>
      </c>
      <c r="AL311" s="3"/>
      <c r="AM311" s="1"/>
    </row>
    <row r="312" spans="1:39" ht="14.25" x14ac:dyDescent="0.2">
      <c r="A312" s="11">
        <v>10129</v>
      </c>
      <c r="B312" t="s">
        <v>130</v>
      </c>
      <c r="C312" t="s">
        <v>121</v>
      </c>
      <c r="D312" t="s">
        <v>121</v>
      </c>
      <c r="E312" t="s">
        <v>121</v>
      </c>
      <c r="F312" s="6" t="s">
        <v>636</v>
      </c>
      <c r="H312">
        <v>2</v>
      </c>
      <c r="I312" s="1">
        <v>0</v>
      </c>
      <c r="J312">
        <v>0</v>
      </c>
      <c r="K312">
        <v>0</v>
      </c>
      <c r="L312" s="20">
        <v>7080</v>
      </c>
      <c r="M312">
        <v>1</v>
      </c>
      <c r="N312">
        <v>0</v>
      </c>
      <c r="O312">
        <v>0</v>
      </c>
      <c r="P312">
        <v>0</v>
      </c>
      <c r="Q312" s="22">
        <v>21240</v>
      </c>
      <c r="R312">
        <v>3</v>
      </c>
      <c r="S312" s="1">
        <v>0</v>
      </c>
      <c r="T312">
        <v>0</v>
      </c>
      <c r="U312">
        <v>0</v>
      </c>
      <c r="V312" s="21">
        <v>10620</v>
      </c>
      <c r="W312">
        <v>9</v>
      </c>
      <c r="X312">
        <v>0</v>
      </c>
      <c r="Y312">
        <v>0</v>
      </c>
      <c r="Z312">
        <v>0</v>
      </c>
      <c r="AA312">
        <v>10</v>
      </c>
      <c r="AL312" s="3"/>
      <c r="AM312" s="1"/>
    </row>
    <row r="313" spans="1:39" ht="14.25" x14ac:dyDescent="0.2">
      <c r="A313" s="11">
        <v>10130</v>
      </c>
      <c r="B313" t="s">
        <v>123</v>
      </c>
      <c r="C313" t="s">
        <v>121</v>
      </c>
      <c r="D313" t="s">
        <v>121</v>
      </c>
      <c r="E313" t="s">
        <v>121</v>
      </c>
      <c r="F313" s="6" t="s">
        <v>636</v>
      </c>
      <c r="H313">
        <v>2</v>
      </c>
      <c r="I313" s="1">
        <v>0</v>
      </c>
      <c r="J313">
        <v>0</v>
      </c>
      <c r="K313">
        <v>0</v>
      </c>
      <c r="L313" s="20">
        <v>7080</v>
      </c>
      <c r="M313">
        <v>1</v>
      </c>
      <c r="N313">
        <v>0</v>
      </c>
      <c r="O313">
        <v>0</v>
      </c>
      <c r="P313">
        <v>0</v>
      </c>
      <c r="Q313" s="22">
        <v>21240</v>
      </c>
      <c r="R313">
        <v>3</v>
      </c>
      <c r="S313" s="1">
        <v>0</v>
      </c>
      <c r="T313">
        <v>0</v>
      </c>
      <c r="U313">
        <v>0</v>
      </c>
      <c r="V313" s="21">
        <v>10620</v>
      </c>
      <c r="W313">
        <v>12</v>
      </c>
      <c r="X313">
        <v>0</v>
      </c>
      <c r="Y313">
        <v>0</v>
      </c>
      <c r="Z313">
        <v>0</v>
      </c>
      <c r="AA313">
        <v>10</v>
      </c>
      <c r="AL313" s="3"/>
      <c r="AM313" s="1"/>
    </row>
    <row r="314" spans="1:39" ht="14.25" x14ac:dyDescent="0.2">
      <c r="A314" s="11">
        <v>10131</v>
      </c>
      <c r="B314" t="s">
        <v>126</v>
      </c>
      <c r="C314" t="s">
        <v>121</v>
      </c>
      <c r="D314" t="s">
        <v>121</v>
      </c>
      <c r="E314" t="s">
        <v>121</v>
      </c>
      <c r="F314" s="6" t="s">
        <v>638</v>
      </c>
      <c r="H314">
        <v>2</v>
      </c>
      <c r="I314" s="1">
        <v>0</v>
      </c>
      <c r="J314">
        <v>0</v>
      </c>
      <c r="K314">
        <v>0</v>
      </c>
      <c r="L314" s="20">
        <v>7160</v>
      </c>
      <c r="M314">
        <v>1</v>
      </c>
      <c r="N314">
        <v>0</v>
      </c>
      <c r="O314">
        <v>0</v>
      </c>
      <c r="P314">
        <v>0</v>
      </c>
      <c r="Q314" s="22">
        <v>21240</v>
      </c>
      <c r="R314">
        <v>3</v>
      </c>
      <c r="S314" s="1">
        <v>0</v>
      </c>
      <c r="T314">
        <v>0</v>
      </c>
      <c r="U314">
        <v>0</v>
      </c>
      <c r="V314" s="21">
        <v>10620</v>
      </c>
      <c r="W314">
        <v>23</v>
      </c>
      <c r="X314">
        <v>0</v>
      </c>
      <c r="Y314">
        <v>0</v>
      </c>
      <c r="Z314">
        <v>0</v>
      </c>
      <c r="AA314">
        <v>1</v>
      </c>
      <c r="AL314" s="3"/>
      <c r="AM314" s="1"/>
    </row>
    <row r="315" spans="1:39" ht="14.25" x14ac:dyDescent="0.2">
      <c r="A315" s="11">
        <v>10132</v>
      </c>
      <c r="B315" t="s">
        <v>131</v>
      </c>
      <c r="C315" t="s">
        <v>125</v>
      </c>
      <c r="D315" t="s">
        <v>121</v>
      </c>
      <c r="E315" t="s">
        <v>136</v>
      </c>
      <c r="F315" s="6" t="s">
        <v>640</v>
      </c>
      <c r="H315">
        <v>2</v>
      </c>
      <c r="I315" s="1">
        <v>0</v>
      </c>
      <c r="J315">
        <v>0</v>
      </c>
      <c r="K315">
        <v>0</v>
      </c>
      <c r="L315" s="20">
        <v>7160</v>
      </c>
      <c r="M315">
        <v>1</v>
      </c>
      <c r="N315">
        <v>0</v>
      </c>
      <c r="O315">
        <v>0</v>
      </c>
      <c r="P315">
        <v>0</v>
      </c>
      <c r="Q315" s="22">
        <v>21240</v>
      </c>
      <c r="R315">
        <v>3</v>
      </c>
      <c r="S315" s="1">
        <v>0</v>
      </c>
      <c r="T315">
        <v>0</v>
      </c>
      <c r="U315">
        <v>0</v>
      </c>
      <c r="V315" s="21">
        <v>10620</v>
      </c>
      <c r="W315">
        <v>6</v>
      </c>
      <c r="X315">
        <v>1</v>
      </c>
      <c r="Y315">
        <v>0</v>
      </c>
      <c r="Z315">
        <v>3</v>
      </c>
      <c r="AA315">
        <v>10</v>
      </c>
      <c r="AL315" s="3"/>
      <c r="AM315" s="1"/>
    </row>
    <row r="316" spans="1:39" ht="14.25" x14ac:dyDescent="0.2">
      <c r="A316" s="11">
        <v>10133</v>
      </c>
      <c r="B316" t="s">
        <v>180</v>
      </c>
      <c r="C316" t="s">
        <v>121</v>
      </c>
      <c r="D316" t="s">
        <v>121</v>
      </c>
      <c r="E316" t="s">
        <v>121</v>
      </c>
      <c r="F316" s="6" t="s">
        <v>642</v>
      </c>
      <c r="H316">
        <v>2</v>
      </c>
      <c r="I316" s="1">
        <v>0</v>
      </c>
      <c r="J316">
        <v>0</v>
      </c>
      <c r="K316">
        <v>0</v>
      </c>
      <c r="L316" s="20">
        <v>7160</v>
      </c>
      <c r="M316">
        <v>1</v>
      </c>
      <c r="N316">
        <v>0</v>
      </c>
      <c r="O316">
        <v>0</v>
      </c>
      <c r="P316">
        <v>0</v>
      </c>
      <c r="Q316" s="22">
        <v>21480</v>
      </c>
      <c r="R316">
        <v>3</v>
      </c>
      <c r="S316" s="1">
        <v>0</v>
      </c>
      <c r="T316">
        <v>0</v>
      </c>
      <c r="U316">
        <v>0</v>
      </c>
      <c r="V316" s="21">
        <v>10740</v>
      </c>
      <c r="W316">
        <v>15</v>
      </c>
      <c r="X316">
        <v>0</v>
      </c>
      <c r="Y316">
        <v>0</v>
      </c>
      <c r="Z316">
        <v>0</v>
      </c>
      <c r="AA316">
        <v>1</v>
      </c>
      <c r="AL316" s="3"/>
      <c r="AM316" s="1"/>
    </row>
    <row r="317" spans="1:39" ht="14.25" x14ac:dyDescent="0.2">
      <c r="A317" s="11">
        <v>10134</v>
      </c>
      <c r="B317" t="s">
        <v>178</v>
      </c>
      <c r="C317" t="s">
        <v>121</v>
      </c>
      <c r="D317" t="s">
        <v>121</v>
      </c>
      <c r="E317" t="s">
        <v>121</v>
      </c>
      <c r="F317" s="6" t="s">
        <v>642</v>
      </c>
      <c r="H317">
        <v>2</v>
      </c>
      <c r="I317" s="1">
        <v>0</v>
      </c>
      <c r="J317">
        <v>0</v>
      </c>
      <c r="K317">
        <v>0</v>
      </c>
      <c r="L317" s="20">
        <v>7160</v>
      </c>
      <c r="M317">
        <v>1</v>
      </c>
      <c r="N317">
        <v>0</v>
      </c>
      <c r="O317">
        <v>0</v>
      </c>
      <c r="P317">
        <v>0</v>
      </c>
      <c r="Q317" s="22">
        <v>21480</v>
      </c>
      <c r="R317">
        <v>3</v>
      </c>
      <c r="S317" s="1">
        <v>0</v>
      </c>
      <c r="T317">
        <v>0</v>
      </c>
      <c r="U317">
        <v>0</v>
      </c>
      <c r="V317" s="21">
        <v>10740</v>
      </c>
      <c r="W317">
        <v>21</v>
      </c>
      <c r="X317">
        <v>0</v>
      </c>
      <c r="Y317">
        <v>0</v>
      </c>
      <c r="Z317">
        <v>0</v>
      </c>
      <c r="AA317">
        <v>1</v>
      </c>
      <c r="AL317" s="3"/>
      <c r="AM317" s="1"/>
    </row>
    <row r="318" spans="1:39" ht="14.25" x14ac:dyDescent="0.2">
      <c r="A318" s="11">
        <v>10135</v>
      </c>
      <c r="B318" t="s">
        <v>130</v>
      </c>
      <c r="C318" t="s">
        <v>121</v>
      </c>
      <c r="D318" t="s">
        <v>121</v>
      </c>
      <c r="E318" t="s">
        <v>121</v>
      </c>
      <c r="F318" s="6" t="s">
        <v>644</v>
      </c>
      <c r="H318">
        <v>2</v>
      </c>
      <c r="I318" s="1">
        <v>0</v>
      </c>
      <c r="J318">
        <v>0</v>
      </c>
      <c r="K318">
        <v>0</v>
      </c>
      <c r="L318" s="20">
        <v>7160</v>
      </c>
      <c r="M318">
        <v>1</v>
      </c>
      <c r="N318">
        <v>0</v>
      </c>
      <c r="O318">
        <v>0</v>
      </c>
      <c r="P318">
        <v>0</v>
      </c>
      <c r="Q318" s="22">
        <v>21480</v>
      </c>
      <c r="R318">
        <v>3</v>
      </c>
      <c r="S318" s="1">
        <v>0</v>
      </c>
      <c r="T318">
        <v>0</v>
      </c>
      <c r="U318">
        <v>0</v>
      </c>
      <c r="V318" s="21">
        <v>10740</v>
      </c>
      <c r="W318">
        <v>9</v>
      </c>
      <c r="X318">
        <v>0</v>
      </c>
      <c r="Y318">
        <v>0</v>
      </c>
      <c r="Z318">
        <v>0</v>
      </c>
      <c r="AA318">
        <v>10</v>
      </c>
      <c r="AL318" s="3"/>
      <c r="AM318" s="1"/>
    </row>
    <row r="319" spans="1:39" ht="14.25" x14ac:dyDescent="0.2">
      <c r="A319" s="11">
        <v>10136</v>
      </c>
      <c r="B319" t="s">
        <v>181</v>
      </c>
      <c r="C319" t="s">
        <v>121</v>
      </c>
      <c r="D319" t="s">
        <v>121</v>
      </c>
      <c r="E319" t="s">
        <v>121</v>
      </c>
      <c r="F319" s="6" t="s">
        <v>646</v>
      </c>
      <c r="H319">
        <v>2</v>
      </c>
      <c r="I319" s="1">
        <v>0</v>
      </c>
      <c r="J319">
        <v>0</v>
      </c>
      <c r="K319">
        <v>0</v>
      </c>
      <c r="L319" s="20">
        <v>7240</v>
      </c>
      <c r="M319">
        <v>1</v>
      </c>
      <c r="N319">
        <v>0</v>
      </c>
      <c r="O319">
        <v>0</v>
      </c>
      <c r="P319">
        <v>0</v>
      </c>
      <c r="Q319" s="22">
        <v>21480</v>
      </c>
      <c r="R319">
        <v>3</v>
      </c>
      <c r="S319" s="1">
        <v>0</v>
      </c>
      <c r="T319">
        <v>0</v>
      </c>
      <c r="U319">
        <v>0</v>
      </c>
      <c r="V319" s="21">
        <v>10740</v>
      </c>
      <c r="W319">
        <v>30</v>
      </c>
      <c r="X319">
        <v>0</v>
      </c>
      <c r="Y319">
        <v>0</v>
      </c>
      <c r="Z319">
        <v>0</v>
      </c>
      <c r="AA319">
        <v>10</v>
      </c>
      <c r="AL319" s="3"/>
      <c r="AM319" s="1"/>
    </row>
    <row r="320" spans="1:39" ht="14.25" x14ac:dyDescent="0.2">
      <c r="A320" s="11">
        <v>10137</v>
      </c>
      <c r="B320" t="s">
        <v>122</v>
      </c>
      <c r="C320" t="s">
        <v>121</v>
      </c>
      <c r="D320" t="s">
        <v>121</v>
      </c>
      <c r="E320" t="s">
        <v>121</v>
      </c>
      <c r="F320" s="6" t="s">
        <v>646</v>
      </c>
      <c r="H320">
        <v>2</v>
      </c>
      <c r="I320" s="1">
        <v>0</v>
      </c>
      <c r="J320">
        <v>0</v>
      </c>
      <c r="K320">
        <v>0</v>
      </c>
      <c r="L320" s="20">
        <v>7240</v>
      </c>
      <c r="M320">
        <v>1</v>
      </c>
      <c r="N320">
        <v>0</v>
      </c>
      <c r="O320">
        <v>0</v>
      </c>
      <c r="P320">
        <v>0</v>
      </c>
      <c r="Q320" s="22">
        <v>21480</v>
      </c>
      <c r="R320">
        <v>3</v>
      </c>
      <c r="S320" s="1">
        <v>0</v>
      </c>
      <c r="T320">
        <v>0</v>
      </c>
      <c r="U320">
        <v>0</v>
      </c>
      <c r="V320" s="21">
        <v>10740</v>
      </c>
      <c r="W320">
        <v>4</v>
      </c>
      <c r="X320">
        <v>0</v>
      </c>
      <c r="Y320">
        <v>0</v>
      </c>
      <c r="Z320">
        <v>0</v>
      </c>
      <c r="AA320">
        <v>10</v>
      </c>
      <c r="AL320" s="3"/>
      <c r="AM320" s="1"/>
    </row>
    <row r="321" spans="1:39" ht="14.25" x14ac:dyDescent="0.2">
      <c r="A321" s="11">
        <v>10138</v>
      </c>
      <c r="B321" t="s">
        <v>178</v>
      </c>
      <c r="C321" t="s">
        <v>121</v>
      </c>
      <c r="D321" t="s">
        <v>121</v>
      </c>
      <c r="E321" t="s">
        <v>121</v>
      </c>
      <c r="F321" s="6" t="s">
        <v>648</v>
      </c>
      <c r="H321">
        <v>2</v>
      </c>
      <c r="I321" s="1">
        <v>0</v>
      </c>
      <c r="J321">
        <v>0</v>
      </c>
      <c r="K321">
        <v>0</v>
      </c>
      <c r="L321" s="20">
        <v>7240</v>
      </c>
      <c r="M321">
        <v>1</v>
      </c>
      <c r="N321">
        <v>0</v>
      </c>
      <c r="O321">
        <v>0</v>
      </c>
      <c r="P321">
        <v>0</v>
      </c>
      <c r="Q321" s="22">
        <v>21720</v>
      </c>
      <c r="R321">
        <v>3</v>
      </c>
      <c r="S321" s="1">
        <v>0</v>
      </c>
      <c r="T321">
        <v>0</v>
      </c>
      <c r="U321">
        <v>0</v>
      </c>
      <c r="V321" s="21">
        <v>10860</v>
      </c>
      <c r="W321">
        <v>21</v>
      </c>
      <c r="X321">
        <v>0</v>
      </c>
      <c r="Y321">
        <v>0</v>
      </c>
      <c r="Z321">
        <v>0</v>
      </c>
      <c r="AA321">
        <v>1</v>
      </c>
      <c r="AL321" s="3"/>
      <c r="AM321" s="1"/>
    </row>
    <row r="322" spans="1:39" ht="14.25" x14ac:dyDescent="0.2">
      <c r="A322" s="11">
        <v>10139</v>
      </c>
      <c r="B322" t="s">
        <v>130</v>
      </c>
      <c r="C322" t="s">
        <v>121</v>
      </c>
      <c r="D322" t="s">
        <v>121</v>
      </c>
      <c r="E322" t="s">
        <v>121</v>
      </c>
      <c r="F322" s="6" t="s">
        <v>650</v>
      </c>
      <c r="H322">
        <v>2</v>
      </c>
      <c r="I322" s="1">
        <v>0</v>
      </c>
      <c r="J322">
        <v>0</v>
      </c>
      <c r="K322">
        <v>0</v>
      </c>
      <c r="L322" s="20">
        <v>7240</v>
      </c>
      <c r="M322">
        <v>1</v>
      </c>
      <c r="N322">
        <v>0</v>
      </c>
      <c r="O322">
        <v>0</v>
      </c>
      <c r="P322">
        <v>0</v>
      </c>
      <c r="Q322" s="22">
        <v>21720</v>
      </c>
      <c r="R322">
        <v>3</v>
      </c>
      <c r="S322" s="1">
        <v>0</v>
      </c>
      <c r="T322">
        <v>0</v>
      </c>
      <c r="U322">
        <v>0</v>
      </c>
      <c r="V322" s="21">
        <v>10860</v>
      </c>
      <c r="W322">
        <v>9</v>
      </c>
      <c r="X322">
        <v>0</v>
      </c>
      <c r="Y322">
        <v>0</v>
      </c>
      <c r="Z322">
        <v>0</v>
      </c>
      <c r="AA322">
        <v>10</v>
      </c>
      <c r="AL322" s="3"/>
      <c r="AM322" s="1"/>
    </row>
    <row r="323" spans="1:39" ht="14.25" x14ac:dyDescent="0.2">
      <c r="A323" s="11">
        <v>10140</v>
      </c>
      <c r="B323" t="s">
        <v>123</v>
      </c>
      <c r="C323" t="s">
        <v>121</v>
      </c>
      <c r="D323" t="s">
        <v>121</v>
      </c>
      <c r="E323" t="s">
        <v>121</v>
      </c>
      <c r="F323" s="6" t="s">
        <v>650</v>
      </c>
      <c r="H323">
        <v>2</v>
      </c>
      <c r="I323" s="1">
        <v>0</v>
      </c>
      <c r="J323">
        <v>0</v>
      </c>
      <c r="K323">
        <v>0</v>
      </c>
      <c r="L323" s="20">
        <v>7240</v>
      </c>
      <c r="M323">
        <v>1</v>
      </c>
      <c r="N323">
        <v>0</v>
      </c>
      <c r="O323">
        <v>0</v>
      </c>
      <c r="P323">
        <v>0</v>
      </c>
      <c r="Q323" s="22">
        <v>21720</v>
      </c>
      <c r="R323">
        <v>3</v>
      </c>
      <c r="S323" s="1">
        <v>0</v>
      </c>
      <c r="T323">
        <v>0</v>
      </c>
      <c r="U323">
        <v>0</v>
      </c>
      <c r="V323" s="21">
        <v>10860</v>
      </c>
      <c r="W323">
        <v>12</v>
      </c>
      <c r="X323">
        <v>0</v>
      </c>
      <c r="Y323">
        <v>0</v>
      </c>
      <c r="Z323">
        <v>0</v>
      </c>
      <c r="AA323">
        <v>10</v>
      </c>
      <c r="AL323" s="3"/>
      <c r="AM323" s="1"/>
    </row>
    <row r="324" spans="1:39" ht="14.25" x14ac:dyDescent="0.2">
      <c r="A324" s="11">
        <v>10141</v>
      </c>
      <c r="B324" t="s">
        <v>126</v>
      </c>
      <c r="C324" t="s">
        <v>121</v>
      </c>
      <c r="D324" t="s">
        <v>121</v>
      </c>
      <c r="E324" t="s">
        <v>121</v>
      </c>
      <c r="F324" s="6" t="s">
        <v>652</v>
      </c>
      <c r="H324">
        <v>2</v>
      </c>
      <c r="I324" s="1">
        <v>0</v>
      </c>
      <c r="J324">
        <v>0</v>
      </c>
      <c r="K324">
        <v>0</v>
      </c>
      <c r="L324" s="20">
        <v>7320</v>
      </c>
      <c r="M324">
        <v>1</v>
      </c>
      <c r="N324">
        <v>0</v>
      </c>
      <c r="O324">
        <v>0</v>
      </c>
      <c r="P324">
        <v>0</v>
      </c>
      <c r="Q324" s="22">
        <v>21720</v>
      </c>
      <c r="R324">
        <v>3</v>
      </c>
      <c r="S324" s="1">
        <v>0</v>
      </c>
      <c r="T324">
        <v>0</v>
      </c>
      <c r="U324">
        <v>0</v>
      </c>
      <c r="V324" s="21">
        <v>10860</v>
      </c>
      <c r="W324">
        <v>23</v>
      </c>
      <c r="X324">
        <v>0</v>
      </c>
      <c r="Y324">
        <v>0</v>
      </c>
      <c r="Z324">
        <v>0</v>
      </c>
      <c r="AA324">
        <v>1</v>
      </c>
      <c r="AL324" s="3"/>
      <c r="AM324" s="1"/>
    </row>
    <row r="325" spans="1:39" ht="14.25" x14ac:dyDescent="0.2">
      <c r="A325" s="11">
        <v>10142</v>
      </c>
      <c r="B325" t="s">
        <v>131</v>
      </c>
      <c r="C325" t="s">
        <v>125</v>
      </c>
      <c r="D325" t="s">
        <v>121</v>
      </c>
      <c r="E325" t="s">
        <v>136</v>
      </c>
      <c r="F325" s="6" t="s">
        <v>654</v>
      </c>
      <c r="H325">
        <v>2</v>
      </c>
      <c r="I325" s="1">
        <v>0</v>
      </c>
      <c r="J325">
        <v>0</v>
      </c>
      <c r="K325">
        <v>0</v>
      </c>
      <c r="L325" s="20">
        <v>7320</v>
      </c>
      <c r="M325">
        <v>1</v>
      </c>
      <c r="N325">
        <v>0</v>
      </c>
      <c r="O325">
        <v>0</v>
      </c>
      <c r="P325">
        <v>0</v>
      </c>
      <c r="Q325" s="22">
        <v>21720</v>
      </c>
      <c r="R325">
        <v>3</v>
      </c>
      <c r="S325" s="1">
        <v>0</v>
      </c>
      <c r="T325">
        <v>0</v>
      </c>
      <c r="U325">
        <v>0</v>
      </c>
      <c r="V325" s="21">
        <v>10860</v>
      </c>
      <c r="W325">
        <v>6</v>
      </c>
      <c r="X325">
        <v>1</v>
      </c>
      <c r="Y325">
        <v>0</v>
      </c>
      <c r="Z325">
        <v>3</v>
      </c>
      <c r="AA325">
        <v>10</v>
      </c>
      <c r="AL325" s="3"/>
      <c r="AM325" s="1"/>
    </row>
    <row r="326" spans="1:39" ht="14.25" x14ac:dyDescent="0.2">
      <c r="A326" s="11">
        <v>10143</v>
      </c>
      <c r="B326" t="s">
        <v>180</v>
      </c>
      <c r="C326" t="s">
        <v>121</v>
      </c>
      <c r="D326" t="s">
        <v>121</v>
      </c>
      <c r="E326" t="s">
        <v>121</v>
      </c>
      <c r="F326" s="6" t="s">
        <v>656</v>
      </c>
      <c r="H326">
        <v>2</v>
      </c>
      <c r="I326" s="1">
        <v>0</v>
      </c>
      <c r="J326">
        <v>0</v>
      </c>
      <c r="K326">
        <v>0</v>
      </c>
      <c r="L326" s="20">
        <v>7320</v>
      </c>
      <c r="M326">
        <v>1</v>
      </c>
      <c r="N326">
        <v>0</v>
      </c>
      <c r="O326">
        <v>0</v>
      </c>
      <c r="P326">
        <v>0</v>
      </c>
      <c r="Q326" s="22">
        <v>21960</v>
      </c>
      <c r="R326">
        <v>3</v>
      </c>
      <c r="S326" s="1">
        <v>0</v>
      </c>
      <c r="T326">
        <v>0</v>
      </c>
      <c r="U326">
        <v>0</v>
      </c>
      <c r="V326" s="21">
        <v>10980</v>
      </c>
      <c r="W326">
        <v>15</v>
      </c>
      <c r="X326">
        <v>0</v>
      </c>
      <c r="Y326">
        <v>0</v>
      </c>
      <c r="Z326">
        <v>0</v>
      </c>
      <c r="AA326">
        <v>1</v>
      </c>
      <c r="AL326" s="3"/>
      <c r="AM326" s="1"/>
    </row>
    <row r="327" spans="1:39" ht="14.25" x14ac:dyDescent="0.2">
      <c r="A327" s="11">
        <v>10144</v>
      </c>
      <c r="B327" t="s">
        <v>178</v>
      </c>
      <c r="C327" t="s">
        <v>121</v>
      </c>
      <c r="D327" t="s">
        <v>121</v>
      </c>
      <c r="E327" t="s">
        <v>121</v>
      </c>
      <c r="F327" s="6" t="s">
        <v>656</v>
      </c>
      <c r="H327">
        <v>2</v>
      </c>
      <c r="I327" s="1">
        <v>0</v>
      </c>
      <c r="J327">
        <v>0</v>
      </c>
      <c r="K327">
        <v>0</v>
      </c>
      <c r="L327" s="20">
        <v>7320</v>
      </c>
      <c r="M327">
        <v>1</v>
      </c>
      <c r="N327">
        <v>0</v>
      </c>
      <c r="O327">
        <v>0</v>
      </c>
      <c r="P327">
        <v>0</v>
      </c>
      <c r="Q327" s="22">
        <v>21960</v>
      </c>
      <c r="R327">
        <v>3</v>
      </c>
      <c r="S327" s="1">
        <v>0</v>
      </c>
      <c r="T327">
        <v>0</v>
      </c>
      <c r="U327">
        <v>0</v>
      </c>
      <c r="V327" s="21">
        <v>10980</v>
      </c>
      <c r="W327">
        <v>21</v>
      </c>
      <c r="X327">
        <v>0</v>
      </c>
      <c r="Y327">
        <v>0</v>
      </c>
      <c r="Z327">
        <v>0</v>
      </c>
      <c r="AA327">
        <v>1</v>
      </c>
      <c r="AL327" s="3"/>
      <c r="AM327" s="1"/>
    </row>
    <row r="328" spans="1:39" ht="14.25" x14ac:dyDescent="0.2">
      <c r="A328" s="11">
        <v>10145</v>
      </c>
      <c r="B328" t="s">
        <v>130</v>
      </c>
      <c r="C328" t="s">
        <v>121</v>
      </c>
      <c r="D328" t="s">
        <v>121</v>
      </c>
      <c r="E328" t="s">
        <v>121</v>
      </c>
      <c r="F328" s="6" t="s">
        <v>658</v>
      </c>
      <c r="H328">
        <v>2</v>
      </c>
      <c r="I328" s="1">
        <v>0</v>
      </c>
      <c r="J328">
        <v>0</v>
      </c>
      <c r="K328">
        <v>0</v>
      </c>
      <c r="L328" s="20">
        <v>7320</v>
      </c>
      <c r="M328">
        <v>1</v>
      </c>
      <c r="N328">
        <v>0</v>
      </c>
      <c r="O328">
        <v>0</v>
      </c>
      <c r="P328">
        <v>0</v>
      </c>
      <c r="Q328" s="22">
        <v>21960</v>
      </c>
      <c r="R328">
        <v>3</v>
      </c>
      <c r="S328" s="1">
        <v>0</v>
      </c>
      <c r="T328">
        <v>0</v>
      </c>
      <c r="U328">
        <v>0</v>
      </c>
      <c r="V328" s="21">
        <v>10980</v>
      </c>
      <c r="W328">
        <v>9</v>
      </c>
      <c r="X328">
        <v>0</v>
      </c>
      <c r="Y328">
        <v>0</v>
      </c>
      <c r="Z328">
        <v>0</v>
      </c>
      <c r="AA328">
        <v>10</v>
      </c>
      <c r="AL328" s="3"/>
      <c r="AM328" s="1"/>
    </row>
    <row r="329" spans="1:39" ht="14.25" x14ac:dyDescent="0.2">
      <c r="A329" s="11">
        <v>10146</v>
      </c>
      <c r="B329" t="s">
        <v>181</v>
      </c>
      <c r="C329" t="s">
        <v>121</v>
      </c>
      <c r="D329" t="s">
        <v>121</v>
      </c>
      <c r="E329" t="s">
        <v>121</v>
      </c>
      <c r="F329" s="6" t="s">
        <v>660</v>
      </c>
      <c r="H329">
        <v>2</v>
      </c>
      <c r="I329" s="1">
        <v>0</v>
      </c>
      <c r="J329">
        <v>0</v>
      </c>
      <c r="K329">
        <v>0</v>
      </c>
      <c r="L329" s="20">
        <v>7400</v>
      </c>
      <c r="M329">
        <v>1</v>
      </c>
      <c r="N329">
        <v>0</v>
      </c>
      <c r="O329">
        <v>0</v>
      </c>
      <c r="P329">
        <v>0</v>
      </c>
      <c r="Q329" s="22">
        <v>21960</v>
      </c>
      <c r="R329">
        <v>3</v>
      </c>
      <c r="S329" s="1">
        <v>0</v>
      </c>
      <c r="T329">
        <v>0</v>
      </c>
      <c r="U329">
        <v>0</v>
      </c>
      <c r="V329" s="21">
        <v>10980</v>
      </c>
      <c r="W329">
        <v>30</v>
      </c>
      <c r="X329">
        <v>0</v>
      </c>
      <c r="Y329">
        <v>0</v>
      </c>
      <c r="Z329">
        <v>0</v>
      </c>
      <c r="AA329">
        <v>10</v>
      </c>
      <c r="AL329" s="3"/>
      <c r="AM329" s="1"/>
    </row>
    <row r="330" spans="1:39" ht="14.25" x14ac:dyDescent="0.2">
      <c r="A330" s="11">
        <v>10147</v>
      </c>
      <c r="B330" t="s">
        <v>122</v>
      </c>
      <c r="C330" t="s">
        <v>121</v>
      </c>
      <c r="D330" t="s">
        <v>121</v>
      </c>
      <c r="E330" t="s">
        <v>121</v>
      </c>
      <c r="F330" s="6" t="s">
        <v>660</v>
      </c>
      <c r="H330">
        <v>2</v>
      </c>
      <c r="I330" s="1">
        <v>0</v>
      </c>
      <c r="J330">
        <v>0</v>
      </c>
      <c r="K330">
        <v>0</v>
      </c>
      <c r="L330" s="20">
        <v>7400</v>
      </c>
      <c r="M330">
        <v>1</v>
      </c>
      <c r="N330">
        <v>0</v>
      </c>
      <c r="O330">
        <v>0</v>
      </c>
      <c r="P330">
        <v>0</v>
      </c>
      <c r="Q330" s="22">
        <v>21960</v>
      </c>
      <c r="R330">
        <v>3</v>
      </c>
      <c r="S330" s="1">
        <v>0</v>
      </c>
      <c r="T330">
        <v>0</v>
      </c>
      <c r="U330">
        <v>0</v>
      </c>
      <c r="V330" s="21">
        <v>10980</v>
      </c>
      <c r="W330">
        <v>4</v>
      </c>
      <c r="X330">
        <v>0</v>
      </c>
      <c r="Y330">
        <v>0</v>
      </c>
      <c r="Z330">
        <v>0</v>
      </c>
      <c r="AA330">
        <v>10</v>
      </c>
      <c r="AL330" s="3"/>
      <c r="AM330" s="1"/>
    </row>
    <row r="331" spans="1:39" ht="14.25" x14ac:dyDescent="0.2">
      <c r="A331" s="11">
        <v>10148</v>
      </c>
      <c r="B331" t="s">
        <v>178</v>
      </c>
      <c r="C331" t="s">
        <v>121</v>
      </c>
      <c r="D331" t="s">
        <v>121</v>
      </c>
      <c r="E331" t="s">
        <v>121</v>
      </c>
      <c r="F331" s="6" t="s">
        <v>662</v>
      </c>
      <c r="H331">
        <v>2</v>
      </c>
      <c r="I331" s="1">
        <v>0</v>
      </c>
      <c r="J331">
        <v>0</v>
      </c>
      <c r="K331">
        <v>0</v>
      </c>
      <c r="L331" s="20">
        <v>7400</v>
      </c>
      <c r="M331">
        <v>1</v>
      </c>
      <c r="N331">
        <v>0</v>
      </c>
      <c r="O331">
        <v>0</v>
      </c>
      <c r="P331">
        <v>0</v>
      </c>
      <c r="Q331" s="22">
        <v>22200</v>
      </c>
      <c r="R331">
        <v>3</v>
      </c>
      <c r="S331" s="1">
        <v>0</v>
      </c>
      <c r="T331">
        <v>0</v>
      </c>
      <c r="U331">
        <v>0</v>
      </c>
      <c r="V331" s="21">
        <v>11100</v>
      </c>
      <c r="W331">
        <v>21</v>
      </c>
      <c r="X331">
        <v>0</v>
      </c>
      <c r="Y331">
        <v>0</v>
      </c>
      <c r="Z331">
        <v>0</v>
      </c>
      <c r="AA331">
        <v>1</v>
      </c>
      <c r="AL331" s="3"/>
      <c r="AM331" s="1"/>
    </row>
    <row r="332" spans="1:39" ht="14.25" x14ac:dyDescent="0.2">
      <c r="A332" s="11">
        <v>10149</v>
      </c>
      <c r="B332" t="s">
        <v>130</v>
      </c>
      <c r="C332" t="s">
        <v>121</v>
      </c>
      <c r="D332" t="s">
        <v>121</v>
      </c>
      <c r="E332" t="s">
        <v>121</v>
      </c>
      <c r="F332" s="6" t="s">
        <v>664</v>
      </c>
      <c r="H332">
        <v>2</v>
      </c>
      <c r="I332" s="1">
        <v>0</v>
      </c>
      <c r="J332">
        <v>0</v>
      </c>
      <c r="K332">
        <v>0</v>
      </c>
      <c r="L332" s="20">
        <v>7400</v>
      </c>
      <c r="M332">
        <v>1</v>
      </c>
      <c r="N332">
        <v>0</v>
      </c>
      <c r="O332">
        <v>0</v>
      </c>
      <c r="P332">
        <v>0</v>
      </c>
      <c r="Q332" s="22">
        <v>22200</v>
      </c>
      <c r="R332">
        <v>3</v>
      </c>
      <c r="S332" s="1">
        <v>0</v>
      </c>
      <c r="T332">
        <v>0</v>
      </c>
      <c r="U332">
        <v>0</v>
      </c>
      <c r="V332" s="21">
        <v>11100</v>
      </c>
      <c r="W332">
        <v>9</v>
      </c>
      <c r="X332">
        <v>0</v>
      </c>
      <c r="Y332">
        <v>0</v>
      </c>
      <c r="Z332">
        <v>0</v>
      </c>
      <c r="AA332">
        <v>10</v>
      </c>
      <c r="AL332" s="3"/>
      <c r="AM332" s="1"/>
    </row>
    <row r="333" spans="1:39" ht="14.25" x14ac:dyDescent="0.2">
      <c r="A333" s="11">
        <v>10150</v>
      </c>
      <c r="B333" t="s">
        <v>123</v>
      </c>
      <c r="C333" t="s">
        <v>121</v>
      </c>
      <c r="D333" t="s">
        <v>121</v>
      </c>
      <c r="E333" t="s">
        <v>121</v>
      </c>
      <c r="F333" s="6" t="s">
        <v>664</v>
      </c>
      <c r="H333">
        <v>2</v>
      </c>
      <c r="I333" s="1">
        <v>0</v>
      </c>
      <c r="J333">
        <v>0</v>
      </c>
      <c r="K333">
        <v>0</v>
      </c>
      <c r="L333" s="20">
        <v>7400</v>
      </c>
      <c r="M333">
        <v>1</v>
      </c>
      <c r="N333">
        <v>0</v>
      </c>
      <c r="O333">
        <v>0</v>
      </c>
      <c r="P333">
        <v>0</v>
      </c>
      <c r="Q333" s="22">
        <v>22200</v>
      </c>
      <c r="R333">
        <v>3</v>
      </c>
      <c r="S333" s="1">
        <v>0</v>
      </c>
      <c r="T333">
        <v>0</v>
      </c>
      <c r="U333">
        <v>0</v>
      </c>
      <c r="V333" s="21">
        <v>11100</v>
      </c>
      <c r="W333">
        <v>12</v>
      </c>
      <c r="X333">
        <v>0</v>
      </c>
      <c r="Y333">
        <v>0</v>
      </c>
      <c r="Z333">
        <v>0</v>
      </c>
      <c r="AA333">
        <v>10</v>
      </c>
      <c r="AL333" s="3"/>
      <c r="AM333" s="1"/>
    </row>
    <row r="334" spans="1:39" ht="14.25" x14ac:dyDescent="0.2">
      <c r="A334" s="11">
        <v>10201</v>
      </c>
      <c r="B334" t="s">
        <v>126</v>
      </c>
      <c r="C334" t="s">
        <v>121</v>
      </c>
      <c r="D334" t="s">
        <v>121</v>
      </c>
      <c r="E334" t="s">
        <v>121</v>
      </c>
      <c r="F334" s="6" t="s">
        <v>666</v>
      </c>
      <c r="H334">
        <v>2</v>
      </c>
      <c r="I334" s="1">
        <v>0</v>
      </c>
      <c r="J334">
        <v>0</v>
      </c>
      <c r="K334">
        <v>0</v>
      </c>
      <c r="L334" s="20">
        <v>7480</v>
      </c>
      <c r="M334">
        <v>1</v>
      </c>
      <c r="N334">
        <v>0</v>
      </c>
      <c r="O334">
        <v>0</v>
      </c>
      <c r="P334">
        <v>0</v>
      </c>
      <c r="Q334" s="22">
        <v>22200</v>
      </c>
      <c r="R334">
        <v>3</v>
      </c>
      <c r="S334" s="1">
        <v>0</v>
      </c>
      <c r="T334">
        <v>0</v>
      </c>
      <c r="U334">
        <v>0</v>
      </c>
      <c r="V334" s="21">
        <v>11100</v>
      </c>
      <c r="W334">
        <v>23</v>
      </c>
      <c r="X334">
        <v>0</v>
      </c>
      <c r="Y334">
        <v>0</v>
      </c>
      <c r="Z334">
        <v>0</v>
      </c>
      <c r="AA334">
        <v>1</v>
      </c>
      <c r="AL334" s="3"/>
      <c r="AM334" s="1"/>
    </row>
    <row r="335" spans="1:39" ht="14.25" x14ac:dyDescent="0.2">
      <c r="A335" s="11">
        <v>10202</v>
      </c>
      <c r="B335" t="s">
        <v>131</v>
      </c>
      <c r="C335" t="s">
        <v>125</v>
      </c>
      <c r="D335" t="s">
        <v>121</v>
      </c>
      <c r="E335" t="s">
        <v>136</v>
      </c>
      <c r="F335" s="6" t="s">
        <v>668</v>
      </c>
      <c r="H335">
        <v>2</v>
      </c>
      <c r="I335" s="1">
        <v>0</v>
      </c>
      <c r="J335">
        <v>0</v>
      </c>
      <c r="K335">
        <v>0</v>
      </c>
      <c r="L335" s="20">
        <v>7480</v>
      </c>
      <c r="M335">
        <v>1</v>
      </c>
      <c r="N335">
        <v>0</v>
      </c>
      <c r="O335">
        <v>0</v>
      </c>
      <c r="P335">
        <v>0</v>
      </c>
      <c r="Q335" s="22">
        <v>22200</v>
      </c>
      <c r="R335">
        <v>3</v>
      </c>
      <c r="S335" s="1">
        <v>0</v>
      </c>
      <c r="T335">
        <v>0</v>
      </c>
      <c r="U335">
        <v>0</v>
      </c>
      <c r="V335" s="21">
        <v>11100</v>
      </c>
      <c r="W335">
        <v>6</v>
      </c>
      <c r="X335">
        <v>1</v>
      </c>
      <c r="Y335">
        <v>0</v>
      </c>
      <c r="Z335">
        <v>3</v>
      </c>
      <c r="AA335">
        <v>10</v>
      </c>
      <c r="AL335" s="3"/>
      <c r="AM335" s="1"/>
    </row>
    <row r="336" spans="1:39" ht="14.25" x14ac:dyDescent="0.2">
      <c r="A336" s="11">
        <v>10203</v>
      </c>
      <c r="B336" t="s">
        <v>180</v>
      </c>
      <c r="C336" t="s">
        <v>121</v>
      </c>
      <c r="D336" t="s">
        <v>121</v>
      </c>
      <c r="E336" t="s">
        <v>121</v>
      </c>
      <c r="F336" s="6" t="s">
        <v>670</v>
      </c>
      <c r="H336">
        <v>2</v>
      </c>
      <c r="I336" s="1">
        <v>0</v>
      </c>
      <c r="J336">
        <v>0</v>
      </c>
      <c r="K336">
        <v>0</v>
      </c>
      <c r="L336" s="20">
        <v>7480</v>
      </c>
      <c r="M336">
        <v>1</v>
      </c>
      <c r="N336">
        <v>0</v>
      </c>
      <c r="O336">
        <v>0</v>
      </c>
      <c r="P336">
        <v>0</v>
      </c>
      <c r="Q336" s="22">
        <v>22440</v>
      </c>
      <c r="R336">
        <v>3</v>
      </c>
      <c r="S336" s="1">
        <v>0</v>
      </c>
      <c r="T336">
        <v>0</v>
      </c>
      <c r="U336">
        <v>0</v>
      </c>
      <c r="V336" s="21">
        <v>11220</v>
      </c>
      <c r="W336">
        <v>15</v>
      </c>
      <c r="X336">
        <v>0</v>
      </c>
      <c r="Y336">
        <v>0</v>
      </c>
      <c r="Z336">
        <v>0</v>
      </c>
      <c r="AA336">
        <v>1</v>
      </c>
      <c r="AL336" s="3"/>
      <c r="AM336" s="1"/>
    </row>
    <row r="337" spans="1:39" ht="14.25" x14ac:dyDescent="0.2">
      <c r="A337" s="11">
        <v>10204</v>
      </c>
      <c r="B337" t="s">
        <v>178</v>
      </c>
      <c r="C337" t="s">
        <v>121</v>
      </c>
      <c r="D337" t="s">
        <v>121</v>
      </c>
      <c r="E337" t="s">
        <v>121</v>
      </c>
      <c r="F337" s="6" t="s">
        <v>670</v>
      </c>
      <c r="H337">
        <v>2</v>
      </c>
      <c r="I337" s="1">
        <v>0</v>
      </c>
      <c r="J337">
        <v>0</v>
      </c>
      <c r="K337">
        <v>0</v>
      </c>
      <c r="L337" s="20">
        <v>7480</v>
      </c>
      <c r="M337">
        <v>1</v>
      </c>
      <c r="N337">
        <v>0</v>
      </c>
      <c r="O337">
        <v>0</v>
      </c>
      <c r="P337">
        <v>0</v>
      </c>
      <c r="Q337" s="22">
        <v>22440</v>
      </c>
      <c r="R337">
        <v>3</v>
      </c>
      <c r="S337" s="1">
        <v>0</v>
      </c>
      <c r="T337">
        <v>0</v>
      </c>
      <c r="U337">
        <v>0</v>
      </c>
      <c r="V337" s="21">
        <v>11220</v>
      </c>
      <c r="W337">
        <v>21</v>
      </c>
      <c r="X337">
        <v>0</v>
      </c>
      <c r="Y337">
        <v>0</v>
      </c>
      <c r="Z337">
        <v>0</v>
      </c>
      <c r="AA337">
        <v>1</v>
      </c>
      <c r="AL337" s="3"/>
      <c r="AM337" s="1"/>
    </row>
    <row r="338" spans="1:39" ht="14.25" x14ac:dyDescent="0.2">
      <c r="A338" s="11">
        <v>10205</v>
      </c>
      <c r="B338" t="s">
        <v>130</v>
      </c>
      <c r="C338" t="s">
        <v>121</v>
      </c>
      <c r="D338" t="s">
        <v>121</v>
      </c>
      <c r="E338" t="s">
        <v>121</v>
      </c>
      <c r="F338" s="6" t="s">
        <v>672</v>
      </c>
      <c r="H338">
        <v>2</v>
      </c>
      <c r="I338" s="1">
        <v>0</v>
      </c>
      <c r="J338">
        <v>0</v>
      </c>
      <c r="K338">
        <v>0</v>
      </c>
      <c r="L338" s="20">
        <v>7480</v>
      </c>
      <c r="M338">
        <v>1</v>
      </c>
      <c r="N338">
        <v>0</v>
      </c>
      <c r="O338">
        <v>0</v>
      </c>
      <c r="P338">
        <v>0</v>
      </c>
      <c r="Q338" s="22">
        <v>22440</v>
      </c>
      <c r="R338">
        <v>3</v>
      </c>
      <c r="S338" s="1">
        <v>0</v>
      </c>
      <c r="T338">
        <v>0</v>
      </c>
      <c r="U338">
        <v>0</v>
      </c>
      <c r="V338" s="21">
        <v>11220</v>
      </c>
      <c r="W338">
        <v>9</v>
      </c>
      <c r="X338">
        <v>0</v>
      </c>
      <c r="Y338">
        <v>0</v>
      </c>
      <c r="Z338">
        <v>0</v>
      </c>
      <c r="AA338">
        <v>10</v>
      </c>
      <c r="AL338" s="3"/>
      <c r="AM338" s="1"/>
    </row>
    <row r="339" spans="1:39" ht="14.25" x14ac:dyDescent="0.2">
      <c r="A339" s="11">
        <v>10206</v>
      </c>
      <c r="B339" t="s">
        <v>181</v>
      </c>
      <c r="C339" t="s">
        <v>121</v>
      </c>
      <c r="D339" t="s">
        <v>121</v>
      </c>
      <c r="E339" t="s">
        <v>121</v>
      </c>
      <c r="F339" s="6" t="s">
        <v>674</v>
      </c>
      <c r="H339">
        <v>2</v>
      </c>
      <c r="I339" s="1">
        <v>0</v>
      </c>
      <c r="J339">
        <v>0</v>
      </c>
      <c r="K339">
        <v>0</v>
      </c>
      <c r="L339" s="20">
        <v>7560</v>
      </c>
      <c r="M339">
        <v>1</v>
      </c>
      <c r="N339">
        <v>0</v>
      </c>
      <c r="O339">
        <v>0</v>
      </c>
      <c r="P339">
        <v>0</v>
      </c>
      <c r="Q339" s="22">
        <v>22440</v>
      </c>
      <c r="R339">
        <v>3</v>
      </c>
      <c r="S339" s="1">
        <v>0</v>
      </c>
      <c r="T339">
        <v>0</v>
      </c>
      <c r="U339">
        <v>0</v>
      </c>
      <c r="V339" s="21">
        <v>11220</v>
      </c>
      <c r="W339">
        <v>30</v>
      </c>
      <c r="X339">
        <v>0</v>
      </c>
      <c r="Y339">
        <v>0</v>
      </c>
      <c r="Z339">
        <v>0</v>
      </c>
      <c r="AA339">
        <v>10</v>
      </c>
      <c r="AL339" s="3"/>
      <c r="AM339" s="1"/>
    </row>
    <row r="340" spans="1:39" ht="14.25" x14ac:dyDescent="0.2">
      <c r="A340" s="11">
        <v>10207</v>
      </c>
      <c r="B340" t="s">
        <v>122</v>
      </c>
      <c r="C340" t="s">
        <v>121</v>
      </c>
      <c r="D340" t="s">
        <v>121</v>
      </c>
      <c r="E340" t="s">
        <v>121</v>
      </c>
      <c r="F340" s="6" t="s">
        <v>674</v>
      </c>
      <c r="H340">
        <v>2</v>
      </c>
      <c r="I340" s="1">
        <v>0</v>
      </c>
      <c r="J340">
        <v>0</v>
      </c>
      <c r="K340">
        <v>0</v>
      </c>
      <c r="L340" s="20">
        <v>7560</v>
      </c>
      <c r="M340">
        <v>1</v>
      </c>
      <c r="N340">
        <v>0</v>
      </c>
      <c r="O340">
        <v>0</v>
      </c>
      <c r="P340">
        <v>0</v>
      </c>
      <c r="Q340" s="22">
        <v>22440</v>
      </c>
      <c r="R340">
        <v>3</v>
      </c>
      <c r="S340" s="1">
        <v>0</v>
      </c>
      <c r="T340">
        <v>0</v>
      </c>
      <c r="U340">
        <v>0</v>
      </c>
      <c r="V340" s="21">
        <v>11220</v>
      </c>
      <c r="W340">
        <v>4</v>
      </c>
      <c r="X340">
        <v>0</v>
      </c>
      <c r="Y340">
        <v>0</v>
      </c>
      <c r="Z340">
        <v>0</v>
      </c>
      <c r="AA340">
        <v>10</v>
      </c>
      <c r="AL340" s="3"/>
      <c r="AM340" s="1"/>
    </row>
    <row r="341" spans="1:39" ht="14.25" x14ac:dyDescent="0.2">
      <c r="A341" s="11">
        <v>10208</v>
      </c>
      <c r="B341" t="s">
        <v>178</v>
      </c>
      <c r="C341" t="s">
        <v>121</v>
      </c>
      <c r="D341" t="s">
        <v>121</v>
      </c>
      <c r="E341" t="s">
        <v>121</v>
      </c>
      <c r="F341" s="6" t="s">
        <v>676</v>
      </c>
      <c r="H341">
        <v>2</v>
      </c>
      <c r="I341" s="1">
        <v>0</v>
      </c>
      <c r="J341">
        <v>0</v>
      </c>
      <c r="K341">
        <v>0</v>
      </c>
      <c r="L341" s="20">
        <v>7560</v>
      </c>
      <c r="M341">
        <v>1</v>
      </c>
      <c r="N341">
        <v>0</v>
      </c>
      <c r="O341">
        <v>0</v>
      </c>
      <c r="P341">
        <v>0</v>
      </c>
      <c r="Q341" s="22">
        <v>22680</v>
      </c>
      <c r="R341">
        <v>3</v>
      </c>
      <c r="S341" s="1">
        <v>0</v>
      </c>
      <c r="T341">
        <v>0</v>
      </c>
      <c r="U341">
        <v>0</v>
      </c>
      <c r="V341" s="21">
        <v>11340</v>
      </c>
      <c r="W341">
        <v>21</v>
      </c>
      <c r="X341">
        <v>0</v>
      </c>
      <c r="Y341">
        <v>0</v>
      </c>
      <c r="Z341">
        <v>0</v>
      </c>
      <c r="AA341">
        <v>1</v>
      </c>
      <c r="AL341" s="3"/>
      <c r="AM341" s="1"/>
    </row>
    <row r="342" spans="1:39" ht="14.25" x14ac:dyDescent="0.2">
      <c r="A342" s="11">
        <v>10209</v>
      </c>
      <c r="B342" t="s">
        <v>130</v>
      </c>
      <c r="C342" t="s">
        <v>121</v>
      </c>
      <c r="D342" t="s">
        <v>121</v>
      </c>
      <c r="E342" t="s">
        <v>121</v>
      </c>
      <c r="F342" s="6" t="s">
        <v>678</v>
      </c>
      <c r="H342">
        <v>2</v>
      </c>
      <c r="I342" s="1">
        <v>0</v>
      </c>
      <c r="J342">
        <v>0</v>
      </c>
      <c r="K342">
        <v>0</v>
      </c>
      <c r="L342" s="20">
        <v>7560</v>
      </c>
      <c r="M342">
        <v>1</v>
      </c>
      <c r="N342">
        <v>0</v>
      </c>
      <c r="O342">
        <v>0</v>
      </c>
      <c r="P342">
        <v>0</v>
      </c>
      <c r="Q342" s="22">
        <v>22680</v>
      </c>
      <c r="R342">
        <v>3</v>
      </c>
      <c r="S342" s="1">
        <v>0</v>
      </c>
      <c r="T342">
        <v>0</v>
      </c>
      <c r="U342">
        <v>0</v>
      </c>
      <c r="V342" s="21">
        <v>11340</v>
      </c>
      <c r="W342">
        <v>9</v>
      </c>
      <c r="X342">
        <v>0</v>
      </c>
      <c r="Y342">
        <v>0</v>
      </c>
      <c r="Z342">
        <v>0</v>
      </c>
      <c r="AA342">
        <v>10</v>
      </c>
      <c r="AL342" s="3"/>
      <c r="AM342" s="1"/>
    </row>
    <row r="343" spans="1:39" ht="14.25" x14ac:dyDescent="0.2">
      <c r="A343" s="11">
        <v>10210</v>
      </c>
      <c r="B343" t="s">
        <v>123</v>
      </c>
      <c r="C343" t="s">
        <v>121</v>
      </c>
      <c r="D343" t="s">
        <v>121</v>
      </c>
      <c r="E343" t="s">
        <v>121</v>
      </c>
      <c r="F343" s="6" t="s">
        <v>678</v>
      </c>
      <c r="H343">
        <v>2</v>
      </c>
      <c r="I343" s="1">
        <v>0</v>
      </c>
      <c r="J343">
        <v>0</v>
      </c>
      <c r="K343">
        <v>0</v>
      </c>
      <c r="L343" s="20">
        <v>7560</v>
      </c>
      <c r="M343">
        <v>1</v>
      </c>
      <c r="N343">
        <v>0</v>
      </c>
      <c r="O343">
        <v>0</v>
      </c>
      <c r="P343">
        <v>0</v>
      </c>
      <c r="Q343" s="22">
        <v>22680</v>
      </c>
      <c r="R343">
        <v>3</v>
      </c>
      <c r="S343" s="1">
        <v>0</v>
      </c>
      <c r="T343">
        <v>0</v>
      </c>
      <c r="U343">
        <v>0</v>
      </c>
      <c r="V343" s="21">
        <v>11340</v>
      </c>
      <c r="W343">
        <v>12</v>
      </c>
      <c r="X343">
        <v>0</v>
      </c>
      <c r="Y343">
        <v>0</v>
      </c>
      <c r="Z343">
        <v>0</v>
      </c>
      <c r="AA343">
        <v>10</v>
      </c>
      <c r="AL343" s="3"/>
      <c r="AM343" s="1"/>
    </row>
    <row r="344" spans="1:39" ht="14.25" x14ac:dyDescent="0.2">
      <c r="A344" s="11">
        <v>10211</v>
      </c>
      <c r="B344" t="s">
        <v>126</v>
      </c>
      <c r="C344" t="s">
        <v>121</v>
      </c>
      <c r="D344" t="s">
        <v>121</v>
      </c>
      <c r="E344" t="s">
        <v>121</v>
      </c>
      <c r="F344" s="6" t="s">
        <v>680</v>
      </c>
      <c r="H344">
        <v>2</v>
      </c>
      <c r="I344" s="1">
        <v>0</v>
      </c>
      <c r="J344">
        <v>0</v>
      </c>
      <c r="K344">
        <v>0</v>
      </c>
      <c r="L344" s="20">
        <v>7640</v>
      </c>
      <c r="M344">
        <v>1</v>
      </c>
      <c r="N344">
        <v>0</v>
      </c>
      <c r="O344">
        <v>0</v>
      </c>
      <c r="P344">
        <v>0</v>
      </c>
      <c r="Q344" s="22">
        <v>22680</v>
      </c>
      <c r="R344">
        <v>3</v>
      </c>
      <c r="S344" s="1">
        <v>0</v>
      </c>
      <c r="T344">
        <v>0</v>
      </c>
      <c r="U344">
        <v>0</v>
      </c>
      <c r="V344" s="21">
        <v>11340</v>
      </c>
      <c r="W344">
        <v>23</v>
      </c>
      <c r="X344">
        <v>0</v>
      </c>
      <c r="Y344">
        <v>0</v>
      </c>
      <c r="Z344">
        <v>0</v>
      </c>
      <c r="AA344">
        <v>1</v>
      </c>
      <c r="AL344" s="3"/>
      <c r="AM344" s="1"/>
    </row>
    <row r="345" spans="1:39" ht="14.25" x14ac:dyDescent="0.2">
      <c r="A345" s="11">
        <v>10212</v>
      </c>
      <c r="B345" t="s">
        <v>131</v>
      </c>
      <c r="C345" t="s">
        <v>125</v>
      </c>
      <c r="D345" t="s">
        <v>121</v>
      </c>
      <c r="E345" t="s">
        <v>136</v>
      </c>
      <c r="F345" s="6" t="s">
        <v>682</v>
      </c>
      <c r="H345">
        <v>2</v>
      </c>
      <c r="I345" s="1">
        <v>0</v>
      </c>
      <c r="J345">
        <v>0</v>
      </c>
      <c r="K345">
        <v>0</v>
      </c>
      <c r="L345" s="20">
        <v>7640</v>
      </c>
      <c r="M345">
        <v>1</v>
      </c>
      <c r="N345">
        <v>0</v>
      </c>
      <c r="O345">
        <v>0</v>
      </c>
      <c r="P345">
        <v>0</v>
      </c>
      <c r="Q345" s="22">
        <v>22680</v>
      </c>
      <c r="R345">
        <v>3</v>
      </c>
      <c r="S345" s="1">
        <v>0</v>
      </c>
      <c r="T345">
        <v>0</v>
      </c>
      <c r="U345">
        <v>0</v>
      </c>
      <c r="V345" s="21">
        <v>11340</v>
      </c>
      <c r="W345">
        <v>6</v>
      </c>
      <c r="X345">
        <v>1</v>
      </c>
      <c r="Y345">
        <v>0</v>
      </c>
      <c r="Z345">
        <v>3</v>
      </c>
      <c r="AA345">
        <v>10</v>
      </c>
      <c r="AL345" s="3"/>
      <c r="AM345" s="1"/>
    </row>
    <row r="346" spans="1:39" ht="14.25" x14ac:dyDescent="0.2">
      <c r="A346" s="11">
        <v>10213</v>
      </c>
      <c r="B346" t="s">
        <v>180</v>
      </c>
      <c r="C346" t="s">
        <v>121</v>
      </c>
      <c r="D346" t="s">
        <v>121</v>
      </c>
      <c r="E346" t="s">
        <v>121</v>
      </c>
      <c r="F346" s="6" t="s">
        <v>684</v>
      </c>
      <c r="H346">
        <v>2</v>
      </c>
      <c r="I346" s="1">
        <v>0</v>
      </c>
      <c r="J346">
        <v>0</v>
      </c>
      <c r="K346">
        <v>0</v>
      </c>
      <c r="L346" s="20">
        <v>7640</v>
      </c>
      <c r="M346">
        <v>1</v>
      </c>
      <c r="N346">
        <v>0</v>
      </c>
      <c r="O346">
        <v>0</v>
      </c>
      <c r="P346">
        <v>0</v>
      </c>
      <c r="Q346" s="22">
        <v>22920</v>
      </c>
      <c r="R346">
        <v>3</v>
      </c>
      <c r="S346" s="1">
        <v>0</v>
      </c>
      <c r="T346">
        <v>0</v>
      </c>
      <c r="U346">
        <v>0</v>
      </c>
      <c r="V346" s="21">
        <v>11460</v>
      </c>
      <c r="W346">
        <v>15</v>
      </c>
      <c r="X346">
        <v>0</v>
      </c>
      <c r="Y346">
        <v>0</v>
      </c>
      <c r="Z346">
        <v>0</v>
      </c>
      <c r="AA346">
        <v>1</v>
      </c>
      <c r="AL346" s="3"/>
      <c r="AM346" s="1"/>
    </row>
    <row r="347" spans="1:39" ht="14.25" x14ac:dyDescent="0.2">
      <c r="A347" s="11">
        <v>10214</v>
      </c>
      <c r="B347" t="s">
        <v>178</v>
      </c>
      <c r="C347" t="s">
        <v>121</v>
      </c>
      <c r="D347" t="s">
        <v>121</v>
      </c>
      <c r="E347" t="s">
        <v>121</v>
      </c>
      <c r="F347" s="6" t="s">
        <v>684</v>
      </c>
      <c r="H347">
        <v>2</v>
      </c>
      <c r="I347" s="1">
        <v>0</v>
      </c>
      <c r="J347">
        <v>0</v>
      </c>
      <c r="K347">
        <v>0</v>
      </c>
      <c r="L347" s="20">
        <v>7640</v>
      </c>
      <c r="M347">
        <v>1</v>
      </c>
      <c r="N347">
        <v>0</v>
      </c>
      <c r="O347">
        <v>0</v>
      </c>
      <c r="P347">
        <v>0</v>
      </c>
      <c r="Q347" s="22">
        <v>22920</v>
      </c>
      <c r="R347">
        <v>3</v>
      </c>
      <c r="S347" s="1">
        <v>0</v>
      </c>
      <c r="T347">
        <v>0</v>
      </c>
      <c r="U347">
        <v>0</v>
      </c>
      <c r="V347" s="21">
        <v>11460</v>
      </c>
      <c r="W347">
        <v>21</v>
      </c>
      <c r="X347">
        <v>0</v>
      </c>
      <c r="Y347">
        <v>0</v>
      </c>
      <c r="Z347">
        <v>0</v>
      </c>
      <c r="AA347">
        <v>1</v>
      </c>
      <c r="AL347" s="3"/>
      <c r="AM347" s="1"/>
    </row>
    <row r="348" spans="1:39" ht="14.25" x14ac:dyDescent="0.2">
      <c r="A348" s="11">
        <v>10215</v>
      </c>
      <c r="B348" t="s">
        <v>130</v>
      </c>
      <c r="C348" t="s">
        <v>121</v>
      </c>
      <c r="D348" t="s">
        <v>121</v>
      </c>
      <c r="E348" t="s">
        <v>121</v>
      </c>
      <c r="F348" s="6" t="s">
        <v>686</v>
      </c>
      <c r="H348">
        <v>2</v>
      </c>
      <c r="I348" s="1">
        <v>0</v>
      </c>
      <c r="J348">
        <v>0</v>
      </c>
      <c r="K348">
        <v>0</v>
      </c>
      <c r="L348" s="20">
        <v>7640</v>
      </c>
      <c r="M348">
        <v>1</v>
      </c>
      <c r="N348">
        <v>0</v>
      </c>
      <c r="O348">
        <v>0</v>
      </c>
      <c r="P348">
        <v>0</v>
      </c>
      <c r="Q348" s="22">
        <v>22920</v>
      </c>
      <c r="R348">
        <v>3</v>
      </c>
      <c r="S348" s="1">
        <v>0</v>
      </c>
      <c r="T348">
        <v>0</v>
      </c>
      <c r="U348">
        <v>0</v>
      </c>
      <c r="V348" s="21">
        <v>11460</v>
      </c>
      <c r="W348">
        <v>9</v>
      </c>
      <c r="X348">
        <v>0</v>
      </c>
      <c r="Y348">
        <v>0</v>
      </c>
      <c r="Z348">
        <v>0</v>
      </c>
      <c r="AA348">
        <v>10</v>
      </c>
      <c r="AL348" s="3"/>
      <c r="AM348" s="1"/>
    </row>
    <row r="349" spans="1:39" ht="14.25" x14ac:dyDescent="0.2">
      <c r="A349" s="11">
        <v>10216</v>
      </c>
      <c r="B349" t="s">
        <v>181</v>
      </c>
      <c r="C349" t="s">
        <v>121</v>
      </c>
      <c r="D349" t="s">
        <v>121</v>
      </c>
      <c r="E349" t="s">
        <v>121</v>
      </c>
      <c r="F349" s="6" t="s">
        <v>688</v>
      </c>
      <c r="H349">
        <v>2</v>
      </c>
      <c r="I349" s="1">
        <v>0</v>
      </c>
      <c r="J349">
        <v>0</v>
      </c>
      <c r="K349">
        <v>0</v>
      </c>
      <c r="L349" s="20">
        <v>7720</v>
      </c>
      <c r="M349">
        <v>1</v>
      </c>
      <c r="N349">
        <v>0</v>
      </c>
      <c r="O349">
        <v>0</v>
      </c>
      <c r="P349">
        <v>0</v>
      </c>
      <c r="Q349" s="22">
        <v>22920</v>
      </c>
      <c r="R349">
        <v>3</v>
      </c>
      <c r="S349" s="1">
        <v>0</v>
      </c>
      <c r="T349">
        <v>0</v>
      </c>
      <c r="U349">
        <v>0</v>
      </c>
      <c r="V349" s="21">
        <v>11460</v>
      </c>
      <c r="W349">
        <v>30</v>
      </c>
      <c r="X349">
        <v>0</v>
      </c>
      <c r="Y349">
        <v>0</v>
      </c>
      <c r="Z349">
        <v>0</v>
      </c>
      <c r="AA349">
        <v>10</v>
      </c>
      <c r="AL349" s="3"/>
      <c r="AM349" s="1"/>
    </row>
    <row r="350" spans="1:39" ht="14.25" x14ac:dyDescent="0.2">
      <c r="A350" s="11">
        <v>10217</v>
      </c>
      <c r="B350" t="s">
        <v>122</v>
      </c>
      <c r="C350" t="s">
        <v>121</v>
      </c>
      <c r="D350" t="s">
        <v>121</v>
      </c>
      <c r="E350" t="s">
        <v>121</v>
      </c>
      <c r="F350" s="6" t="s">
        <v>688</v>
      </c>
      <c r="H350">
        <v>2</v>
      </c>
      <c r="I350" s="1">
        <v>0</v>
      </c>
      <c r="J350">
        <v>0</v>
      </c>
      <c r="K350">
        <v>0</v>
      </c>
      <c r="L350" s="20">
        <v>7720</v>
      </c>
      <c r="M350">
        <v>1</v>
      </c>
      <c r="N350">
        <v>0</v>
      </c>
      <c r="O350">
        <v>0</v>
      </c>
      <c r="P350">
        <v>0</v>
      </c>
      <c r="Q350" s="22">
        <v>22920</v>
      </c>
      <c r="R350">
        <v>3</v>
      </c>
      <c r="S350" s="1">
        <v>0</v>
      </c>
      <c r="T350">
        <v>0</v>
      </c>
      <c r="U350">
        <v>0</v>
      </c>
      <c r="V350" s="21">
        <v>11460</v>
      </c>
      <c r="W350">
        <v>4</v>
      </c>
      <c r="X350">
        <v>0</v>
      </c>
      <c r="Y350">
        <v>0</v>
      </c>
      <c r="Z350">
        <v>0</v>
      </c>
      <c r="AA350">
        <v>10</v>
      </c>
      <c r="AL350" s="3"/>
      <c r="AM350" s="1"/>
    </row>
    <row r="351" spans="1:39" ht="14.25" x14ac:dyDescent="0.2">
      <c r="A351" s="11">
        <v>10218</v>
      </c>
      <c r="B351" t="s">
        <v>178</v>
      </c>
      <c r="C351" t="s">
        <v>121</v>
      </c>
      <c r="D351" t="s">
        <v>121</v>
      </c>
      <c r="E351" t="s">
        <v>121</v>
      </c>
      <c r="F351" s="6" t="s">
        <v>690</v>
      </c>
      <c r="H351">
        <v>2</v>
      </c>
      <c r="I351" s="1">
        <v>0</v>
      </c>
      <c r="J351">
        <v>0</v>
      </c>
      <c r="K351">
        <v>0</v>
      </c>
      <c r="L351" s="20">
        <v>7720</v>
      </c>
      <c r="M351">
        <v>1</v>
      </c>
      <c r="N351">
        <v>0</v>
      </c>
      <c r="O351">
        <v>0</v>
      </c>
      <c r="P351">
        <v>0</v>
      </c>
      <c r="Q351" s="22">
        <v>23160</v>
      </c>
      <c r="R351">
        <v>3</v>
      </c>
      <c r="S351" s="1">
        <v>0</v>
      </c>
      <c r="T351">
        <v>0</v>
      </c>
      <c r="U351">
        <v>0</v>
      </c>
      <c r="V351" s="21">
        <v>11580</v>
      </c>
      <c r="W351">
        <v>21</v>
      </c>
      <c r="X351">
        <v>0</v>
      </c>
      <c r="Y351">
        <v>0</v>
      </c>
      <c r="Z351">
        <v>0</v>
      </c>
      <c r="AA351">
        <v>1</v>
      </c>
      <c r="AL351" s="3"/>
      <c r="AM351" s="1"/>
    </row>
    <row r="352" spans="1:39" ht="14.25" x14ac:dyDescent="0.2">
      <c r="A352" s="11">
        <v>10219</v>
      </c>
      <c r="B352" t="s">
        <v>130</v>
      </c>
      <c r="C352" t="s">
        <v>121</v>
      </c>
      <c r="D352" t="s">
        <v>121</v>
      </c>
      <c r="E352" t="s">
        <v>121</v>
      </c>
      <c r="F352" s="6" t="s">
        <v>692</v>
      </c>
      <c r="H352">
        <v>2</v>
      </c>
      <c r="I352" s="1">
        <v>0</v>
      </c>
      <c r="J352">
        <v>0</v>
      </c>
      <c r="K352">
        <v>0</v>
      </c>
      <c r="L352" s="20">
        <v>7720</v>
      </c>
      <c r="M352">
        <v>1</v>
      </c>
      <c r="N352">
        <v>0</v>
      </c>
      <c r="O352">
        <v>0</v>
      </c>
      <c r="P352">
        <v>0</v>
      </c>
      <c r="Q352" s="22">
        <v>23160</v>
      </c>
      <c r="R352">
        <v>3</v>
      </c>
      <c r="S352" s="1">
        <v>0</v>
      </c>
      <c r="T352">
        <v>0</v>
      </c>
      <c r="U352">
        <v>0</v>
      </c>
      <c r="V352" s="21">
        <v>11580</v>
      </c>
      <c r="W352">
        <v>9</v>
      </c>
      <c r="X352">
        <v>0</v>
      </c>
      <c r="Y352">
        <v>0</v>
      </c>
      <c r="Z352">
        <v>0</v>
      </c>
      <c r="AA352">
        <v>10</v>
      </c>
      <c r="AL352" s="3"/>
      <c r="AM352" s="1"/>
    </row>
    <row r="353" spans="1:39" ht="14.25" x14ac:dyDescent="0.2">
      <c r="A353" s="11">
        <v>10220</v>
      </c>
      <c r="B353" t="s">
        <v>123</v>
      </c>
      <c r="C353" t="s">
        <v>121</v>
      </c>
      <c r="D353" t="s">
        <v>121</v>
      </c>
      <c r="E353" t="s">
        <v>121</v>
      </c>
      <c r="F353" s="6" t="s">
        <v>692</v>
      </c>
      <c r="H353">
        <v>2</v>
      </c>
      <c r="I353" s="1">
        <v>0</v>
      </c>
      <c r="J353">
        <v>0</v>
      </c>
      <c r="K353">
        <v>0</v>
      </c>
      <c r="L353" s="20">
        <v>7720</v>
      </c>
      <c r="M353">
        <v>1</v>
      </c>
      <c r="N353">
        <v>0</v>
      </c>
      <c r="O353">
        <v>0</v>
      </c>
      <c r="P353">
        <v>0</v>
      </c>
      <c r="Q353" s="22">
        <v>23160</v>
      </c>
      <c r="R353">
        <v>3</v>
      </c>
      <c r="S353" s="1">
        <v>0</v>
      </c>
      <c r="T353">
        <v>0</v>
      </c>
      <c r="U353">
        <v>0</v>
      </c>
      <c r="V353" s="21">
        <v>11580</v>
      </c>
      <c r="W353">
        <v>12</v>
      </c>
      <c r="X353">
        <v>0</v>
      </c>
      <c r="Y353">
        <v>0</v>
      </c>
      <c r="Z353">
        <v>0</v>
      </c>
      <c r="AA353">
        <v>10</v>
      </c>
      <c r="AL353" s="3"/>
      <c r="AM353" s="1"/>
    </row>
    <row r="354" spans="1:39" ht="14.25" x14ac:dyDescent="0.2">
      <c r="A354" s="11">
        <v>10221</v>
      </c>
      <c r="B354" t="s">
        <v>126</v>
      </c>
      <c r="C354" t="s">
        <v>121</v>
      </c>
      <c r="D354" t="s">
        <v>121</v>
      </c>
      <c r="E354" t="s">
        <v>121</v>
      </c>
      <c r="F354" s="6" t="s">
        <v>694</v>
      </c>
      <c r="H354">
        <v>2</v>
      </c>
      <c r="I354" s="1">
        <v>0</v>
      </c>
      <c r="J354">
        <v>0</v>
      </c>
      <c r="K354">
        <v>0</v>
      </c>
      <c r="L354" s="20">
        <v>7800</v>
      </c>
      <c r="M354">
        <v>1</v>
      </c>
      <c r="N354">
        <v>0</v>
      </c>
      <c r="O354">
        <v>0</v>
      </c>
      <c r="P354">
        <v>0</v>
      </c>
      <c r="Q354" s="22">
        <v>23160</v>
      </c>
      <c r="R354">
        <v>3</v>
      </c>
      <c r="S354" s="1">
        <v>0</v>
      </c>
      <c r="T354">
        <v>0</v>
      </c>
      <c r="U354">
        <v>0</v>
      </c>
      <c r="V354" s="21">
        <v>11580</v>
      </c>
      <c r="W354">
        <v>23</v>
      </c>
      <c r="X354">
        <v>0</v>
      </c>
      <c r="Y354">
        <v>0</v>
      </c>
      <c r="Z354">
        <v>0</v>
      </c>
      <c r="AA354">
        <v>1</v>
      </c>
      <c r="AL354" s="3"/>
      <c r="AM354" s="1"/>
    </row>
    <row r="355" spans="1:39" ht="14.25" x14ac:dyDescent="0.2">
      <c r="A355" s="11">
        <v>10222</v>
      </c>
      <c r="B355" t="s">
        <v>131</v>
      </c>
      <c r="C355" t="s">
        <v>125</v>
      </c>
      <c r="D355" t="s">
        <v>121</v>
      </c>
      <c r="E355" t="s">
        <v>136</v>
      </c>
      <c r="F355" s="6" t="s">
        <v>696</v>
      </c>
      <c r="H355">
        <v>2</v>
      </c>
      <c r="I355" s="1">
        <v>0</v>
      </c>
      <c r="J355">
        <v>0</v>
      </c>
      <c r="K355">
        <v>0</v>
      </c>
      <c r="L355" s="20">
        <v>7800</v>
      </c>
      <c r="M355">
        <v>1</v>
      </c>
      <c r="N355">
        <v>0</v>
      </c>
      <c r="O355">
        <v>0</v>
      </c>
      <c r="P355">
        <v>0</v>
      </c>
      <c r="Q355" s="22">
        <v>23160</v>
      </c>
      <c r="R355">
        <v>3</v>
      </c>
      <c r="S355" s="1">
        <v>0</v>
      </c>
      <c r="T355">
        <v>0</v>
      </c>
      <c r="U355">
        <v>0</v>
      </c>
      <c r="V355" s="21">
        <v>11580</v>
      </c>
      <c r="W355">
        <v>6</v>
      </c>
      <c r="X355">
        <v>1</v>
      </c>
      <c r="Y355">
        <v>0</v>
      </c>
      <c r="Z355">
        <v>3</v>
      </c>
      <c r="AA355">
        <v>10</v>
      </c>
      <c r="AL355" s="3"/>
      <c r="AM355" s="1"/>
    </row>
    <row r="356" spans="1:39" ht="14.25" x14ac:dyDescent="0.2">
      <c r="A356" s="11">
        <v>10223</v>
      </c>
      <c r="B356" t="s">
        <v>180</v>
      </c>
      <c r="C356" t="s">
        <v>121</v>
      </c>
      <c r="D356" t="s">
        <v>121</v>
      </c>
      <c r="E356" t="s">
        <v>121</v>
      </c>
      <c r="F356" s="6" t="s">
        <v>698</v>
      </c>
      <c r="H356">
        <v>2</v>
      </c>
      <c r="I356" s="1">
        <v>0</v>
      </c>
      <c r="J356">
        <v>0</v>
      </c>
      <c r="K356">
        <v>0</v>
      </c>
      <c r="L356" s="20">
        <v>7800</v>
      </c>
      <c r="M356">
        <v>1</v>
      </c>
      <c r="N356">
        <v>0</v>
      </c>
      <c r="O356">
        <v>0</v>
      </c>
      <c r="P356">
        <v>0</v>
      </c>
      <c r="Q356" s="22">
        <v>23400</v>
      </c>
      <c r="R356">
        <v>3</v>
      </c>
      <c r="S356" s="1">
        <v>0</v>
      </c>
      <c r="T356">
        <v>0</v>
      </c>
      <c r="U356">
        <v>0</v>
      </c>
      <c r="V356" s="21">
        <v>11700</v>
      </c>
      <c r="W356">
        <v>15</v>
      </c>
      <c r="X356">
        <v>0</v>
      </c>
      <c r="Y356">
        <v>0</v>
      </c>
      <c r="Z356">
        <v>0</v>
      </c>
      <c r="AA356">
        <v>1</v>
      </c>
      <c r="AL356" s="3"/>
      <c r="AM356" s="1"/>
    </row>
    <row r="357" spans="1:39" ht="14.25" x14ac:dyDescent="0.2">
      <c r="A357" s="11">
        <v>10224</v>
      </c>
      <c r="B357" t="s">
        <v>178</v>
      </c>
      <c r="C357" t="s">
        <v>121</v>
      </c>
      <c r="D357" t="s">
        <v>121</v>
      </c>
      <c r="E357" t="s">
        <v>121</v>
      </c>
      <c r="F357" s="6" t="s">
        <v>698</v>
      </c>
      <c r="H357">
        <v>2</v>
      </c>
      <c r="I357" s="1">
        <v>0</v>
      </c>
      <c r="J357">
        <v>0</v>
      </c>
      <c r="K357">
        <v>0</v>
      </c>
      <c r="L357" s="20">
        <v>7800</v>
      </c>
      <c r="M357">
        <v>1</v>
      </c>
      <c r="N357">
        <v>0</v>
      </c>
      <c r="O357">
        <v>0</v>
      </c>
      <c r="P357">
        <v>0</v>
      </c>
      <c r="Q357" s="22">
        <v>23400</v>
      </c>
      <c r="R357">
        <v>3</v>
      </c>
      <c r="S357" s="1">
        <v>0</v>
      </c>
      <c r="T357">
        <v>0</v>
      </c>
      <c r="U357">
        <v>0</v>
      </c>
      <c r="V357" s="21">
        <v>11700</v>
      </c>
      <c r="W357">
        <v>21</v>
      </c>
      <c r="X357">
        <v>0</v>
      </c>
      <c r="Y357">
        <v>0</v>
      </c>
      <c r="Z357">
        <v>0</v>
      </c>
      <c r="AA357">
        <v>1</v>
      </c>
      <c r="AL357" s="3"/>
      <c r="AM357" s="1"/>
    </row>
    <row r="358" spans="1:39" ht="14.25" x14ac:dyDescent="0.2">
      <c r="A358" s="11">
        <v>10225</v>
      </c>
      <c r="B358" t="s">
        <v>130</v>
      </c>
      <c r="C358" t="s">
        <v>121</v>
      </c>
      <c r="D358" t="s">
        <v>121</v>
      </c>
      <c r="E358" t="s">
        <v>121</v>
      </c>
      <c r="F358" s="6" t="s">
        <v>700</v>
      </c>
      <c r="H358">
        <v>2</v>
      </c>
      <c r="I358" s="1">
        <v>0</v>
      </c>
      <c r="J358">
        <v>0</v>
      </c>
      <c r="K358">
        <v>0</v>
      </c>
      <c r="L358" s="20">
        <v>7800</v>
      </c>
      <c r="M358">
        <v>1</v>
      </c>
      <c r="N358">
        <v>0</v>
      </c>
      <c r="O358">
        <v>0</v>
      </c>
      <c r="P358">
        <v>0</v>
      </c>
      <c r="Q358" s="22">
        <v>23400</v>
      </c>
      <c r="R358">
        <v>3</v>
      </c>
      <c r="S358" s="1">
        <v>0</v>
      </c>
      <c r="T358">
        <v>0</v>
      </c>
      <c r="U358">
        <v>0</v>
      </c>
      <c r="V358" s="21">
        <v>11700</v>
      </c>
      <c r="W358">
        <v>9</v>
      </c>
      <c r="X358">
        <v>0</v>
      </c>
      <c r="Y358">
        <v>0</v>
      </c>
      <c r="Z358">
        <v>0</v>
      </c>
      <c r="AA358">
        <v>10</v>
      </c>
      <c r="AL358" s="3"/>
      <c r="AM358" s="1"/>
    </row>
    <row r="359" spans="1:39" ht="14.25" x14ac:dyDescent="0.2">
      <c r="A359" s="11">
        <v>10226</v>
      </c>
      <c r="B359" t="s">
        <v>181</v>
      </c>
      <c r="C359" t="s">
        <v>121</v>
      </c>
      <c r="D359" t="s">
        <v>121</v>
      </c>
      <c r="E359" t="s">
        <v>121</v>
      </c>
      <c r="F359" s="6" t="s">
        <v>702</v>
      </c>
      <c r="H359">
        <v>2</v>
      </c>
      <c r="I359" s="1">
        <v>0</v>
      </c>
      <c r="J359">
        <v>0</v>
      </c>
      <c r="K359">
        <v>0</v>
      </c>
      <c r="L359" s="20">
        <v>7880</v>
      </c>
      <c r="M359">
        <v>1</v>
      </c>
      <c r="N359">
        <v>0</v>
      </c>
      <c r="O359">
        <v>0</v>
      </c>
      <c r="P359">
        <v>0</v>
      </c>
      <c r="Q359" s="22">
        <v>23400</v>
      </c>
      <c r="R359">
        <v>3</v>
      </c>
      <c r="S359" s="1">
        <v>0</v>
      </c>
      <c r="T359">
        <v>0</v>
      </c>
      <c r="U359">
        <v>0</v>
      </c>
      <c r="V359" s="21">
        <v>11700</v>
      </c>
      <c r="W359">
        <v>30</v>
      </c>
      <c r="X359">
        <v>0</v>
      </c>
      <c r="Y359">
        <v>0</v>
      </c>
      <c r="Z359">
        <v>0</v>
      </c>
      <c r="AA359">
        <v>10</v>
      </c>
      <c r="AL359" s="3"/>
      <c r="AM359" s="1"/>
    </row>
    <row r="360" spans="1:39" ht="14.25" x14ac:dyDescent="0.2">
      <c r="A360" s="11">
        <v>10227</v>
      </c>
      <c r="B360" t="s">
        <v>122</v>
      </c>
      <c r="C360" t="s">
        <v>121</v>
      </c>
      <c r="D360" t="s">
        <v>121</v>
      </c>
      <c r="E360" t="s">
        <v>121</v>
      </c>
      <c r="F360" s="6" t="s">
        <v>702</v>
      </c>
      <c r="H360">
        <v>2</v>
      </c>
      <c r="I360" s="1">
        <v>0</v>
      </c>
      <c r="J360">
        <v>0</v>
      </c>
      <c r="K360">
        <v>0</v>
      </c>
      <c r="L360" s="20">
        <v>7880</v>
      </c>
      <c r="M360">
        <v>1</v>
      </c>
      <c r="N360">
        <v>0</v>
      </c>
      <c r="O360">
        <v>0</v>
      </c>
      <c r="P360">
        <v>0</v>
      </c>
      <c r="Q360" s="22">
        <v>23400</v>
      </c>
      <c r="R360">
        <v>3</v>
      </c>
      <c r="S360" s="1">
        <v>0</v>
      </c>
      <c r="T360">
        <v>0</v>
      </c>
      <c r="U360">
        <v>0</v>
      </c>
      <c r="V360" s="21">
        <v>11700</v>
      </c>
      <c r="W360">
        <v>4</v>
      </c>
      <c r="X360">
        <v>0</v>
      </c>
      <c r="Y360">
        <v>0</v>
      </c>
      <c r="Z360">
        <v>0</v>
      </c>
      <c r="AA360">
        <v>10</v>
      </c>
      <c r="AL360" s="3"/>
      <c r="AM360" s="1"/>
    </row>
    <row r="361" spans="1:39" ht="14.25" x14ac:dyDescent="0.2">
      <c r="A361" s="11">
        <v>10228</v>
      </c>
      <c r="B361" t="s">
        <v>178</v>
      </c>
      <c r="C361" t="s">
        <v>121</v>
      </c>
      <c r="D361" t="s">
        <v>121</v>
      </c>
      <c r="E361" t="s">
        <v>121</v>
      </c>
      <c r="F361" s="6" t="s">
        <v>704</v>
      </c>
      <c r="H361">
        <v>2</v>
      </c>
      <c r="I361" s="1">
        <v>0</v>
      </c>
      <c r="J361">
        <v>0</v>
      </c>
      <c r="K361">
        <v>0</v>
      </c>
      <c r="L361" s="20">
        <v>7880</v>
      </c>
      <c r="M361">
        <v>1</v>
      </c>
      <c r="N361">
        <v>0</v>
      </c>
      <c r="O361">
        <v>0</v>
      </c>
      <c r="P361">
        <v>0</v>
      </c>
      <c r="Q361" s="22">
        <v>23640</v>
      </c>
      <c r="R361">
        <v>3</v>
      </c>
      <c r="S361" s="1">
        <v>0</v>
      </c>
      <c r="T361">
        <v>0</v>
      </c>
      <c r="U361">
        <v>0</v>
      </c>
      <c r="V361" s="21">
        <v>11820</v>
      </c>
      <c r="W361">
        <v>21</v>
      </c>
      <c r="X361">
        <v>0</v>
      </c>
      <c r="Y361">
        <v>0</v>
      </c>
      <c r="Z361">
        <v>0</v>
      </c>
      <c r="AA361">
        <v>1</v>
      </c>
      <c r="AL361" s="3"/>
      <c r="AM361" s="1"/>
    </row>
    <row r="362" spans="1:39" ht="14.25" x14ac:dyDescent="0.2">
      <c r="A362" s="11">
        <v>10229</v>
      </c>
      <c r="B362" t="s">
        <v>130</v>
      </c>
      <c r="C362" t="s">
        <v>121</v>
      </c>
      <c r="D362" t="s">
        <v>121</v>
      </c>
      <c r="E362" t="s">
        <v>121</v>
      </c>
      <c r="F362" s="6" t="s">
        <v>706</v>
      </c>
      <c r="H362">
        <v>2</v>
      </c>
      <c r="I362" s="1">
        <v>0</v>
      </c>
      <c r="J362">
        <v>0</v>
      </c>
      <c r="K362">
        <v>0</v>
      </c>
      <c r="L362" s="20">
        <v>7880</v>
      </c>
      <c r="M362">
        <v>1</v>
      </c>
      <c r="N362">
        <v>0</v>
      </c>
      <c r="O362">
        <v>0</v>
      </c>
      <c r="P362">
        <v>0</v>
      </c>
      <c r="Q362" s="22">
        <v>23640</v>
      </c>
      <c r="R362">
        <v>3</v>
      </c>
      <c r="S362" s="1">
        <v>0</v>
      </c>
      <c r="T362">
        <v>0</v>
      </c>
      <c r="U362">
        <v>0</v>
      </c>
      <c r="V362" s="21">
        <v>11820</v>
      </c>
      <c r="W362">
        <v>9</v>
      </c>
      <c r="X362">
        <v>0</v>
      </c>
      <c r="Y362">
        <v>0</v>
      </c>
      <c r="Z362">
        <v>0</v>
      </c>
      <c r="AA362">
        <v>10</v>
      </c>
      <c r="AL362" s="3"/>
      <c r="AM362" s="1"/>
    </row>
    <row r="363" spans="1:39" ht="14.25" x14ac:dyDescent="0.2">
      <c r="A363" s="11">
        <v>10230</v>
      </c>
      <c r="B363" t="s">
        <v>123</v>
      </c>
      <c r="C363" t="s">
        <v>121</v>
      </c>
      <c r="D363" t="s">
        <v>121</v>
      </c>
      <c r="E363" t="s">
        <v>121</v>
      </c>
      <c r="F363" s="6" t="s">
        <v>706</v>
      </c>
      <c r="H363">
        <v>2</v>
      </c>
      <c r="I363" s="1">
        <v>0</v>
      </c>
      <c r="J363">
        <v>0</v>
      </c>
      <c r="K363">
        <v>0</v>
      </c>
      <c r="L363" s="20">
        <v>7880</v>
      </c>
      <c r="M363">
        <v>1</v>
      </c>
      <c r="N363">
        <v>0</v>
      </c>
      <c r="O363">
        <v>0</v>
      </c>
      <c r="P363">
        <v>0</v>
      </c>
      <c r="Q363" s="22">
        <v>23640</v>
      </c>
      <c r="R363">
        <v>3</v>
      </c>
      <c r="S363" s="1">
        <v>0</v>
      </c>
      <c r="T363">
        <v>0</v>
      </c>
      <c r="U363">
        <v>0</v>
      </c>
      <c r="V363" s="21">
        <v>11820</v>
      </c>
      <c r="W363">
        <v>12</v>
      </c>
      <c r="X363">
        <v>0</v>
      </c>
      <c r="Y363">
        <v>0</v>
      </c>
      <c r="Z363">
        <v>0</v>
      </c>
      <c r="AA363">
        <v>10</v>
      </c>
      <c r="AL363" s="3"/>
      <c r="AM363" s="1"/>
    </row>
    <row r="364" spans="1:39" ht="14.25" x14ac:dyDescent="0.2">
      <c r="A364" s="11">
        <v>10231</v>
      </c>
      <c r="B364" t="s">
        <v>126</v>
      </c>
      <c r="C364" t="s">
        <v>121</v>
      </c>
      <c r="D364" t="s">
        <v>121</v>
      </c>
      <c r="E364" t="s">
        <v>121</v>
      </c>
      <c r="F364" s="6" t="s">
        <v>708</v>
      </c>
      <c r="H364">
        <v>2</v>
      </c>
      <c r="I364" s="1">
        <v>0</v>
      </c>
      <c r="J364">
        <v>0</v>
      </c>
      <c r="K364">
        <v>0</v>
      </c>
      <c r="L364" s="20">
        <v>7960</v>
      </c>
      <c r="M364">
        <v>1</v>
      </c>
      <c r="N364">
        <v>0</v>
      </c>
      <c r="O364">
        <v>0</v>
      </c>
      <c r="P364">
        <v>0</v>
      </c>
      <c r="Q364" s="22">
        <v>23640</v>
      </c>
      <c r="R364">
        <v>3</v>
      </c>
      <c r="S364" s="1">
        <v>0</v>
      </c>
      <c r="T364">
        <v>0</v>
      </c>
      <c r="U364">
        <v>0</v>
      </c>
      <c r="V364" s="21">
        <v>11820</v>
      </c>
      <c r="W364">
        <v>23</v>
      </c>
      <c r="X364">
        <v>0</v>
      </c>
      <c r="Y364">
        <v>0</v>
      </c>
      <c r="Z364">
        <v>0</v>
      </c>
      <c r="AA364">
        <v>1</v>
      </c>
      <c r="AL364" s="3"/>
      <c r="AM364" s="1"/>
    </row>
    <row r="365" spans="1:39" ht="14.25" x14ac:dyDescent="0.2">
      <c r="A365" s="11">
        <v>10232</v>
      </c>
      <c r="B365" t="s">
        <v>131</v>
      </c>
      <c r="C365" t="s">
        <v>125</v>
      </c>
      <c r="D365" t="s">
        <v>121</v>
      </c>
      <c r="E365" t="s">
        <v>136</v>
      </c>
      <c r="F365" s="6" t="s">
        <v>710</v>
      </c>
      <c r="H365">
        <v>2</v>
      </c>
      <c r="I365" s="1">
        <v>0</v>
      </c>
      <c r="J365">
        <v>0</v>
      </c>
      <c r="K365">
        <v>0</v>
      </c>
      <c r="L365" s="20">
        <v>7960</v>
      </c>
      <c r="M365">
        <v>1</v>
      </c>
      <c r="N365">
        <v>0</v>
      </c>
      <c r="O365">
        <v>0</v>
      </c>
      <c r="P365">
        <v>0</v>
      </c>
      <c r="Q365" s="22">
        <v>23640</v>
      </c>
      <c r="R365">
        <v>3</v>
      </c>
      <c r="S365" s="1">
        <v>0</v>
      </c>
      <c r="T365">
        <v>0</v>
      </c>
      <c r="U365">
        <v>0</v>
      </c>
      <c r="V365" s="21">
        <v>11820</v>
      </c>
      <c r="W365">
        <v>6</v>
      </c>
      <c r="X365">
        <v>1</v>
      </c>
      <c r="Y365">
        <v>0</v>
      </c>
      <c r="Z365">
        <v>3</v>
      </c>
      <c r="AA365">
        <v>10</v>
      </c>
      <c r="AL365" s="3"/>
      <c r="AM365" s="1"/>
    </row>
    <row r="366" spans="1:39" ht="14.25" x14ac:dyDescent="0.2">
      <c r="A366" s="11">
        <v>10233</v>
      </c>
      <c r="B366" t="s">
        <v>180</v>
      </c>
      <c r="C366" t="s">
        <v>121</v>
      </c>
      <c r="D366" t="s">
        <v>121</v>
      </c>
      <c r="E366" t="s">
        <v>121</v>
      </c>
      <c r="F366" s="6" t="s">
        <v>712</v>
      </c>
      <c r="H366">
        <v>2</v>
      </c>
      <c r="I366" s="1">
        <v>0</v>
      </c>
      <c r="J366">
        <v>0</v>
      </c>
      <c r="K366">
        <v>0</v>
      </c>
      <c r="L366" s="20">
        <v>7960</v>
      </c>
      <c r="M366">
        <v>1</v>
      </c>
      <c r="N366">
        <v>0</v>
      </c>
      <c r="O366">
        <v>0</v>
      </c>
      <c r="P366">
        <v>0</v>
      </c>
      <c r="Q366" s="22">
        <v>23880</v>
      </c>
      <c r="R366">
        <v>3</v>
      </c>
      <c r="S366" s="1">
        <v>0</v>
      </c>
      <c r="T366">
        <v>0</v>
      </c>
      <c r="U366">
        <v>0</v>
      </c>
      <c r="V366" s="21">
        <v>11940</v>
      </c>
      <c r="W366">
        <v>15</v>
      </c>
      <c r="X366">
        <v>0</v>
      </c>
      <c r="Y366">
        <v>0</v>
      </c>
      <c r="Z366">
        <v>0</v>
      </c>
      <c r="AA366">
        <v>1</v>
      </c>
      <c r="AL366" s="3"/>
      <c r="AM366" s="1"/>
    </row>
    <row r="367" spans="1:39" ht="14.25" x14ac:dyDescent="0.2">
      <c r="A367" s="11">
        <v>10234</v>
      </c>
      <c r="B367" t="s">
        <v>178</v>
      </c>
      <c r="C367" t="s">
        <v>121</v>
      </c>
      <c r="D367" t="s">
        <v>121</v>
      </c>
      <c r="E367" t="s">
        <v>121</v>
      </c>
      <c r="F367" s="6" t="s">
        <v>712</v>
      </c>
      <c r="H367">
        <v>2</v>
      </c>
      <c r="I367" s="1">
        <v>0</v>
      </c>
      <c r="J367">
        <v>0</v>
      </c>
      <c r="K367">
        <v>0</v>
      </c>
      <c r="L367" s="20">
        <v>7960</v>
      </c>
      <c r="M367">
        <v>1</v>
      </c>
      <c r="N367">
        <v>0</v>
      </c>
      <c r="O367">
        <v>0</v>
      </c>
      <c r="P367">
        <v>0</v>
      </c>
      <c r="Q367" s="22">
        <v>23880</v>
      </c>
      <c r="R367">
        <v>3</v>
      </c>
      <c r="S367" s="1">
        <v>0</v>
      </c>
      <c r="T367">
        <v>0</v>
      </c>
      <c r="U367">
        <v>0</v>
      </c>
      <c r="V367" s="21">
        <v>11940</v>
      </c>
      <c r="W367">
        <v>21</v>
      </c>
      <c r="X367">
        <v>0</v>
      </c>
      <c r="Y367">
        <v>0</v>
      </c>
      <c r="Z367">
        <v>0</v>
      </c>
      <c r="AA367">
        <v>1</v>
      </c>
      <c r="AL367" s="3"/>
      <c r="AM367" s="1"/>
    </row>
    <row r="368" spans="1:39" ht="14.25" x14ac:dyDescent="0.2">
      <c r="A368" s="11">
        <v>10235</v>
      </c>
      <c r="B368" t="s">
        <v>130</v>
      </c>
      <c r="C368" t="s">
        <v>121</v>
      </c>
      <c r="D368" t="s">
        <v>121</v>
      </c>
      <c r="E368" t="s">
        <v>121</v>
      </c>
      <c r="F368" s="6" t="s">
        <v>714</v>
      </c>
      <c r="H368">
        <v>2</v>
      </c>
      <c r="I368" s="1">
        <v>0</v>
      </c>
      <c r="J368">
        <v>0</v>
      </c>
      <c r="K368">
        <v>0</v>
      </c>
      <c r="L368" s="20">
        <v>7960</v>
      </c>
      <c r="M368">
        <v>1</v>
      </c>
      <c r="N368">
        <v>0</v>
      </c>
      <c r="O368">
        <v>0</v>
      </c>
      <c r="P368">
        <v>0</v>
      </c>
      <c r="Q368" s="22">
        <v>23880</v>
      </c>
      <c r="R368">
        <v>3</v>
      </c>
      <c r="S368" s="1">
        <v>0</v>
      </c>
      <c r="T368">
        <v>0</v>
      </c>
      <c r="U368">
        <v>0</v>
      </c>
      <c r="V368" s="21">
        <v>11940</v>
      </c>
      <c r="W368">
        <v>9</v>
      </c>
      <c r="X368">
        <v>0</v>
      </c>
      <c r="Y368">
        <v>0</v>
      </c>
      <c r="Z368">
        <v>0</v>
      </c>
      <c r="AA368">
        <v>10</v>
      </c>
      <c r="AL368" s="3"/>
      <c r="AM368" s="1"/>
    </row>
    <row r="369" spans="1:39" ht="14.25" x14ac:dyDescent="0.2">
      <c r="A369" s="11">
        <v>10236</v>
      </c>
      <c r="B369" t="s">
        <v>181</v>
      </c>
      <c r="C369" t="s">
        <v>121</v>
      </c>
      <c r="D369" t="s">
        <v>121</v>
      </c>
      <c r="E369" t="s">
        <v>121</v>
      </c>
      <c r="F369" s="6" t="s">
        <v>716</v>
      </c>
      <c r="H369">
        <v>2</v>
      </c>
      <c r="I369" s="1">
        <v>0</v>
      </c>
      <c r="J369">
        <v>0</v>
      </c>
      <c r="K369">
        <v>0</v>
      </c>
      <c r="L369" s="20">
        <v>8040</v>
      </c>
      <c r="M369">
        <v>1</v>
      </c>
      <c r="N369">
        <v>0</v>
      </c>
      <c r="O369">
        <v>0</v>
      </c>
      <c r="P369">
        <v>0</v>
      </c>
      <c r="Q369" s="22">
        <v>23880</v>
      </c>
      <c r="R369">
        <v>3</v>
      </c>
      <c r="S369" s="1">
        <v>0</v>
      </c>
      <c r="T369">
        <v>0</v>
      </c>
      <c r="U369">
        <v>0</v>
      </c>
      <c r="V369" s="21">
        <v>11940</v>
      </c>
      <c r="W369">
        <v>30</v>
      </c>
      <c r="X369">
        <v>0</v>
      </c>
      <c r="Y369">
        <v>0</v>
      </c>
      <c r="Z369">
        <v>0</v>
      </c>
      <c r="AA369">
        <v>10</v>
      </c>
      <c r="AL369" s="3"/>
      <c r="AM369" s="1"/>
    </row>
    <row r="370" spans="1:39" ht="14.25" x14ac:dyDescent="0.2">
      <c r="A370" s="11">
        <v>10237</v>
      </c>
      <c r="B370" t="s">
        <v>122</v>
      </c>
      <c r="C370" t="s">
        <v>121</v>
      </c>
      <c r="D370" t="s">
        <v>121</v>
      </c>
      <c r="E370" t="s">
        <v>121</v>
      </c>
      <c r="F370" s="6" t="s">
        <v>716</v>
      </c>
      <c r="H370">
        <v>2</v>
      </c>
      <c r="I370" s="1">
        <v>0</v>
      </c>
      <c r="J370">
        <v>0</v>
      </c>
      <c r="K370">
        <v>0</v>
      </c>
      <c r="L370" s="20">
        <v>8040</v>
      </c>
      <c r="M370">
        <v>1</v>
      </c>
      <c r="N370">
        <v>0</v>
      </c>
      <c r="O370">
        <v>0</v>
      </c>
      <c r="P370">
        <v>0</v>
      </c>
      <c r="Q370" s="22">
        <v>23880</v>
      </c>
      <c r="R370">
        <v>3</v>
      </c>
      <c r="S370" s="1">
        <v>0</v>
      </c>
      <c r="T370">
        <v>0</v>
      </c>
      <c r="U370">
        <v>0</v>
      </c>
      <c r="V370" s="21">
        <v>11940</v>
      </c>
      <c r="W370">
        <v>4</v>
      </c>
      <c r="X370">
        <v>0</v>
      </c>
      <c r="Y370">
        <v>0</v>
      </c>
      <c r="Z370">
        <v>0</v>
      </c>
      <c r="AA370">
        <v>10</v>
      </c>
      <c r="AL370" s="3"/>
      <c r="AM370" s="1"/>
    </row>
    <row r="371" spans="1:39" ht="14.25" x14ac:dyDescent="0.2">
      <c r="A371" s="11">
        <v>10238</v>
      </c>
      <c r="B371" t="s">
        <v>178</v>
      </c>
      <c r="C371" t="s">
        <v>121</v>
      </c>
      <c r="D371" t="s">
        <v>121</v>
      </c>
      <c r="E371" t="s">
        <v>121</v>
      </c>
      <c r="F371" s="6" t="s">
        <v>718</v>
      </c>
      <c r="H371">
        <v>2</v>
      </c>
      <c r="I371" s="1">
        <v>0</v>
      </c>
      <c r="J371">
        <v>0</v>
      </c>
      <c r="K371">
        <v>0</v>
      </c>
      <c r="L371" s="20">
        <v>8040</v>
      </c>
      <c r="M371">
        <v>1</v>
      </c>
      <c r="N371">
        <v>0</v>
      </c>
      <c r="O371">
        <v>0</v>
      </c>
      <c r="P371">
        <v>0</v>
      </c>
      <c r="Q371" s="22">
        <v>24120</v>
      </c>
      <c r="R371">
        <v>3</v>
      </c>
      <c r="S371" s="1">
        <v>0</v>
      </c>
      <c r="T371">
        <v>0</v>
      </c>
      <c r="U371">
        <v>0</v>
      </c>
      <c r="V371" s="21">
        <v>12060</v>
      </c>
      <c r="W371">
        <v>21</v>
      </c>
      <c r="X371">
        <v>0</v>
      </c>
      <c r="Y371">
        <v>0</v>
      </c>
      <c r="Z371">
        <v>0</v>
      </c>
      <c r="AA371">
        <v>1</v>
      </c>
      <c r="AL371" s="3"/>
      <c r="AM371" s="1"/>
    </row>
    <row r="372" spans="1:39" ht="14.25" x14ac:dyDescent="0.2">
      <c r="A372" s="11">
        <v>10239</v>
      </c>
      <c r="B372" t="s">
        <v>130</v>
      </c>
      <c r="C372" t="s">
        <v>121</v>
      </c>
      <c r="D372" t="s">
        <v>121</v>
      </c>
      <c r="E372" t="s">
        <v>121</v>
      </c>
      <c r="F372" s="6" t="s">
        <v>720</v>
      </c>
      <c r="H372">
        <v>2</v>
      </c>
      <c r="I372" s="1">
        <v>0</v>
      </c>
      <c r="J372">
        <v>0</v>
      </c>
      <c r="K372">
        <v>0</v>
      </c>
      <c r="L372" s="20">
        <v>8040</v>
      </c>
      <c r="M372">
        <v>1</v>
      </c>
      <c r="N372">
        <v>0</v>
      </c>
      <c r="O372">
        <v>0</v>
      </c>
      <c r="P372">
        <v>0</v>
      </c>
      <c r="Q372" s="22">
        <v>24120</v>
      </c>
      <c r="R372">
        <v>3</v>
      </c>
      <c r="S372" s="1">
        <v>0</v>
      </c>
      <c r="T372">
        <v>0</v>
      </c>
      <c r="U372">
        <v>0</v>
      </c>
      <c r="V372" s="21">
        <v>12060</v>
      </c>
      <c r="W372">
        <v>9</v>
      </c>
      <c r="X372">
        <v>0</v>
      </c>
      <c r="Y372">
        <v>0</v>
      </c>
      <c r="Z372">
        <v>0</v>
      </c>
      <c r="AA372">
        <v>10</v>
      </c>
      <c r="AL372" s="3"/>
      <c r="AM372" s="1"/>
    </row>
    <row r="373" spans="1:39" ht="14.25" x14ac:dyDescent="0.2">
      <c r="A373" s="11">
        <v>10240</v>
      </c>
      <c r="B373" t="s">
        <v>123</v>
      </c>
      <c r="C373" t="s">
        <v>121</v>
      </c>
      <c r="D373" t="s">
        <v>121</v>
      </c>
      <c r="E373" t="s">
        <v>121</v>
      </c>
      <c r="F373" s="6" t="s">
        <v>720</v>
      </c>
      <c r="H373">
        <v>2</v>
      </c>
      <c r="I373" s="1">
        <v>0</v>
      </c>
      <c r="J373">
        <v>0</v>
      </c>
      <c r="K373">
        <v>0</v>
      </c>
      <c r="L373" s="20">
        <v>8040</v>
      </c>
      <c r="M373">
        <v>1</v>
      </c>
      <c r="N373">
        <v>0</v>
      </c>
      <c r="O373">
        <v>0</v>
      </c>
      <c r="P373">
        <v>0</v>
      </c>
      <c r="Q373" s="22">
        <v>24120</v>
      </c>
      <c r="R373">
        <v>3</v>
      </c>
      <c r="S373" s="1">
        <v>0</v>
      </c>
      <c r="T373">
        <v>0</v>
      </c>
      <c r="U373">
        <v>0</v>
      </c>
      <c r="V373" s="21">
        <v>12060</v>
      </c>
      <c r="W373">
        <v>12</v>
      </c>
      <c r="X373">
        <v>0</v>
      </c>
      <c r="Y373">
        <v>0</v>
      </c>
      <c r="Z373">
        <v>0</v>
      </c>
      <c r="AA373">
        <v>10</v>
      </c>
      <c r="AL373" s="3"/>
      <c r="AM373" s="1"/>
    </row>
    <row r="374" spans="1:39" ht="14.25" x14ac:dyDescent="0.2">
      <c r="A374" s="11">
        <v>10241</v>
      </c>
      <c r="B374" t="s">
        <v>126</v>
      </c>
      <c r="C374" t="s">
        <v>121</v>
      </c>
      <c r="D374" t="s">
        <v>121</v>
      </c>
      <c r="E374" t="s">
        <v>121</v>
      </c>
      <c r="F374" s="6" t="s">
        <v>722</v>
      </c>
      <c r="H374">
        <v>2</v>
      </c>
      <c r="I374" s="1">
        <v>0</v>
      </c>
      <c r="J374">
        <v>0</v>
      </c>
      <c r="K374">
        <v>0</v>
      </c>
      <c r="L374" s="20">
        <v>8120</v>
      </c>
      <c r="M374">
        <v>1</v>
      </c>
      <c r="N374">
        <v>0</v>
      </c>
      <c r="O374">
        <v>0</v>
      </c>
      <c r="P374">
        <v>0</v>
      </c>
      <c r="Q374" s="22">
        <v>24120</v>
      </c>
      <c r="R374">
        <v>3</v>
      </c>
      <c r="S374" s="1">
        <v>0</v>
      </c>
      <c r="T374">
        <v>0</v>
      </c>
      <c r="U374">
        <v>0</v>
      </c>
      <c r="V374" s="21">
        <v>12060</v>
      </c>
      <c r="W374">
        <v>23</v>
      </c>
      <c r="X374">
        <v>0</v>
      </c>
      <c r="Y374">
        <v>0</v>
      </c>
      <c r="Z374">
        <v>0</v>
      </c>
      <c r="AA374">
        <v>1</v>
      </c>
      <c r="AL374" s="3"/>
      <c r="AM374" s="1"/>
    </row>
    <row r="375" spans="1:39" ht="14.25" x14ac:dyDescent="0.2">
      <c r="A375" s="11">
        <v>10242</v>
      </c>
      <c r="B375" t="s">
        <v>131</v>
      </c>
      <c r="C375" t="s">
        <v>125</v>
      </c>
      <c r="D375" t="s">
        <v>121</v>
      </c>
      <c r="E375" t="s">
        <v>136</v>
      </c>
      <c r="F375" s="6" t="s">
        <v>724</v>
      </c>
      <c r="H375">
        <v>2</v>
      </c>
      <c r="I375" s="1">
        <v>0</v>
      </c>
      <c r="J375">
        <v>0</v>
      </c>
      <c r="K375">
        <v>0</v>
      </c>
      <c r="L375" s="20">
        <v>8120</v>
      </c>
      <c r="M375">
        <v>1</v>
      </c>
      <c r="N375">
        <v>0</v>
      </c>
      <c r="O375">
        <v>0</v>
      </c>
      <c r="P375">
        <v>0</v>
      </c>
      <c r="Q375" s="22">
        <v>24120</v>
      </c>
      <c r="R375">
        <v>3</v>
      </c>
      <c r="S375" s="1">
        <v>0</v>
      </c>
      <c r="T375">
        <v>0</v>
      </c>
      <c r="U375">
        <v>0</v>
      </c>
      <c r="V375" s="21">
        <v>12060</v>
      </c>
      <c r="W375">
        <v>6</v>
      </c>
      <c r="X375">
        <v>1</v>
      </c>
      <c r="Y375">
        <v>0</v>
      </c>
      <c r="Z375">
        <v>3</v>
      </c>
      <c r="AA375">
        <v>10</v>
      </c>
      <c r="AL375" s="3"/>
      <c r="AM375" s="1"/>
    </row>
    <row r="376" spans="1:39" ht="14.25" x14ac:dyDescent="0.2">
      <c r="A376" s="11">
        <v>10243</v>
      </c>
      <c r="B376" t="s">
        <v>180</v>
      </c>
      <c r="C376" t="s">
        <v>121</v>
      </c>
      <c r="D376" t="s">
        <v>121</v>
      </c>
      <c r="E376" t="s">
        <v>121</v>
      </c>
      <c r="F376" s="6" t="s">
        <v>726</v>
      </c>
      <c r="H376">
        <v>2</v>
      </c>
      <c r="I376" s="1">
        <v>0</v>
      </c>
      <c r="J376">
        <v>0</v>
      </c>
      <c r="K376">
        <v>0</v>
      </c>
      <c r="L376" s="20">
        <v>8120</v>
      </c>
      <c r="M376">
        <v>1</v>
      </c>
      <c r="N376">
        <v>0</v>
      </c>
      <c r="O376">
        <v>0</v>
      </c>
      <c r="P376">
        <v>0</v>
      </c>
      <c r="Q376" s="22">
        <v>24360</v>
      </c>
      <c r="R376">
        <v>3</v>
      </c>
      <c r="S376" s="1">
        <v>0</v>
      </c>
      <c r="T376">
        <v>0</v>
      </c>
      <c r="U376">
        <v>0</v>
      </c>
      <c r="V376" s="21">
        <v>12180</v>
      </c>
      <c r="W376">
        <v>15</v>
      </c>
      <c r="X376">
        <v>0</v>
      </c>
      <c r="Y376">
        <v>0</v>
      </c>
      <c r="Z376">
        <v>0</v>
      </c>
      <c r="AA376">
        <v>1</v>
      </c>
      <c r="AL376" s="3"/>
      <c r="AM376" s="1"/>
    </row>
    <row r="377" spans="1:39" ht="14.25" x14ac:dyDescent="0.2">
      <c r="A377" s="11">
        <v>10244</v>
      </c>
      <c r="B377" t="s">
        <v>178</v>
      </c>
      <c r="C377" t="s">
        <v>121</v>
      </c>
      <c r="D377" t="s">
        <v>121</v>
      </c>
      <c r="E377" t="s">
        <v>121</v>
      </c>
      <c r="F377" s="6" t="s">
        <v>726</v>
      </c>
      <c r="H377">
        <v>2</v>
      </c>
      <c r="I377" s="1">
        <v>0</v>
      </c>
      <c r="J377">
        <v>0</v>
      </c>
      <c r="K377">
        <v>0</v>
      </c>
      <c r="L377" s="20">
        <v>8120</v>
      </c>
      <c r="M377">
        <v>1</v>
      </c>
      <c r="N377">
        <v>0</v>
      </c>
      <c r="O377">
        <v>0</v>
      </c>
      <c r="P377">
        <v>0</v>
      </c>
      <c r="Q377" s="22">
        <v>24360</v>
      </c>
      <c r="R377">
        <v>3</v>
      </c>
      <c r="S377" s="1">
        <v>0</v>
      </c>
      <c r="T377">
        <v>0</v>
      </c>
      <c r="U377">
        <v>0</v>
      </c>
      <c r="V377" s="21">
        <v>12180</v>
      </c>
      <c r="W377">
        <v>21</v>
      </c>
      <c r="X377">
        <v>0</v>
      </c>
      <c r="Y377">
        <v>0</v>
      </c>
      <c r="Z377">
        <v>0</v>
      </c>
      <c r="AA377">
        <v>1</v>
      </c>
      <c r="AL377" s="3"/>
      <c r="AM377" s="1"/>
    </row>
    <row r="378" spans="1:39" ht="14.25" x14ac:dyDescent="0.2">
      <c r="A378" s="11">
        <v>10245</v>
      </c>
      <c r="B378" t="s">
        <v>130</v>
      </c>
      <c r="C378" t="s">
        <v>121</v>
      </c>
      <c r="D378" t="s">
        <v>121</v>
      </c>
      <c r="E378" t="s">
        <v>121</v>
      </c>
      <c r="F378" s="6" t="s">
        <v>728</v>
      </c>
      <c r="H378">
        <v>2</v>
      </c>
      <c r="I378" s="1">
        <v>0</v>
      </c>
      <c r="J378">
        <v>0</v>
      </c>
      <c r="K378">
        <v>0</v>
      </c>
      <c r="L378" s="20">
        <v>8120</v>
      </c>
      <c r="M378">
        <v>1</v>
      </c>
      <c r="N378">
        <v>0</v>
      </c>
      <c r="O378">
        <v>0</v>
      </c>
      <c r="P378">
        <v>0</v>
      </c>
      <c r="Q378" s="22">
        <v>24360</v>
      </c>
      <c r="R378">
        <v>3</v>
      </c>
      <c r="S378" s="1">
        <v>0</v>
      </c>
      <c r="T378">
        <v>0</v>
      </c>
      <c r="U378">
        <v>0</v>
      </c>
      <c r="V378" s="21">
        <v>12180</v>
      </c>
      <c r="W378">
        <v>9</v>
      </c>
      <c r="X378">
        <v>0</v>
      </c>
      <c r="Y378">
        <v>0</v>
      </c>
      <c r="Z378">
        <v>0</v>
      </c>
      <c r="AA378">
        <v>10</v>
      </c>
      <c r="AL378" s="3"/>
      <c r="AM378" s="1"/>
    </row>
    <row r="379" spans="1:39" ht="14.25" x14ac:dyDescent="0.2">
      <c r="A379" s="11">
        <v>10246</v>
      </c>
      <c r="B379" t="s">
        <v>181</v>
      </c>
      <c r="C379" t="s">
        <v>121</v>
      </c>
      <c r="D379" t="s">
        <v>121</v>
      </c>
      <c r="E379" t="s">
        <v>121</v>
      </c>
      <c r="F379" s="6" t="s">
        <v>730</v>
      </c>
      <c r="H379">
        <v>2</v>
      </c>
      <c r="I379" s="1">
        <v>0</v>
      </c>
      <c r="J379">
        <v>0</v>
      </c>
      <c r="K379">
        <v>0</v>
      </c>
      <c r="L379" s="20">
        <v>8200</v>
      </c>
      <c r="M379">
        <v>1</v>
      </c>
      <c r="N379">
        <v>0</v>
      </c>
      <c r="O379">
        <v>0</v>
      </c>
      <c r="P379">
        <v>0</v>
      </c>
      <c r="Q379" s="22">
        <v>24360</v>
      </c>
      <c r="R379">
        <v>3</v>
      </c>
      <c r="S379" s="1">
        <v>0</v>
      </c>
      <c r="T379">
        <v>0</v>
      </c>
      <c r="U379">
        <v>0</v>
      </c>
      <c r="V379" s="21">
        <v>12180</v>
      </c>
      <c r="W379">
        <v>30</v>
      </c>
      <c r="X379">
        <v>0</v>
      </c>
      <c r="Y379">
        <v>0</v>
      </c>
      <c r="Z379">
        <v>0</v>
      </c>
      <c r="AA379">
        <v>10</v>
      </c>
      <c r="AL379" s="3"/>
      <c r="AM379" s="1"/>
    </row>
    <row r="380" spans="1:39" ht="14.25" x14ac:dyDescent="0.2">
      <c r="A380" s="11">
        <v>10247</v>
      </c>
      <c r="B380" t="s">
        <v>122</v>
      </c>
      <c r="C380" t="s">
        <v>121</v>
      </c>
      <c r="D380" t="s">
        <v>121</v>
      </c>
      <c r="E380" t="s">
        <v>121</v>
      </c>
      <c r="F380" s="6" t="s">
        <v>730</v>
      </c>
      <c r="H380">
        <v>2</v>
      </c>
      <c r="I380" s="1">
        <v>0</v>
      </c>
      <c r="J380">
        <v>0</v>
      </c>
      <c r="K380">
        <v>0</v>
      </c>
      <c r="L380" s="20">
        <v>8200</v>
      </c>
      <c r="M380">
        <v>1</v>
      </c>
      <c r="N380">
        <v>0</v>
      </c>
      <c r="O380">
        <v>0</v>
      </c>
      <c r="P380">
        <v>0</v>
      </c>
      <c r="Q380" s="22">
        <v>24360</v>
      </c>
      <c r="R380">
        <v>3</v>
      </c>
      <c r="S380" s="1">
        <v>0</v>
      </c>
      <c r="T380">
        <v>0</v>
      </c>
      <c r="U380">
        <v>0</v>
      </c>
      <c r="V380" s="21">
        <v>12180</v>
      </c>
      <c r="W380">
        <v>4</v>
      </c>
      <c r="X380">
        <v>0</v>
      </c>
      <c r="Y380">
        <v>0</v>
      </c>
      <c r="Z380">
        <v>0</v>
      </c>
      <c r="AA380">
        <v>10</v>
      </c>
      <c r="AL380" s="3"/>
      <c r="AM380" s="1"/>
    </row>
    <row r="381" spans="1:39" ht="14.25" x14ac:dyDescent="0.2">
      <c r="A381" s="11">
        <v>10248</v>
      </c>
      <c r="B381" t="s">
        <v>178</v>
      </c>
      <c r="C381" t="s">
        <v>121</v>
      </c>
      <c r="D381" t="s">
        <v>121</v>
      </c>
      <c r="E381" t="s">
        <v>121</v>
      </c>
      <c r="F381" s="6" t="s">
        <v>732</v>
      </c>
      <c r="H381">
        <v>2</v>
      </c>
      <c r="I381" s="1">
        <v>0</v>
      </c>
      <c r="J381">
        <v>0</v>
      </c>
      <c r="K381">
        <v>0</v>
      </c>
      <c r="L381" s="20">
        <v>8200</v>
      </c>
      <c r="M381">
        <v>1</v>
      </c>
      <c r="N381">
        <v>0</v>
      </c>
      <c r="O381">
        <v>0</v>
      </c>
      <c r="P381">
        <v>0</v>
      </c>
      <c r="Q381" s="22">
        <v>24600</v>
      </c>
      <c r="R381">
        <v>3</v>
      </c>
      <c r="S381" s="1">
        <v>0</v>
      </c>
      <c r="T381">
        <v>0</v>
      </c>
      <c r="U381">
        <v>0</v>
      </c>
      <c r="V381" s="21">
        <v>12300</v>
      </c>
      <c r="W381">
        <v>21</v>
      </c>
      <c r="X381">
        <v>0</v>
      </c>
      <c r="Y381">
        <v>0</v>
      </c>
      <c r="Z381">
        <v>0</v>
      </c>
      <c r="AA381">
        <v>1</v>
      </c>
      <c r="AL381" s="3"/>
      <c r="AM381" s="1"/>
    </row>
    <row r="382" spans="1:39" ht="14.25" x14ac:dyDescent="0.2">
      <c r="A382" s="11">
        <v>10249</v>
      </c>
      <c r="B382" t="s">
        <v>130</v>
      </c>
      <c r="C382" t="s">
        <v>121</v>
      </c>
      <c r="D382" t="s">
        <v>121</v>
      </c>
      <c r="E382" t="s">
        <v>121</v>
      </c>
      <c r="F382" s="6" t="s">
        <v>734</v>
      </c>
      <c r="H382">
        <v>2</v>
      </c>
      <c r="I382" s="1">
        <v>0</v>
      </c>
      <c r="J382">
        <v>0</v>
      </c>
      <c r="K382">
        <v>0</v>
      </c>
      <c r="L382" s="20">
        <v>8200</v>
      </c>
      <c r="M382">
        <v>1</v>
      </c>
      <c r="N382">
        <v>0</v>
      </c>
      <c r="O382">
        <v>0</v>
      </c>
      <c r="P382">
        <v>0</v>
      </c>
      <c r="Q382" s="22">
        <v>24600</v>
      </c>
      <c r="R382">
        <v>3</v>
      </c>
      <c r="S382" s="1">
        <v>0</v>
      </c>
      <c r="T382">
        <v>0</v>
      </c>
      <c r="U382">
        <v>0</v>
      </c>
      <c r="V382" s="21">
        <v>12300</v>
      </c>
      <c r="W382">
        <v>9</v>
      </c>
      <c r="X382">
        <v>0</v>
      </c>
      <c r="Y382">
        <v>0</v>
      </c>
      <c r="Z382">
        <v>0</v>
      </c>
      <c r="AA382">
        <v>10</v>
      </c>
      <c r="AL382" s="3"/>
      <c r="AM382" s="1"/>
    </row>
    <row r="383" spans="1:39" ht="14.25" x14ac:dyDescent="0.2">
      <c r="A383" s="11">
        <v>10250</v>
      </c>
      <c r="B383" t="s">
        <v>123</v>
      </c>
      <c r="C383" t="s">
        <v>121</v>
      </c>
      <c r="D383" t="s">
        <v>121</v>
      </c>
      <c r="E383" t="s">
        <v>121</v>
      </c>
      <c r="F383" s="6" t="s">
        <v>734</v>
      </c>
      <c r="H383">
        <v>2</v>
      </c>
      <c r="I383" s="1">
        <v>0</v>
      </c>
      <c r="J383">
        <v>0</v>
      </c>
      <c r="K383">
        <v>0</v>
      </c>
      <c r="L383" s="20">
        <v>8200</v>
      </c>
      <c r="M383">
        <v>1</v>
      </c>
      <c r="N383">
        <v>0</v>
      </c>
      <c r="O383">
        <v>0</v>
      </c>
      <c r="P383">
        <v>0</v>
      </c>
      <c r="Q383" s="22">
        <v>24600</v>
      </c>
      <c r="R383">
        <v>3</v>
      </c>
      <c r="S383" s="1">
        <v>0</v>
      </c>
      <c r="T383">
        <v>0</v>
      </c>
      <c r="U383">
        <v>0</v>
      </c>
      <c r="V383" s="21">
        <v>12300</v>
      </c>
      <c r="W383">
        <v>12</v>
      </c>
      <c r="X383">
        <v>0</v>
      </c>
      <c r="Y383">
        <v>0</v>
      </c>
      <c r="Z383">
        <v>0</v>
      </c>
      <c r="AA383">
        <v>10</v>
      </c>
      <c r="AL383" s="3"/>
      <c r="AM383" s="1"/>
    </row>
    <row r="384" spans="1:39" ht="14.25" x14ac:dyDescent="0.2">
      <c r="A384" s="11">
        <v>10301</v>
      </c>
      <c r="B384" t="s">
        <v>126</v>
      </c>
      <c r="C384" t="s">
        <v>121</v>
      </c>
      <c r="D384" t="s">
        <v>121</v>
      </c>
      <c r="E384" t="s">
        <v>121</v>
      </c>
      <c r="F384" s="6" t="s">
        <v>736</v>
      </c>
      <c r="H384">
        <v>2</v>
      </c>
      <c r="I384" s="1">
        <v>0</v>
      </c>
      <c r="J384">
        <v>0</v>
      </c>
      <c r="K384">
        <v>0</v>
      </c>
      <c r="L384" s="20">
        <v>8280</v>
      </c>
      <c r="M384">
        <v>1</v>
      </c>
      <c r="N384">
        <v>0</v>
      </c>
      <c r="O384">
        <v>0</v>
      </c>
      <c r="P384">
        <v>0</v>
      </c>
      <c r="Q384" s="22">
        <v>24600</v>
      </c>
      <c r="R384">
        <v>3</v>
      </c>
      <c r="S384" s="1">
        <v>0</v>
      </c>
      <c r="T384">
        <v>0</v>
      </c>
      <c r="U384">
        <v>0</v>
      </c>
      <c r="V384" s="21">
        <v>12300</v>
      </c>
      <c r="W384">
        <v>23</v>
      </c>
      <c r="X384">
        <v>0</v>
      </c>
      <c r="Y384">
        <v>0</v>
      </c>
      <c r="Z384">
        <v>0</v>
      </c>
      <c r="AA384">
        <v>1</v>
      </c>
      <c r="AL384" s="3"/>
      <c r="AM384" s="1"/>
    </row>
    <row r="385" spans="1:39" ht="14.25" x14ac:dyDescent="0.2">
      <c r="A385" s="11">
        <v>10302</v>
      </c>
      <c r="B385" t="s">
        <v>131</v>
      </c>
      <c r="C385" t="s">
        <v>125</v>
      </c>
      <c r="D385" t="s">
        <v>121</v>
      </c>
      <c r="E385" t="s">
        <v>136</v>
      </c>
      <c r="F385" s="6" t="s">
        <v>738</v>
      </c>
      <c r="H385">
        <v>2</v>
      </c>
      <c r="I385" s="1">
        <v>0</v>
      </c>
      <c r="J385">
        <v>0</v>
      </c>
      <c r="K385">
        <v>0</v>
      </c>
      <c r="L385" s="20">
        <v>8280</v>
      </c>
      <c r="M385">
        <v>1</v>
      </c>
      <c r="N385">
        <v>0</v>
      </c>
      <c r="O385">
        <v>0</v>
      </c>
      <c r="P385">
        <v>0</v>
      </c>
      <c r="Q385" s="22">
        <v>24600</v>
      </c>
      <c r="R385">
        <v>3</v>
      </c>
      <c r="S385" s="1">
        <v>0</v>
      </c>
      <c r="T385">
        <v>0</v>
      </c>
      <c r="U385">
        <v>0</v>
      </c>
      <c r="V385" s="21">
        <v>12300</v>
      </c>
      <c r="W385">
        <v>6</v>
      </c>
      <c r="X385">
        <v>1</v>
      </c>
      <c r="Y385">
        <v>0</v>
      </c>
      <c r="Z385">
        <v>3</v>
      </c>
      <c r="AA385">
        <v>10</v>
      </c>
      <c r="AL385" s="3"/>
      <c r="AM385" s="1"/>
    </row>
    <row r="386" spans="1:39" ht="14.25" x14ac:dyDescent="0.2">
      <c r="A386" s="11">
        <v>10303</v>
      </c>
      <c r="B386" t="s">
        <v>180</v>
      </c>
      <c r="C386" t="s">
        <v>121</v>
      </c>
      <c r="D386" t="s">
        <v>121</v>
      </c>
      <c r="E386" t="s">
        <v>121</v>
      </c>
      <c r="F386" s="6" t="s">
        <v>740</v>
      </c>
      <c r="H386">
        <v>2</v>
      </c>
      <c r="I386" s="1">
        <v>0</v>
      </c>
      <c r="J386">
        <v>0</v>
      </c>
      <c r="K386">
        <v>0</v>
      </c>
      <c r="L386" s="20">
        <v>8280</v>
      </c>
      <c r="M386">
        <v>1</v>
      </c>
      <c r="N386">
        <v>0</v>
      </c>
      <c r="O386">
        <v>0</v>
      </c>
      <c r="P386">
        <v>0</v>
      </c>
      <c r="Q386" s="22">
        <v>24840</v>
      </c>
      <c r="R386">
        <v>3</v>
      </c>
      <c r="S386" s="1">
        <v>0</v>
      </c>
      <c r="T386">
        <v>0</v>
      </c>
      <c r="U386">
        <v>0</v>
      </c>
      <c r="V386" s="21">
        <v>12420</v>
      </c>
      <c r="W386">
        <v>15</v>
      </c>
      <c r="X386">
        <v>0</v>
      </c>
      <c r="Y386">
        <v>0</v>
      </c>
      <c r="Z386">
        <v>0</v>
      </c>
      <c r="AA386">
        <v>1</v>
      </c>
      <c r="AL386" s="3"/>
      <c r="AM386" s="1"/>
    </row>
    <row r="387" spans="1:39" ht="14.25" x14ac:dyDescent="0.2">
      <c r="A387" s="11">
        <v>10304</v>
      </c>
      <c r="B387" t="s">
        <v>178</v>
      </c>
      <c r="C387" t="s">
        <v>121</v>
      </c>
      <c r="D387" t="s">
        <v>121</v>
      </c>
      <c r="E387" t="s">
        <v>121</v>
      </c>
      <c r="F387" s="6" t="s">
        <v>740</v>
      </c>
      <c r="H387">
        <v>2</v>
      </c>
      <c r="I387" s="1">
        <v>0</v>
      </c>
      <c r="J387">
        <v>0</v>
      </c>
      <c r="K387">
        <v>0</v>
      </c>
      <c r="L387" s="20">
        <v>8280</v>
      </c>
      <c r="M387">
        <v>1</v>
      </c>
      <c r="N387">
        <v>0</v>
      </c>
      <c r="O387">
        <v>0</v>
      </c>
      <c r="P387">
        <v>0</v>
      </c>
      <c r="Q387" s="22">
        <v>24840</v>
      </c>
      <c r="R387">
        <v>3</v>
      </c>
      <c r="S387" s="1">
        <v>0</v>
      </c>
      <c r="T387">
        <v>0</v>
      </c>
      <c r="U387">
        <v>0</v>
      </c>
      <c r="V387" s="21">
        <v>12420</v>
      </c>
      <c r="W387">
        <v>21</v>
      </c>
      <c r="X387">
        <v>0</v>
      </c>
      <c r="Y387">
        <v>0</v>
      </c>
      <c r="Z387">
        <v>0</v>
      </c>
      <c r="AA387">
        <v>1</v>
      </c>
      <c r="AL387" s="3"/>
      <c r="AM387" s="1"/>
    </row>
    <row r="388" spans="1:39" ht="14.25" x14ac:dyDescent="0.2">
      <c r="A388" s="11">
        <v>10305</v>
      </c>
      <c r="B388" t="s">
        <v>130</v>
      </c>
      <c r="C388" t="s">
        <v>121</v>
      </c>
      <c r="D388" t="s">
        <v>121</v>
      </c>
      <c r="E388" t="s">
        <v>121</v>
      </c>
      <c r="F388" s="6" t="s">
        <v>742</v>
      </c>
      <c r="H388">
        <v>2</v>
      </c>
      <c r="I388" s="1">
        <v>0</v>
      </c>
      <c r="J388">
        <v>0</v>
      </c>
      <c r="K388">
        <v>0</v>
      </c>
      <c r="L388" s="20">
        <v>8280</v>
      </c>
      <c r="M388">
        <v>1</v>
      </c>
      <c r="N388">
        <v>0</v>
      </c>
      <c r="O388">
        <v>0</v>
      </c>
      <c r="P388">
        <v>0</v>
      </c>
      <c r="Q388" s="22">
        <v>24840</v>
      </c>
      <c r="R388">
        <v>3</v>
      </c>
      <c r="S388" s="1">
        <v>0</v>
      </c>
      <c r="T388">
        <v>0</v>
      </c>
      <c r="U388">
        <v>0</v>
      </c>
      <c r="V388" s="21">
        <v>12420</v>
      </c>
      <c r="W388">
        <v>9</v>
      </c>
      <c r="X388">
        <v>0</v>
      </c>
      <c r="Y388">
        <v>0</v>
      </c>
      <c r="Z388">
        <v>0</v>
      </c>
      <c r="AA388">
        <v>10</v>
      </c>
      <c r="AL388" s="3"/>
      <c r="AM388" s="1"/>
    </row>
    <row r="389" spans="1:39" ht="14.25" x14ac:dyDescent="0.2">
      <c r="A389" s="11">
        <v>10306</v>
      </c>
      <c r="B389" t="s">
        <v>181</v>
      </c>
      <c r="C389" t="s">
        <v>121</v>
      </c>
      <c r="D389" t="s">
        <v>121</v>
      </c>
      <c r="E389" t="s">
        <v>121</v>
      </c>
      <c r="F389" s="6" t="s">
        <v>744</v>
      </c>
      <c r="H389">
        <v>2</v>
      </c>
      <c r="I389" s="1">
        <v>0</v>
      </c>
      <c r="J389">
        <v>0</v>
      </c>
      <c r="K389">
        <v>0</v>
      </c>
      <c r="L389" s="20">
        <v>8360</v>
      </c>
      <c r="M389">
        <v>1</v>
      </c>
      <c r="N389">
        <v>0</v>
      </c>
      <c r="O389">
        <v>0</v>
      </c>
      <c r="P389">
        <v>0</v>
      </c>
      <c r="Q389" s="22">
        <v>24840</v>
      </c>
      <c r="R389">
        <v>3</v>
      </c>
      <c r="S389" s="1">
        <v>0</v>
      </c>
      <c r="T389">
        <v>0</v>
      </c>
      <c r="U389">
        <v>0</v>
      </c>
      <c r="V389" s="21">
        <v>12420</v>
      </c>
      <c r="W389">
        <v>30</v>
      </c>
      <c r="X389">
        <v>0</v>
      </c>
      <c r="Y389">
        <v>0</v>
      </c>
      <c r="Z389">
        <v>0</v>
      </c>
      <c r="AA389">
        <v>10</v>
      </c>
      <c r="AL389" s="3"/>
      <c r="AM389" s="1"/>
    </row>
    <row r="390" spans="1:39" ht="14.25" x14ac:dyDescent="0.2">
      <c r="A390" s="11">
        <v>10307</v>
      </c>
      <c r="B390" t="s">
        <v>122</v>
      </c>
      <c r="C390" t="s">
        <v>121</v>
      </c>
      <c r="D390" t="s">
        <v>121</v>
      </c>
      <c r="E390" t="s">
        <v>121</v>
      </c>
      <c r="F390" s="6" t="s">
        <v>744</v>
      </c>
      <c r="H390">
        <v>2</v>
      </c>
      <c r="I390" s="1">
        <v>0</v>
      </c>
      <c r="J390">
        <v>0</v>
      </c>
      <c r="K390">
        <v>0</v>
      </c>
      <c r="L390" s="20">
        <v>8360</v>
      </c>
      <c r="M390">
        <v>1</v>
      </c>
      <c r="N390">
        <v>0</v>
      </c>
      <c r="O390">
        <v>0</v>
      </c>
      <c r="P390">
        <v>0</v>
      </c>
      <c r="Q390" s="22">
        <v>24840</v>
      </c>
      <c r="R390">
        <v>3</v>
      </c>
      <c r="S390" s="1">
        <v>0</v>
      </c>
      <c r="T390">
        <v>0</v>
      </c>
      <c r="U390">
        <v>0</v>
      </c>
      <c r="V390" s="21">
        <v>12420</v>
      </c>
      <c r="W390">
        <v>4</v>
      </c>
      <c r="X390">
        <v>0</v>
      </c>
      <c r="Y390">
        <v>0</v>
      </c>
      <c r="Z390">
        <v>0</v>
      </c>
      <c r="AA390">
        <v>10</v>
      </c>
      <c r="AL390" s="3"/>
      <c r="AM390" s="1"/>
    </row>
    <row r="391" spans="1:39" ht="14.25" x14ac:dyDescent="0.2">
      <c r="A391" s="11">
        <v>10308</v>
      </c>
      <c r="B391" t="s">
        <v>178</v>
      </c>
      <c r="C391" t="s">
        <v>121</v>
      </c>
      <c r="D391" t="s">
        <v>121</v>
      </c>
      <c r="E391" t="s">
        <v>121</v>
      </c>
      <c r="F391" s="6" t="s">
        <v>746</v>
      </c>
      <c r="H391">
        <v>2</v>
      </c>
      <c r="I391" s="1">
        <v>0</v>
      </c>
      <c r="J391">
        <v>0</v>
      </c>
      <c r="K391">
        <v>0</v>
      </c>
      <c r="L391" s="20">
        <v>8360</v>
      </c>
      <c r="M391">
        <v>1</v>
      </c>
      <c r="N391">
        <v>0</v>
      </c>
      <c r="O391">
        <v>0</v>
      </c>
      <c r="P391">
        <v>0</v>
      </c>
      <c r="Q391" s="22">
        <v>25080</v>
      </c>
      <c r="R391">
        <v>3</v>
      </c>
      <c r="S391" s="1">
        <v>0</v>
      </c>
      <c r="T391">
        <v>0</v>
      </c>
      <c r="U391">
        <v>0</v>
      </c>
      <c r="V391" s="21">
        <v>12540</v>
      </c>
      <c r="W391">
        <v>21</v>
      </c>
      <c r="X391">
        <v>0</v>
      </c>
      <c r="Y391">
        <v>0</v>
      </c>
      <c r="Z391">
        <v>0</v>
      </c>
      <c r="AA391">
        <v>1</v>
      </c>
      <c r="AL391" s="3"/>
      <c r="AM391" s="1"/>
    </row>
    <row r="392" spans="1:39" ht="14.25" x14ac:dyDescent="0.2">
      <c r="A392" s="11">
        <v>10309</v>
      </c>
      <c r="B392" t="s">
        <v>130</v>
      </c>
      <c r="C392" t="s">
        <v>121</v>
      </c>
      <c r="D392" t="s">
        <v>121</v>
      </c>
      <c r="E392" t="s">
        <v>121</v>
      </c>
      <c r="F392" s="6" t="s">
        <v>748</v>
      </c>
      <c r="H392">
        <v>2</v>
      </c>
      <c r="I392" s="1">
        <v>0</v>
      </c>
      <c r="J392">
        <v>0</v>
      </c>
      <c r="K392">
        <v>0</v>
      </c>
      <c r="L392" s="20">
        <v>8360</v>
      </c>
      <c r="M392">
        <v>1</v>
      </c>
      <c r="N392">
        <v>0</v>
      </c>
      <c r="O392">
        <v>0</v>
      </c>
      <c r="P392">
        <v>0</v>
      </c>
      <c r="Q392" s="22">
        <v>25080</v>
      </c>
      <c r="R392">
        <v>3</v>
      </c>
      <c r="S392" s="1">
        <v>0</v>
      </c>
      <c r="T392">
        <v>0</v>
      </c>
      <c r="U392">
        <v>0</v>
      </c>
      <c r="V392" s="21">
        <v>12540</v>
      </c>
      <c r="W392">
        <v>9</v>
      </c>
      <c r="X392">
        <v>0</v>
      </c>
      <c r="Y392">
        <v>0</v>
      </c>
      <c r="Z392">
        <v>0</v>
      </c>
      <c r="AA392">
        <v>10</v>
      </c>
      <c r="AL392" s="3"/>
      <c r="AM392" s="1"/>
    </row>
    <row r="393" spans="1:39" ht="14.25" x14ac:dyDescent="0.2">
      <c r="A393" s="11">
        <v>10310</v>
      </c>
      <c r="B393" t="s">
        <v>123</v>
      </c>
      <c r="C393" t="s">
        <v>121</v>
      </c>
      <c r="D393" t="s">
        <v>121</v>
      </c>
      <c r="E393" t="s">
        <v>121</v>
      </c>
      <c r="F393" s="6" t="s">
        <v>748</v>
      </c>
      <c r="H393">
        <v>2</v>
      </c>
      <c r="I393" s="1">
        <v>0</v>
      </c>
      <c r="J393">
        <v>0</v>
      </c>
      <c r="K393">
        <v>0</v>
      </c>
      <c r="L393" s="20">
        <v>8360</v>
      </c>
      <c r="M393">
        <v>1</v>
      </c>
      <c r="N393">
        <v>0</v>
      </c>
      <c r="O393">
        <v>0</v>
      </c>
      <c r="P393">
        <v>0</v>
      </c>
      <c r="Q393" s="22">
        <v>25080</v>
      </c>
      <c r="R393">
        <v>3</v>
      </c>
      <c r="S393" s="1">
        <v>0</v>
      </c>
      <c r="T393">
        <v>0</v>
      </c>
      <c r="U393">
        <v>0</v>
      </c>
      <c r="V393" s="21">
        <v>12540</v>
      </c>
      <c r="W393">
        <v>12</v>
      </c>
      <c r="X393">
        <v>0</v>
      </c>
      <c r="Y393">
        <v>0</v>
      </c>
      <c r="Z393">
        <v>0</v>
      </c>
      <c r="AA393">
        <v>10</v>
      </c>
      <c r="AL393" s="3"/>
      <c r="AM393" s="1"/>
    </row>
    <row r="394" spans="1:39" ht="14.25" x14ac:dyDescent="0.2">
      <c r="A394" s="11">
        <v>10311</v>
      </c>
      <c r="B394" t="s">
        <v>126</v>
      </c>
      <c r="C394" t="s">
        <v>121</v>
      </c>
      <c r="D394" t="s">
        <v>121</v>
      </c>
      <c r="E394" t="s">
        <v>121</v>
      </c>
      <c r="F394" s="6" t="s">
        <v>750</v>
      </c>
      <c r="H394">
        <v>2</v>
      </c>
      <c r="I394" s="1">
        <v>0</v>
      </c>
      <c r="J394">
        <v>0</v>
      </c>
      <c r="K394">
        <v>0</v>
      </c>
      <c r="L394" s="20">
        <v>8440</v>
      </c>
      <c r="M394">
        <v>1</v>
      </c>
      <c r="N394">
        <v>0</v>
      </c>
      <c r="O394">
        <v>0</v>
      </c>
      <c r="P394">
        <v>0</v>
      </c>
      <c r="Q394" s="22">
        <v>25080</v>
      </c>
      <c r="R394">
        <v>3</v>
      </c>
      <c r="S394" s="1">
        <v>0</v>
      </c>
      <c r="T394">
        <v>0</v>
      </c>
      <c r="U394">
        <v>0</v>
      </c>
      <c r="V394" s="21">
        <v>12540</v>
      </c>
      <c r="W394">
        <v>23</v>
      </c>
      <c r="X394">
        <v>0</v>
      </c>
      <c r="Y394">
        <v>0</v>
      </c>
      <c r="Z394">
        <v>0</v>
      </c>
      <c r="AA394">
        <v>1</v>
      </c>
      <c r="AL394" s="3"/>
      <c r="AM394" s="1"/>
    </row>
    <row r="395" spans="1:39" ht="14.25" x14ac:dyDescent="0.2">
      <c r="A395" s="11">
        <v>10312</v>
      </c>
      <c r="B395" t="s">
        <v>131</v>
      </c>
      <c r="C395" t="s">
        <v>125</v>
      </c>
      <c r="D395" t="s">
        <v>121</v>
      </c>
      <c r="E395" t="s">
        <v>136</v>
      </c>
      <c r="F395" s="6" t="s">
        <v>752</v>
      </c>
      <c r="H395">
        <v>2</v>
      </c>
      <c r="I395" s="1">
        <v>0</v>
      </c>
      <c r="J395">
        <v>0</v>
      </c>
      <c r="K395">
        <v>0</v>
      </c>
      <c r="L395" s="20">
        <v>8440</v>
      </c>
      <c r="M395">
        <v>1</v>
      </c>
      <c r="N395">
        <v>0</v>
      </c>
      <c r="O395">
        <v>0</v>
      </c>
      <c r="P395">
        <v>0</v>
      </c>
      <c r="Q395" s="22">
        <v>25080</v>
      </c>
      <c r="R395">
        <v>3</v>
      </c>
      <c r="S395" s="1">
        <v>0</v>
      </c>
      <c r="T395">
        <v>0</v>
      </c>
      <c r="U395">
        <v>0</v>
      </c>
      <c r="V395" s="21">
        <v>12540</v>
      </c>
      <c r="W395">
        <v>6</v>
      </c>
      <c r="X395">
        <v>1</v>
      </c>
      <c r="Y395">
        <v>0</v>
      </c>
      <c r="Z395">
        <v>3</v>
      </c>
      <c r="AA395">
        <v>10</v>
      </c>
      <c r="AL395" s="3"/>
      <c r="AM395" s="1"/>
    </row>
    <row r="396" spans="1:39" ht="14.25" x14ac:dyDescent="0.2">
      <c r="A396" s="11">
        <v>10313</v>
      </c>
      <c r="B396" t="s">
        <v>180</v>
      </c>
      <c r="C396" t="s">
        <v>121</v>
      </c>
      <c r="D396" t="s">
        <v>121</v>
      </c>
      <c r="E396" t="s">
        <v>121</v>
      </c>
      <c r="F396" s="6" t="s">
        <v>754</v>
      </c>
      <c r="H396">
        <v>2</v>
      </c>
      <c r="I396" s="1">
        <v>0</v>
      </c>
      <c r="J396">
        <v>0</v>
      </c>
      <c r="K396">
        <v>0</v>
      </c>
      <c r="L396" s="20">
        <v>8440</v>
      </c>
      <c r="M396">
        <v>1</v>
      </c>
      <c r="N396">
        <v>0</v>
      </c>
      <c r="O396">
        <v>0</v>
      </c>
      <c r="P396">
        <v>0</v>
      </c>
      <c r="Q396" s="22">
        <v>25320</v>
      </c>
      <c r="R396">
        <v>3</v>
      </c>
      <c r="S396" s="1">
        <v>0</v>
      </c>
      <c r="T396">
        <v>0</v>
      </c>
      <c r="U396">
        <v>0</v>
      </c>
      <c r="V396" s="21">
        <v>12660</v>
      </c>
      <c r="W396">
        <v>15</v>
      </c>
      <c r="X396">
        <v>0</v>
      </c>
      <c r="Y396">
        <v>0</v>
      </c>
      <c r="Z396">
        <v>0</v>
      </c>
      <c r="AA396">
        <v>1</v>
      </c>
      <c r="AL396" s="3"/>
      <c r="AM396" s="1"/>
    </row>
    <row r="397" spans="1:39" ht="14.25" x14ac:dyDescent="0.2">
      <c r="A397" s="11">
        <v>10314</v>
      </c>
      <c r="B397" t="s">
        <v>178</v>
      </c>
      <c r="C397" t="s">
        <v>121</v>
      </c>
      <c r="D397" t="s">
        <v>121</v>
      </c>
      <c r="E397" t="s">
        <v>121</v>
      </c>
      <c r="F397" s="6" t="s">
        <v>754</v>
      </c>
      <c r="H397">
        <v>2</v>
      </c>
      <c r="I397" s="1">
        <v>0</v>
      </c>
      <c r="J397">
        <v>0</v>
      </c>
      <c r="K397">
        <v>0</v>
      </c>
      <c r="L397" s="20">
        <v>8440</v>
      </c>
      <c r="M397">
        <v>1</v>
      </c>
      <c r="N397">
        <v>0</v>
      </c>
      <c r="O397">
        <v>0</v>
      </c>
      <c r="P397">
        <v>0</v>
      </c>
      <c r="Q397" s="22">
        <v>25320</v>
      </c>
      <c r="R397">
        <v>3</v>
      </c>
      <c r="S397" s="1">
        <v>0</v>
      </c>
      <c r="T397">
        <v>0</v>
      </c>
      <c r="U397">
        <v>0</v>
      </c>
      <c r="V397" s="21">
        <v>12660</v>
      </c>
      <c r="W397">
        <v>21</v>
      </c>
      <c r="X397">
        <v>0</v>
      </c>
      <c r="Y397">
        <v>0</v>
      </c>
      <c r="Z397">
        <v>0</v>
      </c>
      <c r="AA397">
        <v>1</v>
      </c>
      <c r="AL397" s="3"/>
      <c r="AM397" s="1"/>
    </row>
    <row r="398" spans="1:39" ht="14.25" x14ac:dyDescent="0.2">
      <c r="A398" s="11">
        <v>10315</v>
      </c>
      <c r="B398" t="s">
        <v>130</v>
      </c>
      <c r="C398" t="s">
        <v>121</v>
      </c>
      <c r="D398" t="s">
        <v>121</v>
      </c>
      <c r="E398" t="s">
        <v>121</v>
      </c>
      <c r="F398" s="6" t="s">
        <v>756</v>
      </c>
      <c r="H398">
        <v>2</v>
      </c>
      <c r="I398" s="1">
        <v>0</v>
      </c>
      <c r="J398">
        <v>0</v>
      </c>
      <c r="K398">
        <v>0</v>
      </c>
      <c r="L398" s="20">
        <v>8440</v>
      </c>
      <c r="M398">
        <v>1</v>
      </c>
      <c r="N398">
        <v>0</v>
      </c>
      <c r="O398">
        <v>0</v>
      </c>
      <c r="P398">
        <v>0</v>
      </c>
      <c r="Q398" s="22">
        <v>25320</v>
      </c>
      <c r="R398">
        <v>3</v>
      </c>
      <c r="S398" s="1">
        <v>0</v>
      </c>
      <c r="T398">
        <v>0</v>
      </c>
      <c r="U398">
        <v>0</v>
      </c>
      <c r="V398" s="21">
        <v>12660</v>
      </c>
      <c r="W398">
        <v>9</v>
      </c>
      <c r="X398">
        <v>0</v>
      </c>
      <c r="Y398">
        <v>0</v>
      </c>
      <c r="Z398">
        <v>0</v>
      </c>
      <c r="AA398">
        <v>10</v>
      </c>
      <c r="AL398" s="3"/>
      <c r="AM398" s="1"/>
    </row>
    <row r="399" spans="1:39" ht="14.25" x14ac:dyDescent="0.2">
      <c r="A399" s="11">
        <v>10316</v>
      </c>
      <c r="B399" t="s">
        <v>181</v>
      </c>
      <c r="C399" t="s">
        <v>121</v>
      </c>
      <c r="D399" t="s">
        <v>121</v>
      </c>
      <c r="E399" t="s">
        <v>121</v>
      </c>
      <c r="F399" s="6" t="s">
        <v>758</v>
      </c>
      <c r="H399">
        <v>2</v>
      </c>
      <c r="I399" s="1">
        <v>0</v>
      </c>
      <c r="J399">
        <v>0</v>
      </c>
      <c r="K399">
        <v>0</v>
      </c>
      <c r="L399" s="20">
        <v>8520</v>
      </c>
      <c r="M399">
        <v>1</v>
      </c>
      <c r="N399">
        <v>0</v>
      </c>
      <c r="O399">
        <v>0</v>
      </c>
      <c r="P399">
        <v>0</v>
      </c>
      <c r="Q399" s="22">
        <v>25320</v>
      </c>
      <c r="R399">
        <v>3</v>
      </c>
      <c r="S399" s="1">
        <v>0</v>
      </c>
      <c r="T399">
        <v>0</v>
      </c>
      <c r="U399">
        <v>0</v>
      </c>
      <c r="V399" s="21">
        <v>12660</v>
      </c>
      <c r="W399">
        <v>30</v>
      </c>
      <c r="X399">
        <v>0</v>
      </c>
      <c r="Y399">
        <v>0</v>
      </c>
      <c r="Z399">
        <v>0</v>
      </c>
      <c r="AA399">
        <v>10</v>
      </c>
      <c r="AL399" s="3"/>
      <c r="AM399" s="1"/>
    </row>
    <row r="400" spans="1:39" ht="14.25" x14ac:dyDescent="0.2">
      <c r="A400" s="11">
        <v>10317</v>
      </c>
      <c r="B400" t="s">
        <v>122</v>
      </c>
      <c r="C400" t="s">
        <v>121</v>
      </c>
      <c r="D400" t="s">
        <v>121</v>
      </c>
      <c r="E400" t="s">
        <v>121</v>
      </c>
      <c r="F400" s="6" t="s">
        <v>758</v>
      </c>
      <c r="H400">
        <v>2</v>
      </c>
      <c r="I400" s="1">
        <v>0</v>
      </c>
      <c r="J400">
        <v>0</v>
      </c>
      <c r="K400">
        <v>0</v>
      </c>
      <c r="L400" s="20">
        <v>8520</v>
      </c>
      <c r="M400">
        <v>1</v>
      </c>
      <c r="N400">
        <v>0</v>
      </c>
      <c r="O400">
        <v>0</v>
      </c>
      <c r="P400">
        <v>0</v>
      </c>
      <c r="Q400" s="22">
        <v>25320</v>
      </c>
      <c r="R400">
        <v>3</v>
      </c>
      <c r="S400" s="1">
        <v>0</v>
      </c>
      <c r="T400">
        <v>0</v>
      </c>
      <c r="U400">
        <v>0</v>
      </c>
      <c r="V400" s="21">
        <v>12660</v>
      </c>
      <c r="W400">
        <v>4</v>
      </c>
      <c r="X400">
        <v>0</v>
      </c>
      <c r="Y400">
        <v>0</v>
      </c>
      <c r="Z400">
        <v>0</v>
      </c>
      <c r="AA400">
        <v>10</v>
      </c>
      <c r="AL400" s="3"/>
      <c r="AM400" s="1"/>
    </row>
    <row r="401" spans="1:39" ht="14.25" x14ac:dyDescent="0.2">
      <c r="A401" s="11">
        <v>10318</v>
      </c>
      <c r="B401" t="s">
        <v>178</v>
      </c>
      <c r="C401" t="s">
        <v>121</v>
      </c>
      <c r="D401" t="s">
        <v>121</v>
      </c>
      <c r="E401" t="s">
        <v>121</v>
      </c>
      <c r="F401" s="6" t="s">
        <v>760</v>
      </c>
      <c r="H401">
        <v>2</v>
      </c>
      <c r="I401" s="1">
        <v>0</v>
      </c>
      <c r="J401">
        <v>0</v>
      </c>
      <c r="K401">
        <v>0</v>
      </c>
      <c r="L401" s="20">
        <v>8520</v>
      </c>
      <c r="M401">
        <v>1</v>
      </c>
      <c r="N401">
        <v>0</v>
      </c>
      <c r="O401">
        <v>0</v>
      </c>
      <c r="P401">
        <v>0</v>
      </c>
      <c r="Q401" s="22">
        <v>25560</v>
      </c>
      <c r="R401">
        <v>3</v>
      </c>
      <c r="S401" s="1">
        <v>0</v>
      </c>
      <c r="T401">
        <v>0</v>
      </c>
      <c r="U401">
        <v>0</v>
      </c>
      <c r="V401" s="21">
        <v>12780</v>
      </c>
      <c r="W401">
        <v>21</v>
      </c>
      <c r="X401">
        <v>0</v>
      </c>
      <c r="Y401">
        <v>0</v>
      </c>
      <c r="Z401">
        <v>0</v>
      </c>
      <c r="AA401">
        <v>1</v>
      </c>
      <c r="AL401" s="3"/>
      <c r="AM401" s="1"/>
    </row>
    <row r="402" spans="1:39" ht="14.25" x14ac:dyDescent="0.2">
      <c r="A402" s="11">
        <v>10319</v>
      </c>
      <c r="B402" t="s">
        <v>130</v>
      </c>
      <c r="C402" t="s">
        <v>121</v>
      </c>
      <c r="D402" t="s">
        <v>121</v>
      </c>
      <c r="E402" t="s">
        <v>121</v>
      </c>
      <c r="F402" s="6" t="s">
        <v>762</v>
      </c>
      <c r="H402">
        <v>2</v>
      </c>
      <c r="I402" s="1">
        <v>0</v>
      </c>
      <c r="J402">
        <v>0</v>
      </c>
      <c r="K402">
        <v>0</v>
      </c>
      <c r="L402" s="20">
        <v>8520</v>
      </c>
      <c r="M402">
        <v>1</v>
      </c>
      <c r="N402">
        <v>0</v>
      </c>
      <c r="O402">
        <v>0</v>
      </c>
      <c r="P402">
        <v>0</v>
      </c>
      <c r="Q402" s="22">
        <v>25560</v>
      </c>
      <c r="R402">
        <v>3</v>
      </c>
      <c r="S402" s="1">
        <v>0</v>
      </c>
      <c r="T402">
        <v>0</v>
      </c>
      <c r="U402">
        <v>0</v>
      </c>
      <c r="V402" s="21">
        <v>12780</v>
      </c>
      <c r="W402">
        <v>9</v>
      </c>
      <c r="X402">
        <v>0</v>
      </c>
      <c r="Y402">
        <v>0</v>
      </c>
      <c r="Z402">
        <v>0</v>
      </c>
      <c r="AA402">
        <v>10</v>
      </c>
      <c r="AL402" s="3"/>
      <c r="AM402" s="1"/>
    </row>
    <row r="403" spans="1:39" ht="14.25" x14ac:dyDescent="0.2">
      <c r="A403" s="11">
        <v>10320</v>
      </c>
      <c r="B403" t="s">
        <v>123</v>
      </c>
      <c r="C403" t="s">
        <v>121</v>
      </c>
      <c r="D403" t="s">
        <v>121</v>
      </c>
      <c r="E403" t="s">
        <v>121</v>
      </c>
      <c r="F403" s="6" t="s">
        <v>762</v>
      </c>
      <c r="H403">
        <v>2</v>
      </c>
      <c r="I403" s="1">
        <v>0</v>
      </c>
      <c r="J403">
        <v>0</v>
      </c>
      <c r="K403">
        <v>0</v>
      </c>
      <c r="L403" s="20">
        <v>8520</v>
      </c>
      <c r="M403">
        <v>1</v>
      </c>
      <c r="N403">
        <v>0</v>
      </c>
      <c r="O403">
        <v>0</v>
      </c>
      <c r="P403">
        <v>0</v>
      </c>
      <c r="Q403" s="22">
        <v>25560</v>
      </c>
      <c r="R403">
        <v>3</v>
      </c>
      <c r="S403" s="1">
        <v>0</v>
      </c>
      <c r="T403">
        <v>0</v>
      </c>
      <c r="U403">
        <v>0</v>
      </c>
      <c r="V403" s="21">
        <v>12780</v>
      </c>
      <c r="W403">
        <v>12</v>
      </c>
      <c r="X403">
        <v>0</v>
      </c>
      <c r="Y403">
        <v>0</v>
      </c>
      <c r="Z403">
        <v>0</v>
      </c>
      <c r="AA403">
        <v>10</v>
      </c>
      <c r="AL403" s="3"/>
      <c r="AM403" s="1"/>
    </row>
    <row r="404" spans="1:39" ht="14.25" x14ac:dyDescent="0.2">
      <c r="A404" s="11">
        <v>10321</v>
      </c>
      <c r="B404" t="s">
        <v>126</v>
      </c>
      <c r="C404" t="s">
        <v>121</v>
      </c>
      <c r="D404" t="s">
        <v>121</v>
      </c>
      <c r="E404" t="s">
        <v>121</v>
      </c>
      <c r="F404" s="6" t="s">
        <v>764</v>
      </c>
      <c r="H404">
        <v>2</v>
      </c>
      <c r="I404" s="1">
        <v>0</v>
      </c>
      <c r="J404">
        <v>0</v>
      </c>
      <c r="K404">
        <v>0</v>
      </c>
      <c r="L404" s="20">
        <v>8600</v>
      </c>
      <c r="M404">
        <v>1</v>
      </c>
      <c r="N404">
        <v>0</v>
      </c>
      <c r="O404">
        <v>0</v>
      </c>
      <c r="P404">
        <v>0</v>
      </c>
      <c r="Q404" s="22">
        <v>25560</v>
      </c>
      <c r="R404">
        <v>3</v>
      </c>
      <c r="S404" s="1">
        <v>0</v>
      </c>
      <c r="T404">
        <v>0</v>
      </c>
      <c r="U404">
        <v>0</v>
      </c>
      <c r="V404" s="21">
        <v>12780</v>
      </c>
      <c r="W404">
        <v>23</v>
      </c>
      <c r="X404">
        <v>0</v>
      </c>
      <c r="Y404">
        <v>0</v>
      </c>
      <c r="Z404">
        <v>0</v>
      </c>
      <c r="AA404">
        <v>1</v>
      </c>
      <c r="AL404" s="3"/>
      <c r="AM404" s="1"/>
    </row>
    <row r="405" spans="1:39" ht="14.25" x14ac:dyDescent="0.2">
      <c r="A405" s="11">
        <v>10322</v>
      </c>
      <c r="B405" t="s">
        <v>131</v>
      </c>
      <c r="C405" t="s">
        <v>125</v>
      </c>
      <c r="D405" t="s">
        <v>121</v>
      </c>
      <c r="E405" t="s">
        <v>136</v>
      </c>
      <c r="F405" s="6" t="s">
        <v>766</v>
      </c>
      <c r="H405">
        <v>2</v>
      </c>
      <c r="I405" s="1">
        <v>0</v>
      </c>
      <c r="J405">
        <v>0</v>
      </c>
      <c r="K405">
        <v>0</v>
      </c>
      <c r="L405" s="20">
        <v>8600</v>
      </c>
      <c r="M405">
        <v>1</v>
      </c>
      <c r="N405">
        <v>0</v>
      </c>
      <c r="O405">
        <v>0</v>
      </c>
      <c r="P405">
        <v>0</v>
      </c>
      <c r="Q405" s="22">
        <v>25560</v>
      </c>
      <c r="R405">
        <v>3</v>
      </c>
      <c r="S405" s="1">
        <v>0</v>
      </c>
      <c r="T405">
        <v>0</v>
      </c>
      <c r="U405">
        <v>0</v>
      </c>
      <c r="V405" s="21">
        <v>12780</v>
      </c>
      <c r="W405">
        <v>6</v>
      </c>
      <c r="X405">
        <v>1</v>
      </c>
      <c r="Y405">
        <v>0</v>
      </c>
      <c r="Z405">
        <v>3</v>
      </c>
      <c r="AA405">
        <v>10</v>
      </c>
      <c r="AL405" s="3"/>
      <c r="AM405" s="1"/>
    </row>
    <row r="406" spans="1:39" ht="14.25" x14ac:dyDescent="0.2">
      <c r="A406" s="11">
        <v>10323</v>
      </c>
      <c r="B406" t="s">
        <v>180</v>
      </c>
      <c r="C406" t="s">
        <v>121</v>
      </c>
      <c r="D406" t="s">
        <v>121</v>
      </c>
      <c r="E406" t="s">
        <v>121</v>
      </c>
      <c r="F406" s="6" t="s">
        <v>768</v>
      </c>
      <c r="H406">
        <v>2</v>
      </c>
      <c r="I406" s="1">
        <v>0</v>
      </c>
      <c r="J406">
        <v>0</v>
      </c>
      <c r="K406">
        <v>0</v>
      </c>
      <c r="L406" s="20">
        <v>8600</v>
      </c>
      <c r="M406">
        <v>1</v>
      </c>
      <c r="N406">
        <v>0</v>
      </c>
      <c r="O406">
        <v>0</v>
      </c>
      <c r="P406">
        <v>0</v>
      </c>
      <c r="Q406" s="22">
        <v>25800</v>
      </c>
      <c r="R406">
        <v>3</v>
      </c>
      <c r="S406" s="1">
        <v>0</v>
      </c>
      <c r="T406">
        <v>0</v>
      </c>
      <c r="U406">
        <v>0</v>
      </c>
      <c r="V406" s="21">
        <v>12900</v>
      </c>
      <c r="W406">
        <v>15</v>
      </c>
      <c r="X406">
        <v>0</v>
      </c>
      <c r="Y406">
        <v>0</v>
      </c>
      <c r="Z406">
        <v>0</v>
      </c>
      <c r="AA406">
        <v>1</v>
      </c>
      <c r="AL406" s="3"/>
      <c r="AM406" s="1"/>
    </row>
    <row r="407" spans="1:39" ht="14.25" x14ac:dyDescent="0.2">
      <c r="A407" s="11">
        <v>10324</v>
      </c>
      <c r="B407" t="s">
        <v>178</v>
      </c>
      <c r="C407" t="s">
        <v>121</v>
      </c>
      <c r="D407" t="s">
        <v>121</v>
      </c>
      <c r="E407" t="s">
        <v>121</v>
      </c>
      <c r="F407" s="6" t="s">
        <v>768</v>
      </c>
      <c r="H407">
        <v>2</v>
      </c>
      <c r="I407" s="1">
        <v>0</v>
      </c>
      <c r="J407">
        <v>0</v>
      </c>
      <c r="K407">
        <v>0</v>
      </c>
      <c r="L407" s="20">
        <v>8600</v>
      </c>
      <c r="M407">
        <v>1</v>
      </c>
      <c r="N407">
        <v>0</v>
      </c>
      <c r="O407">
        <v>0</v>
      </c>
      <c r="P407">
        <v>0</v>
      </c>
      <c r="Q407" s="22">
        <v>25800</v>
      </c>
      <c r="R407">
        <v>3</v>
      </c>
      <c r="S407" s="1">
        <v>0</v>
      </c>
      <c r="T407">
        <v>0</v>
      </c>
      <c r="U407">
        <v>0</v>
      </c>
      <c r="V407" s="21">
        <v>12900</v>
      </c>
      <c r="W407">
        <v>21</v>
      </c>
      <c r="X407">
        <v>0</v>
      </c>
      <c r="Y407">
        <v>0</v>
      </c>
      <c r="Z407">
        <v>0</v>
      </c>
      <c r="AA407">
        <v>1</v>
      </c>
      <c r="AL407" s="3"/>
      <c r="AM407" s="1"/>
    </row>
    <row r="408" spans="1:39" ht="14.25" x14ac:dyDescent="0.2">
      <c r="A408" s="11">
        <v>10325</v>
      </c>
      <c r="B408" t="s">
        <v>130</v>
      </c>
      <c r="C408" t="s">
        <v>121</v>
      </c>
      <c r="D408" t="s">
        <v>121</v>
      </c>
      <c r="E408" t="s">
        <v>121</v>
      </c>
      <c r="F408" s="6" t="s">
        <v>770</v>
      </c>
      <c r="H408">
        <v>2</v>
      </c>
      <c r="I408" s="1">
        <v>0</v>
      </c>
      <c r="J408">
        <v>0</v>
      </c>
      <c r="K408">
        <v>0</v>
      </c>
      <c r="L408" s="20">
        <v>8600</v>
      </c>
      <c r="M408">
        <v>1</v>
      </c>
      <c r="N408">
        <v>0</v>
      </c>
      <c r="O408">
        <v>0</v>
      </c>
      <c r="P408">
        <v>0</v>
      </c>
      <c r="Q408" s="22">
        <v>25800</v>
      </c>
      <c r="R408">
        <v>3</v>
      </c>
      <c r="S408" s="1">
        <v>0</v>
      </c>
      <c r="T408">
        <v>0</v>
      </c>
      <c r="U408">
        <v>0</v>
      </c>
      <c r="V408" s="21">
        <v>12900</v>
      </c>
      <c r="W408">
        <v>9</v>
      </c>
      <c r="X408">
        <v>0</v>
      </c>
      <c r="Y408">
        <v>0</v>
      </c>
      <c r="Z408">
        <v>0</v>
      </c>
      <c r="AA408">
        <v>10</v>
      </c>
      <c r="AL408" s="3"/>
      <c r="AM408" s="1"/>
    </row>
    <row r="409" spans="1:39" ht="14.25" x14ac:dyDescent="0.2">
      <c r="A409" s="11">
        <v>10326</v>
      </c>
      <c r="B409" t="s">
        <v>181</v>
      </c>
      <c r="C409" t="s">
        <v>121</v>
      </c>
      <c r="D409" t="s">
        <v>121</v>
      </c>
      <c r="E409" t="s">
        <v>121</v>
      </c>
      <c r="F409" s="6" t="s">
        <v>772</v>
      </c>
      <c r="H409">
        <v>2</v>
      </c>
      <c r="I409" s="1">
        <v>0</v>
      </c>
      <c r="J409">
        <v>0</v>
      </c>
      <c r="K409">
        <v>0</v>
      </c>
      <c r="L409" s="20">
        <v>8680</v>
      </c>
      <c r="M409">
        <v>1</v>
      </c>
      <c r="N409">
        <v>0</v>
      </c>
      <c r="O409">
        <v>0</v>
      </c>
      <c r="P409">
        <v>0</v>
      </c>
      <c r="Q409" s="22">
        <v>25800</v>
      </c>
      <c r="R409">
        <v>3</v>
      </c>
      <c r="S409" s="1">
        <v>0</v>
      </c>
      <c r="T409">
        <v>0</v>
      </c>
      <c r="U409">
        <v>0</v>
      </c>
      <c r="V409" s="21">
        <v>12900</v>
      </c>
      <c r="W409">
        <v>30</v>
      </c>
      <c r="X409">
        <v>0</v>
      </c>
      <c r="Y409">
        <v>0</v>
      </c>
      <c r="Z409">
        <v>0</v>
      </c>
      <c r="AA409">
        <v>10</v>
      </c>
      <c r="AL409" s="3"/>
      <c r="AM409" s="1"/>
    </row>
    <row r="410" spans="1:39" ht="14.25" x14ac:dyDescent="0.2">
      <c r="A410" s="11">
        <v>10327</v>
      </c>
      <c r="B410" t="s">
        <v>122</v>
      </c>
      <c r="C410" t="s">
        <v>121</v>
      </c>
      <c r="D410" t="s">
        <v>121</v>
      </c>
      <c r="E410" t="s">
        <v>121</v>
      </c>
      <c r="F410" s="6" t="s">
        <v>772</v>
      </c>
      <c r="H410">
        <v>2</v>
      </c>
      <c r="I410" s="1">
        <v>0</v>
      </c>
      <c r="J410">
        <v>0</v>
      </c>
      <c r="K410">
        <v>0</v>
      </c>
      <c r="L410" s="20">
        <v>8680</v>
      </c>
      <c r="M410">
        <v>1</v>
      </c>
      <c r="N410">
        <v>0</v>
      </c>
      <c r="O410">
        <v>0</v>
      </c>
      <c r="P410">
        <v>0</v>
      </c>
      <c r="Q410" s="22">
        <v>25800</v>
      </c>
      <c r="R410">
        <v>3</v>
      </c>
      <c r="S410" s="1">
        <v>0</v>
      </c>
      <c r="T410">
        <v>0</v>
      </c>
      <c r="U410">
        <v>0</v>
      </c>
      <c r="V410" s="21">
        <v>12900</v>
      </c>
      <c r="W410">
        <v>4</v>
      </c>
      <c r="X410">
        <v>0</v>
      </c>
      <c r="Y410">
        <v>0</v>
      </c>
      <c r="Z410">
        <v>0</v>
      </c>
      <c r="AA410">
        <v>10</v>
      </c>
      <c r="AL410" s="3"/>
      <c r="AM410" s="1"/>
    </row>
    <row r="411" spans="1:39" ht="14.25" x14ac:dyDescent="0.2">
      <c r="A411" s="11">
        <v>10328</v>
      </c>
      <c r="B411" t="s">
        <v>178</v>
      </c>
      <c r="C411" t="s">
        <v>121</v>
      </c>
      <c r="D411" t="s">
        <v>121</v>
      </c>
      <c r="E411" t="s">
        <v>121</v>
      </c>
      <c r="F411" s="6" t="s">
        <v>774</v>
      </c>
      <c r="H411">
        <v>2</v>
      </c>
      <c r="I411" s="1">
        <v>0</v>
      </c>
      <c r="J411">
        <v>0</v>
      </c>
      <c r="K411">
        <v>0</v>
      </c>
      <c r="L411" s="20">
        <v>8680</v>
      </c>
      <c r="M411">
        <v>1</v>
      </c>
      <c r="N411">
        <v>0</v>
      </c>
      <c r="O411">
        <v>0</v>
      </c>
      <c r="P411">
        <v>0</v>
      </c>
      <c r="Q411" s="22">
        <v>26040</v>
      </c>
      <c r="R411">
        <v>3</v>
      </c>
      <c r="S411" s="1">
        <v>0</v>
      </c>
      <c r="T411">
        <v>0</v>
      </c>
      <c r="U411">
        <v>0</v>
      </c>
      <c r="V411" s="21">
        <v>13020</v>
      </c>
      <c r="W411">
        <v>21</v>
      </c>
      <c r="X411">
        <v>0</v>
      </c>
      <c r="Y411">
        <v>0</v>
      </c>
      <c r="Z411">
        <v>0</v>
      </c>
      <c r="AA411">
        <v>1</v>
      </c>
      <c r="AL411" s="3"/>
      <c r="AM411" s="1"/>
    </row>
    <row r="412" spans="1:39" ht="14.25" x14ac:dyDescent="0.2">
      <c r="A412" s="11">
        <v>10329</v>
      </c>
      <c r="B412" t="s">
        <v>130</v>
      </c>
      <c r="C412" t="s">
        <v>121</v>
      </c>
      <c r="D412" t="s">
        <v>121</v>
      </c>
      <c r="E412" t="s">
        <v>121</v>
      </c>
      <c r="F412" s="6" t="s">
        <v>776</v>
      </c>
      <c r="H412">
        <v>2</v>
      </c>
      <c r="I412" s="1">
        <v>0</v>
      </c>
      <c r="J412">
        <v>0</v>
      </c>
      <c r="K412">
        <v>0</v>
      </c>
      <c r="L412" s="20">
        <v>8680</v>
      </c>
      <c r="M412">
        <v>1</v>
      </c>
      <c r="N412">
        <v>0</v>
      </c>
      <c r="O412">
        <v>0</v>
      </c>
      <c r="P412">
        <v>0</v>
      </c>
      <c r="Q412" s="22">
        <v>26040</v>
      </c>
      <c r="R412">
        <v>3</v>
      </c>
      <c r="S412" s="1">
        <v>0</v>
      </c>
      <c r="T412">
        <v>0</v>
      </c>
      <c r="U412">
        <v>0</v>
      </c>
      <c r="V412" s="21">
        <v>13020</v>
      </c>
      <c r="W412">
        <v>9</v>
      </c>
      <c r="X412">
        <v>0</v>
      </c>
      <c r="Y412">
        <v>0</v>
      </c>
      <c r="Z412">
        <v>0</v>
      </c>
      <c r="AA412">
        <v>10</v>
      </c>
      <c r="AL412" s="3"/>
      <c r="AM412" s="1"/>
    </row>
    <row r="413" spans="1:39" ht="14.25" x14ac:dyDescent="0.2">
      <c r="A413" s="11">
        <v>10330</v>
      </c>
      <c r="B413" t="s">
        <v>123</v>
      </c>
      <c r="C413" t="s">
        <v>121</v>
      </c>
      <c r="D413" t="s">
        <v>121</v>
      </c>
      <c r="E413" t="s">
        <v>121</v>
      </c>
      <c r="F413" s="6" t="s">
        <v>776</v>
      </c>
      <c r="H413">
        <v>2</v>
      </c>
      <c r="I413" s="1">
        <v>0</v>
      </c>
      <c r="J413">
        <v>0</v>
      </c>
      <c r="K413">
        <v>0</v>
      </c>
      <c r="L413" s="20">
        <v>8680</v>
      </c>
      <c r="M413">
        <v>1</v>
      </c>
      <c r="N413">
        <v>0</v>
      </c>
      <c r="O413">
        <v>0</v>
      </c>
      <c r="P413">
        <v>0</v>
      </c>
      <c r="Q413" s="22">
        <v>26040</v>
      </c>
      <c r="R413">
        <v>3</v>
      </c>
      <c r="S413" s="1">
        <v>0</v>
      </c>
      <c r="T413">
        <v>0</v>
      </c>
      <c r="U413">
        <v>0</v>
      </c>
      <c r="V413" s="21">
        <v>13020</v>
      </c>
      <c r="W413">
        <v>12</v>
      </c>
      <c r="X413">
        <v>0</v>
      </c>
      <c r="Y413">
        <v>0</v>
      </c>
      <c r="Z413">
        <v>0</v>
      </c>
      <c r="AA413">
        <v>10</v>
      </c>
      <c r="AL413" s="3"/>
      <c r="AM413" s="1"/>
    </row>
    <row r="414" spans="1:39" ht="14.25" x14ac:dyDescent="0.2">
      <c r="A414" s="11">
        <v>10331</v>
      </c>
      <c r="B414" t="s">
        <v>126</v>
      </c>
      <c r="C414" t="s">
        <v>121</v>
      </c>
      <c r="D414" t="s">
        <v>121</v>
      </c>
      <c r="E414" t="s">
        <v>121</v>
      </c>
      <c r="F414" s="6" t="s">
        <v>778</v>
      </c>
      <c r="H414">
        <v>2</v>
      </c>
      <c r="I414" s="1">
        <v>0</v>
      </c>
      <c r="J414">
        <v>0</v>
      </c>
      <c r="K414">
        <v>0</v>
      </c>
      <c r="L414" s="20">
        <v>8760</v>
      </c>
      <c r="M414">
        <v>1</v>
      </c>
      <c r="N414">
        <v>0</v>
      </c>
      <c r="O414">
        <v>0</v>
      </c>
      <c r="P414">
        <v>0</v>
      </c>
      <c r="Q414" s="22">
        <v>26040</v>
      </c>
      <c r="R414">
        <v>3</v>
      </c>
      <c r="S414" s="1">
        <v>0</v>
      </c>
      <c r="T414">
        <v>0</v>
      </c>
      <c r="U414">
        <v>0</v>
      </c>
      <c r="V414" s="21">
        <v>13020</v>
      </c>
      <c r="W414">
        <v>23</v>
      </c>
      <c r="X414">
        <v>0</v>
      </c>
      <c r="Y414">
        <v>0</v>
      </c>
      <c r="Z414">
        <v>0</v>
      </c>
      <c r="AA414">
        <v>1</v>
      </c>
      <c r="AL414" s="3"/>
      <c r="AM414" s="1"/>
    </row>
    <row r="415" spans="1:39" ht="14.25" x14ac:dyDescent="0.2">
      <c r="A415" s="11">
        <v>10332</v>
      </c>
      <c r="B415" t="s">
        <v>131</v>
      </c>
      <c r="C415" t="s">
        <v>125</v>
      </c>
      <c r="D415" t="s">
        <v>121</v>
      </c>
      <c r="E415" t="s">
        <v>136</v>
      </c>
      <c r="F415" s="6" t="s">
        <v>780</v>
      </c>
      <c r="H415">
        <v>2</v>
      </c>
      <c r="I415" s="1">
        <v>0</v>
      </c>
      <c r="J415">
        <v>0</v>
      </c>
      <c r="K415">
        <v>0</v>
      </c>
      <c r="L415" s="20">
        <v>8760</v>
      </c>
      <c r="M415">
        <v>1</v>
      </c>
      <c r="N415">
        <v>0</v>
      </c>
      <c r="O415">
        <v>0</v>
      </c>
      <c r="P415">
        <v>0</v>
      </c>
      <c r="Q415" s="22">
        <v>26040</v>
      </c>
      <c r="R415">
        <v>3</v>
      </c>
      <c r="S415" s="1">
        <v>0</v>
      </c>
      <c r="T415">
        <v>0</v>
      </c>
      <c r="U415">
        <v>0</v>
      </c>
      <c r="V415" s="21">
        <v>13020</v>
      </c>
      <c r="W415">
        <v>6</v>
      </c>
      <c r="X415">
        <v>1</v>
      </c>
      <c r="Y415">
        <v>0</v>
      </c>
      <c r="Z415">
        <v>3</v>
      </c>
      <c r="AA415">
        <v>10</v>
      </c>
      <c r="AL415" s="3"/>
      <c r="AM415" s="1"/>
    </row>
    <row r="416" spans="1:39" ht="14.25" x14ac:dyDescent="0.2">
      <c r="A416" s="11">
        <v>10333</v>
      </c>
      <c r="B416" t="s">
        <v>180</v>
      </c>
      <c r="C416" t="s">
        <v>121</v>
      </c>
      <c r="D416" t="s">
        <v>121</v>
      </c>
      <c r="E416" t="s">
        <v>121</v>
      </c>
      <c r="F416" s="6" t="s">
        <v>782</v>
      </c>
      <c r="H416">
        <v>2</v>
      </c>
      <c r="I416" s="1">
        <v>0</v>
      </c>
      <c r="J416">
        <v>0</v>
      </c>
      <c r="K416">
        <v>0</v>
      </c>
      <c r="L416" s="20">
        <v>8760</v>
      </c>
      <c r="M416">
        <v>1</v>
      </c>
      <c r="N416">
        <v>0</v>
      </c>
      <c r="O416">
        <v>0</v>
      </c>
      <c r="P416">
        <v>0</v>
      </c>
      <c r="Q416" s="22">
        <v>26280</v>
      </c>
      <c r="R416">
        <v>3</v>
      </c>
      <c r="S416" s="1">
        <v>0</v>
      </c>
      <c r="T416">
        <v>0</v>
      </c>
      <c r="U416">
        <v>0</v>
      </c>
      <c r="V416" s="21">
        <v>13140</v>
      </c>
      <c r="W416">
        <v>15</v>
      </c>
      <c r="X416">
        <v>0</v>
      </c>
      <c r="Y416">
        <v>0</v>
      </c>
      <c r="Z416">
        <v>0</v>
      </c>
      <c r="AA416">
        <v>1</v>
      </c>
      <c r="AL416" s="3"/>
      <c r="AM416" s="1"/>
    </row>
    <row r="417" spans="1:39" ht="14.25" x14ac:dyDescent="0.2">
      <c r="A417" s="11">
        <v>10334</v>
      </c>
      <c r="B417" t="s">
        <v>178</v>
      </c>
      <c r="C417" t="s">
        <v>121</v>
      </c>
      <c r="D417" t="s">
        <v>121</v>
      </c>
      <c r="E417" t="s">
        <v>121</v>
      </c>
      <c r="F417" s="6" t="s">
        <v>782</v>
      </c>
      <c r="H417">
        <v>2</v>
      </c>
      <c r="I417" s="1">
        <v>0</v>
      </c>
      <c r="J417">
        <v>0</v>
      </c>
      <c r="K417">
        <v>0</v>
      </c>
      <c r="L417" s="20">
        <v>8760</v>
      </c>
      <c r="M417">
        <v>1</v>
      </c>
      <c r="N417">
        <v>0</v>
      </c>
      <c r="O417">
        <v>0</v>
      </c>
      <c r="P417">
        <v>0</v>
      </c>
      <c r="Q417" s="22">
        <v>26280</v>
      </c>
      <c r="R417">
        <v>3</v>
      </c>
      <c r="S417" s="1">
        <v>0</v>
      </c>
      <c r="T417">
        <v>0</v>
      </c>
      <c r="U417">
        <v>0</v>
      </c>
      <c r="V417" s="21">
        <v>13140</v>
      </c>
      <c r="W417">
        <v>21</v>
      </c>
      <c r="X417">
        <v>0</v>
      </c>
      <c r="Y417">
        <v>0</v>
      </c>
      <c r="Z417">
        <v>0</v>
      </c>
      <c r="AA417">
        <v>1</v>
      </c>
      <c r="AL417" s="3"/>
      <c r="AM417" s="1"/>
    </row>
    <row r="418" spans="1:39" ht="14.25" x14ac:dyDescent="0.2">
      <c r="A418" s="11">
        <v>10335</v>
      </c>
      <c r="B418" t="s">
        <v>130</v>
      </c>
      <c r="C418" t="s">
        <v>121</v>
      </c>
      <c r="D418" t="s">
        <v>121</v>
      </c>
      <c r="E418" t="s">
        <v>121</v>
      </c>
      <c r="F418" s="6" t="s">
        <v>784</v>
      </c>
      <c r="H418">
        <v>2</v>
      </c>
      <c r="I418" s="1">
        <v>0</v>
      </c>
      <c r="J418">
        <v>0</v>
      </c>
      <c r="K418">
        <v>0</v>
      </c>
      <c r="L418" s="20">
        <v>8760</v>
      </c>
      <c r="M418">
        <v>1</v>
      </c>
      <c r="N418">
        <v>0</v>
      </c>
      <c r="O418">
        <v>0</v>
      </c>
      <c r="P418">
        <v>0</v>
      </c>
      <c r="Q418" s="22">
        <v>26280</v>
      </c>
      <c r="R418">
        <v>3</v>
      </c>
      <c r="S418" s="1">
        <v>0</v>
      </c>
      <c r="T418">
        <v>0</v>
      </c>
      <c r="U418">
        <v>0</v>
      </c>
      <c r="V418" s="21">
        <v>13140</v>
      </c>
      <c r="W418">
        <v>9</v>
      </c>
      <c r="X418">
        <v>0</v>
      </c>
      <c r="Y418">
        <v>0</v>
      </c>
      <c r="Z418">
        <v>0</v>
      </c>
      <c r="AA418">
        <v>10</v>
      </c>
      <c r="AL418" s="3"/>
      <c r="AM418" s="1"/>
    </row>
    <row r="419" spans="1:39" ht="14.25" x14ac:dyDescent="0.2">
      <c r="A419" s="11">
        <v>10336</v>
      </c>
      <c r="B419" t="s">
        <v>181</v>
      </c>
      <c r="C419" t="s">
        <v>121</v>
      </c>
      <c r="D419" t="s">
        <v>121</v>
      </c>
      <c r="E419" t="s">
        <v>121</v>
      </c>
      <c r="F419" s="6" t="s">
        <v>786</v>
      </c>
      <c r="H419">
        <v>2</v>
      </c>
      <c r="I419" s="1">
        <v>0</v>
      </c>
      <c r="J419">
        <v>0</v>
      </c>
      <c r="K419">
        <v>0</v>
      </c>
      <c r="L419" s="20">
        <v>8840</v>
      </c>
      <c r="M419">
        <v>1</v>
      </c>
      <c r="N419">
        <v>0</v>
      </c>
      <c r="O419">
        <v>0</v>
      </c>
      <c r="P419">
        <v>0</v>
      </c>
      <c r="Q419" s="22">
        <v>26280</v>
      </c>
      <c r="R419">
        <v>3</v>
      </c>
      <c r="S419" s="1">
        <v>0</v>
      </c>
      <c r="T419">
        <v>0</v>
      </c>
      <c r="U419">
        <v>0</v>
      </c>
      <c r="V419" s="21">
        <v>13140</v>
      </c>
      <c r="W419">
        <v>30</v>
      </c>
      <c r="X419">
        <v>0</v>
      </c>
      <c r="Y419">
        <v>0</v>
      </c>
      <c r="Z419">
        <v>0</v>
      </c>
      <c r="AA419">
        <v>10</v>
      </c>
      <c r="AL419" s="3"/>
      <c r="AM419" s="1"/>
    </row>
    <row r="420" spans="1:39" ht="14.25" x14ac:dyDescent="0.2">
      <c r="A420" s="11">
        <v>10337</v>
      </c>
      <c r="B420" t="s">
        <v>122</v>
      </c>
      <c r="C420" t="s">
        <v>121</v>
      </c>
      <c r="D420" t="s">
        <v>121</v>
      </c>
      <c r="E420" t="s">
        <v>121</v>
      </c>
      <c r="F420" s="6" t="s">
        <v>786</v>
      </c>
      <c r="H420">
        <v>2</v>
      </c>
      <c r="I420" s="1">
        <v>0</v>
      </c>
      <c r="J420">
        <v>0</v>
      </c>
      <c r="K420">
        <v>0</v>
      </c>
      <c r="L420" s="20">
        <v>8840</v>
      </c>
      <c r="M420">
        <v>1</v>
      </c>
      <c r="N420">
        <v>0</v>
      </c>
      <c r="O420">
        <v>0</v>
      </c>
      <c r="P420">
        <v>0</v>
      </c>
      <c r="Q420" s="22">
        <v>26280</v>
      </c>
      <c r="R420">
        <v>3</v>
      </c>
      <c r="S420" s="1">
        <v>0</v>
      </c>
      <c r="T420">
        <v>0</v>
      </c>
      <c r="U420">
        <v>0</v>
      </c>
      <c r="V420" s="21">
        <v>13140</v>
      </c>
      <c r="W420">
        <v>4</v>
      </c>
      <c r="X420">
        <v>0</v>
      </c>
      <c r="Y420">
        <v>0</v>
      </c>
      <c r="Z420">
        <v>0</v>
      </c>
      <c r="AA420">
        <v>10</v>
      </c>
      <c r="AL420" s="3"/>
      <c r="AM420" s="1"/>
    </row>
    <row r="421" spans="1:39" ht="14.25" x14ac:dyDescent="0.2">
      <c r="A421" s="11">
        <v>10338</v>
      </c>
      <c r="B421" t="s">
        <v>178</v>
      </c>
      <c r="C421" t="s">
        <v>121</v>
      </c>
      <c r="D421" t="s">
        <v>121</v>
      </c>
      <c r="E421" t="s">
        <v>121</v>
      </c>
      <c r="F421" s="6" t="s">
        <v>788</v>
      </c>
      <c r="H421">
        <v>2</v>
      </c>
      <c r="I421" s="1">
        <v>0</v>
      </c>
      <c r="J421">
        <v>0</v>
      </c>
      <c r="K421">
        <v>0</v>
      </c>
      <c r="L421" s="20">
        <v>8840</v>
      </c>
      <c r="M421">
        <v>1</v>
      </c>
      <c r="N421">
        <v>0</v>
      </c>
      <c r="O421">
        <v>0</v>
      </c>
      <c r="P421">
        <v>0</v>
      </c>
      <c r="Q421" s="22">
        <v>26520</v>
      </c>
      <c r="R421">
        <v>3</v>
      </c>
      <c r="S421" s="1">
        <v>0</v>
      </c>
      <c r="T421">
        <v>0</v>
      </c>
      <c r="U421">
        <v>0</v>
      </c>
      <c r="V421" s="21">
        <v>13260</v>
      </c>
      <c r="W421">
        <v>21</v>
      </c>
      <c r="X421">
        <v>0</v>
      </c>
      <c r="Y421">
        <v>0</v>
      </c>
      <c r="Z421">
        <v>0</v>
      </c>
      <c r="AA421">
        <v>1</v>
      </c>
      <c r="AL421" s="3"/>
      <c r="AM421" s="1"/>
    </row>
    <row r="422" spans="1:39" ht="14.25" x14ac:dyDescent="0.2">
      <c r="A422" s="11">
        <v>10339</v>
      </c>
      <c r="B422" t="s">
        <v>130</v>
      </c>
      <c r="C422" t="s">
        <v>121</v>
      </c>
      <c r="D422" t="s">
        <v>121</v>
      </c>
      <c r="E422" t="s">
        <v>121</v>
      </c>
      <c r="F422" s="6" t="s">
        <v>790</v>
      </c>
      <c r="H422">
        <v>2</v>
      </c>
      <c r="I422" s="1">
        <v>0</v>
      </c>
      <c r="J422">
        <v>0</v>
      </c>
      <c r="K422">
        <v>0</v>
      </c>
      <c r="L422" s="20">
        <v>8840</v>
      </c>
      <c r="M422">
        <v>1</v>
      </c>
      <c r="N422">
        <v>0</v>
      </c>
      <c r="O422">
        <v>0</v>
      </c>
      <c r="P422">
        <v>0</v>
      </c>
      <c r="Q422" s="22">
        <v>26520</v>
      </c>
      <c r="R422">
        <v>3</v>
      </c>
      <c r="S422" s="1">
        <v>0</v>
      </c>
      <c r="T422">
        <v>0</v>
      </c>
      <c r="U422">
        <v>0</v>
      </c>
      <c r="V422" s="21">
        <v>13260</v>
      </c>
      <c r="W422">
        <v>9</v>
      </c>
      <c r="X422">
        <v>0</v>
      </c>
      <c r="Y422">
        <v>0</v>
      </c>
      <c r="Z422">
        <v>0</v>
      </c>
      <c r="AA422">
        <v>10</v>
      </c>
      <c r="AL422" s="3"/>
      <c r="AM422" s="1"/>
    </row>
    <row r="423" spans="1:39" ht="14.25" x14ac:dyDescent="0.2">
      <c r="A423" s="11">
        <v>10340</v>
      </c>
      <c r="B423" t="s">
        <v>123</v>
      </c>
      <c r="C423" t="s">
        <v>121</v>
      </c>
      <c r="D423" t="s">
        <v>121</v>
      </c>
      <c r="E423" t="s">
        <v>121</v>
      </c>
      <c r="F423" s="6" t="s">
        <v>790</v>
      </c>
      <c r="H423">
        <v>2</v>
      </c>
      <c r="I423" s="1">
        <v>0</v>
      </c>
      <c r="J423">
        <v>0</v>
      </c>
      <c r="K423">
        <v>0</v>
      </c>
      <c r="L423" s="20">
        <v>8840</v>
      </c>
      <c r="M423">
        <v>1</v>
      </c>
      <c r="N423">
        <v>0</v>
      </c>
      <c r="O423">
        <v>0</v>
      </c>
      <c r="P423">
        <v>0</v>
      </c>
      <c r="Q423" s="22">
        <v>26520</v>
      </c>
      <c r="R423">
        <v>3</v>
      </c>
      <c r="S423" s="1">
        <v>0</v>
      </c>
      <c r="T423">
        <v>0</v>
      </c>
      <c r="U423">
        <v>0</v>
      </c>
      <c r="V423" s="21">
        <v>13260</v>
      </c>
      <c r="W423">
        <v>12</v>
      </c>
      <c r="X423">
        <v>0</v>
      </c>
      <c r="Y423">
        <v>0</v>
      </c>
      <c r="Z423">
        <v>0</v>
      </c>
      <c r="AA423">
        <v>10</v>
      </c>
      <c r="AL423" s="3"/>
      <c r="AM423" s="1"/>
    </row>
    <row r="424" spans="1:39" ht="14.25" x14ac:dyDescent="0.2">
      <c r="A424" s="11">
        <v>10341</v>
      </c>
      <c r="B424" t="s">
        <v>126</v>
      </c>
      <c r="C424" t="s">
        <v>121</v>
      </c>
      <c r="D424" t="s">
        <v>121</v>
      </c>
      <c r="E424" t="s">
        <v>121</v>
      </c>
      <c r="F424" s="6" t="s">
        <v>792</v>
      </c>
      <c r="H424">
        <v>2</v>
      </c>
      <c r="I424" s="1">
        <v>0</v>
      </c>
      <c r="J424">
        <v>0</v>
      </c>
      <c r="K424">
        <v>0</v>
      </c>
      <c r="L424" s="20">
        <v>8920</v>
      </c>
      <c r="M424">
        <v>1</v>
      </c>
      <c r="N424">
        <v>0</v>
      </c>
      <c r="O424">
        <v>0</v>
      </c>
      <c r="P424">
        <v>0</v>
      </c>
      <c r="Q424" s="22">
        <v>26520</v>
      </c>
      <c r="R424">
        <v>3</v>
      </c>
      <c r="S424" s="1">
        <v>0</v>
      </c>
      <c r="T424">
        <v>0</v>
      </c>
      <c r="U424">
        <v>0</v>
      </c>
      <c r="V424" s="21">
        <v>13260</v>
      </c>
      <c r="W424">
        <v>23</v>
      </c>
      <c r="X424">
        <v>0</v>
      </c>
      <c r="Y424">
        <v>0</v>
      </c>
      <c r="Z424">
        <v>0</v>
      </c>
      <c r="AA424">
        <v>1</v>
      </c>
      <c r="AL424" s="3"/>
      <c r="AM424" s="1"/>
    </row>
    <row r="425" spans="1:39" ht="14.25" x14ac:dyDescent="0.2">
      <c r="A425" s="11">
        <v>10342</v>
      </c>
      <c r="B425" t="s">
        <v>131</v>
      </c>
      <c r="C425" t="s">
        <v>125</v>
      </c>
      <c r="D425" t="s">
        <v>121</v>
      </c>
      <c r="E425" t="s">
        <v>136</v>
      </c>
      <c r="F425" s="6" t="s">
        <v>794</v>
      </c>
      <c r="H425">
        <v>2</v>
      </c>
      <c r="I425" s="1">
        <v>0</v>
      </c>
      <c r="J425">
        <v>0</v>
      </c>
      <c r="K425">
        <v>0</v>
      </c>
      <c r="L425" s="20">
        <v>8920</v>
      </c>
      <c r="M425">
        <v>1</v>
      </c>
      <c r="N425">
        <v>0</v>
      </c>
      <c r="O425">
        <v>0</v>
      </c>
      <c r="P425">
        <v>0</v>
      </c>
      <c r="Q425" s="22">
        <v>26520</v>
      </c>
      <c r="R425">
        <v>3</v>
      </c>
      <c r="S425" s="1">
        <v>0</v>
      </c>
      <c r="T425">
        <v>0</v>
      </c>
      <c r="U425">
        <v>0</v>
      </c>
      <c r="V425" s="21">
        <v>13260</v>
      </c>
      <c r="W425">
        <v>6</v>
      </c>
      <c r="X425">
        <v>1</v>
      </c>
      <c r="Y425">
        <v>0</v>
      </c>
      <c r="Z425">
        <v>3</v>
      </c>
      <c r="AA425">
        <v>10</v>
      </c>
      <c r="AL425" s="3"/>
      <c r="AM425" s="1"/>
    </row>
    <row r="426" spans="1:39" ht="14.25" x14ac:dyDescent="0.2">
      <c r="A426" s="11">
        <v>10343</v>
      </c>
      <c r="B426" t="s">
        <v>180</v>
      </c>
      <c r="C426" t="s">
        <v>121</v>
      </c>
      <c r="D426" t="s">
        <v>121</v>
      </c>
      <c r="E426" t="s">
        <v>121</v>
      </c>
      <c r="F426" s="6" t="s">
        <v>796</v>
      </c>
      <c r="H426">
        <v>2</v>
      </c>
      <c r="I426" s="1">
        <v>0</v>
      </c>
      <c r="J426">
        <v>0</v>
      </c>
      <c r="K426">
        <v>0</v>
      </c>
      <c r="L426" s="20">
        <v>8920</v>
      </c>
      <c r="M426">
        <v>1</v>
      </c>
      <c r="N426">
        <v>0</v>
      </c>
      <c r="O426">
        <v>0</v>
      </c>
      <c r="P426">
        <v>0</v>
      </c>
      <c r="Q426" s="22">
        <v>26760</v>
      </c>
      <c r="R426">
        <v>3</v>
      </c>
      <c r="S426" s="1">
        <v>0</v>
      </c>
      <c r="T426">
        <v>0</v>
      </c>
      <c r="U426">
        <v>0</v>
      </c>
      <c r="V426" s="21">
        <v>13380</v>
      </c>
      <c r="W426">
        <v>15</v>
      </c>
      <c r="X426">
        <v>0</v>
      </c>
      <c r="Y426">
        <v>0</v>
      </c>
      <c r="Z426">
        <v>0</v>
      </c>
      <c r="AA426">
        <v>1</v>
      </c>
      <c r="AL426" s="3"/>
      <c r="AM426" s="1"/>
    </row>
    <row r="427" spans="1:39" ht="14.25" x14ac:dyDescent="0.2">
      <c r="A427" s="11">
        <v>10344</v>
      </c>
      <c r="B427" t="s">
        <v>178</v>
      </c>
      <c r="C427" t="s">
        <v>121</v>
      </c>
      <c r="D427" t="s">
        <v>121</v>
      </c>
      <c r="E427" t="s">
        <v>121</v>
      </c>
      <c r="F427" s="6" t="s">
        <v>796</v>
      </c>
      <c r="H427">
        <v>2</v>
      </c>
      <c r="I427" s="1">
        <v>0</v>
      </c>
      <c r="J427">
        <v>0</v>
      </c>
      <c r="K427">
        <v>0</v>
      </c>
      <c r="L427" s="20">
        <v>8920</v>
      </c>
      <c r="M427">
        <v>1</v>
      </c>
      <c r="N427">
        <v>0</v>
      </c>
      <c r="O427">
        <v>0</v>
      </c>
      <c r="P427">
        <v>0</v>
      </c>
      <c r="Q427" s="22">
        <v>26760</v>
      </c>
      <c r="R427">
        <v>3</v>
      </c>
      <c r="S427" s="1">
        <v>0</v>
      </c>
      <c r="T427">
        <v>0</v>
      </c>
      <c r="U427">
        <v>0</v>
      </c>
      <c r="V427" s="21">
        <v>13380</v>
      </c>
      <c r="W427">
        <v>21</v>
      </c>
      <c r="X427">
        <v>0</v>
      </c>
      <c r="Y427">
        <v>0</v>
      </c>
      <c r="Z427">
        <v>0</v>
      </c>
      <c r="AA427">
        <v>1</v>
      </c>
      <c r="AL427" s="3"/>
      <c r="AM427" s="1"/>
    </row>
    <row r="428" spans="1:39" ht="14.25" x14ac:dyDescent="0.2">
      <c r="A428" s="11">
        <v>10345</v>
      </c>
      <c r="B428" t="s">
        <v>130</v>
      </c>
      <c r="C428" t="s">
        <v>121</v>
      </c>
      <c r="D428" t="s">
        <v>121</v>
      </c>
      <c r="E428" t="s">
        <v>121</v>
      </c>
      <c r="F428" s="6" t="s">
        <v>798</v>
      </c>
      <c r="H428">
        <v>2</v>
      </c>
      <c r="I428" s="1">
        <v>0</v>
      </c>
      <c r="J428">
        <v>0</v>
      </c>
      <c r="K428">
        <v>0</v>
      </c>
      <c r="L428" s="20">
        <v>8920</v>
      </c>
      <c r="M428">
        <v>1</v>
      </c>
      <c r="N428">
        <v>0</v>
      </c>
      <c r="O428">
        <v>0</v>
      </c>
      <c r="P428">
        <v>0</v>
      </c>
      <c r="Q428" s="22">
        <v>26760</v>
      </c>
      <c r="R428">
        <v>3</v>
      </c>
      <c r="S428" s="1">
        <v>0</v>
      </c>
      <c r="T428">
        <v>0</v>
      </c>
      <c r="U428">
        <v>0</v>
      </c>
      <c r="V428" s="21">
        <v>13380</v>
      </c>
      <c r="W428">
        <v>9</v>
      </c>
      <c r="X428">
        <v>0</v>
      </c>
      <c r="Y428">
        <v>0</v>
      </c>
      <c r="Z428">
        <v>0</v>
      </c>
      <c r="AA428">
        <v>10</v>
      </c>
      <c r="AL428" s="3"/>
      <c r="AM428" s="1"/>
    </row>
    <row r="429" spans="1:39" ht="14.25" x14ac:dyDescent="0.2">
      <c r="A429" s="11">
        <v>10346</v>
      </c>
      <c r="B429" t="s">
        <v>181</v>
      </c>
      <c r="C429" t="s">
        <v>121</v>
      </c>
      <c r="D429" t="s">
        <v>121</v>
      </c>
      <c r="E429" t="s">
        <v>121</v>
      </c>
      <c r="F429" s="6" t="s">
        <v>800</v>
      </c>
      <c r="H429">
        <v>2</v>
      </c>
      <c r="I429" s="1">
        <v>0</v>
      </c>
      <c r="J429">
        <v>0</v>
      </c>
      <c r="K429">
        <v>0</v>
      </c>
      <c r="L429" s="20">
        <v>9000</v>
      </c>
      <c r="M429">
        <v>1</v>
      </c>
      <c r="N429">
        <v>0</v>
      </c>
      <c r="O429">
        <v>0</v>
      </c>
      <c r="P429">
        <v>0</v>
      </c>
      <c r="Q429" s="22">
        <v>26760</v>
      </c>
      <c r="R429">
        <v>3</v>
      </c>
      <c r="S429" s="1">
        <v>0</v>
      </c>
      <c r="T429">
        <v>0</v>
      </c>
      <c r="U429">
        <v>0</v>
      </c>
      <c r="V429" s="21">
        <v>13380</v>
      </c>
      <c r="W429">
        <v>30</v>
      </c>
      <c r="X429">
        <v>0</v>
      </c>
      <c r="Y429">
        <v>0</v>
      </c>
      <c r="Z429">
        <v>0</v>
      </c>
      <c r="AA429">
        <v>10</v>
      </c>
      <c r="AL429" s="3"/>
      <c r="AM429" s="1"/>
    </row>
    <row r="430" spans="1:39" ht="14.25" x14ac:dyDescent="0.2">
      <c r="A430" s="11">
        <v>10347</v>
      </c>
      <c r="B430" t="s">
        <v>122</v>
      </c>
      <c r="C430" t="s">
        <v>121</v>
      </c>
      <c r="D430" t="s">
        <v>121</v>
      </c>
      <c r="E430" t="s">
        <v>121</v>
      </c>
      <c r="F430" s="6" t="s">
        <v>800</v>
      </c>
      <c r="H430">
        <v>2</v>
      </c>
      <c r="I430" s="1">
        <v>0</v>
      </c>
      <c r="J430">
        <v>0</v>
      </c>
      <c r="K430">
        <v>0</v>
      </c>
      <c r="L430" s="20">
        <v>9000</v>
      </c>
      <c r="M430">
        <v>1</v>
      </c>
      <c r="N430">
        <v>0</v>
      </c>
      <c r="O430">
        <v>0</v>
      </c>
      <c r="P430">
        <v>0</v>
      </c>
      <c r="Q430" s="22">
        <v>26760</v>
      </c>
      <c r="R430">
        <v>3</v>
      </c>
      <c r="S430" s="1">
        <v>0</v>
      </c>
      <c r="T430">
        <v>0</v>
      </c>
      <c r="U430">
        <v>0</v>
      </c>
      <c r="V430" s="21">
        <v>13380</v>
      </c>
      <c r="W430">
        <v>4</v>
      </c>
      <c r="X430">
        <v>0</v>
      </c>
      <c r="Y430">
        <v>0</v>
      </c>
      <c r="Z430">
        <v>0</v>
      </c>
      <c r="AA430">
        <v>10</v>
      </c>
      <c r="AL430" s="3"/>
      <c r="AM430" s="1"/>
    </row>
    <row r="431" spans="1:39" ht="14.25" x14ac:dyDescent="0.2">
      <c r="A431" s="11">
        <v>10348</v>
      </c>
      <c r="B431" t="s">
        <v>178</v>
      </c>
      <c r="C431" t="s">
        <v>121</v>
      </c>
      <c r="D431" t="s">
        <v>121</v>
      </c>
      <c r="E431" t="s">
        <v>121</v>
      </c>
      <c r="F431" s="6" t="s">
        <v>802</v>
      </c>
      <c r="H431">
        <v>2</v>
      </c>
      <c r="I431" s="1">
        <v>0</v>
      </c>
      <c r="J431">
        <v>0</v>
      </c>
      <c r="K431">
        <v>0</v>
      </c>
      <c r="L431" s="20">
        <v>9000</v>
      </c>
      <c r="M431">
        <v>1</v>
      </c>
      <c r="N431">
        <v>0</v>
      </c>
      <c r="O431">
        <v>0</v>
      </c>
      <c r="P431">
        <v>0</v>
      </c>
      <c r="Q431" s="22">
        <v>27000</v>
      </c>
      <c r="R431">
        <v>3</v>
      </c>
      <c r="S431" s="1">
        <v>0</v>
      </c>
      <c r="T431">
        <v>0</v>
      </c>
      <c r="U431">
        <v>0</v>
      </c>
      <c r="V431" s="21">
        <v>13500</v>
      </c>
      <c r="W431">
        <v>21</v>
      </c>
      <c r="X431">
        <v>0</v>
      </c>
      <c r="Y431">
        <v>0</v>
      </c>
      <c r="Z431">
        <v>0</v>
      </c>
      <c r="AA431">
        <v>1</v>
      </c>
      <c r="AL431" s="3"/>
      <c r="AM431" s="1"/>
    </row>
    <row r="432" spans="1:39" ht="14.25" x14ac:dyDescent="0.2">
      <c r="A432" s="11">
        <v>10349</v>
      </c>
      <c r="B432" t="s">
        <v>130</v>
      </c>
      <c r="C432" t="s">
        <v>121</v>
      </c>
      <c r="D432" t="s">
        <v>121</v>
      </c>
      <c r="E432" t="s">
        <v>121</v>
      </c>
      <c r="F432" s="6" t="s">
        <v>804</v>
      </c>
      <c r="H432">
        <v>2</v>
      </c>
      <c r="I432" s="1">
        <v>0</v>
      </c>
      <c r="J432">
        <v>0</v>
      </c>
      <c r="K432">
        <v>0</v>
      </c>
      <c r="L432" s="20">
        <v>9000</v>
      </c>
      <c r="M432">
        <v>1</v>
      </c>
      <c r="N432">
        <v>0</v>
      </c>
      <c r="O432">
        <v>0</v>
      </c>
      <c r="P432">
        <v>0</v>
      </c>
      <c r="Q432" s="22">
        <v>27000</v>
      </c>
      <c r="R432">
        <v>3</v>
      </c>
      <c r="S432" s="1">
        <v>0</v>
      </c>
      <c r="T432">
        <v>0</v>
      </c>
      <c r="U432">
        <v>0</v>
      </c>
      <c r="V432" s="21">
        <v>13500</v>
      </c>
      <c r="W432">
        <v>9</v>
      </c>
      <c r="X432">
        <v>0</v>
      </c>
      <c r="Y432">
        <v>0</v>
      </c>
      <c r="Z432">
        <v>0</v>
      </c>
      <c r="AA432">
        <v>10</v>
      </c>
      <c r="AL432" s="3"/>
      <c r="AM432" s="1"/>
    </row>
    <row r="433" spans="1:39" ht="14.25" x14ac:dyDescent="0.2">
      <c r="A433" s="11">
        <v>10350</v>
      </c>
      <c r="B433" t="s">
        <v>123</v>
      </c>
      <c r="C433" t="s">
        <v>121</v>
      </c>
      <c r="D433" t="s">
        <v>121</v>
      </c>
      <c r="E433" t="s">
        <v>121</v>
      </c>
      <c r="F433" s="6" t="s">
        <v>804</v>
      </c>
      <c r="H433">
        <v>2</v>
      </c>
      <c r="I433" s="1">
        <v>0</v>
      </c>
      <c r="J433">
        <v>0</v>
      </c>
      <c r="K433">
        <v>0</v>
      </c>
      <c r="L433" s="20">
        <v>9000</v>
      </c>
      <c r="M433">
        <v>1</v>
      </c>
      <c r="N433">
        <v>0</v>
      </c>
      <c r="O433">
        <v>0</v>
      </c>
      <c r="P433">
        <v>0</v>
      </c>
      <c r="Q433" s="22">
        <v>27000</v>
      </c>
      <c r="R433">
        <v>3</v>
      </c>
      <c r="S433" s="1">
        <v>0</v>
      </c>
      <c r="T433">
        <v>0</v>
      </c>
      <c r="U433">
        <v>0</v>
      </c>
      <c r="V433" s="21">
        <v>13500</v>
      </c>
      <c r="W433">
        <v>12</v>
      </c>
      <c r="X433">
        <v>0</v>
      </c>
      <c r="Y433">
        <v>0</v>
      </c>
      <c r="Z433">
        <v>0</v>
      </c>
      <c r="AA433">
        <v>10</v>
      </c>
      <c r="AL433" s="3"/>
      <c r="AM433" s="1"/>
    </row>
    <row r="434" spans="1:39" ht="14.25" x14ac:dyDescent="0.2">
      <c r="A434" s="11">
        <v>10401</v>
      </c>
      <c r="B434" t="s">
        <v>126</v>
      </c>
      <c r="C434" t="s">
        <v>121</v>
      </c>
      <c r="D434" t="s">
        <v>121</v>
      </c>
      <c r="E434" t="s">
        <v>121</v>
      </c>
      <c r="F434" s="6" t="s">
        <v>806</v>
      </c>
      <c r="H434">
        <v>2</v>
      </c>
      <c r="I434" s="1">
        <v>0</v>
      </c>
      <c r="J434">
        <v>0</v>
      </c>
      <c r="K434">
        <v>0</v>
      </c>
      <c r="L434" s="20">
        <v>9080</v>
      </c>
      <c r="M434">
        <v>1</v>
      </c>
      <c r="N434">
        <v>0</v>
      </c>
      <c r="O434">
        <v>0</v>
      </c>
      <c r="P434">
        <v>0</v>
      </c>
      <c r="Q434" s="22">
        <v>27000</v>
      </c>
      <c r="R434">
        <v>3</v>
      </c>
      <c r="S434" s="1">
        <v>0</v>
      </c>
      <c r="T434">
        <v>0</v>
      </c>
      <c r="U434">
        <v>0</v>
      </c>
      <c r="V434" s="21">
        <v>13500</v>
      </c>
      <c r="W434">
        <v>23</v>
      </c>
      <c r="X434">
        <v>0</v>
      </c>
      <c r="Y434">
        <v>0</v>
      </c>
      <c r="Z434">
        <v>0</v>
      </c>
      <c r="AA434">
        <v>1</v>
      </c>
      <c r="AL434" s="3"/>
      <c r="AM434" s="1"/>
    </row>
    <row r="435" spans="1:39" ht="14.25" x14ac:dyDescent="0.2">
      <c r="A435" s="11">
        <v>10402</v>
      </c>
      <c r="B435" t="s">
        <v>131</v>
      </c>
      <c r="C435" t="s">
        <v>125</v>
      </c>
      <c r="D435" t="s">
        <v>121</v>
      </c>
      <c r="E435" t="s">
        <v>136</v>
      </c>
      <c r="F435" s="6" t="s">
        <v>808</v>
      </c>
      <c r="H435">
        <v>2</v>
      </c>
      <c r="I435" s="1">
        <v>0</v>
      </c>
      <c r="J435">
        <v>0</v>
      </c>
      <c r="K435">
        <v>0</v>
      </c>
      <c r="L435" s="20">
        <v>9080</v>
      </c>
      <c r="M435">
        <v>1</v>
      </c>
      <c r="N435">
        <v>0</v>
      </c>
      <c r="O435">
        <v>0</v>
      </c>
      <c r="P435">
        <v>0</v>
      </c>
      <c r="Q435" s="22">
        <v>27000</v>
      </c>
      <c r="R435">
        <v>3</v>
      </c>
      <c r="S435" s="1">
        <v>0</v>
      </c>
      <c r="T435">
        <v>0</v>
      </c>
      <c r="U435">
        <v>0</v>
      </c>
      <c r="V435" s="21">
        <v>13500</v>
      </c>
      <c r="W435">
        <v>6</v>
      </c>
      <c r="X435">
        <v>1</v>
      </c>
      <c r="Y435">
        <v>0</v>
      </c>
      <c r="Z435">
        <v>3</v>
      </c>
      <c r="AA435">
        <v>10</v>
      </c>
      <c r="AL435" s="3"/>
      <c r="AM435" s="1"/>
    </row>
    <row r="436" spans="1:39" ht="14.25" x14ac:dyDescent="0.2">
      <c r="A436" s="11">
        <v>10403</v>
      </c>
      <c r="B436" t="s">
        <v>180</v>
      </c>
      <c r="C436" t="s">
        <v>121</v>
      </c>
      <c r="D436" t="s">
        <v>121</v>
      </c>
      <c r="E436" t="s">
        <v>121</v>
      </c>
      <c r="F436" s="6" t="s">
        <v>810</v>
      </c>
      <c r="H436">
        <v>2</v>
      </c>
      <c r="I436" s="1">
        <v>0</v>
      </c>
      <c r="J436">
        <v>0</v>
      </c>
      <c r="K436">
        <v>0</v>
      </c>
      <c r="L436" s="20">
        <v>9080</v>
      </c>
      <c r="M436">
        <v>1</v>
      </c>
      <c r="N436">
        <v>0</v>
      </c>
      <c r="O436">
        <v>0</v>
      </c>
      <c r="P436">
        <v>0</v>
      </c>
      <c r="Q436" s="22">
        <v>27240</v>
      </c>
      <c r="R436">
        <v>3</v>
      </c>
      <c r="S436" s="1">
        <v>0</v>
      </c>
      <c r="T436">
        <v>0</v>
      </c>
      <c r="U436">
        <v>0</v>
      </c>
      <c r="V436" s="21">
        <v>13620</v>
      </c>
      <c r="W436">
        <v>15</v>
      </c>
      <c r="X436">
        <v>0</v>
      </c>
      <c r="Y436">
        <v>0</v>
      </c>
      <c r="Z436">
        <v>0</v>
      </c>
      <c r="AA436">
        <v>1</v>
      </c>
      <c r="AL436" s="3"/>
      <c r="AM436" s="1"/>
    </row>
    <row r="437" spans="1:39" ht="14.25" x14ac:dyDescent="0.2">
      <c r="A437" s="11">
        <v>10404</v>
      </c>
      <c r="B437" t="s">
        <v>178</v>
      </c>
      <c r="C437" t="s">
        <v>121</v>
      </c>
      <c r="D437" t="s">
        <v>121</v>
      </c>
      <c r="E437" t="s">
        <v>121</v>
      </c>
      <c r="F437" s="6" t="s">
        <v>810</v>
      </c>
      <c r="H437">
        <v>2</v>
      </c>
      <c r="I437" s="1">
        <v>0</v>
      </c>
      <c r="J437">
        <v>0</v>
      </c>
      <c r="K437">
        <v>0</v>
      </c>
      <c r="L437" s="20">
        <v>9080</v>
      </c>
      <c r="M437">
        <v>1</v>
      </c>
      <c r="N437">
        <v>0</v>
      </c>
      <c r="O437">
        <v>0</v>
      </c>
      <c r="P437">
        <v>0</v>
      </c>
      <c r="Q437" s="22">
        <v>27240</v>
      </c>
      <c r="R437">
        <v>3</v>
      </c>
      <c r="S437" s="1">
        <v>0</v>
      </c>
      <c r="T437">
        <v>0</v>
      </c>
      <c r="U437">
        <v>0</v>
      </c>
      <c r="V437" s="21">
        <v>13620</v>
      </c>
      <c r="W437">
        <v>21</v>
      </c>
      <c r="X437">
        <v>0</v>
      </c>
      <c r="Y437">
        <v>0</v>
      </c>
      <c r="Z437">
        <v>0</v>
      </c>
      <c r="AA437">
        <v>1</v>
      </c>
      <c r="AL437" s="3"/>
      <c r="AM437" s="1"/>
    </row>
    <row r="438" spans="1:39" ht="14.25" x14ac:dyDescent="0.2">
      <c r="A438" s="11">
        <v>10405</v>
      </c>
      <c r="B438" t="s">
        <v>130</v>
      </c>
      <c r="C438" t="s">
        <v>121</v>
      </c>
      <c r="D438" t="s">
        <v>121</v>
      </c>
      <c r="E438" t="s">
        <v>121</v>
      </c>
      <c r="F438" s="6" t="s">
        <v>812</v>
      </c>
      <c r="H438">
        <v>2</v>
      </c>
      <c r="I438" s="1">
        <v>0</v>
      </c>
      <c r="J438">
        <v>0</v>
      </c>
      <c r="K438">
        <v>0</v>
      </c>
      <c r="L438" s="20">
        <v>9080</v>
      </c>
      <c r="M438">
        <v>1</v>
      </c>
      <c r="N438">
        <v>0</v>
      </c>
      <c r="O438">
        <v>0</v>
      </c>
      <c r="P438">
        <v>0</v>
      </c>
      <c r="Q438" s="22">
        <v>27240</v>
      </c>
      <c r="R438">
        <v>3</v>
      </c>
      <c r="S438" s="1">
        <v>0</v>
      </c>
      <c r="T438">
        <v>0</v>
      </c>
      <c r="U438">
        <v>0</v>
      </c>
      <c r="V438" s="21">
        <v>13620</v>
      </c>
      <c r="W438">
        <v>9</v>
      </c>
      <c r="X438">
        <v>0</v>
      </c>
      <c r="Y438">
        <v>0</v>
      </c>
      <c r="Z438">
        <v>0</v>
      </c>
      <c r="AA438">
        <v>10</v>
      </c>
      <c r="AL438" s="3"/>
      <c r="AM438" s="1"/>
    </row>
    <row r="439" spans="1:39" ht="14.25" x14ac:dyDescent="0.2">
      <c r="A439" s="11">
        <v>10406</v>
      </c>
      <c r="B439" t="s">
        <v>181</v>
      </c>
      <c r="C439" t="s">
        <v>121</v>
      </c>
      <c r="D439" t="s">
        <v>121</v>
      </c>
      <c r="E439" t="s">
        <v>121</v>
      </c>
      <c r="F439" s="6" t="s">
        <v>814</v>
      </c>
      <c r="H439">
        <v>2</v>
      </c>
      <c r="I439" s="1">
        <v>0</v>
      </c>
      <c r="J439">
        <v>0</v>
      </c>
      <c r="K439">
        <v>0</v>
      </c>
      <c r="L439" s="20">
        <v>9160</v>
      </c>
      <c r="M439">
        <v>1</v>
      </c>
      <c r="N439">
        <v>0</v>
      </c>
      <c r="O439">
        <v>0</v>
      </c>
      <c r="P439">
        <v>0</v>
      </c>
      <c r="Q439" s="22">
        <v>27240</v>
      </c>
      <c r="R439">
        <v>3</v>
      </c>
      <c r="S439" s="1">
        <v>0</v>
      </c>
      <c r="T439">
        <v>0</v>
      </c>
      <c r="U439">
        <v>0</v>
      </c>
      <c r="V439" s="21">
        <v>13620</v>
      </c>
      <c r="W439">
        <v>30</v>
      </c>
      <c r="X439">
        <v>0</v>
      </c>
      <c r="Y439">
        <v>0</v>
      </c>
      <c r="Z439">
        <v>0</v>
      </c>
      <c r="AA439">
        <v>10</v>
      </c>
      <c r="AL439" s="3"/>
      <c r="AM439" s="1"/>
    </row>
    <row r="440" spans="1:39" ht="14.25" x14ac:dyDescent="0.2">
      <c r="A440" s="11">
        <v>10407</v>
      </c>
      <c r="B440" t="s">
        <v>122</v>
      </c>
      <c r="C440" t="s">
        <v>121</v>
      </c>
      <c r="D440" t="s">
        <v>121</v>
      </c>
      <c r="E440" t="s">
        <v>121</v>
      </c>
      <c r="F440" s="6" t="s">
        <v>814</v>
      </c>
      <c r="H440">
        <v>2</v>
      </c>
      <c r="I440" s="1">
        <v>0</v>
      </c>
      <c r="J440">
        <v>0</v>
      </c>
      <c r="K440">
        <v>0</v>
      </c>
      <c r="L440" s="20">
        <v>9160</v>
      </c>
      <c r="M440">
        <v>1</v>
      </c>
      <c r="N440">
        <v>0</v>
      </c>
      <c r="O440">
        <v>0</v>
      </c>
      <c r="P440">
        <v>0</v>
      </c>
      <c r="Q440" s="22">
        <v>27240</v>
      </c>
      <c r="R440">
        <v>3</v>
      </c>
      <c r="S440" s="1">
        <v>0</v>
      </c>
      <c r="T440">
        <v>0</v>
      </c>
      <c r="U440">
        <v>0</v>
      </c>
      <c r="V440" s="21">
        <v>13620</v>
      </c>
      <c r="W440">
        <v>4</v>
      </c>
      <c r="X440">
        <v>0</v>
      </c>
      <c r="Y440">
        <v>0</v>
      </c>
      <c r="Z440">
        <v>0</v>
      </c>
      <c r="AA440">
        <v>10</v>
      </c>
      <c r="AL440" s="3"/>
      <c r="AM440" s="1"/>
    </row>
    <row r="441" spans="1:39" ht="14.25" x14ac:dyDescent="0.2">
      <c r="A441" s="11">
        <v>10408</v>
      </c>
      <c r="B441" t="s">
        <v>178</v>
      </c>
      <c r="C441" t="s">
        <v>121</v>
      </c>
      <c r="D441" t="s">
        <v>121</v>
      </c>
      <c r="E441" t="s">
        <v>121</v>
      </c>
      <c r="F441" s="6" t="s">
        <v>816</v>
      </c>
      <c r="H441">
        <v>2</v>
      </c>
      <c r="I441" s="1">
        <v>0</v>
      </c>
      <c r="J441">
        <v>0</v>
      </c>
      <c r="K441">
        <v>0</v>
      </c>
      <c r="L441" s="20">
        <v>9160</v>
      </c>
      <c r="M441">
        <v>1</v>
      </c>
      <c r="N441">
        <v>0</v>
      </c>
      <c r="O441">
        <v>0</v>
      </c>
      <c r="P441">
        <v>0</v>
      </c>
      <c r="Q441" s="22">
        <v>27480</v>
      </c>
      <c r="R441">
        <v>3</v>
      </c>
      <c r="S441" s="1">
        <v>0</v>
      </c>
      <c r="T441">
        <v>0</v>
      </c>
      <c r="U441">
        <v>0</v>
      </c>
      <c r="V441" s="21">
        <v>13740</v>
      </c>
      <c r="W441">
        <v>21</v>
      </c>
      <c r="X441">
        <v>0</v>
      </c>
      <c r="Y441">
        <v>0</v>
      </c>
      <c r="Z441">
        <v>0</v>
      </c>
      <c r="AA441">
        <v>1</v>
      </c>
      <c r="AL441" s="3"/>
      <c r="AM441" s="1"/>
    </row>
    <row r="442" spans="1:39" ht="14.25" x14ac:dyDescent="0.2">
      <c r="A442" s="11">
        <v>10409</v>
      </c>
      <c r="B442" t="s">
        <v>130</v>
      </c>
      <c r="C442" t="s">
        <v>121</v>
      </c>
      <c r="D442" t="s">
        <v>121</v>
      </c>
      <c r="E442" t="s">
        <v>121</v>
      </c>
      <c r="F442" s="6" t="s">
        <v>818</v>
      </c>
      <c r="H442">
        <v>2</v>
      </c>
      <c r="I442" s="1">
        <v>0</v>
      </c>
      <c r="J442">
        <v>0</v>
      </c>
      <c r="K442">
        <v>0</v>
      </c>
      <c r="L442" s="20">
        <v>9160</v>
      </c>
      <c r="M442">
        <v>1</v>
      </c>
      <c r="N442">
        <v>0</v>
      </c>
      <c r="O442">
        <v>0</v>
      </c>
      <c r="P442">
        <v>0</v>
      </c>
      <c r="Q442" s="22">
        <v>27480</v>
      </c>
      <c r="R442">
        <v>3</v>
      </c>
      <c r="S442" s="1">
        <v>0</v>
      </c>
      <c r="T442">
        <v>0</v>
      </c>
      <c r="U442">
        <v>0</v>
      </c>
      <c r="V442" s="21">
        <v>13740</v>
      </c>
      <c r="W442">
        <v>9</v>
      </c>
      <c r="X442">
        <v>0</v>
      </c>
      <c r="Y442">
        <v>0</v>
      </c>
      <c r="Z442">
        <v>0</v>
      </c>
      <c r="AA442">
        <v>10</v>
      </c>
      <c r="AL442" s="3"/>
      <c r="AM442" s="1"/>
    </row>
    <row r="443" spans="1:39" ht="14.25" x14ac:dyDescent="0.2">
      <c r="A443" s="11">
        <v>10410</v>
      </c>
      <c r="B443" t="s">
        <v>123</v>
      </c>
      <c r="C443" t="s">
        <v>121</v>
      </c>
      <c r="D443" t="s">
        <v>121</v>
      </c>
      <c r="E443" t="s">
        <v>121</v>
      </c>
      <c r="F443" s="6" t="s">
        <v>818</v>
      </c>
      <c r="H443">
        <v>2</v>
      </c>
      <c r="I443" s="1">
        <v>0</v>
      </c>
      <c r="J443">
        <v>0</v>
      </c>
      <c r="K443">
        <v>0</v>
      </c>
      <c r="L443" s="20">
        <v>9160</v>
      </c>
      <c r="M443">
        <v>1</v>
      </c>
      <c r="N443">
        <v>0</v>
      </c>
      <c r="O443">
        <v>0</v>
      </c>
      <c r="P443">
        <v>0</v>
      </c>
      <c r="Q443" s="22">
        <v>27480</v>
      </c>
      <c r="R443">
        <v>3</v>
      </c>
      <c r="S443" s="1">
        <v>0</v>
      </c>
      <c r="T443">
        <v>0</v>
      </c>
      <c r="U443">
        <v>0</v>
      </c>
      <c r="V443" s="21">
        <v>13740</v>
      </c>
      <c r="W443">
        <v>12</v>
      </c>
      <c r="X443">
        <v>0</v>
      </c>
      <c r="Y443">
        <v>0</v>
      </c>
      <c r="Z443">
        <v>0</v>
      </c>
      <c r="AA443">
        <v>10</v>
      </c>
      <c r="AL443" s="3"/>
      <c r="AM443" s="1"/>
    </row>
    <row r="444" spans="1:39" ht="14.25" x14ac:dyDescent="0.2">
      <c r="A444" s="11">
        <v>10411</v>
      </c>
      <c r="B444" t="s">
        <v>126</v>
      </c>
      <c r="C444" t="s">
        <v>121</v>
      </c>
      <c r="D444" t="s">
        <v>121</v>
      </c>
      <c r="E444" t="s">
        <v>121</v>
      </c>
      <c r="F444" s="6" t="s">
        <v>820</v>
      </c>
      <c r="H444">
        <v>2</v>
      </c>
      <c r="I444" s="1">
        <v>0</v>
      </c>
      <c r="J444">
        <v>0</v>
      </c>
      <c r="K444">
        <v>0</v>
      </c>
      <c r="L444" s="20">
        <v>9240</v>
      </c>
      <c r="M444">
        <v>1</v>
      </c>
      <c r="N444">
        <v>0</v>
      </c>
      <c r="O444">
        <v>0</v>
      </c>
      <c r="P444">
        <v>0</v>
      </c>
      <c r="Q444" s="22">
        <v>27480</v>
      </c>
      <c r="R444">
        <v>3</v>
      </c>
      <c r="S444" s="1">
        <v>0</v>
      </c>
      <c r="T444">
        <v>0</v>
      </c>
      <c r="U444">
        <v>0</v>
      </c>
      <c r="V444" s="21">
        <v>13740</v>
      </c>
      <c r="W444">
        <v>23</v>
      </c>
      <c r="X444">
        <v>0</v>
      </c>
      <c r="Y444">
        <v>0</v>
      </c>
      <c r="Z444">
        <v>0</v>
      </c>
      <c r="AA444">
        <v>1</v>
      </c>
      <c r="AL444" s="3"/>
      <c r="AM444" s="1"/>
    </row>
    <row r="445" spans="1:39" ht="14.25" x14ac:dyDescent="0.2">
      <c r="A445" s="11">
        <v>10412</v>
      </c>
      <c r="B445" t="s">
        <v>131</v>
      </c>
      <c r="C445" t="s">
        <v>125</v>
      </c>
      <c r="D445" t="s">
        <v>121</v>
      </c>
      <c r="E445" t="s">
        <v>136</v>
      </c>
      <c r="F445" s="6" t="s">
        <v>822</v>
      </c>
      <c r="H445">
        <v>2</v>
      </c>
      <c r="I445" s="1">
        <v>0</v>
      </c>
      <c r="J445">
        <v>0</v>
      </c>
      <c r="K445">
        <v>0</v>
      </c>
      <c r="L445" s="20">
        <v>9240</v>
      </c>
      <c r="M445">
        <v>1</v>
      </c>
      <c r="N445">
        <v>0</v>
      </c>
      <c r="O445">
        <v>0</v>
      </c>
      <c r="P445">
        <v>0</v>
      </c>
      <c r="Q445" s="22">
        <v>27480</v>
      </c>
      <c r="R445">
        <v>3</v>
      </c>
      <c r="S445" s="1">
        <v>0</v>
      </c>
      <c r="T445">
        <v>0</v>
      </c>
      <c r="U445">
        <v>0</v>
      </c>
      <c r="V445" s="21">
        <v>13740</v>
      </c>
      <c r="W445">
        <v>6</v>
      </c>
      <c r="X445">
        <v>1</v>
      </c>
      <c r="Y445">
        <v>0</v>
      </c>
      <c r="Z445">
        <v>3</v>
      </c>
      <c r="AA445">
        <v>10</v>
      </c>
      <c r="AL445" s="3"/>
      <c r="AM445" s="1"/>
    </row>
    <row r="446" spans="1:39" ht="14.25" x14ac:dyDescent="0.2">
      <c r="A446" s="11">
        <v>10413</v>
      </c>
      <c r="B446" t="s">
        <v>180</v>
      </c>
      <c r="C446" t="s">
        <v>121</v>
      </c>
      <c r="D446" t="s">
        <v>121</v>
      </c>
      <c r="E446" t="s">
        <v>121</v>
      </c>
      <c r="F446" s="6" t="s">
        <v>824</v>
      </c>
      <c r="H446">
        <v>2</v>
      </c>
      <c r="I446" s="1">
        <v>0</v>
      </c>
      <c r="J446">
        <v>0</v>
      </c>
      <c r="K446">
        <v>0</v>
      </c>
      <c r="L446" s="20">
        <v>9240</v>
      </c>
      <c r="M446">
        <v>1</v>
      </c>
      <c r="N446">
        <v>0</v>
      </c>
      <c r="O446">
        <v>0</v>
      </c>
      <c r="P446">
        <v>0</v>
      </c>
      <c r="Q446" s="22">
        <v>27720</v>
      </c>
      <c r="R446">
        <v>3</v>
      </c>
      <c r="S446" s="1">
        <v>0</v>
      </c>
      <c r="T446">
        <v>0</v>
      </c>
      <c r="U446">
        <v>0</v>
      </c>
      <c r="V446" s="21">
        <v>13860</v>
      </c>
      <c r="W446">
        <v>15</v>
      </c>
      <c r="X446">
        <v>0</v>
      </c>
      <c r="Y446">
        <v>0</v>
      </c>
      <c r="Z446">
        <v>0</v>
      </c>
      <c r="AA446">
        <v>1</v>
      </c>
      <c r="AL446" s="3"/>
      <c r="AM446" s="1"/>
    </row>
    <row r="447" spans="1:39" ht="14.25" x14ac:dyDescent="0.2">
      <c r="A447" s="11">
        <v>10414</v>
      </c>
      <c r="B447" t="s">
        <v>178</v>
      </c>
      <c r="C447" t="s">
        <v>121</v>
      </c>
      <c r="D447" t="s">
        <v>121</v>
      </c>
      <c r="E447" t="s">
        <v>121</v>
      </c>
      <c r="F447" s="6" t="s">
        <v>824</v>
      </c>
      <c r="H447">
        <v>2</v>
      </c>
      <c r="I447" s="1">
        <v>0</v>
      </c>
      <c r="J447">
        <v>0</v>
      </c>
      <c r="K447">
        <v>0</v>
      </c>
      <c r="L447" s="20">
        <v>9240</v>
      </c>
      <c r="M447">
        <v>1</v>
      </c>
      <c r="N447">
        <v>0</v>
      </c>
      <c r="O447">
        <v>0</v>
      </c>
      <c r="P447">
        <v>0</v>
      </c>
      <c r="Q447" s="22">
        <v>27720</v>
      </c>
      <c r="R447">
        <v>3</v>
      </c>
      <c r="S447" s="1">
        <v>0</v>
      </c>
      <c r="T447">
        <v>0</v>
      </c>
      <c r="U447">
        <v>0</v>
      </c>
      <c r="V447" s="21">
        <v>13860</v>
      </c>
      <c r="W447">
        <v>21</v>
      </c>
      <c r="X447">
        <v>0</v>
      </c>
      <c r="Y447">
        <v>0</v>
      </c>
      <c r="Z447">
        <v>0</v>
      </c>
      <c r="AA447">
        <v>1</v>
      </c>
      <c r="AL447" s="3"/>
      <c r="AM447" s="1"/>
    </row>
    <row r="448" spans="1:39" ht="14.25" x14ac:dyDescent="0.2">
      <c r="A448" s="11">
        <v>10415</v>
      </c>
      <c r="B448" t="s">
        <v>130</v>
      </c>
      <c r="C448" t="s">
        <v>121</v>
      </c>
      <c r="D448" t="s">
        <v>121</v>
      </c>
      <c r="E448" t="s">
        <v>121</v>
      </c>
      <c r="F448" s="6" t="s">
        <v>826</v>
      </c>
      <c r="H448">
        <v>2</v>
      </c>
      <c r="I448" s="1">
        <v>0</v>
      </c>
      <c r="J448">
        <v>0</v>
      </c>
      <c r="K448">
        <v>0</v>
      </c>
      <c r="L448" s="20">
        <v>9240</v>
      </c>
      <c r="M448">
        <v>1</v>
      </c>
      <c r="N448">
        <v>0</v>
      </c>
      <c r="O448">
        <v>0</v>
      </c>
      <c r="P448">
        <v>0</v>
      </c>
      <c r="Q448" s="22">
        <v>27720</v>
      </c>
      <c r="R448">
        <v>3</v>
      </c>
      <c r="S448" s="1">
        <v>0</v>
      </c>
      <c r="T448">
        <v>0</v>
      </c>
      <c r="U448">
        <v>0</v>
      </c>
      <c r="V448" s="21">
        <v>13860</v>
      </c>
      <c r="W448">
        <v>9</v>
      </c>
      <c r="X448">
        <v>0</v>
      </c>
      <c r="Y448">
        <v>0</v>
      </c>
      <c r="Z448">
        <v>0</v>
      </c>
      <c r="AA448">
        <v>10</v>
      </c>
      <c r="AL448" s="3"/>
      <c r="AM448" s="1"/>
    </row>
    <row r="449" spans="1:39" ht="14.25" x14ac:dyDescent="0.2">
      <c r="A449" s="11">
        <v>10416</v>
      </c>
      <c r="B449" t="s">
        <v>181</v>
      </c>
      <c r="C449" t="s">
        <v>121</v>
      </c>
      <c r="D449" t="s">
        <v>121</v>
      </c>
      <c r="E449" t="s">
        <v>121</v>
      </c>
      <c r="F449" s="6" t="s">
        <v>828</v>
      </c>
      <c r="H449">
        <v>2</v>
      </c>
      <c r="I449" s="1">
        <v>0</v>
      </c>
      <c r="J449">
        <v>0</v>
      </c>
      <c r="K449">
        <v>0</v>
      </c>
      <c r="L449" s="20">
        <v>9320</v>
      </c>
      <c r="M449">
        <v>1</v>
      </c>
      <c r="N449">
        <v>0</v>
      </c>
      <c r="O449">
        <v>0</v>
      </c>
      <c r="P449">
        <v>0</v>
      </c>
      <c r="Q449" s="22">
        <v>27720</v>
      </c>
      <c r="R449">
        <v>3</v>
      </c>
      <c r="S449" s="1">
        <v>0</v>
      </c>
      <c r="T449">
        <v>0</v>
      </c>
      <c r="U449">
        <v>0</v>
      </c>
      <c r="V449" s="21">
        <v>13860</v>
      </c>
      <c r="W449">
        <v>30</v>
      </c>
      <c r="X449">
        <v>0</v>
      </c>
      <c r="Y449">
        <v>0</v>
      </c>
      <c r="Z449">
        <v>0</v>
      </c>
      <c r="AA449">
        <v>10</v>
      </c>
      <c r="AL449" s="3"/>
      <c r="AM449" s="1"/>
    </row>
    <row r="450" spans="1:39" ht="14.25" x14ac:dyDescent="0.2">
      <c r="A450" s="11">
        <v>10417</v>
      </c>
      <c r="B450" t="s">
        <v>122</v>
      </c>
      <c r="C450" t="s">
        <v>121</v>
      </c>
      <c r="D450" t="s">
        <v>121</v>
      </c>
      <c r="E450" t="s">
        <v>121</v>
      </c>
      <c r="F450" s="6" t="s">
        <v>828</v>
      </c>
      <c r="H450">
        <v>2</v>
      </c>
      <c r="I450" s="1">
        <v>0</v>
      </c>
      <c r="J450">
        <v>0</v>
      </c>
      <c r="K450">
        <v>0</v>
      </c>
      <c r="L450" s="20">
        <v>9320</v>
      </c>
      <c r="M450">
        <v>1</v>
      </c>
      <c r="N450">
        <v>0</v>
      </c>
      <c r="O450">
        <v>0</v>
      </c>
      <c r="P450">
        <v>0</v>
      </c>
      <c r="Q450" s="22">
        <v>27720</v>
      </c>
      <c r="R450">
        <v>3</v>
      </c>
      <c r="S450" s="1">
        <v>0</v>
      </c>
      <c r="T450">
        <v>0</v>
      </c>
      <c r="U450">
        <v>0</v>
      </c>
      <c r="V450" s="21">
        <v>13860</v>
      </c>
      <c r="W450">
        <v>4</v>
      </c>
      <c r="X450">
        <v>0</v>
      </c>
      <c r="Y450">
        <v>0</v>
      </c>
      <c r="Z450">
        <v>0</v>
      </c>
      <c r="AA450">
        <v>10</v>
      </c>
      <c r="AL450" s="3"/>
      <c r="AM450" s="1"/>
    </row>
    <row r="451" spans="1:39" ht="14.25" x14ac:dyDescent="0.2">
      <c r="A451" s="11">
        <v>10418</v>
      </c>
      <c r="B451" t="s">
        <v>178</v>
      </c>
      <c r="C451" t="s">
        <v>121</v>
      </c>
      <c r="D451" t="s">
        <v>121</v>
      </c>
      <c r="E451" t="s">
        <v>121</v>
      </c>
      <c r="F451" s="6" t="s">
        <v>830</v>
      </c>
      <c r="H451">
        <v>2</v>
      </c>
      <c r="I451" s="1">
        <v>0</v>
      </c>
      <c r="J451">
        <v>0</v>
      </c>
      <c r="K451">
        <v>0</v>
      </c>
      <c r="L451" s="20">
        <v>9320</v>
      </c>
      <c r="M451">
        <v>1</v>
      </c>
      <c r="N451">
        <v>0</v>
      </c>
      <c r="O451">
        <v>0</v>
      </c>
      <c r="P451">
        <v>0</v>
      </c>
      <c r="Q451" s="22">
        <v>27960</v>
      </c>
      <c r="R451">
        <v>3</v>
      </c>
      <c r="S451" s="1">
        <v>0</v>
      </c>
      <c r="T451">
        <v>0</v>
      </c>
      <c r="U451">
        <v>0</v>
      </c>
      <c r="V451" s="21">
        <v>13980</v>
      </c>
      <c r="W451">
        <v>21</v>
      </c>
      <c r="X451">
        <v>0</v>
      </c>
      <c r="Y451">
        <v>0</v>
      </c>
      <c r="Z451">
        <v>0</v>
      </c>
      <c r="AA451">
        <v>1</v>
      </c>
      <c r="AL451" s="3"/>
      <c r="AM451" s="1"/>
    </row>
    <row r="452" spans="1:39" ht="14.25" x14ac:dyDescent="0.2">
      <c r="A452" s="11">
        <v>10419</v>
      </c>
      <c r="B452" t="s">
        <v>130</v>
      </c>
      <c r="C452" t="s">
        <v>121</v>
      </c>
      <c r="D452" t="s">
        <v>121</v>
      </c>
      <c r="E452" t="s">
        <v>121</v>
      </c>
      <c r="F452" s="6" t="s">
        <v>832</v>
      </c>
      <c r="H452">
        <v>2</v>
      </c>
      <c r="I452" s="1">
        <v>0</v>
      </c>
      <c r="J452">
        <v>0</v>
      </c>
      <c r="K452">
        <v>0</v>
      </c>
      <c r="L452" s="20">
        <v>9320</v>
      </c>
      <c r="M452">
        <v>1</v>
      </c>
      <c r="N452">
        <v>0</v>
      </c>
      <c r="O452">
        <v>0</v>
      </c>
      <c r="P452">
        <v>0</v>
      </c>
      <c r="Q452" s="22">
        <v>27960</v>
      </c>
      <c r="R452">
        <v>3</v>
      </c>
      <c r="S452" s="1">
        <v>0</v>
      </c>
      <c r="T452">
        <v>0</v>
      </c>
      <c r="U452">
        <v>0</v>
      </c>
      <c r="V452" s="21">
        <v>13980</v>
      </c>
      <c r="W452">
        <v>9</v>
      </c>
      <c r="X452">
        <v>0</v>
      </c>
      <c r="Y452">
        <v>0</v>
      </c>
      <c r="Z452">
        <v>0</v>
      </c>
      <c r="AA452">
        <v>10</v>
      </c>
      <c r="AL452" s="3"/>
      <c r="AM452" s="1"/>
    </row>
    <row r="453" spans="1:39" ht="14.25" x14ac:dyDescent="0.2">
      <c r="A453" s="11">
        <v>10420</v>
      </c>
      <c r="B453" t="s">
        <v>123</v>
      </c>
      <c r="C453" t="s">
        <v>121</v>
      </c>
      <c r="D453" t="s">
        <v>121</v>
      </c>
      <c r="E453" t="s">
        <v>121</v>
      </c>
      <c r="F453" s="6" t="s">
        <v>832</v>
      </c>
      <c r="H453">
        <v>2</v>
      </c>
      <c r="I453" s="1">
        <v>0</v>
      </c>
      <c r="J453">
        <v>0</v>
      </c>
      <c r="K453">
        <v>0</v>
      </c>
      <c r="L453" s="20">
        <v>9320</v>
      </c>
      <c r="M453">
        <v>1</v>
      </c>
      <c r="N453">
        <v>0</v>
      </c>
      <c r="O453">
        <v>0</v>
      </c>
      <c r="P453">
        <v>0</v>
      </c>
      <c r="Q453" s="22">
        <v>27960</v>
      </c>
      <c r="R453">
        <v>3</v>
      </c>
      <c r="S453" s="1">
        <v>0</v>
      </c>
      <c r="T453">
        <v>0</v>
      </c>
      <c r="U453">
        <v>0</v>
      </c>
      <c r="V453" s="21">
        <v>13980</v>
      </c>
      <c r="W453">
        <v>12</v>
      </c>
      <c r="X453">
        <v>0</v>
      </c>
      <c r="Y453">
        <v>0</v>
      </c>
      <c r="Z453">
        <v>0</v>
      </c>
      <c r="AA453">
        <v>10</v>
      </c>
      <c r="AL453" s="3"/>
      <c r="AM453" s="1"/>
    </row>
    <row r="454" spans="1:39" ht="14.25" x14ac:dyDescent="0.2">
      <c r="A454" s="11">
        <v>10421</v>
      </c>
      <c r="B454" t="s">
        <v>126</v>
      </c>
      <c r="C454" t="s">
        <v>121</v>
      </c>
      <c r="D454" t="s">
        <v>121</v>
      </c>
      <c r="E454" t="s">
        <v>121</v>
      </c>
      <c r="F454" s="6" t="s">
        <v>834</v>
      </c>
      <c r="H454">
        <v>2</v>
      </c>
      <c r="I454" s="1">
        <v>0</v>
      </c>
      <c r="J454">
        <v>0</v>
      </c>
      <c r="K454">
        <v>0</v>
      </c>
      <c r="L454" s="20">
        <v>9400</v>
      </c>
      <c r="M454">
        <v>1</v>
      </c>
      <c r="N454">
        <v>0</v>
      </c>
      <c r="O454">
        <v>0</v>
      </c>
      <c r="P454">
        <v>0</v>
      </c>
      <c r="Q454" s="22">
        <v>27960</v>
      </c>
      <c r="R454">
        <v>3</v>
      </c>
      <c r="S454" s="1">
        <v>0</v>
      </c>
      <c r="T454">
        <v>0</v>
      </c>
      <c r="U454">
        <v>0</v>
      </c>
      <c r="V454" s="21">
        <v>13980</v>
      </c>
      <c r="W454">
        <v>23</v>
      </c>
      <c r="X454">
        <v>0</v>
      </c>
      <c r="Y454">
        <v>0</v>
      </c>
      <c r="Z454">
        <v>0</v>
      </c>
      <c r="AA454">
        <v>1</v>
      </c>
      <c r="AL454" s="3"/>
      <c r="AM454" s="1"/>
    </row>
    <row r="455" spans="1:39" ht="14.25" x14ac:dyDescent="0.2">
      <c r="A455" s="11">
        <v>10422</v>
      </c>
      <c r="B455" t="s">
        <v>131</v>
      </c>
      <c r="C455" t="s">
        <v>125</v>
      </c>
      <c r="D455" t="s">
        <v>121</v>
      </c>
      <c r="E455" t="s">
        <v>136</v>
      </c>
      <c r="F455" s="6" t="s">
        <v>836</v>
      </c>
      <c r="H455">
        <v>2</v>
      </c>
      <c r="I455" s="1">
        <v>0</v>
      </c>
      <c r="J455">
        <v>0</v>
      </c>
      <c r="K455">
        <v>0</v>
      </c>
      <c r="L455" s="20">
        <v>9400</v>
      </c>
      <c r="M455">
        <v>1</v>
      </c>
      <c r="N455">
        <v>0</v>
      </c>
      <c r="O455">
        <v>0</v>
      </c>
      <c r="P455">
        <v>0</v>
      </c>
      <c r="Q455" s="22">
        <v>27960</v>
      </c>
      <c r="R455">
        <v>3</v>
      </c>
      <c r="S455" s="1">
        <v>0</v>
      </c>
      <c r="T455">
        <v>0</v>
      </c>
      <c r="U455">
        <v>0</v>
      </c>
      <c r="V455" s="21">
        <v>13980</v>
      </c>
      <c r="W455">
        <v>6</v>
      </c>
      <c r="X455">
        <v>1</v>
      </c>
      <c r="Y455">
        <v>0</v>
      </c>
      <c r="Z455">
        <v>3</v>
      </c>
      <c r="AA455">
        <v>10</v>
      </c>
      <c r="AL455" s="3"/>
      <c r="AM455" s="1"/>
    </row>
    <row r="456" spans="1:39" ht="14.25" x14ac:dyDescent="0.2">
      <c r="A456" s="11">
        <v>10423</v>
      </c>
      <c r="B456" t="s">
        <v>180</v>
      </c>
      <c r="C456" t="s">
        <v>121</v>
      </c>
      <c r="D456" t="s">
        <v>121</v>
      </c>
      <c r="E456" t="s">
        <v>121</v>
      </c>
      <c r="F456" s="6" t="s">
        <v>838</v>
      </c>
      <c r="H456">
        <v>2</v>
      </c>
      <c r="I456" s="1">
        <v>0</v>
      </c>
      <c r="J456">
        <v>0</v>
      </c>
      <c r="K456">
        <v>0</v>
      </c>
      <c r="L456" s="20">
        <v>9400</v>
      </c>
      <c r="M456">
        <v>1</v>
      </c>
      <c r="N456">
        <v>0</v>
      </c>
      <c r="O456">
        <v>0</v>
      </c>
      <c r="P456">
        <v>0</v>
      </c>
      <c r="Q456" s="22">
        <v>28200</v>
      </c>
      <c r="R456">
        <v>3</v>
      </c>
      <c r="S456" s="1">
        <v>0</v>
      </c>
      <c r="T456">
        <v>0</v>
      </c>
      <c r="U456">
        <v>0</v>
      </c>
      <c r="V456" s="21">
        <v>14100</v>
      </c>
      <c r="W456">
        <v>15</v>
      </c>
      <c r="X456">
        <v>0</v>
      </c>
      <c r="Y456">
        <v>0</v>
      </c>
      <c r="Z456">
        <v>0</v>
      </c>
      <c r="AA456">
        <v>1</v>
      </c>
      <c r="AL456" s="3"/>
      <c r="AM456" s="1"/>
    </row>
    <row r="457" spans="1:39" ht="14.25" x14ac:dyDescent="0.2">
      <c r="A457" s="11">
        <v>10424</v>
      </c>
      <c r="B457" t="s">
        <v>178</v>
      </c>
      <c r="C457" t="s">
        <v>121</v>
      </c>
      <c r="D457" t="s">
        <v>121</v>
      </c>
      <c r="E457" t="s">
        <v>121</v>
      </c>
      <c r="F457" s="6" t="s">
        <v>838</v>
      </c>
      <c r="H457">
        <v>2</v>
      </c>
      <c r="I457" s="1">
        <v>0</v>
      </c>
      <c r="J457">
        <v>0</v>
      </c>
      <c r="K457">
        <v>0</v>
      </c>
      <c r="L457" s="20">
        <v>9400</v>
      </c>
      <c r="M457">
        <v>1</v>
      </c>
      <c r="N457">
        <v>0</v>
      </c>
      <c r="O457">
        <v>0</v>
      </c>
      <c r="P457">
        <v>0</v>
      </c>
      <c r="Q457" s="22">
        <v>28200</v>
      </c>
      <c r="R457">
        <v>3</v>
      </c>
      <c r="S457" s="1">
        <v>0</v>
      </c>
      <c r="T457">
        <v>0</v>
      </c>
      <c r="U457">
        <v>0</v>
      </c>
      <c r="V457" s="21">
        <v>14100</v>
      </c>
      <c r="W457">
        <v>21</v>
      </c>
      <c r="X457">
        <v>0</v>
      </c>
      <c r="Y457">
        <v>0</v>
      </c>
      <c r="Z457">
        <v>0</v>
      </c>
      <c r="AA457">
        <v>1</v>
      </c>
      <c r="AL457" s="3"/>
      <c r="AM457" s="1"/>
    </row>
    <row r="458" spans="1:39" ht="14.25" x14ac:dyDescent="0.2">
      <c r="A458" s="11">
        <v>10425</v>
      </c>
      <c r="B458" t="s">
        <v>130</v>
      </c>
      <c r="C458" t="s">
        <v>121</v>
      </c>
      <c r="D458" t="s">
        <v>121</v>
      </c>
      <c r="E458" t="s">
        <v>121</v>
      </c>
      <c r="F458" s="6" t="s">
        <v>840</v>
      </c>
      <c r="H458">
        <v>2</v>
      </c>
      <c r="I458" s="1">
        <v>0</v>
      </c>
      <c r="J458">
        <v>0</v>
      </c>
      <c r="K458">
        <v>0</v>
      </c>
      <c r="L458" s="20">
        <v>9400</v>
      </c>
      <c r="M458">
        <v>1</v>
      </c>
      <c r="N458">
        <v>0</v>
      </c>
      <c r="O458">
        <v>0</v>
      </c>
      <c r="P458">
        <v>0</v>
      </c>
      <c r="Q458" s="22">
        <v>28200</v>
      </c>
      <c r="R458">
        <v>3</v>
      </c>
      <c r="S458" s="1">
        <v>0</v>
      </c>
      <c r="T458">
        <v>0</v>
      </c>
      <c r="U458">
        <v>0</v>
      </c>
      <c r="V458" s="21">
        <v>14100</v>
      </c>
      <c r="W458">
        <v>9</v>
      </c>
      <c r="X458">
        <v>0</v>
      </c>
      <c r="Y458">
        <v>0</v>
      </c>
      <c r="Z458">
        <v>0</v>
      </c>
      <c r="AA458">
        <v>10</v>
      </c>
      <c r="AL458" s="3"/>
      <c r="AM458" s="1"/>
    </row>
    <row r="459" spans="1:39" ht="14.25" x14ac:dyDescent="0.2">
      <c r="A459" s="11">
        <v>10426</v>
      </c>
      <c r="B459" t="s">
        <v>181</v>
      </c>
      <c r="C459" t="s">
        <v>121</v>
      </c>
      <c r="D459" t="s">
        <v>121</v>
      </c>
      <c r="E459" t="s">
        <v>121</v>
      </c>
      <c r="F459" s="6" t="s">
        <v>842</v>
      </c>
      <c r="H459">
        <v>2</v>
      </c>
      <c r="I459" s="1">
        <v>0</v>
      </c>
      <c r="J459">
        <v>0</v>
      </c>
      <c r="K459">
        <v>0</v>
      </c>
      <c r="L459" s="20">
        <v>9480</v>
      </c>
      <c r="M459">
        <v>1</v>
      </c>
      <c r="N459">
        <v>0</v>
      </c>
      <c r="O459">
        <v>0</v>
      </c>
      <c r="P459">
        <v>0</v>
      </c>
      <c r="Q459" s="22">
        <v>28200</v>
      </c>
      <c r="R459">
        <v>3</v>
      </c>
      <c r="S459" s="1">
        <v>0</v>
      </c>
      <c r="T459">
        <v>0</v>
      </c>
      <c r="U459">
        <v>0</v>
      </c>
      <c r="V459" s="21">
        <v>14100</v>
      </c>
      <c r="W459">
        <v>30</v>
      </c>
      <c r="X459">
        <v>0</v>
      </c>
      <c r="Y459">
        <v>0</v>
      </c>
      <c r="Z459">
        <v>0</v>
      </c>
      <c r="AA459">
        <v>10</v>
      </c>
      <c r="AL459" s="3"/>
      <c r="AM459" s="1"/>
    </row>
    <row r="460" spans="1:39" ht="14.25" x14ac:dyDescent="0.2">
      <c r="A460" s="11">
        <v>10427</v>
      </c>
      <c r="B460" t="s">
        <v>122</v>
      </c>
      <c r="C460" t="s">
        <v>121</v>
      </c>
      <c r="D460" t="s">
        <v>121</v>
      </c>
      <c r="E460" t="s">
        <v>121</v>
      </c>
      <c r="F460" s="6" t="s">
        <v>842</v>
      </c>
      <c r="H460">
        <v>2</v>
      </c>
      <c r="I460" s="1">
        <v>0</v>
      </c>
      <c r="J460">
        <v>0</v>
      </c>
      <c r="K460">
        <v>0</v>
      </c>
      <c r="L460" s="20">
        <v>9480</v>
      </c>
      <c r="M460">
        <v>1</v>
      </c>
      <c r="N460">
        <v>0</v>
      </c>
      <c r="O460">
        <v>0</v>
      </c>
      <c r="P460">
        <v>0</v>
      </c>
      <c r="Q460" s="22">
        <v>28200</v>
      </c>
      <c r="R460">
        <v>3</v>
      </c>
      <c r="S460" s="1">
        <v>0</v>
      </c>
      <c r="T460">
        <v>0</v>
      </c>
      <c r="U460">
        <v>0</v>
      </c>
      <c r="V460" s="21">
        <v>14100</v>
      </c>
      <c r="W460">
        <v>4</v>
      </c>
      <c r="X460">
        <v>0</v>
      </c>
      <c r="Y460">
        <v>0</v>
      </c>
      <c r="Z460">
        <v>0</v>
      </c>
      <c r="AA460">
        <v>10</v>
      </c>
      <c r="AL460" s="3"/>
      <c r="AM460" s="1"/>
    </row>
    <row r="461" spans="1:39" ht="14.25" x14ac:dyDescent="0.2">
      <c r="A461" s="11">
        <v>10428</v>
      </c>
      <c r="B461" t="s">
        <v>178</v>
      </c>
      <c r="C461" t="s">
        <v>121</v>
      </c>
      <c r="D461" t="s">
        <v>121</v>
      </c>
      <c r="E461" t="s">
        <v>121</v>
      </c>
      <c r="F461" s="6" t="s">
        <v>844</v>
      </c>
      <c r="H461">
        <v>2</v>
      </c>
      <c r="I461" s="1">
        <v>0</v>
      </c>
      <c r="J461">
        <v>0</v>
      </c>
      <c r="K461">
        <v>0</v>
      </c>
      <c r="L461" s="20">
        <v>9480</v>
      </c>
      <c r="M461">
        <v>1</v>
      </c>
      <c r="N461">
        <v>0</v>
      </c>
      <c r="O461">
        <v>0</v>
      </c>
      <c r="P461">
        <v>0</v>
      </c>
      <c r="Q461" s="22">
        <v>28440</v>
      </c>
      <c r="R461">
        <v>3</v>
      </c>
      <c r="S461" s="1">
        <v>0</v>
      </c>
      <c r="T461">
        <v>0</v>
      </c>
      <c r="U461">
        <v>0</v>
      </c>
      <c r="V461" s="21">
        <v>14220</v>
      </c>
      <c r="W461">
        <v>21</v>
      </c>
      <c r="X461">
        <v>0</v>
      </c>
      <c r="Y461">
        <v>0</v>
      </c>
      <c r="Z461">
        <v>0</v>
      </c>
      <c r="AA461">
        <v>1</v>
      </c>
      <c r="AL461" s="3"/>
      <c r="AM461" s="1"/>
    </row>
    <row r="462" spans="1:39" ht="14.25" x14ac:dyDescent="0.2">
      <c r="A462" s="11">
        <v>10429</v>
      </c>
      <c r="B462" t="s">
        <v>130</v>
      </c>
      <c r="C462" t="s">
        <v>121</v>
      </c>
      <c r="D462" t="s">
        <v>121</v>
      </c>
      <c r="E462" t="s">
        <v>121</v>
      </c>
      <c r="F462" s="6" t="s">
        <v>846</v>
      </c>
      <c r="H462">
        <v>2</v>
      </c>
      <c r="I462" s="1">
        <v>0</v>
      </c>
      <c r="J462">
        <v>0</v>
      </c>
      <c r="K462">
        <v>0</v>
      </c>
      <c r="L462" s="20">
        <v>9480</v>
      </c>
      <c r="M462">
        <v>1</v>
      </c>
      <c r="N462">
        <v>0</v>
      </c>
      <c r="O462">
        <v>0</v>
      </c>
      <c r="P462">
        <v>0</v>
      </c>
      <c r="Q462" s="22">
        <v>28440</v>
      </c>
      <c r="R462">
        <v>3</v>
      </c>
      <c r="S462" s="1">
        <v>0</v>
      </c>
      <c r="T462">
        <v>0</v>
      </c>
      <c r="U462">
        <v>0</v>
      </c>
      <c r="V462" s="21">
        <v>14220</v>
      </c>
      <c r="W462">
        <v>9</v>
      </c>
      <c r="X462">
        <v>0</v>
      </c>
      <c r="Y462">
        <v>0</v>
      </c>
      <c r="Z462">
        <v>0</v>
      </c>
      <c r="AA462">
        <v>10</v>
      </c>
      <c r="AL462" s="3"/>
      <c r="AM462" s="1"/>
    </row>
    <row r="463" spans="1:39" ht="14.25" x14ac:dyDescent="0.2">
      <c r="A463" s="11">
        <v>10430</v>
      </c>
      <c r="B463" t="s">
        <v>123</v>
      </c>
      <c r="C463" t="s">
        <v>121</v>
      </c>
      <c r="D463" t="s">
        <v>121</v>
      </c>
      <c r="E463" t="s">
        <v>121</v>
      </c>
      <c r="F463" s="6" t="s">
        <v>846</v>
      </c>
      <c r="H463">
        <v>2</v>
      </c>
      <c r="I463" s="1">
        <v>0</v>
      </c>
      <c r="J463">
        <v>0</v>
      </c>
      <c r="K463">
        <v>0</v>
      </c>
      <c r="L463" s="20">
        <v>9480</v>
      </c>
      <c r="M463">
        <v>1</v>
      </c>
      <c r="N463">
        <v>0</v>
      </c>
      <c r="O463">
        <v>0</v>
      </c>
      <c r="P463">
        <v>0</v>
      </c>
      <c r="Q463" s="22">
        <v>28440</v>
      </c>
      <c r="R463">
        <v>3</v>
      </c>
      <c r="S463" s="1">
        <v>0</v>
      </c>
      <c r="T463">
        <v>0</v>
      </c>
      <c r="U463">
        <v>0</v>
      </c>
      <c r="V463" s="21">
        <v>14220</v>
      </c>
      <c r="W463">
        <v>12</v>
      </c>
      <c r="X463">
        <v>0</v>
      </c>
      <c r="Y463">
        <v>0</v>
      </c>
      <c r="Z463">
        <v>0</v>
      </c>
      <c r="AA463">
        <v>10</v>
      </c>
      <c r="AL463" s="3"/>
      <c r="AM463" s="1"/>
    </row>
    <row r="464" spans="1:39" ht="14.25" x14ac:dyDescent="0.2">
      <c r="A464" s="11">
        <v>10431</v>
      </c>
      <c r="B464" t="s">
        <v>126</v>
      </c>
      <c r="C464" t="s">
        <v>121</v>
      </c>
      <c r="D464" t="s">
        <v>121</v>
      </c>
      <c r="E464" t="s">
        <v>121</v>
      </c>
      <c r="F464" s="6" t="s">
        <v>848</v>
      </c>
      <c r="H464">
        <v>2</v>
      </c>
      <c r="I464" s="1">
        <v>0</v>
      </c>
      <c r="J464">
        <v>0</v>
      </c>
      <c r="K464">
        <v>0</v>
      </c>
      <c r="L464" s="20">
        <v>9560</v>
      </c>
      <c r="M464">
        <v>1</v>
      </c>
      <c r="N464">
        <v>0</v>
      </c>
      <c r="O464">
        <v>0</v>
      </c>
      <c r="P464">
        <v>0</v>
      </c>
      <c r="Q464" s="22">
        <v>28440</v>
      </c>
      <c r="R464">
        <v>3</v>
      </c>
      <c r="S464" s="1">
        <v>0</v>
      </c>
      <c r="T464">
        <v>0</v>
      </c>
      <c r="U464">
        <v>0</v>
      </c>
      <c r="V464" s="21">
        <v>14220</v>
      </c>
      <c r="W464">
        <v>23</v>
      </c>
      <c r="X464">
        <v>0</v>
      </c>
      <c r="Y464">
        <v>0</v>
      </c>
      <c r="Z464">
        <v>0</v>
      </c>
      <c r="AA464">
        <v>1</v>
      </c>
      <c r="AL464" s="3"/>
      <c r="AM464" s="1"/>
    </row>
    <row r="465" spans="1:39" ht="14.25" x14ac:dyDescent="0.2">
      <c r="A465" s="11">
        <v>10432</v>
      </c>
      <c r="B465" t="s">
        <v>131</v>
      </c>
      <c r="C465" t="s">
        <v>125</v>
      </c>
      <c r="D465" t="s">
        <v>121</v>
      </c>
      <c r="E465" t="s">
        <v>136</v>
      </c>
      <c r="F465" s="6" t="s">
        <v>850</v>
      </c>
      <c r="H465">
        <v>2</v>
      </c>
      <c r="I465" s="1">
        <v>0</v>
      </c>
      <c r="J465">
        <v>0</v>
      </c>
      <c r="K465">
        <v>0</v>
      </c>
      <c r="L465" s="20">
        <v>9560</v>
      </c>
      <c r="M465">
        <v>1</v>
      </c>
      <c r="N465">
        <v>0</v>
      </c>
      <c r="O465">
        <v>0</v>
      </c>
      <c r="P465">
        <v>0</v>
      </c>
      <c r="Q465" s="22">
        <v>28440</v>
      </c>
      <c r="R465">
        <v>3</v>
      </c>
      <c r="S465" s="1">
        <v>0</v>
      </c>
      <c r="T465">
        <v>0</v>
      </c>
      <c r="U465">
        <v>0</v>
      </c>
      <c r="V465" s="21">
        <v>14220</v>
      </c>
      <c r="W465">
        <v>6</v>
      </c>
      <c r="X465">
        <v>1</v>
      </c>
      <c r="Y465">
        <v>0</v>
      </c>
      <c r="Z465">
        <v>3</v>
      </c>
      <c r="AA465">
        <v>10</v>
      </c>
      <c r="AL465" s="3"/>
      <c r="AM465" s="1"/>
    </row>
    <row r="466" spans="1:39" ht="14.25" x14ac:dyDescent="0.2">
      <c r="A466" s="11">
        <v>10433</v>
      </c>
      <c r="B466" t="s">
        <v>180</v>
      </c>
      <c r="C466" t="s">
        <v>121</v>
      </c>
      <c r="D466" t="s">
        <v>121</v>
      </c>
      <c r="E466" t="s">
        <v>121</v>
      </c>
      <c r="F466" s="6" t="s">
        <v>852</v>
      </c>
      <c r="H466">
        <v>2</v>
      </c>
      <c r="I466" s="1">
        <v>0</v>
      </c>
      <c r="J466">
        <v>0</v>
      </c>
      <c r="K466">
        <v>0</v>
      </c>
      <c r="L466" s="20">
        <v>9560</v>
      </c>
      <c r="M466">
        <v>1</v>
      </c>
      <c r="N466">
        <v>0</v>
      </c>
      <c r="O466">
        <v>0</v>
      </c>
      <c r="P466">
        <v>0</v>
      </c>
      <c r="Q466" s="22">
        <v>28680</v>
      </c>
      <c r="R466">
        <v>3</v>
      </c>
      <c r="S466" s="1">
        <v>0</v>
      </c>
      <c r="T466">
        <v>0</v>
      </c>
      <c r="U466">
        <v>0</v>
      </c>
      <c r="V466" s="21">
        <v>14340</v>
      </c>
      <c r="W466">
        <v>15</v>
      </c>
      <c r="X466">
        <v>0</v>
      </c>
      <c r="Y466">
        <v>0</v>
      </c>
      <c r="Z466">
        <v>0</v>
      </c>
      <c r="AA466">
        <v>1</v>
      </c>
      <c r="AL466" s="3"/>
      <c r="AM466" s="1"/>
    </row>
    <row r="467" spans="1:39" ht="14.25" x14ac:dyDescent="0.2">
      <c r="A467" s="11">
        <v>10434</v>
      </c>
      <c r="B467" t="s">
        <v>178</v>
      </c>
      <c r="C467" t="s">
        <v>121</v>
      </c>
      <c r="D467" t="s">
        <v>121</v>
      </c>
      <c r="E467" t="s">
        <v>121</v>
      </c>
      <c r="F467" s="6" t="s">
        <v>852</v>
      </c>
      <c r="H467">
        <v>2</v>
      </c>
      <c r="I467" s="1">
        <v>0</v>
      </c>
      <c r="J467">
        <v>0</v>
      </c>
      <c r="K467">
        <v>0</v>
      </c>
      <c r="L467" s="20">
        <v>9560</v>
      </c>
      <c r="M467">
        <v>1</v>
      </c>
      <c r="N467">
        <v>0</v>
      </c>
      <c r="O467">
        <v>0</v>
      </c>
      <c r="P467">
        <v>0</v>
      </c>
      <c r="Q467" s="22">
        <v>28680</v>
      </c>
      <c r="R467">
        <v>3</v>
      </c>
      <c r="S467" s="1">
        <v>0</v>
      </c>
      <c r="T467">
        <v>0</v>
      </c>
      <c r="U467">
        <v>0</v>
      </c>
      <c r="V467" s="21">
        <v>14340</v>
      </c>
      <c r="W467">
        <v>21</v>
      </c>
      <c r="X467">
        <v>0</v>
      </c>
      <c r="Y467">
        <v>0</v>
      </c>
      <c r="Z467">
        <v>0</v>
      </c>
      <c r="AA467">
        <v>1</v>
      </c>
      <c r="AL467" s="3"/>
      <c r="AM467" s="1"/>
    </row>
    <row r="468" spans="1:39" ht="14.25" x14ac:dyDescent="0.2">
      <c r="A468" s="11">
        <v>10435</v>
      </c>
      <c r="B468" t="s">
        <v>130</v>
      </c>
      <c r="C468" t="s">
        <v>121</v>
      </c>
      <c r="D468" t="s">
        <v>121</v>
      </c>
      <c r="E468" t="s">
        <v>121</v>
      </c>
      <c r="F468" s="6" t="s">
        <v>854</v>
      </c>
      <c r="H468">
        <v>2</v>
      </c>
      <c r="I468" s="1">
        <v>0</v>
      </c>
      <c r="J468">
        <v>0</v>
      </c>
      <c r="K468">
        <v>0</v>
      </c>
      <c r="L468" s="20">
        <v>9560</v>
      </c>
      <c r="M468">
        <v>1</v>
      </c>
      <c r="N468">
        <v>0</v>
      </c>
      <c r="O468">
        <v>0</v>
      </c>
      <c r="P468">
        <v>0</v>
      </c>
      <c r="Q468" s="22">
        <v>28680</v>
      </c>
      <c r="R468">
        <v>3</v>
      </c>
      <c r="S468" s="1">
        <v>0</v>
      </c>
      <c r="T468">
        <v>0</v>
      </c>
      <c r="U468">
        <v>0</v>
      </c>
      <c r="V468" s="21">
        <v>14340</v>
      </c>
      <c r="W468">
        <v>9</v>
      </c>
      <c r="X468">
        <v>0</v>
      </c>
      <c r="Y468">
        <v>0</v>
      </c>
      <c r="Z468">
        <v>0</v>
      </c>
      <c r="AA468">
        <v>10</v>
      </c>
      <c r="AL468" s="3"/>
      <c r="AM468" s="1"/>
    </row>
    <row r="469" spans="1:39" ht="14.25" x14ac:dyDescent="0.2">
      <c r="A469" s="11">
        <v>10436</v>
      </c>
      <c r="B469" t="s">
        <v>181</v>
      </c>
      <c r="C469" t="s">
        <v>121</v>
      </c>
      <c r="D469" t="s">
        <v>121</v>
      </c>
      <c r="E469" t="s">
        <v>121</v>
      </c>
      <c r="F469" s="6" t="s">
        <v>856</v>
      </c>
      <c r="H469">
        <v>2</v>
      </c>
      <c r="I469" s="1">
        <v>0</v>
      </c>
      <c r="J469">
        <v>0</v>
      </c>
      <c r="K469">
        <v>0</v>
      </c>
      <c r="L469" s="20">
        <v>9640</v>
      </c>
      <c r="M469">
        <v>1</v>
      </c>
      <c r="N469">
        <v>0</v>
      </c>
      <c r="O469">
        <v>0</v>
      </c>
      <c r="P469">
        <v>0</v>
      </c>
      <c r="Q469" s="22">
        <v>28680</v>
      </c>
      <c r="R469">
        <v>3</v>
      </c>
      <c r="S469" s="1">
        <v>0</v>
      </c>
      <c r="T469">
        <v>0</v>
      </c>
      <c r="U469">
        <v>0</v>
      </c>
      <c r="V469" s="21">
        <v>14340</v>
      </c>
      <c r="W469">
        <v>30</v>
      </c>
      <c r="X469">
        <v>0</v>
      </c>
      <c r="Y469">
        <v>0</v>
      </c>
      <c r="Z469">
        <v>0</v>
      </c>
      <c r="AA469">
        <v>10</v>
      </c>
      <c r="AL469" s="3"/>
      <c r="AM469" s="1"/>
    </row>
    <row r="470" spans="1:39" ht="14.25" x14ac:dyDescent="0.2">
      <c r="A470" s="11">
        <v>10437</v>
      </c>
      <c r="B470" t="s">
        <v>122</v>
      </c>
      <c r="C470" t="s">
        <v>121</v>
      </c>
      <c r="D470" t="s">
        <v>121</v>
      </c>
      <c r="E470" t="s">
        <v>121</v>
      </c>
      <c r="F470" s="6" t="s">
        <v>856</v>
      </c>
      <c r="H470">
        <v>2</v>
      </c>
      <c r="I470" s="1">
        <v>0</v>
      </c>
      <c r="J470">
        <v>0</v>
      </c>
      <c r="K470">
        <v>0</v>
      </c>
      <c r="L470" s="20">
        <v>9640</v>
      </c>
      <c r="M470">
        <v>1</v>
      </c>
      <c r="N470">
        <v>0</v>
      </c>
      <c r="O470">
        <v>0</v>
      </c>
      <c r="P470">
        <v>0</v>
      </c>
      <c r="Q470" s="22">
        <v>28680</v>
      </c>
      <c r="R470">
        <v>3</v>
      </c>
      <c r="S470" s="1">
        <v>0</v>
      </c>
      <c r="T470">
        <v>0</v>
      </c>
      <c r="U470">
        <v>0</v>
      </c>
      <c r="V470" s="21">
        <v>14340</v>
      </c>
      <c r="W470">
        <v>4</v>
      </c>
      <c r="X470">
        <v>0</v>
      </c>
      <c r="Y470">
        <v>0</v>
      </c>
      <c r="Z470">
        <v>0</v>
      </c>
      <c r="AA470">
        <v>10</v>
      </c>
      <c r="AL470" s="3"/>
      <c r="AM470" s="1"/>
    </row>
    <row r="471" spans="1:39" ht="14.25" x14ac:dyDescent="0.2">
      <c r="A471" s="11">
        <v>10438</v>
      </c>
      <c r="B471" t="s">
        <v>178</v>
      </c>
      <c r="C471" t="s">
        <v>121</v>
      </c>
      <c r="D471" t="s">
        <v>121</v>
      </c>
      <c r="E471" t="s">
        <v>121</v>
      </c>
      <c r="F471" s="6" t="s">
        <v>858</v>
      </c>
      <c r="H471">
        <v>2</v>
      </c>
      <c r="I471" s="1">
        <v>0</v>
      </c>
      <c r="J471">
        <v>0</v>
      </c>
      <c r="K471">
        <v>0</v>
      </c>
      <c r="L471" s="20">
        <v>9640</v>
      </c>
      <c r="M471">
        <v>1</v>
      </c>
      <c r="N471">
        <v>0</v>
      </c>
      <c r="O471">
        <v>0</v>
      </c>
      <c r="P471">
        <v>0</v>
      </c>
      <c r="Q471" s="22">
        <v>28920</v>
      </c>
      <c r="R471">
        <v>3</v>
      </c>
      <c r="S471" s="1">
        <v>0</v>
      </c>
      <c r="T471">
        <v>0</v>
      </c>
      <c r="U471">
        <v>0</v>
      </c>
      <c r="V471" s="21">
        <v>14460</v>
      </c>
      <c r="W471">
        <v>21</v>
      </c>
      <c r="X471">
        <v>0</v>
      </c>
      <c r="Y471">
        <v>0</v>
      </c>
      <c r="Z471">
        <v>0</v>
      </c>
      <c r="AA471">
        <v>1</v>
      </c>
      <c r="AL471" s="3"/>
      <c r="AM471" s="1"/>
    </row>
    <row r="472" spans="1:39" ht="14.25" x14ac:dyDescent="0.2">
      <c r="A472" s="11">
        <v>10439</v>
      </c>
      <c r="B472" t="s">
        <v>130</v>
      </c>
      <c r="C472" t="s">
        <v>121</v>
      </c>
      <c r="D472" t="s">
        <v>121</v>
      </c>
      <c r="E472" t="s">
        <v>121</v>
      </c>
      <c r="F472" s="6" t="s">
        <v>860</v>
      </c>
      <c r="H472">
        <v>2</v>
      </c>
      <c r="I472" s="1">
        <v>0</v>
      </c>
      <c r="J472">
        <v>0</v>
      </c>
      <c r="K472">
        <v>0</v>
      </c>
      <c r="L472" s="20">
        <v>9640</v>
      </c>
      <c r="M472">
        <v>1</v>
      </c>
      <c r="N472">
        <v>0</v>
      </c>
      <c r="O472">
        <v>0</v>
      </c>
      <c r="P472">
        <v>0</v>
      </c>
      <c r="Q472" s="22">
        <v>28920</v>
      </c>
      <c r="R472">
        <v>3</v>
      </c>
      <c r="S472" s="1">
        <v>0</v>
      </c>
      <c r="T472">
        <v>0</v>
      </c>
      <c r="U472">
        <v>0</v>
      </c>
      <c r="V472" s="21">
        <v>14460</v>
      </c>
      <c r="W472">
        <v>9</v>
      </c>
      <c r="X472">
        <v>0</v>
      </c>
      <c r="Y472">
        <v>0</v>
      </c>
      <c r="Z472">
        <v>0</v>
      </c>
      <c r="AA472">
        <v>10</v>
      </c>
      <c r="AL472" s="3"/>
      <c r="AM472" s="1"/>
    </row>
    <row r="473" spans="1:39" ht="14.25" x14ac:dyDescent="0.2">
      <c r="A473" s="11">
        <v>10440</v>
      </c>
      <c r="B473" t="s">
        <v>123</v>
      </c>
      <c r="C473" t="s">
        <v>121</v>
      </c>
      <c r="D473" t="s">
        <v>121</v>
      </c>
      <c r="E473" t="s">
        <v>121</v>
      </c>
      <c r="F473" s="6" t="s">
        <v>860</v>
      </c>
      <c r="H473">
        <v>2</v>
      </c>
      <c r="I473" s="1">
        <v>0</v>
      </c>
      <c r="J473">
        <v>0</v>
      </c>
      <c r="K473">
        <v>0</v>
      </c>
      <c r="L473" s="20">
        <v>9640</v>
      </c>
      <c r="M473">
        <v>1</v>
      </c>
      <c r="N473">
        <v>0</v>
      </c>
      <c r="O473">
        <v>0</v>
      </c>
      <c r="P473">
        <v>0</v>
      </c>
      <c r="Q473" s="22">
        <v>28920</v>
      </c>
      <c r="R473">
        <v>3</v>
      </c>
      <c r="S473" s="1">
        <v>0</v>
      </c>
      <c r="T473">
        <v>0</v>
      </c>
      <c r="U473">
        <v>0</v>
      </c>
      <c r="V473" s="21">
        <v>14460</v>
      </c>
      <c r="W473">
        <v>12</v>
      </c>
      <c r="X473">
        <v>0</v>
      </c>
      <c r="Y473">
        <v>0</v>
      </c>
      <c r="Z473">
        <v>0</v>
      </c>
      <c r="AA473">
        <v>10</v>
      </c>
      <c r="AL473" s="3"/>
      <c r="AM473" s="1"/>
    </row>
    <row r="474" spans="1:39" ht="14.25" x14ac:dyDescent="0.2">
      <c r="A474" s="11">
        <v>10441</v>
      </c>
      <c r="B474" t="s">
        <v>126</v>
      </c>
      <c r="C474" t="s">
        <v>121</v>
      </c>
      <c r="D474" t="s">
        <v>121</v>
      </c>
      <c r="E474" t="s">
        <v>121</v>
      </c>
      <c r="F474" s="6" t="s">
        <v>862</v>
      </c>
      <c r="H474">
        <v>2</v>
      </c>
      <c r="I474" s="1">
        <v>0</v>
      </c>
      <c r="J474">
        <v>0</v>
      </c>
      <c r="K474">
        <v>0</v>
      </c>
      <c r="L474" s="20">
        <v>9720</v>
      </c>
      <c r="M474">
        <v>1</v>
      </c>
      <c r="N474">
        <v>0</v>
      </c>
      <c r="O474">
        <v>0</v>
      </c>
      <c r="P474">
        <v>0</v>
      </c>
      <c r="Q474" s="22">
        <v>28920</v>
      </c>
      <c r="R474">
        <v>3</v>
      </c>
      <c r="S474" s="1">
        <v>0</v>
      </c>
      <c r="T474">
        <v>0</v>
      </c>
      <c r="U474">
        <v>0</v>
      </c>
      <c r="V474" s="21">
        <v>14460</v>
      </c>
      <c r="W474">
        <v>23</v>
      </c>
      <c r="X474">
        <v>0</v>
      </c>
      <c r="Y474">
        <v>0</v>
      </c>
      <c r="Z474">
        <v>0</v>
      </c>
      <c r="AA474">
        <v>1</v>
      </c>
      <c r="AL474" s="3"/>
      <c r="AM474" s="1"/>
    </row>
    <row r="475" spans="1:39" ht="14.25" x14ac:dyDescent="0.2">
      <c r="A475" s="11">
        <v>10442</v>
      </c>
      <c r="B475" t="s">
        <v>131</v>
      </c>
      <c r="C475" t="s">
        <v>125</v>
      </c>
      <c r="D475" t="s">
        <v>121</v>
      </c>
      <c r="E475" t="s">
        <v>136</v>
      </c>
      <c r="F475" s="6" t="s">
        <v>864</v>
      </c>
      <c r="H475">
        <v>2</v>
      </c>
      <c r="I475" s="1">
        <v>0</v>
      </c>
      <c r="J475">
        <v>0</v>
      </c>
      <c r="K475">
        <v>0</v>
      </c>
      <c r="L475" s="20">
        <v>9720</v>
      </c>
      <c r="M475">
        <v>1</v>
      </c>
      <c r="N475">
        <v>0</v>
      </c>
      <c r="O475">
        <v>0</v>
      </c>
      <c r="P475">
        <v>0</v>
      </c>
      <c r="Q475" s="22">
        <v>28920</v>
      </c>
      <c r="R475">
        <v>3</v>
      </c>
      <c r="S475" s="1">
        <v>0</v>
      </c>
      <c r="T475">
        <v>0</v>
      </c>
      <c r="U475">
        <v>0</v>
      </c>
      <c r="V475" s="21">
        <v>14460</v>
      </c>
      <c r="W475">
        <v>6</v>
      </c>
      <c r="X475">
        <v>1</v>
      </c>
      <c r="Y475">
        <v>0</v>
      </c>
      <c r="Z475">
        <v>3</v>
      </c>
      <c r="AA475">
        <v>10</v>
      </c>
      <c r="AL475" s="3"/>
      <c r="AM475" s="1"/>
    </row>
    <row r="476" spans="1:39" ht="14.25" x14ac:dyDescent="0.2">
      <c r="A476" s="11">
        <v>10443</v>
      </c>
      <c r="B476" t="s">
        <v>180</v>
      </c>
      <c r="C476" t="s">
        <v>121</v>
      </c>
      <c r="D476" t="s">
        <v>121</v>
      </c>
      <c r="E476" t="s">
        <v>121</v>
      </c>
      <c r="F476" s="6" t="s">
        <v>866</v>
      </c>
      <c r="H476">
        <v>2</v>
      </c>
      <c r="I476" s="1">
        <v>0</v>
      </c>
      <c r="J476">
        <v>0</v>
      </c>
      <c r="K476">
        <v>0</v>
      </c>
      <c r="L476" s="20">
        <v>9720</v>
      </c>
      <c r="M476">
        <v>1</v>
      </c>
      <c r="N476">
        <v>0</v>
      </c>
      <c r="O476">
        <v>0</v>
      </c>
      <c r="P476">
        <v>0</v>
      </c>
      <c r="Q476" s="22">
        <v>29160</v>
      </c>
      <c r="R476">
        <v>3</v>
      </c>
      <c r="S476" s="1">
        <v>0</v>
      </c>
      <c r="T476">
        <v>0</v>
      </c>
      <c r="U476">
        <v>0</v>
      </c>
      <c r="V476" s="21">
        <v>14580</v>
      </c>
      <c r="W476">
        <v>15</v>
      </c>
      <c r="X476">
        <v>0</v>
      </c>
      <c r="Y476">
        <v>0</v>
      </c>
      <c r="Z476">
        <v>0</v>
      </c>
      <c r="AA476">
        <v>1</v>
      </c>
      <c r="AL476" s="3"/>
      <c r="AM476" s="1"/>
    </row>
    <row r="477" spans="1:39" ht="14.25" x14ac:dyDescent="0.2">
      <c r="A477" s="11">
        <v>10444</v>
      </c>
      <c r="B477" t="s">
        <v>178</v>
      </c>
      <c r="C477" t="s">
        <v>121</v>
      </c>
      <c r="D477" t="s">
        <v>121</v>
      </c>
      <c r="E477" t="s">
        <v>121</v>
      </c>
      <c r="F477" s="6" t="s">
        <v>866</v>
      </c>
      <c r="H477">
        <v>2</v>
      </c>
      <c r="I477" s="1">
        <v>0</v>
      </c>
      <c r="J477">
        <v>0</v>
      </c>
      <c r="K477">
        <v>0</v>
      </c>
      <c r="L477" s="20">
        <v>9720</v>
      </c>
      <c r="M477">
        <v>1</v>
      </c>
      <c r="N477">
        <v>0</v>
      </c>
      <c r="O477">
        <v>0</v>
      </c>
      <c r="P477">
        <v>0</v>
      </c>
      <c r="Q477" s="22">
        <v>29160</v>
      </c>
      <c r="R477">
        <v>3</v>
      </c>
      <c r="S477" s="1">
        <v>0</v>
      </c>
      <c r="T477">
        <v>0</v>
      </c>
      <c r="U477">
        <v>0</v>
      </c>
      <c r="V477" s="21">
        <v>14580</v>
      </c>
      <c r="W477">
        <v>21</v>
      </c>
      <c r="X477">
        <v>0</v>
      </c>
      <c r="Y477">
        <v>0</v>
      </c>
      <c r="Z477">
        <v>0</v>
      </c>
      <c r="AA477">
        <v>1</v>
      </c>
      <c r="AL477" s="3"/>
      <c r="AM477" s="1"/>
    </row>
    <row r="478" spans="1:39" ht="14.25" x14ac:dyDescent="0.2">
      <c r="A478" s="11">
        <v>10445</v>
      </c>
      <c r="B478" t="s">
        <v>130</v>
      </c>
      <c r="C478" t="s">
        <v>121</v>
      </c>
      <c r="D478" t="s">
        <v>121</v>
      </c>
      <c r="E478" t="s">
        <v>121</v>
      </c>
      <c r="F478" s="6" t="s">
        <v>868</v>
      </c>
      <c r="H478">
        <v>2</v>
      </c>
      <c r="I478" s="1">
        <v>0</v>
      </c>
      <c r="J478">
        <v>0</v>
      </c>
      <c r="K478">
        <v>0</v>
      </c>
      <c r="L478" s="20">
        <v>9720</v>
      </c>
      <c r="M478">
        <v>1</v>
      </c>
      <c r="N478">
        <v>0</v>
      </c>
      <c r="O478">
        <v>0</v>
      </c>
      <c r="P478">
        <v>0</v>
      </c>
      <c r="Q478" s="22">
        <v>29160</v>
      </c>
      <c r="R478">
        <v>3</v>
      </c>
      <c r="S478" s="1">
        <v>0</v>
      </c>
      <c r="T478">
        <v>0</v>
      </c>
      <c r="U478">
        <v>0</v>
      </c>
      <c r="V478" s="21">
        <v>14580</v>
      </c>
      <c r="W478">
        <v>9</v>
      </c>
      <c r="X478">
        <v>0</v>
      </c>
      <c r="Y478">
        <v>0</v>
      </c>
      <c r="Z478">
        <v>0</v>
      </c>
      <c r="AA478">
        <v>10</v>
      </c>
      <c r="AL478" s="3"/>
      <c r="AM478" s="1"/>
    </row>
    <row r="479" spans="1:39" ht="14.25" x14ac:dyDescent="0.2">
      <c r="A479" s="11">
        <v>10446</v>
      </c>
      <c r="B479" t="s">
        <v>181</v>
      </c>
      <c r="C479" t="s">
        <v>121</v>
      </c>
      <c r="D479" t="s">
        <v>121</v>
      </c>
      <c r="E479" t="s">
        <v>121</v>
      </c>
      <c r="F479" s="6" t="s">
        <v>870</v>
      </c>
      <c r="H479">
        <v>2</v>
      </c>
      <c r="I479" s="1">
        <v>0</v>
      </c>
      <c r="J479">
        <v>0</v>
      </c>
      <c r="K479">
        <v>0</v>
      </c>
      <c r="L479" s="20">
        <v>9800</v>
      </c>
      <c r="M479">
        <v>1</v>
      </c>
      <c r="N479">
        <v>0</v>
      </c>
      <c r="O479">
        <v>0</v>
      </c>
      <c r="P479">
        <v>0</v>
      </c>
      <c r="Q479" s="22">
        <v>29160</v>
      </c>
      <c r="R479">
        <v>3</v>
      </c>
      <c r="S479" s="1">
        <v>0</v>
      </c>
      <c r="T479">
        <v>0</v>
      </c>
      <c r="U479">
        <v>0</v>
      </c>
      <c r="V479" s="21">
        <v>14580</v>
      </c>
      <c r="W479">
        <v>30</v>
      </c>
      <c r="X479">
        <v>0</v>
      </c>
      <c r="Y479">
        <v>0</v>
      </c>
      <c r="Z479">
        <v>0</v>
      </c>
      <c r="AA479">
        <v>10</v>
      </c>
      <c r="AL479" s="3"/>
      <c r="AM479" s="1"/>
    </row>
    <row r="480" spans="1:39" ht="14.25" x14ac:dyDescent="0.2">
      <c r="A480" s="11">
        <v>10447</v>
      </c>
      <c r="B480" t="s">
        <v>122</v>
      </c>
      <c r="C480" t="s">
        <v>121</v>
      </c>
      <c r="D480" t="s">
        <v>121</v>
      </c>
      <c r="E480" t="s">
        <v>121</v>
      </c>
      <c r="F480" s="6" t="s">
        <v>870</v>
      </c>
      <c r="H480">
        <v>2</v>
      </c>
      <c r="I480" s="1">
        <v>0</v>
      </c>
      <c r="J480">
        <v>0</v>
      </c>
      <c r="K480">
        <v>0</v>
      </c>
      <c r="L480" s="20">
        <v>9800</v>
      </c>
      <c r="M480">
        <v>1</v>
      </c>
      <c r="N480">
        <v>0</v>
      </c>
      <c r="O480">
        <v>0</v>
      </c>
      <c r="P480">
        <v>0</v>
      </c>
      <c r="Q480" s="22">
        <v>29160</v>
      </c>
      <c r="R480">
        <v>3</v>
      </c>
      <c r="S480" s="1">
        <v>0</v>
      </c>
      <c r="T480">
        <v>0</v>
      </c>
      <c r="U480">
        <v>0</v>
      </c>
      <c r="V480" s="21">
        <v>14580</v>
      </c>
      <c r="W480">
        <v>4</v>
      </c>
      <c r="X480">
        <v>0</v>
      </c>
      <c r="Y480">
        <v>0</v>
      </c>
      <c r="Z480">
        <v>0</v>
      </c>
      <c r="AA480">
        <v>10</v>
      </c>
      <c r="AL480" s="3"/>
      <c r="AM480" s="1"/>
    </row>
    <row r="481" spans="1:39" ht="14.25" x14ac:dyDescent="0.2">
      <c r="A481" s="11">
        <v>10448</v>
      </c>
      <c r="B481" t="s">
        <v>178</v>
      </c>
      <c r="C481" t="s">
        <v>121</v>
      </c>
      <c r="D481" t="s">
        <v>121</v>
      </c>
      <c r="E481" t="s">
        <v>121</v>
      </c>
      <c r="F481" s="6" t="s">
        <v>872</v>
      </c>
      <c r="H481">
        <v>2</v>
      </c>
      <c r="I481" s="1">
        <v>0</v>
      </c>
      <c r="J481">
        <v>0</v>
      </c>
      <c r="K481">
        <v>0</v>
      </c>
      <c r="L481" s="20">
        <v>9800</v>
      </c>
      <c r="M481">
        <v>1</v>
      </c>
      <c r="N481">
        <v>0</v>
      </c>
      <c r="O481">
        <v>0</v>
      </c>
      <c r="P481">
        <v>0</v>
      </c>
      <c r="Q481" s="22">
        <v>29400</v>
      </c>
      <c r="R481">
        <v>3</v>
      </c>
      <c r="S481" s="1">
        <v>0</v>
      </c>
      <c r="T481">
        <v>0</v>
      </c>
      <c r="U481">
        <v>0</v>
      </c>
      <c r="V481" s="21">
        <v>14700</v>
      </c>
      <c r="W481">
        <v>21</v>
      </c>
      <c r="X481">
        <v>0</v>
      </c>
      <c r="Y481">
        <v>0</v>
      </c>
      <c r="Z481">
        <v>0</v>
      </c>
      <c r="AA481">
        <v>1</v>
      </c>
      <c r="AL481" s="1"/>
      <c r="AM481" s="1"/>
    </row>
    <row r="482" spans="1:39" ht="14.25" x14ac:dyDescent="0.2">
      <c r="A482" s="11">
        <v>10449</v>
      </c>
      <c r="B482" t="s">
        <v>130</v>
      </c>
      <c r="C482" t="s">
        <v>121</v>
      </c>
      <c r="D482" t="s">
        <v>121</v>
      </c>
      <c r="E482" t="s">
        <v>121</v>
      </c>
      <c r="F482" s="6" t="s">
        <v>874</v>
      </c>
      <c r="H482">
        <v>2</v>
      </c>
      <c r="I482" s="1">
        <v>0</v>
      </c>
      <c r="J482">
        <v>0</v>
      </c>
      <c r="K482">
        <v>0</v>
      </c>
      <c r="L482" s="20">
        <v>9800</v>
      </c>
      <c r="M482">
        <v>1</v>
      </c>
      <c r="N482">
        <v>0</v>
      </c>
      <c r="O482">
        <v>0</v>
      </c>
      <c r="P482">
        <v>0</v>
      </c>
      <c r="Q482" s="22">
        <v>29400</v>
      </c>
      <c r="R482">
        <v>3</v>
      </c>
      <c r="S482" s="1">
        <v>0</v>
      </c>
      <c r="T482">
        <v>0</v>
      </c>
      <c r="U482">
        <v>0</v>
      </c>
      <c r="V482" s="21">
        <v>14700</v>
      </c>
      <c r="W482">
        <v>9</v>
      </c>
      <c r="X482">
        <v>0</v>
      </c>
      <c r="Y482">
        <v>0</v>
      </c>
      <c r="Z482">
        <v>0</v>
      </c>
      <c r="AA482">
        <v>10</v>
      </c>
      <c r="AL482" s="3"/>
      <c r="AM482" s="1"/>
    </row>
    <row r="483" spans="1:39" ht="14.25" x14ac:dyDescent="0.2">
      <c r="A483" s="11">
        <v>10450</v>
      </c>
      <c r="B483" t="s">
        <v>123</v>
      </c>
      <c r="C483" t="s">
        <v>121</v>
      </c>
      <c r="D483" t="s">
        <v>121</v>
      </c>
      <c r="E483" t="s">
        <v>121</v>
      </c>
      <c r="F483" s="6" t="s">
        <v>874</v>
      </c>
      <c r="H483">
        <v>2</v>
      </c>
      <c r="I483" s="1">
        <v>0</v>
      </c>
      <c r="J483">
        <v>0</v>
      </c>
      <c r="K483">
        <v>0</v>
      </c>
      <c r="L483" s="20">
        <v>9800</v>
      </c>
      <c r="M483">
        <v>1</v>
      </c>
      <c r="N483">
        <v>0</v>
      </c>
      <c r="O483">
        <v>0</v>
      </c>
      <c r="P483">
        <v>0</v>
      </c>
      <c r="Q483" s="22">
        <v>29400</v>
      </c>
      <c r="R483">
        <v>3</v>
      </c>
      <c r="S483" s="1">
        <v>0</v>
      </c>
      <c r="T483">
        <v>0</v>
      </c>
      <c r="U483">
        <v>0</v>
      </c>
      <c r="V483" s="21">
        <v>14700</v>
      </c>
      <c r="W483">
        <v>12</v>
      </c>
      <c r="X483">
        <v>0</v>
      </c>
      <c r="Y483">
        <v>0</v>
      </c>
      <c r="Z483">
        <v>0</v>
      </c>
      <c r="AA483">
        <v>10</v>
      </c>
      <c r="AL483" s="3"/>
      <c r="AM483" s="1"/>
    </row>
    <row r="484" spans="1:39" ht="14.25" x14ac:dyDescent="0.2">
      <c r="A484" s="11">
        <v>10501</v>
      </c>
      <c r="B484" t="s">
        <v>126</v>
      </c>
      <c r="C484" t="s">
        <v>121</v>
      </c>
      <c r="D484" t="s">
        <v>121</v>
      </c>
      <c r="E484" t="s">
        <v>121</v>
      </c>
      <c r="F484" s="6" t="s">
        <v>876</v>
      </c>
      <c r="H484">
        <v>2</v>
      </c>
      <c r="I484" s="1">
        <v>0</v>
      </c>
      <c r="J484">
        <v>0</v>
      </c>
      <c r="K484">
        <v>0</v>
      </c>
      <c r="L484" s="20">
        <v>9880</v>
      </c>
      <c r="M484">
        <v>1</v>
      </c>
      <c r="N484">
        <v>0</v>
      </c>
      <c r="O484">
        <v>0</v>
      </c>
      <c r="P484">
        <v>0</v>
      </c>
      <c r="Q484" s="22">
        <v>29400</v>
      </c>
      <c r="R484">
        <v>3</v>
      </c>
      <c r="S484" s="1">
        <v>0</v>
      </c>
      <c r="T484">
        <v>0</v>
      </c>
      <c r="U484">
        <v>0</v>
      </c>
      <c r="V484" s="21">
        <v>14700</v>
      </c>
      <c r="W484">
        <v>23</v>
      </c>
      <c r="X484">
        <v>0</v>
      </c>
      <c r="Y484">
        <v>0</v>
      </c>
      <c r="Z484">
        <v>0</v>
      </c>
      <c r="AA484">
        <v>1</v>
      </c>
      <c r="AL484" s="3"/>
      <c r="AM484" s="1"/>
    </row>
    <row r="485" spans="1:39" ht="14.25" x14ac:dyDescent="0.2">
      <c r="A485" s="11">
        <v>10502</v>
      </c>
      <c r="B485" t="s">
        <v>131</v>
      </c>
      <c r="C485" t="s">
        <v>125</v>
      </c>
      <c r="D485" t="s">
        <v>121</v>
      </c>
      <c r="E485" t="s">
        <v>136</v>
      </c>
      <c r="F485" s="6" t="s">
        <v>878</v>
      </c>
      <c r="H485">
        <v>2</v>
      </c>
      <c r="I485" s="1">
        <v>0</v>
      </c>
      <c r="J485">
        <v>0</v>
      </c>
      <c r="K485">
        <v>0</v>
      </c>
      <c r="L485" s="20">
        <v>9880</v>
      </c>
      <c r="M485">
        <v>1</v>
      </c>
      <c r="N485">
        <v>0</v>
      </c>
      <c r="O485">
        <v>0</v>
      </c>
      <c r="P485">
        <v>0</v>
      </c>
      <c r="Q485" s="22">
        <v>29400</v>
      </c>
      <c r="R485">
        <v>3</v>
      </c>
      <c r="S485" s="1">
        <v>0</v>
      </c>
      <c r="T485">
        <v>0</v>
      </c>
      <c r="U485">
        <v>0</v>
      </c>
      <c r="V485" s="21">
        <v>14700</v>
      </c>
      <c r="W485">
        <v>6</v>
      </c>
      <c r="X485">
        <v>1</v>
      </c>
      <c r="Y485">
        <v>0</v>
      </c>
      <c r="Z485">
        <v>3</v>
      </c>
      <c r="AA485">
        <v>10</v>
      </c>
      <c r="AL485" s="3"/>
      <c r="AM485" s="1"/>
    </row>
    <row r="486" spans="1:39" ht="14.25" x14ac:dyDescent="0.2">
      <c r="A486" s="11">
        <v>10503</v>
      </c>
      <c r="B486" t="s">
        <v>180</v>
      </c>
      <c r="C486" t="s">
        <v>121</v>
      </c>
      <c r="D486" t="s">
        <v>121</v>
      </c>
      <c r="E486" t="s">
        <v>121</v>
      </c>
      <c r="F486" s="6" t="s">
        <v>880</v>
      </c>
      <c r="H486">
        <v>2</v>
      </c>
      <c r="I486" s="1">
        <v>0</v>
      </c>
      <c r="J486">
        <v>0</v>
      </c>
      <c r="K486">
        <v>0</v>
      </c>
      <c r="L486" s="20">
        <v>9880</v>
      </c>
      <c r="M486">
        <v>1</v>
      </c>
      <c r="N486">
        <v>0</v>
      </c>
      <c r="O486">
        <v>0</v>
      </c>
      <c r="P486">
        <v>0</v>
      </c>
      <c r="Q486" s="22">
        <v>29640</v>
      </c>
      <c r="R486">
        <v>3</v>
      </c>
      <c r="S486" s="1">
        <v>0</v>
      </c>
      <c r="T486">
        <v>0</v>
      </c>
      <c r="U486">
        <v>0</v>
      </c>
      <c r="V486" s="21">
        <v>14820</v>
      </c>
      <c r="W486">
        <v>15</v>
      </c>
      <c r="X486">
        <v>0</v>
      </c>
      <c r="Y486">
        <v>0</v>
      </c>
      <c r="Z486">
        <v>0</v>
      </c>
      <c r="AA486">
        <v>1</v>
      </c>
      <c r="AL486" s="3"/>
      <c r="AM486" s="1"/>
    </row>
    <row r="487" spans="1:39" ht="14.25" x14ac:dyDescent="0.2">
      <c r="A487" s="11">
        <v>10504</v>
      </c>
      <c r="B487" t="s">
        <v>178</v>
      </c>
      <c r="C487" t="s">
        <v>121</v>
      </c>
      <c r="D487" t="s">
        <v>121</v>
      </c>
      <c r="E487" t="s">
        <v>121</v>
      </c>
      <c r="F487" s="6" t="s">
        <v>880</v>
      </c>
      <c r="H487">
        <v>2</v>
      </c>
      <c r="I487" s="1">
        <v>0</v>
      </c>
      <c r="J487">
        <v>0</v>
      </c>
      <c r="K487">
        <v>0</v>
      </c>
      <c r="L487" s="20">
        <v>9880</v>
      </c>
      <c r="M487">
        <v>1</v>
      </c>
      <c r="N487">
        <v>0</v>
      </c>
      <c r="O487">
        <v>0</v>
      </c>
      <c r="P487">
        <v>0</v>
      </c>
      <c r="Q487" s="22">
        <v>29640</v>
      </c>
      <c r="R487">
        <v>3</v>
      </c>
      <c r="S487" s="1">
        <v>0</v>
      </c>
      <c r="T487">
        <v>0</v>
      </c>
      <c r="U487">
        <v>0</v>
      </c>
      <c r="V487" s="21">
        <v>14820</v>
      </c>
      <c r="W487">
        <v>21</v>
      </c>
      <c r="X487">
        <v>0</v>
      </c>
      <c r="Y487">
        <v>0</v>
      </c>
      <c r="Z487">
        <v>0</v>
      </c>
      <c r="AA487">
        <v>1</v>
      </c>
      <c r="AL487" s="3"/>
      <c r="AM487" s="1"/>
    </row>
    <row r="488" spans="1:39" ht="14.25" x14ac:dyDescent="0.2">
      <c r="A488" s="11">
        <v>10505</v>
      </c>
      <c r="B488" t="s">
        <v>130</v>
      </c>
      <c r="C488" t="s">
        <v>121</v>
      </c>
      <c r="D488" t="s">
        <v>121</v>
      </c>
      <c r="E488" t="s">
        <v>121</v>
      </c>
      <c r="F488" s="6" t="s">
        <v>882</v>
      </c>
      <c r="H488">
        <v>2</v>
      </c>
      <c r="I488" s="1">
        <v>0</v>
      </c>
      <c r="J488">
        <v>0</v>
      </c>
      <c r="K488">
        <v>0</v>
      </c>
      <c r="L488" s="20">
        <v>9880</v>
      </c>
      <c r="M488">
        <v>1</v>
      </c>
      <c r="N488">
        <v>0</v>
      </c>
      <c r="O488">
        <v>0</v>
      </c>
      <c r="P488">
        <v>0</v>
      </c>
      <c r="Q488" s="22">
        <v>29640</v>
      </c>
      <c r="R488">
        <v>3</v>
      </c>
      <c r="S488" s="1">
        <v>0</v>
      </c>
      <c r="T488">
        <v>0</v>
      </c>
      <c r="U488">
        <v>0</v>
      </c>
      <c r="V488" s="21">
        <v>14820</v>
      </c>
      <c r="W488">
        <v>9</v>
      </c>
      <c r="X488">
        <v>0</v>
      </c>
      <c r="Y488">
        <v>0</v>
      </c>
      <c r="Z488">
        <v>0</v>
      </c>
      <c r="AA488">
        <v>10</v>
      </c>
      <c r="AL488" s="3"/>
      <c r="AM488" s="1"/>
    </row>
    <row r="489" spans="1:39" ht="14.25" x14ac:dyDescent="0.2">
      <c r="A489" s="11">
        <v>10506</v>
      </c>
      <c r="B489" t="s">
        <v>181</v>
      </c>
      <c r="C489" t="s">
        <v>121</v>
      </c>
      <c r="D489" t="s">
        <v>121</v>
      </c>
      <c r="E489" t="s">
        <v>121</v>
      </c>
      <c r="F489" s="6" t="s">
        <v>884</v>
      </c>
      <c r="H489">
        <v>2</v>
      </c>
      <c r="I489" s="1">
        <v>0</v>
      </c>
      <c r="J489">
        <v>0</v>
      </c>
      <c r="K489">
        <v>0</v>
      </c>
      <c r="L489" s="20">
        <v>9960</v>
      </c>
      <c r="M489">
        <v>1</v>
      </c>
      <c r="N489">
        <v>0</v>
      </c>
      <c r="O489">
        <v>0</v>
      </c>
      <c r="P489">
        <v>0</v>
      </c>
      <c r="Q489" s="22">
        <v>29640</v>
      </c>
      <c r="R489">
        <v>3</v>
      </c>
      <c r="S489" s="1">
        <v>0</v>
      </c>
      <c r="T489">
        <v>0</v>
      </c>
      <c r="U489">
        <v>0</v>
      </c>
      <c r="V489" s="21">
        <v>14820</v>
      </c>
      <c r="W489">
        <v>30</v>
      </c>
      <c r="X489">
        <v>0</v>
      </c>
      <c r="Y489">
        <v>0</v>
      </c>
      <c r="Z489">
        <v>0</v>
      </c>
      <c r="AA489">
        <v>10</v>
      </c>
      <c r="AL489" s="3"/>
      <c r="AM489" s="1"/>
    </row>
    <row r="490" spans="1:39" ht="14.25" x14ac:dyDescent="0.2">
      <c r="A490" s="11">
        <v>10507</v>
      </c>
      <c r="B490" t="s">
        <v>122</v>
      </c>
      <c r="C490" t="s">
        <v>121</v>
      </c>
      <c r="D490" t="s">
        <v>121</v>
      </c>
      <c r="E490" t="s">
        <v>121</v>
      </c>
      <c r="F490" s="6" t="s">
        <v>884</v>
      </c>
      <c r="H490">
        <v>2</v>
      </c>
      <c r="I490" s="1">
        <v>0</v>
      </c>
      <c r="J490">
        <v>0</v>
      </c>
      <c r="K490">
        <v>0</v>
      </c>
      <c r="L490" s="20">
        <v>9960</v>
      </c>
      <c r="M490">
        <v>1</v>
      </c>
      <c r="N490">
        <v>0</v>
      </c>
      <c r="O490">
        <v>0</v>
      </c>
      <c r="P490">
        <v>0</v>
      </c>
      <c r="Q490" s="22">
        <v>29640</v>
      </c>
      <c r="R490">
        <v>3</v>
      </c>
      <c r="S490" s="1">
        <v>0</v>
      </c>
      <c r="T490">
        <v>0</v>
      </c>
      <c r="U490">
        <v>0</v>
      </c>
      <c r="V490" s="21">
        <v>14820</v>
      </c>
      <c r="W490">
        <v>4</v>
      </c>
      <c r="X490">
        <v>0</v>
      </c>
      <c r="Y490">
        <v>0</v>
      </c>
      <c r="Z490">
        <v>0</v>
      </c>
      <c r="AA490">
        <v>10</v>
      </c>
      <c r="AL490" s="3"/>
      <c r="AM490" s="1"/>
    </row>
    <row r="491" spans="1:39" ht="14.25" x14ac:dyDescent="0.2">
      <c r="A491" s="11">
        <v>10508</v>
      </c>
      <c r="B491" t="s">
        <v>178</v>
      </c>
      <c r="C491" t="s">
        <v>121</v>
      </c>
      <c r="D491" t="s">
        <v>121</v>
      </c>
      <c r="E491" t="s">
        <v>121</v>
      </c>
      <c r="F491" s="6" t="s">
        <v>886</v>
      </c>
      <c r="H491">
        <v>2</v>
      </c>
      <c r="I491" s="1">
        <v>0</v>
      </c>
      <c r="J491">
        <v>0</v>
      </c>
      <c r="K491">
        <v>0</v>
      </c>
      <c r="L491" s="20">
        <v>9960</v>
      </c>
      <c r="M491">
        <v>1</v>
      </c>
      <c r="N491">
        <v>0</v>
      </c>
      <c r="O491">
        <v>0</v>
      </c>
      <c r="P491">
        <v>0</v>
      </c>
      <c r="Q491" s="22">
        <v>29880</v>
      </c>
      <c r="R491">
        <v>3</v>
      </c>
      <c r="S491" s="1">
        <v>0</v>
      </c>
      <c r="T491">
        <v>0</v>
      </c>
      <c r="U491">
        <v>0</v>
      </c>
      <c r="V491" s="21">
        <v>14940</v>
      </c>
      <c r="W491">
        <v>21</v>
      </c>
      <c r="X491">
        <v>0</v>
      </c>
      <c r="Y491">
        <v>0</v>
      </c>
      <c r="Z491">
        <v>0</v>
      </c>
      <c r="AA491">
        <v>1</v>
      </c>
      <c r="AL491" s="3"/>
      <c r="AM491" s="1"/>
    </row>
    <row r="492" spans="1:39" ht="14.25" x14ac:dyDescent="0.2">
      <c r="A492" s="11">
        <v>10509</v>
      </c>
      <c r="B492" t="s">
        <v>130</v>
      </c>
      <c r="C492" t="s">
        <v>121</v>
      </c>
      <c r="D492" t="s">
        <v>121</v>
      </c>
      <c r="E492" t="s">
        <v>121</v>
      </c>
      <c r="F492" s="6" t="s">
        <v>888</v>
      </c>
      <c r="H492">
        <v>2</v>
      </c>
      <c r="I492" s="1">
        <v>0</v>
      </c>
      <c r="J492">
        <v>0</v>
      </c>
      <c r="K492">
        <v>0</v>
      </c>
      <c r="L492" s="20">
        <v>9960</v>
      </c>
      <c r="M492">
        <v>1</v>
      </c>
      <c r="N492">
        <v>0</v>
      </c>
      <c r="O492">
        <v>0</v>
      </c>
      <c r="P492">
        <v>0</v>
      </c>
      <c r="Q492" s="22">
        <v>29880</v>
      </c>
      <c r="R492">
        <v>3</v>
      </c>
      <c r="S492" s="1">
        <v>0</v>
      </c>
      <c r="T492">
        <v>0</v>
      </c>
      <c r="U492">
        <v>0</v>
      </c>
      <c r="V492" s="21">
        <v>14940</v>
      </c>
      <c r="W492">
        <v>9</v>
      </c>
      <c r="X492">
        <v>0</v>
      </c>
      <c r="Y492">
        <v>0</v>
      </c>
      <c r="Z492">
        <v>0</v>
      </c>
      <c r="AA492">
        <v>10</v>
      </c>
      <c r="AL492" s="3"/>
      <c r="AM492" s="1"/>
    </row>
    <row r="493" spans="1:39" ht="14.25" x14ac:dyDescent="0.2">
      <c r="A493" s="11">
        <v>10510</v>
      </c>
      <c r="B493" t="s">
        <v>123</v>
      </c>
      <c r="C493" t="s">
        <v>121</v>
      </c>
      <c r="D493" t="s">
        <v>121</v>
      </c>
      <c r="E493" t="s">
        <v>121</v>
      </c>
      <c r="F493" s="6" t="s">
        <v>888</v>
      </c>
      <c r="H493">
        <v>2</v>
      </c>
      <c r="I493" s="1">
        <v>0</v>
      </c>
      <c r="J493">
        <v>0</v>
      </c>
      <c r="K493">
        <v>0</v>
      </c>
      <c r="L493" s="20">
        <v>9960</v>
      </c>
      <c r="M493">
        <v>1</v>
      </c>
      <c r="N493">
        <v>0</v>
      </c>
      <c r="O493">
        <v>0</v>
      </c>
      <c r="P493">
        <v>0</v>
      </c>
      <c r="Q493" s="22">
        <v>29880</v>
      </c>
      <c r="R493">
        <v>3</v>
      </c>
      <c r="S493" s="1">
        <v>0</v>
      </c>
      <c r="T493">
        <v>0</v>
      </c>
      <c r="U493">
        <v>0</v>
      </c>
      <c r="V493" s="21">
        <v>14940</v>
      </c>
      <c r="W493">
        <v>12</v>
      </c>
      <c r="X493">
        <v>0</v>
      </c>
      <c r="Y493">
        <v>0</v>
      </c>
      <c r="Z493">
        <v>0</v>
      </c>
      <c r="AA493">
        <v>10</v>
      </c>
      <c r="AL493" s="3"/>
      <c r="AM493" s="1"/>
    </row>
    <row r="494" spans="1:39" ht="14.25" x14ac:dyDescent="0.2">
      <c r="A494" s="11">
        <v>10511</v>
      </c>
      <c r="B494" t="s">
        <v>126</v>
      </c>
      <c r="C494" t="s">
        <v>121</v>
      </c>
      <c r="D494" t="s">
        <v>121</v>
      </c>
      <c r="E494" t="s">
        <v>121</v>
      </c>
      <c r="F494" s="6" t="s">
        <v>890</v>
      </c>
      <c r="H494">
        <v>2</v>
      </c>
      <c r="I494" s="1">
        <v>0</v>
      </c>
      <c r="J494">
        <v>0</v>
      </c>
      <c r="K494">
        <v>0</v>
      </c>
      <c r="L494" s="20">
        <v>10040</v>
      </c>
      <c r="M494">
        <v>1</v>
      </c>
      <c r="N494">
        <v>0</v>
      </c>
      <c r="O494">
        <v>0</v>
      </c>
      <c r="P494">
        <v>0</v>
      </c>
      <c r="Q494" s="22">
        <v>29880</v>
      </c>
      <c r="R494">
        <v>3</v>
      </c>
      <c r="S494" s="1">
        <v>0</v>
      </c>
      <c r="T494">
        <v>0</v>
      </c>
      <c r="U494">
        <v>0</v>
      </c>
      <c r="V494" s="21">
        <v>14940</v>
      </c>
      <c r="W494">
        <v>23</v>
      </c>
      <c r="X494">
        <v>0</v>
      </c>
      <c r="Y494">
        <v>0</v>
      </c>
      <c r="Z494">
        <v>0</v>
      </c>
      <c r="AA494">
        <v>1</v>
      </c>
      <c r="AL494" s="3"/>
      <c r="AM494" s="1"/>
    </row>
    <row r="495" spans="1:39" ht="14.25" x14ac:dyDescent="0.2">
      <c r="A495" s="11">
        <v>10512</v>
      </c>
      <c r="B495" t="s">
        <v>131</v>
      </c>
      <c r="C495" t="s">
        <v>125</v>
      </c>
      <c r="D495" t="s">
        <v>121</v>
      </c>
      <c r="E495" t="s">
        <v>136</v>
      </c>
      <c r="F495" s="6" t="s">
        <v>892</v>
      </c>
      <c r="H495">
        <v>2</v>
      </c>
      <c r="I495" s="1">
        <v>0</v>
      </c>
      <c r="J495">
        <v>0</v>
      </c>
      <c r="K495">
        <v>0</v>
      </c>
      <c r="L495" s="20">
        <v>10040</v>
      </c>
      <c r="M495">
        <v>1</v>
      </c>
      <c r="N495">
        <v>0</v>
      </c>
      <c r="O495">
        <v>0</v>
      </c>
      <c r="P495">
        <v>0</v>
      </c>
      <c r="Q495" s="22">
        <v>29880</v>
      </c>
      <c r="R495">
        <v>3</v>
      </c>
      <c r="S495" s="1">
        <v>0</v>
      </c>
      <c r="T495">
        <v>0</v>
      </c>
      <c r="U495">
        <v>0</v>
      </c>
      <c r="V495" s="21">
        <v>14940</v>
      </c>
      <c r="W495">
        <v>6</v>
      </c>
      <c r="X495">
        <v>1</v>
      </c>
      <c r="Y495">
        <v>0</v>
      </c>
      <c r="Z495">
        <v>3</v>
      </c>
      <c r="AA495">
        <v>10</v>
      </c>
      <c r="AL495" s="3"/>
      <c r="AM495" s="1"/>
    </row>
    <row r="496" spans="1:39" ht="14.25" x14ac:dyDescent="0.2">
      <c r="A496" s="11">
        <v>10513</v>
      </c>
      <c r="B496" t="s">
        <v>180</v>
      </c>
      <c r="C496" t="s">
        <v>121</v>
      </c>
      <c r="D496" t="s">
        <v>121</v>
      </c>
      <c r="E496" t="s">
        <v>121</v>
      </c>
      <c r="F496" s="6" t="s">
        <v>894</v>
      </c>
      <c r="H496">
        <v>2</v>
      </c>
      <c r="I496" s="1">
        <v>0</v>
      </c>
      <c r="J496">
        <v>0</v>
      </c>
      <c r="K496">
        <v>0</v>
      </c>
      <c r="L496" s="20">
        <v>10040</v>
      </c>
      <c r="M496">
        <v>1</v>
      </c>
      <c r="N496">
        <v>0</v>
      </c>
      <c r="O496">
        <v>0</v>
      </c>
      <c r="P496">
        <v>0</v>
      </c>
      <c r="Q496" s="22">
        <v>30120</v>
      </c>
      <c r="R496">
        <v>3</v>
      </c>
      <c r="S496" s="1">
        <v>0</v>
      </c>
      <c r="T496">
        <v>0</v>
      </c>
      <c r="U496">
        <v>0</v>
      </c>
      <c r="V496" s="21">
        <v>15060</v>
      </c>
      <c r="W496">
        <v>15</v>
      </c>
      <c r="X496">
        <v>0</v>
      </c>
      <c r="Y496">
        <v>0</v>
      </c>
      <c r="Z496">
        <v>0</v>
      </c>
      <c r="AA496">
        <v>1</v>
      </c>
      <c r="AL496" s="3"/>
      <c r="AM496" s="1"/>
    </row>
    <row r="497" spans="1:39" ht="14.25" x14ac:dyDescent="0.2">
      <c r="A497" s="11">
        <v>10514</v>
      </c>
      <c r="B497" t="s">
        <v>178</v>
      </c>
      <c r="C497" t="s">
        <v>121</v>
      </c>
      <c r="D497" t="s">
        <v>121</v>
      </c>
      <c r="E497" t="s">
        <v>121</v>
      </c>
      <c r="F497" s="6" t="s">
        <v>894</v>
      </c>
      <c r="H497">
        <v>2</v>
      </c>
      <c r="I497" s="1">
        <v>0</v>
      </c>
      <c r="J497">
        <v>0</v>
      </c>
      <c r="K497">
        <v>0</v>
      </c>
      <c r="L497" s="20">
        <v>10040</v>
      </c>
      <c r="M497">
        <v>1</v>
      </c>
      <c r="N497">
        <v>0</v>
      </c>
      <c r="O497">
        <v>0</v>
      </c>
      <c r="P497">
        <v>0</v>
      </c>
      <c r="Q497" s="22">
        <v>30120</v>
      </c>
      <c r="R497">
        <v>3</v>
      </c>
      <c r="S497" s="1">
        <v>0</v>
      </c>
      <c r="T497">
        <v>0</v>
      </c>
      <c r="U497">
        <v>0</v>
      </c>
      <c r="V497" s="21">
        <v>15060</v>
      </c>
      <c r="W497">
        <v>21</v>
      </c>
      <c r="X497">
        <v>0</v>
      </c>
      <c r="Y497">
        <v>0</v>
      </c>
      <c r="Z497">
        <v>0</v>
      </c>
      <c r="AA497">
        <v>1</v>
      </c>
      <c r="AL497" s="3"/>
      <c r="AM497" s="1"/>
    </row>
    <row r="498" spans="1:39" ht="14.25" x14ac:dyDescent="0.2">
      <c r="A498" s="11">
        <v>10515</v>
      </c>
      <c r="B498" t="s">
        <v>130</v>
      </c>
      <c r="C498" t="s">
        <v>121</v>
      </c>
      <c r="D498" t="s">
        <v>121</v>
      </c>
      <c r="E498" t="s">
        <v>121</v>
      </c>
      <c r="F498" s="6" t="s">
        <v>896</v>
      </c>
      <c r="H498">
        <v>2</v>
      </c>
      <c r="I498" s="1">
        <v>0</v>
      </c>
      <c r="J498">
        <v>0</v>
      </c>
      <c r="K498">
        <v>0</v>
      </c>
      <c r="L498" s="20">
        <v>10040</v>
      </c>
      <c r="M498">
        <v>1</v>
      </c>
      <c r="N498">
        <v>0</v>
      </c>
      <c r="O498">
        <v>0</v>
      </c>
      <c r="P498">
        <v>0</v>
      </c>
      <c r="Q498" s="22">
        <v>30120</v>
      </c>
      <c r="R498">
        <v>3</v>
      </c>
      <c r="S498" s="1">
        <v>0</v>
      </c>
      <c r="T498">
        <v>0</v>
      </c>
      <c r="U498">
        <v>0</v>
      </c>
      <c r="V498" s="21">
        <v>15060</v>
      </c>
      <c r="W498">
        <v>9</v>
      </c>
      <c r="X498">
        <v>0</v>
      </c>
      <c r="Y498">
        <v>0</v>
      </c>
      <c r="Z498">
        <v>0</v>
      </c>
      <c r="AA498">
        <v>10</v>
      </c>
      <c r="AL498" s="3"/>
      <c r="AM498" s="1"/>
    </row>
    <row r="499" spans="1:39" ht="14.25" x14ac:dyDescent="0.2">
      <c r="A499" s="11">
        <v>10516</v>
      </c>
      <c r="B499" t="s">
        <v>181</v>
      </c>
      <c r="C499" t="s">
        <v>121</v>
      </c>
      <c r="D499" t="s">
        <v>121</v>
      </c>
      <c r="E499" t="s">
        <v>121</v>
      </c>
      <c r="F499" s="6" t="s">
        <v>898</v>
      </c>
      <c r="H499">
        <v>2</v>
      </c>
      <c r="I499" s="1">
        <v>0</v>
      </c>
      <c r="J499">
        <v>0</v>
      </c>
      <c r="K499">
        <v>0</v>
      </c>
      <c r="L499" s="20">
        <v>10120</v>
      </c>
      <c r="M499">
        <v>1</v>
      </c>
      <c r="N499">
        <v>0</v>
      </c>
      <c r="O499">
        <v>0</v>
      </c>
      <c r="P499">
        <v>0</v>
      </c>
      <c r="Q499" s="22">
        <v>30120</v>
      </c>
      <c r="R499">
        <v>3</v>
      </c>
      <c r="S499" s="1">
        <v>0</v>
      </c>
      <c r="T499">
        <v>0</v>
      </c>
      <c r="U499">
        <v>0</v>
      </c>
      <c r="V499" s="21">
        <v>15060</v>
      </c>
      <c r="W499">
        <v>30</v>
      </c>
      <c r="X499">
        <v>0</v>
      </c>
      <c r="Y499">
        <v>0</v>
      </c>
      <c r="Z499">
        <v>0</v>
      </c>
      <c r="AA499">
        <v>10</v>
      </c>
    </row>
    <row r="500" spans="1:39" ht="14.25" x14ac:dyDescent="0.2">
      <c r="A500" s="11">
        <v>10517</v>
      </c>
      <c r="B500" t="s">
        <v>122</v>
      </c>
      <c r="C500" t="s">
        <v>121</v>
      </c>
      <c r="D500" t="s">
        <v>121</v>
      </c>
      <c r="E500" t="s">
        <v>121</v>
      </c>
      <c r="F500" s="6" t="s">
        <v>898</v>
      </c>
      <c r="H500">
        <v>2</v>
      </c>
      <c r="I500" s="1">
        <v>0</v>
      </c>
      <c r="J500">
        <v>0</v>
      </c>
      <c r="K500">
        <v>0</v>
      </c>
      <c r="L500" s="20">
        <v>10120</v>
      </c>
      <c r="M500">
        <v>1</v>
      </c>
      <c r="N500">
        <v>0</v>
      </c>
      <c r="O500">
        <v>0</v>
      </c>
      <c r="P500">
        <v>0</v>
      </c>
      <c r="Q500" s="22">
        <v>30120</v>
      </c>
      <c r="R500">
        <v>3</v>
      </c>
      <c r="S500" s="1">
        <v>0</v>
      </c>
      <c r="T500">
        <v>0</v>
      </c>
      <c r="U500">
        <v>0</v>
      </c>
      <c r="V500" s="21">
        <v>15060</v>
      </c>
      <c r="W500">
        <v>4</v>
      </c>
      <c r="X500">
        <v>0</v>
      </c>
      <c r="Y500">
        <v>0</v>
      </c>
      <c r="Z500">
        <v>0</v>
      </c>
      <c r="AA500">
        <v>10</v>
      </c>
    </row>
    <row r="501" spans="1:39" ht="14.25" x14ac:dyDescent="0.2">
      <c r="A501" s="11">
        <v>10518</v>
      </c>
      <c r="B501" t="s">
        <v>178</v>
      </c>
      <c r="C501" t="s">
        <v>121</v>
      </c>
      <c r="D501" t="s">
        <v>121</v>
      </c>
      <c r="E501" t="s">
        <v>121</v>
      </c>
      <c r="F501" s="6" t="s">
        <v>900</v>
      </c>
      <c r="H501">
        <v>2</v>
      </c>
      <c r="I501" s="1">
        <v>0</v>
      </c>
      <c r="J501">
        <v>0</v>
      </c>
      <c r="K501">
        <v>0</v>
      </c>
      <c r="L501" s="20">
        <v>10120</v>
      </c>
      <c r="M501">
        <v>1</v>
      </c>
      <c r="N501">
        <v>0</v>
      </c>
      <c r="O501">
        <v>0</v>
      </c>
      <c r="P501">
        <v>0</v>
      </c>
      <c r="Q501" s="22">
        <v>30360</v>
      </c>
      <c r="R501">
        <v>3</v>
      </c>
      <c r="S501" s="1">
        <v>0</v>
      </c>
      <c r="T501">
        <v>0</v>
      </c>
      <c r="U501">
        <v>0</v>
      </c>
      <c r="V501" s="21">
        <v>15180</v>
      </c>
      <c r="W501">
        <v>21</v>
      </c>
      <c r="X501">
        <v>0</v>
      </c>
      <c r="Y501">
        <v>0</v>
      </c>
      <c r="Z501">
        <v>0</v>
      </c>
      <c r="AA501">
        <v>1</v>
      </c>
    </row>
    <row r="502" spans="1:39" ht="14.25" x14ac:dyDescent="0.2">
      <c r="A502" s="11">
        <v>10519</v>
      </c>
      <c r="B502" t="s">
        <v>130</v>
      </c>
      <c r="C502" t="s">
        <v>121</v>
      </c>
      <c r="D502" t="s">
        <v>121</v>
      </c>
      <c r="E502" t="s">
        <v>121</v>
      </c>
      <c r="F502" s="6" t="s">
        <v>902</v>
      </c>
      <c r="H502">
        <v>2</v>
      </c>
      <c r="I502" s="1">
        <v>0</v>
      </c>
      <c r="J502">
        <v>0</v>
      </c>
      <c r="K502">
        <v>0</v>
      </c>
      <c r="L502" s="20">
        <v>10120</v>
      </c>
      <c r="M502">
        <v>1</v>
      </c>
      <c r="N502">
        <v>0</v>
      </c>
      <c r="O502">
        <v>0</v>
      </c>
      <c r="P502">
        <v>0</v>
      </c>
      <c r="Q502" s="22">
        <v>30360</v>
      </c>
      <c r="R502">
        <v>3</v>
      </c>
      <c r="S502" s="1">
        <v>0</v>
      </c>
      <c r="T502">
        <v>0</v>
      </c>
      <c r="U502">
        <v>0</v>
      </c>
      <c r="V502" s="21">
        <v>15180</v>
      </c>
      <c r="W502">
        <v>9</v>
      </c>
      <c r="X502">
        <v>0</v>
      </c>
      <c r="Y502">
        <v>0</v>
      </c>
      <c r="Z502">
        <v>0</v>
      </c>
      <c r="AA502">
        <v>10</v>
      </c>
    </row>
    <row r="503" spans="1:39" ht="14.25" x14ac:dyDescent="0.2">
      <c r="A503" s="11">
        <v>10520</v>
      </c>
      <c r="B503" t="s">
        <v>123</v>
      </c>
      <c r="C503" t="s">
        <v>121</v>
      </c>
      <c r="D503" t="s">
        <v>121</v>
      </c>
      <c r="E503" t="s">
        <v>121</v>
      </c>
      <c r="F503" s="6" t="s">
        <v>902</v>
      </c>
      <c r="H503">
        <v>2</v>
      </c>
      <c r="I503" s="1">
        <v>0</v>
      </c>
      <c r="J503">
        <v>0</v>
      </c>
      <c r="K503">
        <v>0</v>
      </c>
      <c r="L503" s="20">
        <v>10120</v>
      </c>
      <c r="M503">
        <v>1</v>
      </c>
      <c r="N503">
        <v>0</v>
      </c>
      <c r="O503">
        <v>0</v>
      </c>
      <c r="P503">
        <v>0</v>
      </c>
      <c r="Q503" s="22">
        <v>30360</v>
      </c>
      <c r="R503">
        <v>3</v>
      </c>
      <c r="S503" s="1">
        <v>0</v>
      </c>
      <c r="T503">
        <v>0</v>
      </c>
      <c r="U503">
        <v>0</v>
      </c>
      <c r="V503" s="21">
        <v>15180</v>
      </c>
      <c r="W503">
        <v>12</v>
      </c>
      <c r="X503">
        <v>0</v>
      </c>
      <c r="Y503">
        <v>0</v>
      </c>
      <c r="Z503">
        <v>0</v>
      </c>
      <c r="AA503">
        <v>10</v>
      </c>
    </row>
    <row r="504" spans="1:39" ht="14.25" x14ac:dyDescent="0.2">
      <c r="A504" s="11">
        <v>10521</v>
      </c>
      <c r="B504" t="s">
        <v>126</v>
      </c>
      <c r="C504" t="s">
        <v>121</v>
      </c>
      <c r="D504" t="s">
        <v>121</v>
      </c>
      <c r="E504" t="s">
        <v>121</v>
      </c>
      <c r="F504" s="6" t="s">
        <v>904</v>
      </c>
      <c r="H504">
        <v>2</v>
      </c>
      <c r="I504" s="1">
        <v>0</v>
      </c>
      <c r="J504">
        <v>0</v>
      </c>
      <c r="K504">
        <v>0</v>
      </c>
      <c r="L504" s="20">
        <v>10200</v>
      </c>
      <c r="M504">
        <v>1</v>
      </c>
      <c r="N504">
        <v>0</v>
      </c>
      <c r="O504">
        <v>0</v>
      </c>
      <c r="P504">
        <v>0</v>
      </c>
      <c r="Q504" s="22">
        <v>30360</v>
      </c>
      <c r="R504">
        <v>3</v>
      </c>
      <c r="S504" s="1">
        <v>0</v>
      </c>
      <c r="T504">
        <v>0</v>
      </c>
      <c r="U504">
        <v>0</v>
      </c>
      <c r="V504" s="21">
        <v>15180</v>
      </c>
      <c r="W504">
        <v>23</v>
      </c>
      <c r="X504">
        <v>0</v>
      </c>
      <c r="Y504">
        <v>0</v>
      </c>
      <c r="Z504">
        <v>0</v>
      </c>
      <c r="AA504">
        <v>1</v>
      </c>
    </row>
    <row r="505" spans="1:39" ht="14.25" x14ac:dyDescent="0.2">
      <c r="A505" s="11">
        <v>10522</v>
      </c>
      <c r="B505" t="s">
        <v>131</v>
      </c>
      <c r="C505" t="s">
        <v>125</v>
      </c>
      <c r="D505" t="s">
        <v>121</v>
      </c>
      <c r="E505" t="s">
        <v>136</v>
      </c>
      <c r="F505" s="6" t="s">
        <v>906</v>
      </c>
      <c r="H505">
        <v>2</v>
      </c>
      <c r="I505" s="1">
        <v>0</v>
      </c>
      <c r="J505">
        <v>0</v>
      </c>
      <c r="K505">
        <v>0</v>
      </c>
      <c r="L505" s="20">
        <v>10200</v>
      </c>
      <c r="M505">
        <v>1</v>
      </c>
      <c r="N505">
        <v>0</v>
      </c>
      <c r="O505">
        <v>0</v>
      </c>
      <c r="P505">
        <v>0</v>
      </c>
      <c r="Q505" s="22">
        <v>30360</v>
      </c>
      <c r="R505">
        <v>3</v>
      </c>
      <c r="S505" s="1">
        <v>0</v>
      </c>
      <c r="T505">
        <v>0</v>
      </c>
      <c r="U505">
        <v>0</v>
      </c>
      <c r="V505" s="21">
        <v>15180</v>
      </c>
      <c r="W505">
        <v>6</v>
      </c>
      <c r="X505">
        <v>1</v>
      </c>
      <c r="Y505">
        <v>0</v>
      </c>
      <c r="Z505">
        <v>3</v>
      </c>
      <c r="AA505">
        <v>10</v>
      </c>
    </row>
    <row r="506" spans="1:39" ht="14.25" x14ac:dyDescent="0.2">
      <c r="A506" s="11">
        <v>10523</v>
      </c>
      <c r="B506" t="s">
        <v>180</v>
      </c>
      <c r="C506" t="s">
        <v>121</v>
      </c>
      <c r="D506" t="s">
        <v>121</v>
      </c>
      <c r="E506" t="s">
        <v>121</v>
      </c>
      <c r="F506" s="6" t="s">
        <v>908</v>
      </c>
      <c r="H506">
        <v>2</v>
      </c>
      <c r="I506" s="1">
        <v>0</v>
      </c>
      <c r="J506">
        <v>0</v>
      </c>
      <c r="K506">
        <v>0</v>
      </c>
      <c r="L506" s="20">
        <v>10200</v>
      </c>
      <c r="M506">
        <v>1</v>
      </c>
      <c r="N506">
        <v>0</v>
      </c>
      <c r="O506">
        <v>0</v>
      </c>
      <c r="P506">
        <v>0</v>
      </c>
      <c r="Q506" s="22">
        <v>30600</v>
      </c>
      <c r="R506">
        <v>3</v>
      </c>
      <c r="S506" s="1">
        <v>0</v>
      </c>
      <c r="T506">
        <v>0</v>
      </c>
      <c r="U506">
        <v>0</v>
      </c>
      <c r="V506" s="21">
        <v>15300</v>
      </c>
      <c r="W506">
        <v>15</v>
      </c>
      <c r="X506">
        <v>0</v>
      </c>
      <c r="Y506">
        <v>0</v>
      </c>
      <c r="Z506">
        <v>0</v>
      </c>
      <c r="AA506">
        <v>1</v>
      </c>
    </row>
    <row r="507" spans="1:39" ht="14.25" x14ac:dyDescent="0.2">
      <c r="A507" s="11">
        <v>10524</v>
      </c>
      <c r="B507" t="s">
        <v>178</v>
      </c>
      <c r="C507" t="s">
        <v>121</v>
      </c>
      <c r="D507" t="s">
        <v>121</v>
      </c>
      <c r="E507" t="s">
        <v>121</v>
      </c>
      <c r="F507" s="6" t="s">
        <v>908</v>
      </c>
      <c r="H507">
        <v>2</v>
      </c>
      <c r="I507" s="1">
        <v>0</v>
      </c>
      <c r="J507">
        <v>0</v>
      </c>
      <c r="K507">
        <v>0</v>
      </c>
      <c r="L507" s="20">
        <v>10200</v>
      </c>
      <c r="M507">
        <v>1</v>
      </c>
      <c r="N507">
        <v>0</v>
      </c>
      <c r="O507">
        <v>0</v>
      </c>
      <c r="P507">
        <v>0</v>
      </c>
      <c r="Q507" s="22">
        <v>30600</v>
      </c>
      <c r="R507">
        <v>3</v>
      </c>
      <c r="S507" s="1">
        <v>0</v>
      </c>
      <c r="T507">
        <v>0</v>
      </c>
      <c r="U507">
        <v>0</v>
      </c>
      <c r="V507" s="21">
        <v>15300</v>
      </c>
      <c r="W507">
        <v>21</v>
      </c>
      <c r="X507">
        <v>0</v>
      </c>
      <c r="Y507">
        <v>0</v>
      </c>
      <c r="Z507">
        <v>0</v>
      </c>
      <c r="AA507">
        <v>1</v>
      </c>
    </row>
    <row r="508" spans="1:39" ht="14.25" x14ac:dyDescent="0.2">
      <c r="A508" s="11">
        <v>10525</v>
      </c>
      <c r="B508" t="s">
        <v>130</v>
      </c>
      <c r="C508" t="s">
        <v>121</v>
      </c>
      <c r="D508" t="s">
        <v>121</v>
      </c>
      <c r="E508" t="s">
        <v>121</v>
      </c>
      <c r="F508" s="6" t="s">
        <v>910</v>
      </c>
      <c r="H508">
        <v>2</v>
      </c>
      <c r="I508" s="1">
        <v>0</v>
      </c>
      <c r="J508">
        <v>0</v>
      </c>
      <c r="K508">
        <v>0</v>
      </c>
      <c r="L508" s="20">
        <v>10200</v>
      </c>
      <c r="M508">
        <v>1</v>
      </c>
      <c r="N508">
        <v>0</v>
      </c>
      <c r="O508">
        <v>0</v>
      </c>
      <c r="P508">
        <v>0</v>
      </c>
      <c r="Q508" s="22">
        <v>30600</v>
      </c>
      <c r="R508">
        <v>3</v>
      </c>
      <c r="S508" s="1">
        <v>0</v>
      </c>
      <c r="T508">
        <v>0</v>
      </c>
      <c r="U508">
        <v>0</v>
      </c>
      <c r="V508" s="21">
        <v>15300</v>
      </c>
      <c r="W508">
        <v>9</v>
      </c>
      <c r="X508">
        <v>0</v>
      </c>
      <c r="Y508">
        <v>0</v>
      </c>
      <c r="Z508">
        <v>0</v>
      </c>
      <c r="AA508">
        <v>10</v>
      </c>
    </row>
    <row r="509" spans="1:39" ht="14.25" x14ac:dyDescent="0.2">
      <c r="A509" s="11">
        <v>10526</v>
      </c>
      <c r="B509" t="s">
        <v>181</v>
      </c>
      <c r="C509" t="s">
        <v>121</v>
      </c>
      <c r="D509" t="s">
        <v>121</v>
      </c>
      <c r="E509" t="s">
        <v>121</v>
      </c>
      <c r="F509" s="6" t="s">
        <v>912</v>
      </c>
      <c r="H509">
        <v>2</v>
      </c>
      <c r="I509" s="1">
        <v>0</v>
      </c>
      <c r="J509">
        <v>0</v>
      </c>
      <c r="K509">
        <v>0</v>
      </c>
      <c r="L509" s="20">
        <v>10280</v>
      </c>
      <c r="M509">
        <v>1</v>
      </c>
      <c r="N509">
        <v>0</v>
      </c>
      <c r="O509">
        <v>0</v>
      </c>
      <c r="P509">
        <v>0</v>
      </c>
      <c r="Q509" s="22">
        <v>30600</v>
      </c>
      <c r="R509">
        <v>3</v>
      </c>
      <c r="S509" s="1">
        <v>0</v>
      </c>
      <c r="T509">
        <v>0</v>
      </c>
      <c r="U509">
        <v>0</v>
      </c>
      <c r="V509" s="21">
        <v>15300</v>
      </c>
      <c r="W509">
        <v>30</v>
      </c>
      <c r="X509">
        <v>0</v>
      </c>
      <c r="Y509">
        <v>0</v>
      </c>
      <c r="Z509">
        <v>0</v>
      </c>
      <c r="AA509">
        <v>10</v>
      </c>
    </row>
    <row r="510" spans="1:39" ht="14.25" x14ac:dyDescent="0.2">
      <c r="A510" s="11">
        <v>10527</v>
      </c>
      <c r="B510" t="s">
        <v>122</v>
      </c>
      <c r="C510" t="s">
        <v>121</v>
      </c>
      <c r="D510" t="s">
        <v>121</v>
      </c>
      <c r="E510" t="s">
        <v>121</v>
      </c>
      <c r="F510" s="6" t="s">
        <v>912</v>
      </c>
      <c r="H510">
        <v>2</v>
      </c>
      <c r="I510" s="1">
        <v>0</v>
      </c>
      <c r="J510">
        <v>0</v>
      </c>
      <c r="K510">
        <v>0</v>
      </c>
      <c r="L510" s="20">
        <v>10280</v>
      </c>
      <c r="M510">
        <v>1</v>
      </c>
      <c r="N510">
        <v>0</v>
      </c>
      <c r="O510">
        <v>0</v>
      </c>
      <c r="P510">
        <v>0</v>
      </c>
      <c r="Q510" s="22">
        <v>30600</v>
      </c>
      <c r="R510">
        <v>3</v>
      </c>
      <c r="S510" s="1">
        <v>0</v>
      </c>
      <c r="T510">
        <v>0</v>
      </c>
      <c r="U510">
        <v>0</v>
      </c>
      <c r="V510" s="21">
        <v>15300</v>
      </c>
      <c r="W510">
        <v>4</v>
      </c>
      <c r="X510">
        <v>0</v>
      </c>
      <c r="Y510">
        <v>0</v>
      </c>
      <c r="Z510">
        <v>0</v>
      </c>
      <c r="AA510">
        <v>10</v>
      </c>
    </row>
    <row r="511" spans="1:39" ht="14.25" x14ac:dyDescent="0.2">
      <c r="A511" s="11">
        <v>10528</v>
      </c>
      <c r="B511" t="s">
        <v>178</v>
      </c>
      <c r="C511" t="s">
        <v>121</v>
      </c>
      <c r="D511" t="s">
        <v>121</v>
      </c>
      <c r="E511" t="s">
        <v>121</v>
      </c>
      <c r="F511" s="6" t="s">
        <v>914</v>
      </c>
      <c r="H511">
        <v>2</v>
      </c>
      <c r="I511" s="1">
        <v>0</v>
      </c>
      <c r="J511">
        <v>0</v>
      </c>
      <c r="K511">
        <v>0</v>
      </c>
      <c r="L511" s="20">
        <v>10280</v>
      </c>
      <c r="M511">
        <v>1</v>
      </c>
      <c r="N511">
        <v>0</v>
      </c>
      <c r="O511">
        <v>0</v>
      </c>
      <c r="P511">
        <v>0</v>
      </c>
      <c r="Q511" s="22">
        <v>30840</v>
      </c>
      <c r="R511">
        <v>3</v>
      </c>
      <c r="S511" s="1">
        <v>0</v>
      </c>
      <c r="T511">
        <v>0</v>
      </c>
      <c r="U511">
        <v>0</v>
      </c>
      <c r="V511" s="21">
        <v>15420</v>
      </c>
      <c r="W511">
        <v>21</v>
      </c>
      <c r="X511">
        <v>0</v>
      </c>
      <c r="Y511">
        <v>0</v>
      </c>
      <c r="Z511">
        <v>0</v>
      </c>
      <c r="AA511">
        <v>1</v>
      </c>
    </row>
    <row r="512" spans="1:39" ht="14.25" x14ac:dyDescent="0.2">
      <c r="A512" s="11">
        <v>10529</v>
      </c>
      <c r="B512" t="s">
        <v>130</v>
      </c>
      <c r="C512" t="s">
        <v>121</v>
      </c>
      <c r="D512" t="s">
        <v>121</v>
      </c>
      <c r="E512" t="s">
        <v>121</v>
      </c>
      <c r="F512" s="6" t="s">
        <v>916</v>
      </c>
      <c r="H512">
        <v>2</v>
      </c>
      <c r="I512" s="1">
        <v>0</v>
      </c>
      <c r="J512">
        <v>0</v>
      </c>
      <c r="K512">
        <v>0</v>
      </c>
      <c r="L512" s="20">
        <v>10280</v>
      </c>
      <c r="M512">
        <v>1</v>
      </c>
      <c r="N512">
        <v>0</v>
      </c>
      <c r="O512">
        <v>0</v>
      </c>
      <c r="P512">
        <v>0</v>
      </c>
      <c r="Q512" s="22">
        <v>30840</v>
      </c>
      <c r="R512">
        <v>3</v>
      </c>
      <c r="S512" s="1">
        <v>0</v>
      </c>
      <c r="T512">
        <v>0</v>
      </c>
      <c r="U512">
        <v>0</v>
      </c>
      <c r="V512" s="21">
        <v>15420</v>
      </c>
      <c r="W512">
        <v>9</v>
      </c>
      <c r="X512">
        <v>0</v>
      </c>
      <c r="Y512">
        <v>0</v>
      </c>
      <c r="Z512">
        <v>0</v>
      </c>
      <c r="AA512">
        <v>10</v>
      </c>
    </row>
    <row r="513" spans="1:27" ht="14.25" x14ac:dyDescent="0.2">
      <c r="A513" s="11">
        <v>10530</v>
      </c>
      <c r="B513" t="s">
        <v>123</v>
      </c>
      <c r="C513" t="s">
        <v>121</v>
      </c>
      <c r="D513" t="s">
        <v>121</v>
      </c>
      <c r="E513" t="s">
        <v>121</v>
      </c>
      <c r="F513" s="6" t="s">
        <v>916</v>
      </c>
      <c r="H513">
        <v>2</v>
      </c>
      <c r="I513" s="1">
        <v>0</v>
      </c>
      <c r="J513">
        <v>0</v>
      </c>
      <c r="K513">
        <v>0</v>
      </c>
      <c r="L513" s="20">
        <v>10280</v>
      </c>
      <c r="M513">
        <v>1</v>
      </c>
      <c r="N513">
        <v>0</v>
      </c>
      <c r="O513">
        <v>0</v>
      </c>
      <c r="P513">
        <v>0</v>
      </c>
      <c r="Q513" s="22">
        <v>30840</v>
      </c>
      <c r="R513">
        <v>3</v>
      </c>
      <c r="S513" s="1">
        <v>0</v>
      </c>
      <c r="T513">
        <v>0</v>
      </c>
      <c r="U513">
        <v>0</v>
      </c>
      <c r="V513" s="21">
        <v>15420</v>
      </c>
      <c r="W513">
        <v>12</v>
      </c>
      <c r="X513">
        <v>0</v>
      </c>
      <c r="Y513">
        <v>0</v>
      </c>
      <c r="Z513">
        <v>0</v>
      </c>
      <c r="AA513">
        <v>10</v>
      </c>
    </row>
    <row r="514" spans="1:27" ht="14.25" x14ac:dyDescent="0.2">
      <c r="A514" s="11">
        <v>10531</v>
      </c>
      <c r="B514" t="s">
        <v>126</v>
      </c>
      <c r="C514" t="s">
        <v>121</v>
      </c>
      <c r="D514" t="s">
        <v>121</v>
      </c>
      <c r="E514" t="s">
        <v>121</v>
      </c>
      <c r="F514" s="6" t="s">
        <v>918</v>
      </c>
      <c r="H514">
        <v>2</v>
      </c>
      <c r="I514" s="1">
        <v>0</v>
      </c>
      <c r="J514">
        <v>0</v>
      </c>
      <c r="K514">
        <v>0</v>
      </c>
      <c r="L514" s="20">
        <v>10360</v>
      </c>
      <c r="M514">
        <v>1</v>
      </c>
      <c r="N514">
        <v>0</v>
      </c>
      <c r="O514">
        <v>0</v>
      </c>
      <c r="P514">
        <v>0</v>
      </c>
      <c r="Q514" s="22">
        <v>30840</v>
      </c>
      <c r="R514">
        <v>3</v>
      </c>
      <c r="S514" s="1">
        <v>0</v>
      </c>
      <c r="T514">
        <v>0</v>
      </c>
      <c r="U514">
        <v>0</v>
      </c>
      <c r="V514" s="21">
        <v>15420</v>
      </c>
      <c r="W514">
        <v>23</v>
      </c>
      <c r="X514">
        <v>0</v>
      </c>
      <c r="Y514">
        <v>0</v>
      </c>
      <c r="Z514">
        <v>0</v>
      </c>
      <c r="AA514">
        <v>1</v>
      </c>
    </row>
    <row r="515" spans="1:27" ht="14.25" x14ac:dyDescent="0.2">
      <c r="A515" s="11">
        <v>10532</v>
      </c>
      <c r="B515" t="s">
        <v>131</v>
      </c>
      <c r="C515" t="s">
        <v>125</v>
      </c>
      <c r="D515" t="s">
        <v>121</v>
      </c>
      <c r="E515" t="s">
        <v>136</v>
      </c>
      <c r="F515" s="6" t="s">
        <v>920</v>
      </c>
      <c r="H515">
        <v>2</v>
      </c>
      <c r="I515" s="1">
        <v>0</v>
      </c>
      <c r="J515">
        <v>0</v>
      </c>
      <c r="K515">
        <v>0</v>
      </c>
      <c r="L515" s="20">
        <v>10360</v>
      </c>
      <c r="M515">
        <v>1</v>
      </c>
      <c r="N515">
        <v>0</v>
      </c>
      <c r="O515">
        <v>0</v>
      </c>
      <c r="P515">
        <v>0</v>
      </c>
      <c r="Q515" s="22">
        <v>30840</v>
      </c>
      <c r="R515">
        <v>3</v>
      </c>
      <c r="S515" s="1">
        <v>0</v>
      </c>
      <c r="T515">
        <v>0</v>
      </c>
      <c r="U515">
        <v>0</v>
      </c>
      <c r="V515" s="21">
        <v>15420</v>
      </c>
      <c r="W515">
        <v>6</v>
      </c>
      <c r="X515">
        <v>1</v>
      </c>
      <c r="Y515">
        <v>0</v>
      </c>
      <c r="Z515">
        <v>3</v>
      </c>
      <c r="AA515">
        <v>10</v>
      </c>
    </row>
    <row r="516" spans="1:27" ht="14.25" x14ac:dyDescent="0.2">
      <c r="A516" s="11">
        <v>10533</v>
      </c>
      <c r="B516" t="s">
        <v>180</v>
      </c>
      <c r="C516" t="s">
        <v>121</v>
      </c>
      <c r="D516" t="s">
        <v>121</v>
      </c>
      <c r="E516" t="s">
        <v>121</v>
      </c>
      <c r="F516" s="6" t="s">
        <v>922</v>
      </c>
      <c r="H516">
        <v>2</v>
      </c>
      <c r="I516" s="1">
        <v>0</v>
      </c>
      <c r="J516">
        <v>0</v>
      </c>
      <c r="K516">
        <v>0</v>
      </c>
      <c r="L516" s="20">
        <v>10360</v>
      </c>
      <c r="M516">
        <v>1</v>
      </c>
      <c r="N516">
        <v>0</v>
      </c>
      <c r="O516">
        <v>0</v>
      </c>
      <c r="P516">
        <v>0</v>
      </c>
      <c r="Q516" s="22">
        <v>31080</v>
      </c>
      <c r="R516">
        <v>3</v>
      </c>
      <c r="S516" s="1">
        <v>0</v>
      </c>
      <c r="T516">
        <v>0</v>
      </c>
      <c r="U516">
        <v>0</v>
      </c>
      <c r="V516" s="21">
        <v>15540</v>
      </c>
      <c r="W516">
        <v>15</v>
      </c>
      <c r="X516">
        <v>0</v>
      </c>
      <c r="Y516">
        <v>0</v>
      </c>
      <c r="Z516">
        <v>0</v>
      </c>
      <c r="AA516">
        <v>1</v>
      </c>
    </row>
    <row r="517" spans="1:27" ht="14.25" x14ac:dyDescent="0.2">
      <c r="A517" s="11">
        <v>10534</v>
      </c>
      <c r="B517" t="s">
        <v>178</v>
      </c>
      <c r="C517" t="s">
        <v>121</v>
      </c>
      <c r="D517" t="s">
        <v>121</v>
      </c>
      <c r="E517" t="s">
        <v>121</v>
      </c>
      <c r="F517" s="6" t="s">
        <v>922</v>
      </c>
      <c r="H517">
        <v>2</v>
      </c>
      <c r="I517" s="1">
        <v>0</v>
      </c>
      <c r="J517">
        <v>0</v>
      </c>
      <c r="K517">
        <v>0</v>
      </c>
      <c r="L517" s="20">
        <v>10360</v>
      </c>
      <c r="M517">
        <v>1</v>
      </c>
      <c r="N517">
        <v>0</v>
      </c>
      <c r="O517">
        <v>0</v>
      </c>
      <c r="P517">
        <v>0</v>
      </c>
      <c r="Q517" s="22">
        <v>31080</v>
      </c>
      <c r="R517">
        <v>3</v>
      </c>
      <c r="S517" s="1">
        <v>0</v>
      </c>
      <c r="T517">
        <v>0</v>
      </c>
      <c r="U517">
        <v>0</v>
      </c>
      <c r="V517" s="21">
        <v>15540</v>
      </c>
      <c r="W517">
        <v>21</v>
      </c>
      <c r="X517">
        <v>0</v>
      </c>
      <c r="Y517">
        <v>0</v>
      </c>
      <c r="Z517">
        <v>0</v>
      </c>
      <c r="AA517">
        <v>1</v>
      </c>
    </row>
    <row r="518" spans="1:27" ht="14.25" x14ac:dyDescent="0.2">
      <c r="A518" s="11">
        <v>10535</v>
      </c>
      <c r="B518" t="s">
        <v>130</v>
      </c>
      <c r="C518" t="s">
        <v>121</v>
      </c>
      <c r="D518" t="s">
        <v>121</v>
      </c>
      <c r="E518" t="s">
        <v>121</v>
      </c>
      <c r="F518" s="6" t="s">
        <v>924</v>
      </c>
      <c r="H518">
        <v>2</v>
      </c>
      <c r="I518" s="1">
        <v>0</v>
      </c>
      <c r="J518">
        <v>0</v>
      </c>
      <c r="K518">
        <v>0</v>
      </c>
      <c r="L518" s="20">
        <v>10360</v>
      </c>
      <c r="M518">
        <v>1</v>
      </c>
      <c r="N518">
        <v>0</v>
      </c>
      <c r="O518">
        <v>0</v>
      </c>
      <c r="P518">
        <v>0</v>
      </c>
      <c r="Q518" s="22">
        <v>31080</v>
      </c>
      <c r="R518">
        <v>3</v>
      </c>
      <c r="S518" s="1">
        <v>0</v>
      </c>
      <c r="T518">
        <v>0</v>
      </c>
      <c r="U518">
        <v>0</v>
      </c>
      <c r="V518" s="21">
        <v>15540</v>
      </c>
      <c r="W518">
        <v>9</v>
      </c>
      <c r="X518">
        <v>0</v>
      </c>
      <c r="Y518">
        <v>0</v>
      </c>
      <c r="Z518">
        <v>0</v>
      </c>
      <c r="AA518">
        <v>10</v>
      </c>
    </row>
    <row r="519" spans="1:27" ht="14.25" x14ac:dyDescent="0.2">
      <c r="A519" s="11">
        <v>10536</v>
      </c>
      <c r="B519" t="s">
        <v>181</v>
      </c>
      <c r="C519" t="s">
        <v>121</v>
      </c>
      <c r="D519" t="s">
        <v>121</v>
      </c>
      <c r="E519" t="s">
        <v>121</v>
      </c>
      <c r="F519" s="6" t="s">
        <v>926</v>
      </c>
      <c r="H519">
        <v>2</v>
      </c>
      <c r="I519" s="1">
        <v>0</v>
      </c>
      <c r="J519">
        <v>0</v>
      </c>
      <c r="K519">
        <v>0</v>
      </c>
      <c r="L519" s="20">
        <v>10440</v>
      </c>
      <c r="M519">
        <v>1</v>
      </c>
      <c r="N519">
        <v>0</v>
      </c>
      <c r="O519">
        <v>0</v>
      </c>
      <c r="P519">
        <v>0</v>
      </c>
      <c r="Q519" s="22">
        <v>31080</v>
      </c>
      <c r="R519">
        <v>3</v>
      </c>
      <c r="S519" s="1">
        <v>0</v>
      </c>
      <c r="T519">
        <v>0</v>
      </c>
      <c r="U519">
        <v>0</v>
      </c>
      <c r="V519" s="21">
        <v>15540</v>
      </c>
      <c r="W519">
        <v>30</v>
      </c>
      <c r="X519">
        <v>0</v>
      </c>
      <c r="Y519">
        <v>0</v>
      </c>
      <c r="Z519">
        <v>0</v>
      </c>
      <c r="AA519">
        <v>10</v>
      </c>
    </row>
    <row r="520" spans="1:27" ht="14.25" x14ac:dyDescent="0.2">
      <c r="A520" s="11">
        <v>10537</v>
      </c>
      <c r="B520" t="s">
        <v>122</v>
      </c>
      <c r="C520" t="s">
        <v>121</v>
      </c>
      <c r="D520" t="s">
        <v>121</v>
      </c>
      <c r="E520" t="s">
        <v>121</v>
      </c>
      <c r="F520" s="6" t="s">
        <v>926</v>
      </c>
      <c r="H520">
        <v>2</v>
      </c>
      <c r="I520" s="1">
        <v>0</v>
      </c>
      <c r="J520">
        <v>0</v>
      </c>
      <c r="K520">
        <v>0</v>
      </c>
      <c r="L520" s="20">
        <v>10440</v>
      </c>
      <c r="M520">
        <v>1</v>
      </c>
      <c r="N520">
        <v>0</v>
      </c>
      <c r="O520">
        <v>0</v>
      </c>
      <c r="P520">
        <v>0</v>
      </c>
      <c r="Q520" s="22">
        <v>31080</v>
      </c>
      <c r="R520">
        <v>3</v>
      </c>
      <c r="S520" s="1">
        <v>0</v>
      </c>
      <c r="T520">
        <v>0</v>
      </c>
      <c r="U520">
        <v>0</v>
      </c>
      <c r="V520" s="21">
        <v>15540</v>
      </c>
      <c r="W520">
        <v>4</v>
      </c>
      <c r="X520">
        <v>0</v>
      </c>
      <c r="Y520">
        <v>0</v>
      </c>
      <c r="Z520">
        <v>0</v>
      </c>
      <c r="AA520">
        <v>10</v>
      </c>
    </row>
    <row r="521" spans="1:27" ht="14.25" x14ac:dyDescent="0.2">
      <c r="A521" s="11">
        <v>10538</v>
      </c>
      <c r="B521" t="s">
        <v>178</v>
      </c>
      <c r="C521" t="s">
        <v>121</v>
      </c>
      <c r="D521" t="s">
        <v>121</v>
      </c>
      <c r="E521" t="s">
        <v>121</v>
      </c>
      <c r="F521" s="6" t="s">
        <v>928</v>
      </c>
      <c r="H521">
        <v>2</v>
      </c>
      <c r="I521" s="1">
        <v>0</v>
      </c>
      <c r="J521">
        <v>0</v>
      </c>
      <c r="K521">
        <v>0</v>
      </c>
      <c r="L521" s="20">
        <v>10440</v>
      </c>
      <c r="M521">
        <v>1</v>
      </c>
      <c r="N521">
        <v>0</v>
      </c>
      <c r="O521">
        <v>0</v>
      </c>
      <c r="P521">
        <v>0</v>
      </c>
      <c r="Q521" s="22">
        <v>31320</v>
      </c>
      <c r="R521">
        <v>3</v>
      </c>
      <c r="S521" s="1">
        <v>0</v>
      </c>
      <c r="T521">
        <v>0</v>
      </c>
      <c r="U521">
        <v>0</v>
      </c>
      <c r="V521" s="21">
        <v>15660</v>
      </c>
      <c r="W521">
        <v>21</v>
      </c>
      <c r="X521">
        <v>0</v>
      </c>
      <c r="Y521">
        <v>0</v>
      </c>
      <c r="Z521">
        <v>0</v>
      </c>
      <c r="AA521">
        <v>1</v>
      </c>
    </row>
    <row r="522" spans="1:27" ht="14.25" x14ac:dyDescent="0.2">
      <c r="A522" s="11">
        <v>10539</v>
      </c>
      <c r="B522" t="s">
        <v>130</v>
      </c>
      <c r="C522" t="s">
        <v>121</v>
      </c>
      <c r="D522" t="s">
        <v>121</v>
      </c>
      <c r="E522" t="s">
        <v>121</v>
      </c>
      <c r="F522" s="6" t="s">
        <v>930</v>
      </c>
      <c r="H522">
        <v>2</v>
      </c>
      <c r="I522" s="1">
        <v>0</v>
      </c>
      <c r="J522">
        <v>0</v>
      </c>
      <c r="K522">
        <v>0</v>
      </c>
      <c r="L522" s="20">
        <v>10440</v>
      </c>
      <c r="M522">
        <v>1</v>
      </c>
      <c r="N522">
        <v>0</v>
      </c>
      <c r="O522">
        <v>0</v>
      </c>
      <c r="P522">
        <v>0</v>
      </c>
      <c r="Q522" s="22">
        <v>31320</v>
      </c>
      <c r="R522">
        <v>3</v>
      </c>
      <c r="S522" s="1">
        <v>0</v>
      </c>
      <c r="T522">
        <v>0</v>
      </c>
      <c r="U522">
        <v>0</v>
      </c>
      <c r="V522" s="21">
        <v>15660</v>
      </c>
      <c r="W522">
        <v>9</v>
      </c>
      <c r="X522">
        <v>0</v>
      </c>
      <c r="Y522">
        <v>0</v>
      </c>
      <c r="Z522">
        <v>0</v>
      </c>
      <c r="AA522">
        <v>10</v>
      </c>
    </row>
    <row r="523" spans="1:27" ht="14.25" x14ac:dyDescent="0.2">
      <c r="A523" s="11">
        <v>10540</v>
      </c>
      <c r="B523" t="s">
        <v>123</v>
      </c>
      <c r="C523" t="s">
        <v>121</v>
      </c>
      <c r="D523" t="s">
        <v>121</v>
      </c>
      <c r="E523" t="s">
        <v>121</v>
      </c>
      <c r="F523" s="6" t="s">
        <v>930</v>
      </c>
      <c r="H523">
        <v>2</v>
      </c>
      <c r="I523" s="1">
        <v>0</v>
      </c>
      <c r="J523">
        <v>0</v>
      </c>
      <c r="K523">
        <v>0</v>
      </c>
      <c r="L523" s="20">
        <v>10440</v>
      </c>
      <c r="M523">
        <v>1</v>
      </c>
      <c r="N523">
        <v>0</v>
      </c>
      <c r="O523">
        <v>0</v>
      </c>
      <c r="P523">
        <v>0</v>
      </c>
      <c r="Q523" s="22">
        <v>31320</v>
      </c>
      <c r="R523">
        <v>3</v>
      </c>
      <c r="S523" s="1">
        <v>0</v>
      </c>
      <c r="T523">
        <v>0</v>
      </c>
      <c r="U523">
        <v>0</v>
      </c>
      <c r="V523" s="21">
        <v>15660</v>
      </c>
      <c r="W523">
        <v>12</v>
      </c>
      <c r="X523">
        <v>0</v>
      </c>
      <c r="Y523">
        <v>0</v>
      </c>
      <c r="Z523">
        <v>0</v>
      </c>
      <c r="AA523">
        <v>10</v>
      </c>
    </row>
    <row r="524" spans="1:27" ht="14.25" x14ac:dyDescent="0.2">
      <c r="A524" s="11">
        <v>10541</v>
      </c>
      <c r="B524" t="s">
        <v>126</v>
      </c>
      <c r="C524" t="s">
        <v>121</v>
      </c>
      <c r="D524" t="s">
        <v>121</v>
      </c>
      <c r="E524" t="s">
        <v>121</v>
      </c>
      <c r="F524" s="6" t="s">
        <v>932</v>
      </c>
      <c r="H524">
        <v>2</v>
      </c>
      <c r="I524" s="1">
        <v>0</v>
      </c>
      <c r="J524">
        <v>0</v>
      </c>
      <c r="K524">
        <v>0</v>
      </c>
      <c r="L524" s="20">
        <v>10520</v>
      </c>
      <c r="M524">
        <v>1</v>
      </c>
      <c r="N524">
        <v>0</v>
      </c>
      <c r="O524">
        <v>0</v>
      </c>
      <c r="P524">
        <v>0</v>
      </c>
      <c r="Q524" s="22">
        <v>31320</v>
      </c>
      <c r="R524">
        <v>3</v>
      </c>
      <c r="S524" s="1">
        <v>0</v>
      </c>
      <c r="T524">
        <v>0</v>
      </c>
      <c r="U524">
        <v>0</v>
      </c>
      <c r="V524" s="21">
        <v>15660</v>
      </c>
      <c r="W524">
        <v>23</v>
      </c>
      <c r="X524">
        <v>0</v>
      </c>
      <c r="Y524">
        <v>0</v>
      </c>
      <c r="Z524">
        <v>0</v>
      </c>
      <c r="AA524">
        <v>1</v>
      </c>
    </row>
    <row r="525" spans="1:27" ht="14.25" x14ac:dyDescent="0.2">
      <c r="A525" s="11">
        <v>10542</v>
      </c>
      <c r="B525" t="s">
        <v>131</v>
      </c>
      <c r="C525" t="s">
        <v>125</v>
      </c>
      <c r="D525" t="s">
        <v>121</v>
      </c>
      <c r="E525" t="s">
        <v>136</v>
      </c>
      <c r="F525" s="6" t="s">
        <v>934</v>
      </c>
      <c r="H525">
        <v>2</v>
      </c>
      <c r="I525" s="1">
        <v>0</v>
      </c>
      <c r="J525">
        <v>0</v>
      </c>
      <c r="K525">
        <v>0</v>
      </c>
      <c r="L525" s="20">
        <v>10520</v>
      </c>
      <c r="M525">
        <v>1</v>
      </c>
      <c r="N525">
        <v>0</v>
      </c>
      <c r="O525">
        <v>0</v>
      </c>
      <c r="P525">
        <v>0</v>
      </c>
      <c r="Q525" s="22">
        <v>31320</v>
      </c>
      <c r="R525">
        <v>3</v>
      </c>
      <c r="S525" s="1">
        <v>0</v>
      </c>
      <c r="T525">
        <v>0</v>
      </c>
      <c r="U525">
        <v>0</v>
      </c>
      <c r="V525" s="21">
        <v>15660</v>
      </c>
      <c r="W525">
        <v>6</v>
      </c>
      <c r="X525">
        <v>1</v>
      </c>
      <c r="Y525">
        <v>0</v>
      </c>
      <c r="Z525">
        <v>3</v>
      </c>
      <c r="AA525">
        <v>10</v>
      </c>
    </row>
    <row r="526" spans="1:27" ht="14.25" x14ac:dyDescent="0.2">
      <c r="A526" s="11">
        <v>10543</v>
      </c>
      <c r="B526" t="s">
        <v>180</v>
      </c>
      <c r="C526" t="s">
        <v>121</v>
      </c>
      <c r="D526" t="s">
        <v>121</v>
      </c>
      <c r="E526" t="s">
        <v>121</v>
      </c>
      <c r="F526" s="6" t="s">
        <v>936</v>
      </c>
      <c r="H526">
        <v>2</v>
      </c>
      <c r="I526" s="1">
        <v>0</v>
      </c>
      <c r="J526">
        <v>0</v>
      </c>
      <c r="K526">
        <v>0</v>
      </c>
      <c r="L526" s="20">
        <v>10520</v>
      </c>
      <c r="M526">
        <v>1</v>
      </c>
      <c r="N526">
        <v>0</v>
      </c>
      <c r="O526">
        <v>0</v>
      </c>
      <c r="P526">
        <v>0</v>
      </c>
      <c r="Q526" s="22">
        <v>31560</v>
      </c>
      <c r="R526">
        <v>3</v>
      </c>
      <c r="S526" s="1">
        <v>0</v>
      </c>
      <c r="T526">
        <v>0</v>
      </c>
      <c r="U526">
        <v>0</v>
      </c>
      <c r="V526" s="21">
        <v>15780</v>
      </c>
      <c r="W526">
        <v>15</v>
      </c>
      <c r="X526">
        <v>0</v>
      </c>
      <c r="Y526">
        <v>0</v>
      </c>
      <c r="Z526">
        <v>0</v>
      </c>
      <c r="AA526">
        <v>1</v>
      </c>
    </row>
    <row r="527" spans="1:27" ht="14.25" x14ac:dyDescent="0.2">
      <c r="A527" s="11">
        <v>10544</v>
      </c>
      <c r="B527" t="s">
        <v>178</v>
      </c>
      <c r="C527" t="s">
        <v>121</v>
      </c>
      <c r="D527" t="s">
        <v>121</v>
      </c>
      <c r="E527" t="s">
        <v>121</v>
      </c>
      <c r="F527" s="6" t="s">
        <v>936</v>
      </c>
      <c r="H527">
        <v>2</v>
      </c>
      <c r="I527" s="1">
        <v>0</v>
      </c>
      <c r="J527">
        <v>0</v>
      </c>
      <c r="K527">
        <v>0</v>
      </c>
      <c r="L527" s="20">
        <v>10520</v>
      </c>
      <c r="M527">
        <v>1</v>
      </c>
      <c r="N527">
        <v>0</v>
      </c>
      <c r="O527">
        <v>0</v>
      </c>
      <c r="P527">
        <v>0</v>
      </c>
      <c r="Q527" s="22">
        <v>31560</v>
      </c>
      <c r="R527">
        <v>3</v>
      </c>
      <c r="S527" s="1">
        <v>0</v>
      </c>
      <c r="T527">
        <v>0</v>
      </c>
      <c r="U527">
        <v>0</v>
      </c>
      <c r="V527" s="21">
        <v>15780</v>
      </c>
      <c r="W527">
        <v>21</v>
      </c>
      <c r="X527">
        <v>0</v>
      </c>
      <c r="Y527">
        <v>0</v>
      </c>
      <c r="Z527">
        <v>0</v>
      </c>
      <c r="AA527">
        <v>1</v>
      </c>
    </row>
    <row r="528" spans="1:27" ht="14.25" x14ac:dyDescent="0.2">
      <c r="A528" s="11">
        <v>10545</v>
      </c>
      <c r="B528" t="s">
        <v>130</v>
      </c>
      <c r="C528" t="s">
        <v>121</v>
      </c>
      <c r="D528" t="s">
        <v>121</v>
      </c>
      <c r="E528" t="s">
        <v>121</v>
      </c>
      <c r="F528" s="6" t="s">
        <v>938</v>
      </c>
      <c r="H528">
        <v>2</v>
      </c>
      <c r="I528" s="1">
        <v>0</v>
      </c>
      <c r="J528">
        <v>0</v>
      </c>
      <c r="K528">
        <v>0</v>
      </c>
      <c r="L528" s="20">
        <v>10520</v>
      </c>
      <c r="M528">
        <v>1</v>
      </c>
      <c r="N528">
        <v>0</v>
      </c>
      <c r="O528">
        <v>0</v>
      </c>
      <c r="P528">
        <v>0</v>
      </c>
      <c r="Q528" s="22">
        <v>31560</v>
      </c>
      <c r="R528">
        <v>3</v>
      </c>
      <c r="S528" s="1">
        <v>0</v>
      </c>
      <c r="T528">
        <v>0</v>
      </c>
      <c r="U528">
        <v>0</v>
      </c>
      <c r="V528" s="21">
        <v>15780</v>
      </c>
      <c r="W528">
        <v>9</v>
      </c>
      <c r="X528">
        <v>0</v>
      </c>
      <c r="Y528">
        <v>0</v>
      </c>
      <c r="Z528">
        <v>0</v>
      </c>
      <c r="AA528">
        <v>10</v>
      </c>
    </row>
    <row r="529" spans="1:27" ht="14.25" x14ac:dyDescent="0.2">
      <c r="A529" s="11">
        <v>10546</v>
      </c>
      <c r="B529" t="s">
        <v>181</v>
      </c>
      <c r="C529" t="s">
        <v>121</v>
      </c>
      <c r="D529" t="s">
        <v>121</v>
      </c>
      <c r="E529" t="s">
        <v>121</v>
      </c>
      <c r="F529" s="6" t="s">
        <v>940</v>
      </c>
      <c r="H529">
        <v>2</v>
      </c>
      <c r="I529" s="1">
        <v>0</v>
      </c>
      <c r="J529">
        <v>0</v>
      </c>
      <c r="K529">
        <v>0</v>
      </c>
      <c r="L529" s="20">
        <v>10600</v>
      </c>
      <c r="M529">
        <v>1</v>
      </c>
      <c r="N529">
        <v>0</v>
      </c>
      <c r="O529">
        <v>0</v>
      </c>
      <c r="P529">
        <v>0</v>
      </c>
      <c r="Q529" s="22">
        <v>31560</v>
      </c>
      <c r="R529">
        <v>3</v>
      </c>
      <c r="S529" s="1">
        <v>0</v>
      </c>
      <c r="T529">
        <v>0</v>
      </c>
      <c r="U529">
        <v>0</v>
      </c>
      <c r="V529" s="21">
        <v>15780</v>
      </c>
      <c r="W529">
        <v>30</v>
      </c>
      <c r="X529">
        <v>0</v>
      </c>
      <c r="Y529">
        <v>0</v>
      </c>
      <c r="Z529">
        <v>0</v>
      </c>
      <c r="AA529">
        <v>10</v>
      </c>
    </row>
    <row r="530" spans="1:27" ht="14.25" x14ac:dyDescent="0.2">
      <c r="A530" s="11">
        <v>10547</v>
      </c>
      <c r="B530" t="s">
        <v>122</v>
      </c>
      <c r="C530" t="s">
        <v>121</v>
      </c>
      <c r="D530" t="s">
        <v>121</v>
      </c>
      <c r="E530" t="s">
        <v>121</v>
      </c>
      <c r="F530" s="6" t="s">
        <v>940</v>
      </c>
      <c r="H530">
        <v>2</v>
      </c>
      <c r="I530" s="1">
        <v>0</v>
      </c>
      <c r="J530">
        <v>0</v>
      </c>
      <c r="K530">
        <v>0</v>
      </c>
      <c r="L530" s="20">
        <v>10600</v>
      </c>
      <c r="M530">
        <v>1</v>
      </c>
      <c r="N530">
        <v>0</v>
      </c>
      <c r="O530">
        <v>0</v>
      </c>
      <c r="P530">
        <v>0</v>
      </c>
      <c r="Q530" s="22">
        <v>31560</v>
      </c>
      <c r="R530">
        <v>3</v>
      </c>
      <c r="S530" s="1">
        <v>0</v>
      </c>
      <c r="T530">
        <v>0</v>
      </c>
      <c r="U530">
        <v>0</v>
      </c>
      <c r="V530" s="21">
        <v>15780</v>
      </c>
      <c r="W530">
        <v>4</v>
      </c>
      <c r="X530">
        <v>0</v>
      </c>
      <c r="Y530">
        <v>0</v>
      </c>
      <c r="Z530">
        <v>0</v>
      </c>
      <c r="AA530">
        <v>10</v>
      </c>
    </row>
    <row r="531" spans="1:27" ht="14.25" x14ac:dyDescent="0.2">
      <c r="A531" s="11">
        <v>10548</v>
      </c>
      <c r="B531" t="s">
        <v>178</v>
      </c>
      <c r="C531" t="s">
        <v>121</v>
      </c>
      <c r="D531" t="s">
        <v>121</v>
      </c>
      <c r="E531" t="s">
        <v>121</v>
      </c>
      <c r="F531" s="6" t="s">
        <v>942</v>
      </c>
      <c r="H531">
        <v>2</v>
      </c>
      <c r="I531" s="1">
        <v>0</v>
      </c>
      <c r="J531">
        <v>0</v>
      </c>
      <c r="K531">
        <v>0</v>
      </c>
      <c r="L531" s="20">
        <v>10600</v>
      </c>
      <c r="M531">
        <v>1</v>
      </c>
      <c r="N531">
        <v>0</v>
      </c>
      <c r="O531">
        <v>0</v>
      </c>
      <c r="P531">
        <v>0</v>
      </c>
      <c r="Q531" s="22">
        <v>31800</v>
      </c>
      <c r="R531">
        <v>3</v>
      </c>
      <c r="S531" s="1">
        <v>0</v>
      </c>
      <c r="T531">
        <v>0</v>
      </c>
      <c r="U531">
        <v>0</v>
      </c>
      <c r="V531" s="21">
        <v>15900</v>
      </c>
      <c r="W531">
        <v>21</v>
      </c>
      <c r="X531">
        <v>0</v>
      </c>
      <c r="Y531">
        <v>0</v>
      </c>
      <c r="Z531">
        <v>0</v>
      </c>
      <c r="AA531">
        <v>1</v>
      </c>
    </row>
    <row r="532" spans="1:27" ht="14.25" x14ac:dyDescent="0.2">
      <c r="A532" s="11">
        <v>10549</v>
      </c>
      <c r="B532" t="s">
        <v>130</v>
      </c>
      <c r="C532" t="s">
        <v>121</v>
      </c>
      <c r="D532" t="s">
        <v>121</v>
      </c>
      <c r="E532" t="s">
        <v>121</v>
      </c>
      <c r="F532" s="6" t="s">
        <v>944</v>
      </c>
      <c r="H532">
        <v>2</v>
      </c>
      <c r="I532" s="1">
        <v>0</v>
      </c>
      <c r="J532">
        <v>0</v>
      </c>
      <c r="K532">
        <v>0</v>
      </c>
      <c r="L532" s="20">
        <v>10600</v>
      </c>
      <c r="M532">
        <v>1</v>
      </c>
      <c r="N532">
        <v>0</v>
      </c>
      <c r="O532">
        <v>0</v>
      </c>
      <c r="P532">
        <v>0</v>
      </c>
      <c r="Q532" s="22">
        <v>31800</v>
      </c>
      <c r="R532">
        <v>3</v>
      </c>
      <c r="S532" s="1">
        <v>0</v>
      </c>
      <c r="T532">
        <v>0</v>
      </c>
      <c r="U532">
        <v>0</v>
      </c>
      <c r="V532" s="21">
        <v>15900</v>
      </c>
      <c r="W532">
        <v>9</v>
      </c>
      <c r="X532">
        <v>0</v>
      </c>
      <c r="Y532">
        <v>0</v>
      </c>
      <c r="Z532">
        <v>0</v>
      </c>
      <c r="AA532">
        <v>10</v>
      </c>
    </row>
    <row r="533" spans="1:27" ht="14.25" x14ac:dyDescent="0.2">
      <c r="A533" s="11">
        <v>10550</v>
      </c>
      <c r="B533" t="s">
        <v>123</v>
      </c>
      <c r="C533" t="s">
        <v>121</v>
      </c>
      <c r="D533" t="s">
        <v>121</v>
      </c>
      <c r="E533" t="s">
        <v>121</v>
      </c>
      <c r="F533" s="6" t="s">
        <v>944</v>
      </c>
      <c r="H533">
        <v>2</v>
      </c>
      <c r="I533" s="1">
        <v>0</v>
      </c>
      <c r="J533">
        <v>0</v>
      </c>
      <c r="K533">
        <v>0</v>
      </c>
      <c r="L533" s="20">
        <v>10600</v>
      </c>
      <c r="M533">
        <v>1</v>
      </c>
      <c r="N533">
        <v>0</v>
      </c>
      <c r="O533">
        <v>0</v>
      </c>
      <c r="P533">
        <v>0</v>
      </c>
      <c r="Q533" s="22">
        <v>31800</v>
      </c>
      <c r="R533">
        <v>3</v>
      </c>
      <c r="S533" s="1">
        <v>0</v>
      </c>
      <c r="T533">
        <v>0</v>
      </c>
      <c r="U533">
        <v>0</v>
      </c>
      <c r="V533" s="21">
        <v>15900</v>
      </c>
      <c r="W533">
        <v>12</v>
      </c>
      <c r="X533">
        <v>0</v>
      </c>
      <c r="Y533">
        <v>0</v>
      </c>
      <c r="Z533">
        <v>0</v>
      </c>
      <c r="AA533">
        <v>10</v>
      </c>
    </row>
    <row r="534" spans="1:27" ht="14.25" x14ac:dyDescent="0.2">
      <c r="A534" s="11">
        <v>10601</v>
      </c>
      <c r="B534" t="s">
        <v>126</v>
      </c>
      <c r="C534" t="s">
        <v>121</v>
      </c>
      <c r="D534" t="s">
        <v>121</v>
      </c>
      <c r="E534" t="s">
        <v>121</v>
      </c>
      <c r="F534" s="6" t="s">
        <v>946</v>
      </c>
      <c r="H534">
        <v>2</v>
      </c>
      <c r="I534" s="1">
        <v>0</v>
      </c>
      <c r="J534">
        <v>0</v>
      </c>
      <c r="K534">
        <v>0</v>
      </c>
      <c r="L534" s="20">
        <v>10680</v>
      </c>
      <c r="M534">
        <v>1</v>
      </c>
      <c r="N534">
        <v>0</v>
      </c>
      <c r="O534">
        <v>0</v>
      </c>
      <c r="P534">
        <v>0</v>
      </c>
      <c r="Q534" s="22">
        <v>31800</v>
      </c>
      <c r="R534">
        <v>3</v>
      </c>
      <c r="S534" s="1">
        <v>0</v>
      </c>
      <c r="T534">
        <v>0</v>
      </c>
      <c r="U534">
        <v>0</v>
      </c>
      <c r="V534" s="21">
        <v>15900</v>
      </c>
      <c r="W534">
        <v>23</v>
      </c>
      <c r="X534">
        <v>0</v>
      </c>
      <c r="Y534">
        <v>0</v>
      </c>
      <c r="Z534">
        <v>0</v>
      </c>
      <c r="AA534">
        <v>1</v>
      </c>
    </row>
    <row r="535" spans="1:27" ht="14.25" x14ac:dyDescent="0.2">
      <c r="A535" s="11">
        <v>10602</v>
      </c>
      <c r="B535" t="s">
        <v>131</v>
      </c>
      <c r="C535" t="s">
        <v>125</v>
      </c>
      <c r="D535" t="s">
        <v>121</v>
      </c>
      <c r="E535" t="s">
        <v>136</v>
      </c>
      <c r="F535" s="6" t="s">
        <v>948</v>
      </c>
      <c r="H535">
        <v>2</v>
      </c>
      <c r="I535" s="1">
        <v>0</v>
      </c>
      <c r="J535">
        <v>0</v>
      </c>
      <c r="K535">
        <v>0</v>
      </c>
      <c r="L535" s="20">
        <v>10680</v>
      </c>
      <c r="M535">
        <v>1</v>
      </c>
      <c r="N535">
        <v>0</v>
      </c>
      <c r="O535">
        <v>0</v>
      </c>
      <c r="P535">
        <v>0</v>
      </c>
      <c r="Q535" s="22">
        <v>31800</v>
      </c>
      <c r="R535">
        <v>3</v>
      </c>
      <c r="S535" s="1">
        <v>0</v>
      </c>
      <c r="T535">
        <v>0</v>
      </c>
      <c r="U535">
        <v>0</v>
      </c>
      <c r="V535" s="21">
        <v>15900</v>
      </c>
      <c r="W535">
        <v>6</v>
      </c>
      <c r="X535">
        <v>1</v>
      </c>
      <c r="Y535">
        <v>0</v>
      </c>
      <c r="Z535">
        <v>3</v>
      </c>
      <c r="AA535">
        <v>10</v>
      </c>
    </row>
    <row r="536" spans="1:27" ht="14.25" x14ac:dyDescent="0.2">
      <c r="A536" s="11">
        <v>10603</v>
      </c>
      <c r="B536" t="s">
        <v>180</v>
      </c>
      <c r="C536" t="s">
        <v>121</v>
      </c>
      <c r="D536" t="s">
        <v>121</v>
      </c>
      <c r="E536" t="s">
        <v>121</v>
      </c>
      <c r="F536" s="6" t="s">
        <v>950</v>
      </c>
      <c r="H536">
        <v>2</v>
      </c>
      <c r="I536" s="1">
        <v>0</v>
      </c>
      <c r="J536">
        <v>0</v>
      </c>
      <c r="K536">
        <v>0</v>
      </c>
      <c r="L536" s="20">
        <v>10680</v>
      </c>
      <c r="M536">
        <v>1</v>
      </c>
      <c r="N536">
        <v>0</v>
      </c>
      <c r="O536">
        <v>0</v>
      </c>
      <c r="P536">
        <v>0</v>
      </c>
      <c r="Q536" s="22">
        <v>32040</v>
      </c>
      <c r="R536">
        <v>3</v>
      </c>
      <c r="S536" s="1">
        <v>0</v>
      </c>
      <c r="T536">
        <v>0</v>
      </c>
      <c r="U536">
        <v>0</v>
      </c>
      <c r="V536" s="21">
        <v>16020</v>
      </c>
      <c r="W536">
        <v>15</v>
      </c>
      <c r="X536">
        <v>0</v>
      </c>
      <c r="Y536">
        <v>0</v>
      </c>
      <c r="Z536">
        <v>0</v>
      </c>
      <c r="AA536">
        <v>1</v>
      </c>
    </row>
    <row r="537" spans="1:27" ht="14.25" x14ac:dyDescent="0.2">
      <c r="A537" s="11">
        <v>10604</v>
      </c>
      <c r="B537" t="s">
        <v>178</v>
      </c>
      <c r="C537" t="s">
        <v>121</v>
      </c>
      <c r="D537" t="s">
        <v>121</v>
      </c>
      <c r="E537" t="s">
        <v>121</v>
      </c>
      <c r="F537" s="6" t="s">
        <v>950</v>
      </c>
      <c r="H537">
        <v>2</v>
      </c>
      <c r="I537" s="1">
        <v>0</v>
      </c>
      <c r="J537">
        <v>0</v>
      </c>
      <c r="K537">
        <v>0</v>
      </c>
      <c r="L537" s="20">
        <v>10680</v>
      </c>
      <c r="M537">
        <v>1</v>
      </c>
      <c r="N537">
        <v>0</v>
      </c>
      <c r="O537">
        <v>0</v>
      </c>
      <c r="P537">
        <v>0</v>
      </c>
      <c r="Q537" s="22">
        <v>32040</v>
      </c>
      <c r="R537">
        <v>3</v>
      </c>
      <c r="S537" s="1">
        <v>0</v>
      </c>
      <c r="T537">
        <v>0</v>
      </c>
      <c r="U537">
        <v>0</v>
      </c>
      <c r="V537" s="21">
        <v>16020</v>
      </c>
      <c r="W537">
        <v>21</v>
      </c>
      <c r="X537">
        <v>0</v>
      </c>
      <c r="Y537">
        <v>0</v>
      </c>
      <c r="Z537">
        <v>0</v>
      </c>
      <c r="AA537">
        <v>1</v>
      </c>
    </row>
    <row r="538" spans="1:27" ht="14.25" x14ac:dyDescent="0.2">
      <c r="A538" s="11">
        <v>10605</v>
      </c>
      <c r="B538" t="s">
        <v>130</v>
      </c>
      <c r="C538" t="s">
        <v>121</v>
      </c>
      <c r="D538" t="s">
        <v>121</v>
      </c>
      <c r="E538" t="s">
        <v>121</v>
      </c>
      <c r="F538" s="6" t="s">
        <v>952</v>
      </c>
      <c r="H538">
        <v>2</v>
      </c>
      <c r="I538" s="1">
        <v>0</v>
      </c>
      <c r="J538">
        <v>0</v>
      </c>
      <c r="K538">
        <v>0</v>
      </c>
      <c r="L538" s="20">
        <v>10680</v>
      </c>
      <c r="M538">
        <v>1</v>
      </c>
      <c r="N538">
        <v>0</v>
      </c>
      <c r="O538">
        <v>0</v>
      </c>
      <c r="P538">
        <v>0</v>
      </c>
      <c r="Q538" s="22">
        <v>32040</v>
      </c>
      <c r="R538">
        <v>3</v>
      </c>
      <c r="S538" s="1">
        <v>0</v>
      </c>
      <c r="T538">
        <v>0</v>
      </c>
      <c r="U538">
        <v>0</v>
      </c>
      <c r="V538" s="21">
        <v>16020</v>
      </c>
      <c r="W538">
        <v>9</v>
      </c>
      <c r="X538">
        <v>0</v>
      </c>
      <c r="Y538">
        <v>0</v>
      </c>
      <c r="Z538">
        <v>0</v>
      </c>
      <c r="AA538">
        <v>10</v>
      </c>
    </row>
    <row r="539" spans="1:27" ht="14.25" x14ac:dyDescent="0.2">
      <c r="A539" s="11">
        <v>10606</v>
      </c>
      <c r="B539" t="s">
        <v>181</v>
      </c>
      <c r="C539" t="s">
        <v>121</v>
      </c>
      <c r="D539" t="s">
        <v>121</v>
      </c>
      <c r="E539" t="s">
        <v>121</v>
      </c>
      <c r="F539" s="6" t="s">
        <v>954</v>
      </c>
      <c r="H539">
        <v>2</v>
      </c>
      <c r="I539" s="1">
        <v>0</v>
      </c>
      <c r="J539">
        <v>0</v>
      </c>
      <c r="K539">
        <v>0</v>
      </c>
      <c r="L539" s="20">
        <v>10760</v>
      </c>
      <c r="M539">
        <v>1</v>
      </c>
      <c r="N539">
        <v>0</v>
      </c>
      <c r="O539">
        <v>0</v>
      </c>
      <c r="P539">
        <v>0</v>
      </c>
      <c r="Q539" s="22">
        <v>32040</v>
      </c>
      <c r="R539">
        <v>3</v>
      </c>
      <c r="S539" s="1">
        <v>0</v>
      </c>
      <c r="T539">
        <v>0</v>
      </c>
      <c r="U539">
        <v>0</v>
      </c>
      <c r="V539" s="21">
        <v>16020</v>
      </c>
      <c r="W539">
        <v>30</v>
      </c>
      <c r="X539">
        <v>0</v>
      </c>
      <c r="Y539">
        <v>0</v>
      </c>
      <c r="Z539">
        <v>0</v>
      </c>
      <c r="AA539">
        <v>10</v>
      </c>
    </row>
    <row r="540" spans="1:27" ht="14.25" x14ac:dyDescent="0.2">
      <c r="A540" s="11">
        <v>10607</v>
      </c>
      <c r="B540" t="s">
        <v>122</v>
      </c>
      <c r="C540" t="s">
        <v>121</v>
      </c>
      <c r="D540" t="s">
        <v>121</v>
      </c>
      <c r="E540" t="s">
        <v>121</v>
      </c>
      <c r="F540" s="6" t="s">
        <v>954</v>
      </c>
      <c r="H540">
        <v>2</v>
      </c>
      <c r="I540" s="1">
        <v>0</v>
      </c>
      <c r="J540">
        <v>0</v>
      </c>
      <c r="K540">
        <v>0</v>
      </c>
      <c r="L540" s="20">
        <v>10760</v>
      </c>
      <c r="M540">
        <v>1</v>
      </c>
      <c r="N540">
        <v>0</v>
      </c>
      <c r="O540">
        <v>0</v>
      </c>
      <c r="P540">
        <v>0</v>
      </c>
      <c r="Q540" s="22">
        <v>32040</v>
      </c>
      <c r="R540">
        <v>3</v>
      </c>
      <c r="S540" s="1">
        <v>0</v>
      </c>
      <c r="T540">
        <v>0</v>
      </c>
      <c r="U540">
        <v>0</v>
      </c>
      <c r="V540" s="21">
        <v>16020</v>
      </c>
      <c r="W540">
        <v>4</v>
      </c>
      <c r="X540">
        <v>0</v>
      </c>
      <c r="Y540">
        <v>0</v>
      </c>
      <c r="Z540">
        <v>0</v>
      </c>
      <c r="AA540">
        <v>10</v>
      </c>
    </row>
    <row r="541" spans="1:27" ht="14.25" x14ac:dyDescent="0.2">
      <c r="A541" s="11">
        <v>10608</v>
      </c>
      <c r="B541" t="s">
        <v>178</v>
      </c>
      <c r="C541" t="s">
        <v>121</v>
      </c>
      <c r="D541" t="s">
        <v>121</v>
      </c>
      <c r="E541" t="s">
        <v>121</v>
      </c>
      <c r="F541" s="6" t="s">
        <v>956</v>
      </c>
      <c r="H541">
        <v>2</v>
      </c>
      <c r="I541" s="1">
        <v>0</v>
      </c>
      <c r="J541">
        <v>0</v>
      </c>
      <c r="K541">
        <v>0</v>
      </c>
      <c r="L541" s="20">
        <v>10760</v>
      </c>
      <c r="M541">
        <v>1</v>
      </c>
      <c r="N541">
        <v>0</v>
      </c>
      <c r="O541">
        <v>0</v>
      </c>
      <c r="P541">
        <v>0</v>
      </c>
      <c r="Q541" s="22">
        <v>32280</v>
      </c>
      <c r="R541">
        <v>3</v>
      </c>
      <c r="S541" s="1">
        <v>0</v>
      </c>
      <c r="T541">
        <v>0</v>
      </c>
      <c r="U541">
        <v>0</v>
      </c>
      <c r="V541" s="21">
        <v>16140</v>
      </c>
      <c r="W541">
        <v>21</v>
      </c>
      <c r="X541">
        <v>0</v>
      </c>
      <c r="Y541">
        <v>0</v>
      </c>
      <c r="Z541">
        <v>0</v>
      </c>
      <c r="AA541">
        <v>1</v>
      </c>
    </row>
    <row r="542" spans="1:27" ht="14.25" x14ac:dyDescent="0.2">
      <c r="A542" s="11">
        <v>10609</v>
      </c>
      <c r="B542" t="s">
        <v>130</v>
      </c>
      <c r="C542" t="s">
        <v>121</v>
      </c>
      <c r="D542" t="s">
        <v>121</v>
      </c>
      <c r="E542" t="s">
        <v>121</v>
      </c>
      <c r="F542" s="6" t="s">
        <v>958</v>
      </c>
      <c r="H542">
        <v>2</v>
      </c>
      <c r="I542" s="1">
        <v>0</v>
      </c>
      <c r="J542">
        <v>0</v>
      </c>
      <c r="K542">
        <v>0</v>
      </c>
      <c r="L542" s="20">
        <v>10760</v>
      </c>
      <c r="M542">
        <v>1</v>
      </c>
      <c r="N542">
        <v>0</v>
      </c>
      <c r="O542">
        <v>0</v>
      </c>
      <c r="P542">
        <v>0</v>
      </c>
      <c r="Q542" s="22">
        <v>32280</v>
      </c>
      <c r="R542">
        <v>3</v>
      </c>
      <c r="S542" s="1">
        <v>0</v>
      </c>
      <c r="T542">
        <v>0</v>
      </c>
      <c r="U542">
        <v>0</v>
      </c>
      <c r="V542" s="21">
        <v>16140</v>
      </c>
      <c r="W542">
        <v>9</v>
      </c>
      <c r="X542">
        <v>0</v>
      </c>
      <c r="Y542">
        <v>0</v>
      </c>
      <c r="Z542">
        <v>0</v>
      </c>
      <c r="AA542">
        <v>10</v>
      </c>
    </row>
    <row r="543" spans="1:27" ht="14.25" x14ac:dyDescent="0.2">
      <c r="A543" s="11">
        <v>10610</v>
      </c>
      <c r="B543" t="s">
        <v>123</v>
      </c>
      <c r="C543" t="s">
        <v>121</v>
      </c>
      <c r="D543" t="s">
        <v>121</v>
      </c>
      <c r="E543" t="s">
        <v>121</v>
      </c>
      <c r="F543" s="6" t="s">
        <v>958</v>
      </c>
      <c r="H543">
        <v>2</v>
      </c>
      <c r="I543" s="1">
        <v>0</v>
      </c>
      <c r="J543">
        <v>0</v>
      </c>
      <c r="K543">
        <v>0</v>
      </c>
      <c r="L543" s="20">
        <v>10760</v>
      </c>
      <c r="M543">
        <v>1</v>
      </c>
      <c r="N543">
        <v>0</v>
      </c>
      <c r="O543">
        <v>0</v>
      </c>
      <c r="P543">
        <v>0</v>
      </c>
      <c r="Q543" s="22">
        <v>32280</v>
      </c>
      <c r="R543">
        <v>3</v>
      </c>
      <c r="S543" s="1">
        <v>0</v>
      </c>
      <c r="T543">
        <v>0</v>
      </c>
      <c r="U543">
        <v>0</v>
      </c>
      <c r="V543" s="21">
        <v>16140</v>
      </c>
      <c r="W543">
        <v>12</v>
      </c>
      <c r="X543">
        <v>0</v>
      </c>
      <c r="Y543">
        <v>0</v>
      </c>
      <c r="Z543">
        <v>0</v>
      </c>
      <c r="AA543">
        <v>10</v>
      </c>
    </row>
    <row r="544" spans="1:27" ht="14.25" x14ac:dyDescent="0.2">
      <c r="A544" s="11">
        <v>10611</v>
      </c>
      <c r="B544" t="s">
        <v>126</v>
      </c>
      <c r="C544" t="s">
        <v>121</v>
      </c>
      <c r="D544" t="s">
        <v>121</v>
      </c>
      <c r="E544" t="s">
        <v>121</v>
      </c>
      <c r="F544" s="6" t="s">
        <v>960</v>
      </c>
      <c r="H544">
        <v>2</v>
      </c>
      <c r="I544" s="1">
        <v>0</v>
      </c>
      <c r="J544">
        <v>0</v>
      </c>
      <c r="K544">
        <v>0</v>
      </c>
      <c r="L544" s="20">
        <v>10840</v>
      </c>
      <c r="M544">
        <v>1</v>
      </c>
      <c r="N544">
        <v>0</v>
      </c>
      <c r="O544">
        <v>0</v>
      </c>
      <c r="P544">
        <v>0</v>
      </c>
      <c r="Q544" s="22">
        <v>32280</v>
      </c>
      <c r="R544">
        <v>3</v>
      </c>
      <c r="S544" s="1">
        <v>0</v>
      </c>
      <c r="T544">
        <v>0</v>
      </c>
      <c r="U544">
        <v>0</v>
      </c>
      <c r="V544" s="21">
        <v>16140</v>
      </c>
      <c r="W544">
        <v>23</v>
      </c>
      <c r="X544">
        <v>0</v>
      </c>
      <c r="Y544">
        <v>0</v>
      </c>
      <c r="Z544">
        <v>0</v>
      </c>
      <c r="AA544">
        <v>1</v>
      </c>
    </row>
    <row r="545" spans="1:27" ht="14.25" x14ac:dyDescent="0.2">
      <c r="A545" s="11">
        <v>10612</v>
      </c>
      <c r="B545" t="s">
        <v>131</v>
      </c>
      <c r="C545" t="s">
        <v>125</v>
      </c>
      <c r="D545" t="s">
        <v>121</v>
      </c>
      <c r="E545" t="s">
        <v>136</v>
      </c>
      <c r="F545" s="6" t="s">
        <v>962</v>
      </c>
      <c r="H545">
        <v>2</v>
      </c>
      <c r="I545" s="1">
        <v>0</v>
      </c>
      <c r="J545">
        <v>0</v>
      </c>
      <c r="K545">
        <v>0</v>
      </c>
      <c r="L545" s="20">
        <v>10840</v>
      </c>
      <c r="M545">
        <v>1</v>
      </c>
      <c r="N545">
        <v>0</v>
      </c>
      <c r="O545">
        <v>0</v>
      </c>
      <c r="P545">
        <v>0</v>
      </c>
      <c r="Q545" s="22">
        <v>32280</v>
      </c>
      <c r="R545">
        <v>3</v>
      </c>
      <c r="S545" s="1">
        <v>0</v>
      </c>
      <c r="T545">
        <v>0</v>
      </c>
      <c r="U545">
        <v>0</v>
      </c>
      <c r="V545" s="21">
        <v>16140</v>
      </c>
      <c r="W545">
        <v>6</v>
      </c>
      <c r="X545">
        <v>1</v>
      </c>
      <c r="Y545">
        <v>0</v>
      </c>
      <c r="Z545">
        <v>3</v>
      </c>
      <c r="AA545">
        <v>10</v>
      </c>
    </row>
    <row r="546" spans="1:27" ht="14.25" x14ac:dyDescent="0.2">
      <c r="A546" s="11">
        <v>10613</v>
      </c>
      <c r="B546" t="s">
        <v>180</v>
      </c>
      <c r="C546" t="s">
        <v>121</v>
      </c>
      <c r="D546" t="s">
        <v>121</v>
      </c>
      <c r="E546" t="s">
        <v>121</v>
      </c>
      <c r="F546" s="6" t="s">
        <v>964</v>
      </c>
      <c r="H546">
        <v>2</v>
      </c>
      <c r="I546" s="1">
        <v>0</v>
      </c>
      <c r="J546">
        <v>0</v>
      </c>
      <c r="K546">
        <v>0</v>
      </c>
      <c r="L546" s="20">
        <v>10840</v>
      </c>
      <c r="M546">
        <v>1</v>
      </c>
      <c r="N546">
        <v>0</v>
      </c>
      <c r="O546">
        <v>0</v>
      </c>
      <c r="P546">
        <v>0</v>
      </c>
      <c r="Q546" s="22">
        <v>32520</v>
      </c>
      <c r="R546">
        <v>3</v>
      </c>
      <c r="S546" s="1">
        <v>0</v>
      </c>
      <c r="T546">
        <v>0</v>
      </c>
      <c r="U546">
        <v>0</v>
      </c>
      <c r="V546" s="21">
        <v>16260</v>
      </c>
      <c r="W546">
        <v>15</v>
      </c>
      <c r="X546">
        <v>0</v>
      </c>
      <c r="Y546">
        <v>0</v>
      </c>
      <c r="Z546">
        <v>0</v>
      </c>
      <c r="AA546">
        <v>1</v>
      </c>
    </row>
    <row r="547" spans="1:27" ht="14.25" x14ac:dyDescent="0.2">
      <c r="A547" s="11">
        <v>10614</v>
      </c>
      <c r="B547" t="s">
        <v>178</v>
      </c>
      <c r="C547" t="s">
        <v>121</v>
      </c>
      <c r="D547" t="s">
        <v>121</v>
      </c>
      <c r="E547" t="s">
        <v>121</v>
      </c>
      <c r="F547" s="6" t="s">
        <v>964</v>
      </c>
      <c r="H547">
        <v>2</v>
      </c>
      <c r="I547" s="1">
        <v>0</v>
      </c>
      <c r="J547">
        <v>0</v>
      </c>
      <c r="K547">
        <v>0</v>
      </c>
      <c r="L547" s="20">
        <v>10840</v>
      </c>
      <c r="M547">
        <v>1</v>
      </c>
      <c r="N547">
        <v>0</v>
      </c>
      <c r="O547">
        <v>0</v>
      </c>
      <c r="P547">
        <v>0</v>
      </c>
      <c r="Q547" s="22">
        <v>32520</v>
      </c>
      <c r="R547">
        <v>3</v>
      </c>
      <c r="S547" s="1">
        <v>0</v>
      </c>
      <c r="T547">
        <v>0</v>
      </c>
      <c r="U547">
        <v>0</v>
      </c>
      <c r="V547" s="21">
        <v>16260</v>
      </c>
      <c r="W547">
        <v>21</v>
      </c>
      <c r="X547">
        <v>0</v>
      </c>
      <c r="Y547">
        <v>0</v>
      </c>
      <c r="Z547">
        <v>0</v>
      </c>
      <c r="AA547">
        <v>1</v>
      </c>
    </row>
    <row r="548" spans="1:27" ht="14.25" x14ac:dyDescent="0.2">
      <c r="A548" s="11">
        <v>10615</v>
      </c>
      <c r="B548" t="s">
        <v>130</v>
      </c>
      <c r="C548" t="s">
        <v>121</v>
      </c>
      <c r="D548" t="s">
        <v>121</v>
      </c>
      <c r="E548" t="s">
        <v>121</v>
      </c>
      <c r="F548" s="6" t="s">
        <v>966</v>
      </c>
      <c r="H548">
        <v>2</v>
      </c>
      <c r="I548" s="1">
        <v>0</v>
      </c>
      <c r="J548">
        <v>0</v>
      </c>
      <c r="K548">
        <v>0</v>
      </c>
      <c r="L548" s="20">
        <v>10840</v>
      </c>
      <c r="M548">
        <v>1</v>
      </c>
      <c r="N548">
        <v>0</v>
      </c>
      <c r="O548">
        <v>0</v>
      </c>
      <c r="P548">
        <v>0</v>
      </c>
      <c r="Q548" s="22">
        <v>32520</v>
      </c>
      <c r="R548">
        <v>3</v>
      </c>
      <c r="S548" s="1">
        <v>0</v>
      </c>
      <c r="T548">
        <v>0</v>
      </c>
      <c r="U548">
        <v>0</v>
      </c>
      <c r="V548" s="21">
        <v>16260</v>
      </c>
      <c r="W548">
        <v>9</v>
      </c>
      <c r="X548">
        <v>0</v>
      </c>
      <c r="Y548">
        <v>0</v>
      </c>
      <c r="Z548">
        <v>0</v>
      </c>
      <c r="AA548">
        <v>10</v>
      </c>
    </row>
    <row r="549" spans="1:27" ht="14.25" x14ac:dyDescent="0.2">
      <c r="A549" s="11">
        <v>10616</v>
      </c>
      <c r="B549" t="s">
        <v>181</v>
      </c>
      <c r="C549" t="s">
        <v>121</v>
      </c>
      <c r="D549" t="s">
        <v>121</v>
      </c>
      <c r="E549" t="s">
        <v>121</v>
      </c>
      <c r="F549" s="6" t="s">
        <v>968</v>
      </c>
      <c r="H549">
        <v>2</v>
      </c>
      <c r="I549" s="1">
        <v>0</v>
      </c>
      <c r="J549">
        <v>0</v>
      </c>
      <c r="K549">
        <v>0</v>
      </c>
      <c r="L549" s="20">
        <v>10920</v>
      </c>
      <c r="M549">
        <v>1</v>
      </c>
      <c r="N549">
        <v>0</v>
      </c>
      <c r="O549">
        <v>0</v>
      </c>
      <c r="P549">
        <v>0</v>
      </c>
      <c r="Q549" s="22">
        <v>32520</v>
      </c>
      <c r="R549">
        <v>3</v>
      </c>
      <c r="S549" s="1">
        <v>0</v>
      </c>
      <c r="T549">
        <v>0</v>
      </c>
      <c r="U549">
        <v>0</v>
      </c>
      <c r="V549" s="21">
        <v>16260</v>
      </c>
      <c r="W549">
        <v>30</v>
      </c>
      <c r="X549">
        <v>0</v>
      </c>
      <c r="Y549">
        <v>0</v>
      </c>
      <c r="Z549">
        <v>0</v>
      </c>
      <c r="AA549">
        <v>10</v>
      </c>
    </row>
    <row r="550" spans="1:27" ht="14.25" x14ac:dyDescent="0.2">
      <c r="A550" s="11">
        <v>10617</v>
      </c>
      <c r="B550" t="s">
        <v>122</v>
      </c>
      <c r="C550" t="s">
        <v>121</v>
      </c>
      <c r="D550" t="s">
        <v>121</v>
      </c>
      <c r="E550" t="s">
        <v>121</v>
      </c>
      <c r="F550" s="6" t="s">
        <v>968</v>
      </c>
      <c r="H550">
        <v>2</v>
      </c>
      <c r="I550" s="1">
        <v>0</v>
      </c>
      <c r="J550">
        <v>0</v>
      </c>
      <c r="K550">
        <v>0</v>
      </c>
      <c r="L550" s="20">
        <v>10920</v>
      </c>
      <c r="M550">
        <v>1</v>
      </c>
      <c r="N550">
        <v>0</v>
      </c>
      <c r="O550">
        <v>0</v>
      </c>
      <c r="P550">
        <v>0</v>
      </c>
      <c r="Q550" s="22">
        <v>32520</v>
      </c>
      <c r="R550">
        <v>3</v>
      </c>
      <c r="S550" s="1">
        <v>0</v>
      </c>
      <c r="T550">
        <v>0</v>
      </c>
      <c r="U550">
        <v>0</v>
      </c>
      <c r="V550" s="21">
        <v>16260</v>
      </c>
      <c r="W550">
        <v>4</v>
      </c>
      <c r="X550">
        <v>0</v>
      </c>
      <c r="Y550">
        <v>0</v>
      </c>
      <c r="Z550">
        <v>0</v>
      </c>
      <c r="AA550">
        <v>10</v>
      </c>
    </row>
    <row r="551" spans="1:27" ht="14.25" x14ac:dyDescent="0.2">
      <c r="A551" s="11">
        <v>10618</v>
      </c>
      <c r="B551" t="s">
        <v>178</v>
      </c>
      <c r="C551" t="s">
        <v>121</v>
      </c>
      <c r="D551" t="s">
        <v>121</v>
      </c>
      <c r="E551" t="s">
        <v>121</v>
      </c>
      <c r="F551" s="6" t="s">
        <v>970</v>
      </c>
      <c r="H551">
        <v>2</v>
      </c>
      <c r="I551" s="1">
        <v>0</v>
      </c>
      <c r="J551">
        <v>0</v>
      </c>
      <c r="K551">
        <v>0</v>
      </c>
      <c r="L551" s="20">
        <v>10920</v>
      </c>
      <c r="M551">
        <v>1</v>
      </c>
      <c r="N551">
        <v>0</v>
      </c>
      <c r="O551">
        <v>0</v>
      </c>
      <c r="P551">
        <v>0</v>
      </c>
      <c r="Q551" s="22">
        <v>32760</v>
      </c>
      <c r="R551">
        <v>3</v>
      </c>
      <c r="S551" s="1">
        <v>0</v>
      </c>
      <c r="T551">
        <v>0</v>
      </c>
      <c r="U551">
        <v>0</v>
      </c>
      <c r="V551" s="21">
        <v>16380</v>
      </c>
      <c r="W551">
        <v>21</v>
      </c>
      <c r="X551">
        <v>0</v>
      </c>
      <c r="Y551">
        <v>0</v>
      </c>
      <c r="Z551">
        <v>0</v>
      </c>
      <c r="AA551">
        <v>1</v>
      </c>
    </row>
    <row r="552" spans="1:27" ht="14.25" x14ac:dyDescent="0.2">
      <c r="A552" s="11">
        <v>10619</v>
      </c>
      <c r="B552" t="s">
        <v>130</v>
      </c>
      <c r="C552" t="s">
        <v>121</v>
      </c>
      <c r="D552" t="s">
        <v>121</v>
      </c>
      <c r="E552" t="s">
        <v>121</v>
      </c>
      <c r="F552" s="6" t="s">
        <v>972</v>
      </c>
      <c r="H552">
        <v>2</v>
      </c>
      <c r="I552" s="1">
        <v>0</v>
      </c>
      <c r="J552">
        <v>0</v>
      </c>
      <c r="K552">
        <v>0</v>
      </c>
      <c r="L552" s="20">
        <v>10920</v>
      </c>
      <c r="M552">
        <v>1</v>
      </c>
      <c r="N552">
        <v>0</v>
      </c>
      <c r="O552">
        <v>0</v>
      </c>
      <c r="P552">
        <v>0</v>
      </c>
      <c r="Q552" s="22">
        <v>32760</v>
      </c>
      <c r="R552">
        <v>3</v>
      </c>
      <c r="S552" s="1">
        <v>0</v>
      </c>
      <c r="T552">
        <v>0</v>
      </c>
      <c r="U552">
        <v>0</v>
      </c>
      <c r="V552" s="21">
        <v>16380</v>
      </c>
      <c r="W552">
        <v>9</v>
      </c>
      <c r="X552">
        <v>0</v>
      </c>
      <c r="Y552">
        <v>0</v>
      </c>
      <c r="Z552">
        <v>0</v>
      </c>
      <c r="AA552">
        <v>10</v>
      </c>
    </row>
    <row r="553" spans="1:27" ht="14.25" x14ac:dyDescent="0.2">
      <c r="A553" s="11">
        <v>10620</v>
      </c>
      <c r="B553" t="s">
        <v>123</v>
      </c>
      <c r="C553" t="s">
        <v>121</v>
      </c>
      <c r="D553" t="s">
        <v>121</v>
      </c>
      <c r="E553" t="s">
        <v>121</v>
      </c>
      <c r="F553" s="6" t="s">
        <v>972</v>
      </c>
      <c r="H553">
        <v>2</v>
      </c>
      <c r="I553" s="1">
        <v>0</v>
      </c>
      <c r="J553">
        <v>0</v>
      </c>
      <c r="K553">
        <v>0</v>
      </c>
      <c r="L553" s="20">
        <v>10920</v>
      </c>
      <c r="M553">
        <v>1</v>
      </c>
      <c r="N553">
        <v>0</v>
      </c>
      <c r="O553">
        <v>0</v>
      </c>
      <c r="P553">
        <v>0</v>
      </c>
      <c r="Q553" s="22">
        <v>32760</v>
      </c>
      <c r="R553">
        <v>3</v>
      </c>
      <c r="S553" s="1">
        <v>0</v>
      </c>
      <c r="T553">
        <v>0</v>
      </c>
      <c r="U553">
        <v>0</v>
      </c>
      <c r="V553" s="21">
        <v>16380</v>
      </c>
      <c r="W553">
        <v>12</v>
      </c>
      <c r="X553">
        <v>0</v>
      </c>
      <c r="Y553">
        <v>0</v>
      </c>
      <c r="Z553">
        <v>0</v>
      </c>
      <c r="AA553">
        <v>10</v>
      </c>
    </row>
    <row r="554" spans="1:27" ht="14.25" x14ac:dyDescent="0.2">
      <c r="A554" s="11">
        <v>10621</v>
      </c>
      <c r="B554" t="s">
        <v>126</v>
      </c>
      <c r="C554" t="s">
        <v>121</v>
      </c>
      <c r="D554" t="s">
        <v>121</v>
      </c>
      <c r="E554" t="s">
        <v>121</v>
      </c>
      <c r="F554" s="6" t="s">
        <v>974</v>
      </c>
      <c r="H554">
        <v>2</v>
      </c>
      <c r="I554" s="1">
        <v>0</v>
      </c>
      <c r="J554">
        <v>0</v>
      </c>
      <c r="K554">
        <v>0</v>
      </c>
      <c r="L554" s="20">
        <v>11000</v>
      </c>
      <c r="M554">
        <v>1</v>
      </c>
      <c r="N554">
        <v>0</v>
      </c>
      <c r="O554">
        <v>0</v>
      </c>
      <c r="P554">
        <v>0</v>
      </c>
      <c r="Q554" s="22">
        <v>32760</v>
      </c>
      <c r="R554">
        <v>3</v>
      </c>
      <c r="S554" s="1">
        <v>0</v>
      </c>
      <c r="T554">
        <v>0</v>
      </c>
      <c r="U554">
        <v>0</v>
      </c>
      <c r="V554" s="21">
        <v>16380</v>
      </c>
      <c r="W554">
        <v>23</v>
      </c>
      <c r="X554">
        <v>0</v>
      </c>
      <c r="Y554">
        <v>0</v>
      </c>
      <c r="Z554">
        <v>0</v>
      </c>
      <c r="AA554">
        <v>1</v>
      </c>
    </row>
    <row r="555" spans="1:27" ht="14.25" x14ac:dyDescent="0.2">
      <c r="A555" s="11">
        <v>10622</v>
      </c>
      <c r="B555" t="s">
        <v>131</v>
      </c>
      <c r="C555" t="s">
        <v>125</v>
      </c>
      <c r="D555" t="s">
        <v>121</v>
      </c>
      <c r="E555" t="s">
        <v>136</v>
      </c>
      <c r="F555" s="6" t="s">
        <v>976</v>
      </c>
      <c r="H555">
        <v>2</v>
      </c>
      <c r="I555" s="1">
        <v>0</v>
      </c>
      <c r="J555">
        <v>0</v>
      </c>
      <c r="K555">
        <v>0</v>
      </c>
      <c r="L555" s="20">
        <v>11000</v>
      </c>
      <c r="M555">
        <v>1</v>
      </c>
      <c r="N555">
        <v>0</v>
      </c>
      <c r="O555">
        <v>0</v>
      </c>
      <c r="P555">
        <v>0</v>
      </c>
      <c r="Q555" s="22">
        <v>32760</v>
      </c>
      <c r="R555">
        <v>3</v>
      </c>
      <c r="S555" s="1">
        <v>0</v>
      </c>
      <c r="T555">
        <v>0</v>
      </c>
      <c r="U555">
        <v>0</v>
      </c>
      <c r="V555" s="21">
        <v>16380</v>
      </c>
      <c r="W555">
        <v>6</v>
      </c>
      <c r="X555">
        <v>1</v>
      </c>
      <c r="Y555">
        <v>0</v>
      </c>
      <c r="Z555">
        <v>3</v>
      </c>
      <c r="AA555">
        <v>10</v>
      </c>
    </row>
    <row r="556" spans="1:27" ht="14.25" x14ac:dyDescent="0.2">
      <c r="A556" s="11">
        <v>10623</v>
      </c>
      <c r="B556" t="s">
        <v>180</v>
      </c>
      <c r="C556" t="s">
        <v>121</v>
      </c>
      <c r="D556" t="s">
        <v>121</v>
      </c>
      <c r="E556" t="s">
        <v>121</v>
      </c>
      <c r="F556" s="6" t="s">
        <v>978</v>
      </c>
      <c r="H556">
        <v>2</v>
      </c>
      <c r="I556" s="1">
        <v>0</v>
      </c>
      <c r="J556">
        <v>0</v>
      </c>
      <c r="K556">
        <v>0</v>
      </c>
      <c r="L556" s="20">
        <v>11000</v>
      </c>
      <c r="M556">
        <v>1</v>
      </c>
      <c r="N556">
        <v>0</v>
      </c>
      <c r="O556">
        <v>0</v>
      </c>
      <c r="P556">
        <v>0</v>
      </c>
      <c r="Q556" s="22">
        <v>33000</v>
      </c>
      <c r="R556">
        <v>3</v>
      </c>
      <c r="S556" s="1">
        <v>0</v>
      </c>
      <c r="T556">
        <v>0</v>
      </c>
      <c r="U556">
        <v>0</v>
      </c>
      <c r="V556" s="21">
        <v>16500</v>
      </c>
      <c r="W556">
        <v>15</v>
      </c>
      <c r="X556">
        <v>0</v>
      </c>
      <c r="Y556">
        <v>0</v>
      </c>
      <c r="Z556">
        <v>0</v>
      </c>
      <c r="AA556">
        <v>1</v>
      </c>
    </row>
    <row r="557" spans="1:27" ht="14.25" x14ac:dyDescent="0.2">
      <c r="A557" s="11">
        <v>10624</v>
      </c>
      <c r="B557" t="s">
        <v>178</v>
      </c>
      <c r="C557" t="s">
        <v>121</v>
      </c>
      <c r="D557" t="s">
        <v>121</v>
      </c>
      <c r="E557" t="s">
        <v>121</v>
      </c>
      <c r="F557" s="6" t="s">
        <v>978</v>
      </c>
      <c r="H557">
        <v>2</v>
      </c>
      <c r="I557" s="1">
        <v>0</v>
      </c>
      <c r="J557">
        <v>0</v>
      </c>
      <c r="K557">
        <v>0</v>
      </c>
      <c r="L557" s="20">
        <v>11000</v>
      </c>
      <c r="M557">
        <v>1</v>
      </c>
      <c r="N557">
        <v>0</v>
      </c>
      <c r="O557">
        <v>0</v>
      </c>
      <c r="P557">
        <v>0</v>
      </c>
      <c r="Q557" s="22">
        <v>33000</v>
      </c>
      <c r="R557">
        <v>3</v>
      </c>
      <c r="S557" s="1">
        <v>0</v>
      </c>
      <c r="T557">
        <v>0</v>
      </c>
      <c r="U557">
        <v>0</v>
      </c>
      <c r="V557" s="21">
        <v>16500</v>
      </c>
      <c r="W557">
        <v>21</v>
      </c>
      <c r="X557">
        <v>0</v>
      </c>
      <c r="Y557">
        <v>0</v>
      </c>
      <c r="Z557">
        <v>0</v>
      </c>
      <c r="AA557">
        <v>1</v>
      </c>
    </row>
    <row r="558" spans="1:27" ht="14.25" x14ac:dyDescent="0.2">
      <c r="A558" s="11">
        <v>10625</v>
      </c>
      <c r="B558" t="s">
        <v>130</v>
      </c>
      <c r="C558" t="s">
        <v>121</v>
      </c>
      <c r="D558" t="s">
        <v>121</v>
      </c>
      <c r="E558" t="s">
        <v>121</v>
      </c>
      <c r="F558" s="6" t="s">
        <v>980</v>
      </c>
      <c r="H558">
        <v>2</v>
      </c>
      <c r="I558" s="1">
        <v>0</v>
      </c>
      <c r="J558">
        <v>0</v>
      </c>
      <c r="K558">
        <v>0</v>
      </c>
      <c r="L558" s="20">
        <v>11000</v>
      </c>
      <c r="M558">
        <v>1</v>
      </c>
      <c r="N558">
        <v>0</v>
      </c>
      <c r="O558">
        <v>0</v>
      </c>
      <c r="P558">
        <v>0</v>
      </c>
      <c r="Q558" s="22">
        <v>33000</v>
      </c>
      <c r="R558">
        <v>3</v>
      </c>
      <c r="S558" s="1">
        <v>0</v>
      </c>
      <c r="T558">
        <v>0</v>
      </c>
      <c r="U558">
        <v>0</v>
      </c>
      <c r="V558" s="21">
        <v>16500</v>
      </c>
      <c r="W558">
        <v>9</v>
      </c>
      <c r="X558">
        <v>0</v>
      </c>
      <c r="Y558">
        <v>0</v>
      </c>
      <c r="Z558">
        <v>0</v>
      </c>
      <c r="AA558">
        <v>10</v>
      </c>
    </row>
    <row r="559" spans="1:27" ht="14.25" x14ac:dyDescent="0.2">
      <c r="A559" s="11">
        <v>10626</v>
      </c>
      <c r="B559" t="s">
        <v>181</v>
      </c>
      <c r="C559" t="s">
        <v>121</v>
      </c>
      <c r="D559" t="s">
        <v>121</v>
      </c>
      <c r="E559" t="s">
        <v>121</v>
      </c>
      <c r="F559" s="6" t="s">
        <v>982</v>
      </c>
      <c r="H559">
        <v>2</v>
      </c>
      <c r="I559" s="1">
        <v>0</v>
      </c>
      <c r="J559">
        <v>0</v>
      </c>
      <c r="K559">
        <v>0</v>
      </c>
      <c r="L559" s="20">
        <v>11080</v>
      </c>
      <c r="M559">
        <v>1</v>
      </c>
      <c r="N559">
        <v>0</v>
      </c>
      <c r="O559">
        <v>0</v>
      </c>
      <c r="P559">
        <v>0</v>
      </c>
      <c r="Q559" s="22">
        <v>33000</v>
      </c>
      <c r="R559">
        <v>3</v>
      </c>
      <c r="S559" s="1">
        <v>0</v>
      </c>
      <c r="T559">
        <v>0</v>
      </c>
      <c r="U559">
        <v>0</v>
      </c>
      <c r="V559" s="21">
        <v>16500</v>
      </c>
      <c r="W559">
        <v>30</v>
      </c>
      <c r="X559">
        <v>0</v>
      </c>
      <c r="Y559">
        <v>0</v>
      </c>
      <c r="Z559">
        <v>0</v>
      </c>
      <c r="AA559">
        <v>10</v>
      </c>
    </row>
    <row r="560" spans="1:27" ht="14.25" x14ac:dyDescent="0.2">
      <c r="A560" s="11">
        <v>10627</v>
      </c>
      <c r="B560" t="s">
        <v>122</v>
      </c>
      <c r="C560" t="s">
        <v>121</v>
      </c>
      <c r="D560" t="s">
        <v>121</v>
      </c>
      <c r="E560" t="s">
        <v>121</v>
      </c>
      <c r="F560" s="6" t="s">
        <v>982</v>
      </c>
      <c r="H560">
        <v>2</v>
      </c>
      <c r="I560" s="1">
        <v>0</v>
      </c>
      <c r="J560">
        <v>0</v>
      </c>
      <c r="K560">
        <v>0</v>
      </c>
      <c r="L560" s="20">
        <v>11080</v>
      </c>
      <c r="M560">
        <v>1</v>
      </c>
      <c r="N560">
        <v>0</v>
      </c>
      <c r="O560">
        <v>0</v>
      </c>
      <c r="P560">
        <v>0</v>
      </c>
      <c r="Q560" s="22">
        <v>33000</v>
      </c>
      <c r="R560">
        <v>3</v>
      </c>
      <c r="S560" s="1">
        <v>0</v>
      </c>
      <c r="T560">
        <v>0</v>
      </c>
      <c r="U560">
        <v>0</v>
      </c>
      <c r="V560" s="21">
        <v>16500</v>
      </c>
      <c r="W560">
        <v>4</v>
      </c>
      <c r="X560">
        <v>0</v>
      </c>
      <c r="Y560">
        <v>0</v>
      </c>
      <c r="Z560">
        <v>0</v>
      </c>
      <c r="AA560">
        <v>10</v>
      </c>
    </row>
    <row r="561" spans="1:27" ht="14.25" x14ac:dyDescent="0.2">
      <c r="A561" s="11">
        <v>10628</v>
      </c>
      <c r="B561" t="s">
        <v>178</v>
      </c>
      <c r="C561" t="s">
        <v>121</v>
      </c>
      <c r="D561" t="s">
        <v>121</v>
      </c>
      <c r="E561" t="s">
        <v>121</v>
      </c>
      <c r="F561" s="6" t="s">
        <v>984</v>
      </c>
      <c r="H561">
        <v>2</v>
      </c>
      <c r="I561" s="1">
        <v>0</v>
      </c>
      <c r="J561">
        <v>0</v>
      </c>
      <c r="K561">
        <v>0</v>
      </c>
      <c r="L561" s="20">
        <v>11080</v>
      </c>
      <c r="M561">
        <v>1</v>
      </c>
      <c r="N561">
        <v>0</v>
      </c>
      <c r="O561">
        <v>0</v>
      </c>
      <c r="P561">
        <v>0</v>
      </c>
      <c r="Q561" s="22">
        <v>33240</v>
      </c>
      <c r="R561">
        <v>3</v>
      </c>
      <c r="S561" s="1">
        <v>0</v>
      </c>
      <c r="T561">
        <v>0</v>
      </c>
      <c r="U561">
        <v>0</v>
      </c>
      <c r="V561" s="21">
        <v>16620</v>
      </c>
      <c r="W561">
        <v>21</v>
      </c>
      <c r="X561">
        <v>0</v>
      </c>
      <c r="Y561">
        <v>0</v>
      </c>
      <c r="Z561">
        <v>0</v>
      </c>
      <c r="AA561">
        <v>1</v>
      </c>
    </row>
    <row r="562" spans="1:27" ht="14.25" x14ac:dyDescent="0.2">
      <c r="A562" s="11">
        <v>10629</v>
      </c>
      <c r="B562" t="s">
        <v>130</v>
      </c>
      <c r="C562" t="s">
        <v>121</v>
      </c>
      <c r="D562" t="s">
        <v>121</v>
      </c>
      <c r="E562" t="s">
        <v>121</v>
      </c>
      <c r="F562" s="6" t="s">
        <v>986</v>
      </c>
      <c r="H562">
        <v>2</v>
      </c>
      <c r="I562" s="1">
        <v>0</v>
      </c>
      <c r="J562">
        <v>0</v>
      </c>
      <c r="K562">
        <v>0</v>
      </c>
      <c r="L562" s="20">
        <v>11080</v>
      </c>
      <c r="M562">
        <v>1</v>
      </c>
      <c r="N562">
        <v>0</v>
      </c>
      <c r="O562">
        <v>0</v>
      </c>
      <c r="P562">
        <v>0</v>
      </c>
      <c r="Q562" s="22">
        <v>33240</v>
      </c>
      <c r="R562">
        <v>3</v>
      </c>
      <c r="S562" s="1">
        <v>0</v>
      </c>
      <c r="T562">
        <v>0</v>
      </c>
      <c r="U562">
        <v>0</v>
      </c>
      <c r="V562" s="21">
        <v>16620</v>
      </c>
      <c r="W562">
        <v>9</v>
      </c>
      <c r="X562">
        <v>0</v>
      </c>
      <c r="Y562">
        <v>0</v>
      </c>
      <c r="Z562">
        <v>0</v>
      </c>
      <c r="AA562">
        <v>10</v>
      </c>
    </row>
    <row r="563" spans="1:27" ht="14.25" x14ac:dyDescent="0.2">
      <c r="A563" s="11">
        <v>10630</v>
      </c>
      <c r="B563" t="s">
        <v>123</v>
      </c>
      <c r="C563" t="s">
        <v>121</v>
      </c>
      <c r="D563" t="s">
        <v>121</v>
      </c>
      <c r="E563" t="s">
        <v>121</v>
      </c>
      <c r="F563" s="6" t="s">
        <v>986</v>
      </c>
      <c r="H563">
        <v>2</v>
      </c>
      <c r="I563" s="1">
        <v>0</v>
      </c>
      <c r="J563">
        <v>0</v>
      </c>
      <c r="K563">
        <v>0</v>
      </c>
      <c r="L563" s="20">
        <v>11080</v>
      </c>
      <c r="M563">
        <v>1</v>
      </c>
      <c r="N563">
        <v>0</v>
      </c>
      <c r="O563">
        <v>0</v>
      </c>
      <c r="P563">
        <v>0</v>
      </c>
      <c r="Q563" s="22">
        <v>33240</v>
      </c>
      <c r="R563">
        <v>3</v>
      </c>
      <c r="S563" s="1">
        <v>0</v>
      </c>
      <c r="T563">
        <v>0</v>
      </c>
      <c r="U563">
        <v>0</v>
      </c>
      <c r="V563" s="21">
        <v>16620</v>
      </c>
      <c r="W563">
        <v>12</v>
      </c>
      <c r="X563">
        <v>0</v>
      </c>
      <c r="Y563">
        <v>0</v>
      </c>
      <c r="Z563">
        <v>0</v>
      </c>
      <c r="AA563">
        <v>10</v>
      </c>
    </row>
    <row r="564" spans="1:27" ht="14.25" x14ac:dyDescent="0.2">
      <c r="A564" s="11">
        <v>10631</v>
      </c>
      <c r="B564" t="s">
        <v>126</v>
      </c>
      <c r="C564" t="s">
        <v>121</v>
      </c>
      <c r="D564" t="s">
        <v>121</v>
      </c>
      <c r="E564" t="s">
        <v>121</v>
      </c>
      <c r="F564" s="6" t="s">
        <v>988</v>
      </c>
      <c r="H564">
        <v>2</v>
      </c>
      <c r="I564" s="1">
        <v>0</v>
      </c>
      <c r="J564">
        <v>0</v>
      </c>
      <c r="K564">
        <v>0</v>
      </c>
      <c r="L564" s="20">
        <v>11160</v>
      </c>
      <c r="M564">
        <v>1</v>
      </c>
      <c r="N564">
        <v>0</v>
      </c>
      <c r="O564">
        <v>0</v>
      </c>
      <c r="P564">
        <v>0</v>
      </c>
      <c r="Q564" s="22">
        <v>33240</v>
      </c>
      <c r="R564">
        <v>3</v>
      </c>
      <c r="S564" s="1">
        <v>0</v>
      </c>
      <c r="T564">
        <v>0</v>
      </c>
      <c r="U564">
        <v>0</v>
      </c>
      <c r="V564" s="21">
        <v>16620</v>
      </c>
      <c r="W564">
        <v>23</v>
      </c>
      <c r="X564">
        <v>0</v>
      </c>
      <c r="Y564">
        <v>0</v>
      </c>
      <c r="Z564">
        <v>0</v>
      </c>
      <c r="AA564">
        <v>1</v>
      </c>
    </row>
    <row r="565" spans="1:27" ht="14.25" x14ac:dyDescent="0.2">
      <c r="A565" s="11">
        <v>10632</v>
      </c>
      <c r="B565" t="s">
        <v>131</v>
      </c>
      <c r="C565" t="s">
        <v>125</v>
      </c>
      <c r="D565" t="s">
        <v>121</v>
      </c>
      <c r="E565" t="s">
        <v>136</v>
      </c>
      <c r="F565" s="6" t="s">
        <v>990</v>
      </c>
      <c r="H565">
        <v>2</v>
      </c>
      <c r="I565" s="1">
        <v>0</v>
      </c>
      <c r="J565">
        <v>0</v>
      </c>
      <c r="K565">
        <v>0</v>
      </c>
      <c r="L565" s="20">
        <v>11160</v>
      </c>
      <c r="M565">
        <v>1</v>
      </c>
      <c r="N565">
        <v>0</v>
      </c>
      <c r="O565">
        <v>0</v>
      </c>
      <c r="P565">
        <v>0</v>
      </c>
      <c r="Q565" s="22">
        <v>33240</v>
      </c>
      <c r="R565">
        <v>3</v>
      </c>
      <c r="S565" s="1">
        <v>0</v>
      </c>
      <c r="T565">
        <v>0</v>
      </c>
      <c r="U565">
        <v>0</v>
      </c>
      <c r="V565" s="21">
        <v>16620</v>
      </c>
      <c r="W565">
        <v>6</v>
      </c>
      <c r="X565">
        <v>1</v>
      </c>
      <c r="Y565">
        <v>0</v>
      </c>
      <c r="Z565">
        <v>3</v>
      </c>
      <c r="AA565">
        <v>10</v>
      </c>
    </row>
    <row r="566" spans="1:27" ht="14.25" x14ac:dyDescent="0.2">
      <c r="A566" s="11">
        <v>10633</v>
      </c>
      <c r="B566" t="s">
        <v>180</v>
      </c>
      <c r="C566" t="s">
        <v>121</v>
      </c>
      <c r="D566" t="s">
        <v>121</v>
      </c>
      <c r="E566" t="s">
        <v>121</v>
      </c>
      <c r="F566" s="6" t="s">
        <v>992</v>
      </c>
      <c r="H566">
        <v>2</v>
      </c>
      <c r="I566" s="1">
        <v>0</v>
      </c>
      <c r="J566">
        <v>0</v>
      </c>
      <c r="K566">
        <v>0</v>
      </c>
      <c r="L566" s="20">
        <v>11160</v>
      </c>
      <c r="M566">
        <v>1</v>
      </c>
      <c r="N566">
        <v>0</v>
      </c>
      <c r="O566">
        <v>0</v>
      </c>
      <c r="P566">
        <v>0</v>
      </c>
      <c r="Q566" s="22">
        <v>33480</v>
      </c>
      <c r="R566">
        <v>3</v>
      </c>
      <c r="S566" s="1">
        <v>0</v>
      </c>
      <c r="T566">
        <v>0</v>
      </c>
      <c r="U566">
        <v>0</v>
      </c>
      <c r="V566" s="21">
        <v>16740</v>
      </c>
      <c r="W566">
        <v>15</v>
      </c>
      <c r="X566">
        <v>0</v>
      </c>
      <c r="Y566">
        <v>0</v>
      </c>
      <c r="Z566">
        <v>0</v>
      </c>
      <c r="AA566">
        <v>1</v>
      </c>
    </row>
    <row r="567" spans="1:27" ht="14.25" x14ac:dyDescent="0.2">
      <c r="A567" s="11">
        <v>10634</v>
      </c>
      <c r="B567" t="s">
        <v>178</v>
      </c>
      <c r="C567" t="s">
        <v>121</v>
      </c>
      <c r="D567" t="s">
        <v>121</v>
      </c>
      <c r="E567" t="s">
        <v>121</v>
      </c>
      <c r="F567" s="6" t="s">
        <v>992</v>
      </c>
      <c r="H567">
        <v>2</v>
      </c>
      <c r="I567" s="1">
        <v>0</v>
      </c>
      <c r="J567">
        <v>0</v>
      </c>
      <c r="K567">
        <v>0</v>
      </c>
      <c r="L567" s="20">
        <v>11160</v>
      </c>
      <c r="M567">
        <v>1</v>
      </c>
      <c r="N567">
        <v>0</v>
      </c>
      <c r="O567">
        <v>0</v>
      </c>
      <c r="P567">
        <v>0</v>
      </c>
      <c r="Q567" s="22">
        <v>33480</v>
      </c>
      <c r="R567">
        <v>3</v>
      </c>
      <c r="S567" s="1">
        <v>0</v>
      </c>
      <c r="T567">
        <v>0</v>
      </c>
      <c r="U567">
        <v>0</v>
      </c>
      <c r="V567" s="21">
        <v>16740</v>
      </c>
      <c r="W567">
        <v>21</v>
      </c>
      <c r="X567">
        <v>0</v>
      </c>
      <c r="Y567">
        <v>0</v>
      </c>
      <c r="Z567">
        <v>0</v>
      </c>
      <c r="AA567">
        <v>1</v>
      </c>
    </row>
    <row r="568" spans="1:27" ht="14.25" x14ac:dyDescent="0.2">
      <c r="A568" s="11">
        <v>10635</v>
      </c>
      <c r="B568" t="s">
        <v>130</v>
      </c>
      <c r="C568" t="s">
        <v>121</v>
      </c>
      <c r="D568" t="s">
        <v>121</v>
      </c>
      <c r="E568" t="s">
        <v>121</v>
      </c>
      <c r="F568" s="6" t="s">
        <v>994</v>
      </c>
      <c r="H568">
        <v>2</v>
      </c>
      <c r="I568" s="1">
        <v>0</v>
      </c>
      <c r="J568">
        <v>0</v>
      </c>
      <c r="K568">
        <v>0</v>
      </c>
      <c r="L568" s="20">
        <v>11160</v>
      </c>
      <c r="M568">
        <v>1</v>
      </c>
      <c r="N568">
        <v>0</v>
      </c>
      <c r="O568">
        <v>0</v>
      </c>
      <c r="P568">
        <v>0</v>
      </c>
      <c r="Q568" s="22">
        <v>33480</v>
      </c>
      <c r="R568">
        <v>3</v>
      </c>
      <c r="S568" s="1">
        <v>0</v>
      </c>
      <c r="T568">
        <v>0</v>
      </c>
      <c r="U568">
        <v>0</v>
      </c>
      <c r="V568" s="21">
        <v>16740</v>
      </c>
      <c r="W568">
        <v>9</v>
      </c>
      <c r="X568">
        <v>0</v>
      </c>
      <c r="Y568">
        <v>0</v>
      </c>
      <c r="Z568">
        <v>0</v>
      </c>
      <c r="AA568">
        <v>10</v>
      </c>
    </row>
    <row r="569" spans="1:27" ht="14.25" x14ac:dyDescent="0.2">
      <c r="A569" s="11">
        <v>10636</v>
      </c>
      <c r="B569" t="s">
        <v>181</v>
      </c>
      <c r="C569" t="s">
        <v>121</v>
      </c>
      <c r="D569" t="s">
        <v>121</v>
      </c>
      <c r="E569" t="s">
        <v>121</v>
      </c>
      <c r="F569" s="6" t="s">
        <v>996</v>
      </c>
      <c r="H569">
        <v>2</v>
      </c>
      <c r="I569" s="1">
        <v>0</v>
      </c>
      <c r="J569">
        <v>0</v>
      </c>
      <c r="K569">
        <v>0</v>
      </c>
      <c r="L569" s="20">
        <v>11240</v>
      </c>
      <c r="M569">
        <v>1</v>
      </c>
      <c r="N569">
        <v>0</v>
      </c>
      <c r="O569">
        <v>0</v>
      </c>
      <c r="P569">
        <v>0</v>
      </c>
      <c r="Q569" s="22">
        <v>33480</v>
      </c>
      <c r="R569">
        <v>3</v>
      </c>
      <c r="S569" s="1">
        <v>0</v>
      </c>
      <c r="T569">
        <v>0</v>
      </c>
      <c r="U569">
        <v>0</v>
      </c>
      <c r="V569" s="21">
        <v>16740</v>
      </c>
      <c r="W569">
        <v>30</v>
      </c>
      <c r="X569">
        <v>0</v>
      </c>
      <c r="Y569">
        <v>0</v>
      </c>
      <c r="Z569">
        <v>0</v>
      </c>
      <c r="AA569">
        <v>10</v>
      </c>
    </row>
    <row r="570" spans="1:27" ht="14.25" x14ac:dyDescent="0.2">
      <c r="A570" s="11">
        <v>10637</v>
      </c>
      <c r="B570" t="s">
        <v>122</v>
      </c>
      <c r="C570" t="s">
        <v>121</v>
      </c>
      <c r="D570" t="s">
        <v>121</v>
      </c>
      <c r="E570" t="s">
        <v>121</v>
      </c>
      <c r="F570" s="6" t="s">
        <v>996</v>
      </c>
      <c r="H570">
        <v>2</v>
      </c>
      <c r="I570" s="1">
        <v>0</v>
      </c>
      <c r="J570">
        <v>0</v>
      </c>
      <c r="K570">
        <v>0</v>
      </c>
      <c r="L570" s="20">
        <v>11240</v>
      </c>
      <c r="M570">
        <v>1</v>
      </c>
      <c r="N570">
        <v>0</v>
      </c>
      <c r="O570">
        <v>0</v>
      </c>
      <c r="P570">
        <v>0</v>
      </c>
      <c r="Q570" s="22">
        <v>33480</v>
      </c>
      <c r="R570">
        <v>3</v>
      </c>
      <c r="S570" s="1">
        <v>0</v>
      </c>
      <c r="T570">
        <v>0</v>
      </c>
      <c r="U570">
        <v>0</v>
      </c>
      <c r="V570" s="21">
        <v>16740</v>
      </c>
      <c r="W570">
        <v>4</v>
      </c>
      <c r="X570">
        <v>0</v>
      </c>
      <c r="Y570">
        <v>0</v>
      </c>
      <c r="Z570">
        <v>0</v>
      </c>
      <c r="AA570">
        <v>10</v>
      </c>
    </row>
    <row r="571" spans="1:27" ht="14.25" x14ac:dyDescent="0.2">
      <c r="A571" s="11">
        <v>10638</v>
      </c>
      <c r="B571" t="s">
        <v>178</v>
      </c>
      <c r="C571" t="s">
        <v>121</v>
      </c>
      <c r="D571" t="s">
        <v>121</v>
      </c>
      <c r="E571" t="s">
        <v>121</v>
      </c>
      <c r="F571" s="6" t="s">
        <v>998</v>
      </c>
      <c r="H571">
        <v>2</v>
      </c>
      <c r="I571" s="1">
        <v>0</v>
      </c>
      <c r="J571">
        <v>0</v>
      </c>
      <c r="K571">
        <v>0</v>
      </c>
      <c r="L571" s="20">
        <v>11240</v>
      </c>
      <c r="M571">
        <v>1</v>
      </c>
      <c r="N571">
        <v>0</v>
      </c>
      <c r="O571">
        <v>0</v>
      </c>
      <c r="P571">
        <v>0</v>
      </c>
      <c r="Q571" s="22">
        <v>33720</v>
      </c>
      <c r="R571">
        <v>3</v>
      </c>
      <c r="S571" s="1">
        <v>0</v>
      </c>
      <c r="T571">
        <v>0</v>
      </c>
      <c r="U571">
        <v>0</v>
      </c>
      <c r="V571" s="21">
        <v>16860</v>
      </c>
      <c r="W571">
        <v>21</v>
      </c>
      <c r="X571">
        <v>0</v>
      </c>
      <c r="Y571">
        <v>0</v>
      </c>
      <c r="Z571">
        <v>0</v>
      </c>
      <c r="AA571">
        <v>1</v>
      </c>
    </row>
    <row r="572" spans="1:27" ht="14.25" x14ac:dyDescent="0.2">
      <c r="A572" s="11">
        <v>10639</v>
      </c>
      <c r="B572" t="s">
        <v>130</v>
      </c>
      <c r="C572" t="s">
        <v>121</v>
      </c>
      <c r="D572" t="s">
        <v>121</v>
      </c>
      <c r="E572" t="s">
        <v>121</v>
      </c>
      <c r="F572" s="6" t="s">
        <v>1000</v>
      </c>
      <c r="H572">
        <v>2</v>
      </c>
      <c r="I572" s="1">
        <v>0</v>
      </c>
      <c r="J572">
        <v>0</v>
      </c>
      <c r="K572">
        <v>0</v>
      </c>
      <c r="L572" s="20">
        <v>11240</v>
      </c>
      <c r="M572">
        <v>1</v>
      </c>
      <c r="N572">
        <v>0</v>
      </c>
      <c r="O572">
        <v>0</v>
      </c>
      <c r="P572">
        <v>0</v>
      </c>
      <c r="Q572" s="22">
        <v>33720</v>
      </c>
      <c r="R572">
        <v>3</v>
      </c>
      <c r="S572" s="1">
        <v>0</v>
      </c>
      <c r="T572">
        <v>0</v>
      </c>
      <c r="U572">
        <v>0</v>
      </c>
      <c r="V572" s="21">
        <v>16860</v>
      </c>
      <c r="W572">
        <v>9</v>
      </c>
      <c r="X572">
        <v>0</v>
      </c>
      <c r="Y572">
        <v>0</v>
      </c>
      <c r="Z572">
        <v>0</v>
      </c>
      <c r="AA572">
        <v>10</v>
      </c>
    </row>
    <row r="573" spans="1:27" ht="14.25" x14ac:dyDescent="0.2">
      <c r="A573" s="11">
        <v>10640</v>
      </c>
      <c r="B573" t="s">
        <v>123</v>
      </c>
      <c r="C573" t="s">
        <v>121</v>
      </c>
      <c r="D573" t="s">
        <v>121</v>
      </c>
      <c r="E573" t="s">
        <v>121</v>
      </c>
      <c r="F573" s="6" t="s">
        <v>1000</v>
      </c>
      <c r="H573">
        <v>2</v>
      </c>
      <c r="I573" s="1">
        <v>0</v>
      </c>
      <c r="J573">
        <v>0</v>
      </c>
      <c r="K573">
        <v>0</v>
      </c>
      <c r="L573" s="20">
        <v>11240</v>
      </c>
      <c r="M573">
        <v>1</v>
      </c>
      <c r="N573">
        <v>0</v>
      </c>
      <c r="O573">
        <v>0</v>
      </c>
      <c r="P573">
        <v>0</v>
      </c>
      <c r="Q573" s="22">
        <v>33720</v>
      </c>
      <c r="R573">
        <v>3</v>
      </c>
      <c r="S573" s="1">
        <v>0</v>
      </c>
      <c r="T573">
        <v>0</v>
      </c>
      <c r="U573">
        <v>0</v>
      </c>
      <c r="V573" s="21">
        <v>16860</v>
      </c>
      <c r="W573">
        <v>12</v>
      </c>
      <c r="X573">
        <v>0</v>
      </c>
      <c r="Y573">
        <v>0</v>
      </c>
      <c r="Z573">
        <v>0</v>
      </c>
      <c r="AA573">
        <v>10</v>
      </c>
    </row>
    <row r="574" spans="1:27" ht="14.25" x14ac:dyDescent="0.2">
      <c r="A574" s="11">
        <v>10641</v>
      </c>
      <c r="B574" t="s">
        <v>126</v>
      </c>
      <c r="C574" t="s">
        <v>121</v>
      </c>
      <c r="D574" t="s">
        <v>121</v>
      </c>
      <c r="E574" t="s">
        <v>121</v>
      </c>
      <c r="F574" s="6" t="s">
        <v>1002</v>
      </c>
      <c r="H574">
        <v>2</v>
      </c>
      <c r="I574" s="1">
        <v>0</v>
      </c>
      <c r="J574">
        <v>0</v>
      </c>
      <c r="K574">
        <v>0</v>
      </c>
      <c r="L574" s="20">
        <v>11320</v>
      </c>
      <c r="M574">
        <v>1</v>
      </c>
      <c r="N574">
        <v>0</v>
      </c>
      <c r="O574">
        <v>0</v>
      </c>
      <c r="P574">
        <v>0</v>
      </c>
      <c r="Q574" s="22">
        <v>33720</v>
      </c>
      <c r="R574">
        <v>3</v>
      </c>
      <c r="S574" s="1">
        <v>0</v>
      </c>
      <c r="T574">
        <v>0</v>
      </c>
      <c r="U574">
        <v>0</v>
      </c>
      <c r="V574" s="21">
        <v>16860</v>
      </c>
      <c r="W574">
        <v>23</v>
      </c>
      <c r="X574">
        <v>0</v>
      </c>
      <c r="Y574">
        <v>0</v>
      </c>
      <c r="Z574">
        <v>0</v>
      </c>
      <c r="AA574">
        <v>1</v>
      </c>
    </row>
    <row r="575" spans="1:27" ht="14.25" x14ac:dyDescent="0.2">
      <c r="A575" s="11">
        <v>10642</v>
      </c>
      <c r="B575" t="s">
        <v>131</v>
      </c>
      <c r="C575" t="s">
        <v>125</v>
      </c>
      <c r="D575" t="s">
        <v>121</v>
      </c>
      <c r="E575" t="s">
        <v>136</v>
      </c>
      <c r="F575" s="6" t="s">
        <v>1004</v>
      </c>
      <c r="H575">
        <v>2</v>
      </c>
      <c r="I575" s="1">
        <v>0</v>
      </c>
      <c r="J575">
        <v>0</v>
      </c>
      <c r="K575">
        <v>0</v>
      </c>
      <c r="L575" s="20">
        <v>11320</v>
      </c>
      <c r="M575">
        <v>1</v>
      </c>
      <c r="N575">
        <v>0</v>
      </c>
      <c r="O575">
        <v>0</v>
      </c>
      <c r="P575">
        <v>0</v>
      </c>
      <c r="Q575" s="22">
        <v>33720</v>
      </c>
      <c r="R575">
        <v>3</v>
      </c>
      <c r="S575" s="1">
        <v>0</v>
      </c>
      <c r="T575">
        <v>0</v>
      </c>
      <c r="U575">
        <v>0</v>
      </c>
      <c r="V575" s="21">
        <v>16860</v>
      </c>
      <c r="W575">
        <v>6</v>
      </c>
      <c r="X575">
        <v>1</v>
      </c>
      <c r="Y575">
        <v>0</v>
      </c>
      <c r="Z575">
        <v>3</v>
      </c>
      <c r="AA575">
        <v>10</v>
      </c>
    </row>
    <row r="576" spans="1:27" ht="14.25" x14ac:dyDescent="0.2">
      <c r="A576" s="11">
        <v>10643</v>
      </c>
      <c r="B576" t="s">
        <v>180</v>
      </c>
      <c r="C576" t="s">
        <v>121</v>
      </c>
      <c r="D576" t="s">
        <v>121</v>
      </c>
      <c r="E576" t="s">
        <v>121</v>
      </c>
      <c r="F576" s="6" t="s">
        <v>1006</v>
      </c>
      <c r="H576">
        <v>2</v>
      </c>
      <c r="I576" s="1">
        <v>0</v>
      </c>
      <c r="J576">
        <v>0</v>
      </c>
      <c r="K576">
        <v>0</v>
      </c>
      <c r="L576" s="20">
        <v>11320</v>
      </c>
      <c r="M576">
        <v>1</v>
      </c>
      <c r="N576">
        <v>0</v>
      </c>
      <c r="O576">
        <v>0</v>
      </c>
      <c r="P576">
        <v>0</v>
      </c>
      <c r="Q576" s="22">
        <v>33960</v>
      </c>
      <c r="R576">
        <v>3</v>
      </c>
      <c r="S576" s="1">
        <v>0</v>
      </c>
      <c r="T576">
        <v>0</v>
      </c>
      <c r="U576">
        <v>0</v>
      </c>
      <c r="V576" s="21">
        <v>16980</v>
      </c>
      <c r="W576">
        <v>15</v>
      </c>
      <c r="X576">
        <v>0</v>
      </c>
      <c r="Y576">
        <v>0</v>
      </c>
      <c r="Z576">
        <v>0</v>
      </c>
      <c r="AA576">
        <v>1</v>
      </c>
    </row>
    <row r="577" spans="1:27" ht="14.25" x14ac:dyDescent="0.2">
      <c r="A577" s="11">
        <v>10644</v>
      </c>
      <c r="B577" t="s">
        <v>178</v>
      </c>
      <c r="C577" t="s">
        <v>121</v>
      </c>
      <c r="D577" t="s">
        <v>121</v>
      </c>
      <c r="E577" t="s">
        <v>121</v>
      </c>
      <c r="F577" s="6" t="s">
        <v>1006</v>
      </c>
      <c r="H577">
        <v>2</v>
      </c>
      <c r="I577" s="1">
        <v>0</v>
      </c>
      <c r="J577">
        <v>0</v>
      </c>
      <c r="K577">
        <v>0</v>
      </c>
      <c r="L577" s="20">
        <v>11320</v>
      </c>
      <c r="M577">
        <v>1</v>
      </c>
      <c r="N577">
        <v>0</v>
      </c>
      <c r="O577">
        <v>0</v>
      </c>
      <c r="P577">
        <v>0</v>
      </c>
      <c r="Q577" s="22">
        <v>33960</v>
      </c>
      <c r="R577">
        <v>3</v>
      </c>
      <c r="S577" s="1">
        <v>0</v>
      </c>
      <c r="T577">
        <v>0</v>
      </c>
      <c r="U577">
        <v>0</v>
      </c>
      <c r="V577" s="21">
        <v>16980</v>
      </c>
      <c r="W577">
        <v>21</v>
      </c>
      <c r="X577">
        <v>0</v>
      </c>
      <c r="Y577">
        <v>0</v>
      </c>
      <c r="Z577">
        <v>0</v>
      </c>
      <c r="AA577">
        <v>1</v>
      </c>
    </row>
    <row r="578" spans="1:27" ht="14.25" x14ac:dyDescent="0.2">
      <c r="A578" s="11">
        <v>10645</v>
      </c>
      <c r="B578" t="s">
        <v>130</v>
      </c>
      <c r="C578" t="s">
        <v>121</v>
      </c>
      <c r="D578" t="s">
        <v>121</v>
      </c>
      <c r="E578" t="s">
        <v>121</v>
      </c>
      <c r="F578" s="6" t="s">
        <v>1008</v>
      </c>
      <c r="H578">
        <v>2</v>
      </c>
      <c r="I578" s="1">
        <v>0</v>
      </c>
      <c r="J578">
        <v>0</v>
      </c>
      <c r="K578">
        <v>0</v>
      </c>
      <c r="L578" s="20">
        <v>11320</v>
      </c>
      <c r="M578">
        <v>1</v>
      </c>
      <c r="N578">
        <v>0</v>
      </c>
      <c r="O578">
        <v>0</v>
      </c>
      <c r="P578">
        <v>0</v>
      </c>
      <c r="Q578" s="22">
        <v>33960</v>
      </c>
      <c r="R578">
        <v>3</v>
      </c>
      <c r="S578" s="1">
        <v>0</v>
      </c>
      <c r="T578">
        <v>0</v>
      </c>
      <c r="U578">
        <v>0</v>
      </c>
      <c r="V578" s="21">
        <v>16980</v>
      </c>
      <c r="W578">
        <v>9</v>
      </c>
      <c r="X578">
        <v>0</v>
      </c>
      <c r="Y578">
        <v>0</v>
      </c>
      <c r="Z578">
        <v>0</v>
      </c>
      <c r="AA578">
        <v>10</v>
      </c>
    </row>
    <row r="579" spans="1:27" ht="14.25" x14ac:dyDescent="0.2">
      <c r="A579" s="11">
        <v>10646</v>
      </c>
      <c r="B579" t="s">
        <v>181</v>
      </c>
      <c r="C579" t="s">
        <v>121</v>
      </c>
      <c r="D579" t="s">
        <v>121</v>
      </c>
      <c r="E579" t="s">
        <v>121</v>
      </c>
      <c r="F579" s="6" t="s">
        <v>1010</v>
      </c>
      <c r="H579">
        <v>2</v>
      </c>
      <c r="I579" s="1">
        <v>0</v>
      </c>
      <c r="J579">
        <v>0</v>
      </c>
      <c r="K579">
        <v>0</v>
      </c>
      <c r="L579" s="20">
        <v>11400</v>
      </c>
      <c r="M579">
        <v>1</v>
      </c>
      <c r="N579">
        <v>0</v>
      </c>
      <c r="O579">
        <v>0</v>
      </c>
      <c r="P579">
        <v>0</v>
      </c>
      <c r="Q579" s="22">
        <v>33960</v>
      </c>
      <c r="R579">
        <v>3</v>
      </c>
      <c r="S579" s="1">
        <v>0</v>
      </c>
      <c r="T579">
        <v>0</v>
      </c>
      <c r="U579">
        <v>0</v>
      </c>
      <c r="V579" s="21">
        <v>16980</v>
      </c>
      <c r="W579">
        <v>30</v>
      </c>
      <c r="X579">
        <v>0</v>
      </c>
      <c r="Y579">
        <v>0</v>
      </c>
      <c r="Z579">
        <v>0</v>
      </c>
      <c r="AA579">
        <v>10</v>
      </c>
    </row>
    <row r="580" spans="1:27" ht="14.25" x14ac:dyDescent="0.2">
      <c r="A580" s="11">
        <v>10647</v>
      </c>
      <c r="B580" t="s">
        <v>122</v>
      </c>
      <c r="C580" t="s">
        <v>121</v>
      </c>
      <c r="D580" t="s">
        <v>121</v>
      </c>
      <c r="E580" t="s">
        <v>121</v>
      </c>
      <c r="F580" s="6" t="s">
        <v>1010</v>
      </c>
      <c r="H580">
        <v>2</v>
      </c>
      <c r="I580" s="1">
        <v>0</v>
      </c>
      <c r="J580">
        <v>0</v>
      </c>
      <c r="K580">
        <v>0</v>
      </c>
      <c r="L580" s="20">
        <v>11400</v>
      </c>
      <c r="M580">
        <v>1</v>
      </c>
      <c r="N580">
        <v>0</v>
      </c>
      <c r="O580">
        <v>0</v>
      </c>
      <c r="P580">
        <v>0</v>
      </c>
      <c r="Q580" s="22">
        <v>33960</v>
      </c>
      <c r="R580">
        <v>3</v>
      </c>
      <c r="S580" s="1">
        <v>0</v>
      </c>
      <c r="T580">
        <v>0</v>
      </c>
      <c r="U580">
        <v>0</v>
      </c>
      <c r="V580" s="21">
        <v>16980</v>
      </c>
      <c r="W580">
        <v>4</v>
      </c>
      <c r="X580">
        <v>0</v>
      </c>
      <c r="Y580">
        <v>0</v>
      </c>
      <c r="Z580">
        <v>0</v>
      </c>
      <c r="AA580">
        <v>10</v>
      </c>
    </row>
    <row r="581" spans="1:27" ht="14.25" x14ac:dyDescent="0.2">
      <c r="A581" s="11">
        <v>10648</v>
      </c>
      <c r="B581" t="s">
        <v>178</v>
      </c>
      <c r="C581" t="s">
        <v>121</v>
      </c>
      <c r="D581" t="s">
        <v>121</v>
      </c>
      <c r="E581" t="s">
        <v>121</v>
      </c>
      <c r="F581" s="6" t="s">
        <v>1012</v>
      </c>
      <c r="H581">
        <v>2</v>
      </c>
      <c r="I581" s="1">
        <v>0</v>
      </c>
      <c r="J581">
        <v>0</v>
      </c>
      <c r="K581">
        <v>0</v>
      </c>
      <c r="L581" s="20">
        <v>11400</v>
      </c>
      <c r="M581">
        <v>1</v>
      </c>
      <c r="N581">
        <v>0</v>
      </c>
      <c r="O581">
        <v>0</v>
      </c>
      <c r="P581">
        <v>0</v>
      </c>
      <c r="Q581" s="22">
        <v>34200</v>
      </c>
      <c r="R581">
        <v>3</v>
      </c>
      <c r="S581" s="1">
        <v>0</v>
      </c>
      <c r="T581">
        <v>0</v>
      </c>
      <c r="U581">
        <v>0</v>
      </c>
      <c r="V581" s="21">
        <v>17100</v>
      </c>
      <c r="W581">
        <v>21</v>
      </c>
      <c r="X581">
        <v>0</v>
      </c>
      <c r="Y581">
        <v>0</v>
      </c>
      <c r="Z581">
        <v>0</v>
      </c>
      <c r="AA581">
        <v>1</v>
      </c>
    </row>
    <row r="582" spans="1:27" ht="14.25" x14ac:dyDescent="0.2">
      <c r="A582" s="11">
        <v>10649</v>
      </c>
      <c r="B582" t="s">
        <v>130</v>
      </c>
      <c r="C582" t="s">
        <v>121</v>
      </c>
      <c r="D582" t="s">
        <v>121</v>
      </c>
      <c r="E582" t="s">
        <v>121</v>
      </c>
      <c r="F582" s="6" t="s">
        <v>1014</v>
      </c>
      <c r="H582">
        <v>2</v>
      </c>
      <c r="I582" s="1">
        <v>0</v>
      </c>
      <c r="J582">
        <v>0</v>
      </c>
      <c r="K582">
        <v>0</v>
      </c>
      <c r="L582" s="20">
        <v>11400</v>
      </c>
      <c r="M582">
        <v>1</v>
      </c>
      <c r="N582">
        <v>0</v>
      </c>
      <c r="O582">
        <v>0</v>
      </c>
      <c r="P582">
        <v>0</v>
      </c>
      <c r="Q582" s="22">
        <v>34200</v>
      </c>
      <c r="R582">
        <v>3</v>
      </c>
      <c r="S582" s="1">
        <v>0</v>
      </c>
      <c r="T582">
        <v>0</v>
      </c>
      <c r="U582">
        <v>0</v>
      </c>
      <c r="V582" s="21">
        <v>17100</v>
      </c>
      <c r="W582">
        <v>9</v>
      </c>
      <c r="X582">
        <v>0</v>
      </c>
      <c r="Y582">
        <v>0</v>
      </c>
      <c r="Z582">
        <v>0</v>
      </c>
      <c r="AA582">
        <v>10</v>
      </c>
    </row>
    <row r="583" spans="1:27" ht="14.25" x14ac:dyDescent="0.2">
      <c r="A583" s="11">
        <v>10650</v>
      </c>
      <c r="B583" t="s">
        <v>123</v>
      </c>
      <c r="C583" t="s">
        <v>121</v>
      </c>
      <c r="D583" t="s">
        <v>121</v>
      </c>
      <c r="E583" t="s">
        <v>121</v>
      </c>
      <c r="F583" s="6" t="s">
        <v>1014</v>
      </c>
      <c r="H583">
        <v>2</v>
      </c>
      <c r="I583" s="1">
        <v>0</v>
      </c>
      <c r="J583">
        <v>0</v>
      </c>
      <c r="K583">
        <v>0</v>
      </c>
      <c r="L583" s="20">
        <v>11400</v>
      </c>
      <c r="M583">
        <v>1</v>
      </c>
      <c r="N583">
        <v>0</v>
      </c>
      <c r="O583">
        <v>0</v>
      </c>
      <c r="P583">
        <v>0</v>
      </c>
      <c r="Q583" s="22">
        <v>34200</v>
      </c>
      <c r="R583">
        <v>3</v>
      </c>
      <c r="S583" s="1">
        <v>0</v>
      </c>
      <c r="T583">
        <v>0</v>
      </c>
      <c r="U583">
        <v>0</v>
      </c>
      <c r="V583" s="21">
        <v>17100</v>
      </c>
      <c r="W583">
        <v>12</v>
      </c>
      <c r="X583">
        <v>0</v>
      </c>
      <c r="Y583">
        <v>0</v>
      </c>
      <c r="Z583">
        <v>0</v>
      </c>
      <c r="AA583">
        <v>10</v>
      </c>
    </row>
    <row r="584" spans="1:27" ht="14.25" x14ac:dyDescent="0.2">
      <c r="A584" s="11">
        <v>10701</v>
      </c>
      <c r="B584" t="s">
        <v>126</v>
      </c>
      <c r="C584" t="s">
        <v>121</v>
      </c>
      <c r="D584" t="s">
        <v>121</v>
      </c>
      <c r="E584" t="s">
        <v>121</v>
      </c>
      <c r="F584" s="6" t="s">
        <v>1016</v>
      </c>
      <c r="H584">
        <v>2</v>
      </c>
      <c r="I584" s="1">
        <v>0</v>
      </c>
      <c r="J584">
        <v>0</v>
      </c>
      <c r="K584">
        <v>0</v>
      </c>
      <c r="L584" s="20">
        <v>11480</v>
      </c>
      <c r="M584">
        <v>1</v>
      </c>
      <c r="N584">
        <v>0</v>
      </c>
      <c r="O584">
        <v>0</v>
      </c>
      <c r="P584">
        <v>0</v>
      </c>
      <c r="Q584" s="22">
        <v>34200</v>
      </c>
      <c r="R584">
        <v>3</v>
      </c>
      <c r="S584" s="1">
        <v>0</v>
      </c>
      <c r="T584">
        <v>0</v>
      </c>
      <c r="U584">
        <v>0</v>
      </c>
      <c r="V584" s="21">
        <v>17100</v>
      </c>
      <c r="W584">
        <v>23</v>
      </c>
      <c r="X584">
        <v>0</v>
      </c>
      <c r="Y584">
        <v>0</v>
      </c>
      <c r="Z584">
        <v>0</v>
      </c>
      <c r="AA584">
        <v>1</v>
      </c>
    </row>
    <row r="585" spans="1:27" ht="14.25" x14ac:dyDescent="0.2">
      <c r="A585" s="11">
        <v>10702</v>
      </c>
      <c r="B585" t="s">
        <v>131</v>
      </c>
      <c r="C585" t="s">
        <v>125</v>
      </c>
      <c r="D585" t="s">
        <v>121</v>
      </c>
      <c r="E585" t="s">
        <v>136</v>
      </c>
      <c r="F585" s="6" t="s">
        <v>1018</v>
      </c>
      <c r="H585">
        <v>2</v>
      </c>
      <c r="I585" s="1">
        <v>0</v>
      </c>
      <c r="J585">
        <v>0</v>
      </c>
      <c r="K585">
        <v>0</v>
      </c>
      <c r="L585" s="20">
        <v>11480</v>
      </c>
      <c r="M585">
        <v>1</v>
      </c>
      <c r="N585">
        <v>0</v>
      </c>
      <c r="O585">
        <v>0</v>
      </c>
      <c r="P585">
        <v>0</v>
      </c>
      <c r="Q585" s="22">
        <v>34200</v>
      </c>
      <c r="R585">
        <v>3</v>
      </c>
      <c r="S585" s="1">
        <v>0</v>
      </c>
      <c r="T585">
        <v>0</v>
      </c>
      <c r="U585">
        <v>0</v>
      </c>
      <c r="V585" s="21">
        <v>17100</v>
      </c>
      <c r="W585">
        <v>6</v>
      </c>
      <c r="X585">
        <v>1</v>
      </c>
      <c r="Y585">
        <v>0</v>
      </c>
      <c r="Z585">
        <v>3</v>
      </c>
      <c r="AA585">
        <v>10</v>
      </c>
    </row>
    <row r="586" spans="1:27" ht="14.25" x14ac:dyDescent="0.2">
      <c r="A586" s="11">
        <v>10703</v>
      </c>
      <c r="B586" t="s">
        <v>180</v>
      </c>
      <c r="C586" t="s">
        <v>121</v>
      </c>
      <c r="D586" t="s">
        <v>121</v>
      </c>
      <c r="E586" t="s">
        <v>121</v>
      </c>
      <c r="F586" s="6" t="s">
        <v>1020</v>
      </c>
      <c r="H586">
        <v>2</v>
      </c>
      <c r="I586" s="1">
        <v>0</v>
      </c>
      <c r="J586">
        <v>0</v>
      </c>
      <c r="K586">
        <v>0</v>
      </c>
      <c r="L586" s="20">
        <v>11480</v>
      </c>
      <c r="M586">
        <v>1</v>
      </c>
      <c r="N586">
        <v>0</v>
      </c>
      <c r="O586">
        <v>0</v>
      </c>
      <c r="P586">
        <v>0</v>
      </c>
      <c r="Q586" s="22">
        <v>34440</v>
      </c>
      <c r="R586">
        <v>3</v>
      </c>
      <c r="S586" s="1">
        <v>0</v>
      </c>
      <c r="T586">
        <v>0</v>
      </c>
      <c r="U586">
        <v>0</v>
      </c>
      <c r="V586" s="21">
        <v>17220</v>
      </c>
      <c r="W586">
        <v>15</v>
      </c>
      <c r="X586">
        <v>0</v>
      </c>
      <c r="Y586">
        <v>0</v>
      </c>
      <c r="Z586">
        <v>0</v>
      </c>
      <c r="AA586">
        <v>1</v>
      </c>
    </row>
    <row r="587" spans="1:27" ht="14.25" x14ac:dyDescent="0.2">
      <c r="A587" s="11">
        <v>10704</v>
      </c>
      <c r="B587" t="s">
        <v>178</v>
      </c>
      <c r="C587" t="s">
        <v>121</v>
      </c>
      <c r="D587" t="s">
        <v>121</v>
      </c>
      <c r="E587" t="s">
        <v>121</v>
      </c>
      <c r="F587" s="6" t="s">
        <v>1020</v>
      </c>
      <c r="H587">
        <v>2</v>
      </c>
      <c r="I587" s="1">
        <v>0</v>
      </c>
      <c r="J587">
        <v>0</v>
      </c>
      <c r="K587">
        <v>0</v>
      </c>
      <c r="L587" s="20">
        <v>11480</v>
      </c>
      <c r="M587">
        <v>1</v>
      </c>
      <c r="N587">
        <v>0</v>
      </c>
      <c r="O587">
        <v>0</v>
      </c>
      <c r="P587">
        <v>0</v>
      </c>
      <c r="Q587" s="22">
        <v>34440</v>
      </c>
      <c r="R587">
        <v>3</v>
      </c>
      <c r="S587" s="1">
        <v>0</v>
      </c>
      <c r="T587">
        <v>0</v>
      </c>
      <c r="U587">
        <v>0</v>
      </c>
      <c r="V587" s="21">
        <v>17220</v>
      </c>
      <c r="W587">
        <v>21</v>
      </c>
      <c r="X587">
        <v>0</v>
      </c>
      <c r="Y587">
        <v>0</v>
      </c>
      <c r="Z587">
        <v>0</v>
      </c>
      <c r="AA587">
        <v>1</v>
      </c>
    </row>
    <row r="588" spans="1:27" ht="14.25" x14ac:dyDescent="0.2">
      <c r="A588" s="11">
        <v>10705</v>
      </c>
      <c r="B588" t="s">
        <v>130</v>
      </c>
      <c r="C588" t="s">
        <v>121</v>
      </c>
      <c r="D588" t="s">
        <v>121</v>
      </c>
      <c r="E588" t="s">
        <v>121</v>
      </c>
      <c r="F588" s="6" t="s">
        <v>1022</v>
      </c>
      <c r="H588">
        <v>2</v>
      </c>
      <c r="I588" s="1">
        <v>0</v>
      </c>
      <c r="J588">
        <v>0</v>
      </c>
      <c r="K588">
        <v>0</v>
      </c>
      <c r="L588" s="20">
        <v>11480</v>
      </c>
      <c r="M588">
        <v>1</v>
      </c>
      <c r="N588">
        <v>0</v>
      </c>
      <c r="O588">
        <v>0</v>
      </c>
      <c r="P588">
        <v>0</v>
      </c>
      <c r="Q588" s="22">
        <v>34440</v>
      </c>
      <c r="R588">
        <v>3</v>
      </c>
      <c r="S588" s="1">
        <v>0</v>
      </c>
      <c r="T588">
        <v>0</v>
      </c>
      <c r="U588">
        <v>0</v>
      </c>
      <c r="V588" s="21">
        <v>17220</v>
      </c>
      <c r="W588">
        <v>9</v>
      </c>
      <c r="X588">
        <v>0</v>
      </c>
      <c r="Y588">
        <v>0</v>
      </c>
      <c r="Z588">
        <v>0</v>
      </c>
      <c r="AA588">
        <v>10</v>
      </c>
    </row>
    <row r="589" spans="1:27" ht="14.25" x14ac:dyDescent="0.2">
      <c r="A589" s="11">
        <v>10706</v>
      </c>
      <c r="B589" t="s">
        <v>181</v>
      </c>
      <c r="C589" t="s">
        <v>121</v>
      </c>
      <c r="D589" t="s">
        <v>121</v>
      </c>
      <c r="E589" t="s">
        <v>121</v>
      </c>
      <c r="F589" s="6" t="s">
        <v>1024</v>
      </c>
      <c r="H589">
        <v>2</v>
      </c>
      <c r="I589" s="1">
        <v>0</v>
      </c>
      <c r="J589">
        <v>0</v>
      </c>
      <c r="K589">
        <v>0</v>
      </c>
      <c r="L589" s="20">
        <v>11560</v>
      </c>
      <c r="M589">
        <v>1</v>
      </c>
      <c r="N589">
        <v>0</v>
      </c>
      <c r="O589">
        <v>0</v>
      </c>
      <c r="P589">
        <v>0</v>
      </c>
      <c r="Q589" s="22">
        <v>34440</v>
      </c>
      <c r="R589">
        <v>3</v>
      </c>
      <c r="S589" s="1">
        <v>0</v>
      </c>
      <c r="T589">
        <v>0</v>
      </c>
      <c r="U589">
        <v>0</v>
      </c>
      <c r="V589" s="21">
        <v>17220</v>
      </c>
      <c r="W589">
        <v>30</v>
      </c>
      <c r="X589">
        <v>0</v>
      </c>
      <c r="Y589">
        <v>0</v>
      </c>
      <c r="Z589">
        <v>0</v>
      </c>
      <c r="AA589">
        <v>10</v>
      </c>
    </row>
    <row r="590" spans="1:27" ht="14.25" x14ac:dyDescent="0.2">
      <c r="A590" s="11">
        <v>10707</v>
      </c>
      <c r="B590" t="s">
        <v>122</v>
      </c>
      <c r="C590" t="s">
        <v>121</v>
      </c>
      <c r="D590" t="s">
        <v>121</v>
      </c>
      <c r="E590" t="s">
        <v>121</v>
      </c>
      <c r="F590" s="6" t="s">
        <v>1024</v>
      </c>
      <c r="H590">
        <v>2</v>
      </c>
      <c r="I590" s="1">
        <v>0</v>
      </c>
      <c r="J590">
        <v>0</v>
      </c>
      <c r="K590">
        <v>0</v>
      </c>
      <c r="L590" s="20">
        <v>11560</v>
      </c>
      <c r="M590">
        <v>1</v>
      </c>
      <c r="N590">
        <v>0</v>
      </c>
      <c r="O590">
        <v>0</v>
      </c>
      <c r="P590">
        <v>0</v>
      </c>
      <c r="Q590" s="22">
        <v>34440</v>
      </c>
      <c r="R590">
        <v>3</v>
      </c>
      <c r="S590" s="1">
        <v>0</v>
      </c>
      <c r="T590">
        <v>0</v>
      </c>
      <c r="U590">
        <v>0</v>
      </c>
      <c r="V590" s="21">
        <v>17220</v>
      </c>
      <c r="W590">
        <v>4</v>
      </c>
      <c r="X590">
        <v>0</v>
      </c>
      <c r="Y590">
        <v>0</v>
      </c>
      <c r="Z590">
        <v>0</v>
      </c>
      <c r="AA590">
        <v>10</v>
      </c>
    </row>
    <row r="591" spans="1:27" ht="14.25" x14ac:dyDescent="0.2">
      <c r="A591" s="11">
        <v>10708</v>
      </c>
      <c r="B591" t="s">
        <v>178</v>
      </c>
      <c r="C591" t="s">
        <v>121</v>
      </c>
      <c r="D591" t="s">
        <v>121</v>
      </c>
      <c r="E591" t="s">
        <v>121</v>
      </c>
      <c r="F591" s="6" t="s">
        <v>1026</v>
      </c>
      <c r="H591">
        <v>2</v>
      </c>
      <c r="I591" s="1">
        <v>0</v>
      </c>
      <c r="J591">
        <v>0</v>
      </c>
      <c r="K591">
        <v>0</v>
      </c>
      <c r="L591" s="20">
        <v>11560</v>
      </c>
      <c r="M591">
        <v>1</v>
      </c>
      <c r="N591">
        <v>0</v>
      </c>
      <c r="O591">
        <v>0</v>
      </c>
      <c r="P591">
        <v>0</v>
      </c>
      <c r="Q591" s="22">
        <v>34680</v>
      </c>
      <c r="R591">
        <v>3</v>
      </c>
      <c r="S591" s="1">
        <v>0</v>
      </c>
      <c r="T591">
        <v>0</v>
      </c>
      <c r="U591">
        <v>0</v>
      </c>
      <c r="V591" s="21">
        <v>17340</v>
      </c>
      <c r="W591">
        <v>21</v>
      </c>
      <c r="X591">
        <v>0</v>
      </c>
      <c r="Y591">
        <v>0</v>
      </c>
      <c r="Z591">
        <v>0</v>
      </c>
      <c r="AA591">
        <v>1</v>
      </c>
    </row>
    <row r="592" spans="1:27" ht="14.25" x14ac:dyDescent="0.2">
      <c r="A592" s="11">
        <v>10709</v>
      </c>
      <c r="B592" t="s">
        <v>130</v>
      </c>
      <c r="C592" t="s">
        <v>121</v>
      </c>
      <c r="D592" t="s">
        <v>121</v>
      </c>
      <c r="E592" t="s">
        <v>121</v>
      </c>
      <c r="F592" s="6" t="s">
        <v>1028</v>
      </c>
      <c r="H592">
        <v>2</v>
      </c>
      <c r="I592" s="1">
        <v>0</v>
      </c>
      <c r="J592">
        <v>0</v>
      </c>
      <c r="K592">
        <v>0</v>
      </c>
      <c r="L592" s="20">
        <v>11560</v>
      </c>
      <c r="M592">
        <v>1</v>
      </c>
      <c r="N592">
        <v>0</v>
      </c>
      <c r="O592">
        <v>0</v>
      </c>
      <c r="P592">
        <v>0</v>
      </c>
      <c r="Q592" s="22">
        <v>34680</v>
      </c>
      <c r="R592">
        <v>3</v>
      </c>
      <c r="S592" s="1">
        <v>0</v>
      </c>
      <c r="T592">
        <v>0</v>
      </c>
      <c r="U592">
        <v>0</v>
      </c>
      <c r="V592" s="21">
        <v>17340</v>
      </c>
      <c r="W592">
        <v>9</v>
      </c>
      <c r="X592">
        <v>0</v>
      </c>
      <c r="Y592">
        <v>0</v>
      </c>
      <c r="Z592">
        <v>0</v>
      </c>
      <c r="AA592">
        <v>10</v>
      </c>
    </row>
    <row r="593" spans="1:27" ht="14.25" x14ac:dyDescent="0.2">
      <c r="A593" s="11">
        <v>10710</v>
      </c>
      <c r="B593" t="s">
        <v>123</v>
      </c>
      <c r="C593" t="s">
        <v>121</v>
      </c>
      <c r="D593" t="s">
        <v>121</v>
      </c>
      <c r="E593" t="s">
        <v>121</v>
      </c>
      <c r="F593" s="6" t="s">
        <v>1028</v>
      </c>
      <c r="H593">
        <v>2</v>
      </c>
      <c r="I593" s="1">
        <v>0</v>
      </c>
      <c r="J593">
        <v>0</v>
      </c>
      <c r="K593">
        <v>0</v>
      </c>
      <c r="L593" s="20">
        <v>11560</v>
      </c>
      <c r="M593">
        <v>1</v>
      </c>
      <c r="N593">
        <v>0</v>
      </c>
      <c r="O593">
        <v>0</v>
      </c>
      <c r="P593">
        <v>0</v>
      </c>
      <c r="Q593" s="22">
        <v>34680</v>
      </c>
      <c r="R593">
        <v>3</v>
      </c>
      <c r="S593" s="1">
        <v>0</v>
      </c>
      <c r="T593">
        <v>0</v>
      </c>
      <c r="U593">
        <v>0</v>
      </c>
      <c r="V593" s="21">
        <v>17340</v>
      </c>
      <c r="W593">
        <v>12</v>
      </c>
      <c r="X593">
        <v>0</v>
      </c>
      <c r="Y593">
        <v>0</v>
      </c>
      <c r="Z593">
        <v>0</v>
      </c>
      <c r="AA593">
        <v>10</v>
      </c>
    </row>
    <row r="594" spans="1:27" ht="14.25" x14ac:dyDescent="0.2">
      <c r="A594" s="11">
        <v>10711</v>
      </c>
      <c r="B594" t="s">
        <v>126</v>
      </c>
      <c r="C594" t="s">
        <v>121</v>
      </c>
      <c r="D594" t="s">
        <v>121</v>
      </c>
      <c r="E594" t="s">
        <v>121</v>
      </c>
      <c r="F594" s="6" t="s">
        <v>1030</v>
      </c>
      <c r="H594">
        <v>2</v>
      </c>
      <c r="I594" s="1">
        <v>0</v>
      </c>
      <c r="J594">
        <v>0</v>
      </c>
      <c r="K594">
        <v>0</v>
      </c>
      <c r="L594" s="20">
        <v>11640</v>
      </c>
      <c r="M594">
        <v>1</v>
      </c>
      <c r="N594">
        <v>0</v>
      </c>
      <c r="O594">
        <v>0</v>
      </c>
      <c r="P594">
        <v>0</v>
      </c>
      <c r="Q594" s="22">
        <v>34680</v>
      </c>
      <c r="R594">
        <v>3</v>
      </c>
      <c r="S594" s="1">
        <v>0</v>
      </c>
      <c r="T594">
        <v>0</v>
      </c>
      <c r="U594">
        <v>0</v>
      </c>
      <c r="V594" s="21">
        <v>17340</v>
      </c>
      <c r="W594">
        <v>23</v>
      </c>
      <c r="X594">
        <v>0</v>
      </c>
      <c r="Y594">
        <v>0</v>
      </c>
      <c r="Z594">
        <v>0</v>
      </c>
      <c r="AA594">
        <v>1</v>
      </c>
    </row>
    <row r="595" spans="1:27" ht="14.25" x14ac:dyDescent="0.2">
      <c r="A595" s="11">
        <v>10712</v>
      </c>
      <c r="B595" t="s">
        <v>131</v>
      </c>
      <c r="C595" t="s">
        <v>125</v>
      </c>
      <c r="D595" t="s">
        <v>121</v>
      </c>
      <c r="E595" t="s">
        <v>136</v>
      </c>
      <c r="F595" s="6" t="s">
        <v>1032</v>
      </c>
      <c r="H595">
        <v>2</v>
      </c>
      <c r="I595" s="1">
        <v>0</v>
      </c>
      <c r="J595">
        <v>0</v>
      </c>
      <c r="K595">
        <v>0</v>
      </c>
      <c r="L595" s="20">
        <v>11640</v>
      </c>
      <c r="M595">
        <v>1</v>
      </c>
      <c r="N595">
        <v>0</v>
      </c>
      <c r="O595">
        <v>0</v>
      </c>
      <c r="P595">
        <v>0</v>
      </c>
      <c r="Q595" s="22">
        <v>34680</v>
      </c>
      <c r="R595">
        <v>3</v>
      </c>
      <c r="S595" s="1">
        <v>0</v>
      </c>
      <c r="T595">
        <v>0</v>
      </c>
      <c r="U595">
        <v>0</v>
      </c>
      <c r="V595" s="21">
        <v>17340</v>
      </c>
      <c r="W595">
        <v>6</v>
      </c>
      <c r="X595">
        <v>1</v>
      </c>
      <c r="Y595">
        <v>0</v>
      </c>
      <c r="Z595">
        <v>3</v>
      </c>
      <c r="AA595">
        <v>10</v>
      </c>
    </row>
    <row r="596" spans="1:27" ht="14.25" x14ac:dyDescent="0.2">
      <c r="A596" s="11">
        <v>10713</v>
      </c>
      <c r="B596" t="s">
        <v>180</v>
      </c>
      <c r="C596" t="s">
        <v>121</v>
      </c>
      <c r="D596" t="s">
        <v>121</v>
      </c>
      <c r="E596" t="s">
        <v>121</v>
      </c>
      <c r="F596" s="6" t="s">
        <v>1034</v>
      </c>
      <c r="H596">
        <v>2</v>
      </c>
      <c r="I596" s="1">
        <v>0</v>
      </c>
      <c r="J596">
        <v>0</v>
      </c>
      <c r="K596">
        <v>0</v>
      </c>
      <c r="L596" s="20">
        <v>11640</v>
      </c>
      <c r="M596">
        <v>1</v>
      </c>
      <c r="N596">
        <v>0</v>
      </c>
      <c r="O596">
        <v>0</v>
      </c>
      <c r="P596">
        <v>0</v>
      </c>
      <c r="Q596" s="22">
        <v>34920</v>
      </c>
      <c r="R596">
        <v>3</v>
      </c>
      <c r="S596" s="1">
        <v>0</v>
      </c>
      <c r="T596">
        <v>0</v>
      </c>
      <c r="U596">
        <v>0</v>
      </c>
      <c r="V596" s="21">
        <v>17460</v>
      </c>
      <c r="W596">
        <v>15</v>
      </c>
      <c r="X596">
        <v>0</v>
      </c>
      <c r="Y596">
        <v>0</v>
      </c>
      <c r="Z596">
        <v>0</v>
      </c>
      <c r="AA596">
        <v>1</v>
      </c>
    </row>
    <row r="597" spans="1:27" ht="14.25" x14ac:dyDescent="0.2">
      <c r="A597" s="11">
        <v>10714</v>
      </c>
      <c r="B597" t="s">
        <v>178</v>
      </c>
      <c r="C597" t="s">
        <v>121</v>
      </c>
      <c r="D597" t="s">
        <v>121</v>
      </c>
      <c r="E597" t="s">
        <v>121</v>
      </c>
      <c r="F597" s="6" t="s">
        <v>1034</v>
      </c>
      <c r="H597">
        <v>2</v>
      </c>
      <c r="I597" s="1">
        <v>0</v>
      </c>
      <c r="J597">
        <v>0</v>
      </c>
      <c r="K597">
        <v>0</v>
      </c>
      <c r="L597" s="20">
        <v>11640</v>
      </c>
      <c r="M597">
        <v>1</v>
      </c>
      <c r="N597">
        <v>0</v>
      </c>
      <c r="O597">
        <v>0</v>
      </c>
      <c r="P597">
        <v>0</v>
      </c>
      <c r="Q597" s="22">
        <v>34920</v>
      </c>
      <c r="R597">
        <v>3</v>
      </c>
      <c r="S597" s="1">
        <v>0</v>
      </c>
      <c r="T597">
        <v>0</v>
      </c>
      <c r="U597">
        <v>0</v>
      </c>
      <c r="V597" s="21">
        <v>17460</v>
      </c>
      <c r="W597">
        <v>21</v>
      </c>
      <c r="X597">
        <v>0</v>
      </c>
      <c r="Y597">
        <v>0</v>
      </c>
      <c r="Z597">
        <v>0</v>
      </c>
      <c r="AA597">
        <v>1</v>
      </c>
    </row>
    <row r="598" spans="1:27" ht="14.25" x14ac:dyDescent="0.2">
      <c r="A598" s="11">
        <v>10715</v>
      </c>
      <c r="B598" t="s">
        <v>130</v>
      </c>
      <c r="C598" t="s">
        <v>121</v>
      </c>
      <c r="D598" t="s">
        <v>121</v>
      </c>
      <c r="E598" t="s">
        <v>121</v>
      </c>
      <c r="F598" s="6" t="s">
        <v>1036</v>
      </c>
      <c r="H598">
        <v>2</v>
      </c>
      <c r="I598" s="1">
        <v>0</v>
      </c>
      <c r="J598">
        <v>0</v>
      </c>
      <c r="K598">
        <v>0</v>
      </c>
      <c r="L598" s="20">
        <v>11640</v>
      </c>
      <c r="M598">
        <v>1</v>
      </c>
      <c r="N598">
        <v>0</v>
      </c>
      <c r="O598">
        <v>0</v>
      </c>
      <c r="P598">
        <v>0</v>
      </c>
      <c r="Q598" s="22">
        <v>34920</v>
      </c>
      <c r="R598">
        <v>3</v>
      </c>
      <c r="S598" s="1">
        <v>0</v>
      </c>
      <c r="T598">
        <v>0</v>
      </c>
      <c r="U598">
        <v>0</v>
      </c>
      <c r="V598" s="21">
        <v>17460</v>
      </c>
      <c r="W598">
        <v>9</v>
      </c>
      <c r="X598">
        <v>0</v>
      </c>
      <c r="Y598">
        <v>0</v>
      </c>
      <c r="Z598">
        <v>0</v>
      </c>
      <c r="AA598">
        <v>10</v>
      </c>
    </row>
    <row r="599" spans="1:27" ht="14.25" x14ac:dyDescent="0.2">
      <c r="A599" s="11">
        <v>10716</v>
      </c>
      <c r="B599" t="s">
        <v>181</v>
      </c>
      <c r="C599" t="s">
        <v>121</v>
      </c>
      <c r="D599" t="s">
        <v>121</v>
      </c>
      <c r="E599" t="s">
        <v>121</v>
      </c>
      <c r="F599" s="6" t="s">
        <v>1038</v>
      </c>
      <c r="H599">
        <v>2</v>
      </c>
      <c r="I599" s="1">
        <v>0</v>
      </c>
      <c r="J599">
        <v>0</v>
      </c>
      <c r="K599">
        <v>0</v>
      </c>
      <c r="L599" s="20">
        <v>11720</v>
      </c>
      <c r="M599">
        <v>1</v>
      </c>
      <c r="N599">
        <v>0</v>
      </c>
      <c r="O599">
        <v>0</v>
      </c>
      <c r="P599">
        <v>0</v>
      </c>
      <c r="Q599" s="22">
        <v>34920</v>
      </c>
      <c r="R599">
        <v>3</v>
      </c>
      <c r="S599" s="1">
        <v>0</v>
      </c>
      <c r="T599">
        <v>0</v>
      </c>
      <c r="U599">
        <v>0</v>
      </c>
      <c r="V599" s="21">
        <v>17460</v>
      </c>
      <c r="W599">
        <v>30</v>
      </c>
      <c r="X599">
        <v>0</v>
      </c>
      <c r="Y599">
        <v>0</v>
      </c>
      <c r="Z599">
        <v>0</v>
      </c>
      <c r="AA599">
        <v>10</v>
      </c>
    </row>
    <row r="600" spans="1:27" ht="14.25" x14ac:dyDescent="0.2">
      <c r="A600" s="11">
        <v>10717</v>
      </c>
      <c r="B600" t="s">
        <v>122</v>
      </c>
      <c r="C600" t="s">
        <v>121</v>
      </c>
      <c r="D600" t="s">
        <v>121</v>
      </c>
      <c r="E600" t="s">
        <v>121</v>
      </c>
      <c r="F600" s="6" t="s">
        <v>1038</v>
      </c>
      <c r="H600">
        <v>2</v>
      </c>
      <c r="I600" s="1">
        <v>0</v>
      </c>
      <c r="J600">
        <v>0</v>
      </c>
      <c r="K600">
        <v>0</v>
      </c>
      <c r="L600" s="20">
        <v>11720</v>
      </c>
      <c r="M600">
        <v>1</v>
      </c>
      <c r="N600">
        <v>0</v>
      </c>
      <c r="O600">
        <v>0</v>
      </c>
      <c r="P600">
        <v>0</v>
      </c>
      <c r="Q600" s="22">
        <v>34920</v>
      </c>
      <c r="R600">
        <v>3</v>
      </c>
      <c r="S600" s="1">
        <v>0</v>
      </c>
      <c r="T600">
        <v>0</v>
      </c>
      <c r="U600">
        <v>0</v>
      </c>
      <c r="V600" s="21">
        <v>17460</v>
      </c>
      <c r="W600">
        <v>4</v>
      </c>
      <c r="X600">
        <v>0</v>
      </c>
      <c r="Y600">
        <v>0</v>
      </c>
      <c r="Z600">
        <v>0</v>
      </c>
      <c r="AA600">
        <v>10</v>
      </c>
    </row>
    <row r="601" spans="1:27" ht="14.25" x14ac:dyDescent="0.2">
      <c r="A601" s="11">
        <v>10718</v>
      </c>
      <c r="B601" t="s">
        <v>178</v>
      </c>
      <c r="C601" t="s">
        <v>121</v>
      </c>
      <c r="D601" t="s">
        <v>121</v>
      </c>
      <c r="E601" t="s">
        <v>121</v>
      </c>
      <c r="F601" s="6" t="s">
        <v>1040</v>
      </c>
      <c r="H601">
        <v>2</v>
      </c>
      <c r="I601" s="1">
        <v>0</v>
      </c>
      <c r="J601">
        <v>0</v>
      </c>
      <c r="K601">
        <v>0</v>
      </c>
      <c r="L601" s="20">
        <v>11720</v>
      </c>
      <c r="M601">
        <v>1</v>
      </c>
      <c r="N601">
        <v>0</v>
      </c>
      <c r="O601">
        <v>0</v>
      </c>
      <c r="P601">
        <v>0</v>
      </c>
      <c r="Q601" s="22">
        <v>35160</v>
      </c>
      <c r="R601">
        <v>3</v>
      </c>
      <c r="S601" s="1">
        <v>0</v>
      </c>
      <c r="T601">
        <v>0</v>
      </c>
      <c r="U601">
        <v>0</v>
      </c>
      <c r="V601" s="21">
        <v>17580</v>
      </c>
      <c r="W601">
        <v>21</v>
      </c>
      <c r="X601">
        <v>0</v>
      </c>
      <c r="Y601">
        <v>0</v>
      </c>
      <c r="Z601">
        <v>0</v>
      </c>
      <c r="AA601">
        <v>1</v>
      </c>
    </row>
    <row r="602" spans="1:27" ht="14.25" x14ac:dyDescent="0.2">
      <c r="A602" s="11">
        <v>10719</v>
      </c>
      <c r="B602" t="s">
        <v>130</v>
      </c>
      <c r="C602" t="s">
        <v>121</v>
      </c>
      <c r="D602" t="s">
        <v>121</v>
      </c>
      <c r="E602" t="s">
        <v>121</v>
      </c>
      <c r="F602" s="6" t="s">
        <v>1042</v>
      </c>
      <c r="H602">
        <v>2</v>
      </c>
      <c r="I602" s="1">
        <v>0</v>
      </c>
      <c r="J602">
        <v>0</v>
      </c>
      <c r="K602">
        <v>0</v>
      </c>
      <c r="L602" s="20">
        <v>11720</v>
      </c>
      <c r="M602">
        <v>1</v>
      </c>
      <c r="N602">
        <v>0</v>
      </c>
      <c r="O602">
        <v>0</v>
      </c>
      <c r="P602">
        <v>0</v>
      </c>
      <c r="Q602" s="22">
        <v>35160</v>
      </c>
      <c r="R602">
        <v>3</v>
      </c>
      <c r="S602" s="1">
        <v>0</v>
      </c>
      <c r="T602">
        <v>0</v>
      </c>
      <c r="U602">
        <v>0</v>
      </c>
      <c r="V602" s="21">
        <v>17580</v>
      </c>
      <c r="W602">
        <v>9</v>
      </c>
      <c r="X602">
        <v>0</v>
      </c>
      <c r="Y602">
        <v>0</v>
      </c>
      <c r="Z602">
        <v>0</v>
      </c>
      <c r="AA602">
        <v>10</v>
      </c>
    </row>
    <row r="603" spans="1:27" ht="14.25" x14ac:dyDescent="0.2">
      <c r="A603" s="11">
        <v>10720</v>
      </c>
      <c r="B603" t="s">
        <v>123</v>
      </c>
      <c r="C603" t="s">
        <v>121</v>
      </c>
      <c r="D603" t="s">
        <v>121</v>
      </c>
      <c r="E603" t="s">
        <v>121</v>
      </c>
      <c r="F603" s="6" t="s">
        <v>1042</v>
      </c>
      <c r="H603">
        <v>2</v>
      </c>
      <c r="I603" s="1">
        <v>0</v>
      </c>
      <c r="J603">
        <v>0</v>
      </c>
      <c r="K603">
        <v>0</v>
      </c>
      <c r="L603" s="20">
        <v>11720</v>
      </c>
      <c r="M603">
        <v>1</v>
      </c>
      <c r="N603">
        <v>0</v>
      </c>
      <c r="O603">
        <v>0</v>
      </c>
      <c r="P603">
        <v>0</v>
      </c>
      <c r="Q603" s="22">
        <v>35160</v>
      </c>
      <c r="R603">
        <v>3</v>
      </c>
      <c r="S603" s="1">
        <v>0</v>
      </c>
      <c r="T603">
        <v>0</v>
      </c>
      <c r="U603">
        <v>0</v>
      </c>
      <c r="V603" s="21">
        <v>17580</v>
      </c>
      <c r="W603">
        <v>12</v>
      </c>
      <c r="X603">
        <v>0</v>
      </c>
      <c r="Y603">
        <v>0</v>
      </c>
      <c r="Z603">
        <v>0</v>
      </c>
      <c r="AA603">
        <v>10</v>
      </c>
    </row>
    <row r="604" spans="1:27" ht="14.25" x14ac:dyDescent="0.2">
      <c r="A604" s="11">
        <v>10721</v>
      </c>
      <c r="B604" t="s">
        <v>126</v>
      </c>
      <c r="C604" t="s">
        <v>121</v>
      </c>
      <c r="D604" t="s">
        <v>121</v>
      </c>
      <c r="E604" t="s">
        <v>121</v>
      </c>
      <c r="F604" s="6" t="s">
        <v>1044</v>
      </c>
      <c r="H604">
        <v>2</v>
      </c>
      <c r="I604" s="1">
        <v>0</v>
      </c>
      <c r="J604">
        <v>0</v>
      </c>
      <c r="K604">
        <v>0</v>
      </c>
      <c r="L604" s="20">
        <v>11800</v>
      </c>
      <c r="M604">
        <v>1</v>
      </c>
      <c r="N604">
        <v>0</v>
      </c>
      <c r="O604">
        <v>0</v>
      </c>
      <c r="P604">
        <v>0</v>
      </c>
      <c r="Q604" s="22">
        <v>35160</v>
      </c>
      <c r="R604">
        <v>3</v>
      </c>
      <c r="S604" s="1">
        <v>0</v>
      </c>
      <c r="T604">
        <v>0</v>
      </c>
      <c r="U604">
        <v>0</v>
      </c>
      <c r="V604" s="21">
        <v>17580</v>
      </c>
      <c r="W604">
        <v>23</v>
      </c>
      <c r="X604">
        <v>0</v>
      </c>
      <c r="Y604">
        <v>0</v>
      </c>
      <c r="Z604">
        <v>0</v>
      </c>
      <c r="AA604">
        <v>1</v>
      </c>
    </row>
    <row r="605" spans="1:27" ht="14.25" x14ac:dyDescent="0.2">
      <c r="A605" s="11">
        <v>10722</v>
      </c>
      <c r="B605" t="s">
        <v>131</v>
      </c>
      <c r="C605" t="s">
        <v>125</v>
      </c>
      <c r="D605" t="s">
        <v>121</v>
      </c>
      <c r="E605" t="s">
        <v>136</v>
      </c>
      <c r="F605" s="6" t="s">
        <v>1046</v>
      </c>
      <c r="H605">
        <v>2</v>
      </c>
      <c r="I605" s="1">
        <v>0</v>
      </c>
      <c r="J605">
        <v>0</v>
      </c>
      <c r="K605">
        <v>0</v>
      </c>
      <c r="L605" s="20">
        <v>11800</v>
      </c>
      <c r="M605">
        <v>1</v>
      </c>
      <c r="N605">
        <v>0</v>
      </c>
      <c r="O605">
        <v>0</v>
      </c>
      <c r="P605">
        <v>0</v>
      </c>
      <c r="Q605" s="22">
        <v>35160</v>
      </c>
      <c r="R605">
        <v>3</v>
      </c>
      <c r="S605" s="1">
        <v>0</v>
      </c>
      <c r="T605">
        <v>0</v>
      </c>
      <c r="U605">
        <v>0</v>
      </c>
      <c r="V605" s="21">
        <v>17580</v>
      </c>
      <c r="W605">
        <v>6</v>
      </c>
      <c r="X605">
        <v>1</v>
      </c>
      <c r="Y605">
        <v>0</v>
      </c>
      <c r="Z605">
        <v>3</v>
      </c>
      <c r="AA605">
        <v>10</v>
      </c>
    </row>
    <row r="606" spans="1:27" ht="14.25" x14ac:dyDescent="0.2">
      <c r="A606" s="11">
        <v>10723</v>
      </c>
      <c r="B606" t="s">
        <v>180</v>
      </c>
      <c r="C606" t="s">
        <v>121</v>
      </c>
      <c r="D606" t="s">
        <v>121</v>
      </c>
      <c r="E606" t="s">
        <v>121</v>
      </c>
      <c r="F606" s="6" t="s">
        <v>1048</v>
      </c>
      <c r="H606">
        <v>2</v>
      </c>
      <c r="I606" s="1">
        <v>0</v>
      </c>
      <c r="J606">
        <v>0</v>
      </c>
      <c r="K606">
        <v>0</v>
      </c>
      <c r="L606" s="20">
        <v>11800</v>
      </c>
      <c r="M606">
        <v>1</v>
      </c>
      <c r="N606">
        <v>0</v>
      </c>
      <c r="O606">
        <v>0</v>
      </c>
      <c r="P606">
        <v>0</v>
      </c>
      <c r="Q606" s="22">
        <v>35400</v>
      </c>
      <c r="R606">
        <v>3</v>
      </c>
      <c r="S606" s="1">
        <v>0</v>
      </c>
      <c r="T606">
        <v>0</v>
      </c>
      <c r="U606">
        <v>0</v>
      </c>
      <c r="V606" s="21">
        <v>17700</v>
      </c>
      <c r="W606">
        <v>15</v>
      </c>
      <c r="X606">
        <v>0</v>
      </c>
      <c r="Y606">
        <v>0</v>
      </c>
      <c r="Z606">
        <v>0</v>
      </c>
      <c r="AA606">
        <v>1</v>
      </c>
    </row>
    <row r="607" spans="1:27" ht="14.25" x14ac:dyDescent="0.2">
      <c r="A607" s="11">
        <v>10724</v>
      </c>
      <c r="B607" t="s">
        <v>178</v>
      </c>
      <c r="C607" t="s">
        <v>121</v>
      </c>
      <c r="D607" t="s">
        <v>121</v>
      </c>
      <c r="E607" t="s">
        <v>121</v>
      </c>
      <c r="F607" s="6" t="s">
        <v>1048</v>
      </c>
      <c r="H607">
        <v>2</v>
      </c>
      <c r="I607" s="1">
        <v>0</v>
      </c>
      <c r="J607">
        <v>0</v>
      </c>
      <c r="K607">
        <v>0</v>
      </c>
      <c r="L607" s="20">
        <v>11800</v>
      </c>
      <c r="M607">
        <v>1</v>
      </c>
      <c r="N607">
        <v>0</v>
      </c>
      <c r="O607">
        <v>0</v>
      </c>
      <c r="P607">
        <v>0</v>
      </c>
      <c r="Q607" s="22">
        <v>35400</v>
      </c>
      <c r="R607">
        <v>3</v>
      </c>
      <c r="S607" s="1">
        <v>0</v>
      </c>
      <c r="T607">
        <v>0</v>
      </c>
      <c r="U607">
        <v>0</v>
      </c>
      <c r="V607" s="21">
        <v>17700</v>
      </c>
      <c r="W607">
        <v>21</v>
      </c>
      <c r="X607">
        <v>0</v>
      </c>
      <c r="Y607">
        <v>0</v>
      </c>
      <c r="Z607">
        <v>0</v>
      </c>
      <c r="AA607">
        <v>1</v>
      </c>
    </row>
    <row r="608" spans="1:27" ht="14.25" x14ac:dyDescent="0.2">
      <c r="A608" s="11">
        <v>10725</v>
      </c>
      <c r="B608" t="s">
        <v>130</v>
      </c>
      <c r="C608" t="s">
        <v>121</v>
      </c>
      <c r="D608" t="s">
        <v>121</v>
      </c>
      <c r="E608" t="s">
        <v>121</v>
      </c>
      <c r="F608" s="6" t="s">
        <v>1050</v>
      </c>
      <c r="H608">
        <v>2</v>
      </c>
      <c r="I608" s="1">
        <v>0</v>
      </c>
      <c r="J608">
        <v>0</v>
      </c>
      <c r="K608">
        <v>0</v>
      </c>
      <c r="L608" s="20">
        <v>11800</v>
      </c>
      <c r="M608">
        <v>1</v>
      </c>
      <c r="N608">
        <v>0</v>
      </c>
      <c r="O608">
        <v>0</v>
      </c>
      <c r="P608">
        <v>0</v>
      </c>
      <c r="Q608" s="22">
        <v>35400</v>
      </c>
      <c r="R608">
        <v>3</v>
      </c>
      <c r="S608" s="1">
        <v>0</v>
      </c>
      <c r="T608">
        <v>0</v>
      </c>
      <c r="U608">
        <v>0</v>
      </c>
      <c r="V608" s="21">
        <v>17700</v>
      </c>
      <c r="W608">
        <v>9</v>
      </c>
      <c r="X608">
        <v>0</v>
      </c>
      <c r="Y608">
        <v>0</v>
      </c>
      <c r="Z608">
        <v>0</v>
      </c>
      <c r="AA608">
        <v>10</v>
      </c>
    </row>
    <row r="609" spans="1:27" ht="14.25" x14ac:dyDescent="0.2">
      <c r="A609" s="11">
        <v>10726</v>
      </c>
      <c r="B609" t="s">
        <v>181</v>
      </c>
      <c r="C609" t="s">
        <v>121</v>
      </c>
      <c r="D609" t="s">
        <v>121</v>
      </c>
      <c r="E609" t="s">
        <v>121</v>
      </c>
      <c r="F609" s="6" t="s">
        <v>1052</v>
      </c>
      <c r="H609">
        <v>2</v>
      </c>
      <c r="I609" s="1">
        <v>0</v>
      </c>
      <c r="J609">
        <v>0</v>
      </c>
      <c r="K609">
        <v>0</v>
      </c>
      <c r="L609" s="20">
        <v>11880</v>
      </c>
      <c r="M609">
        <v>1</v>
      </c>
      <c r="N609">
        <v>0</v>
      </c>
      <c r="O609">
        <v>0</v>
      </c>
      <c r="P609">
        <v>0</v>
      </c>
      <c r="Q609" s="22">
        <v>35400</v>
      </c>
      <c r="R609">
        <v>3</v>
      </c>
      <c r="S609" s="1">
        <v>0</v>
      </c>
      <c r="T609">
        <v>0</v>
      </c>
      <c r="U609">
        <v>0</v>
      </c>
      <c r="V609" s="21">
        <v>17700</v>
      </c>
      <c r="W609">
        <v>30</v>
      </c>
      <c r="X609">
        <v>0</v>
      </c>
      <c r="Y609">
        <v>0</v>
      </c>
      <c r="Z609">
        <v>0</v>
      </c>
      <c r="AA609">
        <v>10</v>
      </c>
    </row>
    <row r="610" spans="1:27" ht="14.25" x14ac:dyDescent="0.2">
      <c r="A610" s="11">
        <v>10727</v>
      </c>
      <c r="B610" t="s">
        <v>122</v>
      </c>
      <c r="C610" t="s">
        <v>121</v>
      </c>
      <c r="D610" t="s">
        <v>121</v>
      </c>
      <c r="E610" t="s">
        <v>121</v>
      </c>
      <c r="F610" s="6" t="s">
        <v>1052</v>
      </c>
      <c r="H610">
        <v>2</v>
      </c>
      <c r="I610" s="1">
        <v>0</v>
      </c>
      <c r="J610">
        <v>0</v>
      </c>
      <c r="K610">
        <v>0</v>
      </c>
      <c r="L610" s="20">
        <v>11880</v>
      </c>
      <c r="M610">
        <v>1</v>
      </c>
      <c r="N610">
        <v>0</v>
      </c>
      <c r="O610">
        <v>0</v>
      </c>
      <c r="P610">
        <v>0</v>
      </c>
      <c r="Q610" s="22">
        <v>35400</v>
      </c>
      <c r="R610">
        <v>3</v>
      </c>
      <c r="S610" s="1">
        <v>0</v>
      </c>
      <c r="T610">
        <v>0</v>
      </c>
      <c r="U610">
        <v>0</v>
      </c>
      <c r="V610" s="21">
        <v>17700</v>
      </c>
      <c r="W610">
        <v>4</v>
      </c>
      <c r="X610">
        <v>0</v>
      </c>
      <c r="Y610">
        <v>0</v>
      </c>
      <c r="Z610">
        <v>0</v>
      </c>
      <c r="AA610">
        <v>10</v>
      </c>
    </row>
    <row r="611" spans="1:27" ht="14.25" x14ac:dyDescent="0.2">
      <c r="A611" s="11">
        <v>10728</v>
      </c>
      <c r="B611" t="s">
        <v>178</v>
      </c>
      <c r="C611" t="s">
        <v>121</v>
      </c>
      <c r="D611" t="s">
        <v>121</v>
      </c>
      <c r="E611" t="s">
        <v>121</v>
      </c>
      <c r="F611" s="6" t="s">
        <v>1054</v>
      </c>
      <c r="H611">
        <v>2</v>
      </c>
      <c r="I611" s="1">
        <v>0</v>
      </c>
      <c r="J611">
        <v>0</v>
      </c>
      <c r="K611">
        <v>0</v>
      </c>
      <c r="L611" s="20">
        <v>11880</v>
      </c>
      <c r="M611">
        <v>1</v>
      </c>
      <c r="N611">
        <v>0</v>
      </c>
      <c r="O611">
        <v>0</v>
      </c>
      <c r="P611">
        <v>0</v>
      </c>
      <c r="Q611" s="22">
        <v>35640</v>
      </c>
      <c r="R611">
        <v>3</v>
      </c>
      <c r="S611" s="1">
        <v>0</v>
      </c>
      <c r="T611">
        <v>0</v>
      </c>
      <c r="U611">
        <v>0</v>
      </c>
      <c r="V611" s="21">
        <v>17820</v>
      </c>
      <c r="W611">
        <v>21</v>
      </c>
      <c r="X611">
        <v>0</v>
      </c>
      <c r="Y611">
        <v>0</v>
      </c>
      <c r="Z611">
        <v>0</v>
      </c>
      <c r="AA611">
        <v>1</v>
      </c>
    </row>
    <row r="612" spans="1:27" ht="14.25" x14ac:dyDescent="0.2">
      <c r="A612" s="11">
        <v>10729</v>
      </c>
      <c r="B612" t="s">
        <v>130</v>
      </c>
      <c r="C612" t="s">
        <v>121</v>
      </c>
      <c r="D612" t="s">
        <v>121</v>
      </c>
      <c r="E612" t="s">
        <v>121</v>
      </c>
      <c r="F612" s="6" t="s">
        <v>1056</v>
      </c>
      <c r="H612">
        <v>2</v>
      </c>
      <c r="I612" s="1">
        <v>0</v>
      </c>
      <c r="J612">
        <v>0</v>
      </c>
      <c r="K612">
        <v>0</v>
      </c>
      <c r="L612" s="20">
        <v>11880</v>
      </c>
      <c r="M612">
        <v>1</v>
      </c>
      <c r="N612">
        <v>0</v>
      </c>
      <c r="O612">
        <v>0</v>
      </c>
      <c r="P612">
        <v>0</v>
      </c>
      <c r="Q612" s="22">
        <v>35640</v>
      </c>
      <c r="R612">
        <v>3</v>
      </c>
      <c r="S612" s="1">
        <v>0</v>
      </c>
      <c r="T612">
        <v>0</v>
      </c>
      <c r="U612">
        <v>0</v>
      </c>
      <c r="V612" s="21">
        <v>17820</v>
      </c>
      <c r="W612">
        <v>9</v>
      </c>
      <c r="X612">
        <v>0</v>
      </c>
      <c r="Y612">
        <v>0</v>
      </c>
      <c r="Z612">
        <v>0</v>
      </c>
      <c r="AA612">
        <v>10</v>
      </c>
    </row>
    <row r="613" spans="1:27" ht="14.25" x14ac:dyDescent="0.2">
      <c r="A613" s="11">
        <v>10730</v>
      </c>
      <c r="B613" t="s">
        <v>123</v>
      </c>
      <c r="C613" t="s">
        <v>121</v>
      </c>
      <c r="D613" t="s">
        <v>121</v>
      </c>
      <c r="E613" t="s">
        <v>121</v>
      </c>
      <c r="F613" s="6" t="s">
        <v>1056</v>
      </c>
      <c r="H613">
        <v>2</v>
      </c>
      <c r="I613" s="1">
        <v>0</v>
      </c>
      <c r="J613">
        <v>0</v>
      </c>
      <c r="K613">
        <v>0</v>
      </c>
      <c r="L613" s="20">
        <v>11880</v>
      </c>
      <c r="M613">
        <v>1</v>
      </c>
      <c r="N613">
        <v>0</v>
      </c>
      <c r="O613">
        <v>0</v>
      </c>
      <c r="P613">
        <v>0</v>
      </c>
      <c r="Q613" s="22">
        <v>35640</v>
      </c>
      <c r="R613">
        <v>3</v>
      </c>
      <c r="S613" s="1">
        <v>0</v>
      </c>
      <c r="T613">
        <v>0</v>
      </c>
      <c r="U613">
        <v>0</v>
      </c>
      <c r="V613" s="21">
        <v>17820</v>
      </c>
      <c r="W613">
        <v>12</v>
      </c>
      <c r="X613">
        <v>0</v>
      </c>
      <c r="Y613">
        <v>0</v>
      </c>
      <c r="Z613">
        <v>0</v>
      </c>
      <c r="AA613">
        <v>10</v>
      </c>
    </row>
    <row r="614" spans="1:27" ht="14.25" x14ac:dyDescent="0.2">
      <c r="A614" s="11">
        <v>10731</v>
      </c>
      <c r="B614" t="s">
        <v>126</v>
      </c>
      <c r="C614" t="s">
        <v>121</v>
      </c>
      <c r="D614" t="s">
        <v>121</v>
      </c>
      <c r="E614" t="s">
        <v>121</v>
      </c>
      <c r="F614" s="6" t="s">
        <v>1058</v>
      </c>
      <c r="H614">
        <v>2</v>
      </c>
      <c r="I614" s="1">
        <v>0</v>
      </c>
      <c r="J614">
        <v>0</v>
      </c>
      <c r="K614">
        <v>0</v>
      </c>
      <c r="L614" s="20">
        <v>11960</v>
      </c>
      <c r="M614">
        <v>1</v>
      </c>
      <c r="N614">
        <v>0</v>
      </c>
      <c r="O614">
        <v>0</v>
      </c>
      <c r="P614">
        <v>0</v>
      </c>
      <c r="Q614" s="22">
        <v>35640</v>
      </c>
      <c r="R614">
        <v>3</v>
      </c>
      <c r="S614" s="1">
        <v>0</v>
      </c>
      <c r="T614">
        <v>0</v>
      </c>
      <c r="U614">
        <v>0</v>
      </c>
      <c r="V614" s="21">
        <v>17820</v>
      </c>
      <c r="W614">
        <v>23</v>
      </c>
      <c r="X614">
        <v>0</v>
      </c>
      <c r="Y614">
        <v>0</v>
      </c>
      <c r="Z614">
        <v>0</v>
      </c>
      <c r="AA614">
        <v>1</v>
      </c>
    </row>
    <row r="615" spans="1:27" ht="14.25" x14ac:dyDescent="0.2">
      <c r="A615" s="11">
        <v>10732</v>
      </c>
      <c r="B615" t="s">
        <v>131</v>
      </c>
      <c r="C615" t="s">
        <v>125</v>
      </c>
      <c r="D615" t="s">
        <v>121</v>
      </c>
      <c r="E615" t="s">
        <v>136</v>
      </c>
      <c r="F615" s="6" t="s">
        <v>1060</v>
      </c>
      <c r="H615">
        <v>2</v>
      </c>
      <c r="I615" s="1">
        <v>0</v>
      </c>
      <c r="J615">
        <v>0</v>
      </c>
      <c r="K615">
        <v>0</v>
      </c>
      <c r="L615" s="20">
        <v>11960</v>
      </c>
      <c r="M615">
        <v>1</v>
      </c>
      <c r="N615">
        <v>0</v>
      </c>
      <c r="O615">
        <v>0</v>
      </c>
      <c r="P615">
        <v>0</v>
      </c>
      <c r="Q615" s="22">
        <v>35640</v>
      </c>
      <c r="R615">
        <v>3</v>
      </c>
      <c r="S615" s="1">
        <v>0</v>
      </c>
      <c r="T615">
        <v>0</v>
      </c>
      <c r="U615">
        <v>0</v>
      </c>
      <c r="V615" s="21">
        <v>17820</v>
      </c>
      <c r="W615">
        <v>6</v>
      </c>
      <c r="X615">
        <v>1</v>
      </c>
      <c r="Y615">
        <v>0</v>
      </c>
      <c r="Z615">
        <v>3</v>
      </c>
      <c r="AA615">
        <v>10</v>
      </c>
    </row>
    <row r="616" spans="1:27" ht="14.25" x14ac:dyDescent="0.2">
      <c r="A616" s="11">
        <v>10733</v>
      </c>
      <c r="B616" t="s">
        <v>180</v>
      </c>
      <c r="C616" t="s">
        <v>121</v>
      </c>
      <c r="D616" t="s">
        <v>121</v>
      </c>
      <c r="E616" t="s">
        <v>121</v>
      </c>
      <c r="F616" s="6" t="s">
        <v>1062</v>
      </c>
      <c r="H616">
        <v>2</v>
      </c>
      <c r="I616" s="1">
        <v>0</v>
      </c>
      <c r="J616">
        <v>0</v>
      </c>
      <c r="K616">
        <v>0</v>
      </c>
      <c r="L616" s="20">
        <v>11960</v>
      </c>
      <c r="M616">
        <v>1</v>
      </c>
      <c r="N616">
        <v>0</v>
      </c>
      <c r="O616">
        <v>0</v>
      </c>
      <c r="P616">
        <v>0</v>
      </c>
      <c r="Q616" s="22">
        <v>35880</v>
      </c>
      <c r="R616">
        <v>3</v>
      </c>
      <c r="S616" s="1">
        <v>0</v>
      </c>
      <c r="T616">
        <v>0</v>
      </c>
      <c r="U616">
        <v>0</v>
      </c>
      <c r="V616" s="21">
        <v>17940</v>
      </c>
      <c r="W616">
        <v>15</v>
      </c>
      <c r="X616">
        <v>0</v>
      </c>
      <c r="Y616">
        <v>0</v>
      </c>
      <c r="Z616">
        <v>0</v>
      </c>
      <c r="AA616">
        <v>1</v>
      </c>
    </row>
    <row r="617" spans="1:27" ht="14.25" x14ac:dyDescent="0.2">
      <c r="A617" s="11">
        <v>10734</v>
      </c>
      <c r="B617" t="s">
        <v>178</v>
      </c>
      <c r="C617" t="s">
        <v>121</v>
      </c>
      <c r="D617" t="s">
        <v>121</v>
      </c>
      <c r="E617" t="s">
        <v>121</v>
      </c>
      <c r="F617" s="6" t="s">
        <v>1062</v>
      </c>
      <c r="H617">
        <v>2</v>
      </c>
      <c r="I617" s="1">
        <v>0</v>
      </c>
      <c r="J617">
        <v>0</v>
      </c>
      <c r="K617">
        <v>0</v>
      </c>
      <c r="L617" s="20">
        <v>11960</v>
      </c>
      <c r="M617">
        <v>1</v>
      </c>
      <c r="N617">
        <v>0</v>
      </c>
      <c r="O617">
        <v>0</v>
      </c>
      <c r="P617">
        <v>0</v>
      </c>
      <c r="Q617" s="22">
        <v>35880</v>
      </c>
      <c r="R617">
        <v>3</v>
      </c>
      <c r="S617" s="1">
        <v>0</v>
      </c>
      <c r="T617">
        <v>0</v>
      </c>
      <c r="U617">
        <v>0</v>
      </c>
      <c r="V617" s="21">
        <v>17940</v>
      </c>
      <c r="W617">
        <v>21</v>
      </c>
      <c r="X617">
        <v>0</v>
      </c>
      <c r="Y617">
        <v>0</v>
      </c>
      <c r="Z617">
        <v>0</v>
      </c>
      <c r="AA617">
        <v>1</v>
      </c>
    </row>
    <row r="618" spans="1:27" ht="14.25" x14ac:dyDescent="0.2">
      <c r="A618" s="11">
        <v>10735</v>
      </c>
      <c r="B618" t="s">
        <v>130</v>
      </c>
      <c r="C618" t="s">
        <v>121</v>
      </c>
      <c r="D618" t="s">
        <v>121</v>
      </c>
      <c r="E618" t="s">
        <v>121</v>
      </c>
      <c r="F618" s="6" t="s">
        <v>1064</v>
      </c>
      <c r="H618">
        <v>2</v>
      </c>
      <c r="I618" s="1">
        <v>0</v>
      </c>
      <c r="J618">
        <v>0</v>
      </c>
      <c r="K618">
        <v>0</v>
      </c>
      <c r="L618" s="20">
        <v>11960</v>
      </c>
      <c r="M618">
        <v>1</v>
      </c>
      <c r="N618">
        <v>0</v>
      </c>
      <c r="O618">
        <v>0</v>
      </c>
      <c r="P618">
        <v>0</v>
      </c>
      <c r="Q618" s="22">
        <v>35880</v>
      </c>
      <c r="R618">
        <v>3</v>
      </c>
      <c r="S618" s="1">
        <v>0</v>
      </c>
      <c r="T618">
        <v>0</v>
      </c>
      <c r="U618">
        <v>0</v>
      </c>
      <c r="V618" s="21">
        <v>17940</v>
      </c>
      <c r="W618">
        <v>9</v>
      </c>
      <c r="X618">
        <v>0</v>
      </c>
      <c r="Y618">
        <v>0</v>
      </c>
      <c r="Z618">
        <v>0</v>
      </c>
      <c r="AA618">
        <v>10</v>
      </c>
    </row>
    <row r="619" spans="1:27" ht="14.25" x14ac:dyDescent="0.2">
      <c r="A619" s="11">
        <v>10736</v>
      </c>
      <c r="B619" t="s">
        <v>181</v>
      </c>
      <c r="C619" t="s">
        <v>121</v>
      </c>
      <c r="D619" t="s">
        <v>121</v>
      </c>
      <c r="E619" t="s">
        <v>121</v>
      </c>
      <c r="F619" s="6" t="s">
        <v>1066</v>
      </c>
      <c r="H619">
        <v>2</v>
      </c>
      <c r="I619" s="1">
        <v>0</v>
      </c>
      <c r="J619">
        <v>0</v>
      </c>
      <c r="K619">
        <v>0</v>
      </c>
      <c r="L619" s="20">
        <v>12040</v>
      </c>
      <c r="M619">
        <v>1</v>
      </c>
      <c r="N619">
        <v>0</v>
      </c>
      <c r="O619">
        <v>0</v>
      </c>
      <c r="P619">
        <v>0</v>
      </c>
      <c r="Q619" s="22">
        <v>35880</v>
      </c>
      <c r="R619">
        <v>3</v>
      </c>
      <c r="S619" s="1">
        <v>0</v>
      </c>
      <c r="T619">
        <v>0</v>
      </c>
      <c r="U619">
        <v>0</v>
      </c>
      <c r="V619" s="21">
        <v>17940</v>
      </c>
      <c r="W619">
        <v>30</v>
      </c>
      <c r="X619">
        <v>0</v>
      </c>
      <c r="Y619">
        <v>0</v>
      </c>
      <c r="Z619">
        <v>0</v>
      </c>
      <c r="AA619">
        <v>10</v>
      </c>
    </row>
    <row r="620" spans="1:27" ht="14.25" x14ac:dyDescent="0.2">
      <c r="A620" s="11">
        <v>10737</v>
      </c>
      <c r="B620" t="s">
        <v>122</v>
      </c>
      <c r="C620" t="s">
        <v>121</v>
      </c>
      <c r="D620" t="s">
        <v>121</v>
      </c>
      <c r="E620" t="s">
        <v>121</v>
      </c>
      <c r="F620" s="6" t="s">
        <v>1066</v>
      </c>
      <c r="H620">
        <v>2</v>
      </c>
      <c r="I620" s="1">
        <v>0</v>
      </c>
      <c r="J620">
        <v>0</v>
      </c>
      <c r="K620">
        <v>0</v>
      </c>
      <c r="L620" s="20">
        <v>12040</v>
      </c>
      <c r="M620">
        <v>1</v>
      </c>
      <c r="N620">
        <v>0</v>
      </c>
      <c r="O620">
        <v>0</v>
      </c>
      <c r="P620">
        <v>0</v>
      </c>
      <c r="Q620" s="22">
        <v>35880</v>
      </c>
      <c r="R620">
        <v>3</v>
      </c>
      <c r="S620" s="1">
        <v>0</v>
      </c>
      <c r="T620">
        <v>0</v>
      </c>
      <c r="U620">
        <v>0</v>
      </c>
      <c r="V620" s="21">
        <v>17940</v>
      </c>
      <c r="W620">
        <v>4</v>
      </c>
      <c r="X620">
        <v>0</v>
      </c>
      <c r="Y620">
        <v>0</v>
      </c>
      <c r="Z620">
        <v>0</v>
      </c>
      <c r="AA620">
        <v>10</v>
      </c>
    </row>
    <row r="621" spans="1:27" ht="14.25" x14ac:dyDescent="0.2">
      <c r="A621" s="11">
        <v>10738</v>
      </c>
      <c r="B621" t="s">
        <v>178</v>
      </c>
      <c r="C621" t="s">
        <v>121</v>
      </c>
      <c r="D621" t="s">
        <v>121</v>
      </c>
      <c r="E621" t="s">
        <v>121</v>
      </c>
      <c r="F621" s="6" t="s">
        <v>1068</v>
      </c>
      <c r="H621">
        <v>2</v>
      </c>
      <c r="I621" s="1">
        <v>0</v>
      </c>
      <c r="J621">
        <v>0</v>
      </c>
      <c r="K621">
        <v>0</v>
      </c>
      <c r="L621" s="20">
        <v>12040</v>
      </c>
      <c r="M621">
        <v>1</v>
      </c>
      <c r="N621">
        <v>0</v>
      </c>
      <c r="O621">
        <v>0</v>
      </c>
      <c r="P621">
        <v>0</v>
      </c>
      <c r="Q621" s="22">
        <v>36120</v>
      </c>
      <c r="R621">
        <v>3</v>
      </c>
      <c r="S621" s="1">
        <v>0</v>
      </c>
      <c r="T621">
        <v>0</v>
      </c>
      <c r="U621">
        <v>0</v>
      </c>
      <c r="V621" s="21">
        <v>18060</v>
      </c>
      <c r="W621">
        <v>21</v>
      </c>
      <c r="X621">
        <v>0</v>
      </c>
      <c r="Y621">
        <v>0</v>
      </c>
      <c r="Z621">
        <v>0</v>
      </c>
      <c r="AA621">
        <v>1</v>
      </c>
    </row>
    <row r="622" spans="1:27" ht="14.25" x14ac:dyDescent="0.2">
      <c r="A622" s="11">
        <v>10739</v>
      </c>
      <c r="B622" t="s">
        <v>130</v>
      </c>
      <c r="C622" t="s">
        <v>121</v>
      </c>
      <c r="D622" t="s">
        <v>121</v>
      </c>
      <c r="E622" t="s">
        <v>121</v>
      </c>
      <c r="F622" s="6" t="s">
        <v>1070</v>
      </c>
      <c r="H622">
        <v>2</v>
      </c>
      <c r="I622" s="1">
        <v>0</v>
      </c>
      <c r="J622">
        <v>0</v>
      </c>
      <c r="K622">
        <v>0</v>
      </c>
      <c r="L622" s="20">
        <v>12040</v>
      </c>
      <c r="M622">
        <v>1</v>
      </c>
      <c r="N622">
        <v>0</v>
      </c>
      <c r="O622">
        <v>0</v>
      </c>
      <c r="P622">
        <v>0</v>
      </c>
      <c r="Q622" s="22">
        <v>36120</v>
      </c>
      <c r="R622">
        <v>3</v>
      </c>
      <c r="S622" s="1">
        <v>0</v>
      </c>
      <c r="T622">
        <v>0</v>
      </c>
      <c r="U622">
        <v>0</v>
      </c>
      <c r="V622" s="21">
        <v>18060</v>
      </c>
      <c r="W622">
        <v>9</v>
      </c>
      <c r="X622">
        <v>0</v>
      </c>
      <c r="Y622">
        <v>0</v>
      </c>
      <c r="Z622">
        <v>0</v>
      </c>
      <c r="AA622">
        <v>10</v>
      </c>
    </row>
    <row r="623" spans="1:27" ht="14.25" x14ac:dyDescent="0.2">
      <c r="A623" s="11">
        <v>10740</v>
      </c>
      <c r="B623" t="s">
        <v>123</v>
      </c>
      <c r="C623" t="s">
        <v>121</v>
      </c>
      <c r="D623" t="s">
        <v>121</v>
      </c>
      <c r="E623" t="s">
        <v>121</v>
      </c>
      <c r="F623" s="6" t="s">
        <v>1070</v>
      </c>
      <c r="H623">
        <v>2</v>
      </c>
      <c r="I623" s="1">
        <v>0</v>
      </c>
      <c r="J623">
        <v>0</v>
      </c>
      <c r="K623">
        <v>0</v>
      </c>
      <c r="L623" s="20">
        <v>12040</v>
      </c>
      <c r="M623">
        <v>1</v>
      </c>
      <c r="N623">
        <v>0</v>
      </c>
      <c r="O623">
        <v>0</v>
      </c>
      <c r="P623">
        <v>0</v>
      </c>
      <c r="Q623" s="22">
        <v>36120</v>
      </c>
      <c r="R623">
        <v>3</v>
      </c>
      <c r="S623" s="1">
        <v>0</v>
      </c>
      <c r="T623">
        <v>0</v>
      </c>
      <c r="U623">
        <v>0</v>
      </c>
      <c r="V623" s="21">
        <v>18060</v>
      </c>
      <c r="W623">
        <v>12</v>
      </c>
      <c r="X623">
        <v>0</v>
      </c>
      <c r="Y623">
        <v>0</v>
      </c>
      <c r="Z623">
        <v>0</v>
      </c>
      <c r="AA623">
        <v>10</v>
      </c>
    </row>
    <row r="624" spans="1:27" ht="14.25" x14ac:dyDescent="0.2">
      <c r="A624" s="11">
        <v>10741</v>
      </c>
      <c r="B624" t="s">
        <v>126</v>
      </c>
      <c r="C624" t="s">
        <v>121</v>
      </c>
      <c r="D624" t="s">
        <v>121</v>
      </c>
      <c r="E624" t="s">
        <v>121</v>
      </c>
      <c r="F624" s="6" t="s">
        <v>1072</v>
      </c>
      <c r="H624">
        <v>2</v>
      </c>
      <c r="I624" s="1">
        <v>0</v>
      </c>
      <c r="J624">
        <v>0</v>
      </c>
      <c r="K624">
        <v>0</v>
      </c>
      <c r="L624" s="20">
        <v>12120</v>
      </c>
      <c r="M624">
        <v>1</v>
      </c>
      <c r="N624">
        <v>0</v>
      </c>
      <c r="O624">
        <v>0</v>
      </c>
      <c r="P624">
        <v>0</v>
      </c>
      <c r="Q624" s="22">
        <v>36120</v>
      </c>
      <c r="R624">
        <v>3</v>
      </c>
      <c r="S624" s="1">
        <v>0</v>
      </c>
      <c r="T624">
        <v>0</v>
      </c>
      <c r="U624">
        <v>0</v>
      </c>
      <c r="V624" s="21">
        <v>18060</v>
      </c>
      <c r="W624">
        <v>23</v>
      </c>
      <c r="X624">
        <v>0</v>
      </c>
      <c r="Y624">
        <v>0</v>
      </c>
      <c r="Z624">
        <v>0</v>
      </c>
      <c r="AA624">
        <v>1</v>
      </c>
    </row>
    <row r="625" spans="1:27" ht="14.25" x14ac:dyDescent="0.2">
      <c r="A625" s="11">
        <v>10742</v>
      </c>
      <c r="B625" t="s">
        <v>131</v>
      </c>
      <c r="C625" t="s">
        <v>125</v>
      </c>
      <c r="D625" t="s">
        <v>121</v>
      </c>
      <c r="E625" t="s">
        <v>136</v>
      </c>
      <c r="F625" s="6" t="s">
        <v>1074</v>
      </c>
      <c r="H625">
        <v>2</v>
      </c>
      <c r="I625" s="1">
        <v>0</v>
      </c>
      <c r="J625">
        <v>0</v>
      </c>
      <c r="K625">
        <v>0</v>
      </c>
      <c r="L625" s="20">
        <v>12120</v>
      </c>
      <c r="M625">
        <v>1</v>
      </c>
      <c r="N625">
        <v>0</v>
      </c>
      <c r="O625">
        <v>0</v>
      </c>
      <c r="P625">
        <v>0</v>
      </c>
      <c r="Q625" s="22">
        <v>36120</v>
      </c>
      <c r="R625">
        <v>3</v>
      </c>
      <c r="S625" s="1">
        <v>0</v>
      </c>
      <c r="T625">
        <v>0</v>
      </c>
      <c r="U625">
        <v>0</v>
      </c>
      <c r="V625" s="21">
        <v>18060</v>
      </c>
      <c r="W625">
        <v>6</v>
      </c>
      <c r="X625">
        <v>1</v>
      </c>
      <c r="Y625">
        <v>0</v>
      </c>
      <c r="Z625">
        <v>3</v>
      </c>
      <c r="AA625">
        <v>10</v>
      </c>
    </row>
    <row r="626" spans="1:27" ht="14.25" x14ac:dyDescent="0.2">
      <c r="A626" s="11">
        <v>10743</v>
      </c>
      <c r="B626" t="s">
        <v>180</v>
      </c>
      <c r="C626" t="s">
        <v>121</v>
      </c>
      <c r="D626" t="s">
        <v>121</v>
      </c>
      <c r="E626" t="s">
        <v>121</v>
      </c>
      <c r="F626" s="6" t="s">
        <v>1076</v>
      </c>
      <c r="H626">
        <v>2</v>
      </c>
      <c r="I626" s="1">
        <v>0</v>
      </c>
      <c r="J626">
        <v>0</v>
      </c>
      <c r="K626">
        <v>0</v>
      </c>
      <c r="L626" s="20">
        <v>12120</v>
      </c>
      <c r="M626">
        <v>1</v>
      </c>
      <c r="N626">
        <v>0</v>
      </c>
      <c r="O626">
        <v>0</v>
      </c>
      <c r="P626">
        <v>0</v>
      </c>
      <c r="Q626" s="22">
        <v>36360</v>
      </c>
      <c r="R626">
        <v>3</v>
      </c>
      <c r="S626" s="1">
        <v>0</v>
      </c>
      <c r="T626">
        <v>0</v>
      </c>
      <c r="U626">
        <v>0</v>
      </c>
      <c r="V626" s="21">
        <v>18180</v>
      </c>
      <c r="W626">
        <v>15</v>
      </c>
      <c r="X626">
        <v>0</v>
      </c>
      <c r="Y626">
        <v>0</v>
      </c>
      <c r="Z626">
        <v>0</v>
      </c>
      <c r="AA626">
        <v>1</v>
      </c>
    </row>
    <row r="627" spans="1:27" ht="14.25" x14ac:dyDescent="0.2">
      <c r="A627" s="11">
        <v>10744</v>
      </c>
      <c r="B627" t="s">
        <v>178</v>
      </c>
      <c r="C627" t="s">
        <v>121</v>
      </c>
      <c r="D627" t="s">
        <v>121</v>
      </c>
      <c r="E627" t="s">
        <v>121</v>
      </c>
      <c r="F627" s="6" t="s">
        <v>1076</v>
      </c>
      <c r="H627">
        <v>2</v>
      </c>
      <c r="I627" s="1">
        <v>0</v>
      </c>
      <c r="J627">
        <v>0</v>
      </c>
      <c r="K627">
        <v>0</v>
      </c>
      <c r="L627" s="20">
        <v>12120</v>
      </c>
      <c r="M627">
        <v>1</v>
      </c>
      <c r="N627">
        <v>0</v>
      </c>
      <c r="O627">
        <v>0</v>
      </c>
      <c r="P627">
        <v>0</v>
      </c>
      <c r="Q627" s="22">
        <v>36360</v>
      </c>
      <c r="R627">
        <v>3</v>
      </c>
      <c r="S627" s="1">
        <v>0</v>
      </c>
      <c r="T627">
        <v>0</v>
      </c>
      <c r="U627">
        <v>0</v>
      </c>
      <c r="V627" s="21">
        <v>18180</v>
      </c>
      <c r="W627">
        <v>21</v>
      </c>
      <c r="X627">
        <v>0</v>
      </c>
      <c r="Y627">
        <v>0</v>
      </c>
      <c r="Z627">
        <v>0</v>
      </c>
      <c r="AA627">
        <v>1</v>
      </c>
    </row>
    <row r="628" spans="1:27" ht="14.25" x14ac:dyDescent="0.2">
      <c r="A628" s="11">
        <v>10745</v>
      </c>
      <c r="B628" t="s">
        <v>130</v>
      </c>
      <c r="C628" t="s">
        <v>121</v>
      </c>
      <c r="D628" t="s">
        <v>121</v>
      </c>
      <c r="E628" t="s">
        <v>121</v>
      </c>
      <c r="F628" s="6" t="s">
        <v>1078</v>
      </c>
      <c r="H628">
        <v>2</v>
      </c>
      <c r="I628" s="1">
        <v>0</v>
      </c>
      <c r="J628">
        <v>0</v>
      </c>
      <c r="K628">
        <v>0</v>
      </c>
      <c r="L628" s="20">
        <v>12120</v>
      </c>
      <c r="M628">
        <v>1</v>
      </c>
      <c r="N628">
        <v>0</v>
      </c>
      <c r="O628">
        <v>0</v>
      </c>
      <c r="P628">
        <v>0</v>
      </c>
      <c r="Q628" s="22">
        <v>36360</v>
      </c>
      <c r="R628">
        <v>3</v>
      </c>
      <c r="S628" s="1">
        <v>0</v>
      </c>
      <c r="T628">
        <v>0</v>
      </c>
      <c r="U628">
        <v>0</v>
      </c>
      <c r="V628" s="21">
        <v>18180</v>
      </c>
      <c r="W628">
        <v>9</v>
      </c>
      <c r="X628">
        <v>0</v>
      </c>
      <c r="Y628">
        <v>0</v>
      </c>
      <c r="Z628">
        <v>0</v>
      </c>
      <c r="AA628">
        <v>10</v>
      </c>
    </row>
    <row r="629" spans="1:27" ht="14.25" x14ac:dyDescent="0.2">
      <c r="A629" s="11">
        <v>10746</v>
      </c>
      <c r="B629" t="s">
        <v>181</v>
      </c>
      <c r="C629" t="s">
        <v>121</v>
      </c>
      <c r="D629" t="s">
        <v>121</v>
      </c>
      <c r="E629" t="s">
        <v>121</v>
      </c>
      <c r="F629" s="6" t="s">
        <v>1080</v>
      </c>
      <c r="H629">
        <v>2</v>
      </c>
      <c r="I629" s="1">
        <v>0</v>
      </c>
      <c r="J629">
        <v>0</v>
      </c>
      <c r="K629">
        <v>0</v>
      </c>
      <c r="L629" s="20">
        <v>12200</v>
      </c>
      <c r="M629">
        <v>1</v>
      </c>
      <c r="N629">
        <v>0</v>
      </c>
      <c r="O629">
        <v>0</v>
      </c>
      <c r="P629">
        <v>0</v>
      </c>
      <c r="Q629" s="22">
        <v>36360</v>
      </c>
      <c r="R629">
        <v>3</v>
      </c>
      <c r="S629" s="1">
        <v>0</v>
      </c>
      <c r="T629">
        <v>0</v>
      </c>
      <c r="U629">
        <v>0</v>
      </c>
      <c r="V629" s="21">
        <v>18180</v>
      </c>
      <c r="W629">
        <v>30</v>
      </c>
      <c r="X629">
        <v>0</v>
      </c>
      <c r="Y629">
        <v>0</v>
      </c>
      <c r="Z629">
        <v>0</v>
      </c>
      <c r="AA629">
        <v>10</v>
      </c>
    </row>
    <row r="630" spans="1:27" ht="14.25" x14ac:dyDescent="0.2">
      <c r="A630" s="11">
        <v>10747</v>
      </c>
      <c r="B630" t="s">
        <v>122</v>
      </c>
      <c r="C630" t="s">
        <v>121</v>
      </c>
      <c r="D630" t="s">
        <v>121</v>
      </c>
      <c r="E630" t="s">
        <v>121</v>
      </c>
      <c r="F630" s="6" t="s">
        <v>1080</v>
      </c>
      <c r="H630">
        <v>2</v>
      </c>
      <c r="I630" s="1">
        <v>0</v>
      </c>
      <c r="J630">
        <v>0</v>
      </c>
      <c r="K630">
        <v>0</v>
      </c>
      <c r="L630" s="20">
        <v>12200</v>
      </c>
      <c r="M630">
        <v>1</v>
      </c>
      <c r="N630">
        <v>0</v>
      </c>
      <c r="O630">
        <v>0</v>
      </c>
      <c r="P630">
        <v>0</v>
      </c>
      <c r="Q630" s="22">
        <v>36360</v>
      </c>
      <c r="R630">
        <v>3</v>
      </c>
      <c r="S630" s="1">
        <v>0</v>
      </c>
      <c r="T630">
        <v>0</v>
      </c>
      <c r="U630">
        <v>0</v>
      </c>
      <c r="V630" s="21">
        <v>18180</v>
      </c>
      <c r="W630">
        <v>4</v>
      </c>
      <c r="X630">
        <v>0</v>
      </c>
      <c r="Y630">
        <v>0</v>
      </c>
      <c r="Z630">
        <v>0</v>
      </c>
      <c r="AA630">
        <v>10</v>
      </c>
    </row>
    <row r="631" spans="1:27" ht="14.25" x14ac:dyDescent="0.2">
      <c r="A631" s="11">
        <v>10748</v>
      </c>
      <c r="B631" t="s">
        <v>178</v>
      </c>
      <c r="C631" t="s">
        <v>121</v>
      </c>
      <c r="D631" t="s">
        <v>121</v>
      </c>
      <c r="E631" t="s">
        <v>121</v>
      </c>
      <c r="F631" s="6" t="s">
        <v>1082</v>
      </c>
      <c r="H631">
        <v>2</v>
      </c>
      <c r="I631" s="1">
        <v>0</v>
      </c>
      <c r="J631">
        <v>0</v>
      </c>
      <c r="K631">
        <v>0</v>
      </c>
      <c r="L631" s="20">
        <v>12200</v>
      </c>
      <c r="M631">
        <v>1</v>
      </c>
      <c r="N631">
        <v>0</v>
      </c>
      <c r="O631">
        <v>0</v>
      </c>
      <c r="P631">
        <v>0</v>
      </c>
      <c r="Q631" s="22">
        <v>36600</v>
      </c>
      <c r="R631">
        <v>3</v>
      </c>
      <c r="S631" s="1">
        <v>0</v>
      </c>
      <c r="T631">
        <v>0</v>
      </c>
      <c r="U631">
        <v>0</v>
      </c>
      <c r="V631" s="21">
        <v>18300</v>
      </c>
      <c r="W631">
        <v>21</v>
      </c>
      <c r="X631">
        <v>0</v>
      </c>
      <c r="Y631">
        <v>0</v>
      </c>
      <c r="Z631">
        <v>0</v>
      </c>
      <c r="AA631">
        <v>1</v>
      </c>
    </row>
    <row r="632" spans="1:27" ht="14.25" x14ac:dyDescent="0.2">
      <c r="A632" s="11">
        <v>10749</v>
      </c>
      <c r="B632" t="s">
        <v>130</v>
      </c>
      <c r="C632" t="s">
        <v>121</v>
      </c>
      <c r="D632" t="s">
        <v>121</v>
      </c>
      <c r="E632" t="s">
        <v>121</v>
      </c>
      <c r="F632" s="6" t="s">
        <v>1084</v>
      </c>
      <c r="H632">
        <v>2</v>
      </c>
      <c r="I632" s="1">
        <v>0</v>
      </c>
      <c r="J632">
        <v>0</v>
      </c>
      <c r="K632">
        <v>0</v>
      </c>
      <c r="L632" s="20">
        <v>12200</v>
      </c>
      <c r="M632">
        <v>1</v>
      </c>
      <c r="N632">
        <v>0</v>
      </c>
      <c r="O632">
        <v>0</v>
      </c>
      <c r="P632">
        <v>0</v>
      </c>
      <c r="Q632" s="22">
        <v>36600</v>
      </c>
      <c r="R632">
        <v>3</v>
      </c>
      <c r="S632" s="1">
        <v>0</v>
      </c>
      <c r="T632">
        <v>0</v>
      </c>
      <c r="U632">
        <v>0</v>
      </c>
      <c r="V632" s="21">
        <v>18300</v>
      </c>
      <c r="W632">
        <v>9</v>
      </c>
      <c r="X632">
        <v>0</v>
      </c>
      <c r="Y632">
        <v>0</v>
      </c>
      <c r="Z632">
        <v>0</v>
      </c>
      <c r="AA632">
        <v>10</v>
      </c>
    </row>
    <row r="633" spans="1:27" ht="14.25" x14ac:dyDescent="0.2">
      <c r="A633" s="11">
        <v>10750</v>
      </c>
      <c r="B633" t="s">
        <v>123</v>
      </c>
      <c r="C633" t="s">
        <v>121</v>
      </c>
      <c r="D633" t="s">
        <v>121</v>
      </c>
      <c r="E633" t="s">
        <v>121</v>
      </c>
      <c r="F633" s="6" t="s">
        <v>1084</v>
      </c>
      <c r="H633">
        <v>2</v>
      </c>
      <c r="I633" s="1">
        <v>0</v>
      </c>
      <c r="J633">
        <v>0</v>
      </c>
      <c r="K633">
        <v>0</v>
      </c>
      <c r="L633" s="20">
        <v>12200</v>
      </c>
      <c r="M633">
        <v>1</v>
      </c>
      <c r="N633">
        <v>0</v>
      </c>
      <c r="O633">
        <v>0</v>
      </c>
      <c r="P633">
        <v>0</v>
      </c>
      <c r="Q633" s="22">
        <v>36600</v>
      </c>
      <c r="R633">
        <v>3</v>
      </c>
      <c r="S633" s="1">
        <v>0</v>
      </c>
      <c r="T633">
        <v>0</v>
      </c>
      <c r="U633">
        <v>0</v>
      </c>
      <c r="V633" s="21">
        <v>18300</v>
      </c>
      <c r="W633">
        <v>12</v>
      </c>
      <c r="X633">
        <v>0</v>
      </c>
      <c r="Y633">
        <v>0</v>
      </c>
      <c r="Z633">
        <v>0</v>
      </c>
      <c r="AA633">
        <v>10</v>
      </c>
    </row>
    <row r="634" spans="1:27" ht="14.25" x14ac:dyDescent="0.2">
      <c r="A634" s="11">
        <v>10801</v>
      </c>
      <c r="B634" t="s">
        <v>126</v>
      </c>
      <c r="C634" t="s">
        <v>121</v>
      </c>
      <c r="D634" t="s">
        <v>121</v>
      </c>
      <c r="E634" t="s">
        <v>121</v>
      </c>
      <c r="F634" s="6" t="s">
        <v>1086</v>
      </c>
      <c r="H634">
        <v>2</v>
      </c>
      <c r="I634" s="1">
        <v>0</v>
      </c>
      <c r="J634">
        <v>0</v>
      </c>
      <c r="K634">
        <v>0</v>
      </c>
      <c r="L634" s="20">
        <v>12280</v>
      </c>
      <c r="M634">
        <v>1</v>
      </c>
      <c r="N634">
        <v>0</v>
      </c>
      <c r="O634">
        <v>0</v>
      </c>
      <c r="P634">
        <v>0</v>
      </c>
      <c r="Q634" s="22">
        <v>36600</v>
      </c>
      <c r="R634">
        <v>3</v>
      </c>
      <c r="S634" s="1">
        <v>0</v>
      </c>
      <c r="T634">
        <v>0</v>
      </c>
      <c r="U634">
        <v>0</v>
      </c>
      <c r="V634" s="21">
        <v>18300</v>
      </c>
      <c r="W634">
        <v>23</v>
      </c>
      <c r="X634">
        <v>0</v>
      </c>
      <c r="Y634">
        <v>0</v>
      </c>
      <c r="Z634">
        <v>0</v>
      </c>
      <c r="AA634">
        <v>1</v>
      </c>
    </row>
    <row r="635" spans="1:27" ht="14.25" x14ac:dyDescent="0.2">
      <c r="A635" s="11">
        <v>10802</v>
      </c>
      <c r="B635" t="s">
        <v>131</v>
      </c>
      <c r="C635" t="s">
        <v>125</v>
      </c>
      <c r="D635" t="s">
        <v>121</v>
      </c>
      <c r="E635" t="s">
        <v>136</v>
      </c>
      <c r="F635" s="6" t="s">
        <v>1088</v>
      </c>
      <c r="H635">
        <v>2</v>
      </c>
      <c r="I635" s="1">
        <v>0</v>
      </c>
      <c r="J635">
        <v>0</v>
      </c>
      <c r="K635">
        <v>0</v>
      </c>
      <c r="L635" s="20">
        <v>12280</v>
      </c>
      <c r="M635">
        <v>1</v>
      </c>
      <c r="N635">
        <v>0</v>
      </c>
      <c r="O635">
        <v>0</v>
      </c>
      <c r="P635">
        <v>0</v>
      </c>
      <c r="Q635" s="22">
        <v>36600</v>
      </c>
      <c r="R635">
        <v>3</v>
      </c>
      <c r="S635" s="1">
        <v>0</v>
      </c>
      <c r="T635">
        <v>0</v>
      </c>
      <c r="U635">
        <v>0</v>
      </c>
      <c r="V635" s="21">
        <v>18300</v>
      </c>
      <c r="W635">
        <v>6</v>
      </c>
      <c r="X635">
        <v>1</v>
      </c>
      <c r="Y635">
        <v>0</v>
      </c>
      <c r="Z635">
        <v>3</v>
      </c>
      <c r="AA635">
        <v>10</v>
      </c>
    </row>
    <row r="636" spans="1:27" ht="14.25" x14ac:dyDescent="0.2">
      <c r="A636" s="11">
        <v>10803</v>
      </c>
      <c r="B636" t="s">
        <v>180</v>
      </c>
      <c r="C636" t="s">
        <v>121</v>
      </c>
      <c r="D636" t="s">
        <v>121</v>
      </c>
      <c r="E636" t="s">
        <v>121</v>
      </c>
      <c r="F636" s="6" t="s">
        <v>1090</v>
      </c>
      <c r="H636">
        <v>2</v>
      </c>
      <c r="I636" s="1">
        <v>0</v>
      </c>
      <c r="J636">
        <v>0</v>
      </c>
      <c r="K636">
        <v>0</v>
      </c>
      <c r="L636" s="20">
        <v>12280</v>
      </c>
      <c r="M636">
        <v>1</v>
      </c>
      <c r="N636">
        <v>0</v>
      </c>
      <c r="O636">
        <v>0</v>
      </c>
      <c r="P636">
        <v>0</v>
      </c>
      <c r="Q636" s="22">
        <v>36840</v>
      </c>
      <c r="R636">
        <v>3</v>
      </c>
      <c r="S636" s="1">
        <v>0</v>
      </c>
      <c r="T636">
        <v>0</v>
      </c>
      <c r="U636">
        <v>0</v>
      </c>
      <c r="V636" s="21">
        <v>18420</v>
      </c>
      <c r="W636">
        <v>15</v>
      </c>
      <c r="X636">
        <v>0</v>
      </c>
      <c r="Y636">
        <v>0</v>
      </c>
      <c r="Z636">
        <v>0</v>
      </c>
      <c r="AA636">
        <v>1</v>
      </c>
    </row>
    <row r="637" spans="1:27" ht="14.25" x14ac:dyDescent="0.2">
      <c r="A637" s="11">
        <v>10804</v>
      </c>
      <c r="B637" t="s">
        <v>178</v>
      </c>
      <c r="C637" t="s">
        <v>121</v>
      </c>
      <c r="D637" t="s">
        <v>121</v>
      </c>
      <c r="E637" t="s">
        <v>121</v>
      </c>
      <c r="F637" s="6" t="s">
        <v>1090</v>
      </c>
      <c r="H637">
        <v>2</v>
      </c>
      <c r="I637" s="1">
        <v>0</v>
      </c>
      <c r="J637">
        <v>0</v>
      </c>
      <c r="K637">
        <v>0</v>
      </c>
      <c r="L637" s="20">
        <v>12280</v>
      </c>
      <c r="M637">
        <v>1</v>
      </c>
      <c r="N637">
        <v>0</v>
      </c>
      <c r="O637">
        <v>0</v>
      </c>
      <c r="P637">
        <v>0</v>
      </c>
      <c r="Q637" s="22">
        <v>36840</v>
      </c>
      <c r="R637">
        <v>3</v>
      </c>
      <c r="S637" s="1">
        <v>0</v>
      </c>
      <c r="T637">
        <v>0</v>
      </c>
      <c r="U637">
        <v>0</v>
      </c>
      <c r="V637" s="21">
        <v>18420</v>
      </c>
      <c r="W637">
        <v>21</v>
      </c>
      <c r="X637">
        <v>0</v>
      </c>
      <c r="Y637">
        <v>0</v>
      </c>
      <c r="Z637">
        <v>0</v>
      </c>
      <c r="AA637">
        <v>1</v>
      </c>
    </row>
    <row r="638" spans="1:27" ht="14.25" x14ac:dyDescent="0.2">
      <c r="A638" s="11">
        <v>10805</v>
      </c>
      <c r="B638" t="s">
        <v>130</v>
      </c>
      <c r="C638" t="s">
        <v>121</v>
      </c>
      <c r="D638" t="s">
        <v>121</v>
      </c>
      <c r="E638" t="s">
        <v>121</v>
      </c>
      <c r="F638" s="6" t="s">
        <v>1092</v>
      </c>
      <c r="H638">
        <v>2</v>
      </c>
      <c r="I638" s="1">
        <v>0</v>
      </c>
      <c r="J638">
        <v>0</v>
      </c>
      <c r="K638">
        <v>0</v>
      </c>
      <c r="L638" s="20">
        <v>12280</v>
      </c>
      <c r="M638">
        <v>1</v>
      </c>
      <c r="N638">
        <v>0</v>
      </c>
      <c r="O638">
        <v>0</v>
      </c>
      <c r="P638">
        <v>0</v>
      </c>
      <c r="Q638" s="22">
        <v>36840</v>
      </c>
      <c r="R638">
        <v>3</v>
      </c>
      <c r="S638" s="1">
        <v>0</v>
      </c>
      <c r="T638">
        <v>0</v>
      </c>
      <c r="U638">
        <v>0</v>
      </c>
      <c r="V638" s="21">
        <v>18420</v>
      </c>
      <c r="W638">
        <v>9</v>
      </c>
      <c r="X638">
        <v>0</v>
      </c>
      <c r="Y638">
        <v>0</v>
      </c>
      <c r="Z638">
        <v>0</v>
      </c>
      <c r="AA638">
        <v>10</v>
      </c>
    </row>
    <row r="639" spans="1:27" ht="14.25" x14ac:dyDescent="0.2">
      <c r="A639" s="11">
        <v>10806</v>
      </c>
      <c r="B639" t="s">
        <v>181</v>
      </c>
      <c r="C639" t="s">
        <v>121</v>
      </c>
      <c r="D639" t="s">
        <v>121</v>
      </c>
      <c r="E639" t="s">
        <v>121</v>
      </c>
      <c r="F639" s="6" t="s">
        <v>1094</v>
      </c>
      <c r="H639">
        <v>2</v>
      </c>
      <c r="I639" s="1">
        <v>0</v>
      </c>
      <c r="J639">
        <v>0</v>
      </c>
      <c r="K639">
        <v>0</v>
      </c>
      <c r="L639" s="20">
        <v>12360</v>
      </c>
      <c r="M639">
        <v>1</v>
      </c>
      <c r="N639">
        <v>0</v>
      </c>
      <c r="O639">
        <v>0</v>
      </c>
      <c r="P639">
        <v>0</v>
      </c>
      <c r="Q639" s="22">
        <v>36840</v>
      </c>
      <c r="R639">
        <v>3</v>
      </c>
      <c r="S639" s="1">
        <v>0</v>
      </c>
      <c r="T639">
        <v>0</v>
      </c>
      <c r="U639">
        <v>0</v>
      </c>
      <c r="V639" s="21">
        <v>18420</v>
      </c>
      <c r="W639">
        <v>30</v>
      </c>
      <c r="X639">
        <v>0</v>
      </c>
      <c r="Y639">
        <v>0</v>
      </c>
      <c r="Z639">
        <v>0</v>
      </c>
      <c r="AA639">
        <v>10</v>
      </c>
    </row>
    <row r="640" spans="1:27" ht="14.25" x14ac:dyDescent="0.2">
      <c r="A640" s="11">
        <v>10807</v>
      </c>
      <c r="B640" t="s">
        <v>122</v>
      </c>
      <c r="C640" t="s">
        <v>121</v>
      </c>
      <c r="D640" t="s">
        <v>121</v>
      </c>
      <c r="E640" t="s">
        <v>121</v>
      </c>
      <c r="F640" s="6" t="s">
        <v>1094</v>
      </c>
      <c r="H640">
        <v>2</v>
      </c>
      <c r="I640" s="1">
        <v>0</v>
      </c>
      <c r="J640">
        <v>0</v>
      </c>
      <c r="K640">
        <v>0</v>
      </c>
      <c r="L640" s="20">
        <v>12360</v>
      </c>
      <c r="M640">
        <v>1</v>
      </c>
      <c r="N640">
        <v>0</v>
      </c>
      <c r="O640">
        <v>0</v>
      </c>
      <c r="P640">
        <v>0</v>
      </c>
      <c r="Q640" s="22">
        <v>36840</v>
      </c>
      <c r="R640">
        <v>3</v>
      </c>
      <c r="S640" s="1">
        <v>0</v>
      </c>
      <c r="T640">
        <v>0</v>
      </c>
      <c r="U640">
        <v>0</v>
      </c>
      <c r="V640" s="21">
        <v>18420</v>
      </c>
      <c r="W640">
        <v>4</v>
      </c>
      <c r="X640">
        <v>0</v>
      </c>
      <c r="Y640">
        <v>0</v>
      </c>
      <c r="Z640">
        <v>0</v>
      </c>
      <c r="AA640">
        <v>10</v>
      </c>
    </row>
    <row r="641" spans="1:27" ht="14.25" x14ac:dyDescent="0.2">
      <c r="A641" s="11">
        <v>10808</v>
      </c>
      <c r="B641" t="s">
        <v>178</v>
      </c>
      <c r="C641" t="s">
        <v>121</v>
      </c>
      <c r="D641" t="s">
        <v>121</v>
      </c>
      <c r="E641" t="s">
        <v>121</v>
      </c>
      <c r="F641" s="6" t="s">
        <v>1096</v>
      </c>
      <c r="H641">
        <v>2</v>
      </c>
      <c r="I641" s="1">
        <v>0</v>
      </c>
      <c r="J641">
        <v>0</v>
      </c>
      <c r="K641">
        <v>0</v>
      </c>
      <c r="L641" s="20">
        <v>12360</v>
      </c>
      <c r="M641">
        <v>1</v>
      </c>
      <c r="N641">
        <v>0</v>
      </c>
      <c r="O641">
        <v>0</v>
      </c>
      <c r="P641">
        <v>0</v>
      </c>
      <c r="Q641" s="22">
        <v>37080</v>
      </c>
      <c r="R641">
        <v>3</v>
      </c>
      <c r="S641" s="1">
        <v>0</v>
      </c>
      <c r="T641">
        <v>0</v>
      </c>
      <c r="U641">
        <v>0</v>
      </c>
      <c r="V641" s="21">
        <v>18540</v>
      </c>
      <c r="W641">
        <v>21</v>
      </c>
      <c r="X641">
        <v>0</v>
      </c>
      <c r="Y641">
        <v>0</v>
      </c>
      <c r="Z641">
        <v>0</v>
      </c>
      <c r="AA641">
        <v>1</v>
      </c>
    </row>
    <row r="642" spans="1:27" ht="14.25" x14ac:dyDescent="0.2">
      <c r="A642" s="11">
        <v>10809</v>
      </c>
      <c r="B642" t="s">
        <v>130</v>
      </c>
      <c r="C642" t="s">
        <v>121</v>
      </c>
      <c r="D642" t="s">
        <v>121</v>
      </c>
      <c r="E642" t="s">
        <v>121</v>
      </c>
      <c r="F642" s="6" t="s">
        <v>1098</v>
      </c>
      <c r="H642">
        <v>2</v>
      </c>
      <c r="I642" s="1">
        <v>0</v>
      </c>
      <c r="J642">
        <v>0</v>
      </c>
      <c r="K642">
        <v>0</v>
      </c>
      <c r="L642" s="20">
        <v>12360</v>
      </c>
      <c r="M642">
        <v>1</v>
      </c>
      <c r="N642">
        <v>0</v>
      </c>
      <c r="O642">
        <v>0</v>
      </c>
      <c r="P642">
        <v>0</v>
      </c>
      <c r="Q642" s="22">
        <v>37080</v>
      </c>
      <c r="R642">
        <v>3</v>
      </c>
      <c r="S642" s="1">
        <v>0</v>
      </c>
      <c r="T642">
        <v>0</v>
      </c>
      <c r="U642">
        <v>0</v>
      </c>
      <c r="V642" s="21">
        <v>18540</v>
      </c>
      <c r="W642">
        <v>9</v>
      </c>
      <c r="X642">
        <v>0</v>
      </c>
      <c r="Y642">
        <v>0</v>
      </c>
      <c r="Z642">
        <v>0</v>
      </c>
      <c r="AA642">
        <v>10</v>
      </c>
    </row>
    <row r="643" spans="1:27" ht="14.25" x14ac:dyDescent="0.2">
      <c r="A643" s="11">
        <v>10810</v>
      </c>
      <c r="B643" t="s">
        <v>123</v>
      </c>
      <c r="C643" t="s">
        <v>121</v>
      </c>
      <c r="D643" t="s">
        <v>121</v>
      </c>
      <c r="E643" t="s">
        <v>121</v>
      </c>
      <c r="F643" s="6" t="s">
        <v>1098</v>
      </c>
      <c r="H643">
        <v>2</v>
      </c>
      <c r="I643" s="1">
        <v>0</v>
      </c>
      <c r="J643">
        <v>0</v>
      </c>
      <c r="K643">
        <v>0</v>
      </c>
      <c r="L643" s="20">
        <v>12360</v>
      </c>
      <c r="M643">
        <v>1</v>
      </c>
      <c r="N643">
        <v>0</v>
      </c>
      <c r="O643">
        <v>0</v>
      </c>
      <c r="P643">
        <v>0</v>
      </c>
      <c r="Q643" s="22">
        <v>37080</v>
      </c>
      <c r="R643">
        <v>3</v>
      </c>
      <c r="S643" s="1">
        <v>0</v>
      </c>
      <c r="T643">
        <v>0</v>
      </c>
      <c r="U643">
        <v>0</v>
      </c>
      <c r="V643" s="21">
        <v>18540</v>
      </c>
      <c r="W643">
        <v>12</v>
      </c>
      <c r="X643">
        <v>0</v>
      </c>
      <c r="Y643">
        <v>0</v>
      </c>
      <c r="Z643">
        <v>0</v>
      </c>
      <c r="AA643">
        <v>10</v>
      </c>
    </row>
    <row r="644" spans="1:27" ht="14.25" x14ac:dyDescent="0.2">
      <c r="A644" s="11">
        <v>10811</v>
      </c>
      <c r="B644" t="s">
        <v>126</v>
      </c>
      <c r="C644" t="s">
        <v>121</v>
      </c>
      <c r="D644" t="s">
        <v>121</v>
      </c>
      <c r="E644" t="s">
        <v>121</v>
      </c>
      <c r="F644" s="6" t="s">
        <v>1100</v>
      </c>
      <c r="H644">
        <v>2</v>
      </c>
      <c r="I644" s="1">
        <v>0</v>
      </c>
      <c r="J644">
        <v>0</v>
      </c>
      <c r="K644">
        <v>0</v>
      </c>
      <c r="L644" s="20">
        <v>12440</v>
      </c>
      <c r="M644">
        <v>1</v>
      </c>
      <c r="N644">
        <v>0</v>
      </c>
      <c r="O644">
        <v>0</v>
      </c>
      <c r="P644">
        <v>0</v>
      </c>
      <c r="Q644" s="22">
        <v>37080</v>
      </c>
      <c r="R644">
        <v>3</v>
      </c>
      <c r="S644" s="1">
        <v>0</v>
      </c>
      <c r="T644">
        <v>0</v>
      </c>
      <c r="U644">
        <v>0</v>
      </c>
      <c r="V644" s="21">
        <v>18540</v>
      </c>
      <c r="W644">
        <v>23</v>
      </c>
      <c r="X644">
        <v>0</v>
      </c>
      <c r="Y644">
        <v>0</v>
      </c>
      <c r="Z644">
        <v>0</v>
      </c>
      <c r="AA644">
        <v>1</v>
      </c>
    </row>
    <row r="645" spans="1:27" ht="14.25" x14ac:dyDescent="0.2">
      <c r="A645" s="11">
        <v>10812</v>
      </c>
      <c r="B645" t="s">
        <v>131</v>
      </c>
      <c r="C645" t="s">
        <v>125</v>
      </c>
      <c r="D645" t="s">
        <v>121</v>
      </c>
      <c r="E645" t="s">
        <v>136</v>
      </c>
      <c r="F645" s="6" t="s">
        <v>1102</v>
      </c>
      <c r="H645">
        <v>2</v>
      </c>
      <c r="I645" s="1">
        <v>0</v>
      </c>
      <c r="J645">
        <v>0</v>
      </c>
      <c r="K645">
        <v>0</v>
      </c>
      <c r="L645" s="20">
        <v>12440</v>
      </c>
      <c r="M645">
        <v>1</v>
      </c>
      <c r="N645">
        <v>0</v>
      </c>
      <c r="O645">
        <v>0</v>
      </c>
      <c r="P645">
        <v>0</v>
      </c>
      <c r="Q645" s="22">
        <v>37080</v>
      </c>
      <c r="R645">
        <v>3</v>
      </c>
      <c r="S645" s="1">
        <v>0</v>
      </c>
      <c r="T645">
        <v>0</v>
      </c>
      <c r="U645">
        <v>0</v>
      </c>
      <c r="V645" s="21">
        <v>18540</v>
      </c>
      <c r="W645">
        <v>6</v>
      </c>
      <c r="X645">
        <v>1</v>
      </c>
      <c r="Y645">
        <v>0</v>
      </c>
      <c r="Z645">
        <v>3</v>
      </c>
      <c r="AA645">
        <v>10</v>
      </c>
    </row>
    <row r="646" spans="1:27" ht="14.25" x14ac:dyDescent="0.2">
      <c r="A646" s="11">
        <v>10813</v>
      </c>
      <c r="B646" t="s">
        <v>180</v>
      </c>
      <c r="C646" t="s">
        <v>121</v>
      </c>
      <c r="D646" t="s">
        <v>121</v>
      </c>
      <c r="E646" t="s">
        <v>121</v>
      </c>
      <c r="F646" s="6" t="s">
        <v>1104</v>
      </c>
      <c r="H646">
        <v>2</v>
      </c>
      <c r="I646" s="1">
        <v>0</v>
      </c>
      <c r="J646">
        <v>0</v>
      </c>
      <c r="K646">
        <v>0</v>
      </c>
      <c r="L646" s="20">
        <v>12440</v>
      </c>
      <c r="M646">
        <v>1</v>
      </c>
      <c r="N646">
        <v>0</v>
      </c>
      <c r="O646">
        <v>0</v>
      </c>
      <c r="P646">
        <v>0</v>
      </c>
      <c r="Q646" s="22">
        <v>37320</v>
      </c>
      <c r="R646">
        <v>3</v>
      </c>
      <c r="S646" s="1">
        <v>0</v>
      </c>
      <c r="T646">
        <v>0</v>
      </c>
      <c r="U646">
        <v>0</v>
      </c>
      <c r="V646" s="21">
        <v>18660</v>
      </c>
      <c r="W646">
        <v>15</v>
      </c>
      <c r="X646">
        <v>0</v>
      </c>
      <c r="Y646">
        <v>0</v>
      </c>
      <c r="Z646">
        <v>0</v>
      </c>
      <c r="AA646">
        <v>1</v>
      </c>
    </row>
    <row r="647" spans="1:27" ht="14.25" x14ac:dyDescent="0.2">
      <c r="A647" s="11">
        <v>10814</v>
      </c>
      <c r="B647" t="s">
        <v>178</v>
      </c>
      <c r="C647" t="s">
        <v>121</v>
      </c>
      <c r="D647" t="s">
        <v>121</v>
      </c>
      <c r="E647" t="s">
        <v>121</v>
      </c>
      <c r="F647" s="6" t="s">
        <v>1104</v>
      </c>
      <c r="H647">
        <v>2</v>
      </c>
      <c r="I647" s="1">
        <v>0</v>
      </c>
      <c r="J647">
        <v>0</v>
      </c>
      <c r="K647">
        <v>0</v>
      </c>
      <c r="L647" s="20">
        <v>12440</v>
      </c>
      <c r="M647">
        <v>1</v>
      </c>
      <c r="N647">
        <v>0</v>
      </c>
      <c r="O647">
        <v>0</v>
      </c>
      <c r="P647">
        <v>0</v>
      </c>
      <c r="Q647" s="22">
        <v>37320</v>
      </c>
      <c r="R647">
        <v>3</v>
      </c>
      <c r="S647" s="1">
        <v>0</v>
      </c>
      <c r="T647">
        <v>0</v>
      </c>
      <c r="U647">
        <v>0</v>
      </c>
      <c r="V647" s="21">
        <v>18660</v>
      </c>
      <c r="W647">
        <v>21</v>
      </c>
      <c r="X647">
        <v>0</v>
      </c>
      <c r="Y647">
        <v>0</v>
      </c>
      <c r="Z647">
        <v>0</v>
      </c>
      <c r="AA647">
        <v>1</v>
      </c>
    </row>
    <row r="648" spans="1:27" ht="14.25" x14ac:dyDescent="0.2">
      <c r="A648" s="11">
        <v>10815</v>
      </c>
      <c r="B648" t="s">
        <v>130</v>
      </c>
      <c r="C648" t="s">
        <v>121</v>
      </c>
      <c r="D648" t="s">
        <v>121</v>
      </c>
      <c r="E648" t="s">
        <v>121</v>
      </c>
      <c r="F648" s="6" t="s">
        <v>1106</v>
      </c>
      <c r="H648">
        <v>2</v>
      </c>
      <c r="I648" s="1">
        <v>0</v>
      </c>
      <c r="J648">
        <v>0</v>
      </c>
      <c r="K648">
        <v>0</v>
      </c>
      <c r="L648" s="20">
        <v>12440</v>
      </c>
      <c r="M648">
        <v>1</v>
      </c>
      <c r="N648">
        <v>0</v>
      </c>
      <c r="O648">
        <v>0</v>
      </c>
      <c r="P648">
        <v>0</v>
      </c>
      <c r="Q648" s="22">
        <v>37320</v>
      </c>
      <c r="R648">
        <v>3</v>
      </c>
      <c r="S648" s="1">
        <v>0</v>
      </c>
      <c r="T648">
        <v>0</v>
      </c>
      <c r="U648">
        <v>0</v>
      </c>
      <c r="V648" s="21">
        <v>18660</v>
      </c>
      <c r="W648">
        <v>9</v>
      </c>
      <c r="X648">
        <v>0</v>
      </c>
      <c r="Y648">
        <v>0</v>
      </c>
      <c r="Z648">
        <v>0</v>
      </c>
      <c r="AA648">
        <v>10</v>
      </c>
    </row>
    <row r="649" spans="1:27" ht="14.25" x14ac:dyDescent="0.2">
      <c r="A649" s="11">
        <v>10816</v>
      </c>
      <c r="B649" t="s">
        <v>181</v>
      </c>
      <c r="C649" t="s">
        <v>121</v>
      </c>
      <c r="D649" t="s">
        <v>121</v>
      </c>
      <c r="E649" t="s">
        <v>121</v>
      </c>
      <c r="F649" s="6" t="s">
        <v>1108</v>
      </c>
      <c r="H649">
        <v>2</v>
      </c>
      <c r="I649" s="1">
        <v>0</v>
      </c>
      <c r="J649">
        <v>0</v>
      </c>
      <c r="K649">
        <v>0</v>
      </c>
      <c r="L649" s="20">
        <v>12520</v>
      </c>
      <c r="M649">
        <v>1</v>
      </c>
      <c r="N649">
        <v>0</v>
      </c>
      <c r="O649">
        <v>0</v>
      </c>
      <c r="P649">
        <v>0</v>
      </c>
      <c r="Q649" s="22">
        <v>37320</v>
      </c>
      <c r="R649">
        <v>3</v>
      </c>
      <c r="S649" s="1">
        <v>0</v>
      </c>
      <c r="T649">
        <v>0</v>
      </c>
      <c r="U649">
        <v>0</v>
      </c>
      <c r="V649" s="21">
        <v>18660</v>
      </c>
      <c r="W649">
        <v>30</v>
      </c>
      <c r="X649">
        <v>0</v>
      </c>
      <c r="Y649">
        <v>0</v>
      </c>
      <c r="Z649">
        <v>0</v>
      </c>
      <c r="AA649">
        <v>10</v>
      </c>
    </row>
    <row r="650" spans="1:27" ht="14.25" x14ac:dyDescent="0.2">
      <c r="A650" s="11">
        <v>10817</v>
      </c>
      <c r="B650" t="s">
        <v>122</v>
      </c>
      <c r="C650" t="s">
        <v>121</v>
      </c>
      <c r="D650" t="s">
        <v>121</v>
      </c>
      <c r="E650" t="s">
        <v>121</v>
      </c>
      <c r="F650" s="6" t="s">
        <v>1108</v>
      </c>
      <c r="H650">
        <v>2</v>
      </c>
      <c r="I650" s="1">
        <v>0</v>
      </c>
      <c r="J650">
        <v>0</v>
      </c>
      <c r="K650">
        <v>0</v>
      </c>
      <c r="L650" s="20">
        <v>12520</v>
      </c>
      <c r="M650">
        <v>1</v>
      </c>
      <c r="N650">
        <v>0</v>
      </c>
      <c r="O650">
        <v>0</v>
      </c>
      <c r="P650">
        <v>0</v>
      </c>
      <c r="Q650" s="22">
        <v>37320</v>
      </c>
      <c r="R650">
        <v>3</v>
      </c>
      <c r="S650" s="1">
        <v>0</v>
      </c>
      <c r="T650">
        <v>0</v>
      </c>
      <c r="U650">
        <v>0</v>
      </c>
      <c r="V650" s="21">
        <v>18660</v>
      </c>
      <c r="W650">
        <v>4</v>
      </c>
      <c r="X650">
        <v>0</v>
      </c>
      <c r="Y650">
        <v>0</v>
      </c>
      <c r="Z650">
        <v>0</v>
      </c>
      <c r="AA650">
        <v>10</v>
      </c>
    </row>
    <row r="651" spans="1:27" ht="14.25" x14ac:dyDescent="0.2">
      <c r="A651" s="11">
        <v>10818</v>
      </c>
      <c r="B651" t="s">
        <v>178</v>
      </c>
      <c r="C651" t="s">
        <v>121</v>
      </c>
      <c r="D651" t="s">
        <v>121</v>
      </c>
      <c r="E651" t="s">
        <v>121</v>
      </c>
      <c r="F651" s="6" t="s">
        <v>1110</v>
      </c>
      <c r="H651">
        <v>2</v>
      </c>
      <c r="I651" s="1">
        <v>0</v>
      </c>
      <c r="J651">
        <v>0</v>
      </c>
      <c r="K651">
        <v>0</v>
      </c>
      <c r="L651" s="20">
        <v>12520</v>
      </c>
      <c r="M651">
        <v>1</v>
      </c>
      <c r="N651">
        <v>0</v>
      </c>
      <c r="O651">
        <v>0</v>
      </c>
      <c r="P651">
        <v>0</v>
      </c>
      <c r="Q651" s="22">
        <v>37560</v>
      </c>
      <c r="R651">
        <v>3</v>
      </c>
      <c r="S651" s="1">
        <v>0</v>
      </c>
      <c r="T651">
        <v>0</v>
      </c>
      <c r="U651">
        <v>0</v>
      </c>
      <c r="V651" s="21">
        <v>18780</v>
      </c>
      <c r="W651">
        <v>21</v>
      </c>
      <c r="X651">
        <v>0</v>
      </c>
      <c r="Y651">
        <v>0</v>
      </c>
      <c r="Z651">
        <v>0</v>
      </c>
      <c r="AA651">
        <v>1</v>
      </c>
    </row>
    <row r="652" spans="1:27" ht="14.25" x14ac:dyDescent="0.2">
      <c r="A652" s="11">
        <v>10819</v>
      </c>
      <c r="B652" t="s">
        <v>130</v>
      </c>
      <c r="C652" t="s">
        <v>121</v>
      </c>
      <c r="D652" t="s">
        <v>121</v>
      </c>
      <c r="E652" t="s">
        <v>121</v>
      </c>
      <c r="F652" s="6" t="s">
        <v>1112</v>
      </c>
      <c r="H652">
        <v>2</v>
      </c>
      <c r="I652" s="1">
        <v>0</v>
      </c>
      <c r="J652">
        <v>0</v>
      </c>
      <c r="K652">
        <v>0</v>
      </c>
      <c r="L652" s="20">
        <v>12520</v>
      </c>
      <c r="M652">
        <v>1</v>
      </c>
      <c r="N652">
        <v>0</v>
      </c>
      <c r="O652">
        <v>0</v>
      </c>
      <c r="P652">
        <v>0</v>
      </c>
      <c r="Q652" s="22">
        <v>37560</v>
      </c>
      <c r="R652">
        <v>3</v>
      </c>
      <c r="S652" s="1">
        <v>0</v>
      </c>
      <c r="T652">
        <v>0</v>
      </c>
      <c r="U652">
        <v>0</v>
      </c>
      <c r="V652" s="21">
        <v>18780</v>
      </c>
      <c r="W652">
        <v>9</v>
      </c>
      <c r="X652">
        <v>0</v>
      </c>
      <c r="Y652">
        <v>0</v>
      </c>
      <c r="Z652">
        <v>0</v>
      </c>
      <c r="AA652">
        <v>10</v>
      </c>
    </row>
    <row r="653" spans="1:27" ht="14.25" x14ac:dyDescent="0.2">
      <c r="A653" s="11">
        <v>10820</v>
      </c>
      <c r="B653" t="s">
        <v>123</v>
      </c>
      <c r="C653" t="s">
        <v>121</v>
      </c>
      <c r="D653" t="s">
        <v>121</v>
      </c>
      <c r="E653" t="s">
        <v>121</v>
      </c>
      <c r="F653" s="6" t="s">
        <v>1112</v>
      </c>
      <c r="H653">
        <v>2</v>
      </c>
      <c r="I653" s="1">
        <v>0</v>
      </c>
      <c r="J653">
        <v>0</v>
      </c>
      <c r="K653">
        <v>0</v>
      </c>
      <c r="L653" s="20">
        <v>12520</v>
      </c>
      <c r="M653">
        <v>1</v>
      </c>
      <c r="N653">
        <v>0</v>
      </c>
      <c r="O653">
        <v>0</v>
      </c>
      <c r="P653">
        <v>0</v>
      </c>
      <c r="Q653" s="22">
        <v>37560</v>
      </c>
      <c r="R653">
        <v>3</v>
      </c>
      <c r="S653" s="1">
        <v>0</v>
      </c>
      <c r="T653">
        <v>0</v>
      </c>
      <c r="U653">
        <v>0</v>
      </c>
      <c r="V653" s="21">
        <v>18780</v>
      </c>
      <c r="W653">
        <v>12</v>
      </c>
      <c r="X653">
        <v>0</v>
      </c>
      <c r="Y653">
        <v>0</v>
      </c>
      <c r="Z653">
        <v>0</v>
      </c>
      <c r="AA653">
        <v>10</v>
      </c>
    </row>
    <row r="654" spans="1:27" ht="14.25" x14ac:dyDescent="0.2">
      <c r="A654" s="11">
        <v>10821</v>
      </c>
      <c r="B654" t="s">
        <v>126</v>
      </c>
      <c r="C654" t="s">
        <v>121</v>
      </c>
      <c r="D654" t="s">
        <v>121</v>
      </c>
      <c r="E654" t="s">
        <v>121</v>
      </c>
      <c r="F654" s="6" t="s">
        <v>1114</v>
      </c>
      <c r="H654">
        <v>2</v>
      </c>
      <c r="I654" s="1">
        <v>0</v>
      </c>
      <c r="J654">
        <v>0</v>
      </c>
      <c r="K654">
        <v>0</v>
      </c>
      <c r="L654" s="20">
        <v>12600</v>
      </c>
      <c r="M654">
        <v>1</v>
      </c>
      <c r="N654">
        <v>0</v>
      </c>
      <c r="O654">
        <v>0</v>
      </c>
      <c r="P654">
        <v>0</v>
      </c>
      <c r="Q654" s="22">
        <v>37560</v>
      </c>
      <c r="R654">
        <v>3</v>
      </c>
      <c r="S654" s="1">
        <v>0</v>
      </c>
      <c r="T654">
        <v>0</v>
      </c>
      <c r="U654">
        <v>0</v>
      </c>
      <c r="V654" s="21">
        <v>18780</v>
      </c>
      <c r="W654">
        <v>23</v>
      </c>
      <c r="X654">
        <v>0</v>
      </c>
      <c r="Y654">
        <v>0</v>
      </c>
      <c r="Z654">
        <v>0</v>
      </c>
      <c r="AA654">
        <v>1</v>
      </c>
    </row>
    <row r="655" spans="1:27" ht="14.25" x14ac:dyDescent="0.2">
      <c r="A655" s="11">
        <v>10822</v>
      </c>
      <c r="B655" t="s">
        <v>131</v>
      </c>
      <c r="C655" t="s">
        <v>125</v>
      </c>
      <c r="D655" t="s">
        <v>121</v>
      </c>
      <c r="E655" t="s">
        <v>136</v>
      </c>
      <c r="F655" s="6" t="s">
        <v>1116</v>
      </c>
      <c r="H655">
        <v>2</v>
      </c>
      <c r="I655" s="1">
        <v>0</v>
      </c>
      <c r="J655">
        <v>0</v>
      </c>
      <c r="K655">
        <v>0</v>
      </c>
      <c r="L655" s="20">
        <v>12600</v>
      </c>
      <c r="M655">
        <v>1</v>
      </c>
      <c r="N655">
        <v>0</v>
      </c>
      <c r="O655">
        <v>0</v>
      </c>
      <c r="P655">
        <v>0</v>
      </c>
      <c r="Q655" s="22">
        <v>37560</v>
      </c>
      <c r="R655">
        <v>3</v>
      </c>
      <c r="S655" s="1">
        <v>0</v>
      </c>
      <c r="T655">
        <v>0</v>
      </c>
      <c r="U655">
        <v>0</v>
      </c>
      <c r="V655" s="21">
        <v>18780</v>
      </c>
      <c r="W655">
        <v>6</v>
      </c>
      <c r="X655">
        <v>1</v>
      </c>
      <c r="Y655">
        <v>0</v>
      </c>
      <c r="Z655">
        <v>3</v>
      </c>
      <c r="AA655">
        <v>10</v>
      </c>
    </row>
    <row r="656" spans="1:27" ht="14.25" x14ac:dyDescent="0.2">
      <c r="A656" s="11">
        <v>10823</v>
      </c>
      <c r="B656" t="s">
        <v>180</v>
      </c>
      <c r="C656" t="s">
        <v>121</v>
      </c>
      <c r="D656" t="s">
        <v>121</v>
      </c>
      <c r="E656" t="s">
        <v>121</v>
      </c>
      <c r="F656" s="6" t="s">
        <v>1118</v>
      </c>
      <c r="H656">
        <v>2</v>
      </c>
      <c r="I656" s="1">
        <v>0</v>
      </c>
      <c r="J656">
        <v>0</v>
      </c>
      <c r="K656">
        <v>0</v>
      </c>
      <c r="L656" s="20">
        <v>12600</v>
      </c>
      <c r="M656">
        <v>1</v>
      </c>
      <c r="N656">
        <v>0</v>
      </c>
      <c r="O656">
        <v>0</v>
      </c>
      <c r="P656">
        <v>0</v>
      </c>
      <c r="Q656" s="22">
        <v>37800</v>
      </c>
      <c r="R656">
        <v>3</v>
      </c>
      <c r="S656" s="1">
        <v>0</v>
      </c>
      <c r="T656">
        <v>0</v>
      </c>
      <c r="U656">
        <v>0</v>
      </c>
      <c r="V656" s="21">
        <v>18900</v>
      </c>
      <c r="W656">
        <v>15</v>
      </c>
      <c r="X656">
        <v>0</v>
      </c>
      <c r="Y656">
        <v>0</v>
      </c>
      <c r="Z656">
        <v>0</v>
      </c>
      <c r="AA656">
        <v>1</v>
      </c>
    </row>
    <row r="657" spans="1:27" ht="14.25" x14ac:dyDescent="0.2">
      <c r="A657" s="11">
        <v>10824</v>
      </c>
      <c r="B657" t="s">
        <v>178</v>
      </c>
      <c r="C657" t="s">
        <v>121</v>
      </c>
      <c r="D657" t="s">
        <v>121</v>
      </c>
      <c r="E657" t="s">
        <v>121</v>
      </c>
      <c r="F657" s="6" t="s">
        <v>1118</v>
      </c>
      <c r="H657">
        <v>2</v>
      </c>
      <c r="I657" s="1">
        <v>0</v>
      </c>
      <c r="J657">
        <v>0</v>
      </c>
      <c r="K657">
        <v>0</v>
      </c>
      <c r="L657" s="20">
        <v>12600</v>
      </c>
      <c r="M657">
        <v>1</v>
      </c>
      <c r="N657">
        <v>0</v>
      </c>
      <c r="O657">
        <v>0</v>
      </c>
      <c r="P657">
        <v>0</v>
      </c>
      <c r="Q657" s="22">
        <v>37800</v>
      </c>
      <c r="R657">
        <v>3</v>
      </c>
      <c r="S657" s="1">
        <v>0</v>
      </c>
      <c r="T657">
        <v>0</v>
      </c>
      <c r="U657">
        <v>0</v>
      </c>
      <c r="V657" s="21">
        <v>18900</v>
      </c>
      <c r="W657">
        <v>21</v>
      </c>
      <c r="X657">
        <v>0</v>
      </c>
      <c r="Y657">
        <v>0</v>
      </c>
      <c r="Z657">
        <v>0</v>
      </c>
      <c r="AA657">
        <v>1</v>
      </c>
    </row>
    <row r="658" spans="1:27" ht="14.25" x14ac:dyDescent="0.2">
      <c r="A658" s="11">
        <v>10825</v>
      </c>
      <c r="B658" t="s">
        <v>130</v>
      </c>
      <c r="C658" t="s">
        <v>121</v>
      </c>
      <c r="D658" t="s">
        <v>121</v>
      </c>
      <c r="E658" t="s">
        <v>121</v>
      </c>
      <c r="F658" s="6" t="s">
        <v>1120</v>
      </c>
      <c r="H658">
        <v>2</v>
      </c>
      <c r="I658" s="1">
        <v>0</v>
      </c>
      <c r="J658">
        <v>0</v>
      </c>
      <c r="K658">
        <v>0</v>
      </c>
      <c r="L658" s="20">
        <v>12600</v>
      </c>
      <c r="M658">
        <v>1</v>
      </c>
      <c r="N658">
        <v>0</v>
      </c>
      <c r="O658">
        <v>0</v>
      </c>
      <c r="P658">
        <v>0</v>
      </c>
      <c r="Q658" s="22">
        <v>37800</v>
      </c>
      <c r="R658">
        <v>3</v>
      </c>
      <c r="S658" s="1">
        <v>0</v>
      </c>
      <c r="T658">
        <v>0</v>
      </c>
      <c r="U658">
        <v>0</v>
      </c>
      <c r="V658" s="21">
        <v>18900</v>
      </c>
      <c r="W658">
        <v>9</v>
      </c>
      <c r="X658">
        <v>0</v>
      </c>
      <c r="Y658">
        <v>0</v>
      </c>
      <c r="Z658">
        <v>0</v>
      </c>
      <c r="AA658">
        <v>10</v>
      </c>
    </row>
    <row r="659" spans="1:27" ht="14.25" x14ac:dyDescent="0.2">
      <c r="A659" s="11">
        <v>10826</v>
      </c>
      <c r="B659" t="s">
        <v>181</v>
      </c>
      <c r="C659" t="s">
        <v>121</v>
      </c>
      <c r="D659" t="s">
        <v>121</v>
      </c>
      <c r="E659" t="s">
        <v>121</v>
      </c>
      <c r="F659" s="6" t="s">
        <v>1122</v>
      </c>
      <c r="H659">
        <v>2</v>
      </c>
      <c r="I659" s="1">
        <v>0</v>
      </c>
      <c r="J659">
        <v>0</v>
      </c>
      <c r="K659">
        <v>0</v>
      </c>
      <c r="L659" s="20">
        <v>12680</v>
      </c>
      <c r="M659">
        <v>1</v>
      </c>
      <c r="N659">
        <v>0</v>
      </c>
      <c r="O659">
        <v>0</v>
      </c>
      <c r="P659">
        <v>0</v>
      </c>
      <c r="Q659" s="22">
        <v>37800</v>
      </c>
      <c r="R659">
        <v>3</v>
      </c>
      <c r="S659" s="1">
        <v>0</v>
      </c>
      <c r="T659">
        <v>0</v>
      </c>
      <c r="U659">
        <v>0</v>
      </c>
      <c r="V659" s="21">
        <v>18900</v>
      </c>
      <c r="W659">
        <v>30</v>
      </c>
      <c r="X659">
        <v>0</v>
      </c>
      <c r="Y659">
        <v>0</v>
      </c>
      <c r="Z659">
        <v>0</v>
      </c>
      <c r="AA659">
        <v>10</v>
      </c>
    </row>
    <row r="660" spans="1:27" ht="14.25" x14ac:dyDescent="0.2">
      <c r="A660" s="11">
        <v>10827</v>
      </c>
      <c r="B660" t="s">
        <v>122</v>
      </c>
      <c r="C660" t="s">
        <v>121</v>
      </c>
      <c r="D660" t="s">
        <v>121</v>
      </c>
      <c r="E660" t="s">
        <v>121</v>
      </c>
      <c r="F660" s="6" t="s">
        <v>1122</v>
      </c>
      <c r="H660">
        <v>2</v>
      </c>
      <c r="I660" s="1">
        <v>0</v>
      </c>
      <c r="J660">
        <v>0</v>
      </c>
      <c r="K660">
        <v>0</v>
      </c>
      <c r="L660" s="20">
        <v>12680</v>
      </c>
      <c r="M660">
        <v>1</v>
      </c>
      <c r="N660">
        <v>0</v>
      </c>
      <c r="O660">
        <v>0</v>
      </c>
      <c r="P660">
        <v>0</v>
      </c>
      <c r="Q660" s="22">
        <v>37800</v>
      </c>
      <c r="R660">
        <v>3</v>
      </c>
      <c r="S660" s="1">
        <v>0</v>
      </c>
      <c r="T660">
        <v>0</v>
      </c>
      <c r="U660">
        <v>0</v>
      </c>
      <c r="V660" s="21">
        <v>18900</v>
      </c>
      <c r="W660">
        <v>4</v>
      </c>
      <c r="X660">
        <v>0</v>
      </c>
      <c r="Y660">
        <v>0</v>
      </c>
      <c r="Z660">
        <v>0</v>
      </c>
      <c r="AA660">
        <v>10</v>
      </c>
    </row>
    <row r="661" spans="1:27" ht="14.25" x14ac:dyDescent="0.2">
      <c r="A661" s="11">
        <v>10828</v>
      </c>
      <c r="B661" t="s">
        <v>178</v>
      </c>
      <c r="C661" t="s">
        <v>121</v>
      </c>
      <c r="D661" t="s">
        <v>121</v>
      </c>
      <c r="E661" t="s">
        <v>121</v>
      </c>
      <c r="F661" s="6" t="s">
        <v>1124</v>
      </c>
      <c r="H661">
        <v>2</v>
      </c>
      <c r="I661" s="1">
        <v>0</v>
      </c>
      <c r="J661">
        <v>0</v>
      </c>
      <c r="K661">
        <v>0</v>
      </c>
      <c r="L661" s="20">
        <v>12680</v>
      </c>
      <c r="M661">
        <v>1</v>
      </c>
      <c r="N661">
        <v>0</v>
      </c>
      <c r="O661">
        <v>0</v>
      </c>
      <c r="P661">
        <v>0</v>
      </c>
      <c r="Q661" s="22">
        <v>38040</v>
      </c>
      <c r="R661">
        <v>3</v>
      </c>
      <c r="S661" s="1">
        <v>0</v>
      </c>
      <c r="T661">
        <v>0</v>
      </c>
      <c r="U661">
        <v>0</v>
      </c>
      <c r="V661" s="21">
        <v>19020</v>
      </c>
      <c r="W661">
        <v>21</v>
      </c>
      <c r="X661">
        <v>0</v>
      </c>
      <c r="Y661">
        <v>0</v>
      </c>
      <c r="Z661">
        <v>0</v>
      </c>
      <c r="AA661">
        <v>1</v>
      </c>
    </row>
    <row r="662" spans="1:27" ht="14.25" x14ac:dyDescent="0.2">
      <c r="A662" s="11">
        <v>10829</v>
      </c>
      <c r="B662" t="s">
        <v>130</v>
      </c>
      <c r="C662" t="s">
        <v>121</v>
      </c>
      <c r="D662" t="s">
        <v>121</v>
      </c>
      <c r="E662" t="s">
        <v>121</v>
      </c>
      <c r="F662" s="6" t="s">
        <v>1126</v>
      </c>
      <c r="H662">
        <v>2</v>
      </c>
      <c r="I662" s="1">
        <v>0</v>
      </c>
      <c r="J662">
        <v>0</v>
      </c>
      <c r="K662">
        <v>0</v>
      </c>
      <c r="L662" s="20">
        <v>12680</v>
      </c>
      <c r="M662">
        <v>1</v>
      </c>
      <c r="N662">
        <v>0</v>
      </c>
      <c r="O662">
        <v>0</v>
      </c>
      <c r="P662">
        <v>0</v>
      </c>
      <c r="Q662" s="22">
        <v>38040</v>
      </c>
      <c r="R662">
        <v>3</v>
      </c>
      <c r="S662" s="1">
        <v>0</v>
      </c>
      <c r="T662">
        <v>0</v>
      </c>
      <c r="U662">
        <v>0</v>
      </c>
      <c r="V662" s="21">
        <v>19020</v>
      </c>
      <c r="W662">
        <v>9</v>
      </c>
      <c r="X662">
        <v>0</v>
      </c>
      <c r="Y662">
        <v>0</v>
      </c>
      <c r="Z662">
        <v>0</v>
      </c>
      <c r="AA662">
        <v>10</v>
      </c>
    </row>
    <row r="663" spans="1:27" ht="14.25" x14ac:dyDescent="0.2">
      <c r="A663" s="11">
        <v>10830</v>
      </c>
      <c r="B663" t="s">
        <v>123</v>
      </c>
      <c r="C663" t="s">
        <v>121</v>
      </c>
      <c r="D663" t="s">
        <v>121</v>
      </c>
      <c r="E663" t="s">
        <v>121</v>
      </c>
      <c r="F663" s="6" t="s">
        <v>1126</v>
      </c>
      <c r="H663">
        <v>2</v>
      </c>
      <c r="I663" s="1">
        <v>0</v>
      </c>
      <c r="J663">
        <v>0</v>
      </c>
      <c r="K663">
        <v>0</v>
      </c>
      <c r="L663" s="20">
        <v>12680</v>
      </c>
      <c r="M663">
        <v>1</v>
      </c>
      <c r="N663">
        <v>0</v>
      </c>
      <c r="O663">
        <v>0</v>
      </c>
      <c r="P663">
        <v>0</v>
      </c>
      <c r="Q663" s="22">
        <v>38040</v>
      </c>
      <c r="R663">
        <v>3</v>
      </c>
      <c r="S663" s="1">
        <v>0</v>
      </c>
      <c r="T663">
        <v>0</v>
      </c>
      <c r="U663">
        <v>0</v>
      </c>
      <c r="V663" s="21">
        <v>19020</v>
      </c>
      <c r="W663">
        <v>12</v>
      </c>
      <c r="X663">
        <v>0</v>
      </c>
      <c r="Y663">
        <v>0</v>
      </c>
      <c r="Z663">
        <v>0</v>
      </c>
      <c r="AA663">
        <v>10</v>
      </c>
    </row>
    <row r="664" spans="1:27" ht="14.25" x14ac:dyDescent="0.2">
      <c r="A664" s="11">
        <v>10831</v>
      </c>
      <c r="B664" t="s">
        <v>126</v>
      </c>
      <c r="C664" t="s">
        <v>121</v>
      </c>
      <c r="D664" t="s">
        <v>121</v>
      </c>
      <c r="E664" t="s">
        <v>121</v>
      </c>
      <c r="F664" s="6" t="s">
        <v>1128</v>
      </c>
      <c r="H664">
        <v>2</v>
      </c>
      <c r="I664" s="1">
        <v>0</v>
      </c>
      <c r="J664">
        <v>0</v>
      </c>
      <c r="K664">
        <v>0</v>
      </c>
      <c r="L664" s="20">
        <v>12760</v>
      </c>
      <c r="M664">
        <v>1</v>
      </c>
      <c r="N664">
        <v>0</v>
      </c>
      <c r="O664">
        <v>0</v>
      </c>
      <c r="P664">
        <v>0</v>
      </c>
      <c r="Q664" s="22">
        <v>38040</v>
      </c>
      <c r="R664">
        <v>3</v>
      </c>
      <c r="S664" s="1">
        <v>0</v>
      </c>
      <c r="T664">
        <v>0</v>
      </c>
      <c r="U664">
        <v>0</v>
      </c>
      <c r="V664" s="21">
        <v>19020</v>
      </c>
      <c r="W664">
        <v>23</v>
      </c>
      <c r="X664">
        <v>0</v>
      </c>
      <c r="Y664">
        <v>0</v>
      </c>
      <c r="Z664">
        <v>0</v>
      </c>
      <c r="AA664">
        <v>1</v>
      </c>
    </row>
    <row r="665" spans="1:27" ht="14.25" x14ac:dyDescent="0.2">
      <c r="A665" s="11">
        <v>10832</v>
      </c>
      <c r="B665" t="s">
        <v>131</v>
      </c>
      <c r="C665" t="s">
        <v>125</v>
      </c>
      <c r="D665" t="s">
        <v>121</v>
      </c>
      <c r="E665" t="s">
        <v>136</v>
      </c>
      <c r="F665" s="6" t="s">
        <v>1130</v>
      </c>
      <c r="H665">
        <v>2</v>
      </c>
      <c r="I665" s="1">
        <v>0</v>
      </c>
      <c r="J665">
        <v>0</v>
      </c>
      <c r="K665">
        <v>0</v>
      </c>
      <c r="L665" s="20">
        <v>12760</v>
      </c>
      <c r="M665">
        <v>1</v>
      </c>
      <c r="N665">
        <v>0</v>
      </c>
      <c r="O665">
        <v>0</v>
      </c>
      <c r="P665">
        <v>0</v>
      </c>
      <c r="Q665" s="22">
        <v>38040</v>
      </c>
      <c r="R665">
        <v>3</v>
      </c>
      <c r="S665" s="1">
        <v>0</v>
      </c>
      <c r="T665">
        <v>0</v>
      </c>
      <c r="U665">
        <v>0</v>
      </c>
      <c r="V665" s="21">
        <v>19020</v>
      </c>
      <c r="W665">
        <v>6</v>
      </c>
      <c r="X665">
        <v>1</v>
      </c>
      <c r="Y665">
        <v>0</v>
      </c>
      <c r="Z665">
        <v>3</v>
      </c>
      <c r="AA665">
        <v>10</v>
      </c>
    </row>
    <row r="666" spans="1:27" ht="14.25" x14ac:dyDescent="0.2">
      <c r="A666" s="11">
        <v>10833</v>
      </c>
      <c r="B666" t="s">
        <v>180</v>
      </c>
      <c r="C666" t="s">
        <v>121</v>
      </c>
      <c r="D666" t="s">
        <v>121</v>
      </c>
      <c r="E666" t="s">
        <v>121</v>
      </c>
      <c r="F666" s="6" t="s">
        <v>1132</v>
      </c>
      <c r="H666">
        <v>2</v>
      </c>
      <c r="I666" s="1">
        <v>0</v>
      </c>
      <c r="J666">
        <v>0</v>
      </c>
      <c r="K666">
        <v>0</v>
      </c>
      <c r="L666" s="20">
        <v>12760</v>
      </c>
      <c r="M666">
        <v>1</v>
      </c>
      <c r="N666">
        <v>0</v>
      </c>
      <c r="O666">
        <v>0</v>
      </c>
      <c r="P666">
        <v>0</v>
      </c>
      <c r="Q666" s="22">
        <v>38280</v>
      </c>
      <c r="R666">
        <v>3</v>
      </c>
      <c r="S666" s="1">
        <v>0</v>
      </c>
      <c r="T666">
        <v>0</v>
      </c>
      <c r="U666">
        <v>0</v>
      </c>
      <c r="V666" s="21">
        <v>19140</v>
      </c>
      <c r="W666">
        <v>15</v>
      </c>
      <c r="X666">
        <v>0</v>
      </c>
      <c r="Y666">
        <v>0</v>
      </c>
      <c r="Z666">
        <v>0</v>
      </c>
      <c r="AA666">
        <v>1</v>
      </c>
    </row>
    <row r="667" spans="1:27" ht="14.25" x14ac:dyDescent="0.2">
      <c r="A667" s="11">
        <v>10834</v>
      </c>
      <c r="B667" t="s">
        <v>178</v>
      </c>
      <c r="C667" t="s">
        <v>121</v>
      </c>
      <c r="D667" t="s">
        <v>121</v>
      </c>
      <c r="E667" t="s">
        <v>121</v>
      </c>
      <c r="F667" s="6" t="s">
        <v>1132</v>
      </c>
      <c r="H667">
        <v>2</v>
      </c>
      <c r="I667" s="1">
        <v>0</v>
      </c>
      <c r="J667">
        <v>0</v>
      </c>
      <c r="K667">
        <v>0</v>
      </c>
      <c r="L667" s="20">
        <v>12760</v>
      </c>
      <c r="M667">
        <v>1</v>
      </c>
      <c r="N667">
        <v>0</v>
      </c>
      <c r="O667">
        <v>0</v>
      </c>
      <c r="P667">
        <v>0</v>
      </c>
      <c r="Q667" s="22">
        <v>38280</v>
      </c>
      <c r="R667">
        <v>3</v>
      </c>
      <c r="S667" s="1">
        <v>0</v>
      </c>
      <c r="T667">
        <v>0</v>
      </c>
      <c r="U667">
        <v>0</v>
      </c>
      <c r="V667" s="21">
        <v>19140</v>
      </c>
      <c r="W667">
        <v>21</v>
      </c>
      <c r="X667">
        <v>0</v>
      </c>
      <c r="Y667">
        <v>0</v>
      </c>
      <c r="Z667">
        <v>0</v>
      </c>
      <c r="AA667">
        <v>1</v>
      </c>
    </row>
    <row r="668" spans="1:27" ht="14.25" x14ac:dyDescent="0.2">
      <c r="A668" s="11">
        <v>10835</v>
      </c>
      <c r="B668" t="s">
        <v>130</v>
      </c>
      <c r="C668" t="s">
        <v>121</v>
      </c>
      <c r="D668" t="s">
        <v>121</v>
      </c>
      <c r="E668" t="s">
        <v>121</v>
      </c>
      <c r="F668" s="6" t="s">
        <v>1134</v>
      </c>
      <c r="H668">
        <v>2</v>
      </c>
      <c r="I668" s="1">
        <v>0</v>
      </c>
      <c r="J668">
        <v>0</v>
      </c>
      <c r="K668">
        <v>0</v>
      </c>
      <c r="L668" s="20">
        <v>12760</v>
      </c>
      <c r="M668">
        <v>1</v>
      </c>
      <c r="N668">
        <v>0</v>
      </c>
      <c r="O668">
        <v>0</v>
      </c>
      <c r="P668">
        <v>0</v>
      </c>
      <c r="Q668" s="22">
        <v>38280</v>
      </c>
      <c r="R668">
        <v>3</v>
      </c>
      <c r="S668" s="1">
        <v>0</v>
      </c>
      <c r="T668">
        <v>0</v>
      </c>
      <c r="U668">
        <v>0</v>
      </c>
      <c r="V668" s="21">
        <v>19140</v>
      </c>
      <c r="W668">
        <v>9</v>
      </c>
      <c r="X668">
        <v>0</v>
      </c>
      <c r="Y668">
        <v>0</v>
      </c>
      <c r="Z668">
        <v>0</v>
      </c>
      <c r="AA668">
        <v>10</v>
      </c>
    </row>
    <row r="669" spans="1:27" ht="14.25" x14ac:dyDescent="0.2">
      <c r="A669" s="11">
        <v>10836</v>
      </c>
      <c r="B669" t="s">
        <v>181</v>
      </c>
      <c r="C669" t="s">
        <v>121</v>
      </c>
      <c r="D669" t="s">
        <v>121</v>
      </c>
      <c r="E669" t="s">
        <v>121</v>
      </c>
      <c r="F669" s="6" t="s">
        <v>1136</v>
      </c>
      <c r="H669">
        <v>2</v>
      </c>
      <c r="I669" s="1">
        <v>0</v>
      </c>
      <c r="J669">
        <v>0</v>
      </c>
      <c r="K669">
        <v>0</v>
      </c>
      <c r="L669" s="20">
        <v>12840</v>
      </c>
      <c r="M669">
        <v>1</v>
      </c>
      <c r="N669">
        <v>0</v>
      </c>
      <c r="O669">
        <v>0</v>
      </c>
      <c r="P669">
        <v>0</v>
      </c>
      <c r="Q669" s="22">
        <v>38280</v>
      </c>
      <c r="R669">
        <v>3</v>
      </c>
      <c r="S669" s="1">
        <v>0</v>
      </c>
      <c r="T669">
        <v>0</v>
      </c>
      <c r="U669">
        <v>0</v>
      </c>
      <c r="V669" s="21">
        <v>19140</v>
      </c>
      <c r="W669">
        <v>30</v>
      </c>
      <c r="X669">
        <v>0</v>
      </c>
      <c r="Y669">
        <v>0</v>
      </c>
      <c r="Z669">
        <v>0</v>
      </c>
      <c r="AA669">
        <v>10</v>
      </c>
    </row>
    <row r="670" spans="1:27" ht="14.25" x14ac:dyDescent="0.2">
      <c r="A670" s="11">
        <v>10837</v>
      </c>
      <c r="B670" t="s">
        <v>122</v>
      </c>
      <c r="C670" t="s">
        <v>121</v>
      </c>
      <c r="D670" t="s">
        <v>121</v>
      </c>
      <c r="E670" t="s">
        <v>121</v>
      </c>
      <c r="F670" s="6" t="s">
        <v>1136</v>
      </c>
      <c r="H670">
        <v>2</v>
      </c>
      <c r="I670" s="1">
        <v>0</v>
      </c>
      <c r="J670">
        <v>0</v>
      </c>
      <c r="K670">
        <v>0</v>
      </c>
      <c r="L670" s="20">
        <v>12840</v>
      </c>
      <c r="M670">
        <v>1</v>
      </c>
      <c r="N670">
        <v>0</v>
      </c>
      <c r="O670">
        <v>0</v>
      </c>
      <c r="P670">
        <v>0</v>
      </c>
      <c r="Q670" s="22">
        <v>38280</v>
      </c>
      <c r="R670">
        <v>3</v>
      </c>
      <c r="S670" s="1">
        <v>0</v>
      </c>
      <c r="T670">
        <v>0</v>
      </c>
      <c r="U670">
        <v>0</v>
      </c>
      <c r="V670" s="21">
        <v>19140</v>
      </c>
      <c r="W670">
        <v>4</v>
      </c>
      <c r="X670">
        <v>0</v>
      </c>
      <c r="Y670">
        <v>0</v>
      </c>
      <c r="Z670">
        <v>0</v>
      </c>
      <c r="AA670">
        <v>10</v>
      </c>
    </row>
    <row r="671" spans="1:27" ht="14.25" x14ac:dyDescent="0.2">
      <c r="A671" s="11">
        <v>10838</v>
      </c>
      <c r="B671" t="s">
        <v>178</v>
      </c>
      <c r="C671" t="s">
        <v>121</v>
      </c>
      <c r="D671" t="s">
        <v>121</v>
      </c>
      <c r="E671" t="s">
        <v>121</v>
      </c>
      <c r="F671" s="6" t="s">
        <v>1138</v>
      </c>
      <c r="H671">
        <v>2</v>
      </c>
      <c r="I671" s="1">
        <v>0</v>
      </c>
      <c r="J671">
        <v>0</v>
      </c>
      <c r="K671">
        <v>0</v>
      </c>
      <c r="L671" s="20">
        <v>12840</v>
      </c>
      <c r="M671">
        <v>1</v>
      </c>
      <c r="N671">
        <v>0</v>
      </c>
      <c r="O671">
        <v>0</v>
      </c>
      <c r="P671">
        <v>0</v>
      </c>
      <c r="Q671" s="22">
        <v>38520</v>
      </c>
      <c r="R671">
        <v>3</v>
      </c>
      <c r="S671" s="1">
        <v>0</v>
      </c>
      <c r="T671">
        <v>0</v>
      </c>
      <c r="U671">
        <v>0</v>
      </c>
      <c r="V671" s="21">
        <v>19260</v>
      </c>
      <c r="W671">
        <v>21</v>
      </c>
      <c r="X671">
        <v>0</v>
      </c>
      <c r="Y671">
        <v>0</v>
      </c>
      <c r="Z671">
        <v>0</v>
      </c>
      <c r="AA671">
        <v>1</v>
      </c>
    </row>
    <row r="672" spans="1:27" ht="14.25" x14ac:dyDescent="0.2">
      <c r="A672" s="11">
        <v>10839</v>
      </c>
      <c r="B672" t="s">
        <v>130</v>
      </c>
      <c r="C672" t="s">
        <v>121</v>
      </c>
      <c r="D672" t="s">
        <v>121</v>
      </c>
      <c r="E672" t="s">
        <v>121</v>
      </c>
      <c r="F672" s="6" t="s">
        <v>1140</v>
      </c>
      <c r="H672">
        <v>2</v>
      </c>
      <c r="I672" s="1">
        <v>0</v>
      </c>
      <c r="J672">
        <v>0</v>
      </c>
      <c r="K672">
        <v>0</v>
      </c>
      <c r="L672" s="20">
        <v>12840</v>
      </c>
      <c r="M672">
        <v>1</v>
      </c>
      <c r="N672">
        <v>0</v>
      </c>
      <c r="O672">
        <v>0</v>
      </c>
      <c r="P672">
        <v>0</v>
      </c>
      <c r="Q672" s="22">
        <v>38520</v>
      </c>
      <c r="R672">
        <v>3</v>
      </c>
      <c r="S672" s="1">
        <v>0</v>
      </c>
      <c r="T672">
        <v>0</v>
      </c>
      <c r="U672">
        <v>0</v>
      </c>
      <c r="V672" s="21">
        <v>19260</v>
      </c>
      <c r="W672">
        <v>9</v>
      </c>
      <c r="X672">
        <v>0</v>
      </c>
      <c r="Y672">
        <v>0</v>
      </c>
      <c r="Z672">
        <v>0</v>
      </c>
      <c r="AA672">
        <v>10</v>
      </c>
    </row>
    <row r="673" spans="1:27" ht="14.25" x14ac:dyDescent="0.2">
      <c r="A673" s="11">
        <v>10840</v>
      </c>
      <c r="B673" t="s">
        <v>123</v>
      </c>
      <c r="C673" t="s">
        <v>121</v>
      </c>
      <c r="D673" t="s">
        <v>121</v>
      </c>
      <c r="E673" t="s">
        <v>121</v>
      </c>
      <c r="F673" s="6" t="s">
        <v>1140</v>
      </c>
      <c r="H673">
        <v>2</v>
      </c>
      <c r="I673" s="1">
        <v>0</v>
      </c>
      <c r="J673">
        <v>0</v>
      </c>
      <c r="K673">
        <v>0</v>
      </c>
      <c r="L673" s="20">
        <v>12840</v>
      </c>
      <c r="M673">
        <v>1</v>
      </c>
      <c r="N673">
        <v>0</v>
      </c>
      <c r="O673">
        <v>0</v>
      </c>
      <c r="P673">
        <v>0</v>
      </c>
      <c r="Q673" s="22">
        <v>38520</v>
      </c>
      <c r="R673">
        <v>3</v>
      </c>
      <c r="S673" s="1">
        <v>0</v>
      </c>
      <c r="T673">
        <v>0</v>
      </c>
      <c r="U673">
        <v>0</v>
      </c>
      <c r="V673" s="21">
        <v>19260</v>
      </c>
      <c r="W673">
        <v>12</v>
      </c>
      <c r="X673">
        <v>0</v>
      </c>
      <c r="Y673">
        <v>0</v>
      </c>
      <c r="Z673">
        <v>0</v>
      </c>
      <c r="AA673">
        <v>10</v>
      </c>
    </row>
    <row r="674" spans="1:27" ht="14.25" x14ac:dyDescent="0.2">
      <c r="A674" s="11">
        <v>10841</v>
      </c>
      <c r="B674" t="s">
        <v>126</v>
      </c>
      <c r="C674" t="s">
        <v>121</v>
      </c>
      <c r="D674" t="s">
        <v>121</v>
      </c>
      <c r="E674" t="s">
        <v>121</v>
      </c>
      <c r="F674" s="6" t="s">
        <v>1142</v>
      </c>
      <c r="H674">
        <v>2</v>
      </c>
      <c r="I674" s="1">
        <v>0</v>
      </c>
      <c r="J674">
        <v>0</v>
      </c>
      <c r="K674">
        <v>0</v>
      </c>
      <c r="L674" s="20">
        <v>12920</v>
      </c>
      <c r="M674">
        <v>1</v>
      </c>
      <c r="N674">
        <v>0</v>
      </c>
      <c r="O674">
        <v>0</v>
      </c>
      <c r="P674">
        <v>0</v>
      </c>
      <c r="Q674" s="22">
        <v>38520</v>
      </c>
      <c r="R674">
        <v>3</v>
      </c>
      <c r="S674" s="1">
        <v>0</v>
      </c>
      <c r="T674">
        <v>0</v>
      </c>
      <c r="U674">
        <v>0</v>
      </c>
      <c r="V674" s="21">
        <v>19260</v>
      </c>
      <c r="W674">
        <v>23</v>
      </c>
      <c r="X674">
        <v>0</v>
      </c>
      <c r="Y674">
        <v>0</v>
      </c>
      <c r="Z674">
        <v>0</v>
      </c>
      <c r="AA674">
        <v>1</v>
      </c>
    </row>
    <row r="675" spans="1:27" ht="14.25" x14ac:dyDescent="0.2">
      <c r="A675" s="11">
        <v>10842</v>
      </c>
      <c r="B675" t="s">
        <v>131</v>
      </c>
      <c r="C675" t="s">
        <v>125</v>
      </c>
      <c r="D675" t="s">
        <v>121</v>
      </c>
      <c r="E675" t="s">
        <v>136</v>
      </c>
      <c r="F675" s="6" t="s">
        <v>1144</v>
      </c>
      <c r="H675">
        <v>2</v>
      </c>
      <c r="I675" s="1">
        <v>0</v>
      </c>
      <c r="J675">
        <v>0</v>
      </c>
      <c r="K675">
        <v>0</v>
      </c>
      <c r="L675" s="20">
        <v>12920</v>
      </c>
      <c r="M675">
        <v>1</v>
      </c>
      <c r="N675">
        <v>0</v>
      </c>
      <c r="O675">
        <v>0</v>
      </c>
      <c r="P675">
        <v>0</v>
      </c>
      <c r="Q675" s="22">
        <v>38520</v>
      </c>
      <c r="R675">
        <v>3</v>
      </c>
      <c r="S675" s="1">
        <v>0</v>
      </c>
      <c r="T675">
        <v>0</v>
      </c>
      <c r="U675">
        <v>0</v>
      </c>
      <c r="V675" s="21">
        <v>19260</v>
      </c>
      <c r="W675">
        <v>6</v>
      </c>
      <c r="X675">
        <v>1</v>
      </c>
      <c r="Y675">
        <v>0</v>
      </c>
      <c r="Z675">
        <v>3</v>
      </c>
      <c r="AA675">
        <v>10</v>
      </c>
    </row>
    <row r="676" spans="1:27" ht="14.25" x14ac:dyDescent="0.2">
      <c r="A676" s="11">
        <v>10843</v>
      </c>
      <c r="B676" t="s">
        <v>180</v>
      </c>
      <c r="C676" t="s">
        <v>121</v>
      </c>
      <c r="D676" t="s">
        <v>121</v>
      </c>
      <c r="E676" t="s">
        <v>121</v>
      </c>
      <c r="F676" s="6" t="s">
        <v>1146</v>
      </c>
      <c r="H676">
        <v>2</v>
      </c>
      <c r="I676" s="1">
        <v>0</v>
      </c>
      <c r="J676">
        <v>0</v>
      </c>
      <c r="K676">
        <v>0</v>
      </c>
      <c r="L676" s="20">
        <v>12920</v>
      </c>
      <c r="M676">
        <v>1</v>
      </c>
      <c r="N676">
        <v>0</v>
      </c>
      <c r="O676">
        <v>0</v>
      </c>
      <c r="P676">
        <v>0</v>
      </c>
      <c r="Q676" s="22">
        <v>38760</v>
      </c>
      <c r="R676">
        <v>3</v>
      </c>
      <c r="S676" s="1">
        <v>0</v>
      </c>
      <c r="T676">
        <v>0</v>
      </c>
      <c r="U676">
        <v>0</v>
      </c>
      <c r="V676" s="21">
        <v>19380</v>
      </c>
      <c r="W676">
        <v>15</v>
      </c>
      <c r="X676">
        <v>0</v>
      </c>
      <c r="Y676">
        <v>0</v>
      </c>
      <c r="Z676">
        <v>0</v>
      </c>
      <c r="AA676">
        <v>1</v>
      </c>
    </row>
    <row r="677" spans="1:27" ht="14.25" x14ac:dyDescent="0.2">
      <c r="A677" s="11">
        <v>10844</v>
      </c>
      <c r="B677" t="s">
        <v>178</v>
      </c>
      <c r="C677" t="s">
        <v>121</v>
      </c>
      <c r="D677" t="s">
        <v>121</v>
      </c>
      <c r="E677" t="s">
        <v>121</v>
      </c>
      <c r="F677" s="6" t="s">
        <v>1146</v>
      </c>
      <c r="H677">
        <v>2</v>
      </c>
      <c r="I677" s="1">
        <v>0</v>
      </c>
      <c r="J677">
        <v>0</v>
      </c>
      <c r="K677">
        <v>0</v>
      </c>
      <c r="L677" s="20">
        <v>12920</v>
      </c>
      <c r="M677">
        <v>1</v>
      </c>
      <c r="N677">
        <v>0</v>
      </c>
      <c r="O677">
        <v>0</v>
      </c>
      <c r="P677">
        <v>0</v>
      </c>
      <c r="Q677" s="22">
        <v>38760</v>
      </c>
      <c r="R677">
        <v>3</v>
      </c>
      <c r="S677" s="1">
        <v>0</v>
      </c>
      <c r="T677">
        <v>0</v>
      </c>
      <c r="U677">
        <v>0</v>
      </c>
      <c r="V677" s="21">
        <v>19380</v>
      </c>
      <c r="W677">
        <v>21</v>
      </c>
      <c r="X677">
        <v>0</v>
      </c>
      <c r="Y677">
        <v>0</v>
      </c>
      <c r="Z677">
        <v>0</v>
      </c>
      <c r="AA677">
        <v>1</v>
      </c>
    </row>
    <row r="678" spans="1:27" ht="14.25" x14ac:dyDescent="0.2">
      <c r="A678" s="11">
        <v>10845</v>
      </c>
      <c r="B678" t="s">
        <v>130</v>
      </c>
      <c r="C678" t="s">
        <v>121</v>
      </c>
      <c r="D678" t="s">
        <v>121</v>
      </c>
      <c r="E678" t="s">
        <v>121</v>
      </c>
      <c r="F678" s="6" t="s">
        <v>1148</v>
      </c>
      <c r="H678">
        <v>2</v>
      </c>
      <c r="I678" s="1">
        <v>0</v>
      </c>
      <c r="J678">
        <v>0</v>
      </c>
      <c r="K678">
        <v>0</v>
      </c>
      <c r="L678" s="20">
        <v>12920</v>
      </c>
      <c r="M678">
        <v>1</v>
      </c>
      <c r="N678">
        <v>0</v>
      </c>
      <c r="O678">
        <v>0</v>
      </c>
      <c r="P678">
        <v>0</v>
      </c>
      <c r="Q678" s="22">
        <v>38760</v>
      </c>
      <c r="R678">
        <v>3</v>
      </c>
      <c r="S678" s="1">
        <v>0</v>
      </c>
      <c r="T678">
        <v>0</v>
      </c>
      <c r="U678">
        <v>0</v>
      </c>
      <c r="V678" s="21">
        <v>19380</v>
      </c>
      <c r="W678">
        <v>9</v>
      </c>
      <c r="X678">
        <v>0</v>
      </c>
      <c r="Y678">
        <v>0</v>
      </c>
      <c r="Z678">
        <v>0</v>
      </c>
      <c r="AA678">
        <v>10</v>
      </c>
    </row>
    <row r="679" spans="1:27" ht="14.25" x14ac:dyDescent="0.2">
      <c r="A679" s="11">
        <v>10846</v>
      </c>
      <c r="B679" t="s">
        <v>181</v>
      </c>
      <c r="C679" t="s">
        <v>121</v>
      </c>
      <c r="D679" t="s">
        <v>121</v>
      </c>
      <c r="E679" t="s">
        <v>121</v>
      </c>
      <c r="F679" s="6" t="s">
        <v>1150</v>
      </c>
      <c r="H679">
        <v>2</v>
      </c>
      <c r="I679" s="1">
        <v>0</v>
      </c>
      <c r="J679">
        <v>0</v>
      </c>
      <c r="K679">
        <v>0</v>
      </c>
      <c r="L679" s="20">
        <v>13000</v>
      </c>
      <c r="M679">
        <v>1</v>
      </c>
      <c r="N679">
        <v>0</v>
      </c>
      <c r="O679">
        <v>0</v>
      </c>
      <c r="P679">
        <v>0</v>
      </c>
      <c r="Q679" s="22">
        <v>38760</v>
      </c>
      <c r="R679">
        <v>3</v>
      </c>
      <c r="S679" s="1">
        <v>0</v>
      </c>
      <c r="T679">
        <v>0</v>
      </c>
      <c r="U679">
        <v>0</v>
      </c>
      <c r="V679" s="21">
        <v>19380</v>
      </c>
      <c r="W679">
        <v>30</v>
      </c>
      <c r="X679">
        <v>0</v>
      </c>
      <c r="Y679">
        <v>0</v>
      </c>
      <c r="Z679">
        <v>0</v>
      </c>
      <c r="AA679">
        <v>10</v>
      </c>
    </row>
    <row r="680" spans="1:27" ht="14.25" x14ac:dyDescent="0.2">
      <c r="A680" s="11">
        <v>10847</v>
      </c>
      <c r="B680" t="s">
        <v>122</v>
      </c>
      <c r="C680" t="s">
        <v>121</v>
      </c>
      <c r="D680" t="s">
        <v>121</v>
      </c>
      <c r="E680" t="s">
        <v>121</v>
      </c>
      <c r="F680" s="6" t="s">
        <v>1150</v>
      </c>
      <c r="H680">
        <v>2</v>
      </c>
      <c r="I680" s="1">
        <v>0</v>
      </c>
      <c r="J680">
        <v>0</v>
      </c>
      <c r="K680">
        <v>0</v>
      </c>
      <c r="L680" s="20">
        <v>13000</v>
      </c>
      <c r="M680">
        <v>1</v>
      </c>
      <c r="N680">
        <v>0</v>
      </c>
      <c r="O680">
        <v>0</v>
      </c>
      <c r="P680">
        <v>0</v>
      </c>
      <c r="Q680" s="22">
        <v>38760</v>
      </c>
      <c r="R680">
        <v>3</v>
      </c>
      <c r="S680" s="1">
        <v>0</v>
      </c>
      <c r="T680">
        <v>0</v>
      </c>
      <c r="U680">
        <v>0</v>
      </c>
      <c r="V680" s="21">
        <v>19380</v>
      </c>
      <c r="W680">
        <v>4</v>
      </c>
      <c r="X680">
        <v>0</v>
      </c>
      <c r="Y680">
        <v>0</v>
      </c>
      <c r="Z680">
        <v>0</v>
      </c>
      <c r="AA680">
        <v>10</v>
      </c>
    </row>
    <row r="681" spans="1:27" ht="14.25" x14ac:dyDescent="0.2">
      <c r="A681" s="11">
        <v>10848</v>
      </c>
      <c r="B681" t="s">
        <v>178</v>
      </c>
      <c r="C681" t="s">
        <v>121</v>
      </c>
      <c r="D681" t="s">
        <v>121</v>
      </c>
      <c r="E681" t="s">
        <v>121</v>
      </c>
      <c r="F681" s="6" t="s">
        <v>1152</v>
      </c>
      <c r="H681">
        <v>2</v>
      </c>
      <c r="I681" s="1">
        <v>0</v>
      </c>
      <c r="J681">
        <v>0</v>
      </c>
      <c r="K681">
        <v>0</v>
      </c>
      <c r="L681" s="20">
        <v>13000</v>
      </c>
      <c r="M681">
        <v>1</v>
      </c>
      <c r="N681">
        <v>0</v>
      </c>
      <c r="O681">
        <v>0</v>
      </c>
      <c r="P681">
        <v>0</v>
      </c>
      <c r="Q681" s="22">
        <v>39000</v>
      </c>
      <c r="R681">
        <v>3</v>
      </c>
      <c r="S681" s="1">
        <v>0</v>
      </c>
      <c r="T681">
        <v>0</v>
      </c>
      <c r="U681">
        <v>0</v>
      </c>
      <c r="V681" s="21">
        <v>19500</v>
      </c>
      <c r="W681">
        <v>21</v>
      </c>
      <c r="X681">
        <v>0</v>
      </c>
      <c r="Y681">
        <v>0</v>
      </c>
      <c r="Z681">
        <v>0</v>
      </c>
      <c r="AA681">
        <v>1</v>
      </c>
    </row>
    <row r="682" spans="1:27" ht="14.25" x14ac:dyDescent="0.2">
      <c r="A682" s="11">
        <v>10849</v>
      </c>
      <c r="B682" t="s">
        <v>130</v>
      </c>
      <c r="C682" t="s">
        <v>121</v>
      </c>
      <c r="D682" t="s">
        <v>121</v>
      </c>
      <c r="E682" t="s">
        <v>121</v>
      </c>
      <c r="F682" s="6" t="s">
        <v>1154</v>
      </c>
      <c r="H682">
        <v>2</v>
      </c>
      <c r="I682" s="1">
        <v>0</v>
      </c>
      <c r="J682">
        <v>0</v>
      </c>
      <c r="K682">
        <v>0</v>
      </c>
      <c r="L682" s="20">
        <v>13000</v>
      </c>
      <c r="M682">
        <v>1</v>
      </c>
      <c r="N682">
        <v>0</v>
      </c>
      <c r="O682">
        <v>0</v>
      </c>
      <c r="P682">
        <v>0</v>
      </c>
      <c r="Q682" s="22">
        <v>39000</v>
      </c>
      <c r="R682">
        <v>3</v>
      </c>
      <c r="S682" s="1">
        <v>0</v>
      </c>
      <c r="T682">
        <v>0</v>
      </c>
      <c r="U682">
        <v>0</v>
      </c>
      <c r="V682" s="21">
        <v>19500</v>
      </c>
      <c r="W682">
        <v>9</v>
      </c>
      <c r="X682">
        <v>0</v>
      </c>
      <c r="Y682">
        <v>0</v>
      </c>
      <c r="Z682">
        <v>0</v>
      </c>
      <c r="AA682">
        <v>10</v>
      </c>
    </row>
    <row r="683" spans="1:27" ht="14.25" x14ac:dyDescent="0.2">
      <c r="A683" s="11">
        <v>10850</v>
      </c>
      <c r="B683" t="s">
        <v>123</v>
      </c>
      <c r="C683" t="s">
        <v>121</v>
      </c>
      <c r="D683" t="s">
        <v>121</v>
      </c>
      <c r="E683" t="s">
        <v>121</v>
      </c>
      <c r="F683" s="6" t="s">
        <v>1154</v>
      </c>
      <c r="H683">
        <v>2</v>
      </c>
      <c r="I683" s="1">
        <v>0</v>
      </c>
      <c r="J683">
        <v>0</v>
      </c>
      <c r="K683">
        <v>0</v>
      </c>
      <c r="L683" s="20">
        <v>13000</v>
      </c>
      <c r="M683">
        <v>1</v>
      </c>
      <c r="N683">
        <v>0</v>
      </c>
      <c r="O683">
        <v>0</v>
      </c>
      <c r="P683">
        <v>0</v>
      </c>
      <c r="Q683" s="22">
        <v>39000</v>
      </c>
      <c r="R683">
        <v>3</v>
      </c>
      <c r="S683" s="1">
        <v>0</v>
      </c>
      <c r="T683">
        <v>0</v>
      </c>
      <c r="U683">
        <v>0</v>
      </c>
      <c r="V683" s="21">
        <v>19500</v>
      </c>
      <c r="W683">
        <v>12</v>
      </c>
      <c r="X683">
        <v>0</v>
      </c>
      <c r="Y683">
        <v>0</v>
      </c>
      <c r="Z683">
        <v>0</v>
      </c>
      <c r="AA683">
        <v>10</v>
      </c>
    </row>
    <row r="684" spans="1:27" ht="14.25" x14ac:dyDescent="0.2">
      <c r="A684" s="11">
        <v>10901</v>
      </c>
      <c r="B684" t="s">
        <v>126</v>
      </c>
      <c r="C684" t="s">
        <v>121</v>
      </c>
      <c r="D684" t="s">
        <v>121</v>
      </c>
      <c r="E684" t="s">
        <v>121</v>
      </c>
      <c r="F684" s="6" t="s">
        <v>1156</v>
      </c>
      <c r="H684">
        <v>2</v>
      </c>
      <c r="I684" s="1">
        <v>0</v>
      </c>
      <c r="J684">
        <v>0</v>
      </c>
      <c r="K684">
        <v>0</v>
      </c>
      <c r="L684" s="20">
        <v>13080</v>
      </c>
      <c r="M684">
        <v>1</v>
      </c>
      <c r="N684">
        <v>0</v>
      </c>
      <c r="O684">
        <v>0</v>
      </c>
      <c r="P684">
        <v>0</v>
      </c>
      <c r="Q684" s="22">
        <v>39000</v>
      </c>
      <c r="R684">
        <v>3</v>
      </c>
      <c r="S684" s="1">
        <v>0</v>
      </c>
      <c r="T684">
        <v>0</v>
      </c>
      <c r="U684">
        <v>0</v>
      </c>
      <c r="V684" s="21">
        <v>19500</v>
      </c>
      <c r="W684">
        <v>23</v>
      </c>
      <c r="X684">
        <v>0</v>
      </c>
      <c r="Y684">
        <v>0</v>
      </c>
      <c r="Z684">
        <v>0</v>
      </c>
      <c r="AA684">
        <v>1</v>
      </c>
    </row>
    <row r="685" spans="1:27" ht="14.25" x14ac:dyDescent="0.2">
      <c r="A685" s="11">
        <v>10902</v>
      </c>
      <c r="B685" t="s">
        <v>131</v>
      </c>
      <c r="C685" t="s">
        <v>125</v>
      </c>
      <c r="D685" t="s">
        <v>121</v>
      </c>
      <c r="E685" t="s">
        <v>136</v>
      </c>
      <c r="F685" s="6" t="s">
        <v>1158</v>
      </c>
      <c r="H685">
        <v>2</v>
      </c>
      <c r="I685" s="1">
        <v>0</v>
      </c>
      <c r="J685">
        <v>0</v>
      </c>
      <c r="K685">
        <v>0</v>
      </c>
      <c r="L685" s="20">
        <v>13080</v>
      </c>
      <c r="M685">
        <v>1</v>
      </c>
      <c r="N685">
        <v>0</v>
      </c>
      <c r="O685">
        <v>0</v>
      </c>
      <c r="P685">
        <v>0</v>
      </c>
      <c r="Q685" s="22">
        <v>39000</v>
      </c>
      <c r="R685">
        <v>3</v>
      </c>
      <c r="S685" s="1">
        <v>0</v>
      </c>
      <c r="T685">
        <v>0</v>
      </c>
      <c r="U685">
        <v>0</v>
      </c>
      <c r="V685" s="21">
        <v>19500</v>
      </c>
      <c r="W685">
        <v>6</v>
      </c>
      <c r="X685">
        <v>1</v>
      </c>
      <c r="Y685">
        <v>0</v>
      </c>
      <c r="Z685">
        <v>3</v>
      </c>
      <c r="AA685">
        <v>10</v>
      </c>
    </row>
    <row r="686" spans="1:27" ht="14.25" x14ac:dyDescent="0.2">
      <c r="A686" s="11">
        <v>10903</v>
      </c>
      <c r="B686" t="s">
        <v>180</v>
      </c>
      <c r="C686" t="s">
        <v>121</v>
      </c>
      <c r="D686" t="s">
        <v>121</v>
      </c>
      <c r="E686" t="s">
        <v>121</v>
      </c>
      <c r="F686" s="6" t="s">
        <v>1160</v>
      </c>
      <c r="H686">
        <v>2</v>
      </c>
      <c r="I686" s="1">
        <v>0</v>
      </c>
      <c r="J686">
        <v>0</v>
      </c>
      <c r="K686">
        <v>0</v>
      </c>
      <c r="L686" s="20">
        <v>13080</v>
      </c>
      <c r="M686">
        <v>1</v>
      </c>
      <c r="N686">
        <v>0</v>
      </c>
      <c r="O686">
        <v>0</v>
      </c>
      <c r="P686">
        <v>0</v>
      </c>
      <c r="Q686" s="22">
        <v>39240</v>
      </c>
      <c r="R686">
        <v>3</v>
      </c>
      <c r="S686" s="1">
        <v>0</v>
      </c>
      <c r="T686">
        <v>0</v>
      </c>
      <c r="U686">
        <v>0</v>
      </c>
      <c r="V686" s="21">
        <v>19620</v>
      </c>
      <c r="W686">
        <v>15</v>
      </c>
      <c r="X686">
        <v>0</v>
      </c>
      <c r="Y686">
        <v>0</v>
      </c>
      <c r="Z686">
        <v>0</v>
      </c>
      <c r="AA686">
        <v>1</v>
      </c>
    </row>
    <row r="687" spans="1:27" ht="14.25" x14ac:dyDescent="0.2">
      <c r="A687" s="11">
        <v>10904</v>
      </c>
      <c r="B687" t="s">
        <v>178</v>
      </c>
      <c r="C687" t="s">
        <v>121</v>
      </c>
      <c r="D687" t="s">
        <v>121</v>
      </c>
      <c r="E687" t="s">
        <v>121</v>
      </c>
      <c r="F687" s="6" t="s">
        <v>1160</v>
      </c>
      <c r="H687">
        <v>2</v>
      </c>
      <c r="I687" s="1">
        <v>0</v>
      </c>
      <c r="J687">
        <v>0</v>
      </c>
      <c r="K687">
        <v>0</v>
      </c>
      <c r="L687" s="20">
        <v>13080</v>
      </c>
      <c r="M687">
        <v>1</v>
      </c>
      <c r="N687">
        <v>0</v>
      </c>
      <c r="O687">
        <v>0</v>
      </c>
      <c r="P687">
        <v>0</v>
      </c>
      <c r="Q687" s="22">
        <v>39240</v>
      </c>
      <c r="R687">
        <v>3</v>
      </c>
      <c r="S687" s="1">
        <v>0</v>
      </c>
      <c r="T687">
        <v>0</v>
      </c>
      <c r="U687">
        <v>0</v>
      </c>
      <c r="V687" s="21">
        <v>19620</v>
      </c>
      <c r="W687">
        <v>21</v>
      </c>
      <c r="X687">
        <v>0</v>
      </c>
      <c r="Y687">
        <v>0</v>
      </c>
      <c r="Z687">
        <v>0</v>
      </c>
      <c r="AA687">
        <v>1</v>
      </c>
    </row>
    <row r="688" spans="1:27" ht="14.25" x14ac:dyDescent="0.2">
      <c r="A688" s="11">
        <v>10905</v>
      </c>
      <c r="B688" t="s">
        <v>130</v>
      </c>
      <c r="C688" t="s">
        <v>121</v>
      </c>
      <c r="D688" t="s">
        <v>121</v>
      </c>
      <c r="E688" t="s">
        <v>121</v>
      </c>
      <c r="F688" s="6" t="s">
        <v>1162</v>
      </c>
      <c r="H688">
        <v>2</v>
      </c>
      <c r="I688" s="1">
        <v>0</v>
      </c>
      <c r="J688">
        <v>0</v>
      </c>
      <c r="K688">
        <v>0</v>
      </c>
      <c r="L688" s="20">
        <v>13080</v>
      </c>
      <c r="M688">
        <v>1</v>
      </c>
      <c r="N688">
        <v>0</v>
      </c>
      <c r="O688">
        <v>0</v>
      </c>
      <c r="P688">
        <v>0</v>
      </c>
      <c r="Q688" s="22">
        <v>39240</v>
      </c>
      <c r="R688">
        <v>3</v>
      </c>
      <c r="S688" s="1">
        <v>0</v>
      </c>
      <c r="T688">
        <v>0</v>
      </c>
      <c r="U688">
        <v>0</v>
      </c>
      <c r="V688" s="21">
        <v>19620</v>
      </c>
      <c r="W688">
        <v>9</v>
      </c>
      <c r="X688">
        <v>0</v>
      </c>
      <c r="Y688">
        <v>0</v>
      </c>
      <c r="Z688">
        <v>0</v>
      </c>
      <c r="AA688">
        <v>10</v>
      </c>
    </row>
    <row r="689" spans="1:27" ht="14.25" x14ac:dyDescent="0.2">
      <c r="A689" s="11">
        <v>10906</v>
      </c>
      <c r="B689" t="s">
        <v>181</v>
      </c>
      <c r="C689" t="s">
        <v>121</v>
      </c>
      <c r="D689" t="s">
        <v>121</v>
      </c>
      <c r="E689" t="s">
        <v>121</v>
      </c>
      <c r="F689" s="6" t="s">
        <v>1164</v>
      </c>
      <c r="H689">
        <v>2</v>
      </c>
      <c r="I689" s="1">
        <v>0</v>
      </c>
      <c r="J689">
        <v>0</v>
      </c>
      <c r="K689">
        <v>0</v>
      </c>
      <c r="L689" s="20">
        <v>13160</v>
      </c>
      <c r="M689">
        <v>1</v>
      </c>
      <c r="N689">
        <v>0</v>
      </c>
      <c r="O689">
        <v>0</v>
      </c>
      <c r="P689">
        <v>0</v>
      </c>
      <c r="Q689" s="22">
        <v>39240</v>
      </c>
      <c r="R689">
        <v>3</v>
      </c>
      <c r="S689" s="1">
        <v>0</v>
      </c>
      <c r="T689">
        <v>0</v>
      </c>
      <c r="U689">
        <v>0</v>
      </c>
      <c r="V689" s="21">
        <v>19620</v>
      </c>
      <c r="W689">
        <v>30</v>
      </c>
      <c r="X689">
        <v>0</v>
      </c>
      <c r="Y689">
        <v>0</v>
      </c>
      <c r="Z689">
        <v>0</v>
      </c>
      <c r="AA689">
        <v>10</v>
      </c>
    </row>
    <row r="690" spans="1:27" ht="14.25" x14ac:dyDescent="0.2">
      <c r="A690" s="11">
        <v>10907</v>
      </c>
      <c r="B690" t="s">
        <v>122</v>
      </c>
      <c r="C690" t="s">
        <v>121</v>
      </c>
      <c r="D690" t="s">
        <v>121</v>
      </c>
      <c r="E690" t="s">
        <v>121</v>
      </c>
      <c r="F690" s="6" t="s">
        <v>1164</v>
      </c>
      <c r="H690">
        <v>2</v>
      </c>
      <c r="I690" s="1">
        <v>0</v>
      </c>
      <c r="J690">
        <v>0</v>
      </c>
      <c r="K690">
        <v>0</v>
      </c>
      <c r="L690" s="20">
        <v>13160</v>
      </c>
      <c r="M690">
        <v>1</v>
      </c>
      <c r="N690">
        <v>0</v>
      </c>
      <c r="O690">
        <v>0</v>
      </c>
      <c r="P690">
        <v>0</v>
      </c>
      <c r="Q690" s="22">
        <v>39240</v>
      </c>
      <c r="R690">
        <v>3</v>
      </c>
      <c r="S690" s="1">
        <v>0</v>
      </c>
      <c r="T690">
        <v>0</v>
      </c>
      <c r="U690">
        <v>0</v>
      </c>
      <c r="V690" s="21">
        <v>19620</v>
      </c>
      <c r="W690">
        <v>4</v>
      </c>
      <c r="X690">
        <v>0</v>
      </c>
      <c r="Y690">
        <v>0</v>
      </c>
      <c r="Z690">
        <v>0</v>
      </c>
      <c r="AA690">
        <v>10</v>
      </c>
    </row>
    <row r="691" spans="1:27" ht="14.25" x14ac:dyDescent="0.2">
      <c r="A691" s="11">
        <v>10908</v>
      </c>
      <c r="B691" t="s">
        <v>178</v>
      </c>
      <c r="C691" t="s">
        <v>121</v>
      </c>
      <c r="D691" t="s">
        <v>121</v>
      </c>
      <c r="E691" t="s">
        <v>121</v>
      </c>
      <c r="F691" s="6" t="s">
        <v>1166</v>
      </c>
      <c r="H691">
        <v>2</v>
      </c>
      <c r="I691" s="1">
        <v>0</v>
      </c>
      <c r="J691">
        <v>0</v>
      </c>
      <c r="K691">
        <v>0</v>
      </c>
      <c r="L691" s="20">
        <v>13160</v>
      </c>
      <c r="M691">
        <v>1</v>
      </c>
      <c r="N691">
        <v>0</v>
      </c>
      <c r="O691">
        <v>0</v>
      </c>
      <c r="P691">
        <v>0</v>
      </c>
      <c r="Q691" s="22">
        <v>39480</v>
      </c>
      <c r="R691">
        <v>3</v>
      </c>
      <c r="S691" s="1">
        <v>0</v>
      </c>
      <c r="T691">
        <v>0</v>
      </c>
      <c r="U691">
        <v>0</v>
      </c>
      <c r="V691" s="21">
        <v>19740</v>
      </c>
      <c r="W691">
        <v>21</v>
      </c>
      <c r="X691">
        <v>0</v>
      </c>
      <c r="Y691">
        <v>0</v>
      </c>
      <c r="Z691">
        <v>0</v>
      </c>
      <c r="AA691">
        <v>1</v>
      </c>
    </row>
    <row r="692" spans="1:27" ht="14.25" x14ac:dyDescent="0.2">
      <c r="A692" s="11">
        <v>10909</v>
      </c>
      <c r="B692" t="s">
        <v>130</v>
      </c>
      <c r="C692" t="s">
        <v>121</v>
      </c>
      <c r="D692" t="s">
        <v>121</v>
      </c>
      <c r="E692" t="s">
        <v>121</v>
      </c>
      <c r="F692" s="6" t="s">
        <v>1168</v>
      </c>
      <c r="H692">
        <v>2</v>
      </c>
      <c r="I692" s="1">
        <v>0</v>
      </c>
      <c r="J692">
        <v>0</v>
      </c>
      <c r="K692">
        <v>0</v>
      </c>
      <c r="L692" s="20">
        <v>13160</v>
      </c>
      <c r="M692">
        <v>1</v>
      </c>
      <c r="N692">
        <v>0</v>
      </c>
      <c r="O692">
        <v>0</v>
      </c>
      <c r="P692">
        <v>0</v>
      </c>
      <c r="Q692" s="22">
        <v>39480</v>
      </c>
      <c r="R692">
        <v>3</v>
      </c>
      <c r="S692" s="1">
        <v>0</v>
      </c>
      <c r="T692">
        <v>0</v>
      </c>
      <c r="U692">
        <v>0</v>
      </c>
      <c r="V692" s="21">
        <v>19740</v>
      </c>
      <c r="W692">
        <v>9</v>
      </c>
      <c r="X692">
        <v>0</v>
      </c>
      <c r="Y692">
        <v>0</v>
      </c>
      <c r="Z692">
        <v>0</v>
      </c>
      <c r="AA692">
        <v>10</v>
      </c>
    </row>
    <row r="693" spans="1:27" ht="14.25" x14ac:dyDescent="0.2">
      <c r="A693" s="11">
        <v>10910</v>
      </c>
      <c r="B693" t="s">
        <v>123</v>
      </c>
      <c r="C693" t="s">
        <v>121</v>
      </c>
      <c r="D693" t="s">
        <v>121</v>
      </c>
      <c r="E693" t="s">
        <v>121</v>
      </c>
      <c r="F693" s="6" t="s">
        <v>1168</v>
      </c>
      <c r="H693">
        <v>2</v>
      </c>
      <c r="I693" s="1">
        <v>0</v>
      </c>
      <c r="J693">
        <v>0</v>
      </c>
      <c r="K693">
        <v>0</v>
      </c>
      <c r="L693" s="20">
        <v>13160</v>
      </c>
      <c r="M693">
        <v>1</v>
      </c>
      <c r="N693">
        <v>0</v>
      </c>
      <c r="O693">
        <v>0</v>
      </c>
      <c r="P693">
        <v>0</v>
      </c>
      <c r="Q693" s="22">
        <v>39480</v>
      </c>
      <c r="R693">
        <v>3</v>
      </c>
      <c r="S693" s="1">
        <v>0</v>
      </c>
      <c r="T693">
        <v>0</v>
      </c>
      <c r="U693">
        <v>0</v>
      </c>
      <c r="V693" s="21">
        <v>19740</v>
      </c>
      <c r="W693">
        <v>12</v>
      </c>
      <c r="X693">
        <v>0</v>
      </c>
      <c r="Y693">
        <v>0</v>
      </c>
      <c r="Z693">
        <v>0</v>
      </c>
      <c r="AA693">
        <v>10</v>
      </c>
    </row>
    <row r="694" spans="1:27" ht="14.25" x14ac:dyDescent="0.2">
      <c r="A694" s="11">
        <v>10911</v>
      </c>
      <c r="B694" t="s">
        <v>126</v>
      </c>
      <c r="C694" t="s">
        <v>121</v>
      </c>
      <c r="D694" t="s">
        <v>121</v>
      </c>
      <c r="E694" t="s">
        <v>121</v>
      </c>
      <c r="F694" s="6" t="s">
        <v>1170</v>
      </c>
      <c r="H694">
        <v>2</v>
      </c>
      <c r="I694" s="1">
        <v>0</v>
      </c>
      <c r="J694">
        <v>0</v>
      </c>
      <c r="K694">
        <v>0</v>
      </c>
      <c r="L694" s="20">
        <v>13240</v>
      </c>
      <c r="M694">
        <v>1</v>
      </c>
      <c r="N694">
        <v>0</v>
      </c>
      <c r="O694">
        <v>0</v>
      </c>
      <c r="P694">
        <v>0</v>
      </c>
      <c r="Q694" s="22">
        <v>39480</v>
      </c>
      <c r="R694">
        <v>3</v>
      </c>
      <c r="S694" s="1">
        <v>0</v>
      </c>
      <c r="T694">
        <v>0</v>
      </c>
      <c r="U694">
        <v>0</v>
      </c>
      <c r="V694" s="21">
        <v>19740</v>
      </c>
      <c r="W694">
        <v>23</v>
      </c>
      <c r="X694">
        <v>0</v>
      </c>
      <c r="Y694">
        <v>0</v>
      </c>
      <c r="Z694">
        <v>0</v>
      </c>
      <c r="AA694">
        <v>1</v>
      </c>
    </row>
    <row r="695" spans="1:27" ht="14.25" x14ac:dyDescent="0.2">
      <c r="A695" s="11">
        <v>10912</v>
      </c>
      <c r="B695" t="s">
        <v>131</v>
      </c>
      <c r="C695" t="s">
        <v>125</v>
      </c>
      <c r="D695" t="s">
        <v>121</v>
      </c>
      <c r="E695" t="s">
        <v>136</v>
      </c>
      <c r="F695" s="6" t="s">
        <v>1172</v>
      </c>
      <c r="H695">
        <v>2</v>
      </c>
      <c r="I695" s="1">
        <v>0</v>
      </c>
      <c r="J695">
        <v>0</v>
      </c>
      <c r="K695">
        <v>0</v>
      </c>
      <c r="L695" s="20">
        <v>13240</v>
      </c>
      <c r="M695">
        <v>1</v>
      </c>
      <c r="N695">
        <v>0</v>
      </c>
      <c r="O695">
        <v>0</v>
      </c>
      <c r="P695">
        <v>0</v>
      </c>
      <c r="Q695" s="22">
        <v>39480</v>
      </c>
      <c r="R695">
        <v>3</v>
      </c>
      <c r="S695" s="1">
        <v>0</v>
      </c>
      <c r="T695">
        <v>0</v>
      </c>
      <c r="U695">
        <v>0</v>
      </c>
      <c r="V695" s="21">
        <v>19740</v>
      </c>
      <c r="W695">
        <v>6</v>
      </c>
      <c r="X695">
        <v>1</v>
      </c>
      <c r="Y695">
        <v>0</v>
      </c>
      <c r="Z695">
        <v>3</v>
      </c>
      <c r="AA695">
        <v>10</v>
      </c>
    </row>
    <row r="696" spans="1:27" ht="14.25" x14ac:dyDescent="0.2">
      <c r="A696" s="11">
        <v>10913</v>
      </c>
      <c r="B696" t="s">
        <v>180</v>
      </c>
      <c r="C696" t="s">
        <v>121</v>
      </c>
      <c r="D696" t="s">
        <v>121</v>
      </c>
      <c r="E696" t="s">
        <v>121</v>
      </c>
      <c r="F696" s="6" t="s">
        <v>1174</v>
      </c>
      <c r="H696">
        <v>2</v>
      </c>
      <c r="I696" s="1">
        <v>0</v>
      </c>
      <c r="J696">
        <v>0</v>
      </c>
      <c r="K696">
        <v>0</v>
      </c>
      <c r="L696" s="20">
        <v>13240</v>
      </c>
      <c r="M696">
        <v>1</v>
      </c>
      <c r="N696">
        <v>0</v>
      </c>
      <c r="O696">
        <v>0</v>
      </c>
      <c r="P696">
        <v>0</v>
      </c>
      <c r="Q696" s="22">
        <v>39720</v>
      </c>
      <c r="R696">
        <v>3</v>
      </c>
      <c r="S696" s="1">
        <v>0</v>
      </c>
      <c r="T696">
        <v>0</v>
      </c>
      <c r="U696">
        <v>0</v>
      </c>
      <c r="V696" s="21">
        <v>19860</v>
      </c>
      <c r="W696">
        <v>15</v>
      </c>
      <c r="X696">
        <v>0</v>
      </c>
      <c r="Y696">
        <v>0</v>
      </c>
      <c r="Z696">
        <v>0</v>
      </c>
      <c r="AA696">
        <v>1</v>
      </c>
    </row>
    <row r="697" spans="1:27" ht="14.25" x14ac:dyDescent="0.2">
      <c r="A697" s="11">
        <v>10914</v>
      </c>
      <c r="B697" t="s">
        <v>178</v>
      </c>
      <c r="C697" t="s">
        <v>121</v>
      </c>
      <c r="D697" t="s">
        <v>121</v>
      </c>
      <c r="E697" t="s">
        <v>121</v>
      </c>
      <c r="F697" s="6" t="s">
        <v>1174</v>
      </c>
      <c r="H697">
        <v>2</v>
      </c>
      <c r="I697" s="1">
        <v>0</v>
      </c>
      <c r="J697">
        <v>0</v>
      </c>
      <c r="K697">
        <v>0</v>
      </c>
      <c r="L697" s="20">
        <v>13240</v>
      </c>
      <c r="M697">
        <v>1</v>
      </c>
      <c r="N697">
        <v>0</v>
      </c>
      <c r="O697">
        <v>0</v>
      </c>
      <c r="P697">
        <v>0</v>
      </c>
      <c r="Q697" s="22">
        <v>39720</v>
      </c>
      <c r="R697">
        <v>3</v>
      </c>
      <c r="S697" s="1">
        <v>0</v>
      </c>
      <c r="T697">
        <v>0</v>
      </c>
      <c r="U697">
        <v>0</v>
      </c>
      <c r="V697" s="21">
        <v>19860</v>
      </c>
      <c r="W697">
        <v>21</v>
      </c>
      <c r="X697">
        <v>0</v>
      </c>
      <c r="Y697">
        <v>0</v>
      </c>
      <c r="Z697">
        <v>0</v>
      </c>
      <c r="AA697">
        <v>1</v>
      </c>
    </row>
    <row r="698" spans="1:27" ht="14.25" x14ac:dyDescent="0.2">
      <c r="A698" s="11">
        <v>10915</v>
      </c>
      <c r="B698" t="s">
        <v>130</v>
      </c>
      <c r="C698" t="s">
        <v>121</v>
      </c>
      <c r="D698" t="s">
        <v>121</v>
      </c>
      <c r="E698" t="s">
        <v>121</v>
      </c>
      <c r="F698" s="6" t="s">
        <v>1176</v>
      </c>
      <c r="H698">
        <v>2</v>
      </c>
      <c r="I698" s="1">
        <v>0</v>
      </c>
      <c r="J698">
        <v>0</v>
      </c>
      <c r="K698">
        <v>0</v>
      </c>
      <c r="L698" s="20">
        <v>13240</v>
      </c>
      <c r="M698">
        <v>1</v>
      </c>
      <c r="N698">
        <v>0</v>
      </c>
      <c r="O698">
        <v>0</v>
      </c>
      <c r="P698">
        <v>0</v>
      </c>
      <c r="Q698" s="22">
        <v>39720</v>
      </c>
      <c r="R698">
        <v>3</v>
      </c>
      <c r="S698" s="1">
        <v>0</v>
      </c>
      <c r="T698">
        <v>0</v>
      </c>
      <c r="U698">
        <v>0</v>
      </c>
      <c r="V698" s="21">
        <v>19860</v>
      </c>
      <c r="W698">
        <v>9</v>
      </c>
      <c r="X698">
        <v>0</v>
      </c>
      <c r="Y698">
        <v>0</v>
      </c>
      <c r="Z698">
        <v>0</v>
      </c>
      <c r="AA698">
        <v>10</v>
      </c>
    </row>
    <row r="699" spans="1:27" ht="14.25" x14ac:dyDescent="0.2">
      <c r="A699" s="11">
        <v>10916</v>
      </c>
      <c r="B699" t="s">
        <v>181</v>
      </c>
      <c r="C699" t="s">
        <v>121</v>
      </c>
      <c r="D699" t="s">
        <v>121</v>
      </c>
      <c r="E699" t="s">
        <v>121</v>
      </c>
      <c r="F699" s="6" t="s">
        <v>1178</v>
      </c>
      <c r="H699">
        <v>2</v>
      </c>
      <c r="I699" s="1">
        <v>0</v>
      </c>
      <c r="J699">
        <v>0</v>
      </c>
      <c r="K699">
        <v>0</v>
      </c>
      <c r="L699" s="20">
        <v>13320</v>
      </c>
      <c r="M699">
        <v>1</v>
      </c>
      <c r="N699">
        <v>0</v>
      </c>
      <c r="O699">
        <v>0</v>
      </c>
      <c r="P699">
        <v>0</v>
      </c>
      <c r="Q699" s="22">
        <v>39720</v>
      </c>
      <c r="R699">
        <v>3</v>
      </c>
      <c r="S699" s="1">
        <v>0</v>
      </c>
      <c r="T699">
        <v>0</v>
      </c>
      <c r="U699">
        <v>0</v>
      </c>
      <c r="V699" s="21">
        <v>19860</v>
      </c>
      <c r="W699">
        <v>30</v>
      </c>
      <c r="X699">
        <v>0</v>
      </c>
      <c r="Y699">
        <v>0</v>
      </c>
      <c r="Z699">
        <v>0</v>
      </c>
      <c r="AA699">
        <v>10</v>
      </c>
    </row>
    <row r="700" spans="1:27" ht="14.25" x14ac:dyDescent="0.2">
      <c r="A700" s="11">
        <v>10917</v>
      </c>
      <c r="B700" t="s">
        <v>122</v>
      </c>
      <c r="C700" t="s">
        <v>121</v>
      </c>
      <c r="D700" t="s">
        <v>121</v>
      </c>
      <c r="E700" t="s">
        <v>121</v>
      </c>
      <c r="F700" s="6" t="s">
        <v>1178</v>
      </c>
      <c r="H700">
        <v>2</v>
      </c>
      <c r="I700" s="1">
        <v>0</v>
      </c>
      <c r="J700">
        <v>0</v>
      </c>
      <c r="K700">
        <v>0</v>
      </c>
      <c r="L700" s="20">
        <v>13320</v>
      </c>
      <c r="M700">
        <v>1</v>
      </c>
      <c r="N700">
        <v>0</v>
      </c>
      <c r="O700">
        <v>0</v>
      </c>
      <c r="P700">
        <v>0</v>
      </c>
      <c r="Q700" s="22">
        <v>39720</v>
      </c>
      <c r="R700">
        <v>3</v>
      </c>
      <c r="S700" s="1">
        <v>0</v>
      </c>
      <c r="T700">
        <v>0</v>
      </c>
      <c r="U700">
        <v>0</v>
      </c>
      <c r="V700" s="21">
        <v>19860</v>
      </c>
      <c r="W700">
        <v>4</v>
      </c>
      <c r="X700">
        <v>0</v>
      </c>
      <c r="Y700">
        <v>0</v>
      </c>
      <c r="Z700">
        <v>0</v>
      </c>
      <c r="AA700">
        <v>10</v>
      </c>
    </row>
    <row r="701" spans="1:27" ht="14.25" x14ac:dyDescent="0.2">
      <c r="A701" s="11">
        <v>10918</v>
      </c>
      <c r="B701" t="s">
        <v>178</v>
      </c>
      <c r="C701" t="s">
        <v>121</v>
      </c>
      <c r="D701" t="s">
        <v>121</v>
      </c>
      <c r="E701" t="s">
        <v>121</v>
      </c>
      <c r="F701" s="6" t="s">
        <v>1180</v>
      </c>
      <c r="H701">
        <v>2</v>
      </c>
      <c r="I701" s="1">
        <v>0</v>
      </c>
      <c r="J701">
        <v>0</v>
      </c>
      <c r="K701">
        <v>0</v>
      </c>
      <c r="L701" s="20">
        <v>13320</v>
      </c>
      <c r="M701">
        <v>1</v>
      </c>
      <c r="N701">
        <v>0</v>
      </c>
      <c r="O701">
        <v>0</v>
      </c>
      <c r="P701">
        <v>0</v>
      </c>
      <c r="Q701" s="22">
        <v>39960</v>
      </c>
      <c r="R701">
        <v>3</v>
      </c>
      <c r="S701" s="1">
        <v>0</v>
      </c>
      <c r="T701">
        <v>0</v>
      </c>
      <c r="U701">
        <v>0</v>
      </c>
      <c r="V701" s="21">
        <v>19980</v>
      </c>
      <c r="W701">
        <v>21</v>
      </c>
      <c r="X701">
        <v>0</v>
      </c>
      <c r="Y701">
        <v>0</v>
      </c>
      <c r="Z701">
        <v>0</v>
      </c>
      <c r="AA701">
        <v>1</v>
      </c>
    </row>
    <row r="702" spans="1:27" ht="14.25" x14ac:dyDescent="0.2">
      <c r="A702" s="11">
        <v>10919</v>
      </c>
      <c r="B702" t="s">
        <v>130</v>
      </c>
      <c r="C702" t="s">
        <v>121</v>
      </c>
      <c r="D702" t="s">
        <v>121</v>
      </c>
      <c r="E702" t="s">
        <v>121</v>
      </c>
      <c r="F702" s="6" t="s">
        <v>1182</v>
      </c>
      <c r="H702">
        <v>2</v>
      </c>
      <c r="I702" s="1">
        <v>0</v>
      </c>
      <c r="J702">
        <v>0</v>
      </c>
      <c r="K702">
        <v>0</v>
      </c>
      <c r="L702" s="20">
        <v>13320</v>
      </c>
      <c r="M702">
        <v>1</v>
      </c>
      <c r="N702">
        <v>0</v>
      </c>
      <c r="O702">
        <v>0</v>
      </c>
      <c r="P702">
        <v>0</v>
      </c>
      <c r="Q702" s="22">
        <v>39960</v>
      </c>
      <c r="R702">
        <v>3</v>
      </c>
      <c r="S702" s="1">
        <v>0</v>
      </c>
      <c r="T702">
        <v>0</v>
      </c>
      <c r="U702">
        <v>0</v>
      </c>
      <c r="V702" s="21">
        <v>19980</v>
      </c>
      <c r="W702">
        <v>9</v>
      </c>
      <c r="X702">
        <v>0</v>
      </c>
      <c r="Y702">
        <v>0</v>
      </c>
      <c r="Z702">
        <v>0</v>
      </c>
      <c r="AA702">
        <v>10</v>
      </c>
    </row>
    <row r="703" spans="1:27" ht="14.25" x14ac:dyDescent="0.2">
      <c r="A703" s="11">
        <v>10920</v>
      </c>
      <c r="B703" t="s">
        <v>123</v>
      </c>
      <c r="C703" t="s">
        <v>121</v>
      </c>
      <c r="D703" t="s">
        <v>121</v>
      </c>
      <c r="E703" t="s">
        <v>121</v>
      </c>
      <c r="F703" s="6" t="s">
        <v>1182</v>
      </c>
      <c r="H703">
        <v>2</v>
      </c>
      <c r="I703" s="1">
        <v>0</v>
      </c>
      <c r="J703">
        <v>0</v>
      </c>
      <c r="K703">
        <v>0</v>
      </c>
      <c r="L703" s="20">
        <v>13320</v>
      </c>
      <c r="M703">
        <v>1</v>
      </c>
      <c r="N703">
        <v>0</v>
      </c>
      <c r="O703">
        <v>0</v>
      </c>
      <c r="P703">
        <v>0</v>
      </c>
      <c r="Q703" s="22">
        <v>39960</v>
      </c>
      <c r="R703">
        <v>3</v>
      </c>
      <c r="S703" s="1">
        <v>0</v>
      </c>
      <c r="T703">
        <v>0</v>
      </c>
      <c r="U703">
        <v>0</v>
      </c>
      <c r="V703" s="21">
        <v>19980</v>
      </c>
      <c r="W703">
        <v>12</v>
      </c>
      <c r="X703">
        <v>0</v>
      </c>
      <c r="Y703">
        <v>0</v>
      </c>
      <c r="Z703">
        <v>0</v>
      </c>
      <c r="AA703">
        <v>10</v>
      </c>
    </row>
    <row r="704" spans="1:27" ht="14.25" x14ac:dyDescent="0.2">
      <c r="A704" s="11">
        <v>10921</v>
      </c>
      <c r="B704" t="s">
        <v>126</v>
      </c>
      <c r="C704" t="s">
        <v>121</v>
      </c>
      <c r="D704" t="s">
        <v>121</v>
      </c>
      <c r="E704" t="s">
        <v>121</v>
      </c>
      <c r="F704" s="6" t="s">
        <v>1184</v>
      </c>
      <c r="H704">
        <v>2</v>
      </c>
      <c r="I704" s="1">
        <v>0</v>
      </c>
      <c r="J704">
        <v>0</v>
      </c>
      <c r="K704">
        <v>0</v>
      </c>
      <c r="L704" s="20">
        <v>13400</v>
      </c>
      <c r="M704">
        <v>1</v>
      </c>
      <c r="N704">
        <v>0</v>
      </c>
      <c r="O704">
        <v>0</v>
      </c>
      <c r="P704">
        <v>0</v>
      </c>
      <c r="Q704" s="22">
        <v>39960</v>
      </c>
      <c r="R704">
        <v>3</v>
      </c>
      <c r="S704" s="1">
        <v>0</v>
      </c>
      <c r="T704">
        <v>0</v>
      </c>
      <c r="U704">
        <v>0</v>
      </c>
      <c r="V704" s="21">
        <v>19980</v>
      </c>
      <c r="W704">
        <v>23</v>
      </c>
      <c r="X704">
        <v>0</v>
      </c>
      <c r="Y704">
        <v>0</v>
      </c>
      <c r="Z704">
        <v>0</v>
      </c>
      <c r="AA704">
        <v>1</v>
      </c>
    </row>
    <row r="705" spans="1:27" ht="14.25" x14ac:dyDescent="0.2">
      <c r="A705" s="11">
        <v>10922</v>
      </c>
      <c r="B705" t="s">
        <v>131</v>
      </c>
      <c r="C705" t="s">
        <v>125</v>
      </c>
      <c r="D705" t="s">
        <v>121</v>
      </c>
      <c r="E705" t="s">
        <v>136</v>
      </c>
      <c r="F705" s="6" t="s">
        <v>1186</v>
      </c>
      <c r="H705">
        <v>2</v>
      </c>
      <c r="I705" s="1">
        <v>0</v>
      </c>
      <c r="J705">
        <v>0</v>
      </c>
      <c r="K705">
        <v>0</v>
      </c>
      <c r="L705" s="20">
        <v>13400</v>
      </c>
      <c r="M705">
        <v>1</v>
      </c>
      <c r="N705">
        <v>0</v>
      </c>
      <c r="O705">
        <v>0</v>
      </c>
      <c r="P705">
        <v>0</v>
      </c>
      <c r="Q705" s="22">
        <v>39960</v>
      </c>
      <c r="R705">
        <v>3</v>
      </c>
      <c r="S705" s="1">
        <v>0</v>
      </c>
      <c r="T705">
        <v>0</v>
      </c>
      <c r="U705">
        <v>0</v>
      </c>
      <c r="V705" s="21">
        <v>19980</v>
      </c>
      <c r="W705">
        <v>6</v>
      </c>
      <c r="X705">
        <v>1</v>
      </c>
      <c r="Y705">
        <v>0</v>
      </c>
      <c r="Z705">
        <v>3</v>
      </c>
      <c r="AA705">
        <v>10</v>
      </c>
    </row>
    <row r="706" spans="1:27" ht="14.25" x14ac:dyDescent="0.2">
      <c r="A706" s="11">
        <v>10923</v>
      </c>
      <c r="B706" t="s">
        <v>180</v>
      </c>
      <c r="C706" t="s">
        <v>121</v>
      </c>
      <c r="D706" t="s">
        <v>121</v>
      </c>
      <c r="E706" t="s">
        <v>121</v>
      </c>
      <c r="F706" s="6" t="s">
        <v>1188</v>
      </c>
      <c r="H706">
        <v>2</v>
      </c>
      <c r="I706" s="1">
        <v>0</v>
      </c>
      <c r="J706">
        <v>0</v>
      </c>
      <c r="K706">
        <v>0</v>
      </c>
      <c r="L706" s="20">
        <v>13400</v>
      </c>
      <c r="M706">
        <v>1</v>
      </c>
      <c r="N706">
        <v>0</v>
      </c>
      <c r="O706">
        <v>0</v>
      </c>
      <c r="P706">
        <v>0</v>
      </c>
      <c r="Q706" s="22">
        <v>40200</v>
      </c>
      <c r="R706">
        <v>3</v>
      </c>
      <c r="S706" s="1">
        <v>0</v>
      </c>
      <c r="T706">
        <v>0</v>
      </c>
      <c r="U706">
        <v>0</v>
      </c>
      <c r="V706" s="21">
        <v>20100</v>
      </c>
      <c r="W706">
        <v>15</v>
      </c>
      <c r="X706">
        <v>0</v>
      </c>
      <c r="Y706">
        <v>0</v>
      </c>
      <c r="Z706">
        <v>0</v>
      </c>
      <c r="AA706">
        <v>1</v>
      </c>
    </row>
    <row r="707" spans="1:27" ht="14.25" x14ac:dyDescent="0.2">
      <c r="A707" s="11">
        <v>10924</v>
      </c>
      <c r="B707" t="s">
        <v>178</v>
      </c>
      <c r="C707" t="s">
        <v>121</v>
      </c>
      <c r="D707" t="s">
        <v>121</v>
      </c>
      <c r="E707" t="s">
        <v>121</v>
      </c>
      <c r="F707" s="6" t="s">
        <v>1188</v>
      </c>
      <c r="H707">
        <v>2</v>
      </c>
      <c r="I707" s="1">
        <v>0</v>
      </c>
      <c r="J707">
        <v>0</v>
      </c>
      <c r="K707">
        <v>0</v>
      </c>
      <c r="L707" s="20">
        <v>13400</v>
      </c>
      <c r="M707">
        <v>1</v>
      </c>
      <c r="N707">
        <v>0</v>
      </c>
      <c r="O707">
        <v>0</v>
      </c>
      <c r="P707">
        <v>0</v>
      </c>
      <c r="Q707" s="22">
        <v>40200</v>
      </c>
      <c r="R707">
        <v>3</v>
      </c>
      <c r="S707" s="1">
        <v>0</v>
      </c>
      <c r="T707">
        <v>0</v>
      </c>
      <c r="U707">
        <v>0</v>
      </c>
      <c r="V707" s="21">
        <v>20100</v>
      </c>
      <c r="W707">
        <v>21</v>
      </c>
      <c r="X707">
        <v>0</v>
      </c>
      <c r="Y707">
        <v>0</v>
      </c>
      <c r="Z707">
        <v>0</v>
      </c>
      <c r="AA707">
        <v>1</v>
      </c>
    </row>
    <row r="708" spans="1:27" ht="14.25" x14ac:dyDescent="0.2">
      <c r="A708" s="11">
        <v>10925</v>
      </c>
      <c r="B708" t="s">
        <v>130</v>
      </c>
      <c r="C708" t="s">
        <v>121</v>
      </c>
      <c r="D708" t="s">
        <v>121</v>
      </c>
      <c r="E708" t="s">
        <v>121</v>
      </c>
      <c r="F708" s="6" t="s">
        <v>1190</v>
      </c>
      <c r="H708">
        <v>2</v>
      </c>
      <c r="I708" s="1">
        <v>0</v>
      </c>
      <c r="J708">
        <v>0</v>
      </c>
      <c r="K708">
        <v>0</v>
      </c>
      <c r="L708" s="20">
        <v>13400</v>
      </c>
      <c r="M708">
        <v>1</v>
      </c>
      <c r="N708">
        <v>0</v>
      </c>
      <c r="O708">
        <v>0</v>
      </c>
      <c r="P708">
        <v>0</v>
      </c>
      <c r="Q708" s="22">
        <v>40200</v>
      </c>
      <c r="R708">
        <v>3</v>
      </c>
      <c r="S708" s="1">
        <v>0</v>
      </c>
      <c r="T708">
        <v>0</v>
      </c>
      <c r="U708">
        <v>0</v>
      </c>
      <c r="V708" s="21">
        <v>20100</v>
      </c>
      <c r="W708">
        <v>9</v>
      </c>
      <c r="X708">
        <v>0</v>
      </c>
      <c r="Y708">
        <v>0</v>
      </c>
      <c r="Z708">
        <v>0</v>
      </c>
      <c r="AA708">
        <v>10</v>
      </c>
    </row>
    <row r="709" spans="1:27" ht="14.25" x14ac:dyDescent="0.2">
      <c r="A709" s="11">
        <v>10926</v>
      </c>
      <c r="B709" t="s">
        <v>181</v>
      </c>
      <c r="C709" t="s">
        <v>121</v>
      </c>
      <c r="D709" t="s">
        <v>121</v>
      </c>
      <c r="E709" t="s">
        <v>121</v>
      </c>
      <c r="F709" s="6" t="s">
        <v>1192</v>
      </c>
      <c r="H709">
        <v>2</v>
      </c>
      <c r="I709" s="1">
        <v>0</v>
      </c>
      <c r="J709">
        <v>0</v>
      </c>
      <c r="K709">
        <v>0</v>
      </c>
      <c r="L709" s="20">
        <v>13480</v>
      </c>
      <c r="M709">
        <v>1</v>
      </c>
      <c r="N709">
        <v>0</v>
      </c>
      <c r="O709">
        <v>0</v>
      </c>
      <c r="P709">
        <v>0</v>
      </c>
      <c r="Q709" s="22">
        <v>40200</v>
      </c>
      <c r="R709">
        <v>3</v>
      </c>
      <c r="S709" s="1">
        <v>0</v>
      </c>
      <c r="T709">
        <v>0</v>
      </c>
      <c r="U709">
        <v>0</v>
      </c>
      <c r="V709" s="21">
        <v>20100</v>
      </c>
      <c r="W709">
        <v>30</v>
      </c>
      <c r="X709">
        <v>0</v>
      </c>
      <c r="Y709">
        <v>0</v>
      </c>
      <c r="Z709">
        <v>0</v>
      </c>
      <c r="AA709">
        <v>10</v>
      </c>
    </row>
    <row r="710" spans="1:27" ht="14.25" x14ac:dyDescent="0.2">
      <c r="A710" s="11">
        <v>10927</v>
      </c>
      <c r="B710" t="s">
        <v>122</v>
      </c>
      <c r="C710" t="s">
        <v>121</v>
      </c>
      <c r="D710" t="s">
        <v>121</v>
      </c>
      <c r="E710" t="s">
        <v>121</v>
      </c>
      <c r="F710" s="6" t="s">
        <v>1192</v>
      </c>
      <c r="H710">
        <v>2</v>
      </c>
      <c r="I710" s="1">
        <v>0</v>
      </c>
      <c r="J710">
        <v>0</v>
      </c>
      <c r="K710">
        <v>0</v>
      </c>
      <c r="L710" s="20">
        <v>13480</v>
      </c>
      <c r="M710">
        <v>1</v>
      </c>
      <c r="N710">
        <v>0</v>
      </c>
      <c r="O710">
        <v>0</v>
      </c>
      <c r="P710">
        <v>0</v>
      </c>
      <c r="Q710" s="22">
        <v>40200</v>
      </c>
      <c r="R710">
        <v>3</v>
      </c>
      <c r="S710" s="1">
        <v>0</v>
      </c>
      <c r="T710">
        <v>0</v>
      </c>
      <c r="U710">
        <v>0</v>
      </c>
      <c r="V710" s="21">
        <v>20100</v>
      </c>
      <c r="W710">
        <v>4</v>
      </c>
      <c r="X710">
        <v>0</v>
      </c>
      <c r="Y710">
        <v>0</v>
      </c>
      <c r="Z710">
        <v>0</v>
      </c>
      <c r="AA710">
        <v>10</v>
      </c>
    </row>
    <row r="711" spans="1:27" ht="14.25" x14ac:dyDescent="0.2">
      <c r="A711" s="11">
        <v>10928</v>
      </c>
      <c r="B711" t="s">
        <v>178</v>
      </c>
      <c r="C711" t="s">
        <v>121</v>
      </c>
      <c r="D711" t="s">
        <v>121</v>
      </c>
      <c r="E711" t="s">
        <v>121</v>
      </c>
      <c r="F711" s="6" t="s">
        <v>1194</v>
      </c>
      <c r="H711">
        <v>2</v>
      </c>
      <c r="I711" s="1">
        <v>0</v>
      </c>
      <c r="J711">
        <v>0</v>
      </c>
      <c r="K711">
        <v>0</v>
      </c>
      <c r="L711" s="20">
        <v>13480</v>
      </c>
      <c r="M711">
        <v>1</v>
      </c>
      <c r="N711">
        <v>0</v>
      </c>
      <c r="O711">
        <v>0</v>
      </c>
      <c r="P711">
        <v>0</v>
      </c>
      <c r="Q711" s="22">
        <v>40440</v>
      </c>
      <c r="R711">
        <v>3</v>
      </c>
      <c r="S711" s="1">
        <v>0</v>
      </c>
      <c r="T711">
        <v>0</v>
      </c>
      <c r="U711">
        <v>0</v>
      </c>
      <c r="V711" s="21">
        <v>20220</v>
      </c>
      <c r="W711">
        <v>21</v>
      </c>
      <c r="X711">
        <v>0</v>
      </c>
      <c r="Y711">
        <v>0</v>
      </c>
      <c r="Z711">
        <v>0</v>
      </c>
      <c r="AA711">
        <v>1</v>
      </c>
    </row>
    <row r="712" spans="1:27" ht="14.25" x14ac:dyDescent="0.2">
      <c r="A712" s="11">
        <v>10929</v>
      </c>
      <c r="B712" t="s">
        <v>130</v>
      </c>
      <c r="C712" t="s">
        <v>121</v>
      </c>
      <c r="D712" t="s">
        <v>121</v>
      </c>
      <c r="E712" t="s">
        <v>121</v>
      </c>
      <c r="F712" s="6" t="s">
        <v>1196</v>
      </c>
      <c r="H712">
        <v>2</v>
      </c>
      <c r="I712" s="1">
        <v>0</v>
      </c>
      <c r="J712">
        <v>0</v>
      </c>
      <c r="K712">
        <v>0</v>
      </c>
      <c r="L712" s="20">
        <v>13480</v>
      </c>
      <c r="M712">
        <v>1</v>
      </c>
      <c r="N712">
        <v>0</v>
      </c>
      <c r="O712">
        <v>0</v>
      </c>
      <c r="P712">
        <v>0</v>
      </c>
      <c r="Q712" s="22">
        <v>40440</v>
      </c>
      <c r="R712">
        <v>3</v>
      </c>
      <c r="S712" s="1">
        <v>0</v>
      </c>
      <c r="T712">
        <v>0</v>
      </c>
      <c r="U712">
        <v>0</v>
      </c>
      <c r="V712" s="21">
        <v>20220</v>
      </c>
      <c r="W712">
        <v>9</v>
      </c>
      <c r="X712">
        <v>0</v>
      </c>
      <c r="Y712">
        <v>0</v>
      </c>
      <c r="Z712">
        <v>0</v>
      </c>
      <c r="AA712">
        <v>10</v>
      </c>
    </row>
    <row r="713" spans="1:27" ht="14.25" x14ac:dyDescent="0.2">
      <c r="A713" s="11">
        <v>10930</v>
      </c>
      <c r="B713" t="s">
        <v>123</v>
      </c>
      <c r="C713" t="s">
        <v>121</v>
      </c>
      <c r="D713" t="s">
        <v>121</v>
      </c>
      <c r="E713" t="s">
        <v>121</v>
      </c>
      <c r="F713" s="6" t="s">
        <v>1196</v>
      </c>
      <c r="H713">
        <v>2</v>
      </c>
      <c r="I713" s="1">
        <v>0</v>
      </c>
      <c r="J713">
        <v>0</v>
      </c>
      <c r="K713">
        <v>0</v>
      </c>
      <c r="L713" s="20">
        <v>13480</v>
      </c>
      <c r="M713">
        <v>1</v>
      </c>
      <c r="N713">
        <v>0</v>
      </c>
      <c r="O713">
        <v>0</v>
      </c>
      <c r="P713">
        <v>0</v>
      </c>
      <c r="Q713" s="22">
        <v>40440</v>
      </c>
      <c r="R713">
        <v>3</v>
      </c>
      <c r="S713" s="1">
        <v>0</v>
      </c>
      <c r="T713">
        <v>0</v>
      </c>
      <c r="U713">
        <v>0</v>
      </c>
      <c r="V713" s="21">
        <v>20220</v>
      </c>
      <c r="W713">
        <v>12</v>
      </c>
      <c r="X713">
        <v>0</v>
      </c>
      <c r="Y713">
        <v>0</v>
      </c>
      <c r="Z713">
        <v>0</v>
      </c>
      <c r="AA713">
        <v>10</v>
      </c>
    </row>
    <row r="714" spans="1:27" ht="14.25" x14ac:dyDescent="0.2">
      <c r="A714" s="11">
        <v>10931</v>
      </c>
      <c r="B714" t="s">
        <v>126</v>
      </c>
      <c r="C714" t="s">
        <v>121</v>
      </c>
      <c r="D714" t="s">
        <v>121</v>
      </c>
      <c r="E714" t="s">
        <v>121</v>
      </c>
      <c r="F714" s="6" t="s">
        <v>1198</v>
      </c>
      <c r="H714">
        <v>2</v>
      </c>
      <c r="I714" s="1">
        <v>0</v>
      </c>
      <c r="J714">
        <v>0</v>
      </c>
      <c r="K714">
        <v>0</v>
      </c>
      <c r="L714" s="20">
        <v>13560</v>
      </c>
      <c r="M714">
        <v>1</v>
      </c>
      <c r="N714">
        <v>0</v>
      </c>
      <c r="O714">
        <v>0</v>
      </c>
      <c r="P714">
        <v>0</v>
      </c>
      <c r="Q714" s="22">
        <v>40440</v>
      </c>
      <c r="R714">
        <v>3</v>
      </c>
      <c r="S714" s="1">
        <v>0</v>
      </c>
      <c r="T714">
        <v>0</v>
      </c>
      <c r="U714">
        <v>0</v>
      </c>
      <c r="V714" s="21">
        <v>20220</v>
      </c>
      <c r="W714">
        <v>23</v>
      </c>
      <c r="X714">
        <v>0</v>
      </c>
      <c r="Y714">
        <v>0</v>
      </c>
      <c r="Z714">
        <v>0</v>
      </c>
      <c r="AA714">
        <v>1</v>
      </c>
    </row>
    <row r="715" spans="1:27" ht="14.25" x14ac:dyDescent="0.2">
      <c r="A715" s="11">
        <v>10932</v>
      </c>
      <c r="B715" t="s">
        <v>131</v>
      </c>
      <c r="C715" t="s">
        <v>125</v>
      </c>
      <c r="D715" t="s">
        <v>121</v>
      </c>
      <c r="E715" t="s">
        <v>136</v>
      </c>
      <c r="F715" s="6" t="s">
        <v>1200</v>
      </c>
      <c r="H715">
        <v>2</v>
      </c>
      <c r="I715" s="1">
        <v>0</v>
      </c>
      <c r="J715">
        <v>0</v>
      </c>
      <c r="K715">
        <v>0</v>
      </c>
      <c r="L715" s="20">
        <v>13560</v>
      </c>
      <c r="M715">
        <v>1</v>
      </c>
      <c r="N715">
        <v>0</v>
      </c>
      <c r="O715">
        <v>0</v>
      </c>
      <c r="P715">
        <v>0</v>
      </c>
      <c r="Q715" s="22">
        <v>40440</v>
      </c>
      <c r="R715">
        <v>3</v>
      </c>
      <c r="S715" s="1">
        <v>0</v>
      </c>
      <c r="T715">
        <v>0</v>
      </c>
      <c r="U715">
        <v>0</v>
      </c>
      <c r="V715" s="21">
        <v>20220</v>
      </c>
      <c r="W715">
        <v>6</v>
      </c>
      <c r="X715">
        <v>1</v>
      </c>
      <c r="Y715">
        <v>0</v>
      </c>
      <c r="Z715">
        <v>3</v>
      </c>
      <c r="AA715">
        <v>10</v>
      </c>
    </row>
    <row r="716" spans="1:27" ht="14.25" x14ac:dyDescent="0.2">
      <c r="A716" s="11">
        <v>10933</v>
      </c>
      <c r="B716" t="s">
        <v>180</v>
      </c>
      <c r="C716" t="s">
        <v>121</v>
      </c>
      <c r="D716" t="s">
        <v>121</v>
      </c>
      <c r="E716" t="s">
        <v>121</v>
      </c>
      <c r="F716" s="6" t="s">
        <v>1202</v>
      </c>
      <c r="H716">
        <v>2</v>
      </c>
      <c r="I716" s="1">
        <v>0</v>
      </c>
      <c r="J716">
        <v>0</v>
      </c>
      <c r="K716">
        <v>0</v>
      </c>
      <c r="L716" s="20">
        <v>13560</v>
      </c>
      <c r="M716">
        <v>1</v>
      </c>
      <c r="N716">
        <v>0</v>
      </c>
      <c r="O716">
        <v>0</v>
      </c>
      <c r="P716">
        <v>0</v>
      </c>
      <c r="Q716" s="22">
        <v>40680</v>
      </c>
      <c r="R716">
        <v>3</v>
      </c>
      <c r="S716" s="1">
        <v>0</v>
      </c>
      <c r="T716">
        <v>0</v>
      </c>
      <c r="U716">
        <v>0</v>
      </c>
      <c r="V716" s="21">
        <v>20340</v>
      </c>
      <c r="W716">
        <v>15</v>
      </c>
      <c r="X716">
        <v>0</v>
      </c>
      <c r="Y716">
        <v>0</v>
      </c>
      <c r="Z716">
        <v>0</v>
      </c>
      <c r="AA716">
        <v>1</v>
      </c>
    </row>
    <row r="717" spans="1:27" ht="14.25" x14ac:dyDescent="0.2">
      <c r="A717" s="11">
        <v>10934</v>
      </c>
      <c r="B717" t="s">
        <v>178</v>
      </c>
      <c r="C717" t="s">
        <v>121</v>
      </c>
      <c r="D717" t="s">
        <v>121</v>
      </c>
      <c r="E717" t="s">
        <v>121</v>
      </c>
      <c r="F717" s="6" t="s">
        <v>1202</v>
      </c>
      <c r="H717">
        <v>2</v>
      </c>
      <c r="I717" s="1">
        <v>0</v>
      </c>
      <c r="J717">
        <v>0</v>
      </c>
      <c r="K717">
        <v>0</v>
      </c>
      <c r="L717" s="20">
        <v>13560</v>
      </c>
      <c r="M717">
        <v>1</v>
      </c>
      <c r="N717">
        <v>0</v>
      </c>
      <c r="O717">
        <v>0</v>
      </c>
      <c r="P717">
        <v>0</v>
      </c>
      <c r="Q717" s="22">
        <v>40680</v>
      </c>
      <c r="R717">
        <v>3</v>
      </c>
      <c r="S717" s="1">
        <v>0</v>
      </c>
      <c r="T717">
        <v>0</v>
      </c>
      <c r="U717">
        <v>0</v>
      </c>
      <c r="V717" s="21">
        <v>20340</v>
      </c>
      <c r="W717">
        <v>21</v>
      </c>
      <c r="X717">
        <v>0</v>
      </c>
      <c r="Y717">
        <v>0</v>
      </c>
      <c r="Z717">
        <v>0</v>
      </c>
      <c r="AA717">
        <v>1</v>
      </c>
    </row>
    <row r="718" spans="1:27" ht="14.25" x14ac:dyDescent="0.2">
      <c r="A718" s="11">
        <v>10935</v>
      </c>
      <c r="B718" t="s">
        <v>130</v>
      </c>
      <c r="C718" t="s">
        <v>121</v>
      </c>
      <c r="D718" t="s">
        <v>121</v>
      </c>
      <c r="E718" t="s">
        <v>121</v>
      </c>
      <c r="F718" s="6" t="s">
        <v>1204</v>
      </c>
      <c r="H718">
        <v>2</v>
      </c>
      <c r="I718" s="1">
        <v>0</v>
      </c>
      <c r="J718">
        <v>0</v>
      </c>
      <c r="K718">
        <v>0</v>
      </c>
      <c r="L718" s="20">
        <v>13560</v>
      </c>
      <c r="M718">
        <v>1</v>
      </c>
      <c r="N718">
        <v>0</v>
      </c>
      <c r="O718">
        <v>0</v>
      </c>
      <c r="P718">
        <v>0</v>
      </c>
      <c r="Q718" s="22">
        <v>40680</v>
      </c>
      <c r="R718">
        <v>3</v>
      </c>
      <c r="S718" s="1">
        <v>0</v>
      </c>
      <c r="T718">
        <v>0</v>
      </c>
      <c r="U718">
        <v>0</v>
      </c>
      <c r="V718" s="21">
        <v>20340</v>
      </c>
      <c r="W718">
        <v>9</v>
      </c>
      <c r="X718">
        <v>0</v>
      </c>
      <c r="Y718">
        <v>0</v>
      </c>
      <c r="Z718">
        <v>0</v>
      </c>
      <c r="AA718">
        <v>10</v>
      </c>
    </row>
    <row r="719" spans="1:27" ht="14.25" x14ac:dyDescent="0.2">
      <c r="A719" s="11">
        <v>10936</v>
      </c>
      <c r="B719" t="s">
        <v>181</v>
      </c>
      <c r="C719" t="s">
        <v>121</v>
      </c>
      <c r="D719" t="s">
        <v>121</v>
      </c>
      <c r="E719" t="s">
        <v>121</v>
      </c>
      <c r="F719" s="6" t="s">
        <v>1206</v>
      </c>
      <c r="H719">
        <v>2</v>
      </c>
      <c r="I719" s="1">
        <v>0</v>
      </c>
      <c r="J719">
        <v>0</v>
      </c>
      <c r="K719">
        <v>0</v>
      </c>
      <c r="L719" s="20">
        <v>13640</v>
      </c>
      <c r="M719">
        <v>1</v>
      </c>
      <c r="N719">
        <v>0</v>
      </c>
      <c r="O719">
        <v>0</v>
      </c>
      <c r="P719">
        <v>0</v>
      </c>
      <c r="Q719" s="22">
        <v>40680</v>
      </c>
      <c r="R719">
        <v>3</v>
      </c>
      <c r="S719" s="1">
        <v>0</v>
      </c>
      <c r="T719">
        <v>0</v>
      </c>
      <c r="U719">
        <v>0</v>
      </c>
      <c r="V719" s="21">
        <v>20340</v>
      </c>
      <c r="W719">
        <v>30</v>
      </c>
      <c r="X719">
        <v>0</v>
      </c>
      <c r="Y719">
        <v>0</v>
      </c>
      <c r="Z719">
        <v>0</v>
      </c>
      <c r="AA719">
        <v>10</v>
      </c>
    </row>
    <row r="720" spans="1:27" ht="14.25" x14ac:dyDescent="0.2">
      <c r="A720" s="11">
        <v>10937</v>
      </c>
      <c r="B720" t="s">
        <v>122</v>
      </c>
      <c r="C720" t="s">
        <v>121</v>
      </c>
      <c r="D720" t="s">
        <v>121</v>
      </c>
      <c r="E720" t="s">
        <v>121</v>
      </c>
      <c r="F720" s="6" t="s">
        <v>1206</v>
      </c>
      <c r="H720">
        <v>2</v>
      </c>
      <c r="I720" s="1">
        <v>0</v>
      </c>
      <c r="J720">
        <v>0</v>
      </c>
      <c r="K720">
        <v>0</v>
      </c>
      <c r="L720" s="20">
        <v>13640</v>
      </c>
      <c r="M720">
        <v>1</v>
      </c>
      <c r="N720">
        <v>0</v>
      </c>
      <c r="O720">
        <v>0</v>
      </c>
      <c r="P720">
        <v>0</v>
      </c>
      <c r="Q720" s="22">
        <v>40680</v>
      </c>
      <c r="R720">
        <v>3</v>
      </c>
      <c r="S720" s="1">
        <v>0</v>
      </c>
      <c r="T720">
        <v>0</v>
      </c>
      <c r="U720">
        <v>0</v>
      </c>
      <c r="V720" s="21">
        <v>20340</v>
      </c>
      <c r="W720">
        <v>4</v>
      </c>
      <c r="X720">
        <v>0</v>
      </c>
      <c r="Y720">
        <v>0</v>
      </c>
      <c r="Z720">
        <v>0</v>
      </c>
      <c r="AA720">
        <v>10</v>
      </c>
    </row>
    <row r="721" spans="1:27" ht="14.25" x14ac:dyDescent="0.2">
      <c r="A721" s="11">
        <v>10938</v>
      </c>
      <c r="B721" t="s">
        <v>178</v>
      </c>
      <c r="C721" t="s">
        <v>121</v>
      </c>
      <c r="D721" t="s">
        <v>121</v>
      </c>
      <c r="E721" t="s">
        <v>121</v>
      </c>
      <c r="F721" s="6" t="s">
        <v>1208</v>
      </c>
      <c r="H721">
        <v>2</v>
      </c>
      <c r="I721" s="1">
        <v>0</v>
      </c>
      <c r="J721">
        <v>0</v>
      </c>
      <c r="K721">
        <v>0</v>
      </c>
      <c r="L721" s="20">
        <v>13640</v>
      </c>
      <c r="M721">
        <v>1</v>
      </c>
      <c r="N721">
        <v>0</v>
      </c>
      <c r="O721">
        <v>0</v>
      </c>
      <c r="P721">
        <v>0</v>
      </c>
      <c r="Q721" s="22">
        <v>40920</v>
      </c>
      <c r="R721">
        <v>3</v>
      </c>
      <c r="S721" s="1">
        <v>0</v>
      </c>
      <c r="T721">
        <v>0</v>
      </c>
      <c r="U721">
        <v>0</v>
      </c>
      <c r="V721" s="21">
        <v>20460</v>
      </c>
      <c r="W721">
        <v>21</v>
      </c>
      <c r="X721">
        <v>0</v>
      </c>
      <c r="Y721">
        <v>0</v>
      </c>
      <c r="Z721">
        <v>0</v>
      </c>
      <c r="AA721">
        <v>1</v>
      </c>
    </row>
    <row r="722" spans="1:27" ht="14.25" x14ac:dyDescent="0.2">
      <c r="A722" s="11">
        <v>10939</v>
      </c>
      <c r="B722" t="s">
        <v>130</v>
      </c>
      <c r="C722" t="s">
        <v>121</v>
      </c>
      <c r="D722" t="s">
        <v>121</v>
      </c>
      <c r="E722" t="s">
        <v>121</v>
      </c>
      <c r="F722" s="6" t="s">
        <v>1210</v>
      </c>
      <c r="H722">
        <v>2</v>
      </c>
      <c r="I722" s="1">
        <v>0</v>
      </c>
      <c r="J722">
        <v>0</v>
      </c>
      <c r="K722">
        <v>0</v>
      </c>
      <c r="L722" s="20">
        <v>13640</v>
      </c>
      <c r="M722">
        <v>1</v>
      </c>
      <c r="N722">
        <v>0</v>
      </c>
      <c r="O722">
        <v>0</v>
      </c>
      <c r="P722">
        <v>0</v>
      </c>
      <c r="Q722" s="22">
        <v>40920</v>
      </c>
      <c r="R722">
        <v>3</v>
      </c>
      <c r="S722" s="1">
        <v>0</v>
      </c>
      <c r="T722">
        <v>0</v>
      </c>
      <c r="U722">
        <v>0</v>
      </c>
      <c r="V722" s="21">
        <v>20460</v>
      </c>
      <c r="W722">
        <v>9</v>
      </c>
      <c r="X722">
        <v>0</v>
      </c>
      <c r="Y722">
        <v>0</v>
      </c>
      <c r="Z722">
        <v>0</v>
      </c>
      <c r="AA722">
        <v>10</v>
      </c>
    </row>
    <row r="723" spans="1:27" ht="14.25" x14ac:dyDescent="0.2">
      <c r="A723" s="11">
        <v>10940</v>
      </c>
      <c r="B723" t="s">
        <v>123</v>
      </c>
      <c r="C723" t="s">
        <v>121</v>
      </c>
      <c r="D723" t="s">
        <v>121</v>
      </c>
      <c r="E723" t="s">
        <v>121</v>
      </c>
      <c r="F723" s="6" t="s">
        <v>1210</v>
      </c>
      <c r="H723">
        <v>2</v>
      </c>
      <c r="I723" s="1">
        <v>0</v>
      </c>
      <c r="J723">
        <v>0</v>
      </c>
      <c r="K723">
        <v>0</v>
      </c>
      <c r="L723" s="20">
        <v>13640</v>
      </c>
      <c r="M723">
        <v>1</v>
      </c>
      <c r="N723">
        <v>0</v>
      </c>
      <c r="O723">
        <v>0</v>
      </c>
      <c r="P723">
        <v>0</v>
      </c>
      <c r="Q723" s="22">
        <v>40920</v>
      </c>
      <c r="R723">
        <v>3</v>
      </c>
      <c r="S723" s="1">
        <v>0</v>
      </c>
      <c r="T723">
        <v>0</v>
      </c>
      <c r="U723">
        <v>0</v>
      </c>
      <c r="V723" s="21">
        <v>20460</v>
      </c>
      <c r="W723">
        <v>12</v>
      </c>
      <c r="X723">
        <v>0</v>
      </c>
      <c r="Y723">
        <v>0</v>
      </c>
      <c r="Z723">
        <v>0</v>
      </c>
      <c r="AA723">
        <v>10</v>
      </c>
    </row>
    <row r="724" spans="1:27" ht="14.25" x14ac:dyDescent="0.2">
      <c r="A724" s="11">
        <v>10941</v>
      </c>
      <c r="B724" t="s">
        <v>126</v>
      </c>
      <c r="C724" t="s">
        <v>121</v>
      </c>
      <c r="D724" t="s">
        <v>121</v>
      </c>
      <c r="E724" t="s">
        <v>121</v>
      </c>
      <c r="F724" s="6" t="s">
        <v>1212</v>
      </c>
      <c r="H724">
        <v>2</v>
      </c>
      <c r="I724" s="1">
        <v>0</v>
      </c>
      <c r="J724">
        <v>0</v>
      </c>
      <c r="K724">
        <v>0</v>
      </c>
      <c r="L724" s="20">
        <v>13720</v>
      </c>
      <c r="M724">
        <v>1</v>
      </c>
      <c r="N724">
        <v>0</v>
      </c>
      <c r="O724">
        <v>0</v>
      </c>
      <c r="P724">
        <v>0</v>
      </c>
      <c r="Q724" s="22">
        <v>40920</v>
      </c>
      <c r="R724">
        <v>3</v>
      </c>
      <c r="S724" s="1">
        <v>0</v>
      </c>
      <c r="T724">
        <v>0</v>
      </c>
      <c r="U724">
        <v>0</v>
      </c>
      <c r="V724" s="21">
        <v>20460</v>
      </c>
      <c r="W724">
        <v>23</v>
      </c>
      <c r="X724">
        <v>0</v>
      </c>
      <c r="Y724">
        <v>0</v>
      </c>
      <c r="Z724">
        <v>0</v>
      </c>
      <c r="AA724">
        <v>1</v>
      </c>
    </row>
    <row r="725" spans="1:27" ht="14.25" x14ac:dyDescent="0.2">
      <c r="A725" s="11">
        <v>10942</v>
      </c>
      <c r="B725" t="s">
        <v>131</v>
      </c>
      <c r="C725" t="s">
        <v>125</v>
      </c>
      <c r="D725" t="s">
        <v>121</v>
      </c>
      <c r="E725" t="s">
        <v>136</v>
      </c>
      <c r="F725" s="6" t="s">
        <v>1214</v>
      </c>
      <c r="H725">
        <v>2</v>
      </c>
      <c r="I725" s="1">
        <v>0</v>
      </c>
      <c r="J725">
        <v>0</v>
      </c>
      <c r="K725">
        <v>0</v>
      </c>
      <c r="L725" s="20">
        <v>13720</v>
      </c>
      <c r="M725">
        <v>1</v>
      </c>
      <c r="N725">
        <v>0</v>
      </c>
      <c r="O725">
        <v>0</v>
      </c>
      <c r="P725">
        <v>0</v>
      </c>
      <c r="Q725" s="22">
        <v>40920</v>
      </c>
      <c r="R725">
        <v>3</v>
      </c>
      <c r="S725" s="1">
        <v>0</v>
      </c>
      <c r="T725">
        <v>0</v>
      </c>
      <c r="U725">
        <v>0</v>
      </c>
      <c r="V725" s="21">
        <v>20460</v>
      </c>
      <c r="W725">
        <v>6</v>
      </c>
      <c r="X725">
        <v>1</v>
      </c>
      <c r="Y725">
        <v>0</v>
      </c>
      <c r="Z725">
        <v>3</v>
      </c>
      <c r="AA725">
        <v>10</v>
      </c>
    </row>
    <row r="726" spans="1:27" ht="14.25" x14ac:dyDescent="0.2">
      <c r="A726" s="11">
        <v>10943</v>
      </c>
      <c r="B726" t="s">
        <v>180</v>
      </c>
      <c r="C726" t="s">
        <v>121</v>
      </c>
      <c r="D726" t="s">
        <v>121</v>
      </c>
      <c r="E726" t="s">
        <v>121</v>
      </c>
      <c r="F726" s="6" t="s">
        <v>1216</v>
      </c>
      <c r="H726">
        <v>2</v>
      </c>
      <c r="I726" s="1">
        <v>0</v>
      </c>
      <c r="J726">
        <v>0</v>
      </c>
      <c r="K726">
        <v>0</v>
      </c>
      <c r="L726" s="20">
        <v>13720</v>
      </c>
      <c r="M726">
        <v>1</v>
      </c>
      <c r="N726">
        <v>0</v>
      </c>
      <c r="O726">
        <v>0</v>
      </c>
      <c r="P726">
        <v>0</v>
      </c>
      <c r="Q726" s="22">
        <v>41160</v>
      </c>
      <c r="R726">
        <v>3</v>
      </c>
      <c r="S726" s="1">
        <v>0</v>
      </c>
      <c r="T726">
        <v>0</v>
      </c>
      <c r="U726">
        <v>0</v>
      </c>
      <c r="V726" s="21">
        <v>20580</v>
      </c>
      <c r="W726">
        <v>15</v>
      </c>
      <c r="X726">
        <v>0</v>
      </c>
      <c r="Y726">
        <v>0</v>
      </c>
      <c r="Z726">
        <v>0</v>
      </c>
      <c r="AA726">
        <v>1</v>
      </c>
    </row>
    <row r="727" spans="1:27" ht="14.25" x14ac:dyDescent="0.2">
      <c r="A727" s="11">
        <v>10944</v>
      </c>
      <c r="B727" t="s">
        <v>178</v>
      </c>
      <c r="C727" t="s">
        <v>121</v>
      </c>
      <c r="D727" t="s">
        <v>121</v>
      </c>
      <c r="E727" t="s">
        <v>121</v>
      </c>
      <c r="F727" s="6" t="s">
        <v>1216</v>
      </c>
      <c r="H727">
        <v>2</v>
      </c>
      <c r="I727" s="1">
        <v>0</v>
      </c>
      <c r="J727">
        <v>0</v>
      </c>
      <c r="K727">
        <v>0</v>
      </c>
      <c r="L727" s="20">
        <v>13720</v>
      </c>
      <c r="M727">
        <v>1</v>
      </c>
      <c r="N727">
        <v>0</v>
      </c>
      <c r="O727">
        <v>0</v>
      </c>
      <c r="P727">
        <v>0</v>
      </c>
      <c r="Q727" s="22">
        <v>41160</v>
      </c>
      <c r="R727">
        <v>3</v>
      </c>
      <c r="S727" s="1">
        <v>0</v>
      </c>
      <c r="T727">
        <v>0</v>
      </c>
      <c r="U727">
        <v>0</v>
      </c>
      <c r="V727" s="21">
        <v>20580</v>
      </c>
      <c r="W727">
        <v>21</v>
      </c>
      <c r="X727">
        <v>0</v>
      </c>
      <c r="Y727">
        <v>0</v>
      </c>
      <c r="Z727">
        <v>0</v>
      </c>
      <c r="AA727">
        <v>1</v>
      </c>
    </row>
    <row r="728" spans="1:27" ht="14.25" x14ac:dyDescent="0.2">
      <c r="A728" s="11">
        <v>10945</v>
      </c>
      <c r="B728" t="s">
        <v>130</v>
      </c>
      <c r="C728" t="s">
        <v>121</v>
      </c>
      <c r="D728" t="s">
        <v>121</v>
      </c>
      <c r="E728" t="s">
        <v>121</v>
      </c>
      <c r="F728" s="6" t="s">
        <v>1218</v>
      </c>
      <c r="H728">
        <v>2</v>
      </c>
      <c r="I728" s="1">
        <v>0</v>
      </c>
      <c r="J728">
        <v>0</v>
      </c>
      <c r="K728">
        <v>0</v>
      </c>
      <c r="L728" s="20">
        <v>13720</v>
      </c>
      <c r="M728">
        <v>1</v>
      </c>
      <c r="N728">
        <v>0</v>
      </c>
      <c r="O728">
        <v>0</v>
      </c>
      <c r="P728">
        <v>0</v>
      </c>
      <c r="Q728" s="22">
        <v>41160</v>
      </c>
      <c r="R728">
        <v>3</v>
      </c>
      <c r="S728" s="1">
        <v>0</v>
      </c>
      <c r="T728">
        <v>0</v>
      </c>
      <c r="U728">
        <v>0</v>
      </c>
      <c r="V728" s="21">
        <v>20580</v>
      </c>
      <c r="W728">
        <v>9</v>
      </c>
      <c r="X728">
        <v>0</v>
      </c>
      <c r="Y728">
        <v>0</v>
      </c>
      <c r="Z728">
        <v>0</v>
      </c>
      <c r="AA728">
        <v>10</v>
      </c>
    </row>
    <row r="729" spans="1:27" ht="14.25" x14ac:dyDescent="0.2">
      <c r="A729" s="11">
        <v>10946</v>
      </c>
      <c r="B729" t="s">
        <v>181</v>
      </c>
      <c r="C729" t="s">
        <v>121</v>
      </c>
      <c r="D729" t="s">
        <v>121</v>
      </c>
      <c r="E729" t="s">
        <v>121</v>
      </c>
      <c r="F729" s="6" t="s">
        <v>1220</v>
      </c>
      <c r="H729">
        <v>2</v>
      </c>
      <c r="I729" s="1">
        <v>0</v>
      </c>
      <c r="J729">
        <v>0</v>
      </c>
      <c r="K729">
        <v>0</v>
      </c>
      <c r="L729" s="20">
        <v>13800</v>
      </c>
      <c r="M729">
        <v>1</v>
      </c>
      <c r="N729">
        <v>0</v>
      </c>
      <c r="O729">
        <v>0</v>
      </c>
      <c r="P729">
        <v>0</v>
      </c>
      <c r="Q729" s="22">
        <v>41160</v>
      </c>
      <c r="R729">
        <v>3</v>
      </c>
      <c r="S729" s="1">
        <v>0</v>
      </c>
      <c r="T729">
        <v>0</v>
      </c>
      <c r="U729">
        <v>0</v>
      </c>
      <c r="V729" s="21">
        <v>20580</v>
      </c>
      <c r="W729">
        <v>30</v>
      </c>
      <c r="X729">
        <v>0</v>
      </c>
      <c r="Y729">
        <v>0</v>
      </c>
      <c r="Z729">
        <v>0</v>
      </c>
      <c r="AA729">
        <v>10</v>
      </c>
    </row>
    <row r="730" spans="1:27" ht="14.25" x14ac:dyDescent="0.2">
      <c r="A730" s="11">
        <v>10947</v>
      </c>
      <c r="B730" t="s">
        <v>122</v>
      </c>
      <c r="C730" t="s">
        <v>121</v>
      </c>
      <c r="D730" t="s">
        <v>121</v>
      </c>
      <c r="E730" t="s">
        <v>121</v>
      </c>
      <c r="F730" s="6" t="s">
        <v>1220</v>
      </c>
      <c r="H730">
        <v>2</v>
      </c>
      <c r="I730" s="1">
        <v>0</v>
      </c>
      <c r="J730">
        <v>0</v>
      </c>
      <c r="K730">
        <v>0</v>
      </c>
      <c r="L730" s="20">
        <v>13800</v>
      </c>
      <c r="M730">
        <v>1</v>
      </c>
      <c r="N730">
        <v>0</v>
      </c>
      <c r="O730">
        <v>0</v>
      </c>
      <c r="P730">
        <v>0</v>
      </c>
      <c r="Q730" s="22">
        <v>41160</v>
      </c>
      <c r="R730">
        <v>3</v>
      </c>
      <c r="S730" s="1">
        <v>0</v>
      </c>
      <c r="T730">
        <v>0</v>
      </c>
      <c r="U730">
        <v>0</v>
      </c>
      <c r="V730" s="21">
        <v>20580</v>
      </c>
      <c r="W730">
        <v>4</v>
      </c>
      <c r="X730">
        <v>0</v>
      </c>
      <c r="Y730">
        <v>0</v>
      </c>
      <c r="Z730">
        <v>0</v>
      </c>
      <c r="AA730">
        <v>10</v>
      </c>
    </row>
    <row r="731" spans="1:27" ht="14.25" x14ac:dyDescent="0.2">
      <c r="A731" s="11">
        <v>10948</v>
      </c>
      <c r="B731" t="s">
        <v>178</v>
      </c>
      <c r="C731" t="s">
        <v>121</v>
      </c>
      <c r="D731" t="s">
        <v>121</v>
      </c>
      <c r="E731" t="s">
        <v>121</v>
      </c>
      <c r="F731" s="6" t="s">
        <v>1222</v>
      </c>
      <c r="H731">
        <v>2</v>
      </c>
      <c r="I731" s="1">
        <v>0</v>
      </c>
      <c r="J731">
        <v>0</v>
      </c>
      <c r="K731">
        <v>0</v>
      </c>
      <c r="L731" s="20">
        <v>13800</v>
      </c>
      <c r="M731">
        <v>1</v>
      </c>
      <c r="N731">
        <v>0</v>
      </c>
      <c r="O731">
        <v>0</v>
      </c>
      <c r="P731">
        <v>0</v>
      </c>
      <c r="Q731" s="22">
        <v>41400</v>
      </c>
      <c r="R731">
        <v>3</v>
      </c>
      <c r="S731" s="1">
        <v>0</v>
      </c>
      <c r="T731">
        <v>0</v>
      </c>
      <c r="U731">
        <v>0</v>
      </c>
      <c r="V731" s="21">
        <v>20700</v>
      </c>
      <c r="W731">
        <v>21</v>
      </c>
      <c r="X731">
        <v>0</v>
      </c>
      <c r="Y731">
        <v>0</v>
      </c>
      <c r="Z731">
        <v>0</v>
      </c>
      <c r="AA731">
        <v>1</v>
      </c>
    </row>
    <row r="732" spans="1:27" ht="14.25" x14ac:dyDescent="0.2">
      <c r="A732" s="11">
        <v>10949</v>
      </c>
      <c r="B732" t="s">
        <v>130</v>
      </c>
      <c r="C732" t="s">
        <v>121</v>
      </c>
      <c r="D732" t="s">
        <v>121</v>
      </c>
      <c r="E732" t="s">
        <v>121</v>
      </c>
      <c r="F732" s="6" t="s">
        <v>1224</v>
      </c>
      <c r="H732">
        <v>2</v>
      </c>
      <c r="I732" s="1">
        <v>0</v>
      </c>
      <c r="J732">
        <v>0</v>
      </c>
      <c r="K732">
        <v>0</v>
      </c>
      <c r="L732" s="20">
        <v>13800</v>
      </c>
      <c r="M732">
        <v>1</v>
      </c>
      <c r="N732">
        <v>0</v>
      </c>
      <c r="O732">
        <v>0</v>
      </c>
      <c r="P732">
        <v>0</v>
      </c>
      <c r="Q732" s="22">
        <v>41400</v>
      </c>
      <c r="R732">
        <v>3</v>
      </c>
      <c r="S732" s="1">
        <v>0</v>
      </c>
      <c r="T732">
        <v>0</v>
      </c>
      <c r="U732">
        <v>0</v>
      </c>
      <c r="V732" s="21">
        <v>20700</v>
      </c>
      <c r="W732">
        <v>9</v>
      </c>
      <c r="X732">
        <v>0</v>
      </c>
      <c r="Y732">
        <v>0</v>
      </c>
      <c r="Z732">
        <v>0</v>
      </c>
      <c r="AA732">
        <v>10</v>
      </c>
    </row>
    <row r="733" spans="1:27" ht="14.25" x14ac:dyDescent="0.2">
      <c r="A733" s="11">
        <v>10950</v>
      </c>
      <c r="B733" t="s">
        <v>123</v>
      </c>
      <c r="C733" t="s">
        <v>121</v>
      </c>
      <c r="D733" t="s">
        <v>121</v>
      </c>
      <c r="E733" t="s">
        <v>121</v>
      </c>
      <c r="F733" s="6" t="s">
        <v>1224</v>
      </c>
      <c r="H733">
        <v>2</v>
      </c>
      <c r="I733" s="1">
        <v>0</v>
      </c>
      <c r="J733">
        <v>0</v>
      </c>
      <c r="K733">
        <v>0</v>
      </c>
      <c r="L733" s="20">
        <v>13800</v>
      </c>
      <c r="M733">
        <v>1</v>
      </c>
      <c r="N733">
        <v>0</v>
      </c>
      <c r="O733">
        <v>0</v>
      </c>
      <c r="P733">
        <v>0</v>
      </c>
      <c r="Q733" s="22">
        <v>41400</v>
      </c>
      <c r="R733">
        <v>3</v>
      </c>
      <c r="S733" s="1">
        <v>0</v>
      </c>
      <c r="T733">
        <v>0</v>
      </c>
      <c r="U733">
        <v>0</v>
      </c>
      <c r="V733" s="21">
        <v>20700</v>
      </c>
      <c r="W733">
        <v>12</v>
      </c>
      <c r="X733">
        <v>0</v>
      </c>
      <c r="Y733">
        <v>0</v>
      </c>
      <c r="Z733">
        <v>0</v>
      </c>
      <c r="AA733">
        <v>10</v>
      </c>
    </row>
    <row r="734" spans="1:27" ht="14.25" x14ac:dyDescent="0.2">
      <c r="A734" s="11">
        <v>11001</v>
      </c>
      <c r="B734" t="s">
        <v>126</v>
      </c>
      <c r="C734" t="s">
        <v>121</v>
      </c>
      <c r="D734" t="s">
        <v>121</v>
      </c>
      <c r="E734" t="s">
        <v>121</v>
      </c>
      <c r="F734" s="6" t="s">
        <v>1226</v>
      </c>
      <c r="H734">
        <v>2</v>
      </c>
      <c r="I734" s="1">
        <v>0</v>
      </c>
      <c r="J734">
        <v>0</v>
      </c>
      <c r="K734">
        <v>0</v>
      </c>
      <c r="L734" s="20">
        <v>13880</v>
      </c>
      <c r="M734">
        <v>1</v>
      </c>
      <c r="N734">
        <v>0</v>
      </c>
      <c r="O734">
        <v>0</v>
      </c>
      <c r="P734">
        <v>0</v>
      </c>
      <c r="Q734" s="22">
        <v>41400</v>
      </c>
      <c r="R734">
        <v>3</v>
      </c>
      <c r="S734" s="1">
        <v>0</v>
      </c>
      <c r="T734">
        <v>0</v>
      </c>
      <c r="U734">
        <v>0</v>
      </c>
      <c r="V734" s="21">
        <v>20700</v>
      </c>
      <c r="W734">
        <v>23</v>
      </c>
      <c r="X734">
        <v>0</v>
      </c>
      <c r="Y734">
        <v>0</v>
      </c>
      <c r="Z734">
        <v>0</v>
      </c>
      <c r="AA734">
        <v>1</v>
      </c>
    </row>
    <row r="735" spans="1:27" ht="14.25" x14ac:dyDescent="0.2">
      <c r="A735" s="11">
        <v>11002</v>
      </c>
      <c r="B735" t="s">
        <v>131</v>
      </c>
      <c r="C735" t="s">
        <v>125</v>
      </c>
      <c r="D735" t="s">
        <v>121</v>
      </c>
      <c r="E735" t="s">
        <v>136</v>
      </c>
      <c r="F735" s="6" t="s">
        <v>1228</v>
      </c>
      <c r="H735">
        <v>2</v>
      </c>
      <c r="I735" s="1">
        <v>0</v>
      </c>
      <c r="J735">
        <v>0</v>
      </c>
      <c r="K735">
        <v>0</v>
      </c>
      <c r="L735" s="20">
        <v>13880</v>
      </c>
      <c r="M735">
        <v>1</v>
      </c>
      <c r="N735">
        <v>0</v>
      </c>
      <c r="O735">
        <v>0</v>
      </c>
      <c r="P735">
        <v>0</v>
      </c>
      <c r="Q735" s="22">
        <v>41400</v>
      </c>
      <c r="R735">
        <v>3</v>
      </c>
      <c r="S735" s="1">
        <v>0</v>
      </c>
      <c r="T735">
        <v>0</v>
      </c>
      <c r="U735">
        <v>0</v>
      </c>
      <c r="V735" s="21">
        <v>20700</v>
      </c>
      <c r="W735">
        <v>6</v>
      </c>
      <c r="X735">
        <v>1</v>
      </c>
      <c r="Y735">
        <v>0</v>
      </c>
      <c r="Z735">
        <v>3</v>
      </c>
      <c r="AA735">
        <v>10</v>
      </c>
    </row>
    <row r="736" spans="1:27" ht="14.25" x14ac:dyDescent="0.2">
      <c r="A736" s="11">
        <v>11003</v>
      </c>
      <c r="B736" t="s">
        <v>180</v>
      </c>
      <c r="C736" t="s">
        <v>121</v>
      </c>
      <c r="D736" t="s">
        <v>121</v>
      </c>
      <c r="E736" t="s">
        <v>121</v>
      </c>
      <c r="F736" s="6" t="s">
        <v>1230</v>
      </c>
      <c r="H736">
        <v>2</v>
      </c>
      <c r="I736" s="1">
        <v>0</v>
      </c>
      <c r="J736">
        <v>0</v>
      </c>
      <c r="K736">
        <v>0</v>
      </c>
      <c r="L736" s="20">
        <v>13880</v>
      </c>
      <c r="M736">
        <v>1</v>
      </c>
      <c r="N736">
        <v>0</v>
      </c>
      <c r="O736">
        <v>0</v>
      </c>
      <c r="P736">
        <v>0</v>
      </c>
      <c r="Q736" s="22">
        <v>41640</v>
      </c>
      <c r="R736">
        <v>3</v>
      </c>
      <c r="S736" s="1">
        <v>0</v>
      </c>
      <c r="T736">
        <v>0</v>
      </c>
      <c r="U736">
        <v>0</v>
      </c>
      <c r="V736" s="21">
        <v>20820</v>
      </c>
      <c r="W736">
        <v>15</v>
      </c>
      <c r="X736">
        <v>0</v>
      </c>
      <c r="Y736">
        <v>0</v>
      </c>
      <c r="Z736">
        <v>0</v>
      </c>
      <c r="AA736">
        <v>1</v>
      </c>
    </row>
    <row r="737" spans="1:27" ht="14.25" x14ac:dyDescent="0.2">
      <c r="A737" s="11">
        <v>11004</v>
      </c>
      <c r="B737" t="s">
        <v>178</v>
      </c>
      <c r="C737" t="s">
        <v>121</v>
      </c>
      <c r="D737" t="s">
        <v>121</v>
      </c>
      <c r="E737" t="s">
        <v>121</v>
      </c>
      <c r="F737" s="6" t="s">
        <v>1230</v>
      </c>
      <c r="H737">
        <v>2</v>
      </c>
      <c r="I737" s="1">
        <v>0</v>
      </c>
      <c r="J737">
        <v>0</v>
      </c>
      <c r="K737">
        <v>0</v>
      </c>
      <c r="L737" s="20">
        <v>13880</v>
      </c>
      <c r="M737">
        <v>1</v>
      </c>
      <c r="N737">
        <v>0</v>
      </c>
      <c r="O737">
        <v>0</v>
      </c>
      <c r="P737">
        <v>0</v>
      </c>
      <c r="Q737" s="22">
        <v>41640</v>
      </c>
      <c r="R737">
        <v>3</v>
      </c>
      <c r="S737" s="1">
        <v>0</v>
      </c>
      <c r="T737">
        <v>0</v>
      </c>
      <c r="U737">
        <v>0</v>
      </c>
      <c r="V737" s="21">
        <v>20820</v>
      </c>
      <c r="W737">
        <v>21</v>
      </c>
      <c r="X737">
        <v>0</v>
      </c>
      <c r="Y737">
        <v>0</v>
      </c>
      <c r="Z737">
        <v>0</v>
      </c>
      <c r="AA737">
        <v>1</v>
      </c>
    </row>
    <row r="738" spans="1:27" ht="14.25" x14ac:dyDescent="0.2">
      <c r="A738" s="11">
        <v>11005</v>
      </c>
      <c r="B738" t="s">
        <v>130</v>
      </c>
      <c r="C738" t="s">
        <v>121</v>
      </c>
      <c r="D738" t="s">
        <v>121</v>
      </c>
      <c r="E738" t="s">
        <v>121</v>
      </c>
      <c r="F738" s="6" t="s">
        <v>1232</v>
      </c>
      <c r="H738">
        <v>2</v>
      </c>
      <c r="I738" s="1">
        <v>0</v>
      </c>
      <c r="J738">
        <v>0</v>
      </c>
      <c r="K738">
        <v>0</v>
      </c>
      <c r="L738" s="20">
        <v>13880</v>
      </c>
      <c r="M738">
        <v>1</v>
      </c>
      <c r="N738">
        <v>0</v>
      </c>
      <c r="O738">
        <v>0</v>
      </c>
      <c r="P738">
        <v>0</v>
      </c>
      <c r="Q738" s="22">
        <v>41640</v>
      </c>
      <c r="R738">
        <v>3</v>
      </c>
      <c r="S738" s="1">
        <v>0</v>
      </c>
      <c r="T738">
        <v>0</v>
      </c>
      <c r="U738">
        <v>0</v>
      </c>
      <c r="V738" s="21">
        <v>20820</v>
      </c>
      <c r="W738">
        <v>9</v>
      </c>
      <c r="X738">
        <v>0</v>
      </c>
      <c r="Y738">
        <v>0</v>
      </c>
      <c r="Z738">
        <v>0</v>
      </c>
      <c r="AA738">
        <v>10</v>
      </c>
    </row>
    <row r="739" spans="1:27" ht="14.25" x14ac:dyDescent="0.2">
      <c r="A739" s="11">
        <v>11006</v>
      </c>
      <c r="B739" t="s">
        <v>181</v>
      </c>
      <c r="C739" t="s">
        <v>121</v>
      </c>
      <c r="D739" t="s">
        <v>121</v>
      </c>
      <c r="E739" t="s">
        <v>121</v>
      </c>
      <c r="F739" s="6" t="s">
        <v>1234</v>
      </c>
      <c r="H739">
        <v>2</v>
      </c>
      <c r="I739" s="1">
        <v>0</v>
      </c>
      <c r="J739">
        <v>0</v>
      </c>
      <c r="K739">
        <v>0</v>
      </c>
      <c r="L739" s="20">
        <v>13960</v>
      </c>
      <c r="M739">
        <v>1</v>
      </c>
      <c r="N739">
        <v>0</v>
      </c>
      <c r="O739">
        <v>0</v>
      </c>
      <c r="P739">
        <v>0</v>
      </c>
      <c r="Q739" s="22">
        <v>41640</v>
      </c>
      <c r="R739">
        <v>3</v>
      </c>
      <c r="S739" s="1">
        <v>0</v>
      </c>
      <c r="T739">
        <v>0</v>
      </c>
      <c r="U739">
        <v>0</v>
      </c>
      <c r="V739" s="21">
        <v>20820</v>
      </c>
      <c r="W739">
        <v>30</v>
      </c>
      <c r="X739">
        <v>0</v>
      </c>
      <c r="Y739">
        <v>0</v>
      </c>
      <c r="Z739">
        <v>0</v>
      </c>
      <c r="AA739">
        <v>10</v>
      </c>
    </row>
    <row r="740" spans="1:27" ht="14.25" x14ac:dyDescent="0.2">
      <c r="A740" s="11">
        <v>11007</v>
      </c>
      <c r="B740" t="s">
        <v>122</v>
      </c>
      <c r="C740" t="s">
        <v>121</v>
      </c>
      <c r="D740" t="s">
        <v>121</v>
      </c>
      <c r="E740" t="s">
        <v>121</v>
      </c>
      <c r="F740" s="6" t="s">
        <v>1234</v>
      </c>
      <c r="H740">
        <v>2</v>
      </c>
      <c r="I740" s="1">
        <v>0</v>
      </c>
      <c r="J740">
        <v>0</v>
      </c>
      <c r="K740">
        <v>0</v>
      </c>
      <c r="L740" s="20">
        <v>13960</v>
      </c>
      <c r="M740">
        <v>1</v>
      </c>
      <c r="N740">
        <v>0</v>
      </c>
      <c r="O740">
        <v>0</v>
      </c>
      <c r="P740">
        <v>0</v>
      </c>
      <c r="Q740" s="22">
        <v>41640</v>
      </c>
      <c r="R740">
        <v>3</v>
      </c>
      <c r="S740" s="1">
        <v>0</v>
      </c>
      <c r="T740">
        <v>0</v>
      </c>
      <c r="U740">
        <v>0</v>
      </c>
      <c r="V740" s="21">
        <v>20820</v>
      </c>
      <c r="W740">
        <v>4</v>
      </c>
      <c r="X740">
        <v>0</v>
      </c>
      <c r="Y740">
        <v>0</v>
      </c>
      <c r="Z740">
        <v>0</v>
      </c>
      <c r="AA740">
        <v>10</v>
      </c>
    </row>
    <row r="741" spans="1:27" ht="14.25" x14ac:dyDescent="0.2">
      <c r="A741" s="11">
        <v>11008</v>
      </c>
      <c r="B741" t="s">
        <v>178</v>
      </c>
      <c r="C741" t="s">
        <v>121</v>
      </c>
      <c r="D741" t="s">
        <v>121</v>
      </c>
      <c r="E741" t="s">
        <v>121</v>
      </c>
      <c r="F741" s="6" t="s">
        <v>1236</v>
      </c>
      <c r="H741">
        <v>2</v>
      </c>
      <c r="I741" s="1">
        <v>0</v>
      </c>
      <c r="J741">
        <v>0</v>
      </c>
      <c r="K741">
        <v>0</v>
      </c>
      <c r="L741" s="20">
        <v>13960</v>
      </c>
      <c r="M741">
        <v>1</v>
      </c>
      <c r="N741">
        <v>0</v>
      </c>
      <c r="O741">
        <v>0</v>
      </c>
      <c r="P741">
        <v>0</v>
      </c>
      <c r="Q741" s="22">
        <v>41880</v>
      </c>
      <c r="R741">
        <v>3</v>
      </c>
      <c r="S741" s="1">
        <v>0</v>
      </c>
      <c r="T741">
        <v>0</v>
      </c>
      <c r="U741">
        <v>0</v>
      </c>
      <c r="V741" s="21">
        <v>20940</v>
      </c>
      <c r="W741">
        <v>21</v>
      </c>
      <c r="X741">
        <v>0</v>
      </c>
      <c r="Y741">
        <v>0</v>
      </c>
      <c r="Z741">
        <v>0</v>
      </c>
      <c r="AA741">
        <v>1</v>
      </c>
    </row>
    <row r="742" spans="1:27" ht="14.25" x14ac:dyDescent="0.2">
      <c r="A742" s="11">
        <v>11009</v>
      </c>
      <c r="B742" t="s">
        <v>130</v>
      </c>
      <c r="C742" t="s">
        <v>121</v>
      </c>
      <c r="D742" t="s">
        <v>121</v>
      </c>
      <c r="E742" t="s">
        <v>121</v>
      </c>
      <c r="F742" s="6" t="s">
        <v>1238</v>
      </c>
      <c r="H742">
        <v>2</v>
      </c>
      <c r="I742" s="1">
        <v>0</v>
      </c>
      <c r="J742">
        <v>0</v>
      </c>
      <c r="K742">
        <v>0</v>
      </c>
      <c r="L742" s="20">
        <v>13960</v>
      </c>
      <c r="M742">
        <v>1</v>
      </c>
      <c r="N742">
        <v>0</v>
      </c>
      <c r="O742">
        <v>0</v>
      </c>
      <c r="P742">
        <v>0</v>
      </c>
      <c r="Q742" s="22">
        <v>41880</v>
      </c>
      <c r="R742">
        <v>3</v>
      </c>
      <c r="S742" s="1">
        <v>0</v>
      </c>
      <c r="T742">
        <v>0</v>
      </c>
      <c r="U742">
        <v>0</v>
      </c>
      <c r="V742" s="21">
        <v>20940</v>
      </c>
      <c r="W742">
        <v>9</v>
      </c>
      <c r="X742">
        <v>0</v>
      </c>
      <c r="Y742">
        <v>0</v>
      </c>
      <c r="Z742">
        <v>0</v>
      </c>
      <c r="AA742">
        <v>10</v>
      </c>
    </row>
    <row r="743" spans="1:27" ht="14.25" x14ac:dyDescent="0.2">
      <c r="A743" s="11">
        <v>11010</v>
      </c>
      <c r="B743" t="s">
        <v>123</v>
      </c>
      <c r="C743" t="s">
        <v>121</v>
      </c>
      <c r="D743" t="s">
        <v>121</v>
      </c>
      <c r="E743" t="s">
        <v>121</v>
      </c>
      <c r="F743" s="6" t="s">
        <v>1238</v>
      </c>
      <c r="H743">
        <v>2</v>
      </c>
      <c r="I743" s="1">
        <v>0</v>
      </c>
      <c r="J743">
        <v>0</v>
      </c>
      <c r="K743">
        <v>0</v>
      </c>
      <c r="L743" s="20">
        <v>13960</v>
      </c>
      <c r="M743">
        <v>1</v>
      </c>
      <c r="N743">
        <v>0</v>
      </c>
      <c r="O743">
        <v>0</v>
      </c>
      <c r="P743">
        <v>0</v>
      </c>
      <c r="Q743" s="22">
        <v>41880</v>
      </c>
      <c r="R743">
        <v>3</v>
      </c>
      <c r="S743" s="1">
        <v>0</v>
      </c>
      <c r="T743">
        <v>0</v>
      </c>
      <c r="U743">
        <v>0</v>
      </c>
      <c r="V743" s="21">
        <v>20940</v>
      </c>
      <c r="W743">
        <v>12</v>
      </c>
      <c r="X743">
        <v>0</v>
      </c>
      <c r="Y743">
        <v>0</v>
      </c>
      <c r="Z743">
        <v>0</v>
      </c>
      <c r="AA743">
        <v>10</v>
      </c>
    </row>
    <row r="744" spans="1:27" ht="14.25" x14ac:dyDescent="0.2">
      <c r="A744" s="11">
        <v>11011</v>
      </c>
      <c r="B744" t="s">
        <v>126</v>
      </c>
      <c r="C744" t="s">
        <v>121</v>
      </c>
      <c r="D744" t="s">
        <v>121</v>
      </c>
      <c r="E744" t="s">
        <v>121</v>
      </c>
      <c r="F744" s="6" t="s">
        <v>1240</v>
      </c>
      <c r="H744">
        <v>2</v>
      </c>
      <c r="I744" s="1">
        <v>0</v>
      </c>
      <c r="J744">
        <v>0</v>
      </c>
      <c r="K744">
        <v>0</v>
      </c>
      <c r="L744" s="20">
        <v>14040</v>
      </c>
      <c r="M744">
        <v>1</v>
      </c>
      <c r="N744">
        <v>0</v>
      </c>
      <c r="O744">
        <v>0</v>
      </c>
      <c r="P744">
        <v>0</v>
      </c>
      <c r="Q744" s="22">
        <v>41880</v>
      </c>
      <c r="R744">
        <v>3</v>
      </c>
      <c r="S744" s="1">
        <v>0</v>
      </c>
      <c r="T744">
        <v>0</v>
      </c>
      <c r="U744">
        <v>0</v>
      </c>
      <c r="V744" s="21">
        <v>20940</v>
      </c>
      <c r="W744">
        <v>23</v>
      </c>
      <c r="X744">
        <v>0</v>
      </c>
      <c r="Y744">
        <v>0</v>
      </c>
      <c r="Z744">
        <v>0</v>
      </c>
      <c r="AA744">
        <v>1</v>
      </c>
    </row>
    <row r="745" spans="1:27" ht="14.25" x14ac:dyDescent="0.2">
      <c r="A745" s="11">
        <v>11012</v>
      </c>
      <c r="B745" t="s">
        <v>131</v>
      </c>
      <c r="C745" t="s">
        <v>125</v>
      </c>
      <c r="D745" t="s">
        <v>121</v>
      </c>
      <c r="E745" t="s">
        <v>136</v>
      </c>
      <c r="F745" s="6" t="s">
        <v>1242</v>
      </c>
      <c r="H745">
        <v>2</v>
      </c>
      <c r="I745" s="1">
        <v>0</v>
      </c>
      <c r="J745">
        <v>0</v>
      </c>
      <c r="K745">
        <v>0</v>
      </c>
      <c r="L745" s="20">
        <v>14040</v>
      </c>
      <c r="M745">
        <v>1</v>
      </c>
      <c r="N745">
        <v>0</v>
      </c>
      <c r="O745">
        <v>0</v>
      </c>
      <c r="P745">
        <v>0</v>
      </c>
      <c r="Q745" s="22">
        <v>41880</v>
      </c>
      <c r="R745">
        <v>3</v>
      </c>
      <c r="S745" s="1">
        <v>0</v>
      </c>
      <c r="T745">
        <v>0</v>
      </c>
      <c r="U745">
        <v>0</v>
      </c>
      <c r="V745" s="21">
        <v>20940</v>
      </c>
      <c r="W745">
        <v>6</v>
      </c>
      <c r="X745">
        <v>1</v>
      </c>
      <c r="Y745">
        <v>0</v>
      </c>
      <c r="Z745">
        <v>3</v>
      </c>
      <c r="AA745">
        <v>10</v>
      </c>
    </row>
    <row r="746" spans="1:27" ht="14.25" x14ac:dyDescent="0.2">
      <c r="A746" s="11">
        <v>11013</v>
      </c>
      <c r="B746" t="s">
        <v>180</v>
      </c>
      <c r="C746" t="s">
        <v>121</v>
      </c>
      <c r="D746" t="s">
        <v>121</v>
      </c>
      <c r="E746" t="s">
        <v>121</v>
      </c>
      <c r="F746" s="6" t="s">
        <v>1244</v>
      </c>
      <c r="H746">
        <v>2</v>
      </c>
      <c r="I746" s="1">
        <v>0</v>
      </c>
      <c r="J746">
        <v>0</v>
      </c>
      <c r="K746">
        <v>0</v>
      </c>
      <c r="L746" s="20">
        <v>14040</v>
      </c>
      <c r="M746">
        <v>1</v>
      </c>
      <c r="N746">
        <v>0</v>
      </c>
      <c r="O746">
        <v>0</v>
      </c>
      <c r="P746">
        <v>0</v>
      </c>
      <c r="Q746" s="22">
        <v>42120</v>
      </c>
      <c r="R746">
        <v>3</v>
      </c>
      <c r="S746" s="1">
        <v>0</v>
      </c>
      <c r="T746">
        <v>0</v>
      </c>
      <c r="U746">
        <v>0</v>
      </c>
      <c r="V746" s="21">
        <v>21060</v>
      </c>
      <c r="W746">
        <v>15</v>
      </c>
      <c r="X746">
        <v>0</v>
      </c>
      <c r="Y746">
        <v>0</v>
      </c>
      <c r="Z746">
        <v>0</v>
      </c>
      <c r="AA746">
        <v>1</v>
      </c>
    </row>
    <row r="747" spans="1:27" ht="14.25" x14ac:dyDescent="0.2">
      <c r="A747" s="11">
        <v>11014</v>
      </c>
      <c r="B747" t="s">
        <v>178</v>
      </c>
      <c r="C747" t="s">
        <v>121</v>
      </c>
      <c r="D747" t="s">
        <v>121</v>
      </c>
      <c r="E747" t="s">
        <v>121</v>
      </c>
      <c r="F747" s="6" t="s">
        <v>1244</v>
      </c>
      <c r="H747">
        <v>2</v>
      </c>
      <c r="I747" s="1">
        <v>0</v>
      </c>
      <c r="J747">
        <v>0</v>
      </c>
      <c r="K747">
        <v>0</v>
      </c>
      <c r="L747" s="20">
        <v>14040</v>
      </c>
      <c r="M747">
        <v>1</v>
      </c>
      <c r="N747">
        <v>0</v>
      </c>
      <c r="O747">
        <v>0</v>
      </c>
      <c r="P747">
        <v>0</v>
      </c>
      <c r="Q747" s="22">
        <v>42120</v>
      </c>
      <c r="R747">
        <v>3</v>
      </c>
      <c r="S747" s="1">
        <v>0</v>
      </c>
      <c r="T747">
        <v>0</v>
      </c>
      <c r="U747">
        <v>0</v>
      </c>
      <c r="V747" s="21">
        <v>21060</v>
      </c>
      <c r="W747">
        <v>21</v>
      </c>
      <c r="X747">
        <v>0</v>
      </c>
      <c r="Y747">
        <v>0</v>
      </c>
      <c r="Z747">
        <v>0</v>
      </c>
      <c r="AA747">
        <v>1</v>
      </c>
    </row>
    <row r="748" spans="1:27" ht="14.25" x14ac:dyDescent="0.2">
      <c r="A748" s="11">
        <v>11015</v>
      </c>
      <c r="B748" t="s">
        <v>130</v>
      </c>
      <c r="C748" t="s">
        <v>121</v>
      </c>
      <c r="D748" t="s">
        <v>121</v>
      </c>
      <c r="E748" t="s">
        <v>121</v>
      </c>
      <c r="F748" s="6" t="s">
        <v>1246</v>
      </c>
      <c r="H748">
        <v>2</v>
      </c>
      <c r="I748" s="1">
        <v>0</v>
      </c>
      <c r="J748">
        <v>0</v>
      </c>
      <c r="K748">
        <v>0</v>
      </c>
      <c r="L748" s="20">
        <v>14040</v>
      </c>
      <c r="M748">
        <v>1</v>
      </c>
      <c r="N748">
        <v>0</v>
      </c>
      <c r="O748">
        <v>0</v>
      </c>
      <c r="P748">
        <v>0</v>
      </c>
      <c r="Q748" s="22">
        <v>42120</v>
      </c>
      <c r="R748">
        <v>3</v>
      </c>
      <c r="S748" s="1">
        <v>0</v>
      </c>
      <c r="T748">
        <v>0</v>
      </c>
      <c r="U748">
        <v>0</v>
      </c>
      <c r="V748" s="21">
        <v>21060</v>
      </c>
      <c r="W748">
        <v>9</v>
      </c>
      <c r="X748">
        <v>0</v>
      </c>
      <c r="Y748">
        <v>0</v>
      </c>
      <c r="Z748">
        <v>0</v>
      </c>
      <c r="AA748">
        <v>10</v>
      </c>
    </row>
    <row r="749" spans="1:27" ht="14.25" x14ac:dyDescent="0.2">
      <c r="A749" s="11">
        <v>11016</v>
      </c>
      <c r="B749" t="s">
        <v>181</v>
      </c>
      <c r="C749" t="s">
        <v>121</v>
      </c>
      <c r="D749" t="s">
        <v>121</v>
      </c>
      <c r="E749" t="s">
        <v>121</v>
      </c>
      <c r="F749" s="6" t="s">
        <v>1248</v>
      </c>
      <c r="H749">
        <v>2</v>
      </c>
      <c r="I749" s="1">
        <v>0</v>
      </c>
      <c r="J749">
        <v>0</v>
      </c>
      <c r="K749">
        <v>0</v>
      </c>
      <c r="L749" s="20">
        <v>14120</v>
      </c>
      <c r="M749">
        <v>1</v>
      </c>
      <c r="N749">
        <v>0</v>
      </c>
      <c r="O749">
        <v>0</v>
      </c>
      <c r="P749">
        <v>0</v>
      </c>
      <c r="Q749" s="22">
        <v>42120</v>
      </c>
      <c r="R749">
        <v>3</v>
      </c>
      <c r="S749" s="1">
        <v>0</v>
      </c>
      <c r="T749">
        <v>0</v>
      </c>
      <c r="U749">
        <v>0</v>
      </c>
      <c r="V749" s="21">
        <v>21060</v>
      </c>
      <c r="W749">
        <v>30</v>
      </c>
      <c r="X749">
        <v>0</v>
      </c>
      <c r="Y749">
        <v>0</v>
      </c>
      <c r="Z749">
        <v>0</v>
      </c>
      <c r="AA749">
        <v>10</v>
      </c>
    </row>
    <row r="750" spans="1:27" ht="14.25" x14ac:dyDescent="0.2">
      <c r="A750" s="11">
        <v>11017</v>
      </c>
      <c r="B750" t="s">
        <v>122</v>
      </c>
      <c r="C750" t="s">
        <v>121</v>
      </c>
      <c r="D750" t="s">
        <v>121</v>
      </c>
      <c r="E750" t="s">
        <v>121</v>
      </c>
      <c r="F750" s="6" t="s">
        <v>1248</v>
      </c>
      <c r="H750">
        <v>2</v>
      </c>
      <c r="I750" s="1">
        <v>0</v>
      </c>
      <c r="J750">
        <v>0</v>
      </c>
      <c r="K750">
        <v>0</v>
      </c>
      <c r="L750" s="20">
        <v>14120</v>
      </c>
      <c r="M750">
        <v>1</v>
      </c>
      <c r="N750">
        <v>0</v>
      </c>
      <c r="O750">
        <v>0</v>
      </c>
      <c r="P750">
        <v>0</v>
      </c>
      <c r="Q750" s="22">
        <v>42120</v>
      </c>
      <c r="R750">
        <v>3</v>
      </c>
      <c r="S750" s="1">
        <v>0</v>
      </c>
      <c r="T750">
        <v>0</v>
      </c>
      <c r="U750">
        <v>0</v>
      </c>
      <c r="V750" s="21">
        <v>21060</v>
      </c>
      <c r="W750">
        <v>4</v>
      </c>
      <c r="X750">
        <v>0</v>
      </c>
      <c r="Y750">
        <v>0</v>
      </c>
      <c r="Z750">
        <v>0</v>
      </c>
      <c r="AA750">
        <v>10</v>
      </c>
    </row>
    <row r="751" spans="1:27" ht="14.25" x14ac:dyDescent="0.2">
      <c r="A751" s="11">
        <v>11018</v>
      </c>
      <c r="B751" t="s">
        <v>178</v>
      </c>
      <c r="C751" t="s">
        <v>121</v>
      </c>
      <c r="D751" t="s">
        <v>121</v>
      </c>
      <c r="E751" t="s">
        <v>121</v>
      </c>
      <c r="F751" s="6" t="s">
        <v>1250</v>
      </c>
      <c r="H751">
        <v>2</v>
      </c>
      <c r="I751" s="1">
        <v>0</v>
      </c>
      <c r="J751">
        <v>0</v>
      </c>
      <c r="K751">
        <v>0</v>
      </c>
      <c r="L751" s="20">
        <v>14120</v>
      </c>
      <c r="M751">
        <v>1</v>
      </c>
      <c r="N751">
        <v>0</v>
      </c>
      <c r="O751">
        <v>0</v>
      </c>
      <c r="P751">
        <v>0</v>
      </c>
      <c r="Q751" s="22">
        <v>42360</v>
      </c>
      <c r="R751">
        <v>3</v>
      </c>
      <c r="S751" s="1">
        <v>0</v>
      </c>
      <c r="T751">
        <v>0</v>
      </c>
      <c r="U751">
        <v>0</v>
      </c>
      <c r="V751" s="21">
        <v>21180</v>
      </c>
      <c r="W751">
        <v>21</v>
      </c>
      <c r="X751">
        <v>0</v>
      </c>
      <c r="Y751">
        <v>0</v>
      </c>
      <c r="Z751">
        <v>0</v>
      </c>
      <c r="AA751">
        <v>1</v>
      </c>
    </row>
    <row r="752" spans="1:27" ht="14.25" x14ac:dyDescent="0.2">
      <c r="A752" s="11">
        <v>11019</v>
      </c>
      <c r="B752" t="s">
        <v>130</v>
      </c>
      <c r="C752" t="s">
        <v>121</v>
      </c>
      <c r="D752" t="s">
        <v>121</v>
      </c>
      <c r="E752" t="s">
        <v>121</v>
      </c>
      <c r="F752" s="6" t="s">
        <v>1252</v>
      </c>
      <c r="H752">
        <v>2</v>
      </c>
      <c r="I752" s="1">
        <v>0</v>
      </c>
      <c r="J752">
        <v>0</v>
      </c>
      <c r="K752">
        <v>0</v>
      </c>
      <c r="L752" s="20">
        <v>14120</v>
      </c>
      <c r="M752">
        <v>1</v>
      </c>
      <c r="N752">
        <v>0</v>
      </c>
      <c r="O752">
        <v>0</v>
      </c>
      <c r="P752">
        <v>0</v>
      </c>
      <c r="Q752" s="22">
        <v>42360</v>
      </c>
      <c r="R752">
        <v>3</v>
      </c>
      <c r="S752" s="1">
        <v>0</v>
      </c>
      <c r="T752">
        <v>0</v>
      </c>
      <c r="U752">
        <v>0</v>
      </c>
      <c r="V752" s="21">
        <v>21180</v>
      </c>
      <c r="W752">
        <v>9</v>
      </c>
      <c r="X752">
        <v>0</v>
      </c>
      <c r="Y752">
        <v>0</v>
      </c>
      <c r="Z752">
        <v>0</v>
      </c>
      <c r="AA752">
        <v>10</v>
      </c>
    </row>
    <row r="753" spans="1:27" ht="14.25" x14ac:dyDescent="0.2">
      <c r="A753" s="11">
        <v>11020</v>
      </c>
      <c r="B753" t="s">
        <v>123</v>
      </c>
      <c r="C753" t="s">
        <v>121</v>
      </c>
      <c r="D753" t="s">
        <v>121</v>
      </c>
      <c r="E753" t="s">
        <v>121</v>
      </c>
      <c r="F753" s="6" t="s">
        <v>1252</v>
      </c>
      <c r="H753">
        <v>2</v>
      </c>
      <c r="I753" s="1">
        <v>0</v>
      </c>
      <c r="J753">
        <v>0</v>
      </c>
      <c r="K753">
        <v>0</v>
      </c>
      <c r="L753" s="20">
        <v>14120</v>
      </c>
      <c r="M753">
        <v>1</v>
      </c>
      <c r="N753">
        <v>0</v>
      </c>
      <c r="O753">
        <v>0</v>
      </c>
      <c r="P753">
        <v>0</v>
      </c>
      <c r="Q753" s="22">
        <v>42360</v>
      </c>
      <c r="R753">
        <v>3</v>
      </c>
      <c r="S753" s="1">
        <v>0</v>
      </c>
      <c r="T753">
        <v>0</v>
      </c>
      <c r="U753">
        <v>0</v>
      </c>
      <c r="V753" s="21">
        <v>21180</v>
      </c>
      <c r="W753">
        <v>12</v>
      </c>
      <c r="X753">
        <v>0</v>
      </c>
      <c r="Y753">
        <v>0</v>
      </c>
      <c r="Z753">
        <v>0</v>
      </c>
      <c r="AA753">
        <v>10</v>
      </c>
    </row>
    <row r="754" spans="1:27" ht="14.25" x14ac:dyDescent="0.2">
      <c r="A754" s="11">
        <v>11021</v>
      </c>
      <c r="B754" t="s">
        <v>126</v>
      </c>
      <c r="C754" t="s">
        <v>121</v>
      </c>
      <c r="D754" t="s">
        <v>121</v>
      </c>
      <c r="E754" t="s">
        <v>121</v>
      </c>
      <c r="F754" s="6" t="s">
        <v>1254</v>
      </c>
      <c r="H754">
        <v>2</v>
      </c>
      <c r="I754" s="1">
        <v>0</v>
      </c>
      <c r="J754">
        <v>0</v>
      </c>
      <c r="K754">
        <v>0</v>
      </c>
      <c r="L754" s="20">
        <v>14200</v>
      </c>
      <c r="M754">
        <v>1</v>
      </c>
      <c r="N754">
        <v>0</v>
      </c>
      <c r="O754">
        <v>0</v>
      </c>
      <c r="P754">
        <v>0</v>
      </c>
      <c r="Q754" s="22">
        <v>42360</v>
      </c>
      <c r="R754">
        <v>3</v>
      </c>
      <c r="S754" s="1">
        <v>0</v>
      </c>
      <c r="T754">
        <v>0</v>
      </c>
      <c r="U754">
        <v>0</v>
      </c>
      <c r="V754" s="21">
        <v>21180</v>
      </c>
      <c r="W754">
        <v>23</v>
      </c>
      <c r="X754">
        <v>0</v>
      </c>
      <c r="Y754">
        <v>0</v>
      </c>
      <c r="Z754">
        <v>0</v>
      </c>
      <c r="AA754">
        <v>1</v>
      </c>
    </row>
    <row r="755" spans="1:27" ht="14.25" x14ac:dyDescent="0.2">
      <c r="A755" s="11">
        <v>11022</v>
      </c>
      <c r="B755" t="s">
        <v>131</v>
      </c>
      <c r="C755" t="s">
        <v>125</v>
      </c>
      <c r="D755" t="s">
        <v>121</v>
      </c>
      <c r="E755" t="s">
        <v>136</v>
      </c>
      <c r="F755" s="6" t="s">
        <v>1256</v>
      </c>
      <c r="H755">
        <v>2</v>
      </c>
      <c r="I755" s="1">
        <v>0</v>
      </c>
      <c r="J755">
        <v>0</v>
      </c>
      <c r="K755">
        <v>0</v>
      </c>
      <c r="L755" s="20">
        <v>14200</v>
      </c>
      <c r="M755">
        <v>1</v>
      </c>
      <c r="N755">
        <v>0</v>
      </c>
      <c r="O755">
        <v>0</v>
      </c>
      <c r="P755">
        <v>0</v>
      </c>
      <c r="Q755" s="22">
        <v>42360</v>
      </c>
      <c r="R755">
        <v>3</v>
      </c>
      <c r="S755" s="1">
        <v>0</v>
      </c>
      <c r="T755">
        <v>0</v>
      </c>
      <c r="U755">
        <v>0</v>
      </c>
      <c r="V755" s="21">
        <v>21180</v>
      </c>
      <c r="W755">
        <v>6</v>
      </c>
      <c r="X755">
        <v>1</v>
      </c>
      <c r="Y755">
        <v>0</v>
      </c>
      <c r="Z755">
        <v>3</v>
      </c>
      <c r="AA755">
        <v>10</v>
      </c>
    </row>
    <row r="756" spans="1:27" ht="14.25" x14ac:dyDescent="0.2">
      <c r="A756" s="11">
        <v>11023</v>
      </c>
      <c r="B756" t="s">
        <v>180</v>
      </c>
      <c r="C756" t="s">
        <v>121</v>
      </c>
      <c r="D756" t="s">
        <v>121</v>
      </c>
      <c r="E756" t="s">
        <v>121</v>
      </c>
      <c r="F756" s="6" t="s">
        <v>1258</v>
      </c>
      <c r="H756">
        <v>2</v>
      </c>
      <c r="I756" s="1">
        <v>0</v>
      </c>
      <c r="J756">
        <v>0</v>
      </c>
      <c r="K756">
        <v>0</v>
      </c>
      <c r="L756" s="20">
        <v>14200</v>
      </c>
      <c r="M756">
        <v>1</v>
      </c>
      <c r="N756">
        <v>0</v>
      </c>
      <c r="O756">
        <v>0</v>
      </c>
      <c r="P756">
        <v>0</v>
      </c>
      <c r="Q756" s="22">
        <v>42600</v>
      </c>
      <c r="R756">
        <v>3</v>
      </c>
      <c r="S756" s="1">
        <v>0</v>
      </c>
      <c r="T756">
        <v>0</v>
      </c>
      <c r="U756">
        <v>0</v>
      </c>
      <c r="V756" s="21">
        <v>21300</v>
      </c>
      <c r="W756">
        <v>15</v>
      </c>
      <c r="X756">
        <v>0</v>
      </c>
      <c r="Y756">
        <v>0</v>
      </c>
      <c r="Z756">
        <v>0</v>
      </c>
      <c r="AA756">
        <v>1</v>
      </c>
    </row>
    <row r="757" spans="1:27" ht="14.25" x14ac:dyDescent="0.2">
      <c r="A757" s="11">
        <v>11024</v>
      </c>
      <c r="B757" t="s">
        <v>178</v>
      </c>
      <c r="C757" t="s">
        <v>121</v>
      </c>
      <c r="D757" t="s">
        <v>121</v>
      </c>
      <c r="E757" t="s">
        <v>121</v>
      </c>
      <c r="F757" s="6" t="s">
        <v>1258</v>
      </c>
      <c r="H757">
        <v>2</v>
      </c>
      <c r="I757" s="1">
        <v>0</v>
      </c>
      <c r="J757">
        <v>0</v>
      </c>
      <c r="K757">
        <v>0</v>
      </c>
      <c r="L757" s="20">
        <v>14200</v>
      </c>
      <c r="M757">
        <v>1</v>
      </c>
      <c r="N757">
        <v>0</v>
      </c>
      <c r="O757">
        <v>0</v>
      </c>
      <c r="P757">
        <v>0</v>
      </c>
      <c r="Q757" s="22">
        <v>42600</v>
      </c>
      <c r="R757">
        <v>3</v>
      </c>
      <c r="S757" s="1">
        <v>0</v>
      </c>
      <c r="T757">
        <v>0</v>
      </c>
      <c r="U757">
        <v>0</v>
      </c>
      <c r="V757" s="21">
        <v>21300</v>
      </c>
      <c r="W757">
        <v>21</v>
      </c>
      <c r="X757">
        <v>0</v>
      </c>
      <c r="Y757">
        <v>0</v>
      </c>
      <c r="Z757">
        <v>0</v>
      </c>
      <c r="AA757">
        <v>1</v>
      </c>
    </row>
    <row r="758" spans="1:27" ht="14.25" x14ac:dyDescent="0.2">
      <c r="A758" s="11">
        <v>11025</v>
      </c>
      <c r="B758" t="s">
        <v>130</v>
      </c>
      <c r="C758" t="s">
        <v>121</v>
      </c>
      <c r="D758" t="s">
        <v>121</v>
      </c>
      <c r="E758" t="s">
        <v>121</v>
      </c>
      <c r="F758" s="6" t="s">
        <v>1260</v>
      </c>
      <c r="H758">
        <v>2</v>
      </c>
      <c r="I758" s="1">
        <v>0</v>
      </c>
      <c r="J758">
        <v>0</v>
      </c>
      <c r="K758">
        <v>0</v>
      </c>
      <c r="L758" s="20">
        <v>14200</v>
      </c>
      <c r="M758">
        <v>1</v>
      </c>
      <c r="N758">
        <v>0</v>
      </c>
      <c r="O758">
        <v>0</v>
      </c>
      <c r="P758">
        <v>0</v>
      </c>
      <c r="Q758" s="22">
        <v>42600</v>
      </c>
      <c r="R758">
        <v>3</v>
      </c>
      <c r="S758" s="1">
        <v>0</v>
      </c>
      <c r="T758">
        <v>0</v>
      </c>
      <c r="U758">
        <v>0</v>
      </c>
      <c r="V758" s="21">
        <v>21300</v>
      </c>
      <c r="W758">
        <v>9</v>
      </c>
      <c r="X758">
        <v>0</v>
      </c>
      <c r="Y758">
        <v>0</v>
      </c>
      <c r="Z758">
        <v>0</v>
      </c>
      <c r="AA758">
        <v>10</v>
      </c>
    </row>
    <row r="759" spans="1:27" ht="14.25" x14ac:dyDescent="0.2">
      <c r="A759" s="11">
        <v>11026</v>
      </c>
      <c r="B759" t="s">
        <v>181</v>
      </c>
      <c r="C759" t="s">
        <v>121</v>
      </c>
      <c r="D759" t="s">
        <v>121</v>
      </c>
      <c r="E759" t="s">
        <v>121</v>
      </c>
      <c r="F759" s="6" t="s">
        <v>1262</v>
      </c>
      <c r="H759">
        <v>2</v>
      </c>
      <c r="I759" s="1">
        <v>0</v>
      </c>
      <c r="J759">
        <v>0</v>
      </c>
      <c r="K759">
        <v>0</v>
      </c>
      <c r="L759" s="20">
        <v>14280</v>
      </c>
      <c r="M759">
        <v>1</v>
      </c>
      <c r="N759">
        <v>0</v>
      </c>
      <c r="O759">
        <v>0</v>
      </c>
      <c r="P759">
        <v>0</v>
      </c>
      <c r="Q759" s="22">
        <v>42600</v>
      </c>
      <c r="R759">
        <v>3</v>
      </c>
      <c r="S759" s="1">
        <v>0</v>
      </c>
      <c r="T759">
        <v>0</v>
      </c>
      <c r="U759">
        <v>0</v>
      </c>
      <c r="V759" s="21">
        <v>21300</v>
      </c>
      <c r="W759">
        <v>30</v>
      </c>
      <c r="X759">
        <v>0</v>
      </c>
      <c r="Y759">
        <v>0</v>
      </c>
      <c r="Z759">
        <v>0</v>
      </c>
      <c r="AA759">
        <v>10</v>
      </c>
    </row>
    <row r="760" spans="1:27" ht="14.25" x14ac:dyDescent="0.2">
      <c r="A760" s="11">
        <v>11027</v>
      </c>
      <c r="B760" t="s">
        <v>122</v>
      </c>
      <c r="C760" t="s">
        <v>121</v>
      </c>
      <c r="D760" t="s">
        <v>121</v>
      </c>
      <c r="E760" t="s">
        <v>121</v>
      </c>
      <c r="F760" s="6" t="s">
        <v>1262</v>
      </c>
      <c r="H760">
        <v>2</v>
      </c>
      <c r="I760" s="1">
        <v>0</v>
      </c>
      <c r="J760">
        <v>0</v>
      </c>
      <c r="K760">
        <v>0</v>
      </c>
      <c r="L760" s="20">
        <v>14280</v>
      </c>
      <c r="M760">
        <v>1</v>
      </c>
      <c r="N760">
        <v>0</v>
      </c>
      <c r="O760">
        <v>0</v>
      </c>
      <c r="P760">
        <v>0</v>
      </c>
      <c r="Q760" s="22">
        <v>42600</v>
      </c>
      <c r="R760">
        <v>3</v>
      </c>
      <c r="S760" s="1">
        <v>0</v>
      </c>
      <c r="T760">
        <v>0</v>
      </c>
      <c r="U760">
        <v>0</v>
      </c>
      <c r="V760" s="21">
        <v>21300</v>
      </c>
      <c r="W760">
        <v>4</v>
      </c>
      <c r="X760">
        <v>0</v>
      </c>
      <c r="Y760">
        <v>0</v>
      </c>
      <c r="Z760">
        <v>0</v>
      </c>
      <c r="AA760">
        <v>10</v>
      </c>
    </row>
    <row r="761" spans="1:27" ht="14.25" x14ac:dyDescent="0.2">
      <c r="A761" s="11">
        <v>11028</v>
      </c>
      <c r="B761" t="s">
        <v>178</v>
      </c>
      <c r="C761" t="s">
        <v>121</v>
      </c>
      <c r="D761" t="s">
        <v>121</v>
      </c>
      <c r="E761" t="s">
        <v>121</v>
      </c>
      <c r="F761" s="6" t="s">
        <v>1264</v>
      </c>
      <c r="H761">
        <v>2</v>
      </c>
      <c r="I761" s="1">
        <v>0</v>
      </c>
      <c r="J761">
        <v>0</v>
      </c>
      <c r="K761">
        <v>0</v>
      </c>
      <c r="L761" s="20">
        <v>14280</v>
      </c>
      <c r="M761">
        <v>1</v>
      </c>
      <c r="N761">
        <v>0</v>
      </c>
      <c r="O761">
        <v>0</v>
      </c>
      <c r="P761">
        <v>0</v>
      </c>
      <c r="Q761" s="22">
        <v>42840</v>
      </c>
      <c r="R761">
        <v>3</v>
      </c>
      <c r="S761" s="1">
        <v>0</v>
      </c>
      <c r="T761">
        <v>0</v>
      </c>
      <c r="U761">
        <v>0</v>
      </c>
      <c r="V761" s="21">
        <v>21420</v>
      </c>
      <c r="W761">
        <v>21</v>
      </c>
      <c r="X761">
        <v>0</v>
      </c>
      <c r="Y761">
        <v>0</v>
      </c>
      <c r="Z761">
        <v>0</v>
      </c>
      <c r="AA761">
        <v>1</v>
      </c>
    </row>
    <row r="762" spans="1:27" ht="14.25" x14ac:dyDescent="0.2">
      <c r="A762" s="11">
        <v>11029</v>
      </c>
      <c r="B762" t="s">
        <v>130</v>
      </c>
      <c r="C762" t="s">
        <v>121</v>
      </c>
      <c r="D762" t="s">
        <v>121</v>
      </c>
      <c r="E762" t="s">
        <v>121</v>
      </c>
      <c r="F762" s="6" t="s">
        <v>1266</v>
      </c>
      <c r="H762">
        <v>2</v>
      </c>
      <c r="I762" s="1">
        <v>0</v>
      </c>
      <c r="J762">
        <v>0</v>
      </c>
      <c r="K762">
        <v>0</v>
      </c>
      <c r="L762" s="20">
        <v>14280</v>
      </c>
      <c r="M762">
        <v>1</v>
      </c>
      <c r="N762">
        <v>0</v>
      </c>
      <c r="O762">
        <v>0</v>
      </c>
      <c r="P762">
        <v>0</v>
      </c>
      <c r="Q762" s="22">
        <v>42840</v>
      </c>
      <c r="R762">
        <v>3</v>
      </c>
      <c r="S762" s="1">
        <v>0</v>
      </c>
      <c r="T762">
        <v>0</v>
      </c>
      <c r="U762">
        <v>0</v>
      </c>
      <c r="V762" s="21">
        <v>21420</v>
      </c>
      <c r="W762">
        <v>9</v>
      </c>
      <c r="X762">
        <v>0</v>
      </c>
      <c r="Y762">
        <v>0</v>
      </c>
      <c r="Z762">
        <v>0</v>
      </c>
      <c r="AA762">
        <v>10</v>
      </c>
    </row>
    <row r="763" spans="1:27" ht="14.25" x14ac:dyDescent="0.2">
      <c r="A763" s="11">
        <v>11030</v>
      </c>
      <c r="B763" t="s">
        <v>123</v>
      </c>
      <c r="C763" t="s">
        <v>121</v>
      </c>
      <c r="D763" t="s">
        <v>121</v>
      </c>
      <c r="E763" t="s">
        <v>121</v>
      </c>
      <c r="F763" s="6" t="s">
        <v>1266</v>
      </c>
      <c r="H763">
        <v>2</v>
      </c>
      <c r="I763" s="1">
        <v>0</v>
      </c>
      <c r="J763">
        <v>0</v>
      </c>
      <c r="K763">
        <v>0</v>
      </c>
      <c r="L763" s="20">
        <v>14280</v>
      </c>
      <c r="M763">
        <v>1</v>
      </c>
      <c r="N763">
        <v>0</v>
      </c>
      <c r="O763">
        <v>0</v>
      </c>
      <c r="P763">
        <v>0</v>
      </c>
      <c r="Q763" s="22">
        <v>42840</v>
      </c>
      <c r="R763">
        <v>3</v>
      </c>
      <c r="S763" s="1">
        <v>0</v>
      </c>
      <c r="T763">
        <v>0</v>
      </c>
      <c r="U763">
        <v>0</v>
      </c>
      <c r="V763" s="21">
        <v>21420</v>
      </c>
      <c r="W763">
        <v>12</v>
      </c>
      <c r="X763">
        <v>0</v>
      </c>
      <c r="Y763">
        <v>0</v>
      </c>
      <c r="Z763">
        <v>0</v>
      </c>
      <c r="AA763">
        <v>10</v>
      </c>
    </row>
    <row r="764" spans="1:27" ht="14.25" x14ac:dyDescent="0.2">
      <c r="A764" s="11">
        <v>11031</v>
      </c>
      <c r="B764" t="s">
        <v>126</v>
      </c>
      <c r="C764" t="s">
        <v>121</v>
      </c>
      <c r="D764" t="s">
        <v>121</v>
      </c>
      <c r="E764" t="s">
        <v>121</v>
      </c>
      <c r="F764" s="6" t="s">
        <v>1268</v>
      </c>
      <c r="H764">
        <v>2</v>
      </c>
      <c r="I764" s="1">
        <v>0</v>
      </c>
      <c r="J764">
        <v>0</v>
      </c>
      <c r="K764">
        <v>0</v>
      </c>
      <c r="L764" s="20">
        <v>14360</v>
      </c>
      <c r="M764">
        <v>1</v>
      </c>
      <c r="N764">
        <v>0</v>
      </c>
      <c r="O764">
        <v>0</v>
      </c>
      <c r="P764">
        <v>0</v>
      </c>
      <c r="Q764" s="22">
        <v>42840</v>
      </c>
      <c r="R764">
        <v>3</v>
      </c>
      <c r="S764" s="1">
        <v>0</v>
      </c>
      <c r="T764">
        <v>0</v>
      </c>
      <c r="U764">
        <v>0</v>
      </c>
      <c r="V764" s="21">
        <v>21420</v>
      </c>
      <c r="W764">
        <v>23</v>
      </c>
      <c r="X764">
        <v>0</v>
      </c>
      <c r="Y764">
        <v>0</v>
      </c>
      <c r="Z764">
        <v>0</v>
      </c>
      <c r="AA764">
        <v>1</v>
      </c>
    </row>
    <row r="765" spans="1:27" ht="14.25" x14ac:dyDescent="0.2">
      <c r="A765" s="11">
        <v>11032</v>
      </c>
      <c r="B765" t="s">
        <v>131</v>
      </c>
      <c r="C765" t="s">
        <v>125</v>
      </c>
      <c r="D765" t="s">
        <v>121</v>
      </c>
      <c r="E765" t="s">
        <v>136</v>
      </c>
      <c r="F765" s="6" t="s">
        <v>1270</v>
      </c>
      <c r="H765">
        <v>2</v>
      </c>
      <c r="I765" s="1">
        <v>0</v>
      </c>
      <c r="J765">
        <v>0</v>
      </c>
      <c r="K765">
        <v>0</v>
      </c>
      <c r="L765" s="20">
        <v>14360</v>
      </c>
      <c r="M765">
        <v>1</v>
      </c>
      <c r="N765">
        <v>0</v>
      </c>
      <c r="O765">
        <v>0</v>
      </c>
      <c r="P765">
        <v>0</v>
      </c>
      <c r="Q765" s="22">
        <v>42840</v>
      </c>
      <c r="R765">
        <v>3</v>
      </c>
      <c r="S765" s="1">
        <v>0</v>
      </c>
      <c r="T765">
        <v>0</v>
      </c>
      <c r="U765">
        <v>0</v>
      </c>
      <c r="V765" s="21">
        <v>21420</v>
      </c>
      <c r="W765">
        <v>6</v>
      </c>
      <c r="X765">
        <v>1</v>
      </c>
      <c r="Y765">
        <v>0</v>
      </c>
      <c r="Z765">
        <v>3</v>
      </c>
      <c r="AA765">
        <v>10</v>
      </c>
    </row>
    <row r="766" spans="1:27" ht="14.25" x14ac:dyDescent="0.2">
      <c r="A766" s="11">
        <v>11033</v>
      </c>
      <c r="B766" t="s">
        <v>180</v>
      </c>
      <c r="C766" t="s">
        <v>121</v>
      </c>
      <c r="D766" t="s">
        <v>121</v>
      </c>
      <c r="E766" t="s">
        <v>121</v>
      </c>
      <c r="F766" s="6" t="s">
        <v>1272</v>
      </c>
      <c r="H766">
        <v>2</v>
      </c>
      <c r="I766" s="1">
        <v>0</v>
      </c>
      <c r="J766">
        <v>0</v>
      </c>
      <c r="K766">
        <v>0</v>
      </c>
      <c r="L766" s="20">
        <v>14360</v>
      </c>
      <c r="M766">
        <v>1</v>
      </c>
      <c r="N766">
        <v>0</v>
      </c>
      <c r="O766">
        <v>0</v>
      </c>
      <c r="P766">
        <v>0</v>
      </c>
      <c r="Q766" s="22">
        <v>43080</v>
      </c>
      <c r="R766">
        <v>3</v>
      </c>
      <c r="S766" s="1">
        <v>0</v>
      </c>
      <c r="T766">
        <v>0</v>
      </c>
      <c r="U766">
        <v>0</v>
      </c>
      <c r="V766" s="21">
        <v>21540</v>
      </c>
      <c r="W766">
        <v>15</v>
      </c>
      <c r="X766">
        <v>0</v>
      </c>
      <c r="Y766">
        <v>0</v>
      </c>
      <c r="Z766">
        <v>0</v>
      </c>
      <c r="AA766">
        <v>1</v>
      </c>
    </row>
    <row r="767" spans="1:27" ht="14.25" x14ac:dyDescent="0.2">
      <c r="A767" s="11">
        <v>11034</v>
      </c>
      <c r="B767" t="s">
        <v>178</v>
      </c>
      <c r="C767" t="s">
        <v>121</v>
      </c>
      <c r="D767" t="s">
        <v>121</v>
      </c>
      <c r="E767" t="s">
        <v>121</v>
      </c>
      <c r="F767" s="6" t="s">
        <v>1272</v>
      </c>
      <c r="H767">
        <v>2</v>
      </c>
      <c r="I767" s="1">
        <v>0</v>
      </c>
      <c r="J767">
        <v>0</v>
      </c>
      <c r="K767">
        <v>0</v>
      </c>
      <c r="L767" s="20">
        <v>14360</v>
      </c>
      <c r="M767">
        <v>1</v>
      </c>
      <c r="N767">
        <v>0</v>
      </c>
      <c r="O767">
        <v>0</v>
      </c>
      <c r="P767">
        <v>0</v>
      </c>
      <c r="Q767" s="22">
        <v>43080</v>
      </c>
      <c r="R767">
        <v>3</v>
      </c>
      <c r="S767" s="1">
        <v>0</v>
      </c>
      <c r="T767">
        <v>0</v>
      </c>
      <c r="U767">
        <v>0</v>
      </c>
      <c r="V767" s="21">
        <v>21540</v>
      </c>
      <c r="W767">
        <v>21</v>
      </c>
      <c r="X767">
        <v>0</v>
      </c>
      <c r="Y767">
        <v>0</v>
      </c>
      <c r="Z767">
        <v>0</v>
      </c>
      <c r="AA767">
        <v>1</v>
      </c>
    </row>
    <row r="768" spans="1:27" ht="14.25" x14ac:dyDescent="0.2">
      <c r="A768" s="11">
        <v>11035</v>
      </c>
      <c r="B768" t="s">
        <v>130</v>
      </c>
      <c r="C768" t="s">
        <v>121</v>
      </c>
      <c r="D768" t="s">
        <v>121</v>
      </c>
      <c r="E768" t="s">
        <v>121</v>
      </c>
      <c r="F768" s="6" t="s">
        <v>1274</v>
      </c>
      <c r="H768">
        <v>2</v>
      </c>
      <c r="I768" s="1">
        <v>0</v>
      </c>
      <c r="J768">
        <v>0</v>
      </c>
      <c r="K768">
        <v>0</v>
      </c>
      <c r="L768" s="20">
        <v>14360</v>
      </c>
      <c r="M768">
        <v>1</v>
      </c>
      <c r="N768">
        <v>0</v>
      </c>
      <c r="O768">
        <v>0</v>
      </c>
      <c r="P768">
        <v>0</v>
      </c>
      <c r="Q768" s="22">
        <v>43080</v>
      </c>
      <c r="R768">
        <v>3</v>
      </c>
      <c r="S768" s="1">
        <v>0</v>
      </c>
      <c r="T768">
        <v>0</v>
      </c>
      <c r="U768">
        <v>0</v>
      </c>
      <c r="V768" s="21">
        <v>21540</v>
      </c>
      <c r="W768">
        <v>9</v>
      </c>
      <c r="X768">
        <v>0</v>
      </c>
      <c r="Y768">
        <v>0</v>
      </c>
      <c r="Z768">
        <v>0</v>
      </c>
      <c r="AA768">
        <v>10</v>
      </c>
    </row>
    <row r="769" spans="1:27" ht="14.25" x14ac:dyDescent="0.2">
      <c r="A769" s="11">
        <v>11036</v>
      </c>
      <c r="B769" t="s">
        <v>181</v>
      </c>
      <c r="C769" t="s">
        <v>121</v>
      </c>
      <c r="D769" t="s">
        <v>121</v>
      </c>
      <c r="E769" t="s">
        <v>121</v>
      </c>
      <c r="F769" s="6" t="s">
        <v>1276</v>
      </c>
      <c r="H769">
        <v>2</v>
      </c>
      <c r="I769" s="1">
        <v>0</v>
      </c>
      <c r="J769">
        <v>0</v>
      </c>
      <c r="K769">
        <v>0</v>
      </c>
      <c r="L769" s="20">
        <v>14440</v>
      </c>
      <c r="M769">
        <v>1</v>
      </c>
      <c r="N769">
        <v>0</v>
      </c>
      <c r="O769">
        <v>0</v>
      </c>
      <c r="P769">
        <v>0</v>
      </c>
      <c r="Q769" s="22">
        <v>43080</v>
      </c>
      <c r="R769">
        <v>3</v>
      </c>
      <c r="S769" s="1">
        <v>0</v>
      </c>
      <c r="T769">
        <v>0</v>
      </c>
      <c r="U769">
        <v>0</v>
      </c>
      <c r="V769" s="21">
        <v>21540</v>
      </c>
      <c r="W769">
        <v>30</v>
      </c>
      <c r="X769">
        <v>0</v>
      </c>
      <c r="Y769">
        <v>0</v>
      </c>
      <c r="Z769">
        <v>0</v>
      </c>
      <c r="AA769">
        <v>10</v>
      </c>
    </row>
    <row r="770" spans="1:27" ht="14.25" x14ac:dyDescent="0.2">
      <c r="A770" s="11">
        <v>11037</v>
      </c>
      <c r="B770" t="s">
        <v>122</v>
      </c>
      <c r="C770" t="s">
        <v>121</v>
      </c>
      <c r="D770" t="s">
        <v>121</v>
      </c>
      <c r="E770" t="s">
        <v>121</v>
      </c>
      <c r="F770" s="6" t="s">
        <v>1276</v>
      </c>
      <c r="H770">
        <v>2</v>
      </c>
      <c r="I770" s="1">
        <v>0</v>
      </c>
      <c r="J770">
        <v>0</v>
      </c>
      <c r="K770">
        <v>0</v>
      </c>
      <c r="L770" s="20">
        <v>14440</v>
      </c>
      <c r="M770">
        <v>1</v>
      </c>
      <c r="N770">
        <v>0</v>
      </c>
      <c r="O770">
        <v>0</v>
      </c>
      <c r="P770">
        <v>0</v>
      </c>
      <c r="Q770" s="22">
        <v>43080</v>
      </c>
      <c r="R770">
        <v>3</v>
      </c>
      <c r="S770" s="1">
        <v>0</v>
      </c>
      <c r="T770">
        <v>0</v>
      </c>
      <c r="U770">
        <v>0</v>
      </c>
      <c r="V770" s="21">
        <v>21540</v>
      </c>
      <c r="W770">
        <v>4</v>
      </c>
      <c r="X770">
        <v>0</v>
      </c>
      <c r="Y770">
        <v>0</v>
      </c>
      <c r="Z770">
        <v>0</v>
      </c>
      <c r="AA770">
        <v>10</v>
      </c>
    </row>
    <row r="771" spans="1:27" ht="14.25" x14ac:dyDescent="0.2">
      <c r="A771" s="11">
        <v>11038</v>
      </c>
      <c r="B771" t="s">
        <v>178</v>
      </c>
      <c r="C771" t="s">
        <v>121</v>
      </c>
      <c r="D771" t="s">
        <v>121</v>
      </c>
      <c r="E771" t="s">
        <v>121</v>
      </c>
      <c r="F771" s="6" t="s">
        <v>1278</v>
      </c>
      <c r="H771">
        <v>2</v>
      </c>
      <c r="I771" s="1">
        <v>0</v>
      </c>
      <c r="J771">
        <v>0</v>
      </c>
      <c r="K771">
        <v>0</v>
      </c>
      <c r="L771" s="20">
        <v>14440</v>
      </c>
      <c r="M771">
        <v>1</v>
      </c>
      <c r="N771">
        <v>0</v>
      </c>
      <c r="O771">
        <v>0</v>
      </c>
      <c r="P771">
        <v>0</v>
      </c>
      <c r="Q771" s="22">
        <v>43320</v>
      </c>
      <c r="R771">
        <v>3</v>
      </c>
      <c r="S771" s="1">
        <v>0</v>
      </c>
      <c r="T771">
        <v>0</v>
      </c>
      <c r="U771">
        <v>0</v>
      </c>
      <c r="V771" s="21">
        <v>21660</v>
      </c>
      <c r="W771">
        <v>21</v>
      </c>
      <c r="X771">
        <v>0</v>
      </c>
      <c r="Y771">
        <v>0</v>
      </c>
      <c r="Z771">
        <v>0</v>
      </c>
      <c r="AA771">
        <v>1</v>
      </c>
    </row>
    <row r="772" spans="1:27" ht="14.25" x14ac:dyDescent="0.2">
      <c r="A772" s="11">
        <v>11039</v>
      </c>
      <c r="B772" t="s">
        <v>130</v>
      </c>
      <c r="C772" t="s">
        <v>121</v>
      </c>
      <c r="D772" t="s">
        <v>121</v>
      </c>
      <c r="E772" t="s">
        <v>121</v>
      </c>
      <c r="F772" s="6" t="s">
        <v>1280</v>
      </c>
      <c r="H772">
        <v>2</v>
      </c>
      <c r="I772" s="1">
        <v>0</v>
      </c>
      <c r="J772">
        <v>0</v>
      </c>
      <c r="K772">
        <v>0</v>
      </c>
      <c r="L772" s="20">
        <v>14440</v>
      </c>
      <c r="M772">
        <v>1</v>
      </c>
      <c r="N772">
        <v>0</v>
      </c>
      <c r="O772">
        <v>0</v>
      </c>
      <c r="P772">
        <v>0</v>
      </c>
      <c r="Q772" s="22">
        <v>43320</v>
      </c>
      <c r="R772">
        <v>3</v>
      </c>
      <c r="S772" s="1">
        <v>0</v>
      </c>
      <c r="T772">
        <v>0</v>
      </c>
      <c r="U772">
        <v>0</v>
      </c>
      <c r="V772" s="21">
        <v>21660</v>
      </c>
      <c r="W772">
        <v>9</v>
      </c>
      <c r="X772">
        <v>0</v>
      </c>
      <c r="Y772">
        <v>0</v>
      </c>
      <c r="Z772">
        <v>0</v>
      </c>
      <c r="AA772">
        <v>10</v>
      </c>
    </row>
    <row r="773" spans="1:27" ht="14.25" x14ac:dyDescent="0.2">
      <c r="A773" s="11">
        <v>11040</v>
      </c>
      <c r="B773" t="s">
        <v>123</v>
      </c>
      <c r="C773" t="s">
        <v>121</v>
      </c>
      <c r="D773" t="s">
        <v>121</v>
      </c>
      <c r="E773" t="s">
        <v>121</v>
      </c>
      <c r="F773" s="6" t="s">
        <v>1280</v>
      </c>
      <c r="H773">
        <v>2</v>
      </c>
      <c r="I773" s="1">
        <v>0</v>
      </c>
      <c r="J773">
        <v>0</v>
      </c>
      <c r="K773">
        <v>0</v>
      </c>
      <c r="L773" s="20">
        <v>14440</v>
      </c>
      <c r="M773">
        <v>1</v>
      </c>
      <c r="N773">
        <v>0</v>
      </c>
      <c r="O773">
        <v>0</v>
      </c>
      <c r="P773">
        <v>0</v>
      </c>
      <c r="Q773" s="22">
        <v>43320</v>
      </c>
      <c r="R773">
        <v>3</v>
      </c>
      <c r="S773" s="1">
        <v>0</v>
      </c>
      <c r="T773">
        <v>0</v>
      </c>
      <c r="U773">
        <v>0</v>
      </c>
      <c r="V773" s="21">
        <v>21660</v>
      </c>
      <c r="W773">
        <v>12</v>
      </c>
      <c r="X773">
        <v>0</v>
      </c>
      <c r="Y773">
        <v>0</v>
      </c>
      <c r="Z773">
        <v>0</v>
      </c>
      <c r="AA773">
        <v>10</v>
      </c>
    </row>
    <row r="774" spans="1:27" ht="14.25" x14ac:dyDescent="0.2">
      <c r="A774" s="11">
        <v>11041</v>
      </c>
      <c r="B774" t="s">
        <v>126</v>
      </c>
      <c r="C774" t="s">
        <v>121</v>
      </c>
      <c r="D774" t="s">
        <v>121</v>
      </c>
      <c r="E774" t="s">
        <v>121</v>
      </c>
      <c r="F774" s="6" t="s">
        <v>1282</v>
      </c>
      <c r="H774">
        <v>2</v>
      </c>
      <c r="I774" s="1">
        <v>0</v>
      </c>
      <c r="J774">
        <v>0</v>
      </c>
      <c r="K774">
        <v>0</v>
      </c>
      <c r="L774" s="20">
        <v>14520</v>
      </c>
      <c r="M774">
        <v>1</v>
      </c>
      <c r="N774">
        <v>0</v>
      </c>
      <c r="O774">
        <v>0</v>
      </c>
      <c r="P774">
        <v>0</v>
      </c>
      <c r="Q774" s="22">
        <v>43320</v>
      </c>
      <c r="R774">
        <v>3</v>
      </c>
      <c r="S774" s="1">
        <v>0</v>
      </c>
      <c r="T774">
        <v>0</v>
      </c>
      <c r="U774">
        <v>0</v>
      </c>
      <c r="V774" s="21">
        <v>21660</v>
      </c>
      <c r="W774">
        <v>23</v>
      </c>
      <c r="X774">
        <v>0</v>
      </c>
      <c r="Y774">
        <v>0</v>
      </c>
      <c r="Z774">
        <v>0</v>
      </c>
      <c r="AA774">
        <v>1</v>
      </c>
    </row>
    <row r="775" spans="1:27" ht="14.25" x14ac:dyDescent="0.2">
      <c r="A775" s="11">
        <v>11042</v>
      </c>
      <c r="B775" t="s">
        <v>131</v>
      </c>
      <c r="C775" t="s">
        <v>125</v>
      </c>
      <c r="D775" t="s">
        <v>121</v>
      </c>
      <c r="E775" t="s">
        <v>136</v>
      </c>
      <c r="F775" s="6" t="s">
        <v>1284</v>
      </c>
      <c r="H775">
        <v>2</v>
      </c>
      <c r="I775" s="1">
        <v>0</v>
      </c>
      <c r="J775">
        <v>0</v>
      </c>
      <c r="K775">
        <v>0</v>
      </c>
      <c r="L775" s="20">
        <v>14520</v>
      </c>
      <c r="M775">
        <v>1</v>
      </c>
      <c r="N775">
        <v>0</v>
      </c>
      <c r="O775">
        <v>0</v>
      </c>
      <c r="P775">
        <v>0</v>
      </c>
      <c r="Q775" s="22">
        <v>43320</v>
      </c>
      <c r="R775">
        <v>3</v>
      </c>
      <c r="S775" s="1">
        <v>0</v>
      </c>
      <c r="T775">
        <v>0</v>
      </c>
      <c r="U775">
        <v>0</v>
      </c>
      <c r="V775" s="21">
        <v>21660</v>
      </c>
      <c r="W775">
        <v>6</v>
      </c>
      <c r="X775">
        <v>1</v>
      </c>
      <c r="Y775">
        <v>0</v>
      </c>
      <c r="Z775">
        <v>3</v>
      </c>
      <c r="AA775">
        <v>10</v>
      </c>
    </row>
    <row r="776" spans="1:27" ht="14.25" x14ac:dyDescent="0.2">
      <c r="A776" s="11">
        <v>11043</v>
      </c>
      <c r="B776" t="s">
        <v>180</v>
      </c>
      <c r="C776" t="s">
        <v>121</v>
      </c>
      <c r="D776" t="s">
        <v>121</v>
      </c>
      <c r="E776" t="s">
        <v>121</v>
      </c>
      <c r="F776" s="6" t="s">
        <v>1286</v>
      </c>
      <c r="H776">
        <v>2</v>
      </c>
      <c r="I776" s="1">
        <v>0</v>
      </c>
      <c r="J776">
        <v>0</v>
      </c>
      <c r="K776">
        <v>0</v>
      </c>
      <c r="L776" s="20">
        <v>14520</v>
      </c>
      <c r="M776">
        <v>1</v>
      </c>
      <c r="N776">
        <v>0</v>
      </c>
      <c r="O776">
        <v>0</v>
      </c>
      <c r="P776">
        <v>0</v>
      </c>
      <c r="Q776" s="22">
        <v>43560</v>
      </c>
      <c r="R776">
        <v>3</v>
      </c>
      <c r="S776" s="1">
        <v>0</v>
      </c>
      <c r="T776">
        <v>0</v>
      </c>
      <c r="U776">
        <v>0</v>
      </c>
      <c r="V776" s="21">
        <v>21780</v>
      </c>
      <c r="W776">
        <v>15</v>
      </c>
      <c r="X776">
        <v>0</v>
      </c>
      <c r="Y776">
        <v>0</v>
      </c>
      <c r="Z776">
        <v>0</v>
      </c>
      <c r="AA776">
        <v>1</v>
      </c>
    </row>
    <row r="777" spans="1:27" ht="14.25" x14ac:dyDescent="0.2">
      <c r="A777" s="11">
        <v>11044</v>
      </c>
      <c r="B777" t="s">
        <v>178</v>
      </c>
      <c r="C777" t="s">
        <v>121</v>
      </c>
      <c r="D777" t="s">
        <v>121</v>
      </c>
      <c r="E777" t="s">
        <v>121</v>
      </c>
      <c r="F777" s="6" t="s">
        <v>1286</v>
      </c>
      <c r="H777">
        <v>2</v>
      </c>
      <c r="I777" s="1">
        <v>0</v>
      </c>
      <c r="J777">
        <v>0</v>
      </c>
      <c r="K777">
        <v>0</v>
      </c>
      <c r="L777" s="20">
        <v>14520</v>
      </c>
      <c r="M777">
        <v>1</v>
      </c>
      <c r="N777">
        <v>0</v>
      </c>
      <c r="O777">
        <v>0</v>
      </c>
      <c r="P777">
        <v>0</v>
      </c>
      <c r="Q777" s="22">
        <v>43560</v>
      </c>
      <c r="R777">
        <v>3</v>
      </c>
      <c r="S777" s="1">
        <v>0</v>
      </c>
      <c r="T777">
        <v>0</v>
      </c>
      <c r="U777">
        <v>0</v>
      </c>
      <c r="V777" s="21">
        <v>21780</v>
      </c>
      <c r="W777">
        <v>21</v>
      </c>
      <c r="X777">
        <v>0</v>
      </c>
      <c r="Y777">
        <v>0</v>
      </c>
      <c r="Z777">
        <v>0</v>
      </c>
      <c r="AA777">
        <v>1</v>
      </c>
    </row>
    <row r="778" spans="1:27" ht="14.25" x14ac:dyDescent="0.2">
      <c r="A778" s="11">
        <v>11045</v>
      </c>
      <c r="B778" t="s">
        <v>130</v>
      </c>
      <c r="C778" t="s">
        <v>121</v>
      </c>
      <c r="D778" t="s">
        <v>121</v>
      </c>
      <c r="E778" t="s">
        <v>121</v>
      </c>
      <c r="F778" s="6" t="s">
        <v>1288</v>
      </c>
      <c r="H778">
        <v>2</v>
      </c>
      <c r="I778" s="1">
        <v>0</v>
      </c>
      <c r="J778">
        <v>0</v>
      </c>
      <c r="K778">
        <v>0</v>
      </c>
      <c r="L778" s="20">
        <v>14520</v>
      </c>
      <c r="M778">
        <v>1</v>
      </c>
      <c r="N778">
        <v>0</v>
      </c>
      <c r="O778">
        <v>0</v>
      </c>
      <c r="P778">
        <v>0</v>
      </c>
      <c r="Q778" s="22">
        <v>43560</v>
      </c>
      <c r="R778">
        <v>3</v>
      </c>
      <c r="S778" s="1">
        <v>0</v>
      </c>
      <c r="T778">
        <v>0</v>
      </c>
      <c r="U778">
        <v>0</v>
      </c>
      <c r="V778" s="21">
        <v>21780</v>
      </c>
      <c r="W778">
        <v>9</v>
      </c>
      <c r="X778">
        <v>0</v>
      </c>
      <c r="Y778">
        <v>0</v>
      </c>
      <c r="Z778">
        <v>0</v>
      </c>
      <c r="AA778">
        <v>10</v>
      </c>
    </row>
    <row r="779" spans="1:27" ht="14.25" x14ac:dyDescent="0.2">
      <c r="A779" s="11">
        <v>11046</v>
      </c>
      <c r="B779" t="s">
        <v>181</v>
      </c>
      <c r="C779" t="s">
        <v>121</v>
      </c>
      <c r="D779" t="s">
        <v>121</v>
      </c>
      <c r="E779" t="s">
        <v>121</v>
      </c>
      <c r="F779" s="6" t="s">
        <v>1290</v>
      </c>
      <c r="H779">
        <v>2</v>
      </c>
      <c r="I779" s="1">
        <v>0</v>
      </c>
      <c r="J779">
        <v>0</v>
      </c>
      <c r="K779">
        <v>0</v>
      </c>
      <c r="L779" s="20">
        <v>14600</v>
      </c>
      <c r="M779">
        <v>1</v>
      </c>
      <c r="N779">
        <v>0</v>
      </c>
      <c r="O779">
        <v>0</v>
      </c>
      <c r="P779">
        <v>0</v>
      </c>
      <c r="Q779" s="22">
        <v>43560</v>
      </c>
      <c r="R779">
        <v>3</v>
      </c>
      <c r="S779" s="1">
        <v>0</v>
      </c>
      <c r="T779">
        <v>0</v>
      </c>
      <c r="U779">
        <v>0</v>
      </c>
      <c r="V779" s="21">
        <v>21780</v>
      </c>
      <c r="W779">
        <v>30</v>
      </c>
      <c r="X779">
        <v>0</v>
      </c>
      <c r="Y779">
        <v>0</v>
      </c>
      <c r="Z779">
        <v>0</v>
      </c>
      <c r="AA779">
        <v>10</v>
      </c>
    </row>
    <row r="780" spans="1:27" ht="14.25" x14ac:dyDescent="0.2">
      <c r="A780" s="11">
        <v>11047</v>
      </c>
      <c r="B780" t="s">
        <v>122</v>
      </c>
      <c r="C780" t="s">
        <v>121</v>
      </c>
      <c r="D780" t="s">
        <v>121</v>
      </c>
      <c r="E780" t="s">
        <v>121</v>
      </c>
      <c r="F780" s="6" t="s">
        <v>1290</v>
      </c>
      <c r="H780">
        <v>2</v>
      </c>
      <c r="I780" s="1">
        <v>0</v>
      </c>
      <c r="J780">
        <v>0</v>
      </c>
      <c r="K780">
        <v>0</v>
      </c>
      <c r="L780" s="20">
        <v>14600</v>
      </c>
      <c r="M780">
        <v>1</v>
      </c>
      <c r="N780">
        <v>0</v>
      </c>
      <c r="O780">
        <v>0</v>
      </c>
      <c r="P780">
        <v>0</v>
      </c>
      <c r="Q780" s="22">
        <v>43560</v>
      </c>
      <c r="R780">
        <v>3</v>
      </c>
      <c r="S780" s="1">
        <v>0</v>
      </c>
      <c r="T780">
        <v>0</v>
      </c>
      <c r="U780">
        <v>0</v>
      </c>
      <c r="V780" s="21">
        <v>21780</v>
      </c>
      <c r="W780">
        <v>4</v>
      </c>
      <c r="X780">
        <v>0</v>
      </c>
      <c r="Y780">
        <v>0</v>
      </c>
      <c r="Z780">
        <v>0</v>
      </c>
      <c r="AA780">
        <v>10</v>
      </c>
    </row>
    <row r="781" spans="1:27" ht="14.25" x14ac:dyDescent="0.2">
      <c r="A781" s="11">
        <v>11048</v>
      </c>
      <c r="B781" t="s">
        <v>178</v>
      </c>
      <c r="C781" t="s">
        <v>121</v>
      </c>
      <c r="D781" t="s">
        <v>121</v>
      </c>
      <c r="E781" t="s">
        <v>121</v>
      </c>
      <c r="F781" s="6" t="s">
        <v>1292</v>
      </c>
      <c r="H781">
        <v>2</v>
      </c>
      <c r="I781" s="1">
        <v>0</v>
      </c>
      <c r="J781">
        <v>0</v>
      </c>
      <c r="K781">
        <v>0</v>
      </c>
      <c r="L781" s="20">
        <v>14600</v>
      </c>
      <c r="M781">
        <v>1</v>
      </c>
      <c r="N781">
        <v>0</v>
      </c>
      <c r="O781">
        <v>0</v>
      </c>
      <c r="P781">
        <v>0</v>
      </c>
      <c r="Q781" s="22">
        <v>43800</v>
      </c>
      <c r="R781">
        <v>3</v>
      </c>
      <c r="S781" s="1">
        <v>0</v>
      </c>
      <c r="T781">
        <v>0</v>
      </c>
      <c r="U781">
        <v>0</v>
      </c>
      <c r="V781" s="21">
        <v>21900</v>
      </c>
      <c r="W781">
        <v>21</v>
      </c>
      <c r="X781">
        <v>0</v>
      </c>
      <c r="Y781">
        <v>0</v>
      </c>
      <c r="Z781">
        <v>0</v>
      </c>
      <c r="AA781">
        <v>1</v>
      </c>
    </row>
    <row r="782" spans="1:27" ht="14.25" x14ac:dyDescent="0.2">
      <c r="A782" s="11">
        <v>11049</v>
      </c>
      <c r="B782" t="s">
        <v>130</v>
      </c>
      <c r="C782" t="s">
        <v>121</v>
      </c>
      <c r="D782" t="s">
        <v>121</v>
      </c>
      <c r="E782" t="s">
        <v>121</v>
      </c>
      <c r="F782" s="6" t="s">
        <v>1294</v>
      </c>
      <c r="H782">
        <v>2</v>
      </c>
      <c r="I782" s="1">
        <v>0</v>
      </c>
      <c r="J782">
        <v>0</v>
      </c>
      <c r="K782">
        <v>0</v>
      </c>
      <c r="L782" s="20">
        <v>14600</v>
      </c>
      <c r="M782">
        <v>1</v>
      </c>
      <c r="N782">
        <v>0</v>
      </c>
      <c r="O782">
        <v>0</v>
      </c>
      <c r="P782">
        <v>0</v>
      </c>
      <c r="Q782" s="22">
        <v>43800</v>
      </c>
      <c r="R782">
        <v>3</v>
      </c>
      <c r="S782" s="1">
        <v>0</v>
      </c>
      <c r="T782">
        <v>0</v>
      </c>
      <c r="U782">
        <v>0</v>
      </c>
      <c r="V782" s="21">
        <v>21900</v>
      </c>
      <c r="W782">
        <v>9</v>
      </c>
      <c r="X782">
        <v>0</v>
      </c>
      <c r="Y782">
        <v>0</v>
      </c>
      <c r="Z782">
        <v>0</v>
      </c>
      <c r="AA782">
        <v>10</v>
      </c>
    </row>
    <row r="783" spans="1:27" ht="14.25" x14ac:dyDescent="0.2">
      <c r="A783" s="11">
        <v>11050</v>
      </c>
      <c r="B783" t="s">
        <v>123</v>
      </c>
      <c r="C783" t="s">
        <v>121</v>
      </c>
      <c r="D783" t="s">
        <v>121</v>
      </c>
      <c r="E783" t="s">
        <v>121</v>
      </c>
      <c r="F783" s="6" t="s">
        <v>1294</v>
      </c>
      <c r="H783">
        <v>2</v>
      </c>
      <c r="I783" s="1">
        <v>0</v>
      </c>
      <c r="J783">
        <v>0</v>
      </c>
      <c r="K783">
        <v>0</v>
      </c>
      <c r="L783" s="20">
        <v>14600</v>
      </c>
      <c r="M783">
        <v>1</v>
      </c>
      <c r="N783">
        <v>0</v>
      </c>
      <c r="O783">
        <v>0</v>
      </c>
      <c r="P783">
        <v>0</v>
      </c>
      <c r="Q783" s="22">
        <v>43800</v>
      </c>
      <c r="R783">
        <v>3</v>
      </c>
      <c r="S783" s="1">
        <v>0</v>
      </c>
      <c r="T783">
        <v>0</v>
      </c>
      <c r="U783">
        <v>0</v>
      </c>
      <c r="V783" s="21">
        <v>21900</v>
      </c>
      <c r="W783">
        <v>12</v>
      </c>
      <c r="X783">
        <v>0</v>
      </c>
      <c r="Y783">
        <v>0</v>
      </c>
      <c r="Z783">
        <v>0</v>
      </c>
      <c r="AA783">
        <v>10</v>
      </c>
    </row>
    <row r="784" spans="1:27" ht="14.25" x14ac:dyDescent="0.2">
      <c r="A784" s="12">
        <v>20101</v>
      </c>
      <c r="B784" t="s">
        <v>126</v>
      </c>
      <c r="C784" t="s">
        <v>121</v>
      </c>
      <c r="D784" t="s">
        <v>121</v>
      </c>
      <c r="E784" t="s">
        <v>121</v>
      </c>
      <c r="F784" s="6" t="s">
        <v>1296</v>
      </c>
      <c r="H784">
        <v>2</v>
      </c>
      <c r="I784" s="1">
        <v>0</v>
      </c>
      <c r="J784">
        <v>0</v>
      </c>
      <c r="K784">
        <v>0</v>
      </c>
      <c r="L784" s="20">
        <v>14660</v>
      </c>
      <c r="M784">
        <v>1</v>
      </c>
      <c r="N784">
        <v>0</v>
      </c>
      <c r="O784">
        <v>0</v>
      </c>
      <c r="P784">
        <v>0</v>
      </c>
      <c r="Q784" s="22">
        <v>43800</v>
      </c>
      <c r="R784">
        <v>3</v>
      </c>
      <c r="S784" s="1">
        <v>0</v>
      </c>
      <c r="T784">
        <v>0</v>
      </c>
      <c r="U784">
        <v>0</v>
      </c>
      <c r="V784" s="21">
        <v>21900</v>
      </c>
      <c r="W784">
        <v>23</v>
      </c>
      <c r="X784">
        <v>0</v>
      </c>
      <c r="Y784">
        <v>0</v>
      </c>
      <c r="Z784">
        <v>0</v>
      </c>
      <c r="AA784">
        <v>1</v>
      </c>
    </row>
    <row r="785" spans="1:27" ht="14.25" x14ac:dyDescent="0.2">
      <c r="A785" s="12">
        <v>20102</v>
      </c>
      <c r="B785" t="s">
        <v>131</v>
      </c>
      <c r="C785" t="s">
        <v>125</v>
      </c>
      <c r="D785" t="s">
        <v>121</v>
      </c>
      <c r="E785" t="s">
        <v>136</v>
      </c>
      <c r="F785" s="6" t="s">
        <v>1298</v>
      </c>
      <c r="H785">
        <v>2</v>
      </c>
      <c r="I785" s="1">
        <v>0</v>
      </c>
      <c r="J785">
        <v>0</v>
      </c>
      <c r="K785">
        <v>0</v>
      </c>
      <c r="L785" s="20">
        <v>14660</v>
      </c>
      <c r="M785">
        <v>1</v>
      </c>
      <c r="N785">
        <v>0</v>
      </c>
      <c r="O785">
        <v>0</v>
      </c>
      <c r="P785">
        <v>0</v>
      </c>
      <c r="Q785" s="22">
        <v>43800</v>
      </c>
      <c r="R785">
        <v>3</v>
      </c>
      <c r="S785" s="1">
        <v>0</v>
      </c>
      <c r="T785">
        <v>0</v>
      </c>
      <c r="U785">
        <v>0</v>
      </c>
      <c r="V785" s="21">
        <v>21900</v>
      </c>
      <c r="W785">
        <v>6</v>
      </c>
      <c r="X785">
        <v>1</v>
      </c>
      <c r="Y785">
        <v>0</v>
      </c>
      <c r="Z785">
        <v>3</v>
      </c>
      <c r="AA785">
        <v>10</v>
      </c>
    </row>
    <row r="786" spans="1:27" ht="14.25" x14ac:dyDescent="0.2">
      <c r="A786" s="12">
        <v>20103</v>
      </c>
      <c r="B786" t="s">
        <v>180</v>
      </c>
      <c r="C786" t="s">
        <v>121</v>
      </c>
      <c r="D786" t="s">
        <v>121</v>
      </c>
      <c r="E786" t="s">
        <v>121</v>
      </c>
      <c r="F786" s="6" t="s">
        <v>1300</v>
      </c>
      <c r="H786">
        <v>2</v>
      </c>
      <c r="I786" s="1">
        <v>0</v>
      </c>
      <c r="J786">
        <v>0</v>
      </c>
      <c r="K786">
        <v>0</v>
      </c>
      <c r="L786" s="20">
        <v>14660</v>
      </c>
      <c r="M786">
        <v>1</v>
      </c>
      <c r="N786">
        <v>0</v>
      </c>
      <c r="O786">
        <v>0</v>
      </c>
      <c r="P786">
        <v>0</v>
      </c>
      <c r="Q786" s="22">
        <v>43980</v>
      </c>
      <c r="R786">
        <v>3</v>
      </c>
      <c r="S786" s="1">
        <v>0</v>
      </c>
      <c r="T786">
        <v>0</v>
      </c>
      <c r="U786">
        <v>0</v>
      </c>
      <c r="V786" s="21">
        <v>21990</v>
      </c>
      <c r="W786">
        <v>15</v>
      </c>
      <c r="X786">
        <v>0</v>
      </c>
      <c r="Y786">
        <v>0</v>
      </c>
      <c r="Z786">
        <v>0</v>
      </c>
      <c r="AA786">
        <v>1</v>
      </c>
    </row>
    <row r="787" spans="1:27" ht="14.25" x14ac:dyDescent="0.2">
      <c r="A787" s="12">
        <v>20104</v>
      </c>
      <c r="B787" t="s">
        <v>178</v>
      </c>
      <c r="C787" t="s">
        <v>121</v>
      </c>
      <c r="D787" t="s">
        <v>121</v>
      </c>
      <c r="E787" t="s">
        <v>121</v>
      </c>
      <c r="F787" s="6" t="s">
        <v>1300</v>
      </c>
      <c r="H787">
        <v>2</v>
      </c>
      <c r="I787" s="1">
        <v>0</v>
      </c>
      <c r="J787">
        <v>0</v>
      </c>
      <c r="K787">
        <v>0</v>
      </c>
      <c r="L787" s="20">
        <v>14660</v>
      </c>
      <c r="M787">
        <v>1</v>
      </c>
      <c r="N787">
        <v>0</v>
      </c>
      <c r="O787">
        <v>0</v>
      </c>
      <c r="P787">
        <v>0</v>
      </c>
      <c r="Q787" s="22">
        <v>43980</v>
      </c>
      <c r="R787">
        <v>3</v>
      </c>
      <c r="S787" s="1">
        <v>0</v>
      </c>
      <c r="T787">
        <v>0</v>
      </c>
      <c r="U787">
        <v>0</v>
      </c>
      <c r="V787" s="21">
        <v>21990</v>
      </c>
      <c r="W787">
        <v>21</v>
      </c>
      <c r="X787">
        <v>0</v>
      </c>
      <c r="Y787">
        <v>0</v>
      </c>
      <c r="Z787">
        <v>0</v>
      </c>
      <c r="AA787">
        <v>1</v>
      </c>
    </row>
    <row r="788" spans="1:27" ht="14.25" x14ac:dyDescent="0.2">
      <c r="A788" s="12">
        <v>20105</v>
      </c>
      <c r="B788" t="s">
        <v>130</v>
      </c>
      <c r="C788" t="s">
        <v>121</v>
      </c>
      <c r="D788" t="s">
        <v>121</v>
      </c>
      <c r="E788" t="s">
        <v>121</v>
      </c>
      <c r="F788" s="6" t="s">
        <v>1302</v>
      </c>
      <c r="H788">
        <v>2</v>
      </c>
      <c r="I788" s="1">
        <v>0</v>
      </c>
      <c r="J788">
        <v>0</v>
      </c>
      <c r="K788">
        <v>0</v>
      </c>
      <c r="L788" s="20">
        <v>14660</v>
      </c>
      <c r="M788">
        <v>1</v>
      </c>
      <c r="N788">
        <v>0</v>
      </c>
      <c r="O788">
        <v>0</v>
      </c>
      <c r="P788">
        <v>0</v>
      </c>
      <c r="Q788" s="22">
        <v>43980</v>
      </c>
      <c r="R788">
        <v>3</v>
      </c>
      <c r="S788" s="1">
        <v>0</v>
      </c>
      <c r="T788">
        <v>0</v>
      </c>
      <c r="U788">
        <v>0</v>
      </c>
      <c r="V788" s="21">
        <v>21990</v>
      </c>
      <c r="W788">
        <v>9</v>
      </c>
      <c r="X788">
        <v>0</v>
      </c>
      <c r="Y788">
        <v>0</v>
      </c>
      <c r="Z788">
        <v>0</v>
      </c>
      <c r="AA788">
        <v>10</v>
      </c>
    </row>
    <row r="789" spans="1:27" ht="14.25" x14ac:dyDescent="0.2">
      <c r="A789" s="12">
        <v>20106</v>
      </c>
      <c r="B789" t="s">
        <v>181</v>
      </c>
      <c r="C789" t="s">
        <v>121</v>
      </c>
      <c r="D789" t="s">
        <v>121</v>
      </c>
      <c r="E789" t="s">
        <v>121</v>
      </c>
      <c r="F789" s="6" t="s">
        <v>1304</v>
      </c>
      <c r="H789">
        <v>2</v>
      </c>
      <c r="I789" s="1">
        <v>0</v>
      </c>
      <c r="J789">
        <v>0</v>
      </c>
      <c r="K789">
        <v>0</v>
      </c>
      <c r="L789" s="20">
        <v>14720</v>
      </c>
      <c r="M789">
        <v>1</v>
      </c>
      <c r="N789">
        <v>0</v>
      </c>
      <c r="O789">
        <v>0</v>
      </c>
      <c r="P789">
        <v>0</v>
      </c>
      <c r="Q789" s="22">
        <v>43980</v>
      </c>
      <c r="R789">
        <v>3</v>
      </c>
      <c r="S789" s="1">
        <v>0</v>
      </c>
      <c r="T789">
        <v>0</v>
      </c>
      <c r="U789">
        <v>0</v>
      </c>
      <c r="V789" s="21">
        <v>21990</v>
      </c>
      <c r="W789">
        <v>30</v>
      </c>
      <c r="X789">
        <v>0</v>
      </c>
      <c r="Y789">
        <v>0</v>
      </c>
      <c r="Z789">
        <v>0</v>
      </c>
      <c r="AA789">
        <v>10</v>
      </c>
    </row>
    <row r="790" spans="1:27" ht="14.25" x14ac:dyDescent="0.2">
      <c r="A790" s="12">
        <v>20107</v>
      </c>
      <c r="B790" t="s">
        <v>122</v>
      </c>
      <c r="C790" t="s">
        <v>121</v>
      </c>
      <c r="D790" t="s">
        <v>121</v>
      </c>
      <c r="E790" t="s">
        <v>121</v>
      </c>
      <c r="F790" s="6" t="s">
        <v>1304</v>
      </c>
      <c r="H790">
        <v>2</v>
      </c>
      <c r="I790" s="1">
        <v>0</v>
      </c>
      <c r="J790">
        <v>0</v>
      </c>
      <c r="K790">
        <v>0</v>
      </c>
      <c r="L790" s="20">
        <v>14720</v>
      </c>
      <c r="M790">
        <v>1</v>
      </c>
      <c r="N790">
        <v>0</v>
      </c>
      <c r="O790">
        <v>0</v>
      </c>
      <c r="P790">
        <v>0</v>
      </c>
      <c r="Q790" s="22">
        <v>43980</v>
      </c>
      <c r="R790">
        <v>3</v>
      </c>
      <c r="S790" s="1">
        <v>0</v>
      </c>
      <c r="T790">
        <v>0</v>
      </c>
      <c r="U790">
        <v>0</v>
      </c>
      <c r="V790" s="21">
        <v>21990</v>
      </c>
      <c r="W790">
        <v>4</v>
      </c>
      <c r="X790">
        <v>0</v>
      </c>
      <c r="Y790">
        <v>0</v>
      </c>
      <c r="Z790">
        <v>0</v>
      </c>
      <c r="AA790">
        <v>10</v>
      </c>
    </row>
    <row r="791" spans="1:27" ht="14.25" x14ac:dyDescent="0.2">
      <c r="A791" s="12">
        <v>20108</v>
      </c>
      <c r="B791" t="s">
        <v>178</v>
      </c>
      <c r="C791" t="s">
        <v>121</v>
      </c>
      <c r="D791" t="s">
        <v>121</v>
      </c>
      <c r="E791" t="s">
        <v>121</v>
      </c>
      <c r="F791" s="6" t="s">
        <v>1306</v>
      </c>
      <c r="H791">
        <v>2</v>
      </c>
      <c r="I791" s="1">
        <v>0</v>
      </c>
      <c r="J791">
        <v>0</v>
      </c>
      <c r="K791">
        <v>0</v>
      </c>
      <c r="L791" s="20">
        <v>14720</v>
      </c>
      <c r="M791">
        <v>1</v>
      </c>
      <c r="N791">
        <v>0</v>
      </c>
      <c r="O791">
        <v>0</v>
      </c>
      <c r="P791">
        <v>0</v>
      </c>
      <c r="Q791" s="22">
        <v>44160</v>
      </c>
      <c r="R791">
        <v>3</v>
      </c>
      <c r="S791" s="1">
        <v>0</v>
      </c>
      <c r="T791">
        <v>0</v>
      </c>
      <c r="U791">
        <v>0</v>
      </c>
      <c r="V791" s="21">
        <v>22080</v>
      </c>
      <c r="W791">
        <v>21</v>
      </c>
      <c r="X791">
        <v>0</v>
      </c>
      <c r="Y791">
        <v>0</v>
      </c>
      <c r="Z791">
        <v>0</v>
      </c>
      <c r="AA791">
        <v>1</v>
      </c>
    </row>
    <row r="792" spans="1:27" ht="14.25" x14ac:dyDescent="0.2">
      <c r="A792" s="12">
        <v>20109</v>
      </c>
      <c r="B792" t="s">
        <v>130</v>
      </c>
      <c r="C792" t="s">
        <v>121</v>
      </c>
      <c r="D792" t="s">
        <v>121</v>
      </c>
      <c r="E792" t="s">
        <v>121</v>
      </c>
      <c r="F792" s="6" t="s">
        <v>1308</v>
      </c>
      <c r="H792">
        <v>2</v>
      </c>
      <c r="I792" s="1">
        <v>0</v>
      </c>
      <c r="J792">
        <v>0</v>
      </c>
      <c r="K792">
        <v>0</v>
      </c>
      <c r="L792" s="20">
        <v>14720</v>
      </c>
      <c r="M792">
        <v>1</v>
      </c>
      <c r="N792">
        <v>0</v>
      </c>
      <c r="O792">
        <v>0</v>
      </c>
      <c r="P792">
        <v>0</v>
      </c>
      <c r="Q792" s="22">
        <v>44160</v>
      </c>
      <c r="R792">
        <v>3</v>
      </c>
      <c r="S792" s="1">
        <v>0</v>
      </c>
      <c r="T792">
        <v>0</v>
      </c>
      <c r="U792">
        <v>0</v>
      </c>
      <c r="V792" s="21">
        <v>22080</v>
      </c>
      <c r="W792">
        <v>9</v>
      </c>
      <c r="X792">
        <v>0</v>
      </c>
      <c r="Y792">
        <v>0</v>
      </c>
      <c r="Z792">
        <v>0</v>
      </c>
      <c r="AA792">
        <v>10</v>
      </c>
    </row>
    <row r="793" spans="1:27" ht="14.25" x14ac:dyDescent="0.2">
      <c r="A793" s="12">
        <v>20110</v>
      </c>
      <c r="B793" t="s">
        <v>123</v>
      </c>
      <c r="C793" t="s">
        <v>121</v>
      </c>
      <c r="D793" t="s">
        <v>121</v>
      </c>
      <c r="E793" t="s">
        <v>121</v>
      </c>
      <c r="F793" s="6" t="s">
        <v>1308</v>
      </c>
      <c r="H793">
        <v>2</v>
      </c>
      <c r="I793" s="1">
        <v>0</v>
      </c>
      <c r="J793">
        <v>0</v>
      </c>
      <c r="K793">
        <v>0</v>
      </c>
      <c r="L793" s="20">
        <v>14720</v>
      </c>
      <c r="M793">
        <v>1</v>
      </c>
      <c r="N793">
        <v>0</v>
      </c>
      <c r="O793">
        <v>0</v>
      </c>
      <c r="P793">
        <v>0</v>
      </c>
      <c r="Q793" s="22">
        <v>44160</v>
      </c>
      <c r="R793">
        <v>3</v>
      </c>
      <c r="S793" s="1">
        <v>0</v>
      </c>
      <c r="T793">
        <v>0</v>
      </c>
      <c r="U793">
        <v>0</v>
      </c>
      <c r="V793" s="21">
        <v>22080</v>
      </c>
      <c r="W793">
        <v>12</v>
      </c>
      <c r="X793">
        <v>0</v>
      </c>
      <c r="Y793">
        <v>0</v>
      </c>
      <c r="Z793">
        <v>0</v>
      </c>
      <c r="AA793">
        <v>10</v>
      </c>
    </row>
    <row r="794" spans="1:27" ht="14.25" x14ac:dyDescent="0.2">
      <c r="A794" s="12">
        <v>20111</v>
      </c>
      <c r="B794" t="s">
        <v>126</v>
      </c>
      <c r="C794" t="s">
        <v>121</v>
      </c>
      <c r="D794" t="s">
        <v>121</v>
      </c>
      <c r="E794" t="s">
        <v>121</v>
      </c>
      <c r="F794" s="6" t="s">
        <v>1310</v>
      </c>
      <c r="H794">
        <v>2</v>
      </c>
      <c r="I794" s="1">
        <v>0</v>
      </c>
      <c r="J794">
        <v>0</v>
      </c>
      <c r="K794">
        <v>0</v>
      </c>
      <c r="L794" s="20">
        <v>14780</v>
      </c>
      <c r="M794">
        <v>1</v>
      </c>
      <c r="N794">
        <v>0</v>
      </c>
      <c r="O794">
        <v>0</v>
      </c>
      <c r="P794">
        <v>0</v>
      </c>
      <c r="Q794" s="22">
        <v>44160</v>
      </c>
      <c r="R794">
        <v>3</v>
      </c>
      <c r="S794" s="1">
        <v>0</v>
      </c>
      <c r="T794">
        <v>0</v>
      </c>
      <c r="U794">
        <v>0</v>
      </c>
      <c r="V794" s="21">
        <v>22080</v>
      </c>
      <c r="W794">
        <v>23</v>
      </c>
      <c r="X794">
        <v>0</v>
      </c>
      <c r="Y794">
        <v>0</v>
      </c>
      <c r="Z794">
        <v>0</v>
      </c>
      <c r="AA794">
        <v>1</v>
      </c>
    </row>
    <row r="795" spans="1:27" ht="14.25" x14ac:dyDescent="0.2">
      <c r="A795" s="12">
        <v>20112</v>
      </c>
      <c r="B795" t="s">
        <v>131</v>
      </c>
      <c r="C795" t="s">
        <v>125</v>
      </c>
      <c r="D795" t="s">
        <v>121</v>
      </c>
      <c r="E795" t="s">
        <v>136</v>
      </c>
      <c r="F795" s="6" t="s">
        <v>1312</v>
      </c>
      <c r="H795">
        <v>2</v>
      </c>
      <c r="I795" s="1">
        <v>0</v>
      </c>
      <c r="J795">
        <v>0</v>
      </c>
      <c r="K795">
        <v>0</v>
      </c>
      <c r="L795" s="20">
        <v>14780</v>
      </c>
      <c r="M795">
        <v>1</v>
      </c>
      <c r="N795">
        <v>0</v>
      </c>
      <c r="O795">
        <v>0</v>
      </c>
      <c r="P795">
        <v>0</v>
      </c>
      <c r="Q795" s="22">
        <v>44160</v>
      </c>
      <c r="R795">
        <v>3</v>
      </c>
      <c r="S795" s="1">
        <v>0</v>
      </c>
      <c r="T795">
        <v>0</v>
      </c>
      <c r="U795">
        <v>0</v>
      </c>
      <c r="V795" s="21">
        <v>22080</v>
      </c>
      <c r="W795">
        <v>6</v>
      </c>
      <c r="X795">
        <v>1</v>
      </c>
      <c r="Y795">
        <v>0</v>
      </c>
      <c r="Z795">
        <v>3</v>
      </c>
      <c r="AA795">
        <v>10</v>
      </c>
    </row>
    <row r="796" spans="1:27" ht="14.25" x14ac:dyDescent="0.2">
      <c r="A796" s="12">
        <v>20113</v>
      </c>
      <c r="B796" t="s">
        <v>180</v>
      </c>
      <c r="C796" t="s">
        <v>121</v>
      </c>
      <c r="D796" t="s">
        <v>121</v>
      </c>
      <c r="E796" t="s">
        <v>121</v>
      </c>
      <c r="F796" s="6" t="s">
        <v>1314</v>
      </c>
      <c r="H796">
        <v>2</v>
      </c>
      <c r="I796" s="1">
        <v>0</v>
      </c>
      <c r="J796">
        <v>0</v>
      </c>
      <c r="K796">
        <v>0</v>
      </c>
      <c r="L796" s="20">
        <v>14780</v>
      </c>
      <c r="M796">
        <v>1</v>
      </c>
      <c r="N796">
        <v>0</v>
      </c>
      <c r="O796">
        <v>0</v>
      </c>
      <c r="P796">
        <v>0</v>
      </c>
      <c r="Q796" s="22">
        <v>44340</v>
      </c>
      <c r="R796">
        <v>3</v>
      </c>
      <c r="S796" s="1">
        <v>0</v>
      </c>
      <c r="T796">
        <v>0</v>
      </c>
      <c r="U796">
        <v>0</v>
      </c>
      <c r="V796" s="21">
        <v>22170</v>
      </c>
      <c r="W796">
        <v>15</v>
      </c>
      <c r="X796">
        <v>0</v>
      </c>
      <c r="Y796">
        <v>0</v>
      </c>
      <c r="Z796">
        <v>0</v>
      </c>
      <c r="AA796">
        <v>1</v>
      </c>
    </row>
    <row r="797" spans="1:27" ht="14.25" x14ac:dyDescent="0.2">
      <c r="A797" s="12">
        <v>20114</v>
      </c>
      <c r="B797" t="s">
        <v>178</v>
      </c>
      <c r="C797" t="s">
        <v>121</v>
      </c>
      <c r="D797" t="s">
        <v>121</v>
      </c>
      <c r="E797" t="s">
        <v>121</v>
      </c>
      <c r="F797" s="6" t="s">
        <v>1314</v>
      </c>
      <c r="H797">
        <v>2</v>
      </c>
      <c r="I797" s="1">
        <v>0</v>
      </c>
      <c r="J797">
        <v>0</v>
      </c>
      <c r="K797">
        <v>0</v>
      </c>
      <c r="L797" s="20">
        <v>14780</v>
      </c>
      <c r="M797">
        <v>1</v>
      </c>
      <c r="N797">
        <v>0</v>
      </c>
      <c r="O797">
        <v>0</v>
      </c>
      <c r="P797">
        <v>0</v>
      </c>
      <c r="Q797" s="22">
        <v>44340</v>
      </c>
      <c r="R797">
        <v>3</v>
      </c>
      <c r="S797" s="1">
        <v>0</v>
      </c>
      <c r="T797">
        <v>0</v>
      </c>
      <c r="U797">
        <v>0</v>
      </c>
      <c r="V797" s="21">
        <v>22170</v>
      </c>
      <c r="W797">
        <v>21</v>
      </c>
      <c r="X797">
        <v>0</v>
      </c>
      <c r="Y797">
        <v>0</v>
      </c>
      <c r="Z797">
        <v>0</v>
      </c>
      <c r="AA797">
        <v>1</v>
      </c>
    </row>
    <row r="798" spans="1:27" ht="14.25" x14ac:dyDescent="0.2">
      <c r="A798" s="12">
        <v>20115</v>
      </c>
      <c r="B798" t="s">
        <v>130</v>
      </c>
      <c r="C798" t="s">
        <v>121</v>
      </c>
      <c r="D798" t="s">
        <v>121</v>
      </c>
      <c r="E798" t="s">
        <v>121</v>
      </c>
      <c r="F798" s="6" t="s">
        <v>1316</v>
      </c>
      <c r="H798">
        <v>2</v>
      </c>
      <c r="I798" s="1">
        <v>0</v>
      </c>
      <c r="J798">
        <v>0</v>
      </c>
      <c r="K798">
        <v>0</v>
      </c>
      <c r="L798" s="20">
        <v>14780</v>
      </c>
      <c r="M798">
        <v>1</v>
      </c>
      <c r="N798">
        <v>0</v>
      </c>
      <c r="O798">
        <v>0</v>
      </c>
      <c r="P798">
        <v>0</v>
      </c>
      <c r="Q798" s="22">
        <v>44340</v>
      </c>
      <c r="R798">
        <v>3</v>
      </c>
      <c r="S798" s="1">
        <v>0</v>
      </c>
      <c r="T798">
        <v>0</v>
      </c>
      <c r="U798">
        <v>0</v>
      </c>
      <c r="V798" s="21">
        <v>22170</v>
      </c>
      <c r="W798">
        <v>9</v>
      </c>
      <c r="X798">
        <v>0</v>
      </c>
      <c r="Y798">
        <v>0</v>
      </c>
      <c r="Z798">
        <v>0</v>
      </c>
      <c r="AA798">
        <v>10</v>
      </c>
    </row>
    <row r="799" spans="1:27" ht="14.25" x14ac:dyDescent="0.2">
      <c r="A799" s="12">
        <v>20116</v>
      </c>
      <c r="B799" t="s">
        <v>181</v>
      </c>
      <c r="C799" t="s">
        <v>121</v>
      </c>
      <c r="D799" t="s">
        <v>121</v>
      </c>
      <c r="E799" t="s">
        <v>121</v>
      </c>
      <c r="F799" s="6" t="s">
        <v>1318</v>
      </c>
      <c r="H799">
        <v>2</v>
      </c>
      <c r="I799" s="1">
        <v>0</v>
      </c>
      <c r="J799">
        <v>0</v>
      </c>
      <c r="K799">
        <v>0</v>
      </c>
      <c r="L799" s="20">
        <v>14840</v>
      </c>
      <c r="M799">
        <v>1</v>
      </c>
      <c r="N799">
        <v>0</v>
      </c>
      <c r="O799">
        <v>0</v>
      </c>
      <c r="P799">
        <v>0</v>
      </c>
      <c r="Q799" s="22">
        <v>44340</v>
      </c>
      <c r="R799">
        <v>3</v>
      </c>
      <c r="S799" s="1">
        <v>0</v>
      </c>
      <c r="T799">
        <v>0</v>
      </c>
      <c r="U799">
        <v>0</v>
      </c>
      <c r="V799" s="21">
        <v>22170</v>
      </c>
      <c r="W799">
        <v>30</v>
      </c>
      <c r="X799">
        <v>0</v>
      </c>
      <c r="Y799">
        <v>0</v>
      </c>
      <c r="Z799">
        <v>0</v>
      </c>
      <c r="AA799">
        <v>10</v>
      </c>
    </row>
    <row r="800" spans="1:27" ht="14.25" x14ac:dyDescent="0.2">
      <c r="A800" s="12">
        <v>20117</v>
      </c>
      <c r="B800" t="s">
        <v>122</v>
      </c>
      <c r="C800" t="s">
        <v>121</v>
      </c>
      <c r="D800" t="s">
        <v>121</v>
      </c>
      <c r="E800" t="s">
        <v>121</v>
      </c>
      <c r="F800" s="6" t="s">
        <v>1318</v>
      </c>
      <c r="H800">
        <v>2</v>
      </c>
      <c r="I800" s="1">
        <v>0</v>
      </c>
      <c r="J800">
        <v>0</v>
      </c>
      <c r="K800">
        <v>0</v>
      </c>
      <c r="L800" s="20">
        <v>14840</v>
      </c>
      <c r="M800">
        <v>1</v>
      </c>
      <c r="N800">
        <v>0</v>
      </c>
      <c r="O800">
        <v>0</v>
      </c>
      <c r="P800">
        <v>0</v>
      </c>
      <c r="Q800" s="22">
        <v>44340</v>
      </c>
      <c r="R800">
        <v>3</v>
      </c>
      <c r="S800" s="1">
        <v>0</v>
      </c>
      <c r="T800">
        <v>0</v>
      </c>
      <c r="U800">
        <v>0</v>
      </c>
      <c r="V800" s="21">
        <v>22170</v>
      </c>
      <c r="W800">
        <v>4</v>
      </c>
      <c r="X800">
        <v>0</v>
      </c>
      <c r="Y800">
        <v>0</v>
      </c>
      <c r="Z800">
        <v>0</v>
      </c>
      <c r="AA800">
        <v>10</v>
      </c>
    </row>
    <row r="801" spans="1:27" ht="14.25" x14ac:dyDescent="0.2">
      <c r="A801" s="12">
        <v>20118</v>
      </c>
      <c r="B801" t="s">
        <v>178</v>
      </c>
      <c r="C801" t="s">
        <v>121</v>
      </c>
      <c r="D801" t="s">
        <v>121</v>
      </c>
      <c r="E801" t="s">
        <v>121</v>
      </c>
      <c r="F801" s="6" t="s">
        <v>1320</v>
      </c>
      <c r="H801">
        <v>2</v>
      </c>
      <c r="I801" s="1">
        <v>0</v>
      </c>
      <c r="J801">
        <v>0</v>
      </c>
      <c r="K801">
        <v>0</v>
      </c>
      <c r="L801" s="20">
        <v>14840</v>
      </c>
      <c r="M801">
        <v>1</v>
      </c>
      <c r="N801">
        <v>0</v>
      </c>
      <c r="O801">
        <v>0</v>
      </c>
      <c r="P801">
        <v>0</v>
      </c>
      <c r="Q801" s="22">
        <v>44520</v>
      </c>
      <c r="R801">
        <v>3</v>
      </c>
      <c r="S801" s="1">
        <v>0</v>
      </c>
      <c r="T801">
        <v>0</v>
      </c>
      <c r="U801">
        <v>0</v>
      </c>
      <c r="V801" s="21">
        <v>22260</v>
      </c>
      <c r="W801">
        <v>21</v>
      </c>
      <c r="X801">
        <v>0</v>
      </c>
      <c r="Y801">
        <v>0</v>
      </c>
      <c r="Z801">
        <v>0</v>
      </c>
      <c r="AA801">
        <v>1</v>
      </c>
    </row>
    <row r="802" spans="1:27" ht="14.25" x14ac:dyDescent="0.2">
      <c r="A802" s="12">
        <v>20119</v>
      </c>
      <c r="B802" t="s">
        <v>130</v>
      </c>
      <c r="C802" t="s">
        <v>121</v>
      </c>
      <c r="D802" t="s">
        <v>121</v>
      </c>
      <c r="E802" t="s">
        <v>121</v>
      </c>
      <c r="F802" s="6" t="s">
        <v>1322</v>
      </c>
      <c r="H802">
        <v>2</v>
      </c>
      <c r="I802" s="1">
        <v>0</v>
      </c>
      <c r="J802">
        <v>0</v>
      </c>
      <c r="K802">
        <v>0</v>
      </c>
      <c r="L802" s="20">
        <v>14840</v>
      </c>
      <c r="M802">
        <v>1</v>
      </c>
      <c r="N802">
        <v>0</v>
      </c>
      <c r="O802">
        <v>0</v>
      </c>
      <c r="P802">
        <v>0</v>
      </c>
      <c r="Q802" s="22">
        <v>44520</v>
      </c>
      <c r="R802">
        <v>3</v>
      </c>
      <c r="S802" s="1">
        <v>0</v>
      </c>
      <c r="T802">
        <v>0</v>
      </c>
      <c r="U802">
        <v>0</v>
      </c>
      <c r="V802" s="21">
        <v>22260</v>
      </c>
      <c r="W802">
        <v>9</v>
      </c>
      <c r="X802">
        <v>0</v>
      </c>
      <c r="Y802">
        <v>0</v>
      </c>
      <c r="Z802">
        <v>0</v>
      </c>
      <c r="AA802">
        <v>10</v>
      </c>
    </row>
    <row r="803" spans="1:27" ht="14.25" x14ac:dyDescent="0.2">
      <c r="A803" s="12">
        <v>20120</v>
      </c>
      <c r="B803" t="s">
        <v>123</v>
      </c>
      <c r="C803" t="s">
        <v>121</v>
      </c>
      <c r="D803" t="s">
        <v>121</v>
      </c>
      <c r="E803" t="s">
        <v>121</v>
      </c>
      <c r="F803" s="6" t="s">
        <v>1322</v>
      </c>
      <c r="H803">
        <v>2</v>
      </c>
      <c r="I803" s="1">
        <v>0</v>
      </c>
      <c r="J803">
        <v>0</v>
      </c>
      <c r="K803">
        <v>0</v>
      </c>
      <c r="L803" s="20">
        <v>14840</v>
      </c>
      <c r="M803">
        <v>1</v>
      </c>
      <c r="N803">
        <v>0</v>
      </c>
      <c r="O803">
        <v>0</v>
      </c>
      <c r="P803">
        <v>0</v>
      </c>
      <c r="Q803" s="22">
        <v>44520</v>
      </c>
      <c r="R803">
        <v>3</v>
      </c>
      <c r="S803" s="1">
        <v>0</v>
      </c>
      <c r="T803">
        <v>0</v>
      </c>
      <c r="U803">
        <v>0</v>
      </c>
      <c r="V803" s="21">
        <v>22260</v>
      </c>
      <c r="W803">
        <v>12</v>
      </c>
      <c r="X803">
        <v>0</v>
      </c>
      <c r="Y803">
        <v>0</v>
      </c>
      <c r="Z803">
        <v>0</v>
      </c>
      <c r="AA803">
        <v>10</v>
      </c>
    </row>
    <row r="804" spans="1:27" ht="14.25" x14ac:dyDescent="0.2">
      <c r="A804" s="12">
        <v>20121</v>
      </c>
      <c r="B804" t="s">
        <v>126</v>
      </c>
      <c r="C804" t="s">
        <v>121</v>
      </c>
      <c r="D804" t="s">
        <v>121</v>
      </c>
      <c r="E804" t="s">
        <v>121</v>
      </c>
      <c r="F804" s="6" t="s">
        <v>1324</v>
      </c>
      <c r="H804">
        <v>2</v>
      </c>
      <c r="I804" s="1">
        <v>0</v>
      </c>
      <c r="J804">
        <v>0</v>
      </c>
      <c r="K804">
        <v>0</v>
      </c>
      <c r="L804" s="20">
        <v>14900</v>
      </c>
      <c r="M804">
        <v>1</v>
      </c>
      <c r="N804">
        <v>0</v>
      </c>
      <c r="O804">
        <v>0</v>
      </c>
      <c r="P804">
        <v>0</v>
      </c>
      <c r="Q804" s="22">
        <v>44520</v>
      </c>
      <c r="R804">
        <v>3</v>
      </c>
      <c r="S804" s="1">
        <v>0</v>
      </c>
      <c r="T804">
        <v>0</v>
      </c>
      <c r="U804">
        <v>0</v>
      </c>
      <c r="V804" s="21">
        <v>22260</v>
      </c>
      <c r="W804">
        <v>23</v>
      </c>
      <c r="X804">
        <v>0</v>
      </c>
      <c r="Y804">
        <v>0</v>
      </c>
      <c r="Z804">
        <v>0</v>
      </c>
      <c r="AA804">
        <v>1</v>
      </c>
    </row>
    <row r="805" spans="1:27" ht="14.25" x14ac:dyDescent="0.2">
      <c r="A805" s="12">
        <v>20122</v>
      </c>
      <c r="B805" t="s">
        <v>131</v>
      </c>
      <c r="C805" t="s">
        <v>125</v>
      </c>
      <c r="D805" t="s">
        <v>121</v>
      </c>
      <c r="E805" t="s">
        <v>136</v>
      </c>
      <c r="F805" s="6" t="s">
        <v>1326</v>
      </c>
      <c r="H805">
        <v>2</v>
      </c>
      <c r="I805" s="1">
        <v>0</v>
      </c>
      <c r="J805">
        <v>0</v>
      </c>
      <c r="K805">
        <v>0</v>
      </c>
      <c r="L805" s="20">
        <v>14900</v>
      </c>
      <c r="M805">
        <v>1</v>
      </c>
      <c r="N805">
        <v>0</v>
      </c>
      <c r="O805">
        <v>0</v>
      </c>
      <c r="P805">
        <v>0</v>
      </c>
      <c r="Q805" s="22">
        <v>44520</v>
      </c>
      <c r="R805">
        <v>3</v>
      </c>
      <c r="S805" s="1">
        <v>0</v>
      </c>
      <c r="T805">
        <v>0</v>
      </c>
      <c r="U805">
        <v>0</v>
      </c>
      <c r="V805" s="21">
        <v>22260</v>
      </c>
      <c r="W805">
        <v>6</v>
      </c>
      <c r="X805">
        <v>1</v>
      </c>
      <c r="Y805">
        <v>0</v>
      </c>
      <c r="Z805">
        <v>3</v>
      </c>
      <c r="AA805">
        <v>10</v>
      </c>
    </row>
    <row r="806" spans="1:27" ht="14.25" x14ac:dyDescent="0.2">
      <c r="A806" s="12">
        <v>20123</v>
      </c>
      <c r="B806" t="s">
        <v>180</v>
      </c>
      <c r="C806" t="s">
        <v>121</v>
      </c>
      <c r="D806" t="s">
        <v>121</v>
      </c>
      <c r="E806" t="s">
        <v>121</v>
      </c>
      <c r="F806" s="6" t="s">
        <v>1328</v>
      </c>
      <c r="H806">
        <v>2</v>
      </c>
      <c r="I806" s="1">
        <v>0</v>
      </c>
      <c r="J806">
        <v>0</v>
      </c>
      <c r="K806">
        <v>0</v>
      </c>
      <c r="L806" s="20">
        <v>14900</v>
      </c>
      <c r="M806">
        <v>1</v>
      </c>
      <c r="N806">
        <v>0</v>
      </c>
      <c r="O806">
        <v>0</v>
      </c>
      <c r="P806">
        <v>0</v>
      </c>
      <c r="Q806" s="22">
        <v>44700</v>
      </c>
      <c r="R806">
        <v>3</v>
      </c>
      <c r="S806" s="1">
        <v>0</v>
      </c>
      <c r="T806">
        <v>0</v>
      </c>
      <c r="U806">
        <v>0</v>
      </c>
      <c r="V806" s="21">
        <v>22350</v>
      </c>
      <c r="W806">
        <v>15</v>
      </c>
      <c r="X806">
        <v>0</v>
      </c>
      <c r="Y806">
        <v>0</v>
      </c>
      <c r="Z806">
        <v>0</v>
      </c>
      <c r="AA806">
        <v>1</v>
      </c>
    </row>
    <row r="807" spans="1:27" ht="14.25" x14ac:dyDescent="0.2">
      <c r="A807" s="12">
        <v>20124</v>
      </c>
      <c r="B807" t="s">
        <v>178</v>
      </c>
      <c r="C807" t="s">
        <v>121</v>
      </c>
      <c r="D807" t="s">
        <v>121</v>
      </c>
      <c r="E807" t="s">
        <v>121</v>
      </c>
      <c r="F807" s="6" t="s">
        <v>1328</v>
      </c>
      <c r="H807">
        <v>2</v>
      </c>
      <c r="I807" s="1">
        <v>0</v>
      </c>
      <c r="J807">
        <v>0</v>
      </c>
      <c r="K807">
        <v>0</v>
      </c>
      <c r="L807" s="20">
        <v>14900</v>
      </c>
      <c r="M807">
        <v>1</v>
      </c>
      <c r="N807">
        <v>0</v>
      </c>
      <c r="O807">
        <v>0</v>
      </c>
      <c r="P807">
        <v>0</v>
      </c>
      <c r="Q807" s="22">
        <v>44700</v>
      </c>
      <c r="R807">
        <v>3</v>
      </c>
      <c r="S807" s="1">
        <v>0</v>
      </c>
      <c r="T807">
        <v>0</v>
      </c>
      <c r="U807">
        <v>0</v>
      </c>
      <c r="V807" s="21">
        <v>22350</v>
      </c>
      <c r="W807">
        <v>21</v>
      </c>
      <c r="X807">
        <v>0</v>
      </c>
      <c r="Y807">
        <v>0</v>
      </c>
      <c r="Z807">
        <v>0</v>
      </c>
      <c r="AA807">
        <v>1</v>
      </c>
    </row>
    <row r="808" spans="1:27" ht="14.25" x14ac:dyDescent="0.2">
      <c r="A808" s="12">
        <v>20125</v>
      </c>
      <c r="B808" t="s">
        <v>130</v>
      </c>
      <c r="C808" t="s">
        <v>121</v>
      </c>
      <c r="D808" t="s">
        <v>121</v>
      </c>
      <c r="E808" t="s">
        <v>121</v>
      </c>
      <c r="F808" s="6" t="s">
        <v>1330</v>
      </c>
      <c r="H808">
        <v>2</v>
      </c>
      <c r="I808" s="1">
        <v>0</v>
      </c>
      <c r="J808">
        <v>0</v>
      </c>
      <c r="K808">
        <v>0</v>
      </c>
      <c r="L808" s="20">
        <v>14900</v>
      </c>
      <c r="M808">
        <v>1</v>
      </c>
      <c r="N808">
        <v>0</v>
      </c>
      <c r="O808">
        <v>0</v>
      </c>
      <c r="P808">
        <v>0</v>
      </c>
      <c r="Q808" s="22">
        <v>44700</v>
      </c>
      <c r="R808">
        <v>3</v>
      </c>
      <c r="S808" s="1">
        <v>0</v>
      </c>
      <c r="T808">
        <v>0</v>
      </c>
      <c r="U808">
        <v>0</v>
      </c>
      <c r="V808" s="21">
        <v>22350</v>
      </c>
      <c r="W808">
        <v>9</v>
      </c>
      <c r="X808">
        <v>0</v>
      </c>
      <c r="Y808">
        <v>0</v>
      </c>
      <c r="Z808">
        <v>0</v>
      </c>
      <c r="AA808">
        <v>10</v>
      </c>
    </row>
    <row r="809" spans="1:27" ht="14.25" x14ac:dyDescent="0.2">
      <c r="A809" s="12">
        <v>20126</v>
      </c>
      <c r="B809" t="s">
        <v>181</v>
      </c>
      <c r="C809" t="s">
        <v>121</v>
      </c>
      <c r="D809" t="s">
        <v>121</v>
      </c>
      <c r="E809" t="s">
        <v>121</v>
      </c>
      <c r="F809" s="6" t="s">
        <v>1332</v>
      </c>
      <c r="H809">
        <v>2</v>
      </c>
      <c r="I809" s="1">
        <v>0</v>
      </c>
      <c r="J809">
        <v>0</v>
      </c>
      <c r="K809">
        <v>0</v>
      </c>
      <c r="L809" s="20">
        <v>14960</v>
      </c>
      <c r="M809">
        <v>1</v>
      </c>
      <c r="N809">
        <v>0</v>
      </c>
      <c r="O809">
        <v>0</v>
      </c>
      <c r="P809">
        <v>0</v>
      </c>
      <c r="Q809" s="22">
        <v>44700</v>
      </c>
      <c r="R809">
        <v>3</v>
      </c>
      <c r="S809" s="1">
        <v>0</v>
      </c>
      <c r="T809">
        <v>0</v>
      </c>
      <c r="U809">
        <v>0</v>
      </c>
      <c r="V809" s="21">
        <v>22350</v>
      </c>
      <c r="W809">
        <v>30</v>
      </c>
      <c r="X809">
        <v>0</v>
      </c>
      <c r="Y809">
        <v>0</v>
      </c>
      <c r="Z809">
        <v>0</v>
      </c>
      <c r="AA809">
        <v>10</v>
      </c>
    </row>
    <row r="810" spans="1:27" ht="14.25" x14ac:dyDescent="0.2">
      <c r="A810" s="12">
        <v>20127</v>
      </c>
      <c r="B810" t="s">
        <v>122</v>
      </c>
      <c r="C810" t="s">
        <v>121</v>
      </c>
      <c r="D810" t="s">
        <v>121</v>
      </c>
      <c r="E810" t="s">
        <v>121</v>
      </c>
      <c r="F810" s="6" t="s">
        <v>1332</v>
      </c>
      <c r="H810">
        <v>2</v>
      </c>
      <c r="I810" s="1">
        <v>0</v>
      </c>
      <c r="J810">
        <v>0</v>
      </c>
      <c r="K810">
        <v>0</v>
      </c>
      <c r="L810" s="20">
        <v>14960</v>
      </c>
      <c r="M810">
        <v>1</v>
      </c>
      <c r="N810">
        <v>0</v>
      </c>
      <c r="O810">
        <v>0</v>
      </c>
      <c r="P810">
        <v>0</v>
      </c>
      <c r="Q810" s="22">
        <v>44700</v>
      </c>
      <c r="R810">
        <v>3</v>
      </c>
      <c r="S810" s="1">
        <v>0</v>
      </c>
      <c r="T810">
        <v>0</v>
      </c>
      <c r="U810">
        <v>0</v>
      </c>
      <c r="V810" s="21">
        <v>22350</v>
      </c>
      <c r="W810">
        <v>4</v>
      </c>
      <c r="X810">
        <v>0</v>
      </c>
      <c r="Y810">
        <v>0</v>
      </c>
      <c r="Z810">
        <v>0</v>
      </c>
      <c r="AA810">
        <v>10</v>
      </c>
    </row>
    <row r="811" spans="1:27" ht="14.25" x14ac:dyDescent="0.2">
      <c r="A811" s="12">
        <v>20128</v>
      </c>
      <c r="B811" t="s">
        <v>178</v>
      </c>
      <c r="C811" t="s">
        <v>121</v>
      </c>
      <c r="D811" t="s">
        <v>121</v>
      </c>
      <c r="E811" t="s">
        <v>121</v>
      </c>
      <c r="F811" s="6" t="s">
        <v>1334</v>
      </c>
      <c r="H811">
        <v>2</v>
      </c>
      <c r="I811" s="1">
        <v>0</v>
      </c>
      <c r="J811">
        <v>0</v>
      </c>
      <c r="K811">
        <v>0</v>
      </c>
      <c r="L811" s="20">
        <v>14960</v>
      </c>
      <c r="M811">
        <v>1</v>
      </c>
      <c r="N811">
        <v>0</v>
      </c>
      <c r="O811">
        <v>0</v>
      </c>
      <c r="P811">
        <v>0</v>
      </c>
      <c r="Q811" s="22">
        <v>44880</v>
      </c>
      <c r="R811">
        <v>3</v>
      </c>
      <c r="S811" s="1">
        <v>0</v>
      </c>
      <c r="T811">
        <v>0</v>
      </c>
      <c r="U811">
        <v>0</v>
      </c>
      <c r="V811" s="21">
        <v>22440</v>
      </c>
      <c r="W811">
        <v>21</v>
      </c>
      <c r="X811">
        <v>0</v>
      </c>
      <c r="Y811">
        <v>0</v>
      </c>
      <c r="Z811">
        <v>0</v>
      </c>
      <c r="AA811">
        <v>1</v>
      </c>
    </row>
    <row r="812" spans="1:27" ht="14.25" x14ac:dyDescent="0.2">
      <c r="A812" s="12">
        <v>20129</v>
      </c>
      <c r="B812" t="s">
        <v>130</v>
      </c>
      <c r="C812" t="s">
        <v>121</v>
      </c>
      <c r="D812" t="s">
        <v>121</v>
      </c>
      <c r="E812" t="s">
        <v>121</v>
      </c>
      <c r="F812" s="6" t="s">
        <v>1336</v>
      </c>
      <c r="H812">
        <v>2</v>
      </c>
      <c r="I812" s="1">
        <v>0</v>
      </c>
      <c r="J812">
        <v>0</v>
      </c>
      <c r="K812">
        <v>0</v>
      </c>
      <c r="L812" s="20">
        <v>14960</v>
      </c>
      <c r="M812">
        <v>1</v>
      </c>
      <c r="N812">
        <v>0</v>
      </c>
      <c r="O812">
        <v>0</v>
      </c>
      <c r="P812">
        <v>0</v>
      </c>
      <c r="Q812" s="22">
        <v>44880</v>
      </c>
      <c r="R812">
        <v>3</v>
      </c>
      <c r="S812" s="1">
        <v>0</v>
      </c>
      <c r="T812">
        <v>0</v>
      </c>
      <c r="U812">
        <v>0</v>
      </c>
      <c r="V812" s="21">
        <v>22440</v>
      </c>
      <c r="W812">
        <v>9</v>
      </c>
      <c r="X812">
        <v>0</v>
      </c>
      <c r="Y812">
        <v>0</v>
      </c>
      <c r="Z812">
        <v>0</v>
      </c>
      <c r="AA812">
        <v>10</v>
      </c>
    </row>
    <row r="813" spans="1:27" ht="14.25" x14ac:dyDescent="0.2">
      <c r="A813" s="12">
        <v>20130</v>
      </c>
      <c r="B813" t="s">
        <v>123</v>
      </c>
      <c r="C813" t="s">
        <v>121</v>
      </c>
      <c r="D813" t="s">
        <v>121</v>
      </c>
      <c r="E813" t="s">
        <v>121</v>
      </c>
      <c r="F813" s="6" t="s">
        <v>1336</v>
      </c>
      <c r="H813">
        <v>2</v>
      </c>
      <c r="I813" s="1">
        <v>0</v>
      </c>
      <c r="J813">
        <v>0</v>
      </c>
      <c r="K813">
        <v>0</v>
      </c>
      <c r="L813" s="20">
        <v>14960</v>
      </c>
      <c r="M813">
        <v>1</v>
      </c>
      <c r="N813">
        <v>0</v>
      </c>
      <c r="O813">
        <v>0</v>
      </c>
      <c r="P813">
        <v>0</v>
      </c>
      <c r="Q813" s="22">
        <v>44880</v>
      </c>
      <c r="R813">
        <v>3</v>
      </c>
      <c r="S813" s="1">
        <v>0</v>
      </c>
      <c r="T813">
        <v>0</v>
      </c>
      <c r="U813">
        <v>0</v>
      </c>
      <c r="V813" s="21">
        <v>22440</v>
      </c>
      <c r="W813">
        <v>12</v>
      </c>
      <c r="X813">
        <v>0</v>
      </c>
      <c r="Y813">
        <v>0</v>
      </c>
      <c r="Z813">
        <v>0</v>
      </c>
      <c r="AA813">
        <v>10</v>
      </c>
    </row>
    <row r="814" spans="1:27" ht="14.25" x14ac:dyDescent="0.2">
      <c r="A814" s="12">
        <v>20131</v>
      </c>
      <c r="B814" t="s">
        <v>126</v>
      </c>
      <c r="C814" t="s">
        <v>121</v>
      </c>
      <c r="D814" t="s">
        <v>121</v>
      </c>
      <c r="E814" t="s">
        <v>121</v>
      </c>
      <c r="F814" s="6" t="s">
        <v>1338</v>
      </c>
      <c r="H814">
        <v>2</v>
      </c>
      <c r="I814" s="1">
        <v>0</v>
      </c>
      <c r="J814">
        <v>0</v>
      </c>
      <c r="K814">
        <v>0</v>
      </c>
      <c r="L814" s="20">
        <v>15020</v>
      </c>
      <c r="M814">
        <v>1</v>
      </c>
      <c r="N814">
        <v>0</v>
      </c>
      <c r="O814">
        <v>0</v>
      </c>
      <c r="P814">
        <v>0</v>
      </c>
      <c r="Q814" s="22">
        <v>44880</v>
      </c>
      <c r="R814">
        <v>3</v>
      </c>
      <c r="S814" s="1">
        <v>0</v>
      </c>
      <c r="T814">
        <v>0</v>
      </c>
      <c r="U814">
        <v>0</v>
      </c>
      <c r="V814" s="21">
        <v>22440</v>
      </c>
      <c r="W814">
        <v>23</v>
      </c>
      <c r="X814">
        <v>0</v>
      </c>
      <c r="Y814">
        <v>0</v>
      </c>
      <c r="Z814">
        <v>0</v>
      </c>
      <c r="AA814">
        <v>1</v>
      </c>
    </row>
    <row r="815" spans="1:27" ht="14.25" x14ac:dyDescent="0.2">
      <c r="A815" s="12">
        <v>20132</v>
      </c>
      <c r="B815" t="s">
        <v>131</v>
      </c>
      <c r="C815" t="s">
        <v>125</v>
      </c>
      <c r="D815" t="s">
        <v>121</v>
      </c>
      <c r="E815" t="s">
        <v>136</v>
      </c>
      <c r="F815" s="6" t="s">
        <v>1340</v>
      </c>
      <c r="H815">
        <v>2</v>
      </c>
      <c r="I815" s="1">
        <v>0</v>
      </c>
      <c r="J815">
        <v>0</v>
      </c>
      <c r="K815">
        <v>0</v>
      </c>
      <c r="L815" s="20">
        <v>15020</v>
      </c>
      <c r="M815">
        <v>1</v>
      </c>
      <c r="N815">
        <v>0</v>
      </c>
      <c r="O815">
        <v>0</v>
      </c>
      <c r="P815">
        <v>0</v>
      </c>
      <c r="Q815" s="22">
        <v>44880</v>
      </c>
      <c r="R815">
        <v>3</v>
      </c>
      <c r="S815" s="1">
        <v>0</v>
      </c>
      <c r="T815">
        <v>0</v>
      </c>
      <c r="U815">
        <v>0</v>
      </c>
      <c r="V815" s="21">
        <v>22440</v>
      </c>
      <c r="W815">
        <v>6</v>
      </c>
      <c r="X815">
        <v>1</v>
      </c>
      <c r="Y815">
        <v>0</v>
      </c>
      <c r="Z815">
        <v>3</v>
      </c>
      <c r="AA815">
        <v>10</v>
      </c>
    </row>
    <row r="816" spans="1:27" ht="14.25" x14ac:dyDescent="0.2">
      <c r="A816" s="12">
        <v>20133</v>
      </c>
      <c r="B816" t="s">
        <v>180</v>
      </c>
      <c r="C816" t="s">
        <v>121</v>
      </c>
      <c r="D816" t="s">
        <v>121</v>
      </c>
      <c r="E816" t="s">
        <v>121</v>
      </c>
      <c r="F816" s="6" t="s">
        <v>1342</v>
      </c>
      <c r="H816">
        <v>2</v>
      </c>
      <c r="I816" s="1">
        <v>0</v>
      </c>
      <c r="J816">
        <v>0</v>
      </c>
      <c r="K816">
        <v>0</v>
      </c>
      <c r="L816" s="20">
        <v>15020</v>
      </c>
      <c r="M816">
        <v>1</v>
      </c>
      <c r="N816">
        <v>0</v>
      </c>
      <c r="O816">
        <v>0</v>
      </c>
      <c r="P816">
        <v>0</v>
      </c>
      <c r="Q816" s="22">
        <v>45060</v>
      </c>
      <c r="R816">
        <v>3</v>
      </c>
      <c r="S816" s="1">
        <v>0</v>
      </c>
      <c r="T816">
        <v>0</v>
      </c>
      <c r="U816">
        <v>0</v>
      </c>
      <c r="V816" s="21">
        <v>22530</v>
      </c>
      <c r="W816">
        <v>15</v>
      </c>
      <c r="X816">
        <v>0</v>
      </c>
      <c r="Y816">
        <v>0</v>
      </c>
      <c r="Z816">
        <v>0</v>
      </c>
      <c r="AA816">
        <v>1</v>
      </c>
    </row>
    <row r="817" spans="1:27" ht="14.25" x14ac:dyDescent="0.2">
      <c r="A817" s="12">
        <v>20134</v>
      </c>
      <c r="B817" t="s">
        <v>178</v>
      </c>
      <c r="C817" t="s">
        <v>121</v>
      </c>
      <c r="D817" t="s">
        <v>121</v>
      </c>
      <c r="E817" t="s">
        <v>121</v>
      </c>
      <c r="F817" s="6" t="s">
        <v>1342</v>
      </c>
      <c r="H817">
        <v>2</v>
      </c>
      <c r="I817" s="1">
        <v>0</v>
      </c>
      <c r="J817">
        <v>0</v>
      </c>
      <c r="K817">
        <v>0</v>
      </c>
      <c r="L817" s="20">
        <v>15020</v>
      </c>
      <c r="M817">
        <v>1</v>
      </c>
      <c r="N817">
        <v>0</v>
      </c>
      <c r="O817">
        <v>0</v>
      </c>
      <c r="P817">
        <v>0</v>
      </c>
      <c r="Q817" s="22">
        <v>45060</v>
      </c>
      <c r="R817">
        <v>3</v>
      </c>
      <c r="S817" s="1">
        <v>0</v>
      </c>
      <c r="T817">
        <v>0</v>
      </c>
      <c r="U817">
        <v>0</v>
      </c>
      <c r="V817" s="21">
        <v>22530</v>
      </c>
      <c r="W817">
        <v>21</v>
      </c>
      <c r="X817">
        <v>0</v>
      </c>
      <c r="Y817">
        <v>0</v>
      </c>
      <c r="Z817">
        <v>0</v>
      </c>
      <c r="AA817">
        <v>1</v>
      </c>
    </row>
    <row r="818" spans="1:27" ht="14.25" x14ac:dyDescent="0.2">
      <c r="A818" s="12">
        <v>20135</v>
      </c>
      <c r="B818" t="s">
        <v>130</v>
      </c>
      <c r="C818" t="s">
        <v>121</v>
      </c>
      <c r="D818" t="s">
        <v>121</v>
      </c>
      <c r="E818" t="s">
        <v>121</v>
      </c>
      <c r="F818" s="6" t="s">
        <v>1344</v>
      </c>
      <c r="H818">
        <v>2</v>
      </c>
      <c r="I818" s="1">
        <v>0</v>
      </c>
      <c r="J818">
        <v>0</v>
      </c>
      <c r="K818">
        <v>0</v>
      </c>
      <c r="L818" s="20">
        <v>15020</v>
      </c>
      <c r="M818">
        <v>1</v>
      </c>
      <c r="N818">
        <v>0</v>
      </c>
      <c r="O818">
        <v>0</v>
      </c>
      <c r="P818">
        <v>0</v>
      </c>
      <c r="Q818" s="22">
        <v>45060</v>
      </c>
      <c r="R818">
        <v>3</v>
      </c>
      <c r="S818" s="1">
        <v>0</v>
      </c>
      <c r="T818">
        <v>0</v>
      </c>
      <c r="U818">
        <v>0</v>
      </c>
      <c r="V818" s="21">
        <v>22530</v>
      </c>
      <c r="W818">
        <v>9</v>
      </c>
      <c r="X818">
        <v>0</v>
      </c>
      <c r="Y818">
        <v>0</v>
      </c>
      <c r="Z818">
        <v>0</v>
      </c>
      <c r="AA818">
        <v>10</v>
      </c>
    </row>
    <row r="819" spans="1:27" ht="14.25" x14ac:dyDescent="0.2">
      <c r="A819" s="12">
        <v>20136</v>
      </c>
      <c r="B819" t="s">
        <v>181</v>
      </c>
      <c r="C819" t="s">
        <v>121</v>
      </c>
      <c r="D819" t="s">
        <v>121</v>
      </c>
      <c r="E819" t="s">
        <v>121</v>
      </c>
      <c r="F819" s="6" t="s">
        <v>1346</v>
      </c>
      <c r="H819">
        <v>2</v>
      </c>
      <c r="I819" s="1">
        <v>0</v>
      </c>
      <c r="J819">
        <v>0</v>
      </c>
      <c r="K819">
        <v>0</v>
      </c>
      <c r="L819" s="20">
        <v>15080</v>
      </c>
      <c r="M819">
        <v>1</v>
      </c>
      <c r="N819">
        <v>0</v>
      </c>
      <c r="O819">
        <v>0</v>
      </c>
      <c r="P819">
        <v>0</v>
      </c>
      <c r="Q819" s="22">
        <v>45060</v>
      </c>
      <c r="R819">
        <v>3</v>
      </c>
      <c r="S819" s="1">
        <v>0</v>
      </c>
      <c r="T819">
        <v>0</v>
      </c>
      <c r="U819">
        <v>0</v>
      </c>
      <c r="V819" s="21">
        <v>22530</v>
      </c>
      <c r="W819">
        <v>30</v>
      </c>
      <c r="X819">
        <v>0</v>
      </c>
      <c r="Y819">
        <v>0</v>
      </c>
      <c r="Z819">
        <v>0</v>
      </c>
      <c r="AA819">
        <v>10</v>
      </c>
    </row>
    <row r="820" spans="1:27" ht="14.25" x14ac:dyDescent="0.2">
      <c r="A820" s="12">
        <v>20137</v>
      </c>
      <c r="B820" t="s">
        <v>122</v>
      </c>
      <c r="C820" t="s">
        <v>121</v>
      </c>
      <c r="D820" t="s">
        <v>121</v>
      </c>
      <c r="E820" t="s">
        <v>121</v>
      </c>
      <c r="F820" s="6" t="s">
        <v>1346</v>
      </c>
      <c r="H820">
        <v>2</v>
      </c>
      <c r="I820" s="1">
        <v>0</v>
      </c>
      <c r="J820">
        <v>0</v>
      </c>
      <c r="K820">
        <v>0</v>
      </c>
      <c r="L820" s="20">
        <v>15080</v>
      </c>
      <c r="M820">
        <v>1</v>
      </c>
      <c r="N820">
        <v>0</v>
      </c>
      <c r="O820">
        <v>0</v>
      </c>
      <c r="P820">
        <v>0</v>
      </c>
      <c r="Q820" s="22">
        <v>45060</v>
      </c>
      <c r="R820">
        <v>3</v>
      </c>
      <c r="S820" s="1">
        <v>0</v>
      </c>
      <c r="T820">
        <v>0</v>
      </c>
      <c r="U820">
        <v>0</v>
      </c>
      <c r="V820" s="21">
        <v>22530</v>
      </c>
      <c r="W820">
        <v>4</v>
      </c>
      <c r="X820">
        <v>0</v>
      </c>
      <c r="Y820">
        <v>0</v>
      </c>
      <c r="Z820">
        <v>0</v>
      </c>
      <c r="AA820">
        <v>10</v>
      </c>
    </row>
    <row r="821" spans="1:27" ht="14.25" x14ac:dyDescent="0.2">
      <c r="A821" s="12">
        <v>20138</v>
      </c>
      <c r="B821" t="s">
        <v>178</v>
      </c>
      <c r="C821" t="s">
        <v>121</v>
      </c>
      <c r="D821" t="s">
        <v>121</v>
      </c>
      <c r="E821" t="s">
        <v>121</v>
      </c>
      <c r="F821" s="6" t="s">
        <v>1348</v>
      </c>
      <c r="H821">
        <v>2</v>
      </c>
      <c r="I821" s="1">
        <v>0</v>
      </c>
      <c r="J821">
        <v>0</v>
      </c>
      <c r="K821">
        <v>0</v>
      </c>
      <c r="L821" s="20">
        <v>15080</v>
      </c>
      <c r="M821">
        <v>1</v>
      </c>
      <c r="N821">
        <v>0</v>
      </c>
      <c r="O821">
        <v>0</v>
      </c>
      <c r="P821">
        <v>0</v>
      </c>
      <c r="Q821" s="22">
        <v>45240</v>
      </c>
      <c r="R821">
        <v>3</v>
      </c>
      <c r="S821" s="1">
        <v>0</v>
      </c>
      <c r="T821">
        <v>0</v>
      </c>
      <c r="U821">
        <v>0</v>
      </c>
      <c r="V821" s="21">
        <v>22620</v>
      </c>
      <c r="W821">
        <v>21</v>
      </c>
      <c r="X821">
        <v>0</v>
      </c>
      <c r="Y821">
        <v>0</v>
      </c>
      <c r="Z821">
        <v>0</v>
      </c>
      <c r="AA821">
        <v>1</v>
      </c>
    </row>
    <row r="822" spans="1:27" ht="14.25" x14ac:dyDescent="0.2">
      <c r="A822" s="12">
        <v>20139</v>
      </c>
      <c r="B822" t="s">
        <v>130</v>
      </c>
      <c r="C822" t="s">
        <v>121</v>
      </c>
      <c r="D822" t="s">
        <v>121</v>
      </c>
      <c r="E822" t="s">
        <v>121</v>
      </c>
      <c r="F822" s="6" t="s">
        <v>1350</v>
      </c>
      <c r="H822">
        <v>2</v>
      </c>
      <c r="I822" s="1">
        <v>0</v>
      </c>
      <c r="J822">
        <v>0</v>
      </c>
      <c r="K822">
        <v>0</v>
      </c>
      <c r="L822" s="20">
        <v>15080</v>
      </c>
      <c r="M822">
        <v>1</v>
      </c>
      <c r="N822">
        <v>0</v>
      </c>
      <c r="O822">
        <v>0</v>
      </c>
      <c r="P822">
        <v>0</v>
      </c>
      <c r="Q822" s="22">
        <v>45240</v>
      </c>
      <c r="R822">
        <v>3</v>
      </c>
      <c r="S822" s="1">
        <v>0</v>
      </c>
      <c r="T822">
        <v>0</v>
      </c>
      <c r="U822">
        <v>0</v>
      </c>
      <c r="V822" s="21">
        <v>22620</v>
      </c>
      <c r="W822">
        <v>9</v>
      </c>
      <c r="X822">
        <v>0</v>
      </c>
      <c r="Y822">
        <v>0</v>
      </c>
      <c r="Z822">
        <v>0</v>
      </c>
      <c r="AA822">
        <v>10</v>
      </c>
    </row>
    <row r="823" spans="1:27" ht="14.25" x14ac:dyDescent="0.2">
      <c r="A823" s="12">
        <v>20140</v>
      </c>
      <c r="B823" t="s">
        <v>123</v>
      </c>
      <c r="C823" t="s">
        <v>121</v>
      </c>
      <c r="D823" t="s">
        <v>121</v>
      </c>
      <c r="E823" t="s">
        <v>121</v>
      </c>
      <c r="F823" s="6" t="s">
        <v>1350</v>
      </c>
      <c r="H823">
        <v>2</v>
      </c>
      <c r="I823" s="1">
        <v>0</v>
      </c>
      <c r="J823">
        <v>0</v>
      </c>
      <c r="K823">
        <v>0</v>
      </c>
      <c r="L823" s="20">
        <v>15080</v>
      </c>
      <c r="M823">
        <v>1</v>
      </c>
      <c r="N823">
        <v>0</v>
      </c>
      <c r="O823">
        <v>0</v>
      </c>
      <c r="P823">
        <v>0</v>
      </c>
      <c r="Q823" s="22">
        <v>45240</v>
      </c>
      <c r="R823">
        <v>3</v>
      </c>
      <c r="S823" s="1">
        <v>0</v>
      </c>
      <c r="T823">
        <v>0</v>
      </c>
      <c r="U823">
        <v>0</v>
      </c>
      <c r="V823" s="21">
        <v>22620</v>
      </c>
      <c r="W823">
        <v>12</v>
      </c>
      <c r="X823">
        <v>0</v>
      </c>
      <c r="Y823">
        <v>0</v>
      </c>
      <c r="Z823">
        <v>0</v>
      </c>
      <c r="AA823">
        <v>10</v>
      </c>
    </row>
    <row r="824" spans="1:27" ht="14.25" x14ac:dyDescent="0.2">
      <c r="A824" s="12">
        <v>20141</v>
      </c>
      <c r="B824" t="s">
        <v>126</v>
      </c>
      <c r="C824" t="s">
        <v>121</v>
      </c>
      <c r="D824" t="s">
        <v>121</v>
      </c>
      <c r="E824" t="s">
        <v>121</v>
      </c>
      <c r="F824" s="6" t="s">
        <v>1352</v>
      </c>
      <c r="H824">
        <v>2</v>
      </c>
      <c r="I824" s="1">
        <v>0</v>
      </c>
      <c r="J824">
        <v>0</v>
      </c>
      <c r="K824">
        <v>0</v>
      </c>
      <c r="L824" s="20">
        <v>15140</v>
      </c>
      <c r="M824">
        <v>1</v>
      </c>
      <c r="N824">
        <v>0</v>
      </c>
      <c r="O824">
        <v>0</v>
      </c>
      <c r="P824">
        <v>0</v>
      </c>
      <c r="Q824" s="22">
        <v>45240</v>
      </c>
      <c r="R824">
        <v>3</v>
      </c>
      <c r="S824" s="1">
        <v>0</v>
      </c>
      <c r="T824">
        <v>0</v>
      </c>
      <c r="U824">
        <v>0</v>
      </c>
      <c r="V824" s="21">
        <v>22620</v>
      </c>
      <c r="W824">
        <v>23</v>
      </c>
      <c r="X824">
        <v>0</v>
      </c>
      <c r="Y824">
        <v>0</v>
      </c>
      <c r="Z824">
        <v>0</v>
      </c>
      <c r="AA824">
        <v>1</v>
      </c>
    </row>
    <row r="825" spans="1:27" ht="14.25" x14ac:dyDescent="0.2">
      <c r="A825" s="12">
        <v>20142</v>
      </c>
      <c r="B825" t="s">
        <v>131</v>
      </c>
      <c r="C825" t="s">
        <v>125</v>
      </c>
      <c r="D825" t="s">
        <v>121</v>
      </c>
      <c r="E825" t="s">
        <v>136</v>
      </c>
      <c r="F825" s="6" t="s">
        <v>1354</v>
      </c>
      <c r="H825">
        <v>2</v>
      </c>
      <c r="I825" s="1">
        <v>0</v>
      </c>
      <c r="J825">
        <v>0</v>
      </c>
      <c r="K825">
        <v>0</v>
      </c>
      <c r="L825" s="20">
        <v>15140</v>
      </c>
      <c r="M825">
        <v>1</v>
      </c>
      <c r="N825">
        <v>0</v>
      </c>
      <c r="O825">
        <v>0</v>
      </c>
      <c r="P825">
        <v>0</v>
      </c>
      <c r="Q825" s="22">
        <v>45240</v>
      </c>
      <c r="R825">
        <v>3</v>
      </c>
      <c r="S825" s="1">
        <v>0</v>
      </c>
      <c r="T825">
        <v>0</v>
      </c>
      <c r="U825">
        <v>0</v>
      </c>
      <c r="V825" s="21">
        <v>22620</v>
      </c>
      <c r="W825">
        <v>6</v>
      </c>
      <c r="X825">
        <v>1</v>
      </c>
      <c r="Y825">
        <v>0</v>
      </c>
      <c r="Z825">
        <v>3</v>
      </c>
      <c r="AA825">
        <v>10</v>
      </c>
    </row>
    <row r="826" spans="1:27" ht="14.25" x14ac:dyDescent="0.2">
      <c r="A826" s="12">
        <v>20143</v>
      </c>
      <c r="B826" t="s">
        <v>180</v>
      </c>
      <c r="C826" t="s">
        <v>121</v>
      </c>
      <c r="D826" t="s">
        <v>121</v>
      </c>
      <c r="E826" t="s">
        <v>121</v>
      </c>
      <c r="F826" s="6" t="s">
        <v>1356</v>
      </c>
      <c r="H826">
        <v>2</v>
      </c>
      <c r="I826" s="1">
        <v>0</v>
      </c>
      <c r="J826">
        <v>0</v>
      </c>
      <c r="K826">
        <v>0</v>
      </c>
      <c r="L826" s="20">
        <v>15140</v>
      </c>
      <c r="M826">
        <v>1</v>
      </c>
      <c r="N826">
        <v>0</v>
      </c>
      <c r="O826">
        <v>0</v>
      </c>
      <c r="P826">
        <v>0</v>
      </c>
      <c r="Q826" s="22">
        <v>45420</v>
      </c>
      <c r="R826">
        <v>3</v>
      </c>
      <c r="S826" s="1">
        <v>0</v>
      </c>
      <c r="T826">
        <v>0</v>
      </c>
      <c r="U826">
        <v>0</v>
      </c>
      <c r="V826" s="21">
        <v>22710</v>
      </c>
      <c r="W826">
        <v>15</v>
      </c>
      <c r="X826">
        <v>0</v>
      </c>
      <c r="Y826">
        <v>0</v>
      </c>
      <c r="Z826">
        <v>0</v>
      </c>
      <c r="AA826">
        <v>1</v>
      </c>
    </row>
    <row r="827" spans="1:27" ht="14.25" x14ac:dyDescent="0.2">
      <c r="A827" s="12">
        <v>20144</v>
      </c>
      <c r="B827" t="s">
        <v>178</v>
      </c>
      <c r="C827" t="s">
        <v>121</v>
      </c>
      <c r="D827" t="s">
        <v>121</v>
      </c>
      <c r="E827" t="s">
        <v>121</v>
      </c>
      <c r="F827" s="6" t="s">
        <v>1356</v>
      </c>
      <c r="H827">
        <v>2</v>
      </c>
      <c r="I827" s="1">
        <v>0</v>
      </c>
      <c r="J827">
        <v>0</v>
      </c>
      <c r="K827">
        <v>0</v>
      </c>
      <c r="L827" s="20">
        <v>15140</v>
      </c>
      <c r="M827">
        <v>1</v>
      </c>
      <c r="N827">
        <v>0</v>
      </c>
      <c r="O827">
        <v>0</v>
      </c>
      <c r="P827">
        <v>0</v>
      </c>
      <c r="Q827" s="22">
        <v>45420</v>
      </c>
      <c r="R827">
        <v>3</v>
      </c>
      <c r="S827" s="1">
        <v>0</v>
      </c>
      <c r="T827">
        <v>0</v>
      </c>
      <c r="U827">
        <v>0</v>
      </c>
      <c r="V827" s="21">
        <v>22710</v>
      </c>
      <c r="W827">
        <v>21</v>
      </c>
      <c r="X827">
        <v>0</v>
      </c>
      <c r="Y827">
        <v>0</v>
      </c>
      <c r="Z827">
        <v>0</v>
      </c>
      <c r="AA827">
        <v>1</v>
      </c>
    </row>
    <row r="828" spans="1:27" ht="14.25" x14ac:dyDescent="0.2">
      <c r="A828" s="12">
        <v>20145</v>
      </c>
      <c r="B828" t="s">
        <v>130</v>
      </c>
      <c r="C828" t="s">
        <v>121</v>
      </c>
      <c r="D828" t="s">
        <v>121</v>
      </c>
      <c r="E828" t="s">
        <v>121</v>
      </c>
      <c r="F828" s="6" t="s">
        <v>1358</v>
      </c>
      <c r="H828">
        <v>2</v>
      </c>
      <c r="I828" s="1">
        <v>0</v>
      </c>
      <c r="J828">
        <v>0</v>
      </c>
      <c r="K828">
        <v>0</v>
      </c>
      <c r="L828" s="20">
        <v>15140</v>
      </c>
      <c r="M828">
        <v>1</v>
      </c>
      <c r="N828">
        <v>0</v>
      </c>
      <c r="O828">
        <v>0</v>
      </c>
      <c r="P828">
        <v>0</v>
      </c>
      <c r="Q828" s="22">
        <v>45420</v>
      </c>
      <c r="R828">
        <v>3</v>
      </c>
      <c r="S828" s="1">
        <v>0</v>
      </c>
      <c r="T828">
        <v>0</v>
      </c>
      <c r="U828">
        <v>0</v>
      </c>
      <c r="V828" s="21">
        <v>22710</v>
      </c>
      <c r="W828">
        <v>9</v>
      </c>
      <c r="X828">
        <v>0</v>
      </c>
      <c r="Y828">
        <v>0</v>
      </c>
      <c r="Z828">
        <v>0</v>
      </c>
      <c r="AA828">
        <v>10</v>
      </c>
    </row>
    <row r="829" spans="1:27" ht="14.25" x14ac:dyDescent="0.2">
      <c r="A829" s="12">
        <v>20146</v>
      </c>
      <c r="B829" t="s">
        <v>181</v>
      </c>
      <c r="C829" t="s">
        <v>121</v>
      </c>
      <c r="D829" t="s">
        <v>121</v>
      </c>
      <c r="E829" t="s">
        <v>121</v>
      </c>
      <c r="F829" s="6" t="s">
        <v>1360</v>
      </c>
      <c r="H829">
        <v>2</v>
      </c>
      <c r="I829" s="1">
        <v>0</v>
      </c>
      <c r="J829">
        <v>0</v>
      </c>
      <c r="K829">
        <v>0</v>
      </c>
      <c r="L829" s="20">
        <v>15200</v>
      </c>
      <c r="M829">
        <v>1</v>
      </c>
      <c r="N829">
        <v>0</v>
      </c>
      <c r="O829">
        <v>0</v>
      </c>
      <c r="P829">
        <v>0</v>
      </c>
      <c r="Q829" s="22">
        <v>45420</v>
      </c>
      <c r="R829">
        <v>3</v>
      </c>
      <c r="S829" s="1">
        <v>0</v>
      </c>
      <c r="T829">
        <v>0</v>
      </c>
      <c r="U829">
        <v>0</v>
      </c>
      <c r="V829" s="21">
        <v>22710</v>
      </c>
      <c r="W829">
        <v>30</v>
      </c>
      <c r="X829">
        <v>0</v>
      </c>
      <c r="Y829">
        <v>0</v>
      </c>
      <c r="Z829">
        <v>0</v>
      </c>
      <c r="AA829">
        <v>10</v>
      </c>
    </row>
    <row r="830" spans="1:27" ht="14.25" x14ac:dyDescent="0.2">
      <c r="A830" s="12">
        <v>20147</v>
      </c>
      <c r="B830" t="s">
        <v>122</v>
      </c>
      <c r="C830" t="s">
        <v>121</v>
      </c>
      <c r="D830" t="s">
        <v>121</v>
      </c>
      <c r="E830" t="s">
        <v>121</v>
      </c>
      <c r="F830" s="6" t="s">
        <v>1360</v>
      </c>
      <c r="H830">
        <v>2</v>
      </c>
      <c r="I830" s="1">
        <v>0</v>
      </c>
      <c r="J830">
        <v>0</v>
      </c>
      <c r="K830">
        <v>0</v>
      </c>
      <c r="L830" s="20">
        <v>15200</v>
      </c>
      <c r="M830">
        <v>1</v>
      </c>
      <c r="N830">
        <v>0</v>
      </c>
      <c r="O830">
        <v>0</v>
      </c>
      <c r="P830">
        <v>0</v>
      </c>
      <c r="Q830" s="22">
        <v>45420</v>
      </c>
      <c r="R830">
        <v>3</v>
      </c>
      <c r="S830" s="1">
        <v>0</v>
      </c>
      <c r="T830">
        <v>0</v>
      </c>
      <c r="U830">
        <v>0</v>
      </c>
      <c r="V830" s="21">
        <v>22710</v>
      </c>
      <c r="W830">
        <v>4</v>
      </c>
      <c r="X830">
        <v>0</v>
      </c>
      <c r="Y830">
        <v>0</v>
      </c>
      <c r="Z830">
        <v>0</v>
      </c>
      <c r="AA830">
        <v>10</v>
      </c>
    </row>
    <row r="831" spans="1:27" ht="14.25" x14ac:dyDescent="0.2">
      <c r="A831" s="12">
        <v>20148</v>
      </c>
      <c r="B831" t="s">
        <v>178</v>
      </c>
      <c r="C831" t="s">
        <v>121</v>
      </c>
      <c r="D831" t="s">
        <v>121</v>
      </c>
      <c r="E831" t="s">
        <v>121</v>
      </c>
      <c r="F831" s="6" t="s">
        <v>1362</v>
      </c>
      <c r="H831">
        <v>2</v>
      </c>
      <c r="I831" s="1">
        <v>0</v>
      </c>
      <c r="J831">
        <v>0</v>
      </c>
      <c r="K831">
        <v>0</v>
      </c>
      <c r="L831" s="20">
        <v>15200</v>
      </c>
      <c r="M831">
        <v>1</v>
      </c>
      <c r="N831">
        <v>0</v>
      </c>
      <c r="O831">
        <v>0</v>
      </c>
      <c r="P831">
        <v>0</v>
      </c>
      <c r="Q831" s="22">
        <v>45600</v>
      </c>
      <c r="R831">
        <v>3</v>
      </c>
      <c r="S831" s="1">
        <v>0</v>
      </c>
      <c r="T831">
        <v>0</v>
      </c>
      <c r="U831">
        <v>0</v>
      </c>
      <c r="V831" s="21">
        <v>22800</v>
      </c>
      <c r="W831">
        <v>21</v>
      </c>
      <c r="X831">
        <v>0</v>
      </c>
      <c r="Y831">
        <v>0</v>
      </c>
      <c r="Z831">
        <v>0</v>
      </c>
      <c r="AA831">
        <v>1</v>
      </c>
    </row>
    <row r="832" spans="1:27" ht="14.25" x14ac:dyDescent="0.2">
      <c r="A832" s="12">
        <v>20149</v>
      </c>
      <c r="B832" t="s">
        <v>130</v>
      </c>
      <c r="C832" t="s">
        <v>121</v>
      </c>
      <c r="D832" t="s">
        <v>121</v>
      </c>
      <c r="E832" t="s">
        <v>121</v>
      </c>
      <c r="F832" s="6" t="s">
        <v>1364</v>
      </c>
      <c r="H832">
        <v>2</v>
      </c>
      <c r="I832" s="1">
        <v>0</v>
      </c>
      <c r="J832">
        <v>0</v>
      </c>
      <c r="K832">
        <v>0</v>
      </c>
      <c r="L832" s="20">
        <v>15200</v>
      </c>
      <c r="M832">
        <v>1</v>
      </c>
      <c r="N832">
        <v>0</v>
      </c>
      <c r="O832">
        <v>0</v>
      </c>
      <c r="P832">
        <v>0</v>
      </c>
      <c r="Q832" s="22">
        <v>45600</v>
      </c>
      <c r="R832">
        <v>3</v>
      </c>
      <c r="S832" s="1">
        <v>0</v>
      </c>
      <c r="T832">
        <v>0</v>
      </c>
      <c r="U832">
        <v>0</v>
      </c>
      <c r="V832" s="21">
        <v>22800</v>
      </c>
      <c r="W832">
        <v>9</v>
      </c>
      <c r="X832">
        <v>0</v>
      </c>
      <c r="Y832">
        <v>0</v>
      </c>
      <c r="Z832">
        <v>0</v>
      </c>
      <c r="AA832">
        <v>10</v>
      </c>
    </row>
    <row r="833" spans="1:27" ht="14.25" x14ac:dyDescent="0.2">
      <c r="A833" s="12">
        <v>20150</v>
      </c>
      <c r="B833" t="s">
        <v>123</v>
      </c>
      <c r="C833" t="s">
        <v>121</v>
      </c>
      <c r="D833" t="s">
        <v>121</v>
      </c>
      <c r="E833" t="s">
        <v>121</v>
      </c>
      <c r="F833" s="6" t="s">
        <v>1364</v>
      </c>
      <c r="H833">
        <v>2</v>
      </c>
      <c r="I833" s="1">
        <v>0</v>
      </c>
      <c r="J833">
        <v>0</v>
      </c>
      <c r="K833">
        <v>0</v>
      </c>
      <c r="L833" s="20">
        <v>15200</v>
      </c>
      <c r="M833">
        <v>1</v>
      </c>
      <c r="N833">
        <v>0</v>
      </c>
      <c r="O833">
        <v>0</v>
      </c>
      <c r="P833">
        <v>0</v>
      </c>
      <c r="Q833" s="22">
        <v>45600</v>
      </c>
      <c r="R833">
        <v>3</v>
      </c>
      <c r="S833" s="1">
        <v>0</v>
      </c>
      <c r="T833">
        <v>0</v>
      </c>
      <c r="U833">
        <v>0</v>
      </c>
      <c r="V833" s="21">
        <v>22800</v>
      </c>
      <c r="W833">
        <v>12</v>
      </c>
      <c r="X833">
        <v>0</v>
      </c>
      <c r="Y833">
        <v>0</v>
      </c>
      <c r="Z833">
        <v>0</v>
      </c>
      <c r="AA833">
        <v>10</v>
      </c>
    </row>
    <row r="834" spans="1:27" ht="14.25" x14ac:dyDescent="0.2">
      <c r="A834" s="12">
        <v>20201</v>
      </c>
      <c r="B834" t="s">
        <v>126</v>
      </c>
      <c r="C834" t="s">
        <v>121</v>
      </c>
      <c r="D834" t="s">
        <v>121</v>
      </c>
      <c r="E834" t="s">
        <v>121</v>
      </c>
      <c r="F834" s="6" t="s">
        <v>1366</v>
      </c>
      <c r="H834">
        <v>2</v>
      </c>
      <c r="I834" s="1">
        <v>0</v>
      </c>
      <c r="J834">
        <v>0</v>
      </c>
      <c r="K834">
        <v>0</v>
      </c>
      <c r="L834" s="20">
        <v>15260</v>
      </c>
      <c r="M834">
        <v>1</v>
      </c>
      <c r="N834">
        <v>0</v>
      </c>
      <c r="O834">
        <v>0</v>
      </c>
      <c r="P834">
        <v>0</v>
      </c>
      <c r="Q834" s="22">
        <v>45600</v>
      </c>
      <c r="R834">
        <v>3</v>
      </c>
      <c r="S834" s="1">
        <v>0</v>
      </c>
      <c r="T834">
        <v>0</v>
      </c>
      <c r="U834">
        <v>0</v>
      </c>
      <c r="V834" s="21">
        <v>22800</v>
      </c>
      <c r="W834">
        <v>23</v>
      </c>
      <c r="X834">
        <v>0</v>
      </c>
      <c r="Y834">
        <v>0</v>
      </c>
      <c r="Z834">
        <v>0</v>
      </c>
      <c r="AA834">
        <v>1</v>
      </c>
    </row>
    <row r="835" spans="1:27" ht="14.25" x14ac:dyDescent="0.2">
      <c r="A835" s="12">
        <v>20202</v>
      </c>
      <c r="B835" t="s">
        <v>131</v>
      </c>
      <c r="C835" t="s">
        <v>125</v>
      </c>
      <c r="D835" t="s">
        <v>121</v>
      </c>
      <c r="E835" t="s">
        <v>136</v>
      </c>
      <c r="F835" s="6" t="s">
        <v>1368</v>
      </c>
      <c r="H835">
        <v>2</v>
      </c>
      <c r="I835" s="1">
        <v>0</v>
      </c>
      <c r="J835">
        <v>0</v>
      </c>
      <c r="K835">
        <v>0</v>
      </c>
      <c r="L835" s="20">
        <v>15260</v>
      </c>
      <c r="M835">
        <v>1</v>
      </c>
      <c r="N835">
        <v>0</v>
      </c>
      <c r="O835">
        <v>0</v>
      </c>
      <c r="P835">
        <v>0</v>
      </c>
      <c r="Q835" s="22">
        <v>45600</v>
      </c>
      <c r="R835">
        <v>3</v>
      </c>
      <c r="S835" s="1">
        <v>0</v>
      </c>
      <c r="T835">
        <v>0</v>
      </c>
      <c r="U835">
        <v>0</v>
      </c>
      <c r="V835" s="21">
        <v>22800</v>
      </c>
      <c r="W835">
        <v>6</v>
      </c>
      <c r="X835">
        <v>1</v>
      </c>
      <c r="Y835">
        <v>0</v>
      </c>
      <c r="Z835">
        <v>3</v>
      </c>
      <c r="AA835">
        <v>10</v>
      </c>
    </row>
    <row r="836" spans="1:27" ht="14.25" x14ac:dyDescent="0.2">
      <c r="A836" s="12">
        <v>20203</v>
      </c>
      <c r="B836" t="s">
        <v>180</v>
      </c>
      <c r="C836" t="s">
        <v>121</v>
      </c>
      <c r="D836" t="s">
        <v>121</v>
      </c>
      <c r="E836" t="s">
        <v>121</v>
      </c>
      <c r="F836" s="6" t="s">
        <v>1370</v>
      </c>
      <c r="H836">
        <v>2</v>
      </c>
      <c r="I836" s="1">
        <v>0</v>
      </c>
      <c r="J836">
        <v>0</v>
      </c>
      <c r="K836">
        <v>0</v>
      </c>
      <c r="L836" s="20">
        <v>15260</v>
      </c>
      <c r="M836">
        <v>1</v>
      </c>
      <c r="N836">
        <v>0</v>
      </c>
      <c r="O836">
        <v>0</v>
      </c>
      <c r="P836">
        <v>0</v>
      </c>
      <c r="Q836" s="22">
        <v>45780</v>
      </c>
      <c r="R836">
        <v>3</v>
      </c>
      <c r="S836" s="1">
        <v>0</v>
      </c>
      <c r="T836">
        <v>0</v>
      </c>
      <c r="U836">
        <v>0</v>
      </c>
      <c r="V836" s="21">
        <v>22890</v>
      </c>
      <c r="W836">
        <v>15</v>
      </c>
      <c r="X836">
        <v>0</v>
      </c>
      <c r="Y836">
        <v>0</v>
      </c>
      <c r="Z836">
        <v>0</v>
      </c>
      <c r="AA836">
        <v>1</v>
      </c>
    </row>
    <row r="837" spans="1:27" ht="14.25" x14ac:dyDescent="0.2">
      <c r="A837" s="12">
        <v>20204</v>
      </c>
      <c r="B837" t="s">
        <v>178</v>
      </c>
      <c r="C837" t="s">
        <v>121</v>
      </c>
      <c r="D837" t="s">
        <v>121</v>
      </c>
      <c r="E837" t="s">
        <v>121</v>
      </c>
      <c r="F837" s="6" t="s">
        <v>1370</v>
      </c>
      <c r="H837">
        <v>2</v>
      </c>
      <c r="I837" s="1">
        <v>0</v>
      </c>
      <c r="J837">
        <v>0</v>
      </c>
      <c r="K837">
        <v>0</v>
      </c>
      <c r="L837" s="20">
        <v>15260</v>
      </c>
      <c r="M837">
        <v>1</v>
      </c>
      <c r="N837">
        <v>0</v>
      </c>
      <c r="O837">
        <v>0</v>
      </c>
      <c r="P837">
        <v>0</v>
      </c>
      <c r="Q837" s="22">
        <v>45780</v>
      </c>
      <c r="R837">
        <v>3</v>
      </c>
      <c r="S837" s="1">
        <v>0</v>
      </c>
      <c r="T837">
        <v>0</v>
      </c>
      <c r="U837">
        <v>0</v>
      </c>
      <c r="V837" s="21">
        <v>22890</v>
      </c>
      <c r="W837">
        <v>21</v>
      </c>
      <c r="X837">
        <v>0</v>
      </c>
      <c r="Y837">
        <v>0</v>
      </c>
      <c r="Z837">
        <v>0</v>
      </c>
      <c r="AA837">
        <v>1</v>
      </c>
    </row>
    <row r="838" spans="1:27" ht="14.25" x14ac:dyDescent="0.2">
      <c r="A838" s="12">
        <v>20205</v>
      </c>
      <c r="B838" t="s">
        <v>130</v>
      </c>
      <c r="C838" t="s">
        <v>121</v>
      </c>
      <c r="D838" t="s">
        <v>121</v>
      </c>
      <c r="E838" t="s">
        <v>121</v>
      </c>
      <c r="F838" s="6" t="s">
        <v>1372</v>
      </c>
      <c r="H838">
        <v>2</v>
      </c>
      <c r="I838" s="1">
        <v>0</v>
      </c>
      <c r="J838">
        <v>0</v>
      </c>
      <c r="K838">
        <v>0</v>
      </c>
      <c r="L838" s="20">
        <v>15260</v>
      </c>
      <c r="M838">
        <v>1</v>
      </c>
      <c r="N838">
        <v>0</v>
      </c>
      <c r="O838">
        <v>0</v>
      </c>
      <c r="P838">
        <v>0</v>
      </c>
      <c r="Q838" s="22">
        <v>45780</v>
      </c>
      <c r="R838">
        <v>3</v>
      </c>
      <c r="S838" s="1">
        <v>0</v>
      </c>
      <c r="T838">
        <v>0</v>
      </c>
      <c r="U838">
        <v>0</v>
      </c>
      <c r="V838" s="21">
        <v>22890</v>
      </c>
      <c r="W838">
        <v>9</v>
      </c>
      <c r="X838">
        <v>0</v>
      </c>
      <c r="Y838">
        <v>0</v>
      </c>
      <c r="Z838">
        <v>0</v>
      </c>
      <c r="AA838">
        <v>10</v>
      </c>
    </row>
    <row r="839" spans="1:27" ht="14.25" x14ac:dyDescent="0.2">
      <c r="A839" s="12">
        <v>20206</v>
      </c>
      <c r="B839" t="s">
        <v>181</v>
      </c>
      <c r="C839" t="s">
        <v>121</v>
      </c>
      <c r="D839" t="s">
        <v>121</v>
      </c>
      <c r="E839" t="s">
        <v>121</v>
      </c>
      <c r="F839" s="6" t="s">
        <v>1374</v>
      </c>
      <c r="H839">
        <v>2</v>
      </c>
      <c r="I839" s="1">
        <v>0</v>
      </c>
      <c r="J839">
        <v>0</v>
      </c>
      <c r="K839">
        <v>0</v>
      </c>
      <c r="L839" s="20">
        <v>15320</v>
      </c>
      <c r="M839">
        <v>1</v>
      </c>
      <c r="N839">
        <v>0</v>
      </c>
      <c r="O839">
        <v>0</v>
      </c>
      <c r="P839">
        <v>0</v>
      </c>
      <c r="Q839" s="22">
        <v>45780</v>
      </c>
      <c r="R839">
        <v>3</v>
      </c>
      <c r="S839" s="1">
        <v>0</v>
      </c>
      <c r="T839">
        <v>0</v>
      </c>
      <c r="U839">
        <v>0</v>
      </c>
      <c r="V839" s="21">
        <v>22890</v>
      </c>
      <c r="W839">
        <v>30</v>
      </c>
      <c r="X839">
        <v>0</v>
      </c>
      <c r="Y839">
        <v>0</v>
      </c>
      <c r="Z839">
        <v>0</v>
      </c>
      <c r="AA839">
        <v>10</v>
      </c>
    </row>
    <row r="840" spans="1:27" ht="14.25" x14ac:dyDescent="0.2">
      <c r="A840" s="12">
        <v>20207</v>
      </c>
      <c r="B840" t="s">
        <v>122</v>
      </c>
      <c r="C840" t="s">
        <v>121</v>
      </c>
      <c r="D840" t="s">
        <v>121</v>
      </c>
      <c r="E840" t="s">
        <v>121</v>
      </c>
      <c r="F840" s="6" t="s">
        <v>1374</v>
      </c>
      <c r="H840">
        <v>2</v>
      </c>
      <c r="I840" s="1">
        <v>0</v>
      </c>
      <c r="J840">
        <v>0</v>
      </c>
      <c r="K840">
        <v>0</v>
      </c>
      <c r="L840" s="20">
        <v>15320</v>
      </c>
      <c r="M840">
        <v>1</v>
      </c>
      <c r="N840">
        <v>0</v>
      </c>
      <c r="O840">
        <v>0</v>
      </c>
      <c r="P840">
        <v>0</v>
      </c>
      <c r="Q840" s="22">
        <v>45780</v>
      </c>
      <c r="R840">
        <v>3</v>
      </c>
      <c r="S840" s="1">
        <v>0</v>
      </c>
      <c r="T840">
        <v>0</v>
      </c>
      <c r="U840">
        <v>0</v>
      </c>
      <c r="V840" s="21">
        <v>22890</v>
      </c>
      <c r="W840">
        <v>4</v>
      </c>
      <c r="X840">
        <v>0</v>
      </c>
      <c r="Y840">
        <v>0</v>
      </c>
      <c r="Z840">
        <v>0</v>
      </c>
      <c r="AA840">
        <v>10</v>
      </c>
    </row>
    <row r="841" spans="1:27" ht="14.25" x14ac:dyDescent="0.2">
      <c r="A841" s="12">
        <v>20208</v>
      </c>
      <c r="B841" t="s">
        <v>178</v>
      </c>
      <c r="C841" t="s">
        <v>121</v>
      </c>
      <c r="D841" t="s">
        <v>121</v>
      </c>
      <c r="E841" t="s">
        <v>121</v>
      </c>
      <c r="F841" s="6" t="s">
        <v>1376</v>
      </c>
      <c r="H841">
        <v>2</v>
      </c>
      <c r="I841" s="1">
        <v>0</v>
      </c>
      <c r="J841">
        <v>0</v>
      </c>
      <c r="K841">
        <v>0</v>
      </c>
      <c r="L841" s="20">
        <v>15320</v>
      </c>
      <c r="M841">
        <v>1</v>
      </c>
      <c r="N841">
        <v>0</v>
      </c>
      <c r="O841">
        <v>0</v>
      </c>
      <c r="P841">
        <v>0</v>
      </c>
      <c r="Q841" s="22">
        <v>45960</v>
      </c>
      <c r="R841">
        <v>3</v>
      </c>
      <c r="S841" s="1">
        <v>0</v>
      </c>
      <c r="T841">
        <v>0</v>
      </c>
      <c r="U841">
        <v>0</v>
      </c>
      <c r="V841" s="21">
        <v>22980</v>
      </c>
      <c r="W841">
        <v>21</v>
      </c>
      <c r="X841">
        <v>0</v>
      </c>
      <c r="Y841">
        <v>0</v>
      </c>
      <c r="Z841">
        <v>0</v>
      </c>
      <c r="AA841">
        <v>1</v>
      </c>
    </row>
    <row r="842" spans="1:27" ht="14.25" x14ac:dyDescent="0.2">
      <c r="A842" s="12">
        <v>20209</v>
      </c>
      <c r="B842" t="s">
        <v>130</v>
      </c>
      <c r="C842" t="s">
        <v>121</v>
      </c>
      <c r="D842" t="s">
        <v>121</v>
      </c>
      <c r="E842" t="s">
        <v>121</v>
      </c>
      <c r="F842" s="6" t="s">
        <v>1378</v>
      </c>
      <c r="H842">
        <v>2</v>
      </c>
      <c r="I842" s="1">
        <v>0</v>
      </c>
      <c r="J842">
        <v>0</v>
      </c>
      <c r="K842">
        <v>0</v>
      </c>
      <c r="L842" s="20">
        <v>15320</v>
      </c>
      <c r="M842">
        <v>1</v>
      </c>
      <c r="N842">
        <v>0</v>
      </c>
      <c r="O842">
        <v>0</v>
      </c>
      <c r="P842">
        <v>0</v>
      </c>
      <c r="Q842" s="22">
        <v>45960</v>
      </c>
      <c r="R842">
        <v>3</v>
      </c>
      <c r="S842" s="1">
        <v>0</v>
      </c>
      <c r="T842">
        <v>0</v>
      </c>
      <c r="U842">
        <v>0</v>
      </c>
      <c r="V842" s="21">
        <v>22980</v>
      </c>
      <c r="W842">
        <v>9</v>
      </c>
      <c r="X842">
        <v>0</v>
      </c>
      <c r="Y842">
        <v>0</v>
      </c>
      <c r="Z842">
        <v>0</v>
      </c>
      <c r="AA842">
        <v>10</v>
      </c>
    </row>
    <row r="843" spans="1:27" ht="14.25" x14ac:dyDescent="0.2">
      <c r="A843" s="12">
        <v>20210</v>
      </c>
      <c r="B843" t="s">
        <v>123</v>
      </c>
      <c r="C843" t="s">
        <v>121</v>
      </c>
      <c r="D843" t="s">
        <v>121</v>
      </c>
      <c r="E843" t="s">
        <v>121</v>
      </c>
      <c r="F843" s="6" t="s">
        <v>1378</v>
      </c>
      <c r="H843">
        <v>2</v>
      </c>
      <c r="I843" s="1">
        <v>0</v>
      </c>
      <c r="J843">
        <v>0</v>
      </c>
      <c r="K843">
        <v>0</v>
      </c>
      <c r="L843" s="20">
        <v>15320</v>
      </c>
      <c r="M843">
        <v>1</v>
      </c>
      <c r="N843">
        <v>0</v>
      </c>
      <c r="O843">
        <v>0</v>
      </c>
      <c r="P843">
        <v>0</v>
      </c>
      <c r="Q843" s="22">
        <v>45960</v>
      </c>
      <c r="R843">
        <v>3</v>
      </c>
      <c r="S843" s="1">
        <v>0</v>
      </c>
      <c r="T843">
        <v>0</v>
      </c>
      <c r="U843">
        <v>0</v>
      </c>
      <c r="V843" s="21">
        <v>22980</v>
      </c>
      <c r="W843">
        <v>12</v>
      </c>
      <c r="X843">
        <v>0</v>
      </c>
      <c r="Y843">
        <v>0</v>
      </c>
      <c r="Z843">
        <v>0</v>
      </c>
      <c r="AA843">
        <v>10</v>
      </c>
    </row>
    <row r="844" spans="1:27" ht="14.25" x14ac:dyDescent="0.2">
      <c r="A844" s="12">
        <v>20211</v>
      </c>
      <c r="B844" t="s">
        <v>126</v>
      </c>
      <c r="C844" t="s">
        <v>121</v>
      </c>
      <c r="D844" t="s">
        <v>121</v>
      </c>
      <c r="E844" t="s">
        <v>121</v>
      </c>
      <c r="F844" s="6" t="s">
        <v>1380</v>
      </c>
      <c r="H844">
        <v>2</v>
      </c>
      <c r="I844" s="1">
        <v>0</v>
      </c>
      <c r="J844">
        <v>0</v>
      </c>
      <c r="K844">
        <v>0</v>
      </c>
      <c r="L844" s="20">
        <v>15380</v>
      </c>
      <c r="M844">
        <v>1</v>
      </c>
      <c r="N844">
        <v>0</v>
      </c>
      <c r="O844">
        <v>0</v>
      </c>
      <c r="P844">
        <v>0</v>
      </c>
      <c r="Q844" s="22">
        <v>45960</v>
      </c>
      <c r="R844">
        <v>3</v>
      </c>
      <c r="S844" s="1">
        <v>0</v>
      </c>
      <c r="T844">
        <v>0</v>
      </c>
      <c r="U844">
        <v>0</v>
      </c>
      <c r="V844" s="21">
        <v>22980</v>
      </c>
      <c r="W844">
        <v>23</v>
      </c>
      <c r="X844">
        <v>0</v>
      </c>
      <c r="Y844">
        <v>0</v>
      </c>
      <c r="Z844">
        <v>0</v>
      </c>
      <c r="AA844">
        <v>1</v>
      </c>
    </row>
    <row r="845" spans="1:27" ht="14.25" x14ac:dyDescent="0.2">
      <c r="A845" s="12">
        <v>20212</v>
      </c>
      <c r="B845" t="s">
        <v>131</v>
      </c>
      <c r="C845" t="s">
        <v>125</v>
      </c>
      <c r="D845" t="s">
        <v>121</v>
      </c>
      <c r="E845" t="s">
        <v>136</v>
      </c>
      <c r="F845" s="6" t="s">
        <v>1382</v>
      </c>
      <c r="H845">
        <v>2</v>
      </c>
      <c r="I845" s="1">
        <v>0</v>
      </c>
      <c r="J845">
        <v>0</v>
      </c>
      <c r="K845">
        <v>0</v>
      </c>
      <c r="L845" s="20">
        <v>15380</v>
      </c>
      <c r="M845">
        <v>1</v>
      </c>
      <c r="N845">
        <v>0</v>
      </c>
      <c r="O845">
        <v>0</v>
      </c>
      <c r="P845">
        <v>0</v>
      </c>
      <c r="Q845" s="22">
        <v>45960</v>
      </c>
      <c r="R845">
        <v>3</v>
      </c>
      <c r="S845" s="1">
        <v>0</v>
      </c>
      <c r="T845">
        <v>0</v>
      </c>
      <c r="U845">
        <v>0</v>
      </c>
      <c r="V845" s="21">
        <v>22980</v>
      </c>
      <c r="W845">
        <v>6</v>
      </c>
      <c r="X845">
        <v>1</v>
      </c>
      <c r="Y845">
        <v>0</v>
      </c>
      <c r="Z845">
        <v>3</v>
      </c>
      <c r="AA845">
        <v>10</v>
      </c>
    </row>
    <row r="846" spans="1:27" ht="14.25" x14ac:dyDescent="0.2">
      <c r="A846" s="12">
        <v>20213</v>
      </c>
      <c r="B846" t="s">
        <v>180</v>
      </c>
      <c r="C846" t="s">
        <v>121</v>
      </c>
      <c r="D846" t="s">
        <v>121</v>
      </c>
      <c r="E846" t="s">
        <v>121</v>
      </c>
      <c r="F846" s="6" t="s">
        <v>1384</v>
      </c>
      <c r="H846">
        <v>2</v>
      </c>
      <c r="I846" s="1">
        <v>0</v>
      </c>
      <c r="J846">
        <v>0</v>
      </c>
      <c r="K846">
        <v>0</v>
      </c>
      <c r="L846" s="20">
        <v>15380</v>
      </c>
      <c r="M846">
        <v>1</v>
      </c>
      <c r="N846">
        <v>0</v>
      </c>
      <c r="O846">
        <v>0</v>
      </c>
      <c r="P846">
        <v>0</v>
      </c>
      <c r="Q846" s="22">
        <v>46140</v>
      </c>
      <c r="R846">
        <v>3</v>
      </c>
      <c r="S846" s="1">
        <v>0</v>
      </c>
      <c r="T846">
        <v>0</v>
      </c>
      <c r="U846">
        <v>0</v>
      </c>
      <c r="V846" s="21">
        <v>23070</v>
      </c>
      <c r="W846">
        <v>15</v>
      </c>
      <c r="X846">
        <v>0</v>
      </c>
      <c r="Y846">
        <v>0</v>
      </c>
      <c r="Z846">
        <v>0</v>
      </c>
      <c r="AA846">
        <v>1</v>
      </c>
    </row>
    <row r="847" spans="1:27" ht="14.25" x14ac:dyDescent="0.2">
      <c r="A847" s="12">
        <v>20214</v>
      </c>
      <c r="B847" t="s">
        <v>178</v>
      </c>
      <c r="C847" t="s">
        <v>121</v>
      </c>
      <c r="D847" t="s">
        <v>121</v>
      </c>
      <c r="E847" t="s">
        <v>121</v>
      </c>
      <c r="F847" s="6" t="s">
        <v>1384</v>
      </c>
      <c r="H847">
        <v>2</v>
      </c>
      <c r="I847" s="1">
        <v>0</v>
      </c>
      <c r="J847">
        <v>0</v>
      </c>
      <c r="K847">
        <v>0</v>
      </c>
      <c r="L847" s="20">
        <v>15380</v>
      </c>
      <c r="M847">
        <v>1</v>
      </c>
      <c r="N847">
        <v>0</v>
      </c>
      <c r="O847">
        <v>0</v>
      </c>
      <c r="P847">
        <v>0</v>
      </c>
      <c r="Q847" s="22">
        <v>46140</v>
      </c>
      <c r="R847">
        <v>3</v>
      </c>
      <c r="S847" s="1">
        <v>0</v>
      </c>
      <c r="T847">
        <v>0</v>
      </c>
      <c r="U847">
        <v>0</v>
      </c>
      <c r="V847" s="21">
        <v>23070</v>
      </c>
      <c r="W847">
        <v>21</v>
      </c>
      <c r="X847">
        <v>0</v>
      </c>
      <c r="Y847">
        <v>0</v>
      </c>
      <c r="Z847">
        <v>0</v>
      </c>
      <c r="AA847">
        <v>1</v>
      </c>
    </row>
    <row r="848" spans="1:27" ht="14.25" x14ac:dyDescent="0.2">
      <c r="A848" s="12">
        <v>20215</v>
      </c>
      <c r="B848" t="s">
        <v>130</v>
      </c>
      <c r="C848" t="s">
        <v>121</v>
      </c>
      <c r="D848" t="s">
        <v>121</v>
      </c>
      <c r="E848" t="s">
        <v>121</v>
      </c>
      <c r="F848" s="6" t="s">
        <v>1386</v>
      </c>
      <c r="H848">
        <v>2</v>
      </c>
      <c r="I848" s="1">
        <v>0</v>
      </c>
      <c r="J848">
        <v>0</v>
      </c>
      <c r="K848">
        <v>0</v>
      </c>
      <c r="L848" s="20">
        <v>15380</v>
      </c>
      <c r="M848">
        <v>1</v>
      </c>
      <c r="N848">
        <v>0</v>
      </c>
      <c r="O848">
        <v>0</v>
      </c>
      <c r="P848">
        <v>0</v>
      </c>
      <c r="Q848" s="22">
        <v>46140</v>
      </c>
      <c r="R848">
        <v>3</v>
      </c>
      <c r="S848" s="1">
        <v>0</v>
      </c>
      <c r="T848">
        <v>0</v>
      </c>
      <c r="U848">
        <v>0</v>
      </c>
      <c r="V848" s="21">
        <v>23070</v>
      </c>
      <c r="W848">
        <v>9</v>
      </c>
      <c r="X848">
        <v>0</v>
      </c>
      <c r="Y848">
        <v>0</v>
      </c>
      <c r="Z848">
        <v>0</v>
      </c>
      <c r="AA848">
        <v>10</v>
      </c>
    </row>
    <row r="849" spans="1:27" ht="14.25" x14ac:dyDescent="0.2">
      <c r="A849" s="12">
        <v>20216</v>
      </c>
      <c r="B849" t="s">
        <v>181</v>
      </c>
      <c r="C849" t="s">
        <v>121</v>
      </c>
      <c r="D849" t="s">
        <v>121</v>
      </c>
      <c r="E849" t="s">
        <v>121</v>
      </c>
      <c r="F849" s="6" t="s">
        <v>1388</v>
      </c>
      <c r="H849">
        <v>2</v>
      </c>
      <c r="I849" s="1">
        <v>0</v>
      </c>
      <c r="J849">
        <v>0</v>
      </c>
      <c r="K849">
        <v>0</v>
      </c>
      <c r="L849" s="20">
        <v>15440</v>
      </c>
      <c r="M849">
        <v>1</v>
      </c>
      <c r="N849">
        <v>0</v>
      </c>
      <c r="O849">
        <v>0</v>
      </c>
      <c r="P849">
        <v>0</v>
      </c>
      <c r="Q849" s="22">
        <v>46140</v>
      </c>
      <c r="R849">
        <v>3</v>
      </c>
      <c r="S849" s="1">
        <v>0</v>
      </c>
      <c r="T849">
        <v>0</v>
      </c>
      <c r="U849">
        <v>0</v>
      </c>
      <c r="V849" s="21">
        <v>23070</v>
      </c>
      <c r="W849">
        <v>30</v>
      </c>
      <c r="X849">
        <v>0</v>
      </c>
      <c r="Y849">
        <v>0</v>
      </c>
      <c r="Z849">
        <v>0</v>
      </c>
      <c r="AA849">
        <v>10</v>
      </c>
    </row>
    <row r="850" spans="1:27" ht="14.25" x14ac:dyDescent="0.2">
      <c r="A850" s="12">
        <v>20217</v>
      </c>
      <c r="B850" t="s">
        <v>122</v>
      </c>
      <c r="C850" t="s">
        <v>121</v>
      </c>
      <c r="D850" t="s">
        <v>121</v>
      </c>
      <c r="E850" t="s">
        <v>121</v>
      </c>
      <c r="F850" s="6" t="s">
        <v>1388</v>
      </c>
      <c r="H850">
        <v>2</v>
      </c>
      <c r="I850" s="1">
        <v>0</v>
      </c>
      <c r="J850">
        <v>0</v>
      </c>
      <c r="K850">
        <v>0</v>
      </c>
      <c r="L850" s="20">
        <v>15440</v>
      </c>
      <c r="M850">
        <v>1</v>
      </c>
      <c r="N850">
        <v>0</v>
      </c>
      <c r="O850">
        <v>0</v>
      </c>
      <c r="P850">
        <v>0</v>
      </c>
      <c r="Q850" s="22">
        <v>46140</v>
      </c>
      <c r="R850">
        <v>3</v>
      </c>
      <c r="S850" s="1">
        <v>0</v>
      </c>
      <c r="T850">
        <v>0</v>
      </c>
      <c r="U850">
        <v>0</v>
      </c>
      <c r="V850" s="21">
        <v>23070</v>
      </c>
      <c r="W850">
        <v>4</v>
      </c>
      <c r="X850">
        <v>0</v>
      </c>
      <c r="Y850">
        <v>0</v>
      </c>
      <c r="Z850">
        <v>0</v>
      </c>
      <c r="AA850">
        <v>10</v>
      </c>
    </row>
    <row r="851" spans="1:27" ht="14.25" x14ac:dyDescent="0.2">
      <c r="A851" s="12">
        <v>20218</v>
      </c>
      <c r="B851" t="s">
        <v>178</v>
      </c>
      <c r="C851" t="s">
        <v>121</v>
      </c>
      <c r="D851" t="s">
        <v>121</v>
      </c>
      <c r="E851" t="s">
        <v>121</v>
      </c>
      <c r="F851" s="6" t="s">
        <v>1390</v>
      </c>
      <c r="H851">
        <v>2</v>
      </c>
      <c r="I851" s="1">
        <v>0</v>
      </c>
      <c r="J851">
        <v>0</v>
      </c>
      <c r="K851">
        <v>0</v>
      </c>
      <c r="L851" s="20">
        <v>15440</v>
      </c>
      <c r="M851">
        <v>1</v>
      </c>
      <c r="N851">
        <v>0</v>
      </c>
      <c r="O851">
        <v>0</v>
      </c>
      <c r="P851">
        <v>0</v>
      </c>
      <c r="Q851" s="22">
        <v>46320</v>
      </c>
      <c r="R851">
        <v>3</v>
      </c>
      <c r="S851" s="1">
        <v>0</v>
      </c>
      <c r="T851">
        <v>0</v>
      </c>
      <c r="U851">
        <v>0</v>
      </c>
      <c r="V851" s="21">
        <v>23160</v>
      </c>
      <c r="W851">
        <v>21</v>
      </c>
      <c r="X851">
        <v>0</v>
      </c>
      <c r="Y851">
        <v>0</v>
      </c>
      <c r="Z851">
        <v>0</v>
      </c>
      <c r="AA851">
        <v>1</v>
      </c>
    </row>
    <row r="852" spans="1:27" ht="14.25" x14ac:dyDescent="0.2">
      <c r="A852" s="12">
        <v>20219</v>
      </c>
      <c r="B852" t="s">
        <v>130</v>
      </c>
      <c r="C852" t="s">
        <v>121</v>
      </c>
      <c r="D852" t="s">
        <v>121</v>
      </c>
      <c r="E852" t="s">
        <v>121</v>
      </c>
      <c r="F852" s="6" t="s">
        <v>1392</v>
      </c>
      <c r="H852">
        <v>2</v>
      </c>
      <c r="I852" s="1">
        <v>0</v>
      </c>
      <c r="J852">
        <v>0</v>
      </c>
      <c r="K852">
        <v>0</v>
      </c>
      <c r="L852" s="20">
        <v>15440</v>
      </c>
      <c r="M852">
        <v>1</v>
      </c>
      <c r="N852">
        <v>0</v>
      </c>
      <c r="O852">
        <v>0</v>
      </c>
      <c r="P852">
        <v>0</v>
      </c>
      <c r="Q852" s="22">
        <v>46320</v>
      </c>
      <c r="R852">
        <v>3</v>
      </c>
      <c r="S852" s="1">
        <v>0</v>
      </c>
      <c r="T852">
        <v>0</v>
      </c>
      <c r="U852">
        <v>0</v>
      </c>
      <c r="V852" s="21">
        <v>23160</v>
      </c>
      <c r="W852">
        <v>9</v>
      </c>
      <c r="X852">
        <v>0</v>
      </c>
      <c r="Y852">
        <v>0</v>
      </c>
      <c r="Z852">
        <v>0</v>
      </c>
      <c r="AA852">
        <v>10</v>
      </c>
    </row>
    <row r="853" spans="1:27" ht="14.25" x14ac:dyDescent="0.2">
      <c r="A853" s="12">
        <v>20220</v>
      </c>
      <c r="B853" t="s">
        <v>123</v>
      </c>
      <c r="C853" t="s">
        <v>121</v>
      </c>
      <c r="D853" t="s">
        <v>121</v>
      </c>
      <c r="E853" t="s">
        <v>121</v>
      </c>
      <c r="F853" s="6" t="s">
        <v>1392</v>
      </c>
      <c r="H853">
        <v>2</v>
      </c>
      <c r="I853" s="1">
        <v>0</v>
      </c>
      <c r="J853">
        <v>0</v>
      </c>
      <c r="K853">
        <v>0</v>
      </c>
      <c r="L853" s="20">
        <v>15440</v>
      </c>
      <c r="M853">
        <v>1</v>
      </c>
      <c r="N853">
        <v>0</v>
      </c>
      <c r="O853">
        <v>0</v>
      </c>
      <c r="P853">
        <v>0</v>
      </c>
      <c r="Q853" s="22">
        <v>46320</v>
      </c>
      <c r="R853">
        <v>3</v>
      </c>
      <c r="S853" s="1">
        <v>0</v>
      </c>
      <c r="T853">
        <v>0</v>
      </c>
      <c r="U853">
        <v>0</v>
      </c>
      <c r="V853" s="21">
        <v>23160</v>
      </c>
      <c r="W853">
        <v>12</v>
      </c>
      <c r="X853">
        <v>0</v>
      </c>
      <c r="Y853">
        <v>0</v>
      </c>
      <c r="Z853">
        <v>0</v>
      </c>
      <c r="AA853">
        <v>10</v>
      </c>
    </row>
    <row r="854" spans="1:27" ht="14.25" x14ac:dyDescent="0.2">
      <c r="A854" s="12">
        <v>20221</v>
      </c>
      <c r="B854" t="s">
        <v>126</v>
      </c>
      <c r="C854" t="s">
        <v>121</v>
      </c>
      <c r="D854" t="s">
        <v>121</v>
      </c>
      <c r="E854" t="s">
        <v>121</v>
      </c>
      <c r="F854" s="6" t="s">
        <v>1394</v>
      </c>
      <c r="H854">
        <v>2</v>
      </c>
      <c r="I854" s="1">
        <v>0</v>
      </c>
      <c r="J854">
        <v>0</v>
      </c>
      <c r="K854">
        <v>0</v>
      </c>
      <c r="L854" s="20">
        <v>15500</v>
      </c>
      <c r="M854">
        <v>1</v>
      </c>
      <c r="N854">
        <v>0</v>
      </c>
      <c r="O854">
        <v>0</v>
      </c>
      <c r="P854">
        <v>0</v>
      </c>
      <c r="Q854" s="22">
        <v>46320</v>
      </c>
      <c r="R854">
        <v>3</v>
      </c>
      <c r="S854" s="1">
        <v>0</v>
      </c>
      <c r="T854">
        <v>0</v>
      </c>
      <c r="U854">
        <v>0</v>
      </c>
      <c r="V854" s="21">
        <v>23160</v>
      </c>
      <c r="W854">
        <v>23</v>
      </c>
      <c r="X854">
        <v>0</v>
      </c>
      <c r="Y854">
        <v>0</v>
      </c>
      <c r="Z854">
        <v>0</v>
      </c>
      <c r="AA854">
        <v>1</v>
      </c>
    </row>
    <row r="855" spans="1:27" ht="14.25" x14ac:dyDescent="0.2">
      <c r="A855" s="12">
        <v>20222</v>
      </c>
      <c r="B855" t="s">
        <v>131</v>
      </c>
      <c r="C855" t="s">
        <v>125</v>
      </c>
      <c r="D855" t="s">
        <v>121</v>
      </c>
      <c r="E855" t="s">
        <v>136</v>
      </c>
      <c r="F855" s="6" t="s">
        <v>1396</v>
      </c>
      <c r="H855">
        <v>2</v>
      </c>
      <c r="I855" s="1">
        <v>0</v>
      </c>
      <c r="J855">
        <v>0</v>
      </c>
      <c r="K855">
        <v>0</v>
      </c>
      <c r="L855" s="20">
        <v>15500</v>
      </c>
      <c r="M855">
        <v>1</v>
      </c>
      <c r="N855">
        <v>0</v>
      </c>
      <c r="O855">
        <v>0</v>
      </c>
      <c r="P855">
        <v>0</v>
      </c>
      <c r="Q855" s="22">
        <v>46320</v>
      </c>
      <c r="R855">
        <v>3</v>
      </c>
      <c r="S855" s="1">
        <v>0</v>
      </c>
      <c r="T855">
        <v>0</v>
      </c>
      <c r="U855">
        <v>0</v>
      </c>
      <c r="V855" s="21">
        <v>23160</v>
      </c>
      <c r="W855">
        <v>6</v>
      </c>
      <c r="X855">
        <v>1</v>
      </c>
      <c r="Y855">
        <v>0</v>
      </c>
      <c r="Z855">
        <v>3</v>
      </c>
      <c r="AA855">
        <v>10</v>
      </c>
    </row>
    <row r="856" spans="1:27" ht="14.25" x14ac:dyDescent="0.2">
      <c r="A856" s="12">
        <v>20223</v>
      </c>
      <c r="B856" t="s">
        <v>180</v>
      </c>
      <c r="C856" t="s">
        <v>121</v>
      </c>
      <c r="D856" t="s">
        <v>121</v>
      </c>
      <c r="E856" t="s">
        <v>121</v>
      </c>
      <c r="F856" s="6" t="s">
        <v>1398</v>
      </c>
      <c r="H856">
        <v>2</v>
      </c>
      <c r="I856" s="1">
        <v>0</v>
      </c>
      <c r="J856">
        <v>0</v>
      </c>
      <c r="K856">
        <v>0</v>
      </c>
      <c r="L856" s="20">
        <v>15500</v>
      </c>
      <c r="M856">
        <v>1</v>
      </c>
      <c r="N856">
        <v>0</v>
      </c>
      <c r="O856">
        <v>0</v>
      </c>
      <c r="P856">
        <v>0</v>
      </c>
      <c r="Q856" s="22">
        <v>46500</v>
      </c>
      <c r="R856">
        <v>3</v>
      </c>
      <c r="S856" s="1">
        <v>0</v>
      </c>
      <c r="T856">
        <v>0</v>
      </c>
      <c r="U856">
        <v>0</v>
      </c>
      <c r="V856" s="21">
        <v>23250</v>
      </c>
      <c r="W856">
        <v>15</v>
      </c>
      <c r="X856">
        <v>0</v>
      </c>
      <c r="Y856">
        <v>0</v>
      </c>
      <c r="Z856">
        <v>0</v>
      </c>
      <c r="AA856">
        <v>1</v>
      </c>
    </row>
    <row r="857" spans="1:27" ht="14.25" x14ac:dyDescent="0.2">
      <c r="A857" s="12">
        <v>20224</v>
      </c>
      <c r="B857" t="s">
        <v>178</v>
      </c>
      <c r="C857" t="s">
        <v>121</v>
      </c>
      <c r="D857" t="s">
        <v>121</v>
      </c>
      <c r="E857" t="s">
        <v>121</v>
      </c>
      <c r="F857" s="6" t="s">
        <v>1398</v>
      </c>
      <c r="H857">
        <v>2</v>
      </c>
      <c r="I857" s="1">
        <v>0</v>
      </c>
      <c r="J857">
        <v>0</v>
      </c>
      <c r="K857">
        <v>0</v>
      </c>
      <c r="L857" s="20">
        <v>15500</v>
      </c>
      <c r="M857">
        <v>1</v>
      </c>
      <c r="N857">
        <v>0</v>
      </c>
      <c r="O857">
        <v>0</v>
      </c>
      <c r="P857">
        <v>0</v>
      </c>
      <c r="Q857" s="22">
        <v>46500</v>
      </c>
      <c r="R857">
        <v>3</v>
      </c>
      <c r="S857" s="1">
        <v>0</v>
      </c>
      <c r="T857">
        <v>0</v>
      </c>
      <c r="U857">
        <v>0</v>
      </c>
      <c r="V857" s="21">
        <v>23250</v>
      </c>
      <c r="W857">
        <v>21</v>
      </c>
      <c r="X857">
        <v>0</v>
      </c>
      <c r="Y857">
        <v>0</v>
      </c>
      <c r="Z857">
        <v>0</v>
      </c>
      <c r="AA857">
        <v>1</v>
      </c>
    </row>
    <row r="858" spans="1:27" ht="14.25" x14ac:dyDescent="0.2">
      <c r="A858" s="12">
        <v>20225</v>
      </c>
      <c r="B858" t="s">
        <v>130</v>
      </c>
      <c r="C858" t="s">
        <v>121</v>
      </c>
      <c r="D858" t="s">
        <v>121</v>
      </c>
      <c r="E858" t="s">
        <v>121</v>
      </c>
      <c r="F858" s="6" t="s">
        <v>1400</v>
      </c>
      <c r="H858">
        <v>2</v>
      </c>
      <c r="I858" s="1">
        <v>0</v>
      </c>
      <c r="J858">
        <v>0</v>
      </c>
      <c r="K858">
        <v>0</v>
      </c>
      <c r="L858" s="20">
        <v>15500</v>
      </c>
      <c r="M858">
        <v>1</v>
      </c>
      <c r="N858">
        <v>0</v>
      </c>
      <c r="O858">
        <v>0</v>
      </c>
      <c r="P858">
        <v>0</v>
      </c>
      <c r="Q858" s="22">
        <v>46500</v>
      </c>
      <c r="R858">
        <v>3</v>
      </c>
      <c r="S858" s="1">
        <v>0</v>
      </c>
      <c r="T858">
        <v>0</v>
      </c>
      <c r="U858">
        <v>0</v>
      </c>
      <c r="V858" s="21">
        <v>23250</v>
      </c>
      <c r="W858">
        <v>9</v>
      </c>
      <c r="X858">
        <v>0</v>
      </c>
      <c r="Y858">
        <v>0</v>
      </c>
      <c r="Z858">
        <v>0</v>
      </c>
      <c r="AA858">
        <v>10</v>
      </c>
    </row>
    <row r="859" spans="1:27" ht="14.25" x14ac:dyDescent="0.2">
      <c r="A859" s="12">
        <v>20226</v>
      </c>
      <c r="B859" t="s">
        <v>181</v>
      </c>
      <c r="C859" t="s">
        <v>121</v>
      </c>
      <c r="D859" t="s">
        <v>121</v>
      </c>
      <c r="E859" t="s">
        <v>121</v>
      </c>
      <c r="F859" s="6" t="s">
        <v>1402</v>
      </c>
      <c r="H859">
        <v>2</v>
      </c>
      <c r="I859" s="1">
        <v>0</v>
      </c>
      <c r="J859">
        <v>0</v>
      </c>
      <c r="K859">
        <v>0</v>
      </c>
      <c r="L859" s="20">
        <v>15560</v>
      </c>
      <c r="M859">
        <v>1</v>
      </c>
      <c r="N859">
        <v>0</v>
      </c>
      <c r="O859">
        <v>0</v>
      </c>
      <c r="P859">
        <v>0</v>
      </c>
      <c r="Q859" s="22">
        <v>46500</v>
      </c>
      <c r="R859">
        <v>3</v>
      </c>
      <c r="S859" s="1">
        <v>0</v>
      </c>
      <c r="T859">
        <v>0</v>
      </c>
      <c r="U859">
        <v>0</v>
      </c>
      <c r="V859" s="21">
        <v>23250</v>
      </c>
      <c r="W859">
        <v>30</v>
      </c>
      <c r="X859">
        <v>0</v>
      </c>
      <c r="Y859">
        <v>0</v>
      </c>
      <c r="Z859">
        <v>0</v>
      </c>
      <c r="AA859">
        <v>10</v>
      </c>
    </row>
    <row r="860" spans="1:27" ht="14.25" x14ac:dyDescent="0.2">
      <c r="A860" s="12">
        <v>20227</v>
      </c>
      <c r="B860" t="s">
        <v>122</v>
      </c>
      <c r="C860" t="s">
        <v>121</v>
      </c>
      <c r="D860" t="s">
        <v>121</v>
      </c>
      <c r="E860" t="s">
        <v>121</v>
      </c>
      <c r="F860" s="6" t="s">
        <v>1402</v>
      </c>
      <c r="H860">
        <v>2</v>
      </c>
      <c r="I860" s="1">
        <v>0</v>
      </c>
      <c r="J860">
        <v>0</v>
      </c>
      <c r="K860">
        <v>0</v>
      </c>
      <c r="L860" s="20">
        <v>15560</v>
      </c>
      <c r="M860">
        <v>1</v>
      </c>
      <c r="N860">
        <v>0</v>
      </c>
      <c r="O860">
        <v>0</v>
      </c>
      <c r="P860">
        <v>0</v>
      </c>
      <c r="Q860" s="22">
        <v>46500</v>
      </c>
      <c r="R860">
        <v>3</v>
      </c>
      <c r="S860" s="1">
        <v>0</v>
      </c>
      <c r="T860">
        <v>0</v>
      </c>
      <c r="U860">
        <v>0</v>
      </c>
      <c r="V860" s="21">
        <v>23250</v>
      </c>
      <c r="W860">
        <v>4</v>
      </c>
      <c r="X860">
        <v>0</v>
      </c>
      <c r="Y860">
        <v>0</v>
      </c>
      <c r="Z860">
        <v>0</v>
      </c>
      <c r="AA860">
        <v>10</v>
      </c>
    </row>
    <row r="861" spans="1:27" ht="14.25" x14ac:dyDescent="0.2">
      <c r="A861" s="12">
        <v>20228</v>
      </c>
      <c r="B861" t="s">
        <v>178</v>
      </c>
      <c r="C861" t="s">
        <v>121</v>
      </c>
      <c r="D861" t="s">
        <v>121</v>
      </c>
      <c r="E861" t="s">
        <v>121</v>
      </c>
      <c r="F861" s="6" t="s">
        <v>1404</v>
      </c>
      <c r="H861">
        <v>2</v>
      </c>
      <c r="I861" s="1">
        <v>0</v>
      </c>
      <c r="J861">
        <v>0</v>
      </c>
      <c r="K861">
        <v>0</v>
      </c>
      <c r="L861" s="20">
        <v>15560</v>
      </c>
      <c r="M861">
        <v>1</v>
      </c>
      <c r="N861">
        <v>0</v>
      </c>
      <c r="O861">
        <v>0</v>
      </c>
      <c r="P861">
        <v>0</v>
      </c>
      <c r="Q861" s="22">
        <v>46680</v>
      </c>
      <c r="R861">
        <v>3</v>
      </c>
      <c r="S861" s="1">
        <v>0</v>
      </c>
      <c r="T861">
        <v>0</v>
      </c>
      <c r="U861">
        <v>0</v>
      </c>
      <c r="V861" s="21">
        <v>23340</v>
      </c>
      <c r="W861">
        <v>21</v>
      </c>
      <c r="X861">
        <v>0</v>
      </c>
      <c r="Y861">
        <v>0</v>
      </c>
      <c r="Z861">
        <v>0</v>
      </c>
      <c r="AA861">
        <v>1</v>
      </c>
    </row>
    <row r="862" spans="1:27" ht="14.25" x14ac:dyDescent="0.2">
      <c r="A862" s="12">
        <v>20229</v>
      </c>
      <c r="B862" t="s">
        <v>130</v>
      </c>
      <c r="C862" t="s">
        <v>121</v>
      </c>
      <c r="D862" t="s">
        <v>121</v>
      </c>
      <c r="E862" t="s">
        <v>121</v>
      </c>
      <c r="F862" s="6" t="s">
        <v>1406</v>
      </c>
      <c r="H862">
        <v>2</v>
      </c>
      <c r="I862" s="1">
        <v>0</v>
      </c>
      <c r="J862">
        <v>0</v>
      </c>
      <c r="K862">
        <v>0</v>
      </c>
      <c r="L862" s="20">
        <v>15560</v>
      </c>
      <c r="M862">
        <v>1</v>
      </c>
      <c r="N862">
        <v>0</v>
      </c>
      <c r="O862">
        <v>0</v>
      </c>
      <c r="P862">
        <v>0</v>
      </c>
      <c r="Q862" s="22">
        <v>46680</v>
      </c>
      <c r="R862">
        <v>3</v>
      </c>
      <c r="S862" s="1">
        <v>0</v>
      </c>
      <c r="T862">
        <v>0</v>
      </c>
      <c r="U862">
        <v>0</v>
      </c>
      <c r="V862" s="21">
        <v>23340</v>
      </c>
      <c r="W862">
        <v>9</v>
      </c>
      <c r="X862">
        <v>0</v>
      </c>
      <c r="Y862">
        <v>0</v>
      </c>
      <c r="Z862">
        <v>0</v>
      </c>
      <c r="AA862">
        <v>10</v>
      </c>
    </row>
    <row r="863" spans="1:27" ht="14.25" x14ac:dyDescent="0.2">
      <c r="A863" s="12">
        <v>20230</v>
      </c>
      <c r="B863" t="s">
        <v>123</v>
      </c>
      <c r="C863" t="s">
        <v>121</v>
      </c>
      <c r="D863" t="s">
        <v>121</v>
      </c>
      <c r="E863" t="s">
        <v>121</v>
      </c>
      <c r="F863" s="6" t="s">
        <v>1406</v>
      </c>
      <c r="H863">
        <v>2</v>
      </c>
      <c r="I863" s="1">
        <v>0</v>
      </c>
      <c r="J863">
        <v>0</v>
      </c>
      <c r="K863">
        <v>0</v>
      </c>
      <c r="L863" s="20">
        <v>15560</v>
      </c>
      <c r="M863">
        <v>1</v>
      </c>
      <c r="N863">
        <v>0</v>
      </c>
      <c r="O863">
        <v>0</v>
      </c>
      <c r="P863">
        <v>0</v>
      </c>
      <c r="Q863" s="22">
        <v>46680</v>
      </c>
      <c r="R863">
        <v>3</v>
      </c>
      <c r="S863" s="1">
        <v>0</v>
      </c>
      <c r="T863">
        <v>0</v>
      </c>
      <c r="U863">
        <v>0</v>
      </c>
      <c r="V863" s="21">
        <v>23340</v>
      </c>
      <c r="W863">
        <v>12</v>
      </c>
      <c r="X863">
        <v>0</v>
      </c>
      <c r="Y863">
        <v>0</v>
      </c>
      <c r="Z863">
        <v>0</v>
      </c>
      <c r="AA863">
        <v>10</v>
      </c>
    </row>
    <row r="864" spans="1:27" ht="14.25" x14ac:dyDescent="0.2">
      <c r="A864" s="12">
        <v>20231</v>
      </c>
      <c r="B864" t="s">
        <v>126</v>
      </c>
      <c r="C864" t="s">
        <v>121</v>
      </c>
      <c r="D864" t="s">
        <v>121</v>
      </c>
      <c r="E864" t="s">
        <v>121</v>
      </c>
      <c r="F864" s="6" t="s">
        <v>1408</v>
      </c>
      <c r="H864">
        <v>2</v>
      </c>
      <c r="I864" s="1">
        <v>0</v>
      </c>
      <c r="J864">
        <v>0</v>
      </c>
      <c r="K864">
        <v>0</v>
      </c>
      <c r="L864" s="20">
        <v>15620</v>
      </c>
      <c r="M864">
        <v>1</v>
      </c>
      <c r="N864">
        <v>0</v>
      </c>
      <c r="O864">
        <v>0</v>
      </c>
      <c r="P864">
        <v>0</v>
      </c>
      <c r="Q864" s="22">
        <v>46680</v>
      </c>
      <c r="R864">
        <v>3</v>
      </c>
      <c r="S864" s="1">
        <v>0</v>
      </c>
      <c r="T864">
        <v>0</v>
      </c>
      <c r="U864">
        <v>0</v>
      </c>
      <c r="V864" s="21">
        <v>23340</v>
      </c>
      <c r="W864">
        <v>23</v>
      </c>
      <c r="X864">
        <v>0</v>
      </c>
      <c r="Y864">
        <v>0</v>
      </c>
      <c r="Z864">
        <v>0</v>
      </c>
      <c r="AA864">
        <v>1</v>
      </c>
    </row>
    <row r="865" spans="1:27" ht="14.25" x14ac:dyDescent="0.2">
      <c r="A865" s="12">
        <v>20232</v>
      </c>
      <c r="B865" t="s">
        <v>131</v>
      </c>
      <c r="C865" t="s">
        <v>125</v>
      </c>
      <c r="D865" t="s">
        <v>121</v>
      </c>
      <c r="E865" t="s">
        <v>136</v>
      </c>
      <c r="F865" s="6" t="s">
        <v>1410</v>
      </c>
      <c r="H865">
        <v>2</v>
      </c>
      <c r="I865" s="1">
        <v>0</v>
      </c>
      <c r="J865">
        <v>0</v>
      </c>
      <c r="K865">
        <v>0</v>
      </c>
      <c r="L865" s="20">
        <v>15620</v>
      </c>
      <c r="M865">
        <v>1</v>
      </c>
      <c r="N865">
        <v>0</v>
      </c>
      <c r="O865">
        <v>0</v>
      </c>
      <c r="P865">
        <v>0</v>
      </c>
      <c r="Q865" s="22">
        <v>46680</v>
      </c>
      <c r="R865">
        <v>3</v>
      </c>
      <c r="S865" s="1">
        <v>0</v>
      </c>
      <c r="T865">
        <v>0</v>
      </c>
      <c r="U865">
        <v>0</v>
      </c>
      <c r="V865" s="21">
        <v>23340</v>
      </c>
      <c r="W865">
        <v>6</v>
      </c>
      <c r="X865">
        <v>1</v>
      </c>
      <c r="Y865">
        <v>0</v>
      </c>
      <c r="Z865">
        <v>3</v>
      </c>
      <c r="AA865">
        <v>10</v>
      </c>
    </row>
    <row r="866" spans="1:27" ht="14.25" x14ac:dyDescent="0.2">
      <c r="A866" s="12">
        <v>20233</v>
      </c>
      <c r="B866" t="s">
        <v>180</v>
      </c>
      <c r="C866" t="s">
        <v>121</v>
      </c>
      <c r="D866" t="s">
        <v>121</v>
      </c>
      <c r="E866" t="s">
        <v>121</v>
      </c>
      <c r="F866" s="6" t="s">
        <v>1412</v>
      </c>
      <c r="H866">
        <v>2</v>
      </c>
      <c r="I866" s="1">
        <v>0</v>
      </c>
      <c r="J866">
        <v>0</v>
      </c>
      <c r="K866">
        <v>0</v>
      </c>
      <c r="L866" s="20">
        <v>15620</v>
      </c>
      <c r="M866">
        <v>1</v>
      </c>
      <c r="N866">
        <v>0</v>
      </c>
      <c r="O866">
        <v>0</v>
      </c>
      <c r="P866">
        <v>0</v>
      </c>
      <c r="Q866" s="22">
        <v>46860</v>
      </c>
      <c r="R866">
        <v>3</v>
      </c>
      <c r="S866" s="1">
        <v>0</v>
      </c>
      <c r="T866">
        <v>0</v>
      </c>
      <c r="U866">
        <v>0</v>
      </c>
      <c r="V866" s="21">
        <v>23430</v>
      </c>
      <c r="W866">
        <v>15</v>
      </c>
      <c r="X866">
        <v>0</v>
      </c>
      <c r="Y866">
        <v>0</v>
      </c>
      <c r="Z866">
        <v>0</v>
      </c>
      <c r="AA866">
        <v>1</v>
      </c>
    </row>
    <row r="867" spans="1:27" ht="14.25" x14ac:dyDescent="0.2">
      <c r="A867" s="12">
        <v>20234</v>
      </c>
      <c r="B867" t="s">
        <v>178</v>
      </c>
      <c r="C867" t="s">
        <v>121</v>
      </c>
      <c r="D867" t="s">
        <v>121</v>
      </c>
      <c r="E867" t="s">
        <v>121</v>
      </c>
      <c r="F867" s="6" t="s">
        <v>1412</v>
      </c>
      <c r="H867">
        <v>2</v>
      </c>
      <c r="I867" s="1">
        <v>0</v>
      </c>
      <c r="J867">
        <v>0</v>
      </c>
      <c r="K867">
        <v>0</v>
      </c>
      <c r="L867" s="20">
        <v>15620</v>
      </c>
      <c r="M867">
        <v>1</v>
      </c>
      <c r="N867">
        <v>0</v>
      </c>
      <c r="O867">
        <v>0</v>
      </c>
      <c r="P867">
        <v>0</v>
      </c>
      <c r="Q867" s="22">
        <v>46860</v>
      </c>
      <c r="R867">
        <v>3</v>
      </c>
      <c r="S867" s="1">
        <v>0</v>
      </c>
      <c r="T867">
        <v>0</v>
      </c>
      <c r="U867">
        <v>0</v>
      </c>
      <c r="V867" s="21">
        <v>23430</v>
      </c>
      <c r="W867">
        <v>21</v>
      </c>
      <c r="X867">
        <v>0</v>
      </c>
      <c r="Y867">
        <v>0</v>
      </c>
      <c r="Z867">
        <v>0</v>
      </c>
      <c r="AA867">
        <v>1</v>
      </c>
    </row>
    <row r="868" spans="1:27" ht="14.25" x14ac:dyDescent="0.2">
      <c r="A868" s="12">
        <v>20235</v>
      </c>
      <c r="B868" t="s">
        <v>130</v>
      </c>
      <c r="C868" t="s">
        <v>121</v>
      </c>
      <c r="D868" t="s">
        <v>121</v>
      </c>
      <c r="E868" t="s">
        <v>121</v>
      </c>
      <c r="F868" s="6" t="s">
        <v>1414</v>
      </c>
      <c r="H868">
        <v>2</v>
      </c>
      <c r="I868" s="1">
        <v>0</v>
      </c>
      <c r="J868">
        <v>0</v>
      </c>
      <c r="K868">
        <v>0</v>
      </c>
      <c r="L868" s="20">
        <v>15620</v>
      </c>
      <c r="M868">
        <v>1</v>
      </c>
      <c r="N868">
        <v>0</v>
      </c>
      <c r="O868">
        <v>0</v>
      </c>
      <c r="P868">
        <v>0</v>
      </c>
      <c r="Q868" s="22">
        <v>46860</v>
      </c>
      <c r="R868">
        <v>3</v>
      </c>
      <c r="S868" s="1">
        <v>0</v>
      </c>
      <c r="T868">
        <v>0</v>
      </c>
      <c r="U868">
        <v>0</v>
      </c>
      <c r="V868" s="21">
        <v>23430</v>
      </c>
      <c r="W868">
        <v>9</v>
      </c>
      <c r="X868">
        <v>0</v>
      </c>
      <c r="Y868">
        <v>0</v>
      </c>
      <c r="Z868">
        <v>0</v>
      </c>
      <c r="AA868">
        <v>10</v>
      </c>
    </row>
    <row r="869" spans="1:27" ht="14.25" x14ac:dyDescent="0.2">
      <c r="A869" s="12">
        <v>20236</v>
      </c>
      <c r="B869" t="s">
        <v>181</v>
      </c>
      <c r="C869" t="s">
        <v>121</v>
      </c>
      <c r="D869" t="s">
        <v>121</v>
      </c>
      <c r="E869" t="s">
        <v>121</v>
      </c>
      <c r="F869" s="6" t="s">
        <v>1416</v>
      </c>
      <c r="H869">
        <v>2</v>
      </c>
      <c r="I869" s="1">
        <v>0</v>
      </c>
      <c r="J869">
        <v>0</v>
      </c>
      <c r="K869">
        <v>0</v>
      </c>
      <c r="L869" s="20">
        <v>15680</v>
      </c>
      <c r="M869">
        <v>1</v>
      </c>
      <c r="N869">
        <v>0</v>
      </c>
      <c r="O869">
        <v>0</v>
      </c>
      <c r="P869">
        <v>0</v>
      </c>
      <c r="Q869" s="22">
        <v>46860</v>
      </c>
      <c r="R869">
        <v>3</v>
      </c>
      <c r="S869" s="1">
        <v>0</v>
      </c>
      <c r="T869">
        <v>0</v>
      </c>
      <c r="U869">
        <v>0</v>
      </c>
      <c r="V869" s="21">
        <v>23430</v>
      </c>
      <c r="W869">
        <v>30</v>
      </c>
      <c r="X869">
        <v>0</v>
      </c>
      <c r="Y869">
        <v>0</v>
      </c>
      <c r="Z869">
        <v>0</v>
      </c>
      <c r="AA869">
        <v>10</v>
      </c>
    </row>
    <row r="870" spans="1:27" ht="14.25" x14ac:dyDescent="0.2">
      <c r="A870" s="12">
        <v>20237</v>
      </c>
      <c r="B870" t="s">
        <v>122</v>
      </c>
      <c r="C870" t="s">
        <v>121</v>
      </c>
      <c r="D870" t="s">
        <v>121</v>
      </c>
      <c r="E870" t="s">
        <v>121</v>
      </c>
      <c r="F870" s="6" t="s">
        <v>1416</v>
      </c>
      <c r="H870">
        <v>2</v>
      </c>
      <c r="I870" s="1">
        <v>0</v>
      </c>
      <c r="J870">
        <v>0</v>
      </c>
      <c r="K870">
        <v>0</v>
      </c>
      <c r="L870" s="20">
        <v>15680</v>
      </c>
      <c r="M870">
        <v>1</v>
      </c>
      <c r="N870">
        <v>0</v>
      </c>
      <c r="O870">
        <v>0</v>
      </c>
      <c r="P870">
        <v>0</v>
      </c>
      <c r="Q870" s="22">
        <v>46860</v>
      </c>
      <c r="R870">
        <v>3</v>
      </c>
      <c r="S870" s="1">
        <v>0</v>
      </c>
      <c r="T870">
        <v>0</v>
      </c>
      <c r="U870">
        <v>0</v>
      </c>
      <c r="V870" s="21">
        <v>23430</v>
      </c>
      <c r="W870">
        <v>4</v>
      </c>
      <c r="X870">
        <v>0</v>
      </c>
      <c r="Y870">
        <v>0</v>
      </c>
      <c r="Z870">
        <v>0</v>
      </c>
      <c r="AA870">
        <v>10</v>
      </c>
    </row>
    <row r="871" spans="1:27" ht="14.25" x14ac:dyDescent="0.2">
      <c r="A871" s="12">
        <v>20238</v>
      </c>
      <c r="B871" t="s">
        <v>178</v>
      </c>
      <c r="C871" t="s">
        <v>121</v>
      </c>
      <c r="D871" t="s">
        <v>121</v>
      </c>
      <c r="E871" t="s">
        <v>121</v>
      </c>
      <c r="F871" s="6" t="s">
        <v>1418</v>
      </c>
      <c r="H871">
        <v>2</v>
      </c>
      <c r="I871" s="1">
        <v>0</v>
      </c>
      <c r="J871">
        <v>0</v>
      </c>
      <c r="K871">
        <v>0</v>
      </c>
      <c r="L871" s="20">
        <v>15680</v>
      </c>
      <c r="M871">
        <v>1</v>
      </c>
      <c r="N871">
        <v>0</v>
      </c>
      <c r="O871">
        <v>0</v>
      </c>
      <c r="P871">
        <v>0</v>
      </c>
      <c r="Q871" s="22">
        <v>47040</v>
      </c>
      <c r="R871">
        <v>3</v>
      </c>
      <c r="S871" s="1">
        <v>0</v>
      </c>
      <c r="T871">
        <v>0</v>
      </c>
      <c r="U871">
        <v>0</v>
      </c>
      <c r="V871" s="21">
        <v>23520</v>
      </c>
      <c r="W871">
        <v>21</v>
      </c>
      <c r="X871">
        <v>0</v>
      </c>
      <c r="Y871">
        <v>0</v>
      </c>
      <c r="Z871">
        <v>0</v>
      </c>
      <c r="AA871">
        <v>1</v>
      </c>
    </row>
    <row r="872" spans="1:27" ht="14.25" x14ac:dyDescent="0.2">
      <c r="A872" s="12">
        <v>20239</v>
      </c>
      <c r="B872" t="s">
        <v>130</v>
      </c>
      <c r="C872" t="s">
        <v>121</v>
      </c>
      <c r="D872" t="s">
        <v>121</v>
      </c>
      <c r="E872" t="s">
        <v>121</v>
      </c>
      <c r="F872" s="6" t="s">
        <v>1420</v>
      </c>
      <c r="H872">
        <v>2</v>
      </c>
      <c r="I872" s="1">
        <v>0</v>
      </c>
      <c r="J872">
        <v>0</v>
      </c>
      <c r="K872">
        <v>0</v>
      </c>
      <c r="L872" s="20">
        <v>15680</v>
      </c>
      <c r="M872">
        <v>1</v>
      </c>
      <c r="N872">
        <v>0</v>
      </c>
      <c r="O872">
        <v>0</v>
      </c>
      <c r="P872">
        <v>0</v>
      </c>
      <c r="Q872" s="22">
        <v>47040</v>
      </c>
      <c r="R872">
        <v>3</v>
      </c>
      <c r="S872" s="1">
        <v>0</v>
      </c>
      <c r="T872">
        <v>0</v>
      </c>
      <c r="U872">
        <v>0</v>
      </c>
      <c r="V872" s="21">
        <v>23520</v>
      </c>
      <c r="W872">
        <v>9</v>
      </c>
      <c r="X872">
        <v>0</v>
      </c>
      <c r="Y872">
        <v>0</v>
      </c>
      <c r="Z872">
        <v>0</v>
      </c>
      <c r="AA872">
        <v>10</v>
      </c>
    </row>
    <row r="873" spans="1:27" ht="14.25" x14ac:dyDescent="0.2">
      <c r="A873" s="12">
        <v>20240</v>
      </c>
      <c r="B873" t="s">
        <v>123</v>
      </c>
      <c r="C873" t="s">
        <v>121</v>
      </c>
      <c r="D873" t="s">
        <v>121</v>
      </c>
      <c r="E873" t="s">
        <v>121</v>
      </c>
      <c r="F873" s="6" t="s">
        <v>1420</v>
      </c>
      <c r="H873">
        <v>2</v>
      </c>
      <c r="I873" s="1">
        <v>0</v>
      </c>
      <c r="J873">
        <v>0</v>
      </c>
      <c r="K873">
        <v>0</v>
      </c>
      <c r="L873" s="20">
        <v>15680</v>
      </c>
      <c r="M873">
        <v>1</v>
      </c>
      <c r="N873">
        <v>0</v>
      </c>
      <c r="O873">
        <v>0</v>
      </c>
      <c r="P873">
        <v>0</v>
      </c>
      <c r="Q873" s="22">
        <v>47040</v>
      </c>
      <c r="R873">
        <v>3</v>
      </c>
      <c r="S873" s="1">
        <v>0</v>
      </c>
      <c r="T873">
        <v>0</v>
      </c>
      <c r="U873">
        <v>0</v>
      </c>
      <c r="V873" s="21">
        <v>23520</v>
      </c>
      <c r="W873">
        <v>12</v>
      </c>
      <c r="X873">
        <v>0</v>
      </c>
      <c r="Y873">
        <v>0</v>
      </c>
      <c r="Z873">
        <v>0</v>
      </c>
      <c r="AA873">
        <v>10</v>
      </c>
    </row>
    <row r="874" spans="1:27" ht="14.25" x14ac:dyDescent="0.2">
      <c r="A874" s="12">
        <v>20241</v>
      </c>
      <c r="B874" t="s">
        <v>126</v>
      </c>
      <c r="C874" t="s">
        <v>121</v>
      </c>
      <c r="D874" t="s">
        <v>121</v>
      </c>
      <c r="E874" t="s">
        <v>121</v>
      </c>
      <c r="F874" s="6" t="s">
        <v>1422</v>
      </c>
      <c r="H874">
        <v>2</v>
      </c>
      <c r="I874" s="1">
        <v>0</v>
      </c>
      <c r="J874">
        <v>0</v>
      </c>
      <c r="K874">
        <v>0</v>
      </c>
      <c r="L874" s="20">
        <v>15740</v>
      </c>
      <c r="M874">
        <v>1</v>
      </c>
      <c r="N874">
        <v>0</v>
      </c>
      <c r="O874">
        <v>0</v>
      </c>
      <c r="P874">
        <v>0</v>
      </c>
      <c r="Q874" s="22">
        <v>47040</v>
      </c>
      <c r="R874">
        <v>3</v>
      </c>
      <c r="S874" s="1">
        <v>0</v>
      </c>
      <c r="T874">
        <v>0</v>
      </c>
      <c r="U874">
        <v>0</v>
      </c>
      <c r="V874" s="21">
        <v>23520</v>
      </c>
      <c r="W874">
        <v>23</v>
      </c>
      <c r="X874">
        <v>0</v>
      </c>
      <c r="Y874">
        <v>0</v>
      </c>
      <c r="Z874">
        <v>0</v>
      </c>
      <c r="AA874">
        <v>1</v>
      </c>
    </row>
    <row r="875" spans="1:27" ht="14.25" x14ac:dyDescent="0.2">
      <c r="A875" s="12">
        <v>20242</v>
      </c>
      <c r="B875" t="s">
        <v>131</v>
      </c>
      <c r="C875" t="s">
        <v>125</v>
      </c>
      <c r="D875" t="s">
        <v>121</v>
      </c>
      <c r="E875" t="s">
        <v>136</v>
      </c>
      <c r="F875" s="6" t="s">
        <v>1424</v>
      </c>
      <c r="H875">
        <v>2</v>
      </c>
      <c r="I875" s="1">
        <v>0</v>
      </c>
      <c r="J875">
        <v>0</v>
      </c>
      <c r="K875">
        <v>0</v>
      </c>
      <c r="L875" s="20">
        <v>15740</v>
      </c>
      <c r="M875">
        <v>1</v>
      </c>
      <c r="N875">
        <v>0</v>
      </c>
      <c r="O875">
        <v>0</v>
      </c>
      <c r="P875">
        <v>0</v>
      </c>
      <c r="Q875" s="22">
        <v>47040</v>
      </c>
      <c r="R875">
        <v>3</v>
      </c>
      <c r="S875" s="1">
        <v>0</v>
      </c>
      <c r="T875">
        <v>0</v>
      </c>
      <c r="U875">
        <v>0</v>
      </c>
      <c r="V875" s="21">
        <v>23520</v>
      </c>
      <c r="W875">
        <v>6</v>
      </c>
      <c r="X875">
        <v>1</v>
      </c>
      <c r="Y875">
        <v>0</v>
      </c>
      <c r="Z875">
        <v>3</v>
      </c>
      <c r="AA875">
        <v>10</v>
      </c>
    </row>
    <row r="876" spans="1:27" ht="14.25" x14ac:dyDescent="0.2">
      <c r="A876" s="12">
        <v>20243</v>
      </c>
      <c r="B876" t="s">
        <v>180</v>
      </c>
      <c r="C876" t="s">
        <v>121</v>
      </c>
      <c r="D876" t="s">
        <v>121</v>
      </c>
      <c r="E876" t="s">
        <v>121</v>
      </c>
      <c r="F876" s="6" t="s">
        <v>1426</v>
      </c>
      <c r="H876">
        <v>2</v>
      </c>
      <c r="I876" s="1">
        <v>0</v>
      </c>
      <c r="J876">
        <v>0</v>
      </c>
      <c r="K876">
        <v>0</v>
      </c>
      <c r="L876" s="20">
        <v>15740</v>
      </c>
      <c r="M876">
        <v>1</v>
      </c>
      <c r="N876">
        <v>0</v>
      </c>
      <c r="O876">
        <v>0</v>
      </c>
      <c r="P876">
        <v>0</v>
      </c>
      <c r="Q876" s="22">
        <v>47220</v>
      </c>
      <c r="R876">
        <v>3</v>
      </c>
      <c r="S876" s="1">
        <v>0</v>
      </c>
      <c r="T876">
        <v>0</v>
      </c>
      <c r="U876">
        <v>0</v>
      </c>
      <c r="V876" s="21">
        <v>23610</v>
      </c>
      <c r="W876">
        <v>15</v>
      </c>
      <c r="X876">
        <v>0</v>
      </c>
      <c r="Y876">
        <v>0</v>
      </c>
      <c r="Z876">
        <v>0</v>
      </c>
      <c r="AA876">
        <v>1</v>
      </c>
    </row>
    <row r="877" spans="1:27" ht="14.25" x14ac:dyDescent="0.2">
      <c r="A877" s="12">
        <v>20244</v>
      </c>
      <c r="B877" t="s">
        <v>178</v>
      </c>
      <c r="C877" t="s">
        <v>121</v>
      </c>
      <c r="D877" t="s">
        <v>121</v>
      </c>
      <c r="E877" t="s">
        <v>121</v>
      </c>
      <c r="F877" s="6" t="s">
        <v>1426</v>
      </c>
      <c r="H877">
        <v>2</v>
      </c>
      <c r="I877" s="1">
        <v>0</v>
      </c>
      <c r="J877">
        <v>0</v>
      </c>
      <c r="K877">
        <v>0</v>
      </c>
      <c r="L877" s="20">
        <v>15740</v>
      </c>
      <c r="M877">
        <v>1</v>
      </c>
      <c r="N877">
        <v>0</v>
      </c>
      <c r="O877">
        <v>0</v>
      </c>
      <c r="P877">
        <v>0</v>
      </c>
      <c r="Q877" s="22">
        <v>47220</v>
      </c>
      <c r="R877">
        <v>3</v>
      </c>
      <c r="S877" s="1">
        <v>0</v>
      </c>
      <c r="T877">
        <v>0</v>
      </c>
      <c r="U877">
        <v>0</v>
      </c>
      <c r="V877" s="21">
        <v>23610</v>
      </c>
      <c r="W877">
        <v>21</v>
      </c>
      <c r="X877">
        <v>0</v>
      </c>
      <c r="Y877">
        <v>0</v>
      </c>
      <c r="Z877">
        <v>0</v>
      </c>
      <c r="AA877">
        <v>1</v>
      </c>
    </row>
    <row r="878" spans="1:27" ht="14.25" x14ac:dyDescent="0.2">
      <c r="A878" s="12">
        <v>20245</v>
      </c>
      <c r="B878" t="s">
        <v>130</v>
      </c>
      <c r="C878" t="s">
        <v>121</v>
      </c>
      <c r="D878" t="s">
        <v>121</v>
      </c>
      <c r="E878" t="s">
        <v>121</v>
      </c>
      <c r="F878" s="6" t="s">
        <v>1428</v>
      </c>
      <c r="H878">
        <v>2</v>
      </c>
      <c r="I878" s="1">
        <v>0</v>
      </c>
      <c r="J878">
        <v>0</v>
      </c>
      <c r="K878">
        <v>0</v>
      </c>
      <c r="L878" s="20">
        <v>15740</v>
      </c>
      <c r="M878">
        <v>1</v>
      </c>
      <c r="N878">
        <v>0</v>
      </c>
      <c r="O878">
        <v>0</v>
      </c>
      <c r="P878">
        <v>0</v>
      </c>
      <c r="Q878" s="22">
        <v>47220</v>
      </c>
      <c r="R878">
        <v>3</v>
      </c>
      <c r="S878" s="1">
        <v>0</v>
      </c>
      <c r="T878">
        <v>0</v>
      </c>
      <c r="U878">
        <v>0</v>
      </c>
      <c r="V878" s="21">
        <v>23610</v>
      </c>
      <c r="W878">
        <v>9</v>
      </c>
      <c r="X878">
        <v>0</v>
      </c>
      <c r="Y878">
        <v>0</v>
      </c>
      <c r="Z878">
        <v>0</v>
      </c>
      <c r="AA878">
        <v>10</v>
      </c>
    </row>
    <row r="879" spans="1:27" ht="14.25" x14ac:dyDescent="0.2">
      <c r="A879" s="12">
        <v>20246</v>
      </c>
      <c r="B879" t="s">
        <v>181</v>
      </c>
      <c r="C879" t="s">
        <v>121</v>
      </c>
      <c r="D879" t="s">
        <v>121</v>
      </c>
      <c r="E879" t="s">
        <v>121</v>
      </c>
      <c r="F879" s="6" t="s">
        <v>1430</v>
      </c>
      <c r="H879">
        <v>2</v>
      </c>
      <c r="I879" s="1">
        <v>0</v>
      </c>
      <c r="J879">
        <v>0</v>
      </c>
      <c r="K879">
        <v>0</v>
      </c>
      <c r="L879" s="20">
        <v>15800</v>
      </c>
      <c r="M879">
        <v>1</v>
      </c>
      <c r="N879">
        <v>0</v>
      </c>
      <c r="O879">
        <v>0</v>
      </c>
      <c r="P879">
        <v>0</v>
      </c>
      <c r="Q879" s="22">
        <v>47220</v>
      </c>
      <c r="R879">
        <v>3</v>
      </c>
      <c r="S879" s="1">
        <v>0</v>
      </c>
      <c r="T879">
        <v>0</v>
      </c>
      <c r="U879">
        <v>0</v>
      </c>
      <c r="V879" s="21">
        <v>23610</v>
      </c>
      <c r="W879">
        <v>30</v>
      </c>
      <c r="X879">
        <v>0</v>
      </c>
      <c r="Y879">
        <v>0</v>
      </c>
      <c r="Z879">
        <v>0</v>
      </c>
      <c r="AA879">
        <v>10</v>
      </c>
    </row>
    <row r="880" spans="1:27" ht="14.25" x14ac:dyDescent="0.2">
      <c r="A880" s="12">
        <v>20247</v>
      </c>
      <c r="B880" t="s">
        <v>122</v>
      </c>
      <c r="C880" t="s">
        <v>121</v>
      </c>
      <c r="D880" t="s">
        <v>121</v>
      </c>
      <c r="E880" t="s">
        <v>121</v>
      </c>
      <c r="F880" s="6" t="s">
        <v>1430</v>
      </c>
      <c r="H880">
        <v>2</v>
      </c>
      <c r="I880" s="1">
        <v>0</v>
      </c>
      <c r="J880">
        <v>0</v>
      </c>
      <c r="K880">
        <v>0</v>
      </c>
      <c r="L880" s="20">
        <v>15800</v>
      </c>
      <c r="M880">
        <v>1</v>
      </c>
      <c r="N880">
        <v>0</v>
      </c>
      <c r="O880">
        <v>0</v>
      </c>
      <c r="P880">
        <v>0</v>
      </c>
      <c r="Q880" s="22">
        <v>47220</v>
      </c>
      <c r="R880">
        <v>3</v>
      </c>
      <c r="S880" s="1">
        <v>0</v>
      </c>
      <c r="T880">
        <v>0</v>
      </c>
      <c r="U880">
        <v>0</v>
      </c>
      <c r="V880" s="21">
        <v>23610</v>
      </c>
      <c r="W880">
        <v>4</v>
      </c>
      <c r="X880">
        <v>0</v>
      </c>
      <c r="Y880">
        <v>0</v>
      </c>
      <c r="Z880">
        <v>0</v>
      </c>
      <c r="AA880">
        <v>10</v>
      </c>
    </row>
    <row r="881" spans="1:27" ht="14.25" x14ac:dyDescent="0.2">
      <c r="A881" s="12">
        <v>20248</v>
      </c>
      <c r="B881" t="s">
        <v>178</v>
      </c>
      <c r="C881" t="s">
        <v>121</v>
      </c>
      <c r="D881" t="s">
        <v>121</v>
      </c>
      <c r="E881" t="s">
        <v>121</v>
      </c>
      <c r="F881" s="6" t="s">
        <v>1432</v>
      </c>
      <c r="H881">
        <v>2</v>
      </c>
      <c r="I881" s="1">
        <v>0</v>
      </c>
      <c r="J881">
        <v>0</v>
      </c>
      <c r="K881">
        <v>0</v>
      </c>
      <c r="L881" s="20">
        <v>15800</v>
      </c>
      <c r="M881">
        <v>1</v>
      </c>
      <c r="N881">
        <v>0</v>
      </c>
      <c r="O881">
        <v>0</v>
      </c>
      <c r="P881">
        <v>0</v>
      </c>
      <c r="Q881" s="22">
        <v>47400</v>
      </c>
      <c r="R881">
        <v>3</v>
      </c>
      <c r="S881" s="1">
        <v>0</v>
      </c>
      <c r="T881">
        <v>0</v>
      </c>
      <c r="U881">
        <v>0</v>
      </c>
      <c r="V881" s="21">
        <v>23700</v>
      </c>
      <c r="W881">
        <v>21</v>
      </c>
      <c r="X881">
        <v>0</v>
      </c>
      <c r="Y881">
        <v>0</v>
      </c>
      <c r="Z881">
        <v>0</v>
      </c>
      <c r="AA881">
        <v>1</v>
      </c>
    </row>
    <row r="882" spans="1:27" ht="14.25" x14ac:dyDescent="0.2">
      <c r="A882" s="12">
        <v>20249</v>
      </c>
      <c r="B882" t="s">
        <v>130</v>
      </c>
      <c r="C882" t="s">
        <v>121</v>
      </c>
      <c r="D882" t="s">
        <v>121</v>
      </c>
      <c r="E882" t="s">
        <v>121</v>
      </c>
      <c r="F882" s="6" t="s">
        <v>1434</v>
      </c>
      <c r="H882">
        <v>2</v>
      </c>
      <c r="I882" s="1">
        <v>0</v>
      </c>
      <c r="J882">
        <v>0</v>
      </c>
      <c r="K882">
        <v>0</v>
      </c>
      <c r="L882" s="20">
        <v>15800</v>
      </c>
      <c r="M882">
        <v>1</v>
      </c>
      <c r="N882">
        <v>0</v>
      </c>
      <c r="O882">
        <v>0</v>
      </c>
      <c r="P882">
        <v>0</v>
      </c>
      <c r="Q882" s="22">
        <v>47400</v>
      </c>
      <c r="R882">
        <v>3</v>
      </c>
      <c r="S882" s="1">
        <v>0</v>
      </c>
      <c r="T882">
        <v>0</v>
      </c>
      <c r="U882">
        <v>0</v>
      </c>
      <c r="V882" s="21">
        <v>23700</v>
      </c>
      <c r="W882">
        <v>9</v>
      </c>
      <c r="X882">
        <v>0</v>
      </c>
      <c r="Y882">
        <v>0</v>
      </c>
      <c r="Z882">
        <v>0</v>
      </c>
      <c r="AA882">
        <v>10</v>
      </c>
    </row>
    <row r="883" spans="1:27" ht="14.25" x14ac:dyDescent="0.2">
      <c r="A883" s="12">
        <v>20250</v>
      </c>
      <c r="B883" t="s">
        <v>123</v>
      </c>
      <c r="C883" t="s">
        <v>121</v>
      </c>
      <c r="D883" t="s">
        <v>121</v>
      </c>
      <c r="E883" t="s">
        <v>121</v>
      </c>
      <c r="F883" s="6" t="s">
        <v>1434</v>
      </c>
      <c r="H883">
        <v>2</v>
      </c>
      <c r="I883" s="1">
        <v>0</v>
      </c>
      <c r="J883">
        <v>0</v>
      </c>
      <c r="K883">
        <v>0</v>
      </c>
      <c r="L883" s="20">
        <v>15800</v>
      </c>
      <c r="M883">
        <v>1</v>
      </c>
      <c r="N883">
        <v>0</v>
      </c>
      <c r="O883">
        <v>0</v>
      </c>
      <c r="P883">
        <v>0</v>
      </c>
      <c r="Q883" s="22">
        <v>47400</v>
      </c>
      <c r="R883">
        <v>3</v>
      </c>
      <c r="S883" s="1">
        <v>0</v>
      </c>
      <c r="T883">
        <v>0</v>
      </c>
      <c r="U883">
        <v>0</v>
      </c>
      <c r="V883" s="21">
        <v>23700</v>
      </c>
      <c r="W883">
        <v>12</v>
      </c>
      <c r="X883">
        <v>0</v>
      </c>
      <c r="Y883">
        <v>0</v>
      </c>
      <c r="Z883">
        <v>0</v>
      </c>
      <c r="AA883">
        <v>10</v>
      </c>
    </row>
    <row r="884" spans="1:27" ht="14.25" x14ac:dyDescent="0.2">
      <c r="A884" s="12">
        <v>20301</v>
      </c>
      <c r="B884" t="s">
        <v>126</v>
      </c>
      <c r="C884" t="s">
        <v>121</v>
      </c>
      <c r="D884" t="s">
        <v>121</v>
      </c>
      <c r="E884" t="s">
        <v>121</v>
      </c>
      <c r="F884" s="6" t="s">
        <v>1436</v>
      </c>
      <c r="H884">
        <v>2</v>
      </c>
      <c r="I884" s="1">
        <v>0</v>
      </c>
      <c r="J884">
        <v>0</v>
      </c>
      <c r="K884">
        <v>0</v>
      </c>
      <c r="L884" s="20">
        <v>15860</v>
      </c>
      <c r="M884">
        <v>1</v>
      </c>
      <c r="N884">
        <v>0</v>
      </c>
      <c r="O884">
        <v>0</v>
      </c>
      <c r="P884">
        <v>0</v>
      </c>
      <c r="Q884" s="22">
        <v>47400</v>
      </c>
      <c r="R884">
        <v>3</v>
      </c>
      <c r="S884" s="1">
        <v>0</v>
      </c>
      <c r="T884">
        <v>0</v>
      </c>
      <c r="U884">
        <v>0</v>
      </c>
      <c r="V884" s="21">
        <v>23700</v>
      </c>
      <c r="W884">
        <v>23</v>
      </c>
      <c r="X884">
        <v>0</v>
      </c>
      <c r="Y884">
        <v>0</v>
      </c>
      <c r="Z884">
        <v>0</v>
      </c>
      <c r="AA884">
        <v>1</v>
      </c>
    </row>
    <row r="885" spans="1:27" ht="14.25" x14ac:dyDescent="0.2">
      <c r="A885" s="12">
        <v>20302</v>
      </c>
      <c r="B885" t="s">
        <v>131</v>
      </c>
      <c r="C885" t="s">
        <v>125</v>
      </c>
      <c r="D885" t="s">
        <v>121</v>
      </c>
      <c r="E885" t="s">
        <v>136</v>
      </c>
      <c r="F885" s="6" t="s">
        <v>1438</v>
      </c>
      <c r="H885">
        <v>2</v>
      </c>
      <c r="I885" s="1">
        <v>0</v>
      </c>
      <c r="J885">
        <v>0</v>
      </c>
      <c r="K885">
        <v>0</v>
      </c>
      <c r="L885" s="20">
        <v>15860</v>
      </c>
      <c r="M885">
        <v>1</v>
      </c>
      <c r="N885">
        <v>0</v>
      </c>
      <c r="O885">
        <v>0</v>
      </c>
      <c r="P885">
        <v>0</v>
      </c>
      <c r="Q885" s="22">
        <v>47400</v>
      </c>
      <c r="R885">
        <v>3</v>
      </c>
      <c r="S885" s="1">
        <v>0</v>
      </c>
      <c r="T885">
        <v>0</v>
      </c>
      <c r="U885">
        <v>0</v>
      </c>
      <c r="V885" s="21">
        <v>23700</v>
      </c>
      <c r="W885">
        <v>6</v>
      </c>
      <c r="X885">
        <v>1</v>
      </c>
      <c r="Y885">
        <v>0</v>
      </c>
      <c r="Z885">
        <v>3</v>
      </c>
      <c r="AA885">
        <v>10</v>
      </c>
    </row>
    <row r="886" spans="1:27" ht="14.25" x14ac:dyDescent="0.2">
      <c r="A886" s="12">
        <v>20303</v>
      </c>
      <c r="B886" t="s">
        <v>180</v>
      </c>
      <c r="C886" t="s">
        <v>121</v>
      </c>
      <c r="D886" t="s">
        <v>121</v>
      </c>
      <c r="E886" t="s">
        <v>121</v>
      </c>
      <c r="F886" s="6" t="s">
        <v>1440</v>
      </c>
      <c r="H886">
        <v>2</v>
      </c>
      <c r="I886" s="1">
        <v>0</v>
      </c>
      <c r="J886">
        <v>0</v>
      </c>
      <c r="K886">
        <v>0</v>
      </c>
      <c r="L886" s="20">
        <v>15860</v>
      </c>
      <c r="M886">
        <v>1</v>
      </c>
      <c r="N886">
        <v>0</v>
      </c>
      <c r="O886">
        <v>0</v>
      </c>
      <c r="P886">
        <v>0</v>
      </c>
      <c r="Q886" s="22">
        <v>47580</v>
      </c>
      <c r="R886">
        <v>3</v>
      </c>
      <c r="S886" s="1">
        <v>0</v>
      </c>
      <c r="T886">
        <v>0</v>
      </c>
      <c r="U886">
        <v>0</v>
      </c>
      <c r="V886" s="21">
        <v>23790</v>
      </c>
      <c r="W886">
        <v>15</v>
      </c>
      <c r="X886">
        <v>0</v>
      </c>
      <c r="Y886">
        <v>0</v>
      </c>
      <c r="Z886">
        <v>0</v>
      </c>
      <c r="AA886">
        <v>1</v>
      </c>
    </row>
    <row r="887" spans="1:27" ht="14.25" x14ac:dyDescent="0.2">
      <c r="A887" s="12">
        <v>20304</v>
      </c>
      <c r="B887" t="s">
        <v>178</v>
      </c>
      <c r="C887" t="s">
        <v>121</v>
      </c>
      <c r="D887" t="s">
        <v>121</v>
      </c>
      <c r="E887" t="s">
        <v>121</v>
      </c>
      <c r="F887" s="6" t="s">
        <v>1440</v>
      </c>
      <c r="H887">
        <v>2</v>
      </c>
      <c r="I887" s="1">
        <v>0</v>
      </c>
      <c r="J887">
        <v>0</v>
      </c>
      <c r="K887">
        <v>0</v>
      </c>
      <c r="L887" s="20">
        <v>15860</v>
      </c>
      <c r="M887">
        <v>1</v>
      </c>
      <c r="N887">
        <v>0</v>
      </c>
      <c r="O887">
        <v>0</v>
      </c>
      <c r="P887">
        <v>0</v>
      </c>
      <c r="Q887" s="22">
        <v>47580</v>
      </c>
      <c r="R887">
        <v>3</v>
      </c>
      <c r="S887" s="1">
        <v>0</v>
      </c>
      <c r="T887">
        <v>0</v>
      </c>
      <c r="U887">
        <v>0</v>
      </c>
      <c r="V887" s="21">
        <v>23790</v>
      </c>
      <c r="W887">
        <v>21</v>
      </c>
      <c r="X887">
        <v>0</v>
      </c>
      <c r="Y887">
        <v>0</v>
      </c>
      <c r="Z887">
        <v>0</v>
      </c>
      <c r="AA887">
        <v>1</v>
      </c>
    </row>
    <row r="888" spans="1:27" ht="14.25" x14ac:dyDescent="0.2">
      <c r="A888" s="12">
        <v>20305</v>
      </c>
      <c r="B888" t="s">
        <v>130</v>
      </c>
      <c r="C888" t="s">
        <v>121</v>
      </c>
      <c r="D888" t="s">
        <v>121</v>
      </c>
      <c r="E888" t="s">
        <v>121</v>
      </c>
      <c r="F888" s="6" t="s">
        <v>1442</v>
      </c>
      <c r="H888">
        <v>2</v>
      </c>
      <c r="I888" s="1">
        <v>0</v>
      </c>
      <c r="J888">
        <v>0</v>
      </c>
      <c r="K888">
        <v>0</v>
      </c>
      <c r="L888" s="20">
        <v>15860</v>
      </c>
      <c r="M888">
        <v>1</v>
      </c>
      <c r="N888">
        <v>0</v>
      </c>
      <c r="O888">
        <v>0</v>
      </c>
      <c r="P888">
        <v>0</v>
      </c>
      <c r="Q888" s="22">
        <v>47580</v>
      </c>
      <c r="R888">
        <v>3</v>
      </c>
      <c r="S888" s="1">
        <v>0</v>
      </c>
      <c r="T888">
        <v>0</v>
      </c>
      <c r="U888">
        <v>0</v>
      </c>
      <c r="V888" s="21">
        <v>23790</v>
      </c>
      <c r="W888">
        <v>9</v>
      </c>
      <c r="X888">
        <v>0</v>
      </c>
      <c r="Y888">
        <v>0</v>
      </c>
      <c r="Z888">
        <v>0</v>
      </c>
      <c r="AA888">
        <v>10</v>
      </c>
    </row>
    <row r="889" spans="1:27" ht="14.25" x14ac:dyDescent="0.2">
      <c r="A889" s="12">
        <v>20306</v>
      </c>
      <c r="B889" t="s">
        <v>181</v>
      </c>
      <c r="C889" t="s">
        <v>121</v>
      </c>
      <c r="D889" t="s">
        <v>121</v>
      </c>
      <c r="E889" t="s">
        <v>121</v>
      </c>
      <c r="F889" s="6" t="s">
        <v>1444</v>
      </c>
      <c r="H889">
        <v>2</v>
      </c>
      <c r="I889" s="1">
        <v>0</v>
      </c>
      <c r="J889">
        <v>0</v>
      </c>
      <c r="K889">
        <v>0</v>
      </c>
      <c r="L889" s="20">
        <v>15920</v>
      </c>
      <c r="M889">
        <v>1</v>
      </c>
      <c r="N889">
        <v>0</v>
      </c>
      <c r="O889">
        <v>0</v>
      </c>
      <c r="P889">
        <v>0</v>
      </c>
      <c r="Q889" s="22">
        <v>47580</v>
      </c>
      <c r="R889">
        <v>3</v>
      </c>
      <c r="S889" s="1">
        <v>0</v>
      </c>
      <c r="T889">
        <v>0</v>
      </c>
      <c r="U889">
        <v>0</v>
      </c>
      <c r="V889" s="21">
        <v>23790</v>
      </c>
      <c r="W889">
        <v>30</v>
      </c>
      <c r="X889">
        <v>0</v>
      </c>
      <c r="Y889">
        <v>0</v>
      </c>
      <c r="Z889">
        <v>0</v>
      </c>
      <c r="AA889">
        <v>10</v>
      </c>
    </row>
    <row r="890" spans="1:27" ht="14.25" x14ac:dyDescent="0.2">
      <c r="A890" s="12">
        <v>20307</v>
      </c>
      <c r="B890" t="s">
        <v>122</v>
      </c>
      <c r="C890" t="s">
        <v>121</v>
      </c>
      <c r="D890" t="s">
        <v>121</v>
      </c>
      <c r="E890" t="s">
        <v>121</v>
      </c>
      <c r="F890" s="6" t="s">
        <v>1444</v>
      </c>
      <c r="H890">
        <v>2</v>
      </c>
      <c r="I890" s="1">
        <v>0</v>
      </c>
      <c r="J890">
        <v>0</v>
      </c>
      <c r="K890">
        <v>0</v>
      </c>
      <c r="L890" s="20">
        <v>15920</v>
      </c>
      <c r="M890">
        <v>1</v>
      </c>
      <c r="N890">
        <v>0</v>
      </c>
      <c r="O890">
        <v>0</v>
      </c>
      <c r="P890">
        <v>0</v>
      </c>
      <c r="Q890" s="22">
        <v>47580</v>
      </c>
      <c r="R890">
        <v>3</v>
      </c>
      <c r="S890" s="1">
        <v>0</v>
      </c>
      <c r="T890">
        <v>0</v>
      </c>
      <c r="U890">
        <v>0</v>
      </c>
      <c r="V890" s="21">
        <v>23790</v>
      </c>
      <c r="W890">
        <v>4</v>
      </c>
      <c r="X890">
        <v>0</v>
      </c>
      <c r="Y890">
        <v>0</v>
      </c>
      <c r="Z890">
        <v>0</v>
      </c>
      <c r="AA890">
        <v>10</v>
      </c>
    </row>
    <row r="891" spans="1:27" ht="14.25" x14ac:dyDescent="0.2">
      <c r="A891" s="12">
        <v>20308</v>
      </c>
      <c r="B891" t="s">
        <v>178</v>
      </c>
      <c r="C891" t="s">
        <v>121</v>
      </c>
      <c r="D891" t="s">
        <v>121</v>
      </c>
      <c r="E891" t="s">
        <v>121</v>
      </c>
      <c r="F891" s="6" t="s">
        <v>1446</v>
      </c>
      <c r="H891">
        <v>2</v>
      </c>
      <c r="I891" s="1">
        <v>0</v>
      </c>
      <c r="J891">
        <v>0</v>
      </c>
      <c r="K891">
        <v>0</v>
      </c>
      <c r="L891" s="20">
        <v>15920</v>
      </c>
      <c r="M891">
        <v>1</v>
      </c>
      <c r="N891">
        <v>0</v>
      </c>
      <c r="O891">
        <v>0</v>
      </c>
      <c r="P891">
        <v>0</v>
      </c>
      <c r="Q891" s="22">
        <v>47760</v>
      </c>
      <c r="R891">
        <v>3</v>
      </c>
      <c r="S891" s="1">
        <v>0</v>
      </c>
      <c r="T891">
        <v>0</v>
      </c>
      <c r="U891">
        <v>0</v>
      </c>
      <c r="V891" s="21">
        <v>23880</v>
      </c>
      <c r="W891">
        <v>21</v>
      </c>
      <c r="X891">
        <v>0</v>
      </c>
      <c r="Y891">
        <v>0</v>
      </c>
      <c r="Z891">
        <v>0</v>
      </c>
      <c r="AA891">
        <v>1</v>
      </c>
    </row>
    <row r="892" spans="1:27" ht="14.25" x14ac:dyDescent="0.2">
      <c r="A892" s="12">
        <v>20309</v>
      </c>
      <c r="B892" t="s">
        <v>130</v>
      </c>
      <c r="C892" t="s">
        <v>121</v>
      </c>
      <c r="D892" t="s">
        <v>121</v>
      </c>
      <c r="E892" t="s">
        <v>121</v>
      </c>
      <c r="F892" s="6" t="s">
        <v>1448</v>
      </c>
      <c r="H892">
        <v>2</v>
      </c>
      <c r="I892" s="1">
        <v>0</v>
      </c>
      <c r="J892">
        <v>0</v>
      </c>
      <c r="K892">
        <v>0</v>
      </c>
      <c r="L892" s="20">
        <v>15920</v>
      </c>
      <c r="M892">
        <v>1</v>
      </c>
      <c r="N892">
        <v>0</v>
      </c>
      <c r="O892">
        <v>0</v>
      </c>
      <c r="P892">
        <v>0</v>
      </c>
      <c r="Q892" s="22">
        <v>47760</v>
      </c>
      <c r="R892">
        <v>3</v>
      </c>
      <c r="S892" s="1">
        <v>0</v>
      </c>
      <c r="T892">
        <v>0</v>
      </c>
      <c r="U892">
        <v>0</v>
      </c>
      <c r="V892" s="21">
        <v>23880</v>
      </c>
      <c r="W892">
        <v>9</v>
      </c>
      <c r="X892">
        <v>0</v>
      </c>
      <c r="Y892">
        <v>0</v>
      </c>
      <c r="Z892">
        <v>0</v>
      </c>
      <c r="AA892">
        <v>10</v>
      </c>
    </row>
    <row r="893" spans="1:27" ht="14.25" x14ac:dyDescent="0.2">
      <c r="A893" s="12">
        <v>20310</v>
      </c>
      <c r="B893" t="s">
        <v>123</v>
      </c>
      <c r="C893" t="s">
        <v>121</v>
      </c>
      <c r="D893" t="s">
        <v>121</v>
      </c>
      <c r="E893" t="s">
        <v>121</v>
      </c>
      <c r="F893" s="6" t="s">
        <v>1448</v>
      </c>
      <c r="H893">
        <v>2</v>
      </c>
      <c r="I893" s="1">
        <v>0</v>
      </c>
      <c r="J893">
        <v>0</v>
      </c>
      <c r="K893">
        <v>0</v>
      </c>
      <c r="L893" s="20">
        <v>15920</v>
      </c>
      <c r="M893">
        <v>1</v>
      </c>
      <c r="N893">
        <v>0</v>
      </c>
      <c r="O893">
        <v>0</v>
      </c>
      <c r="P893">
        <v>0</v>
      </c>
      <c r="Q893" s="22">
        <v>47760</v>
      </c>
      <c r="R893">
        <v>3</v>
      </c>
      <c r="S893" s="1">
        <v>0</v>
      </c>
      <c r="T893">
        <v>0</v>
      </c>
      <c r="U893">
        <v>0</v>
      </c>
      <c r="V893" s="21">
        <v>23880</v>
      </c>
      <c r="W893">
        <v>12</v>
      </c>
      <c r="X893">
        <v>0</v>
      </c>
      <c r="Y893">
        <v>0</v>
      </c>
      <c r="Z893">
        <v>0</v>
      </c>
      <c r="AA893">
        <v>10</v>
      </c>
    </row>
    <row r="894" spans="1:27" ht="14.25" x14ac:dyDescent="0.2">
      <c r="A894" s="12">
        <v>20311</v>
      </c>
      <c r="B894" t="s">
        <v>126</v>
      </c>
      <c r="C894" t="s">
        <v>121</v>
      </c>
      <c r="D894" t="s">
        <v>121</v>
      </c>
      <c r="E894" t="s">
        <v>121</v>
      </c>
      <c r="F894" s="6" t="s">
        <v>1450</v>
      </c>
      <c r="H894">
        <v>2</v>
      </c>
      <c r="I894" s="1">
        <v>0</v>
      </c>
      <c r="J894">
        <v>0</v>
      </c>
      <c r="K894">
        <v>0</v>
      </c>
      <c r="L894" s="20">
        <v>15980</v>
      </c>
      <c r="M894">
        <v>1</v>
      </c>
      <c r="N894">
        <v>0</v>
      </c>
      <c r="O894">
        <v>0</v>
      </c>
      <c r="P894">
        <v>0</v>
      </c>
      <c r="Q894" s="22">
        <v>47760</v>
      </c>
      <c r="R894">
        <v>3</v>
      </c>
      <c r="S894" s="1">
        <v>0</v>
      </c>
      <c r="T894">
        <v>0</v>
      </c>
      <c r="U894">
        <v>0</v>
      </c>
      <c r="V894" s="21">
        <v>23880</v>
      </c>
      <c r="W894">
        <v>23</v>
      </c>
      <c r="X894">
        <v>0</v>
      </c>
      <c r="Y894">
        <v>0</v>
      </c>
      <c r="Z894">
        <v>0</v>
      </c>
      <c r="AA894">
        <v>1</v>
      </c>
    </row>
    <row r="895" spans="1:27" ht="14.25" x14ac:dyDescent="0.2">
      <c r="A895" s="12">
        <v>20312</v>
      </c>
      <c r="B895" t="s">
        <v>131</v>
      </c>
      <c r="C895" t="s">
        <v>125</v>
      </c>
      <c r="D895" t="s">
        <v>121</v>
      </c>
      <c r="E895" t="s">
        <v>136</v>
      </c>
      <c r="F895" s="6" t="s">
        <v>1452</v>
      </c>
      <c r="H895">
        <v>2</v>
      </c>
      <c r="I895" s="1">
        <v>0</v>
      </c>
      <c r="J895">
        <v>0</v>
      </c>
      <c r="K895">
        <v>0</v>
      </c>
      <c r="L895" s="20">
        <v>15980</v>
      </c>
      <c r="M895">
        <v>1</v>
      </c>
      <c r="N895">
        <v>0</v>
      </c>
      <c r="O895">
        <v>0</v>
      </c>
      <c r="P895">
        <v>0</v>
      </c>
      <c r="Q895" s="22">
        <v>47760</v>
      </c>
      <c r="R895">
        <v>3</v>
      </c>
      <c r="S895" s="1">
        <v>0</v>
      </c>
      <c r="T895">
        <v>0</v>
      </c>
      <c r="U895">
        <v>0</v>
      </c>
      <c r="V895" s="21">
        <v>23880</v>
      </c>
      <c r="W895">
        <v>6</v>
      </c>
      <c r="X895">
        <v>1</v>
      </c>
      <c r="Y895">
        <v>0</v>
      </c>
      <c r="Z895">
        <v>3</v>
      </c>
      <c r="AA895">
        <v>10</v>
      </c>
    </row>
    <row r="896" spans="1:27" ht="14.25" x14ac:dyDescent="0.2">
      <c r="A896" s="12">
        <v>20313</v>
      </c>
      <c r="B896" t="s">
        <v>180</v>
      </c>
      <c r="C896" t="s">
        <v>121</v>
      </c>
      <c r="D896" t="s">
        <v>121</v>
      </c>
      <c r="E896" t="s">
        <v>121</v>
      </c>
      <c r="F896" s="6" t="s">
        <v>1454</v>
      </c>
      <c r="H896">
        <v>2</v>
      </c>
      <c r="I896" s="1">
        <v>0</v>
      </c>
      <c r="J896">
        <v>0</v>
      </c>
      <c r="K896">
        <v>0</v>
      </c>
      <c r="L896" s="20">
        <v>15980</v>
      </c>
      <c r="M896">
        <v>1</v>
      </c>
      <c r="N896">
        <v>0</v>
      </c>
      <c r="O896">
        <v>0</v>
      </c>
      <c r="P896">
        <v>0</v>
      </c>
      <c r="Q896" s="22">
        <v>47940</v>
      </c>
      <c r="R896">
        <v>3</v>
      </c>
      <c r="S896" s="1">
        <v>0</v>
      </c>
      <c r="T896">
        <v>0</v>
      </c>
      <c r="U896">
        <v>0</v>
      </c>
      <c r="V896" s="21">
        <v>23970</v>
      </c>
      <c r="W896">
        <v>15</v>
      </c>
      <c r="X896">
        <v>0</v>
      </c>
      <c r="Y896">
        <v>0</v>
      </c>
      <c r="Z896">
        <v>0</v>
      </c>
      <c r="AA896">
        <v>1</v>
      </c>
    </row>
    <row r="897" spans="1:27" ht="14.25" x14ac:dyDescent="0.2">
      <c r="A897" s="12">
        <v>20314</v>
      </c>
      <c r="B897" t="s">
        <v>178</v>
      </c>
      <c r="C897" t="s">
        <v>121</v>
      </c>
      <c r="D897" t="s">
        <v>121</v>
      </c>
      <c r="E897" t="s">
        <v>121</v>
      </c>
      <c r="F897" s="6" t="s">
        <v>1454</v>
      </c>
      <c r="H897">
        <v>2</v>
      </c>
      <c r="I897" s="1">
        <v>0</v>
      </c>
      <c r="J897">
        <v>0</v>
      </c>
      <c r="K897">
        <v>0</v>
      </c>
      <c r="L897" s="20">
        <v>15980</v>
      </c>
      <c r="M897">
        <v>1</v>
      </c>
      <c r="N897">
        <v>0</v>
      </c>
      <c r="O897">
        <v>0</v>
      </c>
      <c r="P897">
        <v>0</v>
      </c>
      <c r="Q897" s="22">
        <v>47940</v>
      </c>
      <c r="R897">
        <v>3</v>
      </c>
      <c r="S897" s="1">
        <v>0</v>
      </c>
      <c r="T897">
        <v>0</v>
      </c>
      <c r="U897">
        <v>0</v>
      </c>
      <c r="V897" s="21">
        <v>23970</v>
      </c>
      <c r="W897">
        <v>21</v>
      </c>
      <c r="X897">
        <v>0</v>
      </c>
      <c r="Y897">
        <v>0</v>
      </c>
      <c r="Z897">
        <v>0</v>
      </c>
      <c r="AA897">
        <v>1</v>
      </c>
    </row>
    <row r="898" spans="1:27" ht="14.25" x14ac:dyDescent="0.2">
      <c r="A898" s="12">
        <v>20315</v>
      </c>
      <c r="B898" t="s">
        <v>130</v>
      </c>
      <c r="C898" t="s">
        <v>121</v>
      </c>
      <c r="D898" t="s">
        <v>121</v>
      </c>
      <c r="E898" t="s">
        <v>121</v>
      </c>
      <c r="F898" s="6" t="s">
        <v>1456</v>
      </c>
      <c r="H898">
        <v>2</v>
      </c>
      <c r="I898" s="1">
        <v>0</v>
      </c>
      <c r="J898">
        <v>0</v>
      </c>
      <c r="K898">
        <v>0</v>
      </c>
      <c r="L898" s="20">
        <v>15980</v>
      </c>
      <c r="M898">
        <v>1</v>
      </c>
      <c r="N898">
        <v>0</v>
      </c>
      <c r="O898">
        <v>0</v>
      </c>
      <c r="P898">
        <v>0</v>
      </c>
      <c r="Q898" s="22">
        <v>47940</v>
      </c>
      <c r="R898">
        <v>3</v>
      </c>
      <c r="S898" s="1">
        <v>0</v>
      </c>
      <c r="T898">
        <v>0</v>
      </c>
      <c r="U898">
        <v>0</v>
      </c>
      <c r="V898" s="21">
        <v>23970</v>
      </c>
      <c r="W898">
        <v>9</v>
      </c>
      <c r="X898">
        <v>0</v>
      </c>
      <c r="Y898">
        <v>0</v>
      </c>
      <c r="Z898">
        <v>0</v>
      </c>
      <c r="AA898">
        <v>10</v>
      </c>
    </row>
    <row r="899" spans="1:27" ht="14.25" x14ac:dyDescent="0.2">
      <c r="A899" s="12">
        <v>20316</v>
      </c>
      <c r="B899" t="s">
        <v>181</v>
      </c>
      <c r="C899" t="s">
        <v>121</v>
      </c>
      <c r="D899" t="s">
        <v>121</v>
      </c>
      <c r="E899" t="s">
        <v>121</v>
      </c>
      <c r="F899" s="6" t="s">
        <v>1458</v>
      </c>
      <c r="H899">
        <v>2</v>
      </c>
      <c r="I899" s="1">
        <v>0</v>
      </c>
      <c r="J899">
        <v>0</v>
      </c>
      <c r="K899">
        <v>0</v>
      </c>
      <c r="L899" s="20">
        <v>16040</v>
      </c>
      <c r="M899">
        <v>1</v>
      </c>
      <c r="N899">
        <v>0</v>
      </c>
      <c r="O899">
        <v>0</v>
      </c>
      <c r="P899">
        <v>0</v>
      </c>
      <c r="Q899" s="22">
        <v>47940</v>
      </c>
      <c r="R899">
        <v>3</v>
      </c>
      <c r="S899" s="1">
        <v>0</v>
      </c>
      <c r="T899">
        <v>0</v>
      </c>
      <c r="U899">
        <v>0</v>
      </c>
      <c r="V899" s="21">
        <v>23970</v>
      </c>
      <c r="W899">
        <v>30</v>
      </c>
      <c r="X899">
        <v>0</v>
      </c>
      <c r="Y899">
        <v>0</v>
      </c>
      <c r="Z899">
        <v>0</v>
      </c>
      <c r="AA899">
        <v>10</v>
      </c>
    </row>
    <row r="900" spans="1:27" ht="14.25" x14ac:dyDescent="0.2">
      <c r="A900" s="12">
        <v>20317</v>
      </c>
      <c r="B900" t="s">
        <v>122</v>
      </c>
      <c r="C900" t="s">
        <v>121</v>
      </c>
      <c r="D900" t="s">
        <v>121</v>
      </c>
      <c r="E900" t="s">
        <v>121</v>
      </c>
      <c r="F900" s="6" t="s">
        <v>1458</v>
      </c>
      <c r="H900">
        <v>2</v>
      </c>
      <c r="I900" s="1">
        <v>0</v>
      </c>
      <c r="J900">
        <v>0</v>
      </c>
      <c r="K900">
        <v>0</v>
      </c>
      <c r="L900" s="20">
        <v>16040</v>
      </c>
      <c r="M900">
        <v>1</v>
      </c>
      <c r="N900">
        <v>0</v>
      </c>
      <c r="O900">
        <v>0</v>
      </c>
      <c r="P900">
        <v>0</v>
      </c>
      <c r="Q900" s="22">
        <v>47940</v>
      </c>
      <c r="R900">
        <v>3</v>
      </c>
      <c r="S900" s="1">
        <v>0</v>
      </c>
      <c r="T900">
        <v>0</v>
      </c>
      <c r="U900">
        <v>0</v>
      </c>
      <c r="V900" s="21">
        <v>23970</v>
      </c>
      <c r="W900">
        <v>4</v>
      </c>
      <c r="X900">
        <v>0</v>
      </c>
      <c r="Y900">
        <v>0</v>
      </c>
      <c r="Z900">
        <v>0</v>
      </c>
      <c r="AA900">
        <v>10</v>
      </c>
    </row>
    <row r="901" spans="1:27" ht="14.25" x14ac:dyDescent="0.2">
      <c r="A901" s="12">
        <v>20318</v>
      </c>
      <c r="B901" t="s">
        <v>178</v>
      </c>
      <c r="C901" t="s">
        <v>121</v>
      </c>
      <c r="D901" t="s">
        <v>121</v>
      </c>
      <c r="E901" t="s">
        <v>121</v>
      </c>
      <c r="F901" s="6" t="s">
        <v>1460</v>
      </c>
      <c r="H901">
        <v>2</v>
      </c>
      <c r="I901" s="1">
        <v>0</v>
      </c>
      <c r="J901">
        <v>0</v>
      </c>
      <c r="K901">
        <v>0</v>
      </c>
      <c r="L901" s="20">
        <v>16040</v>
      </c>
      <c r="M901">
        <v>1</v>
      </c>
      <c r="N901">
        <v>0</v>
      </c>
      <c r="O901">
        <v>0</v>
      </c>
      <c r="P901">
        <v>0</v>
      </c>
      <c r="Q901" s="22">
        <v>48120</v>
      </c>
      <c r="R901">
        <v>3</v>
      </c>
      <c r="S901" s="1">
        <v>0</v>
      </c>
      <c r="T901">
        <v>0</v>
      </c>
      <c r="U901">
        <v>0</v>
      </c>
      <c r="V901" s="21">
        <v>24060</v>
      </c>
      <c r="W901">
        <v>21</v>
      </c>
      <c r="X901">
        <v>0</v>
      </c>
      <c r="Y901">
        <v>0</v>
      </c>
      <c r="Z901">
        <v>0</v>
      </c>
      <c r="AA901">
        <v>1</v>
      </c>
    </row>
    <row r="902" spans="1:27" ht="14.25" x14ac:dyDescent="0.2">
      <c r="A902" s="12">
        <v>20319</v>
      </c>
      <c r="B902" t="s">
        <v>130</v>
      </c>
      <c r="C902" t="s">
        <v>121</v>
      </c>
      <c r="D902" t="s">
        <v>121</v>
      </c>
      <c r="E902" t="s">
        <v>121</v>
      </c>
      <c r="F902" s="6" t="s">
        <v>1462</v>
      </c>
      <c r="H902">
        <v>2</v>
      </c>
      <c r="I902" s="1">
        <v>0</v>
      </c>
      <c r="J902">
        <v>0</v>
      </c>
      <c r="K902">
        <v>0</v>
      </c>
      <c r="L902" s="20">
        <v>16040</v>
      </c>
      <c r="M902">
        <v>1</v>
      </c>
      <c r="N902">
        <v>0</v>
      </c>
      <c r="O902">
        <v>0</v>
      </c>
      <c r="P902">
        <v>0</v>
      </c>
      <c r="Q902" s="22">
        <v>48120</v>
      </c>
      <c r="R902">
        <v>3</v>
      </c>
      <c r="S902" s="1">
        <v>0</v>
      </c>
      <c r="T902">
        <v>0</v>
      </c>
      <c r="U902">
        <v>0</v>
      </c>
      <c r="V902" s="21">
        <v>24060</v>
      </c>
      <c r="W902">
        <v>9</v>
      </c>
      <c r="X902">
        <v>0</v>
      </c>
      <c r="Y902">
        <v>0</v>
      </c>
      <c r="Z902">
        <v>0</v>
      </c>
      <c r="AA902">
        <v>10</v>
      </c>
    </row>
    <row r="903" spans="1:27" ht="14.25" x14ac:dyDescent="0.2">
      <c r="A903" s="12">
        <v>20320</v>
      </c>
      <c r="B903" t="s">
        <v>123</v>
      </c>
      <c r="C903" t="s">
        <v>121</v>
      </c>
      <c r="D903" t="s">
        <v>121</v>
      </c>
      <c r="E903" t="s">
        <v>121</v>
      </c>
      <c r="F903" s="6" t="s">
        <v>1462</v>
      </c>
      <c r="H903">
        <v>2</v>
      </c>
      <c r="I903" s="1">
        <v>0</v>
      </c>
      <c r="J903">
        <v>0</v>
      </c>
      <c r="K903">
        <v>0</v>
      </c>
      <c r="L903" s="20">
        <v>16040</v>
      </c>
      <c r="M903">
        <v>1</v>
      </c>
      <c r="N903">
        <v>0</v>
      </c>
      <c r="O903">
        <v>0</v>
      </c>
      <c r="P903">
        <v>0</v>
      </c>
      <c r="Q903" s="22">
        <v>48120</v>
      </c>
      <c r="R903">
        <v>3</v>
      </c>
      <c r="S903" s="1">
        <v>0</v>
      </c>
      <c r="T903">
        <v>0</v>
      </c>
      <c r="U903">
        <v>0</v>
      </c>
      <c r="V903" s="21">
        <v>24060</v>
      </c>
      <c r="W903">
        <v>12</v>
      </c>
      <c r="X903">
        <v>0</v>
      </c>
      <c r="Y903">
        <v>0</v>
      </c>
      <c r="Z903">
        <v>0</v>
      </c>
      <c r="AA903">
        <v>10</v>
      </c>
    </row>
    <row r="904" spans="1:27" ht="14.25" x14ac:dyDescent="0.2">
      <c r="A904" s="12">
        <v>20321</v>
      </c>
      <c r="B904" t="s">
        <v>126</v>
      </c>
      <c r="C904" t="s">
        <v>121</v>
      </c>
      <c r="D904" t="s">
        <v>121</v>
      </c>
      <c r="E904" t="s">
        <v>121</v>
      </c>
      <c r="F904" s="6" t="s">
        <v>1464</v>
      </c>
      <c r="H904">
        <v>2</v>
      </c>
      <c r="I904" s="1">
        <v>0</v>
      </c>
      <c r="J904">
        <v>0</v>
      </c>
      <c r="K904">
        <v>0</v>
      </c>
      <c r="L904" s="20">
        <v>16100</v>
      </c>
      <c r="M904">
        <v>1</v>
      </c>
      <c r="N904">
        <v>0</v>
      </c>
      <c r="O904">
        <v>0</v>
      </c>
      <c r="P904">
        <v>0</v>
      </c>
      <c r="Q904" s="22">
        <v>48120</v>
      </c>
      <c r="R904">
        <v>3</v>
      </c>
      <c r="S904" s="1">
        <v>0</v>
      </c>
      <c r="T904">
        <v>0</v>
      </c>
      <c r="U904">
        <v>0</v>
      </c>
      <c r="V904" s="21">
        <v>24060</v>
      </c>
      <c r="W904">
        <v>23</v>
      </c>
      <c r="X904">
        <v>0</v>
      </c>
      <c r="Y904">
        <v>0</v>
      </c>
      <c r="Z904">
        <v>0</v>
      </c>
      <c r="AA904">
        <v>1</v>
      </c>
    </row>
    <row r="905" spans="1:27" ht="14.25" x14ac:dyDescent="0.2">
      <c r="A905" s="12">
        <v>20322</v>
      </c>
      <c r="B905" t="s">
        <v>131</v>
      </c>
      <c r="C905" t="s">
        <v>125</v>
      </c>
      <c r="D905" t="s">
        <v>121</v>
      </c>
      <c r="E905" t="s">
        <v>136</v>
      </c>
      <c r="F905" s="6" t="s">
        <v>1466</v>
      </c>
      <c r="H905">
        <v>2</v>
      </c>
      <c r="I905" s="1">
        <v>0</v>
      </c>
      <c r="J905">
        <v>0</v>
      </c>
      <c r="K905">
        <v>0</v>
      </c>
      <c r="L905" s="20">
        <v>16100</v>
      </c>
      <c r="M905">
        <v>1</v>
      </c>
      <c r="N905">
        <v>0</v>
      </c>
      <c r="O905">
        <v>0</v>
      </c>
      <c r="P905">
        <v>0</v>
      </c>
      <c r="Q905" s="22">
        <v>48120</v>
      </c>
      <c r="R905">
        <v>3</v>
      </c>
      <c r="S905" s="1">
        <v>0</v>
      </c>
      <c r="T905">
        <v>0</v>
      </c>
      <c r="U905">
        <v>0</v>
      </c>
      <c r="V905" s="21">
        <v>24060</v>
      </c>
      <c r="W905">
        <v>6</v>
      </c>
      <c r="X905">
        <v>1</v>
      </c>
      <c r="Y905">
        <v>0</v>
      </c>
      <c r="Z905">
        <v>3</v>
      </c>
      <c r="AA905">
        <v>10</v>
      </c>
    </row>
    <row r="906" spans="1:27" ht="14.25" x14ac:dyDescent="0.2">
      <c r="A906" s="12">
        <v>20323</v>
      </c>
      <c r="B906" t="s">
        <v>180</v>
      </c>
      <c r="C906" t="s">
        <v>121</v>
      </c>
      <c r="D906" t="s">
        <v>121</v>
      </c>
      <c r="E906" t="s">
        <v>121</v>
      </c>
      <c r="F906" s="6" t="s">
        <v>1468</v>
      </c>
      <c r="H906">
        <v>2</v>
      </c>
      <c r="I906" s="1">
        <v>0</v>
      </c>
      <c r="J906">
        <v>0</v>
      </c>
      <c r="K906">
        <v>0</v>
      </c>
      <c r="L906" s="20">
        <v>16100</v>
      </c>
      <c r="M906">
        <v>1</v>
      </c>
      <c r="N906">
        <v>0</v>
      </c>
      <c r="O906">
        <v>0</v>
      </c>
      <c r="P906">
        <v>0</v>
      </c>
      <c r="Q906" s="22">
        <v>48300</v>
      </c>
      <c r="R906">
        <v>3</v>
      </c>
      <c r="S906" s="1">
        <v>0</v>
      </c>
      <c r="T906">
        <v>0</v>
      </c>
      <c r="U906">
        <v>0</v>
      </c>
      <c r="V906" s="21">
        <v>24150</v>
      </c>
      <c r="W906">
        <v>15</v>
      </c>
      <c r="X906">
        <v>0</v>
      </c>
      <c r="Y906">
        <v>0</v>
      </c>
      <c r="Z906">
        <v>0</v>
      </c>
      <c r="AA906">
        <v>1</v>
      </c>
    </row>
    <row r="907" spans="1:27" ht="14.25" x14ac:dyDescent="0.2">
      <c r="A907" s="12">
        <v>20324</v>
      </c>
      <c r="B907" t="s">
        <v>178</v>
      </c>
      <c r="C907" t="s">
        <v>121</v>
      </c>
      <c r="D907" t="s">
        <v>121</v>
      </c>
      <c r="E907" t="s">
        <v>121</v>
      </c>
      <c r="F907" s="6" t="s">
        <v>1468</v>
      </c>
      <c r="H907">
        <v>2</v>
      </c>
      <c r="I907" s="1">
        <v>0</v>
      </c>
      <c r="J907">
        <v>0</v>
      </c>
      <c r="K907">
        <v>0</v>
      </c>
      <c r="L907" s="20">
        <v>16100</v>
      </c>
      <c r="M907">
        <v>1</v>
      </c>
      <c r="N907">
        <v>0</v>
      </c>
      <c r="O907">
        <v>0</v>
      </c>
      <c r="P907">
        <v>0</v>
      </c>
      <c r="Q907" s="22">
        <v>48300</v>
      </c>
      <c r="R907">
        <v>3</v>
      </c>
      <c r="S907" s="1">
        <v>0</v>
      </c>
      <c r="T907">
        <v>0</v>
      </c>
      <c r="U907">
        <v>0</v>
      </c>
      <c r="V907" s="21">
        <v>24150</v>
      </c>
      <c r="W907">
        <v>21</v>
      </c>
      <c r="X907">
        <v>0</v>
      </c>
      <c r="Y907">
        <v>0</v>
      </c>
      <c r="Z907">
        <v>0</v>
      </c>
      <c r="AA907">
        <v>1</v>
      </c>
    </row>
    <row r="908" spans="1:27" ht="14.25" x14ac:dyDescent="0.2">
      <c r="A908" s="12">
        <v>20325</v>
      </c>
      <c r="B908" t="s">
        <v>130</v>
      </c>
      <c r="C908" t="s">
        <v>121</v>
      </c>
      <c r="D908" t="s">
        <v>121</v>
      </c>
      <c r="E908" t="s">
        <v>121</v>
      </c>
      <c r="F908" s="6" t="s">
        <v>1470</v>
      </c>
      <c r="H908">
        <v>2</v>
      </c>
      <c r="I908" s="1">
        <v>0</v>
      </c>
      <c r="J908">
        <v>0</v>
      </c>
      <c r="K908">
        <v>0</v>
      </c>
      <c r="L908" s="20">
        <v>16100</v>
      </c>
      <c r="M908">
        <v>1</v>
      </c>
      <c r="N908">
        <v>0</v>
      </c>
      <c r="O908">
        <v>0</v>
      </c>
      <c r="P908">
        <v>0</v>
      </c>
      <c r="Q908" s="22">
        <v>48300</v>
      </c>
      <c r="R908">
        <v>3</v>
      </c>
      <c r="S908" s="1">
        <v>0</v>
      </c>
      <c r="T908">
        <v>0</v>
      </c>
      <c r="U908">
        <v>0</v>
      </c>
      <c r="V908" s="21">
        <v>24150</v>
      </c>
      <c r="W908">
        <v>9</v>
      </c>
      <c r="X908">
        <v>0</v>
      </c>
      <c r="Y908">
        <v>0</v>
      </c>
      <c r="Z908">
        <v>0</v>
      </c>
      <c r="AA908">
        <v>10</v>
      </c>
    </row>
    <row r="909" spans="1:27" ht="14.25" x14ac:dyDescent="0.2">
      <c r="A909" s="12">
        <v>20326</v>
      </c>
      <c r="B909" t="s">
        <v>181</v>
      </c>
      <c r="C909" t="s">
        <v>121</v>
      </c>
      <c r="D909" t="s">
        <v>121</v>
      </c>
      <c r="E909" t="s">
        <v>121</v>
      </c>
      <c r="F909" s="6" t="s">
        <v>1472</v>
      </c>
      <c r="H909">
        <v>2</v>
      </c>
      <c r="I909" s="1">
        <v>0</v>
      </c>
      <c r="J909">
        <v>0</v>
      </c>
      <c r="K909">
        <v>0</v>
      </c>
      <c r="L909" s="20">
        <v>16160</v>
      </c>
      <c r="M909">
        <v>1</v>
      </c>
      <c r="N909">
        <v>0</v>
      </c>
      <c r="O909">
        <v>0</v>
      </c>
      <c r="P909">
        <v>0</v>
      </c>
      <c r="Q909" s="22">
        <v>48300</v>
      </c>
      <c r="R909">
        <v>3</v>
      </c>
      <c r="S909" s="1">
        <v>0</v>
      </c>
      <c r="T909">
        <v>0</v>
      </c>
      <c r="U909">
        <v>0</v>
      </c>
      <c r="V909" s="21">
        <v>24150</v>
      </c>
      <c r="W909">
        <v>30</v>
      </c>
      <c r="X909">
        <v>0</v>
      </c>
      <c r="Y909">
        <v>0</v>
      </c>
      <c r="Z909">
        <v>0</v>
      </c>
      <c r="AA909">
        <v>10</v>
      </c>
    </row>
    <row r="910" spans="1:27" ht="14.25" x14ac:dyDescent="0.2">
      <c r="A910" s="12">
        <v>20327</v>
      </c>
      <c r="B910" t="s">
        <v>122</v>
      </c>
      <c r="C910" t="s">
        <v>121</v>
      </c>
      <c r="D910" t="s">
        <v>121</v>
      </c>
      <c r="E910" t="s">
        <v>121</v>
      </c>
      <c r="F910" s="6" t="s">
        <v>1472</v>
      </c>
      <c r="H910">
        <v>2</v>
      </c>
      <c r="I910" s="1">
        <v>0</v>
      </c>
      <c r="J910">
        <v>0</v>
      </c>
      <c r="K910">
        <v>0</v>
      </c>
      <c r="L910" s="20">
        <v>16160</v>
      </c>
      <c r="M910">
        <v>1</v>
      </c>
      <c r="N910">
        <v>0</v>
      </c>
      <c r="O910">
        <v>0</v>
      </c>
      <c r="P910">
        <v>0</v>
      </c>
      <c r="Q910" s="22">
        <v>48300</v>
      </c>
      <c r="R910">
        <v>3</v>
      </c>
      <c r="S910" s="1">
        <v>0</v>
      </c>
      <c r="T910">
        <v>0</v>
      </c>
      <c r="U910">
        <v>0</v>
      </c>
      <c r="V910" s="21">
        <v>24150</v>
      </c>
      <c r="W910">
        <v>4</v>
      </c>
      <c r="X910">
        <v>0</v>
      </c>
      <c r="Y910">
        <v>0</v>
      </c>
      <c r="Z910">
        <v>0</v>
      </c>
      <c r="AA910">
        <v>10</v>
      </c>
    </row>
    <row r="911" spans="1:27" ht="14.25" x14ac:dyDescent="0.2">
      <c r="A911" s="12">
        <v>20328</v>
      </c>
      <c r="B911" t="s">
        <v>178</v>
      </c>
      <c r="C911" t="s">
        <v>121</v>
      </c>
      <c r="D911" t="s">
        <v>121</v>
      </c>
      <c r="E911" t="s">
        <v>121</v>
      </c>
      <c r="F911" s="6" t="s">
        <v>1474</v>
      </c>
      <c r="H911">
        <v>2</v>
      </c>
      <c r="I911" s="1">
        <v>0</v>
      </c>
      <c r="J911">
        <v>0</v>
      </c>
      <c r="K911">
        <v>0</v>
      </c>
      <c r="L911" s="20">
        <v>16160</v>
      </c>
      <c r="M911">
        <v>1</v>
      </c>
      <c r="N911">
        <v>0</v>
      </c>
      <c r="O911">
        <v>0</v>
      </c>
      <c r="P911">
        <v>0</v>
      </c>
      <c r="Q911" s="22">
        <v>48480</v>
      </c>
      <c r="R911">
        <v>3</v>
      </c>
      <c r="S911" s="1">
        <v>0</v>
      </c>
      <c r="T911">
        <v>0</v>
      </c>
      <c r="U911">
        <v>0</v>
      </c>
      <c r="V911" s="21">
        <v>24240</v>
      </c>
      <c r="W911">
        <v>21</v>
      </c>
      <c r="X911">
        <v>0</v>
      </c>
      <c r="Y911">
        <v>0</v>
      </c>
      <c r="Z911">
        <v>0</v>
      </c>
      <c r="AA911">
        <v>1</v>
      </c>
    </row>
    <row r="912" spans="1:27" ht="14.25" x14ac:dyDescent="0.2">
      <c r="A912" s="12">
        <v>20329</v>
      </c>
      <c r="B912" t="s">
        <v>130</v>
      </c>
      <c r="C912" t="s">
        <v>121</v>
      </c>
      <c r="D912" t="s">
        <v>121</v>
      </c>
      <c r="E912" t="s">
        <v>121</v>
      </c>
      <c r="F912" s="6" t="s">
        <v>1476</v>
      </c>
      <c r="H912">
        <v>2</v>
      </c>
      <c r="I912" s="1">
        <v>0</v>
      </c>
      <c r="J912">
        <v>0</v>
      </c>
      <c r="K912">
        <v>0</v>
      </c>
      <c r="L912" s="20">
        <v>16160</v>
      </c>
      <c r="M912">
        <v>1</v>
      </c>
      <c r="N912">
        <v>0</v>
      </c>
      <c r="O912">
        <v>0</v>
      </c>
      <c r="P912">
        <v>0</v>
      </c>
      <c r="Q912" s="22">
        <v>48480</v>
      </c>
      <c r="R912">
        <v>3</v>
      </c>
      <c r="S912" s="1">
        <v>0</v>
      </c>
      <c r="T912">
        <v>0</v>
      </c>
      <c r="U912">
        <v>0</v>
      </c>
      <c r="V912" s="21">
        <v>24240</v>
      </c>
      <c r="W912">
        <v>9</v>
      </c>
      <c r="X912">
        <v>0</v>
      </c>
      <c r="Y912">
        <v>0</v>
      </c>
      <c r="Z912">
        <v>0</v>
      </c>
      <c r="AA912">
        <v>10</v>
      </c>
    </row>
    <row r="913" spans="1:27" ht="14.25" x14ac:dyDescent="0.2">
      <c r="A913" s="12">
        <v>20330</v>
      </c>
      <c r="B913" t="s">
        <v>123</v>
      </c>
      <c r="C913" t="s">
        <v>121</v>
      </c>
      <c r="D913" t="s">
        <v>121</v>
      </c>
      <c r="E913" t="s">
        <v>121</v>
      </c>
      <c r="F913" s="6" t="s">
        <v>1476</v>
      </c>
      <c r="H913">
        <v>2</v>
      </c>
      <c r="I913" s="1">
        <v>0</v>
      </c>
      <c r="J913">
        <v>0</v>
      </c>
      <c r="K913">
        <v>0</v>
      </c>
      <c r="L913" s="20">
        <v>16160</v>
      </c>
      <c r="M913">
        <v>1</v>
      </c>
      <c r="N913">
        <v>0</v>
      </c>
      <c r="O913">
        <v>0</v>
      </c>
      <c r="P913">
        <v>0</v>
      </c>
      <c r="Q913" s="22">
        <v>48480</v>
      </c>
      <c r="R913">
        <v>3</v>
      </c>
      <c r="S913" s="1">
        <v>0</v>
      </c>
      <c r="T913">
        <v>0</v>
      </c>
      <c r="U913">
        <v>0</v>
      </c>
      <c r="V913" s="21">
        <v>24240</v>
      </c>
      <c r="W913">
        <v>12</v>
      </c>
      <c r="X913">
        <v>0</v>
      </c>
      <c r="Y913">
        <v>0</v>
      </c>
      <c r="Z913">
        <v>0</v>
      </c>
      <c r="AA913">
        <v>10</v>
      </c>
    </row>
    <row r="914" spans="1:27" ht="14.25" x14ac:dyDescent="0.2">
      <c r="A914" s="12">
        <v>20331</v>
      </c>
      <c r="B914" t="s">
        <v>126</v>
      </c>
      <c r="C914" t="s">
        <v>121</v>
      </c>
      <c r="D914" t="s">
        <v>121</v>
      </c>
      <c r="E914" t="s">
        <v>121</v>
      </c>
      <c r="F914" s="6" t="s">
        <v>1478</v>
      </c>
      <c r="H914">
        <v>2</v>
      </c>
      <c r="I914" s="1">
        <v>0</v>
      </c>
      <c r="J914">
        <v>0</v>
      </c>
      <c r="K914">
        <v>0</v>
      </c>
      <c r="L914" s="20">
        <v>16220</v>
      </c>
      <c r="M914">
        <v>1</v>
      </c>
      <c r="N914">
        <v>0</v>
      </c>
      <c r="O914">
        <v>0</v>
      </c>
      <c r="P914">
        <v>0</v>
      </c>
      <c r="Q914" s="22">
        <v>48480</v>
      </c>
      <c r="R914">
        <v>3</v>
      </c>
      <c r="S914" s="1">
        <v>0</v>
      </c>
      <c r="T914">
        <v>0</v>
      </c>
      <c r="U914">
        <v>0</v>
      </c>
      <c r="V914" s="21">
        <v>24240</v>
      </c>
      <c r="W914">
        <v>23</v>
      </c>
      <c r="X914">
        <v>0</v>
      </c>
      <c r="Y914">
        <v>0</v>
      </c>
      <c r="Z914">
        <v>0</v>
      </c>
      <c r="AA914">
        <v>1</v>
      </c>
    </row>
    <row r="915" spans="1:27" ht="14.25" x14ac:dyDescent="0.2">
      <c r="A915" s="12">
        <v>20332</v>
      </c>
      <c r="B915" t="s">
        <v>131</v>
      </c>
      <c r="C915" t="s">
        <v>125</v>
      </c>
      <c r="D915" t="s">
        <v>121</v>
      </c>
      <c r="E915" t="s">
        <v>136</v>
      </c>
      <c r="F915" s="6" t="s">
        <v>1480</v>
      </c>
      <c r="H915">
        <v>2</v>
      </c>
      <c r="I915" s="1">
        <v>0</v>
      </c>
      <c r="J915">
        <v>0</v>
      </c>
      <c r="K915">
        <v>0</v>
      </c>
      <c r="L915" s="20">
        <v>16220</v>
      </c>
      <c r="M915">
        <v>1</v>
      </c>
      <c r="N915">
        <v>0</v>
      </c>
      <c r="O915">
        <v>0</v>
      </c>
      <c r="P915">
        <v>0</v>
      </c>
      <c r="Q915" s="22">
        <v>48480</v>
      </c>
      <c r="R915">
        <v>3</v>
      </c>
      <c r="S915" s="1">
        <v>0</v>
      </c>
      <c r="T915">
        <v>0</v>
      </c>
      <c r="U915">
        <v>0</v>
      </c>
      <c r="V915" s="21">
        <v>24240</v>
      </c>
      <c r="W915">
        <v>6</v>
      </c>
      <c r="X915">
        <v>1</v>
      </c>
      <c r="Y915">
        <v>0</v>
      </c>
      <c r="Z915">
        <v>3</v>
      </c>
      <c r="AA915">
        <v>10</v>
      </c>
    </row>
    <row r="916" spans="1:27" ht="14.25" x14ac:dyDescent="0.2">
      <c r="A916" s="12">
        <v>20333</v>
      </c>
      <c r="B916" t="s">
        <v>180</v>
      </c>
      <c r="C916" t="s">
        <v>121</v>
      </c>
      <c r="D916" t="s">
        <v>121</v>
      </c>
      <c r="E916" t="s">
        <v>121</v>
      </c>
      <c r="F916" s="6" t="s">
        <v>1482</v>
      </c>
      <c r="H916">
        <v>2</v>
      </c>
      <c r="I916" s="1">
        <v>0</v>
      </c>
      <c r="J916">
        <v>0</v>
      </c>
      <c r="K916">
        <v>0</v>
      </c>
      <c r="L916" s="20">
        <v>16220</v>
      </c>
      <c r="M916">
        <v>1</v>
      </c>
      <c r="N916">
        <v>0</v>
      </c>
      <c r="O916">
        <v>0</v>
      </c>
      <c r="P916">
        <v>0</v>
      </c>
      <c r="Q916" s="22">
        <v>48660</v>
      </c>
      <c r="R916">
        <v>3</v>
      </c>
      <c r="S916" s="1">
        <v>0</v>
      </c>
      <c r="T916">
        <v>0</v>
      </c>
      <c r="U916">
        <v>0</v>
      </c>
      <c r="V916" s="21">
        <v>24330</v>
      </c>
      <c r="W916">
        <v>15</v>
      </c>
      <c r="X916">
        <v>0</v>
      </c>
      <c r="Y916">
        <v>0</v>
      </c>
      <c r="Z916">
        <v>0</v>
      </c>
      <c r="AA916">
        <v>1</v>
      </c>
    </row>
    <row r="917" spans="1:27" ht="14.25" x14ac:dyDescent="0.2">
      <c r="A917" s="12">
        <v>20334</v>
      </c>
      <c r="B917" t="s">
        <v>178</v>
      </c>
      <c r="C917" t="s">
        <v>121</v>
      </c>
      <c r="D917" t="s">
        <v>121</v>
      </c>
      <c r="E917" t="s">
        <v>121</v>
      </c>
      <c r="F917" s="6" t="s">
        <v>1482</v>
      </c>
      <c r="H917">
        <v>2</v>
      </c>
      <c r="I917" s="1">
        <v>0</v>
      </c>
      <c r="J917">
        <v>0</v>
      </c>
      <c r="K917">
        <v>0</v>
      </c>
      <c r="L917" s="20">
        <v>16220</v>
      </c>
      <c r="M917">
        <v>1</v>
      </c>
      <c r="N917">
        <v>0</v>
      </c>
      <c r="O917">
        <v>0</v>
      </c>
      <c r="P917">
        <v>0</v>
      </c>
      <c r="Q917" s="22">
        <v>48660</v>
      </c>
      <c r="R917">
        <v>3</v>
      </c>
      <c r="S917" s="1">
        <v>0</v>
      </c>
      <c r="T917">
        <v>0</v>
      </c>
      <c r="U917">
        <v>0</v>
      </c>
      <c r="V917" s="21">
        <v>24330</v>
      </c>
      <c r="W917">
        <v>21</v>
      </c>
      <c r="X917">
        <v>0</v>
      </c>
      <c r="Y917">
        <v>0</v>
      </c>
      <c r="Z917">
        <v>0</v>
      </c>
      <c r="AA917">
        <v>1</v>
      </c>
    </row>
    <row r="918" spans="1:27" ht="14.25" x14ac:dyDescent="0.2">
      <c r="A918" s="12">
        <v>20335</v>
      </c>
      <c r="B918" t="s">
        <v>130</v>
      </c>
      <c r="C918" t="s">
        <v>121</v>
      </c>
      <c r="D918" t="s">
        <v>121</v>
      </c>
      <c r="E918" t="s">
        <v>121</v>
      </c>
      <c r="F918" s="6" t="s">
        <v>1484</v>
      </c>
      <c r="H918">
        <v>2</v>
      </c>
      <c r="I918" s="1">
        <v>0</v>
      </c>
      <c r="J918">
        <v>0</v>
      </c>
      <c r="K918">
        <v>0</v>
      </c>
      <c r="L918" s="20">
        <v>16220</v>
      </c>
      <c r="M918">
        <v>1</v>
      </c>
      <c r="N918">
        <v>0</v>
      </c>
      <c r="O918">
        <v>0</v>
      </c>
      <c r="P918">
        <v>0</v>
      </c>
      <c r="Q918" s="22">
        <v>48660</v>
      </c>
      <c r="R918">
        <v>3</v>
      </c>
      <c r="S918" s="1">
        <v>0</v>
      </c>
      <c r="T918">
        <v>0</v>
      </c>
      <c r="U918">
        <v>0</v>
      </c>
      <c r="V918" s="21">
        <v>24330</v>
      </c>
      <c r="W918">
        <v>9</v>
      </c>
      <c r="X918">
        <v>0</v>
      </c>
      <c r="Y918">
        <v>0</v>
      </c>
      <c r="Z918">
        <v>0</v>
      </c>
      <c r="AA918">
        <v>10</v>
      </c>
    </row>
    <row r="919" spans="1:27" ht="14.25" x14ac:dyDescent="0.2">
      <c r="A919" s="12">
        <v>20336</v>
      </c>
      <c r="B919" t="s">
        <v>181</v>
      </c>
      <c r="C919" t="s">
        <v>121</v>
      </c>
      <c r="D919" t="s">
        <v>121</v>
      </c>
      <c r="E919" t="s">
        <v>121</v>
      </c>
      <c r="F919" s="6" t="s">
        <v>1486</v>
      </c>
      <c r="H919">
        <v>2</v>
      </c>
      <c r="I919" s="1">
        <v>0</v>
      </c>
      <c r="J919">
        <v>0</v>
      </c>
      <c r="K919">
        <v>0</v>
      </c>
      <c r="L919" s="20">
        <v>16280</v>
      </c>
      <c r="M919">
        <v>1</v>
      </c>
      <c r="N919">
        <v>0</v>
      </c>
      <c r="O919">
        <v>0</v>
      </c>
      <c r="P919">
        <v>0</v>
      </c>
      <c r="Q919" s="22">
        <v>48660</v>
      </c>
      <c r="R919">
        <v>3</v>
      </c>
      <c r="S919" s="1">
        <v>0</v>
      </c>
      <c r="T919">
        <v>0</v>
      </c>
      <c r="U919">
        <v>0</v>
      </c>
      <c r="V919" s="21">
        <v>24330</v>
      </c>
      <c r="W919">
        <v>30</v>
      </c>
      <c r="X919">
        <v>0</v>
      </c>
      <c r="Y919">
        <v>0</v>
      </c>
      <c r="Z919">
        <v>0</v>
      </c>
      <c r="AA919">
        <v>10</v>
      </c>
    </row>
    <row r="920" spans="1:27" ht="14.25" x14ac:dyDescent="0.2">
      <c r="A920" s="12">
        <v>20337</v>
      </c>
      <c r="B920" t="s">
        <v>122</v>
      </c>
      <c r="C920" t="s">
        <v>121</v>
      </c>
      <c r="D920" t="s">
        <v>121</v>
      </c>
      <c r="E920" t="s">
        <v>121</v>
      </c>
      <c r="F920" s="6" t="s">
        <v>1486</v>
      </c>
      <c r="H920">
        <v>2</v>
      </c>
      <c r="I920" s="1">
        <v>0</v>
      </c>
      <c r="J920">
        <v>0</v>
      </c>
      <c r="K920">
        <v>0</v>
      </c>
      <c r="L920" s="20">
        <v>16280</v>
      </c>
      <c r="M920">
        <v>1</v>
      </c>
      <c r="N920">
        <v>0</v>
      </c>
      <c r="O920">
        <v>0</v>
      </c>
      <c r="P920">
        <v>0</v>
      </c>
      <c r="Q920" s="22">
        <v>48660</v>
      </c>
      <c r="R920">
        <v>3</v>
      </c>
      <c r="S920" s="1">
        <v>0</v>
      </c>
      <c r="T920">
        <v>0</v>
      </c>
      <c r="U920">
        <v>0</v>
      </c>
      <c r="V920" s="21">
        <v>24330</v>
      </c>
      <c r="W920">
        <v>4</v>
      </c>
      <c r="X920">
        <v>0</v>
      </c>
      <c r="Y920">
        <v>0</v>
      </c>
      <c r="Z920">
        <v>0</v>
      </c>
      <c r="AA920">
        <v>10</v>
      </c>
    </row>
    <row r="921" spans="1:27" ht="14.25" x14ac:dyDescent="0.2">
      <c r="A921" s="12">
        <v>20338</v>
      </c>
      <c r="B921" t="s">
        <v>178</v>
      </c>
      <c r="C921" t="s">
        <v>121</v>
      </c>
      <c r="D921" t="s">
        <v>121</v>
      </c>
      <c r="E921" t="s">
        <v>121</v>
      </c>
      <c r="F921" s="6" t="s">
        <v>1488</v>
      </c>
      <c r="H921">
        <v>2</v>
      </c>
      <c r="I921" s="1">
        <v>0</v>
      </c>
      <c r="J921">
        <v>0</v>
      </c>
      <c r="K921">
        <v>0</v>
      </c>
      <c r="L921" s="20">
        <v>16280</v>
      </c>
      <c r="M921">
        <v>1</v>
      </c>
      <c r="N921">
        <v>0</v>
      </c>
      <c r="O921">
        <v>0</v>
      </c>
      <c r="P921">
        <v>0</v>
      </c>
      <c r="Q921" s="22">
        <v>48840</v>
      </c>
      <c r="R921">
        <v>3</v>
      </c>
      <c r="S921" s="1">
        <v>0</v>
      </c>
      <c r="T921">
        <v>0</v>
      </c>
      <c r="U921">
        <v>0</v>
      </c>
      <c r="V921" s="21">
        <v>24420</v>
      </c>
      <c r="W921">
        <v>21</v>
      </c>
      <c r="X921">
        <v>0</v>
      </c>
      <c r="Y921">
        <v>0</v>
      </c>
      <c r="Z921">
        <v>0</v>
      </c>
      <c r="AA921">
        <v>1</v>
      </c>
    </row>
    <row r="922" spans="1:27" ht="14.25" x14ac:dyDescent="0.2">
      <c r="A922" s="12">
        <v>20339</v>
      </c>
      <c r="B922" t="s">
        <v>130</v>
      </c>
      <c r="C922" t="s">
        <v>121</v>
      </c>
      <c r="D922" t="s">
        <v>121</v>
      </c>
      <c r="E922" t="s">
        <v>121</v>
      </c>
      <c r="F922" s="6" t="s">
        <v>1490</v>
      </c>
      <c r="H922">
        <v>2</v>
      </c>
      <c r="I922" s="1">
        <v>0</v>
      </c>
      <c r="J922">
        <v>0</v>
      </c>
      <c r="K922">
        <v>0</v>
      </c>
      <c r="L922" s="20">
        <v>16280</v>
      </c>
      <c r="M922">
        <v>1</v>
      </c>
      <c r="N922">
        <v>0</v>
      </c>
      <c r="O922">
        <v>0</v>
      </c>
      <c r="P922">
        <v>0</v>
      </c>
      <c r="Q922" s="22">
        <v>48840</v>
      </c>
      <c r="R922">
        <v>3</v>
      </c>
      <c r="S922" s="1">
        <v>0</v>
      </c>
      <c r="T922">
        <v>0</v>
      </c>
      <c r="U922">
        <v>0</v>
      </c>
      <c r="V922" s="21">
        <v>24420</v>
      </c>
      <c r="W922">
        <v>9</v>
      </c>
      <c r="X922">
        <v>0</v>
      </c>
      <c r="Y922">
        <v>0</v>
      </c>
      <c r="Z922">
        <v>0</v>
      </c>
      <c r="AA922">
        <v>10</v>
      </c>
    </row>
    <row r="923" spans="1:27" ht="14.25" x14ac:dyDescent="0.2">
      <c r="A923" s="12">
        <v>20340</v>
      </c>
      <c r="B923" t="s">
        <v>123</v>
      </c>
      <c r="C923" t="s">
        <v>121</v>
      </c>
      <c r="D923" t="s">
        <v>121</v>
      </c>
      <c r="E923" t="s">
        <v>121</v>
      </c>
      <c r="F923" s="6" t="s">
        <v>1490</v>
      </c>
      <c r="H923">
        <v>2</v>
      </c>
      <c r="I923" s="1">
        <v>0</v>
      </c>
      <c r="J923">
        <v>0</v>
      </c>
      <c r="K923">
        <v>0</v>
      </c>
      <c r="L923" s="20">
        <v>16280</v>
      </c>
      <c r="M923">
        <v>1</v>
      </c>
      <c r="N923">
        <v>0</v>
      </c>
      <c r="O923">
        <v>0</v>
      </c>
      <c r="P923">
        <v>0</v>
      </c>
      <c r="Q923" s="22">
        <v>48840</v>
      </c>
      <c r="R923">
        <v>3</v>
      </c>
      <c r="S923" s="1">
        <v>0</v>
      </c>
      <c r="T923">
        <v>0</v>
      </c>
      <c r="U923">
        <v>0</v>
      </c>
      <c r="V923" s="21">
        <v>24420</v>
      </c>
      <c r="W923">
        <v>12</v>
      </c>
      <c r="X923">
        <v>0</v>
      </c>
      <c r="Y923">
        <v>0</v>
      </c>
      <c r="Z923">
        <v>0</v>
      </c>
      <c r="AA923">
        <v>10</v>
      </c>
    </row>
    <row r="924" spans="1:27" ht="14.25" x14ac:dyDescent="0.2">
      <c r="A924" s="12">
        <v>20341</v>
      </c>
      <c r="B924" t="s">
        <v>126</v>
      </c>
      <c r="C924" t="s">
        <v>121</v>
      </c>
      <c r="D924" t="s">
        <v>121</v>
      </c>
      <c r="E924" t="s">
        <v>121</v>
      </c>
      <c r="F924" s="6" t="s">
        <v>1492</v>
      </c>
      <c r="H924">
        <v>2</v>
      </c>
      <c r="I924" s="1">
        <v>0</v>
      </c>
      <c r="J924">
        <v>0</v>
      </c>
      <c r="K924">
        <v>0</v>
      </c>
      <c r="L924" s="20">
        <v>16340</v>
      </c>
      <c r="M924">
        <v>1</v>
      </c>
      <c r="N924">
        <v>0</v>
      </c>
      <c r="O924">
        <v>0</v>
      </c>
      <c r="P924">
        <v>0</v>
      </c>
      <c r="Q924" s="22">
        <v>48840</v>
      </c>
      <c r="R924">
        <v>3</v>
      </c>
      <c r="S924" s="1">
        <v>0</v>
      </c>
      <c r="T924">
        <v>0</v>
      </c>
      <c r="U924">
        <v>0</v>
      </c>
      <c r="V924" s="21">
        <v>24420</v>
      </c>
      <c r="W924">
        <v>23</v>
      </c>
      <c r="X924">
        <v>0</v>
      </c>
      <c r="Y924">
        <v>0</v>
      </c>
      <c r="Z924">
        <v>0</v>
      </c>
      <c r="AA924">
        <v>1</v>
      </c>
    </row>
    <row r="925" spans="1:27" ht="14.25" x14ac:dyDescent="0.2">
      <c r="A925" s="12">
        <v>20342</v>
      </c>
      <c r="B925" t="s">
        <v>131</v>
      </c>
      <c r="C925" t="s">
        <v>125</v>
      </c>
      <c r="D925" t="s">
        <v>121</v>
      </c>
      <c r="E925" t="s">
        <v>136</v>
      </c>
      <c r="F925" s="6" t="s">
        <v>1494</v>
      </c>
      <c r="H925">
        <v>2</v>
      </c>
      <c r="I925" s="1">
        <v>0</v>
      </c>
      <c r="J925">
        <v>0</v>
      </c>
      <c r="K925">
        <v>0</v>
      </c>
      <c r="L925" s="20">
        <v>16340</v>
      </c>
      <c r="M925">
        <v>1</v>
      </c>
      <c r="N925">
        <v>0</v>
      </c>
      <c r="O925">
        <v>0</v>
      </c>
      <c r="P925">
        <v>0</v>
      </c>
      <c r="Q925" s="22">
        <v>48840</v>
      </c>
      <c r="R925">
        <v>3</v>
      </c>
      <c r="S925" s="1">
        <v>0</v>
      </c>
      <c r="T925">
        <v>0</v>
      </c>
      <c r="U925">
        <v>0</v>
      </c>
      <c r="V925" s="21">
        <v>24420</v>
      </c>
      <c r="W925">
        <v>6</v>
      </c>
      <c r="X925">
        <v>1</v>
      </c>
      <c r="Y925">
        <v>0</v>
      </c>
      <c r="Z925">
        <v>3</v>
      </c>
      <c r="AA925">
        <v>10</v>
      </c>
    </row>
    <row r="926" spans="1:27" ht="14.25" x14ac:dyDescent="0.2">
      <c r="A926" s="12">
        <v>20343</v>
      </c>
      <c r="B926" t="s">
        <v>180</v>
      </c>
      <c r="C926" t="s">
        <v>121</v>
      </c>
      <c r="D926" t="s">
        <v>121</v>
      </c>
      <c r="E926" t="s">
        <v>121</v>
      </c>
      <c r="F926" s="6" t="s">
        <v>1496</v>
      </c>
      <c r="H926">
        <v>2</v>
      </c>
      <c r="I926" s="1">
        <v>0</v>
      </c>
      <c r="J926">
        <v>0</v>
      </c>
      <c r="K926">
        <v>0</v>
      </c>
      <c r="L926" s="20">
        <v>16340</v>
      </c>
      <c r="M926">
        <v>1</v>
      </c>
      <c r="N926">
        <v>0</v>
      </c>
      <c r="O926">
        <v>0</v>
      </c>
      <c r="P926">
        <v>0</v>
      </c>
      <c r="Q926" s="22">
        <v>49020</v>
      </c>
      <c r="R926">
        <v>3</v>
      </c>
      <c r="S926" s="1">
        <v>0</v>
      </c>
      <c r="T926">
        <v>0</v>
      </c>
      <c r="U926">
        <v>0</v>
      </c>
      <c r="V926" s="21">
        <v>24510</v>
      </c>
      <c r="W926">
        <v>15</v>
      </c>
      <c r="X926">
        <v>0</v>
      </c>
      <c r="Y926">
        <v>0</v>
      </c>
      <c r="Z926">
        <v>0</v>
      </c>
      <c r="AA926">
        <v>1</v>
      </c>
    </row>
    <row r="927" spans="1:27" ht="14.25" x14ac:dyDescent="0.2">
      <c r="A927" s="12">
        <v>20344</v>
      </c>
      <c r="B927" t="s">
        <v>178</v>
      </c>
      <c r="C927" t="s">
        <v>121</v>
      </c>
      <c r="D927" t="s">
        <v>121</v>
      </c>
      <c r="E927" t="s">
        <v>121</v>
      </c>
      <c r="F927" s="6" t="s">
        <v>1496</v>
      </c>
      <c r="H927">
        <v>2</v>
      </c>
      <c r="I927" s="1">
        <v>0</v>
      </c>
      <c r="J927">
        <v>0</v>
      </c>
      <c r="K927">
        <v>0</v>
      </c>
      <c r="L927" s="20">
        <v>16340</v>
      </c>
      <c r="M927">
        <v>1</v>
      </c>
      <c r="N927">
        <v>0</v>
      </c>
      <c r="O927">
        <v>0</v>
      </c>
      <c r="P927">
        <v>0</v>
      </c>
      <c r="Q927" s="22">
        <v>49020</v>
      </c>
      <c r="R927">
        <v>3</v>
      </c>
      <c r="S927" s="1">
        <v>0</v>
      </c>
      <c r="T927">
        <v>0</v>
      </c>
      <c r="U927">
        <v>0</v>
      </c>
      <c r="V927" s="21">
        <v>24510</v>
      </c>
      <c r="W927">
        <v>21</v>
      </c>
      <c r="X927">
        <v>0</v>
      </c>
      <c r="Y927">
        <v>0</v>
      </c>
      <c r="Z927">
        <v>0</v>
      </c>
      <c r="AA927">
        <v>1</v>
      </c>
    </row>
    <row r="928" spans="1:27" ht="14.25" x14ac:dyDescent="0.2">
      <c r="A928" s="12">
        <v>20345</v>
      </c>
      <c r="B928" t="s">
        <v>130</v>
      </c>
      <c r="C928" t="s">
        <v>121</v>
      </c>
      <c r="D928" t="s">
        <v>121</v>
      </c>
      <c r="E928" t="s">
        <v>121</v>
      </c>
      <c r="F928" s="6" t="s">
        <v>1498</v>
      </c>
      <c r="H928">
        <v>2</v>
      </c>
      <c r="I928" s="1">
        <v>0</v>
      </c>
      <c r="J928">
        <v>0</v>
      </c>
      <c r="K928">
        <v>0</v>
      </c>
      <c r="L928" s="20">
        <v>16340</v>
      </c>
      <c r="M928">
        <v>1</v>
      </c>
      <c r="N928">
        <v>0</v>
      </c>
      <c r="O928">
        <v>0</v>
      </c>
      <c r="P928">
        <v>0</v>
      </c>
      <c r="Q928" s="22">
        <v>49020</v>
      </c>
      <c r="R928">
        <v>3</v>
      </c>
      <c r="S928" s="1">
        <v>0</v>
      </c>
      <c r="T928">
        <v>0</v>
      </c>
      <c r="U928">
        <v>0</v>
      </c>
      <c r="V928" s="21">
        <v>24510</v>
      </c>
      <c r="W928">
        <v>9</v>
      </c>
      <c r="X928">
        <v>0</v>
      </c>
      <c r="Y928">
        <v>0</v>
      </c>
      <c r="Z928">
        <v>0</v>
      </c>
      <c r="AA928">
        <v>10</v>
      </c>
    </row>
    <row r="929" spans="1:27" ht="14.25" x14ac:dyDescent="0.2">
      <c r="A929" s="12">
        <v>20346</v>
      </c>
      <c r="B929" t="s">
        <v>181</v>
      </c>
      <c r="C929" t="s">
        <v>121</v>
      </c>
      <c r="D929" t="s">
        <v>121</v>
      </c>
      <c r="E929" t="s">
        <v>121</v>
      </c>
      <c r="F929" s="6" t="s">
        <v>1500</v>
      </c>
      <c r="H929">
        <v>2</v>
      </c>
      <c r="I929" s="1">
        <v>0</v>
      </c>
      <c r="J929">
        <v>0</v>
      </c>
      <c r="K929">
        <v>0</v>
      </c>
      <c r="L929" s="20">
        <v>16400</v>
      </c>
      <c r="M929">
        <v>1</v>
      </c>
      <c r="N929">
        <v>0</v>
      </c>
      <c r="O929">
        <v>0</v>
      </c>
      <c r="P929">
        <v>0</v>
      </c>
      <c r="Q929" s="22">
        <v>49020</v>
      </c>
      <c r="R929">
        <v>3</v>
      </c>
      <c r="S929" s="1">
        <v>0</v>
      </c>
      <c r="T929">
        <v>0</v>
      </c>
      <c r="U929">
        <v>0</v>
      </c>
      <c r="V929" s="21">
        <v>24510</v>
      </c>
      <c r="W929">
        <v>30</v>
      </c>
      <c r="X929">
        <v>0</v>
      </c>
      <c r="Y929">
        <v>0</v>
      </c>
      <c r="Z929">
        <v>0</v>
      </c>
      <c r="AA929">
        <v>10</v>
      </c>
    </row>
    <row r="930" spans="1:27" ht="14.25" x14ac:dyDescent="0.2">
      <c r="A930" s="12">
        <v>20347</v>
      </c>
      <c r="B930" t="s">
        <v>122</v>
      </c>
      <c r="C930" t="s">
        <v>121</v>
      </c>
      <c r="D930" t="s">
        <v>121</v>
      </c>
      <c r="E930" t="s">
        <v>121</v>
      </c>
      <c r="F930" s="6" t="s">
        <v>1500</v>
      </c>
      <c r="H930">
        <v>2</v>
      </c>
      <c r="I930" s="1">
        <v>0</v>
      </c>
      <c r="J930">
        <v>0</v>
      </c>
      <c r="K930">
        <v>0</v>
      </c>
      <c r="L930" s="20">
        <v>16400</v>
      </c>
      <c r="M930">
        <v>1</v>
      </c>
      <c r="N930">
        <v>0</v>
      </c>
      <c r="O930">
        <v>0</v>
      </c>
      <c r="P930">
        <v>0</v>
      </c>
      <c r="Q930" s="22">
        <v>49020</v>
      </c>
      <c r="R930">
        <v>3</v>
      </c>
      <c r="S930" s="1">
        <v>0</v>
      </c>
      <c r="T930">
        <v>0</v>
      </c>
      <c r="U930">
        <v>0</v>
      </c>
      <c r="V930" s="21">
        <v>24510</v>
      </c>
      <c r="W930">
        <v>4</v>
      </c>
      <c r="X930">
        <v>0</v>
      </c>
      <c r="Y930">
        <v>0</v>
      </c>
      <c r="Z930">
        <v>0</v>
      </c>
      <c r="AA930">
        <v>10</v>
      </c>
    </row>
    <row r="931" spans="1:27" ht="14.25" x14ac:dyDescent="0.2">
      <c r="A931" s="12">
        <v>20348</v>
      </c>
      <c r="B931" t="s">
        <v>178</v>
      </c>
      <c r="C931" t="s">
        <v>121</v>
      </c>
      <c r="D931" t="s">
        <v>121</v>
      </c>
      <c r="E931" t="s">
        <v>121</v>
      </c>
      <c r="F931" s="6" t="s">
        <v>1502</v>
      </c>
      <c r="H931">
        <v>2</v>
      </c>
      <c r="I931" s="1">
        <v>0</v>
      </c>
      <c r="J931">
        <v>0</v>
      </c>
      <c r="K931">
        <v>0</v>
      </c>
      <c r="L931" s="20">
        <v>16400</v>
      </c>
      <c r="M931">
        <v>1</v>
      </c>
      <c r="N931">
        <v>0</v>
      </c>
      <c r="O931">
        <v>0</v>
      </c>
      <c r="P931">
        <v>0</v>
      </c>
      <c r="Q931" s="22">
        <v>49200</v>
      </c>
      <c r="R931">
        <v>3</v>
      </c>
      <c r="S931" s="1">
        <v>0</v>
      </c>
      <c r="T931">
        <v>0</v>
      </c>
      <c r="U931">
        <v>0</v>
      </c>
      <c r="V931" s="21">
        <v>24600</v>
      </c>
      <c r="W931">
        <v>21</v>
      </c>
      <c r="X931">
        <v>0</v>
      </c>
      <c r="Y931">
        <v>0</v>
      </c>
      <c r="Z931">
        <v>0</v>
      </c>
      <c r="AA931">
        <v>1</v>
      </c>
    </row>
    <row r="932" spans="1:27" ht="14.25" x14ac:dyDescent="0.2">
      <c r="A932" s="12">
        <v>20349</v>
      </c>
      <c r="B932" t="s">
        <v>130</v>
      </c>
      <c r="C932" t="s">
        <v>121</v>
      </c>
      <c r="D932" t="s">
        <v>121</v>
      </c>
      <c r="E932" t="s">
        <v>121</v>
      </c>
      <c r="F932" s="6" t="s">
        <v>1504</v>
      </c>
      <c r="H932">
        <v>2</v>
      </c>
      <c r="I932" s="1">
        <v>0</v>
      </c>
      <c r="J932">
        <v>0</v>
      </c>
      <c r="K932">
        <v>0</v>
      </c>
      <c r="L932" s="20">
        <v>16400</v>
      </c>
      <c r="M932">
        <v>1</v>
      </c>
      <c r="N932">
        <v>0</v>
      </c>
      <c r="O932">
        <v>0</v>
      </c>
      <c r="P932">
        <v>0</v>
      </c>
      <c r="Q932" s="22">
        <v>49200</v>
      </c>
      <c r="R932">
        <v>3</v>
      </c>
      <c r="S932" s="1">
        <v>0</v>
      </c>
      <c r="T932">
        <v>0</v>
      </c>
      <c r="U932">
        <v>0</v>
      </c>
      <c r="V932" s="21">
        <v>24600</v>
      </c>
      <c r="W932">
        <v>9</v>
      </c>
      <c r="X932">
        <v>0</v>
      </c>
      <c r="Y932">
        <v>0</v>
      </c>
      <c r="Z932">
        <v>0</v>
      </c>
      <c r="AA932">
        <v>10</v>
      </c>
    </row>
    <row r="933" spans="1:27" ht="14.25" x14ac:dyDescent="0.2">
      <c r="A933" s="12">
        <v>20350</v>
      </c>
      <c r="B933" t="s">
        <v>123</v>
      </c>
      <c r="C933" t="s">
        <v>121</v>
      </c>
      <c r="D933" t="s">
        <v>121</v>
      </c>
      <c r="E933" t="s">
        <v>121</v>
      </c>
      <c r="F933" s="6" t="s">
        <v>1504</v>
      </c>
      <c r="H933">
        <v>2</v>
      </c>
      <c r="I933" s="1">
        <v>0</v>
      </c>
      <c r="J933">
        <v>0</v>
      </c>
      <c r="K933">
        <v>0</v>
      </c>
      <c r="L933" s="20">
        <v>16400</v>
      </c>
      <c r="M933">
        <v>1</v>
      </c>
      <c r="N933">
        <v>0</v>
      </c>
      <c r="O933">
        <v>0</v>
      </c>
      <c r="P933">
        <v>0</v>
      </c>
      <c r="Q933" s="22">
        <v>49200</v>
      </c>
      <c r="R933">
        <v>3</v>
      </c>
      <c r="S933" s="1">
        <v>0</v>
      </c>
      <c r="T933">
        <v>0</v>
      </c>
      <c r="U933">
        <v>0</v>
      </c>
      <c r="V933" s="21">
        <v>24600</v>
      </c>
      <c r="W933">
        <v>12</v>
      </c>
      <c r="X933">
        <v>0</v>
      </c>
      <c r="Y933">
        <v>0</v>
      </c>
      <c r="Z933">
        <v>0</v>
      </c>
      <c r="AA933">
        <v>10</v>
      </c>
    </row>
    <row r="934" spans="1:27" ht="14.25" x14ac:dyDescent="0.2">
      <c r="A934" s="12">
        <v>20401</v>
      </c>
      <c r="B934" t="s">
        <v>126</v>
      </c>
      <c r="C934" t="s">
        <v>121</v>
      </c>
      <c r="D934" t="s">
        <v>121</v>
      </c>
      <c r="E934" t="s">
        <v>121</v>
      </c>
      <c r="F934" s="6" t="s">
        <v>1506</v>
      </c>
      <c r="H934">
        <v>2</v>
      </c>
      <c r="I934" s="1">
        <v>0</v>
      </c>
      <c r="J934">
        <v>0</v>
      </c>
      <c r="K934">
        <v>0</v>
      </c>
      <c r="L934" s="20">
        <v>16460</v>
      </c>
      <c r="M934">
        <v>1</v>
      </c>
      <c r="N934">
        <v>0</v>
      </c>
      <c r="O934">
        <v>0</v>
      </c>
      <c r="P934">
        <v>0</v>
      </c>
      <c r="Q934" s="22">
        <v>49200</v>
      </c>
      <c r="R934">
        <v>3</v>
      </c>
      <c r="S934" s="1">
        <v>0</v>
      </c>
      <c r="T934">
        <v>0</v>
      </c>
      <c r="U934">
        <v>0</v>
      </c>
      <c r="V934" s="21">
        <v>24600</v>
      </c>
      <c r="W934">
        <v>23</v>
      </c>
      <c r="X934">
        <v>0</v>
      </c>
      <c r="Y934">
        <v>0</v>
      </c>
      <c r="Z934">
        <v>0</v>
      </c>
      <c r="AA934">
        <v>1</v>
      </c>
    </row>
    <row r="935" spans="1:27" ht="14.25" x14ac:dyDescent="0.2">
      <c r="A935" s="12">
        <v>20402</v>
      </c>
      <c r="B935" t="s">
        <v>131</v>
      </c>
      <c r="C935" t="s">
        <v>125</v>
      </c>
      <c r="D935" t="s">
        <v>121</v>
      </c>
      <c r="E935" t="s">
        <v>136</v>
      </c>
      <c r="F935" s="6" t="s">
        <v>1508</v>
      </c>
      <c r="H935">
        <v>2</v>
      </c>
      <c r="I935" s="1">
        <v>0</v>
      </c>
      <c r="J935">
        <v>0</v>
      </c>
      <c r="K935">
        <v>0</v>
      </c>
      <c r="L935" s="20">
        <v>16460</v>
      </c>
      <c r="M935">
        <v>1</v>
      </c>
      <c r="N935">
        <v>0</v>
      </c>
      <c r="O935">
        <v>0</v>
      </c>
      <c r="P935">
        <v>0</v>
      </c>
      <c r="Q935" s="22">
        <v>49200</v>
      </c>
      <c r="R935">
        <v>3</v>
      </c>
      <c r="S935" s="1">
        <v>0</v>
      </c>
      <c r="T935">
        <v>0</v>
      </c>
      <c r="U935">
        <v>0</v>
      </c>
      <c r="V935" s="21">
        <v>24600</v>
      </c>
      <c r="W935">
        <v>6</v>
      </c>
      <c r="X935">
        <v>1</v>
      </c>
      <c r="Y935">
        <v>0</v>
      </c>
      <c r="Z935">
        <v>3</v>
      </c>
      <c r="AA935">
        <v>10</v>
      </c>
    </row>
    <row r="936" spans="1:27" ht="14.25" x14ac:dyDescent="0.2">
      <c r="A936" s="12">
        <v>20403</v>
      </c>
      <c r="B936" t="s">
        <v>180</v>
      </c>
      <c r="C936" t="s">
        <v>121</v>
      </c>
      <c r="D936" t="s">
        <v>121</v>
      </c>
      <c r="E936" t="s">
        <v>121</v>
      </c>
      <c r="F936" s="6" t="s">
        <v>1510</v>
      </c>
      <c r="H936">
        <v>2</v>
      </c>
      <c r="I936" s="1">
        <v>0</v>
      </c>
      <c r="J936">
        <v>0</v>
      </c>
      <c r="K936">
        <v>0</v>
      </c>
      <c r="L936" s="20">
        <v>16460</v>
      </c>
      <c r="M936">
        <v>1</v>
      </c>
      <c r="N936">
        <v>0</v>
      </c>
      <c r="O936">
        <v>0</v>
      </c>
      <c r="P936">
        <v>0</v>
      </c>
      <c r="Q936" s="22">
        <v>49380</v>
      </c>
      <c r="R936">
        <v>3</v>
      </c>
      <c r="S936" s="1">
        <v>0</v>
      </c>
      <c r="T936">
        <v>0</v>
      </c>
      <c r="U936">
        <v>0</v>
      </c>
      <c r="V936" s="21">
        <v>24690</v>
      </c>
      <c r="W936">
        <v>15</v>
      </c>
      <c r="X936">
        <v>0</v>
      </c>
      <c r="Y936">
        <v>0</v>
      </c>
      <c r="Z936">
        <v>0</v>
      </c>
      <c r="AA936">
        <v>1</v>
      </c>
    </row>
    <row r="937" spans="1:27" ht="14.25" x14ac:dyDescent="0.2">
      <c r="A937" s="12">
        <v>20404</v>
      </c>
      <c r="B937" t="s">
        <v>178</v>
      </c>
      <c r="C937" t="s">
        <v>121</v>
      </c>
      <c r="D937" t="s">
        <v>121</v>
      </c>
      <c r="E937" t="s">
        <v>121</v>
      </c>
      <c r="F937" s="6" t="s">
        <v>1510</v>
      </c>
      <c r="H937">
        <v>2</v>
      </c>
      <c r="I937" s="1">
        <v>0</v>
      </c>
      <c r="J937">
        <v>0</v>
      </c>
      <c r="K937">
        <v>0</v>
      </c>
      <c r="L937" s="20">
        <v>16460</v>
      </c>
      <c r="M937">
        <v>1</v>
      </c>
      <c r="N937">
        <v>0</v>
      </c>
      <c r="O937">
        <v>0</v>
      </c>
      <c r="P937">
        <v>0</v>
      </c>
      <c r="Q937" s="22">
        <v>49380</v>
      </c>
      <c r="R937">
        <v>3</v>
      </c>
      <c r="S937" s="1">
        <v>0</v>
      </c>
      <c r="T937">
        <v>0</v>
      </c>
      <c r="U937">
        <v>0</v>
      </c>
      <c r="V937" s="21">
        <v>24690</v>
      </c>
      <c r="W937">
        <v>21</v>
      </c>
      <c r="X937">
        <v>0</v>
      </c>
      <c r="Y937">
        <v>0</v>
      </c>
      <c r="Z937">
        <v>0</v>
      </c>
      <c r="AA937">
        <v>1</v>
      </c>
    </row>
    <row r="938" spans="1:27" ht="14.25" x14ac:dyDescent="0.2">
      <c r="A938" s="12">
        <v>20405</v>
      </c>
      <c r="B938" t="s">
        <v>130</v>
      </c>
      <c r="C938" t="s">
        <v>121</v>
      </c>
      <c r="D938" t="s">
        <v>121</v>
      </c>
      <c r="E938" t="s">
        <v>121</v>
      </c>
      <c r="F938" s="6" t="s">
        <v>1512</v>
      </c>
      <c r="H938">
        <v>2</v>
      </c>
      <c r="I938" s="1">
        <v>0</v>
      </c>
      <c r="J938">
        <v>0</v>
      </c>
      <c r="K938">
        <v>0</v>
      </c>
      <c r="L938" s="20">
        <v>16460</v>
      </c>
      <c r="M938">
        <v>1</v>
      </c>
      <c r="N938">
        <v>0</v>
      </c>
      <c r="O938">
        <v>0</v>
      </c>
      <c r="P938">
        <v>0</v>
      </c>
      <c r="Q938" s="22">
        <v>49380</v>
      </c>
      <c r="R938">
        <v>3</v>
      </c>
      <c r="S938" s="1">
        <v>0</v>
      </c>
      <c r="T938">
        <v>0</v>
      </c>
      <c r="U938">
        <v>0</v>
      </c>
      <c r="V938" s="21">
        <v>24690</v>
      </c>
      <c r="W938">
        <v>9</v>
      </c>
      <c r="X938">
        <v>0</v>
      </c>
      <c r="Y938">
        <v>0</v>
      </c>
      <c r="Z938">
        <v>0</v>
      </c>
      <c r="AA938">
        <v>10</v>
      </c>
    </row>
    <row r="939" spans="1:27" ht="14.25" x14ac:dyDescent="0.2">
      <c r="A939" s="12">
        <v>20406</v>
      </c>
      <c r="B939" t="s">
        <v>181</v>
      </c>
      <c r="C939" t="s">
        <v>121</v>
      </c>
      <c r="D939" t="s">
        <v>121</v>
      </c>
      <c r="E939" t="s">
        <v>121</v>
      </c>
      <c r="F939" s="6" t="s">
        <v>1514</v>
      </c>
      <c r="H939">
        <v>2</v>
      </c>
      <c r="I939" s="1">
        <v>0</v>
      </c>
      <c r="J939">
        <v>0</v>
      </c>
      <c r="K939">
        <v>0</v>
      </c>
      <c r="L939" s="20">
        <v>16520</v>
      </c>
      <c r="M939">
        <v>1</v>
      </c>
      <c r="N939">
        <v>0</v>
      </c>
      <c r="O939">
        <v>0</v>
      </c>
      <c r="P939">
        <v>0</v>
      </c>
      <c r="Q939" s="22">
        <v>49380</v>
      </c>
      <c r="R939">
        <v>3</v>
      </c>
      <c r="S939" s="1">
        <v>0</v>
      </c>
      <c r="T939">
        <v>0</v>
      </c>
      <c r="U939">
        <v>0</v>
      </c>
      <c r="V939" s="21">
        <v>24690</v>
      </c>
      <c r="W939">
        <v>30</v>
      </c>
      <c r="X939">
        <v>0</v>
      </c>
      <c r="Y939">
        <v>0</v>
      </c>
      <c r="Z939">
        <v>0</v>
      </c>
      <c r="AA939">
        <v>10</v>
      </c>
    </row>
    <row r="940" spans="1:27" ht="14.25" x14ac:dyDescent="0.2">
      <c r="A940" s="12">
        <v>20407</v>
      </c>
      <c r="B940" t="s">
        <v>122</v>
      </c>
      <c r="C940" t="s">
        <v>121</v>
      </c>
      <c r="D940" t="s">
        <v>121</v>
      </c>
      <c r="E940" t="s">
        <v>121</v>
      </c>
      <c r="F940" s="6" t="s">
        <v>1514</v>
      </c>
      <c r="H940">
        <v>2</v>
      </c>
      <c r="I940" s="1">
        <v>0</v>
      </c>
      <c r="J940">
        <v>0</v>
      </c>
      <c r="K940">
        <v>0</v>
      </c>
      <c r="L940" s="20">
        <v>16520</v>
      </c>
      <c r="M940">
        <v>1</v>
      </c>
      <c r="N940">
        <v>0</v>
      </c>
      <c r="O940">
        <v>0</v>
      </c>
      <c r="P940">
        <v>0</v>
      </c>
      <c r="Q940" s="22">
        <v>49380</v>
      </c>
      <c r="R940">
        <v>3</v>
      </c>
      <c r="S940" s="1">
        <v>0</v>
      </c>
      <c r="T940">
        <v>0</v>
      </c>
      <c r="U940">
        <v>0</v>
      </c>
      <c r="V940" s="21">
        <v>24690</v>
      </c>
      <c r="W940">
        <v>4</v>
      </c>
      <c r="X940">
        <v>0</v>
      </c>
      <c r="Y940">
        <v>0</v>
      </c>
      <c r="Z940">
        <v>0</v>
      </c>
      <c r="AA940">
        <v>10</v>
      </c>
    </row>
    <row r="941" spans="1:27" ht="14.25" x14ac:dyDescent="0.2">
      <c r="A941" s="12">
        <v>20408</v>
      </c>
      <c r="B941" t="s">
        <v>178</v>
      </c>
      <c r="C941" t="s">
        <v>121</v>
      </c>
      <c r="D941" t="s">
        <v>121</v>
      </c>
      <c r="E941" t="s">
        <v>121</v>
      </c>
      <c r="F941" s="6" t="s">
        <v>1516</v>
      </c>
      <c r="H941">
        <v>2</v>
      </c>
      <c r="I941" s="1">
        <v>0</v>
      </c>
      <c r="J941">
        <v>0</v>
      </c>
      <c r="K941">
        <v>0</v>
      </c>
      <c r="L941" s="20">
        <v>16520</v>
      </c>
      <c r="M941">
        <v>1</v>
      </c>
      <c r="N941">
        <v>0</v>
      </c>
      <c r="O941">
        <v>0</v>
      </c>
      <c r="P941">
        <v>0</v>
      </c>
      <c r="Q941" s="22">
        <v>49560</v>
      </c>
      <c r="R941">
        <v>3</v>
      </c>
      <c r="S941" s="1">
        <v>0</v>
      </c>
      <c r="T941">
        <v>0</v>
      </c>
      <c r="U941">
        <v>0</v>
      </c>
      <c r="V941" s="21">
        <v>24780</v>
      </c>
      <c r="W941">
        <v>21</v>
      </c>
      <c r="X941">
        <v>0</v>
      </c>
      <c r="Y941">
        <v>0</v>
      </c>
      <c r="Z941">
        <v>0</v>
      </c>
      <c r="AA941">
        <v>1</v>
      </c>
    </row>
    <row r="942" spans="1:27" ht="14.25" x14ac:dyDescent="0.2">
      <c r="A942" s="12">
        <v>20409</v>
      </c>
      <c r="B942" t="s">
        <v>130</v>
      </c>
      <c r="C942" t="s">
        <v>121</v>
      </c>
      <c r="D942" t="s">
        <v>121</v>
      </c>
      <c r="E942" t="s">
        <v>121</v>
      </c>
      <c r="F942" s="6" t="s">
        <v>1518</v>
      </c>
      <c r="H942">
        <v>2</v>
      </c>
      <c r="I942" s="1">
        <v>0</v>
      </c>
      <c r="J942">
        <v>0</v>
      </c>
      <c r="K942">
        <v>0</v>
      </c>
      <c r="L942" s="20">
        <v>16520</v>
      </c>
      <c r="M942">
        <v>1</v>
      </c>
      <c r="N942">
        <v>0</v>
      </c>
      <c r="O942">
        <v>0</v>
      </c>
      <c r="P942">
        <v>0</v>
      </c>
      <c r="Q942" s="22">
        <v>49560</v>
      </c>
      <c r="R942">
        <v>3</v>
      </c>
      <c r="S942" s="1">
        <v>0</v>
      </c>
      <c r="T942">
        <v>0</v>
      </c>
      <c r="U942">
        <v>0</v>
      </c>
      <c r="V942" s="21">
        <v>24780</v>
      </c>
      <c r="W942">
        <v>9</v>
      </c>
      <c r="X942">
        <v>0</v>
      </c>
      <c r="Y942">
        <v>0</v>
      </c>
      <c r="Z942">
        <v>0</v>
      </c>
      <c r="AA942">
        <v>10</v>
      </c>
    </row>
    <row r="943" spans="1:27" ht="14.25" x14ac:dyDescent="0.2">
      <c r="A943" s="12">
        <v>20410</v>
      </c>
      <c r="B943" t="s">
        <v>123</v>
      </c>
      <c r="C943" t="s">
        <v>121</v>
      </c>
      <c r="D943" t="s">
        <v>121</v>
      </c>
      <c r="E943" t="s">
        <v>121</v>
      </c>
      <c r="F943" s="6" t="s">
        <v>1518</v>
      </c>
      <c r="H943">
        <v>2</v>
      </c>
      <c r="I943" s="1">
        <v>0</v>
      </c>
      <c r="J943">
        <v>0</v>
      </c>
      <c r="K943">
        <v>0</v>
      </c>
      <c r="L943" s="20">
        <v>16520</v>
      </c>
      <c r="M943">
        <v>1</v>
      </c>
      <c r="N943">
        <v>0</v>
      </c>
      <c r="O943">
        <v>0</v>
      </c>
      <c r="P943">
        <v>0</v>
      </c>
      <c r="Q943" s="22">
        <v>49560</v>
      </c>
      <c r="R943">
        <v>3</v>
      </c>
      <c r="S943" s="1">
        <v>0</v>
      </c>
      <c r="T943">
        <v>0</v>
      </c>
      <c r="U943">
        <v>0</v>
      </c>
      <c r="V943" s="21">
        <v>24780</v>
      </c>
      <c r="W943">
        <v>12</v>
      </c>
      <c r="X943">
        <v>0</v>
      </c>
      <c r="Y943">
        <v>0</v>
      </c>
      <c r="Z943">
        <v>0</v>
      </c>
      <c r="AA943">
        <v>10</v>
      </c>
    </row>
    <row r="944" spans="1:27" ht="14.25" x14ac:dyDescent="0.2">
      <c r="A944" s="12">
        <v>20411</v>
      </c>
      <c r="B944" t="s">
        <v>126</v>
      </c>
      <c r="C944" t="s">
        <v>121</v>
      </c>
      <c r="D944" t="s">
        <v>121</v>
      </c>
      <c r="E944" t="s">
        <v>121</v>
      </c>
      <c r="F944" s="6" t="s">
        <v>1520</v>
      </c>
      <c r="H944">
        <v>2</v>
      </c>
      <c r="I944" s="1">
        <v>0</v>
      </c>
      <c r="J944">
        <v>0</v>
      </c>
      <c r="K944">
        <v>0</v>
      </c>
      <c r="L944" s="20">
        <v>16580</v>
      </c>
      <c r="M944">
        <v>1</v>
      </c>
      <c r="N944">
        <v>0</v>
      </c>
      <c r="O944">
        <v>0</v>
      </c>
      <c r="P944">
        <v>0</v>
      </c>
      <c r="Q944" s="22">
        <v>49560</v>
      </c>
      <c r="R944">
        <v>3</v>
      </c>
      <c r="S944" s="1">
        <v>0</v>
      </c>
      <c r="T944">
        <v>0</v>
      </c>
      <c r="U944">
        <v>0</v>
      </c>
      <c r="V944" s="21">
        <v>24780</v>
      </c>
      <c r="W944">
        <v>23</v>
      </c>
      <c r="X944">
        <v>0</v>
      </c>
      <c r="Y944">
        <v>0</v>
      </c>
      <c r="Z944">
        <v>0</v>
      </c>
      <c r="AA944">
        <v>1</v>
      </c>
    </row>
    <row r="945" spans="1:27" ht="14.25" x14ac:dyDescent="0.2">
      <c r="A945" s="12">
        <v>20412</v>
      </c>
      <c r="B945" t="s">
        <v>131</v>
      </c>
      <c r="C945" t="s">
        <v>125</v>
      </c>
      <c r="D945" t="s">
        <v>121</v>
      </c>
      <c r="E945" t="s">
        <v>136</v>
      </c>
      <c r="F945" s="6" t="s">
        <v>1522</v>
      </c>
      <c r="H945">
        <v>2</v>
      </c>
      <c r="I945" s="1">
        <v>0</v>
      </c>
      <c r="J945">
        <v>0</v>
      </c>
      <c r="K945">
        <v>0</v>
      </c>
      <c r="L945" s="20">
        <v>16580</v>
      </c>
      <c r="M945">
        <v>1</v>
      </c>
      <c r="N945">
        <v>0</v>
      </c>
      <c r="O945">
        <v>0</v>
      </c>
      <c r="P945">
        <v>0</v>
      </c>
      <c r="Q945" s="22">
        <v>49560</v>
      </c>
      <c r="R945">
        <v>3</v>
      </c>
      <c r="S945" s="1">
        <v>0</v>
      </c>
      <c r="T945">
        <v>0</v>
      </c>
      <c r="U945">
        <v>0</v>
      </c>
      <c r="V945" s="21">
        <v>24780</v>
      </c>
      <c r="W945">
        <v>6</v>
      </c>
      <c r="X945">
        <v>1</v>
      </c>
      <c r="Y945">
        <v>0</v>
      </c>
      <c r="Z945">
        <v>3</v>
      </c>
      <c r="AA945">
        <v>10</v>
      </c>
    </row>
    <row r="946" spans="1:27" ht="14.25" x14ac:dyDescent="0.2">
      <c r="A946" s="12">
        <v>20413</v>
      </c>
      <c r="B946" t="s">
        <v>180</v>
      </c>
      <c r="C946" t="s">
        <v>121</v>
      </c>
      <c r="D946" t="s">
        <v>121</v>
      </c>
      <c r="E946" t="s">
        <v>121</v>
      </c>
      <c r="F946" s="6" t="s">
        <v>1524</v>
      </c>
      <c r="H946">
        <v>2</v>
      </c>
      <c r="I946" s="1">
        <v>0</v>
      </c>
      <c r="J946">
        <v>0</v>
      </c>
      <c r="K946">
        <v>0</v>
      </c>
      <c r="L946" s="20">
        <v>16580</v>
      </c>
      <c r="M946">
        <v>1</v>
      </c>
      <c r="N946">
        <v>0</v>
      </c>
      <c r="O946">
        <v>0</v>
      </c>
      <c r="P946">
        <v>0</v>
      </c>
      <c r="Q946" s="22">
        <v>49740</v>
      </c>
      <c r="R946">
        <v>3</v>
      </c>
      <c r="S946" s="1">
        <v>0</v>
      </c>
      <c r="T946">
        <v>0</v>
      </c>
      <c r="U946">
        <v>0</v>
      </c>
      <c r="V946" s="21">
        <v>24870</v>
      </c>
      <c r="W946">
        <v>15</v>
      </c>
      <c r="X946">
        <v>0</v>
      </c>
      <c r="Y946">
        <v>0</v>
      </c>
      <c r="Z946">
        <v>0</v>
      </c>
      <c r="AA946">
        <v>1</v>
      </c>
    </row>
    <row r="947" spans="1:27" ht="14.25" x14ac:dyDescent="0.2">
      <c r="A947" s="12">
        <v>20414</v>
      </c>
      <c r="B947" t="s">
        <v>178</v>
      </c>
      <c r="C947" t="s">
        <v>121</v>
      </c>
      <c r="D947" t="s">
        <v>121</v>
      </c>
      <c r="E947" t="s">
        <v>121</v>
      </c>
      <c r="F947" s="6" t="s">
        <v>1524</v>
      </c>
      <c r="H947">
        <v>2</v>
      </c>
      <c r="I947" s="1">
        <v>0</v>
      </c>
      <c r="J947">
        <v>0</v>
      </c>
      <c r="K947">
        <v>0</v>
      </c>
      <c r="L947" s="20">
        <v>16580</v>
      </c>
      <c r="M947">
        <v>1</v>
      </c>
      <c r="N947">
        <v>0</v>
      </c>
      <c r="O947">
        <v>0</v>
      </c>
      <c r="P947">
        <v>0</v>
      </c>
      <c r="Q947" s="22">
        <v>49740</v>
      </c>
      <c r="R947">
        <v>3</v>
      </c>
      <c r="S947" s="1">
        <v>0</v>
      </c>
      <c r="T947">
        <v>0</v>
      </c>
      <c r="U947">
        <v>0</v>
      </c>
      <c r="V947" s="21">
        <v>24870</v>
      </c>
      <c r="W947">
        <v>21</v>
      </c>
      <c r="X947">
        <v>0</v>
      </c>
      <c r="Y947">
        <v>0</v>
      </c>
      <c r="Z947">
        <v>0</v>
      </c>
      <c r="AA947">
        <v>1</v>
      </c>
    </row>
    <row r="948" spans="1:27" ht="14.25" x14ac:dyDescent="0.2">
      <c r="A948" s="12">
        <v>20415</v>
      </c>
      <c r="B948" t="s">
        <v>130</v>
      </c>
      <c r="C948" t="s">
        <v>121</v>
      </c>
      <c r="D948" t="s">
        <v>121</v>
      </c>
      <c r="E948" t="s">
        <v>121</v>
      </c>
      <c r="F948" s="6" t="s">
        <v>1526</v>
      </c>
      <c r="H948">
        <v>2</v>
      </c>
      <c r="I948" s="1">
        <v>0</v>
      </c>
      <c r="J948">
        <v>0</v>
      </c>
      <c r="K948">
        <v>0</v>
      </c>
      <c r="L948" s="20">
        <v>16580</v>
      </c>
      <c r="M948">
        <v>1</v>
      </c>
      <c r="N948">
        <v>0</v>
      </c>
      <c r="O948">
        <v>0</v>
      </c>
      <c r="P948">
        <v>0</v>
      </c>
      <c r="Q948" s="22">
        <v>49740</v>
      </c>
      <c r="R948">
        <v>3</v>
      </c>
      <c r="S948" s="1">
        <v>0</v>
      </c>
      <c r="T948">
        <v>0</v>
      </c>
      <c r="U948">
        <v>0</v>
      </c>
      <c r="V948" s="21">
        <v>24870</v>
      </c>
      <c r="W948">
        <v>9</v>
      </c>
      <c r="X948">
        <v>0</v>
      </c>
      <c r="Y948">
        <v>0</v>
      </c>
      <c r="Z948">
        <v>0</v>
      </c>
      <c r="AA948">
        <v>10</v>
      </c>
    </row>
    <row r="949" spans="1:27" ht="14.25" x14ac:dyDescent="0.2">
      <c r="A949" s="12">
        <v>20416</v>
      </c>
      <c r="B949" t="s">
        <v>181</v>
      </c>
      <c r="C949" t="s">
        <v>121</v>
      </c>
      <c r="D949" t="s">
        <v>121</v>
      </c>
      <c r="E949" t="s">
        <v>121</v>
      </c>
      <c r="F949" s="6" t="s">
        <v>1528</v>
      </c>
      <c r="H949">
        <v>2</v>
      </c>
      <c r="I949" s="1">
        <v>0</v>
      </c>
      <c r="J949">
        <v>0</v>
      </c>
      <c r="K949">
        <v>0</v>
      </c>
      <c r="L949" s="20">
        <v>16640</v>
      </c>
      <c r="M949">
        <v>1</v>
      </c>
      <c r="N949">
        <v>0</v>
      </c>
      <c r="O949">
        <v>0</v>
      </c>
      <c r="P949">
        <v>0</v>
      </c>
      <c r="Q949" s="22">
        <v>49740</v>
      </c>
      <c r="R949">
        <v>3</v>
      </c>
      <c r="S949" s="1">
        <v>0</v>
      </c>
      <c r="T949">
        <v>0</v>
      </c>
      <c r="U949">
        <v>0</v>
      </c>
      <c r="V949" s="21">
        <v>24870</v>
      </c>
      <c r="W949">
        <v>30</v>
      </c>
      <c r="X949">
        <v>0</v>
      </c>
      <c r="Y949">
        <v>0</v>
      </c>
      <c r="Z949">
        <v>0</v>
      </c>
      <c r="AA949">
        <v>10</v>
      </c>
    </row>
    <row r="950" spans="1:27" ht="14.25" x14ac:dyDescent="0.2">
      <c r="A950" s="12">
        <v>20417</v>
      </c>
      <c r="B950" t="s">
        <v>122</v>
      </c>
      <c r="C950" t="s">
        <v>121</v>
      </c>
      <c r="D950" t="s">
        <v>121</v>
      </c>
      <c r="E950" t="s">
        <v>121</v>
      </c>
      <c r="F950" s="6" t="s">
        <v>1528</v>
      </c>
      <c r="H950">
        <v>2</v>
      </c>
      <c r="I950" s="1">
        <v>0</v>
      </c>
      <c r="J950">
        <v>0</v>
      </c>
      <c r="K950">
        <v>0</v>
      </c>
      <c r="L950" s="20">
        <v>16640</v>
      </c>
      <c r="M950">
        <v>1</v>
      </c>
      <c r="N950">
        <v>0</v>
      </c>
      <c r="O950">
        <v>0</v>
      </c>
      <c r="P950">
        <v>0</v>
      </c>
      <c r="Q950" s="22">
        <v>49740</v>
      </c>
      <c r="R950">
        <v>3</v>
      </c>
      <c r="S950" s="1">
        <v>0</v>
      </c>
      <c r="T950">
        <v>0</v>
      </c>
      <c r="U950">
        <v>0</v>
      </c>
      <c r="V950" s="21">
        <v>24870</v>
      </c>
      <c r="W950">
        <v>4</v>
      </c>
      <c r="X950">
        <v>0</v>
      </c>
      <c r="Y950">
        <v>0</v>
      </c>
      <c r="Z950">
        <v>0</v>
      </c>
      <c r="AA950">
        <v>10</v>
      </c>
    </row>
    <row r="951" spans="1:27" ht="14.25" x14ac:dyDescent="0.2">
      <c r="A951" s="12">
        <v>20418</v>
      </c>
      <c r="B951" t="s">
        <v>178</v>
      </c>
      <c r="C951" t="s">
        <v>121</v>
      </c>
      <c r="D951" t="s">
        <v>121</v>
      </c>
      <c r="E951" t="s">
        <v>121</v>
      </c>
      <c r="F951" s="6" t="s">
        <v>1530</v>
      </c>
      <c r="H951">
        <v>2</v>
      </c>
      <c r="I951" s="1">
        <v>0</v>
      </c>
      <c r="J951">
        <v>0</v>
      </c>
      <c r="K951">
        <v>0</v>
      </c>
      <c r="L951" s="20">
        <v>16640</v>
      </c>
      <c r="M951">
        <v>1</v>
      </c>
      <c r="N951">
        <v>0</v>
      </c>
      <c r="O951">
        <v>0</v>
      </c>
      <c r="P951">
        <v>0</v>
      </c>
      <c r="Q951" s="22">
        <v>49920</v>
      </c>
      <c r="R951">
        <v>3</v>
      </c>
      <c r="S951" s="1">
        <v>0</v>
      </c>
      <c r="T951">
        <v>0</v>
      </c>
      <c r="U951">
        <v>0</v>
      </c>
      <c r="V951" s="21">
        <v>24960</v>
      </c>
      <c r="W951">
        <v>21</v>
      </c>
      <c r="X951">
        <v>0</v>
      </c>
      <c r="Y951">
        <v>0</v>
      </c>
      <c r="Z951">
        <v>0</v>
      </c>
      <c r="AA951">
        <v>1</v>
      </c>
    </row>
    <row r="952" spans="1:27" ht="14.25" x14ac:dyDescent="0.2">
      <c r="A952" s="12">
        <v>20419</v>
      </c>
      <c r="B952" t="s">
        <v>130</v>
      </c>
      <c r="C952" t="s">
        <v>121</v>
      </c>
      <c r="D952" t="s">
        <v>121</v>
      </c>
      <c r="E952" t="s">
        <v>121</v>
      </c>
      <c r="F952" s="6" t="s">
        <v>1532</v>
      </c>
      <c r="H952">
        <v>2</v>
      </c>
      <c r="I952" s="1">
        <v>0</v>
      </c>
      <c r="J952">
        <v>0</v>
      </c>
      <c r="K952">
        <v>0</v>
      </c>
      <c r="L952" s="20">
        <v>16640</v>
      </c>
      <c r="M952">
        <v>1</v>
      </c>
      <c r="N952">
        <v>0</v>
      </c>
      <c r="O952">
        <v>0</v>
      </c>
      <c r="P952">
        <v>0</v>
      </c>
      <c r="Q952" s="22">
        <v>49920</v>
      </c>
      <c r="R952">
        <v>3</v>
      </c>
      <c r="S952" s="1">
        <v>0</v>
      </c>
      <c r="T952">
        <v>0</v>
      </c>
      <c r="U952">
        <v>0</v>
      </c>
      <c r="V952" s="21">
        <v>24960</v>
      </c>
      <c r="W952">
        <v>9</v>
      </c>
      <c r="X952">
        <v>0</v>
      </c>
      <c r="Y952">
        <v>0</v>
      </c>
      <c r="Z952">
        <v>0</v>
      </c>
      <c r="AA952">
        <v>10</v>
      </c>
    </row>
    <row r="953" spans="1:27" ht="14.25" x14ac:dyDescent="0.2">
      <c r="A953" s="12">
        <v>20420</v>
      </c>
      <c r="B953" t="s">
        <v>123</v>
      </c>
      <c r="C953" t="s">
        <v>121</v>
      </c>
      <c r="D953" t="s">
        <v>121</v>
      </c>
      <c r="E953" t="s">
        <v>121</v>
      </c>
      <c r="F953" s="6" t="s">
        <v>1532</v>
      </c>
      <c r="H953">
        <v>2</v>
      </c>
      <c r="I953" s="1">
        <v>0</v>
      </c>
      <c r="J953">
        <v>0</v>
      </c>
      <c r="K953">
        <v>0</v>
      </c>
      <c r="L953" s="20">
        <v>16640</v>
      </c>
      <c r="M953">
        <v>1</v>
      </c>
      <c r="N953">
        <v>0</v>
      </c>
      <c r="O953">
        <v>0</v>
      </c>
      <c r="P953">
        <v>0</v>
      </c>
      <c r="Q953" s="22">
        <v>49920</v>
      </c>
      <c r="R953">
        <v>3</v>
      </c>
      <c r="S953" s="1">
        <v>0</v>
      </c>
      <c r="T953">
        <v>0</v>
      </c>
      <c r="U953">
        <v>0</v>
      </c>
      <c r="V953" s="21">
        <v>24960</v>
      </c>
      <c r="W953">
        <v>12</v>
      </c>
      <c r="X953">
        <v>0</v>
      </c>
      <c r="Y953">
        <v>0</v>
      </c>
      <c r="Z953">
        <v>0</v>
      </c>
      <c r="AA953">
        <v>10</v>
      </c>
    </row>
    <row r="954" spans="1:27" ht="14.25" x14ac:dyDescent="0.2">
      <c r="A954" s="12">
        <v>20421</v>
      </c>
      <c r="B954" t="s">
        <v>126</v>
      </c>
      <c r="C954" t="s">
        <v>121</v>
      </c>
      <c r="D954" t="s">
        <v>121</v>
      </c>
      <c r="E954" t="s">
        <v>121</v>
      </c>
      <c r="F954" s="6" t="s">
        <v>1534</v>
      </c>
      <c r="H954">
        <v>2</v>
      </c>
      <c r="I954" s="1">
        <v>0</v>
      </c>
      <c r="J954">
        <v>0</v>
      </c>
      <c r="K954">
        <v>0</v>
      </c>
      <c r="L954" s="20">
        <v>16700</v>
      </c>
      <c r="M954">
        <v>1</v>
      </c>
      <c r="N954">
        <v>0</v>
      </c>
      <c r="O954">
        <v>0</v>
      </c>
      <c r="P954">
        <v>0</v>
      </c>
      <c r="Q954" s="22">
        <v>49920</v>
      </c>
      <c r="R954">
        <v>3</v>
      </c>
      <c r="S954" s="1">
        <v>0</v>
      </c>
      <c r="T954">
        <v>0</v>
      </c>
      <c r="U954">
        <v>0</v>
      </c>
      <c r="V954" s="21">
        <v>24960</v>
      </c>
      <c r="W954">
        <v>23</v>
      </c>
      <c r="X954">
        <v>0</v>
      </c>
      <c r="Y954">
        <v>0</v>
      </c>
      <c r="Z954">
        <v>0</v>
      </c>
      <c r="AA954">
        <v>1</v>
      </c>
    </row>
    <row r="955" spans="1:27" ht="14.25" x14ac:dyDescent="0.2">
      <c r="A955" s="12">
        <v>20422</v>
      </c>
      <c r="B955" t="s">
        <v>131</v>
      </c>
      <c r="C955" t="s">
        <v>125</v>
      </c>
      <c r="D955" t="s">
        <v>121</v>
      </c>
      <c r="E955" t="s">
        <v>136</v>
      </c>
      <c r="F955" s="6" t="s">
        <v>1536</v>
      </c>
      <c r="H955">
        <v>2</v>
      </c>
      <c r="I955" s="1">
        <v>0</v>
      </c>
      <c r="J955">
        <v>0</v>
      </c>
      <c r="K955">
        <v>0</v>
      </c>
      <c r="L955" s="20">
        <v>16700</v>
      </c>
      <c r="M955">
        <v>1</v>
      </c>
      <c r="N955">
        <v>0</v>
      </c>
      <c r="O955">
        <v>0</v>
      </c>
      <c r="P955">
        <v>0</v>
      </c>
      <c r="Q955" s="22">
        <v>49920</v>
      </c>
      <c r="R955">
        <v>3</v>
      </c>
      <c r="S955" s="1">
        <v>0</v>
      </c>
      <c r="T955">
        <v>0</v>
      </c>
      <c r="U955">
        <v>0</v>
      </c>
      <c r="V955" s="21">
        <v>24960</v>
      </c>
      <c r="W955">
        <v>6</v>
      </c>
      <c r="X955">
        <v>1</v>
      </c>
      <c r="Y955">
        <v>0</v>
      </c>
      <c r="Z955">
        <v>3</v>
      </c>
      <c r="AA955">
        <v>10</v>
      </c>
    </row>
    <row r="956" spans="1:27" ht="14.25" x14ac:dyDescent="0.2">
      <c r="A956" s="12">
        <v>20423</v>
      </c>
      <c r="B956" t="s">
        <v>180</v>
      </c>
      <c r="C956" t="s">
        <v>121</v>
      </c>
      <c r="D956" t="s">
        <v>121</v>
      </c>
      <c r="E956" t="s">
        <v>121</v>
      </c>
      <c r="F956" s="6" t="s">
        <v>1538</v>
      </c>
      <c r="H956">
        <v>2</v>
      </c>
      <c r="I956" s="1">
        <v>0</v>
      </c>
      <c r="J956">
        <v>0</v>
      </c>
      <c r="K956">
        <v>0</v>
      </c>
      <c r="L956" s="20">
        <v>16700</v>
      </c>
      <c r="M956">
        <v>1</v>
      </c>
      <c r="N956">
        <v>0</v>
      </c>
      <c r="O956">
        <v>0</v>
      </c>
      <c r="P956">
        <v>0</v>
      </c>
      <c r="Q956" s="22">
        <v>50100</v>
      </c>
      <c r="R956">
        <v>3</v>
      </c>
      <c r="S956" s="1">
        <v>0</v>
      </c>
      <c r="T956">
        <v>0</v>
      </c>
      <c r="U956">
        <v>0</v>
      </c>
      <c r="V956" s="21">
        <v>25050</v>
      </c>
      <c r="W956">
        <v>15</v>
      </c>
      <c r="X956">
        <v>0</v>
      </c>
      <c r="Y956">
        <v>0</v>
      </c>
      <c r="Z956">
        <v>0</v>
      </c>
      <c r="AA956">
        <v>1</v>
      </c>
    </row>
    <row r="957" spans="1:27" ht="14.25" x14ac:dyDescent="0.2">
      <c r="A957" s="12">
        <v>20424</v>
      </c>
      <c r="B957" t="s">
        <v>178</v>
      </c>
      <c r="C957" t="s">
        <v>121</v>
      </c>
      <c r="D957" t="s">
        <v>121</v>
      </c>
      <c r="E957" t="s">
        <v>121</v>
      </c>
      <c r="F957" s="6" t="s">
        <v>1538</v>
      </c>
      <c r="H957">
        <v>2</v>
      </c>
      <c r="I957" s="1">
        <v>0</v>
      </c>
      <c r="J957">
        <v>0</v>
      </c>
      <c r="K957">
        <v>0</v>
      </c>
      <c r="L957" s="20">
        <v>16700</v>
      </c>
      <c r="M957">
        <v>1</v>
      </c>
      <c r="N957">
        <v>0</v>
      </c>
      <c r="O957">
        <v>0</v>
      </c>
      <c r="P957">
        <v>0</v>
      </c>
      <c r="Q957" s="22">
        <v>50100</v>
      </c>
      <c r="R957">
        <v>3</v>
      </c>
      <c r="S957" s="1">
        <v>0</v>
      </c>
      <c r="T957">
        <v>0</v>
      </c>
      <c r="U957">
        <v>0</v>
      </c>
      <c r="V957" s="21">
        <v>25050</v>
      </c>
      <c r="W957">
        <v>21</v>
      </c>
      <c r="X957">
        <v>0</v>
      </c>
      <c r="Y957">
        <v>0</v>
      </c>
      <c r="Z957">
        <v>0</v>
      </c>
      <c r="AA957">
        <v>1</v>
      </c>
    </row>
    <row r="958" spans="1:27" ht="14.25" x14ac:dyDescent="0.2">
      <c r="A958" s="12">
        <v>20425</v>
      </c>
      <c r="B958" t="s">
        <v>130</v>
      </c>
      <c r="C958" t="s">
        <v>121</v>
      </c>
      <c r="D958" t="s">
        <v>121</v>
      </c>
      <c r="E958" t="s">
        <v>121</v>
      </c>
      <c r="F958" s="6" t="s">
        <v>1540</v>
      </c>
      <c r="H958">
        <v>2</v>
      </c>
      <c r="I958" s="1">
        <v>0</v>
      </c>
      <c r="J958">
        <v>0</v>
      </c>
      <c r="K958">
        <v>0</v>
      </c>
      <c r="L958" s="20">
        <v>16700</v>
      </c>
      <c r="M958">
        <v>1</v>
      </c>
      <c r="N958">
        <v>0</v>
      </c>
      <c r="O958">
        <v>0</v>
      </c>
      <c r="P958">
        <v>0</v>
      </c>
      <c r="Q958" s="22">
        <v>50100</v>
      </c>
      <c r="R958">
        <v>3</v>
      </c>
      <c r="S958" s="1">
        <v>0</v>
      </c>
      <c r="T958">
        <v>0</v>
      </c>
      <c r="U958">
        <v>0</v>
      </c>
      <c r="V958" s="21">
        <v>25050</v>
      </c>
      <c r="W958">
        <v>9</v>
      </c>
      <c r="X958">
        <v>0</v>
      </c>
      <c r="Y958">
        <v>0</v>
      </c>
      <c r="Z958">
        <v>0</v>
      </c>
      <c r="AA958">
        <v>10</v>
      </c>
    </row>
    <row r="959" spans="1:27" ht="14.25" x14ac:dyDescent="0.2">
      <c r="A959" s="12">
        <v>20426</v>
      </c>
      <c r="B959" t="s">
        <v>181</v>
      </c>
      <c r="C959" t="s">
        <v>121</v>
      </c>
      <c r="D959" t="s">
        <v>121</v>
      </c>
      <c r="E959" t="s">
        <v>121</v>
      </c>
      <c r="F959" s="6" t="s">
        <v>1542</v>
      </c>
      <c r="H959">
        <v>2</v>
      </c>
      <c r="I959" s="1">
        <v>0</v>
      </c>
      <c r="J959">
        <v>0</v>
      </c>
      <c r="K959">
        <v>0</v>
      </c>
      <c r="L959" s="20">
        <v>16760</v>
      </c>
      <c r="M959">
        <v>1</v>
      </c>
      <c r="N959">
        <v>0</v>
      </c>
      <c r="O959">
        <v>0</v>
      </c>
      <c r="P959">
        <v>0</v>
      </c>
      <c r="Q959" s="22">
        <v>50100</v>
      </c>
      <c r="R959">
        <v>3</v>
      </c>
      <c r="S959" s="1">
        <v>0</v>
      </c>
      <c r="T959">
        <v>0</v>
      </c>
      <c r="U959">
        <v>0</v>
      </c>
      <c r="V959" s="21">
        <v>25050</v>
      </c>
      <c r="W959">
        <v>30</v>
      </c>
      <c r="X959">
        <v>0</v>
      </c>
      <c r="Y959">
        <v>0</v>
      </c>
      <c r="Z959">
        <v>0</v>
      </c>
      <c r="AA959">
        <v>10</v>
      </c>
    </row>
    <row r="960" spans="1:27" ht="14.25" x14ac:dyDescent="0.2">
      <c r="A960" s="12">
        <v>20427</v>
      </c>
      <c r="B960" t="s">
        <v>122</v>
      </c>
      <c r="C960" t="s">
        <v>121</v>
      </c>
      <c r="D960" t="s">
        <v>121</v>
      </c>
      <c r="E960" t="s">
        <v>121</v>
      </c>
      <c r="F960" s="6" t="s">
        <v>1542</v>
      </c>
      <c r="H960">
        <v>2</v>
      </c>
      <c r="I960" s="1">
        <v>0</v>
      </c>
      <c r="J960">
        <v>0</v>
      </c>
      <c r="K960">
        <v>0</v>
      </c>
      <c r="L960" s="20">
        <v>16760</v>
      </c>
      <c r="M960">
        <v>1</v>
      </c>
      <c r="N960">
        <v>0</v>
      </c>
      <c r="O960">
        <v>0</v>
      </c>
      <c r="P960">
        <v>0</v>
      </c>
      <c r="Q960" s="22">
        <v>50100</v>
      </c>
      <c r="R960">
        <v>3</v>
      </c>
      <c r="S960" s="1">
        <v>0</v>
      </c>
      <c r="T960">
        <v>0</v>
      </c>
      <c r="U960">
        <v>0</v>
      </c>
      <c r="V960" s="21">
        <v>25050</v>
      </c>
      <c r="W960">
        <v>4</v>
      </c>
      <c r="X960">
        <v>0</v>
      </c>
      <c r="Y960">
        <v>0</v>
      </c>
      <c r="Z960">
        <v>0</v>
      </c>
      <c r="AA960">
        <v>10</v>
      </c>
    </row>
    <row r="961" spans="1:27" ht="14.25" x14ac:dyDescent="0.2">
      <c r="A961" s="12">
        <v>20428</v>
      </c>
      <c r="B961" t="s">
        <v>178</v>
      </c>
      <c r="C961" t="s">
        <v>121</v>
      </c>
      <c r="D961" t="s">
        <v>121</v>
      </c>
      <c r="E961" t="s">
        <v>121</v>
      </c>
      <c r="F961" s="6" t="s">
        <v>1544</v>
      </c>
      <c r="H961">
        <v>2</v>
      </c>
      <c r="I961" s="1">
        <v>0</v>
      </c>
      <c r="J961">
        <v>0</v>
      </c>
      <c r="K961">
        <v>0</v>
      </c>
      <c r="L961" s="20">
        <v>16760</v>
      </c>
      <c r="M961">
        <v>1</v>
      </c>
      <c r="N961">
        <v>0</v>
      </c>
      <c r="O961">
        <v>0</v>
      </c>
      <c r="P961">
        <v>0</v>
      </c>
      <c r="Q961" s="22">
        <v>50280</v>
      </c>
      <c r="R961">
        <v>3</v>
      </c>
      <c r="S961" s="1">
        <v>0</v>
      </c>
      <c r="T961">
        <v>0</v>
      </c>
      <c r="U961">
        <v>0</v>
      </c>
      <c r="V961" s="21">
        <v>25140</v>
      </c>
      <c r="W961">
        <v>21</v>
      </c>
      <c r="X961">
        <v>0</v>
      </c>
      <c r="Y961">
        <v>0</v>
      </c>
      <c r="Z961">
        <v>0</v>
      </c>
      <c r="AA961">
        <v>1</v>
      </c>
    </row>
    <row r="962" spans="1:27" ht="14.25" x14ac:dyDescent="0.2">
      <c r="A962" s="12">
        <v>20429</v>
      </c>
      <c r="B962" t="s">
        <v>130</v>
      </c>
      <c r="C962" t="s">
        <v>121</v>
      </c>
      <c r="D962" t="s">
        <v>121</v>
      </c>
      <c r="E962" t="s">
        <v>121</v>
      </c>
      <c r="F962" s="6" t="s">
        <v>1546</v>
      </c>
      <c r="H962">
        <v>2</v>
      </c>
      <c r="I962" s="1">
        <v>0</v>
      </c>
      <c r="J962">
        <v>0</v>
      </c>
      <c r="K962">
        <v>0</v>
      </c>
      <c r="L962" s="20">
        <v>16760</v>
      </c>
      <c r="M962">
        <v>1</v>
      </c>
      <c r="N962">
        <v>0</v>
      </c>
      <c r="O962">
        <v>0</v>
      </c>
      <c r="P962">
        <v>0</v>
      </c>
      <c r="Q962" s="22">
        <v>50280</v>
      </c>
      <c r="R962">
        <v>3</v>
      </c>
      <c r="S962" s="1">
        <v>0</v>
      </c>
      <c r="T962">
        <v>0</v>
      </c>
      <c r="U962">
        <v>0</v>
      </c>
      <c r="V962" s="21">
        <v>25140</v>
      </c>
      <c r="W962">
        <v>9</v>
      </c>
      <c r="X962">
        <v>0</v>
      </c>
      <c r="Y962">
        <v>0</v>
      </c>
      <c r="Z962">
        <v>0</v>
      </c>
      <c r="AA962">
        <v>10</v>
      </c>
    </row>
    <row r="963" spans="1:27" ht="14.25" x14ac:dyDescent="0.2">
      <c r="A963" s="12">
        <v>20430</v>
      </c>
      <c r="B963" t="s">
        <v>123</v>
      </c>
      <c r="C963" t="s">
        <v>121</v>
      </c>
      <c r="D963" t="s">
        <v>121</v>
      </c>
      <c r="E963" t="s">
        <v>121</v>
      </c>
      <c r="F963" s="6" t="s">
        <v>1546</v>
      </c>
      <c r="H963">
        <v>2</v>
      </c>
      <c r="I963" s="1">
        <v>0</v>
      </c>
      <c r="J963">
        <v>0</v>
      </c>
      <c r="K963">
        <v>0</v>
      </c>
      <c r="L963" s="20">
        <v>16760</v>
      </c>
      <c r="M963">
        <v>1</v>
      </c>
      <c r="N963">
        <v>0</v>
      </c>
      <c r="O963">
        <v>0</v>
      </c>
      <c r="P963">
        <v>0</v>
      </c>
      <c r="Q963" s="22">
        <v>50280</v>
      </c>
      <c r="R963">
        <v>3</v>
      </c>
      <c r="S963" s="1">
        <v>0</v>
      </c>
      <c r="T963">
        <v>0</v>
      </c>
      <c r="U963">
        <v>0</v>
      </c>
      <c r="V963" s="21">
        <v>25140</v>
      </c>
      <c r="W963">
        <v>12</v>
      </c>
      <c r="X963">
        <v>0</v>
      </c>
      <c r="Y963">
        <v>0</v>
      </c>
      <c r="Z963">
        <v>0</v>
      </c>
      <c r="AA963">
        <v>10</v>
      </c>
    </row>
    <row r="964" spans="1:27" ht="14.25" x14ac:dyDescent="0.2">
      <c r="A964" s="12">
        <v>20431</v>
      </c>
      <c r="B964" t="s">
        <v>126</v>
      </c>
      <c r="C964" t="s">
        <v>121</v>
      </c>
      <c r="D964" t="s">
        <v>121</v>
      </c>
      <c r="E964" t="s">
        <v>121</v>
      </c>
      <c r="F964" s="6" t="s">
        <v>1548</v>
      </c>
      <c r="H964">
        <v>2</v>
      </c>
      <c r="I964" s="1">
        <v>0</v>
      </c>
      <c r="J964">
        <v>0</v>
      </c>
      <c r="K964">
        <v>0</v>
      </c>
      <c r="L964" s="20">
        <v>16820</v>
      </c>
      <c r="M964">
        <v>1</v>
      </c>
      <c r="N964">
        <v>0</v>
      </c>
      <c r="O964">
        <v>0</v>
      </c>
      <c r="P964">
        <v>0</v>
      </c>
      <c r="Q964" s="22">
        <v>50280</v>
      </c>
      <c r="R964">
        <v>3</v>
      </c>
      <c r="S964" s="1">
        <v>0</v>
      </c>
      <c r="T964">
        <v>0</v>
      </c>
      <c r="U964">
        <v>0</v>
      </c>
      <c r="V964" s="21">
        <v>25140</v>
      </c>
      <c r="W964">
        <v>23</v>
      </c>
      <c r="X964">
        <v>0</v>
      </c>
      <c r="Y964">
        <v>0</v>
      </c>
      <c r="Z964">
        <v>0</v>
      </c>
      <c r="AA964">
        <v>1</v>
      </c>
    </row>
    <row r="965" spans="1:27" ht="14.25" x14ac:dyDescent="0.2">
      <c r="A965" s="12">
        <v>20432</v>
      </c>
      <c r="B965" t="s">
        <v>131</v>
      </c>
      <c r="C965" t="s">
        <v>125</v>
      </c>
      <c r="D965" t="s">
        <v>121</v>
      </c>
      <c r="E965" t="s">
        <v>136</v>
      </c>
      <c r="F965" s="6" t="s">
        <v>1550</v>
      </c>
      <c r="H965">
        <v>2</v>
      </c>
      <c r="I965" s="1">
        <v>0</v>
      </c>
      <c r="J965">
        <v>0</v>
      </c>
      <c r="K965">
        <v>0</v>
      </c>
      <c r="L965" s="20">
        <v>16820</v>
      </c>
      <c r="M965">
        <v>1</v>
      </c>
      <c r="N965">
        <v>0</v>
      </c>
      <c r="O965">
        <v>0</v>
      </c>
      <c r="P965">
        <v>0</v>
      </c>
      <c r="Q965" s="22">
        <v>50280</v>
      </c>
      <c r="R965">
        <v>3</v>
      </c>
      <c r="S965" s="1">
        <v>0</v>
      </c>
      <c r="T965">
        <v>0</v>
      </c>
      <c r="U965">
        <v>0</v>
      </c>
      <c r="V965" s="21">
        <v>25140</v>
      </c>
      <c r="W965">
        <v>6</v>
      </c>
      <c r="X965">
        <v>1</v>
      </c>
      <c r="Y965">
        <v>0</v>
      </c>
      <c r="Z965">
        <v>3</v>
      </c>
      <c r="AA965">
        <v>10</v>
      </c>
    </row>
    <row r="966" spans="1:27" ht="14.25" x14ac:dyDescent="0.2">
      <c r="A966" s="12">
        <v>20433</v>
      </c>
      <c r="B966" t="s">
        <v>180</v>
      </c>
      <c r="C966" t="s">
        <v>121</v>
      </c>
      <c r="D966" t="s">
        <v>121</v>
      </c>
      <c r="E966" t="s">
        <v>121</v>
      </c>
      <c r="F966" s="6" t="s">
        <v>1552</v>
      </c>
      <c r="H966">
        <v>2</v>
      </c>
      <c r="I966" s="1">
        <v>0</v>
      </c>
      <c r="J966">
        <v>0</v>
      </c>
      <c r="K966">
        <v>0</v>
      </c>
      <c r="L966" s="20">
        <v>16820</v>
      </c>
      <c r="M966">
        <v>1</v>
      </c>
      <c r="N966">
        <v>0</v>
      </c>
      <c r="O966">
        <v>0</v>
      </c>
      <c r="P966">
        <v>0</v>
      </c>
      <c r="Q966" s="22">
        <v>50460</v>
      </c>
      <c r="R966">
        <v>3</v>
      </c>
      <c r="S966" s="1">
        <v>0</v>
      </c>
      <c r="T966">
        <v>0</v>
      </c>
      <c r="U966">
        <v>0</v>
      </c>
      <c r="V966" s="21">
        <v>25230</v>
      </c>
      <c r="W966">
        <v>15</v>
      </c>
      <c r="X966">
        <v>0</v>
      </c>
      <c r="Y966">
        <v>0</v>
      </c>
      <c r="Z966">
        <v>0</v>
      </c>
      <c r="AA966">
        <v>1</v>
      </c>
    </row>
    <row r="967" spans="1:27" ht="14.25" x14ac:dyDescent="0.2">
      <c r="A967" s="12">
        <v>20434</v>
      </c>
      <c r="B967" t="s">
        <v>178</v>
      </c>
      <c r="C967" t="s">
        <v>121</v>
      </c>
      <c r="D967" t="s">
        <v>121</v>
      </c>
      <c r="E967" t="s">
        <v>121</v>
      </c>
      <c r="F967" s="6" t="s">
        <v>1552</v>
      </c>
      <c r="H967">
        <v>2</v>
      </c>
      <c r="I967" s="1">
        <v>0</v>
      </c>
      <c r="J967">
        <v>0</v>
      </c>
      <c r="K967">
        <v>0</v>
      </c>
      <c r="L967" s="20">
        <v>16820</v>
      </c>
      <c r="M967">
        <v>1</v>
      </c>
      <c r="N967">
        <v>0</v>
      </c>
      <c r="O967">
        <v>0</v>
      </c>
      <c r="P967">
        <v>0</v>
      </c>
      <c r="Q967" s="22">
        <v>50460</v>
      </c>
      <c r="R967">
        <v>3</v>
      </c>
      <c r="S967" s="1">
        <v>0</v>
      </c>
      <c r="T967">
        <v>0</v>
      </c>
      <c r="U967">
        <v>0</v>
      </c>
      <c r="V967" s="21">
        <v>25230</v>
      </c>
      <c r="W967">
        <v>21</v>
      </c>
      <c r="X967">
        <v>0</v>
      </c>
      <c r="Y967">
        <v>0</v>
      </c>
      <c r="Z967">
        <v>0</v>
      </c>
      <c r="AA967">
        <v>1</v>
      </c>
    </row>
    <row r="968" spans="1:27" ht="14.25" x14ac:dyDescent="0.2">
      <c r="A968" s="12">
        <v>20435</v>
      </c>
      <c r="B968" t="s">
        <v>130</v>
      </c>
      <c r="C968" t="s">
        <v>121</v>
      </c>
      <c r="D968" t="s">
        <v>121</v>
      </c>
      <c r="E968" t="s">
        <v>121</v>
      </c>
      <c r="F968" s="6" t="s">
        <v>1554</v>
      </c>
      <c r="H968">
        <v>2</v>
      </c>
      <c r="I968" s="1">
        <v>0</v>
      </c>
      <c r="J968">
        <v>0</v>
      </c>
      <c r="K968">
        <v>0</v>
      </c>
      <c r="L968" s="20">
        <v>16820</v>
      </c>
      <c r="M968">
        <v>1</v>
      </c>
      <c r="N968">
        <v>0</v>
      </c>
      <c r="O968">
        <v>0</v>
      </c>
      <c r="P968">
        <v>0</v>
      </c>
      <c r="Q968" s="22">
        <v>50460</v>
      </c>
      <c r="R968">
        <v>3</v>
      </c>
      <c r="S968" s="1">
        <v>0</v>
      </c>
      <c r="T968">
        <v>0</v>
      </c>
      <c r="U968">
        <v>0</v>
      </c>
      <c r="V968" s="21">
        <v>25230</v>
      </c>
      <c r="W968">
        <v>9</v>
      </c>
      <c r="X968">
        <v>0</v>
      </c>
      <c r="Y968">
        <v>0</v>
      </c>
      <c r="Z968">
        <v>0</v>
      </c>
      <c r="AA968">
        <v>10</v>
      </c>
    </row>
    <row r="969" spans="1:27" ht="14.25" x14ac:dyDescent="0.2">
      <c r="A969" s="12">
        <v>20436</v>
      </c>
      <c r="B969" t="s">
        <v>181</v>
      </c>
      <c r="C969" t="s">
        <v>121</v>
      </c>
      <c r="D969" t="s">
        <v>121</v>
      </c>
      <c r="E969" t="s">
        <v>121</v>
      </c>
      <c r="F969" s="6" t="s">
        <v>1556</v>
      </c>
      <c r="H969">
        <v>2</v>
      </c>
      <c r="I969" s="1">
        <v>0</v>
      </c>
      <c r="J969">
        <v>0</v>
      </c>
      <c r="K969">
        <v>0</v>
      </c>
      <c r="L969" s="20">
        <v>16880</v>
      </c>
      <c r="M969">
        <v>1</v>
      </c>
      <c r="N969">
        <v>0</v>
      </c>
      <c r="O969">
        <v>0</v>
      </c>
      <c r="P969">
        <v>0</v>
      </c>
      <c r="Q969" s="22">
        <v>50460</v>
      </c>
      <c r="R969">
        <v>3</v>
      </c>
      <c r="S969" s="1">
        <v>0</v>
      </c>
      <c r="T969">
        <v>0</v>
      </c>
      <c r="U969">
        <v>0</v>
      </c>
      <c r="V969" s="21">
        <v>25230</v>
      </c>
      <c r="W969">
        <v>30</v>
      </c>
      <c r="X969">
        <v>0</v>
      </c>
      <c r="Y969">
        <v>0</v>
      </c>
      <c r="Z969">
        <v>0</v>
      </c>
      <c r="AA969">
        <v>10</v>
      </c>
    </row>
    <row r="970" spans="1:27" ht="14.25" x14ac:dyDescent="0.2">
      <c r="A970" s="12">
        <v>20437</v>
      </c>
      <c r="B970" t="s">
        <v>122</v>
      </c>
      <c r="C970" t="s">
        <v>121</v>
      </c>
      <c r="D970" t="s">
        <v>121</v>
      </c>
      <c r="E970" t="s">
        <v>121</v>
      </c>
      <c r="F970" s="6" t="s">
        <v>1556</v>
      </c>
      <c r="H970">
        <v>2</v>
      </c>
      <c r="I970" s="1">
        <v>0</v>
      </c>
      <c r="J970">
        <v>0</v>
      </c>
      <c r="K970">
        <v>0</v>
      </c>
      <c r="L970" s="20">
        <v>16880</v>
      </c>
      <c r="M970">
        <v>1</v>
      </c>
      <c r="N970">
        <v>0</v>
      </c>
      <c r="O970">
        <v>0</v>
      </c>
      <c r="P970">
        <v>0</v>
      </c>
      <c r="Q970" s="22">
        <v>50460</v>
      </c>
      <c r="R970">
        <v>3</v>
      </c>
      <c r="S970" s="1">
        <v>0</v>
      </c>
      <c r="T970">
        <v>0</v>
      </c>
      <c r="U970">
        <v>0</v>
      </c>
      <c r="V970" s="21">
        <v>25230</v>
      </c>
      <c r="W970">
        <v>4</v>
      </c>
      <c r="X970">
        <v>0</v>
      </c>
      <c r="Y970">
        <v>0</v>
      </c>
      <c r="Z970">
        <v>0</v>
      </c>
      <c r="AA970">
        <v>10</v>
      </c>
    </row>
    <row r="971" spans="1:27" ht="14.25" x14ac:dyDescent="0.2">
      <c r="A971" s="12">
        <v>20438</v>
      </c>
      <c r="B971" t="s">
        <v>178</v>
      </c>
      <c r="C971" t="s">
        <v>121</v>
      </c>
      <c r="D971" t="s">
        <v>121</v>
      </c>
      <c r="E971" t="s">
        <v>121</v>
      </c>
      <c r="F971" s="6" t="s">
        <v>1558</v>
      </c>
      <c r="H971">
        <v>2</v>
      </c>
      <c r="I971" s="1">
        <v>0</v>
      </c>
      <c r="J971">
        <v>0</v>
      </c>
      <c r="K971">
        <v>0</v>
      </c>
      <c r="L971" s="20">
        <v>16880</v>
      </c>
      <c r="M971">
        <v>1</v>
      </c>
      <c r="N971">
        <v>0</v>
      </c>
      <c r="O971">
        <v>0</v>
      </c>
      <c r="P971">
        <v>0</v>
      </c>
      <c r="Q971" s="22">
        <v>50640</v>
      </c>
      <c r="R971">
        <v>3</v>
      </c>
      <c r="S971" s="1">
        <v>0</v>
      </c>
      <c r="T971">
        <v>0</v>
      </c>
      <c r="U971">
        <v>0</v>
      </c>
      <c r="V971" s="21">
        <v>25320</v>
      </c>
      <c r="W971">
        <v>21</v>
      </c>
      <c r="X971">
        <v>0</v>
      </c>
      <c r="Y971">
        <v>0</v>
      </c>
      <c r="Z971">
        <v>0</v>
      </c>
      <c r="AA971">
        <v>1</v>
      </c>
    </row>
    <row r="972" spans="1:27" ht="14.25" x14ac:dyDescent="0.2">
      <c r="A972" s="12">
        <v>20439</v>
      </c>
      <c r="B972" t="s">
        <v>130</v>
      </c>
      <c r="C972" t="s">
        <v>121</v>
      </c>
      <c r="D972" t="s">
        <v>121</v>
      </c>
      <c r="E972" t="s">
        <v>121</v>
      </c>
      <c r="F972" s="6" t="s">
        <v>1560</v>
      </c>
      <c r="H972">
        <v>2</v>
      </c>
      <c r="I972" s="1">
        <v>0</v>
      </c>
      <c r="J972">
        <v>0</v>
      </c>
      <c r="K972">
        <v>0</v>
      </c>
      <c r="L972" s="20">
        <v>16880</v>
      </c>
      <c r="M972">
        <v>1</v>
      </c>
      <c r="N972">
        <v>0</v>
      </c>
      <c r="O972">
        <v>0</v>
      </c>
      <c r="P972">
        <v>0</v>
      </c>
      <c r="Q972" s="22">
        <v>50640</v>
      </c>
      <c r="R972">
        <v>3</v>
      </c>
      <c r="S972" s="1">
        <v>0</v>
      </c>
      <c r="T972">
        <v>0</v>
      </c>
      <c r="U972">
        <v>0</v>
      </c>
      <c r="V972" s="21">
        <v>25320</v>
      </c>
      <c r="W972">
        <v>9</v>
      </c>
      <c r="X972">
        <v>0</v>
      </c>
      <c r="Y972">
        <v>0</v>
      </c>
      <c r="Z972">
        <v>0</v>
      </c>
      <c r="AA972">
        <v>10</v>
      </c>
    </row>
    <row r="973" spans="1:27" ht="14.25" x14ac:dyDescent="0.2">
      <c r="A973" s="12">
        <v>20440</v>
      </c>
      <c r="B973" t="s">
        <v>123</v>
      </c>
      <c r="C973" t="s">
        <v>121</v>
      </c>
      <c r="D973" t="s">
        <v>121</v>
      </c>
      <c r="E973" t="s">
        <v>121</v>
      </c>
      <c r="F973" s="6" t="s">
        <v>1560</v>
      </c>
      <c r="H973">
        <v>2</v>
      </c>
      <c r="I973" s="1">
        <v>0</v>
      </c>
      <c r="J973">
        <v>0</v>
      </c>
      <c r="K973">
        <v>0</v>
      </c>
      <c r="L973" s="20">
        <v>16880</v>
      </c>
      <c r="M973">
        <v>1</v>
      </c>
      <c r="N973">
        <v>0</v>
      </c>
      <c r="O973">
        <v>0</v>
      </c>
      <c r="P973">
        <v>0</v>
      </c>
      <c r="Q973" s="22">
        <v>50640</v>
      </c>
      <c r="R973">
        <v>3</v>
      </c>
      <c r="S973" s="1">
        <v>0</v>
      </c>
      <c r="T973">
        <v>0</v>
      </c>
      <c r="U973">
        <v>0</v>
      </c>
      <c r="V973" s="21">
        <v>25320</v>
      </c>
      <c r="W973">
        <v>12</v>
      </c>
      <c r="X973">
        <v>0</v>
      </c>
      <c r="Y973">
        <v>0</v>
      </c>
      <c r="Z973">
        <v>0</v>
      </c>
      <c r="AA973">
        <v>10</v>
      </c>
    </row>
    <row r="974" spans="1:27" ht="14.25" x14ac:dyDescent="0.2">
      <c r="A974" s="12">
        <v>20441</v>
      </c>
      <c r="B974" t="s">
        <v>126</v>
      </c>
      <c r="C974" t="s">
        <v>121</v>
      </c>
      <c r="D974" t="s">
        <v>121</v>
      </c>
      <c r="E974" t="s">
        <v>121</v>
      </c>
      <c r="F974" s="6" t="s">
        <v>1562</v>
      </c>
      <c r="H974">
        <v>2</v>
      </c>
      <c r="I974" s="1">
        <v>0</v>
      </c>
      <c r="J974">
        <v>0</v>
      </c>
      <c r="K974">
        <v>0</v>
      </c>
      <c r="L974" s="20">
        <v>16940</v>
      </c>
      <c r="M974">
        <v>1</v>
      </c>
      <c r="N974">
        <v>0</v>
      </c>
      <c r="O974">
        <v>0</v>
      </c>
      <c r="P974">
        <v>0</v>
      </c>
      <c r="Q974" s="22">
        <v>50640</v>
      </c>
      <c r="R974">
        <v>3</v>
      </c>
      <c r="S974" s="1">
        <v>0</v>
      </c>
      <c r="T974">
        <v>0</v>
      </c>
      <c r="U974">
        <v>0</v>
      </c>
      <c r="V974" s="21">
        <v>25320</v>
      </c>
      <c r="W974">
        <v>23</v>
      </c>
      <c r="X974">
        <v>0</v>
      </c>
      <c r="Y974">
        <v>0</v>
      </c>
      <c r="Z974">
        <v>0</v>
      </c>
      <c r="AA974">
        <v>1</v>
      </c>
    </row>
    <row r="975" spans="1:27" ht="14.25" x14ac:dyDescent="0.2">
      <c r="A975" s="12">
        <v>20442</v>
      </c>
      <c r="B975" t="s">
        <v>131</v>
      </c>
      <c r="C975" t="s">
        <v>125</v>
      </c>
      <c r="D975" t="s">
        <v>121</v>
      </c>
      <c r="E975" t="s">
        <v>136</v>
      </c>
      <c r="F975" s="6" t="s">
        <v>1564</v>
      </c>
      <c r="H975">
        <v>2</v>
      </c>
      <c r="I975" s="1">
        <v>0</v>
      </c>
      <c r="J975">
        <v>0</v>
      </c>
      <c r="K975">
        <v>0</v>
      </c>
      <c r="L975" s="20">
        <v>16940</v>
      </c>
      <c r="M975">
        <v>1</v>
      </c>
      <c r="N975">
        <v>0</v>
      </c>
      <c r="O975">
        <v>0</v>
      </c>
      <c r="P975">
        <v>0</v>
      </c>
      <c r="Q975" s="22">
        <v>50640</v>
      </c>
      <c r="R975">
        <v>3</v>
      </c>
      <c r="S975" s="1">
        <v>0</v>
      </c>
      <c r="T975">
        <v>0</v>
      </c>
      <c r="U975">
        <v>0</v>
      </c>
      <c r="V975" s="21">
        <v>25320</v>
      </c>
      <c r="W975">
        <v>6</v>
      </c>
      <c r="X975">
        <v>1</v>
      </c>
      <c r="Y975">
        <v>0</v>
      </c>
      <c r="Z975">
        <v>3</v>
      </c>
      <c r="AA975">
        <v>10</v>
      </c>
    </row>
    <row r="976" spans="1:27" ht="14.25" x14ac:dyDescent="0.2">
      <c r="A976" s="12">
        <v>20443</v>
      </c>
      <c r="B976" t="s">
        <v>180</v>
      </c>
      <c r="C976" t="s">
        <v>121</v>
      </c>
      <c r="D976" t="s">
        <v>121</v>
      </c>
      <c r="E976" t="s">
        <v>121</v>
      </c>
      <c r="F976" s="6" t="s">
        <v>1566</v>
      </c>
      <c r="H976">
        <v>2</v>
      </c>
      <c r="I976" s="1">
        <v>0</v>
      </c>
      <c r="J976">
        <v>0</v>
      </c>
      <c r="K976">
        <v>0</v>
      </c>
      <c r="L976" s="20">
        <v>16940</v>
      </c>
      <c r="M976">
        <v>1</v>
      </c>
      <c r="N976">
        <v>0</v>
      </c>
      <c r="O976">
        <v>0</v>
      </c>
      <c r="P976">
        <v>0</v>
      </c>
      <c r="Q976" s="22">
        <v>50820</v>
      </c>
      <c r="R976">
        <v>3</v>
      </c>
      <c r="S976" s="1">
        <v>0</v>
      </c>
      <c r="T976">
        <v>0</v>
      </c>
      <c r="U976">
        <v>0</v>
      </c>
      <c r="V976" s="21">
        <v>25410</v>
      </c>
      <c r="W976">
        <v>15</v>
      </c>
      <c r="X976">
        <v>0</v>
      </c>
      <c r="Y976">
        <v>0</v>
      </c>
      <c r="Z976">
        <v>0</v>
      </c>
      <c r="AA976">
        <v>1</v>
      </c>
    </row>
    <row r="977" spans="1:27" ht="14.25" x14ac:dyDescent="0.2">
      <c r="A977" s="12">
        <v>20444</v>
      </c>
      <c r="B977" t="s">
        <v>178</v>
      </c>
      <c r="C977" t="s">
        <v>121</v>
      </c>
      <c r="D977" t="s">
        <v>121</v>
      </c>
      <c r="E977" t="s">
        <v>121</v>
      </c>
      <c r="F977" s="6" t="s">
        <v>1566</v>
      </c>
      <c r="H977">
        <v>2</v>
      </c>
      <c r="I977" s="1">
        <v>0</v>
      </c>
      <c r="J977">
        <v>0</v>
      </c>
      <c r="K977">
        <v>0</v>
      </c>
      <c r="L977" s="20">
        <v>16940</v>
      </c>
      <c r="M977">
        <v>1</v>
      </c>
      <c r="N977">
        <v>0</v>
      </c>
      <c r="O977">
        <v>0</v>
      </c>
      <c r="P977">
        <v>0</v>
      </c>
      <c r="Q977" s="22">
        <v>50820</v>
      </c>
      <c r="R977">
        <v>3</v>
      </c>
      <c r="S977" s="1">
        <v>0</v>
      </c>
      <c r="T977">
        <v>0</v>
      </c>
      <c r="U977">
        <v>0</v>
      </c>
      <c r="V977" s="21">
        <v>25410</v>
      </c>
      <c r="W977">
        <v>21</v>
      </c>
      <c r="X977">
        <v>0</v>
      </c>
      <c r="Y977">
        <v>0</v>
      </c>
      <c r="Z977">
        <v>0</v>
      </c>
      <c r="AA977">
        <v>1</v>
      </c>
    </row>
    <row r="978" spans="1:27" ht="14.25" x14ac:dyDescent="0.2">
      <c r="A978" s="12">
        <v>20445</v>
      </c>
      <c r="B978" t="s">
        <v>130</v>
      </c>
      <c r="C978" t="s">
        <v>121</v>
      </c>
      <c r="D978" t="s">
        <v>121</v>
      </c>
      <c r="E978" t="s">
        <v>121</v>
      </c>
      <c r="F978" s="6" t="s">
        <v>1568</v>
      </c>
      <c r="H978">
        <v>2</v>
      </c>
      <c r="I978" s="1">
        <v>0</v>
      </c>
      <c r="J978">
        <v>0</v>
      </c>
      <c r="K978">
        <v>0</v>
      </c>
      <c r="L978" s="20">
        <v>16940</v>
      </c>
      <c r="M978">
        <v>1</v>
      </c>
      <c r="N978">
        <v>0</v>
      </c>
      <c r="O978">
        <v>0</v>
      </c>
      <c r="P978">
        <v>0</v>
      </c>
      <c r="Q978" s="22">
        <v>50820</v>
      </c>
      <c r="R978">
        <v>3</v>
      </c>
      <c r="S978" s="1">
        <v>0</v>
      </c>
      <c r="T978">
        <v>0</v>
      </c>
      <c r="U978">
        <v>0</v>
      </c>
      <c r="V978" s="21">
        <v>25410</v>
      </c>
      <c r="W978">
        <v>9</v>
      </c>
      <c r="X978">
        <v>0</v>
      </c>
      <c r="Y978">
        <v>0</v>
      </c>
      <c r="Z978">
        <v>0</v>
      </c>
      <c r="AA978">
        <v>10</v>
      </c>
    </row>
    <row r="979" spans="1:27" ht="14.25" x14ac:dyDescent="0.2">
      <c r="A979" s="12">
        <v>20446</v>
      </c>
      <c r="B979" t="s">
        <v>181</v>
      </c>
      <c r="C979" t="s">
        <v>121</v>
      </c>
      <c r="D979" t="s">
        <v>121</v>
      </c>
      <c r="E979" t="s">
        <v>121</v>
      </c>
      <c r="F979" s="6" t="s">
        <v>1570</v>
      </c>
      <c r="H979">
        <v>2</v>
      </c>
      <c r="I979" s="1">
        <v>0</v>
      </c>
      <c r="J979">
        <v>0</v>
      </c>
      <c r="K979">
        <v>0</v>
      </c>
      <c r="L979" s="20">
        <v>17000</v>
      </c>
      <c r="M979">
        <v>1</v>
      </c>
      <c r="N979">
        <v>0</v>
      </c>
      <c r="O979">
        <v>0</v>
      </c>
      <c r="P979">
        <v>0</v>
      </c>
      <c r="Q979" s="22">
        <v>50820</v>
      </c>
      <c r="R979">
        <v>3</v>
      </c>
      <c r="S979" s="1">
        <v>0</v>
      </c>
      <c r="T979">
        <v>0</v>
      </c>
      <c r="U979">
        <v>0</v>
      </c>
      <c r="V979" s="21">
        <v>25410</v>
      </c>
      <c r="W979">
        <v>30</v>
      </c>
      <c r="X979">
        <v>0</v>
      </c>
      <c r="Y979">
        <v>0</v>
      </c>
      <c r="Z979">
        <v>0</v>
      </c>
      <c r="AA979">
        <v>10</v>
      </c>
    </row>
    <row r="980" spans="1:27" ht="14.25" x14ac:dyDescent="0.2">
      <c r="A980" s="12">
        <v>20447</v>
      </c>
      <c r="B980" t="s">
        <v>122</v>
      </c>
      <c r="C980" t="s">
        <v>121</v>
      </c>
      <c r="D980" t="s">
        <v>121</v>
      </c>
      <c r="E980" t="s">
        <v>121</v>
      </c>
      <c r="F980" s="6" t="s">
        <v>1570</v>
      </c>
      <c r="H980">
        <v>2</v>
      </c>
      <c r="I980" s="1">
        <v>0</v>
      </c>
      <c r="J980">
        <v>0</v>
      </c>
      <c r="K980">
        <v>0</v>
      </c>
      <c r="L980" s="20">
        <v>17000</v>
      </c>
      <c r="M980">
        <v>1</v>
      </c>
      <c r="N980">
        <v>0</v>
      </c>
      <c r="O980">
        <v>0</v>
      </c>
      <c r="P980">
        <v>0</v>
      </c>
      <c r="Q980" s="22">
        <v>50820</v>
      </c>
      <c r="R980">
        <v>3</v>
      </c>
      <c r="S980" s="1">
        <v>0</v>
      </c>
      <c r="T980">
        <v>0</v>
      </c>
      <c r="U980">
        <v>0</v>
      </c>
      <c r="V980" s="21">
        <v>25410</v>
      </c>
      <c r="W980">
        <v>4</v>
      </c>
      <c r="X980">
        <v>0</v>
      </c>
      <c r="Y980">
        <v>0</v>
      </c>
      <c r="Z980">
        <v>0</v>
      </c>
      <c r="AA980">
        <v>10</v>
      </c>
    </row>
    <row r="981" spans="1:27" ht="14.25" x14ac:dyDescent="0.2">
      <c r="A981" s="12">
        <v>20448</v>
      </c>
      <c r="B981" t="s">
        <v>178</v>
      </c>
      <c r="C981" t="s">
        <v>121</v>
      </c>
      <c r="D981" t="s">
        <v>121</v>
      </c>
      <c r="E981" t="s">
        <v>121</v>
      </c>
      <c r="F981" s="6" t="s">
        <v>1572</v>
      </c>
      <c r="H981">
        <v>2</v>
      </c>
      <c r="I981" s="1">
        <v>0</v>
      </c>
      <c r="J981">
        <v>0</v>
      </c>
      <c r="K981">
        <v>0</v>
      </c>
      <c r="L981" s="20">
        <v>17000</v>
      </c>
      <c r="M981">
        <v>1</v>
      </c>
      <c r="N981">
        <v>0</v>
      </c>
      <c r="O981">
        <v>0</v>
      </c>
      <c r="P981">
        <v>0</v>
      </c>
      <c r="Q981" s="22">
        <v>51000</v>
      </c>
      <c r="R981">
        <v>3</v>
      </c>
      <c r="S981" s="1">
        <v>0</v>
      </c>
      <c r="T981">
        <v>0</v>
      </c>
      <c r="U981">
        <v>0</v>
      </c>
      <c r="V981" s="21">
        <v>25500</v>
      </c>
      <c r="W981">
        <v>21</v>
      </c>
      <c r="X981">
        <v>0</v>
      </c>
      <c r="Y981">
        <v>0</v>
      </c>
      <c r="Z981">
        <v>0</v>
      </c>
      <c r="AA981">
        <v>1</v>
      </c>
    </row>
    <row r="982" spans="1:27" ht="14.25" x14ac:dyDescent="0.2">
      <c r="A982" s="12">
        <v>20449</v>
      </c>
      <c r="B982" t="s">
        <v>130</v>
      </c>
      <c r="C982" t="s">
        <v>121</v>
      </c>
      <c r="D982" t="s">
        <v>121</v>
      </c>
      <c r="E982" t="s">
        <v>121</v>
      </c>
      <c r="F982" s="6" t="s">
        <v>1574</v>
      </c>
      <c r="H982">
        <v>2</v>
      </c>
      <c r="I982" s="1">
        <v>0</v>
      </c>
      <c r="J982">
        <v>0</v>
      </c>
      <c r="K982">
        <v>0</v>
      </c>
      <c r="L982" s="20">
        <v>17000</v>
      </c>
      <c r="M982">
        <v>1</v>
      </c>
      <c r="N982">
        <v>0</v>
      </c>
      <c r="O982">
        <v>0</v>
      </c>
      <c r="P982">
        <v>0</v>
      </c>
      <c r="Q982" s="22">
        <v>51000</v>
      </c>
      <c r="R982">
        <v>3</v>
      </c>
      <c r="S982" s="1">
        <v>0</v>
      </c>
      <c r="T982">
        <v>0</v>
      </c>
      <c r="U982">
        <v>0</v>
      </c>
      <c r="V982" s="21">
        <v>25500</v>
      </c>
      <c r="W982">
        <v>9</v>
      </c>
      <c r="X982">
        <v>0</v>
      </c>
      <c r="Y982">
        <v>0</v>
      </c>
      <c r="Z982">
        <v>0</v>
      </c>
      <c r="AA982">
        <v>10</v>
      </c>
    </row>
    <row r="983" spans="1:27" ht="14.25" x14ac:dyDescent="0.2">
      <c r="A983" s="12">
        <v>20450</v>
      </c>
      <c r="B983" s="2" t="s">
        <v>123</v>
      </c>
      <c r="C983" t="s">
        <v>121</v>
      </c>
      <c r="D983" t="s">
        <v>121</v>
      </c>
      <c r="E983" t="s">
        <v>121</v>
      </c>
      <c r="F983" s="6" t="s">
        <v>1574</v>
      </c>
      <c r="H983">
        <v>2</v>
      </c>
      <c r="I983" s="1">
        <v>0</v>
      </c>
      <c r="J983">
        <v>0</v>
      </c>
      <c r="K983">
        <v>0</v>
      </c>
      <c r="L983" s="20">
        <v>17000</v>
      </c>
      <c r="M983">
        <v>1</v>
      </c>
      <c r="N983">
        <v>0</v>
      </c>
      <c r="O983">
        <v>0</v>
      </c>
      <c r="P983">
        <v>0</v>
      </c>
      <c r="Q983" s="22">
        <v>51000</v>
      </c>
      <c r="R983">
        <v>3</v>
      </c>
      <c r="S983" s="1">
        <v>0</v>
      </c>
      <c r="T983">
        <v>0</v>
      </c>
      <c r="U983">
        <v>0</v>
      </c>
      <c r="V983" s="21">
        <v>25500</v>
      </c>
      <c r="W983">
        <v>12</v>
      </c>
      <c r="X983">
        <v>0</v>
      </c>
      <c r="Y983">
        <v>0</v>
      </c>
      <c r="Z983">
        <v>0</v>
      </c>
      <c r="AA983">
        <v>10</v>
      </c>
    </row>
    <row r="984" spans="1:27" ht="14.25" x14ac:dyDescent="0.2">
      <c r="A984" s="12">
        <v>20501</v>
      </c>
      <c r="B984" t="s">
        <v>126</v>
      </c>
      <c r="C984" t="s">
        <v>121</v>
      </c>
      <c r="D984" t="s">
        <v>121</v>
      </c>
      <c r="E984" t="s">
        <v>121</v>
      </c>
      <c r="F984" s="4" t="s">
        <v>1576</v>
      </c>
      <c r="H984">
        <v>2</v>
      </c>
      <c r="I984" s="1">
        <v>0</v>
      </c>
      <c r="J984">
        <v>0</v>
      </c>
      <c r="K984">
        <v>0</v>
      </c>
      <c r="L984" s="20">
        <v>17060</v>
      </c>
      <c r="M984">
        <v>1</v>
      </c>
      <c r="N984">
        <v>0</v>
      </c>
      <c r="O984">
        <v>0</v>
      </c>
      <c r="P984">
        <v>0</v>
      </c>
      <c r="Q984" s="22">
        <v>51000</v>
      </c>
      <c r="R984">
        <v>3</v>
      </c>
      <c r="S984" s="1">
        <v>0</v>
      </c>
      <c r="T984">
        <v>0</v>
      </c>
      <c r="U984">
        <v>0</v>
      </c>
      <c r="V984" s="21">
        <v>25500</v>
      </c>
      <c r="W984">
        <v>23</v>
      </c>
      <c r="X984">
        <v>0</v>
      </c>
      <c r="Y984">
        <v>0</v>
      </c>
      <c r="Z984">
        <v>0</v>
      </c>
      <c r="AA984">
        <v>1</v>
      </c>
    </row>
    <row r="985" spans="1:27" ht="14.25" x14ac:dyDescent="0.2">
      <c r="A985" s="12">
        <v>20502</v>
      </c>
      <c r="B985" t="s">
        <v>131</v>
      </c>
      <c r="C985" t="s">
        <v>125</v>
      </c>
      <c r="D985" t="s">
        <v>121</v>
      </c>
      <c r="E985" t="s">
        <v>136</v>
      </c>
      <c r="F985" s="4" t="s">
        <v>1578</v>
      </c>
      <c r="H985">
        <v>2</v>
      </c>
      <c r="I985" s="1">
        <v>0</v>
      </c>
      <c r="J985">
        <v>0</v>
      </c>
      <c r="K985">
        <v>0</v>
      </c>
      <c r="L985" s="20">
        <v>17060</v>
      </c>
      <c r="M985">
        <v>1</v>
      </c>
      <c r="N985">
        <v>0</v>
      </c>
      <c r="O985">
        <v>0</v>
      </c>
      <c r="P985">
        <v>0</v>
      </c>
      <c r="Q985" s="22">
        <v>51000</v>
      </c>
      <c r="R985">
        <v>3</v>
      </c>
      <c r="S985" s="1">
        <v>0</v>
      </c>
      <c r="T985">
        <v>0</v>
      </c>
      <c r="U985">
        <v>0</v>
      </c>
      <c r="V985" s="21">
        <v>25500</v>
      </c>
      <c r="W985">
        <v>6</v>
      </c>
      <c r="X985">
        <v>1</v>
      </c>
      <c r="Y985">
        <v>0</v>
      </c>
      <c r="Z985">
        <v>3</v>
      </c>
      <c r="AA985">
        <v>10</v>
      </c>
    </row>
    <row r="986" spans="1:27" ht="14.25" x14ac:dyDescent="0.2">
      <c r="A986" s="12">
        <v>20503</v>
      </c>
      <c r="B986" t="s">
        <v>180</v>
      </c>
      <c r="C986" t="s">
        <v>121</v>
      </c>
      <c r="D986" t="s">
        <v>121</v>
      </c>
      <c r="E986" t="s">
        <v>121</v>
      </c>
      <c r="F986" s="4" t="s">
        <v>1580</v>
      </c>
      <c r="H986">
        <v>2</v>
      </c>
      <c r="I986" s="1">
        <v>0</v>
      </c>
      <c r="J986">
        <v>0</v>
      </c>
      <c r="K986">
        <v>0</v>
      </c>
      <c r="L986" s="20">
        <v>17060</v>
      </c>
      <c r="M986">
        <v>1</v>
      </c>
      <c r="N986">
        <v>0</v>
      </c>
      <c r="O986">
        <v>0</v>
      </c>
      <c r="P986">
        <v>0</v>
      </c>
      <c r="Q986" s="22">
        <v>51180</v>
      </c>
      <c r="R986">
        <v>3</v>
      </c>
      <c r="S986" s="1">
        <v>0</v>
      </c>
      <c r="T986">
        <v>0</v>
      </c>
      <c r="U986">
        <v>0</v>
      </c>
      <c r="V986" s="21">
        <v>25590</v>
      </c>
      <c r="W986">
        <v>15</v>
      </c>
      <c r="X986">
        <v>0</v>
      </c>
      <c r="Y986">
        <v>0</v>
      </c>
      <c r="Z986">
        <v>0</v>
      </c>
      <c r="AA986">
        <v>1</v>
      </c>
    </row>
    <row r="987" spans="1:27" ht="14.25" x14ac:dyDescent="0.2">
      <c r="A987" s="12">
        <v>20504</v>
      </c>
      <c r="B987" t="s">
        <v>178</v>
      </c>
      <c r="C987" t="s">
        <v>121</v>
      </c>
      <c r="D987" t="s">
        <v>121</v>
      </c>
      <c r="E987" t="s">
        <v>121</v>
      </c>
      <c r="F987" s="4" t="s">
        <v>1580</v>
      </c>
      <c r="H987">
        <v>2</v>
      </c>
      <c r="I987" s="1">
        <v>0</v>
      </c>
      <c r="J987">
        <v>0</v>
      </c>
      <c r="K987">
        <v>0</v>
      </c>
      <c r="L987" s="20">
        <v>17060</v>
      </c>
      <c r="M987">
        <v>1</v>
      </c>
      <c r="N987">
        <v>0</v>
      </c>
      <c r="O987">
        <v>0</v>
      </c>
      <c r="P987">
        <v>0</v>
      </c>
      <c r="Q987" s="22">
        <v>51180</v>
      </c>
      <c r="R987">
        <v>3</v>
      </c>
      <c r="S987" s="1">
        <v>0</v>
      </c>
      <c r="T987">
        <v>0</v>
      </c>
      <c r="U987">
        <v>0</v>
      </c>
      <c r="V987" s="21">
        <v>25590</v>
      </c>
      <c r="W987">
        <v>21</v>
      </c>
      <c r="X987">
        <v>0</v>
      </c>
      <c r="Y987">
        <v>0</v>
      </c>
      <c r="Z987">
        <v>0</v>
      </c>
      <c r="AA987">
        <v>1</v>
      </c>
    </row>
    <row r="988" spans="1:27" ht="14.25" x14ac:dyDescent="0.2">
      <c r="A988" s="12">
        <v>20505</v>
      </c>
      <c r="B988" t="s">
        <v>130</v>
      </c>
      <c r="C988" t="s">
        <v>121</v>
      </c>
      <c r="D988" t="s">
        <v>121</v>
      </c>
      <c r="E988" t="s">
        <v>121</v>
      </c>
      <c r="F988" s="4" t="s">
        <v>1582</v>
      </c>
      <c r="H988">
        <v>2</v>
      </c>
      <c r="I988" s="1">
        <v>0</v>
      </c>
      <c r="J988">
        <v>0</v>
      </c>
      <c r="K988">
        <v>0</v>
      </c>
      <c r="L988" s="20">
        <v>17060</v>
      </c>
      <c r="M988">
        <v>1</v>
      </c>
      <c r="N988">
        <v>0</v>
      </c>
      <c r="O988">
        <v>0</v>
      </c>
      <c r="P988">
        <v>0</v>
      </c>
      <c r="Q988" s="22">
        <v>51180</v>
      </c>
      <c r="R988">
        <v>3</v>
      </c>
      <c r="S988" s="1">
        <v>0</v>
      </c>
      <c r="T988">
        <v>0</v>
      </c>
      <c r="U988">
        <v>0</v>
      </c>
      <c r="V988" s="21">
        <v>25590</v>
      </c>
      <c r="W988">
        <v>9</v>
      </c>
      <c r="X988">
        <v>0</v>
      </c>
      <c r="Y988">
        <v>0</v>
      </c>
      <c r="Z988">
        <v>0</v>
      </c>
      <c r="AA988">
        <v>10</v>
      </c>
    </row>
    <row r="989" spans="1:27" ht="14.25" x14ac:dyDescent="0.2">
      <c r="A989" s="12">
        <v>20506</v>
      </c>
      <c r="B989" t="s">
        <v>181</v>
      </c>
      <c r="C989" t="s">
        <v>121</v>
      </c>
      <c r="D989" t="s">
        <v>121</v>
      </c>
      <c r="E989" t="s">
        <v>121</v>
      </c>
      <c r="F989" s="4" t="s">
        <v>1584</v>
      </c>
      <c r="H989">
        <v>2</v>
      </c>
      <c r="I989" s="1">
        <v>0</v>
      </c>
      <c r="J989">
        <v>0</v>
      </c>
      <c r="K989">
        <v>0</v>
      </c>
      <c r="L989" s="20">
        <v>17120</v>
      </c>
      <c r="M989">
        <v>1</v>
      </c>
      <c r="N989">
        <v>0</v>
      </c>
      <c r="O989">
        <v>0</v>
      </c>
      <c r="P989">
        <v>0</v>
      </c>
      <c r="Q989" s="22">
        <v>51180</v>
      </c>
      <c r="R989">
        <v>3</v>
      </c>
      <c r="S989" s="1">
        <v>0</v>
      </c>
      <c r="T989">
        <v>0</v>
      </c>
      <c r="U989">
        <v>0</v>
      </c>
      <c r="V989" s="21">
        <v>25590</v>
      </c>
      <c r="W989">
        <v>30</v>
      </c>
      <c r="X989">
        <v>0</v>
      </c>
      <c r="Y989">
        <v>0</v>
      </c>
      <c r="Z989">
        <v>0</v>
      </c>
      <c r="AA989">
        <v>10</v>
      </c>
    </row>
    <row r="990" spans="1:27" ht="14.25" x14ac:dyDescent="0.2">
      <c r="A990" s="12">
        <v>20507</v>
      </c>
      <c r="B990" t="s">
        <v>122</v>
      </c>
      <c r="C990" t="s">
        <v>121</v>
      </c>
      <c r="D990" t="s">
        <v>121</v>
      </c>
      <c r="E990" t="s">
        <v>121</v>
      </c>
      <c r="F990" s="4" t="s">
        <v>1584</v>
      </c>
      <c r="H990">
        <v>2</v>
      </c>
      <c r="I990" s="1">
        <v>0</v>
      </c>
      <c r="J990">
        <v>0</v>
      </c>
      <c r="K990">
        <v>0</v>
      </c>
      <c r="L990" s="20">
        <v>17120</v>
      </c>
      <c r="M990">
        <v>1</v>
      </c>
      <c r="N990">
        <v>0</v>
      </c>
      <c r="O990">
        <v>0</v>
      </c>
      <c r="P990">
        <v>0</v>
      </c>
      <c r="Q990" s="22">
        <v>51180</v>
      </c>
      <c r="R990">
        <v>3</v>
      </c>
      <c r="S990" s="1">
        <v>0</v>
      </c>
      <c r="T990">
        <v>0</v>
      </c>
      <c r="U990">
        <v>0</v>
      </c>
      <c r="V990" s="21">
        <v>25590</v>
      </c>
      <c r="W990">
        <v>4</v>
      </c>
      <c r="X990">
        <v>0</v>
      </c>
      <c r="Y990">
        <v>0</v>
      </c>
      <c r="Z990">
        <v>0</v>
      </c>
      <c r="AA990">
        <v>10</v>
      </c>
    </row>
    <row r="991" spans="1:27" ht="14.25" x14ac:dyDescent="0.2">
      <c r="A991" s="12">
        <v>20508</v>
      </c>
      <c r="B991" t="s">
        <v>178</v>
      </c>
      <c r="C991" t="s">
        <v>121</v>
      </c>
      <c r="D991" t="s">
        <v>121</v>
      </c>
      <c r="E991" t="s">
        <v>121</v>
      </c>
      <c r="F991" s="4" t="s">
        <v>1586</v>
      </c>
      <c r="H991">
        <v>2</v>
      </c>
      <c r="I991" s="1">
        <v>0</v>
      </c>
      <c r="J991">
        <v>0</v>
      </c>
      <c r="K991">
        <v>0</v>
      </c>
      <c r="L991" s="20">
        <v>17120</v>
      </c>
      <c r="M991">
        <v>1</v>
      </c>
      <c r="N991">
        <v>0</v>
      </c>
      <c r="O991">
        <v>0</v>
      </c>
      <c r="P991">
        <v>0</v>
      </c>
      <c r="Q991" s="22">
        <v>51360</v>
      </c>
      <c r="R991">
        <v>3</v>
      </c>
      <c r="S991" s="1">
        <v>0</v>
      </c>
      <c r="T991">
        <v>0</v>
      </c>
      <c r="U991">
        <v>0</v>
      </c>
      <c r="V991" s="21">
        <v>25680</v>
      </c>
      <c r="W991">
        <v>21</v>
      </c>
      <c r="X991">
        <v>0</v>
      </c>
      <c r="Y991">
        <v>0</v>
      </c>
      <c r="Z991">
        <v>0</v>
      </c>
      <c r="AA991">
        <v>1</v>
      </c>
    </row>
    <row r="992" spans="1:27" ht="14.25" x14ac:dyDescent="0.2">
      <c r="A992" s="12">
        <v>20509</v>
      </c>
      <c r="B992" t="s">
        <v>130</v>
      </c>
      <c r="C992" t="s">
        <v>121</v>
      </c>
      <c r="D992" t="s">
        <v>121</v>
      </c>
      <c r="E992" t="s">
        <v>121</v>
      </c>
      <c r="F992" s="4" t="s">
        <v>1588</v>
      </c>
      <c r="H992">
        <v>2</v>
      </c>
      <c r="I992" s="1">
        <v>0</v>
      </c>
      <c r="J992">
        <v>0</v>
      </c>
      <c r="K992">
        <v>0</v>
      </c>
      <c r="L992" s="20">
        <v>17120</v>
      </c>
      <c r="M992">
        <v>1</v>
      </c>
      <c r="N992">
        <v>0</v>
      </c>
      <c r="O992">
        <v>0</v>
      </c>
      <c r="P992">
        <v>0</v>
      </c>
      <c r="Q992" s="22">
        <v>51360</v>
      </c>
      <c r="R992">
        <v>3</v>
      </c>
      <c r="S992" s="1">
        <v>0</v>
      </c>
      <c r="T992">
        <v>0</v>
      </c>
      <c r="U992">
        <v>0</v>
      </c>
      <c r="V992" s="21">
        <v>25680</v>
      </c>
      <c r="W992">
        <v>9</v>
      </c>
      <c r="X992">
        <v>0</v>
      </c>
      <c r="Y992">
        <v>0</v>
      </c>
      <c r="Z992">
        <v>0</v>
      </c>
      <c r="AA992">
        <v>10</v>
      </c>
    </row>
    <row r="993" spans="1:27" ht="14.25" x14ac:dyDescent="0.2">
      <c r="A993" s="12">
        <v>20510</v>
      </c>
      <c r="B993" t="s">
        <v>123</v>
      </c>
      <c r="C993" t="s">
        <v>121</v>
      </c>
      <c r="D993" t="s">
        <v>121</v>
      </c>
      <c r="E993" t="s">
        <v>121</v>
      </c>
      <c r="F993" s="4" t="s">
        <v>1588</v>
      </c>
      <c r="H993">
        <v>2</v>
      </c>
      <c r="I993" s="1">
        <v>0</v>
      </c>
      <c r="J993">
        <v>0</v>
      </c>
      <c r="K993">
        <v>0</v>
      </c>
      <c r="L993" s="20">
        <v>17120</v>
      </c>
      <c r="M993">
        <v>1</v>
      </c>
      <c r="N993">
        <v>0</v>
      </c>
      <c r="O993">
        <v>0</v>
      </c>
      <c r="P993">
        <v>0</v>
      </c>
      <c r="Q993" s="22">
        <v>51360</v>
      </c>
      <c r="R993">
        <v>3</v>
      </c>
      <c r="S993" s="1">
        <v>0</v>
      </c>
      <c r="T993">
        <v>0</v>
      </c>
      <c r="U993">
        <v>0</v>
      </c>
      <c r="V993" s="21">
        <v>25680</v>
      </c>
      <c r="W993">
        <v>12</v>
      </c>
      <c r="X993">
        <v>0</v>
      </c>
      <c r="Y993">
        <v>0</v>
      </c>
      <c r="Z993">
        <v>0</v>
      </c>
      <c r="AA993">
        <v>10</v>
      </c>
    </row>
    <row r="994" spans="1:27" ht="14.25" x14ac:dyDescent="0.2">
      <c r="A994" s="12">
        <v>20511</v>
      </c>
      <c r="B994" t="s">
        <v>126</v>
      </c>
      <c r="C994" t="s">
        <v>121</v>
      </c>
      <c r="D994" t="s">
        <v>121</v>
      </c>
      <c r="E994" t="s">
        <v>121</v>
      </c>
      <c r="F994" s="4" t="s">
        <v>1590</v>
      </c>
      <c r="H994">
        <v>2</v>
      </c>
      <c r="I994" s="1">
        <v>0</v>
      </c>
      <c r="J994">
        <v>0</v>
      </c>
      <c r="K994">
        <v>0</v>
      </c>
      <c r="L994" s="20">
        <v>17180</v>
      </c>
      <c r="M994">
        <v>1</v>
      </c>
      <c r="N994">
        <v>0</v>
      </c>
      <c r="O994">
        <v>0</v>
      </c>
      <c r="P994">
        <v>0</v>
      </c>
      <c r="Q994" s="22">
        <v>51360</v>
      </c>
      <c r="R994">
        <v>3</v>
      </c>
      <c r="S994" s="1">
        <v>0</v>
      </c>
      <c r="T994">
        <v>0</v>
      </c>
      <c r="U994">
        <v>0</v>
      </c>
      <c r="V994" s="21">
        <v>25680</v>
      </c>
      <c r="W994">
        <v>23</v>
      </c>
      <c r="X994">
        <v>0</v>
      </c>
      <c r="Y994">
        <v>0</v>
      </c>
      <c r="Z994">
        <v>0</v>
      </c>
      <c r="AA994">
        <v>1</v>
      </c>
    </row>
    <row r="995" spans="1:27" ht="14.25" x14ac:dyDescent="0.2">
      <c r="A995" s="12">
        <v>20512</v>
      </c>
      <c r="B995" t="s">
        <v>131</v>
      </c>
      <c r="C995" t="s">
        <v>125</v>
      </c>
      <c r="D995" t="s">
        <v>121</v>
      </c>
      <c r="E995" t="s">
        <v>136</v>
      </c>
      <c r="F995" s="4" t="s">
        <v>1592</v>
      </c>
      <c r="H995">
        <v>2</v>
      </c>
      <c r="I995" s="1">
        <v>0</v>
      </c>
      <c r="J995">
        <v>0</v>
      </c>
      <c r="K995">
        <v>0</v>
      </c>
      <c r="L995" s="20">
        <v>17180</v>
      </c>
      <c r="M995">
        <v>1</v>
      </c>
      <c r="N995">
        <v>0</v>
      </c>
      <c r="O995">
        <v>0</v>
      </c>
      <c r="P995">
        <v>0</v>
      </c>
      <c r="Q995" s="22">
        <v>51360</v>
      </c>
      <c r="R995">
        <v>3</v>
      </c>
      <c r="S995" s="1">
        <v>0</v>
      </c>
      <c r="T995">
        <v>0</v>
      </c>
      <c r="U995">
        <v>0</v>
      </c>
      <c r="V995" s="21">
        <v>25680</v>
      </c>
      <c r="W995">
        <v>6</v>
      </c>
      <c r="X995">
        <v>1</v>
      </c>
      <c r="Y995">
        <v>0</v>
      </c>
      <c r="Z995">
        <v>3</v>
      </c>
      <c r="AA995">
        <v>10</v>
      </c>
    </row>
    <row r="996" spans="1:27" ht="14.25" x14ac:dyDescent="0.2">
      <c r="A996" s="12">
        <v>20513</v>
      </c>
      <c r="B996" t="s">
        <v>180</v>
      </c>
      <c r="C996" t="s">
        <v>121</v>
      </c>
      <c r="D996" t="s">
        <v>121</v>
      </c>
      <c r="E996" t="s">
        <v>121</v>
      </c>
      <c r="F996" s="4" t="s">
        <v>1594</v>
      </c>
      <c r="H996">
        <v>2</v>
      </c>
      <c r="I996" s="1">
        <v>0</v>
      </c>
      <c r="J996">
        <v>0</v>
      </c>
      <c r="K996">
        <v>0</v>
      </c>
      <c r="L996" s="20">
        <v>17180</v>
      </c>
      <c r="M996">
        <v>1</v>
      </c>
      <c r="N996">
        <v>0</v>
      </c>
      <c r="O996">
        <v>0</v>
      </c>
      <c r="P996">
        <v>0</v>
      </c>
      <c r="Q996" s="22">
        <v>51540</v>
      </c>
      <c r="R996">
        <v>3</v>
      </c>
      <c r="S996" s="1">
        <v>0</v>
      </c>
      <c r="T996">
        <v>0</v>
      </c>
      <c r="U996">
        <v>0</v>
      </c>
      <c r="V996" s="21">
        <v>25770</v>
      </c>
      <c r="W996">
        <v>15</v>
      </c>
      <c r="X996">
        <v>0</v>
      </c>
      <c r="Y996">
        <v>0</v>
      </c>
      <c r="Z996">
        <v>0</v>
      </c>
      <c r="AA996">
        <v>1</v>
      </c>
    </row>
    <row r="997" spans="1:27" ht="14.25" x14ac:dyDescent="0.2">
      <c r="A997" s="12">
        <v>20514</v>
      </c>
      <c r="B997" t="s">
        <v>178</v>
      </c>
      <c r="C997" t="s">
        <v>121</v>
      </c>
      <c r="D997" t="s">
        <v>121</v>
      </c>
      <c r="E997" t="s">
        <v>121</v>
      </c>
      <c r="F997" s="4" t="s">
        <v>1594</v>
      </c>
      <c r="H997">
        <v>2</v>
      </c>
      <c r="I997" s="1">
        <v>0</v>
      </c>
      <c r="J997">
        <v>0</v>
      </c>
      <c r="K997">
        <v>0</v>
      </c>
      <c r="L997" s="20">
        <v>17180</v>
      </c>
      <c r="M997">
        <v>1</v>
      </c>
      <c r="N997">
        <v>0</v>
      </c>
      <c r="O997">
        <v>0</v>
      </c>
      <c r="P997">
        <v>0</v>
      </c>
      <c r="Q997" s="22">
        <v>51540</v>
      </c>
      <c r="R997">
        <v>3</v>
      </c>
      <c r="S997" s="1">
        <v>0</v>
      </c>
      <c r="T997">
        <v>0</v>
      </c>
      <c r="U997">
        <v>0</v>
      </c>
      <c r="V997" s="21">
        <v>25770</v>
      </c>
      <c r="W997">
        <v>21</v>
      </c>
      <c r="X997">
        <v>0</v>
      </c>
      <c r="Y997">
        <v>0</v>
      </c>
      <c r="Z997">
        <v>0</v>
      </c>
      <c r="AA997">
        <v>1</v>
      </c>
    </row>
    <row r="998" spans="1:27" ht="14.25" x14ac:dyDescent="0.2">
      <c r="A998" s="12">
        <v>20515</v>
      </c>
      <c r="B998" t="s">
        <v>130</v>
      </c>
      <c r="C998" t="s">
        <v>121</v>
      </c>
      <c r="D998" t="s">
        <v>121</v>
      </c>
      <c r="E998" t="s">
        <v>121</v>
      </c>
      <c r="F998" s="4" t="s">
        <v>1596</v>
      </c>
      <c r="H998">
        <v>2</v>
      </c>
      <c r="I998" s="1">
        <v>0</v>
      </c>
      <c r="J998">
        <v>0</v>
      </c>
      <c r="K998">
        <v>0</v>
      </c>
      <c r="L998" s="20">
        <v>17180</v>
      </c>
      <c r="M998">
        <v>1</v>
      </c>
      <c r="N998">
        <v>0</v>
      </c>
      <c r="O998">
        <v>0</v>
      </c>
      <c r="P998">
        <v>0</v>
      </c>
      <c r="Q998" s="22">
        <v>51540</v>
      </c>
      <c r="R998">
        <v>3</v>
      </c>
      <c r="S998" s="1">
        <v>0</v>
      </c>
      <c r="T998">
        <v>0</v>
      </c>
      <c r="U998">
        <v>0</v>
      </c>
      <c r="V998" s="21">
        <v>25770</v>
      </c>
      <c r="W998">
        <v>9</v>
      </c>
      <c r="X998">
        <v>0</v>
      </c>
      <c r="Y998">
        <v>0</v>
      </c>
      <c r="Z998">
        <v>0</v>
      </c>
      <c r="AA998">
        <v>10</v>
      </c>
    </row>
    <row r="999" spans="1:27" ht="14.25" x14ac:dyDescent="0.2">
      <c r="A999" s="12">
        <v>20516</v>
      </c>
      <c r="B999" t="s">
        <v>181</v>
      </c>
      <c r="C999" t="s">
        <v>121</v>
      </c>
      <c r="D999" t="s">
        <v>121</v>
      </c>
      <c r="E999" t="s">
        <v>121</v>
      </c>
      <c r="F999" s="4" t="s">
        <v>1598</v>
      </c>
      <c r="H999">
        <v>2</v>
      </c>
      <c r="I999" s="1">
        <v>0</v>
      </c>
      <c r="J999">
        <v>0</v>
      </c>
      <c r="K999">
        <v>0</v>
      </c>
      <c r="L999" s="20">
        <v>17240</v>
      </c>
      <c r="M999">
        <v>1</v>
      </c>
      <c r="N999">
        <v>0</v>
      </c>
      <c r="O999">
        <v>0</v>
      </c>
      <c r="P999">
        <v>0</v>
      </c>
      <c r="Q999" s="22">
        <v>51540</v>
      </c>
      <c r="R999">
        <v>3</v>
      </c>
      <c r="S999" s="1">
        <v>0</v>
      </c>
      <c r="T999">
        <v>0</v>
      </c>
      <c r="U999">
        <v>0</v>
      </c>
      <c r="V999" s="21">
        <v>25770</v>
      </c>
      <c r="W999">
        <v>30</v>
      </c>
      <c r="X999">
        <v>0</v>
      </c>
      <c r="Y999">
        <v>0</v>
      </c>
      <c r="Z999">
        <v>0</v>
      </c>
      <c r="AA999">
        <v>10</v>
      </c>
    </row>
    <row r="1000" spans="1:27" ht="14.25" x14ac:dyDescent="0.2">
      <c r="A1000" s="12">
        <v>20517</v>
      </c>
      <c r="B1000" t="s">
        <v>122</v>
      </c>
      <c r="C1000" t="s">
        <v>121</v>
      </c>
      <c r="D1000" t="s">
        <v>121</v>
      </c>
      <c r="E1000" t="s">
        <v>121</v>
      </c>
      <c r="F1000" s="4" t="s">
        <v>1598</v>
      </c>
      <c r="H1000">
        <v>2</v>
      </c>
      <c r="I1000" s="1">
        <v>0</v>
      </c>
      <c r="J1000">
        <v>0</v>
      </c>
      <c r="K1000">
        <v>0</v>
      </c>
      <c r="L1000" s="20">
        <v>17240</v>
      </c>
      <c r="M1000">
        <v>1</v>
      </c>
      <c r="N1000">
        <v>0</v>
      </c>
      <c r="O1000">
        <v>0</v>
      </c>
      <c r="P1000">
        <v>0</v>
      </c>
      <c r="Q1000" s="22">
        <v>51540</v>
      </c>
      <c r="R1000">
        <v>3</v>
      </c>
      <c r="S1000" s="1">
        <v>0</v>
      </c>
      <c r="T1000">
        <v>0</v>
      </c>
      <c r="U1000">
        <v>0</v>
      </c>
      <c r="V1000" s="21">
        <v>25770</v>
      </c>
      <c r="W1000">
        <v>4</v>
      </c>
      <c r="X1000">
        <v>0</v>
      </c>
      <c r="Y1000">
        <v>0</v>
      </c>
      <c r="Z1000">
        <v>0</v>
      </c>
      <c r="AA1000">
        <v>10</v>
      </c>
    </row>
    <row r="1001" spans="1:27" ht="14.25" x14ac:dyDescent="0.2">
      <c r="A1001" s="12">
        <v>20518</v>
      </c>
      <c r="B1001" t="s">
        <v>178</v>
      </c>
      <c r="C1001" t="s">
        <v>121</v>
      </c>
      <c r="D1001" t="s">
        <v>121</v>
      </c>
      <c r="E1001" t="s">
        <v>121</v>
      </c>
      <c r="F1001" s="4" t="s">
        <v>1600</v>
      </c>
      <c r="H1001">
        <v>2</v>
      </c>
      <c r="I1001" s="1">
        <v>0</v>
      </c>
      <c r="J1001">
        <v>0</v>
      </c>
      <c r="K1001">
        <v>0</v>
      </c>
      <c r="L1001" s="20">
        <v>17240</v>
      </c>
      <c r="M1001">
        <v>1</v>
      </c>
      <c r="N1001">
        <v>0</v>
      </c>
      <c r="O1001">
        <v>0</v>
      </c>
      <c r="P1001">
        <v>0</v>
      </c>
      <c r="Q1001" s="22">
        <v>51720</v>
      </c>
      <c r="R1001">
        <v>3</v>
      </c>
      <c r="S1001" s="1">
        <v>0</v>
      </c>
      <c r="T1001">
        <v>0</v>
      </c>
      <c r="U1001">
        <v>0</v>
      </c>
      <c r="V1001" s="21">
        <v>25860</v>
      </c>
      <c r="W1001">
        <v>21</v>
      </c>
      <c r="X1001">
        <v>0</v>
      </c>
      <c r="Y1001">
        <v>0</v>
      </c>
      <c r="Z1001">
        <v>0</v>
      </c>
      <c r="AA1001">
        <v>1</v>
      </c>
    </row>
    <row r="1002" spans="1:27" ht="14.25" x14ac:dyDescent="0.2">
      <c r="A1002" s="12">
        <v>20519</v>
      </c>
      <c r="B1002" t="s">
        <v>130</v>
      </c>
      <c r="C1002" t="s">
        <v>121</v>
      </c>
      <c r="D1002" t="s">
        <v>121</v>
      </c>
      <c r="E1002" t="s">
        <v>121</v>
      </c>
      <c r="F1002" s="4" t="s">
        <v>1602</v>
      </c>
      <c r="H1002">
        <v>2</v>
      </c>
      <c r="I1002" s="1">
        <v>0</v>
      </c>
      <c r="J1002">
        <v>0</v>
      </c>
      <c r="K1002">
        <v>0</v>
      </c>
      <c r="L1002" s="20">
        <v>17240</v>
      </c>
      <c r="M1002">
        <v>1</v>
      </c>
      <c r="N1002">
        <v>0</v>
      </c>
      <c r="O1002">
        <v>0</v>
      </c>
      <c r="P1002">
        <v>0</v>
      </c>
      <c r="Q1002" s="22">
        <v>51720</v>
      </c>
      <c r="R1002">
        <v>3</v>
      </c>
      <c r="S1002" s="1">
        <v>0</v>
      </c>
      <c r="T1002">
        <v>0</v>
      </c>
      <c r="U1002">
        <v>0</v>
      </c>
      <c r="V1002" s="21">
        <v>25860</v>
      </c>
      <c r="W1002">
        <v>9</v>
      </c>
      <c r="X1002">
        <v>0</v>
      </c>
      <c r="Y1002">
        <v>0</v>
      </c>
      <c r="Z1002">
        <v>0</v>
      </c>
      <c r="AA1002">
        <v>10</v>
      </c>
    </row>
    <row r="1003" spans="1:27" ht="14.25" x14ac:dyDescent="0.2">
      <c r="A1003" s="12">
        <v>20520</v>
      </c>
      <c r="B1003" t="s">
        <v>123</v>
      </c>
      <c r="C1003" t="s">
        <v>121</v>
      </c>
      <c r="D1003" t="s">
        <v>121</v>
      </c>
      <c r="E1003" t="s">
        <v>121</v>
      </c>
      <c r="F1003" s="4" t="s">
        <v>1602</v>
      </c>
      <c r="H1003">
        <v>2</v>
      </c>
      <c r="I1003" s="1">
        <v>0</v>
      </c>
      <c r="J1003">
        <v>0</v>
      </c>
      <c r="K1003">
        <v>0</v>
      </c>
      <c r="L1003" s="20">
        <v>17240</v>
      </c>
      <c r="M1003">
        <v>1</v>
      </c>
      <c r="N1003">
        <v>0</v>
      </c>
      <c r="O1003">
        <v>0</v>
      </c>
      <c r="P1003">
        <v>0</v>
      </c>
      <c r="Q1003" s="22">
        <v>51720</v>
      </c>
      <c r="R1003">
        <v>3</v>
      </c>
      <c r="S1003" s="1">
        <v>0</v>
      </c>
      <c r="T1003">
        <v>0</v>
      </c>
      <c r="U1003">
        <v>0</v>
      </c>
      <c r="V1003" s="21">
        <v>25860</v>
      </c>
      <c r="W1003">
        <v>12</v>
      </c>
      <c r="X1003">
        <v>0</v>
      </c>
      <c r="Y1003">
        <v>0</v>
      </c>
      <c r="Z1003">
        <v>0</v>
      </c>
      <c r="AA1003">
        <v>10</v>
      </c>
    </row>
    <row r="1004" spans="1:27" ht="14.25" x14ac:dyDescent="0.2">
      <c r="A1004" s="12">
        <v>20521</v>
      </c>
      <c r="B1004" t="s">
        <v>126</v>
      </c>
      <c r="C1004" t="s">
        <v>121</v>
      </c>
      <c r="D1004" t="s">
        <v>121</v>
      </c>
      <c r="E1004" t="s">
        <v>121</v>
      </c>
      <c r="F1004" s="4" t="s">
        <v>1604</v>
      </c>
      <c r="H1004">
        <v>2</v>
      </c>
      <c r="I1004" s="1">
        <v>0</v>
      </c>
      <c r="J1004">
        <v>0</v>
      </c>
      <c r="K1004">
        <v>0</v>
      </c>
      <c r="L1004" s="20">
        <v>17300</v>
      </c>
      <c r="M1004">
        <v>1</v>
      </c>
      <c r="N1004">
        <v>0</v>
      </c>
      <c r="O1004">
        <v>0</v>
      </c>
      <c r="P1004">
        <v>0</v>
      </c>
      <c r="Q1004" s="22">
        <v>51720</v>
      </c>
      <c r="R1004">
        <v>3</v>
      </c>
      <c r="S1004" s="1">
        <v>0</v>
      </c>
      <c r="T1004">
        <v>0</v>
      </c>
      <c r="U1004">
        <v>0</v>
      </c>
      <c r="V1004" s="21">
        <v>25860</v>
      </c>
      <c r="W1004">
        <v>23</v>
      </c>
      <c r="X1004">
        <v>0</v>
      </c>
      <c r="Y1004">
        <v>0</v>
      </c>
      <c r="Z1004">
        <v>0</v>
      </c>
      <c r="AA1004">
        <v>1</v>
      </c>
    </row>
    <row r="1005" spans="1:27" ht="14.25" x14ac:dyDescent="0.2">
      <c r="A1005" s="12">
        <v>20522</v>
      </c>
      <c r="B1005" t="s">
        <v>131</v>
      </c>
      <c r="C1005" t="s">
        <v>125</v>
      </c>
      <c r="D1005" t="s">
        <v>121</v>
      </c>
      <c r="E1005" t="s">
        <v>136</v>
      </c>
      <c r="F1005" s="4" t="s">
        <v>1606</v>
      </c>
      <c r="H1005">
        <v>2</v>
      </c>
      <c r="I1005" s="1">
        <v>0</v>
      </c>
      <c r="J1005">
        <v>0</v>
      </c>
      <c r="K1005">
        <v>0</v>
      </c>
      <c r="L1005" s="20">
        <v>17300</v>
      </c>
      <c r="M1005">
        <v>1</v>
      </c>
      <c r="N1005">
        <v>0</v>
      </c>
      <c r="O1005">
        <v>0</v>
      </c>
      <c r="P1005">
        <v>0</v>
      </c>
      <c r="Q1005" s="22">
        <v>51720</v>
      </c>
      <c r="R1005">
        <v>3</v>
      </c>
      <c r="S1005" s="1">
        <v>0</v>
      </c>
      <c r="T1005">
        <v>0</v>
      </c>
      <c r="U1005">
        <v>0</v>
      </c>
      <c r="V1005" s="21">
        <v>25860</v>
      </c>
      <c r="W1005">
        <v>6</v>
      </c>
      <c r="X1005">
        <v>1</v>
      </c>
      <c r="Y1005">
        <v>0</v>
      </c>
      <c r="Z1005">
        <v>3</v>
      </c>
      <c r="AA1005">
        <v>10</v>
      </c>
    </row>
    <row r="1006" spans="1:27" ht="14.25" x14ac:dyDescent="0.2">
      <c r="A1006" s="12">
        <v>20523</v>
      </c>
      <c r="B1006" t="s">
        <v>180</v>
      </c>
      <c r="C1006" t="s">
        <v>121</v>
      </c>
      <c r="D1006" t="s">
        <v>121</v>
      </c>
      <c r="E1006" t="s">
        <v>121</v>
      </c>
      <c r="F1006" s="4" t="s">
        <v>1608</v>
      </c>
      <c r="H1006">
        <v>2</v>
      </c>
      <c r="I1006" s="1">
        <v>0</v>
      </c>
      <c r="J1006">
        <v>0</v>
      </c>
      <c r="K1006">
        <v>0</v>
      </c>
      <c r="L1006" s="20">
        <v>17300</v>
      </c>
      <c r="M1006">
        <v>1</v>
      </c>
      <c r="N1006">
        <v>0</v>
      </c>
      <c r="O1006">
        <v>0</v>
      </c>
      <c r="P1006">
        <v>0</v>
      </c>
      <c r="Q1006" s="22">
        <v>51900</v>
      </c>
      <c r="R1006">
        <v>3</v>
      </c>
      <c r="S1006" s="1">
        <v>0</v>
      </c>
      <c r="T1006">
        <v>0</v>
      </c>
      <c r="U1006">
        <v>0</v>
      </c>
      <c r="V1006" s="21">
        <v>25950</v>
      </c>
      <c r="W1006">
        <v>15</v>
      </c>
      <c r="X1006">
        <v>0</v>
      </c>
      <c r="Y1006">
        <v>0</v>
      </c>
      <c r="Z1006">
        <v>0</v>
      </c>
      <c r="AA1006">
        <v>1</v>
      </c>
    </row>
    <row r="1007" spans="1:27" ht="14.25" x14ac:dyDescent="0.2">
      <c r="A1007" s="12">
        <v>20524</v>
      </c>
      <c r="B1007" t="s">
        <v>178</v>
      </c>
      <c r="C1007" t="s">
        <v>121</v>
      </c>
      <c r="D1007" t="s">
        <v>121</v>
      </c>
      <c r="E1007" t="s">
        <v>121</v>
      </c>
      <c r="F1007" s="4" t="s">
        <v>1608</v>
      </c>
      <c r="H1007">
        <v>2</v>
      </c>
      <c r="I1007" s="1">
        <v>0</v>
      </c>
      <c r="J1007">
        <v>0</v>
      </c>
      <c r="K1007">
        <v>0</v>
      </c>
      <c r="L1007" s="20">
        <v>17300</v>
      </c>
      <c r="M1007">
        <v>1</v>
      </c>
      <c r="N1007">
        <v>0</v>
      </c>
      <c r="O1007">
        <v>0</v>
      </c>
      <c r="P1007">
        <v>0</v>
      </c>
      <c r="Q1007" s="22">
        <v>51900</v>
      </c>
      <c r="R1007">
        <v>3</v>
      </c>
      <c r="S1007" s="1">
        <v>0</v>
      </c>
      <c r="T1007">
        <v>0</v>
      </c>
      <c r="U1007">
        <v>0</v>
      </c>
      <c r="V1007" s="21">
        <v>25950</v>
      </c>
      <c r="W1007">
        <v>21</v>
      </c>
      <c r="X1007">
        <v>0</v>
      </c>
      <c r="Y1007">
        <v>0</v>
      </c>
      <c r="Z1007">
        <v>0</v>
      </c>
      <c r="AA1007">
        <v>1</v>
      </c>
    </row>
    <row r="1008" spans="1:27" ht="14.25" x14ac:dyDescent="0.2">
      <c r="A1008" s="12">
        <v>20525</v>
      </c>
      <c r="B1008" t="s">
        <v>130</v>
      </c>
      <c r="C1008" t="s">
        <v>121</v>
      </c>
      <c r="D1008" t="s">
        <v>121</v>
      </c>
      <c r="E1008" t="s">
        <v>121</v>
      </c>
      <c r="F1008" s="4" t="s">
        <v>1610</v>
      </c>
      <c r="H1008">
        <v>2</v>
      </c>
      <c r="I1008" s="1">
        <v>0</v>
      </c>
      <c r="J1008">
        <v>0</v>
      </c>
      <c r="K1008">
        <v>0</v>
      </c>
      <c r="L1008" s="20">
        <v>17300</v>
      </c>
      <c r="M1008">
        <v>1</v>
      </c>
      <c r="N1008">
        <v>0</v>
      </c>
      <c r="O1008">
        <v>0</v>
      </c>
      <c r="P1008">
        <v>0</v>
      </c>
      <c r="Q1008" s="22">
        <v>51900</v>
      </c>
      <c r="R1008">
        <v>3</v>
      </c>
      <c r="S1008" s="1">
        <v>0</v>
      </c>
      <c r="T1008">
        <v>0</v>
      </c>
      <c r="U1008">
        <v>0</v>
      </c>
      <c r="V1008" s="21">
        <v>25950</v>
      </c>
      <c r="W1008">
        <v>9</v>
      </c>
      <c r="X1008">
        <v>0</v>
      </c>
      <c r="Y1008">
        <v>0</v>
      </c>
      <c r="Z1008">
        <v>0</v>
      </c>
      <c r="AA1008">
        <v>10</v>
      </c>
    </row>
    <row r="1009" spans="1:27" ht="14.25" x14ac:dyDescent="0.2">
      <c r="A1009" s="12">
        <v>20526</v>
      </c>
      <c r="B1009" t="s">
        <v>181</v>
      </c>
      <c r="C1009" t="s">
        <v>121</v>
      </c>
      <c r="D1009" t="s">
        <v>121</v>
      </c>
      <c r="E1009" t="s">
        <v>121</v>
      </c>
      <c r="F1009" s="4" t="s">
        <v>1612</v>
      </c>
      <c r="H1009">
        <v>2</v>
      </c>
      <c r="I1009" s="1">
        <v>0</v>
      </c>
      <c r="J1009">
        <v>0</v>
      </c>
      <c r="K1009">
        <v>0</v>
      </c>
      <c r="L1009" s="20">
        <v>17360</v>
      </c>
      <c r="M1009">
        <v>1</v>
      </c>
      <c r="N1009">
        <v>0</v>
      </c>
      <c r="O1009">
        <v>0</v>
      </c>
      <c r="P1009">
        <v>0</v>
      </c>
      <c r="Q1009" s="22">
        <v>51900</v>
      </c>
      <c r="R1009">
        <v>3</v>
      </c>
      <c r="S1009" s="1">
        <v>0</v>
      </c>
      <c r="T1009">
        <v>0</v>
      </c>
      <c r="U1009">
        <v>0</v>
      </c>
      <c r="V1009" s="21">
        <v>25950</v>
      </c>
      <c r="W1009">
        <v>30</v>
      </c>
      <c r="X1009">
        <v>0</v>
      </c>
      <c r="Y1009">
        <v>0</v>
      </c>
      <c r="Z1009">
        <v>0</v>
      </c>
      <c r="AA1009">
        <v>10</v>
      </c>
    </row>
    <row r="1010" spans="1:27" ht="14.25" x14ac:dyDescent="0.2">
      <c r="A1010" s="12">
        <v>20527</v>
      </c>
      <c r="B1010" t="s">
        <v>122</v>
      </c>
      <c r="C1010" t="s">
        <v>121</v>
      </c>
      <c r="D1010" t="s">
        <v>121</v>
      </c>
      <c r="E1010" t="s">
        <v>121</v>
      </c>
      <c r="F1010" s="4" t="s">
        <v>1612</v>
      </c>
      <c r="H1010">
        <v>2</v>
      </c>
      <c r="I1010" s="1">
        <v>0</v>
      </c>
      <c r="J1010">
        <v>0</v>
      </c>
      <c r="K1010">
        <v>0</v>
      </c>
      <c r="L1010" s="20">
        <v>17360</v>
      </c>
      <c r="M1010">
        <v>1</v>
      </c>
      <c r="N1010">
        <v>0</v>
      </c>
      <c r="O1010">
        <v>0</v>
      </c>
      <c r="P1010">
        <v>0</v>
      </c>
      <c r="Q1010" s="22">
        <v>51900</v>
      </c>
      <c r="R1010">
        <v>3</v>
      </c>
      <c r="S1010" s="1">
        <v>0</v>
      </c>
      <c r="T1010">
        <v>0</v>
      </c>
      <c r="U1010">
        <v>0</v>
      </c>
      <c r="V1010" s="21">
        <v>25950</v>
      </c>
      <c r="W1010">
        <v>4</v>
      </c>
      <c r="X1010">
        <v>0</v>
      </c>
      <c r="Y1010">
        <v>0</v>
      </c>
      <c r="Z1010">
        <v>0</v>
      </c>
      <c r="AA1010">
        <v>10</v>
      </c>
    </row>
    <row r="1011" spans="1:27" ht="14.25" x14ac:dyDescent="0.2">
      <c r="A1011" s="12">
        <v>20528</v>
      </c>
      <c r="B1011" t="s">
        <v>178</v>
      </c>
      <c r="C1011" t="s">
        <v>121</v>
      </c>
      <c r="D1011" t="s">
        <v>121</v>
      </c>
      <c r="E1011" t="s">
        <v>121</v>
      </c>
      <c r="F1011" s="4" t="s">
        <v>1614</v>
      </c>
      <c r="H1011">
        <v>2</v>
      </c>
      <c r="I1011" s="1">
        <v>0</v>
      </c>
      <c r="J1011">
        <v>0</v>
      </c>
      <c r="K1011">
        <v>0</v>
      </c>
      <c r="L1011" s="20">
        <v>17360</v>
      </c>
      <c r="M1011">
        <v>1</v>
      </c>
      <c r="N1011">
        <v>0</v>
      </c>
      <c r="O1011">
        <v>0</v>
      </c>
      <c r="P1011">
        <v>0</v>
      </c>
      <c r="Q1011" s="22">
        <v>52080</v>
      </c>
      <c r="R1011">
        <v>3</v>
      </c>
      <c r="S1011" s="1">
        <v>0</v>
      </c>
      <c r="T1011">
        <v>0</v>
      </c>
      <c r="U1011">
        <v>0</v>
      </c>
      <c r="V1011" s="21">
        <v>26040</v>
      </c>
      <c r="W1011">
        <v>21</v>
      </c>
      <c r="X1011">
        <v>0</v>
      </c>
      <c r="Y1011">
        <v>0</v>
      </c>
      <c r="Z1011">
        <v>0</v>
      </c>
      <c r="AA1011">
        <v>1</v>
      </c>
    </row>
    <row r="1012" spans="1:27" ht="14.25" x14ac:dyDescent="0.2">
      <c r="A1012" s="12">
        <v>20529</v>
      </c>
      <c r="B1012" t="s">
        <v>130</v>
      </c>
      <c r="C1012" t="s">
        <v>121</v>
      </c>
      <c r="D1012" t="s">
        <v>121</v>
      </c>
      <c r="E1012" t="s">
        <v>121</v>
      </c>
      <c r="F1012" s="4" t="s">
        <v>1616</v>
      </c>
      <c r="H1012">
        <v>2</v>
      </c>
      <c r="I1012" s="1">
        <v>0</v>
      </c>
      <c r="J1012">
        <v>0</v>
      </c>
      <c r="K1012">
        <v>0</v>
      </c>
      <c r="L1012" s="20">
        <v>17360</v>
      </c>
      <c r="M1012">
        <v>1</v>
      </c>
      <c r="N1012">
        <v>0</v>
      </c>
      <c r="O1012">
        <v>0</v>
      </c>
      <c r="P1012">
        <v>0</v>
      </c>
      <c r="Q1012" s="22">
        <v>52080</v>
      </c>
      <c r="R1012">
        <v>3</v>
      </c>
      <c r="S1012" s="1">
        <v>0</v>
      </c>
      <c r="T1012">
        <v>0</v>
      </c>
      <c r="U1012">
        <v>0</v>
      </c>
      <c r="V1012" s="21">
        <v>26040</v>
      </c>
      <c r="W1012">
        <v>9</v>
      </c>
      <c r="X1012">
        <v>0</v>
      </c>
      <c r="Y1012">
        <v>0</v>
      </c>
      <c r="Z1012">
        <v>0</v>
      </c>
      <c r="AA1012">
        <v>10</v>
      </c>
    </row>
    <row r="1013" spans="1:27" ht="14.25" x14ac:dyDescent="0.2">
      <c r="A1013" s="12">
        <v>20530</v>
      </c>
      <c r="B1013" t="s">
        <v>123</v>
      </c>
      <c r="C1013" t="s">
        <v>121</v>
      </c>
      <c r="D1013" t="s">
        <v>121</v>
      </c>
      <c r="E1013" t="s">
        <v>121</v>
      </c>
      <c r="F1013" s="4" t="s">
        <v>1616</v>
      </c>
      <c r="H1013">
        <v>2</v>
      </c>
      <c r="I1013" s="1">
        <v>0</v>
      </c>
      <c r="J1013">
        <v>0</v>
      </c>
      <c r="K1013">
        <v>0</v>
      </c>
      <c r="L1013" s="20">
        <v>17360</v>
      </c>
      <c r="M1013">
        <v>1</v>
      </c>
      <c r="N1013">
        <v>0</v>
      </c>
      <c r="O1013">
        <v>0</v>
      </c>
      <c r="P1013">
        <v>0</v>
      </c>
      <c r="Q1013" s="22">
        <v>52080</v>
      </c>
      <c r="R1013">
        <v>3</v>
      </c>
      <c r="S1013" s="1">
        <v>0</v>
      </c>
      <c r="T1013">
        <v>0</v>
      </c>
      <c r="U1013">
        <v>0</v>
      </c>
      <c r="V1013" s="21">
        <v>26040</v>
      </c>
      <c r="W1013">
        <v>12</v>
      </c>
      <c r="X1013">
        <v>0</v>
      </c>
      <c r="Y1013">
        <v>0</v>
      </c>
      <c r="Z1013">
        <v>0</v>
      </c>
      <c r="AA1013">
        <v>10</v>
      </c>
    </row>
    <row r="1014" spans="1:27" ht="14.25" x14ac:dyDescent="0.2">
      <c r="A1014" s="12">
        <v>20531</v>
      </c>
      <c r="B1014" t="s">
        <v>126</v>
      </c>
      <c r="C1014" t="s">
        <v>121</v>
      </c>
      <c r="D1014" t="s">
        <v>121</v>
      </c>
      <c r="E1014" t="s">
        <v>121</v>
      </c>
      <c r="F1014" s="4" t="s">
        <v>1618</v>
      </c>
      <c r="H1014">
        <v>2</v>
      </c>
      <c r="I1014" s="1">
        <v>0</v>
      </c>
      <c r="J1014">
        <v>0</v>
      </c>
      <c r="K1014">
        <v>0</v>
      </c>
      <c r="L1014" s="20">
        <v>17420</v>
      </c>
      <c r="M1014">
        <v>1</v>
      </c>
      <c r="N1014">
        <v>0</v>
      </c>
      <c r="O1014">
        <v>0</v>
      </c>
      <c r="P1014">
        <v>0</v>
      </c>
      <c r="Q1014" s="22">
        <v>52080</v>
      </c>
      <c r="R1014">
        <v>3</v>
      </c>
      <c r="S1014" s="1">
        <v>0</v>
      </c>
      <c r="T1014">
        <v>0</v>
      </c>
      <c r="U1014">
        <v>0</v>
      </c>
      <c r="V1014" s="21">
        <v>26040</v>
      </c>
      <c r="W1014">
        <v>23</v>
      </c>
      <c r="X1014">
        <v>0</v>
      </c>
      <c r="Y1014">
        <v>0</v>
      </c>
      <c r="Z1014">
        <v>0</v>
      </c>
      <c r="AA1014">
        <v>1</v>
      </c>
    </row>
    <row r="1015" spans="1:27" ht="14.25" x14ac:dyDescent="0.2">
      <c r="A1015" s="12">
        <v>20532</v>
      </c>
      <c r="B1015" t="s">
        <v>131</v>
      </c>
      <c r="C1015" t="s">
        <v>125</v>
      </c>
      <c r="D1015" t="s">
        <v>121</v>
      </c>
      <c r="E1015" t="s">
        <v>136</v>
      </c>
      <c r="F1015" s="4" t="s">
        <v>1620</v>
      </c>
      <c r="H1015">
        <v>2</v>
      </c>
      <c r="I1015" s="1">
        <v>0</v>
      </c>
      <c r="J1015">
        <v>0</v>
      </c>
      <c r="K1015">
        <v>0</v>
      </c>
      <c r="L1015" s="20">
        <v>17420</v>
      </c>
      <c r="M1015">
        <v>1</v>
      </c>
      <c r="N1015">
        <v>0</v>
      </c>
      <c r="O1015">
        <v>0</v>
      </c>
      <c r="P1015">
        <v>0</v>
      </c>
      <c r="Q1015" s="22">
        <v>52080</v>
      </c>
      <c r="R1015">
        <v>3</v>
      </c>
      <c r="S1015" s="1">
        <v>0</v>
      </c>
      <c r="T1015">
        <v>0</v>
      </c>
      <c r="U1015">
        <v>0</v>
      </c>
      <c r="V1015" s="21">
        <v>26040</v>
      </c>
      <c r="W1015">
        <v>6</v>
      </c>
      <c r="X1015">
        <v>1</v>
      </c>
      <c r="Y1015">
        <v>0</v>
      </c>
      <c r="Z1015">
        <v>3</v>
      </c>
      <c r="AA1015">
        <v>10</v>
      </c>
    </row>
    <row r="1016" spans="1:27" ht="14.25" x14ac:dyDescent="0.2">
      <c r="A1016" s="12">
        <v>20533</v>
      </c>
      <c r="B1016" t="s">
        <v>180</v>
      </c>
      <c r="C1016" t="s">
        <v>121</v>
      </c>
      <c r="D1016" t="s">
        <v>121</v>
      </c>
      <c r="E1016" t="s">
        <v>121</v>
      </c>
      <c r="F1016" s="4" t="s">
        <v>1622</v>
      </c>
      <c r="H1016">
        <v>2</v>
      </c>
      <c r="I1016" s="1">
        <v>0</v>
      </c>
      <c r="J1016">
        <v>0</v>
      </c>
      <c r="K1016">
        <v>0</v>
      </c>
      <c r="L1016" s="20">
        <v>17420</v>
      </c>
      <c r="M1016">
        <v>1</v>
      </c>
      <c r="N1016">
        <v>0</v>
      </c>
      <c r="O1016">
        <v>0</v>
      </c>
      <c r="P1016">
        <v>0</v>
      </c>
      <c r="Q1016" s="22">
        <v>52260</v>
      </c>
      <c r="R1016">
        <v>3</v>
      </c>
      <c r="S1016" s="1">
        <v>0</v>
      </c>
      <c r="T1016">
        <v>0</v>
      </c>
      <c r="U1016">
        <v>0</v>
      </c>
      <c r="V1016" s="21">
        <v>26130</v>
      </c>
      <c r="W1016">
        <v>15</v>
      </c>
      <c r="X1016">
        <v>0</v>
      </c>
      <c r="Y1016">
        <v>0</v>
      </c>
      <c r="Z1016">
        <v>0</v>
      </c>
      <c r="AA1016">
        <v>1</v>
      </c>
    </row>
    <row r="1017" spans="1:27" ht="14.25" x14ac:dyDescent="0.2">
      <c r="A1017" s="12">
        <v>20534</v>
      </c>
      <c r="B1017" t="s">
        <v>178</v>
      </c>
      <c r="C1017" t="s">
        <v>121</v>
      </c>
      <c r="D1017" t="s">
        <v>121</v>
      </c>
      <c r="E1017" t="s">
        <v>121</v>
      </c>
      <c r="F1017" s="4" t="s">
        <v>1622</v>
      </c>
      <c r="H1017">
        <v>2</v>
      </c>
      <c r="I1017" s="1">
        <v>0</v>
      </c>
      <c r="J1017">
        <v>0</v>
      </c>
      <c r="K1017">
        <v>0</v>
      </c>
      <c r="L1017" s="20">
        <v>17420</v>
      </c>
      <c r="M1017">
        <v>1</v>
      </c>
      <c r="N1017">
        <v>0</v>
      </c>
      <c r="O1017">
        <v>0</v>
      </c>
      <c r="P1017">
        <v>0</v>
      </c>
      <c r="Q1017" s="22">
        <v>52260</v>
      </c>
      <c r="R1017">
        <v>3</v>
      </c>
      <c r="S1017" s="1">
        <v>0</v>
      </c>
      <c r="T1017">
        <v>0</v>
      </c>
      <c r="U1017">
        <v>0</v>
      </c>
      <c r="V1017" s="21">
        <v>26130</v>
      </c>
      <c r="W1017">
        <v>21</v>
      </c>
      <c r="X1017">
        <v>0</v>
      </c>
      <c r="Y1017">
        <v>0</v>
      </c>
      <c r="Z1017">
        <v>0</v>
      </c>
      <c r="AA1017">
        <v>1</v>
      </c>
    </row>
    <row r="1018" spans="1:27" ht="14.25" x14ac:dyDescent="0.2">
      <c r="A1018" s="12">
        <v>20535</v>
      </c>
      <c r="B1018" t="s">
        <v>130</v>
      </c>
      <c r="C1018" t="s">
        <v>121</v>
      </c>
      <c r="D1018" t="s">
        <v>121</v>
      </c>
      <c r="E1018" t="s">
        <v>121</v>
      </c>
      <c r="F1018" s="4" t="s">
        <v>1624</v>
      </c>
      <c r="H1018">
        <v>2</v>
      </c>
      <c r="I1018" s="1">
        <v>0</v>
      </c>
      <c r="J1018">
        <v>0</v>
      </c>
      <c r="K1018">
        <v>0</v>
      </c>
      <c r="L1018" s="20">
        <v>17420</v>
      </c>
      <c r="M1018">
        <v>1</v>
      </c>
      <c r="N1018">
        <v>0</v>
      </c>
      <c r="O1018">
        <v>0</v>
      </c>
      <c r="P1018">
        <v>0</v>
      </c>
      <c r="Q1018" s="22">
        <v>52260</v>
      </c>
      <c r="R1018">
        <v>3</v>
      </c>
      <c r="S1018" s="1">
        <v>0</v>
      </c>
      <c r="T1018">
        <v>0</v>
      </c>
      <c r="U1018">
        <v>0</v>
      </c>
      <c r="V1018" s="21">
        <v>26130</v>
      </c>
      <c r="W1018">
        <v>9</v>
      </c>
      <c r="X1018">
        <v>0</v>
      </c>
      <c r="Y1018">
        <v>0</v>
      </c>
      <c r="Z1018">
        <v>0</v>
      </c>
      <c r="AA1018">
        <v>10</v>
      </c>
    </row>
    <row r="1019" spans="1:27" ht="14.25" x14ac:dyDescent="0.2">
      <c r="A1019" s="12">
        <v>20536</v>
      </c>
      <c r="B1019" t="s">
        <v>181</v>
      </c>
      <c r="C1019" t="s">
        <v>121</v>
      </c>
      <c r="D1019" t="s">
        <v>121</v>
      </c>
      <c r="E1019" t="s">
        <v>121</v>
      </c>
      <c r="F1019" s="4" t="s">
        <v>1626</v>
      </c>
      <c r="H1019">
        <v>2</v>
      </c>
      <c r="I1019" s="1">
        <v>0</v>
      </c>
      <c r="J1019">
        <v>0</v>
      </c>
      <c r="K1019">
        <v>0</v>
      </c>
      <c r="L1019" s="20">
        <v>17480</v>
      </c>
      <c r="M1019">
        <v>1</v>
      </c>
      <c r="N1019">
        <v>0</v>
      </c>
      <c r="O1019">
        <v>0</v>
      </c>
      <c r="P1019">
        <v>0</v>
      </c>
      <c r="Q1019" s="22">
        <v>52260</v>
      </c>
      <c r="R1019">
        <v>3</v>
      </c>
      <c r="S1019" s="1">
        <v>0</v>
      </c>
      <c r="T1019">
        <v>0</v>
      </c>
      <c r="U1019">
        <v>0</v>
      </c>
      <c r="V1019" s="21">
        <v>26130</v>
      </c>
      <c r="W1019">
        <v>30</v>
      </c>
      <c r="X1019">
        <v>0</v>
      </c>
      <c r="Y1019">
        <v>0</v>
      </c>
      <c r="Z1019">
        <v>0</v>
      </c>
      <c r="AA1019">
        <v>10</v>
      </c>
    </row>
    <row r="1020" spans="1:27" ht="14.25" x14ac:dyDescent="0.2">
      <c r="A1020" s="12">
        <v>20537</v>
      </c>
      <c r="B1020" t="s">
        <v>122</v>
      </c>
      <c r="C1020" t="s">
        <v>121</v>
      </c>
      <c r="D1020" t="s">
        <v>121</v>
      </c>
      <c r="E1020" t="s">
        <v>121</v>
      </c>
      <c r="F1020" s="4" t="s">
        <v>1626</v>
      </c>
      <c r="H1020">
        <v>2</v>
      </c>
      <c r="I1020" s="1">
        <v>0</v>
      </c>
      <c r="J1020">
        <v>0</v>
      </c>
      <c r="K1020">
        <v>0</v>
      </c>
      <c r="L1020" s="20">
        <v>17480</v>
      </c>
      <c r="M1020">
        <v>1</v>
      </c>
      <c r="N1020">
        <v>0</v>
      </c>
      <c r="O1020">
        <v>0</v>
      </c>
      <c r="P1020">
        <v>0</v>
      </c>
      <c r="Q1020" s="22">
        <v>52260</v>
      </c>
      <c r="R1020">
        <v>3</v>
      </c>
      <c r="S1020" s="1">
        <v>0</v>
      </c>
      <c r="T1020">
        <v>0</v>
      </c>
      <c r="U1020">
        <v>0</v>
      </c>
      <c r="V1020" s="21">
        <v>26130</v>
      </c>
      <c r="W1020">
        <v>4</v>
      </c>
      <c r="X1020">
        <v>0</v>
      </c>
      <c r="Y1020">
        <v>0</v>
      </c>
      <c r="Z1020">
        <v>0</v>
      </c>
      <c r="AA1020">
        <v>10</v>
      </c>
    </row>
    <row r="1021" spans="1:27" ht="14.25" x14ac:dyDescent="0.2">
      <c r="A1021" s="12">
        <v>20538</v>
      </c>
      <c r="B1021" t="s">
        <v>178</v>
      </c>
      <c r="C1021" t="s">
        <v>121</v>
      </c>
      <c r="D1021" t="s">
        <v>121</v>
      </c>
      <c r="E1021" t="s">
        <v>121</v>
      </c>
      <c r="F1021" s="4" t="s">
        <v>1628</v>
      </c>
      <c r="H1021">
        <v>2</v>
      </c>
      <c r="I1021" s="1">
        <v>0</v>
      </c>
      <c r="J1021">
        <v>0</v>
      </c>
      <c r="K1021">
        <v>0</v>
      </c>
      <c r="L1021" s="20">
        <v>17480</v>
      </c>
      <c r="M1021">
        <v>1</v>
      </c>
      <c r="N1021">
        <v>0</v>
      </c>
      <c r="O1021">
        <v>0</v>
      </c>
      <c r="P1021">
        <v>0</v>
      </c>
      <c r="Q1021" s="22">
        <v>52440</v>
      </c>
      <c r="R1021">
        <v>3</v>
      </c>
      <c r="S1021" s="1">
        <v>0</v>
      </c>
      <c r="T1021">
        <v>0</v>
      </c>
      <c r="U1021">
        <v>0</v>
      </c>
      <c r="V1021" s="21">
        <v>26220</v>
      </c>
      <c r="W1021">
        <v>21</v>
      </c>
      <c r="X1021">
        <v>0</v>
      </c>
      <c r="Y1021">
        <v>0</v>
      </c>
      <c r="Z1021">
        <v>0</v>
      </c>
      <c r="AA1021">
        <v>1</v>
      </c>
    </row>
    <row r="1022" spans="1:27" ht="14.25" x14ac:dyDescent="0.2">
      <c r="A1022" s="12">
        <v>20539</v>
      </c>
      <c r="B1022" t="s">
        <v>130</v>
      </c>
      <c r="C1022" t="s">
        <v>121</v>
      </c>
      <c r="D1022" t="s">
        <v>121</v>
      </c>
      <c r="E1022" t="s">
        <v>121</v>
      </c>
      <c r="F1022" s="4" t="s">
        <v>1630</v>
      </c>
      <c r="H1022">
        <v>2</v>
      </c>
      <c r="I1022" s="1">
        <v>0</v>
      </c>
      <c r="J1022">
        <v>0</v>
      </c>
      <c r="K1022">
        <v>0</v>
      </c>
      <c r="L1022" s="20">
        <v>17480</v>
      </c>
      <c r="M1022">
        <v>1</v>
      </c>
      <c r="N1022">
        <v>0</v>
      </c>
      <c r="O1022">
        <v>0</v>
      </c>
      <c r="P1022">
        <v>0</v>
      </c>
      <c r="Q1022" s="22">
        <v>52440</v>
      </c>
      <c r="R1022">
        <v>3</v>
      </c>
      <c r="S1022" s="1">
        <v>0</v>
      </c>
      <c r="T1022">
        <v>0</v>
      </c>
      <c r="U1022">
        <v>0</v>
      </c>
      <c r="V1022" s="21">
        <v>26220</v>
      </c>
      <c r="W1022">
        <v>9</v>
      </c>
      <c r="X1022">
        <v>0</v>
      </c>
      <c r="Y1022">
        <v>0</v>
      </c>
      <c r="Z1022">
        <v>0</v>
      </c>
      <c r="AA1022">
        <v>10</v>
      </c>
    </row>
    <row r="1023" spans="1:27" ht="14.25" x14ac:dyDescent="0.2">
      <c r="A1023" s="12">
        <v>20540</v>
      </c>
      <c r="B1023" t="s">
        <v>123</v>
      </c>
      <c r="C1023" t="s">
        <v>121</v>
      </c>
      <c r="D1023" t="s">
        <v>121</v>
      </c>
      <c r="E1023" t="s">
        <v>121</v>
      </c>
      <c r="F1023" s="4" t="s">
        <v>1630</v>
      </c>
      <c r="H1023">
        <v>2</v>
      </c>
      <c r="I1023" s="1">
        <v>0</v>
      </c>
      <c r="J1023">
        <v>0</v>
      </c>
      <c r="K1023">
        <v>0</v>
      </c>
      <c r="L1023" s="20">
        <v>17480</v>
      </c>
      <c r="M1023">
        <v>1</v>
      </c>
      <c r="N1023">
        <v>0</v>
      </c>
      <c r="O1023">
        <v>0</v>
      </c>
      <c r="P1023">
        <v>0</v>
      </c>
      <c r="Q1023" s="22">
        <v>52440</v>
      </c>
      <c r="R1023">
        <v>3</v>
      </c>
      <c r="S1023" s="1">
        <v>0</v>
      </c>
      <c r="T1023">
        <v>0</v>
      </c>
      <c r="U1023">
        <v>0</v>
      </c>
      <c r="V1023" s="21">
        <v>26220</v>
      </c>
      <c r="W1023">
        <v>12</v>
      </c>
      <c r="X1023">
        <v>0</v>
      </c>
      <c r="Y1023">
        <v>0</v>
      </c>
      <c r="Z1023">
        <v>0</v>
      </c>
      <c r="AA1023">
        <v>10</v>
      </c>
    </row>
    <row r="1024" spans="1:27" ht="14.25" x14ac:dyDescent="0.2">
      <c r="A1024" s="12">
        <v>20541</v>
      </c>
      <c r="B1024" t="s">
        <v>126</v>
      </c>
      <c r="C1024" t="s">
        <v>121</v>
      </c>
      <c r="D1024" t="s">
        <v>121</v>
      </c>
      <c r="E1024" t="s">
        <v>121</v>
      </c>
      <c r="F1024" s="4" t="s">
        <v>1632</v>
      </c>
      <c r="H1024">
        <v>2</v>
      </c>
      <c r="I1024" s="1">
        <v>0</v>
      </c>
      <c r="J1024">
        <v>0</v>
      </c>
      <c r="K1024">
        <v>0</v>
      </c>
      <c r="L1024" s="20">
        <v>17540</v>
      </c>
      <c r="M1024">
        <v>1</v>
      </c>
      <c r="N1024">
        <v>0</v>
      </c>
      <c r="O1024">
        <v>0</v>
      </c>
      <c r="P1024">
        <v>0</v>
      </c>
      <c r="Q1024" s="22">
        <v>52440</v>
      </c>
      <c r="R1024">
        <v>3</v>
      </c>
      <c r="S1024" s="1">
        <v>0</v>
      </c>
      <c r="T1024">
        <v>0</v>
      </c>
      <c r="U1024">
        <v>0</v>
      </c>
      <c r="V1024" s="21">
        <v>26220</v>
      </c>
      <c r="W1024">
        <v>23</v>
      </c>
      <c r="X1024">
        <v>0</v>
      </c>
      <c r="Y1024">
        <v>0</v>
      </c>
      <c r="Z1024">
        <v>0</v>
      </c>
      <c r="AA1024">
        <v>1</v>
      </c>
    </row>
    <row r="1025" spans="1:27" ht="14.25" x14ac:dyDescent="0.2">
      <c r="A1025" s="12">
        <v>20542</v>
      </c>
      <c r="B1025" t="s">
        <v>131</v>
      </c>
      <c r="C1025" t="s">
        <v>125</v>
      </c>
      <c r="D1025" t="s">
        <v>121</v>
      </c>
      <c r="E1025" t="s">
        <v>136</v>
      </c>
      <c r="F1025" s="4" t="s">
        <v>1634</v>
      </c>
      <c r="H1025">
        <v>2</v>
      </c>
      <c r="I1025" s="1">
        <v>0</v>
      </c>
      <c r="J1025">
        <v>0</v>
      </c>
      <c r="K1025">
        <v>0</v>
      </c>
      <c r="L1025" s="20">
        <v>17540</v>
      </c>
      <c r="M1025">
        <v>1</v>
      </c>
      <c r="N1025">
        <v>0</v>
      </c>
      <c r="O1025">
        <v>0</v>
      </c>
      <c r="P1025">
        <v>0</v>
      </c>
      <c r="Q1025" s="22">
        <v>52440</v>
      </c>
      <c r="R1025">
        <v>3</v>
      </c>
      <c r="S1025" s="1">
        <v>0</v>
      </c>
      <c r="T1025">
        <v>0</v>
      </c>
      <c r="U1025">
        <v>0</v>
      </c>
      <c r="V1025" s="21">
        <v>26220</v>
      </c>
      <c r="W1025">
        <v>6</v>
      </c>
      <c r="X1025">
        <v>1</v>
      </c>
      <c r="Y1025">
        <v>0</v>
      </c>
      <c r="Z1025">
        <v>3</v>
      </c>
      <c r="AA1025">
        <v>10</v>
      </c>
    </row>
    <row r="1026" spans="1:27" ht="14.25" x14ac:dyDescent="0.2">
      <c r="A1026" s="12">
        <v>20543</v>
      </c>
      <c r="B1026" t="s">
        <v>180</v>
      </c>
      <c r="C1026" t="s">
        <v>121</v>
      </c>
      <c r="D1026" t="s">
        <v>121</v>
      </c>
      <c r="E1026" t="s">
        <v>121</v>
      </c>
      <c r="F1026" s="4" t="s">
        <v>1636</v>
      </c>
      <c r="H1026">
        <v>2</v>
      </c>
      <c r="I1026" s="1">
        <v>0</v>
      </c>
      <c r="J1026">
        <v>0</v>
      </c>
      <c r="K1026">
        <v>0</v>
      </c>
      <c r="L1026" s="20">
        <v>17540</v>
      </c>
      <c r="M1026">
        <v>1</v>
      </c>
      <c r="N1026">
        <v>0</v>
      </c>
      <c r="O1026">
        <v>0</v>
      </c>
      <c r="P1026">
        <v>0</v>
      </c>
      <c r="Q1026" s="22">
        <v>52620</v>
      </c>
      <c r="R1026">
        <v>3</v>
      </c>
      <c r="S1026" s="1">
        <v>0</v>
      </c>
      <c r="T1026">
        <v>0</v>
      </c>
      <c r="U1026">
        <v>0</v>
      </c>
      <c r="V1026" s="21">
        <v>26310</v>
      </c>
      <c r="W1026">
        <v>15</v>
      </c>
      <c r="X1026">
        <v>0</v>
      </c>
      <c r="Y1026">
        <v>0</v>
      </c>
      <c r="Z1026">
        <v>0</v>
      </c>
      <c r="AA1026">
        <v>1</v>
      </c>
    </row>
    <row r="1027" spans="1:27" ht="14.25" x14ac:dyDescent="0.2">
      <c r="A1027" s="12">
        <v>20544</v>
      </c>
      <c r="B1027" t="s">
        <v>178</v>
      </c>
      <c r="C1027" t="s">
        <v>121</v>
      </c>
      <c r="D1027" t="s">
        <v>121</v>
      </c>
      <c r="E1027" t="s">
        <v>121</v>
      </c>
      <c r="F1027" s="4" t="s">
        <v>1636</v>
      </c>
      <c r="H1027">
        <v>2</v>
      </c>
      <c r="I1027" s="1">
        <v>0</v>
      </c>
      <c r="J1027">
        <v>0</v>
      </c>
      <c r="K1027">
        <v>0</v>
      </c>
      <c r="L1027" s="20">
        <v>17540</v>
      </c>
      <c r="M1027">
        <v>1</v>
      </c>
      <c r="N1027">
        <v>0</v>
      </c>
      <c r="O1027">
        <v>0</v>
      </c>
      <c r="P1027">
        <v>0</v>
      </c>
      <c r="Q1027" s="22">
        <v>52620</v>
      </c>
      <c r="R1027">
        <v>3</v>
      </c>
      <c r="S1027" s="1">
        <v>0</v>
      </c>
      <c r="T1027">
        <v>0</v>
      </c>
      <c r="U1027">
        <v>0</v>
      </c>
      <c r="V1027" s="21">
        <v>26310</v>
      </c>
      <c r="W1027">
        <v>21</v>
      </c>
      <c r="X1027">
        <v>0</v>
      </c>
      <c r="Y1027">
        <v>0</v>
      </c>
      <c r="Z1027">
        <v>0</v>
      </c>
      <c r="AA1027">
        <v>1</v>
      </c>
    </row>
    <row r="1028" spans="1:27" ht="14.25" x14ac:dyDescent="0.2">
      <c r="A1028" s="12">
        <v>20545</v>
      </c>
      <c r="B1028" t="s">
        <v>130</v>
      </c>
      <c r="C1028" t="s">
        <v>121</v>
      </c>
      <c r="D1028" t="s">
        <v>121</v>
      </c>
      <c r="E1028" t="s">
        <v>121</v>
      </c>
      <c r="F1028" s="4" t="s">
        <v>1638</v>
      </c>
      <c r="H1028">
        <v>2</v>
      </c>
      <c r="I1028" s="1">
        <v>0</v>
      </c>
      <c r="J1028">
        <v>0</v>
      </c>
      <c r="K1028">
        <v>0</v>
      </c>
      <c r="L1028" s="20">
        <v>17540</v>
      </c>
      <c r="M1028">
        <v>1</v>
      </c>
      <c r="N1028">
        <v>0</v>
      </c>
      <c r="O1028">
        <v>0</v>
      </c>
      <c r="P1028">
        <v>0</v>
      </c>
      <c r="Q1028" s="22">
        <v>52620</v>
      </c>
      <c r="R1028">
        <v>3</v>
      </c>
      <c r="S1028" s="1">
        <v>0</v>
      </c>
      <c r="T1028">
        <v>0</v>
      </c>
      <c r="U1028">
        <v>0</v>
      </c>
      <c r="V1028" s="21">
        <v>26310</v>
      </c>
      <c r="W1028">
        <v>9</v>
      </c>
      <c r="X1028">
        <v>0</v>
      </c>
      <c r="Y1028">
        <v>0</v>
      </c>
      <c r="Z1028">
        <v>0</v>
      </c>
      <c r="AA1028">
        <v>10</v>
      </c>
    </row>
    <row r="1029" spans="1:27" ht="14.25" x14ac:dyDescent="0.2">
      <c r="A1029" s="12">
        <v>20546</v>
      </c>
      <c r="B1029" t="s">
        <v>181</v>
      </c>
      <c r="C1029" t="s">
        <v>121</v>
      </c>
      <c r="D1029" t="s">
        <v>121</v>
      </c>
      <c r="E1029" t="s">
        <v>121</v>
      </c>
      <c r="F1029" s="4" t="s">
        <v>1640</v>
      </c>
      <c r="H1029">
        <v>2</v>
      </c>
      <c r="I1029" s="1">
        <v>0</v>
      </c>
      <c r="J1029">
        <v>0</v>
      </c>
      <c r="K1029">
        <v>0</v>
      </c>
      <c r="L1029" s="20">
        <v>17600</v>
      </c>
      <c r="M1029">
        <v>1</v>
      </c>
      <c r="N1029">
        <v>0</v>
      </c>
      <c r="O1029">
        <v>0</v>
      </c>
      <c r="P1029">
        <v>0</v>
      </c>
      <c r="Q1029" s="22">
        <v>52620</v>
      </c>
      <c r="R1029">
        <v>3</v>
      </c>
      <c r="S1029" s="1">
        <v>0</v>
      </c>
      <c r="T1029">
        <v>0</v>
      </c>
      <c r="U1029">
        <v>0</v>
      </c>
      <c r="V1029" s="21">
        <v>26310</v>
      </c>
      <c r="W1029">
        <v>30</v>
      </c>
      <c r="X1029">
        <v>0</v>
      </c>
      <c r="Y1029">
        <v>0</v>
      </c>
      <c r="Z1029">
        <v>0</v>
      </c>
      <c r="AA1029">
        <v>10</v>
      </c>
    </row>
    <row r="1030" spans="1:27" ht="14.25" x14ac:dyDescent="0.2">
      <c r="A1030" s="12">
        <v>20547</v>
      </c>
      <c r="B1030" t="s">
        <v>122</v>
      </c>
      <c r="C1030" t="s">
        <v>121</v>
      </c>
      <c r="D1030" t="s">
        <v>121</v>
      </c>
      <c r="E1030" t="s">
        <v>121</v>
      </c>
      <c r="F1030" s="4" t="s">
        <v>1640</v>
      </c>
      <c r="H1030">
        <v>2</v>
      </c>
      <c r="I1030" s="1">
        <v>0</v>
      </c>
      <c r="J1030">
        <v>0</v>
      </c>
      <c r="K1030">
        <v>0</v>
      </c>
      <c r="L1030" s="20">
        <v>17600</v>
      </c>
      <c r="M1030">
        <v>1</v>
      </c>
      <c r="N1030">
        <v>0</v>
      </c>
      <c r="O1030">
        <v>0</v>
      </c>
      <c r="P1030">
        <v>0</v>
      </c>
      <c r="Q1030" s="22">
        <v>52620</v>
      </c>
      <c r="R1030">
        <v>3</v>
      </c>
      <c r="S1030" s="1">
        <v>0</v>
      </c>
      <c r="T1030">
        <v>0</v>
      </c>
      <c r="U1030">
        <v>0</v>
      </c>
      <c r="V1030" s="21">
        <v>26310</v>
      </c>
      <c r="W1030">
        <v>4</v>
      </c>
      <c r="X1030">
        <v>0</v>
      </c>
      <c r="Y1030">
        <v>0</v>
      </c>
      <c r="Z1030">
        <v>0</v>
      </c>
      <c r="AA1030">
        <v>10</v>
      </c>
    </row>
    <row r="1031" spans="1:27" ht="14.25" x14ac:dyDescent="0.2">
      <c r="A1031" s="12">
        <v>20548</v>
      </c>
      <c r="B1031" t="s">
        <v>178</v>
      </c>
      <c r="C1031" t="s">
        <v>121</v>
      </c>
      <c r="D1031" t="s">
        <v>121</v>
      </c>
      <c r="E1031" t="s">
        <v>121</v>
      </c>
      <c r="F1031" s="4" t="s">
        <v>1642</v>
      </c>
      <c r="H1031">
        <v>2</v>
      </c>
      <c r="I1031" s="1">
        <v>0</v>
      </c>
      <c r="J1031">
        <v>0</v>
      </c>
      <c r="K1031">
        <v>0</v>
      </c>
      <c r="L1031" s="20">
        <v>17600</v>
      </c>
      <c r="M1031">
        <v>1</v>
      </c>
      <c r="N1031">
        <v>0</v>
      </c>
      <c r="O1031">
        <v>0</v>
      </c>
      <c r="P1031">
        <v>0</v>
      </c>
      <c r="Q1031" s="22">
        <v>52800</v>
      </c>
      <c r="R1031">
        <v>3</v>
      </c>
      <c r="S1031" s="1">
        <v>0</v>
      </c>
      <c r="T1031">
        <v>0</v>
      </c>
      <c r="U1031">
        <v>0</v>
      </c>
      <c r="V1031" s="21">
        <v>26400</v>
      </c>
      <c r="W1031">
        <v>21</v>
      </c>
      <c r="X1031">
        <v>0</v>
      </c>
      <c r="Y1031">
        <v>0</v>
      </c>
      <c r="Z1031">
        <v>0</v>
      </c>
      <c r="AA1031">
        <v>1</v>
      </c>
    </row>
    <row r="1032" spans="1:27" ht="14.25" x14ac:dyDescent="0.2">
      <c r="A1032" s="12">
        <v>20549</v>
      </c>
      <c r="B1032" t="s">
        <v>130</v>
      </c>
      <c r="C1032" t="s">
        <v>121</v>
      </c>
      <c r="D1032" t="s">
        <v>121</v>
      </c>
      <c r="E1032" t="s">
        <v>121</v>
      </c>
      <c r="F1032" s="4" t="s">
        <v>1644</v>
      </c>
      <c r="H1032">
        <v>2</v>
      </c>
      <c r="I1032" s="1">
        <v>0</v>
      </c>
      <c r="J1032">
        <v>0</v>
      </c>
      <c r="K1032">
        <v>0</v>
      </c>
      <c r="L1032" s="20">
        <v>17600</v>
      </c>
      <c r="M1032">
        <v>1</v>
      </c>
      <c r="N1032">
        <v>0</v>
      </c>
      <c r="O1032">
        <v>0</v>
      </c>
      <c r="P1032">
        <v>0</v>
      </c>
      <c r="Q1032" s="22">
        <v>52800</v>
      </c>
      <c r="R1032">
        <v>3</v>
      </c>
      <c r="S1032" s="1">
        <v>0</v>
      </c>
      <c r="T1032">
        <v>0</v>
      </c>
      <c r="U1032">
        <v>0</v>
      </c>
      <c r="V1032" s="21">
        <v>26400</v>
      </c>
      <c r="W1032">
        <v>9</v>
      </c>
      <c r="X1032">
        <v>0</v>
      </c>
      <c r="Y1032">
        <v>0</v>
      </c>
      <c r="Z1032">
        <v>0</v>
      </c>
      <c r="AA1032">
        <v>10</v>
      </c>
    </row>
    <row r="1033" spans="1:27" ht="14.25" x14ac:dyDescent="0.2">
      <c r="A1033" s="12">
        <v>20550</v>
      </c>
      <c r="B1033" t="s">
        <v>123</v>
      </c>
      <c r="C1033" t="s">
        <v>121</v>
      </c>
      <c r="D1033" t="s">
        <v>121</v>
      </c>
      <c r="E1033" t="s">
        <v>121</v>
      </c>
      <c r="F1033" s="4" t="s">
        <v>1644</v>
      </c>
      <c r="H1033">
        <v>2</v>
      </c>
      <c r="I1033" s="1">
        <v>0</v>
      </c>
      <c r="J1033">
        <v>0</v>
      </c>
      <c r="K1033">
        <v>0</v>
      </c>
      <c r="L1033" s="20">
        <v>17600</v>
      </c>
      <c r="M1033">
        <v>1</v>
      </c>
      <c r="N1033">
        <v>0</v>
      </c>
      <c r="O1033">
        <v>0</v>
      </c>
      <c r="P1033">
        <v>0</v>
      </c>
      <c r="Q1033" s="22">
        <v>52800</v>
      </c>
      <c r="R1033">
        <v>3</v>
      </c>
      <c r="S1033" s="1">
        <v>0</v>
      </c>
      <c r="T1033">
        <v>0</v>
      </c>
      <c r="U1033">
        <v>0</v>
      </c>
      <c r="V1033" s="21">
        <v>26400</v>
      </c>
      <c r="W1033">
        <v>12</v>
      </c>
      <c r="X1033">
        <v>0</v>
      </c>
      <c r="Y1033">
        <v>0</v>
      </c>
      <c r="Z1033">
        <v>0</v>
      </c>
      <c r="AA1033">
        <v>10</v>
      </c>
    </row>
    <row r="1034" spans="1:27" ht="14.25" x14ac:dyDescent="0.2">
      <c r="A1034" s="12">
        <v>20601</v>
      </c>
      <c r="B1034" t="s">
        <v>126</v>
      </c>
      <c r="C1034" t="s">
        <v>121</v>
      </c>
      <c r="D1034" t="s">
        <v>121</v>
      </c>
      <c r="E1034" t="s">
        <v>121</v>
      </c>
      <c r="F1034" s="4" t="s">
        <v>1646</v>
      </c>
      <c r="H1034">
        <v>2</v>
      </c>
      <c r="I1034" s="1">
        <v>0</v>
      </c>
      <c r="J1034">
        <v>0</v>
      </c>
      <c r="K1034">
        <v>0</v>
      </c>
      <c r="L1034" s="20">
        <v>17660</v>
      </c>
      <c r="M1034">
        <v>1</v>
      </c>
      <c r="N1034">
        <v>0</v>
      </c>
      <c r="O1034">
        <v>0</v>
      </c>
      <c r="P1034">
        <v>0</v>
      </c>
      <c r="Q1034" s="22">
        <v>52800</v>
      </c>
      <c r="R1034">
        <v>3</v>
      </c>
      <c r="S1034" s="1">
        <v>0</v>
      </c>
      <c r="T1034">
        <v>0</v>
      </c>
      <c r="U1034">
        <v>0</v>
      </c>
      <c r="V1034" s="21">
        <v>26400</v>
      </c>
      <c r="W1034">
        <v>23</v>
      </c>
      <c r="X1034">
        <v>0</v>
      </c>
      <c r="Y1034">
        <v>0</v>
      </c>
      <c r="Z1034">
        <v>0</v>
      </c>
      <c r="AA1034">
        <v>1</v>
      </c>
    </row>
    <row r="1035" spans="1:27" ht="14.25" x14ac:dyDescent="0.2">
      <c r="A1035" s="12">
        <v>20602</v>
      </c>
      <c r="B1035" t="s">
        <v>131</v>
      </c>
      <c r="C1035" t="s">
        <v>125</v>
      </c>
      <c r="D1035" t="s">
        <v>121</v>
      </c>
      <c r="E1035" t="s">
        <v>136</v>
      </c>
      <c r="F1035" s="4" t="s">
        <v>1648</v>
      </c>
      <c r="H1035">
        <v>2</v>
      </c>
      <c r="I1035" s="1">
        <v>0</v>
      </c>
      <c r="J1035">
        <v>0</v>
      </c>
      <c r="K1035">
        <v>0</v>
      </c>
      <c r="L1035" s="20">
        <v>17660</v>
      </c>
      <c r="M1035">
        <v>1</v>
      </c>
      <c r="N1035">
        <v>0</v>
      </c>
      <c r="O1035">
        <v>0</v>
      </c>
      <c r="P1035">
        <v>0</v>
      </c>
      <c r="Q1035" s="22">
        <v>52800</v>
      </c>
      <c r="R1035">
        <v>3</v>
      </c>
      <c r="S1035" s="1">
        <v>0</v>
      </c>
      <c r="T1035">
        <v>0</v>
      </c>
      <c r="U1035">
        <v>0</v>
      </c>
      <c r="V1035" s="21">
        <v>26400</v>
      </c>
      <c r="W1035">
        <v>6</v>
      </c>
      <c r="X1035">
        <v>1</v>
      </c>
      <c r="Y1035">
        <v>0</v>
      </c>
      <c r="Z1035">
        <v>3</v>
      </c>
      <c r="AA1035">
        <v>10</v>
      </c>
    </row>
    <row r="1036" spans="1:27" ht="14.25" x14ac:dyDescent="0.2">
      <c r="A1036" s="12">
        <v>20603</v>
      </c>
      <c r="B1036" t="s">
        <v>180</v>
      </c>
      <c r="C1036" t="s">
        <v>121</v>
      </c>
      <c r="D1036" t="s">
        <v>121</v>
      </c>
      <c r="E1036" t="s">
        <v>121</v>
      </c>
      <c r="F1036" s="4" t="s">
        <v>1650</v>
      </c>
      <c r="H1036">
        <v>2</v>
      </c>
      <c r="I1036" s="1">
        <v>0</v>
      </c>
      <c r="J1036">
        <v>0</v>
      </c>
      <c r="K1036">
        <v>0</v>
      </c>
      <c r="L1036" s="20">
        <v>17660</v>
      </c>
      <c r="M1036">
        <v>1</v>
      </c>
      <c r="N1036">
        <v>0</v>
      </c>
      <c r="O1036">
        <v>0</v>
      </c>
      <c r="P1036">
        <v>0</v>
      </c>
      <c r="Q1036" s="22">
        <v>52980</v>
      </c>
      <c r="R1036">
        <v>3</v>
      </c>
      <c r="S1036" s="1">
        <v>0</v>
      </c>
      <c r="T1036">
        <v>0</v>
      </c>
      <c r="U1036">
        <v>0</v>
      </c>
      <c r="V1036" s="21">
        <v>26490</v>
      </c>
      <c r="W1036">
        <v>15</v>
      </c>
      <c r="X1036">
        <v>0</v>
      </c>
      <c r="Y1036">
        <v>0</v>
      </c>
      <c r="Z1036">
        <v>0</v>
      </c>
      <c r="AA1036">
        <v>1</v>
      </c>
    </row>
    <row r="1037" spans="1:27" ht="14.25" x14ac:dyDescent="0.2">
      <c r="A1037" s="12">
        <v>20604</v>
      </c>
      <c r="B1037" t="s">
        <v>178</v>
      </c>
      <c r="C1037" t="s">
        <v>121</v>
      </c>
      <c r="D1037" t="s">
        <v>121</v>
      </c>
      <c r="E1037" t="s">
        <v>121</v>
      </c>
      <c r="F1037" s="4" t="s">
        <v>1650</v>
      </c>
      <c r="H1037">
        <v>2</v>
      </c>
      <c r="I1037" s="1">
        <v>0</v>
      </c>
      <c r="J1037">
        <v>0</v>
      </c>
      <c r="K1037">
        <v>0</v>
      </c>
      <c r="L1037" s="20">
        <v>17660</v>
      </c>
      <c r="M1037">
        <v>1</v>
      </c>
      <c r="N1037">
        <v>0</v>
      </c>
      <c r="O1037">
        <v>0</v>
      </c>
      <c r="P1037">
        <v>0</v>
      </c>
      <c r="Q1037" s="22">
        <v>52980</v>
      </c>
      <c r="R1037">
        <v>3</v>
      </c>
      <c r="S1037" s="1">
        <v>0</v>
      </c>
      <c r="T1037">
        <v>0</v>
      </c>
      <c r="U1037">
        <v>0</v>
      </c>
      <c r="V1037" s="21">
        <v>26490</v>
      </c>
      <c r="W1037">
        <v>21</v>
      </c>
      <c r="X1037">
        <v>0</v>
      </c>
      <c r="Y1037">
        <v>0</v>
      </c>
      <c r="Z1037">
        <v>0</v>
      </c>
      <c r="AA1037">
        <v>1</v>
      </c>
    </row>
    <row r="1038" spans="1:27" ht="14.25" x14ac:dyDescent="0.2">
      <c r="A1038" s="12">
        <v>20605</v>
      </c>
      <c r="B1038" t="s">
        <v>130</v>
      </c>
      <c r="C1038" t="s">
        <v>121</v>
      </c>
      <c r="D1038" t="s">
        <v>121</v>
      </c>
      <c r="E1038" t="s">
        <v>121</v>
      </c>
      <c r="F1038" s="4" t="s">
        <v>1652</v>
      </c>
      <c r="H1038">
        <v>2</v>
      </c>
      <c r="I1038" s="1">
        <v>0</v>
      </c>
      <c r="J1038">
        <v>0</v>
      </c>
      <c r="K1038">
        <v>0</v>
      </c>
      <c r="L1038" s="20">
        <v>17660</v>
      </c>
      <c r="M1038">
        <v>1</v>
      </c>
      <c r="N1038">
        <v>0</v>
      </c>
      <c r="O1038">
        <v>0</v>
      </c>
      <c r="P1038">
        <v>0</v>
      </c>
      <c r="Q1038" s="22">
        <v>52980</v>
      </c>
      <c r="R1038">
        <v>3</v>
      </c>
      <c r="S1038" s="1">
        <v>0</v>
      </c>
      <c r="T1038">
        <v>0</v>
      </c>
      <c r="U1038">
        <v>0</v>
      </c>
      <c r="V1038" s="21">
        <v>26490</v>
      </c>
      <c r="W1038">
        <v>9</v>
      </c>
      <c r="X1038">
        <v>0</v>
      </c>
      <c r="Y1038">
        <v>0</v>
      </c>
      <c r="Z1038">
        <v>0</v>
      </c>
      <c r="AA1038">
        <v>10</v>
      </c>
    </row>
    <row r="1039" spans="1:27" ht="14.25" x14ac:dyDescent="0.2">
      <c r="A1039" s="12">
        <v>20606</v>
      </c>
      <c r="B1039" t="s">
        <v>181</v>
      </c>
      <c r="C1039" t="s">
        <v>121</v>
      </c>
      <c r="D1039" t="s">
        <v>121</v>
      </c>
      <c r="E1039" t="s">
        <v>121</v>
      </c>
      <c r="F1039" s="4" t="s">
        <v>1654</v>
      </c>
      <c r="H1039">
        <v>2</v>
      </c>
      <c r="I1039" s="1">
        <v>0</v>
      </c>
      <c r="J1039">
        <v>0</v>
      </c>
      <c r="K1039">
        <v>0</v>
      </c>
      <c r="L1039" s="20">
        <v>17720</v>
      </c>
      <c r="M1039">
        <v>1</v>
      </c>
      <c r="N1039">
        <v>0</v>
      </c>
      <c r="O1039">
        <v>0</v>
      </c>
      <c r="P1039">
        <v>0</v>
      </c>
      <c r="Q1039" s="22">
        <v>52980</v>
      </c>
      <c r="R1039">
        <v>3</v>
      </c>
      <c r="S1039" s="1">
        <v>0</v>
      </c>
      <c r="T1039">
        <v>0</v>
      </c>
      <c r="U1039">
        <v>0</v>
      </c>
      <c r="V1039" s="21">
        <v>26490</v>
      </c>
      <c r="W1039">
        <v>30</v>
      </c>
      <c r="X1039">
        <v>0</v>
      </c>
      <c r="Y1039">
        <v>0</v>
      </c>
      <c r="Z1039">
        <v>0</v>
      </c>
      <c r="AA1039">
        <v>10</v>
      </c>
    </row>
    <row r="1040" spans="1:27" ht="14.25" x14ac:dyDescent="0.2">
      <c r="A1040" s="12">
        <v>20607</v>
      </c>
      <c r="B1040" t="s">
        <v>122</v>
      </c>
      <c r="C1040" t="s">
        <v>121</v>
      </c>
      <c r="D1040" t="s">
        <v>121</v>
      </c>
      <c r="E1040" t="s">
        <v>121</v>
      </c>
      <c r="F1040" s="4" t="s">
        <v>1654</v>
      </c>
      <c r="H1040">
        <v>2</v>
      </c>
      <c r="I1040" s="1">
        <v>0</v>
      </c>
      <c r="J1040">
        <v>0</v>
      </c>
      <c r="K1040">
        <v>0</v>
      </c>
      <c r="L1040" s="20">
        <v>17720</v>
      </c>
      <c r="M1040">
        <v>1</v>
      </c>
      <c r="N1040">
        <v>0</v>
      </c>
      <c r="O1040">
        <v>0</v>
      </c>
      <c r="P1040">
        <v>0</v>
      </c>
      <c r="Q1040" s="22">
        <v>52980</v>
      </c>
      <c r="R1040">
        <v>3</v>
      </c>
      <c r="S1040" s="1">
        <v>0</v>
      </c>
      <c r="T1040">
        <v>0</v>
      </c>
      <c r="U1040">
        <v>0</v>
      </c>
      <c r="V1040" s="21">
        <v>26490</v>
      </c>
      <c r="W1040">
        <v>4</v>
      </c>
      <c r="X1040">
        <v>0</v>
      </c>
      <c r="Y1040">
        <v>0</v>
      </c>
      <c r="Z1040">
        <v>0</v>
      </c>
      <c r="AA1040">
        <v>10</v>
      </c>
    </row>
    <row r="1041" spans="1:27" ht="14.25" x14ac:dyDescent="0.2">
      <c r="A1041" s="12">
        <v>20608</v>
      </c>
      <c r="B1041" t="s">
        <v>178</v>
      </c>
      <c r="C1041" t="s">
        <v>121</v>
      </c>
      <c r="D1041" t="s">
        <v>121</v>
      </c>
      <c r="E1041" t="s">
        <v>121</v>
      </c>
      <c r="F1041" s="4" t="s">
        <v>1656</v>
      </c>
      <c r="H1041">
        <v>2</v>
      </c>
      <c r="I1041" s="1">
        <v>0</v>
      </c>
      <c r="J1041">
        <v>0</v>
      </c>
      <c r="K1041">
        <v>0</v>
      </c>
      <c r="L1041" s="20">
        <v>17720</v>
      </c>
      <c r="M1041">
        <v>1</v>
      </c>
      <c r="N1041">
        <v>0</v>
      </c>
      <c r="O1041">
        <v>0</v>
      </c>
      <c r="P1041">
        <v>0</v>
      </c>
      <c r="Q1041" s="22">
        <v>53160</v>
      </c>
      <c r="R1041">
        <v>3</v>
      </c>
      <c r="S1041" s="1">
        <v>0</v>
      </c>
      <c r="T1041">
        <v>0</v>
      </c>
      <c r="U1041">
        <v>0</v>
      </c>
      <c r="V1041" s="21">
        <v>26580</v>
      </c>
      <c r="W1041">
        <v>21</v>
      </c>
      <c r="X1041">
        <v>0</v>
      </c>
      <c r="Y1041">
        <v>0</v>
      </c>
      <c r="Z1041">
        <v>0</v>
      </c>
      <c r="AA1041">
        <v>1</v>
      </c>
    </row>
    <row r="1042" spans="1:27" ht="14.25" x14ac:dyDescent="0.2">
      <c r="A1042" s="12">
        <v>20609</v>
      </c>
      <c r="B1042" t="s">
        <v>130</v>
      </c>
      <c r="C1042" t="s">
        <v>121</v>
      </c>
      <c r="D1042" t="s">
        <v>121</v>
      </c>
      <c r="E1042" t="s">
        <v>121</v>
      </c>
      <c r="F1042" s="4" t="s">
        <v>1658</v>
      </c>
      <c r="H1042">
        <v>2</v>
      </c>
      <c r="I1042" s="1">
        <v>0</v>
      </c>
      <c r="J1042">
        <v>0</v>
      </c>
      <c r="K1042">
        <v>0</v>
      </c>
      <c r="L1042" s="20">
        <v>17720</v>
      </c>
      <c r="M1042">
        <v>1</v>
      </c>
      <c r="N1042">
        <v>0</v>
      </c>
      <c r="O1042">
        <v>0</v>
      </c>
      <c r="P1042">
        <v>0</v>
      </c>
      <c r="Q1042" s="22">
        <v>53160</v>
      </c>
      <c r="R1042">
        <v>3</v>
      </c>
      <c r="S1042" s="1">
        <v>0</v>
      </c>
      <c r="T1042">
        <v>0</v>
      </c>
      <c r="U1042">
        <v>0</v>
      </c>
      <c r="V1042" s="21">
        <v>26580</v>
      </c>
      <c r="W1042">
        <v>9</v>
      </c>
      <c r="X1042">
        <v>0</v>
      </c>
      <c r="Y1042">
        <v>0</v>
      </c>
      <c r="Z1042">
        <v>0</v>
      </c>
      <c r="AA1042">
        <v>10</v>
      </c>
    </row>
    <row r="1043" spans="1:27" ht="14.25" x14ac:dyDescent="0.2">
      <c r="A1043" s="12">
        <v>20610</v>
      </c>
      <c r="B1043" t="s">
        <v>123</v>
      </c>
      <c r="C1043" t="s">
        <v>121</v>
      </c>
      <c r="D1043" t="s">
        <v>121</v>
      </c>
      <c r="E1043" t="s">
        <v>121</v>
      </c>
      <c r="F1043" s="4" t="s">
        <v>1658</v>
      </c>
      <c r="H1043">
        <v>2</v>
      </c>
      <c r="I1043" s="1">
        <v>0</v>
      </c>
      <c r="J1043">
        <v>0</v>
      </c>
      <c r="K1043">
        <v>0</v>
      </c>
      <c r="L1043" s="20">
        <v>17720</v>
      </c>
      <c r="M1043">
        <v>1</v>
      </c>
      <c r="N1043">
        <v>0</v>
      </c>
      <c r="O1043">
        <v>0</v>
      </c>
      <c r="P1043">
        <v>0</v>
      </c>
      <c r="Q1043" s="22">
        <v>53160</v>
      </c>
      <c r="R1043">
        <v>3</v>
      </c>
      <c r="S1043" s="1">
        <v>0</v>
      </c>
      <c r="T1043">
        <v>0</v>
      </c>
      <c r="U1043">
        <v>0</v>
      </c>
      <c r="V1043" s="21">
        <v>26580</v>
      </c>
      <c r="W1043">
        <v>12</v>
      </c>
      <c r="X1043">
        <v>0</v>
      </c>
      <c r="Y1043">
        <v>0</v>
      </c>
      <c r="Z1043">
        <v>0</v>
      </c>
      <c r="AA1043">
        <v>10</v>
      </c>
    </row>
    <row r="1044" spans="1:27" ht="14.25" x14ac:dyDescent="0.2">
      <c r="A1044" s="12">
        <v>20611</v>
      </c>
      <c r="B1044" t="s">
        <v>126</v>
      </c>
      <c r="C1044" t="s">
        <v>121</v>
      </c>
      <c r="D1044" t="s">
        <v>121</v>
      </c>
      <c r="E1044" t="s">
        <v>121</v>
      </c>
      <c r="F1044" s="4" t="s">
        <v>1660</v>
      </c>
      <c r="H1044">
        <v>2</v>
      </c>
      <c r="I1044" s="1">
        <v>0</v>
      </c>
      <c r="J1044">
        <v>0</v>
      </c>
      <c r="K1044">
        <v>0</v>
      </c>
      <c r="L1044" s="20">
        <v>17780</v>
      </c>
      <c r="M1044">
        <v>1</v>
      </c>
      <c r="N1044">
        <v>0</v>
      </c>
      <c r="O1044">
        <v>0</v>
      </c>
      <c r="P1044">
        <v>0</v>
      </c>
      <c r="Q1044" s="22">
        <v>53160</v>
      </c>
      <c r="R1044">
        <v>3</v>
      </c>
      <c r="S1044" s="1">
        <v>0</v>
      </c>
      <c r="T1044">
        <v>0</v>
      </c>
      <c r="U1044">
        <v>0</v>
      </c>
      <c r="V1044" s="21">
        <v>26580</v>
      </c>
      <c r="W1044">
        <v>23</v>
      </c>
      <c r="X1044">
        <v>0</v>
      </c>
      <c r="Y1044">
        <v>0</v>
      </c>
      <c r="Z1044">
        <v>0</v>
      </c>
      <c r="AA1044">
        <v>1</v>
      </c>
    </row>
    <row r="1045" spans="1:27" ht="14.25" x14ac:dyDescent="0.2">
      <c r="A1045" s="12">
        <v>20612</v>
      </c>
      <c r="B1045" t="s">
        <v>131</v>
      </c>
      <c r="C1045" t="s">
        <v>125</v>
      </c>
      <c r="D1045" t="s">
        <v>121</v>
      </c>
      <c r="E1045" t="s">
        <v>136</v>
      </c>
      <c r="F1045" s="4" t="s">
        <v>1662</v>
      </c>
      <c r="H1045">
        <v>2</v>
      </c>
      <c r="I1045" s="1">
        <v>0</v>
      </c>
      <c r="J1045">
        <v>0</v>
      </c>
      <c r="K1045">
        <v>0</v>
      </c>
      <c r="L1045" s="20">
        <v>17780</v>
      </c>
      <c r="M1045">
        <v>1</v>
      </c>
      <c r="N1045">
        <v>0</v>
      </c>
      <c r="O1045">
        <v>0</v>
      </c>
      <c r="P1045">
        <v>0</v>
      </c>
      <c r="Q1045" s="22">
        <v>53160</v>
      </c>
      <c r="R1045">
        <v>3</v>
      </c>
      <c r="S1045" s="1">
        <v>0</v>
      </c>
      <c r="T1045">
        <v>0</v>
      </c>
      <c r="U1045">
        <v>0</v>
      </c>
      <c r="V1045" s="21">
        <v>26580</v>
      </c>
      <c r="W1045">
        <v>6</v>
      </c>
      <c r="X1045">
        <v>1</v>
      </c>
      <c r="Y1045">
        <v>0</v>
      </c>
      <c r="Z1045">
        <v>3</v>
      </c>
      <c r="AA1045">
        <v>10</v>
      </c>
    </row>
    <row r="1046" spans="1:27" ht="14.25" x14ac:dyDescent="0.2">
      <c r="A1046" s="12">
        <v>20613</v>
      </c>
      <c r="B1046" t="s">
        <v>180</v>
      </c>
      <c r="C1046" t="s">
        <v>121</v>
      </c>
      <c r="D1046" t="s">
        <v>121</v>
      </c>
      <c r="E1046" t="s">
        <v>121</v>
      </c>
      <c r="F1046" s="4" t="s">
        <v>1664</v>
      </c>
      <c r="H1046">
        <v>2</v>
      </c>
      <c r="I1046" s="1">
        <v>0</v>
      </c>
      <c r="J1046">
        <v>0</v>
      </c>
      <c r="K1046">
        <v>0</v>
      </c>
      <c r="L1046" s="20">
        <v>17780</v>
      </c>
      <c r="M1046">
        <v>1</v>
      </c>
      <c r="N1046">
        <v>0</v>
      </c>
      <c r="O1046">
        <v>0</v>
      </c>
      <c r="P1046">
        <v>0</v>
      </c>
      <c r="Q1046" s="22">
        <v>53340</v>
      </c>
      <c r="R1046">
        <v>3</v>
      </c>
      <c r="S1046" s="1">
        <v>0</v>
      </c>
      <c r="T1046">
        <v>0</v>
      </c>
      <c r="U1046">
        <v>0</v>
      </c>
      <c r="V1046" s="21">
        <v>26670</v>
      </c>
      <c r="W1046">
        <v>15</v>
      </c>
      <c r="X1046">
        <v>0</v>
      </c>
      <c r="Y1046">
        <v>0</v>
      </c>
      <c r="Z1046">
        <v>0</v>
      </c>
      <c r="AA1046">
        <v>1</v>
      </c>
    </row>
    <row r="1047" spans="1:27" ht="14.25" x14ac:dyDescent="0.2">
      <c r="A1047" s="12">
        <v>20614</v>
      </c>
      <c r="B1047" t="s">
        <v>178</v>
      </c>
      <c r="C1047" t="s">
        <v>121</v>
      </c>
      <c r="D1047" t="s">
        <v>121</v>
      </c>
      <c r="E1047" t="s">
        <v>121</v>
      </c>
      <c r="F1047" s="4" t="s">
        <v>1664</v>
      </c>
      <c r="H1047">
        <v>2</v>
      </c>
      <c r="I1047" s="1">
        <v>0</v>
      </c>
      <c r="J1047">
        <v>0</v>
      </c>
      <c r="K1047">
        <v>0</v>
      </c>
      <c r="L1047" s="20">
        <v>17780</v>
      </c>
      <c r="M1047">
        <v>1</v>
      </c>
      <c r="N1047">
        <v>0</v>
      </c>
      <c r="O1047">
        <v>0</v>
      </c>
      <c r="P1047">
        <v>0</v>
      </c>
      <c r="Q1047" s="22">
        <v>53340</v>
      </c>
      <c r="R1047">
        <v>3</v>
      </c>
      <c r="S1047" s="1">
        <v>0</v>
      </c>
      <c r="T1047">
        <v>0</v>
      </c>
      <c r="U1047">
        <v>0</v>
      </c>
      <c r="V1047" s="21">
        <v>26670</v>
      </c>
      <c r="W1047">
        <v>21</v>
      </c>
      <c r="X1047">
        <v>0</v>
      </c>
      <c r="Y1047">
        <v>0</v>
      </c>
      <c r="Z1047">
        <v>0</v>
      </c>
      <c r="AA1047">
        <v>1</v>
      </c>
    </row>
    <row r="1048" spans="1:27" ht="14.25" x14ac:dyDescent="0.2">
      <c r="A1048" s="12">
        <v>20615</v>
      </c>
      <c r="B1048" t="s">
        <v>130</v>
      </c>
      <c r="C1048" t="s">
        <v>121</v>
      </c>
      <c r="D1048" t="s">
        <v>121</v>
      </c>
      <c r="E1048" t="s">
        <v>121</v>
      </c>
      <c r="F1048" s="4" t="s">
        <v>1666</v>
      </c>
      <c r="H1048">
        <v>2</v>
      </c>
      <c r="I1048" s="1">
        <v>0</v>
      </c>
      <c r="J1048">
        <v>0</v>
      </c>
      <c r="K1048">
        <v>0</v>
      </c>
      <c r="L1048" s="20">
        <v>17780</v>
      </c>
      <c r="M1048">
        <v>1</v>
      </c>
      <c r="N1048">
        <v>0</v>
      </c>
      <c r="O1048">
        <v>0</v>
      </c>
      <c r="P1048">
        <v>0</v>
      </c>
      <c r="Q1048" s="22">
        <v>53340</v>
      </c>
      <c r="R1048">
        <v>3</v>
      </c>
      <c r="S1048" s="1">
        <v>0</v>
      </c>
      <c r="T1048">
        <v>0</v>
      </c>
      <c r="U1048">
        <v>0</v>
      </c>
      <c r="V1048" s="21">
        <v>26670</v>
      </c>
      <c r="W1048">
        <v>9</v>
      </c>
      <c r="X1048">
        <v>0</v>
      </c>
      <c r="Y1048">
        <v>0</v>
      </c>
      <c r="Z1048">
        <v>0</v>
      </c>
      <c r="AA1048">
        <v>10</v>
      </c>
    </row>
    <row r="1049" spans="1:27" ht="14.25" x14ac:dyDescent="0.2">
      <c r="A1049" s="12">
        <v>20616</v>
      </c>
      <c r="B1049" t="s">
        <v>181</v>
      </c>
      <c r="C1049" t="s">
        <v>121</v>
      </c>
      <c r="D1049" t="s">
        <v>121</v>
      </c>
      <c r="E1049" t="s">
        <v>121</v>
      </c>
      <c r="F1049" s="4" t="s">
        <v>1668</v>
      </c>
      <c r="H1049">
        <v>2</v>
      </c>
      <c r="I1049" s="1">
        <v>0</v>
      </c>
      <c r="J1049">
        <v>0</v>
      </c>
      <c r="K1049">
        <v>0</v>
      </c>
      <c r="L1049" s="20">
        <v>17840</v>
      </c>
      <c r="M1049">
        <v>1</v>
      </c>
      <c r="N1049">
        <v>0</v>
      </c>
      <c r="O1049">
        <v>0</v>
      </c>
      <c r="P1049">
        <v>0</v>
      </c>
      <c r="Q1049" s="22">
        <v>53340</v>
      </c>
      <c r="R1049">
        <v>3</v>
      </c>
      <c r="S1049" s="1">
        <v>0</v>
      </c>
      <c r="T1049">
        <v>0</v>
      </c>
      <c r="U1049">
        <v>0</v>
      </c>
      <c r="V1049" s="21">
        <v>26670</v>
      </c>
      <c r="W1049">
        <v>30</v>
      </c>
      <c r="X1049">
        <v>0</v>
      </c>
      <c r="Y1049">
        <v>0</v>
      </c>
      <c r="Z1049">
        <v>0</v>
      </c>
      <c r="AA1049">
        <v>10</v>
      </c>
    </row>
    <row r="1050" spans="1:27" ht="14.25" x14ac:dyDescent="0.2">
      <c r="A1050" s="12">
        <v>20617</v>
      </c>
      <c r="B1050" t="s">
        <v>122</v>
      </c>
      <c r="C1050" t="s">
        <v>121</v>
      </c>
      <c r="D1050" t="s">
        <v>121</v>
      </c>
      <c r="E1050" t="s">
        <v>121</v>
      </c>
      <c r="F1050" s="4" t="s">
        <v>1668</v>
      </c>
      <c r="H1050">
        <v>2</v>
      </c>
      <c r="I1050" s="1">
        <v>0</v>
      </c>
      <c r="J1050">
        <v>0</v>
      </c>
      <c r="K1050">
        <v>0</v>
      </c>
      <c r="L1050" s="20">
        <v>17840</v>
      </c>
      <c r="M1050">
        <v>1</v>
      </c>
      <c r="N1050">
        <v>0</v>
      </c>
      <c r="O1050">
        <v>0</v>
      </c>
      <c r="P1050">
        <v>0</v>
      </c>
      <c r="Q1050" s="22">
        <v>53340</v>
      </c>
      <c r="R1050">
        <v>3</v>
      </c>
      <c r="S1050" s="1">
        <v>0</v>
      </c>
      <c r="T1050">
        <v>0</v>
      </c>
      <c r="U1050">
        <v>0</v>
      </c>
      <c r="V1050" s="21">
        <v>26670</v>
      </c>
      <c r="W1050">
        <v>4</v>
      </c>
      <c r="X1050">
        <v>0</v>
      </c>
      <c r="Y1050">
        <v>0</v>
      </c>
      <c r="Z1050">
        <v>0</v>
      </c>
      <c r="AA1050">
        <v>10</v>
      </c>
    </row>
    <row r="1051" spans="1:27" ht="14.25" x14ac:dyDescent="0.2">
      <c r="A1051" s="12">
        <v>20618</v>
      </c>
      <c r="B1051" t="s">
        <v>178</v>
      </c>
      <c r="C1051" t="s">
        <v>121</v>
      </c>
      <c r="D1051" t="s">
        <v>121</v>
      </c>
      <c r="E1051" t="s">
        <v>121</v>
      </c>
      <c r="F1051" s="4" t="s">
        <v>1670</v>
      </c>
      <c r="H1051">
        <v>2</v>
      </c>
      <c r="I1051" s="1">
        <v>0</v>
      </c>
      <c r="J1051">
        <v>0</v>
      </c>
      <c r="K1051">
        <v>0</v>
      </c>
      <c r="L1051" s="20">
        <v>17840</v>
      </c>
      <c r="M1051">
        <v>1</v>
      </c>
      <c r="N1051">
        <v>0</v>
      </c>
      <c r="O1051">
        <v>0</v>
      </c>
      <c r="P1051">
        <v>0</v>
      </c>
      <c r="Q1051" s="22">
        <v>53520</v>
      </c>
      <c r="R1051">
        <v>3</v>
      </c>
      <c r="S1051" s="1">
        <v>0</v>
      </c>
      <c r="T1051">
        <v>0</v>
      </c>
      <c r="U1051">
        <v>0</v>
      </c>
      <c r="V1051" s="21">
        <v>26760</v>
      </c>
      <c r="W1051">
        <v>21</v>
      </c>
      <c r="X1051">
        <v>0</v>
      </c>
      <c r="Y1051">
        <v>0</v>
      </c>
      <c r="Z1051">
        <v>0</v>
      </c>
      <c r="AA1051">
        <v>1</v>
      </c>
    </row>
    <row r="1052" spans="1:27" ht="14.25" x14ac:dyDescent="0.2">
      <c r="A1052" s="12">
        <v>20619</v>
      </c>
      <c r="B1052" t="s">
        <v>130</v>
      </c>
      <c r="C1052" t="s">
        <v>121</v>
      </c>
      <c r="D1052" t="s">
        <v>121</v>
      </c>
      <c r="E1052" t="s">
        <v>121</v>
      </c>
      <c r="F1052" s="4" t="s">
        <v>1672</v>
      </c>
      <c r="H1052">
        <v>2</v>
      </c>
      <c r="I1052" s="1">
        <v>0</v>
      </c>
      <c r="J1052">
        <v>0</v>
      </c>
      <c r="K1052">
        <v>0</v>
      </c>
      <c r="L1052" s="20">
        <v>17840</v>
      </c>
      <c r="M1052">
        <v>1</v>
      </c>
      <c r="N1052">
        <v>0</v>
      </c>
      <c r="O1052">
        <v>0</v>
      </c>
      <c r="P1052">
        <v>0</v>
      </c>
      <c r="Q1052" s="22">
        <v>53520</v>
      </c>
      <c r="R1052">
        <v>3</v>
      </c>
      <c r="S1052" s="1">
        <v>0</v>
      </c>
      <c r="T1052">
        <v>0</v>
      </c>
      <c r="U1052">
        <v>0</v>
      </c>
      <c r="V1052" s="21">
        <v>26760</v>
      </c>
      <c r="W1052">
        <v>9</v>
      </c>
      <c r="X1052">
        <v>0</v>
      </c>
      <c r="Y1052">
        <v>0</v>
      </c>
      <c r="Z1052">
        <v>0</v>
      </c>
      <c r="AA1052">
        <v>10</v>
      </c>
    </row>
    <row r="1053" spans="1:27" ht="14.25" x14ac:dyDescent="0.2">
      <c r="A1053" s="12">
        <v>20620</v>
      </c>
      <c r="B1053" t="s">
        <v>123</v>
      </c>
      <c r="C1053" t="s">
        <v>121</v>
      </c>
      <c r="D1053" t="s">
        <v>121</v>
      </c>
      <c r="E1053" t="s">
        <v>121</v>
      </c>
      <c r="F1053" s="4" t="s">
        <v>1672</v>
      </c>
      <c r="H1053">
        <v>2</v>
      </c>
      <c r="I1053" s="1">
        <v>0</v>
      </c>
      <c r="J1053">
        <v>0</v>
      </c>
      <c r="K1053">
        <v>0</v>
      </c>
      <c r="L1053" s="20">
        <v>17840</v>
      </c>
      <c r="M1053">
        <v>1</v>
      </c>
      <c r="N1053">
        <v>0</v>
      </c>
      <c r="O1053">
        <v>0</v>
      </c>
      <c r="P1053">
        <v>0</v>
      </c>
      <c r="Q1053" s="22">
        <v>53520</v>
      </c>
      <c r="R1053">
        <v>3</v>
      </c>
      <c r="S1053" s="1">
        <v>0</v>
      </c>
      <c r="T1053">
        <v>0</v>
      </c>
      <c r="U1053">
        <v>0</v>
      </c>
      <c r="V1053" s="21">
        <v>26760</v>
      </c>
      <c r="W1053">
        <v>12</v>
      </c>
      <c r="X1053">
        <v>0</v>
      </c>
      <c r="Y1053">
        <v>0</v>
      </c>
      <c r="Z1053">
        <v>0</v>
      </c>
      <c r="AA1053">
        <v>10</v>
      </c>
    </row>
    <row r="1054" spans="1:27" ht="14.25" x14ac:dyDescent="0.2">
      <c r="A1054" s="12">
        <v>20621</v>
      </c>
      <c r="B1054" t="s">
        <v>126</v>
      </c>
      <c r="C1054" t="s">
        <v>121</v>
      </c>
      <c r="D1054" t="s">
        <v>121</v>
      </c>
      <c r="E1054" t="s">
        <v>121</v>
      </c>
      <c r="F1054" s="4" t="s">
        <v>1674</v>
      </c>
      <c r="H1054">
        <v>2</v>
      </c>
      <c r="I1054" s="1">
        <v>0</v>
      </c>
      <c r="J1054">
        <v>0</v>
      </c>
      <c r="K1054">
        <v>0</v>
      </c>
      <c r="L1054" s="20">
        <v>17900</v>
      </c>
      <c r="M1054">
        <v>1</v>
      </c>
      <c r="N1054">
        <v>0</v>
      </c>
      <c r="O1054">
        <v>0</v>
      </c>
      <c r="P1054">
        <v>0</v>
      </c>
      <c r="Q1054" s="22">
        <v>53520</v>
      </c>
      <c r="R1054">
        <v>3</v>
      </c>
      <c r="S1054" s="1">
        <v>0</v>
      </c>
      <c r="T1054">
        <v>0</v>
      </c>
      <c r="U1054">
        <v>0</v>
      </c>
      <c r="V1054" s="21">
        <v>26760</v>
      </c>
      <c r="W1054">
        <v>23</v>
      </c>
      <c r="X1054">
        <v>0</v>
      </c>
      <c r="Y1054">
        <v>0</v>
      </c>
      <c r="Z1054">
        <v>0</v>
      </c>
      <c r="AA1054">
        <v>1</v>
      </c>
    </row>
    <row r="1055" spans="1:27" ht="14.25" x14ac:dyDescent="0.2">
      <c r="A1055" s="12">
        <v>20622</v>
      </c>
      <c r="B1055" t="s">
        <v>131</v>
      </c>
      <c r="C1055" t="s">
        <v>125</v>
      </c>
      <c r="D1055" t="s">
        <v>121</v>
      </c>
      <c r="E1055" t="s">
        <v>136</v>
      </c>
      <c r="F1055" s="4" t="s">
        <v>1676</v>
      </c>
      <c r="H1055">
        <v>2</v>
      </c>
      <c r="I1055" s="1">
        <v>0</v>
      </c>
      <c r="J1055">
        <v>0</v>
      </c>
      <c r="K1055">
        <v>0</v>
      </c>
      <c r="L1055" s="20">
        <v>17900</v>
      </c>
      <c r="M1055">
        <v>1</v>
      </c>
      <c r="N1055">
        <v>0</v>
      </c>
      <c r="O1055">
        <v>0</v>
      </c>
      <c r="P1055">
        <v>0</v>
      </c>
      <c r="Q1055" s="22">
        <v>53520</v>
      </c>
      <c r="R1055">
        <v>3</v>
      </c>
      <c r="S1055" s="1">
        <v>0</v>
      </c>
      <c r="T1055">
        <v>0</v>
      </c>
      <c r="U1055">
        <v>0</v>
      </c>
      <c r="V1055" s="21">
        <v>26760</v>
      </c>
      <c r="W1055">
        <v>6</v>
      </c>
      <c r="X1055">
        <v>1</v>
      </c>
      <c r="Y1055">
        <v>0</v>
      </c>
      <c r="Z1055">
        <v>3</v>
      </c>
      <c r="AA1055">
        <v>10</v>
      </c>
    </row>
    <row r="1056" spans="1:27" ht="14.25" x14ac:dyDescent="0.2">
      <c r="A1056" s="12">
        <v>20623</v>
      </c>
      <c r="B1056" t="s">
        <v>180</v>
      </c>
      <c r="C1056" t="s">
        <v>121</v>
      </c>
      <c r="D1056" t="s">
        <v>121</v>
      </c>
      <c r="E1056" t="s">
        <v>121</v>
      </c>
      <c r="F1056" s="4" t="s">
        <v>1678</v>
      </c>
      <c r="H1056">
        <v>2</v>
      </c>
      <c r="I1056" s="1">
        <v>0</v>
      </c>
      <c r="J1056">
        <v>0</v>
      </c>
      <c r="K1056">
        <v>0</v>
      </c>
      <c r="L1056" s="20">
        <v>17900</v>
      </c>
      <c r="M1056">
        <v>1</v>
      </c>
      <c r="N1056">
        <v>0</v>
      </c>
      <c r="O1056">
        <v>0</v>
      </c>
      <c r="P1056">
        <v>0</v>
      </c>
      <c r="Q1056" s="22">
        <v>53700</v>
      </c>
      <c r="R1056">
        <v>3</v>
      </c>
      <c r="S1056" s="1">
        <v>0</v>
      </c>
      <c r="T1056">
        <v>0</v>
      </c>
      <c r="U1056">
        <v>0</v>
      </c>
      <c r="V1056" s="21">
        <v>26850</v>
      </c>
      <c r="W1056">
        <v>15</v>
      </c>
      <c r="X1056">
        <v>0</v>
      </c>
      <c r="Y1056">
        <v>0</v>
      </c>
      <c r="Z1056">
        <v>0</v>
      </c>
      <c r="AA1056">
        <v>1</v>
      </c>
    </row>
    <row r="1057" spans="1:27" ht="14.25" x14ac:dyDescent="0.2">
      <c r="A1057" s="12">
        <v>20624</v>
      </c>
      <c r="B1057" t="s">
        <v>178</v>
      </c>
      <c r="C1057" t="s">
        <v>121</v>
      </c>
      <c r="D1057" t="s">
        <v>121</v>
      </c>
      <c r="E1057" t="s">
        <v>121</v>
      </c>
      <c r="F1057" s="4" t="s">
        <v>1678</v>
      </c>
      <c r="H1057">
        <v>2</v>
      </c>
      <c r="I1057" s="1">
        <v>0</v>
      </c>
      <c r="J1057">
        <v>0</v>
      </c>
      <c r="K1057">
        <v>0</v>
      </c>
      <c r="L1057" s="20">
        <v>17900</v>
      </c>
      <c r="M1057">
        <v>1</v>
      </c>
      <c r="N1057">
        <v>0</v>
      </c>
      <c r="O1057">
        <v>0</v>
      </c>
      <c r="P1057">
        <v>0</v>
      </c>
      <c r="Q1057" s="22">
        <v>53700</v>
      </c>
      <c r="R1057">
        <v>3</v>
      </c>
      <c r="S1057" s="1">
        <v>0</v>
      </c>
      <c r="T1057">
        <v>0</v>
      </c>
      <c r="U1057">
        <v>0</v>
      </c>
      <c r="V1057" s="21">
        <v>26850</v>
      </c>
      <c r="W1057">
        <v>21</v>
      </c>
      <c r="X1057">
        <v>0</v>
      </c>
      <c r="Y1057">
        <v>0</v>
      </c>
      <c r="Z1057">
        <v>0</v>
      </c>
      <c r="AA1057">
        <v>1</v>
      </c>
    </row>
    <row r="1058" spans="1:27" ht="14.25" x14ac:dyDescent="0.2">
      <c r="A1058" s="12">
        <v>20625</v>
      </c>
      <c r="B1058" t="s">
        <v>130</v>
      </c>
      <c r="C1058" t="s">
        <v>121</v>
      </c>
      <c r="D1058" t="s">
        <v>121</v>
      </c>
      <c r="E1058" t="s">
        <v>121</v>
      </c>
      <c r="F1058" s="4" t="s">
        <v>1680</v>
      </c>
      <c r="H1058">
        <v>2</v>
      </c>
      <c r="I1058" s="1">
        <v>0</v>
      </c>
      <c r="J1058">
        <v>0</v>
      </c>
      <c r="K1058">
        <v>0</v>
      </c>
      <c r="L1058" s="20">
        <v>17900</v>
      </c>
      <c r="M1058">
        <v>1</v>
      </c>
      <c r="N1058">
        <v>0</v>
      </c>
      <c r="O1058">
        <v>0</v>
      </c>
      <c r="P1058">
        <v>0</v>
      </c>
      <c r="Q1058" s="22">
        <v>53700</v>
      </c>
      <c r="R1058">
        <v>3</v>
      </c>
      <c r="S1058" s="1">
        <v>0</v>
      </c>
      <c r="T1058">
        <v>0</v>
      </c>
      <c r="U1058">
        <v>0</v>
      </c>
      <c r="V1058" s="21">
        <v>26850</v>
      </c>
      <c r="W1058">
        <v>9</v>
      </c>
      <c r="X1058">
        <v>0</v>
      </c>
      <c r="Y1058">
        <v>0</v>
      </c>
      <c r="Z1058">
        <v>0</v>
      </c>
      <c r="AA1058">
        <v>10</v>
      </c>
    </row>
    <row r="1059" spans="1:27" ht="14.25" x14ac:dyDescent="0.2">
      <c r="A1059" s="12">
        <v>20626</v>
      </c>
      <c r="B1059" t="s">
        <v>181</v>
      </c>
      <c r="C1059" t="s">
        <v>121</v>
      </c>
      <c r="D1059" t="s">
        <v>121</v>
      </c>
      <c r="E1059" t="s">
        <v>121</v>
      </c>
      <c r="F1059" s="4" t="s">
        <v>1682</v>
      </c>
      <c r="H1059">
        <v>2</v>
      </c>
      <c r="I1059" s="1">
        <v>0</v>
      </c>
      <c r="J1059">
        <v>0</v>
      </c>
      <c r="K1059">
        <v>0</v>
      </c>
      <c r="L1059" s="20">
        <v>17960</v>
      </c>
      <c r="M1059">
        <v>1</v>
      </c>
      <c r="N1059">
        <v>0</v>
      </c>
      <c r="O1059">
        <v>0</v>
      </c>
      <c r="P1059">
        <v>0</v>
      </c>
      <c r="Q1059" s="22">
        <v>53700</v>
      </c>
      <c r="R1059">
        <v>3</v>
      </c>
      <c r="S1059" s="1">
        <v>0</v>
      </c>
      <c r="T1059">
        <v>0</v>
      </c>
      <c r="U1059">
        <v>0</v>
      </c>
      <c r="V1059" s="21">
        <v>26850</v>
      </c>
      <c r="W1059">
        <v>30</v>
      </c>
      <c r="X1059">
        <v>0</v>
      </c>
      <c r="Y1059">
        <v>0</v>
      </c>
      <c r="Z1059">
        <v>0</v>
      </c>
      <c r="AA1059">
        <v>10</v>
      </c>
    </row>
    <row r="1060" spans="1:27" ht="14.25" x14ac:dyDescent="0.2">
      <c r="A1060" s="12">
        <v>20627</v>
      </c>
      <c r="B1060" t="s">
        <v>122</v>
      </c>
      <c r="C1060" t="s">
        <v>121</v>
      </c>
      <c r="D1060" t="s">
        <v>121</v>
      </c>
      <c r="E1060" t="s">
        <v>121</v>
      </c>
      <c r="F1060" s="4" t="s">
        <v>1682</v>
      </c>
      <c r="H1060">
        <v>2</v>
      </c>
      <c r="I1060" s="1">
        <v>0</v>
      </c>
      <c r="J1060">
        <v>0</v>
      </c>
      <c r="K1060">
        <v>0</v>
      </c>
      <c r="L1060" s="20">
        <v>17960</v>
      </c>
      <c r="M1060">
        <v>1</v>
      </c>
      <c r="N1060">
        <v>0</v>
      </c>
      <c r="O1060">
        <v>0</v>
      </c>
      <c r="P1060">
        <v>0</v>
      </c>
      <c r="Q1060" s="22">
        <v>53700</v>
      </c>
      <c r="R1060">
        <v>3</v>
      </c>
      <c r="S1060" s="1">
        <v>0</v>
      </c>
      <c r="T1060">
        <v>0</v>
      </c>
      <c r="U1060">
        <v>0</v>
      </c>
      <c r="V1060" s="21">
        <v>26850</v>
      </c>
      <c r="W1060">
        <v>4</v>
      </c>
      <c r="X1060">
        <v>0</v>
      </c>
      <c r="Y1060">
        <v>0</v>
      </c>
      <c r="Z1060">
        <v>0</v>
      </c>
      <c r="AA1060">
        <v>10</v>
      </c>
    </row>
    <row r="1061" spans="1:27" ht="14.25" x14ac:dyDescent="0.2">
      <c r="A1061" s="12">
        <v>20628</v>
      </c>
      <c r="B1061" t="s">
        <v>178</v>
      </c>
      <c r="C1061" t="s">
        <v>121</v>
      </c>
      <c r="D1061" t="s">
        <v>121</v>
      </c>
      <c r="E1061" t="s">
        <v>121</v>
      </c>
      <c r="F1061" s="4" t="s">
        <v>1684</v>
      </c>
      <c r="H1061">
        <v>2</v>
      </c>
      <c r="I1061" s="1">
        <v>0</v>
      </c>
      <c r="J1061">
        <v>0</v>
      </c>
      <c r="K1061">
        <v>0</v>
      </c>
      <c r="L1061" s="20">
        <v>17960</v>
      </c>
      <c r="M1061">
        <v>1</v>
      </c>
      <c r="N1061">
        <v>0</v>
      </c>
      <c r="O1061">
        <v>0</v>
      </c>
      <c r="P1061">
        <v>0</v>
      </c>
      <c r="Q1061" s="22">
        <v>53880</v>
      </c>
      <c r="R1061">
        <v>3</v>
      </c>
      <c r="S1061" s="1">
        <v>0</v>
      </c>
      <c r="T1061">
        <v>0</v>
      </c>
      <c r="U1061">
        <v>0</v>
      </c>
      <c r="V1061" s="21">
        <v>26940</v>
      </c>
      <c r="W1061">
        <v>21</v>
      </c>
      <c r="X1061">
        <v>0</v>
      </c>
      <c r="Y1061">
        <v>0</v>
      </c>
      <c r="Z1061">
        <v>0</v>
      </c>
      <c r="AA1061">
        <v>1</v>
      </c>
    </row>
    <row r="1062" spans="1:27" ht="14.25" x14ac:dyDescent="0.2">
      <c r="A1062" s="12">
        <v>20629</v>
      </c>
      <c r="B1062" t="s">
        <v>130</v>
      </c>
      <c r="C1062" t="s">
        <v>121</v>
      </c>
      <c r="D1062" t="s">
        <v>121</v>
      </c>
      <c r="E1062" t="s">
        <v>121</v>
      </c>
      <c r="F1062" s="4" t="s">
        <v>1686</v>
      </c>
      <c r="H1062">
        <v>2</v>
      </c>
      <c r="I1062" s="1">
        <v>0</v>
      </c>
      <c r="J1062">
        <v>0</v>
      </c>
      <c r="K1062">
        <v>0</v>
      </c>
      <c r="L1062" s="20">
        <v>17960</v>
      </c>
      <c r="M1062">
        <v>1</v>
      </c>
      <c r="N1062">
        <v>0</v>
      </c>
      <c r="O1062">
        <v>0</v>
      </c>
      <c r="P1062">
        <v>0</v>
      </c>
      <c r="Q1062" s="22">
        <v>53880</v>
      </c>
      <c r="R1062">
        <v>3</v>
      </c>
      <c r="S1062" s="1">
        <v>0</v>
      </c>
      <c r="T1062">
        <v>0</v>
      </c>
      <c r="U1062">
        <v>0</v>
      </c>
      <c r="V1062" s="21">
        <v>26940</v>
      </c>
      <c r="W1062">
        <v>9</v>
      </c>
      <c r="X1062">
        <v>0</v>
      </c>
      <c r="Y1062">
        <v>0</v>
      </c>
      <c r="Z1062">
        <v>0</v>
      </c>
      <c r="AA1062">
        <v>10</v>
      </c>
    </row>
    <row r="1063" spans="1:27" ht="14.25" x14ac:dyDescent="0.2">
      <c r="A1063" s="12">
        <v>20630</v>
      </c>
      <c r="B1063" t="s">
        <v>123</v>
      </c>
      <c r="C1063" t="s">
        <v>121</v>
      </c>
      <c r="D1063" t="s">
        <v>121</v>
      </c>
      <c r="E1063" t="s">
        <v>121</v>
      </c>
      <c r="F1063" s="4" t="s">
        <v>1686</v>
      </c>
      <c r="H1063">
        <v>2</v>
      </c>
      <c r="I1063" s="1">
        <v>0</v>
      </c>
      <c r="J1063">
        <v>0</v>
      </c>
      <c r="K1063">
        <v>0</v>
      </c>
      <c r="L1063" s="20">
        <v>17960</v>
      </c>
      <c r="M1063">
        <v>1</v>
      </c>
      <c r="N1063">
        <v>0</v>
      </c>
      <c r="O1063">
        <v>0</v>
      </c>
      <c r="P1063">
        <v>0</v>
      </c>
      <c r="Q1063" s="22">
        <v>53880</v>
      </c>
      <c r="R1063">
        <v>3</v>
      </c>
      <c r="S1063" s="1">
        <v>0</v>
      </c>
      <c r="T1063">
        <v>0</v>
      </c>
      <c r="U1063">
        <v>0</v>
      </c>
      <c r="V1063" s="21">
        <v>26940</v>
      </c>
      <c r="W1063">
        <v>12</v>
      </c>
      <c r="X1063">
        <v>0</v>
      </c>
      <c r="Y1063">
        <v>0</v>
      </c>
      <c r="Z1063">
        <v>0</v>
      </c>
      <c r="AA1063">
        <v>10</v>
      </c>
    </row>
    <row r="1064" spans="1:27" ht="14.25" x14ac:dyDescent="0.2">
      <c r="A1064" s="12">
        <v>20631</v>
      </c>
      <c r="B1064" t="s">
        <v>126</v>
      </c>
      <c r="C1064" t="s">
        <v>121</v>
      </c>
      <c r="D1064" t="s">
        <v>121</v>
      </c>
      <c r="E1064" t="s">
        <v>121</v>
      </c>
      <c r="F1064" s="4" t="s">
        <v>1688</v>
      </c>
      <c r="H1064">
        <v>2</v>
      </c>
      <c r="I1064" s="1">
        <v>0</v>
      </c>
      <c r="J1064">
        <v>0</v>
      </c>
      <c r="K1064">
        <v>0</v>
      </c>
      <c r="L1064" s="20">
        <v>18020</v>
      </c>
      <c r="M1064">
        <v>1</v>
      </c>
      <c r="N1064">
        <v>0</v>
      </c>
      <c r="O1064">
        <v>0</v>
      </c>
      <c r="P1064">
        <v>0</v>
      </c>
      <c r="Q1064" s="22">
        <v>53880</v>
      </c>
      <c r="R1064">
        <v>3</v>
      </c>
      <c r="S1064" s="1">
        <v>0</v>
      </c>
      <c r="T1064">
        <v>0</v>
      </c>
      <c r="U1064">
        <v>0</v>
      </c>
      <c r="V1064" s="21">
        <v>26940</v>
      </c>
      <c r="W1064">
        <v>23</v>
      </c>
      <c r="X1064">
        <v>0</v>
      </c>
      <c r="Y1064">
        <v>0</v>
      </c>
      <c r="Z1064">
        <v>0</v>
      </c>
      <c r="AA1064">
        <v>1</v>
      </c>
    </row>
    <row r="1065" spans="1:27" ht="14.25" x14ac:dyDescent="0.2">
      <c r="A1065" s="12">
        <v>20632</v>
      </c>
      <c r="B1065" t="s">
        <v>131</v>
      </c>
      <c r="C1065" t="s">
        <v>125</v>
      </c>
      <c r="D1065" t="s">
        <v>121</v>
      </c>
      <c r="E1065" t="s">
        <v>136</v>
      </c>
      <c r="F1065" s="4" t="s">
        <v>1690</v>
      </c>
      <c r="H1065">
        <v>2</v>
      </c>
      <c r="I1065" s="1">
        <v>0</v>
      </c>
      <c r="J1065">
        <v>0</v>
      </c>
      <c r="K1065">
        <v>0</v>
      </c>
      <c r="L1065" s="20">
        <v>18020</v>
      </c>
      <c r="M1065">
        <v>1</v>
      </c>
      <c r="N1065">
        <v>0</v>
      </c>
      <c r="O1065">
        <v>0</v>
      </c>
      <c r="P1065">
        <v>0</v>
      </c>
      <c r="Q1065" s="22">
        <v>53880</v>
      </c>
      <c r="R1065">
        <v>3</v>
      </c>
      <c r="S1065" s="1">
        <v>0</v>
      </c>
      <c r="T1065">
        <v>0</v>
      </c>
      <c r="U1065">
        <v>0</v>
      </c>
      <c r="V1065" s="21">
        <v>26940</v>
      </c>
      <c r="W1065">
        <v>6</v>
      </c>
      <c r="X1065">
        <v>1</v>
      </c>
      <c r="Y1065">
        <v>0</v>
      </c>
      <c r="Z1065">
        <v>3</v>
      </c>
      <c r="AA1065">
        <v>10</v>
      </c>
    </row>
    <row r="1066" spans="1:27" ht="14.25" x14ac:dyDescent="0.2">
      <c r="A1066" s="12">
        <v>20633</v>
      </c>
      <c r="B1066" t="s">
        <v>180</v>
      </c>
      <c r="C1066" t="s">
        <v>121</v>
      </c>
      <c r="D1066" t="s">
        <v>121</v>
      </c>
      <c r="E1066" t="s">
        <v>121</v>
      </c>
      <c r="F1066" s="4" t="s">
        <v>1692</v>
      </c>
      <c r="H1066">
        <v>2</v>
      </c>
      <c r="I1066" s="1">
        <v>0</v>
      </c>
      <c r="J1066">
        <v>0</v>
      </c>
      <c r="K1066">
        <v>0</v>
      </c>
      <c r="L1066" s="20">
        <v>18020</v>
      </c>
      <c r="M1066">
        <v>1</v>
      </c>
      <c r="N1066">
        <v>0</v>
      </c>
      <c r="O1066">
        <v>0</v>
      </c>
      <c r="P1066">
        <v>0</v>
      </c>
      <c r="Q1066" s="22">
        <v>54060</v>
      </c>
      <c r="R1066">
        <v>3</v>
      </c>
      <c r="S1066" s="1">
        <v>0</v>
      </c>
      <c r="T1066">
        <v>0</v>
      </c>
      <c r="U1066">
        <v>0</v>
      </c>
      <c r="V1066" s="21">
        <v>27030</v>
      </c>
      <c r="W1066">
        <v>15</v>
      </c>
      <c r="X1066">
        <v>0</v>
      </c>
      <c r="Y1066">
        <v>0</v>
      </c>
      <c r="Z1066">
        <v>0</v>
      </c>
      <c r="AA1066">
        <v>1</v>
      </c>
    </row>
    <row r="1067" spans="1:27" ht="14.25" x14ac:dyDescent="0.2">
      <c r="A1067" s="12">
        <v>20634</v>
      </c>
      <c r="B1067" t="s">
        <v>178</v>
      </c>
      <c r="C1067" t="s">
        <v>121</v>
      </c>
      <c r="D1067" t="s">
        <v>121</v>
      </c>
      <c r="E1067" t="s">
        <v>121</v>
      </c>
      <c r="F1067" s="4" t="s">
        <v>1692</v>
      </c>
      <c r="H1067">
        <v>2</v>
      </c>
      <c r="I1067" s="1">
        <v>0</v>
      </c>
      <c r="J1067">
        <v>0</v>
      </c>
      <c r="K1067">
        <v>0</v>
      </c>
      <c r="L1067" s="20">
        <v>18020</v>
      </c>
      <c r="M1067">
        <v>1</v>
      </c>
      <c r="N1067">
        <v>0</v>
      </c>
      <c r="O1067">
        <v>0</v>
      </c>
      <c r="P1067">
        <v>0</v>
      </c>
      <c r="Q1067" s="22">
        <v>54060</v>
      </c>
      <c r="R1067">
        <v>3</v>
      </c>
      <c r="S1067" s="1">
        <v>0</v>
      </c>
      <c r="T1067">
        <v>0</v>
      </c>
      <c r="U1067">
        <v>0</v>
      </c>
      <c r="V1067" s="21">
        <v>27030</v>
      </c>
      <c r="W1067">
        <v>21</v>
      </c>
      <c r="X1067">
        <v>0</v>
      </c>
      <c r="Y1067">
        <v>0</v>
      </c>
      <c r="Z1067">
        <v>0</v>
      </c>
      <c r="AA1067">
        <v>1</v>
      </c>
    </row>
    <row r="1068" spans="1:27" ht="14.25" x14ac:dyDescent="0.2">
      <c r="A1068" s="12">
        <v>20635</v>
      </c>
      <c r="B1068" t="s">
        <v>130</v>
      </c>
      <c r="C1068" t="s">
        <v>121</v>
      </c>
      <c r="D1068" t="s">
        <v>121</v>
      </c>
      <c r="E1068" t="s">
        <v>121</v>
      </c>
      <c r="F1068" s="4" t="s">
        <v>1694</v>
      </c>
      <c r="H1068">
        <v>2</v>
      </c>
      <c r="I1068" s="1">
        <v>0</v>
      </c>
      <c r="J1068">
        <v>0</v>
      </c>
      <c r="K1068">
        <v>0</v>
      </c>
      <c r="L1068" s="20">
        <v>18020</v>
      </c>
      <c r="M1068">
        <v>1</v>
      </c>
      <c r="N1068">
        <v>0</v>
      </c>
      <c r="O1068">
        <v>0</v>
      </c>
      <c r="P1068">
        <v>0</v>
      </c>
      <c r="Q1068" s="22">
        <v>54060</v>
      </c>
      <c r="R1068">
        <v>3</v>
      </c>
      <c r="S1068" s="1">
        <v>0</v>
      </c>
      <c r="T1068">
        <v>0</v>
      </c>
      <c r="U1068">
        <v>0</v>
      </c>
      <c r="V1068" s="21">
        <v>27030</v>
      </c>
      <c r="W1068">
        <v>9</v>
      </c>
      <c r="X1068">
        <v>0</v>
      </c>
      <c r="Y1068">
        <v>0</v>
      </c>
      <c r="Z1068">
        <v>0</v>
      </c>
      <c r="AA1068">
        <v>10</v>
      </c>
    </row>
    <row r="1069" spans="1:27" ht="14.25" x14ac:dyDescent="0.2">
      <c r="A1069" s="12">
        <v>20636</v>
      </c>
      <c r="B1069" t="s">
        <v>181</v>
      </c>
      <c r="C1069" t="s">
        <v>121</v>
      </c>
      <c r="D1069" t="s">
        <v>121</v>
      </c>
      <c r="E1069" t="s">
        <v>121</v>
      </c>
      <c r="F1069" s="4" t="s">
        <v>1696</v>
      </c>
      <c r="H1069">
        <v>2</v>
      </c>
      <c r="I1069" s="1">
        <v>0</v>
      </c>
      <c r="J1069">
        <v>0</v>
      </c>
      <c r="K1069">
        <v>0</v>
      </c>
      <c r="L1069" s="20">
        <v>18080</v>
      </c>
      <c r="M1069">
        <v>1</v>
      </c>
      <c r="N1069">
        <v>0</v>
      </c>
      <c r="O1069">
        <v>0</v>
      </c>
      <c r="P1069">
        <v>0</v>
      </c>
      <c r="Q1069" s="22">
        <v>54060</v>
      </c>
      <c r="R1069">
        <v>3</v>
      </c>
      <c r="S1069" s="1">
        <v>0</v>
      </c>
      <c r="T1069">
        <v>0</v>
      </c>
      <c r="U1069">
        <v>0</v>
      </c>
      <c r="V1069" s="21">
        <v>27030</v>
      </c>
      <c r="W1069">
        <v>30</v>
      </c>
      <c r="X1069">
        <v>0</v>
      </c>
      <c r="Y1069">
        <v>0</v>
      </c>
      <c r="Z1069">
        <v>0</v>
      </c>
      <c r="AA1069">
        <v>10</v>
      </c>
    </row>
    <row r="1070" spans="1:27" ht="14.25" x14ac:dyDescent="0.2">
      <c r="A1070" s="12">
        <v>20637</v>
      </c>
      <c r="B1070" t="s">
        <v>122</v>
      </c>
      <c r="C1070" t="s">
        <v>121</v>
      </c>
      <c r="D1070" t="s">
        <v>121</v>
      </c>
      <c r="E1070" t="s">
        <v>121</v>
      </c>
      <c r="F1070" s="4" t="s">
        <v>1696</v>
      </c>
      <c r="H1070">
        <v>2</v>
      </c>
      <c r="I1070" s="1">
        <v>0</v>
      </c>
      <c r="J1070">
        <v>0</v>
      </c>
      <c r="K1070">
        <v>0</v>
      </c>
      <c r="L1070" s="20">
        <v>18080</v>
      </c>
      <c r="M1070">
        <v>1</v>
      </c>
      <c r="N1070">
        <v>0</v>
      </c>
      <c r="O1070">
        <v>0</v>
      </c>
      <c r="P1070">
        <v>0</v>
      </c>
      <c r="Q1070" s="22">
        <v>54060</v>
      </c>
      <c r="R1070">
        <v>3</v>
      </c>
      <c r="S1070" s="1">
        <v>0</v>
      </c>
      <c r="T1070">
        <v>0</v>
      </c>
      <c r="U1070">
        <v>0</v>
      </c>
      <c r="V1070" s="21">
        <v>27030</v>
      </c>
      <c r="W1070">
        <v>4</v>
      </c>
      <c r="X1070">
        <v>0</v>
      </c>
      <c r="Y1070">
        <v>0</v>
      </c>
      <c r="Z1070">
        <v>0</v>
      </c>
      <c r="AA1070">
        <v>10</v>
      </c>
    </row>
    <row r="1071" spans="1:27" ht="14.25" x14ac:dyDescent="0.2">
      <c r="A1071" s="12">
        <v>20638</v>
      </c>
      <c r="B1071" t="s">
        <v>178</v>
      </c>
      <c r="C1071" t="s">
        <v>121</v>
      </c>
      <c r="D1071" t="s">
        <v>121</v>
      </c>
      <c r="E1071" t="s">
        <v>121</v>
      </c>
      <c r="F1071" s="4" t="s">
        <v>1698</v>
      </c>
      <c r="H1071">
        <v>2</v>
      </c>
      <c r="I1071" s="1">
        <v>0</v>
      </c>
      <c r="J1071">
        <v>0</v>
      </c>
      <c r="K1071">
        <v>0</v>
      </c>
      <c r="L1071" s="20">
        <v>18080</v>
      </c>
      <c r="M1071">
        <v>1</v>
      </c>
      <c r="N1071">
        <v>0</v>
      </c>
      <c r="O1071">
        <v>0</v>
      </c>
      <c r="P1071">
        <v>0</v>
      </c>
      <c r="Q1071" s="22">
        <v>54240</v>
      </c>
      <c r="R1071">
        <v>3</v>
      </c>
      <c r="S1071" s="1">
        <v>0</v>
      </c>
      <c r="T1071">
        <v>0</v>
      </c>
      <c r="U1071">
        <v>0</v>
      </c>
      <c r="V1071" s="21">
        <v>27120</v>
      </c>
      <c r="W1071">
        <v>21</v>
      </c>
      <c r="X1071">
        <v>0</v>
      </c>
      <c r="Y1071">
        <v>0</v>
      </c>
      <c r="Z1071">
        <v>0</v>
      </c>
      <c r="AA1071">
        <v>1</v>
      </c>
    </row>
    <row r="1072" spans="1:27" ht="14.25" x14ac:dyDescent="0.2">
      <c r="A1072" s="12">
        <v>20639</v>
      </c>
      <c r="B1072" t="s">
        <v>130</v>
      </c>
      <c r="C1072" t="s">
        <v>121</v>
      </c>
      <c r="D1072" t="s">
        <v>121</v>
      </c>
      <c r="E1072" t="s">
        <v>121</v>
      </c>
      <c r="F1072" s="4" t="s">
        <v>1700</v>
      </c>
      <c r="H1072">
        <v>2</v>
      </c>
      <c r="I1072" s="1">
        <v>0</v>
      </c>
      <c r="J1072">
        <v>0</v>
      </c>
      <c r="K1072">
        <v>0</v>
      </c>
      <c r="L1072" s="20">
        <v>18080</v>
      </c>
      <c r="M1072">
        <v>1</v>
      </c>
      <c r="N1072">
        <v>0</v>
      </c>
      <c r="O1072">
        <v>0</v>
      </c>
      <c r="P1072">
        <v>0</v>
      </c>
      <c r="Q1072" s="22">
        <v>54240</v>
      </c>
      <c r="R1072">
        <v>3</v>
      </c>
      <c r="S1072" s="1">
        <v>0</v>
      </c>
      <c r="T1072">
        <v>0</v>
      </c>
      <c r="U1072">
        <v>0</v>
      </c>
      <c r="V1072" s="21">
        <v>27120</v>
      </c>
      <c r="W1072">
        <v>9</v>
      </c>
      <c r="X1072">
        <v>0</v>
      </c>
      <c r="Y1072">
        <v>0</v>
      </c>
      <c r="Z1072">
        <v>0</v>
      </c>
      <c r="AA1072">
        <v>10</v>
      </c>
    </row>
    <row r="1073" spans="1:27" ht="14.25" x14ac:dyDescent="0.2">
      <c r="A1073" s="12">
        <v>20640</v>
      </c>
      <c r="B1073" t="s">
        <v>123</v>
      </c>
      <c r="C1073" t="s">
        <v>121</v>
      </c>
      <c r="D1073" t="s">
        <v>121</v>
      </c>
      <c r="E1073" t="s">
        <v>121</v>
      </c>
      <c r="F1073" s="4" t="s">
        <v>1700</v>
      </c>
      <c r="H1073">
        <v>2</v>
      </c>
      <c r="I1073" s="1">
        <v>0</v>
      </c>
      <c r="J1073">
        <v>0</v>
      </c>
      <c r="K1073">
        <v>0</v>
      </c>
      <c r="L1073" s="20">
        <v>18080</v>
      </c>
      <c r="M1073">
        <v>1</v>
      </c>
      <c r="N1073">
        <v>0</v>
      </c>
      <c r="O1073">
        <v>0</v>
      </c>
      <c r="P1073">
        <v>0</v>
      </c>
      <c r="Q1073" s="22">
        <v>54240</v>
      </c>
      <c r="R1073">
        <v>3</v>
      </c>
      <c r="S1073" s="1">
        <v>0</v>
      </c>
      <c r="T1073">
        <v>0</v>
      </c>
      <c r="U1073">
        <v>0</v>
      </c>
      <c r="V1073" s="21">
        <v>27120</v>
      </c>
      <c r="W1073">
        <v>12</v>
      </c>
      <c r="X1073">
        <v>0</v>
      </c>
      <c r="Y1073">
        <v>0</v>
      </c>
      <c r="Z1073">
        <v>0</v>
      </c>
      <c r="AA1073">
        <v>10</v>
      </c>
    </row>
    <row r="1074" spans="1:27" ht="14.25" x14ac:dyDescent="0.2">
      <c r="A1074" s="12">
        <v>20641</v>
      </c>
      <c r="B1074" t="s">
        <v>126</v>
      </c>
      <c r="C1074" t="s">
        <v>121</v>
      </c>
      <c r="D1074" t="s">
        <v>121</v>
      </c>
      <c r="E1074" t="s">
        <v>121</v>
      </c>
      <c r="F1074" s="4" t="s">
        <v>1702</v>
      </c>
      <c r="H1074">
        <v>2</v>
      </c>
      <c r="I1074" s="1">
        <v>0</v>
      </c>
      <c r="J1074">
        <v>0</v>
      </c>
      <c r="K1074">
        <v>0</v>
      </c>
      <c r="L1074" s="20">
        <v>18140</v>
      </c>
      <c r="M1074">
        <v>1</v>
      </c>
      <c r="N1074">
        <v>0</v>
      </c>
      <c r="O1074">
        <v>0</v>
      </c>
      <c r="P1074">
        <v>0</v>
      </c>
      <c r="Q1074" s="22">
        <v>54240</v>
      </c>
      <c r="R1074">
        <v>3</v>
      </c>
      <c r="S1074" s="1">
        <v>0</v>
      </c>
      <c r="T1074">
        <v>0</v>
      </c>
      <c r="U1074">
        <v>0</v>
      </c>
      <c r="V1074" s="21">
        <v>27120</v>
      </c>
      <c r="W1074">
        <v>23</v>
      </c>
      <c r="X1074">
        <v>0</v>
      </c>
      <c r="Y1074">
        <v>0</v>
      </c>
      <c r="Z1074">
        <v>0</v>
      </c>
      <c r="AA1074">
        <v>1</v>
      </c>
    </row>
    <row r="1075" spans="1:27" ht="14.25" x14ac:dyDescent="0.2">
      <c r="A1075" s="12">
        <v>20642</v>
      </c>
      <c r="B1075" t="s">
        <v>131</v>
      </c>
      <c r="C1075" t="s">
        <v>125</v>
      </c>
      <c r="D1075" t="s">
        <v>121</v>
      </c>
      <c r="E1075" t="s">
        <v>136</v>
      </c>
      <c r="F1075" s="4" t="s">
        <v>1704</v>
      </c>
      <c r="H1075">
        <v>2</v>
      </c>
      <c r="I1075" s="1">
        <v>0</v>
      </c>
      <c r="J1075">
        <v>0</v>
      </c>
      <c r="K1075">
        <v>0</v>
      </c>
      <c r="L1075" s="20">
        <v>18140</v>
      </c>
      <c r="M1075">
        <v>1</v>
      </c>
      <c r="N1075">
        <v>0</v>
      </c>
      <c r="O1075">
        <v>0</v>
      </c>
      <c r="P1075">
        <v>0</v>
      </c>
      <c r="Q1075" s="22">
        <v>54240</v>
      </c>
      <c r="R1075">
        <v>3</v>
      </c>
      <c r="S1075" s="1">
        <v>0</v>
      </c>
      <c r="T1075">
        <v>0</v>
      </c>
      <c r="U1075">
        <v>0</v>
      </c>
      <c r="V1075" s="21">
        <v>27120</v>
      </c>
      <c r="W1075">
        <v>6</v>
      </c>
      <c r="X1075">
        <v>1</v>
      </c>
      <c r="Y1075">
        <v>0</v>
      </c>
      <c r="Z1075">
        <v>3</v>
      </c>
      <c r="AA1075">
        <v>10</v>
      </c>
    </row>
    <row r="1076" spans="1:27" ht="14.25" x14ac:dyDescent="0.2">
      <c r="A1076" s="12">
        <v>20643</v>
      </c>
      <c r="B1076" t="s">
        <v>180</v>
      </c>
      <c r="C1076" t="s">
        <v>121</v>
      </c>
      <c r="D1076" t="s">
        <v>121</v>
      </c>
      <c r="E1076" t="s">
        <v>121</v>
      </c>
      <c r="F1076" s="4" t="s">
        <v>1706</v>
      </c>
      <c r="H1076">
        <v>2</v>
      </c>
      <c r="I1076" s="1">
        <v>0</v>
      </c>
      <c r="J1076">
        <v>0</v>
      </c>
      <c r="K1076">
        <v>0</v>
      </c>
      <c r="L1076" s="20">
        <v>18140</v>
      </c>
      <c r="M1076">
        <v>1</v>
      </c>
      <c r="N1076">
        <v>0</v>
      </c>
      <c r="O1076">
        <v>0</v>
      </c>
      <c r="P1076">
        <v>0</v>
      </c>
      <c r="Q1076" s="22">
        <v>54420</v>
      </c>
      <c r="R1076">
        <v>3</v>
      </c>
      <c r="S1076" s="1">
        <v>0</v>
      </c>
      <c r="T1076">
        <v>0</v>
      </c>
      <c r="U1076">
        <v>0</v>
      </c>
      <c r="V1076" s="21">
        <v>27210</v>
      </c>
      <c r="W1076">
        <v>15</v>
      </c>
      <c r="X1076">
        <v>0</v>
      </c>
      <c r="Y1076">
        <v>0</v>
      </c>
      <c r="Z1076">
        <v>0</v>
      </c>
      <c r="AA1076">
        <v>1</v>
      </c>
    </row>
    <row r="1077" spans="1:27" ht="14.25" x14ac:dyDescent="0.2">
      <c r="A1077" s="12">
        <v>20644</v>
      </c>
      <c r="B1077" t="s">
        <v>178</v>
      </c>
      <c r="C1077" t="s">
        <v>121</v>
      </c>
      <c r="D1077" t="s">
        <v>121</v>
      </c>
      <c r="E1077" t="s">
        <v>121</v>
      </c>
      <c r="F1077" s="4" t="s">
        <v>1706</v>
      </c>
      <c r="H1077">
        <v>2</v>
      </c>
      <c r="I1077" s="1">
        <v>0</v>
      </c>
      <c r="J1077">
        <v>0</v>
      </c>
      <c r="K1077">
        <v>0</v>
      </c>
      <c r="L1077" s="20">
        <v>18140</v>
      </c>
      <c r="M1077">
        <v>1</v>
      </c>
      <c r="N1077">
        <v>0</v>
      </c>
      <c r="O1077">
        <v>0</v>
      </c>
      <c r="P1077">
        <v>0</v>
      </c>
      <c r="Q1077" s="22">
        <v>54420</v>
      </c>
      <c r="R1077">
        <v>3</v>
      </c>
      <c r="S1077" s="1">
        <v>0</v>
      </c>
      <c r="T1077">
        <v>0</v>
      </c>
      <c r="U1077">
        <v>0</v>
      </c>
      <c r="V1077" s="21">
        <v>27210</v>
      </c>
      <c r="W1077">
        <v>21</v>
      </c>
      <c r="X1077">
        <v>0</v>
      </c>
      <c r="Y1077">
        <v>0</v>
      </c>
      <c r="Z1077">
        <v>0</v>
      </c>
      <c r="AA1077">
        <v>1</v>
      </c>
    </row>
    <row r="1078" spans="1:27" ht="14.25" x14ac:dyDescent="0.2">
      <c r="A1078" s="12">
        <v>20645</v>
      </c>
      <c r="B1078" t="s">
        <v>130</v>
      </c>
      <c r="C1078" t="s">
        <v>121</v>
      </c>
      <c r="D1078" t="s">
        <v>121</v>
      </c>
      <c r="E1078" t="s">
        <v>121</v>
      </c>
      <c r="F1078" s="4" t="s">
        <v>1708</v>
      </c>
      <c r="H1078">
        <v>2</v>
      </c>
      <c r="I1078" s="1">
        <v>0</v>
      </c>
      <c r="J1078">
        <v>0</v>
      </c>
      <c r="K1078">
        <v>0</v>
      </c>
      <c r="L1078" s="20">
        <v>18140</v>
      </c>
      <c r="M1078">
        <v>1</v>
      </c>
      <c r="N1078">
        <v>0</v>
      </c>
      <c r="O1078">
        <v>0</v>
      </c>
      <c r="P1078">
        <v>0</v>
      </c>
      <c r="Q1078" s="22">
        <v>54420</v>
      </c>
      <c r="R1078">
        <v>3</v>
      </c>
      <c r="S1078" s="1">
        <v>0</v>
      </c>
      <c r="T1078">
        <v>0</v>
      </c>
      <c r="U1078">
        <v>0</v>
      </c>
      <c r="V1078" s="21">
        <v>27210</v>
      </c>
      <c r="W1078">
        <v>9</v>
      </c>
      <c r="X1078">
        <v>0</v>
      </c>
      <c r="Y1078">
        <v>0</v>
      </c>
      <c r="Z1078">
        <v>0</v>
      </c>
      <c r="AA1078">
        <v>10</v>
      </c>
    </row>
    <row r="1079" spans="1:27" ht="14.25" x14ac:dyDescent="0.2">
      <c r="A1079" s="12">
        <v>20646</v>
      </c>
      <c r="B1079" t="s">
        <v>181</v>
      </c>
      <c r="C1079" t="s">
        <v>121</v>
      </c>
      <c r="D1079" t="s">
        <v>121</v>
      </c>
      <c r="E1079" t="s">
        <v>121</v>
      </c>
      <c r="F1079" s="4" t="s">
        <v>1710</v>
      </c>
      <c r="H1079">
        <v>2</v>
      </c>
      <c r="I1079" s="1">
        <v>0</v>
      </c>
      <c r="J1079">
        <v>0</v>
      </c>
      <c r="K1079">
        <v>0</v>
      </c>
      <c r="L1079" s="20">
        <v>18200</v>
      </c>
      <c r="M1079">
        <v>1</v>
      </c>
      <c r="N1079">
        <v>0</v>
      </c>
      <c r="O1079">
        <v>0</v>
      </c>
      <c r="P1079">
        <v>0</v>
      </c>
      <c r="Q1079" s="22">
        <v>54420</v>
      </c>
      <c r="R1079">
        <v>3</v>
      </c>
      <c r="S1079" s="1">
        <v>0</v>
      </c>
      <c r="T1079">
        <v>0</v>
      </c>
      <c r="U1079">
        <v>0</v>
      </c>
      <c r="V1079" s="21">
        <v>27210</v>
      </c>
      <c r="W1079">
        <v>30</v>
      </c>
      <c r="X1079">
        <v>0</v>
      </c>
      <c r="Y1079">
        <v>0</v>
      </c>
      <c r="Z1079">
        <v>0</v>
      </c>
      <c r="AA1079">
        <v>10</v>
      </c>
    </row>
    <row r="1080" spans="1:27" ht="14.25" x14ac:dyDescent="0.2">
      <c r="A1080" s="12">
        <v>20647</v>
      </c>
      <c r="B1080" t="s">
        <v>122</v>
      </c>
      <c r="C1080" t="s">
        <v>121</v>
      </c>
      <c r="D1080" t="s">
        <v>121</v>
      </c>
      <c r="E1080" t="s">
        <v>121</v>
      </c>
      <c r="F1080" s="4" t="s">
        <v>1710</v>
      </c>
      <c r="H1080">
        <v>2</v>
      </c>
      <c r="I1080" s="1">
        <v>0</v>
      </c>
      <c r="J1080">
        <v>0</v>
      </c>
      <c r="K1080">
        <v>0</v>
      </c>
      <c r="L1080" s="20">
        <v>18200</v>
      </c>
      <c r="M1080">
        <v>1</v>
      </c>
      <c r="N1080">
        <v>0</v>
      </c>
      <c r="O1080">
        <v>0</v>
      </c>
      <c r="P1080">
        <v>0</v>
      </c>
      <c r="Q1080" s="22">
        <v>54420</v>
      </c>
      <c r="R1080">
        <v>3</v>
      </c>
      <c r="S1080" s="1">
        <v>0</v>
      </c>
      <c r="T1080">
        <v>0</v>
      </c>
      <c r="U1080">
        <v>0</v>
      </c>
      <c r="V1080" s="21">
        <v>27210</v>
      </c>
      <c r="W1080">
        <v>4</v>
      </c>
      <c r="X1080">
        <v>0</v>
      </c>
      <c r="Y1080">
        <v>0</v>
      </c>
      <c r="Z1080">
        <v>0</v>
      </c>
      <c r="AA1080">
        <v>10</v>
      </c>
    </row>
    <row r="1081" spans="1:27" ht="14.25" x14ac:dyDescent="0.2">
      <c r="A1081" s="12">
        <v>20648</v>
      </c>
      <c r="B1081" t="s">
        <v>178</v>
      </c>
      <c r="C1081" t="s">
        <v>121</v>
      </c>
      <c r="D1081" t="s">
        <v>121</v>
      </c>
      <c r="E1081" t="s">
        <v>121</v>
      </c>
      <c r="F1081" s="4" t="s">
        <v>1712</v>
      </c>
      <c r="H1081">
        <v>2</v>
      </c>
      <c r="I1081" s="1">
        <v>0</v>
      </c>
      <c r="J1081">
        <v>0</v>
      </c>
      <c r="K1081">
        <v>0</v>
      </c>
      <c r="L1081" s="20">
        <v>18200</v>
      </c>
      <c r="M1081">
        <v>1</v>
      </c>
      <c r="N1081">
        <v>0</v>
      </c>
      <c r="O1081">
        <v>0</v>
      </c>
      <c r="P1081">
        <v>0</v>
      </c>
      <c r="Q1081" s="22">
        <v>54600</v>
      </c>
      <c r="R1081">
        <v>3</v>
      </c>
      <c r="S1081" s="1">
        <v>0</v>
      </c>
      <c r="T1081">
        <v>0</v>
      </c>
      <c r="U1081">
        <v>0</v>
      </c>
      <c r="V1081" s="21">
        <v>27300</v>
      </c>
      <c r="W1081">
        <v>21</v>
      </c>
      <c r="X1081">
        <v>0</v>
      </c>
      <c r="Y1081">
        <v>0</v>
      </c>
      <c r="Z1081">
        <v>0</v>
      </c>
      <c r="AA1081">
        <v>1</v>
      </c>
    </row>
    <row r="1082" spans="1:27" ht="14.25" x14ac:dyDescent="0.2">
      <c r="A1082" s="12">
        <v>20649</v>
      </c>
      <c r="B1082" t="s">
        <v>130</v>
      </c>
      <c r="C1082" t="s">
        <v>121</v>
      </c>
      <c r="D1082" t="s">
        <v>121</v>
      </c>
      <c r="E1082" t="s">
        <v>121</v>
      </c>
      <c r="F1082" s="4" t="s">
        <v>1714</v>
      </c>
      <c r="H1082">
        <v>2</v>
      </c>
      <c r="I1082" s="1">
        <v>0</v>
      </c>
      <c r="J1082">
        <v>0</v>
      </c>
      <c r="K1082">
        <v>0</v>
      </c>
      <c r="L1082" s="20">
        <v>18200</v>
      </c>
      <c r="M1082">
        <v>1</v>
      </c>
      <c r="N1082">
        <v>0</v>
      </c>
      <c r="O1082">
        <v>0</v>
      </c>
      <c r="P1082">
        <v>0</v>
      </c>
      <c r="Q1082" s="22">
        <v>54600</v>
      </c>
      <c r="R1082">
        <v>3</v>
      </c>
      <c r="S1082" s="1">
        <v>0</v>
      </c>
      <c r="T1082">
        <v>0</v>
      </c>
      <c r="U1082">
        <v>0</v>
      </c>
      <c r="V1082" s="21">
        <v>27300</v>
      </c>
      <c r="W1082">
        <v>9</v>
      </c>
      <c r="X1082">
        <v>0</v>
      </c>
      <c r="Y1082">
        <v>0</v>
      </c>
      <c r="Z1082">
        <v>0</v>
      </c>
      <c r="AA1082">
        <v>10</v>
      </c>
    </row>
    <row r="1083" spans="1:27" ht="14.25" x14ac:dyDescent="0.2">
      <c r="A1083" s="12">
        <v>20650</v>
      </c>
      <c r="B1083" t="s">
        <v>123</v>
      </c>
      <c r="C1083" t="s">
        <v>121</v>
      </c>
      <c r="D1083" t="s">
        <v>121</v>
      </c>
      <c r="E1083" t="s">
        <v>121</v>
      </c>
      <c r="F1083" s="4" t="s">
        <v>1714</v>
      </c>
      <c r="H1083">
        <v>2</v>
      </c>
      <c r="I1083" s="1">
        <v>0</v>
      </c>
      <c r="J1083">
        <v>0</v>
      </c>
      <c r="K1083">
        <v>0</v>
      </c>
      <c r="L1083" s="20">
        <v>18200</v>
      </c>
      <c r="M1083">
        <v>1</v>
      </c>
      <c r="N1083">
        <v>0</v>
      </c>
      <c r="O1083">
        <v>0</v>
      </c>
      <c r="P1083">
        <v>0</v>
      </c>
      <c r="Q1083" s="22">
        <v>54600</v>
      </c>
      <c r="R1083">
        <v>3</v>
      </c>
      <c r="S1083" s="1">
        <v>0</v>
      </c>
      <c r="T1083">
        <v>0</v>
      </c>
      <c r="U1083">
        <v>0</v>
      </c>
      <c r="V1083" s="21">
        <v>27300</v>
      </c>
      <c r="W1083">
        <v>12</v>
      </c>
      <c r="X1083">
        <v>0</v>
      </c>
      <c r="Y1083">
        <v>0</v>
      </c>
      <c r="Z1083">
        <v>0</v>
      </c>
      <c r="AA1083">
        <v>10</v>
      </c>
    </row>
    <row r="1084" spans="1:27" ht="14.25" x14ac:dyDescent="0.2">
      <c r="A1084" s="12">
        <v>20701</v>
      </c>
      <c r="B1084" t="s">
        <v>126</v>
      </c>
      <c r="C1084" t="s">
        <v>121</v>
      </c>
      <c r="D1084" t="s">
        <v>121</v>
      </c>
      <c r="E1084" t="s">
        <v>121</v>
      </c>
      <c r="F1084" s="4" t="s">
        <v>1716</v>
      </c>
      <c r="H1084">
        <v>2</v>
      </c>
      <c r="I1084" s="1">
        <v>0</v>
      </c>
      <c r="J1084">
        <v>0</v>
      </c>
      <c r="K1084">
        <v>0</v>
      </c>
      <c r="L1084" s="20">
        <v>18260</v>
      </c>
      <c r="M1084">
        <v>1</v>
      </c>
      <c r="N1084">
        <v>0</v>
      </c>
      <c r="O1084">
        <v>0</v>
      </c>
      <c r="P1084">
        <v>0</v>
      </c>
      <c r="Q1084" s="22">
        <v>54600</v>
      </c>
      <c r="R1084">
        <v>3</v>
      </c>
      <c r="S1084" s="1">
        <v>0</v>
      </c>
      <c r="T1084">
        <v>0</v>
      </c>
      <c r="U1084">
        <v>0</v>
      </c>
      <c r="V1084" s="21">
        <v>27300</v>
      </c>
      <c r="W1084">
        <v>23</v>
      </c>
      <c r="X1084">
        <v>0</v>
      </c>
      <c r="Y1084">
        <v>0</v>
      </c>
      <c r="Z1084">
        <v>0</v>
      </c>
      <c r="AA1084">
        <v>1</v>
      </c>
    </row>
    <row r="1085" spans="1:27" ht="14.25" x14ac:dyDescent="0.2">
      <c r="A1085" s="12">
        <v>20702</v>
      </c>
      <c r="B1085" t="s">
        <v>131</v>
      </c>
      <c r="C1085" t="s">
        <v>125</v>
      </c>
      <c r="D1085" t="s">
        <v>121</v>
      </c>
      <c r="E1085" t="s">
        <v>136</v>
      </c>
      <c r="F1085" s="4" t="s">
        <v>1718</v>
      </c>
      <c r="H1085">
        <v>2</v>
      </c>
      <c r="I1085" s="1">
        <v>0</v>
      </c>
      <c r="J1085">
        <v>0</v>
      </c>
      <c r="K1085">
        <v>0</v>
      </c>
      <c r="L1085" s="20">
        <v>18260</v>
      </c>
      <c r="M1085">
        <v>1</v>
      </c>
      <c r="N1085">
        <v>0</v>
      </c>
      <c r="O1085">
        <v>0</v>
      </c>
      <c r="P1085">
        <v>0</v>
      </c>
      <c r="Q1085" s="22">
        <v>54600</v>
      </c>
      <c r="R1085">
        <v>3</v>
      </c>
      <c r="S1085" s="1">
        <v>0</v>
      </c>
      <c r="T1085">
        <v>0</v>
      </c>
      <c r="U1085">
        <v>0</v>
      </c>
      <c r="V1085" s="21">
        <v>27300</v>
      </c>
      <c r="W1085">
        <v>6</v>
      </c>
      <c r="X1085">
        <v>1</v>
      </c>
      <c r="Y1085">
        <v>0</v>
      </c>
      <c r="Z1085">
        <v>3</v>
      </c>
      <c r="AA1085">
        <v>10</v>
      </c>
    </row>
    <row r="1086" spans="1:27" ht="14.25" x14ac:dyDescent="0.2">
      <c r="A1086" s="12">
        <v>20703</v>
      </c>
      <c r="B1086" t="s">
        <v>180</v>
      </c>
      <c r="C1086" t="s">
        <v>121</v>
      </c>
      <c r="D1086" t="s">
        <v>121</v>
      </c>
      <c r="E1086" t="s">
        <v>121</v>
      </c>
      <c r="F1086" s="4" t="s">
        <v>1720</v>
      </c>
      <c r="H1086">
        <v>2</v>
      </c>
      <c r="I1086" s="1">
        <v>0</v>
      </c>
      <c r="J1086">
        <v>0</v>
      </c>
      <c r="K1086">
        <v>0</v>
      </c>
      <c r="L1086" s="20">
        <v>18260</v>
      </c>
      <c r="M1086">
        <v>1</v>
      </c>
      <c r="N1086">
        <v>0</v>
      </c>
      <c r="O1086">
        <v>0</v>
      </c>
      <c r="P1086">
        <v>0</v>
      </c>
      <c r="Q1086" s="22">
        <v>54780</v>
      </c>
      <c r="R1086">
        <v>3</v>
      </c>
      <c r="S1086" s="1">
        <v>0</v>
      </c>
      <c r="T1086">
        <v>0</v>
      </c>
      <c r="U1086">
        <v>0</v>
      </c>
      <c r="V1086" s="21">
        <v>27390</v>
      </c>
      <c r="W1086">
        <v>15</v>
      </c>
      <c r="X1086">
        <v>0</v>
      </c>
      <c r="Y1086">
        <v>0</v>
      </c>
      <c r="Z1086">
        <v>0</v>
      </c>
      <c r="AA1086">
        <v>1</v>
      </c>
    </row>
    <row r="1087" spans="1:27" ht="14.25" x14ac:dyDescent="0.2">
      <c r="A1087" s="12">
        <v>20704</v>
      </c>
      <c r="B1087" t="s">
        <v>178</v>
      </c>
      <c r="C1087" t="s">
        <v>121</v>
      </c>
      <c r="D1087" t="s">
        <v>121</v>
      </c>
      <c r="E1087" t="s">
        <v>121</v>
      </c>
      <c r="F1087" s="4" t="s">
        <v>1720</v>
      </c>
      <c r="H1087">
        <v>2</v>
      </c>
      <c r="I1087" s="1">
        <v>0</v>
      </c>
      <c r="J1087">
        <v>0</v>
      </c>
      <c r="K1087">
        <v>0</v>
      </c>
      <c r="L1087" s="20">
        <v>18260</v>
      </c>
      <c r="M1087">
        <v>1</v>
      </c>
      <c r="N1087">
        <v>0</v>
      </c>
      <c r="O1087">
        <v>0</v>
      </c>
      <c r="P1087">
        <v>0</v>
      </c>
      <c r="Q1087" s="22">
        <v>54780</v>
      </c>
      <c r="R1087">
        <v>3</v>
      </c>
      <c r="S1087" s="1">
        <v>0</v>
      </c>
      <c r="T1087">
        <v>0</v>
      </c>
      <c r="U1087">
        <v>0</v>
      </c>
      <c r="V1087" s="21">
        <v>27390</v>
      </c>
      <c r="W1087">
        <v>21</v>
      </c>
      <c r="X1087">
        <v>0</v>
      </c>
      <c r="Y1087">
        <v>0</v>
      </c>
      <c r="Z1087">
        <v>0</v>
      </c>
      <c r="AA1087">
        <v>1</v>
      </c>
    </row>
    <row r="1088" spans="1:27" ht="14.25" x14ac:dyDescent="0.2">
      <c r="A1088" s="12">
        <v>20705</v>
      </c>
      <c r="B1088" t="s">
        <v>130</v>
      </c>
      <c r="C1088" t="s">
        <v>121</v>
      </c>
      <c r="D1088" t="s">
        <v>121</v>
      </c>
      <c r="E1088" t="s">
        <v>121</v>
      </c>
      <c r="F1088" s="4" t="s">
        <v>1722</v>
      </c>
      <c r="H1088">
        <v>2</v>
      </c>
      <c r="I1088" s="1">
        <v>0</v>
      </c>
      <c r="J1088">
        <v>0</v>
      </c>
      <c r="K1088">
        <v>0</v>
      </c>
      <c r="L1088" s="20">
        <v>18260</v>
      </c>
      <c r="M1088">
        <v>1</v>
      </c>
      <c r="N1088">
        <v>0</v>
      </c>
      <c r="O1088">
        <v>0</v>
      </c>
      <c r="P1088">
        <v>0</v>
      </c>
      <c r="Q1088" s="22">
        <v>54780</v>
      </c>
      <c r="R1088">
        <v>3</v>
      </c>
      <c r="S1088" s="1">
        <v>0</v>
      </c>
      <c r="T1088">
        <v>0</v>
      </c>
      <c r="U1088">
        <v>0</v>
      </c>
      <c r="V1088" s="21">
        <v>27390</v>
      </c>
      <c r="W1088">
        <v>9</v>
      </c>
      <c r="X1088">
        <v>0</v>
      </c>
      <c r="Y1088">
        <v>0</v>
      </c>
      <c r="Z1088">
        <v>0</v>
      </c>
      <c r="AA1088">
        <v>10</v>
      </c>
    </row>
    <row r="1089" spans="1:27" ht="14.25" x14ac:dyDescent="0.2">
      <c r="A1089" s="12">
        <v>20706</v>
      </c>
      <c r="B1089" t="s">
        <v>181</v>
      </c>
      <c r="C1089" t="s">
        <v>121</v>
      </c>
      <c r="D1089" t="s">
        <v>121</v>
      </c>
      <c r="E1089" t="s">
        <v>121</v>
      </c>
      <c r="F1089" s="4" t="s">
        <v>1724</v>
      </c>
      <c r="H1089">
        <v>2</v>
      </c>
      <c r="I1089" s="1">
        <v>0</v>
      </c>
      <c r="J1089">
        <v>0</v>
      </c>
      <c r="K1089">
        <v>0</v>
      </c>
      <c r="L1089" s="20">
        <v>18320</v>
      </c>
      <c r="M1089">
        <v>1</v>
      </c>
      <c r="N1089">
        <v>0</v>
      </c>
      <c r="O1089">
        <v>0</v>
      </c>
      <c r="P1089">
        <v>0</v>
      </c>
      <c r="Q1089" s="22">
        <v>54780</v>
      </c>
      <c r="R1089">
        <v>3</v>
      </c>
      <c r="S1089" s="1">
        <v>0</v>
      </c>
      <c r="T1089">
        <v>0</v>
      </c>
      <c r="U1089">
        <v>0</v>
      </c>
      <c r="V1089" s="21">
        <v>27390</v>
      </c>
      <c r="W1089">
        <v>30</v>
      </c>
      <c r="X1089">
        <v>0</v>
      </c>
      <c r="Y1089">
        <v>0</v>
      </c>
      <c r="Z1089">
        <v>0</v>
      </c>
      <c r="AA1089">
        <v>10</v>
      </c>
    </row>
    <row r="1090" spans="1:27" ht="14.25" x14ac:dyDescent="0.2">
      <c r="A1090" s="12">
        <v>20707</v>
      </c>
      <c r="B1090" t="s">
        <v>122</v>
      </c>
      <c r="C1090" t="s">
        <v>121</v>
      </c>
      <c r="D1090" t="s">
        <v>121</v>
      </c>
      <c r="E1090" t="s">
        <v>121</v>
      </c>
      <c r="F1090" s="4" t="s">
        <v>1724</v>
      </c>
      <c r="H1090">
        <v>2</v>
      </c>
      <c r="I1090" s="1">
        <v>0</v>
      </c>
      <c r="J1090">
        <v>0</v>
      </c>
      <c r="K1090">
        <v>0</v>
      </c>
      <c r="L1090" s="20">
        <v>18320</v>
      </c>
      <c r="M1090">
        <v>1</v>
      </c>
      <c r="N1090">
        <v>0</v>
      </c>
      <c r="O1090">
        <v>0</v>
      </c>
      <c r="P1090">
        <v>0</v>
      </c>
      <c r="Q1090" s="22">
        <v>54780</v>
      </c>
      <c r="R1090">
        <v>3</v>
      </c>
      <c r="S1090" s="1">
        <v>0</v>
      </c>
      <c r="T1090">
        <v>0</v>
      </c>
      <c r="U1090">
        <v>0</v>
      </c>
      <c r="V1090" s="21">
        <v>27390</v>
      </c>
      <c r="W1090">
        <v>4</v>
      </c>
      <c r="X1090">
        <v>0</v>
      </c>
      <c r="Y1090">
        <v>0</v>
      </c>
      <c r="Z1090">
        <v>0</v>
      </c>
      <c r="AA1090">
        <v>10</v>
      </c>
    </row>
    <row r="1091" spans="1:27" ht="14.25" x14ac:dyDescent="0.2">
      <c r="A1091" s="12">
        <v>20708</v>
      </c>
      <c r="B1091" t="s">
        <v>178</v>
      </c>
      <c r="C1091" t="s">
        <v>121</v>
      </c>
      <c r="D1091" t="s">
        <v>121</v>
      </c>
      <c r="E1091" t="s">
        <v>121</v>
      </c>
      <c r="F1091" s="4" t="s">
        <v>1726</v>
      </c>
      <c r="H1091">
        <v>2</v>
      </c>
      <c r="I1091" s="1">
        <v>0</v>
      </c>
      <c r="J1091">
        <v>0</v>
      </c>
      <c r="K1091">
        <v>0</v>
      </c>
      <c r="L1091" s="20">
        <v>18320</v>
      </c>
      <c r="M1091">
        <v>1</v>
      </c>
      <c r="N1091">
        <v>0</v>
      </c>
      <c r="O1091">
        <v>0</v>
      </c>
      <c r="P1091">
        <v>0</v>
      </c>
      <c r="Q1091" s="22">
        <v>54960</v>
      </c>
      <c r="R1091">
        <v>3</v>
      </c>
      <c r="S1091" s="1">
        <v>0</v>
      </c>
      <c r="T1091">
        <v>0</v>
      </c>
      <c r="U1091">
        <v>0</v>
      </c>
      <c r="V1091" s="21">
        <v>27480</v>
      </c>
      <c r="W1091">
        <v>21</v>
      </c>
      <c r="X1091">
        <v>0</v>
      </c>
      <c r="Y1091">
        <v>0</v>
      </c>
      <c r="Z1091">
        <v>0</v>
      </c>
      <c r="AA1091">
        <v>1</v>
      </c>
    </row>
    <row r="1092" spans="1:27" ht="14.25" x14ac:dyDescent="0.2">
      <c r="A1092" s="12">
        <v>20709</v>
      </c>
      <c r="B1092" t="s">
        <v>130</v>
      </c>
      <c r="C1092" t="s">
        <v>121</v>
      </c>
      <c r="D1092" t="s">
        <v>121</v>
      </c>
      <c r="E1092" t="s">
        <v>121</v>
      </c>
      <c r="F1092" s="4" t="s">
        <v>1728</v>
      </c>
      <c r="H1092">
        <v>2</v>
      </c>
      <c r="I1092" s="1">
        <v>0</v>
      </c>
      <c r="J1092">
        <v>0</v>
      </c>
      <c r="K1092">
        <v>0</v>
      </c>
      <c r="L1092" s="20">
        <v>18320</v>
      </c>
      <c r="M1092">
        <v>1</v>
      </c>
      <c r="N1092">
        <v>0</v>
      </c>
      <c r="O1092">
        <v>0</v>
      </c>
      <c r="P1092">
        <v>0</v>
      </c>
      <c r="Q1092" s="22">
        <v>54960</v>
      </c>
      <c r="R1092">
        <v>3</v>
      </c>
      <c r="S1092" s="1">
        <v>0</v>
      </c>
      <c r="T1092">
        <v>0</v>
      </c>
      <c r="U1092">
        <v>0</v>
      </c>
      <c r="V1092" s="21">
        <v>27480</v>
      </c>
      <c r="W1092">
        <v>9</v>
      </c>
      <c r="X1092">
        <v>0</v>
      </c>
      <c r="Y1092">
        <v>0</v>
      </c>
      <c r="Z1092">
        <v>0</v>
      </c>
      <c r="AA1092">
        <v>10</v>
      </c>
    </row>
    <row r="1093" spans="1:27" ht="14.25" x14ac:dyDescent="0.2">
      <c r="A1093" s="12">
        <v>20710</v>
      </c>
      <c r="B1093" t="s">
        <v>123</v>
      </c>
      <c r="C1093" t="s">
        <v>121</v>
      </c>
      <c r="D1093" t="s">
        <v>121</v>
      </c>
      <c r="E1093" t="s">
        <v>121</v>
      </c>
      <c r="F1093" s="4" t="s">
        <v>1728</v>
      </c>
      <c r="H1093">
        <v>2</v>
      </c>
      <c r="I1093" s="1">
        <v>0</v>
      </c>
      <c r="J1093">
        <v>0</v>
      </c>
      <c r="K1093">
        <v>0</v>
      </c>
      <c r="L1093" s="20">
        <v>18320</v>
      </c>
      <c r="M1093">
        <v>1</v>
      </c>
      <c r="N1093">
        <v>0</v>
      </c>
      <c r="O1093">
        <v>0</v>
      </c>
      <c r="P1093">
        <v>0</v>
      </c>
      <c r="Q1093" s="22">
        <v>54960</v>
      </c>
      <c r="R1093">
        <v>3</v>
      </c>
      <c r="S1093" s="1">
        <v>0</v>
      </c>
      <c r="T1093">
        <v>0</v>
      </c>
      <c r="U1093">
        <v>0</v>
      </c>
      <c r="V1093" s="21">
        <v>27480</v>
      </c>
      <c r="W1093">
        <v>12</v>
      </c>
      <c r="X1093">
        <v>0</v>
      </c>
      <c r="Y1093">
        <v>0</v>
      </c>
      <c r="Z1093">
        <v>0</v>
      </c>
      <c r="AA1093">
        <v>10</v>
      </c>
    </row>
    <row r="1094" spans="1:27" ht="14.25" x14ac:dyDescent="0.2">
      <c r="A1094" s="12">
        <v>20711</v>
      </c>
      <c r="B1094" t="s">
        <v>126</v>
      </c>
      <c r="C1094" t="s">
        <v>121</v>
      </c>
      <c r="D1094" t="s">
        <v>121</v>
      </c>
      <c r="E1094" t="s">
        <v>121</v>
      </c>
      <c r="F1094" s="4" t="s">
        <v>1730</v>
      </c>
      <c r="H1094">
        <v>2</v>
      </c>
      <c r="I1094" s="1">
        <v>0</v>
      </c>
      <c r="J1094">
        <v>0</v>
      </c>
      <c r="K1094">
        <v>0</v>
      </c>
      <c r="L1094" s="20">
        <v>18380</v>
      </c>
      <c r="M1094">
        <v>1</v>
      </c>
      <c r="N1094">
        <v>0</v>
      </c>
      <c r="O1094">
        <v>0</v>
      </c>
      <c r="P1094">
        <v>0</v>
      </c>
      <c r="Q1094" s="22">
        <v>54960</v>
      </c>
      <c r="R1094">
        <v>3</v>
      </c>
      <c r="S1094" s="1">
        <v>0</v>
      </c>
      <c r="T1094">
        <v>0</v>
      </c>
      <c r="U1094">
        <v>0</v>
      </c>
      <c r="V1094" s="21">
        <v>27480</v>
      </c>
      <c r="W1094">
        <v>23</v>
      </c>
      <c r="X1094">
        <v>0</v>
      </c>
      <c r="Y1094">
        <v>0</v>
      </c>
      <c r="Z1094">
        <v>0</v>
      </c>
      <c r="AA1094">
        <v>1</v>
      </c>
    </row>
    <row r="1095" spans="1:27" ht="14.25" x14ac:dyDescent="0.2">
      <c r="A1095" s="12">
        <v>20712</v>
      </c>
      <c r="B1095" t="s">
        <v>131</v>
      </c>
      <c r="C1095" t="s">
        <v>125</v>
      </c>
      <c r="D1095" t="s">
        <v>121</v>
      </c>
      <c r="E1095" t="s">
        <v>136</v>
      </c>
      <c r="F1095" s="4" t="s">
        <v>1732</v>
      </c>
      <c r="H1095">
        <v>2</v>
      </c>
      <c r="I1095" s="1">
        <v>0</v>
      </c>
      <c r="J1095">
        <v>0</v>
      </c>
      <c r="K1095">
        <v>0</v>
      </c>
      <c r="L1095" s="20">
        <v>18380</v>
      </c>
      <c r="M1095">
        <v>1</v>
      </c>
      <c r="N1095">
        <v>0</v>
      </c>
      <c r="O1095">
        <v>0</v>
      </c>
      <c r="P1095">
        <v>0</v>
      </c>
      <c r="Q1095" s="22">
        <v>54960</v>
      </c>
      <c r="R1095">
        <v>3</v>
      </c>
      <c r="S1095" s="1">
        <v>0</v>
      </c>
      <c r="T1095">
        <v>0</v>
      </c>
      <c r="U1095">
        <v>0</v>
      </c>
      <c r="V1095" s="21">
        <v>27480</v>
      </c>
      <c r="W1095">
        <v>6</v>
      </c>
      <c r="X1095">
        <v>1</v>
      </c>
      <c r="Y1095">
        <v>0</v>
      </c>
      <c r="Z1095">
        <v>3</v>
      </c>
      <c r="AA1095">
        <v>10</v>
      </c>
    </row>
    <row r="1096" spans="1:27" ht="14.25" x14ac:dyDescent="0.2">
      <c r="A1096" s="12">
        <v>20713</v>
      </c>
      <c r="B1096" t="s">
        <v>180</v>
      </c>
      <c r="C1096" t="s">
        <v>121</v>
      </c>
      <c r="D1096" t="s">
        <v>121</v>
      </c>
      <c r="E1096" t="s">
        <v>121</v>
      </c>
      <c r="F1096" s="4" t="s">
        <v>1734</v>
      </c>
      <c r="H1096">
        <v>2</v>
      </c>
      <c r="I1096" s="1">
        <v>0</v>
      </c>
      <c r="J1096">
        <v>0</v>
      </c>
      <c r="K1096">
        <v>0</v>
      </c>
      <c r="L1096" s="20">
        <v>18380</v>
      </c>
      <c r="M1096">
        <v>1</v>
      </c>
      <c r="N1096">
        <v>0</v>
      </c>
      <c r="O1096">
        <v>0</v>
      </c>
      <c r="P1096">
        <v>0</v>
      </c>
      <c r="Q1096" s="22">
        <v>55140</v>
      </c>
      <c r="R1096">
        <v>3</v>
      </c>
      <c r="S1096" s="1">
        <v>0</v>
      </c>
      <c r="T1096">
        <v>0</v>
      </c>
      <c r="U1096">
        <v>0</v>
      </c>
      <c r="V1096" s="21">
        <v>27570</v>
      </c>
      <c r="W1096">
        <v>15</v>
      </c>
      <c r="X1096">
        <v>0</v>
      </c>
      <c r="Y1096">
        <v>0</v>
      </c>
      <c r="Z1096">
        <v>0</v>
      </c>
      <c r="AA1096">
        <v>1</v>
      </c>
    </row>
    <row r="1097" spans="1:27" ht="14.25" x14ac:dyDescent="0.2">
      <c r="A1097" s="12">
        <v>20714</v>
      </c>
      <c r="B1097" t="s">
        <v>178</v>
      </c>
      <c r="C1097" t="s">
        <v>121</v>
      </c>
      <c r="D1097" t="s">
        <v>121</v>
      </c>
      <c r="E1097" t="s">
        <v>121</v>
      </c>
      <c r="F1097" s="4" t="s">
        <v>1734</v>
      </c>
      <c r="H1097">
        <v>2</v>
      </c>
      <c r="I1097" s="1">
        <v>0</v>
      </c>
      <c r="J1097">
        <v>0</v>
      </c>
      <c r="K1097">
        <v>0</v>
      </c>
      <c r="L1097" s="20">
        <v>18380</v>
      </c>
      <c r="M1097">
        <v>1</v>
      </c>
      <c r="N1097">
        <v>0</v>
      </c>
      <c r="O1097">
        <v>0</v>
      </c>
      <c r="P1097">
        <v>0</v>
      </c>
      <c r="Q1097" s="22">
        <v>55140</v>
      </c>
      <c r="R1097">
        <v>3</v>
      </c>
      <c r="S1097" s="1">
        <v>0</v>
      </c>
      <c r="T1097">
        <v>0</v>
      </c>
      <c r="U1097">
        <v>0</v>
      </c>
      <c r="V1097" s="21">
        <v>27570</v>
      </c>
      <c r="W1097">
        <v>21</v>
      </c>
      <c r="X1097">
        <v>0</v>
      </c>
      <c r="Y1097">
        <v>0</v>
      </c>
      <c r="Z1097">
        <v>0</v>
      </c>
      <c r="AA1097">
        <v>1</v>
      </c>
    </row>
    <row r="1098" spans="1:27" ht="14.25" x14ac:dyDescent="0.2">
      <c r="A1098" s="12">
        <v>20715</v>
      </c>
      <c r="B1098" t="s">
        <v>130</v>
      </c>
      <c r="C1098" t="s">
        <v>121</v>
      </c>
      <c r="D1098" t="s">
        <v>121</v>
      </c>
      <c r="E1098" t="s">
        <v>121</v>
      </c>
      <c r="F1098" s="4" t="s">
        <v>1736</v>
      </c>
      <c r="H1098">
        <v>2</v>
      </c>
      <c r="I1098" s="1">
        <v>0</v>
      </c>
      <c r="J1098">
        <v>0</v>
      </c>
      <c r="K1098">
        <v>0</v>
      </c>
      <c r="L1098" s="20">
        <v>18380</v>
      </c>
      <c r="M1098">
        <v>1</v>
      </c>
      <c r="N1098">
        <v>0</v>
      </c>
      <c r="O1098">
        <v>0</v>
      </c>
      <c r="P1098">
        <v>0</v>
      </c>
      <c r="Q1098" s="22">
        <v>55140</v>
      </c>
      <c r="R1098">
        <v>3</v>
      </c>
      <c r="S1098" s="1">
        <v>0</v>
      </c>
      <c r="T1098">
        <v>0</v>
      </c>
      <c r="U1098">
        <v>0</v>
      </c>
      <c r="V1098" s="21">
        <v>27570</v>
      </c>
      <c r="W1098">
        <v>9</v>
      </c>
      <c r="X1098">
        <v>0</v>
      </c>
      <c r="Y1098">
        <v>0</v>
      </c>
      <c r="Z1098">
        <v>0</v>
      </c>
      <c r="AA1098">
        <v>10</v>
      </c>
    </row>
    <row r="1099" spans="1:27" ht="14.25" x14ac:dyDescent="0.2">
      <c r="A1099" s="12">
        <v>20716</v>
      </c>
      <c r="B1099" t="s">
        <v>181</v>
      </c>
      <c r="C1099" t="s">
        <v>121</v>
      </c>
      <c r="D1099" t="s">
        <v>121</v>
      </c>
      <c r="E1099" t="s">
        <v>121</v>
      </c>
      <c r="F1099" s="4" t="s">
        <v>1738</v>
      </c>
      <c r="H1099">
        <v>2</v>
      </c>
      <c r="I1099" s="1">
        <v>0</v>
      </c>
      <c r="J1099">
        <v>0</v>
      </c>
      <c r="K1099">
        <v>0</v>
      </c>
      <c r="L1099" s="20">
        <v>18440</v>
      </c>
      <c r="M1099">
        <v>1</v>
      </c>
      <c r="N1099">
        <v>0</v>
      </c>
      <c r="O1099">
        <v>0</v>
      </c>
      <c r="P1099">
        <v>0</v>
      </c>
      <c r="Q1099" s="22">
        <v>55140</v>
      </c>
      <c r="R1099">
        <v>3</v>
      </c>
      <c r="S1099" s="1">
        <v>0</v>
      </c>
      <c r="T1099">
        <v>0</v>
      </c>
      <c r="U1099">
        <v>0</v>
      </c>
      <c r="V1099" s="21">
        <v>27570</v>
      </c>
      <c r="W1099">
        <v>30</v>
      </c>
      <c r="X1099">
        <v>0</v>
      </c>
      <c r="Y1099">
        <v>0</v>
      </c>
      <c r="Z1099">
        <v>0</v>
      </c>
      <c r="AA1099">
        <v>10</v>
      </c>
    </row>
    <row r="1100" spans="1:27" ht="14.25" x14ac:dyDescent="0.2">
      <c r="A1100" s="12">
        <v>20717</v>
      </c>
      <c r="B1100" t="s">
        <v>122</v>
      </c>
      <c r="C1100" t="s">
        <v>121</v>
      </c>
      <c r="D1100" t="s">
        <v>121</v>
      </c>
      <c r="E1100" t="s">
        <v>121</v>
      </c>
      <c r="F1100" s="4" t="s">
        <v>1738</v>
      </c>
      <c r="H1100">
        <v>2</v>
      </c>
      <c r="I1100" s="1">
        <v>0</v>
      </c>
      <c r="J1100">
        <v>0</v>
      </c>
      <c r="K1100">
        <v>0</v>
      </c>
      <c r="L1100" s="20">
        <v>18440</v>
      </c>
      <c r="M1100">
        <v>1</v>
      </c>
      <c r="N1100">
        <v>0</v>
      </c>
      <c r="O1100">
        <v>0</v>
      </c>
      <c r="P1100">
        <v>0</v>
      </c>
      <c r="Q1100" s="22">
        <v>55140</v>
      </c>
      <c r="R1100">
        <v>3</v>
      </c>
      <c r="S1100" s="1">
        <v>0</v>
      </c>
      <c r="T1100">
        <v>0</v>
      </c>
      <c r="U1100">
        <v>0</v>
      </c>
      <c r="V1100" s="21">
        <v>27570</v>
      </c>
      <c r="W1100">
        <v>4</v>
      </c>
      <c r="X1100">
        <v>0</v>
      </c>
      <c r="Y1100">
        <v>0</v>
      </c>
      <c r="Z1100">
        <v>0</v>
      </c>
      <c r="AA1100">
        <v>10</v>
      </c>
    </row>
    <row r="1101" spans="1:27" ht="14.25" x14ac:dyDescent="0.2">
      <c r="A1101" s="12">
        <v>20718</v>
      </c>
      <c r="B1101" t="s">
        <v>178</v>
      </c>
      <c r="C1101" t="s">
        <v>121</v>
      </c>
      <c r="D1101" t="s">
        <v>121</v>
      </c>
      <c r="E1101" t="s">
        <v>121</v>
      </c>
      <c r="F1101" s="4" t="s">
        <v>1740</v>
      </c>
      <c r="H1101">
        <v>2</v>
      </c>
      <c r="I1101" s="1">
        <v>0</v>
      </c>
      <c r="J1101">
        <v>0</v>
      </c>
      <c r="K1101">
        <v>0</v>
      </c>
      <c r="L1101" s="20">
        <v>18440</v>
      </c>
      <c r="M1101">
        <v>1</v>
      </c>
      <c r="N1101">
        <v>0</v>
      </c>
      <c r="O1101">
        <v>0</v>
      </c>
      <c r="P1101">
        <v>0</v>
      </c>
      <c r="Q1101" s="22">
        <v>55320</v>
      </c>
      <c r="R1101">
        <v>3</v>
      </c>
      <c r="S1101" s="1">
        <v>0</v>
      </c>
      <c r="T1101">
        <v>0</v>
      </c>
      <c r="U1101">
        <v>0</v>
      </c>
      <c r="V1101" s="21">
        <v>27660</v>
      </c>
      <c r="W1101">
        <v>21</v>
      </c>
      <c r="X1101">
        <v>0</v>
      </c>
      <c r="Y1101">
        <v>0</v>
      </c>
      <c r="Z1101">
        <v>0</v>
      </c>
      <c r="AA1101">
        <v>1</v>
      </c>
    </row>
    <row r="1102" spans="1:27" ht="14.25" x14ac:dyDescent="0.2">
      <c r="A1102" s="12">
        <v>20719</v>
      </c>
      <c r="B1102" t="s">
        <v>130</v>
      </c>
      <c r="C1102" t="s">
        <v>121</v>
      </c>
      <c r="D1102" t="s">
        <v>121</v>
      </c>
      <c r="E1102" t="s">
        <v>121</v>
      </c>
      <c r="F1102" s="4" t="s">
        <v>1742</v>
      </c>
      <c r="H1102">
        <v>2</v>
      </c>
      <c r="I1102" s="1">
        <v>0</v>
      </c>
      <c r="J1102">
        <v>0</v>
      </c>
      <c r="K1102">
        <v>0</v>
      </c>
      <c r="L1102" s="20">
        <v>18440</v>
      </c>
      <c r="M1102">
        <v>1</v>
      </c>
      <c r="N1102">
        <v>0</v>
      </c>
      <c r="O1102">
        <v>0</v>
      </c>
      <c r="P1102">
        <v>0</v>
      </c>
      <c r="Q1102" s="22">
        <v>55320</v>
      </c>
      <c r="R1102">
        <v>3</v>
      </c>
      <c r="S1102" s="1">
        <v>0</v>
      </c>
      <c r="T1102">
        <v>0</v>
      </c>
      <c r="U1102">
        <v>0</v>
      </c>
      <c r="V1102" s="21">
        <v>27660</v>
      </c>
      <c r="W1102">
        <v>9</v>
      </c>
      <c r="X1102">
        <v>0</v>
      </c>
      <c r="Y1102">
        <v>0</v>
      </c>
      <c r="Z1102">
        <v>0</v>
      </c>
      <c r="AA1102">
        <v>10</v>
      </c>
    </row>
    <row r="1103" spans="1:27" ht="14.25" x14ac:dyDescent="0.2">
      <c r="A1103" s="12">
        <v>20720</v>
      </c>
      <c r="B1103" t="s">
        <v>123</v>
      </c>
      <c r="C1103" t="s">
        <v>121</v>
      </c>
      <c r="D1103" t="s">
        <v>121</v>
      </c>
      <c r="E1103" t="s">
        <v>121</v>
      </c>
      <c r="F1103" s="4" t="s">
        <v>1742</v>
      </c>
      <c r="H1103">
        <v>2</v>
      </c>
      <c r="I1103" s="1">
        <v>0</v>
      </c>
      <c r="J1103">
        <v>0</v>
      </c>
      <c r="K1103">
        <v>0</v>
      </c>
      <c r="L1103" s="20">
        <v>18440</v>
      </c>
      <c r="M1103">
        <v>1</v>
      </c>
      <c r="N1103">
        <v>0</v>
      </c>
      <c r="O1103">
        <v>0</v>
      </c>
      <c r="P1103">
        <v>0</v>
      </c>
      <c r="Q1103" s="22">
        <v>55320</v>
      </c>
      <c r="R1103">
        <v>3</v>
      </c>
      <c r="S1103" s="1">
        <v>0</v>
      </c>
      <c r="T1103">
        <v>0</v>
      </c>
      <c r="U1103">
        <v>0</v>
      </c>
      <c r="V1103" s="21">
        <v>27660</v>
      </c>
      <c r="W1103">
        <v>12</v>
      </c>
      <c r="X1103">
        <v>0</v>
      </c>
      <c r="Y1103">
        <v>0</v>
      </c>
      <c r="Z1103">
        <v>0</v>
      </c>
      <c r="AA1103">
        <v>10</v>
      </c>
    </row>
    <row r="1104" spans="1:27" ht="14.25" x14ac:dyDescent="0.2">
      <c r="A1104" s="12">
        <v>20721</v>
      </c>
      <c r="B1104" t="s">
        <v>126</v>
      </c>
      <c r="C1104" t="s">
        <v>121</v>
      </c>
      <c r="D1104" t="s">
        <v>121</v>
      </c>
      <c r="E1104" t="s">
        <v>121</v>
      </c>
      <c r="F1104" s="4" t="s">
        <v>1744</v>
      </c>
      <c r="H1104">
        <v>2</v>
      </c>
      <c r="I1104" s="1">
        <v>0</v>
      </c>
      <c r="J1104">
        <v>0</v>
      </c>
      <c r="K1104">
        <v>0</v>
      </c>
      <c r="L1104" s="20">
        <v>18500</v>
      </c>
      <c r="M1104">
        <v>1</v>
      </c>
      <c r="N1104">
        <v>0</v>
      </c>
      <c r="O1104">
        <v>0</v>
      </c>
      <c r="P1104">
        <v>0</v>
      </c>
      <c r="Q1104" s="22">
        <v>55320</v>
      </c>
      <c r="R1104">
        <v>3</v>
      </c>
      <c r="S1104" s="1">
        <v>0</v>
      </c>
      <c r="T1104">
        <v>0</v>
      </c>
      <c r="U1104">
        <v>0</v>
      </c>
      <c r="V1104" s="21">
        <v>27660</v>
      </c>
      <c r="W1104">
        <v>23</v>
      </c>
      <c r="X1104">
        <v>0</v>
      </c>
      <c r="Y1104">
        <v>0</v>
      </c>
      <c r="Z1104">
        <v>0</v>
      </c>
      <c r="AA1104">
        <v>1</v>
      </c>
    </row>
    <row r="1105" spans="1:27" ht="14.25" x14ac:dyDescent="0.2">
      <c r="A1105" s="12">
        <v>20722</v>
      </c>
      <c r="B1105" t="s">
        <v>131</v>
      </c>
      <c r="C1105" t="s">
        <v>125</v>
      </c>
      <c r="D1105" t="s">
        <v>121</v>
      </c>
      <c r="E1105" t="s">
        <v>136</v>
      </c>
      <c r="F1105" s="4" t="s">
        <v>1746</v>
      </c>
      <c r="H1105">
        <v>2</v>
      </c>
      <c r="I1105" s="1">
        <v>0</v>
      </c>
      <c r="J1105">
        <v>0</v>
      </c>
      <c r="K1105">
        <v>0</v>
      </c>
      <c r="L1105" s="20">
        <v>18500</v>
      </c>
      <c r="M1105">
        <v>1</v>
      </c>
      <c r="N1105">
        <v>0</v>
      </c>
      <c r="O1105">
        <v>0</v>
      </c>
      <c r="P1105">
        <v>0</v>
      </c>
      <c r="Q1105" s="22">
        <v>55320</v>
      </c>
      <c r="R1105">
        <v>3</v>
      </c>
      <c r="S1105" s="1">
        <v>0</v>
      </c>
      <c r="T1105">
        <v>0</v>
      </c>
      <c r="U1105">
        <v>0</v>
      </c>
      <c r="V1105" s="21">
        <v>27660</v>
      </c>
      <c r="W1105">
        <v>6</v>
      </c>
      <c r="X1105">
        <v>1</v>
      </c>
      <c r="Y1105">
        <v>0</v>
      </c>
      <c r="Z1105">
        <v>3</v>
      </c>
      <c r="AA1105">
        <v>10</v>
      </c>
    </row>
    <row r="1106" spans="1:27" ht="14.25" x14ac:dyDescent="0.2">
      <c r="A1106" s="12">
        <v>20723</v>
      </c>
      <c r="B1106" t="s">
        <v>180</v>
      </c>
      <c r="C1106" t="s">
        <v>121</v>
      </c>
      <c r="D1106" t="s">
        <v>121</v>
      </c>
      <c r="E1106" t="s">
        <v>121</v>
      </c>
      <c r="F1106" s="4" t="s">
        <v>1748</v>
      </c>
      <c r="H1106">
        <v>2</v>
      </c>
      <c r="I1106" s="1">
        <v>0</v>
      </c>
      <c r="J1106">
        <v>0</v>
      </c>
      <c r="K1106">
        <v>0</v>
      </c>
      <c r="L1106" s="20">
        <v>18500</v>
      </c>
      <c r="M1106">
        <v>1</v>
      </c>
      <c r="N1106">
        <v>0</v>
      </c>
      <c r="O1106">
        <v>0</v>
      </c>
      <c r="P1106">
        <v>0</v>
      </c>
      <c r="Q1106" s="22">
        <v>55500</v>
      </c>
      <c r="R1106">
        <v>3</v>
      </c>
      <c r="S1106" s="1">
        <v>0</v>
      </c>
      <c r="T1106">
        <v>0</v>
      </c>
      <c r="U1106">
        <v>0</v>
      </c>
      <c r="V1106" s="21">
        <v>27750</v>
      </c>
      <c r="W1106">
        <v>15</v>
      </c>
      <c r="X1106">
        <v>0</v>
      </c>
      <c r="Y1106">
        <v>0</v>
      </c>
      <c r="Z1106">
        <v>0</v>
      </c>
      <c r="AA1106">
        <v>1</v>
      </c>
    </row>
    <row r="1107" spans="1:27" ht="14.25" x14ac:dyDescent="0.2">
      <c r="A1107" s="12">
        <v>20724</v>
      </c>
      <c r="B1107" t="s">
        <v>178</v>
      </c>
      <c r="C1107" t="s">
        <v>121</v>
      </c>
      <c r="D1107" t="s">
        <v>121</v>
      </c>
      <c r="E1107" t="s">
        <v>121</v>
      </c>
      <c r="F1107" s="4" t="s">
        <v>1748</v>
      </c>
      <c r="H1107">
        <v>2</v>
      </c>
      <c r="I1107" s="1">
        <v>0</v>
      </c>
      <c r="J1107">
        <v>0</v>
      </c>
      <c r="K1107">
        <v>0</v>
      </c>
      <c r="L1107" s="20">
        <v>18500</v>
      </c>
      <c r="M1107">
        <v>1</v>
      </c>
      <c r="N1107">
        <v>0</v>
      </c>
      <c r="O1107">
        <v>0</v>
      </c>
      <c r="P1107">
        <v>0</v>
      </c>
      <c r="Q1107" s="22">
        <v>55500</v>
      </c>
      <c r="R1107">
        <v>3</v>
      </c>
      <c r="S1107" s="1">
        <v>0</v>
      </c>
      <c r="T1107">
        <v>0</v>
      </c>
      <c r="U1107">
        <v>0</v>
      </c>
      <c r="V1107" s="21">
        <v>27750</v>
      </c>
      <c r="W1107">
        <v>21</v>
      </c>
      <c r="X1107">
        <v>0</v>
      </c>
      <c r="Y1107">
        <v>0</v>
      </c>
      <c r="Z1107">
        <v>0</v>
      </c>
      <c r="AA1107">
        <v>1</v>
      </c>
    </row>
    <row r="1108" spans="1:27" ht="14.25" x14ac:dyDescent="0.2">
      <c r="A1108" s="12">
        <v>20725</v>
      </c>
      <c r="B1108" t="s">
        <v>130</v>
      </c>
      <c r="C1108" t="s">
        <v>121</v>
      </c>
      <c r="D1108" t="s">
        <v>121</v>
      </c>
      <c r="E1108" t="s">
        <v>121</v>
      </c>
      <c r="F1108" s="4" t="s">
        <v>1750</v>
      </c>
      <c r="H1108">
        <v>2</v>
      </c>
      <c r="I1108" s="1">
        <v>0</v>
      </c>
      <c r="J1108">
        <v>0</v>
      </c>
      <c r="K1108">
        <v>0</v>
      </c>
      <c r="L1108" s="20">
        <v>18500</v>
      </c>
      <c r="M1108">
        <v>1</v>
      </c>
      <c r="N1108">
        <v>0</v>
      </c>
      <c r="O1108">
        <v>0</v>
      </c>
      <c r="P1108">
        <v>0</v>
      </c>
      <c r="Q1108" s="22">
        <v>55500</v>
      </c>
      <c r="R1108">
        <v>3</v>
      </c>
      <c r="S1108" s="1">
        <v>0</v>
      </c>
      <c r="T1108">
        <v>0</v>
      </c>
      <c r="U1108">
        <v>0</v>
      </c>
      <c r="V1108" s="21">
        <v>27750</v>
      </c>
      <c r="W1108">
        <v>9</v>
      </c>
      <c r="X1108">
        <v>0</v>
      </c>
      <c r="Y1108">
        <v>0</v>
      </c>
      <c r="Z1108">
        <v>0</v>
      </c>
      <c r="AA1108">
        <v>10</v>
      </c>
    </row>
    <row r="1109" spans="1:27" ht="14.25" x14ac:dyDescent="0.2">
      <c r="A1109" s="12">
        <v>20726</v>
      </c>
      <c r="B1109" t="s">
        <v>181</v>
      </c>
      <c r="C1109" t="s">
        <v>121</v>
      </c>
      <c r="D1109" t="s">
        <v>121</v>
      </c>
      <c r="E1109" t="s">
        <v>121</v>
      </c>
      <c r="F1109" s="4" t="s">
        <v>1752</v>
      </c>
      <c r="H1109">
        <v>2</v>
      </c>
      <c r="I1109" s="1">
        <v>0</v>
      </c>
      <c r="J1109">
        <v>0</v>
      </c>
      <c r="K1109">
        <v>0</v>
      </c>
      <c r="L1109" s="20">
        <v>18560</v>
      </c>
      <c r="M1109">
        <v>1</v>
      </c>
      <c r="N1109">
        <v>0</v>
      </c>
      <c r="O1109">
        <v>0</v>
      </c>
      <c r="P1109">
        <v>0</v>
      </c>
      <c r="Q1109" s="22">
        <v>55500</v>
      </c>
      <c r="R1109">
        <v>3</v>
      </c>
      <c r="S1109" s="1">
        <v>0</v>
      </c>
      <c r="T1109">
        <v>0</v>
      </c>
      <c r="U1109">
        <v>0</v>
      </c>
      <c r="V1109" s="21">
        <v>27750</v>
      </c>
      <c r="W1109">
        <v>30</v>
      </c>
      <c r="X1109">
        <v>0</v>
      </c>
      <c r="Y1109">
        <v>0</v>
      </c>
      <c r="Z1109">
        <v>0</v>
      </c>
      <c r="AA1109">
        <v>10</v>
      </c>
    </row>
    <row r="1110" spans="1:27" ht="14.25" x14ac:dyDescent="0.2">
      <c r="A1110" s="12">
        <v>20727</v>
      </c>
      <c r="B1110" t="s">
        <v>122</v>
      </c>
      <c r="C1110" t="s">
        <v>121</v>
      </c>
      <c r="D1110" t="s">
        <v>121</v>
      </c>
      <c r="E1110" t="s">
        <v>121</v>
      </c>
      <c r="F1110" s="4" t="s">
        <v>1752</v>
      </c>
      <c r="H1110">
        <v>2</v>
      </c>
      <c r="I1110" s="1">
        <v>0</v>
      </c>
      <c r="J1110">
        <v>0</v>
      </c>
      <c r="K1110">
        <v>0</v>
      </c>
      <c r="L1110" s="20">
        <v>18560</v>
      </c>
      <c r="M1110">
        <v>1</v>
      </c>
      <c r="N1110">
        <v>0</v>
      </c>
      <c r="O1110">
        <v>0</v>
      </c>
      <c r="P1110">
        <v>0</v>
      </c>
      <c r="Q1110" s="22">
        <v>55500</v>
      </c>
      <c r="R1110">
        <v>3</v>
      </c>
      <c r="S1110" s="1">
        <v>0</v>
      </c>
      <c r="T1110">
        <v>0</v>
      </c>
      <c r="U1110">
        <v>0</v>
      </c>
      <c r="V1110" s="21">
        <v>27750</v>
      </c>
      <c r="W1110">
        <v>4</v>
      </c>
      <c r="X1110">
        <v>0</v>
      </c>
      <c r="Y1110">
        <v>0</v>
      </c>
      <c r="Z1110">
        <v>0</v>
      </c>
      <c r="AA1110">
        <v>10</v>
      </c>
    </row>
    <row r="1111" spans="1:27" ht="14.25" x14ac:dyDescent="0.2">
      <c r="A1111" s="12">
        <v>20728</v>
      </c>
      <c r="B1111" t="s">
        <v>178</v>
      </c>
      <c r="C1111" t="s">
        <v>121</v>
      </c>
      <c r="D1111" t="s">
        <v>121</v>
      </c>
      <c r="E1111" t="s">
        <v>121</v>
      </c>
      <c r="F1111" s="4" t="s">
        <v>1754</v>
      </c>
      <c r="H1111">
        <v>2</v>
      </c>
      <c r="I1111" s="1">
        <v>0</v>
      </c>
      <c r="J1111">
        <v>0</v>
      </c>
      <c r="K1111">
        <v>0</v>
      </c>
      <c r="L1111" s="20">
        <v>18560</v>
      </c>
      <c r="M1111">
        <v>1</v>
      </c>
      <c r="N1111">
        <v>0</v>
      </c>
      <c r="O1111">
        <v>0</v>
      </c>
      <c r="P1111">
        <v>0</v>
      </c>
      <c r="Q1111" s="22">
        <v>55680</v>
      </c>
      <c r="R1111">
        <v>3</v>
      </c>
      <c r="S1111" s="1">
        <v>0</v>
      </c>
      <c r="T1111">
        <v>0</v>
      </c>
      <c r="U1111">
        <v>0</v>
      </c>
      <c r="V1111" s="21">
        <v>27840</v>
      </c>
      <c r="W1111">
        <v>21</v>
      </c>
      <c r="X1111">
        <v>0</v>
      </c>
      <c r="Y1111">
        <v>0</v>
      </c>
      <c r="Z1111">
        <v>0</v>
      </c>
      <c r="AA1111">
        <v>1</v>
      </c>
    </row>
    <row r="1112" spans="1:27" ht="14.25" x14ac:dyDescent="0.2">
      <c r="A1112" s="12">
        <v>20729</v>
      </c>
      <c r="B1112" t="s">
        <v>130</v>
      </c>
      <c r="C1112" t="s">
        <v>121</v>
      </c>
      <c r="D1112" t="s">
        <v>121</v>
      </c>
      <c r="E1112" t="s">
        <v>121</v>
      </c>
      <c r="F1112" s="4" t="s">
        <v>1756</v>
      </c>
      <c r="H1112">
        <v>2</v>
      </c>
      <c r="I1112" s="1">
        <v>0</v>
      </c>
      <c r="J1112">
        <v>0</v>
      </c>
      <c r="K1112">
        <v>0</v>
      </c>
      <c r="L1112" s="20">
        <v>18560</v>
      </c>
      <c r="M1112">
        <v>1</v>
      </c>
      <c r="N1112">
        <v>0</v>
      </c>
      <c r="O1112">
        <v>0</v>
      </c>
      <c r="P1112">
        <v>0</v>
      </c>
      <c r="Q1112" s="22">
        <v>55680</v>
      </c>
      <c r="R1112">
        <v>3</v>
      </c>
      <c r="S1112" s="1">
        <v>0</v>
      </c>
      <c r="T1112">
        <v>0</v>
      </c>
      <c r="U1112">
        <v>0</v>
      </c>
      <c r="V1112" s="21">
        <v>27840</v>
      </c>
      <c r="W1112">
        <v>9</v>
      </c>
      <c r="X1112">
        <v>0</v>
      </c>
      <c r="Y1112">
        <v>0</v>
      </c>
      <c r="Z1112">
        <v>0</v>
      </c>
      <c r="AA1112">
        <v>10</v>
      </c>
    </row>
    <row r="1113" spans="1:27" ht="14.25" x14ac:dyDescent="0.2">
      <c r="A1113" s="12">
        <v>20730</v>
      </c>
      <c r="B1113" t="s">
        <v>123</v>
      </c>
      <c r="C1113" t="s">
        <v>121</v>
      </c>
      <c r="D1113" t="s">
        <v>121</v>
      </c>
      <c r="E1113" t="s">
        <v>121</v>
      </c>
      <c r="F1113" s="4" t="s">
        <v>1756</v>
      </c>
      <c r="H1113">
        <v>2</v>
      </c>
      <c r="I1113" s="1">
        <v>0</v>
      </c>
      <c r="J1113">
        <v>0</v>
      </c>
      <c r="K1113">
        <v>0</v>
      </c>
      <c r="L1113" s="20">
        <v>18560</v>
      </c>
      <c r="M1113">
        <v>1</v>
      </c>
      <c r="N1113">
        <v>0</v>
      </c>
      <c r="O1113">
        <v>0</v>
      </c>
      <c r="P1113">
        <v>0</v>
      </c>
      <c r="Q1113" s="22">
        <v>55680</v>
      </c>
      <c r="R1113">
        <v>3</v>
      </c>
      <c r="S1113" s="1">
        <v>0</v>
      </c>
      <c r="T1113">
        <v>0</v>
      </c>
      <c r="U1113">
        <v>0</v>
      </c>
      <c r="V1113" s="21">
        <v>27840</v>
      </c>
      <c r="W1113">
        <v>12</v>
      </c>
      <c r="X1113">
        <v>0</v>
      </c>
      <c r="Y1113">
        <v>0</v>
      </c>
      <c r="Z1113">
        <v>0</v>
      </c>
      <c r="AA1113">
        <v>10</v>
      </c>
    </row>
    <row r="1114" spans="1:27" ht="14.25" x14ac:dyDescent="0.2">
      <c r="A1114" s="12">
        <v>20731</v>
      </c>
      <c r="B1114" t="s">
        <v>126</v>
      </c>
      <c r="C1114" t="s">
        <v>121</v>
      </c>
      <c r="D1114" t="s">
        <v>121</v>
      </c>
      <c r="E1114" t="s">
        <v>121</v>
      </c>
      <c r="F1114" s="4" t="s">
        <v>1758</v>
      </c>
      <c r="H1114">
        <v>2</v>
      </c>
      <c r="I1114" s="1">
        <v>0</v>
      </c>
      <c r="J1114">
        <v>0</v>
      </c>
      <c r="K1114">
        <v>0</v>
      </c>
      <c r="L1114" s="20">
        <v>18620</v>
      </c>
      <c r="M1114">
        <v>1</v>
      </c>
      <c r="N1114">
        <v>0</v>
      </c>
      <c r="O1114">
        <v>0</v>
      </c>
      <c r="P1114">
        <v>0</v>
      </c>
      <c r="Q1114" s="22">
        <v>55680</v>
      </c>
      <c r="R1114">
        <v>3</v>
      </c>
      <c r="S1114" s="1">
        <v>0</v>
      </c>
      <c r="T1114">
        <v>0</v>
      </c>
      <c r="U1114">
        <v>0</v>
      </c>
      <c r="V1114" s="21">
        <v>27840</v>
      </c>
      <c r="W1114">
        <v>23</v>
      </c>
      <c r="X1114">
        <v>0</v>
      </c>
      <c r="Y1114">
        <v>0</v>
      </c>
      <c r="Z1114">
        <v>0</v>
      </c>
      <c r="AA1114">
        <v>1</v>
      </c>
    </row>
    <row r="1115" spans="1:27" ht="14.25" x14ac:dyDescent="0.2">
      <c r="A1115" s="12">
        <v>20732</v>
      </c>
      <c r="B1115" t="s">
        <v>131</v>
      </c>
      <c r="C1115" t="s">
        <v>125</v>
      </c>
      <c r="D1115" t="s">
        <v>121</v>
      </c>
      <c r="E1115" t="s">
        <v>136</v>
      </c>
      <c r="F1115" s="4" t="s">
        <v>1760</v>
      </c>
      <c r="H1115">
        <v>2</v>
      </c>
      <c r="I1115" s="1">
        <v>0</v>
      </c>
      <c r="J1115">
        <v>0</v>
      </c>
      <c r="K1115">
        <v>0</v>
      </c>
      <c r="L1115" s="20">
        <v>18620</v>
      </c>
      <c r="M1115">
        <v>1</v>
      </c>
      <c r="N1115">
        <v>0</v>
      </c>
      <c r="O1115">
        <v>0</v>
      </c>
      <c r="P1115">
        <v>0</v>
      </c>
      <c r="Q1115" s="22">
        <v>55680</v>
      </c>
      <c r="R1115">
        <v>3</v>
      </c>
      <c r="S1115" s="1">
        <v>0</v>
      </c>
      <c r="T1115">
        <v>0</v>
      </c>
      <c r="U1115">
        <v>0</v>
      </c>
      <c r="V1115" s="21">
        <v>27840</v>
      </c>
      <c r="W1115">
        <v>6</v>
      </c>
      <c r="X1115">
        <v>1</v>
      </c>
      <c r="Y1115">
        <v>0</v>
      </c>
      <c r="Z1115">
        <v>3</v>
      </c>
      <c r="AA1115">
        <v>10</v>
      </c>
    </row>
    <row r="1116" spans="1:27" ht="14.25" x14ac:dyDescent="0.2">
      <c r="A1116" s="12">
        <v>20733</v>
      </c>
      <c r="B1116" t="s">
        <v>180</v>
      </c>
      <c r="C1116" t="s">
        <v>121</v>
      </c>
      <c r="D1116" t="s">
        <v>121</v>
      </c>
      <c r="E1116" t="s">
        <v>121</v>
      </c>
      <c r="F1116" s="4" t="s">
        <v>1762</v>
      </c>
      <c r="H1116">
        <v>2</v>
      </c>
      <c r="I1116" s="1">
        <v>0</v>
      </c>
      <c r="J1116">
        <v>0</v>
      </c>
      <c r="K1116">
        <v>0</v>
      </c>
      <c r="L1116" s="20">
        <v>18620</v>
      </c>
      <c r="M1116">
        <v>1</v>
      </c>
      <c r="N1116">
        <v>0</v>
      </c>
      <c r="O1116">
        <v>0</v>
      </c>
      <c r="P1116">
        <v>0</v>
      </c>
      <c r="Q1116" s="22">
        <v>55860</v>
      </c>
      <c r="R1116">
        <v>3</v>
      </c>
      <c r="S1116" s="1">
        <v>0</v>
      </c>
      <c r="T1116">
        <v>0</v>
      </c>
      <c r="U1116">
        <v>0</v>
      </c>
      <c r="V1116" s="21">
        <v>27930</v>
      </c>
      <c r="W1116">
        <v>15</v>
      </c>
      <c r="X1116">
        <v>0</v>
      </c>
      <c r="Y1116">
        <v>0</v>
      </c>
      <c r="Z1116">
        <v>0</v>
      </c>
      <c r="AA1116">
        <v>1</v>
      </c>
    </row>
    <row r="1117" spans="1:27" ht="14.25" x14ac:dyDescent="0.2">
      <c r="A1117" s="12">
        <v>20734</v>
      </c>
      <c r="B1117" t="s">
        <v>178</v>
      </c>
      <c r="C1117" t="s">
        <v>121</v>
      </c>
      <c r="D1117" t="s">
        <v>121</v>
      </c>
      <c r="E1117" t="s">
        <v>121</v>
      </c>
      <c r="F1117" s="4" t="s">
        <v>1762</v>
      </c>
      <c r="H1117">
        <v>2</v>
      </c>
      <c r="I1117" s="1">
        <v>0</v>
      </c>
      <c r="J1117">
        <v>0</v>
      </c>
      <c r="K1117">
        <v>0</v>
      </c>
      <c r="L1117" s="20">
        <v>18620</v>
      </c>
      <c r="M1117">
        <v>1</v>
      </c>
      <c r="N1117">
        <v>0</v>
      </c>
      <c r="O1117">
        <v>0</v>
      </c>
      <c r="P1117">
        <v>0</v>
      </c>
      <c r="Q1117" s="22">
        <v>55860</v>
      </c>
      <c r="R1117">
        <v>3</v>
      </c>
      <c r="S1117" s="1">
        <v>0</v>
      </c>
      <c r="T1117">
        <v>0</v>
      </c>
      <c r="U1117">
        <v>0</v>
      </c>
      <c r="V1117" s="21">
        <v>27930</v>
      </c>
      <c r="W1117">
        <v>21</v>
      </c>
      <c r="X1117">
        <v>0</v>
      </c>
      <c r="Y1117">
        <v>0</v>
      </c>
      <c r="Z1117">
        <v>0</v>
      </c>
      <c r="AA1117">
        <v>1</v>
      </c>
    </row>
    <row r="1118" spans="1:27" ht="14.25" x14ac:dyDescent="0.2">
      <c r="A1118" s="12">
        <v>20735</v>
      </c>
      <c r="B1118" t="s">
        <v>130</v>
      </c>
      <c r="C1118" t="s">
        <v>121</v>
      </c>
      <c r="D1118" t="s">
        <v>121</v>
      </c>
      <c r="E1118" t="s">
        <v>121</v>
      </c>
      <c r="F1118" s="4" t="s">
        <v>1764</v>
      </c>
      <c r="H1118">
        <v>2</v>
      </c>
      <c r="I1118" s="1">
        <v>0</v>
      </c>
      <c r="J1118">
        <v>0</v>
      </c>
      <c r="K1118">
        <v>0</v>
      </c>
      <c r="L1118" s="20">
        <v>18620</v>
      </c>
      <c r="M1118">
        <v>1</v>
      </c>
      <c r="N1118">
        <v>0</v>
      </c>
      <c r="O1118">
        <v>0</v>
      </c>
      <c r="P1118">
        <v>0</v>
      </c>
      <c r="Q1118" s="22">
        <v>55860</v>
      </c>
      <c r="R1118">
        <v>3</v>
      </c>
      <c r="S1118" s="1">
        <v>0</v>
      </c>
      <c r="T1118">
        <v>0</v>
      </c>
      <c r="U1118">
        <v>0</v>
      </c>
      <c r="V1118" s="21">
        <v>27930</v>
      </c>
      <c r="W1118">
        <v>9</v>
      </c>
      <c r="X1118">
        <v>0</v>
      </c>
      <c r="Y1118">
        <v>0</v>
      </c>
      <c r="Z1118">
        <v>0</v>
      </c>
      <c r="AA1118">
        <v>10</v>
      </c>
    </row>
    <row r="1119" spans="1:27" ht="14.25" x14ac:dyDescent="0.2">
      <c r="A1119" s="12">
        <v>20736</v>
      </c>
      <c r="B1119" t="s">
        <v>181</v>
      </c>
      <c r="C1119" t="s">
        <v>121</v>
      </c>
      <c r="D1119" t="s">
        <v>121</v>
      </c>
      <c r="E1119" t="s">
        <v>121</v>
      </c>
      <c r="F1119" s="4" t="s">
        <v>1766</v>
      </c>
      <c r="H1119">
        <v>2</v>
      </c>
      <c r="I1119" s="1">
        <v>0</v>
      </c>
      <c r="J1119">
        <v>0</v>
      </c>
      <c r="K1119">
        <v>0</v>
      </c>
      <c r="L1119" s="20">
        <v>18680</v>
      </c>
      <c r="M1119">
        <v>1</v>
      </c>
      <c r="N1119">
        <v>0</v>
      </c>
      <c r="O1119">
        <v>0</v>
      </c>
      <c r="P1119">
        <v>0</v>
      </c>
      <c r="Q1119" s="22">
        <v>55860</v>
      </c>
      <c r="R1119">
        <v>3</v>
      </c>
      <c r="S1119" s="1">
        <v>0</v>
      </c>
      <c r="T1119">
        <v>0</v>
      </c>
      <c r="U1119">
        <v>0</v>
      </c>
      <c r="V1119" s="21">
        <v>27930</v>
      </c>
      <c r="W1119">
        <v>30</v>
      </c>
      <c r="X1119">
        <v>0</v>
      </c>
      <c r="Y1119">
        <v>0</v>
      </c>
      <c r="Z1119">
        <v>0</v>
      </c>
      <c r="AA1119">
        <v>10</v>
      </c>
    </row>
    <row r="1120" spans="1:27" ht="14.25" x14ac:dyDescent="0.2">
      <c r="A1120" s="12">
        <v>20737</v>
      </c>
      <c r="B1120" t="s">
        <v>122</v>
      </c>
      <c r="C1120" t="s">
        <v>121</v>
      </c>
      <c r="D1120" t="s">
        <v>121</v>
      </c>
      <c r="E1120" t="s">
        <v>121</v>
      </c>
      <c r="F1120" s="4" t="s">
        <v>1766</v>
      </c>
      <c r="H1120">
        <v>2</v>
      </c>
      <c r="I1120" s="1">
        <v>0</v>
      </c>
      <c r="J1120">
        <v>0</v>
      </c>
      <c r="K1120">
        <v>0</v>
      </c>
      <c r="L1120" s="20">
        <v>18680</v>
      </c>
      <c r="M1120">
        <v>1</v>
      </c>
      <c r="N1120">
        <v>0</v>
      </c>
      <c r="O1120">
        <v>0</v>
      </c>
      <c r="P1120">
        <v>0</v>
      </c>
      <c r="Q1120" s="22">
        <v>55860</v>
      </c>
      <c r="R1120">
        <v>3</v>
      </c>
      <c r="S1120" s="1">
        <v>0</v>
      </c>
      <c r="T1120">
        <v>0</v>
      </c>
      <c r="U1120">
        <v>0</v>
      </c>
      <c r="V1120" s="21">
        <v>27930</v>
      </c>
      <c r="W1120">
        <v>4</v>
      </c>
      <c r="X1120">
        <v>0</v>
      </c>
      <c r="Y1120">
        <v>0</v>
      </c>
      <c r="Z1120">
        <v>0</v>
      </c>
      <c r="AA1120">
        <v>10</v>
      </c>
    </row>
    <row r="1121" spans="1:27" ht="14.25" x14ac:dyDescent="0.2">
      <c r="A1121" s="12">
        <v>20738</v>
      </c>
      <c r="B1121" t="s">
        <v>178</v>
      </c>
      <c r="C1121" t="s">
        <v>121</v>
      </c>
      <c r="D1121" t="s">
        <v>121</v>
      </c>
      <c r="E1121" t="s">
        <v>121</v>
      </c>
      <c r="F1121" s="4" t="s">
        <v>1768</v>
      </c>
      <c r="H1121">
        <v>2</v>
      </c>
      <c r="I1121" s="1">
        <v>0</v>
      </c>
      <c r="J1121">
        <v>0</v>
      </c>
      <c r="K1121">
        <v>0</v>
      </c>
      <c r="L1121" s="20">
        <v>18680</v>
      </c>
      <c r="M1121">
        <v>1</v>
      </c>
      <c r="N1121">
        <v>0</v>
      </c>
      <c r="O1121">
        <v>0</v>
      </c>
      <c r="P1121">
        <v>0</v>
      </c>
      <c r="Q1121" s="22">
        <v>56040</v>
      </c>
      <c r="R1121">
        <v>3</v>
      </c>
      <c r="S1121" s="1">
        <v>0</v>
      </c>
      <c r="T1121">
        <v>0</v>
      </c>
      <c r="U1121">
        <v>0</v>
      </c>
      <c r="V1121" s="21">
        <v>28020</v>
      </c>
      <c r="W1121">
        <v>21</v>
      </c>
      <c r="X1121">
        <v>0</v>
      </c>
      <c r="Y1121">
        <v>0</v>
      </c>
      <c r="Z1121">
        <v>0</v>
      </c>
      <c r="AA1121">
        <v>1</v>
      </c>
    </row>
    <row r="1122" spans="1:27" ht="14.25" x14ac:dyDescent="0.2">
      <c r="A1122" s="12">
        <v>20739</v>
      </c>
      <c r="B1122" t="s">
        <v>130</v>
      </c>
      <c r="C1122" t="s">
        <v>121</v>
      </c>
      <c r="D1122" t="s">
        <v>121</v>
      </c>
      <c r="E1122" t="s">
        <v>121</v>
      </c>
      <c r="F1122" s="4" t="s">
        <v>1770</v>
      </c>
      <c r="H1122">
        <v>2</v>
      </c>
      <c r="I1122" s="1">
        <v>0</v>
      </c>
      <c r="J1122">
        <v>0</v>
      </c>
      <c r="K1122">
        <v>0</v>
      </c>
      <c r="L1122" s="20">
        <v>18680</v>
      </c>
      <c r="M1122">
        <v>1</v>
      </c>
      <c r="N1122">
        <v>0</v>
      </c>
      <c r="O1122">
        <v>0</v>
      </c>
      <c r="P1122">
        <v>0</v>
      </c>
      <c r="Q1122" s="22">
        <v>56040</v>
      </c>
      <c r="R1122">
        <v>3</v>
      </c>
      <c r="S1122" s="1">
        <v>0</v>
      </c>
      <c r="T1122">
        <v>0</v>
      </c>
      <c r="U1122">
        <v>0</v>
      </c>
      <c r="V1122" s="21">
        <v>28020</v>
      </c>
      <c r="W1122">
        <v>9</v>
      </c>
      <c r="X1122">
        <v>0</v>
      </c>
      <c r="Y1122">
        <v>0</v>
      </c>
      <c r="Z1122">
        <v>0</v>
      </c>
      <c r="AA1122">
        <v>10</v>
      </c>
    </row>
    <row r="1123" spans="1:27" ht="14.25" x14ac:dyDescent="0.2">
      <c r="A1123" s="12">
        <v>20740</v>
      </c>
      <c r="B1123" t="s">
        <v>123</v>
      </c>
      <c r="C1123" t="s">
        <v>121</v>
      </c>
      <c r="D1123" t="s">
        <v>121</v>
      </c>
      <c r="E1123" t="s">
        <v>121</v>
      </c>
      <c r="F1123" s="4" t="s">
        <v>1770</v>
      </c>
      <c r="H1123">
        <v>2</v>
      </c>
      <c r="I1123" s="1">
        <v>0</v>
      </c>
      <c r="J1123">
        <v>0</v>
      </c>
      <c r="K1123">
        <v>0</v>
      </c>
      <c r="L1123" s="20">
        <v>18680</v>
      </c>
      <c r="M1123">
        <v>1</v>
      </c>
      <c r="N1123">
        <v>0</v>
      </c>
      <c r="O1123">
        <v>0</v>
      </c>
      <c r="P1123">
        <v>0</v>
      </c>
      <c r="Q1123" s="22">
        <v>56040</v>
      </c>
      <c r="R1123">
        <v>3</v>
      </c>
      <c r="S1123" s="1">
        <v>0</v>
      </c>
      <c r="T1123">
        <v>0</v>
      </c>
      <c r="U1123">
        <v>0</v>
      </c>
      <c r="V1123" s="21">
        <v>28020</v>
      </c>
      <c r="W1123">
        <v>12</v>
      </c>
      <c r="X1123">
        <v>0</v>
      </c>
      <c r="Y1123">
        <v>0</v>
      </c>
      <c r="Z1123">
        <v>0</v>
      </c>
      <c r="AA1123">
        <v>10</v>
      </c>
    </row>
    <row r="1124" spans="1:27" ht="14.25" x14ac:dyDescent="0.2">
      <c r="A1124" s="12">
        <v>20741</v>
      </c>
      <c r="B1124" t="s">
        <v>126</v>
      </c>
      <c r="C1124" t="s">
        <v>121</v>
      </c>
      <c r="D1124" t="s">
        <v>121</v>
      </c>
      <c r="E1124" t="s">
        <v>121</v>
      </c>
      <c r="F1124" s="4" t="s">
        <v>1772</v>
      </c>
      <c r="H1124">
        <v>2</v>
      </c>
      <c r="I1124" s="1">
        <v>0</v>
      </c>
      <c r="J1124">
        <v>0</v>
      </c>
      <c r="K1124">
        <v>0</v>
      </c>
      <c r="L1124" s="20">
        <v>18740</v>
      </c>
      <c r="M1124">
        <v>1</v>
      </c>
      <c r="N1124">
        <v>0</v>
      </c>
      <c r="O1124">
        <v>0</v>
      </c>
      <c r="P1124">
        <v>0</v>
      </c>
      <c r="Q1124" s="22">
        <v>56040</v>
      </c>
      <c r="R1124">
        <v>3</v>
      </c>
      <c r="S1124" s="1">
        <v>0</v>
      </c>
      <c r="T1124">
        <v>0</v>
      </c>
      <c r="U1124">
        <v>0</v>
      </c>
      <c r="V1124" s="21">
        <v>28020</v>
      </c>
      <c r="W1124">
        <v>23</v>
      </c>
      <c r="X1124">
        <v>0</v>
      </c>
      <c r="Y1124">
        <v>0</v>
      </c>
      <c r="Z1124">
        <v>0</v>
      </c>
      <c r="AA1124">
        <v>1</v>
      </c>
    </row>
    <row r="1125" spans="1:27" ht="14.25" x14ac:dyDescent="0.2">
      <c r="A1125" s="12">
        <v>20742</v>
      </c>
      <c r="B1125" t="s">
        <v>131</v>
      </c>
      <c r="C1125" t="s">
        <v>125</v>
      </c>
      <c r="D1125" t="s">
        <v>121</v>
      </c>
      <c r="E1125" t="s">
        <v>136</v>
      </c>
      <c r="F1125" s="4" t="s">
        <v>1774</v>
      </c>
      <c r="H1125">
        <v>2</v>
      </c>
      <c r="I1125" s="1">
        <v>0</v>
      </c>
      <c r="J1125">
        <v>0</v>
      </c>
      <c r="K1125">
        <v>0</v>
      </c>
      <c r="L1125" s="20">
        <v>18740</v>
      </c>
      <c r="M1125">
        <v>1</v>
      </c>
      <c r="N1125">
        <v>0</v>
      </c>
      <c r="O1125">
        <v>0</v>
      </c>
      <c r="P1125">
        <v>0</v>
      </c>
      <c r="Q1125" s="22">
        <v>56040</v>
      </c>
      <c r="R1125">
        <v>3</v>
      </c>
      <c r="S1125" s="1">
        <v>0</v>
      </c>
      <c r="T1125">
        <v>0</v>
      </c>
      <c r="U1125">
        <v>0</v>
      </c>
      <c r="V1125" s="21">
        <v>28020</v>
      </c>
      <c r="W1125">
        <v>6</v>
      </c>
      <c r="X1125">
        <v>1</v>
      </c>
      <c r="Y1125">
        <v>0</v>
      </c>
      <c r="Z1125">
        <v>3</v>
      </c>
      <c r="AA1125">
        <v>10</v>
      </c>
    </row>
    <row r="1126" spans="1:27" ht="14.25" x14ac:dyDescent="0.2">
      <c r="A1126" s="12">
        <v>20743</v>
      </c>
      <c r="B1126" t="s">
        <v>180</v>
      </c>
      <c r="C1126" t="s">
        <v>121</v>
      </c>
      <c r="D1126" t="s">
        <v>121</v>
      </c>
      <c r="E1126" t="s">
        <v>121</v>
      </c>
      <c r="F1126" s="4" t="s">
        <v>1776</v>
      </c>
      <c r="H1126">
        <v>2</v>
      </c>
      <c r="I1126" s="1">
        <v>0</v>
      </c>
      <c r="J1126">
        <v>0</v>
      </c>
      <c r="K1126">
        <v>0</v>
      </c>
      <c r="L1126" s="20">
        <v>18740</v>
      </c>
      <c r="M1126">
        <v>1</v>
      </c>
      <c r="N1126">
        <v>0</v>
      </c>
      <c r="O1126">
        <v>0</v>
      </c>
      <c r="P1126">
        <v>0</v>
      </c>
      <c r="Q1126" s="22">
        <v>56220</v>
      </c>
      <c r="R1126">
        <v>3</v>
      </c>
      <c r="S1126" s="1">
        <v>0</v>
      </c>
      <c r="T1126">
        <v>0</v>
      </c>
      <c r="U1126">
        <v>0</v>
      </c>
      <c r="V1126" s="21">
        <v>28110</v>
      </c>
      <c r="W1126">
        <v>15</v>
      </c>
      <c r="X1126">
        <v>0</v>
      </c>
      <c r="Y1126">
        <v>0</v>
      </c>
      <c r="Z1126">
        <v>0</v>
      </c>
      <c r="AA1126">
        <v>1</v>
      </c>
    </row>
    <row r="1127" spans="1:27" ht="14.25" x14ac:dyDescent="0.2">
      <c r="A1127" s="12">
        <v>20744</v>
      </c>
      <c r="B1127" t="s">
        <v>178</v>
      </c>
      <c r="C1127" t="s">
        <v>121</v>
      </c>
      <c r="D1127" t="s">
        <v>121</v>
      </c>
      <c r="E1127" t="s">
        <v>121</v>
      </c>
      <c r="F1127" s="4" t="s">
        <v>1776</v>
      </c>
      <c r="H1127">
        <v>2</v>
      </c>
      <c r="I1127" s="1">
        <v>0</v>
      </c>
      <c r="J1127">
        <v>0</v>
      </c>
      <c r="K1127">
        <v>0</v>
      </c>
      <c r="L1127" s="20">
        <v>18740</v>
      </c>
      <c r="M1127">
        <v>1</v>
      </c>
      <c r="N1127">
        <v>0</v>
      </c>
      <c r="O1127">
        <v>0</v>
      </c>
      <c r="P1127">
        <v>0</v>
      </c>
      <c r="Q1127" s="22">
        <v>56220</v>
      </c>
      <c r="R1127">
        <v>3</v>
      </c>
      <c r="S1127" s="1">
        <v>0</v>
      </c>
      <c r="T1127">
        <v>0</v>
      </c>
      <c r="U1127">
        <v>0</v>
      </c>
      <c r="V1127" s="21">
        <v>28110</v>
      </c>
      <c r="W1127">
        <v>21</v>
      </c>
      <c r="X1127">
        <v>0</v>
      </c>
      <c r="Y1127">
        <v>0</v>
      </c>
      <c r="Z1127">
        <v>0</v>
      </c>
      <c r="AA1127">
        <v>1</v>
      </c>
    </row>
    <row r="1128" spans="1:27" ht="14.25" x14ac:dyDescent="0.2">
      <c r="A1128" s="12">
        <v>20745</v>
      </c>
      <c r="B1128" t="s">
        <v>130</v>
      </c>
      <c r="C1128" t="s">
        <v>121</v>
      </c>
      <c r="D1128" t="s">
        <v>121</v>
      </c>
      <c r="E1128" t="s">
        <v>121</v>
      </c>
      <c r="F1128" s="4" t="s">
        <v>1778</v>
      </c>
      <c r="H1128">
        <v>2</v>
      </c>
      <c r="I1128" s="1">
        <v>0</v>
      </c>
      <c r="J1128">
        <v>0</v>
      </c>
      <c r="K1128">
        <v>0</v>
      </c>
      <c r="L1128" s="20">
        <v>18740</v>
      </c>
      <c r="M1128">
        <v>1</v>
      </c>
      <c r="N1128">
        <v>0</v>
      </c>
      <c r="O1128">
        <v>0</v>
      </c>
      <c r="P1128">
        <v>0</v>
      </c>
      <c r="Q1128" s="22">
        <v>56220</v>
      </c>
      <c r="R1128">
        <v>3</v>
      </c>
      <c r="S1128" s="1">
        <v>0</v>
      </c>
      <c r="T1128">
        <v>0</v>
      </c>
      <c r="U1128">
        <v>0</v>
      </c>
      <c r="V1128" s="21">
        <v>28110</v>
      </c>
      <c r="W1128">
        <v>9</v>
      </c>
      <c r="X1128">
        <v>0</v>
      </c>
      <c r="Y1128">
        <v>0</v>
      </c>
      <c r="Z1128">
        <v>0</v>
      </c>
      <c r="AA1128">
        <v>10</v>
      </c>
    </row>
    <row r="1129" spans="1:27" ht="14.25" x14ac:dyDescent="0.2">
      <c r="A1129" s="12">
        <v>20746</v>
      </c>
      <c r="B1129" t="s">
        <v>181</v>
      </c>
      <c r="C1129" t="s">
        <v>121</v>
      </c>
      <c r="D1129" t="s">
        <v>121</v>
      </c>
      <c r="E1129" t="s">
        <v>121</v>
      </c>
      <c r="F1129" s="4" t="s">
        <v>1780</v>
      </c>
      <c r="H1129">
        <v>2</v>
      </c>
      <c r="I1129" s="1">
        <v>0</v>
      </c>
      <c r="J1129">
        <v>0</v>
      </c>
      <c r="K1129">
        <v>0</v>
      </c>
      <c r="L1129" s="20">
        <v>18800</v>
      </c>
      <c r="M1129">
        <v>1</v>
      </c>
      <c r="N1129">
        <v>0</v>
      </c>
      <c r="O1129">
        <v>0</v>
      </c>
      <c r="P1129">
        <v>0</v>
      </c>
      <c r="Q1129" s="22">
        <v>56220</v>
      </c>
      <c r="R1129">
        <v>3</v>
      </c>
      <c r="S1129" s="1">
        <v>0</v>
      </c>
      <c r="T1129">
        <v>0</v>
      </c>
      <c r="U1129">
        <v>0</v>
      </c>
      <c r="V1129" s="21">
        <v>28110</v>
      </c>
      <c r="W1129">
        <v>30</v>
      </c>
      <c r="X1129">
        <v>0</v>
      </c>
      <c r="Y1129">
        <v>0</v>
      </c>
      <c r="Z1129">
        <v>0</v>
      </c>
      <c r="AA1129">
        <v>10</v>
      </c>
    </row>
    <row r="1130" spans="1:27" ht="14.25" x14ac:dyDescent="0.2">
      <c r="A1130" s="12">
        <v>20747</v>
      </c>
      <c r="B1130" t="s">
        <v>122</v>
      </c>
      <c r="C1130" t="s">
        <v>121</v>
      </c>
      <c r="D1130" t="s">
        <v>121</v>
      </c>
      <c r="E1130" t="s">
        <v>121</v>
      </c>
      <c r="F1130" s="4" t="s">
        <v>1780</v>
      </c>
      <c r="H1130">
        <v>2</v>
      </c>
      <c r="I1130" s="1">
        <v>0</v>
      </c>
      <c r="J1130">
        <v>0</v>
      </c>
      <c r="K1130">
        <v>0</v>
      </c>
      <c r="L1130" s="20">
        <v>18800</v>
      </c>
      <c r="M1130">
        <v>1</v>
      </c>
      <c r="N1130">
        <v>0</v>
      </c>
      <c r="O1130">
        <v>0</v>
      </c>
      <c r="P1130">
        <v>0</v>
      </c>
      <c r="Q1130" s="22">
        <v>56220</v>
      </c>
      <c r="R1130">
        <v>3</v>
      </c>
      <c r="S1130" s="1">
        <v>0</v>
      </c>
      <c r="T1130">
        <v>0</v>
      </c>
      <c r="U1130">
        <v>0</v>
      </c>
      <c r="V1130" s="21">
        <v>28110</v>
      </c>
      <c r="W1130">
        <v>4</v>
      </c>
      <c r="X1130">
        <v>0</v>
      </c>
      <c r="Y1130">
        <v>0</v>
      </c>
      <c r="Z1130">
        <v>0</v>
      </c>
      <c r="AA1130">
        <v>10</v>
      </c>
    </row>
    <row r="1131" spans="1:27" ht="14.25" x14ac:dyDescent="0.2">
      <c r="A1131" s="12">
        <v>20748</v>
      </c>
      <c r="B1131" t="s">
        <v>178</v>
      </c>
      <c r="C1131" t="s">
        <v>121</v>
      </c>
      <c r="D1131" t="s">
        <v>121</v>
      </c>
      <c r="E1131" t="s">
        <v>121</v>
      </c>
      <c r="F1131" s="4" t="s">
        <v>1782</v>
      </c>
      <c r="H1131">
        <v>2</v>
      </c>
      <c r="I1131" s="1">
        <v>0</v>
      </c>
      <c r="J1131">
        <v>0</v>
      </c>
      <c r="K1131">
        <v>0</v>
      </c>
      <c r="L1131" s="20">
        <v>18800</v>
      </c>
      <c r="M1131">
        <v>1</v>
      </c>
      <c r="N1131">
        <v>0</v>
      </c>
      <c r="O1131">
        <v>0</v>
      </c>
      <c r="P1131">
        <v>0</v>
      </c>
      <c r="Q1131" s="22">
        <v>56400</v>
      </c>
      <c r="R1131">
        <v>3</v>
      </c>
      <c r="S1131" s="1">
        <v>0</v>
      </c>
      <c r="T1131">
        <v>0</v>
      </c>
      <c r="U1131">
        <v>0</v>
      </c>
      <c r="V1131" s="21">
        <v>28200</v>
      </c>
      <c r="W1131">
        <v>21</v>
      </c>
      <c r="X1131">
        <v>0</v>
      </c>
      <c r="Y1131">
        <v>0</v>
      </c>
      <c r="Z1131">
        <v>0</v>
      </c>
      <c r="AA1131">
        <v>1</v>
      </c>
    </row>
    <row r="1132" spans="1:27" ht="14.25" x14ac:dyDescent="0.2">
      <c r="A1132" s="12">
        <v>20749</v>
      </c>
      <c r="B1132" t="s">
        <v>130</v>
      </c>
      <c r="C1132" t="s">
        <v>121</v>
      </c>
      <c r="D1132" t="s">
        <v>121</v>
      </c>
      <c r="E1132" t="s">
        <v>121</v>
      </c>
      <c r="F1132" s="4" t="s">
        <v>1784</v>
      </c>
      <c r="H1132">
        <v>2</v>
      </c>
      <c r="I1132" s="1">
        <v>0</v>
      </c>
      <c r="J1132">
        <v>0</v>
      </c>
      <c r="K1132">
        <v>0</v>
      </c>
      <c r="L1132" s="20">
        <v>18800</v>
      </c>
      <c r="M1132">
        <v>1</v>
      </c>
      <c r="N1132">
        <v>0</v>
      </c>
      <c r="O1132">
        <v>0</v>
      </c>
      <c r="P1132">
        <v>0</v>
      </c>
      <c r="Q1132" s="22">
        <v>56400</v>
      </c>
      <c r="R1132">
        <v>3</v>
      </c>
      <c r="S1132" s="1">
        <v>0</v>
      </c>
      <c r="T1132">
        <v>0</v>
      </c>
      <c r="U1132">
        <v>0</v>
      </c>
      <c r="V1132" s="21">
        <v>28200</v>
      </c>
      <c r="W1132">
        <v>9</v>
      </c>
      <c r="X1132">
        <v>0</v>
      </c>
      <c r="Y1132">
        <v>0</v>
      </c>
      <c r="Z1132">
        <v>0</v>
      </c>
      <c r="AA1132">
        <v>10</v>
      </c>
    </row>
    <row r="1133" spans="1:27" ht="14.25" x14ac:dyDescent="0.2">
      <c r="A1133" s="12">
        <v>20750</v>
      </c>
      <c r="B1133" t="s">
        <v>123</v>
      </c>
      <c r="C1133" t="s">
        <v>121</v>
      </c>
      <c r="D1133" t="s">
        <v>121</v>
      </c>
      <c r="E1133" t="s">
        <v>121</v>
      </c>
      <c r="F1133" s="4" t="s">
        <v>1784</v>
      </c>
      <c r="H1133">
        <v>2</v>
      </c>
      <c r="I1133" s="1">
        <v>0</v>
      </c>
      <c r="J1133">
        <v>0</v>
      </c>
      <c r="K1133">
        <v>0</v>
      </c>
      <c r="L1133" s="20">
        <v>18800</v>
      </c>
      <c r="M1133">
        <v>1</v>
      </c>
      <c r="N1133">
        <v>0</v>
      </c>
      <c r="O1133">
        <v>0</v>
      </c>
      <c r="P1133">
        <v>0</v>
      </c>
      <c r="Q1133" s="22">
        <v>56400</v>
      </c>
      <c r="R1133">
        <v>3</v>
      </c>
      <c r="S1133" s="1">
        <v>0</v>
      </c>
      <c r="T1133">
        <v>0</v>
      </c>
      <c r="U1133">
        <v>0</v>
      </c>
      <c r="V1133" s="21">
        <v>28200</v>
      </c>
      <c r="W1133">
        <v>12</v>
      </c>
      <c r="X1133">
        <v>0</v>
      </c>
      <c r="Y1133">
        <v>0</v>
      </c>
      <c r="Z1133">
        <v>0</v>
      </c>
      <c r="AA1133">
        <v>10</v>
      </c>
    </row>
    <row r="1134" spans="1:27" ht="14.25" x14ac:dyDescent="0.2">
      <c r="A1134" s="12">
        <v>20801</v>
      </c>
      <c r="B1134" t="s">
        <v>126</v>
      </c>
      <c r="C1134" t="s">
        <v>121</v>
      </c>
      <c r="D1134" t="s">
        <v>121</v>
      </c>
      <c r="E1134" t="s">
        <v>121</v>
      </c>
      <c r="F1134" s="4" t="s">
        <v>1786</v>
      </c>
      <c r="H1134">
        <v>2</v>
      </c>
      <c r="I1134" s="1">
        <v>0</v>
      </c>
      <c r="J1134">
        <v>0</v>
      </c>
      <c r="K1134">
        <v>0</v>
      </c>
      <c r="L1134" s="20">
        <v>18860</v>
      </c>
      <c r="M1134">
        <v>1</v>
      </c>
      <c r="N1134">
        <v>0</v>
      </c>
      <c r="O1134">
        <v>0</v>
      </c>
      <c r="P1134">
        <v>0</v>
      </c>
      <c r="Q1134" s="22">
        <v>56400</v>
      </c>
      <c r="R1134">
        <v>3</v>
      </c>
      <c r="S1134" s="1">
        <v>0</v>
      </c>
      <c r="T1134">
        <v>0</v>
      </c>
      <c r="U1134">
        <v>0</v>
      </c>
      <c r="V1134" s="21">
        <v>28200</v>
      </c>
      <c r="W1134">
        <v>23</v>
      </c>
      <c r="X1134">
        <v>0</v>
      </c>
      <c r="Y1134">
        <v>0</v>
      </c>
      <c r="Z1134">
        <v>0</v>
      </c>
      <c r="AA1134">
        <v>1</v>
      </c>
    </row>
    <row r="1135" spans="1:27" ht="14.25" x14ac:dyDescent="0.2">
      <c r="A1135" s="12">
        <v>20802</v>
      </c>
      <c r="B1135" t="s">
        <v>131</v>
      </c>
      <c r="C1135" t="s">
        <v>125</v>
      </c>
      <c r="D1135" t="s">
        <v>121</v>
      </c>
      <c r="E1135" t="s">
        <v>136</v>
      </c>
      <c r="F1135" s="4" t="s">
        <v>1788</v>
      </c>
      <c r="H1135">
        <v>2</v>
      </c>
      <c r="I1135" s="1">
        <v>0</v>
      </c>
      <c r="J1135">
        <v>0</v>
      </c>
      <c r="K1135">
        <v>0</v>
      </c>
      <c r="L1135" s="20">
        <v>18860</v>
      </c>
      <c r="M1135">
        <v>1</v>
      </c>
      <c r="N1135">
        <v>0</v>
      </c>
      <c r="O1135">
        <v>0</v>
      </c>
      <c r="P1135">
        <v>0</v>
      </c>
      <c r="Q1135" s="22">
        <v>56400</v>
      </c>
      <c r="R1135">
        <v>3</v>
      </c>
      <c r="S1135" s="1">
        <v>0</v>
      </c>
      <c r="T1135">
        <v>0</v>
      </c>
      <c r="U1135">
        <v>0</v>
      </c>
      <c r="V1135" s="21">
        <v>28200</v>
      </c>
      <c r="W1135">
        <v>6</v>
      </c>
      <c r="X1135">
        <v>1</v>
      </c>
      <c r="Y1135">
        <v>0</v>
      </c>
      <c r="Z1135">
        <v>3</v>
      </c>
      <c r="AA1135">
        <v>10</v>
      </c>
    </row>
    <row r="1136" spans="1:27" ht="14.25" x14ac:dyDescent="0.2">
      <c r="A1136" s="12">
        <v>20803</v>
      </c>
      <c r="B1136" t="s">
        <v>180</v>
      </c>
      <c r="C1136" t="s">
        <v>121</v>
      </c>
      <c r="D1136" t="s">
        <v>121</v>
      </c>
      <c r="E1136" t="s">
        <v>121</v>
      </c>
      <c r="F1136" s="4" t="s">
        <v>1790</v>
      </c>
      <c r="H1136">
        <v>2</v>
      </c>
      <c r="I1136" s="1">
        <v>0</v>
      </c>
      <c r="J1136">
        <v>0</v>
      </c>
      <c r="K1136">
        <v>0</v>
      </c>
      <c r="L1136" s="20">
        <v>18860</v>
      </c>
      <c r="M1136">
        <v>1</v>
      </c>
      <c r="N1136">
        <v>0</v>
      </c>
      <c r="O1136">
        <v>0</v>
      </c>
      <c r="P1136">
        <v>0</v>
      </c>
      <c r="Q1136" s="22">
        <v>56580</v>
      </c>
      <c r="R1136">
        <v>3</v>
      </c>
      <c r="S1136" s="1">
        <v>0</v>
      </c>
      <c r="T1136">
        <v>0</v>
      </c>
      <c r="U1136">
        <v>0</v>
      </c>
      <c r="V1136" s="21">
        <v>28290</v>
      </c>
      <c r="W1136">
        <v>15</v>
      </c>
      <c r="X1136">
        <v>0</v>
      </c>
      <c r="Y1136">
        <v>0</v>
      </c>
      <c r="Z1136">
        <v>0</v>
      </c>
      <c r="AA1136">
        <v>1</v>
      </c>
    </row>
    <row r="1137" spans="1:27" ht="14.25" x14ac:dyDescent="0.2">
      <c r="A1137" s="12">
        <v>20804</v>
      </c>
      <c r="B1137" t="s">
        <v>178</v>
      </c>
      <c r="C1137" t="s">
        <v>121</v>
      </c>
      <c r="D1137" t="s">
        <v>121</v>
      </c>
      <c r="E1137" t="s">
        <v>121</v>
      </c>
      <c r="F1137" s="4" t="s">
        <v>1790</v>
      </c>
      <c r="H1137">
        <v>2</v>
      </c>
      <c r="I1137" s="1">
        <v>0</v>
      </c>
      <c r="J1137">
        <v>0</v>
      </c>
      <c r="K1137">
        <v>0</v>
      </c>
      <c r="L1137" s="20">
        <v>18860</v>
      </c>
      <c r="M1137">
        <v>1</v>
      </c>
      <c r="N1137">
        <v>0</v>
      </c>
      <c r="O1137">
        <v>0</v>
      </c>
      <c r="P1137">
        <v>0</v>
      </c>
      <c r="Q1137" s="22">
        <v>56580</v>
      </c>
      <c r="R1137">
        <v>3</v>
      </c>
      <c r="S1137" s="1">
        <v>0</v>
      </c>
      <c r="T1137">
        <v>0</v>
      </c>
      <c r="U1137">
        <v>0</v>
      </c>
      <c r="V1137" s="21">
        <v>28290</v>
      </c>
      <c r="W1137">
        <v>21</v>
      </c>
      <c r="X1137">
        <v>0</v>
      </c>
      <c r="Y1137">
        <v>0</v>
      </c>
      <c r="Z1137">
        <v>0</v>
      </c>
      <c r="AA1137">
        <v>1</v>
      </c>
    </row>
    <row r="1138" spans="1:27" ht="14.25" x14ac:dyDescent="0.2">
      <c r="A1138" s="12">
        <v>20805</v>
      </c>
      <c r="B1138" t="s">
        <v>130</v>
      </c>
      <c r="C1138" t="s">
        <v>121</v>
      </c>
      <c r="D1138" t="s">
        <v>121</v>
      </c>
      <c r="E1138" t="s">
        <v>121</v>
      </c>
      <c r="F1138" s="4" t="s">
        <v>1792</v>
      </c>
      <c r="H1138">
        <v>2</v>
      </c>
      <c r="I1138" s="1">
        <v>0</v>
      </c>
      <c r="J1138">
        <v>0</v>
      </c>
      <c r="K1138">
        <v>0</v>
      </c>
      <c r="L1138" s="20">
        <v>18860</v>
      </c>
      <c r="M1138">
        <v>1</v>
      </c>
      <c r="N1138">
        <v>0</v>
      </c>
      <c r="O1138">
        <v>0</v>
      </c>
      <c r="P1138">
        <v>0</v>
      </c>
      <c r="Q1138" s="22">
        <v>56580</v>
      </c>
      <c r="R1138">
        <v>3</v>
      </c>
      <c r="S1138" s="1">
        <v>0</v>
      </c>
      <c r="T1138">
        <v>0</v>
      </c>
      <c r="U1138">
        <v>0</v>
      </c>
      <c r="V1138" s="21">
        <v>28290</v>
      </c>
      <c r="W1138">
        <v>9</v>
      </c>
      <c r="X1138">
        <v>0</v>
      </c>
      <c r="Y1138">
        <v>0</v>
      </c>
      <c r="Z1138">
        <v>0</v>
      </c>
      <c r="AA1138">
        <v>10</v>
      </c>
    </row>
    <row r="1139" spans="1:27" ht="14.25" x14ac:dyDescent="0.2">
      <c r="A1139" s="12">
        <v>20806</v>
      </c>
      <c r="B1139" t="s">
        <v>181</v>
      </c>
      <c r="C1139" t="s">
        <v>121</v>
      </c>
      <c r="D1139" t="s">
        <v>121</v>
      </c>
      <c r="E1139" t="s">
        <v>121</v>
      </c>
      <c r="F1139" s="4" t="s">
        <v>1794</v>
      </c>
      <c r="H1139">
        <v>2</v>
      </c>
      <c r="I1139" s="1">
        <v>0</v>
      </c>
      <c r="J1139">
        <v>0</v>
      </c>
      <c r="K1139">
        <v>0</v>
      </c>
      <c r="L1139" s="20">
        <v>18920</v>
      </c>
      <c r="M1139">
        <v>1</v>
      </c>
      <c r="N1139">
        <v>0</v>
      </c>
      <c r="O1139">
        <v>0</v>
      </c>
      <c r="P1139">
        <v>0</v>
      </c>
      <c r="Q1139" s="22">
        <v>56580</v>
      </c>
      <c r="R1139">
        <v>3</v>
      </c>
      <c r="S1139" s="1">
        <v>0</v>
      </c>
      <c r="T1139">
        <v>0</v>
      </c>
      <c r="U1139">
        <v>0</v>
      </c>
      <c r="V1139" s="21">
        <v>28290</v>
      </c>
      <c r="W1139">
        <v>30</v>
      </c>
      <c r="X1139">
        <v>0</v>
      </c>
      <c r="Y1139">
        <v>0</v>
      </c>
      <c r="Z1139">
        <v>0</v>
      </c>
      <c r="AA1139">
        <v>10</v>
      </c>
    </row>
    <row r="1140" spans="1:27" ht="14.25" x14ac:dyDescent="0.2">
      <c r="A1140" s="12">
        <v>20807</v>
      </c>
      <c r="B1140" t="s">
        <v>122</v>
      </c>
      <c r="C1140" t="s">
        <v>121</v>
      </c>
      <c r="D1140" t="s">
        <v>121</v>
      </c>
      <c r="E1140" t="s">
        <v>121</v>
      </c>
      <c r="F1140" s="4" t="s">
        <v>1794</v>
      </c>
      <c r="H1140">
        <v>2</v>
      </c>
      <c r="I1140" s="1">
        <v>0</v>
      </c>
      <c r="J1140">
        <v>0</v>
      </c>
      <c r="K1140">
        <v>0</v>
      </c>
      <c r="L1140" s="20">
        <v>18920</v>
      </c>
      <c r="M1140">
        <v>1</v>
      </c>
      <c r="N1140">
        <v>0</v>
      </c>
      <c r="O1140">
        <v>0</v>
      </c>
      <c r="P1140">
        <v>0</v>
      </c>
      <c r="Q1140" s="22">
        <v>56580</v>
      </c>
      <c r="R1140">
        <v>3</v>
      </c>
      <c r="S1140" s="1">
        <v>0</v>
      </c>
      <c r="T1140">
        <v>0</v>
      </c>
      <c r="U1140">
        <v>0</v>
      </c>
      <c r="V1140" s="21">
        <v>28290</v>
      </c>
      <c r="W1140">
        <v>4</v>
      </c>
      <c r="X1140">
        <v>0</v>
      </c>
      <c r="Y1140">
        <v>0</v>
      </c>
      <c r="Z1140">
        <v>0</v>
      </c>
      <c r="AA1140">
        <v>10</v>
      </c>
    </row>
    <row r="1141" spans="1:27" ht="14.25" x14ac:dyDescent="0.2">
      <c r="A1141" s="12">
        <v>20808</v>
      </c>
      <c r="B1141" t="s">
        <v>178</v>
      </c>
      <c r="C1141" t="s">
        <v>121</v>
      </c>
      <c r="D1141" t="s">
        <v>121</v>
      </c>
      <c r="E1141" t="s">
        <v>121</v>
      </c>
      <c r="F1141" s="4" t="s">
        <v>1796</v>
      </c>
      <c r="H1141">
        <v>2</v>
      </c>
      <c r="I1141" s="1">
        <v>0</v>
      </c>
      <c r="J1141">
        <v>0</v>
      </c>
      <c r="K1141">
        <v>0</v>
      </c>
      <c r="L1141" s="20">
        <v>18920</v>
      </c>
      <c r="M1141">
        <v>1</v>
      </c>
      <c r="N1141">
        <v>0</v>
      </c>
      <c r="O1141">
        <v>0</v>
      </c>
      <c r="P1141">
        <v>0</v>
      </c>
      <c r="Q1141" s="22">
        <v>56760</v>
      </c>
      <c r="R1141">
        <v>3</v>
      </c>
      <c r="S1141" s="1">
        <v>0</v>
      </c>
      <c r="T1141">
        <v>0</v>
      </c>
      <c r="U1141">
        <v>0</v>
      </c>
      <c r="V1141" s="21">
        <v>28380</v>
      </c>
      <c r="W1141">
        <v>21</v>
      </c>
      <c r="X1141">
        <v>0</v>
      </c>
      <c r="Y1141">
        <v>0</v>
      </c>
      <c r="Z1141">
        <v>0</v>
      </c>
      <c r="AA1141">
        <v>1</v>
      </c>
    </row>
    <row r="1142" spans="1:27" ht="14.25" x14ac:dyDescent="0.2">
      <c r="A1142" s="12">
        <v>20809</v>
      </c>
      <c r="B1142" t="s">
        <v>130</v>
      </c>
      <c r="C1142" t="s">
        <v>121</v>
      </c>
      <c r="D1142" t="s">
        <v>121</v>
      </c>
      <c r="E1142" t="s">
        <v>121</v>
      </c>
      <c r="F1142" s="4" t="s">
        <v>1798</v>
      </c>
      <c r="H1142">
        <v>2</v>
      </c>
      <c r="I1142" s="1">
        <v>0</v>
      </c>
      <c r="J1142">
        <v>0</v>
      </c>
      <c r="K1142">
        <v>0</v>
      </c>
      <c r="L1142" s="20">
        <v>18920</v>
      </c>
      <c r="M1142">
        <v>1</v>
      </c>
      <c r="N1142">
        <v>0</v>
      </c>
      <c r="O1142">
        <v>0</v>
      </c>
      <c r="P1142">
        <v>0</v>
      </c>
      <c r="Q1142" s="22">
        <v>56760</v>
      </c>
      <c r="R1142">
        <v>3</v>
      </c>
      <c r="S1142" s="1">
        <v>0</v>
      </c>
      <c r="T1142">
        <v>0</v>
      </c>
      <c r="U1142">
        <v>0</v>
      </c>
      <c r="V1142" s="21">
        <v>28380</v>
      </c>
      <c r="W1142">
        <v>9</v>
      </c>
      <c r="X1142">
        <v>0</v>
      </c>
      <c r="Y1142">
        <v>0</v>
      </c>
      <c r="Z1142">
        <v>0</v>
      </c>
      <c r="AA1142">
        <v>10</v>
      </c>
    </row>
    <row r="1143" spans="1:27" ht="14.25" x14ac:dyDescent="0.2">
      <c r="A1143" s="12">
        <v>20810</v>
      </c>
      <c r="B1143" t="s">
        <v>123</v>
      </c>
      <c r="C1143" t="s">
        <v>121</v>
      </c>
      <c r="D1143" t="s">
        <v>121</v>
      </c>
      <c r="E1143" t="s">
        <v>121</v>
      </c>
      <c r="F1143" s="4" t="s">
        <v>1798</v>
      </c>
      <c r="H1143">
        <v>2</v>
      </c>
      <c r="I1143" s="1">
        <v>0</v>
      </c>
      <c r="J1143">
        <v>0</v>
      </c>
      <c r="K1143">
        <v>0</v>
      </c>
      <c r="L1143" s="20">
        <v>18920</v>
      </c>
      <c r="M1143">
        <v>1</v>
      </c>
      <c r="N1143">
        <v>0</v>
      </c>
      <c r="O1143">
        <v>0</v>
      </c>
      <c r="P1143">
        <v>0</v>
      </c>
      <c r="Q1143" s="22">
        <v>56760</v>
      </c>
      <c r="R1143">
        <v>3</v>
      </c>
      <c r="S1143" s="1">
        <v>0</v>
      </c>
      <c r="T1143">
        <v>0</v>
      </c>
      <c r="U1143">
        <v>0</v>
      </c>
      <c r="V1143" s="21">
        <v>28380</v>
      </c>
      <c r="W1143">
        <v>12</v>
      </c>
      <c r="X1143">
        <v>0</v>
      </c>
      <c r="Y1143">
        <v>0</v>
      </c>
      <c r="Z1143">
        <v>0</v>
      </c>
      <c r="AA1143">
        <v>10</v>
      </c>
    </row>
    <row r="1144" spans="1:27" ht="14.25" x14ac:dyDescent="0.2">
      <c r="A1144" s="12">
        <v>20811</v>
      </c>
      <c r="B1144" t="s">
        <v>126</v>
      </c>
      <c r="C1144" t="s">
        <v>121</v>
      </c>
      <c r="D1144" t="s">
        <v>121</v>
      </c>
      <c r="E1144" t="s">
        <v>121</v>
      </c>
      <c r="F1144" s="4" t="s">
        <v>1800</v>
      </c>
      <c r="H1144">
        <v>2</v>
      </c>
      <c r="I1144" s="1">
        <v>0</v>
      </c>
      <c r="J1144">
        <v>0</v>
      </c>
      <c r="K1144">
        <v>0</v>
      </c>
      <c r="L1144" s="20">
        <v>18980</v>
      </c>
      <c r="M1144">
        <v>1</v>
      </c>
      <c r="N1144">
        <v>0</v>
      </c>
      <c r="O1144">
        <v>0</v>
      </c>
      <c r="P1144">
        <v>0</v>
      </c>
      <c r="Q1144" s="22">
        <v>56760</v>
      </c>
      <c r="R1144">
        <v>3</v>
      </c>
      <c r="S1144" s="1">
        <v>0</v>
      </c>
      <c r="T1144">
        <v>0</v>
      </c>
      <c r="U1144">
        <v>0</v>
      </c>
      <c r="V1144" s="21">
        <v>28380</v>
      </c>
      <c r="W1144">
        <v>23</v>
      </c>
      <c r="X1144">
        <v>0</v>
      </c>
      <c r="Y1144">
        <v>0</v>
      </c>
      <c r="Z1144">
        <v>0</v>
      </c>
      <c r="AA1144">
        <v>1</v>
      </c>
    </row>
    <row r="1145" spans="1:27" ht="14.25" x14ac:dyDescent="0.2">
      <c r="A1145" s="12">
        <v>20812</v>
      </c>
      <c r="B1145" t="s">
        <v>131</v>
      </c>
      <c r="C1145" t="s">
        <v>125</v>
      </c>
      <c r="D1145" t="s">
        <v>121</v>
      </c>
      <c r="E1145" t="s">
        <v>136</v>
      </c>
      <c r="F1145" s="4" t="s">
        <v>1802</v>
      </c>
      <c r="H1145">
        <v>2</v>
      </c>
      <c r="I1145" s="1">
        <v>0</v>
      </c>
      <c r="J1145">
        <v>0</v>
      </c>
      <c r="K1145">
        <v>0</v>
      </c>
      <c r="L1145" s="20">
        <v>18980</v>
      </c>
      <c r="M1145">
        <v>1</v>
      </c>
      <c r="N1145">
        <v>0</v>
      </c>
      <c r="O1145">
        <v>0</v>
      </c>
      <c r="P1145">
        <v>0</v>
      </c>
      <c r="Q1145" s="22">
        <v>56760</v>
      </c>
      <c r="R1145">
        <v>3</v>
      </c>
      <c r="S1145" s="1">
        <v>0</v>
      </c>
      <c r="T1145">
        <v>0</v>
      </c>
      <c r="U1145">
        <v>0</v>
      </c>
      <c r="V1145" s="21">
        <v>28380</v>
      </c>
      <c r="W1145">
        <v>6</v>
      </c>
      <c r="X1145">
        <v>1</v>
      </c>
      <c r="Y1145">
        <v>0</v>
      </c>
      <c r="Z1145">
        <v>3</v>
      </c>
      <c r="AA1145">
        <v>10</v>
      </c>
    </row>
    <row r="1146" spans="1:27" ht="14.25" x14ac:dyDescent="0.2">
      <c r="A1146" s="12">
        <v>20813</v>
      </c>
      <c r="B1146" t="s">
        <v>180</v>
      </c>
      <c r="C1146" t="s">
        <v>121</v>
      </c>
      <c r="D1146" t="s">
        <v>121</v>
      </c>
      <c r="E1146" t="s">
        <v>121</v>
      </c>
      <c r="F1146" s="4" t="s">
        <v>1804</v>
      </c>
      <c r="H1146">
        <v>2</v>
      </c>
      <c r="I1146" s="1">
        <v>0</v>
      </c>
      <c r="J1146">
        <v>0</v>
      </c>
      <c r="K1146">
        <v>0</v>
      </c>
      <c r="L1146" s="20">
        <v>18980</v>
      </c>
      <c r="M1146">
        <v>1</v>
      </c>
      <c r="N1146">
        <v>0</v>
      </c>
      <c r="O1146">
        <v>0</v>
      </c>
      <c r="P1146">
        <v>0</v>
      </c>
      <c r="Q1146" s="22">
        <v>56940</v>
      </c>
      <c r="R1146">
        <v>3</v>
      </c>
      <c r="S1146" s="1">
        <v>0</v>
      </c>
      <c r="T1146">
        <v>0</v>
      </c>
      <c r="U1146">
        <v>0</v>
      </c>
      <c r="V1146" s="21">
        <v>28470</v>
      </c>
      <c r="W1146">
        <v>15</v>
      </c>
      <c r="X1146">
        <v>0</v>
      </c>
      <c r="Y1146">
        <v>0</v>
      </c>
      <c r="Z1146">
        <v>0</v>
      </c>
      <c r="AA1146">
        <v>1</v>
      </c>
    </row>
    <row r="1147" spans="1:27" ht="14.25" x14ac:dyDescent="0.2">
      <c r="A1147" s="12">
        <v>20814</v>
      </c>
      <c r="B1147" t="s">
        <v>178</v>
      </c>
      <c r="C1147" t="s">
        <v>121</v>
      </c>
      <c r="D1147" t="s">
        <v>121</v>
      </c>
      <c r="E1147" t="s">
        <v>121</v>
      </c>
      <c r="F1147" s="4" t="s">
        <v>1804</v>
      </c>
      <c r="H1147">
        <v>2</v>
      </c>
      <c r="I1147" s="1">
        <v>0</v>
      </c>
      <c r="J1147">
        <v>0</v>
      </c>
      <c r="K1147">
        <v>0</v>
      </c>
      <c r="L1147" s="20">
        <v>18980</v>
      </c>
      <c r="M1147">
        <v>1</v>
      </c>
      <c r="N1147">
        <v>0</v>
      </c>
      <c r="O1147">
        <v>0</v>
      </c>
      <c r="P1147">
        <v>0</v>
      </c>
      <c r="Q1147" s="22">
        <v>56940</v>
      </c>
      <c r="R1147">
        <v>3</v>
      </c>
      <c r="S1147" s="1">
        <v>0</v>
      </c>
      <c r="T1147">
        <v>0</v>
      </c>
      <c r="U1147">
        <v>0</v>
      </c>
      <c r="V1147" s="21">
        <v>28470</v>
      </c>
      <c r="W1147">
        <v>21</v>
      </c>
      <c r="X1147">
        <v>0</v>
      </c>
      <c r="Y1147">
        <v>0</v>
      </c>
      <c r="Z1147">
        <v>0</v>
      </c>
      <c r="AA1147">
        <v>1</v>
      </c>
    </row>
    <row r="1148" spans="1:27" ht="14.25" x14ac:dyDescent="0.2">
      <c r="A1148" s="12">
        <v>20815</v>
      </c>
      <c r="B1148" t="s">
        <v>130</v>
      </c>
      <c r="C1148" t="s">
        <v>121</v>
      </c>
      <c r="D1148" t="s">
        <v>121</v>
      </c>
      <c r="E1148" t="s">
        <v>121</v>
      </c>
      <c r="F1148" s="4" t="s">
        <v>1806</v>
      </c>
      <c r="H1148">
        <v>2</v>
      </c>
      <c r="I1148" s="1">
        <v>0</v>
      </c>
      <c r="J1148">
        <v>0</v>
      </c>
      <c r="K1148">
        <v>0</v>
      </c>
      <c r="L1148" s="20">
        <v>18980</v>
      </c>
      <c r="M1148">
        <v>1</v>
      </c>
      <c r="N1148">
        <v>0</v>
      </c>
      <c r="O1148">
        <v>0</v>
      </c>
      <c r="P1148">
        <v>0</v>
      </c>
      <c r="Q1148" s="22">
        <v>56940</v>
      </c>
      <c r="R1148">
        <v>3</v>
      </c>
      <c r="S1148" s="1">
        <v>0</v>
      </c>
      <c r="T1148">
        <v>0</v>
      </c>
      <c r="U1148">
        <v>0</v>
      </c>
      <c r="V1148" s="21">
        <v>28470</v>
      </c>
      <c r="W1148">
        <v>9</v>
      </c>
      <c r="X1148">
        <v>0</v>
      </c>
      <c r="Y1148">
        <v>0</v>
      </c>
      <c r="Z1148">
        <v>0</v>
      </c>
      <c r="AA1148">
        <v>10</v>
      </c>
    </row>
    <row r="1149" spans="1:27" ht="14.25" x14ac:dyDescent="0.2">
      <c r="A1149" s="12">
        <v>20816</v>
      </c>
      <c r="B1149" t="s">
        <v>181</v>
      </c>
      <c r="C1149" t="s">
        <v>121</v>
      </c>
      <c r="D1149" t="s">
        <v>121</v>
      </c>
      <c r="E1149" t="s">
        <v>121</v>
      </c>
      <c r="F1149" s="4" t="s">
        <v>1808</v>
      </c>
      <c r="H1149">
        <v>2</v>
      </c>
      <c r="I1149" s="1">
        <v>0</v>
      </c>
      <c r="J1149">
        <v>0</v>
      </c>
      <c r="K1149">
        <v>0</v>
      </c>
      <c r="L1149" s="20">
        <v>19040</v>
      </c>
      <c r="M1149">
        <v>1</v>
      </c>
      <c r="N1149">
        <v>0</v>
      </c>
      <c r="O1149">
        <v>0</v>
      </c>
      <c r="P1149">
        <v>0</v>
      </c>
      <c r="Q1149" s="22">
        <v>56940</v>
      </c>
      <c r="R1149">
        <v>3</v>
      </c>
      <c r="S1149" s="1">
        <v>0</v>
      </c>
      <c r="T1149">
        <v>0</v>
      </c>
      <c r="U1149">
        <v>0</v>
      </c>
      <c r="V1149" s="21">
        <v>28470</v>
      </c>
      <c r="W1149">
        <v>30</v>
      </c>
      <c r="X1149">
        <v>0</v>
      </c>
      <c r="Y1149">
        <v>0</v>
      </c>
      <c r="Z1149">
        <v>0</v>
      </c>
      <c r="AA1149">
        <v>10</v>
      </c>
    </row>
    <row r="1150" spans="1:27" ht="14.25" x14ac:dyDescent="0.2">
      <c r="A1150" s="12">
        <v>20817</v>
      </c>
      <c r="B1150" t="s">
        <v>122</v>
      </c>
      <c r="C1150" t="s">
        <v>121</v>
      </c>
      <c r="D1150" t="s">
        <v>121</v>
      </c>
      <c r="E1150" t="s">
        <v>121</v>
      </c>
      <c r="F1150" s="4" t="s">
        <v>1808</v>
      </c>
      <c r="H1150">
        <v>2</v>
      </c>
      <c r="I1150" s="1">
        <v>0</v>
      </c>
      <c r="J1150">
        <v>0</v>
      </c>
      <c r="K1150">
        <v>0</v>
      </c>
      <c r="L1150" s="20">
        <v>19040</v>
      </c>
      <c r="M1150">
        <v>1</v>
      </c>
      <c r="N1150">
        <v>0</v>
      </c>
      <c r="O1150">
        <v>0</v>
      </c>
      <c r="P1150">
        <v>0</v>
      </c>
      <c r="Q1150" s="22">
        <v>56940</v>
      </c>
      <c r="R1150">
        <v>3</v>
      </c>
      <c r="S1150" s="1">
        <v>0</v>
      </c>
      <c r="T1150">
        <v>0</v>
      </c>
      <c r="U1150">
        <v>0</v>
      </c>
      <c r="V1150" s="21">
        <v>28470</v>
      </c>
      <c r="W1150">
        <v>4</v>
      </c>
      <c r="X1150">
        <v>0</v>
      </c>
      <c r="Y1150">
        <v>0</v>
      </c>
      <c r="Z1150">
        <v>0</v>
      </c>
      <c r="AA1150">
        <v>10</v>
      </c>
    </row>
    <row r="1151" spans="1:27" ht="14.25" x14ac:dyDescent="0.2">
      <c r="A1151" s="12">
        <v>20818</v>
      </c>
      <c r="B1151" t="s">
        <v>178</v>
      </c>
      <c r="C1151" t="s">
        <v>121</v>
      </c>
      <c r="D1151" t="s">
        <v>121</v>
      </c>
      <c r="E1151" t="s">
        <v>121</v>
      </c>
      <c r="F1151" s="4" t="s">
        <v>1810</v>
      </c>
      <c r="H1151">
        <v>2</v>
      </c>
      <c r="I1151" s="1">
        <v>0</v>
      </c>
      <c r="J1151">
        <v>0</v>
      </c>
      <c r="K1151">
        <v>0</v>
      </c>
      <c r="L1151" s="20">
        <v>19040</v>
      </c>
      <c r="M1151">
        <v>1</v>
      </c>
      <c r="N1151">
        <v>0</v>
      </c>
      <c r="O1151">
        <v>0</v>
      </c>
      <c r="P1151">
        <v>0</v>
      </c>
      <c r="Q1151" s="22">
        <v>57120</v>
      </c>
      <c r="R1151">
        <v>3</v>
      </c>
      <c r="S1151" s="1">
        <v>0</v>
      </c>
      <c r="T1151">
        <v>0</v>
      </c>
      <c r="U1151">
        <v>0</v>
      </c>
      <c r="V1151" s="21">
        <v>28560</v>
      </c>
      <c r="W1151">
        <v>21</v>
      </c>
      <c r="X1151">
        <v>0</v>
      </c>
      <c r="Y1151">
        <v>0</v>
      </c>
      <c r="Z1151">
        <v>0</v>
      </c>
      <c r="AA1151">
        <v>1</v>
      </c>
    </row>
    <row r="1152" spans="1:27" ht="14.25" x14ac:dyDescent="0.2">
      <c r="A1152" s="12">
        <v>20819</v>
      </c>
      <c r="B1152" t="s">
        <v>130</v>
      </c>
      <c r="C1152" t="s">
        <v>121</v>
      </c>
      <c r="D1152" t="s">
        <v>121</v>
      </c>
      <c r="E1152" t="s">
        <v>121</v>
      </c>
      <c r="F1152" s="4" t="s">
        <v>1812</v>
      </c>
      <c r="H1152">
        <v>2</v>
      </c>
      <c r="I1152" s="1">
        <v>0</v>
      </c>
      <c r="J1152">
        <v>0</v>
      </c>
      <c r="K1152">
        <v>0</v>
      </c>
      <c r="L1152" s="20">
        <v>19040</v>
      </c>
      <c r="M1152">
        <v>1</v>
      </c>
      <c r="N1152">
        <v>0</v>
      </c>
      <c r="O1152">
        <v>0</v>
      </c>
      <c r="P1152">
        <v>0</v>
      </c>
      <c r="Q1152" s="22">
        <v>57120</v>
      </c>
      <c r="R1152">
        <v>3</v>
      </c>
      <c r="S1152" s="1">
        <v>0</v>
      </c>
      <c r="T1152">
        <v>0</v>
      </c>
      <c r="U1152">
        <v>0</v>
      </c>
      <c r="V1152" s="21">
        <v>28560</v>
      </c>
      <c r="W1152">
        <v>9</v>
      </c>
      <c r="X1152">
        <v>0</v>
      </c>
      <c r="Y1152">
        <v>0</v>
      </c>
      <c r="Z1152">
        <v>0</v>
      </c>
      <c r="AA1152">
        <v>10</v>
      </c>
    </row>
    <row r="1153" spans="1:27" ht="14.25" x14ac:dyDescent="0.2">
      <c r="A1153" s="12">
        <v>20820</v>
      </c>
      <c r="B1153" t="s">
        <v>123</v>
      </c>
      <c r="C1153" t="s">
        <v>121</v>
      </c>
      <c r="D1153" t="s">
        <v>121</v>
      </c>
      <c r="E1153" t="s">
        <v>121</v>
      </c>
      <c r="F1153" s="4" t="s">
        <v>1812</v>
      </c>
      <c r="H1153">
        <v>2</v>
      </c>
      <c r="I1153" s="1">
        <v>0</v>
      </c>
      <c r="J1153">
        <v>0</v>
      </c>
      <c r="K1153">
        <v>0</v>
      </c>
      <c r="L1153" s="20">
        <v>19040</v>
      </c>
      <c r="M1153">
        <v>1</v>
      </c>
      <c r="N1153">
        <v>0</v>
      </c>
      <c r="O1153">
        <v>0</v>
      </c>
      <c r="P1153">
        <v>0</v>
      </c>
      <c r="Q1153" s="22">
        <v>57120</v>
      </c>
      <c r="R1153">
        <v>3</v>
      </c>
      <c r="S1153" s="1">
        <v>0</v>
      </c>
      <c r="T1153">
        <v>0</v>
      </c>
      <c r="U1153">
        <v>0</v>
      </c>
      <c r="V1153" s="21">
        <v>28560</v>
      </c>
      <c r="W1153">
        <v>12</v>
      </c>
      <c r="X1153">
        <v>0</v>
      </c>
      <c r="Y1153">
        <v>0</v>
      </c>
      <c r="Z1153">
        <v>0</v>
      </c>
      <c r="AA1153">
        <v>10</v>
      </c>
    </row>
    <row r="1154" spans="1:27" ht="14.25" x14ac:dyDescent="0.2">
      <c r="A1154" s="12">
        <v>20821</v>
      </c>
      <c r="B1154" t="s">
        <v>126</v>
      </c>
      <c r="C1154" t="s">
        <v>121</v>
      </c>
      <c r="D1154" t="s">
        <v>121</v>
      </c>
      <c r="E1154" t="s">
        <v>121</v>
      </c>
      <c r="F1154" s="4" t="s">
        <v>1814</v>
      </c>
      <c r="H1154">
        <v>2</v>
      </c>
      <c r="I1154" s="1">
        <v>0</v>
      </c>
      <c r="J1154">
        <v>0</v>
      </c>
      <c r="K1154">
        <v>0</v>
      </c>
      <c r="L1154" s="20">
        <v>19100</v>
      </c>
      <c r="M1154">
        <v>1</v>
      </c>
      <c r="N1154">
        <v>0</v>
      </c>
      <c r="O1154">
        <v>0</v>
      </c>
      <c r="P1154">
        <v>0</v>
      </c>
      <c r="Q1154" s="22">
        <v>57120</v>
      </c>
      <c r="R1154">
        <v>3</v>
      </c>
      <c r="S1154" s="1">
        <v>0</v>
      </c>
      <c r="T1154">
        <v>0</v>
      </c>
      <c r="U1154">
        <v>0</v>
      </c>
      <c r="V1154" s="21">
        <v>28560</v>
      </c>
      <c r="W1154">
        <v>23</v>
      </c>
      <c r="X1154">
        <v>0</v>
      </c>
      <c r="Y1154">
        <v>0</v>
      </c>
      <c r="Z1154">
        <v>0</v>
      </c>
      <c r="AA1154">
        <v>1</v>
      </c>
    </row>
    <row r="1155" spans="1:27" ht="14.25" x14ac:dyDescent="0.2">
      <c r="A1155" s="12">
        <v>20822</v>
      </c>
      <c r="B1155" t="s">
        <v>131</v>
      </c>
      <c r="C1155" t="s">
        <v>125</v>
      </c>
      <c r="D1155" t="s">
        <v>121</v>
      </c>
      <c r="E1155" t="s">
        <v>136</v>
      </c>
      <c r="F1155" s="4" t="s">
        <v>1816</v>
      </c>
      <c r="H1155">
        <v>2</v>
      </c>
      <c r="I1155" s="1">
        <v>0</v>
      </c>
      <c r="J1155">
        <v>0</v>
      </c>
      <c r="K1155">
        <v>0</v>
      </c>
      <c r="L1155" s="20">
        <v>19100</v>
      </c>
      <c r="M1155">
        <v>1</v>
      </c>
      <c r="N1155">
        <v>0</v>
      </c>
      <c r="O1155">
        <v>0</v>
      </c>
      <c r="P1155">
        <v>0</v>
      </c>
      <c r="Q1155" s="22">
        <v>57120</v>
      </c>
      <c r="R1155">
        <v>3</v>
      </c>
      <c r="S1155" s="1">
        <v>0</v>
      </c>
      <c r="T1155">
        <v>0</v>
      </c>
      <c r="U1155">
        <v>0</v>
      </c>
      <c r="V1155" s="21">
        <v>28560</v>
      </c>
      <c r="W1155">
        <v>6</v>
      </c>
      <c r="X1155">
        <v>1</v>
      </c>
      <c r="Y1155">
        <v>0</v>
      </c>
      <c r="Z1155">
        <v>3</v>
      </c>
      <c r="AA1155">
        <v>10</v>
      </c>
    </row>
    <row r="1156" spans="1:27" ht="14.25" x14ac:dyDescent="0.2">
      <c r="A1156" s="12">
        <v>20823</v>
      </c>
      <c r="B1156" t="s">
        <v>180</v>
      </c>
      <c r="C1156" t="s">
        <v>121</v>
      </c>
      <c r="D1156" t="s">
        <v>121</v>
      </c>
      <c r="E1156" t="s">
        <v>121</v>
      </c>
      <c r="F1156" s="4" t="s">
        <v>1818</v>
      </c>
      <c r="H1156">
        <v>2</v>
      </c>
      <c r="I1156" s="1">
        <v>0</v>
      </c>
      <c r="J1156">
        <v>0</v>
      </c>
      <c r="K1156">
        <v>0</v>
      </c>
      <c r="L1156" s="20">
        <v>19100</v>
      </c>
      <c r="M1156">
        <v>1</v>
      </c>
      <c r="N1156">
        <v>0</v>
      </c>
      <c r="O1156">
        <v>0</v>
      </c>
      <c r="P1156">
        <v>0</v>
      </c>
      <c r="Q1156" s="22">
        <v>57300</v>
      </c>
      <c r="R1156">
        <v>3</v>
      </c>
      <c r="S1156" s="1">
        <v>0</v>
      </c>
      <c r="T1156">
        <v>0</v>
      </c>
      <c r="U1156">
        <v>0</v>
      </c>
      <c r="V1156" s="21">
        <v>28650</v>
      </c>
      <c r="W1156">
        <v>15</v>
      </c>
      <c r="X1156">
        <v>0</v>
      </c>
      <c r="Y1156">
        <v>0</v>
      </c>
      <c r="Z1156">
        <v>0</v>
      </c>
      <c r="AA1156">
        <v>1</v>
      </c>
    </row>
    <row r="1157" spans="1:27" ht="14.25" x14ac:dyDescent="0.2">
      <c r="A1157" s="12">
        <v>20824</v>
      </c>
      <c r="B1157" t="s">
        <v>178</v>
      </c>
      <c r="C1157" t="s">
        <v>121</v>
      </c>
      <c r="D1157" t="s">
        <v>121</v>
      </c>
      <c r="E1157" t="s">
        <v>121</v>
      </c>
      <c r="F1157" s="4" t="s">
        <v>1818</v>
      </c>
      <c r="H1157">
        <v>2</v>
      </c>
      <c r="I1157" s="1">
        <v>0</v>
      </c>
      <c r="J1157">
        <v>0</v>
      </c>
      <c r="K1157">
        <v>0</v>
      </c>
      <c r="L1157" s="20">
        <v>19100</v>
      </c>
      <c r="M1157">
        <v>1</v>
      </c>
      <c r="N1157">
        <v>0</v>
      </c>
      <c r="O1157">
        <v>0</v>
      </c>
      <c r="P1157">
        <v>0</v>
      </c>
      <c r="Q1157" s="22">
        <v>57300</v>
      </c>
      <c r="R1157">
        <v>3</v>
      </c>
      <c r="S1157" s="1">
        <v>0</v>
      </c>
      <c r="T1157">
        <v>0</v>
      </c>
      <c r="U1157">
        <v>0</v>
      </c>
      <c r="V1157" s="21">
        <v>28650</v>
      </c>
      <c r="W1157">
        <v>21</v>
      </c>
      <c r="X1157">
        <v>0</v>
      </c>
      <c r="Y1157">
        <v>0</v>
      </c>
      <c r="Z1157">
        <v>0</v>
      </c>
      <c r="AA1157">
        <v>1</v>
      </c>
    </row>
    <row r="1158" spans="1:27" ht="14.25" x14ac:dyDescent="0.2">
      <c r="A1158" s="12">
        <v>20825</v>
      </c>
      <c r="B1158" t="s">
        <v>130</v>
      </c>
      <c r="C1158" t="s">
        <v>121</v>
      </c>
      <c r="D1158" t="s">
        <v>121</v>
      </c>
      <c r="E1158" t="s">
        <v>121</v>
      </c>
      <c r="F1158" s="4" t="s">
        <v>1820</v>
      </c>
      <c r="H1158">
        <v>2</v>
      </c>
      <c r="I1158" s="1">
        <v>0</v>
      </c>
      <c r="J1158">
        <v>0</v>
      </c>
      <c r="K1158">
        <v>0</v>
      </c>
      <c r="L1158" s="20">
        <v>19100</v>
      </c>
      <c r="M1158">
        <v>1</v>
      </c>
      <c r="N1158">
        <v>0</v>
      </c>
      <c r="O1158">
        <v>0</v>
      </c>
      <c r="P1158">
        <v>0</v>
      </c>
      <c r="Q1158" s="22">
        <v>57300</v>
      </c>
      <c r="R1158">
        <v>3</v>
      </c>
      <c r="S1158" s="1">
        <v>0</v>
      </c>
      <c r="T1158">
        <v>0</v>
      </c>
      <c r="U1158">
        <v>0</v>
      </c>
      <c r="V1158" s="21">
        <v>28650</v>
      </c>
      <c r="W1158">
        <v>9</v>
      </c>
      <c r="X1158">
        <v>0</v>
      </c>
      <c r="Y1158">
        <v>0</v>
      </c>
      <c r="Z1158">
        <v>0</v>
      </c>
      <c r="AA1158">
        <v>10</v>
      </c>
    </row>
    <row r="1159" spans="1:27" ht="14.25" x14ac:dyDescent="0.2">
      <c r="A1159" s="12">
        <v>20826</v>
      </c>
      <c r="B1159" t="s">
        <v>181</v>
      </c>
      <c r="C1159" t="s">
        <v>121</v>
      </c>
      <c r="D1159" t="s">
        <v>121</v>
      </c>
      <c r="E1159" t="s">
        <v>121</v>
      </c>
      <c r="F1159" s="4" t="s">
        <v>1822</v>
      </c>
      <c r="H1159">
        <v>2</v>
      </c>
      <c r="I1159" s="1">
        <v>0</v>
      </c>
      <c r="J1159">
        <v>0</v>
      </c>
      <c r="K1159">
        <v>0</v>
      </c>
      <c r="L1159" s="20">
        <v>19160</v>
      </c>
      <c r="M1159">
        <v>1</v>
      </c>
      <c r="N1159">
        <v>0</v>
      </c>
      <c r="O1159">
        <v>0</v>
      </c>
      <c r="P1159">
        <v>0</v>
      </c>
      <c r="Q1159" s="22">
        <v>57300</v>
      </c>
      <c r="R1159">
        <v>3</v>
      </c>
      <c r="S1159" s="1">
        <v>0</v>
      </c>
      <c r="T1159">
        <v>0</v>
      </c>
      <c r="U1159">
        <v>0</v>
      </c>
      <c r="V1159" s="21">
        <v>28650</v>
      </c>
      <c r="W1159">
        <v>30</v>
      </c>
      <c r="X1159">
        <v>0</v>
      </c>
      <c r="Y1159">
        <v>0</v>
      </c>
      <c r="Z1159">
        <v>0</v>
      </c>
      <c r="AA1159">
        <v>10</v>
      </c>
    </row>
    <row r="1160" spans="1:27" ht="14.25" x14ac:dyDescent="0.2">
      <c r="A1160" s="12">
        <v>20827</v>
      </c>
      <c r="B1160" t="s">
        <v>122</v>
      </c>
      <c r="C1160" t="s">
        <v>121</v>
      </c>
      <c r="D1160" t="s">
        <v>121</v>
      </c>
      <c r="E1160" t="s">
        <v>121</v>
      </c>
      <c r="F1160" s="4" t="s">
        <v>1822</v>
      </c>
      <c r="H1160">
        <v>2</v>
      </c>
      <c r="I1160" s="1">
        <v>0</v>
      </c>
      <c r="J1160">
        <v>0</v>
      </c>
      <c r="K1160">
        <v>0</v>
      </c>
      <c r="L1160" s="20">
        <v>19160</v>
      </c>
      <c r="M1160">
        <v>1</v>
      </c>
      <c r="N1160">
        <v>0</v>
      </c>
      <c r="O1160">
        <v>0</v>
      </c>
      <c r="P1160">
        <v>0</v>
      </c>
      <c r="Q1160" s="22">
        <v>57300</v>
      </c>
      <c r="R1160">
        <v>3</v>
      </c>
      <c r="S1160" s="1">
        <v>0</v>
      </c>
      <c r="T1160">
        <v>0</v>
      </c>
      <c r="U1160">
        <v>0</v>
      </c>
      <c r="V1160" s="21">
        <v>28650</v>
      </c>
      <c r="W1160">
        <v>4</v>
      </c>
      <c r="X1160">
        <v>0</v>
      </c>
      <c r="Y1160">
        <v>0</v>
      </c>
      <c r="Z1160">
        <v>0</v>
      </c>
      <c r="AA1160">
        <v>10</v>
      </c>
    </row>
    <row r="1161" spans="1:27" ht="14.25" x14ac:dyDescent="0.2">
      <c r="A1161" s="12">
        <v>20828</v>
      </c>
      <c r="B1161" t="s">
        <v>178</v>
      </c>
      <c r="C1161" t="s">
        <v>121</v>
      </c>
      <c r="D1161" t="s">
        <v>121</v>
      </c>
      <c r="E1161" t="s">
        <v>121</v>
      </c>
      <c r="F1161" s="4" t="s">
        <v>1824</v>
      </c>
      <c r="H1161">
        <v>2</v>
      </c>
      <c r="I1161" s="1">
        <v>0</v>
      </c>
      <c r="J1161">
        <v>0</v>
      </c>
      <c r="K1161">
        <v>0</v>
      </c>
      <c r="L1161" s="20">
        <v>19160</v>
      </c>
      <c r="M1161">
        <v>1</v>
      </c>
      <c r="N1161">
        <v>0</v>
      </c>
      <c r="O1161">
        <v>0</v>
      </c>
      <c r="P1161">
        <v>0</v>
      </c>
      <c r="Q1161" s="22">
        <v>57480</v>
      </c>
      <c r="R1161">
        <v>3</v>
      </c>
      <c r="S1161" s="1">
        <v>0</v>
      </c>
      <c r="T1161">
        <v>0</v>
      </c>
      <c r="U1161">
        <v>0</v>
      </c>
      <c r="V1161" s="21">
        <v>28740</v>
      </c>
      <c r="W1161">
        <v>21</v>
      </c>
      <c r="X1161">
        <v>0</v>
      </c>
      <c r="Y1161">
        <v>0</v>
      </c>
      <c r="Z1161">
        <v>0</v>
      </c>
      <c r="AA1161">
        <v>1</v>
      </c>
    </row>
    <row r="1162" spans="1:27" ht="14.25" x14ac:dyDescent="0.2">
      <c r="A1162" s="12">
        <v>20829</v>
      </c>
      <c r="B1162" t="s">
        <v>130</v>
      </c>
      <c r="C1162" t="s">
        <v>121</v>
      </c>
      <c r="D1162" t="s">
        <v>121</v>
      </c>
      <c r="E1162" t="s">
        <v>121</v>
      </c>
      <c r="F1162" s="4" t="s">
        <v>1826</v>
      </c>
      <c r="H1162">
        <v>2</v>
      </c>
      <c r="I1162" s="1">
        <v>0</v>
      </c>
      <c r="J1162">
        <v>0</v>
      </c>
      <c r="K1162">
        <v>0</v>
      </c>
      <c r="L1162" s="20">
        <v>19160</v>
      </c>
      <c r="M1162">
        <v>1</v>
      </c>
      <c r="N1162">
        <v>0</v>
      </c>
      <c r="O1162">
        <v>0</v>
      </c>
      <c r="P1162">
        <v>0</v>
      </c>
      <c r="Q1162" s="22">
        <v>57480</v>
      </c>
      <c r="R1162">
        <v>3</v>
      </c>
      <c r="S1162" s="1">
        <v>0</v>
      </c>
      <c r="T1162">
        <v>0</v>
      </c>
      <c r="U1162">
        <v>0</v>
      </c>
      <c r="V1162" s="21">
        <v>28740</v>
      </c>
      <c r="W1162">
        <v>9</v>
      </c>
      <c r="X1162">
        <v>0</v>
      </c>
      <c r="Y1162">
        <v>0</v>
      </c>
      <c r="Z1162">
        <v>0</v>
      </c>
      <c r="AA1162">
        <v>10</v>
      </c>
    </row>
    <row r="1163" spans="1:27" ht="14.25" x14ac:dyDescent="0.2">
      <c r="A1163" s="12">
        <v>20830</v>
      </c>
      <c r="B1163" t="s">
        <v>123</v>
      </c>
      <c r="C1163" t="s">
        <v>121</v>
      </c>
      <c r="D1163" t="s">
        <v>121</v>
      </c>
      <c r="E1163" t="s">
        <v>121</v>
      </c>
      <c r="F1163" s="4" t="s">
        <v>1826</v>
      </c>
      <c r="H1163">
        <v>2</v>
      </c>
      <c r="I1163" s="1">
        <v>0</v>
      </c>
      <c r="J1163">
        <v>0</v>
      </c>
      <c r="K1163">
        <v>0</v>
      </c>
      <c r="L1163" s="20">
        <v>19160</v>
      </c>
      <c r="M1163">
        <v>1</v>
      </c>
      <c r="N1163">
        <v>0</v>
      </c>
      <c r="O1163">
        <v>0</v>
      </c>
      <c r="P1163">
        <v>0</v>
      </c>
      <c r="Q1163" s="22">
        <v>57480</v>
      </c>
      <c r="R1163">
        <v>3</v>
      </c>
      <c r="S1163" s="1">
        <v>0</v>
      </c>
      <c r="T1163">
        <v>0</v>
      </c>
      <c r="U1163">
        <v>0</v>
      </c>
      <c r="V1163" s="21">
        <v>28740</v>
      </c>
      <c r="W1163">
        <v>12</v>
      </c>
      <c r="X1163">
        <v>0</v>
      </c>
      <c r="Y1163">
        <v>0</v>
      </c>
      <c r="Z1163">
        <v>0</v>
      </c>
      <c r="AA1163">
        <v>10</v>
      </c>
    </row>
    <row r="1164" spans="1:27" ht="14.25" x14ac:dyDescent="0.2">
      <c r="A1164" s="12">
        <v>20831</v>
      </c>
      <c r="B1164" t="s">
        <v>126</v>
      </c>
      <c r="C1164" t="s">
        <v>121</v>
      </c>
      <c r="D1164" t="s">
        <v>121</v>
      </c>
      <c r="E1164" t="s">
        <v>121</v>
      </c>
      <c r="F1164" s="4" t="s">
        <v>1828</v>
      </c>
      <c r="H1164">
        <v>2</v>
      </c>
      <c r="I1164" s="1">
        <v>0</v>
      </c>
      <c r="J1164">
        <v>0</v>
      </c>
      <c r="K1164">
        <v>0</v>
      </c>
      <c r="L1164" s="20">
        <v>19220</v>
      </c>
      <c r="M1164">
        <v>1</v>
      </c>
      <c r="N1164">
        <v>0</v>
      </c>
      <c r="O1164">
        <v>0</v>
      </c>
      <c r="P1164">
        <v>0</v>
      </c>
      <c r="Q1164" s="22">
        <v>57480</v>
      </c>
      <c r="R1164">
        <v>3</v>
      </c>
      <c r="S1164" s="1">
        <v>0</v>
      </c>
      <c r="T1164">
        <v>0</v>
      </c>
      <c r="U1164">
        <v>0</v>
      </c>
      <c r="V1164" s="21">
        <v>28740</v>
      </c>
      <c r="W1164">
        <v>23</v>
      </c>
      <c r="X1164">
        <v>0</v>
      </c>
      <c r="Y1164">
        <v>0</v>
      </c>
      <c r="Z1164">
        <v>0</v>
      </c>
      <c r="AA1164">
        <v>1</v>
      </c>
    </row>
    <row r="1165" spans="1:27" ht="14.25" x14ac:dyDescent="0.2">
      <c r="A1165" s="12">
        <v>20832</v>
      </c>
      <c r="B1165" t="s">
        <v>131</v>
      </c>
      <c r="C1165" t="s">
        <v>125</v>
      </c>
      <c r="D1165" t="s">
        <v>121</v>
      </c>
      <c r="E1165" t="s">
        <v>136</v>
      </c>
      <c r="F1165" s="4" t="s">
        <v>1830</v>
      </c>
      <c r="H1165">
        <v>2</v>
      </c>
      <c r="I1165" s="1">
        <v>0</v>
      </c>
      <c r="J1165">
        <v>0</v>
      </c>
      <c r="K1165">
        <v>0</v>
      </c>
      <c r="L1165" s="20">
        <v>19220</v>
      </c>
      <c r="M1165">
        <v>1</v>
      </c>
      <c r="N1165">
        <v>0</v>
      </c>
      <c r="O1165">
        <v>0</v>
      </c>
      <c r="P1165">
        <v>0</v>
      </c>
      <c r="Q1165" s="22">
        <v>57480</v>
      </c>
      <c r="R1165">
        <v>3</v>
      </c>
      <c r="S1165" s="1">
        <v>0</v>
      </c>
      <c r="T1165">
        <v>0</v>
      </c>
      <c r="U1165">
        <v>0</v>
      </c>
      <c r="V1165" s="21">
        <v>28740</v>
      </c>
      <c r="W1165">
        <v>6</v>
      </c>
      <c r="X1165">
        <v>1</v>
      </c>
      <c r="Y1165">
        <v>0</v>
      </c>
      <c r="Z1165">
        <v>3</v>
      </c>
      <c r="AA1165">
        <v>10</v>
      </c>
    </row>
    <row r="1166" spans="1:27" ht="14.25" x14ac:dyDescent="0.2">
      <c r="A1166" s="12">
        <v>20833</v>
      </c>
      <c r="B1166" t="s">
        <v>180</v>
      </c>
      <c r="C1166" t="s">
        <v>121</v>
      </c>
      <c r="D1166" t="s">
        <v>121</v>
      </c>
      <c r="E1166" t="s">
        <v>121</v>
      </c>
      <c r="F1166" s="4" t="s">
        <v>1832</v>
      </c>
      <c r="H1166">
        <v>2</v>
      </c>
      <c r="I1166" s="1">
        <v>0</v>
      </c>
      <c r="J1166">
        <v>0</v>
      </c>
      <c r="K1166">
        <v>0</v>
      </c>
      <c r="L1166" s="20">
        <v>19220</v>
      </c>
      <c r="M1166">
        <v>1</v>
      </c>
      <c r="N1166">
        <v>0</v>
      </c>
      <c r="O1166">
        <v>0</v>
      </c>
      <c r="P1166">
        <v>0</v>
      </c>
      <c r="Q1166" s="22">
        <v>57660</v>
      </c>
      <c r="R1166">
        <v>3</v>
      </c>
      <c r="S1166" s="1">
        <v>0</v>
      </c>
      <c r="T1166">
        <v>0</v>
      </c>
      <c r="U1166">
        <v>0</v>
      </c>
      <c r="V1166" s="21">
        <v>28830</v>
      </c>
      <c r="W1166">
        <v>15</v>
      </c>
      <c r="X1166">
        <v>0</v>
      </c>
      <c r="Y1166">
        <v>0</v>
      </c>
      <c r="Z1166">
        <v>0</v>
      </c>
      <c r="AA1166">
        <v>1</v>
      </c>
    </row>
    <row r="1167" spans="1:27" ht="14.25" x14ac:dyDescent="0.2">
      <c r="A1167" s="12">
        <v>20834</v>
      </c>
      <c r="B1167" t="s">
        <v>178</v>
      </c>
      <c r="C1167" t="s">
        <v>121</v>
      </c>
      <c r="D1167" t="s">
        <v>121</v>
      </c>
      <c r="E1167" t="s">
        <v>121</v>
      </c>
      <c r="F1167" s="4" t="s">
        <v>1832</v>
      </c>
      <c r="H1167">
        <v>2</v>
      </c>
      <c r="I1167" s="1">
        <v>0</v>
      </c>
      <c r="J1167">
        <v>0</v>
      </c>
      <c r="K1167">
        <v>0</v>
      </c>
      <c r="L1167" s="20">
        <v>19220</v>
      </c>
      <c r="M1167">
        <v>1</v>
      </c>
      <c r="N1167">
        <v>0</v>
      </c>
      <c r="O1167">
        <v>0</v>
      </c>
      <c r="P1167">
        <v>0</v>
      </c>
      <c r="Q1167" s="22">
        <v>57660</v>
      </c>
      <c r="R1167">
        <v>3</v>
      </c>
      <c r="S1167" s="1">
        <v>0</v>
      </c>
      <c r="T1167">
        <v>0</v>
      </c>
      <c r="U1167">
        <v>0</v>
      </c>
      <c r="V1167" s="21">
        <v>28830</v>
      </c>
      <c r="W1167">
        <v>21</v>
      </c>
      <c r="X1167">
        <v>0</v>
      </c>
      <c r="Y1167">
        <v>0</v>
      </c>
      <c r="Z1167">
        <v>0</v>
      </c>
      <c r="AA1167">
        <v>1</v>
      </c>
    </row>
    <row r="1168" spans="1:27" ht="14.25" x14ac:dyDescent="0.2">
      <c r="A1168" s="12">
        <v>20835</v>
      </c>
      <c r="B1168" t="s">
        <v>130</v>
      </c>
      <c r="C1168" t="s">
        <v>121</v>
      </c>
      <c r="D1168" t="s">
        <v>121</v>
      </c>
      <c r="E1168" t="s">
        <v>121</v>
      </c>
      <c r="F1168" s="4" t="s">
        <v>1834</v>
      </c>
      <c r="H1168">
        <v>2</v>
      </c>
      <c r="I1168" s="1">
        <v>0</v>
      </c>
      <c r="J1168">
        <v>0</v>
      </c>
      <c r="K1168">
        <v>0</v>
      </c>
      <c r="L1168" s="20">
        <v>19220</v>
      </c>
      <c r="M1168">
        <v>1</v>
      </c>
      <c r="N1168">
        <v>0</v>
      </c>
      <c r="O1168">
        <v>0</v>
      </c>
      <c r="P1168">
        <v>0</v>
      </c>
      <c r="Q1168" s="22">
        <v>57660</v>
      </c>
      <c r="R1168">
        <v>3</v>
      </c>
      <c r="S1168" s="1">
        <v>0</v>
      </c>
      <c r="T1168">
        <v>0</v>
      </c>
      <c r="U1168">
        <v>0</v>
      </c>
      <c r="V1168" s="21">
        <v>28830</v>
      </c>
      <c r="W1168">
        <v>9</v>
      </c>
      <c r="X1168">
        <v>0</v>
      </c>
      <c r="Y1168">
        <v>0</v>
      </c>
      <c r="Z1168">
        <v>0</v>
      </c>
      <c r="AA1168">
        <v>10</v>
      </c>
    </row>
    <row r="1169" spans="1:27" ht="14.25" x14ac:dyDescent="0.2">
      <c r="A1169" s="12">
        <v>20836</v>
      </c>
      <c r="B1169" t="s">
        <v>181</v>
      </c>
      <c r="C1169" t="s">
        <v>121</v>
      </c>
      <c r="D1169" t="s">
        <v>121</v>
      </c>
      <c r="E1169" t="s">
        <v>121</v>
      </c>
      <c r="F1169" s="4" t="s">
        <v>1836</v>
      </c>
      <c r="H1169">
        <v>2</v>
      </c>
      <c r="I1169" s="1">
        <v>0</v>
      </c>
      <c r="J1169">
        <v>0</v>
      </c>
      <c r="K1169">
        <v>0</v>
      </c>
      <c r="L1169" s="20">
        <v>19280</v>
      </c>
      <c r="M1169">
        <v>1</v>
      </c>
      <c r="N1169">
        <v>0</v>
      </c>
      <c r="O1169">
        <v>0</v>
      </c>
      <c r="P1169">
        <v>0</v>
      </c>
      <c r="Q1169" s="22">
        <v>57660</v>
      </c>
      <c r="R1169">
        <v>3</v>
      </c>
      <c r="S1169" s="1">
        <v>0</v>
      </c>
      <c r="T1169">
        <v>0</v>
      </c>
      <c r="U1169">
        <v>0</v>
      </c>
      <c r="V1169" s="21">
        <v>28830</v>
      </c>
      <c r="W1169">
        <v>30</v>
      </c>
      <c r="X1169">
        <v>0</v>
      </c>
      <c r="Y1169">
        <v>0</v>
      </c>
      <c r="Z1169">
        <v>0</v>
      </c>
      <c r="AA1169">
        <v>10</v>
      </c>
    </row>
    <row r="1170" spans="1:27" ht="14.25" x14ac:dyDescent="0.2">
      <c r="A1170" s="12">
        <v>20837</v>
      </c>
      <c r="B1170" t="s">
        <v>122</v>
      </c>
      <c r="C1170" t="s">
        <v>121</v>
      </c>
      <c r="D1170" t="s">
        <v>121</v>
      </c>
      <c r="E1170" t="s">
        <v>121</v>
      </c>
      <c r="F1170" s="4" t="s">
        <v>1836</v>
      </c>
      <c r="H1170">
        <v>2</v>
      </c>
      <c r="I1170" s="1">
        <v>0</v>
      </c>
      <c r="J1170">
        <v>0</v>
      </c>
      <c r="K1170">
        <v>0</v>
      </c>
      <c r="L1170" s="20">
        <v>19280</v>
      </c>
      <c r="M1170">
        <v>1</v>
      </c>
      <c r="N1170">
        <v>0</v>
      </c>
      <c r="O1170">
        <v>0</v>
      </c>
      <c r="P1170">
        <v>0</v>
      </c>
      <c r="Q1170" s="22">
        <v>57660</v>
      </c>
      <c r="R1170">
        <v>3</v>
      </c>
      <c r="S1170" s="1">
        <v>0</v>
      </c>
      <c r="T1170">
        <v>0</v>
      </c>
      <c r="U1170">
        <v>0</v>
      </c>
      <c r="V1170" s="21">
        <v>28830</v>
      </c>
      <c r="W1170">
        <v>4</v>
      </c>
      <c r="X1170">
        <v>0</v>
      </c>
      <c r="Y1170">
        <v>0</v>
      </c>
      <c r="Z1170">
        <v>0</v>
      </c>
      <c r="AA1170">
        <v>10</v>
      </c>
    </row>
    <row r="1171" spans="1:27" ht="14.25" x14ac:dyDescent="0.2">
      <c r="A1171" s="12">
        <v>20838</v>
      </c>
      <c r="B1171" t="s">
        <v>178</v>
      </c>
      <c r="C1171" t="s">
        <v>121</v>
      </c>
      <c r="D1171" t="s">
        <v>121</v>
      </c>
      <c r="E1171" t="s">
        <v>121</v>
      </c>
      <c r="F1171" s="4" t="s">
        <v>1838</v>
      </c>
      <c r="H1171">
        <v>2</v>
      </c>
      <c r="I1171" s="1">
        <v>0</v>
      </c>
      <c r="J1171">
        <v>0</v>
      </c>
      <c r="K1171">
        <v>0</v>
      </c>
      <c r="L1171" s="20">
        <v>19280</v>
      </c>
      <c r="M1171">
        <v>1</v>
      </c>
      <c r="N1171">
        <v>0</v>
      </c>
      <c r="O1171">
        <v>0</v>
      </c>
      <c r="P1171">
        <v>0</v>
      </c>
      <c r="Q1171" s="22">
        <v>57840</v>
      </c>
      <c r="R1171">
        <v>3</v>
      </c>
      <c r="S1171" s="1">
        <v>0</v>
      </c>
      <c r="T1171">
        <v>0</v>
      </c>
      <c r="U1171">
        <v>0</v>
      </c>
      <c r="V1171" s="21">
        <v>28920</v>
      </c>
      <c r="W1171">
        <v>21</v>
      </c>
      <c r="X1171">
        <v>0</v>
      </c>
      <c r="Y1171">
        <v>0</v>
      </c>
      <c r="Z1171">
        <v>0</v>
      </c>
      <c r="AA1171">
        <v>1</v>
      </c>
    </row>
    <row r="1172" spans="1:27" ht="14.25" x14ac:dyDescent="0.2">
      <c r="A1172" s="12">
        <v>20839</v>
      </c>
      <c r="B1172" t="s">
        <v>130</v>
      </c>
      <c r="C1172" t="s">
        <v>121</v>
      </c>
      <c r="D1172" t="s">
        <v>121</v>
      </c>
      <c r="E1172" t="s">
        <v>121</v>
      </c>
      <c r="F1172" s="4" t="s">
        <v>1840</v>
      </c>
      <c r="H1172">
        <v>2</v>
      </c>
      <c r="I1172" s="1">
        <v>0</v>
      </c>
      <c r="J1172">
        <v>0</v>
      </c>
      <c r="K1172">
        <v>0</v>
      </c>
      <c r="L1172" s="20">
        <v>19280</v>
      </c>
      <c r="M1172">
        <v>1</v>
      </c>
      <c r="N1172">
        <v>0</v>
      </c>
      <c r="O1172">
        <v>0</v>
      </c>
      <c r="P1172">
        <v>0</v>
      </c>
      <c r="Q1172" s="22">
        <v>57840</v>
      </c>
      <c r="R1172">
        <v>3</v>
      </c>
      <c r="S1172" s="1">
        <v>0</v>
      </c>
      <c r="T1172">
        <v>0</v>
      </c>
      <c r="U1172">
        <v>0</v>
      </c>
      <c r="V1172" s="21">
        <v>28920</v>
      </c>
      <c r="W1172">
        <v>9</v>
      </c>
      <c r="X1172">
        <v>0</v>
      </c>
      <c r="Y1172">
        <v>0</v>
      </c>
      <c r="Z1172">
        <v>0</v>
      </c>
      <c r="AA1172">
        <v>10</v>
      </c>
    </row>
    <row r="1173" spans="1:27" ht="14.25" x14ac:dyDescent="0.2">
      <c r="A1173" s="12">
        <v>20840</v>
      </c>
      <c r="B1173" t="s">
        <v>123</v>
      </c>
      <c r="C1173" t="s">
        <v>121</v>
      </c>
      <c r="D1173" t="s">
        <v>121</v>
      </c>
      <c r="E1173" t="s">
        <v>121</v>
      </c>
      <c r="F1173" s="4" t="s">
        <v>1840</v>
      </c>
      <c r="H1173">
        <v>2</v>
      </c>
      <c r="I1173" s="1">
        <v>0</v>
      </c>
      <c r="J1173">
        <v>0</v>
      </c>
      <c r="K1173">
        <v>0</v>
      </c>
      <c r="L1173" s="20">
        <v>19280</v>
      </c>
      <c r="M1173">
        <v>1</v>
      </c>
      <c r="N1173">
        <v>0</v>
      </c>
      <c r="O1173">
        <v>0</v>
      </c>
      <c r="P1173">
        <v>0</v>
      </c>
      <c r="Q1173" s="22">
        <v>57840</v>
      </c>
      <c r="R1173">
        <v>3</v>
      </c>
      <c r="S1173" s="1">
        <v>0</v>
      </c>
      <c r="T1173">
        <v>0</v>
      </c>
      <c r="U1173">
        <v>0</v>
      </c>
      <c r="V1173" s="21">
        <v>28920</v>
      </c>
      <c r="W1173">
        <v>12</v>
      </c>
      <c r="X1173">
        <v>0</v>
      </c>
      <c r="Y1173">
        <v>0</v>
      </c>
      <c r="Z1173">
        <v>0</v>
      </c>
      <c r="AA1173">
        <v>10</v>
      </c>
    </row>
    <row r="1174" spans="1:27" ht="14.25" x14ac:dyDescent="0.2">
      <c r="A1174" s="12">
        <v>20841</v>
      </c>
      <c r="B1174" t="s">
        <v>126</v>
      </c>
      <c r="C1174" t="s">
        <v>121</v>
      </c>
      <c r="D1174" t="s">
        <v>121</v>
      </c>
      <c r="E1174" t="s">
        <v>121</v>
      </c>
      <c r="F1174" s="4" t="s">
        <v>1842</v>
      </c>
      <c r="H1174">
        <v>2</v>
      </c>
      <c r="I1174" s="1">
        <v>0</v>
      </c>
      <c r="J1174">
        <v>0</v>
      </c>
      <c r="K1174">
        <v>0</v>
      </c>
      <c r="L1174" s="20">
        <v>19340</v>
      </c>
      <c r="M1174">
        <v>1</v>
      </c>
      <c r="N1174">
        <v>0</v>
      </c>
      <c r="O1174">
        <v>0</v>
      </c>
      <c r="P1174">
        <v>0</v>
      </c>
      <c r="Q1174" s="22">
        <v>57840</v>
      </c>
      <c r="R1174">
        <v>3</v>
      </c>
      <c r="S1174" s="1">
        <v>0</v>
      </c>
      <c r="T1174">
        <v>0</v>
      </c>
      <c r="U1174">
        <v>0</v>
      </c>
      <c r="V1174" s="21">
        <v>28920</v>
      </c>
      <c r="W1174">
        <v>23</v>
      </c>
      <c r="X1174">
        <v>0</v>
      </c>
      <c r="Y1174">
        <v>0</v>
      </c>
      <c r="Z1174">
        <v>0</v>
      </c>
      <c r="AA1174">
        <v>1</v>
      </c>
    </row>
    <row r="1175" spans="1:27" ht="14.25" x14ac:dyDescent="0.2">
      <c r="A1175" s="12">
        <v>20842</v>
      </c>
      <c r="B1175" t="s">
        <v>131</v>
      </c>
      <c r="C1175" t="s">
        <v>125</v>
      </c>
      <c r="D1175" t="s">
        <v>121</v>
      </c>
      <c r="E1175" t="s">
        <v>136</v>
      </c>
      <c r="F1175" s="4" t="s">
        <v>1844</v>
      </c>
      <c r="H1175">
        <v>2</v>
      </c>
      <c r="I1175" s="1">
        <v>0</v>
      </c>
      <c r="J1175">
        <v>0</v>
      </c>
      <c r="K1175">
        <v>0</v>
      </c>
      <c r="L1175" s="20">
        <v>19340</v>
      </c>
      <c r="M1175">
        <v>1</v>
      </c>
      <c r="N1175">
        <v>0</v>
      </c>
      <c r="O1175">
        <v>0</v>
      </c>
      <c r="P1175">
        <v>0</v>
      </c>
      <c r="Q1175" s="22">
        <v>57840</v>
      </c>
      <c r="R1175">
        <v>3</v>
      </c>
      <c r="S1175" s="1">
        <v>0</v>
      </c>
      <c r="T1175">
        <v>0</v>
      </c>
      <c r="U1175">
        <v>0</v>
      </c>
      <c r="V1175" s="21">
        <v>28920</v>
      </c>
      <c r="W1175">
        <v>6</v>
      </c>
      <c r="X1175">
        <v>1</v>
      </c>
      <c r="Y1175">
        <v>0</v>
      </c>
      <c r="Z1175">
        <v>3</v>
      </c>
      <c r="AA1175">
        <v>10</v>
      </c>
    </row>
    <row r="1176" spans="1:27" ht="14.25" x14ac:dyDescent="0.2">
      <c r="A1176" s="12">
        <v>20843</v>
      </c>
      <c r="B1176" t="s">
        <v>180</v>
      </c>
      <c r="C1176" t="s">
        <v>121</v>
      </c>
      <c r="D1176" t="s">
        <v>121</v>
      </c>
      <c r="E1176" t="s">
        <v>121</v>
      </c>
      <c r="F1176" s="4" t="s">
        <v>1846</v>
      </c>
      <c r="H1176">
        <v>2</v>
      </c>
      <c r="I1176" s="1">
        <v>0</v>
      </c>
      <c r="J1176">
        <v>0</v>
      </c>
      <c r="K1176">
        <v>0</v>
      </c>
      <c r="L1176" s="20">
        <v>19340</v>
      </c>
      <c r="M1176">
        <v>1</v>
      </c>
      <c r="N1176">
        <v>0</v>
      </c>
      <c r="O1176">
        <v>0</v>
      </c>
      <c r="P1176">
        <v>0</v>
      </c>
      <c r="Q1176" s="22">
        <v>58020</v>
      </c>
      <c r="R1176">
        <v>3</v>
      </c>
      <c r="S1176" s="1">
        <v>0</v>
      </c>
      <c r="T1176">
        <v>0</v>
      </c>
      <c r="U1176">
        <v>0</v>
      </c>
      <c r="V1176" s="21">
        <v>29010</v>
      </c>
      <c r="W1176">
        <v>15</v>
      </c>
      <c r="X1176">
        <v>0</v>
      </c>
      <c r="Y1176">
        <v>0</v>
      </c>
      <c r="Z1176">
        <v>0</v>
      </c>
      <c r="AA1176">
        <v>1</v>
      </c>
    </row>
    <row r="1177" spans="1:27" ht="14.25" x14ac:dyDescent="0.2">
      <c r="A1177" s="12">
        <v>20844</v>
      </c>
      <c r="B1177" t="s">
        <v>178</v>
      </c>
      <c r="C1177" t="s">
        <v>121</v>
      </c>
      <c r="D1177" t="s">
        <v>121</v>
      </c>
      <c r="E1177" t="s">
        <v>121</v>
      </c>
      <c r="F1177" s="4" t="s">
        <v>1846</v>
      </c>
      <c r="H1177">
        <v>2</v>
      </c>
      <c r="I1177" s="1">
        <v>0</v>
      </c>
      <c r="J1177">
        <v>0</v>
      </c>
      <c r="K1177">
        <v>0</v>
      </c>
      <c r="L1177" s="20">
        <v>19340</v>
      </c>
      <c r="M1177">
        <v>1</v>
      </c>
      <c r="N1177">
        <v>0</v>
      </c>
      <c r="O1177">
        <v>0</v>
      </c>
      <c r="P1177">
        <v>0</v>
      </c>
      <c r="Q1177" s="22">
        <v>58020</v>
      </c>
      <c r="R1177">
        <v>3</v>
      </c>
      <c r="S1177" s="1">
        <v>0</v>
      </c>
      <c r="T1177">
        <v>0</v>
      </c>
      <c r="U1177">
        <v>0</v>
      </c>
      <c r="V1177" s="21">
        <v>29010</v>
      </c>
      <c r="W1177">
        <v>21</v>
      </c>
      <c r="X1177">
        <v>0</v>
      </c>
      <c r="Y1177">
        <v>0</v>
      </c>
      <c r="Z1177">
        <v>0</v>
      </c>
      <c r="AA1177">
        <v>1</v>
      </c>
    </row>
    <row r="1178" spans="1:27" ht="14.25" x14ac:dyDescent="0.2">
      <c r="A1178" s="12">
        <v>20845</v>
      </c>
      <c r="B1178" t="s">
        <v>130</v>
      </c>
      <c r="C1178" t="s">
        <v>121</v>
      </c>
      <c r="D1178" t="s">
        <v>121</v>
      </c>
      <c r="E1178" t="s">
        <v>121</v>
      </c>
      <c r="F1178" s="4" t="s">
        <v>1848</v>
      </c>
      <c r="H1178">
        <v>2</v>
      </c>
      <c r="I1178" s="1">
        <v>0</v>
      </c>
      <c r="J1178">
        <v>0</v>
      </c>
      <c r="K1178">
        <v>0</v>
      </c>
      <c r="L1178" s="20">
        <v>19340</v>
      </c>
      <c r="M1178">
        <v>1</v>
      </c>
      <c r="N1178">
        <v>0</v>
      </c>
      <c r="O1178">
        <v>0</v>
      </c>
      <c r="P1178">
        <v>0</v>
      </c>
      <c r="Q1178" s="22">
        <v>58020</v>
      </c>
      <c r="R1178">
        <v>3</v>
      </c>
      <c r="S1178" s="1">
        <v>0</v>
      </c>
      <c r="T1178">
        <v>0</v>
      </c>
      <c r="U1178">
        <v>0</v>
      </c>
      <c r="V1178" s="21">
        <v>29010</v>
      </c>
      <c r="W1178">
        <v>9</v>
      </c>
      <c r="X1178">
        <v>0</v>
      </c>
      <c r="Y1178">
        <v>0</v>
      </c>
      <c r="Z1178">
        <v>0</v>
      </c>
      <c r="AA1178">
        <v>10</v>
      </c>
    </row>
    <row r="1179" spans="1:27" ht="14.25" x14ac:dyDescent="0.2">
      <c r="A1179" s="12">
        <v>20846</v>
      </c>
      <c r="B1179" t="s">
        <v>181</v>
      </c>
      <c r="C1179" t="s">
        <v>121</v>
      </c>
      <c r="D1179" t="s">
        <v>121</v>
      </c>
      <c r="E1179" t="s">
        <v>121</v>
      </c>
      <c r="F1179" s="4" t="s">
        <v>1850</v>
      </c>
      <c r="H1179">
        <v>2</v>
      </c>
      <c r="I1179" s="1">
        <v>0</v>
      </c>
      <c r="J1179">
        <v>0</v>
      </c>
      <c r="K1179">
        <v>0</v>
      </c>
      <c r="L1179" s="20">
        <v>19400</v>
      </c>
      <c r="M1179">
        <v>1</v>
      </c>
      <c r="N1179">
        <v>0</v>
      </c>
      <c r="O1179">
        <v>0</v>
      </c>
      <c r="P1179">
        <v>0</v>
      </c>
      <c r="Q1179" s="22">
        <v>58020</v>
      </c>
      <c r="R1179">
        <v>3</v>
      </c>
      <c r="S1179" s="1">
        <v>0</v>
      </c>
      <c r="T1179">
        <v>0</v>
      </c>
      <c r="U1179">
        <v>0</v>
      </c>
      <c r="V1179" s="21">
        <v>29010</v>
      </c>
      <c r="W1179">
        <v>30</v>
      </c>
      <c r="X1179">
        <v>0</v>
      </c>
      <c r="Y1179">
        <v>0</v>
      </c>
      <c r="Z1179">
        <v>0</v>
      </c>
      <c r="AA1179">
        <v>10</v>
      </c>
    </row>
    <row r="1180" spans="1:27" ht="14.25" x14ac:dyDescent="0.2">
      <c r="A1180" s="12">
        <v>20847</v>
      </c>
      <c r="B1180" t="s">
        <v>122</v>
      </c>
      <c r="C1180" t="s">
        <v>121</v>
      </c>
      <c r="D1180" t="s">
        <v>121</v>
      </c>
      <c r="E1180" t="s">
        <v>121</v>
      </c>
      <c r="F1180" s="4" t="s">
        <v>1850</v>
      </c>
      <c r="H1180">
        <v>2</v>
      </c>
      <c r="I1180" s="1">
        <v>0</v>
      </c>
      <c r="J1180">
        <v>0</v>
      </c>
      <c r="K1180">
        <v>0</v>
      </c>
      <c r="L1180" s="20">
        <v>19400</v>
      </c>
      <c r="M1180">
        <v>1</v>
      </c>
      <c r="N1180">
        <v>0</v>
      </c>
      <c r="O1180">
        <v>0</v>
      </c>
      <c r="P1180">
        <v>0</v>
      </c>
      <c r="Q1180" s="22">
        <v>58020</v>
      </c>
      <c r="R1180">
        <v>3</v>
      </c>
      <c r="S1180" s="1">
        <v>0</v>
      </c>
      <c r="T1180">
        <v>0</v>
      </c>
      <c r="U1180">
        <v>0</v>
      </c>
      <c r="V1180" s="21">
        <v>29010</v>
      </c>
      <c r="W1180">
        <v>4</v>
      </c>
      <c r="X1180">
        <v>0</v>
      </c>
      <c r="Y1180">
        <v>0</v>
      </c>
      <c r="Z1180">
        <v>0</v>
      </c>
      <c r="AA1180">
        <v>10</v>
      </c>
    </row>
    <row r="1181" spans="1:27" ht="14.25" x14ac:dyDescent="0.2">
      <c r="A1181" s="12">
        <v>20848</v>
      </c>
      <c r="B1181" t="s">
        <v>178</v>
      </c>
      <c r="C1181" t="s">
        <v>121</v>
      </c>
      <c r="D1181" t="s">
        <v>121</v>
      </c>
      <c r="E1181" t="s">
        <v>121</v>
      </c>
      <c r="F1181" s="4" t="s">
        <v>1852</v>
      </c>
      <c r="H1181">
        <v>2</v>
      </c>
      <c r="I1181" s="1">
        <v>0</v>
      </c>
      <c r="J1181">
        <v>0</v>
      </c>
      <c r="K1181">
        <v>0</v>
      </c>
      <c r="L1181" s="20">
        <v>19400</v>
      </c>
      <c r="M1181">
        <v>1</v>
      </c>
      <c r="N1181">
        <v>0</v>
      </c>
      <c r="O1181">
        <v>0</v>
      </c>
      <c r="P1181">
        <v>0</v>
      </c>
      <c r="Q1181" s="22">
        <v>58200</v>
      </c>
      <c r="R1181">
        <v>3</v>
      </c>
      <c r="S1181" s="1">
        <v>0</v>
      </c>
      <c r="T1181">
        <v>0</v>
      </c>
      <c r="U1181">
        <v>0</v>
      </c>
      <c r="V1181" s="21">
        <v>29100</v>
      </c>
      <c r="W1181">
        <v>21</v>
      </c>
      <c r="X1181">
        <v>0</v>
      </c>
      <c r="Y1181">
        <v>0</v>
      </c>
      <c r="Z1181">
        <v>0</v>
      </c>
      <c r="AA1181">
        <v>1</v>
      </c>
    </row>
    <row r="1182" spans="1:27" ht="14.25" x14ac:dyDescent="0.2">
      <c r="A1182" s="12">
        <v>20849</v>
      </c>
      <c r="B1182" t="s">
        <v>130</v>
      </c>
      <c r="C1182" t="s">
        <v>121</v>
      </c>
      <c r="D1182" t="s">
        <v>121</v>
      </c>
      <c r="E1182" t="s">
        <v>121</v>
      </c>
      <c r="F1182" s="4" t="s">
        <v>1854</v>
      </c>
      <c r="H1182">
        <v>2</v>
      </c>
      <c r="I1182" s="1">
        <v>0</v>
      </c>
      <c r="J1182">
        <v>0</v>
      </c>
      <c r="K1182">
        <v>0</v>
      </c>
      <c r="L1182" s="20">
        <v>19400</v>
      </c>
      <c r="M1182">
        <v>1</v>
      </c>
      <c r="N1182">
        <v>0</v>
      </c>
      <c r="O1182">
        <v>0</v>
      </c>
      <c r="P1182">
        <v>0</v>
      </c>
      <c r="Q1182" s="22">
        <v>58200</v>
      </c>
      <c r="R1182">
        <v>3</v>
      </c>
      <c r="S1182" s="1">
        <v>0</v>
      </c>
      <c r="T1182">
        <v>0</v>
      </c>
      <c r="U1182">
        <v>0</v>
      </c>
      <c r="V1182" s="21">
        <v>29100</v>
      </c>
      <c r="W1182">
        <v>9</v>
      </c>
      <c r="X1182">
        <v>0</v>
      </c>
      <c r="Y1182">
        <v>0</v>
      </c>
      <c r="Z1182">
        <v>0</v>
      </c>
      <c r="AA1182">
        <v>10</v>
      </c>
    </row>
    <row r="1183" spans="1:27" ht="14.25" x14ac:dyDescent="0.2">
      <c r="A1183" s="12">
        <v>20850</v>
      </c>
      <c r="B1183" t="s">
        <v>123</v>
      </c>
      <c r="C1183" t="s">
        <v>121</v>
      </c>
      <c r="D1183" t="s">
        <v>121</v>
      </c>
      <c r="E1183" t="s">
        <v>121</v>
      </c>
      <c r="F1183" s="4" t="s">
        <v>1854</v>
      </c>
      <c r="H1183">
        <v>2</v>
      </c>
      <c r="I1183" s="1">
        <v>0</v>
      </c>
      <c r="J1183">
        <v>0</v>
      </c>
      <c r="K1183">
        <v>0</v>
      </c>
      <c r="L1183" s="20">
        <v>19400</v>
      </c>
      <c r="M1183">
        <v>1</v>
      </c>
      <c r="N1183">
        <v>0</v>
      </c>
      <c r="O1183">
        <v>0</v>
      </c>
      <c r="P1183">
        <v>0</v>
      </c>
      <c r="Q1183" s="22">
        <v>58200</v>
      </c>
      <c r="R1183">
        <v>3</v>
      </c>
      <c r="S1183" s="1">
        <v>0</v>
      </c>
      <c r="T1183">
        <v>0</v>
      </c>
      <c r="U1183">
        <v>0</v>
      </c>
      <c r="V1183" s="21">
        <v>29100</v>
      </c>
      <c r="W1183">
        <v>12</v>
      </c>
      <c r="X1183">
        <v>0</v>
      </c>
      <c r="Y1183">
        <v>0</v>
      </c>
      <c r="Z1183">
        <v>0</v>
      </c>
      <c r="AA1183">
        <v>10</v>
      </c>
    </row>
    <row r="1184" spans="1:27" ht="14.25" x14ac:dyDescent="0.2">
      <c r="A1184" s="12">
        <v>20901</v>
      </c>
      <c r="B1184" t="s">
        <v>126</v>
      </c>
      <c r="C1184" t="s">
        <v>121</v>
      </c>
      <c r="D1184" t="s">
        <v>121</v>
      </c>
      <c r="E1184" t="s">
        <v>121</v>
      </c>
      <c r="F1184" s="4" t="s">
        <v>1856</v>
      </c>
      <c r="H1184">
        <v>2</v>
      </c>
      <c r="I1184" s="1">
        <v>0</v>
      </c>
      <c r="J1184">
        <v>0</v>
      </c>
      <c r="K1184">
        <v>0</v>
      </c>
      <c r="L1184" s="20">
        <v>19460</v>
      </c>
      <c r="M1184">
        <v>1</v>
      </c>
      <c r="N1184">
        <v>0</v>
      </c>
      <c r="O1184">
        <v>0</v>
      </c>
      <c r="P1184">
        <v>0</v>
      </c>
      <c r="Q1184" s="22">
        <v>58200</v>
      </c>
      <c r="R1184">
        <v>3</v>
      </c>
      <c r="S1184" s="1">
        <v>0</v>
      </c>
      <c r="T1184">
        <v>0</v>
      </c>
      <c r="U1184">
        <v>0</v>
      </c>
      <c r="V1184" s="21">
        <v>29100</v>
      </c>
      <c r="W1184">
        <v>23</v>
      </c>
      <c r="X1184">
        <v>0</v>
      </c>
      <c r="Y1184">
        <v>0</v>
      </c>
      <c r="Z1184">
        <v>0</v>
      </c>
      <c r="AA1184">
        <v>1</v>
      </c>
    </row>
    <row r="1185" spans="1:27" ht="14.25" x14ac:dyDescent="0.2">
      <c r="A1185" s="12">
        <v>20902</v>
      </c>
      <c r="B1185" t="s">
        <v>131</v>
      </c>
      <c r="C1185" t="s">
        <v>125</v>
      </c>
      <c r="D1185" t="s">
        <v>121</v>
      </c>
      <c r="E1185" t="s">
        <v>136</v>
      </c>
      <c r="F1185" s="4" t="s">
        <v>1858</v>
      </c>
      <c r="H1185">
        <v>2</v>
      </c>
      <c r="I1185" s="1">
        <v>0</v>
      </c>
      <c r="J1185">
        <v>0</v>
      </c>
      <c r="K1185">
        <v>0</v>
      </c>
      <c r="L1185" s="20">
        <v>19460</v>
      </c>
      <c r="M1185">
        <v>1</v>
      </c>
      <c r="N1185">
        <v>0</v>
      </c>
      <c r="O1185">
        <v>0</v>
      </c>
      <c r="P1185">
        <v>0</v>
      </c>
      <c r="Q1185" s="22">
        <v>58200</v>
      </c>
      <c r="R1185">
        <v>3</v>
      </c>
      <c r="S1185" s="1">
        <v>0</v>
      </c>
      <c r="T1185">
        <v>0</v>
      </c>
      <c r="U1185">
        <v>0</v>
      </c>
      <c r="V1185" s="21">
        <v>29100</v>
      </c>
      <c r="W1185">
        <v>6</v>
      </c>
      <c r="X1185">
        <v>1</v>
      </c>
      <c r="Y1185">
        <v>0</v>
      </c>
      <c r="Z1185">
        <v>3</v>
      </c>
      <c r="AA1185">
        <v>10</v>
      </c>
    </row>
    <row r="1186" spans="1:27" ht="14.25" x14ac:dyDescent="0.2">
      <c r="A1186" s="12">
        <v>20903</v>
      </c>
      <c r="B1186" t="s">
        <v>180</v>
      </c>
      <c r="C1186" t="s">
        <v>121</v>
      </c>
      <c r="D1186" t="s">
        <v>121</v>
      </c>
      <c r="E1186" t="s">
        <v>121</v>
      </c>
      <c r="F1186" s="4" t="s">
        <v>1860</v>
      </c>
      <c r="H1186">
        <v>2</v>
      </c>
      <c r="I1186" s="1">
        <v>0</v>
      </c>
      <c r="J1186">
        <v>0</v>
      </c>
      <c r="K1186">
        <v>0</v>
      </c>
      <c r="L1186" s="20">
        <v>19460</v>
      </c>
      <c r="M1186">
        <v>1</v>
      </c>
      <c r="N1186">
        <v>0</v>
      </c>
      <c r="O1186">
        <v>0</v>
      </c>
      <c r="P1186">
        <v>0</v>
      </c>
      <c r="Q1186" s="22">
        <v>58380</v>
      </c>
      <c r="R1186">
        <v>3</v>
      </c>
      <c r="S1186" s="1">
        <v>0</v>
      </c>
      <c r="T1186">
        <v>0</v>
      </c>
      <c r="U1186">
        <v>0</v>
      </c>
      <c r="V1186" s="21">
        <v>29190</v>
      </c>
      <c r="W1186">
        <v>15</v>
      </c>
      <c r="X1186">
        <v>0</v>
      </c>
      <c r="Y1186">
        <v>0</v>
      </c>
      <c r="Z1186">
        <v>0</v>
      </c>
      <c r="AA1186">
        <v>1</v>
      </c>
    </row>
    <row r="1187" spans="1:27" ht="14.25" x14ac:dyDescent="0.2">
      <c r="A1187" s="12">
        <v>20904</v>
      </c>
      <c r="B1187" t="s">
        <v>178</v>
      </c>
      <c r="C1187" t="s">
        <v>121</v>
      </c>
      <c r="D1187" t="s">
        <v>121</v>
      </c>
      <c r="E1187" t="s">
        <v>121</v>
      </c>
      <c r="F1187" s="4" t="s">
        <v>1860</v>
      </c>
      <c r="H1187">
        <v>2</v>
      </c>
      <c r="I1187" s="1">
        <v>0</v>
      </c>
      <c r="J1187">
        <v>0</v>
      </c>
      <c r="K1187">
        <v>0</v>
      </c>
      <c r="L1187" s="20">
        <v>19460</v>
      </c>
      <c r="M1187">
        <v>1</v>
      </c>
      <c r="N1187">
        <v>0</v>
      </c>
      <c r="O1187">
        <v>0</v>
      </c>
      <c r="P1187">
        <v>0</v>
      </c>
      <c r="Q1187" s="22">
        <v>58380</v>
      </c>
      <c r="R1187">
        <v>3</v>
      </c>
      <c r="S1187" s="1">
        <v>0</v>
      </c>
      <c r="T1187">
        <v>0</v>
      </c>
      <c r="U1187">
        <v>0</v>
      </c>
      <c r="V1187" s="21">
        <v>29190</v>
      </c>
      <c r="W1187">
        <v>21</v>
      </c>
      <c r="X1187">
        <v>0</v>
      </c>
      <c r="Y1187">
        <v>0</v>
      </c>
      <c r="Z1187">
        <v>0</v>
      </c>
      <c r="AA1187">
        <v>1</v>
      </c>
    </row>
    <row r="1188" spans="1:27" ht="14.25" x14ac:dyDescent="0.2">
      <c r="A1188" s="12">
        <v>20905</v>
      </c>
      <c r="B1188" t="s">
        <v>130</v>
      </c>
      <c r="C1188" t="s">
        <v>121</v>
      </c>
      <c r="D1188" t="s">
        <v>121</v>
      </c>
      <c r="E1188" t="s">
        <v>121</v>
      </c>
      <c r="F1188" s="4" t="s">
        <v>1862</v>
      </c>
      <c r="H1188">
        <v>2</v>
      </c>
      <c r="I1188" s="1">
        <v>0</v>
      </c>
      <c r="J1188">
        <v>0</v>
      </c>
      <c r="K1188">
        <v>0</v>
      </c>
      <c r="L1188" s="20">
        <v>19460</v>
      </c>
      <c r="M1188">
        <v>1</v>
      </c>
      <c r="N1188">
        <v>0</v>
      </c>
      <c r="O1188">
        <v>0</v>
      </c>
      <c r="P1188">
        <v>0</v>
      </c>
      <c r="Q1188" s="22">
        <v>58380</v>
      </c>
      <c r="R1188">
        <v>3</v>
      </c>
      <c r="S1188" s="1">
        <v>0</v>
      </c>
      <c r="T1188">
        <v>0</v>
      </c>
      <c r="U1188">
        <v>0</v>
      </c>
      <c r="V1188" s="21">
        <v>29190</v>
      </c>
      <c r="W1188">
        <v>9</v>
      </c>
      <c r="X1188">
        <v>0</v>
      </c>
      <c r="Y1188">
        <v>0</v>
      </c>
      <c r="Z1188">
        <v>0</v>
      </c>
      <c r="AA1188">
        <v>10</v>
      </c>
    </row>
    <row r="1189" spans="1:27" ht="14.25" x14ac:dyDescent="0.2">
      <c r="A1189" s="12">
        <v>20906</v>
      </c>
      <c r="B1189" t="s">
        <v>181</v>
      </c>
      <c r="C1189" t="s">
        <v>121</v>
      </c>
      <c r="D1189" t="s">
        <v>121</v>
      </c>
      <c r="E1189" t="s">
        <v>121</v>
      </c>
      <c r="F1189" s="4" t="s">
        <v>1864</v>
      </c>
      <c r="H1189">
        <v>2</v>
      </c>
      <c r="I1189" s="1">
        <v>0</v>
      </c>
      <c r="J1189">
        <v>0</v>
      </c>
      <c r="K1189">
        <v>0</v>
      </c>
      <c r="L1189" s="20">
        <v>19520</v>
      </c>
      <c r="M1189">
        <v>1</v>
      </c>
      <c r="N1189">
        <v>0</v>
      </c>
      <c r="O1189">
        <v>0</v>
      </c>
      <c r="P1189">
        <v>0</v>
      </c>
      <c r="Q1189" s="22">
        <v>58380</v>
      </c>
      <c r="R1189">
        <v>3</v>
      </c>
      <c r="S1189" s="1">
        <v>0</v>
      </c>
      <c r="T1189">
        <v>0</v>
      </c>
      <c r="U1189">
        <v>0</v>
      </c>
      <c r="V1189" s="21">
        <v>29190</v>
      </c>
      <c r="W1189">
        <v>30</v>
      </c>
      <c r="X1189">
        <v>0</v>
      </c>
      <c r="Y1189">
        <v>0</v>
      </c>
      <c r="Z1189">
        <v>0</v>
      </c>
      <c r="AA1189">
        <v>10</v>
      </c>
    </row>
    <row r="1190" spans="1:27" ht="14.25" x14ac:dyDescent="0.2">
      <c r="A1190" s="12">
        <v>20907</v>
      </c>
      <c r="B1190" t="s">
        <v>122</v>
      </c>
      <c r="C1190" t="s">
        <v>121</v>
      </c>
      <c r="D1190" t="s">
        <v>121</v>
      </c>
      <c r="E1190" t="s">
        <v>121</v>
      </c>
      <c r="F1190" s="4" t="s">
        <v>1864</v>
      </c>
      <c r="H1190">
        <v>2</v>
      </c>
      <c r="I1190" s="1">
        <v>0</v>
      </c>
      <c r="J1190">
        <v>0</v>
      </c>
      <c r="K1190">
        <v>0</v>
      </c>
      <c r="L1190" s="20">
        <v>19520</v>
      </c>
      <c r="M1190">
        <v>1</v>
      </c>
      <c r="N1190">
        <v>0</v>
      </c>
      <c r="O1190">
        <v>0</v>
      </c>
      <c r="P1190">
        <v>0</v>
      </c>
      <c r="Q1190" s="22">
        <v>58380</v>
      </c>
      <c r="R1190">
        <v>3</v>
      </c>
      <c r="S1190" s="1">
        <v>0</v>
      </c>
      <c r="T1190">
        <v>0</v>
      </c>
      <c r="U1190">
        <v>0</v>
      </c>
      <c r="V1190" s="21">
        <v>29190</v>
      </c>
      <c r="W1190">
        <v>4</v>
      </c>
      <c r="X1190">
        <v>0</v>
      </c>
      <c r="Y1190">
        <v>0</v>
      </c>
      <c r="Z1190">
        <v>0</v>
      </c>
      <c r="AA1190">
        <v>10</v>
      </c>
    </row>
    <row r="1191" spans="1:27" ht="14.25" x14ac:dyDescent="0.2">
      <c r="A1191" s="12">
        <v>20908</v>
      </c>
      <c r="B1191" t="s">
        <v>178</v>
      </c>
      <c r="C1191" t="s">
        <v>121</v>
      </c>
      <c r="D1191" t="s">
        <v>121</v>
      </c>
      <c r="E1191" t="s">
        <v>121</v>
      </c>
      <c r="F1191" s="4" t="s">
        <v>1866</v>
      </c>
      <c r="H1191">
        <v>2</v>
      </c>
      <c r="I1191" s="1">
        <v>0</v>
      </c>
      <c r="J1191">
        <v>0</v>
      </c>
      <c r="K1191">
        <v>0</v>
      </c>
      <c r="L1191" s="20">
        <v>19520</v>
      </c>
      <c r="M1191">
        <v>1</v>
      </c>
      <c r="N1191">
        <v>0</v>
      </c>
      <c r="O1191">
        <v>0</v>
      </c>
      <c r="P1191">
        <v>0</v>
      </c>
      <c r="Q1191" s="22">
        <v>58560</v>
      </c>
      <c r="R1191">
        <v>3</v>
      </c>
      <c r="S1191" s="1">
        <v>0</v>
      </c>
      <c r="T1191">
        <v>0</v>
      </c>
      <c r="U1191">
        <v>0</v>
      </c>
      <c r="V1191" s="21">
        <v>29280</v>
      </c>
      <c r="W1191">
        <v>21</v>
      </c>
      <c r="X1191">
        <v>0</v>
      </c>
      <c r="Y1191">
        <v>0</v>
      </c>
      <c r="Z1191">
        <v>0</v>
      </c>
      <c r="AA1191">
        <v>1</v>
      </c>
    </row>
    <row r="1192" spans="1:27" ht="14.25" x14ac:dyDescent="0.2">
      <c r="A1192" s="12">
        <v>20909</v>
      </c>
      <c r="B1192" t="s">
        <v>130</v>
      </c>
      <c r="C1192" t="s">
        <v>121</v>
      </c>
      <c r="D1192" t="s">
        <v>121</v>
      </c>
      <c r="E1192" t="s">
        <v>121</v>
      </c>
      <c r="F1192" s="4" t="s">
        <v>1868</v>
      </c>
      <c r="H1192">
        <v>2</v>
      </c>
      <c r="I1192" s="1">
        <v>0</v>
      </c>
      <c r="J1192">
        <v>0</v>
      </c>
      <c r="K1192">
        <v>0</v>
      </c>
      <c r="L1192" s="20">
        <v>19520</v>
      </c>
      <c r="M1192">
        <v>1</v>
      </c>
      <c r="N1192">
        <v>0</v>
      </c>
      <c r="O1192">
        <v>0</v>
      </c>
      <c r="P1192">
        <v>0</v>
      </c>
      <c r="Q1192" s="22">
        <v>58560</v>
      </c>
      <c r="R1192">
        <v>3</v>
      </c>
      <c r="S1192" s="1">
        <v>0</v>
      </c>
      <c r="T1192">
        <v>0</v>
      </c>
      <c r="U1192">
        <v>0</v>
      </c>
      <c r="V1192" s="21">
        <v>29280</v>
      </c>
      <c r="W1192">
        <v>9</v>
      </c>
      <c r="X1192">
        <v>0</v>
      </c>
      <c r="Y1192">
        <v>0</v>
      </c>
      <c r="Z1192">
        <v>0</v>
      </c>
      <c r="AA1192">
        <v>10</v>
      </c>
    </row>
    <row r="1193" spans="1:27" ht="14.25" x14ac:dyDescent="0.2">
      <c r="A1193" s="12">
        <v>20910</v>
      </c>
      <c r="B1193" t="s">
        <v>123</v>
      </c>
      <c r="C1193" t="s">
        <v>121</v>
      </c>
      <c r="D1193" t="s">
        <v>121</v>
      </c>
      <c r="E1193" t="s">
        <v>121</v>
      </c>
      <c r="F1193" s="4" t="s">
        <v>1868</v>
      </c>
      <c r="H1193">
        <v>2</v>
      </c>
      <c r="I1193" s="1">
        <v>0</v>
      </c>
      <c r="J1193">
        <v>0</v>
      </c>
      <c r="K1193">
        <v>0</v>
      </c>
      <c r="L1193" s="20">
        <v>19520</v>
      </c>
      <c r="M1193">
        <v>1</v>
      </c>
      <c r="N1193">
        <v>0</v>
      </c>
      <c r="O1193">
        <v>0</v>
      </c>
      <c r="P1193">
        <v>0</v>
      </c>
      <c r="Q1193" s="22">
        <v>58560</v>
      </c>
      <c r="R1193">
        <v>3</v>
      </c>
      <c r="S1193" s="1">
        <v>0</v>
      </c>
      <c r="T1193">
        <v>0</v>
      </c>
      <c r="U1193">
        <v>0</v>
      </c>
      <c r="V1193" s="21">
        <v>29280</v>
      </c>
      <c r="W1193">
        <v>12</v>
      </c>
      <c r="X1193">
        <v>0</v>
      </c>
      <c r="Y1193">
        <v>0</v>
      </c>
      <c r="Z1193">
        <v>0</v>
      </c>
      <c r="AA1193">
        <v>10</v>
      </c>
    </row>
    <row r="1194" spans="1:27" ht="14.25" x14ac:dyDescent="0.2">
      <c r="A1194" s="12">
        <v>20911</v>
      </c>
      <c r="B1194" t="s">
        <v>126</v>
      </c>
      <c r="C1194" t="s">
        <v>121</v>
      </c>
      <c r="D1194" t="s">
        <v>121</v>
      </c>
      <c r="E1194" t="s">
        <v>121</v>
      </c>
      <c r="F1194" s="4" t="s">
        <v>1870</v>
      </c>
      <c r="H1194">
        <v>2</v>
      </c>
      <c r="I1194" s="1">
        <v>0</v>
      </c>
      <c r="J1194">
        <v>0</v>
      </c>
      <c r="K1194">
        <v>0</v>
      </c>
      <c r="L1194" s="20">
        <v>19580</v>
      </c>
      <c r="M1194">
        <v>1</v>
      </c>
      <c r="N1194">
        <v>0</v>
      </c>
      <c r="O1194">
        <v>0</v>
      </c>
      <c r="P1194">
        <v>0</v>
      </c>
      <c r="Q1194" s="22">
        <v>58560</v>
      </c>
      <c r="R1194">
        <v>3</v>
      </c>
      <c r="S1194" s="1">
        <v>0</v>
      </c>
      <c r="T1194">
        <v>0</v>
      </c>
      <c r="U1194">
        <v>0</v>
      </c>
      <c r="V1194" s="21">
        <v>29280</v>
      </c>
      <c r="W1194">
        <v>23</v>
      </c>
      <c r="X1194">
        <v>0</v>
      </c>
      <c r="Y1194">
        <v>0</v>
      </c>
      <c r="Z1194">
        <v>0</v>
      </c>
      <c r="AA1194">
        <v>1</v>
      </c>
    </row>
    <row r="1195" spans="1:27" ht="14.25" x14ac:dyDescent="0.2">
      <c r="A1195" s="12">
        <v>20912</v>
      </c>
      <c r="B1195" t="s">
        <v>131</v>
      </c>
      <c r="C1195" t="s">
        <v>125</v>
      </c>
      <c r="D1195" t="s">
        <v>121</v>
      </c>
      <c r="E1195" t="s">
        <v>136</v>
      </c>
      <c r="F1195" s="4" t="s">
        <v>1872</v>
      </c>
      <c r="H1195">
        <v>2</v>
      </c>
      <c r="I1195" s="1">
        <v>0</v>
      </c>
      <c r="J1195">
        <v>0</v>
      </c>
      <c r="K1195">
        <v>0</v>
      </c>
      <c r="L1195" s="20">
        <v>19580</v>
      </c>
      <c r="M1195">
        <v>1</v>
      </c>
      <c r="N1195">
        <v>0</v>
      </c>
      <c r="O1195">
        <v>0</v>
      </c>
      <c r="P1195">
        <v>0</v>
      </c>
      <c r="Q1195" s="22">
        <v>58560</v>
      </c>
      <c r="R1195">
        <v>3</v>
      </c>
      <c r="S1195" s="1">
        <v>0</v>
      </c>
      <c r="T1195">
        <v>0</v>
      </c>
      <c r="U1195">
        <v>0</v>
      </c>
      <c r="V1195" s="21">
        <v>29280</v>
      </c>
      <c r="W1195">
        <v>6</v>
      </c>
      <c r="X1195">
        <v>1</v>
      </c>
      <c r="Y1195">
        <v>0</v>
      </c>
      <c r="Z1195">
        <v>3</v>
      </c>
      <c r="AA1195">
        <v>10</v>
      </c>
    </row>
    <row r="1196" spans="1:27" ht="14.25" x14ac:dyDescent="0.2">
      <c r="A1196" s="12">
        <v>20913</v>
      </c>
      <c r="B1196" t="s">
        <v>180</v>
      </c>
      <c r="C1196" t="s">
        <v>121</v>
      </c>
      <c r="D1196" t="s">
        <v>121</v>
      </c>
      <c r="E1196" t="s">
        <v>121</v>
      </c>
      <c r="F1196" s="4" t="s">
        <v>1874</v>
      </c>
      <c r="H1196">
        <v>2</v>
      </c>
      <c r="I1196" s="1">
        <v>0</v>
      </c>
      <c r="J1196">
        <v>0</v>
      </c>
      <c r="K1196">
        <v>0</v>
      </c>
      <c r="L1196" s="20">
        <v>19580</v>
      </c>
      <c r="M1196">
        <v>1</v>
      </c>
      <c r="N1196">
        <v>0</v>
      </c>
      <c r="O1196">
        <v>0</v>
      </c>
      <c r="P1196">
        <v>0</v>
      </c>
      <c r="Q1196" s="22">
        <v>58740</v>
      </c>
      <c r="R1196">
        <v>3</v>
      </c>
      <c r="S1196" s="1">
        <v>0</v>
      </c>
      <c r="T1196">
        <v>0</v>
      </c>
      <c r="U1196">
        <v>0</v>
      </c>
      <c r="V1196" s="21">
        <v>29370</v>
      </c>
      <c r="W1196">
        <v>15</v>
      </c>
      <c r="X1196">
        <v>0</v>
      </c>
      <c r="Y1196">
        <v>0</v>
      </c>
      <c r="Z1196">
        <v>0</v>
      </c>
      <c r="AA1196">
        <v>1</v>
      </c>
    </row>
    <row r="1197" spans="1:27" ht="14.25" x14ac:dyDescent="0.2">
      <c r="A1197" s="12">
        <v>20914</v>
      </c>
      <c r="B1197" t="s">
        <v>178</v>
      </c>
      <c r="C1197" t="s">
        <v>121</v>
      </c>
      <c r="D1197" t="s">
        <v>121</v>
      </c>
      <c r="E1197" t="s">
        <v>121</v>
      </c>
      <c r="F1197" s="4" t="s">
        <v>1874</v>
      </c>
      <c r="H1197">
        <v>2</v>
      </c>
      <c r="I1197" s="1">
        <v>0</v>
      </c>
      <c r="J1197">
        <v>0</v>
      </c>
      <c r="K1197">
        <v>0</v>
      </c>
      <c r="L1197" s="20">
        <v>19580</v>
      </c>
      <c r="M1197">
        <v>1</v>
      </c>
      <c r="N1197">
        <v>0</v>
      </c>
      <c r="O1197">
        <v>0</v>
      </c>
      <c r="P1197">
        <v>0</v>
      </c>
      <c r="Q1197" s="22">
        <v>58740</v>
      </c>
      <c r="R1197">
        <v>3</v>
      </c>
      <c r="S1197" s="1">
        <v>0</v>
      </c>
      <c r="T1197">
        <v>0</v>
      </c>
      <c r="U1197">
        <v>0</v>
      </c>
      <c r="V1197" s="21">
        <v>29370</v>
      </c>
      <c r="W1197">
        <v>21</v>
      </c>
      <c r="X1197">
        <v>0</v>
      </c>
      <c r="Y1197">
        <v>0</v>
      </c>
      <c r="Z1197">
        <v>0</v>
      </c>
      <c r="AA1197">
        <v>1</v>
      </c>
    </row>
    <row r="1198" spans="1:27" ht="14.25" x14ac:dyDescent="0.2">
      <c r="A1198" s="12">
        <v>20915</v>
      </c>
      <c r="B1198" t="s">
        <v>130</v>
      </c>
      <c r="C1198" t="s">
        <v>121</v>
      </c>
      <c r="D1198" t="s">
        <v>121</v>
      </c>
      <c r="E1198" t="s">
        <v>121</v>
      </c>
      <c r="F1198" s="4" t="s">
        <v>1876</v>
      </c>
      <c r="H1198">
        <v>2</v>
      </c>
      <c r="I1198" s="1">
        <v>0</v>
      </c>
      <c r="J1198">
        <v>0</v>
      </c>
      <c r="K1198">
        <v>0</v>
      </c>
      <c r="L1198" s="20">
        <v>19580</v>
      </c>
      <c r="M1198">
        <v>1</v>
      </c>
      <c r="N1198">
        <v>0</v>
      </c>
      <c r="O1198">
        <v>0</v>
      </c>
      <c r="P1198">
        <v>0</v>
      </c>
      <c r="Q1198" s="22">
        <v>58740</v>
      </c>
      <c r="R1198">
        <v>3</v>
      </c>
      <c r="S1198" s="1">
        <v>0</v>
      </c>
      <c r="T1198">
        <v>0</v>
      </c>
      <c r="U1198">
        <v>0</v>
      </c>
      <c r="V1198" s="21">
        <v>29370</v>
      </c>
      <c r="W1198">
        <v>9</v>
      </c>
      <c r="X1198">
        <v>0</v>
      </c>
      <c r="Y1198">
        <v>0</v>
      </c>
      <c r="Z1198">
        <v>0</v>
      </c>
      <c r="AA1198">
        <v>10</v>
      </c>
    </row>
    <row r="1199" spans="1:27" ht="14.25" x14ac:dyDescent="0.2">
      <c r="A1199" s="12">
        <v>20916</v>
      </c>
      <c r="B1199" t="s">
        <v>181</v>
      </c>
      <c r="C1199" t="s">
        <v>121</v>
      </c>
      <c r="D1199" t="s">
        <v>121</v>
      </c>
      <c r="E1199" t="s">
        <v>121</v>
      </c>
      <c r="F1199" s="4" t="s">
        <v>1878</v>
      </c>
      <c r="H1199">
        <v>2</v>
      </c>
      <c r="I1199" s="1">
        <v>0</v>
      </c>
      <c r="J1199">
        <v>0</v>
      </c>
      <c r="K1199">
        <v>0</v>
      </c>
      <c r="L1199" s="20">
        <v>19640</v>
      </c>
      <c r="M1199">
        <v>1</v>
      </c>
      <c r="N1199">
        <v>0</v>
      </c>
      <c r="O1199">
        <v>0</v>
      </c>
      <c r="P1199">
        <v>0</v>
      </c>
      <c r="Q1199" s="22">
        <v>58740</v>
      </c>
      <c r="R1199">
        <v>3</v>
      </c>
      <c r="S1199" s="1">
        <v>0</v>
      </c>
      <c r="T1199">
        <v>0</v>
      </c>
      <c r="U1199">
        <v>0</v>
      </c>
      <c r="V1199" s="21">
        <v>29370</v>
      </c>
      <c r="W1199">
        <v>30</v>
      </c>
      <c r="X1199">
        <v>0</v>
      </c>
      <c r="Y1199">
        <v>0</v>
      </c>
      <c r="Z1199">
        <v>0</v>
      </c>
      <c r="AA1199">
        <v>10</v>
      </c>
    </row>
    <row r="1200" spans="1:27" ht="14.25" x14ac:dyDescent="0.2">
      <c r="A1200" s="12">
        <v>20917</v>
      </c>
      <c r="B1200" t="s">
        <v>122</v>
      </c>
      <c r="C1200" t="s">
        <v>121</v>
      </c>
      <c r="D1200" t="s">
        <v>121</v>
      </c>
      <c r="E1200" t="s">
        <v>121</v>
      </c>
      <c r="F1200" s="4" t="s">
        <v>1878</v>
      </c>
      <c r="H1200">
        <v>2</v>
      </c>
      <c r="I1200" s="1">
        <v>0</v>
      </c>
      <c r="J1200">
        <v>0</v>
      </c>
      <c r="K1200">
        <v>0</v>
      </c>
      <c r="L1200" s="20">
        <v>19640</v>
      </c>
      <c r="M1200">
        <v>1</v>
      </c>
      <c r="N1200">
        <v>0</v>
      </c>
      <c r="O1200">
        <v>0</v>
      </c>
      <c r="P1200">
        <v>0</v>
      </c>
      <c r="Q1200" s="22">
        <v>58740</v>
      </c>
      <c r="R1200">
        <v>3</v>
      </c>
      <c r="S1200" s="1">
        <v>0</v>
      </c>
      <c r="T1200">
        <v>0</v>
      </c>
      <c r="U1200">
        <v>0</v>
      </c>
      <c r="V1200" s="21">
        <v>29370</v>
      </c>
      <c r="W1200">
        <v>4</v>
      </c>
      <c r="X1200">
        <v>0</v>
      </c>
      <c r="Y1200">
        <v>0</v>
      </c>
      <c r="Z1200">
        <v>0</v>
      </c>
      <c r="AA1200">
        <v>10</v>
      </c>
    </row>
    <row r="1201" spans="1:27" ht="14.25" x14ac:dyDescent="0.2">
      <c r="A1201" s="12">
        <v>20918</v>
      </c>
      <c r="B1201" t="s">
        <v>178</v>
      </c>
      <c r="C1201" t="s">
        <v>121</v>
      </c>
      <c r="D1201" t="s">
        <v>121</v>
      </c>
      <c r="E1201" t="s">
        <v>121</v>
      </c>
      <c r="F1201" s="4" t="s">
        <v>1880</v>
      </c>
      <c r="H1201">
        <v>2</v>
      </c>
      <c r="I1201" s="1">
        <v>0</v>
      </c>
      <c r="J1201">
        <v>0</v>
      </c>
      <c r="K1201">
        <v>0</v>
      </c>
      <c r="L1201" s="20">
        <v>19640</v>
      </c>
      <c r="M1201">
        <v>1</v>
      </c>
      <c r="N1201">
        <v>0</v>
      </c>
      <c r="O1201">
        <v>0</v>
      </c>
      <c r="P1201">
        <v>0</v>
      </c>
      <c r="Q1201" s="22">
        <v>58920</v>
      </c>
      <c r="R1201">
        <v>3</v>
      </c>
      <c r="S1201" s="1">
        <v>0</v>
      </c>
      <c r="T1201">
        <v>0</v>
      </c>
      <c r="U1201">
        <v>0</v>
      </c>
      <c r="V1201" s="21">
        <v>29460</v>
      </c>
      <c r="W1201">
        <v>21</v>
      </c>
      <c r="X1201">
        <v>0</v>
      </c>
      <c r="Y1201">
        <v>0</v>
      </c>
      <c r="Z1201">
        <v>0</v>
      </c>
      <c r="AA1201">
        <v>1</v>
      </c>
    </row>
    <row r="1202" spans="1:27" ht="14.25" x14ac:dyDescent="0.2">
      <c r="A1202" s="12">
        <v>20919</v>
      </c>
      <c r="B1202" t="s">
        <v>130</v>
      </c>
      <c r="C1202" t="s">
        <v>121</v>
      </c>
      <c r="D1202" t="s">
        <v>121</v>
      </c>
      <c r="E1202" t="s">
        <v>121</v>
      </c>
      <c r="F1202" s="4" t="s">
        <v>1882</v>
      </c>
      <c r="H1202">
        <v>2</v>
      </c>
      <c r="I1202" s="1">
        <v>0</v>
      </c>
      <c r="J1202">
        <v>0</v>
      </c>
      <c r="K1202">
        <v>0</v>
      </c>
      <c r="L1202" s="20">
        <v>19640</v>
      </c>
      <c r="M1202">
        <v>1</v>
      </c>
      <c r="N1202">
        <v>0</v>
      </c>
      <c r="O1202">
        <v>0</v>
      </c>
      <c r="P1202">
        <v>0</v>
      </c>
      <c r="Q1202" s="22">
        <v>58920</v>
      </c>
      <c r="R1202">
        <v>3</v>
      </c>
      <c r="S1202" s="1">
        <v>0</v>
      </c>
      <c r="T1202">
        <v>0</v>
      </c>
      <c r="U1202">
        <v>0</v>
      </c>
      <c r="V1202" s="21">
        <v>29460</v>
      </c>
      <c r="W1202">
        <v>9</v>
      </c>
      <c r="X1202">
        <v>0</v>
      </c>
      <c r="Y1202">
        <v>0</v>
      </c>
      <c r="Z1202">
        <v>0</v>
      </c>
      <c r="AA1202">
        <v>10</v>
      </c>
    </row>
    <row r="1203" spans="1:27" ht="14.25" x14ac:dyDescent="0.2">
      <c r="A1203" s="12">
        <v>20920</v>
      </c>
      <c r="B1203" t="s">
        <v>123</v>
      </c>
      <c r="C1203" t="s">
        <v>121</v>
      </c>
      <c r="D1203" t="s">
        <v>121</v>
      </c>
      <c r="E1203" t="s">
        <v>121</v>
      </c>
      <c r="F1203" s="4" t="s">
        <v>1882</v>
      </c>
      <c r="H1203">
        <v>2</v>
      </c>
      <c r="I1203" s="1">
        <v>0</v>
      </c>
      <c r="J1203">
        <v>0</v>
      </c>
      <c r="K1203">
        <v>0</v>
      </c>
      <c r="L1203" s="20">
        <v>19640</v>
      </c>
      <c r="M1203">
        <v>1</v>
      </c>
      <c r="N1203">
        <v>0</v>
      </c>
      <c r="O1203">
        <v>0</v>
      </c>
      <c r="P1203">
        <v>0</v>
      </c>
      <c r="Q1203" s="22">
        <v>58920</v>
      </c>
      <c r="R1203">
        <v>3</v>
      </c>
      <c r="S1203" s="1">
        <v>0</v>
      </c>
      <c r="T1203">
        <v>0</v>
      </c>
      <c r="U1203">
        <v>0</v>
      </c>
      <c r="V1203" s="21">
        <v>29460</v>
      </c>
      <c r="W1203">
        <v>12</v>
      </c>
      <c r="X1203">
        <v>0</v>
      </c>
      <c r="Y1203">
        <v>0</v>
      </c>
      <c r="Z1203">
        <v>0</v>
      </c>
      <c r="AA1203">
        <v>10</v>
      </c>
    </row>
    <row r="1204" spans="1:27" ht="14.25" x14ac:dyDescent="0.2">
      <c r="A1204" s="12">
        <v>20921</v>
      </c>
      <c r="B1204" t="s">
        <v>126</v>
      </c>
      <c r="C1204" t="s">
        <v>121</v>
      </c>
      <c r="D1204" t="s">
        <v>121</v>
      </c>
      <c r="E1204" t="s">
        <v>121</v>
      </c>
      <c r="F1204" s="4" t="s">
        <v>1884</v>
      </c>
      <c r="H1204">
        <v>2</v>
      </c>
      <c r="I1204" s="1">
        <v>0</v>
      </c>
      <c r="J1204">
        <v>0</v>
      </c>
      <c r="K1204">
        <v>0</v>
      </c>
      <c r="L1204" s="20">
        <v>19700</v>
      </c>
      <c r="M1204">
        <v>1</v>
      </c>
      <c r="N1204">
        <v>0</v>
      </c>
      <c r="O1204">
        <v>0</v>
      </c>
      <c r="P1204">
        <v>0</v>
      </c>
      <c r="Q1204" s="22">
        <v>58920</v>
      </c>
      <c r="R1204">
        <v>3</v>
      </c>
      <c r="S1204" s="1">
        <v>0</v>
      </c>
      <c r="T1204">
        <v>0</v>
      </c>
      <c r="U1204">
        <v>0</v>
      </c>
      <c r="V1204" s="21">
        <v>29460</v>
      </c>
      <c r="W1204">
        <v>23</v>
      </c>
      <c r="X1204">
        <v>0</v>
      </c>
      <c r="Y1204">
        <v>0</v>
      </c>
      <c r="Z1204">
        <v>0</v>
      </c>
      <c r="AA1204">
        <v>1</v>
      </c>
    </row>
    <row r="1205" spans="1:27" ht="14.25" x14ac:dyDescent="0.2">
      <c r="A1205" s="12">
        <v>20922</v>
      </c>
      <c r="B1205" t="s">
        <v>131</v>
      </c>
      <c r="C1205" t="s">
        <v>125</v>
      </c>
      <c r="D1205" t="s">
        <v>121</v>
      </c>
      <c r="E1205" t="s">
        <v>136</v>
      </c>
      <c r="F1205" s="4" t="s">
        <v>1886</v>
      </c>
      <c r="H1205">
        <v>2</v>
      </c>
      <c r="I1205" s="1">
        <v>0</v>
      </c>
      <c r="J1205">
        <v>0</v>
      </c>
      <c r="K1205">
        <v>0</v>
      </c>
      <c r="L1205" s="20">
        <v>19700</v>
      </c>
      <c r="M1205">
        <v>1</v>
      </c>
      <c r="N1205">
        <v>0</v>
      </c>
      <c r="O1205">
        <v>0</v>
      </c>
      <c r="P1205">
        <v>0</v>
      </c>
      <c r="Q1205" s="22">
        <v>58920</v>
      </c>
      <c r="R1205">
        <v>3</v>
      </c>
      <c r="S1205" s="1">
        <v>0</v>
      </c>
      <c r="T1205">
        <v>0</v>
      </c>
      <c r="U1205">
        <v>0</v>
      </c>
      <c r="V1205" s="21">
        <v>29460</v>
      </c>
      <c r="W1205">
        <v>6</v>
      </c>
      <c r="X1205">
        <v>1</v>
      </c>
      <c r="Y1205">
        <v>0</v>
      </c>
      <c r="Z1205">
        <v>3</v>
      </c>
      <c r="AA1205">
        <v>10</v>
      </c>
    </row>
    <row r="1206" spans="1:27" ht="14.25" x14ac:dyDescent="0.2">
      <c r="A1206" s="12">
        <v>20923</v>
      </c>
      <c r="B1206" t="s">
        <v>180</v>
      </c>
      <c r="C1206" t="s">
        <v>121</v>
      </c>
      <c r="D1206" t="s">
        <v>121</v>
      </c>
      <c r="E1206" t="s">
        <v>121</v>
      </c>
      <c r="F1206" s="4" t="s">
        <v>1888</v>
      </c>
      <c r="H1206">
        <v>2</v>
      </c>
      <c r="I1206" s="1">
        <v>0</v>
      </c>
      <c r="J1206">
        <v>0</v>
      </c>
      <c r="K1206">
        <v>0</v>
      </c>
      <c r="L1206" s="20">
        <v>19700</v>
      </c>
      <c r="M1206">
        <v>1</v>
      </c>
      <c r="N1206">
        <v>0</v>
      </c>
      <c r="O1206">
        <v>0</v>
      </c>
      <c r="P1206">
        <v>0</v>
      </c>
      <c r="Q1206" s="22">
        <v>59100</v>
      </c>
      <c r="R1206">
        <v>3</v>
      </c>
      <c r="S1206" s="1">
        <v>0</v>
      </c>
      <c r="T1206">
        <v>0</v>
      </c>
      <c r="U1206">
        <v>0</v>
      </c>
      <c r="V1206" s="21">
        <v>29550</v>
      </c>
      <c r="W1206">
        <v>15</v>
      </c>
      <c r="X1206">
        <v>0</v>
      </c>
      <c r="Y1206">
        <v>0</v>
      </c>
      <c r="Z1206">
        <v>0</v>
      </c>
      <c r="AA1206">
        <v>1</v>
      </c>
    </row>
    <row r="1207" spans="1:27" ht="14.25" x14ac:dyDescent="0.2">
      <c r="A1207" s="12">
        <v>20924</v>
      </c>
      <c r="B1207" t="s">
        <v>178</v>
      </c>
      <c r="C1207" t="s">
        <v>121</v>
      </c>
      <c r="D1207" t="s">
        <v>121</v>
      </c>
      <c r="E1207" t="s">
        <v>121</v>
      </c>
      <c r="F1207" s="4" t="s">
        <v>1888</v>
      </c>
      <c r="H1207">
        <v>2</v>
      </c>
      <c r="I1207" s="1">
        <v>0</v>
      </c>
      <c r="J1207">
        <v>0</v>
      </c>
      <c r="K1207">
        <v>0</v>
      </c>
      <c r="L1207" s="20">
        <v>19700</v>
      </c>
      <c r="M1207">
        <v>1</v>
      </c>
      <c r="N1207">
        <v>0</v>
      </c>
      <c r="O1207">
        <v>0</v>
      </c>
      <c r="P1207">
        <v>0</v>
      </c>
      <c r="Q1207" s="22">
        <v>59100</v>
      </c>
      <c r="R1207">
        <v>3</v>
      </c>
      <c r="S1207" s="1">
        <v>0</v>
      </c>
      <c r="T1207">
        <v>0</v>
      </c>
      <c r="U1207">
        <v>0</v>
      </c>
      <c r="V1207" s="21">
        <v>29550</v>
      </c>
      <c r="W1207">
        <v>21</v>
      </c>
      <c r="X1207">
        <v>0</v>
      </c>
      <c r="Y1207">
        <v>0</v>
      </c>
      <c r="Z1207">
        <v>0</v>
      </c>
      <c r="AA1207">
        <v>1</v>
      </c>
    </row>
    <row r="1208" spans="1:27" ht="14.25" x14ac:dyDescent="0.2">
      <c r="A1208" s="12">
        <v>20925</v>
      </c>
      <c r="B1208" t="s">
        <v>130</v>
      </c>
      <c r="C1208" t="s">
        <v>121</v>
      </c>
      <c r="D1208" t="s">
        <v>121</v>
      </c>
      <c r="E1208" t="s">
        <v>121</v>
      </c>
      <c r="F1208" s="4" t="s">
        <v>1890</v>
      </c>
      <c r="H1208">
        <v>2</v>
      </c>
      <c r="I1208" s="1">
        <v>0</v>
      </c>
      <c r="J1208">
        <v>0</v>
      </c>
      <c r="K1208">
        <v>0</v>
      </c>
      <c r="L1208" s="20">
        <v>19700</v>
      </c>
      <c r="M1208">
        <v>1</v>
      </c>
      <c r="N1208">
        <v>0</v>
      </c>
      <c r="O1208">
        <v>0</v>
      </c>
      <c r="P1208">
        <v>0</v>
      </c>
      <c r="Q1208" s="22">
        <v>59100</v>
      </c>
      <c r="R1208">
        <v>3</v>
      </c>
      <c r="S1208" s="1">
        <v>0</v>
      </c>
      <c r="T1208">
        <v>0</v>
      </c>
      <c r="U1208">
        <v>0</v>
      </c>
      <c r="V1208" s="21">
        <v>29550</v>
      </c>
      <c r="W1208">
        <v>9</v>
      </c>
      <c r="X1208">
        <v>0</v>
      </c>
      <c r="Y1208">
        <v>0</v>
      </c>
      <c r="Z1208">
        <v>0</v>
      </c>
      <c r="AA1208">
        <v>10</v>
      </c>
    </row>
    <row r="1209" spans="1:27" ht="14.25" x14ac:dyDescent="0.2">
      <c r="A1209" s="12">
        <v>20926</v>
      </c>
      <c r="B1209" t="s">
        <v>181</v>
      </c>
      <c r="C1209" t="s">
        <v>121</v>
      </c>
      <c r="D1209" t="s">
        <v>121</v>
      </c>
      <c r="E1209" t="s">
        <v>121</v>
      </c>
      <c r="F1209" s="4" t="s">
        <v>1892</v>
      </c>
      <c r="H1209">
        <v>2</v>
      </c>
      <c r="I1209" s="1">
        <v>0</v>
      </c>
      <c r="J1209">
        <v>0</v>
      </c>
      <c r="K1209">
        <v>0</v>
      </c>
      <c r="L1209" s="20">
        <v>19760</v>
      </c>
      <c r="M1209">
        <v>1</v>
      </c>
      <c r="N1209">
        <v>0</v>
      </c>
      <c r="O1209">
        <v>0</v>
      </c>
      <c r="P1209">
        <v>0</v>
      </c>
      <c r="Q1209" s="22">
        <v>59100</v>
      </c>
      <c r="R1209">
        <v>3</v>
      </c>
      <c r="S1209" s="1">
        <v>0</v>
      </c>
      <c r="T1209">
        <v>0</v>
      </c>
      <c r="U1209">
        <v>0</v>
      </c>
      <c r="V1209" s="21">
        <v>29550</v>
      </c>
      <c r="W1209">
        <v>30</v>
      </c>
      <c r="X1209">
        <v>0</v>
      </c>
      <c r="Y1209">
        <v>0</v>
      </c>
      <c r="Z1209">
        <v>0</v>
      </c>
      <c r="AA1209">
        <v>10</v>
      </c>
    </row>
    <row r="1210" spans="1:27" ht="14.25" x14ac:dyDescent="0.2">
      <c r="A1210" s="12">
        <v>20927</v>
      </c>
      <c r="B1210" t="s">
        <v>122</v>
      </c>
      <c r="C1210" t="s">
        <v>121</v>
      </c>
      <c r="D1210" t="s">
        <v>121</v>
      </c>
      <c r="E1210" t="s">
        <v>121</v>
      </c>
      <c r="F1210" s="4" t="s">
        <v>1892</v>
      </c>
      <c r="H1210">
        <v>2</v>
      </c>
      <c r="I1210" s="1">
        <v>0</v>
      </c>
      <c r="J1210">
        <v>0</v>
      </c>
      <c r="K1210">
        <v>0</v>
      </c>
      <c r="L1210" s="20">
        <v>19760</v>
      </c>
      <c r="M1210">
        <v>1</v>
      </c>
      <c r="N1210">
        <v>0</v>
      </c>
      <c r="O1210">
        <v>0</v>
      </c>
      <c r="P1210">
        <v>0</v>
      </c>
      <c r="Q1210" s="22">
        <v>59100</v>
      </c>
      <c r="R1210">
        <v>3</v>
      </c>
      <c r="S1210" s="1">
        <v>0</v>
      </c>
      <c r="T1210">
        <v>0</v>
      </c>
      <c r="U1210">
        <v>0</v>
      </c>
      <c r="V1210" s="21">
        <v>29550</v>
      </c>
      <c r="W1210">
        <v>4</v>
      </c>
      <c r="X1210">
        <v>0</v>
      </c>
      <c r="Y1210">
        <v>0</v>
      </c>
      <c r="Z1210">
        <v>0</v>
      </c>
      <c r="AA1210">
        <v>10</v>
      </c>
    </row>
    <row r="1211" spans="1:27" ht="14.25" x14ac:dyDescent="0.2">
      <c r="A1211" s="12">
        <v>20928</v>
      </c>
      <c r="B1211" t="s">
        <v>178</v>
      </c>
      <c r="C1211" t="s">
        <v>121</v>
      </c>
      <c r="D1211" t="s">
        <v>121</v>
      </c>
      <c r="E1211" t="s">
        <v>121</v>
      </c>
      <c r="F1211" s="4" t="s">
        <v>1894</v>
      </c>
      <c r="H1211">
        <v>2</v>
      </c>
      <c r="I1211" s="1">
        <v>0</v>
      </c>
      <c r="J1211">
        <v>0</v>
      </c>
      <c r="K1211">
        <v>0</v>
      </c>
      <c r="L1211" s="20">
        <v>19760</v>
      </c>
      <c r="M1211">
        <v>1</v>
      </c>
      <c r="N1211">
        <v>0</v>
      </c>
      <c r="O1211">
        <v>0</v>
      </c>
      <c r="P1211">
        <v>0</v>
      </c>
      <c r="Q1211" s="22">
        <v>59280</v>
      </c>
      <c r="R1211">
        <v>3</v>
      </c>
      <c r="S1211" s="1">
        <v>0</v>
      </c>
      <c r="T1211">
        <v>0</v>
      </c>
      <c r="U1211">
        <v>0</v>
      </c>
      <c r="V1211" s="21">
        <v>29640</v>
      </c>
      <c r="W1211">
        <v>21</v>
      </c>
      <c r="X1211">
        <v>0</v>
      </c>
      <c r="Y1211">
        <v>0</v>
      </c>
      <c r="Z1211">
        <v>0</v>
      </c>
      <c r="AA1211">
        <v>1</v>
      </c>
    </row>
    <row r="1212" spans="1:27" ht="14.25" x14ac:dyDescent="0.2">
      <c r="A1212" s="12">
        <v>20929</v>
      </c>
      <c r="B1212" t="s">
        <v>130</v>
      </c>
      <c r="C1212" t="s">
        <v>121</v>
      </c>
      <c r="D1212" t="s">
        <v>121</v>
      </c>
      <c r="E1212" t="s">
        <v>121</v>
      </c>
      <c r="F1212" s="4" t="s">
        <v>1896</v>
      </c>
      <c r="H1212">
        <v>2</v>
      </c>
      <c r="I1212" s="1">
        <v>0</v>
      </c>
      <c r="J1212">
        <v>0</v>
      </c>
      <c r="K1212">
        <v>0</v>
      </c>
      <c r="L1212" s="20">
        <v>19760</v>
      </c>
      <c r="M1212">
        <v>1</v>
      </c>
      <c r="N1212">
        <v>0</v>
      </c>
      <c r="O1212">
        <v>0</v>
      </c>
      <c r="P1212">
        <v>0</v>
      </c>
      <c r="Q1212" s="22">
        <v>59280</v>
      </c>
      <c r="R1212">
        <v>3</v>
      </c>
      <c r="S1212" s="1">
        <v>0</v>
      </c>
      <c r="T1212">
        <v>0</v>
      </c>
      <c r="U1212">
        <v>0</v>
      </c>
      <c r="V1212" s="21">
        <v>29640</v>
      </c>
      <c r="W1212">
        <v>9</v>
      </c>
      <c r="X1212">
        <v>0</v>
      </c>
      <c r="Y1212">
        <v>0</v>
      </c>
      <c r="Z1212">
        <v>0</v>
      </c>
      <c r="AA1212">
        <v>10</v>
      </c>
    </row>
    <row r="1213" spans="1:27" ht="14.25" x14ac:dyDescent="0.2">
      <c r="A1213" s="12">
        <v>20930</v>
      </c>
      <c r="B1213" t="s">
        <v>123</v>
      </c>
      <c r="C1213" t="s">
        <v>121</v>
      </c>
      <c r="D1213" t="s">
        <v>121</v>
      </c>
      <c r="E1213" t="s">
        <v>121</v>
      </c>
      <c r="F1213" s="4" t="s">
        <v>1896</v>
      </c>
      <c r="H1213">
        <v>2</v>
      </c>
      <c r="I1213" s="1">
        <v>0</v>
      </c>
      <c r="J1213">
        <v>0</v>
      </c>
      <c r="K1213">
        <v>0</v>
      </c>
      <c r="L1213" s="20">
        <v>19760</v>
      </c>
      <c r="M1213">
        <v>1</v>
      </c>
      <c r="N1213">
        <v>0</v>
      </c>
      <c r="O1213">
        <v>0</v>
      </c>
      <c r="P1213">
        <v>0</v>
      </c>
      <c r="Q1213" s="22">
        <v>59280</v>
      </c>
      <c r="R1213">
        <v>3</v>
      </c>
      <c r="S1213" s="1">
        <v>0</v>
      </c>
      <c r="T1213">
        <v>0</v>
      </c>
      <c r="U1213">
        <v>0</v>
      </c>
      <c r="V1213" s="21">
        <v>29640</v>
      </c>
      <c r="W1213">
        <v>12</v>
      </c>
      <c r="X1213">
        <v>0</v>
      </c>
      <c r="Y1213">
        <v>0</v>
      </c>
      <c r="Z1213">
        <v>0</v>
      </c>
      <c r="AA1213">
        <v>10</v>
      </c>
    </row>
    <row r="1214" spans="1:27" ht="14.25" x14ac:dyDescent="0.2">
      <c r="A1214" s="12">
        <v>20931</v>
      </c>
      <c r="B1214" t="s">
        <v>126</v>
      </c>
      <c r="C1214" t="s">
        <v>121</v>
      </c>
      <c r="D1214" t="s">
        <v>121</v>
      </c>
      <c r="E1214" t="s">
        <v>121</v>
      </c>
      <c r="F1214" s="4" t="s">
        <v>1898</v>
      </c>
      <c r="H1214">
        <v>2</v>
      </c>
      <c r="I1214" s="1">
        <v>0</v>
      </c>
      <c r="J1214">
        <v>0</v>
      </c>
      <c r="K1214">
        <v>0</v>
      </c>
      <c r="L1214" s="20">
        <v>19820</v>
      </c>
      <c r="M1214">
        <v>1</v>
      </c>
      <c r="N1214">
        <v>0</v>
      </c>
      <c r="O1214">
        <v>0</v>
      </c>
      <c r="P1214">
        <v>0</v>
      </c>
      <c r="Q1214" s="22">
        <v>59280</v>
      </c>
      <c r="R1214">
        <v>3</v>
      </c>
      <c r="S1214" s="1">
        <v>0</v>
      </c>
      <c r="T1214">
        <v>0</v>
      </c>
      <c r="U1214">
        <v>0</v>
      </c>
      <c r="V1214" s="21">
        <v>29640</v>
      </c>
      <c r="W1214">
        <v>23</v>
      </c>
      <c r="X1214">
        <v>0</v>
      </c>
      <c r="Y1214">
        <v>0</v>
      </c>
      <c r="Z1214">
        <v>0</v>
      </c>
      <c r="AA1214">
        <v>1</v>
      </c>
    </row>
    <row r="1215" spans="1:27" ht="14.25" x14ac:dyDescent="0.2">
      <c r="A1215" s="12">
        <v>20932</v>
      </c>
      <c r="B1215" t="s">
        <v>131</v>
      </c>
      <c r="C1215" t="s">
        <v>125</v>
      </c>
      <c r="D1215" t="s">
        <v>121</v>
      </c>
      <c r="E1215" t="s">
        <v>136</v>
      </c>
      <c r="F1215" s="4" t="s">
        <v>1900</v>
      </c>
      <c r="H1215">
        <v>2</v>
      </c>
      <c r="I1215" s="1">
        <v>0</v>
      </c>
      <c r="J1215">
        <v>0</v>
      </c>
      <c r="K1215">
        <v>0</v>
      </c>
      <c r="L1215" s="20">
        <v>19820</v>
      </c>
      <c r="M1215">
        <v>1</v>
      </c>
      <c r="N1215">
        <v>0</v>
      </c>
      <c r="O1215">
        <v>0</v>
      </c>
      <c r="P1215">
        <v>0</v>
      </c>
      <c r="Q1215" s="22">
        <v>59280</v>
      </c>
      <c r="R1215">
        <v>3</v>
      </c>
      <c r="S1215" s="1">
        <v>0</v>
      </c>
      <c r="T1215">
        <v>0</v>
      </c>
      <c r="U1215">
        <v>0</v>
      </c>
      <c r="V1215" s="21">
        <v>29640</v>
      </c>
      <c r="W1215">
        <v>6</v>
      </c>
      <c r="X1215">
        <v>1</v>
      </c>
      <c r="Y1215">
        <v>0</v>
      </c>
      <c r="Z1215">
        <v>3</v>
      </c>
      <c r="AA1215">
        <v>10</v>
      </c>
    </row>
    <row r="1216" spans="1:27" ht="14.25" x14ac:dyDescent="0.2">
      <c r="A1216" s="12">
        <v>20933</v>
      </c>
      <c r="B1216" t="s">
        <v>180</v>
      </c>
      <c r="C1216" t="s">
        <v>121</v>
      </c>
      <c r="D1216" t="s">
        <v>121</v>
      </c>
      <c r="E1216" t="s">
        <v>121</v>
      </c>
      <c r="F1216" s="4" t="s">
        <v>1902</v>
      </c>
      <c r="H1216">
        <v>2</v>
      </c>
      <c r="I1216" s="1">
        <v>0</v>
      </c>
      <c r="J1216">
        <v>0</v>
      </c>
      <c r="K1216">
        <v>0</v>
      </c>
      <c r="L1216" s="20">
        <v>19820</v>
      </c>
      <c r="M1216">
        <v>1</v>
      </c>
      <c r="N1216">
        <v>0</v>
      </c>
      <c r="O1216">
        <v>0</v>
      </c>
      <c r="P1216">
        <v>0</v>
      </c>
      <c r="Q1216" s="22">
        <v>59460</v>
      </c>
      <c r="R1216">
        <v>3</v>
      </c>
      <c r="S1216" s="1">
        <v>0</v>
      </c>
      <c r="T1216">
        <v>0</v>
      </c>
      <c r="U1216">
        <v>0</v>
      </c>
      <c r="V1216" s="21">
        <v>29730</v>
      </c>
      <c r="W1216">
        <v>15</v>
      </c>
      <c r="X1216">
        <v>0</v>
      </c>
      <c r="Y1216">
        <v>0</v>
      </c>
      <c r="Z1216">
        <v>0</v>
      </c>
      <c r="AA1216">
        <v>1</v>
      </c>
    </row>
    <row r="1217" spans="1:27" ht="14.25" x14ac:dyDescent="0.2">
      <c r="A1217" s="12">
        <v>20934</v>
      </c>
      <c r="B1217" t="s">
        <v>178</v>
      </c>
      <c r="C1217" t="s">
        <v>121</v>
      </c>
      <c r="D1217" t="s">
        <v>121</v>
      </c>
      <c r="E1217" t="s">
        <v>121</v>
      </c>
      <c r="F1217" s="4" t="s">
        <v>1902</v>
      </c>
      <c r="H1217">
        <v>2</v>
      </c>
      <c r="I1217" s="1">
        <v>0</v>
      </c>
      <c r="J1217">
        <v>0</v>
      </c>
      <c r="K1217">
        <v>0</v>
      </c>
      <c r="L1217" s="20">
        <v>19820</v>
      </c>
      <c r="M1217">
        <v>1</v>
      </c>
      <c r="N1217">
        <v>0</v>
      </c>
      <c r="O1217">
        <v>0</v>
      </c>
      <c r="P1217">
        <v>0</v>
      </c>
      <c r="Q1217" s="22">
        <v>59460</v>
      </c>
      <c r="R1217">
        <v>3</v>
      </c>
      <c r="S1217" s="1">
        <v>0</v>
      </c>
      <c r="T1217">
        <v>0</v>
      </c>
      <c r="U1217">
        <v>0</v>
      </c>
      <c r="V1217" s="21">
        <v>29730</v>
      </c>
      <c r="W1217">
        <v>21</v>
      </c>
      <c r="X1217">
        <v>0</v>
      </c>
      <c r="Y1217">
        <v>0</v>
      </c>
      <c r="Z1217">
        <v>0</v>
      </c>
      <c r="AA1217">
        <v>1</v>
      </c>
    </row>
    <row r="1218" spans="1:27" ht="14.25" x14ac:dyDescent="0.2">
      <c r="A1218" s="12">
        <v>20935</v>
      </c>
      <c r="B1218" t="s">
        <v>130</v>
      </c>
      <c r="C1218" t="s">
        <v>121</v>
      </c>
      <c r="D1218" t="s">
        <v>121</v>
      </c>
      <c r="E1218" t="s">
        <v>121</v>
      </c>
      <c r="F1218" s="4" t="s">
        <v>1904</v>
      </c>
      <c r="H1218">
        <v>2</v>
      </c>
      <c r="I1218" s="1">
        <v>0</v>
      </c>
      <c r="J1218">
        <v>0</v>
      </c>
      <c r="K1218">
        <v>0</v>
      </c>
      <c r="L1218" s="20">
        <v>19820</v>
      </c>
      <c r="M1218">
        <v>1</v>
      </c>
      <c r="N1218">
        <v>0</v>
      </c>
      <c r="O1218">
        <v>0</v>
      </c>
      <c r="P1218">
        <v>0</v>
      </c>
      <c r="Q1218" s="22">
        <v>59460</v>
      </c>
      <c r="R1218">
        <v>3</v>
      </c>
      <c r="S1218" s="1">
        <v>0</v>
      </c>
      <c r="T1218">
        <v>0</v>
      </c>
      <c r="U1218">
        <v>0</v>
      </c>
      <c r="V1218" s="21">
        <v>29730</v>
      </c>
      <c r="W1218">
        <v>9</v>
      </c>
      <c r="X1218">
        <v>0</v>
      </c>
      <c r="Y1218">
        <v>0</v>
      </c>
      <c r="Z1218">
        <v>0</v>
      </c>
      <c r="AA1218">
        <v>10</v>
      </c>
    </row>
    <row r="1219" spans="1:27" ht="14.25" x14ac:dyDescent="0.2">
      <c r="A1219" s="12">
        <v>20936</v>
      </c>
      <c r="B1219" t="s">
        <v>181</v>
      </c>
      <c r="C1219" t="s">
        <v>121</v>
      </c>
      <c r="D1219" t="s">
        <v>121</v>
      </c>
      <c r="E1219" t="s">
        <v>121</v>
      </c>
      <c r="F1219" s="4" t="s">
        <v>1906</v>
      </c>
      <c r="H1219">
        <v>2</v>
      </c>
      <c r="I1219" s="1">
        <v>0</v>
      </c>
      <c r="J1219">
        <v>0</v>
      </c>
      <c r="K1219">
        <v>0</v>
      </c>
      <c r="L1219" s="20">
        <v>19880</v>
      </c>
      <c r="M1219">
        <v>1</v>
      </c>
      <c r="N1219">
        <v>0</v>
      </c>
      <c r="O1219">
        <v>0</v>
      </c>
      <c r="P1219">
        <v>0</v>
      </c>
      <c r="Q1219" s="22">
        <v>59460</v>
      </c>
      <c r="R1219">
        <v>3</v>
      </c>
      <c r="S1219" s="1">
        <v>0</v>
      </c>
      <c r="T1219">
        <v>0</v>
      </c>
      <c r="U1219">
        <v>0</v>
      </c>
      <c r="V1219" s="21">
        <v>29730</v>
      </c>
      <c r="W1219">
        <v>30</v>
      </c>
      <c r="X1219">
        <v>0</v>
      </c>
      <c r="Y1219">
        <v>0</v>
      </c>
      <c r="Z1219">
        <v>0</v>
      </c>
      <c r="AA1219">
        <v>10</v>
      </c>
    </row>
    <row r="1220" spans="1:27" ht="14.25" x14ac:dyDescent="0.2">
      <c r="A1220" s="12">
        <v>20937</v>
      </c>
      <c r="B1220" t="s">
        <v>122</v>
      </c>
      <c r="C1220" t="s">
        <v>121</v>
      </c>
      <c r="D1220" t="s">
        <v>121</v>
      </c>
      <c r="E1220" t="s">
        <v>121</v>
      </c>
      <c r="F1220" s="4" t="s">
        <v>1906</v>
      </c>
      <c r="H1220">
        <v>2</v>
      </c>
      <c r="I1220" s="1">
        <v>0</v>
      </c>
      <c r="J1220">
        <v>0</v>
      </c>
      <c r="K1220">
        <v>0</v>
      </c>
      <c r="L1220" s="20">
        <v>19880</v>
      </c>
      <c r="M1220">
        <v>1</v>
      </c>
      <c r="N1220">
        <v>0</v>
      </c>
      <c r="O1220">
        <v>0</v>
      </c>
      <c r="P1220">
        <v>0</v>
      </c>
      <c r="Q1220" s="22">
        <v>59460</v>
      </c>
      <c r="R1220">
        <v>3</v>
      </c>
      <c r="S1220" s="1">
        <v>0</v>
      </c>
      <c r="T1220">
        <v>0</v>
      </c>
      <c r="U1220">
        <v>0</v>
      </c>
      <c r="V1220" s="21">
        <v>29730</v>
      </c>
      <c r="W1220">
        <v>4</v>
      </c>
      <c r="X1220">
        <v>0</v>
      </c>
      <c r="Y1220">
        <v>0</v>
      </c>
      <c r="Z1220">
        <v>0</v>
      </c>
      <c r="AA1220">
        <v>10</v>
      </c>
    </row>
    <row r="1221" spans="1:27" ht="14.25" x14ac:dyDescent="0.2">
      <c r="A1221" s="12">
        <v>20938</v>
      </c>
      <c r="B1221" t="s">
        <v>178</v>
      </c>
      <c r="C1221" t="s">
        <v>121</v>
      </c>
      <c r="D1221" t="s">
        <v>121</v>
      </c>
      <c r="E1221" t="s">
        <v>121</v>
      </c>
      <c r="F1221" s="4" t="s">
        <v>1908</v>
      </c>
      <c r="H1221">
        <v>2</v>
      </c>
      <c r="I1221" s="1">
        <v>0</v>
      </c>
      <c r="J1221">
        <v>0</v>
      </c>
      <c r="K1221">
        <v>0</v>
      </c>
      <c r="L1221" s="20">
        <v>19880</v>
      </c>
      <c r="M1221">
        <v>1</v>
      </c>
      <c r="N1221">
        <v>0</v>
      </c>
      <c r="O1221">
        <v>0</v>
      </c>
      <c r="P1221">
        <v>0</v>
      </c>
      <c r="Q1221" s="22">
        <v>59640</v>
      </c>
      <c r="R1221">
        <v>3</v>
      </c>
      <c r="S1221" s="1">
        <v>0</v>
      </c>
      <c r="T1221">
        <v>0</v>
      </c>
      <c r="U1221">
        <v>0</v>
      </c>
      <c r="V1221" s="21">
        <v>29820</v>
      </c>
      <c r="W1221">
        <v>21</v>
      </c>
      <c r="X1221">
        <v>0</v>
      </c>
      <c r="Y1221">
        <v>0</v>
      </c>
      <c r="Z1221">
        <v>0</v>
      </c>
      <c r="AA1221">
        <v>1</v>
      </c>
    </row>
    <row r="1222" spans="1:27" ht="14.25" x14ac:dyDescent="0.2">
      <c r="A1222" s="12">
        <v>20939</v>
      </c>
      <c r="B1222" t="s">
        <v>130</v>
      </c>
      <c r="C1222" t="s">
        <v>121</v>
      </c>
      <c r="D1222" t="s">
        <v>121</v>
      </c>
      <c r="E1222" t="s">
        <v>121</v>
      </c>
      <c r="F1222" s="4" t="s">
        <v>1910</v>
      </c>
      <c r="H1222">
        <v>2</v>
      </c>
      <c r="I1222" s="1">
        <v>0</v>
      </c>
      <c r="J1222">
        <v>0</v>
      </c>
      <c r="K1222">
        <v>0</v>
      </c>
      <c r="L1222" s="20">
        <v>19880</v>
      </c>
      <c r="M1222">
        <v>1</v>
      </c>
      <c r="N1222">
        <v>0</v>
      </c>
      <c r="O1222">
        <v>0</v>
      </c>
      <c r="P1222">
        <v>0</v>
      </c>
      <c r="Q1222" s="22">
        <v>59640</v>
      </c>
      <c r="R1222">
        <v>3</v>
      </c>
      <c r="S1222" s="1">
        <v>0</v>
      </c>
      <c r="T1222">
        <v>0</v>
      </c>
      <c r="U1222">
        <v>0</v>
      </c>
      <c r="V1222" s="21">
        <v>29820</v>
      </c>
      <c r="W1222">
        <v>9</v>
      </c>
      <c r="X1222">
        <v>0</v>
      </c>
      <c r="Y1222">
        <v>0</v>
      </c>
      <c r="Z1222">
        <v>0</v>
      </c>
      <c r="AA1222">
        <v>10</v>
      </c>
    </row>
    <row r="1223" spans="1:27" ht="14.25" x14ac:dyDescent="0.2">
      <c r="A1223" s="12">
        <v>20940</v>
      </c>
      <c r="B1223" t="s">
        <v>123</v>
      </c>
      <c r="C1223" t="s">
        <v>121</v>
      </c>
      <c r="D1223" t="s">
        <v>121</v>
      </c>
      <c r="E1223" t="s">
        <v>121</v>
      </c>
      <c r="F1223" s="4" t="s">
        <v>1910</v>
      </c>
      <c r="H1223">
        <v>2</v>
      </c>
      <c r="I1223" s="1">
        <v>0</v>
      </c>
      <c r="J1223">
        <v>0</v>
      </c>
      <c r="K1223">
        <v>0</v>
      </c>
      <c r="L1223" s="20">
        <v>19880</v>
      </c>
      <c r="M1223">
        <v>1</v>
      </c>
      <c r="N1223">
        <v>0</v>
      </c>
      <c r="O1223">
        <v>0</v>
      </c>
      <c r="P1223">
        <v>0</v>
      </c>
      <c r="Q1223" s="22">
        <v>59640</v>
      </c>
      <c r="R1223">
        <v>3</v>
      </c>
      <c r="S1223" s="1">
        <v>0</v>
      </c>
      <c r="T1223">
        <v>0</v>
      </c>
      <c r="U1223">
        <v>0</v>
      </c>
      <c r="V1223" s="21">
        <v>29820</v>
      </c>
      <c r="W1223">
        <v>12</v>
      </c>
      <c r="X1223">
        <v>0</v>
      </c>
      <c r="Y1223">
        <v>0</v>
      </c>
      <c r="Z1223">
        <v>0</v>
      </c>
      <c r="AA1223">
        <v>10</v>
      </c>
    </row>
    <row r="1224" spans="1:27" ht="14.25" x14ac:dyDescent="0.2">
      <c r="A1224" s="12">
        <v>20941</v>
      </c>
      <c r="B1224" t="s">
        <v>126</v>
      </c>
      <c r="C1224" t="s">
        <v>121</v>
      </c>
      <c r="D1224" t="s">
        <v>121</v>
      </c>
      <c r="E1224" t="s">
        <v>121</v>
      </c>
      <c r="F1224" s="4" t="s">
        <v>1912</v>
      </c>
      <c r="H1224">
        <v>2</v>
      </c>
      <c r="I1224" s="1">
        <v>0</v>
      </c>
      <c r="J1224">
        <v>0</v>
      </c>
      <c r="K1224">
        <v>0</v>
      </c>
      <c r="L1224" s="20">
        <v>19940</v>
      </c>
      <c r="M1224">
        <v>1</v>
      </c>
      <c r="N1224">
        <v>0</v>
      </c>
      <c r="O1224">
        <v>0</v>
      </c>
      <c r="P1224">
        <v>0</v>
      </c>
      <c r="Q1224" s="22">
        <v>59640</v>
      </c>
      <c r="R1224">
        <v>3</v>
      </c>
      <c r="S1224" s="1">
        <v>0</v>
      </c>
      <c r="T1224">
        <v>0</v>
      </c>
      <c r="U1224">
        <v>0</v>
      </c>
      <c r="V1224" s="21">
        <v>29820</v>
      </c>
      <c r="W1224">
        <v>23</v>
      </c>
      <c r="X1224">
        <v>0</v>
      </c>
      <c r="Y1224">
        <v>0</v>
      </c>
      <c r="Z1224">
        <v>0</v>
      </c>
      <c r="AA1224">
        <v>1</v>
      </c>
    </row>
    <row r="1225" spans="1:27" ht="14.25" x14ac:dyDescent="0.2">
      <c r="A1225" s="12">
        <v>20942</v>
      </c>
      <c r="B1225" t="s">
        <v>131</v>
      </c>
      <c r="C1225" t="s">
        <v>125</v>
      </c>
      <c r="D1225" t="s">
        <v>121</v>
      </c>
      <c r="E1225" t="s">
        <v>136</v>
      </c>
      <c r="F1225" s="4" t="s">
        <v>1914</v>
      </c>
      <c r="H1225">
        <v>2</v>
      </c>
      <c r="I1225" s="1">
        <v>0</v>
      </c>
      <c r="J1225">
        <v>0</v>
      </c>
      <c r="K1225">
        <v>0</v>
      </c>
      <c r="L1225" s="20">
        <v>19940</v>
      </c>
      <c r="M1225">
        <v>1</v>
      </c>
      <c r="N1225">
        <v>0</v>
      </c>
      <c r="O1225">
        <v>0</v>
      </c>
      <c r="P1225">
        <v>0</v>
      </c>
      <c r="Q1225" s="22">
        <v>59640</v>
      </c>
      <c r="R1225">
        <v>3</v>
      </c>
      <c r="S1225" s="1">
        <v>0</v>
      </c>
      <c r="T1225">
        <v>0</v>
      </c>
      <c r="U1225">
        <v>0</v>
      </c>
      <c r="V1225" s="21">
        <v>29820</v>
      </c>
      <c r="W1225">
        <v>6</v>
      </c>
      <c r="X1225">
        <v>1</v>
      </c>
      <c r="Y1225">
        <v>0</v>
      </c>
      <c r="Z1225">
        <v>3</v>
      </c>
      <c r="AA1225">
        <v>10</v>
      </c>
    </row>
    <row r="1226" spans="1:27" ht="14.25" x14ac:dyDescent="0.2">
      <c r="A1226" s="12">
        <v>20943</v>
      </c>
      <c r="B1226" t="s">
        <v>180</v>
      </c>
      <c r="C1226" t="s">
        <v>121</v>
      </c>
      <c r="D1226" t="s">
        <v>121</v>
      </c>
      <c r="E1226" t="s">
        <v>121</v>
      </c>
      <c r="F1226" s="4" t="s">
        <v>1916</v>
      </c>
      <c r="H1226">
        <v>2</v>
      </c>
      <c r="I1226" s="1">
        <v>0</v>
      </c>
      <c r="J1226">
        <v>0</v>
      </c>
      <c r="K1226">
        <v>0</v>
      </c>
      <c r="L1226" s="20">
        <v>19940</v>
      </c>
      <c r="M1226">
        <v>1</v>
      </c>
      <c r="N1226">
        <v>0</v>
      </c>
      <c r="O1226">
        <v>0</v>
      </c>
      <c r="P1226">
        <v>0</v>
      </c>
      <c r="Q1226" s="22">
        <v>59820</v>
      </c>
      <c r="R1226">
        <v>3</v>
      </c>
      <c r="S1226" s="1">
        <v>0</v>
      </c>
      <c r="T1226">
        <v>0</v>
      </c>
      <c r="U1226">
        <v>0</v>
      </c>
      <c r="V1226" s="21">
        <v>29910</v>
      </c>
      <c r="W1226">
        <v>15</v>
      </c>
      <c r="X1226">
        <v>0</v>
      </c>
      <c r="Y1226">
        <v>0</v>
      </c>
      <c r="Z1226">
        <v>0</v>
      </c>
      <c r="AA1226">
        <v>1</v>
      </c>
    </row>
    <row r="1227" spans="1:27" ht="14.25" x14ac:dyDescent="0.2">
      <c r="A1227" s="12">
        <v>20944</v>
      </c>
      <c r="B1227" t="s">
        <v>178</v>
      </c>
      <c r="C1227" t="s">
        <v>121</v>
      </c>
      <c r="D1227" t="s">
        <v>121</v>
      </c>
      <c r="E1227" t="s">
        <v>121</v>
      </c>
      <c r="F1227" s="4" t="s">
        <v>1916</v>
      </c>
      <c r="H1227">
        <v>2</v>
      </c>
      <c r="I1227" s="1">
        <v>0</v>
      </c>
      <c r="J1227">
        <v>0</v>
      </c>
      <c r="K1227">
        <v>0</v>
      </c>
      <c r="L1227" s="20">
        <v>19940</v>
      </c>
      <c r="M1227">
        <v>1</v>
      </c>
      <c r="N1227">
        <v>0</v>
      </c>
      <c r="O1227">
        <v>0</v>
      </c>
      <c r="P1227">
        <v>0</v>
      </c>
      <c r="Q1227" s="22">
        <v>59820</v>
      </c>
      <c r="R1227">
        <v>3</v>
      </c>
      <c r="S1227" s="1">
        <v>0</v>
      </c>
      <c r="T1227">
        <v>0</v>
      </c>
      <c r="U1227">
        <v>0</v>
      </c>
      <c r="V1227" s="21">
        <v>29910</v>
      </c>
      <c r="W1227">
        <v>21</v>
      </c>
      <c r="X1227">
        <v>0</v>
      </c>
      <c r="Y1227">
        <v>0</v>
      </c>
      <c r="Z1227">
        <v>0</v>
      </c>
      <c r="AA1227">
        <v>1</v>
      </c>
    </row>
    <row r="1228" spans="1:27" ht="14.25" x14ac:dyDescent="0.2">
      <c r="A1228" s="12">
        <v>20945</v>
      </c>
      <c r="B1228" t="s">
        <v>130</v>
      </c>
      <c r="C1228" t="s">
        <v>121</v>
      </c>
      <c r="D1228" t="s">
        <v>121</v>
      </c>
      <c r="E1228" t="s">
        <v>121</v>
      </c>
      <c r="F1228" s="4" t="s">
        <v>1918</v>
      </c>
      <c r="H1228">
        <v>2</v>
      </c>
      <c r="I1228" s="1">
        <v>0</v>
      </c>
      <c r="J1228">
        <v>0</v>
      </c>
      <c r="K1228">
        <v>0</v>
      </c>
      <c r="L1228" s="20">
        <v>19940</v>
      </c>
      <c r="M1228">
        <v>1</v>
      </c>
      <c r="N1228">
        <v>0</v>
      </c>
      <c r="O1228">
        <v>0</v>
      </c>
      <c r="P1228">
        <v>0</v>
      </c>
      <c r="Q1228" s="22">
        <v>59820</v>
      </c>
      <c r="R1228">
        <v>3</v>
      </c>
      <c r="S1228" s="1">
        <v>0</v>
      </c>
      <c r="T1228">
        <v>0</v>
      </c>
      <c r="U1228">
        <v>0</v>
      </c>
      <c r="V1228" s="21">
        <v>29910</v>
      </c>
      <c r="W1228">
        <v>9</v>
      </c>
      <c r="X1228">
        <v>0</v>
      </c>
      <c r="Y1228">
        <v>0</v>
      </c>
      <c r="Z1228">
        <v>0</v>
      </c>
      <c r="AA1228">
        <v>10</v>
      </c>
    </row>
    <row r="1229" spans="1:27" ht="14.25" x14ac:dyDescent="0.2">
      <c r="A1229" s="12">
        <v>20946</v>
      </c>
      <c r="B1229" t="s">
        <v>181</v>
      </c>
      <c r="C1229" t="s">
        <v>121</v>
      </c>
      <c r="D1229" t="s">
        <v>121</v>
      </c>
      <c r="E1229" t="s">
        <v>121</v>
      </c>
      <c r="F1229" s="4" t="s">
        <v>1920</v>
      </c>
      <c r="H1229">
        <v>2</v>
      </c>
      <c r="I1229" s="1">
        <v>0</v>
      </c>
      <c r="J1229">
        <v>0</v>
      </c>
      <c r="K1229">
        <v>0</v>
      </c>
      <c r="L1229" s="20">
        <v>20000</v>
      </c>
      <c r="M1229">
        <v>1</v>
      </c>
      <c r="N1229">
        <v>0</v>
      </c>
      <c r="O1229">
        <v>0</v>
      </c>
      <c r="P1229">
        <v>0</v>
      </c>
      <c r="Q1229" s="22">
        <v>59820</v>
      </c>
      <c r="R1229">
        <v>3</v>
      </c>
      <c r="S1229" s="1">
        <v>0</v>
      </c>
      <c r="T1229">
        <v>0</v>
      </c>
      <c r="U1229">
        <v>0</v>
      </c>
      <c r="V1229" s="21">
        <v>29910</v>
      </c>
      <c r="W1229">
        <v>30</v>
      </c>
      <c r="X1229">
        <v>0</v>
      </c>
      <c r="Y1229">
        <v>0</v>
      </c>
      <c r="Z1229">
        <v>0</v>
      </c>
      <c r="AA1229">
        <v>10</v>
      </c>
    </row>
    <row r="1230" spans="1:27" ht="14.25" x14ac:dyDescent="0.2">
      <c r="A1230" s="12">
        <v>20947</v>
      </c>
      <c r="B1230" t="s">
        <v>122</v>
      </c>
      <c r="C1230" t="s">
        <v>121</v>
      </c>
      <c r="D1230" t="s">
        <v>121</v>
      </c>
      <c r="E1230" t="s">
        <v>121</v>
      </c>
      <c r="F1230" s="4" t="s">
        <v>1920</v>
      </c>
      <c r="H1230">
        <v>2</v>
      </c>
      <c r="I1230" s="1">
        <v>0</v>
      </c>
      <c r="J1230">
        <v>0</v>
      </c>
      <c r="K1230">
        <v>0</v>
      </c>
      <c r="L1230" s="20">
        <v>20000</v>
      </c>
      <c r="M1230">
        <v>1</v>
      </c>
      <c r="N1230">
        <v>0</v>
      </c>
      <c r="O1230">
        <v>0</v>
      </c>
      <c r="P1230">
        <v>0</v>
      </c>
      <c r="Q1230" s="22">
        <v>59820</v>
      </c>
      <c r="R1230">
        <v>3</v>
      </c>
      <c r="S1230" s="1">
        <v>0</v>
      </c>
      <c r="T1230">
        <v>0</v>
      </c>
      <c r="U1230">
        <v>0</v>
      </c>
      <c r="V1230" s="21">
        <v>29910</v>
      </c>
      <c r="W1230">
        <v>4</v>
      </c>
      <c r="X1230">
        <v>0</v>
      </c>
      <c r="Y1230">
        <v>0</v>
      </c>
      <c r="Z1230">
        <v>0</v>
      </c>
      <c r="AA1230">
        <v>10</v>
      </c>
    </row>
    <row r="1231" spans="1:27" ht="14.25" x14ac:dyDescent="0.2">
      <c r="A1231" s="12">
        <v>20948</v>
      </c>
      <c r="B1231" t="s">
        <v>178</v>
      </c>
      <c r="C1231" t="s">
        <v>121</v>
      </c>
      <c r="D1231" t="s">
        <v>121</v>
      </c>
      <c r="E1231" t="s">
        <v>121</v>
      </c>
      <c r="F1231" s="4" t="s">
        <v>1922</v>
      </c>
      <c r="H1231">
        <v>2</v>
      </c>
      <c r="I1231" s="1">
        <v>0</v>
      </c>
      <c r="J1231">
        <v>0</v>
      </c>
      <c r="K1231">
        <v>0</v>
      </c>
      <c r="L1231" s="20">
        <v>20000</v>
      </c>
      <c r="M1231">
        <v>1</v>
      </c>
      <c r="N1231">
        <v>0</v>
      </c>
      <c r="O1231">
        <v>0</v>
      </c>
      <c r="P1231">
        <v>0</v>
      </c>
      <c r="Q1231" s="22">
        <v>60000</v>
      </c>
      <c r="R1231">
        <v>3</v>
      </c>
      <c r="S1231" s="1">
        <v>0</v>
      </c>
      <c r="T1231">
        <v>0</v>
      </c>
      <c r="U1231">
        <v>0</v>
      </c>
      <c r="V1231" s="21">
        <v>30000</v>
      </c>
      <c r="W1231">
        <v>21</v>
      </c>
      <c r="X1231">
        <v>0</v>
      </c>
      <c r="Y1231">
        <v>0</v>
      </c>
      <c r="Z1231">
        <v>0</v>
      </c>
      <c r="AA1231">
        <v>1</v>
      </c>
    </row>
    <row r="1232" spans="1:27" ht="14.25" x14ac:dyDescent="0.2">
      <c r="A1232" s="12">
        <v>20949</v>
      </c>
      <c r="B1232" t="s">
        <v>130</v>
      </c>
      <c r="C1232" t="s">
        <v>121</v>
      </c>
      <c r="D1232" t="s">
        <v>121</v>
      </c>
      <c r="E1232" t="s">
        <v>121</v>
      </c>
      <c r="F1232" s="4" t="s">
        <v>1924</v>
      </c>
      <c r="H1232">
        <v>2</v>
      </c>
      <c r="I1232" s="1">
        <v>0</v>
      </c>
      <c r="J1232">
        <v>0</v>
      </c>
      <c r="K1232">
        <v>0</v>
      </c>
      <c r="L1232" s="20">
        <v>20000</v>
      </c>
      <c r="M1232">
        <v>1</v>
      </c>
      <c r="N1232">
        <v>0</v>
      </c>
      <c r="O1232">
        <v>0</v>
      </c>
      <c r="P1232">
        <v>0</v>
      </c>
      <c r="Q1232" s="22">
        <v>60000</v>
      </c>
      <c r="R1232">
        <v>3</v>
      </c>
      <c r="S1232" s="1">
        <v>0</v>
      </c>
      <c r="T1232">
        <v>0</v>
      </c>
      <c r="U1232">
        <v>0</v>
      </c>
      <c r="V1232" s="21">
        <v>30000</v>
      </c>
      <c r="W1232">
        <v>9</v>
      </c>
      <c r="X1232">
        <v>0</v>
      </c>
      <c r="Y1232">
        <v>0</v>
      </c>
      <c r="Z1232">
        <v>0</v>
      </c>
      <c r="AA1232">
        <v>10</v>
      </c>
    </row>
    <row r="1233" spans="1:27" ht="14.25" x14ac:dyDescent="0.2">
      <c r="A1233" s="12">
        <v>20950</v>
      </c>
      <c r="B1233" t="s">
        <v>123</v>
      </c>
      <c r="C1233" t="s">
        <v>121</v>
      </c>
      <c r="D1233" t="s">
        <v>121</v>
      </c>
      <c r="E1233" t="s">
        <v>121</v>
      </c>
      <c r="F1233" s="4" t="s">
        <v>1924</v>
      </c>
      <c r="H1233">
        <v>2</v>
      </c>
      <c r="I1233" s="1">
        <v>0</v>
      </c>
      <c r="J1233">
        <v>0</v>
      </c>
      <c r="K1233">
        <v>0</v>
      </c>
      <c r="L1233" s="20">
        <v>20000</v>
      </c>
      <c r="M1233">
        <v>1</v>
      </c>
      <c r="N1233">
        <v>0</v>
      </c>
      <c r="O1233">
        <v>0</v>
      </c>
      <c r="P1233">
        <v>0</v>
      </c>
      <c r="Q1233" s="22">
        <v>60000</v>
      </c>
      <c r="R1233">
        <v>3</v>
      </c>
      <c r="S1233" s="1">
        <v>0</v>
      </c>
      <c r="T1233">
        <v>0</v>
      </c>
      <c r="U1233">
        <v>0</v>
      </c>
      <c r="V1233" s="21">
        <v>30000</v>
      </c>
      <c r="W1233">
        <v>12</v>
      </c>
      <c r="X1233">
        <v>0</v>
      </c>
      <c r="Y1233">
        <v>0</v>
      </c>
      <c r="Z1233">
        <v>0</v>
      </c>
      <c r="AA1233">
        <v>10</v>
      </c>
    </row>
    <row r="1234" spans="1:27" ht="14.25" x14ac:dyDescent="0.2">
      <c r="A1234" s="12">
        <v>21001</v>
      </c>
      <c r="B1234" t="s">
        <v>126</v>
      </c>
      <c r="C1234" t="s">
        <v>121</v>
      </c>
      <c r="D1234" t="s">
        <v>121</v>
      </c>
      <c r="E1234" t="s">
        <v>121</v>
      </c>
      <c r="F1234" s="4" t="s">
        <v>1926</v>
      </c>
      <c r="H1234">
        <v>2</v>
      </c>
      <c r="I1234" s="1">
        <v>0</v>
      </c>
      <c r="J1234">
        <v>0</v>
      </c>
      <c r="K1234">
        <v>0</v>
      </c>
      <c r="L1234" s="20">
        <v>20060</v>
      </c>
      <c r="M1234">
        <v>1</v>
      </c>
      <c r="N1234">
        <v>0</v>
      </c>
      <c r="O1234">
        <v>0</v>
      </c>
      <c r="P1234">
        <v>0</v>
      </c>
      <c r="Q1234" s="22">
        <v>60000</v>
      </c>
      <c r="R1234">
        <v>3</v>
      </c>
      <c r="S1234" s="1">
        <v>0</v>
      </c>
      <c r="T1234">
        <v>0</v>
      </c>
      <c r="U1234">
        <v>0</v>
      </c>
      <c r="V1234" s="21">
        <v>30000</v>
      </c>
      <c r="W1234">
        <v>23</v>
      </c>
      <c r="X1234">
        <v>0</v>
      </c>
      <c r="Y1234">
        <v>0</v>
      </c>
      <c r="Z1234">
        <v>0</v>
      </c>
      <c r="AA1234">
        <v>1</v>
      </c>
    </row>
    <row r="1235" spans="1:27" ht="14.25" x14ac:dyDescent="0.2">
      <c r="A1235" s="12">
        <v>21002</v>
      </c>
      <c r="B1235" t="s">
        <v>131</v>
      </c>
      <c r="C1235" t="s">
        <v>125</v>
      </c>
      <c r="D1235" t="s">
        <v>121</v>
      </c>
      <c r="E1235" t="s">
        <v>136</v>
      </c>
      <c r="F1235" s="4" t="s">
        <v>1928</v>
      </c>
      <c r="H1235">
        <v>2</v>
      </c>
      <c r="I1235" s="1">
        <v>0</v>
      </c>
      <c r="J1235">
        <v>0</v>
      </c>
      <c r="K1235">
        <v>0</v>
      </c>
      <c r="L1235" s="20">
        <v>20060</v>
      </c>
      <c r="M1235">
        <v>1</v>
      </c>
      <c r="N1235">
        <v>0</v>
      </c>
      <c r="O1235">
        <v>0</v>
      </c>
      <c r="P1235">
        <v>0</v>
      </c>
      <c r="Q1235" s="22">
        <v>60000</v>
      </c>
      <c r="R1235">
        <v>3</v>
      </c>
      <c r="S1235" s="1">
        <v>0</v>
      </c>
      <c r="T1235">
        <v>0</v>
      </c>
      <c r="U1235">
        <v>0</v>
      </c>
      <c r="V1235" s="21">
        <v>30000</v>
      </c>
      <c r="W1235">
        <v>6</v>
      </c>
      <c r="X1235">
        <v>1</v>
      </c>
      <c r="Y1235">
        <v>0</v>
      </c>
      <c r="Z1235">
        <v>3</v>
      </c>
      <c r="AA1235">
        <v>10</v>
      </c>
    </row>
    <row r="1236" spans="1:27" ht="14.25" x14ac:dyDescent="0.2">
      <c r="A1236" s="12">
        <v>21003</v>
      </c>
      <c r="B1236" t="s">
        <v>180</v>
      </c>
      <c r="C1236" t="s">
        <v>121</v>
      </c>
      <c r="D1236" t="s">
        <v>121</v>
      </c>
      <c r="E1236" t="s">
        <v>121</v>
      </c>
      <c r="F1236" s="4" t="s">
        <v>1930</v>
      </c>
      <c r="H1236">
        <v>2</v>
      </c>
      <c r="I1236" s="1">
        <v>0</v>
      </c>
      <c r="J1236">
        <v>0</v>
      </c>
      <c r="K1236">
        <v>0</v>
      </c>
      <c r="L1236" s="20">
        <v>20060</v>
      </c>
      <c r="M1236">
        <v>1</v>
      </c>
      <c r="N1236">
        <v>0</v>
      </c>
      <c r="O1236">
        <v>0</v>
      </c>
      <c r="P1236">
        <v>0</v>
      </c>
      <c r="Q1236" s="22">
        <v>60180</v>
      </c>
      <c r="R1236">
        <v>3</v>
      </c>
      <c r="S1236" s="1">
        <v>0</v>
      </c>
      <c r="T1236">
        <v>0</v>
      </c>
      <c r="U1236">
        <v>0</v>
      </c>
      <c r="V1236" s="21">
        <v>30090</v>
      </c>
      <c r="W1236">
        <v>15</v>
      </c>
      <c r="X1236">
        <v>0</v>
      </c>
      <c r="Y1236">
        <v>0</v>
      </c>
      <c r="Z1236">
        <v>0</v>
      </c>
      <c r="AA1236">
        <v>1</v>
      </c>
    </row>
    <row r="1237" spans="1:27" ht="14.25" x14ac:dyDescent="0.2">
      <c r="A1237" s="12">
        <v>21004</v>
      </c>
      <c r="B1237" t="s">
        <v>178</v>
      </c>
      <c r="C1237" t="s">
        <v>121</v>
      </c>
      <c r="D1237" t="s">
        <v>121</v>
      </c>
      <c r="E1237" t="s">
        <v>121</v>
      </c>
      <c r="F1237" s="4" t="s">
        <v>1930</v>
      </c>
      <c r="H1237">
        <v>2</v>
      </c>
      <c r="I1237" s="1">
        <v>0</v>
      </c>
      <c r="J1237">
        <v>0</v>
      </c>
      <c r="K1237">
        <v>0</v>
      </c>
      <c r="L1237" s="20">
        <v>20060</v>
      </c>
      <c r="M1237">
        <v>1</v>
      </c>
      <c r="N1237">
        <v>0</v>
      </c>
      <c r="O1237">
        <v>0</v>
      </c>
      <c r="P1237">
        <v>0</v>
      </c>
      <c r="Q1237" s="22">
        <v>60180</v>
      </c>
      <c r="R1237">
        <v>3</v>
      </c>
      <c r="S1237" s="1">
        <v>0</v>
      </c>
      <c r="T1237">
        <v>0</v>
      </c>
      <c r="U1237">
        <v>0</v>
      </c>
      <c r="V1237" s="21">
        <v>30090</v>
      </c>
      <c r="W1237">
        <v>21</v>
      </c>
      <c r="X1237">
        <v>0</v>
      </c>
      <c r="Y1237">
        <v>0</v>
      </c>
      <c r="Z1237">
        <v>0</v>
      </c>
      <c r="AA1237">
        <v>1</v>
      </c>
    </row>
    <row r="1238" spans="1:27" ht="14.25" x14ac:dyDescent="0.2">
      <c r="A1238" s="12">
        <v>21005</v>
      </c>
      <c r="B1238" t="s">
        <v>130</v>
      </c>
      <c r="C1238" t="s">
        <v>121</v>
      </c>
      <c r="D1238" t="s">
        <v>121</v>
      </c>
      <c r="E1238" t="s">
        <v>121</v>
      </c>
      <c r="F1238" s="4" t="s">
        <v>1932</v>
      </c>
      <c r="H1238">
        <v>2</v>
      </c>
      <c r="I1238" s="1">
        <v>0</v>
      </c>
      <c r="J1238">
        <v>0</v>
      </c>
      <c r="K1238">
        <v>0</v>
      </c>
      <c r="L1238" s="20">
        <v>20060</v>
      </c>
      <c r="M1238">
        <v>1</v>
      </c>
      <c r="N1238">
        <v>0</v>
      </c>
      <c r="O1238">
        <v>0</v>
      </c>
      <c r="P1238">
        <v>0</v>
      </c>
      <c r="Q1238" s="22">
        <v>60180</v>
      </c>
      <c r="R1238">
        <v>3</v>
      </c>
      <c r="S1238" s="1">
        <v>0</v>
      </c>
      <c r="T1238">
        <v>0</v>
      </c>
      <c r="U1238">
        <v>0</v>
      </c>
      <c r="V1238" s="21">
        <v>30090</v>
      </c>
      <c r="W1238">
        <v>9</v>
      </c>
      <c r="X1238">
        <v>0</v>
      </c>
      <c r="Y1238">
        <v>0</v>
      </c>
      <c r="Z1238">
        <v>0</v>
      </c>
      <c r="AA1238">
        <v>10</v>
      </c>
    </row>
    <row r="1239" spans="1:27" ht="14.25" x14ac:dyDescent="0.2">
      <c r="A1239" s="12">
        <v>21006</v>
      </c>
      <c r="B1239" t="s">
        <v>181</v>
      </c>
      <c r="C1239" t="s">
        <v>121</v>
      </c>
      <c r="D1239" t="s">
        <v>121</v>
      </c>
      <c r="E1239" t="s">
        <v>121</v>
      </c>
      <c r="F1239" s="4" t="s">
        <v>1934</v>
      </c>
      <c r="H1239">
        <v>2</v>
      </c>
      <c r="I1239" s="1">
        <v>0</v>
      </c>
      <c r="J1239">
        <v>0</v>
      </c>
      <c r="K1239">
        <v>0</v>
      </c>
      <c r="L1239" s="20">
        <v>20120</v>
      </c>
      <c r="M1239">
        <v>1</v>
      </c>
      <c r="N1239">
        <v>0</v>
      </c>
      <c r="O1239">
        <v>0</v>
      </c>
      <c r="P1239">
        <v>0</v>
      </c>
      <c r="Q1239" s="22">
        <v>60180</v>
      </c>
      <c r="R1239">
        <v>3</v>
      </c>
      <c r="S1239" s="1">
        <v>0</v>
      </c>
      <c r="T1239">
        <v>0</v>
      </c>
      <c r="U1239">
        <v>0</v>
      </c>
      <c r="V1239" s="21">
        <v>30090</v>
      </c>
      <c r="W1239">
        <v>30</v>
      </c>
      <c r="X1239">
        <v>0</v>
      </c>
      <c r="Y1239">
        <v>0</v>
      </c>
      <c r="Z1239">
        <v>0</v>
      </c>
      <c r="AA1239">
        <v>10</v>
      </c>
    </row>
    <row r="1240" spans="1:27" ht="14.25" x14ac:dyDescent="0.2">
      <c r="A1240" s="12">
        <v>21007</v>
      </c>
      <c r="B1240" t="s">
        <v>122</v>
      </c>
      <c r="C1240" t="s">
        <v>121</v>
      </c>
      <c r="D1240" t="s">
        <v>121</v>
      </c>
      <c r="E1240" t="s">
        <v>121</v>
      </c>
      <c r="F1240" s="4" t="s">
        <v>1934</v>
      </c>
      <c r="H1240">
        <v>2</v>
      </c>
      <c r="I1240" s="1">
        <v>0</v>
      </c>
      <c r="J1240">
        <v>0</v>
      </c>
      <c r="K1240">
        <v>0</v>
      </c>
      <c r="L1240" s="20">
        <v>20120</v>
      </c>
      <c r="M1240">
        <v>1</v>
      </c>
      <c r="N1240">
        <v>0</v>
      </c>
      <c r="O1240">
        <v>0</v>
      </c>
      <c r="P1240">
        <v>0</v>
      </c>
      <c r="Q1240" s="22">
        <v>60180</v>
      </c>
      <c r="R1240">
        <v>3</v>
      </c>
      <c r="S1240" s="1">
        <v>0</v>
      </c>
      <c r="T1240">
        <v>0</v>
      </c>
      <c r="U1240">
        <v>0</v>
      </c>
      <c r="V1240" s="21">
        <v>30090</v>
      </c>
      <c r="W1240">
        <v>4</v>
      </c>
      <c r="X1240">
        <v>0</v>
      </c>
      <c r="Y1240">
        <v>0</v>
      </c>
      <c r="Z1240">
        <v>0</v>
      </c>
      <c r="AA1240">
        <v>10</v>
      </c>
    </row>
    <row r="1241" spans="1:27" ht="14.25" x14ac:dyDescent="0.2">
      <c r="A1241" s="12">
        <v>21008</v>
      </c>
      <c r="B1241" t="s">
        <v>178</v>
      </c>
      <c r="C1241" t="s">
        <v>121</v>
      </c>
      <c r="D1241" t="s">
        <v>121</v>
      </c>
      <c r="E1241" t="s">
        <v>121</v>
      </c>
      <c r="F1241" s="4" t="s">
        <v>1936</v>
      </c>
      <c r="H1241">
        <v>2</v>
      </c>
      <c r="I1241" s="1">
        <v>0</v>
      </c>
      <c r="J1241">
        <v>0</v>
      </c>
      <c r="K1241">
        <v>0</v>
      </c>
      <c r="L1241" s="20">
        <v>20120</v>
      </c>
      <c r="M1241">
        <v>1</v>
      </c>
      <c r="N1241">
        <v>0</v>
      </c>
      <c r="O1241">
        <v>0</v>
      </c>
      <c r="P1241">
        <v>0</v>
      </c>
      <c r="Q1241" s="22">
        <v>60360</v>
      </c>
      <c r="R1241">
        <v>3</v>
      </c>
      <c r="S1241" s="1">
        <v>0</v>
      </c>
      <c r="T1241">
        <v>0</v>
      </c>
      <c r="U1241">
        <v>0</v>
      </c>
      <c r="V1241" s="21">
        <v>30180</v>
      </c>
      <c r="W1241">
        <v>21</v>
      </c>
      <c r="X1241">
        <v>0</v>
      </c>
      <c r="Y1241">
        <v>0</v>
      </c>
      <c r="Z1241">
        <v>0</v>
      </c>
      <c r="AA1241">
        <v>1</v>
      </c>
    </row>
    <row r="1242" spans="1:27" ht="14.25" x14ac:dyDescent="0.2">
      <c r="A1242" s="12">
        <v>21009</v>
      </c>
      <c r="B1242" t="s">
        <v>130</v>
      </c>
      <c r="C1242" t="s">
        <v>121</v>
      </c>
      <c r="D1242" t="s">
        <v>121</v>
      </c>
      <c r="E1242" t="s">
        <v>121</v>
      </c>
      <c r="F1242" s="4" t="s">
        <v>1938</v>
      </c>
      <c r="H1242">
        <v>2</v>
      </c>
      <c r="I1242" s="1">
        <v>0</v>
      </c>
      <c r="J1242">
        <v>0</v>
      </c>
      <c r="K1242">
        <v>0</v>
      </c>
      <c r="L1242" s="20">
        <v>20120</v>
      </c>
      <c r="M1242">
        <v>1</v>
      </c>
      <c r="N1242">
        <v>0</v>
      </c>
      <c r="O1242">
        <v>0</v>
      </c>
      <c r="P1242">
        <v>0</v>
      </c>
      <c r="Q1242" s="22">
        <v>60360</v>
      </c>
      <c r="R1242">
        <v>3</v>
      </c>
      <c r="S1242" s="1">
        <v>0</v>
      </c>
      <c r="T1242">
        <v>0</v>
      </c>
      <c r="U1242">
        <v>0</v>
      </c>
      <c r="V1242" s="21">
        <v>30180</v>
      </c>
      <c r="W1242">
        <v>9</v>
      </c>
      <c r="X1242">
        <v>0</v>
      </c>
      <c r="Y1242">
        <v>0</v>
      </c>
      <c r="Z1242">
        <v>0</v>
      </c>
      <c r="AA1242">
        <v>10</v>
      </c>
    </row>
    <row r="1243" spans="1:27" ht="14.25" x14ac:dyDescent="0.2">
      <c r="A1243" s="12">
        <v>21010</v>
      </c>
      <c r="B1243" t="s">
        <v>123</v>
      </c>
      <c r="C1243" t="s">
        <v>121</v>
      </c>
      <c r="D1243" t="s">
        <v>121</v>
      </c>
      <c r="E1243" t="s">
        <v>121</v>
      </c>
      <c r="F1243" s="4" t="s">
        <v>1938</v>
      </c>
      <c r="H1243">
        <v>2</v>
      </c>
      <c r="I1243" s="1">
        <v>0</v>
      </c>
      <c r="J1243">
        <v>0</v>
      </c>
      <c r="K1243">
        <v>0</v>
      </c>
      <c r="L1243" s="20">
        <v>20120</v>
      </c>
      <c r="M1243">
        <v>1</v>
      </c>
      <c r="N1243">
        <v>0</v>
      </c>
      <c r="O1243">
        <v>0</v>
      </c>
      <c r="P1243">
        <v>0</v>
      </c>
      <c r="Q1243" s="22">
        <v>60360</v>
      </c>
      <c r="R1243">
        <v>3</v>
      </c>
      <c r="S1243" s="1">
        <v>0</v>
      </c>
      <c r="T1243">
        <v>0</v>
      </c>
      <c r="U1243">
        <v>0</v>
      </c>
      <c r="V1243" s="21">
        <v>30180</v>
      </c>
      <c r="W1243">
        <v>12</v>
      </c>
      <c r="X1243">
        <v>0</v>
      </c>
      <c r="Y1243">
        <v>0</v>
      </c>
      <c r="Z1243">
        <v>0</v>
      </c>
      <c r="AA1243">
        <v>10</v>
      </c>
    </row>
    <row r="1244" spans="1:27" ht="14.25" x14ac:dyDescent="0.2">
      <c r="A1244" s="12">
        <v>21011</v>
      </c>
      <c r="B1244" t="s">
        <v>126</v>
      </c>
      <c r="C1244" t="s">
        <v>121</v>
      </c>
      <c r="D1244" t="s">
        <v>121</v>
      </c>
      <c r="E1244" t="s">
        <v>121</v>
      </c>
      <c r="F1244" s="4" t="s">
        <v>1940</v>
      </c>
      <c r="H1244">
        <v>2</v>
      </c>
      <c r="I1244" s="1">
        <v>0</v>
      </c>
      <c r="J1244">
        <v>0</v>
      </c>
      <c r="K1244">
        <v>0</v>
      </c>
      <c r="L1244" s="20">
        <v>20180</v>
      </c>
      <c r="M1244">
        <v>1</v>
      </c>
      <c r="N1244">
        <v>0</v>
      </c>
      <c r="O1244">
        <v>0</v>
      </c>
      <c r="P1244">
        <v>0</v>
      </c>
      <c r="Q1244" s="22">
        <v>60360</v>
      </c>
      <c r="R1244">
        <v>3</v>
      </c>
      <c r="S1244" s="1">
        <v>0</v>
      </c>
      <c r="T1244">
        <v>0</v>
      </c>
      <c r="U1244">
        <v>0</v>
      </c>
      <c r="V1244" s="21">
        <v>30180</v>
      </c>
      <c r="W1244">
        <v>23</v>
      </c>
      <c r="X1244">
        <v>0</v>
      </c>
      <c r="Y1244">
        <v>0</v>
      </c>
      <c r="Z1244">
        <v>0</v>
      </c>
      <c r="AA1244">
        <v>1</v>
      </c>
    </row>
    <row r="1245" spans="1:27" ht="14.25" x14ac:dyDescent="0.2">
      <c r="A1245" s="12">
        <v>21012</v>
      </c>
      <c r="B1245" t="s">
        <v>131</v>
      </c>
      <c r="C1245" t="s">
        <v>125</v>
      </c>
      <c r="D1245" t="s">
        <v>121</v>
      </c>
      <c r="E1245" t="s">
        <v>136</v>
      </c>
      <c r="F1245" s="4" t="s">
        <v>1942</v>
      </c>
      <c r="H1245">
        <v>2</v>
      </c>
      <c r="I1245" s="1">
        <v>0</v>
      </c>
      <c r="J1245">
        <v>0</v>
      </c>
      <c r="K1245">
        <v>0</v>
      </c>
      <c r="L1245" s="20">
        <v>20180</v>
      </c>
      <c r="M1245">
        <v>1</v>
      </c>
      <c r="N1245">
        <v>0</v>
      </c>
      <c r="O1245">
        <v>0</v>
      </c>
      <c r="P1245">
        <v>0</v>
      </c>
      <c r="Q1245" s="22">
        <v>60360</v>
      </c>
      <c r="R1245">
        <v>3</v>
      </c>
      <c r="S1245" s="1">
        <v>0</v>
      </c>
      <c r="T1245">
        <v>0</v>
      </c>
      <c r="U1245">
        <v>0</v>
      </c>
      <c r="V1245" s="21">
        <v>30180</v>
      </c>
      <c r="W1245">
        <v>6</v>
      </c>
      <c r="X1245">
        <v>1</v>
      </c>
      <c r="Y1245">
        <v>0</v>
      </c>
      <c r="Z1245">
        <v>3</v>
      </c>
      <c r="AA1245">
        <v>10</v>
      </c>
    </row>
    <row r="1246" spans="1:27" ht="14.25" x14ac:dyDescent="0.2">
      <c r="A1246" s="12">
        <v>21013</v>
      </c>
      <c r="B1246" t="s">
        <v>180</v>
      </c>
      <c r="C1246" t="s">
        <v>121</v>
      </c>
      <c r="D1246" t="s">
        <v>121</v>
      </c>
      <c r="E1246" t="s">
        <v>121</v>
      </c>
      <c r="F1246" s="4" t="s">
        <v>1944</v>
      </c>
      <c r="H1246">
        <v>2</v>
      </c>
      <c r="I1246" s="1">
        <v>0</v>
      </c>
      <c r="J1246">
        <v>0</v>
      </c>
      <c r="K1246">
        <v>0</v>
      </c>
      <c r="L1246" s="20">
        <v>20180</v>
      </c>
      <c r="M1246">
        <v>1</v>
      </c>
      <c r="N1246">
        <v>0</v>
      </c>
      <c r="O1246">
        <v>0</v>
      </c>
      <c r="P1246">
        <v>0</v>
      </c>
      <c r="Q1246" s="22">
        <v>60540</v>
      </c>
      <c r="R1246">
        <v>3</v>
      </c>
      <c r="S1246" s="1">
        <v>0</v>
      </c>
      <c r="T1246">
        <v>0</v>
      </c>
      <c r="U1246">
        <v>0</v>
      </c>
      <c r="V1246" s="21">
        <v>30270</v>
      </c>
      <c r="W1246">
        <v>15</v>
      </c>
      <c r="X1246">
        <v>0</v>
      </c>
      <c r="Y1246">
        <v>0</v>
      </c>
      <c r="Z1246">
        <v>0</v>
      </c>
      <c r="AA1246">
        <v>1</v>
      </c>
    </row>
    <row r="1247" spans="1:27" ht="14.25" x14ac:dyDescent="0.2">
      <c r="A1247" s="12">
        <v>21014</v>
      </c>
      <c r="B1247" t="s">
        <v>178</v>
      </c>
      <c r="C1247" t="s">
        <v>121</v>
      </c>
      <c r="D1247" t="s">
        <v>121</v>
      </c>
      <c r="E1247" t="s">
        <v>121</v>
      </c>
      <c r="F1247" s="4" t="s">
        <v>1944</v>
      </c>
      <c r="H1247">
        <v>2</v>
      </c>
      <c r="I1247" s="1">
        <v>0</v>
      </c>
      <c r="J1247">
        <v>0</v>
      </c>
      <c r="K1247">
        <v>0</v>
      </c>
      <c r="L1247" s="20">
        <v>20180</v>
      </c>
      <c r="M1247">
        <v>1</v>
      </c>
      <c r="N1247">
        <v>0</v>
      </c>
      <c r="O1247">
        <v>0</v>
      </c>
      <c r="P1247">
        <v>0</v>
      </c>
      <c r="Q1247" s="22">
        <v>60540</v>
      </c>
      <c r="R1247">
        <v>3</v>
      </c>
      <c r="S1247" s="1">
        <v>0</v>
      </c>
      <c r="T1247">
        <v>0</v>
      </c>
      <c r="U1247">
        <v>0</v>
      </c>
      <c r="V1247" s="21">
        <v>30270</v>
      </c>
      <c r="W1247">
        <v>21</v>
      </c>
      <c r="X1247">
        <v>0</v>
      </c>
      <c r="Y1247">
        <v>0</v>
      </c>
      <c r="Z1247">
        <v>0</v>
      </c>
      <c r="AA1247">
        <v>1</v>
      </c>
    </row>
    <row r="1248" spans="1:27" ht="14.25" x14ac:dyDescent="0.2">
      <c r="A1248" s="12">
        <v>21015</v>
      </c>
      <c r="B1248" t="s">
        <v>130</v>
      </c>
      <c r="C1248" t="s">
        <v>121</v>
      </c>
      <c r="D1248" t="s">
        <v>121</v>
      </c>
      <c r="E1248" t="s">
        <v>121</v>
      </c>
      <c r="F1248" s="4" t="s">
        <v>1946</v>
      </c>
      <c r="H1248">
        <v>2</v>
      </c>
      <c r="I1248" s="1">
        <v>0</v>
      </c>
      <c r="J1248">
        <v>0</v>
      </c>
      <c r="K1248">
        <v>0</v>
      </c>
      <c r="L1248" s="20">
        <v>20180</v>
      </c>
      <c r="M1248">
        <v>1</v>
      </c>
      <c r="N1248">
        <v>0</v>
      </c>
      <c r="O1248">
        <v>0</v>
      </c>
      <c r="P1248">
        <v>0</v>
      </c>
      <c r="Q1248" s="22">
        <v>60540</v>
      </c>
      <c r="R1248">
        <v>3</v>
      </c>
      <c r="S1248" s="1">
        <v>0</v>
      </c>
      <c r="T1248">
        <v>0</v>
      </c>
      <c r="U1248">
        <v>0</v>
      </c>
      <c r="V1248" s="21">
        <v>30270</v>
      </c>
      <c r="W1248">
        <v>9</v>
      </c>
      <c r="X1248">
        <v>0</v>
      </c>
      <c r="Y1248">
        <v>0</v>
      </c>
      <c r="Z1248">
        <v>0</v>
      </c>
      <c r="AA1248">
        <v>10</v>
      </c>
    </row>
    <row r="1249" spans="1:27" ht="14.25" x14ac:dyDescent="0.2">
      <c r="A1249" s="12">
        <v>21016</v>
      </c>
      <c r="B1249" t="s">
        <v>181</v>
      </c>
      <c r="C1249" t="s">
        <v>121</v>
      </c>
      <c r="D1249" t="s">
        <v>121</v>
      </c>
      <c r="E1249" t="s">
        <v>121</v>
      </c>
      <c r="F1249" s="4" t="s">
        <v>1948</v>
      </c>
      <c r="H1249">
        <v>2</v>
      </c>
      <c r="I1249" s="1">
        <v>0</v>
      </c>
      <c r="J1249">
        <v>0</v>
      </c>
      <c r="K1249">
        <v>0</v>
      </c>
      <c r="L1249" s="20">
        <v>20240</v>
      </c>
      <c r="M1249">
        <v>1</v>
      </c>
      <c r="N1249">
        <v>0</v>
      </c>
      <c r="O1249">
        <v>0</v>
      </c>
      <c r="P1249">
        <v>0</v>
      </c>
      <c r="Q1249" s="22">
        <v>60540</v>
      </c>
      <c r="R1249">
        <v>3</v>
      </c>
      <c r="S1249" s="1">
        <v>0</v>
      </c>
      <c r="T1249">
        <v>0</v>
      </c>
      <c r="U1249">
        <v>0</v>
      </c>
      <c r="V1249" s="21">
        <v>30270</v>
      </c>
      <c r="W1249">
        <v>30</v>
      </c>
      <c r="X1249">
        <v>0</v>
      </c>
      <c r="Y1249">
        <v>0</v>
      </c>
      <c r="Z1249">
        <v>0</v>
      </c>
      <c r="AA1249">
        <v>10</v>
      </c>
    </row>
    <row r="1250" spans="1:27" ht="14.25" x14ac:dyDescent="0.2">
      <c r="A1250" s="12">
        <v>21017</v>
      </c>
      <c r="B1250" t="s">
        <v>122</v>
      </c>
      <c r="C1250" t="s">
        <v>121</v>
      </c>
      <c r="D1250" t="s">
        <v>121</v>
      </c>
      <c r="E1250" t="s">
        <v>121</v>
      </c>
      <c r="F1250" s="4" t="s">
        <v>1948</v>
      </c>
      <c r="H1250">
        <v>2</v>
      </c>
      <c r="I1250" s="1">
        <v>0</v>
      </c>
      <c r="J1250">
        <v>0</v>
      </c>
      <c r="K1250">
        <v>0</v>
      </c>
      <c r="L1250" s="20">
        <v>20240</v>
      </c>
      <c r="M1250">
        <v>1</v>
      </c>
      <c r="N1250">
        <v>0</v>
      </c>
      <c r="O1250">
        <v>0</v>
      </c>
      <c r="P1250">
        <v>0</v>
      </c>
      <c r="Q1250" s="22">
        <v>60540</v>
      </c>
      <c r="R1250">
        <v>3</v>
      </c>
      <c r="S1250" s="1">
        <v>0</v>
      </c>
      <c r="T1250">
        <v>0</v>
      </c>
      <c r="U1250">
        <v>0</v>
      </c>
      <c r="V1250" s="21">
        <v>30270</v>
      </c>
      <c r="W1250">
        <v>4</v>
      </c>
      <c r="X1250">
        <v>0</v>
      </c>
      <c r="Y1250">
        <v>0</v>
      </c>
      <c r="Z1250">
        <v>0</v>
      </c>
      <c r="AA1250">
        <v>10</v>
      </c>
    </row>
    <row r="1251" spans="1:27" ht="14.25" x14ac:dyDescent="0.2">
      <c r="A1251" s="12">
        <v>21018</v>
      </c>
      <c r="B1251" t="s">
        <v>178</v>
      </c>
      <c r="C1251" t="s">
        <v>121</v>
      </c>
      <c r="D1251" t="s">
        <v>121</v>
      </c>
      <c r="E1251" t="s">
        <v>121</v>
      </c>
      <c r="F1251" s="4" t="s">
        <v>1950</v>
      </c>
      <c r="H1251">
        <v>2</v>
      </c>
      <c r="I1251" s="1">
        <v>0</v>
      </c>
      <c r="J1251">
        <v>0</v>
      </c>
      <c r="K1251">
        <v>0</v>
      </c>
      <c r="L1251" s="20">
        <v>20240</v>
      </c>
      <c r="M1251">
        <v>1</v>
      </c>
      <c r="N1251">
        <v>0</v>
      </c>
      <c r="O1251">
        <v>0</v>
      </c>
      <c r="P1251">
        <v>0</v>
      </c>
      <c r="Q1251" s="22">
        <v>60720</v>
      </c>
      <c r="R1251">
        <v>3</v>
      </c>
      <c r="S1251" s="1">
        <v>0</v>
      </c>
      <c r="T1251">
        <v>0</v>
      </c>
      <c r="U1251">
        <v>0</v>
      </c>
      <c r="V1251" s="21">
        <v>30360</v>
      </c>
      <c r="W1251">
        <v>21</v>
      </c>
      <c r="X1251">
        <v>0</v>
      </c>
      <c r="Y1251">
        <v>0</v>
      </c>
      <c r="Z1251">
        <v>0</v>
      </c>
      <c r="AA1251">
        <v>1</v>
      </c>
    </row>
    <row r="1252" spans="1:27" ht="14.25" x14ac:dyDescent="0.2">
      <c r="A1252" s="12">
        <v>21019</v>
      </c>
      <c r="B1252" t="s">
        <v>130</v>
      </c>
      <c r="C1252" t="s">
        <v>121</v>
      </c>
      <c r="D1252" t="s">
        <v>121</v>
      </c>
      <c r="E1252" t="s">
        <v>121</v>
      </c>
      <c r="F1252" s="4" t="s">
        <v>1952</v>
      </c>
      <c r="H1252">
        <v>2</v>
      </c>
      <c r="I1252" s="1">
        <v>0</v>
      </c>
      <c r="J1252">
        <v>0</v>
      </c>
      <c r="K1252">
        <v>0</v>
      </c>
      <c r="L1252" s="20">
        <v>20240</v>
      </c>
      <c r="M1252">
        <v>1</v>
      </c>
      <c r="N1252">
        <v>0</v>
      </c>
      <c r="O1252">
        <v>0</v>
      </c>
      <c r="P1252">
        <v>0</v>
      </c>
      <c r="Q1252" s="22">
        <v>60720</v>
      </c>
      <c r="R1252">
        <v>3</v>
      </c>
      <c r="S1252" s="1">
        <v>0</v>
      </c>
      <c r="T1252">
        <v>0</v>
      </c>
      <c r="U1252">
        <v>0</v>
      </c>
      <c r="V1252" s="21">
        <v>30360</v>
      </c>
      <c r="W1252">
        <v>9</v>
      </c>
      <c r="X1252">
        <v>0</v>
      </c>
      <c r="Y1252">
        <v>0</v>
      </c>
      <c r="Z1252">
        <v>0</v>
      </c>
      <c r="AA1252">
        <v>10</v>
      </c>
    </row>
    <row r="1253" spans="1:27" ht="14.25" x14ac:dyDescent="0.2">
      <c r="A1253" s="12">
        <v>21020</v>
      </c>
      <c r="B1253" t="s">
        <v>123</v>
      </c>
      <c r="C1253" t="s">
        <v>121</v>
      </c>
      <c r="D1253" t="s">
        <v>121</v>
      </c>
      <c r="E1253" t="s">
        <v>121</v>
      </c>
      <c r="F1253" s="4" t="s">
        <v>1952</v>
      </c>
      <c r="H1253">
        <v>2</v>
      </c>
      <c r="I1253" s="1">
        <v>0</v>
      </c>
      <c r="J1253">
        <v>0</v>
      </c>
      <c r="K1253">
        <v>0</v>
      </c>
      <c r="L1253" s="20">
        <v>20240</v>
      </c>
      <c r="M1253">
        <v>1</v>
      </c>
      <c r="N1253">
        <v>0</v>
      </c>
      <c r="O1253">
        <v>0</v>
      </c>
      <c r="P1253">
        <v>0</v>
      </c>
      <c r="Q1253" s="22">
        <v>60720</v>
      </c>
      <c r="R1253">
        <v>3</v>
      </c>
      <c r="S1253" s="1">
        <v>0</v>
      </c>
      <c r="T1253">
        <v>0</v>
      </c>
      <c r="U1253">
        <v>0</v>
      </c>
      <c r="V1253" s="21">
        <v>30360</v>
      </c>
      <c r="W1253">
        <v>12</v>
      </c>
      <c r="X1253">
        <v>0</v>
      </c>
      <c r="Y1253">
        <v>0</v>
      </c>
      <c r="Z1253">
        <v>0</v>
      </c>
      <c r="AA1253">
        <v>10</v>
      </c>
    </row>
    <row r="1254" spans="1:27" ht="14.25" x14ac:dyDescent="0.2">
      <c r="A1254" s="12">
        <v>21021</v>
      </c>
      <c r="B1254" t="s">
        <v>126</v>
      </c>
      <c r="C1254" t="s">
        <v>121</v>
      </c>
      <c r="D1254" t="s">
        <v>121</v>
      </c>
      <c r="E1254" t="s">
        <v>121</v>
      </c>
      <c r="F1254" s="4" t="s">
        <v>1954</v>
      </c>
      <c r="H1254">
        <v>2</v>
      </c>
      <c r="I1254" s="1">
        <v>0</v>
      </c>
      <c r="J1254">
        <v>0</v>
      </c>
      <c r="K1254">
        <v>0</v>
      </c>
      <c r="L1254" s="20">
        <v>20300</v>
      </c>
      <c r="M1254">
        <v>1</v>
      </c>
      <c r="N1254">
        <v>0</v>
      </c>
      <c r="O1254">
        <v>0</v>
      </c>
      <c r="P1254">
        <v>0</v>
      </c>
      <c r="Q1254" s="22">
        <v>60720</v>
      </c>
      <c r="R1254">
        <v>3</v>
      </c>
      <c r="S1254" s="1">
        <v>0</v>
      </c>
      <c r="T1254">
        <v>0</v>
      </c>
      <c r="U1254">
        <v>0</v>
      </c>
      <c r="V1254" s="21">
        <v>30360</v>
      </c>
      <c r="W1254">
        <v>23</v>
      </c>
      <c r="X1254">
        <v>0</v>
      </c>
      <c r="Y1254">
        <v>0</v>
      </c>
      <c r="Z1254">
        <v>0</v>
      </c>
      <c r="AA1254">
        <v>1</v>
      </c>
    </row>
    <row r="1255" spans="1:27" ht="14.25" x14ac:dyDescent="0.2">
      <c r="A1255" s="12">
        <v>21022</v>
      </c>
      <c r="B1255" t="s">
        <v>131</v>
      </c>
      <c r="C1255" t="s">
        <v>125</v>
      </c>
      <c r="D1255" t="s">
        <v>121</v>
      </c>
      <c r="E1255" t="s">
        <v>136</v>
      </c>
      <c r="F1255" s="4" t="s">
        <v>1956</v>
      </c>
      <c r="H1255">
        <v>2</v>
      </c>
      <c r="I1255" s="1">
        <v>0</v>
      </c>
      <c r="J1255">
        <v>0</v>
      </c>
      <c r="K1255">
        <v>0</v>
      </c>
      <c r="L1255" s="20">
        <v>20300</v>
      </c>
      <c r="M1255">
        <v>1</v>
      </c>
      <c r="N1255">
        <v>0</v>
      </c>
      <c r="O1255">
        <v>0</v>
      </c>
      <c r="P1255">
        <v>0</v>
      </c>
      <c r="Q1255" s="22">
        <v>60720</v>
      </c>
      <c r="R1255">
        <v>3</v>
      </c>
      <c r="S1255" s="1">
        <v>0</v>
      </c>
      <c r="T1255">
        <v>0</v>
      </c>
      <c r="U1255">
        <v>0</v>
      </c>
      <c r="V1255" s="21">
        <v>30360</v>
      </c>
      <c r="W1255">
        <v>6</v>
      </c>
      <c r="X1255">
        <v>1</v>
      </c>
      <c r="Y1255">
        <v>0</v>
      </c>
      <c r="Z1255">
        <v>3</v>
      </c>
      <c r="AA1255">
        <v>10</v>
      </c>
    </row>
    <row r="1256" spans="1:27" ht="14.25" x14ac:dyDescent="0.2">
      <c r="A1256" s="12">
        <v>21023</v>
      </c>
      <c r="B1256" t="s">
        <v>180</v>
      </c>
      <c r="C1256" t="s">
        <v>121</v>
      </c>
      <c r="D1256" t="s">
        <v>121</v>
      </c>
      <c r="E1256" t="s">
        <v>121</v>
      </c>
      <c r="F1256" s="4" t="s">
        <v>1958</v>
      </c>
      <c r="H1256">
        <v>2</v>
      </c>
      <c r="I1256" s="1">
        <v>0</v>
      </c>
      <c r="J1256">
        <v>0</v>
      </c>
      <c r="K1256">
        <v>0</v>
      </c>
      <c r="L1256" s="20">
        <v>20300</v>
      </c>
      <c r="M1256">
        <v>1</v>
      </c>
      <c r="N1256">
        <v>0</v>
      </c>
      <c r="O1256">
        <v>0</v>
      </c>
      <c r="P1256">
        <v>0</v>
      </c>
      <c r="Q1256" s="22">
        <v>60900</v>
      </c>
      <c r="R1256">
        <v>3</v>
      </c>
      <c r="S1256" s="1">
        <v>0</v>
      </c>
      <c r="T1256">
        <v>0</v>
      </c>
      <c r="U1256">
        <v>0</v>
      </c>
      <c r="V1256" s="21">
        <v>30450</v>
      </c>
      <c r="W1256">
        <v>15</v>
      </c>
      <c r="X1256">
        <v>0</v>
      </c>
      <c r="Y1256">
        <v>0</v>
      </c>
      <c r="Z1256">
        <v>0</v>
      </c>
      <c r="AA1256">
        <v>1</v>
      </c>
    </row>
    <row r="1257" spans="1:27" ht="14.25" x14ac:dyDescent="0.2">
      <c r="A1257" s="12">
        <v>21024</v>
      </c>
      <c r="B1257" t="s">
        <v>178</v>
      </c>
      <c r="C1257" t="s">
        <v>121</v>
      </c>
      <c r="D1257" t="s">
        <v>121</v>
      </c>
      <c r="E1257" t="s">
        <v>121</v>
      </c>
      <c r="F1257" s="4" t="s">
        <v>1958</v>
      </c>
      <c r="H1257">
        <v>2</v>
      </c>
      <c r="I1257" s="1">
        <v>0</v>
      </c>
      <c r="J1257">
        <v>0</v>
      </c>
      <c r="K1257">
        <v>0</v>
      </c>
      <c r="L1257" s="20">
        <v>20300</v>
      </c>
      <c r="M1257">
        <v>1</v>
      </c>
      <c r="N1257">
        <v>0</v>
      </c>
      <c r="O1257">
        <v>0</v>
      </c>
      <c r="P1257">
        <v>0</v>
      </c>
      <c r="Q1257" s="22">
        <v>60900</v>
      </c>
      <c r="R1257">
        <v>3</v>
      </c>
      <c r="S1257" s="1">
        <v>0</v>
      </c>
      <c r="T1257">
        <v>0</v>
      </c>
      <c r="U1257">
        <v>0</v>
      </c>
      <c r="V1257" s="21">
        <v>30450</v>
      </c>
      <c r="W1257">
        <v>21</v>
      </c>
      <c r="X1257">
        <v>0</v>
      </c>
      <c r="Y1257">
        <v>0</v>
      </c>
      <c r="Z1257">
        <v>0</v>
      </c>
      <c r="AA1257">
        <v>1</v>
      </c>
    </row>
    <row r="1258" spans="1:27" ht="14.25" x14ac:dyDescent="0.2">
      <c r="A1258" s="12">
        <v>21025</v>
      </c>
      <c r="B1258" t="s">
        <v>130</v>
      </c>
      <c r="C1258" t="s">
        <v>121</v>
      </c>
      <c r="D1258" t="s">
        <v>121</v>
      </c>
      <c r="E1258" t="s">
        <v>121</v>
      </c>
      <c r="F1258" s="4" t="s">
        <v>1960</v>
      </c>
      <c r="H1258">
        <v>2</v>
      </c>
      <c r="I1258" s="1">
        <v>0</v>
      </c>
      <c r="J1258">
        <v>0</v>
      </c>
      <c r="K1258">
        <v>0</v>
      </c>
      <c r="L1258" s="20">
        <v>20300</v>
      </c>
      <c r="M1258">
        <v>1</v>
      </c>
      <c r="N1258">
        <v>0</v>
      </c>
      <c r="O1258">
        <v>0</v>
      </c>
      <c r="P1258">
        <v>0</v>
      </c>
      <c r="Q1258" s="22">
        <v>60900</v>
      </c>
      <c r="R1258">
        <v>3</v>
      </c>
      <c r="S1258" s="1">
        <v>0</v>
      </c>
      <c r="T1258">
        <v>0</v>
      </c>
      <c r="U1258">
        <v>0</v>
      </c>
      <c r="V1258" s="21">
        <v>30450</v>
      </c>
      <c r="W1258">
        <v>9</v>
      </c>
      <c r="X1258">
        <v>0</v>
      </c>
      <c r="Y1258">
        <v>0</v>
      </c>
      <c r="Z1258">
        <v>0</v>
      </c>
      <c r="AA1258">
        <v>10</v>
      </c>
    </row>
    <row r="1259" spans="1:27" ht="14.25" x14ac:dyDescent="0.2">
      <c r="A1259" s="12">
        <v>21026</v>
      </c>
      <c r="B1259" t="s">
        <v>181</v>
      </c>
      <c r="C1259" t="s">
        <v>121</v>
      </c>
      <c r="D1259" t="s">
        <v>121</v>
      </c>
      <c r="E1259" t="s">
        <v>121</v>
      </c>
      <c r="F1259" s="4" t="s">
        <v>1962</v>
      </c>
      <c r="H1259">
        <v>2</v>
      </c>
      <c r="I1259" s="1">
        <v>0</v>
      </c>
      <c r="J1259">
        <v>0</v>
      </c>
      <c r="K1259">
        <v>0</v>
      </c>
      <c r="L1259" s="20">
        <v>20360</v>
      </c>
      <c r="M1259">
        <v>1</v>
      </c>
      <c r="N1259">
        <v>0</v>
      </c>
      <c r="O1259">
        <v>0</v>
      </c>
      <c r="P1259">
        <v>0</v>
      </c>
      <c r="Q1259" s="22">
        <v>60900</v>
      </c>
      <c r="R1259">
        <v>3</v>
      </c>
      <c r="S1259" s="1">
        <v>0</v>
      </c>
      <c r="T1259">
        <v>0</v>
      </c>
      <c r="U1259">
        <v>0</v>
      </c>
      <c r="V1259" s="21">
        <v>30450</v>
      </c>
      <c r="W1259">
        <v>30</v>
      </c>
      <c r="X1259">
        <v>0</v>
      </c>
      <c r="Y1259">
        <v>0</v>
      </c>
      <c r="Z1259">
        <v>0</v>
      </c>
      <c r="AA1259">
        <v>10</v>
      </c>
    </row>
    <row r="1260" spans="1:27" ht="14.25" x14ac:dyDescent="0.2">
      <c r="A1260" s="12">
        <v>21027</v>
      </c>
      <c r="B1260" t="s">
        <v>122</v>
      </c>
      <c r="C1260" t="s">
        <v>121</v>
      </c>
      <c r="D1260" t="s">
        <v>121</v>
      </c>
      <c r="E1260" t="s">
        <v>121</v>
      </c>
      <c r="F1260" s="4" t="s">
        <v>1962</v>
      </c>
      <c r="H1260">
        <v>2</v>
      </c>
      <c r="I1260" s="1">
        <v>0</v>
      </c>
      <c r="J1260">
        <v>0</v>
      </c>
      <c r="K1260">
        <v>0</v>
      </c>
      <c r="L1260" s="20">
        <v>20360</v>
      </c>
      <c r="M1260">
        <v>1</v>
      </c>
      <c r="N1260">
        <v>0</v>
      </c>
      <c r="O1260">
        <v>0</v>
      </c>
      <c r="P1260">
        <v>0</v>
      </c>
      <c r="Q1260" s="22">
        <v>60900</v>
      </c>
      <c r="R1260">
        <v>3</v>
      </c>
      <c r="S1260" s="1">
        <v>0</v>
      </c>
      <c r="T1260">
        <v>0</v>
      </c>
      <c r="U1260">
        <v>0</v>
      </c>
      <c r="V1260" s="21">
        <v>30450</v>
      </c>
      <c r="W1260">
        <v>4</v>
      </c>
      <c r="X1260">
        <v>0</v>
      </c>
      <c r="Y1260">
        <v>0</v>
      </c>
      <c r="Z1260">
        <v>0</v>
      </c>
      <c r="AA1260">
        <v>10</v>
      </c>
    </row>
    <row r="1261" spans="1:27" ht="14.25" x14ac:dyDescent="0.2">
      <c r="A1261" s="12">
        <v>21028</v>
      </c>
      <c r="B1261" t="s">
        <v>178</v>
      </c>
      <c r="C1261" t="s">
        <v>121</v>
      </c>
      <c r="D1261" t="s">
        <v>121</v>
      </c>
      <c r="E1261" t="s">
        <v>121</v>
      </c>
      <c r="F1261" s="4" t="s">
        <v>1964</v>
      </c>
      <c r="H1261">
        <v>2</v>
      </c>
      <c r="I1261" s="1">
        <v>0</v>
      </c>
      <c r="J1261">
        <v>0</v>
      </c>
      <c r="K1261">
        <v>0</v>
      </c>
      <c r="L1261" s="20">
        <v>20360</v>
      </c>
      <c r="M1261">
        <v>1</v>
      </c>
      <c r="N1261">
        <v>0</v>
      </c>
      <c r="O1261">
        <v>0</v>
      </c>
      <c r="P1261">
        <v>0</v>
      </c>
      <c r="Q1261" s="22">
        <v>61080</v>
      </c>
      <c r="R1261">
        <v>3</v>
      </c>
      <c r="S1261" s="1">
        <v>0</v>
      </c>
      <c r="T1261">
        <v>0</v>
      </c>
      <c r="U1261">
        <v>0</v>
      </c>
      <c r="V1261" s="21">
        <v>30540</v>
      </c>
      <c r="W1261">
        <v>21</v>
      </c>
      <c r="X1261">
        <v>0</v>
      </c>
      <c r="Y1261">
        <v>0</v>
      </c>
      <c r="Z1261">
        <v>0</v>
      </c>
      <c r="AA1261">
        <v>1</v>
      </c>
    </row>
    <row r="1262" spans="1:27" ht="14.25" x14ac:dyDescent="0.2">
      <c r="A1262" s="12">
        <v>21029</v>
      </c>
      <c r="B1262" t="s">
        <v>130</v>
      </c>
      <c r="C1262" t="s">
        <v>121</v>
      </c>
      <c r="D1262" t="s">
        <v>121</v>
      </c>
      <c r="E1262" t="s">
        <v>121</v>
      </c>
      <c r="F1262" s="4" t="s">
        <v>1966</v>
      </c>
      <c r="H1262">
        <v>2</v>
      </c>
      <c r="I1262" s="1">
        <v>0</v>
      </c>
      <c r="J1262">
        <v>0</v>
      </c>
      <c r="K1262">
        <v>0</v>
      </c>
      <c r="L1262" s="20">
        <v>20360</v>
      </c>
      <c r="M1262">
        <v>1</v>
      </c>
      <c r="N1262">
        <v>0</v>
      </c>
      <c r="O1262">
        <v>0</v>
      </c>
      <c r="P1262">
        <v>0</v>
      </c>
      <c r="Q1262" s="22">
        <v>61080</v>
      </c>
      <c r="R1262">
        <v>3</v>
      </c>
      <c r="S1262" s="1">
        <v>0</v>
      </c>
      <c r="T1262">
        <v>0</v>
      </c>
      <c r="U1262">
        <v>0</v>
      </c>
      <c r="V1262" s="21">
        <v>30540</v>
      </c>
      <c r="W1262">
        <v>9</v>
      </c>
      <c r="X1262">
        <v>0</v>
      </c>
      <c r="Y1262">
        <v>0</v>
      </c>
      <c r="Z1262">
        <v>0</v>
      </c>
      <c r="AA1262">
        <v>10</v>
      </c>
    </row>
    <row r="1263" spans="1:27" ht="14.25" x14ac:dyDescent="0.2">
      <c r="A1263" s="12">
        <v>21030</v>
      </c>
      <c r="B1263" t="s">
        <v>123</v>
      </c>
      <c r="C1263" t="s">
        <v>121</v>
      </c>
      <c r="D1263" t="s">
        <v>121</v>
      </c>
      <c r="E1263" t="s">
        <v>121</v>
      </c>
      <c r="F1263" s="4" t="s">
        <v>1966</v>
      </c>
      <c r="H1263">
        <v>2</v>
      </c>
      <c r="I1263" s="1">
        <v>0</v>
      </c>
      <c r="J1263">
        <v>0</v>
      </c>
      <c r="K1263">
        <v>0</v>
      </c>
      <c r="L1263" s="20">
        <v>20360</v>
      </c>
      <c r="M1263">
        <v>1</v>
      </c>
      <c r="N1263">
        <v>0</v>
      </c>
      <c r="O1263">
        <v>0</v>
      </c>
      <c r="P1263">
        <v>0</v>
      </c>
      <c r="Q1263" s="22">
        <v>61080</v>
      </c>
      <c r="R1263">
        <v>3</v>
      </c>
      <c r="S1263" s="1">
        <v>0</v>
      </c>
      <c r="T1263">
        <v>0</v>
      </c>
      <c r="U1263">
        <v>0</v>
      </c>
      <c r="V1263" s="21">
        <v>30540</v>
      </c>
      <c r="W1263">
        <v>12</v>
      </c>
      <c r="X1263">
        <v>0</v>
      </c>
      <c r="Y1263">
        <v>0</v>
      </c>
      <c r="Z1263">
        <v>0</v>
      </c>
      <c r="AA1263">
        <v>10</v>
      </c>
    </row>
    <row r="1264" spans="1:27" ht="14.25" x14ac:dyDescent="0.2">
      <c r="A1264" s="12">
        <v>21031</v>
      </c>
      <c r="B1264" t="s">
        <v>126</v>
      </c>
      <c r="C1264" t="s">
        <v>121</v>
      </c>
      <c r="D1264" t="s">
        <v>121</v>
      </c>
      <c r="E1264" t="s">
        <v>121</v>
      </c>
      <c r="F1264" s="4" t="s">
        <v>1968</v>
      </c>
      <c r="H1264">
        <v>2</v>
      </c>
      <c r="I1264" s="1">
        <v>0</v>
      </c>
      <c r="J1264">
        <v>0</v>
      </c>
      <c r="K1264">
        <v>0</v>
      </c>
      <c r="L1264" s="20">
        <v>20420</v>
      </c>
      <c r="M1264">
        <v>1</v>
      </c>
      <c r="N1264">
        <v>0</v>
      </c>
      <c r="O1264">
        <v>0</v>
      </c>
      <c r="P1264">
        <v>0</v>
      </c>
      <c r="Q1264" s="22">
        <v>61080</v>
      </c>
      <c r="R1264">
        <v>3</v>
      </c>
      <c r="S1264" s="1">
        <v>0</v>
      </c>
      <c r="T1264">
        <v>0</v>
      </c>
      <c r="U1264">
        <v>0</v>
      </c>
      <c r="V1264" s="21">
        <v>30540</v>
      </c>
      <c r="W1264">
        <v>23</v>
      </c>
      <c r="X1264">
        <v>0</v>
      </c>
      <c r="Y1264">
        <v>0</v>
      </c>
      <c r="Z1264">
        <v>0</v>
      </c>
      <c r="AA1264">
        <v>1</v>
      </c>
    </row>
    <row r="1265" spans="1:27" ht="14.25" x14ac:dyDescent="0.2">
      <c r="A1265" s="12">
        <v>21032</v>
      </c>
      <c r="B1265" t="s">
        <v>131</v>
      </c>
      <c r="C1265" t="s">
        <v>125</v>
      </c>
      <c r="D1265" t="s">
        <v>121</v>
      </c>
      <c r="E1265" t="s">
        <v>136</v>
      </c>
      <c r="F1265" s="4" t="s">
        <v>1970</v>
      </c>
      <c r="H1265">
        <v>2</v>
      </c>
      <c r="I1265" s="1">
        <v>0</v>
      </c>
      <c r="J1265">
        <v>0</v>
      </c>
      <c r="K1265">
        <v>0</v>
      </c>
      <c r="L1265" s="20">
        <v>20420</v>
      </c>
      <c r="M1265">
        <v>1</v>
      </c>
      <c r="N1265">
        <v>0</v>
      </c>
      <c r="O1265">
        <v>0</v>
      </c>
      <c r="P1265">
        <v>0</v>
      </c>
      <c r="Q1265" s="22">
        <v>61080</v>
      </c>
      <c r="R1265">
        <v>3</v>
      </c>
      <c r="S1265" s="1">
        <v>0</v>
      </c>
      <c r="T1265">
        <v>0</v>
      </c>
      <c r="U1265">
        <v>0</v>
      </c>
      <c r="V1265" s="21">
        <v>30540</v>
      </c>
      <c r="W1265">
        <v>6</v>
      </c>
      <c r="X1265">
        <v>1</v>
      </c>
      <c r="Y1265">
        <v>0</v>
      </c>
      <c r="Z1265">
        <v>3</v>
      </c>
      <c r="AA1265">
        <v>10</v>
      </c>
    </row>
    <row r="1266" spans="1:27" ht="14.25" x14ac:dyDescent="0.2">
      <c r="A1266" s="12">
        <v>21033</v>
      </c>
      <c r="B1266" t="s">
        <v>180</v>
      </c>
      <c r="C1266" t="s">
        <v>121</v>
      </c>
      <c r="D1266" t="s">
        <v>121</v>
      </c>
      <c r="E1266" t="s">
        <v>121</v>
      </c>
      <c r="F1266" s="4" t="s">
        <v>1972</v>
      </c>
      <c r="H1266">
        <v>2</v>
      </c>
      <c r="I1266" s="1">
        <v>0</v>
      </c>
      <c r="J1266">
        <v>0</v>
      </c>
      <c r="K1266">
        <v>0</v>
      </c>
      <c r="L1266" s="20">
        <v>20420</v>
      </c>
      <c r="M1266">
        <v>1</v>
      </c>
      <c r="N1266">
        <v>0</v>
      </c>
      <c r="O1266">
        <v>0</v>
      </c>
      <c r="P1266">
        <v>0</v>
      </c>
      <c r="Q1266" s="22">
        <v>61260</v>
      </c>
      <c r="R1266">
        <v>3</v>
      </c>
      <c r="S1266" s="1">
        <v>0</v>
      </c>
      <c r="T1266">
        <v>0</v>
      </c>
      <c r="U1266">
        <v>0</v>
      </c>
      <c r="V1266" s="21">
        <v>30630</v>
      </c>
      <c r="W1266">
        <v>15</v>
      </c>
      <c r="X1266">
        <v>0</v>
      </c>
      <c r="Y1266">
        <v>0</v>
      </c>
      <c r="Z1266">
        <v>0</v>
      </c>
      <c r="AA1266">
        <v>1</v>
      </c>
    </row>
    <row r="1267" spans="1:27" ht="14.25" x14ac:dyDescent="0.2">
      <c r="A1267" s="12">
        <v>21034</v>
      </c>
      <c r="B1267" t="s">
        <v>178</v>
      </c>
      <c r="C1267" t="s">
        <v>121</v>
      </c>
      <c r="D1267" t="s">
        <v>121</v>
      </c>
      <c r="E1267" t="s">
        <v>121</v>
      </c>
      <c r="F1267" s="4" t="s">
        <v>1972</v>
      </c>
      <c r="H1267">
        <v>2</v>
      </c>
      <c r="I1267" s="1">
        <v>0</v>
      </c>
      <c r="J1267">
        <v>0</v>
      </c>
      <c r="K1267">
        <v>0</v>
      </c>
      <c r="L1267" s="20">
        <v>20420</v>
      </c>
      <c r="M1267">
        <v>1</v>
      </c>
      <c r="N1267">
        <v>0</v>
      </c>
      <c r="O1267">
        <v>0</v>
      </c>
      <c r="P1267">
        <v>0</v>
      </c>
      <c r="Q1267" s="22">
        <v>61260</v>
      </c>
      <c r="R1267">
        <v>3</v>
      </c>
      <c r="S1267" s="1">
        <v>0</v>
      </c>
      <c r="T1267">
        <v>0</v>
      </c>
      <c r="U1267">
        <v>0</v>
      </c>
      <c r="V1267" s="21">
        <v>30630</v>
      </c>
      <c r="W1267">
        <v>21</v>
      </c>
      <c r="X1267">
        <v>0</v>
      </c>
      <c r="Y1267">
        <v>0</v>
      </c>
      <c r="Z1267">
        <v>0</v>
      </c>
      <c r="AA1267">
        <v>1</v>
      </c>
    </row>
    <row r="1268" spans="1:27" ht="14.25" x14ac:dyDescent="0.2">
      <c r="A1268" s="12">
        <v>21035</v>
      </c>
      <c r="B1268" t="s">
        <v>130</v>
      </c>
      <c r="C1268" t="s">
        <v>121</v>
      </c>
      <c r="D1268" t="s">
        <v>121</v>
      </c>
      <c r="E1268" t="s">
        <v>121</v>
      </c>
      <c r="F1268" s="4" t="s">
        <v>1974</v>
      </c>
      <c r="H1268">
        <v>2</v>
      </c>
      <c r="I1268" s="1">
        <v>0</v>
      </c>
      <c r="J1268">
        <v>0</v>
      </c>
      <c r="K1268">
        <v>0</v>
      </c>
      <c r="L1268" s="20">
        <v>20420</v>
      </c>
      <c r="M1268">
        <v>1</v>
      </c>
      <c r="N1268">
        <v>0</v>
      </c>
      <c r="O1268">
        <v>0</v>
      </c>
      <c r="P1268">
        <v>0</v>
      </c>
      <c r="Q1268" s="22">
        <v>61260</v>
      </c>
      <c r="R1268">
        <v>3</v>
      </c>
      <c r="S1268" s="1">
        <v>0</v>
      </c>
      <c r="T1268">
        <v>0</v>
      </c>
      <c r="U1268">
        <v>0</v>
      </c>
      <c r="V1268" s="21">
        <v>30630</v>
      </c>
      <c r="W1268">
        <v>9</v>
      </c>
      <c r="X1268">
        <v>0</v>
      </c>
      <c r="Y1268">
        <v>0</v>
      </c>
      <c r="Z1268">
        <v>0</v>
      </c>
      <c r="AA1268">
        <v>10</v>
      </c>
    </row>
    <row r="1269" spans="1:27" ht="14.25" x14ac:dyDescent="0.2">
      <c r="A1269" s="12">
        <v>21036</v>
      </c>
      <c r="B1269" t="s">
        <v>181</v>
      </c>
      <c r="C1269" t="s">
        <v>121</v>
      </c>
      <c r="D1269" t="s">
        <v>121</v>
      </c>
      <c r="E1269" t="s">
        <v>121</v>
      </c>
      <c r="F1269" s="4" t="s">
        <v>1976</v>
      </c>
      <c r="H1269">
        <v>2</v>
      </c>
      <c r="I1269" s="1">
        <v>0</v>
      </c>
      <c r="J1269">
        <v>0</v>
      </c>
      <c r="K1269">
        <v>0</v>
      </c>
      <c r="L1269" s="20">
        <v>20480</v>
      </c>
      <c r="M1269">
        <v>1</v>
      </c>
      <c r="N1269">
        <v>0</v>
      </c>
      <c r="O1269">
        <v>0</v>
      </c>
      <c r="P1269">
        <v>0</v>
      </c>
      <c r="Q1269" s="22">
        <v>61260</v>
      </c>
      <c r="R1269">
        <v>3</v>
      </c>
      <c r="S1269" s="1">
        <v>0</v>
      </c>
      <c r="T1269">
        <v>0</v>
      </c>
      <c r="U1269">
        <v>0</v>
      </c>
      <c r="V1269" s="21">
        <v>30630</v>
      </c>
      <c r="W1269">
        <v>30</v>
      </c>
      <c r="X1269">
        <v>0</v>
      </c>
      <c r="Y1269">
        <v>0</v>
      </c>
      <c r="Z1269">
        <v>0</v>
      </c>
      <c r="AA1269">
        <v>10</v>
      </c>
    </row>
    <row r="1270" spans="1:27" ht="14.25" x14ac:dyDescent="0.2">
      <c r="A1270" s="12">
        <v>21037</v>
      </c>
      <c r="B1270" t="s">
        <v>122</v>
      </c>
      <c r="C1270" t="s">
        <v>121</v>
      </c>
      <c r="D1270" t="s">
        <v>121</v>
      </c>
      <c r="E1270" t="s">
        <v>121</v>
      </c>
      <c r="F1270" s="4" t="s">
        <v>1976</v>
      </c>
      <c r="H1270">
        <v>2</v>
      </c>
      <c r="I1270" s="1">
        <v>0</v>
      </c>
      <c r="J1270">
        <v>0</v>
      </c>
      <c r="K1270">
        <v>0</v>
      </c>
      <c r="L1270" s="20">
        <v>20480</v>
      </c>
      <c r="M1270">
        <v>1</v>
      </c>
      <c r="N1270">
        <v>0</v>
      </c>
      <c r="O1270">
        <v>0</v>
      </c>
      <c r="P1270">
        <v>0</v>
      </c>
      <c r="Q1270" s="22">
        <v>61260</v>
      </c>
      <c r="R1270">
        <v>3</v>
      </c>
      <c r="S1270" s="1">
        <v>0</v>
      </c>
      <c r="T1270">
        <v>0</v>
      </c>
      <c r="U1270">
        <v>0</v>
      </c>
      <c r="V1270" s="21">
        <v>30630</v>
      </c>
      <c r="W1270">
        <v>4</v>
      </c>
      <c r="X1270">
        <v>0</v>
      </c>
      <c r="Y1270">
        <v>0</v>
      </c>
      <c r="Z1270">
        <v>0</v>
      </c>
      <c r="AA1270">
        <v>10</v>
      </c>
    </row>
    <row r="1271" spans="1:27" ht="14.25" x14ac:dyDescent="0.2">
      <c r="A1271" s="12">
        <v>21038</v>
      </c>
      <c r="B1271" t="s">
        <v>178</v>
      </c>
      <c r="C1271" t="s">
        <v>121</v>
      </c>
      <c r="D1271" t="s">
        <v>121</v>
      </c>
      <c r="E1271" t="s">
        <v>121</v>
      </c>
      <c r="F1271" s="4" t="s">
        <v>1978</v>
      </c>
      <c r="H1271">
        <v>2</v>
      </c>
      <c r="I1271" s="1">
        <v>0</v>
      </c>
      <c r="J1271">
        <v>0</v>
      </c>
      <c r="K1271">
        <v>0</v>
      </c>
      <c r="L1271" s="20">
        <v>20480</v>
      </c>
      <c r="M1271">
        <v>1</v>
      </c>
      <c r="N1271">
        <v>0</v>
      </c>
      <c r="O1271">
        <v>0</v>
      </c>
      <c r="P1271">
        <v>0</v>
      </c>
      <c r="Q1271" s="22">
        <v>61440</v>
      </c>
      <c r="R1271">
        <v>3</v>
      </c>
      <c r="S1271" s="1">
        <v>0</v>
      </c>
      <c r="T1271">
        <v>0</v>
      </c>
      <c r="U1271">
        <v>0</v>
      </c>
      <c r="V1271" s="21">
        <v>30720</v>
      </c>
      <c r="W1271">
        <v>21</v>
      </c>
      <c r="X1271">
        <v>0</v>
      </c>
      <c r="Y1271">
        <v>0</v>
      </c>
      <c r="Z1271">
        <v>0</v>
      </c>
      <c r="AA1271">
        <v>1</v>
      </c>
    </row>
    <row r="1272" spans="1:27" ht="14.25" x14ac:dyDescent="0.2">
      <c r="A1272" s="12">
        <v>21039</v>
      </c>
      <c r="B1272" t="s">
        <v>130</v>
      </c>
      <c r="C1272" t="s">
        <v>121</v>
      </c>
      <c r="D1272" t="s">
        <v>121</v>
      </c>
      <c r="E1272" t="s">
        <v>121</v>
      </c>
      <c r="F1272" s="4" t="s">
        <v>1980</v>
      </c>
      <c r="H1272">
        <v>2</v>
      </c>
      <c r="I1272" s="1">
        <v>0</v>
      </c>
      <c r="J1272">
        <v>0</v>
      </c>
      <c r="K1272">
        <v>0</v>
      </c>
      <c r="L1272" s="20">
        <v>20480</v>
      </c>
      <c r="M1272">
        <v>1</v>
      </c>
      <c r="N1272">
        <v>0</v>
      </c>
      <c r="O1272">
        <v>0</v>
      </c>
      <c r="P1272">
        <v>0</v>
      </c>
      <c r="Q1272" s="22">
        <v>61440</v>
      </c>
      <c r="R1272">
        <v>3</v>
      </c>
      <c r="S1272" s="1">
        <v>0</v>
      </c>
      <c r="T1272">
        <v>0</v>
      </c>
      <c r="U1272">
        <v>0</v>
      </c>
      <c r="V1272" s="21">
        <v>30720</v>
      </c>
      <c r="W1272">
        <v>9</v>
      </c>
      <c r="X1272">
        <v>0</v>
      </c>
      <c r="Y1272">
        <v>0</v>
      </c>
      <c r="Z1272">
        <v>0</v>
      </c>
      <c r="AA1272">
        <v>10</v>
      </c>
    </row>
    <row r="1273" spans="1:27" ht="14.25" x14ac:dyDescent="0.2">
      <c r="A1273" s="12">
        <v>21040</v>
      </c>
      <c r="B1273" t="s">
        <v>123</v>
      </c>
      <c r="C1273" t="s">
        <v>121</v>
      </c>
      <c r="D1273" t="s">
        <v>121</v>
      </c>
      <c r="E1273" t="s">
        <v>121</v>
      </c>
      <c r="F1273" s="4" t="s">
        <v>1980</v>
      </c>
      <c r="H1273">
        <v>2</v>
      </c>
      <c r="I1273" s="1">
        <v>0</v>
      </c>
      <c r="J1273">
        <v>0</v>
      </c>
      <c r="K1273">
        <v>0</v>
      </c>
      <c r="L1273" s="20">
        <v>20480</v>
      </c>
      <c r="M1273">
        <v>1</v>
      </c>
      <c r="N1273">
        <v>0</v>
      </c>
      <c r="O1273">
        <v>0</v>
      </c>
      <c r="P1273">
        <v>0</v>
      </c>
      <c r="Q1273" s="22">
        <v>61440</v>
      </c>
      <c r="R1273">
        <v>3</v>
      </c>
      <c r="S1273" s="1">
        <v>0</v>
      </c>
      <c r="T1273">
        <v>0</v>
      </c>
      <c r="U1273">
        <v>0</v>
      </c>
      <c r="V1273" s="21">
        <v>30720</v>
      </c>
      <c r="W1273">
        <v>12</v>
      </c>
      <c r="X1273">
        <v>0</v>
      </c>
      <c r="Y1273">
        <v>0</v>
      </c>
      <c r="Z1273">
        <v>0</v>
      </c>
      <c r="AA1273">
        <v>10</v>
      </c>
    </row>
    <row r="1274" spans="1:27" ht="14.25" x14ac:dyDescent="0.2">
      <c r="A1274" s="12">
        <v>21041</v>
      </c>
      <c r="B1274" t="s">
        <v>126</v>
      </c>
      <c r="C1274" t="s">
        <v>121</v>
      </c>
      <c r="D1274" t="s">
        <v>121</v>
      </c>
      <c r="E1274" t="s">
        <v>121</v>
      </c>
      <c r="F1274" s="4" t="s">
        <v>1982</v>
      </c>
      <c r="H1274">
        <v>2</v>
      </c>
      <c r="I1274" s="1">
        <v>0</v>
      </c>
      <c r="J1274">
        <v>0</v>
      </c>
      <c r="K1274">
        <v>0</v>
      </c>
      <c r="L1274" s="20">
        <v>20540</v>
      </c>
      <c r="M1274">
        <v>1</v>
      </c>
      <c r="N1274">
        <v>0</v>
      </c>
      <c r="O1274">
        <v>0</v>
      </c>
      <c r="P1274">
        <v>0</v>
      </c>
      <c r="Q1274" s="22">
        <v>61440</v>
      </c>
      <c r="R1274">
        <v>3</v>
      </c>
      <c r="S1274" s="1">
        <v>0</v>
      </c>
      <c r="T1274">
        <v>0</v>
      </c>
      <c r="U1274">
        <v>0</v>
      </c>
      <c r="V1274" s="21">
        <v>30720</v>
      </c>
      <c r="W1274">
        <v>23</v>
      </c>
      <c r="X1274">
        <v>0</v>
      </c>
      <c r="Y1274">
        <v>0</v>
      </c>
      <c r="Z1274">
        <v>0</v>
      </c>
      <c r="AA1274">
        <v>1</v>
      </c>
    </row>
    <row r="1275" spans="1:27" ht="14.25" x14ac:dyDescent="0.2">
      <c r="A1275" s="12">
        <v>21042</v>
      </c>
      <c r="B1275" t="s">
        <v>131</v>
      </c>
      <c r="C1275" t="s">
        <v>125</v>
      </c>
      <c r="D1275" t="s">
        <v>121</v>
      </c>
      <c r="E1275" t="s">
        <v>136</v>
      </c>
      <c r="F1275" s="4" t="s">
        <v>1984</v>
      </c>
      <c r="H1275">
        <v>2</v>
      </c>
      <c r="I1275" s="1">
        <v>0</v>
      </c>
      <c r="J1275">
        <v>0</v>
      </c>
      <c r="K1275">
        <v>0</v>
      </c>
      <c r="L1275" s="20">
        <v>20540</v>
      </c>
      <c r="M1275">
        <v>1</v>
      </c>
      <c r="N1275">
        <v>0</v>
      </c>
      <c r="O1275">
        <v>0</v>
      </c>
      <c r="P1275">
        <v>0</v>
      </c>
      <c r="Q1275" s="22">
        <v>61440</v>
      </c>
      <c r="R1275">
        <v>3</v>
      </c>
      <c r="S1275" s="1">
        <v>0</v>
      </c>
      <c r="T1275">
        <v>0</v>
      </c>
      <c r="U1275">
        <v>0</v>
      </c>
      <c r="V1275" s="21">
        <v>30720</v>
      </c>
      <c r="W1275">
        <v>6</v>
      </c>
      <c r="X1275">
        <v>1</v>
      </c>
      <c r="Y1275">
        <v>0</v>
      </c>
      <c r="Z1275">
        <v>3</v>
      </c>
      <c r="AA1275">
        <v>10</v>
      </c>
    </row>
    <row r="1276" spans="1:27" ht="14.25" x14ac:dyDescent="0.2">
      <c r="A1276" s="12">
        <v>21043</v>
      </c>
      <c r="B1276" t="s">
        <v>180</v>
      </c>
      <c r="C1276" t="s">
        <v>121</v>
      </c>
      <c r="D1276" t="s">
        <v>121</v>
      </c>
      <c r="E1276" t="s">
        <v>121</v>
      </c>
      <c r="F1276" s="4" t="s">
        <v>1986</v>
      </c>
      <c r="H1276">
        <v>2</v>
      </c>
      <c r="I1276" s="1">
        <v>0</v>
      </c>
      <c r="J1276">
        <v>0</v>
      </c>
      <c r="K1276">
        <v>0</v>
      </c>
      <c r="L1276" s="20">
        <v>20540</v>
      </c>
      <c r="M1276">
        <v>1</v>
      </c>
      <c r="N1276">
        <v>0</v>
      </c>
      <c r="O1276">
        <v>0</v>
      </c>
      <c r="P1276">
        <v>0</v>
      </c>
      <c r="Q1276" s="22">
        <v>61620</v>
      </c>
      <c r="R1276">
        <v>3</v>
      </c>
      <c r="S1276" s="1">
        <v>0</v>
      </c>
      <c r="T1276">
        <v>0</v>
      </c>
      <c r="U1276">
        <v>0</v>
      </c>
      <c r="V1276" s="21">
        <v>30810</v>
      </c>
      <c r="W1276">
        <v>15</v>
      </c>
      <c r="X1276">
        <v>0</v>
      </c>
      <c r="Y1276">
        <v>0</v>
      </c>
      <c r="Z1276">
        <v>0</v>
      </c>
      <c r="AA1276">
        <v>1</v>
      </c>
    </row>
    <row r="1277" spans="1:27" ht="14.25" x14ac:dyDescent="0.2">
      <c r="A1277" s="12">
        <v>21044</v>
      </c>
      <c r="B1277" t="s">
        <v>178</v>
      </c>
      <c r="C1277" t="s">
        <v>121</v>
      </c>
      <c r="D1277" t="s">
        <v>121</v>
      </c>
      <c r="E1277" t="s">
        <v>121</v>
      </c>
      <c r="F1277" s="4" t="s">
        <v>1986</v>
      </c>
      <c r="H1277">
        <v>2</v>
      </c>
      <c r="I1277" s="1">
        <v>0</v>
      </c>
      <c r="J1277">
        <v>0</v>
      </c>
      <c r="K1277">
        <v>0</v>
      </c>
      <c r="L1277" s="20">
        <v>20540</v>
      </c>
      <c r="M1277">
        <v>1</v>
      </c>
      <c r="N1277">
        <v>0</v>
      </c>
      <c r="O1277">
        <v>0</v>
      </c>
      <c r="P1277">
        <v>0</v>
      </c>
      <c r="Q1277" s="22">
        <v>61620</v>
      </c>
      <c r="R1277">
        <v>3</v>
      </c>
      <c r="S1277" s="1">
        <v>0</v>
      </c>
      <c r="T1277">
        <v>0</v>
      </c>
      <c r="U1277">
        <v>0</v>
      </c>
      <c r="V1277" s="21">
        <v>30810</v>
      </c>
      <c r="W1277">
        <v>21</v>
      </c>
      <c r="X1277">
        <v>0</v>
      </c>
      <c r="Y1277">
        <v>0</v>
      </c>
      <c r="Z1277">
        <v>0</v>
      </c>
      <c r="AA1277">
        <v>1</v>
      </c>
    </row>
    <row r="1278" spans="1:27" ht="14.25" x14ac:dyDescent="0.2">
      <c r="A1278" s="12">
        <v>21045</v>
      </c>
      <c r="B1278" t="s">
        <v>130</v>
      </c>
      <c r="C1278" t="s">
        <v>121</v>
      </c>
      <c r="D1278" t="s">
        <v>121</v>
      </c>
      <c r="E1278" t="s">
        <v>121</v>
      </c>
      <c r="F1278" s="4" t="s">
        <v>1988</v>
      </c>
      <c r="H1278">
        <v>2</v>
      </c>
      <c r="I1278" s="1">
        <v>0</v>
      </c>
      <c r="J1278">
        <v>0</v>
      </c>
      <c r="K1278">
        <v>0</v>
      </c>
      <c r="L1278" s="20">
        <v>20540</v>
      </c>
      <c r="M1278">
        <v>1</v>
      </c>
      <c r="N1278">
        <v>0</v>
      </c>
      <c r="O1278">
        <v>0</v>
      </c>
      <c r="P1278">
        <v>0</v>
      </c>
      <c r="Q1278" s="22">
        <v>61620</v>
      </c>
      <c r="R1278">
        <v>3</v>
      </c>
      <c r="S1278" s="1">
        <v>0</v>
      </c>
      <c r="T1278">
        <v>0</v>
      </c>
      <c r="U1278">
        <v>0</v>
      </c>
      <c r="V1278" s="21">
        <v>30810</v>
      </c>
      <c r="W1278">
        <v>9</v>
      </c>
      <c r="X1278">
        <v>0</v>
      </c>
      <c r="Y1278">
        <v>0</v>
      </c>
      <c r="Z1278">
        <v>0</v>
      </c>
      <c r="AA1278">
        <v>10</v>
      </c>
    </row>
    <row r="1279" spans="1:27" ht="14.25" x14ac:dyDescent="0.2">
      <c r="A1279" s="12">
        <v>21046</v>
      </c>
      <c r="B1279" t="s">
        <v>181</v>
      </c>
      <c r="C1279" t="s">
        <v>121</v>
      </c>
      <c r="D1279" t="s">
        <v>121</v>
      </c>
      <c r="E1279" t="s">
        <v>121</v>
      </c>
      <c r="F1279" s="4" t="s">
        <v>1990</v>
      </c>
      <c r="H1279">
        <v>2</v>
      </c>
      <c r="I1279" s="1">
        <v>0</v>
      </c>
      <c r="J1279">
        <v>0</v>
      </c>
      <c r="K1279">
        <v>0</v>
      </c>
      <c r="L1279" s="20">
        <v>20600</v>
      </c>
      <c r="M1279">
        <v>1</v>
      </c>
      <c r="N1279">
        <v>0</v>
      </c>
      <c r="O1279">
        <v>0</v>
      </c>
      <c r="P1279">
        <v>0</v>
      </c>
      <c r="Q1279" s="22">
        <v>61620</v>
      </c>
      <c r="R1279">
        <v>3</v>
      </c>
      <c r="S1279" s="1">
        <v>0</v>
      </c>
      <c r="T1279">
        <v>0</v>
      </c>
      <c r="U1279">
        <v>0</v>
      </c>
      <c r="V1279" s="21">
        <v>30810</v>
      </c>
      <c r="W1279">
        <v>30</v>
      </c>
      <c r="X1279">
        <v>0</v>
      </c>
      <c r="Y1279">
        <v>0</v>
      </c>
      <c r="Z1279">
        <v>0</v>
      </c>
      <c r="AA1279">
        <v>10</v>
      </c>
    </row>
    <row r="1280" spans="1:27" ht="14.25" x14ac:dyDescent="0.2">
      <c r="A1280" s="12">
        <v>21047</v>
      </c>
      <c r="B1280" t="s">
        <v>122</v>
      </c>
      <c r="C1280" t="s">
        <v>121</v>
      </c>
      <c r="D1280" t="s">
        <v>121</v>
      </c>
      <c r="E1280" t="s">
        <v>121</v>
      </c>
      <c r="F1280" s="4" t="s">
        <v>1990</v>
      </c>
      <c r="H1280">
        <v>2</v>
      </c>
      <c r="I1280" s="1">
        <v>0</v>
      </c>
      <c r="J1280">
        <v>0</v>
      </c>
      <c r="K1280">
        <v>0</v>
      </c>
      <c r="L1280" s="20">
        <v>20600</v>
      </c>
      <c r="M1280">
        <v>1</v>
      </c>
      <c r="N1280">
        <v>0</v>
      </c>
      <c r="O1280">
        <v>0</v>
      </c>
      <c r="P1280">
        <v>0</v>
      </c>
      <c r="Q1280" s="22">
        <v>61620</v>
      </c>
      <c r="R1280">
        <v>3</v>
      </c>
      <c r="S1280" s="1">
        <v>0</v>
      </c>
      <c r="T1280">
        <v>0</v>
      </c>
      <c r="U1280">
        <v>0</v>
      </c>
      <c r="V1280" s="21">
        <v>30810</v>
      </c>
      <c r="W1280">
        <v>4</v>
      </c>
      <c r="X1280">
        <v>0</v>
      </c>
      <c r="Y1280">
        <v>0</v>
      </c>
      <c r="Z1280">
        <v>0</v>
      </c>
      <c r="AA1280">
        <v>10</v>
      </c>
    </row>
    <row r="1281" spans="1:27" ht="14.25" x14ac:dyDescent="0.2">
      <c r="A1281" s="12">
        <v>21048</v>
      </c>
      <c r="B1281" t="s">
        <v>178</v>
      </c>
      <c r="C1281" t="s">
        <v>121</v>
      </c>
      <c r="D1281" t="s">
        <v>121</v>
      </c>
      <c r="E1281" t="s">
        <v>121</v>
      </c>
      <c r="F1281" s="4" t="s">
        <v>1992</v>
      </c>
      <c r="H1281">
        <v>2</v>
      </c>
      <c r="I1281" s="1">
        <v>0</v>
      </c>
      <c r="J1281">
        <v>0</v>
      </c>
      <c r="K1281">
        <v>0</v>
      </c>
      <c r="L1281" s="20">
        <v>20600</v>
      </c>
      <c r="M1281">
        <v>1</v>
      </c>
      <c r="N1281">
        <v>0</v>
      </c>
      <c r="O1281">
        <v>0</v>
      </c>
      <c r="P1281">
        <v>0</v>
      </c>
      <c r="Q1281" s="22">
        <v>61800</v>
      </c>
      <c r="R1281">
        <v>3</v>
      </c>
      <c r="S1281" s="1">
        <v>0</v>
      </c>
      <c r="T1281">
        <v>0</v>
      </c>
      <c r="U1281">
        <v>0</v>
      </c>
      <c r="V1281" s="21">
        <v>30900</v>
      </c>
      <c r="W1281">
        <v>21</v>
      </c>
      <c r="X1281">
        <v>0</v>
      </c>
      <c r="Y1281">
        <v>0</v>
      </c>
      <c r="Z1281">
        <v>0</v>
      </c>
      <c r="AA1281">
        <v>1</v>
      </c>
    </row>
    <row r="1282" spans="1:27" ht="14.25" x14ac:dyDescent="0.2">
      <c r="A1282" s="12">
        <v>21049</v>
      </c>
      <c r="B1282" t="s">
        <v>130</v>
      </c>
      <c r="C1282" t="s">
        <v>121</v>
      </c>
      <c r="D1282" t="s">
        <v>121</v>
      </c>
      <c r="E1282" t="s">
        <v>121</v>
      </c>
      <c r="F1282" s="4" t="s">
        <v>1994</v>
      </c>
      <c r="H1282">
        <v>2</v>
      </c>
      <c r="I1282" s="1">
        <v>0</v>
      </c>
      <c r="J1282">
        <v>0</v>
      </c>
      <c r="K1282">
        <v>0</v>
      </c>
      <c r="L1282" s="20">
        <v>20600</v>
      </c>
      <c r="M1282">
        <v>1</v>
      </c>
      <c r="N1282">
        <v>0</v>
      </c>
      <c r="O1282">
        <v>0</v>
      </c>
      <c r="P1282">
        <v>0</v>
      </c>
      <c r="Q1282" s="22">
        <v>61800</v>
      </c>
      <c r="R1282">
        <v>3</v>
      </c>
      <c r="S1282" s="1">
        <v>0</v>
      </c>
      <c r="T1282">
        <v>0</v>
      </c>
      <c r="U1282">
        <v>0</v>
      </c>
      <c r="V1282" s="21">
        <v>30900</v>
      </c>
      <c r="W1282">
        <v>9</v>
      </c>
      <c r="X1282">
        <v>0</v>
      </c>
      <c r="Y1282">
        <v>0</v>
      </c>
      <c r="Z1282">
        <v>0</v>
      </c>
      <c r="AA1282">
        <v>10</v>
      </c>
    </row>
    <row r="1283" spans="1:27" ht="14.25" x14ac:dyDescent="0.2">
      <c r="A1283" s="12">
        <v>21050</v>
      </c>
      <c r="B1283" t="s">
        <v>123</v>
      </c>
      <c r="C1283" t="s">
        <v>121</v>
      </c>
      <c r="D1283" t="s">
        <v>121</v>
      </c>
      <c r="E1283" t="s">
        <v>121</v>
      </c>
      <c r="F1283" s="4" t="s">
        <v>1994</v>
      </c>
      <c r="H1283">
        <v>2</v>
      </c>
      <c r="I1283" s="1">
        <v>0</v>
      </c>
      <c r="J1283">
        <v>0</v>
      </c>
      <c r="K1283">
        <v>0</v>
      </c>
      <c r="L1283" s="20">
        <v>20600</v>
      </c>
      <c r="M1283">
        <v>1</v>
      </c>
      <c r="N1283">
        <v>0</v>
      </c>
      <c r="O1283">
        <v>0</v>
      </c>
      <c r="P1283">
        <v>0</v>
      </c>
      <c r="Q1283" s="22">
        <v>61800</v>
      </c>
      <c r="R1283">
        <v>3</v>
      </c>
      <c r="S1283" s="1">
        <v>0</v>
      </c>
      <c r="T1283">
        <v>0</v>
      </c>
      <c r="U1283">
        <v>0</v>
      </c>
      <c r="V1283" s="21">
        <v>30900</v>
      </c>
      <c r="W1283">
        <v>12</v>
      </c>
      <c r="X1283">
        <v>0</v>
      </c>
      <c r="Y1283">
        <v>0</v>
      </c>
      <c r="Z1283">
        <v>0</v>
      </c>
      <c r="AA1283">
        <v>10</v>
      </c>
    </row>
    <row r="1284" spans="1:27" ht="14.25" x14ac:dyDescent="0.2">
      <c r="A1284" s="12">
        <v>30101</v>
      </c>
      <c r="B1284" t="s">
        <v>126</v>
      </c>
      <c r="C1284" t="s">
        <v>121</v>
      </c>
      <c r="D1284" t="s">
        <v>121</v>
      </c>
      <c r="E1284" t="s">
        <v>121</v>
      </c>
      <c r="F1284" s="4" t="s">
        <v>1996</v>
      </c>
      <c r="H1284">
        <v>2</v>
      </c>
      <c r="I1284" s="1">
        <v>0</v>
      </c>
      <c r="J1284">
        <v>0</v>
      </c>
      <c r="K1284">
        <v>0</v>
      </c>
      <c r="L1284" s="20">
        <v>20640</v>
      </c>
      <c r="M1284">
        <v>1</v>
      </c>
      <c r="N1284">
        <v>0</v>
      </c>
      <c r="O1284">
        <v>0</v>
      </c>
      <c r="P1284">
        <v>0</v>
      </c>
      <c r="Q1284" s="22">
        <v>61800</v>
      </c>
      <c r="R1284">
        <v>3</v>
      </c>
      <c r="S1284" s="1">
        <v>0</v>
      </c>
      <c r="T1284">
        <v>0</v>
      </c>
      <c r="U1284">
        <v>0</v>
      </c>
      <c r="V1284" s="21">
        <v>30900</v>
      </c>
      <c r="W1284">
        <v>23</v>
      </c>
      <c r="X1284">
        <v>0</v>
      </c>
      <c r="Y1284">
        <v>0</v>
      </c>
      <c r="Z1284">
        <v>0</v>
      </c>
      <c r="AA1284">
        <v>1</v>
      </c>
    </row>
    <row r="1285" spans="1:27" ht="14.25" x14ac:dyDescent="0.2">
      <c r="A1285" s="12">
        <v>30102</v>
      </c>
      <c r="B1285" t="s">
        <v>131</v>
      </c>
      <c r="C1285" t="s">
        <v>125</v>
      </c>
      <c r="D1285" t="s">
        <v>121</v>
      </c>
      <c r="E1285" t="s">
        <v>136</v>
      </c>
      <c r="F1285" s="4" t="s">
        <v>1998</v>
      </c>
      <c r="H1285">
        <v>2</v>
      </c>
      <c r="I1285" s="1">
        <v>0</v>
      </c>
      <c r="J1285">
        <v>0</v>
      </c>
      <c r="K1285">
        <v>0</v>
      </c>
      <c r="L1285" s="20">
        <v>20640</v>
      </c>
      <c r="M1285">
        <v>1</v>
      </c>
      <c r="N1285">
        <v>0</v>
      </c>
      <c r="O1285">
        <v>0</v>
      </c>
      <c r="P1285">
        <v>0</v>
      </c>
      <c r="Q1285" s="22">
        <v>61800</v>
      </c>
      <c r="R1285">
        <v>3</v>
      </c>
      <c r="S1285" s="1">
        <v>0</v>
      </c>
      <c r="T1285">
        <v>0</v>
      </c>
      <c r="U1285">
        <v>0</v>
      </c>
      <c r="V1285" s="21">
        <v>30900</v>
      </c>
      <c r="W1285">
        <v>6</v>
      </c>
      <c r="X1285">
        <v>1</v>
      </c>
      <c r="Y1285">
        <v>0</v>
      </c>
      <c r="Z1285">
        <v>3</v>
      </c>
      <c r="AA1285">
        <v>10</v>
      </c>
    </row>
    <row r="1286" spans="1:27" ht="14.25" x14ac:dyDescent="0.2">
      <c r="A1286" s="12">
        <v>30103</v>
      </c>
      <c r="B1286" t="s">
        <v>180</v>
      </c>
      <c r="C1286" t="s">
        <v>121</v>
      </c>
      <c r="D1286" t="s">
        <v>121</v>
      </c>
      <c r="E1286" t="s">
        <v>121</v>
      </c>
      <c r="F1286" s="4" t="s">
        <v>2000</v>
      </c>
      <c r="H1286">
        <v>2</v>
      </c>
      <c r="I1286" s="1">
        <v>0</v>
      </c>
      <c r="J1286">
        <v>0</v>
      </c>
      <c r="K1286">
        <v>0</v>
      </c>
      <c r="L1286" s="20">
        <v>20640</v>
      </c>
      <c r="M1286">
        <v>1</v>
      </c>
      <c r="N1286">
        <v>0</v>
      </c>
      <c r="O1286">
        <v>0</v>
      </c>
      <c r="P1286">
        <v>0</v>
      </c>
      <c r="Q1286" s="22">
        <v>61920</v>
      </c>
      <c r="R1286">
        <v>3</v>
      </c>
      <c r="S1286" s="1">
        <v>0</v>
      </c>
      <c r="T1286">
        <v>0</v>
      </c>
      <c r="U1286">
        <v>0</v>
      </c>
      <c r="V1286" s="21">
        <v>30960</v>
      </c>
      <c r="W1286">
        <v>15</v>
      </c>
      <c r="X1286">
        <v>0</v>
      </c>
      <c r="Y1286">
        <v>0</v>
      </c>
      <c r="Z1286">
        <v>0</v>
      </c>
      <c r="AA1286">
        <v>1</v>
      </c>
    </row>
    <row r="1287" spans="1:27" ht="14.25" x14ac:dyDescent="0.2">
      <c r="A1287" s="12">
        <v>30104</v>
      </c>
      <c r="B1287" t="s">
        <v>178</v>
      </c>
      <c r="C1287" t="s">
        <v>121</v>
      </c>
      <c r="D1287" t="s">
        <v>121</v>
      </c>
      <c r="E1287" t="s">
        <v>121</v>
      </c>
      <c r="F1287" s="4" t="s">
        <v>2000</v>
      </c>
      <c r="H1287">
        <v>2</v>
      </c>
      <c r="I1287" s="1">
        <v>0</v>
      </c>
      <c r="J1287">
        <v>0</v>
      </c>
      <c r="K1287">
        <v>0</v>
      </c>
      <c r="L1287" s="20">
        <v>20640</v>
      </c>
      <c r="M1287">
        <v>1</v>
      </c>
      <c r="N1287">
        <v>0</v>
      </c>
      <c r="O1287">
        <v>0</v>
      </c>
      <c r="P1287">
        <v>0</v>
      </c>
      <c r="Q1287" s="22">
        <v>61920</v>
      </c>
      <c r="R1287">
        <v>3</v>
      </c>
      <c r="S1287" s="1">
        <v>0</v>
      </c>
      <c r="T1287">
        <v>0</v>
      </c>
      <c r="U1287">
        <v>0</v>
      </c>
      <c r="V1287" s="21">
        <v>30960</v>
      </c>
      <c r="W1287">
        <v>21</v>
      </c>
      <c r="X1287">
        <v>0</v>
      </c>
      <c r="Y1287">
        <v>0</v>
      </c>
      <c r="Z1287">
        <v>0</v>
      </c>
      <c r="AA1287">
        <v>1</v>
      </c>
    </row>
    <row r="1288" spans="1:27" ht="14.25" x14ac:dyDescent="0.2">
      <c r="A1288" s="12">
        <v>30105</v>
      </c>
      <c r="B1288" t="s">
        <v>130</v>
      </c>
      <c r="C1288" t="s">
        <v>121</v>
      </c>
      <c r="D1288" t="s">
        <v>121</v>
      </c>
      <c r="E1288" t="s">
        <v>121</v>
      </c>
      <c r="F1288" s="4" t="s">
        <v>2002</v>
      </c>
      <c r="H1288">
        <v>2</v>
      </c>
      <c r="I1288" s="1">
        <v>0</v>
      </c>
      <c r="J1288">
        <v>0</v>
      </c>
      <c r="K1288">
        <v>0</v>
      </c>
      <c r="L1288" s="20">
        <v>20640</v>
      </c>
      <c r="M1288">
        <v>1</v>
      </c>
      <c r="N1288">
        <v>0</v>
      </c>
      <c r="O1288">
        <v>0</v>
      </c>
      <c r="P1288">
        <v>0</v>
      </c>
      <c r="Q1288" s="22">
        <v>61920</v>
      </c>
      <c r="R1288">
        <v>3</v>
      </c>
      <c r="S1288" s="1">
        <v>0</v>
      </c>
      <c r="T1288">
        <v>0</v>
      </c>
      <c r="U1288">
        <v>0</v>
      </c>
      <c r="V1288" s="21">
        <v>30960</v>
      </c>
      <c r="W1288">
        <v>9</v>
      </c>
      <c r="X1288">
        <v>0</v>
      </c>
      <c r="Y1288">
        <v>0</v>
      </c>
      <c r="Z1288">
        <v>0</v>
      </c>
      <c r="AA1288">
        <v>10</v>
      </c>
    </row>
    <row r="1289" spans="1:27" ht="14.25" x14ac:dyDescent="0.2">
      <c r="A1289" s="12">
        <v>30106</v>
      </c>
      <c r="B1289" t="s">
        <v>181</v>
      </c>
      <c r="C1289" t="s">
        <v>121</v>
      </c>
      <c r="D1289" t="s">
        <v>121</v>
      </c>
      <c r="E1289" t="s">
        <v>121</v>
      </c>
      <c r="F1289" s="4" t="s">
        <v>2004</v>
      </c>
      <c r="H1289">
        <v>2</v>
      </c>
      <c r="I1289" s="1">
        <v>0</v>
      </c>
      <c r="J1289">
        <v>0</v>
      </c>
      <c r="K1289">
        <v>0</v>
      </c>
      <c r="L1289" s="20">
        <v>20680</v>
      </c>
      <c r="M1289">
        <v>1</v>
      </c>
      <c r="N1289">
        <v>0</v>
      </c>
      <c r="O1289">
        <v>0</v>
      </c>
      <c r="P1289">
        <v>0</v>
      </c>
      <c r="Q1289" s="22">
        <v>61920</v>
      </c>
      <c r="R1289">
        <v>3</v>
      </c>
      <c r="S1289" s="1">
        <v>0</v>
      </c>
      <c r="T1289">
        <v>0</v>
      </c>
      <c r="U1289">
        <v>0</v>
      </c>
      <c r="V1289" s="21">
        <v>30960</v>
      </c>
      <c r="W1289">
        <v>30</v>
      </c>
      <c r="X1289">
        <v>0</v>
      </c>
      <c r="Y1289">
        <v>0</v>
      </c>
      <c r="Z1289">
        <v>0</v>
      </c>
      <c r="AA1289">
        <v>10</v>
      </c>
    </row>
    <row r="1290" spans="1:27" ht="14.25" x14ac:dyDescent="0.2">
      <c r="A1290" s="12">
        <v>30107</v>
      </c>
      <c r="B1290" t="s">
        <v>122</v>
      </c>
      <c r="C1290" t="s">
        <v>121</v>
      </c>
      <c r="D1290" t="s">
        <v>121</v>
      </c>
      <c r="E1290" t="s">
        <v>121</v>
      </c>
      <c r="F1290" s="4" t="s">
        <v>2004</v>
      </c>
      <c r="H1290">
        <v>2</v>
      </c>
      <c r="I1290" s="1">
        <v>0</v>
      </c>
      <c r="J1290">
        <v>0</v>
      </c>
      <c r="K1290">
        <v>0</v>
      </c>
      <c r="L1290" s="20">
        <v>20680</v>
      </c>
      <c r="M1290">
        <v>1</v>
      </c>
      <c r="N1290">
        <v>0</v>
      </c>
      <c r="O1290">
        <v>0</v>
      </c>
      <c r="P1290">
        <v>0</v>
      </c>
      <c r="Q1290" s="22">
        <v>61920</v>
      </c>
      <c r="R1290">
        <v>3</v>
      </c>
      <c r="S1290" s="1">
        <v>0</v>
      </c>
      <c r="T1290">
        <v>0</v>
      </c>
      <c r="U1290">
        <v>0</v>
      </c>
      <c r="V1290" s="21">
        <v>30960</v>
      </c>
      <c r="W1290">
        <v>4</v>
      </c>
      <c r="X1290">
        <v>0</v>
      </c>
      <c r="Y1290">
        <v>0</v>
      </c>
      <c r="Z1290">
        <v>0</v>
      </c>
      <c r="AA1290">
        <v>10</v>
      </c>
    </row>
    <row r="1291" spans="1:27" ht="14.25" x14ac:dyDescent="0.2">
      <c r="A1291" s="12">
        <v>30108</v>
      </c>
      <c r="B1291" t="s">
        <v>178</v>
      </c>
      <c r="C1291" t="s">
        <v>121</v>
      </c>
      <c r="D1291" t="s">
        <v>121</v>
      </c>
      <c r="E1291" t="s">
        <v>121</v>
      </c>
      <c r="F1291" s="4" t="s">
        <v>2006</v>
      </c>
      <c r="H1291">
        <v>2</v>
      </c>
      <c r="I1291" s="1">
        <v>0</v>
      </c>
      <c r="J1291">
        <v>0</v>
      </c>
      <c r="K1291">
        <v>0</v>
      </c>
      <c r="L1291" s="20">
        <v>20680</v>
      </c>
      <c r="M1291">
        <v>1</v>
      </c>
      <c r="N1291">
        <v>0</v>
      </c>
      <c r="O1291">
        <v>0</v>
      </c>
      <c r="P1291">
        <v>0</v>
      </c>
      <c r="Q1291" s="22">
        <v>62040</v>
      </c>
      <c r="R1291">
        <v>3</v>
      </c>
      <c r="S1291" s="1">
        <v>0</v>
      </c>
      <c r="T1291">
        <v>0</v>
      </c>
      <c r="U1291">
        <v>0</v>
      </c>
      <c r="V1291" s="21">
        <v>31020</v>
      </c>
      <c r="W1291">
        <v>21</v>
      </c>
      <c r="X1291">
        <v>0</v>
      </c>
      <c r="Y1291">
        <v>0</v>
      </c>
      <c r="Z1291">
        <v>0</v>
      </c>
      <c r="AA1291">
        <v>1</v>
      </c>
    </row>
    <row r="1292" spans="1:27" ht="14.25" x14ac:dyDescent="0.2">
      <c r="A1292" s="12">
        <v>30109</v>
      </c>
      <c r="B1292" t="s">
        <v>130</v>
      </c>
      <c r="C1292" t="s">
        <v>121</v>
      </c>
      <c r="D1292" t="s">
        <v>121</v>
      </c>
      <c r="E1292" t="s">
        <v>121</v>
      </c>
      <c r="F1292" s="4" t="s">
        <v>2008</v>
      </c>
      <c r="H1292">
        <v>2</v>
      </c>
      <c r="I1292" s="1">
        <v>0</v>
      </c>
      <c r="J1292">
        <v>0</v>
      </c>
      <c r="K1292">
        <v>0</v>
      </c>
      <c r="L1292" s="20">
        <v>20680</v>
      </c>
      <c r="M1292">
        <v>1</v>
      </c>
      <c r="N1292">
        <v>0</v>
      </c>
      <c r="O1292">
        <v>0</v>
      </c>
      <c r="P1292">
        <v>0</v>
      </c>
      <c r="Q1292" s="22">
        <v>62040</v>
      </c>
      <c r="R1292">
        <v>3</v>
      </c>
      <c r="S1292" s="1">
        <v>0</v>
      </c>
      <c r="T1292">
        <v>0</v>
      </c>
      <c r="U1292">
        <v>0</v>
      </c>
      <c r="V1292" s="21">
        <v>31020</v>
      </c>
      <c r="W1292">
        <v>9</v>
      </c>
      <c r="X1292">
        <v>0</v>
      </c>
      <c r="Y1292">
        <v>0</v>
      </c>
      <c r="Z1292">
        <v>0</v>
      </c>
      <c r="AA1292">
        <v>10</v>
      </c>
    </row>
    <row r="1293" spans="1:27" ht="14.25" x14ac:dyDescent="0.2">
      <c r="A1293" s="12">
        <v>30110</v>
      </c>
      <c r="B1293" t="s">
        <v>123</v>
      </c>
      <c r="C1293" t="s">
        <v>121</v>
      </c>
      <c r="D1293" t="s">
        <v>121</v>
      </c>
      <c r="E1293" t="s">
        <v>121</v>
      </c>
      <c r="F1293" s="4" t="s">
        <v>2008</v>
      </c>
      <c r="H1293">
        <v>2</v>
      </c>
      <c r="I1293" s="1">
        <v>0</v>
      </c>
      <c r="J1293">
        <v>0</v>
      </c>
      <c r="K1293">
        <v>0</v>
      </c>
      <c r="L1293" s="20">
        <v>20680</v>
      </c>
      <c r="M1293">
        <v>1</v>
      </c>
      <c r="N1293">
        <v>0</v>
      </c>
      <c r="O1293">
        <v>0</v>
      </c>
      <c r="P1293">
        <v>0</v>
      </c>
      <c r="Q1293" s="22">
        <v>62040</v>
      </c>
      <c r="R1293">
        <v>3</v>
      </c>
      <c r="S1293" s="1">
        <v>0</v>
      </c>
      <c r="T1293">
        <v>0</v>
      </c>
      <c r="U1293">
        <v>0</v>
      </c>
      <c r="V1293" s="21">
        <v>31020</v>
      </c>
      <c r="W1293">
        <v>12</v>
      </c>
      <c r="X1293">
        <v>0</v>
      </c>
      <c r="Y1293">
        <v>0</v>
      </c>
      <c r="Z1293">
        <v>0</v>
      </c>
      <c r="AA1293">
        <v>10</v>
      </c>
    </row>
    <row r="1294" spans="1:27" ht="14.25" x14ac:dyDescent="0.2">
      <c r="A1294" s="12">
        <v>30111</v>
      </c>
      <c r="B1294" t="s">
        <v>126</v>
      </c>
      <c r="C1294" t="s">
        <v>121</v>
      </c>
      <c r="D1294" t="s">
        <v>121</v>
      </c>
      <c r="E1294" t="s">
        <v>121</v>
      </c>
      <c r="F1294" s="4" t="s">
        <v>2010</v>
      </c>
      <c r="H1294">
        <v>2</v>
      </c>
      <c r="I1294" s="1">
        <v>0</v>
      </c>
      <c r="J1294">
        <v>0</v>
      </c>
      <c r="K1294">
        <v>0</v>
      </c>
      <c r="L1294" s="20">
        <v>20720</v>
      </c>
      <c r="M1294">
        <v>1</v>
      </c>
      <c r="N1294">
        <v>0</v>
      </c>
      <c r="O1294">
        <v>0</v>
      </c>
      <c r="P1294">
        <v>0</v>
      </c>
      <c r="Q1294" s="22">
        <v>62040</v>
      </c>
      <c r="R1294">
        <v>3</v>
      </c>
      <c r="S1294" s="1">
        <v>0</v>
      </c>
      <c r="T1294">
        <v>0</v>
      </c>
      <c r="U1294">
        <v>0</v>
      </c>
      <c r="V1294" s="21">
        <v>31020</v>
      </c>
      <c r="W1294">
        <v>23</v>
      </c>
      <c r="X1294">
        <v>0</v>
      </c>
      <c r="Y1294">
        <v>0</v>
      </c>
      <c r="Z1294">
        <v>0</v>
      </c>
      <c r="AA1294">
        <v>1</v>
      </c>
    </row>
    <row r="1295" spans="1:27" ht="14.25" x14ac:dyDescent="0.2">
      <c r="A1295" s="12">
        <v>30112</v>
      </c>
      <c r="B1295" t="s">
        <v>131</v>
      </c>
      <c r="C1295" t="s">
        <v>125</v>
      </c>
      <c r="D1295" t="s">
        <v>121</v>
      </c>
      <c r="E1295" t="s">
        <v>136</v>
      </c>
      <c r="F1295" s="4" t="s">
        <v>2012</v>
      </c>
      <c r="H1295">
        <v>2</v>
      </c>
      <c r="I1295" s="1">
        <v>0</v>
      </c>
      <c r="J1295">
        <v>0</v>
      </c>
      <c r="K1295">
        <v>0</v>
      </c>
      <c r="L1295" s="20">
        <v>20720</v>
      </c>
      <c r="M1295">
        <v>1</v>
      </c>
      <c r="N1295">
        <v>0</v>
      </c>
      <c r="O1295">
        <v>0</v>
      </c>
      <c r="P1295">
        <v>0</v>
      </c>
      <c r="Q1295" s="22">
        <v>62040</v>
      </c>
      <c r="R1295">
        <v>3</v>
      </c>
      <c r="S1295" s="1">
        <v>0</v>
      </c>
      <c r="T1295">
        <v>0</v>
      </c>
      <c r="U1295">
        <v>0</v>
      </c>
      <c r="V1295" s="21">
        <v>31020</v>
      </c>
      <c r="W1295">
        <v>6</v>
      </c>
      <c r="X1295">
        <v>1</v>
      </c>
      <c r="Y1295">
        <v>0</v>
      </c>
      <c r="Z1295">
        <v>3</v>
      </c>
      <c r="AA1295">
        <v>10</v>
      </c>
    </row>
    <row r="1296" spans="1:27" ht="14.25" x14ac:dyDescent="0.2">
      <c r="A1296" s="12">
        <v>30113</v>
      </c>
      <c r="B1296" t="s">
        <v>180</v>
      </c>
      <c r="C1296" t="s">
        <v>121</v>
      </c>
      <c r="D1296" t="s">
        <v>121</v>
      </c>
      <c r="E1296" t="s">
        <v>121</v>
      </c>
      <c r="F1296" s="4" t="s">
        <v>2014</v>
      </c>
      <c r="H1296">
        <v>2</v>
      </c>
      <c r="I1296" s="1">
        <v>0</v>
      </c>
      <c r="J1296">
        <v>0</v>
      </c>
      <c r="K1296">
        <v>0</v>
      </c>
      <c r="L1296" s="20">
        <v>20720</v>
      </c>
      <c r="M1296">
        <v>1</v>
      </c>
      <c r="N1296">
        <v>0</v>
      </c>
      <c r="O1296">
        <v>0</v>
      </c>
      <c r="P1296">
        <v>0</v>
      </c>
      <c r="Q1296" s="22">
        <v>62160</v>
      </c>
      <c r="R1296">
        <v>3</v>
      </c>
      <c r="S1296" s="1">
        <v>0</v>
      </c>
      <c r="T1296">
        <v>0</v>
      </c>
      <c r="U1296">
        <v>0</v>
      </c>
      <c r="V1296" s="21">
        <v>31080</v>
      </c>
      <c r="W1296">
        <v>15</v>
      </c>
      <c r="X1296">
        <v>0</v>
      </c>
      <c r="Y1296">
        <v>0</v>
      </c>
      <c r="Z1296">
        <v>0</v>
      </c>
      <c r="AA1296">
        <v>1</v>
      </c>
    </row>
    <row r="1297" spans="1:27" ht="14.25" x14ac:dyDescent="0.2">
      <c r="A1297" s="12">
        <v>30114</v>
      </c>
      <c r="B1297" t="s">
        <v>178</v>
      </c>
      <c r="C1297" t="s">
        <v>121</v>
      </c>
      <c r="D1297" t="s">
        <v>121</v>
      </c>
      <c r="E1297" t="s">
        <v>121</v>
      </c>
      <c r="F1297" s="4" t="s">
        <v>2014</v>
      </c>
      <c r="H1297">
        <v>2</v>
      </c>
      <c r="I1297" s="1">
        <v>0</v>
      </c>
      <c r="J1297">
        <v>0</v>
      </c>
      <c r="K1297">
        <v>0</v>
      </c>
      <c r="L1297" s="20">
        <v>20720</v>
      </c>
      <c r="M1297">
        <v>1</v>
      </c>
      <c r="N1297">
        <v>0</v>
      </c>
      <c r="O1297">
        <v>0</v>
      </c>
      <c r="P1297">
        <v>0</v>
      </c>
      <c r="Q1297" s="22">
        <v>62160</v>
      </c>
      <c r="R1297">
        <v>3</v>
      </c>
      <c r="S1297" s="1">
        <v>0</v>
      </c>
      <c r="T1297">
        <v>0</v>
      </c>
      <c r="U1297">
        <v>0</v>
      </c>
      <c r="V1297" s="21">
        <v>31080</v>
      </c>
      <c r="W1297">
        <v>21</v>
      </c>
      <c r="X1297">
        <v>0</v>
      </c>
      <c r="Y1297">
        <v>0</v>
      </c>
      <c r="Z1297">
        <v>0</v>
      </c>
      <c r="AA1297">
        <v>1</v>
      </c>
    </row>
    <row r="1298" spans="1:27" ht="14.25" x14ac:dyDescent="0.2">
      <c r="A1298" s="12">
        <v>30115</v>
      </c>
      <c r="B1298" t="s">
        <v>130</v>
      </c>
      <c r="C1298" t="s">
        <v>121</v>
      </c>
      <c r="D1298" t="s">
        <v>121</v>
      </c>
      <c r="E1298" t="s">
        <v>121</v>
      </c>
      <c r="F1298" s="4" t="s">
        <v>2016</v>
      </c>
      <c r="H1298">
        <v>2</v>
      </c>
      <c r="I1298" s="1">
        <v>0</v>
      </c>
      <c r="J1298">
        <v>0</v>
      </c>
      <c r="K1298">
        <v>0</v>
      </c>
      <c r="L1298" s="20">
        <v>20720</v>
      </c>
      <c r="M1298">
        <v>1</v>
      </c>
      <c r="N1298">
        <v>0</v>
      </c>
      <c r="O1298">
        <v>0</v>
      </c>
      <c r="P1298">
        <v>0</v>
      </c>
      <c r="Q1298" s="22">
        <v>62160</v>
      </c>
      <c r="R1298">
        <v>3</v>
      </c>
      <c r="S1298" s="1">
        <v>0</v>
      </c>
      <c r="T1298">
        <v>0</v>
      </c>
      <c r="U1298">
        <v>0</v>
      </c>
      <c r="V1298" s="21">
        <v>31080</v>
      </c>
      <c r="W1298">
        <v>9</v>
      </c>
      <c r="X1298">
        <v>0</v>
      </c>
      <c r="Y1298">
        <v>0</v>
      </c>
      <c r="Z1298">
        <v>0</v>
      </c>
      <c r="AA1298">
        <v>10</v>
      </c>
    </row>
    <row r="1299" spans="1:27" ht="14.25" x14ac:dyDescent="0.2">
      <c r="A1299" s="12">
        <v>30116</v>
      </c>
      <c r="B1299" t="s">
        <v>181</v>
      </c>
      <c r="C1299" t="s">
        <v>121</v>
      </c>
      <c r="D1299" t="s">
        <v>121</v>
      </c>
      <c r="E1299" t="s">
        <v>121</v>
      </c>
      <c r="F1299" s="4" t="s">
        <v>2018</v>
      </c>
      <c r="H1299">
        <v>2</v>
      </c>
      <c r="I1299" s="1">
        <v>0</v>
      </c>
      <c r="J1299">
        <v>0</v>
      </c>
      <c r="K1299">
        <v>0</v>
      </c>
      <c r="L1299" s="20">
        <v>20760</v>
      </c>
      <c r="M1299">
        <v>1</v>
      </c>
      <c r="N1299">
        <v>0</v>
      </c>
      <c r="O1299">
        <v>0</v>
      </c>
      <c r="P1299">
        <v>0</v>
      </c>
      <c r="Q1299" s="22">
        <v>62160</v>
      </c>
      <c r="R1299">
        <v>3</v>
      </c>
      <c r="S1299" s="1">
        <v>0</v>
      </c>
      <c r="T1299">
        <v>0</v>
      </c>
      <c r="U1299">
        <v>0</v>
      </c>
      <c r="V1299" s="21">
        <v>31080</v>
      </c>
      <c r="W1299">
        <v>30</v>
      </c>
      <c r="X1299">
        <v>0</v>
      </c>
      <c r="Y1299">
        <v>0</v>
      </c>
      <c r="Z1299">
        <v>0</v>
      </c>
      <c r="AA1299">
        <v>10</v>
      </c>
    </row>
    <row r="1300" spans="1:27" ht="14.25" x14ac:dyDescent="0.2">
      <c r="A1300" s="12">
        <v>30117</v>
      </c>
      <c r="B1300" t="s">
        <v>122</v>
      </c>
      <c r="C1300" t="s">
        <v>121</v>
      </c>
      <c r="D1300" t="s">
        <v>121</v>
      </c>
      <c r="E1300" t="s">
        <v>121</v>
      </c>
      <c r="F1300" s="4" t="s">
        <v>2018</v>
      </c>
      <c r="H1300">
        <v>2</v>
      </c>
      <c r="I1300" s="1">
        <v>0</v>
      </c>
      <c r="J1300">
        <v>0</v>
      </c>
      <c r="K1300">
        <v>0</v>
      </c>
      <c r="L1300" s="20">
        <v>20760</v>
      </c>
      <c r="M1300">
        <v>1</v>
      </c>
      <c r="N1300">
        <v>0</v>
      </c>
      <c r="O1300">
        <v>0</v>
      </c>
      <c r="P1300">
        <v>0</v>
      </c>
      <c r="Q1300" s="22">
        <v>62160</v>
      </c>
      <c r="R1300">
        <v>3</v>
      </c>
      <c r="S1300" s="1">
        <v>0</v>
      </c>
      <c r="T1300">
        <v>0</v>
      </c>
      <c r="U1300">
        <v>0</v>
      </c>
      <c r="V1300" s="21">
        <v>31080</v>
      </c>
      <c r="W1300">
        <v>4</v>
      </c>
      <c r="X1300">
        <v>0</v>
      </c>
      <c r="Y1300">
        <v>0</v>
      </c>
      <c r="Z1300">
        <v>0</v>
      </c>
      <c r="AA1300">
        <v>10</v>
      </c>
    </row>
    <row r="1301" spans="1:27" ht="14.25" x14ac:dyDescent="0.2">
      <c r="A1301" s="12">
        <v>30118</v>
      </c>
      <c r="B1301" t="s">
        <v>178</v>
      </c>
      <c r="C1301" t="s">
        <v>121</v>
      </c>
      <c r="D1301" t="s">
        <v>121</v>
      </c>
      <c r="E1301" t="s">
        <v>121</v>
      </c>
      <c r="F1301" s="4" t="s">
        <v>2020</v>
      </c>
      <c r="H1301">
        <v>2</v>
      </c>
      <c r="I1301" s="1">
        <v>0</v>
      </c>
      <c r="J1301">
        <v>0</v>
      </c>
      <c r="K1301">
        <v>0</v>
      </c>
      <c r="L1301" s="20">
        <v>20760</v>
      </c>
      <c r="M1301">
        <v>1</v>
      </c>
      <c r="N1301">
        <v>0</v>
      </c>
      <c r="O1301">
        <v>0</v>
      </c>
      <c r="P1301">
        <v>0</v>
      </c>
      <c r="Q1301" s="22">
        <v>62280</v>
      </c>
      <c r="R1301">
        <v>3</v>
      </c>
      <c r="S1301" s="1">
        <v>0</v>
      </c>
      <c r="T1301">
        <v>0</v>
      </c>
      <c r="U1301">
        <v>0</v>
      </c>
      <c r="V1301" s="21">
        <v>31140</v>
      </c>
      <c r="W1301">
        <v>21</v>
      </c>
      <c r="X1301">
        <v>0</v>
      </c>
      <c r="Y1301">
        <v>0</v>
      </c>
      <c r="Z1301">
        <v>0</v>
      </c>
      <c r="AA1301">
        <v>1</v>
      </c>
    </row>
    <row r="1302" spans="1:27" ht="14.25" x14ac:dyDescent="0.2">
      <c r="A1302" s="12">
        <v>30119</v>
      </c>
      <c r="B1302" t="s">
        <v>130</v>
      </c>
      <c r="C1302" t="s">
        <v>121</v>
      </c>
      <c r="D1302" t="s">
        <v>121</v>
      </c>
      <c r="E1302" t="s">
        <v>121</v>
      </c>
      <c r="F1302" s="4" t="s">
        <v>2022</v>
      </c>
      <c r="H1302">
        <v>2</v>
      </c>
      <c r="I1302" s="1">
        <v>0</v>
      </c>
      <c r="J1302">
        <v>0</v>
      </c>
      <c r="K1302">
        <v>0</v>
      </c>
      <c r="L1302" s="20">
        <v>20760</v>
      </c>
      <c r="M1302">
        <v>1</v>
      </c>
      <c r="N1302">
        <v>0</v>
      </c>
      <c r="O1302">
        <v>0</v>
      </c>
      <c r="P1302">
        <v>0</v>
      </c>
      <c r="Q1302" s="22">
        <v>62280</v>
      </c>
      <c r="R1302">
        <v>3</v>
      </c>
      <c r="S1302" s="1">
        <v>0</v>
      </c>
      <c r="T1302">
        <v>0</v>
      </c>
      <c r="U1302">
        <v>0</v>
      </c>
      <c r="V1302" s="21">
        <v>31140</v>
      </c>
      <c r="W1302">
        <v>9</v>
      </c>
      <c r="X1302">
        <v>0</v>
      </c>
      <c r="Y1302">
        <v>0</v>
      </c>
      <c r="Z1302">
        <v>0</v>
      </c>
      <c r="AA1302">
        <v>10</v>
      </c>
    </row>
    <row r="1303" spans="1:27" ht="14.25" x14ac:dyDescent="0.2">
      <c r="A1303" s="12">
        <v>30120</v>
      </c>
      <c r="B1303" t="s">
        <v>123</v>
      </c>
      <c r="C1303" t="s">
        <v>121</v>
      </c>
      <c r="D1303" t="s">
        <v>121</v>
      </c>
      <c r="E1303" t="s">
        <v>121</v>
      </c>
      <c r="F1303" s="4" t="s">
        <v>2022</v>
      </c>
      <c r="H1303">
        <v>2</v>
      </c>
      <c r="I1303" s="1">
        <v>0</v>
      </c>
      <c r="J1303">
        <v>0</v>
      </c>
      <c r="K1303">
        <v>0</v>
      </c>
      <c r="L1303" s="20">
        <v>20760</v>
      </c>
      <c r="M1303">
        <v>1</v>
      </c>
      <c r="N1303">
        <v>0</v>
      </c>
      <c r="O1303">
        <v>0</v>
      </c>
      <c r="P1303">
        <v>0</v>
      </c>
      <c r="Q1303" s="22">
        <v>62280</v>
      </c>
      <c r="R1303">
        <v>3</v>
      </c>
      <c r="S1303" s="1">
        <v>0</v>
      </c>
      <c r="T1303">
        <v>0</v>
      </c>
      <c r="U1303">
        <v>0</v>
      </c>
      <c r="V1303" s="21">
        <v>31140</v>
      </c>
      <c r="W1303">
        <v>12</v>
      </c>
      <c r="X1303">
        <v>0</v>
      </c>
      <c r="Y1303">
        <v>0</v>
      </c>
      <c r="Z1303">
        <v>0</v>
      </c>
      <c r="AA1303">
        <v>10</v>
      </c>
    </row>
    <row r="1304" spans="1:27" ht="14.25" x14ac:dyDescent="0.2">
      <c r="A1304" s="12">
        <v>30121</v>
      </c>
      <c r="B1304" t="s">
        <v>126</v>
      </c>
      <c r="C1304" t="s">
        <v>121</v>
      </c>
      <c r="D1304" t="s">
        <v>121</v>
      </c>
      <c r="E1304" t="s">
        <v>121</v>
      </c>
      <c r="F1304" s="4" t="s">
        <v>2024</v>
      </c>
      <c r="H1304">
        <v>2</v>
      </c>
      <c r="I1304" s="1">
        <v>0</v>
      </c>
      <c r="J1304">
        <v>0</v>
      </c>
      <c r="K1304">
        <v>0</v>
      </c>
      <c r="L1304" s="20">
        <v>20800</v>
      </c>
      <c r="M1304">
        <v>1</v>
      </c>
      <c r="N1304">
        <v>0</v>
      </c>
      <c r="O1304">
        <v>0</v>
      </c>
      <c r="P1304">
        <v>0</v>
      </c>
      <c r="Q1304" s="22">
        <v>62280</v>
      </c>
      <c r="R1304">
        <v>3</v>
      </c>
      <c r="S1304" s="1">
        <v>0</v>
      </c>
      <c r="T1304">
        <v>0</v>
      </c>
      <c r="U1304">
        <v>0</v>
      </c>
      <c r="V1304" s="21">
        <v>31140</v>
      </c>
      <c r="W1304">
        <v>23</v>
      </c>
      <c r="X1304">
        <v>0</v>
      </c>
      <c r="Y1304">
        <v>0</v>
      </c>
      <c r="Z1304">
        <v>0</v>
      </c>
      <c r="AA1304">
        <v>1</v>
      </c>
    </row>
    <row r="1305" spans="1:27" ht="14.25" x14ac:dyDescent="0.2">
      <c r="A1305" s="12">
        <v>30122</v>
      </c>
      <c r="B1305" t="s">
        <v>131</v>
      </c>
      <c r="C1305" t="s">
        <v>125</v>
      </c>
      <c r="D1305" t="s">
        <v>121</v>
      </c>
      <c r="E1305" t="s">
        <v>136</v>
      </c>
      <c r="F1305" s="4" t="s">
        <v>2026</v>
      </c>
      <c r="H1305">
        <v>2</v>
      </c>
      <c r="I1305" s="1">
        <v>0</v>
      </c>
      <c r="J1305">
        <v>0</v>
      </c>
      <c r="K1305">
        <v>0</v>
      </c>
      <c r="L1305" s="20">
        <v>20800</v>
      </c>
      <c r="M1305">
        <v>1</v>
      </c>
      <c r="N1305">
        <v>0</v>
      </c>
      <c r="O1305">
        <v>0</v>
      </c>
      <c r="P1305">
        <v>0</v>
      </c>
      <c r="Q1305" s="22">
        <v>62280</v>
      </c>
      <c r="R1305">
        <v>3</v>
      </c>
      <c r="S1305" s="1">
        <v>0</v>
      </c>
      <c r="T1305">
        <v>0</v>
      </c>
      <c r="U1305">
        <v>0</v>
      </c>
      <c r="V1305" s="21">
        <v>31140</v>
      </c>
      <c r="W1305">
        <v>6</v>
      </c>
      <c r="X1305">
        <v>1</v>
      </c>
      <c r="Y1305">
        <v>0</v>
      </c>
      <c r="Z1305">
        <v>3</v>
      </c>
      <c r="AA1305">
        <v>10</v>
      </c>
    </row>
    <row r="1306" spans="1:27" ht="14.25" x14ac:dyDescent="0.2">
      <c r="A1306" s="12">
        <v>30123</v>
      </c>
      <c r="B1306" t="s">
        <v>180</v>
      </c>
      <c r="C1306" t="s">
        <v>121</v>
      </c>
      <c r="D1306" t="s">
        <v>121</v>
      </c>
      <c r="E1306" t="s">
        <v>121</v>
      </c>
      <c r="F1306" s="4" t="s">
        <v>2028</v>
      </c>
      <c r="H1306">
        <v>2</v>
      </c>
      <c r="I1306" s="1">
        <v>0</v>
      </c>
      <c r="J1306">
        <v>0</v>
      </c>
      <c r="K1306">
        <v>0</v>
      </c>
      <c r="L1306" s="20">
        <v>20800</v>
      </c>
      <c r="M1306">
        <v>1</v>
      </c>
      <c r="N1306">
        <v>0</v>
      </c>
      <c r="O1306">
        <v>0</v>
      </c>
      <c r="P1306">
        <v>0</v>
      </c>
      <c r="Q1306" s="22">
        <v>62400</v>
      </c>
      <c r="R1306">
        <v>3</v>
      </c>
      <c r="S1306" s="1">
        <v>0</v>
      </c>
      <c r="T1306">
        <v>0</v>
      </c>
      <c r="U1306">
        <v>0</v>
      </c>
      <c r="V1306" s="21">
        <v>31200</v>
      </c>
      <c r="W1306">
        <v>15</v>
      </c>
      <c r="X1306">
        <v>0</v>
      </c>
      <c r="Y1306">
        <v>0</v>
      </c>
      <c r="Z1306">
        <v>0</v>
      </c>
      <c r="AA1306">
        <v>1</v>
      </c>
    </row>
    <row r="1307" spans="1:27" ht="14.25" x14ac:dyDescent="0.2">
      <c r="A1307" s="12">
        <v>30124</v>
      </c>
      <c r="B1307" t="s">
        <v>178</v>
      </c>
      <c r="C1307" t="s">
        <v>121</v>
      </c>
      <c r="D1307" t="s">
        <v>121</v>
      </c>
      <c r="E1307" t="s">
        <v>121</v>
      </c>
      <c r="F1307" s="4" t="s">
        <v>2028</v>
      </c>
      <c r="H1307">
        <v>2</v>
      </c>
      <c r="I1307" s="1">
        <v>0</v>
      </c>
      <c r="J1307">
        <v>0</v>
      </c>
      <c r="K1307">
        <v>0</v>
      </c>
      <c r="L1307" s="20">
        <v>20800</v>
      </c>
      <c r="M1307">
        <v>1</v>
      </c>
      <c r="N1307">
        <v>0</v>
      </c>
      <c r="O1307">
        <v>0</v>
      </c>
      <c r="P1307">
        <v>0</v>
      </c>
      <c r="Q1307" s="22">
        <v>62400</v>
      </c>
      <c r="R1307">
        <v>3</v>
      </c>
      <c r="S1307" s="1">
        <v>0</v>
      </c>
      <c r="T1307">
        <v>0</v>
      </c>
      <c r="U1307">
        <v>0</v>
      </c>
      <c r="V1307" s="21">
        <v>31200</v>
      </c>
      <c r="W1307">
        <v>21</v>
      </c>
      <c r="X1307">
        <v>0</v>
      </c>
      <c r="Y1307">
        <v>0</v>
      </c>
      <c r="Z1307">
        <v>0</v>
      </c>
      <c r="AA1307">
        <v>1</v>
      </c>
    </row>
    <row r="1308" spans="1:27" ht="14.25" x14ac:dyDescent="0.2">
      <c r="A1308" s="12">
        <v>30125</v>
      </c>
      <c r="B1308" t="s">
        <v>130</v>
      </c>
      <c r="C1308" t="s">
        <v>121</v>
      </c>
      <c r="D1308" t="s">
        <v>121</v>
      </c>
      <c r="E1308" t="s">
        <v>121</v>
      </c>
      <c r="F1308" s="4" t="s">
        <v>2030</v>
      </c>
      <c r="H1308">
        <v>2</v>
      </c>
      <c r="I1308" s="1">
        <v>0</v>
      </c>
      <c r="J1308">
        <v>0</v>
      </c>
      <c r="K1308">
        <v>0</v>
      </c>
      <c r="L1308" s="20">
        <v>20800</v>
      </c>
      <c r="M1308">
        <v>1</v>
      </c>
      <c r="N1308">
        <v>0</v>
      </c>
      <c r="O1308">
        <v>0</v>
      </c>
      <c r="P1308">
        <v>0</v>
      </c>
      <c r="Q1308" s="22">
        <v>62400</v>
      </c>
      <c r="R1308">
        <v>3</v>
      </c>
      <c r="S1308" s="1">
        <v>0</v>
      </c>
      <c r="T1308">
        <v>0</v>
      </c>
      <c r="U1308">
        <v>0</v>
      </c>
      <c r="V1308" s="21">
        <v>31200</v>
      </c>
      <c r="W1308">
        <v>9</v>
      </c>
      <c r="X1308">
        <v>0</v>
      </c>
      <c r="Y1308">
        <v>0</v>
      </c>
      <c r="Z1308">
        <v>0</v>
      </c>
      <c r="AA1308">
        <v>10</v>
      </c>
    </row>
    <row r="1309" spans="1:27" ht="14.25" x14ac:dyDescent="0.2">
      <c r="A1309" s="12">
        <v>30126</v>
      </c>
      <c r="B1309" t="s">
        <v>181</v>
      </c>
      <c r="C1309" t="s">
        <v>121</v>
      </c>
      <c r="D1309" t="s">
        <v>121</v>
      </c>
      <c r="E1309" t="s">
        <v>121</v>
      </c>
      <c r="F1309" s="4" t="s">
        <v>2032</v>
      </c>
      <c r="H1309">
        <v>2</v>
      </c>
      <c r="I1309" s="1">
        <v>0</v>
      </c>
      <c r="J1309">
        <v>0</v>
      </c>
      <c r="K1309">
        <v>0</v>
      </c>
      <c r="L1309" s="20">
        <v>20840</v>
      </c>
      <c r="M1309">
        <v>1</v>
      </c>
      <c r="N1309">
        <v>0</v>
      </c>
      <c r="O1309">
        <v>0</v>
      </c>
      <c r="P1309">
        <v>0</v>
      </c>
      <c r="Q1309" s="22">
        <v>62400</v>
      </c>
      <c r="R1309">
        <v>3</v>
      </c>
      <c r="S1309" s="1">
        <v>0</v>
      </c>
      <c r="T1309">
        <v>0</v>
      </c>
      <c r="U1309">
        <v>0</v>
      </c>
      <c r="V1309" s="21">
        <v>31200</v>
      </c>
      <c r="W1309">
        <v>30</v>
      </c>
      <c r="X1309">
        <v>0</v>
      </c>
      <c r="Y1309">
        <v>0</v>
      </c>
      <c r="Z1309">
        <v>0</v>
      </c>
      <c r="AA1309">
        <v>10</v>
      </c>
    </row>
    <row r="1310" spans="1:27" ht="14.25" x14ac:dyDescent="0.2">
      <c r="A1310" s="12">
        <v>30127</v>
      </c>
      <c r="B1310" t="s">
        <v>122</v>
      </c>
      <c r="C1310" t="s">
        <v>121</v>
      </c>
      <c r="D1310" t="s">
        <v>121</v>
      </c>
      <c r="E1310" t="s">
        <v>121</v>
      </c>
      <c r="F1310" s="4" t="s">
        <v>2032</v>
      </c>
      <c r="H1310">
        <v>2</v>
      </c>
      <c r="I1310" s="1">
        <v>0</v>
      </c>
      <c r="J1310">
        <v>0</v>
      </c>
      <c r="K1310">
        <v>0</v>
      </c>
      <c r="L1310" s="20">
        <v>20840</v>
      </c>
      <c r="M1310">
        <v>1</v>
      </c>
      <c r="N1310">
        <v>0</v>
      </c>
      <c r="O1310">
        <v>0</v>
      </c>
      <c r="P1310">
        <v>0</v>
      </c>
      <c r="Q1310" s="22">
        <v>62400</v>
      </c>
      <c r="R1310">
        <v>3</v>
      </c>
      <c r="S1310" s="1">
        <v>0</v>
      </c>
      <c r="T1310">
        <v>0</v>
      </c>
      <c r="U1310">
        <v>0</v>
      </c>
      <c r="V1310" s="21">
        <v>31200</v>
      </c>
      <c r="W1310">
        <v>4</v>
      </c>
      <c r="X1310">
        <v>0</v>
      </c>
      <c r="Y1310">
        <v>0</v>
      </c>
      <c r="Z1310">
        <v>0</v>
      </c>
      <c r="AA1310">
        <v>10</v>
      </c>
    </row>
    <row r="1311" spans="1:27" ht="14.25" x14ac:dyDescent="0.2">
      <c r="A1311" s="12">
        <v>30128</v>
      </c>
      <c r="B1311" t="s">
        <v>178</v>
      </c>
      <c r="C1311" t="s">
        <v>121</v>
      </c>
      <c r="D1311" t="s">
        <v>121</v>
      </c>
      <c r="E1311" t="s">
        <v>121</v>
      </c>
      <c r="F1311" s="4" t="s">
        <v>2034</v>
      </c>
      <c r="H1311">
        <v>2</v>
      </c>
      <c r="I1311" s="1">
        <v>0</v>
      </c>
      <c r="J1311">
        <v>0</v>
      </c>
      <c r="K1311">
        <v>0</v>
      </c>
      <c r="L1311" s="20">
        <v>20840</v>
      </c>
      <c r="M1311">
        <v>1</v>
      </c>
      <c r="N1311">
        <v>0</v>
      </c>
      <c r="O1311">
        <v>0</v>
      </c>
      <c r="P1311">
        <v>0</v>
      </c>
      <c r="Q1311" s="22">
        <v>62520</v>
      </c>
      <c r="R1311">
        <v>3</v>
      </c>
      <c r="S1311" s="1">
        <v>0</v>
      </c>
      <c r="T1311">
        <v>0</v>
      </c>
      <c r="U1311">
        <v>0</v>
      </c>
      <c r="V1311" s="21">
        <v>31260</v>
      </c>
      <c r="W1311">
        <v>21</v>
      </c>
      <c r="X1311">
        <v>0</v>
      </c>
      <c r="Y1311">
        <v>0</v>
      </c>
      <c r="Z1311">
        <v>0</v>
      </c>
      <c r="AA1311">
        <v>1</v>
      </c>
    </row>
    <row r="1312" spans="1:27" ht="14.25" x14ac:dyDescent="0.2">
      <c r="A1312" s="12">
        <v>30129</v>
      </c>
      <c r="B1312" t="s">
        <v>130</v>
      </c>
      <c r="C1312" t="s">
        <v>121</v>
      </c>
      <c r="D1312" t="s">
        <v>121</v>
      </c>
      <c r="E1312" t="s">
        <v>121</v>
      </c>
      <c r="F1312" s="4" t="s">
        <v>2036</v>
      </c>
      <c r="H1312">
        <v>2</v>
      </c>
      <c r="I1312" s="1">
        <v>0</v>
      </c>
      <c r="J1312">
        <v>0</v>
      </c>
      <c r="K1312">
        <v>0</v>
      </c>
      <c r="L1312" s="20">
        <v>20840</v>
      </c>
      <c r="M1312">
        <v>1</v>
      </c>
      <c r="N1312">
        <v>0</v>
      </c>
      <c r="O1312">
        <v>0</v>
      </c>
      <c r="P1312">
        <v>0</v>
      </c>
      <c r="Q1312" s="22">
        <v>62520</v>
      </c>
      <c r="R1312">
        <v>3</v>
      </c>
      <c r="S1312" s="1">
        <v>0</v>
      </c>
      <c r="T1312">
        <v>0</v>
      </c>
      <c r="U1312">
        <v>0</v>
      </c>
      <c r="V1312" s="21">
        <v>31260</v>
      </c>
      <c r="W1312">
        <v>9</v>
      </c>
      <c r="X1312">
        <v>0</v>
      </c>
      <c r="Y1312">
        <v>0</v>
      </c>
      <c r="Z1312">
        <v>0</v>
      </c>
      <c r="AA1312">
        <v>10</v>
      </c>
    </row>
    <row r="1313" spans="1:27" ht="14.25" x14ac:dyDescent="0.2">
      <c r="A1313" s="12">
        <v>30130</v>
      </c>
      <c r="B1313" t="s">
        <v>123</v>
      </c>
      <c r="C1313" t="s">
        <v>121</v>
      </c>
      <c r="D1313" t="s">
        <v>121</v>
      </c>
      <c r="E1313" t="s">
        <v>121</v>
      </c>
      <c r="F1313" s="4" t="s">
        <v>2036</v>
      </c>
      <c r="H1313">
        <v>2</v>
      </c>
      <c r="I1313" s="1">
        <v>0</v>
      </c>
      <c r="J1313">
        <v>0</v>
      </c>
      <c r="K1313">
        <v>0</v>
      </c>
      <c r="L1313" s="20">
        <v>20840</v>
      </c>
      <c r="M1313">
        <v>1</v>
      </c>
      <c r="N1313">
        <v>0</v>
      </c>
      <c r="O1313">
        <v>0</v>
      </c>
      <c r="P1313">
        <v>0</v>
      </c>
      <c r="Q1313" s="22">
        <v>62520</v>
      </c>
      <c r="R1313">
        <v>3</v>
      </c>
      <c r="S1313" s="1">
        <v>0</v>
      </c>
      <c r="T1313">
        <v>0</v>
      </c>
      <c r="U1313">
        <v>0</v>
      </c>
      <c r="V1313" s="21">
        <v>31260</v>
      </c>
      <c r="W1313">
        <v>12</v>
      </c>
      <c r="X1313">
        <v>0</v>
      </c>
      <c r="Y1313">
        <v>0</v>
      </c>
      <c r="Z1313">
        <v>0</v>
      </c>
      <c r="AA1313">
        <v>10</v>
      </c>
    </row>
    <row r="1314" spans="1:27" ht="14.25" x14ac:dyDescent="0.2">
      <c r="A1314" s="12">
        <v>30131</v>
      </c>
      <c r="B1314" t="s">
        <v>126</v>
      </c>
      <c r="C1314" t="s">
        <v>121</v>
      </c>
      <c r="D1314" t="s">
        <v>121</v>
      </c>
      <c r="E1314" t="s">
        <v>121</v>
      </c>
      <c r="F1314" s="4" t="s">
        <v>2038</v>
      </c>
      <c r="H1314">
        <v>2</v>
      </c>
      <c r="I1314" s="1">
        <v>0</v>
      </c>
      <c r="J1314">
        <v>0</v>
      </c>
      <c r="K1314">
        <v>0</v>
      </c>
      <c r="L1314" s="20">
        <v>20880</v>
      </c>
      <c r="M1314">
        <v>1</v>
      </c>
      <c r="N1314">
        <v>0</v>
      </c>
      <c r="O1314">
        <v>0</v>
      </c>
      <c r="P1314">
        <v>0</v>
      </c>
      <c r="Q1314" s="22">
        <v>62520</v>
      </c>
      <c r="R1314">
        <v>3</v>
      </c>
      <c r="S1314" s="1">
        <v>0</v>
      </c>
      <c r="T1314">
        <v>0</v>
      </c>
      <c r="U1314">
        <v>0</v>
      </c>
      <c r="V1314" s="21">
        <v>31260</v>
      </c>
      <c r="W1314">
        <v>23</v>
      </c>
      <c r="X1314">
        <v>0</v>
      </c>
      <c r="Y1314">
        <v>0</v>
      </c>
      <c r="Z1314">
        <v>0</v>
      </c>
      <c r="AA1314">
        <v>1</v>
      </c>
    </row>
    <row r="1315" spans="1:27" ht="14.25" x14ac:dyDescent="0.2">
      <c r="A1315" s="12">
        <v>30132</v>
      </c>
      <c r="B1315" t="s">
        <v>131</v>
      </c>
      <c r="C1315" t="s">
        <v>125</v>
      </c>
      <c r="D1315" t="s">
        <v>121</v>
      </c>
      <c r="E1315" t="s">
        <v>136</v>
      </c>
      <c r="F1315" s="4" t="s">
        <v>2040</v>
      </c>
      <c r="H1315">
        <v>2</v>
      </c>
      <c r="I1315" s="1">
        <v>0</v>
      </c>
      <c r="J1315">
        <v>0</v>
      </c>
      <c r="K1315">
        <v>0</v>
      </c>
      <c r="L1315" s="20">
        <v>20880</v>
      </c>
      <c r="M1315">
        <v>1</v>
      </c>
      <c r="N1315">
        <v>0</v>
      </c>
      <c r="O1315">
        <v>0</v>
      </c>
      <c r="P1315">
        <v>0</v>
      </c>
      <c r="Q1315" s="22">
        <v>62520</v>
      </c>
      <c r="R1315">
        <v>3</v>
      </c>
      <c r="S1315" s="1">
        <v>0</v>
      </c>
      <c r="T1315">
        <v>0</v>
      </c>
      <c r="U1315">
        <v>0</v>
      </c>
      <c r="V1315" s="21">
        <v>31260</v>
      </c>
      <c r="W1315">
        <v>6</v>
      </c>
      <c r="X1315">
        <v>1</v>
      </c>
      <c r="Y1315">
        <v>0</v>
      </c>
      <c r="Z1315">
        <v>3</v>
      </c>
      <c r="AA1315">
        <v>10</v>
      </c>
    </row>
    <row r="1316" spans="1:27" ht="14.25" x14ac:dyDescent="0.2">
      <c r="A1316" s="12">
        <v>30133</v>
      </c>
      <c r="B1316" t="s">
        <v>180</v>
      </c>
      <c r="C1316" t="s">
        <v>121</v>
      </c>
      <c r="D1316" t="s">
        <v>121</v>
      </c>
      <c r="E1316" t="s">
        <v>121</v>
      </c>
      <c r="F1316" s="4" t="s">
        <v>2042</v>
      </c>
      <c r="H1316">
        <v>2</v>
      </c>
      <c r="I1316" s="1">
        <v>0</v>
      </c>
      <c r="J1316">
        <v>0</v>
      </c>
      <c r="K1316">
        <v>0</v>
      </c>
      <c r="L1316" s="20">
        <v>20880</v>
      </c>
      <c r="M1316">
        <v>1</v>
      </c>
      <c r="N1316">
        <v>0</v>
      </c>
      <c r="O1316">
        <v>0</v>
      </c>
      <c r="P1316">
        <v>0</v>
      </c>
      <c r="Q1316" s="22">
        <v>62640</v>
      </c>
      <c r="R1316">
        <v>3</v>
      </c>
      <c r="S1316" s="1">
        <v>0</v>
      </c>
      <c r="T1316">
        <v>0</v>
      </c>
      <c r="U1316">
        <v>0</v>
      </c>
      <c r="V1316" s="21">
        <v>31320</v>
      </c>
      <c r="W1316">
        <v>15</v>
      </c>
      <c r="X1316">
        <v>0</v>
      </c>
      <c r="Y1316">
        <v>0</v>
      </c>
      <c r="Z1316">
        <v>0</v>
      </c>
      <c r="AA1316">
        <v>1</v>
      </c>
    </row>
    <row r="1317" spans="1:27" ht="14.25" x14ac:dyDescent="0.2">
      <c r="A1317" s="12">
        <v>30134</v>
      </c>
      <c r="B1317" t="s">
        <v>178</v>
      </c>
      <c r="C1317" t="s">
        <v>121</v>
      </c>
      <c r="D1317" t="s">
        <v>121</v>
      </c>
      <c r="E1317" t="s">
        <v>121</v>
      </c>
      <c r="F1317" s="4" t="s">
        <v>2042</v>
      </c>
      <c r="H1317">
        <v>2</v>
      </c>
      <c r="I1317" s="1">
        <v>0</v>
      </c>
      <c r="J1317">
        <v>0</v>
      </c>
      <c r="K1317">
        <v>0</v>
      </c>
      <c r="L1317" s="20">
        <v>20880</v>
      </c>
      <c r="M1317">
        <v>1</v>
      </c>
      <c r="N1317">
        <v>0</v>
      </c>
      <c r="O1317">
        <v>0</v>
      </c>
      <c r="P1317">
        <v>0</v>
      </c>
      <c r="Q1317" s="22">
        <v>62640</v>
      </c>
      <c r="R1317">
        <v>3</v>
      </c>
      <c r="S1317" s="1">
        <v>0</v>
      </c>
      <c r="T1317">
        <v>0</v>
      </c>
      <c r="U1317">
        <v>0</v>
      </c>
      <c r="V1317" s="21">
        <v>31320</v>
      </c>
      <c r="W1317">
        <v>21</v>
      </c>
      <c r="X1317">
        <v>0</v>
      </c>
      <c r="Y1317">
        <v>0</v>
      </c>
      <c r="Z1317">
        <v>0</v>
      </c>
      <c r="AA1317">
        <v>1</v>
      </c>
    </row>
    <row r="1318" spans="1:27" ht="14.25" x14ac:dyDescent="0.2">
      <c r="A1318" s="12">
        <v>30135</v>
      </c>
      <c r="B1318" t="s">
        <v>130</v>
      </c>
      <c r="C1318" t="s">
        <v>121</v>
      </c>
      <c r="D1318" t="s">
        <v>121</v>
      </c>
      <c r="E1318" t="s">
        <v>121</v>
      </c>
      <c r="F1318" s="4" t="s">
        <v>2044</v>
      </c>
      <c r="H1318">
        <v>2</v>
      </c>
      <c r="I1318" s="1">
        <v>0</v>
      </c>
      <c r="J1318">
        <v>0</v>
      </c>
      <c r="K1318">
        <v>0</v>
      </c>
      <c r="L1318" s="20">
        <v>20880</v>
      </c>
      <c r="M1318">
        <v>1</v>
      </c>
      <c r="N1318">
        <v>0</v>
      </c>
      <c r="O1318">
        <v>0</v>
      </c>
      <c r="P1318">
        <v>0</v>
      </c>
      <c r="Q1318" s="22">
        <v>62640</v>
      </c>
      <c r="R1318">
        <v>3</v>
      </c>
      <c r="S1318" s="1">
        <v>0</v>
      </c>
      <c r="T1318">
        <v>0</v>
      </c>
      <c r="U1318">
        <v>0</v>
      </c>
      <c r="V1318" s="21">
        <v>31320</v>
      </c>
      <c r="W1318">
        <v>9</v>
      </c>
      <c r="X1318">
        <v>0</v>
      </c>
      <c r="Y1318">
        <v>0</v>
      </c>
      <c r="Z1318">
        <v>0</v>
      </c>
      <c r="AA1318">
        <v>10</v>
      </c>
    </row>
    <row r="1319" spans="1:27" ht="14.25" x14ac:dyDescent="0.2">
      <c r="A1319" s="12">
        <v>30136</v>
      </c>
      <c r="B1319" t="s">
        <v>181</v>
      </c>
      <c r="C1319" t="s">
        <v>121</v>
      </c>
      <c r="D1319" t="s">
        <v>121</v>
      </c>
      <c r="E1319" t="s">
        <v>121</v>
      </c>
      <c r="F1319" s="4" t="s">
        <v>2046</v>
      </c>
      <c r="H1319">
        <v>2</v>
      </c>
      <c r="I1319" s="1">
        <v>0</v>
      </c>
      <c r="J1319">
        <v>0</v>
      </c>
      <c r="K1319">
        <v>0</v>
      </c>
      <c r="L1319" s="20">
        <v>20920</v>
      </c>
      <c r="M1319">
        <v>1</v>
      </c>
      <c r="N1319">
        <v>0</v>
      </c>
      <c r="O1319">
        <v>0</v>
      </c>
      <c r="P1319">
        <v>0</v>
      </c>
      <c r="Q1319" s="22">
        <v>62640</v>
      </c>
      <c r="R1319">
        <v>3</v>
      </c>
      <c r="S1319" s="1">
        <v>0</v>
      </c>
      <c r="T1319">
        <v>0</v>
      </c>
      <c r="U1319">
        <v>0</v>
      </c>
      <c r="V1319" s="21">
        <v>31320</v>
      </c>
      <c r="W1319">
        <v>30</v>
      </c>
      <c r="X1319">
        <v>0</v>
      </c>
      <c r="Y1319">
        <v>0</v>
      </c>
      <c r="Z1319">
        <v>0</v>
      </c>
      <c r="AA1319">
        <v>10</v>
      </c>
    </row>
    <row r="1320" spans="1:27" ht="14.25" x14ac:dyDescent="0.2">
      <c r="A1320" s="12">
        <v>30137</v>
      </c>
      <c r="B1320" t="s">
        <v>122</v>
      </c>
      <c r="C1320" t="s">
        <v>121</v>
      </c>
      <c r="D1320" t="s">
        <v>121</v>
      </c>
      <c r="E1320" t="s">
        <v>121</v>
      </c>
      <c r="F1320" s="4" t="s">
        <v>2046</v>
      </c>
      <c r="H1320">
        <v>2</v>
      </c>
      <c r="I1320" s="1">
        <v>0</v>
      </c>
      <c r="J1320">
        <v>0</v>
      </c>
      <c r="K1320">
        <v>0</v>
      </c>
      <c r="L1320" s="20">
        <v>20920</v>
      </c>
      <c r="M1320">
        <v>1</v>
      </c>
      <c r="N1320">
        <v>0</v>
      </c>
      <c r="O1320">
        <v>0</v>
      </c>
      <c r="P1320">
        <v>0</v>
      </c>
      <c r="Q1320" s="22">
        <v>62640</v>
      </c>
      <c r="R1320">
        <v>3</v>
      </c>
      <c r="S1320" s="1">
        <v>0</v>
      </c>
      <c r="T1320">
        <v>0</v>
      </c>
      <c r="U1320">
        <v>0</v>
      </c>
      <c r="V1320" s="21">
        <v>31320</v>
      </c>
      <c r="W1320">
        <v>4</v>
      </c>
      <c r="X1320">
        <v>0</v>
      </c>
      <c r="Y1320">
        <v>0</v>
      </c>
      <c r="Z1320">
        <v>0</v>
      </c>
      <c r="AA1320">
        <v>10</v>
      </c>
    </row>
    <row r="1321" spans="1:27" ht="14.25" x14ac:dyDescent="0.2">
      <c r="A1321" s="12">
        <v>30138</v>
      </c>
      <c r="B1321" t="s">
        <v>178</v>
      </c>
      <c r="C1321" t="s">
        <v>121</v>
      </c>
      <c r="D1321" t="s">
        <v>121</v>
      </c>
      <c r="E1321" t="s">
        <v>121</v>
      </c>
      <c r="F1321" s="4" t="s">
        <v>2048</v>
      </c>
      <c r="H1321">
        <v>2</v>
      </c>
      <c r="I1321" s="1">
        <v>0</v>
      </c>
      <c r="J1321">
        <v>0</v>
      </c>
      <c r="K1321">
        <v>0</v>
      </c>
      <c r="L1321" s="20">
        <v>20920</v>
      </c>
      <c r="M1321">
        <v>1</v>
      </c>
      <c r="N1321">
        <v>0</v>
      </c>
      <c r="O1321">
        <v>0</v>
      </c>
      <c r="P1321">
        <v>0</v>
      </c>
      <c r="Q1321" s="22">
        <v>62760</v>
      </c>
      <c r="R1321">
        <v>3</v>
      </c>
      <c r="S1321" s="1">
        <v>0</v>
      </c>
      <c r="T1321">
        <v>0</v>
      </c>
      <c r="U1321">
        <v>0</v>
      </c>
      <c r="V1321" s="21">
        <v>31380</v>
      </c>
      <c r="W1321">
        <v>21</v>
      </c>
      <c r="X1321">
        <v>0</v>
      </c>
      <c r="Y1321">
        <v>0</v>
      </c>
      <c r="Z1321">
        <v>0</v>
      </c>
      <c r="AA1321">
        <v>1</v>
      </c>
    </row>
    <row r="1322" spans="1:27" ht="14.25" x14ac:dyDescent="0.2">
      <c r="A1322" s="12">
        <v>30139</v>
      </c>
      <c r="B1322" t="s">
        <v>130</v>
      </c>
      <c r="C1322" t="s">
        <v>121</v>
      </c>
      <c r="D1322" t="s">
        <v>121</v>
      </c>
      <c r="E1322" t="s">
        <v>121</v>
      </c>
      <c r="F1322" s="4" t="s">
        <v>2050</v>
      </c>
      <c r="H1322">
        <v>2</v>
      </c>
      <c r="I1322" s="1">
        <v>0</v>
      </c>
      <c r="J1322">
        <v>0</v>
      </c>
      <c r="K1322">
        <v>0</v>
      </c>
      <c r="L1322" s="20">
        <v>20920</v>
      </c>
      <c r="M1322">
        <v>1</v>
      </c>
      <c r="N1322">
        <v>0</v>
      </c>
      <c r="O1322">
        <v>0</v>
      </c>
      <c r="P1322">
        <v>0</v>
      </c>
      <c r="Q1322" s="22">
        <v>62760</v>
      </c>
      <c r="R1322">
        <v>3</v>
      </c>
      <c r="S1322" s="1">
        <v>0</v>
      </c>
      <c r="T1322">
        <v>0</v>
      </c>
      <c r="U1322">
        <v>0</v>
      </c>
      <c r="V1322" s="21">
        <v>31380</v>
      </c>
      <c r="W1322">
        <v>9</v>
      </c>
      <c r="X1322">
        <v>0</v>
      </c>
      <c r="Y1322">
        <v>0</v>
      </c>
      <c r="Z1322">
        <v>0</v>
      </c>
      <c r="AA1322">
        <v>10</v>
      </c>
    </row>
    <row r="1323" spans="1:27" ht="14.25" x14ac:dyDescent="0.2">
      <c r="A1323" s="12">
        <v>30140</v>
      </c>
      <c r="B1323" t="s">
        <v>123</v>
      </c>
      <c r="C1323" t="s">
        <v>121</v>
      </c>
      <c r="D1323" t="s">
        <v>121</v>
      </c>
      <c r="E1323" t="s">
        <v>121</v>
      </c>
      <c r="F1323" s="4" t="s">
        <v>2050</v>
      </c>
      <c r="H1323">
        <v>2</v>
      </c>
      <c r="I1323" s="1">
        <v>0</v>
      </c>
      <c r="J1323">
        <v>0</v>
      </c>
      <c r="K1323">
        <v>0</v>
      </c>
      <c r="L1323" s="20">
        <v>20920</v>
      </c>
      <c r="M1323">
        <v>1</v>
      </c>
      <c r="N1323">
        <v>0</v>
      </c>
      <c r="O1323">
        <v>0</v>
      </c>
      <c r="P1323">
        <v>0</v>
      </c>
      <c r="Q1323" s="22">
        <v>62760</v>
      </c>
      <c r="R1323">
        <v>3</v>
      </c>
      <c r="S1323" s="1">
        <v>0</v>
      </c>
      <c r="T1323">
        <v>0</v>
      </c>
      <c r="U1323">
        <v>0</v>
      </c>
      <c r="V1323" s="21">
        <v>31380</v>
      </c>
      <c r="W1323">
        <v>12</v>
      </c>
      <c r="X1323">
        <v>0</v>
      </c>
      <c r="Y1323">
        <v>0</v>
      </c>
      <c r="Z1323">
        <v>0</v>
      </c>
      <c r="AA1323">
        <v>10</v>
      </c>
    </row>
    <row r="1324" spans="1:27" ht="14.25" x14ac:dyDescent="0.2">
      <c r="A1324" s="12">
        <v>30141</v>
      </c>
      <c r="B1324" t="s">
        <v>126</v>
      </c>
      <c r="C1324" t="s">
        <v>121</v>
      </c>
      <c r="D1324" t="s">
        <v>121</v>
      </c>
      <c r="E1324" t="s">
        <v>121</v>
      </c>
      <c r="F1324" s="4" t="s">
        <v>2052</v>
      </c>
      <c r="H1324">
        <v>2</v>
      </c>
      <c r="I1324" s="1">
        <v>0</v>
      </c>
      <c r="J1324">
        <v>0</v>
      </c>
      <c r="K1324">
        <v>0</v>
      </c>
      <c r="L1324" s="20">
        <v>20960</v>
      </c>
      <c r="M1324">
        <v>1</v>
      </c>
      <c r="N1324">
        <v>0</v>
      </c>
      <c r="O1324">
        <v>0</v>
      </c>
      <c r="P1324">
        <v>0</v>
      </c>
      <c r="Q1324" s="22">
        <v>62760</v>
      </c>
      <c r="R1324">
        <v>3</v>
      </c>
      <c r="S1324" s="1">
        <v>0</v>
      </c>
      <c r="T1324">
        <v>0</v>
      </c>
      <c r="U1324">
        <v>0</v>
      </c>
      <c r="V1324" s="21">
        <v>31380</v>
      </c>
      <c r="W1324">
        <v>23</v>
      </c>
      <c r="X1324">
        <v>0</v>
      </c>
      <c r="Y1324">
        <v>0</v>
      </c>
      <c r="Z1324">
        <v>0</v>
      </c>
      <c r="AA1324">
        <v>1</v>
      </c>
    </row>
    <row r="1325" spans="1:27" ht="14.25" x14ac:dyDescent="0.2">
      <c r="A1325" s="12">
        <v>30142</v>
      </c>
      <c r="B1325" t="s">
        <v>131</v>
      </c>
      <c r="C1325" t="s">
        <v>125</v>
      </c>
      <c r="D1325" t="s">
        <v>121</v>
      </c>
      <c r="E1325" t="s">
        <v>136</v>
      </c>
      <c r="F1325" s="4" t="s">
        <v>2054</v>
      </c>
      <c r="H1325">
        <v>2</v>
      </c>
      <c r="I1325" s="1">
        <v>0</v>
      </c>
      <c r="J1325">
        <v>0</v>
      </c>
      <c r="K1325">
        <v>0</v>
      </c>
      <c r="L1325" s="20">
        <v>20960</v>
      </c>
      <c r="M1325">
        <v>1</v>
      </c>
      <c r="N1325">
        <v>0</v>
      </c>
      <c r="O1325">
        <v>0</v>
      </c>
      <c r="P1325">
        <v>0</v>
      </c>
      <c r="Q1325" s="22">
        <v>62760</v>
      </c>
      <c r="R1325">
        <v>3</v>
      </c>
      <c r="S1325" s="1">
        <v>0</v>
      </c>
      <c r="T1325">
        <v>0</v>
      </c>
      <c r="U1325">
        <v>0</v>
      </c>
      <c r="V1325" s="21">
        <v>31380</v>
      </c>
      <c r="W1325">
        <v>6</v>
      </c>
      <c r="X1325">
        <v>1</v>
      </c>
      <c r="Y1325">
        <v>0</v>
      </c>
      <c r="Z1325">
        <v>3</v>
      </c>
      <c r="AA1325">
        <v>10</v>
      </c>
    </row>
    <row r="1326" spans="1:27" ht="14.25" x14ac:dyDescent="0.2">
      <c r="A1326" s="12">
        <v>30143</v>
      </c>
      <c r="B1326" t="s">
        <v>180</v>
      </c>
      <c r="C1326" t="s">
        <v>121</v>
      </c>
      <c r="D1326" t="s">
        <v>121</v>
      </c>
      <c r="E1326" t="s">
        <v>121</v>
      </c>
      <c r="F1326" s="4" t="s">
        <v>2056</v>
      </c>
      <c r="H1326">
        <v>2</v>
      </c>
      <c r="I1326" s="1">
        <v>0</v>
      </c>
      <c r="J1326">
        <v>0</v>
      </c>
      <c r="K1326">
        <v>0</v>
      </c>
      <c r="L1326" s="20">
        <v>20960</v>
      </c>
      <c r="M1326">
        <v>1</v>
      </c>
      <c r="N1326">
        <v>0</v>
      </c>
      <c r="O1326">
        <v>0</v>
      </c>
      <c r="P1326">
        <v>0</v>
      </c>
      <c r="Q1326" s="22">
        <v>62880</v>
      </c>
      <c r="R1326">
        <v>3</v>
      </c>
      <c r="S1326" s="1">
        <v>0</v>
      </c>
      <c r="T1326">
        <v>0</v>
      </c>
      <c r="U1326">
        <v>0</v>
      </c>
      <c r="V1326" s="21">
        <v>31440</v>
      </c>
      <c r="W1326">
        <v>15</v>
      </c>
      <c r="X1326">
        <v>0</v>
      </c>
      <c r="Y1326">
        <v>0</v>
      </c>
      <c r="Z1326">
        <v>0</v>
      </c>
      <c r="AA1326">
        <v>1</v>
      </c>
    </row>
    <row r="1327" spans="1:27" ht="14.25" x14ac:dyDescent="0.2">
      <c r="A1327" s="12">
        <v>30144</v>
      </c>
      <c r="B1327" t="s">
        <v>178</v>
      </c>
      <c r="C1327" t="s">
        <v>121</v>
      </c>
      <c r="D1327" t="s">
        <v>121</v>
      </c>
      <c r="E1327" t="s">
        <v>121</v>
      </c>
      <c r="F1327" s="4" t="s">
        <v>2056</v>
      </c>
      <c r="H1327">
        <v>2</v>
      </c>
      <c r="I1327" s="1">
        <v>0</v>
      </c>
      <c r="J1327">
        <v>0</v>
      </c>
      <c r="K1327">
        <v>0</v>
      </c>
      <c r="L1327" s="20">
        <v>20960</v>
      </c>
      <c r="M1327">
        <v>1</v>
      </c>
      <c r="N1327">
        <v>0</v>
      </c>
      <c r="O1327">
        <v>0</v>
      </c>
      <c r="P1327">
        <v>0</v>
      </c>
      <c r="Q1327" s="22">
        <v>62880</v>
      </c>
      <c r="R1327">
        <v>3</v>
      </c>
      <c r="S1327" s="1">
        <v>0</v>
      </c>
      <c r="T1327">
        <v>0</v>
      </c>
      <c r="U1327">
        <v>0</v>
      </c>
      <c r="V1327" s="21">
        <v>31440</v>
      </c>
      <c r="W1327">
        <v>21</v>
      </c>
      <c r="X1327">
        <v>0</v>
      </c>
      <c r="Y1327">
        <v>0</v>
      </c>
      <c r="Z1327">
        <v>0</v>
      </c>
      <c r="AA1327">
        <v>1</v>
      </c>
    </row>
    <row r="1328" spans="1:27" ht="14.25" x14ac:dyDescent="0.2">
      <c r="A1328" s="12">
        <v>30145</v>
      </c>
      <c r="B1328" t="s">
        <v>130</v>
      </c>
      <c r="C1328" t="s">
        <v>121</v>
      </c>
      <c r="D1328" t="s">
        <v>121</v>
      </c>
      <c r="E1328" t="s">
        <v>121</v>
      </c>
      <c r="F1328" s="4" t="s">
        <v>2058</v>
      </c>
      <c r="H1328">
        <v>2</v>
      </c>
      <c r="I1328" s="1">
        <v>0</v>
      </c>
      <c r="J1328">
        <v>0</v>
      </c>
      <c r="K1328">
        <v>0</v>
      </c>
      <c r="L1328" s="20">
        <v>20960</v>
      </c>
      <c r="M1328">
        <v>1</v>
      </c>
      <c r="N1328">
        <v>0</v>
      </c>
      <c r="O1328">
        <v>0</v>
      </c>
      <c r="P1328">
        <v>0</v>
      </c>
      <c r="Q1328" s="22">
        <v>62880</v>
      </c>
      <c r="R1328">
        <v>3</v>
      </c>
      <c r="S1328" s="1">
        <v>0</v>
      </c>
      <c r="T1328">
        <v>0</v>
      </c>
      <c r="U1328">
        <v>0</v>
      </c>
      <c r="V1328" s="21">
        <v>31440</v>
      </c>
      <c r="W1328">
        <v>9</v>
      </c>
      <c r="X1328">
        <v>0</v>
      </c>
      <c r="Y1328">
        <v>0</v>
      </c>
      <c r="Z1328">
        <v>0</v>
      </c>
      <c r="AA1328">
        <v>10</v>
      </c>
    </row>
    <row r="1329" spans="1:27" ht="14.25" x14ac:dyDescent="0.2">
      <c r="A1329" s="12">
        <v>30146</v>
      </c>
      <c r="B1329" t="s">
        <v>181</v>
      </c>
      <c r="C1329" t="s">
        <v>121</v>
      </c>
      <c r="D1329" t="s">
        <v>121</v>
      </c>
      <c r="E1329" t="s">
        <v>121</v>
      </c>
      <c r="F1329" s="4" t="s">
        <v>2060</v>
      </c>
      <c r="H1329">
        <v>2</v>
      </c>
      <c r="I1329" s="1">
        <v>0</v>
      </c>
      <c r="J1329">
        <v>0</v>
      </c>
      <c r="K1329">
        <v>0</v>
      </c>
      <c r="L1329" s="20">
        <v>21000</v>
      </c>
      <c r="M1329">
        <v>1</v>
      </c>
      <c r="N1329">
        <v>0</v>
      </c>
      <c r="O1329">
        <v>0</v>
      </c>
      <c r="P1329">
        <v>0</v>
      </c>
      <c r="Q1329" s="22">
        <v>62880</v>
      </c>
      <c r="R1329">
        <v>3</v>
      </c>
      <c r="S1329" s="1">
        <v>0</v>
      </c>
      <c r="T1329">
        <v>0</v>
      </c>
      <c r="U1329">
        <v>0</v>
      </c>
      <c r="V1329" s="21">
        <v>31440</v>
      </c>
      <c r="W1329">
        <v>30</v>
      </c>
      <c r="X1329">
        <v>0</v>
      </c>
      <c r="Y1329">
        <v>0</v>
      </c>
      <c r="Z1329">
        <v>0</v>
      </c>
      <c r="AA1329">
        <v>10</v>
      </c>
    </row>
    <row r="1330" spans="1:27" ht="14.25" x14ac:dyDescent="0.2">
      <c r="A1330" s="12">
        <v>30147</v>
      </c>
      <c r="B1330" t="s">
        <v>122</v>
      </c>
      <c r="C1330" t="s">
        <v>121</v>
      </c>
      <c r="D1330" t="s">
        <v>121</v>
      </c>
      <c r="E1330" t="s">
        <v>121</v>
      </c>
      <c r="F1330" s="4" t="s">
        <v>2060</v>
      </c>
      <c r="H1330">
        <v>2</v>
      </c>
      <c r="I1330" s="1">
        <v>0</v>
      </c>
      <c r="J1330">
        <v>0</v>
      </c>
      <c r="K1330">
        <v>0</v>
      </c>
      <c r="L1330" s="20">
        <v>21000</v>
      </c>
      <c r="M1330">
        <v>1</v>
      </c>
      <c r="N1330">
        <v>0</v>
      </c>
      <c r="O1330">
        <v>0</v>
      </c>
      <c r="P1330">
        <v>0</v>
      </c>
      <c r="Q1330" s="22">
        <v>62880</v>
      </c>
      <c r="R1330">
        <v>3</v>
      </c>
      <c r="S1330" s="1">
        <v>0</v>
      </c>
      <c r="T1330">
        <v>0</v>
      </c>
      <c r="U1330">
        <v>0</v>
      </c>
      <c r="V1330" s="21">
        <v>31440</v>
      </c>
      <c r="W1330">
        <v>4</v>
      </c>
      <c r="X1330">
        <v>0</v>
      </c>
      <c r="Y1330">
        <v>0</v>
      </c>
      <c r="Z1330">
        <v>0</v>
      </c>
      <c r="AA1330">
        <v>10</v>
      </c>
    </row>
    <row r="1331" spans="1:27" ht="14.25" x14ac:dyDescent="0.2">
      <c r="A1331" s="12">
        <v>30148</v>
      </c>
      <c r="B1331" t="s">
        <v>178</v>
      </c>
      <c r="C1331" t="s">
        <v>121</v>
      </c>
      <c r="D1331" t="s">
        <v>121</v>
      </c>
      <c r="E1331" t="s">
        <v>121</v>
      </c>
      <c r="F1331" s="4" t="s">
        <v>2062</v>
      </c>
      <c r="H1331">
        <v>2</v>
      </c>
      <c r="I1331" s="1">
        <v>0</v>
      </c>
      <c r="J1331">
        <v>0</v>
      </c>
      <c r="K1331">
        <v>0</v>
      </c>
      <c r="L1331" s="20">
        <v>21000</v>
      </c>
      <c r="M1331">
        <v>1</v>
      </c>
      <c r="N1331">
        <v>0</v>
      </c>
      <c r="O1331">
        <v>0</v>
      </c>
      <c r="P1331">
        <v>0</v>
      </c>
      <c r="Q1331" s="22">
        <v>63000</v>
      </c>
      <c r="R1331">
        <v>3</v>
      </c>
      <c r="S1331" s="1">
        <v>0</v>
      </c>
      <c r="T1331">
        <v>0</v>
      </c>
      <c r="U1331">
        <v>0</v>
      </c>
      <c r="V1331" s="21">
        <v>31500</v>
      </c>
      <c r="W1331">
        <v>21</v>
      </c>
      <c r="X1331">
        <v>0</v>
      </c>
      <c r="Y1331">
        <v>0</v>
      </c>
      <c r="Z1331">
        <v>0</v>
      </c>
      <c r="AA1331">
        <v>1</v>
      </c>
    </row>
    <row r="1332" spans="1:27" ht="14.25" x14ac:dyDescent="0.2">
      <c r="A1332" s="12">
        <v>30149</v>
      </c>
      <c r="B1332" t="s">
        <v>130</v>
      </c>
      <c r="C1332" t="s">
        <v>121</v>
      </c>
      <c r="D1332" t="s">
        <v>121</v>
      </c>
      <c r="E1332" t="s">
        <v>121</v>
      </c>
      <c r="F1332" s="4" t="s">
        <v>2064</v>
      </c>
      <c r="H1332">
        <v>2</v>
      </c>
      <c r="I1332" s="1">
        <v>0</v>
      </c>
      <c r="J1332">
        <v>0</v>
      </c>
      <c r="K1332">
        <v>0</v>
      </c>
      <c r="L1332" s="20">
        <v>21000</v>
      </c>
      <c r="M1332">
        <v>1</v>
      </c>
      <c r="N1332">
        <v>0</v>
      </c>
      <c r="O1332">
        <v>0</v>
      </c>
      <c r="P1332">
        <v>0</v>
      </c>
      <c r="Q1332" s="22">
        <v>63000</v>
      </c>
      <c r="R1332">
        <v>3</v>
      </c>
      <c r="S1332" s="1">
        <v>0</v>
      </c>
      <c r="T1332">
        <v>0</v>
      </c>
      <c r="U1332">
        <v>0</v>
      </c>
      <c r="V1332" s="21">
        <v>31500</v>
      </c>
      <c r="W1332">
        <v>9</v>
      </c>
      <c r="X1332">
        <v>0</v>
      </c>
      <c r="Y1332">
        <v>0</v>
      </c>
      <c r="Z1332">
        <v>0</v>
      </c>
      <c r="AA1332">
        <v>10</v>
      </c>
    </row>
    <row r="1333" spans="1:27" ht="14.25" x14ac:dyDescent="0.2">
      <c r="A1333" s="12">
        <v>30150</v>
      </c>
      <c r="B1333" t="s">
        <v>123</v>
      </c>
      <c r="C1333" t="s">
        <v>121</v>
      </c>
      <c r="D1333" t="s">
        <v>121</v>
      </c>
      <c r="E1333" t="s">
        <v>121</v>
      </c>
      <c r="F1333" s="4" t="s">
        <v>2064</v>
      </c>
      <c r="H1333">
        <v>2</v>
      </c>
      <c r="I1333" s="1">
        <v>0</v>
      </c>
      <c r="J1333">
        <v>0</v>
      </c>
      <c r="K1333">
        <v>0</v>
      </c>
      <c r="L1333" s="20">
        <v>21000</v>
      </c>
      <c r="M1333">
        <v>1</v>
      </c>
      <c r="N1333">
        <v>0</v>
      </c>
      <c r="O1333">
        <v>0</v>
      </c>
      <c r="P1333">
        <v>0</v>
      </c>
      <c r="Q1333" s="22">
        <v>63000</v>
      </c>
      <c r="R1333">
        <v>3</v>
      </c>
      <c r="S1333" s="1">
        <v>0</v>
      </c>
      <c r="T1333">
        <v>0</v>
      </c>
      <c r="U1333">
        <v>0</v>
      </c>
      <c r="V1333" s="21">
        <v>31500</v>
      </c>
      <c r="W1333">
        <v>12</v>
      </c>
      <c r="X1333">
        <v>0</v>
      </c>
      <c r="Y1333">
        <v>0</v>
      </c>
      <c r="Z1333">
        <v>0</v>
      </c>
      <c r="AA1333">
        <v>10</v>
      </c>
    </row>
    <row r="1334" spans="1:27" ht="14.25" x14ac:dyDescent="0.2">
      <c r="A1334" s="12">
        <v>30201</v>
      </c>
      <c r="B1334" t="s">
        <v>126</v>
      </c>
      <c r="C1334" t="s">
        <v>121</v>
      </c>
      <c r="D1334" t="s">
        <v>121</v>
      </c>
      <c r="E1334" t="s">
        <v>121</v>
      </c>
      <c r="F1334" s="4" t="s">
        <v>2066</v>
      </c>
      <c r="H1334">
        <v>2</v>
      </c>
      <c r="I1334" s="1">
        <v>0</v>
      </c>
      <c r="J1334">
        <v>0</v>
      </c>
      <c r="K1334">
        <v>0</v>
      </c>
      <c r="L1334" s="20">
        <v>21040</v>
      </c>
      <c r="M1334">
        <v>1</v>
      </c>
      <c r="N1334">
        <v>0</v>
      </c>
      <c r="O1334">
        <v>0</v>
      </c>
      <c r="P1334">
        <v>0</v>
      </c>
      <c r="Q1334" s="22">
        <v>63000</v>
      </c>
      <c r="R1334">
        <v>3</v>
      </c>
      <c r="S1334" s="1">
        <v>0</v>
      </c>
      <c r="T1334">
        <v>0</v>
      </c>
      <c r="U1334">
        <v>0</v>
      </c>
      <c r="V1334" s="21">
        <v>31500</v>
      </c>
      <c r="W1334">
        <v>23</v>
      </c>
      <c r="X1334">
        <v>0</v>
      </c>
      <c r="Y1334">
        <v>0</v>
      </c>
      <c r="Z1334">
        <v>0</v>
      </c>
      <c r="AA1334">
        <v>1</v>
      </c>
    </row>
    <row r="1335" spans="1:27" ht="14.25" x14ac:dyDescent="0.2">
      <c r="A1335" s="12">
        <v>30202</v>
      </c>
      <c r="B1335" t="s">
        <v>131</v>
      </c>
      <c r="C1335" t="s">
        <v>125</v>
      </c>
      <c r="D1335" t="s">
        <v>121</v>
      </c>
      <c r="E1335" t="s">
        <v>136</v>
      </c>
      <c r="F1335" s="4" t="s">
        <v>2068</v>
      </c>
      <c r="H1335">
        <v>2</v>
      </c>
      <c r="I1335" s="1">
        <v>0</v>
      </c>
      <c r="J1335">
        <v>0</v>
      </c>
      <c r="K1335">
        <v>0</v>
      </c>
      <c r="L1335" s="20">
        <v>21040</v>
      </c>
      <c r="M1335">
        <v>1</v>
      </c>
      <c r="N1335">
        <v>0</v>
      </c>
      <c r="O1335">
        <v>0</v>
      </c>
      <c r="P1335">
        <v>0</v>
      </c>
      <c r="Q1335" s="22">
        <v>63000</v>
      </c>
      <c r="R1335">
        <v>3</v>
      </c>
      <c r="S1335" s="1">
        <v>0</v>
      </c>
      <c r="T1335">
        <v>0</v>
      </c>
      <c r="U1335">
        <v>0</v>
      </c>
      <c r="V1335" s="21">
        <v>31500</v>
      </c>
      <c r="W1335">
        <v>6</v>
      </c>
      <c r="X1335">
        <v>1</v>
      </c>
      <c r="Y1335">
        <v>0</v>
      </c>
      <c r="Z1335">
        <v>3</v>
      </c>
      <c r="AA1335">
        <v>10</v>
      </c>
    </row>
    <row r="1336" spans="1:27" ht="14.25" x14ac:dyDescent="0.2">
      <c r="A1336" s="12">
        <v>30203</v>
      </c>
      <c r="B1336" t="s">
        <v>180</v>
      </c>
      <c r="C1336" t="s">
        <v>121</v>
      </c>
      <c r="D1336" t="s">
        <v>121</v>
      </c>
      <c r="E1336" t="s">
        <v>121</v>
      </c>
      <c r="F1336" s="4" t="s">
        <v>2070</v>
      </c>
      <c r="H1336">
        <v>2</v>
      </c>
      <c r="I1336" s="1">
        <v>0</v>
      </c>
      <c r="J1336">
        <v>0</v>
      </c>
      <c r="K1336">
        <v>0</v>
      </c>
      <c r="L1336" s="20">
        <v>21040</v>
      </c>
      <c r="M1336">
        <v>1</v>
      </c>
      <c r="N1336">
        <v>0</v>
      </c>
      <c r="O1336">
        <v>0</v>
      </c>
      <c r="P1336">
        <v>0</v>
      </c>
      <c r="Q1336" s="22">
        <v>63120</v>
      </c>
      <c r="R1336">
        <v>3</v>
      </c>
      <c r="S1336" s="1">
        <v>0</v>
      </c>
      <c r="T1336">
        <v>0</v>
      </c>
      <c r="U1336">
        <v>0</v>
      </c>
      <c r="V1336" s="21">
        <v>31560</v>
      </c>
      <c r="W1336">
        <v>15</v>
      </c>
      <c r="X1336">
        <v>0</v>
      </c>
      <c r="Y1336">
        <v>0</v>
      </c>
      <c r="Z1336">
        <v>0</v>
      </c>
      <c r="AA1336">
        <v>1</v>
      </c>
    </row>
    <row r="1337" spans="1:27" ht="14.25" x14ac:dyDescent="0.2">
      <c r="A1337" s="12">
        <v>30204</v>
      </c>
      <c r="B1337" t="s">
        <v>178</v>
      </c>
      <c r="C1337" t="s">
        <v>121</v>
      </c>
      <c r="D1337" t="s">
        <v>121</v>
      </c>
      <c r="E1337" t="s">
        <v>121</v>
      </c>
      <c r="F1337" s="4" t="s">
        <v>2070</v>
      </c>
      <c r="H1337">
        <v>2</v>
      </c>
      <c r="I1337" s="1">
        <v>0</v>
      </c>
      <c r="J1337">
        <v>0</v>
      </c>
      <c r="K1337">
        <v>0</v>
      </c>
      <c r="L1337" s="20">
        <v>21040</v>
      </c>
      <c r="M1337">
        <v>1</v>
      </c>
      <c r="N1337">
        <v>0</v>
      </c>
      <c r="O1337">
        <v>0</v>
      </c>
      <c r="P1337">
        <v>0</v>
      </c>
      <c r="Q1337" s="22">
        <v>63120</v>
      </c>
      <c r="R1337">
        <v>3</v>
      </c>
      <c r="S1337" s="1">
        <v>0</v>
      </c>
      <c r="T1337">
        <v>0</v>
      </c>
      <c r="U1337">
        <v>0</v>
      </c>
      <c r="V1337" s="21">
        <v>31560</v>
      </c>
      <c r="W1337">
        <v>21</v>
      </c>
      <c r="X1337">
        <v>0</v>
      </c>
      <c r="Y1337">
        <v>0</v>
      </c>
      <c r="Z1337">
        <v>0</v>
      </c>
      <c r="AA1337">
        <v>1</v>
      </c>
    </row>
    <row r="1338" spans="1:27" ht="14.25" x14ac:dyDescent="0.2">
      <c r="A1338" s="12">
        <v>30205</v>
      </c>
      <c r="B1338" t="s">
        <v>130</v>
      </c>
      <c r="C1338" t="s">
        <v>121</v>
      </c>
      <c r="D1338" t="s">
        <v>121</v>
      </c>
      <c r="E1338" t="s">
        <v>121</v>
      </c>
      <c r="F1338" s="4" t="s">
        <v>2072</v>
      </c>
      <c r="H1338">
        <v>2</v>
      </c>
      <c r="I1338" s="1">
        <v>0</v>
      </c>
      <c r="J1338">
        <v>0</v>
      </c>
      <c r="K1338">
        <v>0</v>
      </c>
      <c r="L1338" s="20">
        <v>21040</v>
      </c>
      <c r="M1338">
        <v>1</v>
      </c>
      <c r="N1338">
        <v>0</v>
      </c>
      <c r="O1338">
        <v>0</v>
      </c>
      <c r="P1338">
        <v>0</v>
      </c>
      <c r="Q1338" s="22">
        <v>63120</v>
      </c>
      <c r="R1338">
        <v>3</v>
      </c>
      <c r="S1338" s="1">
        <v>0</v>
      </c>
      <c r="T1338">
        <v>0</v>
      </c>
      <c r="U1338">
        <v>0</v>
      </c>
      <c r="V1338" s="21">
        <v>31560</v>
      </c>
      <c r="W1338">
        <v>9</v>
      </c>
      <c r="X1338">
        <v>0</v>
      </c>
      <c r="Y1338">
        <v>0</v>
      </c>
      <c r="Z1338">
        <v>0</v>
      </c>
      <c r="AA1338">
        <v>10</v>
      </c>
    </row>
    <row r="1339" spans="1:27" ht="14.25" x14ac:dyDescent="0.2">
      <c r="A1339" s="12">
        <v>30206</v>
      </c>
      <c r="B1339" t="s">
        <v>181</v>
      </c>
      <c r="C1339" t="s">
        <v>121</v>
      </c>
      <c r="D1339" t="s">
        <v>121</v>
      </c>
      <c r="E1339" t="s">
        <v>121</v>
      </c>
      <c r="F1339" s="4" t="s">
        <v>2074</v>
      </c>
      <c r="H1339">
        <v>2</v>
      </c>
      <c r="I1339" s="1">
        <v>0</v>
      </c>
      <c r="J1339">
        <v>0</v>
      </c>
      <c r="K1339">
        <v>0</v>
      </c>
      <c r="L1339" s="20">
        <v>21080</v>
      </c>
      <c r="M1339">
        <v>1</v>
      </c>
      <c r="N1339">
        <v>0</v>
      </c>
      <c r="O1339">
        <v>0</v>
      </c>
      <c r="P1339">
        <v>0</v>
      </c>
      <c r="Q1339" s="22">
        <v>63120</v>
      </c>
      <c r="R1339">
        <v>3</v>
      </c>
      <c r="S1339" s="1">
        <v>0</v>
      </c>
      <c r="T1339">
        <v>0</v>
      </c>
      <c r="U1339">
        <v>0</v>
      </c>
      <c r="V1339" s="21">
        <v>31560</v>
      </c>
      <c r="W1339">
        <v>30</v>
      </c>
      <c r="X1339">
        <v>0</v>
      </c>
      <c r="Y1339">
        <v>0</v>
      </c>
      <c r="Z1339">
        <v>0</v>
      </c>
      <c r="AA1339">
        <v>10</v>
      </c>
    </row>
    <row r="1340" spans="1:27" ht="14.25" x14ac:dyDescent="0.2">
      <c r="A1340" s="12">
        <v>30207</v>
      </c>
      <c r="B1340" t="s">
        <v>122</v>
      </c>
      <c r="C1340" t="s">
        <v>121</v>
      </c>
      <c r="D1340" t="s">
        <v>121</v>
      </c>
      <c r="E1340" t="s">
        <v>121</v>
      </c>
      <c r="F1340" s="4" t="s">
        <v>2074</v>
      </c>
      <c r="H1340">
        <v>2</v>
      </c>
      <c r="I1340" s="1">
        <v>0</v>
      </c>
      <c r="J1340">
        <v>0</v>
      </c>
      <c r="K1340">
        <v>0</v>
      </c>
      <c r="L1340" s="20">
        <v>21080</v>
      </c>
      <c r="M1340">
        <v>1</v>
      </c>
      <c r="N1340">
        <v>0</v>
      </c>
      <c r="O1340">
        <v>0</v>
      </c>
      <c r="P1340">
        <v>0</v>
      </c>
      <c r="Q1340" s="22">
        <v>63120</v>
      </c>
      <c r="R1340">
        <v>3</v>
      </c>
      <c r="S1340" s="1">
        <v>0</v>
      </c>
      <c r="T1340">
        <v>0</v>
      </c>
      <c r="U1340">
        <v>0</v>
      </c>
      <c r="V1340" s="21">
        <v>31560</v>
      </c>
      <c r="W1340">
        <v>4</v>
      </c>
      <c r="X1340">
        <v>0</v>
      </c>
      <c r="Y1340">
        <v>0</v>
      </c>
      <c r="Z1340">
        <v>0</v>
      </c>
      <c r="AA1340">
        <v>10</v>
      </c>
    </row>
    <row r="1341" spans="1:27" ht="14.25" x14ac:dyDescent="0.2">
      <c r="A1341" s="12">
        <v>30208</v>
      </c>
      <c r="B1341" t="s">
        <v>178</v>
      </c>
      <c r="C1341" t="s">
        <v>121</v>
      </c>
      <c r="D1341" t="s">
        <v>121</v>
      </c>
      <c r="E1341" t="s">
        <v>121</v>
      </c>
      <c r="F1341" s="4" t="s">
        <v>2076</v>
      </c>
      <c r="H1341">
        <v>2</v>
      </c>
      <c r="I1341" s="1">
        <v>0</v>
      </c>
      <c r="J1341">
        <v>0</v>
      </c>
      <c r="K1341">
        <v>0</v>
      </c>
      <c r="L1341" s="20">
        <v>21080</v>
      </c>
      <c r="M1341">
        <v>1</v>
      </c>
      <c r="N1341">
        <v>0</v>
      </c>
      <c r="O1341">
        <v>0</v>
      </c>
      <c r="P1341">
        <v>0</v>
      </c>
      <c r="Q1341" s="22">
        <v>63240</v>
      </c>
      <c r="R1341">
        <v>3</v>
      </c>
      <c r="S1341" s="1">
        <v>0</v>
      </c>
      <c r="T1341">
        <v>0</v>
      </c>
      <c r="U1341">
        <v>0</v>
      </c>
      <c r="V1341" s="21">
        <v>31620</v>
      </c>
      <c r="W1341">
        <v>21</v>
      </c>
      <c r="X1341">
        <v>0</v>
      </c>
      <c r="Y1341">
        <v>0</v>
      </c>
      <c r="Z1341">
        <v>0</v>
      </c>
      <c r="AA1341">
        <v>1</v>
      </c>
    </row>
    <row r="1342" spans="1:27" ht="14.25" x14ac:dyDescent="0.2">
      <c r="A1342" s="12">
        <v>30209</v>
      </c>
      <c r="B1342" t="s">
        <v>130</v>
      </c>
      <c r="C1342" t="s">
        <v>121</v>
      </c>
      <c r="D1342" t="s">
        <v>121</v>
      </c>
      <c r="E1342" t="s">
        <v>121</v>
      </c>
      <c r="F1342" s="4" t="s">
        <v>2078</v>
      </c>
      <c r="H1342">
        <v>2</v>
      </c>
      <c r="I1342" s="1">
        <v>0</v>
      </c>
      <c r="J1342">
        <v>0</v>
      </c>
      <c r="K1342">
        <v>0</v>
      </c>
      <c r="L1342" s="20">
        <v>21080</v>
      </c>
      <c r="M1342">
        <v>1</v>
      </c>
      <c r="N1342">
        <v>0</v>
      </c>
      <c r="O1342">
        <v>0</v>
      </c>
      <c r="P1342">
        <v>0</v>
      </c>
      <c r="Q1342" s="22">
        <v>63240</v>
      </c>
      <c r="R1342">
        <v>3</v>
      </c>
      <c r="S1342" s="1">
        <v>0</v>
      </c>
      <c r="T1342">
        <v>0</v>
      </c>
      <c r="U1342">
        <v>0</v>
      </c>
      <c r="V1342" s="21">
        <v>31620</v>
      </c>
      <c r="W1342">
        <v>9</v>
      </c>
      <c r="X1342">
        <v>0</v>
      </c>
      <c r="Y1342">
        <v>0</v>
      </c>
      <c r="Z1342">
        <v>0</v>
      </c>
      <c r="AA1342">
        <v>10</v>
      </c>
    </row>
    <row r="1343" spans="1:27" ht="14.25" x14ac:dyDescent="0.2">
      <c r="A1343" s="12">
        <v>30210</v>
      </c>
      <c r="B1343" t="s">
        <v>123</v>
      </c>
      <c r="C1343" t="s">
        <v>121</v>
      </c>
      <c r="D1343" t="s">
        <v>121</v>
      </c>
      <c r="E1343" t="s">
        <v>121</v>
      </c>
      <c r="F1343" s="4" t="s">
        <v>2078</v>
      </c>
      <c r="H1343">
        <v>2</v>
      </c>
      <c r="I1343" s="1">
        <v>0</v>
      </c>
      <c r="J1343">
        <v>0</v>
      </c>
      <c r="K1343">
        <v>0</v>
      </c>
      <c r="L1343" s="20">
        <v>21080</v>
      </c>
      <c r="M1343">
        <v>1</v>
      </c>
      <c r="N1343">
        <v>0</v>
      </c>
      <c r="O1343">
        <v>0</v>
      </c>
      <c r="P1343">
        <v>0</v>
      </c>
      <c r="Q1343" s="22">
        <v>63240</v>
      </c>
      <c r="R1343">
        <v>3</v>
      </c>
      <c r="S1343" s="1">
        <v>0</v>
      </c>
      <c r="T1343">
        <v>0</v>
      </c>
      <c r="U1343">
        <v>0</v>
      </c>
      <c r="V1343" s="21">
        <v>31620</v>
      </c>
      <c r="W1343">
        <v>12</v>
      </c>
      <c r="X1343">
        <v>0</v>
      </c>
      <c r="Y1343">
        <v>0</v>
      </c>
      <c r="Z1343">
        <v>0</v>
      </c>
      <c r="AA1343">
        <v>10</v>
      </c>
    </row>
    <row r="1344" spans="1:27" ht="14.25" x14ac:dyDescent="0.2">
      <c r="A1344" s="12">
        <v>30211</v>
      </c>
      <c r="B1344" t="s">
        <v>126</v>
      </c>
      <c r="C1344" t="s">
        <v>121</v>
      </c>
      <c r="D1344" t="s">
        <v>121</v>
      </c>
      <c r="E1344" t="s">
        <v>121</v>
      </c>
      <c r="F1344" s="4" t="s">
        <v>2080</v>
      </c>
      <c r="H1344">
        <v>2</v>
      </c>
      <c r="I1344" s="1">
        <v>0</v>
      </c>
      <c r="J1344">
        <v>0</v>
      </c>
      <c r="K1344">
        <v>0</v>
      </c>
      <c r="L1344" s="20">
        <v>21120</v>
      </c>
      <c r="M1344">
        <v>1</v>
      </c>
      <c r="N1344">
        <v>0</v>
      </c>
      <c r="O1344">
        <v>0</v>
      </c>
      <c r="P1344">
        <v>0</v>
      </c>
      <c r="Q1344" s="22">
        <v>63240</v>
      </c>
      <c r="R1344">
        <v>3</v>
      </c>
      <c r="S1344" s="1">
        <v>0</v>
      </c>
      <c r="T1344">
        <v>0</v>
      </c>
      <c r="U1344">
        <v>0</v>
      </c>
      <c r="V1344" s="21">
        <v>31620</v>
      </c>
      <c r="W1344">
        <v>23</v>
      </c>
      <c r="X1344">
        <v>0</v>
      </c>
      <c r="Y1344">
        <v>0</v>
      </c>
      <c r="Z1344">
        <v>0</v>
      </c>
      <c r="AA1344">
        <v>1</v>
      </c>
    </row>
    <row r="1345" spans="1:27" ht="14.25" x14ac:dyDescent="0.2">
      <c r="A1345" s="12">
        <v>30212</v>
      </c>
      <c r="B1345" t="s">
        <v>131</v>
      </c>
      <c r="C1345" t="s">
        <v>125</v>
      </c>
      <c r="D1345" t="s">
        <v>121</v>
      </c>
      <c r="E1345" t="s">
        <v>136</v>
      </c>
      <c r="F1345" s="4" t="s">
        <v>2082</v>
      </c>
      <c r="H1345">
        <v>2</v>
      </c>
      <c r="I1345" s="1">
        <v>0</v>
      </c>
      <c r="J1345">
        <v>0</v>
      </c>
      <c r="K1345">
        <v>0</v>
      </c>
      <c r="L1345" s="20">
        <v>21120</v>
      </c>
      <c r="M1345">
        <v>1</v>
      </c>
      <c r="N1345">
        <v>0</v>
      </c>
      <c r="O1345">
        <v>0</v>
      </c>
      <c r="P1345">
        <v>0</v>
      </c>
      <c r="Q1345" s="22">
        <v>63240</v>
      </c>
      <c r="R1345">
        <v>3</v>
      </c>
      <c r="S1345" s="1">
        <v>0</v>
      </c>
      <c r="T1345">
        <v>0</v>
      </c>
      <c r="U1345">
        <v>0</v>
      </c>
      <c r="V1345" s="21">
        <v>31620</v>
      </c>
      <c r="W1345">
        <v>6</v>
      </c>
      <c r="X1345">
        <v>1</v>
      </c>
      <c r="Y1345">
        <v>0</v>
      </c>
      <c r="Z1345">
        <v>3</v>
      </c>
      <c r="AA1345">
        <v>10</v>
      </c>
    </row>
    <row r="1346" spans="1:27" ht="14.25" x14ac:dyDescent="0.2">
      <c r="A1346" s="12">
        <v>30213</v>
      </c>
      <c r="B1346" t="s">
        <v>180</v>
      </c>
      <c r="C1346" t="s">
        <v>121</v>
      </c>
      <c r="D1346" t="s">
        <v>121</v>
      </c>
      <c r="E1346" t="s">
        <v>121</v>
      </c>
      <c r="F1346" s="4" t="s">
        <v>2084</v>
      </c>
      <c r="H1346">
        <v>2</v>
      </c>
      <c r="I1346" s="1">
        <v>0</v>
      </c>
      <c r="J1346">
        <v>0</v>
      </c>
      <c r="K1346">
        <v>0</v>
      </c>
      <c r="L1346" s="20">
        <v>21120</v>
      </c>
      <c r="M1346">
        <v>1</v>
      </c>
      <c r="N1346">
        <v>0</v>
      </c>
      <c r="O1346">
        <v>0</v>
      </c>
      <c r="P1346">
        <v>0</v>
      </c>
      <c r="Q1346" s="22">
        <v>63360</v>
      </c>
      <c r="R1346">
        <v>3</v>
      </c>
      <c r="S1346" s="1">
        <v>0</v>
      </c>
      <c r="T1346">
        <v>0</v>
      </c>
      <c r="U1346">
        <v>0</v>
      </c>
      <c r="V1346" s="21">
        <v>31680</v>
      </c>
      <c r="W1346">
        <v>15</v>
      </c>
      <c r="X1346">
        <v>0</v>
      </c>
      <c r="Y1346">
        <v>0</v>
      </c>
      <c r="Z1346">
        <v>0</v>
      </c>
      <c r="AA1346">
        <v>1</v>
      </c>
    </row>
    <row r="1347" spans="1:27" ht="14.25" x14ac:dyDescent="0.2">
      <c r="A1347" s="12">
        <v>30214</v>
      </c>
      <c r="B1347" t="s">
        <v>178</v>
      </c>
      <c r="C1347" t="s">
        <v>121</v>
      </c>
      <c r="D1347" t="s">
        <v>121</v>
      </c>
      <c r="E1347" t="s">
        <v>121</v>
      </c>
      <c r="F1347" s="4" t="s">
        <v>2084</v>
      </c>
      <c r="H1347">
        <v>2</v>
      </c>
      <c r="I1347" s="1">
        <v>0</v>
      </c>
      <c r="J1347">
        <v>0</v>
      </c>
      <c r="K1347">
        <v>0</v>
      </c>
      <c r="L1347" s="20">
        <v>21120</v>
      </c>
      <c r="M1347">
        <v>1</v>
      </c>
      <c r="N1347">
        <v>0</v>
      </c>
      <c r="O1347">
        <v>0</v>
      </c>
      <c r="P1347">
        <v>0</v>
      </c>
      <c r="Q1347" s="22">
        <v>63360</v>
      </c>
      <c r="R1347">
        <v>3</v>
      </c>
      <c r="S1347" s="1">
        <v>0</v>
      </c>
      <c r="T1347">
        <v>0</v>
      </c>
      <c r="U1347">
        <v>0</v>
      </c>
      <c r="V1347" s="21">
        <v>31680</v>
      </c>
      <c r="W1347">
        <v>21</v>
      </c>
      <c r="X1347">
        <v>0</v>
      </c>
      <c r="Y1347">
        <v>0</v>
      </c>
      <c r="Z1347">
        <v>0</v>
      </c>
      <c r="AA1347">
        <v>1</v>
      </c>
    </row>
    <row r="1348" spans="1:27" ht="14.25" x14ac:dyDescent="0.2">
      <c r="A1348" s="12">
        <v>30215</v>
      </c>
      <c r="B1348" t="s">
        <v>130</v>
      </c>
      <c r="C1348" t="s">
        <v>121</v>
      </c>
      <c r="D1348" t="s">
        <v>121</v>
      </c>
      <c r="E1348" t="s">
        <v>121</v>
      </c>
      <c r="F1348" s="4" t="s">
        <v>2086</v>
      </c>
      <c r="H1348">
        <v>2</v>
      </c>
      <c r="I1348" s="1">
        <v>0</v>
      </c>
      <c r="J1348">
        <v>0</v>
      </c>
      <c r="K1348">
        <v>0</v>
      </c>
      <c r="L1348" s="20">
        <v>21120</v>
      </c>
      <c r="M1348">
        <v>1</v>
      </c>
      <c r="N1348">
        <v>0</v>
      </c>
      <c r="O1348">
        <v>0</v>
      </c>
      <c r="P1348">
        <v>0</v>
      </c>
      <c r="Q1348" s="22">
        <v>63360</v>
      </c>
      <c r="R1348">
        <v>3</v>
      </c>
      <c r="S1348" s="1">
        <v>0</v>
      </c>
      <c r="T1348">
        <v>0</v>
      </c>
      <c r="U1348">
        <v>0</v>
      </c>
      <c r="V1348" s="21">
        <v>31680</v>
      </c>
      <c r="W1348">
        <v>9</v>
      </c>
      <c r="X1348">
        <v>0</v>
      </c>
      <c r="Y1348">
        <v>0</v>
      </c>
      <c r="Z1348">
        <v>0</v>
      </c>
      <c r="AA1348">
        <v>10</v>
      </c>
    </row>
    <row r="1349" spans="1:27" ht="14.25" x14ac:dyDescent="0.2">
      <c r="A1349" s="12">
        <v>30216</v>
      </c>
      <c r="B1349" t="s">
        <v>181</v>
      </c>
      <c r="C1349" t="s">
        <v>121</v>
      </c>
      <c r="D1349" t="s">
        <v>121</v>
      </c>
      <c r="E1349" t="s">
        <v>121</v>
      </c>
      <c r="F1349" s="4" t="s">
        <v>2088</v>
      </c>
      <c r="H1349">
        <v>2</v>
      </c>
      <c r="I1349" s="1">
        <v>0</v>
      </c>
      <c r="J1349">
        <v>0</v>
      </c>
      <c r="K1349">
        <v>0</v>
      </c>
      <c r="L1349" s="20">
        <v>21160</v>
      </c>
      <c r="M1349">
        <v>1</v>
      </c>
      <c r="N1349">
        <v>0</v>
      </c>
      <c r="O1349">
        <v>0</v>
      </c>
      <c r="P1349">
        <v>0</v>
      </c>
      <c r="Q1349" s="22">
        <v>63360</v>
      </c>
      <c r="R1349">
        <v>3</v>
      </c>
      <c r="S1349" s="1">
        <v>0</v>
      </c>
      <c r="T1349">
        <v>0</v>
      </c>
      <c r="U1349">
        <v>0</v>
      </c>
      <c r="V1349" s="21">
        <v>31680</v>
      </c>
      <c r="W1349">
        <v>30</v>
      </c>
      <c r="X1349">
        <v>0</v>
      </c>
      <c r="Y1349">
        <v>0</v>
      </c>
      <c r="Z1349">
        <v>0</v>
      </c>
      <c r="AA1349">
        <v>10</v>
      </c>
    </row>
    <row r="1350" spans="1:27" ht="14.25" x14ac:dyDescent="0.2">
      <c r="A1350" s="12">
        <v>30217</v>
      </c>
      <c r="B1350" t="s">
        <v>122</v>
      </c>
      <c r="C1350" t="s">
        <v>121</v>
      </c>
      <c r="D1350" t="s">
        <v>121</v>
      </c>
      <c r="E1350" t="s">
        <v>121</v>
      </c>
      <c r="F1350" s="4" t="s">
        <v>2088</v>
      </c>
      <c r="H1350">
        <v>2</v>
      </c>
      <c r="I1350" s="1">
        <v>0</v>
      </c>
      <c r="J1350">
        <v>0</v>
      </c>
      <c r="K1350">
        <v>0</v>
      </c>
      <c r="L1350" s="20">
        <v>21160</v>
      </c>
      <c r="M1350">
        <v>1</v>
      </c>
      <c r="N1350">
        <v>0</v>
      </c>
      <c r="O1350">
        <v>0</v>
      </c>
      <c r="P1350">
        <v>0</v>
      </c>
      <c r="Q1350" s="22">
        <v>63360</v>
      </c>
      <c r="R1350">
        <v>3</v>
      </c>
      <c r="S1350" s="1">
        <v>0</v>
      </c>
      <c r="T1350">
        <v>0</v>
      </c>
      <c r="U1350">
        <v>0</v>
      </c>
      <c r="V1350" s="21">
        <v>31680</v>
      </c>
      <c r="W1350">
        <v>4</v>
      </c>
      <c r="X1350">
        <v>0</v>
      </c>
      <c r="Y1350">
        <v>0</v>
      </c>
      <c r="Z1350">
        <v>0</v>
      </c>
      <c r="AA1350">
        <v>10</v>
      </c>
    </row>
    <row r="1351" spans="1:27" ht="14.25" x14ac:dyDescent="0.2">
      <c r="A1351" s="12">
        <v>30218</v>
      </c>
      <c r="B1351" t="s">
        <v>178</v>
      </c>
      <c r="C1351" t="s">
        <v>121</v>
      </c>
      <c r="D1351" t="s">
        <v>121</v>
      </c>
      <c r="E1351" t="s">
        <v>121</v>
      </c>
      <c r="F1351" s="4" t="s">
        <v>2090</v>
      </c>
      <c r="H1351">
        <v>2</v>
      </c>
      <c r="I1351" s="1">
        <v>0</v>
      </c>
      <c r="J1351">
        <v>0</v>
      </c>
      <c r="K1351">
        <v>0</v>
      </c>
      <c r="L1351" s="20">
        <v>21160</v>
      </c>
      <c r="M1351">
        <v>1</v>
      </c>
      <c r="N1351">
        <v>0</v>
      </c>
      <c r="O1351">
        <v>0</v>
      </c>
      <c r="P1351">
        <v>0</v>
      </c>
      <c r="Q1351" s="22">
        <v>63480</v>
      </c>
      <c r="R1351">
        <v>3</v>
      </c>
      <c r="S1351" s="1">
        <v>0</v>
      </c>
      <c r="T1351">
        <v>0</v>
      </c>
      <c r="U1351">
        <v>0</v>
      </c>
      <c r="V1351" s="21">
        <v>31740</v>
      </c>
      <c r="W1351">
        <v>21</v>
      </c>
      <c r="X1351">
        <v>0</v>
      </c>
      <c r="Y1351">
        <v>0</v>
      </c>
      <c r="Z1351">
        <v>0</v>
      </c>
      <c r="AA1351">
        <v>1</v>
      </c>
    </row>
    <row r="1352" spans="1:27" ht="14.25" x14ac:dyDescent="0.2">
      <c r="A1352" s="12">
        <v>30219</v>
      </c>
      <c r="B1352" t="s">
        <v>130</v>
      </c>
      <c r="C1352" t="s">
        <v>121</v>
      </c>
      <c r="D1352" t="s">
        <v>121</v>
      </c>
      <c r="E1352" t="s">
        <v>121</v>
      </c>
      <c r="F1352" s="4" t="s">
        <v>2092</v>
      </c>
      <c r="H1352">
        <v>2</v>
      </c>
      <c r="I1352" s="1">
        <v>0</v>
      </c>
      <c r="J1352">
        <v>0</v>
      </c>
      <c r="K1352">
        <v>0</v>
      </c>
      <c r="L1352" s="20">
        <v>21160</v>
      </c>
      <c r="M1352">
        <v>1</v>
      </c>
      <c r="N1352">
        <v>0</v>
      </c>
      <c r="O1352">
        <v>0</v>
      </c>
      <c r="P1352">
        <v>0</v>
      </c>
      <c r="Q1352" s="22">
        <v>63480</v>
      </c>
      <c r="R1352">
        <v>3</v>
      </c>
      <c r="S1352" s="1">
        <v>0</v>
      </c>
      <c r="T1352">
        <v>0</v>
      </c>
      <c r="U1352">
        <v>0</v>
      </c>
      <c r="V1352" s="21">
        <v>31740</v>
      </c>
      <c r="W1352">
        <v>9</v>
      </c>
      <c r="X1352">
        <v>0</v>
      </c>
      <c r="Y1352">
        <v>0</v>
      </c>
      <c r="Z1352">
        <v>0</v>
      </c>
      <c r="AA1352">
        <v>10</v>
      </c>
    </row>
    <row r="1353" spans="1:27" ht="14.25" x14ac:dyDescent="0.2">
      <c r="A1353" s="12">
        <v>30220</v>
      </c>
      <c r="B1353" t="s">
        <v>123</v>
      </c>
      <c r="C1353" t="s">
        <v>121</v>
      </c>
      <c r="D1353" t="s">
        <v>121</v>
      </c>
      <c r="E1353" t="s">
        <v>121</v>
      </c>
      <c r="F1353" s="4" t="s">
        <v>2092</v>
      </c>
      <c r="H1353">
        <v>2</v>
      </c>
      <c r="I1353" s="1">
        <v>0</v>
      </c>
      <c r="J1353">
        <v>0</v>
      </c>
      <c r="K1353">
        <v>0</v>
      </c>
      <c r="L1353" s="20">
        <v>21160</v>
      </c>
      <c r="M1353">
        <v>1</v>
      </c>
      <c r="N1353">
        <v>0</v>
      </c>
      <c r="O1353">
        <v>0</v>
      </c>
      <c r="P1353">
        <v>0</v>
      </c>
      <c r="Q1353" s="22">
        <v>63480</v>
      </c>
      <c r="R1353">
        <v>3</v>
      </c>
      <c r="S1353" s="1">
        <v>0</v>
      </c>
      <c r="T1353">
        <v>0</v>
      </c>
      <c r="U1353">
        <v>0</v>
      </c>
      <c r="V1353" s="21">
        <v>31740</v>
      </c>
      <c r="W1353">
        <v>12</v>
      </c>
      <c r="X1353">
        <v>0</v>
      </c>
      <c r="Y1353">
        <v>0</v>
      </c>
      <c r="Z1353">
        <v>0</v>
      </c>
      <c r="AA1353">
        <v>10</v>
      </c>
    </row>
    <row r="1354" spans="1:27" ht="14.25" x14ac:dyDescent="0.2">
      <c r="A1354" s="12">
        <v>30221</v>
      </c>
      <c r="B1354" t="s">
        <v>126</v>
      </c>
      <c r="C1354" t="s">
        <v>121</v>
      </c>
      <c r="D1354" t="s">
        <v>121</v>
      </c>
      <c r="E1354" t="s">
        <v>121</v>
      </c>
      <c r="F1354" s="4" t="s">
        <v>2094</v>
      </c>
      <c r="H1354">
        <v>2</v>
      </c>
      <c r="I1354" s="1">
        <v>0</v>
      </c>
      <c r="J1354">
        <v>0</v>
      </c>
      <c r="K1354">
        <v>0</v>
      </c>
      <c r="L1354" s="20">
        <v>21200</v>
      </c>
      <c r="M1354">
        <v>1</v>
      </c>
      <c r="N1354">
        <v>0</v>
      </c>
      <c r="O1354">
        <v>0</v>
      </c>
      <c r="P1354">
        <v>0</v>
      </c>
      <c r="Q1354" s="22">
        <v>63480</v>
      </c>
      <c r="R1354">
        <v>3</v>
      </c>
      <c r="S1354" s="1">
        <v>0</v>
      </c>
      <c r="T1354">
        <v>0</v>
      </c>
      <c r="U1354">
        <v>0</v>
      </c>
      <c r="V1354" s="21">
        <v>31740</v>
      </c>
      <c r="W1354">
        <v>23</v>
      </c>
      <c r="X1354">
        <v>0</v>
      </c>
      <c r="Y1354">
        <v>0</v>
      </c>
      <c r="Z1354">
        <v>0</v>
      </c>
      <c r="AA1354">
        <v>1</v>
      </c>
    </row>
    <row r="1355" spans="1:27" ht="14.25" x14ac:dyDescent="0.2">
      <c r="A1355" s="12">
        <v>30222</v>
      </c>
      <c r="B1355" t="s">
        <v>131</v>
      </c>
      <c r="C1355" t="s">
        <v>125</v>
      </c>
      <c r="D1355" t="s">
        <v>121</v>
      </c>
      <c r="E1355" t="s">
        <v>136</v>
      </c>
      <c r="F1355" s="4" t="s">
        <v>2096</v>
      </c>
      <c r="H1355">
        <v>2</v>
      </c>
      <c r="I1355" s="1">
        <v>0</v>
      </c>
      <c r="J1355">
        <v>0</v>
      </c>
      <c r="K1355">
        <v>0</v>
      </c>
      <c r="L1355" s="20">
        <v>21200</v>
      </c>
      <c r="M1355">
        <v>1</v>
      </c>
      <c r="N1355">
        <v>0</v>
      </c>
      <c r="O1355">
        <v>0</v>
      </c>
      <c r="P1355">
        <v>0</v>
      </c>
      <c r="Q1355" s="22">
        <v>63480</v>
      </c>
      <c r="R1355">
        <v>3</v>
      </c>
      <c r="S1355" s="1">
        <v>0</v>
      </c>
      <c r="T1355">
        <v>0</v>
      </c>
      <c r="U1355">
        <v>0</v>
      </c>
      <c r="V1355" s="21">
        <v>31740</v>
      </c>
      <c r="W1355">
        <v>6</v>
      </c>
      <c r="X1355">
        <v>1</v>
      </c>
      <c r="Y1355">
        <v>0</v>
      </c>
      <c r="Z1355">
        <v>3</v>
      </c>
      <c r="AA1355">
        <v>10</v>
      </c>
    </row>
    <row r="1356" spans="1:27" ht="14.25" x14ac:dyDescent="0.2">
      <c r="A1356" s="12">
        <v>30223</v>
      </c>
      <c r="B1356" t="s">
        <v>180</v>
      </c>
      <c r="C1356" t="s">
        <v>121</v>
      </c>
      <c r="D1356" t="s">
        <v>121</v>
      </c>
      <c r="E1356" t="s">
        <v>121</v>
      </c>
      <c r="F1356" s="4" t="s">
        <v>2098</v>
      </c>
      <c r="H1356">
        <v>2</v>
      </c>
      <c r="I1356" s="1">
        <v>0</v>
      </c>
      <c r="J1356">
        <v>0</v>
      </c>
      <c r="K1356">
        <v>0</v>
      </c>
      <c r="L1356" s="20">
        <v>21200</v>
      </c>
      <c r="M1356">
        <v>1</v>
      </c>
      <c r="N1356">
        <v>0</v>
      </c>
      <c r="O1356">
        <v>0</v>
      </c>
      <c r="P1356">
        <v>0</v>
      </c>
      <c r="Q1356" s="22">
        <v>63600</v>
      </c>
      <c r="R1356">
        <v>3</v>
      </c>
      <c r="S1356" s="1">
        <v>0</v>
      </c>
      <c r="T1356">
        <v>0</v>
      </c>
      <c r="U1356">
        <v>0</v>
      </c>
      <c r="V1356" s="21">
        <v>31800</v>
      </c>
      <c r="W1356">
        <v>15</v>
      </c>
      <c r="X1356">
        <v>0</v>
      </c>
      <c r="Y1356">
        <v>0</v>
      </c>
      <c r="Z1356">
        <v>0</v>
      </c>
      <c r="AA1356">
        <v>1</v>
      </c>
    </row>
    <row r="1357" spans="1:27" ht="14.25" x14ac:dyDescent="0.2">
      <c r="A1357" s="12">
        <v>30224</v>
      </c>
      <c r="B1357" t="s">
        <v>178</v>
      </c>
      <c r="C1357" t="s">
        <v>121</v>
      </c>
      <c r="D1357" t="s">
        <v>121</v>
      </c>
      <c r="E1357" t="s">
        <v>121</v>
      </c>
      <c r="F1357" s="4" t="s">
        <v>2098</v>
      </c>
      <c r="H1357">
        <v>2</v>
      </c>
      <c r="I1357" s="1">
        <v>0</v>
      </c>
      <c r="J1357">
        <v>0</v>
      </c>
      <c r="K1357">
        <v>0</v>
      </c>
      <c r="L1357" s="20">
        <v>21200</v>
      </c>
      <c r="M1357">
        <v>1</v>
      </c>
      <c r="N1357">
        <v>0</v>
      </c>
      <c r="O1357">
        <v>0</v>
      </c>
      <c r="P1357">
        <v>0</v>
      </c>
      <c r="Q1357" s="22">
        <v>63600</v>
      </c>
      <c r="R1357">
        <v>3</v>
      </c>
      <c r="S1357" s="1">
        <v>0</v>
      </c>
      <c r="T1357">
        <v>0</v>
      </c>
      <c r="U1357">
        <v>0</v>
      </c>
      <c r="V1357" s="21">
        <v>31800</v>
      </c>
      <c r="W1357">
        <v>21</v>
      </c>
      <c r="X1357">
        <v>0</v>
      </c>
      <c r="Y1357">
        <v>0</v>
      </c>
      <c r="Z1357">
        <v>0</v>
      </c>
      <c r="AA1357">
        <v>1</v>
      </c>
    </row>
    <row r="1358" spans="1:27" ht="14.25" x14ac:dyDescent="0.2">
      <c r="A1358" s="12">
        <v>30225</v>
      </c>
      <c r="B1358" t="s">
        <v>130</v>
      </c>
      <c r="C1358" t="s">
        <v>121</v>
      </c>
      <c r="D1358" t="s">
        <v>121</v>
      </c>
      <c r="E1358" t="s">
        <v>121</v>
      </c>
      <c r="F1358" s="4" t="s">
        <v>2100</v>
      </c>
      <c r="H1358">
        <v>2</v>
      </c>
      <c r="I1358" s="1">
        <v>0</v>
      </c>
      <c r="J1358">
        <v>0</v>
      </c>
      <c r="K1358">
        <v>0</v>
      </c>
      <c r="L1358" s="20">
        <v>21200</v>
      </c>
      <c r="M1358">
        <v>1</v>
      </c>
      <c r="N1358">
        <v>0</v>
      </c>
      <c r="O1358">
        <v>0</v>
      </c>
      <c r="P1358">
        <v>0</v>
      </c>
      <c r="Q1358" s="22">
        <v>63600</v>
      </c>
      <c r="R1358">
        <v>3</v>
      </c>
      <c r="S1358" s="1">
        <v>0</v>
      </c>
      <c r="T1358">
        <v>0</v>
      </c>
      <c r="U1358">
        <v>0</v>
      </c>
      <c r="V1358" s="21">
        <v>31800</v>
      </c>
      <c r="W1358">
        <v>9</v>
      </c>
      <c r="X1358">
        <v>0</v>
      </c>
      <c r="Y1358">
        <v>0</v>
      </c>
      <c r="Z1358">
        <v>0</v>
      </c>
      <c r="AA1358">
        <v>10</v>
      </c>
    </row>
    <row r="1359" spans="1:27" ht="14.25" x14ac:dyDescent="0.2">
      <c r="A1359" s="12">
        <v>30226</v>
      </c>
      <c r="B1359" t="s">
        <v>181</v>
      </c>
      <c r="C1359" t="s">
        <v>121</v>
      </c>
      <c r="D1359" t="s">
        <v>121</v>
      </c>
      <c r="E1359" t="s">
        <v>121</v>
      </c>
      <c r="F1359" s="4" t="s">
        <v>2102</v>
      </c>
      <c r="H1359">
        <v>2</v>
      </c>
      <c r="I1359" s="1">
        <v>0</v>
      </c>
      <c r="J1359">
        <v>0</v>
      </c>
      <c r="K1359">
        <v>0</v>
      </c>
      <c r="L1359" s="20">
        <v>21240</v>
      </c>
      <c r="M1359">
        <v>1</v>
      </c>
      <c r="N1359">
        <v>0</v>
      </c>
      <c r="O1359">
        <v>0</v>
      </c>
      <c r="P1359">
        <v>0</v>
      </c>
      <c r="Q1359" s="22">
        <v>63600</v>
      </c>
      <c r="R1359">
        <v>3</v>
      </c>
      <c r="S1359" s="1">
        <v>0</v>
      </c>
      <c r="T1359">
        <v>0</v>
      </c>
      <c r="U1359">
        <v>0</v>
      </c>
      <c r="V1359" s="21">
        <v>31800</v>
      </c>
      <c r="W1359">
        <v>30</v>
      </c>
      <c r="X1359">
        <v>0</v>
      </c>
      <c r="Y1359">
        <v>0</v>
      </c>
      <c r="Z1359">
        <v>0</v>
      </c>
      <c r="AA1359">
        <v>10</v>
      </c>
    </row>
    <row r="1360" spans="1:27" ht="14.25" x14ac:dyDescent="0.2">
      <c r="A1360" s="12">
        <v>30227</v>
      </c>
      <c r="B1360" t="s">
        <v>122</v>
      </c>
      <c r="C1360" t="s">
        <v>121</v>
      </c>
      <c r="D1360" t="s">
        <v>121</v>
      </c>
      <c r="E1360" t="s">
        <v>121</v>
      </c>
      <c r="F1360" s="4" t="s">
        <v>2102</v>
      </c>
      <c r="H1360">
        <v>2</v>
      </c>
      <c r="I1360" s="1">
        <v>0</v>
      </c>
      <c r="J1360">
        <v>0</v>
      </c>
      <c r="K1360">
        <v>0</v>
      </c>
      <c r="L1360" s="20">
        <v>21240</v>
      </c>
      <c r="M1360">
        <v>1</v>
      </c>
      <c r="N1360">
        <v>0</v>
      </c>
      <c r="O1360">
        <v>0</v>
      </c>
      <c r="P1360">
        <v>0</v>
      </c>
      <c r="Q1360" s="22">
        <v>63600</v>
      </c>
      <c r="R1360">
        <v>3</v>
      </c>
      <c r="S1360" s="1">
        <v>0</v>
      </c>
      <c r="T1360">
        <v>0</v>
      </c>
      <c r="U1360">
        <v>0</v>
      </c>
      <c r="V1360" s="21">
        <v>31800</v>
      </c>
      <c r="W1360">
        <v>4</v>
      </c>
      <c r="X1360">
        <v>0</v>
      </c>
      <c r="Y1360">
        <v>0</v>
      </c>
      <c r="Z1360">
        <v>0</v>
      </c>
      <c r="AA1360">
        <v>10</v>
      </c>
    </row>
    <row r="1361" spans="1:27" ht="14.25" x14ac:dyDescent="0.2">
      <c r="A1361" s="12">
        <v>30228</v>
      </c>
      <c r="B1361" t="s">
        <v>178</v>
      </c>
      <c r="C1361" t="s">
        <v>121</v>
      </c>
      <c r="D1361" t="s">
        <v>121</v>
      </c>
      <c r="E1361" t="s">
        <v>121</v>
      </c>
      <c r="F1361" s="4" t="s">
        <v>2104</v>
      </c>
      <c r="H1361">
        <v>2</v>
      </c>
      <c r="I1361" s="1">
        <v>0</v>
      </c>
      <c r="J1361">
        <v>0</v>
      </c>
      <c r="K1361">
        <v>0</v>
      </c>
      <c r="L1361" s="20">
        <v>21240</v>
      </c>
      <c r="M1361">
        <v>1</v>
      </c>
      <c r="N1361">
        <v>0</v>
      </c>
      <c r="O1361">
        <v>0</v>
      </c>
      <c r="P1361">
        <v>0</v>
      </c>
      <c r="Q1361" s="22">
        <v>63720</v>
      </c>
      <c r="R1361">
        <v>3</v>
      </c>
      <c r="S1361" s="1">
        <v>0</v>
      </c>
      <c r="T1361">
        <v>0</v>
      </c>
      <c r="U1361">
        <v>0</v>
      </c>
      <c r="V1361" s="21">
        <v>31860</v>
      </c>
      <c r="W1361">
        <v>21</v>
      </c>
      <c r="X1361">
        <v>0</v>
      </c>
      <c r="Y1361">
        <v>0</v>
      </c>
      <c r="Z1361">
        <v>0</v>
      </c>
      <c r="AA1361">
        <v>1</v>
      </c>
    </row>
    <row r="1362" spans="1:27" ht="14.25" x14ac:dyDescent="0.2">
      <c r="A1362" s="12">
        <v>30229</v>
      </c>
      <c r="B1362" t="s">
        <v>130</v>
      </c>
      <c r="C1362" t="s">
        <v>121</v>
      </c>
      <c r="D1362" t="s">
        <v>121</v>
      </c>
      <c r="E1362" t="s">
        <v>121</v>
      </c>
      <c r="F1362" s="4" t="s">
        <v>2106</v>
      </c>
      <c r="H1362">
        <v>2</v>
      </c>
      <c r="I1362" s="1">
        <v>0</v>
      </c>
      <c r="J1362">
        <v>0</v>
      </c>
      <c r="K1362">
        <v>0</v>
      </c>
      <c r="L1362" s="20">
        <v>21240</v>
      </c>
      <c r="M1362">
        <v>1</v>
      </c>
      <c r="N1362">
        <v>0</v>
      </c>
      <c r="O1362">
        <v>0</v>
      </c>
      <c r="P1362">
        <v>0</v>
      </c>
      <c r="Q1362" s="22">
        <v>63720</v>
      </c>
      <c r="R1362">
        <v>3</v>
      </c>
      <c r="S1362" s="1">
        <v>0</v>
      </c>
      <c r="T1362">
        <v>0</v>
      </c>
      <c r="U1362">
        <v>0</v>
      </c>
      <c r="V1362" s="21">
        <v>31860</v>
      </c>
      <c r="W1362">
        <v>9</v>
      </c>
      <c r="X1362">
        <v>0</v>
      </c>
      <c r="Y1362">
        <v>0</v>
      </c>
      <c r="Z1362">
        <v>0</v>
      </c>
      <c r="AA1362">
        <v>10</v>
      </c>
    </row>
    <row r="1363" spans="1:27" ht="14.25" x14ac:dyDescent="0.2">
      <c r="A1363" s="12">
        <v>30230</v>
      </c>
      <c r="B1363" t="s">
        <v>123</v>
      </c>
      <c r="C1363" t="s">
        <v>121</v>
      </c>
      <c r="D1363" t="s">
        <v>121</v>
      </c>
      <c r="E1363" t="s">
        <v>121</v>
      </c>
      <c r="F1363" s="4" t="s">
        <v>2106</v>
      </c>
      <c r="H1363">
        <v>2</v>
      </c>
      <c r="I1363" s="1">
        <v>0</v>
      </c>
      <c r="J1363">
        <v>0</v>
      </c>
      <c r="K1363">
        <v>0</v>
      </c>
      <c r="L1363" s="20">
        <v>21240</v>
      </c>
      <c r="M1363">
        <v>1</v>
      </c>
      <c r="N1363">
        <v>0</v>
      </c>
      <c r="O1363">
        <v>0</v>
      </c>
      <c r="P1363">
        <v>0</v>
      </c>
      <c r="Q1363" s="22">
        <v>63720</v>
      </c>
      <c r="R1363">
        <v>3</v>
      </c>
      <c r="S1363" s="1">
        <v>0</v>
      </c>
      <c r="T1363">
        <v>0</v>
      </c>
      <c r="U1363">
        <v>0</v>
      </c>
      <c r="V1363" s="21">
        <v>31860</v>
      </c>
      <c r="W1363">
        <v>12</v>
      </c>
      <c r="X1363">
        <v>0</v>
      </c>
      <c r="Y1363">
        <v>0</v>
      </c>
      <c r="Z1363">
        <v>0</v>
      </c>
      <c r="AA1363">
        <v>10</v>
      </c>
    </row>
    <row r="1364" spans="1:27" ht="14.25" x14ac:dyDescent="0.2">
      <c r="A1364" s="12">
        <v>30231</v>
      </c>
      <c r="B1364" t="s">
        <v>126</v>
      </c>
      <c r="C1364" t="s">
        <v>121</v>
      </c>
      <c r="D1364" t="s">
        <v>121</v>
      </c>
      <c r="E1364" t="s">
        <v>121</v>
      </c>
      <c r="F1364" s="4" t="s">
        <v>2108</v>
      </c>
      <c r="H1364">
        <v>2</v>
      </c>
      <c r="I1364" s="1">
        <v>0</v>
      </c>
      <c r="J1364">
        <v>0</v>
      </c>
      <c r="K1364">
        <v>0</v>
      </c>
      <c r="L1364" s="20">
        <v>21280</v>
      </c>
      <c r="M1364">
        <v>1</v>
      </c>
      <c r="N1364">
        <v>0</v>
      </c>
      <c r="O1364">
        <v>0</v>
      </c>
      <c r="P1364">
        <v>0</v>
      </c>
      <c r="Q1364" s="22">
        <v>63720</v>
      </c>
      <c r="R1364">
        <v>3</v>
      </c>
      <c r="S1364" s="1">
        <v>0</v>
      </c>
      <c r="T1364">
        <v>0</v>
      </c>
      <c r="U1364">
        <v>0</v>
      </c>
      <c r="V1364" s="21">
        <v>31860</v>
      </c>
      <c r="W1364">
        <v>23</v>
      </c>
      <c r="X1364">
        <v>0</v>
      </c>
      <c r="Y1364">
        <v>0</v>
      </c>
      <c r="Z1364">
        <v>0</v>
      </c>
      <c r="AA1364">
        <v>1</v>
      </c>
    </row>
    <row r="1365" spans="1:27" ht="14.25" x14ac:dyDescent="0.2">
      <c r="A1365" s="12">
        <v>30232</v>
      </c>
      <c r="B1365" t="s">
        <v>131</v>
      </c>
      <c r="C1365" t="s">
        <v>125</v>
      </c>
      <c r="D1365" t="s">
        <v>121</v>
      </c>
      <c r="E1365" t="s">
        <v>136</v>
      </c>
      <c r="F1365" s="4" t="s">
        <v>2110</v>
      </c>
      <c r="H1365">
        <v>2</v>
      </c>
      <c r="I1365" s="1">
        <v>0</v>
      </c>
      <c r="J1365">
        <v>0</v>
      </c>
      <c r="K1365">
        <v>0</v>
      </c>
      <c r="L1365" s="20">
        <v>21280</v>
      </c>
      <c r="M1365">
        <v>1</v>
      </c>
      <c r="N1365">
        <v>0</v>
      </c>
      <c r="O1365">
        <v>0</v>
      </c>
      <c r="P1365">
        <v>0</v>
      </c>
      <c r="Q1365" s="22">
        <v>63720</v>
      </c>
      <c r="R1365">
        <v>3</v>
      </c>
      <c r="S1365" s="1">
        <v>0</v>
      </c>
      <c r="T1365">
        <v>0</v>
      </c>
      <c r="U1365">
        <v>0</v>
      </c>
      <c r="V1365" s="21">
        <v>31860</v>
      </c>
      <c r="W1365">
        <v>6</v>
      </c>
      <c r="X1365">
        <v>1</v>
      </c>
      <c r="Y1365">
        <v>0</v>
      </c>
      <c r="Z1365">
        <v>3</v>
      </c>
      <c r="AA1365">
        <v>10</v>
      </c>
    </row>
    <row r="1366" spans="1:27" ht="14.25" x14ac:dyDescent="0.2">
      <c r="A1366" s="12">
        <v>30233</v>
      </c>
      <c r="B1366" t="s">
        <v>180</v>
      </c>
      <c r="C1366" t="s">
        <v>121</v>
      </c>
      <c r="D1366" t="s">
        <v>121</v>
      </c>
      <c r="E1366" t="s">
        <v>121</v>
      </c>
      <c r="F1366" s="4" t="s">
        <v>2112</v>
      </c>
      <c r="H1366">
        <v>2</v>
      </c>
      <c r="I1366" s="1">
        <v>0</v>
      </c>
      <c r="J1366">
        <v>0</v>
      </c>
      <c r="K1366">
        <v>0</v>
      </c>
      <c r="L1366" s="20">
        <v>21280</v>
      </c>
      <c r="M1366">
        <v>1</v>
      </c>
      <c r="N1366">
        <v>0</v>
      </c>
      <c r="O1366">
        <v>0</v>
      </c>
      <c r="P1366">
        <v>0</v>
      </c>
      <c r="Q1366" s="22">
        <v>63840</v>
      </c>
      <c r="R1366">
        <v>3</v>
      </c>
      <c r="S1366" s="1">
        <v>0</v>
      </c>
      <c r="T1366">
        <v>0</v>
      </c>
      <c r="U1366">
        <v>0</v>
      </c>
      <c r="V1366" s="21">
        <v>31920</v>
      </c>
      <c r="W1366">
        <v>15</v>
      </c>
      <c r="X1366">
        <v>0</v>
      </c>
      <c r="Y1366">
        <v>0</v>
      </c>
      <c r="Z1366">
        <v>0</v>
      </c>
      <c r="AA1366">
        <v>1</v>
      </c>
    </row>
    <row r="1367" spans="1:27" ht="14.25" x14ac:dyDescent="0.2">
      <c r="A1367" s="12">
        <v>30234</v>
      </c>
      <c r="B1367" t="s">
        <v>178</v>
      </c>
      <c r="C1367" t="s">
        <v>121</v>
      </c>
      <c r="D1367" t="s">
        <v>121</v>
      </c>
      <c r="E1367" t="s">
        <v>121</v>
      </c>
      <c r="F1367" s="4" t="s">
        <v>2112</v>
      </c>
      <c r="H1367">
        <v>2</v>
      </c>
      <c r="I1367" s="1">
        <v>0</v>
      </c>
      <c r="J1367">
        <v>0</v>
      </c>
      <c r="K1367">
        <v>0</v>
      </c>
      <c r="L1367" s="20">
        <v>21280</v>
      </c>
      <c r="M1367">
        <v>1</v>
      </c>
      <c r="N1367">
        <v>0</v>
      </c>
      <c r="O1367">
        <v>0</v>
      </c>
      <c r="P1367">
        <v>0</v>
      </c>
      <c r="Q1367" s="22">
        <v>63840</v>
      </c>
      <c r="R1367">
        <v>3</v>
      </c>
      <c r="S1367" s="1">
        <v>0</v>
      </c>
      <c r="T1367">
        <v>0</v>
      </c>
      <c r="U1367">
        <v>0</v>
      </c>
      <c r="V1367" s="21">
        <v>31920</v>
      </c>
      <c r="W1367">
        <v>21</v>
      </c>
      <c r="X1367">
        <v>0</v>
      </c>
      <c r="Y1367">
        <v>0</v>
      </c>
      <c r="Z1367">
        <v>0</v>
      </c>
      <c r="AA1367">
        <v>1</v>
      </c>
    </row>
    <row r="1368" spans="1:27" ht="14.25" x14ac:dyDescent="0.2">
      <c r="A1368" s="12">
        <v>30235</v>
      </c>
      <c r="B1368" t="s">
        <v>130</v>
      </c>
      <c r="C1368" t="s">
        <v>121</v>
      </c>
      <c r="D1368" t="s">
        <v>121</v>
      </c>
      <c r="E1368" t="s">
        <v>121</v>
      </c>
      <c r="F1368" s="4" t="s">
        <v>2114</v>
      </c>
      <c r="H1368">
        <v>2</v>
      </c>
      <c r="I1368" s="1">
        <v>0</v>
      </c>
      <c r="J1368">
        <v>0</v>
      </c>
      <c r="K1368">
        <v>0</v>
      </c>
      <c r="L1368" s="20">
        <v>21280</v>
      </c>
      <c r="M1368">
        <v>1</v>
      </c>
      <c r="N1368">
        <v>0</v>
      </c>
      <c r="O1368">
        <v>0</v>
      </c>
      <c r="P1368">
        <v>0</v>
      </c>
      <c r="Q1368" s="22">
        <v>63840</v>
      </c>
      <c r="R1368">
        <v>3</v>
      </c>
      <c r="S1368" s="1">
        <v>0</v>
      </c>
      <c r="T1368">
        <v>0</v>
      </c>
      <c r="U1368">
        <v>0</v>
      </c>
      <c r="V1368" s="21">
        <v>31920</v>
      </c>
      <c r="W1368">
        <v>9</v>
      </c>
      <c r="X1368">
        <v>0</v>
      </c>
      <c r="Y1368">
        <v>0</v>
      </c>
      <c r="Z1368">
        <v>0</v>
      </c>
      <c r="AA1368">
        <v>10</v>
      </c>
    </row>
    <row r="1369" spans="1:27" ht="14.25" x14ac:dyDescent="0.2">
      <c r="A1369" s="12">
        <v>30236</v>
      </c>
      <c r="B1369" t="s">
        <v>181</v>
      </c>
      <c r="C1369" t="s">
        <v>121</v>
      </c>
      <c r="D1369" t="s">
        <v>121</v>
      </c>
      <c r="E1369" t="s">
        <v>121</v>
      </c>
      <c r="F1369" s="4" t="s">
        <v>2116</v>
      </c>
      <c r="H1369">
        <v>2</v>
      </c>
      <c r="I1369" s="1">
        <v>0</v>
      </c>
      <c r="J1369">
        <v>0</v>
      </c>
      <c r="K1369">
        <v>0</v>
      </c>
      <c r="L1369" s="20">
        <v>21320</v>
      </c>
      <c r="M1369">
        <v>1</v>
      </c>
      <c r="N1369">
        <v>0</v>
      </c>
      <c r="O1369">
        <v>0</v>
      </c>
      <c r="P1369">
        <v>0</v>
      </c>
      <c r="Q1369" s="22">
        <v>63840</v>
      </c>
      <c r="R1369">
        <v>3</v>
      </c>
      <c r="S1369" s="1">
        <v>0</v>
      </c>
      <c r="T1369">
        <v>0</v>
      </c>
      <c r="U1369">
        <v>0</v>
      </c>
      <c r="V1369" s="21">
        <v>31920</v>
      </c>
      <c r="W1369">
        <v>30</v>
      </c>
      <c r="X1369">
        <v>0</v>
      </c>
      <c r="Y1369">
        <v>0</v>
      </c>
      <c r="Z1369">
        <v>0</v>
      </c>
      <c r="AA1369">
        <v>10</v>
      </c>
    </row>
    <row r="1370" spans="1:27" ht="14.25" x14ac:dyDescent="0.2">
      <c r="A1370" s="12">
        <v>30237</v>
      </c>
      <c r="B1370" t="s">
        <v>122</v>
      </c>
      <c r="C1370" t="s">
        <v>121</v>
      </c>
      <c r="D1370" t="s">
        <v>121</v>
      </c>
      <c r="E1370" t="s">
        <v>121</v>
      </c>
      <c r="F1370" s="4" t="s">
        <v>2116</v>
      </c>
      <c r="H1370">
        <v>2</v>
      </c>
      <c r="I1370" s="1">
        <v>0</v>
      </c>
      <c r="J1370">
        <v>0</v>
      </c>
      <c r="K1370">
        <v>0</v>
      </c>
      <c r="L1370" s="20">
        <v>21320</v>
      </c>
      <c r="M1370">
        <v>1</v>
      </c>
      <c r="N1370">
        <v>0</v>
      </c>
      <c r="O1370">
        <v>0</v>
      </c>
      <c r="P1370">
        <v>0</v>
      </c>
      <c r="Q1370" s="22">
        <v>63840</v>
      </c>
      <c r="R1370">
        <v>3</v>
      </c>
      <c r="S1370" s="1">
        <v>0</v>
      </c>
      <c r="T1370">
        <v>0</v>
      </c>
      <c r="U1370">
        <v>0</v>
      </c>
      <c r="V1370" s="21">
        <v>31920</v>
      </c>
      <c r="W1370">
        <v>4</v>
      </c>
      <c r="X1370">
        <v>0</v>
      </c>
      <c r="Y1370">
        <v>0</v>
      </c>
      <c r="Z1370">
        <v>0</v>
      </c>
      <c r="AA1370">
        <v>10</v>
      </c>
    </row>
    <row r="1371" spans="1:27" ht="14.25" x14ac:dyDescent="0.2">
      <c r="A1371" s="12">
        <v>30238</v>
      </c>
      <c r="B1371" t="s">
        <v>178</v>
      </c>
      <c r="C1371" t="s">
        <v>121</v>
      </c>
      <c r="D1371" t="s">
        <v>121</v>
      </c>
      <c r="E1371" t="s">
        <v>121</v>
      </c>
      <c r="F1371" s="4" t="s">
        <v>2118</v>
      </c>
      <c r="H1371">
        <v>2</v>
      </c>
      <c r="I1371" s="1">
        <v>0</v>
      </c>
      <c r="J1371">
        <v>0</v>
      </c>
      <c r="K1371">
        <v>0</v>
      </c>
      <c r="L1371" s="20">
        <v>21320</v>
      </c>
      <c r="M1371">
        <v>1</v>
      </c>
      <c r="N1371">
        <v>0</v>
      </c>
      <c r="O1371">
        <v>0</v>
      </c>
      <c r="P1371">
        <v>0</v>
      </c>
      <c r="Q1371" s="22">
        <v>63960</v>
      </c>
      <c r="R1371">
        <v>3</v>
      </c>
      <c r="S1371" s="1">
        <v>0</v>
      </c>
      <c r="T1371">
        <v>0</v>
      </c>
      <c r="U1371">
        <v>0</v>
      </c>
      <c r="V1371" s="21">
        <v>31980</v>
      </c>
      <c r="W1371">
        <v>21</v>
      </c>
      <c r="X1371">
        <v>0</v>
      </c>
      <c r="Y1371">
        <v>0</v>
      </c>
      <c r="Z1371">
        <v>0</v>
      </c>
      <c r="AA1371">
        <v>1</v>
      </c>
    </row>
    <row r="1372" spans="1:27" ht="14.25" x14ac:dyDescent="0.2">
      <c r="A1372" s="12">
        <v>30239</v>
      </c>
      <c r="B1372" t="s">
        <v>130</v>
      </c>
      <c r="C1372" t="s">
        <v>121</v>
      </c>
      <c r="D1372" t="s">
        <v>121</v>
      </c>
      <c r="E1372" t="s">
        <v>121</v>
      </c>
      <c r="F1372" s="4" t="s">
        <v>2120</v>
      </c>
      <c r="H1372">
        <v>2</v>
      </c>
      <c r="I1372" s="1">
        <v>0</v>
      </c>
      <c r="J1372">
        <v>0</v>
      </c>
      <c r="K1372">
        <v>0</v>
      </c>
      <c r="L1372" s="20">
        <v>21320</v>
      </c>
      <c r="M1372">
        <v>1</v>
      </c>
      <c r="N1372">
        <v>0</v>
      </c>
      <c r="O1372">
        <v>0</v>
      </c>
      <c r="P1372">
        <v>0</v>
      </c>
      <c r="Q1372" s="22">
        <v>63960</v>
      </c>
      <c r="R1372">
        <v>3</v>
      </c>
      <c r="S1372" s="1">
        <v>0</v>
      </c>
      <c r="T1372">
        <v>0</v>
      </c>
      <c r="U1372">
        <v>0</v>
      </c>
      <c r="V1372" s="21">
        <v>31980</v>
      </c>
      <c r="W1372">
        <v>9</v>
      </c>
      <c r="X1372">
        <v>0</v>
      </c>
      <c r="Y1372">
        <v>0</v>
      </c>
      <c r="Z1372">
        <v>0</v>
      </c>
      <c r="AA1372">
        <v>10</v>
      </c>
    </row>
    <row r="1373" spans="1:27" ht="14.25" x14ac:dyDescent="0.2">
      <c r="A1373" s="12">
        <v>30240</v>
      </c>
      <c r="B1373" t="s">
        <v>123</v>
      </c>
      <c r="C1373" t="s">
        <v>121</v>
      </c>
      <c r="D1373" t="s">
        <v>121</v>
      </c>
      <c r="E1373" t="s">
        <v>121</v>
      </c>
      <c r="F1373" s="4" t="s">
        <v>2120</v>
      </c>
      <c r="H1373">
        <v>2</v>
      </c>
      <c r="I1373" s="1">
        <v>0</v>
      </c>
      <c r="J1373">
        <v>0</v>
      </c>
      <c r="K1373">
        <v>0</v>
      </c>
      <c r="L1373" s="20">
        <v>21320</v>
      </c>
      <c r="M1373">
        <v>1</v>
      </c>
      <c r="N1373">
        <v>0</v>
      </c>
      <c r="O1373">
        <v>0</v>
      </c>
      <c r="P1373">
        <v>0</v>
      </c>
      <c r="Q1373" s="22">
        <v>63960</v>
      </c>
      <c r="R1373">
        <v>3</v>
      </c>
      <c r="S1373" s="1">
        <v>0</v>
      </c>
      <c r="T1373">
        <v>0</v>
      </c>
      <c r="U1373">
        <v>0</v>
      </c>
      <c r="V1373" s="21">
        <v>31980</v>
      </c>
      <c r="W1373">
        <v>12</v>
      </c>
      <c r="X1373">
        <v>0</v>
      </c>
      <c r="Y1373">
        <v>0</v>
      </c>
      <c r="Z1373">
        <v>0</v>
      </c>
      <c r="AA1373">
        <v>10</v>
      </c>
    </row>
    <row r="1374" spans="1:27" ht="14.25" x14ac:dyDescent="0.2">
      <c r="A1374" s="12">
        <v>30241</v>
      </c>
      <c r="B1374" t="s">
        <v>126</v>
      </c>
      <c r="C1374" t="s">
        <v>121</v>
      </c>
      <c r="D1374" t="s">
        <v>121</v>
      </c>
      <c r="E1374" t="s">
        <v>121</v>
      </c>
      <c r="F1374" s="4" t="s">
        <v>2122</v>
      </c>
      <c r="H1374">
        <v>2</v>
      </c>
      <c r="I1374" s="1">
        <v>0</v>
      </c>
      <c r="J1374">
        <v>0</v>
      </c>
      <c r="K1374">
        <v>0</v>
      </c>
      <c r="L1374" s="20">
        <v>21360</v>
      </c>
      <c r="M1374">
        <v>1</v>
      </c>
      <c r="N1374">
        <v>0</v>
      </c>
      <c r="O1374">
        <v>0</v>
      </c>
      <c r="P1374">
        <v>0</v>
      </c>
      <c r="Q1374" s="22">
        <v>63960</v>
      </c>
      <c r="R1374">
        <v>3</v>
      </c>
      <c r="S1374" s="1">
        <v>0</v>
      </c>
      <c r="T1374">
        <v>0</v>
      </c>
      <c r="U1374">
        <v>0</v>
      </c>
      <c r="V1374" s="21">
        <v>31980</v>
      </c>
      <c r="W1374">
        <v>23</v>
      </c>
      <c r="X1374">
        <v>0</v>
      </c>
      <c r="Y1374">
        <v>0</v>
      </c>
      <c r="Z1374">
        <v>0</v>
      </c>
      <c r="AA1374">
        <v>1</v>
      </c>
    </row>
    <row r="1375" spans="1:27" ht="14.25" x14ac:dyDescent="0.2">
      <c r="A1375" s="12">
        <v>30242</v>
      </c>
      <c r="B1375" t="s">
        <v>131</v>
      </c>
      <c r="C1375" t="s">
        <v>125</v>
      </c>
      <c r="D1375" t="s">
        <v>121</v>
      </c>
      <c r="E1375" t="s">
        <v>136</v>
      </c>
      <c r="F1375" s="4" t="s">
        <v>2124</v>
      </c>
      <c r="H1375">
        <v>2</v>
      </c>
      <c r="I1375" s="1">
        <v>0</v>
      </c>
      <c r="J1375">
        <v>0</v>
      </c>
      <c r="K1375">
        <v>0</v>
      </c>
      <c r="L1375" s="20">
        <v>21360</v>
      </c>
      <c r="M1375">
        <v>1</v>
      </c>
      <c r="N1375">
        <v>0</v>
      </c>
      <c r="O1375">
        <v>0</v>
      </c>
      <c r="P1375">
        <v>0</v>
      </c>
      <c r="Q1375" s="22">
        <v>63960</v>
      </c>
      <c r="R1375">
        <v>3</v>
      </c>
      <c r="S1375" s="1">
        <v>0</v>
      </c>
      <c r="T1375">
        <v>0</v>
      </c>
      <c r="U1375">
        <v>0</v>
      </c>
      <c r="V1375" s="21">
        <v>31980</v>
      </c>
      <c r="W1375">
        <v>6</v>
      </c>
      <c r="X1375">
        <v>1</v>
      </c>
      <c r="Y1375">
        <v>0</v>
      </c>
      <c r="Z1375">
        <v>3</v>
      </c>
      <c r="AA1375">
        <v>10</v>
      </c>
    </row>
    <row r="1376" spans="1:27" ht="14.25" x14ac:dyDescent="0.2">
      <c r="A1376" s="12">
        <v>30243</v>
      </c>
      <c r="B1376" t="s">
        <v>180</v>
      </c>
      <c r="C1376" t="s">
        <v>121</v>
      </c>
      <c r="D1376" t="s">
        <v>121</v>
      </c>
      <c r="E1376" t="s">
        <v>121</v>
      </c>
      <c r="F1376" s="4" t="s">
        <v>2126</v>
      </c>
      <c r="H1376">
        <v>2</v>
      </c>
      <c r="I1376" s="1">
        <v>0</v>
      </c>
      <c r="J1376">
        <v>0</v>
      </c>
      <c r="K1376">
        <v>0</v>
      </c>
      <c r="L1376" s="20">
        <v>21360</v>
      </c>
      <c r="M1376">
        <v>1</v>
      </c>
      <c r="N1376">
        <v>0</v>
      </c>
      <c r="O1376">
        <v>0</v>
      </c>
      <c r="P1376">
        <v>0</v>
      </c>
      <c r="Q1376" s="22">
        <v>64080</v>
      </c>
      <c r="R1376">
        <v>3</v>
      </c>
      <c r="S1376" s="1">
        <v>0</v>
      </c>
      <c r="T1376">
        <v>0</v>
      </c>
      <c r="U1376">
        <v>0</v>
      </c>
      <c r="V1376" s="21">
        <v>32040</v>
      </c>
      <c r="W1376">
        <v>15</v>
      </c>
      <c r="X1376">
        <v>0</v>
      </c>
      <c r="Y1376">
        <v>0</v>
      </c>
      <c r="Z1376">
        <v>0</v>
      </c>
      <c r="AA1376">
        <v>1</v>
      </c>
    </row>
    <row r="1377" spans="1:27" ht="14.25" x14ac:dyDescent="0.2">
      <c r="A1377" s="12">
        <v>30244</v>
      </c>
      <c r="B1377" t="s">
        <v>178</v>
      </c>
      <c r="C1377" t="s">
        <v>121</v>
      </c>
      <c r="D1377" t="s">
        <v>121</v>
      </c>
      <c r="E1377" t="s">
        <v>121</v>
      </c>
      <c r="F1377" s="4" t="s">
        <v>2126</v>
      </c>
      <c r="H1377">
        <v>2</v>
      </c>
      <c r="I1377" s="1">
        <v>0</v>
      </c>
      <c r="J1377">
        <v>0</v>
      </c>
      <c r="K1377">
        <v>0</v>
      </c>
      <c r="L1377" s="20">
        <v>21360</v>
      </c>
      <c r="M1377">
        <v>1</v>
      </c>
      <c r="N1377">
        <v>0</v>
      </c>
      <c r="O1377">
        <v>0</v>
      </c>
      <c r="P1377">
        <v>0</v>
      </c>
      <c r="Q1377" s="22">
        <v>64080</v>
      </c>
      <c r="R1377">
        <v>3</v>
      </c>
      <c r="S1377" s="1">
        <v>0</v>
      </c>
      <c r="T1377">
        <v>0</v>
      </c>
      <c r="U1377">
        <v>0</v>
      </c>
      <c r="V1377" s="21">
        <v>32040</v>
      </c>
      <c r="W1377">
        <v>21</v>
      </c>
      <c r="X1377">
        <v>0</v>
      </c>
      <c r="Y1377">
        <v>0</v>
      </c>
      <c r="Z1377">
        <v>0</v>
      </c>
      <c r="AA1377">
        <v>1</v>
      </c>
    </row>
    <row r="1378" spans="1:27" ht="14.25" x14ac:dyDescent="0.2">
      <c r="A1378" s="12">
        <v>30245</v>
      </c>
      <c r="B1378" t="s">
        <v>130</v>
      </c>
      <c r="C1378" t="s">
        <v>121</v>
      </c>
      <c r="D1378" t="s">
        <v>121</v>
      </c>
      <c r="E1378" t="s">
        <v>121</v>
      </c>
      <c r="F1378" s="4" t="s">
        <v>2128</v>
      </c>
      <c r="H1378">
        <v>2</v>
      </c>
      <c r="I1378" s="1">
        <v>0</v>
      </c>
      <c r="J1378">
        <v>0</v>
      </c>
      <c r="K1378">
        <v>0</v>
      </c>
      <c r="L1378" s="20">
        <v>21360</v>
      </c>
      <c r="M1378">
        <v>1</v>
      </c>
      <c r="N1378">
        <v>0</v>
      </c>
      <c r="O1378">
        <v>0</v>
      </c>
      <c r="P1378">
        <v>0</v>
      </c>
      <c r="Q1378" s="22">
        <v>64080</v>
      </c>
      <c r="R1378">
        <v>3</v>
      </c>
      <c r="S1378" s="1">
        <v>0</v>
      </c>
      <c r="T1378">
        <v>0</v>
      </c>
      <c r="U1378">
        <v>0</v>
      </c>
      <c r="V1378" s="21">
        <v>32040</v>
      </c>
      <c r="W1378">
        <v>9</v>
      </c>
      <c r="X1378">
        <v>0</v>
      </c>
      <c r="Y1378">
        <v>0</v>
      </c>
      <c r="Z1378">
        <v>0</v>
      </c>
      <c r="AA1378">
        <v>10</v>
      </c>
    </row>
    <row r="1379" spans="1:27" ht="14.25" x14ac:dyDescent="0.2">
      <c r="A1379" s="12">
        <v>30246</v>
      </c>
      <c r="B1379" t="s">
        <v>181</v>
      </c>
      <c r="C1379" t="s">
        <v>121</v>
      </c>
      <c r="D1379" t="s">
        <v>121</v>
      </c>
      <c r="E1379" t="s">
        <v>121</v>
      </c>
      <c r="F1379" s="4" t="s">
        <v>2130</v>
      </c>
      <c r="H1379">
        <v>2</v>
      </c>
      <c r="I1379" s="1">
        <v>0</v>
      </c>
      <c r="J1379">
        <v>0</v>
      </c>
      <c r="K1379">
        <v>0</v>
      </c>
      <c r="L1379" s="20">
        <v>21400</v>
      </c>
      <c r="M1379">
        <v>1</v>
      </c>
      <c r="N1379">
        <v>0</v>
      </c>
      <c r="O1379">
        <v>0</v>
      </c>
      <c r="P1379">
        <v>0</v>
      </c>
      <c r="Q1379" s="22">
        <v>64080</v>
      </c>
      <c r="R1379">
        <v>3</v>
      </c>
      <c r="S1379" s="1">
        <v>0</v>
      </c>
      <c r="T1379">
        <v>0</v>
      </c>
      <c r="U1379">
        <v>0</v>
      </c>
      <c r="V1379" s="21">
        <v>32040</v>
      </c>
      <c r="W1379">
        <v>30</v>
      </c>
      <c r="X1379">
        <v>0</v>
      </c>
      <c r="Y1379">
        <v>0</v>
      </c>
      <c r="Z1379">
        <v>0</v>
      </c>
      <c r="AA1379">
        <v>10</v>
      </c>
    </row>
    <row r="1380" spans="1:27" ht="14.25" x14ac:dyDescent="0.2">
      <c r="A1380" s="12">
        <v>30247</v>
      </c>
      <c r="B1380" t="s">
        <v>122</v>
      </c>
      <c r="C1380" t="s">
        <v>121</v>
      </c>
      <c r="D1380" t="s">
        <v>121</v>
      </c>
      <c r="E1380" t="s">
        <v>121</v>
      </c>
      <c r="F1380" s="4" t="s">
        <v>2130</v>
      </c>
      <c r="H1380">
        <v>2</v>
      </c>
      <c r="I1380" s="1">
        <v>0</v>
      </c>
      <c r="J1380">
        <v>0</v>
      </c>
      <c r="K1380">
        <v>0</v>
      </c>
      <c r="L1380" s="20">
        <v>21400</v>
      </c>
      <c r="M1380">
        <v>1</v>
      </c>
      <c r="N1380">
        <v>0</v>
      </c>
      <c r="O1380">
        <v>0</v>
      </c>
      <c r="P1380">
        <v>0</v>
      </c>
      <c r="Q1380" s="22">
        <v>64080</v>
      </c>
      <c r="R1380">
        <v>3</v>
      </c>
      <c r="S1380" s="1">
        <v>0</v>
      </c>
      <c r="T1380">
        <v>0</v>
      </c>
      <c r="U1380">
        <v>0</v>
      </c>
      <c r="V1380" s="21">
        <v>32040</v>
      </c>
      <c r="W1380">
        <v>4</v>
      </c>
      <c r="X1380">
        <v>0</v>
      </c>
      <c r="Y1380">
        <v>0</v>
      </c>
      <c r="Z1380">
        <v>0</v>
      </c>
      <c r="AA1380">
        <v>10</v>
      </c>
    </row>
    <row r="1381" spans="1:27" ht="14.25" x14ac:dyDescent="0.2">
      <c r="A1381" s="12">
        <v>30248</v>
      </c>
      <c r="B1381" t="s">
        <v>178</v>
      </c>
      <c r="C1381" t="s">
        <v>121</v>
      </c>
      <c r="D1381" t="s">
        <v>121</v>
      </c>
      <c r="E1381" t="s">
        <v>121</v>
      </c>
      <c r="F1381" s="4" t="s">
        <v>2132</v>
      </c>
      <c r="H1381">
        <v>2</v>
      </c>
      <c r="I1381" s="1">
        <v>0</v>
      </c>
      <c r="J1381">
        <v>0</v>
      </c>
      <c r="K1381">
        <v>0</v>
      </c>
      <c r="L1381" s="20">
        <v>21400</v>
      </c>
      <c r="M1381">
        <v>1</v>
      </c>
      <c r="N1381">
        <v>0</v>
      </c>
      <c r="O1381">
        <v>0</v>
      </c>
      <c r="P1381">
        <v>0</v>
      </c>
      <c r="Q1381" s="22">
        <v>64200</v>
      </c>
      <c r="R1381">
        <v>3</v>
      </c>
      <c r="S1381" s="1">
        <v>0</v>
      </c>
      <c r="T1381">
        <v>0</v>
      </c>
      <c r="U1381">
        <v>0</v>
      </c>
      <c r="V1381" s="21">
        <v>32100</v>
      </c>
      <c r="W1381">
        <v>21</v>
      </c>
      <c r="X1381">
        <v>0</v>
      </c>
      <c r="Y1381">
        <v>0</v>
      </c>
      <c r="Z1381">
        <v>0</v>
      </c>
      <c r="AA1381">
        <v>1</v>
      </c>
    </row>
    <row r="1382" spans="1:27" ht="14.25" x14ac:dyDescent="0.2">
      <c r="A1382" s="12">
        <v>30249</v>
      </c>
      <c r="B1382" t="s">
        <v>130</v>
      </c>
      <c r="C1382" t="s">
        <v>121</v>
      </c>
      <c r="D1382" t="s">
        <v>121</v>
      </c>
      <c r="E1382" t="s">
        <v>121</v>
      </c>
      <c r="F1382" s="4" t="s">
        <v>2134</v>
      </c>
      <c r="H1382">
        <v>2</v>
      </c>
      <c r="I1382" s="1">
        <v>0</v>
      </c>
      <c r="J1382">
        <v>0</v>
      </c>
      <c r="K1382">
        <v>0</v>
      </c>
      <c r="L1382" s="20">
        <v>21400</v>
      </c>
      <c r="M1382">
        <v>1</v>
      </c>
      <c r="N1382">
        <v>0</v>
      </c>
      <c r="O1382">
        <v>0</v>
      </c>
      <c r="P1382">
        <v>0</v>
      </c>
      <c r="Q1382" s="22">
        <v>64200</v>
      </c>
      <c r="R1382">
        <v>3</v>
      </c>
      <c r="S1382" s="1">
        <v>0</v>
      </c>
      <c r="T1382">
        <v>0</v>
      </c>
      <c r="U1382">
        <v>0</v>
      </c>
      <c r="V1382" s="21">
        <v>32100</v>
      </c>
      <c r="W1382">
        <v>9</v>
      </c>
      <c r="X1382">
        <v>0</v>
      </c>
      <c r="Y1382">
        <v>0</v>
      </c>
      <c r="Z1382">
        <v>0</v>
      </c>
      <c r="AA1382">
        <v>10</v>
      </c>
    </row>
    <row r="1383" spans="1:27" ht="14.25" x14ac:dyDescent="0.2">
      <c r="A1383" s="12">
        <v>30250</v>
      </c>
      <c r="B1383" t="s">
        <v>123</v>
      </c>
      <c r="C1383" t="s">
        <v>121</v>
      </c>
      <c r="D1383" t="s">
        <v>121</v>
      </c>
      <c r="E1383" t="s">
        <v>121</v>
      </c>
      <c r="F1383" s="4" t="s">
        <v>2134</v>
      </c>
      <c r="H1383">
        <v>2</v>
      </c>
      <c r="I1383" s="1">
        <v>0</v>
      </c>
      <c r="J1383">
        <v>0</v>
      </c>
      <c r="K1383">
        <v>0</v>
      </c>
      <c r="L1383" s="20">
        <v>21400</v>
      </c>
      <c r="M1383">
        <v>1</v>
      </c>
      <c r="N1383">
        <v>0</v>
      </c>
      <c r="O1383">
        <v>0</v>
      </c>
      <c r="P1383">
        <v>0</v>
      </c>
      <c r="Q1383" s="22">
        <v>64200</v>
      </c>
      <c r="R1383">
        <v>3</v>
      </c>
      <c r="S1383" s="1">
        <v>0</v>
      </c>
      <c r="T1383">
        <v>0</v>
      </c>
      <c r="U1383">
        <v>0</v>
      </c>
      <c r="V1383" s="21">
        <v>32100</v>
      </c>
      <c r="W1383">
        <v>12</v>
      </c>
      <c r="X1383">
        <v>0</v>
      </c>
      <c r="Y1383">
        <v>0</v>
      </c>
      <c r="Z1383">
        <v>0</v>
      </c>
      <c r="AA1383">
        <v>10</v>
      </c>
    </row>
    <row r="1384" spans="1:27" ht="14.25" x14ac:dyDescent="0.2">
      <c r="A1384" s="12">
        <v>30301</v>
      </c>
      <c r="B1384" t="s">
        <v>126</v>
      </c>
      <c r="C1384" t="s">
        <v>121</v>
      </c>
      <c r="D1384" t="s">
        <v>121</v>
      </c>
      <c r="E1384" t="s">
        <v>121</v>
      </c>
      <c r="F1384" s="4" t="s">
        <v>2136</v>
      </c>
      <c r="H1384">
        <v>2</v>
      </c>
      <c r="I1384" s="1">
        <v>0</v>
      </c>
      <c r="J1384">
        <v>0</v>
      </c>
      <c r="K1384">
        <v>0</v>
      </c>
      <c r="L1384" s="20">
        <v>21440</v>
      </c>
      <c r="M1384">
        <v>1</v>
      </c>
      <c r="N1384">
        <v>0</v>
      </c>
      <c r="O1384">
        <v>0</v>
      </c>
      <c r="P1384">
        <v>0</v>
      </c>
      <c r="Q1384" s="22">
        <v>64200</v>
      </c>
      <c r="R1384">
        <v>3</v>
      </c>
      <c r="S1384" s="1">
        <v>0</v>
      </c>
      <c r="T1384">
        <v>0</v>
      </c>
      <c r="U1384">
        <v>0</v>
      </c>
      <c r="V1384" s="21">
        <v>32100</v>
      </c>
      <c r="W1384">
        <v>23</v>
      </c>
      <c r="X1384">
        <v>0</v>
      </c>
      <c r="Y1384">
        <v>0</v>
      </c>
      <c r="Z1384">
        <v>0</v>
      </c>
      <c r="AA1384">
        <v>1</v>
      </c>
    </row>
    <row r="1385" spans="1:27" ht="14.25" x14ac:dyDescent="0.2">
      <c r="A1385" s="12">
        <v>30302</v>
      </c>
      <c r="B1385" t="s">
        <v>131</v>
      </c>
      <c r="C1385" t="s">
        <v>125</v>
      </c>
      <c r="D1385" t="s">
        <v>121</v>
      </c>
      <c r="E1385" t="s">
        <v>136</v>
      </c>
      <c r="F1385" s="4" t="s">
        <v>2138</v>
      </c>
      <c r="H1385">
        <v>2</v>
      </c>
      <c r="I1385" s="1">
        <v>0</v>
      </c>
      <c r="J1385">
        <v>0</v>
      </c>
      <c r="K1385">
        <v>0</v>
      </c>
      <c r="L1385" s="20">
        <v>21440</v>
      </c>
      <c r="M1385">
        <v>1</v>
      </c>
      <c r="N1385">
        <v>0</v>
      </c>
      <c r="O1385">
        <v>0</v>
      </c>
      <c r="P1385">
        <v>0</v>
      </c>
      <c r="Q1385" s="22">
        <v>64200</v>
      </c>
      <c r="R1385">
        <v>3</v>
      </c>
      <c r="S1385" s="1">
        <v>0</v>
      </c>
      <c r="T1385">
        <v>0</v>
      </c>
      <c r="U1385">
        <v>0</v>
      </c>
      <c r="V1385" s="21">
        <v>32100</v>
      </c>
      <c r="W1385">
        <v>6</v>
      </c>
      <c r="X1385">
        <v>1</v>
      </c>
      <c r="Y1385">
        <v>0</v>
      </c>
      <c r="Z1385">
        <v>3</v>
      </c>
      <c r="AA1385">
        <v>10</v>
      </c>
    </row>
    <row r="1386" spans="1:27" ht="14.25" x14ac:dyDescent="0.2">
      <c r="A1386" s="12">
        <v>30303</v>
      </c>
      <c r="B1386" t="s">
        <v>180</v>
      </c>
      <c r="C1386" t="s">
        <v>121</v>
      </c>
      <c r="D1386" t="s">
        <v>121</v>
      </c>
      <c r="E1386" t="s">
        <v>121</v>
      </c>
      <c r="F1386" s="4" t="s">
        <v>2140</v>
      </c>
      <c r="H1386">
        <v>2</v>
      </c>
      <c r="I1386" s="1">
        <v>0</v>
      </c>
      <c r="J1386">
        <v>0</v>
      </c>
      <c r="K1386">
        <v>0</v>
      </c>
      <c r="L1386" s="20">
        <v>21440</v>
      </c>
      <c r="M1386">
        <v>1</v>
      </c>
      <c r="N1386">
        <v>0</v>
      </c>
      <c r="O1386">
        <v>0</v>
      </c>
      <c r="P1386">
        <v>0</v>
      </c>
      <c r="Q1386" s="22">
        <v>64320</v>
      </c>
      <c r="R1386">
        <v>3</v>
      </c>
      <c r="S1386" s="1">
        <v>0</v>
      </c>
      <c r="T1386">
        <v>0</v>
      </c>
      <c r="U1386">
        <v>0</v>
      </c>
      <c r="V1386" s="21">
        <v>32160</v>
      </c>
      <c r="W1386">
        <v>15</v>
      </c>
      <c r="X1386">
        <v>0</v>
      </c>
      <c r="Y1386">
        <v>0</v>
      </c>
      <c r="Z1386">
        <v>0</v>
      </c>
      <c r="AA1386">
        <v>1</v>
      </c>
    </row>
    <row r="1387" spans="1:27" ht="14.25" x14ac:dyDescent="0.2">
      <c r="A1387" s="12">
        <v>30304</v>
      </c>
      <c r="B1387" t="s">
        <v>178</v>
      </c>
      <c r="C1387" t="s">
        <v>121</v>
      </c>
      <c r="D1387" t="s">
        <v>121</v>
      </c>
      <c r="E1387" t="s">
        <v>121</v>
      </c>
      <c r="F1387" s="4" t="s">
        <v>2140</v>
      </c>
      <c r="H1387">
        <v>2</v>
      </c>
      <c r="I1387" s="1">
        <v>0</v>
      </c>
      <c r="J1387">
        <v>0</v>
      </c>
      <c r="K1387">
        <v>0</v>
      </c>
      <c r="L1387" s="20">
        <v>21440</v>
      </c>
      <c r="M1387">
        <v>1</v>
      </c>
      <c r="N1387">
        <v>0</v>
      </c>
      <c r="O1387">
        <v>0</v>
      </c>
      <c r="P1387">
        <v>0</v>
      </c>
      <c r="Q1387" s="22">
        <v>64320</v>
      </c>
      <c r="R1387">
        <v>3</v>
      </c>
      <c r="S1387" s="1">
        <v>0</v>
      </c>
      <c r="T1387">
        <v>0</v>
      </c>
      <c r="U1387">
        <v>0</v>
      </c>
      <c r="V1387" s="21">
        <v>32160</v>
      </c>
      <c r="W1387">
        <v>21</v>
      </c>
      <c r="X1387">
        <v>0</v>
      </c>
      <c r="Y1387">
        <v>0</v>
      </c>
      <c r="Z1387">
        <v>0</v>
      </c>
      <c r="AA1387">
        <v>1</v>
      </c>
    </row>
    <row r="1388" spans="1:27" ht="14.25" x14ac:dyDescent="0.2">
      <c r="A1388" s="12">
        <v>30305</v>
      </c>
      <c r="B1388" t="s">
        <v>130</v>
      </c>
      <c r="C1388" t="s">
        <v>121</v>
      </c>
      <c r="D1388" t="s">
        <v>121</v>
      </c>
      <c r="E1388" t="s">
        <v>121</v>
      </c>
      <c r="F1388" s="4" t="s">
        <v>2142</v>
      </c>
      <c r="H1388">
        <v>2</v>
      </c>
      <c r="I1388" s="1">
        <v>0</v>
      </c>
      <c r="J1388">
        <v>0</v>
      </c>
      <c r="K1388">
        <v>0</v>
      </c>
      <c r="L1388" s="20">
        <v>21440</v>
      </c>
      <c r="M1388">
        <v>1</v>
      </c>
      <c r="N1388">
        <v>0</v>
      </c>
      <c r="O1388">
        <v>0</v>
      </c>
      <c r="P1388">
        <v>0</v>
      </c>
      <c r="Q1388" s="22">
        <v>64320</v>
      </c>
      <c r="R1388">
        <v>3</v>
      </c>
      <c r="S1388" s="1">
        <v>0</v>
      </c>
      <c r="T1388">
        <v>0</v>
      </c>
      <c r="U1388">
        <v>0</v>
      </c>
      <c r="V1388" s="21">
        <v>32160</v>
      </c>
      <c r="W1388">
        <v>9</v>
      </c>
      <c r="X1388">
        <v>0</v>
      </c>
      <c r="Y1388">
        <v>0</v>
      </c>
      <c r="Z1388">
        <v>0</v>
      </c>
      <c r="AA1388">
        <v>10</v>
      </c>
    </row>
    <row r="1389" spans="1:27" ht="14.25" x14ac:dyDescent="0.2">
      <c r="A1389" s="12">
        <v>30306</v>
      </c>
      <c r="B1389" t="s">
        <v>181</v>
      </c>
      <c r="C1389" t="s">
        <v>121</v>
      </c>
      <c r="D1389" t="s">
        <v>121</v>
      </c>
      <c r="E1389" t="s">
        <v>121</v>
      </c>
      <c r="F1389" s="4" t="s">
        <v>2144</v>
      </c>
      <c r="H1389">
        <v>2</v>
      </c>
      <c r="I1389" s="1">
        <v>0</v>
      </c>
      <c r="J1389">
        <v>0</v>
      </c>
      <c r="K1389">
        <v>0</v>
      </c>
      <c r="L1389" s="20">
        <v>21480</v>
      </c>
      <c r="M1389">
        <v>1</v>
      </c>
      <c r="N1389">
        <v>0</v>
      </c>
      <c r="O1389">
        <v>0</v>
      </c>
      <c r="P1389">
        <v>0</v>
      </c>
      <c r="Q1389" s="22">
        <v>64320</v>
      </c>
      <c r="R1389">
        <v>3</v>
      </c>
      <c r="S1389" s="1">
        <v>0</v>
      </c>
      <c r="T1389">
        <v>0</v>
      </c>
      <c r="U1389">
        <v>0</v>
      </c>
      <c r="V1389" s="21">
        <v>32160</v>
      </c>
      <c r="W1389">
        <v>30</v>
      </c>
      <c r="X1389">
        <v>0</v>
      </c>
      <c r="Y1389">
        <v>0</v>
      </c>
      <c r="Z1389">
        <v>0</v>
      </c>
      <c r="AA1389">
        <v>10</v>
      </c>
    </row>
    <row r="1390" spans="1:27" ht="14.25" x14ac:dyDescent="0.2">
      <c r="A1390" s="12">
        <v>30307</v>
      </c>
      <c r="B1390" t="s">
        <v>122</v>
      </c>
      <c r="C1390" t="s">
        <v>121</v>
      </c>
      <c r="D1390" t="s">
        <v>121</v>
      </c>
      <c r="E1390" t="s">
        <v>121</v>
      </c>
      <c r="F1390" s="4" t="s">
        <v>2144</v>
      </c>
      <c r="H1390">
        <v>2</v>
      </c>
      <c r="I1390" s="1">
        <v>0</v>
      </c>
      <c r="J1390">
        <v>0</v>
      </c>
      <c r="K1390">
        <v>0</v>
      </c>
      <c r="L1390" s="20">
        <v>21480</v>
      </c>
      <c r="M1390">
        <v>1</v>
      </c>
      <c r="N1390">
        <v>0</v>
      </c>
      <c r="O1390">
        <v>0</v>
      </c>
      <c r="P1390">
        <v>0</v>
      </c>
      <c r="Q1390" s="22">
        <v>64320</v>
      </c>
      <c r="R1390">
        <v>3</v>
      </c>
      <c r="S1390" s="1">
        <v>0</v>
      </c>
      <c r="T1390">
        <v>0</v>
      </c>
      <c r="U1390">
        <v>0</v>
      </c>
      <c r="V1390" s="21">
        <v>32160</v>
      </c>
      <c r="W1390">
        <v>4</v>
      </c>
      <c r="X1390">
        <v>0</v>
      </c>
      <c r="Y1390">
        <v>0</v>
      </c>
      <c r="Z1390">
        <v>0</v>
      </c>
      <c r="AA1390">
        <v>10</v>
      </c>
    </row>
    <row r="1391" spans="1:27" ht="14.25" x14ac:dyDescent="0.2">
      <c r="A1391" s="12">
        <v>30308</v>
      </c>
      <c r="B1391" t="s">
        <v>178</v>
      </c>
      <c r="C1391" t="s">
        <v>121</v>
      </c>
      <c r="D1391" t="s">
        <v>121</v>
      </c>
      <c r="E1391" t="s">
        <v>121</v>
      </c>
      <c r="F1391" s="4" t="s">
        <v>2146</v>
      </c>
      <c r="H1391">
        <v>2</v>
      </c>
      <c r="I1391" s="1">
        <v>0</v>
      </c>
      <c r="J1391">
        <v>0</v>
      </c>
      <c r="K1391">
        <v>0</v>
      </c>
      <c r="L1391" s="20">
        <v>21480</v>
      </c>
      <c r="M1391">
        <v>1</v>
      </c>
      <c r="N1391">
        <v>0</v>
      </c>
      <c r="O1391">
        <v>0</v>
      </c>
      <c r="P1391">
        <v>0</v>
      </c>
      <c r="Q1391" s="22">
        <v>64440</v>
      </c>
      <c r="R1391">
        <v>3</v>
      </c>
      <c r="S1391" s="1">
        <v>0</v>
      </c>
      <c r="T1391">
        <v>0</v>
      </c>
      <c r="U1391">
        <v>0</v>
      </c>
      <c r="V1391" s="21">
        <v>32220</v>
      </c>
      <c r="W1391">
        <v>21</v>
      </c>
      <c r="X1391">
        <v>0</v>
      </c>
      <c r="Y1391">
        <v>0</v>
      </c>
      <c r="Z1391">
        <v>0</v>
      </c>
      <c r="AA1391">
        <v>1</v>
      </c>
    </row>
    <row r="1392" spans="1:27" ht="14.25" x14ac:dyDescent="0.2">
      <c r="A1392" s="12">
        <v>30309</v>
      </c>
      <c r="B1392" t="s">
        <v>130</v>
      </c>
      <c r="C1392" t="s">
        <v>121</v>
      </c>
      <c r="D1392" t="s">
        <v>121</v>
      </c>
      <c r="E1392" t="s">
        <v>121</v>
      </c>
      <c r="F1392" s="4" t="s">
        <v>2148</v>
      </c>
      <c r="H1392">
        <v>2</v>
      </c>
      <c r="I1392" s="1">
        <v>0</v>
      </c>
      <c r="J1392">
        <v>0</v>
      </c>
      <c r="K1392">
        <v>0</v>
      </c>
      <c r="L1392" s="20">
        <v>21480</v>
      </c>
      <c r="M1392">
        <v>1</v>
      </c>
      <c r="N1392">
        <v>0</v>
      </c>
      <c r="O1392">
        <v>0</v>
      </c>
      <c r="P1392">
        <v>0</v>
      </c>
      <c r="Q1392" s="22">
        <v>64440</v>
      </c>
      <c r="R1392">
        <v>3</v>
      </c>
      <c r="S1392" s="1">
        <v>0</v>
      </c>
      <c r="T1392">
        <v>0</v>
      </c>
      <c r="U1392">
        <v>0</v>
      </c>
      <c r="V1392" s="21">
        <v>32220</v>
      </c>
      <c r="W1392">
        <v>9</v>
      </c>
      <c r="X1392">
        <v>0</v>
      </c>
      <c r="Y1392">
        <v>0</v>
      </c>
      <c r="Z1392">
        <v>0</v>
      </c>
      <c r="AA1392">
        <v>10</v>
      </c>
    </row>
    <row r="1393" spans="1:27" ht="14.25" x14ac:dyDescent="0.2">
      <c r="A1393" s="12">
        <v>30310</v>
      </c>
      <c r="B1393" t="s">
        <v>123</v>
      </c>
      <c r="C1393" t="s">
        <v>121</v>
      </c>
      <c r="D1393" t="s">
        <v>121</v>
      </c>
      <c r="E1393" t="s">
        <v>121</v>
      </c>
      <c r="F1393" s="4" t="s">
        <v>2148</v>
      </c>
      <c r="H1393">
        <v>2</v>
      </c>
      <c r="I1393" s="1">
        <v>0</v>
      </c>
      <c r="J1393">
        <v>0</v>
      </c>
      <c r="K1393">
        <v>0</v>
      </c>
      <c r="L1393" s="20">
        <v>21480</v>
      </c>
      <c r="M1393">
        <v>1</v>
      </c>
      <c r="N1393">
        <v>0</v>
      </c>
      <c r="O1393">
        <v>0</v>
      </c>
      <c r="P1393">
        <v>0</v>
      </c>
      <c r="Q1393" s="22">
        <v>64440</v>
      </c>
      <c r="R1393">
        <v>3</v>
      </c>
      <c r="S1393" s="1">
        <v>0</v>
      </c>
      <c r="T1393">
        <v>0</v>
      </c>
      <c r="U1393">
        <v>0</v>
      </c>
      <c r="V1393" s="21">
        <v>32220</v>
      </c>
      <c r="W1393">
        <v>12</v>
      </c>
      <c r="X1393">
        <v>0</v>
      </c>
      <c r="Y1393">
        <v>0</v>
      </c>
      <c r="Z1393">
        <v>0</v>
      </c>
      <c r="AA1393">
        <v>10</v>
      </c>
    </row>
    <row r="1394" spans="1:27" ht="14.25" x14ac:dyDescent="0.2">
      <c r="A1394" s="12">
        <v>30311</v>
      </c>
      <c r="B1394" t="s">
        <v>126</v>
      </c>
      <c r="C1394" t="s">
        <v>121</v>
      </c>
      <c r="D1394" t="s">
        <v>121</v>
      </c>
      <c r="E1394" t="s">
        <v>121</v>
      </c>
      <c r="F1394" s="4" t="s">
        <v>2150</v>
      </c>
      <c r="H1394">
        <v>2</v>
      </c>
      <c r="I1394" s="1">
        <v>0</v>
      </c>
      <c r="J1394">
        <v>0</v>
      </c>
      <c r="K1394">
        <v>0</v>
      </c>
      <c r="L1394" s="20">
        <v>21520</v>
      </c>
      <c r="M1394">
        <v>1</v>
      </c>
      <c r="N1394">
        <v>0</v>
      </c>
      <c r="O1394">
        <v>0</v>
      </c>
      <c r="P1394">
        <v>0</v>
      </c>
      <c r="Q1394" s="22">
        <v>64440</v>
      </c>
      <c r="R1394">
        <v>3</v>
      </c>
      <c r="S1394" s="1">
        <v>0</v>
      </c>
      <c r="T1394">
        <v>0</v>
      </c>
      <c r="U1394">
        <v>0</v>
      </c>
      <c r="V1394" s="21">
        <v>32220</v>
      </c>
      <c r="W1394">
        <v>23</v>
      </c>
      <c r="X1394">
        <v>0</v>
      </c>
      <c r="Y1394">
        <v>0</v>
      </c>
      <c r="Z1394">
        <v>0</v>
      </c>
      <c r="AA1394">
        <v>1</v>
      </c>
    </row>
    <row r="1395" spans="1:27" ht="14.25" x14ac:dyDescent="0.2">
      <c r="A1395" s="12">
        <v>30312</v>
      </c>
      <c r="B1395" t="s">
        <v>131</v>
      </c>
      <c r="C1395" t="s">
        <v>125</v>
      </c>
      <c r="D1395" t="s">
        <v>121</v>
      </c>
      <c r="E1395" t="s">
        <v>136</v>
      </c>
      <c r="F1395" s="4" t="s">
        <v>2152</v>
      </c>
      <c r="H1395">
        <v>2</v>
      </c>
      <c r="I1395" s="1">
        <v>0</v>
      </c>
      <c r="J1395">
        <v>0</v>
      </c>
      <c r="K1395">
        <v>0</v>
      </c>
      <c r="L1395" s="20">
        <v>21520</v>
      </c>
      <c r="M1395">
        <v>1</v>
      </c>
      <c r="N1395">
        <v>0</v>
      </c>
      <c r="O1395">
        <v>0</v>
      </c>
      <c r="P1395">
        <v>0</v>
      </c>
      <c r="Q1395" s="22">
        <v>64440</v>
      </c>
      <c r="R1395">
        <v>3</v>
      </c>
      <c r="S1395" s="1">
        <v>0</v>
      </c>
      <c r="T1395">
        <v>0</v>
      </c>
      <c r="U1395">
        <v>0</v>
      </c>
      <c r="V1395" s="21">
        <v>32220</v>
      </c>
      <c r="W1395">
        <v>6</v>
      </c>
      <c r="X1395">
        <v>1</v>
      </c>
      <c r="Y1395">
        <v>0</v>
      </c>
      <c r="Z1395">
        <v>3</v>
      </c>
      <c r="AA1395">
        <v>10</v>
      </c>
    </row>
    <row r="1396" spans="1:27" ht="14.25" x14ac:dyDescent="0.2">
      <c r="A1396" s="12">
        <v>30313</v>
      </c>
      <c r="B1396" t="s">
        <v>180</v>
      </c>
      <c r="C1396" t="s">
        <v>121</v>
      </c>
      <c r="D1396" t="s">
        <v>121</v>
      </c>
      <c r="E1396" t="s">
        <v>121</v>
      </c>
      <c r="F1396" s="4" t="s">
        <v>2154</v>
      </c>
      <c r="H1396">
        <v>2</v>
      </c>
      <c r="I1396" s="1">
        <v>0</v>
      </c>
      <c r="J1396">
        <v>0</v>
      </c>
      <c r="K1396">
        <v>0</v>
      </c>
      <c r="L1396" s="20">
        <v>21520</v>
      </c>
      <c r="M1396">
        <v>1</v>
      </c>
      <c r="N1396">
        <v>0</v>
      </c>
      <c r="O1396">
        <v>0</v>
      </c>
      <c r="P1396">
        <v>0</v>
      </c>
      <c r="Q1396" s="22">
        <v>64560</v>
      </c>
      <c r="R1396">
        <v>3</v>
      </c>
      <c r="S1396" s="1">
        <v>0</v>
      </c>
      <c r="T1396">
        <v>0</v>
      </c>
      <c r="U1396">
        <v>0</v>
      </c>
      <c r="V1396" s="21">
        <v>32280</v>
      </c>
      <c r="W1396">
        <v>15</v>
      </c>
      <c r="X1396">
        <v>0</v>
      </c>
      <c r="Y1396">
        <v>0</v>
      </c>
      <c r="Z1396">
        <v>0</v>
      </c>
      <c r="AA1396">
        <v>1</v>
      </c>
    </row>
    <row r="1397" spans="1:27" ht="14.25" x14ac:dyDescent="0.2">
      <c r="A1397" s="12">
        <v>30314</v>
      </c>
      <c r="B1397" t="s">
        <v>178</v>
      </c>
      <c r="C1397" t="s">
        <v>121</v>
      </c>
      <c r="D1397" t="s">
        <v>121</v>
      </c>
      <c r="E1397" t="s">
        <v>121</v>
      </c>
      <c r="F1397" s="4" t="s">
        <v>2154</v>
      </c>
      <c r="H1397">
        <v>2</v>
      </c>
      <c r="I1397" s="1">
        <v>0</v>
      </c>
      <c r="J1397">
        <v>0</v>
      </c>
      <c r="K1397">
        <v>0</v>
      </c>
      <c r="L1397" s="20">
        <v>21520</v>
      </c>
      <c r="M1397">
        <v>1</v>
      </c>
      <c r="N1397">
        <v>0</v>
      </c>
      <c r="O1397">
        <v>0</v>
      </c>
      <c r="P1397">
        <v>0</v>
      </c>
      <c r="Q1397" s="22">
        <v>64560</v>
      </c>
      <c r="R1397">
        <v>3</v>
      </c>
      <c r="S1397" s="1">
        <v>0</v>
      </c>
      <c r="T1397">
        <v>0</v>
      </c>
      <c r="U1397">
        <v>0</v>
      </c>
      <c r="V1397" s="21">
        <v>32280</v>
      </c>
      <c r="W1397">
        <v>21</v>
      </c>
      <c r="X1397">
        <v>0</v>
      </c>
      <c r="Y1397">
        <v>0</v>
      </c>
      <c r="Z1397">
        <v>0</v>
      </c>
      <c r="AA1397">
        <v>1</v>
      </c>
    </row>
    <row r="1398" spans="1:27" ht="14.25" x14ac:dyDescent="0.2">
      <c r="A1398" s="12">
        <v>30315</v>
      </c>
      <c r="B1398" t="s">
        <v>130</v>
      </c>
      <c r="C1398" t="s">
        <v>121</v>
      </c>
      <c r="D1398" t="s">
        <v>121</v>
      </c>
      <c r="E1398" t="s">
        <v>121</v>
      </c>
      <c r="F1398" s="4" t="s">
        <v>2156</v>
      </c>
      <c r="H1398">
        <v>2</v>
      </c>
      <c r="I1398" s="1">
        <v>0</v>
      </c>
      <c r="J1398">
        <v>0</v>
      </c>
      <c r="K1398">
        <v>0</v>
      </c>
      <c r="L1398" s="20">
        <v>21520</v>
      </c>
      <c r="M1398">
        <v>1</v>
      </c>
      <c r="N1398">
        <v>0</v>
      </c>
      <c r="O1398">
        <v>0</v>
      </c>
      <c r="P1398">
        <v>0</v>
      </c>
      <c r="Q1398" s="22">
        <v>64560</v>
      </c>
      <c r="R1398">
        <v>3</v>
      </c>
      <c r="S1398" s="1">
        <v>0</v>
      </c>
      <c r="T1398">
        <v>0</v>
      </c>
      <c r="U1398">
        <v>0</v>
      </c>
      <c r="V1398" s="21">
        <v>32280</v>
      </c>
      <c r="W1398">
        <v>9</v>
      </c>
      <c r="X1398">
        <v>0</v>
      </c>
      <c r="Y1398">
        <v>0</v>
      </c>
      <c r="Z1398">
        <v>0</v>
      </c>
      <c r="AA1398">
        <v>10</v>
      </c>
    </row>
    <row r="1399" spans="1:27" ht="14.25" x14ac:dyDescent="0.2">
      <c r="A1399" s="12">
        <v>30316</v>
      </c>
      <c r="B1399" t="s">
        <v>181</v>
      </c>
      <c r="C1399" t="s">
        <v>121</v>
      </c>
      <c r="D1399" t="s">
        <v>121</v>
      </c>
      <c r="E1399" t="s">
        <v>121</v>
      </c>
      <c r="F1399" s="4" t="s">
        <v>2158</v>
      </c>
      <c r="H1399">
        <v>2</v>
      </c>
      <c r="I1399" s="1">
        <v>0</v>
      </c>
      <c r="J1399">
        <v>0</v>
      </c>
      <c r="K1399">
        <v>0</v>
      </c>
      <c r="L1399" s="20">
        <v>21560</v>
      </c>
      <c r="M1399">
        <v>1</v>
      </c>
      <c r="N1399">
        <v>0</v>
      </c>
      <c r="O1399">
        <v>0</v>
      </c>
      <c r="P1399">
        <v>0</v>
      </c>
      <c r="Q1399" s="22">
        <v>64560</v>
      </c>
      <c r="R1399">
        <v>3</v>
      </c>
      <c r="S1399" s="1">
        <v>0</v>
      </c>
      <c r="T1399">
        <v>0</v>
      </c>
      <c r="U1399">
        <v>0</v>
      </c>
      <c r="V1399" s="21">
        <v>32280</v>
      </c>
      <c r="W1399">
        <v>30</v>
      </c>
      <c r="X1399">
        <v>0</v>
      </c>
      <c r="Y1399">
        <v>0</v>
      </c>
      <c r="Z1399">
        <v>0</v>
      </c>
      <c r="AA1399">
        <v>10</v>
      </c>
    </row>
    <row r="1400" spans="1:27" ht="14.25" x14ac:dyDescent="0.2">
      <c r="A1400" s="12">
        <v>30317</v>
      </c>
      <c r="B1400" t="s">
        <v>122</v>
      </c>
      <c r="C1400" t="s">
        <v>121</v>
      </c>
      <c r="D1400" t="s">
        <v>121</v>
      </c>
      <c r="E1400" t="s">
        <v>121</v>
      </c>
      <c r="F1400" s="4" t="s">
        <v>2158</v>
      </c>
      <c r="H1400">
        <v>2</v>
      </c>
      <c r="I1400" s="1">
        <v>0</v>
      </c>
      <c r="J1400">
        <v>0</v>
      </c>
      <c r="K1400">
        <v>0</v>
      </c>
      <c r="L1400" s="20">
        <v>21560</v>
      </c>
      <c r="M1400">
        <v>1</v>
      </c>
      <c r="N1400">
        <v>0</v>
      </c>
      <c r="O1400">
        <v>0</v>
      </c>
      <c r="P1400">
        <v>0</v>
      </c>
      <c r="Q1400" s="22">
        <v>64560</v>
      </c>
      <c r="R1400">
        <v>3</v>
      </c>
      <c r="S1400" s="1">
        <v>0</v>
      </c>
      <c r="T1400">
        <v>0</v>
      </c>
      <c r="U1400">
        <v>0</v>
      </c>
      <c r="V1400" s="21">
        <v>32280</v>
      </c>
      <c r="W1400">
        <v>4</v>
      </c>
      <c r="X1400">
        <v>0</v>
      </c>
      <c r="Y1400">
        <v>0</v>
      </c>
      <c r="Z1400">
        <v>0</v>
      </c>
      <c r="AA1400">
        <v>10</v>
      </c>
    </row>
    <row r="1401" spans="1:27" ht="14.25" x14ac:dyDescent="0.2">
      <c r="A1401" s="12">
        <v>30318</v>
      </c>
      <c r="B1401" t="s">
        <v>178</v>
      </c>
      <c r="C1401" t="s">
        <v>121</v>
      </c>
      <c r="D1401" t="s">
        <v>121</v>
      </c>
      <c r="E1401" t="s">
        <v>121</v>
      </c>
      <c r="F1401" s="4" t="s">
        <v>2160</v>
      </c>
      <c r="H1401">
        <v>2</v>
      </c>
      <c r="I1401" s="1">
        <v>0</v>
      </c>
      <c r="J1401">
        <v>0</v>
      </c>
      <c r="K1401">
        <v>0</v>
      </c>
      <c r="L1401" s="20">
        <v>21560</v>
      </c>
      <c r="M1401">
        <v>1</v>
      </c>
      <c r="N1401">
        <v>0</v>
      </c>
      <c r="O1401">
        <v>0</v>
      </c>
      <c r="P1401">
        <v>0</v>
      </c>
      <c r="Q1401" s="22">
        <v>64680</v>
      </c>
      <c r="R1401">
        <v>3</v>
      </c>
      <c r="S1401" s="1">
        <v>0</v>
      </c>
      <c r="T1401">
        <v>0</v>
      </c>
      <c r="U1401">
        <v>0</v>
      </c>
      <c r="V1401" s="21">
        <v>32340</v>
      </c>
      <c r="W1401">
        <v>21</v>
      </c>
      <c r="X1401">
        <v>0</v>
      </c>
      <c r="Y1401">
        <v>0</v>
      </c>
      <c r="Z1401">
        <v>0</v>
      </c>
      <c r="AA1401">
        <v>1</v>
      </c>
    </row>
    <row r="1402" spans="1:27" ht="14.25" x14ac:dyDescent="0.2">
      <c r="A1402" s="12">
        <v>30319</v>
      </c>
      <c r="B1402" t="s">
        <v>130</v>
      </c>
      <c r="C1402" t="s">
        <v>121</v>
      </c>
      <c r="D1402" t="s">
        <v>121</v>
      </c>
      <c r="E1402" t="s">
        <v>121</v>
      </c>
      <c r="F1402" s="4" t="s">
        <v>2162</v>
      </c>
      <c r="H1402">
        <v>2</v>
      </c>
      <c r="I1402" s="1">
        <v>0</v>
      </c>
      <c r="J1402">
        <v>0</v>
      </c>
      <c r="K1402">
        <v>0</v>
      </c>
      <c r="L1402" s="20">
        <v>21560</v>
      </c>
      <c r="M1402">
        <v>1</v>
      </c>
      <c r="N1402">
        <v>0</v>
      </c>
      <c r="O1402">
        <v>0</v>
      </c>
      <c r="P1402">
        <v>0</v>
      </c>
      <c r="Q1402" s="22">
        <v>64680</v>
      </c>
      <c r="R1402">
        <v>3</v>
      </c>
      <c r="S1402" s="1">
        <v>0</v>
      </c>
      <c r="T1402">
        <v>0</v>
      </c>
      <c r="U1402">
        <v>0</v>
      </c>
      <c r="V1402" s="21">
        <v>32340</v>
      </c>
      <c r="W1402">
        <v>9</v>
      </c>
      <c r="X1402">
        <v>0</v>
      </c>
      <c r="Y1402">
        <v>0</v>
      </c>
      <c r="Z1402">
        <v>0</v>
      </c>
      <c r="AA1402">
        <v>10</v>
      </c>
    </row>
    <row r="1403" spans="1:27" ht="14.25" x14ac:dyDescent="0.2">
      <c r="A1403" s="12">
        <v>30320</v>
      </c>
      <c r="B1403" t="s">
        <v>123</v>
      </c>
      <c r="C1403" t="s">
        <v>121</v>
      </c>
      <c r="D1403" t="s">
        <v>121</v>
      </c>
      <c r="E1403" t="s">
        <v>121</v>
      </c>
      <c r="F1403" s="4" t="s">
        <v>2162</v>
      </c>
      <c r="H1403">
        <v>2</v>
      </c>
      <c r="I1403" s="1">
        <v>0</v>
      </c>
      <c r="J1403">
        <v>0</v>
      </c>
      <c r="K1403">
        <v>0</v>
      </c>
      <c r="L1403" s="20">
        <v>21560</v>
      </c>
      <c r="M1403">
        <v>1</v>
      </c>
      <c r="N1403">
        <v>0</v>
      </c>
      <c r="O1403">
        <v>0</v>
      </c>
      <c r="P1403">
        <v>0</v>
      </c>
      <c r="Q1403" s="22">
        <v>64680</v>
      </c>
      <c r="R1403">
        <v>3</v>
      </c>
      <c r="S1403" s="1">
        <v>0</v>
      </c>
      <c r="T1403">
        <v>0</v>
      </c>
      <c r="U1403">
        <v>0</v>
      </c>
      <c r="V1403" s="21">
        <v>32340</v>
      </c>
      <c r="W1403">
        <v>12</v>
      </c>
      <c r="X1403">
        <v>0</v>
      </c>
      <c r="Y1403">
        <v>0</v>
      </c>
      <c r="Z1403">
        <v>0</v>
      </c>
      <c r="AA1403">
        <v>10</v>
      </c>
    </row>
    <row r="1404" spans="1:27" ht="14.25" x14ac:dyDescent="0.2">
      <c r="A1404" s="12">
        <v>30321</v>
      </c>
      <c r="B1404" t="s">
        <v>126</v>
      </c>
      <c r="C1404" t="s">
        <v>121</v>
      </c>
      <c r="D1404" t="s">
        <v>121</v>
      </c>
      <c r="E1404" t="s">
        <v>121</v>
      </c>
      <c r="F1404" s="4" t="s">
        <v>2164</v>
      </c>
      <c r="H1404">
        <v>2</v>
      </c>
      <c r="I1404" s="1">
        <v>0</v>
      </c>
      <c r="J1404">
        <v>0</v>
      </c>
      <c r="K1404">
        <v>0</v>
      </c>
      <c r="L1404" s="20">
        <v>21600</v>
      </c>
      <c r="M1404">
        <v>1</v>
      </c>
      <c r="N1404">
        <v>0</v>
      </c>
      <c r="O1404">
        <v>0</v>
      </c>
      <c r="P1404">
        <v>0</v>
      </c>
      <c r="Q1404" s="22">
        <v>64680</v>
      </c>
      <c r="R1404">
        <v>3</v>
      </c>
      <c r="S1404" s="1">
        <v>0</v>
      </c>
      <c r="T1404">
        <v>0</v>
      </c>
      <c r="U1404">
        <v>0</v>
      </c>
      <c r="V1404" s="21">
        <v>32340</v>
      </c>
      <c r="W1404">
        <v>23</v>
      </c>
      <c r="X1404">
        <v>0</v>
      </c>
      <c r="Y1404">
        <v>0</v>
      </c>
      <c r="Z1404">
        <v>0</v>
      </c>
      <c r="AA1404">
        <v>1</v>
      </c>
    </row>
    <row r="1405" spans="1:27" ht="14.25" x14ac:dyDescent="0.2">
      <c r="A1405" s="12">
        <v>30322</v>
      </c>
      <c r="B1405" t="s">
        <v>131</v>
      </c>
      <c r="C1405" t="s">
        <v>125</v>
      </c>
      <c r="D1405" t="s">
        <v>121</v>
      </c>
      <c r="E1405" t="s">
        <v>136</v>
      </c>
      <c r="F1405" s="4" t="s">
        <v>2166</v>
      </c>
      <c r="H1405">
        <v>2</v>
      </c>
      <c r="I1405" s="1">
        <v>0</v>
      </c>
      <c r="J1405">
        <v>0</v>
      </c>
      <c r="K1405">
        <v>0</v>
      </c>
      <c r="L1405" s="20">
        <v>21600</v>
      </c>
      <c r="M1405">
        <v>1</v>
      </c>
      <c r="N1405">
        <v>0</v>
      </c>
      <c r="O1405">
        <v>0</v>
      </c>
      <c r="P1405">
        <v>0</v>
      </c>
      <c r="Q1405" s="22">
        <v>64680</v>
      </c>
      <c r="R1405">
        <v>3</v>
      </c>
      <c r="S1405" s="1">
        <v>0</v>
      </c>
      <c r="T1405">
        <v>0</v>
      </c>
      <c r="U1405">
        <v>0</v>
      </c>
      <c r="V1405" s="21">
        <v>32340</v>
      </c>
      <c r="W1405">
        <v>6</v>
      </c>
      <c r="X1405">
        <v>1</v>
      </c>
      <c r="Y1405">
        <v>0</v>
      </c>
      <c r="Z1405">
        <v>3</v>
      </c>
      <c r="AA1405">
        <v>10</v>
      </c>
    </row>
    <row r="1406" spans="1:27" ht="14.25" x14ac:dyDescent="0.2">
      <c r="A1406" s="12">
        <v>30323</v>
      </c>
      <c r="B1406" t="s">
        <v>180</v>
      </c>
      <c r="C1406" t="s">
        <v>121</v>
      </c>
      <c r="D1406" t="s">
        <v>121</v>
      </c>
      <c r="E1406" t="s">
        <v>121</v>
      </c>
      <c r="F1406" s="4" t="s">
        <v>2168</v>
      </c>
      <c r="H1406">
        <v>2</v>
      </c>
      <c r="I1406" s="1">
        <v>0</v>
      </c>
      <c r="J1406">
        <v>0</v>
      </c>
      <c r="K1406">
        <v>0</v>
      </c>
      <c r="L1406" s="20">
        <v>21600</v>
      </c>
      <c r="M1406">
        <v>1</v>
      </c>
      <c r="N1406">
        <v>0</v>
      </c>
      <c r="O1406">
        <v>0</v>
      </c>
      <c r="P1406">
        <v>0</v>
      </c>
      <c r="Q1406" s="22">
        <v>64800</v>
      </c>
      <c r="R1406">
        <v>3</v>
      </c>
      <c r="S1406" s="1">
        <v>0</v>
      </c>
      <c r="T1406">
        <v>0</v>
      </c>
      <c r="U1406">
        <v>0</v>
      </c>
      <c r="V1406" s="21">
        <v>32400</v>
      </c>
      <c r="W1406">
        <v>15</v>
      </c>
      <c r="X1406">
        <v>0</v>
      </c>
      <c r="Y1406">
        <v>0</v>
      </c>
      <c r="Z1406">
        <v>0</v>
      </c>
      <c r="AA1406">
        <v>1</v>
      </c>
    </row>
    <row r="1407" spans="1:27" ht="14.25" x14ac:dyDescent="0.2">
      <c r="A1407" s="12">
        <v>30324</v>
      </c>
      <c r="B1407" t="s">
        <v>178</v>
      </c>
      <c r="C1407" t="s">
        <v>121</v>
      </c>
      <c r="D1407" t="s">
        <v>121</v>
      </c>
      <c r="E1407" t="s">
        <v>121</v>
      </c>
      <c r="F1407" s="4" t="s">
        <v>2168</v>
      </c>
      <c r="H1407">
        <v>2</v>
      </c>
      <c r="I1407" s="1">
        <v>0</v>
      </c>
      <c r="J1407">
        <v>0</v>
      </c>
      <c r="K1407">
        <v>0</v>
      </c>
      <c r="L1407" s="20">
        <v>21600</v>
      </c>
      <c r="M1407">
        <v>1</v>
      </c>
      <c r="N1407">
        <v>0</v>
      </c>
      <c r="O1407">
        <v>0</v>
      </c>
      <c r="P1407">
        <v>0</v>
      </c>
      <c r="Q1407" s="22">
        <v>64800</v>
      </c>
      <c r="R1407">
        <v>3</v>
      </c>
      <c r="S1407" s="1">
        <v>0</v>
      </c>
      <c r="T1407">
        <v>0</v>
      </c>
      <c r="U1407">
        <v>0</v>
      </c>
      <c r="V1407" s="21">
        <v>32400</v>
      </c>
      <c r="W1407">
        <v>21</v>
      </c>
      <c r="X1407">
        <v>0</v>
      </c>
      <c r="Y1407">
        <v>0</v>
      </c>
      <c r="Z1407">
        <v>0</v>
      </c>
      <c r="AA1407">
        <v>1</v>
      </c>
    </row>
    <row r="1408" spans="1:27" ht="14.25" x14ac:dyDescent="0.2">
      <c r="A1408" s="12">
        <v>30325</v>
      </c>
      <c r="B1408" t="s">
        <v>130</v>
      </c>
      <c r="C1408" t="s">
        <v>121</v>
      </c>
      <c r="D1408" t="s">
        <v>121</v>
      </c>
      <c r="E1408" t="s">
        <v>121</v>
      </c>
      <c r="F1408" s="4" t="s">
        <v>2170</v>
      </c>
      <c r="H1408">
        <v>2</v>
      </c>
      <c r="I1408" s="1">
        <v>0</v>
      </c>
      <c r="J1408">
        <v>0</v>
      </c>
      <c r="K1408">
        <v>0</v>
      </c>
      <c r="L1408" s="20">
        <v>21600</v>
      </c>
      <c r="M1408">
        <v>1</v>
      </c>
      <c r="N1408">
        <v>0</v>
      </c>
      <c r="O1408">
        <v>0</v>
      </c>
      <c r="P1408">
        <v>0</v>
      </c>
      <c r="Q1408" s="22">
        <v>64800</v>
      </c>
      <c r="R1408">
        <v>3</v>
      </c>
      <c r="S1408" s="1">
        <v>0</v>
      </c>
      <c r="T1408">
        <v>0</v>
      </c>
      <c r="U1408">
        <v>0</v>
      </c>
      <c r="V1408" s="21">
        <v>32400</v>
      </c>
      <c r="W1408">
        <v>9</v>
      </c>
      <c r="X1408">
        <v>0</v>
      </c>
      <c r="Y1408">
        <v>0</v>
      </c>
      <c r="Z1408">
        <v>0</v>
      </c>
      <c r="AA1408">
        <v>10</v>
      </c>
    </row>
    <row r="1409" spans="1:27" ht="14.25" x14ac:dyDescent="0.2">
      <c r="A1409" s="12">
        <v>30326</v>
      </c>
      <c r="B1409" t="s">
        <v>181</v>
      </c>
      <c r="C1409" t="s">
        <v>121</v>
      </c>
      <c r="D1409" t="s">
        <v>121</v>
      </c>
      <c r="E1409" t="s">
        <v>121</v>
      </c>
      <c r="F1409" s="4" t="s">
        <v>2172</v>
      </c>
      <c r="H1409">
        <v>2</v>
      </c>
      <c r="I1409" s="1">
        <v>0</v>
      </c>
      <c r="J1409">
        <v>0</v>
      </c>
      <c r="K1409">
        <v>0</v>
      </c>
      <c r="L1409" s="20">
        <v>21640</v>
      </c>
      <c r="M1409">
        <v>1</v>
      </c>
      <c r="N1409">
        <v>0</v>
      </c>
      <c r="O1409">
        <v>0</v>
      </c>
      <c r="P1409">
        <v>0</v>
      </c>
      <c r="Q1409" s="22">
        <v>64800</v>
      </c>
      <c r="R1409">
        <v>3</v>
      </c>
      <c r="S1409" s="1">
        <v>0</v>
      </c>
      <c r="T1409">
        <v>0</v>
      </c>
      <c r="U1409">
        <v>0</v>
      </c>
      <c r="V1409" s="21">
        <v>32400</v>
      </c>
      <c r="W1409">
        <v>30</v>
      </c>
      <c r="X1409">
        <v>0</v>
      </c>
      <c r="Y1409">
        <v>0</v>
      </c>
      <c r="Z1409">
        <v>0</v>
      </c>
      <c r="AA1409">
        <v>10</v>
      </c>
    </row>
    <row r="1410" spans="1:27" ht="14.25" x14ac:dyDescent="0.2">
      <c r="A1410" s="12">
        <v>30327</v>
      </c>
      <c r="B1410" t="s">
        <v>122</v>
      </c>
      <c r="C1410" t="s">
        <v>121</v>
      </c>
      <c r="D1410" t="s">
        <v>121</v>
      </c>
      <c r="E1410" t="s">
        <v>121</v>
      </c>
      <c r="F1410" s="4" t="s">
        <v>2172</v>
      </c>
      <c r="H1410">
        <v>2</v>
      </c>
      <c r="I1410" s="1">
        <v>0</v>
      </c>
      <c r="J1410">
        <v>0</v>
      </c>
      <c r="K1410">
        <v>0</v>
      </c>
      <c r="L1410" s="20">
        <v>21640</v>
      </c>
      <c r="M1410">
        <v>1</v>
      </c>
      <c r="N1410">
        <v>0</v>
      </c>
      <c r="O1410">
        <v>0</v>
      </c>
      <c r="P1410">
        <v>0</v>
      </c>
      <c r="Q1410" s="22">
        <v>64800</v>
      </c>
      <c r="R1410">
        <v>3</v>
      </c>
      <c r="S1410" s="1">
        <v>0</v>
      </c>
      <c r="T1410">
        <v>0</v>
      </c>
      <c r="U1410">
        <v>0</v>
      </c>
      <c r="V1410" s="21">
        <v>32400</v>
      </c>
      <c r="W1410">
        <v>4</v>
      </c>
      <c r="X1410">
        <v>0</v>
      </c>
      <c r="Y1410">
        <v>0</v>
      </c>
      <c r="Z1410">
        <v>0</v>
      </c>
      <c r="AA1410">
        <v>10</v>
      </c>
    </row>
    <row r="1411" spans="1:27" ht="14.25" x14ac:dyDescent="0.2">
      <c r="A1411" s="12">
        <v>30328</v>
      </c>
      <c r="B1411" t="s">
        <v>178</v>
      </c>
      <c r="C1411" t="s">
        <v>121</v>
      </c>
      <c r="D1411" t="s">
        <v>121</v>
      </c>
      <c r="E1411" t="s">
        <v>121</v>
      </c>
      <c r="F1411" s="4" t="s">
        <v>2174</v>
      </c>
      <c r="H1411">
        <v>2</v>
      </c>
      <c r="I1411" s="1">
        <v>0</v>
      </c>
      <c r="J1411">
        <v>0</v>
      </c>
      <c r="K1411">
        <v>0</v>
      </c>
      <c r="L1411" s="20">
        <v>21640</v>
      </c>
      <c r="M1411">
        <v>1</v>
      </c>
      <c r="N1411">
        <v>0</v>
      </c>
      <c r="O1411">
        <v>0</v>
      </c>
      <c r="P1411">
        <v>0</v>
      </c>
      <c r="Q1411" s="22">
        <v>64920</v>
      </c>
      <c r="R1411">
        <v>3</v>
      </c>
      <c r="S1411" s="1">
        <v>0</v>
      </c>
      <c r="T1411">
        <v>0</v>
      </c>
      <c r="U1411">
        <v>0</v>
      </c>
      <c r="V1411" s="21">
        <v>32460</v>
      </c>
      <c r="W1411">
        <v>21</v>
      </c>
      <c r="X1411">
        <v>0</v>
      </c>
      <c r="Y1411">
        <v>0</v>
      </c>
      <c r="Z1411">
        <v>0</v>
      </c>
      <c r="AA1411">
        <v>1</v>
      </c>
    </row>
    <row r="1412" spans="1:27" ht="14.25" x14ac:dyDescent="0.2">
      <c r="A1412" s="12">
        <v>30329</v>
      </c>
      <c r="B1412" t="s">
        <v>130</v>
      </c>
      <c r="C1412" t="s">
        <v>121</v>
      </c>
      <c r="D1412" t="s">
        <v>121</v>
      </c>
      <c r="E1412" t="s">
        <v>121</v>
      </c>
      <c r="F1412" s="4" t="s">
        <v>2176</v>
      </c>
      <c r="H1412">
        <v>2</v>
      </c>
      <c r="I1412" s="1">
        <v>0</v>
      </c>
      <c r="J1412">
        <v>0</v>
      </c>
      <c r="K1412">
        <v>0</v>
      </c>
      <c r="L1412" s="20">
        <v>21640</v>
      </c>
      <c r="M1412">
        <v>1</v>
      </c>
      <c r="N1412">
        <v>0</v>
      </c>
      <c r="O1412">
        <v>0</v>
      </c>
      <c r="P1412">
        <v>0</v>
      </c>
      <c r="Q1412" s="22">
        <v>64920</v>
      </c>
      <c r="R1412">
        <v>3</v>
      </c>
      <c r="S1412" s="1">
        <v>0</v>
      </c>
      <c r="T1412">
        <v>0</v>
      </c>
      <c r="U1412">
        <v>0</v>
      </c>
      <c r="V1412" s="21">
        <v>32460</v>
      </c>
      <c r="W1412">
        <v>9</v>
      </c>
      <c r="X1412">
        <v>0</v>
      </c>
      <c r="Y1412">
        <v>0</v>
      </c>
      <c r="Z1412">
        <v>0</v>
      </c>
      <c r="AA1412">
        <v>10</v>
      </c>
    </row>
    <row r="1413" spans="1:27" ht="14.25" x14ac:dyDescent="0.2">
      <c r="A1413" s="12">
        <v>30330</v>
      </c>
      <c r="B1413" t="s">
        <v>123</v>
      </c>
      <c r="C1413" t="s">
        <v>121</v>
      </c>
      <c r="D1413" t="s">
        <v>121</v>
      </c>
      <c r="E1413" t="s">
        <v>121</v>
      </c>
      <c r="F1413" s="4" t="s">
        <v>2176</v>
      </c>
      <c r="H1413">
        <v>2</v>
      </c>
      <c r="I1413" s="1">
        <v>0</v>
      </c>
      <c r="J1413">
        <v>0</v>
      </c>
      <c r="K1413">
        <v>0</v>
      </c>
      <c r="L1413" s="20">
        <v>21640</v>
      </c>
      <c r="M1413">
        <v>1</v>
      </c>
      <c r="N1413">
        <v>0</v>
      </c>
      <c r="O1413">
        <v>0</v>
      </c>
      <c r="P1413">
        <v>0</v>
      </c>
      <c r="Q1413" s="22">
        <v>64920</v>
      </c>
      <c r="R1413">
        <v>3</v>
      </c>
      <c r="S1413" s="1">
        <v>0</v>
      </c>
      <c r="T1413">
        <v>0</v>
      </c>
      <c r="U1413">
        <v>0</v>
      </c>
      <c r="V1413" s="21">
        <v>32460</v>
      </c>
      <c r="W1413">
        <v>12</v>
      </c>
      <c r="X1413">
        <v>0</v>
      </c>
      <c r="Y1413">
        <v>0</v>
      </c>
      <c r="Z1413">
        <v>0</v>
      </c>
      <c r="AA1413">
        <v>10</v>
      </c>
    </row>
    <row r="1414" spans="1:27" ht="14.25" x14ac:dyDescent="0.2">
      <c r="A1414" s="12">
        <v>30331</v>
      </c>
      <c r="B1414" t="s">
        <v>126</v>
      </c>
      <c r="C1414" t="s">
        <v>121</v>
      </c>
      <c r="D1414" t="s">
        <v>121</v>
      </c>
      <c r="E1414" t="s">
        <v>121</v>
      </c>
      <c r="F1414" s="4" t="s">
        <v>2178</v>
      </c>
      <c r="H1414">
        <v>2</v>
      </c>
      <c r="I1414" s="1">
        <v>0</v>
      </c>
      <c r="J1414">
        <v>0</v>
      </c>
      <c r="K1414">
        <v>0</v>
      </c>
      <c r="L1414" s="20">
        <v>21680</v>
      </c>
      <c r="M1414">
        <v>1</v>
      </c>
      <c r="N1414">
        <v>0</v>
      </c>
      <c r="O1414">
        <v>0</v>
      </c>
      <c r="P1414">
        <v>0</v>
      </c>
      <c r="Q1414" s="22">
        <v>64920</v>
      </c>
      <c r="R1414">
        <v>3</v>
      </c>
      <c r="S1414" s="1">
        <v>0</v>
      </c>
      <c r="T1414">
        <v>0</v>
      </c>
      <c r="U1414">
        <v>0</v>
      </c>
      <c r="V1414" s="21">
        <v>32460</v>
      </c>
      <c r="W1414">
        <v>23</v>
      </c>
      <c r="X1414">
        <v>0</v>
      </c>
      <c r="Y1414">
        <v>0</v>
      </c>
      <c r="Z1414">
        <v>0</v>
      </c>
      <c r="AA1414">
        <v>1</v>
      </c>
    </row>
    <row r="1415" spans="1:27" ht="14.25" x14ac:dyDescent="0.2">
      <c r="A1415" s="12">
        <v>30332</v>
      </c>
      <c r="B1415" t="s">
        <v>131</v>
      </c>
      <c r="C1415" t="s">
        <v>125</v>
      </c>
      <c r="D1415" t="s">
        <v>121</v>
      </c>
      <c r="E1415" t="s">
        <v>136</v>
      </c>
      <c r="F1415" s="4" t="s">
        <v>2180</v>
      </c>
      <c r="H1415">
        <v>2</v>
      </c>
      <c r="I1415" s="1">
        <v>0</v>
      </c>
      <c r="J1415">
        <v>0</v>
      </c>
      <c r="K1415">
        <v>0</v>
      </c>
      <c r="L1415" s="20">
        <v>21680</v>
      </c>
      <c r="M1415">
        <v>1</v>
      </c>
      <c r="N1415">
        <v>0</v>
      </c>
      <c r="O1415">
        <v>0</v>
      </c>
      <c r="P1415">
        <v>0</v>
      </c>
      <c r="Q1415" s="22">
        <v>64920</v>
      </c>
      <c r="R1415">
        <v>3</v>
      </c>
      <c r="S1415" s="1">
        <v>0</v>
      </c>
      <c r="T1415">
        <v>0</v>
      </c>
      <c r="U1415">
        <v>0</v>
      </c>
      <c r="V1415" s="21">
        <v>32460</v>
      </c>
      <c r="W1415">
        <v>6</v>
      </c>
      <c r="X1415">
        <v>1</v>
      </c>
      <c r="Y1415">
        <v>0</v>
      </c>
      <c r="Z1415">
        <v>3</v>
      </c>
      <c r="AA1415">
        <v>10</v>
      </c>
    </row>
    <row r="1416" spans="1:27" ht="14.25" x14ac:dyDescent="0.2">
      <c r="A1416" s="12">
        <v>30333</v>
      </c>
      <c r="B1416" t="s">
        <v>180</v>
      </c>
      <c r="C1416" t="s">
        <v>121</v>
      </c>
      <c r="D1416" t="s">
        <v>121</v>
      </c>
      <c r="E1416" t="s">
        <v>121</v>
      </c>
      <c r="F1416" s="4" t="s">
        <v>2182</v>
      </c>
      <c r="H1416">
        <v>2</v>
      </c>
      <c r="I1416" s="1">
        <v>0</v>
      </c>
      <c r="J1416">
        <v>0</v>
      </c>
      <c r="K1416">
        <v>0</v>
      </c>
      <c r="L1416" s="20">
        <v>21680</v>
      </c>
      <c r="M1416">
        <v>1</v>
      </c>
      <c r="N1416">
        <v>0</v>
      </c>
      <c r="O1416">
        <v>0</v>
      </c>
      <c r="P1416">
        <v>0</v>
      </c>
      <c r="Q1416" s="22">
        <v>65040</v>
      </c>
      <c r="R1416">
        <v>3</v>
      </c>
      <c r="S1416" s="1">
        <v>0</v>
      </c>
      <c r="T1416">
        <v>0</v>
      </c>
      <c r="U1416">
        <v>0</v>
      </c>
      <c r="V1416" s="21">
        <v>32520</v>
      </c>
      <c r="W1416">
        <v>15</v>
      </c>
      <c r="X1416">
        <v>0</v>
      </c>
      <c r="Y1416">
        <v>0</v>
      </c>
      <c r="Z1416">
        <v>0</v>
      </c>
      <c r="AA1416">
        <v>1</v>
      </c>
    </row>
    <row r="1417" spans="1:27" ht="14.25" x14ac:dyDescent="0.2">
      <c r="A1417" s="12">
        <v>30334</v>
      </c>
      <c r="B1417" t="s">
        <v>178</v>
      </c>
      <c r="C1417" t="s">
        <v>121</v>
      </c>
      <c r="D1417" t="s">
        <v>121</v>
      </c>
      <c r="E1417" t="s">
        <v>121</v>
      </c>
      <c r="F1417" s="4" t="s">
        <v>2182</v>
      </c>
      <c r="H1417">
        <v>2</v>
      </c>
      <c r="I1417" s="1">
        <v>0</v>
      </c>
      <c r="J1417">
        <v>0</v>
      </c>
      <c r="K1417">
        <v>0</v>
      </c>
      <c r="L1417" s="20">
        <v>21680</v>
      </c>
      <c r="M1417">
        <v>1</v>
      </c>
      <c r="N1417">
        <v>0</v>
      </c>
      <c r="O1417">
        <v>0</v>
      </c>
      <c r="P1417">
        <v>0</v>
      </c>
      <c r="Q1417" s="22">
        <v>65040</v>
      </c>
      <c r="R1417">
        <v>3</v>
      </c>
      <c r="S1417" s="1">
        <v>0</v>
      </c>
      <c r="T1417">
        <v>0</v>
      </c>
      <c r="U1417">
        <v>0</v>
      </c>
      <c r="V1417" s="21">
        <v>32520</v>
      </c>
      <c r="W1417">
        <v>21</v>
      </c>
      <c r="X1417">
        <v>0</v>
      </c>
      <c r="Y1417">
        <v>0</v>
      </c>
      <c r="Z1417">
        <v>0</v>
      </c>
      <c r="AA1417">
        <v>1</v>
      </c>
    </row>
    <row r="1418" spans="1:27" ht="14.25" x14ac:dyDescent="0.2">
      <c r="A1418" s="12">
        <v>30335</v>
      </c>
      <c r="B1418" t="s">
        <v>130</v>
      </c>
      <c r="C1418" t="s">
        <v>121</v>
      </c>
      <c r="D1418" t="s">
        <v>121</v>
      </c>
      <c r="E1418" t="s">
        <v>121</v>
      </c>
      <c r="F1418" s="4" t="s">
        <v>2184</v>
      </c>
      <c r="H1418">
        <v>2</v>
      </c>
      <c r="I1418" s="1">
        <v>0</v>
      </c>
      <c r="J1418">
        <v>0</v>
      </c>
      <c r="K1418">
        <v>0</v>
      </c>
      <c r="L1418" s="20">
        <v>21680</v>
      </c>
      <c r="M1418">
        <v>1</v>
      </c>
      <c r="N1418">
        <v>0</v>
      </c>
      <c r="O1418">
        <v>0</v>
      </c>
      <c r="P1418">
        <v>0</v>
      </c>
      <c r="Q1418" s="22">
        <v>65040</v>
      </c>
      <c r="R1418">
        <v>3</v>
      </c>
      <c r="S1418" s="1">
        <v>0</v>
      </c>
      <c r="T1418">
        <v>0</v>
      </c>
      <c r="U1418">
        <v>0</v>
      </c>
      <c r="V1418" s="21">
        <v>32520</v>
      </c>
      <c r="W1418">
        <v>9</v>
      </c>
      <c r="X1418">
        <v>0</v>
      </c>
      <c r="Y1418">
        <v>0</v>
      </c>
      <c r="Z1418">
        <v>0</v>
      </c>
      <c r="AA1418">
        <v>10</v>
      </c>
    </row>
    <row r="1419" spans="1:27" ht="14.25" x14ac:dyDescent="0.2">
      <c r="A1419" s="12">
        <v>30336</v>
      </c>
      <c r="B1419" t="s">
        <v>181</v>
      </c>
      <c r="C1419" t="s">
        <v>121</v>
      </c>
      <c r="D1419" t="s">
        <v>121</v>
      </c>
      <c r="E1419" t="s">
        <v>121</v>
      </c>
      <c r="F1419" s="4" t="s">
        <v>2186</v>
      </c>
      <c r="H1419">
        <v>2</v>
      </c>
      <c r="I1419" s="1">
        <v>0</v>
      </c>
      <c r="J1419">
        <v>0</v>
      </c>
      <c r="K1419">
        <v>0</v>
      </c>
      <c r="L1419" s="20">
        <v>21720</v>
      </c>
      <c r="M1419">
        <v>1</v>
      </c>
      <c r="N1419">
        <v>0</v>
      </c>
      <c r="O1419">
        <v>0</v>
      </c>
      <c r="P1419">
        <v>0</v>
      </c>
      <c r="Q1419" s="22">
        <v>65040</v>
      </c>
      <c r="R1419">
        <v>3</v>
      </c>
      <c r="S1419" s="1">
        <v>0</v>
      </c>
      <c r="T1419">
        <v>0</v>
      </c>
      <c r="U1419">
        <v>0</v>
      </c>
      <c r="V1419" s="21">
        <v>32520</v>
      </c>
      <c r="W1419">
        <v>30</v>
      </c>
      <c r="X1419">
        <v>0</v>
      </c>
      <c r="Y1419">
        <v>0</v>
      </c>
      <c r="Z1419">
        <v>0</v>
      </c>
      <c r="AA1419">
        <v>10</v>
      </c>
    </row>
    <row r="1420" spans="1:27" ht="14.25" x14ac:dyDescent="0.2">
      <c r="A1420" s="12">
        <v>30337</v>
      </c>
      <c r="B1420" t="s">
        <v>122</v>
      </c>
      <c r="C1420" t="s">
        <v>121</v>
      </c>
      <c r="D1420" t="s">
        <v>121</v>
      </c>
      <c r="E1420" t="s">
        <v>121</v>
      </c>
      <c r="F1420" s="4" t="s">
        <v>2186</v>
      </c>
      <c r="H1420">
        <v>2</v>
      </c>
      <c r="I1420" s="1">
        <v>0</v>
      </c>
      <c r="J1420">
        <v>0</v>
      </c>
      <c r="K1420">
        <v>0</v>
      </c>
      <c r="L1420" s="20">
        <v>21720</v>
      </c>
      <c r="M1420">
        <v>1</v>
      </c>
      <c r="N1420">
        <v>0</v>
      </c>
      <c r="O1420">
        <v>0</v>
      </c>
      <c r="P1420">
        <v>0</v>
      </c>
      <c r="Q1420" s="22">
        <v>65040</v>
      </c>
      <c r="R1420">
        <v>3</v>
      </c>
      <c r="S1420" s="1">
        <v>0</v>
      </c>
      <c r="T1420">
        <v>0</v>
      </c>
      <c r="U1420">
        <v>0</v>
      </c>
      <c r="V1420" s="21">
        <v>32520</v>
      </c>
      <c r="W1420">
        <v>4</v>
      </c>
      <c r="X1420">
        <v>0</v>
      </c>
      <c r="Y1420">
        <v>0</v>
      </c>
      <c r="Z1420">
        <v>0</v>
      </c>
      <c r="AA1420">
        <v>10</v>
      </c>
    </row>
    <row r="1421" spans="1:27" ht="14.25" x14ac:dyDescent="0.2">
      <c r="A1421" s="12">
        <v>30338</v>
      </c>
      <c r="B1421" t="s">
        <v>178</v>
      </c>
      <c r="C1421" t="s">
        <v>121</v>
      </c>
      <c r="D1421" t="s">
        <v>121</v>
      </c>
      <c r="E1421" t="s">
        <v>121</v>
      </c>
      <c r="F1421" s="4" t="s">
        <v>2188</v>
      </c>
      <c r="H1421">
        <v>2</v>
      </c>
      <c r="I1421" s="1">
        <v>0</v>
      </c>
      <c r="J1421">
        <v>0</v>
      </c>
      <c r="K1421">
        <v>0</v>
      </c>
      <c r="L1421" s="20">
        <v>21720</v>
      </c>
      <c r="M1421">
        <v>1</v>
      </c>
      <c r="N1421">
        <v>0</v>
      </c>
      <c r="O1421">
        <v>0</v>
      </c>
      <c r="P1421">
        <v>0</v>
      </c>
      <c r="Q1421" s="22">
        <v>65160</v>
      </c>
      <c r="R1421">
        <v>3</v>
      </c>
      <c r="S1421" s="1">
        <v>0</v>
      </c>
      <c r="T1421">
        <v>0</v>
      </c>
      <c r="U1421">
        <v>0</v>
      </c>
      <c r="V1421" s="21">
        <v>32580</v>
      </c>
      <c r="W1421">
        <v>21</v>
      </c>
      <c r="X1421">
        <v>0</v>
      </c>
      <c r="Y1421">
        <v>0</v>
      </c>
      <c r="Z1421">
        <v>0</v>
      </c>
      <c r="AA1421">
        <v>1</v>
      </c>
    </row>
    <row r="1422" spans="1:27" ht="14.25" x14ac:dyDescent="0.2">
      <c r="A1422" s="12">
        <v>30339</v>
      </c>
      <c r="B1422" t="s">
        <v>130</v>
      </c>
      <c r="C1422" t="s">
        <v>121</v>
      </c>
      <c r="D1422" t="s">
        <v>121</v>
      </c>
      <c r="E1422" t="s">
        <v>121</v>
      </c>
      <c r="F1422" s="4" t="s">
        <v>2190</v>
      </c>
      <c r="H1422">
        <v>2</v>
      </c>
      <c r="I1422" s="1">
        <v>0</v>
      </c>
      <c r="J1422">
        <v>0</v>
      </c>
      <c r="K1422">
        <v>0</v>
      </c>
      <c r="L1422" s="20">
        <v>21720</v>
      </c>
      <c r="M1422">
        <v>1</v>
      </c>
      <c r="N1422">
        <v>0</v>
      </c>
      <c r="O1422">
        <v>0</v>
      </c>
      <c r="P1422">
        <v>0</v>
      </c>
      <c r="Q1422" s="22">
        <v>65160</v>
      </c>
      <c r="R1422">
        <v>3</v>
      </c>
      <c r="S1422" s="1">
        <v>0</v>
      </c>
      <c r="T1422">
        <v>0</v>
      </c>
      <c r="U1422">
        <v>0</v>
      </c>
      <c r="V1422" s="21">
        <v>32580</v>
      </c>
      <c r="W1422">
        <v>9</v>
      </c>
      <c r="X1422">
        <v>0</v>
      </c>
      <c r="Y1422">
        <v>0</v>
      </c>
      <c r="Z1422">
        <v>0</v>
      </c>
      <c r="AA1422">
        <v>10</v>
      </c>
    </row>
    <row r="1423" spans="1:27" ht="14.25" x14ac:dyDescent="0.2">
      <c r="A1423" s="12">
        <v>30340</v>
      </c>
      <c r="B1423" t="s">
        <v>123</v>
      </c>
      <c r="C1423" t="s">
        <v>121</v>
      </c>
      <c r="D1423" t="s">
        <v>121</v>
      </c>
      <c r="E1423" t="s">
        <v>121</v>
      </c>
      <c r="F1423" s="4" t="s">
        <v>2190</v>
      </c>
      <c r="H1423">
        <v>2</v>
      </c>
      <c r="I1423" s="1">
        <v>0</v>
      </c>
      <c r="J1423">
        <v>0</v>
      </c>
      <c r="K1423">
        <v>0</v>
      </c>
      <c r="L1423" s="20">
        <v>21720</v>
      </c>
      <c r="M1423">
        <v>1</v>
      </c>
      <c r="N1423">
        <v>0</v>
      </c>
      <c r="O1423">
        <v>0</v>
      </c>
      <c r="P1423">
        <v>0</v>
      </c>
      <c r="Q1423" s="22">
        <v>65160</v>
      </c>
      <c r="R1423">
        <v>3</v>
      </c>
      <c r="S1423" s="1">
        <v>0</v>
      </c>
      <c r="T1423">
        <v>0</v>
      </c>
      <c r="U1423">
        <v>0</v>
      </c>
      <c r="V1423" s="21">
        <v>32580</v>
      </c>
      <c r="W1423">
        <v>12</v>
      </c>
      <c r="X1423">
        <v>0</v>
      </c>
      <c r="Y1423">
        <v>0</v>
      </c>
      <c r="Z1423">
        <v>0</v>
      </c>
      <c r="AA1423">
        <v>10</v>
      </c>
    </row>
    <row r="1424" spans="1:27" ht="14.25" x14ac:dyDescent="0.2">
      <c r="A1424" s="12">
        <v>30341</v>
      </c>
      <c r="B1424" t="s">
        <v>126</v>
      </c>
      <c r="C1424" t="s">
        <v>121</v>
      </c>
      <c r="D1424" t="s">
        <v>121</v>
      </c>
      <c r="E1424" t="s">
        <v>121</v>
      </c>
      <c r="F1424" s="4" t="s">
        <v>2192</v>
      </c>
      <c r="H1424">
        <v>2</v>
      </c>
      <c r="I1424" s="1">
        <v>0</v>
      </c>
      <c r="J1424">
        <v>0</v>
      </c>
      <c r="K1424">
        <v>0</v>
      </c>
      <c r="L1424" s="20">
        <v>21760</v>
      </c>
      <c r="M1424">
        <v>1</v>
      </c>
      <c r="N1424">
        <v>0</v>
      </c>
      <c r="O1424">
        <v>0</v>
      </c>
      <c r="P1424">
        <v>0</v>
      </c>
      <c r="Q1424" s="22">
        <v>65160</v>
      </c>
      <c r="R1424">
        <v>3</v>
      </c>
      <c r="S1424" s="1">
        <v>0</v>
      </c>
      <c r="T1424">
        <v>0</v>
      </c>
      <c r="U1424">
        <v>0</v>
      </c>
      <c r="V1424" s="21">
        <v>32580</v>
      </c>
      <c r="W1424">
        <v>23</v>
      </c>
      <c r="X1424">
        <v>0</v>
      </c>
      <c r="Y1424">
        <v>0</v>
      </c>
      <c r="Z1424">
        <v>0</v>
      </c>
      <c r="AA1424">
        <v>1</v>
      </c>
    </row>
    <row r="1425" spans="1:27" ht="14.25" x14ac:dyDescent="0.2">
      <c r="A1425" s="12">
        <v>30342</v>
      </c>
      <c r="B1425" t="s">
        <v>131</v>
      </c>
      <c r="C1425" t="s">
        <v>125</v>
      </c>
      <c r="D1425" t="s">
        <v>121</v>
      </c>
      <c r="E1425" t="s">
        <v>136</v>
      </c>
      <c r="F1425" s="4" t="s">
        <v>2194</v>
      </c>
      <c r="H1425">
        <v>2</v>
      </c>
      <c r="I1425" s="1">
        <v>0</v>
      </c>
      <c r="J1425">
        <v>0</v>
      </c>
      <c r="K1425">
        <v>0</v>
      </c>
      <c r="L1425" s="20">
        <v>21760</v>
      </c>
      <c r="M1425">
        <v>1</v>
      </c>
      <c r="N1425">
        <v>0</v>
      </c>
      <c r="O1425">
        <v>0</v>
      </c>
      <c r="P1425">
        <v>0</v>
      </c>
      <c r="Q1425" s="22">
        <v>65160</v>
      </c>
      <c r="R1425">
        <v>3</v>
      </c>
      <c r="S1425" s="1">
        <v>0</v>
      </c>
      <c r="T1425">
        <v>0</v>
      </c>
      <c r="U1425">
        <v>0</v>
      </c>
      <c r="V1425" s="21">
        <v>32580</v>
      </c>
      <c r="W1425">
        <v>6</v>
      </c>
      <c r="X1425">
        <v>1</v>
      </c>
      <c r="Y1425">
        <v>0</v>
      </c>
      <c r="Z1425">
        <v>3</v>
      </c>
      <c r="AA1425">
        <v>10</v>
      </c>
    </row>
    <row r="1426" spans="1:27" ht="14.25" x14ac:dyDescent="0.2">
      <c r="A1426" s="12">
        <v>30343</v>
      </c>
      <c r="B1426" t="s">
        <v>180</v>
      </c>
      <c r="C1426" t="s">
        <v>121</v>
      </c>
      <c r="D1426" t="s">
        <v>121</v>
      </c>
      <c r="E1426" t="s">
        <v>121</v>
      </c>
      <c r="F1426" s="4" t="s">
        <v>2196</v>
      </c>
      <c r="H1426">
        <v>2</v>
      </c>
      <c r="I1426" s="1">
        <v>0</v>
      </c>
      <c r="J1426">
        <v>0</v>
      </c>
      <c r="K1426">
        <v>0</v>
      </c>
      <c r="L1426" s="20">
        <v>21760</v>
      </c>
      <c r="M1426">
        <v>1</v>
      </c>
      <c r="N1426">
        <v>0</v>
      </c>
      <c r="O1426">
        <v>0</v>
      </c>
      <c r="P1426">
        <v>0</v>
      </c>
      <c r="Q1426" s="22">
        <v>65280</v>
      </c>
      <c r="R1426">
        <v>3</v>
      </c>
      <c r="S1426" s="1">
        <v>0</v>
      </c>
      <c r="T1426">
        <v>0</v>
      </c>
      <c r="U1426">
        <v>0</v>
      </c>
      <c r="V1426" s="21">
        <v>32640</v>
      </c>
      <c r="W1426">
        <v>15</v>
      </c>
      <c r="X1426">
        <v>0</v>
      </c>
      <c r="Y1426">
        <v>0</v>
      </c>
      <c r="Z1426">
        <v>0</v>
      </c>
      <c r="AA1426">
        <v>1</v>
      </c>
    </row>
    <row r="1427" spans="1:27" ht="14.25" x14ac:dyDescent="0.2">
      <c r="A1427" s="12">
        <v>30344</v>
      </c>
      <c r="B1427" t="s">
        <v>178</v>
      </c>
      <c r="C1427" t="s">
        <v>121</v>
      </c>
      <c r="D1427" t="s">
        <v>121</v>
      </c>
      <c r="E1427" t="s">
        <v>121</v>
      </c>
      <c r="F1427" s="4" t="s">
        <v>2196</v>
      </c>
      <c r="H1427">
        <v>2</v>
      </c>
      <c r="I1427" s="1">
        <v>0</v>
      </c>
      <c r="J1427">
        <v>0</v>
      </c>
      <c r="K1427">
        <v>0</v>
      </c>
      <c r="L1427" s="20">
        <v>21760</v>
      </c>
      <c r="M1427">
        <v>1</v>
      </c>
      <c r="N1427">
        <v>0</v>
      </c>
      <c r="O1427">
        <v>0</v>
      </c>
      <c r="P1427">
        <v>0</v>
      </c>
      <c r="Q1427" s="22">
        <v>65280</v>
      </c>
      <c r="R1427">
        <v>3</v>
      </c>
      <c r="S1427" s="1">
        <v>0</v>
      </c>
      <c r="T1427">
        <v>0</v>
      </c>
      <c r="U1427">
        <v>0</v>
      </c>
      <c r="V1427" s="21">
        <v>32640</v>
      </c>
      <c r="W1427">
        <v>21</v>
      </c>
      <c r="X1427">
        <v>0</v>
      </c>
      <c r="Y1427">
        <v>0</v>
      </c>
      <c r="Z1427">
        <v>0</v>
      </c>
      <c r="AA1427">
        <v>1</v>
      </c>
    </row>
    <row r="1428" spans="1:27" ht="14.25" x14ac:dyDescent="0.2">
      <c r="A1428" s="12">
        <v>30345</v>
      </c>
      <c r="B1428" t="s">
        <v>130</v>
      </c>
      <c r="C1428" t="s">
        <v>121</v>
      </c>
      <c r="D1428" t="s">
        <v>121</v>
      </c>
      <c r="E1428" t="s">
        <v>121</v>
      </c>
      <c r="F1428" s="4" t="s">
        <v>2198</v>
      </c>
      <c r="H1428">
        <v>2</v>
      </c>
      <c r="I1428" s="1">
        <v>0</v>
      </c>
      <c r="J1428">
        <v>0</v>
      </c>
      <c r="K1428">
        <v>0</v>
      </c>
      <c r="L1428" s="20">
        <v>21760</v>
      </c>
      <c r="M1428">
        <v>1</v>
      </c>
      <c r="N1428">
        <v>0</v>
      </c>
      <c r="O1428">
        <v>0</v>
      </c>
      <c r="P1428">
        <v>0</v>
      </c>
      <c r="Q1428" s="22">
        <v>65280</v>
      </c>
      <c r="R1428">
        <v>3</v>
      </c>
      <c r="S1428" s="1">
        <v>0</v>
      </c>
      <c r="T1428">
        <v>0</v>
      </c>
      <c r="U1428">
        <v>0</v>
      </c>
      <c r="V1428" s="21">
        <v>32640</v>
      </c>
      <c r="W1428">
        <v>9</v>
      </c>
      <c r="X1428">
        <v>0</v>
      </c>
      <c r="Y1428">
        <v>0</v>
      </c>
      <c r="Z1428">
        <v>0</v>
      </c>
      <c r="AA1428">
        <v>10</v>
      </c>
    </row>
    <row r="1429" spans="1:27" ht="14.25" x14ac:dyDescent="0.2">
      <c r="A1429" s="12">
        <v>30346</v>
      </c>
      <c r="B1429" t="s">
        <v>181</v>
      </c>
      <c r="C1429" t="s">
        <v>121</v>
      </c>
      <c r="D1429" t="s">
        <v>121</v>
      </c>
      <c r="E1429" t="s">
        <v>121</v>
      </c>
      <c r="F1429" s="4" t="s">
        <v>2200</v>
      </c>
      <c r="H1429">
        <v>2</v>
      </c>
      <c r="I1429" s="1">
        <v>0</v>
      </c>
      <c r="J1429">
        <v>0</v>
      </c>
      <c r="K1429">
        <v>0</v>
      </c>
      <c r="L1429" s="20">
        <v>21800</v>
      </c>
      <c r="M1429">
        <v>1</v>
      </c>
      <c r="N1429">
        <v>0</v>
      </c>
      <c r="O1429">
        <v>0</v>
      </c>
      <c r="P1429">
        <v>0</v>
      </c>
      <c r="Q1429" s="22">
        <v>65280</v>
      </c>
      <c r="R1429">
        <v>3</v>
      </c>
      <c r="S1429" s="1">
        <v>0</v>
      </c>
      <c r="T1429">
        <v>0</v>
      </c>
      <c r="U1429">
        <v>0</v>
      </c>
      <c r="V1429" s="21">
        <v>32640</v>
      </c>
      <c r="W1429">
        <v>30</v>
      </c>
      <c r="X1429">
        <v>0</v>
      </c>
      <c r="Y1429">
        <v>0</v>
      </c>
      <c r="Z1429">
        <v>0</v>
      </c>
      <c r="AA1429">
        <v>10</v>
      </c>
    </row>
    <row r="1430" spans="1:27" ht="14.25" x14ac:dyDescent="0.2">
      <c r="A1430" s="12">
        <v>30347</v>
      </c>
      <c r="B1430" t="s">
        <v>122</v>
      </c>
      <c r="C1430" t="s">
        <v>121</v>
      </c>
      <c r="D1430" t="s">
        <v>121</v>
      </c>
      <c r="E1430" t="s">
        <v>121</v>
      </c>
      <c r="F1430" s="4" t="s">
        <v>2200</v>
      </c>
      <c r="H1430">
        <v>2</v>
      </c>
      <c r="I1430" s="1">
        <v>0</v>
      </c>
      <c r="J1430">
        <v>0</v>
      </c>
      <c r="K1430">
        <v>0</v>
      </c>
      <c r="L1430" s="20">
        <v>21800</v>
      </c>
      <c r="M1430">
        <v>1</v>
      </c>
      <c r="N1430">
        <v>0</v>
      </c>
      <c r="O1430">
        <v>0</v>
      </c>
      <c r="P1430">
        <v>0</v>
      </c>
      <c r="Q1430" s="22">
        <v>65280</v>
      </c>
      <c r="R1430">
        <v>3</v>
      </c>
      <c r="S1430" s="1">
        <v>0</v>
      </c>
      <c r="T1430">
        <v>0</v>
      </c>
      <c r="U1430">
        <v>0</v>
      </c>
      <c r="V1430" s="21">
        <v>32640</v>
      </c>
      <c r="W1430">
        <v>4</v>
      </c>
      <c r="X1430">
        <v>0</v>
      </c>
      <c r="Y1430">
        <v>0</v>
      </c>
      <c r="Z1430">
        <v>0</v>
      </c>
      <c r="AA1430">
        <v>10</v>
      </c>
    </row>
    <row r="1431" spans="1:27" ht="14.25" x14ac:dyDescent="0.2">
      <c r="A1431" s="12">
        <v>30348</v>
      </c>
      <c r="B1431" t="s">
        <v>178</v>
      </c>
      <c r="C1431" t="s">
        <v>121</v>
      </c>
      <c r="D1431" t="s">
        <v>121</v>
      </c>
      <c r="E1431" t="s">
        <v>121</v>
      </c>
      <c r="F1431" s="4" t="s">
        <v>2202</v>
      </c>
      <c r="H1431">
        <v>2</v>
      </c>
      <c r="I1431" s="1">
        <v>0</v>
      </c>
      <c r="J1431">
        <v>0</v>
      </c>
      <c r="K1431">
        <v>0</v>
      </c>
      <c r="L1431" s="20">
        <v>21800</v>
      </c>
      <c r="M1431">
        <v>1</v>
      </c>
      <c r="N1431">
        <v>0</v>
      </c>
      <c r="O1431">
        <v>0</v>
      </c>
      <c r="P1431">
        <v>0</v>
      </c>
      <c r="Q1431" s="22">
        <v>65400</v>
      </c>
      <c r="R1431">
        <v>3</v>
      </c>
      <c r="S1431" s="1">
        <v>0</v>
      </c>
      <c r="T1431">
        <v>0</v>
      </c>
      <c r="U1431">
        <v>0</v>
      </c>
      <c r="V1431" s="21">
        <v>32700</v>
      </c>
      <c r="W1431">
        <v>21</v>
      </c>
      <c r="X1431">
        <v>0</v>
      </c>
      <c r="Y1431">
        <v>0</v>
      </c>
      <c r="Z1431">
        <v>0</v>
      </c>
      <c r="AA1431">
        <v>1</v>
      </c>
    </row>
    <row r="1432" spans="1:27" ht="14.25" x14ac:dyDescent="0.2">
      <c r="A1432" s="12">
        <v>30349</v>
      </c>
      <c r="B1432" t="s">
        <v>130</v>
      </c>
      <c r="C1432" t="s">
        <v>121</v>
      </c>
      <c r="D1432" t="s">
        <v>121</v>
      </c>
      <c r="E1432" t="s">
        <v>121</v>
      </c>
      <c r="F1432" s="4" t="s">
        <v>2204</v>
      </c>
      <c r="H1432">
        <v>2</v>
      </c>
      <c r="I1432" s="1">
        <v>0</v>
      </c>
      <c r="J1432">
        <v>0</v>
      </c>
      <c r="K1432">
        <v>0</v>
      </c>
      <c r="L1432" s="20">
        <v>21800</v>
      </c>
      <c r="M1432">
        <v>1</v>
      </c>
      <c r="N1432">
        <v>0</v>
      </c>
      <c r="O1432">
        <v>0</v>
      </c>
      <c r="P1432">
        <v>0</v>
      </c>
      <c r="Q1432" s="22">
        <v>65400</v>
      </c>
      <c r="R1432">
        <v>3</v>
      </c>
      <c r="S1432" s="1">
        <v>0</v>
      </c>
      <c r="T1432">
        <v>0</v>
      </c>
      <c r="U1432">
        <v>0</v>
      </c>
      <c r="V1432" s="21">
        <v>32700</v>
      </c>
      <c r="W1432">
        <v>9</v>
      </c>
      <c r="X1432">
        <v>0</v>
      </c>
      <c r="Y1432">
        <v>0</v>
      </c>
      <c r="Z1432">
        <v>0</v>
      </c>
      <c r="AA1432">
        <v>10</v>
      </c>
    </row>
    <row r="1433" spans="1:27" ht="14.25" x14ac:dyDescent="0.2">
      <c r="A1433" s="12">
        <v>30350</v>
      </c>
      <c r="B1433" t="s">
        <v>123</v>
      </c>
      <c r="C1433" t="s">
        <v>121</v>
      </c>
      <c r="D1433" t="s">
        <v>121</v>
      </c>
      <c r="E1433" t="s">
        <v>121</v>
      </c>
      <c r="F1433" s="4" t="s">
        <v>2204</v>
      </c>
      <c r="H1433">
        <v>2</v>
      </c>
      <c r="I1433" s="1">
        <v>0</v>
      </c>
      <c r="J1433">
        <v>0</v>
      </c>
      <c r="K1433">
        <v>0</v>
      </c>
      <c r="L1433" s="20">
        <v>21800</v>
      </c>
      <c r="M1433">
        <v>1</v>
      </c>
      <c r="N1433">
        <v>0</v>
      </c>
      <c r="O1433">
        <v>0</v>
      </c>
      <c r="P1433">
        <v>0</v>
      </c>
      <c r="Q1433" s="22">
        <v>65400</v>
      </c>
      <c r="R1433">
        <v>3</v>
      </c>
      <c r="S1433" s="1">
        <v>0</v>
      </c>
      <c r="T1433">
        <v>0</v>
      </c>
      <c r="U1433">
        <v>0</v>
      </c>
      <c r="V1433" s="21">
        <v>32700</v>
      </c>
      <c r="W1433">
        <v>12</v>
      </c>
      <c r="X1433">
        <v>0</v>
      </c>
      <c r="Y1433">
        <v>0</v>
      </c>
      <c r="Z1433">
        <v>0</v>
      </c>
      <c r="AA1433">
        <v>10</v>
      </c>
    </row>
    <row r="1434" spans="1:27" ht="14.25" x14ac:dyDescent="0.2">
      <c r="A1434" s="12">
        <v>30401</v>
      </c>
      <c r="B1434" t="s">
        <v>126</v>
      </c>
      <c r="C1434" t="s">
        <v>121</v>
      </c>
      <c r="D1434" t="s">
        <v>121</v>
      </c>
      <c r="E1434" t="s">
        <v>121</v>
      </c>
      <c r="F1434" s="4" t="s">
        <v>2206</v>
      </c>
      <c r="H1434">
        <v>2</v>
      </c>
      <c r="I1434" s="1">
        <v>0</v>
      </c>
      <c r="J1434">
        <v>0</v>
      </c>
      <c r="K1434">
        <v>0</v>
      </c>
      <c r="L1434" s="20">
        <v>21840</v>
      </c>
      <c r="M1434">
        <v>1</v>
      </c>
      <c r="N1434">
        <v>0</v>
      </c>
      <c r="O1434">
        <v>0</v>
      </c>
      <c r="P1434">
        <v>0</v>
      </c>
      <c r="Q1434" s="22">
        <v>65400</v>
      </c>
      <c r="R1434">
        <v>3</v>
      </c>
      <c r="S1434" s="1">
        <v>0</v>
      </c>
      <c r="T1434">
        <v>0</v>
      </c>
      <c r="U1434">
        <v>0</v>
      </c>
      <c r="V1434" s="21">
        <v>32700</v>
      </c>
      <c r="W1434">
        <v>23</v>
      </c>
      <c r="X1434">
        <v>0</v>
      </c>
      <c r="Y1434">
        <v>0</v>
      </c>
      <c r="Z1434">
        <v>0</v>
      </c>
      <c r="AA1434">
        <v>1</v>
      </c>
    </row>
    <row r="1435" spans="1:27" ht="14.25" x14ac:dyDescent="0.2">
      <c r="A1435" s="12">
        <v>30402</v>
      </c>
      <c r="B1435" t="s">
        <v>131</v>
      </c>
      <c r="C1435" t="s">
        <v>125</v>
      </c>
      <c r="D1435" t="s">
        <v>121</v>
      </c>
      <c r="E1435" t="s">
        <v>136</v>
      </c>
      <c r="F1435" s="4" t="s">
        <v>2208</v>
      </c>
      <c r="H1435">
        <v>2</v>
      </c>
      <c r="I1435" s="1">
        <v>0</v>
      </c>
      <c r="J1435">
        <v>0</v>
      </c>
      <c r="K1435">
        <v>0</v>
      </c>
      <c r="L1435" s="20">
        <v>21840</v>
      </c>
      <c r="M1435">
        <v>1</v>
      </c>
      <c r="N1435">
        <v>0</v>
      </c>
      <c r="O1435">
        <v>0</v>
      </c>
      <c r="P1435">
        <v>0</v>
      </c>
      <c r="Q1435" s="22">
        <v>65400</v>
      </c>
      <c r="R1435">
        <v>3</v>
      </c>
      <c r="S1435" s="1">
        <v>0</v>
      </c>
      <c r="T1435">
        <v>0</v>
      </c>
      <c r="U1435">
        <v>0</v>
      </c>
      <c r="V1435" s="21">
        <v>32700</v>
      </c>
      <c r="W1435">
        <v>6</v>
      </c>
      <c r="X1435">
        <v>1</v>
      </c>
      <c r="Y1435">
        <v>0</v>
      </c>
      <c r="Z1435">
        <v>3</v>
      </c>
      <c r="AA1435">
        <v>10</v>
      </c>
    </row>
    <row r="1436" spans="1:27" ht="14.25" x14ac:dyDescent="0.2">
      <c r="A1436" s="12">
        <v>30403</v>
      </c>
      <c r="B1436" t="s">
        <v>180</v>
      </c>
      <c r="C1436" t="s">
        <v>121</v>
      </c>
      <c r="D1436" t="s">
        <v>121</v>
      </c>
      <c r="E1436" t="s">
        <v>121</v>
      </c>
      <c r="F1436" s="4" t="s">
        <v>2210</v>
      </c>
      <c r="H1436">
        <v>2</v>
      </c>
      <c r="I1436" s="1">
        <v>0</v>
      </c>
      <c r="J1436">
        <v>0</v>
      </c>
      <c r="K1436">
        <v>0</v>
      </c>
      <c r="L1436" s="20">
        <v>21840</v>
      </c>
      <c r="M1436">
        <v>1</v>
      </c>
      <c r="N1436">
        <v>0</v>
      </c>
      <c r="O1436">
        <v>0</v>
      </c>
      <c r="P1436">
        <v>0</v>
      </c>
      <c r="Q1436" s="22">
        <v>65520</v>
      </c>
      <c r="R1436">
        <v>3</v>
      </c>
      <c r="S1436" s="1">
        <v>0</v>
      </c>
      <c r="T1436">
        <v>0</v>
      </c>
      <c r="U1436">
        <v>0</v>
      </c>
      <c r="V1436" s="21">
        <v>32760</v>
      </c>
      <c r="W1436">
        <v>15</v>
      </c>
      <c r="X1436">
        <v>0</v>
      </c>
      <c r="Y1436">
        <v>0</v>
      </c>
      <c r="Z1436">
        <v>0</v>
      </c>
      <c r="AA1436">
        <v>1</v>
      </c>
    </row>
    <row r="1437" spans="1:27" ht="14.25" x14ac:dyDescent="0.2">
      <c r="A1437" s="12">
        <v>30404</v>
      </c>
      <c r="B1437" t="s">
        <v>178</v>
      </c>
      <c r="C1437" t="s">
        <v>121</v>
      </c>
      <c r="D1437" t="s">
        <v>121</v>
      </c>
      <c r="E1437" t="s">
        <v>121</v>
      </c>
      <c r="F1437" s="4" t="s">
        <v>2210</v>
      </c>
      <c r="H1437">
        <v>2</v>
      </c>
      <c r="I1437" s="1">
        <v>0</v>
      </c>
      <c r="J1437">
        <v>0</v>
      </c>
      <c r="K1437">
        <v>0</v>
      </c>
      <c r="L1437" s="20">
        <v>21840</v>
      </c>
      <c r="M1437">
        <v>1</v>
      </c>
      <c r="N1437">
        <v>0</v>
      </c>
      <c r="O1437">
        <v>0</v>
      </c>
      <c r="P1437">
        <v>0</v>
      </c>
      <c r="Q1437" s="22">
        <v>65520</v>
      </c>
      <c r="R1437">
        <v>3</v>
      </c>
      <c r="S1437" s="1">
        <v>0</v>
      </c>
      <c r="T1437">
        <v>0</v>
      </c>
      <c r="U1437">
        <v>0</v>
      </c>
      <c r="V1437" s="21">
        <v>32760</v>
      </c>
      <c r="W1437">
        <v>21</v>
      </c>
      <c r="X1437">
        <v>0</v>
      </c>
      <c r="Y1437">
        <v>0</v>
      </c>
      <c r="Z1437">
        <v>0</v>
      </c>
      <c r="AA1437">
        <v>1</v>
      </c>
    </row>
    <row r="1438" spans="1:27" ht="14.25" x14ac:dyDescent="0.2">
      <c r="A1438" s="12">
        <v>30405</v>
      </c>
      <c r="B1438" t="s">
        <v>130</v>
      </c>
      <c r="C1438" t="s">
        <v>121</v>
      </c>
      <c r="D1438" t="s">
        <v>121</v>
      </c>
      <c r="E1438" t="s">
        <v>121</v>
      </c>
      <c r="F1438" s="4" t="s">
        <v>2212</v>
      </c>
      <c r="H1438">
        <v>2</v>
      </c>
      <c r="I1438" s="1">
        <v>0</v>
      </c>
      <c r="J1438">
        <v>0</v>
      </c>
      <c r="K1438">
        <v>0</v>
      </c>
      <c r="L1438" s="20">
        <v>21840</v>
      </c>
      <c r="M1438">
        <v>1</v>
      </c>
      <c r="N1438">
        <v>0</v>
      </c>
      <c r="O1438">
        <v>0</v>
      </c>
      <c r="P1438">
        <v>0</v>
      </c>
      <c r="Q1438" s="22">
        <v>65520</v>
      </c>
      <c r="R1438">
        <v>3</v>
      </c>
      <c r="S1438" s="1">
        <v>0</v>
      </c>
      <c r="T1438">
        <v>0</v>
      </c>
      <c r="U1438">
        <v>0</v>
      </c>
      <c r="V1438" s="21">
        <v>32760</v>
      </c>
      <c r="W1438">
        <v>9</v>
      </c>
      <c r="X1438">
        <v>0</v>
      </c>
      <c r="Y1438">
        <v>0</v>
      </c>
      <c r="Z1438">
        <v>0</v>
      </c>
      <c r="AA1438">
        <v>10</v>
      </c>
    </row>
    <row r="1439" spans="1:27" ht="14.25" x14ac:dyDescent="0.2">
      <c r="A1439" s="12">
        <v>30406</v>
      </c>
      <c r="B1439" t="s">
        <v>181</v>
      </c>
      <c r="C1439" t="s">
        <v>121</v>
      </c>
      <c r="D1439" t="s">
        <v>121</v>
      </c>
      <c r="E1439" t="s">
        <v>121</v>
      </c>
      <c r="F1439" s="4" t="s">
        <v>2214</v>
      </c>
      <c r="H1439">
        <v>2</v>
      </c>
      <c r="I1439" s="1">
        <v>0</v>
      </c>
      <c r="J1439">
        <v>0</v>
      </c>
      <c r="K1439">
        <v>0</v>
      </c>
      <c r="L1439" s="20">
        <v>21880</v>
      </c>
      <c r="M1439">
        <v>1</v>
      </c>
      <c r="N1439">
        <v>0</v>
      </c>
      <c r="O1439">
        <v>0</v>
      </c>
      <c r="P1439">
        <v>0</v>
      </c>
      <c r="Q1439" s="22">
        <v>65520</v>
      </c>
      <c r="R1439">
        <v>3</v>
      </c>
      <c r="S1439" s="1">
        <v>0</v>
      </c>
      <c r="T1439">
        <v>0</v>
      </c>
      <c r="U1439">
        <v>0</v>
      </c>
      <c r="V1439" s="21">
        <v>32760</v>
      </c>
      <c r="W1439">
        <v>30</v>
      </c>
      <c r="X1439">
        <v>0</v>
      </c>
      <c r="Y1439">
        <v>0</v>
      </c>
      <c r="Z1439">
        <v>0</v>
      </c>
      <c r="AA1439">
        <v>10</v>
      </c>
    </row>
    <row r="1440" spans="1:27" ht="14.25" x14ac:dyDescent="0.2">
      <c r="A1440" s="12">
        <v>30407</v>
      </c>
      <c r="B1440" t="s">
        <v>122</v>
      </c>
      <c r="C1440" t="s">
        <v>121</v>
      </c>
      <c r="D1440" t="s">
        <v>121</v>
      </c>
      <c r="E1440" t="s">
        <v>121</v>
      </c>
      <c r="F1440" s="4" t="s">
        <v>2214</v>
      </c>
      <c r="H1440">
        <v>2</v>
      </c>
      <c r="I1440" s="1">
        <v>0</v>
      </c>
      <c r="J1440">
        <v>0</v>
      </c>
      <c r="K1440">
        <v>0</v>
      </c>
      <c r="L1440" s="20">
        <v>21880</v>
      </c>
      <c r="M1440">
        <v>1</v>
      </c>
      <c r="N1440">
        <v>0</v>
      </c>
      <c r="O1440">
        <v>0</v>
      </c>
      <c r="P1440">
        <v>0</v>
      </c>
      <c r="Q1440" s="22">
        <v>65520</v>
      </c>
      <c r="R1440">
        <v>3</v>
      </c>
      <c r="S1440" s="1">
        <v>0</v>
      </c>
      <c r="T1440">
        <v>0</v>
      </c>
      <c r="U1440">
        <v>0</v>
      </c>
      <c r="V1440" s="21">
        <v>32760</v>
      </c>
      <c r="W1440">
        <v>4</v>
      </c>
      <c r="X1440">
        <v>0</v>
      </c>
      <c r="Y1440">
        <v>0</v>
      </c>
      <c r="Z1440">
        <v>0</v>
      </c>
      <c r="AA1440">
        <v>10</v>
      </c>
    </row>
    <row r="1441" spans="1:27" ht="14.25" x14ac:dyDescent="0.2">
      <c r="A1441" s="12">
        <v>30408</v>
      </c>
      <c r="B1441" t="s">
        <v>178</v>
      </c>
      <c r="C1441" t="s">
        <v>121</v>
      </c>
      <c r="D1441" t="s">
        <v>121</v>
      </c>
      <c r="E1441" t="s">
        <v>121</v>
      </c>
      <c r="F1441" s="4" t="s">
        <v>2216</v>
      </c>
      <c r="H1441">
        <v>2</v>
      </c>
      <c r="I1441" s="1">
        <v>0</v>
      </c>
      <c r="J1441">
        <v>0</v>
      </c>
      <c r="K1441">
        <v>0</v>
      </c>
      <c r="L1441" s="20">
        <v>21880</v>
      </c>
      <c r="M1441">
        <v>1</v>
      </c>
      <c r="N1441">
        <v>0</v>
      </c>
      <c r="O1441">
        <v>0</v>
      </c>
      <c r="P1441">
        <v>0</v>
      </c>
      <c r="Q1441" s="22">
        <v>65640</v>
      </c>
      <c r="R1441">
        <v>3</v>
      </c>
      <c r="S1441" s="1">
        <v>0</v>
      </c>
      <c r="T1441">
        <v>0</v>
      </c>
      <c r="U1441">
        <v>0</v>
      </c>
      <c r="V1441" s="21">
        <v>32820</v>
      </c>
      <c r="W1441">
        <v>21</v>
      </c>
      <c r="X1441">
        <v>0</v>
      </c>
      <c r="Y1441">
        <v>0</v>
      </c>
      <c r="Z1441">
        <v>0</v>
      </c>
      <c r="AA1441">
        <v>1</v>
      </c>
    </row>
    <row r="1442" spans="1:27" ht="14.25" x14ac:dyDescent="0.2">
      <c r="A1442" s="12">
        <v>30409</v>
      </c>
      <c r="B1442" t="s">
        <v>130</v>
      </c>
      <c r="C1442" t="s">
        <v>121</v>
      </c>
      <c r="D1442" t="s">
        <v>121</v>
      </c>
      <c r="E1442" t="s">
        <v>121</v>
      </c>
      <c r="F1442" s="4" t="s">
        <v>2218</v>
      </c>
      <c r="H1442">
        <v>2</v>
      </c>
      <c r="I1442" s="1">
        <v>0</v>
      </c>
      <c r="J1442">
        <v>0</v>
      </c>
      <c r="K1442">
        <v>0</v>
      </c>
      <c r="L1442" s="20">
        <v>21880</v>
      </c>
      <c r="M1442">
        <v>1</v>
      </c>
      <c r="N1442">
        <v>0</v>
      </c>
      <c r="O1442">
        <v>0</v>
      </c>
      <c r="P1442">
        <v>0</v>
      </c>
      <c r="Q1442" s="22">
        <v>65640</v>
      </c>
      <c r="R1442">
        <v>3</v>
      </c>
      <c r="S1442" s="1">
        <v>0</v>
      </c>
      <c r="T1442">
        <v>0</v>
      </c>
      <c r="U1442">
        <v>0</v>
      </c>
      <c r="V1442" s="21">
        <v>32820</v>
      </c>
      <c r="W1442">
        <v>9</v>
      </c>
      <c r="X1442">
        <v>0</v>
      </c>
      <c r="Y1442">
        <v>0</v>
      </c>
      <c r="Z1442">
        <v>0</v>
      </c>
      <c r="AA1442">
        <v>10</v>
      </c>
    </row>
    <row r="1443" spans="1:27" ht="14.25" x14ac:dyDescent="0.2">
      <c r="A1443" s="12">
        <v>30410</v>
      </c>
      <c r="B1443" t="s">
        <v>123</v>
      </c>
      <c r="C1443" t="s">
        <v>121</v>
      </c>
      <c r="D1443" t="s">
        <v>121</v>
      </c>
      <c r="E1443" t="s">
        <v>121</v>
      </c>
      <c r="F1443" s="4" t="s">
        <v>2218</v>
      </c>
      <c r="H1443">
        <v>2</v>
      </c>
      <c r="I1443" s="1">
        <v>0</v>
      </c>
      <c r="J1443">
        <v>0</v>
      </c>
      <c r="K1443">
        <v>0</v>
      </c>
      <c r="L1443" s="20">
        <v>21880</v>
      </c>
      <c r="M1443">
        <v>1</v>
      </c>
      <c r="N1443">
        <v>0</v>
      </c>
      <c r="O1443">
        <v>0</v>
      </c>
      <c r="P1443">
        <v>0</v>
      </c>
      <c r="Q1443" s="22">
        <v>65640</v>
      </c>
      <c r="R1443">
        <v>3</v>
      </c>
      <c r="S1443" s="1">
        <v>0</v>
      </c>
      <c r="T1443">
        <v>0</v>
      </c>
      <c r="U1443">
        <v>0</v>
      </c>
      <c r="V1443" s="21">
        <v>32820</v>
      </c>
      <c r="W1443">
        <v>12</v>
      </c>
      <c r="X1443">
        <v>0</v>
      </c>
      <c r="Y1443">
        <v>0</v>
      </c>
      <c r="Z1443">
        <v>0</v>
      </c>
      <c r="AA1443">
        <v>10</v>
      </c>
    </row>
    <row r="1444" spans="1:27" ht="14.25" x14ac:dyDescent="0.2">
      <c r="A1444" s="12">
        <v>30411</v>
      </c>
      <c r="B1444" t="s">
        <v>126</v>
      </c>
      <c r="C1444" t="s">
        <v>121</v>
      </c>
      <c r="D1444" t="s">
        <v>121</v>
      </c>
      <c r="E1444" t="s">
        <v>121</v>
      </c>
      <c r="F1444" s="4" t="s">
        <v>2220</v>
      </c>
      <c r="H1444">
        <v>2</v>
      </c>
      <c r="I1444" s="1">
        <v>0</v>
      </c>
      <c r="J1444">
        <v>0</v>
      </c>
      <c r="K1444">
        <v>0</v>
      </c>
      <c r="L1444" s="20">
        <v>21920</v>
      </c>
      <c r="M1444">
        <v>1</v>
      </c>
      <c r="N1444">
        <v>0</v>
      </c>
      <c r="O1444">
        <v>0</v>
      </c>
      <c r="P1444">
        <v>0</v>
      </c>
      <c r="Q1444" s="22">
        <v>65640</v>
      </c>
      <c r="R1444">
        <v>3</v>
      </c>
      <c r="S1444" s="1">
        <v>0</v>
      </c>
      <c r="T1444">
        <v>0</v>
      </c>
      <c r="U1444">
        <v>0</v>
      </c>
      <c r="V1444" s="21">
        <v>32820</v>
      </c>
      <c r="W1444">
        <v>23</v>
      </c>
      <c r="X1444">
        <v>0</v>
      </c>
      <c r="Y1444">
        <v>0</v>
      </c>
      <c r="Z1444">
        <v>0</v>
      </c>
      <c r="AA1444">
        <v>1</v>
      </c>
    </row>
    <row r="1445" spans="1:27" ht="14.25" x14ac:dyDescent="0.2">
      <c r="A1445" s="12">
        <v>30412</v>
      </c>
      <c r="B1445" t="s">
        <v>131</v>
      </c>
      <c r="C1445" t="s">
        <v>125</v>
      </c>
      <c r="D1445" t="s">
        <v>121</v>
      </c>
      <c r="E1445" t="s">
        <v>136</v>
      </c>
      <c r="F1445" s="4" t="s">
        <v>2222</v>
      </c>
      <c r="H1445">
        <v>2</v>
      </c>
      <c r="I1445" s="1">
        <v>0</v>
      </c>
      <c r="J1445">
        <v>0</v>
      </c>
      <c r="K1445">
        <v>0</v>
      </c>
      <c r="L1445" s="20">
        <v>21920</v>
      </c>
      <c r="M1445">
        <v>1</v>
      </c>
      <c r="N1445">
        <v>0</v>
      </c>
      <c r="O1445">
        <v>0</v>
      </c>
      <c r="P1445">
        <v>0</v>
      </c>
      <c r="Q1445" s="22">
        <v>65640</v>
      </c>
      <c r="R1445">
        <v>3</v>
      </c>
      <c r="S1445" s="1">
        <v>0</v>
      </c>
      <c r="T1445">
        <v>0</v>
      </c>
      <c r="U1445">
        <v>0</v>
      </c>
      <c r="V1445" s="21">
        <v>32820</v>
      </c>
      <c r="W1445">
        <v>6</v>
      </c>
      <c r="X1445">
        <v>1</v>
      </c>
      <c r="Y1445">
        <v>0</v>
      </c>
      <c r="Z1445">
        <v>3</v>
      </c>
      <c r="AA1445">
        <v>10</v>
      </c>
    </row>
    <row r="1446" spans="1:27" ht="14.25" x14ac:dyDescent="0.2">
      <c r="A1446" s="12">
        <v>30413</v>
      </c>
      <c r="B1446" t="s">
        <v>180</v>
      </c>
      <c r="C1446" t="s">
        <v>121</v>
      </c>
      <c r="D1446" t="s">
        <v>121</v>
      </c>
      <c r="E1446" t="s">
        <v>121</v>
      </c>
      <c r="F1446" s="4" t="s">
        <v>2224</v>
      </c>
      <c r="H1446">
        <v>2</v>
      </c>
      <c r="I1446" s="1">
        <v>0</v>
      </c>
      <c r="J1446">
        <v>0</v>
      </c>
      <c r="K1446">
        <v>0</v>
      </c>
      <c r="L1446" s="20">
        <v>21920</v>
      </c>
      <c r="M1446">
        <v>1</v>
      </c>
      <c r="N1446">
        <v>0</v>
      </c>
      <c r="O1446">
        <v>0</v>
      </c>
      <c r="P1446">
        <v>0</v>
      </c>
      <c r="Q1446" s="22">
        <v>65760</v>
      </c>
      <c r="R1446">
        <v>3</v>
      </c>
      <c r="S1446" s="1">
        <v>0</v>
      </c>
      <c r="T1446">
        <v>0</v>
      </c>
      <c r="U1446">
        <v>0</v>
      </c>
      <c r="V1446" s="21">
        <v>32880</v>
      </c>
      <c r="W1446">
        <v>15</v>
      </c>
      <c r="X1446">
        <v>0</v>
      </c>
      <c r="Y1446">
        <v>0</v>
      </c>
      <c r="Z1446">
        <v>0</v>
      </c>
      <c r="AA1446">
        <v>1</v>
      </c>
    </row>
    <row r="1447" spans="1:27" ht="14.25" x14ac:dyDescent="0.2">
      <c r="A1447" s="12">
        <v>30414</v>
      </c>
      <c r="B1447" t="s">
        <v>178</v>
      </c>
      <c r="C1447" t="s">
        <v>121</v>
      </c>
      <c r="D1447" t="s">
        <v>121</v>
      </c>
      <c r="E1447" t="s">
        <v>121</v>
      </c>
      <c r="F1447" s="4" t="s">
        <v>2224</v>
      </c>
      <c r="H1447">
        <v>2</v>
      </c>
      <c r="I1447" s="1">
        <v>0</v>
      </c>
      <c r="J1447">
        <v>0</v>
      </c>
      <c r="K1447">
        <v>0</v>
      </c>
      <c r="L1447" s="20">
        <v>21920</v>
      </c>
      <c r="M1447">
        <v>1</v>
      </c>
      <c r="N1447">
        <v>0</v>
      </c>
      <c r="O1447">
        <v>0</v>
      </c>
      <c r="P1447">
        <v>0</v>
      </c>
      <c r="Q1447" s="22">
        <v>65760</v>
      </c>
      <c r="R1447">
        <v>3</v>
      </c>
      <c r="S1447" s="1">
        <v>0</v>
      </c>
      <c r="T1447">
        <v>0</v>
      </c>
      <c r="U1447">
        <v>0</v>
      </c>
      <c r="V1447" s="21">
        <v>32880</v>
      </c>
      <c r="W1447">
        <v>21</v>
      </c>
      <c r="X1447">
        <v>0</v>
      </c>
      <c r="Y1447">
        <v>0</v>
      </c>
      <c r="Z1447">
        <v>0</v>
      </c>
      <c r="AA1447">
        <v>1</v>
      </c>
    </row>
    <row r="1448" spans="1:27" ht="14.25" x14ac:dyDescent="0.2">
      <c r="A1448" s="12">
        <v>30415</v>
      </c>
      <c r="B1448" t="s">
        <v>130</v>
      </c>
      <c r="C1448" t="s">
        <v>121</v>
      </c>
      <c r="D1448" t="s">
        <v>121</v>
      </c>
      <c r="E1448" t="s">
        <v>121</v>
      </c>
      <c r="F1448" s="4" t="s">
        <v>2226</v>
      </c>
      <c r="H1448">
        <v>2</v>
      </c>
      <c r="I1448" s="1">
        <v>0</v>
      </c>
      <c r="J1448">
        <v>0</v>
      </c>
      <c r="K1448">
        <v>0</v>
      </c>
      <c r="L1448" s="20">
        <v>21920</v>
      </c>
      <c r="M1448">
        <v>1</v>
      </c>
      <c r="N1448">
        <v>0</v>
      </c>
      <c r="O1448">
        <v>0</v>
      </c>
      <c r="P1448">
        <v>0</v>
      </c>
      <c r="Q1448" s="22">
        <v>65760</v>
      </c>
      <c r="R1448">
        <v>3</v>
      </c>
      <c r="S1448" s="1">
        <v>0</v>
      </c>
      <c r="T1448">
        <v>0</v>
      </c>
      <c r="U1448">
        <v>0</v>
      </c>
      <c r="V1448" s="21">
        <v>32880</v>
      </c>
      <c r="W1448">
        <v>9</v>
      </c>
      <c r="X1448">
        <v>0</v>
      </c>
      <c r="Y1448">
        <v>0</v>
      </c>
      <c r="Z1448">
        <v>0</v>
      </c>
      <c r="AA1448">
        <v>10</v>
      </c>
    </row>
    <row r="1449" spans="1:27" ht="14.25" x14ac:dyDescent="0.2">
      <c r="A1449" s="12">
        <v>30416</v>
      </c>
      <c r="B1449" t="s">
        <v>181</v>
      </c>
      <c r="C1449" t="s">
        <v>121</v>
      </c>
      <c r="D1449" t="s">
        <v>121</v>
      </c>
      <c r="E1449" t="s">
        <v>121</v>
      </c>
      <c r="F1449" s="4" t="s">
        <v>2228</v>
      </c>
      <c r="H1449">
        <v>2</v>
      </c>
      <c r="I1449" s="1">
        <v>0</v>
      </c>
      <c r="J1449">
        <v>0</v>
      </c>
      <c r="K1449">
        <v>0</v>
      </c>
      <c r="L1449" s="20">
        <v>21960</v>
      </c>
      <c r="M1449">
        <v>1</v>
      </c>
      <c r="N1449">
        <v>0</v>
      </c>
      <c r="O1449">
        <v>0</v>
      </c>
      <c r="P1449">
        <v>0</v>
      </c>
      <c r="Q1449" s="22">
        <v>65760</v>
      </c>
      <c r="R1449">
        <v>3</v>
      </c>
      <c r="S1449" s="1">
        <v>0</v>
      </c>
      <c r="T1449">
        <v>0</v>
      </c>
      <c r="U1449">
        <v>0</v>
      </c>
      <c r="V1449" s="21">
        <v>32880</v>
      </c>
      <c r="W1449">
        <v>30</v>
      </c>
      <c r="X1449">
        <v>0</v>
      </c>
      <c r="Y1449">
        <v>0</v>
      </c>
      <c r="Z1449">
        <v>0</v>
      </c>
      <c r="AA1449">
        <v>10</v>
      </c>
    </row>
    <row r="1450" spans="1:27" ht="14.25" x14ac:dyDescent="0.2">
      <c r="A1450" s="12">
        <v>30417</v>
      </c>
      <c r="B1450" t="s">
        <v>122</v>
      </c>
      <c r="C1450" t="s">
        <v>121</v>
      </c>
      <c r="D1450" t="s">
        <v>121</v>
      </c>
      <c r="E1450" t="s">
        <v>121</v>
      </c>
      <c r="F1450" s="4" t="s">
        <v>2228</v>
      </c>
      <c r="H1450">
        <v>2</v>
      </c>
      <c r="I1450" s="1">
        <v>0</v>
      </c>
      <c r="J1450">
        <v>0</v>
      </c>
      <c r="K1450">
        <v>0</v>
      </c>
      <c r="L1450" s="20">
        <v>21960</v>
      </c>
      <c r="M1450">
        <v>1</v>
      </c>
      <c r="N1450">
        <v>0</v>
      </c>
      <c r="O1450">
        <v>0</v>
      </c>
      <c r="P1450">
        <v>0</v>
      </c>
      <c r="Q1450" s="22">
        <v>65760</v>
      </c>
      <c r="R1450">
        <v>3</v>
      </c>
      <c r="S1450" s="1">
        <v>0</v>
      </c>
      <c r="T1450">
        <v>0</v>
      </c>
      <c r="U1450">
        <v>0</v>
      </c>
      <c r="V1450" s="21">
        <v>32880</v>
      </c>
      <c r="W1450">
        <v>4</v>
      </c>
      <c r="X1450">
        <v>0</v>
      </c>
      <c r="Y1450">
        <v>0</v>
      </c>
      <c r="Z1450">
        <v>0</v>
      </c>
      <c r="AA1450">
        <v>10</v>
      </c>
    </row>
    <row r="1451" spans="1:27" ht="14.25" x14ac:dyDescent="0.2">
      <c r="A1451" s="12">
        <v>30418</v>
      </c>
      <c r="B1451" t="s">
        <v>178</v>
      </c>
      <c r="C1451" t="s">
        <v>121</v>
      </c>
      <c r="D1451" t="s">
        <v>121</v>
      </c>
      <c r="E1451" t="s">
        <v>121</v>
      </c>
      <c r="F1451" s="4" t="s">
        <v>2230</v>
      </c>
      <c r="H1451">
        <v>2</v>
      </c>
      <c r="I1451" s="1">
        <v>0</v>
      </c>
      <c r="J1451">
        <v>0</v>
      </c>
      <c r="K1451">
        <v>0</v>
      </c>
      <c r="L1451" s="20">
        <v>21960</v>
      </c>
      <c r="M1451">
        <v>1</v>
      </c>
      <c r="N1451">
        <v>0</v>
      </c>
      <c r="O1451">
        <v>0</v>
      </c>
      <c r="P1451">
        <v>0</v>
      </c>
      <c r="Q1451" s="22">
        <v>65880</v>
      </c>
      <c r="R1451">
        <v>3</v>
      </c>
      <c r="S1451" s="1">
        <v>0</v>
      </c>
      <c r="T1451">
        <v>0</v>
      </c>
      <c r="U1451">
        <v>0</v>
      </c>
      <c r="V1451" s="21">
        <v>32940</v>
      </c>
      <c r="W1451">
        <v>21</v>
      </c>
      <c r="X1451">
        <v>0</v>
      </c>
      <c r="Y1451">
        <v>0</v>
      </c>
      <c r="Z1451">
        <v>0</v>
      </c>
      <c r="AA1451">
        <v>1</v>
      </c>
    </row>
    <row r="1452" spans="1:27" ht="14.25" x14ac:dyDescent="0.2">
      <c r="A1452" s="12">
        <v>30419</v>
      </c>
      <c r="B1452" t="s">
        <v>130</v>
      </c>
      <c r="C1452" t="s">
        <v>121</v>
      </c>
      <c r="D1452" t="s">
        <v>121</v>
      </c>
      <c r="E1452" t="s">
        <v>121</v>
      </c>
      <c r="F1452" s="4" t="s">
        <v>2232</v>
      </c>
      <c r="H1452">
        <v>2</v>
      </c>
      <c r="I1452" s="1">
        <v>0</v>
      </c>
      <c r="J1452">
        <v>0</v>
      </c>
      <c r="K1452">
        <v>0</v>
      </c>
      <c r="L1452" s="20">
        <v>21960</v>
      </c>
      <c r="M1452">
        <v>1</v>
      </c>
      <c r="N1452">
        <v>0</v>
      </c>
      <c r="O1452">
        <v>0</v>
      </c>
      <c r="P1452">
        <v>0</v>
      </c>
      <c r="Q1452" s="22">
        <v>65880</v>
      </c>
      <c r="R1452">
        <v>3</v>
      </c>
      <c r="S1452" s="1">
        <v>0</v>
      </c>
      <c r="T1452">
        <v>0</v>
      </c>
      <c r="U1452">
        <v>0</v>
      </c>
      <c r="V1452" s="21">
        <v>32940</v>
      </c>
      <c r="W1452">
        <v>9</v>
      </c>
      <c r="X1452">
        <v>0</v>
      </c>
      <c r="Y1452">
        <v>0</v>
      </c>
      <c r="Z1452">
        <v>0</v>
      </c>
      <c r="AA1452">
        <v>10</v>
      </c>
    </row>
    <row r="1453" spans="1:27" ht="14.25" x14ac:dyDescent="0.2">
      <c r="A1453" s="12">
        <v>30420</v>
      </c>
      <c r="B1453" t="s">
        <v>123</v>
      </c>
      <c r="C1453" t="s">
        <v>121</v>
      </c>
      <c r="D1453" t="s">
        <v>121</v>
      </c>
      <c r="E1453" t="s">
        <v>121</v>
      </c>
      <c r="F1453" s="4" t="s">
        <v>2232</v>
      </c>
      <c r="H1453">
        <v>2</v>
      </c>
      <c r="I1453" s="1">
        <v>0</v>
      </c>
      <c r="J1453">
        <v>0</v>
      </c>
      <c r="K1453">
        <v>0</v>
      </c>
      <c r="L1453" s="20">
        <v>21960</v>
      </c>
      <c r="M1453">
        <v>1</v>
      </c>
      <c r="N1453">
        <v>0</v>
      </c>
      <c r="O1453">
        <v>0</v>
      </c>
      <c r="P1453">
        <v>0</v>
      </c>
      <c r="Q1453" s="22">
        <v>65880</v>
      </c>
      <c r="R1453">
        <v>3</v>
      </c>
      <c r="S1453" s="1">
        <v>0</v>
      </c>
      <c r="T1453">
        <v>0</v>
      </c>
      <c r="U1453">
        <v>0</v>
      </c>
      <c r="V1453" s="21">
        <v>32940</v>
      </c>
      <c r="W1453">
        <v>12</v>
      </c>
      <c r="X1453">
        <v>0</v>
      </c>
      <c r="Y1453">
        <v>0</v>
      </c>
      <c r="Z1453">
        <v>0</v>
      </c>
      <c r="AA1453">
        <v>10</v>
      </c>
    </row>
    <row r="1454" spans="1:27" ht="14.25" x14ac:dyDescent="0.2">
      <c r="A1454" s="12">
        <v>30421</v>
      </c>
      <c r="B1454" t="s">
        <v>126</v>
      </c>
      <c r="C1454" t="s">
        <v>121</v>
      </c>
      <c r="D1454" t="s">
        <v>121</v>
      </c>
      <c r="E1454" t="s">
        <v>121</v>
      </c>
      <c r="F1454" s="4" t="s">
        <v>2234</v>
      </c>
      <c r="H1454">
        <v>2</v>
      </c>
      <c r="I1454" s="1">
        <v>0</v>
      </c>
      <c r="J1454">
        <v>0</v>
      </c>
      <c r="K1454">
        <v>0</v>
      </c>
      <c r="L1454" s="20">
        <v>22000</v>
      </c>
      <c r="M1454">
        <v>1</v>
      </c>
      <c r="N1454">
        <v>0</v>
      </c>
      <c r="O1454">
        <v>0</v>
      </c>
      <c r="P1454">
        <v>0</v>
      </c>
      <c r="Q1454" s="22">
        <v>65880</v>
      </c>
      <c r="R1454">
        <v>3</v>
      </c>
      <c r="S1454" s="1">
        <v>0</v>
      </c>
      <c r="T1454">
        <v>0</v>
      </c>
      <c r="U1454">
        <v>0</v>
      </c>
      <c r="V1454" s="21">
        <v>32940</v>
      </c>
      <c r="W1454">
        <v>23</v>
      </c>
      <c r="X1454">
        <v>0</v>
      </c>
      <c r="Y1454">
        <v>0</v>
      </c>
      <c r="Z1454">
        <v>0</v>
      </c>
      <c r="AA1454">
        <v>1</v>
      </c>
    </row>
    <row r="1455" spans="1:27" ht="14.25" x14ac:dyDescent="0.2">
      <c r="A1455" s="12">
        <v>30422</v>
      </c>
      <c r="B1455" t="s">
        <v>131</v>
      </c>
      <c r="C1455" t="s">
        <v>125</v>
      </c>
      <c r="D1455" t="s">
        <v>121</v>
      </c>
      <c r="E1455" t="s">
        <v>136</v>
      </c>
      <c r="F1455" s="4" t="s">
        <v>2236</v>
      </c>
      <c r="H1455">
        <v>2</v>
      </c>
      <c r="I1455" s="1">
        <v>0</v>
      </c>
      <c r="J1455">
        <v>0</v>
      </c>
      <c r="K1455">
        <v>0</v>
      </c>
      <c r="L1455" s="20">
        <v>22000</v>
      </c>
      <c r="M1455">
        <v>1</v>
      </c>
      <c r="N1455">
        <v>0</v>
      </c>
      <c r="O1455">
        <v>0</v>
      </c>
      <c r="P1455">
        <v>0</v>
      </c>
      <c r="Q1455" s="22">
        <v>65880</v>
      </c>
      <c r="R1455">
        <v>3</v>
      </c>
      <c r="S1455" s="1">
        <v>0</v>
      </c>
      <c r="T1455">
        <v>0</v>
      </c>
      <c r="U1455">
        <v>0</v>
      </c>
      <c r="V1455" s="21">
        <v>32940</v>
      </c>
      <c r="W1455">
        <v>6</v>
      </c>
      <c r="X1455">
        <v>1</v>
      </c>
      <c r="Y1455">
        <v>0</v>
      </c>
      <c r="Z1455">
        <v>3</v>
      </c>
      <c r="AA1455">
        <v>10</v>
      </c>
    </row>
    <row r="1456" spans="1:27" ht="14.25" x14ac:dyDescent="0.2">
      <c r="A1456" s="12">
        <v>30423</v>
      </c>
      <c r="B1456" t="s">
        <v>180</v>
      </c>
      <c r="C1456" t="s">
        <v>121</v>
      </c>
      <c r="D1456" t="s">
        <v>121</v>
      </c>
      <c r="E1456" t="s">
        <v>121</v>
      </c>
      <c r="F1456" s="4" t="s">
        <v>2238</v>
      </c>
      <c r="H1456">
        <v>2</v>
      </c>
      <c r="I1456" s="1">
        <v>0</v>
      </c>
      <c r="J1456">
        <v>0</v>
      </c>
      <c r="K1456">
        <v>0</v>
      </c>
      <c r="L1456" s="20">
        <v>22000</v>
      </c>
      <c r="M1456">
        <v>1</v>
      </c>
      <c r="N1456">
        <v>0</v>
      </c>
      <c r="O1456">
        <v>0</v>
      </c>
      <c r="P1456">
        <v>0</v>
      </c>
      <c r="Q1456" s="22">
        <v>66000</v>
      </c>
      <c r="R1456">
        <v>3</v>
      </c>
      <c r="S1456" s="1">
        <v>0</v>
      </c>
      <c r="T1456">
        <v>0</v>
      </c>
      <c r="U1456">
        <v>0</v>
      </c>
      <c r="V1456" s="21">
        <v>33000</v>
      </c>
      <c r="W1456">
        <v>15</v>
      </c>
      <c r="X1456">
        <v>0</v>
      </c>
      <c r="Y1456">
        <v>0</v>
      </c>
      <c r="Z1456">
        <v>0</v>
      </c>
      <c r="AA1456">
        <v>1</v>
      </c>
    </row>
    <row r="1457" spans="1:27" ht="14.25" x14ac:dyDescent="0.2">
      <c r="A1457" s="12">
        <v>30424</v>
      </c>
      <c r="B1457" t="s">
        <v>178</v>
      </c>
      <c r="C1457" t="s">
        <v>121</v>
      </c>
      <c r="D1457" t="s">
        <v>121</v>
      </c>
      <c r="E1457" t="s">
        <v>121</v>
      </c>
      <c r="F1457" s="4" t="s">
        <v>2238</v>
      </c>
      <c r="H1457">
        <v>2</v>
      </c>
      <c r="I1457" s="1">
        <v>0</v>
      </c>
      <c r="J1457">
        <v>0</v>
      </c>
      <c r="K1457">
        <v>0</v>
      </c>
      <c r="L1457" s="20">
        <v>22000</v>
      </c>
      <c r="M1457">
        <v>1</v>
      </c>
      <c r="N1457">
        <v>0</v>
      </c>
      <c r="O1457">
        <v>0</v>
      </c>
      <c r="P1457">
        <v>0</v>
      </c>
      <c r="Q1457" s="22">
        <v>66000</v>
      </c>
      <c r="R1457">
        <v>3</v>
      </c>
      <c r="S1457" s="1">
        <v>0</v>
      </c>
      <c r="T1457">
        <v>0</v>
      </c>
      <c r="U1457">
        <v>0</v>
      </c>
      <c r="V1457" s="21">
        <v>33000</v>
      </c>
      <c r="W1457">
        <v>21</v>
      </c>
      <c r="X1457">
        <v>0</v>
      </c>
      <c r="Y1457">
        <v>0</v>
      </c>
      <c r="Z1457">
        <v>0</v>
      </c>
      <c r="AA1457">
        <v>1</v>
      </c>
    </row>
    <row r="1458" spans="1:27" ht="14.25" x14ac:dyDescent="0.2">
      <c r="A1458" s="12">
        <v>30425</v>
      </c>
      <c r="B1458" t="s">
        <v>130</v>
      </c>
      <c r="C1458" t="s">
        <v>121</v>
      </c>
      <c r="D1458" t="s">
        <v>121</v>
      </c>
      <c r="E1458" t="s">
        <v>121</v>
      </c>
      <c r="F1458" s="4" t="s">
        <v>2240</v>
      </c>
      <c r="H1458">
        <v>2</v>
      </c>
      <c r="I1458" s="1">
        <v>0</v>
      </c>
      <c r="J1458">
        <v>0</v>
      </c>
      <c r="K1458">
        <v>0</v>
      </c>
      <c r="L1458" s="20">
        <v>22000</v>
      </c>
      <c r="M1458">
        <v>1</v>
      </c>
      <c r="N1458">
        <v>0</v>
      </c>
      <c r="O1458">
        <v>0</v>
      </c>
      <c r="P1458">
        <v>0</v>
      </c>
      <c r="Q1458" s="22">
        <v>66000</v>
      </c>
      <c r="R1458">
        <v>3</v>
      </c>
      <c r="S1458" s="1">
        <v>0</v>
      </c>
      <c r="T1458">
        <v>0</v>
      </c>
      <c r="U1458">
        <v>0</v>
      </c>
      <c r="V1458" s="21">
        <v>33000</v>
      </c>
      <c r="W1458">
        <v>9</v>
      </c>
      <c r="X1458">
        <v>0</v>
      </c>
      <c r="Y1458">
        <v>0</v>
      </c>
      <c r="Z1458">
        <v>0</v>
      </c>
      <c r="AA1458">
        <v>10</v>
      </c>
    </row>
    <row r="1459" spans="1:27" ht="14.25" x14ac:dyDescent="0.2">
      <c r="A1459" s="12">
        <v>30426</v>
      </c>
      <c r="B1459" t="s">
        <v>181</v>
      </c>
      <c r="C1459" t="s">
        <v>121</v>
      </c>
      <c r="D1459" t="s">
        <v>121</v>
      </c>
      <c r="E1459" t="s">
        <v>121</v>
      </c>
      <c r="F1459" s="4" t="s">
        <v>2242</v>
      </c>
      <c r="H1459">
        <v>2</v>
      </c>
      <c r="I1459" s="1">
        <v>0</v>
      </c>
      <c r="J1459">
        <v>0</v>
      </c>
      <c r="K1459">
        <v>0</v>
      </c>
      <c r="L1459" s="20">
        <v>22040</v>
      </c>
      <c r="M1459">
        <v>1</v>
      </c>
      <c r="N1459">
        <v>0</v>
      </c>
      <c r="O1459">
        <v>0</v>
      </c>
      <c r="P1459">
        <v>0</v>
      </c>
      <c r="Q1459" s="22">
        <v>66000</v>
      </c>
      <c r="R1459">
        <v>3</v>
      </c>
      <c r="S1459" s="1">
        <v>0</v>
      </c>
      <c r="T1459">
        <v>0</v>
      </c>
      <c r="U1459">
        <v>0</v>
      </c>
      <c r="V1459" s="21">
        <v>33000</v>
      </c>
      <c r="W1459">
        <v>30</v>
      </c>
      <c r="X1459">
        <v>0</v>
      </c>
      <c r="Y1459">
        <v>0</v>
      </c>
      <c r="Z1459">
        <v>0</v>
      </c>
      <c r="AA1459">
        <v>10</v>
      </c>
    </row>
    <row r="1460" spans="1:27" ht="14.25" x14ac:dyDescent="0.2">
      <c r="A1460" s="12">
        <v>30427</v>
      </c>
      <c r="B1460" t="s">
        <v>122</v>
      </c>
      <c r="C1460" t="s">
        <v>121</v>
      </c>
      <c r="D1460" t="s">
        <v>121</v>
      </c>
      <c r="E1460" t="s">
        <v>121</v>
      </c>
      <c r="F1460" s="4" t="s">
        <v>2242</v>
      </c>
      <c r="H1460">
        <v>2</v>
      </c>
      <c r="I1460" s="1">
        <v>0</v>
      </c>
      <c r="J1460">
        <v>0</v>
      </c>
      <c r="K1460">
        <v>0</v>
      </c>
      <c r="L1460" s="20">
        <v>22040</v>
      </c>
      <c r="M1460">
        <v>1</v>
      </c>
      <c r="N1460">
        <v>0</v>
      </c>
      <c r="O1460">
        <v>0</v>
      </c>
      <c r="P1460">
        <v>0</v>
      </c>
      <c r="Q1460" s="22">
        <v>66000</v>
      </c>
      <c r="R1460">
        <v>3</v>
      </c>
      <c r="S1460" s="1">
        <v>0</v>
      </c>
      <c r="T1460">
        <v>0</v>
      </c>
      <c r="U1460">
        <v>0</v>
      </c>
      <c r="V1460" s="21">
        <v>33000</v>
      </c>
      <c r="W1460">
        <v>4</v>
      </c>
      <c r="X1460">
        <v>0</v>
      </c>
      <c r="Y1460">
        <v>0</v>
      </c>
      <c r="Z1460">
        <v>0</v>
      </c>
      <c r="AA1460">
        <v>10</v>
      </c>
    </row>
    <row r="1461" spans="1:27" ht="14.25" x14ac:dyDescent="0.2">
      <c r="A1461" s="12">
        <v>30428</v>
      </c>
      <c r="B1461" t="s">
        <v>178</v>
      </c>
      <c r="C1461" t="s">
        <v>121</v>
      </c>
      <c r="D1461" t="s">
        <v>121</v>
      </c>
      <c r="E1461" t="s">
        <v>121</v>
      </c>
      <c r="F1461" s="4" t="s">
        <v>2244</v>
      </c>
      <c r="H1461">
        <v>2</v>
      </c>
      <c r="I1461" s="1">
        <v>0</v>
      </c>
      <c r="J1461">
        <v>0</v>
      </c>
      <c r="K1461">
        <v>0</v>
      </c>
      <c r="L1461" s="20">
        <v>22040</v>
      </c>
      <c r="M1461">
        <v>1</v>
      </c>
      <c r="N1461">
        <v>0</v>
      </c>
      <c r="O1461">
        <v>0</v>
      </c>
      <c r="P1461">
        <v>0</v>
      </c>
      <c r="Q1461" s="22">
        <v>66120</v>
      </c>
      <c r="R1461">
        <v>3</v>
      </c>
      <c r="S1461" s="1">
        <v>0</v>
      </c>
      <c r="T1461">
        <v>0</v>
      </c>
      <c r="U1461">
        <v>0</v>
      </c>
      <c r="V1461" s="21">
        <v>33060</v>
      </c>
      <c r="W1461">
        <v>21</v>
      </c>
      <c r="X1461">
        <v>0</v>
      </c>
      <c r="Y1461">
        <v>0</v>
      </c>
      <c r="Z1461">
        <v>0</v>
      </c>
      <c r="AA1461">
        <v>1</v>
      </c>
    </row>
    <row r="1462" spans="1:27" ht="14.25" x14ac:dyDescent="0.2">
      <c r="A1462" s="12">
        <v>30429</v>
      </c>
      <c r="B1462" t="s">
        <v>130</v>
      </c>
      <c r="C1462" t="s">
        <v>121</v>
      </c>
      <c r="D1462" t="s">
        <v>121</v>
      </c>
      <c r="E1462" t="s">
        <v>121</v>
      </c>
      <c r="F1462" s="4" t="s">
        <v>2246</v>
      </c>
      <c r="H1462">
        <v>2</v>
      </c>
      <c r="I1462" s="1">
        <v>0</v>
      </c>
      <c r="J1462">
        <v>0</v>
      </c>
      <c r="K1462">
        <v>0</v>
      </c>
      <c r="L1462" s="20">
        <v>22040</v>
      </c>
      <c r="M1462">
        <v>1</v>
      </c>
      <c r="N1462">
        <v>0</v>
      </c>
      <c r="O1462">
        <v>0</v>
      </c>
      <c r="P1462">
        <v>0</v>
      </c>
      <c r="Q1462" s="22">
        <v>66120</v>
      </c>
      <c r="R1462">
        <v>3</v>
      </c>
      <c r="S1462" s="1">
        <v>0</v>
      </c>
      <c r="T1462">
        <v>0</v>
      </c>
      <c r="U1462">
        <v>0</v>
      </c>
      <c r="V1462" s="21">
        <v>33060</v>
      </c>
      <c r="W1462">
        <v>9</v>
      </c>
      <c r="X1462">
        <v>0</v>
      </c>
      <c r="Y1462">
        <v>0</v>
      </c>
      <c r="Z1462">
        <v>0</v>
      </c>
      <c r="AA1462">
        <v>10</v>
      </c>
    </row>
    <row r="1463" spans="1:27" ht="14.25" x14ac:dyDescent="0.2">
      <c r="A1463" s="12">
        <v>30430</v>
      </c>
      <c r="B1463" t="s">
        <v>123</v>
      </c>
      <c r="C1463" t="s">
        <v>121</v>
      </c>
      <c r="D1463" t="s">
        <v>121</v>
      </c>
      <c r="E1463" t="s">
        <v>121</v>
      </c>
      <c r="F1463" s="4" t="s">
        <v>2246</v>
      </c>
      <c r="H1463">
        <v>2</v>
      </c>
      <c r="I1463" s="1">
        <v>0</v>
      </c>
      <c r="J1463">
        <v>0</v>
      </c>
      <c r="K1463">
        <v>0</v>
      </c>
      <c r="L1463" s="20">
        <v>22040</v>
      </c>
      <c r="M1463">
        <v>1</v>
      </c>
      <c r="N1463">
        <v>0</v>
      </c>
      <c r="O1463">
        <v>0</v>
      </c>
      <c r="P1463">
        <v>0</v>
      </c>
      <c r="Q1463" s="22">
        <v>66120</v>
      </c>
      <c r="R1463">
        <v>3</v>
      </c>
      <c r="S1463" s="1">
        <v>0</v>
      </c>
      <c r="T1463">
        <v>0</v>
      </c>
      <c r="U1463">
        <v>0</v>
      </c>
      <c r="V1463" s="21">
        <v>33060</v>
      </c>
      <c r="W1463">
        <v>12</v>
      </c>
      <c r="X1463">
        <v>0</v>
      </c>
      <c r="Y1463">
        <v>0</v>
      </c>
      <c r="Z1463">
        <v>0</v>
      </c>
      <c r="AA1463">
        <v>10</v>
      </c>
    </row>
    <row r="1464" spans="1:27" ht="14.25" x14ac:dyDescent="0.2">
      <c r="A1464" s="12">
        <v>30431</v>
      </c>
      <c r="B1464" t="s">
        <v>126</v>
      </c>
      <c r="C1464" t="s">
        <v>121</v>
      </c>
      <c r="D1464" t="s">
        <v>121</v>
      </c>
      <c r="E1464" t="s">
        <v>121</v>
      </c>
      <c r="F1464" s="4" t="s">
        <v>2248</v>
      </c>
      <c r="H1464">
        <v>2</v>
      </c>
      <c r="I1464" s="1">
        <v>0</v>
      </c>
      <c r="J1464">
        <v>0</v>
      </c>
      <c r="K1464">
        <v>0</v>
      </c>
      <c r="L1464" s="20">
        <v>22080</v>
      </c>
      <c r="M1464">
        <v>1</v>
      </c>
      <c r="N1464">
        <v>0</v>
      </c>
      <c r="O1464">
        <v>0</v>
      </c>
      <c r="P1464">
        <v>0</v>
      </c>
      <c r="Q1464" s="22">
        <v>66120</v>
      </c>
      <c r="R1464">
        <v>3</v>
      </c>
      <c r="S1464" s="1">
        <v>0</v>
      </c>
      <c r="T1464">
        <v>0</v>
      </c>
      <c r="U1464">
        <v>0</v>
      </c>
      <c r="V1464" s="21">
        <v>33060</v>
      </c>
      <c r="W1464">
        <v>23</v>
      </c>
      <c r="X1464">
        <v>0</v>
      </c>
      <c r="Y1464">
        <v>0</v>
      </c>
      <c r="Z1464">
        <v>0</v>
      </c>
      <c r="AA1464">
        <v>1</v>
      </c>
    </row>
    <row r="1465" spans="1:27" ht="14.25" x14ac:dyDescent="0.2">
      <c r="A1465" s="12">
        <v>30432</v>
      </c>
      <c r="B1465" t="s">
        <v>131</v>
      </c>
      <c r="C1465" t="s">
        <v>125</v>
      </c>
      <c r="D1465" t="s">
        <v>121</v>
      </c>
      <c r="E1465" t="s">
        <v>136</v>
      </c>
      <c r="F1465" s="4" t="s">
        <v>2250</v>
      </c>
      <c r="H1465">
        <v>2</v>
      </c>
      <c r="I1465" s="1">
        <v>0</v>
      </c>
      <c r="J1465">
        <v>0</v>
      </c>
      <c r="K1465">
        <v>0</v>
      </c>
      <c r="L1465" s="20">
        <v>22080</v>
      </c>
      <c r="M1465">
        <v>1</v>
      </c>
      <c r="N1465">
        <v>0</v>
      </c>
      <c r="O1465">
        <v>0</v>
      </c>
      <c r="P1465">
        <v>0</v>
      </c>
      <c r="Q1465" s="22">
        <v>66120</v>
      </c>
      <c r="R1465">
        <v>3</v>
      </c>
      <c r="S1465" s="1">
        <v>0</v>
      </c>
      <c r="T1465">
        <v>0</v>
      </c>
      <c r="U1465">
        <v>0</v>
      </c>
      <c r="V1465" s="21">
        <v>33060</v>
      </c>
      <c r="W1465">
        <v>6</v>
      </c>
      <c r="X1465">
        <v>1</v>
      </c>
      <c r="Y1465">
        <v>0</v>
      </c>
      <c r="Z1465">
        <v>3</v>
      </c>
      <c r="AA1465">
        <v>10</v>
      </c>
    </row>
    <row r="1466" spans="1:27" ht="14.25" x14ac:dyDescent="0.2">
      <c r="A1466" s="12">
        <v>30433</v>
      </c>
      <c r="B1466" t="s">
        <v>180</v>
      </c>
      <c r="C1466" t="s">
        <v>121</v>
      </c>
      <c r="D1466" t="s">
        <v>121</v>
      </c>
      <c r="E1466" t="s">
        <v>121</v>
      </c>
      <c r="F1466" s="4" t="s">
        <v>2252</v>
      </c>
      <c r="H1466">
        <v>2</v>
      </c>
      <c r="I1466" s="1">
        <v>0</v>
      </c>
      <c r="J1466">
        <v>0</v>
      </c>
      <c r="K1466">
        <v>0</v>
      </c>
      <c r="L1466" s="20">
        <v>22080</v>
      </c>
      <c r="M1466">
        <v>1</v>
      </c>
      <c r="N1466">
        <v>0</v>
      </c>
      <c r="O1466">
        <v>0</v>
      </c>
      <c r="P1466">
        <v>0</v>
      </c>
      <c r="Q1466" s="22">
        <v>66240</v>
      </c>
      <c r="R1466">
        <v>3</v>
      </c>
      <c r="S1466" s="1">
        <v>0</v>
      </c>
      <c r="T1466">
        <v>0</v>
      </c>
      <c r="U1466">
        <v>0</v>
      </c>
      <c r="V1466" s="21">
        <v>33120</v>
      </c>
      <c r="W1466">
        <v>15</v>
      </c>
      <c r="X1466">
        <v>0</v>
      </c>
      <c r="Y1466">
        <v>0</v>
      </c>
      <c r="Z1466">
        <v>0</v>
      </c>
      <c r="AA1466">
        <v>1</v>
      </c>
    </row>
    <row r="1467" spans="1:27" ht="14.25" x14ac:dyDescent="0.2">
      <c r="A1467" s="12">
        <v>30434</v>
      </c>
      <c r="B1467" t="s">
        <v>178</v>
      </c>
      <c r="C1467" t="s">
        <v>121</v>
      </c>
      <c r="D1467" t="s">
        <v>121</v>
      </c>
      <c r="E1467" t="s">
        <v>121</v>
      </c>
      <c r="F1467" s="4" t="s">
        <v>2252</v>
      </c>
      <c r="H1467">
        <v>2</v>
      </c>
      <c r="I1467" s="1">
        <v>0</v>
      </c>
      <c r="J1467">
        <v>0</v>
      </c>
      <c r="K1467">
        <v>0</v>
      </c>
      <c r="L1467" s="20">
        <v>22080</v>
      </c>
      <c r="M1467">
        <v>1</v>
      </c>
      <c r="N1467">
        <v>0</v>
      </c>
      <c r="O1467">
        <v>0</v>
      </c>
      <c r="P1467">
        <v>0</v>
      </c>
      <c r="Q1467" s="22">
        <v>66240</v>
      </c>
      <c r="R1467">
        <v>3</v>
      </c>
      <c r="S1467" s="1">
        <v>0</v>
      </c>
      <c r="T1467">
        <v>0</v>
      </c>
      <c r="U1467">
        <v>0</v>
      </c>
      <c r="V1467" s="21">
        <v>33120</v>
      </c>
      <c r="W1467">
        <v>21</v>
      </c>
      <c r="X1467">
        <v>0</v>
      </c>
      <c r="Y1467">
        <v>0</v>
      </c>
      <c r="Z1467">
        <v>0</v>
      </c>
      <c r="AA1467">
        <v>1</v>
      </c>
    </row>
    <row r="1468" spans="1:27" ht="14.25" x14ac:dyDescent="0.2">
      <c r="A1468" s="12">
        <v>30435</v>
      </c>
      <c r="B1468" t="s">
        <v>130</v>
      </c>
      <c r="C1468" t="s">
        <v>121</v>
      </c>
      <c r="D1468" t="s">
        <v>121</v>
      </c>
      <c r="E1468" t="s">
        <v>121</v>
      </c>
      <c r="F1468" s="4" t="s">
        <v>2254</v>
      </c>
      <c r="H1468">
        <v>2</v>
      </c>
      <c r="I1468" s="1">
        <v>0</v>
      </c>
      <c r="J1468">
        <v>0</v>
      </c>
      <c r="K1468">
        <v>0</v>
      </c>
      <c r="L1468" s="20">
        <v>22080</v>
      </c>
      <c r="M1468">
        <v>1</v>
      </c>
      <c r="N1468">
        <v>0</v>
      </c>
      <c r="O1468">
        <v>0</v>
      </c>
      <c r="P1468">
        <v>0</v>
      </c>
      <c r="Q1468" s="22">
        <v>66240</v>
      </c>
      <c r="R1468">
        <v>3</v>
      </c>
      <c r="S1468" s="1">
        <v>0</v>
      </c>
      <c r="T1468">
        <v>0</v>
      </c>
      <c r="U1468">
        <v>0</v>
      </c>
      <c r="V1468" s="21">
        <v>33120</v>
      </c>
      <c r="W1468">
        <v>9</v>
      </c>
      <c r="X1468">
        <v>0</v>
      </c>
      <c r="Y1468">
        <v>0</v>
      </c>
      <c r="Z1468">
        <v>0</v>
      </c>
      <c r="AA1468">
        <v>10</v>
      </c>
    </row>
    <row r="1469" spans="1:27" ht="14.25" x14ac:dyDescent="0.2">
      <c r="A1469" s="12">
        <v>30436</v>
      </c>
      <c r="B1469" t="s">
        <v>181</v>
      </c>
      <c r="C1469" t="s">
        <v>121</v>
      </c>
      <c r="D1469" t="s">
        <v>121</v>
      </c>
      <c r="E1469" t="s">
        <v>121</v>
      </c>
      <c r="F1469" s="4" t="s">
        <v>2256</v>
      </c>
      <c r="H1469">
        <v>2</v>
      </c>
      <c r="I1469" s="1">
        <v>0</v>
      </c>
      <c r="J1469">
        <v>0</v>
      </c>
      <c r="K1469">
        <v>0</v>
      </c>
      <c r="L1469" s="20">
        <v>22120</v>
      </c>
      <c r="M1469">
        <v>1</v>
      </c>
      <c r="N1469">
        <v>0</v>
      </c>
      <c r="O1469">
        <v>0</v>
      </c>
      <c r="P1469">
        <v>0</v>
      </c>
      <c r="Q1469" s="22">
        <v>66240</v>
      </c>
      <c r="R1469">
        <v>3</v>
      </c>
      <c r="S1469" s="1">
        <v>0</v>
      </c>
      <c r="T1469">
        <v>0</v>
      </c>
      <c r="U1469">
        <v>0</v>
      </c>
      <c r="V1469" s="21">
        <v>33120</v>
      </c>
      <c r="W1469">
        <v>30</v>
      </c>
      <c r="X1469">
        <v>0</v>
      </c>
      <c r="Y1469">
        <v>0</v>
      </c>
      <c r="Z1469">
        <v>0</v>
      </c>
      <c r="AA1469">
        <v>10</v>
      </c>
    </row>
    <row r="1470" spans="1:27" ht="14.25" x14ac:dyDescent="0.2">
      <c r="A1470" s="12">
        <v>30437</v>
      </c>
      <c r="B1470" t="s">
        <v>122</v>
      </c>
      <c r="C1470" t="s">
        <v>121</v>
      </c>
      <c r="D1470" t="s">
        <v>121</v>
      </c>
      <c r="E1470" t="s">
        <v>121</v>
      </c>
      <c r="F1470" s="4" t="s">
        <v>2256</v>
      </c>
      <c r="H1470">
        <v>2</v>
      </c>
      <c r="I1470" s="1">
        <v>0</v>
      </c>
      <c r="J1470">
        <v>0</v>
      </c>
      <c r="K1470">
        <v>0</v>
      </c>
      <c r="L1470" s="20">
        <v>22120</v>
      </c>
      <c r="M1470">
        <v>1</v>
      </c>
      <c r="N1470">
        <v>0</v>
      </c>
      <c r="O1470">
        <v>0</v>
      </c>
      <c r="P1470">
        <v>0</v>
      </c>
      <c r="Q1470" s="22">
        <v>66240</v>
      </c>
      <c r="R1470">
        <v>3</v>
      </c>
      <c r="S1470" s="1">
        <v>0</v>
      </c>
      <c r="T1470">
        <v>0</v>
      </c>
      <c r="U1470">
        <v>0</v>
      </c>
      <c r="V1470" s="21">
        <v>33120</v>
      </c>
      <c r="W1470">
        <v>4</v>
      </c>
      <c r="X1470">
        <v>0</v>
      </c>
      <c r="Y1470">
        <v>0</v>
      </c>
      <c r="Z1470">
        <v>0</v>
      </c>
      <c r="AA1470">
        <v>10</v>
      </c>
    </row>
    <row r="1471" spans="1:27" ht="14.25" x14ac:dyDescent="0.2">
      <c r="A1471" s="12">
        <v>30438</v>
      </c>
      <c r="B1471" t="s">
        <v>178</v>
      </c>
      <c r="C1471" t="s">
        <v>121</v>
      </c>
      <c r="D1471" t="s">
        <v>121</v>
      </c>
      <c r="E1471" t="s">
        <v>121</v>
      </c>
      <c r="F1471" s="4" t="s">
        <v>2258</v>
      </c>
      <c r="H1471">
        <v>2</v>
      </c>
      <c r="I1471" s="1">
        <v>0</v>
      </c>
      <c r="J1471">
        <v>0</v>
      </c>
      <c r="K1471">
        <v>0</v>
      </c>
      <c r="L1471" s="20">
        <v>22120</v>
      </c>
      <c r="M1471">
        <v>1</v>
      </c>
      <c r="N1471">
        <v>0</v>
      </c>
      <c r="O1471">
        <v>0</v>
      </c>
      <c r="P1471">
        <v>0</v>
      </c>
      <c r="Q1471" s="22">
        <v>66360</v>
      </c>
      <c r="R1471">
        <v>3</v>
      </c>
      <c r="S1471" s="1">
        <v>0</v>
      </c>
      <c r="T1471">
        <v>0</v>
      </c>
      <c r="U1471">
        <v>0</v>
      </c>
      <c r="V1471" s="21">
        <v>33180</v>
      </c>
      <c r="W1471">
        <v>21</v>
      </c>
      <c r="X1471">
        <v>0</v>
      </c>
      <c r="Y1471">
        <v>0</v>
      </c>
      <c r="Z1471">
        <v>0</v>
      </c>
      <c r="AA1471">
        <v>1</v>
      </c>
    </row>
    <row r="1472" spans="1:27" ht="14.25" x14ac:dyDescent="0.2">
      <c r="A1472" s="12">
        <v>30439</v>
      </c>
      <c r="B1472" t="s">
        <v>130</v>
      </c>
      <c r="C1472" t="s">
        <v>121</v>
      </c>
      <c r="D1472" t="s">
        <v>121</v>
      </c>
      <c r="E1472" t="s">
        <v>121</v>
      </c>
      <c r="F1472" s="4" t="s">
        <v>2260</v>
      </c>
      <c r="H1472">
        <v>2</v>
      </c>
      <c r="I1472" s="1">
        <v>0</v>
      </c>
      <c r="J1472">
        <v>0</v>
      </c>
      <c r="K1472">
        <v>0</v>
      </c>
      <c r="L1472" s="20">
        <v>22120</v>
      </c>
      <c r="M1472">
        <v>1</v>
      </c>
      <c r="N1472">
        <v>0</v>
      </c>
      <c r="O1472">
        <v>0</v>
      </c>
      <c r="P1472">
        <v>0</v>
      </c>
      <c r="Q1472" s="22">
        <v>66360</v>
      </c>
      <c r="R1472">
        <v>3</v>
      </c>
      <c r="S1472" s="1">
        <v>0</v>
      </c>
      <c r="T1472">
        <v>0</v>
      </c>
      <c r="U1472">
        <v>0</v>
      </c>
      <c r="V1472" s="21">
        <v>33180</v>
      </c>
      <c r="W1472">
        <v>9</v>
      </c>
      <c r="X1472">
        <v>0</v>
      </c>
      <c r="Y1472">
        <v>0</v>
      </c>
      <c r="Z1472">
        <v>0</v>
      </c>
      <c r="AA1472">
        <v>10</v>
      </c>
    </row>
    <row r="1473" spans="1:27" ht="14.25" x14ac:dyDescent="0.2">
      <c r="A1473" s="12">
        <v>30440</v>
      </c>
      <c r="B1473" t="s">
        <v>123</v>
      </c>
      <c r="C1473" t="s">
        <v>121</v>
      </c>
      <c r="D1473" t="s">
        <v>121</v>
      </c>
      <c r="E1473" t="s">
        <v>121</v>
      </c>
      <c r="F1473" s="4" t="s">
        <v>2260</v>
      </c>
      <c r="H1473">
        <v>2</v>
      </c>
      <c r="I1473" s="1">
        <v>0</v>
      </c>
      <c r="J1473">
        <v>0</v>
      </c>
      <c r="K1473">
        <v>0</v>
      </c>
      <c r="L1473" s="20">
        <v>22120</v>
      </c>
      <c r="M1473">
        <v>1</v>
      </c>
      <c r="N1473">
        <v>0</v>
      </c>
      <c r="O1473">
        <v>0</v>
      </c>
      <c r="P1473">
        <v>0</v>
      </c>
      <c r="Q1473" s="22">
        <v>66360</v>
      </c>
      <c r="R1473">
        <v>3</v>
      </c>
      <c r="S1473" s="1">
        <v>0</v>
      </c>
      <c r="T1473">
        <v>0</v>
      </c>
      <c r="U1473">
        <v>0</v>
      </c>
      <c r="V1473" s="21">
        <v>33180</v>
      </c>
      <c r="W1473">
        <v>12</v>
      </c>
      <c r="X1473">
        <v>0</v>
      </c>
      <c r="Y1473">
        <v>0</v>
      </c>
      <c r="Z1473">
        <v>0</v>
      </c>
      <c r="AA1473">
        <v>10</v>
      </c>
    </row>
    <row r="1474" spans="1:27" ht="14.25" x14ac:dyDescent="0.2">
      <c r="A1474" s="12">
        <v>30441</v>
      </c>
      <c r="B1474" t="s">
        <v>126</v>
      </c>
      <c r="C1474" t="s">
        <v>121</v>
      </c>
      <c r="D1474" t="s">
        <v>121</v>
      </c>
      <c r="E1474" t="s">
        <v>121</v>
      </c>
      <c r="F1474" s="4" t="s">
        <v>2262</v>
      </c>
      <c r="H1474">
        <v>2</v>
      </c>
      <c r="I1474" s="1">
        <v>0</v>
      </c>
      <c r="J1474">
        <v>0</v>
      </c>
      <c r="K1474">
        <v>0</v>
      </c>
      <c r="L1474" s="20">
        <v>22160</v>
      </c>
      <c r="M1474">
        <v>1</v>
      </c>
      <c r="N1474">
        <v>0</v>
      </c>
      <c r="O1474">
        <v>0</v>
      </c>
      <c r="P1474">
        <v>0</v>
      </c>
      <c r="Q1474" s="22">
        <v>66360</v>
      </c>
      <c r="R1474">
        <v>3</v>
      </c>
      <c r="S1474" s="1">
        <v>0</v>
      </c>
      <c r="T1474">
        <v>0</v>
      </c>
      <c r="U1474">
        <v>0</v>
      </c>
      <c r="V1474" s="21">
        <v>33180</v>
      </c>
      <c r="W1474">
        <v>23</v>
      </c>
      <c r="X1474">
        <v>0</v>
      </c>
      <c r="Y1474">
        <v>0</v>
      </c>
      <c r="Z1474">
        <v>0</v>
      </c>
      <c r="AA1474">
        <v>1</v>
      </c>
    </row>
    <row r="1475" spans="1:27" ht="14.25" x14ac:dyDescent="0.2">
      <c r="A1475" s="12">
        <v>30442</v>
      </c>
      <c r="B1475" t="s">
        <v>131</v>
      </c>
      <c r="C1475" t="s">
        <v>125</v>
      </c>
      <c r="D1475" t="s">
        <v>121</v>
      </c>
      <c r="E1475" t="s">
        <v>136</v>
      </c>
      <c r="F1475" s="4" t="s">
        <v>2264</v>
      </c>
      <c r="H1475">
        <v>2</v>
      </c>
      <c r="I1475" s="1">
        <v>0</v>
      </c>
      <c r="J1475">
        <v>0</v>
      </c>
      <c r="K1475">
        <v>0</v>
      </c>
      <c r="L1475" s="20">
        <v>22160</v>
      </c>
      <c r="M1475">
        <v>1</v>
      </c>
      <c r="N1475">
        <v>0</v>
      </c>
      <c r="O1475">
        <v>0</v>
      </c>
      <c r="P1475">
        <v>0</v>
      </c>
      <c r="Q1475" s="22">
        <v>66360</v>
      </c>
      <c r="R1475">
        <v>3</v>
      </c>
      <c r="S1475" s="1">
        <v>0</v>
      </c>
      <c r="T1475">
        <v>0</v>
      </c>
      <c r="U1475">
        <v>0</v>
      </c>
      <c r="V1475" s="21">
        <v>33180</v>
      </c>
      <c r="W1475">
        <v>6</v>
      </c>
      <c r="X1475">
        <v>1</v>
      </c>
      <c r="Y1475">
        <v>0</v>
      </c>
      <c r="Z1475">
        <v>3</v>
      </c>
      <c r="AA1475">
        <v>10</v>
      </c>
    </row>
    <row r="1476" spans="1:27" ht="14.25" x14ac:dyDescent="0.2">
      <c r="A1476" s="12">
        <v>30443</v>
      </c>
      <c r="B1476" t="s">
        <v>180</v>
      </c>
      <c r="C1476" t="s">
        <v>121</v>
      </c>
      <c r="D1476" t="s">
        <v>121</v>
      </c>
      <c r="E1476" t="s">
        <v>121</v>
      </c>
      <c r="F1476" s="4" t="s">
        <v>2266</v>
      </c>
      <c r="H1476">
        <v>2</v>
      </c>
      <c r="I1476" s="1">
        <v>0</v>
      </c>
      <c r="J1476">
        <v>0</v>
      </c>
      <c r="K1476">
        <v>0</v>
      </c>
      <c r="L1476" s="20">
        <v>22160</v>
      </c>
      <c r="M1476">
        <v>1</v>
      </c>
      <c r="N1476">
        <v>0</v>
      </c>
      <c r="O1476">
        <v>0</v>
      </c>
      <c r="P1476">
        <v>0</v>
      </c>
      <c r="Q1476" s="22">
        <v>66480</v>
      </c>
      <c r="R1476">
        <v>3</v>
      </c>
      <c r="S1476" s="1">
        <v>0</v>
      </c>
      <c r="T1476">
        <v>0</v>
      </c>
      <c r="U1476">
        <v>0</v>
      </c>
      <c r="V1476" s="21">
        <v>33240</v>
      </c>
      <c r="W1476">
        <v>15</v>
      </c>
      <c r="X1476">
        <v>0</v>
      </c>
      <c r="Y1476">
        <v>0</v>
      </c>
      <c r="Z1476">
        <v>0</v>
      </c>
      <c r="AA1476">
        <v>1</v>
      </c>
    </row>
    <row r="1477" spans="1:27" ht="14.25" x14ac:dyDescent="0.2">
      <c r="A1477" s="12">
        <v>30444</v>
      </c>
      <c r="B1477" t="s">
        <v>178</v>
      </c>
      <c r="C1477" t="s">
        <v>121</v>
      </c>
      <c r="D1477" t="s">
        <v>121</v>
      </c>
      <c r="E1477" t="s">
        <v>121</v>
      </c>
      <c r="F1477" s="4" t="s">
        <v>2266</v>
      </c>
      <c r="H1477">
        <v>2</v>
      </c>
      <c r="I1477" s="1">
        <v>0</v>
      </c>
      <c r="J1477">
        <v>0</v>
      </c>
      <c r="K1477">
        <v>0</v>
      </c>
      <c r="L1477" s="20">
        <v>22160</v>
      </c>
      <c r="M1477">
        <v>1</v>
      </c>
      <c r="N1477">
        <v>0</v>
      </c>
      <c r="O1477">
        <v>0</v>
      </c>
      <c r="P1477">
        <v>0</v>
      </c>
      <c r="Q1477" s="22">
        <v>66480</v>
      </c>
      <c r="R1477">
        <v>3</v>
      </c>
      <c r="S1477" s="1">
        <v>0</v>
      </c>
      <c r="T1477">
        <v>0</v>
      </c>
      <c r="U1477">
        <v>0</v>
      </c>
      <c r="V1477" s="21">
        <v>33240</v>
      </c>
      <c r="W1477">
        <v>21</v>
      </c>
      <c r="X1477">
        <v>0</v>
      </c>
      <c r="Y1477">
        <v>0</v>
      </c>
      <c r="Z1477">
        <v>0</v>
      </c>
      <c r="AA1477">
        <v>1</v>
      </c>
    </row>
    <row r="1478" spans="1:27" ht="14.25" x14ac:dyDescent="0.2">
      <c r="A1478" s="12">
        <v>30445</v>
      </c>
      <c r="B1478" t="s">
        <v>130</v>
      </c>
      <c r="C1478" t="s">
        <v>121</v>
      </c>
      <c r="D1478" t="s">
        <v>121</v>
      </c>
      <c r="E1478" t="s">
        <v>121</v>
      </c>
      <c r="F1478" s="4" t="s">
        <v>2268</v>
      </c>
      <c r="H1478">
        <v>2</v>
      </c>
      <c r="I1478" s="1">
        <v>0</v>
      </c>
      <c r="J1478">
        <v>0</v>
      </c>
      <c r="K1478">
        <v>0</v>
      </c>
      <c r="L1478" s="20">
        <v>22160</v>
      </c>
      <c r="M1478">
        <v>1</v>
      </c>
      <c r="N1478">
        <v>0</v>
      </c>
      <c r="O1478">
        <v>0</v>
      </c>
      <c r="P1478">
        <v>0</v>
      </c>
      <c r="Q1478" s="22">
        <v>66480</v>
      </c>
      <c r="R1478">
        <v>3</v>
      </c>
      <c r="S1478" s="1">
        <v>0</v>
      </c>
      <c r="T1478">
        <v>0</v>
      </c>
      <c r="U1478">
        <v>0</v>
      </c>
      <c r="V1478" s="21">
        <v>33240</v>
      </c>
      <c r="W1478">
        <v>9</v>
      </c>
      <c r="X1478">
        <v>0</v>
      </c>
      <c r="Y1478">
        <v>0</v>
      </c>
      <c r="Z1478">
        <v>0</v>
      </c>
      <c r="AA1478">
        <v>10</v>
      </c>
    </row>
    <row r="1479" spans="1:27" ht="14.25" x14ac:dyDescent="0.2">
      <c r="A1479" s="12">
        <v>30446</v>
      </c>
      <c r="B1479" t="s">
        <v>181</v>
      </c>
      <c r="C1479" t="s">
        <v>121</v>
      </c>
      <c r="D1479" t="s">
        <v>121</v>
      </c>
      <c r="E1479" t="s">
        <v>121</v>
      </c>
      <c r="F1479" s="4" t="s">
        <v>2270</v>
      </c>
      <c r="H1479">
        <v>2</v>
      </c>
      <c r="I1479" s="1">
        <v>0</v>
      </c>
      <c r="J1479">
        <v>0</v>
      </c>
      <c r="K1479">
        <v>0</v>
      </c>
      <c r="L1479" s="20">
        <v>22200</v>
      </c>
      <c r="M1479">
        <v>1</v>
      </c>
      <c r="N1479">
        <v>0</v>
      </c>
      <c r="O1479">
        <v>0</v>
      </c>
      <c r="P1479">
        <v>0</v>
      </c>
      <c r="Q1479" s="22">
        <v>66480</v>
      </c>
      <c r="R1479">
        <v>3</v>
      </c>
      <c r="S1479" s="1">
        <v>0</v>
      </c>
      <c r="T1479">
        <v>0</v>
      </c>
      <c r="U1479">
        <v>0</v>
      </c>
      <c r="V1479" s="21">
        <v>33240</v>
      </c>
      <c r="W1479">
        <v>30</v>
      </c>
      <c r="X1479">
        <v>0</v>
      </c>
      <c r="Y1479">
        <v>0</v>
      </c>
      <c r="Z1479">
        <v>0</v>
      </c>
      <c r="AA1479">
        <v>10</v>
      </c>
    </row>
    <row r="1480" spans="1:27" ht="14.25" x14ac:dyDescent="0.2">
      <c r="A1480" s="12">
        <v>30447</v>
      </c>
      <c r="B1480" t="s">
        <v>122</v>
      </c>
      <c r="C1480" t="s">
        <v>121</v>
      </c>
      <c r="D1480" t="s">
        <v>121</v>
      </c>
      <c r="E1480" t="s">
        <v>121</v>
      </c>
      <c r="F1480" s="4" t="s">
        <v>2270</v>
      </c>
      <c r="H1480">
        <v>2</v>
      </c>
      <c r="I1480" s="1">
        <v>0</v>
      </c>
      <c r="J1480">
        <v>0</v>
      </c>
      <c r="K1480">
        <v>0</v>
      </c>
      <c r="L1480" s="20">
        <v>22200</v>
      </c>
      <c r="M1480">
        <v>1</v>
      </c>
      <c r="N1480">
        <v>0</v>
      </c>
      <c r="O1480">
        <v>0</v>
      </c>
      <c r="P1480">
        <v>0</v>
      </c>
      <c r="Q1480" s="22">
        <v>66480</v>
      </c>
      <c r="R1480">
        <v>3</v>
      </c>
      <c r="S1480" s="1">
        <v>0</v>
      </c>
      <c r="T1480">
        <v>0</v>
      </c>
      <c r="U1480">
        <v>0</v>
      </c>
      <c r="V1480" s="21">
        <v>33240</v>
      </c>
      <c r="W1480">
        <v>4</v>
      </c>
      <c r="X1480">
        <v>0</v>
      </c>
      <c r="Y1480">
        <v>0</v>
      </c>
      <c r="Z1480">
        <v>0</v>
      </c>
      <c r="AA1480">
        <v>10</v>
      </c>
    </row>
    <row r="1481" spans="1:27" ht="14.25" x14ac:dyDescent="0.2">
      <c r="A1481" s="12">
        <v>30448</v>
      </c>
      <c r="B1481" t="s">
        <v>178</v>
      </c>
      <c r="C1481" t="s">
        <v>121</v>
      </c>
      <c r="D1481" t="s">
        <v>121</v>
      </c>
      <c r="E1481" t="s">
        <v>121</v>
      </c>
      <c r="F1481" s="4" t="s">
        <v>2272</v>
      </c>
      <c r="H1481">
        <v>2</v>
      </c>
      <c r="I1481" s="1">
        <v>0</v>
      </c>
      <c r="J1481">
        <v>0</v>
      </c>
      <c r="K1481">
        <v>0</v>
      </c>
      <c r="L1481" s="20">
        <v>22200</v>
      </c>
      <c r="M1481">
        <v>1</v>
      </c>
      <c r="N1481">
        <v>0</v>
      </c>
      <c r="O1481">
        <v>0</v>
      </c>
      <c r="P1481">
        <v>0</v>
      </c>
      <c r="Q1481" s="22">
        <v>66600</v>
      </c>
      <c r="R1481">
        <v>3</v>
      </c>
      <c r="S1481" s="1">
        <v>0</v>
      </c>
      <c r="T1481">
        <v>0</v>
      </c>
      <c r="U1481">
        <v>0</v>
      </c>
      <c r="V1481" s="21">
        <v>33300</v>
      </c>
      <c r="W1481">
        <v>21</v>
      </c>
      <c r="X1481">
        <v>0</v>
      </c>
      <c r="Y1481">
        <v>0</v>
      </c>
      <c r="Z1481">
        <v>0</v>
      </c>
      <c r="AA1481">
        <v>1</v>
      </c>
    </row>
    <row r="1482" spans="1:27" ht="14.25" x14ac:dyDescent="0.2">
      <c r="A1482" s="12">
        <v>30449</v>
      </c>
      <c r="B1482" t="s">
        <v>130</v>
      </c>
      <c r="C1482" t="s">
        <v>121</v>
      </c>
      <c r="D1482" t="s">
        <v>121</v>
      </c>
      <c r="E1482" t="s">
        <v>121</v>
      </c>
      <c r="F1482" s="4" t="s">
        <v>2274</v>
      </c>
      <c r="H1482">
        <v>2</v>
      </c>
      <c r="I1482" s="1">
        <v>0</v>
      </c>
      <c r="J1482">
        <v>0</v>
      </c>
      <c r="K1482">
        <v>0</v>
      </c>
      <c r="L1482" s="20">
        <v>22200</v>
      </c>
      <c r="M1482">
        <v>1</v>
      </c>
      <c r="N1482">
        <v>0</v>
      </c>
      <c r="O1482">
        <v>0</v>
      </c>
      <c r="P1482">
        <v>0</v>
      </c>
      <c r="Q1482" s="22">
        <v>66600</v>
      </c>
      <c r="R1482">
        <v>3</v>
      </c>
      <c r="S1482" s="1">
        <v>0</v>
      </c>
      <c r="T1482">
        <v>0</v>
      </c>
      <c r="U1482">
        <v>0</v>
      </c>
      <c r="V1482" s="21">
        <v>33300</v>
      </c>
      <c r="W1482">
        <v>9</v>
      </c>
      <c r="X1482">
        <v>0</v>
      </c>
      <c r="Y1482">
        <v>0</v>
      </c>
      <c r="Z1482">
        <v>0</v>
      </c>
      <c r="AA1482">
        <v>10</v>
      </c>
    </row>
    <row r="1483" spans="1:27" ht="14.25" x14ac:dyDescent="0.2">
      <c r="A1483" s="12">
        <v>30450</v>
      </c>
      <c r="B1483" t="s">
        <v>123</v>
      </c>
      <c r="C1483" t="s">
        <v>121</v>
      </c>
      <c r="D1483" t="s">
        <v>121</v>
      </c>
      <c r="E1483" t="s">
        <v>121</v>
      </c>
      <c r="F1483" s="4" t="s">
        <v>2274</v>
      </c>
      <c r="H1483">
        <v>2</v>
      </c>
      <c r="I1483" s="1">
        <v>0</v>
      </c>
      <c r="J1483">
        <v>0</v>
      </c>
      <c r="K1483">
        <v>0</v>
      </c>
      <c r="L1483" s="20">
        <v>22200</v>
      </c>
      <c r="M1483">
        <v>1</v>
      </c>
      <c r="N1483">
        <v>0</v>
      </c>
      <c r="O1483">
        <v>0</v>
      </c>
      <c r="P1483">
        <v>0</v>
      </c>
      <c r="Q1483" s="22">
        <v>66600</v>
      </c>
      <c r="R1483">
        <v>3</v>
      </c>
      <c r="S1483" s="1">
        <v>0</v>
      </c>
      <c r="T1483">
        <v>0</v>
      </c>
      <c r="U1483">
        <v>0</v>
      </c>
      <c r="V1483" s="21">
        <v>33300</v>
      </c>
      <c r="W1483">
        <v>12</v>
      </c>
      <c r="X1483">
        <v>0</v>
      </c>
      <c r="Y1483">
        <v>0</v>
      </c>
      <c r="Z1483">
        <v>0</v>
      </c>
      <c r="AA1483">
        <v>10</v>
      </c>
    </row>
    <row r="1484" spans="1:27" ht="14.25" x14ac:dyDescent="0.2">
      <c r="A1484" s="12">
        <v>30501</v>
      </c>
      <c r="B1484" t="s">
        <v>126</v>
      </c>
      <c r="C1484" t="s">
        <v>121</v>
      </c>
      <c r="D1484" t="s">
        <v>121</v>
      </c>
      <c r="E1484" t="s">
        <v>121</v>
      </c>
      <c r="F1484" s="4" t="s">
        <v>2276</v>
      </c>
      <c r="H1484">
        <v>2</v>
      </c>
      <c r="I1484" s="1">
        <v>0</v>
      </c>
      <c r="J1484">
        <v>0</v>
      </c>
      <c r="K1484">
        <v>0</v>
      </c>
      <c r="L1484" s="20">
        <v>22240</v>
      </c>
      <c r="M1484">
        <v>1</v>
      </c>
      <c r="N1484">
        <v>0</v>
      </c>
      <c r="O1484">
        <v>0</v>
      </c>
      <c r="P1484">
        <v>0</v>
      </c>
      <c r="Q1484" s="22">
        <v>66600</v>
      </c>
      <c r="R1484">
        <v>3</v>
      </c>
      <c r="S1484" s="1">
        <v>0</v>
      </c>
      <c r="T1484">
        <v>0</v>
      </c>
      <c r="U1484">
        <v>0</v>
      </c>
      <c r="V1484" s="21">
        <v>33300</v>
      </c>
      <c r="W1484">
        <v>23</v>
      </c>
      <c r="X1484">
        <v>0</v>
      </c>
      <c r="Y1484">
        <v>0</v>
      </c>
      <c r="Z1484">
        <v>0</v>
      </c>
      <c r="AA1484">
        <v>1</v>
      </c>
    </row>
    <row r="1485" spans="1:27" ht="14.25" x14ac:dyDescent="0.2">
      <c r="A1485" s="12">
        <v>30502</v>
      </c>
      <c r="B1485" t="s">
        <v>131</v>
      </c>
      <c r="C1485" t="s">
        <v>125</v>
      </c>
      <c r="D1485" t="s">
        <v>121</v>
      </c>
      <c r="E1485" t="s">
        <v>136</v>
      </c>
      <c r="F1485" s="4" t="s">
        <v>2278</v>
      </c>
      <c r="H1485">
        <v>2</v>
      </c>
      <c r="I1485" s="1">
        <v>0</v>
      </c>
      <c r="J1485">
        <v>0</v>
      </c>
      <c r="K1485">
        <v>0</v>
      </c>
      <c r="L1485" s="20">
        <v>22240</v>
      </c>
      <c r="M1485">
        <v>1</v>
      </c>
      <c r="N1485">
        <v>0</v>
      </c>
      <c r="O1485">
        <v>0</v>
      </c>
      <c r="P1485">
        <v>0</v>
      </c>
      <c r="Q1485" s="22">
        <v>66600</v>
      </c>
      <c r="R1485">
        <v>3</v>
      </c>
      <c r="S1485" s="1">
        <v>0</v>
      </c>
      <c r="T1485">
        <v>0</v>
      </c>
      <c r="U1485">
        <v>0</v>
      </c>
      <c r="V1485" s="21">
        <v>33300</v>
      </c>
      <c r="W1485">
        <v>6</v>
      </c>
      <c r="X1485">
        <v>1</v>
      </c>
      <c r="Y1485">
        <v>0</v>
      </c>
      <c r="Z1485">
        <v>3</v>
      </c>
      <c r="AA1485">
        <v>10</v>
      </c>
    </row>
    <row r="1486" spans="1:27" ht="14.25" x14ac:dyDescent="0.2">
      <c r="A1486" s="12">
        <v>30503</v>
      </c>
      <c r="B1486" t="s">
        <v>180</v>
      </c>
      <c r="C1486" t="s">
        <v>121</v>
      </c>
      <c r="D1486" t="s">
        <v>121</v>
      </c>
      <c r="E1486" t="s">
        <v>121</v>
      </c>
      <c r="F1486" s="4" t="s">
        <v>2280</v>
      </c>
      <c r="H1486">
        <v>2</v>
      </c>
      <c r="I1486" s="1">
        <v>0</v>
      </c>
      <c r="J1486">
        <v>0</v>
      </c>
      <c r="K1486">
        <v>0</v>
      </c>
      <c r="L1486" s="20">
        <v>22240</v>
      </c>
      <c r="M1486">
        <v>1</v>
      </c>
      <c r="N1486">
        <v>0</v>
      </c>
      <c r="O1486">
        <v>0</v>
      </c>
      <c r="P1486">
        <v>0</v>
      </c>
      <c r="Q1486" s="22">
        <v>66720</v>
      </c>
      <c r="R1486">
        <v>3</v>
      </c>
      <c r="S1486" s="1">
        <v>0</v>
      </c>
      <c r="T1486">
        <v>0</v>
      </c>
      <c r="U1486">
        <v>0</v>
      </c>
      <c r="V1486" s="21">
        <v>33360</v>
      </c>
      <c r="W1486">
        <v>15</v>
      </c>
      <c r="X1486">
        <v>0</v>
      </c>
      <c r="Y1486">
        <v>0</v>
      </c>
      <c r="Z1486">
        <v>0</v>
      </c>
      <c r="AA1486">
        <v>1</v>
      </c>
    </row>
    <row r="1487" spans="1:27" ht="14.25" x14ac:dyDescent="0.2">
      <c r="A1487" s="12">
        <v>30504</v>
      </c>
      <c r="B1487" t="s">
        <v>178</v>
      </c>
      <c r="C1487" t="s">
        <v>121</v>
      </c>
      <c r="D1487" t="s">
        <v>121</v>
      </c>
      <c r="E1487" t="s">
        <v>121</v>
      </c>
      <c r="F1487" s="4" t="s">
        <v>2280</v>
      </c>
      <c r="H1487">
        <v>2</v>
      </c>
      <c r="I1487" s="1">
        <v>0</v>
      </c>
      <c r="J1487">
        <v>0</v>
      </c>
      <c r="K1487">
        <v>0</v>
      </c>
      <c r="L1487" s="20">
        <v>22240</v>
      </c>
      <c r="M1487">
        <v>1</v>
      </c>
      <c r="N1487">
        <v>0</v>
      </c>
      <c r="O1487">
        <v>0</v>
      </c>
      <c r="P1487">
        <v>0</v>
      </c>
      <c r="Q1487" s="22">
        <v>66720</v>
      </c>
      <c r="R1487">
        <v>3</v>
      </c>
      <c r="S1487" s="1">
        <v>0</v>
      </c>
      <c r="T1487">
        <v>0</v>
      </c>
      <c r="U1487">
        <v>0</v>
      </c>
      <c r="V1487" s="21">
        <v>33360</v>
      </c>
      <c r="W1487">
        <v>21</v>
      </c>
      <c r="X1487">
        <v>0</v>
      </c>
      <c r="Y1487">
        <v>0</v>
      </c>
      <c r="Z1487">
        <v>0</v>
      </c>
      <c r="AA1487">
        <v>1</v>
      </c>
    </row>
    <row r="1488" spans="1:27" ht="14.25" x14ac:dyDescent="0.2">
      <c r="A1488" s="12">
        <v>30505</v>
      </c>
      <c r="B1488" t="s">
        <v>130</v>
      </c>
      <c r="C1488" t="s">
        <v>121</v>
      </c>
      <c r="D1488" t="s">
        <v>121</v>
      </c>
      <c r="E1488" t="s">
        <v>121</v>
      </c>
      <c r="F1488" s="4" t="s">
        <v>2282</v>
      </c>
      <c r="H1488">
        <v>2</v>
      </c>
      <c r="I1488" s="1">
        <v>0</v>
      </c>
      <c r="J1488">
        <v>0</v>
      </c>
      <c r="K1488">
        <v>0</v>
      </c>
      <c r="L1488" s="20">
        <v>22240</v>
      </c>
      <c r="M1488">
        <v>1</v>
      </c>
      <c r="N1488">
        <v>0</v>
      </c>
      <c r="O1488">
        <v>0</v>
      </c>
      <c r="P1488">
        <v>0</v>
      </c>
      <c r="Q1488" s="22">
        <v>66720</v>
      </c>
      <c r="R1488">
        <v>3</v>
      </c>
      <c r="S1488" s="1">
        <v>0</v>
      </c>
      <c r="T1488">
        <v>0</v>
      </c>
      <c r="U1488">
        <v>0</v>
      </c>
      <c r="V1488" s="21">
        <v>33360</v>
      </c>
      <c r="W1488">
        <v>9</v>
      </c>
      <c r="X1488">
        <v>0</v>
      </c>
      <c r="Y1488">
        <v>0</v>
      </c>
      <c r="Z1488">
        <v>0</v>
      </c>
      <c r="AA1488">
        <v>10</v>
      </c>
    </row>
    <row r="1489" spans="1:27" ht="14.25" x14ac:dyDescent="0.2">
      <c r="A1489" s="12">
        <v>30506</v>
      </c>
      <c r="B1489" t="s">
        <v>181</v>
      </c>
      <c r="C1489" t="s">
        <v>121</v>
      </c>
      <c r="D1489" t="s">
        <v>121</v>
      </c>
      <c r="E1489" t="s">
        <v>121</v>
      </c>
      <c r="F1489" s="4" t="s">
        <v>2284</v>
      </c>
      <c r="H1489">
        <v>2</v>
      </c>
      <c r="I1489" s="1">
        <v>0</v>
      </c>
      <c r="J1489">
        <v>0</v>
      </c>
      <c r="K1489">
        <v>0</v>
      </c>
      <c r="L1489" s="20">
        <v>22280</v>
      </c>
      <c r="M1489">
        <v>1</v>
      </c>
      <c r="N1489">
        <v>0</v>
      </c>
      <c r="O1489">
        <v>0</v>
      </c>
      <c r="P1489">
        <v>0</v>
      </c>
      <c r="Q1489" s="22">
        <v>66720</v>
      </c>
      <c r="R1489">
        <v>3</v>
      </c>
      <c r="S1489" s="1">
        <v>0</v>
      </c>
      <c r="T1489">
        <v>0</v>
      </c>
      <c r="U1489">
        <v>0</v>
      </c>
      <c r="V1489" s="21">
        <v>33360</v>
      </c>
      <c r="W1489">
        <v>30</v>
      </c>
      <c r="X1489">
        <v>0</v>
      </c>
      <c r="Y1489">
        <v>0</v>
      </c>
      <c r="Z1489">
        <v>0</v>
      </c>
      <c r="AA1489">
        <v>10</v>
      </c>
    </row>
    <row r="1490" spans="1:27" ht="14.25" x14ac:dyDescent="0.2">
      <c r="A1490" s="12">
        <v>30507</v>
      </c>
      <c r="B1490" t="s">
        <v>122</v>
      </c>
      <c r="C1490" t="s">
        <v>121</v>
      </c>
      <c r="D1490" t="s">
        <v>121</v>
      </c>
      <c r="E1490" t="s">
        <v>121</v>
      </c>
      <c r="F1490" s="4" t="s">
        <v>2284</v>
      </c>
      <c r="H1490">
        <v>2</v>
      </c>
      <c r="I1490" s="1">
        <v>0</v>
      </c>
      <c r="J1490">
        <v>0</v>
      </c>
      <c r="K1490">
        <v>0</v>
      </c>
      <c r="L1490" s="20">
        <v>22280</v>
      </c>
      <c r="M1490">
        <v>1</v>
      </c>
      <c r="N1490">
        <v>0</v>
      </c>
      <c r="O1490">
        <v>0</v>
      </c>
      <c r="P1490">
        <v>0</v>
      </c>
      <c r="Q1490" s="22">
        <v>66720</v>
      </c>
      <c r="R1490">
        <v>3</v>
      </c>
      <c r="S1490" s="1">
        <v>0</v>
      </c>
      <c r="T1490">
        <v>0</v>
      </c>
      <c r="U1490">
        <v>0</v>
      </c>
      <c r="V1490" s="21">
        <v>33360</v>
      </c>
      <c r="W1490">
        <v>4</v>
      </c>
      <c r="X1490">
        <v>0</v>
      </c>
      <c r="Y1490">
        <v>0</v>
      </c>
      <c r="Z1490">
        <v>0</v>
      </c>
      <c r="AA1490">
        <v>10</v>
      </c>
    </row>
    <row r="1491" spans="1:27" ht="14.25" x14ac:dyDescent="0.2">
      <c r="A1491" s="12">
        <v>30508</v>
      </c>
      <c r="B1491" t="s">
        <v>178</v>
      </c>
      <c r="C1491" t="s">
        <v>121</v>
      </c>
      <c r="D1491" t="s">
        <v>121</v>
      </c>
      <c r="E1491" t="s">
        <v>121</v>
      </c>
      <c r="F1491" s="4" t="s">
        <v>2286</v>
      </c>
      <c r="H1491">
        <v>2</v>
      </c>
      <c r="I1491" s="1">
        <v>0</v>
      </c>
      <c r="J1491">
        <v>0</v>
      </c>
      <c r="K1491">
        <v>0</v>
      </c>
      <c r="L1491" s="20">
        <v>22280</v>
      </c>
      <c r="M1491">
        <v>1</v>
      </c>
      <c r="N1491">
        <v>0</v>
      </c>
      <c r="O1491">
        <v>0</v>
      </c>
      <c r="P1491">
        <v>0</v>
      </c>
      <c r="Q1491" s="22">
        <v>66840</v>
      </c>
      <c r="R1491">
        <v>3</v>
      </c>
      <c r="S1491" s="1">
        <v>0</v>
      </c>
      <c r="T1491">
        <v>0</v>
      </c>
      <c r="U1491">
        <v>0</v>
      </c>
      <c r="V1491" s="21">
        <v>33420</v>
      </c>
      <c r="W1491">
        <v>21</v>
      </c>
      <c r="X1491">
        <v>0</v>
      </c>
      <c r="Y1491">
        <v>0</v>
      </c>
      <c r="Z1491">
        <v>0</v>
      </c>
      <c r="AA1491">
        <v>1</v>
      </c>
    </row>
    <row r="1492" spans="1:27" ht="14.25" x14ac:dyDescent="0.2">
      <c r="A1492" s="12">
        <v>30509</v>
      </c>
      <c r="B1492" t="s">
        <v>130</v>
      </c>
      <c r="C1492" t="s">
        <v>121</v>
      </c>
      <c r="D1492" t="s">
        <v>121</v>
      </c>
      <c r="E1492" t="s">
        <v>121</v>
      </c>
      <c r="F1492" s="4" t="s">
        <v>2288</v>
      </c>
      <c r="H1492">
        <v>2</v>
      </c>
      <c r="I1492" s="1">
        <v>0</v>
      </c>
      <c r="J1492">
        <v>0</v>
      </c>
      <c r="K1492">
        <v>0</v>
      </c>
      <c r="L1492" s="20">
        <v>22280</v>
      </c>
      <c r="M1492">
        <v>1</v>
      </c>
      <c r="N1492">
        <v>0</v>
      </c>
      <c r="O1492">
        <v>0</v>
      </c>
      <c r="P1492">
        <v>0</v>
      </c>
      <c r="Q1492" s="22">
        <v>66840</v>
      </c>
      <c r="R1492">
        <v>3</v>
      </c>
      <c r="S1492" s="1">
        <v>0</v>
      </c>
      <c r="T1492">
        <v>0</v>
      </c>
      <c r="U1492">
        <v>0</v>
      </c>
      <c r="V1492" s="21">
        <v>33420</v>
      </c>
      <c r="W1492">
        <v>9</v>
      </c>
      <c r="X1492">
        <v>0</v>
      </c>
      <c r="Y1492">
        <v>0</v>
      </c>
      <c r="Z1492">
        <v>0</v>
      </c>
      <c r="AA1492">
        <v>10</v>
      </c>
    </row>
    <row r="1493" spans="1:27" ht="14.25" x14ac:dyDescent="0.2">
      <c r="A1493" s="12">
        <v>30510</v>
      </c>
      <c r="B1493" t="s">
        <v>123</v>
      </c>
      <c r="C1493" t="s">
        <v>121</v>
      </c>
      <c r="D1493" t="s">
        <v>121</v>
      </c>
      <c r="E1493" t="s">
        <v>121</v>
      </c>
      <c r="F1493" s="4" t="s">
        <v>2288</v>
      </c>
      <c r="H1493">
        <v>2</v>
      </c>
      <c r="I1493" s="1">
        <v>0</v>
      </c>
      <c r="J1493">
        <v>0</v>
      </c>
      <c r="K1493">
        <v>0</v>
      </c>
      <c r="L1493" s="20">
        <v>22280</v>
      </c>
      <c r="M1493">
        <v>1</v>
      </c>
      <c r="N1493">
        <v>0</v>
      </c>
      <c r="O1493">
        <v>0</v>
      </c>
      <c r="P1493">
        <v>0</v>
      </c>
      <c r="Q1493" s="22">
        <v>66840</v>
      </c>
      <c r="R1493">
        <v>3</v>
      </c>
      <c r="S1493" s="1">
        <v>0</v>
      </c>
      <c r="T1493">
        <v>0</v>
      </c>
      <c r="U1493">
        <v>0</v>
      </c>
      <c r="V1493" s="21">
        <v>33420</v>
      </c>
      <c r="W1493">
        <v>12</v>
      </c>
      <c r="X1493">
        <v>0</v>
      </c>
      <c r="Y1493">
        <v>0</v>
      </c>
      <c r="Z1493">
        <v>0</v>
      </c>
      <c r="AA1493">
        <v>10</v>
      </c>
    </row>
    <row r="1494" spans="1:27" ht="14.25" x14ac:dyDescent="0.2">
      <c r="A1494" s="12">
        <v>30511</v>
      </c>
      <c r="B1494" t="s">
        <v>126</v>
      </c>
      <c r="C1494" t="s">
        <v>121</v>
      </c>
      <c r="D1494" t="s">
        <v>121</v>
      </c>
      <c r="E1494" t="s">
        <v>121</v>
      </c>
      <c r="F1494" s="4" t="s">
        <v>2290</v>
      </c>
      <c r="H1494">
        <v>2</v>
      </c>
      <c r="I1494" s="1">
        <v>0</v>
      </c>
      <c r="J1494">
        <v>0</v>
      </c>
      <c r="K1494">
        <v>0</v>
      </c>
      <c r="L1494" s="20">
        <v>22320</v>
      </c>
      <c r="M1494">
        <v>1</v>
      </c>
      <c r="N1494">
        <v>0</v>
      </c>
      <c r="O1494">
        <v>0</v>
      </c>
      <c r="P1494">
        <v>0</v>
      </c>
      <c r="Q1494" s="22">
        <v>66840</v>
      </c>
      <c r="R1494">
        <v>3</v>
      </c>
      <c r="S1494" s="1">
        <v>0</v>
      </c>
      <c r="T1494">
        <v>0</v>
      </c>
      <c r="U1494">
        <v>0</v>
      </c>
      <c r="V1494" s="21">
        <v>33420</v>
      </c>
      <c r="W1494">
        <v>23</v>
      </c>
      <c r="X1494">
        <v>0</v>
      </c>
      <c r="Y1494">
        <v>0</v>
      </c>
      <c r="Z1494">
        <v>0</v>
      </c>
      <c r="AA1494">
        <v>1</v>
      </c>
    </row>
    <row r="1495" spans="1:27" ht="14.25" x14ac:dyDescent="0.2">
      <c r="A1495" s="12">
        <v>30512</v>
      </c>
      <c r="B1495" t="s">
        <v>131</v>
      </c>
      <c r="C1495" t="s">
        <v>125</v>
      </c>
      <c r="D1495" t="s">
        <v>121</v>
      </c>
      <c r="E1495" t="s">
        <v>136</v>
      </c>
      <c r="F1495" s="4" t="s">
        <v>2292</v>
      </c>
      <c r="H1495">
        <v>2</v>
      </c>
      <c r="I1495" s="1">
        <v>0</v>
      </c>
      <c r="J1495">
        <v>0</v>
      </c>
      <c r="K1495">
        <v>0</v>
      </c>
      <c r="L1495" s="20">
        <v>22320</v>
      </c>
      <c r="M1495">
        <v>1</v>
      </c>
      <c r="N1495">
        <v>0</v>
      </c>
      <c r="O1495">
        <v>0</v>
      </c>
      <c r="P1495">
        <v>0</v>
      </c>
      <c r="Q1495" s="22">
        <v>66840</v>
      </c>
      <c r="R1495">
        <v>3</v>
      </c>
      <c r="S1495" s="1">
        <v>0</v>
      </c>
      <c r="T1495">
        <v>0</v>
      </c>
      <c r="U1495">
        <v>0</v>
      </c>
      <c r="V1495" s="21">
        <v>33420</v>
      </c>
      <c r="W1495">
        <v>6</v>
      </c>
      <c r="X1495">
        <v>1</v>
      </c>
      <c r="Y1495">
        <v>0</v>
      </c>
      <c r="Z1495">
        <v>3</v>
      </c>
      <c r="AA1495">
        <v>10</v>
      </c>
    </row>
    <row r="1496" spans="1:27" ht="14.25" x14ac:dyDescent="0.2">
      <c r="A1496" s="12">
        <v>30513</v>
      </c>
      <c r="B1496" t="s">
        <v>180</v>
      </c>
      <c r="C1496" t="s">
        <v>121</v>
      </c>
      <c r="D1496" t="s">
        <v>121</v>
      </c>
      <c r="E1496" t="s">
        <v>121</v>
      </c>
      <c r="F1496" s="4" t="s">
        <v>2294</v>
      </c>
      <c r="H1496">
        <v>2</v>
      </c>
      <c r="I1496" s="1">
        <v>0</v>
      </c>
      <c r="J1496">
        <v>0</v>
      </c>
      <c r="K1496">
        <v>0</v>
      </c>
      <c r="L1496" s="20">
        <v>22320</v>
      </c>
      <c r="M1496">
        <v>1</v>
      </c>
      <c r="N1496">
        <v>0</v>
      </c>
      <c r="O1496">
        <v>0</v>
      </c>
      <c r="P1496">
        <v>0</v>
      </c>
      <c r="Q1496" s="22">
        <v>66960</v>
      </c>
      <c r="R1496">
        <v>3</v>
      </c>
      <c r="S1496" s="1">
        <v>0</v>
      </c>
      <c r="T1496">
        <v>0</v>
      </c>
      <c r="U1496">
        <v>0</v>
      </c>
      <c r="V1496" s="21">
        <v>33480</v>
      </c>
      <c r="W1496">
        <v>15</v>
      </c>
      <c r="X1496">
        <v>0</v>
      </c>
      <c r="Y1496">
        <v>0</v>
      </c>
      <c r="Z1496">
        <v>0</v>
      </c>
      <c r="AA1496">
        <v>1</v>
      </c>
    </row>
    <row r="1497" spans="1:27" ht="14.25" x14ac:dyDescent="0.2">
      <c r="A1497" s="12">
        <v>30514</v>
      </c>
      <c r="B1497" t="s">
        <v>178</v>
      </c>
      <c r="C1497" t="s">
        <v>121</v>
      </c>
      <c r="D1497" t="s">
        <v>121</v>
      </c>
      <c r="E1497" t="s">
        <v>121</v>
      </c>
      <c r="F1497" s="4" t="s">
        <v>2294</v>
      </c>
      <c r="H1497">
        <v>2</v>
      </c>
      <c r="I1497" s="1">
        <v>0</v>
      </c>
      <c r="J1497">
        <v>0</v>
      </c>
      <c r="K1497">
        <v>0</v>
      </c>
      <c r="L1497" s="20">
        <v>22320</v>
      </c>
      <c r="M1497">
        <v>1</v>
      </c>
      <c r="N1497">
        <v>0</v>
      </c>
      <c r="O1497">
        <v>0</v>
      </c>
      <c r="P1497">
        <v>0</v>
      </c>
      <c r="Q1497" s="22">
        <v>66960</v>
      </c>
      <c r="R1497">
        <v>3</v>
      </c>
      <c r="S1497" s="1">
        <v>0</v>
      </c>
      <c r="T1497">
        <v>0</v>
      </c>
      <c r="U1497">
        <v>0</v>
      </c>
      <c r="V1497" s="21">
        <v>33480</v>
      </c>
      <c r="W1497">
        <v>21</v>
      </c>
      <c r="X1497">
        <v>0</v>
      </c>
      <c r="Y1497">
        <v>0</v>
      </c>
      <c r="Z1497">
        <v>0</v>
      </c>
      <c r="AA1497">
        <v>1</v>
      </c>
    </row>
    <row r="1498" spans="1:27" ht="14.25" x14ac:dyDescent="0.2">
      <c r="A1498" s="12">
        <v>30515</v>
      </c>
      <c r="B1498" t="s">
        <v>130</v>
      </c>
      <c r="C1498" t="s">
        <v>121</v>
      </c>
      <c r="D1498" t="s">
        <v>121</v>
      </c>
      <c r="E1498" t="s">
        <v>121</v>
      </c>
      <c r="F1498" s="4" t="s">
        <v>2296</v>
      </c>
      <c r="H1498">
        <v>2</v>
      </c>
      <c r="I1498" s="1">
        <v>0</v>
      </c>
      <c r="J1498">
        <v>0</v>
      </c>
      <c r="K1498">
        <v>0</v>
      </c>
      <c r="L1498" s="20">
        <v>22320</v>
      </c>
      <c r="M1498">
        <v>1</v>
      </c>
      <c r="N1498">
        <v>0</v>
      </c>
      <c r="O1498">
        <v>0</v>
      </c>
      <c r="P1498">
        <v>0</v>
      </c>
      <c r="Q1498" s="22">
        <v>66960</v>
      </c>
      <c r="R1498">
        <v>3</v>
      </c>
      <c r="S1498" s="1">
        <v>0</v>
      </c>
      <c r="T1498">
        <v>0</v>
      </c>
      <c r="U1498">
        <v>0</v>
      </c>
      <c r="V1498" s="21">
        <v>33480</v>
      </c>
      <c r="W1498">
        <v>9</v>
      </c>
      <c r="X1498">
        <v>0</v>
      </c>
      <c r="Y1498">
        <v>0</v>
      </c>
      <c r="Z1498">
        <v>0</v>
      </c>
      <c r="AA1498">
        <v>10</v>
      </c>
    </row>
    <row r="1499" spans="1:27" ht="14.25" x14ac:dyDescent="0.2">
      <c r="A1499" s="12">
        <v>30516</v>
      </c>
      <c r="B1499" t="s">
        <v>181</v>
      </c>
      <c r="C1499" t="s">
        <v>121</v>
      </c>
      <c r="D1499" t="s">
        <v>121</v>
      </c>
      <c r="E1499" t="s">
        <v>121</v>
      </c>
      <c r="F1499" s="4" t="s">
        <v>2298</v>
      </c>
      <c r="H1499">
        <v>2</v>
      </c>
      <c r="I1499" s="1">
        <v>0</v>
      </c>
      <c r="J1499">
        <v>0</v>
      </c>
      <c r="K1499">
        <v>0</v>
      </c>
      <c r="L1499" s="20">
        <v>22360</v>
      </c>
      <c r="M1499">
        <v>1</v>
      </c>
      <c r="N1499">
        <v>0</v>
      </c>
      <c r="O1499">
        <v>0</v>
      </c>
      <c r="P1499">
        <v>0</v>
      </c>
      <c r="Q1499" s="22">
        <v>66960</v>
      </c>
      <c r="R1499">
        <v>3</v>
      </c>
      <c r="S1499" s="1">
        <v>0</v>
      </c>
      <c r="T1499">
        <v>0</v>
      </c>
      <c r="U1499">
        <v>0</v>
      </c>
      <c r="V1499" s="21">
        <v>33480</v>
      </c>
      <c r="W1499">
        <v>30</v>
      </c>
      <c r="X1499">
        <v>0</v>
      </c>
      <c r="Y1499">
        <v>0</v>
      </c>
      <c r="Z1499">
        <v>0</v>
      </c>
      <c r="AA1499">
        <v>10</v>
      </c>
    </row>
    <row r="1500" spans="1:27" ht="14.25" x14ac:dyDescent="0.2">
      <c r="A1500" s="12">
        <v>30517</v>
      </c>
      <c r="B1500" t="s">
        <v>122</v>
      </c>
      <c r="C1500" t="s">
        <v>121</v>
      </c>
      <c r="D1500" t="s">
        <v>121</v>
      </c>
      <c r="E1500" t="s">
        <v>121</v>
      </c>
      <c r="F1500" s="4" t="s">
        <v>2298</v>
      </c>
      <c r="H1500">
        <v>2</v>
      </c>
      <c r="I1500" s="1">
        <v>0</v>
      </c>
      <c r="J1500">
        <v>0</v>
      </c>
      <c r="K1500">
        <v>0</v>
      </c>
      <c r="L1500" s="20">
        <v>22360</v>
      </c>
      <c r="M1500">
        <v>1</v>
      </c>
      <c r="N1500">
        <v>0</v>
      </c>
      <c r="O1500">
        <v>0</v>
      </c>
      <c r="P1500">
        <v>0</v>
      </c>
      <c r="Q1500" s="22">
        <v>66960</v>
      </c>
      <c r="R1500">
        <v>3</v>
      </c>
      <c r="S1500" s="1">
        <v>0</v>
      </c>
      <c r="T1500">
        <v>0</v>
      </c>
      <c r="U1500">
        <v>0</v>
      </c>
      <c r="V1500" s="21">
        <v>33480</v>
      </c>
      <c r="W1500">
        <v>4</v>
      </c>
      <c r="X1500">
        <v>0</v>
      </c>
      <c r="Y1500">
        <v>0</v>
      </c>
      <c r="Z1500">
        <v>0</v>
      </c>
      <c r="AA1500">
        <v>10</v>
      </c>
    </row>
    <row r="1501" spans="1:27" ht="14.25" x14ac:dyDescent="0.2">
      <c r="A1501" s="12">
        <v>30518</v>
      </c>
      <c r="B1501" t="s">
        <v>178</v>
      </c>
      <c r="C1501" t="s">
        <v>121</v>
      </c>
      <c r="D1501" t="s">
        <v>121</v>
      </c>
      <c r="E1501" t="s">
        <v>121</v>
      </c>
      <c r="F1501" s="4" t="s">
        <v>2300</v>
      </c>
      <c r="H1501">
        <v>2</v>
      </c>
      <c r="I1501" s="1">
        <v>0</v>
      </c>
      <c r="J1501">
        <v>0</v>
      </c>
      <c r="K1501">
        <v>0</v>
      </c>
      <c r="L1501" s="20">
        <v>22360</v>
      </c>
      <c r="M1501">
        <v>1</v>
      </c>
      <c r="N1501">
        <v>0</v>
      </c>
      <c r="O1501">
        <v>0</v>
      </c>
      <c r="P1501">
        <v>0</v>
      </c>
      <c r="Q1501" s="22">
        <v>67080</v>
      </c>
      <c r="R1501">
        <v>3</v>
      </c>
      <c r="S1501" s="1">
        <v>0</v>
      </c>
      <c r="T1501">
        <v>0</v>
      </c>
      <c r="U1501">
        <v>0</v>
      </c>
      <c r="V1501" s="21">
        <v>33540</v>
      </c>
      <c r="W1501">
        <v>21</v>
      </c>
      <c r="X1501">
        <v>0</v>
      </c>
      <c r="Y1501">
        <v>0</v>
      </c>
      <c r="Z1501">
        <v>0</v>
      </c>
      <c r="AA1501">
        <v>1</v>
      </c>
    </row>
    <row r="1502" spans="1:27" ht="14.25" x14ac:dyDescent="0.2">
      <c r="A1502" s="12">
        <v>30519</v>
      </c>
      <c r="B1502" t="s">
        <v>130</v>
      </c>
      <c r="C1502" t="s">
        <v>121</v>
      </c>
      <c r="D1502" t="s">
        <v>121</v>
      </c>
      <c r="E1502" t="s">
        <v>121</v>
      </c>
      <c r="F1502" s="4" t="s">
        <v>2302</v>
      </c>
      <c r="H1502">
        <v>2</v>
      </c>
      <c r="I1502" s="1">
        <v>0</v>
      </c>
      <c r="J1502">
        <v>0</v>
      </c>
      <c r="K1502">
        <v>0</v>
      </c>
      <c r="L1502" s="20">
        <v>22360</v>
      </c>
      <c r="M1502">
        <v>1</v>
      </c>
      <c r="N1502">
        <v>0</v>
      </c>
      <c r="O1502">
        <v>0</v>
      </c>
      <c r="P1502">
        <v>0</v>
      </c>
      <c r="Q1502" s="22">
        <v>67080</v>
      </c>
      <c r="R1502">
        <v>3</v>
      </c>
      <c r="S1502" s="1">
        <v>0</v>
      </c>
      <c r="T1502">
        <v>0</v>
      </c>
      <c r="U1502">
        <v>0</v>
      </c>
      <c r="V1502" s="21">
        <v>33540</v>
      </c>
      <c r="W1502">
        <v>9</v>
      </c>
      <c r="X1502">
        <v>0</v>
      </c>
      <c r="Y1502">
        <v>0</v>
      </c>
      <c r="Z1502">
        <v>0</v>
      </c>
      <c r="AA1502">
        <v>10</v>
      </c>
    </row>
    <row r="1503" spans="1:27" ht="14.25" x14ac:dyDescent="0.2">
      <c r="A1503" s="12">
        <v>30520</v>
      </c>
      <c r="B1503" t="s">
        <v>123</v>
      </c>
      <c r="C1503" t="s">
        <v>121</v>
      </c>
      <c r="D1503" t="s">
        <v>121</v>
      </c>
      <c r="E1503" t="s">
        <v>121</v>
      </c>
      <c r="F1503" s="4" t="s">
        <v>2302</v>
      </c>
      <c r="H1503">
        <v>2</v>
      </c>
      <c r="I1503" s="1">
        <v>0</v>
      </c>
      <c r="J1503">
        <v>0</v>
      </c>
      <c r="K1503">
        <v>0</v>
      </c>
      <c r="L1503" s="20">
        <v>22360</v>
      </c>
      <c r="M1503">
        <v>1</v>
      </c>
      <c r="N1503">
        <v>0</v>
      </c>
      <c r="O1503">
        <v>0</v>
      </c>
      <c r="P1503">
        <v>0</v>
      </c>
      <c r="Q1503" s="22">
        <v>67080</v>
      </c>
      <c r="R1503">
        <v>3</v>
      </c>
      <c r="S1503" s="1">
        <v>0</v>
      </c>
      <c r="T1503">
        <v>0</v>
      </c>
      <c r="U1503">
        <v>0</v>
      </c>
      <c r="V1503" s="21">
        <v>33540</v>
      </c>
      <c r="W1503">
        <v>12</v>
      </c>
      <c r="X1503">
        <v>0</v>
      </c>
      <c r="Y1503">
        <v>0</v>
      </c>
      <c r="Z1503">
        <v>0</v>
      </c>
      <c r="AA1503">
        <v>10</v>
      </c>
    </row>
    <row r="1504" spans="1:27" ht="14.25" x14ac:dyDescent="0.2">
      <c r="A1504" s="12">
        <v>30521</v>
      </c>
      <c r="B1504" t="s">
        <v>126</v>
      </c>
      <c r="C1504" t="s">
        <v>121</v>
      </c>
      <c r="D1504" t="s">
        <v>121</v>
      </c>
      <c r="E1504" t="s">
        <v>121</v>
      </c>
      <c r="F1504" s="4" t="s">
        <v>2304</v>
      </c>
      <c r="H1504">
        <v>2</v>
      </c>
      <c r="I1504" s="1">
        <v>0</v>
      </c>
      <c r="J1504">
        <v>0</v>
      </c>
      <c r="K1504">
        <v>0</v>
      </c>
      <c r="L1504" s="20">
        <v>22400</v>
      </c>
      <c r="M1504">
        <v>1</v>
      </c>
      <c r="N1504">
        <v>0</v>
      </c>
      <c r="O1504">
        <v>0</v>
      </c>
      <c r="P1504">
        <v>0</v>
      </c>
      <c r="Q1504" s="22">
        <v>67080</v>
      </c>
      <c r="R1504">
        <v>3</v>
      </c>
      <c r="S1504" s="1">
        <v>0</v>
      </c>
      <c r="T1504">
        <v>0</v>
      </c>
      <c r="U1504">
        <v>0</v>
      </c>
      <c r="V1504" s="21">
        <v>33540</v>
      </c>
      <c r="W1504">
        <v>23</v>
      </c>
      <c r="X1504">
        <v>0</v>
      </c>
      <c r="Y1504">
        <v>0</v>
      </c>
      <c r="Z1504">
        <v>0</v>
      </c>
      <c r="AA1504">
        <v>1</v>
      </c>
    </row>
    <row r="1505" spans="1:27" ht="14.25" x14ac:dyDescent="0.2">
      <c r="A1505" s="12">
        <v>30522</v>
      </c>
      <c r="B1505" t="s">
        <v>131</v>
      </c>
      <c r="C1505" t="s">
        <v>125</v>
      </c>
      <c r="D1505" t="s">
        <v>121</v>
      </c>
      <c r="E1505" t="s">
        <v>136</v>
      </c>
      <c r="F1505" s="4" t="s">
        <v>2306</v>
      </c>
      <c r="H1505">
        <v>2</v>
      </c>
      <c r="I1505" s="1">
        <v>0</v>
      </c>
      <c r="J1505">
        <v>0</v>
      </c>
      <c r="K1505">
        <v>0</v>
      </c>
      <c r="L1505" s="20">
        <v>22400</v>
      </c>
      <c r="M1505">
        <v>1</v>
      </c>
      <c r="N1505">
        <v>0</v>
      </c>
      <c r="O1505">
        <v>0</v>
      </c>
      <c r="P1505">
        <v>0</v>
      </c>
      <c r="Q1505" s="22">
        <v>67080</v>
      </c>
      <c r="R1505">
        <v>3</v>
      </c>
      <c r="S1505" s="1">
        <v>0</v>
      </c>
      <c r="T1505">
        <v>0</v>
      </c>
      <c r="U1505">
        <v>0</v>
      </c>
      <c r="V1505" s="21">
        <v>33540</v>
      </c>
      <c r="W1505">
        <v>6</v>
      </c>
      <c r="X1505">
        <v>1</v>
      </c>
      <c r="Y1505">
        <v>0</v>
      </c>
      <c r="Z1505">
        <v>3</v>
      </c>
      <c r="AA1505">
        <v>10</v>
      </c>
    </row>
    <row r="1506" spans="1:27" ht="14.25" x14ac:dyDescent="0.2">
      <c r="A1506" s="12">
        <v>30523</v>
      </c>
      <c r="B1506" t="s">
        <v>180</v>
      </c>
      <c r="C1506" t="s">
        <v>121</v>
      </c>
      <c r="D1506" t="s">
        <v>121</v>
      </c>
      <c r="E1506" t="s">
        <v>121</v>
      </c>
      <c r="F1506" s="4" t="s">
        <v>2308</v>
      </c>
      <c r="H1506">
        <v>2</v>
      </c>
      <c r="I1506" s="1">
        <v>0</v>
      </c>
      <c r="J1506">
        <v>0</v>
      </c>
      <c r="K1506">
        <v>0</v>
      </c>
      <c r="L1506" s="20">
        <v>22400</v>
      </c>
      <c r="M1506">
        <v>1</v>
      </c>
      <c r="N1506">
        <v>0</v>
      </c>
      <c r="O1506">
        <v>0</v>
      </c>
      <c r="P1506">
        <v>0</v>
      </c>
      <c r="Q1506" s="22">
        <v>67200</v>
      </c>
      <c r="R1506">
        <v>3</v>
      </c>
      <c r="S1506" s="1">
        <v>0</v>
      </c>
      <c r="T1506">
        <v>0</v>
      </c>
      <c r="U1506">
        <v>0</v>
      </c>
      <c r="V1506" s="21">
        <v>33600</v>
      </c>
      <c r="W1506">
        <v>15</v>
      </c>
      <c r="X1506">
        <v>0</v>
      </c>
      <c r="Y1506">
        <v>0</v>
      </c>
      <c r="Z1506">
        <v>0</v>
      </c>
      <c r="AA1506">
        <v>1</v>
      </c>
    </row>
    <row r="1507" spans="1:27" ht="14.25" x14ac:dyDescent="0.2">
      <c r="A1507" s="12">
        <v>30524</v>
      </c>
      <c r="B1507" t="s">
        <v>178</v>
      </c>
      <c r="C1507" t="s">
        <v>121</v>
      </c>
      <c r="D1507" t="s">
        <v>121</v>
      </c>
      <c r="E1507" t="s">
        <v>121</v>
      </c>
      <c r="F1507" s="4" t="s">
        <v>2308</v>
      </c>
      <c r="H1507">
        <v>2</v>
      </c>
      <c r="I1507" s="1">
        <v>0</v>
      </c>
      <c r="J1507">
        <v>0</v>
      </c>
      <c r="K1507">
        <v>0</v>
      </c>
      <c r="L1507" s="20">
        <v>22400</v>
      </c>
      <c r="M1507">
        <v>1</v>
      </c>
      <c r="N1507">
        <v>0</v>
      </c>
      <c r="O1507">
        <v>0</v>
      </c>
      <c r="P1507">
        <v>0</v>
      </c>
      <c r="Q1507" s="22">
        <v>67200</v>
      </c>
      <c r="R1507">
        <v>3</v>
      </c>
      <c r="S1507" s="1">
        <v>0</v>
      </c>
      <c r="T1507">
        <v>0</v>
      </c>
      <c r="U1507">
        <v>0</v>
      </c>
      <c r="V1507" s="21">
        <v>33600</v>
      </c>
      <c r="W1507">
        <v>21</v>
      </c>
      <c r="X1507">
        <v>0</v>
      </c>
      <c r="Y1507">
        <v>0</v>
      </c>
      <c r="Z1507">
        <v>0</v>
      </c>
      <c r="AA1507">
        <v>1</v>
      </c>
    </row>
    <row r="1508" spans="1:27" ht="14.25" x14ac:dyDescent="0.2">
      <c r="A1508" s="12">
        <v>30525</v>
      </c>
      <c r="B1508" t="s">
        <v>130</v>
      </c>
      <c r="C1508" t="s">
        <v>121</v>
      </c>
      <c r="D1508" t="s">
        <v>121</v>
      </c>
      <c r="E1508" t="s">
        <v>121</v>
      </c>
      <c r="F1508" s="4" t="s">
        <v>2310</v>
      </c>
      <c r="H1508">
        <v>2</v>
      </c>
      <c r="I1508" s="1">
        <v>0</v>
      </c>
      <c r="J1508">
        <v>0</v>
      </c>
      <c r="K1508">
        <v>0</v>
      </c>
      <c r="L1508" s="20">
        <v>22400</v>
      </c>
      <c r="M1508">
        <v>1</v>
      </c>
      <c r="N1508">
        <v>0</v>
      </c>
      <c r="O1508">
        <v>0</v>
      </c>
      <c r="P1508">
        <v>0</v>
      </c>
      <c r="Q1508" s="22">
        <v>67200</v>
      </c>
      <c r="R1508">
        <v>3</v>
      </c>
      <c r="S1508" s="1">
        <v>0</v>
      </c>
      <c r="T1508">
        <v>0</v>
      </c>
      <c r="U1508">
        <v>0</v>
      </c>
      <c r="V1508" s="21">
        <v>33600</v>
      </c>
      <c r="W1508">
        <v>9</v>
      </c>
      <c r="X1508">
        <v>0</v>
      </c>
      <c r="Y1508">
        <v>0</v>
      </c>
      <c r="Z1508">
        <v>0</v>
      </c>
      <c r="AA1508">
        <v>10</v>
      </c>
    </row>
    <row r="1509" spans="1:27" ht="14.25" x14ac:dyDescent="0.2">
      <c r="A1509" s="12">
        <v>30526</v>
      </c>
      <c r="B1509" t="s">
        <v>181</v>
      </c>
      <c r="C1509" t="s">
        <v>121</v>
      </c>
      <c r="D1509" t="s">
        <v>121</v>
      </c>
      <c r="E1509" t="s">
        <v>121</v>
      </c>
      <c r="F1509" s="4" t="s">
        <v>2312</v>
      </c>
      <c r="H1509">
        <v>2</v>
      </c>
      <c r="I1509" s="1">
        <v>0</v>
      </c>
      <c r="J1509">
        <v>0</v>
      </c>
      <c r="K1509">
        <v>0</v>
      </c>
      <c r="L1509" s="20">
        <v>22440</v>
      </c>
      <c r="M1509">
        <v>1</v>
      </c>
      <c r="N1509">
        <v>0</v>
      </c>
      <c r="O1509">
        <v>0</v>
      </c>
      <c r="P1509">
        <v>0</v>
      </c>
      <c r="Q1509" s="22">
        <v>67200</v>
      </c>
      <c r="R1509">
        <v>3</v>
      </c>
      <c r="S1509" s="1">
        <v>0</v>
      </c>
      <c r="T1509">
        <v>0</v>
      </c>
      <c r="U1509">
        <v>0</v>
      </c>
      <c r="V1509" s="21">
        <v>33600</v>
      </c>
      <c r="W1509">
        <v>30</v>
      </c>
      <c r="X1509">
        <v>0</v>
      </c>
      <c r="Y1509">
        <v>0</v>
      </c>
      <c r="Z1509">
        <v>0</v>
      </c>
      <c r="AA1509">
        <v>10</v>
      </c>
    </row>
    <row r="1510" spans="1:27" ht="14.25" x14ac:dyDescent="0.2">
      <c r="A1510" s="12">
        <v>30527</v>
      </c>
      <c r="B1510" t="s">
        <v>122</v>
      </c>
      <c r="C1510" t="s">
        <v>121</v>
      </c>
      <c r="D1510" t="s">
        <v>121</v>
      </c>
      <c r="E1510" t="s">
        <v>121</v>
      </c>
      <c r="F1510" s="4" t="s">
        <v>2312</v>
      </c>
      <c r="H1510">
        <v>2</v>
      </c>
      <c r="I1510" s="1">
        <v>0</v>
      </c>
      <c r="J1510">
        <v>0</v>
      </c>
      <c r="K1510">
        <v>0</v>
      </c>
      <c r="L1510" s="20">
        <v>22440</v>
      </c>
      <c r="M1510">
        <v>1</v>
      </c>
      <c r="N1510">
        <v>0</v>
      </c>
      <c r="O1510">
        <v>0</v>
      </c>
      <c r="P1510">
        <v>0</v>
      </c>
      <c r="Q1510" s="22">
        <v>67200</v>
      </c>
      <c r="R1510">
        <v>3</v>
      </c>
      <c r="S1510" s="1">
        <v>0</v>
      </c>
      <c r="T1510">
        <v>0</v>
      </c>
      <c r="U1510">
        <v>0</v>
      </c>
      <c r="V1510" s="21">
        <v>33600</v>
      </c>
      <c r="W1510">
        <v>4</v>
      </c>
      <c r="X1510">
        <v>0</v>
      </c>
      <c r="Y1510">
        <v>0</v>
      </c>
      <c r="Z1510">
        <v>0</v>
      </c>
      <c r="AA1510">
        <v>10</v>
      </c>
    </row>
    <row r="1511" spans="1:27" ht="14.25" x14ac:dyDescent="0.2">
      <c r="A1511" s="12">
        <v>30528</v>
      </c>
      <c r="B1511" t="s">
        <v>178</v>
      </c>
      <c r="C1511" t="s">
        <v>121</v>
      </c>
      <c r="D1511" t="s">
        <v>121</v>
      </c>
      <c r="E1511" t="s">
        <v>121</v>
      </c>
      <c r="F1511" s="4" t="s">
        <v>2314</v>
      </c>
      <c r="H1511">
        <v>2</v>
      </c>
      <c r="I1511" s="1">
        <v>0</v>
      </c>
      <c r="J1511">
        <v>0</v>
      </c>
      <c r="K1511">
        <v>0</v>
      </c>
      <c r="L1511" s="20">
        <v>22440</v>
      </c>
      <c r="M1511">
        <v>1</v>
      </c>
      <c r="N1511">
        <v>0</v>
      </c>
      <c r="O1511">
        <v>0</v>
      </c>
      <c r="P1511">
        <v>0</v>
      </c>
      <c r="Q1511" s="22">
        <v>67320</v>
      </c>
      <c r="R1511">
        <v>3</v>
      </c>
      <c r="S1511" s="1">
        <v>0</v>
      </c>
      <c r="T1511">
        <v>0</v>
      </c>
      <c r="U1511">
        <v>0</v>
      </c>
      <c r="V1511" s="21">
        <v>33660</v>
      </c>
      <c r="W1511">
        <v>21</v>
      </c>
      <c r="X1511">
        <v>0</v>
      </c>
      <c r="Y1511">
        <v>0</v>
      </c>
      <c r="Z1511">
        <v>0</v>
      </c>
      <c r="AA1511">
        <v>1</v>
      </c>
    </row>
    <row r="1512" spans="1:27" ht="14.25" x14ac:dyDescent="0.2">
      <c r="A1512" s="12">
        <v>30529</v>
      </c>
      <c r="B1512" t="s">
        <v>130</v>
      </c>
      <c r="C1512" t="s">
        <v>121</v>
      </c>
      <c r="D1512" t="s">
        <v>121</v>
      </c>
      <c r="E1512" t="s">
        <v>121</v>
      </c>
      <c r="F1512" s="4" t="s">
        <v>2316</v>
      </c>
      <c r="H1512">
        <v>2</v>
      </c>
      <c r="I1512" s="1">
        <v>0</v>
      </c>
      <c r="J1512">
        <v>0</v>
      </c>
      <c r="K1512">
        <v>0</v>
      </c>
      <c r="L1512" s="20">
        <v>22440</v>
      </c>
      <c r="M1512">
        <v>1</v>
      </c>
      <c r="N1512">
        <v>0</v>
      </c>
      <c r="O1512">
        <v>0</v>
      </c>
      <c r="P1512">
        <v>0</v>
      </c>
      <c r="Q1512" s="22">
        <v>67320</v>
      </c>
      <c r="R1512">
        <v>3</v>
      </c>
      <c r="S1512" s="1">
        <v>0</v>
      </c>
      <c r="T1512">
        <v>0</v>
      </c>
      <c r="U1512">
        <v>0</v>
      </c>
      <c r="V1512" s="21">
        <v>33660</v>
      </c>
      <c r="W1512">
        <v>9</v>
      </c>
      <c r="X1512">
        <v>0</v>
      </c>
      <c r="Y1512">
        <v>0</v>
      </c>
      <c r="Z1512">
        <v>0</v>
      </c>
      <c r="AA1512">
        <v>10</v>
      </c>
    </row>
    <row r="1513" spans="1:27" ht="14.25" x14ac:dyDescent="0.2">
      <c r="A1513" s="12">
        <v>30530</v>
      </c>
      <c r="B1513" t="s">
        <v>123</v>
      </c>
      <c r="C1513" t="s">
        <v>121</v>
      </c>
      <c r="D1513" t="s">
        <v>121</v>
      </c>
      <c r="E1513" t="s">
        <v>121</v>
      </c>
      <c r="F1513" s="4" t="s">
        <v>2316</v>
      </c>
      <c r="H1513">
        <v>2</v>
      </c>
      <c r="I1513" s="1">
        <v>0</v>
      </c>
      <c r="J1513">
        <v>0</v>
      </c>
      <c r="K1513">
        <v>0</v>
      </c>
      <c r="L1513" s="20">
        <v>22440</v>
      </c>
      <c r="M1513">
        <v>1</v>
      </c>
      <c r="N1513">
        <v>0</v>
      </c>
      <c r="O1513">
        <v>0</v>
      </c>
      <c r="P1513">
        <v>0</v>
      </c>
      <c r="Q1513" s="22">
        <v>67320</v>
      </c>
      <c r="R1513">
        <v>3</v>
      </c>
      <c r="S1513" s="1">
        <v>0</v>
      </c>
      <c r="T1513">
        <v>0</v>
      </c>
      <c r="U1513">
        <v>0</v>
      </c>
      <c r="V1513" s="21">
        <v>33660</v>
      </c>
      <c r="W1513">
        <v>12</v>
      </c>
      <c r="X1513">
        <v>0</v>
      </c>
      <c r="Y1513">
        <v>0</v>
      </c>
      <c r="Z1513">
        <v>0</v>
      </c>
      <c r="AA1513">
        <v>10</v>
      </c>
    </row>
    <row r="1514" spans="1:27" ht="14.25" x14ac:dyDescent="0.2">
      <c r="A1514" s="12">
        <v>30531</v>
      </c>
      <c r="B1514" t="s">
        <v>126</v>
      </c>
      <c r="C1514" t="s">
        <v>121</v>
      </c>
      <c r="D1514" t="s">
        <v>121</v>
      </c>
      <c r="E1514" t="s">
        <v>121</v>
      </c>
      <c r="F1514" s="4" t="s">
        <v>2318</v>
      </c>
      <c r="H1514">
        <v>2</v>
      </c>
      <c r="I1514" s="1">
        <v>0</v>
      </c>
      <c r="J1514">
        <v>0</v>
      </c>
      <c r="K1514">
        <v>0</v>
      </c>
      <c r="L1514" s="20">
        <v>22480</v>
      </c>
      <c r="M1514">
        <v>1</v>
      </c>
      <c r="N1514">
        <v>0</v>
      </c>
      <c r="O1514">
        <v>0</v>
      </c>
      <c r="P1514">
        <v>0</v>
      </c>
      <c r="Q1514" s="22">
        <v>67320</v>
      </c>
      <c r="R1514">
        <v>3</v>
      </c>
      <c r="S1514" s="1">
        <v>0</v>
      </c>
      <c r="T1514">
        <v>0</v>
      </c>
      <c r="U1514">
        <v>0</v>
      </c>
      <c r="V1514" s="21">
        <v>33660</v>
      </c>
      <c r="W1514">
        <v>23</v>
      </c>
      <c r="X1514">
        <v>0</v>
      </c>
      <c r="Y1514">
        <v>0</v>
      </c>
      <c r="Z1514">
        <v>0</v>
      </c>
      <c r="AA1514">
        <v>1</v>
      </c>
    </row>
    <row r="1515" spans="1:27" ht="14.25" x14ac:dyDescent="0.2">
      <c r="A1515" s="12">
        <v>30532</v>
      </c>
      <c r="B1515" t="s">
        <v>131</v>
      </c>
      <c r="C1515" t="s">
        <v>125</v>
      </c>
      <c r="D1515" t="s">
        <v>121</v>
      </c>
      <c r="E1515" t="s">
        <v>136</v>
      </c>
      <c r="F1515" s="4" t="s">
        <v>2320</v>
      </c>
      <c r="H1515">
        <v>2</v>
      </c>
      <c r="I1515" s="1">
        <v>0</v>
      </c>
      <c r="J1515">
        <v>0</v>
      </c>
      <c r="K1515">
        <v>0</v>
      </c>
      <c r="L1515" s="20">
        <v>22480</v>
      </c>
      <c r="M1515">
        <v>1</v>
      </c>
      <c r="N1515">
        <v>0</v>
      </c>
      <c r="O1515">
        <v>0</v>
      </c>
      <c r="P1515">
        <v>0</v>
      </c>
      <c r="Q1515" s="22">
        <v>67320</v>
      </c>
      <c r="R1515">
        <v>3</v>
      </c>
      <c r="S1515" s="1">
        <v>0</v>
      </c>
      <c r="T1515">
        <v>0</v>
      </c>
      <c r="U1515">
        <v>0</v>
      </c>
      <c r="V1515" s="21">
        <v>33660</v>
      </c>
      <c r="W1515">
        <v>6</v>
      </c>
      <c r="X1515">
        <v>1</v>
      </c>
      <c r="Y1515">
        <v>0</v>
      </c>
      <c r="Z1515">
        <v>3</v>
      </c>
      <c r="AA1515">
        <v>10</v>
      </c>
    </row>
    <row r="1516" spans="1:27" ht="14.25" x14ac:dyDescent="0.2">
      <c r="A1516" s="12">
        <v>30533</v>
      </c>
      <c r="B1516" t="s">
        <v>180</v>
      </c>
      <c r="C1516" t="s">
        <v>121</v>
      </c>
      <c r="D1516" t="s">
        <v>121</v>
      </c>
      <c r="E1516" t="s">
        <v>121</v>
      </c>
      <c r="F1516" s="4" t="s">
        <v>2322</v>
      </c>
      <c r="H1516">
        <v>2</v>
      </c>
      <c r="I1516" s="1">
        <v>0</v>
      </c>
      <c r="J1516">
        <v>0</v>
      </c>
      <c r="K1516">
        <v>0</v>
      </c>
      <c r="L1516" s="20">
        <v>22480</v>
      </c>
      <c r="M1516">
        <v>1</v>
      </c>
      <c r="N1516">
        <v>0</v>
      </c>
      <c r="O1516">
        <v>0</v>
      </c>
      <c r="P1516">
        <v>0</v>
      </c>
      <c r="Q1516" s="22">
        <v>67440</v>
      </c>
      <c r="R1516">
        <v>3</v>
      </c>
      <c r="S1516" s="1">
        <v>0</v>
      </c>
      <c r="T1516">
        <v>0</v>
      </c>
      <c r="U1516">
        <v>0</v>
      </c>
      <c r="V1516" s="21">
        <v>33720</v>
      </c>
      <c r="W1516">
        <v>15</v>
      </c>
      <c r="X1516">
        <v>0</v>
      </c>
      <c r="Y1516">
        <v>0</v>
      </c>
      <c r="Z1516">
        <v>0</v>
      </c>
      <c r="AA1516">
        <v>1</v>
      </c>
    </row>
    <row r="1517" spans="1:27" ht="14.25" x14ac:dyDescent="0.2">
      <c r="A1517" s="12">
        <v>30534</v>
      </c>
      <c r="B1517" t="s">
        <v>178</v>
      </c>
      <c r="C1517" t="s">
        <v>121</v>
      </c>
      <c r="D1517" t="s">
        <v>121</v>
      </c>
      <c r="E1517" t="s">
        <v>121</v>
      </c>
      <c r="F1517" s="4" t="s">
        <v>2322</v>
      </c>
      <c r="H1517">
        <v>2</v>
      </c>
      <c r="I1517" s="1">
        <v>0</v>
      </c>
      <c r="J1517">
        <v>0</v>
      </c>
      <c r="K1517">
        <v>0</v>
      </c>
      <c r="L1517" s="20">
        <v>22480</v>
      </c>
      <c r="M1517">
        <v>1</v>
      </c>
      <c r="N1517">
        <v>0</v>
      </c>
      <c r="O1517">
        <v>0</v>
      </c>
      <c r="P1517">
        <v>0</v>
      </c>
      <c r="Q1517" s="22">
        <v>67440</v>
      </c>
      <c r="R1517">
        <v>3</v>
      </c>
      <c r="S1517" s="1">
        <v>0</v>
      </c>
      <c r="T1517">
        <v>0</v>
      </c>
      <c r="U1517">
        <v>0</v>
      </c>
      <c r="V1517" s="21">
        <v>33720</v>
      </c>
      <c r="W1517">
        <v>21</v>
      </c>
      <c r="X1517">
        <v>0</v>
      </c>
      <c r="Y1517">
        <v>0</v>
      </c>
      <c r="Z1517">
        <v>0</v>
      </c>
      <c r="AA1517">
        <v>1</v>
      </c>
    </row>
    <row r="1518" spans="1:27" ht="14.25" x14ac:dyDescent="0.2">
      <c r="A1518" s="12">
        <v>30535</v>
      </c>
      <c r="B1518" t="s">
        <v>130</v>
      </c>
      <c r="C1518" t="s">
        <v>121</v>
      </c>
      <c r="D1518" t="s">
        <v>121</v>
      </c>
      <c r="E1518" t="s">
        <v>121</v>
      </c>
      <c r="F1518" s="4" t="s">
        <v>2324</v>
      </c>
      <c r="H1518">
        <v>2</v>
      </c>
      <c r="I1518" s="1">
        <v>0</v>
      </c>
      <c r="J1518">
        <v>0</v>
      </c>
      <c r="K1518">
        <v>0</v>
      </c>
      <c r="L1518" s="20">
        <v>22480</v>
      </c>
      <c r="M1518">
        <v>1</v>
      </c>
      <c r="N1518">
        <v>0</v>
      </c>
      <c r="O1518">
        <v>0</v>
      </c>
      <c r="P1518">
        <v>0</v>
      </c>
      <c r="Q1518" s="22">
        <v>67440</v>
      </c>
      <c r="R1518">
        <v>3</v>
      </c>
      <c r="S1518" s="1">
        <v>0</v>
      </c>
      <c r="T1518">
        <v>0</v>
      </c>
      <c r="U1518">
        <v>0</v>
      </c>
      <c r="V1518" s="21">
        <v>33720</v>
      </c>
      <c r="W1518">
        <v>9</v>
      </c>
      <c r="X1518">
        <v>0</v>
      </c>
      <c r="Y1518">
        <v>0</v>
      </c>
      <c r="Z1518">
        <v>0</v>
      </c>
      <c r="AA1518">
        <v>10</v>
      </c>
    </row>
    <row r="1519" spans="1:27" ht="14.25" x14ac:dyDescent="0.2">
      <c r="A1519" s="12">
        <v>30536</v>
      </c>
      <c r="B1519" t="s">
        <v>181</v>
      </c>
      <c r="C1519" t="s">
        <v>121</v>
      </c>
      <c r="D1519" t="s">
        <v>121</v>
      </c>
      <c r="E1519" t="s">
        <v>121</v>
      </c>
      <c r="F1519" s="4" t="s">
        <v>2326</v>
      </c>
      <c r="H1519">
        <v>2</v>
      </c>
      <c r="I1519" s="1">
        <v>0</v>
      </c>
      <c r="J1519">
        <v>0</v>
      </c>
      <c r="K1519">
        <v>0</v>
      </c>
      <c r="L1519" s="20">
        <v>22520</v>
      </c>
      <c r="M1519">
        <v>1</v>
      </c>
      <c r="N1519">
        <v>0</v>
      </c>
      <c r="O1519">
        <v>0</v>
      </c>
      <c r="P1519">
        <v>0</v>
      </c>
      <c r="Q1519" s="22">
        <v>67440</v>
      </c>
      <c r="R1519">
        <v>3</v>
      </c>
      <c r="S1519" s="1">
        <v>0</v>
      </c>
      <c r="T1519">
        <v>0</v>
      </c>
      <c r="U1519">
        <v>0</v>
      </c>
      <c r="V1519" s="21">
        <v>33720</v>
      </c>
      <c r="W1519">
        <v>30</v>
      </c>
      <c r="X1519">
        <v>0</v>
      </c>
      <c r="Y1519">
        <v>0</v>
      </c>
      <c r="Z1519">
        <v>0</v>
      </c>
      <c r="AA1519">
        <v>10</v>
      </c>
    </row>
    <row r="1520" spans="1:27" ht="14.25" x14ac:dyDescent="0.2">
      <c r="A1520" s="12">
        <v>30537</v>
      </c>
      <c r="B1520" t="s">
        <v>122</v>
      </c>
      <c r="C1520" t="s">
        <v>121</v>
      </c>
      <c r="D1520" t="s">
        <v>121</v>
      </c>
      <c r="E1520" t="s">
        <v>121</v>
      </c>
      <c r="F1520" s="4" t="s">
        <v>2326</v>
      </c>
      <c r="H1520">
        <v>2</v>
      </c>
      <c r="I1520" s="1">
        <v>0</v>
      </c>
      <c r="J1520">
        <v>0</v>
      </c>
      <c r="K1520">
        <v>0</v>
      </c>
      <c r="L1520" s="20">
        <v>22520</v>
      </c>
      <c r="M1520">
        <v>1</v>
      </c>
      <c r="N1520">
        <v>0</v>
      </c>
      <c r="O1520">
        <v>0</v>
      </c>
      <c r="P1520">
        <v>0</v>
      </c>
      <c r="Q1520" s="22">
        <v>67440</v>
      </c>
      <c r="R1520">
        <v>3</v>
      </c>
      <c r="S1520" s="1">
        <v>0</v>
      </c>
      <c r="T1520">
        <v>0</v>
      </c>
      <c r="U1520">
        <v>0</v>
      </c>
      <c r="V1520" s="21">
        <v>33720</v>
      </c>
      <c r="W1520">
        <v>4</v>
      </c>
      <c r="X1520">
        <v>0</v>
      </c>
      <c r="Y1520">
        <v>0</v>
      </c>
      <c r="Z1520">
        <v>0</v>
      </c>
      <c r="AA1520">
        <v>10</v>
      </c>
    </row>
    <row r="1521" spans="1:27" ht="14.25" x14ac:dyDescent="0.2">
      <c r="A1521" s="12">
        <v>30538</v>
      </c>
      <c r="B1521" t="s">
        <v>178</v>
      </c>
      <c r="C1521" t="s">
        <v>121</v>
      </c>
      <c r="D1521" t="s">
        <v>121</v>
      </c>
      <c r="E1521" t="s">
        <v>121</v>
      </c>
      <c r="F1521" s="4" t="s">
        <v>2328</v>
      </c>
      <c r="H1521">
        <v>2</v>
      </c>
      <c r="I1521" s="1">
        <v>0</v>
      </c>
      <c r="J1521">
        <v>0</v>
      </c>
      <c r="K1521">
        <v>0</v>
      </c>
      <c r="L1521" s="20">
        <v>22520</v>
      </c>
      <c r="M1521">
        <v>1</v>
      </c>
      <c r="N1521">
        <v>0</v>
      </c>
      <c r="O1521">
        <v>0</v>
      </c>
      <c r="P1521">
        <v>0</v>
      </c>
      <c r="Q1521" s="22">
        <v>67560</v>
      </c>
      <c r="R1521">
        <v>3</v>
      </c>
      <c r="S1521" s="1">
        <v>0</v>
      </c>
      <c r="T1521">
        <v>0</v>
      </c>
      <c r="U1521">
        <v>0</v>
      </c>
      <c r="V1521" s="21">
        <v>33780</v>
      </c>
      <c r="W1521">
        <v>21</v>
      </c>
      <c r="X1521">
        <v>0</v>
      </c>
      <c r="Y1521">
        <v>0</v>
      </c>
      <c r="Z1521">
        <v>0</v>
      </c>
      <c r="AA1521">
        <v>1</v>
      </c>
    </row>
    <row r="1522" spans="1:27" ht="14.25" x14ac:dyDescent="0.2">
      <c r="A1522" s="12">
        <v>30539</v>
      </c>
      <c r="B1522" t="s">
        <v>130</v>
      </c>
      <c r="C1522" t="s">
        <v>121</v>
      </c>
      <c r="D1522" t="s">
        <v>121</v>
      </c>
      <c r="E1522" t="s">
        <v>121</v>
      </c>
      <c r="F1522" s="4" t="s">
        <v>2330</v>
      </c>
      <c r="H1522">
        <v>2</v>
      </c>
      <c r="I1522" s="1">
        <v>0</v>
      </c>
      <c r="J1522">
        <v>0</v>
      </c>
      <c r="K1522">
        <v>0</v>
      </c>
      <c r="L1522" s="20">
        <v>22520</v>
      </c>
      <c r="M1522">
        <v>1</v>
      </c>
      <c r="N1522">
        <v>0</v>
      </c>
      <c r="O1522">
        <v>0</v>
      </c>
      <c r="P1522">
        <v>0</v>
      </c>
      <c r="Q1522" s="22">
        <v>67560</v>
      </c>
      <c r="R1522">
        <v>3</v>
      </c>
      <c r="S1522" s="1">
        <v>0</v>
      </c>
      <c r="T1522">
        <v>0</v>
      </c>
      <c r="U1522">
        <v>0</v>
      </c>
      <c r="V1522" s="21">
        <v>33780</v>
      </c>
      <c r="W1522">
        <v>9</v>
      </c>
      <c r="X1522">
        <v>0</v>
      </c>
      <c r="Y1522">
        <v>0</v>
      </c>
      <c r="Z1522">
        <v>0</v>
      </c>
      <c r="AA1522">
        <v>10</v>
      </c>
    </row>
    <row r="1523" spans="1:27" ht="14.25" x14ac:dyDescent="0.2">
      <c r="A1523" s="12">
        <v>30540</v>
      </c>
      <c r="B1523" t="s">
        <v>123</v>
      </c>
      <c r="C1523" t="s">
        <v>121</v>
      </c>
      <c r="D1523" t="s">
        <v>121</v>
      </c>
      <c r="E1523" t="s">
        <v>121</v>
      </c>
      <c r="F1523" s="4" t="s">
        <v>2330</v>
      </c>
      <c r="H1523">
        <v>2</v>
      </c>
      <c r="I1523" s="1">
        <v>0</v>
      </c>
      <c r="J1523">
        <v>0</v>
      </c>
      <c r="K1523">
        <v>0</v>
      </c>
      <c r="L1523" s="20">
        <v>22520</v>
      </c>
      <c r="M1523">
        <v>1</v>
      </c>
      <c r="N1523">
        <v>0</v>
      </c>
      <c r="O1523">
        <v>0</v>
      </c>
      <c r="P1523">
        <v>0</v>
      </c>
      <c r="Q1523" s="22">
        <v>67560</v>
      </c>
      <c r="R1523">
        <v>3</v>
      </c>
      <c r="S1523" s="1">
        <v>0</v>
      </c>
      <c r="T1523">
        <v>0</v>
      </c>
      <c r="U1523">
        <v>0</v>
      </c>
      <c r="V1523" s="21">
        <v>33780</v>
      </c>
      <c r="W1523">
        <v>12</v>
      </c>
      <c r="X1523">
        <v>0</v>
      </c>
      <c r="Y1523">
        <v>0</v>
      </c>
      <c r="Z1523">
        <v>0</v>
      </c>
      <c r="AA1523">
        <v>10</v>
      </c>
    </row>
    <row r="1524" spans="1:27" ht="14.25" x14ac:dyDescent="0.2">
      <c r="A1524" s="12">
        <v>30541</v>
      </c>
      <c r="B1524" t="s">
        <v>126</v>
      </c>
      <c r="C1524" t="s">
        <v>121</v>
      </c>
      <c r="D1524" t="s">
        <v>121</v>
      </c>
      <c r="E1524" t="s">
        <v>121</v>
      </c>
      <c r="F1524" s="4" t="s">
        <v>2332</v>
      </c>
      <c r="H1524">
        <v>2</v>
      </c>
      <c r="I1524" s="1">
        <v>0</v>
      </c>
      <c r="J1524">
        <v>0</v>
      </c>
      <c r="K1524">
        <v>0</v>
      </c>
      <c r="L1524" s="20">
        <v>22560</v>
      </c>
      <c r="M1524">
        <v>1</v>
      </c>
      <c r="N1524">
        <v>0</v>
      </c>
      <c r="O1524">
        <v>0</v>
      </c>
      <c r="P1524">
        <v>0</v>
      </c>
      <c r="Q1524" s="22">
        <v>67560</v>
      </c>
      <c r="R1524">
        <v>3</v>
      </c>
      <c r="S1524" s="1">
        <v>0</v>
      </c>
      <c r="T1524">
        <v>0</v>
      </c>
      <c r="U1524">
        <v>0</v>
      </c>
      <c r="V1524" s="21">
        <v>33780</v>
      </c>
      <c r="W1524">
        <v>23</v>
      </c>
      <c r="X1524">
        <v>0</v>
      </c>
      <c r="Y1524">
        <v>0</v>
      </c>
      <c r="Z1524">
        <v>0</v>
      </c>
      <c r="AA1524">
        <v>1</v>
      </c>
    </row>
    <row r="1525" spans="1:27" ht="14.25" x14ac:dyDescent="0.2">
      <c r="A1525" s="12">
        <v>30542</v>
      </c>
      <c r="B1525" t="s">
        <v>131</v>
      </c>
      <c r="C1525" t="s">
        <v>125</v>
      </c>
      <c r="D1525" t="s">
        <v>121</v>
      </c>
      <c r="E1525" t="s">
        <v>136</v>
      </c>
      <c r="F1525" s="4" t="s">
        <v>2334</v>
      </c>
      <c r="H1525">
        <v>2</v>
      </c>
      <c r="I1525" s="1">
        <v>0</v>
      </c>
      <c r="J1525">
        <v>0</v>
      </c>
      <c r="K1525">
        <v>0</v>
      </c>
      <c r="L1525" s="20">
        <v>22560</v>
      </c>
      <c r="M1525">
        <v>1</v>
      </c>
      <c r="N1525">
        <v>0</v>
      </c>
      <c r="O1525">
        <v>0</v>
      </c>
      <c r="P1525">
        <v>0</v>
      </c>
      <c r="Q1525" s="22">
        <v>67560</v>
      </c>
      <c r="R1525">
        <v>3</v>
      </c>
      <c r="S1525" s="1">
        <v>0</v>
      </c>
      <c r="T1525">
        <v>0</v>
      </c>
      <c r="U1525">
        <v>0</v>
      </c>
      <c r="V1525" s="21">
        <v>33780</v>
      </c>
      <c r="W1525">
        <v>6</v>
      </c>
      <c r="X1525">
        <v>1</v>
      </c>
      <c r="Y1525">
        <v>0</v>
      </c>
      <c r="Z1525">
        <v>3</v>
      </c>
      <c r="AA1525">
        <v>10</v>
      </c>
    </row>
    <row r="1526" spans="1:27" ht="14.25" x14ac:dyDescent="0.2">
      <c r="A1526" s="12">
        <v>30543</v>
      </c>
      <c r="B1526" t="s">
        <v>180</v>
      </c>
      <c r="C1526" t="s">
        <v>121</v>
      </c>
      <c r="D1526" t="s">
        <v>121</v>
      </c>
      <c r="E1526" t="s">
        <v>121</v>
      </c>
      <c r="F1526" s="4" t="s">
        <v>2336</v>
      </c>
      <c r="H1526">
        <v>2</v>
      </c>
      <c r="I1526" s="1">
        <v>0</v>
      </c>
      <c r="J1526">
        <v>0</v>
      </c>
      <c r="K1526">
        <v>0</v>
      </c>
      <c r="L1526" s="20">
        <v>22560</v>
      </c>
      <c r="M1526">
        <v>1</v>
      </c>
      <c r="N1526">
        <v>0</v>
      </c>
      <c r="O1526">
        <v>0</v>
      </c>
      <c r="P1526">
        <v>0</v>
      </c>
      <c r="Q1526" s="22">
        <v>67680</v>
      </c>
      <c r="R1526">
        <v>3</v>
      </c>
      <c r="S1526" s="1">
        <v>0</v>
      </c>
      <c r="T1526">
        <v>0</v>
      </c>
      <c r="U1526">
        <v>0</v>
      </c>
      <c r="V1526" s="21">
        <v>33840</v>
      </c>
      <c r="W1526">
        <v>15</v>
      </c>
      <c r="X1526">
        <v>0</v>
      </c>
      <c r="Y1526">
        <v>0</v>
      </c>
      <c r="Z1526">
        <v>0</v>
      </c>
      <c r="AA1526">
        <v>1</v>
      </c>
    </row>
    <row r="1527" spans="1:27" ht="14.25" x14ac:dyDescent="0.2">
      <c r="A1527" s="12">
        <v>30544</v>
      </c>
      <c r="B1527" t="s">
        <v>178</v>
      </c>
      <c r="C1527" t="s">
        <v>121</v>
      </c>
      <c r="D1527" t="s">
        <v>121</v>
      </c>
      <c r="E1527" t="s">
        <v>121</v>
      </c>
      <c r="F1527" s="4" t="s">
        <v>2336</v>
      </c>
      <c r="H1527">
        <v>2</v>
      </c>
      <c r="I1527" s="1">
        <v>0</v>
      </c>
      <c r="J1527">
        <v>0</v>
      </c>
      <c r="K1527">
        <v>0</v>
      </c>
      <c r="L1527" s="20">
        <v>22560</v>
      </c>
      <c r="M1527">
        <v>1</v>
      </c>
      <c r="N1527">
        <v>0</v>
      </c>
      <c r="O1527">
        <v>0</v>
      </c>
      <c r="P1527">
        <v>0</v>
      </c>
      <c r="Q1527" s="22">
        <v>67680</v>
      </c>
      <c r="R1527">
        <v>3</v>
      </c>
      <c r="S1527" s="1">
        <v>0</v>
      </c>
      <c r="T1527">
        <v>0</v>
      </c>
      <c r="U1527">
        <v>0</v>
      </c>
      <c r="V1527" s="21">
        <v>33840</v>
      </c>
      <c r="W1527">
        <v>21</v>
      </c>
      <c r="X1527">
        <v>0</v>
      </c>
      <c r="Y1527">
        <v>0</v>
      </c>
      <c r="Z1527">
        <v>0</v>
      </c>
      <c r="AA1527">
        <v>1</v>
      </c>
    </row>
    <row r="1528" spans="1:27" ht="14.25" x14ac:dyDescent="0.2">
      <c r="A1528" s="12">
        <v>30545</v>
      </c>
      <c r="B1528" t="s">
        <v>130</v>
      </c>
      <c r="C1528" t="s">
        <v>121</v>
      </c>
      <c r="D1528" t="s">
        <v>121</v>
      </c>
      <c r="E1528" t="s">
        <v>121</v>
      </c>
      <c r="F1528" s="4" t="s">
        <v>2338</v>
      </c>
      <c r="H1528">
        <v>2</v>
      </c>
      <c r="I1528" s="1">
        <v>0</v>
      </c>
      <c r="J1528">
        <v>0</v>
      </c>
      <c r="K1528">
        <v>0</v>
      </c>
      <c r="L1528" s="20">
        <v>22560</v>
      </c>
      <c r="M1528">
        <v>1</v>
      </c>
      <c r="N1528">
        <v>0</v>
      </c>
      <c r="O1528">
        <v>0</v>
      </c>
      <c r="P1528">
        <v>0</v>
      </c>
      <c r="Q1528" s="22">
        <v>67680</v>
      </c>
      <c r="R1528">
        <v>3</v>
      </c>
      <c r="S1528" s="1">
        <v>0</v>
      </c>
      <c r="T1528">
        <v>0</v>
      </c>
      <c r="U1528">
        <v>0</v>
      </c>
      <c r="V1528" s="21">
        <v>33840</v>
      </c>
      <c r="W1528">
        <v>9</v>
      </c>
      <c r="X1528">
        <v>0</v>
      </c>
      <c r="Y1528">
        <v>0</v>
      </c>
      <c r="Z1528">
        <v>0</v>
      </c>
      <c r="AA1528">
        <v>10</v>
      </c>
    </row>
    <row r="1529" spans="1:27" ht="14.25" x14ac:dyDescent="0.2">
      <c r="A1529" s="12">
        <v>30546</v>
      </c>
      <c r="B1529" t="s">
        <v>181</v>
      </c>
      <c r="C1529" t="s">
        <v>121</v>
      </c>
      <c r="D1529" t="s">
        <v>121</v>
      </c>
      <c r="E1529" t="s">
        <v>121</v>
      </c>
      <c r="F1529" s="4" t="s">
        <v>2340</v>
      </c>
      <c r="H1529">
        <v>2</v>
      </c>
      <c r="I1529" s="1">
        <v>0</v>
      </c>
      <c r="J1529">
        <v>0</v>
      </c>
      <c r="K1529">
        <v>0</v>
      </c>
      <c r="L1529" s="20">
        <v>22600</v>
      </c>
      <c r="M1529">
        <v>1</v>
      </c>
      <c r="N1529">
        <v>0</v>
      </c>
      <c r="O1529">
        <v>0</v>
      </c>
      <c r="P1529">
        <v>0</v>
      </c>
      <c r="Q1529" s="22">
        <v>67680</v>
      </c>
      <c r="R1529">
        <v>3</v>
      </c>
      <c r="S1529" s="1">
        <v>0</v>
      </c>
      <c r="T1529">
        <v>0</v>
      </c>
      <c r="U1529">
        <v>0</v>
      </c>
      <c r="V1529" s="21">
        <v>33840</v>
      </c>
      <c r="W1529">
        <v>30</v>
      </c>
      <c r="X1529">
        <v>0</v>
      </c>
      <c r="Y1529">
        <v>0</v>
      </c>
      <c r="Z1529">
        <v>0</v>
      </c>
      <c r="AA1529">
        <v>10</v>
      </c>
    </row>
    <row r="1530" spans="1:27" ht="14.25" x14ac:dyDescent="0.2">
      <c r="A1530" s="12">
        <v>30547</v>
      </c>
      <c r="B1530" t="s">
        <v>122</v>
      </c>
      <c r="C1530" t="s">
        <v>121</v>
      </c>
      <c r="D1530" t="s">
        <v>121</v>
      </c>
      <c r="E1530" t="s">
        <v>121</v>
      </c>
      <c r="F1530" s="4" t="s">
        <v>2340</v>
      </c>
      <c r="H1530">
        <v>2</v>
      </c>
      <c r="I1530" s="1">
        <v>0</v>
      </c>
      <c r="J1530">
        <v>0</v>
      </c>
      <c r="K1530">
        <v>0</v>
      </c>
      <c r="L1530" s="20">
        <v>22600</v>
      </c>
      <c r="M1530">
        <v>1</v>
      </c>
      <c r="N1530">
        <v>0</v>
      </c>
      <c r="O1530">
        <v>0</v>
      </c>
      <c r="P1530">
        <v>0</v>
      </c>
      <c r="Q1530" s="22">
        <v>67680</v>
      </c>
      <c r="R1530">
        <v>3</v>
      </c>
      <c r="S1530" s="1">
        <v>0</v>
      </c>
      <c r="T1530">
        <v>0</v>
      </c>
      <c r="U1530">
        <v>0</v>
      </c>
      <c r="V1530" s="21">
        <v>33840</v>
      </c>
      <c r="W1530">
        <v>4</v>
      </c>
      <c r="X1530">
        <v>0</v>
      </c>
      <c r="Y1530">
        <v>0</v>
      </c>
      <c r="Z1530">
        <v>0</v>
      </c>
      <c r="AA1530">
        <v>10</v>
      </c>
    </row>
    <row r="1531" spans="1:27" ht="14.25" x14ac:dyDescent="0.2">
      <c r="A1531" s="12">
        <v>30548</v>
      </c>
      <c r="B1531" t="s">
        <v>178</v>
      </c>
      <c r="C1531" t="s">
        <v>121</v>
      </c>
      <c r="D1531" t="s">
        <v>121</v>
      </c>
      <c r="E1531" t="s">
        <v>121</v>
      </c>
      <c r="F1531" s="4" t="s">
        <v>2342</v>
      </c>
      <c r="H1531">
        <v>2</v>
      </c>
      <c r="I1531" s="1">
        <v>0</v>
      </c>
      <c r="J1531">
        <v>0</v>
      </c>
      <c r="K1531">
        <v>0</v>
      </c>
      <c r="L1531" s="20">
        <v>22600</v>
      </c>
      <c r="M1531">
        <v>1</v>
      </c>
      <c r="N1531">
        <v>0</v>
      </c>
      <c r="O1531">
        <v>0</v>
      </c>
      <c r="P1531">
        <v>0</v>
      </c>
      <c r="Q1531" s="22">
        <v>67800</v>
      </c>
      <c r="R1531">
        <v>3</v>
      </c>
      <c r="S1531" s="1">
        <v>0</v>
      </c>
      <c r="T1531">
        <v>0</v>
      </c>
      <c r="U1531">
        <v>0</v>
      </c>
      <c r="V1531" s="21">
        <v>33900</v>
      </c>
      <c r="W1531">
        <v>21</v>
      </c>
      <c r="X1531">
        <v>0</v>
      </c>
      <c r="Y1531">
        <v>0</v>
      </c>
      <c r="Z1531">
        <v>0</v>
      </c>
      <c r="AA1531">
        <v>1</v>
      </c>
    </row>
    <row r="1532" spans="1:27" ht="14.25" x14ac:dyDescent="0.2">
      <c r="A1532" s="12">
        <v>30549</v>
      </c>
      <c r="B1532" t="s">
        <v>130</v>
      </c>
      <c r="C1532" t="s">
        <v>121</v>
      </c>
      <c r="D1532" t="s">
        <v>121</v>
      </c>
      <c r="E1532" t="s">
        <v>121</v>
      </c>
      <c r="F1532" s="4" t="s">
        <v>2344</v>
      </c>
      <c r="H1532">
        <v>2</v>
      </c>
      <c r="I1532" s="1">
        <v>0</v>
      </c>
      <c r="J1532">
        <v>0</v>
      </c>
      <c r="K1532">
        <v>0</v>
      </c>
      <c r="L1532" s="20">
        <v>22600</v>
      </c>
      <c r="M1532">
        <v>1</v>
      </c>
      <c r="N1532">
        <v>0</v>
      </c>
      <c r="O1532">
        <v>0</v>
      </c>
      <c r="P1532">
        <v>0</v>
      </c>
      <c r="Q1532" s="22">
        <v>67800</v>
      </c>
      <c r="R1532">
        <v>3</v>
      </c>
      <c r="S1532" s="1">
        <v>0</v>
      </c>
      <c r="T1532">
        <v>0</v>
      </c>
      <c r="U1532">
        <v>0</v>
      </c>
      <c r="V1532" s="21">
        <v>33900</v>
      </c>
      <c r="W1532">
        <v>9</v>
      </c>
      <c r="X1532">
        <v>0</v>
      </c>
      <c r="Y1532">
        <v>0</v>
      </c>
      <c r="Z1532">
        <v>0</v>
      </c>
      <c r="AA1532">
        <v>10</v>
      </c>
    </row>
    <row r="1533" spans="1:27" ht="14.25" x14ac:dyDescent="0.2">
      <c r="A1533" s="12">
        <v>30550</v>
      </c>
      <c r="B1533" t="s">
        <v>123</v>
      </c>
      <c r="C1533" t="s">
        <v>121</v>
      </c>
      <c r="D1533" t="s">
        <v>121</v>
      </c>
      <c r="E1533" t="s">
        <v>121</v>
      </c>
      <c r="F1533" s="4" t="s">
        <v>2344</v>
      </c>
      <c r="H1533">
        <v>2</v>
      </c>
      <c r="I1533" s="1">
        <v>0</v>
      </c>
      <c r="J1533">
        <v>0</v>
      </c>
      <c r="K1533">
        <v>0</v>
      </c>
      <c r="L1533" s="20">
        <v>22600</v>
      </c>
      <c r="M1533">
        <v>1</v>
      </c>
      <c r="N1533">
        <v>0</v>
      </c>
      <c r="O1533">
        <v>0</v>
      </c>
      <c r="P1533">
        <v>0</v>
      </c>
      <c r="Q1533" s="22">
        <v>67800</v>
      </c>
      <c r="R1533">
        <v>3</v>
      </c>
      <c r="S1533" s="1">
        <v>0</v>
      </c>
      <c r="T1533">
        <v>0</v>
      </c>
      <c r="U1533">
        <v>0</v>
      </c>
      <c r="V1533" s="21">
        <v>33900</v>
      </c>
      <c r="W1533">
        <v>12</v>
      </c>
      <c r="X1533">
        <v>0</v>
      </c>
      <c r="Y1533">
        <v>0</v>
      </c>
      <c r="Z1533">
        <v>0</v>
      </c>
      <c r="AA1533">
        <v>10</v>
      </c>
    </row>
    <row r="1534" spans="1:27" ht="14.25" x14ac:dyDescent="0.2">
      <c r="A1534" s="12">
        <v>30601</v>
      </c>
      <c r="B1534" t="s">
        <v>126</v>
      </c>
      <c r="C1534" t="s">
        <v>121</v>
      </c>
      <c r="D1534" t="s">
        <v>121</v>
      </c>
      <c r="E1534" t="s">
        <v>121</v>
      </c>
      <c r="F1534" s="4" t="s">
        <v>2346</v>
      </c>
      <c r="H1534">
        <v>2</v>
      </c>
      <c r="I1534" s="1">
        <v>0</v>
      </c>
      <c r="J1534">
        <v>0</v>
      </c>
      <c r="K1534">
        <v>0</v>
      </c>
      <c r="L1534" s="20">
        <v>22640</v>
      </c>
      <c r="M1534">
        <v>1</v>
      </c>
      <c r="N1534">
        <v>0</v>
      </c>
      <c r="O1534">
        <v>0</v>
      </c>
      <c r="P1534">
        <v>0</v>
      </c>
      <c r="Q1534" s="22">
        <v>67800</v>
      </c>
      <c r="R1534">
        <v>3</v>
      </c>
      <c r="S1534" s="1">
        <v>0</v>
      </c>
      <c r="T1534">
        <v>0</v>
      </c>
      <c r="U1534">
        <v>0</v>
      </c>
      <c r="V1534" s="21">
        <v>33900</v>
      </c>
      <c r="W1534">
        <v>23</v>
      </c>
      <c r="X1534">
        <v>0</v>
      </c>
      <c r="Y1534">
        <v>0</v>
      </c>
      <c r="Z1534">
        <v>0</v>
      </c>
      <c r="AA1534">
        <v>1</v>
      </c>
    </row>
    <row r="1535" spans="1:27" ht="14.25" x14ac:dyDescent="0.2">
      <c r="A1535" s="12">
        <v>30602</v>
      </c>
      <c r="B1535" t="s">
        <v>131</v>
      </c>
      <c r="C1535" t="s">
        <v>125</v>
      </c>
      <c r="D1535" t="s">
        <v>121</v>
      </c>
      <c r="E1535" t="s">
        <v>136</v>
      </c>
      <c r="F1535" s="4" t="s">
        <v>2348</v>
      </c>
      <c r="H1535">
        <v>2</v>
      </c>
      <c r="I1535" s="1">
        <v>0</v>
      </c>
      <c r="J1535">
        <v>0</v>
      </c>
      <c r="K1535">
        <v>0</v>
      </c>
      <c r="L1535" s="20">
        <v>22640</v>
      </c>
      <c r="M1535">
        <v>1</v>
      </c>
      <c r="N1535">
        <v>0</v>
      </c>
      <c r="O1535">
        <v>0</v>
      </c>
      <c r="P1535">
        <v>0</v>
      </c>
      <c r="Q1535" s="22">
        <v>67800</v>
      </c>
      <c r="R1535">
        <v>3</v>
      </c>
      <c r="S1535" s="1">
        <v>0</v>
      </c>
      <c r="T1535">
        <v>0</v>
      </c>
      <c r="U1535">
        <v>0</v>
      </c>
      <c r="V1535" s="21">
        <v>33900</v>
      </c>
      <c r="W1535">
        <v>6</v>
      </c>
      <c r="X1535">
        <v>1</v>
      </c>
      <c r="Y1535">
        <v>0</v>
      </c>
      <c r="Z1535">
        <v>3</v>
      </c>
      <c r="AA1535">
        <v>10</v>
      </c>
    </row>
    <row r="1536" spans="1:27" ht="14.25" x14ac:dyDescent="0.2">
      <c r="A1536" s="12">
        <v>30603</v>
      </c>
      <c r="B1536" t="s">
        <v>180</v>
      </c>
      <c r="C1536" t="s">
        <v>121</v>
      </c>
      <c r="D1536" t="s">
        <v>121</v>
      </c>
      <c r="E1536" t="s">
        <v>121</v>
      </c>
      <c r="F1536" s="4" t="s">
        <v>2350</v>
      </c>
      <c r="H1536">
        <v>2</v>
      </c>
      <c r="I1536" s="1">
        <v>0</v>
      </c>
      <c r="J1536">
        <v>0</v>
      </c>
      <c r="K1536">
        <v>0</v>
      </c>
      <c r="L1536" s="20">
        <v>22640</v>
      </c>
      <c r="M1536">
        <v>1</v>
      </c>
      <c r="N1536">
        <v>0</v>
      </c>
      <c r="O1536">
        <v>0</v>
      </c>
      <c r="P1536">
        <v>0</v>
      </c>
      <c r="Q1536" s="22">
        <v>67920</v>
      </c>
      <c r="R1536">
        <v>3</v>
      </c>
      <c r="S1536" s="1">
        <v>0</v>
      </c>
      <c r="T1536">
        <v>0</v>
      </c>
      <c r="U1536">
        <v>0</v>
      </c>
      <c r="V1536" s="21">
        <v>33960</v>
      </c>
      <c r="W1536">
        <v>15</v>
      </c>
      <c r="X1536">
        <v>0</v>
      </c>
      <c r="Y1536">
        <v>0</v>
      </c>
      <c r="Z1536">
        <v>0</v>
      </c>
      <c r="AA1536">
        <v>1</v>
      </c>
    </row>
    <row r="1537" spans="1:27" ht="14.25" x14ac:dyDescent="0.2">
      <c r="A1537" s="12">
        <v>30604</v>
      </c>
      <c r="B1537" t="s">
        <v>178</v>
      </c>
      <c r="C1537" t="s">
        <v>121</v>
      </c>
      <c r="D1537" t="s">
        <v>121</v>
      </c>
      <c r="E1537" t="s">
        <v>121</v>
      </c>
      <c r="F1537" s="4" t="s">
        <v>2350</v>
      </c>
      <c r="H1537">
        <v>2</v>
      </c>
      <c r="I1537" s="1">
        <v>0</v>
      </c>
      <c r="J1537">
        <v>0</v>
      </c>
      <c r="K1537">
        <v>0</v>
      </c>
      <c r="L1537" s="20">
        <v>22640</v>
      </c>
      <c r="M1537">
        <v>1</v>
      </c>
      <c r="N1537">
        <v>0</v>
      </c>
      <c r="O1537">
        <v>0</v>
      </c>
      <c r="P1537">
        <v>0</v>
      </c>
      <c r="Q1537" s="22">
        <v>67920</v>
      </c>
      <c r="R1537">
        <v>3</v>
      </c>
      <c r="S1537" s="1">
        <v>0</v>
      </c>
      <c r="T1537">
        <v>0</v>
      </c>
      <c r="U1537">
        <v>0</v>
      </c>
      <c r="V1537" s="21">
        <v>33960</v>
      </c>
      <c r="W1537">
        <v>21</v>
      </c>
      <c r="X1537">
        <v>0</v>
      </c>
      <c r="Y1537">
        <v>0</v>
      </c>
      <c r="Z1537">
        <v>0</v>
      </c>
      <c r="AA1537">
        <v>1</v>
      </c>
    </row>
    <row r="1538" spans="1:27" ht="14.25" x14ac:dyDescent="0.2">
      <c r="A1538" s="12">
        <v>30605</v>
      </c>
      <c r="B1538" t="s">
        <v>130</v>
      </c>
      <c r="C1538" t="s">
        <v>121</v>
      </c>
      <c r="D1538" t="s">
        <v>121</v>
      </c>
      <c r="E1538" t="s">
        <v>121</v>
      </c>
      <c r="F1538" s="4" t="s">
        <v>2352</v>
      </c>
      <c r="H1538">
        <v>2</v>
      </c>
      <c r="I1538" s="1">
        <v>0</v>
      </c>
      <c r="J1538">
        <v>0</v>
      </c>
      <c r="K1538">
        <v>0</v>
      </c>
      <c r="L1538" s="20">
        <v>22640</v>
      </c>
      <c r="M1538">
        <v>1</v>
      </c>
      <c r="N1538">
        <v>0</v>
      </c>
      <c r="O1538">
        <v>0</v>
      </c>
      <c r="P1538">
        <v>0</v>
      </c>
      <c r="Q1538" s="22">
        <v>67920</v>
      </c>
      <c r="R1538">
        <v>3</v>
      </c>
      <c r="S1538" s="1">
        <v>0</v>
      </c>
      <c r="T1538">
        <v>0</v>
      </c>
      <c r="U1538">
        <v>0</v>
      </c>
      <c r="V1538" s="21">
        <v>33960</v>
      </c>
      <c r="W1538">
        <v>9</v>
      </c>
      <c r="X1538">
        <v>0</v>
      </c>
      <c r="Y1538">
        <v>0</v>
      </c>
      <c r="Z1538">
        <v>0</v>
      </c>
      <c r="AA1538">
        <v>10</v>
      </c>
    </row>
    <row r="1539" spans="1:27" ht="14.25" x14ac:dyDescent="0.2">
      <c r="A1539" s="12">
        <v>30606</v>
      </c>
      <c r="B1539" t="s">
        <v>181</v>
      </c>
      <c r="C1539" t="s">
        <v>121</v>
      </c>
      <c r="D1539" t="s">
        <v>121</v>
      </c>
      <c r="E1539" t="s">
        <v>121</v>
      </c>
      <c r="F1539" s="4" t="s">
        <v>2354</v>
      </c>
      <c r="H1539">
        <v>2</v>
      </c>
      <c r="I1539" s="1">
        <v>0</v>
      </c>
      <c r="J1539">
        <v>0</v>
      </c>
      <c r="K1539">
        <v>0</v>
      </c>
      <c r="L1539" s="20">
        <v>22680</v>
      </c>
      <c r="M1539">
        <v>1</v>
      </c>
      <c r="N1539">
        <v>0</v>
      </c>
      <c r="O1539">
        <v>0</v>
      </c>
      <c r="P1539">
        <v>0</v>
      </c>
      <c r="Q1539" s="22">
        <v>67920</v>
      </c>
      <c r="R1539">
        <v>3</v>
      </c>
      <c r="S1539" s="1">
        <v>0</v>
      </c>
      <c r="T1539">
        <v>0</v>
      </c>
      <c r="U1539">
        <v>0</v>
      </c>
      <c r="V1539" s="21">
        <v>33960</v>
      </c>
      <c r="W1539">
        <v>30</v>
      </c>
      <c r="X1539">
        <v>0</v>
      </c>
      <c r="Y1539">
        <v>0</v>
      </c>
      <c r="Z1539">
        <v>0</v>
      </c>
      <c r="AA1539">
        <v>10</v>
      </c>
    </row>
    <row r="1540" spans="1:27" ht="14.25" x14ac:dyDescent="0.2">
      <c r="A1540" s="12">
        <v>30607</v>
      </c>
      <c r="B1540" t="s">
        <v>122</v>
      </c>
      <c r="C1540" t="s">
        <v>121</v>
      </c>
      <c r="D1540" t="s">
        <v>121</v>
      </c>
      <c r="E1540" t="s">
        <v>121</v>
      </c>
      <c r="F1540" s="4" t="s">
        <v>2354</v>
      </c>
      <c r="H1540">
        <v>2</v>
      </c>
      <c r="I1540" s="1">
        <v>0</v>
      </c>
      <c r="J1540">
        <v>0</v>
      </c>
      <c r="K1540">
        <v>0</v>
      </c>
      <c r="L1540" s="20">
        <v>22680</v>
      </c>
      <c r="M1540">
        <v>1</v>
      </c>
      <c r="N1540">
        <v>0</v>
      </c>
      <c r="O1540">
        <v>0</v>
      </c>
      <c r="P1540">
        <v>0</v>
      </c>
      <c r="Q1540" s="22">
        <v>67920</v>
      </c>
      <c r="R1540">
        <v>3</v>
      </c>
      <c r="S1540" s="1">
        <v>0</v>
      </c>
      <c r="T1540">
        <v>0</v>
      </c>
      <c r="U1540">
        <v>0</v>
      </c>
      <c r="V1540" s="21">
        <v>33960</v>
      </c>
      <c r="W1540">
        <v>4</v>
      </c>
      <c r="X1540">
        <v>0</v>
      </c>
      <c r="Y1540">
        <v>0</v>
      </c>
      <c r="Z1540">
        <v>0</v>
      </c>
      <c r="AA1540">
        <v>10</v>
      </c>
    </row>
    <row r="1541" spans="1:27" ht="14.25" x14ac:dyDescent="0.2">
      <c r="A1541" s="12">
        <v>30608</v>
      </c>
      <c r="B1541" t="s">
        <v>178</v>
      </c>
      <c r="C1541" t="s">
        <v>121</v>
      </c>
      <c r="D1541" t="s">
        <v>121</v>
      </c>
      <c r="E1541" t="s">
        <v>121</v>
      </c>
      <c r="F1541" s="4" t="s">
        <v>2356</v>
      </c>
      <c r="H1541">
        <v>2</v>
      </c>
      <c r="I1541" s="1">
        <v>0</v>
      </c>
      <c r="J1541">
        <v>0</v>
      </c>
      <c r="K1541">
        <v>0</v>
      </c>
      <c r="L1541" s="20">
        <v>22680</v>
      </c>
      <c r="M1541">
        <v>1</v>
      </c>
      <c r="N1541">
        <v>0</v>
      </c>
      <c r="O1541">
        <v>0</v>
      </c>
      <c r="P1541">
        <v>0</v>
      </c>
      <c r="Q1541" s="22">
        <v>68040</v>
      </c>
      <c r="R1541">
        <v>3</v>
      </c>
      <c r="S1541" s="1">
        <v>0</v>
      </c>
      <c r="T1541">
        <v>0</v>
      </c>
      <c r="U1541">
        <v>0</v>
      </c>
      <c r="V1541" s="21">
        <v>34020</v>
      </c>
      <c r="W1541">
        <v>21</v>
      </c>
      <c r="X1541">
        <v>0</v>
      </c>
      <c r="Y1541">
        <v>0</v>
      </c>
      <c r="Z1541">
        <v>0</v>
      </c>
      <c r="AA1541">
        <v>1</v>
      </c>
    </row>
    <row r="1542" spans="1:27" ht="14.25" x14ac:dyDescent="0.2">
      <c r="A1542" s="12">
        <v>30609</v>
      </c>
      <c r="B1542" t="s">
        <v>130</v>
      </c>
      <c r="C1542" t="s">
        <v>121</v>
      </c>
      <c r="D1542" t="s">
        <v>121</v>
      </c>
      <c r="E1542" t="s">
        <v>121</v>
      </c>
      <c r="F1542" s="4" t="s">
        <v>2358</v>
      </c>
      <c r="H1542">
        <v>2</v>
      </c>
      <c r="I1542" s="1">
        <v>0</v>
      </c>
      <c r="J1542">
        <v>0</v>
      </c>
      <c r="K1542">
        <v>0</v>
      </c>
      <c r="L1542" s="20">
        <v>22680</v>
      </c>
      <c r="M1542">
        <v>1</v>
      </c>
      <c r="N1542">
        <v>0</v>
      </c>
      <c r="O1542">
        <v>0</v>
      </c>
      <c r="P1542">
        <v>0</v>
      </c>
      <c r="Q1542" s="22">
        <v>68040</v>
      </c>
      <c r="R1542">
        <v>3</v>
      </c>
      <c r="S1542" s="1">
        <v>0</v>
      </c>
      <c r="T1542">
        <v>0</v>
      </c>
      <c r="U1542">
        <v>0</v>
      </c>
      <c r="V1542" s="21">
        <v>34020</v>
      </c>
      <c r="W1542">
        <v>9</v>
      </c>
      <c r="X1542">
        <v>0</v>
      </c>
      <c r="Y1542">
        <v>0</v>
      </c>
      <c r="Z1542">
        <v>0</v>
      </c>
      <c r="AA1542">
        <v>10</v>
      </c>
    </row>
    <row r="1543" spans="1:27" ht="14.25" x14ac:dyDescent="0.2">
      <c r="A1543" s="12">
        <v>30610</v>
      </c>
      <c r="B1543" t="s">
        <v>123</v>
      </c>
      <c r="C1543" t="s">
        <v>121</v>
      </c>
      <c r="D1543" t="s">
        <v>121</v>
      </c>
      <c r="E1543" t="s">
        <v>121</v>
      </c>
      <c r="F1543" s="4" t="s">
        <v>2358</v>
      </c>
      <c r="H1543">
        <v>2</v>
      </c>
      <c r="I1543" s="1">
        <v>0</v>
      </c>
      <c r="J1543">
        <v>0</v>
      </c>
      <c r="K1543">
        <v>0</v>
      </c>
      <c r="L1543" s="20">
        <v>22680</v>
      </c>
      <c r="M1543">
        <v>1</v>
      </c>
      <c r="N1543">
        <v>0</v>
      </c>
      <c r="O1543">
        <v>0</v>
      </c>
      <c r="P1543">
        <v>0</v>
      </c>
      <c r="Q1543" s="22">
        <v>68040</v>
      </c>
      <c r="R1543">
        <v>3</v>
      </c>
      <c r="S1543" s="1">
        <v>0</v>
      </c>
      <c r="T1543">
        <v>0</v>
      </c>
      <c r="U1543">
        <v>0</v>
      </c>
      <c r="V1543" s="21">
        <v>34020</v>
      </c>
      <c r="W1543">
        <v>12</v>
      </c>
      <c r="X1543">
        <v>0</v>
      </c>
      <c r="Y1543">
        <v>0</v>
      </c>
      <c r="Z1543">
        <v>0</v>
      </c>
      <c r="AA1543">
        <v>10</v>
      </c>
    </row>
    <row r="1544" spans="1:27" ht="14.25" x14ac:dyDescent="0.2">
      <c r="A1544" s="12">
        <v>30611</v>
      </c>
      <c r="B1544" t="s">
        <v>126</v>
      </c>
      <c r="C1544" t="s">
        <v>121</v>
      </c>
      <c r="D1544" t="s">
        <v>121</v>
      </c>
      <c r="E1544" t="s">
        <v>121</v>
      </c>
      <c r="F1544" s="4" t="s">
        <v>2360</v>
      </c>
      <c r="H1544">
        <v>2</v>
      </c>
      <c r="I1544" s="1">
        <v>0</v>
      </c>
      <c r="J1544">
        <v>0</v>
      </c>
      <c r="K1544">
        <v>0</v>
      </c>
      <c r="L1544" s="20">
        <v>22720</v>
      </c>
      <c r="M1544">
        <v>1</v>
      </c>
      <c r="N1544">
        <v>0</v>
      </c>
      <c r="O1544">
        <v>0</v>
      </c>
      <c r="P1544">
        <v>0</v>
      </c>
      <c r="Q1544" s="22">
        <v>68040</v>
      </c>
      <c r="R1544">
        <v>3</v>
      </c>
      <c r="S1544" s="1">
        <v>0</v>
      </c>
      <c r="T1544">
        <v>0</v>
      </c>
      <c r="U1544">
        <v>0</v>
      </c>
      <c r="V1544" s="21">
        <v>34020</v>
      </c>
      <c r="W1544">
        <v>23</v>
      </c>
      <c r="X1544">
        <v>0</v>
      </c>
      <c r="Y1544">
        <v>0</v>
      </c>
      <c r="Z1544">
        <v>0</v>
      </c>
      <c r="AA1544">
        <v>1</v>
      </c>
    </row>
    <row r="1545" spans="1:27" ht="14.25" x14ac:dyDescent="0.2">
      <c r="A1545" s="12">
        <v>30612</v>
      </c>
      <c r="B1545" t="s">
        <v>131</v>
      </c>
      <c r="C1545" t="s">
        <v>125</v>
      </c>
      <c r="D1545" t="s">
        <v>121</v>
      </c>
      <c r="E1545" t="s">
        <v>136</v>
      </c>
      <c r="F1545" s="4" t="s">
        <v>2362</v>
      </c>
      <c r="H1545">
        <v>2</v>
      </c>
      <c r="I1545" s="1">
        <v>0</v>
      </c>
      <c r="J1545">
        <v>0</v>
      </c>
      <c r="K1545">
        <v>0</v>
      </c>
      <c r="L1545" s="20">
        <v>22720</v>
      </c>
      <c r="M1545">
        <v>1</v>
      </c>
      <c r="N1545">
        <v>0</v>
      </c>
      <c r="O1545">
        <v>0</v>
      </c>
      <c r="P1545">
        <v>0</v>
      </c>
      <c r="Q1545" s="22">
        <v>68040</v>
      </c>
      <c r="R1545">
        <v>3</v>
      </c>
      <c r="S1545" s="1">
        <v>0</v>
      </c>
      <c r="T1545">
        <v>0</v>
      </c>
      <c r="U1545">
        <v>0</v>
      </c>
      <c r="V1545" s="21">
        <v>34020</v>
      </c>
      <c r="W1545">
        <v>6</v>
      </c>
      <c r="X1545">
        <v>1</v>
      </c>
      <c r="Y1545">
        <v>0</v>
      </c>
      <c r="Z1545">
        <v>3</v>
      </c>
      <c r="AA1545">
        <v>10</v>
      </c>
    </row>
    <row r="1546" spans="1:27" ht="14.25" x14ac:dyDescent="0.2">
      <c r="A1546" s="12">
        <v>30613</v>
      </c>
      <c r="B1546" t="s">
        <v>180</v>
      </c>
      <c r="C1546" t="s">
        <v>121</v>
      </c>
      <c r="D1546" t="s">
        <v>121</v>
      </c>
      <c r="E1546" t="s">
        <v>121</v>
      </c>
      <c r="F1546" s="4" t="s">
        <v>2364</v>
      </c>
      <c r="H1546">
        <v>2</v>
      </c>
      <c r="I1546" s="1">
        <v>0</v>
      </c>
      <c r="J1546">
        <v>0</v>
      </c>
      <c r="K1546">
        <v>0</v>
      </c>
      <c r="L1546" s="20">
        <v>22720</v>
      </c>
      <c r="M1546">
        <v>1</v>
      </c>
      <c r="N1546">
        <v>0</v>
      </c>
      <c r="O1546">
        <v>0</v>
      </c>
      <c r="P1546">
        <v>0</v>
      </c>
      <c r="Q1546" s="22">
        <v>68160</v>
      </c>
      <c r="R1546">
        <v>3</v>
      </c>
      <c r="S1546" s="1">
        <v>0</v>
      </c>
      <c r="T1546">
        <v>0</v>
      </c>
      <c r="U1546">
        <v>0</v>
      </c>
      <c r="V1546" s="21">
        <v>34080</v>
      </c>
      <c r="W1546">
        <v>15</v>
      </c>
      <c r="X1546">
        <v>0</v>
      </c>
      <c r="Y1546">
        <v>0</v>
      </c>
      <c r="Z1546">
        <v>0</v>
      </c>
      <c r="AA1546">
        <v>1</v>
      </c>
    </row>
    <row r="1547" spans="1:27" ht="14.25" x14ac:dyDescent="0.2">
      <c r="A1547" s="12">
        <v>30614</v>
      </c>
      <c r="B1547" t="s">
        <v>178</v>
      </c>
      <c r="C1547" t="s">
        <v>121</v>
      </c>
      <c r="D1547" t="s">
        <v>121</v>
      </c>
      <c r="E1547" t="s">
        <v>121</v>
      </c>
      <c r="F1547" s="4" t="s">
        <v>2364</v>
      </c>
      <c r="H1547">
        <v>2</v>
      </c>
      <c r="I1547" s="1">
        <v>0</v>
      </c>
      <c r="J1547">
        <v>0</v>
      </c>
      <c r="K1547">
        <v>0</v>
      </c>
      <c r="L1547" s="20">
        <v>22720</v>
      </c>
      <c r="M1547">
        <v>1</v>
      </c>
      <c r="N1547">
        <v>0</v>
      </c>
      <c r="O1547">
        <v>0</v>
      </c>
      <c r="P1547">
        <v>0</v>
      </c>
      <c r="Q1547" s="22">
        <v>68160</v>
      </c>
      <c r="R1547">
        <v>3</v>
      </c>
      <c r="S1547" s="1">
        <v>0</v>
      </c>
      <c r="T1547">
        <v>0</v>
      </c>
      <c r="U1547">
        <v>0</v>
      </c>
      <c r="V1547" s="21">
        <v>34080</v>
      </c>
      <c r="W1547">
        <v>21</v>
      </c>
      <c r="X1547">
        <v>0</v>
      </c>
      <c r="Y1547">
        <v>0</v>
      </c>
      <c r="Z1547">
        <v>0</v>
      </c>
      <c r="AA1547">
        <v>1</v>
      </c>
    </row>
    <row r="1548" spans="1:27" ht="14.25" x14ac:dyDescent="0.2">
      <c r="A1548" s="12">
        <v>30615</v>
      </c>
      <c r="B1548" t="s">
        <v>130</v>
      </c>
      <c r="C1548" t="s">
        <v>121</v>
      </c>
      <c r="D1548" t="s">
        <v>121</v>
      </c>
      <c r="E1548" t="s">
        <v>121</v>
      </c>
      <c r="F1548" s="4" t="s">
        <v>2366</v>
      </c>
      <c r="H1548">
        <v>2</v>
      </c>
      <c r="I1548" s="1">
        <v>0</v>
      </c>
      <c r="J1548">
        <v>0</v>
      </c>
      <c r="K1548">
        <v>0</v>
      </c>
      <c r="L1548" s="20">
        <v>22720</v>
      </c>
      <c r="M1548">
        <v>1</v>
      </c>
      <c r="N1548">
        <v>0</v>
      </c>
      <c r="O1548">
        <v>0</v>
      </c>
      <c r="P1548">
        <v>0</v>
      </c>
      <c r="Q1548" s="22">
        <v>68160</v>
      </c>
      <c r="R1548">
        <v>3</v>
      </c>
      <c r="S1548" s="1">
        <v>0</v>
      </c>
      <c r="T1548">
        <v>0</v>
      </c>
      <c r="U1548">
        <v>0</v>
      </c>
      <c r="V1548" s="21">
        <v>34080</v>
      </c>
      <c r="W1548">
        <v>9</v>
      </c>
      <c r="X1548">
        <v>0</v>
      </c>
      <c r="Y1548">
        <v>0</v>
      </c>
      <c r="Z1548">
        <v>0</v>
      </c>
      <c r="AA1548">
        <v>10</v>
      </c>
    </row>
    <row r="1549" spans="1:27" ht="14.25" x14ac:dyDescent="0.2">
      <c r="A1549" s="12">
        <v>30616</v>
      </c>
      <c r="B1549" t="s">
        <v>181</v>
      </c>
      <c r="C1549" t="s">
        <v>121</v>
      </c>
      <c r="D1549" t="s">
        <v>121</v>
      </c>
      <c r="E1549" t="s">
        <v>121</v>
      </c>
      <c r="F1549" s="4" t="s">
        <v>2368</v>
      </c>
      <c r="H1549">
        <v>2</v>
      </c>
      <c r="I1549" s="1">
        <v>0</v>
      </c>
      <c r="J1549">
        <v>0</v>
      </c>
      <c r="K1549">
        <v>0</v>
      </c>
      <c r="L1549" s="20">
        <v>22760</v>
      </c>
      <c r="M1549">
        <v>1</v>
      </c>
      <c r="N1549">
        <v>0</v>
      </c>
      <c r="O1549">
        <v>0</v>
      </c>
      <c r="P1549">
        <v>0</v>
      </c>
      <c r="Q1549" s="22">
        <v>68160</v>
      </c>
      <c r="R1549">
        <v>3</v>
      </c>
      <c r="S1549" s="1">
        <v>0</v>
      </c>
      <c r="T1549">
        <v>0</v>
      </c>
      <c r="U1549">
        <v>0</v>
      </c>
      <c r="V1549" s="21">
        <v>34080</v>
      </c>
      <c r="W1549">
        <v>30</v>
      </c>
      <c r="X1549">
        <v>0</v>
      </c>
      <c r="Y1549">
        <v>0</v>
      </c>
      <c r="Z1549">
        <v>0</v>
      </c>
      <c r="AA1549">
        <v>10</v>
      </c>
    </row>
    <row r="1550" spans="1:27" ht="14.25" x14ac:dyDescent="0.2">
      <c r="A1550" s="12">
        <v>30617</v>
      </c>
      <c r="B1550" t="s">
        <v>122</v>
      </c>
      <c r="C1550" t="s">
        <v>121</v>
      </c>
      <c r="D1550" t="s">
        <v>121</v>
      </c>
      <c r="E1550" t="s">
        <v>121</v>
      </c>
      <c r="F1550" s="4" t="s">
        <v>2368</v>
      </c>
      <c r="H1550">
        <v>2</v>
      </c>
      <c r="I1550" s="1">
        <v>0</v>
      </c>
      <c r="J1550">
        <v>0</v>
      </c>
      <c r="K1550">
        <v>0</v>
      </c>
      <c r="L1550" s="20">
        <v>22760</v>
      </c>
      <c r="M1550">
        <v>1</v>
      </c>
      <c r="N1550">
        <v>0</v>
      </c>
      <c r="O1550">
        <v>0</v>
      </c>
      <c r="P1550">
        <v>0</v>
      </c>
      <c r="Q1550" s="22">
        <v>68160</v>
      </c>
      <c r="R1550">
        <v>3</v>
      </c>
      <c r="S1550" s="1">
        <v>0</v>
      </c>
      <c r="T1550">
        <v>0</v>
      </c>
      <c r="U1550">
        <v>0</v>
      </c>
      <c r="V1550" s="21">
        <v>34080</v>
      </c>
      <c r="W1550">
        <v>4</v>
      </c>
      <c r="X1550">
        <v>0</v>
      </c>
      <c r="Y1550">
        <v>0</v>
      </c>
      <c r="Z1550">
        <v>0</v>
      </c>
      <c r="AA1550">
        <v>10</v>
      </c>
    </row>
    <row r="1551" spans="1:27" ht="14.25" x14ac:dyDescent="0.2">
      <c r="A1551" s="12">
        <v>30618</v>
      </c>
      <c r="B1551" t="s">
        <v>178</v>
      </c>
      <c r="C1551" t="s">
        <v>121</v>
      </c>
      <c r="D1551" t="s">
        <v>121</v>
      </c>
      <c r="E1551" t="s">
        <v>121</v>
      </c>
      <c r="F1551" s="4" t="s">
        <v>2370</v>
      </c>
      <c r="H1551">
        <v>2</v>
      </c>
      <c r="I1551" s="1">
        <v>0</v>
      </c>
      <c r="J1551">
        <v>0</v>
      </c>
      <c r="K1551">
        <v>0</v>
      </c>
      <c r="L1551" s="20">
        <v>22760</v>
      </c>
      <c r="M1551">
        <v>1</v>
      </c>
      <c r="N1551">
        <v>0</v>
      </c>
      <c r="O1551">
        <v>0</v>
      </c>
      <c r="P1551">
        <v>0</v>
      </c>
      <c r="Q1551" s="22">
        <v>68280</v>
      </c>
      <c r="R1551">
        <v>3</v>
      </c>
      <c r="S1551" s="1">
        <v>0</v>
      </c>
      <c r="T1551">
        <v>0</v>
      </c>
      <c r="U1551">
        <v>0</v>
      </c>
      <c r="V1551" s="21">
        <v>34140</v>
      </c>
      <c r="W1551">
        <v>21</v>
      </c>
      <c r="X1551">
        <v>0</v>
      </c>
      <c r="Y1551">
        <v>0</v>
      </c>
      <c r="Z1551">
        <v>0</v>
      </c>
      <c r="AA1551">
        <v>1</v>
      </c>
    </row>
    <row r="1552" spans="1:27" ht="14.25" x14ac:dyDescent="0.2">
      <c r="A1552" s="12">
        <v>30619</v>
      </c>
      <c r="B1552" t="s">
        <v>130</v>
      </c>
      <c r="C1552" t="s">
        <v>121</v>
      </c>
      <c r="D1552" t="s">
        <v>121</v>
      </c>
      <c r="E1552" t="s">
        <v>121</v>
      </c>
      <c r="F1552" s="4" t="s">
        <v>2372</v>
      </c>
      <c r="H1552">
        <v>2</v>
      </c>
      <c r="I1552" s="1">
        <v>0</v>
      </c>
      <c r="J1552">
        <v>0</v>
      </c>
      <c r="K1552">
        <v>0</v>
      </c>
      <c r="L1552" s="20">
        <v>22760</v>
      </c>
      <c r="M1552">
        <v>1</v>
      </c>
      <c r="N1552">
        <v>0</v>
      </c>
      <c r="O1552">
        <v>0</v>
      </c>
      <c r="P1552">
        <v>0</v>
      </c>
      <c r="Q1552" s="22">
        <v>68280</v>
      </c>
      <c r="R1552">
        <v>3</v>
      </c>
      <c r="S1552" s="1">
        <v>0</v>
      </c>
      <c r="T1552">
        <v>0</v>
      </c>
      <c r="U1552">
        <v>0</v>
      </c>
      <c r="V1552" s="21">
        <v>34140</v>
      </c>
      <c r="W1552">
        <v>9</v>
      </c>
      <c r="X1552">
        <v>0</v>
      </c>
      <c r="Y1552">
        <v>0</v>
      </c>
      <c r="Z1552">
        <v>0</v>
      </c>
      <c r="AA1552">
        <v>10</v>
      </c>
    </row>
    <row r="1553" spans="1:27" ht="14.25" x14ac:dyDescent="0.2">
      <c r="A1553" s="12">
        <v>30620</v>
      </c>
      <c r="B1553" t="s">
        <v>123</v>
      </c>
      <c r="C1553" t="s">
        <v>121</v>
      </c>
      <c r="D1553" t="s">
        <v>121</v>
      </c>
      <c r="E1553" t="s">
        <v>121</v>
      </c>
      <c r="F1553" s="4" t="s">
        <v>2372</v>
      </c>
      <c r="H1553">
        <v>2</v>
      </c>
      <c r="I1553" s="1">
        <v>0</v>
      </c>
      <c r="J1553">
        <v>0</v>
      </c>
      <c r="K1553">
        <v>0</v>
      </c>
      <c r="L1553" s="20">
        <v>22760</v>
      </c>
      <c r="M1553">
        <v>1</v>
      </c>
      <c r="N1553">
        <v>0</v>
      </c>
      <c r="O1553">
        <v>0</v>
      </c>
      <c r="P1553">
        <v>0</v>
      </c>
      <c r="Q1553" s="22">
        <v>68280</v>
      </c>
      <c r="R1553">
        <v>3</v>
      </c>
      <c r="S1553" s="1">
        <v>0</v>
      </c>
      <c r="T1553">
        <v>0</v>
      </c>
      <c r="U1553">
        <v>0</v>
      </c>
      <c r="V1553" s="21">
        <v>34140</v>
      </c>
      <c r="W1553">
        <v>12</v>
      </c>
      <c r="X1553">
        <v>0</v>
      </c>
      <c r="Y1553">
        <v>0</v>
      </c>
      <c r="Z1553">
        <v>0</v>
      </c>
      <c r="AA1553">
        <v>10</v>
      </c>
    </row>
    <row r="1554" spans="1:27" ht="14.25" x14ac:dyDescent="0.2">
      <c r="A1554" s="12">
        <v>30621</v>
      </c>
      <c r="B1554" t="s">
        <v>126</v>
      </c>
      <c r="C1554" t="s">
        <v>121</v>
      </c>
      <c r="D1554" t="s">
        <v>121</v>
      </c>
      <c r="E1554" t="s">
        <v>121</v>
      </c>
      <c r="F1554" s="4" t="s">
        <v>2374</v>
      </c>
      <c r="H1554">
        <v>2</v>
      </c>
      <c r="I1554" s="1">
        <v>0</v>
      </c>
      <c r="J1554">
        <v>0</v>
      </c>
      <c r="K1554">
        <v>0</v>
      </c>
      <c r="L1554" s="20">
        <v>22800</v>
      </c>
      <c r="M1554">
        <v>1</v>
      </c>
      <c r="N1554">
        <v>0</v>
      </c>
      <c r="O1554">
        <v>0</v>
      </c>
      <c r="P1554">
        <v>0</v>
      </c>
      <c r="Q1554" s="22">
        <v>68280</v>
      </c>
      <c r="R1554">
        <v>3</v>
      </c>
      <c r="S1554" s="1">
        <v>0</v>
      </c>
      <c r="T1554">
        <v>0</v>
      </c>
      <c r="U1554">
        <v>0</v>
      </c>
      <c r="V1554" s="21">
        <v>34140</v>
      </c>
      <c r="W1554">
        <v>23</v>
      </c>
      <c r="X1554">
        <v>0</v>
      </c>
      <c r="Y1554">
        <v>0</v>
      </c>
      <c r="Z1554">
        <v>0</v>
      </c>
      <c r="AA1554">
        <v>1</v>
      </c>
    </row>
    <row r="1555" spans="1:27" ht="14.25" x14ac:dyDescent="0.2">
      <c r="A1555" s="12">
        <v>30622</v>
      </c>
      <c r="B1555" t="s">
        <v>131</v>
      </c>
      <c r="C1555" t="s">
        <v>125</v>
      </c>
      <c r="D1555" t="s">
        <v>121</v>
      </c>
      <c r="E1555" t="s">
        <v>136</v>
      </c>
      <c r="F1555" s="4" t="s">
        <v>2376</v>
      </c>
      <c r="H1555">
        <v>2</v>
      </c>
      <c r="I1555" s="1">
        <v>0</v>
      </c>
      <c r="J1555">
        <v>0</v>
      </c>
      <c r="K1555">
        <v>0</v>
      </c>
      <c r="L1555" s="20">
        <v>22800</v>
      </c>
      <c r="M1555">
        <v>1</v>
      </c>
      <c r="N1555">
        <v>0</v>
      </c>
      <c r="O1555">
        <v>0</v>
      </c>
      <c r="P1555">
        <v>0</v>
      </c>
      <c r="Q1555" s="22">
        <v>68280</v>
      </c>
      <c r="R1555">
        <v>3</v>
      </c>
      <c r="S1555" s="1">
        <v>0</v>
      </c>
      <c r="T1555">
        <v>0</v>
      </c>
      <c r="U1555">
        <v>0</v>
      </c>
      <c r="V1555" s="21">
        <v>34140</v>
      </c>
      <c r="W1555">
        <v>6</v>
      </c>
      <c r="X1555">
        <v>1</v>
      </c>
      <c r="Y1555">
        <v>0</v>
      </c>
      <c r="Z1555">
        <v>3</v>
      </c>
      <c r="AA1555">
        <v>10</v>
      </c>
    </row>
    <row r="1556" spans="1:27" ht="14.25" x14ac:dyDescent="0.2">
      <c r="A1556" s="12">
        <v>30623</v>
      </c>
      <c r="B1556" t="s">
        <v>180</v>
      </c>
      <c r="C1556" t="s">
        <v>121</v>
      </c>
      <c r="D1556" t="s">
        <v>121</v>
      </c>
      <c r="E1556" t="s">
        <v>121</v>
      </c>
      <c r="F1556" s="4" t="s">
        <v>2378</v>
      </c>
      <c r="H1556">
        <v>2</v>
      </c>
      <c r="I1556" s="1">
        <v>0</v>
      </c>
      <c r="J1556">
        <v>0</v>
      </c>
      <c r="K1556">
        <v>0</v>
      </c>
      <c r="L1556" s="20">
        <v>22800</v>
      </c>
      <c r="M1556">
        <v>1</v>
      </c>
      <c r="N1556">
        <v>0</v>
      </c>
      <c r="O1556">
        <v>0</v>
      </c>
      <c r="P1556">
        <v>0</v>
      </c>
      <c r="Q1556" s="22">
        <v>68400</v>
      </c>
      <c r="R1556">
        <v>3</v>
      </c>
      <c r="S1556" s="1">
        <v>0</v>
      </c>
      <c r="T1556">
        <v>0</v>
      </c>
      <c r="U1556">
        <v>0</v>
      </c>
      <c r="V1556" s="21">
        <v>34200</v>
      </c>
      <c r="W1556">
        <v>15</v>
      </c>
      <c r="X1556">
        <v>0</v>
      </c>
      <c r="Y1556">
        <v>0</v>
      </c>
      <c r="Z1556">
        <v>0</v>
      </c>
      <c r="AA1556">
        <v>1</v>
      </c>
    </row>
    <row r="1557" spans="1:27" ht="14.25" x14ac:dyDescent="0.2">
      <c r="A1557" s="12">
        <v>30624</v>
      </c>
      <c r="B1557" t="s">
        <v>178</v>
      </c>
      <c r="C1557" t="s">
        <v>121</v>
      </c>
      <c r="D1557" t="s">
        <v>121</v>
      </c>
      <c r="E1557" t="s">
        <v>121</v>
      </c>
      <c r="F1557" s="4" t="s">
        <v>2378</v>
      </c>
      <c r="H1557">
        <v>2</v>
      </c>
      <c r="I1557" s="1">
        <v>0</v>
      </c>
      <c r="J1557">
        <v>0</v>
      </c>
      <c r="K1557">
        <v>0</v>
      </c>
      <c r="L1557" s="20">
        <v>22800</v>
      </c>
      <c r="M1557">
        <v>1</v>
      </c>
      <c r="N1557">
        <v>0</v>
      </c>
      <c r="O1557">
        <v>0</v>
      </c>
      <c r="P1557">
        <v>0</v>
      </c>
      <c r="Q1557" s="22">
        <v>68400</v>
      </c>
      <c r="R1557">
        <v>3</v>
      </c>
      <c r="S1557" s="1">
        <v>0</v>
      </c>
      <c r="T1557">
        <v>0</v>
      </c>
      <c r="U1557">
        <v>0</v>
      </c>
      <c r="V1557" s="21">
        <v>34200</v>
      </c>
      <c r="W1557">
        <v>21</v>
      </c>
      <c r="X1557">
        <v>0</v>
      </c>
      <c r="Y1557">
        <v>0</v>
      </c>
      <c r="Z1557">
        <v>0</v>
      </c>
      <c r="AA1557">
        <v>1</v>
      </c>
    </row>
    <row r="1558" spans="1:27" ht="14.25" x14ac:dyDescent="0.2">
      <c r="A1558" s="12">
        <v>30625</v>
      </c>
      <c r="B1558" t="s">
        <v>130</v>
      </c>
      <c r="C1558" t="s">
        <v>121</v>
      </c>
      <c r="D1558" t="s">
        <v>121</v>
      </c>
      <c r="E1558" t="s">
        <v>121</v>
      </c>
      <c r="F1558" s="4" t="s">
        <v>2380</v>
      </c>
      <c r="H1558">
        <v>2</v>
      </c>
      <c r="I1558" s="1">
        <v>0</v>
      </c>
      <c r="J1558">
        <v>0</v>
      </c>
      <c r="K1558">
        <v>0</v>
      </c>
      <c r="L1558" s="20">
        <v>22800</v>
      </c>
      <c r="M1558">
        <v>1</v>
      </c>
      <c r="N1558">
        <v>0</v>
      </c>
      <c r="O1558">
        <v>0</v>
      </c>
      <c r="P1558">
        <v>0</v>
      </c>
      <c r="Q1558" s="22">
        <v>68400</v>
      </c>
      <c r="R1558">
        <v>3</v>
      </c>
      <c r="S1558" s="1">
        <v>0</v>
      </c>
      <c r="T1558">
        <v>0</v>
      </c>
      <c r="U1558">
        <v>0</v>
      </c>
      <c r="V1558" s="21">
        <v>34200</v>
      </c>
      <c r="W1558">
        <v>9</v>
      </c>
      <c r="X1558">
        <v>0</v>
      </c>
      <c r="Y1558">
        <v>0</v>
      </c>
      <c r="Z1558">
        <v>0</v>
      </c>
      <c r="AA1558">
        <v>10</v>
      </c>
    </row>
    <row r="1559" spans="1:27" ht="14.25" x14ac:dyDescent="0.2">
      <c r="A1559" s="12">
        <v>30626</v>
      </c>
      <c r="B1559" t="s">
        <v>181</v>
      </c>
      <c r="C1559" t="s">
        <v>121</v>
      </c>
      <c r="D1559" t="s">
        <v>121</v>
      </c>
      <c r="E1559" t="s">
        <v>121</v>
      </c>
      <c r="F1559" s="4" t="s">
        <v>2382</v>
      </c>
      <c r="H1559">
        <v>2</v>
      </c>
      <c r="I1559" s="1">
        <v>0</v>
      </c>
      <c r="J1559">
        <v>0</v>
      </c>
      <c r="K1559">
        <v>0</v>
      </c>
      <c r="L1559" s="20">
        <v>22840</v>
      </c>
      <c r="M1559">
        <v>1</v>
      </c>
      <c r="N1559">
        <v>0</v>
      </c>
      <c r="O1559">
        <v>0</v>
      </c>
      <c r="P1559">
        <v>0</v>
      </c>
      <c r="Q1559" s="22">
        <v>68400</v>
      </c>
      <c r="R1559">
        <v>3</v>
      </c>
      <c r="S1559" s="1">
        <v>0</v>
      </c>
      <c r="T1559">
        <v>0</v>
      </c>
      <c r="U1559">
        <v>0</v>
      </c>
      <c r="V1559" s="21">
        <v>34200</v>
      </c>
      <c r="W1559">
        <v>30</v>
      </c>
      <c r="X1559">
        <v>0</v>
      </c>
      <c r="Y1559">
        <v>0</v>
      </c>
      <c r="Z1559">
        <v>0</v>
      </c>
      <c r="AA1559">
        <v>10</v>
      </c>
    </row>
    <row r="1560" spans="1:27" ht="14.25" x14ac:dyDescent="0.2">
      <c r="A1560" s="12">
        <v>30627</v>
      </c>
      <c r="B1560" t="s">
        <v>122</v>
      </c>
      <c r="C1560" t="s">
        <v>121</v>
      </c>
      <c r="D1560" t="s">
        <v>121</v>
      </c>
      <c r="E1560" t="s">
        <v>121</v>
      </c>
      <c r="F1560" s="4" t="s">
        <v>2382</v>
      </c>
      <c r="H1560">
        <v>2</v>
      </c>
      <c r="I1560" s="1">
        <v>0</v>
      </c>
      <c r="J1560">
        <v>0</v>
      </c>
      <c r="K1560">
        <v>0</v>
      </c>
      <c r="L1560" s="20">
        <v>22840</v>
      </c>
      <c r="M1560">
        <v>1</v>
      </c>
      <c r="N1560">
        <v>0</v>
      </c>
      <c r="O1560">
        <v>0</v>
      </c>
      <c r="P1560">
        <v>0</v>
      </c>
      <c r="Q1560" s="22">
        <v>68400</v>
      </c>
      <c r="R1560">
        <v>3</v>
      </c>
      <c r="S1560" s="1">
        <v>0</v>
      </c>
      <c r="T1560">
        <v>0</v>
      </c>
      <c r="U1560">
        <v>0</v>
      </c>
      <c r="V1560" s="21">
        <v>34200</v>
      </c>
      <c r="W1560">
        <v>4</v>
      </c>
      <c r="X1560">
        <v>0</v>
      </c>
      <c r="Y1560">
        <v>0</v>
      </c>
      <c r="Z1560">
        <v>0</v>
      </c>
      <c r="AA1560">
        <v>10</v>
      </c>
    </row>
    <row r="1561" spans="1:27" ht="14.25" x14ac:dyDescent="0.2">
      <c r="A1561" s="12">
        <v>30628</v>
      </c>
      <c r="B1561" t="s">
        <v>178</v>
      </c>
      <c r="C1561" t="s">
        <v>121</v>
      </c>
      <c r="D1561" t="s">
        <v>121</v>
      </c>
      <c r="E1561" t="s">
        <v>121</v>
      </c>
      <c r="F1561" s="4" t="s">
        <v>2384</v>
      </c>
      <c r="H1561">
        <v>2</v>
      </c>
      <c r="I1561" s="1">
        <v>0</v>
      </c>
      <c r="J1561">
        <v>0</v>
      </c>
      <c r="K1561">
        <v>0</v>
      </c>
      <c r="L1561" s="20">
        <v>22840</v>
      </c>
      <c r="M1561">
        <v>1</v>
      </c>
      <c r="N1561">
        <v>0</v>
      </c>
      <c r="O1561">
        <v>0</v>
      </c>
      <c r="P1561">
        <v>0</v>
      </c>
      <c r="Q1561" s="22">
        <v>68520</v>
      </c>
      <c r="R1561">
        <v>3</v>
      </c>
      <c r="S1561" s="1">
        <v>0</v>
      </c>
      <c r="T1561">
        <v>0</v>
      </c>
      <c r="U1561">
        <v>0</v>
      </c>
      <c r="V1561" s="21">
        <v>34260</v>
      </c>
      <c r="W1561">
        <v>21</v>
      </c>
      <c r="X1561">
        <v>0</v>
      </c>
      <c r="Y1561">
        <v>0</v>
      </c>
      <c r="Z1561">
        <v>0</v>
      </c>
      <c r="AA1561">
        <v>1</v>
      </c>
    </row>
    <row r="1562" spans="1:27" ht="14.25" x14ac:dyDescent="0.2">
      <c r="A1562" s="12">
        <v>30629</v>
      </c>
      <c r="B1562" t="s">
        <v>130</v>
      </c>
      <c r="C1562" t="s">
        <v>121</v>
      </c>
      <c r="D1562" t="s">
        <v>121</v>
      </c>
      <c r="E1562" t="s">
        <v>121</v>
      </c>
      <c r="F1562" s="4" t="s">
        <v>2386</v>
      </c>
      <c r="H1562">
        <v>2</v>
      </c>
      <c r="I1562" s="1">
        <v>0</v>
      </c>
      <c r="J1562">
        <v>0</v>
      </c>
      <c r="K1562">
        <v>0</v>
      </c>
      <c r="L1562" s="20">
        <v>22840</v>
      </c>
      <c r="M1562">
        <v>1</v>
      </c>
      <c r="N1562">
        <v>0</v>
      </c>
      <c r="O1562">
        <v>0</v>
      </c>
      <c r="P1562">
        <v>0</v>
      </c>
      <c r="Q1562" s="22">
        <v>68520</v>
      </c>
      <c r="R1562">
        <v>3</v>
      </c>
      <c r="S1562" s="1">
        <v>0</v>
      </c>
      <c r="T1562">
        <v>0</v>
      </c>
      <c r="U1562">
        <v>0</v>
      </c>
      <c r="V1562" s="21">
        <v>34260</v>
      </c>
      <c r="W1562">
        <v>9</v>
      </c>
      <c r="X1562">
        <v>0</v>
      </c>
      <c r="Y1562">
        <v>0</v>
      </c>
      <c r="Z1562">
        <v>0</v>
      </c>
      <c r="AA1562">
        <v>10</v>
      </c>
    </row>
    <row r="1563" spans="1:27" ht="14.25" x14ac:dyDescent="0.2">
      <c r="A1563" s="12">
        <v>30630</v>
      </c>
      <c r="B1563" t="s">
        <v>123</v>
      </c>
      <c r="C1563" t="s">
        <v>121</v>
      </c>
      <c r="D1563" t="s">
        <v>121</v>
      </c>
      <c r="E1563" t="s">
        <v>121</v>
      </c>
      <c r="F1563" s="4" t="s">
        <v>2386</v>
      </c>
      <c r="H1563">
        <v>2</v>
      </c>
      <c r="I1563" s="1">
        <v>0</v>
      </c>
      <c r="J1563">
        <v>0</v>
      </c>
      <c r="K1563">
        <v>0</v>
      </c>
      <c r="L1563" s="20">
        <v>22840</v>
      </c>
      <c r="M1563">
        <v>1</v>
      </c>
      <c r="N1563">
        <v>0</v>
      </c>
      <c r="O1563">
        <v>0</v>
      </c>
      <c r="P1563">
        <v>0</v>
      </c>
      <c r="Q1563" s="22">
        <v>68520</v>
      </c>
      <c r="R1563">
        <v>3</v>
      </c>
      <c r="S1563" s="1">
        <v>0</v>
      </c>
      <c r="T1563">
        <v>0</v>
      </c>
      <c r="U1563">
        <v>0</v>
      </c>
      <c r="V1563" s="21">
        <v>34260</v>
      </c>
      <c r="W1563">
        <v>12</v>
      </c>
      <c r="X1563">
        <v>0</v>
      </c>
      <c r="Y1563">
        <v>0</v>
      </c>
      <c r="Z1563">
        <v>0</v>
      </c>
      <c r="AA1563">
        <v>10</v>
      </c>
    </row>
    <row r="1564" spans="1:27" ht="14.25" x14ac:dyDescent="0.2">
      <c r="A1564" s="12">
        <v>30631</v>
      </c>
      <c r="B1564" t="s">
        <v>126</v>
      </c>
      <c r="C1564" t="s">
        <v>121</v>
      </c>
      <c r="D1564" t="s">
        <v>121</v>
      </c>
      <c r="E1564" t="s">
        <v>121</v>
      </c>
      <c r="F1564" s="4" t="s">
        <v>2388</v>
      </c>
      <c r="H1564">
        <v>2</v>
      </c>
      <c r="I1564" s="1">
        <v>0</v>
      </c>
      <c r="J1564">
        <v>0</v>
      </c>
      <c r="K1564">
        <v>0</v>
      </c>
      <c r="L1564" s="20">
        <v>22880</v>
      </c>
      <c r="M1564">
        <v>1</v>
      </c>
      <c r="N1564">
        <v>0</v>
      </c>
      <c r="O1564">
        <v>0</v>
      </c>
      <c r="P1564">
        <v>0</v>
      </c>
      <c r="Q1564" s="22">
        <v>68520</v>
      </c>
      <c r="R1564">
        <v>3</v>
      </c>
      <c r="S1564" s="1">
        <v>0</v>
      </c>
      <c r="T1564">
        <v>0</v>
      </c>
      <c r="U1564">
        <v>0</v>
      </c>
      <c r="V1564" s="21">
        <v>34260</v>
      </c>
      <c r="W1564">
        <v>23</v>
      </c>
      <c r="X1564">
        <v>0</v>
      </c>
      <c r="Y1564">
        <v>0</v>
      </c>
      <c r="Z1564">
        <v>0</v>
      </c>
      <c r="AA1564">
        <v>1</v>
      </c>
    </row>
    <row r="1565" spans="1:27" ht="14.25" x14ac:dyDescent="0.2">
      <c r="A1565" s="12">
        <v>30632</v>
      </c>
      <c r="B1565" t="s">
        <v>131</v>
      </c>
      <c r="C1565" t="s">
        <v>125</v>
      </c>
      <c r="D1565" t="s">
        <v>121</v>
      </c>
      <c r="E1565" t="s">
        <v>136</v>
      </c>
      <c r="F1565" s="4" t="s">
        <v>2390</v>
      </c>
      <c r="H1565">
        <v>2</v>
      </c>
      <c r="I1565" s="1">
        <v>0</v>
      </c>
      <c r="J1565">
        <v>0</v>
      </c>
      <c r="K1565">
        <v>0</v>
      </c>
      <c r="L1565" s="20">
        <v>22880</v>
      </c>
      <c r="M1565">
        <v>1</v>
      </c>
      <c r="N1565">
        <v>0</v>
      </c>
      <c r="O1565">
        <v>0</v>
      </c>
      <c r="P1565">
        <v>0</v>
      </c>
      <c r="Q1565" s="22">
        <v>68520</v>
      </c>
      <c r="R1565">
        <v>3</v>
      </c>
      <c r="S1565" s="1">
        <v>0</v>
      </c>
      <c r="T1565">
        <v>0</v>
      </c>
      <c r="U1565">
        <v>0</v>
      </c>
      <c r="V1565" s="21">
        <v>34260</v>
      </c>
      <c r="W1565">
        <v>6</v>
      </c>
      <c r="X1565">
        <v>1</v>
      </c>
      <c r="Y1565">
        <v>0</v>
      </c>
      <c r="Z1565">
        <v>3</v>
      </c>
      <c r="AA1565">
        <v>10</v>
      </c>
    </row>
    <row r="1566" spans="1:27" ht="14.25" x14ac:dyDescent="0.2">
      <c r="A1566" s="12">
        <v>30633</v>
      </c>
      <c r="B1566" t="s">
        <v>180</v>
      </c>
      <c r="C1566" t="s">
        <v>121</v>
      </c>
      <c r="D1566" t="s">
        <v>121</v>
      </c>
      <c r="E1566" t="s">
        <v>121</v>
      </c>
      <c r="F1566" s="4" t="s">
        <v>2392</v>
      </c>
      <c r="H1566">
        <v>2</v>
      </c>
      <c r="I1566" s="1">
        <v>0</v>
      </c>
      <c r="J1566">
        <v>0</v>
      </c>
      <c r="K1566">
        <v>0</v>
      </c>
      <c r="L1566" s="20">
        <v>22880</v>
      </c>
      <c r="M1566">
        <v>1</v>
      </c>
      <c r="N1566">
        <v>0</v>
      </c>
      <c r="O1566">
        <v>0</v>
      </c>
      <c r="P1566">
        <v>0</v>
      </c>
      <c r="Q1566" s="22">
        <v>68640</v>
      </c>
      <c r="R1566">
        <v>3</v>
      </c>
      <c r="S1566" s="1">
        <v>0</v>
      </c>
      <c r="T1566">
        <v>0</v>
      </c>
      <c r="U1566">
        <v>0</v>
      </c>
      <c r="V1566" s="21">
        <v>34320</v>
      </c>
      <c r="W1566">
        <v>15</v>
      </c>
      <c r="X1566">
        <v>0</v>
      </c>
      <c r="Y1566">
        <v>0</v>
      </c>
      <c r="Z1566">
        <v>0</v>
      </c>
      <c r="AA1566">
        <v>1</v>
      </c>
    </row>
    <row r="1567" spans="1:27" ht="14.25" x14ac:dyDescent="0.2">
      <c r="A1567" s="12">
        <v>30634</v>
      </c>
      <c r="B1567" t="s">
        <v>178</v>
      </c>
      <c r="C1567" t="s">
        <v>121</v>
      </c>
      <c r="D1567" t="s">
        <v>121</v>
      </c>
      <c r="E1567" t="s">
        <v>121</v>
      </c>
      <c r="F1567" s="4" t="s">
        <v>2392</v>
      </c>
      <c r="H1567">
        <v>2</v>
      </c>
      <c r="I1567" s="1">
        <v>0</v>
      </c>
      <c r="J1567">
        <v>0</v>
      </c>
      <c r="K1567">
        <v>0</v>
      </c>
      <c r="L1567" s="20">
        <v>22880</v>
      </c>
      <c r="M1567">
        <v>1</v>
      </c>
      <c r="N1567">
        <v>0</v>
      </c>
      <c r="O1567">
        <v>0</v>
      </c>
      <c r="P1567">
        <v>0</v>
      </c>
      <c r="Q1567" s="22">
        <v>68640</v>
      </c>
      <c r="R1567">
        <v>3</v>
      </c>
      <c r="S1567" s="1">
        <v>0</v>
      </c>
      <c r="T1567">
        <v>0</v>
      </c>
      <c r="U1567">
        <v>0</v>
      </c>
      <c r="V1567" s="21">
        <v>34320</v>
      </c>
      <c r="W1567">
        <v>21</v>
      </c>
      <c r="X1567">
        <v>0</v>
      </c>
      <c r="Y1567">
        <v>0</v>
      </c>
      <c r="Z1567">
        <v>0</v>
      </c>
      <c r="AA1567">
        <v>1</v>
      </c>
    </row>
    <row r="1568" spans="1:27" ht="14.25" x14ac:dyDescent="0.2">
      <c r="A1568" s="12">
        <v>30635</v>
      </c>
      <c r="B1568" t="s">
        <v>130</v>
      </c>
      <c r="C1568" t="s">
        <v>121</v>
      </c>
      <c r="D1568" t="s">
        <v>121</v>
      </c>
      <c r="E1568" t="s">
        <v>121</v>
      </c>
      <c r="F1568" s="4" t="s">
        <v>2394</v>
      </c>
      <c r="H1568">
        <v>2</v>
      </c>
      <c r="I1568" s="1">
        <v>0</v>
      </c>
      <c r="J1568">
        <v>0</v>
      </c>
      <c r="K1568">
        <v>0</v>
      </c>
      <c r="L1568" s="20">
        <v>22880</v>
      </c>
      <c r="M1568">
        <v>1</v>
      </c>
      <c r="N1568">
        <v>0</v>
      </c>
      <c r="O1568">
        <v>0</v>
      </c>
      <c r="P1568">
        <v>0</v>
      </c>
      <c r="Q1568" s="22">
        <v>68640</v>
      </c>
      <c r="R1568">
        <v>3</v>
      </c>
      <c r="S1568" s="1">
        <v>0</v>
      </c>
      <c r="T1568">
        <v>0</v>
      </c>
      <c r="U1568">
        <v>0</v>
      </c>
      <c r="V1568" s="21">
        <v>34320</v>
      </c>
      <c r="W1568">
        <v>9</v>
      </c>
      <c r="X1568">
        <v>0</v>
      </c>
      <c r="Y1568">
        <v>0</v>
      </c>
      <c r="Z1568">
        <v>0</v>
      </c>
      <c r="AA1568">
        <v>10</v>
      </c>
    </row>
    <row r="1569" spans="1:27" ht="14.25" x14ac:dyDescent="0.2">
      <c r="A1569" s="12">
        <v>30636</v>
      </c>
      <c r="B1569" t="s">
        <v>181</v>
      </c>
      <c r="C1569" t="s">
        <v>121</v>
      </c>
      <c r="D1569" t="s">
        <v>121</v>
      </c>
      <c r="E1569" t="s">
        <v>121</v>
      </c>
      <c r="F1569" s="4" t="s">
        <v>2396</v>
      </c>
      <c r="H1569">
        <v>2</v>
      </c>
      <c r="I1569" s="1">
        <v>0</v>
      </c>
      <c r="J1569">
        <v>0</v>
      </c>
      <c r="K1569">
        <v>0</v>
      </c>
      <c r="L1569" s="20">
        <v>22920</v>
      </c>
      <c r="M1569">
        <v>1</v>
      </c>
      <c r="N1569">
        <v>0</v>
      </c>
      <c r="O1569">
        <v>0</v>
      </c>
      <c r="P1569">
        <v>0</v>
      </c>
      <c r="Q1569" s="22">
        <v>68640</v>
      </c>
      <c r="R1569">
        <v>3</v>
      </c>
      <c r="S1569" s="1">
        <v>0</v>
      </c>
      <c r="T1569">
        <v>0</v>
      </c>
      <c r="U1569">
        <v>0</v>
      </c>
      <c r="V1569" s="21">
        <v>34320</v>
      </c>
      <c r="W1569">
        <v>30</v>
      </c>
      <c r="X1569">
        <v>0</v>
      </c>
      <c r="Y1569">
        <v>0</v>
      </c>
      <c r="Z1569">
        <v>0</v>
      </c>
      <c r="AA1569">
        <v>10</v>
      </c>
    </row>
    <row r="1570" spans="1:27" ht="14.25" x14ac:dyDescent="0.2">
      <c r="A1570" s="12">
        <v>30637</v>
      </c>
      <c r="B1570" t="s">
        <v>122</v>
      </c>
      <c r="C1570" t="s">
        <v>121</v>
      </c>
      <c r="D1570" t="s">
        <v>121</v>
      </c>
      <c r="E1570" t="s">
        <v>121</v>
      </c>
      <c r="F1570" s="4" t="s">
        <v>2396</v>
      </c>
      <c r="H1570">
        <v>2</v>
      </c>
      <c r="I1570" s="1">
        <v>0</v>
      </c>
      <c r="J1570">
        <v>0</v>
      </c>
      <c r="K1570">
        <v>0</v>
      </c>
      <c r="L1570" s="20">
        <v>22920</v>
      </c>
      <c r="M1570">
        <v>1</v>
      </c>
      <c r="N1570">
        <v>0</v>
      </c>
      <c r="O1570">
        <v>0</v>
      </c>
      <c r="P1570">
        <v>0</v>
      </c>
      <c r="Q1570" s="22">
        <v>68640</v>
      </c>
      <c r="R1570">
        <v>3</v>
      </c>
      <c r="S1570" s="1">
        <v>0</v>
      </c>
      <c r="T1570">
        <v>0</v>
      </c>
      <c r="U1570">
        <v>0</v>
      </c>
      <c r="V1570" s="21">
        <v>34320</v>
      </c>
      <c r="W1570">
        <v>4</v>
      </c>
      <c r="X1570">
        <v>0</v>
      </c>
      <c r="Y1570">
        <v>0</v>
      </c>
      <c r="Z1570">
        <v>0</v>
      </c>
      <c r="AA1570">
        <v>10</v>
      </c>
    </row>
    <row r="1571" spans="1:27" ht="14.25" x14ac:dyDescent="0.2">
      <c r="A1571" s="12">
        <v>30638</v>
      </c>
      <c r="B1571" t="s">
        <v>178</v>
      </c>
      <c r="C1571" t="s">
        <v>121</v>
      </c>
      <c r="D1571" t="s">
        <v>121</v>
      </c>
      <c r="E1571" t="s">
        <v>121</v>
      </c>
      <c r="F1571" s="4" t="s">
        <v>2398</v>
      </c>
      <c r="H1571">
        <v>2</v>
      </c>
      <c r="I1571" s="1">
        <v>0</v>
      </c>
      <c r="J1571">
        <v>0</v>
      </c>
      <c r="K1571">
        <v>0</v>
      </c>
      <c r="L1571" s="20">
        <v>22920</v>
      </c>
      <c r="M1571">
        <v>1</v>
      </c>
      <c r="N1571">
        <v>0</v>
      </c>
      <c r="O1571">
        <v>0</v>
      </c>
      <c r="P1571">
        <v>0</v>
      </c>
      <c r="Q1571" s="22">
        <v>68760</v>
      </c>
      <c r="R1571">
        <v>3</v>
      </c>
      <c r="S1571" s="1">
        <v>0</v>
      </c>
      <c r="T1571">
        <v>0</v>
      </c>
      <c r="U1571">
        <v>0</v>
      </c>
      <c r="V1571" s="21">
        <v>34380</v>
      </c>
      <c r="W1571">
        <v>21</v>
      </c>
      <c r="X1571">
        <v>0</v>
      </c>
      <c r="Y1571">
        <v>0</v>
      </c>
      <c r="Z1571">
        <v>0</v>
      </c>
      <c r="AA1571">
        <v>1</v>
      </c>
    </row>
    <row r="1572" spans="1:27" ht="14.25" x14ac:dyDescent="0.2">
      <c r="A1572" s="12">
        <v>30639</v>
      </c>
      <c r="B1572" t="s">
        <v>130</v>
      </c>
      <c r="C1572" t="s">
        <v>121</v>
      </c>
      <c r="D1572" t="s">
        <v>121</v>
      </c>
      <c r="E1572" t="s">
        <v>121</v>
      </c>
      <c r="F1572" s="4" t="s">
        <v>2400</v>
      </c>
      <c r="H1572">
        <v>2</v>
      </c>
      <c r="I1572" s="1">
        <v>0</v>
      </c>
      <c r="J1572">
        <v>0</v>
      </c>
      <c r="K1572">
        <v>0</v>
      </c>
      <c r="L1572" s="20">
        <v>22920</v>
      </c>
      <c r="M1572">
        <v>1</v>
      </c>
      <c r="N1572">
        <v>0</v>
      </c>
      <c r="O1572">
        <v>0</v>
      </c>
      <c r="P1572">
        <v>0</v>
      </c>
      <c r="Q1572" s="22">
        <v>68760</v>
      </c>
      <c r="R1572">
        <v>3</v>
      </c>
      <c r="S1572" s="1">
        <v>0</v>
      </c>
      <c r="T1572">
        <v>0</v>
      </c>
      <c r="U1572">
        <v>0</v>
      </c>
      <c r="V1572" s="21">
        <v>34380</v>
      </c>
      <c r="W1572">
        <v>9</v>
      </c>
      <c r="X1572">
        <v>0</v>
      </c>
      <c r="Y1572">
        <v>0</v>
      </c>
      <c r="Z1572">
        <v>0</v>
      </c>
      <c r="AA1572">
        <v>10</v>
      </c>
    </row>
    <row r="1573" spans="1:27" ht="14.25" x14ac:dyDescent="0.2">
      <c r="A1573" s="12">
        <v>30640</v>
      </c>
      <c r="B1573" t="s">
        <v>123</v>
      </c>
      <c r="C1573" t="s">
        <v>121</v>
      </c>
      <c r="D1573" t="s">
        <v>121</v>
      </c>
      <c r="E1573" t="s">
        <v>121</v>
      </c>
      <c r="F1573" s="4" t="s">
        <v>2400</v>
      </c>
      <c r="H1573">
        <v>2</v>
      </c>
      <c r="I1573" s="1">
        <v>0</v>
      </c>
      <c r="J1573">
        <v>0</v>
      </c>
      <c r="K1573">
        <v>0</v>
      </c>
      <c r="L1573" s="20">
        <v>22920</v>
      </c>
      <c r="M1573">
        <v>1</v>
      </c>
      <c r="N1573">
        <v>0</v>
      </c>
      <c r="O1573">
        <v>0</v>
      </c>
      <c r="P1573">
        <v>0</v>
      </c>
      <c r="Q1573" s="22">
        <v>68760</v>
      </c>
      <c r="R1573">
        <v>3</v>
      </c>
      <c r="S1573" s="1">
        <v>0</v>
      </c>
      <c r="T1573">
        <v>0</v>
      </c>
      <c r="U1573">
        <v>0</v>
      </c>
      <c r="V1573" s="21">
        <v>34380</v>
      </c>
      <c r="W1573">
        <v>12</v>
      </c>
      <c r="X1573">
        <v>0</v>
      </c>
      <c r="Y1573">
        <v>0</v>
      </c>
      <c r="Z1573">
        <v>0</v>
      </c>
      <c r="AA1573">
        <v>10</v>
      </c>
    </row>
    <row r="1574" spans="1:27" ht="14.25" x14ac:dyDescent="0.2">
      <c r="A1574" s="12">
        <v>30641</v>
      </c>
      <c r="B1574" t="s">
        <v>126</v>
      </c>
      <c r="C1574" t="s">
        <v>121</v>
      </c>
      <c r="D1574" t="s">
        <v>121</v>
      </c>
      <c r="E1574" t="s">
        <v>121</v>
      </c>
      <c r="F1574" s="4" t="s">
        <v>2402</v>
      </c>
      <c r="H1574">
        <v>2</v>
      </c>
      <c r="I1574" s="1">
        <v>0</v>
      </c>
      <c r="J1574">
        <v>0</v>
      </c>
      <c r="K1574">
        <v>0</v>
      </c>
      <c r="L1574" s="20">
        <v>22960</v>
      </c>
      <c r="M1574">
        <v>1</v>
      </c>
      <c r="N1574">
        <v>0</v>
      </c>
      <c r="O1574">
        <v>0</v>
      </c>
      <c r="P1574">
        <v>0</v>
      </c>
      <c r="Q1574" s="22">
        <v>68760</v>
      </c>
      <c r="R1574">
        <v>3</v>
      </c>
      <c r="S1574" s="1">
        <v>0</v>
      </c>
      <c r="T1574">
        <v>0</v>
      </c>
      <c r="U1574">
        <v>0</v>
      </c>
      <c r="V1574" s="21">
        <v>34380</v>
      </c>
      <c r="W1574">
        <v>23</v>
      </c>
      <c r="X1574">
        <v>0</v>
      </c>
      <c r="Y1574">
        <v>0</v>
      </c>
      <c r="Z1574">
        <v>0</v>
      </c>
      <c r="AA1574">
        <v>1</v>
      </c>
    </row>
    <row r="1575" spans="1:27" ht="14.25" x14ac:dyDescent="0.2">
      <c r="A1575" s="12">
        <v>30642</v>
      </c>
      <c r="B1575" t="s">
        <v>131</v>
      </c>
      <c r="C1575" t="s">
        <v>125</v>
      </c>
      <c r="D1575" t="s">
        <v>121</v>
      </c>
      <c r="E1575" t="s">
        <v>136</v>
      </c>
      <c r="F1575" s="4" t="s">
        <v>2404</v>
      </c>
      <c r="H1575">
        <v>2</v>
      </c>
      <c r="I1575" s="1">
        <v>0</v>
      </c>
      <c r="J1575">
        <v>0</v>
      </c>
      <c r="K1575">
        <v>0</v>
      </c>
      <c r="L1575" s="20">
        <v>22960</v>
      </c>
      <c r="M1575">
        <v>1</v>
      </c>
      <c r="N1575">
        <v>0</v>
      </c>
      <c r="O1575">
        <v>0</v>
      </c>
      <c r="P1575">
        <v>0</v>
      </c>
      <c r="Q1575" s="22">
        <v>68760</v>
      </c>
      <c r="R1575">
        <v>3</v>
      </c>
      <c r="S1575" s="1">
        <v>0</v>
      </c>
      <c r="T1575">
        <v>0</v>
      </c>
      <c r="U1575">
        <v>0</v>
      </c>
      <c r="V1575" s="21">
        <v>34380</v>
      </c>
      <c r="W1575">
        <v>6</v>
      </c>
      <c r="X1575">
        <v>1</v>
      </c>
      <c r="Y1575">
        <v>0</v>
      </c>
      <c r="Z1575">
        <v>3</v>
      </c>
      <c r="AA1575">
        <v>10</v>
      </c>
    </row>
    <row r="1576" spans="1:27" ht="14.25" x14ac:dyDescent="0.2">
      <c r="A1576" s="12">
        <v>30643</v>
      </c>
      <c r="B1576" t="s">
        <v>180</v>
      </c>
      <c r="C1576" t="s">
        <v>121</v>
      </c>
      <c r="D1576" t="s">
        <v>121</v>
      </c>
      <c r="E1576" t="s">
        <v>121</v>
      </c>
      <c r="F1576" s="4" t="s">
        <v>2406</v>
      </c>
      <c r="H1576">
        <v>2</v>
      </c>
      <c r="I1576" s="1">
        <v>0</v>
      </c>
      <c r="J1576">
        <v>0</v>
      </c>
      <c r="K1576">
        <v>0</v>
      </c>
      <c r="L1576" s="20">
        <v>22960</v>
      </c>
      <c r="M1576">
        <v>1</v>
      </c>
      <c r="N1576">
        <v>0</v>
      </c>
      <c r="O1576">
        <v>0</v>
      </c>
      <c r="P1576">
        <v>0</v>
      </c>
      <c r="Q1576" s="22">
        <v>68880</v>
      </c>
      <c r="R1576">
        <v>3</v>
      </c>
      <c r="S1576" s="1">
        <v>0</v>
      </c>
      <c r="T1576">
        <v>0</v>
      </c>
      <c r="U1576">
        <v>0</v>
      </c>
      <c r="V1576" s="21">
        <v>34440</v>
      </c>
      <c r="W1576">
        <v>15</v>
      </c>
      <c r="X1576">
        <v>0</v>
      </c>
      <c r="Y1576">
        <v>0</v>
      </c>
      <c r="Z1576">
        <v>0</v>
      </c>
      <c r="AA1576">
        <v>1</v>
      </c>
    </row>
    <row r="1577" spans="1:27" ht="14.25" x14ac:dyDescent="0.2">
      <c r="A1577" s="12">
        <v>30644</v>
      </c>
      <c r="B1577" t="s">
        <v>178</v>
      </c>
      <c r="C1577" t="s">
        <v>121</v>
      </c>
      <c r="D1577" t="s">
        <v>121</v>
      </c>
      <c r="E1577" t="s">
        <v>121</v>
      </c>
      <c r="F1577" s="4" t="s">
        <v>2406</v>
      </c>
      <c r="H1577">
        <v>2</v>
      </c>
      <c r="I1577" s="1">
        <v>0</v>
      </c>
      <c r="J1577">
        <v>0</v>
      </c>
      <c r="K1577">
        <v>0</v>
      </c>
      <c r="L1577" s="20">
        <v>22960</v>
      </c>
      <c r="M1577">
        <v>1</v>
      </c>
      <c r="N1577">
        <v>0</v>
      </c>
      <c r="O1577">
        <v>0</v>
      </c>
      <c r="P1577">
        <v>0</v>
      </c>
      <c r="Q1577" s="22">
        <v>68880</v>
      </c>
      <c r="R1577">
        <v>3</v>
      </c>
      <c r="S1577" s="1">
        <v>0</v>
      </c>
      <c r="T1577">
        <v>0</v>
      </c>
      <c r="U1577">
        <v>0</v>
      </c>
      <c r="V1577" s="21">
        <v>34440</v>
      </c>
      <c r="W1577">
        <v>21</v>
      </c>
      <c r="X1577">
        <v>0</v>
      </c>
      <c r="Y1577">
        <v>0</v>
      </c>
      <c r="Z1577">
        <v>0</v>
      </c>
      <c r="AA1577">
        <v>1</v>
      </c>
    </row>
    <row r="1578" spans="1:27" ht="14.25" x14ac:dyDescent="0.2">
      <c r="A1578" s="12">
        <v>30645</v>
      </c>
      <c r="B1578" t="s">
        <v>130</v>
      </c>
      <c r="C1578" t="s">
        <v>121</v>
      </c>
      <c r="D1578" t="s">
        <v>121</v>
      </c>
      <c r="E1578" t="s">
        <v>121</v>
      </c>
      <c r="F1578" s="4" t="s">
        <v>2408</v>
      </c>
      <c r="H1578">
        <v>2</v>
      </c>
      <c r="I1578" s="1">
        <v>0</v>
      </c>
      <c r="J1578">
        <v>0</v>
      </c>
      <c r="K1578">
        <v>0</v>
      </c>
      <c r="L1578" s="20">
        <v>22960</v>
      </c>
      <c r="M1578">
        <v>1</v>
      </c>
      <c r="N1578">
        <v>0</v>
      </c>
      <c r="O1578">
        <v>0</v>
      </c>
      <c r="P1578">
        <v>0</v>
      </c>
      <c r="Q1578" s="22">
        <v>68880</v>
      </c>
      <c r="R1578">
        <v>3</v>
      </c>
      <c r="S1578" s="1">
        <v>0</v>
      </c>
      <c r="T1578">
        <v>0</v>
      </c>
      <c r="U1578">
        <v>0</v>
      </c>
      <c r="V1578" s="21">
        <v>34440</v>
      </c>
      <c r="W1578">
        <v>9</v>
      </c>
      <c r="X1578">
        <v>0</v>
      </c>
      <c r="Y1578">
        <v>0</v>
      </c>
      <c r="Z1578">
        <v>0</v>
      </c>
      <c r="AA1578">
        <v>10</v>
      </c>
    </row>
    <row r="1579" spans="1:27" ht="14.25" x14ac:dyDescent="0.2">
      <c r="A1579" s="12">
        <v>30646</v>
      </c>
      <c r="B1579" t="s">
        <v>181</v>
      </c>
      <c r="C1579" t="s">
        <v>121</v>
      </c>
      <c r="D1579" t="s">
        <v>121</v>
      </c>
      <c r="E1579" t="s">
        <v>121</v>
      </c>
      <c r="F1579" s="4" t="s">
        <v>2410</v>
      </c>
      <c r="H1579">
        <v>2</v>
      </c>
      <c r="I1579" s="1">
        <v>0</v>
      </c>
      <c r="J1579">
        <v>0</v>
      </c>
      <c r="K1579">
        <v>0</v>
      </c>
      <c r="L1579" s="20">
        <v>23000</v>
      </c>
      <c r="M1579">
        <v>1</v>
      </c>
      <c r="N1579">
        <v>0</v>
      </c>
      <c r="O1579">
        <v>0</v>
      </c>
      <c r="P1579">
        <v>0</v>
      </c>
      <c r="Q1579" s="22">
        <v>68880</v>
      </c>
      <c r="R1579">
        <v>3</v>
      </c>
      <c r="S1579" s="1">
        <v>0</v>
      </c>
      <c r="T1579">
        <v>0</v>
      </c>
      <c r="U1579">
        <v>0</v>
      </c>
      <c r="V1579" s="21">
        <v>34440</v>
      </c>
      <c r="W1579">
        <v>30</v>
      </c>
      <c r="X1579">
        <v>0</v>
      </c>
      <c r="Y1579">
        <v>0</v>
      </c>
      <c r="Z1579">
        <v>0</v>
      </c>
      <c r="AA1579">
        <v>10</v>
      </c>
    </row>
    <row r="1580" spans="1:27" ht="14.25" x14ac:dyDescent="0.2">
      <c r="A1580" s="12">
        <v>30647</v>
      </c>
      <c r="B1580" t="s">
        <v>122</v>
      </c>
      <c r="C1580" t="s">
        <v>121</v>
      </c>
      <c r="D1580" t="s">
        <v>121</v>
      </c>
      <c r="E1580" t="s">
        <v>121</v>
      </c>
      <c r="F1580" s="4" t="s">
        <v>2410</v>
      </c>
      <c r="H1580">
        <v>2</v>
      </c>
      <c r="I1580" s="1">
        <v>0</v>
      </c>
      <c r="J1580">
        <v>0</v>
      </c>
      <c r="K1580">
        <v>0</v>
      </c>
      <c r="L1580" s="20">
        <v>23000</v>
      </c>
      <c r="M1580">
        <v>1</v>
      </c>
      <c r="N1580">
        <v>0</v>
      </c>
      <c r="O1580">
        <v>0</v>
      </c>
      <c r="P1580">
        <v>0</v>
      </c>
      <c r="Q1580" s="22">
        <v>68880</v>
      </c>
      <c r="R1580">
        <v>3</v>
      </c>
      <c r="S1580" s="1">
        <v>0</v>
      </c>
      <c r="T1580">
        <v>0</v>
      </c>
      <c r="U1580">
        <v>0</v>
      </c>
      <c r="V1580" s="21">
        <v>34440</v>
      </c>
      <c r="W1580">
        <v>4</v>
      </c>
      <c r="X1580">
        <v>0</v>
      </c>
      <c r="Y1580">
        <v>0</v>
      </c>
      <c r="Z1580">
        <v>0</v>
      </c>
      <c r="AA1580">
        <v>10</v>
      </c>
    </row>
    <row r="1581" spans="1:27" ht="14.25" x14ac:dyDescent="0.2">
      <c r="A1581" s="12">
        <v>30648</v>
      </c>
      <c r="B1581" t="s">
        <v>178</v>
      </c>
      <c r="C1581" t="s">
        <v>121</v>
      </c>
      <c r="D1581" t="s">
        <v>121</v>
      </c>
      <c r="E1581" t="s">
        <v>121</v>
      </c>
      <c r="F1581" s="4" t="s">
        <v>2412</v>
      </c>
      <c r="H1581">
        <v>2</v>
      </c>
      <c r="I1581" s="1">
        <v>0</v>
      </c>
      <c r="J1581">
        <v>0</v>
      </c>
      <c r="K1581">
        <v>0</v>
      </c>
      <c r="L1581" s="20">
        <v>23000</v>
      </c>
      <c r="M1581">
        <v>1</v>
      </c>
      <c r="N1581">
        <v>0</v>
      </c>
      <c r="O1581">
        <v>0</v>
      </c>
      <c r="P1581">
        <v>0</v>
      </c>
      <c r="Q1581" s="22">
        <v>69000</v>
      </c>
      <c r="R1581">
        <v>3</v>
      </c>
      <c r="S1581" s="1">
        <v>0</v>
      </c>
      <c r="T1581">
        <v>0</v>
      </c>
      <c r="U1581">
        <v>0</v>
      </c>
      <c r="V1581" s="21">
        <v>34500</v>
      </c>
      <c r="W1581">
        <v>21</v>
      </c>
      <c r="X1581">
        <v>0</v>
      </c>
      <c r="Y1581">
        <v>0</v>
      </c>
      <c r="Z1581">
        <v>0</v>
      </c>
      <c r="AA1581">
        <v>1</v>
      </c>
    </row>
    <row r="1582" spans="1:27" ht="14.25" x14ac:dyDescent="0.2">
      <c r="A1582" s="12">
        <v>30649</v>
      </c>
      <c r="B1582" t="s">
        <v>130</v>
      </c>
      <c r="C1582" t="s">
        <v>121</v>
      </c>
      <c r="D1582" t="s">
        <v>121</v>
      </c>
      <c r="E1582" t="s">
        <v>121</v>
      </c>
      <c r="F1582" s="4" t="s">
        <v>2414</v>
      </c>
      <c r="H1582">
        <v>2</v>
      </c>
      <c r="I1582" s="1">
        <v>0</v>
      </c>
      <c r="J1582">
        <v>0</v>
      </c>
      <c r="K1582">
        <v>0</v>
      </c>
      <c r="L1582" s="20">
        <v>23000</v>
      </c>
      <c r="M1582">
        <v>1</v>
      </c>
      <c r="N1582">
        <v>0</v>
      </c>
      <c r="O1582">
        <v>0</v>
      </c>
      <c r="P1582">
        <v>0</v>
      </c>
      <c r="Q1582" s="22">
        <v>69000</v>
      </c>
      <c r="R1582">
        <v>3</v>
      </c>
      <c r="S1582" s="1">
        <v>0</v>
      </c>
      <c r="T1582">
        <v>0</v>
      </c>
      <c r="U1582">
        <v>0</v>
      </c>
      <c r="V1582" s="21">
        <v>34500</v>
      </c>
      <c r="W1582">
        <v>9</v>
      </c>
      <c r="X1582">
        <v>0</v>
      </c>
      <c r="Y1582">
        <v>0</v>
      </c>
      <c r="Z1582">
        <v>0</v>
      </c>
      <c r="AA1582">
        <v>10</v>
      </c>
    </row>
    <row r="1583" spans="1:27" ht="14.25" x14ac:dyDescent="0.2">
      <c r="A1583" s="12">
        <v>30650</v>
      </c>
      <c r="B1583" t="s">
        <v>123</v>
      </c>
      <c r="C1583" t="s">
        <v>121</v>
      </c>
      <c r="D1583" t="s">
        <v>121</v>
      </c>
      <c r="E1583" t="s">
        <v>121</v>
      </c>
      <c r="F1583" s="4" t="s">
        <v>2414</v>
      </c>
      <c r="H1583">
        <v>2</v>
      </c>
      <c r="I1583" s="1">
        <v>0</v>
      </c>
      <c r="J1583">
        <v>0</v>
      </c>
      <c r="K1583">
        <v>0</v>
      </c>
      <c r="L1583" s="20">
        <v>23000</v>
      </c>
      <c r="M1583">
        <v>1</v>
      </c>
      <c r="N1583">
        <v>0</v>
      </c>
      <c r="O1583">
        <v>0</v>
      </c>
      <c r="P1583">
        <v>0</v>
      </c>
      <c r="Q1583" s="22">
        <v>69000</v>
      </c>
      <c r="R1583">
        <v>3</v>
      </c>
      <c r="S1583" s="1">
        <v>0</v>
      </c>
      <c r="T1583">
        <v>0</v>
      </c>
      <c r="U1583">
        <v>0</v>
      </c>
      <c r="V1583" s="21">
        <v>34500</v>
      </c>
      <c r="W1583">
        <v>12</v>
      </c>
      <c r="X1583">
        <v>0</v>
      </c>
      <c r="Y1583">
        <v>0</v>
      </c>
      <c r="Z1583">
        <v>0</v>
      </c>
      <c r="AA1583">
        <v>10</v>
      </c>
    </row>
    <row r="1584" spans="1:27" ht="14.25" x14ac:dyDescent="0.2">
      <c r="A1584" s="12">
        <v>30701</v>
      </c>
      <c r="B1584" t="s">
        <v>126</v>
      </c>
      <c r="C1584" t="s">
        <v>121</v>
      </c>
      <c r="D1584" t="s">
        <v>121</v>
      </c>
      <c r="E1584" t="s">
        <v>121</v>
      </c>
      <c r="F1584" s="4" t="s">
        <v>2416</v>
      </c>
      <c r="H1584">
        <v>2</v>
      </c>
      <c r="I1584" s="1">
        <v>0</v>
      </c>
      <c r="J1584">
        <v>0</v>
      </c>
      <c r="K1584">
        <v>0</v>
      </c>
      <c r="L1584" s="20">
        <v>23040</v>
      </c>
      <c r="M1584">
        <v>1</v>
      </c>
      <c r="N1584">
        <v>0</v>
      </c>
      <c r="O1584">
        <v>0</v>
      </c>
      <c r="P1584">
        <v>0</v>
      </c>
      <c r="Q1584" s="22">
        <v>69000</v>
      </c>
      <c r="R1584">
        <v>3</v>
      </c>
      <c r="S1584" s="1">
        <v>0</v>
      </c>
      <c r="T1584">
        <v>0</v>
      </c>
      <c r="U1584">
        <v>0</v>
      </c>
      <c r="V1584" s="21">
        <v>34500</v>
      </c>
      <c r="W1584">
        <v>23</v>
      </c>
      <c r="X1584">
        <v>0</v>
      </c>
      <c r="Y1584">
        <v>0</v>
      </c>
      <c r="Z1584">
        <v>0</v>
      </c>
      <c r="AA1584">
        <v>1</v>
      </c>
    </row>
    <row r="1585" spans="1:27" ht="14.25" x14ac:dyDescent="0.2">
      <c r="A1585" s="12">
        <v>30702</v>
      </c>
      <c r="B1585" t="s">
        <v>131</v>
      </c>
      <c r="C1585" t="s">
        <v>125</v>
      </c>
      <c r="D1585" t="s">
        <v>121</v>
      </c>
      <c r="E1585" t="s">
        <v>136</v>
      </c>
      <c r="F1585" s="4" t="s">
        <v>2418</v>
      </c>
      <c r="H1585">
        <v>2</v>
      </c>
      <c r="I1585" s="1">
        <v>0</v>
      </c>
      <c r="J1585">
        <v>0</v>
      </c>
      <c r="K1585">
        <v>0</v>
      </c>
      <c r="L1585" s="20">
        <v>23040</v>
      </c>
      <c r="M1585">
        <v>1</v>
      </c>
      <c r="N1585">
        <v>0</v>
      </c>
      <c r="O1585">
        <v>0</v>
      </c>
      <c r="P1585">
        <v>0</v>
      </c>
      <c r="Q1585" s="22">
        <v>69000</v>
      </c>
      <c r="R1585">
        <v>3</v>
      </c>
      <c r="S1585" s="1">
        <v>0</v>
      </c>
      <c r="T1585">
        <v>0</v>
      </c>
      <c r="U1585">
        <v>0</v>
      </c>
      <c r="V1585" s="21">
        <v>34500</v>
      </c>
      <c r="W1585">
        <v>6</v>
      </c>
      <c r="X1585">
        <v>1</v>
      </c>
      <c r="Y1585">
        <v>0</v>
      </c>
      <c r="Z1585">
        <v>3</v>
      </c>
      <c r="AA1585">
        <v>10</v>
      </c>
    </row>
    <row r="1586" spans="1:27" ht="14.25" x14ac:dyDescent="0.2">
      <c r="A1586" s="12">
        <v>30703</v>
      </c>
      <c r="B1586" t="s">
        <v>180</v>
      </c>
      <c r="C1586" t="s">
        <v>121</v>
      </c>
      <c r="D1586" t="s">
        <v>121</v>
      </c>
      <c r="E1586" t="s">
        <v>121</v>
      </c>
      <c r="F1586" s="4" t="s">
        <v>2420</v>
      </c>
      <c r="H1586">
        <v>2</v>
      </c>
      <c r="I1586" s="1">
        <v>0</v>
      </c>
      <c r="J1586">
        <v>0</v>
      </c>
      <c r="K1586">
        <v>0</v>
      </c>
      <c r="L1586" s="20">
        <v>23040</v>
      </c>
      <c r="M1586">
        <v>1</v>
      </c>
      <c r="N1586">
        <v>0</v>
      </c>
      <c r="O1586">
        <v>0</v>
      </c>
      <c r="P1586">
        <v>0</v>
      </c>
      <c r="Q1586" s="22">
        <v>69120</v>
      </c>
      <c r="R1586">
        <v>3</v>
      </c>
      <c r="S1586" s="1">
        <v>0</v>
      </c>
      <c r="T1586">
        <v>0</v>
      </c>
      <c r="U1586">
        <v>0</v>
      </c>
      <c r="V1586" s="21">
        <v>34560</v>
      </c>
      <c r="W1586">
        <v>15</v>
      </c>
      <c r="X1586">
        <v>0</v>
      </c>
      <c r="Y1586">
        <v>0</v>
      </c>
      <c r="Z1586">
        <v>0</v>
      </c>
      <c r="AA1586">
        <v>1</v>
      </c>
    </row>
    <row r="1587" spans="1:27" ht="14.25" x14ac:dyDescent="0.2">
      <c r="A1587" s="12">
        <v>30704</v>
      </c>
      <c r="B1587" t="s">
        <v>178</v>
      </c>
      <c r="C1587" t="s">
        <v>121</v>
      </c>
      <c r="D1587" t="s">
        <v>121</v>
      </c>
      <c r="E1587" t="s">
        <v>121</v>
      </c>
      <c r="F1587" s="4" t="s">
        <v>2420</v>
      </c>
      <c r="H1587">
        <v>2</v>
      </c>
      <c r="I1587" s="1">
        <v>0</v>
      </c>
      <c r="J1587">
        <v>0</v>
      </c>
      <c r="K1587">
        <v>0</v>
      </c>
      <c r="L1587" s="20">
        <v>23040</v>
      </c>
      <c r="M1587">
        <v>1</v>
      </c>
      <c r="N1587">
        <v>0</v>
      </c>
      <c r="O1587">
        <v>0</v>
      </c>
      <c r="P1587">
        <v>0</v>
      </c>
      <c r="Q1587" s="22">
        <v>69120</v>
      </c>
      <c r="R1587">
        <v>3</v>
      </c>
      <c r="S1587" s="1">
        <v>0</v>
      </c>
      <c r="T1587">
        <v>0</v>
      </c>
      <c r="U1587">
        <v>0</v>
      </c>
      <c r="V1587" s="21">
        <v>34560</v>
      </c>
      <c r="W1587">
        <v>21</v>
      </c>
      <c r="X1587">
        <v>0</v>
      </c>
      <c r="Y1587">
        <v>0</v>
      </c>
      <c r="Z1587">
        <v>0</v>
      </c>
      <c r="AA1587">
        <v>1</v>
      </c>
    </row>
    <row r="1588" spans="1:27" ht="14.25" x14ac:dyDescent="0.2">
      <c r="A1588" s="12">
        <v>30705</v>
      </c>
      <c r="B1588" t="s">
        <v>130</v>
      </c>
      <c r="C1588" t="s">
        <v>121</v>
      </c>
      <c r="D1588" t="s">
        <v>121</v>
      </c>
      <c r="E1588" t="s">
        <v>121</v>
      </c>
      <c r="F1588" s="4" t="s">
        <v>2422</v>
      </c>
      <c r="H1588">
        <v>2</v>
      </c>
      <c r="I1588" s="1">
        <v>0</v>
      </c>
      <c r="J1588">
        <v>0</v>
      </c>
      <c r="K1588">
        <v>0</v>
      </c>
      <c r="L1588" s="20">
        <v>23040</v>
      </c>
      <c r="M1588">
        <v>1</v>
      </c>
      <c r="N1588">
        <v>0</v>
      </c>
      <c r="O1588">
        <v>0</v>
      </c>
      <c r="P1588">
        <v>0</v>
      </c>
      <c r="Q1588" s="22">
        <v>69120</v>
      </c>
      <c r="R1588">
        <v>3</v>
      </c>
      <c r="S1588" s="1">
        <v>0</v>
      </c>
      <c r="T1588">
        <v>0</v>
      </c>
      <c r="U1588">
        <v>0</v>
      </c>
      <c r="V1588" s="21">
        <v>34560</v>
      </c>
      <c r="W1588">
        <v>9</v>
      </c>
      <c r="X1588">
        <v>0</v>
      </c>
      <c r="Y1588">
        <v>0</v>
      </c>
      <c r="Z1588">
        <v>0</v>
      </c>
      <c r="AA1588">
        <v>10</v>
      </c>
    </row>
    <row r="1589" spans="1:27" ht="14.25" x14ac:dyDescent="0.2">
      <c r="A1589" s="12">
        <v>30706</v>
      </c>
      <c r="B1589" t="s">
        <v>181</v>
      </c>
      <c r="C1589" t="s">
        <v>121</v>
      </c>
      <c r="D1589" t="s">
        <v>121</v>
      </c>
      <c r="E1589" t="s">
        <v>121</v>
      </c>
      <c r="F1589" s="4" t="s">
        <v>2424</v>
      </c>
      <c r="H1589">
        <v>2</v>
      </c>
      <c r="I1589" s="1">
        <v>0</v>
      </c>
      <c r="J1589">
        <v>0</v>
      </c>
      <c r="K1589">
        <v>0</v>
      </c>
      <c r="L1589" s="20">
        <v>23080</v>
      </c>
      <c r="M1589">
        <v>1</v>
      </c>
      <c r="N1589">
        <v>0</v>
      </c>
      <c r="O1589">
        <v>0</v>
      </c>
      <c r="P1589">
        <v>0</v>
      </c>
      <c r="Q1589" s="22">
        <v>69120</v>
      </c>
      <c r="R1589">
        <v>3</v>
      </c>
      <c r="S1589" s="1">
        <v>0</v>
      </c>
      <c r="T1589">
        <v>0</v>
      </c>
      <c r="U1589">
        <v>0</v>
      </c>
      <c r="V1589" s="21">
        <v>34560</v>
      </c>
      <c r="W1589">
        <v>30</v>
      </c>
      <c r="X1589">
        <v>0</v>
      </c>
      <c r="Y1589">
        <v>0</v>
      </c>
      <c r="Z1589">
        <v>0</v>
      </c>
      <c r="AA1589">
        <v>10</v>
      </c>
    </row>
    <row r="1590" spans="1:27" ht="14.25" x14ac:dyDescent="0.2">
      <c r="A1590" s="12">
        <v>30707</v>
      </c>
      <c r="B1590" t="s">
        <v>122</v>
      </c>
      <c r="C1590" t="s">
        <v>121</v>
      </c>
      <c r="D1590" t="s">
        <v>121</v>
      </c>
      <c r="E1590" t="s">
        <v>121</v>
      </c>
      <c r="F1590" s="4" t="s">
        <v>2424</v>
      </c>
      <c r="H1590">
        <v>2</v>
      </c>
      <c r="I1590" s="1">
        <v>0</v>
      </c>
      <c r="J1590">
        <v>0</v>
      </c>
      <c r="K1590">
        <v>0</v>
      </c>
      <c r="L1590" s="20">
        <v>23080</v>
      </c>
      <c r="M1590">
        <v>1</v>
      </c>
      <c r="N1590">
        <v>0</v>
      </c>
      <c r="O1590">
        <v>0</v>
      </c>
      <c r="P1590">
        <v>0</v>
      </c>
      <c r="Q1590" s="22">
        <v>69120</v>
      </c>
      <c r="R1590">
        <v>3</v>
      </c>
      <c r="S1590" s="1">
        <v>0</v>
      </c>
      <c r="T1590">
        <v>0</v>
      </c>
      <c r="U1590">
        <v>0</v>
      </c>
      <c r="V1590" s="21">
        <v>34560</v>
      </c>
      <c r="W1590">
        <v>4</v>
      </c>
      <c r="X1590">
        <v>0</v>
      </c>
      <c r="Y1590">
        <v>0</v>
      </c>
      <c r="Z1590">
        <v>0</v>
      </c>
      <c r="AA1590">
        <v>10</v>
      </c>
    </row>
    <row r="1591" spans="1:27" ht="14.25" x14ac:dyDescent="0.2">
      <c r="A1591" s="12">
        <v>30708</v>
      </c>
      <c r="B1591" t="s">
        <v>178</v>
      </c>
      <c r="C1591" t="s">
        <v>121</v>
      </c>
      <c r="D1591" t="s">
        <v>121</v>
      </c>
      <c r="E1591" t="s">
        <v>121</v>
      </c>
      <c r="F1591" s="4" t="s">
        <v>2426</v>
      </c>
      <c r="H1591">
        <v>2</v>
      </c>
      <c r="I1591" s="1">
        <v>0</v>
      </c>
      <c r="J1591">
        <v>0</v>
      </c>
      <c r="K1591">
        <v>0</v>
      </c>
      <c r="L1591" s="20">
        <v>23080</v>
      </c>
      <c r="M1591">
        <v>1</v>
      </c>
      <c r="N1591">
        <v>0</v>
      </c>
      <c r="O1591">
        <v>0</v>
      </c>
      <c r="P1591">
        <v>0</v>
      </c>
      <c r="Q1591" s="22">
        <v>69240</v>
      </c>
      <c r="R1591">
        <v>3</v>
      </c>
      <c r="S1591" s="1">
        <v>0</v>
      </c>
      <c r="T1591">
        <v>0</v>
      </c>
      <c r="U1591">
        <v>0</v>
      </c>
      <c r="V1591" s="21">
        <v>34620</v>
      </c>
      <c r="W1591">
        <v>21</v>
      </c>
      <c r="X1591">
        <v>0</v>
      </c>
      <c r="Y1591">
        <v>0</v>
      </c>
      <c r="Z1591">
        <v>0</v>
      </c>
      <c r="AA1591">
        <v>1</v>
      </c>
    </row>
    <row r="1592" spans="1:27" ht="14.25" x14ac:dyDescent="0.2">
      <c r="A1592" s="12">
        <v>30709</v>
      </c>
      <c r="B1592" t="s">
        <v>130</v>
      </c>
      <c r="C1592" t="s">
        <v>121</v>
      </c>
      <c r="D1592" t="s">
        <v>121</v>
      </c>
      <c r="E1592" t="s">
        <v>121</v>
      </c>
      <c r="F1592" s="4" t="s">
        <v>2428</v>
      </c>
      <c r="H1592">
        <v>2</v>
      </c>
      <c r="I1592" s="1">
        <v>0</v>
      </c>
      <c r="J1592">
        <v>0</v>
      </c>
      <c r="K1592">
        <v>0</v>
      </c>
      <c r="L1592" s="20">
        <v>23080</v>
      </c>
      <c r="M1592">
        <v>1</v>
      </c>
      <c r="N1592">
        <v>0</v>
      </c>
      <c r="O1592">
        <v>0</v>
      </c>
      <c r="P1592">
        <v>0</v>
      </c>
      <c r="Q1592" s="22">
        <v>69240</v>
      </c>
      <c r="R1592">
        <v>3</v>
      </c>
      <c r="S1592" s="1">
        <v>0</v>
      </c>
      <c r="T1592">
        <v>0</v>
      </c>
      <c r="U1592">
        <v>0</v>
      </c>
      <c r="V1592" s="21">
        <v>34620</v>
      </c>
      <c r="W1592">
        <v>9</v>
      </c>
      <c r="X1592">
        <v>0</v>
      </c>
      <c r="Y1592">
        <v>0</v>
      </c>
      <c r="Z1592">
        <v>0</v>
      </c>
      <c r="AA1592">
        <v>10</v>
      </c>
    </row>
    <row r="1593" spans="1:27" ht="14.25" x14ac:dyDescent="0.2">
      <c r="A1593" s="12">
        <v>30710</v>
      </c>
      <c r="B1593" t="s">
        <v>123</v>
      </c>
      <c r="C1593" t="s">
        <v>121</v>
      </c>
      <c r="D1593" t="s">
        <v>121</v>
      </c>
      <c r="E1593" t="s">
        <v>121</v>
      </c>
      <c r="F1593" s="4" t="s">
        <v>2428</v>
      </c>
      <c r="H1593">
        <v>2</v>
      </c>
      <c r="I1593" s="1">
        <v>0</v>
      </c>
      <c r="J1593">
        <v>0</v>
      </c>
      <c r="K1593">
        <v>0</v>
      </c>
      <c r="L1593" s="20">
        <v>23080</v>
      </c>
      <c r="M1593">
        <v>1</v>
      </c>
      <c r="N1593">
        <v>0</v>
      </c>
      <c r="O1593">
        <v>0</v>
      </c>
      <c r="P1593">
        <v>0</v>
      </c>
      <c r="Q1593" s="22">
        <v>69240</v>
      </c>
      <c r="R1593">
        <v>3</v>
      </c>
      <c r="S1593" s="1">
        <v>0</v>
      </c>
      <c r="T1593">
        <v>0</v>
      </c>
      <c r="U1593">
        <v>0</v>
      </c>
      <c r="V1593" s="21">
        <v>34620</v>
      </c>
      <c r="W1593">
        <v>12</v>
      </c>
      <c r="X1593">
        <v>0</v>
      </c>
      <c r="Y1593">
        <v>0</v>
      </c>
      <c r="Z1593">
        <v>0</v>
      </c>
      <c r="AA1593">
        <v>10</v>
      </c>
    </row>
    <row r="1594" spans="1:27" ht="14.25" x14ac:dyDescent="0.2">
      <c r="A1594" s="12">
        <v>30711</v>
      </c>
      <c r="B1594" t="s">
        <v>126</v>
      </c>
      <c r="C1594" t="s">
        <v>121</v>
      </c>
      <c r="D1594" t="s">
        <v>121</v>
      </c>
      <c r="E1594" t="s">
        <v>121</v>
      </c>
      <c r="F1594" s="4" t="s">
        <v>2430</v>
      </c>
      <c r="H1594">
        <v>2</v>
      </c>
      <c r="I1594" s="1">
        <v>0</v>
      </c>
      <c r="J1594">
        <v>0</v>
      </c>
      <c r="K1594">
        <v>0</v>
      </c>
      <c r="L1594" s="20">
        <v>23120</v>
      </c>
      <c r="M1594">
        <v>1</v>
      </c>
      <c r="N1594">
        <v>0</v>
      </c>
      <c r="O1594">
        <v>0</v>
      </c>
      <c r="P1594">
        <v>0</v>
      </c>
      <c r="Q1594" s="22">
        <v>69240</v>
      </c>
      <c r="R1594">
        <v>3</v>
      </c>
      <c r="S1594" s="1">
        <v>0</v>
      </c>
      <c r="T1594">
        <v>0</v>
      </c>
      <c r="U1594">
        <v>0</v>
      </c>
      <c r="V1594" s="21">
        <v>34620</v>
      </c>
      <c r="W1594">
        <v>23</v>
      </c>
      <c r="X1594">
        <v>0</v>
      </c>
      <c r="Y1594">
        <v>0</v>
      </c>
      <c r="Z1594">
        <v>0</v>
      </c>
      <c r="AA1594">
        <v>1</v>
      </c>
    </row>
    <row r="1595" spans="1:27" ht="14.25" x14ac:dyDescent="0.2">
      <c r="A1595" s="12">
        <v>30712</v>
      </c>
      <c r="B1595" t="s">
        <v>131</v>
      </c>
      <c r="C1595" t="s">
        <v>125</v>
      </c>
      <c r="D1595" t="s">
        <v>121</v>
      </c>
      <c r="E1595" t="s">
        <v>136</v>
      </c>
      <c r="F1595" s="4" t="s">
        <v>2432</v>
      </c>
      <c r="H1595">
        <v>2</v>
      </c>
      <c r="I1595" s="1">
        <v>0</v>
      </c>
      <c r="J1595">
        <v>0</v>
      </c>
      <c r="K1595">
        <v>0</v>
      </c>
      <c r="L1595" s="20">
        <v>23120</v>
      </c>
      <c r="M1595">
        <v>1</v>
      </c>
      <c r="N1595">
        <v>0</v>
      </c>
      <c r="O1595">
        <v>0</v>
      </c>
      <c r="P1595">
        <v>0</v>
      </c>
      <c r="Q1595" s="22">
        <v>69240</v>
      </c>
      <c r="R1595">
        <v>3</v>
      </c>
      <c r="S1595" s="1">
        <v>0</v>
      </c>
      <c r="T1595">
        <v>0</v>
      </c>
      <c r="U1595">
        <v>0</v>
      </c>
      <c r="V1595" s="21">
        <v>34620</v>
      </c>
      <c r="W1595">
        <v>6</v>
      </c>
      <c r="X1595">
        <v>1</v>
      </c>
      <c r="Y1595">
        <v>0</v>
      </c>
      <c r="Z1595">
        <v>3</v>
      </c>
      <c r="AA1595">
        <v>10</v>
      </c>
    </row>
    <row r="1596" spans="1:27" ht="14.25" x14ac:dyDescent="0.2">
      <c r="A1596" s="12">
        <v>30713</v>
      </c>
      <c r="B1596" t="s">
        <v>180</v>
      </c>
      <c r="C1596" t="s">
        <v>121</v>
      </c>
      <c r="D1596" t="s">
        <v>121</v>
      </c>
      <c r="E1596" t="s">
        <v>121</v>
      </c>
      <c r="F1596" s="4" t="s">
        <v>2434</v>
      </c>
      <c r="H1596">
        <v>2</v>
      </c>
      <c r="I1596" s="1">
        <v>0</v>
      </c>
      <c r="J1596">
        <v>0</v>
      </c>
      <c r="K1596">
        <v>0</v>
      </c>
      <c r="L1596" s="20">
        <v>23120</v>
      </c>
      <c r="M1596">
        <v>1</v>
      </c>
      <c r="N1596">
        <v>0</v>
      </c>
      <c r="O1596">
        <v>0</v>
      </c>
      <c r="P1596">
        <v>0</v>
      </c>
      <c r="Q1596" s="22">
        <v>69360</v>
      </c>
      <c r="R1596">
        <v>3</v>
      </c>
      <c r="S1596" s="1">
        <v>0</v>
      </c>
      <c r="T1596">
        <v>0</v>
      </c>
      <c r="U1596">
        <v>0</v>
      </c>
      <c r="V1596" s="21">
        <v>34680</v>
      </c>
      <c r="W1596">
        <v>15</v>
      </c>
      <c r="X1596">
        <v>0</v>
      </c>
      <c r="Y1596">
        <v>0</v>
      </c>
      <c r="Z1596">
        <v>0</v>
      </c>
      <c r="AA1596">
        <v>1</v>
      </c>
    </row>
    <row r="1597" spans="1:27" ht="14.25" x14ac:dyDescent="0.2">
      <c r="A1597" s="12">
        <v>30714</v>
      </c>
      <c r="B1597" t="s">
        <v>178</v>
      </c>
      <c r="C1597" t="s">
        <v>121</v>
      </c>
      <c r="D1597" t="s">
        <v>121</v>
      </c>
      <c r="E1597" t="s">
        <v>121</v>
      </c>
      <c r="F1597" s="4" t="s">
        <v>2434</v>
      </c>
      <c r="H1597">
        <v>2</v>
      </c>
      <c r="I1597" s="1">
        <v>0</v>
      </c>
      <c r="J1597">
        <v>0</v>
      </c>
      <c r="K1597">
        <v>0</v>
      </c>
      <c r="L1597" s="20">
        <v>23120</v>
      </c>
      <c r="M1597">
        <v>1</v>
      </c>
      <c r="N1597">
        <v>0</v>
      </c>
      <c r="O1597">
        <v>0</v>
      </c>
      <c r="P1597">
        <v>0</v>
      </c>
      <c r="Q1597" s="22">
        <v>69360</v>
      </c>
      <c r="R1597">
        <v>3</v>
      </c>
      <c r="S1597" s="1">
        <v>0</v>
      </c>
      <c r="T1597">
        <v>0</v>
      </c>
      <c r="U1597">
        <v>0</v>
      </c>
      <c r="V1597" s="21">
        <v>34680</v>
      </c>
      <c r="W1597">
        <v>21</v>
      </c>
      <c r="X1597">
        <v>0</v>
      </c>
      <c r="Y1597">
        <v>0</v>
      </c>
      <c r="Z1597">
        <v>0</v>
      </c>
      <c r="AA1597">
        <v>1</v>
      </c>
    </row>
    <row r="1598" spans="1:27" ht="14.25" x14ac:dyDescent="0.2">
      <c r="A1598" s="12">
        <v>30715</v>
      </c>
      <c r="B1598" t="s">
        <v>130</v>
      </c>
      <c r="C1598" t="s">
        <v>121</v>
      </c>
      <c r="D1598" t="s">
        <v>121</v>
      </c>
      <c r="E1598" t="s">
        <v>121</v>
      </c>
      <c r="F1598" s="4" t="s">
        <v>2436</v>
      </c>
      <c r="H1598">
        <v>2</v>
      </c>
      <c r="I1598" s="1">
        <v>0</v>
      </c>
      <c r="J1598">
        <v>0</v>
      </c>
      <c r="K1598">
        <v>0</v>
      </c>
      <c r="L1598" s="20">
        <v>23120</v>
      </c>
      <c r="M1598">
        <v>1</v>
      </c>
      <c r="N1598">
        <v>0</v>
      </c>
      <c r="O1598">
        <v>0</v>
      </c>
      <c r="P1598">
        <v>0</v>
      </c>
      <c r="Q1598" s="22">
        <v>69360</v>
      </c>
      <c r="R1598">
        <v>3</v>
      </c>
      <c r="S1598" s="1">
        <v>0</v>
      </c>
      <c r="T1598">
        <v>0</v>
      </c>
      <c r="U1598">
        <v>0</v>
      </c>
      <c r="V1598" s="21">
        <v>34680</v>
      </c>
      <c r="W1598">
        <v>9</v>
      </c>
      <c r="X1598">
        <v>0</v>
      </c>
      <c r="Y1598">
        <v>0</v>
      </c>
      <c r="Z1598">
        <v>0</v>
      </c>
      <c r="AA1598">
        <v>10</v>
      </c>
    </row>
    <row r="1599" spans="1:27" ht="14.25" x14ac:dyDescent="0.2">
      <c r="A1599" s="12">
        <v>30716</v>
      </c>
      <c r="B1599" t="s">
        <v>181</v>
      </c>
      <c r="C1599" t="s">
        <v>121</v>
      </c>
      <c r="D1599" t="s">
        <v>121</v>
      </c>
      <c r="E1599" t="s">
        <v>121</v>
      </c>
      <c r="F1599" s="4" t="s">
        <v>2438</v>
      </c>
      <c r="H1599">
        <v>2</v>
      </c>
      <c r="I1599" s="1">
        <v>0</v>
      </c>
      <c r="J1599">
        <v>0</v>
      </c>
      <c r="K1599">
        <v>0</v>
      </c>
      <c r="L1599" s="20">
        <v>23160</v>
      </c>
      <c r="M1599">
        <v>1</v>
      </c>
      <c r="N1599">
        <v>0</v>
      </c>
      <c r="O1599">
        <v>0</v>
      </c>
      <c r="P1599">
        <v>0</v>
      </c>
      <c r="Q1599" s="22">
        <v>69360</v>
      </c>
      <c r="R1599">
        <v>3</v>
      </c>
      <c r="S1599" s="1">
        <v>0</v>
      </c>
      <c r="T1599">
        <v>0</v>
      </c>
      <c r="U1599">
        <v>0</v>
      </c>
      <c r="V1599" s="21">
        <v>34680</v>
      </c>
      <c r="W1599">
        <v>30</v>
      </c>
      <c r="X1599">
        <v>0</v>
      </c>
      <c r="Y1599">
        <v>0</v>
      </c>
      <c r="Z1599">
        <v>0</v>
      </c>
      <c r="AA1599">
        <v>10</v>
      </c>
    </row>
    <row r="1600" spans="1:27" ht="14.25" x14ac:dyDescent="0.2">
      <c r="A1600" s="12">
        <v>30717</v>
      </c>
      <c r="B1600" t="s">
        <v>122</v>
      </c>
      <c r="C1600" t="s">
        <v>121</v>
      </c>
      <c r="D1600" t="s">
        <v>121</v>
      </c>
      <c r="E1600" t="s">
        <v>121</v>
      </c>
      <c r="F1600" s="4" t="s">
        <v>2438</v>
      </c>
      <c r="H1600">
        <v>2</v>
      </c>
      <c r="I1600" s="1">
        <v>0</v>
      </c>
      <c r="J1600">
        <v>0</v>
      </c>
      <c r="K1600">
        <v>0</v>
      </c>
      <c r="L1600" s="20">
        <v>23160</v>
      </c>
      <c r="M1600">
        <v>1</v>
      </c>
      <c r="N1600">
        <v>0</v>
      </c>
      <c r="O1600">
        <v>0</v>
      </c>
      <c r="P1600">
        <v>0</v>
      </c>
      <c r="Q1600" s="22">
        <v>69360</v>
      </c>
      <c r="R1600">
        <v>3</v>
      </c>
      <c r="S1600" s="1">
        <v>0</v>
      </c>
      <c r="T1600">
        <v>0</v>
      </c>
      <c r="U1600">
        <v>0</v>
      </c>
      <c r="V1600" s="21">
        <v>34680</v>
      </c>
      <c r="W1600">
        <v>4</v>
      </c>
      <c r="X1600">
        <v>0</v>
      </c>
      <c r="Y1600">
        <v>0</v>
      </c>
      <c r="Z1600">
        <v>0</v>
      </c>
      <c r="AA1600">
        <v>10</v>
      </c>
    </row>
    <row r="1601" spans="1:27" ht="14.25" x14ac:dyDescent="0.2">
      <c r="A1601" s="12">
        <v>30718</v>
      </c>
      <c r="B1601" t="s">
        <v>178</v>
      </c>
      <c r="C1601" t="s">
        <v>121</v>
      </c>
      <c r="D1601" t="s">
        <v>121</v>
      </c>
      <c r="E1601" t="s">
        <v>121</v>
      </c>
      <c r="F1601" s="4" t="s">
        <v>2440</v>
      </c>
      <c r="H1601">
        <v>2</v>
      </c>
      <c r="I1601" s="1">
        <v>0</v>
      </c>
      <c r="J1601">
        <v>0</v>
      </c>
      <c r="K1601">
        <v>0</v>
      </c>
      <c r="L1601" s="20">
        <v>23160</v>
      </c>
      <c r="M1601">
        <v>1</v>
      </c>
      <c r="N1601">
        <v>0</v>
      </c>
      <c r="O1601">
        <v>0</v>
      </c>
      <c r="P1601">
        <v>0</v>
      </c>
      <c r="Q1601" s="22">
        <v>69480</v>
      </c>
      <c r="R1601">
        <v>3</v>
      </c>
      <c r="S1601" s="1">
        <v>0</v>
      </c>
      <c r="T1601">
        <v>0</v>
      </c>
      <c r="U1601">
        <v>0</v>
      </c>
      <c r="V1601" s="21">
        <v>34740</v>
      </c>
      <c r="W1601">
        <v>21</v>
      </c>
      <c r="X1601">
        <v>0</v>
      </c>
      <c r="Y1601">
        <v>0</v>
      </c>
      <c r="Z1601">
        <v>0</v>
      </c>
      <c r="AA1601">
        <v>1</v>
      </c>
    </row>
    <row r="1602" spans="1:27" ht="14.25" x14ac:dyDescent="0.2">
      <c r="A1602" s="12">
        <v>30719</v>
      </c>
      <c r="B1602" t="s">
        <v>130</v>
      </c>
      <c r="C1602" t="s">
        <v>121</v>
      </c>
      <c r="D1602" t="s">
        <v>121</v>
      </c>
      <c r="E1602" t="s">
        <v>121</v>
      </c>
      <c r="F1602" s="4" t="s">
        <v>2442</v>
      </c>
      <c r="H1602">
        <v>2</v>
      </c>
      <c r="I1602" s="1">
        <v>0</v>
      </c>
      <c r="J1602">
        <v>0</v>
      </c>
      <c r="K1602">
        <v>0</v>
      </c>
      <c r="L1602" s="20">
        <v>23160</v>
      </c>
      <c r="M1602">
        <v>1</v>
      </c>
      <c r="N1602">
        <v>0</v>
      </c>
      <c r="O1602">
        <v>0</v>
      </c>
      <c r="P1602">
        <v>0</v>
      </c>
      <c r="Q1602" s="22">
        <v>69480</v>
      </c>
      <c r="R1602">
        <v>3</v>
      </c>
      <c r="S1602" s="1">
        <v>0</v>
      </c>
      <c r="T1602">
        <v>0</v>
      </c>
      <c r="U1602">
        <v>0</v>
      </c>
      <c r="V1602" s="21">
        <v>34740</v>
      </c>
      <c r="W1602">
        <v>9</v>
      </c>
      <c r="X1602">
        <v>0</v>
      </c>
      <c r="Y1602">
        <v>0</v>
      </c>
      <c r="Z1602">
        <v>0</v>
      </c>
      <c r="AA1602">
        <v>10</v>
      </c>
    </row>
    <row r="1603" spans="1:27" ht="14.25" x14ac:dyDescent="0.2">
      <c r="A1603" s="12">
        <v>30720</v>
      </c>
      <c r="B1603" t="s">
        <v>123</v>
      </c>
      <c r="C1603" t="s">
        <v>121</v>
      </c>
      <c r="D1603" t="s">
        <v>121</v>
      </c>
      <c r="E1603" t="s">
        <v>121</v>
      </c>
      <c r="F1603" s="4" t="s">
        <v>2442</v>
      </c>
      <c r="H1603">
        <v>2</v>
      </c>
      <c r="I1603" s="1">
        <v>0</v>
      </c>
      <c r="J1603">
        <v>0</v>
      </c>
      <c r="K1603">
        <v>0</v>
      </c>
      <c r="L1603" s="20">
        <v>23160</v>
      </c>
      <c r="M1603">
        <v>1</v>
      </c>
      <c r="N1603">
        <v>0</v>
      </c>
      <c r="O1603">
        <v>0</v>
      </c>
      <c r="P1603">
        <v>0</v>
      </c>
      <c r="Q1603" s="22">
        <v>69480</v>
      </c>
      <c r="R1603">
        <v>3</v>
      </c>
      <c r="S1603" s="1">
        <v>0</v>
      </c>
      <c r="T1603">
        <v>0</v>
      </c>
      <c r="U1603">
        <v>0</v>
      </c>
      <c r="V1603" s="21">
        <v>34740</v>
      </c>
      <c r="W1603">
        <v>12</v>
      </c>
      <c r="X1603">
        <v>0</v>
      </c>
      <c r="Y1603">
        <v>0</v>
      </c>
      <c r="Z1603">
        <v>0</v>
      </c>
      <c r="AA1603">
        <v>10</v>
      </c>
    </row>
    <row r="1604" spans="1:27" ht="14.25" x14ac:dyDescent="0.2">
      <c r="A1604" s="12">
        <v>30721</v>
      </c>
      <c r="B1604" t="s">
        <v>126</v>
      </c>
      <c r="C1604" t="s">
        <v>121</v>
      </c>
      <c r="D1604" t="s">
        <v>121</v>
      </c>
      <c r="E1604" t="s">
        <v>121</v>
      </c>
      <c r="F1604" s="4" t="s">
        <v>2444</v>
      </c>
      <c r="H1604">
        <v>2</v>
      </c>
      <c r="I1604" s="1">
        <v>0</v>
      </c>
      <c r="J1604">
        <v>0</v>
      </c>
      <c r="K1604">
        <v>0</v>
      </c>
      <c r="L1604" s="20">
        <v>23200</v>
      </c>
      <c r="M1604">
        <v>1</v>
      </c>
      <c r="N1604">
        <v>0</v>
      </c>
      <c r="O1604">
        <v>0</v>
      </c>
      <c r="P1604">
        <v>0</v>
      </c>
      <c r="Q1604" s="22">
        <v>69480</v>
      </c>
      <c r="R1604">
        <v>3</v>
      </c>
      <c r="S1604" s="1">
        <v>0</v>
      </c>
      <c r="T1604">
        <v>0</v>
      </c>
      <c r="U1604">
        <v>0</v>
      </c>
      <c r="V1604" s="21">
        <v>34740</v>
      </c>
      <c r="W1604">
        <v>23</v>
      </c>
      <c r="X1604">
        <v>0</v>
      </c>
      <c r="Y1604">
        <v>0</v>
      </c>
      <c r="Z1604">
        <v>0</v>
      </c>
      <c r="AA1604">
        <v>1</v>
      </c>
    </row>
    <row r="1605" spans="1:27" ht="14.25" x14ac:dyDescent="0.2">
      <c r="A1605" s="12">
        <v>30722</v>
      </c>
      <c r="B1605" t="s">
        <v>131</v>
      </c>
      <c r="C1605" t="s">
        <v>125</v>
      </c>
      <c r="D1605" t="s">
        <v>121</v>
      </c>
      <c r="E1605" t="s">
        <v>136</v>
      </c>
      <c r="F1605" s="4" t="s">
        <v>2446</v>
      </c>
      <c r="H1605">
        <v>2</v>
      </c>
      <c r="I1605" s="1">
        <v>0</v>
      </c>
      <c r="J1605">
        <v>0</v>
      </c>
      <c r="K1605">
        <v>0</v>
      </c>
      <c r="L1605" s="20">
        <v>23200</v>
      </c>
      <c r="M1605">
        <v>1</v>
      </c>
      <c r="N1605">
        <v>0</v>
      </c>
      <c r="O1605">
        <v>0</v>
      </c>
      <c r="P1605">
        <v>0</v>
      </c>
      <c r="Q1605" s="22">
        <v>69480</v>
      </c>
      <c r="R1605">
        <v>3</v>
      </c>
      <c r="S1605" s="1">
        <v>0</v>
      </c>
      <c r="T1605">
        <v>0</v>
      </c>
      <c r="U1605">
        <v>0</v>
      </c>
      <c r="V1605" s="21">
        <v>34740</v>
      </c>
      <c r="W1605">
        <v>6</v>
      </c>
      <c r="X1605">
        <v>1</v>
      </c>
      <c r="Y1605">
        <v>0</v>
      </c>
      <c r="Z1605">
        <v>3</v>
      </c>
      <c r="AA1605">
        <v>10</v>
      </c>
    </row>
    <row r="1606" spans="1:27" ht="14.25" x14ac:dyDescent="0.2">
      <c r="A1606" s="12">
        <v>30723</v>
      </c>
      <c r="B1606" t="s">
        <v>180</v>
      </c>
      <c r="C1606" t="s">
        <v>121</v>
      </c>
      <c r="D1606" t="s">
        <v>121</v>
      </c>
      <c r="E1606" t="s">
        <v>121</v>
      </c>
      <c r="F1606" s="4" t="s">
        <v>2448</v>
      </c>
      <c r="H1606">
        <v>2</v>
      </c>
      <c r="I1606" s="1">
        <v>0</v>
      </c>
      <c r="J1606">
        <v>0</v>
      </c>
      <c r="K1606">
        <v>0</v>
      </c>
      <c r="L1606" s="20">
        <v>23200</v>
      </c>
      <c r="M1606">
        <v>1</v>
      </c>
      <c r="N1606">
        <v>0</v>
      </c>
      <c r="O1606">
        <v>0</v>
      </c>
      <c r="P1606">
        <v>0</v>
      </c>
      <c r="Q1606" s="22">
        <v>69600</v>
      </c>
      <c r="R1606">
        <v>3</v>
      </c>
      <c r="S1606" s="1">
        <v>0</v>
      </c>
      <c r="T1606">
        <v>0</v>
      </c>
      <c r="U1606">
        <v>0</v>
      </c>
      <c r="V1606" s="21">
        <v>34800</v>
      </c>
      <c r="W1606">
        <v>15</v>
      </c>
      <c r="X1606">
        <v>0</v>
      </c>
      <c r="Y1606">
        <v>0</v>
      </c>
      <c r="Z1606">
        <v>0</v>
      </c>
      <c r="AA1606">
        <v>1</v>
      </c>
    </row>
    <row r="1607" spans="1:27" ht="14.25" x14ac:dyDescent="0.2">
      <c r="A1607" s="12">
        <v>30724</v>
      </c>
      <c r="B1607" t="s">
        <v>178</v>
      </c>
      <c r="C1607" t="s">
        <v>121</v>
      </c>
      <c r="D1607" t="s">
        <v>121</v>
      </c>
      <c r="E1607" t="s">
        <v>121</v>
      </c>
      <c r="F1607" s="4" t="s">
        <v>2448</v>
      </c>
      <c r="H1607">
        <v>2</v>
      </c>
      <c r="I1607" s="1">
        <v>0</v>
      </c>
      <c r="J1607">
        <v>0</v>
      </c>
      <c r="K1607">
        <v>0</v>
      </c>
      <c r="L1607" s="20">
        <v>23200</v>
      </c>
      <c r="M1607">
        <v>1</v>
      </c>
      <c r="N1607">
        <v>0</v>
      </c>
      <c r="O1607">
        <v>0</v>
      </c>
      <c r="P1607">
        <v>0</v>
      </c>
      <c r="Q1607" s="22">
        <v>69600</v>
      </c>
      <c r="R1607">
        <v>3</v>
      </c>
      <c r="S1607" s="1">
        <v>0</v>
      </c>
      <c r="T1607">
        <v>0</v>
      </c>
      <c r="U1607">
        <v>0</v>
      </c>
      <c r="V1607" s="21">
        <v>34800</v>
      </c>
      <c r="W1607">
        <v>21</v>
      </c>
      <c r="X1607">
        <v>0</v>
      </c>
      <c r="Y1607">
        <v>0</v>
      </c>
      <c r="Z1607">
        <v>0</v>
      </c>
      <c r="AA1607">
        <v>1</v>
      </c>
    </row>
    <row r="1608" spans="1:27" ht="14.25" x14ac:dyDescent="0.2">
      <c r="A1608" s="12">
        <v>30725</v>
      </c>
      <c r="B1608" t="s">
        <v>130</v>
      </c>
      <c r="C1608" t="s">
        <v>121</v>
      </c>
      <c r="D1608" t="s">
        <v>121</v>
      </c>
      <c r="E1608" t="s">
        <v>121</v>
      </c>
      <c r="F1608" s="4" t="s">
        <v>2450</v>
      </c>
      <c r="H1608">
        <v>2</v>
      </c>
      <c r="I1608" s="1">
        <v>0</v>
      </c>
      <c r="J1608">
        <v>0</v>
      </c>
      <c r="K1608">
        <v>0</v>
      </c>
      <c r="L1608" s="20">
        <v>23200</v>
      </c>
      <c r="M1608">
        <v>1</v>
      </c>
      <c r="N1608">
        <v>0</v>
      </c>
      <c r="O1608">
        <v>0</v>
      </c>
      <c r="P1608">
        <v>0</v>
      </c>
      <c r="Q1608" s="22">
        <v>69600</v>
      </c>
      <c r="R1608">
        <v>3</v>
      </c>
      <c r="S1608" s="1">
        <v>0</v>
      </c>
      <c r="T1608">
        <v>0</v>
      </c>
      <c r="U1608">
        <v>0</v>
      </c>
      <c r="V1608" s="21">
        <v>34800</v>
      </c>
      <c r="W1608">
        <v>9</v>
      </c>
      <c r="X1608">
        <v>0</v>
      </c>
      <c r="Y1608">
        <v>0</v>
      </c>
      <c r="Z1608">
        <v>0</v>
      </c>
      <c r="AA1608">
        <v>10</v>
      </c>
    </row>
    <row r="1609" spans="1:27" ht="14.25" x14ac:dyDescent="0.2">
      <c r="A1609" s="12">
        <v>30726</v>
      </c>
      <c r="B1609" t="s">
        <v>181</v>
      </c>
      <c r="C1609" t="s">
        <v>121</v>
      </c>
      <c r="D1609" t="s">
        <v>121</v>
      </c>
      <c r="E1609" t="s">
        <v>121</v>
      </c>
      <c r="F1609" s="4" t="s">
        <v>2452</v>
      </c>
      <c r="H1609">
        <v>2</v>
      </c>
      <c r="I1609" s="1">
        <v>0</v>
      </c>
      <c r="J1609">
        <v>0</v>
      </c>
      <c r="K1609">
        <v>0</v>
      </c>
      <c r="L1609" s="20">
        <v>23240</v>
      </c>
      <c r="M1609">
        <v>1</v>
      </c>
      <c r="N1609">
        <v>0</v>
      </c>
      <c r="O1609">
        <v>0</v>
      </c>
      <c r="P1609">
        <v>0</v>
      </c>
      <c r="Q1609" s="22">
        <v>69600</v>
      </c>
      <c r="R1609">
        <v>3</v>
      </c>
      <c r="S1609" s="1">
        <v>0</v>
      </c>
      <c r="T1609">
        <v>0</v>
      </c>
      <c r="U1609">
        <v>0</v>
      </c>
      <c r="V1609" s="21">
        <v>34800</v>
      </c>
      <c r="W1609">
        <v>30</v>
      </c>
      <c r="X1609">
        <v>0</v>
      </c>
      <c r="Y1609">
        <v>0</v>
      </c>
      <c r="Z1609">
        <v>0</v>
      </c>
      <c r="AA1609">
        <v>10</v>
      </c>
    </row>
    <row r="1610" spans="1:27" ht="14.25" x14ac:dyDescent="0.2">
      <c r="A1610" s="12">
        <v>30727</v>
      </c>
      <c r="B1610" t="s">
        <v>122</v>
      </c>
      <c r="C1610" t="s">
        <v>121</v>
      </c>
      <c r="D1610" t="s">
        <v>121</v>
      </c>
      <c r="E1610" t="s">
        <v>121</v>
      </c>
      <c r="F1610" s="4" t="s">
        <v>2452</v>
      </c>
      <c r="H1610">
        <v>2</v>
      </c>
      <c r="I1610" s="1">
        <v>0</v>
      </c>
      <c r="J1610">
        <v>0</v>
      </c>
      <c r="K1610">
        <v>0</v>
      </c>
      <c r="L1610" s="20">
        <v>23240</v>
      </c>
      <c r="M1610">
        <v>1</v>
      </c>
      <c r="N1610">
        <v>0</v>
      </c>
      <c r="O1610">
        <v>0</v>
      </c>
      <c r="P1610">
        <v>0</v>
      </c>
      <c r="Q1610" s="22">
        <v>69600</v>
      </c>
      <c r="R1610">
        <v>3</v>
      </c>
      <c r="S1610" s="1">
        <v>0</v>
      </c>
      <c r="T1610">
        <v>0</v>
      </c>
      <c r="U1610">
        <v>0</v>
      </c>
      <c r="V1610" s="21">
        <v>34800</v>
      </c>
      <c r="W1610">
        <v>4</v>
      </c>
      <c r="X1610">
        <v>0</v>
      </c>
      <c r="Y1610">
        <v>0</v>
      </c>
      <c r="Z1610">
        <v>0</v>
      </c>
      <c r="AA1610">
        <v>10</v>
      </c>
    </row>
    <row r="1611" spans="1:27" ht="14.25" x14ac:dyDescent="0.2">
      <c r="A1611" s="12">
        <v>30728</v>
      </c>
      <c r="B1611" t="s">
        <v>178</v>
      </c>
      <c r="C1611" t="s">
        <v>121</v>
      </c>
      <c r="D1611" t="s">
        <v>121</v>
      </c>
      <c r="E1611" t="s">
        <v>121</v>
      </c>
      <c r="F1611" s="4" t="s">
        <v>2454</v>
      </c>
      <c r="H1611">
        <v>2</v>
      </c>
      <c r="I1611" s="1">
        <v>0</v>
      </c>
      <c r="J1611">
        <v>0</v>
      </c>
      <c r="K1611">
        <v>0</v>
      </c>
      <c r="L1611" s="20">
        <v>23240</v>
      </c>
      <c r="M1611">
        <v>1</v>
      </c>
      <c r="N1611">
        <v>0</v>
      </c>
      <c r="O1611">
        <v>0</v>
      </c>
      <c r="P1611">
        <v>0</v>
      </c>
      <c r="Q1611" s="22">
        <v>69720</v>
      </c>
      <c r="R1611">
        <v>3</v>
      </c>
      <c r="S1611" s="1">
        <v>0</v>
      </c>
      <c r="T1611">
        <v>0</v>
      </c>
      <c r="U1611">
        <v>0</v>
      </c>
      <c r="V1611" s="21">
        <v>34860</v>
      </c>
      <c r="W1611">
        <v>21</v>
      </c>
      <c r="X1611">
        <v>0</v>
      </c>
      <c r="Y1611">
        <v>0</v>
      </c>
      <c r="Z1611">
        <v>0</v>
      </c>
      <c r="AA1611">
        <v>1</v>
      </c>
    </row>
    <row r="1612" spans="1:27" ht="14.25" x14ac:dyDescent="0.2">
      <c r="A1612" s="12">
        <v>30729</v>
      </c>
      <c r="B1612" t="s">
        <v>130</v>
      </c>
      <c r="C1612" t="s">
        <v>121</v>
      </c>
      <c r="D1612" t="s">
        <v>121</v>
      </c>
      <c r="E1612" t="s">
        <v>121</v>
      </c>
      <c r="F1612" s="4" t="s">
        <v>2456</v>
      </c>
      <c r="H1612">
        <v>2</v>
      </c>
      <c r="I1612" s="1">
        <v>0</v>
      </c>
      <c r="J1612">
        <v>0</v>
      </c>
      <c r="K1612">
        <v>0</v>
      </c>
      <c r="L1612" s="20">
        <v>23240</v>
      </c>
      <c r="M1612">
        <v>1</v>
      </c>
      <c r="N1612">
        <v>0</v>
      </c>
      <c r="O1612">
        <v>0</v>
      </c>
      <c r="P1612">
        <v>0</v>
      </c>
      <c r="Q1612" s="22">
        <v>69720</v>
      </c>
      <c r="R1612">
        <v>3</v>
      </c>
      <c r="S1612" s="1">
        <v>0</v>
      </c>
      <c r="T1612">
        <v>0</v>
      </c>
      <c r="U1612">
        <v>0</v>
      </c>
      <c r="V1612" s="21">
        <v>34860</v>
      </c>
      <c r="W1612">
        <v>9</v>
      </c>
      <c r="X1612">
        <v>0</v>
      </c>
      <c r="Y1612">
        <v>0</v>
      </c>
      <c r="Z1612">
        <v>0</v>
      </c>
      <c r="AA1612">
        <v>10</v>
      </c>
    </row>
    <row r="1613" spans="1:27" ht="14.25" x14ac:dyDescent="0.2">
      <c r="A1613" s="12">
        <v>30730</v>
      </c>
      <c r="B1613" t="s">
        <v>123</v>
      </c>
      <c r="C1613" t="s">
        <v>121</v>
      </c>
      <c r="D1613" t="s">
        <v>121</v>
      </c>
      <c r="E1613" t="s">
        <v>121</v>
      </c>
      <c r="F1613" s="4" t="s">
        <v>2456</v>
      </c>
      <c r="H1613">
        <v>2</v>
      </c>
      <c r="I1613" s="1">
        <v>0</v>
      </c>
      <c r="J1613">
        <v>0</v>
      </c>
      <c r="K1613">
        <v>0</v>
      </c>
      <c r="L1613" s="20">
        <v>23240</v>
      </c>
      <c r="M1613">
        <v>1</v>
      </c>
      <c r="N1613">
        <v>0</v>
      </c>
      <c r="O1613">
        <v>0</v>
      </c>
      <c r="P1613">
        <v>0</v>
      </c>
      <c r="Q1613" s="22">
        <v>69720</v>
      </c>
      <c r="R1613">
        <v>3</v>
      </c>
      <c r="S1613" s="1">
        <v>0</v>
      </c>
      <c r="T1613">
        <v>0</v>
      </c>
      <c r="U1613">
        <v>0</v>
      </c>
      <c r="V1613" s="21">
        <v>34860</v>
      </c>
      <c r="W1613">
        <v>12</v>
      </c>
      <c r="X1613">
        <v>0</v>
      </c>
      <c r="Y1613">
        <v>0</v>
      </c>
      <c r="Z1613">
        <v>0</v>
      </c>
      <c r="AA1613">
        <v>10</v>
      </c>
    </row>
    <row r="1614" spans="1:27" ht="14.25" x14ac:dyDescent="0.2">
      <c r="A1614" s="12">
        <v>30731</v>
      </c>
      <c r="B1614" t="s">
        <v>126</v>
      </c>
      <c r="C1614" t="s">
        <v>121</v>
      </c>
      <c r="D1614" t="s">
        <v>121</v>
      </c>
      <c r="E1614" t="s">
        <v>121</v>
      </c>
      <c r="F1614" s="4" t="s">
        <v>2458</v>
      </c>
      <c r="H1614">
        <v>2</v>
      </c>
      <c r="I1614" s="1">
        <v>0</v>
      </c>
      <c r="J1614">
        <v>0</v>
      </c>
      <c r="K1614">
        <v>0</v>
      </c>
      <c r="L1614" s="20">
        <v>23280</v>
      </c>
      <c r="M1614">
        <v>1</v>
      </c>
      <c r="N1614">
        <v>0</v>
      </c>
      <c r="O1614">
        <v>0</v>
      </c>
      <c r="P1614">
        <v>0</v>
      </c>
      <c r="Q1614" s="22">
        <v>69720</v>
      </c>
      <c r="R1614">
        <v>3</v>
      </c>
      <c r="S1614" s="1">
        <v>0</v>
      </c>
      <c r="T1614">
        <v>0</v>
      </c>
      <c r="U1614">
        <v>0</v>
      </c>
      <c r="V1614" s="21">
        <v>34860</v>
      </c>
      <c r="W1614">
        <v>23</v>
      </c>
      <c r="X1614">
        <v>0</v>
      </c>
      <c r="Y1614">
        <v>0</v>
      </c>
      <c r="Z1614">
        <v>0</v>
      </c>
      <c r="AA1614">
        <v>1</v>
      </c>
    </row>
    <row r="1615" spans="1:27" ht="14.25" x14ac:dyDescent="0.2">
      <c r="A1615" s="12">
        <v>30732</v>
      </c>
      <c r="B1615" t="s">
        <v>131</v>
      </c>
      <c r="C1615" t="s">
        <v>125</v>
      </c>
      <c r="D1615" t="s">
        <v>121</v>
      </c>
      <c r="E1615" t="s">
        <v>136</v>
      </c>
      <c r="F1615" s="4" t="s">
        <v>2460</v>
      </c>
      <c r="H1615">
        <v>2</v>
      </c>
      <c r="I1615" s="1">
        <v>0</v>
      </c>
      <c r="J1615">
        <v>0</v>
      </c>
      <c r="K1615">
        <v>0</v>
      </c>
      <c r="L1615" s="20">
        <v>23280</v>
      </c>
      <c r="M1615">
        <v>1</v>
      </c>
      <c r="N1615">
        <v>0</v>
      </c>
      <c r="O1615">
        <v>0</v>
      </c>
      <c r="P1615">
        <v>0</v>
      </c>
      <c r="Q1615" s="22">
        <v>69720</v>
      </c>
      <c r="R1615">
        <v>3</v>
      </c>
      <c r="S1615" s="1">
        <v>0</v>
      </c>
      <c r="T1615">
        <v>0</v>
      </c>
      <c r="U1615">
        <v>0</v>
      </c>
      <c r="V1615" s="21">
        <v>34860</v>
      </c>
      <c r="W1615">
        <v>6</v>
      </c>
      <c r="X1615">
        <v>1</v>
      </c>
      <c r="Y1615">
        <v>0</v>
      </c>
      <c r="Z1615">
        <v>3</v>
      </c>
      <c r="AA1615">
        <v>10</v>
      </c>
    </row>
    <row r="1616" spans="1:27" ht="14.25" x14ac:dyDescent="0.2">
      <c r="A1616" s="12">
        <v>30733</v>
      </c>
      <c r="B1616" t="s">
        <v>180</v>
      </c>
      <c r="C1616" t="s">
        <v>121</v>
      </c>
      <c r="D1616" t="s">
        <v>121</v>
      </c>
      <c r="E1616" t="s">
        <v>121</v>
      </c>
      <c r="F1616" s="4" t="s">
        <v>2462</v>
      </c>
      <c r="H1616">
        <v>2</v>
      </c>
      <c r="I1616" s="1">
        <v>0</v>
      </c>
      <c r="J1616">
        <v>0</v>
      </c>
      <c r="K1616">
        <v>0</v>
      </c>
      <c r="L1616" s="20">
        <v>23280</v>
      </c>
      <c r="M1616">
        <v>1</v>
      </c>
      <c r="N1616">
        <v>0</v>
      </c>
      <c r="O1616">
        <v>0</v>
      </c>
      <c r="P1616">
        <v>0</v>
      </c>
      <c r="Q1616" s="22">
        <v>69840</v>
      </c>
      <c r="R1616">
        <v>3</v>
      </c>
      <c r="S1616" s="1">
        <v>0</v>
      </c>
      <c r="T1616">
        <v>0</v>
      </c>
      <c r="U1616">
        <v>0</v>
      </c>
      <c r="V1616" s="21">
        <v>34920</v>
      </c>
      <c r="W1616">
        <v>15</v>
      </c>
      <c r="X1616">
        <v>0</v>
      </c>
      <c r="Y1616">
        <v>0</v>
      </c>
      <c r="Z1616">
        <v>0</v>
      </c>
      <c r="AA1616">
        <v>1</v>
      </c>
    </row>
    <row r="1617" spans="1:27" ht="14.25" x14ac:dyDescent="0.2">
      <c r="A1617" s="12">
        <v>30734</v>
      </c>
      <c r="B1617" t="s">
        <v>178</v>
      </c>
      <c r="C1617" t="s">
        <v>121</v>
      </c>
      <c r="D1617" t="s">
        <v>121</v>
      </c>
      <c r="E1617" t="s">
        <v>121</v>
      </c>
      <c r="F1617" s="4" t="s">
        <v>2462</v>
      </c>
      <c r="H1617">
        <v>2</v>
      </c>
      <c r="I1617" s="1">
        <v>0</v>
      </c>
      <c r="J1617">
        <v>0</v>
      </c>
      <c r="K1617">
        <v>0</v>
      </c>
      <c r="L1617" s="20">
        <v>23280</v>
      </c>
      <c r="M1617">
        <v>1</v>
      </c>
      <c r="N1617">
        <v>0</v>
      </c>
      <c r="O1617">
        <v>0</v>
      </c>
      <c r="P1617">
        <v>0</v>
      </c>
      <c r="Q1617" s="22">
        <v>69840</v>
      </c>
      <c r="R1617">
        <v>3</v>
      </c>
      <c r="S1617" s="1">
        <v>0</v>
      </c>
      <c r="T1617">
        <v>0</v>
      </c>
      <c r="U1617">
        <v>0</v>
      </c>
      <c r="V1617" s="21">
        <v>34920</v>
      </c>
      <c r="W1617">
        <v>21</v>
      </c>
      <c r="X1617">
        <v>0</v>
      </c>
      <c r="Y1617">
        <v>0</v>
      </c>
      <c r="Z1617">
        <v>0</v>
      </c>
      <c r="AA1617">
        <v>1</v>
      </c>
    </row>
    <row r="1618" spans="1:27" ht="14.25" x14ac:dyDescent="0.2">
      <c r="A1618" s="12">
        <v>30735</v>
      </c>
      <c r="B1618" t="s">
        <v>130</v>
      </c>
      <c r="C1618" t="s">
        <v>121</v>
      </c>
      <c r="D1618" t="s">
        <v>121</v>
      </c>
      <c r="E1618" t="s">
        <v>121</v>
      </c>
      <c r="F1618" s="4" t="s">
        <v>2464</v>
      </c>
      <c r="H1618">
        <v>2</v>
      </c>
      <c r="I1618" s="1">
        <v>0</v>
      </c>
      <c r="J1618">
        <v>0</v>
      </c>
      <c r="K1618">
        <v>0</v>
      </c>
      <c r="L1618" s="20">
        <v>23280</v>
      </c>
      <c r="M1618">
        <v>1</v>
      </c>
      <c r="N1618">
        <v>0</v>
      </c>
      <c r="O1618">
        <v>0</v>
      </c>
      <c r="P1618">
        <v>0</v>
      </c>
      <c r="Q1618" s="22">
        <v>69840</v>
      </c>
      <c r="R1618">
        <v>3</v>
      </c>
      <c r="S1618" s="1">
        <v>0</v>
      </c>
      <c r="T1618">
        <v>0</v>
      </c>
      <c r="U1618">
        <v>0</v>
      </c>
      <c r="V1618" s="21">
        <v>34920</v>
      </c>
      <c r="W1618">
        <v>9</v>
      </c>
      <c r="X1618">
        <v>0</v>
      </c>
      <c r="Y1618">
        <v>0</v>
      </c>
      <c r="Z1618">
        <v>0</v>
      </c>
      <c r="AA1618">
        <v>10</v>
      </c>
    </row>
    <row r="1619" spans="1:27" ht="14.25" x14ac:dyDescent="0.2">
      <c r="A1619" s="12">
        <v>30736</v>
      </c>
      <c r="B1619" t="s">
        <v>181</v>
      </c>
      <c r="C1619" t="s">
        <v>121</v>
      </c>
      <c r="D1619" t="s">
        <v>121</v>
      </c>
      <c r="E1619" t="s">
        <v>121</v>
      </c>
      <c r="F1619" s="4" t="s">
        <v>2466</v>
      </c>
      <c r="H1619">
        <v>2</v>
      </c>
      <c r="I1619" s="1">
        <v>0</v>
      </c>
      <c r="J1619">
        <v>0</v>
      </c>
      <c r="K1619">
        <v>0</v>
      </c>
      <c r="L1619" s="20">
        <v>23320</v>
      </c>
      <c r="M1619">
        <v>1</v>
      </c>
      <c r="N1619">
        <v>0</v>
      </c>
      <c r="O1619">
        <v>0</v>
      </c>
      <c r="P1619">
        <v>0</v>
      </c>
      <c r="Q1619" s="22">
        <v>69840</v>
      </c>
      <c r="R1619">
        <v>3</v>
      </c>
      <c r="S1619" s="1">
        <v>0</v>
      </c>
      <c r="T1619">
        <v>0</v>
      </c>
      <c r="U1619">
        <v>0</v>
      </c>
      <c r="V1619" s="21">
        <v>34920</v>
      </c>
      <c r="W1619">
        <v>30</v>
      </c>
      <c r="X1619">
        <v>0</v>
      </c>
      <c r="Y1619">
        <v>0</v>
      </c>
      <c r="Z1619">
        <v>0</v>
      </c>
      <c r="AA1619">
        <v>10</v>
      </c>
    </row>
    <row r="1620" spans="1:27" ht="14.25" x14ac:dyDescent="0.2">
      <c r="A1620" s="12">
        <v>30737</v>
      </c>
      <c r="B1620" t="s">
        <v>122</v>
      </c>
      <c r="C1620" t="s">
        <v>121</v>
      </c>
      <c r="D1620" t="s">
        <v>121</v>
      </c>
      <c r="E1620" t="s">
        <v>121</v>
      </c>
      <c r="F1620" s="4" t="s">
        <v>2466</v>
      </c>
      <c r="H1620">
        <v>2</v>
      </c>
      <c r="I1620" s="1">
        <v>0</v>
      </c>
      <c r="J1620">
        <v>0</v>
      </c>
      <c r="K1620">
        <v>0</v>
      </c>
      <c r="L1620" s="20">
        <v>23320</v>
      </c>
      <c r="M1620">
        <v>1</v>
      </c>
      <c r="N1620">
        <v>0</v>
      </c>
      <c r="O1620">
        <v>0</v>
      </c>
      <c r="P1620">
        <v>0</v>
      </c>
      <c r="Q1620" s="22">
        <v>69840</v>
      </c>
      <c r="R1620">
        <v>3</v>
      </c>
      <c r="S1620" s="1">
        <v>0</v>
      </c>
      <c r="T1620">
        <v>0</v>
      </c>
      <c r="U1620">
        <v>0</v>
      </c>
      <c r="V1620" s="21">
        <v>34920</v>
      </c>
      <c r="W1620">
        <v>4</v>
      </c>
      <c r="X1620">
        <v>0</v>
      </c>
      <c r="Y1620">
        <v>0</v>
      </c>
      <c r="Z1620">
        <v>0</v>
      </c>
      <c r="AA1620">
        <v>10</v>
      </c>
    </row>
    <row r="1621" spans="1:27" ht="14.25" x14ac:dyDescent="0.2">
      <c r="A1621" s="12">
        <v>30738</v>
      </c>
      <c r="B1621" t="s">
        <v>178</v>
      </c>
      <c r="C1621" t="s">
        <v>121</v>
      </c>
      <c r="D1621" t="s">
        <v>121</v>
      </c>
      <c r="E1621" t="s">
        <v>121</v>
      </c>
      <c r="F1621" s="4" t="s">
        <v>2468</v>
      </c>
      <c r="H1621">
        <v>2</v>
      </c>
      <c r="I1621" s="1">
        <v>0</v>
      </c>
      <c r="J1621">
        <v>0</v>
      </c>
      <c r="K1621">
        <v>0</v>
      </c>
      <c r="L1621" s="20">
        <v>23320</v>
      </c>
      <c r="M1621">
        <v>1</v>
      </c>
      <c r="N1621">
        <v>0</v>
      </c>
      <c r="O1621">
        <v>0</v>
      </c>
      <c r="P1621">
        <v>0</v>
      </c>
      <c r="Q1621" s="22">
        <v>69960</v>
      </c>
      <c r="R1621">
        <v>3</v>
      </c>
      <c r="S1621" s="1">
        <v>0</v>
      </c>
      <c r="T1621">
        <v>0</v>
      </c>
      <c r="U1621">
        <v>0</v>
      </c>
      <c r="V1621" s="21">
        <v>34980</v>
      </c>
      <c r="W1621">
        <v>21</v>
      </c>
      <c r="X1621">
        <v>0</v>
      </c>
      <c r="Y1621">
        <v>0</v>
      </c>
      <c r="Z1621">
        <v>0</v>
      </c>
      <c r="AA1621">
        <v>1</v>
      </c>
    </row>
    <row r="1622" spans="1:27" ht="14.25" x14ac:dyDescent="0.2">
      <c r="A1622" s="12">
        <v>30739</v>
      </c>
      <c r="B1622" t="s">
        <v>130</v>
      </c>
      <c r="C1622" t="s">
        <v>121</v>
      </c>
      <c r="D1622" t="s">
        <v>121</v>
      </c>
      <c r="E1622" t="s">
        <v>121</v>
      </c>
      <c r="F1622" s="4" t="s">
        <v>2470</v>
      </c>
      <c r="H1622">
        <v>2</v>
      </c>
      <c r="I1622" s="1">
        <v>0</v>
      </c>
      <c r="J1622">
        <v>0</v>
      </c>
      <c r="K1622">
        <v>0</v>
      </c>
      <c r="L1622" s="20">
        <v>23320</v>
      </c>
      <c r="M1622">
        <v>1</v>
      </c>
      <c r="N1622">
        <v>0</v>
      </c>
      <c r="O1622">
        <v>0</v>
      </c>
      <c r="P1622">
        <v>0</v>
      </c>
      <c r="Q1622" s="22">
        <v>69960</v>
      </c>
      <c r="R1622">
        <v>3</v>
      </c>
      <c r="S1622" s="1">
        <v>0</v>
      </c>
      <c r="T1622">
        <v>0</v>
      </c>
      <c r="U1622">
        <v>0</v>
      </c>
      <c r="V1622" s="21">
        <v>34980</v>
      </c>
      <c r="W1622">
        <v>9</v>
      </c>
      <c r="X1622">
        <v>0</v>
      </c>
      <c r="Y1622">
        <v>0</v>
      </c>
      <c r="Z1622">
        <v>0</v>
      </c>
      <c r="AA1622">
        <v>10</v>
      </c>
    </row>
    <row r="1623" spans="1:27" ht="14.25" x14ac:dyDescent="0.2">
      <c r="A1623" s="12">
        <v>30740</v>
      </c>
      <c r="B1623" t="s">
        <v>123</v>
      </c>
      <c r="C1623" t="s">
        <v>121</v>
      </c>
      <c r="D1623" t="s">
        <v>121</v>
      </c>
      <c r="E1623" t="s">
        <v>121</v>
      </c>
      <c r="F1623" s="4" t="s">
        <v>2470</v>
      </c>
      <c r="H1623">
        <v>2</v>
      </c>
      <c r="I1623" s="1">
        <v>0</v>
      </c>
      <c r="J1623">
        <v>0</v>
      </c>
      <c r="K1623">
        <v>0</v>
      </c>
      <c r="L1623" s="20">
        <v>23320</v>
      </c>
      <c r="M1623">
        <v>1</v>
      </c>
      <c r="N1623">
        <v>0</v>
      </c>
      <c r="O1623">
        <v>0</v>
      </c>
      <c r="P1623">
        <v>0</v>
      </c>
      <c r="Q1623" s="22">
        <v>69960</v>
      </c>
      <c r="R1623">
        <v>3</v>
      </c>
      <c r="S1623" s="1">
        <v>0</v>
      </c>
      <c r="T1623">
        <v>0</v>
      </c>
      <c r="U1623">
        <v>0</v>
      </c>
      <c r="V1623" s="21">
        <v>34980</v>
      </c>
      <c r="W1623">
        <v>12</v>
      </c>
      <c r="X1623">
        <v>0</v>
      </c>
      <c r="Y1623">
        <v>0</v>
      </c>
      <c r="Z1623">
        <v>0</v>
      </c>
      <c r="AA1623">
        <v>10</v>
      </c>
    </row>
    <row r="1624" spans="1:27" ht="14.25" x14ac:dyDescent="0.2">
      <c r="A1624" s="12">
        <v>30741</v>
      </c>
      <c r="B1624" t="s">
        <v>126</v>
      </c>
      <c r="C1624" t="s">
        <v>121</v>
      </c>
      <c r="D1624" t="s">
        <v>121</v>
      </c>
      <c r="E1624" t="s">
        <v>121</v>
      </c>
      <c r="F1624" s="4" t="s">
        <v>2472</v>
      </c>
      <c r="H1624">
        <v>2</v>
      </c>
      <c r="I1624" s="1">
        <v>0</v>
      </c>
      <c r="J1624">
        <v>0</v>
      </c>
      <c r="K1624">
        <v>0</v>
      </c>
      <c r="L1624" s="20">
        <v>23360</v>
      </c>
      <c r="M1624">
        <v>1</v>
      </c>
      <c r="N1624">
        <v>0</v>
      </c>
      <c r="O1624">
        <v>0</v>
      </c>
      <c r="P1624">
        <v>0</v>
      </c>
      <c r="Q1624" s="22">
        <v>69960</v>
      </c>
      <c r="R1624">
        <v>3</v>
      </c>
      <c r="S1624" s="1">
        <v>0</v>
      </c>
      <c r="T1624">
        <v>0</v>
      </c>
      <c r="U1624">
        <v>0</v>
      </c>
      <c r="V1624" s="21">
        <v>34980</v>
      </c>
      <c r="W1624">
        <v>23</v>
      </c>
      <c r="X1624">
        <v>0</v>
      </c>
      <c r="Y1624">
        <v>0</v>
      </c>
      <c r="Z1624">
        <v>0</v>
      </c>
      <c r="AA1624">
        <v>1</v>
      </c>
    </row>
    <row r="1625" spans="1:27" ht="14.25" x14ac:dyDescent="0.2">
      <c r="A1625" s="12">
        <v>30742</v>
      </c>
      <c r="B1625" t="s">
        <v>131</v>
      </c>
      <c r="C1625" t="s">
        <v>125</v>
      </c>
      <c r="D1625" t="s">
        <v>121</v>
      </c>
      <c r="E1625" t="s">
        <v>136</v>
      </c>
      <c r="F1625" s="4" t="s">
        <v>2474</v>
      </c>
      <c r="H1625">
        <v>2</v>
      </c>
      <c r="I1625" s="1">
        <v>0</v>
      </c>
      <c r="J1625">
        <v>0</v>
      </c>
      <c r="K1625">
        <v>0</v>
      </c>
      <c r="L1625" s="20">
        <v>23360</v>
      </c>
      <c r="M1625">
        <v>1</v>
      </c>
      <c r="N1625">
        <v>0</v>
      </c>
      <c r="O1625">
        <v>0</v>
      </c>
      <c r="P1625">
        <v>0</v>
      </c>
      <c r="Q1625" s="22">
        <v>69960</v>
      </c>
      <c r="R1625">
        <v>3</v>
      </c>
      <c r="S1625" s="1">
        <v>0</v>
      </c>
      <c r="T1625">
        <v>0</v>
      </c>
      <c r="U1625">
        <v>0</v>
      </c>
      <c r="V1625" s="21">
        <v>34980</v>
      </c>
      <c r="W1625">
        <v>6</v>
      </c>
      <c r="X1625">
        <v>1</v>
      </c>
      <c r="Y1625">
        <v>0</v>
      </c>
      <c r="Z1625">
        <v>3</v>
      </c>
      <c r="AA1625">
        <v>10</v>
      </c>
    </row>
    <row r="1626" spans="1:27" ht="14.25" x14ac:dyDescent="0.2">
      <c r="A1626" s="12">
        <v>30743</v>
      </c>
      <c r="B1626" t="s">
        <v>180</v>
      </c>
      <c r="C1626" t="s">
        <v>121</v>
      </c>
      <c r="D1626" t="s">
        <v>121</v>
      </c>
      <c r="E1626" t="s">
        <v>121</v>
      </c>
      <c r="F1626" s="4" t="s">
        <v>2476</v>
      </c>
      <c r="H1626">
        <v>2</v>
      </c>
      <c r="I1626" s="1">
        <v>0</v>
      </c>
      <c r="J1626">
        <v>0</v>
      </c>
      <c r="K1626">
        <v>0</v>
      </c>
      <c r="L1626" s="20">
        <v>23360</v>
      </c>
      <c r="M1626">
        <v>1</v>
      </c>
      <c r="N1626">
        <v>0</v>
      </c>
      <c r="O1626">
        <v>0</v>
      </c>
      <c r="P1626">
        <v>0</v>
      </c>
      <c r="Q1626" s="22">
        <v>70080</v>
      </c>
      <c r="R1626">
        <v>3</v>
      </c>
      <c r="S1626" s="1">
        <v>0</v>
      </c>
      <c r="T1626">
        <v>0</v>
      </c>
      <c r="U1626">
        <v>0</v>
      </c>
      <c r="V1626" s="21">
        <v>35040</v>
      </c>
      <c r="W1626">
        <v>15</v>
      </c>
      <c r="X1626">
        <v>0</v>
      </c>
      <c r="Y1626">
        <v>0</v>
      </c>
      <c r="Z1626">
        <v>0</v>
      </c>
      <c r="AA1626">
        <v>1</v>
      </c>
    </row>
    <row r="1627" spans="1:27" ht="14.25" x14ac:dyDescent="0.2">
      <c r="A1627" s="12">
        <v>30744</v>
      </c>
      <c r="B1627" t="s">
        <v>178</v>
      </c>
      <c r="C1627" t="s">
        <v>121</v>
      </c>
      <c r="D1627" t="s">
        <v>121</v>
      </c>
      <c r="E1627" t="s">
        <v>121</v>
      </c>
      <c r="F1627" s="4" t="s">
        <v>2476</v>
      </c>
      <c r="H1627">
        <v>2</v>
      </c>
      <c r="I1627" s="1">
        <v>0</v>
      </c>
      <c r="J1627">
        <v>0</v>
      </c>
      <c r="K1627">
        <v>0</v>
      </c>
      <c r="L1627" s="20">
        <v>23360</v>
      </c>
      <c r="M1627">
        <v>1</v>
      </c>
      <c r="N1627">
        <v>0</v>
      </c>
      <c r="O1627">
        <v>0</v>
      </c>
      <c r="P1627">
        <v>0</v>
      </c>
      <c r="Q1627" s="22">
        <v>70080</v>
      </c>
      <c r="R1627">
        <v>3</v>
      </c>
      <c r="S1627" s="1">
        <v>0</v>
      </c>
      <c r="T1627">
        <v>0</v>
      </c>
      <c r="U1627">
        <v>0</v>
      </c>
      <c r="V1627" s="21">
        <v>35040</v>
      </c>
      <c r="W1627">
        <v>21</v>
      </c>
      <c r="X1627">
        <v>0</v>
      </c>
      <c r="Y1627">
        <v>0</v>
      </c>
      <c r="Z1627">
        <v>0</v>
      </c>
      <c r="AA1627">
        <v>1</v>
      </c>
    </row>
    <row r="1628" spans="1:27" ht="14.25" x14ac:dyDescent="0.2">
      <c r="A1628" s="12">
        <v>30745</v>
      </c>
      <c r="B1628" t="s">
        <v>130</v>
      </c>
      <c r="C1628" t="s">
        <v>121</v>
      </c>
      <c r="D1628" t="s">
        <v>121</v>
      </c>
      <c r="E1628" t="s">
        <v>121</v>
      </c>
      <c r="F1628" s="4" t="s">
        <v>2478</v>
      </c>
      <c r="H1628">
        <v>2</v>
      </c>
      <c r="I1628" s="1">
        <v>0</v>
      </c>
      <c r="J1628">
        <v>0</v>
      </c>
      <c r="K1628">
        <v>0</v>
      </c>
      <c r="L1628" s="20">
        <v>23360</v>
      </c>
      <c r="M1628">
        <v>1</v>
      </c>
      <c r="N1628">
        <v>0</v>
      </c>
      <c r="O1628">
        <v>0</v>
      </c>
      <c r="P1628">
        <v>0</v>
      </c>
      <c r="Q1628" s="22">
        <v>70080</v>
      </c>
      <c r="R1628">
        <v>3</v>
      </c>
      <c r="S1628" s="1">
        <v>0</v>
      </c>
      <c r="T1628">
        <v>0</v>
      </c>
      <c r="U1628">
        <v>0</v>
      </c>
      <c r="V1628" s="21">
        <v>35040</v>
      </c>
      <c r="W1628">
        <v>9</v>
      </c>
      <c r="X1628">
        <v>0</v>
      </c>
      <c r="Y1628">
        <v>0</v>
      </c>
      <c r="Z1628">
        <v>0</v>
      </c>
      <c r="AA1628">
        <v>10</v>
      </c>
    </row>
    <row r="1629" spans="1:27" ht="14.25" x14ac:dyDescent="0.2">
      <c r="A1629" s="12">
        <v>30746</v>
      </c>
      <c r="B1629" t="s">
        <v>181</v>
      </c>
      <c r="C1629" t="s">
        <v>121</v>
      </c>
      <c r="D1629" t="s">
        <v>121</v>
      </c>
      <c r="E1629" t="s">
        <v>121</v>
      </c>
      <c r="F1629" s="4" t="s">
        <v>2480</v>
      </c>
      <c r="H1629">
        <v>2</v>
      </c>
      <c r="I1629" s="1">
        <v>0</v>
      </c>
      <c r="J1629">
        <v>0</v>
      </c>
      <c r="K1629">
        <v>0</v>
      </c>
      <c r="L1629" s="20">
        <v>23400</v>
      </c>
      <c r="M1629">
        <v>1</v>
      </c>
      <c r="N1629">
        <v>0</v>
      </c>
      <c r="O1629">
        <v>0</v>
      </c>
      <c r="P1629">
        <v>0</v>
      </c>
      <c r="Q1629" s="22">
        <v>70080</v>
      </c>
      <c r="R1629">
        <v>3</v>
      </c>
      <c r="S1629" s="1">
        <v>0</v>
      </c>
      <c r="T1629">
        <v>0</v>
      </c>
      <c r="U1629">
        <v>0</v>
      </c>
      <c r="V1629" s="21">
        <v>35040</v>
      </c>
      <c r="W1629">
        <v>30</v>
      </c>
      <c r="X1629">
        <v>0</v>
      </c>
      <c r="Y1629">
        <v>0</v>
      </c>
      <c r="Z1629">
        <v>0</v>
      </c>
      <c r="AA1629">
        <v>10</v>
      </c>
    </row>
    <row r="1630" spans="1:27" ht="14.25" x14ac:dyDescent="0.2">
      <c r="A1630" s="12">
        <v>30747</v>
      </c>
      <c r="B1630" t="s">
        <v>122</v>
      </c>
      <c r="C1630" t="s">
        <v>121</v>
      </c>
      <c r="D1630" t="s">
        <v>121</v>
      </c>
      <c r="E1630" t="s">
        <v>121</v>
      </c>
      <c r="F1630" s="4" t="s">
        <v>2480</v>
      </c>
      <c r="H1630">
        <v>2</v>
      </c>
      <c r="I1630" s="1">
        <v>0</v>
      </c>
      <c r="J1630">
        <v>0</v>
      </c>
      <c r="K1630">
        <v>0</v>
      </c>
      <c r="L1630" s="20">
        <v>23400</v>
      </c>
      <c r="M1630">
        <v>1</v>
      </c>
      <c r="N1630">
        <v>0</v>
      </c>
      <c r="O1630">
        <v>0</v>
      </c>
      <c r="P1630">
        <v>0</v>
      </c>
      <c r="Q1630" s="22">
        <v>70080</v>
      </c>
      <c r="R1630">
        <v>3</v>
      </c>
      <c r="S1630" s="1">
        <v>0</v>
      </c>
      <c r="T1630">
        <v>0</v>
      </c>
      <c r="U1630">
        <v>0</v>
      </c>
      <c r="V1630" s="21">
        <v>35040</v>
      </c>
      <c r="W1630">
        <v>4</v>
      </c>
      <c r="X1630">
        <v>0</v>
      </c>
      <c r="Y1630">
        <v>0</v>
      </c>
      <c r="Z1630">
        <v>0</v>
      </c>
      <c r="AA1630">
        <v>10</v>
      </c>
    </row>
    <row r="1631" spans="1:27" ht="14.25" x14ac:dyDescent="0.2">
      <c r="A1631" s="12">
        <v>30748</v>
      </c>
      <c r="B1631" t="s">
        <v>178</v>
      </c>
      <c r="C1631" t="s">
        <v>121</v>
      </c>
      <c r="D1631" t="s">
        <v>121</v>
      </c>
      <c r="E1631" t="s">
        <v>121</v>
      </c>
      <c r="F1631" s="4" t="s">
        <v>2482</v>
      </c>
      <c r="H1631">
        <v>2</v>
      </c>
      <c r="I1631" s="1">
        <v>0</v>
      </c>
      <c r="J1631">
        <v>0</v>
      </c>
      <c r="K1631">
        <v>0</v>
      </c>
      <c r="L1631" s="20">
        <v>23400</v>
      </c>
      <c r="M1631">
        <v>1</v>
      </c>
      <c r="N1631">
        <v>0</v>
      </c>
      <c r="O1631">
        <v>0</v>
      </c>
      <c r="P1631">
        <v>0</v>
      </c>
      <c r="Q1631" s="22">
        <v>70200</v>
      </c>
      <c r="R1631">
        <v>3</v>
      </c>
      <c r="S1631" s="1">
        <v>0</v>
      </c>
      <c r="T1631">
        <v>0</v>
      </c>
      <c r="U1631">
        <v>0</v>
      </c>
      <c r="V1631" s="21">
        <v>35100</v>
      </c>
      <c r="W1631">
        <v>21</v>
      </c>
      <c r="X1631">
        <v>0</v>
      </c>
      <c r="Y1631">
        <v>0</v>
      </c>
      <c r="Z1631">
        <v>0</v>
      </c>
      <c r="AA1631">
        <v>1</v>
      </c>
    </row>
    <row r="1632" spans="1:27" ht="14.25" x14ac:dyDescent="0.2">
      <c r="A1632" s="12">
        <v>30749</v>
      </c>
      <c r="B1632" t="s">
        <v>130</v>
      </c>
      <c r="C1632" t="s">
        <v>121</v>
      </c>
      <c r="D1632" t="s">
        <v>121</v>
      </c>
      <c r="E1632" t="s">
        <v>121</v>
      </c>
      <c r="F1632" s="4" t="s">
        <v>2484</v>
      </c>
      <c r="H1632">
        <v>2</v>
      </c>
      <c r="I1632" s="1">
        <v>0</v>
      </c>
      <c r="J1632">
        <v>0</v>
      </c>
      <c r="K1632">
        <v>0</v>
      </c>
      <c r="L1632" s="20">
        <v>23400</v>
      </c>
      <c r="M1632">
        <v>1</v>
      </c>
      <c r="N1632">
        <v>0</v>
      </c>
      <c r="O1632">
        <v>0</v>
      </c>
      <c r="P1632">
        <v>0</v>
      </c>
      <c r="Q1632" s="22">
        <v>70200</v>
      </c>
      <c r="R1632">
        <v>3</v>
      </c>
      <c r="S1632" s="1">
        <v>0</v>
      </c>
      <c r="T1632">
        <v>0</v>
      </c>
      <c r="U1632">
        <v>0</v>
      </c>
      <c r="V1632" s="21">
        <v>35100</v>
      </c>
      <c r="W1632">
        <v>9</v>
      </c>
      <c r="X1632">
        <v>0</v>
      </c>
      <c r="Y1632">
        <v>0</v>
      </c>
      <c r="Z1632">
        <v>0</v>
      </c>
      <c r="AA1632">
        <v>10</v>
      </c>
    </row>
    <row r="1633" spans="1:27" ht="14.25" x14ac:dyDescent="0.2">
      <c r="A1633" s="12">
        <v>30750</v>
      </c>
      <c r="B1633" t="s">
        <v>123</v>
      </c>
      <c r="C1633" t="s">
        <v>121</v>
      </c>
      <c r="D1633" t="s">
        <v>121</v>
      </c>
      <c r="E1633" t="s">
        <v>121</v>
      </c>
      <c r="F1633" s="4" t="s">
        <v>2484</v>
      </c>
      <c r="H1633">
        <v>2</v>
      </c>
      <c r="I1633" s="1">
        <v>0</v>
      </c>
      <c r="J1633">
        <v>0</v>
      </c>
      <c r="K1633">
        <v>0</v>
      </c>
      <c r="L1633" s="20">
        <v>23400</v>
      </c>
      <c r="M1633">
        <v>1</v>
      </c>
      <c r="N1633">
        <v>0</v>
      </c>
      <c r="O1633">
        <v>0</v>
      </c>
      <c r="P1633">
        <v>0</v>
      </c>
      <c r="Q1633" s="22">
        <v>70200</v>
      </c>
      <c r="R1633">
        <v>3</v>
      </c>
      <c r="S1633" s="1">
        <v>0</v>
      </c>
      <c r="T1633">
        <v>0</v>
      </c>
      <c r="U1633">
        <v>0</v>
      </c>
      <c r="V1633" s="21">
        <v>35100</v>
      </c>
      <c r="W1633">
        <v>12</v>
      </c>
      <c r="X1633">
        <v>0</v>
      </c>
      <c r="Y1633">
        <v>0</v>
      </c>
      <c r="Z1633">
        <v>0</v>
      </c>
      <c r="AA1633">
        <v>10</v>
      </c>
    </row>
    <row r="1634" spans="1:27" ht="14.25" x14ac:dyDescent="0.2">
      <c r="A1634" s="12">
        <v>30801</v>
      </c>
      <c r="B1634" t="s">
        <v>126</v>
      </c>
      <c r="C1634" t="s">
        <v>121</v>
      </c>
      <c r="D1634" t="s">
        <v>121</v>
      </c>
      <c r="E1634" t="s">
        <v>121</v>
      </c>
      <c r="F1634" s="4" t="s">
        <v>2486</v>
      </c>
      <c r="H1634">
        <v>2</v>
      </c>
      <c r="I1634" s="1">
        <v>0</v>
      </c>
      <c r="J1634">
        <v>0</v>
      </c>
      <c r="K1634">
        <v>0</v>
      </c>
      <c r="L1634" s="20">
        <v>23440</v>
      </c>
      <c r="M1634">
        <v>1</v>
      </c>
      <c r="N1634">
        <v>0</v>
      </c>
      <c r="O1634">
        <v>0</v>
      </c>
      <c r="P1634">
        <v>0</v>
      </c>
      <c r="Q1634" s="22">
        <v>70200</v>
      </c>
      <c r="R1634">
        <v>3</v>
      </c>
      <c r="S1634" s="1">
        <v>0</v>
      </c>
      <c r="T1634">
        <v>0</v>
      </c>
      <c r="U1634">
        <v>0</v>
      </c>
      <c r="V1634" s="21">
        <v>35100</v>
      </c>
      <c r="W1634">
        <v>23</v>
      </c>
      <c r="X1634">
        <v>0</v>
      </c>
      <c r="Y1634">
        <v>0</v>
      </c>
      <c r="Z1634">
        <v>0</v>
      </c>
      <c r="AA1634">
        <v>1</v>
      </c>
    </row>
    <row r="1635" spans="1:27" ht="14.25" x14ac:dyDescent="0.2">
      <c r="A1635" s="12">
        <v>30802</v>
      </c>
      <c r="B1635" t="s">
        <v>131</v>
      </c>
      <c r="C1635" t="s">
        <v>125</v>
      </c>
      <c r="D1635" t="s">
        <v>121</v>
      </c>
      <c r="E1635" t="s">
        <v>136</v>
      </c>
      <c r="F1635" s="4" t="s">
        <v>2488</v>
      </c>
      <c r="H1635">
        <v>2</v>
      </c>
      <c r="I1635" s="1">
        <v>0</v>
      </c>
      <c r="J1635">
        <v>0</v>
      </c>
      <c r="K1635">
        <v>0</v>
      </c>
      <c r="L1635" s="20">
        <v>23440</v>
      </c>
      <c r="M1635">
        <v>1</v>
      </c>
      <c r="N1635">
        <v>0</v>
      </c>
      <c r="O1635">
        <v>0</v>
      </c>
      <c r="P1635">
        <v>0</v>
      </c>
      <c r="Q1635" s="22">
        <v>70200</v>
      </c>
      <c r="R1635">
        <v>3</v>
      </c>
      <c r="S1635" s="1">
        <v>0</v>
      </c>
      <c r="T1635">
        <v>0</v>
      </c>
      <c r="U1635">
        <v>0</v>
      </c>
      <c r="V1635" s="21">
        <v>35100</v>
      </c>
      <c r="W1635">
        <v>6</v>
      </c>
      <c r="X1635">
        <v>1</v>
      </c>
      <c r="Y1635">
        <v>0</v>
      </c>
      <c r="Z1635">
        <v>3</v>
      </c>
      <c r="AA1635">
        <v>10</v>
      </c>
    </row>
    <row r="1636" spans="1:27" ht="14.25" x14ac:dyDescent="0.2">
      <c r="A1636" s="12">
        <v>30803</v>
      </c>
      <c r="B1636" t="s">
        <v>180</v>
      </c>
      <c r="C1636" t="s">
        <v>121</v>
      </c>
      <c r="D1636" t="s">
        <v>121</v>
      </c>
      <c r="E1636" t="s">
        <v>121</v>
      </c>
      <c r="F1636" s="4" t="s">
        <v>2490</v>
      </c>
      <c r="H1636">
        <v>2</v>
      </c>
      <c r="I1636" s="1">
        <v>0</v>
      </c>
      <c r="J1636">
        <v>0</v>
      </c>
      <c r="K1636">
        <v>0</v>
      </c>
      <c r="L1636" s="20">
        <v>23440</v>
      </c>
      <c r="M1636">
        <v>1</v>
      </c>
      <c r="N1636">
        <v>0</v>
      </c>
      <c r="O1636">
        <v>0</v>
      </c>
      <c r="P1636">
        <v>0</v>
      </c>
      <c r="Q1636" s="22">
        <v>70320</v>
      </c>
      <c r="R1636">
        <v>3</v>
      </c>
      <c r="S1636" s="1">
        <v>0</v>
      </c>
      <c r="T1636">
        <v>0</v>
      </c>
      <c r="U1636">
        <v>0</v>
      </c>
      <c r="V1636" s="21">
        <v>35160</v>
      </c>
      <c r="W1636">
        <v>15</v>
      </c>
      <c r="X1636">
        <v>0</v>
      </c>
      <c r="Y1636">
        <v>0</v>
      </c>
      <c r="Z1636">
        <v>0</v>
      </c>
      <c r="AA1636">
        <v>1</v>
      </c>
    </row>
    <row r="1637" spans="1:27" ht="14.25" x14ac:dyDescent="0.2">
      <c r="A1637" s="12">
        <v>30804</v>
      </c>
      <c r="B1637" t="s">
        <v>178</v>
      </c>
      <c r="C1637" t="s">
        <v>121</v>
      </c>
      <c r="D1637" t="s">
        <v>121</v>
      </c>
      <c r="E1637" t="s">
        <v>121</v>
      </c>
      <c r="F1637" s="4" t="s">
        <v>2490</v>
      </c>
      <c r="H1637">
        <v>2</v>
      </c>
      <c r="I1637" s="1">
        <v>0</v>
      </c>
      <c r="J1637">
        <v>0</v>
      </c>
      <c r="K1637">
        <v>0</v>
      </c>
      <c r="L1637" s="20">
        <v>23440</v>
      </c>
      <c r="M1637">
        <v>1</v>
      </c>
      <c r="N1637">
        <v>0</v>
      </c>
      <c r="O1637">
        <v>0</v>
      </c>
      <c r="P1637">
        <v>0</v>
      </c>
      <c r="Q1637" s="22">
        <v>70320</v>
      </c>
      <c r="R1637">
        <v>3</v>
      </c>
      <c r="S1637" s="1">
        <v>0</v>
      </c>
      <c r="T1637">
        <v>0</v>
      </c>
      <c r="U1637">
        <v>0</v>
      </c>
      <c r="V1637" s="21">
        <v>35160</v>
      </c>
      <c r="W1637">
        <v>21</v>
      </c>
      <c r="X1637">
        <v>0</v>
      </c>
      <c r="Y1637">
        <v>0</v>
      </c>
      <c r="Z1637">
        <v>0</v>
      </c>
      <c r="AA1637">
        <v>1</v>
      </c>
    </row>
    <row r="1638" spans="1:27" ht="14.25" x14ac:dyDescent="0.2">
      <c r="A1638" s="12">
        <v>30805</v>
      </c>
      <c r="B1638" t="s">
        <v>130</v>
      </c>
      <c r="C1638" t="s">
        <v>121</v>
      </c>
      <c r="D1638" t="s">
        <v>121</v>
      </c>
      <c r="E1638" t="s">
        <v>121</v>
      </c>
      <c r="F1638" s="4" t="s">
        <v>2492</v>
      </c>
      <c r="H1638">
        <v>2</v>
      </c>
      <c r="I1638" s="1">
        <v>0</v>
      </c>
      <c r="J1638">
        <v>0</v>
      </c>
      <c r="K1638">
        <v>0</v>
      </c>
      <c r="L1638" s="20">
        <v>23440</v>
      </c>
      <c r="M1638">
        <v>1</v>
      </c>
      <c r="N1638">
        <v>0</v>
      </c>
      <c r="O1638">
        <v>0</v>
      </c>
      <c r="P1638">
        <v>0</v>
      </c>
      <c r="Q1638" s="22">
        <v>70320</v>
      </c>
      <c r="R1638">
        <v>3</v>
      </c>
      <c r="S1638" s="1">
        <v>0</v>
      </c>
      <c r="T1638">
        <v>0</v>
      </c>
      <c r="U1638">
        <v>0</v>
      </c>
      <c r="V1638" s="21">
        <v>35160</v>
      </c>
      <c r="W1638">
        <v>9</v>
      </c>
      <c r="X1638">
        <v>0</v>
      </c>
      <c r="Y1638">
        <v>0</v>
      </c>
      <c r="Z1638">
        <v>0</v>
      </c>
      <c r="AA1638">
        <v>10</v>
      </c>
    </row>
    <row r="1639" spans="1:27" ht="14.25" x14ac:dyDescent="0.2">
      <c r="A1639" s="12">
        <v>30806</v>
      </c>
      <c r="B1639" t="s">
        <v>181</v>
      </c>
      <c r="C1639" t="s">
        <v>121</v>
      </c>
      <c r="D1639" t="s">
        <v>121</v>
      </c>
      <c r="E1639" t="s">
        <v>121</v>
      </c>
      <c r="F1639" s="4" t="s">
        <v>2494</v>
      </c>
      <c r="H1639">
        <v>2</v>
      </c>
      <c r="I1639" s="1">
        <v>0</v>
      </c>
      <c r="J1639">
        <v>0</v>
      </c>
      <c r="K1639">
        <v>0</v>
      </c>
      <c r="L1639" s="20">
        <v>23480</v>
      </c>
      <c r="M1639">
        <v>1</v>
      </c>
      <c r="N1639">
        <v>0</v>
      </c>
      <c r="O1639">
        <v>0</v>
      </c>
      <c r="P1639">
        <v>0</v>
      </c>
      <c r="Q1639" s="22">
        <v>70320</v>
      </c>
      <c r="R1639">
        <v>3</v>
      </c>
      <c r="S1639" s="1">
        <v>0</v>
      </c>
      <c r="T1639">
        <v>0</v>
      </c>
      <c r="U1639">
        <v>0</v>
      </c>
      <c r="V1639" s="21">
        <v>35160</v>
      </c>
      <c r="W1639">
        <v>30</v>
      </c>
      <c r="X1639">
        <v>0</v>
      </c>
      <c r="Y1639">
        <v>0</v>
      </c>
      <c r="Z1639">
        <v>0</v>
      </c>
      <c r="AA1639">
        <v>10</v>
      </c>
    </row>
    <row r="1640" spans="1:27" ht="14.25" x14ac:dyDescent="0.2">
      <c r="A1640" s="12">
        <v>30807</v>
      </c>
      <c r="B1640" t="s">
        <v>122</v>
      </c>
      <c r="C1640" t="s">
        <v>121</v>
      </c>
      <c r="D1640" t="s">
        <v>121</v>
      </c>
      <c r="E1640" t="s">
        <v>121</v>
      </c>
      <c r="F1640" s="4" t="s">
        <v>2494</v>
      </c>
      <c r="H1640">
        <v>2</v>
      </c>
      <c r="I1640" s="1">
        <v>0</v>
      </c>
      <c r="J1640">
        <v>0</v>
      </c>
      <c r="K1640">
        <v>0</v>
      </c>
      <c r="L1640" s="20">
        <v>23480</v>
      </c>
      <c r="M1640">
        <v>1</v>
      </c>
      <c r="N1640">
        <v>0</v>
      </c>
      <c r="O1640">
        <v>0</v>
      </c>
      <c r="P1640">
        <v>0</v>
      </c>
      <c r="Q1640" s="22">
        <v>70320</v>
      </c>
      <c r="R1640">
        <v>3</v>
      </c>
      <c r="S1640" s="1">
        <v>0</v>
      </c>
      <c r="T1640">
        <v>0</v>
      </c>
      <c r="U1640">
        <v>0</v>
      </c>
      <c r="V1640" s="21">
        <v>35160</v>
      </c>
      <c r="W1640">
        <v>4</v>
      </c>
      <c r="X1640">
        <v>0</v>
      </c>
      <c r="Y1640">
        <v>0</v>
      </c>
      <c r="Z1640">
        <v>0</v>
      </c>
      <c r="AA1640">
        <v>10</v>
      </c>
    </row>
    <row r="1641" spans="1:27" ht="14.25" x14ac:dyDescent="0.2">
      <c r="A1641" s="12">
        <v>30808</v>
      </c>
      <c r="B1641" t="s">
        <v>178</v>
      </c>
      <c r="C1641" t="s">
        <v>121</v>
      </c>
      <c r="D1641" t="s">
        <v>121</v>
      </c>
      <c r="E1641" t="s">
        <v>121</v>
      </c>
      <c r="F1641" s="4" t="s">
        <v>2496</v>
      </c>
      <c r="H1641">
        <v>2</v>
      </c>
      <c r="I1641" s="1">
        <v>0</v>
      </c>
      <c r="J1641">
        <v>0</v>
      </c>
      <c r="K1641">
        <v>0</v>
      </c>
      <c r="L1641" s="20">
        <v>23480</v>
      </c>
      <c r="M1641">
        <v>1</v>
      </c>
      <c r="N1641">
        <v>0</v>
      </c>
      <c r="O1641">
        <v>0</v>
      </c>
      <c r="P1641">
        <v>0</v>
      </c>
      <c r="Q1641" s="22">
        <v>70440</v>
      </c>
      <c r="R1641">
        <v>3</v>
      </c>
      <c r="S1641" s="1">
        <v>0</v>
      </c>
      <c r="T1641">
        <v>0</v>
      </c>
      <c r="U1641">
        <v>0</v>
      </c>
      <c r="V1641" s="21">
        <v>35220</v>
      </c>
      <c r="W1641">
        <v>21</v>
      </c>
      <c r="X1641">
        <v>0</v>
      </c>
      <c r="Y1641">
        <v>0</v>
      </c>
      <c r="Z1641">
        <v>0</v>
      </c>
      <c r="AA1641">
        <v>1</v>
      </c>
    </row>
    <row r="1642" spans="1:27" ht="14.25" x14ac:dyDescent="0.2">
      <c r="A1642" s="12">
        <v>30809</v>
      </c>
      <c r="B1642" t="s">
        <v>130</v>
      </c>
      <c r="C1642" t="s">
        <v>121</v>
      </c>
      <c r="D1642" t="s">
        <v>121</v>
      </c>
      <c r="E1642" t="s">
        <v>121</v>
      </c>
      <c r="F1642" s="4" t="s">
        <v>2498</v>
      </c>
      <c r="H1642">
        <v>2</v>
      </c>
      <c r="I1642" s="1">
        <v>0</v>
      </c>
      <c r="J1642">
        <v>0</v>
      </c>
      <c r="K1642">
        <v>0</v>
      </c>
      <c r="L1642" s="20">
        <v>23480</v>
      </c>
      <c r="M1642">
        <v>1</v>
      </c>
      <c r="N1642">
        <v>0</v>
      </c>
      <c r="O1642">
        <v>0</v>
      </c>
      <c r="P1642">
        <v>0</v>
      </c>
      <c r="Q1642" s="22">
        <v>70440</v>
      </c>
      <c r="R1642">
        <v>3</v>
      </c>
      <c r="S1642" s="1">
        <v>0</v>
      </c>
      <c r="T1642">
        <v>0</v>
      </c>
      <c r="U1642">
        <v>0</v>
      </c>
      <c r="V1642" s="21">
        <v>35220</v>
      </c>
      <c r="W1642">
        <v>9</v>
      </c>
      <c r="X1642">
        <v>0</v>
      </c>
      <c r="Y1642">
        <v>0</v>
      </c>
      <c r="Z1642">
        <v>0</v>
      </c>
      <c r="AA1642">
        <v>10</v>
      </c>
    </row>
    <row r="1643" spans="1:27" ht="14.25" x14ac:dyDescent="0.2">
      <c r="A1643" s="12">
        <v>30810</v>
      </c>
      <c r="B1643" t="s">
        <v>123</v>
      </c>
      <c r="C1643" t="s">
        <v>121</v>
      </c>
      <c r="D1643" t="s">
        <v>121</v>
      </c>
      <c r="E1643" t="s">
        <v>121</v>
      </c>
      <c r="F1643" s="4" t="s">
        <v>2498</v>
      </c>
      <c r="H1643">
        <v>2</v>
      </c>
      <c r="I1643" s="1">
        <v>0</v>
      </c>
      <c r="J1643">
        <v>0</v>
      </c>
      <c r="K1643">
        <v>0</v>
      </c>
      <c r="L1643" s="20">
        <v>23480</v>
      </c>
      <c r="M1643">
        <v>1</v>
      </c>
      <c r="N1643">
        <v>0</v>
      </c>
      <c r="O1643">
        <v>0</v>
      </c>
      <c r="P1643">
        <v>0</v>
      </c>
      <c r="Q1643" s="22">
        <v>70440</v>
      </c>
      <c r="R1643">
        <v>3</v>
      </c>
      <c r="S1643" s="1">
        <v>0</v>
      </c>
      <c r="T1643">
        <v>0</v>
      </c>
      <c r="U1643">
        <v>0</v>
      </c>
      <c r="V1643" s="21">
        <v>35220</v>
      </c>
      <c r="W1643">
        <v>12</v>
      </c>
      <c r="X1643">
        <v>0</v>
      </c>
      <c r="Y1643">
        <v>0</v>
      </c>
      <c r="Z1643">
        <v>0</v>
      </c>
      <c r="AA1643">
        <v>10</v>
      </c>
    </row>
    <row r="1644" spans="1:27" ht="14.25" x14ac:dyDescent="0.2">
      <c r="A1644" s="12">
        <v>30811</v>
      </c>
      <c r="B1644" t="s">
        <v>126</v>
      </c>
      <c r="C1644" t="s">
        <v>121</v>
      </c>
      <c r="D1644" t="s">
        <v>121</v>
      </c>
      <c r="E1644" t="s">
        <v>121</v>
      </c>
      <c r="F1644" s="4" t="s">
        <v>2500</v>
      </c>
      <c r="H1644">
        <v>2</v>
      </c>
      <c r="I1644" s="1">
        <v>0</v>
      </c>
      <c r="J1644">
        <v>0</v>
      </c>
      <c r="K1644">
        <v>0</v>
      </c>
      <c r="L1644" s="20">
        <v>23520</v>
      </c>
      <c r="M1644">
        <v>1</v>
      </c>
      <c r="N1644">
        <v>0</v>
      </c>
      <c r="O1644">
        <v>0</v>
      </c>
      <c r="P1644">
        <v>0</v>
      </c>
      <c r="Q1644" s="22">
        <v>70440</v>
      </c>
      <c r="R1644">
        <v>3</v>
      </c>
      <c r="S1644" s="1">
        <v>0</v>
      </c>
      <c r="T1644">
        <v>0</v>
      </c>
      <c r="U1644">
        <v>0</v>
      </c>
      <c r="V1644" s="21">
        <v>35220</v>
      </c>
      <c r="W1644">
        <v>23</v>
      </c>
      <c r="X1644">
        <v>0</v>
      </c>
      <c r="Y1644">
        <v>0</v>
      </c>
      <c r="Z1644">
        <v>0</v>
      </c>
      <c r="AA1644">
        <v>1</v>
      </c>
    </row>
    <row r="1645" spans="1:27" ht="14.25" x14ac:dyDescent="0.2">
      <c r="A1645" s="12">
        <v>30812</v>
      </c>
      <c r="B1645" t="s">
        <v>131</v>
      </c>
      <c r="C1645" t="s">
        <v>125</v>
      </c>
      <c r="D1645" t="s">
        <v>121</v>
      </c>
      <c r="E1645" t="s">
        <v>136</v>
      </c>
      <c r="F1645" s="4" t="s">
        <v>2502</v>
      </c>
      <c r="H1645">
        <v>2</v>
      </c>
      <c r="I1645" s="1">
        <v>0</v>
      </c>
      <c r="J1645">
        <v>0</v>
      </c>
      <c r="K1645">
        <v>0</v>
      </c>
      <c r="L1645" s="20">
        <v>23520</v>
      </c>
      <c r="M1645">
        <v>1</v>
      </c>
      <c r="N1645">
        <v>0</v>
      </c>
      <c r="O1645">
        <v>0</v>
      </c>
      <c r="P1645">
        <v>0</v>
      </c>
      <c r="Q1645" s="22">
        <v>70440</v>
      </c>
      <c r="R1645">
        <v>3</v>
      </c>
      <c r="S1645" s="1">
        <v>0</v>
      </c>
      <c r="T1645">
        <v>0</v>
      </c>
      <c r="U1645">
        <v>0</v>
      </c>
      <c r="V1645" s="21">
        <v>35220</v>
      </c>
      <c r="W1645">
        <v>6</v>
      </c>
      <c r="X1645">
        <v>1</v>
      </c>
      <c r="Y1645">
        <v>0</v>
      </c>
      <c r="Z1645">
        <v>3</v>
      </c>
      <c r="AA1645">
        <v>10</v>
      </c>
    </row>
    <row r="1646" spans="1:27" ht="14.25" x14ac:dyDescent="0.2">
      <c r="A1646" s="12">
        <v>30813</v>
      </c>
      <c r="B1646" t="s">
        <v>180</v>
      </c>
      <c r="C1646" t="s">
        <v>121</v>
      </c>
      <c r="D1646" t="s">
        <v>121</v>
      </c>
      <c r="E1646" t="s">
        <v>121</v>
      </c>
      <c r="F1646" s="4" t="s">
        <v>2504</v>
      </c>
      <c r="H1646">
        <v>2</v>
      </c>
      <c r="I1646" s="1">
        <v>0</v>
      </c>
      <c r="J1646">
        <v>0</v>
      </c>
      <c r="K1646">
        <v>0</v>
      </c>
      <c r="L1646" s="20">
        <v>23520</v>
      </c>
      <c r="M1646">
        <v>1</v>
      </c>
      <c r="N1646">
        <v>0</v>
      </c>
      <c r="O1646">
        <v>0</v>
      </c>
      <c r="P1646">
        <v>0</v>
      </c>
      <c r="Q1646" s="22">
        <v>70560</v>
      </c>
      <c r="R1646">
        <v>3</v>
      </c>
      <c r="S1646" s="1">
        <v>0</v>
      </c>
      <c r="T1646">
        <v>0</v>
      </c>
      <c r="U1646">
        <v>0</v>
      </c>
      <c r="V1646" s="21">
        <v>35280</v>
      </c>
      <c r="W1646">
        <v>15</v>
      </c>
      <c r="X1646">
        <v>0</v>
      </c>
      <c r="Y1646">
        <v>0</v>
      </c>
      <c r="Z1646">
        <v>0</v>
      </c>
      <c r="AA1646">
        <v>1</v>
      </c>
    </row>
    <row r="1647" spans="1:27" ht="14.25" x14ac:dyDescent="0.2">
      <c r="A1647" s="12">
        <v>30814</v>
      </c>
      <c r="B1647" t="s">
        <v>178</v>
      </c>
      <c r="C1647" t="s">
        <v>121</v>
      </c>
      <c r="D1647" t="s">
        <v>121</v>
      </c>
      <c r="E1647" t="s">
        <v>121</v>
      </c>
      <c r="F1647" s="4" t="s">
        <v>2504</v>
      </c>
      <c r="H1647">
        <v>2</v>
      </c>
      <c r="I1647" s="1">
        <v>0</v>
      </c>
      <c r="J1647">
        <v>0</v>
      </c>
      <c r="K1647">
        <v>0</v>
      </c>
      <c r="L1647" s="20">
        <v>23520</v>
      </c>
      <c r="M1647">
        <v>1</v>
      </c>
      <c r="N1647">
        <v>0</v>
      </c>
      <c r="O1647">
        <v>0</v>
      </c>
      <c r="P1647">
        <v>0</v>
      </c>
      <c r="Q1647" s="22">
        <v>70560</v>
      </c>
      <c r="R1647">
        <v>3</v>
      </c>
      <c r="S1647" s="1">
        <v>0</v>
      </c>
      <c r="T1647">
        <v>0</v>
      </c>
      <c r="U1647">
        <v>0</v>
      </c>
      <c r="V1647" s="21">
        <v>35280</v>
      </c>
      <c r="W1647">
        <v>21</v>
      </c>
      <c r="X1647">
        <v>0</v>
      </c>
      <c r="Y1647">
        <v>0</v>
      </c>
      <c r="Z1647">
        <v>0</v>
      </c>
      <c r="AA1647">
        <v>1</v>
      </c>
    </row>
    <row r="1648" spans="1:27" ht="14.25" x14ac:dyDescent="0.2">
      <c r="A1648" s="12">
        <v>30815</v>
      </c>
      <c r="B1648" t="s">
        <v>130</v>
      </c>
      <c r="C1648" t="s">
        <v>121</v>
      </c>
      <c r="D1648" t="s">
        <v>121</v>
      </c>
      <c r="E1648" t="s">
        <v>121</v>
      </c>
      <c r="F1648" s="4" t="s">
        <v>2506</v>
      </c>
      <c r="H1648">
        <v>2</v>
      </c>
      <c r="I1648" s="1">
        <v>0</v>
      </c>
      <c r="J1648">
        <v>0</v>
      </c>
      <c r="K1648">
        <v>0</v>
      </c>
      <c r="L1648" s="20">
        <v>23520</v>
      </c>
      <c r="M1648">
        <v>1</v>
      </c>
      <c r="N1648">
        <v>0</v>
      </c>
      <c r="O1648">
        <v>0</v>
      </c>
      <c r="P1648">
        <v>0</v>
      </c>
      <c r="Q1648" s="22">
        <v>70560</v>
      </c>
      <c r="R1648">
        <v>3</v>
      </c>
      <c r="S1648" s="1">
        <v>0</v>
      </c>
      <c r="T1648">
        <v>0</v>
      </c>
      <c r="U1648">
        <v>0</v>
      </c>
      <c r="V1648" s="21">
        <v>35280</v>
      </c>
      <c r="W1648">
        <v>9</v>
      </c>
      <c r="X1648">
        <v>0</v>
      </c>
      <c r="Y1648">
        <v>0</v>
      </c>
      <c r="Z1648">
        <v>0</v>
      </c>
      <c r="AA1648">
        <v>10</v>
      </c>
    </row>
    <row r="1649" spans="1:27" ht="14.25" x14ac:dyDescent="0.2">
      <c r="A1649" s="12">
        <v>30816</v>
      </c>
      <c r="B1649" t="s">
        <v>181</v>
      </c>
      <c r="C1649" t="s">
        <v>121</v>
      </c>
      <c r="D1649" t="s">
        <v>121</v>
      </c>
      <c r="E1649" t="s">
        <v>121</v>
      </c>
      <c r="F1649" s="4" t="s">
        <v>2508</v>
      </c>
      <c r="H1649">
        <v>2</v>
      </c>
      <c r="I1649" s="1">
        <v>0</v>
      </c>
      <c r="J1649">
        <v>0</v>
      </c>
      <c r="K1649">
        <v>0</v>
      </c>
      <c r="L1649" s="20">
        <v>23560</v>
      </c>
      <c r="M1649">
        <v>1</v>
      </c>
      <c r="N1649">
        <v>0</v>
      </c>
      <c r="O1649">
        <v>0</v>
      </c>
      <c r="P1649">
        <v>0</v>
      </c>
      <c r="Q1649" s="22">
        <v>70560</v>
      </c>
      <c r="R1649">
        <v>3</v>
      </c>
      <c r="S1649" s="1">
        <v>0</v>
      </c>
      <c r="T1649">
        <v>0</v>
      </c>
      <c r="U1649">
        <v>0</v>
      </c>
      <c r="V1649" s="21">
        <v>35280</v>
      </c>
      <c r="W1649">
        <v>30</v>
      </c>
      <c r="X1649">
        <v>0</v>
      </c>
      <c r="Y1649">
        <v>0</v>
      </c>
      <c r="Z1649">
        <v>0</v>
      </c>
      <c r="AA1649">
        <v>10</v>
      </c>
    </row>
    <row r="1650" spans="1:27" ht="14.25" x14ac:dyDescent="0.2">
      <c r="A1650" s="12">
        <v>30817</v>
      </c>
      <c r="B1650" t="s">
        <v>122</v>
      </c>
      <c r="C1650" t="s">
        <v>121</v>
      </c>
      <c r="D1650" t="s">
        <v>121</v>
      </c>
      <c r="E1650" t="s">
        <v>121</v>
      </c>
      <c r="F1650" s="4" t="s">
        <v>2508</v>
      </c>
      <c r="H1650">
        <v>2</v>
      </c>
      <c r="I1650" s="1">
        <v>0</v>
      </c>
      <c r="J1650">
        <v>0</v>
      </c>
      <c r="K1650">
        <v>0</v>
      </c>
      <c r="L1650" s="20">
        <v>23560</v>
      </c>
      <c r="M1650">
        <v>1</v>
      </c>
      <c r="N1650">
        <v>0</v>
      </c>
      <c r="O1650">
        <v>0</v>
      </c>
      <c r="P1650">
        <v>0</v>
      </c>
      <c r="Q1650" s="22">
        <v>70560</v>
      </c>
      <c r="R1650">
        <v>3</v>
      </c>
      <c r="S1650" s="1">
        <v>0</v>
      </c>
      <c r="T1650">
        <v>0</v>
      </c>
      <c r="U1650">
        <v>0</v>
      </c>
      <c r="V1650" s="21">
        <v>35280</v>
      </c>
      <c r="W1650">
        <v>4</v>
      </c>
      <c r="X1650">
        <v>0</v>
      </c>
      <c r="Y1650">
        <v>0</v>
      </c>
      <c r="Z1650">
        <v>0</v>
      </c>
      <c r="AA1650">
        <v>10</v>
      </c>
    </row>
    <row r="1651" spans="1:27" ht="14.25" x14ac:dyDescent="0.2">
      <c r="A1651" s="12">
        <v>30818</v>
      </c>
      <c r="B1651" t="s">
        <v>178</v>
      </c>
      <c r="C1651" t="s">
        <v>121</v>
      </c>
      <c r="D1651" t="s">
        <v>121</v>
      </c>
      <c r="E1651" t="s">
        <v>121</v>
      </c>
      <c r="F1651" s="4" t="s">
        <v>2510</v>
      </c>
      <c r="H1651">
        <v>2</v>
      </c>
      <c r="I1651" s="1">
        <v>0</v>
      </c>
      <c r="J1651">
        <v>0</v>
      </c>
      <c r="K1651">
        <v>0</v>
      </c>
      <c r="L1651" s="20">
        <v>23560</v>
      </c>
      <c r="M1651">
        <v>1</v>
      </c>
      <c r="N1651">
        <v>0</v>
      </c>
      <c r="O1651">
        <v>0</v>
      </c>
      <c r="P1651">
        <v>0</v>
      </c>
      <c r="Q1651" s="22">
        <v>70680</v>
      </c>
      <c r="R1651">
        <v>3</v>
      </c>
      <c r="S1651" s="1">
        <v>0</v>
      </c>
      <c r="T1651">
        <v>0</v>
      </c>
      <c r="U1651">
        <v>0</v>
      </c>
      <c r="V1651" s="21">
        <v>35340</v>
      </c>
      <c r="W1651">
        <v>21</v>
      </c>
      <c r="X1651">
        <v>0</v>
      </c>
      <c r="Y1651">
        <v>0</v>
      </c>
      <c r="Z1651">
        <v>0</v>
      </c>
      <c r="AA1651">
        <v>1</v>
      </c>
    </row>
    <row r="1652" spans="1:27" ht="14.25" x14ac:dyDescent="0.2">
      <c r="A1652" s="12">
        <v>30819</v>
      </c>
      <c r="B1652" t="s">
        <v>130</v>
      </c>
      <c r="C1652" t="s">
        <v>121</v>
      </c>
      <c r="D1652" t="s">
        <v>121</v>
      </c>
      <c r="E1652" t="s">
        <v>121</v>
      </c>
      <c r="F1652" s="4" t="s">
        <v>2512</v>
      </c>
      <c r="H1652">
        <v>2</v>
      </c>
      <c r="I1652" s="1">
        <v>0</v>
      </c>
      <c r="J1652">
        <v>0</v>
      </c>
      <c r="K1652">
        <v>0</v>
      </c>
      <c r="L1652" s="20">
        <v>23560</v>
      </c>
      <c r="M1652">
        <v>1</v>
      </c>
      <c r="N1652">
        <v>0</v>
      </c>
      <c r="O1652">
        <v>0</v>
      </c>
      <c r="P1652">
        <v>0</v>
      </c>
      <c r="Q1652" s="22">
        <v>70680</v>
      </c>
      <c r="R1652">
        <v>3</v>
      </c>
      <c r="S1652" s="1">
        <v>0</v>
      </c>
      <c r="T1652">
        <v>0</v>
      </c>
      <c r="U1652">
        <v>0</v>
      </c>
      <c r="V1652" s="21">
        <v>35340</v>
      </c>
      <c r="W1652">
        <v>9</v>
      </c>
      <c r="X1652">
        <v>0</v>
      </c>
      <c r="Y1652">
        <v>0</v>
      </c>
      <c r="Z1652">
        <v>0</v>
      </c>
      <c r="AA1652">
        <v>10</v>
      </c>
    </row>
    <row r="1653" spans="1:27" ht="14.25" x14ac:dyDescent="0.2">
      <c r="A1653" s="12">
        <v>30820</v>
      </c>
      <c r="B1653" t="s">
        <v>123</v>
      </c>
      <c r="C1653" t="s">
        <v>121</v>
      </c>
      <c r="D1653" t="s">
        <v>121</v>
      </c>
      <c r="E1653" t="s">
        <v>121</v>
      </c>
      <c r="F1653" s="4" t="s">
        <v>2512</v>
      </c>
      <c r="H1653">
        <v>2</v>
      </c>
      <c r="I1653" s="1">
        <v>0</v>
      </c>
      <c r="J1653">
        <v>0</v>
      </c>
      <c r="K1653">
        <v>0</v>
      </c>
      <c r="L1653" s="20">
        <v>23560</v>
      </c>
      <c r="M1653">
        <v>1</v>
      </c>
      <c r="N1653">
        <v>0</v>
      </c>
      <c r="O1653">
        <v>0</v>
      </c>
      <c r="P1653">
        <v>0</v>
      </c>
      <c r="Q1653" s="22">
        <v>70680</v>
      </c>
      <c r="R1653">
        <v>3</v>
      </c>
      <c r="S1653" s="1">
        <v>0</v>
      </c>
      <c r="T1653">
        <v>0</v>
      </c>
      <c r="U1653">
        <v>0</v>
      </c>
      <c r="V1653" s="21">
        <v>35340</v>
      </c>
      <c r="W1653">
        <v>12</v>
      </c>
      <c r="X1653">
        <v>0</v>
      </c>
      <c r="Y1653">
        <v>0</v>
      </c>
      <c r="Z1653">
        <v>0</v>
      </c>
      <c r="AA1653">
        <v>10</v>
      </c>
    </row>
    <row r="1654" spans="1:27" ht="14.25" x14ac:dyDescent="0.2">
      <c r="A1654" s="12">
        <v>30821</v>
      </c>
      <c r="B1654" t="s">
        <v>126</v>
      </c>
      <c r="C1654" t="s">
        <v>121</v>
      </c>
      <c r="D1654" t="s">
        <v>121</v>
      </c>
      <c r="E1654" t="s">
        <v>121</v>
      </c>
      <c r="F1654" s="4" t="s">
        <v>2514</v>
      </c>
      <c r="H1654">
        <v>2</v>
      </c>
      <c r="I1654" s="1">
        <v>0</v>
      </c>
      <c r="J1654">
        <v>0</v>
      </c>
      <c r="K1654">
        <v>0</v>
      </c>
      <c r="L1654" s="20">
        <v>23600</v>
      </c>
      <c r="M1654">
        <v>1</v>
      </c>
      <c r="N1654">
        <v>0</v>
      </c>
      <c r="O1654">
        <v>0</v>
      </c>
      <c r="P1654">
        <v>0</v>
      </c>
      <c r="Q1654" s="22">
        <v>70680</v>
      </c>
      <c r="R1654">
        <v>3</v>
      </c>
      <c r="S1654" s="1">
        <v>0</v>
      </c>
      <c r="T1654">
        <v>0</v>
      </c>
      <c r="U1654">
        <v>0</v>
      </c>
      <c r="V1654" s="21">
        <v>35340</v>
      </c>
      <c r="W1654">
        <v>23</v>
      </c>
      <c r="X1654">
        <v>0</v>
      </c>
      <c r="Y1654">
        <v>0</v>
      </c>
      <c r="Z1654">
        <v>0</v>
      </c>
      <c r="AA1654">
        <v>1</v>
      </c>
    </row>
    <row r="1655" spans="1:27" ht="14.25" x14ac:dyDescent="0.2">
      <c r="A1655" s="12">
        <v>30822</v>
      </c>
      <c r="B1655" t="s">
        <v>131</v>
      </c>
      <c r="C1655" t="s">
        <v>125</v>
      </c>
      <c r="D1655" t="s">
        <v>121</v>
      </c>
      <c r="E1655" t="s">
        <v>136</v>
      </c>
      <c r="F1655" s="4" t="s">
        <v>2516</v>
      </c>
      <c r="H1655">
        <v>2</v>
      </c>
      <c r="I1655" s="1">
        <v>0</v>
      </c>
      <c r="J1655">
        <v>0</v>
      </c>
      <c r="K1655">
        <v>0</v>
      </c>
      <c r="L1655" s="20">
        <v>23600</v>
      </c>
      <c r="M1655">
        <v>1</v>
      </c>
      <c r="N1655">
        <v>0</v>
      </c>
      <c r="O1655">
        <v>0</v>
      </c>
      <c r="P1655">
        <v>0</v>
      </c>
      <c r="Q1655" s="22">
        <v>70680</v>
      </c>
      <c r="R1655">
        <v>3</v>
      </c>
      <c r="S1655" s="1">
        <v>0</v>
      </c>
      <c r="T1655">
        <v>0</v>
      </c>
      <c r="U1655">
        <v>0</v>
      </c>
      <c r="V1655" s="21">
        <v>35340</v>
      </c>
      <c r="W1655">
        <v>6</v>
      </c>
      <c r="X1655">
        <v>1</v>
      </c>
      <c r="Y1655">
        <v>0</v>
      </c>
      <c r="Z1655">
        <v>3</v>
      </c>
      <c r="AA1655">
        <v>10</v>
      </c>
    </row>
    <row r="1656" spans="1:27" ht="14.25" x14ac:dyDescent="0.2">
      <c r="A1656" s="12">
        <v>30823</v>
      </c>
      <c r="B1656" t="s">
        <v>180</v>
      </c>
      <c r="C1656" t="s">
        <v>121</v>
      </c>
      <c r="D1656" t="s">
        <v>121</v>
      </c>
      <c r="E1656" t="s">
        <v>121</v>
      </c>
      <c r="F1656" s="4" t="s">
        <v>2518</v>
      </c>
      <c r="H1656">
        <v>2</v>
      </c>
      <c r="I1656" s="1">
        <v>0</v>
      </c>
      <c r="J1656">
        <v>0</v>
      </c>
      <c r="K1656">
        <v>0</v>
      </c>
      <c r="L1656" s="20">
        <v>23600</v>
      </c>
      <c r="M1656">
        <v>1</v>
      </c>
      <c r="N1656">
        <v>0</v>
      </c>
      <c r="O1656">
        <v>0</v>
      </c>
      <c r="P1656">
        <v>0</v>
      </c>
      <c r="Q1656" s="22">
        <v>70800</v>
      </c>
      <c r="R1656">
        <v>3</v>
      </c>
      <c r="S1656" s="1">
        <v>0</v>
      </c>
      <c r="T1656">
        <v>0</v>
      </c>
      <c r="U1656">
        <v>0</v>
      </c>
      <c r="V1656" s="21">
        <v>35400</v>
      </c>
      <c r="W1656">
        <v>15</v>
      </c>
      <c r="X1656">
        <v>0</v>
      </c>
      <c r="Y1656">
        <v>0</v>
      </c>
      <c r="Z1656">
        <v>0</v>
      </c>
      <c r="AA1656">
        <v>1</v>
      </c>
    </row>
    <row r="1657" spans="1:27" ht="14.25" x14ac:dyDescent="0.2">
      <c r="A1657" s="12">
        <v>30824</v>
      </c>
      <c r="B1657" t="s">
        <v>178</v>
      </c>
      <c r="C1657" t="s">
        <v>121</v>
      </c>
      <c r="D1657" t="s">
        <v>121</v>
      </c>
      <c r="E1657" t="s">
        <v>121</v>
      </c>
      <c r="F1657" s="4" t="s">
        <v>2518</v>
      </c>
      <c r="H1657">
        <v>2</v>
      </c>
      <c r="I1657" s="1">
        <v>0</v>
      </c>
      <c r="J1657">
        <v>0</v>
      </c>
      <c r="K1657">
        <v>0</v>
      </c>
      <c r="L1657" s="20">
        <v>23600</v>
      </c>
      <c r="M1657">
        <v>1</v>
      </c>
      <c r="N1657">
        <v>0</v>
      </c>
      <c r="O1657">
        <v>0</v>
      </c>
      <c r="P1657">
        <v>0</v>
      </c>
      <c r="Q1657" s="22">
        <v>70800</v>
      </c>
      <c r="R1657">
        <v>3</v>
      </c>
      <c r="S1657" s="1">
        <v>0</v>
      </c>
      <c r="T1657">
        <v>0</v>
      </c>
      <c r="U1657">
        <v>0</v>
      </c>
      <c r="V1657" s="21">
        <v>35400</v>
      </c>
      <c r="W1657">
        <v>21</v>
      </c>
      <c r="X1657">
        <v>0</v>
      </c>
      <c r="Y1657">
        <v>0</v>
      </c>
      <c r="Z1657">
        <v>0</v>
      </c>
      <c r="AA1657">
        <v>1</v>
      </c>
    </row>
    <row r="1658" spans="1:27" ht="14.25" x14ac:dyDescent="0.2">
      <c r="A1658" s="12">
        <v>30825</v>
      </c>
      <c r="B1658" t="s">
        <v>130</v>
      </c>
      <c r="C1658" t="s">
        <v>121</v>
      </c>
      <c r="D1658" t="s">
        <v>121</v>
      </c>
      <c r="E1658" t="s">
        <v>121</v>
      </c>
      <c r="F1658" s="4" t="s">
        <v>2520</v>
      </c>
      <c r="H1658">
        <v>2</v>
      </c>
      <c r="I1658" s="1">
        <v>0</v>
      </c>
      <c r="J1658">
        <v>0</v>
      </c>
      <c r="K1658">
        <v>0</v>
      </c>
      <c r="L1658" s="20">
        <v>23600</v>
      </c>
      <c r="M1658">
        <v>1</v>
      </c>
      <c r="N1658">
        <v>0</v>
      </c>
      <c r="O1658">
        <v>0</v>
      </c>
      <c r="P1658">
        <v>0</v>
      </c>
      <c r="Q1658" s="22">
        <v>70800</v>
      </c>
      <c r="R1658">
        <v>3</v>
      </c>
      <c r="S1658" s="1">
        <v>0</v>
      </c>
      <c r="T1658">
        <v>0</v>
      </c>
      <c r="U1658">
        <v>0</v>
      </c>
      <c r="V1658" s="21">
        <v>35400</v>
      </c>
      <c r="W1658">
        <v>9</v>
      </c>
      <c r="X1658">
        <v>0</v>
      </c>
      <c r="Y1658">
        <v>0</v>
      </c>
      <c r="Z1658">
        <v>0</v>
      </c>
      <c r="AA1658">
        <v>10</v>
      </c>
    </row>
    <row r="1659" spans="1:27" ht="14.25" x14ac:dyDescent="0.2">
      <c r="A1659" s="12">
        <v>30826</v>
      </c>
      <c r="B1659" t="s">
        <v>181</v>
      </c>
      <c r="C1659" t="s">
        <v>121</v>
      </c>
      <c r="D1659" t="s">
        <v>121</v>
      </c>
      <c r="E1659" t="s">
        <v>121</v>
      </c>
      <c r="F1659" s="4" t="s">
        <v>2522</v>
      </c>
      <c r="H1659">
        <v>2</v>
      </c>
      <c r="I1659" s="1">
        <v>0</v>
      </c>
      <c r="J1659">
        <v>0</v>
      </c>
      <c r="K1659">
        <v>0</v>
      </c>
      <c r="L1659" s="20">
        <v>23640</v>
      </c>
      <c r="M1659">
        <v>1</v>
      </c>
      <c r="N1659">
        <v>0</v>
      </c>
      <c r="O1659">
        <v>0</v>
      </c>
      <c r="P1659">
        <v>0</v>
      </c>
      <c r="Q1659" s="22">
        <v>70800</v>
      </c>
      <c r="R1659">
        <v>3</v>
      </c>
      <c r="S1659" s="1">
        <v>0</v>
      </c>
      <c r="T1659">
        <v>0</v>
      </c>
      <c r="U1659">
        <v>0</v>
      </c>
      <c r="V1659" s="21">
        <v>35400</v>
      </c>
      <c r="W1659">
        <v>30</v>
      </c>
      <c r="X1659">
        <v>0</v>
      </c>
      <c r="Y1659">
        <v>0</v>
      </c>
      <c r="Z1659">
        <v>0</v>
      </c>
      <c r="AA1659">
        <v>10</v>
      </c>
    </row>
    <row r="1660" spans="1:27" ht="14.25" x14ac:dyDescent="0.2">
      <c r="A1660" s="12">
        <v>30827</v>
      </c>
      <c r="B1660" t="s">
        <v>122</v>
      </c>
      <c r="C1660" t="s">
        <v>121</v>
      </c>
      <c r="D1660" t="s">
        <v>121</v>
      </c>
      <c r="E1660" t="s">
        <v>121</v>
      </c>
      <c r="F1660" s="4" t="s">
        <v>2522</v>
      </c>
      <c r="H1660">
        <v>2</v>
      </c>
      <c r="I1660" s="1">
        <v>0</v>
      </c>
      <c r="J1660">
        <v>0</v>
      </c>
      <c r="K1660">
        <v>0</v>
      </c>
      <c r="L1660" s="20">
        <v>23640</v>
      </c>
      <c r="M1660">
        <v>1</v>
      </c>
      <c r="N1660">
        <v>0</v>
      </c>
      <c r="O1660">
        <v>0</v>
      </c>
      <c r="P1660">
        <v>0</v>
      </c>
      <c r="Q1660" s="22">
        <v>70800</v>
      </c>
      <c r="R1660">
        <v>3</v>
      </c>
      <c r="S1660" s="1">
        <v>0</v>
      </c>
      <c r="T1660">
        <v>0</v>
      </c>
      <c r="U1660">
        <v>0</v>
      </c>
      <c r="V1660" s="21">
        <v>35400</v>
      </c>
      <c r="W1660">
        <v>4</v>
      </c>
      <c r="X1660">
        <v>0</v>
      </c>
      <c r="Y1660">
        <v>0</v>
      </c>
      <c r="Z1660">
        <v>0</v>
      </c>
      <c r="AA1660">
        <v>10</v>
      </c>
    </row>
    <row r="1661" spans="1:27" ht="14.25" x14ac:dyDescent="0.2">
      <c r="A1661" s="12">
        <v>30828</v>
      </c>
      <c r="B1661" t="s">
        <v>178</v>
      </c>
      <c r="C1661" t="s">
        <v>121</v>
      </c>
      <c r="D1661" t="s">
        <v>121</v>
      </c>
      <c r="E1661" t="s">
        <v>121</v>
      </c>
      <c r="F1661" s="4" t="s">
        <v>2524</v>
      </c>
      <c r="H1661">
        <v>2</v>
      </c>
      <c r="I1661" s="1">
        <v>0</v>
      </c>
      <c r="J1661">
        <v>0</v>
      </c>
      <c r="K1661">
        <v>0</v>
      </c>
      <c r="L1661" s="20">
        <v>23640</v>
      </c>
      <c r="M1661">
        <v>1</v>
      </c>
      <c r="N1661">
        <v>0</v>
      </c>
      <c r="O1661">
        <v>0</v>
      </c>
      <c r="P1661">
        <v>0</v>
      </c>
      <c r="Q1661" s="22">
        <v>70920</v>
      </c>
      <c r="R1661">
        <v>3</v>
      </c>
      <c r="S1661" s="1">
        <v>0</v>
      </c>
      <c r="T1661">
        <v>0</v>
      </c>
      <c r="U1661">
        <v>0</v>
      </c>
      <c r="V1661" s="21">
        <v>35460</v>
      </c>
      <c r="W1661">
        <v>21</v>
      </c>
      <c r="X1661">
        <v>0</v>
      </c>
      <c r="Y1661">
        <v>0</v>
      </c>
      <c r="Z1661">
        <v>0</v>
      </c>
      <c r="AA1661">
        <v>1</v>
      </c>
    </row>
    <row r="1662" spans="1:27" ht="14.25" x14ac:dyDescent="0.2">
      <c r="A1662" s="12">
        <v>30829</v>
      </c>
      <c r="B1662" t="s">
        <v>130</v>
      </c>
      <c r="C1662" t="s">
        <v>121</v>
      </c>
      <c r="D1662" t="s">
        <v>121</v>
      </c>
      <c r="E1662" t="s">
        <v>121</v>
      </c>
      <c r="F1662" s="4" t="s">
        <v>2526</v>
      </c>
      <c r="H1662">
        <v>2</v>
      </c>
      <c r="I1662" s="1">
        <v>0</v>
      </c>
      <c r="J1662">
        <v>0</v>
      </c>
      <c r="K1662">
        <v>0</v>
      </c>
      <c r="L1662" s="20">
        <v>23640</v>
      </c>
      <c r="M1662">
        <v>1</v>
      </c>
      <c r="N1662">
        <v>0</v>
      </c>
      <c r="O1662">
        <v>0</v>
      </c>
      <c r="P1662">
        <v>0</v>
      </c>
      <c r="Q1662" s="22">
        <v>70920</v>
      </c>
      <c r="R1662">
        <v>3</v>
      </c>
      <c r="S1662" s="1">
        <v>0</v>
      </c>
      <c r="T1662">
        <v>0</v>
      </c>
      <c r="U1662">
        <v>0</v>
      </c>
      <c r="V1662" s="21">
        <v>35460</v>
      </c>
      <c r="W1662">
        <v>9</v>
      </c>
      <c r="X1662">
        <v>0</v>
      </c>
      <c r="Y1662">
        <v>0</v>
      </c>
      <c r="Z1662">
        <v>0</v>
      </c>
      <c r="AA1662">
        <v>10</v>
      </c>
    </row>
    <row r="1663" spans="1:27" ht="14.25" x14ac:dyDescent="0.2">
      <c r="A1663" s="12">
        <v>30830</v>
      </c>
      <c r="B1663" t="s">
        <v>123</v>
      </c>
      <c r="C1663" t="s">
        <v>121</v>
      </c>
      <c r="D1663" t="s">
        <v>121</v>
      </c>
      <c r="E1663" t="s">
        <v>121</v>
      </c>
      <c r="F1663" s="4" t="s">
        <v>2526</v>
      </c>
      <c r="H1663">
        <v>2</v>
      </c>
      <c r="I1663" s="1">
        <v>0</v>
      </c>
      <c r="J1663">
        <v>0</v>
      </c>
      <c r="K1663">
        <v>0</v>
      </c>
      <c r="L1663" s="20">
        <v>23640</v>
      </c>
      <c r="M1663">
        <v>1</v>
      </c>
      <c r="N1663">
        <v>0</v>
      </c>
      <c r="O1663">
        <v>0</v>
      </c>
      <c r="P1663">
        <v>0</v>
      </c>
      <c r="Q1663" s="22">
        <v>70920</v>
      </c>
      <c r="R1663">
        <v>3</v>
      </c>
      <c r="S1663" s="1">
        <v>0</v>
      </c>
      <c r="T1663">
        <v>0</v>
      </c>
      <c r="U1663">
        <v>0</v>
      </c>
      <c r="V1663" s="21">
        <v>35460</v>
      </c>
      <c r="W1663">
        <v>12</v>
      </c>
      <c r="X1663">
        <v>0</v>
      </c>
      <c r="Y1663">
        <v>0</v>
      </c>
      <c r="Z1663">
        <v>0</v>
      </c>
      <c r="AA1663">
        <v>10</v>
      </c>
    </row>
    <row r="1664" spans="1:27" ht="14.25" x14ac:dyDescent="0.2">
      <c r="A1664" s="12">
        <v>30831</v>
      </c>
      <c r="B1664" t="s">
        <v>126</v>
      </c>
      <c r="C1664" t="s">
        <v>121</v>
      </c>
      <c r="D1664" t="s">
        <v>121</v>
      </c>
      <c r="E1664" t="s">
        <v>121</v>
      </c>
      <c r="F1664" s="4" t="s">
        <v>2528</v>
      </c>
      <c r="H1664">
        <v>2</v>
      </c>
      <c r="I1664" s="1">
        <v>0</v>
      </c>
      <c r="J1664">
        <v>0</v>
      </c>
      <c r="K1664">
        <v>0</v>
      </c>
      <c r="L1664" s="20">
        <v>23680</v>
      </c>
      <c r="M1664">
        <v>1</v>
      </c>
      <c r="N1664">
        <v>0</v>
      </c>
      <c r="O1664">
        <v>0</v>
      </c>
      <c r="P1664">
        <v>0</v>
      </c>
      <c r="Q1664" s="22">
        <v>70920</v>
      </c>
      <c r="R1664">
        <v>3</v>
      </c>
      <c r="S1664" s="1">
        <v>0</v>
      </c>
      <c r="T1664">
        <v>0</v>
      </c>
      <c r="U1664">
        <v>0</v>
      </c>
      <c r="V1664" s="21">
        <v>35460</v>
      </c>
      <c r="W1664">
        <v>23</v>
      </c>
      <c r="X1664">
        <v>0</v>
      </c>
      <c r="Y1664">
        <v>0</v>
      </c>
      <c r="Z1664">
        <v>0</v>
      </c>
      <c r="AA1664">
        <v>1</v>
      </c>
    </row>
    <row r="1665" spans="1:27" ht="14.25" x14ac:dyDescent="0.2">
      <c r="A1665" s="12">
        <v>30832</v>
      </c>
      <c r="B1665" t="s">
        <v>131</v>
      </c>
      <c r="C1665" t="s">
        <v>125</v>
      </c>
      <c r="D1665" t="s">
        <v>121</v>
      </c>
      <c r="E1665" t="s">
        <v>136</v>
      </c>
      <c r="F1665" s="4" t="s">
        <v>2530</v>
      </c>
      <c r="H1665">
        <v>2</v>
      </c>
      <c r="I1665" s="1">
        <v>0</v>
      </c>
      <c r="J1665">
        <v>0</v>
      </c>
      <c r="K1665">
        <v>0</v>
      </c>
      <c r="L1665" s="20">
        <v>23680</v>
      </c>
      <c r="M1665">
        <v>1</v>
      </c>
      <c r="N1665">
        <v>0</v>
      </c>
      <c r="O1665">
        <v>0</v>
      </c>
      <c r="P1665">
        <v>0</v>
      </c>
      <c r="Q1665" s="22">
        <v>70920</v>
      </c>
      <c r="R1665">
        <v>3</v>
      </c>
      <c r="S1665" s="1">
        <v>0</v>
      </c>
      <c r="T1665">
        <v>0</v>
      </c>
      <c r="U1665">
        <v>0</v>
      </c>
      <c r="V1665" s="21">
        <v>35460</v>
      </c>
      <c r="W1665">
        <v>6</v>
      </c>
      <c r="X1665">
        <v>1</v>
      </c>
      <c r="Y1665">
        <v>0</v>
      </c>
      <c r="Z1665">
        <v>3</v>
      </c>
      <c r="AA1665">
        <v>10</v>
      </c>
    </row>
    <row r="1666" spans="1:27" ht="14.25" x14ac:dyDescent="0.2">
      <c r="A1666" s="12">
        <v>30833</v>
      </c>
      <c r="B1666" t="s">
        <v>180</v>
      </c>
      <c r="C1666" t="s">
        <v>121</v>
      </c>
      <c r="D1666" t="s">
        <v>121</v>
      </c>
      <c r="E1666" t="s">
        <v>121</v>
      </c>
      <c r="F1666" s="4" t="s">
        <v>2532</v>
      </c>
      <c r="H1666">
        <v>2</v>
      </c>
      <c r="I1666" s="1">
        <v>0</v>
      </c>
      <c r="J1666">
        <v>0</v>
      </c>
      <c r="K1666">
        <v>0</v>
      </c>
      <c r="L1666" s="20">
        <v>23680</v>
      </c>
      <c r="M1666">
        <v>1</v>
      </c>
      <c r="N1666">
        <v>0</v>
      </c>
      <c r="O1666">
        <v>0</v>
      </c>
      <c r="P1666">
        <v>0</v>
      </c>
      <c r="Q1666" s="22">
        <v>71040</v>
      </c>
      <c r="R1666">
        <v>3</v>
      </c>
      <c r="S1666" s="1">
        <v>0</v>
      </c>
      <c r="T1666">
        <v>0</v>
      </c>
      <c r="U1666">
        <v>0</v>
      </c>
      <c r="V1666" s="21">
        <v>35520</v>
      </c>
      <c r="W1666">
        <v>15</v>
      </c>
      <c r="X1666">
        <v>0</v>
      </c>
      <c r="Y1666">
        <v>0</v>
      </c>
      <c r="Z1666">
        <v>0</v>
      </c>
      <c r="AA1666">
        <v>1</v>
      </c>
    </row>
    <row r="1667" spans="1:27" ht="14.25" x14ac:dyDescent="0.2">
      <c r="A1667" s="12">
        <v>30834</v>
      </c>
      <c r="B1667" t="s">
        <v>178</v>
      </c>
      <c r="C1667" t="s">
        <v>121</v>
      </c>
      <c r="D1667" t="s">
        <v>121</v>
      </c>
      <c r="E1667" t="s">
        <v>121</v>
      </c>
      <c r="F1667" s="4" t="s">
        <v>2532</v>
      </c>
      <c r="H1667">
        <v>2</v>
      </c>
      <c r="I1667" s="1">
        <v>0</v>
      </c>
      <c r="J1667">
        <v>0</v>
      </c>
      <c r="K1667">
        <v>0</v>
      </c>
      <c r="L1667" s="20">
        <v>23680</v>
      </c>
      <c r="M1667">
        <v>1</v>
      </c>
      <c r="N1667">
        <v>0</v>
      </c>
      <c r="O1667">
        <v>0</v>
      </c>
      <c r="P1667">
        <v>0</v>
      </c>
      <c r="Q1667" s="22">
        <v>71040</v>
      </c>
      <c r="R1667">
        <v>3</v>
      </c>
      <c r="S1667" s="1">
        <v>0</v>
      </c>
      <c r="T1667">
        <v>0</v>
      </c>
      <c r="U1667">
        <v>0</v>
      </c>
      <c r="V1667" s="21">
        <v>35520</v>
      </c>
      <c r="W1667">
        <v>21</v>
      </c>
      <c r="X1667">
        <v>0</v>
      </c>
      <c r="Y1667">
        <v>0</v>
      </c>
      <c r="Z1667">
        <v>0</v>
      </c>
      <c r="AA1667">
        <v>1</v>
      </c>
    </row>
    <row r="1668" spans="1:27" ht="14.25" x14ac:dyDescent="0.2">
      <c r="A1668" s="12">
        <v>30835</v>
      </c>
      <c r="B1668" t="s">
        <v>130</v>
      </c>
      <c r="C1668" t="s">
        <v>121</v>
      </c>
      <c r="D1668" t="s">
        <v>121</v>
      </c>
      <c r="E1668" t="s">
        <v>121</v>
      </c>
      <c r="F1668" s="4" t="s">
        <v>2534</v>
      </c>
      <c r="H1668">
        <v>2</v>
      </c>
      <c r="I1668" s="1">
        <v>0</v>
      </c>
      <c r="J1668">
        <v>0</v>
      </c>
      <c r="K1668">
        <v>0</v>
      </c>
      <c r="L1668" s="20">
        <v>23680</v>
      </c>
      <c r="M1668">
        <v>1</v>
      </c>
      <c r="N1668">
        <v>0</v>
      </c>
      <c r="O1668">
        <v>0</v>
      </c>
      <c r="P1668">
        <v>0</v>
      </c>
      <c r="Q1668" s="22">
        <v>71040</v>
      </c>
      <c r="R1668">
        <v>3</v>
      </c>
      <c r="S1668" s="1">
        <v>0</v>
      </c>
      <c r="T1668">
        <v>0</v>
      </c>
      <c r="U1668">
        <v>0</v>
      </c>
      <c r="V1668" s="21">
        <v>35520</v>
      </c>
      <c r="W1668">
        <v>9</v>
      </c>
      <c r="X1668">
        <v>0</v>
      </c>
      <c r="Y1668">
        <v>0</v>
      </c>
      <c r="Z1668">
        <v>0</v>
      </c>
      <c r="AA1668">
        <v>10</v>
      </c>
    </row>
    <row r="1669" spans="1:27" ht="14.25" x14ac:dyDescent="0.2">
      <c r="A1669" s="12">
        <v>30836</v>
      </c>
      <c r="B1669" t="s">
        <v>181</v>
      </c>
      <c r="C1669" t="s">
        <v>121</v>
      </c>
      <c r="D1669" t="s">
        <v>121</v>
      </c>
      <c r="E1669" t="s">
        <v>121</v>
      </c>
      <c r="F1669" s="4" t="s">
        <v>2536</v>
      </c>
      <c r="H1669">
        <v>2</v>
      </c>
      <c r="I1669" s="1">
        <v>0</v>
      </c>
      <c r="J1669">
        <v>0</v>
      </c>
      <c r="K1669">
        <v>0</v>
      </c>
      <c r="L1669" s="20">
        <v>23720</v>
      </c>
      <c r="M1669">
        <v>1</v>
      </c>
      <c r="N1669">
        <v>0</v>
      </c>
      <c r="O1669">
        <v>0</v>
      </c>
      <c r="P1669">
        <v>0</v>
      </c>
      <c r="Q1669" s="22">
        <v>71040</v>
      </c>
      <c r="R1669">
        <v>3</v>
      </c>
      <c r="S1669" s="1">
        <v>0</v>
      </c>
      <c r="T1669">
        <v>0</v>
      </c>
      <c r="U1669">
        <v>0</v>
      </c>
      <c r="V1669" s="21">
        <v>35520</v>
      </c>
      <c r="W1669">
        <v>30</v>
      </c>
      <c r="X1669">
        <v>0</v>
      </c>
      <c r="Y1669">
        <v>0</v>
      </c>
      <c r="Z1669">
        <v>0</v>
      </c>
      <c r="AA1669">
        <v>10</v>
      </c>
    </row>
    <row r="1670" spans="1:27" ht="14.25" x14ac:dyDescent="0.2">
      <c r="A1670" s="12">
        <v>30837</v>
      </c>
      <c r="B1670" t="s">
        <v>122</v>
      </c>
      <c r="C1670" t="s">
        <v>121</v>
      </c>
      <c r="D1670" t="s">
        <v>121</v>
      </c>
      <c r="E1670" t="s">
        <v>121</v>
      </c>
      <c r="F1670" s="4" t="s">
        <v>2536</v>
      </c>
      <c r="H1670">
        <v>2</v>
      </c>
      <c r="I1670" s="1">
        <v>0</v>
      </c>
      <c r="J1670">
        <v>0</v>
      </c>
      <c r="K1670">
        <v>0</v>
      </c>
      <c r="L1670" s="20">
        <v>23720</v>
      </c>
      <c r="M1670">
        <v>1</v>
      </c>
      <c r="N1670">
        <v>0</v>
      </c>
      <c r="O1670">
        <v>0</v>
      </c>
      <c r="P1670">
        <v>0</v>
      </c>
      <c r="Q1670" s="22">
        <v>71040</v>
      </c>
      <c r="R1670">
        <v>3</v>
      </c>
      <c r="S1670" s="1">
        <v>0</v>
      </c>
      <c r="T1670">
        <v>0</v>
      </c>
      <c r="U1670">
        <v>0</v>
      </c>
      <c r="V1670" s="21">
        <v>35520</v>
      </c>
      <c r="W1670">
        <v>4</v>
      </c>
      <c r="X1670">
        <v>0</v>
      </c>
      <c r="Y1670">
        <v>0</v>
      </c>
      <c r="Z1670">
        <v>0</v>
      </c>
      <c r="AA1670">
        <v>10</v>
      </c>
    </row>
    <row r="1671" spans="1:27" ht="14.25" x14ac:dyDescent="0.2">
      <c r="A1671" s="12">
        <v>30838</v>
      </c>
      <c r="B1671" t="s">
        <v>178</v>
      </c>
      <c r="C1671" t="s">
        <v>121</v>
      </c>
      <c r="D1671" t="s">
        <v>121</v>
      </c>
      <c r="E1671" t="s">
        <v>121</v>
      </c>
      <c r="F1671" s="4" t="s">
        <v>2538</v>
      </c>
      <c r="H1671">
        <v>2</v>
      </c>
      <c r="I1671" s="1">
        <v>0</v>
      </c>
      <c r="J1671">
        <v>0</v>
      </c>
      <c r="K1671">
        <v>0</v>
      </c>
      <c r="L1671" s="20">
        <v>23720</v>
      </c>
      <c r="M1671">
        <v>1</v>
      </c>
      <c r="N1671">
        <v>0</v>
      </c>
      <c r="O1671">
        <v>0</v>
      </c>
      <c r="P1671">
        <v>0</v>
      </c>
      <c r="Q1671" s="22">
        <v>71160</v>
      </c>
      <c r="R1671">
        <v>3</v>
      </c>
      <c r="S1671" s="1">
        <v>0</v>
      </c>
      <c r="T1671">
        <v>0</v>
      </c>
      <c r="U1671">
        <v>0</v>
      </c>
      <c r="V1671" s="21">
        <v>35580</v>
      </c>
      <c r="W1671">
        <v>21</v>
      </c>
      <c r="X1671">
        <v>0</v>
      </c>
      <c r="Y1671">
        <v>0</v>
      </c>
      <c r="Z1671">
        <v>0</v>
      </c>
      <c r="AA1671">
        <v>1</v>
      </c>
    </row>
    <row r="1672" spans="1:27" ht="14.25" x14ac:dyDescent="0.2">
      <c r="A1672" s="12">
        <v>30839</v>
      </c>
      <c r="B1672" t="s">
        <v>130</v>
      </c>
      <c r="C1672" t="s">
        <v>121</v>
      </c>
      <c r="D1672" t="s">
        <v>121</v>
      </c>
      <c r="E1672" t="s">
        <v>121</v>
      </c>
      <c r="F1672" s="4" t="s">
        <v>2540</v>
      </c>
      <c r="H1672">
        <v>2</v>
      </c>
      <c r="I1672" s="1">
        <v>0</v>
      </c>
      <c r="J1672">
        <v>0</v>
      </c>
      <c r="K1672">
        <v>0</v>
      </c>
      <c r="L1672" s="20">
        <v>23720</v>
      </c>
      <c r="M1672">
        <v>1</v>
      </c>
      <c r="N1672">
        <v>0</v>
      </c>
      <c r="O1672">
        <v>0</v>
      </c>
      <c r="P1672">
        <v>0</v>
      </c>
      <c r="Q1672" s="22">
        <v>71160</v>
      </c>
      <c r="R1672">
        <v>3</v>
      </c>
      <c r="S1672" s="1">
        <v>0</v>
      </c>
      <c r="T1672">
        <v>0</v>
      </c>
      <c r="U1672">
        <v>0</v>
      </c>
      <c r="V1672" s="21">
        <v>35580</v>
      </c>
      <c r="W1672">
        <v>9</v>
      </c>
      <c r="X1672">
        <v>0</v>
      </c>
      <c r="Y1672">
        <v>0</v>
      </c>
      <c r="Z1672">
        <v>0</v>
      </c>
      <c r="AA1672">
        <v>10</v>
      </c>
    </row>
    <row r="1673" spans="1:27" ht="14.25" x14ac:dyDescent="0.2">
      <c r="A1673" s="12">
        <v>30840</v>
      </c>
      <c r="B1673" t="s">
        <v>123</v>
      </c>
      <c r="C1673" t="s">
        <v>121</v>
      </c>
      <c r="D1673" t="s">
        <v>121</v>
      </c>
      <c r="E1673" t="s">
        <v>121</v>
      </c>
      <c r="F1673" s="4" t="s">
        <v>2540</v>
      </c>
      <c r="H1673">
        <v>2</v>
      </c>
      <c r="I1673" s="1">
        <v>0</v>
      </c>
      <c r="J1673">
        <v>0</v>
      </c>
      <c r="K1673">
        <v>0</v>
      </c>
      <c r="L1673" s="20">
        <v>23720</v>
      </c>
      <c r="M1673">
        <v>1</v>
      </c>
      <c r="N1673">
        <v>0</v>
      </c>
      <c r="O1673">
        <v>0</v>
      </c>
      <c r="P1673">
        <v>0</v>
      </c>
      <c r="Q1673" s="22">
        <v>71160</v>
      </c>
      <c r="R1673">
        <v>3</v>
      </c>
      <c r="S1673" s="1">
        <v>0</v>
      </c>
      <c r="T1673">
        <v>0</v>
      </c>
      <c r="U1673">
        <v>0</v>
      </c>
      <c r="V1673" s="21">
        <v>35580</v>
      </c>
      <c r="W1673">
        <v>12</v>
      </c>
      <c r="X1673">
        <v>0</v>
      </c>
      <c r="Y1673">
        <v>0</v>
      </c>
      <c r="Z1673">
        <v>0</v>
      </c>
      <c r="AA1673">
        <v>10</v>
      </c>
    </row>
    <row r="1674" spans="1:27" ht="14.25" x14ac:dyDescent="0.2">
      <c r="A1674" s="12">
        <v>30841</v>
      </c>
      <c r="B1674" t="s">
        <v>126</v>
      </c>
      <c r="C1674" t="s">
        <v>121</v>
      </c>
      <c r="D1674" t="s">
        <v>121</v>
      </c>
      <c r="E1674" t="s">
        <v>121</v>
      </c>
      <c r="F1674" s="4" t="s">
        <v>2542</v>
      </c>
      <c r="H1674">
        <v>2</v>
      </c>
      <c r="I1674" s="1">
        <v>0</v>
      </c>
      <c r="J1674">
        <v>0</v>
      </c>
      <c r="K1674">
        <v>0</v>
      </c>
      <c r="L1674" s="20">
        <v>23760</v>
      </c>
      <c r="M1674">
        <v>1</v>
      </c>
      <c r="N1674">
        <v>0</v>
      </c>
      <c r="O1674">
        <v>0</v>
      </c>
      <c r="P1674">
        <v>0</v>
      </c>
      <c r="Q1674" s="22">
        <v>71160</v>
      </c>
      <c r="R1674">
        <v>3</v>
      </c>
      <c r="S1674" s="1">
        <v>0</v>
      </c>
      <c r="T1674">
        <v>0</v>
      </c>
      <c r="U1674">
        <v>0</v>
      </c>
      <c r="V1674" s="21">
        <v>35580</v>
      </c>
      <c r="W1674">
        <v>23</v>
      </c>
      <c r="X1674">
        <v>0</v>
      </c>
      <c r="Y1674">
        <v>0</v>
      </c>
      <c r="Z1674">
        <v>0</v>
      </c>
      <c r="AA1674">
        <v>1</v>
      </c>
    </row>
    <row r="1675" spans="1:27" ht="14.25" x14ac:dyDescent="0.2">
      <c r="A1675" s="12">
        <v>30842</v>
      </c>
      <c r="B1675" t="s">
        <v>131</v>
      </c>
      <c r="C1675" t="s">
        <v>125</v>
      </c>
      <c r="D1675" t="s">
        <v>121</v>
      </c>
      <c r="E1675" t="s">
        <v>136</v>
      </c>
      <c r="F1675" s="4" t="s">
        <v>2544</v>
      </c>
      <c r="H1675">
        <v>2</v>
      </c>
      <c r="I1675" s="1">
        <v>0</v>
      </c>
      <c r="J1675">
        <v>0</v>
      </c>
      <c r="K1675">
        <v>0</v>
      </c>
      <c r="L1675" s="20">
        <v>23760</v>
      </c>
      <c r="M1675">
        <v>1</v>
      </c>
      <c r="N1675">
        <v>0</v>
      </c>
      <c r="O1675">
        <v>0</v>
      </c>
      <c r="P1675">
        <v>0</v>
      </c>
      <c r="Q1675" s="22">
        <v>71160</v>
      </c>
      <c r="R1675">
        <v>3</v>
      </c>
      <c r="S1675" s="1">
        <v>0</v>
      </c>
      <c r="T1675">
        <v>0</v>
      </c>
      <c r="U1675">
        <v>0</v>
      </c>
      <c r="V1675" s="21">
        <v>35580</v>
      </c>
      <c r="W1675">
        <v>6</v>
      </c>
      <c r="X1675">
        <v>1</v>
      </c>
      <c r="Y1675">
        <v>0</v>
      </c>
      <c r="Z1675">
        <v>3</v>
      </c>
      <c r="AA1675">
        <v>10</v>
      </c>
    </row>
    <row r="1676" spans="1:27" ht="14.25" x14ac:dyDescent="0.2">
      <c r="A1676" s="12">
        <v>30843</v>
      </c>
      <c r="B1676" t="s">
        <v>180</v>
      </c>
      <c r="C1676" t="s">
        <v>121</v>
      </c>
      <c r="D1676" t="s">
        <v>121</v>
      </c>
      <c r="E1676" t="s">
        <v>121</v>
      </c>
      <c r="F1676" s="4" t="s">
        <v>2546</v>
      </c>
      <c r="H1676">
        <v>2</v>
      </c>
      <c r="I1676" s="1">
        <v>0</v>
      </c>
      <c r="J1676">
        <v>0</v>
      </c>
      <c r="K1676">
        <v>0</v>
      </c>
      <c r="L1676" s="20">
        <v>23760</v>
      </c>
      <c r="M1676">
        <v>1</v>
      </c>
      <c r="N1676">
        <v>0</v>
      </c>
      <c r="O1676">
        <v>0</v>
      </c>
      <c r="P1676">
        <v>0</v>
      </c>
      <c r="Q1676" s="22">
        <v>71280</v>
      </c>
      <c r="R1676">
        <v>3</v>
      </c>
      <c r="S1676" s="1">
        <v>0</v>
      </c>
      <c r="T1676">
        <v>0</v>
      </c>
      <c r="U1676">
        <v>0</v>
      </c>
      <c r="V1676" s="21">
        <v>35640</v>
      </c>
      <c r="W1676">
        <v>15</v>
      </c>
      <c r="X1676">
        <v>0</v>
      </c>
      <c r="Y1676">
        <v>0</v>
      </c>
      <c r="Z1676">
        <v>0</v>
      </c>
      <c r="AA1676">
        <v>1</v>
      </c>
    </row>
    <row r="1677" spans="1:27" ht="14.25" x14ac:dyDescent="0.2">
      <c r="A1677" s="12">
        <v>30844</v>
      </c>
      <c r="B1677" t="s">
        <v>178</v>
      </c>
      <c r="C1677" t="s">
        <v>121</v>
      </c>
      <c r="D1677" t="s">
        <v>121</v>
      </c>
      <c r="E1677" t="s">
        <v>121</v>
      </c>
      <c r="F1677" s="4" t="s">
        <v>2546</v>
      </c>
      <c r="H1677">
        <v>2</v>
      </c>
      <c r="I1677" s="1">
        <v>0</v>
      </c>
      <c r="J1677">
        <v>0</v>
      </c>
      <c r="K1677">
        <v>0</v>
      </c>
      <c r="L1677" s="20">
        <v>23760</v>
      </c>
      <c r="M1677">
        <v>1</v>
      </c>
      <c r="N1677">
        <v>0</v>
      </c>
      <c r="O1677">
        <v>0</v>
      </c>
      <c r="P1677">
        <v>0</v>
      </c>
      <c r="Q1677" s="22">
        <v>71280</v>
      </c>
      <c r="R1677">
        <v>3</v>
      </c>
      <c r="S1677" s="1">
        <v>0</v>
      </c>
      <c r="T1677">
        <v>0</v>
      </c>
      <c r="U1677">
        <v>0</v>
      </c>
      <c r="V1677" s="21">
        <v>35640</v>
      </c>
      <c r="W1677">
        <v>21</v>
      </c>
      <c r="X1677">
        <v>0</v>
      </c>
      <c r="Y1677">
        <v>0</v>
      </c>
      <c r="Z1677">
        <v>0</v>
      </c>
      <c r="AA1677">
        <v>1</v>
      </c>
    </row>
    <row r="1678" spans="1:27" ht="14.25" x14ac:dyDescent="0.2">
      <c r="A1678" s="12">
        <v>30845</v>
      </c>
      <c r="B1678" t="s">
        <v>130</v>
      </c>
      <c r="C1678" t="s">
        <v>121</v>
      </c>
      <c r="D1678" t="s">
        <v>121</v>
      </c>
      <c r="E1678" t="s">
        <v>121</v>
      </c>
      <c r="F1678" s="4" t="s">
        <v>2548</v>
      </c>
      <c r="H1678">
        <v>2</v>
      </c>
      <c r="I1678" s="1">
        <v>0</v>
      </c>
      <c r="J1678">
        <v>0</v>
      </c>
      <c r="K1678">
        <v>0</v>
      </c>
      <c r="L1678" s="20">
        <v>23760</v>
      </c>
      <c r="M1678">
        <v>1</v>
      </c>
      <c r="N1678">
        <v>0</v>
      </c>
      <c r="O1678">
        <v>0</v>
      </c>
      <c r="P1678">
        <v>0</v>
      </c>
      <c r="Q1678" s="22">
        <v>71280</v>
      </c>
      <c r="R1678">
        <v>3</v>
      </c>
      <c r="S1678" s="1">
        <v>0</v>
      </c>
      <c r="T1678">
        <v>0</v>
      </c>
      <c r="U1678">
        <v>0</v>
      </c>
      <c r="V1678" s="21">
        <v>35640</v>
      </c>
      <c r="W1678">
        <v>9</v>
      </c>
      <c r="X1678">
        <v>0</v>
      </c>
      <c r="Y1678">
        <v>0</v>
      </c>
      <c r="Z1678">
        <v>0</v>
      </c>
      <c r="AA1678">
        <v>10</v>
      </c>
    </row>
    <row r="1679" spans="1:27" ht="14.25" x14ac:dyDescent="0.2">
      <c r="A1679" s="12">
        <v>30846</v>
      </c>
      <c r="B1679" t="s">
        <v>181</v>
      </c>
      <c r="C1679" t="s">
        <v>121</v>
      </c>
      <c r="D1679" t="s">
        <v>121</v>
      </c>
      <c r="E1679" t="s">
        <v>121</v>
      </c>
      <c r="F1679" s="4" t="s">
        <v>2550</v>
      </c>
      <c r="H1679">
        <v>2</v>
      </c>
      <c r="I1679" s="1">
        <v>0</v>
      </c>
      <c r="J1679">
        <v>0</v>
      </c>
      <c r="K1679">
        <v>0</v>
      </c>
      <c r="L1679" s="20">
        <v>23800</v>
      </c>
      <c r="M1679">
        <v>1</v>
      </c>
      <c r="N1679">
        <v>0</v>
      </c>
      <c r="O1679">
        <v>0</v>
      </c>
      <c r="P1679">
        <v>0</v>
      </c>
      <c r="Q1679" s="22">
        <v>71280</v>
      </c>
      <c r="R1679">
        <v>3</v>
      </c>
      <c r="S1679" s="1">
        <v>0</v>
      </c>
      <c r="T1679">
        <v>0</v>
      </c>
      <c r="U1679">
        <v>0</v>
      </c>
      <c r="V1679" s="21">
        <v>35640</v>
      </c>
      <c r="W1679">
        <v>30</v>
      </c>
      <c r="X1679">
        <v>0</v>
      </c>
      <c r="Y1679">
        <v>0</v>
      </c>
      <c r="Z1679">
        <v>0</v>
      </c>
      <c r="AA1679">
        <v>10</v>
      </c>
    </row>
    <row r="1680" spans="1:27" ht="14.25" x14ac:dyDescent="0.2">
      <c r="A1680" s="12">
        <v>30847</v>
      </c>
      <c r="B1680" t="s">
        <v>122</v>
      </c>
      <c r="C1680" t="s">
        <v>121</v>
      </c>
      <c r="D1680" t="s">
        <v>121</v>
      </c>
      <c r="E1680" t="s">
        <v>121</v>
      </c>
      <c r="F1680" s="4" t="s">
        <v>2550</v>
      </c>
      <c r="H1680">
        <v>2</v>
      </c>
      <c r="I1680" s="1">
        <v>0</v>
      </c>
      <c r="J1680">
        <v>0</v>
      </c>
      <c r="K1680">
        <v>0</v>
      </c>
      <c r="L1680" s="20">
        <v>23800</v>
      </c>
      <c r="M1680">
        <v>1</v>
      </c>
      <c r="N1680">
        <v>0</v>
      </c>
      <c r="O1680">
        <v>0</v>
      </c>
      <c r="P1680">
        <v>0</v>
      </c>
      <c r="Q1680" s="22">
        <v>71280</v>
      </c>
      <c r="R1680">
        <v>3</v>
      </c>
      <c r="S1680" s="1">
        <v>0</v>
      </c>
      <c r="T1680">
        <v>0</v>
      </c>
      <c r="U1680">
        <v>0</v>
      </c>
      <c r="V1680" s="21">
        <v>35640</v>
      </c>
      <c r="W1680">
        <v>4</v>
      </c>
      <c r="X1680">
        <v>0</v>
      </c>
      <c r="Y1680">
        <v>0</v>
      </c>
      <c r="Z1680">
        <v>0</v>
      </c>
      <c r="AA1680">
        <v>10</v>
      </c>
    </row>
    <row r="1681" spans="1:27" ht="14.25" x14ac:dyDescent="0.2">
      <c r="A1681" s="12">
        <v>30848</v>
      </c>
      <c r="B1681" t="s">
        <v>178</v>
      </c>
      <c r="C1681" t="s">
        <v>121</v>
      </c>
      <c r="D1681" t="s">
        <v>121</v>
      </c>
      <c r="E1681" t="s">
        <v>121</v>
      </c>
      <c r="F1681" s="4" t="s">
        <v>2552</v>
      </c>
      <c r="H1681">
        <v>2</v>
      </c>
      <c r="I1681" s="1">
        <v>0</v>
      </c>
      <c r="J1681">
        <v>0</v>
      </c>
      <c r="K1681">
        <v>0</v>
      </c>
      <c r="L1681" s="20">
        <v>23800</v>
      </c>
      <c r="M1681">
        <v>1</v>
      </c>
      <c r="N1681">
        <v>0</v>
      </c>
      <c r="O1681">
        <v>0</v>
      </c>
      <c r="P1681">
        <v>0</v>
      </c>
      <c r="Q1681" s="22">
        <v>71400</v>
      </c>
      <c r="R1681">
        <v>3</v>
      </c>
      <c r="S1681" s="1">
        <v>0</v>
      </c>
      <c r="T1681">
        <v>0</v>
      </c>
      <c r="U1681">
        <v>0</v>
      </c>
      <c r="V1681" s="21">
        <v>35700</v>
      </c>
      <c r="W1681">
        <v>21</v>
      </c>
      <c r="X1681">
        <v>0</v>
      </c>
      <c r="Y1681">
        <v>0</v>
      </c>
      <c r="Z1681">
        <v>0</v>
      </c>
      <c r="AA1681">
        <v>1</v>
      </c>
    </row>
    <row r="1682" spans="1:27" ht="14.25" x14ac:dyDescent="0.2">
      <c r="A1682" s="12">
        <v>30849</v>
      </c>
      <c r="B1682" t="s">
        <v>130</v>
      </c>
      <c r="C1682" t="s">
        <v>121</v>
      </c>
      <c r="D1682" t="s">
        <v>121</v>
      </c>
      <c r="E1682" t="s">
        <v>121</v>
      </c>
      <c r="F1682" s="4" t="s">
        <v>2554</v>
      </c>
      <c r="H1682">
        <v>2</v>
      </c>
      <c r="I1682" s="1">
        <v>0</v>
      </c>
      <c r="J1682">
        <v>0</v>
      </c>
      <c r="K1682">
        <v>0</v>
      </c>
      <c r="L1682" s="20">
        <v>23800</v>
      </c>
      <c r="M1682">
        <v>1</v>
      </c>
      <c r="N1682">
        <v>0</v>
      </c>
      <c r="O1682">
        <v>0</v>
      </c>
      <c r="P1682">
        <v>0</v>
      </c>
      <c r="Q1682" s="22">
        <v>71400</v>
      </c>
      <c r="R1682">
        <v>3</v>
      </c>
      <c r="S1682" s="1">
        <v>0</v>
      </c>
      <c r="T1682">
        <v>0</v>
      </c>
      <c r="U1682">
        <v>0</v>
      </c>
      <c r="V1682" s="21">
        <v>35700</v>
      </c>
      <c r="W1682">
        <v>9</v>
      </c>
      <c r="X1682">
        <v>0</v>
      </c>
      <c r="Y1682">
        <v>0</v>
      </c>
      <c r="Z1682">
        <v>0</v>
      </c>
      <c r="AA1682">
        <v>10</v>
      </c>
    </row>
    <row r="1683" spans="1:27" ht="14.25" x14ac:dyDescent="0.2">
      <c r="A1683" s="12">
        <v>30850</v>
      </c>
      <c r="B1683" t="s">
        <v>123</v>
      </c>
      <c r="C1683" t="s">
        <v>121</v>
      </c>
      <c r="D1683" t="s">
        <v>121</v>
      </c>
      <c r="E1683" t="s">
        <v>121</v>
      </c>
      <c r="F1683" s="4" t="s">
        <v>2554</v>
      </c>
      <c r="H1683">
        <v>2</v>
      </c>
      <c r="I1683" s="1">
        <v>0</v>
      </c>
      <c r="J1683">
        <v>0</v>
      </c>
      <c r="K1683">
        <v>0</v>
      </c>
      <c r="L1683" s="20">
        <v>23800</v>
      </c>
      <c r="M1683">
        <v>1</v>
      </c>
      <c r="N1683">
        <v>0</v>
      </c>
      <c r="O1683">
        <v>0</v>
      </c>
      <c r="P1683">
        <v>0</v>
      </c>
      <c r="Q1683" s="22">
        <v>71400</v>
      </c>
      <c r="R1683">
        <v>3</v>
      </c>
      <c r="S1683" s="1">
        <v>0</v>
      </c>
      <c r="T1683">
        <v>0</v>
      </c>
      <c r="U1683">
        <v>0</v>
      </c>
      <c r="V1683" s="21">
        <v>35700</v>
      </c>
      <c r="W1683">
        <v>12</v>
      </c>
      <c r="X1683">
        <v>0</v>
      </c>
      <c r="Y1683">
        <v>0</v>
      </c>
      <c r="Z1683">
        <v>0</v>
      </c>
      <c r="AA1683">
        <v>10</v>
      </c>
    </row>
    <row r="1684" spans="1:27" ht="14.25" x14ac:dyDescent="0.2">
      <c r="A1684" s="12">
        <v>30901</v>
      </c>
      <c r="B1684" t="s">
        <v>126</v>
      </c>
      <c r="C1684" t="s">
        <v>121</v>
      </c>
      <c r="D1684" t="s">
        <v>121</v>
      </c>
      <c r="E1684" t="s">
        <v>121</v>
      </c>
      <c r="F1684" s="4" t="s">
        <v>2556</v>
      </c>
      <c r="H1684">
        <v>2</v>
      </c>
      <c r="I1684" s="1">
        <v>0</v>
      </c>
      <c r="J1684">
        <v>0</v>
      </c>
      <c r="K1684">
        <v>0</v>
      </c>
      <c r="L1684" s="20">
        <v>23840</v>
      </c>
      <c r="M1684">
        <v>1</v>
      </c>
      <c r="N1684">
        <v>0</v>
      </c>
      <c r="O1684">
        <v>0</v>
      </c>
      <c r="P1684">
        <v>0</v>
      </c>
      <c r="Q1684" s="22">
        <v>71400</v>
      </c>
      <c r="R1684">
        <v>3</v>
      </c>
      <c r="S1684" s="1">
        <v>0</v>
      </c>
      <c r="T1684">
        <v>0</v>
      </c>
      <c r="U1684">
        <v>0</v>
      </c>
      <c r="V1684" s="21">
        <v>35700</v>
      </c>
      <c r="W1684">
        <v>23</v>
      </c>
      <c r="X1684">
        <v>0</v>
      </c>
      <c r="Y1684">
        <v>0</v>
      </c>
      <c r="Z1684">
        <v>0</v>
      </c>
      <c r="AA1684">
        <v>1</v>
      </c>
    </row>
    <row r="1685" spans="1:27" ht="14.25" x14ac:dyDescent="0.2">
      <c r="A1685" s="12">
        <v>30902</v>
      </c>
      <c r="B1685" t="s">
        <v>131</v>
      </c>
      <c r="C1685" t="s">
        <v>125</v>
      </c>
      <c r="D1685" t="s">
        <v>121</v>
      </c>
      <c r="E1685" t="s">
        <v>136</v>
      </c>
      <c r="F1685" s="4" t="s">
        <v>2558</v>
      </c>
      <c r="H1685">
        <v>2</v>
      </c>
      <c r="I1685" s="1">
        <v>0</v>
      </c>
      <c r="J1685">
        <v>0</v>
      </c>
      <c r="K1685">
        <v>0</v>
      </c>
      <c r="L1685" s="20">
        <v>23840</v>
      </c>
      <c r="M1685">
        <v>1</v>
      </c>
      <c r="N1685">
        <v>0</v>
      </c>
      <c r="O1685">
        <v>0</v>
      </c>
      <c r="P1685">
        <v>0</v>
      </c>
      <c r="Q1685" s="22">
        <v>71400</v>
      </c>
      <c r="R1685">
        <v>3</v>
      </c>
      <c r="S1685" s="1">
        <v>0</v>
      </c>
      <c r="T1685">
        <v>0</v>
      </c>
      <c r="U1685">
        <v>0</v>
      </c>
      <c r="V1685" s="21">
        <v>35700</v>
      </c>
      <c r="W1685">
        <v>6</v>
      </c>
      <c r="X1685">
        <v>1</v>
      </c>
      <c r="Y1685">
        <v>0</v>
      </c>
      <c r="Z1685">
        <v>3</v>
      </c>
      <c r="AA1685">
        <v>10</v>
      </c>
    </row>
    <row r="1686" spans="1:27" ht="14.25" x14ac:dyDescent="0.2">
      <c r="A1686" s="12">
        <v>30903</v>
      </c>
      <c r="B1686" t="s">
        <v>180</v>
      </c>
      <c r="C1686" t="s">
        <v>121</v>
      </c>
      <c r="D1686" t="s">
        <v>121</v>
      </c>
      <c r="E1686" t="s">
        <v>121</v>
      </c>
      <c r="F1686" s="4" t="s">
        <v>2560</v>
      </c>
      <c r="H1686">
        <v>2</v>
      </c>
      <c r="I1686" s="1">
        <v>0</v>
      </c>
      <c r="J1686">
        <v>0</v>
      </c>
      <c r="K1686">
        <v>0</v>
      </c>
      <c r="L1686" s="20">
        <v>23840</v>
      </c>
      <c r="M1686">
        <v>1</v>
      </c>
      <c r="N1686">
        <v>0</v>
      </c>
      <c r="O1686">
        <v>0</v>
      </c>
      <c r="P1686">
        <v>0</v>
      </c>
      <c r="Q1686" s="22">
        <v>71520</v>
      </c>
      <c r="R1686">
        <v>3</v>
      </c>
      <c r="S1686" s="1">
        <v>0</v>
      </c>
      <c r="T1686">
        <v>0</v>
      </c>
      <c r="U1686">
        <v>0</v>
      </c>
      <c r="V1686" s="21">
        <v>35760</v>
      </c>
      <c r="W1686">
        <v>15</v>
      </c>
      <c r="X1686">
        <v>0</v>
      </c>
      <c r="Y1686">
        <v>0</v>
      </c>
      <c r="Z1686">
        <v>0</v>
      </c>
      <c r="AA1686">
        <v>1</v>
      </c>
    </row>
    <row r="1687" spans="1:27" ht="14.25" x14ac:dyDescent="0.2">
      <c r="A1687" s="12">
        <v>30904</v>
      </c>
      <c r="B1687" t="s">
        <v>178</v>
      </c>
      <c r="C1687" t="s">
        <v>121</v>
      </c>
      <c r="D1687" t="s">
        <v>121</v>
      </c>
      <c r="E1687" t="s">
        <v>121</v>
      </c>
      <c r="F1687" s="4" t="s">
        <v>2560</v>
      </c>
      <c r="H1687">
        <v>2</v>
      </c>
      <c r="I1687" s="1">
        <v>0</v>
      </c>
      <c r="J1687">
        <v>0</v>
      </c>
      <c r="K1687">
        <v>0</v>
      </c>
      <c r="L1687" s="20">
        <v>23840</v>
      </c>
      <c r="M1687">
        <v>1</v>
      </c>
      <c r="N1687">
        <v>0</v>
      </c>
      <c r="O1687">
        <v>0</v>
      </c>
      <c r="P1687">
        <v>0</v>
      </c>
      <c r="Q1687" s="22">
        <v>71520</v>
      </c>
      <c r="R1687">
        <v>3</v>
      </c>
      <c r="S1687" s="1">
        <v>0</v>
      </c>
      <c r="T1687">
        <v>0</v>
      </c>
      <c r="U1687">
        <v>0</v>
      </c>
      <c r="V1687" s="21">
        <v>35760</v>
      </c>
      <c r="W1687">
        <v>21</v>
      </c>
      <c r="X1687">
        <v>0</v>
      </c>
      <c r="Y1687">
        <v>0</v>
      </c>
      <c r="Z1687">
        <v>0</v>
      </c>
      <c r="AA1687">
        <v>1</v>
      </c>
    </row>
    <row r="1688" spans="1:27" ht="14.25" x14ac:dyDescent="0.2">
      <c r="A1688" s="12">
        <v>30905</v>
      </c>
      <c r="B1688" t="s">
        <v>130</v>
      </c>
      <c r="C1688" t="s">
        <v>121</v>
      </c>
      <c r="D1688" t="s">
        <v>121</v>
      </c>
      <c r="E1688" t="s">
        <v>121</v>
      </c>
      <c r="F1688" s="4" t="s">
        <v>2562</v>
      </c>
      <c r="H1688">
        <v>2</v>
      </c>
      <c r="I1688" s="1">
        <v>0</v>
      </c>
      <c r="J1688">
        <v>0</v>
      </c>
      <c r="K1688">
        <v>0</v>
      </c>
      <c r="L1688" s="20">
        <v>23840</v>
      </c>
      <c r="M1688">
        <v>1</v>
      </c>
      <c r="N1688">
        <v>0</v>
      </c>
      <c r="O1688">
        <v>0</v>
      </c>
      <c r="P1688">
        <v>0</v>
      </c>
      <c r="Q1688" s="22">
        <v>71520</v>
      </c>
      <c r="R1688">
        <v>3</v>
      </c>
      <c r="S1688" s="1">
        <v>0</v>
      </c>
      <c r="T1688">
        <v>0</v>
      </c>
      <c r="U1688">
        <v>0</v>
      </c>
      <c r="V1688" s="21">
        <v>35760</v>
      </c>
      <c r="W1688">
        <v>9</v>
      </c>
      <c r="X1688">
        <v>0</v>
      </c>
      <c r="Y1688">
        <v>0</v>
      </c>
      <c r="Z1688">
        <v>0</v>
      </c>
      <c r="AA1688">
        <v>10</v>
      </c>
    </row>
    <row r="1689" spans="1:27" ht="14.25" x14ac:dyDescent="0.2">
      <c r="A1689" s="12">
        <v>30906</v>
      </c>
      <c r="B1689" t="s">
        <v>181</v>
      </c>
      <c r="C1689" t="s">
        <v>121</v>
      </c>
      <c r="D1689" t="s">
        <v>121</v>
      </c>
      <c r="E1689" t="s">
        <v>121</v>
      </c>
      <c r="F1689" s="4" t="s">
        <v>2564</v>
      </c>
      <c r="H1689">
        <v>2</v>
      </c>
      <c r="I1689" s="1">
        <v>0</v>
      </c>
      <c r="J1689">
        <v>0</v>
      </c>
      <c r="K1689">
        <v>0</v>
      </c>
      <c r="L1689" s="20">
        <v>23880</v>
      </c>
      <c r="M1689">
        <v>1</v>
      </c>
      <c r="N1689">
        <v>0</v>
      </c>
      <c r="O1689">
        <v>0</v>
      </c>
      <c r="P1689">
        <v>0</v>
      </c>
      <c r="Q1689" s="22">
        <v>71520</v>
      </c>
      <c r="R1689">
        <v>3</v>
      </c>
      <c r="S1689" s="1">
        <v>0</v>
      </c>
      <c r="T1689">
        <v>0</v>
      </c>
      <c r="U1689">
        <v>0</v>
      </c>
      <c r="V1689" s="21">
        <v>35760</v>
      </c>
      <c r="W1689">
        <v>30</v>
      </c>
      <c r="X1689">
        <v>0</v>
      </c>
      <c r="Y1689">
        <v>0</v>
      </c>
      <c r="Z1689">
        <v>0</v>
      </c>
      <c r="AA1689">
        <v>10</v>
      </c>
    </row>
    <row r="1690" spans="1:27" ht="14.25" x14ac:dyDescent="0.2">
      <c r="A1690" s="12">
        <v>30907</v>
      </c>
      <c r="B1690" t="s">
        <v>122</v>
      </c>
      <c r="C1690" t="s">
        <v>121</v>
      </c>
      <c r="D1690" t="s">
        <v>121</v>
      </c>
      <c r="E1690" t="s">
        <v>121</v>
      </c>
      <c r="F1690" s="4" t="s">
        <v>2564</v>
      </c>
      <c r="H1690">
        <v>2</v>
      </c>
      <c r="I1690" s="1">
        <v>0</v>
      </c>
      <c r="J1690">
        <v>0</v>
      </c>
      <c r="K1690">
        <v>0</v>
      </c>
      <c r="L1690" s="20">
        <v>23880</v>
      </c>
      <c r="M1690">
        <v>1</v>
      </c>
      <c r="N1690">
        <v>0</v>
      </c>
      <c r="O1690">
        <v>0</v>
      </c>
      <c r="P1690">
        <v>0</v>
      </c>
      <c r="Q1690" s="22">
        <v>71520</v>
      </c>
      <c r="R1690">
        <v>3</v>
      </c>
      <c r="S1690" s="1">
        <v>0</v>
      </c>
      <c r="T1690">
        <v>0</v>
      </c>
      <c r="U1690">
        <v>0</v>
      </c>
      <c r="V1690" s="21">
        <v>35760</v>
      </c>
      <c r="W1690">
        <v>4</v>
      </c>
      <c r="X1690">
        <v>0</v>
      </c>
      <c r="Y1690">
        <v>0</v>
      </c>
      <c r="Z1690">
        <v>0</v>
      </c>
      <c r="AA1690">
        <v>10</v>
      </c>
    </row>
    <row r="1691" spans="1:27" ht="14.25" x14ac:dyDescent="0.2">
      <c r="A1691" s="12">
        <v>30908</v>
      </c>
      <c r="B1691" t="s">
        <v>178</v>
      </c>
      <c r="C1691" t="s">
        <v>121</v>
      </c>
      <c r="D1691" t="s">
        <v>121</v>
      </c>
      <c r="E1691" t="s">
        <v>121</v>
      </c>
      <c r="F1691" s="4" t="s">
        <v>2566</v>
      </c>
      <c r="H1691">
        <v>2</v>
      </c>
      <c r="I1691" s="1">
        <v>0</v>
      </c>
      <c r="J1691">
        <v>0</v>
      </c>
      <c r="K1691">
        <v>0</v>
      </c>
      <c r="L1691" s="20">
        <v>23880</v>
      </c>
      <c r="M1691">
        <v>1</v>
      </c>
      <c r="N1691">
        <v>0</v>
      </c>
      <c r="O1691">
        <v>0</v>
      </c>
      <c r="P1691">
        <v>0</v>
      </c>
      <c r="Q1691" s="22">
        <v>71640</v>
      </c>
      <c r="R1691">
        <v>3</v>
      </c>
      <c r="S1691" s="1">
        <v>0</v>
      </c>
      <c r="T1691">
        <v>0</v>
      </c>
      <c r="U1691">
        <v>0</v>
      </c>
      <c r="V1691" s="21">
        <v>35820</v>
      </c>
      <c r="W1691">
        <v>21</v>
      </c>
      <c r="X1691">
        <v>0</v>
      </c>
      <c r="Y1691">
        <v>0</v>
      </c>
      <c r="Z1691">
        <v>0</v>
      </c>
      <c r="AA1691">
        <v>1</v>
      </c>
    </row>
    <row r="1692" spans="1:27" ht="14.25" x14ac:dyDescent="0.2">
      <c r="A1692" s="12">
        <v>30909</v>
      </c>
      <c r="B1692" t="s">
        <v>130</v>
      </c>
      <c r="C1692" t="s">
        <v>121</v>
      </c>
      <c r="D1692" t="s">
        <v>121</v>
      </c>
      <c r="E1692" t="s">
        <v>121</v>
      </c>
      <c r="F1692" s="4" t="s">
        <v>2568</v>
      </c>
      <c r="H1692">
        <v>2</v>
      </c>
      <c r="I1692" s="1">
        <v>0</v>
      </c>
      <c r="J1692">
        <v>0</v>
      </c>
      <c r="K1692">
        <v>0</v>
      </c>
      <c r="L1692" s="20">
        <v>23880</v>
      </c>
      <c r="M1692">
        <v>1</v>
      </c>
      <c r="N1692">
        <v>0</v>
      </c>
      <c r="O1692">
        <v>0</v>
      </c>
      <c r="P1692">
        <v>0</v>
      </c>
      <c r="Q1692" s="22">
        <v>71640</v>
      </c>
      <c r="R1692">
        <v>3</v>
      </c>
      <c r="S1692" s="1">
        <v>0</v>
      </c>
      <c r="T1692">
        <v>0</v>
      </c>
      <c r="U1692">
        <v>0</v>
      </c>
      <c r="V1692" s="21">
        <v>35820</v>
      </c>
      <c r="W1692">
        <v>9</v>
      </c>
      <c r="X1692">
        <v>0</v>
      </c>
      <c r="Y1692">
        <v>0</v>
      </c>
      <c r="Z1692">
        <v>0</v>
      </c>
      <c r="AA1692">
        <v>10</v>
      </c>
    </row>
    <row r="1693" spans="1:27" ht="14.25" x14ac:dyDescent="0.2">
      <c r="A1693" s="12">
        <v>30910</v>
      </c>
      <c r="B1693" t="s">
        <v>123</v>
      </c>
      <c r="C1693" t="s">
        <v>121</v>
      </c>
      <c r="D1693" t="s">
        <v>121</v>
      </c>
      <c r="E1693" t="s">
        <v>121</v>
      </c>
      <c r="F1693" s="4" t="s">
        <v>2568</v>
      </c>
      <c r="H1693">
        <v>2</v>
      </c>
      <c r="I1693" s="1">
        <v>0</v>
      </c>
      <c r="J1693">
        <v>0</v>
      </c>
      <c r="K1693">
        <v>0</v>
      </c>
      <c r="L1693" s="20">
        <v>23880</v>
      </c>
      <c r="M1693">
        <v>1</v>
      </c>
      <c r="N1693">
        <v>0</v>
      </c>
      <c r="O1693">
        <v>0</v>
      </c>
      <c r="P1693">
        <v>0</v>
      </c>
      <c r="Q1693" s="22">
        <v>71640</v>
      </c>
      <c r="R1693">
        <v>3</v>
      </c>
      <c r="S1693" s="1">
        <v>0</v>
      </c>
      <c r="T1693">
        <v>0</v>
      </c>
      <c r="U1693">
        <v>0</v>
      </c>
      <c r="V1693" s="21">
        <v>35820</v>
      </c>
      <c r="W1693">
        <v>12</v>
      </c>
      <c r="X1693">
        <v>0</v>
      </c>
      <c r="Y1693">
        <v>0</v>
      </c>
      <c r="Z1693">
        <v>0</v>
      </c>
      <c r="AA1693">
        <v>10</v>
      </c>
    </row>
    <row r="1694" spans="1:27" ht="14.25" x14ac:dyDescent="0.2">
      <c r="A1694" s="12">
        <v>30911</v>
      </c>
      <c r="B1694" t="s">
        <v>126</v>
      </c>
      <c r="C1694" t="s">
        <v>121</v>
      </c>
      <c r="D1694" t="s">
        <v>121</v>
      </c>
      <c r="E1694" t="s">
        <v>121</v>
      </c>
      <c r="F1694" s="4" t="s">
        <v>2570</v>
      </c>
      <c r="H1694">
        <v>2</v>
      </c>
      <c r="I1694" s="1">
        <v>0</v>
      </c>
      <c r="J1694">
        <v>0</v>
      </c>
      <c r="K1694">
        <v>0</v>
      </c>
      <c r="L1694" s="20">
        <v>23920</v>
      </c>
      <c r="M1694">
        <v>1</v>
      </c>
      <c r="N1694">
        <v>0</v>
      </c>
      <c r="O1694">
        <v>0</v>
      </c>
      <c r="P1694">
        <v>0</v>
      </c>
      <c r="Q1694" s="22">
        <v>71640</v>
      </c>
      <c r="R1694">
        <v>3</v>
      </c>
      <c r="S1694" s="1">
        <v>0</v>
      </c>
      <c r="T1694">
        <v>0</v>
      </c>
      <c r="U1694">
        <v>0</v>
      </c>
      <c r="V1694" s="21">
        <v>35820</v>
      </c>
      <c r="W1694">
        <v>23</v>
      </c>
      <c r="X1694">
        <v>0</v>
      </c>
      <c r="Y1694">
        <v>0</v>
      </c>
      <c r="Z1694">
        <v>0</v>
      </c>
      <c r="AA1694">
        <v>1</v>
      </c>
    </row>
    <row r="1695" spans="1:27" ht="14.25" x14ac:dyDescent="0.2">
      <c r="A1695" s="12">
        <v>30912</v>
      </c>
      <c r="B1695" t="s">
        <v>131</v>
      </c>
      <c r="C1695" t="s">
        <v>125</v>
      </c>
      <c r="D1695" t="s">
        <v>121</v>
      </c>
      <c r="E1695" t="s">
        <v>136</v>
      </c>
      <c r="F1695" s="4" t="s">
        <v>2572</v>
      </c>
      <c r="H1695">
        <v>2</v>
      </c>
      <c r="I1695" s="1">
        <v>0</v>
      </c>
      <c r="J1695">
        <v>0</v>
      </c>
      <c r="K1695">
        <v>0</v>
      </c>
      <c r="L1695" s="20">
        <v>23920</v>
      </c>
      <c r="M1695">
        <v>1</v>
      </c>
      <c r="N1695">
        <v>0</v>
      </c>
      <c r="O1695">
        <v>0</v>
      </c>
      <c r="P1695">
        <v>0</v>
      </c>
      <c r="Q1695" s="22">
        <v>71640</v>
      </c>
      <c r="R1695">
        <v>3</v>
      </c>
      <c r="S1695" s="1">
        <v>0</v>
      </c>
      <c r="T1695">
        <v>0</v>
      </c>
      <c r="U1695">
        <v>0</v>
      </c>
      <c r="V1695" s="21">
        <v>35820</v>
      </c>
      <c r="W1695">
        <v>6</v>
      </c>
      <c r="X1695">
        <v>1</v>
      </c>
      <c r="Y1695">
        <v>0</v>
      </c>
      <c r="Z1695">
        <v>3</v>
      </c>
      <c r="AA1695">
        <v>10</v>
      </c>
    </row>
    <row r="1696" spans="1:27" ht="14.25" x14ac:dyDescent="0.2">
      <c r="A1696" s="12">
        <v>30913</v>
      </c>
      <c r="B1696" t="s">
        <v>180</v>
      </c>
      <c r="C1696" t="s">
        <v>121</v>
      </c>
      <c r="D1696" t="s">
        <v>121</v>
      </c>
      <c r="E1696" t="s">
        <v>121</v>
      </c>
      <c r="F1696" s="4" t="s">
        <v>2574</v>
      </c>
      <c r="H1696">
        <v>2</v>
      </c>
      <c r="I1696" s="1">
        <v>0</v>
      </c>
      <c r="J1696">
        <v>0</v>
      </c>
      <c r="K1696">
        <v>0</v>
      </c>
      <c r="L1696" s="20">
        <v>23920</v>
      </c>
      <c r="M1696">
        <v>1</v>
      </c>
      <c r="N1696">
        <v>0</v>
      </c>
      <c r="O1696">
        <v>0</v>
      </c>
      <c r="P1696">
        <v>0</v>
      </c>
      <c r="Q1696" s="22">
        <v>71760</v>
      </c>
      <c r="R1696">
        <v>3</v>
      </c>
      <c r="S1696" s="1">
        <v>0</v>
      </c>
      <c r="T1696">
        <v>0</v>
      </c>
      <c r="U1696">
        <v>0</v>
      </c>
      <c r="V1696" s="21">
        <v>35880</v>
      </c>
      <c r="W1696">
        <v>15</v>
      </c>
      <c r="X1696">
        <v>0</v>
      </c>
      <c r="Y1696">
        <v>0</v>
      </c>
      <c r="Z1696">
        <v>0</v>
      </c>
      <c r="AA1696">
        <v>1</v>
      </c>
    </row>
    <row r="1697" spans="1:27" ht="14.25" x14ac:dyDescent="0.2">
      <c r="A1697" s="12">
        <v>30914</v>
      </c>
      <c r="B1697" t="s">
        <v>178</v>
      </c>
      <c r="C1697" t="s">
        <v>121</v>
      </c>
      <c r="D1697" t="s">
        <v>121</v>
      </c>
      <c r="E1697" t="s">
        <v>121</v>
      </c>
      <c r="F1697" s="4" t="s">
        <v>2574</v>
      </c>
      <c r="H1697">
        <v>2</v>
      </c>
      <c r="I1697" s="1">
        <v>0</v>
      </c>
      <c r="J1697">
        <v>0</v>
      </c>
      <c r="K1697">
        <v>0</v>
      </c>
      <c r="L1697" s="20">
        <v>23920</v>
      </c>
      <c r="M1697">
        <v>1</v>
      </c>
      <c r="N1697">
        <v>0</v>
      </c>
      <c r="O1697">
        <v>0</v>
      </c>
      <c r="P1697">
        <v>0</v>
      </c>
      <c r="Q1697" s="22">
        <v>71760</v>
      </c>
      <c r="R1697">
        <v>3</v>
      </c>
      <c r="S1697" s="1">
        <v>0</v>
      </c>
      <c r="T1697">
        <v>0</v>
      </c>
      <c r="U1697">
        <v>0</v>
      </c>
      <c r="V1697" s="21">
        <v>35880</v>
      </c>
      <c r="W1697">
        <v>21</v>
      </c>
      <c r="X1697">
        <v>0</v>
      </c>
      <c r="Y1697">
        <v>0</v>
      </c>
      <c r="Z1697">
        <v>0</v>
      </c>
      <c r="AA1697">
        <v>1</v>
      </c>
    </row>
    <row r="1698" spans="1:27" ht="14.25" x14ac:dyDescent="0.2">
      <c r="A1698" s="12">
        <v>30915</v>
      </c>
      <c r="B1698" t="s">
        <v>130</v>
      </c>
      <c r="C1698" t="s">
        <v>121</v>
      </c>
      <c r="D1698" t="s">
        <v>121</v>
      </c>
      <c r="E1698" t="s">
        <v>121</v>
      </c>
      <c r="F1698" s="4" t="s">
        <v>2576</v>
      </c>
      <c r="H1698">
        <v>2</v>
      </c>
      <c r="I1698" s="1">
        <v>0</v>
      </c>
      <c r="J1698">
        <v>0</v>
      </c>
      <c r="K1698">
        <v>0</v>
      </c>
      <c r="L1698" s="20">
        <v>23920</v>
      </c>
      <c r="M1698">
        <v>1</v>
      </c>
      <c r="N1698">
        <v>0</v>
      </c>
      <c r="O1698">
        <v>0</v>
      </c>
      <c r="P1698">
        <v>0</v>
      </c>
      <c r="Q1698" s="22">
        <v>71760</v>
      </c>
      <c r="R1698">
        <v>3</v>
      </c>
      <c r="S1698" s="1">
        <v>0</v>
      </c>
      <c r="T1698">
        <v>0</v>
      </c>
      <c r="U1698">
        <v>0</v>
      </c>
      <c r="V1698" s="21">
        <v>35880</v>
      </c>
      <c r="W1698">
        <v>9</v>
      </c>
      <c r="X1698">
        <v>0</v>
      </c>
      <c r="Y1698">
        <v>0</v>
      </c>
      <c r="Z1698">
        <v>0</v>
      </c>
      <c r="AA1698">
        <v>10</v>
      </c>
    </row>
    <row r="1699" spans="1:27" ht="14.25" x14ac:dyDescent="0.2">
      <c r="A1699" s="12">
        <v>30916</v>
      </c>
      <c r="B1699" t="s">
        <v>181</v>
      </c>
      <c r="C1699" t="s">
        <v>121</v>
      </c>
      <c r="D1699" t="s">
        <v>121</v>
      </c>
      <c r="E1699" t="s">
        <v>121</v>
      </c>
      <c r="F1699" s="4" t="s">
        <v>2578</v>
      </c>
      <c r="H1699">
        <v>2</v>
      </c>
      <c r="I1699" s="1">
        <v>0</v>
      </c>
      <c r="J1699">
        <v>0</v>
      </c>
      <c r="K1699">
        <v>0</v>
      </c>
      <c r="L1699" s="20">
        <v>23960</v>
      </c>
      <c r="M1699">
        <v>1</v>
      </c>
      <c r="N1699">
        <v>0</v>
      </c>
      <c r="O1699">
        <v>0</v>
      </c>
      <c r="P1699">
        <v>0</v>
      </c>
      <c r="Q1699" s="22">
        <v>71760</v>
      </c>
      <c r="R1699">
        <v>3</v>
      </c>
      <c r="S1699" s="1">
        <v>0</v>
      </c>
      <c r="T1699">
        <v>0</v>
      </c>
      <c r="U1699">
        <v>0</v>
      </c>
      <c r="V1699" s="21">
        <v>35880</v>
      </c>
      <c r="W1699">
        <v>30</v>
      </c>
      <c r="X1699">
        <v>0</v>
      </c>
      <c r="Y1699">
        <v>0</v>
      </c>
      <c r="Z1699">
        <v>0</v>
      </c>
      <c r="AA1699">
        <v>10</v>
      </c>
    </row>
    <row r="1700" spans="1:27" ht="14.25" x14ac:dyDescent="0.2">
      <c r="A1700" s="12">
        <v>30917</v>
      </c>
      <c r="B1700" t="s">
        <v>122</v>
      </c>
      <c r="C1700" t="s">
        <v>121</v>
      </c>
      <c r="D1700" t="s">
        <v>121</v>
      </c>
      <c r="E1700" t="s">
        <v>121</v>
      </c>
      <c r="F1700" s="4" t="s">
        <v>2578</v>
      </c>
      <c r="H1700">
        <v>2</v>
      </c>
      <c r="I1700" s="1">
        <v>0</v>
      </c>
      <c r="J1700">
        <v>0</v>
      </c>
      <c r="K1700">
        <v>0</v>
      </c>
      <c r="L1700" s="20">
        <v>23960</v>
      </c>
      <c r="M1700">
        <v>1</v>
      </c>
      <c r="N1700">
        <v>0</v>
      </c>
      <c r="O1700">
        <v>0</v>
      </c>
      <c r="P1700">
        <v>0</v>
      </c>
      <c r="Q1700" s="22">
        <v>71760</v>
      </c>
      <c r="R1700">
        <v>3</v>
      </c>
      <c r="S1700" s="1">
        <v>0</v>
      </c>
      <c r="T1700">
        <v>0</v>
      </c>
      <c r="U1700">
        <v>0</v>
      </c>
      <c r="V1700" s="21">
        <v>35880</v>
      </c>
      <c r="W1700">
        <v>4</v>
      </c>
      <c r="X1700">
        <v>0</v>
      </c>
      <c r="Y1700">
        <v>0</v>
      </c>
      <c r="Z1700">
        <v>0</v>
      </c>
      <c r="AA1700">
        <v>10</v>
      </c>
    </row>
    <row r="1701" spans="1:27" ht="14.25" x14ac:dyDescent="0.2">
      <c r="A1701" s="12">
        <v>30918</v>
      </c>
      <c r="B1701" t="s">
        <v>178</v>
      </c>
      <c r="C1701" t="s">
        <v>121</v>
      </c>
      <c r="D1701" t="s">
        <v>121</v>
      </c>
      <c r="E1701" t="s">
        <v>121</v>
      </c>
      <c r="F1701" s="4" t="s">
        <v>2580</v>
      </c>
      <c r="H1701">
        <v>2</v>
      </c>
      <c r="I1701" s="1">
        <v>0</v>
      </c>
      <c r="J1701">
        <v>0</v>
      </c>
      <c r="K1701">
        <v>0</v>
      </c>
      <c r="L1701" s="20">
        <v>23960</v>
      </c>
      <c r="M1701">
        <v>1</v>
      </c>
      <c r="N1701">
        <v>0</v>
      </c>
      <c r="O1701">
        <v>0</v>
      </c>
      <c r="P1701">
        <v>0</v>
      </c>
      <c r="Q1701" s="22">
        <v>71880</v>
      </c>
      <c r="R1701">
        <v>3</v>
      </c>
      <c r="S1701" s="1">
        <v>0</v>
      </c>
      <c r="T1701">
        <v>0</v>
      </c>
      <c r="U1701">
        <v>0</v>
      </c>
      <c r="V1701" s="21">
        <v>35940</v>
      </c>
      <c r="W1701">
        <v>21</v>
      </c>
      <c r="X1701">
        <v>0</v>
      </c>
      <c r="Y1701">
        <v>0</v>
      </c>
      <c r="Z1701">
        <v>0</v>
      </c>
      <c r="AA1701">
        <v>1</v>
      </c>
    </row>
    <row r="1702" spans="1:27" ht="14.25" x14ac:dyDescent="0.2">
      <c r="A1702" s="12">
        <v>30919</v>
      </c>
      <c r="B1702" t="s">
        <v>130</v>
      </c>
      <c r="C1702" t="s">
        <v>121</v>
      </c>
      <c r="D1702" t="s">
        <v>121</v>
      </c>
      <c r="E1702" t="s">
        <v>121</v>
      </c>
      <c r="F1702" s="4" t="s">
        <v>2582</v>
      </c>
      <c r="H1702">
        <v>2</v>
      </c>
      <c r="I1702" s="1">
        <v>0</v>
      </c>
      <c r="J1702">
        <v>0</v>
      </c>
      <c r="K1702">
        <v>0</v>
      </c>
      <c r="L1702" s="20">
        <v>23960</v>
      </c>
      <c r="M1702">
        <v>1</v>
      </c>
      <c r="N1702">
        <v>0</v>
      </c>
      <c r="O1702">
        <v>0</v>
      </c>
      <c r="P1702">
        <v>0</v>
      </c>
      <c r="Q1702" s="22">
        <v>71880</v>
      </c>
      <c r="R1702">
        <v>3</v>
      </c>
      <c r="S1702" s="1">
        <v>0</v>
      </c>
      <c r="T1702">
        <v>0</v>
      </c>
      <c r="U1702">
        <v>0</v>
      </c>
      <c r="V1702" s="21">
        <v>35940</v>
      </c>
      <c r="W1702">
        <v>9</v>
      </c>
      <c r="X1702">
        <v>0</v>
      </c>
      <c r="Y1702">
        <v>0</v>
      </c>
      <c r="Z1702">
        <v>0</v>
      </c>
      <c r="AA1702">
        <v>10</v>
      </c>
    </row>
    <row r="1703" spans="1:27" ht="14.25" x14ac:dyDescent="0.2">
      <c r="A1703" s="12">
        <v>30920</v>
      </c>
      <c r="B1703" t="s">
        <v>123</v>
      </c>
      <c r="C1703" t="s">
        <v>121</v>
      </c>
      <c r="D1703" t="s">
        <v>121</v>
      </c>
      <c r="E1703" t="s">
        <v>121</v>
      </c>
      <c r="F1703" s="4" t="s">
        <v>2582</v>
      </c>
      <c r="H1703">
        <v>2</v>
      </c>
      <c r="I1703" s="1">
        <v>0</v>
      </c>
      <c r="J1703">
        <v>0</v>
      </c>
      <c r="K1703">
        <v>0</v>
      </c>
      <c r="L1703" s="20">
        <v>23960</v>
      </c>
      <c r="M1703">
        <v>1</v>
      </c>
      <c r="N1703">
        <v>0</v>
      </c>
      <c r="O1703">
        <v>0</v>
      </c>
      <c r="P1703">
        <v>0</v>
      </c>
      <c r="Q1703" s="22">
        <v>71880</v>
      </c>
      <c r="R1703">
        <v>3</v>
      </c>
      <c r="S1703" s="1">
        <v>0</v>
      </c>
      <c r="T1703">
        <v>0</v>
      </c>
      <c r="U1703">
        <v>0</v>
      </c>
      <c r="V1703" s="21">
        <v>35940</v>
      </c>
      <c r="W1703">
        <v>12</v>
      </c>
      <c r="X1703">
        <v>0</v>
      </c>
      <c r="Y1703">
        <v>0</v>
      </c>
      <c r="Z1703">
        <v>0</v>
      </c>
      <c r="AA1703">
        <v>10</v>
      </c>
    </row>
    <row r="1704" spans="1:27" ht="14.25" x14ac:dyDescent="0.2">
      <c r="A1704" s="12">
        <v>30921</v>
      </c>
      <c r="B1704" t="s">
        <v>126</v>
      </c>
      <c r="C1704" t="s">
        <v>121</v>
      </c>
      <c r="D1704" t="s">
        <v>121</v>
      </c>
      <c r="E1704" t="s">
        <v>121</v>
      </c>
      <c r="F1704" s="4" t="s">
        <v>2584</v>
      </c>
      <c r="H1704">
        <v>2</v>
      </c>
      <c r="I1704" s="1">
        <v>0</v>
      </c>
      <c r="J1704">
        <v>0</v>
      </c>
      <c r="K1704">
        <v>0</v>
      </c>
      <c r="L1704" s="20">
        <v>24000</v>
      </c>
      <c r="M1704">
        <v>1</v>
      </c>
      <c r="N1704">
        <v>0</v>
      </c>
      <c r="O1704">
        <v>0</v>
      </c>
      <c r="P1704">
        <v>0</v>
      </c>
      <c r="Q1704" s="22">
        <v>71880</v>
      </c>
      <c r="R1704">
        <v>3</v>
      </c>
      <c r="S1704" s="1">
        <v>0</v>
      </c>
      <c r="T1704">
        <v>0</v>
      </c>
      <c r="U1704">
        <v>0</v>
      </c>
      <c r="V1704" s="21">
        <v>35940</v>
      </c>
      <c r="W1704">
        <v>23</v>
      </c>
      <c r="X1704">
        <v>0</v>
      </c>
      <c r="Y1704">
        <v>0</v>
      </c>
      <c r="Z1704">
        <v>0</v>
      </c>
      <c r="AA1704">
        <v>1</v>
      </c>
    </row>
    <row r="1705" spans="1:27" ht="14.25" x14ac:dyDescent="0.2">
      <c r="A1705" s="12">
        <v>30922</v>
      </c>
      <c r="B1705" t="s">
        <v>131</v>
      </c>
      <c r="C1705" t="s">
        <v>125</v>
      </c>
      <c r="D1705" t="s">
        <v>121</v>
      </c>
      <c r="E1705" t="s">
        <v>136</v>
      </c>
      <c r="F1705" s="4" t="s">
        <v>2586</v>
      </c>
      <c r="H1705">
        <v>2</v>
      </c>
      <c r="I1705" s="1">
        <v>0</v>
      </c>
      <c r="J1705">
        <v>0</v>
      </c>
      <c r="K1705">
        <v>0</v>
      </c>
      <c r="L1705" s="20">
        <v>24000</v>
      </c>
      <c r="M1705">
        <v>1</v>
      </c>
      <c r="N1705">
        <v>0</v>
      </c>
      <c r="O1705">
        <v>0</v>
      </c>
      <c r="P1705">
        <v>0</v>
      </c>
      <c r="Q1705" s="22">
        <v>71880</v>
      </c>
      <c r="R1705">
        <v>3</v>
      </c>
      <c r="S1705" s="1">
        <v>0</v>
      </c>
      <c r="T1705">
        <v>0</v>
      </c>
      <c r="U1705">
        <v>0</v>
      </c>
      <c r="V1705" s="21">
        <v>35940</v>
      </c>
      <c r="W1705">
        <v>6</v>
      </c>
      <c r="X1705">
        <v>1</v>
      </c>
      <c r="Y1705">
        <v>0</v>
      </c>
      <c r="Z1705">
        <v>3</v>
      </c>
      <c r="AA1705">
        <v>10</v>
      </c>
    </row>
    <row r="1706" spans="1:27" ht="14.25" x14ac:dyDescent="0.2">
      <c r="A1706" s="12">
        <v>30923</v>
      </c>
      <c r="B1706" t="s">
        <v>180</v>
      </c>
      <c r="C1706" t="s">
        <v>121</v>
      </c>
      <c r="D1706" t="s">
        <v>121</v>
      </c>
      <c r="E1706" t="s">
        <v>121</v>
      </c>
      <c r="F1706" s="4" t="s">
        <v>2588</v>
      </c>
      <c r="H1706">
        <v>2</v>
      </c>
      <c r="I1706" s="1">
        <v>0</v>
      </c>
      <c r="J1706">
        <v>0</v>
      </c>
      <c r="K1706">
        <v>0</v>
      </c>
      <c r="L1706" s="20">
        <v>24000</v>
      </c>
      <c r="M1706">
        <v>1</v>
      </c>
      <c r="N1706">
        <v>0</v>
      </c>
      <c r="O1706">
        <v>0</v>
      </c>
      <c r="P1706">
        <v>0</v>
      </c>
      <c r="Q1706" s="22">
        <v>72000</v>
      </c>
      <c r="R1706">
        <v>3</v>
      </c>
      <c r="S1706" s="1">
        <v>0</v>
      </c>
      <c r="T1706">
        <v>0</v>
      </c>
      <c r="U1706">
        <v>0</v>
      </c>
      <c r="V1706" s="21">
        <v>36000</v>
      </c>
      <c r="W1706">
        <v>15</v>
      </c>
      <c r="X1706">
        <v>0</v>
      </c>
      <c r="Y1706">
        <v>0</v>
      </c>
      <c r="Z1706">
        <v>0</v>
      </c>
      <c r="AA1706">
        <v>1</v>
      </c>
    </row>
    <row r="1707" spans="1:27" ht="14.25" x14ac:dyDescent="0.2">
      <c r="A1707" s="12">
        <v>30924</v>
      </c>
      <c r="B1707" t="s">
        <v>178</v>
      </c>
      <c r="C1707" t="s">
        <v>121</v>
      </c>
      <c r="D1707" t="s">
        <v>121</v>
      </c>
      <c r="E1707" t="s">
        <v>121</v>
      </c>
      <c r="F1707" s="4" t="s">
        <v>2588</v>
      </c>
      <c r="H1707">
        <v>2</v>
      </c>
      <c r="I1707" s="1">
        <v>0</v>
      </c>
      <c r="J1707">
        <v>0</v>
      </c>
      <c r="K1707">
        <v>0</v>
      </c>
      <c r="L1707" s="20">
        <v>24000</v>
      </c>
      <c r="M1707">
        <v>1</v>
      </c>
      <c r="N1707">
        <v>0</v>
      </c>
      <c r="O1707">
        <v>0</v>
      </c>
      <c r="P1707">
        <v>0</v>
      </c>
      <c r="Q1707" s="22">
        <v>72000</v>
      </c>
      <c r="R1707">
        <v>3</v>
      </c>
      <c r="S1707" s="1">
        <v>0</v>
      </c>
      <c r="T1707">
        <v>0</v>
      </c>
      <c r="U1707">
        <v>0</v>
      </c>
      <c r="V1707" s="21">
        <v>36000</v>
      </c>
      <c r="W1707">
        <v>21</v>
      </c>
      <c r="X1707">
        <v>0</v>
      </c>
      <c r="Y1707">
        <v>0</v>
      </c>
      <c r="Z1707">
        <v>0</v>
      </c>
      <c r="AA1707">
        <v>1</v>
      </c>
    </row>
    <row r="1708" spans="1:27" ht="14.25" x14ac:dyDescent="0.2">
      <c r="A1708" s="12">
        <v>30925</v>
      </c>
      <c r="B1708" t="s">
        <v>130</v>
      </c>
      <c r="C1708" t="s">
        <v>121</v>
      </c>
      <c r="D1708" t="s">
        <v>121</v>
      </c>
      <c r="E1708" t="s">
        <v>121</v>
      </c>
      <c r="F1708" s="4" t="s">
        <v>2590</v>
      </c>
      <c r="H1708">
        <v>2</v>
      </c>
      <c r="I1708" s="1">
        <v>0</v>
      </c>
      <c r="J1708">
        <v>0</v>
      </c>
      <c r="K1708">
        <v>0</v>
      </c>
      <c r="L1708" s="20">
        <v>24000</v>
      </c>
      <c r="M1708">
        <v>1</v>
      </c>
      <c r="N1708">
        <v>0</v>
      </c>
      <c r="O1708">
        <v>0</v>
      </c>
      <c r="P1708">
        <v>0</v>
      </c>
      <c r="Q1708" s="22">
        <v>72000</v>
      </c>
      <c r="R1708">
        <v>3</v>
      </c>
      <c r="S1708" s="1">
        <v>0</v>
      </c>
      <c r="T1708">
        <v>0</v>
      </c>
      <c r="U1708">
        <v>0</v>
      </c>
      <c r="V1708" s="21">
        <v>36000</v>
      </c>
      <c r="W1708">
        <v>9</v>
      </c>
      <c r="X1708">
        <v>0</v>
      </c>
      <c r="Y1708">
        <v>0</v>
      </c>
      <c r="Z1708">
        <v>0</v>
      </c>
      <c r="AA1708">
        <v>10</v>
      </c>
    </row>
    <row r="1709" spans="1:27" ht="14.25" x14ac:dyDescent="0.2">
      <c r="A1709" s="12">
        <v>30926</v>
      </c>
      <c r="B1709" t="s">
        <v>181</v>
      </c>
      <c r="C1709" t="s">
        <v>121</v>
      </c>
      <c r="D1709" t="s">
        <v>121</v>
      </c>
      <c r="E1709" t="s">
        <v>121</v>
      </c>
      <c r="F1709" s="4" t="s">
        <v>2592</v>
      </c>
      <c r="H1709">
        <v>2</v>
      </c>
      <c r="I1709" s="1">
        <v>0</v>
      </c>
      <c r="J1709">
        <v>0</v>
      </c>
      <c r="K1709">
        <v>0</v>
      </c>
      <c r="L1709" s="20">
        <v>24040</v>
      </c>
      <c r="M1709">
        <v>1</v>
      </c>
      <c r="N1709">
        <v>0</v>
      </c>
      <c r="O1709">
        <v>0</v>
      </c>
      <c r="P1709">
        <v>0</v>
      </c>
      <c r="Q1709" s="22">
        <v>72000</v>
      </c>
      <c r="R1709">
        <v>3</v>
      </c>
      <c r="S1709" s="1">
        <v>0</v>
      </c>
      <c r="T1709">
        <v>0</v>
      </c>
      <c r="U1709">
        <v>0</v>
      </c>
      <c r="V1709" s="21">
        <v>36000</v>
      </c>
      <c r="W1709">
        <v>30</v>
      </c>
      <c r="X1709">
        <v>0</v>
      </c>
      <c r="Y1709">
        <v>0</v>
      </c>
      <c r="Z1709">
        <v>0</v>
      </c>
      <c r="AA1709">
        <v>10</v>
      </c>
    </row>
    <row r="1710" spans="1:27" ht="14.25" x14ac:dyDescent="0.2">
      <c r="A1710" s="12">
        <v>30927</v>
      </c>
      <c r="B1710" t="s">
        <v>122</v>
      </c>
      <c r="C1710" t="s">
        <v>121</v>
      </c>
      <c r="D1710" t="s">
        <v>121</v>
      </c>
      <c r="E1710" t="s">
        <v>121</v>
      </c>
      <c r="F1710" s="4" t="s">
        <v>2592</v>
      </c>
      <c r="H1710">
        <v>2</v>
      </c>
      <c r="I1710" s="1">
        <v>0</v>
      </c>
      <c r="J1710">
        <v>0</v>
      </c>
      <c r="K1710">
        <v>0</v>
      </c>
      <c r="L1710" s="20">
        <v>24040</v>
      </c>
      <c r="M1710">
        <v>1</v>
      </c>
      <c r="N1710">
        <v>0</v>
      </c>
      <c r="O1710">
        <v>0</v>
      </c>
      <c r="P1710">
        <v>0</v>
      </c>
      <c r="Q1710" s="22">
        <v>72000</v>
      </c>
      <c r="R1710">
        <v>3</v>
      </c>
      <c r="S1710" s="1">
        <v>0</v>
      </c>
      <c r="T1710">
        <v>0</v>
      </c>
      <c r="U1710">
        <v>0</v>
      </c>
      <c r="V1710" s="21">
        <v>36000</v>
      </c>
      <c r="W1710">
        <v>4</v>
      </c>
      <c r="X1710">
        <v>0</v>
      </c>
      <c r="Y1710">
        <v>0</v>
      </c>
      <c r="Z1710">
        <v>0</v>
      </c>
      <c r="AA1710">
        <v>10</v>
      </c>
    </row>
    <row r="1711" spans="1:27" ht="14.25" x14ac:dyDescent="0.2">
      <c r="A1711" s="12">
        <v>30928</v>
      </c>
      <c r="B1711" t="s">
        <v>178</v>
      </c>
      <c r="C1711" t="s">
        <v>121</v>
      </c>
      <c r="D1711" t="s">
        <v>121</v>
      </c>
      <c r="E1711" t="s">
        <v>121</v>
      </c>
      <c r="F1711" s="4" t="s">
        <v>2594</v>
      </c>
      <c r="H1711">
        <v>2</v>
      </c>
      <c r="I1711" s="1">
        <v>0</v>
      </c>
      <c r="J1711">
        <v>0</v>
      </c>
      <c r="K1711">
        <v>0</v>
      </c>
      <c r="L1711" s="20">
        <v>24040</v>
      </c>
      <c r="M1711">
        <v>1</v>
      </c>
      <c r="N1711">
        <v>0</v>
      </c>
      <c r="O1711">
        <v>0</v>
      </c>
      <c r="P1711">
        <v>0</v>
      </c>
      <c r="Q1711" s="22">
        <v>72120</v>
      </c>
      <c r="R1711">
        <v>3</v>
      </c>
      <c r="S1711" s="1">
        <v>0</v>
      </c>
      <c r="T1711">
        <v>0</v>
      </c>
      <c r="U1711">
        <v>0</v>
      </c>
      <c r="V1711" s="21">
        <v>36060</v>
      </c>
      <c r="W1711">
        <v>21</v>
      </c>
      <c r="X1711">
        <v>0</v>
      </c>
      <c r="Y1711">
        <v>0</v>
      </c>
      <c r="Z1711">
        <v>0</v>
      </c>
      <c r="AA1711">
        <v>1</v>
      </c>
    </row>
    <row r="1712" spans="1:27" ht="14.25" x14ac:dyDescent="0.2">
      <c r="A1712" s="12">
        <v>30929</v>
      </c>
      <c r="B1712" t="s">
        <v>130</v>
      </c>
      <c r="C1712" t="s">
        <v>121</v>
      </c>
      <c r="D1712" t="s">
        <v>121</v>
      </c>
      <c r="E1712" t="s">
        <v>121</v>
      </c>
      <c r="F1712" s="4" t="s">
        <v>2596</v>
      </c>
      <c r="H1712">
        <v>2</v>
      </c>
      <c r="I1712" s="1">
        <v>0</v>
      </c>
      <c r="J1712">
        <v>0</v>
      </c>
      <c r="K1712">
        <v>0</v>
      </c>
      <c r="L1712" s="20">
        <v>24040</v>
      </c>
      <c r="M1712">
        <v>1</v>
      </c>
      <c r="N1712">
        <v>0</v>
      </c>
      <c r="O1712">
        <v>0</v>
      </c>
      <c r="P1712">
        <v>0</v>
      </c>
      <c r="Q1712" s="22">
        <v>72120</v>
      </c>
      <c r="R1712">
        <v>3</v>
      </c>
      <c r="S1712" s="1">
        <v>0</v>
      </c>
      <c r="T1712">
        <v>0</v>
      </c>
      <c r="U1712">
        <v>0</v>
      </c>
      <c r="V1712" s="21">
        <v>36060</v>
      </c>
      <c r="W1712">
        <v>9</v>
      </c>
      <c r="X1712">
        <v>0</v>
      </c>
      <c r="Y1712">
        <v>0</v>
      </c>
      <c r="Z1712">
        <v>0</v>
      </c>
      <c r="AA1712">
        <v>10</v>
      </c>
    </row>
    <row r="1713" spans="1:27" ht="14.25" x14ac:dyDescent="0.2">
      <c r="A1713" s="12">
        <v>30930</v>
      </c>
      <c r="B1713" t="s">
        <v>123</v>
      </c>
      <c r="C1713" t="s">
        <v>121</v>
      </c>
      <c r="D1713" t="s">
        <v>121</v>
      </c>
      <c r="E1713" t="s">
        <v>121</v>
      </c>
      <c r="F1713" s="4" t="s">
        <v>2596</v>
      </c>
      <c r="H1713">
        <v>2</v>
      </c>
      <c r="I1713" s="1">
        <v>0</v>
      </c>
      <c r="J1713">
        <v>0</v>
      </c>
      <c r="K1713">
        <v>0</v>
      </c>
      <c r="L1713" s="20">
        <v>24040</v>
      </c>
      <c r="M1713">
        <v>1</v>
      </c>
      <c r="N1713">
        <v>0</v>
      </c>
      <c r="O1713">
        <v>0</v>
      </c>
      <c r="P1713">
        <v>0</v>
      </c>
      <c r="Q1713" s="22">
        <v>72120</v>
      </c>
      <c r="R1713">
        <v>3</v>
      </c>
      <c r="S1713" s="1">
        <v>0</v>
      </c>
      <c r="T1713">
        <v>0</v>
      </c>
      <c r="U1713">
        <v>0</v>
      </c>
      <c r="V1713" s="21">
        <v>36060</v>
      </c>
      <c r="W1713">
        <v>12</v>
      </c>
      <c r="X1713">
        <v>0</v>
      </c>
      <c r="Y1713">
        <v>0</v>
      </c>
      <c r="Z1713">
        <v>0</v>
      </c>
      <c r="AA1713">
        <v>10</v>
      </c>
    </row>
    <row r="1714" spans="1:27" ht="14.25" x14ac:dyDescent="0.2">
      <c r="A1714" s="12">
        <v>30931</v>
      </c>
      <c r="B1714" t="s">
        <v>126</v>
      </c>
      <c r="C1714" t="s">
        <v>121</v>
      </c>
      <c r="D1714" t="s">
        <v>121</v>
      </c>
      <c r="E1714" t="s">
        <v>121</v>
      </c>
      <c r="F1714" s="4" t="s">
        <v>2598</v>
      </c>
      <c r="H1714">
        <v>2</v>
      </c>
      <c r="I1714" s="1">
        <v>0</v>
      </c>
      <c r="J1714">
        <v>0</v>
      </c>
      <c r="K1714">
        <v>0</v>
      </c>
      <c r="L1714" s="20">
        <v>24080</v>
      </c>
      <c r="M1714">
        <v>1</v>
      </c>
      <c r="N1714">
        <v>0</v>
      </c>
      <c r="O1714">
        <v>0</v>
      </c>
      <c r="P1714">
        <v>0</v>
      </c>
      <c r="Q1714" s="22">
        <v>72120</v>
      </c>
      <c r="R1714">
        <v>3</v>
      </c>
      <c r="S1714" s="1">
        <v>0</v>
      </c>
      <c r="T1714">
        <v>0</v>
      </c>
      <c r="U1714">
        <v>0</v>
      </c>
      <c r="V1714" s="21">
        <v>36060</v>
      </c>
      <c r="W1714">
        <v>23</v>
      </c>
      <c r="X1714">
        <v>0</v>
      </c>
      <c r="Y1714">
        <v>0</v>
      </c>
      <c r="Z1714">
        <v>0</v>
      </c>
      <c r="AA1714">
        <v>1</v>
      </c>
    </row>
    <row r="1715" spans="1:27" ht="14.25" x14ac:dyDescent="0.2">
      <c r="A1715" s="12">
        <v>30932</v>
      </c>
      <c r="B1715" t="s">
        <v>131</v>
      </c>
      <c r="C1715" t="s">
        <v>125</v>
      </c>
      <c r="D1715" t="s">
        <v>121</v>
      </c>
      <c r="E1715" t="s">
        <v>136</v>
      </c>
      <c r="F1715" s="4" t="s">
        <v>2600</v>
      </c>
      <c r="H1715">
        <v>2</v>
      </c>
      <c r="I1715" s="1">
        <v>0</v>
      </c>
      <c r="J1715">
        <v>0</v>
      </c>
      <c r="K1715">
        <v>0</v>
      </c>
      <c r="L1715" s="20">
        <v>24080</v>
      </c>
      <c r="M1715">
        <v>1</v>
      </c>
      <c r="N1715">
        <v>0</v>
      </c>
      <c r="O1715">
        <v>0</v>
      </c>
      <c r="P1715">
        <v>0</v>
      </c>
      <c r="Q1715" s="22">
        <v>72120</v>
      </c>
      <c r="R1715">
        <v>3</v>
      </c>
      <c r="S1715" s="1">
        <v>0</v>
      </c>
      <c r="T1715">
        <v>0</v>
      </c>
      <c r="U1715">
        <v>0</v>
      </c>
      <c r="V1715" s="21">
        <v>36060</v>
      </c>
      <c r="W1715">
        <v>6</v>
      </c>
      <c r="X1715">
        <v>1</v>
      </c>
      <c r="Y1715">
        <v>0</v>
      </c>
      <c r="Z1715">
        <v>3</v>
      </c>
      <c r="AA1715">
        <v>10</v>
      </c>
    </row>
    <row r="1716" spans="1:27" ht="14.25" x14ac:dyDescent="0.2">
      <c r="A1716" s="12">
        <v>30933</v>
      </c>
      <c r="B1716" t="s">
        <v>180</v>
      </c>
      <c r="C1716" t="s">
        <v>121</v>
      </c>
      <c r="D1716" t="s">
        <v>121</v>
      </c>
      <c r="E1716" t="s">
        <v>121</v>
      </c>
      <c r="F1716" s="4" t="s">
        <v>2602</v>
      </c>
      <c r="H1716">
        <v>2</v>
      </c>
      <c r="I1716" s="1">
        <v>0</v>
      </c>
      <c r="J1716">
        <v>0</v>
      </c>
      <c r="K1716">
        <v>0</v>
      </c>
      <c r="L1716" s="20">
        <v>24080</v>
      </c>
      <c r="M1716">
        <v>1</v>
      </c>
      <c r="N1716">
        <v>0</v>
      </c>
      <c r="O1716">
        <v>0</v>
      </c>
      <c r="P1716">
        <v>0</v>
      </c>
      <c r="Q1716" s="22">
        <v>72240</v>
      </c>
      <c r="R1716">
        <v>3</v>
      </c>
      <c r="S1716" s="1">
        <v>0</v>
      </c>
      <c r="T1716">
        <v>0</v>
      </c>
      <c r="U1716">
        <v>0</v>
      </c>
      <c r="V1716" s="21">
        <v>36120</v>
      </c>
      <c r="W1716">
        <v>15</v>
      </c>
      <c r="X1716">
        <v>0</v>
      </c>
      <c r="Y1716">
        <v>0</v>
      </c>
      <c r="Z1716">
        <v>0</v>
      </c>
      <c r="AA1716">
        <v>1</v>
      </c>
    </row>
    <row r="1717" spans="1:27" ht="14.25" x14ac:dyDescent="0.2">
      <c r="A1717" s="12">
        <v>30934</v>
      </c>
      <c r="B1717" t="s">
        <v>178</v>
      </c>
      <c r="C1717" t="s">
        <v>121</v>
      </c>
      <c r="D1717" t="s">
        <v>121</v>
      </c>
      <c r="E1717" t="s">
        <v>121</v>
      </c>
      <c r="F1717" s="4" t="s">
        <v>2602</v>
      </c>
      <c r="H1717">
        <v>2</v>
      </c>
      <c r="I1717" s="1">
        <v>0</v>
      </c>
      <c r="J1717">
        <v>0</v>
      </c>
      <c r="K1717">
        <v>0</v>
      </c>
      <c r="L1717" s="20">
        <v>24080</v>
      </c>
      <c r="M1717">
        <v>1</v>
      </c>
      <c r="N1717">
        <v>0</v>
      </c>
      <c r="O1717">
        <v>0</v>
      </c>
      <c r="P1717">
        <v>0</v>
      </c>
      <c r="Q1717" s="22">
        <v>72240</v>
      </c>
      <c r="R1717">
        <v>3</v>
      </c>
      <c r="S1717" s="1">
        <v>0</v>
      </c>
      <c r="T1717">
        <v>0</v>
      </c>
      <c r="U1717">
        <v>0</v>
      </c>
      <c r="V1717" s="21">
        <v>36120</v>
      </c>
      <c r="W1717">
        <v>21</v>
      </c>
      <c r="X1717">
        <v>0</v>
      </c>
      <c r="Y1717">
        <v>0</v>
      </c>
      <c r="Z1717">
        <v>0</v>
      </c>
      <c r="AA1717">
        <v>1</v>
      </c>
    </row>
    <row r="1718" spans="1:27" ht="14.25" x14ac:dyDescent="0.2">
      <c r="A1718" s="12">
        <v>30935</v>
      </c>
      <c r="B1718" t="s">
        <v>130</v>
      </c>
      <c r="C1718" t="s">
        <v>121</v>
      </c>
      <c r="D1718" t="s">
        <v>121</v>
      </c>
      <c r="E1718" t="s">
        <v>121</v>
      </c>
      <c r="F1718" s="4" t="s">
        <v>2604</v>
      </c>
      <c r="H1718">
        <v>2</v>
      </c>
      <c r="I1718" s="1">
        <v>0</v>
      </c>
      <c r="J1718">
        <v>0</v>
      </c>
      <c r="K1718">
        <v>0</v>
      </c>
      <c r="L1718" s="20">
        <v>24080</v>
      </c>
      <c r="M1718">
        <v>1</v>
      </c>
      <c r="N1718">
        <v>0</v>
      </c>
      <c r="O1718">
        <v>0</v>
      </c>
      <c r="P1718">
        <v>0</v>
      </c>
      <c r="Q1718" s="22">
        <v>72240</v>
      </c>
      <c r="R1718">
        <v>3</v>
      </c>
      <c r="S1718" s="1">
        <v>0</v>
      </c>
      <c r="T1718">
        <v>0</v>
      </c>
      <c r="U1718">
        <v>0</v>
      </c>
      <c r="V1718" s="21">
        <v>36120</v>
      </c>
      <c r="W1718">
        <v>9</v>
      </c>
      <c r="X1718">
        <v>0</v>
      </c>
      <c r="Y1718">
        <v>0</v>
      </c>
      <c r="Z1718">
        <v>0</v>
      </c>
      <c r="AA1718">
        <v>10</v>
      </c>
    </row>
    <row r="1719" spans="1:27" ht="14.25" x14ac:dyDescent="0.2">
      <c r="A1719" s="12">
        <v>30936</v>
      </c>
      <c r="B1719" t="s">
        <v>181</v>
      </c>
      <c r="C1719" t="s">
        <v>121</v>
      </c>
      <c r="D1719" t="s">
        <v>121</v>
      </c>
      <c r="E1719" t="s">
        <v>121</v>
      </c>
      <c r="F1719" s="4" t="s">
        <v>2606</v>
      </c>
      <c r="H1719">
        <v>2</v>
      </c>
      <c r="I1719" s="1">
        <v>0</v>
      </c>
      <c r="J1719">
        <v>0</v>
      </c>
      <c r="K1719">
        <v>0</v>
      </c>
      <c r="L1719" s="20">
        <v>24120</v>
      </c>
      <c r="M1719">
        <v>1</v>
      </c>
      <c r="N1719">
        <v>0</v>
      </c>
      <c r="O1719">
        <v>0</v>
      </c>
      <c r="P1719">
        <v>0</v>
      </c>
      <c r="Q1719" s="22">
        <v>72240</v>
      </c>
      <c r="R1719">
        <v>3</v>
      </c>
      <c r="S1719" s="1">
        <v>0</v>
      </c>
      <c r="T1719">
        <v>0</v>
      </c>
      <c r="U1719">
        <v>0</v>
      </c>
      <c r="V1719" s="21">
        <v>36120</v>
      </c>
      <c r="W1719">
        <v>30</v>
      </c>
      <c r="X1719">
        <v>0</v>
      </c>
      <c r="Y1719">
        <v>0</v>
      </c>
      <c r="Z1719">
        <v>0</v>
      </c>
      <c r="AA1719">
        <v>10</v>
      </c>
    </row>
    <row r="1720" spans="1:27" ht="14.25" x14ac:dyDescent="0.2">
      <c r="A1720" s="12">
        <v>30937</v>
      </c>
      <c r="B1720" t="s">
        <v>122</v>
      </c>
      <c r="C1720" t="s">
        <v>121</v>
      </c>
      <c r="D1720" t="s">
        <v>121</v>
      </c>
      <c r="E1720" t="s">
        <v>121</v>
      </c>
      <c r="F1720" s="4" t="s">
        <v>2606</v>
      </c>
      <c r="H1720">
        <v>2</v>
      </c>
      <c r="I1720" s="1">
        <v>0</v>
      </c>
      <c r="J1720">
        <v>0</v>
      </c>
      <c r="K1720">
        <v>0</v>
      </c>
      <c r="L1720" s="20">
        <v>24120</v>
      </c>
      <c r="M1720">
        <v>1</v>
      </c>
      <c r="N1720">
        <v>0</v>
      </c>
      <c r="O1720">
        <v>0</v>
      </c>
      <c r="P1720">
        <v>0</v>
      </c>
      <c r="Q1720" s="22">
        <v>72240</v>
      </c>
      <c r="R1720">
        <v>3</v>
      </c>
      <c r="S1720" s="1">
        <v>0</v>
      </c>
      <c r="T1720">
        <v>0</v>
      </c>
      <c r="U1720">
        <v>0</v>
      </c>
      <c r="V1720" s="21">
        <v>36120</v>
      </c>
      <c r="W1720">
        <v>4</v>
      </c>
      <c r="X1720">
        <v>0</v>
      </c>
      <c r="Y1720">
        <v>0</v>
      </c>
      <c r="Z1720">
        <v>0</v>
      </c>
      <c r="AA1720">
        <v>10</v>
      </c>
    </row>
    <row r="1721" spans="1:27" ht="14.25" x14ac:dyDescent="0.2">
      <c r="A1721" s="12">
        <v>30938</v>
      </c>
      <c r="B1721" t="s">
        <v>178</v>
      </c>
      <c r="C1721" t="s">
        <v>121</v>
      </c>
      <c r="D1721" t="s">
        <v>121</v>
      </c>
      <c r="E1721" t="s">
        <v>121</v>
      </c>
      <c r="F1721" s="4" t="s">
        <v>2608</v>
      </c>
      <c r="H1721">
        <v>2</v>
      </c>
      <c r="I1721" s="1">
        <v>0</v>
      </c>
      <c r="J1721">
        <v>0</v>
      </c>
      <c r="K1721">
        <v>0</v>
      </c>
      <c r="L1721" s="20">
        <v>24120</v>
      </c>
      <c r="M1721">
        <v>1</v>
      </c>
      <c r="N1721">
        <v>0</v>
      </c>
      <c r="O1721">
        <v>0</v>
      </c>
      <c r="P1721">
        <v>0</v>
      </c>
      <c r="Q1721" s="22">
        <v>72360</v>
      </c>
      <c r="R1721">
        <v>3</v>
      </c>
      <c r="S1721" s="1">
        <v>0</v>
      </c>
      <c r="T1721">
        <v>0</v>
      </c>
      <c r="U1721">
        <v>0</v>
      </c>
      <c r="V1721" s="21">
        <v>36180</v>
      </c>
      <c r="W1721">
        <v>21</v>
      </c>
      <c r="X1721">
        <v>0</v>
      </c>
      <c r="Y1721">
        <v>0</v>
      </c>
      <c r="Z1721">
        <v>0</v>
      </c>
      <c r="AA1721">
        <v>1</v>
      </c>
    </row>
    <row r="1722" spans="1:27" ht="14.25" x14ac:dyDescent="0.2">
      <c r="A1722" s="12">
        <v>30939</v>
      </c>
      <c r="B1722" t="s">
        <v>130</v>
      </c>
      <c r="C1722" t="s">
        <v>121</v>
      </c>
      <c r="D1722" t="s">
        <v>121</v>
      </c>
      <c r="E1722" t="s">
        <v>121</v>
      </c>
      <c r="F1722" s="4" t="s">
        <v>2610</v>
      </c>
      <c r="H1722">
        <v>2</v>
      </c>
      <c r="I1722" s="1">
        <v>0</v>
      </c>
      <c r="J1722">
        <v>0</v>
      </c>
      <c r="K1722">
        <v>0</v>
      </c>
      <c r="L1722" s="20">
        <v>24120</v>
      </c>
      <c r="M1722">
        <v>1</v>
      </c>
      <c r="N1722">
        <v>0</v>
      </c>
      <c r="O1722">
        <v>0</v>
      </c>
      <c r="P1722">
        <v>0</v>
      </c>
      <c r="Q1722" s="22">
        <v>72360</v>
      </c>
      <c r="R1722">
        <v>3</v>
      </c>
      <c r="S1722" s="1">
        <v>0</v>
      </c>
      <c r="T1722">
        <v>0</v>
      </c>
      <c r="U1722">
        <v>0</v>
      </c>
      <c r="V1722" s="21">
        <v>36180</v>
      </c>
      <c r="W1722">
        <v>9</v>
      </c>
      <c r="X1722">
        <v>0</v>
      </c>
      <c r="Y1722">
        <v>0</v>
      </c>
      <c r="Z1722">
        <v>0</v>
      </c>
      <c r="AA1722">
        <v>10</v>
      </c>
    </row>
    <row r="1723" spans="1:27" ht="14.25" x14ac:dyDescent="0.2">
      <c r="A1723" s="12">
        <v>30940</v>
      </c>
      <c r="B1723" t="s">
        <v>123</v>
      </c>
      <c r="C1723" t="s">
        <v>121</v>
      </c>
      <c r="D1723" t="s">
        <v>121</v>
      </c>
      <c r="E1723" t="s">
        <v>121</v>
      </c>
      <c r="F1723" s="4" t="s">
        <v>2610</v>
      </c>
      <c r="H1723">
        <v>2</v>
      </c>
      <c r="I1723" s="1">
        <v>0</v>
      </c>
      <c r="J1723">
        <v>0</v>
      </c>
      <c r="K1723">
        <v>0</v>
      </c>
      <c r="L1723" s="20">
        <v>24120</v>
      </c>
      <c r="M1723">
        <v>1</v>
      </c>
      <c r="N1723">
        <v>0</v>
      </c>
      <c r="O1723">
        <v>0</v>
      </c>
      <c r="P1723">
        <v>0</v>
      </c>
      <c r="Q1723" s="22">
        <v>72360</v>
      </c>
      <c r="R1723">
        <v>3</v>
      </c>
      <c r="S1723" s="1">
        <v>0</v>
      </c>
      <c r="T1723">
        <v>0</v>
      </c>
      <c r="U1723">
        <v>0</v>
      </c>
      <c r="V1723" s="21">
        <v>36180</v>
      </c>
      <c r="W1723">
        <v>12</v>
      </c>
      <c r="X1723">
        <v>0</v>
      </c>
      <c r="Y1723">
        <v>0</v>
      </c>
      <c r="Z1723">
        <v>0</v>
      </c>
      <c r="AA1723">
        <v>10</v>
      </c>
    </row>
    <row r="1724" spans="1:27" ht="14.25" x14ac:dyDescent="0.2">
      <c r="A1724" s="12">
        <v>30941</v>
      </c>
      <c r="B1724" t="s">
        <v>126</v>
      </c>
      <c r="C1724" t="s">
        <v>121</v>
      </c>
      <c r="D1724" t="s">
        <v>121</v>
      </c>
      <c r="E1724" t="s">
        <v>121</v>
      </c>
      <c r="F1724" s="4" t="s">
        <v>2612</v>
      </c>
      <c r="H1724">
        <v>2</v>
      </c>
      <c r="I1724" s="1">
        <v>0</v>
      </c>
      <c r="J1724">
        <v>0</v>
      </c>
      <c r="K1724">
        <v>0</v>
      </c>
      <c r="L1724" s="20">
        <v>24160</v>
      </c>
      <c r="M1724">
        <v>1</v>
      </c>
      <c r="N1724">
        <v>0</v>
      </c>
      <c r="O1724">
        <v>0</v>
      </c>
      <c r="P1724">
        <v>0</v>
      </c>
      <c r="Q1724" s="22">
        <v>72360</v>
      </c>
      <c r="R1724">
        <v>3</v>
      </c>
      <c r="S1724" s="1">
        <v>0</v>
      </c>
      <c r="T1724">
        <v>0</v>
      </c>
      <c r="U1724">
        <v>0</v>
      </c>
      <c r="V1724" s="21">
        <v>36180</v>
      </c>
      <c r="W1724">
        <v>23</v>
      </c>
      <c r="X1724">
        <v>0</v>
      </c>
      <c r="Y1724">
        <v>0</v>
      </c>
      <c r="Z1724">
        <v>0</v>
      </c>
      <c r="AA1724">
        <v>1</v>
      </c>
    </row>
    <row r="1725" spans="1:27" ht="14.25" x14ac:dyDescent="0.2">
      <c r="A1725" s="12">
        <v>30942</v>
      </c>
      <c r="B1725" t="s">
        <v>131</v>
      </c>
      <c r="C1725" t="s">
        <v>125</v>
      </c>
      <c r="D1725" t="s">
        <v>121</v>
      </c>
      <c r="E1725" t="s">
        <v>136</v>
      </c>
      <c r="F1725" s="4" t="s">
        <v>2614</v>
      </c>
      <c r="H1725">
        <v>2</v>
      </c>
      <c r="I1725" s="1">
        <v>0</v>
      </c>
      <c r="J1725">
        <v>0</v>
      </c>
      <c r="K1725">
        <v>0</v>
      </c>
      <c r="L1725" s="20">
        <v>24160</v>
      </c>
      <c r="M1725">
        <v>1</v>
      </c>
      <c r="N1725">
        <v>0</v>
      </c>
      <c r="O1725">
        <v>0</v>
      </c>
      <c r="P1725">
        <v>0</v>
      </c>
      <c r="Q1725" s="22">
        <v>72360</v>
      </c>
      <c r="R1725">
        <v>3</v>
      </c>
      <c r="S1725" s="1">
        <v>0</v>
      </c>
      <c r="T1725">
        <v>0</v>
      </c>
      <c r="U1725">
        <v>0</v>
      </c>
      <c r="V1725" s="21">
        <v>36180</v>
      </c>
      <c r="W1725">
        <v>6</v>
      </c>
      <c r="X1725">
        <v>1</v>
      </c>
      <c r="Y1725">
        <v>0</v>
      </c>
      <c r="Z1725">
        <v>3</v>
      </c>
      <c r="AA1725">
        <v>10</v>
      </c>
    </row>
    <row r="1726" spans="1:27" ht="14.25" x14ac:dyDescent="0.2">
      <c r="A1726" s="12">
        <v>30943</v>
      </c>
      <c r="B1726" t="s">
        <v>180</v>
      </c>
      <c r="C1726" t="s">
        <v>121</v>
      </c>
      <c r="D1726" t="s">
        <v>121</v>
      </c>
      <c r="E1726" t="s">
        <v>121</v>
      </c>
      <c r="F1726" s="4" t="s">
        <v>2616</v>
      </c>
      <c r="H1726">
        <v>2</v>
      </c>
      <c r="I1726" s="1">
        <v>0</v>
      </c>
      <c r="J1726">
        <v>0</v>
      </c>
      <c r="K1726">
        <v>0</v>
      </c>
      <c r="L1726" s="20">
        <v>24160</v>
      </c>
      <c r="M1726">
        <v>1</v>
      </c>
      <c r="N1726">
        <v>0</v>
      </c>
      <c r="O1726">
        <v>0</v>
      </c>
      <c r="P1726">
        <v>0</v>
      </c>
      <c r="Q1726" s="22">
        <v>72480</v>
      </c>
      <c r="R1726">
        <v>3</v>
      </c>
      <c r="S1726" s="1">
        <v>0</v>
      </c>
      <c r="T1726">
        <v>0</v>
      </c>
      <c r="U1726">
        <v>0</v>
      </c>
      <c r="V1726" s="21">
        <v>36240</v>
      </c>
      <c r="W1726">
        <v>15</v>
      </c>
      <c r="X1726">
        <v>0</v>
      </c>
      <c r="Y1726">
        <v>0</v>
      </c>
      <c r="Z1726">
        <v>0</v>
      </c>
      <c r="AA1726">
        <v>1</v>
      </c>
    </row>
    <row r="1727" spans="1:27" ht="14.25" x14ac:dyDescent="0.2">
      <c r="A1727" s="12">
        <v>30944</v>
      </c>
      <c r="B1727" t="s">
        <v>178</v>
      </c>
      <c r="C1727" t="s">
        <v>121</v>
      </c>
      <c r="D1727" t="s">
        <v>121</v>
      </c>
      <c r="E1727" t="s">
        <v>121</v>
      </c>
      <c r="F1727" s="4" t="s">
        <v>2616</v>
      </c>
      <c r="H1727">
        <v>2</v>
      </c>
      <c r="I1727" s="1">
        <v>0</v>
      </c>
      <c r="J1727">
        <v>0</v>
      </c>
      <c r="K1727">
        <v>0</v>
      </c>
      <c r="L1727" s="20">
        <v>24160</v>
      </c>
      <c r="M1727">
        <v>1</v>
      </c>
      <c r="N1727">
        <v>0</v>
      </c>
      <c r="O1727">
        <v>0</v>
      </c>
      <c r="P1727">
        <v>0</v>
      </c>
      <c r="Q1727" s="22">
        <v>72480</v>
      </c>
      <c r="R1727">
        <v>3</v>
      </c>
      <c r="S1727" s="1">
        <v>0</v>
      </c>
      <c r="T1727">
        <v>0</v>
      </c>
      <c r="U1727">
        <v>0</v>
      </c>
      <c r="V1727" s="21">
        <v>36240</v>
      </c>
      <c r="W1727">
        <v>21</v>
      </c>
      <c r="X1727">
        <v>0</v>
      </c>
      <c r="Y1727">
        <v>0</v>
      </c>
      <c r="Z1727">
        <v>0</v>
      </c>
      <c r="AA1727">
        <v>1</v>
      </c>
    </row>
    <row r="1728" spans="1:27" ht="14.25" x14ac:dyDescent="0.2">
      <c r="A1728" s="12">
        <v>30945</v>
      </c>
      <c r="B1728" t="s">
        <v>130</v>
      </c>
      <c r="C1728" t="s">
        <v>121</v>
      </c>
      <c r="D1728" t="s">
        <v>121</v>
      </c>
      <c r="E1728" t="s">
        <v>121</v>
      </c>
      <c r="F1728" s="4" t="s">
        <v>2618</v>
      </c>
      <c r="H1728">
        <v>2</v>
      </c>
      <c r="I1728" s="1">
        <v>0</v>
      </c>
      <c r="J1728">
        <v>0</v>
      </c>
      <c r="K1728">
        <v>0</v>
      </c>
      <c r="L1728" s="20">
        <v>24160</v>
      </c>
      <c r="M1728">
        <v>1</v>
      </c>
      <c r="N1728">
        <v>0</v>
      </c>
      <c r="O1728">
        <v>0</v>
      </c>
      <c r="P1728">
        <v>0</v>
      </c>
      <c r="Q1728" s="22">
        <v>72480</v>
      </c>
      <c r="R1728">
        <v>3</v>
      </c>
      <c r="S1728" s="1">
        <v>0</v>
      </c>
      <c r="T1728">
        <v>0</v>
      </c>
      <c r="U1728">
        <v>0</v>
      </c>
      <c r="V1728" s="21">
        <v>36240</v>
      </c>
      <c r="W1728">
        <v>9</v>
      </c>
      <c r="X1728">
        <v>0</v>
      </c>
      <c r="Y1728">
        <v>0</v>
      </c>
      <c r="Z1728">
        <v>0</v>
      </c>
      <c r="AA1728">
        <v>10</v>
      </c>
    </row>
    <row r="1729" spans="1:27" ht="14.25" x14ac:dyDescent="0.2">
      <c r="A1729" s="12">
        <v>30946</v>
      </c>
      <c r="B1729" t="s">
        <v>181</v>
      </c>
      <c r="C1729" t="s">
        <v>121</v>
      </c>
      <c r="D1729" t="s">
        <v>121</v>
      </c>
      <c r="E1729" t="s">
        <v>121</v>
      </c>
      <c r="F1729" s="4" t="s">
        <v>2620</v>
      </c>
      <c r="H1729">
        <v>2</v>
      </c>
      <c r="I1729" s="1">
        <v>0</v>
      </c>
      <c r="J1729">
        <v>0</v>
      </c>
      <c r="K1729">
        <v>0</v>
      </c>
      <c r="L1729" s="20">
        <v>24200</v>
      </c>
      <c r="M1729">
        <v>1</v>
      </c>
      <c r="N1729">
        <v>0</v>
      </c>
      <c r="O1729">
        <v>0</v>
      </c>
      <c r="P1729">
        <v>0</v>
      </c>
      <c r="Q1729" s="22">
        <v>72480</v>
      </c>
      <c r="R1729">
        <v>3</v>
      </c>
      <c r="S1729" s="1">
        <v>0</v>
      </c>
      <c r="T1729">
        <v>0</v>
      </c>
      <c r="U1729">
        <v>0</v>
      </c>
      <c r="V1729" s="21">
        <v>36240</v>
      </c>
      <c r="W1729">
        <v>30</v>
      </c>
      <c r="X1729">
        <v>0</v>
      </c>
      <c r="Y1729">
        <v>0</v>
      </c>
      <c r="Z1729">
        <v>0</v>
      </c>
      <c r="AA1729">
        <v>10</v>
      </c>
    </row>
    <row r="1730" spans="1:27" ht="14.25" x14ac:dyDescent="0.2">
      <c r="A1730" s="12">
        <v>30947</v>
      </c>
      <c r="B1730" t="s">
        <v>122</v>
      </c>
      <c r="C1730" t="s">
        <v>121</v>
      </c>
      <c r="D1730" t="s">
        <v>121</v>
      </c>
      <c r="E1730" t="s">
        <v>121</v>
      </c>
      <c r="F1730" s="4" t="s">
        <v>2620</v>
      </c>
      <c r="H1730">
        <v>2</v>
      </c>
      <c r="I1730" s="1">
        <v>0</v>
      </c>
      <c r="J1730">
        <v>0</v>
      </c>
      <c r="K1730">
        <v>0</v>
      </c>
      <c r="L1730" s="20">
        <v>24200</v>
      </c>
      <c r="M1730">
        <v>1</v>
      </c>
      <c r="N1730">
        <v>0</v>
      </c>
      <c r="O1730">
        <v>0</v>
      </c>
      <c r="P1730">
        <v>0</v>
      </c>
      <c r="Q1730" s="22">
        <v>72480</v>
      </c>
      <c r="R1730">
        <v>3</v>
      </c>
      <c r="S1730" s="1">
        <v>0</v>
      </c>
      <c r="T1730">
        <v>0</v>
      </c>
      <c r="U1730">
        <v>0</v>
      </c>
      <c r="V1730" s="21">
        <v>36240</v>
      </c>
      <c r="W1730">
        <v>4</v>
      </c>
      <c r="X1730">
        <v>0</v>
      </c>
      <c r="Y1730">
        <v>0</v>
      </c>
      <c r="Z1730">
        <v>0</v>
      </c>
      <c r="AA1730">
        <v>10</v>
      </c>
    </row>
    <row r="1731" spans="1:27" ht="14.25" x14ac:dyDescent="0.2">
      <c r="A1731" s="12">
        <v>30948</v>
      </c>
      <c r="B1731" t="s">
        <v>178</v>
      </c>
      <c r="C1731" t="s">
        <v>121</v>
      </c>
      <c r="D1731" t="s">
        <v>121</v>
      </c>
      <c r="E1731" t="s">
        <v>121</v>
      </c>
      <c r="F1731" s="4" t="s">
        <v>2622</v>
      </c>
      <c r="H1731">
        <v>2</v>
      </c>
      <c r="I1731" s="1">
        <v>0</v>
      </c>
      <c r="J1731">
        <v>0</v>
      </c>
      <c r="K1731">
        <v>0</v>
      </c>
      <c r="L1731" s="20">
        <v>24200</v>
      </c>
      <c r="M1731">
        <v>1</v>
      </c>
      <c r="N1731">
        <v>0</v>
      </c>
      <c r="O1731">
        <v>0</v>
      </c>
      <c r="P1731">
        <v>0</v>
      </c>
      <c r="Q1731" s="22">
        <v>72600</v>
      </c>
      <c r="R1731">
        <v>3</v>
      </c>
      <c r="S1731" s="1">
        <v>0</v>
      </c>
      <c r="T1731">
        <v>0</v>
      </c>
      <c r="U1731">
        <v>0</v>
      </c>
      <c r="V1731" s="21">
        <v>36300</v>
      </c>
      <c r="W1731">
        <v>21</v>
      </c>
      <c r="X1731">
        <v>0</v>
      </c>
      <c r="Y1731">
        <v>0</v>
      </c>
      <c r="Z1731">
        <v>0</v>
      </c>
      <c r="AA1731">
        <v>1</v>
      </c>
    </row>
    <row r="1732" spans="1:27" ht="14.25" x14ac:dyDescent="0.2">
      <c r="A1732" s="12">
        <v>30949</v>
      </c>
      <c r="B1732" t="s">
        <v>130</v>
      </c>
      <c r="C1732" t="s">
        <v>121</v>
      </c>
      <c r="D1732" t="s">
        <v>121</v>
      </c>
      <c r="E1732" t="s">
        <v>121</v>
      </c>
      <c r="F1732" s="4" t="s">
        <v>2624</v>
      </c>
      <c r="H1732">
        <v>2</v>
      </c>
      <c r="I1732" s="1">
        <v>0</v>
      </c>
      <c r="J1732">
        <v>0</v>
      </c>
      <c r="K1732">
        <v>0</v>
      </c>
      <c r="L1732" s="20">
        <v>24200</v>
      </c>
      <c r="M1732">
        <v>1</v>
      </c>
      <c r="N1732">
        <v>0</v>
      </c>
      <c r="O1732">
        <v>0</v>
      </c>
      <c r="P1732">
        <v>0</v>
      </c>
      <c r="Q1732" s="22">
        <v>72600</v>
      </c>
      <c r="R1732">
        <v>3</v>
      </c>
      <c r="S1732" s="1">
        <v>0</v>
      </c>
      <c r="T1732">
        <v>0</v>
      </c>
      <c r="U1732">
        <v>0</v>
      </c>
      <c r="V1732" s="21">
        <v>36300</v>
      </c>
      <c r="W1732">
        <v>9</v>
      </c>
      <c r="X1732">
        <v>0</v>
      </c>
      <c r="Y1732">
        <v>0</v>
      </c>
      <c r="Z1732">
        <v>0</v>
      </c>
      <c r="AA1732">
        <v>10</v>
      </c>
    </row>
    <row r="1733" spans="1:27" ht="14.25" x14ac:dyDescent="0.2">
      <c r="A1733" s="12">
        <v>30950</v>
      </c>
      <c r="B1733" t="s">
        <v>123</v>
      </c>
      <c r="C1733" t="s">
        <v>121</v>
      </c>
      <c r="D1733" t="s">
        <v>121</v>
      </c>
      <c r="E1733" t="s">
        <v>121</v>
      </c>
      <c r="F1733" s="4" t="s">
        <v>2624</v>
      </c>
      <c r="H1733">
        <v>2</v>
      </c>
      <c r="I1733" s="1">
        <v>0</v>
      </c>
      <c r="J1733">
        <v>0</v>
      </c>
      <c r="K1733">
        <v>0</v>
      </c>
      <c r="L1733" s="20">
        <v>24200</v>
      </c>
      <c r="M1733">
        <v>1</v>
      </c>
      <c r="N1733">
        <v>0</v>
      </c>
      <c r="O1733">
        <v>0</v>
      </c>
      <c r="P1733">
        <v>0</v>
      </c>
      <c r="Q1733" s="22">
        <v>72600</v>
      </c>
      <c r="R1733">
        <v>3</v>
      </c>
      <c r="S1733" s="1">
        <v>0</v>
      </c>
      <c r="T1733">
        <v>0</v>
      </c>
      <c r="U1733">
        <v>0</v>
      </c>
      <c r="V1733" s="21">
        <v>36300</v>
      </c>
      <c r="W1733">
        <v>12</v>
      </c>
      <c r="X1733">
        <v>0</v>
      </c>
      <c r="Y1733">
        <v>0</v>
      </c>
      <c r="Z1733">
        <v>0</v>
      </c>
      <c r="AA1733">
        <v>10</v>
      </c>
    </row>
    <row r="1734" spans="1:27" ht="14.25" x14ac:dyDescent="0.2">
      <c r="A1734" s="12">
        <v>31001</v>
      </c>
      <c r="B1734" t="s">
        <v>126</v>
      </c>
      <c r="C1734" t="s">
        <v>121</v>
      </c>
      <c r="D1734" t="s">
        <v>121</v>
      </c>
      <c r="E1734" t="s">
        <v>121</v>
      </c>
      <c r="F1734" s="4" t="s">
        <v>2626</v>
      </c>
      <c r="H1734">
        <v>2</v>
      </c>
      <c r="I1734" s="1">
        <v>0</v>
      </c>
      <c r="J1734">
        <v>0</v>
      </c>
      <c r="K1734">
        <v>0</v>
      </c>
      <c r="L1734" s="20">
        <v>24240</v>
      </c>
      <c r="M1734">
        <v>1</v>
      </c>
      <c r="N1734">
        <v>0</v>
      </c>
      <c r="O1734">
        <v>0</v>
      </c>
      <c r="P1734">
        <v>0</v>
      </c>
      <c r="Q1734" s="22">
        <v>72600</v>
      </c>
      <c r="R1734">
        <v>3</v>
      </c>
      <c r="S1734" s="1">
        <v>0</v>
      </c>
      <c r="T1734">
        <v>0</v>
      </c>
      <c r="U1734">
        <v>0</v>
      </c>
      <c r="V1734" s="21">
        <v>36300</v>
      </c>
      <c r="W1734">
        <v>23</v>
      </c>
      <c r="X1734">
        <v>0</v>
      </c>
      <c r="Y1734">
        <v>0</v>
      </c>
      <c r="Z1734">
        <v>0</v>
      </c>
      <c r="AA1734">
        <v>1</v>
      </c>
    </row>
    <row r="1735" spans="1:27" ht="14.25" x14ac:dyDescent="0.2">
      <c r="A1735" s="12">
        <v>31002</v>
      </c>
      <c r="B1735" t="s">
        <v>131</v>
      </c>
      <c r="C1735" t="s">
        <v>125</v>
      </c>
      <c r="D1735" t="s">
        <v>121</v>
      </c>
      <c r="E1735" t="s">
        <v>136</v>
      </c>
      <c r="F1735" s="4" t="s">
        <v>2628</v>
      </c>
      <c r="H1735">
        <v>2</v>
      </c>
      <c r="I1735" s="1">
        <v>0</v>
      </c>
      <c r="J1735">
        <v>0</v>
      </c>
      <c r="K1735">
        <v>0</v>
      </c>
      <c r="L1735" s="20">
        <v>24240</v>
      </c>
      <c r="M1735">
        <v>1</v>
      </c>
      <c r="N1735">
        <v>0</v>
      </c>
      <c r="O1735">
        <v>0</v>
      </c>
      <c r="P1735">
        <v>0</v>
      </c>
      <c r="Q1735" s="22">
        <v>72600</v>
      </c>
      <c r="R1735">
        <v>3</v>
      </c>
      <c r="S1735" s="1">
        <v>0</v>
      </c>
      <c r="T1735">
        <v>0</v>
      </c>
      <c r="U1735">
        <v>0</v>
      </c>
      <c r="V1735" s="21">
        <v>36300</v>
      </c>
      <c r="W1735">
        <v>6</v>
      </c>
      <c r="X1735">
        <v>1</v>
      </c>
      <c r="Y1735">
        <v>0</v>
      </c>
      <c r="Z1735">
        <v>3</v>
      </c>
      <c r="AA1735">
        <v>10</v>
      </c>
    </row>
    <row r="1736" spans="1:27" ht="14.25" x14ac:dyDescent="0.2">
      <c r="A1736" s="12">
        <v>31003</v>
      </c>
      <c r="B1736" t="s">
        <v>180</v>
      </c>
      <c r="C1736" t="s">
        <v>121</v>
      </c>
      <c r="D1736" t="s">
        <v>121</v>
      </c>
      <c r="E1736" t="s">
        <v>121</v>
      </c>
      <c r="F1736" s="4" t="s">
        <v>2630</v>
      </c>
      <c r="H1736">
        <v>2</v>
      </c>
      <c r="I1736" s="1">
        <v>0</v>
      </c>
      <c r="J1736">
        <v>0</v>
      </c>
      <c r="K1736">
        <v>0</v>
      </c>
      <c r="L1736" s="20">
        <v>24240</v>
      </c>
      <c r="M1736">
        <v>1</v>
      </c>
      <c r="N1736">
        <v>0</v>
      </c>
      <c r="O1736">
        <v>0</v>
      </c>
      <c r="P1736">
        <v>0</v>
      </c>
      <c r="Q1736" s="22">
        <v>72720</v>
      </c>
      <c r="R1736">
        <v>3</v>
      </c>
      <c r="S1736" s="1">
        <v>0</v>
      </c>
      <c r="T1736">
        <v>0</v>
      </c>
      <c r="U1736">
        <v>0</v>
      </c>
      <c r="V1736" s="21">
        <v>36360</v>
      </c>
      <c r="W1736">
        <v>15</v>
      </c>
      <c r="X1736">
        <v>0</v>
      </c>
      <c r="Y1736">
        <v>0</v>
      </c>
      <c r="Z1736">
        <v>0</v>
      </c>
      <c r="AA1736">
        <v>1</v>
      </c>
    </row>
    <row r="1737" spans="1:27" ht="14.25" x14ac:dyDescent="0.2">
      <c r="A1737" s="12">
        <v>31004</v>
      </c>
      <c r="B1737" t="s">
        <v>178</v>
      </c>
      <c r="C1737" t="s">
        <v>121</v>
      </c>
      <c r="D1737" t="s">
        <v>121</v>
      </c>
      <c r="E1737" t="s">
        <v>121</v>
      </c>
      <c r="F1737" s="4" t="s">
        <v>2630</v>
      </c>
      <c r="H1737">
        <v>2</v>
      </c>
      <c r="I1737" s="1">
        <v>0</v>
      </c>
      <c r="J1737">
        <v>0</v>
      </c>
      <c r="K1737">
        <v>0</v>
      </c>
      <c r="L1737" s="20">
        <v>24240</v>
      </c>
      <c r="M1737">
        <v>1</v>
      </c>
      <c r="N1737">
        <v>0</v>
      </c>
      <c r="O1737">
        <v>0</v>
      </c>
      <c r="P1737">
        <v>0</v>
      </c>
      <c r="Q1737" s="22">
        <v>72720</v>
      </c>
      <c r="R1737">
        <v>3</v>
      </c>
      <c r="S1737" s="1">
        <v>0</v>
      </c>
      <c r="T1737">
        <v>0</v>
      </c>
      <c r="U1737">
        <v>0</v>
      </c>
      <c r="V1737" s="21">
        <v>36360</v>
      </c>
      <c r="W1737">
        <v>21</v>
      </c>
      <c r="X1737">
        <v>0</v>
      </c>
      <c r="Y1737">
        <v>0</v>
      </c>
      <c r="Z1737">
        <v>0</v>
      </c>
      <c r="AA1737">
        <v>1</v>
      </c>
    </row>
    <row r="1738" spans="1:27" ht="14.25" x14ac:dyDescent="0.2">
      <c r="A1738" s="12">
        <v>31005</v>
      </c>
      <c r="B1738" t="s">
        <v>130</v>
      </c>
      <c r="C1738" t="s">
        <v>121</v>
      </c>
      <c r="D1738" t="s">
        <v>121</v>
      </c>
      <c r="E1738" t="s">
        <v>121</v>
      </c>
      <c r="F1738" s="4" t="s">
        <v>2632</v>
      </c>
      <c r="H1738">
        <v>2</v>
      </c>
      <c r="I1738" s="1">
        <v>0</v>
      </c>
      <c r="J1738">
        <v>0</v>
      </c>
      <c r="K1738">
        <v>0</v>
      </c>
      <c r="L1738" s="20">
        <v>24240</v>
      </c>
      <c r="M1738">
        <v>1</v>
      </c>
      <c r="N1738">
        <v>0</v>
      </c>
      <c r="O1738">
        <v>0</v>
      </c>
      <c r="P1738">
        <v>0</v>
      </c>
      <c r="Q1738" s="22">
        <v>72720</v>
      </c>
      <c r="R1738">
        <v>3</v>
      </c>
      <c r="S1738" s="1">
        <v>0</v>
      </c>
      <c r="T1738">
        <v>0</v>
      </c>
      <c r="U1738">
        <v>0</v>
      </c>
      <c r="V1738" s="21">
        <v>36360</v>
      </c>
      <c r="W1738">
        <v>9</v>
      </c>
      <c r="X1738">
        <v>0</v>
      </c>
      <c r="Y1738">
        <v>0</v>
      </c>
      <c r="Z1738">
        <v>0</v>
      </c>
      <c r="AA1738">
        <v>10</v>
      </c>
    </row>
    <row r="1739" spans="1:27" ht="14.25" x14ac:dyDescent="0.2">
      <c r="A1739" s="12">
        <v>31006</v>
      </c>
      <c r="B1739" t="s">
        <v>181</v>
      </c>
      <c r="C1739" t="s">
        <v>121</v>
      </c>
      <c r="D1739" t="s">
        <v>121</v>
      </c>
      <c r="E1739" t="s">
        <v>121</v>
      </c>
      <c r="F1739" s="4" t="s">
        <v>2634</v>
      </c>
      <c r="H1739">
        <v>2</v>
      </c>
      <c r="I1739" s="1">
        <v>0</v>
      </c>
      <c r="J1739">
        <v>0</v>
      </c>
      <c r="K1739">
        <v>0</v>
      </c>
      <c r="L1739" s="20">
        <v>24280</v>
      </c>
      <c r="M1739">
        <v>1</v>
      </c>
      <c r="N1739">
        <v>0</v>
      </c>
      <c r="O1739">
        <v>0</v>
      </c>
      <c r="P1739">
        <v>0</v>
      </c>
      <c r="Q1739" s="22">
        <v>72720</v>
      </c>
      <c r="R1739">
        <v>3</v>
      </c>
      <c r="S1739" s="1">
        <v>0</v>
      </c>
      <c r="T1739">
        <v>0</v>
      </c>
      <c r="U1739">
        <v>0</v>
      </c>
      <c r="V1739" s="21">
        <v>36360</v>
      </c>
      <c r="W1739">
        <v>30</v>
      </c>
      <c r="X1739">
        <v>0</v>
      </c>
      <c r="Y1739">
        <v>0</v>
      </c>
      <c r="Z1739">
        <v>0</v>
      </c>
      <c r="AA1739">
        <v>10</v>
      </c>
    </row>
    <row r="1740" spans="1:27" ht="14.25" x14ac:dyDescent="0.2">
      <c r="A1740" s="12">
        <v>31007</v>
      </c>
      <c r="B1740" t="s">
        <v>122</v>
      </c>
      <c r="C1740" t="s">
        <v>121</v>
      </c>
      <c r="D1740" t="s">
        <v>121</v>
      </c>
      <c r="E1740" t="s">
        <v>121</v>
      </c>
      <c r="F1740" s="4" t="s">
        <v>2634</v>
      </c>
      <c r="H1740">
        <v>2</v>
      </c>
      <c r="I1740" s="1">
        <v>0</v>
      </c>
      <c r="J1740">
        <v>0</v>
      </c>
      <c r="K1740">
        <v>0</v>
      </c>
      <c r="L1740" s="20">
        <v>24280</v>
      </c>
      <c r="M1740">
        <v>1</v>
      </c>
      <c r="N1740">
        <v>0</v>
      </c>
      <c r="O1740">
        <v>0</v>
      </c>
      <c r="P1740">
        <v>0</v>
      </c>
      <c r="Q1740" s="22">
        <v>72720</v>
      </c>
      <c r="R1740">
        <v>3</v>
      </c>
      <c r="S1740" s="1">
        <v>0</v>
      </c>
      <c r="T1740">
        <v>0</v>
      </c>
      <c r="U1740">
        <v>0</v>
      </c>
      <c r="V1740" s="21">
        <v>36360</v>
      </c>
      <c r="W1740">
        <v>4</v>
      </c>
      <c r="X1740">
        <v>0</v>
      </c>
      <c r="Y1740">
        <v>0</v>
      </c>
      <c r="Z1740">
        <v>0</v>
      </c>
      <c r="AA1740">
        <v>10</v>
      </c>
    </row>
    <row r="1741" spans="1:27" ht="14.25" x14ac:dyDescent="0.2">
      <c r="A1741" s="12">
        <v>31008</v>
      </c>
      <c r="B1741" t="s">
        <v>178</v>
      </c>
      <c r="C1741" t="s">
        <v>121</v>
      </c>
      <c r="D1741" t="s">
        <v>121</v>
      </c>
      <c r="E1741" t="s">
        <v>121</v>
      </c>
      <c r="F1741" s="4" t="s">
        <v>2636</v>
      </c>
      <c r="H1741">
        <v>2</v>
      </c>
      <c r="I1741" s="1">
        <v>0</v>
      </c>
      <c r="J1741">
        <v>0</v>
      </c>
      <c r="K1741">
        <v>0</v>
      </c>
      <c r="L1741" s="20">
        <v>24280</v>
      </c>
      <c r="M1741">
        <v>1</v>
      </c>
      <c r="N1741">
        <v>0</v>
      </c>
      <c r="O1741">
        <v>0</v>
      </c>
      <c r="P1741">
        <v>0</v>
      </c>
      <c r="Q1741" s="22">
        <v>72840</v>
      </c>
      <c r="R1741">
        <v>3</v>
      </c>
      <c r="S1741" s="1">
        <v>0</v>
      </c>
      <c r="T1741">
        <v>0</v>
      </c>
      <c r="U1741">
        <v>0</v>
      </c>
      <c r="V1741" s="21">
        <v>36420</v>
      </c>
      <c r="W1741">
        <v>21</v>
      </c>
      <c r="X1741">
        <v>0</v>
      </c>
      <c r="Y1741">
        <v>0</v>
      </c>
      <c r="Z1741">
        <v>0</v>
      </c>
      <c r="AA1741">
        <v>1</v>
      </c>
    </row>
    <row r="1742" spans="1:27" ht="14.25" x14ac:dyDescent="0.2">
      <c r="A1742" s="12">
        <v>31009</v>
      </c>
      <c r="B1742" t="s">
        <v>130</v>
      </c>
      <c r="C1742" t="s">
        <v>121</v>
      </c>
      <c r="D1742" t="s">
        <v>121</v>
      </c>
      <c r="E1742" t="s">
        <v>121</v>
      </c>
      <c r="F1742" s="4" t="s">
        <v>2638</v>
      </c>
      <c r="H1742">
        <v>2</v>
      </c>
      <c r="I1742" s="1">
        <v>0</v>
      </c>
      <c r="J1742">
        <v>0</v>
      </c>
      <c r="K1742">
        <v>0</v>
      </c>
      <c r="L1742" s="20">
        <v>24280</v>
      </c>
      <c r="M1742">
        <v>1</v>
      </c>
      <c r="N1742">
        <v>0</v>
      </c>
      <c r="O1742">
        <v>0</v>
      </c>
      <c r="P1742">
        <v>0</v>
      </c>
      <c r="Q1742" s="22">
        <v>72840</v>
      </c>
      <c r="R1742">
        <v>3</v>
      </c>
      <c r="S1742" s="1">
        <v>0</v>
      </c>
      <c r="T1742">
        <v>0</v>
      </c>
      <c r="U1742">
        <v>0</v>
      </c>
      <c r="V1742" s="21">
        <v>36420</v>
      </c>
      <c r="W1742">
        <v>9</v>
      </c>
      <c r="X1742">
        <v>0</v>
      </c>
      <c r="Y1742">
        <v>0</v>
      </c>
      <c r="Z1742">
        <v>0</v>
      </c>
      <c r="AA1742">
        <v>10</v>
      </c>
    </row>
    <row r="1743" spans="1:27" ht="14.25" x14ac:dyDescent="0.2">
      <c r="A1743" s="12">
        <v>31010</v>
      </c>
      <c r="B1743" t="s">
        <v>123</v>
      </c>
      <c r="C1743" t="s">
        <v>121</v>
      </c>
      <c r="D1743" t="s">
        <v>121</v>
      </c>
      <c r="E1743" t="s">
        <v>121</v>
      </c>
      <c r="F1743" s="4" t="s">
        <v>2638</v>
      </c>
      <c r="H1743">
        <v>2</v>
      </c>
      <c r="I1743" s="1">
        <v>0</v>
      </c>
      <c r="J1743">
        <v>0</v>
      </c>
      <c r="K1743">
        <v>0</v>
      </c>
      <c r="L1743" s="20">
        <v>24280</v>
      </c>
      <c r="M1743">
        <v>1</v>
      </c>
      <c r="N1743">
        <v>0</v>
      </c>
      <c r="O1743">
        <v>0</v>
      </c>
      <c r="P1743">
        <v>0</v>
      </c>
      <c r="Q1743" s="22">
        <v>72840</v>
      </c>
      <c r="R1743">
        <v>3</v>
      </c>
      <c r="S1743" s="1">
        <v>0</v>
      </c>
      <c r="T1743">
        <v>0</v>
      </c>
      <c r="U1743">
        <v>0</v>
      </c>
      <c r="V1743" s="21">
        <v>36420</v>
      </c>
      <c r="W1743">
        <v>12</v>
      </c>
      <c r="X1743">
        <v>0</v>
      </c>
      <c r="Y1743">
        <v>0</v>
      </c>
      <c r="Z1743">
        <v>0</v>
      </c>
      <c r="AA1743">
        <v>10</v>
      </c>
    </row>
    <row r="1744" spans="1:27" ht="14.25" x14ac:dyDescent="0.2">
      <c r="A1744" s="12">
        <v>31011</v>
      </c>
      <c r="B1744" t="s">
        <v>126</v>
      </c>
      <c r="C1744" t="s">
        <v>121</v>
      </c>
      <c r="D1744" t="s">
        <v>121</v>
      </c>
      <c r="E1744" t="s">
        <v>121</v>
      </c>
      <c r="F1744" s="4" t="s">
        <v>2640</v>
      </c>
      <c r="H1744">
        <v>2</v>
      </c>
      <c r="I1744" s="1">
        <v>0</v>
      </c>
      <c r="J1744">
        <v>0</v>
      </c>
      <c r="K1744">
        <v>0</v>
      </c>
      <c r="L1744" s="20">
        <v>24320</v>
      </c>
      <c r="M1744">
        <v>1</v>
      </c>
      <c r="N1744">
        <v>0</v>
      </c>
      <c r="O1744">
        <v>0</v>
      </c>
      <c r="P1744">
        <v>0</v>
      </c>
      <c r="Q1744" s="22">
        <v>72840</v>
      </c>
      <c r="R1744">
        <v>3</v>
      </c>
      <c r="S1744" s="1">
        <v>0</v>
      </c>
      <c r="T1744">
        <v>0</v>
      </c>
      <c r="U1744">
        <v>0</v>
      </c>
      <c r="V1744" s="21">
        <v>36420</v>
      </c>
      <c r="W1744">
        <v>23</v>
      </c>
      <c r="X1744">
        <v>0</v>
      </c>
      <c r="Y1744">
        <v>0</v>
      </c>
      <c r="Z1744">
        <v>0</v>
      </c>
      <c r="AA1744">
        <v>1</v>
      </c>
    </row>
    <row r="1745" spans="1:27" ht="14.25" x14ac:dyDescent="0.2">
      <c r="A1745" s="12">
        <v>31012</v>
      </c>
      <c r="B1745" t="s">
        <v>131</v>
      </c>
      <c r="C1745" t="s">
        <v>125</v>
      </c>
      <c r="D1745" t="s">
        <v>121</v>
      </c>
      <c r="E1745" t="s">
        <v>136</v>
      </c>
      <c r="F1745" s="4" t="s">
        <v>2642</v>
      </c>
      <c r="H1745">
        <v>2</v>
      </c>
      <c r="I1745" s="1">
        <v>0</v>
      </c>
      <c r="J1745">
        <v>0</v>
      </c>
      <c r="K1745">
        <v>0</v>
      </c>
      <c r="L1745" s="20">
        <v>24320</v>
      </c>
      <c r="M1745">
        <v>1</v>
      </c>
      <c r="N1745">
        <v>0</v>
      </c>
      <c r="O1745">
        <v>0</v>
      </c>
      <c r="P1745">
        <v>0</v>
      </c>
      <c r="Q1745" s="22">
        <v>72840</v>
      </c>
      <c r="R1745">
        <v>3</v>
      </c>
      <c r="S1745" s="1">
        <v>0</v>
      </c>
      <c r="T1745">
        <v>0</v>
      </c>
      <c r="U1745">
        <v>0</v>
      </c>
      <c r="V1745" s="21">
        <v>36420</v>
      </c>
      <c r="W1745">
        <v>6</v>
      </c>
      <c r="X1745">
        <v>1</v>
      </c>
      <c r="Y1745">
        <v>0</v>
      </c>
      <c r="Z1745">
        <v>3</v>
      </c>
      <c r="AA1745">
        <v>10</v>
      </c>
    </row>
    <row r="1746" spans="1:27" ht="14.25" x14ac:dyDescent="0.2">
      <c r="A1746" s="12">
        <v>31013</v>
      </c>
      <c r="B1746" t="s">
        <v>180</v>
      </c>
      <c r="C1746" t="s">
        <v>121</v>
      </c>
      <c r="D1746" t="s">
        <v>121</v>
      </c>
      <c r="E1746" t="s">
        <v>121</v>
      </c>
      <c r="F1746" s="4" t="s">
        <v>2644</v>
      </c>
      <c r="H1746">
        <v>2</v>
      </c>
      <c r="I1746" s="1">
        <v>0</v>
      </c>
      <c r="J1746">
        <v>0</v>
      </c>
      <c r="K1746">
        <v>0</v>
      </c>
      <c r="L1746" s="20">
        <v>24320</v>
      </c>
      <c r="M1746">
        <v>1</v>
      </c>
      <c r="N1746">
        <v>0</v>
      </c>
      <c r="O1746">
        <v>0</v>
      </c>
      <c r="P1746">
        <v>0</v>
      </c>
      <c r="Q1746" s="22">
        <v>72960</v>
      </c>
      <c r="R1746">
        <v>3</v>
      </c>
      <c r="S1746" s="1">
        <v>0</v>
      </c>
      <c r="T1746">
        <v>0</v>
      </c>
      <c r="U1746">
        <v>0</v>
      </c>
      <c r="V1746" s="21">
        <v>36480</v>
      </c>
      <c r="W1746">
        <v>15</v>
      </c>
      <c r="X1746">
        <v>0</v>
      </c>
      <c r="Y1746">
        <v>0</v>
      </c>
      <c r="Z1746">
        <v>0</v>
      </c>
      <c r="AA1746">
        <v>1</v>
      </c>
    </row>
    <row r="1747" spans="1:27" ht="14.25" x14ac:dyDescent="0.2">
      <c r="A1747" s="12">
        <v>31014</v>
      </c>
      <c r="B1747" t="s">
        <v>178</v>
      </c>
      <c r="C1747" t="s">
        <v>121</v>
      </c>
      <c r="D1747" t="s">
        <v>121</v>
      </c>
      <c r="E1747" t="s">
        <v>121</v>
      </c>
      <c r="F1747" s="4" t="s">
        <v>2644</v>
      </c>
      <c r="H1747">
        <v>2</v>
      </c>
      <c r="I1747" s="1">
        <v>0</v>
      </c>
      <c r="J1747">
        <v>0</v>
      </c>
      <c r="K1747">
        <v>0</v>
      </c>
      <c r="L1747" s="20">
        <v>24320</v>
      </c>
      <c r="M1747">
        <v>1</v>
      </c>
      <c r="N1747">
        <v>0</v>
      </c>
      <c r="O1747">
        <v>0</v>
      </c>
      <c r="P1747">
        <v>0</v>
      </c>
      <c r="Q1747" s="22">
        <v>72960</v>
      </c>
      <c r="R1747">
        <v>3</v>
      </c>
      <c r="S1747" s="1">
        <v>0</v>
      </c>
      <c r="T1747">
        <v>0</v>
      </c>
      <c r="U1747">
        <v>0</v>
      </c>
      <c r="V1747" s="21">
        <v>36480</v>
      </c>
      <c r="W1747">
        <v>21</v>
      </c>
      <c r="X1747">
        <v>0</v>
      </c>
      <c r="Y1747">
        <v>0</v>
      </c>
      <c r="Z1747">
        <v>0</v>
      </c>
      <c r="AA1747">
        <v>1</v>
      </c>
    </row>
    <row r="1748" spans="1:27" ht="14.25" x14ac:dyDescent="0.2">
      <c r="A1748" s="12">
        <v>31015</v>
      </c>
      <c r="B1748" t="s">
        <v>130</v>
      </c>
      <c r="C1748" t="s">
        <v>121</v>
      </c>
      <c r="D1748" t="s">
        <v>121</v>
      </c>
      <c r="E1748" t="s">
        <v>121</v>
      </c>
      <c r="F1748" s="4" t="s">
        <v>2646</v>
      </c>
      <c r="H1748">
        <v>2</v>
      </c>
      <c r="I1748" s="1">
        <v>0</v>
      </c>
      <c r="J1748">
        <v>0</v>
      </c>
      <c r="K1748">
        <v>0</v>
      </c>
      <c r="L1748" s="20">
        <v>24320</v>
      </c>
      <c r="M1748">
        <v>1</v>
      </c>
      <c r="N1748">
        <v>0</v>
      </c>
      <c r="O1748">
        <v>0</v>
      </c>
      <c r="P1748">
        <v>0</v>
      </c>
      <c r="Q1748" s="22">
        <v>72960</v>
      </c>
      <c r="R1748">
        <v>3</v>
      </c>
      <c r="S1748" s="1">
        <v>0</v>
      </c>
      <c r="T1748">
        <v>0</v>
      </c>
      <c r="U1748">
        <v>0</v>
      </c>
      <c r="V1748" s="21">
        <v>36480</v>
      </c>
      <c r="W1748">
        <v>9</v>
      </c>
      <c r="X1748">
        <v>0</v>
      </c>
      <c r="Y1748">
        <v>0</v>
      </c>
      <c r="Z1748">
        <v>0</v>
      </c>
      <c r="AA1748">
        <v>10</v>
      </c>
    </row>
    <row r="1749" spans="1:27" ht="14.25" x14ac:dyDescent="0.2">
      <c r="A1749" s="12">
        <v>31016</v>
      </c>
      <c r="B1749" t="s">
        <v>181</v>
      </c>
      <c r="C1749" t="s">
        <v>121</v>
      </c>
      <c r="D1749" t="s">
        <v>121</v>
      </c>
      <c r="E1749" t="s">
        <v>121</v>
      </c>
      <c r="F1749" s="4" t="s">
        <v>2648</v>
      </c>
      <c r="H1749">
        <v>2</v>
      </c>
      <c r="I1749" s="1">
        <v>0</v>
      </c>
      <c r="J1749">
        <v>0</v>
      </c>
      <c r="K1749">
        <v>0</v>
      </c>
      <c r="L1749" s="20">
        <v>24360</v>
      </c>
      <c r="M1749">
        <v>1</v>
      </c>
      <c r="N1749">
        <v>0</v>
      </c>
      <c r="O1749">
        <v>0</v>
      </c>
      <c r="P1749">
        <v>0</v>
      </c>
      <c r="Q1749" s="22">
        <v>72960</v>
      </c>
      <c r="R1749">
        <v>3</v>
      </c>
      <c r="S1749" s="1">
        <v>0</v>
      </c>
      <c r="T1749">
        <v>0</v>
      </c>
      <c r="U1749">
        <v>0</v>
      </c>
      <c r="V1749" s="21">
        <v>36480</v>
      </c>
      <c r="W1749">
        <v>30</v>
      </c>
      <c r="X1749">
        <v>0</v>
      </c>
      <c r="Y1749">
        <v>0</v>
      </c>
      <c r="Z1749">
        <v>0</v>
      </c>
      <c r="AA1749">
        <v>10</v>
      </c>
    </row>
    <row r="1750" spans="1:27" ht="14.25" x14ac:dyDescent="0.2">
      <c r="A1750" s="12">
        <v>31017</v>
      </c>
      <c r="B1750" t="s">
        <v>122</v>
      </c>
      <c r="C1750" t="s">
        <v>121</v>
      </c>
      <c r="D1750" t="s">
        <v>121</v>
      </c>
      <c r="E1750" t="s">
        <v>121</v>
      </c>
      <c r="F1750" s="4" t="s">
        <v>2648</v>
      </c>
      <c r="H1750">
        <v>2</v>
      </c>
      <c r="I1750" s="1">
        <v>0</v>
      </c>
      <c r="J1750">
        <v>0</v>
      </c>
      <c r="K1750">
        <v>0</v>
      </c>
      <c r="L1750" s="20">
        <v>24360</v>
      </c>
      <c r="M1750">
        <v>1</v>
      </c>
      <c r="N1750">
        <v>0</v>
      </c>
      <c r="O1750">
        <v>0</v>
      </c>
      <c r="P1750">
        <v>0</v>
      </c>
      <c r="Q1750" s="22">
        <v>72960</v>
      </c>
      <c r="R1750">
        <v>3</v>
      </c>
      <c r="S1750" s="1">
        <v>0</v>
      </c>
      <c r="T1750">
        <v>0</v>
      </c>
      <c r="U1750">
        <v>0</v>
      </c>
      <c r="V1750" s="21">
        <v>36480</v>
      </c>
      <c r="W1750">
        <v>4</v>
      </c>
      <c r="X1750">
        <v>0</v>
      </c>
      <c r="Y1750">
        <v>0</v>
      </c>
      <c r="Z1750">
        <v>0</v>
      </c>
      <c r="AA1750">
        <v>10</v>
      </c>
    </row>
    <row r="1751" spans="1:27" ht="14.25" x14ac:dyDescent="0.2">
      <c r="A1751" s="12">
        <v>31018</v>
      </c>
      <c r="B1751" t="s">
        <v>178</v>
      </c>
      <c r="C1751" t="s">
        <v>121</v>
      </c>
      <c r="D1751" t="s">
        <v>121</v>
      </c>
      <c r="E1751" t="s">
        <v>121</v>
      </c>
      <c r="F1751" s="4" t="s">
        <v>2650</v>
      </c>
      <c r="H1751">
        <v>2</v>
      </c>
      <c r="I1751" s="1">
        <v>0</v>
      </c>
      <c r="J1751">
        <v>0</v>
      </c>
      <c r="K1751">
        <v>0</v>
      </c>
      <c r="L1751" s="20">
        <v>24360</v>
      </c>
      <c r="M1751">
        <v>1</v>
      </c>
      <c r="N1751">
        <v>0</v>
      </c>
      <c r="O1751">
        <v>0</v>
      </c>
      <c r="P1751">
        <v>0</v>
      </c>
      <c r="Q1751" s="22">
        <v>73080</v>
      </c>
      <c r="R1751">
        <v>3</v>
      </c>
      <c r="S1751" s="1">
        <v>0</v>
      </c>
      <c r="T1751">
        <v>0</v>
      </c>
      <c r="U1751">
        <v>0</v>
      </c>
      <c r="V1751" s="21">
        <v>36540</v>
      </c>
      <c r="W1751">
        <v>21</v>
      </c>
      <c r="X1751">
        <v>0</v>
      </c>
      <c r="Y1751">
        <v>0</v>
      </c>
      <c r="Z1751">
        <v>0</v>
      </c>
      <c r="AA1751">
        <v>1</v>
      </c>
    </row>
    <row r="1752" spans="1:27" ht="14.25" x14ac:dyDescent="0.2">
      <c r="A1752" s="12">
        <v>31019</v>
      </c>
      <c r="B1752" t="s">
        <v>130</v>
      </c>
      <c r="C1752" t="s">
        <v>121</v>
      </c>
      <c r="D1752" t="s">
        <v>121</v>
      </c>
      <c r="E1752" t="s">
        <v>121</v>
      </c>
      <c r="F1752" s="4" t="s">
        <v>2652</v>
      </c>
      <c r="H1752">
        <v>2</v>
      </c>
      <c r="I1752" s="1">
        <v>0</v>
      </c>
      <c r="J1752">
        <v>0</v>
      </c>
      <c r="K1752">
        <v>0</v>
      </c>
      <c r="L1752" s="20">
        <v>24360</v>
      </c>
      <c r="M1752">
        <v>1</v>
      </c>
      <c r="N1752">
        <v>0</v>
      </c>
      <c r="O1752">
        <v>0</v>
      </c>
      <c r="P1752">
        <v>0</v>
      </c>
      <c r="Q1752" s="22">
        <v>73080</v>
      </c>
      <c r="R1752">
        <v>3</v>
      </c>
      <c r="S1752" s="1">
        <v>0</v>
      </c>
      <c r="T1752">
        <v>0</v>
      </c>
      <c r="U1752">
        <v>0</v>
      </c>
      <c r="V1752" s="21">
        <v>36540</v>
      </c>
      <c r="W1752">
        <v>9</v>
      </c>
      <c r="X1752">
        <v>0</v>
      </c>
      <c r="Y1752">
        <v>0</v>
      </c>
      <c r="Z1752">
        <v>0</v>
      </c>
      <c r="AA1752">
        <v>10</v>
      </c>
    </row>
    <row r="1753" spans="1:27" ht="14.25" x14ac:dyDescent="0.2">
      <c r="A1753" s="12">
        <v>31020</v>
      </c>
      <c r="B1753" t="s">
        <v>123</v>
      </c>
      <c r="C1753" t="s">
        <v>121</v>
      </c>
      <c r="D1753" t="s">
        <v>121</v>
      </c>
      <c r="E1753" t="s">
        <v>121</v>
      </c>
      <c r="F1753" s="4" t="s">
        <v>2652</v>
      </c>
      <c r="H1753">
        <v>2</v>
      </c>
      <c r="I1753" s="1">
        <v>0</v>
      </c>
      <c r="J1753">
        <v>0</v>
      </c>
      <c r="K1753">
        <v>0</v>
      </c>
      <c r="L1753" s="20">
        <v>24360</v>
      </c>
      <c r="M1753">
        <v>1</v>
      </c>
      <c r="N1753">
        <v>0</v>
      </c>
      <c r="O1753">
        <v>0</v>
      </c>
      <c r="P1753">
        <v>0</v>
      </c>
      <c r="Q1753" s="22">
        <v>73080</v>
      </c>
      <c r="R1753">
        <v>3</v>
      </c>
      <c r="S1753" s="1">
        <v>0</v>
      </c>
      <c r="T1753">
        <v>0</v>
      </c>
      <c r="U1753">
        <v>0</v>
      </c>
      <c r="V1753" s="21">
        <v>36540</v>
      </c>
      <c r="W1753">
        <v>12</v>
      </c>
      <c r="X1753">
        <v>0</v>
      </c>
      <c r="Y1753">
        <v>0</v>
      </c>
      <c r="Z1753">
        <v>0</v>
      </c>
      <c r="AA1753">
        <v>10</v>
      </c>
    </row>
    <row r="1754" spans="1:27" ht="14.25" x14ac:dyDescent="0.2">
      <c r="A1754" s="12">
        <v>31021</v>
      </c>
      <c r="B1754" t="s">
        <v>126</v>
      </c>
      <c r="C1754" t="s">
        <v>121</v>
      </c>
      <c r="D1754" t="s">
        <v>121</v>
      </c>
      <c r="E1754" t="s">
        <v>121</v>
      </c>
      <c r="F1754" s="4" t="s">
        <v>2654</v>
      </c>
      <c r="H1754">
        <v>2</v>
      </c>
      <c r="I1754" s="1">
        <v>0</v>
      </c>
      <c r="J1754">
        <v>0</v>
      </c>
      <c r="K1754">
        <v>0</v>
      </c>
      <c r="L1754" s="20">
        <v>24400</v>
      </c>
      <c r="M1754">
        <v>1</v>
      </c>
      <c r="N1754">
        <v>0</v>
      </c>
      <c r="O1754">
        <v>0</v>
      </c>
      <c r="P1754">
        <v>0</v>
      </c>
      <c r="Q1754" s="22">
        <v>73080</v>
      </c>
      <c r="R1754">
        <v>3</v>
      </c>
      <c r="S1754" s="1">
        <v>0</v>
      </c>
      <c r="T1754">
        <v>0</v>
      </c>
      <c r="U1754">
        <v>0</v>
      </c>
      <c r="V1754" s="21">
        <v>36540</v>
      </c>
      <c r="W1754">
        <v>23</v>
      </c>
      <c r="X1754">
        <v>0</v>
      </c>
      <c r="Y1754">
        <v>0</v>
      </c>
      <c r="Z1754">
        <v>0</v>
      </c>
      <c r="AA1754">
        <v>1</v>
      </c>
    </row>
    <row r="1755" spans="1:27" ht="14.25" x14ac:dyDescent="0.2">
      <c r="A1755" s="12">
        <v>31022</v>
      </c>
      <c r="B1755" t="s">
        <v>131</v>
      </c>
      <c r="C1755" t="s">
        <v>125</v>
      </c>
      <c r="D1755" t="s">
        <v>121</v>
      </c>
      <c r="E1755" t="s">
        <v>136</v>
      </c>
      <c r="F1755" s="4" t="s">
        <v>2656</v>
      </c>
      <c r="H1755">
        <v>2</v>
      </c>
      <c r="I1755" s="1">
        <v>0</v>
      </c>
      <c r="J1755">
        <v>0</v>
      </c>
      <c r="K1755">
        <v>0</v>
      </c>
      <c r="L1755" s="20">
        <v>24400</v>
      </c>
      <c r="M1755">
        <v>1</v>
      </c>
      <c r="N1755">
        <v>0</v>
      </c>
      <c r="O1755">
        <v>0</v>
      </c>
      <c r="P1755">
        <v>0</v>
      </c>
      <c r="Q1755" s="22">
        <v>73080</v>
      </c>
      <c r="R1755">
        <v>3</v>
      </c>
      <c r="S1755" s="1">
        <v>0</v>
      </c>
      <c r="T1755">
        <v>0</v>
      </c>
      <c r="U1755">
        <v>0</v>
      </c>
      <c r="V1755" s="21">
        <v>36540</v>
      </c>
      <c r="W1755">
        <v>6</v>
      </c>
      <c r="X1755">
        <v>1</v>
      </c>
      <c r="Y1755">
        <v>0</v>
      </c>
      <c r="Z1755">
        <v>3</v>
      </c>
      <c r="AA1755">
        <v>10</v>
      </c>
    </row>
    <row r="1756" spans="1:27" ht="14.25" x14ac:dyDescent="0.2">
      <c r="A1756" s="12">
        <v>31023</v>
      </c>
      <c r="B1756" t="s">
        <v>180</v>
      </c>
      <c r="C1756" t="s">
        <v>121</v>
      </c>
      <c r="D1756" t="s">
        <v>121</v>
      </c>
      <c r="E1756" t="s">
        <v>121</v>
      </c>
      <c r="F1756" s="4" t="s">
        <v>2658</v>
      </c>
      <c r="H1756">
        <v>2</v>
      </c>
      <c r="I1756" s="1">
        <v>0</v>
      </c>
      <c r="J1756">
        <v>0</v>
      </c>
      <c r="K1756">
        <v>0</v>
      </c>
      <c r="L1756" s="20">
        <v>24400</v>
      </c>
      <c r="M1756">
        <v>1</v>
      </c>
      <c r="N1756">
        <v>0</v>
      </c>
      <c r="O1756">
        <v>0</v>
      </c>
      <c r="P1756">
        <v>0</v>
      </c>
      <c r="Q1756" s="22">
        <v>73200</v>
      </c>
      <c r="R1756">
        <v>3</v>
      </c>
      <c r="S1756" s="1">
        <v>0</v>
      </c>
      <c r="T1756">
        <v>0</v>
      </c>
      <c r="U1756">
        <v>0</v>
      </c>
      <c r="V1756" s="21">
        <v>36600</v>
      </c>
      <c r="W1756">
        <v>15</v>
      </c>
      <c r="X1756">
        <v>0</v>
      </c>
      <c r="Y1756">
        <v>0</v>
      </c>
      <c r="Z1756">
        <v>0</v>
      </c>
      <c r="AA1756">
        <v>1</v>
      </c>
    </row>
    <row r="1757" spans="1:27" ht="14.25" x14ac:dyDescent="0.2">
      <c r="A1757" s="12">
        <v>31024</v>
      </c>
      <c r="B1757" t="s">
        <v>178</v>
      </c>
      <c r="C1757" t="s">
        <v>121</v>
      </c>
      <c r="D1757" t="s">
        <v>121</v>
      </c>
      <c r="E1757" t="s">
        <v>121</v>
      </c>
      <c r="F1757" s="4" t="s">
        <v>2658</v>
      </c>
      <c r="H1757">
        <v>2</v>
      </c>
      <c r="I1757" s="1">
        <v>0</v>
      </c>
      <c r="J1757">
        <v>0</v>
      </c>
      <c r="K1757">
        <v>0</v>
      </c>
      <c r="L1757" s="20">
        <v>24400</v>
      </c>
      <c r="M1757">
        <v>1</v>
      </c>
      <c r="N1757">
        <v>0</v>
      </c>
      <c r="O1757">
        <v>0</v>
      </c>
      <c r="P1757">
        <v>0</v>
      </c>
      <c r="Q1757" s="22">
        <v>73200</v>
      </c>
      <c r="R1757">
        <v>3</v>
      </c>
      <c r="S1757" s="1">
        <v>0</v>
      </c>
      <c r="T1757">
        <v>0</v>
      </c>
      <c r="U1757">
        <v>0</v>
      </c>
      <c r="V1757" s="21">
        <v>36600</v>
      </c>
      <c r="W1757">
        <v>21</v>
      </c>
      <c r="X1757">
        <v>0</v>
      </c>
      <c r="Y1757">
        <v>0</v>
      </c>
      <c r="Z1757">
        <v>0</v>
      </c>
      <c r="AA1757">
        <v>1</v>
      </c>
    </row>
    <row r="1758" spans="1:27" ht="14.25" x14ac:dyDescent="0.2">
      <c r="A1758" s="12">
        <v>31025</v>
      </c>
      <c r="B1758" t="s">
        <v>130</v>
      </c>
      <c r="C1758" t="s">
        <v>121</v>
      </c>
      <c r="D1758" t="s">
        <v>121</v>
      </c>
      <c r="E1758" t="s">
        <v>121</v>
      </c>
      <c r="F1758" s="4" t="s">
        <v>2660</v>
      </c>
      <c r="H1758">
        <v>2</v>
      </c>
      <c r="I1758" s="1">
        <v>0</v>
      </c>
      <c r="J1758">
        <v>0</v>
      </c>
      <c r="K1758">
        <v>0</v>
      </c>
      <c r="L1758" s="20">
        <v>24400</v>
      </c>
      <c r="M1758">
        <v>1</v>
      </c>
      <c r="N1758">
        <v>0</v>
      </c>
      <c r="O1758">
        <v>0</v>
      </c>
      <c r="P1758">
        <v>0</v>
      </c>
      <c r="Q1758" s="22">
        <v>73200</v>
      </c>
      <c r="R1758">
        <v>3</v>
      </c>
      <c r="S1758" s="1">
        <v>0</v>
      </c>
      <c r="T1758">
        <v>0</v>
      </c>
      <c r="U1758">
        <v>0</v>
      </c>
      <c r="V1758" s="21">
        <v>36600</v>
      </c>
      <c r="W1758">
        <v>9</v>
      </c>
      <c r="X1758">
        <v>0</v>
      </c>
      <c r="Y1758">
        <v>0</v>
      </c>
      <c r="Z1758">
        <v>0</v>
      </c>
      <c r="AA1758">
        <v>10</v>
      </c>
    </row>
    <row r="1759" spans="1:27" ht="14.25" x14ac:dyDescent="0.2">
      <c r="A1759" s="12">
        <v>31026</v>
      </c>
      <c r="B1759" t="s">
        <v>181</v>
      </c>
      <c r="C1759" t="s">
        <v>121</v>
      </c>
      <c r="D1759" t="s">
        <v>121</v>
      </c>
      <c r="E1759" t="s">
        <v>121</v>
      </c>
      <c r="F1759" s="4" t="s">
        <v>2662</v>
      </c>
      <c r="H1759">
        <v>2</v>
      </c>
      <c r="I1759" s="1">
        <v>0</v>
      </c>
      <c r="J1759">
        <v>0</v>
      </c>
      <c r="K1759">
        <v>0</v>
      </c>
      <c r="L1759" s="20">
        <v>24440</v>
      </c>
      <c r="M1759">
        <v>1</v>
      </c>
      <c r="N1759">
        <v>0</v>
      </c>
      <c r="O1759">
        <v>0</v>
      </c>
      <c r="P1759">
        <v>0</v>
      </c>
      <c r="Q1759" s="22">
        <v>73200</v>
      </c>
      <c r="R1759">
        <v>3</v>
      </c>
      <c r="S1759" s="1">
        <v>0</v>
      </c>
      <c r="T1759">
        <v>0</v>
      </c>
      <c r="U1759">
        <v>0</v>
      </c>
      <c r="V1759" s="21">
        <v>36600</v>
      </c>
      <c r="W1759">
        <v>30</v>
      </c>
      <c r="X1759">
        <v>0</v>
      </c>
      <c r="Y1759">
        <v>0</v>
      </c>
      <c r="Z1759">
        <v>0</v>
      </c>
      <c r="AA1759">
        <v>10</v>
      </c>
    </row>
    <row r="1760" spans="1:27" ht="14.25" x14ac:dyDescent="0.2">
      <c r="A1760" s="12">
        <v>31027</v>
      </c>
      <c r="B1760" t="s">
        <v>122</v>
      </c>
      <c r="C1760" t="s">
        <v>121</v>
      </c>
      <c r="D1760" t="s">
        <v>121</v>
      </c>
      <c r="E1760" t="s">
        <v>121</v>
      </c>
      <c r="F1760" s="4" t="s">
        <v>2662</v>
      </c>
      <c r="H1760">
        <v>2</v>
      </c>
      <c r="I1760" s="1">
        <v>0</v>
      </c>
      <c r="J1760">
        <v>0</v>
      </c>
      <c r="K1760">
        <v>0</v>
      </c>
      <c r="L1760" s="20">
        <v>24440</v>
      </c>
      <c r="M1760">
        <v>1</v>
      </c>
      <c r="N1760">
        <v>0</v>
      </c>
      <c r="O1760">
        <v>0</v>
      </c>
      <c r="P1760">
        <v>0</v>
      </c>
      <c r="Q1760" s="22">
        <v>73200</v>
      </c>
      <c r="R1760">
        <v>3</v>
      </c>
      <c r="S1760" s="1">
        <v>0</v>
      </c>
      <c r="T1760">
        <v>0</v>
      </c>
      <c r="U1760">
        <v>0</v>
      </c>
      <c r="V1760" s="21">
        <v>36600</v>
      </c>
      <c r="W1760">
        <v>4</v>
      </c>
      <c r="X1760">
        <v>0</v>
      </c>
      <c r="Y1760">
        <v>0</v>
      </c>
      <c r="Z1760">
        <v>0</v>
      </c>
      <c r="AA1760">
        <v>10</v>
      </c>
    </row>
    <row r="1761" spans="1:27" ht="14.25" x14ac:dyDescent="0.2">
      <c r="A1761" s="12">
        <v>31028</v>
      </c>
      <c r="B1761" t="s">
        <v>178</v>
      </c>
      <c r="C1761" t="s">
        <v>121</v>
      </c>
      <c r="D1761" t="s">
        <v>121</v>
      </c>
      <c r="E1761" t="s">
        <v>121</v>
      </c>
      <c r="F1761" s="4" t="s">
        <v>2664</v>
      </c>
      <c r="H1761">
        <v>2</v>
      </c>
      <c r="I1761" s="1">
        <v>0</v>
      </c>
      <c r="J1761">
        <v>0</v>
      </c>
      <c r="K1761">
        <v>0</v>
      </c>
      <c r="L1761" s="20">
        <v>24440</v>
      </c>
      <c r="M1761">
        <v>1</v>
      </c>
      <c r="N1761">
        <v>0</v>
      </c>
      <c r="O1761">
        <v>0</v>
      </c>
      <c r="P1761">
        <v>0</v>
      </c>
      <c r="Q1761" s="22">
        <v>73320</v>
      </c>
      <c r="R1761">
        <v>3</v>
      </c>
      <c r="S1761" s="1">
        <v>0</v>
      </c>
      <c r="T1761">
        <v>0</v>
      </c>
      <c r="U1761">
        <v>0</v>
      </c>
      <c r="V1761" s="21">
        <v>36660</v>
      </c>
      <c r="W1761">
        <v>21</v>
      </c>
      <c r="X1761">
        <v>0</v>
      </c>
      <c r="Y1761">
        <v>0</v>
      </c>
      <c r="Z1761">
        <v>0</v>
      </c>
      <c r="AA1761">
        <v>1</v>
      </c>
    </row>
    <row r="1762" spans="1:27" ht="14.25" x14ac:dyDescent="0.2">
      <c r="A1762" s="12">
        <v>31029</v>
      </c>
      <c r="B1762" t="s">
        <v>130</v>
      </c>
      <c r="C1762" t="s">
        <v>121</v>
      </c>
      <c r="D1762" t="s">
        <v>121</v>
      </c>
      <c r="E1762" t="s">
        <v>121</v>
      </c>
      <c r="F1762" s="4" t="s">
        <v>2666</v>
      </c>
      <c r="H1762">
        <v>2</v>
      </c>
      <c r="I1762" s="1">
        <v>0</v>
      </c>
      <c r="J1762">
        <v>0</v>
      </c>
      <c r="K1762">
        <v>0</v>
      </c>
      <c r="L1762" s="20">
        <v>24440</v>
      </c>
      <c r="M1762">
        <v>1</v>
      </c>
      <c r="N1762">
        <v>0</v>
      </c>
      <c r="O1762">
        <v>0</v>
      </c>
      <c r="P1762">
        <v>0</v>
      </c>
      <c r="Q1762" s="22">
        <v>73320</v>
      </c>
      <c r="R1762">
        <v>3</v>
      </c>
      <c r="S1762" s="1">
        <v>0</v>
      </c>
      <c r="T1762">
        <v>0</v>
      </c>
      <c r="U1762">
        <v>0</v>
      </c>
      <c r="V1762" s="21">
        <v>36660</v>
      </c>
      <c r="W1762">
        <v>9</v>
      </c>
      <c r="X1762">
        <v>0</v>
      </c>
      <c r="Y1762">
        <v>0</v>
      </c>
      <c r="Z1762">
        <v>0</v>
      </c>
      <c r="AA1762">
        <v>10</v>
      </c>
    </row>
    <row r="1763" spans="1:27" ht="14.25" x14ac:dyDescent="0.2">
      <c r="A1763" s="12">
        <v>31030</v>
      </c>
      <c r="B1763" t="s">
        <v>123</v>
      </c>
      <c r="C1763" t="s">
        <v>121</v>
      </c>
      <c r="D1763" t="s">
        <v>121</v>
      </c>
      <c r="E1763" t="s">
        <v>121</v>
      </c>
      <c r="F1763" s="4" t="s">
        <v>2666</v>
      </c>
      <c r="H1763">
        <v>2</v>
      </c>
      <c r="I1763" s="1">
        <v>0</v>
      </c>
      <c r="J1763">
        <v>0</v>
      </c>
      <c r="K1763">
        <v>0</v>
      </c>
      <c r="L1763" s="20">
        <v>24440</v>
      </c>
      <c r="M1763">
        <v>1</v>
      </c>
      <c r="N1763">
        <v>0</v>
      </c>
      <c r="O1763">
        <v>0</v>
      </c>
      <c r="P1763">
        <v>0</v>
      </c>
      <c r="Q1763" s="22">
        <v>73320</v>
      </c>
      <c r="R1763">
        <v>3</v>
      </c>
      <c r="S1763" s="1">
        <v>0</v>
      </c>
      <c r="T1763">
        <v>0</v>
      </c>
      <c r="U1763">
        <v>0</v>
      </c>
      <c r="V1763" s="21">
        <v>36660</v>
      </c>
      <c r="W1763">
        <v>12</v>
      </c>
      <c r="X1763">
        <v>0</v>
      </c>
      <c r="Y1763">
        <v>0</v>
      </c>
      <c r="Z1763">
        <v>0</v>
      </c>
      <c r="AA1763">
        <v>10</v>
      </c>
    </row>
    <row r="1764" spans="1:27" ht="14.25" x14ac:dyDescent="0.2">
      <c r="A1764" s="12">
        <v>31031</v>
      </c>
      <c r="B1764" t="s">
        <v>126</v>
      </c>
      <c r="C1764" t="s">
        <v>121</v>
      </c>
      <c r="D1764" t="s">
        <v>121</v>
      </c>
      <c r="E1764" t="s">
        <v>121</v>
      </c>
      <c r="F1764" s="4" t="s">
        <v>2668</v>
      </c>
      <c r="H1764">
        <v>2</v>
      </c>
      <c r="I1764" s="1">
        <v>0</v>
      </c>
      <c r="J1764">
        <v>0</v>
      </c>
      <c r="K1764">
        <v>0</v>
      </c>
      <c r="L1764" s="20">
        <v>24480</v>
      </c>
      <c r="M1764">
        <v>1</v>
      </c>
      <c r="N1764">
        <v>0</v>
      </c>
      <c r="O1764">
        <v>0</v>
      </c>
      <c r="P1764">
        <v>0</v>
      </c>
      <c r="Q1764" s="22">
        <v>73320</v>
      </c>
      <c r="R1764">
        <v>3</v>
      </c>
      <c r="S1764" s="1">
        <v>0</v>
      </c>
      <c r="T1764">
        <v>0</v>
      </c>
      <c r="U1764">
        <v>0</v>
      </c>
      <c r="V1764" s="21">
        <v>36660</v>
      </c>
      <c r="W1764">
        <v>23</v>
      </c>
      <c r="X1764">
        <v>0</v>
      </c>
      <c r="Y1764">
        <v>0</v>
      </c>
      <c r="Z1764">
        <v>0</v>
      </c>
      <c r="AA1764">
        <v>1</v>
      </c>
    </row>
    <row r="1765" spans="1:27" ht="14.25" x14ac:dyDescent="0.2">
      <c r="A1765" s="12">
        <v>31032</v>
      </c>
      <c r="B1765" t="s">
        <v>131</v>
      </c>
      <c r="C1765" t="s">
        <v>125</v>
      </c>
      <c r="D1765" t="s">
        <v>121</v>
      </c>
      <c r="E1765" t="s">
        <v>136</v>
      </c>
      <c r="F1765" s="4" t="s">
        <v>2670</v>
      </c>
      <c r="H1765">
        <v>2</v>
      </c>
      <c r="I1765" s="1">
        <v>0</v>
      </c>
      <c r="J1765">
        <v>0</v>
      </c>
      <c r="K1765">
        <v>0</v>
      </c>
      <c r="L1765" s="20">
        <v>24480</v>
      </c>
      <c r="M1765">
        <v>1</v>
      </c>
      <c r="N1765">
        <v>0</v>
      </c>
      <c r="O1765">
        <v>0</v>
      </c>
      <c r="P1765">
        <v>0</v>
      </c>
      <c r="Q1765" s="22">
        <v>73320</v>
      </c>
      <c r="R1765">
        <v>3</v>
      </c>
      <c r="S1765" s="1">
        <v>0</v>
      </c>
      <c r="T1765">
        <v>0</v>
      </c>
      <c r="U1765">
        <v>0</v>
      </c>
      <c r="V1765" s="21">
        <v>36660</v>
      </c>
      <c r="W1765">
        <v>6</v>
      </c>
      <c r="X1765">
        <v>1</v>
      </c>
      <c r="Y1765">
        <v>0</v>
      </c>
      <c r="Z1765">
        <v>3</v>
      </c>
      <c r="AA1765">
        <v>10</v>
      </c>
    </row>
    <row r="1766" spans="1:27" ht="14.25" x14ac:dyDescent="0.2">
      <c r="A1766" s="12">
        <v>31033</v>
      </c>
      <c r="B1766" t="s">
        <v>180</v>
      </c>
      <c r="C1766" t="s">
        <v>121</v>
      </c>
      <c r="D1766" t="s">
        <v>121</v>
      </c>
      <c r="E1766" t="s">
        <v>121</v>
      </c>
      <c r="F1766" s="4" t="s">
        <v>2672</v>
      </c>
      <c r="H1766">
        <v>2</v>
      </c>
      <c r="I1766" s="1">
        <v>0</v>
      </c>
      <c r="J1766">
        <v>0</v>
      </c>
      <c r="K1766">
        <v>0</v>
      </c>
      <c r="L1766" s="20">
        <v>24480</v>
      </c>
      <c r="M1766">
        <v>1</v>
      </c>
      <c r="N1766">
        <v>0</v>
      </c>
      <c r="O1766">
        <v>0</v>
      </c>
      <c r="P1766">
        <v>0</v>
      </c>
      <c r="Q1766" s="22">
        <v>73440</v>
      </c>
      <c r="R1766">
        <v>3</v>
      </c>
      <c r="S1766" s="1">
        <v>0</v>
      </c>
      <c r="T1766">
        <v>0</v>
      </c>
      <c r="U1766">
        <v>0</v>
      </c>
      <c r="V1766" s="21">
        <v>36720</v>
      </c>
      <c r="W1766">
        <v>15</v>
      </c>
      <c r="X1766">
        <v>0</v>
      </c>
      <c r="Y1766">
        <v>0</v>
      </c>
      <c r="Z1766">
        <v>0</v>
      </c>
      <c r="AA1766">
        <v>1</v>
      </c>
    </row>
    <row r="1767" spans="1:27" ht="14.25" x14ac:dyDescent="0.2">
      <c r="A1767" s="12">
        <v>31034</v>
      </c>
      <c r="B1767" t="s">
        <v>178</v>
      </c>
      <c r="C1767" t="s">
        <v>121</v>
      </c>
      <c r="D1767" t="s">
        <v>121</v>
      </c>
      <c r="E1767" t="s">
        <v>121</v>
      </c>
      <c r="F1767" s="4" t="s">
        <v>2672</v>
      </c>
      <c r="H1767">
        <v>2</v>
      </c>
      <c r="I1767" s="1">
        <v>0</v>
      </c>
      <c r="J1767">
        <v>0</v>
      </c>
      <c r="K1767">
        <v>0</v>
      </c>
      <c r="L1767" s="20">
        <v>24480</v>
      </c>
      <c r="M1767">
        <v>1</v>
      </c>
      <c r="N1767">
        <v>0</v>
      </c>
      <c r="O1767">
        <v>0</v>
      </c>
      <c r="P1767">
        <v>0</v>
      </c>
      <c r="Q1767" s="22">
        <v>73440</v>
      </c>
      <c r="R1767">
        <v>3</v>
      </c>
      <c r="S1767" s="1">
        <v>0</v>
      </c>
      <c r="T1767">
        <v>0</v>
      </c>
      <c r="U1767">
        <v>0</v>
      </c>
      <c r="V1767" s="21">
        <v>36720</v>
      </c>
      <c r="W1767">
        <v>21</v>
      </c>
      <c r="X1767">
        <v>0</v>
      </c>
      <c r="Y1767">
        <v>0</v>
      </c>
      <c r="Z1767">
        <v>0</v>
      </c>
      <c r="AA1767">
        <v>1</v>
      </c>
    </row>
    <row r="1768" spans="1:27" ht="14.25" x14ac:dyDescent="0.2">
      <c r="A1768" s="12">
        <v>31035</v>
      </c>
      <c r="B1768" t="s">
        <v>130</v>
      </c>
      <c r="C1768" t="s">
        <v>121</v>
      </c>
      <c r="D1768" t="s">
        <v>121</v>
      </c>
      <c r="E1768" t="s">
        <v>121</v>
      </c>
      <c r="F1768" s="4" t="s">
        <v>2674</v>
      </c>
      <c r="H1768">
        <v>2</v>
      </c>
      <c r="I1768" s="1">
        <v>0</v>
      </c>
      <c r="J1768">
        <v>0</v>
      </c>
      <c r="K1768">
        <v>0</v>
      </c>
      <c r="L1768" s="20">
        <v>24480</v>
      </c>
      <c r="M1768">
        <v>1</v>
      </c>
      <c r="N1768">
        <v>0</v>
      </c>
      <c r="O1768">
        <v>0</v>
      </c>
      <c r="P1768">
        <v>0</v>
      </c>
      <c r="Q1768" s="22">
        <v>73440</v>
      </c>
      <c r="R1768">
        <v>3</v>
      </c>
      <c r="S1768" s="1">
        <v>0</v>
      </c>
      <c r="T1768">
        <v>0</v>
      </c>
      <c r="U1768">
        <v>0</v>
      </c>
      <c r="V1768" s="21">
        <v>36720</v>
      </c>
      <c r="W1768">
        <v>9</v>
      </c>
      <c r="X1768">
        <v>0</v>
      </c>
      <c r="Y1768">
        <v>0</v>
      </c>
      <c r="Z1768">
        <v>0</v>
      </c>
      <c r="AA1768">
        <v>10</v>
      </c>
    </row>
    <row r="1769" spans="1:27" ht="14.25" x14ac:dyDescent="0.2">
      <c r="A1769" s="12">
        <v>31036</v>
      </c>
      <c r="B1769" t="s">
        <v>181</v>
      </c>
      <c r="C1769" t="s">
        <v>121</v>
      </c>
      <c r="D1769" t="s">
        <v>121</v>
      </c>
      <c r="E1769" t="s">
        <v>121</v>
      </c>
      <c r="F1769" s="4" t="s">
        <v>2676</v>
      </c>
      <c r="H1769">
        <v>2</v>
      </c>
      <c r="I1769" s="1">
        <v>0</v>
      </c>
      <c r="J1769">
        <v>0</v>
      </c>
      <c r="K1769">
        <v>0</v>
      </c>
      <c r="L1769" s="20">
        <v>24520</v>
      </c>
      <c r="M1769">
        <v>1</v>
      </c>
      <c r="N1769">
        <v>0</v>
      </c>
      <c r="O1769">
        <v>0</v>
      </c>
      <c r="P1769">
        <v>0</v>
      </c>
      <c r="Q1769" s="22">
        <v>73440</v>
      </c>
      <c r="R1769">
        <v>3</v>
      </c>
      <c r="S1769" s="1">
        <v>0</v>
      </c>
      <c r="T1769">
        <v>0</v>
      </c>
      <c r="U1769">
        <v>0</v>
      </c>
      <c r="V1769" s="21">
        <v>36720</v>
      </c>
      <c r="W1769">
        <v>30</v>
      </c>
      <c r="X1769">
        <v>0</v>
      </c>
      <c r="Y1769">
        <v>0</v>
      </c>
      <c r="Z1769">
        <v>0</v>
      </c>
      <c r="AA1769">
        <v>10</v>
      </c>
    </row>
    <row r="1770" spans="1:27" ht="14.25" x14ac:dyDescent="0.2">
      <c r="A1770" s="12">
        <v>31037</v>
      </c>
      <c r="B1770" t="s">
        <v>122</v>
      </c>
      <c r="C1770" t="s">
        <v>121</v>
      </c>
      <c r="D1770" t="s">
        <v>121</v>
      </c>
      <c r="E1770" t="s">
        <v>121</v>
      </c>
      <c r="F1770" s="4" t="s">
        <v>2676</v>
      </c>
      <c r="H1770">
        <v>2</v>
      </c>
      <c r="I1770" s="1">
        <v>0</v>
      </c>
      <c r="J1770">
        <v>0</v>
      </c>
      <c r="K1770">
        <v>0</v>
      </c>
      <c r="L1770" s="20">
        <v>24520</v>
      </c>
      <c r="M1770">
        <v>1</v>
      </c>
      <c r="N1770">
        <v>0</v>
      </c>
      <c r="O1770">
        <v>0</v>
      </c>
      <c r="P1770">
        <v>0</v>
      </c>
      <c r="Q1770" s="22">
        <v>73440</v>
      </c>
      <c r="R1770">
        <v>3</v>
      </c>
      <c r="S1770" s="1">
        <v>0</v>
      </c>
      <c r="T1770">
        <v>0</v>
      </c>
      <c r="U1770">
        <v>0</v>
      </c>
      <c r="V1770" s="21">
        <v>36720</v>
      </c>
      <c r="W1770">
        <v>4</v>
      </c>
      <c r="X1770">
        <v>0</v>
      </c>
      <c r="Y1770">
        <v>0</v>
      </c>
      <c r="Z1770">
        <v>0</v>
      </c>
      <c r="AA1770">
        <v>10</v>
      </c>
    </row>
    <row r="1771" spans="1:27" ht="14.25" x14ac:dyDescent="0.2">
      <c r="A1771" s="12">
        <v>31038</v>
      </c>
      <c r="B1771" t="s">
        <v>178</v>
      </c>
      <c r="C1771" t="s">
        <v>121</v>
      </c>
      <c r="D1771" t="s">
        <v>121</v>
      </c>
      <c r="E1771" t="s">
        <v>121</v>
      </c>
      <c r="F1771" s="4" t="s">
        <v>2678</v>
      </c>
      <c r="H1771">
        <v>2</v>
      </c>
      <c r="I1771" s="1">
        <v>0</v>
      </c>
      <c r="J1771">
        <v>0</v>
      </c>
      <c r="K1771">
        <v>0</v>
      </c>
      <c r="L1771" s="20">
        <v>24520</v>
      </c>
      <c r="M1771">
        <v>1</v>
      </c>
      <c r="N1771">
        <v>0</v>
      </c>
      <c r="O1771">
        <v>0</v>
      </c>
      <c r="P1771">
        <v>0</v>
      </c>
      <c r="Q1771" s="22">
        <v>73560</v>
      </c>
      <c r="R1771">
        <v>3</v>
      </c>
      <c r="S1771" s="1">
        <v>0</v>
      </c>
      <c r="T1771">
        <v>0</v>
      </c>
      <c r="U1771">
        <v>0</v>
      </c>
      <c r="V1771" s="21">
        <v>36780</v>
      </c>
      <c r="W1771">
        <v>21</v>
      </c>
      <c r="X1771">
        <v>0</v>
      </c>
      <c r="Y1771">
        <v>0</v>
      </c>
      <c r="Z1771">
        <v>0</v>
      </c>
      <c r="AA1771">
        <v>1</v>
      </c>
    </row>
    <row r="1772" spans="1:27" ht="14.25" x14ac:dyDescent="0.2">
      <c r="A1772" s="12">
        <v>31039</v>
      </c>
      <c r="B1772" t="s">
        <v>130</v>
      </c>
      <c r="C1772" t="s">
        <v>121</v>
      </c>
      <c r="D1772" t="s">
        <v>121</v>
      </c>
      <c r="E1772" t="s">
        <v>121</v>
      </c>
      <c r="F1772" s="4" t="s">
        <v>2680</v>
      </c>
      <c r="H1772">
        <v>2</v>
      </c>
      <c r="I1772" s="1">
        <v>0</v>
      </c>
      <c r="J1772">
        <v>0</v>
      </c>
      <c r="K1772">
        <v>0</v>
      </c>
      <c r="L1772" s="20">
        <v>24520</v>
      </c>
      <c r="M1772">
        <v>1</v>
      </c>
      <c r="N1772">
        <v>0</v>
      </c>
      <c r="O1772">
        <v>0</v>
      </c>
      <c r="P1772">
        <v>0</v>
      </c>
      <c r="Q1772" s="22">
        <v>73560</v>
      </c>
      <c r="R1772">
        <v>3</v>
      </c>
      <c r="S1772" s="1">
        <v>0</v>
      </c>
      <c r="T1772">
        <v>0</v>
      </c>
      <c r="U1772">
        <v>0</v>
      </c>
      <c r="V1772" s="21">
        <v>36780</v>
      </c>
      <c r="W1772">
        <v>9</v>
      </c>
      <c r="X1772">
        <v>0</v>
      </c>
      <c r="Y1772">
        <v>0</v>
      </c>
      <c r="Z1772">
        <v>0</v>
      </c>
      <c r="AA1772">
        <v>10</v>
      </c>
    </row>
    <row r="1773" spans="1:27" ht="14.25" x14ac:dyDescent="0.2">
      <c r="A1773" s="12">
        <v>31040</v>
      </c>
      <c r="B1773" t="s">
        <v>123</v>
      </c>
      <c r="C1773" t="s">
        <v>121</v>
      </c>
      <c r="D1773" t="s">
        <v>121</v>
      </c>
      <c r="E1773" t="s">
        <v>121</v>
      </c>
      <c r="F1773" s="4" t="s">
        <v>2680</v>
      </c>
      <c r="H1773">
        <v>2</v>
      </c>
      <c r="I1773" s="1">
        <v>0</v>
      </c>
      <c r="J1773">
        <v>0</v>
      </c>
      <c r="K1773">
        <v>0</v>
      </c>
      <c r="L1773" s="20">
        <v>24520</v>
      </c>
      <c r="M1773">
        <v>1</v>
      </c>
      <c r="N1773">
        <v>0</v>
      </c>
      <c r="O1773">
        <v>0</v>
      </c>
      <c r="P1773">
        <v>0</v>
      </c>
      <c r="Q1773" s="22">
        <v>73560</v>
      </c>
      <c r="R1773">
        <v>3</v>
      </c>
      <c r="S1773" s="1">
        <v>0</v>
      </c>
      <c r="T1773">
        <v>0</v>
      </c>
      <c r="U1773">
        <v>0</v>
      </c>
      <c r="V1773" s="21">
        <v>36780</v>
      </c>
      <c r="W1773">
        <v>12</v>
      </c>
      <c r="X1773">
        <v>0</v>
      </c>
      <c r="Y1773">
        <v>0</v>
      </c>
      <c r="Z1773">
        <v>0</v>
      </c>
      <c r="AA1773">
        <v>10</v>
      </c>
    </row>
    <row r="1774" spans="1:27" ht="14.25" x14ac:dyDescent="0.2">
      <c r="A1774" s="12">
        <v>31041</v>
      </c>
      <c r="B1774" t="s">
        <v>126</v>
      </c>
      <c r="C1774" t="s">
        <v>121</v>
      </c>
      <c r="D1774" t="s">
        <v>121</v>
      </c>
      <c r="E1774" t="s">
        <v>121</v>
      </c>
      <c r="F1774" s="4" t="s">
        <v>2682</v>
      </c>
      <c r="H1774">
        <v>2</v>
      </c>
      <c r="I1774" s="1">
        <v>0</v>
      </c>
      <c r="J1774">
        <v>0</v>
      </c>
      <c r="K1774">
        <v>0</v>
      </c>
      <c r="L1774" s="20">
        <v>24560</v>
      </c>
      <c r="M1774">
        <v>1</v>
      </c>
      <c r="N1774">
        <v>0</v>
      </c>
      <c r="O1774">
        <v>0</v>
      </c>
      <c r="P1774">
        <v>0</v>
      </c>
      <c r="Q1774" s="22">
        <v>73560</v>
      </c>
      <c r="R1774">
        <v>3</v>
      </c>
      <c r="S1774" s="1">
        <v>0</v>
      </c>
      <c r="T1774">
        <v>0</v>
      </c>
      <c r="U1774">
        <v>0</v>
      </c>
      <c r="V1774" s="21">
        <v>36780</v>
      </c>
      <c r="W1774">
        <v>23</v>
      </c>
      <c r="X1774">
        <v>0</v>
      </c>
      <c r="Y1774">
        <v>0</v>
      </c>
      <c r="Z1774">
        <v>0</v>
      </c>
      <c r="AA1774">
        <v>1</v>
      </c>
    </row>
    <row r="1775" spans="1:27" ht="14.25" x14ac:dyDescent="0.2">
      <c r="A1775" s="12">
        <v>31042</v>
      </c>
      <c r="B1775" t="s">
        <v>131</v>
      </c>
      <c r="C1775" t="s">
        <v>125</v>
      </c>
      <c r="D1775" t="s">
        <v>121</v>
      </c>
      <c r="E1775" t="s">
        <v>136</v>
      </c>
      <c r="F1775" s="4" t="s">
        <v>2684</v>
      </c>
      <c r="H1775">
        <v>2</v>
      </c>
      <c r="I1775" s="1">
        <v>0</v>
      </c>
      <c r="J1775">
        <v>0</v>
      </c>
      <c r="K1775">
        <v>0</v>
      </c>
      <c r="L1775" s="20">
        <v>24560</v>
      </c>
      <c r="M1775">
        <v>1</v>
      </c>
      <c r="N1775">
        <v>0</v>
      </c>
      <c r="O1775">
        <v>0</v>
      </c>
      <c r="P1775">
        <v>0</v>
      </c>
      <c r="Q1775" s="22">
        <v>73560</v>
      </c>
      <c r="R1775">
        <v>3</v>
      </c>
      <c r="S1775" s="1">
        <v>0</v>
      </c>
      <c r="T1775">
        <v>0</v>
      </c>
      <c r="U1775">
        <v>0</v>
      </c>
      <c r="V1775" s="21">
        <v>36780</v>
      </c>
      <c r="W1775">
        <v>6</v>
      </c>
      <c r="X1775">
        <v>1</v>
      </c>
      <c r="Y1775">
        <v>0</v>
      </c>
      <c r="Z1775">
        <v>3</v>
      </c>
      <c r="AA1775">
        <v>10</v>
      </c>
    </row>
    <row r="1776" spans="1:27" ht="14.25" x14ac:dyDescent="0.2">
      <c r="A1776" s="12">
        <v>31043</v>
      </c>
      <c r="B1776" t="s">
        <v>180</v>
      </c>
      <c r="C1776" t="s">
        <v>121</v>
      </c>
      <c r="D1776" t="s">
        <v>121</v>
      </c>
      <c r="E1776" t="s">
        <v>121</v>
      </c>
      <c r="F1776" s="4" t="s">
        <v>2686</v>
      </c>
      <c r="H1776">
        <v>2</v>
      </c>
      <c r="I1776" s="1">
        <v>0</v>
      </c>
      <c r="J1776">
        <v>0</v>
      </c>
      <c r="K1776">
        <v>0</v>
      </c>
      <c r="L1776" s="20">
        <v>24560</v>
      </c>
      <c r="M1776">
        <v>1</v>
      </c>
      <c r="N1776">
        <v>0</v>
      </c>
      <c r="O1776">
        <v>0</v>
      </c>
      <c r="P1776">
        <v>0</v>
      </c>
      <c r="Q1776" s="22">
        <v>73680</v>
      </c>
      <c r="R1776">
        <v>3</v>
      </c>
      <c r="S1776" s="1">
        <v>0</v>
      </c>
      <c r="T1776">
        <v>0</v>
      </c>
      <c r="U1776">
        <v>0</v>
      </c>
      <c r="V1776" s="21">
        <v>36840</v>
      </c>
      <c r="W1776">
        <v>15</v>
      </c>
      <c r="X1776">
        <v>0</v>
      </c>
      <c r="Y1776">
        <v>0</v>
      </c>
      <c r="Z1776">
        <v>0</v>
      </c>
      <c r="AA1776">
        <v>1</v>
      </c>
    </row>
    <row r="1777" spans="1:27" ht="14.25" x14ac:dyDescent="0.2">
      <c r="A1777" s="12">
        <v>31044</v>
      </c>
      <c r="B1777" t="s">
        <v>178</v>
      </c>
      <c r="C1777" t="s">
        <v>121</v>
      </c>
      <c r="D1777" t="s">
        <v>121</v>
      </c>
      <c r="E1777" t="s">
        <v>121</v>
      </c>
      <c r="F1777" s="4" t="s">
        <v>2686</v>
      </c>
      <c r="H1777">
        <v>2</v>
      </c>
      <c r="I1777" s="1">
        <v>0</v>
      </c>
      <c r="J1777">
        <v>0</v>
      </c>
      <c r="K1777">
        <v>0</v>
      </c>
      <c r="L1777" s="20">
        <v>24560</v>
      </c>
      <c r="M1777">
        <v>1</v>
      </c>
      <c r="N1777">
        <v>0</v>
      </c>
      <c r="O1777">
        <v>0</v>
      </c>
      <c r="P1777">
        <v>0</v>
      </c>
      <c r="Q1777" s="22">
        <v>73680</v>
      </c>
      <c r="R1777">
        <v>3</v>
      </c>
      <c r="S1777" s="1">
        <v>0</v>
      </c>
      <c r="T1777">
        <v>0</v>
      </c>
      <c r="U1777">
        <v>0</v>
      </c>
      <c r="V1777" s="21">
        <v>36840</v>
      </c>
      <c r="W1777">
        <v>21</v>
      </c>
      <c r="X1777">
        <v>0</v>
      </c>
      <c r="Y1777">
        <v>0</v>
      </c>
      <c r="Z1777">
        <v>0</v>
      </c>
      <c r="AA1777">
        <v>1</v>
      </c>
    </row>
    <row r="1778" spans="1:27" ht="14.25" x14ac:dyDescent="0.2">
      <c r="A1778" s="12">
        <v>31045</v>
      </c>
      <c r="B1778" t="s">
        <v>130</v>
      </c>
      <c r="C1778" t="s">
        <v>121</v>
      </c>
      <c r="D1778" t="s">
        <v>121</v>
      </c>
      <c r="E1778" t="s">
        <v>121</v>
      </c>
      <c r="F1778" s="4" t="s">
        <v>2688</v>
      </c>
      <c r="H1778">
        <v>2</v>
      </c>
      <c r="I1778" s="1">
        <v>0</v>
      </c>
      <c r="J1778">
        <v>0</v>
      </c>
      <c r="K1778">
        <v>0</v>
      </c>
      <c r="L1778" s="20">
        <v>24560</v>
      </c>
      <c r="M1778">
        <v>1</v>
      </c>
      <c r="N1778">
        <v>0</v>
      </c>
      <c r="O1778">
        <v>0</v>
      </c>
      <c r="P1778">
        <v>0</v>
      </c>
      <c r="Q1778" s="22">
        <v>73680</v>
      </c>
      <c r="R1778">
        <v>3</v>
      </c>
      <c r="S1778" s="1">
        <v>0</v>
      </c>
      <c r="T1778">
        <v>0</v>
      </c>
      <c r="U1778">
        <v>0</v>
      </c>
      <c r="V1778" s="21">
        <v>36840</v>
      </c>
      <c r="W1778">
        <v>9</v>
      </c>
      <c r="X1778">
        <v>0</v>
      </c>
      <c r="Y1778">
        <v>0</v>
      </c>
      <c r="Z1778">
        <v>0</v>
      </c>
      <c r="AA1778">
        <v>10</v>
      </c>
    </row>
    <row r="1779" spans="1:27" ht="14.25" x14ac:dyDescent="0.2">
      <c r="A1779" s="12">
        <v>31046</v>
      </c>
      <c r="B1779" t="s">
        <v>181</v>
      </c>
      <c r="C1779" t="s">
        <v>121</v>
      </c>
      <c r="D1779" t="s">
        <v>121</v>
      </c>
      <c r="E1779" t="s">
        <v>121</v>
      </c>
      <c r="F1779" s="4" t="s">
        <v>2690</v>
      </c>
      <c r="H1779">
        <v>2</v>
      </c>
      <c r="I1779" s="1">
        <v>0</v>
      </c>
      <c r="J1779">
        <v>0</v>
      </c>
      <c r="K1779">
        <v>0</v>
      </c>
      <c r="L1779" s="20">
        <v>24600</v>
      </c>
      <c r="M1779">
        <v>1</v>
      </c>
      <c r="N1779">
        <v>0</v>
      </c>
      <c r="O1779">
        <v>0</v>
      </c>
      <c r="P1779">
        <v>0</v>
      </c>
      <c r="Q1779" s="22">
        <v>73680</v>
      </c>
      <c r="R1779">
        <v>3</v>
      </c>
      <c r="S1779" s="1">
        <v>0</v>
      </c>
      <c r="T1779">
        <v>0</v>
      </c>
      <c r="U1779">
        <v>0</v>
      </c>
      <c r="V1779" s="21">
        <v>36840</v>
      </c>
      <c r="W1779">
        <v>30</v>
      </c>
      <c r="X1779">
        <v>0</v>
      </c>
      <c r="Y1779">
        <v>0</v>
      </c>
      <c r="Z1779">
        <v>0</v>
      </c>
      <c r="AA1779">
        <v>10</v>
      </c>
    </row>
    <row r="1780" spans="1:27" ht="14.25" x14ac:dyDescent="0.2">
      <c r="A1780" s="12">
        <v>31047</v>
      </c>
      <c r="B1780" t="s">
        <v>122</v>
      </c>
      <c r="C1780" t="s">
        <v>121</v>
      </c>
      <c r="D1780" t="s">
        <v>121</v>
      </c>
      <c r="E1780" t="s">
        <v>121</v>
      </c>
      <c r="F1780" s="4" t="s">
        <v>2690</v>
      </c>
      <c r="H1780">
        <v>2</v>
      </c>
      <c r="I1780" s="1">
        <v>0</v>
      </c>
      <c r="J1780">
        <v>0</v>
      </c>
      <c r="K1780">
        <v>0</v>
      </c>
      <c r="L1780" s="20">
        <v>24600</v>
      </c>
      <c r="M1780">
        <v>1</v>
      </c>
      <c r="N1780">
        <v>0</v>
      </c>
      <c r="O1780">
        <v>0</v>
      </c>
      <c r="P1780">
        <v>0</v>
      </c>
      <c r="Q1780" s="22">
        <v>73680</v>
      </c>
      <c r="R1780">
        <v>3</v>
      </c>
      <c r="S1780" s="1">
        <v>0</v>
      </c>
      <c r="T1780">
        <v>0</v>
      </c>
      <c r="U1780">
        <v>0</v>
      </c>
      <c r="V1780" s="21">
        <v>36840</v>
      </c>
      <c r="W1780">
        <v>4</v>
      </c>
      <c r="X1780">
        <v>0</v>
      </c>
      <c r="Y1780">
        <v>0</v>
      </c>
      <c r="Z1780">
        <v>0</v>
      </c>
      <c r="AA1780">
        <v>10</v>
      </c>
    </row>
    <row r="1781" spans="1:27" ht="14.25" x14ac:dyDescent="0.2">
      <c r="A1781" s="12">
        <v>31048</v>
      </c>
      <c r="B1781" t="s">
        <v>178</v>
      </c>
      <c r="C1781" t="s">
        <v>121</v>
      </c>
      <c r="D1781" t="s">
        <v>121</v>
      </c>
      <c r="E1781" t="s">
        <v>121</v>
      </c>
      <c r="F1781" s="4" t="s">
        <v>2692</v>
      </c>
      <c r="H1781">
        <v>2</v>
      </c>
      <c r="I1781" s="1">
        <v>0</v>
      </c>
      <c r="J1781">
        <v>0</v>
      </c>
      <c r="K1781">
        <v>0</v>
      </c>
      <c r="L1781" s="20">
        <v>24600</v>
      </c>
      <c r="M1781">
        <v>1</v>
      </c>
      <c r="N1781">
        <v>0</v>
      </c>
      <c r="O1781">
        <v>0</v>
      </c>
      <c r="P1781">
        <v>0</v>
      </c>
      <c r="Q1781" s="22">
        <v>73800</v>
      </c>
      <c r="R1781">
        <v>3</v>
      </c>
      <c r="S1781" s="1">
        <v>0</v>
      </c>
      <c r="T1781">
        <v>0</v>
      </c>
      <c r="U1781">
        <v>0</v>
      </c>
      <c r="V1781" s="21">
        <v>36900</v>
      </c>
      <c r="W1781">
        <v>21</v>
      </c>
      <c r="X1781">
        <v>0</v>
      </c>
      <c r="Y1781">
        <v>0</v>
      </c>
      <c r="Z1781">
        <v>0</v>
      </c>
      <c r="AA1781">
        <v>1</v>
      </c>
    </row>
    <row r="1782" spans="1:27" ht="14.25" x14ac:dyDescent="0.2">
      <c r="A1782" s="12">
        <v>31049</v>
      </c>
      <c r="B1782" t="s">
        <v>130</v>
      </c>
      <c r="C1782" t="s">
        <v>121</v>
      </c>
      <c r="D1782" t="s">
        <v>121</v>
      </c>
      <c r="E1782" t="s">
        <v>121</v>
      </c>
      <c r="F1782" s="4" t="s">
        <v>2694</v>
      </c>
      <c r="H1782">
        <v>2</v>
      </c>
      <c r="I1782" s="1">
        <v>0</v>
      </c>
      <c r="J1782">
        <v>0</v>
      </c>
      <c r="K1782">
        <v>0</v>
      </c>
      <c r="L1782" s="20">
        <v>24600</v>
      </c>
      <c r="M1782">
        <v>1</v>
      </c>
      <c r="N1782">
        <v>0</v>
      </c>
      <c r="O1782">
        <v>0</v>
      </c>
      <c r="P1782">
        <v>0</v>
      </c>
      <c r="Q1782" s="22">
        <v>73800</v>
      </c>
      <c r="R1782">
        <v>3</v>
      </c>
      <c r="S1782" s="1">
        <v>0</v>
      </c>
      <c r="T1782">
        <v>0</v>
      </c>
      <c r="U1782">
        <v>0</v>
      </c>
      <c r="V1782" s="21">
        <v>36900</v>
      </c>
      <c r="W1782">
        <v>9</v>
      </c>
      <c r="X1782">
        <v>0</v>
      </c>
      <c r="Y1782">
        <v>0</v>
      </c>
      <c r="Z1782">
        <v>0</v>
      </c>
      <c r="AA1782">
        <v>10</v>
      </c>
    </row>
    <row r="1783" spans="1:27" ht="14.25" x14ac:dyDescent="0.2">
      <c r="A1783" s="12">
        <v>31050</v>
      </c>
      <c r="B1783" t="s">
        <v>2885</v>
      </c>
      <c r="C1783" t="s">
        <v>132</v>
      </c>
      <c r="D1783" t="s">
        <v>132</v>
      </c>
      <c r="E1783" t="s">
        <v>132</v>
      </c>
      <c r="F1783" s="4" t="s">
        <v>2886</v>
      </c>
      <c r="H1783">
        <v>2</v>
      </c>
      <c r="I1783" s="1">
        <v>0</v>
      </c>
      <c r="J1783">
        <v>0</v>
      </c>
      <c r="K1783">
        <v>0</v>
      </c>
      <c r="L1783" s="20">
        <v>10</v>
      </c>
      <c r="M1783">
        <v>1</v>
      </c>
      <c r="N1783">
        <v>0</v>
      </c>
      <c r="O1783">
        <v>0</v>
      </c>
      <c r="P1783">
        <v>0</v>
      </c>
      <c r="Q1783" s="22">
        <v>10</v>
      </c>
      <c r="R1783">
        <v>3</v>
      </c>
      <c r="S1783" s="1">
        <v>0</v>
      </c>
      <c r="T1783">
        <v>0</v>
      </c>
      <c r="U1783">
        <v>0</v>
      </c>
      <c r="V1783" s="21">
        <v>10</v>
      </c>
    </row>
  </sheetData>
  <autoFilter ref="A3:AU1783" xr:uid="{00000000-0009-0000-0000-000002000000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M512"/>
  <sheetViews>
    <sheetView workbookViewId="0">
      <selection activeCell="A8" sqref="A8"/>
    </sheetView>
  </sheetViews>
  <sheetFormatPr defaultColWidth="9" defaultRowHeight="13.5" x14ac:dyDescent="0.15"/>
  <cols>
    <col min="3" max="3" width="6.5" customWidth="1"/>
    <col min="4" max="4" width="5.5" customWidth="1"/>
    <col min="5" max="5" width="4.5" customWidth="1"/>
  </cols>
  <sheetData>
    <row r="4" spans="1:5" x14ac:dyDescent="0.15">
      <c r="A4">
        <v>6</v>
      </c>
      <c r="B4">
        <v>1</v>
      </c>
      <c r="C4">
        <v>0</v>
      </c>
      <c r="D4">
        <v>1</v>
      </c>
      <c r="E4">
        <v>10</v>
      </c>
    </row>
    <row r="5" spans="1:5" x14ac:dyDescent="0.15">
      <c r="A5">
        <v>8</v>
      </c>
      <c r="B5">
        <v>101</v>
      </c>
      <c r="C5">
        <v>0</v>
      </c>
      <c r="D5">
        <v>0</v>
      </c>
      <c r="E5">
        <v>1</v>
      </c>
    </row>
    <row r="6" spans="1:5" x14ac:dyDescent="0.15">
      <c r="A6">
        <v>6</v>
      </c>
      <c r="B6">
        <v>1</v>
      </c>
      <c r="C6">
        <v>0</v>
      </c>
      <c r="D6">
        <v>3</v>
      </c>
      <c r="E6">
        <v>20</v>
      </c>
    </row>
    <row r="7" spans="1:5" x14ac:dyDescent="0.15">
      <c r="A7">
        <v>7</v>
      </c>
      <c r="B7">
        <v>1</v>
      </c>
      <c r="C7">
        <v>0</v>
      </c>
      <c r="D7">
        <v>0</v>
      </c>
      <c r="E7">
        <v>1</v>
      </c>
    </row>
    <row r="8" spans="1:5" x14ac:dyDescent="0.15">
      <c r="A8">
        <v>13</v>
      </c>
      <c r="B8">
        <v>0</v>
      </c>
      <c r="C8">
        <v>0</v>
      </c>
      <c r="D8">
        <v>0</v>
      </c>
      <c r="E8">
        <v>1</v>
      </c>
    </row>
    <row r="9" spans="1:5" x14ac:dyDescent="0.15">
      <c r="A9">
        <v>7</v>
      </c>
      <c r="B9">
        <v>2</v>
      </c>
      <c r="C9">
        <v>0</v>
      </c>
      <c r="D9">
        <v>0</v>
      </c>
      <c r="E9">
        <v>1</v>
      </c>
    </row>
    <row r="10" spans="1:5" x14ac:dyDescent="0.15">
      <c r="A10">
        <v>7</v>
      </c>
      <c r="B10">
        <v>3</v>
      </c>
      <c r="C10">
        <v>0</v>
      </c>
      <c r="D10">
        <v>0</v>
      </c>
      <c r="E10">
        <v>1</v>
      </c>
    </row>
    <row r="11" spans="1:5" x14ac:dyDescent="0.15">
      <c r="A11">
        <v>6</v>
      </c>
      <c r="B11">
        <v>1</v>
      </c>
      <c r="C11">
        <v>0</v>
      </c>
      <c r="D11">
        <v>4</v>
      </c>
      <c r="E11">
        <v>10</v>
      </c>
    </row>
    <row r="12" spans="1:5" x14ac:dyDescent="0.15">
      <c r="A12">
        <v>7</v>
      </c>
      <c r="B12">
        <v>4</v>
      </c>
      <c r="C12">
        <v>0</v>
      </c>
      <c r="D12">
        <v>0</v>
      </c>
      <c r="E12">
        <v>1</v>
      </c>
    </row>
    <row r="13" spans="1:5" x14ac:dyDescent="0.15">
      <c r="A13">
        <v>12</v>
      </c>
      <c r="B13">
        <v>0</v>
      </c>
      <c r="C13">
        <v>0</v>
      </c>
      <c r="D13">
        <v>0</v>
      </c>
      <c r="E13">
        <v>50</v>
      </c>
    </row>
    <row r="14" spans="1:5" x14ac:dyDescent="0.15">
      <c r="A14">
        <v>7</v>
      </c>
      <c r="B14">
        <v>5</v>
      </c>
      <c r="C14">
        <v>0</v>
      </c>
      <c r="D14">
        <v>0</v>
      </c>
      <c r="E14">
        <v>1</v>
      </c>
    </row>
    <row r="15" spans="1:5" x14ac:dyDescent="0.15">
      <c r="A15">
        <v>6</v>
      </c>
      <c r="B15">
        <v>1</v>
      </c>
      <c r="C15">
        <v>0</v>
      </c>
      <c r="D15">
        <v>4</v>
      </c>
      <c r="E15">
        <v>10</v>
      </c>
    </row>
    <row r="16" spans="1:5" x14ac:dyDescent="0.15">
      <c r="A16">
        <v>8</v>
      </c>
      <c r="B16">
        <v>301</v>
      </c>
      <c r="C16">
        <v>0</v>
      </c>
      <c r="D16">
        <v>0</v>
      </c>
      <c r="E16">
        <v>1</v>
      </c>
    </row>
    <row r="17" spans="1:5" x14ac:dyDescent="0.15">
      <c r="A17">
        <v>6</v>
      </c>
      <c r="B17">
        <v>1</v>
      </c>
      <c r="C17">
        <v>0</v>
      </c>
      <c r="D17">
        <v>4</v>
      </c>
      <c r="E17">
        <v>10</v>
      </c>
    </row>
    <row r="18" spans="1:5" x14ac:dyDescent="0.15">
      <c r="A18">
        <v>13</v>
      </c>
      <c r="B18">
        <v>0</v>
      </c>
      <c r="C18">
        <v>0</v>
      </c>
      <c r="D18">
        <v>0</v>
      </c>
      <c r="E18">
        <v>2</v>
      </c>
    </row>
    <row r="19" spans="1:5" x14ac:dyDescent="0.15">
      <c r="A19">
        <v>7</v>
      </c>
      <c r="B19">
        <v>6</v>
      </c>
      <c r="C19">
        <v>0</v>
      </c>
      <c r="D19">
        <v>0</v>
      </c>
      <c r="E19">
        <v>1</v>
      </c>
    </row>
    <row r="20" spans="1:5" x14ac:dyDescent="0.15">
      <c r="A20">
        <v>4</v>
      </c>
      <c r="B20">
        <v>0</v>
      </c>
      <c r="C20">
        <v>0</v>
      </c>
      <c r="D20">
        <v>0</v>
      </c>
      <c r="E20">
        <v>50</v>
      </c>
    </row>
    <row r="21" spans="1:5" x14ac:dyDescent="0.15">
      <c r="A21">
        <v>8</v>
      </c>
      <c r="B21">
        <v>901</v>
      </c>
      <c r="C21">
        <v>0</v>
      </c>
      <c r="D21">
        <v>0</v>
      </c>
      <c r="E21">
        <v>1</v>
      </c>
    </row>
    <row r="22" spans="1:5" x14ac:dyDescent="0.15">
      <c r="A22">
        <v>12</v>
      </c>
      <c r="B22">
        <v>0</v>
      </c>
      <c r="C22">
        <v>0</v>
      </c>
      <c r="D22">
        <v>0</v>
      </c>
      <c r="E22">
        <v>10</v>
      </c>
    </row>
    <row r="23" spans="1:5" x14ac:dyDescent="0.15">
      <c r="A23">
        <v>6</v>
      </c>
      <c r="B23">
        <v>1</v>
      </c>
      <c r="C23">
        <v>0</v>
      </c>
      <c r="D23">
        <v>4</v>
      </c>
      <c r="E23">
        <v>10</v>
      </c>
    </row>
    <row r="24" spans="1:5" x14ac:dyDescent="0.15">
      <c r="A24">
        <v>7</v>
      </c>
      <c r="B24">
        <v>7</v>
      </c>
      <c r="C24">
        <v>0</v>
      </c>
      <c r="D24">
        <v>0</v>
      </c>
      <c r="E24">
        <v>1</v>
      </c>
    </row>
    <row r="25" spans="1:5" x14ac:dyDescent="0.15">
      <c r="A25">
        <v>14</v>
      </c>
      <c r="B25">
        <v>0</v>
      </c>
      <c r="C25">
        <v>0</v>
      </c>
      <c r="D25">
        <v>0</v>
      </c>
      <c r="E25">
        <v>1</v>
      </c>
    </row>
    <row r="26" spans="1:5" x14ac:dyDescent="0.15">
      <c r="A26">
        <v>4</v>
      </c>
      <c r="B26">
        <v>0</v>
      </c>
      <c r="C26">
        <v>0</v>
      </c>
      <c r="D26">
        <v>0</v>
      </c>
      <c r="E26">
        <v>50</v>
      </c>
    </row>
    <row r="27" spans="1:5" x14ac:dyDescent="0.15">
      <c r="A27">
        <v>7</v>
      </c>
      <c r="B27">
        <v>8</v>
      </c>
      <c r="C27">
        <v>0</v>
      </c>
      <c r="D27">
        <v>0</v>
      </c>
      <c r="E27">
        <v>1</v>
      </c>
    </row>
    <row r="28" spans="1:5" x14ac:dyDescent="0.15">
      <c r="A28">
        <v>6</v>
      </c>
      <c r="B28">
        <v>1</v>
      </c>
      <c r="C28">
        <v>0</v>
      </c>
      <c r="D28">
        <v>4</v>
      </c>
      <c r="E28">
        <v>10</v>
      </c>
    </row>
    <row r="29" spans="1:5" x14ac:dyDescent="0.15">
      <c r="A29">
        <v>10</v>
      </c>
      <c r="B29">
        <v>2</v>
      </c>
      <c r="C29">
        <v>0</v>
      </c>
      <c r="D29">
        <v>0</v>
      </c>
      <c r="E29">
        <v>5</v>
      </c>
    </row>
    <row r="30" spans="1:5" x14ac:dyDescent="0.15">
      <c r="A30">
        <v>7</v>
      </c>
      <c r="B30">
        <v>9</v>
      </c>
      <c r="C30">
        <v>0</v>
      </c>
      <c r="D30">
        <v>0</v>
      </c>
      <c r="E30">
        <v>1</v>
      </c>
    </row>
    <row r="31" spans="1:5" x14ac:dyDescent="0.15">
      <c r="A31">
        <v>12</v>
      </c>
      <c r="B31">
        <v>0</v>
      </c>
      <c r="C31">
        <v>0</v>
      </c>
      <c r="D31">
        <v>0</v>
      </c>
      <c r="E31">
        <v>10</v>
      </c>
    </row>
    <row r="32" spans="1:5" x14ac:dyDescent="0.15">
      <c r="A32">
        <v>9</v>
      </c>
      <c r="B32">
        <v>0</v>
      </c>
      <c r="C32">
        <v>0</v>
      </c>
      <c r="D32">
        <v>0</v>
      </c>
      <c r="E32">
        <v>10</v>
      </c>
    </row>
    <row r="33" spans="1:5" x14ac:dyDescent="0.15">
      <c r="A33">
        <v>14</v>
      </c>
      <c r="B33">
        <v>0</v>
      </c>
      <c r="C33">
        <v>0</v>
      </c>
      <c r="D33">
        <v>0</v>
      </c>
      <c r="E33">
        <v>1</v>
      </c>
    </row>
    <row r="34" spans="1:5" x14ac:dyDescent="0.15">
      <c r="A34">
        <v>12</v>
      </c>
      <c r="B34">
        <v>0</v>
      </c>
      <c r="C34">
        <v>0</v>
      </c>
      <c r="D34">
        <v>0</v>
      </c>
      <c r="E34">
        <v>10</v>
      </c>
    </row>
    <row r="35" spans="1:5" x14ac:dyDescent="0.15">
      <c r="A35">
        <v>10</v>
      </c>
      <c r="B35">
        <v>3</v>
      </c>
      <c r="C35">
        <v>0</v>
      </c>
      <c r="D35">
        <v>0</v>
      </c>
      <c r="E35">
        <v>5</v>
      </c>
    </row>
    <row r="36" spans="1:5" x14ac:dyDescent="0.15">
      <c r="A36">
        <v>7</v>
      </c>
      <c r="B36">
        <v>10</v>
      </c>
      <c r="C36">
        <v>0</v>
      </c>
      <c r="D36">
        <v>0</v>
      </c>
      <c r="E36">
        <v>1</v>
      </c>
    </row>
    <row r="37" spans="1:5" x14ac:dyDescent="0.15">
      <c r="A37">
        <v>4</v>
      </c>
      <c r="B37">
        <v>0</v>
      </c>
      <c r="C37">
        <v>0</v>
      </c>
      <c r="D37">
        <v>0</v>
      </c>
      <c r="E37">
        <v>50</v>
      </c>
    </row>
    <row r="38" spans="1:5" x14ac:dyDescent="0.15">
      <c r="A38">
        <v>6</v>
      </c>
      <c r="B38">
        <v>1</v>
      </c>
      <c r="C38">
        <v>0</v>
      </c>
      <c r="D38">
        <v>4</v>
      </c>
      <c r="E38">
        <v>10</v>
      </c>
    </row>
    <row r="39" spans="1:5" x14ac:dyDescent="0.15">
      <c r="A39">
        <v>12</v>
      </c>
      <c r="B39">
        <v>0</v>
      </c>
      <c r="C39">
        <v>0</v>
      </c>
      <c r="D39">
        <v>0</v>
      </c>
      <c r="E39">
        <v>10</v>
      </c>
    </row>
    <row r="40" spans="1:5" x14ac:dyDescent="0.15">
      <c r="A40">
        <v>7</v>
      </c>
      <c r="B40">
        <v>11</v>
      </c>
      <c r="C40">
        <v>0</v>
      </c>
      <c r="D40">
        <v>0</v>
      </c>
      <c r="E40">
        <v>1</v>
      </c>
    </row>
    <row r="41" spans="1:5" x14ac:dyDescent="0.15">
      <c r="A41">
        <v>10</v>
      </c>
      <c r="B41">
        <v>4</v>
      </c>
      <c r="C41">
        <v>0</v>
      </c>
      <c r="D41">
        <v>0</v>
      </c>
      <c r="E41">
        <v>5</v>
      </c>
    </row>
    <row r="42" spans="1:5" x14ac:dyDescent="0.15">
      <c r="A42">
        <v>11</v>
      </c>
      <c r="B42">
        <v>1</v>
      </c>
      <c r="C42">
        <v>0</v>
      </c>
      <c r="D42">
        <v>0</v>
      </c>
      <c r="E42">
        <v>5</v>
      </c>
    </row>
    <row r="43" spans="1:5" x14ac:dyDescent="0.15">
      <c r="A43">
        <v>9</v>
      </c>
      <c r="B43">
        <v>0</v>
      </c>
      <c r="C43">
        <v>0</v>
      </c>
      <c r="D43">
        <v>0</v>
      </c>
      <c r="E43">
        <v>10</v>
      </c>
    </row>
    <row r="44" spans="1:5" x14ac:dyDescent="0.15">
      <c r="A44">
        <v>7</v>
      </c>
      <c r="B44">
        <v>12</v>
      </c>
      <c r="C44">
        <v>0</v>
      </c>
      <c r="D44">
        <v>0</v>
      </c>
      <c r="E44">
        <v>1</v>
      </c>
    </row>
    <row r="45" spans="1:5" x14ac:dyDescent="0.15">
      <c r="A45">
        <v>14</v>
      </c>
      <c r="B45">
        <v>0</v>
      </c>
      <c r="C45">
        <v>0</v>
      </c>
      <c r="D45">
        <v>0</v>
      </c>
      <c r="E45">
        <v>1</v>
      </c>
    </row>
    <row r="46" spans="1:5" x14ac:dyDescent="0.15">
      <c r="A46">
        <v>12</v>
      </c>
      <c r="B46">
        <v>0</v>
      </c>
      <c r="C46">
        <v>0</v>
      </c>
      <c r="D46">
        <v>0</v>
      </c>
      <c r="E46">
        <v>15</v>
      </c>
    </row>
    <row r="47" spans="1:5" x14ac:dyDescent="0.15">
      <c r="A47">
        <v>10</v>
      </c>
      <c r="B47">
        <v>5</v>
      </c>
      <c r="C47">
        <v>0</v>
      </c>
      <c r="D47">
        <v>0</v>
      </c>
      <c r="E47">
        <v>5</v>
      </c>
    </row>
    <row r="48" spans="1:5" x14ac:dyDescent="0.15">
      <c r="A48">
        <v>6</v>
      </c>
      <c r="B48">
        <v>1</v>
      </c>
      <c r="C48">
        <v>0</v>
      </c>
      <c r="D48">
        <v>4</v>
      </c>
      <c r="E48">
        <v>10</v>
      </c>
    </row>
    <row r="49" spans="1:5" x14ac:dyDescent="0.15">
      <c r="A49">
        <v>11</v>
      </c>
      <c r="B49">
        <v>2</v>
      </c>
      <c r="C49">
        <v>0</v>
      </c>
      <c r="D49">
        <v>0</v>
      </c>
      <c r="E49">
        <v>5</v>
      </c>
    </row>
    <row r="50" spans="1:5" x14ac:dyDescent="0.15">
      <c r="A50">
        <v>7</v>
      </c>
      <c r="B50">
        <v>13</v>
      </c>
      <c r="C50">
        <v>0</v>
      </c>
      <c r="D50">
        <v>0</v>
      </c>
      <c r="E50">
        <v>1</v>
      </c>
    </row>
    <row r="51" spans="1:5" x14ac:dyDescent="0.15">
      <c r="A51">
        <v>9</v>
      </c>
      <c r="B51">
        <v>0</v>
      </c>
      <c r="C51">
        <v>0</v>
      </c>
      <c r="D51">
        <v>0</v>
      </c>
      <c r="E51">
        <v>20</v>
      </c>
    </row>
    <row r="52" spans="1:5" x14ac:dyDescent="0.15">
      <c r="A52">
        <v>14</v>
      </c>
      <c r="B52">
        <v>0</v>
      </c>
      <c r="C52">
        <v>0</v>
      </c>
      <c r="D52">
        <v>0</v>
      </c>
      <c r="E52">
        <v>1</v>
      </c>
    </row>
    <row r="53" spans="1:5" x14ac:dyDescent="0.15">
      <c r="A53">
        <v>4</v>
      </c>
      <c r="B53">
        <v>0</v>
      </c>
      <c r="C53">
        <v>0</v>
      </c>
      <c r="D53">
        <v>0</v>
      </c>
      <c r="E53">
        <v>50</v>
      </c>
    </row>
    <row r="54" spans="1:5" x14ac:dyDescent="0.15">
      <c r="A54">
        <v>12</v>
      </c>
      <c r="B54">
        <v>0</v>
      </c>
      <c r="C54">
        <v>0</v>
      </c>
      <c r="D54">
        <v>0</v>
      </c>
      <c r="E54">
        <v>15</v>
      </c>
    </row>
    <row r="55" spans="1:5" x14ac:dyDescent="0.15">
      <c r="A55">
        <v>6</v>
      </c>
      <c r="B55">
        <v>1</v>
      </c>
      <c r="C55">
        <v>0</v>
      </c>
      <c r="D55">
        <v>4</v>
      </c>
      <c r="E55">
        <v>10</v>
      </c>
    </row>
    <row r="56" spans="1:5" x14ac:dyDescent="0.15">
      <c r="A56">
        <v>7</v>
      </c>
      <c r="B56">
        <v>14</v>
      </c>
      <c r="C56">
        <v>0</v>
      </c>
      <c r="D56">
        <v>0</v>
      </c>
      <c r="E56">
        <v>1</v>
      </c>
    </row>
    <row r="57" spans="1:5" x14ac:dyDescent="0.15">
      <c r="A57">
        <v>9</v>
      </c>
      <c r="B57">
        <v>0</v>
      </c>
      <c r="C57">
        <v>0</v>
      </c>
      <c r="D57">
        <v>0</v>
      </c>
      <c r="E57">
        <v>20</v>
      </c>
    </row>
    <row r="58" spans="1:5" x14ac:dyDescent="0.15">
      <c r="A58">
        <v>11</v>
      </c>
      <c r="B58">
        <v>3</v>
      </c>
      <c r="C58">
        <v>0</v>
      </c>
      <c r="D58">
        <v>0</v>
      </c>
      <c r="E58">
        <v>5</v>
      </c>
    </row>
    <row r="59" spans="1:5" x14ac:dyDescent="0.15">
      <c r="A59">
        <v>7</v>
      </c>
      <c r="B59">
        <v>15</v>
      </c>
      <c r="C59">
        <v>0</v>
      </c>
      <c r="D59">
        <v>0</v>
      </c>
      <c r="E59">
        <v>1</v>
      </c>
    </row>
    <row r="60" spans="1:5" x14ac:dyDescent="0.15">
      <c r="A60">
        <v>14</v>
      </c>
      <c r="B60">
        <v>0</v>
      </c>
      <c r="C60">
        <v>0</v>
      </c>
      <c r="D60">
        <v>0</v>
      </c>
      <c r="E60">
        <v>1</v>
      </c>
    </row>
    <row r="61" spans="1:5" x14ac:dyDescent="0.15">
      <c r="A61">
        <v>9</v>
      </c>
      <c r="B61">
        <v>0</v>
      </c>
      <c r="C61">
        <v>0</v>
      </c>
      <c r="D61">
        <v>0</v>
      </c>
      <c r="E61">
        <v>20</v>
      </c>
    </row>
    <row r="62" spans="1:5" x14ac:dyDescent="0.15">
      <c r="A62">
        <v>6</v>
      </c>
      <c r="B62">
        <v>1</v>
      </c>
      <c r="C62">
        <v>0</v>
      </c>
      <c r="D62">
        <v>3</v>
      </c>
      <c r="E62">
        <v>20</v>
      </c>
    </row>
    <row r="63" spans="1:5" x14ac:dyDescent="0.15">
      <c r="A63">
        <v>11</v>
      </c>
      <c r="B63">
        <v>4</v>
      </c>
      <c r="C63">
        <v>0</v>
      </c>
      <c r="D63">
        <v>0</v>
      </c>
      <c r="E63">
        <v>5</v>
      </c>
    </row>
    <row r="64" spans="1:5" x14ac:dyDescent="0.15">
      <c r="A64">
        <v>7</v>
      </c>
      <c r="B64">
        <v>16</v>
      </c>
      <c r="C64">
        <v>0</v>
      </c>
      <c r="D64">
        <v>0</v>
      </c>
      <c r="E64">
        <v>1</v>
      </c>
    </row>
    <row r="65" spans="1:5" x14ac:dyDescent="0.15">
      <c r="A65">
        <v>12</v>
      </c>
      <c r="B65">
        <v>0</v>
      </c>
      <c r="C65">
        <v>0</v>
      </c>
      <c r="D65">
        <v>0</v>
      </c>
      <c r="E65">
        <v>15</v>
      </c>
    </row>
    <row r="66" spans="1:5" x14ac:dyDescent="0.15">
      <c r="A66">
        <v>7</v>
      </c>
      <c r="B66">
        <v>17</v>
      </c>
      <c r="C66">
        <v>0</v>
      </c>
      <c r="D66">
        <v>0</v>
      </c>
      <c r="E66">
        <v>1</v>
      </c>
    </row>
    <row r="67" spans="1:5" x14ac:dyDescent="0.15">
      <c r="A67">
        <v>4</v>
      </c>
      <c r="B67">
        <v>0</v>
      </c>
      <c r="C67">
        <v>0</v>
      </c>
      <c r="D67">
        <v>0</v>
      </c>
      <c r="E67">
        <v>50</v>
      </c>
    </row>
    <row r="68" spans="1:5" x14ac:dyDescent="0.15">
      <c r="A68">
        <v>11</v>
      </c>
      <c r="B68">
        <v>5</v>
      </c>
      <c r="C68">
        <v>0</v>
      </c>
      <c r="D68">
        <v>0</v>
      </c>
      <c r="E68">
        <v>5</v>
      </c>
    </row>
    <row r="69" spans="1:5" x14ac:dyDescent="0.15">
      <c r="A69">
        <v>9</v>
      </c>
      <c r="B69">
        <v>0</v>
      </c>
      <c r="C69">
        <v>0</v>
      </c>
      <c r="D69">
        <v>0</v>
      </c>
      <c r="E69">
        <v>20</v>
      </c>
    </row>
    <row r="70" spans="1:5" x14ac:dyDescent="0.15">
      <c r="A70">
        <v>7</v>
      </c>
      <c r="B70">
        <v>18</v>
      </c>
      <c r="C70">
        <v>0</v>
      </c>
      <c r="D70">
        <v>0</v>
      </c>
      <c r="E70">
        <v>1</v>
      </c>
    </row>
    <row r="71" spans="1:5" x14ac:dyDescent="0.15">
      <c r="A71">
        <v>14</v>
      </c>
      <c r="B71">
        <v>0</v>
      </c>
      <c r="C71">
        <v>0</v>
      </c>
      <c r="D71">
        <v>0</v>
      </c>
      <c r="E71">
        <v>1</v>
      </c>
    </row>
    <row r="72" spans="1:5" x14ac:dyDescent="0.15">
      <c r="A72">
        <v>12</v>
      </c>
      <c r="B72">
        <v>0</v>
      </c>
      <c r="C72">
        <v>0</v>
      </c>
      <c r="D72">
        <v>0</v>
      </c>
      <c r="E72">
        <v>20</v>
      </c>
    </row>
    <row r="73" spans="1:5" x14ac:dyDescent="0.15">
      <c r="A73">
        <v>6</v>
      </c>
      <c r="B73">
        <v>1</v>
      </c>
      <c r="C73">
        <v>0</v>
      </c>
      <c r="D73">
        <v>4</v>
      </c>
      <c r="E73">
        <v>10</v>
      </c>
    </row>
    <row r="74" spans="1:5" x14ac:dyDescent="0.15">
      <c r="A74">
        <v>10</v>
      </c>
      <c r="B74">
        <v>2</v>
      </c>
      <c r="C74">
        <v>0</v>
      </c>
      <c r="D74">
        <v>0</v>
      </c>
      <c r="E74">
        <v>5</v>
      </c>
    </row>
    <row r="75" spans="1:5" x14ac:dyDescent="0.15">
      <c r="A75">
        <v>9</v>
      </c>
      <c r="B75">
        <v>0</v>
      </c>
      <c r="C75">
        <v>0</v>
      </c>
      <c r="D75">
        <v>0</v>
      </c>
      <c r="E75">
        <v>30</v>
      </c>
    </row>
    <row r="76" spans="1:5" x14ac:dyDescent="0.15">
      <c r="A76">
        <v>11</v>
      </c>
      <c r="B76">
        <v>3</v>
      </c>
      <c r="C76">
        <v>0</v>
      </c>
      <c r="D76">
        <v>0</v>
      </c>
      <c r="E76">
        <v>5</v>
      </c>
    </row>
    <row r="77" spans="1:5" x14ac:dyDescent="0.15">
      <c r="A77">
        <v>7</v>
      </c>
      <c r="B77">
        <v>19</v>
      </c>
      <c r="C77">
        <v>0</v>
      </c>
      <c r="D77">
        <v>0</v>
      </c>
      <c r="E77">
        <v>1</v>
      </c>
    </row>
    <row r="78" spans="1:5" x14ac:dyDescent="0.15">
      <c r="A78">
        <v>14</v>
      </c>
      <c r="B78">
        <v>0</v>
      </c>
      <c r="C78">
        <v>0</v>
      </c>
      <c r="D78">
        <v>0</v>
      </c>
      <c r="E78">
        <v>1</v>
      </c>
    </row>
    <row r="79" spans="1:5" x14ac:dyDescent="0.15">
      <c r="A79">
        <v>9</v>
      </c>
      <c r="B79">
        <v>0</v>
      </c>
      <c r="C79">
        <v>0</v>
      </c>
      <c r="D79">
        <v>0</v>
      </c>
      <c r="E79">
        <v>30</v>
      </c>
    </row>
    <row r="80" spans="1:5" x14ac:dyDescent="0.15">
      <c r="A80">
        <v>6</v>
      </c>
      <c r="B80">
        <v>1</v>
      </c>
      <c r="C80">
        <v>0</v>
      </c>
      <c r="D80">
        <v>3</v>
      </c>
      <c r="E80">
        <v>20</v>
      </c>
    </row>
    <row r="81" spans="1:5" x14ac:dyDescent="0.15">
      <c r="A81">
        <v>11</v>
      </c>
      <c r="B81">
        <v>4</v>
      </c>
      <c r="C81">
        <v>0</v>
      </c>
      <c r="D81">
        <v>0</v>
      </c>
      <c r="E81">
        <v>5</v>
      </c>
    </row>
    <row r="82" spans="1:5" x14ac:dyDescent="0.15">
      <c r="A82">
        <v>7</v>
      </c>
      <c r="B82">
        <v>20</v>
      </c>
      <c r="C82">
        <v>0</v>
      </c>
      <c r="D82">
        <v>0</v>
      </c>
      <c r="E82">
        <v>1</v>
      </c>
    </row>
    <row r="83" spans="1:5" x14ac:dyDescent="0.15">
      <c r="A83">
        <v>4</v>
      </c>
      <c r="B83">
        <v>0</v>
      </c>
      <c r="C83">
        <v>0</v>
      </c>
      <c r="D83">
        <v>0</v>
      </c>
      <c r="E83">
        <v>100</v>
      </c>
    </row>
    <row r="84" spans="1:5" x14ac:dyDescent="0.15">
      <c r="A84">
        <v>6</v>
      </c>
      <c r="B84">
        <v>1</v>
      </c>
      <c r="C84">
        <v>0</v>
      </c>
      <c r="D84">
        <v>4</v>
      </c>
      <c r="E84">
        <v>10</v>
      </c>
    </row>
    <row r="85" spans="1:5" x14ac:dyDescent="0.15">
      <c r="A85">
        <v>9</v>
      </c>
      <c r="B85">
        <v>0</v>
      </c>
      <c r="C85">
        <v>0</v>
      </c>
      <c r="D85">
        <v>0</v>
      </c>
      <c r="E85">
        <v>30</v>
      </c>
    </row>
    <row r="86" spans="1:5" x14ac:dyDescent="0.15">
      <c r="A86">
        <v>12</v>
      </c>
      <c r="B86">
        <v>0</v>
      </c>
      <c r="C86">
        <v>0</v>
      </c>
      <c r="D86">
        <v>0</v>
      </c>
      <c r="E86">
        <v>20</v>
      </c>
    </row>
    <row r="87" spans="1:5" x14ac:dyDescent="0.15">
      <c r="A87">
        <v>8</v>
      </c>
      <c r="B87">
        <v>302</v>
      </c>
      <c r="C87">
        <v>0</v>
      </c>
      <c r="D87">
        <v>0</v>
      </c>
      <c r="E87">
        <v>1</v>
      </c>
    </row>
    <row r="88" spans="1:5" x14ac:dyDescent="0.15">
      <c r="A88">
        <v>14</v>
      </c>
      <c r="B88">
        <v>0</v>
      </c>
      <c r="C88">
        <v>0</v>
      </c>
      <c r="D88">
        <v>0</v>
      </c>
      <c r="E88">
        <v>1</v>
      </c>
    </row>
    <row r="89" spans="1:5" x14ac:dyDescent="0.15">
      <c r="A89">
        <v>10</v>
      </c>
      <c r="B89">
        <v>3</v>
      </c>
      <c r="C89">
        <v>0</v>
      </c>
      <c r="D89">
        <v>0</v>
      </c>
      <c r="E89">
        <v>5</v>
      </c>
    </row>
    <row r="90" spans="1:5" x14ac:dyDescent="0.15">
      <c r="A90">
        <v>6</v>
      </c>
      <c r="B90">
        <v>1</v>
      </c>
      <c r="C90">
        <v>0</v>
      </c>
      <c r="D90">
        <v>3</v>
      </c>
      <c r="E90">
        <v>20</v>
      </c>
    </row>
    <row r="91" spans="1:5" x14ac:dyDescent="0.15">
      <c r="A91">
        <v>11</v>
      </c>
      <c r="B91">
        <v>5</v>
      </c>
      <c r="C91">
        <v>0</v>
      </c>
      <c r="D91">
        <v>0</v>
      </c>
      <c r="E91">
        <v>5</v>
      </c>
    </row>
    <row r="92" spans="1:5" x14ac:dyDescent="0.15">
      <c r="A92">
        <v>7</v>
      </c>
      <c r="B92">
        <v>21</v>
      </c>
      <c r="C92">
        <v>0</v>
      </c>
      <c r="D92">
        <v>0</v>
      </c>
      <c r="E92">
        <v>1</v>
      </c>
    </row>
    <row r="93" spans="1:5" x14ac:dyDescent="0.15">
      <c r="A93">
        <v>6</v>
      </c>
      <c r="B93">
        <v>1</v>
      </c>
      <c r="C93">
        <v>0</v>
      </c>
      <c r="D93">
        <v>4</v>
      </c>
      <c r="E93">
        <v>10</v>
      </c>
    </row>
    <row r="94" spans="1:5" x14ac:dyDescent="0.15">
      <c r="A94">
        <v>9</v>
      </c>
      <c r="B94">
        <v>0</v>
      </c>
      <c r="C94">
        <v>0</v>
      </c>
      <c r="D94">
        <v>0</v>
      </c>
      <c r="E94">
        <v>30</v>
      </c>
    </row>
    <row r="95" spans="1:5" x14ac:dyDescent="0.15">
      <c r="A95">
        <v>12</v>
      </c>
      <c r="B95">
        <v>0</v>
      </c>
      <c r="C95">
        <v>0</v>
      </c>
      <c r="D95">
        <v>0</v>
      </c>
      <c r="E95">
        <v>20</v>
      </c>
    </row>
    <row r="96" spans="1:5" x14ac:dyDescent="0.15">
      <c r="A96">
        <v>7</v>
      </c>
      <c r="B96">
        <v>22</v>
      </c>
      <c r="C96">
        <v>0</v>
      </c>
      <c r="D96">
        <v>0</v>
      </c>
      <c r="E96">
        <v>1</v>
      </c>
    </row>
    <row r="97" spans="1:5" x14ac:dyDescent="0.15">
      <c r="A97">
        <v>10</v>
      </c>
      <c r="B97">
        <v>4</v>
      </c>
      <c r="C97">
        <v>0</v>
      </c>
      <c r="D97">
        <v>0</v>
      </c>
      <c r="E97">
        <v>5</v>
      </c>
    </row>
    <row r="98" spans="1:5" x14ac:dyDescent="0.15">
      <c r="A98">
        <v>14</v>
      </c>
      <c r="B98">
        <v>0</v>
      </c>
      <c r="C98">
        <v>0</v>
      </c>
      <c r="D98">
        <v>0</v>
      </c>
      <c r="E98">
        <v>1</v>
      </c>
    </row>
    <row r="99" spans="1:5" x14ac:dyDescent="0.15">
      <c r="A99">
        <v>8</v>
      </c>
      <c r="B99">
        <v>303</v>
      </c>
      <c r="C99">
        <v>0</v>
      </c>
      <c r="D99">
        <v>0</v>
      </c>
      <c r="E99">
        <v>1</v>
      </c>
    </row>
    <row r="100" spans="1:5" x14ac:dyDescent="0.15">
      <c r="A100">
        <v>7</v>
      </c>
      <c r="B100">
        <v>23</v>
      </c>
      <c r="C100">
        <v>0</v>
      </c>
      <c r="D100">
        <v>0</v>
      </c>
      <c r="E100">
        <v>1</v>
      </c>
    </row>
    <row r="101" spans="1:5" x14ac:dyDescent="0.15">
      <c r="A101">
        <v>11</v>
      </c>
      <c r="B101">
        <v>1</v>
      </c>
      <c r="C101">
        <v>0</v>
      </c>
      <c r="D101">
        <v>0</v>
      </c>
      <c r="E101">
        <v>5</v>
      </c>
    </row>
    <row r="102" spans="1:5" x14ac:dyDescent="0.15">
      <c r="A102">
        <v>7</v>
      </c>
      <c r="B102">
        <v>24</v>
      </c>
      <c r="C102">
        <v>0</v>
      </c>
      <c r="D102">
        <v>0</v>
      </c>
      <c r="E102">
        <v>1</v>
      </c>
    </row>
    <row r="103" spans="1:5" x14ac:dyDescent="0.15">
      <c r="A103">
        <v>6</v>
      </c>
      <c r="B103">
        <v>1</v>
      </c>
      <c r="C103">
        <v>0</v>
      </c>
      <c r="D103">
        <v>5</v>
      </c>
      <c r="E103">
        <v>10</v>
      </c>
    </row>
    <row r="104" spans="1:5" x14ac:dyDescent="0.15">
      <c r="A104">
        <v>9</v>
      </c>
      <c r="B104">
        <v>0</v>
      </c>
      <c r="C104">
        <v>0</v>
      </c>
      <c r="D104">
        <v>0</v>
      </c>
      <c r="E104">
        <v>30</v>
      </c>
    </row>
    <row r="105" spans="1:5" x14ac:dyDescent="0.15">
      <c r="A105">
        <v>12</v>
      </c>
      <c r="B105">
        <v>0</v>
      </c>
      <c r="C105">
        <v>0</v>
      </c>
      <c r="D105">
        <v>0</v>
      </c>
      <c r="E105">
        <v>20</v>
      </c>
    </row>
    <row r="106" spans="1:5" x14ac:dyDescent="0.15">
      <c r="A106">
        <v>7</v>
      </c>
      <c r="B106">
        <v>21</v>
      </c>
      <c r="C106">
        <v>0</v>
      </c>
      <c r="D106">
        <v>0</v>
      </c>
      <c r="E106">
        <v>1</v>
      </c>
    </row>
    <row r="107" spans="1:5" x14ac:dyDescent="0.15">
      <c r="A107">
        <v>4</v>
      </c>
      <c r="B107">
        <v>0</v>
      </c>
      <c r="C107">
        <v>0</v>
      </c>
      <c r="D107">
        <v>0</v>
      </c>
      <c r="E107">
        <v>100</v>
      </c>
    </row>
    <row r="108" spans="1:5" x14ac:dyDescent="0.15">
      <c r="A108">
        <v>6</v>
      </c>
      <c r="B108">
        <v>1</v>
      </c>
      <c r="C108">
        <v>0</v>
      </c>
      <c r="D108">
        <v>5</v>
      </c>
      <c r="E108">
        <v>10</v>
      </c>
    </row>
    <row r="109" spans="1:5" x14ac:dyDescent="0.15">
      <c r="A109">
        <v>7</v>
      </c>
      <c r="B109">
        <v>22</v>
      </c>
      <c r="C109">
        <v>0</v>
      </c>
      <c r="D109">
        <v>0</v>
      </c>
      <c r="E109">
        <v>1</v>
      </c>
    </row>
    <row r="110" spans="1:5" x14ac:dyDescent="0.15">
      <c r="A110">
        <v>14</v>
      </c>
      <c r="B110">
        <v>0</v>
      </c>
      <c r="C110">
        <v>0</v>
      </c>
      <c r="D110">
        <v>0</v>
      </c>
      <c r="E110">
        <v>1</v>
      </c>
    </row>
    <row r="111" spans="1:5" x14ac:dyDescent="0.15">
      <c r="A111">
        <v>8</v>
      </c>
      <c r="B111">
        <v>304</v>
      </c>
      <c r="C111">
        <v>0</v>
      </c>
      <c r="D111">
        <v>0</v>
      </c>
      <c r="E111">
        <v>1</v>
      </c>
    </row>
    <row r="112" spans="1:5" x14ac:dyDescent="0.15">
      <c r="A112">
        <v>7</v>
      </c>
      <c r="B112">
        <v>23</v>
      </c>
      <c r="C112">
        <v>0</v>
      </c>
      <c r="D112">
        <v>0</v>
      </c>
      <c r="E112">
        <v>1</v>
      </c>
    </row>
    <row r="113" spans="1:5" x14ac:dyDescent="0.15">
      <c r="A113">
        <v>6</v>
      </c>
      <c r="B113">
        <v>1</v>
      </c>
      <c r="C113">
        <v>0</v>
      </c>
      <c r="D113">
        <v>5</v>
      </c>
      <c r="E113">
        <v>10</v>
      </c>
    </row>
    <row r="114" spans="1:5" x14ac:dyDescent="0.15">
      <c r="A114">
        <v>9</v>
      </c>
      <c r="B114">
        <v>0</v>
      </c>
      <c r="C114">
        <v>0</v>
      </c>
      <c r="D114">
        <v>0</v>
      </c>
      <c r="E114">
        <v>30</v>
      </c>
    </row>
    <row r="115" spans="1:5" x14ac:dyDescent="0.15">
      <c r="A115">
        <v>7</v>
      </c>
      <c r="B115">
        <v>24</v>
      </c>
      <c r="C115">
        <v>0</v>
      </c>
      <c r="D115">
        <v>0</v>
      </c>
      <c r="E115">
        <v>1</v>
      </c>
    </row>
    <row r="116" spans="1:5" x14ac:dyDescent="0.15">
      <c r="A116">
        <v>12</v>
      </c>
      <c r="B116">
        <v>0</v>
      </c>
      <c r="C116">
        <v>0</v>
      </c>
      <c r="D116">
        <v>0</v>
      </c>
      <c r="E116">
        <v>20</v>
      </c>
    </row>
    <row r="117" spans="1:5" x14ac:dyDescent="0.15">
      <c r="A117">
        <v>10</v>
      </c>
      <c r="B117">
        <v>5</v>
      </c>
      <c r="C117">
        <v>0</v>
      </c>
      <c r="D117">
        <v>0</v>
      </c>
      <c r="E117">
        <v>5</v>
      </c>
    </row>
    <row r="118" spans="1:5" x14ac:dyDescent="0.15">
      <c r="A118">
        <v>11</v>
      </c>
      <c r="B118">
        <v>2</v>
      </c>
      <c r="C118">
        <v>0</v>
      </c>
      <c r="D118">
        <v>0</v>
      </c>
      <c r="E118">
        <v>5</v>
      </c>
    </row>
    <row r="119" spans="1:5" x14ac:dyDescent="0.15">
      <c r="A119">
        <v>7</v>
      </c>
      <c r="B119">
        <v>25</v>
      </c>
      <c r="C119">
        <v>0</v>
      </c>
      <c r="D119">
        <v>0</v>
      </c>
      <c r="E119">
        <v>1</v>
      </c>
    </row>
    <row r="120" spans="1:5" x14ac:dyDescent="0.15">
      <c r="A120">
        <v>9</v>
      </c>
      <c r="B120">
        <v>0</v>
      </c>
      <c r="C120">
        <v>0</v>
      </c>
      <c r="D120">
        <v>0</v>
      </c>
      <c r="E120">
        <v>40</v>
      </c>
    </row>
    <row r="121" spans="1:5" x14ac:dyDescent="0.15">
      <c r="A121">
        <v>14</v>
      </c>
      <c r="B121">
        <v>0</v>
      </c>
      <c r="C121">
        <v>0</v>
      </c>
      <c r="D121">
        <v>0</v>
      </c>
      <c r="E121">
        <v>1</v>
      </c>
    </row>
    <row r="122" spans="1:5" x14ac:dyDescent="0.15">
      <c r="A122">
        <v>7</v>
      </c>
      <c r="B122">
        <v>26</v>
      </c>
      <c r="C122">
        <v>0</v>
      </c>
      <c r="D122">
        <v>0</v>
      </c>
      <c r="E122">
        <v>1</v>
      </c>
    </row>
    <row r="123" spans="1:5" x14ac:dyDescent="0.15">
      <c r="A123">
        <v>6</v>
      </c>
      <c r="B123">
        <v>1</v>
      </c>
      <c r="C123">
        <v>0</v>
      </c>
      <c r="D123">
        <v>5</v>
      </c>
      <c r="E123">
        <v>10</v>
      </c>
    </row>
    <row r="124" spans="1:5" x14ac:dyDescent="0.15">
      <c r="A124">
        <v>12</v>
      </c>
      <c r="B124">
        <v>0</v>
      </c>
      <c r="C124">
        <v>0</v>
      </c>
      <c r="D124">
        <v>0</v>
      </c>
      <c r="E124">
        <v>20</v>
      </c>
    </row>
    <row r="125" spans="1:5" x14ac:dyDescent="0.15">
      <c r="A125">
        <v>7</v>
      </c>
      <c r="B125">
        <v>27</v>
      </c>
      <c r="C125">
        <v>0</v>
      </c>
      <c r="D125">
        <v>0</v>
      </c>
      <c r="E125">
        <v>1</v>
      </c>
    </row>
    <row r="126" spans="1:5" x14ac:dyDescent="0.15">
      <c r="A126">
        <v>8</v>
      </c>
      <c r="B126">
        <v>305</v>
      </c>
      <c r="C126">
        <v>0</v>
      </c>
      <c r="D126">
        <v>0</v>
      </c>
      <c r="E126">
        <v>1</v>
      </c>
    </row>
    <row r="127" spans="1:5" x14ac:dyDescent="0.15">
      <c r="A127">
        <v>9</v>
      </c>
      <c r="B127">
        <v>0</v>
      </c>
      <c r="C127">
        <v>0</v>
      </c>
      <c r="D127">
        <v>0</v>
      </c>
      <c r="E127">
        <v>40</v>
      </c>
    </row>
    <row r="128" spans="1:5" x14ac:dyDescent="0.15">
      <c r="A128">
        <v>13</v>
      </c>
      <c r="B128">
        <v>0</v>
      </c>
      <c r="C128">
        <v>0</v>
      </c>
      <c r="D128">
        <v>0</v>
      </c>
      <c r="E128">
        <v>5</v>
      </c>
    </row>
    <row r="129" spans="1:5" x14ac:dyDescent="0.15">
      <c r="A129">
        <v>7</v>
      </c>
      <c r="B129">
        <v>28</v>
      </c>
      <c r="C129">
        <v>0</v>
      </c>
      <c r="D129">
        <v>0</v>
      </c>
      <c r="E129">
        <v>1</v>
      </c>
    </row>
    <row r="130" spans="1:5" x14ac:dyDescent="0.15">
      <c r="A130">
        <v>12</v>
      </c>
      <c r="B130">
        <v>0</v>
      </c>
      <c r="C130">
        <v>0</v>
      </c>
      <c r="D130">
        <v>0</v>
      </c>
      <c r="E130">
        <v>25</v>
      </c>
    </row>
    <row r="131" spans="1:5" x14ac:dyDescent="0.15">
      <c r="A131">
        <v>14</v>
      </c>
      <c r="B131">
        <v>0</v>
      </c>
      <c r="C131">
        <v>0</v>
      </c>
      <c r="D131">
        <v>0</v>
      </c>
      <c r="E131">
        <v>1</v>
      </c>
    </row>
    <row r="132" spans="1:5" x14ac:dyDescent="0.15">
      <c r="A132">
        <v>7</v>
      </c>
      <c r="B132">
        <v>25</v>
      </c>
      <c r="C132">
        <v>0</v>
      </c>
      <c r="D132">
        <v>0</v>
      </c>
      <c r="E132">
        <v>1</v>
      </c>
    </row>
    <row r="133" spans="1:5" x14ac:dyDescent="0.15">
      <c r="A133">
        <v>6</v>
      </c>
      <c r="B133">
        <v>1</v>
      </c>
      <c r="C133">
        <v>0</v>
      </c>
      <c r="D133">
        <v>5</v>
      </c>
      <c r="E133">
        <v>10</v>
      </c>
    </row>
    <row r="134" spans="1:5" x14ac:dyDescent="0.15">
      <c r="A134">
        <v>9</v>
      </c>
      <c r="B134">
        <v>0</v>
      </c>
      <c r="C134">
        <v>0</v>
      </c>
      <c r="D134">
        <v>0</v>
      </c>
      <c r="E134">
        <v>40</v>
      </c>
    </row>
    <row r="135" spans="1:5" x14ac:dyDescent="0.15">
      <c r="A135">
        <v>7</v>
      </c>
      <c r="B135">
        <v>26</v>
      </c>
      <c r="C135">
        <v>0</v>
      </c>
      <c r="D135">
        <v>0</v>
      </c>
      <c r="E135">
        <v>1</v>
      </c>
    </row>
    <row r="136" spans="1:5" x14ac:dyDescent="0.15">
      <c r="A136">
        <v>10</v>
      </c>
      <c r="B136">
        <v>6</v>
      </c>
      <c r="C136">
        <v>0</v>
      </c>
      <c r="D136">
        <v>0</v>
      </c>
      <c r="E136">
        <v>5</v>
      </c>
    </row>
    <row r="137" spans="1:5" x14ac:dyDescent="0.15">
      <c r="A137">
        <v>11</v>
      </c>
      <c r="B137">
        <v>3</v>
      </c>
      <c r="C137">
        <v>0</v>
      </c>
      <c r="D137">
        <v>0</v>
      </c>
      <c r="E137">
        <v>5</v>
      </c>
    </row>
    <row r="138" spans="1:5" x14ac:dyDescent="0.15">
      <c r="A138">
        <v>12</v>
      </c>
      <c r="B138">
        <v>0</v>
      </c>
      <c r="C138">
        <v>0</v>
      </c>
      <c r="D138">
        <v>0</v>
      </c>
      <c r="E138">
        <v>25</v>
      </c>
    </row>
    <row r="139" spans="1:5" x14ac:dyDescent="0.15">
      <c r="A139">
        <v>7</v>
      </c>
      <c r="B139">
        <v>27</v>
      </c>
      <c r="C139">
        <v>0</v>
      </c>
      <c r="D139">
        <v>0</v>
      </c>
      <c r="E139">
        <v>1</v>
      </c>
    </row>
    <row r="140" spans="1:5" x14ac:dyDescent="0.15">
      <c r="A140">
        <v>6</v>
      </c>
      <c r="B140">
        <v>1</v>
      </c>
      <c r="C140">
        <v>0</v>
      </c>
      <c r="D140">
        <v>4</v>
      </c>
      <c r="E140">
        <v>20</v>
      </c>
    </row>
    <row r="141" spans="1:5" x14ac:dyDescent="0.15">
      <c r="A141">
        <v>9</v>
      </c>
      <c r="B141">
        <v>0</v>
      </c>
      <c r="C141">
        <v>0</v>
      </c>
      <c r="D141">
        <v>0</v>
      </c>
      <c r="E141">
        <v>40</v>
      </c>
    </row>
    <row r="142" spans="1:5" x14ac:dyDescent="0.15">
      <c r="A142">
        <v>7</v>
      </c>
      <c r="B142">
        <v>28</v>
      </c>
      <c r="C142">
        <v>0</v>
      </c>
      <c r="D142">
        <v>0</v>
      </c>
      <c r="E142">
        <v>1</v>
      </c>
    </row>
    <row r="143" spans="1:5" x14ac:dyDescent="0.15">
      <c r="A143">
        <v>6</v>
      </c>
      <c r="B143">
        <v>1</v>
      </c>
      <c r="C143">
        <v>0</v>
      </c>
      <c r="D143">
        <v>5</v>
      </c>
      <c r="E143">
        <v>10</v>
      </c>
    </row>
    <row r="144" spans="1:5" x14ac:dyDescent="0.15">
      <c r="A144">
        <v>12</v>
      </c>
      <c r="B144">
        <v>0</v>
      </c>
      <c r="C144">
        <v>0</v>
      </c>
      <c r="D144">
        <v>0</v>
      </c>
      <c r="E144">
        <v>25</v>
      </c>
    </row>
    <row r="145" spans="1:5" x14ac:dyDescent="0.15">
      <c r="A145">
        <v>11</v>
      </c>
      <c r="B145">
        <v>4</v>
      </c>
      <c r="C145">
        <v>0</v>
      </c>
      <c r="D145">
        <v>0</v>
      </c>
      <c r="E145">
        <v>5</v>
      </c>
    </row>
    <row r="146" spans="1:5" x14ac:dyDescent="0.15">
      <c r="A146">
        <v>7</v>
      </c>
      <c r="B146">
        <v>29</v>
      </c>
      <c r="C146">
        <v>0</v>
      </c>
      <c r="D146">
        <v>0</v>
      </c>
      <c r="E146">
        <v>1</v>
      </c>
    </row>
    <row r="147" spans="1:5" x14ac:dyDescent="0.15">
      <c r="A147">
        <v>10</v>
      </c>
      <c r="B147">
        <v>2</v>
      </c>
      <c r="C147">
        <v>0</v>
      </c>
      <c r="D147">
        <v>0</v>
      </c>
      <c r="E147">
        <v>5</v>
      </c>
    </row>
    <row r="148" spans="1:5" x14ac:dyDescent="0.15">
      <c r="A148">
        <v>9</v>
      </c>
      <c r="B148">
        <v>0</v>
      </c>
      <c r="C148">
        <v>0</v>
      </c>
      <c r="D148">
        <v>0</v>
      </c>
      <c r="E148">
        <v>40</v>
      </c>
    </row>
    <row r="149" spans="1:5" x14ac:dyDescent="0.15">
      <c r="A149">
        <v>14</v>
      </c>
      <c r="B149">
        <v>0</v>
      </c>
      <c r="C149">
        <v>0</v>
      </c>
      <c r="D149">
        <v>0</v>
      </c>
      <c r="E149">
        <v>1</v>
      </c>
    </row>
    <row r="150" spans="1:5" x14ac:dyDescent="0.15">
      <c r="A150">
        <v>7</v>
      </c>
      <c r="B150">
        <v>30</v>
      </c>
      <c r="C150">
        <v>0</v>
      </c>
      <c r="D150">
        <v>0</v>
      </c>
      <c r="E150">
        <v>1</v>
      </c>
    </row>
    <row r="151" spans="1:5" x14ac:dyDescent="0.15">
      <c r="A151">
        <v>6</v>
      </c>
      <c r="B151">
        <v>1</v>
      </c>
      <c r="C151">
        <v>0</v>
      </c>
      <c r="D151">
        <v>4</v>
      </c>
      <c r="E151">
        <v>20</v>
      </c>
    </row>
    <row r="152" spans="1:5" x14ac:dyDescent="0.15">
      <c r="A152">
        <v>12</v>
      </c>
      <c r="B152">
        <v>0</v>
      </c>
      <c r="C152">
        <v>0</v>
      </c>
      <c r="D152">
        <v>0</v>
      </c>
      <c r="E152">
        <v>25</v>
      </c>
    </row>
    <row r="153" spans="1:5" x14ac:dyDescent="0.15">
      <c r="A153">
        <v>6</v>
      </c>
      <c r="B153">
        <v>1</v>
      </c>
      <c r="C153">
        <v>0</v>
      </c>
      <c r="D153">
        <v>5</v>
      </c>
      <c r="E153">
        <v>10</v>
      </c>
    </row>
    <row r="154" spans="1:5" x14ac:dyDescent="0.15">
      <c r="A154">
        <v>7</v>
      </c>
      <c r="B154">
        <v>31</v>
      </c>
      <c r="C154">
        <v>0</v>
      </c>
      <c r="D154">
        <v>0</v>
      </c>
      <c r="E154">
        <v>1</v>
      </c>
    </row>
    <row r="155" spans="1:5" x14ac:dyDescent="0.15">
      <c r="A155">
        <v>11</v>
      </c>
      <c r="B155">
        <v>5</v>
      </c>
      <c r="C155">
        <v>0</v>
      </c>
      <c r="D155">
        <v>0</v>
      </c>
      <c r="E155">
        <v>5</v>
      </c>
    </row>
    <row r="156" spans="1:5" x14ac:dyDescent="0.15">
      <c r="A156">
        <v>9</v>
      </c>
      <c r="B156">
        <v>0</v>
      </c>
      <c r="C156">
        <v>0</v>
      </c>
      <c r="D156">
        <v>0</v>
      </c>
      <c r="E156">
        <v>40</v>
      </c>
    </row>
    <row r="157" spans="1:5" x14ac:dyDescent="0.15">
      <c r="A157">
        <v>10</v>
      </c>
      <c r="B157">
        <v>3</v>
      </c>
      <c r="C157">
        <v>0</v>
      </c>
      <c r="D157">
        <v>0</v>
      </c>
      <c r="E157">
        <v>5</v>
      </c>
    </row>
    <row r="158" spans="1:5" x14ac:dyDescent="0.15">
      <c r="A158">
        <v>7</v>
      </c>
      <c r="B158">
        <v>32</v>
      </c>
      <c r="C158">
        <v>0</v>
      </c>
      <c r="D158">
        <v>0</v>
      </c>
      <c r="E158">
        <v>1</v>
      </c>
    </row>
    <row r="159" spans="1:5" x14ac:dyDescent="0.15">
      <c r="A159">
        <v>12</v>
      </c>
      <c r="B159">
        <v>0</v>
      </c>
      <c r="C159">
        <v>0</v>
      </c>
      <c r="D159">
        <v>0</v>
      </c>
      <c r="E159">
        <v>30</v>
      </c>
    </row>
    <row r="160" spans="1:5" x14ac:dyDescent="0.15">
      <c r="A160">
        <v>14</v>
      </c>
      <c r="B160">
        <v>0</v>
      </c>
      <c r="C160">
        <v>0</v>
      </c>
      <c r="D160">
        <v>0</v>
      </c>
      <c r="E160">
        <v>1</v>
      </c>
    </row>
    <row r="161" spans="1:5" x14ac:dyDescent="0.15">
      <c r="A161">
        <v>6</v>
      </c>
      <c r="B161">
        <v>1</v>
      </c>
      <c r="C161">
        <v>0</v>
      </c>
      <c r="D161">
        <v>4</v>
      </c>
      <c r="E161">
        <v>20</v>
      </c>
    </row>
    <row r="162" spans="1:5" x14ac:dyDescent="0.15">
      <c r="A162">
        <v>7</v>
      </c>
      <c r="B162">
        <v>29</v>
      </c>
      <c r="C162">
        <v>0</v>
      </c>
      <c r="D162">
        <v>0</v>
      </c>
      <c r="E162">
        <v>1</v>
      </c>
    </row>
    <row r="163" spans="1:5" x14ac:dyDescent="0.15">
      <c r="A163">
        <v>6</v>
      </c>
      <c r="B163">
        <v>1</v>
      </c>
      <c r="C163">
        <v>0</v>
      </c>
      <c r="D163">
        <v>5</v>
      </c>
      <c r="E163">
        <v>10</v>
      </c>
    </row>
    <row r="164" spans="1:5" x14ac:dyDescent="0.15">
      <c r="A164">
        <v>9</v>
      </c>
      <c r="B164">
        <v>0</v>
      </c>
      <c r="C164">
        <v>0</v>
      </c>
      <c r="D164">
        <v>0</v>
      </c>
      <c r="E164">
        <v>50</v>
      </c>
    </row>
    <row r="165" spans="1:5" x14ac:dyDescent="0.15">
      <c r="A165">
        <v>10</v>
      </c>
      <c r="B165">
        <v>4</v>
      </c>
      <c r="C165">
        <v>0</v>
      </c>
      <c r="D165">
        <v>0</v>
      </c>
      <c r="E165">
        <v>5</v>
      </c>
    </row>
    <row r="166" spans="1:5" x14ac:dyDescent="0.15">
      <c r="A166">
        <v>7</v>
      </c>
      <c r="B166">
        <v>30</v>
      </c>
      <c r="C166">
        <v>0</v>
      </c>
      <c r="D166">
        <v>0</v>
      </c>
      <c r="E166">
        <v>1</v>
      </c>
    </row>
    <row r="167" spans="1:5" x14ac:dyDescent="0.15">
      <c r="A167">
        <v>11</v>
      </c>
      <c r="B167">
        <v>1</v>
      </c>
      <c r="C167">
        <v>0</v>
      </c>
      <c r="D167">
        <v>0</v>
      </c>
      <c r="E167">
        <v>5</v>
      </c>
    </row>
    <row r="168" spans="1:5" x14ac:dyDescent="0.15">
      <c r="A168">
        <v>12</v>
      </c>
      <c r="B168">
        <v>0</v>
      </c>
      <c r="C168">
        <v>0</v>
      </c>
      <c r="D168">
        <v>0</v>
      </c>
      <c r="E168">
        <v>30</v>
      </c>
    </row>
    <row r="169" spans="1:5" x14ac:dyDescent="0.15">
      <c r="A169">
        <v>9</v>
      </c>
      <c r="B169">
        <v>0</v>
      </c>
      <c r="C169">
        <v>0</v>
      </c>
      <c r="D169">
        <v>0</v>
      </c>
      <c r="E169">
        <v>50</v>
      </c>
    </row>
    <row r="170" spans="1:5" x14ac:dyDescent="0.15">
      <c r="A170">
        <v>7</v>
      </c>
      <c r="B170">
        <v>31</v>
      </c>
      <c r="C170">
        <v>0</v>
      </c>
      <c r="D170">
        <v>0</v>
      </c>
      <c r="E170">
        <v>1</v>
      </c>
    </row>
    <row r="171" spans="1:5" x14ac:dyDescent="0.15">
      <c r="A171">
        <v>14</v>
      </c>
      <c r="B171">
        <v>0</v>
      </c>
      <c r="C171">
        <v>0</v>
      </c>
      <c r="D171">
        <v>0</v>
      </c>
      <c r="E171">
        <v>1</v>
      </c>
    </row>
    <row r="172" spans="1:5" x14ac:dyDescent="0.15">
      <c r="A172">
        <v>10</v>
      </c>
      <c r="B172">
        <v>5</v>
      </c>
      <c r="C172">
        <v>0</v>
      </c>
      <c r="D172">
        <v>0</v>
      </c>
      <c r="E172">
        <v>5</v>
      </c>
    </row>
    <row r="173" spans="1:5" x14ac:dyDescent="0.15">
      <c r="A173">
        <v>6</v>
      </c>
      <c r="B173">
        <v>1</v>
      </c>
      <c r="C173">
        <v>0</v>
      </c>
      <c r="D173">
        <v>5</v>
      </c>
      <c r="E173">
        <v>10</v>
      </c>
    </row>
    <row r="174" spans="1:5" x14ac:dyDescent="0.15">
      <c r="A174">
        <v>7</v>
      </c>
      <c r="B174">
        <v>32</v>
      </c>
      <c r="C174">
        <v>0</v>
      </c>
      <c r="D174">
        <v>0</v>
      </c>
      <c r="E174">
        <v>1</v>
      </c>
    </row>
    <row r="175" spans="1:5" x14ac:dyDescent="0.15">
      <c r="A175">
        <v>8</v>
      </c>
      <c r="B175">
        <v>306</v>
      </c>
      <c r="C175">
        <v>0</v>
      </c>
      <c r="D175">
        <v>0</v>
      </c>
      <c r="E175">
        <v>1</v>
      </c>
    </row>
    <row r="176" spans="1:5" x14ac:dyDescent="0.15">
      <c r="A176">
        <v>11</v>
      </c>
      <c r="B176">
        <v>2</v>
      </c>
      <c r="C176">
        <v>0</v>
      </c>
      <c r="D176">
        <v>0</v>
      </c>
      <c r="E176">
        <v>5</v>
      </c>
    </row>
    <row r="177" spans="1:5" x14ac:dyDescent="0.15">
      <c r="A177">
        <v>9</v>
      </c>
      <c r="B177">
        <v>0</v>
      </c>
      <c r="C177">
        <v>0</v>
      </c>
      <c r="D177">
        <v>0</v>
      </c>
      <c r="E177">
        <v>50</v>
      </c>
    </row>
    <row r="178" spans="1:5" x14ac:dyDescent="0.15">
      <c r="A178">
        <v>7</v>
      </c>
      <c r="B178">
        <v>33</v>
      </c>
      <c r="C178">
        <v>0</v>
      </c>
      <c r="D178">
        <v>0</v>
      </c>
      <c r="E178">
        <v>1</v>
      </c>
    </row>
    <row r="179" spans="1:5" x14ac:dyDescent="0.15">
      <c r="A179">
        <v>12</v>
      </c>
      <c r="B179">
        <v>0</v>
      </c>
      <c r="C179">
        <v>0</v>
      </c>
      <c r="D179">
        <v>0</v>
      </c>
      <c r="E179">
        <v>30</v>
      </c>
    </row>
    <row r="180" spans="1:5" x14ac:dyDescent="0.15">
      <c r="A180">
        <v>14</v>
      </c>
      <c r="B180">
        <v>0</v>
      </c>
      <c r="C180">
        <v>0</v>
      </c>
      <c r="D180">
        <v>0</v>
      </c>
      <c r="E180">
        <v>1</v>
      </c>
    </row>
    <row r="181" spans="1:5" x14ac:dyDescent="0.15">
      <c r="A181">
        <v>6</v>
      </c>
      <c r="B181">
        <v>1</v>
      </c>
      <c r="C181">
        <v>0</v>
      </c>
      <c r="D181">
        <v>4</v>
      </c>
      <c r="E181">
        <v>20</v>
      </c>
    </row>
    <row r="182" spans="1:5" x14ac:dyDescent="0.15">
      <c r="A182">
        <v>7</v>
      </c>
      <c r="B182">
        <v>34</v>
      </c>
      <c r="C182">
        <v>0</v>
      </c>
      <c r="D182">
        <v>0</v>
      </c>
      <c r="E182">
        <v>1</v>
      </c>
    </row>
    <row r="183" spans="1:5" x14ac:dyDescent="0.15">
      <c r="A183">
        <v>6</v>
      </c>
      <c r="B183">
        <v>1</v>
      </c>
      <c r="C183">
        <v>0</v>
      </c>
      <c r="D183">
        <v>5</v>
      </c>
      <c r="E183">
        <v>10</v>
      </c>
    </row>
    <row r="184" spans="1:5" x14ac:dyDescent="0.15">
      <c r="A184">
        <v>9</v>
      </c>
      <c r="B184">
        <v>0</v>
      </c>
      <c r="C184">
        <v>0</v>
      </c>
      <c r="D184">
        <v>0</v>
      </c>
      <c r="E184">
        <v>50</v>
      </c>
    </row>
    <row r="185" spans="1:5" x14ac:dyDescent="0.15">
      <c r="A185">
        <v>10</v>
      </c>
      <c r="B185">
        <v>6</v>
      </c>
      <c r="C185">
        <v>0</v>
      </c>
      <c r="D185">
        <v>0</v>
      </c>
      <c r="E185">
        <v>5</v>
      </c>
    </row>
    <row r="186" spans="1:5" x14ac:dyDescent="0.15">
      <c r="A186">
        <v>11</v>
      </c>
      <c r="B186">
        <v>3</v>
      </c>
      <c r="C186">
        <v>0</v>
      </c>
      <c r="D186">
        <v>0</v>
      </c>
      <c r="E186">
        <v>5</v>
      </c>
    </row>
    <row r="187" spans="1:5" x14ac:dyDescent="0.15">
      <c r="A187">
        <v>7</v>
      </c>
      <c r="B187">
        <v>35</v>
      </c>
      <c r="C187">
        <v>0</v>
      </c>
      <c r="D187">
        <v>0</v>
      </c>
      <c r="E187">
        <v>1</v>
      </c>
    </row>
    <row r="188" spans="1:5" x14ac:dyDescent="0.15">
      <c r="A188">
        <v>12</v>
      </c>
      <c r="B188">
        <v>0</v>
      </c>
      <c r="C188">
        <v>0</v>
      </c>
      <c r="D188">
        <v>0</v>
      </c>
      <c r="E188">
        <v>30</v>
      </c>
    </row>
    <row r="189" spans="1:5" x14ac:dyDescent="0.15">
      <c r="A189">
        <v>14</v>
      </c>
      <c r="B189">
        <v>0</v>
      </c>
      <c r="C189">
        <v>0</v>
      </c>
      <c r="D189">
        <v>0</v>
      </c>
      <c r="E189">
        <v>1</v>
      </c>
    </row>
    <row r="190" spans="1:5" x14ac:dyDescent="0.15">
      <c r="A190">
        <v>9</v>
      </c>
      <c r="B190">
        <v>0</v>
      </c>
      <c r="C190">
        <v>0</v>
      </c>
      <c r="D190">
        <v>0</v>
      </c>
      <c r="E190">
        <v>50</v>
      </c>
    </row>
    <row r="191" spans="1:5" x14ac:dyDescent="0.15">
      <c r="A191">
        <v>7</v>
      </c>
      <c r="B191">
        <v>36</v>
      </c>
      <c r="C191">
        <v>0</v>
      </c>
      <c r="D191">
        <v>0</v>
      </c>
      <c r="E191">
        <v>1</v>
      </c>
    </row>
    <row r="192" spans="1:5" x14ac:dyDescent="0.15">
      <c r="A192">
        <v>4</v>
      </c>
      <c r="B192">
        <v>0</v>
      </c>
      <c r="C192">
        <v>0</v>
      </c>
      <c r="D192">
        <v>0</v>
      </c>
      <c r="E192">
        <v>100</v>
      </c>
    </row>
    <row r="193" spans="1:13" x14ac:dyDescent="0.15">
      <c r="A193">
        <v>6</v>
      </c>
      <c r="B193">
        <v>1</v>
      </c>
      <c r="C193">
        <v>0</v>
      </c>
      <c r="D193">
        <v>5</v>
      </c>
      <c r="E193">
        <v>10</v>
      </c>
    </row>
    <row r="194" spans="1:13" x14ac:dyDescent="0.15">
      <c r="F194" s="1" t="s">
        <v>43</v>
      </c>
      <c r="G194" s="1" t="s">
        <v>44</v>
      </c>
      <c r="H194" s="2" t="s">
        <v>45</v>
      </c>
    </row>
    <row r="195" spans="1:13" x14ac:dyDescent="0.15">
      <c r="F195" s="3">
        <v>1</v>
      </c>
      <c r="G195" s="1">
        <v>100</v>
      </c>
      <c r="H195">
        <f>F195*50</f>
        <v>50</v>
      </c>
      <c r="M195" s="2" t="s">
        <v>106</v>
      </c>
    </row>
    <row r="196" spans="1:13" x14ac:dyDescent="0.15">
      <c r="F196" s="3">
        <v>2</v>
      </c>
      <c r="G196" s="1">
        <f>G195+POWER(F196+2,2)+POWER(F195+1,2)</f>
        <v>120</v>
      </c>
      <c r="H196">
        <f t="shared" ref="H196:H203" si="0">F196*50</f>
        <v>100</v>
      </c>
    </row>
    <row r="197" spans="1:13" x14ac:dyDescent="0.15">
      <c r="D197" s="1">
        <v>101</v>
      </c>
      <c r="F197" s="3">
        <v>3</v>
      </c>
      <c r="G197" s="1">
        <f t="shared" ref="G197:G260" si="1">G196+POWER(F197+2,2)+POWER(F196+1,2)</f>
        <v>154</v>
      </c>
      <c r="H197">
        <f t="shared" si="0"/>
        <v>150</v>
      </c>
      <c r="M197" s="2" t="s">
        <v>107</v>
      </c>
    </row>
    <row r="198" spans="1:13" x14ac:dyDescent="0.15">
      <c r="D198" s="1">
        <v>102</v>
      </c>
      <c r="F198" s="3">
        <v>4</v>
      </c>
      <c r="G198" s="1">
        <f t="shared" si="1"/>
        <v>206</v>
      </c>
      <c r="H198">
        <f t="shared" si="0"/>
        <v>200</v>
      </c>
      <c r="M198" s="2" t="s">
        <v>108</v>
      </c>
    </row>
    <row r="199" spans="1:13" x14ac:dyDescent="0.15">
      <c r="D199" s="1">
        <v>103</v>
      </c>
      <c r="F199" s="3">
        <v>5</v>
      </c>
      <c r="G199" s="1">
        <f t="shared" si="1"/>
        <v>280</v>
      </c>
      <c r="H199">
        <f t="shared" si="0"/>
        <v>250</v>
      </c>
      <c r="M199" s="2" t="s">
        <v>109</v>
      </c>
    </row>
    <row r="200" spans="1:13" x14ac:dyDescent="0.15">
      <c r="D200" s="1">
        <v>104</v>
      </c>
      <c r="F200" s="3">
        <v>6</v>
      </c>
      <c r="G200" s="1">
        <f t="shared" si="1"/>
        <v>380</v>
      </c>
      <c r="H200">
        <f t="shared" si="0"/>
        <v>300</v>
      </c>
      <c r="M200" s="2" t="s">
        <v>110</v>
      </c>
    </row>
    <row r="201" spans="1:13" x14ac:dyDescent="0.15">
      <c r="D201" s="1">
        <v>105</v>
      </c>
      <c r="F201" s="3">
        <v>7</v>
      </c>
      <c r="G201" s="1">
        <f t="shared" si="1"/>
        <v>510</v>
      </c>
      <c r="H201">
        <f t="shared" si="0"/>
        <v>350</v>
      </c>
      <c r="M201" s="2" t="s">
        <v>111</v>
      </c>
    </row>
    <row r="202" spans="1:13" x14ac:dyDescent="0.15">
      <c r="D202" s="1">
        <v>106</v>
      </c>
      <c r="F202" s="3">
        <v>8</v>
      </c>
      <c r="G202" s="1">
        <f t="shared" si="1"/>
        <v>674</v>
      </c>
      <c r="H202">
        <f t="shared" si="0"/>
        <v>400</v>
      </c>
      <c r="M202" s="2" t="s">
        <v>112</v>
      </c>
    </row>
    <row r="203" spans="1:13" x14ac:dyDescent="0.15">
      <c r="D203" s="1">
        <v>107</v>
      </c>
      <c r="F203" s="3">
        <v>9</v>
      </c>
      <c r="G203" s="1">
        <f t="shared" si="1"/>
        <v>876</v>
      </c>
      <c r="H203">
        <f t="shared" si="0"/>
        <v>450</v>
      </c>
      <c r="M203" s="2" t="s">
        <v>113</v>
      </c>
    </row>
    <row r="204" spans="1:13" x14ac:dyDescent="0.15">
      <c r="D204" s="1">
        <v>108</v>
      </c>
      <c r="F204" s="3">
        <v>10</v>
      </c>
      <c r="G204" s="1">
        <f t="shared" si="1"/>
        <v>1120</v>
      </c>
      <c r="H204">
        <f>F204*100</f>
        <v>1000</v>
      </c>
      <c r="M204" s="2" t="s">
        <v>114</v>
      </c>
    </row>
    <row r="205" spans="1:13" x14ac:dyDescent="0.15">
      <c r="D205" s="1">
        <v>109</v>
      </c>
      <c r="F205" s="3">
        <v>11</v>
      </c>
      <c r="G205" s="1">
        <f t="shared" si="1"/>
        <v>1410</v>
      </c>
      <c r="H205">
        <f t="shared" ref="H205:H213" si="2">F205*100</f>
        <v>1100</v>
      </c>
      <c r="M205" s="2" t="s">
        <v>115</v>
      </c>
    </row>
    <row r="206" spans="1:13" x14ac:dyDescent="0.15">
      <c r="D206" s="1">
        <v>110</v>
      </c>
      <c r="F206" s="3">
        <v>12</v>
      </c>
      <c r="G206" s="1">
        <f t="shared" si="1"/>
        <v>1750</v>
      </c>
      <c r="H206">
        <f t="shared" si="2"/>
        <v>1200</v>
      </c>
      <c r="M206" s="2" t="s">
        <v>116</v>
      </c>
    </row>
    <row r="207" spans="1:13" x14ac:dyDescent="0.15">
      <c r="D207" s="1">
        <v>201</v>
      </c>
      <c r="F207" s="3">
        <v>13</v>
      </c>
      <c r="G207" s="1">
        <f t="shared" si="1"/>
        <v>2144</v>
      </c>
      <c r="H207">
        <f t="shared" si="2"/>
        <v>1300</v>
      </c>
    </row>
    <row r="208" spans="1:13" x14ac:dyDescent="0.15">
      <c r="D208" s="1">
        <v>202</v>
      </c>
      <c r="F208" s="3">
        <v>14</v>
      </c>
      <c r="G208" s="1">
        <f t="shared" si="1"/>
        <v>2596</v>
      </c>
      <c r="H208">
        <f t="shared" si="2"/>
        <v>1400</v>
      </c>
    </row>
    <row r="209" spans="4:8" x14ac:dyDescent="0.15">
      <c r="D209" s="1">
        <v>203</v>
      </c>
      <c r="F209" s="3">
        <v>15</v>
      </c>
      <c r="G209" s="1">
        <f t="shared" si="1"/>
        <v>3110</v>
      </c>
      <c r="H209">
        <f t="shared" si="2"/>
        <v>1500</v>
      </c>
    </row>
    <row r="210" spans="4:8" x14ac:dyDescent="0.15">
      <c r="D210" s="1">
        <v>204</v>
      </c>
      <c r="F210" s="3">
        <v>16</v>
      </c>
      <c r="G210" s="1">
        <f t="shared" si="1"/>
        <v>3690</v>
      </c>
      <c r="H210">
        <f t="shared" si="2"/>
        <v>1600</v>
      </c>
    </row>
    <row r="211" spans="4:8" x14ac:dyDescent="0.15">
      <c r="D211" s="1">
        <v>205</v>
      </c>
      <c r="F211" s="3">
        <v>17</v>
      </c>
      <c r="G211" s="1">
        <f t="shared" si="1"/>
        <v>4340</v>
      </c>
      <c r="H211">
        <f t="shared" si="2"/>
        <v>1700</v>
      </c>
    </row>
    <row r="212" spans="4:8" x14ac:dyDescent="0.15">
      <c r="D212" s="1">
        <v>206</v>
      </c>
      <c r="F212" s="3">
        <v>18</v>
      </c>
      <c r="G212" s="1">
        <f t="shared" si="1"/>
        <v>5064</v>
      </c>
      <c r="H212">
        <f t="shared" si="2"/>
        <v>1800</v>
      </c>
    </row>
    <row r="213" spans="4:8" x14ac:dyDescent="0.15">
      <c r="D213" s="1">
        <v>207</v>
      </c>
      <c r="F213" s="3">
        <v>19</v>
      </c>
      <c r="G213" s="1">
        <f t="shared" si="1"/>
        <v>5866</v>
      </c>
      <c r="H213">
        <f t="shared" si="2"/>
        <v>1900</v>
      </c>
    </row>
    <row r="214" spans="4:8" x14ac:dyDescent="0.15">
      <c r="D214" s="1">
        <v>208</v>
      </c>
      <c r="F214" s="3">
        <v>20</v>
      </c>
      <c r="G214" s="1">
        <f t="shared" si="1"/>
        <v>6750</v>
      </c>
      <c r="H214">
        <f>F214*150</f>
        <v>3000</v>
      </c>
    </row>
    <row r="215" spans="4:8" x14ac:dyDescent="0.15">
      <c r="D215" s="1">
        <v>209</v>
      </c>
      <c r="F215" s="3">
        <v>21</v>
      </c>
      <c r="G215" s="1">
        <f t="shared" si="1"/>
        <v>7720</v>
      </c>
      <c r="H215">
        <f t="shared" ref="H215:H223" si="3">F215*150</f>
        <v>3150</v>
      </c>
    </row>
    <row r="216" spans="4:8" x14ac:dyDescent="0.15">
      <c r="D216" s="1">
        <v>210</v>
      </c>
      <c r="F216" s="3">
        <v>22</v>
      </c>
      <c r="G216" s="1">
        <f t="shared" si="1"/>
        <v>8780</v>
      </c>
      <c r="H216">
        <f t="shared" si="3"/>
        <v>3300</v>
      </c>
    </row>
    <row r="217" spans="4:8" x14ac:dyDescent="0.15">
      <c r="D217" s="1">
        <v>301</v>
      </c>
      <c r="F217" s="3">
        <v>23</v>
      </c>
      <c r="G217" s="1">
        <f t="shared" si="1"/>
        <v>9934</v>
      </c>
      <c r="H217">
        <f t="shared" si="3"/>
        <v>3450</v>
      </c>
    </row>
    <row r="218" spans="4:8" x14ac:dyDescent="0.15">
      <c r="D218" s="1">
        <v>302</v>
      </c>
      <c r="F218" s="3">
        <v>24</v>
      </c>
      <c r="G218" s="1">
        <f t="shared" si="1"/>
        <v>11186</v>
      </c>
      <c r="H218">
        <f t="shared" si="3"/>
        <v>3600</v>
      </c>
    </row>
    <row r="219" spans="4:8" x14ac:dyDescent="0.15">
      <c r="D219" s="1">
        <v>303</v>
      </c>
      <c r="F219" s="3">
        <v>25</v>
      </c>
      <c r="G219" s="1">
        <f t="shared" si="1"/>
        <v>12540</v>
      </c>
      <c r="H219">
        <f t="shared" si="3"/>
        <v>3750</v>
      </c>
    </row>
    <row r="220" spans="4:8" x14ac:dyDescent="0.15">
      <c r="D220" s="1">
        <v>304</v>
      </c>
      <c r="F220" s="3">
        <v>26</v>
      </c>
      <c r="G220" s="1">
        <f t="shared" si="1"/>
        <v>14000</v>
      </c>
      <c r="H220">
        <f t="shared" si="3"/>
        <v>3900</v>
      </c>
    </row>
    <row r="221" spans="4:8" x14ac:dyDescent="0.15">
      <c r="D221" s="1">
        <v>305</v>
      </c>
      <c r="F221" s="3">
        <v>27</v>
      </c>
      <c r="G221" s="1">
        <f t="shared" si="1"/>
        <v>15570</v>
      </c>
      <c r="H221">
        <f t="shared" si="3"/>
        <v>4050</v>
      </c>
    </row>
    <row r="222" spans="4:8" x14ac:dyDescent="0.15">
      <c r="D222" s="1">
        <v>306</v>
      </c>
      <c r="F222" s="3">
        <v>28</v>
      </c>
      <c r="G222" s="1">
        <f t="shared" si="1"/>
        <v>17254</v>
      </c>
      <c r="H222">
        <f t="shared" si="3"/>
        <v>4200</v>
      </c>
    </row>
    <row r="223" spans="4:8" x14ac:dyDescent="0.15">
      <c r="D223" s="1">
        <v>307</v>
      </c>
      <c r="F223" s="3">
        <v>29</v>
      </c>
      <c r="G223" s="1">
        <f t="shared" si="1"/>
        <v>19056</v>
      </c>
      <c r="H223">
        <f t="shared" si="3"/>
        <v>4350</v>
      </c>
    </row>
    <row r="224" spans="4:8" x14ac:dyDescent="0.15">
      <c r="D224" s="1">
        <v>308</v>
      </c>
      <c r="F224" s="3">
        <v>30</v>
      </c>
      <c r="G224" s="1">
        <f t="shared" si="1"/>
        <v>20980</v>
      </c>
      <c r="H224">
        <f>F224*200</f>
        <v>6000</v>
      </c>
    </row>
    <row r="225" spans="4:8" x14ac:dyDescent="0.15">
      <c r="D225" s="1">
        <v>309</v>
      </c>
      <c r="F225" s="3">
        <v>31</v>
      </c>
      <c r="G225" s="1">
        <f t="shared" si="1"/>
        <v>23030</v>
      </c>
      <c r="H225">
        <f t="shared" ref="H225:H233" si="4">F225*200</f>
        <v>6200</v>
      </c>
    </row>
    <row r="226" spans="4:8" x14ac:dyDescent="0.15">
      <c r="D226" s="1">
        <v>310</v>
      </c>
      <c r="F226" s="3">
        <v>32</v>
      </c>
      <c r="G226" s="1">
        <f t="shared" si="1"/>
        <v>25210</v>
      </c>
      <c r="H226">
        <f t="shared" si="4"/>
        <v>6400</v>
      </c>
    </row>
    <row r="227" spans="4:8" x14ac:dyDescent="0.15">
      <c r="D227" s="1">
        <v>311</v>
      </c>
      <c r="F227" s="3">
        <v>33</v>
      </c>
      <c r="G227" s="1">
        <f t="shared" si="1"/>
        <v>27524</v>
      </c>
      <c r="H227">
        <f t="shared" si="4"/>
        <v>6600</v>
      </c>
    </row>
    <row r="228" spans="4:8" x14ac:dyDescent="0.15">
      <c r="D228" s="1">
        <v>312</v>
      </c>
      <c r="F228" s="3">
        <v>34</v>
      </c>
      <c r="G228" s="1">
        <f t="shared" si="1"/>
        <v>29976</v>
      </c>
      <c r="H228">
        <f t="shared" si="4"/>
        <v>6800</v>
      </c>
    </row>
    <row r="229" spans="4:8" x14ac:dyDescent="0.15">
      <c r="D229" s="1">
        <v>313</v>
      </c>
      <c r="F229" s="3">
        <v>35</v>
      </c>
      <c r="G229" s="1">
        <f t="shared" si="1"/>
        <v>32570</v>
      </c>
      <c r="H229">
        <f t="shared" si="4"/>
        <v>7000</v>
      </c>
    </row>
    <row r="230" spans="4:8" x14ac:dyDescent="0.15">
      <c r="D230" s="1">
        <v>314</v>
      </c>
      <c r="F230" s="3">
        <v>36</v>
      </c>
      <c r="G230" s="1">
        <f t="shared" si="1"/>
        <v>35310</v>
      </c>
      <c r="H230">
        <f t="shared" si="4"/>
        <v>7200</v>
      </c>
    </row>
    <row r="231" spans="4:8" x14ac:dyDescent="0.15">
      <c r="D231" s="1">
        <v>315</v>
      </c>
      <c r="F231" s="3">
        <v>37</v>
      </c>
      <c r="G231" s="1">
        <f t="shared" si="1"/>
        <v>38200</v>
      </c>
      <c r="H231">
        <f t="shared" si="4"/>
        <v>7400</v>
      </c>
    </row>
    <row r="232" spans="4:8" x14ac:dyDescent="0.15">
      <c r="D232" s="1">
        <v>401</v>
      </c>
      <c r="F232" s="3">
        <v>38</v>
      </c>
      <c r="G232" s="1">
        <f t="shared" si="1"/>
        <v>41244</v>
      </c>
      <c r="H232">
        <f t="shared" si="4"/>
        <v>7600</v>
      </c>
    </row>
    <row r="233" spans="4:8" x14ac:dyDescent="0.15">
      <c r="D233" s="1">
        <v>402</v>
      </c>
      <c r="F233" s="3">
        <v>39</v>
      </c>
      <c r="G233" s="1">
        <f t="shared" si="1"/>
        <v>44446</v>
      </c>
      <c r="H233">
        <f t="shared" si="4"/>
        <v>7800</v>
      </c>
    </row>
    <row r="234" spans="4:8" x14ac:dyDescent="0.15">
      <c r="D234" s="1">
        <v>403</v>
      </c>
      <c r="F234" s="3">
        <v>40</v>
      </c>
      <c r="G234" s="1">
        <f t="shared" si="1"/>
        <v>47810</v>
      </c>
      <c r="H234">
        <f>F234*300</f>
        <v>12000</v>
      </c>
    </row>
    <row r="235" spans="4:8" x14ac:dyDescent="0.15">
      <c r="D235" s="1">
        <v>404</v>
      </c>
      <c r="F235" s="3">
        <v>41</v>
      </c>
      <c r="G235" s="1">
        <f t="shared" si="1"/>
        <v>51340</v>
      </c>
      <c r="H235">
        <f t="shared" ref="H235:H243" si="5">F235*300</f>
        <v>12300</v>
      </c>
    </row>
    <row r="236" spans="4:8" x14ac:dyDescent="0.15">
      <c r="D236" s="1">
        <v>405</v>
      </c>
      <c r="F236" s="3">
        <v>42</v>
      </c>
      <c r="G236" s="1">
        <f t="shared" si="1"/>
        <v>55040</v>
      </c>
      <c r="H236">
        <f t="shared" si="5"/>
        <v>12600</v>
      </c>
    </row>
    <row r="237" spans="4:8" x14ac:dyDescent="0.15">
      <c r="D237" s="1">
        <v>406</v>
      </c>
      <c r="F237" s="3">
        <v>43</v>
      </c>
      <c r="G237" s="1">
        <f t="shared" si="1"/>
        <v>58914</v>
      </c>
      <c r="H237">
        <f t="shared" si="5"/>
        <v>12900</v>
      </c>
    </row>
    <row r="238" spans="4:8" x14ac:dyDescent="0.15">
      <c r="D238" s="1">
        <v>407</v>
      </c>
      <c r="F238" s="3">
        <v>44</v>
      </c>
      <c r="G238" s="1">
        <f t="shared" si="1"/>
        <v>62966</v>
      </c>
      <c r="H238">
        <f t="shared" si="5"/>
        <v>13200</v>
      </c>
    </row>
    <row r="239" spans="4:8" x14ac:dyDescent="0.15">
      <c r="D239" s="1">
        <v>408</v>
      </c>
      <c r="F239" s="3">
        <v>45</v>
      </c>
      <c r="G239" s="1">
        <f t="shared" si="1"/>
        <v>67200</v>
      </c>
      <c r="H239">
        <f t="shared" si="5"/>
        <v>13500</v>
      </c>
    </row>
    <row r="240" spans="4:8" x14ac:dyDescent="0.15">
      <c r="D240" s="1">
        <v>409</v>
      </c>
      <c r="F240" s="3">
        <v>46</v>
      </c>
      <c r="G240" s="1">
        <f t="shared" si="1"/>
        <v>71620</v>
      </c>
      <c r="H240">
        <f t="shared" si="5"/>
        <v>13800</v>
      </c>
    </row>
    <row r="241" spans="4:8" x14ac:dyDescent="0.15">
      <c r="D241" s="1">
        <v>410</v>
      </c>
      <c r="F241" s="3">
        <v>47</v>
      </c>
      <c r="G241" s="1">
        <f t="shared" si="1"/>
        <v>76230</v>
      </c>
      <c r="H241">
        <f t="shared" si="5"/>
        <v>14100</v>
      </c>
    </row>
    <row r="242" spans="4:8" x14ac:dyDescent="0.15">
      <c r="D242" s="1">
        <v>411</v>
      </c>
      <c r="F242" s="3">
        <v>48</v>
      </c>
      <c r="G242" s="1">
        <f t="shared" si="1"/>
        <v>81034</v>
      </c>
      <c r="H242">
        <f t="shared" si="5"/>
        <v>14400</v>
      </c>
    </row>
    <row r="243" spans="4:8" x14ac:dyDescent="0.15">
      <c r="D243" s="1">
        <v>412</v>
      </c>
      <c r="F243" s="3">
        <v>49</v>
      </c>
      <c r="G243" s="1">
        <f t="shared" si="1"/>
        <v>86036</v>
      </c>
      <c r="H243">
        <f t="shared" si="5"/>
        <v>14700</v>
      </c>
    </row>
    <row r="244" spans="4:8" x14ac:dyDescent="0.15">
      <c r="D244" s="1">
        <v>413</v>
      </c>
      <c r="F244" s="3">
        <v>50</v>
      </c>
      <c r="G244" s="1">
        <f t="shared" si="1"/>
        <v>91240</v>
      </c>
      <c r="H244">
        <f>F244*400</f>
        <v>20000</v>
      </c>
    </row>
    <row r="245" spans="4:8" x14ac:dyDescent="0.15">
      <c r="D245" s="1">
        <v>414</v>
      </c>
      <c r="F245" s="3">
        <v>51</v>
      </c>
      <c r="G245" s="1">
        <f t="shared" si="1"/>
        <v>96650</v>
      </c>
      <c r="H245">
        <f t="shared" ref="H245:H253" si="6">F245*400</f>
        <v>20400</v>
      </c>
    </row>
    <row r="246" spans="4:8" x14ac:dyDescent="0.15">
      <c r="D246" s="1">
        <v>415</v>
      </c>
      <c r="F246" s="3">
        <v>52</v>
      </c>
      <c r="G246" s="1">
        <f t="shared" si="1"/>
        <v>102270</v>
      </c>
      <c r="H246">
        <f t="shared" si="6"/>
        <v>20800</v>
      </c>
    </row>
    <row r="247" spans="4:8" x14ac:dyDescent="0.15">
      <c r="D247" s="1">
        <v>501</v>
      </c>
      <c r="F247" s="3">
        <v>53</v>
      </c>
      <c r="G247" s="1">
        <f t="shared" si="1"/>
        <v>108104</v>
      </c>
      <c r="H247">
        <f t="shared" si="6"/>
        <v>21200</v>
      </c>
    </row>
    <row r="248" spans="4:8" x14ac:dyDescent="0.15">
      <c r="D248" s="1">
        <v>502</v>
      </c>
      <c r="F248" s="3">
        <v>54</v>
      </c>
      <c r="G248" s="1">
        <f t="shared" si="1"/>
        <v>114156</v>
      </c>
      <c r="H248">
        <f t="shared" si="6"/>
        <v>21600</v>
      </c>
    </row>
    <row r="249" spans="4:8" x14ac:dyDescent="0.15">
      <c r="D249" s="1">
        <v>503</v>
      </c>
      <c r="F249" s="3">
        <v>55</v>
      </c>
      <c r="G249" s="1">
        <f t="shared" si="1"/>
        <v>120430</v>
      </c>
      <c r="H249">
        <f t="shared" si="6"/>
        <v>22000</v>
      </c>
    </row>
    <row r="250" spans="4:8" x14ac:dyDescent="0.15">
      <c r="D250" s="1">
        <v>504</v>
      </c>
      <c r="F250" s="3">
        <v>56</v>
      </c>
      <c r="G250" s="1">
        <f t="shared" si="1"/>
        <v>126930</v>
      </c>
      <c r="H250">
        <f t="shared" si="6"/>
        <v>22400</v>
      </c>
    </row>
    <row r="251" spans="4:8" x14ac:dyDescent="0.15">
      <c r="D251" s="1">
        <v>505</v>
      </c>
      <c r="F251" s="3">
        <v>57</v>
      </c>
      <c r="G251" s="1">
        <f t="shared" si="1"/>
        <v>133660</v>
      </c>
      <c r="H251">
        <f t="shared" si="6"/>
        <v>22800</v>
      </c>
    </row>
    <row r="252" spans="4:8" x14ac:dyDescent="0.15">
      <c r="D252" s="1">
        <v>506</v>
      </c>
      <c r="F252" s="3">
        <v>58</v>
      </c>
      <c r="G252" s="1">
        <f t="shared" si="1"/>
        <v>140624</v>
      </c>
      <c r="H252">
        <f t="shared" si="6"/>
        <v>23200</v>
      </c>
    </row>
    <row r="253" spans="4:8" x14ac:dyDescent="0.15">
      <c r="D253" s="1">
        <v>507</v>
      </c>
      <c r="F253" s="3">
        <v>59</v>
      </c>
      <c r="G253" s="1">
        <f t="shared" si="1"/>
        <v>147826</v>
      </c>
      <c r="H253">
        <f t="shared" si="6"/>
        <v>23600</v>
      </c>
    </row>
    <row r="254" spans="4:8" x14ac:dyDescent="0.15">
      <c r="D254" s="1">
        <v>508</v>
      </c>
      <c r="F254" s="3">
        <v>60</v>
      </c>
      <c r="G254" s="1">
        <f t="shared" si="1"/>
        <v>155270</v>
      </c>
      <c r="H254">
        <f>F254*500</f>
        <v>30000</v>
      </c>
    </row>
    <row r="255" spans="4:8" x14ac:dyDescent="0.15">
      <c r="D255" s="1">
        <v>509</v>
      </c>
      <c r="F255" s="3">
        <v>61</v>
      </c>
      <c r="G255" s="1">
        <f t="shared" si="1"/>
        <v>162960</v>
      </c>
      <c r="H255">
        <f t="shared" ref="H255:H263" si="7">F255*500</f>
        <v>30500</v>
      </c>
    </row>
    <row r="256" spans="4:8" x14ac:dyDescent="0.15">
      <c r="D256" s="1">
        <v>510</v>
      </c>
      <c r="F256" s="3">
        <v>62</v>
      </c>
      <c r="G256" s="1">
        <f t="shared" si="1"/>
        <v>170900</v>
      </c>
      <c r="H256">
        <f t="shared" si="7"/>
        <v>31000</v>
      </c>
    </row>
    <row r="257" spans="4:8" x14ac:dyDescent="0.15">
      <c r="D257" s="1">
        <v>511</v>
      </c>
      <c r="F257" s="3">
        <v>63</v>
      </c>
      <c r="G257" s="1">
        <f t="shared" si="1"/>
        <v>179094</v>
      </c>
      <c r="H257">
        <f t="shared" si="7"/>
        <v>31500</v>
      </c>
    </row>
    <row r="258" spans="4:8" x14ac:dyDescent="0.15">
      <c r="D258" s="1">
        <v>512</v>
      </c>
      <c r="F258" s="3">
        <v>64</v>
      </c>
      <c r="G258" s="1">
        <f t="shared" si="1"/>
        <v>187546</v>
      </c>
      <c r="H258">
        <f t="shared" si="7"/>
        <v>32000</v>
      </c>
    </row>
    <row r="259" spans="4:8" x14ac:dyDescent="0.15">
      <c r="D259" s="1">
        <v>513</v>
      </c>
      <c r="F259" s="3">
        <v>65</v>
      </c>
      <c r="G259" s="1">
        <f t="shared" si="1"/>
        <v>196260</v>
      </c>
      <c r="H259">
        <f t="shared" si="7"/>
        <v>32500</v>
      </c>
    </row>
    <row r="260" spans="4:8" x14ac:dyDescent="0.15">
      <c r="D260" s="1">
        <v>514</v>
      </c>
      <c r="F260" s="3">
        <v>66</v>
      </c>
      <c r="G260" s="1">
        <f t="shared" si="1"/>
        <v>205240</v>
      </c>
      <c r="H260">
        <f t="shared" si="7"/>
        <v>33000</v>
      </c>
    </row>
    <row r="261" spans="4:8" x14ac:dyDescent="0.15">
      <c r="D261" s="1">
        <v>515</v>
      </c>
      <c r="F261" s="3">
        <v>67</v>
      </c>
      <c r="G261" s="1">
        <f t="shared" ref="G261:G324" si="8">G260+POWER(F261+2,2)+POWER(F260+1,2)</f>
        <v>214490</v>
      </c>
      <c r="H261">
        <f t="shared" si="7"/>
        <v>33500</v>
      </c>
    </row>
    <row r="262" spans="4:8" x14ac:dyDescent="0.15">
      <c r="D262" s="1">
        <v>516</v>
      </c>
      <c r="F262" s="3">
        <v>68</v>
      </c>
      <c r="G262" s="1">
        <f t="shared" si="8"/>
        <v>224014</v>
      </c>
      <c r="H262">
        <f t="shared" si="7"/>
        <v>34000</v>
      </c>
    </row>
    <row r="263" spans="4:8" x14ac:dyDescent="0.15">
      <c r="D263" s="1">
        <v>517</v>
      </c>
      <c r="F263" s="3">
        <v>69</v>
      </c>
      <c r="G263" s="1">
        <f t="shared" si="8"/>
        <v>233816</v>
      </c>
      <c r="H263">
        <f t="shared" si="7"/>
        <v>34500</v>
      </c>
    </row>
    <row r="264" spans="4:8" x14ac:dyDescent="0.15">
      <c r="D264" s="1">
        <v>518</v>
      </c>
      <c r="F264" s="3">
        <v>70</v>
      </c>
      <c r="G264" s="1">
        <f t="shared" si="8"/>
        <v>243900</v>
      </c>
      <c r="H264">
        <f>F264*600</f>
        <v>42000</v>
      </c>
    </row>
    <row r="265" spans="4:8" x14ac:dyDescent="0.15">
      <c r="D265" s="1">
        <v>519</v>
      </c>
      <c r="F265" s="3">
        <v>71</v>
      </c>
      <c r="G265" s="1">
        <f t="shared" si="8"/>
        <v>254270</v>
      </c>
      <c r="H265">
        <f t="shared" ref="H265:H273" si="9">F265*600</f>
        <v>42600</v>
      </c>
    </row>
    <row r="266" spans="4:8" x14ac:dyDescent="0.15">
      <c r="D266" s="1">
        <v>520</v>
      </c>
      <c r="F266" s="3">
        <v>72</v>
      </c>
      <c r="G266" s="1">
        <f t="shared" si="8"/>
        <v>264930</v>
      </c>
      <c r="H266">
        <f t="shared" si="9"/>
        <v>43200</v>
      </c>
    </row>
    <row r="267" spans="4:8" x14ac:dyDescent="0.15">
      <c r="D267">
        <v>601</v>
      </c>
      <c r="F267" s="3">
        <v>73</v>
      </c>
      <c r="G267" s="1">
        <f t="shared" si="8"/>
        <v>275884</v>
      </c>
      <c r="H267">
        <f t="shared" si="9"/>
        <v>43800</v>
      </c>
    </row>
    <row r="268" spans="4:8" x14ac:dyDescent="0.15">
      <c r="D268">
        <v>602</v>
      </c>
      <c r="F268" s="3">
        <v>74</v>
      </c>
      <c r="G268" s="1">
        <f t="shared" si="8"/>
        <v>287136</v>
      </c>
      <c r="H268">
        <f t="shared" si="9"/>
        <v>44400</v>
      </c>
    </row>
    <row r="269" spans="4:8" x14ac:dyDescent="0.15">
      <c r="D269">
        <v>603</v>
      </c>
      <c r="F269" s="3">
        <v>75</v>
      </c>
      <c r="G269" s="1">
        <f t="shared" si="8"/>
        <v>298690</v>
      </c>
      <c r="H269">
        <f t="shared" si="9"/>
        <v>45000</v>
      </c>
    </row>
    <row r="270" spans="4:8" x14ac:dyDescent="0.15">
      <c r="D270">
        <v>604</v>
      </c>
      <c r="F270" s="3">
        <v>76</v>
      </c>
      <c r="G270" s="1">
        <f t="shared" si="8"/>
        <v>310550</v>
      </c>
      <c r="H270">
        <f t="shared" si="9"/>
        <v>45600</v>
      </c>
    </row>
    <row r="271" spans="4:8" x14ac:dyDescent="0.15">
      <c r="D271">
        <v>605</v>
      </c>
      <c r="F271" s="3">
        <v>77</v>
      </c>
      <c r="G271" s="1">
        <f t="shared" si="8"/>
        <v>322720</v>
      </c>
      <c r="H271">
        <f t="shared" si="9"/>
        <v>46200</v>
      </c>
    </row>
    <row r="272" spans="4:8" x14ac:dyDescent="0.15">
      <c r="D272">
        <v>606</v>
      </c>
      <c r="F272" s="3">
        <v>78</v>
      </c>
      <c r="G272" s="1">
        <f t="shared" si="8"/>
        <v>335204</v>
      </c>
      <c r="H272">
        <f t="shared" si="9"/>
        <v>46800</v>
      </c>
    </row>
    <row r="273" spans="4:8" x14ac:dyDescent="0.15">
      <c r="D273">
        <v>607</v>
      </c>
      <c r="F273" s="3">
        <v>79</v>
      </c>
      <c r="G273" s="1">
        <f t="shared" si="8"/>
        <v>348006</v>
      </c>
      <c r="H273">
        <f t="shared" si="9"/>
        <v>47400</v>
      </c>
    </row>
    <row r="274" spans="4:8" x14ac:dyDescent="0.15">
      <c r="D274">
        <v>608</v>
      </c>
      <c r="F274" s="3">
        <v>80</v>
      </c>
      <c r="G274" s="1">
        <f t="shared" si="8"/>
        <v>361130</v>
      </c>
      <c r="H274">
        <f>F274*800</f>
        <v>64000</v>
      </c>
    </row>
    <row r="275" spans="4:8" x14ac:dyDescent="0.15">
      <c r="D275">
        <v>609</v>
      </c>
      <c r="F275" s="3">
        <v>81</v>
      </c>
      <c r="G275" s="1">
        <f t="shared" si="8"/>
        <v>374580</v>
      </c>
      <c r="H275">
        <f t="shared" ref="H275:H283" si="10">F275*800</f>
        <v>64800</v>
      </c>
    </row>
    <row r="276" spans="4:8" x14ac:dyDescent="0.15">
      <c r="D276">
        <v>610</v>
      </c>
      <c r="F276" s="3">
        <v>82</v>
      </c>
      <c r="G276" s="1">
        <f t="shared" si="8"/>
        <v>388360</v>
      </c>
      <c r="H276">
        <f t="shared" si="10"/>
        <v>65600</v>
      </c>
    </row>
    <row r="277" spans="4:8" x14ac:dyDescent="0.15">
      <c r="D277">
        <v>611</v>
      </c>
      <c r="F277" s="3">
        <v>83</v>
      </c>
      <c r="G277" s="1">
        <f t="shared" si="8"/>
        <v>402474</v>
      </c>
      <c r="H277">
        <f t="shared" si="10"/>
        <v>66400</v>
      </c>
    </row>
    <row r="278" spans="4:8" x14ac:dyDescent="0.15">
      <c r="D278">
        <v>612</v>
      </c>
      <c r="F278" s="3">
        <v>84</v>
      </c>
      <c r="G278" s="1">
        <f t="shared" si="8"/>
        <v>416926</v>
      </c>
      <c r="H278">
        <f t="shared" si="10"/>
        <v>67200</v>
      </c>
    </row>
    <row r="279" spans="4:8" x14ac:dyDescent="0.15">
      <c r="D279">
        <v>613</v>
      </c>
      <c r="F279" s="3">
        <v>85</v>
      </c>
      <c r="G279" s="1">
        <f t="shared" si="8"/>
        <v>431720</v>
      </c>
      <c r="H279">
        <f t="shared" si="10"/>
        <v>68000</v>
      </c>
    </row>
    <row r="280" spans="4:8" x14ac:dyDescent="0.15">
      <c r="D280">
        <v>614</v>
      </c>
      <c r="F280" s="3">
        <v>86</v>
      </c>
      <c r="G280" s="1">
        <f t="shared" si="8"/>
        <v>446860</v>
      </c>
      <c r="H280">
        <f t="shared" si="10"/>
        <v>68800</v>
      </c>
    </row>
    <row r="281" spans="4:8" x14ac:dyDescent="0.15">
      <c r="D281">
        <v>615</v>
      </c>
      <c r="F281" s="3">
        <v>87</v>
      </c>
      <c r="G281" s="1">
        <f t="shared" si="8"/>
        <v>462350</v>
      </c>
      <c r="H281">
        <f t="shared" si="10"/>
        <v>69600</v>
      </c>
    </row>
    <row r="282" spans="4:8" x14ac:dyDescent="0.15">
      <c r="D282">
        <v>616</v>
      </c>
      <c r="F282" s="3">
        <v>88</v>
      </c>
      <c r="G282" s="1">
        <f t="shared" si="8"/>
        <v>478194</v>
      </c>
      <c r="H282">
        <f t="shared" si="10"/>
        <v>70400</v>
      </c>
    </row>
    <row r="283" spans="4:8" x14ac:dyDescent="0.15">
      <c r="D283">
        <v>617</v>
      </c>
      <c r="F283" s="3">
        <v>89</v>
      </c>
      <c r="G283" s="1">
        <f t="shared" si="8"/>
        <v>494396</v>
      </c>
      <c r="H283">
        <f t="shared" si="10"/>
        <v>71200</v>
      </c>
    </row>
    <row r="284" spans="4:8" x14ac:dyDescent="0.15">
      <c r="D284">
        <v>618</v>
      </c>
      <c r="F284" s="3">
        <v>90</v>
      </c>
      <c r="G284" s="1">
        <f t="shared" si="8"/>
        <v>510960</v>
      </c>
      <c r="H284">
        <f>F284*1000</f>
        <v>90000</v>
      </c>
    </row>
    <row r="285" spans="4:8" x14ac:dyDescent="0.15">
      <c r="D285">
        <v>619</v>
      </c>
      <c r="F285" s="3">
        <v>91</v>
      </c>
      <c r="G285" s="1">
        <f t="shared" si="8"/>
        <v>527890</v>
      </c>
      <c r="H285">
        <f t="shared" ref="H285:H348" si="11">F285*1000</f>
        <v>91000</v>
      </c>
    </row>
    <row r="286" spans="4:8" x14ac:dyDescent="0.15">
      <c r="D286">
        <v>620</v>
      </c>
      <c r="F286" s="3">
        <v>92</v>
      </c>
      <c r="G286" s="1">
        <f t="shared" si="8"/>
        <v>545190</v>
      </c>
      <c r="H286">
        <f t="shared" si="11"/>
        <v>92000</v>
      </c>
    </row>
    <row r="287" spans="4:8" x14ac:dyDescent="0.15">
      <c r="D287">
        <v>701</v>
      </c>
      <c r="F287" s="3">
        <v>93</v>
      </c>
      <c r="G287" s="1">
        <f t="shared" si="8"/>
        <v>562864</v>
      </c>
      <c r="H287">
        <f t="shared" si="11"/>
        <v>93000</v>
      </c>
    </row>
    <row r="288" spans="4:8" x14ac:dyDescent="0.15">
      <c r="D288">
        <v>702</v>
      </c>
      <c r="F288" s="3">
        <v>94</v>
      </c>
      <c r="G288" s="1">
        <f t="shared" si="8"/>
        <v>580916</v>
      </c>
      <c r="H288">
        <f t="shared" si="11"/>
        <v>94000</v>
      </c>
    </row>
    <row r="289" spans="4:8" x14ac:dyDescent="0.15">
      <c r="D289">
        <v>703</v>
      </c>
      <c r="F289" s="3">
        <v>95</v>
      </c>
      <c r="G289" s="1">
        <f t="shared" si="8"/>
        <v>599350</v>
      </c>
      <c r="H289">
        <f t="shared" si="11"/>
        <v>95000</v>
      </c>
    </row>
    <row r="290" spans="4:8" x14ac:dyDescent="0.15">
      <c r="D290">
        <v>704</v>
      </c>
      <c r="F290" s="3">
        <v>96</v>
      </c>
      <c r="G290" s="1">
        <f t="shared" si="8"/>
        <v>618170</v>
      </c>
      <c r="H290">
        <f t="shared" si="11"/>
        <v>96000</v>
      </c>
    </row>
    <row r="291" spans="4:8" x14ac:dyDescent="0.15">
      <c r="D291">
        <v>705</v>
      </c>
      <c r="F291" s="3">
        <v>97</v>
      </c>
      <c r="G291" s="1">
        <f t="shared" si="8"/>
        <v>637380</v>
      </c>
      <c r="H291">
        <f t="shared" si="11"/>
        <v>97000</v>
      </c>
    </row>
    <row r="292" spans="4:8" x14ac:dyDescent="0.15">
      <c r="D292">
        <v>706</v>
      </c>
      <c r="F292" s="3">
        <v>98</v>
      </c>
      <c r="G292" s="1">
        <f t="shared" si="8"/>
        <v>656984</v>
      </c>
      <c r="H292">
        <f t="shared" si="11"/>
        <v>98000</v>
      </c>
    </row>
    <row r="293" spans="4:8" x14ac:dyDescent="0.15">
      <c r="D293">
        <v>707</v>
      </c>
      <c r="F293" s="3">
        <v>99</v>
      </c>
      <c r="G293" s="1">
        <f t="shared" si="8"/>
        <v>676986</v>
      </c>
      <c r="H293">
        <f t="shared" si="11"/>
        <v>99000</v>
      </c>
    </row>
    <row r="294" spans="4:8" x14ac:dyDescent="0.15">
      <c r="D294">
        <v>708</v>
      </c>
      <c r="F294" s="3">
        <v>100</v>
      </c>
      <c r="G294" s="1">
        <f t="shared" si="8"/>
        <v>697390</v>
      </c>
      <c r="H294">
        <f t="shared" si="11"/>
        <v>100000</v>
      </c>
    </row>
    <row r="295" spans="4:8" x14ac:dyDescent="0.15">
      <c r="D295">
        <v>709</v>
      </c>
      <c r="F295" s="3">
        <v>101</v>
      </c>
      <c r="G295" s="1">
        <f t="shared" si="8"/>
        <v>718200</v>
      </c>
      <c r="H295">
        <f t="shared" si="11"/>
        <v>101000</v>
      </c>
    </row>
    <row r="296" spans="4:8" x14ac:dyDescent="0.15">
      <c r="D296">
        <v>710</v>
      </c>
      <c r="F296" s="3">
        <v>102</v>
      </c>
      <c r="G296" s="1">
        <f t="shared" si="8"/>
        <v>739420</v>
      </c>
      <c r="H296">
        <f t="shared" si="11"/>
        <v>102000</v>
      </c>
    </row>
    <row r="297" spans="4:8" x14ac:dyDescent="0.15">
      <c r="D297">
        <v>711</v>
      </c>
      <c r="F297" s="3">
        <v>103</v>
      </c>
      <c r="G297" s="1">
        <f t="shared" si="8"/>
        <v>761054</v>
      </c>
      <c r="H297">
        <f t="shared" si="11"/>
        <v>103000</v>
      </c>
    </row>
    <row r="298" spans="4:8" x14ac:dyDescent="0.15">
      <c r="D298">
        <v>712</v>
      </c>
      <c r="F298" s="3">
        <v>104</v>
      </c>
      <c r="G298" s="1">
        <f t="shared" si="8"/>
        <v>783106</v>
      </c>
      <c r="H298">
        <f t="shared" si="11"/>
        <v>104000</v>
      </c>
    </row>
    <row r="299" spans="4:8" x14ac:dyDescent="0.15">
      <c r="D299">
        <v>713</v>
      </c>
      <c r="F299" s="3">
        <v>105</v>
      </c>
      <c r="G299" s="1">
        <f t="shared" si="8"/>
        <v>805580</v>
      </c>
      <c r="H299">
        <f t="shared" si="11"/>
        <v>105000</v>
      </c>
    </row>
    <row r="300" spans="4:8" x14ac:dyDescent="0.15">
      <c r="D300">
        <v>714</v>
      </c>
      <c r="F300" s="3">
        <v>106</v>
      </c>
      <c r="G300" s="1">
        <f t="shared" si="8"/>
        <v>828480</v>
      </c>
      <c r="H300">
        <f t="shared" si="11"/>
        <v>106000</v>
      </c>
    </row>
    <row r="301" spans="4:8" x14ac:dyDescent="0.15">
      <c r="D301">
        <v>715</v>
      </c>
      <c r="F301" s="3">
        <v>107</v>
      </c>
      <c r="G301" s="1">
        <f t="shared" si="8"/>
        <v>851810</v>
      </c>
      <c r="H301">
        <f t="shared" si="11"/>
        <v>107000</v>
      </c>
    </row>
    <row r="302" spans="4:8" x14ac:dyDescent="0.15">
      <c r="D302">
        <v>716</v>
      </c>
      <c r="F302" s="3">
        <v>108</v>
      </c>
      <c r="G302" s="1">
        <f t="shared" si="8"/>
        <v>875574</v>
      </c>
      <c r="H302">
        <f t="shared" si="11"/>
        <v>108000</v>
      </c>
    </row>
    <row r="303" spans="4:8" x14ac:dyDescent="0.15">
      <c r="D303">
        <v>717</v>
      </c>
      <c r="F303" s="3">
        <v>109</v>
      </c>
      <c r="G303" s="1">
        <f t="shared" si="8"/>
        <v>899776</v>
      </c>
      <c r="H303">
        <f t="shared" si="11"/>
        <v>109000</v>
      </c>
    </row>
    <row r="304" spans="4:8" x14ac:dyDescent="0.15">
      <c r="D304">
        <v>718</v>
      </c>
      <c r="F304" s="3">
        <v>110</v>
      </c>
      <c r="G304" s="1">
        <f t="shared" si="8"/>
        <v>924420</v>
      </c>
      <c r="H304">
        <f t="shared" si="11"/>
        <v>110000</v>
      </c>
    </row>
    <row r="305" spans="4:8" x14ac:dyDescent="0.15">
      <c r="D305">
        <v>719</v>
      </c>
      <c r="F305" s="3">
        <v>111</v>
      </c>
      <c r="G305" s="1">
        <f t="shared" si="8"/>
        <v>949510</v>
      </c>
      <c r="H305">
        <f t="shared" si="11"/>
        <v>111000</v>
      </c>
    </row>
    <row r="306" spans="4:8" x14ac:dyDescent="0.15">
      <c r="D306">
        <v>720</v>
      </c>
      <c r="F306" s="3">
        <v>112</v>
      </c>
      <c r="G306" s="1">
        <f t="shared" si="8"/>
        <v>975050</v>
      </c>
      <c r="H306">
        <f t="shared" si="11"/>
        <v>112000</v>
      </c>
    </row>
    <row r="307" spans="4:8" x14ac:dyDescent="0.15">
      <c r="D307">
        <v>801</v>
      </c>
      <c r="F307" s="3">
        <v>113</v>
      </c>
      <c r="G307" s="1">
        <f t="shared" si="8"/>
        <v>1001044</v>
      </c>
      <c r="H307">
        <f t="shared" si="11"/>
        <v>113000</v>
      </c>
    </row>
    <row r="308" spans="4:8" x14ac:dyDescent="0.15">
      <c r="D308">
        <v>802</v>
      </c>
      <c r="F308" s="3">
        <v>114</v>
      </c>
      <c r="G308" s="1">
        <f t="shared" si="8"/>
        <v>1027496</v>
      </c>
      <c r="H308">
        <f t="shared" si="11"/>
        <v>114000</v>
      </c>
    </row>
    <row r="309" spans="4:8" x14ac:dyDescent="0.15">
      <c r="D309">
        <v>803</v>
      </c>
      <c r="F309" s="3">
        <v>115</v>
      </c>
      <c r="G309" s="1">
        <f t="shared" si="8"/>
        <v>1054410</v>
      </c>
      <c r="H309">
        <f t="shared" si="11"/>
        <v>115000</v>
      </c>
    </row>
    <row r="310" spans="4:8" x14ac:dyDescent="0.15">
      <c r="D310">
        <v>804</v>
      </c>
      <c r="F310" s="3">
        <v>116</v>
      </c>
      <c r="G310" s="1">
        <f t="shared" si="8"/>
        <v>1081790</v>
      </c>
      <c r="H310">
        <f t="shared" si="11"/>
        <v>116000</v>
      </c>
    </row>
    <row r="311" spans="4:8" x14ac:dyDescent="0.15">
      <c r="D311">
        <v>805</v>
      </c>
      <c r="F311" s="3">
        <v>117</v>
      </c>
      <c r="G311" s="1">
        <f t="shared" si="8"/>
        <v>1109640</v>
      </c>
      <c r="H311">
        <f t="shared" si="11"/>
        <v>117000</v>
      </c>
    </row>
    <row r="312" spans="4:8" x14ac:dyDescent="0.15">
      <c r="D312">
        <v>806</v>
      </c>
      <c r="F312" s="3">
        <v>118</v>
      </c>
      <c r="G312" s="1">
        <f t="shared" si="8"/>
        <v>1137964</v>
      </c>
      <c r="H312">
        <f t="shared" si="11"/>
        <v>118000</v>
      </c>
    </row>
    <row r="313" spans="4:8" x14ac:dyDescent="0.15">
      <c r="D313">
        <v>807</v>
      </c>
      <c r="F313" s="3">
        <v>119</v>
      </c>
      <c r="G313" s="1">
        <f t="shared" si="8"/>
        <v>1166766</v>
      </c>
      <c r="H313">
        <f t="shared" si="11"/>
        <v>119000</v>
      </c>
    </row>
    <row r="314" spans="4:8" x14ac:dyDescent="0.15">
      <c r="D314">
        <v>808</v>
      </c>
      <c r="F314" s="3">
        <v>120</v>
      </c>
      <c r="G314" s="1">
        <f t="shared" si="8"/>
        <v>1196050</v>
      </c>
      <c r="H314">
        <f t="shared" si="11"/>
        <v>120000</v>
      </c>
    </row>
    <row r="315" spans="4:8" x14ac:dyDescent="0.15">
      <c r="D315">
        <v>809</v>
      </c>
      <c r="F315" s="3">
        <v>121</v>
      </c>
      <c r="G315" s="1">
        <f t="shared" si="8"/>
        <v>1225820</v>
      </c>
      <c r="H315">
        <f t="shared" si="11"/>
        <v>121000</v>
      </c>
    </row>
    <row r="316" spans="4:8" x14ac:dyDescent="0.15">
      <c r="D316">
        <v>810</v>
      </c>
      <c r="F316" s="3">
        <v>122</v>
      </c>
      <c r="G316" s="1">
        <f t="shared" si="8"/>
        <v>1256080</v>
      </c>
      <c r="H316">
        <f t="shared" si="11"/>
        <v>122000</v>
      </c>
    </row>
    <row r="317" spans="4:8" x14ac:dyDescent="0.15">
      <c r="D317">
        <v>811</v>
      </c>
      <c r="F317" s="3">
        <v>123</v>
      </c>
      <c r="G317" s="1">
        <f t="shared" si="8"/>
        <v>1286834</v>
      </c>
      <c r="H317">
        <f t="shared" si="11"/>
        <v>123000</v>
      </c>
    </row>
    <row r="318" spans="4:8" x14ac:dyDescent="0.15">
      <c r="D318">
        <v>812</v>
      </c>
      <c r="F318" s="3">
        <v>124</v>
      </c>
      <c r="G318" s="1">
        <f t="shared" si="8"/>
        <v>1318086</v>
      </c>
      <c r="H318">
        <f t="shared" si="11"/>
        <v>124000</v>
      </c>
    </row>
    <row r="319" spans="4:8" x14ac:dyDescent="0.15">
      <c r="D319">
        <v>813</v>
      </c>
      <c r="F319" s="3">
        <v>125</v>
      </c>
      <c r="G319" s="1">
        <f t="shared" si="8"/>
        <v>1349840</v>
      </c>
      <c r="H319">
        <f t="shared" si="11"/>
        <v>125000</v>
      </c>
    </row>
    <row r="320" spans="4:8" x14ac:dyDescent="0.15">
      <c r="D320">
        <v>814</v>
      </c>
      <c r="F320" s="3">
        <v>126</v>
      </c>
      <c r="G320" s="1">
        <f t="shared" si="8"/>
        <v>1382100</v>
      </c>
      <c r="H320">
        <f t="shared" si="11"/>
        <v>126000</v>
      </c>
    </row>
    <row r="321" spans="4:8" x14ac:dyDescent="0.15">
      <c r="D321">
        <v>815</v>
      </c>
      <c r="F321" s="3">
        <v>127</v>
      </c>
      <c r="G321" s="1">
        <f t="shared" si="8"/>
        <v>1414870</v>
      </c>
      <c r="H321">
        <f t="shared" si="11"/>
        <v>127000</v>
      </c>
    </row>
    <row r="322" spans="4:8" x14ac:dyDescent="0.15">
      <c r="D322">
        <v>816</v>
      </c>
      <c r="F322" s="3">
        <v>128</v>
      </c>
      <c r="G322" s="1">
        <f t="shared" si="8"/>
        <v>1448154</v>
      </c>
      <c r="H322">
        <f t="shared" si="11"/>
        <v>128000</v>
      </c>
    </row>
    <row r="323" spans="4:8" x14ac:dyDescent="0.15">
      <c r="D323">
        <v>817</v>
      </c>
      <c r="F323" s="3">
        <v>129</v>
      </c>
      <c r="G323" s="1">
        <f t="shared" si="8"/>
        <v>1481956</v>
      </c>
      <c r="H323">
        <f t="shared" si="11"/>
        <v>129000</v>
      </c>
    </row>
    <row r="324" spans="4:8" x14ac:dyDescent="0.15">
      <c r="D324">
        <v>818</v>
      </c>
      <c r="F324" s="3">
        <v>130</v>
      </c>
      <c r="G324" s="1">
        <f t="shared" si="8"/>
        <v>1516280</v>
      </c>
      <c r="H324">
        <f t="shared" si="11"/>
        <v>130000</v>
      </c>
    </row>
    <row r="325" spans="4:8" x14ac:dyDescent="0.15">
      <c r="D325">
        <v>819</v>
      </c>
      <c r="F325" s="3">
        <v>131</v>
      </c>
      <c r="G325" s="1">
        <f t="shared" ref="G325:G388" si="12">G324+POWER(F325+2,2)+POWER(F324+1,2)</f>
        <v>1551130</v>
      </c>
      <c r="H325">
        <f t="shared" si="11"/>
        <v>131000</v>
      </c>
    </row>
    <row r="326" spans="4:8" x14ac:dyDescent="0.15">
      <c r="D326">
        <v>820</v>
      </c>
      <c r="F326" s="3">
        <v>132</v>
      </c>
      <c r="G326" s="1">
        <f t="shared" si="12"/>
        <v>1586510</v>
      </c>
      <c r="H326">
        <f t="shared" si="11"/>
        <v>132000</v>
      </c>
    </row>
    <row r="327" spans="4:8" x14ac:dyDescent="0.15">
      <c r="D327">
        <v>821</v>
      </c>
      <c r="F327" s="3">
        <v>133</v>
      </c>
      <c r="G327" s="1">
        <f t="shared" si="12"/>
        <v>1622424</v>
      </c>
      <c r="H327">
        <f t="shared" si="11"/>
        <v>133000</v>
      </c>
    </row>
    <row r="328" spans="4:8" x14ac:dyDescent="0.15">
      <c r="D328">
        <v>822</v>
      </c>
      <c r="F328" s="3">
        <v>134</v>
      </c>
      <c r="G328" s="1">
        <f t="shared" si="12"/>
        <v>1658876</v>
      </c>
      <c r="H328">
        <f t="shared" si="11"/>
        <v>134000</v>
      </c>
    </row>
    <row r="329" spans="4:8" x14ac:dyDescent="0.15">
      <c r="D329">
        <v>823</v>
      </c>
      <c r="F329" s="3">
        <v>135</v>
      </c>
      <c r="G329" s="1">
        <f t="shared" si="12"/>
        <v>1695870</v>
      </c>
      <c r="H329">
        <f t="shared" si="11"/>
        <v>135000</v>
      </c>
    </row>
    <row r="330" spans="4:8" x14ac:dyDescent="0.15">
      <c r="D330">
        <v>824</v>
      </c>
      <c r="F330" s="3">
        <v>136</v>
      </c>
      <c r="G330" s="1">
        <f t="shared" si="12"/>
        <v>1733410</v>
      </c>
      <c r="H330">
        <f t="shared" si="11"/>
        <v>136000</v>
      </c>
    </row>
    <row r="331" spans="4:8" x14ac:dyDescent="0.15">
      <c r="D331">
        <v>825</v>
      </c>
      <c r="F331" s="3">
        <v>137</v>
      </c>
      <c r="G331" s="1">
        <f t="shared" si="12"/>
        <v>1771500</v>
      </c>
      <c r="H331">
        <f t="shared" si="11"/>
        <v>137000</v>
      </c>
    </row>
    <row r="332" spans="4:8" x14ac:dyDescent="0.15">
      <c r="D332">
        <v>901</v>
      </c>
      <c r="F332" s="3">
        <v>138</v>
      </c>
      <c r="G332" s="1">
        <f t="shared" si="12"/>
        <v>1810144</v>
      </c>
      <c r="H332">
        <f t="shared" si="11"/>
        <v>138000</v>
      </c>
    </row>
    <row r="333" spans="4:8" x14ac:dyDescent="0.15">
      <c r="D333">
        <v>902</v>
      </c>
      <c r="F333" s="3">
        <v>139</v>
      </c>
      <c r="G333" s="1">
        <f t="shared" si="12"/>
        <v>1849346</v>
      </c>
      <c r="H333">
        <f t="shared" si="11"/>
        <v>139000</v>
      </c>
    </row>
    <row r="334" spans="4:8" x14ac:dyDescent="0.15">
      <c r="D334">
        <v>903</v>
      </c>
      <c r="F334" s="3">
        <v>140</v>
      </c>
      <c r="G334" s="1">
        <f t="shared" si="12"/>
        <v>1889110</v>
      </c>
      <c r="H334">
        <f t="shared" si="11"/>
        <v>140000</v>
      </c>
    </row>
    <row r="335" spans="4:8" x14ac:dyDescent="0.15">
      <c r="D335">
        <v>904</v>
      </c>
      <c r="F335" s="3">
        <v>141</v>
      </c>
      <c r="G335" s="1">
        <f t="shared" si="12"/>
        <v>1929440</v>
      </c>
      <c r="H335">
        <f t="shared" si="11"/>
        <v>141000</v>
      </c>
    </row>
    <row r="336" spans="4:8" x14ac:dyDescent="0.15">
      <c r="D336">
        <v>905</v>
      </c>
      <c r="F336" s="3">
        <v>142</v>
      </c>
      <c r="G336" s="1">
        <f t="shared" si="12"/>
        <v>1970340</v>
      </c>
      <c r="H336">
        <f t="shared" si="11"/>
        <v>142000</v>
      </c>
    </row>
    <row r="337" spans="4:8" x14ac:dyDescent="0.15">
      <c r="D337">
        <v>906</v>
      </c>
      <c r="F337" s="3">
        <v>143</v>
      </c>
      <c r="G337" s="1">
        <f t="shared" si="12"/>
        <v>2011814</v>
      </c>
      <c r="H337">
        <f t="shared" si="11"/>
        <v>143000</v>
      </c>
    </row>
    <row r="338" spans="4:8" x14ac:dyDescent="0.15">
      <c r="D338">
        <v>907</v>
      </c>
      <c r="F338" s="3">
        <v>144</v>
      </c>
      <c r="G338" s="1">
        <f t="shared" si="12"/>
        <v>2053866</v>
      </c>
      <c r="H338">
        <f t="shared" si="11"/>
        <v>144000</v>
      </c>
    </row>
    <row r="339" spans="4:8" x14ac:dyDescent="0.15">
      <c r="D339">
        <v>908</v>
      </c>
      <c r="F339" s="3">
        <v>145</v>
      </c>
      <c r="G339" s="1">
        <f t="shared" si="12"/>
        <v>2096500</v>
      </c>
      <c r="H339">
        <f t="shared" si="11"/>
        <v>145000</v>
      </c>
    </row>
    <row r="340" spans="4:8" x14ac:dyDescent="0.15">
      <c r="D340">
        <v>909</v>
      </c>
      <c r="F340" s="3">
        <v>146</v>
      </c>
      <c r="G340" s="1">
        <f t="shared" si="12"/>
        <v>2139720</v>
      </c>
      <c r="H340">
        <f t="shared" si="11"/>
        <v>146000</v>
      </c>
    </row>
    <row r="341" spans="4:8" x14ac:dyDescent="0.15">
      <c r="D341">
        <v>910</v>
      </c>
      <c r="F341" s="3">
        <v>147</v>
      </c>
      <c r="G341" s="1">
        <f t="shared" si="12"/>
        <v>2183530</v>
      </c>
      <c r="H341">
        <f t="shared" si="11"/>
        <v>147000</v>
      </c>
    </row>
    <row r="342" spans="4:8" x14ac:dyDescent="0.15">
      <c r="D342">
        <v>911</v>
      </c>
      <c r="F342" s="3">
        <v>148</v>
      </c>
      <c r="G342" s="1">
        <f t="shared" si="12"/>
        <v>2227934</v>
      </c>
      <c r="H342">
        <f t="shared" si="11"/>
        <v>148000</v>
      </c>
    </row>
    <row r="343" spans="4:8" x14ac:dyDescent="0.15">
      <c r="D343">
        <v>912</v>
      </c>
      <c r="F343" s="3">
        <v>149</v>
      </c>
      <c r="G343" s="1">
        <f t="shared" si="12"/>
        <v>2272936</v>
      </c>
      <c r="H343">
        <f t="shared" si="11"/>
        <v>149000</v>
      </c>
    </row>
    <row r="344" spans="4:8" x14ac:dyDescent="0.15">
      <c r="D344">
        <v>913</v>
      </c>
      <c r="F344" s="3">
        <v>150</v>
      </c>
      <c r="G344" s="1">
        <f t="shared" si="12"/>
        <v>2318540</v>
      </c>
      <c r="H344">
        <f t="shared" si="11"/>
        <v>150000</v>
      </c>
    </row>
    <row r="345" spans="4:8" x14ac:dyDescent="0.15">
      <c r="D345">
        <v>914</v>
      </c>
      <c r="F345" s="3">
        <v>151</v>
      </c>
      <c r="G345" s="1">
        <f t="shared" si="12"/>
        <v>2364750</v>
      </c>
      <c r="H345">
        <f t="shared" si="11"/>
        <v>151000</v>
      </c>
    </row>
    <row r="346" spans="4:8" x14ac:dyDescent="0.15">
      <c r="D346">
        <v>915</v>
      </c>
      <c r="F346" s="3">
        <v>152</v>
      </c>
      <c r="G346" s="1">
        <f t="shared" si="12"/>
        <v>2411570</v>
      </c>
      <c r="H346">
        <f t="shared" si="11"/>
        <v>152000</v>
      </c>
    </row>
    <row r="347" spans="4:8" x14ac:dyDescent="0.15">
      <c r="D347">
        <v>916</v>
      </c>
      <c r="F347" s="3">
        <v>153</v>
      </c>
      <c r="G347" s="1">
        <f t="shared" si="12"/>
        <v>2459004</v>
      </c>
      <c r="H347">
        <f t="shared" si="11"/>
        <v>153000</v>
      </c>
    </row>
    <row r="348" spans="4:8" x14ac:dyDescent="0.15">
      <c r="D348">
        <v>917</v>
      </c>
      <c r="F348" s="3">
        <v>154</v>
      </c>
      <c r="G348" s="1">
        <f t="shared" si="12"/>
        <v>2507056</v>
      </c>
      <c r="H348">
        <f t="shared" si="11"/>
        <v>154000</v>
      </c>
    </row>
    <row r="349" spans="4:8" x14ac:dyDescent="0.15">
      <c r="D349">
        <v>918</v>
      </c>
      <c r="F349" s="3">
        <v>155</v>
      </c>
      <c r="G349" s="1">
        <f t="shared" si="12"/>
        <v>2555730</v>
      </c>
      <c r="H349">
        <f t="shared" ref="H349:H412" si="13">F349*1000</f>
        <v>155000</v>
      </c>
    </row>
    <row r="350" spans="4:8" x14ac:dyDescent="0.15">
      <c r="D350">
        <v>919</v>
      </c>
      <c r="F350" s="3">
        <v>156</v>
      </c>
      <c r="G350" s="1">
        <f t="shared" si="12"/>
        <v>2605030</v>
      </c>
      <c r="H350">
        <f t="shared" si="13"/>
        <v>156000</v>
      </c>
    </row>
    <row r="351" spans="4:8" x14ac:dyDescent="0.15">
      <c r="D351">
        <v>920</v>
      </c>
      <c r="F351" s="3">
        <v>157</v>
      </c>
      <c r="G351" s="1">
        <f t="shared" si="12"/>
        <v>2654960</v>
      </c>
      <c r="H351">
        <f t="shared" si="13"/>
        <v>157000</v>
      </c>
    </row>
    <row r="352" spans="4:8" x14ac:dyDescent="0.15">
      <c r="D352">
        <v>921</v>
      </c>
      <c r="F352" s="3">
        <v>158</v>
      </c>
      <c r="G352" s="1">
        <f t="shared" si="12"/>
        <v>2705524</v>
      </c>
      <c r="H352">
        <f t="shared" si="13"/>
        <v>158000</v>
      </c>
    </row>
    <row r="353" spans="4:8" x14ac:dyDescent="0.15">
      <c r="D353">
        <v>922</v>
      </c>
      <c r="F353" s="3">
        <v>159</v>
      </c>
      <c r="G353" s="1">
        <f t="shared" si="12"/>
        <v>2756726</v>
      </c>
      <c r="H353">
        <f t="shared" si="13"/>
        <v>159000</v>
      </c>
    </row>
    <row r="354" spans="4:8" x14ac:dyDescent="0.15">
      <c r="D354">
        <v>923</v>
      </c>
      <c r="F354" s="3">
        <v>160</v>
      </c>
      <c r="G354" s="1">
        <f t="shared" si="12"/>
        <v>2808570</v>
      </c>
      <c r="H354">
        <f t="shared" si="13"/>
        <v>160000</v>
      </c>
    </row>
    <row r="355" spans="4:8" x14ac:dyDescent="0.15">
      <c r="D355">
        <v>924</v>
      </c>
      <c r="F355" s="3">
        <v>161</v>
      </c>
      <c r="G355" s="1">
        <f t="shared" si="12"/>
        <v>2861060</v>
      </c>
      <c r="H355">
        <f t="shared" si="13"/>
        <v>161000</v>
      </c>
    </row>
    <row r="356" spans="4:8" x14ac:dyDescent="0.15">
      <c r="D356">
        <v>925</v>
      </c>
      <c r="F356" s="3">
        <v>162</v>
      </c>
      <c r="G356" s="1">
        <f t="shared" si="12"/>
        <v>2914200</v>
      </c>
      <c r="H356">
        <f t="shared" si="13"/>
        <v>162000</v>
      </c>
    </row>
    <row r="357" spans="4:8" x14ac:dyDescent="0.15">
      <c r="D357">
        <v>1001</v>
      </c>
      <c r="F357" s="3">
        <v>163</v>
      </c>
      <c r="G357" s="1">
        <f t="shared" si="12"/>
        <v>2967994</v>
      </c>
      <c r="H357">
        <f t="shared" si="13"/>
        <v>163000</v>
      </c>
    </row>
    <row r="358" spans="4:8" x14ac:dyDescent="0.15">
      <c r="D358">
        <v>1002</v>
      </c>
      <c r="F358" s="3">
        <v>164</v>
      </c>
      <c r="G358" s="1">
        <f t="shared" si="12"/>
        <v>3022446</v>
      </c>
      <c r="H358">
        <f t="shared" si="13"/>
        <v>164000</v>
      </c>
    </row>
    <row r="359" spans="4:8" x14ac:dyDescent="0.15">
      <c r="D359">
        <v>1003</v>
      </c>
      <c r="F359" s="3">
        <v>165</v>
      </c>
      <c r="G359" s="1">
        <f t="shared" si="12"/>
        <v>3077560</v>
      </c>
      <c r="H359">
        <f t="shared" si="13"/>
        <v>165000</v>
      </c>
    </row>
    <row r="360" spans="4:8" x14ac:dyDescent="0.15">
      <c r="D360">
        <v>1004</v>
      </c>
      <c r="F360" s="3">
        <v>166</v>
      </c>
      <c r="G360" s="1">
        <f t="shared" si="12"/>
        <v>3133340</v>
      </c>
      <c r="H360">
        <f t="shared" si="13"/>
        <v>166000</v>
      </c>
    </row>
    <row r="361" spans="4:8" x14ac:dyDescent="0.15">
      <c r="D361">
        <v>1005</v>
      </c>
      <c r="F361" s="3">
        <v>167</v>
      </c>
      <c r="G361" s="1">
        <f t="shared" si="12"/>
        <v>3189790</v>
      </c>
      <c r="H361">
        <f t="shared" si="13"/>
        <v>167000</v>
      </c>
    </row>
    <row r="362" spans="4:8" x14ac:dyDescent="0.15">
      <c r="D362">
        <v>1006</v>
      </c>
      <c r="F362" s="3">
        <v>168</v>
      </c>
      <c r="G362" s="1">
        <f t="shared" si="12"/>
        <v>3246914</v>
      </c>
      <c r="H362">
        <f t="shared" si="13"/>
        <v>168000</v>
      </c>
    </row>
    <row r="363" spans="4:8" x14ac:dyDescent="0.15">
      <c r="D363">
        <v>1007</v>
      </c>
      <c r="F363" s="3">
        <v>169</v>
      </c>
      <c r="G363" s="1">
        <f t="shared" si="12"/>
        <v>3304716</v>
      </c>
      <c r="H363">
        <f t="shared" si="13"/>
        <v>169000</v>
      </c>
    </row>
    <row r="364" spans="4:8" x14ac:dyDescent="0.15">
      <c r="D364">
        <v>1008</v>
      </c>
      <c r="F364" s="3">
        <v>170</v>
      </c>
      <c r="G364" s="1">
        <f t="shared" si="12"/>
        <v>3363200</v>
      </c>
      <c r="H364">
        <f t="shared" si="13"/>
        <v>170000</v>
      </c>
    </row>
    <row r="365" spans="4:8" x14ac:dyDescent="0.15">
      <c r="D365">
        <v>1009</v>
      </c>
      <c r="F365" s="3">
        <v>171</v>
      </c>
      <c r="G365" s="1">
        <f t="shared" si="12"/>
        <v>3422370</v>
      </c>
      <c r="H365">
        <f t="shared" si="13"/>
        <v>171000</v>
      </c>
    </row>
    <row r="366" spans="4:8" x14ac:dyDescent="0.15">
      <c r="D366">
        <v>1010</v>
      </c>
      <c r="F366" s="3">
        <v>172</v>
      </c>
      <c r="G366" s="1">
        <f t="shared" si="12"/>
        <v>3482230</v>
      </c>
      <c r="H366">
        <f t="shared" si="13"/>
        <v>172000</v>
      </c>
    </row>
    <row r="367" spans="4:8" x14ac:dyDescent="0.15">
      <c r="D367">
        <v>1011</v>
      </c>
      <c r="F367" s="3">
        <v>173</v>
      </c>
      <c r="G367" s="1">
        <f t="shared" si="12"/>
        <v>3542784</v>
      </c>
      <c r="H367">
        <f t="shared" si="13"/>
        <v>173000</v>
      </c>
    </row>
    <row r="368" spans="4:8" x14ac:dyDescent="0.15">
      <c r="D368">
        <v>1012</v>
      </c>
      <c r="F368" s="3">
        <v>174</v>
      </c>
      <c r="G368" s="1">
        <f t="shared" si="12"/>
        <v>3604036</v>
      </c>
      <c r="H368">
        <f t="shared" si="13"/>
        <v>174000</v>
      </c>
    </row>
    <row r="369" spans="4:8" x14ac:dyDescent="0.15">
      <c r="D369">
        <v>1013</v>
      </c>
      <c r="F369" s="3">
        <v>175</v>
      </c>
      <c r="G369" s="1">
        <f t="shared" si="12"/>
        <v>3665990</v>
      </c>
      <c r="H369">
        <f t="shared" si="13"/>
        <v>175000</v>
      </c>
    </row>
    <row r="370" spans="4:8" x14ac:dyDescent="0.15">
      <c r="D370">
        <v>1014</v>
      </c>
      <c r="F370" s="3">
        <v>176</v>
      </c>
      <c r="G370" s="1">
        <f t="shared" si="12"/>
        <v>3728650</v>
      </c>
      <c r="H370">
        <f t="shared" si="13"/>
        <v>176000</v>
      </c>
    </row>
    <row r="371" spans="4:8" x14ac:dyDescent="0.15">
      <c r="D371">
        <v>1015</v>
      </c>
      <c r="F371" s="3">
        <v>177</v>
      </c>
      <c r="G371" s="1">
        <f t="shared" si="12"/>
        <v>3792020</v>
      </c>
      <c r="H371">
        <f t="shared" si="13"/>
        <v>177000</v>
      </c>
    </row>
    <row r="372" spans="4:8" x14ac:dyDescent="0.15">
      <c r="D372">
        <v>1016</v>
      </c>
      <c r="F372" s="3">
        <v>178</v>
      </c>
      <c r="G372" s="1">
        <f t="shared" si="12"/>
        <v>3856104</v>
      </c>
      <c r="H372">
        <f t="shared" si="13"/>
        <v>178000</v>
      </c>
    </row>
    <row r="373" spans="4:8" x14ac:dyDescent="0.15">
      <c r="D373">
        <v>1017</v>
      </c>
      <c r="F373" s="3">
        <v>179</v>
      </c>
      <c r="G373" s="1">
        <f t="shared" si="12"/>
        <v>3920906</v>
      </c>
      <c r="H373">
        <f t="shared" si="13"/>
        <v>179000</v>
      </c>
    </row>
    <row r="374" spans="4:8" x14ac:dyDescent="0.15">
      <c r="D374">
        <v>1018</v>
      </c>
      <c r="F374" s="3">
        <v>180</v>
      </c>
      <c r="G374" s="1">
        <f t="shared" si="12"/>
        <v>3986430</v>
      </c>
      <c r="H374">
        <f t="shared" si="13"/>
        <v>180000</v>
      </c>
    </row>
    <row r="375" spans="4:8" x14ac:dyDescent="0.15">
      <c r="D375">
        <v>1019</v>
      </c>
      <c r="F375" s="3">
        <v>181</v>
      </c>
      <c r="G375" s="1">
        <f t="shared" si="12"/>
        <v>4052680</v>
      </c>
      <c r="H375">
        <f t="shared" si="13"/>
        <v>181000</v>
      </c>
    </row>
    <row r="376" spans="4:8" x14ac:dyDescent="0.15">
      <c r="D376">
        <v>1020</v>
      </c>
      <c r="F376" s="3">
        <v>182</v>
      </c>
      <c r="G376" s="1">
        <f t="shared" si="12"/>
        <v>4119660</v>
      </c>
      <c r="H376">
        <f t="shared" si="13"/>
        <v>182000</v>
      </c>
    </row>
    <row r="377" spans="4:8" x14ac:dyDescent="0.15">
      <c r="D377">
        <v>1021</v>
      </c>
      <c r="F377" s="3">
        <v>183</v>
      </c>
      <c r="G377" s="1">
        <f t="shared" si="12"/>
        <v>4187374</v>
      </c>
      <c r="H377">
        <f t="shared" si="13"/>
        <v>183000</v>
      </c>
    </row>
    <row r="378" spans="4:8" x14ac:dyDescent="0.15">
      <c r="D378">
        <v>1022</v>
      </c>
      <c r="F378" s="3">
        <v>184</v>
      </c>
      <c r="G378" s="1">
        <f t="shared" si="12"/>
        <v>4255826</v>
      </c>
      <c r="H378">
        <f t="shared" si="13"/>
        <v>184000</v>
      </c>
    </row>
    <row r="379" spans="4:8" x14ac:dyDescent="0.15">
      <c r="D379">
        <v>1023</v>
      </c>
      <c r="F379" s="3">
        <v>185</v>
      </c>
      <c r="G379" s="1">
        <f t="shared" si="12"/>
        <v>4325020</v>
      </c>
      <c r="H379">
        <f t="shared" si="13"/>
        <v>185000</v>
      </c>
    </row>
    <row r="380" spans="4:8" x14ac:dyDescent="0.15">
      <c r="D380">
        <v>1024</v>
      </c>
      <c r="F380" s="3">
        <v>186</v>
      </c>
      <c r="G380" s="1">
        <f t="shared" si="12"/>
        <v>4394960</v>
      </c>
      <c r="H380">
        <f t="shared" si="13"/>
        <v>186000</v>
      </c>
    </row>
    <row r="381" spans="4:8" x14ac:dyDescent="0.15">
      <c r="D381">
        <v>1025</v>
      </c>
      <c r="F381" s="3">
        <v>187</v>
      </c>
      <c r="G381" s="1">
        <f t="shared" si="12"/>
        <v>4465650</v>
      </c>
      <c r="H381">
        <f t="shared" si="13"/>
        <v>187000</v>
      </c>
    </row>
    <row r="382" spans="4:8" x14ac:dyDescent="0.15">
      <c r="D382">
        <v>1026</v>
      </c>
      <c r="F382" s="3">
        <v>188</v>
      </c>
      <c r="G382" s="1">
        <f t="shared" si="12"/>
        <v>4537094</v>
      </c>
      <c r="H382">
        <f t="shared" si="13"/>
        <v>188000</v>
      </c>
    </row>
    <row r="383" spans="4:8" x14ac:dyDescent="0.15">
      <c r="D383">
        <v>1027</v>
      </c>
      <c r="F383" s="3">
        <v>189</v>
      </c>
      <c r="G383" s="1">
        <f t="shared" si="12"/>
        <v>4609296</v>
      </c>
      <c r="H383">
        <f t="shared" si="13"/>
        <v>189000</v>
      </c>
    </row>
    <row r="384" spans="4:8" x14ac:dyDescent="0.15">
      <c r="D384">
        <v>1028</v>
      </c>
      <c r="F384" s="3">
        <v>190</v>
      </c>
      <c r="G384" s="1">
        <f t="shared" si="12"/>
        <v>4682260</v>
      </c>
      <c r="H384">
        <f t="shared" si="13"/>
        <v>190000</v>
      </c>
    </row>
    <row r="385" spans="4:8" x14ac:dyDescent="0.15">
      <c r="D385">
        <v>1029</v>
      </c>
      <c r="F385" s="3">
        <v>191</v>
      </c>
      <c r="G385" s="1">
        <f t="shared" si="12"/>
        <v>4755990</v>
      </c>
      <c r="H385">
        <f t="shared" si="13"/>
        <v>191000</v>
      </c>
    </row>
    <row r="386" spans="4:8" x14ac:dyDescent="0.15">
      <c r="D386">
        <v>1030</v>
      </c>
      <c r="F386" s="3">
        <v>192</v>
      </c>
      <c r="G386" s="1">
        <f t="shared" si="12"/>
        <v>4830490</v>
      </c>
      <c r="H386">
        <f t="shared" si="13"/>
        <v>192000</v>
      </c>
    </row>
    <row r="387" spans="4:8" x14ac:dyDescent="0.15">
      <c r="F387" s="3">
        <v>193</v>
      </c>
      <c r="G387" s="1">
        <f t="shared" si="12"/>
        <v>4905764</v>
      </c>
      <c r="H387">
        <f t="shared" si="13"/>
        <v>193000</v>
      </c>
    </row>
    <row r="388" spans="4:8" x14ac:dyDescent="0.15">
      <c r="F388" s="3">
        <v>194</v>
      </c>
      <c r="G388" s="1">
        <f t="shared" si="12"/>
        <v>4981816</v>
      </c>
      <c r="H388">
        <f t="shared" si="13"/>
        <v>194000</v>
      </c>
    </row>
    <row r="389" spans="4:8" x14ac:dyDescent="0.15">
      <c r="F389" s="3">
        <v>195</v>
      </c>
      <c r="G389" s="1">
        <f t="shared" ref="G389:G452" si="14">G388+POWER(F389+2,2)+POWER(F388+1,2)</f>
        <v>5058650</v>
      </c>
      <c r="H389">
        <f t="shared" si="13"/>
        <v>195000</v>
      </c>
    </row>
    <row r="390" spans="4:8" x14ac:dyDescent="0.15">
      <c r="F390" s="3">
        <v>196</v>
      </c>
      <c r="G390" s="1">
        <f t="shared" si="14"/>
        <v>5136270</v>
      </c>
      <c r="H390">
        <f t="shared" si="13"/>
        <v>196000</v>
      </c>
    </row>
    <row r="391" spans="4:8" x14ac:dyDescent="0.15">
      <c r="F391" s="3">
        <v>197</v>
      </c>
      <c r="G391" s="1">
        <f t="shared" si="14"/>
        <v>5214680</v>
      </c>
      <c r="H391">
        <f t="shared" si="13"/>
        <v>197000</v>
      </c>
    </row>
    <row r="392" spans="4:8" x14ac:dyDescent="0.15">
      <c r="F392" s="3">
        <v>198</v>
      </c>
      <c r="G392" s="1">
        <f t="shared" si="14"/>
        <v>5293884</v>
      </c>
      <c r="H392">
        <f t="shared" si="13"/>
        <v>198000</v>
      </c>
    </row>
    <row r="393" spans="4:8" x14ac:dyDescent="0.15">
      <c r="F393" s="3">
        <v>199</v>
      </c>
      <c r="G393" s="1">
        <f t="shared" si="14"/>
        <v>5373886</v>
      </c>
      <c r="H393">
        <f t="shared" si="13"/>
        <v>199000</v>
      </c>
    </row>
    <row r="394" spans="4:8" x14ac:dyDescent="0.15">
      <c r="F394" s="3">
        <v>200</v>
      </c>
      <c r="G394" s="1">
        <f t="shared" si="14"/>
        <v>5454690</v>
      </c>
      <c r="H394">
        <f t="shared" si="13"/>
        <v>200000</v>
      </c>
    </row>
    <row r="395" spans="4:8" x14ac:dyDescent="0.15">
      <c r="F395" s="3">
        <v>201</v>
      </c>
      <c r="G395" s="1">
        <f t="shared" si="14"/>
        <v>5536300</v>
      </c>
      <c r="H395">
        <f t="shared" si="13"/>
        <v>201000</v>
      </c>
    </row>
    <row r="396" spans="4:8" x14ac:dyDescent="0.15">
      <c r="F396" s="3">
        <v>202</v>
      </c>
      <c r="G396" s="1">
        <f t="shared" si="14"/>
        <v>5618720</v>
      </c>
      <c r="H396">
        <f t="shared" si="13"/>
        <v>202000</v>
      </c>
    </row>
    <row r="397" spans="4:8" x14ac:dyDescent="0.15">
      <c r="F397" s="3">
        <v>203</v>
      </c>
      <c r="G397" s="1">
        <f t="shared" si="14"/>
        <v>5701954</v>
      </c>
      <c r="H397">
        <f t="shared" si="13"/>
        <v>203000</v>
      </c>
    </row>
    <row r="398" spans="4:8" x14ac:dyDescent="0.15">
      <c r="F398" s="3">
        <v>204</v>
      </c>
      <c r="G398" s="1">
        <f t="shared" si="14"/>
        <v>5786006</v>
      </c>
      <c r="H398">
        <f t="shared" si="13"/>
        <v>204000</v>
      </c>
    </row>
    <row r="399" spans="4:8" x14ac:dyDescent="0.15">
      <c r="F399" s="3">
        <v>205</v>
      </c>
      <c r="G399" s="1">
        <f t="shared" si="14"/>
        <v>5870880</v>
      </c>
      <c r="H399">
        <f t="shared" si="13"/>
        <v>205000</v>
      </c>
    </row>
    <row r="400" spans="4:8" x14ac:dyDescent="0.15">
      <c r="F400" s="3">
        <v>206</v>
      </c>
      <c r="G400" s="1">
        <f t="shared" si="14"/>
        <v>5956580</v>
      </c>
      <c r="H400">
        <f t="shared" si="13"/>
        <v>206000</v>
      </c>
    </row>
    <row r="401" spans="6:8" x14ac:dyDescent="0.15">
      <c r="F401" s="3">
        <v>207</v>
      </c>
      <c r="G401" s="1">
        <f t="shared" si="14"/>
        <v>6043110</v>
      </c>
      <c r="H401">
        <f t="shared" si="13"/>
        <v>207000</v>
      </c>
    </row>
    <row r="402" spans="6:8" x14ac:dyDescent="0.15">
      <c r="F402" s="3">
        <v>208</v>
      </c>
      <c r="G402" s="1">
        <f t="shared" si="14"/>
        <v>6130474</v>
      </c>
      <c r="H402">
        <f t="shared" si="13"/>
        <v>208000</v>
      </c>
    </row>
    <row r="403" spans="6:8" x14ac:dyDescent="0.15">
      <c r="F403" s="3">
        <v>209</v>
      </c>
      <c r="G403" s="1">
        <f t="shared" si="14"/>
        <v>6218676</v>
      </c>
      <c r="H403">
        <f t="shared" si="13"/>
        <v>209000</v>
      </c>
    </row>
    <row r="404" spans="6:8" x14ac:dyDescent="0.15">
      <c r="F404" s="3">
        <v>210</v>
      </c>
      <c r="G404" s="1">
        <f t="shared" si="14"/>
        <v>6307720</v>
      </c>
      <c r="H404">
        <f t="shared" si="13"/>
        <v>210000</v>
      </c>
    </row>
    <row r="405" spans="6:8" x14ac:dyDescent="0.15">
      <c r="F405" s="3">
        <v>211</v>
      </c>
      <c r="G405" s="1">
        <f t="shared" si="14"/>
        <v>6397610</v>
      </c>
      <c r="H405">
        <f t="shared" si="13"/>
        <v>211000</v>
      </c>
    </row>
    <row r="406" spans="6:8" x14ac:dyDescent="0.15">
      <c r="F406" s="3">
        <v>212</v>
      </c>
      <c r="G406" s="1">
        <f t="shared" si="14"/>
        <v>6488350</v>
      </c>
      <c r="H406">
        <f t="shared" si="13"/>
        <v>212000</v>
      </c>
    </row>
    <row r="407" spans="6:8" x14ac:dyDescent="0.15">
      <c r="F407" s="3">
        <v>213</v>
      </c>
      <c r="G407" s="1">
        <f t="shared" si="14"/>
        <v>6579944</v>
      </c>
      <c r="H407">
        <f t="shared" si="13"/>
        <v>213000</v>
      </c>
    </row>
    <row r="408" spans="6:8" x14ac:dyDescent="0.15">
      <c r="F408" s="3">
        <v>214</v>
      </c>
      <c r="G408" s="1">
        <f t="shared" si="14"/>
        <v>6672396</v>
      </c>
      <c r="H408">
        <f t="shared" si="13"/>
        <v>214000</v>
      </c>
    </row>
    <row r="409" spans="6:8" x14ac:dyDescent="0.15">
      <c r="F409" s="3">
        <v>215</v>
      </c>
      <c r="G409" s="1">
        <f t="shared" si="14"/>
        <v>6765710</v>
      </c>
      <c r="H409">
        <f t="shared" si="13"/>
        <v>215000</v>
      </c>
    </row>
    <row r="410" spans="6:8" x14ac:dyDescent="0.15">
      <c r="F410" s="3">
        <v>216</v>
      </c>
      <c r="G410" s="1">
        <f t="shared" si="14"/>
        <v>6859890</v>
      </c>
      <c r="H410">
        <f t="shared" si="13"/>
        <v>216000</v>
      </c>
    </row>
    <row r="411" spans="6:8" x14ac:dyDescent="0.15">
      <c r="F411" s="3">
        <v>217</v>
      </c>
      <c r="G411" s="1">
        <f t="shared" si="14"/>
        <v>6954940</v>
      </c>
      <c r="H411">
        <f t="shared" si="13"/>
        <v>217000</v>
      </c>
    </row>
    <row r="412" spans="6:8" x14ac:dyDescent="0.15">
      <c r="F412" s="3">
        <v>218</v>
      </c>
      <c r="G412" s="1">
        <f t="shared" si="14"/>
        <v>7050864</v>
      </c>
      <c r="H412">
        <f t="shared" si="13"/>
        <v>218000</v>
      </c>
    </row>
    <row r="413" spans="6:8" x14ac:dyDescent="0.15">
      <c r="F413" s="3">
        <v>219</v>
      </c>
      <c r="G413" s="1">
        <f t="shared" si="14"/>
        <v>7147666</v>
      </c>
      <c r="H413">
        <f t="shared" ref="H413:H476" si="15">F413*1000</f>
        <v>219000</v>
      </c>
    </row>
    <row r="414" spans="6:8" x14ac:dyDescent="0.15">
      <c r="F414" s="3">
        <v>220</v>
      </c>
      <c r="G414" s="1">
        <f t="shared" si="14"/>
        <v>7245350</v>
      </c>
      <c r="H414">
        <f t="shared" si="15"/>
        <v>220000</v>
      </c>
    </row>
    <row r="415" spans="6:8" x14ac:dyDescent="0.15">
      <c r="F415" s="3">
        <v>221</v>
      </c>
      <c r="G415" s="1">
        <f t="shared" si="14"/>
        <v>7343920</v>
      </c>
      <c r="H415">
        <f t="shared" si="15"/>
        <v>221000</v>
      </c>
    </row>
    <row r="416" spans="6:8" x14ac:dyDescent="0.15">
      <c r="F416" s="3">
        <v>222</v>
      </c>
      <c r="G416" s="1">
        <f t="shared" si="14"/>
        <v>7443380</v>
      </c>
      <c r="H416">
        <f t="shared" si="15"/>
        <v>222000</v>
      </c>
    </row>
    <row r="417" spans="6:8" x14ac:dyDescent="0.15">
      <c r="F417" s="3">
        <v>223</v>
      </c>
      <c r="G417" s="1">
        <f t="shared" si="14"/>
        <v>7543734</v>
      </c>
      <c r="H417">
        <f t="shared" si="15"/>
        <v>223000</v>
      </c>
    </row>
    <row r="418" spans="6:8" x14ac:dyDescent="0.15">
      <c r="F418" s="3">
        <v>224</v>
      </c>
      <c r="G418" s="1">
        <f t="shared" si="14"/>
        <v>7644986</v>
      </c>
      <c r="H418">
        <f t="shared" si="15"/>
        <v>224000</v>
      </c>
    </row>
    <row r="419" spans="6:8" x14ac:dyDescent="0.15">
      <c r="F419" s="3">
        <v>225</v>
      </c>
      <c r="G419" s="1">
        <f t="shared" si="14"/>
        <v>7747140</v>
      </c>
      <c r="H419">
        <f t="shared" si="15"/>
        <v>225000</v>
      </c>
    </row>
    <row r="420" spans="6:8" x14ac:dyDescent="0.15">
      <c r="F420" s="3">
        <v>226</v>
      </c>
      <c r="G420" s="1">
        <f t="shared" si="14"/>
        <v>7850200</v>
      </c>
      <c r="H420">
        <f t="shared" si="15"/>
        <v>226000</v>
      </c>
    </row>
    <row r="421" spans="6:8" x14ac:dyDescent="0.15">
      <c r="F421" s="3">
        <v>227</v>
      </c>
      <c r="G421" s="1">
        <f t="shared" si="14"/>
        <v>7954170</v>
      </c>
      <c r="H421">
        <f t="shared" si="15"/>
        <v>227000</v>
      </c>
    </row>
    <row r="422" spans="6:8" x14ac:dyDescent="0.15">
      <c r="F422" s="3">
        <v>228</v>
      </c>
      <c r="G422" s="1">
        <f t="shared" si="14"/>
        <v>8059054</v>
      </c>
      <c r="H422">
        <f t="shared" si="15"/>
        <v>228000</v>
      </c>
    </row>
    <row r="423" spans="6:8" x14ac:dyDescent="0.15">
      <c r="F423" s="3">
        <v>229</v>
      </c>
      <c r="G423" s="1">
        <f t="shared" si="14"/>
        <v>8164856</v>
      </c>
      <c r="H423">
        <f t="shared" si="15"/>
        <v>229000</v>
      </c>
    </row>
    <row r="424" spans="6:8" x14ac:dyDescent="0.15">
      <c r="F424" s="3">
        <v>230</v>
      </c>
      <c r="G424" s="1">
        <f t="shared" si="14"/>
        <v>8271580</v>
      </c>
      <c r="H424">
        <f t="shared" si="15"/>
        <v>230000</v>
      </c>
    </row>
    <row r="425" spans="6:8" x14ac:dyDescent="0.15">
      <c r="F425" s="3">
        <v>231</v>
      </c>
      <c r="G425" s="1">
        <f t="shared" si="14"/>
        <v>8379230</v>
      </c>
      <c r="H425">
        <f t="shared" si="15"/>
        <v>231000</v>
      </c>
    </row>
    <row r="426" spans="6:8" x14ac:dyDescent="0.15">
      <c r="F426" s="3">
        <v>232</v>
      </c>
      <c r="G426" s="1">
        <f t="shared" si="14"/>
        <v>8487810</v>
      </c>
      <c r="H426">
        <f t="shared" si="15"/>
        <v>232000</v>
      </c>
    </row>
    <row r="427" spans="6:8" x14ac:dyDescent="0.15">
      <c r="F427" s="3">
        <v>233</v>
      </c>
      <c r="G427" s="1">
        <f t="shared" si="14"/>
        <v>8597324</v>
      </c>
      <c r="H427">
        <f t="shared" si="15"/>
        <v>233000</v>
      </c>
    </row>
    <row r="428" spans="6:8" x14ac:dyDescent="0.15">
      <c r="F428" s="3">
        <v>234</v>
      </c>
      <c r="G428" s="1">
        <f t="shared" si="14"/>
        <v>8707776</v>
      </c>
      <c r="H428">
        <f t="shared" si="15"/>
        <v>234000</v>
      </c>
    </row>
    <row r="429" spans="6:8" x14ac:dyDescent="0.15">
      <c r="F429" s="3">
        <v>235</v>
      </c>
      <c r="G429" s="1">
        <f t="shared" si="14"/>
        <v>8819170</v>
      </c>
      <c r="H429">
        <f t="shared" si="15"/>
        <v>235000</v>
      </c>
    </row>
    <row r="430" spans="6:8" x14ac:dyDescent="0.15">
      <c r="F430" s="3">
        <v>236</v>
      </c>
      <c r="G430" s="1">
        <f t="shared" si="14"/>
        <v>8931510</v>
      </c>
      <c r="H430">
        <f t="shared" si="15"/>
        <v>236000</v>
      </c>
    </row>
    <row r="431" spans="6:8" x14ac:dyDescent="0.15">
      <c r="F431" s="3">
        <v>237</v>
      </c>
      <c r="G431" s="1">
        <f t="shared" si="14"/>
        <v>9044800</v>
      </c>
      <c r="H431">
        <f t="shared" si="15"/>
        <v>237000</v>
      </c>
    </row>
    <row r="432" spans="6:8" x14ac:dyDescent="0.15">
      <c r="F432" s="3">
        <v>238</v>
      </c>
      <c r="G432" s="1">
        <f t="shared" si="14"/>
        <v>9159044</v>
      </c>
      <c r="H432">
        <f t="shared" si="15"/>
        <v>238000</v>
      </c>
    </row>
    <row r="433" spans="6:8" x14ac:dyDescent="0.15">
      <c r="F433" s="3">
        <v>239</v>
      </c>
      <c r="G433" s="1">
        <f t="shared" si="14"/>
        <v>9274246</v>
      </c>
      <c r="H433">
        <f t="shared" si="15"/>
        <v>239000</v>
      </c>
    </row>
    <row r="434" spans="6:8" x14ac:dyDescent="0.15">
      <c r="F434" s="3">
        <v>240</v>
      </c>
      <c r="G434" s="1">
        <f t="shared" si="14"/>
        <v>9390410</v>
      </c>
      <c r="H434">
        <f t="shared" si="15"/>
        <v>240000</v>
      </c>
    </row>
    <row r="435" spans="6:8" x14ac:dyDescent="0.15">
      <c r="F435" s="3">
        <v>241</v>
      </c>
      <c r="G435" s="1">
        <f t="shared" si="14"/>
        <v>9507540</v>
      </c>
      <c r="H435">
        <f t="shared" si="15"/>
        <v>241000</v>
      </c>
    </row>
    <row r="436" spans="6:8" x14ac:dyDescent="0.15">
      <c r="F436" s="3">
        <v>242</v>
      </c>
      <c r="G436" s="1">
        <f t="shared" si="14"/>
        <v>9625640</v>
      </c>
      <c r="H436">
        <f t="shared" si="15"/>
        <v>242000</v>
      </c>
    </row>
    <row r="437" spans="6:8" x14ac:dyDescent="0.15">
      <c r="F437" s="3">
        <v>243</v>
      </c>
      <c r="G437" s="1">
        <f t="shared" si="14"/>
        <v>9744714</v>
      </c>
      <c r="H437">
        <f t="shared" si="15"/>
        <v>243000</v>
      </c>
    </row>
    <row r="438" spans="6:8" x14ac:dyDescent="0.15">
      <c r="F438" s="3">
        <v>244</v>
      </c>
      <c r="G438" s="1">
        <f t="shared" si="14"/>
        <v>9864766</v>
      </c>
      <c r="H438">
        <f t="shared" si="15"/>
        <v>244000</v>
      </c>
    </row>
    <row r="439" spans="6:8" x14ac:dyDescent="0.15">
      <c r="F439" s="3">
        <v>245</v>
      </c>
      <c r="G439" s="1">
        <f t="shared" si="14"/>
        <v>9985800</v>
      </c>
      <c r="H439">
        <f t="shared" si="15"/>
        <v>245000</v>
      </c>
    </row>
    <row r="440" spans="6:8" x14ac:dyDescent="0.15">
      <c r="F440" s="3">
        <v>246</v>
      </c>
      <c r="G440" s="1">
        <f t="shared" si="14"/>
        <v>10107820</v>
      </c>
      <c r="H440">
        <f t="shared" si="15"/>
        <v>246000</v>
      </c>
    </row>
    <row r="441" spans="6:8" x14ac:dyDescent="0.15">
      <c r="F441" s="3">
        <v>247</v>
      </c>
      <c r="G441" s="1">
        <f t="shared" si="14"/>
        <v>10230830</v>
      </c>
      <c r="H441">
        <f t="shared" si="15"/>
        <v>247000</v>
      </c>
    </row>
    <row r="442" spans="6:8" x14ac:dyDescent="0.15">
      <c r="F442" s="3">
        <v>248</v>
      </c>
      <c r="G442" s="1">
        <f t="shared" si="14"/>
        <v>10354834</v>
      </c>
      <c r="H442">
        <f t="shared" si="15"/>
        <v>248000</v>
      </c>
    </row>
    <row r="443" spans="6:8" x14ac:dyDescent="0.15">
      <c r="F443" s="3">
        <v>249</v>
      </c>
      <c r="G443" s="1">
        <f t="shared" si="14"/>
        <v>10479836</v>
      </c>
      <c r="H443">
        <f t="shared" si="15"/>
        <v>249000</v>
      </c>
    </row>
    <row r="444" spans="6:8" x14ac:dyDescent="0.15">
      <c r="F444" s="3">
        <v>250</v>
      </c>
      <c r="G444" s="1">
        <f t="shared" si="14"/>
        <v>10605840</v>
      </c>
      <c r="H444">
        <f t="shared" si="15"/>
        <v>250000</v>
      </c>
    </row>
    <row r="445" spans="6:8" x14ac:dyDescent="0.15">
      <c r="F445" s="3">
        <v>251</v>
      </c>
      <c r="G445" s="1">
        <f t="shared" si="14"/>
        <v>10732850</v>
      </c>
      <c r="H445">
        <f t="shared" si="15"/>
        <v>251000</v>
      </c>
    </row>
    <row r="446" spans="6:8" x14ac:dyDescent="0.15">
      <c r="F446" s="3">
        <v>252</v>
      </c>
      <c r="G446" s="1">
        <f t="shared" si="14"/>
        <v>10860870</v>
      </c>
      <c r="H446">
        <f t="shared" si="15"/>
        <v>252000</v>
      </c>
    </row>
    <row r="447" spans="6:8" x14ac:dyDescent="0.15">
      <c r="F447" s="3">
        <v>253</v>
      </c>
      <c r="G447" s="1">
        <f t="shared" si="14"/>
        <v>10989904</v>
      </c>
      <c r="H447">
        <f t="shared" si="15"/>
        <v>253000</v>
      </c>
    </row>
    <row r="448" spans="6:8" x14ac:dyDescent="0.15">
      <c r="F448" s="3">
        <v>254</v>
      </c>
      <c r="G448" s="1">
        <f t="shared" si="14"/>
        <v>11119956</v>
      </c>
      <c r="H448">
        <f t="shared" si="15"/>
        <v>254000</v>
      </c>
    </row>
    <row r="449" spans="6:8" x14ac:dyDescent="0.15">
      <c r="F449" s="3">
        <v>255</v>
      </c>
      <c r="G449" s="1">
        <f t="shared" si="14"/>
        <v>11251030</v>
      </c>
      <c r="H449">
        <f t="shared" si="15"/>
        <v>255000</v>
      </c>
    </row>
    <row r="450" spans="6:8" x14ac:dyDescent="0.15">
      <c r="F450" s="3">
        <v>256</v>
      </c>
      <c r="G450" s="1">
        <f t="shared" si="14"/>
        <v>11383130</v>
      </c>
      <c r="H450">
        <f t="shared" si="15"/>
        <v>256000</v>
      </c>
    </row>
    <row r="451" spans="6:8" x14ac:dyDescent="0.15">
      <c r="F451" s="3">
        <v>257</v>
      </c>
      <c r="G451" s="1">
        <f t="shared" si="14"/>
        <v>11516260</v>
      </c>
      <c r="H451">
        <f t="shared" si="15"/>
        <v>257000</v>
      </c>
    </row>
    <row r="452" spans="6:8" x14ac:dyDescent="0.15">
      <c r="F452" s="3">
        <v>258</v>
      </c>
      <c r="G452" s="1">
        <f t="shared" si="14"/>
        <v>11650424</v>
      </c>
      <c r="H452">
        <f t="shared" si="15"/>
        <v>258000</v>
      </c>
    </row>
    <row r="453" spans="6:8" x14ac:dyDescent="0.15">
      <c r="F453" s="3">
        <v>259</v>
      </c>
      <c r="G453" s="1">
        <f t="shared" ref="G453:G512" si="16">G452+POWER(F453+2,2)+POWER(F452+1,2)</f>
        <v>11785626</v>
      </c>
      <c r="H453">
        <f t="shared" si="15"/>
        <v>259000</v>
      </c>
    </row>
    <row r="454" spans="6:8" x14ac:dyDescent="0.15">
      <c r="F454" s="3">
        <v>260</v>
      </c>
      <c r="G454" s="1">
        <f t="shared" si="16"/>
        <v>11921870</v>
      </c>
      <c r="H454">
        <f t="shared" si="15"/>
        <v>260000</v>
      </c>
    </row>
    <row r="455" spans="6:8" x14ac:dyDescent="0.15">
      <c r="F455" s="3">
        <v>261</v>
      </c>
      <c r="G455" s="1">
        <f t="shared" si="16"/>
        <v>12059160</v>
      </c>
      <c r="H455">
        <f t="shared" si="15"/>
        <v>261000</v>
      </c>
    </row>
    <row r="456" spans="6:8" x14ac:dyDescent="0.15">
      <c r="F456" s="3">
        <v>262</v>
      </c>
      <c r="G456" s="1">
        <f t="shared" si="16"/>
        <v>12197500</v>
      </c>
      <c r="H456">
        <f t="shared" si="15"/>
        <v>262000</v>
      </c>
    </row>
    <row r="457" spans="6:8" x14ac:dyDescent="0.15">
      <c r="F457" s="3">
        <v>263</v>
      </c>
      <c r="G457" s="1">
        <f t="shared" si="16"/>
        <v>12336894</v>
      </c>
      <c r="H457">
        <f t="shared" si="15"/>
        <v>263000</v>
      </c>
    </row>
    <row r="458" spans="6:8" x14ac:dyDescent="0.15">
      <c r="F458" s="3">
        <v>264</v>
      </c>
      <c r="G458" s="1">
        <f t="shared" si="16"/>
        <v>12477346</v>
      </c>
      <c r="H458">
        <f t="shared" si="15"/>
        <v>264000</v>
      </c>
    </row>
    <row r="459" spans="6:8" x14ac:dyDescent="0.15">
      <c r="F459" s="3">
        <v>265</v>
      </c>
      <c r="G459" s="1">
        <f t="shared" si="16"/>
        <v>12618860</v>
      </c>
      <c r="H459">
        <f t="shared" si="15"/>
        <v>265000</v>
      </c>
    </row>
    <row r="460" spans="6:8" x14ac:dyDescent="0.15">
      <c r="F460" s="3">
        <v>266</v>
      </c>
      <c r="G460" s="1">
        <f t="shared" si="16"/>
        <v>12761440</v>
      </c>
      <c r="H460">
        <f t="shared" si="15"/>
        <v>266000</v>
      </c>
    </row>
    <row r="461" spans="6:8" x14ac:dyDescent="0.15">
      <c r="F461" s="3">
        <v>267</v>
      </c>
      <c r="G461" s="1">
        <f t="shared" si="16"/>
        <v>12905090</v>
      </c>
      <c r="H461">
        <f t="shared" si="15"/>
        <v>267000</v>
      </c>
    </row>
    <row r="462" spans="6:8" x14ac:dyDescent="0.15">
      <c r="F462" s="3">
        <v>268</v>
      </c>
      <c r="G462" s="1">
        <f t="shared" si="16"/>
        <v>13049814</v>
      </c>
      <c r="H462">
        <f t="shared" si="15"/>
        <v>268000</v>
      </c>
    </row>
    <row r="463" spans="6:8" x14ac:dyDescent="0.15">
      <c r="F463" s="3">
        <v>269</v>
      </c>
      <c r="G463" s="1">
        <f t="shared" si="16"/>
        <v>13195616</v>
      </c>
      <c r="H463">
        <f t="shared" si="15"/>
        <v>269000</v>
      </c>
    </row>
    <row r="464" spans="6:8" x14ac:dyDescent="0.15">
      <c r="F464" s="3">
        <v>270</v>
      </c>
      <c r="G464" s="1">
        <f t="shared" si="16"/>
        <v>13342500</v>
      </c>
      <c r="H464">
        <f t="shared" si="15"/>
        <v>270000</v>
      </c>
    </row>
    <row r="465" spans="6:8" x14ac:dyDescent="0.15">
      <c r="F465" s="3">
        <v>271</v>
      </c>
      <c r="G465" s="1">
        <f t="shared" si="16"/>
        <v>13490470</v>
      </c>
      <c r="H465">
        <f t="shared" si="15"/>
        <v>271000</v>
      </c>
    </row>
    <row r="466" spans="6:8" x14ac:dyDescent="0.15">
      <c r="F466" s="3">
        <v>272</v>
      </c>
      <c r="G466" s="1">
        <f t="shared" si="16"/>
        <v>13639530</v>
      </c>
      <c r="H466">
        <f t="shared" si="15"/>
        <v>272000</v>
      </c>
    </row>
    <row r="467" spans="6:8" x14ac:dyDescent="0.15">
      <c r="F467" s="3">
        <v>273</v>
      </c>
      <c r="G467" s="1">
        <f t="shared" si="16"/>
        <v>13789684</v>
      </c>
      <c r="H467">
        <f t="shared" si="15"/>
        <v>273000</v>
      </c>
    </row>
    <row r="468" spans="6:8" x14ac:dyDescent="0.15">
      <c r="F468" s="3">
        <v>274</v>
      </c>
      <c r="G468" s="1">
        <f t="shared" si="16"/>
        <v>13940936</v>
      </c>
      <c r="H468">
        <f t="shared" si="15"/>
        <v>274000</v>
      </c>
    </row>
    <row r="469" spans="6:8" x14ac:dyDescent="0.15">
      <c r="F469" s="3">
        <v>275</v>
      </c>
      <c r="G469" s="1">
        <f t="shared" si="16"/>
        <v>14093290</v>
      </c>
      <c r="H469">
        <f t="shared" si="15"/>
        <v>275000</v>
      </c>
    </row>
    <row r="470" spans="6:8" x14ac:dyDescent="0.15">
      <c r="F470" s="3">
        <v>276</v>
      </c>
      <c r="G470" s="1">
        <f t="shared" si="16"/>
        <v>14246750</v>
      </c>
      <c r="H470">
        <f t="shared" si="15"/>
        <v>276000</v>
      </c>
    </row>
    <row r="471" spans="6:8" x14ac:dyDescent="0.15">
      <c r="F471" s="3">
        <v>277</v>
      </c>
      <c r="G471" s="1">
        <f t="shared" si="16"/>
        <v>14401320</v>
      </c>
      <c r="H471">
        <f t="shared" si="15"/>
        <v>277000</v>
      </c>
    </row>
    <row r="472" spans="6:8" x14ac:dyDescent="0.15">
      <c r="F472" s="3">
        <v>278</v>
      </c>
      <c r="G472" s="1">
        <f t="shared" si="16"/>
        <v>14557004</v>
      </c>
      <c r="H472">
        <f t="shared" si="15"/>
        <v>278000</v>
      </c>
    </row>
    <row r="473" spans="6:8" x14ac:dyDescent="0.15">
      <c r="F473" s="3">
        <v>279</v>
      </c>
      <c r="G473" s="1">
        <f t="shared" si="16"/>
        <v>14713806</v>
      </c>
      <c r="H473">
        <f t="shared" si="15"/>
        <v>279000</v>
      </c>
    </row>
    <row r="474" spans="6:8" x14ac:dyDescent="0.15">
      <c r="F474" s="3">
        <v>280</v>
      </c>
      <c r="G474" s="1">
        <f t="shared" si="16"/>
        <v>14871730</v>
      </c>
      <c r="H474">
        <f t="shared" si="15"/>
        <v>280000</v>
      </c>
    </row>
    <row r="475" spans="6:8" x14ac:dyDescent="0.15">
      <c r="F475" s="3">
        <v>281</v>
      </c>
      <c r="G475" s="1">
        <f t="shared" si="16"/>
        <v>15030780</v>
      </c>
      <c r="H475">
        <f t="shared" si="15"/>
        <v>281000</v>
      </c>
    </row>
    <row r="476" spans="6:8" x14ac:dyDescent="0.15">
      <c r="F476" s="3">
        <v>282</v>
      </c>
      <c r="G476" s="1">
        <f t="shared" si="16"/>
        <v>15190960</v>
      </c>
      <c r="H476">
        <f t="shared" si="15"/>
        <v>282000</v>
      </c>
    </row>
    <row r="477" spans="6:8" x14ac:dyDescent="0.15">
      <c r="F477" s="3">
        <v>283</v>
      </c>
      <c r="G477" s="1">
        <f t="shared" si="16"/>
        <v>15352274</v>
      </c>
      <c r="H477">
        <f t="shared" ref="H477:H512" si="17">F477*1000</f>
        <v>283000</v>
      </c>
    </row>
    <row r="478" spans="6:8" x14ac:dyDescent="0.15">
      <c r="F478" s="3">
        <v>284</v>
      </c>
      <c r="G478" s="1">
        <f t="shared" si="16"/>
        <v>15514726</v>
      </c>
      <c r="H478">
        <f t="shared" si="17"/>
        <v>284000</v>
      </c>
    </row>
    <row r="479" spans="6:8" x14ac:dyDescent="0.15">
      <c r="F479" s="3">
        <v>285</v>
      </c>
      <c r="G479" s="1">
        <f t="shared" si="16"/>
        <v>15678320</v>
      </c>
      <c r="H479">
        <f t="shared" si="17"/>
        <v>285000</v>
      </c>
    </row>
    <row r="480" spans="6:8" x14ac:dyDescent="0.15">
      <c r="F480" s="3">
        <v>286</v>
      </c>
      <c r="G480" s="1">
        <f t="shared" si="16"/>
        <v>15843060</v>
      </c>
      <c r="H480">
        <f t="shared" si="17"/>
        <v>286000</v>
      </c>
    </row>
    <row r="481" spans="6:8" x14ac:dyDescent="0.15">
      <c r="F481" s="3">
        <v>287</v>
      </c>
      <c r="G481" s="1">
        <f t="shared" si="16"/>
        <v>16008950</v>
      </c>
      <c r="H481">
        <f t="shared" si="17"/>
        <v>287000</v>
      </c>
    </row>
    <row r="482" spans="6:8" x14ac:dyDescent="0.15">
      <c r="F482" s="3">
        <v>288</v>
      </c>
      <c r="G482" s="1">
        <f t="shared" si="16"/>
        <v>16175994</v>
      </c>
      <c r="H482">
        <f t="shared" si="17"/>
        <v>288000</v>
      </c>
    </row>
    <row r="483" spans="6:8" x14ac:dyDescent="0.15">
      <c r="F483" s="3">
        <v>289</v>
      </c>
      <c r="G483" s="1">
        <f t="shared" si="16"/>
        <v>16344196</v>
      </c>
      <c r="H483">
        <f t="shared" si="17"/>
        <v>289000</v>
      </c>
    </row>
    <row r="484" spans="6:8" x14ac:dyDescent="0.15">
      <c r="F484" s="3">
        <v>290</v>
      </c>
      <c r="G484" s="1">
        <f t="shared" si="16"/>
        <v>16513560</v>
      </c>
      <c r="H484">
        <f t="shared" si="17"/>
        <v>290000</v>
      </c>
    </row>
    <row r="485" spans="6:8" x14ac:dyDescent="0.15">
      <c r="F485" s="3">
        <v>291</v>
      </c>
      <c r="G485" s="1">
        <f t="shared" si="16"/>
        <v>16684090</v>
      </c>
      <c r="H485">
        <f t="shared" si="17"/>
        <v>291000</v>
      </c>
    </row>
    <row r="486" spans="6:8" x14ac:dyDescent="0.15">
      <c r="F486" s="3">
        <v>292</v>
      </c>
      <c r="G486" s="1">
        <f t="shared" si="16"/>
        <v>16855790</v>
      </c>
      <c r="H486">
        <f t="shared" si="17"/>
        <v>292000</v>
      </c>
    </row>
    <row r="487" spans="6:8" x14ac:dyDescent="0.15">
      <c r="F487" s="3">
        <v>293</v>
      </c>
      <c r="G487" s="1">
        <f t="shared" si="16"/>
        <v>17028664</v>
      </c>
      <c r="H487">
        <f t="shared" si="17"/>
        <v>293000</v>
      </c>
    </row>
    <row r="488" spans="6:8" x14ac:dyDescent="0.15">
      <c r="F488" s="3">
        <v>294</v>
      </c>
      <c r="G488" s="1">
        <f t="shared" si="16"/>
        <v>17202716</v>
      </c>
      <c r="H488">
        <f t="shared" si="17"/>
        <v>294000</v>
      </c>
    </row>
    <row r="489" spans="6:8" x14ac:dyDescent="0.15">
      <c r="F489" s="3">
        <v>295</v>
      </c>
      <c r="G489" s="1">
        <f t="shared" si="16"/>
        <v>17377950</v>
      </c>
      <c r="H489">
        <f t="shared" si="17"/>
        <v>295000</v>
      </c>
    </row>
    <row r="490" spans="6:8" x14ac:dyDescent="0.15">
      <c r="F490" s="3">
        <v>296</v>
      </c>
      <c r="G490" s="1">
        <f t="shared" si="16"/>
        <v>17554370</v>
      </c>
      <c r="H490">
        <f t="shared" si="17"/>
        <v>296000</v>
      </c>
    </row>
    <row r="491" spans="6:8" x14ac:dyDescent="0.15">
      <c r="F491" s="3">
        <v>297</v>
      </c>
      <c r="G491" s="1">
        <f t="shared" si="16"/>
        <v>17731980</v>
      </c>
      <c r="H491">
        <f t="shared" si="17"/>
        <v>297000</v>
      </c>
    </row>
    <row r="492" spans="6:8" x14ac:dyDescent="0.15">
      <c r="F492" s="3">
        <v>298</v>
      </c>
      <c r="G492" s="1">
        <f t="shared" si="16"/>
        <v>17910784</v>
      </c>
      <c r="H492">
        <f t="shared" si="17"/>
        <v>298000</v>
      </c>
    </row>
    <row r="493" spans="6:8" x14ac:dyDescent="0.15">
      <c r="F493" s="3">
        <v>299</v>
      </c>
      <c r="G493" s="1">
        <f t="shared" si="16"/>
        <v>18090786</v>
      </c>
      <c r="H493">
        <f t="shared" si="17"/>
        <v>299000</v>
      </c>
    </row>
    <row r="494" spans="6:8" x14ac:dyDescent="0.15">
      <c r="F494" s="3">
        <v>300</v>
      </c>
      <c r="G494" s="1">
        <f t="shared" si="16"/>
        <v>18271990</v>
      </c>
      <c r="H494">
        <f t="shared" si="17"/>
        <v>300000</v>
      </c>
    </row>
    <row r="495" spans="6:8" x14ac:dyDescent="0.15">
      <c r="F495" s="1">
        <v>301</v>
      </c>
      <c r="G495" s="1">
        <f t="shared" si="16"/>
        <v>18454400</v>
      </c>
      <c r="H495">
        <f t="shared" si="17"/>
        <v>301000</v>
      </c>
    </row>
    <row r="496" spans="6:8" x14ac:dyDescent="0.15">
      <c r="F496" s="3">
        <v>302</v>
      </c>
      <c r="G496" s="1">
        <f t="shared" si="16"/>
        <v>18638020</v>
      </c>
      <c r="H496">
        <f t="shared" si="17"/>
        <v>302000</v>
      </c>
    </row>
    <row r="497" spans="6:8" x14ac:dyDescent="0.15">
      <c r="F497" s="3">
        <v>303</v>
      </c>
      <c r="G497" s="1">
        <f t="shared" si="16"/>
        <v>18822854</v>
      </c>
      <c r="H497">
        <f t="shared" si="17"/>
        <v>303000</v>
      </c>
    </row>
    <row r="498" spans="6:8" x14ac:dyDescent="0.15">
      <c r="F498" s="3">
        <v>304</v>
      </c>
      <c r="G498" s="1">
        <f t="shared" si="16"/>
        <v>19008906</v>
      </c>
      <c r="H498">
        <f t="shared" si="17"/>
        <v>304000</v>
      </c>
    </row>
    <row r="499" spans="6:8" x14ac:dyDescent="0.15">
      <c r="F499" s="3">
        <v>305</v>
      </c>
      <c r="G499" s="1">
        <f t="shared" si="16"/>
        <v>19196180</v>
      </c>
      <c r="H499">
        <f t="shared" si="17"/>
        <v>305000</v>
      </c>
    </row>
    <row r="500" spans="6:8" x14ac:dyDescent="0.15">
      <c r="F500" s="3">
        <v>306</v>
      </c>
      <c r="G500" s="1">
        <f t="shared" si="16"/>
        <v>19384680</v>
      </c>
      <c r="H500">
        <f t="shared" si="17"/>
        <v>306000</v>
      </c>
    </row>
    <row r="501" spans="6:8" x14ac:dyDescent="0.15">
      <c r="F501" s="3">
        <v>307</v>
      </c>
      <c r="G501" s="1">
        <f t="shared" si="16"/>
        <v>19574410</v>
      </c>
      <c r="H501">
        <f t="shared" si="17"/>
        <v>307000</v>
      </c>
    </row>
    <row r="502" spans="6:8" x14ac:dyDescent="0.15">
      <c r="F502" s="3">
        <v>308</v>
      </c>
      <c r="G502" s="1">
        <f t="shared" si="16"/>
        <v>19765374</v>
      </c>
      <c r="H502">
        <f t="shared" si="17"/>
        <v>308000</v>
      </c>
    </row>
    <row r="503" spans="6:8" x14ac:dyDescent="0.15">
      <c r="F503" s="3">
        <v>309</v>
      </c>
      <c r="G503" s="1">
        <f t="shared" si="16"/>
        <v>19957576</v>
      </c>
      <c r="H503">
        <f t="shared" si="17"/>
        <v>309000</v>
      </c>
    </row>
    <row r="504" spans="6:8" x14ac:dyDescent="0.15">
      <c r="F504" s="3">
        <v>310</v>
      </c>
      <c r="G504" s="1">
        <f t="shared" si="16"/>
        <v>20151020</v>
      </c>
      <c r="H504">
        <f t="shared" si="17"/>
        <v>310000</v>
      </c>
    </row>
    <row r="505" spans="6:8" x14ac:dyDescent="0.15">
      <c r="F505" s="3">
        <v>311</v>
      </c>
      <c r="G505" s="1">
        <f t="shared" si="16"/>
        <v>20345710</v>
      </c>
      <c r="H505">
        <f t="shared" si="17"/>
        <v>311000</v>
      </c>
    </row>
    <row r="506" spans="6:8" x14ac:dyDescent="0.15">
      <c r="F506" s="3">
        <v>312</v>
      </c>
      <c r="G506" s="1">
        <f t="shared" si="16"/>
        <v>20541650</v>
      </c>
      <c r="H506">
        <f t="shared" si="17"/>
        <v>312000</v>
      </c>
    </row>
    <row r="507" spans="6:8" x14ac:dyDescent="0.15">
      <c r="F507" s="3">
        <v>313</v>
      </c>
      <c r="G507" s="1">
        <f t="shared" si="16"/>
        <v>20738844</v>
      </c>
      <c r="H507">
        <f t="shared" si="17"/>
        <v>313000</v>
      </c>
    </row>
    <row r="508" spans="6:8" x14ac:dyDescent="0.15">
      <c r="F508" s="3">
        <v>314</v>
      </c>
      <c r="G508" s="1">
        <f t="shared" si="16"/>
        <v>20937296</v>
      </c>
      <c r="H508">
        <f t="shared" si="17"/>
        <v>314000</v>
      </c>
    </row>
    <row r="509" spans="6:8" x14ac:dyDescent="0.15">
      <c r="F509" s="3">
        <v>315</v>
      </c>
      <c r="G509" s="1">
        <f t="shared" si="16"/>
        <v>21137010</v>
      </c>
      <c r="H509">
        <f t="shared" si="17"/>
        <v>315000</v>
      </c>
    </row>
    <row r="510" spans="6:8" x14ac:dyDescent="0.15">
      <c r="F510" s="3">
        <v>316</v>
      </c>
      <c r="G510" s="1">
        <f t="shared" si="16"/>
        <v>21337990</v>
      </c>
      <c r="H510">
        <f t="shared" si="17"/>
        <v>316000</v>
      </c>
    </row>
    <row r="511" spans="6:8" x14ac:dyDescent="0.15">
      <c r="F511" s="3">
        <v>317</v>
      </c>
      <c r="G511" s="1">
        <f t="shared" si="16"/>
        <v>21540240</v>
      </c>
      <c r="H511">
        <f t="shared" si="17"/>
        <v>317000</v>
      </c>
    </row>
    <row r="512" spans="6:8" x14ac:dyDescent="0.15">
      <c r="F512" s="3">
        <v>318</v>
      </c>
      <c r="G512" s="1">
        <f t="shared" si="16"/>
        <v>21743764</v>
      </c>
      <c r="H512">
        <f t="shared" si="17"/>
        <v>318000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copy_loot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2021-01-27T05:59:50Z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